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<sst xmlns="http://schemas.openxmlformats.org/spreadsheetml/2006/main" count="118360" uniqueCount="478">
  <si>
    <t>Marca temporal</t>
  </si>
  <si>
    <t>Fecha</t>
  </si>
  <si>
    <t>Día de la Semana</t>
  </si>
  <si>
    <t>Nombre</t>
  </si>
  <si>
    <t>Nivel de Cansancio hoy (Fatiga)</t>
  </si>
  <si>
    <t>Qué tal descansaste ayer?</t>
  </si>
  <si>
    <t xml:space="preserve">Cuántas horas dormiste ayer? </t>
  </si>
  <si>
    <t>Estás adolorido de alguna parte?</t>
  </si>
  <si>
    <t>Donde te encuentras adolorido? Indica cada zona de dolor</t>
  </si>
  <si>
    <t>Porcentaje de Recuperación</t>
  </si>
  <si>
    <t>RPE Ayer</t>
  </si>
  <si>
    <t>Columna 11</t>
  </si>
  <si>
    <t>Columna 12</t>
  </si>
  <si>
    <t>Key_imp</t>
  </si>
  <si>
    <t>RPE_imp</t>
  </si>
  <si>
    <t>Miércoles</t>
  </si>
  <si>
    <t>Rodrigo aguirre</t>
  </si>
  <si>
    <t>Normal</t>
  </si>
  <si>
    <t>Buena noche</t>
  </si>
  <si>
    <t>Más de 8</t>
  </si>
  <si>
    <t>Nada</t>
  </si>
  <si>
    <t xml:space="preserve">Jonathan Estrada </t>
  </si>
  <si>
    <t>No me duele nada</t>
  </si>
  <si>
    <t xml:space="preserve">Erick Sánchez </t>
  </si>
  <si>
    <t>6 a 8</t>
  </si>
  <si>
    <t>Adolorido de una zona</t>
  </si>
  <si>
    <t>17 aductor izquierdo</t>
  </si>
  <si>
    <t xml:space="preserve">Miguel Ramírez </t>
  </si>
  <si>
    <t>15 espalda baja</t>
  </si>
  <si>
    <t>Javairo</t>
  </si>
  <si>
    <t>Fresco</t>
  </si>
  <si>
    <t>Jueves</t>
  </si>
  <si>
    <t xml:space="preserve">Iván Rodríguez </t>
  </si>
  <si>
    <t xml:space="preserve">Estrada </t>
  </si>
  <si>
    <t>2 muslo derecho</t>
  </si>
  <si>
    <t>Mejor que normal</t>
  </si>
  <si>
    <t>Alejandro zendejas</t>
  </si>
  <si>
    <t>14 pantorrilla derecha</t>
  </si>
  <si>
    <t>Diego v</t>
  </si>
  <si>
    <t>Me desperté mucho</t>
  </si>
  <si>
    <t>Menos de 6</t>
  </si>
  <si>
    <t>13 pantorrilla izquierda, 14 pantorrilla derecha</t>
  </si>
  <si>
    <t>Dagoberto</t>
  </si>
  <si>
    <t>Muy buena noche</t>
  </si>
  <si>
    <t>Mejor que lo normal</t>
  </si>
  <si>
    <t>Victor Davila</t>
  </si>
  <si>
    <t>Peor que lo normal</t>
  </si>
  <si>
    <t>1 muslo izquierdo, 2 muslo derecho, 9 Isquiotibial izquierdo, 10 isquiotibial derecho, 13 pantorrilla izquierda, 14 pantorrilla derecha, 21 Plantas de los pies o empeine</t>
  </si>
  <si>
    <t>Viernes</t>
  </si>
  <si>
    <t>Estrada</t>
  </si>
  <si>
    <t>18 aductor derecho</t>
  </si>
  <si>
    <t xml:space="preserve">Alejandro Zendejas </t>
  </si>
  <si>
    <t>Nada, 21 Plantas de los pies o empeine</t>
  </si>
  <si>
    <t>Sábado</t>
  </si>
  <si>
    <t xml:space="preserve">Henry Martín </t>
  </si>
  <si>
    <t xml:space="preserve">Diego v </t>
  </si>
  <si>
    <t>Zendejas</t>
  </si>
  <si>
    <t>Muy fresco</t>
  </si>
  <si>
    <t>Domingo</t>
  </si>
  <si>
    <t>Henry martin</t>
  </si>
  <si>
    <t>Peor que normal</t>
  </si>
  <si>
    <t>Cansado</t>
  </si>
  <si>
    <t>Muy adolorido en general</t>
  </si>
  <si>
    <t>1 muslo izquierdo, 2 muslo derecho, 9 Isquiotibial izquierdo, 10 isquiotibial derecho, 15 espalda baja, 16 espalda</t>
  </si>
  <si>
    <t xml:space="preserve">6 dos Santos </t>
  </si>
  <si>
    <t xml:space="preserve">32 Miguel Velázquez </t>
  </si>
  <si>
    <t xml:space="preserve">19 Illian </t>
  </si>
  <si>
    <t>9 Isquiotibial izquierdo</t>
  </si>
  <si>
    <t xml:space="preserve">Diego Valdés </t>
  </si>
  <si>
    <t xml:space="preserve">5 Kevin </t>
  </si>
  <si>
    <t>15 espalda baja, 16 espalda</t>
  </si>
  <si>
    <t>13 Alan</t>
  </si>
  <si>
    <t>18 Chicote</t>
  </si>
  <si>
    <t>8 tobillo izquierdo, 17 aductor izquierdo</t>
  </si>
  <si>
    <t xml:space="preserve">3 Isra Reyes </t>
  </si>
  <si>
    <t xml:space="preserve">29 Ramón </t>
  </si>
  <si>
    <t>31 Igor</t>
  </si>
  <si>
    <t>Muy mala noche</t>
  </si>
  <si>
    <t>7 Brian</t>
  </si>
  <si>
    <t>9 Isquiotibial izquierdo, 10 isquiotibial derecho</t>
  </si>
  <si>
    <t xml:space="preserve">8 Fidalgo </t>
  </si>
  <si>
    <t>14 Nestor</t>
  </si>
  <si>
    <t>27 Aguirre</t>
  </si>
  <si>
    <t xml:space="preserve">Dagoberto </t>
  </si>
  <si>
    <t xml:space="preserve">11 Dávila </t>
  </si>
  <si>
    <t>13 pantorrilla izquierda, 14 pantorrilla derecha, 21 Plantas de los pies o empeine</t>
  </si>
  <si>
    <t>Lunes</t>
  </si>
  <si>
    <t>Jonathan</t>
  </si>
  <si>
    <t xml:space="preserve">Zendejas </t>
  </si>
  <si>
    <t>10 isquiotibial derecho</t>
  </si>
  <si>
    <t>Fidalgo</t>
  </si>
  <si>
    <t>Nestor Alejandro Araujo razo</t>
  </si>
  <si>
    <t xml:space="preserve">Paul Ayala bravo </t>
  </si>
  <si>
    <t>1 muslo izquierdo, 2 muslo derecho</t>
  </si>
  <si>
    <t xml:space="preserve">Sebastian Enzo caseres ramos </t>
  </si>
  <si>
    <t xml:space="preserve">Dagoberto Espinoza Acosta </t>
  </si>
  <si>
    <t xml:space="preserve">Igor linovshki </t>
  </si>
  <si>
    <t xml:space="preserve">Daniel Sánchez </t>
  </si>
  <si>
    <t>1 muslo izquierdo, 13 pantorrilla izquierda</t>
  </si>
  <si>
    <t xml:space="preserve">Reyes romero </t>
  </si>
  <si>
    <t>Rodrigo Sebastián aguirre</t>
  </si>
  <si>
    <t xml:space="preserve">Gerardo Hernandez Vargas </t>
  </si>
  <si>
    <t xml:space="preserve">Cristian Calderón </t>
  </si>
  <si>
    <t>1 muslo izquierdo, 8 tobillo izquierdo</t>
  </si>
  <si>
    <t xml:space="preserve">Malagón Velázquez </t>
  </si>
  <si>
    <t>Rodolfo Cota</t>
  </si>
  <si>
    <t xml:space="preserve">Miguel angel Vazquez García </t>
  </si>
  <si>
    <t xml:space="preserve">Victor Dávila </t>
  </si>
  <si>
    <t xml:space="preserve">Alan Cervantes </t>
  </si>
  <si>
    <t xml:space="preserve">Ramón Juarez </t>
  </si>
  <si>
    <t>Martes</t>
  </si>
  <si>
    <t>Cota</t>
  </si>
  <si>
    <t xml:space="preserve">Igor </t>
  </si>
  <si>
    <t xml:space="preserve">Israel reyes </t>
  </si>
  <si>
    <t>Kevin alvarez</t>
  </si>
  <si>
    <t>Sebastian Caceree</t>
  </si>
  <si>
    <t>Erick</t>
  </si>
  <si>
    <t>1 muslo izquierdo</t>
  </si>
  <si>
    <t>Ivan rodriguez</t>
  </si>
  <si>
    <t>Luis malagon</t>
  </si>
  <si>
    <t>Nestor araujo</t>
  </si>
  <si>
    <t>Sebastian Caceres</t>
  </si>
  <si>
    <t>Igoe</t>
  </si>
  <si>
    <t>Richard</t>
  </si>
  <si>
    <t>Víctor Davila</t>
  </si>
  <si>
    <t>Igor</t>
  </si>
  <si>
    <t xml:space="preserve">Alvaro Fidalgo </t>
  </si>
  <si>
    <t xml:space="preserve">Sebastian Cáceres </t>
  </si>
  <si>
    <t>4 rodilla izquierda, 15 espalda baja</t>
  </si>
  <si>
    <t>Henry</t>
  </si>
  <si>
    <t>1 muslo izquierdo, 17 aductor izquierdo</t>
  </si>
  <si>
    <t>Illian</t>
  </si>
  <si>
    <t xml:space="preserve">Miguel Vazquez </t>
  </si>
  <si>
    <t xml:space="preserve">Rodrigo Aguirre </t>
  </si>
  <si>
    <t>Israel sanchez</t>
  </si>
  <si>
    <t xml:space="preserve">Brian </t>
  </si>
  <si>
    <t xml:space="preserve">Fidalgo </t>
  </si>
  <si>
    <t>8 tobillo izquierdo</t>
  </si>
  <si>
    <t xml:space="preserve">Chicote </t>
  </si>
  <si>
    <t xml:space="preserve">Miguel ramirez </t>
  </si>
  <si>
    <t>Muy cansado</t>
  </si>
  <si>
    <t>Alvaro Fidalgo</t>
  </si>
  <si>
    <t>17 Zendejas</t>
  </si>
  <si>
    <t>14 Araujo</t>
  </si>
  <si>
    <t xml:space="preserve">1 Malagón </t>
  </si>
  <si>
    <t>32 Miguel</t>
  </si>
  <si>
    <t>8 Fidalgo</t>
  </si>
  <si>
    <t>26 Borja</t>
  </si>
  <si>
    <t xml:space="preserve">15 Iavn </t>
  </si>
  <si>
    <t>7 Rayo</t>
  </si>
  <si>
    <t>3 Isra</t>
  </si>
  <si>
    <t>4 Caseres</t>
  </si>
  <si>
    <t xml:space="preserve">28Erick </t>
  </si>
  <si>
    <t>17 aductor izquierdo, 21 Plantas de los pies o empeine</t>
  </si>
  <si>
    <t xml:space="preserve">11 Victor </t>
  </si>
  <si>
    <t xml:space="preserve">Ramón Juárez </t>
  </si>
  <si>
    <t>Isco</t>
  </si>
  <si>
    <t xml:space="preserve">Nestor araujo </t>
  </si>
  <si>
    <t>Nada, 13 pantorrilla izquierda, 14 pantorrilla derecha, 20 hombro izquierdo</t>
  </si>
  <si>
    <t>17 aductor izquierdo, 18 aductor derecho</t>
  </si>
  <si>
    <t>Erick Daniel Sánchez Osegueda</t>
  </si>
  <si>
    <t>Dagoberto Espinosa Acosta</t>
  </si>
  <si>
    <t>Israel Reyes Romero</t>
  </si>
  <si>
    <t>Sebastián Nelson Cáceres Ramos</t>
  </si>
  <si>
    <t xml:space="preserve">Kevin Álvarez Campos </t>
  </si>
  <si>
    <t>6 espinilla izquierda, 13 pantorrilla izquierda, 16 espalda</t>
  </si>
  <si>
    <t>Miguel Ángel Vázquez García</t>
  </si>
  <si>
    <t>Luis Angel Malagon</t>
  </si>
  <si>
    <t>Álvaro Fidalgo</t>
  </si>
  <si>
    <t>Diego Reyes Costilla</t>
  </si>
  <si>
    <t>Igor Lichnovsky</t>
  </si>
  <si>
    <t>Sebastián Cáceres</t>
  </si>
  <si>
    <t>Kevin Alvarez</t>
  </si>
  <si>
    <t>13 pantorrilla izquierda</t>
  </si>
  <si>
    <t>Miguel Vázquez</t>
  </si>
  <si>
    <t>Alan Cervantes</t>
  </si>
  <si>
    <t>9 Isquiotibial izquierdo, 10 isquiotibial derecho, 17 aductor izquierdo, 18 aductor derecho</t>
  </si>
  <si>
    <t>Erick Sánchez</t>
  </si>
  <si>
    <t>Israel Reyes</t>
  </si>
  <si>
    <t>Ramón Juarez</t>
  </si>
  <si>
    <t xml:space="preserve">Cáceres </t>
  </si>
  <si>
    <t>Isra</t>
  </si>
  <si>
    <t>Dago</t>
  </si>
  <si>
    <t>Alan</t>
  </si>
  <si>
    <t>Rayo</t>
  </si>
  <si>
    <t>Kevin</t>
  </si>
  <si>
    <t>Brian</t>
  </si>
  <si>
    <t xml:space="preserve">Richard </t>
  </si>
  <si>
    <t xml:space="preserve">Miguel </t>
  </si>
  <si>
    <t xml:space="preserve">Malagon </t>
  </si>
  <si>
    <t>Nestor Araujo</t>
  </si>
  <si>
    <t xml:space="preserve">Ramón </t>
  </si>
  <si>
    <t xml:space="preserve">Nestor Araujo </t>
  </si>
  <si>
    <t>Sebastián Cáceres Ramos</t>
  </si>
  <si>
    <t xml:space="preserve">Kevin Álvarez </t>
  </si>
  <si>
    <t>9 Isquiotibial izquierdo, 17 aductor izquierdo</t>
  </si>
  <si>
    <t>Diego reyes</t>
  </si>
  <si>
    <t xml:space="preserve"> Javairo</t>
  </si>
  <si>
    <t xml:space="preserve">Sebastián Cáceres </t>
  </si>
  <si>
    <t>Chicote</t>
  </si>
  <si>
    <t>9 Isquiotibial izquierdo, 10 isquiotibial derecho, 17 aductor izquierdo</t>
  </si>
  <si>
    <t xml:space="preserve">Christian Calderón </t>
  </si>
  <si>
    <t xml:space="preserve">Illian Hernández </t>
  </si>
  <si>
    <t xml:space="preserve">Eric Sánchez </t>
  </si>
  <si>
    <t>10 isquiotibial derecho, 15 espalda baja</t>
  </si>
  <si>
    <t>Miguel Vazquez</t>
  </si>
  <si>
    <t xml:space="preserve">Kevin Alvarez </t>
  </si>
  <si>
    <t>4 rodilla izquierda</t>
  </si>
  <si>
    <t>Miguel</t>
  </si>
  <si>
    <t xml:space="preserve">Javairo </t>
  </si>
  <si>
    <t>Ramón Juárez</t>
  </si>
  <si>
    <t>21 Plantas de los pies o empeine</t>
  </si>
  <si>
    <t xml:space="preserve">Néstor Araujo </t>
  </si>
  <si>
    <t xml:space="preserve">Richard Sánchez </t>
  </si>
  <si>
    <t xml:space="preserve">Cristian  Calderón </t>
  </si>
  <si>
    <t xml:space="preserve">Illian </t>
  </si>
  <si>
    <t>Richard y</t>
  </si>
  <si>
    <t xml:space="preserve">Araujo </t>
  </si>
  <si>
    <t>7 tobillo derecho</t>
  </si>
  <si>
    <t>Diego Valdés</t>
  </si>
  <si>
    <t xml:space="preserve"> Victor Dávila </t>
  </si>
  <si>
    <t>9 Isquiotibial izquierdo, 14 pantorrilla derecha, 18 aductor derecho</t>
  </si>
  <si>
    <t>9 Isquiotibial izquierdo, 15 espalda baja</t>
  </si>
  <si>
    <t>Rodrigo Aguirre</t>
  </si>
  <si>
    <t xml:space="preserve">Álex Zendejas </t>
  </si>
  <si>
    <t>1 muslo izquierdo, 2 muslo derecho, 9 Isquiotibial izquierdo, 11 parte trasera de la rodilla izquierda, 13 pantorrilla izquierda, 14 pantorrilla derecha</t>
  </si>
  <si>
    <t>Cristian Calderón a</t>
  </si>
  <si>
    <t xml:space="preserve">Cristian Borja </t>
  </si>
  <si>
    <t xml:space="preserve">Jonathan de los Santos </t>
  </si>
  <si>
    <t xml:space="preserve">Rodrigo </t>
  </si>
  <si>
    <t xml:space="preserve">Israel Reyes </t>
  </si>
  <si>
    <t xml:space="preserve">Brian Rodriguez </t>
  </si>
  <si>
    <t xml:space="preserve">Alan </t>
  </si>
  <si>
    <t xml:space="preserve">Malagón </t>
  </si>
  <si>
    <t>16 espalda, 19 hombro derecho</t>
  </si>
  <si>
    <t xml:space="preserve">Luis Malagón </t>
  </si>
  <si>
    <t xml:space="preserve">Richard Sanchez </t>
  </si>
  <si>
    <t xml:space="preserve">Johnatan Estrada </t>
  </si>
  <si>
    <t xml:space="preserve">Borja </t>
  </si>
  <si>
    <t xml:space="preserve">Néstor Araújo </t>
  </si>
  <si>
    <t>3 rodilla derecha</t>
  </si>
  <si>
    <t xml:space="preserve">Ilian Hernández </t>
  </si>
  <si>
    <t>19 hombro derecho</t>
  </si>
  <si>
    <t xml:space="preserve">Álvaro Fidalgo </t>
  </si>
  <si>
    <t xml:space="preserve">Victor Davila </t>
  </si>
  <si>
    <t>9 Isquiotibial izquierdo, 10 isquiotibial derecho, 13 pantorrilla izquierda, 14 pantorrilla derecha</t>
  </si>
  <si>
    <t xml:space="preserve">Brayan Rodriguez </t>
  </si>
  <si>
    <t>Cristian Borja</t>
  </si>
  <si>
    <t>6 espinilla izquierda</t>
  </si>
  <si>
    <t>Dagoberto Espinoza</t>
  </si>
  <si>
    <t xml:space="preserve">Javairo Dilrosun </t>
  </si>
  <si>
    <t xml:space="preserve">Cristian Calderon </t>
  </si>
  <si>
    <t>8 tobillo izquierdo, 17 aductor izquierdo, 18 aductor derecho</t>
  </si>
  <si>
    <t xml:space="preserve">Víctor Dávila </t>
  </si>
  <si>
    <t xml:space="preserve">Brian Rodríguez </t>
  </si>
  <si>
    <t xml:space="preserve">Miguel Vázquez </t>
  </si>
  <si>
    <t xml:space="preserve">Álvaro fidalgo </t>
  </si>
  <si>
    <t>Alejandro Zendejas</t>
  </si>
  <si>
    <t>Néstor Araujo</t>
  </si>
  <si>
    <t>Henry Martín</t>
  </si>
  <si>
    <t xml:space="preserve">Dagoberto Espinoza </t>
  </si>
  <si>
    <t xml:space="preserve">Jonathan Dos Santos </t>
  </si>
  <si>
    <t>Richard Sánchez</t>
  </si>
  <si>
    <t>12 parte trasera de la rodilla derecha</t>
  </si>
  <si>
    <t>Igor Lichnovski</t>
  </si>
  <si>
    <t>Luis Malagón</t>
  </si>
  <si>
    <t>20 hombro izquierdo</t>
  </si>
  <si>
    <t>14 pantorrilla derecha, 18 aductor derecho</t>
  </si>
  <si>
    <t xml:space="preserve">Henry Martin </t>
  </si>
  <si>
    <t xml:space="preserve">Luis Malagon </t>
  </si>
  <si>
    <t>Henry M</t>
  </si>
  <si>
    <t>Javairo Dilrosun</t>
  </si>
  <si>
    <t>Luis Malagon</t>
  </si>
  <si>
    <t>16 espalda</t>
  </si>
  <si>
    <t>10 isquiotibial derecho, 14 pantorrilla derecha</t>
  </si>
  <si>
    <t>Brian Rodriguez</t>
  </si>
  <si>
    <t>9 Isquiotibial izquierdo, 20 hombro izquierdo</t>
  </si>
  <si>
    <t xml:space="preserve">Igor Lichnovsky </t>
  </si>
  <si>
    <t xml:space="preserve">Patricia Salas </t>
  </si>
  <si>
    <t xml:space="preserve">Israel </t>
  </si>
  <si>
    <t>Jonathan Dos Santos</t>
  </si>
  <si>
    <t xml:space="preserve">Jonathan dos Santos </t>
  </si>
  <si>
    <t>Marcos Seixas</t>
  </si>
  <si>
    <t>8 tobillo izquierdo, 18 aductor derecho</t>
  </si>
  <si>
    <t>8 tobillo izquierdo, 21 Plantas de los pies o empeine</t>
  </si>
  <si>
    <t>Miguel V</t>
  </si>
  <si>
    <t>1 muslo izquierdo, 2 muslo derecho, 13 pantorrilla izquierda</t>
  </si>
  <si>
    <t>Miguel ramirez</t>
  </si>
  <si>
    <t>8 tobillo izquierdo, 18 aductor derecho, 21 Plantas de los pies o empeine</t>
  </si>
  <si>
    <t xml:space="preserve">Luis Ángel Malagón </t>
  </si>
  <si>
    <t>4 rodilla izquierda, 20 hombro izquierdo</t>
  </si>
  <si>
    <t>1 muslo izquierdo, 2 muslo derecho, 9 Isquiotibial izquierdo, 10 isquiotibial derecho</t>
  </si>
  <si>
    <t>15 espalda baja, 18 aductor derecho</t>
  </si>
  <si>
    <t>8 tobillo izquierdo, 15 espalda baja</t>
  </si>
  <si>
    <t>18 aductor derecho, 20 hombro izquierdo</t>
  </si>
  <si>
    <t>5 espinilla derecha, 6 espinilla izquierda, 15 espalda baja</t>
  </si>
  <si>
    <t>16 espalda, 21 Plantas de los pies o empeine</t>
  </si>
  <si>
    <t>10 isquiotibial derecho, 20 hombro izquierdo</t>
  </si>
  <si>
    <t>10 isquiotibial derecho, 16 espalda</t>
  </si>
  <si>
    <t xml:space="preserve">Rodolfo Cota </t>
  </si>
  <si>
    <t>5 espinilla derecha</t>
  </si>
  <si>
    <t>8 tobillo izquierdo, 20 hombro izquierdo</t>
  </si>
  <si>
    <t>9 Isquiotibial izquierdo, 13 pantorrilla izquierda</t>
  </si>
  <si>
    <t>13 pantorrilla izquierda, 16 espalda</t>
  </si>
  <si>
    <t>16 espalda, 18 aductor derecho</t>
  </si>
  <si>
    <t>8 tobillo izquierdo, 15 espalda baja, 20 hombro izquierdo</t>
  </si>
  <si>
    <t>8 tobillo izquierdo, 11 parte trasera de la rodilla izquierda, 18 aductor derecho</t>
  </si>
  <si>
    <t>8 tobillo izquierdo, 16 espalda, 20 hombro izquierdo</t>
  </si>
  <si>
    <t>8 tobillo izquierdo, 9 Isquiotibial izquierdo, 10 isquiotibial derecho, 11 parte trasera de la rodilla izquierda, 17 aductor izquierdo, 18 aductor derecho</t>
  </si>
  <si>
    <t>1 muslo izquierdo, 2 muslo derecho, 7 tobillo derecho</t>
  </si>
  <si>
    <t>8 tobillo izquierdo, 9 Isquiotibial izquierdo, 10 isquiotibial derecho, 18 aductor derecho</t>
  </si>
  <si>
    <t>11 parte trasera de la rodilla izquierda, 18 aductor derecho</t>
  </si>
  <si>
    <t>Jonathan Estrada</t>
  </si>
  <si>
    <t>15 espalda baja, 16 espalda, 18 aductor derecho</t>
  </si>
  <si>
    <t>15 espalda baja, 18 aductor derecho, 21 Plantas de los pies o empeine</t>
  </si>
  <si>
    <t xml:space="preserve">Kevin Alvarez   </t>
  </si>
  <si>
    <t>5 espinilla derecha, 6 espinilla izquierda</t>
  </si>
  <si>
    <t>7 tobillo derecho, 11 parte trasera de la rodilla izquierda</t>
  </si>
  <si>
    <t>15 espalda baja, 16 espalda, 21 Plantas de los pies o empeine</t>
  </si>
  <si>
    <t>7 tobillo derecho, 8 tobillo izquierdo, 16 espalda</t>
  </si>
  <si>
    <t>4 rodilla izquierda, 7 tobillo derecho</t>
  </si>
  <si>
    <t>7 tobillo derecho, 8 tobillo izquierdo</t>
  </si>
  <si>
    <t>15 espalda baja, 21 Plantas de los pies o empeine</t>
  </si>
  <si>
    <t>11 parte trasera de la rodilla izquierda, 13 pantorrilla izquierda, 14 pantorrilla derecha, 18 aductor derecho</t>
  </si>
  <si>
    <t xml:space="preserve">Miguel V </t>
  </si>
  <si>
    <t>8 tobillo izquierdo, 14 pantorrilla derecha</t>
  </si>
  <si>
    <t xml:space="preserve">Kevin Alvarez  </t>
  </si>
  <si>
    <t xml:space="preserve">Jonatan dos Santos </t>
  </si>
  <si>
    <t xml:space="preserve">Bryan Rodriguez </t>
  </si>
  <si>
    <t>11 parte trasera de la rodilla izquierda, 18 aductor derecho, 21 Plantas de los pies o empeine</t>
  </si>
  <si>
    <t>8 tobillo izquierdo, 9 Isquiotibial izquierdo</t>
  </si>
  <si>
    <t>8 tobillo izquierdo, 9 Isquiotibial izquierdo, 16 espalda</t>
  </si>
  <si>
    <t xml:space="preserve">Ralph Orquin </t>
  </si>
  <si>
    <t xml:space="preserve">Cristián Calderón </t>
  </si>
  <si>
    <t>Cristián Calderón</t>
  </si>
  <si>
    <t>Kevin Álvarez</t>
  </si>
  <si>
    <t xml:space="preserve">Santaigo Naveda </t>
  </si>
  <si>
    <t xml:space="preserve">Ayón </t>
  </si>
  <si>
    <t>Bedola</t>
  </si>
  <si>
    <t xml:space="preserve">Reyli </t>
  </si>
  <si>
    <t>Naza</t>
  </si>
  <si>
    <t xml:space="preserve">Franco </t>
  </si>
  <si>
    <t>Patrick</t>
  </si>
  <si>
    <t xml:space="preserve">Chiquis </t>
  </si>
  <si>
    <t>Pato</t>
  </si>
  <si>
    <t>Toño</t>
  </si>
  <si>
    <t xml:space="preserve">Arriaga </t>
  </si>
  <si>
    <t xml:space="preserve">Reyes </t>
  </si>
  <si>
    <t>Valle</t>
  </si>
  <si>
    <t>9 Isquiotibial izquierdo, 10 isquiotibial derecho, 16 espalda</t>
  </si>
  <si>
    <t>Santiago Naveda</t>
  </si>
  <si>
    <t>16 espalda, 17 aductor izquierdo, 18 aductor derecho</t>
  </si>
  <si>
    <t xml:space="preserve">Alexis Gutiérrez </t>
  </si>
  <si>
    <t>Paolo Bedolla</t>
  </si>
  <si>
    <t xml:space="preserve">Santiago Naveda </t>
  </si>
  <si>
    <t>24 aquiles</t>
  </si>
  <si>
    <t xml:space="preserve">Paolo Bedolla </t>
  </si>
  <si>
    <t>Isaías Violante</t>
  </si>
  <si>
    <t>9 Isquiotibial izquierdo, 14 pantorrilla derecha</t>
  </si>
  <si>
    <t xml:space="preserve">Kevin Álvarez  </t>
  </si>
  <si>
    <t>10 isquiotibial derecho, 18 aductor derecho</t>
  </si>
  <si>
    <t>Ralph Orquin</t>
  </si>
  <si>
    <t xml:space="preserve">Patricio Salas </t>
  </si>
  <si>
    <t>26 Estomago</t>
  </si>
  <si>
    <t>Eduardo Aguirre</t>
  </si>
  <si>
    <t xml:space="preserve">Isaías Violante </t>
  </si>
  <si>
    <t xml:space="preserve"> Álvaro Fidalgo </t>
  </si>
  <si>
    <t>Víctor Dávila</t>
  </si>
  <si>
    <t>22 gluteo izquierdo, 23 gluteo derecho</t>
  </si>
  <si>
    <t>Patricio Salas</t>
  </si>
  <si>
    <t xml:space="preserve">Sebastián Cáceres   </t>
  </si>
  <si>
    <t xml:space="preserve">Ralph Orquin  </t>
  </si>
  <si>
    <t xml:space="preserve">Patricio Salas   </t>
  </si>
  <si>
    <t xml:space="preserve">Raúl Zúñiga </t>
  </si>
  <si>
    <t xml:space="preserve">Dagoberto Espinoza  </t>
  </si>
  <si>
    <t>15 espalda baja, 23 gluteo derecho</t>
  </si>
  <si>
    <t xml:space="preserve">José Raúl Zúñiga </t>
  </si>
  <si>
    <t xml:space="preserve">Henry Martín  </t>
  </si>
  <si>
    <t xml:space="preserve">Álvaro Fidalgo  </t>
  </si>
  <si>
    <t xml:space="preserve">Luis Ángel Malagón  </t>
  </si>
  <si>
    <t xml:space="preserve">José Raúl Zúñiga  </t>
  </si>
  <si>
    <t>22 gluteo izquierdo</t>
  </si>
  <si>
    <t xml:space="preserve">Luis Ángel Malagón   </t>
  </si>
  <si>
    <t xml:space="preserve">Miguel Vázquez   </t>
  </si>
  <si>
    <t>1 muslo izquierdo, 4 rodilla izquierda</t>
  </si>
  <si>
    <t>5 espinilla derecha, 6 espinilla izquierda, 22 gluteo izquierdo</t>
  </si>
  <si>
    <t xml:space="preserve">Israel Reyes  </t>
  </si>
  <si>
    <t xml:space="preserve">Santiago Naveda  </t>
  </si>
  <si>
    <t xml:space="preserve">Jonathan Dos Santos  </t>
  </si>
  <si>
    <t>9 Isquiotibial izquierdo, 10 isquiotibial derecho, 15 espalda baja</t>
  </si>
  <si>
    <t>9 Isquiotibial izquierdo, 24 aquiles</t>
  </si>
  <si>
    <t>11 parte trasera de la rodilla izquierda, 17 aductor izquierdo, 18 aductor derecho</t>
  </si>
  <si>
    <t xml:space="preserve">Luis Ángel Malagón    </t>
  </si>
  <si>
    <t>José Raúl Zúñiga</t>
  </si>
  <si>
    <t>Luis Ángel Malagón</t>
  </si>
  <si>
    <t>Alexis Gutiérrez</t>
  </si>
  <si>
    <t>Brian Rodríguez</t>
  </si>
  <si>
    <t>Allan Saint-Maximin</t>
  </si>
  <si>
    <t>Sin dato (no puso RPE ayer)</t>
  </si>
  <si>
    <t>25 Cabeza</t>
  </si>
  <si>
    <t>3 rodilla derecha, 4 rodilla izquierda</t>
  </si>
  <si>
    <t>11 parte trasera de la rodilla izquierda</t>
  </si>
  <si>
    <t>23 gluteo derecho</t>
  </si>
  <si>
    <t>9 Isquiotibial izquierdo, 14 pantorrilla derecha, 15 espalda baja</t>
  </si>
  <si>
    <t>2 muslo derecho, 3 rodilla derecha</t>
  </si>
  <si>
    <t>9 Isquiotibial izquierdo, 19 hombro derecho</t>
  </si>
  <si>
    <t>Nada, 26 Estomago</t>
  </si>
  <si>
    <t>Nada, 15 espalda baja</t>
  </si>
  <si>
    <t>Rodrigo Dourado</t>
  </si>
  <si>
    <t>9 o mas</t>
  </si>
  <si>
    <t>5 o menos</t>
  </si>
  <si>
    <t>21 Plantas de los pies o empeine, 22 gluteo izquierdo</t>
  </si>
  <si>
    <t>Aaron Mejia</t>
  </si>
  <si>
    <t>Fernando Tapia</t>
  </si>
  <si>
    <t>Raphael Veiga</t>
  </si>
  <si>
    <t>13 pantorrilla izquierda, 14 pantorrilla derecha, 16 espalda</t>
  </si>
  <si>
    <t>15 espalda baja, 22 gluteo izquierdo</t>
  </si>
  <si>
    <t>4 rodilla izquierda, 21 Plantas de los pies o empeine</t>
  </si>
  <si>
    <t>10 isquiotibial derecho, 17 aductor izquierdo</t>
  </si>
  <si>
    <t>14 pantorrilla derecha, 15 espalda baja</t>
  </si>
  <si>
    <t>13 pantorrilla izquierda, 14 pantorrilla derecha, 15 espalda baja</t>
  </si>
  <si>
    <t>Vinícius Lima</t>
  </si>
  <si>
    <t>2 muslo derecho, 9 Isquiotibial izquierdo, 13 pantorrilla izquierda, 22 gluteo izquierdo</t>
  </si>
  <si>
    <t>Thiago Espinosa</t>
  </si>
  <si>
    <t>2 muslo derecho, 13 pantorrilla izquierda</t>
  </si>
  <si>
    <t>21 Plantas de los pies o empeine, 23 gluteo derecho</t>
  </si>
  <si>
    <t>Nada, 9 Isquiotibial izquierdo</t>
  </si>
  <si>
    <t>9 Isquiotibial izquierdo, 21 Plantas de los pies o empeine</t>
  </si>
  <si>
    <t>2 muslo derecho, 21 Plantas de los pies o empeine, 22 gluteo izquierdo</t>
  </si>
  <si>
    <t>9 Isquiotibial izquierdo, 17 aductor izquierdo, 18 aductor derecho</t>
  </si>
  <si>
    <t>11 parte trasera de la rodilla izquierda, 20 hombro izquierdo</t>
  </si>
  <si>
    <t>16 espalda, 21 Plantas de los pies o empeine, 22 gluteo izquierdo</t>
  </si>
  <si>
    <t>9 Isquiotibial izquierdo, 22 gluteo izquierdo, 23 gluteo derecho</t>
  </si>
  <si>
    <t>20 hombro izquierdo, 22 gluteo izquierdo</t>
  </si>
  <si>
    <t>20 hombro izquierdo, 21 Plantas de los pies o empeine, 22 gluteo izquierdo</t>
  </si>
  <si>
    <t>9 Isquiotibial izquierdo, 10 isquiotibial derecho, 21 Plantas de los pies o empeine</t>
  </si>
  <si>
    <t>2 muslo derecho, 23 gluteo derecho</t>
  </si>
  <si>
    <t>3 rodilla derecha, 21 Plantas de los pies o empeine</t>
  </si>
  <si>
    <t>10 isquiotibial derecho, 23 gluteo derecho</t>
  </si>
  <si>
    <t>Miguel Ramírez</t>
  </si>
  <si>
    <t>Esteban Lozano</t>
  </si>
  <si>
    <t>Emilio Lara</t>
  </si>
  <si>
    <t>Franco Rossano</t>
  </si>
  <si>
    <t>9 Isquiotibial izquierdo, 10 isquiotibial derecho, 18 aductor derecho, 19 hombro derecho</t>
  </si>
  <si>
    <t>Alejandro cardenas</t>
  </si>
  <si>
    <t>Guillermo cortes</t>
  </si>
  <si>
    <t>Diego arriaga</t>
  </si>
  <si>
    <t>Bedolla</t>
  </si>
  <si>
    <t>Ricardo gonzalez</t>
  </si>
  <si>
    <t>Adrian Fernandez</t>
  </si>
  <si>
    <t>Marioni</t>
  </si>
  <si>
    <t>21 Plantas de los pies o empeine, 26 Estomago</t>
  </si>
  <si>
    <t>13 pantorrilla izquierda, 20 hombro izquierdo</t>
  </si>
  <si>
    <t>14 pantorrilla derecha, 16 espalda</t>
  </si>
  <si>
    <t>11 parte trasera de la rodilla izquierda, 12 parte trasera de la rodilla derecha</t>
  </si>
  <si>
    <t>3 rodilla derecha, 10 isquiotibial derecho</t>
  </si>
  <si>
    <t>7 tobillo derecho, 14 pantorrilla derecha</t>
  </si>
  <si>
    <t>Ícaro da Conceicao</t>
  </si>
  <si>
    <t>Santiago Camarena</t>
  </si>
  <si>
    <t>Guillermo Cortéz</t>
  </si>
  <si>
    <t>Diego Arriaga</t>
  </si>
  <si>
    <t>Adrián Fernández</t>
  </si>
  <si>
    <t>8 tobillo izquierdo, 23 gluteo derecho</t>
  </si>
  <si>
    <t>Alejandro Cárdenas</t>
  </si>
  <si>
    <t>Ricardo González</t>
  </si>
  <si>
    <t>Andrés Marioni</t>
  </si>
  <si>
    <t>6 espinilla izquierda, 8 tobillo izquierdo</t>
  </si>
  <si>
    <t>2 muslo derecho, 8 tobillo izquierdo</t>
  </si>
  <si>
    <t>8 tobillo izquierdo, 26 Estomago</t>
  </si>
  <si>
    <t>Óscar Perea</t>
  </si>
  <si>
    <t>2 muslo derecho, 10 isquiotibial derecho</t>
  </si>
  <si>
    <t>Nazareth Lugo</t>
  </si>
  <si>
    <t>13 pantorrilla izquierda, 21 Plantas de los pies o empeine</t>
  </si>
  <si>
    <t>1 muslo izquierdo, 2 muslo derecho, 9 Isquiotibial izquierdo, 10 isquiotibial derecho, 17 aductor izquierdo, 18 aductor derecho</t>
  </si>
  <si>
    <t>3 rodilla derecha, 16 espalda</t>
  </si>
  <si>
    <t>Edwin Cerrillo</t>
  </si>
  <si>
    <t>Miguel Borja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</si>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</sst>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9" xfId="0" applyAlignment="1" applyFont="1" applyNumberForma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6104" displayName="Form_Responses1" name="Form_Responses1" id="1">
  <tableColumns count="15">
    <tableColumn name="Marca temporal" id="1"/>
    <tableColumn name="Fecha" id="2"/>
    <tableColumn name="Día de la Semana" id="3"/>
    <tableColumn name="Nombre" id="4"/>
    <tableColumn name="Nivel de Cansancio hoy (Fatiga)" id="5"/>
    <tableColumn name="Qué tal descansaste ayer?" id="6"/>
    <tableColumn name="Cuántas horas dormiste ayer? " id="7"/>
    <tableColumn name="Estás adolorido de alguna parte?" id="8"/>
    <tableColumn name="Donde te encuentras adolorido? Indica cada zona de dolor" id="9"/>
    <tableColumn name="Porcentaje de Recuperación" id="10"/>
    <tableColumn name="RPE Ayer" id="11"/>
    <tableColumn name="Columna 11" id="12"/>
    <tableColumn name="Columna 12" id="13"/>
    <tableColumn name="Key_imp" id="14"/>
    <tableColumn name="RPE_imp" id="1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hidden="1" min="2" max="2" width="18.88"/>
    <col customWidth="1" min="3" max="4" width="18.88"/>
    <col customWidth="1" min="5" max="5" width="28.25"/>
    <col customWidth="1" min="6" max="6" width="24.38"/>
    <col customWidth="1" min="7" max="7" width="27.38"/>
    <col customWidth="1" min="8" max="8" width="29.13"/>
    <col customWidth="1" min="9" max="9" width="37.63"/>
    <col customWidth="1" min="10" max="10" width="18.88"/>
    <col customWidth="1" min="11" max="11" width="27.0"/>
    <col customWidth="1" hidden="1" min="12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22.5" hidden="1" customHeight="1">
      <c r="A2" s="5">
        <v>45581.57217516204</v>
      </c>
      <c r="B2" s="6"/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 t="s">
        <v>17</v>
      </c>
      <c r="I2" s="6" t="s">
        <v>20</v>
      </c>
      <c r="J2" s="7"/>
      <c r="K2" s="7"/>
      <c r="L2" s="7"/>
      <c r="M2" s="7"/>
      <c r="N2" s="7"/>
      <c r="O2" s="7"/>
    </row>
    <row r="3" ht="22.5" hidden="1" customHeight="1">
      <c r="A3" s="5">
        <v>45581.5737646875</v>
      </c>
      <c r="B3" s="6"/>
      <c r="C3" s="6" t="s">
        <v>15</v>
      </c>
      <c r="D3" s="6" t="s">
        <v>21</v>
      </c>
      <c r="E3" s="6" t="s">
        <v>17</v>
      </c>
      <c r="F3" s="6" t="s">
        <v>18</v>
      </c>
      <c r="G3" s="6" t="s">
        <v>19</v>
      </c>
      <c r="H3" s="6" t="s">
        <v>22</v>
      </c>
      <c r="I3" s="6" t="s">
        <v>20</v>
      </c>
      <c r="J3" s="7"/>
      <c r="K3" s="7"/>
      <c r="L3" s="7"/>
      <c r="M3" s="7"/>
      <c r="N3" s="7"/>
      <c r="O3" s="7"/>
    </row>
    <row r="4" ht="22.5" hidden="1" customHeight="1">
      <c r="A4" s="5">
        <v>45581.576966134264</v>
      </c>
      <c r="B4" s="6"/>
      <c r="C4" s="6" t="s">
        <v>15</v>
      </c>
      <c r="D4" s="6" t="s">
        <v>23</v>
      </c>
      <c r="E4" s="6" t="s">
        <v>17</v>
      </c>
      <c r="F4" s="6" t="s">
        <v>17</v>
      </c>
      <c r="G4" s="6" t="s">
        <v>24</v>
      </c>
      <c r="H4" s="6" t="s">
        <v>25</v>
      </c>
      <c r="I4" s="6" t="s">
        <v>26</v>
      </c>
      <c r="J4" s="7"/>
      <c r="K4" s="7"/>
      <c r="L4" s="7"/>
      <c r="M4" s="7"/>
      <c r="N4" s="7"/>
      <c r="O4" s="7"/>
    </row>
    <row r="5" ht="22.5" hidden="1" customHeight="1">
      <c r="A5" s="5">
        <v>45581.60119568287</v>
      </c>
      <c r="B5" s="6"/>
      <c r="C5" s="6" t="s">
        <v>15</v>
      </c>
      <c r="D5" s="6" t="s">
        <v>27</v>
      </c>
      <c r="E5" s="6" t="s">
        <v>17</v>
      </c>
      <c r="F5" s="6" t="s">
        <v>17</v>
      </c>
      <c r="G5" s="6" t="s">
        <v>24</v>
      </c>
      <c r="H5" s="6" t="s">
        <v>17</v>
      </c>
      <c r="I5" s="6" t="s">
        <v>28</v>
      </c>
      <c r="J5" s="7"/>
      <c r="K5" s="7"/>
      <c r="L5" s="7"/>
      <c r="M5" s="7"/>
      <c r="N5" s="7"/>
      <c r="O5" s="7"/>
    </row>
    <row r="6" ht="22.5" hidden="1" customHeight="1">
      <c r="A6" s="5">
        <v>45581.627597858795</v>
      </c>
      <c r="B6" s="6"/>
      <c r="C6" s="6" t="s">
        <v>15</v>
      </c>
      <c r="D6" s="6" t="s">
        <v>29</v>
      </c>
      <c r="E6" s="6" t="s">
        <v>30</v>
      </c>
      <c r="F6" s="6" t="s">
        <v>17</v>
      </c>
      <c r="G6" s="6" t="s">
        <v>19</v>
      </c>
      <c r="H6" s="6" t="s">
        <v>22</v>
      </c>
      <c r="I6" s="6" t="s">
        <v>20</v>
      </c>
      <c r="J6" s="7"/>
      <c r="K6" s="7"/>
      <c r="L6" s="7"/>
      <c r="M6" s="7"/>
      <c r="N6" s="7"/>
      <c r="O6" s="7"/>
    </row>
    <row r="7" ht="22.5" hidden="1" customHeight="1">
      <c r="A7" s="8">
        <v>45582.34111016204</v>
      </c>
      <c r="B7" s="9"/>
      <c r="C7" s="9" t="s">
        <v>31</v>
      </c>
      <c r="D7" s="9" t="s">
        <v>32</v>
      </c>
      <c r="E7" s="9" t="s">
        <v>17</v>
      </c>
      <c r="F7" s="9" t="s">
        <v>18</v>
      </c>
      <c r="G7" s="9" t="s">
        <v>24</v>
      </c>
      <c r="H7" s="9" t="s">
        <v>17</v>
      </c>
      <c r="I7" s="9" t="s">
        <v>20</v>
      </c>
      <c r="J7" s="10"/>
      <c r="K7" s="7"/>
      <c r="L7" s="7"/>
      <c r="M7" s="7"/>
      <c r="N7" s="7"/>
      <c r="O7" s="7"/>
    </row>
    <row r="8" ht="22.5" hidden="1" customHeight="1">
      <c r="A8" s="8">
        <v>45582.34593310185</v>
      </c>
      <c r="B8" s="9"/>
      <c r="C8" s="9" t="s">
        <v>31</v>
      </c>
      <c r="D8" s="9" t="s">
        <v>33</v>
      </c>
      <c r="E8" s="9" t="s">
        <v>17</v>
      </c>
      <c r="F8" s="9" t="s">
        <v>17</v>
      </c>
      <c r="G8" s="9" t="s">
        <v>24</v>
      </c>
      <c r="H8" s="9" t="s">
        <v>17</v>
      </c>
      <c r="I8" s="9" t="s">
        <v>34</v>
      </c>
      <c r="J8" s="10"/>
      <c r="K8" s="7"/>
      <c r="L8" s="7"/>
      <c r="M8" s="7"/>
      <c r="N8" s="7"/>
      <c r="O8" s="7"/>
    </row>
    <row r="9" ht="22.5" hidden="1" customHeight="1">
      <c r="A9" s="8">
        <v>45582.34993578704</v>
      </c>
      <c r="B9" s="9"/>
      <c r="C9" s="9" t="s">
        <v>31</v>
      </c>
      <c r="D9" s="9" t="s">
        <v>27</v>
      </c>
      <c r="E9" s="9" t="s">
        <v>17</v>
      </c>
      <c r="F9" s="9" t="s">
        <v>35</v>
      </c>
      <c r="G9" s="9" t="s">
        <v>24</v>
      </c>
      <c r="H9" s="9" t="s">
        <v>17</v>
      </c>
      <c r="I9" s="9" t="s">
        <v>28</v>
      </c>
      <c r="J9" s="10"/>
      <c r="K9" s="7"/>
      <c r="L9" s="7"/>
      <c r="M9" s="7"/>
      <c r="N9" s="7"/>
      <c r="O9" s="7"/>
    </row>
    <row r="10" ht="22.5" hidden="1" customHeight="1">
      <c r="A10" s="8">
        <v>45582.35840938658</v>
      </c>
      <c r="B10" s="9"/>
      <c r="C10" s="9" t="s">
        <v>31</v>
      </c>
      <c r="D10" s="9" t="s">
        <v>36</v>
      </c>
      <c r="E10" s="9" t="s">
        <v>17</v>
      </c>
      <c r="F10" s="9" t="s">
        <v>18</v>
      </c>
      <c r="G10" s="9" t="s">
        <v>19</v>
      </c>
      <c r="H10" s="9" t="s">
        <v>17</v>
      </c>
      <c r="I10" s="9" t="s">
        <v>37</v>
      </c>
      <c r="J10" s="10"/>
      <c r="K10" s="7"/>
      <c r="L10" s="7"/>
      <c r="M10" s="7"/>
      <c r="N10" s="7"/>
      <c r="O10" s="7"/>
    </row>
    <row r="11" ht="22.5" hidden="1" customHeight="1">
      <c r="A11" s="8">
        <v>45582.37552732639</v>
      </c>
      <c r="B11" s="9"/>
      <c r="C11" s="9" t="s">
        <v>31</v>
      </c>
      <c r="D11" s="9" t="s">
        <v>38</v>
      </c>
      <c r="E11" s="9" t="s">
        <v>17</v>
      </c>
      <c r="F11" s="9" t="s">
        <v>39</v>
      </c>
      <c r="G11" s="9" t="s">
        <v>40</v>
      </c>
      <c r="H11" s="9" t="s">
        <v>17</v>
      </c>
      <c r="I11" s="9" t="s">
        <v>41</v>
      </c>
      <c r="J11" s="10"/>
      <c r="K11" s="7"/>
      <c r="L11" s="7"/>
      <c r="M11" s="7"/>
      <c r="N11" s="7"/>
      <c r="O11" s="7"/>
    </row>
    <row r="12" ht="22.5" hidden="1" customHeight="1">
      <c r="A12" s="8">
        <v>45582.378168449075</v>
      </c>
      <c r="B12" s="9"/>
      <c r="C12" s="9" t="s">
        <v>31</v>
      </c>
      <c r="D12" s="9" t="s">
        <v>42</v>
      </c>
      <c r="E12" s="9" t="s">
        <v>17</v>
      </c>
      <c r="F12" s="9" t="s">
        <v>43</v>
      </c>
      <c r="G12" s="9" t="s">
        <v>24</v>
      </c>
      <c r="H12" s="9" t="s">
        <v>17</v>
      </c>
      <c r="I12" s="9" t="s">
        <v>20</v>
      </c>
      <c r="J12" s="10"/>
      <c r="K12" s="7"/>
      <c r="L12" s="7"/>
      <c r="M12" s="7"/>
      <c r="N12" s="7"/>
      <c r="O12" s="7"/>
    </row>
    <row r="13" ht="22.5" hidden="1" customHeight="1">
      <c r="A13" s="8">
        <v>45582.38918092592</v>
      </c>
      <c r="B13" s="9"/>
      <c r="C13" s="9" t="s">
        <v>31</v>
      </c>
      <c r="D13" s="9" t="s">
        <v>29</v>
      </c>
      <c r="E13" s="9" t="s">
        <v>44</v>
      </c>
      <c r="F13" s="9" t="s">
        <v>17</v>
      </c>
      <c r="G13" s="9" t="s">
        <v>24</v>
      </c>
      <c r="H13" s="9" t="s">
        <v>17</v>
      </c>
      <c r="I13" s="9" t="s">
        <v>20</v>
      </c>
      <c r="J13" s="10"/>
      <c r="K13" s="7"/>
      <c r="L13" s="7"/>
      <c r="M13" s="7"/>
      <c r="N13" s="7"/>
      <c r="O13" s="7"/>
    </row>
    <row r="14" ht="22.5" hidden="1" customHeight="1">
      <c r="A14" s="8">
        <v>45582.38980260417</v>
      </c>
      <c r="B14" s="9"/>
      <c r="C14" s="9" t="s">
        <v>31</v>
      </c>
      <c r="D14" s="9" t="s">
        <v>45</v>
      </c>
      <c r="E14" s="9" t="s">
        <v>46</v>
      </c>
      <c r="F14" s="9" t="s">
        <v>17</v>
      </c>
      <c r="G14" s="9" t="s">
        <v>24</v>
      </c>
      <c r="H14" s="9" t="s">
        <v>25</v>
      </c>
      <c r="I14" s="9" t="s">
        <v>47</v>
      </c>
      <c r="J14" s="10"/>
      <c r="K14" s="7"/>
      <c r="L14" s="7"/>
      <c r="M14" s="7"/>
      <c r="N14" s="7"/>
      <c r="O14" s="7"/>
    </row>
    <row r="15" ht="22.5" hidden="1" customHeight="1">
      <c r="A15" s="8">
        <v>45583.34594050926</v>
      </c>
      <c r="B15" s="9"/>
      <c r="C15" s="9" t="s">
        <v>48</v>
      </c>
      <c r="D15" s="9" t="s">
        <v>49</v>
      </c>
      <c r="E15" s="9" t="s">
        <v>17</v>
      </c>
      <c r="F15" s="9" t="s">
        <v>35</v>
      </c>
      <c r="G15" s="9" t="s">
        <v>19</v>
      </c>
      <c r="H15" s="9" t="s">
        <v>17</v>
      </c>
      <c r="I15" s="9" t="s">
        <v>20</v>
      </c>
      <c r="J15" s="10"/>
      <c r="K15" s="7"/>
      <c r="L15" s="7"/>
      <c r="M15" s="7"/>
      <c r="N15" s="7"/>
      <c r="O15" s="7"/>
    </row>
    <row r="16" ht="22.5" hidden="1" customHeight="1">
      <c r="A16" s="8">
        <v>45583.353412048615</v>
      </c>
      <c r="B16" s="9"/>
      <c r="C16" s="9" t="s">
        <v>48</v>
      </c>
      <c r="D16" s="9" t="s">
        <v>38</v>
      </c>
      <c r="E16" s="9" t="s">
        <v>44</v>
      </c>
      <c r="F16" s="9" t="s">
        <v>35</v>
      </c>
      <c r="G16" s="9" t="s">
        <v>19</v>
      </c>
      <c r="H16" s="9" t="s">
        <v>17</v>
      </c>
      <c r="I16" s="9" t="s">
        <v>20</v>
      </c>
      <c r="J16" s="10"/>
      <c r="K16" s="7"/>
      <c r="L16" s="7"/>
      <c r="M16" s="7"/>
      <c r="N16" s="7"/>
      <c r="O16" s="7"/>
    </row>
    <row r="17" ht="22.5" hidden="1" customHeight="1">
      <c r="A17" s="8">
        <v>45583.35421928241</v>
      </c>
      <c r="B17" s="9"/>
      <c r="C17" s="9" t="s">
        <v>48</v>
      </c>
      <c r="D17" s="9" t="s">
        <v>32</v>
      </c>
      <c r="E17" s="9" t="s">
        <v>17</v>
      </c>
      <c r="F17" s="9" t="s">
        <v>18</v>
      </c>
      <c r="G17" s="9" t="s">
        <v>24</v>
      </c>
      <c r="H17" s="9" t="s">
        <v>17</v>
      </c>
      <c r="I17" s="9" t="s">
        <v>50</v>
      </c>
      <c r="J17" s="10"/>
      <c r="K17" s="7"/>
      <c r="L17" s="7"/>
      <c r="M17" s="7"/>
      <c r="N17" s="7"/>
      <c r="O17" s="7"/>
    </row>
    <row r="18" ht="22.5" hidden="1" customHeight="1">
      <c r="A18" s="8">
        <v>45583.36000421296</v>
      </c>
      <c r="B18" s="9"/>
      <c r="C18" s="9" t="s">
        <v>48</v>
      </c>
      <c r="D18" s="9" t="s">
        <v>27</v>
      </c>
      <c r="E18" s="9" t="s">
        <v>17</v>
      </c>
      <c r="F18" s="9" t="s">
        <v>35</v>
      </c>
      <c r="G18" s="9" t="s">
        <v>19</v>
      </c>
      <c r="H18" s="9" t="s">
        <v>17</v>
      </c>
      <c r="I18" s="9" t="s">
        <v>28</v>
      </c>
      <c r="J18" s="10"/>
      <c r="K18" s="7"/>
      <c r="L18" s="7"/>
      <c r="M18" s="7"/>
      <c r="N18" s="7"/>
      <c r="O18" s="7"/>
    </row>
    <row r="19" ht="22.5" hidden="1" customHeight="1">
      <c r="A19" s="8">
        <v>45583.37664377315</v>
      </c>
      <c r="B19" s="9"/>
      <c r="C19" s="9" t="s">
        <v>48</v>
      </c>
      <c r="D19" s="9" t="s">
        <v>51</v>
      </c>
      <c r="E19" s="9" t="s">
        <v>30</v>
      </c>
      <c r="F19" s="9" t="s">
        <v>43</v>
      </c>
      <c r="G19" s="9" t="s">
        <v>19</v>
      </c>
      <c r="H19" s="9" t="s">
        <v>17</v>
      </c>
      <c r="I19" s="9" t="s">
        <v>37</v>
      </c>
      <c r="J19" s="10"/>
      <c r="K19" s="7"/>
      <c r="L19" s="7"/>
      <c r="M19" s="7"/>
      <c r="N19" s="7"/>
      <c r="O19" s="7"/>
    </row>
    <row r="20" ht="22.5" hidden="1" customHeight="1">
      <c r="A20" s="8">
        <v>45583.38565956018</v>
      </c>
      <c r="B20" s="9"/>
      <c r="C20" s="9" t="s">
        <v>48</v>
      </c>
      <c r="D20" s="9" t="s">
        <v>29</v>
      </c>
      <c r="E20" s="9" t="s">
        <v>17</v>
      </c>
      <c r="F20" s="9" t="s">
        <v>17</v>
      </c>
      <c r="G20" s="9" t="s">
        <v>19</v>
      </c>
      <c r="H20" s="9" t="s">
        <v>17</v>
      </c>
      <c r="I20" s="9" t="s">
        <v>52</v>
      </c>
      <c r="J20" s="10"/>
      <c r="K20" s="7"/>
      <c r="L20" s="7"/>
      <c r="M20" s="7"/>
      <c r="N20" s="7"/>
      <c r="O20" s="7"/>
    </row>
    <row r="21" ht="22.5" hidden="1" customHeight="1">
      <c r="A21" s="8">
        <v>45584.432516782406</v>
      </c>
      <c r="B21" s="9"/>
      <c r="C21" s="9" t="s">
        <v>53</v>
      </c>
      <c r="D21" s="9" t="s">
        <v>54</v>
      </c>
      <c r="E21" s="9" t="s">
        <v>30</v>
      </c>
      <c r="F21" s="9" t="s">
        <v>18</v>
      </c>
      <c r="G21" s="9" t="s">
        <v>19</v>
      </c>
      <c r="H21" s="9" t="s">
        <v>17</v>
      </c>
      <c r="I21" s="9" t="s">
        <v>20</v>
      </c>
      <c r="J21" s="10"/>
      <c r="K21" s="7"/>
      <c r="L21" s="7"/>
      <c r="M21" s="7"/>
      <c r="N21" s="7"/>
      <c r="O21" s="7"/>
    </row>
    <row r="22" ht="22.5" hidden="1" customHeight="1">
      <c r="A22" s="8">
        <v>45584.438078935185</v>
      </c>
      <c r="B22" s="9"/>
      <c r="C22" s="9" t="s">
        <v>53</v>
      </c>
      <c r="D22" s="9" t="s">
        <v>55</v>
      </c>
      <c r="E22" s="9" t="s">
        <v>44</v>
      </c>
      <c r="F22" s="9" t="s">
        <v>35</v>
      </c>
      <c r="G22" s="9" t="s">
        <v>19</v>
      </c>
      <c r="H22" s="9" t="s">
        <v>17</v>
      </c>
      <c r="I22" s="9" t="s">
        <v>20</v>
      </c>
      <c r="J22" s="10"/>
      <c r="K22" s="7"/>
      <c r="L22" s="7"/>
      <c r="M22" s="7"/>
      <c r="N22" s="7"/>
      <c r="O22" s="7"/>
    </row>
    <row r="23" ht="22.5" hidden="1" customHeight="1">
      <c r="A23" s="8">
        <v>45584.45605356482</v>
      </c>
      <c r="B23" s="9"/>
      <c r="C23" s="9" t="s">
        <v>53</v>
      </c>
      <c r="D23" s="9" t="s">
        <v>27</v>
      </c>
      <c r="E23" s="9" t="s">
        <v>44</v>
      </c>
      <c r="F23" s="9" t="s">
        <v>35</v>
      </c>
      <c r="G23" s="9" t="s">
        <v>19</v>
      </c>
      <c r="H23" s="9" t="s">
        <v>17</v>
      </c>
      <c r="I23" s="9" t="s">
        <v>20</v>
      </c>
      <c r="J23" s="10"/>
      <c r="K23" s="7"/>
      <c r="L23" s="7"/>
      <c r="M23" s="7"/>
      <c r="N23" s="7"/>
      <c r="O23" s="7"/>
    </row>
    <row r="24" ht="22.5" hidden="1" customHeight="1">
      <c r="A24" s="8">
        <v>45584.50254855324</v>
      </c>
      <c r="B24" s="9"/>
      <c r="C24" s="9" t="s">
        <v>53</v>
      </c>
      <c r="D24" s="9" t="s">
        <v>32</v>
      </c>
      <c r="E24" s="9" t="s">
        <v>30</v>
      </c>
      <c r="F24" s="9" t="s">
        <v>18</v>
      </c>
      <c r="G24" s="9" t="s">
        <v>19</v>
      </c>
      <c r="H24" s="9" t="s">
        <v>17</v>
      </c>
      <c r="I24" s="9" t="s">
        <v>20</v>
      </c>
      <c r="J24" s="10"/>
      <c r="K24" s="7"/>
      <c r="L24" s="7"/>
      <c r="M24" s="7"/>
      <c r="N24" s="7"/>
      <c r="O24" s="7"/>
    </row>
    <row r="25" ht="22.5" hidden="1" customHeight="1">
      <c r="A25" s="8">
        <v>45584.51675456019</v>
      </c>
      <c r="B25" s="9"/>
      <c r="C25" s="9" t="s">
        <v>53</v>
      </c>
      <c r="D25" s="9" t="s">
        <v>56</v>
      </c>
      <c r="E25" s="9" t="s">
        <v>57</v>
      </c>
      <c r="F25" s="9" t="s">
        <v>43</v>
      </c>
      <c r="G25" s="9" t="s">
        <v>19</v>
      </c>
      <c r="H25" s="9" t="s">
        <v>22</v>
      </c>
      <c r="I25" s="9" t="s">
        <v>20</v>
      </c>
      <c r="J25" s="10"/>
      <c r="K25" s="7"/>
      <c r="L25" s="7"/>
      <c r="M25" s="7"/>
      <c r="N25" s="7"/>
      <c r="O25" s="7"/>
    </row>
    <row r="26" ht="22.5" hidden="1" customHeight="1">
      <c r="A26" s="8">
        <v>45585.377551631944</v>
      </c>
      <c r="B26" s="9"/>
      <c r="C26" s="9" t="s">
        <v>58</v>
      </c>
      <c r="D26" s="9" t="s">
        <v>49</v>
      </c>
      <c r="E26" s="9" t="s">
        <v>17</v>
      </c>
      <c r="F26" s="9" t="s">
        <v>17</v>
      </c>
      <c r="G26" s="9" t="s">
        <v>24</v>
      </c>
      <c r="H26" s="9" t="s">
        <v>17</v>
      </c>
      <c r="I26" s="9" t="s">
        <v>20</v>
      </c>
      <c r="J26" s="10"/>
      <c r="K26" s="7"/>
      <c r="L26" s="7"/>
      <c r="M26" s="7"/>
      <c r="N26" s="7"/>
      <c r="O26" s="7"/>
    </row>
    <row r="27" ht="22.5" hidden="1" customHeight="1">
      <c r="A27" s="8">
        <v>45585.37913736111</v>
      </c>
      <c r="B27" s="9"/>
      <c r="C27" s="9" t="s">
        <v>58</v>
      </c>
      <c r="D27" s="9" t="s">
        <v>42</v>
      </c>
      <c r="E27" s="9" t="s">
        <v>30</v>
      </c>
      <c r="F27" s="9" t="s">
        <v>18</v>
      </c>
      <c r="G27" s="9" t="s">
        <v>24</v>
      </c>
      <c r="H27" s="9" t="s">
        <v>17</v>
      </c>
      <c r="I27" s="9" t="s">
        <v>20</v>
      </c>
      <c r="J27" s="10"/>
      <c r="K27" s="7"/>
      <c r="L27" s="7"/>
      <c r="M27" s="7"/>
      <c r="N27" s="7"/>
      <c r="O27" s="7"/>
    </row>
    <row r="28" ht="22.5" hidden="1" customHeight="1">
      <c r="A28" s="8">
        <v>45585.38090021991</v>
      </c>
      <c r="B28" s="9"/>
      <c r="C28" s="9" t="s">
        <v>58</v>
      </c>
      <c r="D28" s="9" t="s">
        <v>27</v>
      </c>
      <c r="E28" s="9" t="s">
        <v>17</v>
      </c>
      <c r="F28" s="9" t="s">
        <v>17</v>
      </c>
      <c r="G28" s="9" t="s">
        <v>24</v>
      </c>
      <c r="H28" s="9" t="s">
        <v>17</v>
      </c>
      <c r="I28" s="9" t="s">
        <v>20</v>
      </c>
      <c r="J28" s="10"/>
      <c r="K28" s="7"/>
      <c r="L28" s="7"/>
      <c r="M28" s="7"/>
      <c r="N28" s="7"/>
      <c r="O28" s="7"/>
    </row>
    <row r="29" ht="22.5" hidden="1" customHeight="1">
      <c r="A29" s="8">
        <v>45585.38283324074</v>
      </c>
      <c r="B29" s="9"/>
      <c r="C29" s="9" t="s">
        <v>58</v>
      </c>
      <c r="D29" s="9" t="s">
        <v>59</v>
      </c>
      <c r="E29" s="9" t="s">
        <v>17</v>
      </c>
      <c r="F29" s="9" t="s">
        <v>60</v>
      </c>
      <c r="G29" s="9" t="s">
        <v>24</v>
      </c>
      <c r="H29" s="9" t="s">
        <v>22</v>
      </c>
      <c r="I29" s="9" t="s">
        <v>20</v>
      </c>
      <c r="J29" s="10"/>
      <c r="K29" s="7"/>
      <c r="L29" s="7"/>
      <c r="M29" s="7"/>
      <c r="N29" s="7"/>
      <c r="O29" s="7"/>
    </row>
    <row r="30" ht="22.5" hidden="1" customHeight="1">
      <c r="A30" s="8">
        <v>45585.391995115744</v>
      </c>
      <c r="B30" s="9"/>
      <c r="C30" s="9" t="s">
        <v>58</v>
      </c>
      <c r="D30" s="9" t="s">
        <v>32</v>
      </c>
      <c r="E30" s="9" t="s">
        <v>30</v>
      </c>
      <c r="F30" s="9" t="s">
        <v>18</v>
      </c>
      <c r="G30" s="9" t="s">
        <v>24</v>
      </c>
      <c r="H30" s="9" t="s">
        <v>22</v>
      </c>
      <c r="I30" s="9" t="s">
        <v>20</v>
      </c>
      <c r="J30" s="10"/>
      <c r="K30" s="7"/>
      <c r="L30" s="7"/>
      <c r="M30" s="7"/>
      <c r="N30" s="7"/>
      <c r="O30" s="7"/>
    </row>
    <row r="31" ht="22.5" hidden="1" customHeight="1">
      <c r="A31" s="8">
        <v>45585.39247329861</v>
      </c>
      <c r="B31" s="9"/>
      <c r="C31" s="9" t="s">
        <v>58</v>
      </c>
      <c r="D31" s="9" t="s">
        <v>56</v>
      </c>
      <c r="E31" s="9" t="s">
        <v>17</v>
      </c>
      <c r="F31" s="9" t="s">
        <v>18</v>
      </c>
      <c r="G31" s="9" t="s">
        <v>24</v>
      </c>
      <c r="H31" s="9" t="s">
        <v>17</v>
      </c>
      <c r="I31" s="9" t="s">
        <v>20</v>
      </c>
      <c r="J31" s="10"/>
      <c r="K31" s="7"/>
      <c r="L31" s="7"/>
      <c r="M31" s="7"/>
      <c r="N31" s="7"/>
      <c r="O31" s="7"/>
    </row>
    <row r="32" ht="22.5" hidden="1" customHeight="1">
      <c r="A32" s="8">
        <v>45585.403816631944</v>
      </c>
      <c r="B32" s="9"/>
      <c r="C32" s="9" t="s">
        <v>58</v>
      </c>
      <c r="D32" s="9" t="s">
        <v>29</v>
      </c>
      <c r="E32" s="9" t="s">
        <v>61</v>
      </c>
      <c r="F32" s="9" t="s">
        <v>17</v>
      </c>
      <c r="G32" s="9" t="s">
        <v>24</v>
      </c>
      <c r="H32" s="9" t="s">
        <v>62</v>
      </c>
      <c r="I32" s="9" t="s">
        <v>63</v>
      </c>
      <c r="J32" s="10"/>
      <c r="K32" s="7"/>
      <c r="L32" s="7"/>
      <c r="M32" s="7"/>
      <c r="N32" s="7"/>
      <c r="O32" s="7"/>
    </row>
    <row r="33" ht="22.5" hidden="1" customHeight="1">
      <c r="A33" s="8">
        <v>45585.424723171294</v>
      </c>
      <c r="B33" s="9"/>
      <c r="C33" s="9" t="s">
        <v>58</v>
      </c>
      <c r="D33" s="9" t="s">
        <v>64</v>
      </c>
      <c r="E33" s="9" t="s">
        <v>17</v>
      </c>
      <c r="F33" s="9" t="s">
        <v>18</v>
      </c>
      <c r="G33" s="9" t="s">
        <v>24</v>
      </c>
      <c r="H33" s="9" t="s">
        <v>17</v>
      </c>
      <c r="I33" s="9" t="s">
        <v>20</v>
      </c>
      <c r="J33" s="10"/>
      <c r="K33" s="7"/>
      <c r="L33" s="7"/>
      <c r="M33" s="7"/>
      <c r="N33" s="7"/>
      <c r="O33" s="7"/>
    </row>
    <row r="34" ht="22.5" hidden="1" customHeight="1">
      <c r="A34" s="8">
        <v>45585.42581881944</v>
      </c>
      <c r="B34" s="9"/>
      <c r="C34" s="9" t="s">
        <v>58</v>
      </c>
      <c r="D34" s="9" t="s">
        <v>65</v>
      </c>
      <c r="E34" s="9" t="s">
        <v>17</v>
      </c>
      <c r="F34" s="9" t="s">
        <v>60</v>
      </c>
      <c r="G34" s="9" t="s">
        <v>40</v>
      </c>
      <c r="H34" s="9" t="s">
        <v>22</v>
      </c>
      <c r="I34" s="9" t="s">
        <v>20</v>
      </c>
      <c r="J34" s="10"/>
      <c r="K34" s="7"/>
      <c r="L34" s="7"/>
      <c r="M34" s="7"/>
      <c r="N34" s="7"/>
      <c r="O34" s="7"/>
    </row>
    <row r="35" ht="22.5" hidden="1" customHeight="1">
      <c r="A35" s="8">
        <v>45585.42700299769</v>
      </c>
      <c r="B35" s="9"/>
      <c r="C35" s="9" t="s">
        <v>58</v>
      </c>
      <c r="D35" s="9" t="s">
        <v>66</v>
      </c>
      <c r="E35" s="9" t="s">
        <v>61</v>
      </c>
      <c r="F35" s="9" t="s">
        <v>35</v>
      </c>
      <c r="G35" s="9" t="s">
        <v>24</v>
      </c>
      <c r="H35" s="9" t="s">
        <v>17</v>
      </c>
      <c r="I35" s="9" t="s">
        <v>67</v>
      </c>
      <c r="J35" s="10"/>
      <c r="K35" s="7"/>
      <c r="L35" s="7"/>
      <c r="M35" s="7"/>
      <c r="N35" s="7"/>
      <c r="O35" s="7"/>
    </row>
    <row r="36" ht="22.5" hidden="1" customHeight="1">
      <c r="A36" s="8">
        <v>45585.42814400463</v>
      </c>
      <c r="B36" s="9"/>
      <c r="C36" s="9" t="s">
        <v>58</v>
      </c>
      <c r="D36" s="9" t="s">
        <v>68</v>
      </c>
      <c r="E36" s="9" t="s">
        <v>17</v>
      </c>
      <c r="F36" s="9" t="s">
        <v>39</v>
      </c>
      <c r="G36" s="9" t="s">
        <v>24</v>
      </c>
      <c r="H36" s="9" t="s">
        <v>17</v>
      </c>
      <c r="I36" s="9" t="s">
        <v>20</v>
      </c>
      <c r="J36" s="10"/>
      <c r="K36" s="7"/>
      <c r="L36" s="7"/>
      <c r="M36" s="7"/>
      <c r="N36" s="7"/>
      <c r="O36" s="7"/>
    </row>
    <row r="37" ht="22.5" hidden="1" customHeight="1">
      <c r="A37" s="8">
        <v>45585.42926690972</v>
      </c>
      <c r="B37" s="9"/>
      <c r="C37" s="9" t="s">
        <v>58</v>
      </c>
      <c r="D37" s="9" t="s">
        <v>69</v>
      </c>
      <c r="E37" s="9" t="s">
        <v>46</v>
      </c>
      <c r="F37" s="9" t="s">
        <v>17</v>
      </c>
      <c r="G37" s="9" t="s">
        <v>24</v>
      </c>
      <c r="H37" s="9" t="s">
        <v>25</v>
      </c>
      <c r="I37" s="9" t="s">
        <v>70</v>
      </c>
      <c r="J37" s="10"/>
      <c r="K37" s="7"/>
      <c r="L37" s="7"/>
      <c r="M37" s="7"/>
      <c r="N37" s="7"/>
      <c r="O37" s="7"/>
    </row>
    <row r="38" ht="22.5" hidden="1" customHeight="1">
      <c r="A38" s="8">
        <v>45585.43010907408</v>
      </c>
      <c r="B38" s="9"/>
      <c r="C38" s="9" t="s">
        <v>58</v>
      </c>
      <c r="D38" s="9" t="s">
        <v>71</v>
      </c>
      <c r="E38" s="9" t="s">
        <v>61</v>
      </c>
      <c r="F38" s="9" t="s">
        <v>17</v>
      </c>
      <c r="G38" s="9" t="s">
        <v>40</v>
      </c>
      <c r="H38" s="9" t="s">
        <v>25</v>
      </c>
      <c r="I38" s="9" t="s">
        <v>34</v>
      </c>
      <c r="J38" s="10"/>
      <c r="K38" s="7"/>
      <c r="L38" s="7"/>
      <c r="M38" s="7"/>
      <c r="N38" s="7"/>
      <c r="O38" s="7"/>
    </row>
    <row r="39" ht="22.5" hidden="1" customHeight="1">
      <c r="A39" s="8">
        <v>45585.43188858796</v>
      </c>
      <c r="B39" s="9"/>
      <c r="C39" s="9" t="s">
        <v>58</v>
      </c>
      <c r="D39" s="9" t="s">
        <v>72</v>
      </c>
      <c r="E39" s="9" t="s">
        <v>46</v>
      </c>
      <c r="F39" s="9" t="s">
        <v>60</v>
      </c>
      <c r="G39" s="9" t="s">
        <v>40</v>
      </c>
      <c r="H39" s="9" t="s">
        <v>17</v>
      </c>
      <c r="I39" s="9" t="s">
        <v>73</v>
      </c>
      <c r="J39" s="10"/>
      <c r="K39" s="7"/>
      <c r="L39" s="7"/>
      <c r="M39" s="7"/>
      <c r="N39" s="7"/>
      <c r="O39" s="7"/>
    </row>
    <row r="40" ht="22.5" hidden="1" customHeight="1">
      <c r="A40" s="8">
        <v>45585.43355494213</v>
      </c>
      <c r="B40" s="9"/>
      <c r="C40" s="9" t="s">
        <v>58</v>
      </c>
      <c r="D40" s="9" t="s">
        <v>74</v>
      </c>
      <c r="E40" s="9" t="s">
        <v>17</v>
      </c>
      <c r="F40" s="9" t="s">
        <v>35</v>
      </c>
      <c r="G40" s="9" t="s">
        <v>40</v>
      </c>
      <c r="H40" s="9" t="s">
        <v>22</v>
      </c>
      <c r="I40" s="9" t="s">
        <v>20</v>
      </c>
      <c r="J40" s="10"/>
      <c r="K40" s="7"/>
      <c r="L40" s="7"/>
      <c r="M40" s="7"/>
      <c r="N40" s="7"/>
      <c r="O40" s="7"/>
    </row>
    <row r="41" ht="22.5" hidden="1" customHeight="1">
      <c r="A41" s="8">
        <v>45585.434864375</v>
      </c>
      <c r="B41" s="9"/>
      <c r="C41" s="9" t="s">
        <v>58</v>
      </c>
      <c r="D41" s="9" t="s">
        <v>75</v>
      </c>
      <c r="E41" s="9" t="s">
        <v>30</v>
      </c>
      <c r="F41" s="9" t="s">
        <v>43</v>
      </c>
      <c r="G41" s="9" t="s">
        <v>24</v>
      </c>
      <c r="H41" s="9" t="s">
        <v>22</v>
      </c>
      <c r="I41" s="9" t="s">
        <v>20</v>
      </c>
      <c r="J41" s="10"/>
      <c r="K41" s="7"/>
      <c r="L41" s="7"/>
      <c r="M41" s="7"/>
      <c r="N41" s="7"/>
      <c r="O41" s="7"/>
    </row>
    <row r="42" ht="22.5" hidden="1" customHeight="1">
      <c r="A42" s="8">
        <v>45585.43655554398</v>
      </c>
      <c r="B42" s="9"/>
      <c r="C42" s="9" t="s">
        <v>58</v>
      </c>
      <c r="D42" s="9" t="s">
        <v>76</v>
      </c>
      <c r="E42" s="9" t="s">
        <v>30</v>
      </c>
      <c r="F42" s="9" t="s">
        <v>77</v>
      </c>
      <c r="G42" s="9" t="s">
        <v>40</v>
      </c>
      <c r="H42" s="9" t="s">
        <v>22</v>
      </c>
      <c r="I42" s="9" t="s">
        <v>20</v>
      </c>
      <c r="J42" s="10"/>
      <c r="K42" s="7"/>
      <c r="L42" s="7"/>
      <c r="M42" s="7"/>
      <c r="N42" s="7"/>
      <c r="O42" s="7"/>
    </row>
    <row r="43" ht="22.5" hidden="1" customHeight="1">
      <c r="A43" s="8">
        <v>45585.437452592596</v>
      </c>
      <c r="B43" s="9"/>
      <c r="C43" s="9" t="s">
        <v>58</v>
      </c>
      <c r="D43" s="9" t="s">
        <v>78</v>
      </c>
      <c r="E43" s="9" t="s">
        <v>17</v>
      </c>
      <c r="F43" s="9" t="s">
        <v>17</v>
      </c>
      <c r="G43" s="9" t="s">
        <v>24</v>
      </c>
      <c r="H43" s="9" t="s">
        <v>25</v>
      </c>
      <c r="I43" s="9" t="s">
        <v>79</v>
      </c>
      <c r="J43" s="10"/>
      <c r="K43" s="7"/>
      <c r="L43" s="7"/>
      <c r="M43" s="7"/>
      <c r="N43" s="7"/>
      <c r="O43" s="7"/>
    </row>
    <row r="44" ht="22.5" hidden="1" customHeight="1">
      <c r="A44" s="8">
        <v>45585.438460115736</v>
      </c>
      <c r="B44" s="9"/>
      <c r="C44" s="9" t="s">
        <v>58</v>
      </c>
      <c r="D44" s="9" t="s">
        <v>80</v>
      </c>
      <c r="E44" s="9" t="s">
        <v>44</v>
      </c>
      <c r="F44" s="9" t="s">
        <v>17</v>
      </c>
      <c r="G44" s="9" t="s">
        <v>24</v>
      </c>
      <c r="H44" s="9" t="s">
        <v>17</v>
      </c>
      <c r="I44" s="9" t="s">
        <v>20</v>
      </c>
      <c r="J44" s="10"/>
      <c r="K44" s="7"/>
      <c r="L44" s="7"/>
      <c r="M44" s="7"/>
      <c r="N44" s="7"/>
      <c r="O44" s="7"/>
    </row>
    <row r="45" ht="22.5" hidden="1" customHeight="1">
      <c r="A45" s="8">
        <v>45585.46669681713</v>
      </c>
      <c r="B45" s="9"/>
      <c r="C45" s="9" t="s">
        <v>58</v>
      </c>
      <c r="D45" s="9" t="s">
        <v>81</v>
      </c>
      <c r="E45" s="9" t="s">
        <v>30</v>
      </c>
      <c r="F45" s="9" t="s">
        <v>18</v>
      </c>
      <c r="G45" s="9" t="s">
        <v>24</v>
      </c>
      <c r="H45" s="9" t="s">
        <v>25</v>
      </c>
      <c r="I45" s="9" t="s">
        <v>67</v>
      </c>
      <c r="J45" s="10"/>
      <c r="K45" s="7"/>
      <c r="L45" s="7"/>
      <c r="M45" s="7"/>
      <c r="N45" s="7"/>
      <c r="O45" s="7"/>
    </row>
    <row r="46" ht="22.5" hidden="1" customHeight="1">
      <c r="A46" s="8">
        <v>45585.467893657406</v>
      </c>
      <c r="B46" s="9"/>
      <c r="C46" s="9" t="s">
        <v>58</v>
      </c>
      <c r="D46" s="9" t="s">
        <v>82</v>
      </c>
      <c r="E46" s="9" t="s">
        <v>30</v>
      </c>
      <c r="F46" s="9" t="s">
        <v>18</v>
      </c>
      <c r="G46" s="9" t="s">
        <v>24</v>
      </c>
      <c r="H46" s="9" t="s">
        <v>25</v>
      </c>
      <c r="I46" s="9" t="s">
        <v>26</v>
      </c>
      <c r="J46" s="10"/>
      <c r="K46" s="7"/>
      <c r="L46" s="7"/>
      <c r="M46" s="7"/>
      <c r="N46" s="7"/>
      <c r="O46" s="7"/>
    </row>
    <row r="47" ht="22.5" hidden="1" customHeight="1">
      <c r="A47" s="8">
        <v>45585.468636944446</v>
      </c>
      <c r="B47" s="9"/>
      <c r="C47" s="9" t="s">
        <v>58</v>
      </c>
      <c r="D47" s="9" t="s">
        <v>83</v>
      </c>
      <c r="E47" s="9" t="s">
        <v>30</v>
      </c>
      <c r="F47" s="9" t="s">
        <v>18</v>
      </c>
      <c r="G47" s="9" t="s">
        <v>24</v>
      </c>
      <c r="H47" s="9" t="s">
        <v>22</v>
      </c>
      <c r="I47" s="9" t="s">
        <v>20</v>
      </c>
      <c r="J47" s="10"/>
      <c r="K47" s="7"/>
      <c r="L47" s="7"/>
      <c r="M47" s="7"/>
      <c r="N47" s="7"/>
      <c r="O47" s="7"/>
    </row>
    <row r="48" ht="22.5" hidden="1" customHeight="1">
      <c r="A48" s="8">
        <v>45585.47079042824</v>
      </c>
      <c r="B48" s="9"/>
      <c r="C48" s="9" t="s">
        <v>58</v>
      </c>
      <c r="D48" s="9" t="s">
        <v>84</v>
      </c>
      <c r="E48" s="9" t="s">
        <v>44</v>
      </c>
      <c r="F48" s="9" t="s">
        <v>43</v>
      </c>
      <c r="G48" s="9" t="s">
        <v>24</v>
      </c>
      <c r="H48" s="9" t="s">
        <v>25</v>
      </c>
      <c r="I48" s="9" t="s">
        <v>85</v>
      </c>
      <c r="J48" s="10"/>
      <c r="K48" s="7"/>
      <c r="L48" s="7"/>
      <c r="M48" s="7"/>
      <c r="N48" s="7"/>
      <c r="O48" s="7"/>
    </row>
    <row r="49" ht="22.5" hidden="1" customHeight="1">
      <c r="A49" s="8">
        <v>45586.344429143515</v>
      </c>
      <c r="B49" s="9"/>
      <c r="C49" s="9" t="s">
        <v>86</v>
      </c>
      <c r="D49" s="9" t="s">
        <v>87</v>
      </c>
      <c r="E49" s="9" t="s">
        <v>30</v>
      </c>
      <c r="F49" s="9" t="s">
        <v>18</v>
      </c>
      <c r="G49" s="9" t="s">
        <v>24</v>
      </c>
      <c r="H49" s="9" t="s">
        <v>17</v>
      </c>
      <c r="I49" s="9" t="s">
        <v>28</v>
      </c>
      <c r="J49" s="10"/>
      <c r="K49" s="7"/>
      <c r="L49" s="7"/>
      <c r="M49" s="7"/>
      <c r="N49" s="7"/>
      <c r="O49" s="7"/>
    </row>
    <row r="50" ht="22.5" hidden="1" customHeight="1">
      <c r="A50" s="8">
        <v>45586.34478697917</v>
      </c>
      <c r="B50" s="9"/>
      <c r="C50" s="9" t="s">
        <v>86</v>
      </c>
      <c r="D50" s="9" t="s">
        <v>88</v>
      </c>
      <c r="E50" s="9" t="s">
        <v>44</v>
      </c>
      <c r="F50" s="9" t="s">
        <v>18</v>
      </c>
      <c r="G50" s="9" t="s">
        <v>24</v>
      </c>
      <c r="H50" s="9" t="s">
        <v>17</v>
      </c>
      <c r="I50" s="9" t="s">
        <v>20</v>
      </c>
      <c r="J50" s="10"/>
      <c r="K50" s="7"/>
      <c r="L50" s="7"/>
      <c r="M50" s="7"/>
      <c r="N50" s="7"/>
      <c r="O50" s="7"/>
    </row>
    <row r="51" ht="22.5" hidden="1" customHeight="1">
      <c r="A51" s="8">
        <v>45586.34929878473</v>
      </c>
      <c r="B51" s="9"/>
      <c r="C51" s="9" t="s">
        <v>86</v>
      </c>
      <c r="D51" s="9" t="s">
        <v>42</v>
      </c>
      <c r="E51" s="9" t="s">
        <v>30</v>
      </c>
      <c r="F51" s="9" t="s">
        <v>43</v>
      </c>
      <c r="G51" s="9" t="s">
        <v>19</v>
      </c>
      <c r="H51" s="9" t="s">
        <v>17</v>
      </c>
      <c r="I51" s="9" t="s">
        <v>20</v>
      </c>
      <c r="J51" s="10"/>
      <c r="K51" s="7"/>
      <c r="L51" s="7"/>
      <c r="M51" s="7"/>
      <c r="N51" s="7"/>
      <c r="O51" s="7"/>
    </row>
    <row r="52" ht="22.5" hidden="1" customHeight="1">
      <c r="A52" s="8">
        <v>45586.35582693287</v>
      </c>
      <c r="B52" s="9"/>
      <c r="C52" s="9" t="s">
        <v>86</v>
      </c>
      <c r="D52" s="9" t="s">
        <v>59</v>
      </c>
      <c r="E52" s="9" t="s">
        <v>17</v>
      </c>
      <c r="F52" s="9" t="s">
        <v>17</v>
      </c>
      <c r="G52" s="9" t="s">
        <v>19</v>
      </c>
      <c r="H52" s="9" t="s">
        <v>17</v>
      </c>
      <c r="I52" s="9" t="s">
        <v>89</v>
      </c>
      <c r="J52" s="10"/>
      <c r="K52" s="7"/>
      <c r="L52" s="7"/>
      <c r="M52" s="7"/>
      <c r="N52" s="7"/>
      <c r="O52" s="7"/>
    </row>
    <row r="53" ht="22.5" hidden="1" customHeight="1">
      <c r="A53" s="8">
        <v>45586.35796278935</v>
      </c>
      <c r="B53" s="9"/>
      <c r="C53" s="9" t="s">
        <v>86</v>
      </c>
      <c r="D53" s="9" t="s">
        <v>90</v>
      </c>
      <c r="E53" s="9" t="s">
        <v>17</v>
      </c>
      <c r="F53" s="9" t="s">
        <v>35</v>
      </c>
      <c r="G53" s="9" t="s">
        <v>24</v>
      </c>
      <c r="H53" s="9" t="s">
        <v>22</v>
      </c>
      <c r="I53" s="9" t="s">
        <v>20</v>
      </c>
      <c r="J53" s="10"/>
      <c r="K53" s="7"/>
      <c r="L53" s="7"/>
      <c r="M53" s="7"/>
      <c r="N53" s="7"/>
      <c r="O53" s="7"/>
    </row>
    <row r="54" ht="22.5" hidden="1" customHeight="1">
      <c r="A54" s="8">
        <v>45586.36104462963</v>
      </c>
      <c r="B54" s="9"/>
      <c r="C54" s="9" t="s">
        <v>86</v>
      </c>
      <c r="D54" s="9" t="s">
        <v>91</v>
      </c>
      <c r="E54" s="9" t="s">
        <v>17</v>
      </c>
      <c r="F54" s="9" t="s">
        <v>17</v>
      </c>
      <c r="G54" s="9" t="s">
        <v>24</v>
      </c>
      <c r="H54" s="9" t="s">
        <v>22</v>
      </c>
      <c r="I54" s="9" t="s">
        <v>20</v>
      </c>
      <c r="J54" s="10"/>
      <c r="K54" s="7"/>
      <c r="L54" s="7"/>
      <c r="M54" s="7"/>
      <c r="N54" s="7"/>
      <c r="O54" s="7"/>
    </row>
    <row r="55" ht="22.5" hidden="1" customHeight="1">
      <c r="A55" s="8">
        <v>45586.36153230324</v>
      </c>
      <c r="B55" s="9"/>
      <c r="C55" s="9" t="s">
        <v>86</v>
      </c>
      <c r="D55" s="9" t="s">
        <v>55</v>
      </c>
      <c r="E55" s="9" t="s">
        <v>61</v>
      </c>
      <c r="F55" s="9" t="s">
        <v>17</v>
      </c>
      <c r="G55" s="9" t="s">
        <v>24</v>
      </c>
      <c r="H55" s="9" t="s">
        <v>17</v>
      </c>
      <c r="I55" s="9" t="s">
        <v>20</v>
      </c>
      <c r="J55" s="10"/>
      <c r="K55" s="7"/>
      <c r="L55" s="7"/>
      <c r="M55" s="7"/>
      <c r="N55" s="7"/>
      <c r="O55" s="7"/>
    </row>
    <row r="56" ht="22.5" hidden="1" customHeight="1">
      <c r="A56" s="8">
        <v>45586.36238798611</v>
      </c>
      <c r="B56" s="9"/>
      <c r="C56" s="9" t="s">
        <v>86</v>
      </c>
      <c r="D56" s="9" t="s">
        <v>92</v>
      </c>
      <c r="E56" s="9" t="s">
        <v>17</v>
      </c>
      <c r="F56" s="9" t="s">
        <v>17</v>
      </c>
      <c r="G56" s="9" t="s">
        <v>40</v>
      </c>
      <c r="H56" s="9" t="s">
        <v>62</v>
      </c>
      <c r="I56" s="9" t="s">
        <v>93</v>
      </c>
      <c r="J56" s="10"/>
      <c r="K56" s="7"/>
      <c r="L56" s="7"/>
      <c r="M56" s="7"/>
      <c r="N56" s="7"/>
      <c r="O56" s="7"/>
    </row>
    <row r="57" ht="22.5" hidden="1" customHeight="1">
      <c r="A57" s="8">
        <v>45586.363371053245</v>
      </c>
      <c r="B57" s="9"/>
      <c r="C57" s="9" t="s">
        <v>86</v>
      </c>
      <c r="D57" s="9" t="s">
        <v>94</v>
      </c>
      <c r="E57" s="9" t="s">
        <v>17</v>
      </c>
      <c r="F57" s="9" t="s">
        <v>35</v>
      </c>
      <c r="G57" s="9" t="s">
        <v>24</v>
      </c>
      <c r="H57" s="9" t="s">
        <v>22</v>
      </c>
      <c r="I57" s="9" t="s">
        <v>20</v>
      </c>
      <c r="J57" s="10"/>
      <c r="K57" s="7"/>
      <c r="L57" s="7"/>
      <c r="M57" s="7"/>
      <c r="N57" s="7"/>
      <c r="O57" s="7"/>
    </row>
    <row r="58" ht="22.5" hidden="1" customHeight="1">
      <c r="A58" s="8">
        <v>45586.363922476856</v>
      </c>
      <c r="B58" s="9"/>
      <c r="C58" s="9" t="s">
        <v>86</v>
      </c>
      <c r="D58" s="9" t="s">
        <v>95</v>
      </c>
      <c r="E58" s="9" t="s">
        <v>30</v>
      </c>
      <c r="F58" s="9" t="s">
        <v>43</v>
      </c>
      <c r="G58" s="9" t="s">
        <v>19</v>
      </c>
      <c r="H58" s="9" t="s">
        <v>22</v>
      </c>
      <c r="I58" s="9" t="s">
        <v>20</v>
      </c>
      <c r="J58" s="10"/>
      <c r="K58" s="7"/>
      <c r="L58" s="7"/>
      <c r="M58" s="7"/>
      <c r="N58" s="7"/>
      <c r="O58" s="7"/>
    </row>
    <row r="59" ht="22.5" hidden="1" customHeight="1">
      <c r="A59" s="8">
        <v>45586.364670740746</v>
      </c>
      <c r="B59" s="9"/>
      <c r="C59" s="9" t="s">
        <v>86</v>
      </c>
      <c r="D59" s="9" t="s">
        <v>96</v>
      </c>
      <c r="E59" s="9" t="s">
        <v>30</v>
      </c>
      <c r="F59" s="9" t="s">
        <v>43</v>
      </c>
      <c r="G59" s="9" t="s">
        <v>19</v>
      </c>
      <c r="H59" s="9" t="s">
        <v>17</v>
      </c>
      <c r="I59" s="9" t="s">
        <v>20</v>
      </c>
      <c r="J59" s="10"/>
      <c r="K59" s="7"/>
      <c r="L59" s="7"/>
      <c r="M59" s="7"/>
      <c r="N59" s="7"/>
      <c r="O59" s="7"/>
    </row>
    <row r="60" ht="22.5" hidden="1" customHeight="1">
      <c r="A60" s="8">
        <v>45586.36591734954</v>
      </c>
      <c r="B60" s="9"/>
      <c r="C60" s="9" t="s">
        <v>86</v>
      </c>
      <c r="D60" s="9" t="s">
        <v>97</v>
      </c>
      <c r="E60" s="9" t="s">
        <v>17</v>
      </c>
      <c r="F60" s="9" t="s">
        <v>17</v>
      </c>
      <c r="G60" s="9" t="s">
        <v>24</v>
      </c>
      <c r="H60" s="9" t="s">
        <v>25</v>
      </c>
      <c r="I60" s="9" t="s">
        <v>98</v>
      </c>
      <c r="J60" s="10"/>
      <c r="K60" s="7"/>
      <c r="L60" s="7"/>
      <c r="M60" s="7"/>
      <c r="N60" s="7"/>
      <c r="O60" s="7"/>
    </row>
    <row r="61" ht="22.5" hidden="1" customHeight="1">
      <c r="A61" s="8">
        <v>45586.36660854166</v>
      </c>
      <c r="B61" s="9"/>
      <c r="C61" s="9" t="s">
        <v>86</v>
      </c>
      <c r="D61" s="9" t="s">
        <v>99</v>
      </c>
      <c r="E61" s="9" t="s">
        <v>44</v>
      </c>
      <c r="F61" s="9" t="s">
        <v>18</v>
      </c>
      <c r="G61" s="9" t="s">
        <v>24</v>
      </c>
      <c r="H61" s="9" t="s">
        <v>22</v>
      </c>
      <c r="I61" s="9" t="s">
        <v>20</v>
      </c>
      <c r="J61" s="10"/>
      <c r="K61" s="7"/>
      <c r="L61" s="7"/>
      <c r="M61" s="7"/>
      <c r="N61" s="7"/>
      <c r="O61" s="7"/>
    </row>
    <row r="62" ht="22.5" hidden="1" customHeight="1">
      <c r="A62" s="8">
        <v>45586.367767557866</v>
      </c>
      <c r="B62" s="9"/>
      <c r="C62" s="9" t="s">
        <v>86</v>
      </c>
      <c r="D62" s="9" t="s">
        <v>33</v>
      </c>
      <c r="E62" s="9" t="s">
        <v>17</v>
      </c>
      <c r="F62" s="9" t="s">
        <v>35</v>
      </c>
      <c r="G62" s="9" t="s">
        <v>19</v>
      </c>
      <c r="H62" s="9" t="s">
        <v>17</v>
      </c>
      <c r="I62" s="9" t="s">
        <v>20</v>
      </c>
      <c r="J62" s="10"/>
      <c r="K62" s="7"/>
      <c r="L62" s="7"/>
      <c r="M62" s="7"/>
      <c r="N62" s="7"/>
      <c r="O62" s="7"/>
    </row>
    <row r="63" ht="22.5" hidden="1" customHeight="1">
      <c r="A63" s="8">
        <v>45586.368413125005</v>
      </c>
      <c r="B63" s="9"/>
      <c r="C63" s="9" t="s">
        <v>86</v>
      </c>
      <c r="D63" s="9" t="s">
        <v>100</v>
      </c>
      <c r="E63" s="9" t="s">
        <v>17</v>
      </c>
      <c r="F63" s="9" t="s">
        <v>17</v>
      </c>
      <c r="G63" s="9" t="s">
        <v>24</v>
      </c>
      <c r="H63" s="9" t="s">
        <v>22</v>
      </c>
      <c r="I63" s="9" t="s">
        <v>20</v>
      </c>
      <c r="J63" s="10"/>
      <c r="K63" s="7"/>
      <c r="L63" s="7"/>
      <c r="M63" s="7"/>
      <c r="N63" s="7"/>
      <c r="O63" s="7"/>
    </row>
    <row r="64" ht="22.5" hidden="1" customHeight="1">
      <c r="A64" s="8">
        <v>45586.36942803241</v>
      </c>
      <c r="B64" s="9"/>
      <c r="C64" s="9" t="s">
        <v>86</v>
      </c>
      <c r="D64" s="9" t="s">
        <v>101</v>
      </c>
      <c r="E64" s="9" t="s">
        <v>44</v>
      </c>
      <c r="F64" s="9" t="s">
        <v>43</v>
      </c>
      <c r="G64" s="9" t="s">
        <v>19</v>
      </c>
      <c r="H64" s="9" t="s">
        <v>22</v>
      </c>
      <c r="I64" s="9" t="s">
        <v>20</v>
      </c>
      <c r="J64" s="10"/>
      <c r="K64" s="7"/>
      <c r="L64" s="7"/>
      <c r="M64" s="7"/>
      <c r="N64" s="7"/>
      <c r="O64" s="7"/>
    </row>
    <row r="65" ht="22.5" hidden="1" customHeight="1">
      <c r="A65" s="8">
        <v>45586.37021412037</v>
      </c>
      <c r="B65" s="9"/>
      <c r="C65" s="9" t="s">
        <v>86</v>
      </c>
      <c r="D65" s="9" t="s">
        <v>102</v>
      </c>
      <c r="E65" s="9" t="s">
        <v>44</v>
      </c>
      <c r="F65" s="9" t="s">
        <v>17</v>
      </c>
      <c r="G65" s="9" t="s">
        <v>24</v>
      </c>
      <c r="H65" s="9" t="s">
        <v>25</v>
      </c>
      <c r="I65" s="9" t="s">
        <v>103</v>
      </c>
      <c r="J65" s="10"/>
      <c r="K65" s="7"/>
      <c r="L65" s="7"/>
      <c r="M65" s="7"/>
      <c r="N65" s="7"/>
      <c r="O65" s="7"/>
    </row>
    <row r="66" ht="22.5" hidden="1" customHeight="1">
      <c r="A66" s="8">
        <v>45586.37136651621</v>
      </c>
      <c r="B66" s="9"/>
      <c r="C66" s="9" t="s">
        <v>86</v>
      </c>
      <c r="D66" s="9" t="s">
        <v>104</v>
      </c>
      <c r="E66" s="9" t="s">
        <v>46</v>
      </c>
      <c r="F66" s="9" t="s">
        <v>18</v>
      </c>
      <c r="G66" s="9" t="s">
        <v>19</v>
      </c>
      <c r="H66" s="9" t="s">
        <v>62</v>
      </c>
      <c r="I66" s="9" t="s">
        <v>20</v>
      </c>
      <c r="J66" s="10"/>
      <c r="K66" s="7"/>
      <c r="L66" s="7"/>
      <c r="M66" s="7"/>
      <c r="N66" s="7"/>
      <c r="O66" s="7"/>
    </row>
    <row r="67" ht="22.5" hidden="1" customHeight="1">
      <c r="A67" s="8">
        <v>45586.37235081018</v>
      </c>
      <c r="B67" s="9"/>
      <c r="C67" s="9" t="s">
        <v>86</v>
      </c>
      <c r="D67" s="9" t="s">
        <v>105</v>
      </c>
      <c r="E67" s="9" t="s">
        <v>30</v>
      </c>
      <c r="F67" s="9" t="s">
        <v>18</v>
      </c>
      <c r="G67" s="9" t="s">
        <v>24</v>
      </c>
      <c r="H67" s="9" t="s">
        <v>22</v>
      </c>
      <c r="I67" s="9" t="s">
        <v>20</v>
      </c>
      <c r="J67" s="10"/>
      <c r="K67" s="7"/>
      <c r="L67" s="7"/>
      <c r="M67" s="7"/>
      <c r="N67" s="7"/>
      <c r="O67" s="7"/>
    </row>
    <row r="68" ht="22.5" hidden="1" customHeight="1">
      <c r="A68" s="8">
        <v>45586.37314107639</v>
      </c>
      <c r="B68" s="9"/>
      <c r="C68" s="9" t="s">
        <v>86</v>
      </c>
      <c r="D68" s="9" t="s">
        <v>29</v>
      </c>
      <c r="E68" s="9" t="s">
        <v>17</v>
      </c>
      <c r="F68" s="9" t="s">
        <v>17</v>
      </c>
      <c r="G68" s="9" t="s">
        <v>24</v>
      </c>
      <c r="H68" s="9" t="s">
        <v>17</v>
      </c>
      <c r="I68" s="9" t="s">
        <v>28</v>
      </c>
      <c r="J68" s="10"/>
      <c r="K68" s="7"/>
      <c r="L68" s="7"/>
      <c r="M68" s="7"/>
      <c r="N68" s="7"/>
      <c r="O68" s="7"/>
    </row>
    <row r="69" ht="22.5" hidden="1" customHeight="1">
      <c r="A69" s="8">
        <v>45586.37604877315</v>
      </c>
      <c r="B69" s="9"/>
      <c r="C69" s="9" t="s">
        <v>86</v>
      </c>
      <c r="D69" s="9" t="s">
        <v>106</v>
      </c>
      <c r="E69" s="9" t="s">
        <v>30</v>
      </c>
      <c r="F69" s="9" t="s">
        <v>17</v>
      </c>
      <c r="G69" s="9" t="s">
        <v>24</v>
      </c>
      <c r="H69" s="9" t="s">
        <v>22</v>
      </c>
      <c r="I69" s="9" t="s">
        <v>20</v>
      </c>
      <c r="J69" s="10"/>
      <c r="K69" s="7"/>
      <c r="L69" s="7"/>
      <c r="M69" s="7"/>
      <c r="N69" s="7"/>
      <c r="O69" s="7"/>
    </row>
    <row r="70" ht="22.5" hidden="1" customHeight="1">
      <c r="A70" s="8">
        <v>45586.37692268519</v>
      </c>
      <c r="B70" s="9"/>
      <c r="C70" s="9" t="s">
        <v>86</v>
      </c>
      <c r="D70" s="9" t="s">
        <v>107</v>
      </c>
      <c r="E70" s="9" t="s">
        <v>44</v>
      </c>
      <c r="F70" s="9" t="s">
        <v>43</v>
      </c>
      <c r="G70" s="9" t="s">
        <v>24</v>
      </c>
      <c r="H70" s="9" t="s">
        <v>25</v>
      </c>
      <c r="I70" s="9" t="s">
        <v>79</v>
      </c>
      <c r="J70" s="10"/>
      <c r="K70" s="7"/>
      <c r="L70" s="7"/>
      <c r="M70" s="7"/>
      <c r="N70" s="7"/>
      <c r="O70" s="7"/>
    </row>
    <row r="71" ht="22.5" hidden="1" customHeight="1">
      <c r="A71" s="8">
        <v>45586.37792983797</v>
      </c>
      <c r="B71" s="9"/>
      <c r="C71" s="9" t="s">
        <v>86</v>
      </c>
      <c r="D71" s="9" t="s">
        <v>108</v>
      </c>
      <c r="E71" s="9" t="s">
        <v>46</v>
      </c>
      <c r="F71" s="9" t="s">
        <v>17</v>
      </c>
      <c r="G71" s="9" t="s">
        <v>24</v>
      </c>
      <c r="H71" s="9" t="s">
        <v>25</v>
      </c>
      <c r="I71" s="9" t="s">
        <v>34</v>
      </c>
      <c r="J71" s="10"/>
      <c r="K71" s="7"/>
      <c r="L71" s="7"/>
      <c r="M71" s="7"/>
      <c r="N71" s="7"/>
      <c r="O71" s="7"/>
    </row>
    <row r="72" ht="22.5" hidden="1" customHeight="1">
      <c r="A72" s="8">
        <v>45586.37837652778</v>
      </c>
      <c r="B72" s="9"/>
      <c r="C72" s="9" t="s">
        <v>86</v>
      </c>
      <c r="D72" s="9" t="s">
        <v>29</v>
      </c>
      <c r="E72" s="9" t="s">
        <v>17</v>
      </c>
      <c r="F72" s="9" t="s">
        <v>17</v>
      </c>
      <c r="G72" s="9" t="s">
        <v>24</v>
      </c>
      <c r="H72" s="9" t="s">
        <v>17</v>
      </c>
      <c r="I72" s="9" t="s">
        <v>28</v>
      </c>
      <c r="J72" s="10"/>
      <c r="K72" s="7"/>
      <c r="L72" s="7"/>
      <c r="M72" s="7"/>
      <c r="N72" s="7"/>
      <c r="O72" s="7"/>
    </row>
    <row r="73" ht="22.5" hidden="1" customHeight="1">
      <c r="A73" s="8">
        <v>45586.379105810185</v>
      </c>
      <c r="B73" s="9"/>
      <c r="C73" s="9" t="s">
        <v>86</v>
      </c>
      <c r="D73" s="9" t="s">
        <v>109</v>
      </c>
      <c r="E73" s="9" t="s">
        <v>44</v>
      </c>
      <c r="F73" s="9" t="s">
        <v>43</v>
      </c>
      <c r="G73" s="9" t="s">
        <v>24</v>
      </c>
      <c r="H73" s="9" t="s">
        <v>22</v>
      </c>
      <c r="I73" s="9" t="s">
        <v>20</v>
      </c>
      <c r="J73" s="10"/>
      <c r="K73" s="7"/>
      <c r="L73" s="7"/>
      <c r="M73" s="7"/>
      <c r="N73" s="7"/>
      <c r="O73" s="7"/>
    </row>
    <row r="74" ht="22.5" hidden="1" customHeight="1">
      <c r="A74" s="8">
        <v>45587.337358958335</v>
      </c>
      <c r="B74" s="9"/>
      <c r="C74" s="9" t="s">
        <v>110</v>
      </c>
      <c r="D74" s="9" t="s">
        <v>111</v>
      </c>
      <c r="E74" s="9" t="s">
        <v>30</v>
      </c>
      <c r="F74" s="9" t="s">
        <v>43</v>
      </c>
      <c r="G74" s="9" t="s">
        <v>24</v>
      </c>
      <c r="H74" s="9" t="s">
        <v>22</v>
      </c>
      <c r="I74" s="9" t="s">
        <v>20</v>
      </c>
      <c r="J74" s="10"/>
      <c r="K74" s="7"/>
      <c r="L74" s="7"/>
      <c r="M74" s="7"/>
      <c r="N74" s="7"/>
      <c r="O74" s="7"/>
    </row>
    <row r="75" ht="22.5" hidden="1" customHeight="1">
      <c r="A75" s="8">
        <v>45587.33750662037</v>
      </c>
      <c r="B75" s="9"/>
      <c r="C75" s="9" t="s">
        <v>110</v>
      </c>
      <c r="D75" s="9" t="s">
        <v>87</v>
      </c>
      <c r="E75" s="9" t="s">
        <v>44</v>
      </c>
      <c r="F75" s="9" t="s">
        <v>18</v>
      </c>
      <c r="G75" s="9" t="s">
        <v>24</v>
      </c>
      <c r="H75" s="9" t="s">
        <v>17</v>
      </c>
      <c r="I75" s="9" t="s">
        <v>28</v>
      </c>
      <c r="J75" s="10"/>
      <c r="K75" s="7"/>
      <c r="L75" s="7"/>
      <c r="M75" s="7"/>
      <c r="N75" s="7"/>
      <c r="O75" s="7"/>
    </row>
    <row r="76" ht="22.5" hidden="1" customHeight="1">
      <c r="A76" s="8">
        <v>45587.33903293981</v>
      </c>
      <c r="B76" s="9"/>
      <c r="C76" s="9" t="s">
        <v>110</v>
      </c>
      <c r="D76" s="9" t="s">
        <v>112</v>
      </c>
      <c r="E76" s="9" t="s">
        <v>17</v>
      </c>
      <c r="F76" s="9" t="s">
        <v>18</v>
      </c>
      <c r="G76" s="9" t="s">
        <v>24</v>
      </c>
      <c r="H76" s="9" t="s">
        <v>17</v>
      </c>
      <c r="I76" s="9" t="s">
        <v>20</v>
      </c>
      <c r="J76" s="10"/>
      <c r="K76" s="7"/>
      <c r="L76" s="7"/>
      <c r="M76" s="7"/>
      <c r="N76" s="7"/>
      <c r="O76" s="7"/>
    </row>
    <row r="77" ht="22.5" hidden="1" customHeight="1">
      <c r="A77" s="8">
        <v>45587.339563657406</v>
      </c>
      <c r="B77" s="9"/>
      <c r="C77" s="9" t="s">
        <v>110</v>
      </c>
      <c r="D77" s="9" t="s">
        <v>113</v>
      </c>
      <c r="E77" s="9" t="s">
        <v>30</v>
      </c>
      <c r="F77" s="9" t="s">
        <v>17</v>
      </c>
      <c r="G77" s="9" t="s">
        <v>24</v>
      </c>
      <c r="H77" s="9" t="s">
        <v>22</v>
      </c>
      <c r="I77" s="9" t="s">
        <v>20</v>
      </c>
      <c r="J77" s="10"/>
      <c r="K77" s="7"/>
      <c r="L77" s="7"/>
      <c r="M77" s="7"/>
      <c r="N77" s="7"/>
      <c r="O77" s="7"/>
    </row>
    <row r="78" ht="22.5" hidden="1" customHeight="1">
      <c r="A78" s="8">
        <v>45587.339827812495</v>
      </c>
      <c r="B78" s="9"/>
      <c r="C78" s="9" t="s">
        <v>110</v>
      </c>
      <c r="D78" s="9" t="s">
        <v>90</v>
      </c>
      <c r="E78" s="9" t="s">
        <v>44</v>
      </c>
      <c r="F78" s="9" t="s">
        <v>35</v>
      </c>
      <c r="G78" s="9" t="s">
        <v>24</v>
      </c>
      <c r="H78" s="9" t="s">
        <v>22</v>
      </c>
      <c r="I78" s="9" t="s">
        <v>20</v>
      </c>
      <c r="J78" s="10"/>
      <c r="K78" s="7"/>
      <c r="L78" s="7"/>
      <c r="M78" s="7"/>
      <c r="N78" s="7"/>
      <c r="O78" s="7"/>
    </row>
    <row r="79" ht="22.5" hidden="1" customHeight="1">
      <c r="A79" s="8">
        <v>45587.340152453704</v>
      </c>
      <c r="B79" s="9"/>
      <c r="C79" s="9" t="s">
        <v>110</v>
      </c>
      <c r="D79" s="9" t="s">
        <v>42</v>
      </c>
      <c r="E79" s="9" t="s">
        <v>30</v>
      </c>
      <c r="F79" s="9" t="s">
        <v>43</v>
      </c>
      <c r="G79" s="9" t="s">
        <v>19</v>
      </c>
      <c r="H79" s="9" t="s">
        <v>17</v>
      </c>
      <c r="I79" s="9" t="s">
        <v>20</v>
      </c>
      <c r="J79" s="10"/>
      <c r="K79" s="7"/>
      <c r="L79" s="7"/>
      <c r="M79" s="7"/>
      <c r="N79" s="7"/>
      <c r="O79" s="7"/>
    </row>
    <row r="80" ht="22.5" hidden="1" customHeight="1">
      <c r="A80" s="8">
        <v>45587.34160770834</v>
      </c>
      <c r="B80" s="9"/>
      <c r="C80" s="9" t="s">
        <v>110</v>
      </c>
      <c r="D80" s="9" t="s">
        <v>27</v>
      </c>
      <c r="E80" s="9" t="s">
        <v>17</v>
      </c>
      <c r="F80" s="9" t="s">
        <v>17</v>
      </c>
      <c r="G80" s="9" t="s">
        <v>24</v>
      </c>
      <c r="H80" s="9" t="s">
        <v>17</v>
      </c>
      <c r="I80" s="9" t="s">
        <v>28</v>
      </c>
      <c r="J80" s="10"/>
      <c r="K80" s="7"/>
      <c r="L80" s="7"/>
      <c r="M80" s="7"/>
      <c r="N80" s="7"/>
      <c r="O80" s="7"/>
    </row>
    <row r="81" ht="22.5" hidden="1" customHeight="1">
      <c r="A81" s="8">
        <v>45587.34253009259</v>
      </c>
      <c r="B81" s="9"/>
      <c r="C81" s="9" t="s">
        <v>110</v>
      </c>
      <c r="D81" s="9" t="s">
        <v>59</v>
      </c>
      <c r="E81" s="9" t="s">
        <v>30</v>
      </c>
      <c r="F81" s="9" t="s">
        <v>18</v>
      </c>
      <c r="G81" s="9" t="s">
        <v>24</v>
      </c>
      <c r="H81" s="9" t="s">
        <v>17</v>
      </c>
      <c r="I81" s="9" t="s">
        <v>20</v>
      </c>
      <c r="J81" s="10"/>
      <c r="K81" s="7"/>
      <c r="L81" s="7"/>
      <c r="M81" s="7"/>
      <c r="N81" s="7"/>
      <c r="O81" s="7"/>
    </row>
    <row r="82" ht="22.5" hidden="1" customHeight="1">
      <c r="A82" s="8">
        <v>45587.34360789352</v>
      </c>
      <c r="B82" s="9"/>
      <c r="C82" s="9" t="s">
        <v>110</v>
      </c>
      <c r="D82" s="9" t="s">
        <v>42</v>
      </c>
      <c r="E82" s="9" t="s">
        <v>30</v>
      </c>
      <c r="F82" s="9" t="s">
        <v>43</v>
      </c>
      <c r="G82" s="9" t="s">
        <v>19</v>
      </c>
      <c r="H82" s="9" t="s">
        <v>17</v>
      </c>
      <c r="I82" s="9" t="s">
        <v>20</v>
      </c>
      <c r="J82" s="10"/>
      <c r="K82" s="7"/>
      <c r="L82" s="7"/>
      <c r="M82" s="7"/>
      <c r="N82" s="7"/>
      <c r="O82" s="7"/>
    </row>
    <row r="83" ht="22.5" hidden="1" customHeight="1">
      <c r="A83" s="8">
        <v>45587.345655</v>
      </c>
      <c r="B83" s="9"/>
      <c r="C83" s="9" t="s">
        <v>110</v>
      </c>
      <c r="D83" s="9" t="s">
        <v>56</v>
      </c>
      <c r="E83" s="9" t="s">
        <v>30</v>
      </c>
      <c r="F83" s="9" t="s">
        <v>43</v>
      </c>
      <c r="G83" s="9" t="s">
        <v>19</v>
      </c>
      <c r="H83" s="9" t="s">
        <v>17</v>
      </c>
      <c r="I83" s="9" t="s">
        <v>20</v>
      </c>
      <c r="J83" s="10"/>
      <c r="K83" s="7"/>
      <c r="L83" s="7"/>
      <c r="M83" s="7"/>
      <c r="N83" s="7"/>
      <c r="O83" s="7"/>
    </row>
    <row r="84" ht="22.5" hidden="1" customHeight="1">
      <c r="A84" s="8">
        <v>45587.34683674769</v>
      </c>
      <c r="B84" s="9"/>
      <c r="C84" s="9" t="s">
        <v>110</v>
      </c>
      <c r="D84" s="9" t="s">
        <v>114</v>
      </c>
      <c r="E84" s="9" t="s">
        <v>44</v>
      </c>
      <c r="F84" s="9" t="s">
        <v>17</v>
      </c>
      <c r="G84" s="9" t="s">
        <v>24</v>
      </c>
      <c r="H84" s="9" t="s">
        <v>25</v>
      </c>
      <c r="I84" s="9" t="s">
        <v>20</v>
      </c>
      <c r="J84" s="10"/>
      <c r="K84" s="7"/>
      <c r="L84" s="7"/>
      <c r="M84" s="7"/>
      <c r="N84" s="7"/>
      <c r="O84" s="7"/>
    </row>
    <row r="85" ht="22.5" hidden="1" customHeight="1">
      <c r="A85" s="8">
        <v>45587.34746856481</v>
      </c>
      <c r="B85" s="9"/>
      <c r="C85" s="9" t="s">
        <v>110</v>
      </c>
      <c r="D85" s="9" t="s">
        <v>115</v>
      </c>
      <c r="E85" s="9" t="s">
        <v>30</v>
      </c>
      <c r="F85" s="9" t="s">
        <v>18</v>
      </c>
      <c r="G85" s="9" t="s">
        <v>24</v>
      </c>
      <c r="H85" s="9" t="s">
        <v>22</v>
      </c>
      <c r="I85" s="9" t="s">
        <v>20</v>
      </c>
      <c r="J85" s="10"/>
      <c r="K85" s="7"/>
      <c r="L85" s="7"/>
      <c r="M85" s="7"/>
      <c r="N85" s="7"/>
      <c r="O85" s="7"/>
    </row>
    <row r="86" ht="22.5" hidden="1" customHeight="1">
      <c r="A86" s="8">
        <v>45587.347675150464</v>
      </c>
      <c r="B86" s="9"/>
      <c r="C86" s="9" t="s">
        <v>110</v>
      </c>
      <c r="D86" s="9" t="s">
        <v>55</v>
      </c>
      <c r="E86" s="9" t="s">
        <v>17</v>
      </c>
      <c r="F86" s="9" t="s">
        <v>17</v>
      </c>
      <c r="G86" s="9" t="s">
        <v>24</v>
      </c>
      <c r="H86" s="9" t="s">
        <v>17</v>
      </c>
      <c r="I86" s="9" t="s">
        <v>20</v>
      </c>
      <c r="J86" s="10"/>
      <c r="K86" s="7"/>
      <c r="L86" s="7"/>
      <c r="M86" s="7"/>
      <c r="N86" s="7"/>
      <c r="O86" s="7"/>
    </row>
    <row r="87" ht="22.5" hidden="1" customHeight="1">
      <c r="A87" s="8">
        <v>45587.349101423606</v>
      </c>
      <c r="B87" s="9"/>
      <c r="C87" s="9" t="s">
        <v>110</v>
      </c>
      <c r="D87" s="9" t="s">
        <v>45</v>
      </c>
      <c r="E87" s="9" t="s">
        <v>44</v>
      </c>
      <c r="F87" s="9" t="s">
        <v>43</v>
      </c>
      <c r="G87" s="9" t="s">
        <v>24</v>
      </c>
      <c r="H87" s="9" t="s">
        <v>17</v>
      </c>
      <c r="I87" s="9" t="s">
        <v>79</v>
      </c>
      <c r="J87" s="10"/>
      <c r="K87" s="7"/>
      <c r="L87" s="7"/>
      <c r="M87" s="7"/>
      <c r="N87" s="7"/>
      <c r="O87" s="7"/>
    </row>
    <row r="88" ht="22.5" hidden="1" customHeight="1">
      <c r="A88" s="8">
        <v>45587.35022945602</v>
      </c>
      <c r="B88" s="9"/>
      <c r="C88" s="9" t="s">
        <v>110</v>
      </c>
      <c r="D88" s="9" t="s">
        <v>116</v>
      </c>
      <c r="E88" s="9" t="s">
        <v>17</v>
      </c>
      <c r="F88" s="9" t="s">
        <v>17</v>
      </c>
      <c r="G88" s="9" t="s">
        <v>24</v>
      </c>
      <c r="H88" s="9" t="s">
        <v>17</v>
      </c>
      <c r="I88" s="9" t="s">
        <v>117</v>
      </c>
      <c r="J88" s="10"/>
      <c r="K88" s="7"/>
      <c r="L88" s="7"/>
      <c r="M88" s="7"/>
      <c r="N88" s="7"/>
      <c r="O88" s="7"/>
    </row>
    <row r="89" ht="22.5" hidden="1" customHeight="1">
      <c r="A89" s="8">
        <v>45587.3508</v>
      </c>
      <c r="B89" s="9"/>
      <c r="C89" s="9" t="s">
        <v>110</v>
      </c>
      <c r="D89" s="9" t="s">
        <v>118</v>
      </c>
      <c r="E89" s="9" t="s">
        <v>30</v>
      </c>
      <c r="F89" s="9" t="s">
        <v>18</v>
      </c>
      <c r="G89" s="9" t="s">
        <v>24</v>
      </c>
      <c r="H89" s="9" t="s">
        <v>22</v>
      </c>
      <c r="I89" s="9" t="s">
        <v>20</v>
      </c>
      <c r="J89" s="10"/>
      <c r="K89" s="7"/>
      <c r="L89" s="7"/>
      <c r="M89" s="7"/>
      <c r="N89" s="7"/>
      <c r="O89" s="7"/>
    </row>
    <row r="90" ht="22.5" hidden="1" customHeight="1">
      <c r="A90" s="8">
        <v>45587.351202962964</v>
      </c>
      <c r="B90" s="9"/>
      <c r="C90" s="9" t="s">
        <v>110</v>
      </c>
      <c r="D90" s="9" t="s">
        <v>29</v>
      </c>
      <c r="E90" s="9" t="s">
        <v>17</v>
      </c>
      <c r="F90" s="9" t="s">
        <v>17</v>
      </c>
      <c r="G90" s="9" t="s">
        <v>24</v>
      </c>
      <c r="H90" s="9" t="s">
        <v>17</v>
      </c>
      <c r="I90" s="9" t="s">
        <v>20</v>
      </c>
      <c r="J90" s="10"/>
      <c r="K90" s="7"/>
      <c r="L90" s="7"/>
      <c r="M90" s="7"/>
      <c r="N90" s="7"/>
      <c r="O90" s="7"/>
    </row>
    <row r="91" ht="22.5" hidden="1" customHeight="1">
      <c r="A91" s="8">
        <v>45587.35172972222</v>
      </c>
      <c r="B91" s="9"/>
      <c r="C91" s="9" t="s">
        <v>110</v>
      </c>
      <c r="D91" s="9" t="s">
        <v>33</v>
      </c>
      <c r="E91" s="9" t="s">
        <v>17</v>
      </c>
      <c r="F91" s="9" t="s">
        <v>17</v>
      </c>
      <c r="G91" s="9" t="s">
        <v>24</v>
      </c>
      <c r="H91" s="9" t="s">
        <v>17</v>
      </c>
      <c r="I91" s="9" t="s">
        <v>20</v>
      </c>
      <c r="J91" s="10"/>
      <c r="K91" s="7"/>
      <c r="L91" s="7"/>
      <c r="M91" s="7"/>
      <c r="N91" s="7"/>
      <c r="O91" s="7"/>
    </row>
    <row r="92" ht="22.5" hidden="1" customHeight="1">
      <c r="A92" s="8">
        <v>45587.35183409722</v>
      </c>
      <c r="B92" s="9"/>
      <c r="C92" s="9" t="s">
        <v>110</v>
      </c>
      <c r="D92" s="9" t="s">
        <v>119</v>
      </c>
      <c r="E92" s="9" t="s">
        <v>17</v>
      </c>
      <c r="F92" s="9" t="s">
        <v>18</v>
      </c>
      <c r="G92" s="9" t="s">
        <v>24</v>
      </c>
      <c r="H92" s="9" t="s">
        <v>17</v>
      </c>
      <c r="I92" s="9" t="s">
        <v>20</v>
      </c>
      <c r="J92" s="10"/>
      <c r="K92" s="7"/>
      <c r="L92" s="7"/>
      <c r="M92" s="7"/>
      <c r="N92" s="7"/>
      <c r="O92" s="7"/>
    </row>
    <row r="93" ht="22.5" hidden="1" customHeight="1">
      <c r="A93" s="8">
        <v>45587.35387337963</v>
      </c>
      <c r="B93" s="9"/>
      <c r="C93" s="9" t="s">
        <v>110</v>
      </c>
      <c r="D93" s="9" t="s">
        <v>120</v>
      </c>
      <c r="E93" s="9" t="s">
        <v>17</v>
      </c>
      <c r="F93" s="9" t="s">
        <v>17</v>
      </c>
      <c r="G93" s="9" t="s">
        <v>24</v>
      </c>
      <c r="H93" s="9" t="s">
        <v>25</v>
      </c>
      <c r="I93" s="9" t="s">
        <v>50</v>
      </c>
      <c r="J93" s="10"/>
      <c r="K93" s="7"/>
      <c r="L93" s="7"/>
      <c r="M93" s="7"/>
      <c r="N93" s="7"/>
      <c r="O93" s="7"/>
    </row>
    <row r="94" ht="22.5" hidden="1" customHeight="1">
      <c r="A94" s="8">
        <v>45588.372493449075</v>
      </c>
      <c r="B94" s="9"/>
      <c r="C94" s="9" t="s">
        <v>15</v>
      </c>
      <c r="D94" s="9" t="s">
        <v>121</v>
      </c>
      <c r="E94" s="9" t="s">
        <v>44</v>
      </c>
      <c r="F94" s="9" t="s">
        <v>18</v>
      </c>
      <c r="G94" s="9" t="s">
        <v>24</v>
      </c>
      <c r="H94" s="9" t="s">
        <v>17</v>
      </c>
      <c r="I94" s="9" t="s">
        <v>70</v>
      </c>
      <c r="J94" s="10"/>
      <c r="K94" s="7"/>
      <c r="L94" s="7"/>
      <c r="M94" s="7"/>
      <c r="N94" s="7"/>
      <c r="O94" s="7"/>
    </row>
    <row r="95" ht="22.5" hidden="1" customHeight="1">
      <c r="A95" s="8">
        <v>45588.37683104166</v>
      </c>
      <c r="B95" s="9"/>
      <c r="C95" s="9" t="s">
        <v>15</v>
      </c>
      <c r="D95" s="9" t="s">
        <v>109</v>
      </c>
      <c r="E95" s="9" t="s">
        <v>44</v>
      </c>
      <c r="F95" s="9" t="s">
        <v>43</v>
      </c>
      <c r="G95" s="9" t="s">
        <v>24</v>
      </c>
      <c r="H95" s="9" t="s">
        <v>22</v>
      </c>
      <c r="I95" s="9" t="s">
        <v>20</v>
      </c>
      <c r="J95" s="10"/>
      <c r="K95" s="7"/>
      <c r="L95" s="7"/>
      <c r="M95" s="7"/>
      <c r="N95" s="7"/>
      <c r="O95" s="7"/>
    </row>
    <row r="96" ht="22.5" hidden="1" customHeight="1">
      <c r="A96" s="8">
        <v>45588.38199634259</v>
      </c>
      <c r="B96" s="9"/>
      <c r="C96" s="9" t="s">
        <v>15</v>
      </c>
      <c r="D96" s="9" t="s">
        <v>122</v>
      </c>
      <c r="E96" s="9" t="s">
        <v>17</v>
      </c>
      <c r="F96" s="9" t="s">
        <v>35</v>
      </c>
      <c r="G96" s="9" t="s">
        <v>24</v>
      </c>
      <c r="H96" s="9" t="s">
        <v>17</v>
      </c>
      <c r="I96" s="9" t="s">
        <v>20</v>
      </c>
      <c r="J96" s="10"/>
      <c r="K96" s="7"/>
      <c r="L96" s="7"/>
      <c r="M96" s="7"/>
      <c r="N96" s="7"/>
      <c r="O96" s="7"/>
    </row>
    <row r="97" ht="22.5" hidden="1" customHeight="1">
      <c r="A97" s="8">
        <v>45588.38332670139</v>
      </c>
      <c r="B97" s="9"/>
      <c r="C97" s="9" t="s">
        <v>15</v>
      </c>
      <c r="D97" s="9" t="s">
        <v>123</v>
      </c>
      <c r="E97" s="9" t="s">
        <v>17</v>
      </c>
      <c r="F97" s="9" t="s">
        <v>17</v>
      </c>
      <c r="G97" s="9" t="s">
        <v>24</v>
      </c>
      <c r="H97" s="9" t="s">
        <v>17</v>
      </c>
      <c r="I97" s="9" t="s">
        <v>20</v>
      </c>
      <c r="J97" s="10"/>
      <c r="K97" s="7"/>
      <c r="L97" s="7"/>
      <c r="M97" s="7"/>
      <c r="N97" s="7"/>
      <c r="O97" s="7"/>
    </row>
    <row r="98" ht="22.5" hidden="1" customHeight="1">
      <c r="A98" s="8">
        <v>45588.46287230324</v>
      </c>
      <c r="B98" s="9"/>
      <c r="C98" s="9" t="s">
        <v>15</v>
      </c>
      <c r="D98" s="9" t="s">
        <v>124</v>
      </c>
      <c r="E98" s="9" t="s">
        <v>30</v>
      </c>
      <c r="F98" s="9" t="s">
        <v>18</v>
      </c>
      <c r="G98" s="9" t="s">
        <v>24</v>
      </c>
      <c r="H98" s="9" t="s">
        <v>17</v>
      </c>
      <c r="I98" s="9" t="s">
        <v>20</v>
      </c>
      <c r="J98" s="10"/>
      <c r="K98" s="7"/>
      <c r="L98" s="7"/>
      <c r="M98" s="7"/>
      <c r="N98" s="7"/>
      <c r="O98" s="7"/>
    </row>
    <row r="99" ht="22.5" hidden="1" customHeight="1">
      <c r="A99" s="8">
        <v>45589.395425625</v>
      </c>
      <c r="B99" s="9"/>
      <c r="C99" s="9" t="s">
        <v>31</v>
      </c>
      <c r="D99" s="9" t="s">
        <v>123</v>
      </c>
      <c r="E99" s="9" t="s">
        <v>61</v>
      </c>
      <c r="F99" s="9" t="s">
        <v>77</v>
      </c>
      <c r="G99" s="9" t="s">
        <v>24</v>
      </c>
      <c r="H99" s="9" t="s">
        <v>17</v>
      </c>
      <c r="I99" s="9" t="s">
        <v>20</v>
      </c>
      <c r="J99" s="10"/>
      <c r="K99" s="7"/>
      <c r="L99" s="7"/>
      <c r="M99" s="7"/>
      <c r="N99" s="7"/>
      <c r="O99" s="7"/>
    </row>
    <row r="100" ht="22.5" hidden="1" customHeight="1">
      <c r="A100" s="8">
        <v>45589.40358212963</v>
      </c>
      <c r="B100" s="9"/>
      <c r="C100" s="9" t="s">
        <v>31</v>
      </c>
      <c r="D100" s="9" t="s">
        <v>125</v>
      </c>
      <c r="E100" s="9" t="s">
        <v>17</v>
      </c>
      <c r="F100" s="9" t="s">
        <v>43</v>
      </c>
      <c r="G100" s="9" t="s">
        <v>24</v>
      </c>
      <c r="H100" s="9" t="s">
        <v>17</v>
      </c>
      <c r="I100" s="9" t="s">
        <v>20</v>
      </c>
      <c r="J100" s="10"/>
      <c r="K100" s="7"/>
      <c r="L100" s="7"/>
      <c r="M100" s="7"/>
      <c r="N100" s="7"/>
      <c r="O100" s="7"/>
    </row>
    <row r="101" ht="22.5" hidden="1" customHeight="1">
      <c r="A101" s="8">
        <v>45589.410723865745</v>
      </c>
      <c r="B101" s="9"/>
      <c r="C101" s="9" t="s">
        <v>31</v>
      </c>
      <c r="D101" s="9" t="s">
        <v>126</v>
      </c>
      <c r="E101" s="9" t="s">
        <v>17</v>
      </c>
      <c r="F101" s="9" t="s">
        <v>17</v>
      </c>
      <c r="G101" s="9" t="s">
        <v>40</v>
      </c>
      <c r="H101" s="9" t="s">
        <v>17</v>
      </c>
      <c r="I101" s="9" t="s">
        <v>20</v>
      </c>
      <c r="J101" s="10"/>
      <c r="K101" s="7"/>
      <c r="L101" s="7"/>
      <c r="M101" s="7"/>
      <c r="N101" s="7"/>
      <c r="O101" s="7"/>
    </row>
    <row r="102" ht="22.5" hidden="1" customHeight="1">
      <c r="A102" s="8">
        <v>45589.41138226852</v>
      </c>
      <c r="B102" s="9"/>
      <c r="C102" s="9" t="s">
        <v>31</v>
      </c>
      <c r="D102" s="9" t="s">
        <v>109</v>
      </c>
      <c r="E102" s="9" t="s">
        <v>44</v>
      </c>
      <c r="F102" s="9" t="s">
        <v>35</v>
      </c>
      <c r="G102" s="9" t="s">
        <v>24</v>
      </c>
      <c r="H102" s="9" t="s">
        <v>22</v>
      </c>
      <c r="I102" s="9" t="s">
        <v>20</v>
      </c>
      <c r="J102" s="10"/>
      <c r="K102" s="7"/>
      <c r="L102" s="7"/>
      <c r="M102" s="7"/>
      <c r="N102" s="7"/>
      <c r="O102" s="7"/>
    </row>
    <row r="103" ht="22.5" hidden="1" customHeight="1">
      <c r="A103" s="8">
        <v>45590.33342386574</v>
      </c>
      <c r="B103" s="9"/>
      <c r="C103" s="9" t="s">
        <v>48</v>
      </c>
      <c r="D103" s="9" t="s">
        <v>123</v>
      </c>
      <c r="E103" s="9" t="s">
        <v>17</v>
      </c>
      <c r="F103" s="9" t="s">
        <v>39</v>
      </c>
      <c r="G103" s="9" t="s">
        <v>24</v>
      </c>
      <c r="H103" s="9" t="s">
        <v>17</v>
      </c>
      <c r="I103" s="9" t="s">
        <v>20</v>
      </c>
      <c r="J103" s="10"/>
      <c r="K103" s="7"/>
      <c r="L103" s="7"/>
      <c r="M103" s="7"/>
      <c r="N103" s="7"/>
      <c r="O103" s="7"/>
    </row>
    <row r="104" ht="22.5" hidden="1" customHeight="1">
      <c r="A104" s="8">
        <v>45590.335793819446</v>
      </c>
      <c r="B104" s="9"/>
      <c r="C104" s="9" t="s">
        <v>48</v>
      </c>
      <c r="D104" s="9" t="s">
        <v>87</v>
      </c>
      <c r="E104" s="9" t="s">
        <v>44</v>
      </c>
      <c r="F104" s="9" t="s">
        <v>18</v>
      </c>
      <c r="G104" s="9" t="s">
        <v>24</v>
      </c>
      <c r="H104" s="9" t="s">
        <v>25</v>
      </c>
      <c r="I104" s="9" t="s">
        <v>28</v>
      </c>
      <c r="J104" s="10"/>
      <c r="K104" s="7"/>
      <c r="L104" s="7"/>
      <c r="M104" s="7"/>
      <c r="N104" s="7"/>
      <c r="O104" s="7"/>
    </row>
    <row r="105" ht="22.5" hidden="1" customHeight="1">
      <c r="A105" s="8">
        <v>45590.33735137731</v>
      </c>
      <c r="B105" s="9"/>
      <c r="C105" s="9" t="s">
        <v>48</v>
      </c>
      <c r="D105" s="9" t="s">
        <v>112</v>
      </c>
      <c r="E105" s="9" t="s">
        <v>17</v>
      </c>
      <c r="F105" s="9" t="s">
        <v>18</v>
      </c>
      <c r="G105" s="9" t="s">
        <v>24</v>
      </c>
      <c r="H105" s="9" t="s">
        <v>17</v>
      </c>
      <c r="I105" s="9" t="s">
        <v>20</v>
      </c>
      <c r="J105" s="10"/>
      <c r="K105" s="7"/>
      <c r="L105" s="7"/>
      <c r="M105" s="7"/>
      <c r="N105" s="7"/>
      <c r="O105" s="7"/>
    </row>
    <row r="106" ht="22.5" hidden="1" customHeight="1">
      <c r="A106" s="8">
        <v>45590.33854211806</v>
      </c>
      <c r="B106" s="9"/>
      <c r="C106" s="9" t="s">
        <v>48</v>
      </c>
      <c r="D106" s="9" t="s">
        <v>127</v>
      </c>
      <c r="E106" s="9" t="s">
        <v>44</v>
      </c>
      <c r="F106" s="9" t="s">
        <v>17</v>
      </c>
      <c r="G106" s="9" t="s">
        <v>24</v>
      </c>
      <c r="H106" s="9" t="s">
        <v>17</v>
      </c>
      <c r="I106" s="9" t="s">
        <v>128</v>
      </c>
      <c r="J106" s="10"/>
      <c r="K106" s="7"/>
      <c r="L106" s="7"/>
      <c r="M106" s="7"/>
      <c r="N106" s="7"/>
      <c r="O106" s="7"/>
    </row>
    <row r="107" ht="22.5" hidden="1" customHeight="1">
      <c r="A107" s="8">
        <v>45590.341016018516</v>
      </c>
      <c r="B107" s="9"/>
      <c r="C107" s="9" t="s">
        <v>48</v>
      </c>
      <c r="D107" s="9" t="s">
        <v>56</v>
      </c>
      <c r="E107" s="9" t="s">
        <v>17</v>
      </c>
      <c r="F107" s="9" t="s">
        <v>18</v>
      </c>
      <c r="G107" s="9" t="s">
        <v>24</v>
      </c>
      <c r="H107" s="9" t="s">
        <v>25</v>
      </c>
      <c r="I107" s="9" t="s">
        <v>28</v>
      </c>
      <c r="J107" s="10"/>
      <c r="K107" s="7"/>
      <c r="L107" s="7"/>
      <c r="M107" s="7"/>
      <c r="N107" s="7"/>
      <c r="O107" s="7"/>
    </row>
    <row r="108" ht="22.5" hidden="1" customHeight="1">
      <c r="A108" s="8">
        <v>45590.34748539352</v>
      </c>
      <c r="B108" s="9"/>
      <c r="C108" s="9" t="s">
        <v>48</v>
      </c>
      <c r="D108" s="9" t="s">
        <v>42</v>
      </c>
      <c r="E108" s="9" t="s">
        <v>17</v>
      </c>
      <c r="F108" s="9" t="s">
        <v>18</v>
      </c>
      <c r="G108" s="9" t="s">
        <v>19</v>
      </c>
      <c r="H108" s="9" t="s">
        <v>17</v>
      </c>
      <c r="I108" s="9" t="s">
        <v>20</v>
      </c>
      <c r="J108" s="10"/>
      <c r="K108" s="7"/>
      <c r="L108" s="7"/>
      <c r="M108" s="7"/>
      <c r="N108" s="7"/>
      <c r="O108" s="7"/>
    </row>
    <row r="109" ht="22.5" hidden="1" customHeight="1">
      <c r="A109" s="8">
        <v>45590.351708055554</v>
      </c>
      <c r="B109" s="9"/>
      <c r="C109" s="9" t="s">
        <v>48</v>
      </c>
      <c r="D109" s="9" t="s">
        <v>120</v>
      </c>
      <c r="E109" s="9" t="s">
        <v>17</v>
      </c>
      <c r="F109" s="9" t="s">
        <v>17</v>
      </c>
      <c r="G109" s="9" t="s">
        <v>24</v>
      </c>
      <c r="H109" s="9" t="s">
        <v>17</v>
      </c>
      <c r="I109" s="9" t="s">
        <v>20</v>
      </c>
      <c r="J109" s="10"/>
      <c r="K109" s="7"/>
      <c r="L109" s="7"/>
      <c r="M109" s="7"/>
      <c r="N109" s="7"/>
      <c r="O109" s="7"/>
    </row>
    <row r="110" ht="22.5" hidden="1" customHeight="1">
      <c r="A110" s="8">
        <v>45590.35382539352</v>
      </c>
      <c r="B110" s="9"/>
      <c r="C110" s="9" t="s">
        <v>48</v>
      </c>
      <c r="D110" s="9" t="s">
        <v>129</v>
      </c>
      <c r="E110" s="9" t="s">
        <v>46</v>
      </c>
      <c r="F110" s="9" t="s">
        <v>18</v>
      </c>
      <c r="G110" s="9" t="s">
        <v>19</v>
      </c>
      <c r="H110" s="9" t="s">
        <v>22</v>
      </c>
      <c r="I110" s="9" t="s">
        <v>20</v>
      </c>
      <c r="J110" s="10"/>
      <c r="K110" s="7"/>
      <c r="L110" s="7"/>
      <c r="M110" s="7"/>
      <c r="N110" s="7"/>
      <c r="O110" s="7"/>
    </row>
    <row r="111" ht="22.5" hidden="1" customHeight="1">
      <c r="A111" s="8">
        <v>45590.36067609953</v>
      </c>
      <c r="B111" s="9"/>
      <c r="C111" s="9" t="s">
        <v>48</v>
      </c>
      <c r="D111" s="9" t="s">
        <v>29</v>
      </c>
      <c r="E111" s="9" t="s">
        <v>17</v>
      </c>
      <c r="F111" s="9" t="s">
        <v>18</v>
      </c>
      <c r="G111" s="9" t="s">
        <v>19</v>
      </c>
      <c r="H111" s="9" t="s">
        <v>25</v>
      </c>
      <c r="I111" s="9" t="s">
        <v>28</v>
      </c>
      <c r="J111" s="10"/>
      <c r="K111" s="7"/>
      <c r="L111" s="7"/>
      <c r="M111" s="7"/>
      <c r="N111" s="7"/>
      <c r="O111" s="7"/>
    </row>
    <row r="112" ht="22.5" hidden="1" customHeight="1">
      <c r="A112" s="8">
        <v>45590.360893854166</v>
      </c>
      <c r="B112" s="9"/>
      <c r="C112" s="9" t="s">
        <v>48</v>
      </c>
      <c r="D112" s="9" t="s">
        <v>32</v>
      </c>
      <c r="E112" s="9" t="s">
        <v>30</v>
      </c>
      <c r="F112" s="9" t="s">
        <v>18</v>
      </c>
      <c r="G112" s="9" t="s">
        <v>24</v>
      </c>
      <c r="H112" s="9" t="s">
        <v>22</v>
      </c>
      <c r="I112" s="9" t="s">
        <v>20</v>
      </c>
      <c r="J112" s="10"/>
      <c r="K112" s="7"/>
      <c r="L112" s="7"/>
      <c r="M112" s="7"/>
      <c r="N112" s="7"/>
      <c r="O112" s="7"/>
    </row>
    <row r="113" ht="22.5" hidden="1" customHeight="1">
      <c r="A113" s="8">
        <v>45590.36209416667</v>
      </c>
      <c r="B113" s="9"/>
      <c r="C113" s="9" t="s">
        <v>48</v>
      </c>
      <c r="D113" s="9" t="s">
        <v>38</v>
      </c>
      <c r="E113" s="9" t="s">
        <v>17</v>
      </c>
      <c r="F113" s="9" t="s">
        <v>17</v>
      </c>
      <c r="G113" s="9" t="s">
        <v>24</v>
      </c>
      <c r="H113" s="9" t="s">
        <v>17</v>
      </c>
      <c r="I113" s="9" t="s">
        <v>20</v>
      </c>
      <c r="J113" s="10"/>
      <c r="K113" s="7"/>
      <c r="L113" s="7"/>
      <c r="M113" s="7"/>
      <c r="N113" s="7"/>
      <c r="O113" s="7"/>
    </row>
    <row r="114" ht="22.5" hidden="1" customHeight="1">
      <c r="A114" s="8">
        <v>45590.3622587037</v>
      </c>
      <c r="B114" s="9"/>
      <c r="C114" s="9" t="s">
        <v>48</v>
      </c>
      <c r="D114" s="9" t="s">
        <v>111</v>
      </c>
      <c r="E114" s="9" t="s">
        <v>57</v>
      </c>
      <c r="F114" s="9" t="s">
        <v>43</v>
      </c>
      <c r="G114" s="9" t="s">
        <v>19</v>
      </c>
      <c r="H114" s="9" t="s">
        <v>22</v>
      </c>
      <c r="I114" s="9" t="s">
        <v>20</v>
      </c>
      <c r="J114" s="10"/>
      <c r="K114" s="7"/>
      <c r="L114" s="7"/>
      <c r="M114" s="7"/>
      <c r="N114" s="7"/>
      <c r="O114" s="7"/>
    </row>
    <row r="115" ht="22.5" hidden="1" customHeight="1">
      <c r="A115" s="8">
        <v>45590.363549340276</v>
      </c>
      <c r="B115" s="9"/>
      <c r="C115" s="9" t="s">
        <v>48</v>
      </c>
      <c r="D115" s="9" t="s">
        <v>23</v>
      </c>
      <c r="E115" s="9" t="s">
        <v>17</v>
      </c>
      <c r="F115" s="9" t="s">
        <v>17</v>
      </c>
      <c r="G115" s="9" t="s">
        <v>24</v>
      </c>
      <c r="H115" s="9" t="s">
        <v>25</v>
      </c>
      <c r="I115" s="9" t="s">
        <v>130</v>
      </c>
      <c r="J115" s="10"/>
      <c r="K115" s="7"/>
      <c r="L115" s="7"/>
      <c r="M115" s="7"/>
      <c r="N115" s="7"/>
      <c r="O115" s="7"/>
    </row>
    <row r="116" ht="22.5" hidden="1" customHeight="1">
      <c r="A116" s="8">
        <v>45590.36432233796</v>
      </c>
      <c r="B116" s="9"/>
      <c r="C116" s="9" t="s">
        <v>48</v>
      </c>
      <c r="D116" s="9" t="s">
        <v>33</v>
      </c>
      <c r="E116" s="9" t="s">
        <v>17</v>
      </c>
      <c r="F116" s="9" t="s">
        <v>17</v>
      </c>
      <c r="G116" s="9" t="s">
        <v>24</v>
      </c>
      <c r="H116" s="9" t="s">
        <v>17</v>
      </c>
      <c r="I116" s="9" t="s">
        <v>34</v>
      </c>
      <c r="J116" s="10"/>
      <c r="K116" s="7"/>
      <c r="L116" s="7"/>
      <c r="M116" s="7"/>
      <c r="N116" s="7"/>
      <c r="O116" s="7"/>
    </row>
    <row r="117" ht="22.5" hidden="1" customHeight="1">
      <c r="A117" s="8">
        <v>45590.36446556713</v>
      </c>
      <c r="B117" s="9"/>
      <c r="C117" s="9" t="s">
        <v>48</v>
      </c>
      <c r="D117" s="9" t="s">
        <v>131</v>
      </c>
      <c r="E117" s="9" t="s">
        <v>30</v>
      </c>
      <c r="F117" s="9" t="s">
        <v>60</v>
      </c>
      <c r="G117" s="9" t="s">
        <v>24</v>
      </c>
      <c r="H117" s="9" t="s">
        <v>17</v>
      </c>
      <c r="I117" s="9" t="s">
        <v>20</v>
      </c>
      <c r="J117" s="10"/>
      <c r="K117" s="7"/>
      <c r="L117" s="7"/>
      <c r="M117" s="7"/>
      <c r="N117" s="7"/>
      <c r="O117" s="7"/>
    </row>
    <row r="118" ht="22.5" hidden="1" customHeight="1">
      <c r="A118" s="8">
        <v>45590.36508696759</v>
      </c>
      <c r="B118" s="9"/>
      <c r="C118" s="9" t="s">
        <v>48</v>
      </c>
      <c r="D118" s="9" t="s">
        <v>132</v>
      </c>
      <c r="E118" s="9" t="s">
        <v>17</v>
      </c>
      <c r="F118" s="9" t="s">
        <v>17</v>
      </c>
      <c r="G118" s="9" t="s">
        <v>24</v>
      </c>
      <c r="H118" s="9" t="s">
        <v>22</v>
      </c>
      <c r="I118" s="9" t="s">
        <v>20</v>
      </c>
      <c r="J118" s="10"/>
      <c r="K118" s="7"/>
      <c r="L118" s="7"/>
      <c r="M118" s="7"/>
      <c r="N118" s="7"/>
      <c r="O118" s="7"/>
    </row>
    <row r="119" ht="22.5" hidden="1" customHeight="1">
      <c r="A119" s="8">
        <v>45590.365682187505</v>
      </c>
      <c r="B119" s="9"/>
      <c r="C119" s="9" t="s">
        <v>48</v>
      </c>
      <c r="D119" s="9" t="s">
        <v>119</v>
      </c>
      <c r="E119" s="9" t="s">
        <v>46</v>
      </c>
      <c r="F119" s="9" t="s">
        <v>18</v>
      </c>
      <c r="G119" s="9" t="s">
        <v>19</v>
      </c>
      <c r="H119" s="9" t="s">
        <v>17</v>
      </c>
      <c r="I119" s="9" t="s">
        <v>20</v>
      </c>
      <c r="J119" s="10"/>
      <c r="K119" s="7"/>
      <c r="L119" s="7"/>
      <c r="M119" s="7"/>
      <c r="N119" s="7"/>
      <c r="O119" s="7"/>
    </row>
    <row r="120" ht="22.5" hidden="1" customHeight="1">
      <c r="A120" s="8">
        <v>45590.365822164356</v>
      </c>
      <c r="B120" s="9"/>
      <c r="C120" s="9" t="s">
        <v>48</v>
      </c>
      <c r="D120" s="9" t="s">
        <v>133</v>
      </c>
      <c r="E120" s="9" t="s">
        <v>46</v>
      </c>
      <c r="F120" s="9" t="s">
        <v>17</v>
      </c>
      <c r="G120" s="9" t="s">
        <v>24</v>
      </c>
      <c r="H120" s="9" t="s">
        <v>25</v>
      </c>
      <c r="I120" s="9" t="s">
        <v>26</v>
      </c>
      <c r="J120" s="10"/>
      <c r="K120" s="7"/>
      <c r="L120" s="7"/>
      <c r="M120" s="7"/>
      <c r="N120" s="7"/>
      <c r="O120" s="7"/>
    </row>
    <row r="121" ht="22.5" hidden="1" customHeight="1">
      <c r="A121" s="8">
        <v>45590.36768202546</v>
      </c>
      <c r="B121" s="9"/>
      <c r="C121" s="9" t="s">
        <v>48</v>
      </c>
      <c r="D121" s="9" t="s">
        <v>134</v>
      </c>
      <c r="E121" s="9" t="s">
        <v>44</v>
      </c>
      <c r="F121" s="9" t="s">
        <v>35</v>
      </c>
      <c r="G121" s="9" t="s">
        <v>24</v>
      </c>
      <c r="H121" s="9" t="s">
        <v>17</v>
      </c>
      <c r="I121" s="9" t="s">
        <v>20</v>
      </c>
      <c r="J121" s="10"/>
      <c r="K121" s="7"/>
      <c r="L121" s="7"/>
      <c r="M121" s="7"/>
      <c r="N121" s="7"/>
      <c r="O121" s="7"/>
    </row>
    <row r="122" ht="22.5" hidden="1" customHeight="1">
      <c r="A122" s="8">
        <v>45590.37015847222</v>
      </c>
      <c r="B122" s="9"/>
      <c r="C122" s="9" t="s">
        <v>48</v>
      </c>
      <c r="D122" s="9" t="s">
        <v>114</v>
      </c>
      <c r="E122" s="9" t="s">
        <v>61</v>
      </c>
      <c r="F122" s="9" t="s">
        <v>17</v>
      </c>
      <c r="G122" s="9" t="s">
        <v>40</v>
      </c>
      <c r="H122" s="9" t="s">
        <v>17</v>
      </c>
      <c r="I122" s="9" t="s">
        <v>20</v>
      </c>
      <c r="J122" s="10"/>
      <c r="K122" s="7"/>
      <c r="L122" s="7"/>
      <c r="M122" s="7"/>
      <c r="N122" s="7"/>
      <c r="O122" s="7"/>
    </row>
    <row r="123" ht="22.5" hidden="1" customHeight="1">
      <c r="A123" s="8">
        <v>45590.372171828705</v>
      </c>
      <c r="B123" s="9"/>
      <c r="C123" s="9" t="s">
        <v>48</v>
      </c>
      <c r="D123" s="9" t="s">
        <v>135</v>
      </c>
      <c r="E123" s="9" t="s">
        <v>17</v>
      </c>
      <c r="F123" s="9" t="s">
        <v>35</v>
      </c>
      <c r="G123" s="9" t="s">
        <v>19</v>
      </c>
      <c r="H123" s="9" t="s">
        <v>22</v>
      </c>
      <c r="I123" s="9" t="s">
        <v>20</v>
      </c>
      <c r="J123" s="10"/>
      <c r="K123" s="7"/>
      <c r="L123" s="7"/>
      <c r="M123" s="7"/>
      <c r="N123" s="7"/>
      <c r="O123" s="7"/>
    </row>
    <row r="124" ht="22.5" hidden="1" customHeight="1">
      <c r="A124" s="8">
        <v>45590.377478009264</v>
      </c>
      <c r="B124" s="9"/>
      <c r="C124" s="9" t="s">
        <v>48</v>
      </c>
      <c r="D124" s="9" t="s">
        <v>136</v>
      </c>
      <c r="E124" s="9" t="s">
        <v>17</v>
      </c>
      <c r="F124" s="9" t="s">
        <v>17</v>
      </c>
      <c r="G124" s="9" t="s">
        <v>24</v>
      </c>
      <c r="H124" s="9" t="s">
        <v>17</v>
      </c>
      <c r="I124" s="9" t="s">
        <v>20</v>
      </c>
      <c r="J124" s="10"/>
      <c r="K124" s="7"/>
      <c r="L124" s="7"/>
      <c r="M124" s="7"/>
      <c r="N124" s="7"/>
      <c r="O124" s="7"/>
    </row>
    <row r="125" ht="22.5" hidden="1" customHeight="1">
      <c r="A125" s="8">
        <v>45590.378460821754</v>
      </c>
      <c r="B125" s="9"/>
      <c r="C125" s="9" t="s">
        <v>48</v>
      </c>
      <c r="D125" s="9" t="s">
        <v>109</v>
      </c>
      <c r="E125" s="9" t="s">
        <v>44</v>
      </c>
      <c r="F125" s="9" t="s">
        <v>18</v>
      </c>
      <c r="G125" s="9" t="s">
        <v>24</v>
      </c>
      <c r="H125" s="9" t="s">
        <v>22</v>
      </c>
      <c r="I125" s="9" t="s">
        <v>20</v>
      </c>
      <c r="J125" s="10"/>
      <c r="K125" s="7"/>
      <c r="L125" s="7"/>
      <c r="M125" s="7"/>
      <c r="N125" s="7"/>
      <c r="O125" s="7"/>
    </row>
    <row r="126" ht="22.5" hidden="1" customHeight="1">
      <c r="A126" s="8">
        <v>45590.379080416664</v>
      </c>
      <c r="B126" s="9"/>
      <c r="C126" s="9" t="s">
        <v>48</v>
      </c>
      <c r="D126" s="9" t="s">
        <v>42</v>
      </c>
      <c r="E126" s="9" t="s">
        <v>17</v>
      </c>
      <c r="F126" s="9" t="s">
        <v>18</v>
      </c>
      <c r="G126" s="9" t="s">
        <v>24</v>
      </c>
      <c r="H126" s="9" t="s">
        <v>17</v>
      </c>
      <c r="I126" s="9" t="s">
        <v>20</v>
      </c>
      <c r="J126" s="10"/>
      <c r="K126" s="7"/>
      <c r="L126" s="7"/>
      <c r="M126" s="7"/>
      <c r="N126" s="7"/>
      <c r="O126" s="7"/>
    </row>
    <row r="127" ht="22.5" hidden="1" customHeight="1">
      <c r="A127" s="8">
        <v>45590.38253105324</v>
      </c>
      <c r="B127" s="9"/>
      <c r="C127" s="9" t="s">
        <v>48</v>
      </c>
      <c r="D127" s="9" t="s">
        <v>27</v>
      </c>
      <c r="E127" s="9" t="s">
        <v>17</v>
      </c>
      <c r="F127" s="9" t="s">
        <v>17</v>
      </c>
      <c r="G127" s="9" t="s">
        <v>19</v>
      </c>
      <c r="H127" s="9" t="s">
        <v>17</v>
      </c>
      <c r="I127" s="9" t="s">
        <v>137</v>
      </c>
      <c r="J127" s="10"/>
      <c r="K127" s="7"/>
      <c r="L127" s="7"/>
      <c r="M127" s="7"/>
      <c r="N127" s="7"/>
      <c r="O127" s="7"/>
    </row>
    <row r="128" ht="22.5" hidden="1" customHeight="1">
      <c r="A128" s="8">
        <v>45592.47889627315</v>
      </c>
      <c r="B128" s="9"/>
      <c r="C128" s="9" t="s">
        <v>58</v>
      </c>
      <c r="D128" s="9" t="s">
        <v>56</v>
      </c>
      <c r="E128" s="9" t="s">
        <v>57</v>
      </c>
      <c r="F128" s="9" t="s">
        <v>43</v>
      </c>
      <c r="G128" s="9" t="s">
        <v>19</v>
      </c>
      <c r="H128" s="9" t="s">
        <v>22</v>
      </c>
      <c r="I128" s="9" t="s">
        <v>20</v>
      </c>
      <c r="J128" s="10"/>
      <c r="K128" s="7"/>
      <c r="L128" s="7"/>
      <c r="M128" s="7"/>
      <c r="N128" s="7"/>
      <c r="O128" s="7"/>
    </row>
    <row r="129" ht="22.5" hidden="1" customHeight="1">
      <c r="A129" s="8">
        <v>45592.481699236116</v>
      </c>
      <c r="B129" s="9"/>
      <c r="C129" s="9" t="s">
        <v>58</v>
      </c>
      <c r="D129" s="9" t="s">
        <v>32</v>
      </c>
      <c r="E129" s="9" t="s">
        <v>30</v>
      </c>
      <c r="F129" s="9" t="s">
        <v>43</v>
      </c>
      <c r="G129" s="9" t="s">
        <v>19</v>
      </c>
      <c r="H129" s="9" t="s">
        <v>22</v>
      </c>
      <c r="I129" s="9" t="s">
        <v>20</v>
      </c>
      <c r="J129" s="10"/>
      <c r="K129" s="7"/>
      <c r="L129" s="7"/>
      <c r="M129" s="7"/>
      <c r="N129" s="7"/>
      <c r="O129" s="7"/>
    </row>
    <row r="130" ht="22.5" hidden="1" customHeight="1">
      <c r="A130" s="8">
        <v>45592.4911937037</v>
      </c>
      <c r="B130" s="9"/>
      <c r="C130" s="9" t="s">
        <v>58</v>
      </c>
      <c r="D130" s="9" t="s">
        <v>138</v>
      </c>
      <c r="E130" s="9" t="s">
        <v>44</v>
      </c>
      <c r="F130" s="9" t="s">
        <v>17</v>
      </c>
      <c r="G130" s="9" t="s">
        <v>19</v>
      </c>
      <c r="H130" s="9" t="s">
        <v>17</v>
      </c>
      <c r="I130" s="9" t="s">
        <v>26</v>
      </c>
      <c r="J130" s="10"/>
      <c r="K130" s="7"/>
      <c r="L130" s="7"/>
      <c r="M130" s="7"/>
      <c r="N130" s="7"/>
      <c r="O130" s="7"/>
    </row>
    <row r="131" ht="22.5" hidden="1" customHeight="1">
      <c r="A131" s="8">
        <v>45593.57822759259</v>
      </c>
      <c r="B131" s="9"/>
      <c r="C131" s="9" t="s">
        <v>86</v>
      </c>
      <c r="D131" s="9" t="s">
        <v>139</v>
      </c>
      <c r="E131" s="9" t="s">
        <v>44</v>
      </c>
      <c r="F131" s="9" t="s">
        <v>17</v>
      </c>
      <c r="G131" s="9" t="s">
        <v>24</v>
      </c>
      <c r="H131" s="9" t="s">
        <v>17</v>
      </c>
      <c r="I131" s="9" t="s">
        <v>20</v>
      </c>
      <c r="J131" s="10"/>
      <c r="K131" s="7"/>
      <c r="L131" s="7"/>
      <c r="M131" s="7"/>
      <c r="N131" s="7"/>
      <c r="O131" s="7"/>
    </row>
    <row r="132" ht="22.5" hidden="1" customHeight="1">
      <c r="A132" s="8">
        <v>45593.580951701384</v>
      </c>
      <c r="B132" s="9"/>
      <c r="C132" s="9" t="s">
        <v>86</v>
      </c>
      <c r="D132" s="9" t="s">
        <v>59</v>
      </c>
      <c r="E132" s="9" t="s">
        <v>61</v>
      </c>
      <c r="F132" s="9" t="s">
        <v>39</v>
      </c>
      <c r="G132" s="9" t="s">
        <v>24</v>
      </c>
      <c r="H132" s="9" t="s">
        <v>62</v>
      </c>
      <c r="I132" s="9" t="s">
        <v>20</v>
      </c>
      <c r="J132" s="10"/>
      <c r="K132" s="7"/>
      <c r="L132" s="7"/>
      <c r="M132" s="7"/>
      <c r="N132" s="7"/>
      <c r="O132" s="7"/>
    </row>
    <row r="133" ht="22.5" hidden="1" customHeight="1">
      <c r="A133" s="8">
        <v>45593.583874918986</v>
      </c>
      <c r="B133" s="9"/>
      <c r="C133" s="9" t="s">
        <v>86</v>
      </c>
      <c r="D133" s="9" t="s">
        <v>33</v>
      </c>
      <c r="E133" s="9" t="s">
        <v>44</v>
      </c>
      <c r="F133" s="9" t="s">
        <v>17</v>
      </c>
      <c r="G133" s="9" t="s">
        <v>19</v>
      </c>
      <c r="H133" s="9" t="s">
        <v>17</v>
      </c>
      <c r="I133" s="9" t="s">
        <v>26</v>
      </c>
      <c r="J133" s="10"/>
      <c r="K133" s="7"/>
      <c r="L133" s="7"/>
      <c r="M133" s="7"/>
      <c r="N133" s="7"/>
      <c r="O133" s="7"/>
    </row>
    <row r="134" ht="22.5" hidden="1" customHeight="1">
      <c r="A134" s="8">
        <v>45593.58438078704</v>
      </c>
      <c r="B134" s="9"/>
      <c r="C134" s="9" t="s">
        <v>86</v>
      </c>
      <c r="D134" s="9" t="s">
        <v>138</v>
      </c>
      <c r="E134" s="9" t="s">
        <v>140</v>
      </c>
      <c r="F134" s="9" t="s">
        <v>17</v>
      </c>
      <c r="G134" s="9" t="s">
        <v>19</v>
      </c>
      <c r="H134" s="9" t="s">
        <v>25</v>
      </c>
      <c r="I134" s="9" t="s">
        <v>26</v>
      </c>
      <c r="J134" s="10"/>
      <c r="K134" s="7"/>
      <c r="L134" s="7"/>
      <c r="M134" s="7"/>
      <c r="N134" s="7"/>
      <c r="O134" s="7"/>
    </row>
    <row r="135" ht="22.5" hidden="1" customHeight="1">
      <c r="A135" s="8">
        <v>45593.58514263888</v>
      </c>
      <c r="B135" s="9"/>
      <c r="C135" s="9" t="s">
        <v>86</v>
      </c>
      <c r="D135" s="9" t="s">
        <v>141</v>
      </c>
      <c r="E135" s="9" t="s">
        <v>46</v>
      </c>
      <c r="F135" s="9" t="s">
        <v>17</v>
      </c>
      <c r="G135" s="9" t="s">
        <v>24</v>
      </c>
      <c r="H135" s="9" t="s">
        <v>17</v>
      </c>
      <c r="I135" s="9" t="s">
        <v>79</v>
      </c>
      <c r="J135" s="10"/>
      <c r="K135" s="7"/>
      <c r="L135" s="7"/>
      <c r="M135" s="7"/>
      <c r="N135" s="7"/>
      <c r="O135" s="7"/>
    </row>
    <row r="136" ht="22.5" hidden="1" customHeight="1">
      <c r="A136" s="8">
        <v>45593.59327837963</v>
      </c>
      <c r="B136" s="9"/>
      <c r="C136" s="9" t="s">
        <v>86</v>
      </c>
      <c r="D136" s="9" t="s">
        <v>133</v>
      </c>
      <c r="E136" s="9" t="s">
        <v>30</v>
      </c>
      <c r="F136" s="9" t="s">
        <v>17</v>
      </c>
      <c r="G136" s="9" t="s">
        <v>24</v>
      </c>
      <c r="H136" s="9" t="s">
        <v>22</v>
      </c>
      <c r="I136" s="9" t="s">
        <v>20</v>
      </c>
      <c r="J136" s="10"/>
      <c r="K136" s="7"/>
      <c r="L136" s="7"/>
      <c r="M136" s="7"/>
      <c r="N136" s="7"/>
      <c r="O136" s="7"/>
    </row>
    <row r="137" ht="22.5" hidden="1" customHeight="1">
      <c r="A137" s="8">
        <v>45593.594213275464</v>
      </c>
      <c r="B137" s="9"/>
      <c r="C137" s="9" t="s">
        <v>86</v>
      </c>
      <c r="D137" s="9" t="s">
        <v>142</v>
      </c>
      <c r="E137" s="9" t="s">
        <v>44</v>
      </c>
      <c r="F137" s="9" t="s">
        <v>18</v>
      </c>
      <c r="G137" s="9" t="s">
        <v>19</v>
      </c>
      <c r="H137" s="9" t="s">
        <v>25</v>
      </c>
      <c r="I137" s="9" t="s">
        <v>28</v>
      </c>
      <c r="J137" s="10"/>
      <c r="K137" s="7"/>
      <c r="L137" s="7"/>
      <c r="M137" s="7"/>
      <c r="N137" s="7"/>
      <c r="O137" s="7"/>
    </row>
    <row r="138" ht="22.5" hidden="1" customHeight="1">
      <c r="A138" s="8">
        <v>45593.594363958335</v>
      </c>
      <c r="B138" s="9"/>
      <c r="C138" s="9" t="s">
        <v>86</v>
      </c>
      <c r="D138" s="9" t="s">
        <v>123</v>
      </c>
      <c r="E138" s="9" t="s">
        <v>17</v>
      </c>
      <c r="F138" s="9" t="s">
        <v>17</v>
      </c>
      <c r="G138" s="9" t="s">
        <v>24</v>
      </c>
      <c r="H138" s="9" t="s">
        <v>17</v>
      </c>
      <c r="I138" s="9" t="s">
        <v>20</v>
      </c>
      <c r="J138" s="10"/>
      <c r="K138" s="7"/>
      <c r="L138" s="7"/>
      <c r="M138" s="7"/>
      <c r="N138" s="7"/>
      <c r="O138" s="7"/>
    </row>
    <row r="139" ht="22.5" hidden="1" customHeight="1">
      <c r="A139" s="8">
        <v>45593.60047347222</v>
      </c>
      <c r="B139" s="9"/>
      <c r="C139" s="9" t="s">
        <v>86</v>
      </c>
      <c r="D139" s="9" t="s">
        <v>143</v>
      </c>
      <c r="E139" s="9" t="s">
        <v>17</v>
      </c>
      <c r="F139" s="9" t="s">
        <v>17</v>
      </c>
      <c r="G139" s="9" t="s">
        <v>24</v>
      </c>
      <c r="H139" s="9" t="s">
        <v>25</v>
      </c>
      <c r="I139" s="9" t="s">
        <v>34</v>
      </c>
      <c r="J139" s="10"/>
      <c r="K139" s="7"/>
      <c r="L139" s="7"/>
      <c r="M139" s="7"/>
      <c r="N139" s="7"/>
      <c r="O139" s="7"/>
    </row>
    <row r="140" ht="22.5" hidden="1" customHeight="1">
      <c r="A140" s="8">
        <v>45593.60170688658</v>
      </c>
      <c r="B140" s="9"/>
      <c r="C140" s="9" t="s">
        <v>86</v>
      </c>
      <c r="D140" s="9" t="s">
        <v>66</v>
      </c>
      <c r="E140" s="9" t="s">
        <v>30</v>
      </c>
      <c r="F140" s="9" t="s">
        <v>18</v>
      </c>
      <c r="G140" s="9" t="s">
        <v>19</v>
      </c>
      <c r="H140" s="9" t="s">
        <v>22</v>
      </c>
      <c r="I140" s="9" t="s">
        <v>20</v>
      </c>
      <c r="J140" s="10"/>
      <c r="K140" s="7"/>
      <c r="L140" s="7"/>
      <c r="M140" s="7"/>
      <c r="N140" s="7"/>
      <c r="O140" s="7"/>
    </row>
    <row r="141" ht="22.5" hidden="1" customHeight="1">
      <c r="A141" s="8">
        <v>45593.60715412037</v>
      </c>
      <c r="B141" s="9"/>
      <c r="C141" s="9" t="s">
        <v>86</v>
      </c>
      <c r="D141" s="9" t="s">
        <v>144</v>
      </c>
      <c r="E141" s="9" t="s">
        <v>17</v>
      </c>
      <c r="F141" s="9" t="s">
        <v>77</v>
      </c>
      <c r="G141" s="9" t="s">
        <v>40</v>
      </c>
      <c r="H141" s="9" t="s">
        <v>22</v>
      </c>
      <c r="I141" s="9" t="s">
        <v>20</v>
      </c>
      <c r="J141" s="10"/>
      <c r="K141" s="7"/>
      <c r="L141" s="7"/>
      <c r="M141" s="7"/>
      <c r="N141" s="7"/>
      <c r="O141" s="7"/>
    </row>
    <row r="142" ht="22.5" hidden="1" customHeight="1">
      <c r="A142" s="8">
        <v>45593.6258015162</v>
      </c>
      <c r="B142" s="9"/>
      <c r="C142" s="9" t="s">
        <v>86</v>
      </c>
      <c r="D142" s="9" t="s">
        <v>145</v>
      </c>
      <c r="E142" s="9" t="s">
        <v>17</v>
      </c>
      <c r="F142" s="9" t="s">
        <v>17</v>
      </c>
      <c r="G142" s="9" t="s">
        <v>24</v>
      </c>
      <c r="H142" s="9" t="s">
        <v>22</v>
      </c>
      <c r="I142" s="9" t="s">
        <v>20</v>
      </c>
      <c r="J142" s="10"/>
      <c r="K142" s="7"/>
      <c r="L142" s="7"/>
      <c r="M142" s="7"/>
      <c r="N142" s="7"/>
      <c r="O142" s="7"/>
    </row>
    <row r="143" ht="22.5" hidden="1" customHeight="1">
      <c r="A143" s="8">
        <v>45593.62581572917</v>
      </c>
      <c r="B143" s="9"/>
      <c r="C143" s="9" t="s">
        <v>86</v>
      </c>
      <c r="D143" s="9" t="s">
        <v>32</v>
      </c>
      <c r="E143" s="9" t="s">
        <v>30</v>
      </c>
      <c r="F143" s="9" t="s">
        <v>18</v>
      </c>
      <c r="G143" s="9" t="s">
        <v>24</v>
      </c>
      <c r="H143" s="9" t="s">
        <v>22</v>
      </c>
      <c r="I143" s="9" t="s">
        <v>20</v>
      </c>
      <c r="J143" s="10"/>
      <c r="K143" s="7"/>
      <c r="L143" s="7"/>
      <c r="M143" s="7"/>
      <c r="N143" s="7"/>
      <c r="O143" s="7"/>
    </row>
    <row r="144" ht="22.5" hidden="1" customHeight="1">
      <c r="A144" s="8">
        <v>45593.626532939816</v>
      </c>
      <c r="B144" s="9"/>
      <c r="C144" s="9" t="s">
        <v>86</v>
      </c>
      <c r="D144" s="9" t="s">
        <v>146</v>
      </c>
      <c r="E144" s="9" t="s">
        <v>30</v>
      </c>
      <c r="F144" s="9" t="s">
        <v>18</v>
      </c>
      <c r="G144" s="9" t="s">
        <v>19</v>
      </c>
      <c r="H144" s="9" t="s">
        <v>25</v>
      </c>
      <c r="I144" s="9" t="s">
        <v>26</v>
      </c>
      <c r="J144" s="10"/>
      <c r="K144" s="7"/>
      <c r="L144" s="7"/>
      <c r="M144" s="7"/>
      <c r="N144" s="7"/>
      <c r="O144" s="7"/>
    </row>
    <row r="145" ht="22.5" hidden="1" customHeight="1">
      <c r="A145" s="8">
        <v>45593.627989120374</v>
      </c>
      <c r="B145" s="9"/>
      <c r="C145" s="9" t="s">
        <v>86</v>
      </c>
      <c r="D145" s="9" t="s">
        <v>147</v>
      </c>
      <c r="E145" s="9" t="s">
        <v>17</v>
      </c>
      <c r="F145" s="9" t="s">
        <v>17</v>
      </c>
      <c r="G145" s="9" t="s">
        <v>24</v>
      </c>
      <c r="H145" s="9" t="s">
        <v>22</v>
      </c>
      <c r="I145" s="9" t="s">
        <v>20</v>
      </c>
      <c r="J145" s="10"/>
      <c r="K145" s="7"/>
      <c r="L145" s="7"/>
      <c r="M145" s="7"/>
      <c r="N145" s="7"/>
      <c r="O145" s="7"/>
    </row>
    <row r="146" ht="22.5" hidden="1" customHeight="1">
      <c r="A146" s="8">
        <v>45593.62899337963</v>
      </c>
      <c r="B146" s="9"/>
      <c r="C146" s="9" t="s">
        <v>86</v>
      </c>
      <c r="D146" s="9" t="s">
        <v>148</v>
      </c>
      <c r="E146" s="9" t="s">
        <v>61</v>
      </c>
      <c r="F146" s="9" t="s">
        <v>60</v>
      </c>
      <c r="G146" s="9" t="s">
        <v>24</v>
      </c>
      <c r="H146" s="9" t="s">
        <v>22</v>
      </c>
      <c r="I146" s="9" t="s">
        <v>20</v>
      </c>
      <c r="J146" s="10"/>
      <c r="K146" s="7"/>
      <c r="L146" s="7"/>
      <c r="M146" s="7"/>
      <c r="N146" s="7"/>
      <c r="O146" s="7"/>
    </row>
    <row r="147" ht="22.5" hidden="1" customHeight="1">
      <c r="A147" s="8">
        <v>45593.63113421296</v>
      </c>
      <c r="B147" s="9"/>
      <c r="C147" s="9" t="s">
        <v>86</v>
      </c>
      <c r="D147" s="9" t="s">
        <v>149</v>
      </c>
      <c r="E147" s="9" t="s">
        <v>140</v>
      </c>
      <c r="F147" s="9" t="s">
        <v>43</v>
      </c>
      <c r="G147" s="9" t="s">
        <v>40</v>
      </c>
      <c r="H147" s="9" t="s">
        <v>25</v>
      </c>
      <c r="I147" s="9" t="s">
        <v>93</v>
      </c>
      <c r="J147" s="10"/>
      <c r="K147" s="7"/>
      <c r="L147" s="7"/>
      <c r="M147" s="7"/>
      <c r="N147" s="7"/>
      <c r="O147" s="7"/>
    </row>
    <row r="148" ht="22.5" hidden="1" customHeight="1">
      <c r="A148" s="8">
        <v>45593.63209481481</v>
      </c>
      <c r="B148" s="9"/>
      <c r="C148" s="9" t="s">
        <v>86</v>
      </c>
      <c r="D148" s="9" t="s">
        <v>150</v>
      </c>
      <c r="E148" s="9" t="s">
        <v>61</v>
      </c>
      <c r="F148" s="9" t="s">
        <v>18</v>
      </c>
      <c r="G148" s="9" t="s">
        <v>24</v>
      </c>
      <c r="H148" s="9" t="s">
        <v>25</v>
      </c>
      <c r="I148" s="9" t="s">
        <v>34</v>
      </c>
      <c r="J148" s="10"/>
      <c r="K148" s="7"/>
      <c r="L148" s="7"/>
      <c r="M148" s="7"/>
      <c r="N148" s="7"/>
      <c r="O148" s="7"/>
    </row>
    <row r="149" ht="22.5" hidden="1" customHeight="1">
      <c r="A149" s="8">
        <v>45593.63272956018</v>
      </c>
      <c r="B149" s="9"/>
      <c r="C149" s="9" t="s">
        <v>86</v>
      </c>
      <c r="D149" s="9" t="s">
        <v>151</v>
      </c>
      <c r="E149" s="9" t="s">
        <v>44</v>
      </c>
      <c r="F149" s="9" t="s">
        <v>18</v>
      </c>
      <c r="G149" s="9" t="s">
        <v>24</v>
      </c>
      <c r="H149" s="9" t="s">
        <v>22</v>
      </c>
      <c r="I149" s="9" t="s">
        <v>20</v>
      </c>
      <c r="J149" s="10"/>
      <c r="K149" s="7"/>
      <c r="L149" s="7"/>
      <c r="M149" s="7"/>
      <c r="N149" s="7"/>
      <c r="O149" s="7"/>
    </row>
    <row r="150" ht="22.5" hidden="1" customHeight="1">
      <c r="A150" s="8">
        <v>45593.63404729166</v>
      </c>
      <c r="B150" s="9"/>
      <c r="C150" s="9" t="s">
        <v>86</v>
      </c>
      <c r="D150" s="9" t="s">
        <v>152</v>
      </c>
      <c r="E150" s="9" t="s">
        <v>61</v>
      </c>
      <c r="F150" s="9" t="s">
        <v>17</v>
      </c>
      <c r="G150" s="9" t="s">
        <v>24</v>
      </c>
      <c r="H150" s="9" t="s">
        <v>62</v>
      </c>
      <c r="I150" s="9" t="s">
        <v>153</v>
      </c>
      <c r="J150" s="10"/>
      <c r="K150" s="7"/>
      <c r="L150" s="7"/>
      <c r="M150" s="7"/>
      <c r="N150" s="7"/>
      <c r="O150" s="7"/>
    </row>
    <row r="151" ht="22.5" hidden="1" customHeight="1">
      <c r="A151" s="8">
        <v>45593.635256759255</v>
      </c>
      <c r="B151" s="9"/>
      <c r="C151" s="9" t="s">
        <v>86</v>
      </c>
      <c r="D151" s="9" t="s">
        <v>154</v>
      </c>
      <c r="E151" s="9" t="s">
        <v>17</v>
      </c>
      <c r="F151" s="9" t="s">
        <v>18</v>
      </c>
      <c r="G151" s="9" t="s">
        <v>19</v>
      </c>
      <c r="H151" s="9" t="s">
        <v>22</v>
      </c>
      <c r="I151" s="9" t="s">
        <v>20</v>
      </c>
      <c r="J151" s="10"/>
      <c r="K151" s="7"/>
      <c r="L151" s="7"/>
      <c r="M151" s="7"/>
      <c r="N151" s="7"/>
      <c r="O151" s="7"/>
    </row>
    <row r="152" ht="22.5" hidden="1" customHeight="1">
      <c r="A152" s="8">
        <v>45593.636387465274</v>
      </c>
      <c r="B152" s="9"/>
      <c r="C152" s="9" t="s">
        <v>86</v>
      </c>
      <c r="D152" s="9" t="s">
        <v>76</v>
      </c>
      <c r="E152" s="9" t="s">
        <v>30</v>
      </c>
      <c r="F152" s="9" t="s">
        <v>35</v>
      </c>
      <c r="G152" s="9" t="s">
        <v>19</v>
      </c>
      <c r="H152" s="9" t="s">
        <v>22</v>
      </c>
      <c r="I152" s="9" t="s">
        <v>20</v>
      </c>
      <c r="J152" s="10"/>
      <c r="K152" s="7"/>
      <c r="L152" s="7"/>
      <c r="M152" s="7"/>
      <c r="N152" s="7"/>
      <c r="O152" s="7"/>
    </row>
    <row r="153" ht="22.5" hidden="1" customHeight="1">
      <c r="A153" s="8">
        <v>45593.63951886574</v>
      </c>
      <c r="B153" s="9"/>
      <c r="C153" s="9" t="s">
        <v>86</v>
      </c>
      <c r="D153" s="9" t="s">
        <v>155</v>
      </c>
      <c r="E153" s="9" t="s">
        <v>17</v>
      </c>
      <c r="F153" s="9" t="s">
        <v>18</v>
      </c>
      <c r="G153" s="9" t="s">
        <v>19</v>
      </c>
      <c r="H153" s="9" t="s">
        <v>25</v>
      </c>
      <c r="I153" s="9" t="s">
        <v>117</v>
      </c>
      <c r="J153" s="10"/>
      <c r="K153" s="7"/>
      <c r="L153" s="7"/>
      <c r="M153" s="7"/>
      <c r="N153" s="7"/>
      <c r="O153" s="7"/>
    </row>
    <row r="154" ht="22.5" hidden="1" customHeight="1">
      <c r="A154" s="8">
        <v>45593.647865983796</v>
      </c>
      <c r="B154" s="9"/>
      <c r="C154" s="9" t="s">
        <v>86</v>
      </c>
      <c r="D154" s="9" t="s">
        <v>111</v>
      </c>
      <c r="E154" s="9" t="s">
        <v>30</v>
      </c>
      <c r="F154" s="9" t="s">
        <v>18</v>
      </c>
      <c r="G154" s="9" t="s">
        <v>24</v>
      </c>
      <c r="H154" s="9" t="s">
        <v>22</v>
      </c>
      <c r="I154" s="9" t="s">
        <v>20</v>
      </c>
      <c r="J154" s="10"/>
      <c r="K154" s="7"/>
      <c r="L154" s="7"/>
      <c r="M154" s="7"/>
      <c r="N154" s="7"/>
      <c r="O154" s="7"/>
    </row>
    <row r="155" ht="22.5" hidden="1" customHeight="1">
      <c r="A155" s="8">
        <v>45593.64805783565</v>
      </c>
      <c r="B155" s="9"/>
      <c r="C155" s="9" t="s">
        <v>86</v>
      </c>
      <c r="D155" s="9" t="s">
        <v>156</v>
      </c>
      <c r="E155" s="9" t="s">
        <v>17</v>
      </c>
      <c r="F155" s="9" t="s">
        <v>17</v>
      </c>
      <c r="G155" s="9" t="s">
        <v>24</v>
      </c>
      <c r="H155" s="9" t="s">
        <v>22</v>
      </c>
      <c r="I155" s="9" t="s">
        <v>20</v>
      </c>
      <c r="J155" s="10"/>
      <c r="K155" s="7"/>
      <c r="L155" s="7"/>
      <c r="M155" s="7"/>
      <c r="N155" s="7"/>
      <c r="O155" s="7"/>
    </row>
    <row r="156" ht="22.5" hidden="1" customHeight="1">
      <c r="A156" s="8">
        <v>45594.36014520834</v>
      </c>
      <c r="B156" s="9"/>
      <c r="C156" s="9" t="s">
        <v>110</v>
      </c>
      <c r="D156" s="9" t="s">
        <v>157</v>
      </c>
      <c r="E156" s="9" t="s">
        <v>17</v>
      </c>
      <c r="F156" s="9" t="s">
        <v>17</v>
      </c>
      <c r="G156" s="9" t="s">
        <v>24</v>
      </c>
      <c r="H156" s="9" t="s">
        <v>17</v>
      </c>
      <c r="I156" s="9" t="s">
        <v>20</v>
      </c>
      <c r="J156" s="10"/>
      <c r="K156" s="7"/>
      <c r="L156" s="7"/>
      <c r="M156" s="7"/>
      <c r="N156" s="7"/>
      <c r="O156" s="7"/>
    </row>
    <row r="157" ht="22.5" hidden="1" customHeight="1">
      <c r="A157" s="8">
        <v>45594.36066832176</v>
      </c>
      <c r="B157" s="9"/>
      <c r="C157" s="9" t="s">
        <v>110</v>
      </c>
      <c r="D157" s="9" t="s">
        <v>141</v>
      </c>
      <c r="E157" s="9" t="s">
        <v>17</v>
      </c>
      <c r="F157" s="9" t="s">
        <v>18</v>
      </c>
      <c r="G157" s="9" t="s">
        <v>24</v>
      </c>
      <c r="H157" s="9" t="s">
        <v>17</v>
      </c>
      <c r="I157" s="9" t="s">
        <v>79</v>
      </c>
      <c r="J157" s="10"/>
      <c r="K157" s="7"/>
      <c r="L157" s="7"/>
      <c r="M157" s="7"/>
      <c r="N157" s="7"/>
      <c r="O157" s="7"/>
    </row>
    <row r="158" ht="22.5" hidden="1" customHeight="1">
      <c r="A158" s="8">
        <v>45594.360859016204</v>
      </c>
      <c r="B158" s="9"/>
      <c r="C158" s="9" t="s">
        <v>110</v>
      </c>
      <c r="D158" s="9" t="s">
        <v>133</v>
      </c>
      <c r="E158" s="9" t="s">
        <v>17</v>
      </c>
      <c r="F158" s="9" t="s">
        <v>17</v>
      </c>
      <c r="G158" s="9" t="s">
        <v>24</v>
      </c>
      <c r="H158" s="9" t="s">
        <v>25</v>
      </c>
      <c r="I158" s="9" t="s">
        <v>26</v>
      </c>
      <c r="J158" s="10"/>
      <c r="K158" s="7"/>
      <c r="L158" s="7"/>
      <c r="M158" s="7"/>
      <c r="N158" s="7"/>
      <c r="O158" s="7"/>
    </row>
    <row r="159" ht="22.5" hidden="1" customHeight="1">
      <c r="A159" s="8">
        <v>45594.362815370376</v>
      </c>
      <c r="B159" s="9"/>
      <c r="C159" s="9" t="s">
        <v>110</v>
      </c>
      <c r="D159" s="9" t="s">
        <v>111</v>
      </c>
      <c r="E159" s="9" t="s">
        <v>30</v>
      </c>
      <c r="F159" s="9" t="s">
        <v>18</v>
      </c>
      <c r="G159" s="9" t="s">
        <v>24</v>
      </c>
      <c r="H159" s="9" t="s">
        <v>22</v>
      </c>
      <c r="I159" s="9" t="s">
        <v>20</v>
      </c>
      <c r="J159" s="10"/>
      <c r="K159" s="7"/>
      <c r="L159" s="7"/>
      <c r="M159" s="7"/>
      <c r="N159" s="7"/>
      <c r="O159" s="7"/>
    </row>
    <row r="160" ht="22.5" hidden="1" customHeight="1">
      <c r="A160" s="8">
        <v>45594.36508631945</v>
      </c>
      <c r="B160" s="9"/>
      <c r="C160" s="9" t="s">
        <v>110</v>
      </c>
      <c r="D160" s="9" t="s">
        <v>49</v>
      </c>
      <c r="E160" s="9" t="s">
        <v>17</v>
      </c>
      <c r="F160" s="9" t="s">
        <v>17</v>
      </c>
      <c r="G160" s="9" t="s">
        <v>24</v>
      </c>
      <c r="H160" s="9" t="s">
        <v>17</v>
      </c>
      <c r="I160" s="9" t="s">
        <v>20</v>
      </c>
      <c r="J160" s="10"/>
      <c r="K160" s="7"/>
      <c r="L160" s="7"/>
      <c r="M160" s="7"/>
      <c r="N160" s="7"/>
      <c r="O160" s="7"/>
    </row>
    <row r="161" ht="22.5" hidden="1" customHeight="1">
      <c r="A161" s="8">
        <v>45594.3654202662</v>
      </c>
      <c r="B161" s="9"/>
      <c r="C161" s="9" t="s">
        <v>110</v>
      </c>
      <c r="D161" s="9" t="s">
        <v>42</v>
      </c>
      <c r="E161" s="9" t="s">
        <v>30</v>
      </c>
      <c r="F161" s="9" t="s">
        <v>43</v>
      </c>
      <c r="G161" s="9" t="s">
        <v>19</v>
      </c>
      <c r="H161" s="9" t="s">
        <v>17</v>
      </c>
      <c r="I161" s="9" t="s">
        <v>20</v>
      </c>
      <c r="J161" s="10"/>
      <c r="K161" s="7"/>
      <c r="L161" s="7"/>
      <c r="M161" s="7"/>
      <c r="N161" s="7"/>
      <c r="O161" s="7"/>
    </row>
    <row r="162" ht="22.5" hidden="1" customHeight="1">
      <c r="A162" s="8">
        <v>45594.369141030096</v>
      </c>
      <c r="B162" s="9"/>
      <c r="C162" s="9" t="s">
        <v>110</v>
      </c>
      <c r="D162" s="9" t="s">
        <v>123</v>
      </c>
      <c r="E162" s="9" t="s">
        <v>17</v>
      </c>
      <c r="F162" s="9" t="s">
        <v>17</v>
      </c>
      <c r="G162" s="9" t="s">
        <v>19</v>
      </c>
      <c r="H162" s="9" t="s">
        <v>17</v>
      </c>
      <c r="I162" s="9" t="s">
        <v>20</v>
      </c>
      <c r="J162" s="10"/>
      <c r="K162" s="7"/>
      <c r="L162" s="7"/>
      <c r="M162" s="7"/>
      <c r="N162" s="7"/>
      <c r="O162" s="7"/>
    </row>
    <row r="163" ht="22.5" hidden="1" customHeight="1">
      <c r="A163" s="8">
        <v>45594.369889548616</v>
      </c>
      <c r="B163" s="9"/>
      <c r="C163" s="9" t="s">
        <v>110</v>
      </c>
      <c r="D163" s="9" t="s">
        <v>56</v>
      </c>
      <c r="E163" s="9" t="s">
        <v>17</v>
      </c>
      <c r="F163" s="9" t="s">
        <v>43</v>
      </c>
      <c r="G163" s="9" t="s">
        <v>24</v>
      </c>
      <c r="H163" s="9" t="s">
        <v>17</v>
      </c>
      <c r="I163" s="9" t="s">
        <v>117</v>
      </c>
      <c r="J163" s="10"/>
      <c r="K163" s="7"/>
      <c r="L163" s="7"/>
      <c r="M163" s="7"/>
      <c r="N163" s="7"/>
      <c r="O163" s="7"/>
    </row>
    <row r="164" ht="22.5" hidden="1" customHeight="1">
      <c r="A164" s="8">
        <v>45594.36992208334</v>
      </c>
      <c r="B164" s="9"/>
      <c r="C164" s="9" t="s">
        <v>110</v>
      </c>
      <c r="D164" s="9" t="s">
        <v>27</v>
      </c>
      <c r="E164" s="9" t="s">
        <v>17</v>
      </c>
      <c r="F164" s="9" t="s">
        <v>17</v>
      </c>
      <c r="G164" s="9" t="s">
        <v>24</v>
      </c>
      <c r="H164" s="9" t="s">
        <v>17</v>
      </c>
      <c r="I164" s="9" t="s">
        <v>137</v>
      </c>
      <c r="J164" s="10"/>
      <c r="K164" s="7"/>
      <c r="L164" s="7"/>
      <c r="M164" s="7"/>
      <c r="N164" s="7"/>
      <c r="O164" s="7"/>
    </row>
    <row r="165" ht="22.5" hidden="1" customHeight="1">
      <c r="A165" s="8">
        <v>45594.370815138886</v>
      </c>
      <c r="B165" s="9"/>
      <c r="C165" s="9" t="s">
        <v>110</v>
      </c>
      <c r="D165" s="9" t="s">
        <v>38</v>
      </c>
      <c r="E165" s="9" t="s">
        <v>17</v>
      </c>
      <c r="F165" s="9" t="s">
        <v>17</v>
      </c>
      <c r="G165" s="9" t="s">
        <v>24</v>
      </c>
      <c r="H165" s="9" t="s">
        <v>17</v>
      </c>
      <c r="I165" s="9" t="s">
        <v>158</v>
      </c>
      <c r="J165" s="10"/>
      <c r="K165" s="7"/>
      <c r="L165" s="7"/>
      <c r="M165" s="7"/>
      <c r="N165" s="7"/>
      <c r="O165" s="7"/>
    </row>
    <row r="166" ht="22.5" hidden="1" customHeight="1">
      <c r="A166" s="8">
        <v>45594.372986319446</v>
      </c>
      <c r="B166" s="9"/>
      <c r="C166" s="9" t="s">
        <v>110</v>
      </c>
      <c r="D166" s="9" t="s">
        <v>32</v>
      </c>
      <c r="E166" s="9" t="s">
        <v>17</v>
      </c>
      <c r="F166" s="9" t="s">
        <v>35</v>
      </c>
      <c r="G166" s="9" t="s">
        <v>24</v>
      </c>
      <c r="H166" s="9" t="s">
        <v>17</v>
      </c>
      <c r="I166" s="9" t="s">
        <v>20</v>
      </c>
      <c r="J166" s="10"/>
      <c r="K166" s="7"/>
      <c r="L166" s="7"/>
      <c r="M166" s="7"/>
      <c r="N166" s="7"/>
      <c r="O166" s="7"/>
    </row>
    <row r="167" ht="22.5" hidden="1" customHeight="1">
      <c r="A167" s="8">
        <v>45594.37768883102</v>
      </c>
      <c r="B167" s="9"/>
      <c r="C167" s="9" t="s">
        <v>110</v>
      </c>
      <c r="D167" s="9" t="s">
        <v>129</v>
      </c>
      <c r="E167" s="9" t="s">
        <v>17</v>
      </c>
      <c r="F167" s="9" t="s">
        <v>35</v>
      </c>
      <c r="G167" s="9" t="s">
        <v>19</v>
      </c>
      <c r="H167" s="9" t="s">
        <v>17</v>
      </c>
      <c r="I167" s="9" t="s">
        <v>20</v>
      </c>
      <c r="J167" s="10"/>
      <c r="K167" s="7"/>
      <c r="L167" s="7"/>
      <c r="M167" s="7"/>
      <c r="N167" s="7"/>
      <c r="O167" s="7"/>
    </row>
    <row r="168" ht="22.5" hidden="1" customHeight="1">
      <c r="A168" s="8">
        <v>45594.39929425926</v>
      </c>
      <c r="B168" s="9"/>
      <c r="C168" s="9" t="s">
        <v>110</v>
      </c>
      <c r="D168" s="9" t="s">
        <v>138</v>
      </c>
      <c r="E168" s="9" t="s">
        <v>46</v>
      </c>
      <c r="F168" s="9" t="s">
        <v>17</v>
      </c>
      <c r="G168" s="9" t="s">
        <v>24</v>
      </c>
      <c r="H168" s="9" t="s">
        <v>25</v>
      </c>
      <c r="I168" s="9" t="s">
        <v>26</v>
      </c>
      <c r="J168" s="10"/>
      <c r="K168" s="7"/>
      <c r="L168" s="7"/>
      <c r="M168" s="7"/>
      <c r="N168" s="7"/>
      <c r="O168" s="7"/>
    </row>
    <row r="169" ht="22.5" hidden="1" customHeight="1">
      <c r="A169" s="8">
        <v>45595.34332697917</v>
      </c>
      <c r="B169" s="9"/>
      <c r="C169" s="9" t="s">
        <v>15</v>
      </c>
      <c r="D169" s="9" t="s">
        <v>33</v>
      </c>
      <c r="E169" s="9" t="s">
        <v>17</v>
      </c>
      <c r="F169" s="9" t="s">
        <v>35</v>
      </c>
      <c r="G169" s="9" t="s">
        <v>19</v>
      </c>
      <c r="H169" s="9" t="s">
        <v>17</v>
      </c>
      <c r="I169" s="9" t="s">
        <v>20</v>
      </c>
      <c r="J169" s="10"/>
      <c r="K169" s="7"/>
      <c r="L169" s="7"/>
      <c r="M169" s="7"/>
      <c r="N169" s="7"/>
      <c r="O169" s="7"/>
    </row>
    <row r="170" ht="22.5" hidden="1" customHeight="1">
      <c r="A170" s="8">
        <v>45595.34742348379</v>
      </c>
      <c r="B170" s="9"/>
      <c r="C170" s="9" t="s">
        <v>15</v>
      </c>
      <c r="D170" s="9" t="s">
        <v>123</v>
      </c>
      <c r="E170" s="9" t="s">
        <v>17</v>
      </c>
      <c r="F170" s="9" t="s">
        <v>17</v>
      </c>
      <c r="G170" s="9" t="s">
        <v>19</v>
      </c>
      <c r="H170" s="9" t="s">
        <v>17</v>
      </c>
      <c r="I170" s="9" t="s">
        <v>20</v>
      </c>
      <c r="J170" s="10"/>
      <c r="K170" s="7"/>
      <c r="L170" s="7"/>
      <c r="M170" s="7"/>
      <c r="N170" s="7"/>
      <c r="O170" s="7"/>
    </row>
    <row r="171" ht="22.5" hidden="1" customHeight="1">
      <c r="A171" s="8">
        <v>45595.353386365736</v>
      </c>
      <c r="B171" s="9"/>
      <c r="C171" s="9" t="s">
        <v>15</v>
      </c>
      <c r="D171" s="9" t="s">
        <v>138</v>
      </c>
      <c r="E171" s="9" t="s">
        <v>17</v>
      </c>
      <c r="F171" s="9" t="s">
        <v>35</v>
      </c>
      <c r="G171" s="9" t="s">
        <v>19</v>
      </c>
      <c r="H171" s="9" t="s">
        <v>25</v>
      </c>
      <c r="I171" s="9" t="s">
        <v>26</v>
      </c>
      <c r="J171" s="10"/>
      <c r="K171" s="7"/>
      <c r="L171" s="7"/>
      <c r="M171" s="7"/>
      <c r="N171" s="7"/>
      <c r="O171" s="7"/>
    </row>
    <row r="172" ht="22.5" hidden="1" customHeight="1">
      <c r="A172" s="8">
        <v>45595.35618041667</v>
      </c>
      <c r="B172" s="9"/>
      <c r="C172" s="9" t="s">
        <v>15</v>
      </c>
      <c r="D172" s="9" t="s">
        <v>32</v>
      </c>
      <c r="E172" s="9" t="s">
        <v>44</v>
      </c>
      <c r="F172" s="9" t="s">
        <v>18</v>
      </c>
      <c r="G172" s="9" t="s">
        <v>24</v>
      </c>
      <c r="H172" s="9" t="s">
        <v>22</v>
      </c>
      <c r="I172" s="9" t="s">
        <v>20</v>
      </c>
      <c r="J172" s="10"/>
      <c r="K172" s="7"/>
      <c r="L172" s="7"/>
      <c r="M172" s="7"/>
      <c r="N172" s="7"/>
      <c r="O172" s="7"/>
    </row>
    <row r="173" ht="22.5" hidden="1" customHeight="1">
      <c r="A173" s="8">
        <v>45595.359860752316</v>
      </c>
      <c r="B173" s="9"/>
      <c r="C173" s="9" t="s">
        <v>15</v>
      </c>
      <c r="D173" s="9" t="s">
        <v>88</v>
      </c>
      <c r="E173" s="9" t="s">
        <v>30</v>
      </c>
      <c r="F173" s="9" t="s">
        <v>35</v>
      </c>
      <c r="G173" s="9" t="s">
        <v>24</v>
      </c>
      <c r="H173" s="9" t="s">
        <v>25</v>
      </c>
      <c r="I173" s="9" t="s">
        <v>159</v>
      </c>
      <c r="J173" s="10"/>
      <c r="K173" s="7"/>
      <c r="L173" s="7"/>
      <c r="M173" s="7"/>
      <c r="N173" s="7"/>
      <c r="O173" s="7"/>
    </row>
    <row r="174" ht="22.5" hidden="1" customHeight="1">
      <c r="A174" s="8">
        <v>45595.3633002662</v>
      </c>
      <c r="B174" s="9"/>
      <c r="C174" s="9" t="s">
        <v>15</v>
      </c>
      <c r="D174" s="9" t="s">
        <v>120</v>
      </c>
      <c r="E174" s="9" t="s">
        <v>17</v>
      </c>
      <c r="F174" s="9" t="s">
        <v>17</v>
      </c>
      <c r="G174" s="9" t="s">
        <v>24</v>
      </c>
      <c r="H174" s="9" t="s">
        <v>17</v>
      </c>
      <c r="I174" s="9" t="s">
        <v>20</v>
      </c>
      <c r="J174" s="10"/>
      <c r="K174" s="7"/>
      <c r="L174" s="7"/>
      <c r="M174" s="7"/>
      <c r="N174" s="7"/>
      <c r="O174" s="7"/>
    </row>
    <row r="175" ht="22.5" hidden="1" customHeight="1">
      <c r="A175" s="8">
        <v>45595.36618755787</v>
      </c>
      <c r="B175" s="9"/>
      <c r="C175" s="9" t="s">
        <v>15</v>
      </c>
      <c r="D175" s="9" t="s">
        <v>27</v>
      </c>
      <c r="E175" s="9" t="s">
        <v>17</v>
      </c>
      <c r="F175" s="9" t="s">
        <v>17</v>
      </c>
      <c r="G175" s="9" t="s">
        <v>24</v>
      </c>
      <c r="H175" s="9" t="s">
        <v>17</v>
      </c>
      <c r="I175" s="9" t="s">
        <v>137</v>
      </c>
      <c r="J175" s="10"/>
      <c r="K175" s="7"/>
      <c r="L175" s="7"/>
      <c r="M175" s="7"/>
      <c r="N175" s="7"/>
      <c r="O175" s="7"/>
    </row>
    <row r="176" ht="22.5" hidden="1" customHeight="1">
      <c r="A176" s="8">
        <v>45595.37430324074</v>
      </c>
      <c r="B176" s="9"/>
      <c r="C176" s="9" t="s">
        <v>15</v>
      </c>
      <c r="D176" s="9" t="s">
        <v>160</v>
      </c>
      <c r="E176" s="9" t="s">
        <v>17</v>
      </c>
      <c r="F176" s="9" t="s">
        <v>17</v>
      </c>
      <c r="G176" s="9" t="s">
        <v>24</v>
      </c>
      <c r="H176" s="9" t="s">
        <v>25</v>
      </c>
      <c r="I176" s="9" t="s">
        <v>153</v>
      </c>
      <c r="J176" s="10"/>
      <c r="K176" s="7"/>
      <c r="L176" s="7"/>
      <c r="M176" s="7"/>
      <c r="N176" s="7"/>
      <c r="O176" s="7"/>
    </row>
    <row r="177" ht="22.5" hidden="1" customHeight="1">
      <c r="A177" s="8">
        <v>45595.374958217595</v>
      </c>
      <c r="B177" s="9"/>
      <c r="C177" s="9" t="s">
        <v>15</v>
      </c>
      <c r="D177" s="9" t="s">
        <v>161</v>
      </c>
      <c r="E177" s="9" t="s">
        <v>30</v>
      </c>
      <c r="F177" s="9" t="s">
        <v>43</v>
      </c>
      <c r="G177" s="9" t="s">
        <v>24</v>
      </c>
      <c r="H177" s="9" t="s">
        <v>25</v>
      </c>
      <c r="I177" s="9" t="s">
        <v>26</v>
      </c>
      <c r="J177" s="10"/>
      <c r="K177" s="7"/>
      <c r="L177" s="7"/>
      <c r="M177" s="7"/>
      <c r="N177" s="7"/>
      <c r="O177" s="7"/>
    </row>
    <row r="178" ht="22.5" hidden="1" customHeight="1">
      <c r="A178" s="8">
        <v>45595.37552609954</v>
      </c>
      <c r="B178" s="9"/>
      <c r="C178" s="9" t="s">
        <v>15</v>
      </c>
      <c r="D178" s="9" t="s">
        <v>162</v>
      </c>
      <c r="E178" s="9" t="s">
        <v>44</v>
      </c>
      <c r="F178" s="9" t="s">
        <v>18</v>
      </c>
      <c r="G178" s="9" t="s">
        <v>24</v>
      </c>
      <c r="H178" s="9" t="s">
        <v>22</v>
      </c>
      <c r="I178" s="9" t="s">
        <v>20</v>
      </c>
      <c r="J178" s="10"/>
      <c r="K178" s="7"/>
      <c r="L178" s="7"/>
      <c r="M178" s="7"/>
      <c r="N178" s="7"/>
      <c r="O178" s="7"/>
    </row>
    <row r="179" ht="22.5" hidden="1" customHeight="1">
      <c r="A179" s="8">
        <v>45595.376047743055</v>
      </c>
      <c r="B179" s="9"/>
      <c r="C179" s="9" t="s">
        <v>15</v>
      </c>
      <c r="D179" s="9" t="s">
        <v>163</v>
      </c>
      <c r="E179" s="9" t="s">
        <v>30</v>
      </c>
      <c r="F179" s="9" t="s">
        <v>18</v>
      </c>
      <c r="G179" s="9" t="s">
        <v>24</v>
      </c>
      <c r="H179" s="9" t="s">
        <v>22</v>
      </c>
      <c r="I179" s="9" t="s">
        <v>20</v>
      </c>
      <c r="J179" s="10"/>
      <c r="K179" s="7"/>
      <c r="L179" s="7"/>
      <c r="M179" s="7"/>
      <c r="N179" s="7"/>
      <c r="O179" s="7"/>
    </row>
    <row r="180" ht="22.5" hidden="1" customHeight="1">
      <c r="A180" s="8">
        <v>45595.377526805554</v>
      </c>
      <c r="B180" s="9"/>
      <c r="C180" s="9" t="s">
        <v>15</v>
      </c>
      <c r="D180" s="9" t="s">
        <v>164</v>
      </c>
      <c r="E180" s="9" t="s">
        <v>61</v>
      </c>
      <c r="F180" s="9" t="s">
        <v>35</v>
      </c>
      <c r="G180" s="9" t="s">
        <v>19</v>
      </c>
      <c r="H180" s="9" t="s">
        <v>62</v>
      </c>
      <c r="I180" s="9" t="s">
        <v>165</v>
      </c>
      <c r="J180" s="10"/>
      <c r="K180" s="7"/>
      <c r="L180" s="7"/>
      <c r="M180" s="7"/>
      <c r="N180" s="7"/>
      <c r="O180" s="7"/>
    </row>
    <row r="181" ht="22.5" hidden="1" customHeight="1">
      <c r="A181" s="8">
        <v>45595.37864081019</v>
      </c>
      <c r="B181" s="9"/>
      <c r="C181" s="9" t="s">
        <v>15</v>
      </c>
      <c r="D181" s="9" t="s">
        <v>133</v>
      </c>
      <c r="E181" s="9" t="s">
        <v>17</v>
      </c>
      <c r="F181" s="9" t="s">
        <v>18</v>
      </c>
      <c r="G181" s="9" t="s">
        <v>24</v>
      </c>
      <c r="H181" s="9" t="s">
        <v>17</v>
      </c>
      <c r="I181" s="9" t="s">
        <v>73</v>
      </c>
      <c r="J181" s="10"/>
      <c r="K181" s="7"/>
      <c r="L181" s="7"/>
      <c r="M181" s="7"/>
      <c r="N181" s="7"/>
      <c r="O181" s="7"/>
    </row>
    <row r="182" ht="22.5" hidden="1" customHeight="1">
      <c r="A182" s="8">
        <v>45595.37949222222</v>
      </c>
      <c r="B182" s="9"/>
      <c r="C182" s="9" t="s">
        <v>15</v>
      </c>
      <c r="D182" s="9" t="s">
        <v>155</v>
      </c>
      <c r="E182" s="9" t="s">
        <v>17</v>
      </c>
      <c r="F182" s="9" t="s">
        <v>43</v>
      </c>
      <c r="G182" s="9" t="s">
        <v>19</v>
      </c>
      <c r="H182" s="9" t="s">
        <v>62</v>
      </c>
      <c r="I182" s="9" t="s">
        <v>79</v>
      </c>
      <c r="J182" s="10"/>
      <c r="K182" s="7"/>
      <c r="L182" s="7"/>
      <c r="M182" s="7"/>
      <c r="N182" s="7"/>
      <c r="O182" s="7"/>
    </row>
    <row r="183" ht="22.5" hidden="1" customHeight="1">
      <c r="A183" s="8">
        <v>45595.38029505787</v>
      </c>
      <c r="B183" s="9"/>
      <c r="C183" s="9" t="s">
        <v>15</v>
      </c>
      <c r="D183" s="9" t="s">
        <v>166</v>
      </c>
      <c r="E183" s="9" t="s">
        <v>17</v>
      </c>
      <c r="F183" s="9" t="s">
        <v>18</v>
      </c>
      <c r="G183" s="9" t="s">
        <v>24</v>
      </c>
      <c r="H183" s="9" t="s">
        <v>62</v>
      </c>
      <c r="I183" s="9" t="s">
        <v>79</v>
      </c>
      <c r="J183" s="10"/>
      <c r="K183" s="7"/>
      <c r="L183" s="7"/>
      <c r="M183" s="7"/>
      <c r="N183" s="7"/>
      <c r="O183" s="7"/>
    </row>
    <row r="184" ht="22.5" hidden="1" customHeight="1">
      <c r="A184" s="8">
        <v>45595.38207342592</v>
      </c>
      <c r="B184" s="9"/>
      <c r="C184" s="9" t="s">
        <v>15</v>
      </c>
      <c r="D184" s="9" t="s">
        <v>29</v>
      </c>
      <c r="E184" s="9" t="s">
        <v>17</v>
      </c>
      <c r="F184" s="9" t="s">
        <v>17</v>
      </c>
      <c r="G184" s="9" t="s">
        <v>24</v>
      </c>
      <c r="H184" s="9" t="s">
        <v>17</v>
      </c>
      <c r="I184" s="9" t="s">
        <v>20</v>
      </c>
      <c r="J184" s="10"/>
      <c r="K184" s="7"/>
      <c r="L184" s="7"/>
      <c r="M184" s="7"/>
      <c r="N184" s="7"/>
      <c r="O184" s="7"/>
    </row>
    <row r="185" ht="22.5" hidden="1" customHeight="1">
      <c r="A185" s="8">
        <v>45595.382572187504</v>
      </c>
      <c r="B185" s="9"/>
      <c r="C185" s="9" t="s">
        <v>15</v>
      </c>
      <c r="D185" s="9" t="s">
        <v>167</v>
      </c>
      <c r="E185" s="9" t="s">
        <v>17</v>
      </c>
      <c r="F185" s="9" t="s">
        <v>60</v>
      </c>
      <c r="G185" s="9" t="s">
        <v>40</v>
      </c>
      <c r="H185" s="9" t="s">
        <v>62</v>
      </c>
      <c r="I185" s="9" t="s">
        <v>79</v>
      </c>
      <c r="J185" s="10"/>
      <c r="K185" s="7"/>
      <c r="L185" s="7"/>
      <c r="M185" s="7"/>
      <c r="N185" s="7"/>
      <c r="O185" s="7"/>
    </row>
    <row r="186" ht="22.5" hidden="1" customHeight="1">
      <c r="A186" s="8">
        <v>45595.38302060185</v>
      </c>
      <c r="B186" s="9"/>
      <c r="C186" s="9" t="s">
        <v>15</v>
      </c>
      <c r="D186" s="9" t="s">
        <v>168</v>
      </c>
      <c r="E186" s="9" t="s">
        <v>17</v>
      </c>
      <c r="F186" s="9" t="s">
        <v>35</v>
      </c>
      <c r="G186" s="9" t="s">
        <v>24</v>
      </c>
      <c r="H186" s="9" t="s">
        <v>62</v>
      </c>
      <c r="I186" s="9" t="s">
        <v>79</v>
      </c>
      <c r="J186" s="10"/>
      <c r="K186" s="7"/>
      <c r="L186" s="7"/>
      <c r="M186" s="7"/>
      <c r="N186" s="7"/>
      <c r="O186" s="7"/>
    </row>
    <row r="187" ht="22.5" hidden="1" customHeight="1">
      <c r="A187" s="8">
        <v>45595.385374062505</v>
      </c>
      <c r="B187" s="9"/>
      <c r="C187" s="9" t="s">
        <v>15</v>
      </c>
      <c r="D187" s="9" t="s">
        <v>169</v>
      </c>
      <c r="E187" s="9" t="s">
        <v>17</v>
      </c>
      <c r="F187" s="9" t="s">
        <v>17</v>
      </c>
      <c r="G187" s="9" t="s">
        <v>24</v>
      </c>
      <c r="H187" s="9" t="s">
        <v>22</v>
      </c>
      <c r="I187" s="9" t="s">
        <v>20</v>
      </c>
      <c r="J187" s="10"/>
      <c r="K187" s="7"/>
      <c r="L187" s="7"/>
      <c r="M187" s="7"/>
      <c r="N187" s="7"/>
      <c r="O187" s="7"/>
    </row>
    <row r="188" ht="22.5" hidden="1" customHeight="1">
      <c r="A188" s="8">
        <v>45595.3862474537</v>
      </c>
      <c r="B188" s="9"/>
      <c r="C188" s="9" t="s">
        <v>15</v>
      </c>
      <c r="D188" s="9" t="s">
        <v>111</v>
      </c>
      <c r="E188" s="9" t="s">
        <v>57</v>
      </c>
      <c r="F188" s="9" t="s">
        <v>43</v>
      </c>
      <c r="G188" s="9" t="s">
        <v>19</v>
      </c>
      <c r="H188" s="9" t="s">
        <v>22</v>
      </c>
      <c r="I188" s="9" t="s">
        <v>20</v>
      </c>
      <c r="J188" s="10"/>
      <c r="K188" s="7"/>
      <c r="L188" s="7"/>
      <c r="M188" s="7"/>
      <c r="N188" s="7"/>
      <c r="O188" s="7"/>
    </row>
    <row r="189" ht="22.5" hidden="1" customHeight="1">
      <c r="A189" s="8">
        <v>45595.38747440973</v>
      </c>
      <c r="B189" s="9"/>
      <c r="C189" s="9" t="s">
        <v>15</v>
      </c>
      <c r="D189" s="9" t="s">
        <v>129</v>
      </c>
      <c r="E189" s="9" t="s">
        <v>44</v>
      </c>
      <c r="F189" s="9" t="s">
        <v>17</v>
      </c>
      <c r="G189" s="9" t="s">
        <v>24</v>
      </c>
      <c r="H189" s="9" t="s">
        <v>62</v>
      </c>
      <c r="I189" s="9" t="s">
        <v>20</v>
      </c>
      <c r="J189" s="10"/>
      <c r="K189" s="7"/>
      <c r="L189" s="7"/>
      <c r="M189" s="7"/>
      <c r="N189" s="7"/>
      <c r="O189" s="7"/>
    </row>
    <row r="190" ht="22.5" hidden="1" customHeight="1">
      <c r="A190" s="8">
        <v>45595.39384225695</v>
      </c>
      <c r="B190" s="9"/>
      <c r="C190" s="9" t="s">
        <v>15</v>
      </c>
      <c r="D190" s="9" t="s">
        <v>170</v>
      </c>
      <c r="E190" s="9" t="s">
        <v>61</v>
      </c>
      <c r="F190" s="9" t="s">
        <v>18</v>
      </c>
      <c r="G190" s="9" t="s">
        <v>19</v>
      </c>
      <c r="H190" s="9" t="s">
        <v>22</v>
      </c>
      <c r="I190" s="9" t="s">
        <v>20</v>
      </c>
      <c r="J190" s="10"/>
      <c r="K190" s="7"/>
      <c r="L190" s="7"/>
      <c r="M190" s="7"/>
      <c r="N190" s="7"/>
      <c r="O190" s="7"/>
    </row>
    <row r="191" ht="22.5" hidden="1" customHeight="1">
      <c r="A191" s="8">
        <v>45595.396180289354</v>
      </c>
      <c r="B191" s="9"/>
      <c r="C191" s="9" t="s">
        <v>15</v>
      </c>
      <c r="D191" s="9" t="s">
        <v>38</v>
      </c>
      <c r="E191" s="9" t="s">
        <v>17</v>
      </c>
      <c r="F191" s="9" t="s">
        <v>35</v>
      </c>
      <c r="G191" s="9" t="s">
        <v>24</v>
      </c>
      <c r="H191" s="9" t="s">
        <v>17</v>
      </c>
      <c r="I191" s="9" t="s">
        <v>20</v>
      </c>
      <c r="J191" s="10"/>
      <c r="K191" s="7"/>
      <c r="L191" s="7"/>
      <c r="M191" s="7"/>
      <c r="N191" s="7"/>
      <c r="O191" s="7"/>
    </row>
    <row r="192" ht="22.5" hidden="1" customHeight="1">
      <c r="A192" s="8">
        <v>45596.34217336806</v>
      </c>
      <c r="B192" s="9"/>
      <c r="C192" s="9" t="s">
        <v>31</v>
      </c>
      <c r="D192" s="9" t="s">
        <v>123</v>
      </c>
      <c r="E192" s="9" t="s">
        <v>17</v>
      </c>
      <c r="F192" s="9" t="s">
        <v>17</v>
      </c>
      <c r="G192" s="9" t="s">
        <v>24</v>
      </c>
      <c r="H192" s="9" t="s">
        <v>17</v>
      </c>
      <c r="I192" s="9" t="s">
        <v>20</v>
      </c>
      <c r="J192" s="10"/>
      <c r="K192" s="7"/>
      <c r="L192" s="7"/>
      <c r="M192" s="7"/>
      <c r="N192" s="7"/>
      <c r="O192" s="7"/>
    </row>
    <row r="193" ht="22.5" hidden="1" customHeight="1">
      <c r="A193" s="8">
        <v>45596.34265688657</v>
      </c>
      <c r="B193" s="9"/>
      <c r="C193" s="9" t="s">
        <v>31</v>
      </c>
      <c r="D193" s="9" t="s">
        <v>33</v>
      </c>
      <c r="E193" s="9" t="s">
        <v>17</v>
      </c>
      <c r="F193" s="9" t="s">
        <v>17</v>
      </c>
      <c r="G193" s="9" t="s">
        <v>19</v>
      </c>
      <c r="H193" s="9" t="s">
        <v>17</v>
      </c>
      <c r="I193" s="9" t="s">
        <v>20</v>
      </c>
      <c r="J193" s="10"/>
      <c r="K193" s="7"/>
      <c r="L193" s="7"/>
      <c r="M193" s="7"/>
      <c r="N193" s="7"/>
      <c r="O193" s="7"/>
    </row>
    <row r="194" ht="22.5" hidden="1" customHeight="1">
      <c r="A194" s="8">
        <v>45596.34294269676</v>
      </c>
      <c r="B194" s="9"/>
      <c r="C194" s="9" t="s">
        <v>31</v>
      </c>
      <c r="D194" s="9" t="s">
        <v>133</v>
      </c>
      <c r="E194" s="9" t="s">
        <v>30</v>
      </c>
      <c r="F194" s="9" t="s">
        <v>17</v>
      </c>
      <c r="G194" s="9" t="s">
        <v>24</v>
      </c>
      <c r="H194" s="9" t="s">
        <v>17</v>
      </c>
      <c r="I194" s="9" t="s">
        <v>73</v>
      </c>
      <c r="J194" s="10"/>
      <c r="K194" s="7"/>
      <c r="L194" s="7"/>
      <c r="M194" s="7"/>
      <c r="N194" s="7"/>
      <c r="O194" s="7"/>
    </row>
    <row r="195" ht="22.5" hidden="1" customHeight="1">
      <c r="A195" s="8">
        <v>45596.34617063658</v>
      </c>
      <c r="B195" s="9"/>
      <c r="C195" s="9" t="s">
        <v>31</v>
      </c>
      <c r="D195" s="9" t="s">
        <v>111</v>
      </c>
      <c r="E195" s="9" t="s">
        <v>30</v>
      </c>
      <c r="F195" s="9" t="s">
        <v>18</v>
      </c>
      <c r="G195" s="9" t="s">
        <v>24</v>
      </c>
      <c r="H195" s="9" t="s">
        <v>22</v>
      </c>
      <c r="I195" s="9" t="s">
        <v>20</v>
      </c>
      <c r="J195" s="10"/>
      <c r="K195" s="7"/>
      <c r="L195" s="7"/>
      <c r="M195" s="7"/>
      <c r="N195" s="7"/>
      <c r="O195" s="7"/>
    </row>
    <row r="196" ht="22.5" hidden="1" customHeight="1">
      <c r="A196" s="8">
        <v>45596.36259065972</v>
      </c>
      <c r="B196" s="9"/>
      <c r="C196" s="9" t="s">
        <v>31</v>
      </c>
      <c r="D196" s="9" t="s">
        <v>120</v>
      </c>
      <c r="E196" s="9" t="s">
        <v>17</v>
      </c>
      <c r="F196" s="9" t="s">
        <v>17</v>
      </c>
      <c r="G196" s="9" t="s">
        <v>24</v>
      </c>
      <c r="H196" s="9" t="s">
        <v>17</v>
      </c>
      <c r="I196" s="9" t="s">
        <v>20</v>
      </c>
      <c r="J196" s="10"/>
      <c r="K196" s="7"/>
      <c r="L196" s="7"/>
      <c r="M196" s="7"/>
      <c r="N196" s="7"/>
      <c r="O196" s="7"/>
    </row>
    <row r="197" ht="22.5" hidden="1" customHeight="1">
      <c r="A197" s="8">
        <v>45596.36264043982</v>
      </c>
      <c r="B197" s="9"/>
      <c r="C197" s="9" t="s">
        <v>31</v>
      </c>
      <c r="D197" s="9" t="s">
        <v>42</v>
      </c>
      <c r="E197" s="9" t="s">
        <v>30</v>
      </c>
      <c r="F197" s="9" t="s">
        <v>18</v>
      </c>
      <c r="G197" s="9" t="s">
        <v>24</v>
      </c>
      <c r="H197" s="9" t="s">
        <v>22</v>
      </c>
      <c r="I197" s="9" t="s">
        <v>20</v>
      </c>
      <c r="J197" s="10"/>
      <c r="K197" s="7"/>
      <c r="L197" s="7"/>
      <c r="M197" s="7"/>
      <c r="N197" s="7"/>
      <c r="O197" s="7"/>
    </row>
    <row r="198" ht="22.5" hidden="1" customHeight="1">
      <c r="A198" s="8">
        <v>45596.36279763889</v>
      </c>
      <c r="B198" s="9"/>
      <c r="C198" s="9" t="s">
        <v>31</v>
      </c>
      <c r="D198" s="9" t="s">
        <v>138</v>
      </c>
      <c r="E198" s="9" t="s">
        <v>44</v>
      </c>
      <c r="F198" s="9" t="s">
        <v>17</v>
      </c>
      <c r="G198" s="9" t="s">
        <v>24</v>
      </c>
      <c r="H198" s="9" t="s">
        <v>25</v>
      </c>
      <c r="I198" s="9" t="s">
        <v>26</v>
      </c>
      <c r="J198" s="10"/>
      <c r="K198" s="7"/>
      <c r="L198" s="7"/>
      <c r="M198" s="7"/>
      <c r="N198" s="7"/>
      <c r="O198" s="7"/>
    </row>
    <row r="199" ht="22.5" hidden="1" customHeight="1">
      <c r="A199" s="8">
        <v>45596.36341048611</v>
      </c>
      <c r="B199" s="9"/>
      <c r="C199" s="9" t="s">
        <v>31</v>
      </c>
      <c r="D199" s="9" t="s">
        <v>171</v>
      </c>
      <c r="E199" s="9" t="s">
        <v>17</v>
      </c>
      <c r="F199" s="9" t="s">
        <v>17</v>
      </c>
      <c r="G199" s="9" t="s">
        <v>24</v>
      </c>
      <c r="H199" s="9" t="s">
        <v>25</v>
      </c>
      <c r="I199" s="9" t="s">
        <v>67</v>
      </c>
      <c r="J199" s="10"/>
      <c r="K199" s="7"/>
      <c r="L199" s="7"/>
      <c r="M199" s="7"/>
      <c r="N199" s="7"/>
      <c r="O199" s="7"/>
    </row>
    <row r="200" ht="22.5" hidden="1" customHeight="1">
      <c r="A200" s="8">
        <v>45596.36776800926</v>
      </c>
      <c r="B200" s="9"/>
      <c r="C200" s="9" t="s">
        <v>31</v>
      </c>
      <c r="D200" s="9" t="s">
        <v>172</v>
      </c>
      <c r="E200" s="9" t="s">
        <v>17</v>
      </c>
      <c r="F200" s="9" t="s">
        <v>17</v>
      </c>
      <c r="G200" s="9" t="s">
        <v>24</v>
      </c>
      <c r="H200" s="9" t="s">
        <v>25</v>
      </c>
      <c r="I200" s="9" t="s">
        <v>173</v>
      </c>
      <c r="J200" s="10"/>
      <c r="K200" s="7"/>
      <c r="L200" s="7"/>
      <c r="M200" s="7"/>
      <c r="N200" s="7"/>
      <c r="O200" s="7"/>
    </row>
    <row r="201" ht="22.5" hidden="1" customHeight="1">
      <c r="A201" s="8">
        <v>45596.37100309027</v>
      </c>
      <c r="B201" s="9"/>
      <c r="C201" s="9" t="s">
        <v>31</v>
      </c>
      <c r="D201" s="9" t="s">
        <v>174</v>
      </c>
      <c r="E201" s="9" t="s">
        <v>30</v>
      </c>
      <c r="F201" s="9" t="s">
        <v>17</v>
      </c>
      <c r="G201" s="9" t="s">
        <v>24</v>
      </c>
      <c r="H201" s="9" t="s">
        <v>22</v>
      </c>
      <c r="I201" s="9" t="s">
        <v>20</v>
      </c>
      <c r="J201" s="10"/>
      <c r="K201" s="7"/>
      <c r="L201" s="7"/>
      <c r="M201" s="7"/>
      <c r="N201" s="7"/>
      <c r="O201" s="7"/>
    </row>
    <row r="202" ht="22.5" hidden="1" customHeight="1">
      <c r="A202" s="8">
        <v>45596.371040474536</v>
      </c>
      <c r="B202" s="9"/>
      <c r="C202" s="9" t="s">
        <v>31</v>
      </c>
      <c r="D202" s="9" t="s">
        <v>32</v>
      </c>
      <c r="E202" s="9" t="s">
        <v>30</v>
      </c>
      <c r="F202" s="9" t="s">
        <v>18</v>
      </c>
      <c r="G202" s="9" t="s">
        <v>24</v>
      </c>
      <c r="H202" s="9" t="s">
        <v>22</v>
      </c>
      <c r="I202" s="9" t="s">
        <v>20</v>
      </c>
      <c r="J202" s="10"/>
      <c r="K202" s="7"/>
      <c r="L202" s="7"/>
      <c r="M202" s="7"/>
      <c r="N202" s="7"/>
      <c r="O202" s="7"/>
    </row>
    <row r="203" ht="22.5" hidden="1" customHeight="1">
      <c r="A203" s="8">
        <v>45596.3717062037</v>
      </c>
      <c r="B203" s="9"/>
      <c r="C203" s="9" t="s">
        <v>31</v>
      </c>
      <c r="D203" s="9" t="s">
        <v>56</v>
      </c>
      <c r="E203" s="9" t="s">
        <v>57</v>
      </c>
      <c r="F203" s="9" t="s">
        <v>35</v>
      </c>
      <c r="G203" s="9" t="s">
        <v>24</v>
      </c>
      <c r="H203" s="9" t="s">
        <v>17</v>
      </c>
      <c r="I203" s="9" t="s">
        <v>159</v>
      </c>
      <c r="J203" s="10"/>
      <c r="K203" s="7"/>
      <c r="L203" s="7"/>
      <c r="M203" s="7"/>
      <c r="N203" s="7"/>
      <c r="O203" s="7"/>
    </row>
    <row r="204" ht="22.5" hidden="1" customHeight="1">
      <c r="A204" s="8">
        <v>45596.37321417824</v>
      </c>
      <c r="B204" s="9"/>
      <c r="C204" s="9" t="s">
        <v>31</v>
      </c>
      <c r="D204" s="9" t="s">
        <v>175</v>
      </c>
      <c r="E204" s="9" t="s">
        <v>17</v>
      </c>
      <c r="F204" s="9" t="s">
        <v>17</v>
      </c>
      <c r="G204" s="9" t="s">
        <v>24</v>
      </c>
      <c r="H204" s="9" t="s">
        <v>22</v>
      </c>
      <c r="I204" s="9" t="s">
        <v>20</v>
      </c>
      <c r="J204" s="10"/>
      <c r="K204" s="7"/>
      <c r="L204" s="7"/>
      <c r="M204" s="7"/>
      <c r="N204" s="7"/>
      <c r="O204" s="7"/>
    </row>
    <row r="205" ht="22.5" hidden="1" customHeight="1">
      <c r="A205" s="8">
        <v>45596.37847582176</v>
      </c>
      <c r="B205" s="9"/>
      <c r="C205" s="9" t="s">
        <v>31</v>
      </c>
      <c r="D205" s="9" t="s">
        <v>129</v>
      </c>
      <c r="E205" s="9" t="s">
        <v>44</v>
      </c>
      <c r="F205" s="9" t="s">
        <v>35</v>
      </c>
      <c r="G205" s="9" t="s">
        <v>19</v>
      </c>
      <c r="H205" s="9" t="s">
        <v>25</v>
      </c>
      <c r="I205" s="9" t="s">
        <v>176</v>
      </c>
      <c r="J205" s="10"/>
      <c r="K205" s="7"/>
      <c r="L205" s="7"/>
      <c r="M205" s="7"/>
      <c r="N205" s="7"/>
      <c r="O205" s="7"/>
    </row>
    <row r="206" ht="22.5" hidden="1" customHeight="1">
      <c r="A206" s="8">
        <v>45596.39311774306</v>
      </c>
      <c r="B206" s="9"/>
      <c r="C206" s="9" t="s">
        <v>31</v>
      </c>
      <c r="D206" s="9" t="s">
        <v>177</v>
      </c>
      <c r="E206" s="9" t="s">
        <v>17</v>
      </c>
      <c r="F206" s="9" t="s">
        <v>17</v>
      </c>
      <c r="G206" s="9" t="s">
        <v>40</v>
      </c>
      <c r="H206" s="9" t="s">
        <v>25</v>
      </c>
      <c r="I206" s="9" t="s">
        <v>153</v>
      </c>
      <c r="J206" s="10"/>
      <c r="K206" s="7"/>
      <c r="L206" s="7"/>
      <c r="M206" s="7"/>
      <c r="N206" s="7"/>
      <c r="O206" s="7"/>
    </row>
    <row r="207" ht="22.5" hidden="1" customHeight="1">
      <c r="A207" s="8">
        <v>45596.393769560185</v>
      </c>
      <c r="B207" s="9"/>
      <c r="C207" s="9" t="s">
        <v>31</v>
      </c>
      <c r="D207" s="9" t="s">
        <v>178</v>
      </c>
      <c r="E207" s="9" t="s">
        <v>30</v>
      </c>
      <c r="F207" s="9" t="s">
        <v>18</v>
      </c>
      <c r="G207" s="9" t="s">
        <v>24</v>
      </c>
      <c r="H207" s="9" t="s">
        <v>22</v>
      </c>
      <c r="I207" s="9" t="s">
        <v>20</v>
      </c>
      <c r="J207" s="10"/>
      <c r="K207" s="7"/>
      <c r="L207" s="7"/>
      <c r="M207" s="7"/>
      <c r="N207" s="7"/>
      <c r="O207" s="7"/>
    </row>
    <row r="208" ht="22.5" hidden="1" customHeight="1">
      <c r="A208" s="8">
        <v>45596.39520666667</v>
      </c>
      <c r="B208" s="9"/>
      <c r="C208" s="9" t="s">
        <v>31</v>
      </c>
      <c r="D208" s="9" t="s">
        <v>179</v>
      </c>
      <c r="E208" s="9" t="s">
        <v>17</v>
      </c>
      <c r="F208" s="9" t="s">
        <v>18</v>
      </c>
      <c r="G208" s="9" t="s">
        <v>19</v>
      </c>
      <c r="H208" s="9" t="s">
        <v>22</v>
      </c>
      <c r="I208" s="9" t="s">
        <v>20</v>
      </c>
      <c r="J208" s="10"/>
      <c r="K208" s="7"/>
      <c r="L208" s="7"/>
      <c r="M208" s="7"/>
      <c r="N208" s="7"/>
      <c r="O208" s="7"/>
    </row>
    <row r="209" ht="22.5" hidden="1" customHeight="1">
      <c r="A209" s="8">
        <v>45596.395868321764</v>
      </c>
      <c r="B209" s="9"/>
      <c r="C209" s="9" t="s">
        <v>31</v>
      </c>
      <c r="D209" s="9" t="s">
        <v>170</v>
      </c>
      <c r="E209" s="9" t="s">
        <v>17</v>
      </c>
      <c r="F209" s="9" t="s">
        <v>18</v>
      </c>
      <c r="G209" s="9" t="s">
        <v>24</v>
      </c>
      <c r="H209" s="9" t="s">
        <v>17</v>
      </c>
      <c r="I209" s="9" t="s">
        <v>20</v>
      </c>
      <c r="J209" s="10"/>
      <c r="K209" s="7"/>
      <c r="L209" s="7"/>
      <c r="M209" s="7"/>
      <c r="N209" s="7"/>
      <c r="O209" s="7"/>
    </row>
    <row r="210" ht="22.5" hidden="1" customHeight="1">
      <c r="A210" s="8">
        <v>45600.37954498843</v>
      </c>
      <c r="B210" s="9"/>
      <c r="C210" s="9" t="s">
        <v>86</v>
      </c>
      <c r="D210" s="9" t="s">
        <v>32</v>
      </c>
      <c r="E210" s="9" t="s">
        <v>30</v>
      </c>
      <c r="F210" s="9" t="s">
        <v>18</v>
      </c>
      <c r="G210" s="9" t="s">
        <v>24</v>
      </c>
      <c r="H210" s="9" t="s">
        <v>22</v>
      </c>
      <c r="I210" s="9" t="s">
        <v>20</v>
      </c>
      <c r="J210" s="10"/>
      <c r="K210" s="7"/>
      <c r="L210" s="7"/>
      <c r="M210" s="7"/>
      <c r="N210" s="7"/>
      <c r="O210" s="7"/>
    </row>
    <row r="211" ht="22.5" hidden="1" customHeight="1">
      <c r="A211" s="8">
        <v>45600.3801508912</v>
      </c>
      <c r="B211" s="9"/>
      <c r="C211" s="9" t="s">
        <v>86</v>
      </c>
      <c r="D211" s="9" t="s">
        <v>133</v>
      </c>
      <c r="E211" s="9" t="s">
        <v>17</v>
      </c>
      <c r="F211" s="9" t="s">
        <v>60</v>
      </c>
      <c r="G211" s="9" t="s">
        <v>24</v>
      </c>
      <c r="H211" s="9" t="s">
        <v>17</v>
      </c>
      <c r="I211" s="9" t="s">
        <v>73</v>
      </c>
      <c r="J211" s="10"/>
      <c r="K211" s="7"/>
      <c r="L211" s="7"/>
      <c r="M211" s="7"/>
      <c r="N211" s="7"/>
      <c r="O211" s="7"/>
    </row>
    <row r="212" ht="22.5" hidden="1" customHeight="1">
      <c r="A212" s="8">
        <v>45600.38037193287</v>
      </c>
      <c r="B212" s="9"/>
      <c r="C212" s="9" t="s">
        <v>86</v>
      </c>
      <c r="D212" s="9" t="s">
        <v>129</v>
      </c>
      <c r="E212" s="9" t="s">
        <v>17</v>
      </c>
      <c r="F212" s="9" t="s">
        <v>17</v>
      </c>
      <c r="G212" s="9" t="s">
        <v>24</v>
      </c>
      <c r="H212" s="9" t="s">
        <v>17</v>
      </c>
      <c r="I212" s="9" t="s">
        <v>20</v>
      </c>
      <c r="J212" s="10"/>
      <c r="K212" s="7"/>
      <c r="L212" s="7"/>
      <c r="M212" s="7"/>
      <c r="N212" s="7"/>
      <c r="O212" s="7"/>
    </row>
    <row r="213" ht="22.5" hidden="1" customHeight="1">
      <c r="A213" s="8">
        <v>45600.38045964121</v>
      </c>
      <c r="B213" s="9"/>
      <c r="C213" s="9" t="s">
        <v>86</v>
      </c>
      <c r="D213" s="9" t="s">
        <v>56</v>
      </c>
      <c r="E213" s="9" t="s">
        <v>57</v>
      </c>
      <c r="F213" s="9" t="s">
        <v>43</v>
      </c>
      <c r="G213" s="9" t="s">
        <v>19</v>
      </c>
      <c r="H213" s="9" t="s">
        <v>22</v>
      </c>
      <c r="I213" s="9" t="s">
        <v>20</v>
      </c>
      <c r="J213" s="10"/>
      <c r="K213" s="7"/>
      <c r="L213" s="7"/>
      <c r="M213" s="7"/>
      <c r="N213" s="7"/>
      <c r="O213" s="7"/>
    </row>
    <row r="214" ht="22.5" hidden="1" customHeight="1">
      <c r="A214" s="8">
        <v>45600.38073395833</v>
      </c>
      <c r="B214" s="9"/>
      <c r="C214" s="9" t="s">
        <v>86</v>
      </c>
      <c r="D214" s="9" t="s">
        <v>138</v>
      </c>
      <c r="E214" s="9" t="s">
        <v>17</v>
      </c>
      <c r="F214" s="9" t="s">
        <v>17</v>
      </c>
      <c r="G214" s="9" t="s">
        <v>24</v>
      </c>
      <c r="H214" s="9" t="s">
        <v>25</v>
      </c>
      <c r="I214" s="9" t="s">
        <v>26</v>
      </c>
      <c r="J214" s="10"/>
      <c r="K214" s="7"/>
      <c r="L214" s="7"/>
      <c r="M214" s="7"/>
      <c r="N214" s="7"/>
      <c r="O214" s="7"/>
    </row>
    <row r="215" ht="22.5" hidden="1" customHeight="1">
      <c r="A215" s="8">
        <v>45600.380977395835</v>
      </c>
      <c r="B215" s="9"/>
      <c r="C215" s="9" t="s">
        <v>86</v>
      </c>
      <c r="D215" s="9" t="s">
        <v>123</v>
      </c>
      <c r="E215" s="9" t="s">
        <v>17</v>
      </c>
      <c r="F215" s="9" t="s">
        <v>39</v>
      </c>
      <c r="G215" s="9" t="s">
        <v>24</v>
      </c>
      <c r="H215" s="9" t="s">
        <v>17</v>
      </c>
      <c r="I215" s="9" t="s">
        <v>20</v>
      </c>
      <c r="J215" s="10"/>
      <c r="K215" s="7"/>
      <c r="L215" s="7"/>
      <c r="M215" s="7"/>
      <c r="N215" s="7"/>
      <c r="O215" s="7"/>
    </row>
    <row r="216" ht="22.5" hidden="1" customHeight="1">
      <c r="A216" s="8">
        <v>45600.38166559028</v>
      </c>
      <c r="B216" s="9"/>
      <c r="C216" s="9" t="s">
        <v>86</v>
      </c>
      <c r="D216" s="9" t="s">
        <v>157</v>
      </c>
      <c r="E216" s="9" t="s">
        <v>30</v>
      </c>
      <c r="F216" s="9" t="s">
        <v>17</v>
      </c>
      <c r="G216" s="9" t="s">
        <v>24</v>
      </c>
      <c r="H216" s="9" t="s">
        <v>17</v>
      </c>
      <c r="I216" s="9" t="s">
        <v>20</v>
      </c>
      <c r="J216" s="10"/>
      <c r="K216" s="7"/>
      <c r="L216" s="7"/>
      <c r="M216" s="7"/>
      <c r="N216" s="7"/>
      <c r="O216" s="7"/>
    </row>
    <row r="217" ht="22.5" hidden="1" customHeight="1">
      <c r="A217" s="8">
        <v>45600.385859988426</v>
      </c>
      <c r="B217" s="9"/>
      <c r="C217" s="9" t="s">
        <v>86</v>
      </c>
      <c r="D217" s="9" t="s">
        <v>49</v>
      </c>
      <c r="E217" s="9" t="s">
        <v>44</v>
      </c>
      <c r="F217" s="9" t="s">
        <v>35</v>
      </c>
      <c r="G217" s="9" t="s">
        <v>19</v>
      </c>
      <c r="H217" s="9" t="s">
        <v>17</v>
      </c>
      <c r="I217" s="9" t="s">
        <v>20</v>
      </c>
      <c r="J217" s="10"/>
      <c r="K217" s="7"/>
      <c r="L217" s="7"/>
      <c r="M217" s="7"/>
      <c r="N217" s="7"/>
      <c r="O217" s="7"/>
    </row>
    <row r="218" ht="22.5" hidden="1" customHeight="1">
      <c r="A218" s="8">
        <v>45600.397007175925</v>
      </c>
      <c r="B218" s="9"/>
      <c r="C218" s="9" t="s">
        <v>86</v>
      </c>
      <c r="D218" s="9" t="s">
        <v>75</v>
      </c>
      <c r="E218" s="9" t="s">
        <v>30</v>
      </c>
      <c r="F218" s="9" t="s">
        <v>18</v>
      </c>
      <c r="G218" s="9" t="s">
        <v>24</v>
      </c>
      <c r="H218" s="9" t="s">
        <v>22</v>
      </c>
      <c r="I218" s="9" t="s">
        <v>20</v>
      </c>
      <c r="J218" s="10"/>
      <c r="K218" s="7"/>
      <c r="L218" s="7"/>
      <c r="M218" s="7"/>
      <c r="N218" s="7"/>
      <c r="O218" s="7"/>
    </row>
    <row r="219" ht="22.5" hidden="1" customHeight="1">
      <c r="A219" s="8">
        <v>45600.397160775465</v>
      </c>
      <c r="B219" s="9"/>
      <c r="C219" s="9" t="s">
        <v>86</v>
      </c>
      <c r="D219" s="9" t="s">
        <v>55</v>
      </c>
      <c r="E219" s="9" t="s">
        <v>17</v>
      </c>
      <c r="F219" s="9" t="s">
        <v>17</v>
      </c>
      <c r="G219" s="9" t="s">
        <v>24</v>
      </c>
      <c r="H219" s="9" t="s">
        <v>17</v>
      </c>
      <c r="I219" s="9" t="s">
        <v>20</v>
      </c>
      <c r="J219" s="10"/>
      <c r="K219" s="7"/>
      <c r="L219" s="7"/>
      <c r="M219" s="7"/>
      <c r="N219" s="7"/>
      <c r="O219" s="7"/>
    </row>
    <row r="220" ht="22.5" hidden="1" customHeight="1">
      <c r="A220" s="8">
        <v>45600.39760655093</v>
      </c>
      <c r="B220" s="9"/>
      <c r="C220" s="9" t="s">
        <v>86</v>
      </c>
      <c r="D220" s="9" t="s">
        <v>180</v>
      </c>
      <c r="E220" s="9" t="s">
        <v>17</v>
      </c>
      <c r="F220" s="9" t="s">
        <v>18</v>
      </c>
      <c r="G220" s="9" t="s">
        <v>24</v>
      </c>
      <c r="H220" s="9" t="s">
        <v>25</v>
      </c>
      <c r="I220" s="9" t="s">
        <v>67</v>
      </c>
      <c r="J220" s="10"/>
      <c r="K220" s="7"/>
      <c r="L220" s="7"/>
      <c r="M220" s="7"/>
      <c r="N220" s="7"/>
      <c r="O220" s="7"/>
    </row>
    <row r="221" ht="22.5" hidden="1" customHeight="1">
      <c r="A221" s="8">
        <v>45600.3988604051</v>
      </c>
      <c r="B221" s="9"/>
      <c r="C221" s="9" t="s">
        <v>86</v>
      </c>
      <c r="D221" s="9" t="s">
        <v>181</v>
      </c>
      <c r="E221" s="9" t="s">
        <v>30</v>
      </c>
      <c r="F221" s="9" t="s">
        <v>18</v>
      </c>
      <c r="G221" s="9" t="s">
        <v>24</v>
      </c>
      <c r="H221" s="9" t="s">
        <v>22</v>
      </c>
      <c r="I221" s="9" t="s">
        <v>20</v>
      </c>
      <c r="J221" s="10"/>
      <c r="K221" s="7"/>
      <c r="L221" s="7"/>
      <c r="M221" s="7"/>
      <c r="N221" s="7"/>
      <c r="O221" s="7"/>
    </row>
    <row r="222" ht="22.5" hidden="1" customHeight="1">
      <c r="A222" s="8">
        <v>45600.39979111111</v>
      </c>
      <c r="B222" s="9"/>
      <c r="C222" s="9" t="s">
        <v>86</v>
      </c>
      <c r="D222" s="9" t="s">
        <v>182</v>
      </c>
      <c r="E222" s="9" t="s">
        <v>30</v>
      </c>
      <c r="F222" s="9" t="s">
        <v>18</v>
      </c>
      <c r="G222" s="9" t="s">
        <v>24</v>
      </c>
      <c r="H222" s="9" t="s">
        <v>22</v>
      </c>
      <c r="I222" s="9" t="s">
        <v>20</v>
      </c>
      <c r="J222" s="10"/>
      <c r="K222" s="7"/>
      <c r="L222" s="7"/>
      <c r="M222" s="7"/>
      <c r="N222" s="7"/>
      <c r="O222" s="7"/>
    </row>
    <row r="223" ht="22.5" hidden="1" customHeight="1">
      <c r="A223" s="8">
        <v>45600.40036943287</v>
      </c>
      <c r="B223" s="9"/>
      <c r="C223" s="9" t="s">
        <v>86</v>
      </c>
      <c r="D223" s="9" t="s">
        <v>116</v>
      </c>
      <c r="E223" s="9" t="s">
        <v>17</v>
      </c>
      <c r="F223" s="9" t="s">
        <v>17</v>
      </c>
      <c r="G223" s="9" t="s">
        <v>24</v>
      </c>
      <c r="H223" s="9" t="s">
        <v>22</v>
      </c>
      <c r="I223" s="9" t="s">
        <v>20</v>
      </c>
      <c r="J223" s="10"/>
      <c r="K223" s="7"/>
      <c r="L223" s="7"/>
      <c r="M223" s="7"/>
      <c r="N223" s="7"/>
      <c r="O223" s="7"/>
    </row>
    <row r="224" ht="22.5" hidden="1" customHeight="1">
      <c r="A224" s="8">
        <v>45600.400926689814</v>
      </c>
      <c r="B224" s="9"/>
      <c r="C224" s="9" t="s">
        <v>86</v>
      </c>
      <c r="D224" s="9" t="s">
        <v>29</v>
      </c>
      <c r="E224" s="9" t="s">
        <v>17</v>
      </c>
      <c r="F224" s="9" t="s">
        <v>17</v>
      </c>
      <c r="G224" s="9" t="s">
        <v>24</v>
      </c>
      <c r="H224" s="9" t="s">
        <v>17</v>
      </c>
      <c r="I224" s="9" t="s">
        <v>20</v>
      </c>
      <c r="J224" s="10"/>
      <c r="K224" s="7"/>
      <c r="L224" s="7"/>
      <c r="M224" s="7"/>
      <c r="N224" s="7"/>
      <c r="O224" s="7"/>
    </row>
    <row r="225" ht="22.5" hidden="1" customHeight="1">
      <c r="A225" s="8">
        <v>45600.40137530093</v>
      </c>
      <c r="B225" s="9"/>
      <c r="C225" s="9" t="s">
        <v>86</v>
      </c>
      <c r="D225" s="9" t="s">
        <v>183</v>
      </c>
      <c r="E225" s="9" t="s">
        <v>17</v>
      </c>
      <c r="F225" s="9" t="s">
        <v>17</v>
      </c>
      <c r="G225" s="9" t="s">
        <v>24</v>
      </c>
      <c r="H225" s="9" t="s">
        <v>22</v>
      </c>
      <c r="I225" s="9" t="s">
        <v>20</v>
      </c>
      <c r="J225" s="10"/>
      <c r="K225" s="7"/>
      <c r="L225" s="7"/>
      <c r="M225" s="7"/>
      <c r="N225" s="7"/>
      <c r="O225" s="7"/>
    </row>
    <row r="226" ht="22.5" hidden="1" customHeight="1">
      <c r="A226" s="8">
        <v>45600.40189552083</v>
      </c>
      <c r="B226" s="9"/>
      <c r="C226" s="9" t="s">
        <v>86</v>
      </c>
      <c r="D226" s="9" t="s">
        <v>184</v>
      </c>
      <c r="E226" s="9" t="s">
        <v>17</v>
      </c>
      <c r="F226" s="9" t="s">
        <v>17</v>
      </c>
      <c r="G226" s="9" t="s">
        <v>19</v>
      </c>
      <c r="H226" s="9" t="s">
        <v>22</v>
      </c>
      <c r="I226" s="9" t="s">
        <v>20</v>
      </c>
      <c r="J226" s="10"/>
      <c r="K226" s="7"/>
      <c r="L226" s="7"/>
      <c r="M226" s="7"/>
      <c r="N226" s="7"/>
      <c r="O226" s="7"/>
    </row>
    <row r="227" ht="22.5" hidden="1" customHeight="1">
      <c r="A227" s="8">
        <v>45601.35094938657</v>
      </c>
      <c r="B227" s="9"/>
      <c r="C227" s="9" t="s">
        <v>110</v>
      </c>
      <c r="D227" s="9" t="s">
        <v>33</v>
      </c>
      <c r="E227" s="9" t="s">
        <v>44</v>
      </c>
      <c r="F227" s="9" t="s">
        <v>35</v>
      </c>
      <c r="G227" s="9" t="s">
        <v>19</v>
      </c>
      <c r="H227" s="9" t="s">
        <v>17</v>
      </c>
      <c r="I227" s="9" t="s">
        <v>20</v>
      </c>
      <c r="J227" s="10"/>
      <c r="K227" s="7"/>
      <c r="L227" s="7"/>
      <c r="M227" s="7"/>
      <c r="N227" s="7"/>
      <c r="O227" s="7"/>
    </row>
    <row r="228" ht="22.5" hidden="1" customHeight="1">
      <c r="A228" s="8">
        <v>45601.355732048614</v>
      </c>
      <c r="B228" s="9"/>
      <c r="C228" s="9" t="s">
        <v>110</v>
      </c>
      <c r="D228" s="9" t="s">
        <v>111</v>
      </c>
      <c r="E228" s="9" t="s">
        <v>57</v>
      </c>
      <c r="F228" s="9" t="s">
        <v>18</v>
      </c>
      <c r="G228" s="9" t="s">
        <v>24</v>
      </c>
      <c r="H228" s="9" t="s">
        <v>22</v>
      </c>
      <c r="I228" s="9" t="s">
        <v>20</v>
      </c>
      <c r="J228" s="10"/>
      <c r="K228" s="7"/>
      <c r="L228" s="7"/>
      <c r="M228" s="7"/>
      <c r="N228" s="7"/>
      <c r="O228" s="7"/>
    </row>
    <row r="229" ht="22.5" hidden="1" customHeight="1">
      <c r="A229" s="8">
        <v>45601.38101923611</v>
      </c>
      <c r="B229" s="9"/>
      <c r="C229" s="9" t="s">
        <v>110</v>
      </c>
      <c r="D229" s="9" t="s">
        <v>56</v>
      </c>
      <c r="E229" s="9" t="s">
        <v>57</v>
      </c>
      <c r="F229" s="9" t="s">
        <v>43</v>
      </c>
      <c r="G229" s="9" t="s">
        <v>19</v>
      </c>
      <c r="H229" s="9" t="s">
        <v>17</v>
      </c>
      <c r="I229" s="9" t="s">
        <v>28</v>
      </c>
      <c r="J229" s="10"/>
      <c r="K229" s="7"/>
      <c r="L229" s="7"/>
      <c r="M229" s="7"/>
      <c r="N229" s="7"/>
      <c r="O229" s="7"/>
    </row>
    <row r="230" ht="22.5" hidden="1" customHeight="1">
      <c r="A230" s="8">
        <v>45601.390953622686</v>
      </c>
      <c r="B230" s="9"/>
      <c r="C230" s="9" t="s">
        <v>110</v>
      </c>
      <c r="D230" s="9" t="s">
        <v>138</v>
      </c>
      <c r="E230" s="9" t="s">
        <v>17</v>
      </c>
      <c r="F230" s="9" t="s">
        <v>17</v>
      </c>
      <c r="G230" s="9" t="s">
        <v>24</v>
      </c>
      <c r="H230" s="9" t="s">
        <v>25</v>
      </c>
      <c r="I230" s="9" t="s">
        <v>26</v>
      </c>
      <c r="J230" s="10"/>
      <c r="K230" s="7"/>
      <c r="L230" s="7"/>
      <c r="M230" s="7"/>
      <c r="N230" s="7"/>
      <c r="O230" s="7"/>
    </row>
    <row r="231" ht="22.5" hidden="1" customHeight="1">
      <c r="A231" s="8">
        <v>45601.39622789352</v>
      </c>
      <c r="B231" s="9"/>
      <c r="C231" s="9" t="s">
        <v>110</v>
      </c>
      <c r="D231" s="9" t="s">
        <v>32</v>
      </c>
      <c r="E231" s="9" t="s">
        <v>30</v>
      </c>
      <c r="F231" s="9" t="s">
        <v>18</v>
      </c>
      <c r="G231" s="9" t="s">
        <v>19</v>
      </c>
      <c r="H231" s="9" t="s">
        <v>22</v>
      </c>
      <c r="I231" s="9" t="s">
        <v>20</v>
      </c>
      <c r="J231" s="10"/>
      <c r="K231" s="7"/>
      <c r="L231" s="7"/>
      <c r="M231" s="7"/>
      <c r="N231" s="7"/>
      <c r="O231" s="7"/>
    </row>
    <row r="232" ht="22.5" hidden="1" customHeight="1">
      <c r="A232" s="8">
        <v>45601.41649913194</v>
      </c>
      <c r="B232" s="9"/>
      <c r="C232" s="9" t="s">
        <v>110</v>
      </c>
      <c r="D232" s="9" t="s">
        <v>123</v>
      </c>
      <c r="E232" s="9" t="s">
        <v>17</v>
      </c>
      <c r="F232" s="9" t="s">
        <v>17</v>
      </c>
      <c r="G232" s="9" t="s">
        <v>19</v>
      </c>
      <c r="H232" s="9" t="s">
        <v>17</v>
      </c>
      <c r="I232" s="9" t="s">
        <v>20</v>
      </c>
      <c r="J232" s="10"/>
      <c r="K232" s="7"/>
      <c r="L232" s="7"/>
      <c r="M232" s="7"/>
      <c r="N232" s="7"/>
      <c r="O232" s="7"/>
    </row>
    <row r="233" ht="22.5" hidden="1" customHeight="1">
      <c r="A233" s="8">
        <v>45603.44333224537</v>
      </c>
      <c r="B233" s="9"/>
      <c r="C233" s="9" t="s">
        <v>31</v>
      </c>
      <c r="D233" s="9" t="s">
        <v>180</v>
      </c>
      <c r="E233" s="9" t="s">
        <v>44</v>
      </c>
      <c r="F233" s="9" t="s">
        <v>43</v>
      </c>
      <c r="G233" s="9" t="s">
        <v>24</v>
      </c>
      <c r="H233" s="9" t="s">
        <v>22</v>
      </c>
      <c r="I233" s="9" t="s">
        <v>20</v>
      </c>
      <c r="J233" s="10"/>
      <c r="K233" s="7"/>
      <c r="L233" s="7"/>
      <c r="M233" s="7"/>
      <c r="N233" s="7"/>
      <c r="O233" s="7"/>
    </row>
    <row r="234" ht="22.5" hidden="1" customHeight="1">
      <c r="A234" s="8">
        <v>45603.44383949074</v>
      </c>
      <c r="B234" s="9"/>
      <c r="C234" s="9" t="s">
        <v>31</v>
      </c>
      <c r="D234" s="9" t="s">
        <v>185</v>
      </c>
      <c r="E234" s="9" t="s">
        <v>17</v>
      </c>
      <c r="F234" s="9" t="s">
        <v>18</v>
      </c>
      <c r="G234" s="9" t="s">
        <v>24</v>
      </c>
      <c r="H234" s="9" t="s">
        <v>25</v>
      </c>
      <c r="I234" s="9" t="s">
        <v>117</v>
      </c>
      <c r="J234" s="10"/>
      <c r="K234" s="7"/>
      <c r="L234" s="7"/>
      <c r="M234" s="7"/>
      <c r="N234" s="7"/>
      <c r="O234" s="7"/>
    </row>
    <row r="235" ht="22.5" hidden="1" customHeight="1">
      <c r="A235" s="8">
        <v>45603.44449703704</v>
      </c>
      <c r="B235" s="9"/>
      <c r="C235" s="9" t="s">
        <v>31</v>
      </c>
      <c r="D235" s="9" t="s">
        <v>186</v>
      </c>
      <c r="E235" s="9" t="s">
        <v>61</v>
      </c>
      <c r="F235" s="9" t="s">
        <v>43</v>
      </c>
      <c r="G235" s="9" t="s">
        <v>24</v>
      </c>
      <c r="H235" s="9" t="s">
        <v>25</v>
      </c>
      <c r="I235" s="9" t="s">
        <v>93</v>
      </c>
      <c r="J235" s="10"/>
      <c r="K235" s="7"/>
      <c r="L235" s="7"/>
      <c r="M235" s="7"/>
      <c r="N235" s="7"/>
      <c r="O235" s="7"/>
    </row>
    <row r="236" ht="22.5" hidden="1" customHeight="1">
      <c r="A236" s="8">
        <v>45603.44506753472</v>
      </c>
      <c r="B236" s="9"/>
      <c r="C236" s="9" t="s">
        <v>31</v>
      </c>
      <c r="D236" s="9" t="s">
        <v>88</v>
      </c>
      <c r="E236" s="9" t="s">
        <v>17</v>
      </c>
      <c r="F236" s="9" t="s">
        <v>17</v>
      </c>
      <c r="G236" s="9" t="s">
        <v>40</v>
      </c>
      <c r="H236" s="9" t="s">
        <v>17</v>
      </c>
      <c r="I236" s="9" t="s">
        <v>28</v>
      </c>
      <c r="J236" s="10"/>
      <c r="K236" s="7"/>
      <c r="L236" s="7"/>
      <c r="M236" s="7"/>
      <c r="N236" s="7"/>
      <c r="O236" s="7"/>
    </row>
    <row r="237" ht="22.5" hidden="1" customHeight="1">
      <c r="A237" s="8">
        <v>45603.44544302083</v>
      </c>
      <c r="B237" s="9"/>
      <c r="C237" s="9" t="s">
        <v>31</v>
      </c>
      <c r="D237" s="9" t="s">
        <v>187</v>
      </c>
      <c r="E237" s="9" t="s">
        <v>17</v>
      </c>
      <c r="F237" s="9" t="s">
        <v>17</v>
      </c>
      <c r="G237" s="9" t="s">
        <v>40</v>
      </c>
      <c r="H237" s="9" t="s">
        <v>17</v>
      </c>
      <c r="I237" s="9" t="s">
        <v>20</v>
      </c>
      <c r="J237" s="10"/>
      <c r="K237" s="7"/>
      <c r="L237" s="7"/>
      <c r="M237" s="7"/>
      <c r="N237" s="7"/>
      <c r="O237" s="7"/>
    </row>
    <row r="238" ht="22.5" hidden="1" customHeight="1">
      <c r="A238" s="8">
        <v>45603.44597783565</v>
      </c>
      <c r="B238" s="9"/>
      <c r="C238" s="9" t="s">
        <v>31</v>
      </c>
      <c r="D238" s="9" t="s">
        <v>116</v>
      </c>
      <c r="E238" s="9" t="s">
        <v>17</v>
      </c>
      <c r="F238" s="9" t="s">
        <v>17</v>
      </c>
      <c r="G238" s="9" t="s">
        <v>24</v>
      </c>
      <c r="H238" s="9" t="s">
        <v>22</v>
      </c>
      <c r="I238" s="9" t="s">
        <v>20</v>
      </c>
      <c r="J238" s="10"/>
      <c r="K238" s="7"/>
      <c r="L238" s="7"/>
      <c r="M238" s="7"/>
      <c r="N238" s="7"/>
      <c r="O238" s="7"/>
    </row>
    <row r="239" ht="22.5" hidden="1" customHeight="1">
      <c r="A239" s="8">
        <v>45603.446352430554</v>
      </c>
      <c r="B239" s="9"/>
      <c r="C239" s="9" t="s">
        <v>31</v>
      </c>
      <c r="D239" s="9" t="s">
        <v>33</v>
      </c>
      <c r="E239" s="9" t="s">
        <v>17</v>
      </c>
      <c r="F239" s="9" t="s">
        <v>17</v>
      </c>
      <c r="G239" s="9" t="s">
        <v>24</v>
      </c>
      <c r="H239" s="9" t="s">
        <v>22</v>
      </c>
      <c r="I239" s="9" t="s">
        <v>20</v>
      </c>
      <c r="J239" s="10"/>
      <c r="K239" s="7"/>
      <c r="L239" s="7"/>
      <c r="M239" s="7"/>
      <c r="N239" s="7"/>
      <c r="O239" s="7"/>
    </row>
    <row r="240" ht="22.5" hidden="1" customHeight="1">
      <c r="A240" s="8">
        <v>45603.447146805556</v>
      </c>
      <c r="B240" s="9"/>
      <c r="C240" s="9" t="s">
        <v>31</v>
      </c>
      <c r="D240" s="9" t="s">
        <v>188</v>
      </c>
      <c r="E240" s="9" t="s">
        <v>57</v>
      </c>
      <c r="F240" s="9" t="s">
        <v>17</v>
      </c>
      <c r="G240" s="9" t="s">
        <v>24</v>
      </c>
      <c r="H240" s="9" t="s">
        <v>22</v>
      </c>
      <c r="I240" s="9" t="s">
        <v>20</v>
      </c>
      <c r="J240" s="10"/>
      <c r="K240" s="7"/>
      <c r="L240" s="7"/>
      <c r="M240" s="7"/>
      <c r="N240" s="7"/>
      <c r="O240" s="7"/>
    </row>
    <row r="241" ht="22.5" hidden="1" customHeight="1">
      <c r="A241" s="8">
        <v>45603.44729684028</v>
      </c>
      <c r="B241" s="9"/>
      <c r="C241" s="9" t="s">
        <v>31</v>
      </c>
      <c r="D241" s="9" t="s">
        <v>42</v>
      </c>
      <c r="E241" s="9" t="s">
        <v>61</v>
      </c>
      <c r="F241" s="9" t="s">
        <v>43</v>
      </c>
      <c r="G241" s="9" t="s">
        <v>19</v>
      </c>
      <c r="H241" s="9" t="s">
        <v>17</v>
      </c>
      <c r="I241" s="9" t="s">
        <v>20</v>
      </c>
      <c r="J241" s="10"/>
      <c r="K241" s="7"/>
      <c r="L241" s="7"/>
      <c r="M241" s="7"/>
      <c r="N241" s="7"/>
      <c r="O241" s="7"/>
    </row>
    <row r="242" ht="22.5" hidden="1" customHeight="1">
      <c r="A242" s="8">
        <v>45603.44753114584</v>
      </c>
      <c r="B242" s="9"/>
      <c r="C242" s="9" t="s">
        <v>31</v>
      </c>
      <c r="D242" s="9" t="s">
        <v>136</v>
      </c>
      <c r="E242" s="9" t="s">
        <v>17</v>
      </c>
      <c r="F242" s="9" t="s">
        <v>18</v>
      </c>
      <c r="G242" s="9" t="s">
        <v>24</v>
      </c>
      <c r="H242" s="9" t="s">
        <v>17</v>
      </c>
      <c r="I242" s="9" t="s">
        <v>79</v>
      </c>
      <c r="J242" s="10"/>
      <c r="K242" s="7"/>
      <c r="L242" s="7"/>
      <c r="M242" s="7"/>
      <c r="N242" s="7"/>
      <c r="O242" s="7"/>
    </row>
    <row r="243" ht="22.5" hidden="1" customHeight="1">
      <c r="A243" s="8">
        <v>45603.44768166667</v>
      </c>
      <c r="B243" s="9"/>
      <c r="C243" s="9" t="s">
        <v>31</v>
      </c>
      <c r="D243" s="9" t="s">
        <v>32</v>
      </c>
      <c r="E243" s="9" t="s">
        <v>61</v>
      </c>
      <c r="F243" s="9" t="s">
        <v>18</v>
      </c>
      <c r="G243" s="9" t="s">
        <v>24</v>
      </c>
      <c r="H243" s="9" t="s">
        <v>62</v>
      </c>
      <c r="I243" s="9" t="s">
        <v>98</v>
      </c>
      <c r="J243" s="10"/>
      <c r="K243" s="7"/>
      <c r="L243" s="7"/>
      <c r="M243" s="7"/>
      <c r="N243" s="7"/>
      <c r="O243" s="7"/>
    </row>
    <row r="244" ht="22.5" hidden="1" customHeight="1">
      <c r="A244" s="8">
        <v>45603.44807392361</v>
      </c>
      <c r="B244" s="9"/>
      <c r="C244" s="9" t="s">
        <v>31</v>
      </c>
      <c r="D244" s="9" t="s">
        <v>189</v>
      </c>
      <c r="E244" s="9" t="s">
        <v>46</v>
      </c>
      <c r="F244" s="9" t="s">
        <v>60</v>
      </c>
      <c r="G244" s="9" t="s">
        <v>40</v>
      </c>
      <c r="H244" s="9" t="s">
        <v>22</v>
      </c>
      <c r="I244" s="9" t="s">
        <v>20</v>
      </c>
      <c r="J244" s="10"/>
      <c r="K244" s="7"/>
      <c r="L244" s="7"/>
      <c r="M244" s="7"/>
      <c r="N244" s="7"/>
      <c r="O244" s="7"/>
    </row>
    <row r="245" ht="22.5" hidden="1" customHeight="1">
      <c r="A245" s="8">
        <v>45603.44871729167</v>
      </c>
      <c r="B245" s="9"/>
      <c r="C245" s="9" t="s">
        <v>31</v>
      </c>
      <c r="D245" s="9" t="s">
        <v>190</v>
      </c>
      <c r="E245" s="9" t="s">
        <v>46</v>
      </c>
      <c r="F245" s="9" t="s">
        <v>17</v>
      </c>
      <c r="G245" s="9" t="s">
        <v>24</v>
      </c>
      <c r="H245" s="9" t="s">
        <v>17</v>
      </c>
      <c r="I245" s="9" t="s">
        <v>20</v>
      </c>
      <c r="J245" s="10"/>
      <c r="K245" s="7"/>
      <c r="L245" s="7"/>
      <c r="M245" s="7"/>
      <c r="N245" s="7"/>
      <c r="O245" s="7"/>
    </row>
    <row r="246" ht="22.5" hidden="1" customHeight="1">
      <c r="A246" s="8">
        <v>45603.44913429398</v>
      </c>
      <c r="B246" s="9"/>
      <c r="C246" s="9" t="s">
        <v>31</v>
      </c>
      <c r="D246" s="9" t="s">
        <v>59</v>
      </c>
      <c r="E246" s="9" t="s">
        <v>46</v>
      </c>
      <c r="F246" s="9" t="s">
        <v>18</v>
      </c>
      <c r="G246" s="9" t="s">
        <v>24</v>
      </c>
      <c r="H246" s="9" t="s">
        <v>17</v>
      </c>
      <c r="I246" s="9" t="s">
        <v>20</v>
      </c>
      <c r="J246" s="10"/>
      <c r="K246" s="7"/>
      <c r="L246" s="7"/>
      <c r="M246" s="7"/>
      <c r="N246" s="7"/>
      <c r="O246" s="7"/>
    </row>
    <row r="247" ht="22.5" hidden="1" customHeight="1">
      <c r="A247" s="8">
        <v>45603.44915998843</v>
      </c>
      <c r="B247" s="9"/>
      <c r="C247" s="9" t="s">
        <v>31</v>
      </c>
      <c r="D247" s="9" t="s">
        <v>38</v>
      </c>
      <c r="E247" s="9" t="s">
        <v>17</v>
      </c>
      <c r="F247" s="9" t="s">
        <v>17</v>
      </c>
      <c r="G247" s="9" t="s">
        <v>24</v>
      </c>
      <c r="H247" s="9" t="s">
        <v>17</v>
      </c>
      <c r="I247" s="9" t="s">
        <v>20</v>
      </c>
      <c r="J247" s="10"/>
      <c r="K247" s="7"/>
      <c r="L247" s="7"/>
      <c r="M247" s="7"/>
      <c r="N247" s="7"/>
      <c r="O247" s="7"/>
    </row>
    <row r="248" ht="22.5" hidden="1" customHeight="1">
      <c r="A248" s="8">
        <v>45603.450141678244</v>
      </c>
      <c r="B248" s="9"/>
      <c r="C248" s="9" t="s">
        <v>31</v>
      </c>
      <c r="D248" s="9" t="s">
        <v>181</v>
      </c>
      <c r="E248" s="9" t="s">
        <v>17</v>
      </c>
      <c r="F248" s="9" t="s">
        <v>18</v>
      </c>
      <c r="G248" s="9" t="s">
        <v>40</v>
      </c>
      <c r="H248" s="9" t="s">
        <v>22</v>
      </c>
      <c r="I248" s="9" t="s">
        <v>20</v>
      </c>
      <c r="J248" s="10"/>
      <c r="K248" s="7"/>
      <c r="L248" s="7"/>
      <c r="M248" s="7"/>
      <c r="N248" s="7"/>
      <c r="O248" s="7"/>
    </row>
    <row r="249" ht="22.5" hidden="1" customHeight="1">
      <c r="A249" s="8">
        <v>45603.45069628472</v>
      </c>
      <c r="B249" s="9"/>
      <c r="C249" s="9" t="s">
        <v>31</v>
      </c>
      <c r="D249" s="9" t="s">
        <v>191</v>
      </c>
      <c r="E249" s="9" t="s">
        <v>17</v>
      </c>
      <c r="F249" s="9" t="s">
        <v>35</v>
      </c>
      <c r="G249" s="9" t="s">
        <v>24</v>
      </c>
      <c r="H249" s="9" t="s">
        <v>22</v>
      </c>
      <c r="I249" s="9" t="s">
        <v>20</v>
      </c>
      <c r="J249" s="10"/>
      <c r="K249" s="7"/>
      <c r="L249" s="7"/>
      <c r="M249" s="7"/>
      <c r="N249" s="7"/>
      <c r="O249" s="7"/>
    </row>
    <row r="250" ht="22.5" hidden="1" customHeight="1">
      <c r="A250" s="8">
        <v>45604.36789069444</v>
      </c>
      <c r="B250" s="9"/>
      <c r="C250" s="9" t="s">
        <v>48</v>
      </c>
      <c r="D250" s="9" t="s">
        <v>192</v>
      </c>
      <c r="E250" s="9" t="s">
        <v>46</v>
      </c>
      <c r="F250" s="9" t="s">
        <v>17</v>
      </c>
      <c r="G250" s="9" t="s">
        <v>24</v>
      </c>
      <c r="H250" s="9" t="s">
        <v>62</v>
      </c>
      <c r="I250" s="9" t="s">
        <v>20</v>
      </c>
      <c r="J250" s="10"/>
      <c r="K250" s="7"/>
      <c r="L250" s="7"/>
      <c r="M250" s="7"/>
      <c r="N250" s="7"/>
      <c r="O250" s="7"/>
    </row>
    <row r="251" ht="22.5" hidden="1" customHeight="1">
      <c r="A251" s="8">
        <v>45604.36843960648</v>
      </c>
      <c r="B251" s="9"/>
      <c r="C251" s="9" t="s">
        <v>48</v>
      </c>
      <c r="D251" s="9" t="s">
        <v>33</v>
      </c>
      <c r="E251" s="9" t="s">
        <v>44</v>
      </c>
      <c r="F251" s="9" t="s">
        <v>35</v>
      </c>
      <c r="G251" s="9" t="s">
        <v>19</v>
      </c>
      <c r="H251" s="9" t="s">
        <v>17</v>
      </c>
      <c r="I251" s="9" t="s">
        <v>20</v>
      </c>
      <c r="J251" s="10"/>
      <c r="K251" s="7"/>
      <c r="L251" s="7"/>
      <c r="M251" s="7"/>
      <c r="N251" s="7"/>
      <c r="O251" s="7"/>
    </row>
    <row r="252" ht="22.5" hidden="1" customHeight="1">
      <c r="A252" s="8">
        <v>45604.36862597222</v>
      </c>
      <c r="B252" s="9"/>
      <c r="C252" s="9" t="s">
        <v>48</v>
      </c>
      <c r="D252" s="9" t="s">
        <v>123</v>
      </c>
      <c r="E252" s="9" t="s">
        <v>17</v>
      </c>
      <c r="F252" s="9" t="s">
        <v>17</v>
      </c>
      <c r="G252" s="9" t="s">
        <v>19</v>
      </c>
      <c r="H252" s="9" t="s">
        <v>17</v>
      </c>
      <c r="I252" s="9" t="s">
        <v>20</v>
      </c>
      <c r="J252" s="10"/>
      <c r="K252" s="7"/>
      <c r="L252" s="7"/>
      <c r="M252" s="7"/>
      <c r="N252" s="7"/>
      <c r="O252" s="7"/>
    </row>
    <row r="253" ht="22.5" hidden="1" customHeight="1">
      <c r="A253" s="8">
        <v>45604.373720902775</v>
      </c>
      <c r="B253" s="9"/>
      <c r="C253" s="9" t="s">
        <v>48</v>
      </c>
      <c r="D253" s="9" t="s">
        <v>129</v>
      </c>
      <c r="E253" s="9" t="s">
        <v>44</v>
      </c>
      <c r="F253" s="9" t="s">
        <v>35</v>
      </c>
      <c r="G253" s="9" t="s">
        <v>24</v>
      </c>
      <c r="H253" s="9" t="s">
        <v>25</v>
      </c>
      <c r="I253" s="9" t="s">
        <v>79</v>
      </c>
      <c r="J253" s="10"/>
      <c r="K253" s="7"/>
      <c r="L253" s="7"/>
      <c r="M253" s="7"/>
      <c r="N253" s="7"/>
      <c r="O253" s="7"/>
    </row>
    <row r="254" ht="22.5" hidden="1" customHeight="1">
      <c r="A254" s="8">
        <v>45604.38198394676</v>
      </c>
      <c r="B254" s="9"/>
      <c r="C254" s="9" t="s">
        <v>48</v>
      </c>
      <c r="D254" s="9" t="s">
        <v>138</v>
      </c>
      <c r="E254" s="9" t="s">
        <v>17</v>
      </c>
      <c r="F254" s="9" t="s">
        <v>17</v>
      </c>
      <c r="G254" s="9" t="s">
        <v>24</v>
      </c>
      <c r="H254" s="9" t="s">
        <v>17</v>
      </c>
      <c r="I254" s="9" t="s">
        <v>26</v>
      </c>
      <c r="J254" s="10"/>
      <c r="K254" s="7"/>
      <c r="L254" s="7"/>
      <c r="M254" s="7"/>
      <c r="N254" s="7"/>
      <c r="O254" s="7"/>
    </row>
    <row r="255" ht="22.5" hidden="1" customHeight="1">
      <c r="A255" s="8">
        <v>45604.39436976852</v>
      </c>
      <c r="B255" s="9"/>
      <c r="C255" s="9" t="s">
        <v>48</v>
      </c>
      <c r="D255" s="9" t="s">
        <v>32</v>
      </c>
      <c r="E255" s="9" t="s">
        <v>44</v>
      </c>
      <c r="F255" s="9" t="s">
        <v>18</v>
      </c>
      <c r="G255" s="9" t="s">
        <v>24</v>
      </c>
      <c r="H255" s="9" t="s">
        <v>17</v>
      </c>
      <c r="I255" s="9" t="s">
        <v>20</v>
      </c>
      <c r="J255" s="10"/>
      <c r="K255" s="7"/>
      <c r="L255" s="7"/>
      <c r="M255" s="7"/>
      <c r="N255" s="7"/>
      <c r="O255" s="7"/>
    </row>
    <row r="256" ht="22.5" hidden="1" customHeight="1">
      <c r="A256" s="8">
        <v>45608.60395996528</v>
      </c>
      <c r="B256" s="9"/>
      <c r="C256" s="9" t="s">
        <v>110</v>
      </c>
      <c r="D256" s="9" t="s">
        <v>33</v>
      </c>
      <c r="E256" s="9" t="s">
        <v>44</v>
      </c>
      <c r="F256" s="9" t="s">
        <v>18</v>
      </c>
      <c r="G256" s="9" t="s">
        <v>19</v>
      </c>
      <c r="H256" s="9" t="s">
        <v>22</v>
      </c>
      <c r="I256" s="9" t="s">
        <v>20</v>
      </c>
      <c r="J256" s="10"/>
      <c r="K256" s="7"/>
      <c r="L256" s="7"/>
      <c r="M256" s="7"/>
      <c r="N256" s="7"/>
      <c r="O256" s="7"/>
    </row>
    <row r="257" ht="22.5" hidden="1" customHeight="1">
      <c r="A257" s="8">
        <v>45608.60979315972</v>
      </c>
      <c r="B257" s="9"/>
      <c r="C257" s="9" t="s">
        <v>110</v>
      </c>
      <c r="D257" s="9" t="s">
        <v>138</v>
      </c>
      <c r="E257" s="9" t="s">
        <v>17</v>
      </c>
      <c r="F257" s="9" t="s">
        <v>18</v>
      </c>
      <c r="G257" s="9" t="s">
        <v>19</v>
      </c>
      <c r="H257" s="9" t="s">
        <v>17</v>
      </c>
      <c r="I257" s="9" t="s">
        <v>26</v>
      </c>
      <c r="J257" s="10"/>
      <c r="K257" s="7"/>
      <c r="L257" s="7"/>
      <c r="M257" s="7"/>
      <c r="N257" s="7"/>
      <c r="O257" s="7"/>
    </row>
    <row r="258" ht="22.5" hidden="1" customHeight="1">
      <c r="A258" s="8">
        <v>45608.6765662963</v>
      </c>
      <c r="B258" s="9"/>
      <c r="C258" s="9" t="s">
        <v>110</v>
      </c>
      <c r="D258" s="9" t="s">
        <v>120</v>
      </c>
      <c r="E258" s="9" t="s">
        <v>44</v>
      </c>
      <c r="F258" s="9" t="s">
        <v>35</v>
      </c>
      <c r="G258" s="9" t="s">
        <v>24</v>
      </c>
      <c r="H258" s="9" t="s">
        <v>17</v>
      </c>
      <c r="I258" s="9" t="s">
        <v>20</v>
      </c>
      <c r="J258" s="10"/>
      <c r="K258" s="7"/>
      <c r="L258" s="7"/>
      <c r="M258" s="7"/>
      <c r="N258" s="7"/>
      <c r="O258" s="7"/>
    </row>
    <row r="259" ht="22.5" hidden="1" customHeight="1">
      <c r="A259" s="8">
        <v>45609.37680603009</v>
      </c>
      <c r="B259" s="9"/>
      <c r="C259" s="9" t="s">
        <v>15</v>
      </c>
      <c r="D259" s="9" t="s">
        <v>193</v>
      </c>
      <c r="E259" s="9" t="s">
        <v>17</v>
      </c>
      <c r="F259" s="9" t="s">
        <v>18</v>
      </c>
      <c r="G259" s="9" t="s">
        <v>24</v>
      </c>
      <c r="H259" s="9" t="s">
        <v>22</v>
      </c>
      <c r="I259" s="9" t="s">
        <v>20</v>
      </c>
      <c r="J259" s="10"/>
      <c r="K259" s="7"/>
      <c r="L259" s="7"/>
      <c r="M259" s="7"/>
      <c r="N259" s="7"/>
      <c r="O259" s="7"/>
    </row>
    <row r="260" ht="22.5" hidden="1" customHeight="1">
      <c r="A260" s="8">
        <v>45609.37811041667</v>
      </c>
      <c r="B260" s="9"/>
      <c r="C260" s="9" t="s">
        <v>15</v>
      </c>
      <c r="D260" s="9" t="s">
        <v>194</v>
      </c>
      <c r="E260" s="9" t="s">
        <v>17</v>
      </c>
      <c r="F260" s="9" t="s">
        <v>17</v>
      </c>
      <c r="G260" s="9" t="s">
        <v>24</v>
      </c>
      <c r="H260" s="9" t="s">
        <v>25</v>
      </c>
      <c r="I260" s="9" t="s">
        <v>117</v>
      </c>
      <c r="J260" s="10"/>
      <c r="K260" s="7"/>
      <c r="L260" s="7"/>
      <c r="M260" s="7"/>
      <c r="N260" s="7"/>
      <c r="O260" s="7"/>
    </row>
    <row r="261" ht="22.5" hidden="1" customHeight="1">
      <c r="A261" s="8">
        <v>45609.379551018515</v>
      </c>
      <c r="B261" s="9"/>
      <c r="C261" s="9" t="s">
        <v>15</v>
      </c>
      <c r="D261" s="9" t="s">
        <v>123</v>
      </c>
      <c r="E261" s="9" t="s">
        <v>17</v>
      </c>
      <c r="F261" s="9" t="s">
        <v>17</v>
      </c>
      <c r="G261" s="9" t="s">
        <v>24</v>
      </c>
      <c r="H261" s="9" t="s">
        <v>17</v>
      </c>
      <c r="I261" s="9" t="s">
        <v>89</v>
      </c>
      <c r="J261" s="10"/>
      <c r="K261" s="7"/>
      <c r="L261" s="7"/>
      <c r="M261" s="7"/>
      <c r="N261" s="7"/>
      <c r="O261" s="7"/>
    </row>
    <row r="262" ht="22.5" hidden="1" customHeight="1">
      <c r="A262" s="8">
        <v>45609.38187769676</v>
      </c>
      <c r="B262" s="9"/>
      <c r="C262" s="9" t="s">
        <v>15</v>
      </c>
      <c r="D262" s="9" t="s">
        <v>42</v>
      </c>
      <c r="E262" s="9" t="s">
        <v>17</v>
      </c>
      <c r="F262" s="9" t="s">
        <v>43</v>
      </c>
      <c r="G262" s="9" t="s">
        <v>19</v>
      </c>
      <c r="H262" s="9" t="s">
        <v>17</v>
      </c>
      <c r="I262" s="9" t="s">
        <v>20</v>
      </c>
      <c r="J262" s="10"/>
      <c r="K262" s="7"/>
      <c r="L262" s="7"/>
      <c r="M262" s="7"/>
      <c r="N262" s="7"/>
      <c r="O262" s="7"/>
    </row>
    <row r="263" ht="22.5" hidden="1" customHeight="1">
      <c r="A263" s="8">
        <v>45609.381935763886</v>
      </c>
      <c r="B263" s="9"/>
      <c r="C263" s="9" t="s">
        <v>15</v>
      </c>
      <c r="D263" s="9" t="s">
        <v>32</v>
      </c>
      <c r="E263" s="9" t="s">
        <v>17</v>
      </c>
      <c r="F263" s="9" t="s">
        <v>17</v>
      </c>
      <c r="G263" s="9" t="s">
        <v>24</v>
      </c>
      <c r="H263" s="9" t="s">
        <v>22</v>
      </c>
      <c r="I263" s="9" t="s">
        <v>20</v>
      </c>
      <c r="J263" s="10"/>
      <c r="K263" s="7"/>
      <c r="L263" s="7"/>
      <c r="M263" s="7"/>
      <c r="N263" s="7"/>
      <c r="O263" s="7"/>
    </row>
    <row r="264" ht="22.5" hidden="1" customHeight="1">
      <c r="A264" s="8">
        <v>45609.38244423611</v>
      </c>
      <c r="B264" s="9"/>
      <c r="C264" s="9" t="s">
        <v>15</v>
      </c>
      <c r="D264" s="9" t="s">
        <v>138</v>
      </c>
      <c r="E264" s="9" t="s">
        <v>61</v>
      </c>
      <c r="F264" s="9" t="s">
        <v>17</v>
      </c>
      <c r="G264" s="9" t="s">
        <v>19</v>
      </c>
      <c r="H264" s="9" t="s">
        <v>17</v>
      </c>
      <c r="I264" s="9" t="s">
        <v>195</v>
      </c>
      <c r="J264" s="10"/>
      <c r="K264" s="7"/>
      <c r="L264" s="7"/>
      <c r="M264" s="7"/>
      <c r="N264" s="7"/>
      <c r="O264" s="7"/>
    </row>
    <row r="265" ht="22.5" hidden="1" customHeight="1">
      <c r="A265" s="8">
        <v>45609.38264030093</v>
      </c>
      <c r="B265" s="9"/>
      <c r="C265" s="9" t="s">
        <v>15</v>
      </c>
      <c r="D265" s="9" t="s">
        <v>49</v>
      </c>
      <c r="E265" s="9" t="s">
        <v>17</v>
      </c>
      <c r="F265" s="9" t="s">
        <v>17</v>
      </c>
      <c r="G265" s="9" t="s">
        <v>24</v>
      </c>
      <c r="H265" s="9" t="s">
        <v>17</v>
      </c>
      <c r="I265" s="9" t="s">
        <v>20</v>
      </c>
      <c r="J265" s="10"/>
      <c r="K265" s="7"/>
      <c r="L265" s="7"/>
      <c r="M265" s="7"/>
      <c r="N265" s="7"/>
      <c r="O265" s="7"/>
    </row>
    <row r="266" ht="22.5" hidden="1" customHeight="1">
      <c r="A266" s="8">
        <v>45609.384314780094</v>
      </c>
      <c r="B266" s="9"/>
      <c r="C266" s="9" t="s">
        <v>15</v>
      </c>
      <c r="D266" s="9" t="s">
        <v>196</v>
      </c>
      <c r="E266" s="9" t="s">
        <v>17</v>
      </c>
      <c r="F266" s="9" t="s">
        <v>35</v>
      </c>
      <c r="G266" s="9" t="s">
        <v>19</v>
      </c>
      <c r="H266" s="9" t="s">
        <v>22</v>
      </c>
      <c r="I266" s="9" t="s">
        <v>20</v>
      </c>
      <c r="J266" s="10"/>
      <c r="K266" s="7"/>
      <c r="L266" s="7"/>
      <c r="M266" s="7"/>
      <c r="N266" s="7"/>
      <c r="O266" s="7"/>
    </row>
    <row r="267" ht="22.5" hidden="1" customHeight="1">
      <c r="A267" s="8">
        <v>45609.385907766205</v>
      </c>
      <c r="B267" s="9"/>
      <c r="C267" s="9" t="s">
        <v>15</v>
      </c>
      <c r="D267" s="9" t="s">
        <v>23</v>
      </c>
      <c r="E267" s="9" t="s">
        <v>17</v>
      </c>
      <c r="F267" s="9" t="s">
        <v>18</v>
      </c>
      <c r="G267" s="9" t="s">
        <v>24</v>
      </c>
      <c r="H267" s="9" t="s">
        <v>17</v>
      </c>
      <c r="I267" s="9" t="s">
        <v>20</v>
      </c>
      <c r="J267" s="10"/>
      <c r="K267" s="7"/>
      <c r="L267" s="7"/>
      <c r="M267" s="7"/>
      <c r="N267" s="7"/>
      <c r="O267" s="7"/>
    </row>
    <row r="268" ht="22.5" hidden="1" customHeight="1">
      <c r="A268" s="8">
        <v>45609.387950335644</v>
      </c>
      <c r="B268" s="9"/>
      <c r="C268" s="9" t="s">
        <v>15</v>
      </c>
      <c r="D268" s="9" t="s">
        <v>197</v>
      </c>
      <c r="E268" s="9" t="s">
        <v>46</v>
      </c>
      <c r="F268" s="9" t="s">
        <v>17</v>
      </c>
      <c r="G268" s="9" t="s">
        <v>24</v>
      </c>
      <c r="H268" s="9" t="s">
        <v>17</v>
      </c>
      <c r="I268" s="9" t="s">
        <v>79</v>
      </c>
      <c r="J268" s="10"/>
      <c r="K268" s="7"/>
      <c r="L268" s="7"/>
      <c r="M268" s="7"/>
      <c r="N268" s="7"/>
      <c r="O268" s="7"/>
    </row>
    <row r="269" ht="22.5" hidden="1" customHeight="1">
      <c r="A269" s="8">
        <v>45609.38914584491</v>
      </c>
      <c r="B269" s="9"/>
      <c r="C269" s="9" t="s">
        <v>15</v>
      </c>
      <c r="D269" s="9" t="s">
        <v>111</v>
      </c>
      <c r="E269" s="9" t="s">
        <v>57</v>
      </c>
      <c r="F269" s="9" t="s">
        <v>43</v>
      </c>
      <c r="G269" s="9" t="s">
        <v>24</v>
      </c>
      <c r="H269" s="9" t="s">
        <v>22</v>
      </c>
      <c r="I269" s="9" t="s">
        <v>20</v>
      </c>
      <c r="J269" s="10"/>
      <c r="K269" s="7"/>
      <c r="L269" s="7"/>
      <c r="M269" s="7"/>
      <c r="N269" s="7"/>
      <c r="O269" s="7"/>
    </row>
    <row r="270" ht="22.5" hidden="1" customHeight="1">
      <c r="A270" s="8">
        <v>45610.362978923615</v>
      </c>
      <c r="B270" s="9"/>
      <c r="C270" s="9" t="s">
        <v>31</v>
      </c>
      <c r="D270" s="9" t="s">
        <v>198</v>
      </c>
      <c r="E270" s="9" t="s">
        <v>44</v>
      </c>
      <c r="F270" s="9" t="s">
        <v>18</v>
      </c>
      <c r="G270" s="9" t="s">
        <v>24</v>
      </c>
      <c r="H270" s="9" t="s">
        <v>22</v>
      </c>
      <c r="I270" s="9" t="s">
        <v>20</v>
      </c>
      <c r="J270" s="10"/>
      <c r="K270" s="7"/>
      <c r="L270" s="7"/>
      <c r="M270" s="7"/>
      <c r="N270" s="7"/>
      <c r="O270" s="7"/>
    </row>
    <row r="271" ht="22.5" hidden="1" customHeight="1">
      <c r="A271" s="8">
        <v>45610.36881767361</v>
      </c>
      <c r="B271" s="9"/>
      <c r="C271" s="9" t="s">
        <v>31</v>
      </c>
      <c r="D271" s="9" t="s">
        <v>199</v>
      </c>
      <c r="E271" s="9" t="s">
        <v>61</v>
      </c>
      <c r="F271" s="9" t="s">
        <v>17</v>
      </c>
      <c r="G271" s="9" t="s">
        <v>24</v>
      </c>
      <c r="H271" s="9" t="s">
        <v>25</v>
      </c>
      <c r="I271" s="9" t="s">
        <v>200</v>
      </c>
      <c r="J271" s="10"/>
      <c r="K271" s="7"/>
      <c r="L271" s="7"/>
      <c r="M271" s="7"/>
      <c r="N271" s="7"/>
      <c r="O271" s="7"/>
    </row>
    <row r="272" ht="22.5" hidden="1" customHeight="1">
      <c r="A272" s="8">
        <v>45610.37189210649</v>
      </c>
      <c r="B272" s="9"/>
      <c r="C272" s="9" t="s">
        <v>31</v>
      </c>
      <c r="D272" s="9" t="s">
        <v>194</v>
      </c>
      <c r="E272" s="9" t="s">
        <v>17</v>
      </c>
      <c r="F272" s="9" t="s">
        <v>17</v>
      </c>
      <c r="G272" s="9" t="s">
        <v>24</v>
      </c>
      <c r="H272" s="9" t="s">
        <v>25</v>
      </c>
      <c r="I272" s="9" t="s">
        <v>117</v>
      </c>
      <c r="J272" s="10"/>
      <c r="K272" s="7"/>
      <c r="L272" s="7"/>
      <c r="M272" s="7"/>
      <c r="N272" s="7"/>
      <c r="O272" s="7"/>
    </row>
    <row r="273" ht="22.5" hidden="1" customHeight="1">
      <c r="A273" s="8">
        <v>45610.373156747686</v>
      </c>
      <c r="B273" s="9"/>
      <c r="C273" s="9" t="s">
        <v>31</v>
      </c>
      <c r="D273" s="9" t="s">
        <v>49</v>
      </c>
      <c r="E273" s="9" t="s">
        <v>46</v>
      </c>
      <c r="F273" s="9" t="s">
        <v>17</v>
      </c>
      <c r="G273" s="9" t="s">
        <v>24</v>
      </c>
      <c r="H273" s="9" t="s">
        <v>17</v>
      </c>
      <c r="I273" s="9" t="s">
        <v>20</v>
      </c>
      <c r="J273" s="10"/>
      <c r="K273" s="7"/>
      <c r="L273" s="7"/>
      <c r="M273" s="7"/>
      <c r="N273" s="7"/>
      <c r="O273" s="7"/>
    </row>
    <row r="274" ht="22.5" hidden="1" customHeight="1">
      <c r="A274" s="8">
        <v>45610.37415373843</v>
      </c>
      <c r="B274" s="9"/>
      <c r="C274" s="9" t="s">
        <v>31</v>
      </c>
      <c r="D274" s="9" t="s">
        <v>32</v>
      </c>
      <c r="E274" s="9" t="s">
        <v>17</v>
      </c>
      <c r="F274" s="9" t="s">
        <v>35</v>
      </c>
      <c r="G274" s="9" t="s">
        <v>24</v>
      </c>
      <c r="H274" s="9" t="s">
        <v>17</v>
      </c>
      <c r="I274" s="9" t="s">
        <v>20</v>
      </c>
      <c r="J274" s="10"/>
      <c r="K274" s="7"/>
      <c r="L274" s="7"/>
      <c r="M274" s="7"/>
      <c r="N274" s="7"/>
      <c r="O274" s="7"/>
    </row>
    <row r="275" ht="22.5" hidden="1" customHeight="1">
      <c r="A275" s="8">
        <v>45610.37496479167</v>
      </c>
      <c r="B275" s="9"/>
      <c r="C275" s="9" t="s">
        <v>31</v>
      </c>
      <c r="D275" s="9" t="s">
        <v>201</v>
      </c>
      <c r="E275" s="9" t="s">
        <v>61</v>
      </c>
      <c r="F275" s="9" t="s">
        <v>17</v>
      </c>
      <c r="G275" s="9" t="s">
        <v>24</v>
      </c>
      <c r="H275" s="9" t="s">
        <v>25</v>
      </c>
      <c r="I275" s="9" t="s">
        <v>195</v>
      </c>
      <c r="J275" s="10"/>
      <c r="K275" s="7"/>
      <c r="L275" s="7"/>
      <c r="M275" s="7"/>
      <c r="N275" s="7"/>
      <c r="O275" s="7"/>
    </row>
    <row r="276" ht="22.5" hidden="1" customHeight="1">
      <c r="A276" s="8">
        <v>45610.375492928244</v>
      </c>
      <c r="B276" s="9"/>
      <c r="C276" s="9" t="s">
        <v>31</v>
      </c>
      <c r="D276" s="9" t="s">
        <v>190</v>
      </c>
      <c r="E276" s="9" t="s">
        <v>61</v>
      </c>
      <c r="F276" s="9" t="s">
        <v>60</v>
      </c>
      <c r="G276" s="9" t="s">
        <v>40</v>
      </c>
      <c r="H276" s="9" t="s">
        <v>17</v>
      </c>
      <c r="I276" s="9" t="s">
        <v>20</v>
      </c>
      <c r="J276" s="10"/>
      <c r="K276" s="7"/>
      <c r="L276" s="7"/>
      <c r="M276" s="7"/>
      <c r="N276" s="7"/>
      <c r="O276" s="7"/>
    </row>
    <row r="277" ht="22.5" hidden="1" customHeight="1">
      <c r="A277" s="8">
        <v>45610.377520625</v>
      </c>
      <c r="B277" s="9"/>
      <c r="C277" s="9" t="s">
        <v>31</v>
      </c>
      <c r="D277" s="9" t="s">
        <v>187</v>
      </c>
      <c r="E277" s="9" t="s">
        <v>17</v>
      </c>
      <c r="F277" s="9" t="s">
        <v>17</v>
      </c>
      <c r="G277" s="9" t="s">
        <v>24</v>
      </c>
      <c r="H277" s="9" t="s">
        <v>17</v>
      </c>
      <c r="I277" s="9" t="s">
        <v>67</v>
      </c>
      <c r="J277" s="10"/>
      <c r="K277" s="7"/>
      <c r="L277" s="7"/>
      <c r="M277" s="7"/>
      <c r="N277" s="7"/>
      <c r="O277" s="7"/>
    </row>
    <row r="278" ht="22.5" hidden="1" customHeight="1">
      <c r="A278" s="8">
        <v>45610.37856582176</v>
      </c>
      <c r="B278" s="9"/>
      <c r="C278" s="9" t="s">
        <v>31</v>
      </c>
      <c r="D278" s="9" t="s">
        <v>29</v>
      </c>
      <c r="E278" s="9" t="s">
        <v>17</v>
      </c>
      <c r="F278" s="9" t="s">
        <v>17</v>
      </c>
      <c r="G278" s="9" t="s">
        <v>24</v>
      </c>
      <c r="H278" s="9" t="s">
        <v>17</v>
      </c>
      <c r="I278" s="9" t="s">
        <v>20</v>
      </c>
      <c r="J278" s="10"/>
      <c r="K278" s="7"/>
      <c r="L278" s="7"/>
      <c r="M278" s="7"/>
      <c r="N278" s="7"/>
      <c r="O278" s="7"/>
    </row>
    <row r="279" ht="22.5" hidden="1" customHeight="1">
      <c r="A279" s="8">
        <v>45610.38168572917</v>
      </c>
      <c r="B279" s="9"/>
      <c r="C279" s="9" t="s">
        <v>31</v>
      </c>
      <c r="D279" s="9" t="s">
        <v>202</v>
      </c>
      <c r="E279" s="9" t="s">
        <v>46</v>
      </c>
      <c r="F279" s="9" t="s">
        <v>35</v>
      </c>
      <c r="G279" s="9" t="s">
        <v>24</v>
      </c>
      <c r="H279" s="9" t="s">
        <v>17</v>
      </c>
      <c r="I279" s="9" t="s">
        <v>79</v>
      </c>
      <c r="J279" s="10"/>
      <c r="K279" s="7"/>
      <c r="L279" s="7"/>
      <c r="M279" s="7"/>
      <c r="N279" s="7"/>
      <c r="O279" s="7"/>
    </row>
    <row r="280" ht="22.5" hidden="1" customHeight="1">
      <c r="A280" s="8">
        <v>45610.38453416667</v>
      </c>
      <c r="B280" s="9"/>
      <c r="C280" s="9" t="s">
        <v>31</v>
      </c>
      <c r="D280" s="9" t="s">
        <v>132</v>
      </c>
      <c r="E280" s="9" t="s">
        <v>17</v>
      </c>
      <c r="F280" s="9" t="s">
        <v>17</v>
      </c>
      <c r="G280" s="9" t="s">
        <v>24</v>
      </c>
      <c r="H280" s="9" t="s">
        <v>22</v>
      </c>
      <c r="I280" s="9" t="s">
        <v>20</v>
      </c>
      <c r="J280" s="10"/>
      <c r="K280" s="7"/>
      <c r="L280" s="7"/>
      <c r="M280" s="7"/>
      <c r="N280" s="7"/>
      <c r="O280" s="7"/>
    </row>
    <row r="281" ht="22.5" hidden="1" customHeight="1">
      <c r="A281" s="8">
        <v>45610.384925046295</v>
      </c>
      <c r="B281" s="9"/>
      <c r="C281" s="9" t="s">
        <v>31</v>
      </c>
      <c r="D281" s="9" t="s">
        <v>42</v>
      </c>
      <c r="E281" s="9" t="s">
        <v>17</v>
      </c>
      <c r="F281" s="9" t="s">
        <v>43</v>
      </c>
      <c r="G281" s="9" t="s">
        <v>19</v>
      </c>
      <c r="H281" s="9" t="s">
        <v>17</v>
      </c>
      <c r="I281" s="9" t="s">
        <v>20</v>
      </c>
      <c r="J281" s="10"/>
      <c r="K281" s="7"/>
      <c r="L281" s="7"/>
      <c r="M281" s="7"/>
      <c r="N281" s="7"/>
      <c r="O281" s="7"/>
    </row>
    <row r="282" ht="22.5" hidden="1" customHeight="1">
      <c r="A282" s="8">
        <v>45610.38702855324</v>
      </c>
      <c r="B282" s="9"/>
      <c r="C282" s="9" t="s">
        <v>31</v>
      </c>
      <c r="D282" s="9" t="s">
        <v>203</v>
      </c>
      <c r="E282" s="9" t="s">
        <v>17</v>
      </c>
      <c r="F282" s="9" t="s">
        <v>17</v>
      </c>
      <c r="G282" s="9" t="s">
        <v>24</v>
      </c>
      <c r="H282" s="9" t="s">
        <v>22</v>
      </c>
      <c r="I282" s="9" t="s">
        <v>20</v>
      </c>
      <c r="J282" s="10"/>
      <c r="K282" s="7"/>
      <c r="L282" s="7"/>
      <c r="M282" s="7"/>
      <c r="N282" s="7"/>
      <c r="O282" s="7"/>
    </row>
    <row r="283" ht="22.5" hidden="1" customHeight="1">
      <c r="A283" s="8">
        <v>45610.39901329861</v>
      </c>
      <c r="B283" s="9"/>
      <c r="C283" s="9" t="s">
        <v>31</v>
      </c>
      <c r="D283" s="9" t="s">
        <v>155</v>
      </c>
      <c r="E283" s="9" t="s">
        <v>61</v>
      </c>
      <c r="F283" s="9" t="s">
        <v>43</v>
      </c>
      <c r="G283" s="9" t="s">
        <v>24</v>
      </c>
      <c r="H283" s="9" t="s">
        <v>62</v>
      </c>
      <c r="I283" s="9" t="s">
        <v>204</v>
      </c>
      <c r="J283" s="10"/>
      <c r="K283" s="7"/>
      <c r="L283" s="7"/>
      <c r="M283" s="7"/>
      <c r="N283" s="7"/>
      <c r="O283" s="7"/>
    </row>
    <row r="284" ht="22.5" hidden="1" customHeight="1">
      <c r="A284" s="8">
        <v>45610.400117592595</v>
      </c>
      <c r="B284" s="9"/>
      <c r="C284" s="9" t="s">
        <v>31</v>
      </c>
      <c r="D284" s="9" t="s">
        <v>108</v>
      </c>
      <c r="E284" s="9" t="s">
        <v>61</v>
      </c>
      <c r="F284" s="9" t="s">
        <v>60</v>
      </c>
      <c r="G284" s="9" t="s">
        <v>40</v>
      </c>
      <c r="H284" s="9" t="s">
        <v>62</v>
      </c>
      <c r="I284" s="9" t="s">
        <v>20</v>
      </c>
      <c r="J284" s="10"/>
      <c r="K284" s="7"/>
      <c r="L284" s="7"/>
      <c r="M284" s="7"/>
      <c r="N284" s="7"/>
      <c r="O284" s="7"/>
    </row>
    <row r="285" ht="22.5" hidden="1" customHeight="1">
      <c r="A285" s="8">
        <v>45610.40072686343</v>
      </c>
      <c r="B285" s="9"/>
      <c r="C285" s="9" t="s">
        <v>31</v>
      </c>
      <c r="D285" s="9" t="s">
        <v>90</v>
      </c>
      <c r="E285" s="9" t="s">
        <v>17</v>
      </c>
      <c r="F285" s="9" t="s">
        <v>18</v>
      </c>
      <c r="G285" s="9" t="s">
        <v>19</v>
      </c>
      <c r="H285" s="9" t="s">
        <v>17</v>
      </c>
      <c r="I285" s="9" t="s">
        <v>20</v>
      </c>
      <c r="J285" s="10"/>
      <c r="K285" s="7"/>
      <c r="L285" s="7"/>
      <c r="M285" s="7"/>
      <c r="N285" s="7"/>
      <c r="O285" s="7"/>
    </row>
    <row r="286" ht="22.5" hidden="1" customHeight="1">
      <c r="A286" s="8">
        <v>45611.353764432875</v>
      </c>
      <c r="B286" s="9"/>
      <c r="C286" s="9" t="s">
        <v>48</v>
      </c>
      <c r="D286" s="9" t="s">
        <v>170</v>
      </c>
      <c r="E286" s="9" t="s">
        <v>17</v>
      </c>
      <c r="F286" s="9" t="s">
        <v>43</v>
      </c>
      <c r="G286" s="9" t="s">
        <v>19</v>
      </c>
      <c r="H286" s="9" t="s">
        <v>17</v>
      </c>
      <c r="I286" s="9" t="s">
        <v>20</v>
      </c>
      <c r="J286" s="10"/>
      <c r="K286" s="7"/>
      <c r="L286" s="7"/>
      <c r="M286" s="7"/>
      <c r="N286" s="7"/>
      <c r="O286" s="7"/>
    </row>
    <row r="287" ht="22.5" hidden="1" customHeight="1">
      <c r="A287" s="8">
        <v>45611.355872685184</v>
      </c>
      <c r="B287" s="9"/>
      <c r="C287" s="9" t="s">
        <v>48</v>
      </c>
      <c r="D287" s="9" t="s">
        <v>198</v>
      </c>
      <c r="E287" s="9" t="s">
        <v>17</v>
      </c>
      <c r="F287" s="9" t="s">
        <v>17</v>
      </c>
      <c r="G287" s="9" t="s">
        <v>24</v>
      </c>
      <c r="H287" s="9" t="s">
        <v>17</v>
      </c>
      <c r="I287" s="9" t="s">
        <v>20</v>
      </c>
      <c r="J287" s="10"/>
      <c r="K287" s="7"/>
      <c r="L287" s="7"/>
      <c r="M287" s="7"/>
      <c r="N287" s="7"/>
      <c r="O287" s="7"/>
    </row>
    <row r="288" ht="22.5" hidden="1" customHeight="1">
      <c r="A288" s="8">
        <v>45611.36840587963</v>
      </c>
      <c r="B288" s="9"/>
      <c r="C288" s="9" t="s">
        <v>48</v>
      </c>
      <c r="D288" s="9" t="s">
        <v>32</v>
      </c>
      <c r="E288" s="9" t="s">
        <v>17</v>
      </c>
      <c r="F288" s="9" t="s">
        <v>17</v>
      </c>
      <c r="G288" s="9" t="s">
        <v>24</v>
      </c>
      <c r="H288" s="9" t="s">
        <v>17</v>
      </c>
      <c r="I288" s="9" t="s">
        <v>20</v>
      </c>
      <c r="J288" s="10"/>
      <c r="K288" s="7"/>
      <c r="L288" s="7"/>
      <c r="M288" s="7"/>
      <c r="N288" s="7"/>
      <c r="O288" s="7"/>
    </row>
    <row r="289" ht="22.5" hidden="1" customHeight="1">
      <c r="A289" s="8">
        <v>45611.368865972225</v>
      </c>
      <c r="B289" s="9"/>
      <c r="C289" s="9" t="s">
        <v>48</v>
      </c>
      <c r="D289" s="9" t="s">
        <v>192</v>
      </c>
      <c r="E289" s="9" t="s">
        <v>61</v>
      </c>
      <c r="F289" s="9" t="s">
        <v>35</v>
      </c>
      <c r="G289" s="9" t="s">
        <v>19</v>
      </c>
      <c r="H289" s="9" t="s">
        <v>62</v>
      </c>
      <c r="I289" s="9" t="s">
        <v>20</v>
      </c>
      <c r="J289" s="10"/>
      <c r="K289" s="7"/>
      <c r="L289" s="7"/>
      <c r="M289" s="7"/>
      <c r="N289" s="7"/>
      <c r="O289" s="7"/>
    </row>
    <row r="290" ht="22.5" hidden="1" customHeight="1">
      <c r="A290" s="8">
        <v>45611.36961164352</v>
      </c>
      <c r="B290" s="9"/>
      <c r="C290" s="9" t="s">
        <v>48</v>
      </c>
      <c r="D290" s="9" t="s">
        <v>49</v>
      </c>
      <c r="E290" s="9" t="s">
        <v>17</v>
      </c>
      <c r="F290" s="9" t="s">
        <v>17</v>
      </c>
      <c r="G290" s="9" t="s">
        <v>24</v>
      </c>
      <c r="H290" s="9" t="s">
        <v>17</v>
      </c>
      <c r="I290" s="9" t="s">
        <v>20</v>
      </c>
      <c r="J290" s="10"/>
      <c r="K290" s="7"/>
      <c r="L290" s="7"/>
      <c r="M290" s="7"/>
      <c r="N290" s="7"/>
      <c r="O290" s="7"/>
    </row>
    <row r="291" ht="22.5" hidden="1" customHeight="1">
      <c r="A291" s="8">
        <v>45611.369831550925</v>
      </c>
      <c r="B291" s="9"/>
      <c r="C291" s="9" t="s">
        <v>48</v>
      </c>
      <c r="D291" s="9" t="s">
        <v>42</v>
      </c>
      <c r="E291" s="9" t="s">
        <v>17</v>
      </c>
      <c r="F291" s="9" t="s">
        <v>43</v>
      </c>
      <c r="G291" s="9" t="s">
        <v>19</v>
      </c>
      <c r="H291" s="9" t="s">
        <v>17</v>
      </c>
      <c r="I291" s="9" t="s">
        <v>20</v>
      </c>
      <c r="J291" s="10"/>
      <c r="K291" s="7"/>
      <c r="L291" s="7"/>
      <c r="M291" s="7"/>
      <c r="N291" s="7"/>
      <c r="O291" s="7"/>
    </row>
    <row r="292" ht="22.5" hidden="1" customHeight="1">
      <c r="A292" s="8">
        <v>45611.369875358796</v>
      </c>
      <c r="B292" s="9"/>
      <c r="C292" s="9" t="s">
        <v>48</v>
      </c>
      <c r="D292" s="9" t="s">
        <v>205</v>
      </c>
      <c r="E292" s="9" t="s">
        <v>44</v>
      </c>
      <c r="F292" s="9" t="s">
        <v>17</v>
      </c>
      <c r="G292" s="9" t="s">
        <v>40</v>
      </c>
      <c r="H292" s="9" t="s">
        <v>22</v>
      </c>
      <c r="I292" s="9" t="s">
        <v>20</v>
      </c>
      <c r="J292" s="10"/>
      <c r="K292" s="7"/>
      <c r="L292" s="7"/>
      <c r="M292" s="7"/>
      <c r="N292" s="7"/>
      <c r="O292" s="7"/>
    </row>
    <row r="293" ht="22.5" hidden="1" customHeight="1">
      <c r="A293" s="8">
        <v>45611.37209679398</v>
      </c>
      <c r="B293" s="9"/>
      <c r="C293" s="9" t="s">
        <v>48</v>
      </c>
      <c r="D293" s="9" t="s">
        <v>138</v>
      </c>
      <c r="E293" s="9" t="s">
        <v>17</v>
      </c>
      <c r="F293" s="9" t="s">
        <v>17</v>
      </c>
      <c r="G293" s="9" t="s">
        <v>19</v>
      </c>
      <c r="H293" s="9" t="s">
        <v>17</v>
      </c>
      <c r="I293" s="9" t="s">
        <v>26</v>
      </c>
      <c r="J293" s="10"/>
      <c r="K293" s="7"/>
      <c r="L293" s="7"/>
      <c r="M293" s="7"/>
      <c r="N293" s="7"/>
      <c r="O293" s="7"/>
    </row>
    <row r="294" ht="22.5" hidden="1" customHeight="1">
      <c r="A294" s="8">
        <v>45611.37288255787</v>
      </c>
      <c r="B294" s="9"/>
      <c r="C294" s="9" t="s">
        <v>48</v>
      </c>
      <c r="D294" s="9" t="s">
        <v>131</v>
      </c>
      <c r="E294" s="9" t="s">
        <v>17</v>
      </c>
      <c r="F294" s="9" t="s">
        <v>17</v>
      </c>
      <c r="G294" s="9" t="s">
        <v>24</v>
      </c>
      <c r="H294" s="9" t="s">
        <v>17</v>
      </c>
      <c r="I294" s="9" t="s">
        <v>79</v>
      </c>
      <c r="J294" s="10"/>
      <c r="K294" s="7"/>
      <c r="L294" s="7"/>
      <c r="M294" s="7"/>
      <c r="N294" s="7"/>
      <c r="O294" s="7"/>
    </row>
    <row r="295" ht="22.5" hidden="1" customHeight="1">
      <c r="A295" s="8">
        <v>45611.37537069444</v>
      </c>
      <c r="B295" s="9"/>
      <c r="C295" s="9" t="s">
        <v>48</v>
      </c>
      <c r="D295" s="9" t="s">
        <v>123</v>
      </c>
      <c r="E295" s="9" t="s">
        <v>17</v>
      </c>
      <c r="F295" s="9" t="s">
        <v>17</v>
      </c>
      <c r="G295" s="9" t="s">
        <v>24</v>
      </c>
      <c r="H295" s="9" t="s">
        <v>17</v>
      </c>
      <c r="I295" s="9" t="s">
        <v>28</v>
      </c>
      <c r="J295" s="10"/>
      <c r="K295" s="7"/>
      <c r="L295" s="7"/>
      <c r="M295" s="7"/>
      <c r="N295" s="7"/>
      <c r="O295" s="7"/>
    </row>
    <row r="296" ht="22.5" hidden="1" customHeight="1">
      <c r="A296" s="8">
        <v>45611.380736527775</v>
      </c>
      <c r="B296" s="9"/>
      <c r="C296" s="9" t="s">
        <v>48</v>
      </c>
      <c r="D296" s="9" t="s">
        <v>206</v>
      </c>
      <c r="E296" s="9" t="s">
        <v>46</v>
      </c>
      <c r="F296" s="9" t="s">
        <v>18</v>
      </c>
      <c r="G296" s="9" t="s">
        <v>19</v>
      </c>
      <c r="H296" s="9" t="s">
        <v>25</v>
      </c>
      <c r="I296" s="9" t="s">
        <v>117</v>
      </c>
      <c r="J296" s="10"/>
      <c r="K296" s="7"/>
      <c r="L296" s="7"/>
      <c r="M296" s="7"/>
      <c r="N296" s="7"/>
      <c r="O296" s="7"/>
    </row>
    <row r="297" ht="22.5" hidden="1" customHeight="1">
      <c r="A297" s="8">
        <v>45611.38459292824</v>
      </c>
      <c r="B297" s="9"/>
      <c r="C297" s="9" t="s">
        <v>48</v>
      </c>
      <c r="D297" s="9" t="s">
        <v>155</v>
      </c>
      <c r="E297" s="9" t="s">
        <v>30</v>
      </c>
      <c r="F297" s="9" t="s">
        <v>43</v>
      </c>
      <c r="G297" s="9" t="s">
        <v>19</v>
      </c>
      <c r="H297" s="9" t="s">
        <v>17</v>
      </c>
      <c r="I297" s="9" t="s">
        <v>20</v>
      </c>
      <c r="J297" s="10"/>
      <c r="K297" s="7"/>
      <c r="L297" s="7"/>
      <c r="M297" s="7"/>
      <c r="N297" s="7"/>
      <c r="O297" s="7"/>
    </row>
    <row r="298" ht="22.5" hidden="1" customHeight="1">
      <c r="A298" s="8">
        <v>45611.3913243287</v>
      </c>
      <c r="B298" s="9"/>
      <c r="C298" s="9" t="s">
        <v>48</v>
      </c>
      <c r="D298" s="9" t="s">
        <v>23</v>
      </c>
      <c r="E298" s="9" t="s">
        <v>17</v>
      </c>
      <c r="F298" s="9" t="s">
        <v>17</v>
      </c>
      <c r="G298" s="9" t="s">
        <v>19</v>
      </c>
      <c r="H298" s="9" t="s">
        <v>22</v>
      </c>
      <c r="I298" s="9" t="s">
        <v>20</v>
      </c>
      <c r="J298" s="10"/>
      <c r="K298" s="7"/>
      <c r="L298" s="7"/>
      <c r="M298" s="7"/>
      <c r="N298" s="7"/>
      <c r="O298" s="7"/>
    </row>
    <row r="299" ht="22.5" hidden="1" customHeight="1">
      <c r="A299" s="8">
        <v>45611.4050812037</v>
      </c>
      <c r="B299" s="9"/>
      <c r="C299" s="9" t="s">
        <v>48</v>
      </c>
      <c r="D299" s="9" t="s">
        <v>29</v>
      </c>
      <c r="E299" s="9" t="s">
        <v>46</v>
      </c>
      <c r="F299" s="9" t="s">
        <v>17</v>
      </c>
      <c r="G299" s="9" t="s">
        <v>24</v>
      </c>
      <c r="H299" s="9" t="s">
        <v>17</v>
      </c>
      <c r="I299" s="9" t="s">
        <v>20</v>
      </c>
      <c r="J299" s="10"/>
      <c r="K299" s="7"/>
      <c r="L299" s="7"/>
      <c r="M299" s="7"/>
      <c r="N299" s="7"/>
      <c r="O299" s="7"/>
    </row>
    <row r="300" ht="22.5" hidden="1" customHeight="1">
      <c r="A300" s="8">
        <v>45611.405646388885</v>
      </c>
      <c r="B300" s="9"/>
      <c r="C300" s="9" t="s">
        <v>48</v>
      </c>
      <c r="D300" s="9" t="s">
        <v>136</v>
      </c>
      <c r="E300" s="9" t="s">
        <v>46</v>
      </c>
      <c r="F300" s="9" t="s">
        <v>35</v>
      </c>
      <c r="G300" s="9" t="s">
        <v>24</v>
      </c>
      <c r="H300" s="9" t="s">
        <v>25</v>
      </c>
      <c r="I300" s="9" t="s">
        <v>79</v>
      </c>
      <c r="J300" s="10"/>
      <c r="K300" s="7"/>
      <c r="L300" s="7"/>
      <c r="M300" s="7"/>
      <c r="N300" s="7"/>
      <c r="O300" s="7"/>
    </row>
    <row r="301" ht="22.5" hidden="1" customHeight="1">
      <c r="A301" s="8">
        <v>45612.37326241898</v>
      </c>
      <c r="B301" s="9"/>
      <c r="C301" s="9" t="s">
        <v>53</v>
      </c>
      <c r="D301" s="9" t="s">
        <v>42</v>
      </c>
      <c r="E301" s="9" t="s">
        <v>17</v>
      </c>
      <c r="F301" s="9" t="s">
        <v>43</v>
      </c>
      <c r="G301" s="9" t="s">
        <v>19</v>
      </c>
      <c r="H301" s="9" t="s">
        <v>17</v>
      </c>
      <c r="I301" s="9" t="s">
        <v>20</v>
      </c>
      <c r="J301" s="10"/>
      <c r="K301" s="7"/>
      <c r="L301" s="7"/>
      <c r="M301" s="7"/>
      <c r="N301" s="7"/>
      <c r="O301" s="7"/>
    </row>
    <row r="302" ht="22.5" hidden="1" customHeight="1">
      <c r="A302" s="8">
        <v>45612.37384299768</v>
      </c>
      <c r="B302" s="9"/>
      <c r="C302" s="9" t="s">
        <v>53</v>
      </c>
      <c r="D302" s="9" t="s">
        <v>21</v>
      </c>
      <c r="E302" s="9" t="s">
        <v>44</v>
      </c>
      <c r="F302" s="9" t="s">
        <v>35</v>
      </c>
      <c r="G302" s="9" t="s">
        <v>24</v>
      </c>
      <c r="H302" s="9" t="s">
        <v>22</v>
      </c>
      <c r="I302" s="9" t="s">
        <v>20</v>
      </c>
      <c r="J302" s="10"/>
      <c r="K302" s="7"/>
      <c r="L302" s="7"/>
      <c r="M302" s="7"/>
      <c r="N302" s="7"/>
      <c r="O302" s="7"/>
    </row>
    <row r="303" ht="22.5" hidden="1" customHeight="1">
      <c r="A303" s="8">
        <v>45612.37474550926</v>
      </c>
      <c r="B303" s="9"/>
      <c r="C303" s="9" t="s">
        <v>53</v>
      </c>
      <c r="D303" s="9" t="s">
        <v>116</v>
      </c>
      <c r="E303" s="9" t="s">
        <v>17</v>
      </c>
      <c r="F303" s="9" t="s">
        <v>17</v>
      </c>
      <c r="G303" s="9" t="s">
        <v>24</v>
      </c>
      <c r="H303" s="9" t="s">
        <v>17</v>
      </c>
      <c r="I303" s="9" t="s">
        <v>52</v>
      </c>
      <c r="J303" s="10"/>
      <c r="K303" s="7"/>
      <c r="L303" s="7"/>
      <c r="M303" s="7"/>
      <c r="N303" s="7"/>
      <c r="O303" s="7"/>
    </row>
    <row r="304" ht="22.5" hidden="1" customHeight="1">
      <c r="A304" s="8">
        <v>45612.374937824075</v>
      </c>
      <c r="B304" s="9"/>
      <c r="C304" s="9" t="s">
        <v>53</v>
      </c>
      <c r="D304" s="9" t="s">
        <v>90</v>
      </c>
      <c r="E304" s="9" t="s">
        <v>17</v>
      </c>
      <c r="F304" s="9" t="s">
        <v>60</v>
      </c>
      <c r="G304" s="9" t="s">
        <v>24</v>
      </c>
      <c r="H304" s="9" t="s">
        <v>17</v>
      </c>
      <c r="I304" s="9" t="s">
        <v>70</v>
      </c>
      <c r="J304" s="10"/>
      <c r="K304" s="7"/>
      <c r="L304" s="7"/>
      <c r="M304" s="7"/>
      <c r="N304" s="7"/>
      <c r="O304" s="7"/>
    </row>
    <row r="305" ht="22.5" hidden="1" customHeight="1">
      <c r="A305" s="8">
        <v>45612.378215902776</v>
      </c>
      <c r="B305" s="9"/>
      <c r="C305" s="9" t="s">
        <v>53</v>
      </c>
      <c r="D305" s="9" t="s">
        <v>111</v>
      </c>
      <c r="E305" s="9" t="s">
        <v>57</v>
      </c>
      <c r="F305" s="9" t="s">
        <v>18</v>
      </c>
      <c r="G305" s="9" t="s">
        <v>24</v>
      </c>
      <c r="H305" s="9" t="s">
        <v>22</v>
      </c>
      <c r="I305" s="9" t="s">
        <v>20</v>
      </c>
      <c r="J305" s="10"/>
      <c r="K305" s="7"/>
      <c r="L305" s="7"/>
      <c r="M305" s="7"/>
      <c r="N305" s="7"/>
      <c r="O305" s="7"/>
    </row>
    <row r="306" ht="22.5" hidden="1" customHeight="1">
      <c r="A306" s="8">
        <v>45612.37938745371</v>
      </c>
      <c r="B306" s="9"/>
      <c r="C306" s="9" t="s">
        <v>53</v>
      </c>
      <c r="D306" s="9" t="s">
        <v>138</v>
      </c>
      <c r="E306" s="9" t="s">
        <v>17</v>
      </c>
      <c r="F306" s="9" t="s">
        <v>17</v>
      </c>
      <c r="G306" s="9" t="s">
        <v>40</v>
      </c>
      <c r="H306" s="9" t="s">
        <v>17</v>
      </c>
      <c r="I306" s="9" t="s">
        <v>207</v>
      </c>
      <c r="J306" s="10"/>
      <c r="K306" s="7"/>
      <c r="L306" s="7"/>
      <c r="M306" s="7"/>
      <c r="N306" s="7"/>
      <c r="O306" s="7"/>
    </row>
    <row r="307" ht="22.5" hidden="1" customHeight="1">
      <c r="A307" s="8">
        <v>45612.37972769676</v>
      </c>
      <c r="B307" s="9"/>
      <c r="C307" s="9" t="s">
        <v>53</v>
      </c>
      <c r="D307" s="9" t="s">
        <v>32</v>
      </c>
      <c r="E307" s="9" t="s">
        <v>17</v>
      </c>
      <c r="F307" s="9" t="s">
        <v>17</v>
      </c>
      <c r="G307" s="9" t="s">
        <v>24</v>
      </c>
      <c r="H307" s="9" t="s">
        <v>17</v>
      </c>
      <c r="I307" s="9" t="s">
        <v>20</v>
      </c>
      <c r="J307" s="10"/>
      <c r="K307" s="7"/>
      <c r="L307" s="7"/>
      <c r="M307" s="7"/>
      <c r="N307" s="7"/>
      <c r="O307" s="7"/>
    </row>
    <row r="308" ht="22.5" hidden="1" customHeight="1">
      <c r="A308" s="8">
        <v>45612.38015319445</v>
      </c>
      <c r="B308" s="9"/>
      <c r="C308" s="9" t="s">
        <v>53</v>
      </c>
      <c r="D308" s="9" t="s">
        <v>208</v>
      </c>
      <c r="E308" s="9" t="s">
        <v>30</v>
      </c>
      <c r="F308" s="9" t="s">
        <v>17</v>
      </c>
      <c r="G308" s="9" t="s">
        <v>24</v>
      </c>
      <c r="H308" s="9" t="s">
        <v>22</v>
      </c>
      <c r="I308" s="9" t="s">
        <v>20</v>
      </c>
      <c r="J308" s="10"/>
      <c r="K308" s="7"/>
      <c r="L308" s="7"/>
      <c r="M308" s="7"/>
      <c r="N308" s="7"/>
      <c r="O308" s="7"/>
    </row>
    <row r="309" ht="22.5" hidden="1" customHeight="1">
      <c r="A309" s="8">
        <v>45612.38062653935</v>
      </c>
      <c r="B309" s="9"/>
      <c r="C309" s="9" t="s">
        <v>53</v>
      </c>
      <c r="D309" s="9" t="s">
        <v>209</v>
      </c>
      <c r="E309" s="9" t="s">
        <v>61</v>
      </c>
      <c r="F309" s="9" t="s">
        <v>17</v>
      </c>
      <c r="G309" s="9" t="s">
        <v>24</v>
      </c>
      <c r="H309" s="9" t="s">
        <v>17</v>
      </c>
      <c r="I309" s="9" t="s">
        <v>20</v>
      </c>
      <c r="J309" s="10"/>
      <c r="K309" s="7"/>
      <c r="L309" s="7"/>
      <c r="M309" s="7"/>
      <c r="N309" s="7"/>
      <c r="O309" s="7"/>
    </row>
    <row r="310" ht="22.5" hidden="1" customHeight="1">
      <c r="A310" s="8">
        <v>45612.38171584491</v>
      </c>
      <c r="B310" s="9"/>
      <c r="C310" s="9" t="s">
        <v>53</v>
      </c>
      <c r="D310" s="9" t="s">
        <v>210</v>
      </c>
      <c r="E310" s="9" t="s">
        <v>17</v>
      </c>
      <c r="F310" s="9" t="s">
        <v>18</v>
      </c>
      <c r="G310" s="9" t="s">
        <v>24</v>
      </c>
      <c r="H310" s="9" t="s">
        <v>22</v>
      </c>
      <c r="I310" s="9" t="s">
        <v>20</v>
      </c>
      <c r="J310" s="10"/>
      <c r="K310" s="7"/>
      <c r="L310" s="7"/>
      <c r="M310" s="7"/>
      <c r="N310" s="7"/>
      <c r="O310" s="7"/>
    </row>
    <row r="311" ht="22.5" hidden="1" customHeight="1">
      <c r="A311" s="8">
        <v>45612.38275957176</v>
      </c>
      <c r="B311" s="9"/>
      <c r="C311" s="9" t="s">
        <v>53</v>
      </c>
      <c r="D311" s="9" t="s">
        <v>123</v>
      </c>
      <c r="E311" s="9" t="s">
        <v>17</v>
      </c>
      <c r="F311" s="9" t="s">
        <v>17</v>
      </c>
      <c r="G311" s="9" t="s">
        <v>24</v>
      </c>
      <c r="H311" s="9" t="s">
        <v>17</v>
      </c>
      <c r="I311" s="9" t="s">
        <v>20</v>
      </c>
      <c r="J311" s="10"/>
      <c r="K311" s="7"/>
      <c r="L311" s="7"/>
      <c r="M311" s="7"/>
      <c r="N311" s="7"/>
      <c r="O311" s="7"/>
    </row>
    <row r="312" ht="22.5" hidden="1" customHeight="1">
      <c r="A312" s="8">
        <v>45612.385009907404</v>
      </c>
      <c r="B312" s="9"/>
      <c r="C312" s="9" t="s">
        <v>53</v>
      </c>
      <c r="D312" s="9" t="s">
        <v>194</v>
      </c>
      <c r="E312" s="9" t="s">
        <v>17</v>
      </c>
      <c r="F312" s="9" t="s">
        <v>35</v>
      </c>
      <c r="G312" s="9" t="s">
        <v>19</v>
      </c>
      <c r="H312" s="9" t="s">
        <v>25</v>
      </c>
      <c r="I312" s="9" t="s">
        <v>117</v>
      </c>
      <c r="J312" s="10"/>
      <c r="K312" s="7"/>
      <c r="L312" s="7"/>
      <c r="M312" s="7"/>
      <c r="N312" s="7"/>
      <c r="O312" s="7"/>
    </row>
    <row r="313" ht="22.5" hidden="1" customHeight="1">
      <c r="A313" s="8">
        <v>45612.38695291667</v>
      </c>
      <c r="B313" s="9"/>
      <c r="C313" s="9" t="s">
        <v>53</v>
      </c>
      <c r="D313" s="9" t="s">
        <v>198</v>
      </c>
      <c r="E313" s="9" t="s">
        <v>61</v>
      </c>
      <c r="F313" s="9" t="s">
        <v>60</v>
      </c>
      <c r="G313" s="9" t="s">
        <v>40</v>
      </c>
      <c r="H313" s="9" t="s">
        <v>25</v>
      </c>
      <c r="I313" s="9" t="s">
        <v>211</v>
      </c>
      <c r="J313" s="10"/>
      <c r="K313" s="7"/>
      <c r="L313" s="7"/>
      <c r="M313" s="7"/>
      <c r="N313" s="7"/>
      <c r="O313" s="7"/>
    </row>
    <row r="314" ht="22.5" hidden="1" customHeight="1">
      <c r="A314" s="8">
        <v>45612.40112540509</v>
      </c>
      <c r="B314" s="9"/>
      <c r="C314" s="9" t="s">
        <v>53</v>
      </c>
      <c r="D314" s="9" t="s">
        <v>212</v>
      </c>
      <c r="E314" s="9" t="s">
        <v>61</v>
      </c>
      <c r="F314" s="9" t="s">
        <v>18</v>
      </c>
      <c r="G314" s="9" t="s">
        <v>24</v>
      </c>
      <c r="H314" s="9" t="s">
        <v>62</v>
      </c>
      <c r="I314" s="9" t="s">
        <v>20</v>
      </c>
      <c r="J314" s="10"/>
      <c r="K314" s="7"/>
      <c r="L314" s="7"/>
      <c r="M314" s="7"/>
      <c r="N314" s="7"/>
      <c r="O314" s="7"/>
    </row>
    <row r="315" ht="22.5" hidden="1" customHeight="1">
      <c r="A315" s="8">
        <v>45612.40530746528</v>
      </c>
      <c r="B315" s="9"/>
      <c r="C315" s="9" t="s">
        <v>53</v>
      </c>
      <c r="D315" s="9" t="s">
        <v>108</v>
      </c>
      <c r="E315" s="9" t="s">
        <v>46</v>
      </c>
      <c r="F315" s="9" t="s">
        <v>17</v>
      </c>
      <c r="G315" s="9" t="s">
        <v>24</v>
      </c>
      <c r="H315" s="9" t="s">
        <v>17</v>
      </c>
      <c r="I315" s="9" t="s">
        <v>20</v>
      </c>
      <c r="J315" s="10"/>
      <c r="K315" s="7"/>
      <c r="L315" s="7"/>
      <c r="M315" s="7"/>
      <c r="N315" s="7"/>
      <c r="O315" s="7"/>
    </row>
    <row r="316" ht="22.5" hidden="1" customHeight="1">
      <c r="A316" s="8">
        <v>45612.41819951389</v>
      </c>
      <c r="B316" s="9"/>
      <c r="C316" s="9" t="s">
        <v>53</v>
      </c>
      <c r="D316" s="9" t="s">
        <v>131</v>
      </c>
      <c r="E316" s="9" t="s">
        <v>44</v>
      </c>
      <c r="F316" s="9" t="s">
        <v>18</v>
      </c>
      <c r="G316" s="9" t="s">
        <v>24</v>
      </c>
      <c r="H316" s="9" t="s">
        <v>22</v>
      </c>
      <c r="I316" s="9" t="s">
        <v>20</v>
      </c>
      <c r="J316" s="10"/>
      <c r="K316" s="7"/>
      <c r="L316" s="7"/>
      <c r="M316" s="7"/>
      <c r="N316" s="7"/>
      <c r="O316" s="7"/>
    </row>
    <row r="317" ht="22.5" hidden="1" customHeight="1">
      <c r="A317" s="8">
        <v>45614.37738175926</v>
      </c>
      <c r="B317" s="9"/>
      <c r="C317" s="9" t="s">
        <v>86</v>
      </c>
      <c r="D317" s="9" t="s">
        <v>192</v>
      </c>
      <c r="E317" s="9" t="s">
        <v>30</v>
      </c>
      <c r="F317" s="9" t="s">
        <v>17</v>
      </c>
      <c r="G317" s="9" t="s">
        <v>24</v>
      </c>
      <c r="H317" s="9" t="s">
        <v>17</v>
      </c>
      <c r="I317" s="9" t="s">
        <v>20</v>
      </c>
      <c r="J317" s="10"/>
      <c r="K317" s="7"/>
      <c r="L317" s="7"/>
      <c r="M317" s="7"/>
      <c r="N317" s="7"/>
      <c r="O317" s="7"/>
    </row>
    <row r="318" ht="22.5" hidden="1" customHeight="1">
      <c r="A318" s="8">
        <v>45614.41496366898</v>
      </c>
      <c r="B318" s="9"/>
      <c r="C318" s="9" t="s">
        <v>86</v>
      </c>
      <c r="D318" s="9" t="s">
        <v>49</v>
      </c>
      <c r="E318" s="9" t="s">
        <v>44</v>
      </c>
      <c r="F318" s="9" t="s">
        <v>18</v>
      </c>
      <c r="G318" s="9" t="s">
        <v>19</v>
      </c>
      <c r="H318" s="9" t="s">
        <v>17</v>
      </c>
      <c r="I318" s="9" t="s">
        <v>20</v>
      </c>
      <c r="J318" s="10"/>
      <c r="K318" s="7"/>
      <c r="L318" s="7"/>
      <c r="M318" s="7"/>
      <c r="N318" s="7"/>
      <c r="O318" s="7"/>
    </row>
    <row r="319" ht="22.5" hidden="1" customHeight="1">
      <c r="A319" s="8">
        <v>45614.631954965276</v>
      </c>
      <c r="B319" s="9"/>
      <c r="C319" s="9" t="s">
        <v>86</v>
      </c>
      <c r="D319" s="9" t="s">
        <v>194</v>
      </c>
      <c r="E319" s="9" t="s">
        <v>17</v>
      </c>
      <c r="F319" s="9" t="s">
        <v>17</v>
      </c>
      <c r="G319" s="9" t="s">
        <v>19</v>
      </c>
      <c r="H319" s="9" t="s">
        <v>17</v>
      </c>
      <c r="I319" s="9" t="s">
        <v>20</v>
      </c>
      <c r="J319" s="10"/>
      <c r="K319" s="7"/>
      <c r="L319" s="7"/>
      <c r="M319" s="7"/>
      <c r="N319" s="7"/>
      <c r="O319" s="7"/>
    </row>
    <row r="320" ht="22.5" hidden="1" customHeight="1">
      <c r="A320" s="8">
        <v>45614.633584386575</v>
      </c>
      <c r="B320" s="9"/>
      <c r="C320" s="9" t="s">
        <v>86</v>
      </c>
      <c r="D320" s="9" t="s">
        <v>42</v>
      </c>
      <c r="E320" s="9" t="s">
        <v>30</v>
      </c>
      <c r="F320" s="9" t="s">
        <v>43</v>
      </c>
      <c r="G320" s="9" t="s">
        <v>19</v>
      </c>
      <c r="H320" s="9" t="s">
        <v>17</v>
      </c>
      <c r="I320" s="9" t="s">
        <v>20</v>
      </c>
      <c r="J320" s="10"/>
      <c r="K320" s="7"/>
      <c r="L320" s="7"/>
      <c r="M320" s="7"/>
      <c r="N320" s="7"/>
      <c r="O320" s="7"/>
    </row>
    <row r="321" ht="22.5" hidden="1" customHeight="1">
      <c r="A321" s="8">
        <v>45614.63370755787</v>
      </c>
      <c r="B321" s="9"/>
      <c r="C321" s="9" t="s">
        <v>86</v>
      </c>
      <c r="D321" s="9" t="s">
        <v>208</v>
      </c>
      <c r="E321" s="9" t="s">
        <v>30</v>
      </c>
      <c r="F321" s="9" t="s">
        <v>18</v>
      </c>
      <c r="G321" s="9" t="s">
        <v>24</v>
      </c>
      <c r="H321" s="9" t="s">
        <v>22</v>
      </c>
      <c r="I321" s="9" t="s">
        <v>20</v>
      </c>
      <c r="J321" s="10"/>
      <c r="K321" s="7"/>
      <c r="L321" s="7"/>
      <c r="M321" s="7"/>
      <c r="N321" s="7"/>
      <c r="O321" s="7"/>
    </row>
    <row r="322" ht="22.5" hidden="1" customHeight="1">
      <c r="A322" s="8">
        <v>45614.633758125</v>
      </c>
      <c r="B322" s="9"/>
      <c r="C322" s="9" t="s">
        <v>86</v>
      </c>
      <c r="D322" s="9" t="s">
        <v>111</v>
      </c>
      <c r="E322" s="9" t="s">
        <v>30</v>
      </c>
      <c r="F322" s="9" t="s">
        <v>18</v>
      </c>
      <c r="G322" s="9" t="s">
        <v>24</v>
      </c>
      <c r="H322" s="9" t="s">
        <v>22</v>
      </c>
      <c r="I322" s="9" t="s">
        <v>20</v>
      </c>
      <c r="J322" s="10"/>
      <c r="K322" s="7"/>
      <c r="L322" s="7"/>
      <c r="M322" s="7"/>
      <c r="N322" s="7"/>
      <c r="O322" s="7"/>
    </row>
    <row r="323" ht="22.5" hidden="1" customHeight="1">
      <c r="A323" s="8">
        <v>45614.63430965278</v>
      </c>
      <c r="B323" s="9"/>
      <c r="C323" s="9" t="s">
        <v>86</v>
      </c>
      <c r="D323" s="9" t="s">
        <v>23</v>
      </c>
      <c r="E323" s="9" t="s">
        <v>17</v>
      </c>
      <c r="F323" s="9" t="s">
        <v>18</v>
      </c>
      <c r="G323" s="9" t="s">
        <v>19</v>
      </c>
      <c r="H323" s="9" t="s">
        <v>22</v>
      </c>
      <c r="I323" s="9" t="s">
        <v>20</v>
      </c>
      <c r="J323" s="10"/>
      <c r="K323" s="7"/>
      <c r="L323" s="7"/>
      <c r="M323" s="7"/>
      <c r="N323" s="7"/>
      <c r="O323" s="7"/>
    </row>
    <row r="324" ht="22.5" hidden="1" customHeight="1">
      <c r="A324" s="8">
        <v>45614.63464447917</v>
      </c>
      <c r="B324" s="9"/>
      <c r="C324" s="9" t="s">
        <v>86</v>
      </c>
      <c r="D324" s="9" t="s">
        <v>213</v>
      </c>
      <c r="E324" s="9" t="s">
        <v>17</v>
      </c>
      <c r="F324" s="9" t="s">
        <v>18</v>
      </c>
      <c r="G324" s="9" t="s">
        <v>19</v>
      </c>
      <c r="H324" s="9" t="s">
        <v>22</v>
      </c>
      <c r="I324" s="9" t="s">
        <v>20</v>
      </c>
      <c r="J324" s="10"/>
      <c r="K324" s="7"/>
      <c r="L324" s="7"/>
      <c r="M324" s="7"/>
      <c r="N324" s="7"/>
      <c r="O324" s="7"/>
    </row>
    <row r="325" ht="22.5" hidden="1" customHeight="1">
      <c r="A325" s="8">
        <v>45614.63557216435</v>
      </c>
      <c r="B325" s="9"/>
      <c r="C325" s="9" t="s">
        <v>86</v>
      </c>
      <c r="D325" s="9" t="s">
        <v>198</v>
      </c>
      <c r="E325" s="9" t="s">
        <v>44</v>
      </c>
      <c r="F325" s="9" t="s">
        <v>18</v>
      </c>
      <c r="G325" s="9" t="s">
        <v>19</v>
      </c>
      <c r="H325" s="9" t="s">
        <v>17</v>
      </c>
      <c r="I325" s="9" t="s">
        <v>20</v>
      </c>
      <c r="J325" s="10"/>
      <c r="K325" s="7"/>
      <c r="L325" s="7"/>
      <c r="M325" s="7"/>
      <c r="N325" s="7"/>
      <c r="O325" s="7"/>
    </row>
    <row r="326" ht="22.5" hidden="1" customHeight="1">
      <c r="A326" s="8">
        <v>45614.66312704861</v>
      </c>
      <c r="B326" s="9"/>
      <c r="C326" s="9" t="s">
        <v>86</v>
      </c>
      <c r="D326" s="9" t="s">
        <v>214</v>
      </c>
      <c r="E326" s="9" t="s">
        <v>17</v>
      </c>
      <c r="F326" s="9" t="s">
        <v>18</v>
      </c>
      <c r="G326" s="9" t="s">
        <v>19</v>
      </c>
      <c r="H326" s="9" t="s">
        <v>17</v>
      </c>
      <c r="I326" s="9" t="s">
        <v>20</v>
      </c>
      <c r="J326" s="10"/>
      <c r="K326" s="7"/>
      <c r="L326" s="7"/>
      <c r="M326" s="7"/>
      <c r="N326" s="7"/>
      <c r="O326" s="7"/>
    </row>
    <row r="327" ht="22.5" hidden="1" customHeight="1">
      <c r="A327" s="8">
        <v>45614.664279351855</v>
      </c>
      <c r="B327" s="9"/>
      <c r="C327" s="9" t="s">
        <v>86</v>
      </c>
      <c r="D327" s="9" t="s">
        <v>155</v>
      </c>
      <c r="E327" s="9" t="s">
        <v>44</v>
      </c>
      <c r="F327" s="9" t="s">
        <v>43</v>
      </c>
      <c r="G327" s="9" t="s">
        <v>19</v>
      </c>
      <c r="H327" s="9" t="s">
        <v>22</v>
      </c>
      <c r="I327" s="9" t="s">
        <v>20</v>
      </c>
      <c r="J327" s="10"/>
      <c r="K327" s="7"/>
      <c r="L327" s="7"/>
      <c r="M327" s="7"/>
      <c r="N327" s="7"/>
      <c r="O327" s="7"/>
    </row>
    <row r="328" ht="22.5" hidden="1" customHeight="1">
      <c r="A328" s="8">
        <v>45614.66557722222</v>
      </c>
      <c r="B328" s="9"/>
      <c r="C328" s="9" t="s">
        <v>86</v>
      </c>
      <c r="D328" s="9" t="s">
        <v>215</v>
      </c>
      <c r="E328" s="9" t="s">
        <v>44</v>
      </c>
      <c r="F328" s="9" t="s">
        <v>18</v>
      </c>
      <c r="G328" s="9" t="s">
        <v>19</v>
      </c>
      <c r="H328" s="9" t="s">
        <v>22</v>
      </c>
      <c r="I328" s="9" t="s">
        <v>20</v>
      </c>
      <c r="J328" s="10"/>
      <c r="K328" s="7"/>
      <c r="L328" s="7"/>
      <c r="M328" s="7"/>
      <c r="N328" s="7"/>
      <c r="O328" s="7"/>
    </row>
    <row r="329" ht="22.5" hidden="1" customHeight="1">
      <c r="A329" s="8">
        <v>45615.321827708336</v>
      </c>
      <c r="B329" s="9"/>
      <c r="C329" s="9" t="s">
        <v>110</v>
      </c>
      <c r="D329" s="9" t="s">
        <v>111</v>
      </c>
      <c r="E329" s="9" t="s">
        <v>30</v>
      </c>
      <c r="F329" s="9" t="s">
        <v>18</v>
      </c>
      <c r="G329" s="9" t="s">
        <v>24</v>
      </c>
      <c r="H329" s="9" t="s">
        <v>22</v>
      </c>
      <c r="I329" s="9" t="s">
        <v>20</v>
      </c>
      <c r="J329" s="10"/>
      <c r="K329" s="7"/>
      <c r="L329" s="7"/>
      <c r="M329" s="7"/>
      <c r="N329" s="7"/>
      <c r="O329" s="7"/>
    </row>
    <row r="330" ht="22.5" hidden="1" customHeight="1">
      <c r="A330" s="8">
        <v>45615.34523210648</v>
      </c>
      <c r="B330" s="9"/>
      <c r="C330" s="9" t="s">
        <v>110</v>
      </c>
      <c r="D330" s="9" t="s">
        <v>23</v>
      </c>
      <c r="E330" s="9" t="s">
        <v>44</v>
      </c>
      <c r="F330" s="9" t="s">
        <v>18</v>
      </c>
      <c r="G330" s="9" t="s">
        <v>24</v>
      </c>
      <c r="H330" s="9" t="s">
        <v>22</v>
      </c>
      <c r="I330" s="9" t="s">
        <v>20</v>
      </c>
      <c r="J330" s="10"/>
      <c r="K330" s="7"/>
      <c r="L330" s="7"/>
      <c r="M330" s="7"/>
      <c r="N330" s="7"/>
      <c r="O330" s="7"/>
    </row>
    <row r="331" ht="22.5" hidden="1" customHeight="1">
      <c r="A331" s="8">
        <v>45615.372067557866</v>
      </c>
      <c r="B331" s="9"/>
      <c r="C331" s="9" t="s">
        <v>110</v>
      </c>
      <c r="D331" s="9" t="s">
        <v>102</v>
      </c>
      <c r="E331" s="9" t="s">
        <v>17</v>
      </c>
      <c r="F331" s="9" t="s">
        <v>35</v>
      </c>
      <c r="G331" s="9" t="s">
        <v>24</v>
      </c>
      <c r="H331" s="9" t="s">
        <v>17</v>
      </c>
      <c r="I331" s="9" t="s">
        <v>20</v>
      </c>
      <c r="J331" s="10"/>
      <c r="K331" s="7"/>
      <c r="L331" s="7"/>
      <c r="M331" s="7"/>
      <c r="N331" s="7"/>
      <c r="O331" s="7"/>
    </row>
    <row r="332" ht="22.5" hidden="1" customHeight="1">
      <c r="A332" s="8">
        <v>45615.372707766204</v>
      </c>
      <c r="B332" s="9"/>
      <c r="C332" s="9" t="s">
        <v>110</v>
      </c>
      <c r="D332" s="9" t="s">
        <v>136</v>
      </c>
      <c r="E332" s="9" t="s">
        <v>44</v>
      </c>
      <c r="F332" s="9" t="s">
        <v>18</v>
      </c>
      <c r="G332" s="9" t="s">
        <v>24</v>
      </c>
      <c r="H332" s="9" t="s">
        <v>22</v>
      </c>
      <c r="I332" s="9" t="s">
        <v>20</v>
      </c>
      <c r="J332" s="10"/>
      <c r="K332" s="7"/>
      <c r="L332" s="7"/>
      <c r="M332" s="7"/>
      <c r="N332" s="7"/>
      <c r="O332" s="7"/>
    </row>
    <row r="333" ht="22.5" hidden="1" customHeight="1">
      <c r="A333" s="8">
        <v>45615.37314667824</v>
      </c>
      <c r="B333" s="9"/>
      <c r="C333" s="9" t="s">
        <v>110</v>
      </c>
      <c r="D333" s="9" t="s">
        <v>191</v>
      </c>
      <c r="E333" s="9" t="s">
        <v>44</v>
      </c>
      <c r="F333" s="9" t="s">
        <v>35</v>
      </c>
      <c r="G333" s="9" t="s">
        <v>24</v>
      </c>
      <c r="H333" s="9" t="s">
        <v>22</v>
      </c>
      <c r="I333" s="9" t="s">
        <v>20</v>
      </c>
      <c r="J333" s="10"/>
      <c r="K333" s="7"/>
      <c r="L333" s="7"/>
      <c r="M333" s="7"/>
      <c r="N333" s="7"/>
      <c r="O333" s="7"/>
    </row>
    <row r="334" ht="22.5" hidden="1" customHeight="1">
      <c r="A334" s="8">
        <v>45615.37401380787</v>
      </c>
      <c r="B334" s="9"/>
      <c r="C334" s="9" t="s">
        <v>110</v>
      </c>
      <c r="D334" s="9" t="s">
        <v>198</v>
      </c>
      <c r="E334" s="9" t="s">
        <v>44</v>
      </c>
      <c r="F334" s="9" t="s">
        <v>35</v>
      </c>
      <c r="G334" s="9" t="s">
        <v>24</v>
      </c>
      <c r="H334" s="9" t="s">
        <v>22</v>
      </c>
      <c r="I334" s="9" t="s">
        <v>20</v>
      </c>
      <c r="J334" s="10"/>
      <c r="K334" s="7"/>
      <c r="L334" s="7"/>
      <c r="M334" s="7"/>
      <c r="N334" s="7"/>
      <c r="O334" s="7"/>
    </row>
    <row r="335" ht="22.5" hidden="1" customHeight="1">
      <c r="A335" s="8">
        <v>45615.3750753125</v>
      </c>
      <c r="B335" s="9"/>
      <c r="C335" s="9" t="s">
        <v>110</v>
      </c>
      <c r="D335" s="9" t="s">
        <v>83</v>
      </c>
      <c r="E335" s="9" t="s">
        <v>17</v>
      </c>
      <c r="F335" s="9" t="s">
        <v>17</v>
      </c>
      <c r="G335" s="9" t="s">
        <v>24</v>
      </c>
      <c r="H335" s="9" t="s">
        <v>22</v>
      </c>
      <c r="I335" s="9" t="s">
        <v>20</v>
      </c>
      <c r="J335" s="10"/>
      <c r="K335" s="7"/>
      <c r="L335" s="7"/>
      <c r="M335" s="7"/>
      <c r="N335" s="7"/>
      <c r="O335" s="7"/>
    </row>
    <row r="336" ht="22.5" hidden="1" customHeight="1">
      <c r="A336" s="8">
        <v>45615.37701545139</v>
      </c>
      <c r="B336" s="9"/>
      <c r="C336" s="9" t="s">
        <v>110</v>
      </c>
      <c r="D336" s="9" t="s">
        <v>209</v>
      </c>
      <c r="E336" s="9" t="s">
        <v>17</v>
      </c>
      <c r="F336" s="9" t="s">
        <v>17</v>
      </c>
      <c r="G336" s="9" t="s">
        <v>24</v>
      </c>
      <c r="H336" s="9" t="s">
        <v>22</v>
      </c>
      <c r="I336" s="9" t="s">
        <v>20</v>
      </c>
      <c r="J336" s="10"/>
      <c r="K336" s="7"/>
      <c r="L336" s="7"/>
      <c r="M336" s="7"/>
      <c r="N336" s="7"/>
      <c r="O336" s="7"/>
    </row>
    <row r="337" ht="22.5" hidden="1" customHeight="1">
      <c r="A337" s="8">
        <v>45615.37768638889</v>
      </c>
      <c r="B337" s="9"/>
      <c r="C337" s="9" t="s">
        <v>110</v>
      </c>
      <c r="D337" s="9" t="s">
        <v>194</v>
      </c>
      <c r="E337" s="9" t="s">
        <v>17</v>
      </c>
      <c r="F337" s="9" t="s">
        <v>17</v>
      </c>
      <c r="G337" s="9" t="s">
        <v>24</v>
      </c>
      <c r="H337" s="9" t="s">
        <v>22</v>
      </c>
      <c r="I337" s="9" t="s">
        <v>20</v>
      </c>
      <c r="J337" s="10"/>
      <c r="K337" s="7"/>
      <c r="L337" s="7"/>
      <c r="M337" s="7"/>
      <c r="N337" s="7"/>
      <c r="O337" s="7"/>
    </row>
    <row r="338" ht="22.5" hidden="1" customHeight="1">
      <c r="A338" s="8">
        <v>45615.378460092594</v>
      </c>
      <c r="B338" s="9"/>
      <c r="C338" s="9" t="s">
        <v>110</v>
      </c>
      <c r="D338" s="9" t="s">
        <v>108</v>
      </c>
      <c r="E338" s="9" t="s">
        <v>44</v>
      </c>
      <c r="F338" s="9" t="s">
        <v>17</v>
      </c>
      <c r="G338" s="9" t="s">
        <v>19</v>
      </c>
      <c r="H338" s="9" t="s">
        <v>22</v>
      </c>
      <c r="I338" s="9" t="s">
        <v>20</v>
      </c>
      <c r="J338" s="10"/>
      <c r="K338" s="7"/>
      <c r="L338" s="7"/>
      <c r="M338" s="7"/>
      <c r="N338" s="7"/>
      <c r="O338" s="7"/>
    </row>
    <row r="339" ht="22.5" hidden="1" customHeight="1">
      <c r="A339" s="8">
        <v>45615.37980697917</v>
      </c>
      <c r="B339" s="9"/>
      <c r="C339" s="9" t="s">
        <v>110</v>
      </c>
      <c r="D339" s="9" t="s">
        <v>194</v>
      </c>
      <c r="E339" s="9" t="s">
        <v>44</v>
      </c>
      <c r="F339" s="9" t="s">
        <v>18</v>
      </c>
      <c r="G339" s="9" t="s">
        <v>24</v>
      </c>
      <c r="H339" s="9" t="s">
        <v>22</v>
      </c>
      <c r="I339" s="9" t="s">
        <v>20</v>
      </c>
      <c r="J339" s="10"/>
      <c r="K339" s="7"/>
      <c r="L339" s="7"/>
      <c r="M339" s="7"/>
      <c r="N339" s="7"/>
      <c r="O339" s="7"/>
    </row>
    <row r="340" ht="22.5" hidden="1" customHeight="1">
      <c r="A340" s="8">
        <v>45615.38241600695</v>
      </c>
      <c r="B340" s="9"/>
      <c r="C340" s="9" t="s">
        <v>110</v>
      </c>
      <c r="D340" s="9" t="s">
        <v>187</v>
      </c>
      <c r="E340" s="9" t="s">
        <v>44</v>
      </c>
      <c r="F340" s="9" t="s">
        <v>35</v>
      </c>
      <c r="G340" s="9" t="s">
        <v>24</v>
      </c>
      <c r="H340" s="9" t="s">
        <v>22</v>
      </c>
      <c r="I340" s="9" t="s">
        <v>20</v>
      </c>
      <c r="J340" s="10"/>
      <c r="K340" s="7"/>
      <c r="L340" s="7"/>
      <c r="M340" s="7"/>
      <c r="N340" s="7"/>
      <c r="O340" s="7"/>
    </row>
    <row r="341" ht="22.5" hidden="1" customHeight="1">
      <c r="A341" s="8">
        <v>45615.39204944445</v>
      </c>
      <c r="B341" s="9"/>
      <c r="C341" s="9" t="s">
        <v>110</v>
      </c>
      <c r="D341" s="9" t="s">
        <v>216</v>
      </c>
      <c r="E341" s="9" t="s">
        <v>17</v>
      </c>
      <c r="F341" s="9" t="s">
        <v>60</v>
      </c>
      <c r="G341" s="9" t="s">
        <v>40</v>
      </c>
      <c r="H341" s="9" t="s">
        <v>25</v>
      </c>
      <c r="I341" s="9" t="s">
        <v>28</v>
      </c>
      <c r="J341" s="10"/>
      <c r="K341" s="7"/>
      <c r="L341" s="7"/>
      <c r="M341" s="7"/>
      <c r="N341" s="7"/>
      <c r="O341" s="7"/>
    </row>
    <row r="342" ht="22.5" hidden="1" customHeight="1">
      <c r="A342" s="8">
        <v>45616.41964344907</v>
      </c>
      <c r="B342" s="9"/>
      <c r="C342" s="9" t="s">
        <v>15</v>
      </c>
      <c r="D342" s="9" t="s">
        <v>217</v>
      </c>
      <c r="E342" s="9" t="s">
        <v>17</v>
      </c>
      <c r="F342" s="9" t="s">
        <v>17</v>
      </c>
      <c r="G342" s="9" t="s">
        <v>24</v>
      </c>
      <c r="H342" s="9" t="s">
        <v>17</v>
      </c>
      <c r="I342" s="9" t="s">
        <v>20</v>
      </c>
      <c r="J342" s="10"/>
      <c r="K342" s="7"/>
      <c r="L342" s="7"/>
      <c r="M342" s="7"/>
      <c r="N342" s="7"/>
      <c r="O342" s="7"/>
    </row>
    <row r="343" ht="22.5" hidden="1" customHeight="1">
      <c r="A343" s="8">
        <v>45616.43128719907</v>
      </c>
      <c r="B343" s="9"/>
      <c r="C343" s="9" t="s">
        <v>15</v>
      </c>
      <c r="D343" s="9" t="s">
        <v>33</v>
      </c>
      <c r="E343" s="9" t="s">
        <v>17</v>
      </c>
      <c r="F343" s="9" t="s">
        <v>35</v>
      </c>
      <c r="G343" s="9" t="s">
        <v>19</v>
      </c>
      <c r="H343" s="9" t="s">
        <v>17</v>
      </c>
      <c r="I343" s="9" t="s">
        <v>20</v>
      </c>
      <c r="J343" s="10"/>
      <c r="K343" s="7"/>
      <c r="L343" s="7"/>
      <c r="M343" s="7"/>
      <c r="N343" s="7"/>
      <c r="O343" s="7"/>
    </row>
    <row r="344" ht="22.5" hidden="1" customHeight="1">
      <c r="A344" s="8">
        <v>45616.446740694446</v>
      </c>
      <c r="B344" s="9"/>
      <c r="C344" s="9" t="s">
        <v>15</v>
      </c>
      <c r="D344" s="9" t="s">
        <v>56</v>
      </c>
      <c r="E344" s="9" t="s">
        <v>30</v>
      </c>
      <c r="F344" s="9" t="s">
        <v>18</v>
      </c>
      <c r="G344" s="9" t="s">
        <v>19</v>
      </c>
      <c r="H344" s="9" t="s">
        <v>17</v>
      </c>
      <c r="I344" s="9" t="s">
        <v>218</v>
      </c>
      <c r="J344" s="10"/>
      <c r="K344" s="7"/>
      <c r="L344" s="7"/>
      <c r="M344" s="7"/>
      <c r="N344" s="7"/>
      <c r="O344" s="7"/>
    </row>
    <row r="345" ht="22.5" hidden="1" customHeight="1">
      <c r="A345" s="8">
        <v>45616.47790815972</v>
      </c>
      <c r="B345" s="9"/>
      <c r="C345" s="9" t="s">
        <v>15</v>
      </c>
      <c r="D345" s="9" t="s">
        <v>32</v>
      </c>
      <c r="E345" s="9" t="s">
        <v>17</v>
      </c>
      <c r="F345" s="9" t="s">
        <v>17</v>
      </c>
      <c r="G345" s="9" t="s">
        <v>24</v>
      </c>
      <c r="H345" s="9" t="s">
        <v>17</v>
      </c>
      <c r="I345" s="9" t="s">
        <v>20</v>
      </c>
      <c r="J345" s="10"/>
      <c r="K345" s="7"/>
      <c r="L345" s="7"/>
      <c r="M345" s="7"/>
      <c r="N345" s="7"/>
      <c r="O345" s="7"/>
    </row>
    <row r="346" ht="22.5" hidden="1" customHeight="1">
      <c r="A346" s="8">
        <v>45619.36073460648</v>
      </c>
      <c r="B346" s="9"/>
      <c r="C346" s="9" t="s">
        <v>53</v>
      </c>
      <c r="D346" s="9" t="s">
        <v>219</v>
      </c>
      <c r="E346" s="9" t="s">
        <v>17</v>
      </c>
      <c r="F346" s="9" t="s">
        <v>35</v>
      </c>
      <c r="G346" s="9" t="s">
        <v>24</v>
      </c>
      <c r="H346" s="9" t="s">
        <v>25</v>
      </c>
      <c r="I346" s="9" t="s">
        <v>37</v>
      </c>
      <c r="J346" s="10"/>
      <c r="K346" s="7"/>
      <c r="L346" s="7"/>
      <c r="M346" s="7"/>
      <c r="N346" s="7"/>
      <c r="O346" s="7"/>
    </row>
    <row r="347" ht="22.5" hidden="1" customHeight="1">
      <c r="A347" s="8">
        <v>45619.38067059028</v>
      </c>
      <c r="B347" s="9"/>
      <c r="C347" s="9" t="s">
        <v>53</v>
      </c>
      <c r="D347" s="9" t="s">
        <v>220</v>
      </c>
      <c r="E347" s="9" t="s">
        <v>46</v>
      </c>
      <c r="F347" s="9" t="s">
        <v>17</v>
      </c>
      <c r="G347" s="9" t="s">
        <v>24</v>
      </c>
      <c r="H347" s="9" t="s">
        <v>17</v>
      </c>
      <c r="I347" s="9" t="s">
        <v>221</v>
      </c>
      <c r="J347" s="10"/>
      <c r="K347" s="7"/>
      <c r="L347" s="7"/>
      <c r="M347" s="7"/>
      <c r="N347" s="7"/>
      <c r="O347" s="7"/>
    </row>
    <row r="348" ht="22.5" hidden="1" customHeight="1">
      <c r="A348" s="8">
        <v>45619.38982481482</v>
      </c>
      <c r="B348" s="9"/>
      <c r="C348" s="9" t="s">
        <v>53</v>
      </c>
      <c r="D348" s="9" t="s">
        <v>133</v>
      </c>
      <c r="E348" s="9" t="s">
        <v>61</v>
      </c>
      <c r="F348" s="9" t="s">
        <v>18</v>
      </c>
      <c r="G348" s="9" t="s">
        <v>19</v>
      </c>
      <c r="H348" s="9" t="s">
        <v>17</v>
      </c>
      <c r="I348" s="9" t="s">
        <v>222</v>
      </c>
      <c r="J348" s="10"/>
      <c r="K348" s="7"/>
      <c r="L348" s="7"/>
      <c r="M348" s="7"/>
      <c r="N348" s="7"/>
      <c r="O348" s="7"/>
    </row>
    <row r="349" ht="22.5" hidden="1" customHeight="1">
      <c r="A349" s="8">
        <v>45619.451043587964</v>
      </c>
      <c r="B349" s="9"/>
      <c r="C349" s="9" t="s">
        <v>53</v>
      </c>
      <c r="D349" s="9" t="s">
        <v>54</v>
      </c>
      <c r="E349" s="9" t="s">
        <v>46</v>
      </c>
      <c r="F349" s="9" t="s">
        <v>35</v>
      </c>
      <c r="G349" s="9" t="s">
        <v>19</v>
      </c>
      <c r="H349" s="9" t="s">
        <v>25</v>
      </c>
      <c r="I349" s="9" t="s">
        <v>67</v>
      </c>
      <c r="J349" s="10"/>
      <c r="K349" s="7"/>
      <c r="L349" s="7"/>
      <c r="M349" s="7"/>
      <c r="N349" s="7"/>
      <c r="O349" s="7"/>
    </row>
    <row r="350" ht="22.5" hidden="1" customHeight="1">
      <c r="A350" s="8">
        <v>45620.36982363426</v>
      </c>
      <c r="B350" s="9"/>
      <c r="C350" s="9" t="s">
        <v>58</v>
      </c>
      <c r="D350" s="9" t="s">
        <v>178</v>
      </c>
      <c r="E350" s="9" t="s">
        <v>30</v>
      </c>
      <c r="F350" s="9" t="s">
        <v>43</v>
      </c>
      <c r="G350" s="9" t="s">
        <v>24</v>
      </c>
      <c r="H350" s="9" t="s">
        <v>22</v>
      </c>
      <c r="I350" s="9" t="s">
        <v>20</v>
      </c>
      <c r="J350" s="10"/>
      <c r="K350" s="7"/>
      <c r="L350" s="7"/>
      <c r="M350" s="7"/>
      <c r="N350" s="7"/>
      <c r="O350" s="7"/>
    </row>
    <row r="351" ht="22.5" hidden="1" customHeight="1">
      <c r="A351" s="8">
        <v>45620.37288098379</v>
      </c>
      <c r="B351" s="9"/>
      <c r="C351" s="9" t="s">
        <v>58</v>
      </c>
      <c r="D351" s="9" t="s">
        <v>223</v>
      </c>
      <c r="E351" s="9" t="s">
        <v>17</v>
      </c>
      <c r="F351" s="9" t="s">
        <v>18</v>
      </c>
      <c r="G351" s="9" t="s">
        <v>24</v>
      </c>
      <c r="H351" s="9" t="s">
        <v>22</v>
      </c>
      <c r="I351" s="9" t="s">
        <v>20</v>
      </c>
      <c r="J351" s="10"/>
      <c r="K351" s="7"/>
      <c r="L351" s="7"/>
      <c r="M351" s="7"/>
      <c r="N351" s="7"/>
      <c r="O351" s="7"/>
    </row>
    <row r="352" ht="22.5" hidden="1" customHeight="1">
      <c r="A352" s="8">
        <v>45620.37915337963</v>
      </c>
      <c r="B352" s="9"/>
      <c r="C352" s="9" t="s">
        <v>58</v>
      </c>
      <c r="D352" s="9" t="s">
        <v>224</v>
      </c>
      <c r="E352" s="9" t="s">
        <v>30</v>
      </c>
      <c r="F352" s="9" t="s">
        <v>17</v>
      </c>
      <c r="G352" s="9" t="s">
        <v>24</v>
      </c>
      <c r="H352" s="9" t="s">
        <v>17</v>
      </c>
      <c r="I352" s="9" t="s">
        <v>28</v>
      </c>
      <c r="J352" s="10"/>
      <c r="K352" s="7"/>
      <c r="L352" s="7"/>
      <c r="M352" s="7"/>
      <c r="N352" s="7"/>
      <c r="O352" s="7"/>
    </row>
    <row r="353" ht="22.5" hidden="1" customHeight="1">
      <c r="A353" s="8">
        <v>45620.379950462964</v>
      </c>
      <c r="B353" s="9"/>
      <c r="C353" s="9" t="s">
        <v>58</v>
      </c>
      <c r="D353" s="9" t="s">
        <v>194</v>
      </c>
      <c r="E353" s="9" t="s">
        <v>30</v>
      </c>
      <c r="F353" s="9" t="s">
        <v>35</v>
      </c>
      <c r="G353" s="9" t="s">
        <v>24</v>
      </c>
      <c r="H353" s="9" t="s">
        <v>22</v>
      </c>
      <c r="I353" s="9" t="s">
        <v>20</v>
      </c>
      <c r="J353" s="10"/>
      <c r="K353" s="7"/>
      <c r="L353" s="7"/>
      <c r="M353" s="7"/>
      <c r="N353" s="7"/>
      <c r="O353" s="7"/>
    </row>
    <row r="354" ht="22.5" hidden="1" customHeight="1">
      <c r="A354" s="8">
        <v>45620.385723009254</v>
      </c>
      <c r="B354" s="9"/>
      <c r="C354" s="9" t="s">
        <v>58</v>
      </c>
      <c r="D354" s="9" t="s">
        <v>23</v>
      </c>
      <c r="E354" s="9" t="s">
        <v>30</v>
      </c>
      <c r="F354" s="9" t="s">
        <v>35</v>
      </c>
      <c r="G354" s="9" t="s">
        <v>24</v>
      </c>
      <c r="H354" s="9" t="s">
        <v>22</v>
      </c>
      <c r="I354" s="9" t="s">
        <v>20</v>
      </c>
      <c r="J354" s="10"/>
      <c r="K354" s="7"/>
      <c r="L354" s="7"/>
      <c r="M354" s="7"/>
      <c r="N354" s="7"/>
      <c r="O354" s="7"/>
    </row>
    <row r="355" ht="22.5" hidden="1" customHeight="1">
      <c r="A355" s="8">
        <v>45620.39238888889</v>
      </c>
      <c r="B355" s="9"/>
      <c r="C355" s="9" t="s">
        <v>58</v>
      </c>
      <c r="D355" s="9" t="s">
        <v>198</v>
      </c>
      <c r="E355" s="9" t="s">
        <v>44</v>
      </c>
      <c r="F355" s="9" t="s">
        <v>35</v>
      </c>
      <c r="G355" s="9" t="s">
        <v>24</v>
      </c>
      <c r="H355" s="9" t="s">
        <v>22</v>
      </c>
      <c r="I355" s="9" t="s">
        <v>20</v>
      </c>
      <c r="J355" s="10"/>
      <c r="K355" s="7"/>
      <c r="L355" s="7"/>
      <c r="M355" s="7"/>
      <c r="N355" s="7"/>
      <c r="O355" s="7"/>
    </row>
    <row r="356" ht="22.5" hidden="1" customHeight="1">
      <c r="A356" s="8">
        <v>45620.39970787037</v>
      </c>
      <c r="B356" s="9"/>
      <c r="C356" s="9" t="s">
        <v>58</v>
      </c>
      <c r="D356" s="9" t="s">
        <v>21</v>
      </c>
      <c r="E356" s="9" t="s">
        <v>30</v>
      </c>
      <c r="F356" s="9" t="s">
        <v>35</v>
      </c>
      <c r="G356" s="9" t="s">
        <v>24</v>
      </c>
      <c r="H356" s="9" t="s">
        <v>22</v>
      </c>
      <c r="I356" s="9" t="s">
        <v>20</v>
      </c>
      <c r="J356" s="10"/>
      <c r="K356" s="7"/>
      <c r="L356" s="7"/>
      <c r="M356" s="7"/>
      <c r="N356" s="7"/>
      <c r="O356" s="7"/>
    </row>
    <row r="357" ht="22.5" hidden="1" customHeight="1">
      <c r="A357" s="8">
        <v>45620.40012386574</v>
      </c>
      <c r="B357" s="9"/>
      <c r="C357" s="9" t="s">
        <v>58</v>
      </c>
      <c r="D357" s="9" t="s">
        <v>212</v>
      </c>
      <c r="E357" s="9" t="s">
        <v>30</v>
      </c>
      <c r="F357" s="9" t="s">
        <v>35</v>
      </c>
      <c r="G357" s="9" t="s">
        <v>24</v>
      </c>
      <c r="H357" s="9" t="s">
        <v>22</v>
      </c>
      <c r="I357" s="9" t="s">
        <v>20</v>
      </c>
      <c r="J357" s="10"/>
      <c r="K357" s="7"/>
      <c r="L357" s="7"/>
      <c r="M357" s="7"/>
      <c r="N357" s="7"/>
      <c r="O357" s="7"/>
    </row>
    <row r="358" ht="22.5" hidden="1" customHeight="1">
      <c r="A358" s="8">
        <v>45620.403262418986</v>
      </c>
      <c r="B358" s="9"/>
      <c r="C358" s="9" t="s">
        <v>58</v>
      </c>
      <c r="D358" s="9" t="s">
        <v>202</v>
      </c>
      <c r="E358" s="9" t="s">
        <v>30</v>
      </c>
      <c r="F358" s="9" t="s">
        <v>18</v>
      </c>
      <c r="G358" s="9" t="s">
        <v>24</v>
      </c>
      <c r="H358" s="9" t="s">
        <v>22</v>
      </c>
      <c r="I358" s="9" t="s">
        <v>20</v>
      </c>
      <c r="J358" s="10"/>
      <c r="K358" s="7"/>
      <c r="L358" s="7"/>
      <c r="M358" s="7"/>
      <c r="N358" s="7"/>
      <c r="O358" s="7"/>
    </row>
    <row r="359" ht="22.5" hidden="1" customHeight="1">
      <c r="A359" s="8">
        <v>45620.404531423614</v>
      </c>
      <c r="B359" s="9"/>
      <c r="C359" s="9" t="s">
        <v>58</v>
      </c>
      <c r="D359" s="9" t="s">
        <v>107</v>
      </c>
      <c r="E359" s="9" t="s">
        <v>17</v>
      </c>
      <c r="F359" s="9" t="s">
        <v>17</v>
      </c>
      <c r="G359" s="9" t="s">
        <v>24</v>
      </c>
      <c r="H359" s="9" t="s">
        <v>25</v>
      </c>
      <c r="I359" s="9" t="s">
        <v>225</v>
      </c>
      <c r="J359" s="10"/>
      <c r="K359" s="7"/>
      <c r="L359" s="7"/>
      <c r="M359" s="7"/>
      <c r="N359" s="7"/>
      <c r="O359" s="7"/>
    </row>
    <row r="360" ht="22.5" hidden="1" customHeight="1">
      <c r="A360" s="8">
        <v>45620.40583292824</v>
      </c>
      <c r="B360" s="9"/>
      <c r="C360" s="9" t="s">
        <v>58</v>
      </c>
      <c r="D360" s="9" t="s">
        <v>226</v>
      </c>
      <c r="E360" s="9" t="s">
        <v>44</v>
      </c>
      <c r="F360" s="9" t="s">
        <v>35</v>
      </c>
      <c r="G360" s="9" t="s">
        <v>19</v>
      </c>
      <c r="H360" s="9" t="s">
        <v>22</v>
      </c>
      <c r="I360" s="9" t="s">
        <v>20</v>
      </c>
      <c r="J360" s="10"/>
      <c r="K360" s="7"/>
      <c r="L360" s="7"/>
      <c r="M360" s="7"/>
      <c r="N360" s="7"/>
      <c r="O360" s="7"/>
    </row>
    <row r="361" ht="22.5" hidden="1" customHeight="1">
      <c r="A361" s="8">
        <v>45620.40630481482</v>
      </c>
      <c r="B361" s="9"/>
      <c r="C361" s="9" t="s">
        <v>58</v>
      </c>
      <c r="D361" s="9" t="s">
        <v>187</v>
      </c>
      <c r="E361" s="9" t="s">
        <v>44</v>
      </c>
      <c r="F361" s="9" t="s">
        <v>35</v>
      </c>
      <c r="G361" s="9" t="s">
        <v>19</v>
      </c>
      <c r="H361" s="9" t="s">
        <v>22</v>
      </c>
      <c r="I361" s="9" t="s">
        <v>20</v>
      </c>
      <c r="J361" s="10"/>
      <c r="K361" s="7"/>
      <c r="L361" s="7"/>
      <c r="M361" s="7"/>
      <c r="N361" s="7"/>
      <c r="O361" s="7"/>
    </row>
    <row r="362" ht="22.5" hidden="1" customHeight="1">
      <c r="A362" s="8">
        <v>45620.43093405092</v>
      </c>
      <c r="B362" s="9"/>
      <c r="C362" s="9" t="s">
        <v>58</v>
      </c>
      <c r="D362" s="9" t="s">
        <v>136</v>
      </c>
      <c r="E362" s="9" t="s">
        <v>44</v>
      </c>
      <c r="F362" s="9" t="s">
        <v>18</v>
      </c>
      <c r="G362" s="9" t="s">
        <v>24</v>
      </c>
      <c r="H362" s="9" t="s">
        <v>22</v>
      </c>
      <c r="I362" s="9" t="s">
        <v>20</v>
      </c>
      <c r="J362" s="10"/>
      <c r="K362" s="7"/>
      <c r="L362" s="7"/>
      <c r="M362" s="7"/>
      <c r="N362" s="7"/>
      <c r="O362" s="7"/>
    </row>
    <row r="363" ht="22.5" hidden="1" customHeight="1">
      <c r="A363" s="8">
        <v>45620.431505636574</v>
      </c>
      <c r="B363" s="9"/>
      <c r="C363" s="9" t="s">
        <v>58</v>
      </c>
      <c r="D363" s="9" t="s">
        <v>59</v>
      </c>
      <c r="E363" s="9" t="s">
        <v>17</v>
      </c>
      <c r="F363" s="9" t="s">
        <v>35</v>
      </c>
      <c r="G363" s="9" t="s">
        <v>19</v>
      </c>
      <c r="H363" s="9" t="s">
        <v>25</v>
      </c>
      <c r="I363" s="9" t="s">
        <v>67</v>
      </c>
      <c r="J363" s="10"/>
      <c r="K363" s="7"/>
      <c r="L363" s="7"/>
      <c r="M363" s="7"/>
      <c r="N363" s="7"/>
      <c r="O363" s="7"/>
    </row>
    <row r="364" ht="22.5" hidden="1" customHeight="1">
      <c r="A364" s="8">
        <v>45620.43237841435</v>
      </c>
      <c r="B364" s="9"/>
      <c r="C364" s="9" t="s">
        <v>58</v>
      </c>
      <c r="D364" s="9" t="s">
        <v>155</v>
      </c>
      <c r="E364" s="9" t="s">
        <v>44</v>
      </c>
      <c r="F364" s="9" t="s">
        <v>18</v>
      </c>
      <c r="G364" s="9" t="s">
        <v>24</v>
      </c>
      <c r="H364" s="9" t="s">
        <v>22</v>
      </c>
      <c r="I364" s="9" t="s">
        <v>20</v>
      </c>
      <c r="J364" s="10"/>
      <c r="K364" s="7"/>
      <c r="L364" s="7"/>
      <c r="M364" s="7"/>
      <c r="N364" s="7"/>
      <c r="O364" s="7"/>
    </row>
    <row r="365" ht="22.5" hidden="1" customHeight="1">
      <c r="A365" s="8">
        <v>45620.433076851856</v>
      </c>
      <c r="B365" s="9"/>
      <c r="C365" s="9" t="s">
        <v>58</v>
      </c>
      <c r="D365" s="9" t="s">
        <v>132</v>
      </c>
      <c r="E365" s="9" t="s">
        <v>44</v>
      </c>
      <c r="F365" s="9" t="s">
        <v>18</v>
      </c>
      <c r="G365" s="9" t="s">
        <v>24</v>
      </c>
      <c r="H365" s="9" t="s">
        <v>22</v>
      </c>
      <c r="I365" s="9" t="s">
        <v>20</v>
      </c>
      <c r="J365" s="10"/>
      <c r="K365" s="7"/>
      <c r="L365" s="7"/>
      <c r="M365" s="7"/>
      <c r="N365" s="7"/>
      <c r="O365" s="7"/>
    </row>
    <row r="366" ht="22.5" hidden="1" customHeight="1">
      <c r="A366" s="8">
        <v>45620.43340700232</v>
      </c>
      <c r="B366" s="9"/>
      <c r="C366" s="9" t="s">
        <v>58</v>
      </c>
      <c r="D366" s="9" t="s">
        <v>136</v>
      </c>
      <c r="E366" s="9" t="s">
        <v>30</v>
      </c>
      <c r="F366" s="9" t="s">
        <v>18</v>
      </c>
      <c r="G366" s="9" t="s">
        <v>24</v>
      </c>
      <c r="H366" s="9" t="s">
        <v>22</v>
      </c>
      <c r="I366" s="9" t="s">
        <v>20</v>
      </c>
      <c r="J366" s="10"/>
      <c r="K366" s="7"/>
      <c r="L366" s="7"/>
      <c r="M366" s="7"/>
      <c r="N366" s="7"/>
      <c r="O366" s="7"/>
    </row>
    <row r="367" ht="22.5" hidden="1" customHeight="1">
      <c r="A367" s="8">
        <v>45620.43406225694</v>
      </c>
      <c r="B367" s="9"/>
      <c r="C367" s="9" t="s">
        <v>58</v>
      </c>
      <c r="D367" s="9" t="s">
        <v>227</v>
      </c>
      <c r="E367" s="9" t="s">
        <v>17</v>
      </c>
      <c r="F367" s="9" t="s">
        <v>18</v>
      </c>
      <c r="G367" s="9" t="s">
        <v>24</v>
      </c>
      <c r="H367" s="9" t="s">
        <v>22</v>
      </c>
      <c r="I367" s="9" t="s">
        <v>20</v>
      </c>
      <c r="J367" s="10"/>
      <c r="K367" s="7"/>
      <c r="L367" s="7"/>
      <c r="M367" s="7"/>
      <c r="N367" s="7"/>
      <c r="O367" s="7"/>
    </row>
    <row r="368" ht="22.5" hidden="1" customHeight="1">
      <c r="A368" s="8">
        <v>45620.434584375005</v>
      </c>
      <c r="B368" s="9"/>
      <c r="C368" s="9" t="s">
        <v>58</v>
      </c>
      <c r="D368" s="9" t="s">
        <v>228</v>
      </c>
      <c r="E368" s="9" t="s">
        <v>44</v>
      </c>
      <c r="F368" s="9" t="s">
        <v>18</v>
      </c>
      <c r="G368" s="9" t="s">
        <v>24</v>
      </c>
      <c r="H368" s="9" t="s">
        <v>22</v>
      </c>
      <c r="I368" s="9" t="s">
        <v>20</v>
      </c>
      <c r="J368" s="10"/>
      <c r="K368" s="7"/>
      <c r="L368" s="7"/>
      <c r="M368" s="7"/>
      <c r="N368" s="7"/>
      <c r="O368" s="7"/>
    </row>
    <row r="369" ht="22.5" hidden="1" customHeight="1">
      <c r="A369" s="8">
        <v>45620.434941875</v>
      </c>
      <c r="B369" s="9"/>
      <c r="C369" s="9" t="s">
        <v>58</v>
      </c>
      <c r="D369" s="9" t="s">
        <v>209</v>
      </c>
      <c r="E369" s="9" t="s">
        <v>17</v>
      </c>
      <c r="F369" s="9" t="s">
        <v>35</v>
      </c>
      <c r="G369" s="9" t="s">
        <v>24</v>
      </c>
      <c r="H369" s="9" t="s">
        <v>22</v>
      </c>
      <c r="I369" s="9" t="s">
        <v>20</v>
      </c>
      <c r="J369" s="10"/>
      <c r="K369" s="7"/>
      <c r="L369" s="7"/>
      <c r="M369" s="7"/>
      <c r="N369" s="7"/>
      <c r="O369" s="7"/>
    </row>
    <row r="370" ht="22.5" hidden="1" customHeight="1">
      <c r="A370" s="8">
        <v>45621.358107106484</v>
      </c>
      <c r="B370" s="9"/>
      <c r="C370" s="9" t="s">
        <v>86</v>
      </c>
      <c r="D370" s="9" t="s">
        <v>198</v>
      </c>
      <c r="E370" s="9" t="s">
        <v>44</v>
      </c>
      <c r="F370" s="9" t="s">
        <v>18</v>
      </c>
      <c r="G370" s="9" t="s">
        <v>24</v>
      </c>
      <c r="H370" s="9" t="s">
        <v>22</v>
      </c>
      <c r="I370" s="9" t="s">
        <v>20</v>
      </c>
      <c r="J370" s="10"/>
      <c r="K370" s="7"/>
      <c r="L370" s="7"/>
      <c r="M370" s="7"/>
      <c r="N370" s="7"/>
      <c r="O370" s="7"/>
    </row>
    <row r="371" ht="22.5" hidden="1" customHeight="1">
      <c r="A371" s="8">
        <v>45621.36780431713</v>
      </c>
      <c r="B371" s="9"/>
      <c r="C371" s="9" t="s">
        <v>86</v>
      </c>
      <c r="D371" s="9" t="s">
        <v>229</v>
      </c>
      <c r="E371" s="9" t="s">
        <v>44</v>
      </c>
      <c r="F371" s="9" t="s">
        <v>18</v>
      </c>
      <c r="G371" s="9" t="s">
        <v>24</v>
      </c>
      <c r="H371" s="9" t="s">
        <v>25</v>
      </c>
      <c r="I371" s="9" t="s">
        <v>26</v>
      </c>
      <c r="J371" s="10"/>
      <c r="K371" s="7"/>
      <c r="L371" s="7"/>
      <c r="M371" s="7"/>
      <c r="N371" s="7"/>
      <c r="O371" s="7"/>
    </row>
    <row r="372" ht="22.5" hidden="1" customHeight="1">
      <c r="A372" s="8">
        <v>45621.371224999995</v>
      </c>
      <c r="B372" s="9"/>
      <c r="C372" s="9" t="s">
        <v>86</v>
      </c>
      <c r="D372" s="9" t="s">
        <v>23</v>
      </c>
      <c r="E372" s="9" t="s">
        <v>30</v>
      </c>
      <c r="F372" s="9" t="s">
        <v>18</v>
      </c>
      <c r="G372" s="9" t="s">
        <v>24</v>
      </c>
      <c r="H372" s="9" t="s">
        <v>22</v>
      </c>
      <c r="I372" s="9" t="s">
        <v>20</v>
      </c>
      <c r="J372" s="10"/>
      <c r="K372" s="7"/>
      <c r="L372" s="7"/>
      <c r="M372" s="7"/>
      <c r="N372" s="7"/>
      <c r="O372" s="7"/>
    </row>
    <row r="373" ht="22.5" hidden="1" customHeight="1">
      <c r="A373" s="8">
        <v>45621.37220157408</v>
      </c>
      <c r="B373" s="9"/>
      <c r="C373" s="9" t="s">
        <v>86</v>
      </c>
      <c r="D373" s="9" t="s">
        <v>21</v>
      </c>
      <c r="E373" s="9" t="s">
        <v>30</v>
      </c>
      <c r="F373" s="9" t="s">
        <v>35</v>
      </c>
      <c r="G373" s="9" t="s">
        <v>24</v>
      </c>
      <c r="H373" s="9" t="s">
        <v>22</v>
      </c>
      <c r="I373" s="9" t="s">
        <v>20</v>
      </c>
      <c r="J373" s="10"/>
      <c r="K373" s="7"/>
      <c r="L373" s="7"/>
      <c r="M373" s="7"/>
      <c r="N373" s="7"/>
      <c r="O373" s="7"/>
    </row>
    <row r="374" ht="22.5" hidden="1" customHeight="1">
      <c r="A374" s="8">
        <v>45621.37864256944</v>
      </c>
      <c r="B374" s="9"/>
      <c r="C374" s="9" t="s">
        <v>86</v>
      </c>
      <c r="D374" s="9" t="s">
        <v>136</v>
      </c>
      <c r="E374" s="9" t="s">
        <v>44</v>
      </c>
      <c r="F374" s="9" t="s">
        <v>18</v>
      </c>
      <c r="G374" s="9" t="s">
        <v>24</v>
      </c>
      <c r="H374" s="9" t="s">
        <v>22</v>
      </c>
      <c r="I374" s="9" t="s">
        <v>20</v>
      </c>
      <c r="J374" s="10"/>
      <c r="K374" s="7"/>
      <c r="L374" s="7"/>
      <c r="M374" s="7"/>
      <c r="N374" s="7"/>
      <c r="O374" s="7"/>
    </row>
    <row r="375" ht="22.5" hidden="1" customHeight="1">
      <c r="A375" s="8">
        <v>45621.37957819444</v>
      </c>
      <c r="B375" s="9"/>
      <c r="C375" s="9" t="s">
        <v>86</v>
      </c>
      <c r="D375" s="9" t="s">
        <v>230</v>
      </c>
      <c r="E375" s="9" t="s">
        <v>30</v>
      </c>
      <c r="F375" s="9" t="s">
        <v>18</v>
      </c>
      <c r="G375" s="9" t="s">
        <v>24</v>
      </c>
      <c r="H375" s="9" t="s">
        <v>22</v>
      </c>
      <c r="I375" s="9" t="s">
        <v>20</v>
      </c>
      <c r="J375" s="10"/>
      <c r="K375" s="7"/>
      <c r="L375" s="7"/>
      <c r="M375" s="7"/>
      <c r="N375" s="7"/>
      <c r="O375" s="7"/>
    </row>
    <row r="376" ht="22.5" hidden="1" customHeight="1">
      <c r="A376" s="8">
        <v>45621.38154084491</v>
      </c>
      <c r="B376" s="9"/>
      <c r="C376" s="9" t="s">
        <v>86</v>
      </c>
      <c r="D376" s="9" t="s">
        <v>102</v>
      </c>
      <c r="E376" s="9" t="s">
        <v>44</v>
      </c>
      <c r="F376" s="9" t="s">
        <v>35</v>
      </c>
      <c r="G376" s="9" t="s">
        <v>24</v>
      </c>
      <c r="H376" s="9" t="s">
        <v>22</v>
      </c>
      <c r="I376" s="9" t="s">
        <v>20</v>
      </c>
      <c r="J376" s="10"/>
      <c r="K376" s="7"/>
      <c r="L376" s="7"/>
      <c r="M376" s="7"/>
      <c r="N376" s="7"/>
      <c r="O376" s="7"/>
    </row>
    <row r="377" ht="22.5" hidden="1" customHeight="1">
      <c r="A377" s="8">
        <v>45621.38323400463</v>
      </c>
      <c r="B377" s="9"/>
      <c r="C377" s="9" t="s">
        <v>86</v>
      </c>
      <c r="D377" s="9" t="s">
        <v>187</v>
      </c>
      <c r="E377" s="9" t="s">
        <v>44</v>
      </c>
      <c r="F377" s="9" t="s">
        <v>18</v>
      </c>
      <c r="G377" s="9" t="s">
        <v>19</v>
      </c>
      <c r="H377" s="9" t="s">
        <v>25</v>
      </c>
      <c r="I377" s="9" t="s">
        <v>28</v>
      </c>
      <c r="J377" s="10"/>
      <c r="K377" s="7"/>
      <c r="L377" s="7"/>
      <c r="M377" s="7"/>
      <c r="N377" s="7"/>
      <c r="O377" s="7"/>
    </row>
    <row r="378" ht="22.5" hidden="1" customHeight="1">
      <c r="A378" s="8">
        <v>45621.38405533565</v>
      </c>
      <c r="B378" s="9"/>
      <c r="C378" s="9" t="s">
        <v>86</v>
      </c>
      <c r="D378" s="9" t="s">
        <v>215</v>
      </c>
      <c r="E378" s="9" t="s">
        <v>44</v>
      </c>
      <c r="F378" s="9" t="s">
        <v>18</v>
      </c>
      <c r="G378" s="9" t="s">
        <v>24</v>
      </c>
      <c r="H378" s="9" t="s">
        <v>22</v>
      </c>
      <c r="I378" s="9" t="s">
        <v>20</v>
      </c>
      <c r="J378" s="10"/>
      <c r="K378" s="7"/>
      <c r="L378" s="7"/>
      <c r="M378" s="7"/>
      <c r="N378" s="7"/>
      <c r="O378" s="7"/>
    </row>
    <row r="379" ht="22.5" hidden="1" customHeight="1">
      <c r="A379" s="8">
        <v>45621.385846805555</v>
      </c>
      <c r="B379" s="9"/>
      <c r="C379" s="9" t="s">
        <v>86</v>
      </c>
      <c r="D379" s="9" t="s">
        <v>224</v>
      </c>
      <c r="E379" s="9" t="s">
        <v>30</v>
      </c>
      <c r="F379" s="9" t="s">
        <v>18</v>
      </c>
      <c r="G379" s="9" t="s">
        <v>19</v>
      </c>
      <c r="H379" s="9" t="s">
        <v>22</v>
      </c>
      <c r="I379" s="9" t="s">
        <v>20</v>
      </c>
      <c r="J379" s="10"/>
      <c r="K379" s="7"/>
      <c r="L379" s="7"/>
      <c r="M379" s="7"/>
      <c r="N379" s="7"/>
      <c r="O379" s="7"/>
    </row>
    <row r="380" ht="22.5" hidden="1" customHeight="1">
      <c r="A380" s="8">
        <v>45621.38647627315</v>
      </c>
      <c r="B380" s="9"/>
      <c r="C380" s="9" t="s">
        <v>86</v>
      </c>
      <c r="D380" s="9" t="s">
        <v>107</v>
      </c>
      <c r="E380" s="9" t="s">
        <v>61</v>
      </c>
      <c r="F380" s="9" t="s">
        <v>35</v>
      </c>
      <c r="G380" s="9" t="s">
        <v>24</v>
      </c>
      <c r="H380" s="9" t="s">
        <v>17</v>
      </c>
      <c r="I380" s="9" t="s">
        <v>20</v>
      </c>
      <c r="J380" s="10"/>
      <c r="K380" s="7"/>
      <c r="L380" s="7"/>
      <c r="M380" s="7"/>
      <c r="N380" s="7"/>
      <c r="O380" s="7"/>
    </row>
    <row r="381" ht="22.5" hidden="1" customHeight="1">
      <c r="A381" s="8">
        <v>45621.39179084491</v>
      </c>
      <c r="B381" s="9"/>
      <c r="C381" s="9" t="s">
        <v>86</v>
      </c>
      <c r="D381" s="9" t="s">
        <v>194</v>
      </c>
      <c r="E381" s="9" t="s">
        <v>44</v>
      </c>
      <c r="F381" s="9" t="s">
        <v>18</v>
      </c>
      <c r="G381" s="9" t="s">
        <v>24</v>
      </c>
      <c r="H381" s="9" t="s">
        <v>22</v>
      </c>
      <c r="I381" s="9" t="s">
        <v>20</v>
      </c>
      <c r="J381" s="10"/>
      <c r="K381" s="7"/>
      <c r="L381" s="7"/>
      <c r="M381" s="7"/>
      <c r="N381" s="7"/>
      <c r="O381" s="7"/>
    </row>
    <row r="382" ht="22.5" hidden="1" customHeight="1">
      <c r="A382" s="8">
        <v>45621.39873366898</v>
      </c>
      <c r="B382" s="9"/>
      <c r="C382" s="9" t="s">
        <v>86</v>
      </c>
      <c r="D382" s="9" t="s">
        <v>155</v>
      </c>
      <c r="E382" s="9" t="s">
        <v>30</v>
      </c>
      <c r="F382" s="9" t="s">
        <v>18</v>
      </c>
      <c r="G382" s="9" t="s">
        <v>19</v>
      </c>
      <c r="H382" s="9" t="s">
        <v>22</v>
      </c>
      <c r="I382" s="9" t="s">
        <v>20</v>
      </c>
      <c r="J382" s="10"/>
      <c r="K382" s="7"/>
      <c r="L382" s="7"/>
      <c r="M382" s="7"/>
      <c r="N382" s="7"/>
      <c r="O382" s="7"/>
    </row>
    <row r="383" ht="22.5" hidden="1" customHeight="1">
      <c r="A383" s="8">
        <v>45621.400926319446</v>
      </c>
      <c r="B383" s="9"/>
      <c r="C383" s="9" t="s">
        <v>86</v>
      </c>
      <c r="D383" s="9" t="s">
        <v>32</v>
      </c>
      <c r="E383" s="9" t="s">
        <v>44</v>
      </c>
      <c r="F383" s="9" t="s">
        <v>18</v>
      </c>
      <c r="G383" s="9" t="s">
        <v>24</v>
      </c>
      <c r="H383" s="9" t="s">
        <v>17</v>
      </c>
      <c r="I383" s="9" t="s">
        <v>20</v>
      </c>
      <c r="J383" s="10"/>
      <c r="K383" s="7"/>
      <c r="L383" s="7"/>
      <c r="M383" s="7"/>
      <c r="N383" s="7"/>
      <c r="O383" s="7"/>
    </row>
    <row r="384" ht="22.5" hidden="1" customHeight="1">
      <c r="A384" s="8">
        <v>45621.40167037037</v>
      </c>
      <c r="B384" s="9"/>
      <c r="C384" s="9" t="s">
        <v>86</v>
      </c>
      <c r="D384" s="9" t="s">
        <v>209</v>
      </c>
      <c r="E384" s="9" t="s">
        <v>44</v>
      </c>
      <c r="F384" s="9" t="s">
        <v>17</v>
      </c>
      <c r="G384" s="9" t="s">
        <v>24</v>
      </c>
      <c r="H384" s="9" t="s">
        <v>22</v>
      </c>
      <c r="I384" s="9" t="s">
        <v>20</v>
      </c>
      <c r="J384" s="10"/>
      <c r="K384" s="7"/>
      <c r="L384" s="7"/>
      <c r="M384" s="7"/>
      <c r="N384" s="7"/>
      <c r="O384" s="7"/>
    </row>
    <row r="385" ht="22.5" hidden="1" customHeight="1">
      <c r="A385" s="8">
        <v>45621.4026484375</v>
      </c>
      <c r="B385" s="9"/>
      <c r="C385" s="9" t="s">
        <v>86</v>
      </c>
      <c r="D385" s="9" t="s">
        <v>231</v>
      </c>
      <c r="E385" s="9" t="s">
        <v>44</v>
      </c>
      <c r="F385" s="9" t="s">
        <v>18</v>
      </c>
      <c r="G385" s="9" t="s">
        <v>24</v>
      </c>
      <c r="H385" s="9" t="s">
        <v>22</v>
      </c>
      <c r="I385" s="9" t="s">
        <v>20</v>
      </c>
      <c r="J385" s="10"/>
      <c r="K385" s="7"/>
      <c r="L385" s="7"/>
      <c r="M385" s="7"/>
      <c r="N385" s="7"/>
      <c r="O385" s="7"/>
    </row>
    <row r="386" ht="22.5" hidden="1" customHeight="1">
      <c r="A386" s="8">
        <v>45621.40939163194</v>
      </c>
      <c r="B386" s="9"/>
      <c r="C386" s="9" t="s">
        <v>86</v>
      </c>
      <c r="D386" s="9" t="s">
        <v>42</v>
      </c>
      <c r="E386" s="9" t="s">
        <v>17</v>
      </c>
      <c r="F386" s="9" t="s">
        <v>18</v>
      </c>
      <c r="G386" s="9" t="s">
        <v>24</v>
      </c>
      <c r="H386" s="9" t="s">
        <v>17</v>
      </c>
      <c r="I386" s="9" t="s">
        <v>20</v>
      </c>
      <c r="J386" s="10"/>
      <c r="K386" s="7"/>
      <c r="L386" s="7"/>
      <c r="M386" s="7"/>
      <c r="N386" s="7"/>
      <c r="O386" s="7"/>
    </row>
    <row r="387" ht="22.5" hidden="1" customHeight="1">
      <c r="A387" s="8">
        <v>45621.411025381945</v>
      </c>
      <c r="B387" s="9"/>
      <c r="C387" s="9" t="s">
        <v>86</v>
      </c>
      <c r="D387" s="9" t="s">
        <v>188</v>
      </c>
      <c r="E387" s="9" t="s">
        <v>30</v>
      </c>
      <c r="F387" s="9" t="s">
        <v>18</v>
      </c>
      <c r="G387" s="9" t="s">
        <v>24</v>
      </c>
      <c r="H387" s="9" t="s">
        <v>22</v>
      </c>
      <c r="I387" s="9" t="s">
        <v>20</v>
      </c>
      <c r="J387" s="10"/>
      <c r="K387" s="7"/>
      <c r="L387" s="7"/>
      <c r="M387" s="7"/>
      <c r="N387" s="7"/>
      <c r="O387" s="7"/>
    </row>
    <row r="388" ht="22.5" hidden="1" customHeight="1">
      <c r="A388" s="8">
        <v>45621.411337314814</v>
      </c>
      <c r="B388" s="9"/>
      <c r="C388" s="9" t="s">
        <v>86</v>
      </c>
      <c r="D388" s="9" t="s">
        <v>232</v>
      </c>
      <c r="E388" s="9" t="s">
        <v>30</v>
      </c>
      <c r="F388" s="9" t="s">
        <v>18</v>
      </c>
      <c r="G388" s="9" t="s">
        <v>24</v>
      </c>
      <c r="H388" s="9" t="s">
        <v>22</v>
      </c>
      <c r="I388" s="9" t="s">
        <v>20</v>
      </c>
      <c r="J388" s="10"/>
      <c r="K388" s="7"/>
      <c r="L388" s="7"/>
      <c r="M388" s="7"/>
      <c r="N388" s="7"/>
      <c r="O388" s="7"/>
    </row>
    <row r="389" ht="22.5" hidden="1" customHeight="1">
      <c r="A389" s="8">
        <v>45621.41199652778</v>
      </c>
      <c r="B389" s="9"/>
      <c r="C389" s="9" t="s">
        <v>86</v>
      </c>
      <c r="D389" s="9" t="s">
        <v>227</v>
      </c>
      <c r="E389" s="9" t="s">
        <v>44</v>
      </c>
      <c r="F389" s="9" t="s">
        <v>18</v>
      </c>
      <c r="G389" s="9" t="s">
        <v>24</v>
      </c>
      <c r="H389" s="9" t="s">
        <v>22</v>
      </c>
      <c r="I389" s="9" t="s">
        <v>20</v>
      </c>
      <c r="J389" s="10"/>
      <c r="K389" s="7"/>
      <c r="L389" s="7"/>
      <c r="M389" s="7"/>
      <c r="N389" s="7"/>
      <c r="O389" s="7"/>
    </row>
    <row r="390" ht="22.5" hidden="1" customHeight="1">
      <c r="A390" s="8">
        <v>45621.41510831019</v>
      </c>
      <c r="B390" s="9"/>
      <c r="C390" s="9" t="s">
        <v>86</v>
      </c>
      <c r="D390" s="9" t="s">
        <v>212</v>
      </c>
      <c r="E390" s="9" t="s">
        <v>44</v>
      </c>
      <c r="F390" s="9" t="s">
        <v>18</v>
      </c>
      <c r="G390" s="9" t="s">
        <v>24</v>
      </c>
      <c r="H390" s="9" t="s">
        <v>22</v>
      </c>
      <c r="I390" s="9" t="s">
        <v>20</v>
      </c>
      <c r="J390" s="10"/>
      <c r="K390" s="7"/>
      <c r="L390" s="7"/>
      <c r="M390" s="7"/>
      <c r="N390" s="7"/>
      <c r="O390" s="7"/>
    </row>
    <row r="391" ht="22.5" hidden="1" customHeight="1">
      <c r="A391" s="8">
        <v>45621.416815185185</v>
      </c>
      <c r="B391" s="9"/>
      <c r="C391" s="9" t="s">
        <v>86</v>
      </c>
      <c r="D391" s="9" t="s">
        <v>233</v>
      </c>
      <c r="E391" s="9" t="s">
        <v>17</v>
      </c>
      <c r="F391" s="9" t="s">
        <v>18</v>
      </c>
      <c r="G391" s="9" t="s">
        <v>24</v>
      </c>
      <c r="H391" s="9" t="s">
        <v>25</v>
      </c>
      <c r="I391" s="9" t="s">
        <v>234</v>
      </c>
      <c r="J391" s="10"/>
      <c r="K391" s="7"/>
      <c r="L391" s="7"/>
      <c r="M391" s="7"/>
      <c r="N391" s="7"/>
      <c r="O391" s="7"/>
    </row>
    <row r="392" ht="22.5" hidden="1" customHeight="1">
      <c r="A392" s="8">
        <v>45622.636943680554</v>
      </c>
      <c r="B392" s="9"/>
      <c r="C392" s="9" t="s">
        <v>110</v>
      </c>
      <c r="D392" s="9" t="s">
        <v>194</v>
      </c>
      <c r="E392" s="9" t="s">
        <v>30</v>
      </c>
      <c r="F392" s="9" t="s">
        <v>18</v>
      </c>
      <c r="G392" s="9" t="s">
        <v>19</v>
      </c>
      <c r="H392" s="9" t="s">
        <v>22</v>
      </c>
      <c r="I392" s="9" t="s">
        <v>20</v>
      </c>
      <c r="J392" s="10"/>
      <c r="K392" s="7"/>
      <c r="L392" s="7"/>
      <c r="M392" s="7"/>
      <c r="N392" s="7"/>
      <c r="O392" s="7"/>
    </row>
    <row r="393" ht="22.5" hidden="1" customHeight="1">
      <c r="A393" s="8">
        <v>45622.63813895833</v>
      </c>
      <c r="B393" s="9"/>
      <c r="C393" s="9" t="s">
        <v>110</v>
      </c>
      <c r="D393" s="9" t="s">
        <v>198</v>
      </c>
      <c r="E393" s="9" t="s">
        <v>30</v>
      </c>
      <c r="F393" s="9" t="s">
        <v>18</v>
      </c>
      <c r="G393" s="9" t="s">
        <v>24</v>
      </c>
      <c r="H393" s="9" t="s">
        <v>22</v>
      </c>
      <c r="I393" s="9" t="s">
        <v>20</v>
      </c>
      <c r="J393" s="10"/>
      <c r="K393" s="7"/>
      <c r="L393" s="7"/>
      <c r="M393" s="7"/>
      <c r="N393" s="7"/>
      <c r="O393" s="7"/>
    </row>
    <row r="394" ht="22.5" hidden="1" customHeight="1">
      <c r="A394" s="8">
        <v>45622.660091122685</v>
      </c>
      <c r="B394" s="9"/>
      <c r="C394" s="9" t="s">
        <v>110</v>
      </c>
      <c r="D394" s="9" t="s">
        <v>230</v>
      </c>
      <c r="E394" s="9" t="s">
        <v>30</v>
      </c>
      <c r="F394" s="9" t="s">
        <v>43</v>
      </c>
      <c r="G394" s="9" t="s">
        <v>19</v>
      </c>
      <c r="H394" s="9" t="s">
        <v>22</v>
      </c>
      <c r="I394" s="9" t="s">
        <v>20</v>
      </c>
      <c r="J394" s="10"/>
      <c r="K394" s="7"/>
      <c r="L394" s="7"/>
      <c r="M394" s="7"/>
      <c r="N394" s="7"/>
      <c r="O394" s="7"/>
    </row>
    <row r="395" ht="22.5" hidden="1" customHeight="1">
      <c r="A395" s="8">
        <v>45622.66530998843</v>
      </c>
      <c r="B395" s="9"/>
      <c r="C395" s="9" t="s">
        <v>110</v>
      </c>
      <c r="D395" s="9" t="s">
        <v>224</v>
      </c>
      <c r="E395" s="9" t="s">
        <v>30</v>
      </c>
      <c r="F395" s="9" t="s">
        <v>18</v>
      </c>
      <c r="G395" s="9" t="s">
        <v>19</v>
      </c>
      <c r="H395" s="9" t="s">
        <v>22</v>
      </c>
      <c r="I395" s="9" t="s">
        <v>20</v>
      </c>
      <c r="J395" s="10"/>
      <c r="K395" s="7"/>
      <c r="L395" s="7"/>
      <c r="M395" s="7"/>
      <c r="N395" s="7"/>
      <c r="O395" s="7"/>
    </row>
    <row r="396" ht="22.5" hidden="1" customHeight="1">
      <c r="A396" s="8">
        <v>45622.66684706019</v>
      </c>
      <c r="B396" s="9"/>
      <c r="C396" s="9" t="s">
        <v>110</v>
      </c>
      <c r="D396" s="9" t="s">
        <v>235</v>
      </c>
      <c r="E396" s="9" t="s">
        <v>44</v>
      </c>
      <c r="F396" s="9" t="s">
        <v>18</v>
      </c>
      <c r="G396" s="9" t="s">
        <v>19</v>
      </c>
      <c r="H396" s="9" t="s">
        <v>25</v>
      </c>
      <c r="I396" s="9" t="s">
        <v>234</v>
      </c>
      <c r="J396" s="10"/>
      <c r="K396" s="7"/>
      <c r="L396" s="7"/>
      <c r="M396" s="7"/>
      <c r="N396" s="7"/>
      <c r="O396" s="7"/>
    </row>
    <row r="397" ht="22.5" hidden="1" customHeight="1">
      <c r="A397" s="8">
        <v>45622.686015150466</v>
      </c>
      <c r="B397" s="9"/>
      <c r="C397" s="9" t="s">
        <v>110</v>
      </c>
      <c r="D397" s="9" t="s">
        <v>138</v>
      </c>
      <c r="E397" s="9" t="s">
        <v>17</v>
      </c>
      <c r="F397" s="9" t="s">
        <v>17</v>
      </c>
      <c r="G397" s="9" t="s">
        <v>19</v>
      </c>
      <c r="H397" s="9" t="s">
        <v>17</v>
      </c>
      <c r="I397" s="9" t="s">
        <v>159</v>
      </c>
      <c r="J397" s="10"/>
      <c r="K397" s="7"/>
      <c r="L397" s="7"/>
      <c r="M397" s="7"/>
      <c r="N397" s="7"/>
      <c r="O397" s="7"/>
    </row>
    <row r="398" ht="22.5" hidden="1" customHeight="1">
      <c r="A398" s="8">
        <v>45622.68969568287</v>
      </c>
      <c r="B398" s="9"/>
      <c r="C398" s="9" t="s">
        <v>110</v>
      </c>
      <c r="D398" s="9" t="s">
        <v>131</v>
      </c>
      <c r="E398" s="9" t="s">
        <v>30</v>
      </c>
      <c r="F398" s="9" t="s">
        <v>35</v>
      </c>
      <c r="G398" s="9" t="s">
        <v>24</v>
      </c>
      <c r="H398" s="9" t="s">
        <v>22</v>
      </c>
      <c r="I398" s="9" t="s">
        <v>20</v>
      </c>
      <c r="J398" s="10"/>
      <c r="K398" s="7"/>
      <c r="L398" s="7"/>
      <c r="M398" s="7"/>
      <c r="N398" s="7"/>
      <c r="O398" s="7"/>
    </row>
    <row r="399" ht="22.5" hidden="1" customHeight="1">
      <c r="A399" s="8">
        <v>45622.690273263885</v>
      </c>
      <c r="B399" s="9"/>
      <c r="C399" s="9" t="s">
        <v>110</v>
      </c>
      <c r="D399" s="9" t="s">
        <v>188</v>
      </c>
      <c r="E399" s="9" t="s">
        <v>44</v>
      </c>
      <c r="F399" s="9" t="s">
        <v>18</v>
      </c>
      <c r="G399" s="9" t="s">
        <v>19</v>
      </c>
      <c r="H399" s="9" t="s">
        <v>22</v>
      </c>
      <c r="I399" s="9" t="s">
        <v>20</v>
      </c>
      <c r="J399" s="10"/>
      <c r="K399" s="7"/>
      <c r="L399" s="7"/>
      <c r="M399" s="7"/>
      <c r="N399" s="7"/>
      <c r="O399" s="7"/>
    </row>
    <row r="400" ht="22.5" hidden="1" customHeight="1">
      <c r="A400" s="8">
        <v>45622.693382743055</v>
      </c>
      <c r="B400" s="9"/>
      <c r="C400" s="9" t="s">
        <v>110</v>
      </c>
      <c r="D400" s="9" t="s">
        <v>212</v>
      </c>
      <c r="E400" s="9" t="s">
        <v>44</v>
      </c>
      <c r="F400" s="9" t="s">
        <v>18</v>
      </c>
      <c r="G400" s="9" t="s">
        <v>24</v>
      </c>
      <c r="H400" s="9" t="s">
        <v>22</v>
      </c>
      <c r="I400" s="9" t="s">
        <v>20</v>
      </c>
      <c r="J400" s="10"/>
      <c r="K400" s="7"/>
      <c r="L400" s="7"/>
      <c r="M400" s="7"/>
      <c r="N400" s="7"/>
      <c r="O400" s="7"/>
    </row>
    <row r="401" ht="22.5" hidden="1" customHeight="1">
      <c r="A401" s="8">
        <v>45622.69558640046</v>
      </c>
      <c r="B401" s="9"/>
      <c r="C401" s="9" t="s">
        <v>110</v>
      </c>
      <c r="D401" s="9" t="s">
        <v>227</v>
      </c>
      <c r="E401" s="9" t="s">
        <v>44</v>
      </c>
      <c r="F401" s="9" t="s">
        <v>18</v>
      </c>
      <c r="G401" s="9" t="s">
        <v>24</v>
      </c>
      <c r="H401" s="9" t="s">
        <v>22</v>
      </c>
      <c r="I401" s="9" t="s">
        <v>20</v>
      </c>
      <c r="J401" s="10"/>
      <c r="K401" s="7"/>
      <c r="L401" s="7"/>
      <c r="M401" s="7"/>
      <c r="N401" s="7"/>
      <c r="O401" s="7"/>
    </row>
    <row r="402" ht="22.5" hidden="1" customHeight="1">
      <c r="A402" s="8">
        <v>45622.69746905092</v>
      </c>
      <c r="B402" s="9"/>
      <c r="C402" s="9" t="s">
        <v>110</v>
      </c>
      <c r="D402" s="9" t="s">
        <v>231</v>
      </c>
      <c r="E402" s="9" t="s">
        <v>30</v>
      </c>
      <c r="F402" s="9" t="s">
        <v>18</v>
      </c>
      <c r="G402" s="9" t="s">
        <v>19</v>
      </c>
      <c r="H402" s="9" t="s">
        <v>22</v>
      </c>
      <c r="I402" s="9" t="s">
        <v>20</v>
      </c>
      <c r="J402" s="10"/>
      <c r="K402" s="7"/>
      <c r="L402" s="7"/>
      <c r="M402" s="7"/>
      <c r="N402" s="7"/>
      <c r="O402" s="7"/>
    </row>
    <row r="403" ht="22.5" hidden="1" customHeight="1">
      <c r="A403" s="8">
        <v>45622.6995534375</v>
      </c>
      <c r="B403" s="9"/>
      <c r="C403" s="9" t="s">
        <v>110</v>
      </c>
      <c r="D403" s="9" t="s">
        <v>21</v>
      </c>
      <c r="E403" s="9" t="s">
        <v>44</v>
      </c>
      <c r="F403" s="9" t="s">
        <v>35</v>
      </c>
      <c r="G403" s="9" t="s">
        <v>24</v>
      </c>
      <c r="H403" s="9" t="s">
        <v>25</v>
      </c>
      <c r="I403" s="9" t="s">
        <v>20</v>
      </c>
      <c r="J403" s="10"/>
      <c r="K403" s="7"/>
      <c r="L403" s="7"/>
      <c r="M403" s="7"/>
      <c r="N403" s="7"/>
      <c r="O403" s="7"/>
    </row>
    <row r="404" ht="22.5" hidden="1" customHeight="1">
      <c r="A404" s="8">
        <v>45622.70813791666</v>
      </c>
      <c r="B404" s="9"/>
      <c r="C404" s="9" t="s">
        <v>110</v>
      </c>
      <c r="D404" s="9" t="s">
        <v>229</v>
      </c>
      <c r="E404" s="9" t="s">
        <v>30</v>
      </c>
      <c r="F404" s="9" t="s">
        <v>18</v>
      </c>
      <c r="G404" s="9" t="s">
        <v>24</v>
      </c>
      <c r="H404" s="9" t="s">
        <v>22</v>
      </c>
      <c r="I404" s="9" t="s">
        <v>20</v>
      </c>
      <c r="J404" s="10"/>
      <c r="K404" s="7"/>
      <c r="L404" s="7"/>
      <c r="M404" s="7"/>
      <c r="N404" s="7"/>
      <c r="O404" s="7"/>
    </row>
    <row r="405" ht="22.5" hidden="1" customHeight="1">
      <c r="A405" s="8">
        <v>45622.70846887732</v>
      </c>
      <c r="B405" s="9"/>
      <c r="C405" s="9" t="s">
        <v>110</v>
      </c>
      <c r="D405" s="9" t="s">
        <v>155</v>
      </c>
      <c r="E405" s="9" t="s">
        <v>30</v>
      </c>
      <c r="F405" s="9" t="s">
        <v>18</v>
      </c>
      <c r="G405" s="9" t="s">
        <v>19</v>
      </c>
      <c r="H405" s="9" t="s">
        <v>22</v>
      </c>
      <c r="I405" s="9" t="s">
        <v>20</v>
      </c>
      <c r="J405" s="10"/>
      <c r="K405" s="7"/>
      <c r="L405" s="7"/>
      <c r="M405" s="7"/>
      <c r="N405" s="7"/>
      <c r="O405" s="7"/>
    </row>
    <row r="406" ht="22.5" hidden="1" customHeight="1">
      <c r="A406" s="8">
        <v>45622.709497118056</v>
      </c>
      <c r="B406" s="9"/>
      <c r="C406" s="9" t="s">
        <v>110</v>
      </c>
      <c r="D406" s="9" t="s">
        <v>209</v>
      </c>
      <c r="E406" s="9" t="s">
        <v>17</v>
      </c>
      <c r="F406" s="9" t="s">
        <v>35</v>
      </c>
      <c r="G406" s="9" t="s">
        <v>24</v>
      </c>
      <c r="H406" s="9" t="s">
        <v>22</v>
      </c>
      <c r="I406" s="9" t="s">
        <v>20</v>
      </c>
      <c r="J406" s="10"/>
      <c r="K406" s="7"/>
      <c r="L406" s="7"/>
      <c r="M406" s="7"/>
      <c r="N406" s="7"/>
      <c r="O406" s="7"/>
    </row>
    <row r="407" ht="22.5" hidden="1" customHeight="1">
      <c r="A407" s="8">
        <v>45622.722942650464</v>
      </c>
      <c r="B407" s="9"/>
      <c r="C407" s="9" t="s">
        <v>110</v>
      </c>
      <c r="D407" s="9" t="s">
        <v>107</v>
      </c>
      <c r="E407" s="9" t="s">
        <v>61</v>
      </c>
      <c r="F407" s="9" t="s">
        <v>18</v>
      </c>
      <c r="G407" s="9" t="s">
        <v>24</v>
      </c>
      <c r="H407" s="9" t="s">
        <v>22</v>
      </c>
      <c r="I407" s="9" t="s">
        <v>20</v>
      </c>
      <c r="J407" s="10"/>
      <c r="K407" s="7"/>
      <c r="L407" s="7"/>
      <c r="M407" s="7"/>
      <c r="N407" s="7"/>
      <c r="O407" s="7"/>
    </row>
    <row r="408" ht="22.5" hidden="1" customHeight="1">
      <c r="A408" s="8">
        <v>45622.72321798611</v>
      </c>
      <c r="B408" s="9"/>
      <c r="C408" s="9" t="s">
        <v>110</v>
      </c>
      <c r="D408" s="9" t="s">
        <v>136</v>
      </c>
      <c r="E408" s="9" t="s">
        <v>44</v>
      </c>
      <c r="F408" s="9" t="s">
        <v>18</v>
      </c>
      <c r="G408" s="9" t="s">
        <v>24</v>
      </c>
      <c r="H408" s="9" t="s">
        <v>22</v>
      </c>
      <c r="I408" s="9" t="s">
        <v>20</v>
      </c>
      <c r="J408" s="10"/>
      <c r="K408" s="7"/>
      <c r="L408" s="7"/>
      <c r="M408" s="7"/>
      <c r="N408" s="7"/>
      <c r="O408" s="7"/>
    </row>
    <row r="409" ht="22.5" hidden="1" customHeight="1">
      <c r="A409" s="8">
        <v>45622.72359981481</v>
      </c>
      <c r="B409" s="9"/>
      <c r="C409" s="9" t="s">
        <v>110</v>
      </c>
      <c r="D409" s="9" t="s">
        <v>23</v>
      </c>
      <c r="E409" s="9" t="s">
        <v>30</v>
      </c>
      <c r="F409" s="9" t="s">
        <v>18</v>
      </c>
      <c r="G409" s="9" t="s">
        <v>24</v>
      </c>
      <c r="H409" s="9" t="s">
        <v>22</v>
      </c>
      <c r="I409" s="9" t="s">
        <v>20</v>
      </c>
      <c r="J409" s="10"/>
      <c r="K409" s="7"/>
      <c r="L409" s="7"/>
      <c r="M409" s="7"/>
      <c r="N409" s="7"/>
      <c r="O409" s="7"/>
    </row>
    <row r="410" ht="22.5" hidden="1" customHeight="1">
      <c r="A410" s="8">
        <v>45622.724689826384</v>
      </c>
      <c r="B410" s="9"/>
      <c r="C410" s="9" t="s">
        <v>110</v>
      </c>
      <c r="D410" s="9" t="s">
        <v>236</v>
      </c>
      <c r="E410" s="9" t="s">
        <v>44</v>
      </c>
      <c r="F410" s="9" t="s">
        <v>18</v>
      </c>
      <c r="G410" s="9" t="s">
        <v>40</v>
      </c>
      <c r="H410" s="9" t="s">
        <v>25</v>
      </c>
      <c r="I410" s="9" t="s">
        <v>28</v>
      </c>
      <c r="J410" s="10"/>
      <c r="K410" s="7"/>
      <c r="L410" s="7"/>
      <c r="M410" s="7"/>
      <c r="N410" s="7"/>
      <c r="O410" s="7"/>
    </row>
    <row r="411" ht="22.5" hidden="1" customHeight="1">
      <c r="A411" s="8">
        <v>45622.72601994213</v>
      </c>
      <c r="B411" s="9"/>
      <c r="C411" s="9" t="s">
        <v>110</v>
      </c>
      <c r="D411" s="9" t="s">
        <v>228</v>
      </c>
      <c r="E411" s="9" t="s">
        <v>44</v>
      </c>
      <c r="F411" s="9" t="s">
        <v>18</v>
      </c>
      <c r="G411" s="9" t="s">
        <v>24</v>
      </c>
      <c r="H411" s="9" t="s">
        <v>22</v>
      </c>
      <c r="I411" s="9" t="s">
        <v>20</v>
      </c>
      <c r="J411" s="10"/>
      <c r="K411" s="7"/>
      <c r="L411" s="7"/>
      <c r="M411" s="7"/>
      <c r="N411" s="7"/>
      <c r="O411" s="7"/>
    </row>
    <row r="412" ht="22.5" hidden="1" customHeight="1">
      <c r="A412" s="8">
        <v>45623.34487180556</v>
      </c>
      <c r="B412" s="9"/>
      <c r="C412" s="9" t="s">
        <v>15</v>
      </c>
      <c r="D412" s="9" t="s">
        <v>237</v>
      </c>
      <c r="E412" s="9" t="s">
        <v>44</v>
      </c>
      <c r="F412" s="9" t="s">
        <v>35</v>
      </c>
      <c r="G412" s="9" t="s">
        <v>24</v>
      </c>
      <c r="H412" s="9" t="s">
        <v>25</v>
      </c>
      <c r="I412" s="9" t="s">
        <v>20</v>
      </c>
      <c r="J412" s="10"/>
      <c r="K412" s="7"/>
      <c r="L412" s="7"/>
      <c r="M412" s="7"/>
      <c r="N412" s="7"/>
      <c r="O412" s="7"/>
    </row>
    <row r="413" ht="22.5" hidden="1" customHeight="1">
      <c r="A413" s="8">
        <v>45624.41193958333</v>
      </c>
      <c r="B413" s="9"/>
      <c r="C413" s="9" t="s">
        <v>31</v>
      </c>
      <c r="D413" s="9" t="s">
        <v>33</v>
      </c>
      <c r="E413" s="9" t="s">
        <v>17</v>
      </c>
      <c r="F413" s="9" t="s">
        <v>17</v>
      </c>
      <c r="G413" s="9" t="s">
        <v>19</v>
      </c>
      <c r="H413" s="9" t="s">
        <v>17</v>
      </c>
      <c r="I413" s="9" t="s">
        <v>20</v>
      </c>
      <c r="J413" s="10"/>
      <c r="K413" s="7"/>
      <c r="L413" s="7"/>
      <c r="M413" s="7"/>
      <c r="N413" s="7"/>
      <c r="O413" s="7"/>
    </row>
    <row r="414" ht="22.5" hidden="1" customHeight="1">
      <c r="A414" s="8">
        <v>45624.42082969907</v>
      </c>
      <c r="B414" s="9"/>
      <c r="C414" s="9" t="s">
        <v>31</v>
      </c>
      <c r="D414" s="9" t="s">
        <v>178</v>
      </c>
      <c r="E414" s="9" t="s">
        <v>44</v>
      </c>
      <c r="F414" s="9" t="s">
        <v>18</v>
      </c>
      <c r="G414" s="9" t="s">
        <v>24</v>
      </c>
      <c r="H414" s="9" t="s">
        <v>22</v>
      </c>
      <c r="I414" s="9" t="s">
        <v>20</v>
      </c>
      <c r="J414" s="10"/>
      <c r="K414" s="7"/>
      <c r="L414" s="7"/>
      <c r="M414" s="7"/>
      <c r="N414" s="7"/>
      <c r="O414" s="7"/>
    </row>
    <row r="415" ht="22.5" hidden="1" customHeight="1">
      <c r="A415" s="8">
        <v>45624.428455925925</v>
      </c>
      <c r="B415" s="9"/>
      <c r="C415" s="9" t="s">
        <v>31</v>
      </c>
      <c r="D415" s="9" t="s">
        <v>224</v>
      </c>
      <c r="E415" s="9" t="s">
        <v>44</v>
      </c>
      <c r="F415" s="9" t="s">
        <v>18</v>
      </c>
      <c r="G415" s="9" t="s">
        <v>24</v>
      </c>
      <c r="H415" s="9" t="s">
        <v>22</v>
      </c>
      <c r="I415" s="9" t="s">
        <v>20</v>
      </c>
      <c r="J415" s="10"/>
      <c r="K415" s="7"/>
      <c r="L415" s="7"/>
      <c r="M415" s="7"/>
      <c r="N415" s="7"/>
      <c r="O415" s="7"/>
    </row>
    <row r="416" ht="22.5" hidden="1" customHeight="1">
      <c r="A416" s="8">
        <v>45624.42874869213</v>
      </c>
      <c r="B416" s="9"/>
      <c r="C416" s="9" t="s">
        <v>31</v>
      </c>
      <c r="D416" s="9" t="s">
        <v>138</v>
      </c>
      <c r="E416" s="9" t="s">
        <v>61</v>
      </c>
      <c r="F416" s="9" t="s">
        <v>17</v>
      </c>
      <c r="G416" s="9" t="s">
        <v>24</v>
      </c>
      <c r="H416" s="9" t="s">
        <v>25</v>
      </c>
      <c r="I416" s="9" t="s">
        <v>159</v>
      </c>
      <c r="J416" s="10"/>
      <c r="K416" s="7"/>
      <c r="L416" s="7"/>
      <c r="M416" s="7"/>
      <c r="N416" s="7"/>
      <c r="O416" s="7"/>
    </row>
    <row r="417" ht="22.5" hidden="1" customHeight="1">
      <c r="A417" s="8">
        <v>45624.42883377315</v>
      </c>
      <c r="B417" s="9"/>
      <c r="C417" s="9" t="s">
        <v>31</v>
      </c>
      <c r="D417" s="9" t="s">
        <v>198</v>
      </c>
      <c r="E417" s="9" t="s">
        <v>44</v>
      </c>
      <c r="F417" s="9" t="s">
        <v>18</v>
      </c>
      <c r="G417" s="9" t="s">
        <v>24</v>
      </c>
      <c r="H417" s="9" t="s">
        <v>22</v>
      </c>
      <c r="I417" s="9" t="s">
        <v>20</v>
      </c>
      <c r="J417" s="10"/>
      <c r="K417" s="7"/>
      <c r="L417" s="7"/>
      <c r="M417" s="7"/>
      <c r="N417" s="7"/>
      <c r="O417" s="7"/>
    </row>
    <row r="418" ht="22.5" hidden="1" customHeight="1">
      <c r="A418" s="8">
        <v>45624.42949829861</v>
      </c>
      <c r="B418" s="9"/>
      <c r="C418" s="9" t="s">
        <v>31</v>
      </c>
      <c r="D418" s="9" t="s">
        <v>194</v>
      </c>
      <c r="E418" s="9" t="s">
        <v>30</v>
      </c>
      <c r="F418" s="9" t="s">
        <v>18</v>
      </c>
      <c r="G418" s="9" t="s">
        <v>24</v>
      </c>
      <c r="H418" s="9" t="s">
        <v>25</v>
      </c>
      <c r="I418" s="9" t="s">
        <v>20</v>
      </c>
      <c r="J418" s="10"/>
      <c r="K418" s="7"/>
      <c r="L418" s="7"/>
      <c r="M418" s="7"/>
      <c r="N418" s="7"/>
      <c r="O418" s="7"/>
    </row>
    <row r="419" ht="22.5" hidden="1" customHeight="1">
      <c r="A419" s="8">
        <v>45624.43049799769</v>
      </c>
      <c r="B419" s="9"/>
      <c r="C419" s="9" t="s">
        <v>31</v>
      </c>
      <c r="D419" s="9" t="s">
        <v>133</v>
      </c>
      <c r="E419" s="9" t="s">
        <v>44</v>
      </c>
      <c r="F419" s="9" t="s">
        <v>18</v>
      </c>
      <c r="G419" s="9" t="s">
        <v>40</v>
      </c>
      <c r="H419" s="9" t="s">
        <v>25</v>
      </c>
      <c r="I419" s="9" t="s">
        <v>20</v>
      </c>
      <c r="J419" s="10"/>
      <c r="K419" s="7"/>
      <c r="L419" s="7"/>
      <c r="M419" s="7"/>
      <c r="N419" s="7"/>
      <c r="O419" s="7"/>
    </row>
    <row r="420" ht="22.5" hidden="1" customHeight="1">
      <c r="A420" s="8">
        <v>45624.43095605324</v>
      </c>
      <c r="B420" s="9"/>
      <c r="C420" s="9" t="s">
        <v>31</v>
      </c>
      <c r="D420" s="9" t="s">
        <v>228</v>
      </c>
      <c r="E420" s="9" t="s">
        <v>30</v>
      </c>
      <c r="F420" s="9" t="s">
        <v>18</v>
      </c>
      <c r="G420" s="9" t="s">
        <v>24</v>
      </c>
      <c r="H420" s="9" t="s">
        <v>22</v>
      </c>
      <c r="I420" s="9" t="s">
        <v>20</v>
      </c>
      <c r="J420" s="10"/>
      <c r="K420" s="7"/>
      <c r="L420" s="7"/>
      <c r="M420" s="7"/>
      <c r="N420" s="7"/>
      <c r="O420" s="7"/>
    </row>
    <row r="421" ht="22.5" hidden="1" customHeight="1">
      <c r="A421" s="8">
        <v>45624.436301064816</v>
      </c>
      <c r="B421" s="9"/>
      <c r="C421" s="9" t="s">
        <v>31</v>
      </c>
      <c r="D421" s="9" t="s">
        <v>212</v>
      </c>
      <c r="E421" s="9" t="s">
        <v>30</v>
      </c>
      <c r="F421" s="9" t="s">
        <v>18</v>
      </c>
      <c r="G421" s="9" t="s">
        <v>40</v>
      </c>
      <c r="H421" s="9" t="s">
        <v>22</v>
      </c>
      <c r="I421" s="9" t="s">
        <v>20</v>
      </c>
      <c r="J421" s="10"/>
      <c r="K421" s="7"/>
      <c r="L421" s="7"/>
      <c r="M421" s="7"/>
      <c r="N421" s="7"/>
      <c r="O421" s="7"/>
    </row>
    <row r="422" ht="22.5" hidden="1" customHeight="1">
      <c r="A422" s="8">
        <v>45624.43665427083</v>
      </c>
      <c r="B422" s="9"/>
      <c r="C422" s="9" t="s">
        <v>31</v>
      </c>
      <c r="D422" s="9" t="s">
        <v>202</v>
      </c>
      <c r="E422" s="9" t="s">
        <v>30</v>
      </c>
      <c r="F422" s="9" t="s">
        <v>18</v>
      </c>
      <c r="G422" s="9" t="s">
        <v>24</v>
      </c>
      <c r="H422" s="9" t="s">
        <v>22</v>
      </c>
      <c r="I422" s="9" t="s">
        <v>20</v>
      </c>
      <c r="J422" s="10"/>
      <c r="K422" s="7"/>
      <c r="L422" s="7"/>
      <c r="M422" s="7"/>
      <c r="N422" s="7"/>
      <c r="O422" s="7"/>
    </row>
    <row r="423" ht="22.5" hidden="1" customHeight="1">
      <c r="A423" s="8">
        <v>45624.438000740745</v>
      </c>
      <c r="B423" s="9"/>
      <c r="C423" s="9" t="s">
        <v>31</v>
      </c>
      <c r="D423" s="9" t="s">
        <v>231</v>
      </c>
      <c r="E423" s="9" t="s">
        <v>61</v>
      </c>
      <c r="F423" s="9" t="s">
        <v>35</v>
      </c>
      <c r="G423" s="9" t="s">
        <v>24</v>
      </c>
      <c r="H423" s="9" t="s">
        <v>17</v>
      </c>
      <c r="I423" s="9" t="s">
        <v>20</v>
      </c>
      <c r="J423" s="10"/>
      <c r="K423" s="7"/>
      <c r="L423" s="7"/>
      <c r="M423" s="7"/>
      <c r="N423" s="7"/>
      <c r="O423" s="7"/>
    </row>
    <row r="424" ht="22.5" hidden="1" customHeight="1">
      <c r="A424" s="8">
        <v>45624.43935140046</v>
      </c>
      <c r="B424" s="9"/>
      <c r="C424" s="9" t="s">
        <v>31</v>
      </c>
      <c r="D424" s="9" t="s">
        <v>129</v>
      </c>
      <c r="E424" s="9" t="s">
        <v>44</v>
      </c>
      <c r="F424" s="9" t="s">
        <v>18</v>
      </c>
      <c r="G424" s="9" t="s">
        <v>19</v>
      </c>
      <c r="H424" s="9" t="s">
        <v>17</v>
      </c>
      <c r="I424" s="9" t="s">
        <v>67</v>
      </c>
      <c r="J424" s="10"/>
      <c r="K424" s="7"/>
      <c r="L424" s="7"/>
      <c r="M424" s="7"/>
      <c r="N424" s="7"/>
      <c r="O424" s="7"/>
    </row>
    <row r="425" ht="22.5" hidden="1" customHeight="1">
      <c r="A425" s="8">
        <v>45624.44860376157</v>
      </c>
      <c r="B425" s="9"/>
      <c r="C425" s="9" t="s">
        <v>31</v>
      </c>
      <c r="D425" s="9" t="s">
        <v>238</v>
      </c>
      <c r="E425" s="9" t="s">
        <v>30</v>
      </c>
      <c r="F425" s="9" t="s">
        <v>18</v>
      </c>
      <c r="G425" s="9" t="s">
        <v>24</v>
      </c>
      <c r="H425" s="9" t="s">
        <v>22</v>
      </c>
      <c r="I425" s="9" t="s">
        <v>20</v>
      </c>
      <c r="J425" s="10"/>
      <c r="K425" s="7"/>
      <c r="L425" s="7"/>
      <c r="M425" s="7"/>
      <c r="N425" s="7"/>
      <c r="O425" s="7"/>
    </row>
    <row r="426" ht="22.5" hidden="1" customHeight="1">
      <c r="A426" s="8">
        <v>45624.45858554398</v>
      </c>
      <c r="B426" s="9"/>
      <c r="C426" s="9" t="s">
        <v>31</v>
      </c>
      <c r="D426" s="9" t="s">
        <v>209</v>
      </c>
      <c r="E426" s="9" t="s">
        <v>17</v>
      </c>
      <c r="F426" s="9" t="s">
        <v>17</v>
      </c>
      <c r="G426" s="9" t="s">
        <v>24</v>
      </c>
      <c r="H426" s="9" t="s">
        <v>22</v>
      </c>
      <c r="I426" s="9" t="s">
        <v>20</v>
      </c>
      <c r="J426" s="10"/>
      <c r="K426" s="7"/>
      <c r="L426" s="7"/>
      <c r="M426" s="7"/>
      <c r="N426" s="7"/>
      <c r="O426" s="7"/>
    </row>
    <row r="427" ht="22.5" hidden="1" customHeight="1">
      <c r="A427" s="8">
        <v>45624.466449178246</v>
      </c>
      <c r="B427" s="9"/>
      <c r="C427" s="9" t="s">
        <v>31</v>
      </c>
      <c r="D427" s="9" t="s">
        <v>136</v>
      </c>
      <c r="E427" s="9" t="s">
        <v>30</v>
      </c>
      <c r="F427" s="9" t="s">
        <v>18</v>
      </c>
      <c r="G427" s="9" t="s">
        <v>24</v>
      </c>
      <c r="H427" s="9" t="s">
        <v>22</v>
      </c>
      <c r="I427" s="9" t="s">
        <v>20</v>
      </c>
      <c r="J427" s="10"/>
      <c r="K427" s="7"/>
      <c r="L427" s="7"/>
      <c r="M427" s="7"/>
      <c r="N427" s="7"/>
      <c r="O427" s="7"/>
    </row>
    <row r="428" ht="22.5" hidden="1" customHeight="1">
      <c r="A428" s="8">
        <v>45624.46764299768</v>
      </c>
      <c r="B428" s="9"/>
      <c r="C428" s="9" t="s">
        <v>31</v>
      </c>
      <c r="D428" s="9" t="s">
        <v>107</v>
      </c>
      <c r="E428" s="9" t="s">
        <v>30</v>
      </c>
      <c r="F428" s="9" t="s">
        <v>18</v>
      </c>
      <c r="G428" s="9" t="s">
        <v>24</v>
      </c>
      <c r="H428" s="9" t="s">
        <v>22</v>
      </c>
      <c r="I428" s="9" t="s">
        <v>20</v>
      </c>
      <c r="J428" s="10"/>
      <c r="K428" s="7"/>
      <c r="L428" s="7"/>
      <c r="M428" s="7"/>
      <c r="N428" s="7"/>
      <c r="O428" s="7"/>
    </row>
    <row r="429" ht="22.5" hidden="1" customHeight="1">
      <c r="A429" s="8">
        <v>45625.359189282404</v>
      </c>
      <c r="B429" s="9"/>
      <c r="C429" s="9" t="s">
        <v>48</v>
      </c>
      <c r="D429" s="9" t="s">
        <v>198</v>
      </c>
      <c r="E429" s="9" t="s">
        <v>17</v>
      </c>
      <c r="F429" s="9" t="s">
        <v>60</v>
      </c>
      <c r="G429" s="9" t="s">
        <v>24</v>
      </c>
      <c r="H429" s="9" t="s">
        <v>22</v>
      </c>
      <c r="I429" s="9" t="s">
        <v>20</v>
      </c>
      <c r="J429" s="10"/>
      <c r="K429" s="7"/>
      <c r="L429" s="7"/>
      <c r="M429" s="7"/>
      <c r="N429" s="7"/>
      <c r="O429" s="7"/>
    </row>
    <row r="430" ht="22.5" hidden="1" customHeight="1">
      <c r="A430" s="8">
        <v>45625.36450412037</v>
      </c>
      <c r="B430" s="9"/>
      <c r="C430" s="9" t="s">
        <v>48</v>
      </c>
      <c r="D430" s="9" t="s">
        <v>129</v>
      </c>
      <c r="E430" s="9" t="s">
        <v>30</v>
      </c>
      <c r="F430" s="9" t="s">
        <v>18</v>
      </c>
      <c r="G430" s="9" t="s">
        <v>24</v>
      </c>
      <c r="H430" s="9" t="s">
        <v>17</v>
      </c>
      <c r="I430" s="9" t="s">
        <v>20</v>
      </c>
      <c r="J430" s="10"/>
      <c r="K430" s="7"/>
      <c r="L430" s="7"/>
      <c r="M430" s="7"/>
      <c r="N430" s="7"/>
      <c r="O430" s="7"/>
    </row>
    <row r="431" ht="22.5" hidden="1" customHeight="1">
      <c r="A431" s="8">
        <v>45625.36570385417</v>
      </c>
      <c r="B431" s="9"/>
      <c r="C431" s="9" t="s">
        <v>48</v>
      </c>
      <c r="D431" s="9" t="s">
        <v>138</v>
      </c>
      <c r="E431" s="9" t="s">
        <v>61</v>
      </c>
      <c r="F431" s="9" t="s">
        <v>17</v>
      </c>
      <c r="G431" s="9" t="s">
        <v>24</v>
      </c>
      <c r="H431" s="9" t="s">
        <v>17</v>
      </c>
      <c r="I431" s="9" t="s">
        <v>159</v>
      </c>
      <c r="J431" s="10"/>
      <c r="K431" s="7"/>
      <c r="L431" s="7"/>
      <c r="M431" s="7"/>
      <c r="N431" s="7"/>
      <c r="O431" s="7"/>
    </row>
    <row r="432" ht="22.5" hidden="1" customHeight="1">
      <c r="A432" s="8">
        <v>45625.36646856481</v>
      </c>
      <c r="B432" s="9"/>
      <c r="C432" s="9" t="s">
        <v>48</v>
      </c>
      <c r="D432" s="9" t="s">
        <v>239</v>
      </c>
      <c r="E432" s="9" t="s">
        <v>17</v>
      </c>
      <c r="F432" s="9" t="s">
        <v>17</v>
      </c>
      <c r="G432" s="9" t="s">
        <v>24</v>
      </c>
      <c r="H432" s="9" t="s">
        <v>17</v>
      </c>
      <c r="I432" s="9" t="s">
        <v>20</v>
      </c>
      <c r="J432" s="10"/>
      <c r="K432" s="7"/>
      <c r="L432" s="7"/>
      <c r="M432" s="7"/>
      <c r="N432" s="7"/>
      <c r="O432" s="7"/>
    </row>
    <row r="433" ht="22.5" hidden="1" customHeight="1">
      <c r="A433" s="8">
        <v>45625.37155052084</v>
      </c>
      <c r="B433" s="9"/>
      <c r="C433" s="9" t="s">
        <v>48</v>
      </c>
      <c r="D433" s="9" t="s">
        <v>33</v>
      </c>
      <c r="E433" s="9" t="s">
        <v>17</v>
      </c>
      <c r="F433" s="9" t="s">
        <v>17</v>
      </c>
      <c r="G433" s="9" t="s">
        <v>19</v>
      </c>
      <c r="H433" s="9" t="s">
        <v>17</v>
      </c>
      <c r="I433" s="9" t="s">
        <v>20</v>
      </c>
      <c r="J433" s="10"/>
      <c r="K433" s="7"/>
      <c r="L433" s="7"/>
      <c r="M433" s="7"/>
      <c r="N433" s="7"/>
      <c r="O433" s="7"/>
    </row>
    <row r="434" ht="22.5" hidden="1" customHeight="1">
      <c r="A434" s="8">
        <v>45625.37429922454</v>
      </c>
      <c r="B434" s="9"/>
      <c r="C434" s="9" t="s">
        <v>48</v>
      </c>
      <c r="D434" s="9" t="s">
        <v>233</v>
      </c>
      <c r="E434" s="9" t="s">
        <v>44</v>
      </c>
      <c r="F434" s="9" t="s">
        <v>35</v>
      </c>
      <c r="G434" s="9" t="s">
        <v>24</v>
      </c>
      <c r="H434" s="9" t="s">
        <v>25</v>
      </c>
      <c r="I434" s="9" t="s">
        <v>234</v>
      </c>
      <c r="J434" s="10"/>
      <c r="K434" s="7"/>
      <c r="L434" s="7"/>
      <c r="M434" s="7"/>
      <c r="N434" s="7"/>
      <c r="O434" s="7"/>
    </row>
    <row r="435" ht="22.5" hidden="1" customHeight="1">
      <c r="A435" s="8">
        <v>45625.37476607639</v>
      </c>
      <c r="B435" s="9"/>
      <c r="C435" s="9" t="s">
        <v>48</v>
      </c>
      <c r="D435" s="9" t="s">
        <v>213</v>
      </c>
      <c r="E435" s="9" t="s">
        <v>44</v>
      </c>
      <c r="F435" s="9" t="s">
        <v>18</v>
      </c>
      <c r="G435" s="9" t="s">
        <v>40</v>
      </c>
      <c r="H435" s="9" t="s">
        <v>25</v>
      </c>
      <c r="I435" s="9" t="s">
        <v>28</v>
      </c>
      <c r="J435" s="10"/>
      <c r="K435" s="7"/>
      <c r="L435" s="7"/>
      <c r="M435" s="7"/>
      <c r="N435" s="7"/>
      <c r="O435" s="7"/>
    </row>
    <row r="436" ht="22.5" hidden="1" customHeight="1">
      <c r="A436" s="8">
        <v>45625.375122303245</v>
      </c>
      <c r="B436" s="9"/>
      <c r="C436" s="9" t="s">
        <v>48</v>
      </c>
      <c r="D436" s="9" t="s">
        <v>108</v>
      </c>
      <c r="E436" s="9" t="s">
        <v>44</v>
      </c>
      <c r="F436" s="9" t="s">
        <v>18</v>
      </c>
      <c r="G436" s="9" t="s">
        <v>24</v>
      </c>
      <c r="H436" s="9" t="s">
        <v>22</v>
      </c>
      <c r="I436" s="9" t="s">
        <v>20</v>
      </c>
      <c r="J436" s="10"/>
      <c r="K436" s="7"/>
      <c r="L436" s="7"/>
      <c r="M436" s="7"/>
      <c r="N436" s="7"/>
      <c r="O436" s="7"/>
    </row>
    <row r="437" ht="22.5" hidden="1" customHeight="1">
      <c r="A437" s="8">
        <v>45625.3777309375</v>
      </c>
      <c r="B437" s="9"/>
      <c r="C437" s="9" t="s">
        <v>48</v>
      </c>
      <c r="D437" s="9" t="s">
        <v>136</v>
      </c>
      <c r="E437" s="9" t="s">
        <v>44</v>
      </c>
      <c r="F437" s="9" t="s">
        <v>18</v>
      </c>
      <c r="G437" s="9" t="s">
        <v>24</v>
      </c>
      <c r="H437" s="9" t="s">
        <v>22</v>
      </c>
      <c r="I437" s="9" t="s">
        <v>20</v>
      </c>
      <c r="J437" s="10"/>
      <c r="K437" s="7"/>
      <c r="L437" s="7"/>
      <c r="M437" s="7"/>
      <c r="N437" s="7"/>
      <c r="O437" s="7"/>
    </row>
    <row r="438" ht="22.5" hidden="1" customHeight="1">
      <c r="A438" s="8">
        <v>45625.37931949074</v>
      </c>
      <c r="B438" s="9"/>
      <c r="C438" s="9" t="s">
        <v>48</v>
      </c>
      <c r="D438" s="9" t="s">
        <v>209</v>
      </c>
      <c r="E438" s="9" t="s">
        <v>44</v>
      </c>
      <c r="F438" s="9" t="s">
        <v>35</v>
      </c>
      <c r="G438" s="9" t="s">
        <v>24</v>
      </c>
      <c r="H438" s="9" t="s">
        <v>22</v>
      </c>
      <c r="I438" s="9" t="s">
        <v>20</v>
      </c>
      <c r="J438" s="10"/>
      <c r="K438" s="7"/>
      <c r="L438" s="7"/>
      <c r="M438" s="7"/>
      <c r="N438" s="7"/>
      <c r="O438" s="7"/>
    </row>
    <row r="439" ht="22.5" hidden="1" customHeight="1">
      <c r="A439" s="8">
        <v>45625.37995615741</v>
      </c>
      <c r="B439" s="9"/>
      <c r="C439" s="9" t="s">
        <v>48</v>
      </c>
      <c r="D439" s="9" t="s">
        <v>21</v>
      </c>
      <c r="E439" s="9" t="s">
        <v>30</v>
      </c>
      <c r="F439" s="9" t="s">
        <v>18</v>
      </c>
      <c r="G439" s="9" t="s">
        <v>24</v>
      </c>
      <c r="H439" s="9" t="s">
        <v>25</v>
      </c>
      <c r="I439" s="9" t="s">
        <v>20</v>
      </c>
      <c r="J439" s="10"/>
      <c r="K439" s="7"/>
      <c r="L439" s="7"/>
      <c r="M439" s="7"/>
      <c r="N439" s="7"/>
      <c r="O439" s="7"/>
    </row>
    <row r="440" ht="22.5" hidden="1" customHeight="1">
      <c r="A440" s="8">
        <v>45625.38121400463</v>
      </c>
      <c r="B440" s="9"/>
      <c r="C440" s="9" t="s">
        <v>48</v>
      </c>
      <c r="D440" s="9" t="s">
        <v>135</v>
      </c>
      <c r="E440" s="9" t="s">
        <v>30</v>
      </c>
      <c r="F440" s="9" t="s">
        <v>18</v>
      </c>
      <c r="G440" s="9" t="s">
        <v>24</v>
      </c>
      <c r="H440" s="9" t="s">
        <v>22</v>
      </c>
      <c r="I440" s="9" t="s">
        <v>20</v>
      </c>
      <c r="J440" s="10"/>
      <c r="K440" s="7"/>
      <c r="L440" s="7"/>
      <c r="M440" s="7"/>
      <c r="N440" s="7"/>
      <c r="O440" s="7"/>
    </row>
    <row r="441" ht="22.5" hidden="1" customHeight="1">
      <c r="A441" s="8">
        <v>45625.382976504625</v>
      </c>
      <c r="B441" s="9"/>
      <c r="C441" s="9" t="s">
        <v>48</v>
      </c>
      <c r="D441" s="9" t="s">
        <v>224</v>
      </c>
      <c r="E441" s="9" t="s">
        <v>30</v>
      </c>
      <c r="F441" s="9" t="s">
        <v>18</v>
      </c>
      <c r="G441" s="9" t="s">
        <v>24</v>
      </c>
      <c r="H441" s="9" t="s">
        <v>22</v>
      </c>
      <c r="I441" s="9" t="s">
        <v>20</v>
      </c>
      <c r="J441" s="10"/>
      <c r="K441" s="7"/>
      <c r="L441" s="7"/>
      <c r="M441" s="7"/>
      <c r="N441" s="7"/>
      <c r="O441" s="7"/>
    </row>
    <row r="442" ht="22.5" hidden="1" customHeight="1">
      <c r="A442" s="8">
        <v>45625.40748712963</v>
      </c>
      <c r="B442" s="9"/>
      <c r="C442" s="9" t="s">
        <v>48</v>
      </c>
      <c r="D442" s="9" t="s">
        <v>155</v>
      </c>
      <c r="E442" s="9" t="s">
        <v>30</v>
      </c>
      <c r="F442" s="9" t="s">
        <v>18</v>
      </c>
      <c r="G442" s="9" t="s">
        <v>24</v>
      </c>
      <c r="H442" s="9" t="s">
        <v>22</v>
      </c>
      <c r="I442" s="9" t="s">
        <v>20</v>
      </c>
      <c r="J442" s="10"/>
      <c r="K442" s="7"/>
      <c r="L442" s="7"/>
      <c r="M442" s="7"/>
      <c r="N442" s="7"/>
      <c r="O442" s="7"/>
    </row>
    <row r="443" ht="22.5" hidden="1" customHeight="1">
      <c r="A443" s="8">
        <v>45625.41628347222</v>
      </c>
      <c r="B443" s="9"/>
      <c r="C443" s="9" t="s">
        <v>48</v>
      </c>
      <c r="D443" s="9" t="s">
        <v>229</v>
      </c>
      <c r="E443" s="9" t="s">
        <v>46</v>
      </c>
      <c r="F443" s="9" t="s">
        <v>35</v>
      </c>
      <c r="G443" s="9" t="s">
        <v>24</v>
      </c>
      <c r="H443" s="9" t="s">
        <v>22</v>
      </c>
      <c r="I443" s="9" t="s">
        <v>20</v>
      </c>
      <c r="J443" s="10"/>
      <c r="K443" s="7"/>
      <c r="L443" s="7"/>
      <c r="M443" s="7"/>
      <c r="N443" s="7"/>
      <c r="O443" s="7"/>
    </row>
    <row r="444" ht="22.5" hidden="1" customHeight="1">
      <c r="A444" s="8">
        <v>45625.41794827546</v>
      </c>
      <c r="B444" s="9"/>
      <c r="C444" s="9" t="s">
        <v>48</v>
      </c>
      <c r="D444" s="9" t="s">
        <v>83</v>
      </c>
      <c r="E444" s="9" t="s">
        <v>30</v>
      </c>
      <c r="F444" s="9" t="s">
        <v>18</v>
      </c>
      <c r="G444" s="9" t="s">
        <v>24</v>
      </c>
      <c r="H444" s="9" t="s">
        <v>22</v>
      </c>
      <c r="I444" s="9" t="s">
        <v>20</v>
      </c>
      <c r="J444" s="10"/>
      <c r="K444" s="7"/>
      <c r="L444" s="7"/>
      <c r="M444" s="7"/>
      <c r="N444" s="7"/>
      <c r="O444" s="7"/>
    </row>
    <row r="445" ht="22.5" hidden="1" customHeight="1">
      <c r="A445" s="8">
        <v>45627.40015346065</v>
      </c>
      <c r="B445" s="9"/>
      <c r="C445" s="9" t="s">
        <v>58</v>
      </c>
      <c r="D445" s="9" t="s">
        <v>33</v>
      </c>
      <c r="E445" s="9" t="s">
        <v>17</v>
      </c>
      <c r="F445" s="9" t="s">
        <v>17</v>
      </c>
      <c r="G445" s="9" t="s">
        <v>19</v>
      </c>
      <c r="H445" s="9" t="s">
        <v>17</v>
      </c>
      <c r="I445" s="9" t="s">
        <v>20</v>
      </c>
      <c r="J445" s="10"/>
      <c r="K445" s="7"/>
      <c r="L445" s="7"/>
      <c r="M445" s="7"/>
      <c r="N445" s="7"/>
      <c r="O445" s="7"/>
    </row>
    <row r="446" ht="22.5" hidden="1" customHeight="1">
      <c r="A446" s="8">
        <v>45627.415019988424</v>
      </c>
      <c r="B446" s="9"/>
      <c r="C446" s="9" t="s">
        <v>58</v>
      </c>
      <c r="D446" s="9" t="s">
        <v>29</v>
      </c>
      <c r="E446" s="9" t="s">
        <v>17</v>
      </c>
      <c r="F446" s="9" t="s">
        <v>17</v>
      </c>
      <c r="G446" s="9" t="s">
        <v>24</v>
      </c>
      <c r="H446" s="9" t="s">
        <v>25</v>
      </c>
      <c r="I446" s="9" t="s">
        <v>240</v>
      </c>
      <c r="J446" s="10"/>
      <c r="K446" s="7"/>
      <c r="L446" s="7"/>
      <c r="M446" s="7"/>
      <c r="N446" s="7"/>
      <c r="O446" s="7"/>
    </row>
    <row r="447" ht="22.5" hidden="1" customHeight="1">
      <c r="A447" s="8">
        <v>45627.4285824074</v>
      </c>
      <c r="B447" s="9"/>
      <c r="C447" s="9" t="s">
        <v>58</v>
      </c>
      <c r="D447" s="9" t="s">
        <v>129</v>
      </c>
      <c r="E447" s="9" t="s">
        <v>17</v>
      </c>
      <c r="F447" s="9" t="s">
        <v>17</v>
      </c>
      <c r="G447" s="9" t="s">
        <v>24</v>
      </c>
      <c r="H447" s="9" t="s">
        <v>17</v>
      </c>
      <c r="I447" s="9" t="s">
        <v>67</v>
      </c>
      <c r="J447" s="10"/>
      <c r="K447" s="7"/>
      <c r="L447" s="7"/>
      <c r="M447" s="7"/>
      <c r="N447" s="7"/>
      <c r="O447" s="7"/>
    </row>
    <row r="448" ht="22.5" hidden="1" customHeight="1">
      <c r="A448" s="8">
        <v>45628.34387862268</v>
      </c>
      <c r="B448" s="9"/>
      <c r="C448" s="9" t="s">
        <v>86</v>
      </c>
      <c r="D448" s="9" t="s">
        <v>49</v>
      </c>
      <c r="E448" s="9" t="s">
        <v>17</v>
      </c>
      <c r="F448" s="9" t="s">
        <v>17</v>
      </c>
      <c r="G448" s="9" t="s">
        <v>24</v>
      </c>
      <c r="H448" s="9" t="s">
        <v>17</v>
      </c>
      <c r="I448" s="9" t="s">
        <v>20</v>
      </c>
      <c r="J448" s="10"/>
      <c r="K448" s="7"/>
      <c r="L448" s="7"/>
      <c r="M448" s="7"/>
      <c r="N448" s="7"/>
      <c r="O448" s="7"/>
    </row>
    <row r="449" ht="22.5" hidden="1" customHeight="1">
      <c r="A449" s="8">
        <v>45628.35623809027</v>
      </c>
      <c r="B449" s="9"/>
      <c r="C449" s="9" t="s">
        <v>86</v>
      </c>
      <c r="D449" s="9" t="s">
        <v>138</v>
      </c>
      <c r="E449" s="9" t="s">
        <v>61</v>
      </c>
      <c r="F449" s="9" t="s">
        <v>17</v>
      </c>
      <c r="G449" s="9" t="s">
        <v>24</v>
      </c>
      <c r="H449" s="9" t="s">
        <v>25</v>
      </c>
      <c r="I449" s="9" t="s">
        <v>159</v>
      </c>
      <c r="J449" s="10"/>
      <c r="K449" s="7"/>
      <c r="L449" s="7"/>
      <c r="M449" s="7"/>
      <c r="N449" s="7"/>
      <c r="O449" s="7"/>
    </row>
    <row r="450" ht="22.5" hidden="1" customHeight="1">
      <c r="A450" s="8">
        <v>45628.3945058449</v>
      </c>
      <c r="B450" s="9"/>
      <c r="C450" s="9" t="s">
        <v>86</v>
      </c>
      <c r="D450" s="9" t="s">
        <v>129</v>
      </c>
      <c r="E450" s="9" t="s">
        <v>30</v>
      </c>
      <c r="F450" s="9" t="s">
        <v>18</v>
      </c>
      <c r="G450" s="9" t="s">
        <v>19</v>
      </c>
      <c r="H450" s="9" t="s">
        <v>17</v>
      </c>
      <c r="I450" s="9" t="s">
        <v>67</v>
      </c>
      <c r="J450" s="10"/>
      <c r="K450" s="7"/>
      <c r="L450" s="7"/>
      <c r="M450" s="7"/>
      <c r="N450" s="7"/>
      <c r="O450" s="7"/>
    </row>
    <row r="451" ht="22.5" hidden="1" customHeight="1">
      <c r="A451" s="8">
        <v>45629.36026667824</v>
      </c>
      <c r="B451" s="9"/>
      <c r="C451" s="9" t="s">
        <v>110</v>
      </c>
      <c r="D451" s="9" t="s">
        <v>127</v>
      </c>
      <c r="E451" s="9" t="s">
        <v>46</v>
      </c>
      <c r="F451" s="9" t="s">
        <v>17</v>
      </c>
      <c r="G451" s="9" t="s">
        <v>24</v>
      </c>
      <c r="H451" s="9" t="s">
        <v>22</v>
      </c>
      <c r="I451" s="9" t="s">
        <v>20</v>
      </c>
      <c r="J451" s="10"/>
      <c r="K451" s="7"/>
      <c r="L451" s="7"/>
      <c r="M451" s="7"/>
      <c r="N451" s="7"/>
      <c r="O451" s="7"/>
    </row>
    <row r="452" ht="22.5" hidden="1" customHeight="1">
      <c r="A452" s="8">
        <v>45629.3724496875</v>
      </c>
      <c r="B452" s="9"/>
      <c r="C452" s="9" t="s">
        <v>110</v>
      </c>
      <c r="D452" s="9" t="s">
        <v>133</v>
      </c>
      <c r="E452" s="9" t="s">
        <v>57</v>
      </c>
      <c r="F452" s="9" t="s">
        <v>18</v>
      </c>
      <c r="G452" s="9" t="s">
        <v>24</v>
      </c>
      <c r="H452" s="9" t="s">
        <v>25</v>
      </c>
      <c r="I452" s="9" t="s">
        <v>117</v>
      </c>
      <c r="J452" s="10"/>
      <c r="K452" s="7"/>
      <c r="L452" s="7"/>
      <c r="M452" s="7"/>
      <c r="N452" s="7"/>
      <c r="O452" s="7"/>
    </row>
    <row r="453" ht="22.5" hidden="1" customHeight="1">
      <c r="A453" s="8">
        <v>45629.374536006944</v>
      </c>
      <c r="B453" s="9"/>
      <c r="C453" s="9" t="s">
        <v>110</v>
      </c>
      <c r="D453" s="9" t="s">
        <v>170</v>
      </c>
      <c r="E453" s="9" t="s">
        <v>17</v>
      </c>
      <c r="F453" s="9" t="s">
        <v>43</v>
      </c>
      <c r="G453" s="9" t="s">
        <v>19</v>
      </c>
      <c r="H453" s="9" t="s">
        <v>17</v>
      </c>
      <c r="I453" s="9" t="s">
        <v>20</v>
      </c>
      <c r="J453" s="10"/>
      <c r="K453" s="7"/>
      <c r="L453" s="7"/>
      <c r="M453" s="7"/>
      <c r="N453" s="7"/>
      <c r="O453" s="7"/>
    </row>
    <row r="454" ht="22.5" hidden="1" customHeight="1">
      <c r="A454" s="8">
        <v>45629.375633668984</v>
      </c>
      <c r="B454" s="9"/>
      <c r="C454" s="9" t="s">
        <v>110</v>
      </c>
      <c r="D454" s="9" t="s">
        <v>230</v>
      </c>
      <c r="E454" s="9" t="s">
        <v>17</v>
      </c>
      <c r="F454" s="9" t="s">
        <v>18</v>
      </c>
      <c r="G454" s="9" t="s">
        <v>24</v>
      </c>
      <c r="H454" s="9" t="s">
        <v>22</v>
      </c>
      <c r="I454" s="9" t="s">
        <v>20</v>
      </c>
      <c r="J454" s="10"/>
      <c r="K454" s="7"/>
      <c r="L454" s="7"/>
      <c r="M454" s="7"/>
      <c r="N454" s="7"/>
      <c r="O454" s="7"/>
    </row>
    <row r="455" ht="22.5" hidden="1" customHeight="1">
      <c r="A455" s="8">
        <v>45629.37620453704</v>
      </c>
      <c r="B455" s="9"/>
      <c r="C455" s="9" t="s">
        <v>110</v>
      </c>
      <c r="D455" s="9" t="s">
        <v>201</v>
      </c>
      <c r="E455" s="9" t="s">
        <v>17</v>
      </c>
      <c r="F455" s="9" t="s">
        <v>17</v>
      </c>
      <c r="G455" s="9" t="s">
        <v>24</v>
      </c>
      <c r="H455" s="9" t="s">
        <v>25</v>
      </c>
      <c r="I455" s="9" t="s">
        <v>50</v>
      </c>
      <c r="J455" s="10"/>
      <c r="K455" s="7"/>
      <c r="L455" s="7"/>
      <c r="M455" s="7"/>
      <c r="N455" s="7"/>
      <c r="O455" s="7"/>
    </row>
    <row r="456" ht="22.5" hidden="1" customHeight="1">
      <c r="A456" s="8">
        <v>45629.3766938426</v>
      </c>
      <c r="B456" s="9"/>
      <c r="C456" s="9" t="s">
        <v>110</v>
      </c>
      <c r="D456" s="9" t="s">
        <v>54</v>
      </c>
      <c r="E456" s="9" t="s">
        <v>30</v>
      </c>
      <c r="F456" s="9" t="s">
        <v>18</v>
      </c>
      <c r="G456" s="9" t="s">
        <v>19</v>
      </c>
      <c r="H456" s="9" t="s">
        <v>17</v>
      </c>
      <c r="I456" s="9" t="s">
        <v>67</v>
      </c>
      <c r="J456" s="10"/>
      <c r="K456" s="7"/>
      <c r="L456" s="7"/>
      <c r="M456" s="7"/>
      <c r="N456" s="7"/>
      <c r="O456" s="7"/>
    </row>
    <row r="457" ht="22.5" hidden="1" customHeight="1">
      <c r="A457" s="8">
        <v>45629.377531770835</v>
      </c>
      <c r="B457" s="9"/>
      <c r="C457" s="9" t="s">
        <v>110</v>
      </c>
      <c r="D457" s="9" t="s">
        <v>241</v>
      </c>
      <c r="E457" s="9" t="s">
        <v>17</v>
      </c>
      <c r="F457" s="9" t="s">
        <v>17</v>
      </c>
      <c r="G457" s="9" t="s">
        <v>24</v>
      </c>
      <c r="H457" s="9" t="s">
        <v>22</v>
      </c>
      <c r="I457" s="9" t="s">
        <v>20</v>
      </c>
      <c r="J457" s="10"/>
      <c r="K457" s="7"/>
      <c r="L457" s="7"/>
      <c r="M457" s="7"/>
      <c r="N457" s="7"/>
      <c r="O457" s="7"/>
    </row>
    <row r="458" ht="22.5" hidden="1" customHeight="1">
      <c r="A458" s="8">
        <v>45629.37805961806</v>
      </c>
      <c r="B458" s="9"/>
      <c r="C458" s="9" t="s">
        <v>110</v>
      </c>
      <c r="D458" s="9" t="s">
        <v>213</v>
      </c>
      <c r="E458" s="9" t="s">
        <v>17</v>
      </c>
      <c r="F458" s="9" t="s">
        <v>39</v>
      </c>
      <c r="G458" s="9" t="s">
        <v>24</v>
      </c>
      <c r="H458" s="9" t="s">
        <v>25</v>
      </c>
      <c r="I458" s="9" t="s">
        <v>28</v>
      </c>
      <c r="J458" s="10"/>
      <c r="K458" s="7"/>
      <c r="L458" s="7"/>
      <c r="M458" s="7"/>
      <c r="N458" s="7"/>
      <c r="O458" s="7"/>
    </row>
    <row r="459" ht="22.5" hidden="1" customHeight="1">
      <c r="A459" s="8">
        <v>45629.37994398148</v>
      </c>
      <c r="B459" s="9"/>
      <c r="C459" s="9" t="s">
        <v>110</v>
      </c>
      <c r="D459" s="9" t="s">
        <v>23</v>
      </c>
      <c r="E459" s="9" t="s">
        <v>17</v>
      </c>
      <c r="F459" s="9" t="s">
        <v>17</v>
      </c>
      <c r="G459" s="9" t="s">
        <v>24</v>
      </c>
      <c r="H459" s="9" t="s">
        <v>22</v>
      </c>
      <c r="I459" s="9" t="s">
        <v>20</v>
      </c>
      <c r="J459" s="10"/>
      <c r="K459" s="7"/>
      <c r="L459" s="7"/>
      <c r="M459" s="7"/>
      <c r="N459" s="7"/>
      <c r="O459" s="7"/>
    </row>
    <row r="460" ht="22.5" hidden="1" customHeight="1">
      <c r="A460" s="8">
        <v>45629.38094113426</v>
      </c>
      <c r="B460" s="9"/>
      <c r="C460" s="9" t="s">
        <v>110</v>
      </c>
      <c r="D460" s="9" t="s">
        <v>235</v>
      </c>
      <c r="E460" s="9" t="s">
        <v>17</v>
      </c>
      <c r="F460" s="9" t="s">
        <v>17</v>
      </c>
      <c r="G460" s="9" t="s">
        <v>40</v>
      </c>
      <c r="H460" s="9" t="s">
        <v>17</v>
      </c>
      <c r="I460" s="9" t="s">
        <v>242</v>
      </c>
      <c r="J460" s="10"/>
      <c r="K460" s="7"/>
      <c r="L460" s="7"/>
      <c r="M460" s="7"/>
      <c r="N460" s="7"/>
      <c r="O460" s="7"/>
    </row>
    <row r="461" ht="22.5" hidden="1" customHeight="1">
      <c r="A461" s="8">
        <v>45629.38194128472</v>
      </c>
      <c r="B461" s="9"/>
      <c r="C461" s="9" t="s">
        <v>110</v>
      </c>
      <c r="D461" s="9" t="s">
        <v>243</v>
      </c>
      <c r="E461" s="9" t="s">
        <v>17</v>
      </c>
      <c r="F461" s="9" t="s">
        <v>17</v>
      </c>
      <c r="G461" s="9" t="s">
        <v>24</v>
      </c>
      <c r="H461" s="9" t="s">
        <v>17</v>
      </c>
      <c r="I461" s="9" t="s">
        <v>20</v>
      </c>
      <c r="J461" s="10"/>
      <c r="K461" s="7"/>
      <c r="L461" s="7"/>
      <c r="M461" s="7"/>
      <c r="N461" s="7"/>
      <c r="O461" s="7"/>
    </row>
    <row r="462" ht="22.5" hidden="1" customHeight="1">
      <c r="A462" s="8">
        <v>45629.38462761574</v>
      </c>
      <c r="B462" s="9"/>
      <c r="C462" s="9" t="s">
        <v>110</v>
      </c>
      <c r="D462" s="9" t="s">
        <v>244</v>
      </c>
      <c r="E462" s="9" t="s">
        <v>17</v>
      </c>
      <c r="F462" s="9" t="s">
        <v>43</v>
      </c>
      <c r="G462" s="9" t="s">
        <v>24</v>
      </c>
      <c r="H462" s="9" t="s">
        <v>17</v>
      </c>
      <c r="I462" s="9" t="s">
        <v>245</v>
      </c>
      <c r="J462" s="10"/>
      <c r="K462" s="7"/>
      <c r="L462" s="7"/>
      <c r="M462" s="7"/>
      <c r="N462" s="7"/>
      <c r="O462" s="7"/>
    </row>
    <row r="463" ht="22.5" hidden="1" customHeight="1">
      <c r="A463" s="8">
        <v>45629.385280104165</v>
      </c>
      <c r="B463" s="9"/>
      <c r="C463" s="9" t="s">
        <v>110</v>
      </c>
      <c r="D463" s="9" t="s">
        <v>246</v>
      </c>
      <c r="E463" s="9" t="s">
        <v>17</v>
      </c>
      <c r="F463" s="9" t="s">
        <v>18</v>
      </c>
      <c r="G463" s="9" t="s">
        <v>19</v>
      </c>
      <c r="H463" s="9" t="s">
        <v>22</v>
      </c>
      <c r="I463" s="9" t="s">
        <v>20</v>
      </c>
      <c r="J463" s="10"/>
      <c r="K463" s="7"/>
      <c r="L463" s="7"/>
      <c r="M463" s="7"/>
      <c r="N463" s="7"/>
      <c r="O463" s="7"/>
    </row>
    <row r="464" ht="22.5" hidden="1" customHeight="1">
      <c r="A464" s="8">
        <v>45629.38791252315</v>
      </c>
      <c r="B464" s="9"/>
      <c r="C464" s="9" t="s">
        <v>110</v>
      </c>
      <c r="D464" s="9" t="s">
        <v>68</v>
      </c>
      <c r="E464" s="9" t="s">
        <v>17</v>
      </c>
      <c r="F464" s="9" t="s">
        <v>17</v>
      </c>
      <c r="G464" s="9" t="s">
        <v>24</v>
      </c>
      <c r="H464" s="9" t="s">
        <v>25</v>
      </c>
      <c r="I464" s="9" t="s">
        <v>37</v>
      </c>
      <c r="J464" s="10"/>
      <c r="K464" s="7"/>
      <c r="L464" s="7"/>
      <c r="M464" s="7"/>
      <c r="N464" s="7"/>
      <c r="O464" s="7"/>
    </row>
    <row r="465" ht="22.5" hidden="1" customHeight="1">
      <c r="A465" s="8">
        <v>45629.38926917824</v>
      </c>
      <c r="B465" s="9"/>
      <c r="C465" s="9" t="s">
        <v>110</v>
      </c>
      <c r="D465" s="9" t="s">
        <v>51</v>
      </c>
      <c r="E465" s="9" t="s">
        <v>30</v>
      </c>
      <c r="F465" s="9" t="s">
        <v>43</v>
      </c>
      <c r="G465" s="9" t="s">
        <v>19</v>
      </c>
      <c r="H465" s="9" t="s">
        <v>22</v>
      </c>
      <c r="I465" s="9" t="s">
        <v>20</v>
      </c>
      <c r="J465" s="10"/>
      <c r="K465" s="7"/>
      <c r="L465" s="7"/>
      <c r="M465" s="7"/>
      <c r="N465" s="7"/>
      <c r="O465" s="7"/>
    </row>
    <row r="466" ht="22.5" hidden="1" customHeight="1">
      <c r="A466" s="8">
        <v>45629.3939881713</v>
      </c>
      <c r="B466" s="9"/>
      <c r="C466" s="9" t="s">
        <v>110</v>
      </c>
      <c r="D466" s="9" t="s">
        <v>206</v>
      </c>
      <c r="E466" s="9" t="s">
        <v>46</v>
      </c>
      <c r="F466" s="9" t="s">
        <v>17</v>
      </c>
      <c r="G466" s="9" t="s">
        <v>24</v>
      </c>
      <c r="H466" s="9" t="s">
        <v>25</v>
      </c>
      <c r="I466" s="9" t="s">
        <v>93</v>
      </c>
      <c r="J466" s="10"/>
      <c r="K466" s="7"/>
      <c r="L466" s="7"/>
      <c r="M466" s="7"/>
      <c r="N466" s="7"/>
      <c r="O466" s="7"/>
    </row>
    <row r="467" ht="22.5" hidden="1" customHeight="1">
      <c r="A467" s="8">
        <v>45629.396988368055</v>
      </c>
      <c r="B467" s="9"/>
      <c r="C467" s="9" t="s">
        <v>110</v>
      </c>
      <c r="D467" s="9" t="s">
        <v>49</v>
      </c>
      <c r="E467" s="9" t="s">
        <v>17</v>
      </c>
      <c r="F467" s="9" t="s">
        <v>17</v>
      </c>
      <c r="G467" s="9" t="s">
        <v>24</v>
      </c>
      <c r="H467" s="9" t="s">
        <v>17</v>
      </c>
      <c r="I467" s="9" t="s">
        <v>20</v>
      </c>
      <c r="J467" s="10"/>
      <c r="K467" s="7"/>
      <c r="L467" s="7"/>
      <c r="M467" s="7"/>
      <c r="N467" s="7"/>
      <c r="O467" s="7"/>
    </row>
    <row r="468" ht="22.5" hidden="1" customHeight="1">
      <c r="A468" s="8">
        <v>45629.39730304398</v>
      </c>
      <c r="B468" s="9"/>
      <c r="C468" s="9" t="s">
        <v>110</v>
      </c>
      <c r="D468" s="9" t="s">
        <v>212</v>
      </c>
      <c r="E468" s="9" t="s">
        <v>17</v>
      </c>
      <c r="F468" s="9" t="s">
        <v>17</v>
      </c>
      <c r="G468" s="9" t="s">
        <v>24</v>
      </c>
      <c r="H468" s="9" t="s">
        <v>22</v>
      </c>
      <c r="I468" s="9" t="s">
        <v>20</v>
      </c>
      <c r="J468" s="10"/>
      <c r="K468" s="7"/>
      <c r="L468" s="7"/>
      <c r="M468" s="7"/>
      <c r="N468" s="7"/>
      <c r="O468" s="7"/>
    </row>
    <row r="469" ht="22.5" hidden="1" customHeight="1">
      <c r="A469" s="8">
        <v>45629.39807409722</v>
      </c>
      <c r="B469" s="9"/>
      <c r="C469" s="9" t="s">
        <v>110</v>
      </c>
      <c r="D469" s="9" t="s">
        <v>42</v>
      </c>
      <c r="E469" s="9" t="s">
        <v>17</v>
      </c>
      <c r="F469" s="9" t="s">
        <v>43</v>
      </c>
      <c r="G469" s="9" t="s">
        <v>19</v>
      </c>
      <c r="H469" s="9" t="s">
        <v>17</v>
      </c>
      <c r="I469" s="9" t="s">
        <v>20</v>
      </c>
      <c r="J469" s="10"/>
      <c r="K469" s="7"/>
      <c r="L469" s="7"/>
      <c r="M469" s="7"/>
      <c r="N469" s="7"/>
      <c r="O469" s="7"/>
    </row>
    <row r="470" ht="22.5" hidden="1" customHeight="1">
      <c r="A470" s="8">
        <v>45629.403297048615</v>
      </c>
      <c r="B470" s="9"/>
      <c r="C470" s="9" t="s">
        <v>110</v>
      </c>
      <c r="D470" s="9" t="s">
        <v>247</v>
      </c>
      <c r="E470" s="9" t="s">
        <v>17</v>
      </c>
      <c r="F470" s="9" t="s">
        <v>17</v>
      </c>
      <c r="G470" s="9" t="s">
        <v>24</v>
      </c>
      <c r="H470" s="9" t="s">
        <v>25</v>
      </c>
      <c r="I470" s="9" t="s">
        <v>248</v>
      </c>
      <c r="J470" s="10"/>
      <c r="K470" s="7"/>
      <c r="L470" s="7"/>
      <c r="M470" s="7"/>
      <c r="N470" s="7"/>
      <c r="O470" s="7"/>
    </row>
    <row r="471" ht="22.5" hidden="1" customHeight="1">
      <c r="A471" s="8">
        <v>45629.413671574075</v>
      </c>
      <c r="B471" s="9"/>
      <c r="C471" s="9" t="s">
        <v>110</v>
      </c>
      <c r="D471" s="9" t="s">
        <v>109</v>
      </c>
      <c r="E471" s="9" t="s">
        <v>17</v>
      </c>
      <c r="F471" s="9" t="s">
        <v>43</v>
      </c>
      <c r="G471" s="9" t="s">
        <v>24</v>
      </c>
      <c r="H471" s="9" t="s">
        <v>22</v>
      </c>
      <c r="I471" s="9" t="s">
        <v>20</v>
      </c>
      <c r="J471" s="10"/>
      <c r="K471" s="7"/>
      <c r="L471" s="7"/>
      <c r="M471" s="7"/>
      <c r="N471" s="7"/>
      <c r="O471" s="7"/>
    </row>
    <row r="472" ht="22.5" hidden="1" customHeight="1">
      <c r="A472" s="8">
        <v>45629.43943755787</v>
      </c>
      <c r="B472" s="9"/>
      <c r="C472" s="9" t="s">
        <v>110</v>
      </c>
      <c r="D472" s="9" t="s">
        <v>249</v>
      </c>
      <c r="E472" s="9" t="s">
        <v>17</v>
      </c>
      <c r="F472" s="9" t="s">
        <v>17</v>
      </c>
      <c r="G472" s="9" t="s">
        <v>24</v>
      </c>
      <c r="H472" s="9" t="s">
        <v>22</v>
      </c>
      <c r="I472" s="9" t="s">
        <v>20</v>
      </c>
      <c r="J472" s="10"/>
      <c r="K472" s="7"/>
      <c r="L472" s="7"/>
      <c r="M472" s="7"/>
      <c r="N472" s="7"/>
      <c r="O472" s="7"/>
    </row>
    <row r="473" ht="22.5" hidden="1" customHeight="1">
      <c r="A473" s="8">
        <v>45629.44168512731</v>
      </c>
      <c r="B473" s="9"/>
      <c r="C473" s="9" t="s">
        <v>110</v>
      </c>
      <c r="D473" s="9" t="s">
        <v>250</v>
      </c>
      <c r="E473" s="9" t="s">
        <v>17</v>
      </c>
      <c r="F473" s="9" t="s">
        <v>17</v>
      </c>
      <c r="G473" s="9" t="s">
        <v>24</v>
      </c>
      <c r="H473" s="9" t="s">
        <v>17</v>
      </c>
      <c r="I473" s="9" t="s">
        <v>20</v>
      </c>
      <c r="J473" s="10"/>
      <c r="K473" s="7"/>
      <c r="L473" s="7"/>
      <c r="M473" s="7"/>
      <c r="N473" s="7"/>
      <c r="O473" s="7"/>
    </row>
    <row r="474" ht="22.5" hidden="1" customHeight="1">
      <c r="A474" s="8">
        <v>45629.442193333336</v>
      </c>
      <c r="B474" s="9"/>
      <c r="C474" s="9" t="s">
        <v>110</v>
      </c>
      <c r="D474" s="9" t="s">
        <v>108</v>
      </c>
      <c r="E474" s="9" t="s">
        <v>17</v>
      </c>
      <c r="F474" s="9" t="s">
        <v>17</v>
      </c>
      <c r="G474" s="9" t="s">
        <v>24</v>
      </c>
      <c r="H474" s="9" t="s">
        <v>22</v>
      </c>
      <c r="I474" s="9" t="s">
        <v>20</v>
      </c>
      <c r="J474" s="10"/>
      <c r="K474" s="7"/>
      <c r="L474" s="7"/>
      <c r="M474" s="7"/>
      <c r="N474" s="7"/>
      <c r="O474" s="7"/>
    </row>
    <row r="475" ht="22.5" hidden="1" customHeight="1">
      <c r="A475" s="8">
        <v>45632.40503324074</v>
      </c>
      <c r="B475" s="9"/>
      <c r="C475" s="9" t="s">
        <v>48</v>
      </c>
      <c r="D475" s="9" t="s">
        <v>129</v>
      </c>
      <c r="E475" s="9" t="s">
        <v>17</v>
      </c>
      <c r="F475" s="9" t="s">
        <v>17</v>
      </c>
      <c r="G475" s="9" t="s">
        <v>24</v>
      </c>
      <c r="H475" s="9" t="s">
        <v>17</v>
      </c>
      <c r="I475" s="9" t="s">
        <v>20</v>
      </c>
      <c r="J475" s="10"/>
      <c r="K475" s="7"/>
      <c r="L475" s="7"/>
      <c r="M475" s="7"/>
      <c r="N475" s="7"/>
      <c r="O475" s="7"/>
    </row>
    <row r="476" ht="22.5" hidden="1" customHeight="1">
      <c r="A476" s="8">
        <v>45632.414169525466</v>
      </c>
      <c r="B476" s="9"/>
      <c r="C476" s="9" t="s">
        <v>48</v>
      </c>
      <c r="D476" s="9" t="s">
        <v>49</v>
      </c>
      <c r="E476" s="9" t="s">
        <v>17</v>
      </c>
      <c r="F476" s="9" t="s">
        <v>17</v>
      </c>
      <c r="G476" s="9" t="s">
        <v>24</v>
      </c>
      <c r="H476" s="9" t="s">
        <v>17</v>
      </c>
      <c r="I476" s="9" t="s">
        <v>20</v>
      </c>
      <c r="J476" s="10"/>
      <c r="K476" s="7"/>
      <c r="L476" s="7"/>
      <c r="M476" s="7"/>
      <c r="N476" s="7"/>
      <c r="O476" s="7"/>
    </row>
    <row r="477" ht="22.5" hidden="1" customHeight="1">
      <c r="A477" s="8">
        <v>45632.46208601852</v>
      </c>
      <c r="B477" s="9"/>
      <c r="C477" s="9" t="s">
        <v>48</v>
      </c>
      <c r="D477" s="9" t="s">
        <v>251</v>
      </c>
      <c r="E477" s="9" t="s">
        <v>61</v>
      </c>
      <c r="F477" s="9" t="s">
        <v>17</v>
      </c>
      <c r="G477" s="9" t="s">
        <v>24</v>
      </c>
      <c r="H477" s="9" t="s">
        <v>17</v>
      </c>
      <c r="I477" s="9" t="s">
        <v>252</v>
      </c>
      <c r="J477" s="10"/>
      <c r="K477" s="7"/>
      <c r="L477" s="7"/>
      <c r="M477" s="7"/>
      <c r="N477" s="7"/>
      <c r="O477" s="7"/>
    </row>
    <row r="478" ht="22.5" hidden="1" customHeight="1">
      <c r="A478" s="8">
        <v>45632.46253449074</v>
      </c>
      <c r="B478" s="9"/>
      <c r="C478" s="9" t="s">
        <v>48</v>
      </c>
      <c r="D478" s="9" t="s">
        <v>253</v>
      </c>
      <c r="E478" s="9" t="s">
        <v>17</v>
      </c>
      <c r="F478" s="9" t="s">
        <v>17</v>
      </c>
      <c r="G478" s="9" t="s">
        <v>24</v>
      </c>
      <c r="H478" s="9" t="s">
        <v>22</v>
      </c>
      <c r="I478" s="9" t="s">
        <v>20</v>
      </c>
      <c r="J478" s="10"/>
      <c r="K478" s="7"/>
      <c r="L478" s="7"/>
      <c r="M478" s="7"/>
      <c r="N478" s="7"/>
      <c r="O478" s="7"/>
    </row>
    <row r="479" ht="22.5" hidden="1" customHeight="1">
      <c r="A479" s="8">
        <v>45632.463540324075</v>
      </c>
      <c r="B479" s="9"/>
      <c r="C479" s="9" t="s">
        <v>48</v>
      </c>
      <c r="D479" s="9" t="s">
        <v>194</v>
      </c>
      <c r="E479" s="9" t="s">
        <v>17</v>
      </c>
      <c r="F479" s="9" t="s">
        <v>17</v>
      </c>
      <c r="G479" s="9" t="s">
        <v>24</v>
      </c>
      <c r="H479" s="9" t="s">
        <v>25</v>
      </c>
      <c r="I479" s="9" t="s">
        <v>173</v>
      </c>
      <c r="J479" s="10"/>
      <c r="K479" s="7"/>
      <c r="L479" s="7"/>
      <c r="M479" s="7"/>
      <c r="N479" s="7"/>
      <c r="O479" s="7"/>
    </row>
    <row r="480" ht="22.5" hidden="1" customHeight="1">
      <c r="A480" s="8">
        <v>45632.46430114583</v>
      </c>
      <c r="B480" s="9"/>
      <c r="C480" s="9" t="s">
        <v>48</v>
      </c>
      <c r="D480" s="9" t="s">
        <v>133</v>
      </c>
      <c r="E480" s="9" t="s">
        <v>61</v>
      </c>
      <c r="F480" s="9" t="s">
        <v>77</v>
      </c>
      <c r="G480" s="9" t="s">
        <v>40</v>
      </c>
      <c r="H480" s="9" t="s">
        <v>25</v>
      </c>
      <c r="I480" s="9" t="s">
        <v>79</v>
      </c>
      <c r="J480" s="10"/>
      <c r="K480" s="7"/>
      <c r="L480" s="7"/>
      <c r="M480" s="7"/>
      <c r="N480" s="7"/>
      <c r="O480" s="7"/>
    </row>
    <row r="481" ht="22.5" hidden="1" customHeight="1">
      <c r="A481" s="8">
        <v>45632.464644340274</v>
      </c>
      <c r="B481" s="9"/>
      <c r="C481" s="9" t="s">
        <v>48</v>
      </c>
      <c r="D481" s="9" t="s">
        <v>51</v>
      </c>
      <c r="E481" s="9" t="s">
        <v>17</v>
      </c>
      <c r="F481" s="9" t="s">
        <v>17</v>
      </c>
      <c r="G481" s="9" t="s">
        <v>24</v>
      </c>
      <c r="H481" s="9" t="s">
        <v>17</v>
      </c>
      <c r="I481" s="9" t="s">
        <v>20</v>
      </c>
      <c r="J481" s="10"/>
      <c r="K481" s="7"/>
      <c r="L481" s="7"/>
      <c r="M481" s="7"/>
      <c r="N481" s="7"/>
      <c r="O481" s="7"/>
    </row>
    <row r="482" ht="22.5" hidden="1" customHeight="1">
      <c r="A482" s="8">
        <v>45632.46499768519</v>
      </c>
      <c r="B482" s="9"/>
      <c r="C482" s="9" t="s">
        <v>48</v>
      </c>
      <c r="D482" s="9" t="s">
        <v>254</v>
      </c>
      <c r="E482" s="9" t="s">
        <v>17</v>
      </c>
      <c r="F482" s="9" t="s">
        <v>17</v>
      </c>
      <c r="G482" s="9" t="s">
        <v>24</v>
      </c>
      <c r="H482" s="9" t="s">
        <v>22</v>
      </c>
      <c r="I482" s="9" t="s">
        <v>20</v>
      </c>
      <c r="J482" s="10"/>
      <c r="K482" s="7"/>
      <c r="L482" s="7"/>
      <c r="M482" s="7"/>
      <c r="N482" s="7"/>
      <c r="O482" s="7"/>
    </row>
    <row r="483" ht="22.5" hidden="1" customHeight="1">
      <c r="A483" s="8">
        <v>45632.465529803245</v>
      </c>
      <c r="B483" s="9"/>
      <c r="C483" s="9" t="s">
        <v>48</v>
      </c>
      <c r="D483" s="9" t="s">
        <v>255</v>
      </c>
      <c r="E483" s="9" t="s">
        <v>17</v>
      </c>
      <c r="F483" s="9" t="s">
        <v>17</v>
      </c>
      <c r="G483" s="9" t="s">
        <v>24</v>
      </c>
      <c r="H483" s="9" t="s">
        <v>22</v>
      </c>
      <c r="I483" s="9" t="s">
        <v>20</v>
      </c>
      <c r="J483" s="10"/>
      <c r="K483" s="7"/>
      <c r="L483" s="7"/>
      <c r="M483" s="7"/>
      <c r="N483" s="7"/>
      <c r="O483" s="7"/>
    </row>
    <row r="484" ht="22.5" hidden="1" customHeight="1">
      <c r="A484" s="8">
        <v>45632.46613071759</v>
      </c>
      <c r="B484" s="9"/>
      <c r="C484" s="9" t="s">
        <v>48</v>
      </c>
      <c r="D484" s="9" t="s">
        <v>230</v>
      </c>
      <c r="E484" s="9" t="s">
        <v>17</v>
      </c>
      <c r="F484" s="9" t="s">
        <v>17</v>
      </c>
      <c r="G484" s="9" t="s">
        <v>40</v>
      </c>
      <c r="H484" s="9" t="s">
        <v>22</v>
      </c>
      <c r="I484" s="9" t="s">
        <v>20</v>
      </c>
      <c r="J484" s="10"/>
      <c r="K484" s="7"/>
      <c r="L484" s="7"/>
      <c r="M484" s="7"/>
      <c r="N484" s="7"/>
      <c r="O484" s="7"/>
    </row>
    <row r="485" ht="22.5" hidden="1" customHeight="1">
      <c r="A485" s="8">
        <v>45632.46660796297</v>
      </c>
      <c r="B485" s="9"/>
      <c r="C485" s="9" t="s">
        <v>48</v>
      </c>
      <c r="D485" s="9" t="s">
        <v>108</v>
      </c>
      <c r="E485" s="9" t="s">
        <v>17</v>
      </c>
      <c r="F485" s="9" t="s">
        <v>17</v>
      </c>
      <c r="G485" s="9" t="s">
        <v>40</v>
      </c>
      <c r="H485" s="9" t="s">
        <v>17</v>
      </c>
      <c r="I485" s="9" t="s">
        <v>20</v>
      </c>
      <c r="J485" s="10"/>
      <c r="K485" s="7"/>
      <c r="L485" s="7"/>
      <c r="M485" s="7"/>
      <c r="N485" s="7"/>
      <c r="O485" s="7"/>
    </row>
    <row r="486" ht="22.5" hidden="1" customHeight="1">
      <c r="A486" s="8">
        <v>45632.46709305556</v>
      </c>
      <c r="B486" s="9"/>
      <c r="C486" s="9" t="s">
        <v>48</v>
      </c>
      <c r="D486" s="9" t="s">
        <v>155</v>
      </c>
      <c r="E486" s="9" t="s">
        <v>17</v>
      </c>
      <c r="F486" s="9" t="s">
        <v>17</v>
      </c>
      <c r="G486" s="9" t="s">
        <v>24</v>
      </c>
      <c r="H486" s="9" t="s">
        <v>17</v>
      </c>
      <c r="I486" s="9" t="s">
        <v>20</v>
      </c>
      <c r="J486" s="10"/>
      <c r="K486" s="7"/>
      <c r="L486" s="7"/>
      <c r="M486" s="7"/>
      <c r="N486" s="7"/>
      <c r="O486" s="7"/>
    </row>
    <row r="487" ht="22.5" hidden="1" customHeight="1">
      <c r="A487" s="8">
        <v>45632.46857200231</v>
      </c>
      <c r="B487" s="9"/>
      <c r="C487" s="9" t="s">
        <v>48</v>
      </c>
      <c r="D487" s="9" t="s">
        <v>256</v>
      </c>
      <c r="E487" s="9" t="s">
        <v>140</v>
      </c>
      <c r="F487" s="9" t="s">
        <v>17</v>
      </c>
      <c r="G487" s="9" t="s">
        <v>24</v>
      </c>
      <c r="H487" s="9" t="s">
        <v>17</v>
      </c>
      <c r="I487" s="9" t="s">
        <v>20</v>
      </c>
      <c r="J487" s="10"/>
      <c r="K487" s="7"/>
      <c r="L487" s="7"/>
      <c r="M487" s="7"/>
      <c r="N487" s="7"/>
      <c r="O487" s="7"/>
    </row>
    <row r="488" ht="22.5" hidden="1" customHeight="1">
      <c r="A488" s="8">
        <v>45632.50041685185</v>
      </c>
      <c r="B488" s="9"/>
      <c r="C488" s="9" t="s">
        <v>48</v>
      </c>
      <c r="D488" s="9" t="s">
        <v>227</v>
      </c>
      <c r="E488" s="9" t="s">
        <v>17</v>
      </c>
      <c r="F488" s="9" t="s">
        <v>17</v>
      </c>
      <c r="G488" s="9" t="s">
        <v>24</v>
      </c>
      <c r="H488" s="9" t="s">
        <v>17</v>
      </c>
      <c r="I488" s="9" t="s">
        <v>20</v>
      </c>
      <c r="J488" s="10"/>
      <c r="K488" s="7"/>
      <c r="L488" s="7"/>
      <c r="M488" s="7"/>
      <c r="N488" s="7"/>
      <c r="O488" s="7"/>
    </row>
    <row r="489" ht="22.5" hidden="1" customHeight="1">
      <c r="A489" s="8">
        <v>45632.50088959491</v>
      </c>
      <c r="B489" s="9"/>
      <c r="C489" s="9" t="s">
        <v>48</v>
      </c>
      <c r="D489" s="9" t="s">
        <v>68</v>
      </c>
      <c r="E489" s="9" t="s">
        <v>17</v>
      </c>
      <c r="F489" s="9" t="s">
        <v>17</v>
      </c>
      <c r="G489" s="9" t="s">
        <v>24</v>
      </c>
      <c r="H489" s="9" t="s">
        <v>25</v>
      </c>
      <c r="I489" s="9" t="s">
        <v>37</v>
      </c>
      <c r="J489" s="10"/>
      <c r="K489" s="7"/>
      <c r="L489" s="7"/>
      <c r="M489" s="7"/>
      <c r="N489" s="7"/>
      <c r="O489" s="7"/>
    </row>
    <row r="490" ht="22.5" hidden="1" customHeight="1">
      <c r="A490" s="8">
        <v>45632.50142996528</v>
      </c>
      <c r="B490" s="9"/>
      <c r="C490" s="9" t="s">
        <v>48</v>
      </c>
      <c r="D490" s="9" t="s">
        <v>127</v>
      </c>
      <c r="E490" s="9" t="s">
        <v>17</v>
      </c>
      <c r="F490" s="9" t="s">
        <v>17</v>
      </c>
      <c r="G490" s="9" t="s">
        <v>24</v>
      </c>
      <c r="H490" s="9" t="s">
        <v>22</v>
      </c>
      <c r="I490" s="9" t="s">
        <v>20</v>
      </c>
      <c r="J490" s="10"/>
      <c r="K490" s="7"/>
      <c r="L490" s="7"/>
      <c r="M490" s="7"/>
      <c r="N490" s="7"/>
      <c r="O490" s="7"/>
    </row>
    <row r="491" ht="22.5" hidden="1" customHeight="1">
      <c r="A491" s="8">
        <v>45633.64816657407</v>
      </c>
      <c r="B491" s="9"/>
      <c r="C491" s="9" t="s">
        <v>53</v>
      </c>
      <c r="D491" s="9" t="s">
        <v>257</v>
      </c>
      <c r="E491" s="9" t="s">
        <v>17</v>
      </c>
      <c r="F491" s="9" t="s">
        <v>17</v>
      </c>
      <c r="G491" s="9" t="s">
        <v>19</v>
      </c>
      <c r="H491" s="9" t="s">
        <v>22</v>
      </c>
      <c r="I491" s="9" t="s">
        <v>20</v>
      </c>
      <c r="J491" s="10"/>
      <c r="K491" s="7"/>
      <c r="L491" s="7"/>
      <c r="M491" s="7"/>
      <c r="N491" s="7"/>
      <c r="O491" s="7"/>
    </row>
    <row r="492" ht="22.5" hidden="1" customHeight="1">
      <c r="A492" s="8">
        <v>45633.64881028935</v>
      </c>
      <c r="B492" s="9"/>
      <c r="C492" s="9" t="s">
        <v>53</v>
      </c>
      <c r="D492" s="9" t="s">
        <v>213</v>
      </c>
      <c r="E492" s="9" t="s">
        <v>17</v>
      </c>
      <c r="F492" s="9" t="s">
        <v>17</v>
      </c>
      <c r="G492" s="9" t="s">
        <v>19</v>
      </c>
      <c r="H492" s="9" t="s">
        <v>17</v>
      </c>
      <c r="I492" s="9" t="s">
        <v>20</v>
      </c>
      <c r="J492" s="10"/>
      <c r="K492" s="7"/>
      <c r="L492" s="7"/>
      <c r="M492" s="7"/>
      <c r="N492" s="7"/>
      <c r="O492" s="7"/>
    </row>
    <row r="493" ht="22.5" hidden="1" customHeight="1">
      <c r="A493" s="8">
        <v>45633.65963899306</v>
      </c>
      <c r="B493" s="9"/>
      <c r="C493" s="9" t="s">
        <v>53</v>
      </c>
      <c r="D493" s="9" t="s">
        <v>258</v>
      </c>
      <c r="E493" s="9" t="s">
        <v>17</v>
      </c>
      <c r="F493" s="9" t="s">
        <v>17</v>
      </c>
      <c r="G493" s="9" t="s">
        <v>24</v>
      </c>
      <c r="H493" s="9" t="s">
        <v>17</v>
      </c>
      <c r="I493" s="9" t="s">
        <v>20</v>
      </c>
      <c r="J493" s="10"/>
      <c r="K493" s="7"/>
      <c r="L493" s="7"/>
      <c r="M493" s="7"/>
      <c r="N493" s="7"/>
      <c r="O493" s="7"/>
    </row>
    <row r="494" ht="22.5" hidden="1" customHeight="1">
      <c r="A494" s="8">
        <v>45633.66178710648</v>
      </c>
      <c r="B494" s="9"/>
      <c r="C494" s="9" t="s">
        <v>53</v>
      </c>
      <c r="D494" s="9" t="s">
        <v>68</v>
      </c>
      <c r="E494" s="9" t="s">
        <v>17</v>
      </c>
      <c r="F494" s="9" t="s">
        <v>17</v>
      </c>
      <c r="G494" s="9" t="s">
        <v>24</v>
      </c>
      <c r="H494" s="9" t="s">
        <v>17</v>
      </c>
      <c r="I494" s="9" t="s">
        <v>20</v>
      </c>
      <c r="J494" s="10"/>
      <c r="K494" s="7"/>
      <c r="L494" s="7"/>
      <c r="M494" s="7"/>
      <c r="N494" s="7"/>
      <c r="O494" s="7"/>
    </row>
    <row r="495" ht="22.5" hidden="1" customHeight="1">
      <c r="A495" s="8">
        <v>45633.6621775463</v>
      </c>
      <c r="B495" s="9"/>
      <c r="C495" s="9" t="s">
        <v>53</v>
      </c>
      <c r="D495" s="9" t="s">
        <v>206</v>
      </c>
      <c r="E495" s="9" t="s">
        <v>17</v>
      </c>
      <c r="F495" s="9" t="s">
        <v>17</v>
      </c>
      <c r="G495" s="9" t="s">
        <v>24</v>
      </c>
      <c r="H495" s="9" t="s">
        <v>17</v>
      </c>
      <c r="I495" s="9" t="s">
        <v>20</v>
      </c>
      <c r="J495" s="10"/>
      <c r="K495" s="7"/>
      <c r="L495" s="7"/>
      <c r="M495" s="7"/>
      <c r="N495" s="7"/>
      <c r="O495" s="7"/>
    </row>
    <row r="496" ht="22.5" hidden="1" customHeight="1">
      <c r="A496" s="8">
        <v>45633.66668703704</v>
      </c>
      <c r="B496" s="9"/>
      <c r="C496" s="9" t="s">
        <v>53</v>
      </c>
      <c r="D496" s="9" t="s">
        <v>230</v>
      </c>
      <c r="E496" s="9" t="s">
        <v>17</v>
      </c>
      <c r="F496" s="9" t="s">
        <v>17</v>
      </c>
      <c r="G496" s="9" t="s">
        <v>24</v>
      </c>
      <c r="H496" s="9" t="s">
        <v>17</v>
      </c>
      <c r="I496" s="9" t="s">
        <v>20</v>
      </c>
      <c r="J496" s="10"/>
      <c r="K496" s="7"/>
      <c r="L496" s="7"/>
      <c r="M496" s="7"/>
      <c r="N496" s="7"/>
      <c r="O496" s="7"/>
    </row>
    <row r="497" ht="22.5" hidden="1" customHeight="1">
      <c r="A497" s="8">
        <v>45633.667787708335</v>
      </c>
      <c r="B497" s="9"/>
      <c r="C497" s="9" t="s">
        <v>53</v>
      </c>
      <c r="D497" s="9" t="s">
        <v>231</v>
      </c>
      <c r="E497" s="9" t="s">
        <v>17</v>
      </c>
      <c r="F497" s="9" t="s">
        <v>17</v>
      </c>
      <c r="G497" s="9" t="s">
        <v>24</v>
      </c>
      <c r="H497" s="9" t="s">
        <v>17</v>
      </c>
      <c r="I497" s="9" t="s">
        <v>20</v>
      </c>
      <c r="J497" s="10"/>
      <c r="K497" s="7"/>
      <c r="L497" s="7"/>
      <c r="M497" s="7"/>
      <c r="N497" s="7"/>
      <c r="O497" s="7"/>
    </row>
    <row r="498" ht="22.5" hidden="1" customHeight="1">
      <c r="A498" s="8">
        <v>45633.66873872685</v>
      </c>
      <c r="B498" s="9"/>
      <c r="C498" s="9" t="s">
        <v>53</v>
      </c>
      <c r="D498" s="9" t="s">
        <v>102</v>
      </c>
      <c r="E498" s="9" t="s">
        <v>17</v>
      </c>
      <c r="F498" s="9" t="s">
        <v>17</v>
      </c>
      <c r="G498" s="9" t="s">
        <v>24</v>
      </c>
      <c r="H498" s="9" t="s">
        <v>25</v>
      </c>
      <c r="I498" s="9" t="s">
        <v>137</v>
      </c>
      <c r="J498" s="10"/>
      <c r="K498" s="7"/>
      <c r="L498" s="7"/>
      <c r="M498" s="7"/>
      <c r="N498" s="7"/>
      <c r="O498" s="7"/>
    </row>
    <row r="499" ht="22.5" hidden="1" customHeight="1">
      <c r="A499" s="8">
        <v>45633.66989290509</v>
      </c>
      <c r="B499" s="9"/>
      <c r="C499" s="9" t="s">
        <v>53</v>
      </c>
      <c r="D499" s="9" t="s">
        <v>127</v>
      </c>
      <c r="E499" s="9" t="s">
        <v>17</v>
      </c>
      <c r="F499" s="9" t="s">
        <v>17</v>
      </c>
      <c r="G499" s="9" t="s">
        <v>19</v>
      </c>
      <c r="H499" s="9" t="s">
        <v>17</v>
      </c>
      <c r="I499" s="9" t="s">
        <v>20</v>
      </c>
      <c r="J499" s="10"/>
      <c r="K499" s="7"/>
      <c r="L499" s="7"/>
      <c r="M499" s="7"/>
      <c r="N499" s="7"/>
      <c r="O499" s="7"/>
    </row>
    <row r="500" ht="22.5" hidden="1" customHeight="1">
      <c r="A500" s="8">
        <v>45633.67598797454</v>
      </c>
      <c r="B500" s="9"/>
      <c r="C500" s="9" t="s">
        <v>53</v>
      </c>
      <c r="D500" s="9" t="s">
        <v>259</v>
      </c>
      <c r="E500" s="9" t="s">
        <v>30</v>
      </c>
      <c r="F500" s="9" t="s">
        <v>18</v>
      </c>
      <c r="G500" s="9" t="s">
        <v>19</v>
      </c>
      <c r="H500" s="9" t="s">
        <v>17</v>
      </c>
      <c r="I500" s="9" t="s">
        <v>20</v>
      </c>
      <c r="J500" s="10"/>
      <c r="K500" s="7"/>
      <c r="L500" s="7"/>
      <c r="M500" s="7"/>
      <c r="N500" s="7"/>
      <c r="O500" s="7"/>
    </row>
    <row r="501" ht="22.5" hidden="1" customHeight="1">
      <c r="A501" s="8">
        <v>45633.678371331014</v>
      </c>
      <c r="B501" s="9"/>
      <c r="C501" s="9" t="s">
        <v>53</v>
      </c>
      <c r="D501" s="9" t="s">
        <v>260</v>
      </c>
      <c r="E501" s="9" t="s">
        <v>17</v>
      </c>
      <c r="F501" s="9" t="s">
        <v>17</v>
      </c>
      <c r="G501" s="9" t="s">
        <v>24</v>
      </c>
      <c r="H501" s="9" t="s">
        <v>17</v>
      </c>
      <c r="I501" s="9" t="s">
        <v>20</v>
      </c>
      <c r="J501" s="10"/>
      <c r="K501" s="7"/>
      <c r="L501" s="7"/>
      <c r="M501" s="7"/>
      <c r="N501" s="7"/>
      <c r="O501" s="7"/>
    </row>
    <row r="502" ht="22.5" hidden="1" customHeight="1">
      <c r="A502" s="8">
        <v>45633.67884681713</v>
      </c>
      <c r="B502" s="9"/>
      <c r="C502" s="9" t="s">
        <v>53</v>
      </c>
      <c r="D502" s="9" t="s">
        <v>132</v>
      </c>
      <c r="E502" s="9" t="s">
        <v>17</v>
      </c>
      <c r="F502" s="9" t="s">
        <v>17</v>
      </c>
      <c r="G502" s="9" t="s">
        <v>24</v>
      </c>
      <c r="H502" s="9" t="s">
        <v>17</v>
      </c>
      <c r="I502" s="9" t="s">
        <v>20</v>
      </c>
      <c r="J502" s="10"/>
      <c r="K502" s="7"/>
      <c r="L502" s="7"/>
      <c r="M502" s="7"/>
      <c r="N502" s="7"/>
      <c r="O502" s="7"/>
    </row>
    <row r="503" ht="22.5" hidden="1" customHeight="1">
      <c r="A503" s="8">
        <v>45633.68027315973</v>
      </c>
      <c r="B503" s="9"/>
      <c r="C503" s="9" t="s">
        <v>53</v>
      </c>
      <c r="D503" s="9" t="s">
        <v>241</v>
      </c>
      <c r="E503" s="9" t="s">
        <v>17</v>
      </c>
      <c r="F503" s="9" t="s">
        <v>17</v>
      </c>
      <c r="G503" s="9" t="s">
        <v>24</v>
      </c>
      <c r="H503" s="9" t="s">
        <v>17</v>
      </c>
      <c r="I503" s="9" t="s">
        <v>20</v>
      </c>
      <c r="J503" s="10"/>
      <c r="K503" s="7"/>
      <c r="L503" s="7"/>
      <c r="M503" s="7"/>
      <c r="N503" s="7"/>
      <c r="O503" s="7"/>
    </row>
    <row r="504" ht="22.5" hidden="1" customHeight="1">
      <c r="A504" s="8">
        <v>45633.682691215276</v>
      </c>
      <c r="B504" s="9"/>
      <c r="C504" s="9" t="s">
        <v>53</v>
      </c>
      <c r="D504" s="9" t="s">
        <v>107</v>
      </c>
      <c r="E504" s="9" t="s">
        <v>17</v>
      </c>
      <c r="F504" s="9" t="s">
        <v>17</v>
      </c>
      <c r="G504" s="9" t="s">
        <v>24</v>
      </c>
      <c r="H504" s="9" t="s">
        <v>17</v>
      </c>
      <c r="I504" s="9" t="s">
        <v>20</v>
      </c>
      <c r="J504" s="10"/>
      <c r="K504" s="7"/>
      <c r="L504" s="7"/>
      <c r="M504" s="7"/>
      <c r="N504" s="7"/>
      <c r="O504" s="7"/>
    </row>
    <row r="505" ht="22.5" hidden="1" customHeight="1">
      <c r="A505" s="8">
        <v>45633.68634702546</v>
      </c>
      <c r="B505" s="9"/>
      <c r="C505" s="9" t="s">
        <v>53</v>
      </c>
      <c r="D505" s="9" t="s">
        <v>108</v>
      </c>
      <c r="E505" s="9" t="s">
        <v>17</v>
      </c>
      <c r="F505" s="9" t="s">
        <v>17</v>
      </c>
      <c r="G505" s="9" t="s">
        <v>19</v>
      </c>
      <c r="H505" s="9" t="s">
        <v>22</v>
      </c>
      <c r="I505" s="9" t="s">
        <v>20</v>
      </c>
      <c r="J505" s="10"/>
      <c r="K505" s="7"/>
      <c r="L505" s="7"/>
      <c r="M505" s="7"/>
      <c r="N505" s="7"/>
      <c r="O505" s="7"/>
    </row>
    <row r="506" ht="22.5" hidden="1" customHeight="1">
      <c r="A506" s="8">
        <v>45633.69574174768</v>
      </c>
      <c r="B506" s="9"/>
      <c r="C506" s="9" t="s">
        <v>53</v>
      </c>
      <c r="D506" s="9" t="s">
        <v>243</v>
      </c>
      <c r="E506" s="9" t="s">
        <v>17</v>
      </c>
      <c r="F506" s="9" t="s">
        <v>17</v>
      </c>
      <c r="G506" s="9" t="s">
        <v>24</v>
      </c>
      <c r="H506" s="9" t="s">
        <v>17</v>
      </c>
      <c r="I506" s="9" t="s">
        <v>20</v>
      </c>
      <c r="J506" s="10"/>
      <c r="K506" s="7"/>
      <c r="L506" s="7"/>
      <c r="M506" s="7"/>
      <c r="N506" s="7"/>
      <c r="O506" s="7"/>
    </row>
    <row r="507" ht="22.5" hidden="1" customHeight="1">
      <c r="A507" s="8">
        <v>45633.69675447917</v>
      </c>
      <c r="B507" s="9"/>
      <c r="C507" s="9" t="s">
        <v>53</v>
      </c>
      <c r="D507" s="9" t="s">
        <v>109</v>
      </c>
      <c r="E507" s="9" t="s">
        <v>17</v>
      </c>
      <c r="F507" s="9" t="s">
        <v>17</v>
      </c>
      <c r="G507" s="9" t="s">
        <v>24</v>
      </c>
      <c r="H507" s="9" t="s">
        <v>17</v>
      </c>
      <c r="I507" s="9" t="s">
        <v>20</v>
      </c>
      <c r="J507" s="10"/>
      <c r="K507" s="7"/>
      <c r="L507" s="7"/>
      <c r="M507" s="7"/>
      <c r="N507" s="7"/>
      <c r="O507" s="7"/>
    </row>
    <row r="508" ht="22.5" hidden="1" customHeight="1">
      <c r="A508" s="8">
        <v>45633.708597696765</v>
      </c>
      <c r="B508" s="9"/>
      <c r="C508" s="9" t="s">
        <v>53</v>
      </c>
      <c r="D508" s="9" t="s">
        <v>261</v>
      </c>
      <c r="E508" s="9" t="s">
        <v>17</v>
      </c>
      <c r="F508" s="9" t="s">
        <v>17</v>
      </c>
      <c r="G508" s="9" t="s">
        <v>24</v>
      </c>
      <c r="H508" s="9" t="s">
        <v>17</v>
      </c>
      <c r="I508" s="9" t="s">
        <v>20</v>
      </c>
      <c r="J508" s="10"/>
      <c r="K508" s="7"/>
      <c r="L508" s="7"/>
      <c r="M508" s="7"/>
      <c r="N508" s="7"/>
      <c r="O508" s="7"/>
    </row>
    <row r="509" ht="22.5" hidden="1" customHeight="1">
      <c r="A509" s="8">
        <v>45633.70931835649</v>
      </c>
      <c r="B509" s="9"/>
      <c r="C509" s="9" t="s">
        <v>53</v>
      </c>
      <c r="D509" s="9" t="s">
        <v>250</v>
      </c>
      <c r="E509" s="9" t="s">
        <v>17</v>
      </c>
      <c r="F509" s="9" t="s">
        <v>17</v>
      </c>
      <c r="G509" s="9" t="s">
        <v>24</v>
      </c>
      <c r="H509" s="9" t="s">
        <v>17</v>
      </c>
      <c r="I509" s="9" t="s">
        <v>20</v>
      </c>
      <c r="J509" s="10"/>
      <c r="K509" s="7"/>
      <c r="L509" s="7"/>
      <c r="M509" s="7"/>
      <c r="N509" s="7"/>
      <c r="O509" s="7"/>
    </row>
    <row r="510" ht="22.5" hidden="1" customHeight="1">
      <c r="A510" s="8">
        <v>45636.51152758102</v>
      </c>
      <c r="B510" s="9"/>
      <c r="C510" s="9" t="s">
        <v>110</v>
      </c>
      <c r="D510" s="9" t="s">
        <v>54</v>
      </c>
      <c r="E510" s="9" t="s">
        <v>17</v>
      </c>
      <c r="F510" s="9" t="s">
        <v>17</v>
      </c>
      <c r="G510" s="9" t="s">
        <v>19</v>
      </c>
      <c r="H510" s="9" t="s">
        <v>25</v>
      </c>
      <c r="I510" s="9" t="s">
        <v>28</v>
      </c>
      <c r="J510" s="10"/>
      <c r="K510" s="7"/>
      <c r="L510" s="7"/>
      <c r="M510" s="7"/>
      <c r="N510" s="7"/>
      <c r="O510" s="7"/>
    </row>
    <row r="511" ht="22.5" hidden="1" customHeight="1">
      <c r="A511" s="8">
        <v>45637.38986234953</v>
      </c>
      <c r="B511" s="9"/>
      <c r="C511" s="9" t="s">
        <v>15</v>
      </c>
      <c r="D511" s="9" t="s">
        <v>227</v>
      </c>
      <c r="E511" s="9" t="s">
        <v>17</v>
      </c>
      <c r="F511" s="9" t="s">
        <v>17</v>
      </c>
      <c r="G511" s="9" t="s">
        <v>24</v>
      </c>
      <c r="H511" s="9" t="s">
        <v>25</v>
      </c>
      <c r="I511" s="9" t="s">
        <v>173</v>
      </c>
      <c r="J511" s="10"/>
      <c r="K511" s="7"/>
      <c r="L511" s="7"/>
      <c r="M511" s="7"/>
      <c r="N511" s="7"/>
      <c r="O511" s="7"/>
    </row>
    <row r="512" ht="22.5" hidden="1" customHeight="1">
      <c r="A512" s="8">
        <v>45637.39962946759</v>
      </c>
      <c r="B512" s="9"/>
      <c r="C512" s="9" t="s">
        <v>15</v>
      </c>
      <c r="D512" s="9" t="s">
        <v>127</v>
      </c>
      <c r="E512" s="9" t="s">
        <v>17</v>
      </c>
      <c r="F512" s="9" t="s">
        <v>17</v>
      </c>
      <c r="G512" s="9" t="s">
        <v>24</v>
      </c>
      <c r="H512" s="9" t="s">
        <v>22</v>
      </c>
      <c r="I512" s="9" t="s">
        <v>20</v>
      </c>
      <c r="J512" s="10"/>
      <c r="K512" s="7"/>
      <c r="L512" s="7"/>
      <c r="M512" s="7"/>
      <c r="N512" s="7"/>
      <c r="O512" s="7"/>
    </row>
    <row r="513" ht="22.5" hidden="1" customHeight="1">
      <c r="A513" s="8">
        <v>45637.40585998843</v>
      </c>
      <c r="B513" s="9"/>
      <c r="C513" s="9" t="s">
        <v>15</v>
      </c>
      <c r="D513" s="9" t="s">
        <v>206</v>
      </c>
      <c r="E513" s="9" t="s">
        <v>17</v>
      </c>
      <c r="F513" s="9" t="s">
        <v>17</v>
      </c>
      <c r="G513" s="9" t="s">
        <v>19</v>
      </c>
      <c r="H513" s="9" t="s">
        <v>17</v>
      </c>
      <c r="I513" s="9" t="s">
        <v>20</v>
      </c>
      <c r="J513" s="10"/>
      <c r="K513" s="7"/>
      <c r="L513" s="7"/>
      <c r="M513" s="7"/>
      <c r="N513" s="7"/>
      <c r="O513" s="7"/>
    </row>
    <row r="514" ht="22.5" hidden="1" customHeight="1">
      <c r="A514" s="8">
        <v>45637.406311597224</v>
      </c>
      <c r="B514" s="9"/>
      <c r="C514" s="9" t="s">
        <v>15</v>
      </c>
      <c r="D514" s="9" t="s">
        <v>231</v>
      </c>
      <c r="E514" s="9" t="s">
        <v>17</v>
      </c>
      <c r="F514" s="9" t="s">
        <v>17</v>
      </c>
      <c r="G514" s="9" t="s">
        <v>19</v>
      </c>
      <c r="H514" s="9" t="s">
        <v>17</v>
      </c>
      <c r="I514" s="9" t="s">
        <v>20</v>
      </c>
      <c r="J514" s="10"/>
      <c r="K514" s="7"/>
      <c r="L514" s="7"/>
      <c r="M514" s="7"/>
      <c r="N514" s="7"/>
      <c r="O514" s="7"/>
    </row>
    <row r="515" ht="22.5" hidden="1" customHeight="1">
      <c r="A515" s="8">
        <v>45637.40676471065</v>
      </c>
      <c r="B515" s="9"/>
      <c r="C515" s="9" t="s">
        <v>15</v>
      </c>
      <c r="D515" s="9" t="s">
        <v>23</v>
      </c>
      <c r="E515" s="9" t="s">
        <v>17</v>
      </c>
      <c r="F515" s="9" t="s">
        <v>17</v>
      </c>
      <c r="G515" s="9" t="s">
        <v>24</v>
      </c>
      <c r="H515" s="9" t="s">
        <v>25</v>
      </c>
      <c r="I515" s="9" t="s">
        <v>67</v>
      </c>
      <c r="J515" s="10"/>
      <c r="K515" s="7"/>
      <c r="L515" s="7"/>
      <c r="M515" s="7"/>
      <c r="N515" s="7"/>
      <c r="O515" s="7"/>
    </row>
    <row r="516" ht="22.5" hidden="1" customHeight="1">
      <c r="A516" s="8">
        <v>45637.40720494213</v>
      </c>
      <c r="B516" s="9"/>
      <c r="C516" s="9" t="s">
        <v>15</v>
      </c>
      <c r="D516" s="9" t="s">
        <v>102</v>
      </c>
      <c r="E516" s="9" t="s">
        <v>17</v>
      </c>
      <c r="F516" s="9" t="s">
        <v>17</v>
      </c>
      <c r="G516" s="9" t="s">
        <v>24</v>
      </c>
      <c r="H516" s="9" t="s">
        <v>25</v>
      </c>
      <c r="I516" s="9" t="s">
        <v>50</v>
      </c>
      <c r="J516" s="10"/>
      <c r="K516" s="7"/>
      <c r="L516" s="7"/>
      <c r="M516" s="7"/>
      <c r="N516" s="7"/>
      <c r="O516" s="7"/>
    </row>
    <row r="517" ht="22.5" hidden="1" customHeight="1">
      <c r="A517" s="8">
        <v>45637.40768578704</v>
      </c>
      <c r="B517" s="9"/>
      <c r="C517" s="9" t="s">
        <v>15</v>
      </c>
      <c r="D517" s="9" t="s">
        <v>250</v>
      </c>
      <c r="E517" s="9" t="s">
        <v>17</v>
      </c>
      <c r="F517" s="9" t="s">
        <v>17</v>
      </c>
      <c r="G517" s="9" t="s">
        <v>24</v>
      </c>
      <c r="H517" s="9" t="s">
        <v>17</v>
      </c>
      <c r="I517" s="9" t="s">
        <v>20</v>
      </c>
      <c r="J517" s="10"/>
      <c r="K517" s="7"/>
      <c r="L517" s="7"/>
      <c r="M517" s="7"/>
      <c r="N517" s="7"/>
      <c r="O517" s="7"/>
    </row>
    <row r="518" ht="22.5" hidden="1" customHeight="1">
      <c r="A518" s="8">
        <v>45637.40804355324</v>
      </c>
      <c r="B518" s="9"/>
      <c r="C518" s="9" t="s">
        <v>15</v>
      </c>
      <c r="D518" s="9" t="s">
        <v>132</v>
      </c>
      <c r="E518" s="9" t="s">
        <v>17</v>
      </c>
      <c r="F518" s="9" t="s">
        <v>17</v>
      </c>
      <c r="G518" s="9" t="s">
        <v>24</v>
      </c>
      <c r="H518" s="9" t="s">
        <v>17</v>
      </c>
      <c r="I518" s="9" t="s">
        <v>20</v>
      </c>
      <c r="J518" s="10"/>
      <c r="K518" s="7"/>
      <c r="L518" s="7"/>
      <c r="M518" s="7"/>
      <c r="N518" s="7"/>
      <c r="O518" s="7"/>
    </row>
    <row r="519" ht="22.5" hidden="1" customHeight="1">
      <c r="A519" s="8">
        <v>45637.408419687505</v>
      </c>
      <c r="B519" s="9"/>
      <c r="C519" s="9" t="s">
        <v>15</v>
      </c>
      <c r="D519" s="9" t="s">
        <v>262</v>
      </c>
      <c r="E519" s="9" t="s">
        <v>17</v>
      </c>
      <c r="F519" s="9" t="s">
        <v>17</v>
      </c>
      <c r="G519" s="9" t="s">
        <v>19</v>
      </c>
      <c r="H519" s="9" t="s">
        <v>17</v>
      </c>
      <c r="I519" s="9" t="s">
        <v>20</v>
      </c>
      <c r="J519" s="10"/>
      <c r="K519" s="7"/>
      <c r="L519" s="7"/>
      <c r="M519" s="7"/>
      <c r="N519" s="7"/>
      <c r="O519" s="7"/>
    </row>
    <row r="520" ht="22.5" hidden="1" customHeight="1">
      <c r="A520" s="8">
        <v>45637.408993993056</v>
      </c>
      <c r="B520" s="9"/>
      <c r="C520" s="9" t="s">
        <v>15</v>
      </c>
      <c r="D520" s="9" t="s">
        <v>51</v>
      </c>
      <c r="E520" s="9" t="s">
        <v>57</v>
      </c>
      <c r="F520" s="9" t="s">
        <v>43</v>
      </c>
      <c r="G520" s="9" t="s">
        <v>19</v>
      </c>
      <c r="H520" s="9" t="s">
        <v>17</v>
      </c>
      <c r="I520" s="9" t="s">
        <v>263</v>
      </c>
      <c r="J520" s="10"/>
      <c r="K520" s="7"/>
      <c r="L520" s="7"/>
      <c r="M520" s="7"/>
      <c r="N520" s="7"/>
      <c r="O520" s="7"/>
    </row>
    <row r="521" ht="22.5" hidden="1" customHeight="1">
      <c r="A521" s="8">
        <v>45637.40944844908</v>
      </c>
      <c r="B521" s="9"/>
      <c r="C521" s="9" t="s">
        <v>15</v>
      </c>
      <c r="D521" s="9" t="s">
        <v>133</v>
      </c>
      <c r="E521" s="9" t="s">
        <v>17</v>
      </c>
      <c r="F521" s="9" t="s">
        <v>17</v>
      </c>
      <c r="G521" s="9" t="s">
        <v>24</v>
      </c>
      <c r="H521" s="9" t="s">
        <v>17</v>
      </c>
      <c r="I521" s="9" t="s">
        <v>89</v>
      </c>
      <c r="J521" s="10"/>
      <c r="K521" s="7"/>
      <c r="L521" s="7"/>
      <c r="M521" s="7"/>
      <c r="N521" s="7"/>
      <c r="O521" s="7"/>
    </row>
    <row r="522" ht="22.5" hidden="1" customHeight="1">
      <c r="A522" s="8">
        <v>45637.41539202546</v>
      </c>
      <c r="B522" s="9"/>
      <c r="C522" s="9" t="s">
        <v>15</v>
      </c>
      <c r="D522" s="9" t="s">
        <v>230</v>
      </c>
      <c r="E522" s="9" t="s">
        <v>17</v>
      </c>
      <c r="F522" s="9" t="s">
        <v>17</v>
      </c>
      <c r="G522" s="9" t="s">
        <v>24</v>
      </c>
      <c r="H522" s="9" t="s">
        <v>17</v>
      </c>
      <c r="I522" s="9" t="s">
        <v>20</v>
      </c>
      <c r="J522" s="10"/>
      <c r="K522" s="7"/>
      <c r="L522" s="7"/>
      <c r="M522" s="7"/>
      <c r="N522" s="7"/>
      <c r="O522" s="7"/>
    </row>
    <row r="523" ht="22.5" hidden="1" customHeight="1">
      <c r="A523" s="8">
        <v>45638.43943945602</v>
      </c>
      <c r="B523" s="9"/>
      <c r="C523" s="9" t="s">
        <v>31</v>
      </c>
      <c r="D523" s="9" t="s">
        <v>112</v>
      </c>
      <c r="E523" s="9" t="s">
        <v>61</v>
      </c>
      <c r="F523" s="9" t="s">
        <v>18</v>
      </c>
      <c r="G523" s="9" t="s">
        <v>24</v>
      </c>
      <c r="H523" s="9" t="s">
        <v>17</v>
      </c>
      <c r="I523" s="9" t="s">
        <v>20</v>
      </c>
      <c r="J523" s="10"/>
      <c r="K523" s="7"/>
      <c r="L523" s="7"/>
      <c r="M523" s="7"/>
      <c r="N523" s="7"/>
      <c r="O523" s="7"/>
    </row>
    <row r="524" ht="22.5" hidden="1" customHeight="1">
      <c r="A524" s="8">
        <v>45639.52875092592</v>
      </c>
      <c r="B524" s="9"/>
      <c r="C524" s="9" t="s">
        <v>48</v>
      </c>
      <c r="D524" s="9" t="s">
        <v>206</v>
      </c>
      <c r="E524" s="9" t="s">
        <v>17</v>
      </c>
      <c r="F524" s="9" t="s">
        <v>17</v>
      </c>
      <c r="G524" s="9" t="s">
        <v>40</v>
      </c>
      <c r="H524" s="9" t="s">
        <v>17</v>
      </c>
      <c r="I524" s="9" t="s">
        <v>20</v>
      </c>
      <c r="J524" s="10"/>
      <c r="K524" s="7"/>
      <c r="L524" s="7"/>
      <c r="M524" s="7"/>
      <c r="N524" s="7"/>
      <c r="O524" s="7"/>
    </row>
    <row r="525" ht="22.5" hidden="1" customHeight="1">
      <c r="A525" s="8">
        <v>45639.52967642361</v>
      </c>
      <c r="B525" s="9"/>
      <c r="C525" s="9" t="s">
        <v>48</v>
      </c>
      <c r="D525" s="9" t="s">
        <v>133</v>
      </c>
      <c r="E525" s="9" t="s">
        <v>17</v>
      </c>
      <c r="F525" s="9" t="s">
        <v>17</v>
      </c>
      <c r="G525" s="9" t="s">
        <v>40</v>
      </c>
      <c r="H525" s="9" t="s">
        <v>25</v>
      </c>
      <c r="I525" s="9" t="s">
        <v>263</v>
      </c>
      <c r="J525" s="10"/>
      <c r="K525" s="7"/>
      <c r="L525" s="7"/>
      <c r="M525" s="7"/>
      <c r="N525" s="7"/>
      <c r="O525" s="7"/>
    </row>
    <row r="526" ht="22.5" hidden="1" customHeight="1">
      <c r="A526" s="8">
        <v>45639.530212997684</v>
      </c>
      <c r="B526" s="9"/>
      <c r="C526" s="9" t="s">
        <v>48</v>
      </c>
      <c r="D526" s="9" t="s">
        <v>51</v>
      </c>
      <c r="E526" s="9" t="s">
        <v>17</v>
      </c>
      <c r="F526" s="9" t="s">
        <v>17</v>
      </c>
      <c r="G526" s="9" t="s">
        <v>40</v>
      </c>
      <c r="H526" s="9" t="s">
        <v>25</v>
      </c>
      <c r="I526" s="9" t="s">
        <v>211</v>
      </c>
      <c r="J526" s="10"/>
      <c r="K526" s="7"/>
      <c r="L526" s="7"/>
      <c r="M526" s="7"/>
      <c r="N526" s="7"/>
      <c r="O526" s="7"/>
    </row>
    <row r="527" ht="22.5" hidden="1" customHeight="1">
      <c r="A527" s="8">
        <v>45639.53241480324</v>
      </c>
      <c r="B527" s="9"/>
      <c r="C527" s="9" t="s">
        <v>48</v>
      </c>
      <c r="D527" s="9" t="s">
        <v>127</v>
      </c>
      <c r="E527" s="9" t="s">
        <v>61</v>
      </c>
      <c r="F527" s="9" t="s">
        <v>17</v>
      </c>
      <c r="G527" s="9" t="s">
        <v>24</v>
      </c>
      <c r="H527" s="9" t="s">
        <v>17</v>
      </c>
      <c r="I527" s="9" t="s">
        <v>20</v>
      </c>
      <c r="J527" s="10"/>
      <c r="K527" s="7"/>
      <c r="L527" s="7"/>
      <c r="M527" s="7"/>
      <c r="N527" s="7"/>
      <c r="O527" s="7"/>
    </row>
    <row r="528" ht="22.5" hidden="1" customHeight="1">
      <c r="A528" s="8">
        <v>45639.53646357638</v>
      </c>
      <c r="B528" s="9"/>
      <c r="C528" s="9" t="s">
        <v>48</v>
      </c>
      <c r="D528" s="9" t="s">
        <v>230</v>
      </c>
      <c r="E528" s="9" t="s">
        <v>17</v>
      </c>
      <c r="F528" s="9" t="s">
        <v>17</v>
      </c>
      <c r="G528" s="9" t="s">
        <v>40</v>
      </c>
      <c r="H528" s="9" t="s">
        <v>25</v>
      </c>
      <c r="I528" s="9" t="s">
        <v>211</v>
      </c>
      <c r="J528" s="10"/>
      <c r="K528" s="7"/>
      <c r="L528" s="7"/>
      <c r="M528" s="7"/>
      <c r="N528" s="7"/>
      <c r="O528" s="7"/>
    </row>
    <row r="529" ht="22.5" hidden="1" customHeight="1">
      <c r="A529" s="8">
        <v>45640.356672685186</v>
      </c>
      <c r="B529" s="9"/>
      <c r="C529" s="9" t="s">
        <v>53</v>
      </c>
      <c r="D529" s="9" t="s">
        <v>264</v>
      </c>
      <c r="E529" s="9" t="s">
        <v>17</v>
      </c>
      <c r="F529" s="9" t="s">
        <v>17</v>
      </c>
      <c r="G529" s="9" t="s">
        <v>19</v>
      </c>
      <c r="H529" s="9" t="s">
        <v>25</v>
      </c>
      <c r="I529" s="9" t="s">
        <v>28</v>
      </c>
      <c r="J529" s="10"/>
      <c r="K529" s="7"/>
      <c r="L529" s="7"/>
      <c r="M529" s="7"/>
      <c r="N529" s="7"/>
      <c r="O529" s="7"/>
    </row>
    <row r="530" ht="22.5" hidden="1" customHeight="1">
      <c r="A530" s="8">
        <v>45640.35737431713</v>
      </c>
      <c r="B530" s="9"/>
      <c r="C530" s="9" t="s">
        <v>53</v>
      </c>
      <c r="D530" s="9" t="s">
        <v>127</v>
      </c>
      <c r="E530" s="9" t="s">
        <v>17</v>
      </c>
      <c r="F530" s="9" t="s">
        <v>17</v>
      </c>
      <c r="G530" s="9" t="s">
        <v>24</v>
      </c>
      <c r="H530" s="9" t="s">
        <v>17</v>
      </c>
      <c r="I530" s="9" t="s">
        <v>20</v>
      </c>
      <c r="J530" s="10"/>
      <c r="K530" s="7"/>
      <c r="L530" s="7"/>
      <c r="M530" s="7"/>
      <c r="N530" s="7"/>
      <c r="O530" s="7"/>
    </row>
    <row r="531" ht="22.5" hidden="1" customHeight="1">
      <c r="A531" s="8">
        <v>45640.366545185185</v>
      </c>
      <c r="B531" s="9"/>
      <c r="C531" s="9" t="s">
        <v>53</v>
      </c>
      <c r="D531" s="9" t="s">
        <v>230</v>
      </c>
      <c r="E531" s="9" t="s">
        <v>17</v>
      </c>
      <c r="F531" s="9" t="s">
        <v>17</v>
      </c>
      <c r="G531" s="9" t="s">
        <v>24</v>
      </c>
      <c r="H531" s="9" t="s">
        <v>25</v>
      </c>
      <c r="I531" s="9" t="s">
        <v>211</v>
      </c>
      <c r="J531" s="10"/>
      <c r="K531" s="7"/>
      <c r="L531" s="7"/>
      <c r="M531" s="7"/>
      <c r="N531" s="7"/>
      <c r="O531" s="7"/>
    </row>
    <row r="532" ht="22.5" hidden="1" customHeight="1">
      <c r="A532" s="8">
        <v>45640.3753713426</v>
      </c>
      <c r="B532" s="9"/>
      <c r="C532" s="9" t="s">
        <v>53</v>
      </c>
      <c r="D532" s="9" t="s">
        <v>68</v>
      </c>
      <c r="E532" s="9" t="s">
        <v>17</v>
      </c>
      <c r="F532" s="9" t="s">
        <v>17</v>
      </c>
      <c r="G532" s="9" t="s">
        <v>24</v>
      </c>
      <c r="H532" s="9" t="s">
        <v>17</v>
      </c>
      <c r="I532" s="9" t="s">
        <v>20</v>
      </c>
      <c r="J532" s="10"/>
      <c r="K532" s="7"/>
      <c r="L532" s="7"/>
      <c r="M532" s="7"/>
      <c r="N532" s="7"/>
      <c r="O532" s="7"/>
    </row>
    <row r="533" ht="22.5" hidden="1" customHeight="1">
      <c r="A533" s="8">
        <v>45640.37714273148</v>
      </c>
      <c r="B533" s="9"/>
      <c r="C533" s="9" t="s">
        <v>53</v>
      </c>
      <c r="D533" s="9" t="s">
        <v>265</v>
      </c>
      <c r="E533" s="9" t="s">
        <v>17</v>
      </c>
      <c r="F533" s="9" t="s">
        <v>77</v>
      </c>
      <c r="G533" s="9" t="s">
        <v>40</v>
      </c>
      <c r="H533" s="9" t="s">
        <v>17</v>
      </c>
      <c r="I533" s="9" t="s">
        <v>266</v>
      </c>
      <c r="J533" s="10"/>
      <c r="K533" s="7"/>
      <c r="L533" s="7"/>
      <c r="M533" s="7"/>
      <c r="N533" s="7"/>
      <c r="O533" s="7"/>
    </row>
    <row r="534" ht="22.5" hidden="1" customHeight="1">
      <c r="A534" s="8">
        <v>45640.37822932871</v>
      </c>
      <c r="B534" s="9"/>
      <c r="C534" s="9" t="s">
        <v>53</v>
      </c>
      <c r="D534" s="9" t="s">
        <v>51</v>
      </c>
      <c r="E534" s="9" t="s">
        <v>17</v>
      </c>
      <c r="F534" s="9" t="s">
        <v>17</v>
      </c>
      <c r="G534" s="9" t="s">
        <v>24</v>
      </c>
      <c r="H534" s="9" t="s">
        <v>17</v>
      </c>
      <c r="I534" s="9" t="s">
        <v>20</v>
      </c>
      <c r="J534" s="10"/>
      <c r="K534" s="7"/>
      <c r="L534" s="7"/>
      <c r="M534" s="7"/>
      <c r="N534" s="7"/>
      <c r="O534" s="7"/>
    </row>
    <row r="535" ht="22.5" hidden="1" customHeight="1">
      <c r="A535" s="8">
        <v>45640.37930372685</v>
      </c>
      <c r="B535" s="9"/>
      <c r="C535" s="9" t="s">
        <v>53</v>
      </c>
      <c r="D535" s="9" t="s">
        <v>213</v>
      </c>
      <c r="E535" s="9" t="s">
        <v>17</v>
      </c>
      <c r="F535" s="9" t="s">
        <v>17</v>
      </c>
      <c r="G535" s="9" t="s">
        <v>24</v>
      </c>
      <c r="H535" s="9" t="s">
        <v>17</v>
      </c>
      <c r="I535" s="9" t="s">
        <v>20</v>
      </c>
      <c r="J535" s="10"/>
      <c r="K535" s="7"/>
      <c r="L535" s="7"/>
      <c r="M535" s="7"/>
      <c r="N535" s="7"/>
      <c r="O535" s="7"/>
    </row>
    <row r="536" ht="22.5" hidden="1" customHeight="1">
      <c r="A536" s="8">
        <v>45640.379712650465</v>
      </c>
      <c r="B536" s="9"/>
      <c r="C536" s="9" t="s">
        <v>53</v>
      </c>
      <c r="D536" s="9" t="s">
        <v>108</v>
      </c>
      <c r="E536" s="9" t="s">
        <v>17</v>
      </c>
      <c r="F536" s="9" t="s">
        <v>17</v>
      </c>
      <c r="G536" s="9" t="s">
        <v>24</v>
      </c>
      <c r="H536" s="9" t="s">
        <v>17</v>
      </c>
      <c r="I536" s="9" t="s">
        <v>20</v>
      </c>
      <c r="J536" s="10"/>
      <c r="K536" s="7"/>
      <c r="L536" s="7"/>
      <c r="M536" s="7"/>
      <c r="N536" s="7"/>
      <c r="O536" s="7"/>
    </row>
    <row r="537" ht="22.5" hidden="1" customHeight="1">
      <c r="A537" s="8">
        <v>45640.3822841088</v>
      </c>
      <c r="B537" s="9"/>
      <c r="C537" s="9" t="s">
        <v>53</v>
      </c>
      <c r="D537" s="9" t="s">
        <v>54</v>
      </c>
      <c r="E537" s="9" t="s">
        <v>17</v>
      </c>
      <c r="F537" s="9" t="s">
        <v>17</v>
      </c>
      <c r="G537" s="9" t="s">
        <v>24</v>
      </c>
      <c r="H537" s="9" t="s">
        <v>25</v>
      </c>
      <c r="I537" s="9" t="s">
        <v>28</v>
      </c>
      <c r="J537" s="10"/>
      <c r="K537" s="7"/>
      <c r="L537" s="7"/>
      <c r="M537" s="7"/>
      <c r="N537" s="7"/>
      <c r="O537" s="7"/>
    </row>
    <row r="538" ht="22.5" hidden="1" customHeight="1">
      <c r="A538" s="8">
        <v>45640.3832609838</v>
      </c>
      <c r="B538" s="9"/>
      <c r="C538" s="9" t="s">
        <v>53</v>
      </c>
      <c r="D538" s="9" t="s">
        <v>109</v>
      </c>
      <c r="E538" s="9" t="s">
        <v>17</v>
      </c>
      <c r="F538" s="9" t="s">
        <v>17</v>
      </c>
      <c r="G538" s="9" t="s">
        <v>24</v>
      </c>
      <c r="H538" s="9" t="s">
        <v>17</v>
      </c>
      <c r="I538" s="9" t="s">
        <v>20</v>
      </c>
      <c r="J538" s="10"/>
      <c r="K538" s="7"/>
      <c r="L538" s="7"/>
      <c r="M538" s="7"/>
      <c r="N538" s="7"/>
      <c r="O538" s="7"/>
    </row>
    <row r="539" ht="22.5" hidden="1" customHeight="1">
      <c r="A539" s="8">
        <v>45640.38402784722</v>
      </c>
      <c r="B539" s="9"/>
      <c r="C539" s="9" t="s">
        <v>53</v>
      </c>
      <c r="D539" s="9" t="s">
        <v>206</v>
      </c>
      <c r="E539" s="9" t="s">
        <v>17</v>
      </c>
      <c r="F539" s="9" t="s">
        <v>17</v>
      </c>
      <c r="G539" s="9" t="s">
        <v>24</v>
      </c>
      <c r="H539" s="9" t="s">
        <v>17</v>
      </c>
      <c r="I539" s="9" t="s">
        <v>20</v>
      </c>
      <c r="J539" s="10"/>
      <c r="K539" s="7"/>
      <c r="L539" s="7"/>
      <c r="M539" s="7"/>
      <c r="N539" s="7"/>
      <c r="O539" s="7"/>
    </row>
    <row r="540" ht="22.5" hidden="1" customHeight="1">
      <c r="A540" s="8">
        <v>45640.39393064815</v>
      </c>
      <c r="B540" s="9"/>
      <c r="C540" s="9" t="s">
        <v>53</v>
      </c>
      <c r="D540" s="9" t="s">
        <v>133</v>
      </c>
      <c r="E540" s="9" t="s">
        <v>17</v>
      </c>
      <c r="F540" s="9" t="s">
        <v>17</v>
      </c>
      <c r="G540" s="9" t="s">
        <v>24</v>
      </c>
      <c r="H540" s="9" t="s">
        <v>25</v>
      </c>
      <c r="I540" s="9" t="s">
        <v>263</v>
      </c>
      <c r="J540" s="10"/>
      <c r="K540" s="7"/>
      <c r="L540" s="7"/>
      <c r="M540" s="7"/>
      <c r="N540" s="7"/>
      <c r="O540" s="7"/>
    </row>
    <row r="541" ht="22.5" hidden="1" customHeight="1">
      <c r="A541" s="8">
        <v>45640.39573333334</v>
      </c>
      <c r="B541" s="9"/>
      <c r="C541" s="9" t="s">
        <v>53</v>
      </c>
      <c r="D541" s="9" t="s">
        <v>212</v>
      </c>
      <c r="E541" s="9" t="s">
        <v>17</v>
      </c>
      <c r="F541" s="9" t="s">
        <v>17</v>
      </c>
      <c r="G541" s="9" t="s">
        <v>24</v>
      </c>
      <c r="H541" s="9" t="s">
        <v>17</v>
      </c>
      <c r="I541" s="9" t="s">
        <v>20</v>
      </c>
      <c r="J541" s="10"/>
      <c r="K541" s="7"/>
      <c r="L541" s="7"/>
      <c r="M541" s="7"/>
      <c r="N541" s="7"/>
      <c r="O541" s="7"/>
    </row>
    <row r="542" ht="22.5" hidden="1" customHeight="1">
      <c r="A542" s="8">
        <v>45640.398391180555</v>
      </c>
      <c r="B542" s="9"/>
      <c r="C542" s="9" t="s">
        <v>53</v>
      </c>
      <c r="D542" s="9" t="s">
        <v>227</v>
      </c>
      <c r="E542" s="9" t="s">
        <v>61</v>
      </c>
      <c r="F542" s="9" t="s">
        <v>60</v>
      </c>
      <c r="G542" s="9" t="s">
        <v>40</v>
      </c>
      <c r="H542" s="9" t="s">
        <v>17</v>
      </c>
      <c r="I542" s="9" t="s">
        <v>20</v>
      </c>
      <c r="J542" s="10"/>
      <c r="K542" s="7"/>
      <c r="L542" s="7"/>
      <c r="M542" s="7"/>
      <c r="N542" s="7"/>
      <c r="O542" s="7"/>
    </row>
    <row r="543" ht="22.5" hidden="1" customHeight="1">
      <c r="A543" s="8">
        <v>45640.41053699074</v>
      </c>
      <c r="B543" s="9"/>
      <c r="C543" s="9" t="s">
        <v>53</v>
      </c>
      <c r="D543" s="9" t="s">
        <v>243</v>
      </c>
      <c r="E543" s="9" t="s">
        <v>17</v>
      </c>
      <c r="F543" s="9" t="s">
        <v>17</v>
      </c>
      <c r="G543" s="9" t="s">
        <v>24</v>
      </c>
      <c r="H543" s="9" t="s">
        <v>17</v>
      </c>
      <c r="I543" s="9" t="s">
        <v>20</v>
      </c>
      <c r="J543" s="10"/>
      <c r="K543" s="7"/>
      <c r="L543" s="7"/>
      <c r="M543" s="7"/>
      <c r="N543" s="7"/>
      <c r="O543" s="7"/>
    </row>
    <row r="544" ht="22.5" hidden="1" customHeight="1">
      <c r="A544" s="8">
        <v>45640.41187271991</v>
      </c>
      <c r="B544" s="9"/>
      <c r="C544" s="9" t="s">
        <v>53</v>
      </c>
      <c r="D544" s="9" t="s">
        <v>241</v>
      </c>
      <c r="E544" s="9" t="s">
        <v>17</v>
      </c>
      <c r="F544" s="9" t="s">
        <v>17</v>
      </c>
      <c r="G544" s="9" t="s">
        <v>24</v>
      </c>
      <c r="H544" s="9" t="s">
        <v>17</v>
      </c>
      <c r="I544" s="9" t="s">
        <v>20</v>
      </c>
      <c r="J544" s="10"/>
      <c r="K544" s="7"/>
      <c r="L544" s="7"/>
      <c r="M544" s="7"/>
      <c r="N544" s="7"/>
      <c r="O544" s="7"/>
    </row>
    <row r="545" ht="22.5" hidden="1" customHeight="1">
      <c r="A545" s="8">
        <v>45665.42628319444</v>
      </c>
      <c r="B545" s="9"/>
      <c r="C545" s="9" t="s">
        <v>15</v>
      </c>
      <c r="D545" s="9" t="s">
        <v>230</v>
      </c>
      <c r="E545" s="9" t="s">
        <v>140</v>
      </c>
      <c r="F545" s="9" t="s">
        <v>17</v>
      </c>
      <c r="G545" s="9" t="s">
        <v>24</v>
      </c>
      <c r="H545" s="9" t="s">
        <v>25</v>
      </c>
      <c r="I545" s="9" t="s">
        <v>267</v>
      </c>
      <c r="J545" s="10"/>
      <c r="K545" s="7"/>
      <c r="L545" s="7"/>
      <c r="M545" s="7"/>
      <c r="N545" s="7"/>
      <c r="O545" s="7"/>
    </row>
    <row r="546" ht="22.5" hidden="1" customHeight="1">
      <c r="A546" s="8">
        <v>45665.42776135416</v>
      </c>
      <c r="B546" s="9"/>
      <c r="C546" s="9" t="s">
        <v>15</v>
      </c>
      <c r="D546" s="9" t="s">
        <v>107</v>
      </c>
      <c r="E546" s="9" t="s">
        <v>46</v>
      </c>
      <c r="F546" s="9" t="s">
        <v>43</v>
      </c>
      <c r="G546" s="9" t="s">
        <v>19</v>
      </c>
      <c r="H546" s="9" t="s">
        <v>25</v>
      </c>
      <c r="I546" s="9" t="s">
        <v>176</v>
      </c>
      <c r="J546" s="10"/>
      <c r="K546" s="7"/>
      <c r="L546" s="7"/>
      <c r="M546" s="7"/>
      <c r="N546" s="7"/>
      <c r="O546" s="7"/>
    </row>
    <row r="547" ht="22.5" hidden="1" customHeight="1">
      <c r="A547" s="8">
        <v>45665.42856023148</v>
      </c>
      <c r="B547" s="9"/>
      <c r="C547" s="9" t="s">
        <v>15</v>
      </c>
      <c r="D547" s="9" t="s">
        <v>102</v>
      </c>
      <c r="E547" s="9" t="s">
        <v>17</v>
      </c>
      <c r="F547" s="9" t="s">
        <v>17</v>
      </c>
      <c r="G547" s="9" t="s">
        <v>19</v>
      </c>
      <c r="H547" s="9" t="s">
        <v>25</v>
      </c>
      <c r="I547" s="9" t="s">
        <v>20</v>
      </c>
      <c r="J547" s="10"/>
      <c r="K547" s="7"/>
      <c r="L547" s="7"/>
      <c r="M547" s="7"/>
      <c r="N547" s="7"/>
      <c r="O547" s="7"/>
    </row>
    <row r="548" ht="22.5" hidden="1" customHeight="1">
      <c r="A548" s="8">
        <v>45665.42929726852</v>
      </c>
      <c r="B548" s="9"/>
      <c r="C548" s="9" t="s">
        <v>15</v>
      </c>
      <c r="D548" s="9" t="s">
        <v>206</v>
      </c>
      <c r="E548" s="9" t="s">
        <v>17</v>
      </c>
      <c r="F548" s="9" t="s">
        <v>35</v>
      </c>
      <c r="G548" s="9" t="s">
        <v>19</v>
      </c>
      <c r="H548" s="9" t="s">
        <v>25</v>
      </c>
      <c r="I548" s="9" t="s">
        <v>159</v>
      </c>
      <c r="J548" s="10"/>
      <c r="K548" s="7"/>
      <c r="L548" s="7"/>
      <c r="M548" s="7"/>
      <c r="N548" s="7"/>
      <c r="O548" s="7"/>
    </row>
    <row r="549" ht="22.5" hidden="1" customHeight="1">
      <c r="A549" s="8">
        <v>45665.429923379634</v>
      </c>
      <c r="B549" s="9"/>
      <c r="C549" s="9" t="s">
        <v>15</v>
      </c>
      <c r="D549" s="9" t="s">
        <v>246</v>
      </c>
      <c r="E549" s="9" t="s">
        <v>140</v>
      </c>
      <c r="F549" s="9" t="s">
        <v>35</v>
      </c>
      <c r="G549" s="9" t="s">
        <v>24</v>
      </c>
      <c r="H549" s="9" t="s">
        <v>25</v>
      </c>
      <c r="I549" s="9" t="s">
        <v>79</v>
      </c>
      <c r="J549" s="10"/>
      <c r="K549" s="7"/>
      <c r="L549" s="7"/>
      <c r="M549" s="7"/>
      <c r="N549" s="7"/>
      <c r="O549" s="7"/>
    </row>
    <row r="550" ht="22.5" hidden="1" customHeight="1">
      <c r="A550" s="8">
        <v>45665.43222447917</v>
      </c>
      <c r="B550" s="9"/>
      <c r="C550" s="9" t="s">
        <v>15</v>
      </c>
      <c r="D550" s="9" t="s">
        <v>213</v>
      </c>
      <c r="E550" s="9" t="s">
        <v>17</v>
      </c>
      <c r="F550" s="9" t="s">
        <v>17</v>
      </c>
      <c r="G550" s="9" t="s">
        <v>24</v>
      </c>
      <c r="H550" s="9" t="s">
        <v>25</v>
      </c>
      <c r="I550" s="9" t="s">
        <v>41</v>
      </c>
      <c r="J550" s="10"/>
      <c r="K550" s="7"/>
      <c r="L550" s="7"/>
      <c r="M550" s="7"/>
      <c r="N550" s="7"/>
      <c r="O550" s="7"/>
    </row>
    <row r="551" ht="22.5" hidden="1" customHeight="1">
      <c r="A551" s="8">
        <v>45665.43901974537</v>
      </c>
      <c r="B551" s="9"/>
      <c r="C551" s="9" t="s">
        <v>15</v>
      </c>
      <c r="D551" s="9" t="s">
        <v>268</v>
      </c>
      <c r="E551" s="9" t="s">
        <v>44</v>
      </c>
      <c r="F551" s="9" t="s">
        <v>35</v>
      </c>
      <c r="G551" s="9" t="s">
        <v>19</v>
      </c>
      <c r="H551" s="9" t="s">
        <v>17</v>
      </c>
      <c r="I551" s="9" t="s">
        <v>20</v>
      </c>
      <c r="J551" s="10"/>
      <c r="K551" s="7"/>
      <c r="L551" s="7"/>
      <c r="M551" s="7"/>
      <c r="N551" s="7"/>
      <c r="O551" s="7"/>
    </row>
    <row r="552" ht="22.5" hidden="1" customHeight="1">
      <c r="A552" s="8">
        <v>45666.359015532405</v>
      </c>
      <c r="B552" s="9"/>
      <c r="C552" s="9" t="s">
        <v>31</v>
      </c>
      <c r="D552" s="9" t="s">
        <v>133</v>
      </c>
      <c r="E552" s="9" t="s">
        <v>61</v>
      </c>
      <c r="F552" s="9" t="s">
        <v>17</v>
      </c>
      <c r="G552" s="9" t="s">
        <v>24</v>
      </c>
      <c r="H552" s="9" t="s">
        <v>25</v>
      </c>
      <c r="I552" s="9" t="s">
        <v>26</v>
      </c>
      <c r="J552" s="10"/>
      <c r="K552" s="7"/>
      <c r="L552" s="7"/>
      <c r="M552" s="7"/>
      <c r="N552" s="7"/>
      <c r="O552" s="7"/>
    </row>
    <row r="553" ht="22.5" hidden="1" customHeight="1">
      <c r="A553" s="8">
        <v>45666.3599340162</v>
      </c>
      <c r="B553" s="9"/>
      <c r="C553" s="9" t="s">
        <v>31</v>
      </c>
      <c r="D553" s="9" t="s">
        <v>230</v>
      </c>
      <c r="E553" s="9" t="s">
        <v>17</v>
      </c>
      <c r="F553" s="9" t="s">
        <v>17</v>
      </c>
      <c r="G553" s="9" t="s">
        <v>24</v>
      </c>
      <c r="H553" s="9" t="s">
        <v>25</v>
      </c>
      <c r="I553" s="9" t="s">
        <v>267</v>
      </c>
      <c r="J553" s="10"/>
      <c r="K553" s="7"/>
      <c r="L553" s="7"/>
      <c r="M553" s="7"/>
      <c r="N553" s="7"/>
      <c r="O553" s="7"/>
    </row>
    <row r="554" ht="22.5" hidden="1" customHeight="1">
      <c r="A554" s="8">
        <v>45666.36061716435</v>
      </c>
      <c r="B554" s="9"/>
      <c r="C554" s="9" t="s">
        <v>31</v>
      </c>
      <c r="D554" s="9" t="s">
        <v>127</v>
      </c>
      <c r="E554" s="9" t="s">
        <v>17</v>
      </c>
      <c r="F554" s="9" t="s">
        <v>17</v>
      </c>
      <c r="G554" s="9" t="s">
        <v>24</v>
      </c>
      <c r="H554" s="9" t="s">
        <v>22</v>
      </c>
      <c r="I554" s="9" t="s">
        <v>20</v>
      </c>
      <c r="J554" s="10"/>
      <c r="K554" s="7"/>
      <c r="L554" s="7"/>
      <c r="M554" s="7"/>
      <c r="N554" s="7"/>
      <c r="O554" s="7"/>
    </row>
    <row r="555" ht="22.5" hidden="1" customHeight="1">
      <c r="A555" s="8">
        <v>45666.36149614584</v>
      </c>
      <c r="B555" s="9"/>
      <c r="C555" s="9" t="s">
        <v>31</v>
      </c>
      <c r="D555" s="9" t="s">
        <v>250</v>
      </c>
      <c r="E555" s="9" t="s">
        <v>46</v>
      </c>
      <c r="F555" s="9" t="s">
        <v>39</v>
      </c>
      <c r="G555" s="9" t="s">
        <v>24</v>
      </c>
      <c r="H555" s="9" t="s">
        <v>25</v>
      </c>
      <c r="I555" s="9" t="s">
        <v>28</v>
      </c>
      <c r="J555" s="10"/>
      <c r="K555" s="7"/>
      <c r="L555" s="7"/>
      <c r="M555" s="7"/>
      <c r="N555" s="7"/>
      <c r="O555" s="7"/>
    </row>
    <row r="556" ht="22.5" hidden="1" customHeight="1">
      <c r="A556" s="8">
        <v>45666.36216042824</v>
      </c>
      <c r="B556" s="9"/>
      <c r="C556" s="9" t="s">
        <v>31</v>
      </c>
      <c r="D556" s="9" t="s">
        <v>212</v>
      </c>
      <c r="E556" s="9" t="s">
        <v>17</v>
      </c>
      <c r="F556" s="9" t="s">
        <v>17</v>
      </c>
      <c r="G556" s="9" t="s">
        <v>24</v>
      </c>
      <c r="H556" s="9" t="s">
        <v>17</v>
      </c>
      <c r="I556" s="9" t="s">
        <v>52</v>
      </c>
      <c r="J556" s="10"/>
      <c r="K556" s="7"/>
      <c r="L556" s="7"/>
      <c r="M556" s="7"/>
      <c r="N556" s="7"/>
      <c r="O556" s="7"/>
    </row>
    <row r="557" ht="22.5" hidden="1" customHeight="1">
      <c r="A557" s="8">
        <v>45666.36287484954</v>
      </c>
      <c r="B557" s="9"/>
      <c r="C557" s="9" t="s">
        <v>31</v>
      </c>
      <c r="D557" s="9" t="s">
        <v>269</v>
      </c>
      <c r="E557" s="9" t="s">
        <v>61</v>
      </c>
      <c r="F557" s="9" t="s">
        <v>17</v>
      </c>
      <c r="G557" s="9" t="s">
        <v>24</v>
      </c>
      <c r="H557" s="9" t="s">
        <v>62</v>
      </c>
      <c r="I557" s="9" t="s">
        <v>20</v>
      </c>
      <c r="J557" s="10"/>
      <c r="K557" s="7"/>
      <c r="L557" s="7"/>
      <c r="M557" s="7"/>
      <c r="N557" s="7"/>
      <c r="O557" s="7"/>
    </row>
    <row r="558" ht="22.5" hidden="1" customHeight="1">
      <c r="A558" s="8">
        <v>45666.364615370374</v>
      </c>
      <c r="B558" s="9"/>
      <c r="C558" s="9" t="s">
        <v>31</v>
      </c>
      <c r="D558" s="9" t="s">
        <v>243</v>
      </c>
      <c r="E558" s="9" t="s">
        <v>17</v>
      </c>
      <c r="F558" s="9" t="s">
        <v>17</v>
      </c>
      <c r="G558" s="9" t="s">
        <v>24</v>
      </c>
      <c r="H558" s="9" t="s">
        <v>17</v>
      </c>
      <c r="I558" s="9" t="s">
        <v>20</v>
      </c>
      <c r="J558" s="10"/>
      <c r="K558" s="7"/>
      <c r="L558" s="7"/>
      <c r="M558" s="7"/>
      <c r="N558" s="7"/>
      <c r="O558" s="7"/>
    </row>
    <row r="559" ht="22.5" hidden="1" customHeight="1">
      <c r="A559" s="8">
        <v>45666.36500856481</v>
      </c>
      <c r="B559" s="9"/>
      <c r="C559" s="9" t="s">
        <v>31</v>
      </c>
      <c r="D559" s="9" t="s">
        <v>51</v>
      </c>
      <c r="E559" s="9" t="s">
        <v>17</v>
      </c>
      <c r="F559" s="9" t="s">
        <v>17</v>
      </c>
      <c r="G559" s="9" t="s">
        <v>19</v>
      </c>
      <c r="H559" s="9" t="s">
        <v>17</v>
      </c>
      <c r="I559" s="9" t="s">
        <v>20</v>
      </c>
      <c r="J559" s="10"/>
      <c r="K559" s="7"/>
      <c r="L559" s="7"/>
      <c r="M559" s="7"/>
      <c r="N559" s="7"/>
      <c r="O559" s="7"/>
    </row>
    <row r="560" ht="22.5" hidden="1" customHeight="1">
      <c r="A560" s="8">
        <v>45666.36609606481</v>
      </c>
      <c r="B560" s="9"/>
      <c r="C560" s="9" t="s">
        <v>31</v>
      </c>
      <c r="D560" s="9" t="s">
        <v>102</v>
      </c>
      <c r="E560" s="9" t="s">
        <v>17</v>
      </c>
      <c r="F560" s="9" t="s">
        <v>17</v>
      </c>
      <c r="G560" s="9" t="s">
        <v>24</v>
      </c>
      <c r="H560" s="9" t="s">
        <v>25</v>
      </c>
      <c r="I560" s="9" t="s">
        <v>20</v>
      </c>
      <c r="J560" s="10"/>
      <c r="K560" s="7"/>
      <c r="L560" s="7"/>
      <c r="M560" s="7"/>
      <c r="N560" s="7"/>
      <c r="O560" s="7"/>
    </row>
    <row r="561" ht="22.5" hidden="1" customHeight="1">
      <c r="A561" s="8">
        <v>45666.37164391203</v>
      </c>
      <c r="B561" s="9"/>
      <c r="C561" s="9" t="s">
        <v>31</v>
      </c>
      <c r="D561" s="9" t="s">
        <v>68</v>
      </c>
      <c r="E561" s="9" t="s">
        <v>17</v>
      </c>
      <c r="F561" s="9" t="s">
        <v>17</v>
      </c>
      <c r="G561" s="9" t="s">
        <v>24</v>
      </c>
      <c r="H561" s="9" t="s">
        <v>17</v>
      </c>
      <c r="I561" s="9" t="s">
        <v>37</v>
      </c>
      <c r="J561" s="10"/>
      <c r="K561" s="7"/>
      <c r="L561" s="7"/>
      <c r="M561" s="7"/>
      <c r="N561" s="7"/>
      <c r="O561" s="7"/>
    </row>
    <row r="562" ht="22.5" hidden="1" customHeight="1">
      <c r="A562" s="8">
        <v>45666.3724728588</v>
      </c>
      <c r="B562" s="9"/>
      <c r="C562" s="9" t="s">
        <v>31</v>
      </c>
      <c r="D562" s="9" t="s">
        <v>107</v>
      </c>
      <c r="E562" s="9" t="s">
        <v>46</v>
      </c>
      <c r="F562" s="9" t="s">
        <v>17</v>
      </c>
      <c r="G562" s="9" t="s">
        <v>24</v>
      </c>
      <c r="H562" s="9" t="s">
        <v>25</v>
      </c>
      <c r="I562" s="9" t="s">
        <v>41</v>
      </c>
      <c r="J562" s="10"/>
      <c r="K562" s="7"/>
      <c r="L562" s="7"/>
      <c r="M562" s="7"/>
      <c r="N562" s="7"/>
      <c r="O562" s="7"/>
    </row>
    <row r="563" ht="22.5" hidden="1" customHeight="1">
      <c r="A563" s="8">
        <v>45667.37299134259</v>
      </c>
      <c r="B563" s="9"/>
      <c r="C563" s="9" t="s">
        <v>48</v>
      </c>
      <c r="D563" s="9" t="s">
        <v>56</v>
      </c>
      <c r="E563" s="9" t="s">
        <v>30</v>
      </c>
      <c r="F563" s="9" t="s">
        <v>43</v>
      </c>
      <c r="G563" s="9" t="s">
        <v>19</v>
      </c>
      <c r="H563" s="9" t="s">
        <v>17</v>
      </c>
      <c r="I563" s="9" t="s">
        <v>20</v>
      </c>
      <c r="J563" s="10"/>
      <c r="K563" s="7"/>
      <c r="L563" s="7"/>
      <c r="M563" s="7"/>
      <c r="N563" s="7"/>
      <c r="O563" s="7"/>
    </row>
    <row r="564" ht="22.5" hidden="1" customHeight="1">
      <c r="A564" s="8">
        <v>45667.387181770835</v>
      </c>
      <c r="B564" s="9"/>
      <c r="C564" s="9" t="s">
        <v>48</v>
      </c>
      <c r="D564" s="9" t="s">
        <v>102</v>
      </c>
      <c r="E564" s="9" t="s">
        <v>61</v>
      </c>
      <c r="F564" s="9" t="s">
        <v>17</v>
      </c>
      <c r="G564" s="9" t="s">
        <v>19</v>
      </c>
      <c r="H564" s="9" t="s">
        <v>25</v>
      </c>
      <c r="I564" s="9" t="s">
        <v>20</v>
      </c>
      <c r="J564" s="10"/>
      <c r="K564" s="7"/>
      <c r="L564" s="7"/>
      <c r="M564" s="7"/>
      <c r="N564" s="7"/>
      <c r="O564" s="7"/>
    </row>
    <row r="565" ht="22.5" hidden="1" customHeight="1">
      <c r="A565" s="8">
        <v>45667.387668379626</v>
      </c>
      <c r="B565" s="9"/>
      <c r="C565" s="9" t="s">
        <v>48</v>
      </c>
      <c r="D565" s="9" t="s">
        <v>133</v>
      </c>
      <c r="E565" s="9" t="s">
        <v>17</v>
      </c>
      <c r="F565" s="9" t="s">
        <v>17</v>
      </c>
      <c r="G565" s="9" t="s">
        <v>24</v>
      </c>
      <c r="H565" s="9" t="s">
        <v>25</v>
      </c>
      <c r="I565" s="9" t="s">
        <v>117</v>
      </c>
      <c r="J565" s="10"/>
      <c r="K565" s="7"/>
      <c r="L565" s="7"/>
      <c r="M565" s="7"/>
      <c r="N565" s="7"/>
      <c r="O565" s="7"/>
    </row>
    <row r="566" ht="22.5" hidden="1" customHeight="1">
      <c r="A566" s="8">
        <v>45667.39763761574</v>
      </c>
      <c r="B566" s="9"/>
      <c r="C566" s="9" t="s">
        <v>48</v>
      </c>
      <c r="D566" s="9" t="s">
        <v>187</v>
      </c>
      <c r="E566" s="9" t="s">
        <v>17</v>
      </c>
      <c r="F566" s="9" t="s">
        <v>17</v>
      </c>
      <c r="G566" s="9" t="s">
        <v>24</v>
      </c>
      <c r="H566" s="9" t="s">
        <v>25</v>
      </c>
      <c r="I566" s="9" t="s">
        <v>37</v>
      </c>
      <c r="J566" s="10"/>
      <c r="K566" s="7"/>
      <c r="L566" s="7"/>
      <c r="M566" s="7"/>
      <c r="N566" s="7"/>
      <c r="O566" s="7"/>
    </row>
    <row r="567" ht="22.5" hidden="1" customHeight="1">
      <c r="A567" s="8">
        <v>45667.39817219907</v>
      </c>
      <c r="B567" s="9"/>
      <c r="C567" s="9" t="s">
        <v>48</v>
      </c>
      <c r="D567" s="9" t="s">
        <v>230</v>
      </c>
      <c r="E567" s="9" t="s">
        <v>17</v>
      </c>
      <c r="F567" s="9" t="s">
        <v>17</v>
      </c>
      <c r="G567" s="9" t="s">
        <v>24</v>
      </c>
      <c r="H567" s="9" t="s">
        <v>25</v>
      </c>
      <c r="I567" s="9" t="s">
        <v>50</v>
      </c>
      <c r="J567" s="10"/>
      <c r="K567" s="7"/>
      <c r="L567" s="7"/>
      <c r="M567" s="7"/>
      <c r="N567" s="7"/>
      <c r="O567" s="7"/>
    </row>
    <row r="568" ht="22.5" hidden="1" customHeight="1">
      <c r="A568" s="8">
        <v>45667.40586435185</v>
      </c>
      <c r="B568" s="9"/>
      <c r="C568" s="9" t="s">
        <v>48</v>
      </c>
      <c r="D568" s="9" t="s">
        <v>270</v>
      </c>
      <c r="E568" s="9" t="s">
        <v>44</v>
      </c>
      <c r="F568" s="9" t="s">
        <v>35</v>
      </c>
      <c r="G568" s="9" t="s">
        <v>19</v>
      </c>
      <c r="H568" s="9" t="s">
        <v>17</v>
      </c>
      <c r="I568" s="9" t="s">
        <v>20</v>
      </c>
      <c r="J568" s="10"/>
      <c r="K568" s="7"/>
      <c r="L568" s="7"/>
      <c r="M568" s="7"/>
      <c r="N568" s="7"/>
      <c r="O568" s="7"/>
    </row>
    <row r="569" ht="22.5" hidden="1" customHeight="1">
      <c r="A569" s="8">
        <v>45667.42558465278</v>
      </c>
      <c r="B569" s="9"/>
      <c r="C569" s="9" t="s">
        <v>48</v>
      </c>
      <c r="D569" s="9" t="s">
        <v>271</v>
      </c>
      <c r="E569" s="9" t="s">
        <v>17</v>
      </c>
      <c r="F569" s="9" t="s">
        <v>17</v>
      </c>
      <c r="G569" s="9" t="s">
        <v>24</v>
      </c>
      <c r="H569" s="9" t="s">
        <v>17</v>
      </c>
      <c r="I569" s="9" t="s">
        <v>20</v>
      </c>
      <c r="J569" s="10"/>
      <c r="K569" s="7"/>
      <c r="L569" s="7"/>
      <c r="M569" s="7"/>
      <c r="N569" s="7"/>
      <c r="O569" s="7"/>
    </row>
    <row r="570" ht="22.5" hidden="1" customHeight="1">
      <c r="A570" s="8">
        <v>45667.42339902778</v>
      </c>
      <c r="B570" s="9"/>
      <c r="C570" s="9" t="s">
        <v>48</v>
      </c>
      <c r="D570" s="9" t="s">
        <v>127</v>
      </c>
      <c r="E570" s="9" t="s">
        <v>17</v>
      </c>
      <c r="F570" s="9" t="s">
        <v>17</v>
      </c>
      <c r="G570" s="9" t="s">
        <v>24</v>
      </c>
      <c r="H570" s="9" t="s">
        <v>17</v>
      </c>
      <c r="I570" s="9" t="s">
        <v>20</v>
      </c>
      <c r="J570" s="10"/>
      <c r="K570" s="7"/>
      <c r="L570" s="7"/>
      <c r="M570" s="7"/>
      <c r="N570" s="7"/>
      <c r="O570" s="7"/>
    </row>
    <row r="571" ht="22.5" hidden="1" customHeight="1">
      <c r="A571" s="8">
        <v>45667.429785810185</v>
      </c>
      <c r="B571" s="9"/>
      <c r="C571" s="9" t="s">
        <v>48</v>
      </c>
      <c r="D571" s="9" t="s">
        <v>170</v>
      </c>
      <c r="E571" s="9" t="s">
        <v>17</v>
      </c>
      <c r="F571" s="9" t="s">
        <v>17</v>
      </c>
      <c r="G571" s="9" t="s">
        <v>24</v>
      </c>
      <c r="H571" s="9" t="s">
        <v>17</v>
      </c>
      <c r="I571" s="9" t="s">
        <v>20</v>
      </c>
      <c r="J571" s="10"/>
      <c r="K571" s="7"/>
      <c r="L571" s="7"/>
      <c r="M571" s="7"/>
      <c r="N571" s="7"/>
      <c r="O571" s="7"/>
    </row>
    <row r="572" ht="22.5" hidden="1" customHeight="1">
      <c r="A572" s="8">
        <v>45668.365116099536</v>
      </c>
      <c r="B572" s="9"/>
      <c r="C572" s="9" t="s">
        <v>53</v>
      </c>
      <c r="D572" s="9" t="s">
        <v>157</v>
      </c>
      <c r="E572" s="9" t="s">
        <v>61</v>
      </c>
      <c r="F572" s="9" t="s">
        <v>60</v>
      </c>
      <c r="G572" s="9" t="s">
        <v>40</v>
      </c>
      <c r="H572" s="9" t="s">
        <v>62</v>
      </c>
      <c r="I572" s="9" t="s">
        <v>20</v>
      </c>
      <c r="J572" s="10"/>
      <c r="K572" s="7"/>
      <c r="L572" s="7"/>
      <c r="M572" s="7"/>
      <c r="N572" s="7"/>
      <c r="O572" s="7"/>
    </row>
    <row r="573" ht="22.5" hidden="1" customHeight="1">
      <c r="A573" s="8">
        <v>45668.36609011574</v>
      </c>
      <c r="B573" s="9"/>
      <c r="C573" s="9" t="s">
        <v>53</v>
      </c>
      <c r="D573" s="9" t="s">
        <v>56</v>
      </c>
      <c r="E573" s="9" t="s">
        <v>44</v>
      </c>
      <c r="F573" s="9" t="s">
        <v>18</v>
      </c>
      <c r="G573" s="9" t="s">
        <v>24</v>
      </c>
      <c r="H573" s="9" t="s">
        <v>17</v>
      </c>
      <c r="I573" s="9" t="s">
        <v>20</v>
      </c>
      <c r="J573" s="10"/>
      <c r="K573" s="7"/>
      <c r="L573" s="7"/>
      <c r="M573" s="7"/>
      <c r="N573" s="7"/>
      <c r="O573" s="7"/>
    </row>
    <row r="574" ht="22.5" hidden="1" customHeight="1">
      <c r="A574" s="8">
        <v>45668.373690810186</v>
      </c>
      <c r="B574" s="9"/>
      <c r="C574" s="9" t="s">
        <v>53</v>
      </c>
      <c r="D574" s="9" t="s">
        <v>129</v>
      </c>
      <c r="E574" s="9" t="s">
        <v>44</v>
      </c>
      <c r="F574" s="9" t="s">
        <v>18</v>
      </c>
      <c r="G574" s="9" t="s">
        <v>24</v>
      </c>
      <c r="H574" s="9" t="s">
        <v>22</v>
      </c>
      <c r="I574" s="9" t="s">
        <v>20</v>
      </c>
      <c r="J574" s="10"/>
      <c r="K574" s="7"/>
      <c r="L574" s="7"/>
      <c r="M574" s="7"/>
      <c r="N574" s="7"/>
      <c r="O574" s="7"/>
    </row>
    <row r="575" ht="22.5" hidden="1" customHeight="1">
      <c r="A575" s="8">
        <v>45680.36258743056</v>
      </c>
      <c r="B575" s="9"/>
      <c r="C575" s="9" t="s">
        <v>31</v>
      </c>
      <c r="D575" s="9" t="s">
        <v>51</v>
      </c>
      <c r="E575" s="9" t="s">
        <v>17</v>
      </c>
      <c r="F575" s="9" t="s">
        <v>17</v>
      </c>
      <c r="G575" s="9" t="s">
        <v>24</v>
      </c>
      <c r="H575" s="9" t="s">
        <v>25</v>
      </c>
      <c r="I575" s="9" t="s">
        <v>37</v>
      </c>
      <c r="J575" s="10"/>
      <c r="K575" s="7"/>
      <c r="L575" s="7"/>
      <c r="M575" s="7"/>
      <c r="N575" s="7"/>
      <c r="O575" s="7"/>
    </row>
    <row r="576" ht="22.5" hidden="1" customHeight="1">
      <c r="A576" s="8">
        <v>45680.36306005787</v>
      </c>
      <c r="B576" s="9"/>
      <c r="C576" s="9" t="s">
        <v>31</v>
      </c>
      <c r="D576" s="9" t="s">
        <v>272</v>
      </c>
      <c r="E576" s="9" t="s">
        <v>17</v>
      </c>
      <c r="F576" s="9" t="s">
        <v>17</v>
      </c>
      <c r="G576" s="9" t="s">
        <v>19</v>
      </c>
      <c r="H576" s="9" t="s">
        <v>25</v>
      </c>
      <c r="I576" s="9" t="s">
        <v>266</v>
      </c>
      <c r="J576" s="10"/>
      <c r="K576" s="7"/>
      <c r="L576" s="7"/>
      <c r="M576" s="7"/>
      <c r="N576" s="7"/>
      <c r="O576" s="7"/>
    </row>
    <row r="577" ht="22.5" hidden="1" customHeight="1">
      <c r="A577" s="8">
        <v>45680.36340018519</v>
      </c>
      <c r="B577" s="9"/>
      <c r="C577" s="9" t="s">
        <v>31</v>
      </c>
      <c r="D577" s="9" t="s">
        <v>212</v>
      </c>
      <c r="E577" s="9" t="s">
        <v>17</v>
      </c>
      <c r="F577" s="9" t="s">
        <v>17</v>
      </c>
      <c r="G577" s="9" t="s">
        <v>24</v>
      </c>
      <c r="H577" s="9" t="s">
        <v>17</v>
      </c>
      <c r="I577" s="9" t="s">
        <v>20</v>
      </c>
      <c r="J577" s="10"/>
      <c r="K577" s="7"/>
      <c r="L577" s="7"/>
      <c r="M577" s="7"/>
      <c r="N577" s="7"/>
      <c r="O577" s="7"/>
    </row>
    <row r="578" ht="22.5" hidden="1" customHeight="1">
      <c r="A578" s="8">
        <v>45680.36383195602</v>
      </c>
      <c r="B578" s="9"/>
      <c r="C578" s="9" t="s">
        <v>31</v>
      </c>
      <c r="D578" s="9" t="s">
        <v>213</v>
      </c>
      <c r="E578" s="9" t="s">
        <v>17</v>
      </c>
      <c r="F578" s="9" t="s">
        <v>17</v>
      </c>
      <c r="G578" s="9" t="s">
        <v>24</v>
      </c>
      <c r="H578" s="9" t="s">
        <v>17</v>
      </c>
      <c r="I578" s="9" t="s">
        <v>273</v>
      </c>
      <c r="J578" s="10"/>
      <c r="K578" s="7"/>
      <c r="L578" s="7"/>
      <c r="M578" s="7"/>
      <c r="N578" s="7"/>
      <c r="O578" s="7"/>
    </row>
    <row r="579" ht="22.5" hidden="1" customHeight="1">
      <c r="A579" s="8">
        <v>45680.36563398148</v>
      </c>
      <c r="B579" s="9"/>
      <c r="C579" s="9" t="s">
        <v>31</v>
      </c>
      <c r="D579" s="9" t="s">
        <v>108</v>
      </c>
      <c r="E579" s="9" t="s">
        <v>17</v>
      </c>
      <c r="F579" s="9" t="s">
        <v>17</v>
      </c>
      <c r="G579" s="9" t="s">
        <v>24</v>
      </c>
      <c r="H579" s="9" t="s">
        <v>17</v>
      </c>
      <c r="I579" s="9" t="s">
        <v>20</v>
      </c>
      <c r="J579" s="10"/>
      <c r="K579" s="7"/>
      <c r="L579" s="7"/>
      <c r="M579" s="7"/>
      <c r="N579" s="7"/>
      <c r="O579" s="7"/>
    </row>
    <row r="580" ht="22.5" hidden="1" customHeight="1">
      <c r="A580" s="8">
        <v>45680.36633748843</v>
      </c>
      <c r="B580" s="9"/>
      <c r="C580" s="9" t="s">
        <v>31</v>
      </c>
      <c r="D580" s="9" t="s">
        <v>230</v>
      </c>
      <c r="E580" s="9" t="s">
        <v>17</v>
      </c>
      <c r="F580" s="9" t="s">
        <v>17</v>
      </c>
      <c r="G580" s="9" t="s">
        <v>24</v>
      </c>
      <c r="H580" s="9" t="s">
        <v>17</v>
      </c>
      <c r="I580" s="9" t="s">
        <v>20</v>
      </c>
      <c r="J580" s="10"/>
      <c r="K580" s="7"/>
      <c r="L580" s="7"/>
      <c r="M580" s="7"/>
      <c r="N580" s="7"/>
      <c r="O580" s="7"/>
    </row>
    <row r="581" ht="22.5" hidden="1" customHeight="1">
      <c r="A581" s="8">
        <v>45680.36800107639</v>
      </c>
      <c r="B581" s="9"/>
      <c r="C581" s="9" t="s">
        <v>31</v>
      </c>
      <c r="D581" s="9" t="s">
        <v>54</v>
      </c>
      <c r="E581" s="9" t="s">
        <v>44</v>
      </c>
      <c r="F581" s="9" t="s">
        <v>35</v>
      </c>
      <c r="G581" s="9" t="s">
        <v>19</v>
      </c>
      <c r="H581" s="9" t="s">
        <v>25</v>
      </c>
      <c r="I581" s="9" t="s">
        <v>173</v>
      </c>
      <c r="J581" s="10"/>
      <c r="K581" s="7"/>
      <c r="L581" s="7"/>
      <c r="M581" s="7"/>
      <c r="N581" s="7"/>
      <c r="O581" s="7"/>
    </row>
    <row r="582" ht="22.5" hidden="1" customHeight="1">
      <c r="A582" s="8">
        <v>45680.370904270836</v>
      </c>
      <c r="B582" s="9"/>
      <c r="C582" s="9" t="s">
        <v>31</v>
      </c>
      <c r="D582" s="9" t="s">
        <v>127</v>
      </c>
      <c r="E582" s="9" t="s">
        <v>17</v>
      </c>
      <c r="F582" s="9" t="s">
        <v>17</v>
      </c>
      <c r="G582" s="9" t="s">
        <v>24</v>
      </c>
      <c r="H582" s="9" t="s">
        <v>17</v>
      </c>
      <c r="I582" s="9" t="s">
        <v>20</v>
      </c>
      <c r="J582" s="10"/>
      <c r="K582" s="7"/>
      <c r="L582" s="7"/>
      <c r="M582" s="7"/>
      <c r="N582" s="7"/>
      <c r="O582" s="7"/>
    </row>
    <row r="583" ht="22.5" hidden="1" customHeight="1">
      <c r="A583" s="8">
        <v>45680.37357752315</v>
      </c>
      <c r="B583" s="9"/>
      <c r="C583" s="9" t="s">
        <v>31</v>
      </c>
      <c r="D583" s="9" t="s">
        <v>246</v>
      </c>
      <c r="E583" s="9" t="s">
        <v>17</v>
      </c>
      <c r="F583" s="9" t="s">
        <v>17</v>
      </c>
      <c r="G583" s="9" t="s">
        <v>24</v>
      </c>
      <c r="H583" s="9" t="s">
        <v>17</v>
      </c>
      <c r="I583" s="9" t="s">
        <v>28</v>
      </c>
      <c r="J583" s="10"/>
      <c r="K583" s="7"/>
      <c r="L583" s="7"/>
      <c r="M583" s="7"/>
      <c r="N583" s="7"/>
      <c r="O583" s="7"/>
    </row>
    <row r="584" ht="22.5" hidden="1" customHeight="1">
      <c r="A584" s="8">
        <v>45680.384480231485</v>
      </c>
      <c r="B584" s="9"/>
      <c r="C584" s="9" t="s">
        <v>31</v>
      </c>
      <c r="D584" s="9" t="s">
        <v>68</v>
      </c>
      <c r="E584" s="9" t="s">
        <v>17</v>
      </c>
      <c r="F584" s="9" t="s">
        <v>17</v>
      </c>
      <c r="G584" s="9" t="s">
        <v>24</v>
      </c>
      <c r="H584" s="9" t="s">
        <v>17</v>
      </c>
      <c r="I584" s="9" t="s">
        <v>20</v>
      </c>
      <c r="J584" s="10"/>
      <c r="K584" s="7"/>
      <c r="L584" s="7"/>
      <c r="M584" s="7"/>
      <c r="N584" s="7"/>
      <c r="O584" s="7"/>
    </row>
    <row r="585" ht="22.5" hidden="1" customHeight="1">
      <c r="A585" s="8">
        <v>45680.38526313657</v>
      </c>
      <c r="B585" s="9"/>
      <c r="C585" s="9" t="s">
        <v>31</v>
      </c>
      <c r="D585" s="9" t="s">
        <v>133</v>
      </c>
      <c r="E585" s="9" t="s">
        <v>17</v>
      </c>
      <c r="F585" s="9" t="s">
        <v>17</v>
      </c>
      <c r="G585" s="9" t="s">
        <v>24</v>
      </c>
      <c r="H585" s="9" t="s">
        <v>25</v>
      </c>
      <c r="I585" s="9" t="s">
        <v>173</v>
      </c>
      <c r="J585" s="10"/>
      <c r="K585" s="7"/>
      <c r="L585" s="7"/>
      <c r="M585" s="7"/>
      <c r="N585" s="7"/>
      <c r="O585" s="7"/>
    </row>
    <row r="586" ht="22.5" hidden="1" customHeight="1">
      <c r="A586" s="8">
        <v>45680.40693577546</v>
      </c>
      <c r="B586" s="9"/>
      <c r="C586" s="9" t="s">
        <v>31</v>
      </c>
      <c r="D586" s="9" t="s">
        <v>250</v>
      </c>
      <c r="E586" s="9" t="s">
        <v>17</v>
      </c>
      <c r="F586" s="9" t="s">
        <v>17</v>
      </c>
      <c r="G586" s="9" t="s">
        <v>24</v>
      </c>
      <c r="H586" s="9" t="s">
        <v>17</v>
      </c>
      <c r="I586" s="9" t="s">
        <v>273</v>
      </c>
      <c r="J586" s="10"/>
      <c r="K586" s="7"/>
      <c r="L586" s="7"/>
      <c r="M586" s="7"/>
      <c r="N586" s="7"/>
      <c r="O586" s="7"/>
    </row>
    <row r="587" ht="22.5" hidden="1" customHeight="1">
      <c r="A587" s="8">
        <v>45683.402316493055</v>
      </c>
      <c r="B587" s="9"/>
      <c r="C587" s="9" t="s">
        <v>58</v>
      </c>
      <c r="D587" s="9" t="s">
        <v>227</v>
      </c>
      <c r="E587" s="9" t="s">
        <v>17</v>
      </c>
      <c r="F587" s="9" t="s">
        <v>17</v>
      </c>
      <c r="G587" s="9" t="s">
        <v>24</v>
      </c>
      <c r="H587" s="9" t="s">
        <v>25</v>
      </c>
      <c r="I587" s="9" t="s">
        <v>117</v>
      </c>
      <c r="J587" s="10"/>
      <c r="K587" s="7"/>
      <c r="L587" s="7"/>
      <c r="M587" s="7"/>
      <c r="N587" s="7"/>
      <c r="O587" s="7"/>
    </row>
    <row r="588" ht="22.5" hidden="1" customHeight="1">
      <c r="A588" s="8">
        <v>45683.403919131946</v>
      </c>
      <c r="B588" s="9"/>
      <c r="C588" s="9" t="s">
        <v>58</v>
      </c>
      <c r="D588" s="9" t="s">
        <v>133</v>
      </c>
      <c r="E588" s="9" t="s">
        <v>17</v>
      </c>
      <c r="F588" s="9" t="s">
        <v>17</v>
      </c>
      <c r="G588" s="9" t="s">
        <v>24</v>
      </c>
      <c r="H588" s="9" t="s">
        <v>17</v>
      </c>
      <c r="I588" s="9" t="s">
        <v>20</v>
      </c>
      <c r="J588" s="10"/>
      <c r="K588" s="7"/>
      <c r="L588" s="7"/>
      <c r="M588" s="7"/>
      <c r="N588" s="7"/>
      <c r="O588" s="7"/>
    </row>
    <row r="589" ht="22.5" hidden="1" customHeight="1">
      <c r="A589" s="8">
        <v>45683.40459303241</v>
      </c>
      <c r="B589" s="9"/>
      <c r="C589" s="9" t="s">
        <v>58</v>
      </c>
      <c r="D589" s="9" t="s">
        <v>132</v>
      </c>
      <c r="E589" s="9" t="s">
        <v>44</v>
      </c>
      <c r="F589" s="9" t="s">
        <v>17</v>
      </c>
      <c r="G589" s="9" t="s">
        <v>19</v>
      </c>
      <c r="H589" s="9" t="s">
        <v>25</v>
      </c>
      <c r="I589" s="9" t="s">
        <v>240</v>
      </c>
      <c r="J589" s="10"/>
      <c r="K589" s="7"/>
      <c r="L589" s="7"/>
      <c r="M589" s="7"/>
      <c r="N589" s="7"/>
      <c r="O589" s="7"/>
    </row>
    <row r="590" ht="22.5" hidden="1" customHeight="1">
      <c r="A590" s="8">
        <v>45683.40610409722</v>
      </c>
      <c r="B590" s="9"/>
      <c r="C590" s="9" t="s">
        <v>58</v>
      </c>
      <c r="D590" s="9" t="s">
        <v>127</v>
      </c>
      <c r="E590" s="9" t="s">
        <v>61</v>
      </c>
      <c r="F590" s="9" t="s">
        <v>17</v>
      </c>
      <c r="G590" s="9" t="s">
        <v>40</v>
      </c>
      <c r="H590" s="9" t="s">
        <v>17</v>
      </c>
      <c r="I590" s="9" t="s">
        <v>20</v>
      </c>
      <c r="J590" s="10"/>
      <c r="K590" s="7"/>
      <c r="L590" s="7"/>
      <c r="M590" s="7"/>
      <c r="N590" s="7"/>
      <c r="O590" s="7"/>
    </row>
    <row r="591" ht="22.5" hidden="1" customHeight="1">
      <c r="A591" s="8">
        <v>45683.412911921296</v>
      </c>
      <c r="B591" s="9"/>
      <c r="C591" s="9" t="s">
        <v>58</v>
      </c>
      <c r="D591" s="9" t="s">
        <v>54</v>
      </c>
      <c r="E591" s="9" t="s">
        <v>17</v>
      </c>
      <c r="F591" s="9" t="s">
        <v>17</v>
      </c>
      <c r="G591" s="9" t="s">
        <v>19</v>
      </c>
      <c r="H591" s="9" t="s">
        <v>17</v>
      </c>
      <c r="I591" s="9" t="s">
        <v>20</v>
      </c>
      <c r="J591" s="10"/>
      <c r="K591" s="7"/>
      <c r="L591" s="7"/>
      <c r="M591" s="7"/>
      <c r="N591" s="7"/>
      <c r="O591" s="7"/>
    </row>
    <row r="592" ht="22.5" hidden="1" customHeight="1">
      <c r="A592" s="8">
        <v>45683.431281365745</v>
      </c>
      <c r="B592" s="9"/>
      <c r="C592" s="9" t="s">
        <v>58</v>
      </c>
      <c r="D592" s="9" t="s">
        <v>230</v>
      </c>
      <c r="E592" s="9" t="s">
        <v>17</v>
      </c>
      <c r="F592" s="9" t="s">
        <v>17</v>
      </c>
      <c r="G592" s="9" t="s">
        <v>24</v>
      </c>
      <c r="H592" s="9" t="s">
        <v>17</v>
      </c>
      <c r="I592" s="9" t="s">
        <v>274</v>
      </c>
      <c r="J592" s="10"/>
      <c r="K592" s="7"/>
      <c r="L592" s="7"/>
      <c r="M592" s="7"/>
      <c r="N592" s="7"/>
      <c r="O592" s="7"/>
    </row>
    <row r="593" ht="22.5" hidden="1" customHeight="1">
      <c r="A593" s="8">
        <v>45683.43603628472</v>
      </c>
      <c r="B593" s="9"/>
      <c r="C593" s="9" t="s">
        <v>58</v>
      </c>
      <c r="D593" s="9" t="s">
        <v>23</v>
      </c>
      <c r="E593" s="9" t="s">
        <v>17</v>
      </c>
      <c r="F593" s="9" t="s">
        <v>17</v>
      </c>
      <c r="G593" s="9" t="s">
        <v>40</v>
      </c>
      <c r="H593" s="9" t="s">
        <v>62</v>
      </c>
      <c r="I593" s="9" t="s">
        <v>20</v>
      </c>
      <c r="J593" s="10"/>
      <c r="K593" s="7"/>
      <c r="L593" s="7"/>
      <c r="M593" s="7"/>
      <c r="N593" s="7"/>
      <c r="O593" s="7"/>
    </row>
    <row r="594" ht="22.5" hidden="1" customHeight="1">
      <c r="A594" s="8">
        <v>45683.4435299537</v>
      </c>
      <c r="B594" s="9"/>
      <c r="C594" s="9" t="s">
        <v>58</v>
      </c>
      <c r="D594" s="9" t="s">
        <v>275</v>
      </c>
      <c r="E594" s="9" t="s">
        <v>17</v>
      </c>
      <c r="F594" s="9" t="s">
        <v>17</v>
      </c>
      <c r="G594" s="9" t="s">
        <v>19</v>
      </c>
      <c r="H594" s="9" t="s">
        <v>17</v>
      </c>
      <c r="I594" s="9" t="s">
        <v>20</v>
      </c>
      <c r="J594" s="10"/>
      <c r="K594" s="7"/>
      <c r="L594" s="7"/>
      <c r="M594" s="7"/>
      <c r="N594" s="7"/>
      <c r="O594" s="7"/>
    </row>
    <row r="595" ht="22.5" hidden="1" customHeight="1">
      <c r="A595" s="8">
        <v>45683.44853350695</v>
      </c>
      <c r="B595" s="9"/>
      <c r="C595" s="9" t="s">
        <v>58</v>
      </c>
      <c r="D595" s="9" t="s">
        <v>243</v>
      </c>
      <c r="E595" s="9" t="s">
        <v>17</v>
      </c>
      <c r="F595" s="9" t="s">
        <v>17</v>
      </c>
      <c r="G595" s="9" t="s">
        <v>24</v>
      </c>
      <c r="H595" s="9" t="s">
        <v>17</v>
      </c>
      <c r="I595" s="9" t="s">
        <v>89</v>
      </c>
      <c r="J595" s="10"/>
      <c r="K595" s="7"/>
      <c r="L595" s="7"/>
      <c r="M595" s="7"/>
      <c r="N595" s="7"/>
      <c r="O595" s="7"/>
    </row>
    <row r="596" ht="22.5" hidden="1" customHeight="1">
      <c r="A596" s="8">
        <v>45683.48441128472</v>
      </c>
      <c r="B596" s="9"/>
      <c r="C596" s="9" t="s">
        <v>58</v>
      </c>
      <c r="D596" s="9" t="s">
        <v>250</v>
      </c>
      <c r="E596" s="9" t="s">
        <v>17</v>
      </c>
      <c r="F596" s="9" t="s">
        <v>17</v>
      </c>
      <c r="G596" s="9" t="s">
        <v>24</v>
      </c>
      <c r="H596" s="9" t="s">
        <v>17</v>
      </c>
      <c r="I596" s="9" t="s">
        <v>20</v>
      </c>
      <c r="J596" s="10"/>
      <c r="K596" s="7"/>
      <c r="L596" s="7"/>
      <c r="M596" s="7"/>
      <c r="N596" s="7"/>
      <c r="O596" s="7"/>
    </row>
    <row r="597" ht="22.5" hidden="1" customHeight="1">
      <c r="A597" s="8">
        <v>45684.6434799537</v>
      </c>
      <c r="B597" s="9"/>
      <c r="C597" s="9" t="s">
        <v>86</v>
      </c>
      <c r="D597" s="9" t="s">
        <v>235</v>
      </c>
      <c r="E597" s="9" t="s">
        <v>17</v>
      </c>
      <c r="F597" s="9" t="s">
        <v>17</v>
      </c>
      <c r="G597" s="9" t="s">
        <v>19</v>
      </c>
      <c r="H597" s="9" t="s">
        <v>25</v>
      </c>
      <c r="I597" s="9" t="s">
        <v>276</v>
      </c>
      <c r="J597" s="10"/>
      <c r="K597" s="7"/>
      <c r="L597" s="7"/>
      <c r="M597" s="7"/>
      <c r="N597" s="7"/>
      <c r="O597" s="7"/>
    </row>
    <row r="598" ht="22.5" hidden="1" customHeight="1">
      <c r="A598" s="8">
        <v>45684.68269248842</v>
      </c>
      <c r="B598" s="9"/>
      <c r="C598" s="9" t="s">
        <v>86</v>
      </c>
      <c r="D598" s="9" t="s">
        <v>227</v>
      </c>
      <c r="E598" s="9" t="s">
        <v>17</v>
      </c>
      <c r="F598" s="9" t="s">
        <v>17</v>
      </c>
      <c r="G598" s="9" t="s">
        <v>19</v>
      </c>
      <c r="H598" s="9" t="s">
        <v>17</v>
      </c>
      <c r="I598" s="9" t="s">
        <v>20</v>
      </c>
      <c r="J598" s="10"/>
      <c r="K598" s="7"/>
      <c r="L598" s="7"/>
      <c r="M598" s="7"/>
      <c r="N598" s="7"/>
      <c r="O598" s="7"/>
    </row>
    <row r="599" ht="22.5" hidden="1" customHeight="1">
      <c r="A599" s="8">
        <v>45684.68331385417</v>
      </c>
      <c r="B599" s="9"/>
      <c r="C599" s="9" t="s">
        <v>86</v>
      </c>
      <c r="D599" s="9" t="s">
        <v>23</v>
      </c>
      <c r="E599" s="9" t="s">
        <v>46</v>
      </c>
      <c r="F599" s="9" t="s">
        <v>17</v>
      </c>
      <c r="G599" s="9" t="s">
        <v>19</v>
      </c>
      <c r="H599" s="9" t="s">
        <v>25</v>
      </c>
      <c r="I599" s="9" t="s">
        <v>248</v>
      </c>
      <c r="J599" s="10"/>
      <c r="K599" s="7"/>
      <c r="L599" s="7"/>
      <c r="M599" s="7"/>
      <c r="N599" s="7"/>
      <c r="O599" s="7"/>
    </row>
    <row r="600" ht="22.5" hidden="1" customHeight="1">
      <c r="A600" s="8">
        <v>45684.68364739583</v>
      </c>
      <c r="B600" s="9"/>
      <c r="C600" s="9" t="s">
        <v>86</v>
      </c>
      <c r="D600" s="9" t="s">
        <v>213</v>
      </c>
      <c r="E600" s="9" t="s">
        <v>17</v>
      </c>
      <c r="F600" s="9" t="s">
        <v>17</v>
      </c>
      <c r="G600" s="9" t="s">
        <v>24</v>
      </c>
      <c r="H600" s="9" t="s">
        <v>17</v>
      </c>
      <c r="I600" s="9" t="s">
        <v>20</v>
      </c>
      <c r="J600" s="10"/>
      <c r="K600" s="7"/>
      <c r="L600" s="7"/>
      <c r="M600" s="7"/>
      <c r="N600" s="7"/>
      <c r="O600" s="7"/>
    </row>
    <row r="601" ht="22.5" hidden="1" customHeight="1">
      <c r="A601" s="8">
        <v>45684.68414380787</v>
      </c>
      <c r="B601" s="9"/>
      <c r="C601" s="9" t="s">
        <v>86</v>
      </c>
      <c r="D601" s="9" t="s">
        <v>127</v>
      </c>
      <c r="E601" s="9" t="s">
        <v>17</v>
      </c>
      <c r="F601" s="9" t="s">
        <v>17</v>
      </c>
      <c r="G601" s="9" t="s">
        <v>24</v>
      </c>
      <c r="H601" s="9" t="s">
        <v>25</v>
      </c>
      <c r="I601" s="9" t="s">
        <v>41</v>
      </c>
      <c r="J601" s="10"/>
      <c r="K601" s="7"/>
      <c r="L601" s="7"/>
      <c r="M601" s="7"/>
      <c r="N601" s="7"/>
      <c r="O601" s="7"/>
    </row>
    <row r="602" ht="22.5" hidden="1" customHeight="1">
      <c r="A602" s="8">
        <v>45684.68447202546</v>
      </c>
      <c r="B602" s="9"/>
      <c r="C602" s="9" t="s">
        <v>86</v>
      </c>
      <c r="D602" s="9" t="s">
        <v>51</v>
      </c>
      <c r="E602" s="9" t="s">
        <v>17</v>
      </c>
      <c r="F602" s="9" t="s">
        <v>17</v>
      </c>
      <c r="G602" s="9" t="s">
        <v>19</v>
      </c>
      <c r="H602" s="9" t="s">
        <v>17</v>
      </c>
      <c r="I602" s="9" t="s">
        <v>20</v>
      </c>
      <c r="J602" s="10"/>
      <c r="K602" s="7"/>
      <c r="L602" s="7"/>
      <c r="M602" s="7"/>
      <c r="N602" s="7"/>
      <c r="O602" s="7"/>
    </row>
    <row r="603" ht="22.5" hidden="1" customHeight="1">
      <c r="A603" s="8">
        <v>45684.6895553125</v>
      </c>
      <c r="B603" s="9"/>
      <c r="C603" s="9" t="s">
        <v>86</v>
      </c>
      <c r="D603" s="9" t="s">
        <v>230</v>
      </c>
      <c r="E603" s="9" t="s">
        <v>17</v>
      </c>
      <c r="F603" s="9" t="s">
        <v>43</v>
      </c>
      <c r="G603" s="9" t="s">
        <v>19</v>
      </c>
      <c r="H603" s="9" t="s">
        <v>25</v>
      </c>
      <c r="I603" s="9" t="s">
        <v>37</v>
      </c>
      <c r="J603" s="10"/>
      <c r="K603" s="7"/>
      <c r="L603" s="7"/>
      <c r="M603" s="7"/>
      <c r="N603" s="7"/>
      <c r="O603" s="7"/>
    </row>
    <row r="604" ht="22.5" hidden="1" customHeight="1">
      <c r="A604" s="8">
        <v>45684.69027923611</v>
      </c>
      <c r="B604" s="9"/>
      <c r="C604" s="9" t="s">
        <v>86</v>
      </c>
      <c r="D604" s="9" t="s">
        <v>243</v>
      </c>
      <c r="E604" s="9" t="s">
        <v>17</v>
      </c>
      <c r="F604" s="9" t="s">
        <v>17</v>
      </c>
      <c r="G604" s="9" t="s">
        <v>24</v>
      </c>
      <c r="H604" s="9" t="s">
        <v>17</v>
      </c>
      <c r="I604" s="9" t="s">
        <v>20</v>
      </c>
      <c r="J604" s="10"/>
      <c r="K604" s="7"/>
      <c r="L604" s="7"/>
      <c r="M604" s="7"/>
      <c r="N604" s="7"/>
      <c r="O604" s="7"/>
    </row>
    <row r="605" ht="22.5" hidden="1" customHeight="1">
      <c r="A605" s="8">
        <v>45684.69145077546</v>
      </c>
      <c r="B605" s="9"/>
      <c r="C605" s="9" t="s">
        <v>86</v>
      </c>
      <c r="D605" s="9" t="s">
        <v>102</v>
      </c>
      <c r="E605" s="9" t="s">
        <v>17</v>
      </c>
      <c r="F605" s="9" t="s">
        <v>17</v>
      </c>
      <c r="G605" s="9" t="s">
        <v>24</v>
      </c>
      <c r="H605" s="9" t="s">
        <v>17</v>
      </c>
      <c r="I605" s="9" t="s">
        <v>20</v>
      </c>
      <c r="J605" s="10"/>
      <c r="K605" s="7"/>
      <c r="L605" s="7"/>
      <c r="M605" s="7"/>
      <c r="N605" s="7"/>
      <c r="O605" s="7"/>
    </row>
    <row r="606" ht="22.5" hidden="1" customHeight="1">
      <c r="A606" s="8">
        <v>45684.69388210648</v>
      </c>
      <c r="B606" s="9"/>
      <c r="C606" s="9" t="s">
        <v>86</v>
      </c>
      <c r="D606" s="9" t="s">
        <v>107</v>
      </c>
      <c r="E606" s="9" t="s">
        <v>46</v>
      </c>
      <c r="F606" s="9" t="s">
        <v>17</v>
      </c>
      <c r="G606" s="9" t="s">
        <v>24</v>
      </c>
      <c r="H606" s="9" t="s">
        <v>25</v>
      </c>
      <c r="I606" s="9" t="s">
        <v>211</v>
      </c>
      <c r="J606" s="10"/>
      <c r="K606" s="7"/>
      <c r="L606" s="7"/>
      <c r="M606" s="7"/>
      <c r="N606" s="7"/>
      <c r="O606" s="7"/>
    </row>
    <row r="607" ht="22.5" hidden="1" customHeight="1">
      <c r="A607" s="8">
        <v>45684.69898796296</v>
      </c>
      <c r="B607" s="9"/>
      <c r="C607" s="9" t="s">
        <v>86</v>
      </c>
      <c r="D607" s="9" t="s">
        <v>54</v>
      </c>
      <c r="E607" s="9" t="s">
        <v>17</v>
      </c>
      <c r="F607" s="9" t="s">
        <v>17</v>
      </c>
      <c r="G607" s="9" t="s">
        <v>19</v>
      </c>
      <c r="H607" s="9" t="s">
        <v>17</v>
      </c>
      <c r="I607" s="9" t="s">
        <v>20</v>
      </c>
      <c r="J607" s="10"/>
      <c r="K607" s="7"/>
      <c r="L607" s="7"/>
      <c r="M607" s="7"/>
      <c r="N607" s="7"/>
      <c r="O607" s="7"/>
    </row>
    <row r="608" ht="22.5" hidden="1" customHeight="1">
      <c r="A608" s="8">
        <v>45685.34250571759</v>
      </c>
      <c r="B608" s="9"/>
      <c r="C608" s="9" t="s">
        <v>110</v>
      </c>
      <c r="D608" s="9" t="s">
        <v>132</v>
      </c>
      <c r="E608" s="9" t="s">
        <v>17</v>
      </c>
      <c r="F608" s="9" t="s">
        <v>17</v>
      </c>
      <c r="G608" s="9" t="s">
        <v>24</v>
      </c>
      <c r="H608" s="9" t="s">
        <v>25</v>
      </c>
      <c r="I608" s="9" t="s">
        <v>240</v>
      </c>
      <c r="J608" s="10"/>
      <c r="K608" s="7"/>
      <c r="L608" s="7"/>
      <c r="M608" s="7"/>
      <c r="N608" s="7"/>
      <c r="O608" s="7"/>
    </row>
    <row r="609" ht="22.5" hidden="1" customHeight="1">
      <c r="A609" s="8">
        <v>45685.34284150463</v>
      </c>
      <c r="B609" s="9"/>
      <c r="C609" s="9" t="s">
        <v>110</v>
      </c>
      <c r="D609" s="9" t="s">
        <v>268</v>
      </c>
      <c r="E609" s="9" t="s">
        <v>17</v>
      </c>
      <c r="F609" s="9" t="s">
        <v>17</v>
      </c>
      <c r="G609" s="9" t="s">
        <v>24</v>
      </c>
      <c r="H609" s="9" t="s">
        <v>17</v>
      </c>
      <c r="I609" s="9" t="s">
        <v>20</v>
      </c>
      <c r="J609" s="10"/>
      <c r="K609" s="7"/>
      <c r="L609" s="7"/>
      <c r="M609" s="7"/>
      <c r="N609" s="7"/>
      <c r="O609" s="7"/>
    </row>
    <row r="610" ht="22.5" hidden="1" customHeight="1">
      <c r="A610" s="8">
        <v>45685.34347892361</v>
      </c>
      <c r="B610" s="9"/>
      <c r="C610" s="9" t="s">
        <v>110</v>
      </c>
      <c r="D610" s="9" t="s">
        <v>277</v>
      </c>
      <c r="E610" s="9" t="s">
        <v>46</v>
      </c>
      <c r="F610" s="9" t="s">
        <v>35</v>
      </c>
      <c r="G610" s="9" t="s">
        <v>24</v>
      </c>
      <c r="H610" s="9" t="s">
        <v>17</v>
      </c>
      <c r="I610" s="9" t="s">
        <v>20</v>
      </c>
      <c r="J610" s="10"/>
      <c r="K610" s="7"/>
      <c r="L610" s="7"/>
      <c r="M610" s="7"/>
      <c r="N610" s="7"/>
      <c r="O610" s="7"/>
    </row>
    <row r="611" ht="22.5" hidden="1" customHeight="1">
      <c r="A611" s="8">
        <v>45685.343976874996</v>
      </c>
      <c r="B611" s="9"/>
      <c r="C611" s="9" t="s">
        <v>110</v>
      </c>
      <c r="D611" s="9" t="s">
        <v>278</v>
      </c>
      <c r="E611" s="9" t="s">
        <v>17</v>
      </c>
      <c r="F611" s="9" t="s">
        <v>17</v>
      </c>
      <c r="G611" s="9" t="s">
        <v>24</v>
      </c>
      <c r="H611" s="9" t="s">
        <v>25</v>
      </c>
      <c r="I611" s="9" t="s">
        <v>218</v>
      </c>
      <c r="J611" s="10"/>
      <c r="K611" s="7"/>
      <c r="L611" s="7"/>
      <c r="M611" s="7"/>
      <c r="N611" s="7"/>
      <c r="O611" s="7"/>
    </row>
    <row r="612" ht="22.5" hidden="1" customHeight="1">
      <c r="A612" s="8">
        <v>45685.3456540162</v>
      </c>
      <c r="B612" s="9"/>
      <c r="C612" s="9" t="s">
        <v>110</v>
      </c>
      <c r="D612" s="9" t="s">
        <v>133</v>
      </c>
      <c r="E612" s="9" t="s">
        <v>17</v>
      </c>
      <c r="F612" s="9" t="s">
        <v>17</v>
      </c>
      <c r="G612" s="9" t="s">
        <v>24</v>
      </c>
      <c r="H612" s="9" t="s">
        <v>17</v>
      </c>
      <c r="I612" s="9" t="s">
        <v>20</v>
      </c>
      <c r="J612" s="10"/>
      <c r="K612" s="7"/>
      <c r="L612" s="7"/>
      <c r="M612" s="7"/>
      <c r="N612" s="7"/>
      <c r="O612" s="7"/>
    </row>
    <row r="613" ht="22.5" hidden="1" customHeight="1">
      <c r="A613" s="8">
        <v>45686.44305395833</v>
      </c>
      <c r="B613" s="9"/>
      <c r="C613" s="9" t="s">
        <v>15</v>
      </c>
      <c r="D613" s="9" t="s">
        <v>279</v>
      </c>
      <c r="E613" s="9" t="s">
        <v>17</v>
      </c>
      <c r="F613" s="9" t="s">
        <v>43</v>
      </c>
      <c r="G613" s="9" t="s">
        <v>24</v>
      </c>
      <c r="H613" s="9" t="s">
        <v>17</v>
      </c>
      <c r="I613" s="9" t="s">
        <v>20</v>
      </c>
      <c r="J613" s="10"/>
      <c r="K613" s="7"/>
      <c r="L613" s="7"/>
      <c r="M613" s="7"/>
      <c r="N613" s="7"/>
      <c r="O613" s="7"/>
    </row>
    <row r="614" ht="22.5" hidden="1" customHeight="1">
      <c r="A614" s="8">
        <v>45686.44350577546</v>
      </c>
      <c r="B614" s="9"/>
      <c r="C614" s="9" t="s">
        <v>15</v>
      </c>
      <c r="D614" s="9" t="s">
        <v>68</v>
      </c>
      <c r="E614" s="9" t="s">
        <v>17</v>
      </c>
      <c r="F614" s="9" t="s">
        <v>17</v>
      </c>
      <c r="G614" s="9" t="s">
        <v>24</v>
      </c>
      <c r="H614" s="9" t="s">
        <v>17</v>
      </c>
      <c r="I614" s="9" t="s">
        <v>20</v>
      </c>
      <c r="J614" s="10"/>
      <c r="K614" s="7"/>
      <c r="L614" s="7"/>
      <c r="M614" s="7"/>
      <c r="N614" s="7"/>
      <c r="O614" s="7"/>
    </row>
    <row r="615" ht="22.5" hidden="1" customHeight="1">
      <c r="A615" s="8">
        <v>45686.44373326389</v>
      </c>
      <c r="B615" s="9"/>
      <c r="C615" s="9" t="s">
        <v>15</v>
      </c>
      <c r="D615" s="9" t="s">
        <v>268</v>
      </c>
      <c r="E615" s="9" t="s">
        <v>17</v>
      </c>
      <c r="F615" s="9" t="s">
        <v>17</v>
      </c>
      <c r="G615" s="9" t="s">
        <v>24</v>
      </c>
      <c r="H615" s="9" t="s">
        <v>17</v>
      </c>
      <c r="I615" s="9" t="s">
        <v>20</v>
      </c>
      <c r="J615" s="10"/>
      <c r="K615" s="7"/>
      <c r="L615" s="7"/>
      <c r="M615" s="7"/>
      <c r="N615" s="7"/>
      <c r="O615" s="7"/>
    </row>
    <row r="616" ht="22.5" hidden="1" customHeight="1">
      <c r="A616" s="8">
        <v>45686.44423247685</v>
      </c>
      <c r="B616" s="9"/>
      <c r="C616" s="9" t="s">
        <v>15</v>
      </c>
      <c r="D616" s="9" t="s">
        <v>280</v>
      </c>
      <c r="E616" s="9" t="s">
        <v>17</v>
      </c>
      <c r="F616" s="9" t="s">
        <v>17</v>
      </c>
      <c r="G616" s="9" t="s">
        <v>24</v>
      </c>
      <c r="H616" s="9" t="s">
        <v>17</v>
      </c>
      <c r="I616" s="9" t="s">
        <v>240</v>
      </c>
      <c r="J616" s="10"/>
      <c r="K616" s="7"/>
      <c r="L616" s="7"/>
      <c r="M616" s="7"/>
      <c r="N616" s="7"/>
      <c r="O616" s="7"/>
    </row>
    <row r="617" ht="22.5" hidden="1" customHeight="1">
      <c r="A617" s="8">
        <v>45686.444709918986</v>
      </c>
      <c r="B617" s="9"/>
      <c r="C617" s="9" t="s">
        <v>15</v>
      </c>
      <c r="D617" s="9" t="s">
        <v>127</v>
      </c>
      <c r="E617" s="9" t="s">
        <v>17</v>
      </c>
      <c r="F617" s="9" t="s">
        <v>17</v>
      </c>
      <c r="G617" s="9" t="s">
        <v>24</v>
      </c>
      <c r="H617" s="9" t="s">
        <v>17</v>
      </c>
      <c r="I617" s="9" t="s">
        <v>26</v>
      </c>
      <c r="J617" s="10"/>
      <c r="K617" s="7"/>
      <c r="L617" s="7"/>
      <c r="M617" s="7"/>
      <c r="N617" s="7"/>
      <c r="O617" s="7"/>
    </row>
    <row r="618" ht="22.5" hidden="1" customHeight="1">
      <c r="A618" s="8">
        <v>45686.44508899306</v>
      </c>
      <c r="B618" s="9"/>
      <c r="C618" s="9" t="s">
        <v>15</v>
      </c>
      <c r="D618" s="9" t="s">
        <v>51</v>
      </c>
      <c r="E618" s="9" t="s">
        <v>17</v>
      </c>
      <c r="F618" s="9" t="s">
        <v>17</v>
      </c>
      <c r="G618" s="9" t="s">
        <v>24</v>
      </c>
      <c r="H618" s="9" t="s">
        <v>17</v>
      </c>
      <c r="I618" s="9" t="s">
        <v>20</v>
      </c>
      <c r="J618" s="10"/>
      <c r="K618" s="7"/>
      <c r="L618" s="7"/>
      <c r="M618" s="7"/>
      <c r="N618" s="7"/>
      <c r="O618" s="7"/>
    </row>
    <row r="619" ht="22.5" hidden="1" customHeight="1">
      <c r="A619" s="8">
        <v>45686.44539541667</v>
      </c>
      <c r="B619" s="9"/>
      <c r="C619" s="9" t="s">
        <v>15</v>
      </c>
      <c r="D619" s="9" t="s">
        <v>132</v>
      </c>
      <c r="E619" s="9" t="s">
        <v>17</v>
      </c>
      <c r="F619" s="9" t="s">
        <v>17</v>
      </c>
      <c r="G619" s="9" t="s">
        <v>24</v>
      </c>
      <c r="H619" s="9" t="s">
        <v>25</v>
      </c>
      <c r="I619" s="9" t="s">
        <v>240</v>
      </c>
      <c r="J619" s="10"/>
      <c r="K619" s="7"/>
      <c r="L619" s="7"/>
      <c r="M619" s="7"/>
      <c r="N619" s="7"/>
      <c r="O619" s="7"/>
    </row>
    <row r="620" ht="22.5" hidden="1" customHeight="1">
      <c r="A620" s="8">
        <v>45686.44948347222</v>
      </c>
      <c r="B620" s="9"/>
      <c r="C620" s="9" t="s">
        <v>15</v>
      </c>
      <c r="D620" s="9" t="s">
        <v>23</v>
      </c>
      <c r="E620" s="9" t="s">
        <v>61</v>
      </c>
      <c r="F620" s="9" t="s">
        <v>17</v>
      </c>
      <c r="G620" s="9" t="s">
        <v>24</v>
      </c>
      <c r="H620" s="9" t="s">
        <v>25</v>
      </c>
      <c r="I620" s="9" t="s">
        <v>211</v>
      </c>
      <c r="J620" s="10"/>
      <c r="K620" s="7"/>
      <c r="L620" s="7"/>
      <c r="M620" s="7"/>
      <c r="N620" s="7"/>
      <c r="O620" s="7"/>
    </row>
    <row r="621" ht="22.5" hidden="1" customHeight="1">
      <c r="A621" s="8">
        <v>45686.45634217592</v>
      </c>
      <c r="B621" s="9"/>
      <c r="C621" s="9" t="s">
        <v>15</v>
      </c>
      <c r="D621" s="9" t="s">
        <v>206</v>
      </c>
      <c r="E621" s="9" t="s">
        <v>17</v>
      </c>
      <c r="F621" s="9" t="s">
        <v>17</v>
      </c>
      <c r="G621" s="9" t="s">
        <v>24</v>
      </c>
      <c r="H621" s="9" t="s">
        <v>25</v>
      </c>
      <c r="I621" s="9" t="s">
        <v>137</v>
      </c>
      <c r="J621" s="10"/>
      <c r="K621" s="7"/>
      <c r="L621" s="7"/>
      <c r="M621" s="7"/>
      <c r="N621" s="7"/>
      <c r="O621" s="7"/>
    </row>
    <row r="622" ht="22.5" hidden="1" customHeight="1">
      <c r="A622" s="8">
        <v>45687.379607662035</v>
      </c>
      <c r="B622" s="9"/>
      <c r="C622" s="9" t="s">
        <v>31</v>
      </c>
      <c r="D622" s="9" t="s">
        <v>23</v>
      </c>
      <c r="E622" s="9" t="s">
        <v>17</v>
      </c>
      <c r="F622" s="9" t="s">
        <v>17</v>
      </c>
      <c r="G622" s="9" t="s">
        <v>24</v>
      </c>
      <c r="H622" s="9" t="s">
        <v>17</v>
      </c>
      <c r="I622" s="9" t="s">
        <v>211</v>
      </c>
      <c r="J622" s="10"/>
      <c r="K622" s="7"/>
      <c r="L622" s="7"/>
      <c r="M622" s="7"/>
      <c r="N622" s="7"/>
      <c r="O622" s="7"/>
    </row>
    <row r="623" ht="22.5" hidden="1" customHeight="1">
      <c r="A623" s="8">
        <v>45687.37986858796</v>
      </c>
      <c r="B623" s="9"/>
      <c r="C623" s="9" t="s">
        <v>31</v>
      </c>
      <c r="D623" s="9" t="s">
        <v>51</v>
      </c>
      <c r="E623" s="9" t="s">
        <v>17</v>
      </c>
      <c r="F623" s="9" t="s">
        <v>17</v>
      </c>
      <c r="G623" s="9" t="s">
        <v>24</v>
      </c>
      <c r="H623" s="9" t="s">
        <v>17</v>
      </c>
      <c r="I623" s="9" t="s">
        <v>20</v>
      </c>
      <c r="J623" s="10"/>
      <c r="K623" s="7"/>
      <c r="L623" s="7"/>
      <c r="M623" s="7"/>
      <c r="N623" s="7"/>
      <c r="O623" s="7"/>
    </row>
    <row r="624" ht="22.5" hidden="1" customHeight="1">
      <c r="A624" s="8">
        <v>45687.38023043981</v>
      </c>
      <c r="B624" s="9"/>
      <c r="C624" s="9" t="s">
        <v>31</v>
      </c>
      <c r="D624" s="9" t="s">
        <v>259</v>
      </c>
      <c r="E624" s="9" t="s">
        <v>17</v>
      </c>
      <c r="F624" s="9" t="s">
        <v>17</v>
      </c>
      <c r="G624" s="9" t="s">
        <v>19</v>
      </c>
      <c r="H624" s="9" t="s">
        <v>17</v>
      </c>
      <c r="I624" s="9" t="s">
        <v>20</v>
      </c>
      <c r="J624" s="10"/>
      <c r="K624" s="7"/>
      <c r="L624" s="7"/>
      <c r="M624" s="7"/>
      <c r="N624" s="7"/>
      <c r="O624" s="7"/>
    </row>
    <row r="625" ht="22.5" hidden="1" customHeight="1">
      <c r="A625" s="8">
        <v>45687.38050460648</v>
      </c>
      <c r="B625" s="9"/>
      <c r="C625" s="9" t="s">
        <v>31</v>
      </c>
      <c r="D625" s="9" t="s">
        <v>230</v>
      </c>
      <c r="E625" s="9" t="s">
        <v>17</v>
      </c>
      <c r="F625" s="9" t="s">
        <v>18</v>
      </c>
      <c r="G625" s="9" t="s">
        <v>24</v>
      </c>
      <c r="H625" s="9" t="s">
        <v>17</v>
      </c>
      <c r="I625" s="9" t="s">
        <v>20</v>
      </c>
      <c r="J625" s="10"/>
      <c r="K625" s="7"/>
      <c r="L625" s="7"/>
      <c r="M625" s="7"/>
      <c r="N625" s="7"/>
      <c r="O625" s="7"/>
    </row>
    <row r="626" ht="22.5" hidden="1" customHeight="1">
      <c r="A626" s="8">
        <v>45687.38100357639</v>
      </c>
      <c r="B626" s="9"/>
      <c r="C626" s="9" t="s">
        <v>31</v>
      </c>
      <c r="D626" s="9" t="s">
        <v>281</v>
      </c>
      <c r="E626" s="9" t="s">
        <v>17</v>
      </c>
      <c r="F626" s="9" t="s">
        <v>17</v>
      </c>
      <c r="G626" s="9" t="s">
        <v>24</v>
      </c>
      <c r="H626" s="9" t="s">
        <v>17</v>
      </c>
      <c r="I626" s="9" t="s">
        <v>20</v>
      </c>
      <c r="J626" s="10"/>
      <c r="K626" s="7"/>
      <c r="L626" s="7"/>
      <c r="M626" s="7"/>
      <c r="N626" s="7"/>
      <c r="O626" s="7"/>
    </row>
    <row r="627" ht="22.5" hidden="1" customHeight="1">
      <c r="A627" s="8">
        <v>45687.381395185184</v>
      </c>
      <c r="B627" s="9"/>
      <c r="C627" s="9" t="s">
        <v>31</v>
      </c>
      <c r="D627" s="9" t="s">
        <v>206</v>
      </c>
      <c r="E627" s="9" t="s">
        <v>17</v>
      </c>
      <c r="F627" s="9" t="s">
        <v>17</v>
      </c>
      <c r="G627" s="9" t="s">
        <v>24</v>
      </c>
      <c r="H627" s="9" t="s">
        <v>25</v>
      </c>
      <c r="I627" s="9" t="s">
        <v>137</v>
      </c>
      <c r="J627" s="10"/>
      <c r="K627" s="7"/>
      <c r="L627" s="7"/>
      <c r="M627" s="7"/>
      <c r="N627" s="7"/>
      <c r="O627" s="7"/>
    </row>
    <row r="628" ht="22.5" hidden="1" customHeight="1">
      <c r="A628" s="8">
        <v>45687.382137002314</v>
      </c>
      <c r="B628" s="9"/>
      <c r="C628" s="9" t="s">
        <v>31</v>
      </c>
      <c r="D628" s="9" t="s">
        <v>127</v>
      </c>
      <c r="E628" s="9" t="s">
        <v>46</v>
      </c>
      <c r="F628" s="9" t="s">
        <v>17</v>
      </c>
      <c r="G628" s="9" t="s">
        <v>24</v>
      </c>
      <c r="H628" s="9" t="s">
        <v>17</v>
      </c>
      <c r="I628" s="9" t="s">
        <v>117</v>
      </c>
      <c r="J628" s="10"/>
      <c r="K628" s="7"/>
      <c r="L628" s="7"/>
      <c r="M628" s="7"/>
      <c r="N628" s="7"/>
      <c r="O628" s="7"/>
    </row>
    <row r="629" ht="22.5" hidden="1" customHeight="1">
      <c r="A629" s="8">
        <v>45687.38282337963</v>
      </c>
      <c r="B629" s="9"/>
      <c r="C629" s="9" t="s">
        <v>31</v>
      </c>
      <c r="D629" s="9" t="s">
        <v>223</v>
      </c>
      <c r="E629" s="9" t="s">
        <v>17</v>
      </c>
      <c r="F629" s="9" t="s">
        <v>17</v>
      </c>
      <c r="G629" s="9" t="s">
        <v>24</v>
      </c>
      <c r="H629" s="9" t="s">
        <v>17</v>
      </c>
      <c r="I629" s="9" t="s">
        <v>20</v>
      </c>
      <c r="J629" s="10"/>
      <c r="K629" s="7"/>
      <c r="L629" s="7"/>
      <c r="M629" s="7"/>
      <c r="N629" s="7"/>
      <c r="O629" s="7"/>
    </row>
    <row r="630" ht="22.5" hidden="1" customHeight="1">
      <c r="A630" s="8">
        <v>45687.3873699074</v>
      </c>
      <c r="B630" s="9"/>
      <c r="C630" s="9" t="s">
        <v>31</v>
      </c>
      <c r="D630" s="9" t="s">
        <v>68</v>
      </c>
      <c r="E630" s="9" t="s">
        <v>17</v>
      </c>
      <c r="F630" s="9" t="s">
        <v>17</v>
      </c>
      <c r="G630" s="9" t="s">
        <v>24</v>
      </c>
      <c r="H630" s="9" t="s">
        <v>17</v>
      </c>
      <c r="I630" s="9" t="s">
        <v>20</v>
      </c>
      <c r="J630" s="10"/>
      <c r="K630" s="7"/>
      <c r="L630" s="7"/>
      <c r="M630" s="7"/>
      <c r="N630" s="7"/>
      <c r="O630" s="7"/>
    </row>
    <row r="631" ht="22.5" hidden="1" customHeight="1">
      <c r="A631" s="8">
        <v>45687.39228231482</v>
      </c>
      <c r="B631" s="9"/>
      <c r="C631" s="9" t="s">
        <v>31</v>
      </c>
      <c r="D631" s="9" t="s">
        <v>132</v>
      </c>
      <c r="E631" s="9" t="s">
        <v>17</v>
      </c>
      <c r="F631" s="9" t="s">
        <v>17</v>
      </c>
      <c r="G631" s="9" t="s">
        <v>24</v>
      </c>
      <c r="H631" s="9" t="s">
        <v>25</v>
      </c>
      <c r="I631" s="9" t="s">
        <v>240</v>
      </c>
      <c r="J631" s="10"/>
      <c r="K631" s="7"/>
      <c r="L631" s="7"/>
      <c r="M631" s="7"/>
      <c r="N631" s="7"/>
      <c r="O631" s="7"/>
    </row>
    <row r="632" ht="22.5" hidden="1" customHeight="1">
      <c r="A632" s="8">
        <v>45687.394483738426</v>
      </c>
      <c r="B632" s="9"/>
      <c r="C632" s="9" t="s">
        <v>31</v>
      </c>
      <c r="D632" s="9" t="s">
        <v>108</v>
      </c>
      <c r="E632" s="9" t="s">
        <v>17</v>
      </c>
      <c r="F632" s="9" t="s">
        <v>17</v>
      </c>
      <c r="G632" s="9" t="s">
        <v>24</v>
      </c>
      <c r="H632" s="9" t="s">
        <v>17</v>
      </c>
      <c r="I632" s="9" t="s">
        <v>20</v>
      </c>
      <c r="J632" s="10"/>
      <c r="K632" s="7"/>
      <c r="L632" s="7"/>
      <c r="M632" s="7"/>
      <c r="N632" s="7"/>
      <c r="O632" s="7"/>
    </row>
    <row r="633" ht="22.5" hidden="1" customHeight="1">
      <c r="A633" s="8">
        <v>45749.58621108797</v>
      </c>
      <c r="B633" s="9"/>
      <c r="C633" s="9" t="s">
        <v>15</v>
      </c>
      <c r="D633" s="9" t="s">
        <v>282</v>
      </c>
      <c r="E633" s="9" t="s">
        <v>17</v>
      </c>
      <c r="F633" s="9" t="s">
        <v>60</v>
      </c>
      <c r="G633" s="9" t="s">
        <v>24</v>
      </c>
      <c r="H633" s="9" t="s">
        <v>25</v>
      </c>
      <c r="I633" s="9" t="s">
        <v>50</v>
      </c>
      <c r="J633" s="10"/>
      <c r="K633" s="7"/>
      <c r="L633" s="7"/>
      <c r="M633" s="7"/>
      <c r="N633" s="7"/>
      <c r="O633" s="7"/>
    </row>
    <row r="634" ht="22.5" hidden="1" customHeight="1">
      <c r="A634" s="8">
        <v>45751.36041771991</v>
      </c>
      <c r="B634" s="9"/>
      <c r="C634" s="9" t="s">
        <v>48</v>
      </c>
      <c r="D634" s="9" t="s">
        <v>138</v>
      </c>
      <c r="E634" s="9" t="s">
        <v>17</v>
      </c>
      <c r="F634" s="9" t="s">
        <v>17</v>
      </c>
      <c r="G634" s="9" t="s">
        <v>24</v>
      </c>
      <c r="H634" s="9" t="s">
        <v>25</v>
      </c>
      <c r="I634" s="9" t="s">
        <v>283</v>
      </c>
      <c r="J634" s="10"/>
      <c r="K634" s="7"/>
      <c r="L634" s="7"/>
      <c r="M634" s="7"/>
      <c r="N634" s="7"/>
      <c r="O634" s="7"/>
    </row>
    <row r="635" ht="22.5" hidden="1" customHeight="1">
      <c r="A635" s="8">
        <v>45754.563998819445</v>
      </c>
      <c r="B635" s="9"/>
      <c r="C635" s="9" t="s">
        <v>86</v>
      </c>
      <c r="D635" s="9" t="s">
        <v>27</v>
      </c>
      <c r="E635" s="9" t="s">
        <v>17</v>
      </c>
      <c r="F635" s="9" t="s">
        <v>35</v>
      </c>
      <c r="G635" s="9" t="s">
        <v>19</v>
      </c>
      <c r="H635" s="9" t="s">
        <v>17</v>
      </c>
      <c r="I635" s="9" t="s">
        <v>20</v>
      </c>
      <c r="J635" s="10"/>
      <c r="K635" s="7"/>
      <c r="L635" s="7"/>
      <c r="M635" s="7"/>
      <c r="N635" s="7"/>
      <c r="O635" s="7"/>
    </row>
    <row r="636" ht="22.5" hidden="1" customHeight="1">
      <c r="A636" s="8">
        <v>45754.56615914352</v>
      </c>
      <c r="B636" s="9"/>
      <c r="C636" s="9" t="s">
        <v>86</v>
      </c>
      <c r="D636" s="9" t="s">
        <v>56</v>
      </c>
      <c r="E636" s="9" t="s">
        <v>57</v>
      </c>
      <c r="F636" s="9" t="s">
        <v>43</v>
      </c>
      <c r="G636" s="9" t="s">
        <v>19</v>
      </c>
      <c r="H636" s="9" t="s">
        <v>17</v>
      </c>
      <c r="I636" s="9" t="s">
        <v>28</v>
      </c>
      <c r="J636" s="10"/>
      <c r="K636" s="7"/>
      <c r="L636" s="7"/>
      <c r="M636" s="7"/>
      <c r="N636" s="7"/>
      <c r="O636" s="7"/>
    </row>
    <row r="637" ht="22.5" hidden="1" customHeight="1">
      <c r="A637" s="8">
        <v>45754.56652305556</v>
      </c>
      <c r="B637" s="9"/>
      <c r="C637" s="9" t="s">
        <v>86</v>
      </c>
      <c r="D637" s="9" t="s">
        <v>157</v>
      </c>
      <c r="E637" s="9" t="s">
        <v>17</v>
      </c>
      <c r="F637" s="9" t="s">
        <v>17</v>
      </c>
      <c r="G637" s="9" t="s">
        <v>24</v>
      </c>
      <c r="H637" s="9" t="s">
        <v>22</v>
      </c>
      <c r="I637" s="9" t="s">
        <v>20</v>
      </c>
      <c r="J637" s="10"/>
      <c r="K637" s="7"/>
      <c r="L637" s="7"/>
      <c r="M637" s="7"/>
      <c r="N637" s="7"/>
      <c r="O637" s="7"/>
    </row>
    <row r="638" ht="22.5" hidden="1" customHeight="1">
      <c r="A638" s="8">
        <v>45754.65313366898</v>
      </c>
      <c r="B638" s="9"/>
      <c r="C638" s="9" t="s">
        <v>86</v>
      </c>
      <c r="D638" s="9" t="s">
        <v>138</v>
      </c>
      <c r="E638" s="9" t="s">
        <v>17</v>
      </c>
      <c r="F638" s="9" t="s">
        <v>17</v>
      </c>
      <c r="G638" s="9" t="s">
        <v>19</v>
      </c>
      <c r="H638" s="9" t="s">
        <v>17</v>
      </c>
      <c r="I638" s="9" t="s">
        <v>284</v>
      </c>
      <c r="J638" s="10"/>
      <c r="K638" s="7"/>
      <c r="L638" s="7"/>
      <c r="M638" s="7"/>
      <c r="N638" s="7"/>
      <c r="O638" s="7"/>
    </row>
    <row r="639" ht="22.5" hidden="1" customHeight="1">
      <c r="A639" s="8">
        <v>45754.6743012963</v>
      </c>
      <c r="B639" s="9"/>
      <c r="C639" s="9" t="s">
        <v>86</v>
      </c>
      <c r="D639" s="9" t="s">
        <v>33</v>
      </c>
      <c r="E639" s="9" t="s">
        <v>44</v>
      </c>
      <c r="F639" s="9" t="s">
        <v>35</v>
      </c>
      <c r="G639" s="9" t="s">
        <v>19</v>
      </c>
      <c r="H639" s="9" t="s">
        <v>17</v>
      </c>
      <c r="I639" s="9" t="s">
        <v>20</v>
      </c>
      <c r="J639" s="10"/>
      <c r="K639" s="7"/>
      <c r="L639" s="7"/>
      <c r="M639" s="7"/>
      <c r="N639" s="7"/>
      <c r="O639" s="7"/>
    </row>
    <row r="640" ht="22.5" hidden="1" customHeight="1">
      <c r="A640" s="8">
        <v>45756.581160497684</v>
      </c>
      <c r="B640" s="9"/>
      <c r="C640" s="9" t="s">
        <v>15</v>
      </c>
      <c r="D640" s="9" t="s">
        <v>27</v>
      </c>
      <c r="E640" s="9" t="s">
        <v>17</v>
      </c>
      <c r="F640" s="9" t="s">
        <v>17</v>
      </c>
      <c r="G640" s="9" t="s">
        <v>24</v>
      </c>
      <c r="H640" s="9" t="s">
        <v>17</v>
      </c>
      <c r="I640" s="9" t="s">
        <v>67</v>
      </c>
      <c r="J640" s="10"/>
      <c r="K640" s="7"/>
      <c r="L640" s="7"/>
      <c r="M640" s="7"/>
      <c r="N640" s="7"/>
      <c r="O640" s="7"/>
    </row>
    <row r="641" ht="22.5" hidden="1" customHeight="1">
      <c r="A641" s="8">
        <v>45756.601887997684</v>
      </c>
      <c r="B641" s="9"/>
      <c r="C641" s="9" t="s">
        <v>15</v>
      </c>
      <c r="D641" s="9" t="s">
        <v>33</v>
      </c>
      <c r="E641" s="9" t="s">
        <v>17</v>
      </c>
      <c r="F641" s="9" t="s">
        <v>17</v>
      </c>
      <c r="G641" s="9" t="s">
        <v>19</v>
      </c>
      <c r="H641" s="9" t="s">
        <v>17</v>
      </c>
      <c r="I641" s="9" t="s">
        <v>20</v>
      </c>
      <c r="J641" s="10"/>
      <c r="K641" s="7"/>
      <c r="L641" s="7"/>
      <c r="M641" s="7"/>
      <c r="N641" s="7"/>
      <c r="O641" s="7"/>
    </row>
    <row r="642" ht="22.5" hidden="1" customHeight="1">
      <c r="A642" s="8">
        <v>45756.69326476852</v>
      </c>
      <c r="B642" s="9"/>
      <c r="C642" s="9" t="s">
        <v>15</v>
      </c>
      <c r="D642" s="9" t="s">
        <v>157</v>
      </c>
      <c r="E642" s="9" t="s">
        <v>17</v>
      </c>
      <c r="F642" s="9" t="s">
        <v>17</v>
      </c>
      <c r="G642" s="9" t="s">
        <v>24</v>
      </c>
      <c r="H642" s="9" t="s">
        <v>22</v>
      </c>
      <c r="I642" s="9" t="s">
        <v>20</v>
      </c>
      <c r="J642" s="10"/>
      <c r="K642" s="7"/>
      <c r="L642" s="7"/>
      <c r="M642" s="7"/>
      <c r="N642" s="7"/>
      <c r="O642" s="7"/>
    </row>
    <row r="643" ht="22.5" hidden="1" customHeight="1">
      <c r="A643" s="8">
        <v>45757.369624259256</v>
      </c>
      <c r="B643" s="9"/>
      <c r="C643" s="9" t="s">
        <v>31</v>
      </c>
      <c r="D643" s="9" t="s">
        <v>27</v>
      </c>
      <c r="E643" s="9" t="s">
        <v>17</v>
      </c>
      <c r="F643" s="9" t="s">
        <v>60</v>
      </c>
      <c r="G643" s="9" t="s">
        <v>24</v>
      </c>
      <c r="H643" s="9" t="s">
        <v>17</v>
      </c>
      <c r="I643" s="9" t="s">
        <v>20</v>
      </c>
      <c r="J643" s="10"/>
      <c r="K643" s="7"/>
      <c r="L643" s="7"/>
      <c r="M643" s="7"/>
      <c r="N643" s="7"/>
      <c r="O643" s="7"/>
    </row>
    <row r="644" ht="22.5" hidden="1" customHeight="1">
      <c r="A644" s="8">
        <v>45757.370573657405</v>
      </c>
      <c r="B644" s="9"/>
      <c r="C644" s="9" t="s">
        <v>31</v>
      </c>
      <c r="D644" s="9" t="s">
        <v>56</v>
      </c>
      <c r="E644" s="9" t="s">
        <v>30</v>
      </c>
      <c r="F644" s="9" t="s">
        <v>43</v>
      </c>
      <c r="G644" s="9" t="s">
        <v>19</v>
      </c>
      <c r="H644" s="9" t="s">
        <v>17</v>
      </c>
      <c r="I644" s="9" t="s">
        <v>20</v>
      </c>
      <c r="J644" s="10"/>
      <c r="K644" s="7"/>
      <c r="L644" s="7"/>
      <c r="M644" s="7"/>
      <c r="N644" s="7"/>
      <c r="O644" s="7"/>
    </row>
    <row r="645" ht="22.5" hidden="1" customHeight="1">
      <c r="A645" s="8">
        <v>45757.37501564815</v>
      </c>
      <c r="B645" s="9"/>
      <c r="C645" s="9" t="s">
        <v>31</v>
      </c>
      <c r="D645" s="9" t="s">
        <v>141</v>
      </c>
      <c r="E645" s="9" t="s">
        <v>17</v>
      </c>
      <c r="F645" s="9" t="s">
        <v>35</v>
      </c>
      <c r="G645" s="9" t="s">
        <v>24</v>
      </c>
      <c r="H645" s="9" t="s">
        <v>17</v>
      </c>
      <c r="I645" s="9" t="s">
        <v>20</v>
      </c>
      <c r="J645" s="10"/>
      <c r="K645" s="7"/>
      <c r="L645" s="7"/>
      <c r="M645" s="7"/>
      <c r="N645" s="7"/>
      <c r="O645" s="7"/>
    </row>
    <row r="646" ht="22.5" hidden="1" customHeight="1">
      <c r="A646" s="8">
        <v>45757.38026800926</v>
      </c>
      <c r="B646" s="9"/>
      <c r="C646" s="9" t="s">
        <v>31</v>
      </c>
      <c r="D646" s="9" t="s">
        <v>33</v>
      </c>
      <c r="E646" s="9" t="s">
        <v>17</v>
      </c>
      <c r="F646" s="9" t="s">
        <v>17</v>
      </c>
      <c r="G646" s="9" t="s">
        <v>24</v>
      </c>
      <c r="H646" s="9" t="s">
        <v>17</v>
      </c>
      <c r="I646" s="9" t="s">
        <v>20</v>
      </c>
      <c r="J646" s="10"/>
      <c r="K646" s="7"/>
      <c r="L646" s="7"/>
      <c r="M646" s="7"/>
      <c r="N646" s="7"/>
      <c r="O646" s="7"/>
    </row>
    <row r="647" ht="22.5" hidden="1" customHeight="1">
      <c r="A647" s="8">
        <v>45757.39062841435</v>
      </c>
      <c r="B647" s="9"/>
      <c r="C647" s="9" t="s">
        <v>31</v>
      </c>
      <c r="D647" s="9" t="s">
        <v>285</v>
      </c>
      <c r="E647" s="9" t="s">
        <v>30</v>
      </c>
      <c r="F647" s="9" t="s">
        <v>17</v>
      </c>
      <c r="G647" s="9" t="s">
        <v>24</v>
      </c>
      <c r="H647" s="9" t="s">
        <v>22</v>
      </c>
      <c r="I647" s="9" t="s">
        <v>20</v>
      </c>
      <c r="J647" s="10"/>
      <c r="K647" s="7"/>
      <c r="L647" s="7"/>
      <c r="M647" s="7"/>
      <c r="N647" s="7"/>
      <c r="O647" s="7"/>
    </row>
    <row r="648" ht="22.5" hidden="1" customHeight="1">
      <c r="A648" s="8">
        <v>45757.40269148148</v>
      </c>
      <c r="B648" s="9"/>
      <c r="C648" s="9" t="s">
        <v>31</v>
      </c>
      <c r="D648" s="9" t="s">
        <v>155</v>
      </c>
      <c r="E648" s="9" t="s">
        <v>17</v>
      </c>
      <c r="F648" s="9" t="s">
        <v>18</v>
      </c>
      <c r="G648" s="9" t="s">
        <v>24</v>
      </c>
      <c r="H648" s="9" t="s">
        <v>22</v>
      </c>
      <c r="I648" s="9" t="s">
        <v>20</v>
      </c>
      <c r="J648" s="10"/>
      <c r="K648" s="7"/>
      <c r="L648" s="7"/>
      <c r="M648" s="7"/>
      <c r="N648" s="7"/>
      <c r="O648" s="7"/>
    </row>
    <row r="649" ht="22.5" hidden="1" customHeight="1">
      <c r="A649" s="8">
        <v>45761.36690811343</v>
      </c>
      <c r="B649" s="9"/>
      <c r="C649" s="9" t="s">
        <v>86</v>
      </c>
      <c r="D649" s="9" t="s">
        <v>127</v>
      </c>
      <c r="E649" s="9" t="s">
        <v>61</v>
      </c>
      <c r="F649" s="9" t="s">
        <v>60</v>
      </c>
      <c r="G649" s="9" t="s">
        <v>24</v>
      </c>
      <c r="H649" s="9" t="s">
        <v>25</v>
      </c>
      <c r="I649" s="9" t="s">
        <v>137</v>
      </c>
      <c r="J649" s="10"/>
      <c r="K649" s="7"/>
      <c r="L649" s="7"/>
      <c r="M649" s="7"/>
      <c r="N649" s="7"/>
      <c r="O649" s="7"/>
    </row>
    <row r="650" ht="22.5" hidden="1" customHeight="1">
      <c r="A650" s="8">
        <v>45761.36772685185</v>
      </c>
      <c r="B650" s="9"/>
      <c r="C650" s="9" t="s">
        <v>86</v>
      </c>
      <c r="D650" s="9" t="s">
        <v>178</v>
      </c>
      <c r="E650" s="9" t="s">
        <v>140</v>
      </c>
      <c r="F650" s="9" t="s">
        <v>43</v>
      </c>
      <c r="G650" s="9" t="s">
        <v>24</v>
      </c>
      <c r="H650" s="9" t="s">
        <v>25</v>
      </c>
      <c r="I650" s="9" t="s">
        <v>34</v>
      </c>
      <c r="J650" s="10"/>
      <c r="K650" s="7"/>
      <c r="L650" s="7"/>
      <c r="M650" s="7"/>
      <c r="N650" s="7"/>
      <c r="O650" s="7"/>
    </row>
    <row r="651" ht="22.5" hidden="1" customHeight="1">
      <c r="A651" s="8">
        <v>45761.36863793981</v>
      </c>
      <c r="B651" s="9"/>
      <c r="C651" s="9" t="s">
        <v>86</v>
      </c>
      <c r="D651" s="9" t="s">
        <v>260</v>
      </c>
      <c r="E651" s="9" t="s">
        <v>46</v>
      </c>
      <c r="F651" s="9" t="s">
        <v>35</v>
      </c>
      <c r="G651" s="9" t="s">
        <v>19</v>
      </c>
      <c r="H651" s="9" t="s">
        <v>17</v>
      </c>
      <c r="I651" s="9" t="s">
        <v>20</v>
      </c>
      <c r="J651" s="10"/>
      <c r="K651" s="7"/>
      <c r="L651" s="7"/>
      <c r="M651" s="7"/>
      <c r="N651" s="7"/>
      <c r="O651" s="7"/>
    </row>
    <row r="652" ht="22.5" hidden="1" customHeight="1">
      <c r="A652" s="8">
        <v>45761.36949964121</v>
      </c>
      <c r="B652" s="9"/>
      <c r="C652" s="9" t="s">
        <v>86</v>
      </c>
      <c r="D652" s="9" t="s">
        <v>90</v>
      </c>
      <c r="E652" s="9" t="s">
        <v>17</v>
      </c>
      <c r="F652" s="9" t="s">
        <v>17</v>
      </c>
      <c r="G652" s="9" t="s">
        <v>24</v>
      </c>
      <c r="H652" s="9" t="s">
        <v>17</v>
      </c>
      <c r="I652" s="9" t="s">
        <v>20</v>
      </c>
      <c r="J652" s="10"/>
      <c r="K652" s="7"/>
      <c r="L652" s="7"/>
      <c r="M652" s="7"/>
      <c r="N652" s="7"/>
      <c r="O652" s="7"/>
    </row>
    <row r="653" ht="22.5" hidden="1" customHeight="1">
      <c r="A653" s="8">
        <v>45761.370924675924</v>
      </c>
      <c r="B653" s="9"/>
      <c r="C653" s="9" t="s">
        <v>86</v>
      </c>
      <c r="D653" s="9" t="s">
        <v>217</v>
      </c>
      <c r="E653" s="9" t="s">
        <v>44</v>
      </c>
      <c r="F653" s="9" t="s">
        <v>18</v>
      </c>
      <c r="G653" s="9" t="s">
        <v>19</v>
      </c>
      <c r="H653" s="9" t="s">
        <v>22</v>
      </c>
      <c r="I653" s="9" t="s">
        <v>20</v>
      </c>
      <c r="J653" s="10"/>
      <c r="K653" s="7"/>
      <c r="L653" s="7"/>
      <c r="M653" s="7"/>
      <c r="N653" s="7"/>
      <c r="O653" s="7"/>
    </row>
    <row r="654" ht="22.5" hidden="1" customHeight="1">
      <c r="A654" s="8">
        <v>45761.37223912037</v>
      </c>
      <c r="B654" s="9"/>
      <c r="C654" s="9" t="s">
        <v>86</v>
      </c>
      <c r="D654" s="9" t="s">
        <v>51</v>
      </c>
      <c r="E654" s="9" t="s">
        <v>17</v>
      </c>
      <c r="F654" s="9" t="s">
        <v>17</v>
      </c>
      <c r="G654" s="9" t="s">
        <v>24</v>
      </c>
      <c r="H654" s="9" t="s">
        <v>62</v>
      </c>
      <c r="I654" s="9" t="s">
        <v>286</v>
      </c>
      <c r="J654" s="10"/>
      <c r="K654" s="7"/>
      <c r="L654" s="7"/>
      <c r="M654" s="7"/>
      <c r="N654" s="7"/>
      <c r="O654" s="7"/>
    </row>
    <row r="655" ht="22.5" hidden="1" customHeight="1">
      <c r="A655" s="8">
        <v>45761.37282653935</v>
      </c>
      <c r="B655" s="9"/>
      <c r="C655" s="9" t="s">
        <v>86</v>
      </c>
      <c r="D655" s="9" t="s">
        <v>23</v>
      </c>
      <c r="E655" s="9" t="s">
        <v>46</v>
      </c>
      <c r="F655" s="9" t="s">
        <v>17</v>
      </c>
      <c r="G655" s="9" t="s">
        <v>24</v>
      </c>
      <c r="H655" s="9" t="s">
        <v>62</v>
      </c>
      <c r="I655" s="9" t="s">
        <v>20</v>
      </c>
      <c r="J655" s="10"/>
      <c r="K655" s="7"/>
      <c r="L655" s="7"/>
      <c r="M655" s="7"/>
      <c r="N655" s="7"/>
      <c r="O655" s="7"/>
    </row>
    <row r="656" ht="22.5" hidden="1" customHeight="1">
      <c r="A656" s="8">
        <v>45761.373280416665</v>
      </c>
      <c r="B656" s="9"/>
      <c r="C656" s="9" t="s">
        <v>86</v>
      </c>
      <c r="D656" s="9" t="s">
        <v>287</v>
      </c>
      <c r="E656" s="9" t="s">
        <v>17</v>
      </c>
      <c r="F656" s="9" t="s">
        <v>17</v>
      </c>
      <c r="G656" s="9" t="s">
        <v>24</v>
      </c>
      <c r="H656" s="9" t="s">
        <v>17</v>
      </c>
      <c r="I656" s="9" t="s">
        <v>20</v>
      </c>
      <c r="J656" s="10"/>
      <c r="K656" s="7"/>
      <c r="L656" s="7"/>
      <c r="M656" s="7"/>
      <c r="N656" s="7"/>
      <c r="O656" s="7"/>
    </row>
    <row r="657" ht="22.5" hidden="1" customHeight="1">
      <c r="A657" s="8">
        <v>45761.373557280094</v>
      </c>
      <c r="B657" s="9"/>
      <c r="C657" s="9" t="s">
        <v>86</v>
      </c>
      <c r="D657" s="9" t="s">
        <v>285</v>
      </c>
      <c r="E657" s="9" t="s">
        <v>30</v>
      </c>
      <c r="F657" s="9" t="s">
        <v>17</v>
      </c>
      <c r="G657" s="9" t="s">
        <v>24</v>
      </c>
      <c r="H657" s="9" t="s">
        <v>22</v>
      </c>
      <c r="I657" s="9" t="s">
        <v>20</v>
      </c>
      <c r="J657" s="10"/>
      <c r="K657" s="7"/>
      <c r="L657" s="7"/>
      <c r="M657" s="7"/>
      <c r="N657" s="7"/>
      <c r="O657" s="7"/>
    </row>
    <row r="658" ht="22.5" hidden="1" customHeight="1">
      <c r="A658" s="8">
        <v>45761.37389351852</v>
      </c>
      <c r="B658" s="9"/>
      <c r="C658" s="9" t="s">
        <v>86</v>
      </c>
      <c r="D658" s="9" t="s">
        <v>42</v>
      </c>
      <c r="E658" s="9" t="s">
        <v>57</v>
      </c>
      <c r="F658" s="9" t="s">
        <v>43</v>
      </c>
      <c r="G658" s="9" t="s">
        <v>19</v>
      </c>
      <c r="H658" s="9" t="s">
        <v>22</v>
      </c>
      <c r="I658" s="9" t="s">
        <v>20</v>
      </c>
      <c r="J658" s="10"/>
      <c r="K658" s="7"/>
      <c r="L658" s="7"/>
      <c r="M658" s="7"/>
      <c r="N658" s="7"/>
      <c r="O658" s="7"/>
    </row>
    <row r="659" ht="22.5" hidden="1" customHeight="1">
      <c r="A659" s="8">
        <v>45761.376536111115</v>
      </c>
      <c r="B659" s="9"/>
      <c r="C659" s="9" t="s">
        <v>86</v>
      </c>
      <c r="D659" s="9" t="s">
        <v>199</v>
      </c>
      <c r="E659" s="9" t="s">
        <v>17</v>
      </c>
      <c r="F659" s="9" t="s">
        <v>17</v>
      </c>
      <c r="G659" s="9" t="s">
        <v>24</v>
      </c>
      <c r="H659" s="9" t="s">
        <v>17</v>
      </c>
      <c r="I659" s="9" t="s">
        <v>288</v>
      </c>
      <c r="J659" s="10"/>
      <c r="K659" s="7"/>
      <c r="L659" s="7"/>
      <c r="M659" s="7"/>
      <c r="N659" s="7"/>
      <c r="O659" s="7"/>
    </row>
    <row r="660" ht="22.5" hidden="1" customHeight="1">
      <c r="A660" s="8">
        <v>45761.38942196759</v>
      </c>
      <c r="B660" s="9"/>
      <c r="C660" s="9" t="s">
        <v>86</v>
      </c>
      <c r="D660" s="9" t="s">
        <v>289</v>
      </c>
      <c r="E660" s="9" t="s">
        <v>61</v>
      </c>
      <c r="F660" s="9" t="s">
        <v>60</v>
      </c>
      <c r="G660" s="9" t="s">
        <v>24</v>
      </c>
      <c r="H660" s="9" t="s">
        <v>25</v>
      </c>
      <c r="I660" s="9" t="s">
        <v>290</v>
      </c>
      <c r="J660" s="10"/>
      <c r="K660" s="7"/>
      <c r="L660" s="7"/>
      <c r="M660" s="7"/>
      <c r="N660" s="7"/>
      <c r="O660" s="7"/>
    </row>
    <row r="661" ht="22.5" hidden="1" customHeight="1">
      <c r="A661" s="8">
        <v>45761.402265428245</v>
      </c>
      <c r="B661" s="9"/>
      <c r="C661" s="9" t="s">
        <v>86</v>
      </c>
      <c r="D661" s="9" t="s">
        <v>227</v>
      </c>
      <c r="E661" s="9" t="s">
        <v>17</v>
      </c>
      <c r="F661" s="9" t="s">
        <v>17</v>
      </c>
      <c r="G661" s="9" t="s">
        <v>24</v>
      </c>
      <c r="H661" s="9" t="s">
        <v>17</v>
      </c>
      <c r="I661" s="9" t="s">
        <v>20</v>
      </c>
      <c r="J661" s="10"/>
      <c r="K661" s="7"/>
      <c r="L661" s="7"/>
      <c r="M661" s="7"/>
      <c r="N661" s="7"/>
      <c r="O661" s="7"/>
    </row>
    <row r="662" ht="22.5" hidden="1" customHeight="1">
      <c r="A662" s="8">
        <v>45761.40290803241</v>
      </c>
      <c r="B662" s="9"/>
      <c r="C662" s="9" t="s">
        <v>86</v>
      </c>
      <c r="D662" s="9" t="s">
        <v>231</v>
      </c>
      <c r="E662" s="9" t="s">
        <v>61</v>
      </c>
      <c r="F662" s="9" t="s">
        <v>17</v>
      </c>
      <c r="G662" s="9" t="s">
        <v>24</v>
      </c>
      <c r="H662" s="9" t="s">
        <v>62</v>
      </c>
      <c r="I662" s="9" t="s">
        <v>20</v>
      </c>
      <c r="J662" s="10"/>
      <c r="K662" s="7"/>
      <c r="L662" s="7"/>
      <c r="M662" s="7"/>
      <c r="N662" s="7"/>
      <c r="O662" s="7"/>
    </row>
    <row r="663" ht="22.5" hidden="1" customHeight="1">
      <c r="A663" s="8">
        <v>45761.403342453705</v>
      </c>
      <c r="B663" s="9"/>
      <c r="C663" s="9" t="s">
        <v>86</v>
      </c>
      <c r="D663" s="9" t="s">
        <v>68</v>
      </c>
      <c r="E663" s="9" t="s">
        <v>17</v>
      </c>
      <c r="F663" s="9" t="s">
        <v>17</v>
      </c>
      <c r="G663" s="9" t="s">
        <v>24</v>
      </c>
      <c r="H663" s="9" t="s">
        <v>17</v>
      </c>
      <c r="I663" s="9" t="s">
        <v>20</v>
      </c>
      <c r="J663" s="10"/>
      <c r="K663" s="7"/>
      <c r="L663" s="7"/>
      <c r="M663" s="7"/>
      <c r="N663" s="7"/>
      <c r="O663" s="7"/>
    </row>
    <row r="664" ht="22.5" hidden="1" customHeight="1">
      <c r="A664" s="8">
        <v>45761.404117812504</v>
      </c>
      <c r="B664" s="9"/>
      <c r="C664" s="9" t="s">
        <v>86</v>
      </c>
      <c r="D664" s="9" t="s">
        <v>107</v>
      </c>
      <c r="E664" s="9" t="s">
        <v>17</v>
      </c>
      <c r="F664" s="9" t="s">
        <v>43</v>
      </c>
      <c r="G664" s="9" t="s">
        <v>24</v>
      </c>
      <c r="H664" s="9" t="s">
        <v>25</v>
      </c>
      <c r="I664" s="9" t="s">
        <v>291</v>
      </c>
      <c r="J664" s="10"/>
      <c r="K664" s="7"/>
      <c r="L664" s="7"/>
      <c r="M664" s="7"/>
      <c r="N664" s="7"/>
      <c r="O664" s="7"/>
    </row>
    <row r="665" ht="22.5" hidden="1" customHeight="1">
      <c r="A665" s="8">
        <v>45761.404572060186</v>
      </c>
      <c r="B665" s="9"/>
      <c r="C665" s="9" t="s">
        <v>86</v>
      </c>
      <c r="D665" s="9" t="s">
        <v>250</v>
      </c>
      <c r="E665" s="9" t="s">
        <v>17</v>
      </c>
      <c r="F665" s="9" t="s">
        <v>17</v>
      </c>
      <c r="G665" s="9" t="s">
        <v>24</v>
      </c>
      <c r="H665" s="9" t="s">
        <v>17</v>
      </c>
      <c r="I665" s="9" t="s">
        <v>20</v>
      </c>
      <c r="J665" s="10"/>
      <c r="K665" s="7"/>
      <c r="L665" s="7"/>
      <c r="M665" s="7"/>
      <c r="N665" s="7"/>
      <c r="O665" s="7"/>
    </row>
    <row r="666" ht="22.5" hidden="1" customHeight="1">
      <c r="A666" s="8">
        <v>45762.34914597222</v>
      </c>
      <c r="B666" s="9"/>
      <c r="C666" s="9" t="s">
        <v>110</v>
      </c>
      <c r="D666" s="9" t="s">
        <v>133</v>
      </c>
      <c r="E666" s="9" t="s">
        <v>17</v>
      </c>
      <c r="F666" s="9" t="s">
        <v>17</v>
      </c>
      <c r="G666" s="9" t="s">
        <v>24</v>
      </c>
      <c r="H666" s="9" t="s">
        <v>25</v>
      </c>
      <c r="I666" s="9" t="s">
        <v>79</v>
      </c>
      <c r="J666" s="10"/>
      <c r="K666" s="7"/>
      <c r="L666" s="7"/>
      <c r="M666" s="7"/>
      <c r="N666" s="7"/>
      <c r="O666" s="7"/>
    </row>
    <row r="667" ht="22.5" hidden="1" customHeight="1">
      <c r="A667" s="8">
        <v>45762.3506862963</v>
      </c>
      <c r="B667" s="9"/>
      <c r="C667" s="9" t="s">
        <v>110</v>
      </c>
      <c r="D667" s="9" t="s">
        <v>127</v>
      </c>
      <c r="E667" s="9" t="s">
        <v>46</v>
      </c>
      <c r="F667" s="9" t="s">
        <v>17</v>
      </c>
      <c r="G667" s="9" t="s">
        <v>24</v>
      </c>
      <c r="H667" s="9" t="s">
        <v>25</v>
      </c>
      <c r="I667" s="9" t="s">
        <v>137</v>
      </c>
      <c r="J667" s="10"/>
      <c r="K667" s="7"/>
      <c r="L667" s="7"/>
      <c r="M667" s="7"/>
      <c r="N667" s="7"/>
      <c r="O667" s="7"/>
    </row>
    <row r="668" ht="22.5" hidden="1" customHeight="1">
      <c r="A668" s="8">
        <v>45762.361583564816</v>
      </c>
      <c r="B668" s="9"/>
      <c r="C668" s="9" t="s">
        <v>110</v>
      </c>
      <c r="D668" s="9" t="s">
        <v>230</v>
      </c>
      <c r="E668" s="9" t="s">
        <v>17</v>
      </c>
      <c r="F668" s="9" t="s">
        <v>17</v>
      </c>
      <c r="G668" s="9" t="s">
        <v>19</v>
      </c>
      <c r="H668" s="9" t="s">
        <v>17</v>
      </c>
      <c r="I668" s="9" t="s">
        <v>89</v>
      </c>
      <c r="J668" s="10"/>
      <c r="K668" s="7"/>
      <c r="L668" s="7"/>
      <c r="M668" s="7"/>
      <c r="N668" s="7"/>
      <c r="O668" s="7"/>
    </row>
    <row r="669" ht="22.5" hidden="1" customHeight="1">
      <c r="A669" s="8">
        <v>45762.36646210648</v>
      </c>
      <c r="B669" s="9"/>
      <c r="C669" s="9" t="s">
        <v>110</v>
      </c>
      <c r="D669" s="9" t="s">
        <v>42</v>
      </c>
      <c r="E669" s="9" t="s">
        <v>57</v>
      </c>
      <c r="F669" s="9" t="s">
        <v>43</v>
      </c>
      <c r="G669" s="9" t="s">
        <v>24</v>
      </c>
      <c r="H669" s="9" t="s">
        <v>22</v>
      </c>
      <c r="I669" s="9" t="s">
        <v>20</v>
      </c>
      <c r="J669" s="10"/>
      <c r="K669" s="7"/>
      <c r="L669" s="7"/>
      <c r="M669" s="7"/>
      <c r="N669" s="7"/>
      <c r="O669" s="7"/>
    </row>
    <row r="670" ht="22.5" hidden="1" customHeight="1">
      <c r="A670" s="8">
        <v>45762.37322001158</v>
      </c>
      <c r="B670" s="9"/>
      <c r="C670" s="9" t="s">
        <v>110</v>
      </c>
      <c r="D670" s="9" t="s">
        <v>285</v>
      </c>
      <c r="E670" s="9" t="s">
        <v>17</v>
      </c>
      <c r="F670" s="9" t="s">
        <v>17</v>
      </c>
      <c r="G670" s="9" t="s">
        <v>24</v>
      </c>
      <c r="H670" s="9" t="s">
        <v>22</v>
      </c>
      <c r="I670" s="9" t="s">
        <v>20</v>
      </c>
      <c r="J670" s="10"/>
      <c r="K670" s="7"/>
      <c r="L670" s="7"/>
      <c r="M670" s="7"/>
      <c r="N670" s="7"/>
      <c r="O670" s="7"/>
    </row>
    <row r="671" ht="22.5" hidden="1" customHeight="1">
      <c r="A671" s="8">
        <v>45762.37606195602</v>
      </c>
      <c r="B671" s="9"/>
      <c r="C671" s="9" t="s">
        <v>110</v>
      </c>
      <c r="D671" s="9" t="s">
        <v>141</v>
      </c>
      <c r="E671" s="9" t="s">
        <v>17</v>
      </c>
      <c r="F671" s="9" t="s">
        <v>35</v>
      </c>
      <c r="G671" s="9" t="s">
        <v>19</v>
      </c>
      <c r="H671" s="9" t="s">
        <v>17</v>
      </c>
      <c r="I671" s="9" t="s">
        <v>20</v>
      </c>
      <c r="J671" s="10"/>
      <c r="K671" s="7"/>
      <c r="L671" s="7"/>
      <c r="M671" s="7"/>
      <c r="N671" s="7"/>
      <c r="O671" s="7"/>
    </row>
    <row r="672" ht="22.5" hidden="1" customHeight="1">
      <c r="A672" s="8">
        <v>45762.37636553241</v>
      </c>
      <c r="B672" s="9"/>
      <c r="C672" s="9" t="s">
        <v>110</v>
      </c>
      <c r="D672" s="9" t="s">
        <v>27</v>
      </c>
      <c r="E672" s="9" t="s">
        <v>17</v>
      </c>
      <c r="F672" s="9" t="s">
        <v>17</v>
      </c>
      <c r="G672" s="9" t="s">
        <v>24</v>
      </c>
      <c r="H672" s="9" t="s">
        <v>17</v>
      </c>
      <c r="I672" s="9" t="s">
        <v>173</v>
      </c>
      <c r="J672" s="10"/>
      <c r="K672" s="7"/>
      <c r="L672" s="7"/>
      <c r="M672" s="7"/>
      <c r="N672" s="7"/>
      <c r="O672" s="7"/>
    </row>
    <row r="673" ht="22.5" hidden="1" customHeight="1">
      <c r="A673" s="8">
        <v>45762.377551770835</v>
      </c>
      <c r="B673" s="9"/>
      <c r="C673" s="9" t="s">
        <v>110</v>
      </c>
      <c r="D673" s="9" t="s">
        <v>33</v>
      </c>
      <c r="E673" s="9" t="s">
        <v>17</v>
      </c>
      <c r="F673" s="9" t="s">
        <v>17</v>
      </c>
      <c r="G673" s="9" t="s">
        <v>24</v>
      </c>
      <c r="H673" s="9" t="s">
        <v>17</v>
      </c>
      <c r="I673" s="9" t="s">
        <v>20</v>
      </c>
      <c r="J673" s="10"/>
      <c r="K673" s="7"/>
      <c r="L673" s="7"/>
      <c r="M673" s="7"/>
      <c r="N673" s="7"/>
      <c r="O673" s="7"/>
    </row>
    <row r="674" ht="22.5" hidden="1" customHeight="1">
      <c r="A674" s="8">
        <v>45762.377846655094</v>
      </c>
      <c r="B674" s="9"/>
      <c r="C674" s="9" t="s">
        <v>110</v>
      </c>
      <c r="D674" s="9" t="s">
        <v>23</v>
      </c>
      <c r="E674" s="9" t="s">
        <v>17</v>
      </c>
      <c r="F674" s="9" t="s">
        <v>17</v>
      </c>
      <c r="G674" s="9" t="s">
        <v>24</v>
      </c>
      <c r="H674" s="9" t="s">
        <v>17</v>
      </c>
      <c r="I674" s="9" t="s">
        <v>20</v>
      </c>
      <c r="J674" s="10"/>
      <c r="K674" s="7"/>
      <c r="L674" s="7"/>
      <c r="M674" s="7"/>
      <c r="N674" s="7"/>
      <c r="O674" s="7"/>
    </row>
    <row r="675" ht="22.5" hidden="1" customHeight="1">
      <c r="A675" s="8">
        <v>45762.37856991898</v>
      </c>
      <c r="B675" s="9"/>
      <c r="C675" s="9" t="s">
        <v>110</v>
      </c>
      <c r="D675" s="9" t="s">
        <v>231</v>
      </c>
      <c r="E675" s="9" t="s">
        <v>17</v>
      </c>
      <c r="F675" s="9" t="s">
        <v>17</v>
      </c>
      <c r="G675" s="9" t="s">
        <v>40</v>
      </c>
      <c r="H675" s="9" t="s">
        <v>62</v>
      </c>
      <c r="I675" s="9" t="s">
        <v>20</v>
      </c>
      <c r="J675" s="10"/>
      <c r="K675" s="7"/>
      <c r="L675" s="7"/>
      <c r="M675" s="7"/>
      <c r="N675" s="7"/>
      <c r="O675" s="7"/>
    </row>
    <row r="676" ht="22.5" hidden="1" customHeight="1">
      <c r="A676" s="8">
        <v>45762.37896456019</v>
      </c>
      <c r="B676" s="9"/>
      <c r="C676" s="9" t="s">
        <v>110</v>
      </c>
      <c r="D676" s="9" t="s">
        <v>199</v>
      </c>
      <c r="E676" s="9" t="s">
        <v>61</v>
      </c>
      <c r="F676" s="9" t="s">
        <v>17</v>
      </c>
      <c r="G676" s="9" t="s">
        <v>24</v>
      </c>
      <c r="H676" s="9" t="s">
        <v>25</v>
      </c>
      <c r="I676" s="9" t="s">
        <v>292</v>
      </c>
      <c r="J676" s="10"/>
      <c r="K676" s="7"/>
      <c r="L676" s="7"/>
      <c r="M676" s="7"/>
      <c r="N676" s="7"/>
      <c r="O676" s="7"/>
    </row>
    <row r="677" ht="22.5" hidden="1" customHeight="1">
      <c r="A677" s="8">
        <v>45762.37930306713</v>
      </c>
      <c r="B677" s="9"/>
      <c r="C677" s="9" t="s">
        <v>110</v>
      </c>
      <c r="D677" s="9" t="s">
        <v>68</v>
      </c>
      <c r="E677" s="9" t="s">
        <v>17</v>
      </c>
      <c r="F677" s="9" t="s">
        <v>17</v>
      </c>
      <c r="G677" s="9" t="s">
        <v>24</v>
      </c>
      <c r="H677" s="9" t="s">
        <v>25</v>
      </c>
      <c r="I677" s="9" t="s">
        <v>20</v>
      </c>
      <c r="J677" s="10"/>
      <c r="K677" s="7"/>
      <c r="L677" s="7"/>
      <c r="M677" s="7"/>
      <c r="N677" s="7"/>
      <c r="O677" s="7"/>
    </row>
    <row r="678" ht="22.5" hidden="1" customHeight="1">
      <c r="A678" s="8">
        <v>45762.379870000004</v>
      </c>
      <c r="B678" s="9"/>
      <c r="C678" s="9" t="s">
        <v>110</v>
      </c>
      <c r="D678" s="9" t="s">
        <v>206</v>
      </c>
      <c r="E678" s="9" t="s">
        <v>46</v>
      </c>
      <c r="F678" s="9" t="s">
        <v>17</v>
      </c>
      <c r="G678" s="9" t="s">
        <v>24</v>
      </c>
      <c r="H678" s="9" t="s">
        <v>62</v>
      </c>
      <c r="I678" s="9" t="s">
        <v>20</v>
      </c>
      <c r="J678" s="10"/>
      <c r="K678" s="7"/>
      <c r="L678" s="7"/>
      <c r="M678" s="7"/>
      <c r="N678" s="7"/>
      <c r="O678" s="7"/>
    </row>
    <row r="679" ht="22.5" hidden="1" customHeight="1">
      <c r="A679" s="8">
        <v>45762.38034412037</v>
      </c>
      <c r="B679" s="9"/>
      <c r="C679" s="9" t="s">
        <v>110</v>
      </c>
      <c r="D679" s="9" t="s">
        <v>250</v>
      </c>
      <c r="E679" s="9" t="s">
        <v>17</v>
      </c>
      <c r="F679" s="9" t="s">
        <v>17</v>
      </c>
      <c r="G679" s="9" t="s">
        <v>24</v>
      </c>
      <c r="H679" s="9" t="s">
        <v>17</v>
      </c>
      <c r="I679" s="9" t="s">
        <v>20</v>
      </c>
      <c r="J679" s="10"/>
      <c r="K679" s="7"/>
      <c r="L679" s="7"/>
      <c r="M679" s="7"/>
      <c r="N679" s="7"/>
      <c r="O679" s="7"/>
    </row>
    <row r="680" ht="22.5" hidden="1" customHeight="1">
      <c r="A680" s="8">
        <v>45762.38073765046</v>
      </c>
      <c r="B680" s="9"/>
      <c r="C680" s="9" t="s">
        <v>110</v>
      </c>
      <c r="D680" s="9" t="s">
        <v>109</v>
      </c>
      <c r="E680" s="9" t="s">
        <v>17</v>
      </c>
      <c r="F680" s="9" t="s">
        <v>17</v>
      </c>
      <c r="G680" s="9" t="s">
        <v>24</v>
      </c>
      <c r="H680" s="9" t="s">
        <v>17</v>
      </c>
      <c r="I680" s="9" t="s">
        <v>20</v>
      </c>
      <c r="J680" s="10"/>
      <c r="K680" s="7"/>
      <c r="L680" s="7"/>
      <c r="M680" s="7"/>
      <c r="N680" s="7"/>
      <c r="O680" s="7"/>
    </row>
    <row r="681" ht="22.5" hidden="1" customHeight="1">
      <c r="A681" s="8">
        <v>45762.38467266204</v>
      </c>
      <c r="B681" s="9"/>
      <c r="C681" s="9" t="s">
        <v>110</v>
      </c>
      <c r="D681" s="9" t="s">
        <v>277</v>
      </c>
      <c r="E681" s="9" t="s">
        <v>17</v>
      </c>
      <c r="F681" s="9" t="s">
        <v>43</v>
      </c>
      <c r="G681" s="9" t="s">
        <v>24</v>
      </c>
      <c r="H681" s="9" t="s">
        <v>17</v>
      </c>
      <c r="I681" s="9" t="s">
        <v>20</v>
      </c>
      <c r="J681" s="10"/>
      <c r="K681" s="7"/>
      <c r="L681" s="7"/>
      <c r="M681" s="7"/>
      <c r="N681" s="7"/>
      <c r="O681" s="7"/>
    </row>
    <row r="682" ht="22.5" hidden="1" customHeight="1">
      <c r="A682" s="8">
        <v>45762.38508476852</v>
      </c>
      <c r="B682" s="9"/>
      <c r="C682" s="9" t="s">
        <v>110</v>
      </c>
      <c r="D682" s="9" t="s">
        <v>227</v>
      </c>
      <c r="E682" s="9" t="s">
        <v>17</v>
      </c>
      <c r="F682" s="9" t="s">
        <v>60</v>
      </c>
      <c r="G682" s="9" t="s">
        <v>24</v>
      </c>
      <c r="H682" s="9" t="s">
        <v>17</v>
      </c>
      <c r="I682" s="9" t="s">
        <v>20</v>
      </c>
      <c r="J682" s="10"/>
      <c r="K682" s="7"/>
      <c r="L682" s="7"/>
      <c r="M682" s="7"/>
      <c r="N682" s="7"/>
      <c r="O682" s="7"/>
    </row>
    <row r="683" ht="22.5" hidden="1" customHeight="1">
      <c r="A683" s="8">
        <v>45762.38963715278</v>
      </c>
      <c r="B683" s="9"/>
      <c r="C683" s="9" t="s">
        <v>110</v>
      </c>
      <c r="D683" s="9" t="s">
        <v>192</v>
      </c>
      <c r="E683" s="9" t="s">
        <v>17</v>
      </c>
      <c r="F683" s="9" t="s">
        <v>17</v>
      </c>
      <c r="G683" s="9" t="s">
        <v>24</v>
      </c>
      <c r="H683" s="9" t="s">
        <v>17</v>
      </c>
      <c r="I683" s="9" t="s">
        <v>20</v>
      </c>
      <c r="J683" s="10"/>
      <c r="K683" s="7"/>
      <c r="L683" s="7"/>
      <c r="M683" s="7"/>
      <c r="N683" s="7"/>
      <c r="O683" s="7"/>
    </row>
    <row r="684" ht="22.5" hidden="1" customHeight="1">
      <c r="A684" s="8">
        <v>45762.3907584838</v>
      </c>
      <c r="B684" s="9"/>
      <c r="C684" s="9" t="s">
        <v>110</v>
      </c>
      <c r="D684" s="9" t="s">
        <v>56</v>
      </c>
      <c r="E684" s="9" t="s">
        <v>30</v>
      </c>
      <c r="F684" s="9" t="s">
        <v>43</v>
      </c>
      <c r="G684" s="9" t="s">
        <v>24</v>
      </c>
      <c r="H684" s="9" t="s">
        <v>17</v>
      </c>
      <c r="I684" s="9" t="s">
        <v>93</v>
      </c>
      <c r="J684" s="10"/>
      <c r="K684" s="7"/>
      <c r="L684" s="7"/>
      <c r="M684" s="7"/>
      <c r="N684" s="7"/>
      <c r="O684" s="7"/>
    </row>
    <row r="685" ht="22.5" hidden="1" customHeight="1">
      <c r="A685" s="8">
        <v>45762.39184302083</v>
      </c>
      <c r="B685" s="9"/>
      <c r="C685" s="9" t="s">
        <v>110</v>
      </c>
      <c r="D685" s="9" t="s">
        <v>107</v>
      </c>
      <c r="E685" s="9" t="s">
        <v>44</v>
      </c>
      <c r="F685" s="9" t="s">
        <v>17</v>
      </c>
      <c r="G685" s="9" t="s">
        <v>24</v>
      </c>
      <c r="H685" s="9" t="s">
        <v>17</v>
      </c>
      <c r="I685" s="9" t="s">
        <v>20</v>
      </c>
      <c r="J685" s="10"/>
      <c r="K685" s="7"/>
      <c r="L685" s="7"/>
      <c r="M685" s="7"/>
      <c r="N685" s="7"/>
      <c r="O685" s="7"/>
    </row>
    <row r="686" ht="22.5" hidden="1" customHeight="1">
      <c r="A686" s="8">
        <v>45762.39238508102</v>
      </c>
      <c r="B686" s="9"/>
      <c r="C686" s="9" t="s">
        <v>110</v>
      </c>
      <c r="D686" s="9" t="s">
        <v>261</v>
      </c>
      <c r="E686" s="9" t="s">
        <v>17</v>
      </c>
      <c r="F686" s="9" t="s">
        <v>17</v>
      </c>
      <c r="G686" s="9" t="s">
        <v>24</v>
      </c>
      <c r="H686" s="9" t="s">
        <v>17</v>
      </c>
      <c r="I686" s="9" t="s">
        <v>20</v>
      </c>
      <c r="J686" s="10"/>
      <c r="K686" s="7"/>
      <c r="L686" s="7"/>
      <c r="M686" s="7"/>
      <c r="N686" s="7"/>
      <c r="O686" s="7"/>
    </row>
    <row r="687" ht="22.5" hidden="1" customHeight="1">
      <c r="A687" s="8">
        <v>45762.39691350695</v>
      </c>
      <c r="B687" s="9"/>
      <c r="C687" s="9" t="s">
        <v>110</v>
      </c>
      <c r="D687" s="9" t="s">
        <v>108</v>
      </c>
      <c r="E687" s="9" t="s">
        <v>17</v>
      </c>
      <c r="F687" s="9" t="s">
        <v>17</v>
      </c>
      <c r="G687" s="9" t="s">
        <v>24</v>
      </c>
      <c r="H687" s="9" t="s">
        <v>17</v>
      </c>
      <c r="I687" s="9" t="s">
        <v>218</v>
      </c>
      <c r="J687" s="10"/>
      <c r="K687" s="7"/>
      <c r="L687" s="7"/>
      <c r="M687" s="7"/>
      <c r="N687" s="7"/>
      <c r="O687" s="7"/>
    </row>
    <row r="688" ht="22.5" hidden="1" customHeight="1">
      <c r="A688" s="8">
        <v>45762.40096542824</v>
      </c>
      <c r="B688" s="9"/>
      <c r="C688" s="9" t="s">
        <v>110</v>
      </c>
      <c r="D688" s="9" t="s">
        <v>268</v>
      </c>
      <c r="E688" s="9" t="s">
        <v>17</v>
      </c>
      <c r="F688" s="9" t="s">
        <v>17</v>
      </c>
      <c r="G688" s="9" t="s">
        <v>24</v>
      </c>
      <c r="H688" s="9" t="s">
        <v>25</v>
      </c>
      <c r="I688" s="9" t="s">
        <v>173</v>
      </c>
      <c r="J688" s="10"/>
      <c r="K688" s="7"/>
      <c r="L688" s="7"/>
      <c r="M688" s="7"/>
      <c r="N688" s="7"/>
      <c r="O688" s="7"/>
    </row>
    <row r="689" ht="22.5" hidden="1" customHeight="1">
      <c r="A689" s="8">
        <v>45764.609346666664</v>
      </c>
      <c r="B689" s="9"/>
      <c r="C689" s="9" t="s">
        <v>31</v>
      </c>
      <c r="D689" s="9" t="s">
        <v>42</v>
      </c>
      <c r="E689" s="9" t="s">
        <v>57</v>
      </c>
      <c r="F689" s="9" t="s">
        <v>43</v>
      </c>
      <c r="G689" s="9" t="s">
        <v>24</v>
      </c>
      <c r="H689" s="9" t="s">
        <v>22</v>
      </c>
      <c r="I689" s="9" t="s">
        <v>20</v>
      </c>
      <c r="J689" s="10"/>
      <c r="K689" s="7"/>
      <c r="L689" s="7"/>
      <c r="M689" s="7"/>
      <c r="N689" s="7"/>
      <c r="O689" s="7"/>
    </row>
    <row r="690" ht="22.5" hidden="1" customHeight="1">
      <c r="A690" s="8">
        <v>45764.622301261574</v>
      </c>
      <c r="B690" s="9"/>
      <c r="C690" s="9" t="s">
        <v>31</v>
      </c>
      <c r="D690" s="9" t="s">
        <v>49</v>
      </c>
      <c r="E690" s="9" t="s">
        <v>17</v>
      </c>
      <c r="F690" s="9" t="s">
        <v>17</v>
      </c>
      <c r="G690" s="9" t="s">
        <v>24</v>
      </c>
      <c r="H690" s="9" t="s">
        <v>17</v>
      </c>
      <c r="I690" s="9" t="s">
        <v>20</v>
      </c>
      <c r="J690" s="10"/>
      <c r="K690" s="7"/>
      <c r="L690" s="7"/>
      <c r="M690" s="7"/>
      <c r="N690" s="7"/>
      <c r="O690" s="7"/>
    </row>
    <row r="691" ht="22.5" hidden="1" customHeight="1">
      <c r="A691" s="8">
        <v>45764.6480734838</v>
      </c>
      <c r="B691" s="9"/>
      <c r="C691" s="9" t="s">
        <v>31</v>
      </c>
      <c r="D691" s="9" t="s">
        <v>27</v>
      </c>
      <c r="E691" s="9" t="s">
        <v>17</v>
      </c>
      <c r="F691" s="9" t="s">
        <v>17</v>
      </c>
      <c r="G691" s="9" t="s">
        <v>24</v>
      </c>
      <c r="H691" s="9" t="s">
        <v>17</v>
      </c>
      <c r="I691" s="9" t="s">
        <v>20</v>
      </c>
      <c r="J691" s="10"/>
      <c r="K691" s="7"/>
      <c r="L691" s="7"/>
      <c r="M691" s="7"/>
      <c r="N691" s="7"/>
      <c r="O691" s="7"/>
    </row>
    <row r="692" ht="22.5" hidden="1" customHeight="1">
      <c r="A692" s="8">
        <v>45764.655659895834</v>
      </c>
      <c r="B692" s="9"/>
      <c r="C692" s="9" t="s">
        <v>31</v>
      </c>
      <c r="D692" s="9" t="s">
        <v>206</v>
      </c>
      <c r="E692" s="9" t="s">
        <v>61</v>
      </c>
      <c r="F692" s="9" t="s">
        <v>17</v>
      </c>
      <c r="G692" s="9" t="s">
        <v>24</v>
      </c>
      <c r="H692" s="9" t="s">
        <v>62</v>
      </c>
      <c r="I692" s="9" t="s">
        <v>20</v>
      </c>
      <c r="J692" s="10"/>
      <c r="K692" s="7"/>
      <c r="L692" s="7"/>
      <c r="M692" s="7"/>
      <c r="N692" s="7"/>
      <c r="O692" s="7"/>
    </row>
    <row r="693" ht="22.5" hidden="1" customHeight="1">
      <c r="A693" s="8">
        <v>45764.65698670139</v>
      </c>
      <c r="B693" s="9"/>
      <c r="C693" s="9" t="s">
        <v>31</v>
      </c>
      <c r="D693" s="9" t="s">
        <v>127</v>
      </c>
      <c r="E693" s="9" t="s">
        <v>17</v>
      </c>
      <c r="F693" s="9" t="s">
        <v>17</v>
      </c>
      <c r="G693" s="9" t="s">
        <v>24</v>
      </c>
      <c r="H693" s="9" t="s">
        <v>25</v>
      </c>
      <c r="I693" s="9" t="s">
        <v>293</v>
      </c>
      <c r="J693" s="10"/>
      <c r="K693" s="7"/>
      <c r="L693" s="7"/>
      <c r="M693" s="7"/>
      <c r="N693" s="7"/>
      <c r="O693" s="7"/>
    </row>
    <row r="694" ht="22.5" hidden="1" customHeight="1">
      <c r="A694" s="8">
        <v>45764.67277306713</v>
      </c>
      <c r="B694" s="9"/>
      <c r="C694" s="9" t="s">
        <v>31</v>
      </c>
      <c r="D694" s="9" t="s">
        <v>285</v>
      </c>
      <c r="E694" s="9" t="s">
        <v>30</v>
      </c>
      <c r="F694" s="9" t="s">
        <v>35</v>
      </c>
      <c r="G694" s="9" t="s">
        <v>24</v>
      </c>
      <c r="H694" s="9" t="s">
        <v>22</v>
      </c>
      <c r="I694" s="9" t="s">
        <v>20</v>
      </c>
      <c r="J694" s="10"/>
      <c r="K694" s="7"/>
      <c r="L694" s="7"/>
      <c r="M694" s="7"/>
      <c r="N694" s="7"/>
      <c r="O694" s="7"/>
    </row>
    <row r="695" ht="22.5" hidden="1" customHeight="1">
      <c r="A695" s="8">
        <v>45764.67627309028</v>
      </c>
      <c r="B695" s="9"/>
      <c r="C695" s="9" t="s">
        <v>31</v>
      </c>
      <c r="D695" s="9" t="s">
        <v>68</v>
      </c>
      <c r="E695" s="9" t="s">
        <v>17</v>
      </c>
      <c r="F695" s="9" t="s">
        <v>17</v>
      </c>
      <c r="G695" s="9" t="s">
        <v>24</v>
      </c>
      <c r="H695" s="9" t="s">
        <v>25</v>
      </c>
      <c r="I695" s="9" t="s">
        <v>89</v>
      </c>
      <c r="J695" s="10"/>
      <c r="K695" s="7"/>
      <c r="L695" s="7"/>
      <c r="M695" s="7"/>
      <c r="N695" s="7"/>
      <c r="O695" s="7"/>
    </row>
    <row r="696" ht="22.5" hidden="1" customHeight="1">
      <c r="A696" s="8">
        <v>45764.677373321756</v>
      </c>
      <c r="B696" s="9"/>
      <c r="C696" s="9" t="s">
        <v>31</v>
      </c>
      <c r="D696" s="9" t="s">
        <v>107</v>
      </c>
      <c r="E696" s="9" t="s">
        <v>46</v>
      </c>
      <c r="F696" s="9" t="s">
        <v>18</v>
      </c>
      <c r="G696" s="9" t="s">
        <v>19</v>
      </c>
      <c r="H696" s="9" t="s">
        <v>25</v>
      </c>
      <c r="I696" s="9" t="s">
        <v>245</v>
      </c>
      <c r="J696" s="10"/>
      <c r="K696" s="7"/>
      <c r="L696" s="7"/>
      <c r="M696" s="7"/>
      <c r="N696" s="7"/>
      <c r="O696" s="7"/>
    </row>
    <row r="697" ht="22.5" hidden="1" customHeight="1">
      <c r="A697" s="8">
        <v>45764.67845535879</v>
      </c>
      <c r="B697" s="9"/>
      <c r="C697" s="9" t="s">
        <v>31</v>
      </c>
      <c r="D697" s="9" t="s">
        <v>230</v>
      </c>
      <c r="E697" s="9" t="s">
        <v>44</v>
      </c>
      <c r="F697" s="9" t="s">
        <v>17</v>
      </c>
      <c r="G697" s="9" t="s">
        <v>40</v>
      </c>
      <c r="H697" s="9" t="s">
        <v>25</v>
      </c>
      <c r="I697" s="9" t="s">
        <v>294</v>
      </c>
      <c r="J697" s="10"/>
      <c r="K697" s="7"/>
      <c r="L697" s="7"/>
      <c r="M697" s="7"/>
      <c r="N697" s="7"/>
      <c r="O697" s="7"/>
    </row>
    <row r="698" ht="22.5" hidden="1" customHeight="1">
      <c r="A698" s="8">
        <v>45764.67917636574</v>
      </c>
      <c r="B698" s="9"/>
      <c r="C698" s="9" t="s">
        <v>31</v>
      </c>
      <c r="D698" s="9" t="s">
        <v>133</v>
      </c>
      <c r="E698" s="9" t="s">
        <v>17</v>
      </c>
      <c r="F698" s="9" t="s">
        <v>39</v>
      </c>
      <c r="G698" s="9" t="s">
        <v>24</v>
      </c>
      <c r="H698" s="9" t="s">
        <v>25</v>
      </c>
      <c r="I698" s="9" t="s">
        <v>79</v>
      </c>
      <c r="J698" s="10"/>
      <c r="K698" s="7"/>
      <c r="L698" s="7"/>
      <c r="M698" s="7"/>
      <c r="N698" s="7"/>
      <c r="O698" s="7"/>
    </row>
    <row r="699" ht="22.5" hidden="1" customHeight="1">
      <c r="A699" s="8">
        <v>45764.67955664352</v>
      </c>
      <c r="B699" s="9"/>
      <c r="C699" s="9" t="s">
        <v>31</v>
      </c>
      <c r="D699" s="9" t="s">
        <v>51</v>
      </c>
      <c r="E699" s="9" t="s">
        <v>17</v>
      </c>
      <c r="F699" s="9" t="s">
        <v>17</v>
      </c>
      <c r="G699" s="9" t="s">
        <v>24</v>
      </c>
      <c r="H699" s="9" t="s">
        <v>25</v>
      </c>
      <c r="I699" s="9" t="s">
        <v>37</v>
      </c>
      <c r="J699" s="10"/>
      <c r="K699" s="7"/>
      <c r="L699" s="7"/>
      <c r="M699" s="7"/>
      <c r="N699" s="7"/>
      <c r="O699" s="7"/>
    </row>
    <row r="700" ht="22.5" hidden="1" customHeight="1">
      <c r="A700" s="8">
        <v>45764.680104259256</v>
      </c>
      <c r="B700" s="9"/>
      <c r="C700" s="9" t="s">
        <v>31</v>
      </c>
      <c r="D700" s="9" t="s">
        <v>289</v>
      </c>
      <c r="E700" s="9" t="s">
        <v>61</v>
      </c>
      <c r="F700" s="9" t="s">
        <v>17</v>
      </c>
      <c r="G700" s="9" t="s">
        <v>24</v>
      </c>
      <c r="H700" s="9" t="s">
        <v>25</v>
      </c>
      <c r="I700" s="9" t="s">
        <v>266</v>
      </c>
      <c r="J700" s="10"/>
      <c r="K700" s="7"/>
      <c r="L700" s="7"/>
      <c r="M700" s="7"/>
      <c r="N700" s="7"/>
      <c r="O700" s="7"/>
    </row>
    <row r="701" ht="22.5" hidden="1" customHeight="1">
      <c r="A701" s="8">
        <v>45764.68198170139</v>
      </c>
      <c r="B701" s="9"/>
      <c r="C701" s="9" t="s">
        <v>31</v>
      </c>
      <c r="D701" s="9" t="s">
        <v>268</v>
      </c>
      <c r="E701" s="9" t="s">
        <v>17</v>
      </c>
      <c r="F701" s="9" t="s">
        <v>17</v>
      </c>
      <c r="G701" s="9" t="s">
        <v>19</v>
      </c>
      <c r="H701" s="9" t="s">
        <v>25</v>
      </c>
      <c r="I701" s="9" t="s">
        <v>173</v>
      </c>
      <c r="J701" s="10"/>
      <c r="K701" s="7"/>
      <c r="L701" s="7"/>
      <c r="M701" s="7"/>
      <c r="N701" s="7"/>
      <c r="O701" s="7"/>
    </row>
    <row r="702" ht="22.5" hidden="1" customHeight="1">
      <c r="A702" s="8">
        <v>45764.68302115741</v>
      </c>
      <c r="B702" s="9"/>
      <c r="C702" s="9" t="s">
        <v>31</v>
      </c>
      <c r="D702" s="9" t="s">
        <v>23</v>
      </c>
      <c r="E702" s="9" t="s">
        <v>17</v>
      </c>
      <c r="F702" s="9" t="s">
        <v>17</v>
      </c>
      <c r="G702" s="9" t="s">
        <v>19</v>
      </c>
      <c r="H702" s="9" t="s">
        <v>17</v>
      </c>
      <c r="I702" s="9" t="s">
        <v>295</v>
      </c>
      <c r="J702" s="10"/>
      <c r="K702" s="7"/>
      <c r="L702" s="7"/>
      <c r="M702" s="7"/>
      <c r="N702" s="7"/>
      <c r="O702" s="7"/>
    </row>
    <row r="703" ht="22.5" hidden="1" customHeight="1">
      <c r="A703" s="8">
        <v>45764.683854953706</v>
      </c>
      <c r="B703" s="9"/>
      <c r="C703" s="9" t="s">
        <v>31</v>
      </c>
      <c r="D703" s="9" t="s">
        <v>277</v>
      </c>
      <c r="E703" s="9" t="s">
        <v>46</v>
      </c>
      <c r="F703" s="9" t="s">
        <v>43</v>
      </c>
      <c r="G703" s="9" t="s">
        <v>19</v>
      </c>
      <c r="H703" s="9" t="s">
        <v>25</v>
      </c>
      <c r="I703" s="9" t="s">
        <v>26</v>
      </c>
      <c r="J703" s="10"/>
      <c r="K703" s="7"/>
      <c r="L703" s="7"/>
      <c r="M703" s="7"/>
      <c r="N703" s="7"/>
      <c r="O703" s="7"/>
    </row>
    <row r="704" ht="22.5" hidden="1" customHeight="1">
      <c r="A704" s="8">
        <v>45764.68528679398</v>
      </c>
      <c r="B704" s="9"/>
      <c r="C704" s="9" t="s">
        <v>31</v>
      </c>
      <c r="D704" s="9" t="s">
        <v>281</v>
      </c>
      <c r="E704" s="9" t="s">
        <v>17</v>
      </c>
      <c r="F704" s="9" t="s">
        <v>17</v>
      </c>
      <c r="G704" s="9" t="s">
        <v>24</v>
      </c>
      <c r="H704" s="9" t="s">
        <v>25</v>
      </c>
      <c r="I704" s="9" t="s">
        <v>37</v>
      </c>
      <c r="J704" s="10"/>
      <c r="K704" s="7"/>
      <c r="L704" s="7"/>
      <c r="M704" s="7"/>
      <c r="N704" s="7"/>
      <c r="O704" s="7"/>
    </row>
    <row r="705" ht="22.5" hidden="1" customHeight="1">
      <c r="A705" s="8">
        <v>45764.68604489583</v>
      </c>
      <c r="B705" s="9"/>
      <c r="C705" s="9" t="s">
        <v>31</v>
      </c>
      <c r="D705" s="9" t="s">
        <v>250</v>
      </c>
      <c r="E705" s="9" t="s">
        <v>17</v>
      </c>
      <c r="F705" s="9" t="s">
        <v>17</v>
      </c>
      <c r="G705" s="9" t="s">
        <v>24</v>
      </c>
      <c r="H705" s="9" t="s">
        <v>17</v>
      </c>
      <c r="I705" s="9" t="s">
        <v>20</v>
      </c>
      <c r="J705" s="10"/>
      <c r="K705" s="7"/>
      <c r="L705" s="7"/>
      <c r="M705" s="7"/>
      <c r="N705" s="7"/>
      <c r="O705" s="7"/>
    </row>
    <row r="706" ht="22.5" hidden="1" customHeight="1">
      <c r="A706" s="8">
        <v>45764.68656952547</v>
      </c>
      <c r="B706" s="9"/>
      <c r="C706" s="9" t="s">
        <v>31</v>
      </c>
      <c r="D706" s="9" t="s">
        <v>227</v>
      </c>
      <c r="E706" s="9" t="s">
        <v>17</v>
      </c>
      <c r="F706" s="9" t="s">
        <v>17</v>
      </c>
      <c r="G706" s="9" t="s">
        <v>24</v>
      </c>
      <c r="H706" s="9" t="s">
        <v>17</v>
      </c>
      <c r="I706" s="9" t="s">
        <v>20</v>
      </c>
      <c r="J706" s="10"/>
      <c r="K706" s="7"/>
      <c r="L706" s="7"/>
      <c r="M706" s="7"/>
      <c r="N706" s="7"/>
      <c r="O706" s="7"/>
    </row>
    <row r="707" ht="22.5" hidden="1" customHeight="1">
      <c r="A707" s="8">
        <v>45764.68731607639</v>
      </c>
      <c r="B707" s="9"/>
      <c r="C707" s="9" t="s">
        <v>31</v>
      </c>
      <c r="D707" s="9" t="s">
        <v>108</v>
      </c>
      <c r="E707" s="9" t="s">
        <v>17</v>
      </c>
      <c r="F707" s="9" t="s">
        <v>17</v>
      </c>
      <c r="G707" s="9" t="s">
        <v>24</v>
      </c>
      <c r="H707" s="9" t="s">
        <v>25</v>
      </c>
      <c r="I707" s="9" t="s">
        <v>218</v>
      </c>
      <c r="J707" s="10"/>
      <c r="K707" s="7"/>
      <c r="L707" s="7"/>
      <c r="M707" s="7"/>
      <c r="N707" s="7"/>
      <c r="O707" s="7"/>
    </row>
    <row r="708" ht="22.5" hidden="1" customHeight="1">
      <c r="A708" s="8">
        <v>45764.68881375</v>
      </c>
      <c r="B708" s="9"/>
      <c r="C708" s="9" t="s">
        <v>31</v>
      </c>
      <c r="D708" s="9" t="s">
        <v>102</v>
      </c>
      <c r="E708" s="9" t="s">
        <v>17</v>
      </c>
      <c r="F708" s="9" t="s">
        <v>17</v>
      </c>
      <c r="G708" s="9" t="s">
        <v>40</v>
      </c>
      <c r="H708" s="9" t="s">
        <v>25</v>
      </c>
      <c r="I708" s="9" t="s">
        <v>296</v>
      </c>
      <c r="J708" s="10"/>
      <c r="K708" s="7"/>
      <c r="L708" s="7"/>
      <c r="M708" s="7"/>
      <c r="N708" s="7"/>
      <c r="O708" s="7"/>
    </row>
    <row r="709" ht="22.5" hidden="1" customHeight="1">
      <c r="A709" s="8">
        <v>45764.68973424769</v>
      </c>
      <c r="B709" s="9"/>
      <c r="C709" s="9" t="s">
        <v>31</v>
      </c>
      <c r="D709" s="9" t="s">
        <v>212</v>
      </c>
      <c r="E709" s="9" t="s">
        <v>17</v>
      </c>
      <c r="F709" s="9" t="s">
        <v>17</v>
      </c>
      <c r="G709" s="9" t="s">
        <v>24</v>
      </c>
      <c r="H709" s="9" t="s">
        <v>17</v>
      </c>
      <c r="I709" s="9" t="s">
        <v>20</v>
      </c>
      <c r="J709" s="10"/>
      <c r="K709" s="7"/>
      <c r="L709" s="7"/>
      <c r="M709" s="7"/>
      <c r="N709" s="7"/>
      <c r="O709" s="7"/>
    </row>
    <row r="710" ht="22.5" hidden="1" customHeight="1">
      <c r="A710" s="8">
        <v>45764.69025013889</v>
      </c>
      <c r="B710" s="9"/>
      <c r="C710" s="9" t="s">
        <v>31</v>
      </c>
      <c r="D710" s="9" t="s">
        <v>109</v>
      </c>
      <c r="E710" s="9" t="s">
        <v>46</v>
      </c>
      <c r="F710" s="9" t="s">
        <v>18</v>
      </c>
      <c r="G710" s="9" t="s">
        <v>19</v>
      </c>
      <c r="H710" s="9" t="s">
        <v>62</v>
      </c>
      <c r="I710" s="9" t="s">
        <v>20</v>
      </c>
      <c r="J710" s="10"/>
      <c r="K710" s="7"/>
      <c r="L710" s="7"/>
      <c r="M710" s="7"/>
      <c r="N710" s="7"/>
      <c r="O710" s="7"/>
    </row>
    <row r="711" ht="22.5" hidden="1" customHeight="1">
      <c r="A711" s="8">
        <v>45765.60420636574</v>
      </c>
      <c r="B711" s="9"/>
      <c r="C711" s="9" t="s">
        <v>48</v>
      </c>
      <c r="D711" s="9" t="s">
        <v>141</v>
      </c>
      <c r="E711" s="9" t="s">
        <v>17</v>
      </c>
      <c r="F711" s="9" t="s">
        <v>35</v>
      </c>
      <c r="G711" s="9" t="s">
        <v>24</v>
      </c>
      <c r="H711" s="9" t="s">
        <v>17</v>
      </c>
      <c r="I711" s="9" t="s">
        <v>20</v>
      </c>
      <c r="J711" s="10"/>
      <c r="K711" s="7"/>
      <c r="L711" s="7"/>
      <c r="M711" s="7"/>
      <c r="N711" s="7"/>
      <c r="O711" s="7"/>
    </row>
    <row r="712" ht="22.5" hidden="1" customHeight="1">
      <c r="A712" s="8">
        <v>45765.605730173615</v>
      </c>
      <c r="B712" s="9"/>
      <c r="C712" s="9" t="s">
        <v>48</v>
      </c>
      <c r="D712" s="9" t="s">
        <v>42</v>
      </c>
      <c r="E712" s="9" t="s">
        <v>57</v>
      </c>
      <c r="F712" s="9" t="s">
        <v>43</v>
      </c>
      <c r="G712" s="9" t="s">
        <v>19</v>
      </c>
      <c r="H712" s="9" t="s">
        <v>22</v>
      </c>
      <c r="I712" s="9" t="s">
        <v>20</v>
      </c>
      <c r="J712" s="10"/>
      <c r="K712" s="7"/>
      <c r="L712" s="7"/>
      <c r="M712" s="7"/>
      <c r="N712" s="7"/>
      <c r="O712" s="7"/>
    </row>
    <row r="713" ht="22.5" hidden="1" customHeight="1">
      <c r="A713" s="8">
        <v>45765.61126601852</v>
      </c>
      <c r="B713" s="9"/>
      <c r="C713" s="9" t="s">
        <v>48</v>
      </c>
      <c r="D713" s="9" t="s">
        <v>120</v>
      </c>
      <c r="E713" s="9" t="s">
        <v>17</v>
      </c>
      <c r="F713" s="9" t="s">
        <v>17</v>
      </c>
      <c r="G713" s="9" t="s">
        <v>24</v>
      </c>
      <c r="H713" s="9" t="s">
        <v>25</v>
      </c>
      <c r="I713" s="9" t="s">
        <v>89</v>
      </c>
      <c r="J713" s="10"/>
      <c r="K713" s="7"/>
      <c r="L713" s="7"/>
      <c r="M713" s="7"/>
      <c r="N713" s="7"/>
      <c r="O713" s="7"/>
    </row>
    <row r="714" ht="22.5" hidden="1" customHeight="1">
      <c r="A714" s="8">
        <v>45765.63985263889</v>
      </c>
      <c r="B714" s="9"/>
      <c r="C714" s="9" t="s">
        <v>48</v>
      </c>
      <c r="D714" s="9" t="s">
        <v>51</v>
      </c>
      <c r="E714" s="9" t="s">
        <v>17</v>
      </c>
      <c r="F714" s="9" t="s">
        <v>17</v>
      </c>
      <c r="G714" s="9" t="s">
        <v>19</v>
      </c>
      <c r="H714" s="9" t="s">
        <v>17</v>
      </c>
      <c r="I714" s="9" t="s">
        <v>37</v>
      </c>
      <c r="J714" s="10"/>
      <c r="K714" s="7"/>
      <c r="L714" s="7"/>
      <c r="M714" s="7"/>
      <c r="N714" s="7"/>
      <c r="O714" s="7"/>
    </row>
    <row r="715" ht="22.5" hidden="1" customHeight="1">
      <c r="A715" s="8">
        <v>45765.64068803241</v>
      </c>
      <c r="B715" s="9"/>
      <c r="C715" s="9" t="s">
        <v>48</v>
      </c>
      <c r="D715" s="9" t="s">
        <v>289</v>
      </c>
      <c r="E715" s="9" t="s">
        <v>17</v>
      </c>
      <c r="F715" s="9" t="s">
        <v>17</v>
      </c>
      <c r="G715" s="9" t="s">
        <v>19</v>
      </c>
      <c r="H715" s="9" t="s">
        <v>25</v>
      </c>
      <c r="I715" s="9" t="s">
        <v>297</v>
      </c>
      <c r="J715" s="10"/>
      <c r="K715" s="7"/>
      <c r="L715" s="7"/>
      <c r="M715" s="7"/>
      <c r="N715" s="7"/>
      <c r="O715" s="7"/>
    </row>
    <row r="716" ht="22.5" hidden="1" customHeight="1">
      <c r="A716" s="8">
        <v>45765.64223416666</v>
      </c>
      <c r="B716" s="9"/>
      <c r="C716" s="9" t="s">
        <v>48</v>
      </c>
      <c r="D716" s="9" t="s">
        <v>132</v>
      </c>
      <c r="E716" s="9" t="s">
        <v>30</v>
      </c>
      <c r="F716" s="9" t="s">
        <v>17</v>
      </c>
      <c r="G716" s="9" t="s">
        <v>24</v>
      </c>
      <c r="H716" s="9" t="s">
        <v>22</v>
      </c>
      <c r="I716" s="9" t="s">
        <v>20</v>
      </c>
      <c r="J716" s="10"/>
      <c r="K716" s="7"/>
      <c r="L716" s="7"/>
      <c r="M716" s="7"/>
      <c r="N716" s="7"/>
      <c r="O716" s="7"/>
    </row>
    <row r="717" ht="22.5" hidden="1" customHeight="1">
      <c r="A717" s="8">
        <v>45765.648274120365</v>
      </c>
      <c r="B717" s="9"/>
      <c r="C717" s="9" t="s">
        <v>48</v>
      </c>
      <c r="D717" s="9" t="s">
        <v>206</v>
      </c>
      <c r="E717" s="9" t="s">
        <v>17</v>
      </c>
      <c r="F717" s="9" t="s">
        <v>17</v>
      </c>
      <c r="G717" s="9" t="s">
        <v>24</v>
      </c>
      <c r="H717" s="9" t="s">
        <v>62</v>
      </c>
      <c r="I717" s="9" t="s">
        <v>20</v>
      </c>
      <c r="J717" s="10"/>
      <c r="K717" s="7"/>
      <c r="L717" s="7"/>
      <c r="M717" s="7"/>
      <c r="N717" s="7"/>
      <c r="O717" s="7"/>
    </row>
    <row r="718" ht="22.5" hidden="1" customHeight="1">
      <c r="A718" s="8">
        <v>45765.64962519676</v>
      </c>
      <c r="B718" s="9"/>
      <c r="C718" s="9" t="s">
        <v>48</v>
      </c>
      <c r="D718" s="9" t="s">
        <v>277</v>
      </c>
      <c r="E718" s="9" t="s">
        <v>46</v>
      </c>
      <c r="F718" s="9" t="s">
        <v>43</v>
      </c>
      <c r="G718" s="9" t="s">
        <v>19</v>
      </c>
      <c r="H718" s="9" t="s">
        <v>25</v>
      </c>
      <c r="I718" s="9" t="s">
        <v>50</v>
      </c>
      <c r="J718" s="10"/>
      <c r="K718" s="7"/>
      <c r="L718" s="7"/>
      <c r="M718" s="7"/>
      <c r="N718" s="7"/>
      <c r="O718" s="7"/>
    </row>
    <row r="719" ht="22.5" hidden="1" customHeight="1">
      <c r="A719" s="8">
        <v>45765.65819780093</v>
      </c>
      <c r="B719" s="9"/>
      <c r="C719" s="9" t="s">
        <v>48</v>
      </c>
      <c r="D719" s="9" t="s">
        <v>102</v>
      </c>
      <c r="E719" s="9" t="s">
        <v>17</v>
      </c>
      <c r="F719" s="9" t="s">
        <v>17</v>
      </c>
      <c r="G719" s="9" t="s">
        <v>40</v>
      </c>
      <c r="H719" s="9" t="s">
        <v>25</v>
      </c>
      <c r="I719" s="9" t="s">
        <v>292</v>
      </c>
      <c r="J719" s="10"/>
      <c r="K719" s="7"/>
      <c r="L719" s="7"/>
      <c r="M719" s="7"/>
      <c r="N719" s="7"/>
      <c r="O719" s="7"/>
    </row>
    <row r="720" ht="22.5" hidden="1" customHeight="1">
      <c r="A720" s="8">
        <v>45765.65881547454</v>
      </c>
      <c r="B720" s="9"/>
      <c r="C720" s="9" t="s">
        <v>48</v>
      </c>
      <c r="D720" s="9" t="s">
        <v>133</v>
      </c>
      <c r="E720" s="9" t="s">
        <v>17</v>
      </c>
      <c r="F720" s="9" t="s">
        <v>17</v>
      </c>
      <c r="G720" s="9" t="s">
        <v>24</v>
      </c>
      <c r="H720" s="9" t="s">
        <v>25</v>
      </c>
      <c r="I720" s="9" t="s">
        <v>298</v>
      </c>
      <c r="J720" s="10"/>
      <c r="K720" s="7"/>
      <c r="L720" s="7"/>
      <c r="M720" s="7"/>
      <c r="N720" s="7"/>
      <c r="O720" s="7"/>
    </row>
    <row r="721" ht="22.5" hidden="1" customHeight="1">
      <c r="A721" s="8">
        <v>45765.659856087965</v>
      </c>
      <c r="B721" s="9"/>
      <c r="C721" s="9" t="s">
        <v>48</v>
      </c>
      <c r="D721" s="9" t="s">
        <v>33</v>
      </c>
      <c r="E721" s="9" t="s">
        <v>17</v>
      </c>
      <c r="F721" s="9" t="s">
        <v>17</v>
      </c>
      <c r="G721" s="9" t="s">
        <v>19</v>
      </c>
      <c r="H721" s="9" t="s">
        <v>17</v>
      </c>
      <c r="I721" s="9" t="s">
        <v>20</v>
      </c>
      <c r="J721" s="10"/>
      <c r="K721" s="7"/>
      <c r="L721" s="7"/>
      <c r="M721" s="7"/>
      <c r="N721" s="7"/>
      <c r="O721" s="7"/>
    </row>
    <row r="722" ht="22.5" hidden="1" customHeight="1">
      <c r="A722" s="8">
        <v>45765.65999642361</v>
      </c>
      <c r="B722" s="9"/>
      <c r="C722" s="9" t="s">
        <v>48</v>
      </c>
      <c r="D722" s="9" t="s">
        <v>127</v>
      </c>
      <c r="E722" s="9" t="s">
        <v>17</v>
      </c>
      <c r="F722" s="9" t="s">
        <v>17</v>
      </c>
      <c r="G722" s="9" t="s">
        <v>24</v>
      </c>
      <c r="H722" s="9" t="s">
        <v>25</v>
      </c>
      <c r="I722" s="9" t="s">
        <v>137</v>
      </c>
      <c r="J722" s="10"/>
      <c r="K722" s="7"/>
      <c r="L722" s="7"/>
      <c r="M722" s="7"/>
      <c r="N722" s="7"/>
      <c r="O722" s="7"/>
    </row>
    <row r="723" ht="22.5" hidden="1" customHeight="1">
      <c r="A723" s="8">
        <v>45765.660098252316</v>
      </c>
      <c r="B723" s="9"/>
      <c r="C723" s="9" t="s">
        <v>48</v>
      </c>
      <c r="D723" s="9" t="s">
        <v>27</v>
      </c>
      <c r="E723" s="9" t="s">
        <v>17</v>
      </c>
      <c r="F723" s="9" t="s">
        <v>17</v>
      </c>
      <c r="G723" s="9" t="s">
        <v>24</v>
      </c>
      <c r="H723" s="9" t="s">
        <v>17</v>
      </c>
      <c r="I723" s="9" t="s">
        <v>20</v>
      </c>
      <c r="J723" s="10"/>
      <c r="K723" s="7"/>
      <c r="L723" s="7"/>
      <c r="M723" s="7"/>
      <c r="N723" s="7"/>
      <c r="O723" s="7"/>
    </row>
    <row r="724" ht="22.5" hidden="1" customHeight="1">
      <c r="A724" s="8">
        <v>45765.6604250463</v>
      </c>
      <c r="B724" s="9"/>
      <c r="C724" s="9" t="s">
        <v>48</v>
      </c>
      <c r="D724" s="9" t="s">
        <v>250</v>
      </c>
      <c r="E724" s="9" t="s">
        <v>17</v>
      </c>
      <c r="F724" s="9" t="s">
        <v>17</v>
      </c>
      <c r="G724" s="9" t="s">
        <v>24</v>
      </c>
      <c r="H724" s="9" t="s">
        <v>17</v>
      </c>
      <c r="I724" s="9" t="s">
        <v>20</v>
      </c>
      <c r="J724" s="10"/>
      <c r="K724" s="7"/>
      <c r="L724" s="7"/>
      <c r="M724" s="7"/>
      <c r="N724" s="7"/>
      <c r="O724" s="7"/>
    </row>
    <row r="725" ht="22.5" hidden="1" customHeight="1">
      <c r="A725" s="8">
        <v>45765.6608534838</v>
      </c>
      <c r="B725" s="9"/>
      <c r="C725" s="9" t="s">
        <v>48</v>
      </c>
      <c r="D725" s="9" t="s">
        <v>107</v>
      </c>
      <c r="E725" s="9" t="s">
        <v>17</v>
      </c>
      <c r="F725" s="9" t="s">
        <v>17</v>
      </c>
      <c r="G725" s="9" t="s">
        <v>24</v>
      </c>
      <c r="H725" s="9" t="s">
        <v>25</v>
      </c>
      <c r="I725" s="9" t="s">
        <v>50</v>
      </c>
      <c r="J725" s="10"/>
      <c r="K725" s="7"/>
      <c r="L725" s="7"/>
      <c r="M725" s="7"/>
      <c r="N725" s="7"/>
      <c r="O725" s="7"/>
    </row>
    <row r="726" ht="22.5" hidden="1" customHeight="1">
      <c r="A726" s="8">
        <v>45765.661384861116</v>
      </c>
      <c r="B726" s="9"/>
      <c r="C726" s="9" t="s">
        <v>48</v>
      </c>
      <c r="D726" s="9" t="s">
        <v>68</v>
      </c>
      <c r="E726" s="9" t="s">
        <v>17</v>
      </c>
      <c r="F726" s="9" t="s">
        <v>17</v>
      </c>
      <c r="G726" s="9" t="s">
        <v>24</v>
      </c>
      <c r="H726" s="9" t="s">
        <v>17</v>
      </c>
      <c r="I726" s="9" t="s">
        <v>50</v>
      </c>
      <c r="J726" s="10"/>
      <c r="K726" s="7"/>
      <c r="L726" s="7"/>
      <c r="M726" s="7"/>
      <c r="N726" s="7"/>
      <c r="O726" s="7"/>
    </row>
    <row r="727" ht="22.5" hidden="1" customHeight="1">
      <c r="A727" s="8">
        <v>45765.661843587965</v>
      </c>
      <c r="B727" s="9"/>
      <c r="C727" s="9" t="s">
        <v>48</v>
      </c>
      <c r="D727" s="9" t="s">
        <v>299</v>
      </c>
      <c r="E727" s="9" t="s">
        <v>17</v>
      </c>
      <c r="F727" s="9" t="s">
        <v>17</v>
      </c>
      <c r="G727" s="9" t="s">
        <v>24</v>
      </c>
      <c r="H727" s="9" t="s">
        <v>22</v>
      </c>
      <c r="I727" s="9" t="s">
        <v>20</v>
      </c>
      <c r="J727" s="10"/>
      <c r="K727" s="7"/>
      <c r="L727" s="7"/>
      <c r="M727" s="7"/>
      <c r="N727" s="7"/>
      <c r="O727" s="7"/>
    </row>
    <row r="728" ht="22.5" hidden="1" customHeight="1">
      <c r="A728" s="8">
        <v>45765.662444305555</v>
      </c>
      <c r="B728" s="9"/>
      <c r="C728" s="9" t="s">
        <v>48</v>
      </c>
      <c r="D728" s="9" t="s">
        <v>109</v>
      </c>
      <c r="E728" s="9" t="s">
        <v>17</v>
      </c>
      <c r="F728" s="9" t="s">
        <v>17</v>
      </c>
      <c r="G728" s="9" t="s">
        <v>19</v>
      </c>
      <c r="H728" s="9" t="s">
        <v>17</v>
      </c>
      <c r="I728" s="9" t="s">
        <v>20</v>
      </c>
      <c r="J728" s="10"/>
      <c r="K728" s="7"/>
      <c r="L728" s="7"/>
      <c r="M728" s="7"/>
      <c r="N728" s="7"/>
      <c r="O728" s="7"/>
    </row>
    <row r="729" ht="22.5" hidden="1" customHeight="1">
      <c r="A729" s="8">
        <v>45765.66368819444</v>
      </c>
      <c r="B729" s="9"/>
      <c r="C729" s="9" t="s">
        <v>48</v>
      </c>
      <c r="D729" s="9" t="s">
        <v>23</v>
      </c>
      <c r="E729" s="9" t="s">
        <v>17</v>
      </c>
      <c r="F729" s="9" t="s">
        <v>43</v>
      </c>
      <c r="G729" s="9" t="s">
        <v>19</v>
      </c>
      <c r="H729" s="9" t="s">
        <v>22</v>
      </c>
      <c r="I729" s="9" t="s">
        <v>20</v>
      </c>
      <c r="J729" s="10"/>
      <c r="K729" s="7"/>
      <c r="L729" s="7"/>
      <c r="M729" s="7"/>
      <c r="N729" s="7"/>
      <c r="O729" s="7"/>
    </row>
    <row r="730" ht="22.5" hidden="1" customHeight="1">
      <c r="A730" s="8">
        <v>45765.66547341435</v>
      </c>
      <c r="B730" s="9"/>
      <c r="C730" s="9" t="s">
        <v>48</v>
      </c>
      <c r="D730" s="9" t="s">
        <v>231</v>
      </c>
      <c r="E730" s="9" t="s">
        <v>61</v>
      </c>
      <c r="F730" s="9" t="s">
        <v>17</v>
      </c>
      <c r="G730" s="9" t="s">
        <v>24</v>
      </c>
      <c r="H730" s="9" t="s">
        <v>25</v>
      </c>
      <c r="I730" s="9" t="s">
        <v>26</v>
      </c>
      <c r="J730" s="10"/>
      <c r="K730" s="7"/>
      <c r="L730" s="7"/>
      <c r="M730" s="7"/>
      <c r="N730" s="7"/>
      <c r="O730" s="7"/>
    </row>
    <row r="731" ht="22.5" hidden="1" customHeight="1">
      <c r="A731" s="8">
        <v>45765.666032141206</v>
      </c>
      <c r="B731" s="9"/>
      <c r="C731" s="9" t="s">
        <v>48</v>
      </c>
      <c r="D731" s="9" t="s">
        <v>268</v>
      </c>
      <c r="E731" s="9" t="s">
        <v>44</v>
      </c>
      <c r="F731" s="9" t="s">
        <v>17</v>
      </c>
      <c r="G731" s="9" t="s">
        <v>19</v>
      </c>
      <c r="H731" s="9" t="s">
        <v>25</v>
      </c>
      <c r="I731" s="9" t="s">
        <v>137</v>
      </c>
      <c r="J731" s="10"/>
      <c r="K731" s="7"/>
      <c r="L731" s="7"/>
      <c r="M731" s="7"/>
      <c r="N731" s="7"/>
      <c r="O731" s="7"/>
    </row>
    <row r="732" ht="22.5" hidden="1" customHeight="1">
      <c r="A732" s="8">
        <v>45765.66867144676</v>
      </c>
      <c r="B732" s="9"/>
      <c r="C732" s="9" t="s">
        <v>48</v>
      </c>
      <c r="D732" s="9" t="s">
        <v>281</v>
      </c>
      <c r="E732" s="9" t="s">
        <v>17</v>
      </c>
      <c r="F732" s="9" t="s">
        <v>17</v>
      </c>
      <c r="G732" s="9" t="s">
        <v>24</v>
      </c>
      <c r="H732" s="9" t="s">
        <v>17</v>
      </c>
      <c r="I732" s="9" t="s">
        <v>37</v>
      </c>
      <c r="J732" s="10"/>
      <c r="K732" s="7"/>
      <c r="L732" s="7"/>
      <c r="M732" s="7"/>
      <c r="N732" s="7"/>
      <c r="O732" s="7"/>
    </row>
    <row r="733" ht="22.5" hidden="1" customHeight="1">
      <c r="A733" s="8">
        <v>45765.67021372685</v>
      </c>
      <c r="B733" s="9"/>
      <c r="C733" s="9" t="s">
        <v>48</v>
      </c>
      <c r="D733" s="9" t="s">
        <v>230</v>
      </c>
      <c r="E733" s="9" t="s">
        <v>17</v>
      </c>
      <c r="F733" s="9" t="s">
        <v>17</v>
      </c>
      <c r="G733" s="9" t="s">
        <v>24</v>
      </c>
      <c r="H733" s="9" t="s">
        <v>25</v>
      </c>
      <c r="I733" s="9" t="s">
        <v>273</v>
      </c>
      <c r="J733" s="10"/>
      <c r="K733" s="7"/>
      <c r="L733" s="7"/>
      <c r="M733" s="7"/>
      <c r="N733" s="7"/>
      <c r="O733" s="7"/>
    </row>
    <row r="734" ht="22.5" hidden="1" customHeight="1">
      <c r="A734" s="8">
        <v>45765.68015305555</v>
      </c>
      <c r="B734" s="9"/>
      <c r="C734" s="9" t="s">
        <v>48</v>
      </c>
      <c r="D734" s="9" t="s">
        <v>227</v>
      </c>
      <c r="E734" s="9" t="s">
        <v>17</v>
      </c>
      <c r="F734" s="9" t="s">
        <v>17</v>
      </c>
      <c r="G734" s="9" t="s">
        <v>24</v>
      </c>
      <c r="H734" s="9" t="s">
        <v>25</v>
      </c>
      <c r="I734" s="9" t="s">
        <v>300</v>
      </c>
      <c r="J734" s="10"/>
      <c r="K734" s="7"/>
      <c r="L734" s="7"/>
      <c r="M734" s="7"/>
      <c r="N734" s="7"/>
      <c r="O734" s="7"/>
    </row>
    <row r="735" ht="22.5" hidden="1" customHeight="1">
      <c r="A735" s="8">
        <v>45769.45014050926</v>
      </c>
      <c r="B735" s="9"/>
      <c r="C735" s="9" t="s">
        <v>110</v>
      </c>
      <c r="D735" s="9" t="s">
        <v>49</v>
      </c>
      <c r="E735" s="9" t="s">
        <v>17</v>
      </c>
      <c r="F735" s="9" t="s">
        <v>17</v>
      </c>
      <c r="G735" s="9" t="s">
        <v>19</v>
      </c>
      <c r="H735" s="9" t="s">
        <v>17</v>
      </c>
      <c r="I735" s="9" t="s">
        <v>20</v>
      </c>
      <c r="J735" s="10"/>
      <c r="K735" s="7"/>
      <c r="L735" s="7"/>
      <c r="M735" s="7"/>
      <c r="N735" s="7"/>
      <c r="O735" s="7"/>
    </row>
    <row r="736" ht="22.5" hidden="1" customHeight="1">
      <c r="A736" s="8">
        <v>45769.649295613424</v>
      </c>
      <c r="B736" s="9"/>
      <c r="C736" s="9" t="s">
        <v>110</v>
      </c>
      <c r="D736" s="9" t="s">
        <v>289</v>
      </c>
      <c r="E736" s="9" t="s">
        <v>17</v>
      </c>
      <c r="F736" s="9" t="s">
        <v>17</v>
      </c>
      <c r="G736" s="9" t="s">
        <v>24</v>
      </c>
      <c r="H736" s="9" t="s">
        <v>25</v>
      </c>
      <c r="I736" s="9" t="s">
        <v>301</v>
      </c>
      <c r="J736" s="10"/>
      <c r="K736" s="7"/>
      <c r="L736" s="7"/>
      <c r="M736" s="7"/>
      <c r="N736" s="7"/>
      <c r="O736" s="7"/>
    </row>
    <row r="737" ht="22.5" hidden="1" customHeight="1">
      <c r="A737" s="8">
        <v>45769.64958631944</v>
      </c>
      <c r="B737" s="9"/>
      <c r="C737" s="9" t="s">
        <v>110</v>
      </c>
      <c r="D737" s="9" t="s">
        <v>102</v>
      </c>
      <c r="E737" s="9" t="s">
        <v>17</v>
      </c>
      <c r="F737" s="9" t="s">
        <v>17</v>
      </c>
      <c r="G737" s="9" t="s">
        <v>24</v>
      </c>
      <c r="H737" s="9" t="s">
        <v>17</v>
      </c>
      <c r="I737" s="9" t="s">
        <v>28</v>
      </c>
      <c r="J737" s="10"/>
      <c r="K737" s="7"/>
      <c r="L737" s="7"/>
      <c r="M737" s="7"/>
      <c r="N737" s="7"/>
      <c r="O737" s="7"/>
    </row>
    <row r="738" ht="22.5" hidden="1" customHeight="1">
      <c r="A738" s="8">
        <v>45769.65063716435</v>
      </c>
      <c r="B738" s="9"/>
      <c r="C738" s="9" t="s">
        <v>110</v>
      </c>
      <c r="D738" s="9" t="s">
        <v>127</v>
      </c>
      <c r="E738" s="9" t="s">
        <v>17</v>
      </c>
      <c r="F738" s="9" t="s">
        <v>18</v>
      </c>
      <c r="G738" s="9" t="s">
        <v>24</v>
      </c>
      <c r="H738" s="9" t="s">
        <v>25</v>
      </c>
      <c r="I738" s="9" t="s">
        <v>302</v>
      </c>
      <c r="J738" s="10"/>
      <c r="K738" s="7"/>
      <c r="L738" s="7"/>
      <c r="M738" s="7"/>
      <c r="N738" s="7"/>
      <c r="O738" s="7"/>
    </row>
    <row r="739" ht="22.5" hidden="1" customHeight="1">
      <c r="A739" s="8">
        <v>45769.651165868054</v>
      </c>
      <c r="B739" s="9"/>
      <c r="C739" s="9" t="s">
        <v>110</v>
      </c>
      <c r="D739" s="9" t="s">
        <v>268</v>
      </c>
      <c r="E739" s="9" t="s">
        <v>17</v>
      </c>
      <c r="F739" s="9" t="s">
        <v>35</v>
      </c>
      <c r="G739" s="9" t="s">
        <v>24</v>
      </c>
      <c r="H739" s="9" t="s">
        <v>25</v>
      </c>
      <c r="I739" s="9" t="s">
        <v>137</v>
      </c>
      <c r="J739" s="10"/>
      <c r="K739" s="7"/>
      <c r="L739" s="7"/>
      <c r="M739" s="7"/>
      <c r="N739" s="7"/>
      <c r="O739" s="7"/>
    </row>
    <row r="740" ht="22.5" hidden="1" customHeight="1">
      <c r="A740" s="8">
        <v>45769.652252789354</v>
      </c>
      <c r="B740" s="9"/>
      <c r="C740" s="9" t="s">
        <v>110</v>
      </c>
      <c r="D740" s="9" t="s">
        <v>260</v>
      </c>
      <c r="E740" s="9" t="s">
        <v>17</v>
      </c>
      <c r="F740" s="9" t="s">
        <v>17</v>
      </c>
      <c r="G740" s="9" t="s">
        <v>24</v>
      </c>
      <c r="H740" s="9" t="s">
        <v>17</v>
      </c>
      <c r="I740" s="9" t="s">
        <v>20</v>
      </c>
      <c r="J740" s="10"/>
      <c r="K740" s="7"/>
      <c r="L740" s="7"/>
      <c r="M740" s="7"/>
      <c r="N740" s="7"/>
      <c r="O740" s="7"/>
    </row>
    <row r="741" ht="22.5" hidden="1" customHeight="1">
      <c r="A741" s="8">
        <v>45769.6525290625</v>
      </c>
      <c r="B741" s="9"/>
      <c r="C741" s="9" t="s">
        <v>110</v>
      </c>
      <c r="D741" s="9" t="s">
        <v>132</v>
      </c>
      <c r="E741" s="9" t="s">
        <v>17</v>
      </c>
      <c r="F741" s="9" t="s">
        <v>17</v>
      </c>
      <c r="G741" s="9" t="s">
        <v>24</v>
      </c>
      <c r="H741" s="9" t="s">
        <v>17</v>
      </c>
      <c r="I741" s="9" t="s">
        <v>20</v>
      </c>
      <c r="J741" s="10"/>
      <c r="K741" s="7"/>
      <c r="L741" s="7"/>
      <c r="M741" s="7"/>
      <c r="N741" s="7"/>
      <c r="O741" s="7"/>
    </row>
    <row r="742" ht="22.5" hidden="1" customHeight="1">
      <c r="A742" s="8">
        <v>45769.65335114583</v>
      </c>
      <c r="B742" s="9"/>
      <c r="C742" s="9" t="s">
        <v>110</v>
      </c>
      <c r="D742" s="9" t="s">
        <v>107</v>
      </c>
      <c r="E742" s="9" t="s">
        <v>30</v>
      </c>
      <c r="F742" s="9" t="s">
        <v>43</v>
      </c>
      <c r="G742" s="9" t="s">
        <v>19</v>
      </c>
      <c r="H742" s="9" t="s">
        <v>25</v>
      </c>
      <c r="I742" s="9" t="s">
        <v>252</v>
      </c>
      <c r="J742" s="10"/>
      <c r="K742" s="7"/>
      <c r="L742" s="7"/>
      <c r="M742" s="7"/>
      <c r="N742" s="7"/>
      <c r="O742" s="7"/>
    </row>
    <row r="743" ht="22.5" hidden="1" customHeight="1">
      <c r="A743" s="8">
        <v>45769.65366447916</v>
      </c>
      <c r="B743" s="9"/>
      <c r="C743" s="9" t="s">
        <v>110</v>
      </c>
      <c r="D743" s="9" t="s">
        <v>51</v>
      </c>
      <c r="E743" s="9" t="s">
        <v>17</v>
      </c>
      <c r="F743" s="9" t="s">
        <v>17</v>
      </c>
      <c r="G743" s="9" t="s">
        <v>24</v>
      </c>
      <c r="H743" s="9" t="s">
        <v>17</v>
      </c>
      <c r="I743" s="9" t="s">
        <v>20</v>
      </c>
      <c r="J743" s="10"/>
      <c r="K743" s="7"/>
      <c r="L743" s="7"/>
      <c r="M743" s="7"/>
      <c r="N743" s="7"/>
      <c r="O743" s="7"/>
    </row>
    <row r="744" ht="22.5" hidden="1" customHeight="1">
      <c r="A744" s="8">
        <v>45769.65594438657</v>
      </c>
      <c r="B744" s="9"/>
      <c r="C744" s="9" t="s">
        <v>110</v>
      </c>
      <c r="D744" s="9" t="s">
        <v>23</v>
      </c>
      <c r="E744" s="9" t="s">
        <v>17</v>
      </c>
      <c r="F744" s="9" t="s">
        <v>17</v>
      </c>
      <c r="G744" s="9" t="s">
        <v>24</v>
      </c>
      <c r="H744" s="9" t="s">
        <v>17</v>
      </c>
      <c r="I744" s="9" t="s">
        <v>28</v>
      </c>
      <c r="J744" s="10"/>
      <c r="K744" s="7"/>
      <c r="L744" s="7"/>
      <c r="M744" s="7"/>
      <c r="N744" s="7"/>
      <c r="O744" s="7"/>
    </row>
    <row r="745" ht="22.5" hidden="1" customHeight="1">
      <c r="A745" s="8">
        <v>45769.65662743055</v>
      </c>
      <c r="B745" s="9"/>
      <c r="C745" s="9" t="s">
        <v>110</v>
      </c>
      <c r="D745" s="9" t="s">
        <v>230</v>
      </c>
      <c r="E745" s="9" t="s">
        <v>61</v>
      </c>
      <c r="F745" s="9" t="s">
        <v>17</v>
      </c>
      <c r="G745" s="9" t="s">
        <v>24</v>
      </c>
      <c r="H745" s="9" t="s">
        <v>62</v>
      </c>
      <c r="I745" s="9" t="s">
        <v>89</v>
      </c>
      <c r="J745" s="10"/>
      <c r="K745" s="7"/>
      <c r="L745" s="7"/>
      <c r="M745" s="7"/>
      <c r="N745" s="7"/>
      <c r="O745" s="7"/>
    </row>
    <row r="746" ht="22.5" hidden="1" customHeight="1">
      <c r="A746" s="8">
        <v>45769.65760100694</v>
      </c>
      <c r="B746" s="9"/>
      <c r="C746" s="9" t="s">
        <v>110</v>
      </c>
      <c r="D746" s="9" t="s">
        <v>27</v>
      </c>
      <c r="E746" s="9" t="s">
        <v>17</v>
      </c>
      <c r="F746" s="9" t="s">
        <v>60</v>
      </c>
      <c r="G746" s="9" t="s">
        <v>24</v>
      </c>
      <c r="H746" s="9" t="s">
        <v>17</v>
      </c>
      <c r="I746" s="9" t="s">
        <v>211</v>
      </c>
      <c r="J746" s="10"/>
      <c r="K746" s="7"/>
      <c r="L746" s="7"/>
      <c r="M746" s="7"/>
      <c r="N746" s="7"/>
      <c r="O746" s="7"/>
    </row>
    <row r="747" ht="22.5" hidden="1" customHeight="1">
      <c r="A747" s="8">
        <v>45769.657996932874</v>
      </c>
      <c r="B747" s="9"/>
      <c r="C747" s="9" t="s">
        <v>110</v>
      </c>
      <c r="D747" s="9" t="s">
        <v>227</v>
      </c>
      <c r="E747" s="9" t="s">
        <v>17</v>
      </c>
      <c r="F747" s="9" t="s">
        <v>17</v>
      </c>
      <c r="G747" s="9" t="s">
        <v>24</v>
      </c>
      <c r="H747" s="9" t="s">
        <v>17</v>
      </c>
      <c r="I747" s="9" t="s">
        <v>20</v>
      </c>
      <c r="J747" s="10"/>
      <c r="K747" s="7"/>
      <c r="L747" s="7"/>
      <c r="M747" s="7"/>
      <c r="N747" s="7"/>
      <c r="O747" s="7"/>
    </row>
    <row r="748" ht="22.5" hidden="1" customHeight="1">
      <c r="A748" s="8">
        <v>45769.65843581018</v>
      </c>
      <c r="B748" s="9"/>
      <c r="C748" s="9" t="s">
        <v>110</v>
      </c>
      <c r="D748" s="9" t="s">
        <v>250</v>
      </c>
      <c r="E748" s="9" t="s">
        <v>17</v>
      </c>
      <c r="F748" s="9" t="s">
        <v>17</v>
      </c>
      <c r="G748" s="9" t="s">
        <v>24</v>
      </c>
      <c r="H748" s="9" t="s">
        <v>17</v>
      </c>
      <c r="I748" s="9" t="s">
        <v>20</v>
      </c>
      <c r="J748" s="10"/>
      <c r="K748" s="7"/>
      <c r="L748" s="7"/>
      <c r="M748" s="7"/>
      <c r="N748" s="7"/>
      <c r="O748" s="7"/>
    </row>
    <row r="749" ht="22.5" hidden="1" customHeight="1">
      <c r="A749" s="8">
        <v>45769.65870063657</v>
      </c>
      <c r="B749" s="9"/>
      <c r="C749" s="9" t="s">
        <v>110</v>
      </c>
      <c r="D749" s="9" t="s">
        <v>212</v>
      </c>
      <c r="E749" s="9" t="s">
        <v>17</v>
      </c>
      <c r="F749" s="9" t="s">
        <v>17</v>
      </c>
      <c r="G749" s="9" t="s">
        <v>24</v>
      </c>
      <c r="H749" s="9" t="s">
        <v>17</v>
      </c>
      <c r="I749" s="9" t="s">
        <v>20</v>
      </c>
      <c r="J749" s="10"/>
      <c r="K749" s="7"/>
      <c r="L749" s="7"/>
      <c r="M749" s="7"/>
      <c r="N749" s="7"/>
      <c r="O749" s="7"/>
    </row>
    <row r="750" ht="22.5" hidden="1" customHeight="1">
      <c r="A750" s="8">
        <v>45769.65984569445</v>
      </c>
      <c r="B750" s="9"/>
      <c r="C750" s="9" t="s">
        <v>110</v>
      </c>
      <c r="D750" s="9" t="s">
        <v>206</v>
      </c>
      <c r="E750" s="9" t="s">
        <v>17</v>
      </c>
      <c r="F750" s="9" t="s">
        <v>17</v>
      </c>
      <c r="G750" s="9" t="s">
        <v>24</v>
      </c>
      <c r="H750" s="9" t="s">
        <v>25</v>
      </c>
      <c r="I750" s="9" t="s">
        <v>20</v>
      </c>
      <c r="J750" s="10"/>
      <c r="K750" s="7"/>
      <c r="L750" s="7"/>
      <c r="M750" s="7"/>
      <c r="N750" s="7"/>
      <c r="O750" s="7"/>
    </row>
    <row r="751" ht="22.5" hidden="1" customHeight="1">
      <c r="A751" s="8">
        <v>45769.66428510417</v>
      </c>
      <c r="B751" s="9"/>
      <c r="C751" s="9" t="s">
        <v>110</v>
      </c>
      <c r="D751" s="9" t="s">
        <v>133</v>
      </c>
      <c r="E751" s="9" t="s">
        <v>61</v>
      </c>
      <c r="F751" s="9" t="s">
        <v>17</v>
      </c>
      <c r="G751" s="9" t="s">
        <v>24</v>
      </c>
      <c r="H751" s="9" t="s">
        <v>25</v>
      </c>
      <c r="I751" s="9" t="s">
        <v>20</v>
      </c>
      <c r="J751" s="10"/>
      <c r="K751" s="7"/>
      <c r="L751" s="7"/>
      <c r="M751" s="7"/>
      <c r="N751" s="7"/>
      <c r="O751" s="7"/>
    </row>
    <row r="752" ht="22.5" hidden="1" customHeight="1">
      <c r="A752" s="8">
        <v>45769.66588699074</v>
      </c>
      <c r="B752" s="9"/>
      <c r="C752" s="9" t="s">
        <v>110</v>
      </c>
      <c r="D752" s="9" t="s">
        <v>108</v>
      </c>
      <c r="E752" s="9" t="s">
        <v>46</v>
      </c>
      <c r="F752" s="9" t="s">
        <v>17</v>
      </c>
      <c r="G752" s="9" t="s">
        <v>24</v>
      </c>
      <c r="H752" s="9" t="s">
        <v>25</v>
      </c>
      <c r="I752" s="9" t="s">
        <v>218</v>
      </c>
      <c r="J752" s="10"/>
      <c r="K752" s="7"/>
      <c r="L752" s="7"/>
      <c r="M752" s="7"/>
      <c r="N752" s="7"/>
      <c r="O752" s="7"/>
    </row>
    <row r="753" ht="22.5" hidden="1" customHeight="1">
      <c r="A753" s="8">
        <v>45769.66620930556</v>
      </c>
      <c r="B753" s="9"/>
      <c r="C753" s="9" t="s">
        <v>110</v>
      </c>
      <c r="D753" s="9" t="s">
        <v>243</v>
      </c>
      <c r="E753" s="9" t="s">
        <v>17</v>
      </c>
      <c r="F753" s="9" t="s">
        <v>17</v>
      </c>
      <c r="G753" s="9" t="s">
        <v>24</v>
      </c>
      <c r="H753" s="9" t="s">
        <v>17</v>
      </c>
      <c r="I753" s="9" t="s">
        <v>20</v>
      </c>
      <c r="J753" s="10"/>
      <c r="K753" s="7"/>
      <c r="L753" s="7"/>
      <c r="M753" s="7"/>
      <c r="N753" s="7"/>
      <c r="O753" s="7"/>
    </row>
    <row r="754" ht="22.5" hidden="1" customHeight="1">
      <c r="A754" s="8">
        <v>45770.29958184028</v>
      </c>
      <c r="B754" s="9"/>
      <c r="C754" s="9" t="s">
        <v>15</v>
      </c>
      <c r="D754" s="9" t="s">
        <v>49</v>
      </c>
      <c r="E754" s="9" t="s">
        <v>17</v>
      </c>
      <c r="F754" s="9" t="s">
        <v>17</v>
      </c>
      <c r="G754" s="9" t="s">
        <v>40</v>
      </c>
      <c r="H754" s="9" t="s">
        <v>17</v>
      </c>
      <c r="I754" s="9" t="s">
        <v>20</v>
      </c>
      <c r="J754" s="10"/>
      <c r="K754" s="7"/>
      <c r="L754" s="7"/>
      <c r="M754" s="7"/>
      <c r="N754" s="7"/>
      <c r="O754" s="7"/>
    </row>
    <row r="755" ht="22.5" hidden="1" customHeight="1">
      <c r="A755" s="8">
        <v>45770.303329699076</v>
      </c>
      <c r="B755" s="9"/>
      <c r="C755" s="9" t="s">
        <v>15</v>
      </c>
      <c r="D755" s="9" t="s">
        <v>190</v>
      </c>
      <c r="E755" s="9" t="s">
        <v>17</v>
      </c>
      <c r="F755" s="9" t="s">
        <v>18</v>
      </c>
      <c r="G755" s="9" t="s">
        <v>24</v>
      </c>
      <c r="H755" s="9" t="s">
        <v>17</v>
      </c>
      <c r="I755" s="9" t="s">
        <v>20</v>
      </c>
      <c r="J755" s="10"/>
      <c r="K755" s="7"/>
      <c r="L755" s="7"/>
      <c r="M755" s="7"/>
      <c r="N755" s="7"/>
      <c r="O755" s="7"/>
    </row>
    <row r="756" ht="22.5" hidden="1" customHeight="1">
      <c r="A756" s="8">
        <v>45770.315529375</v>
      </c>
      <c r="B756" s="9"/>
      <c r="C756" s="9" t="s">
        <v>15</v>
      </c>
      <c r="D756" s="9" t="s">
        <v>141</v>
      </c>
      <c r="E756" s="9" t="s">
        <v>44</v>
      </c>
      <c r="F756" s="9" t="s">
        <v>17</v>
      </c>
      <c r="G756" s="9" t="s">
        <v>24</v>
      </c>
      <c r="H756" s="9" t="s">
        <v>22</v>
      </c>
      <c r="I756" s="9" t="s">
        <v>20</v>
      </c>
      <c r="J756" s="10"/>
      <c r="K756" s="7"/>
      <c r="L756" s="7"/>
      <c r="M756" s="7"/>
      <c r="N756" s="7"/>
      <c r="O756" s="7"/>
    </row>
    <row r="757" ht="22.5" hidden="1" customHeight="1">
      <c r="A757" s="8">
        <v>45770.32383894676</v>
      </c>
      <c r="B757" s="9"/>
      <c r="C757" s="9" t="s">
        <v>15</v>
      </c>
      <c r="D757" s="9" t="s">
        <v>29</v>
      </c>
      <c r="E757" s="9" t="s">
        <v>17</v>
      </c>
      <c r="F757" s="9" t="s">
        <v>17</v>
      </c>
      <c r="G757" s="9" t="s">
        <v>24</v>
      </c>
      <c r="H757" s="9" t="s">
        <v>17</v>
      </c>
      <c r="I757" s="9" t="s">
        <v>20</v>
      </c>
      <c r="J757" s="10"/>
      <c r="K757" s="7"/>
      <c r="L757" s="7"/>
      <c r="M757" s="7"/>
      <c r="N757" s="7"/>
      <c r="O757" s="7"/>
    </row>
    <row r="758" ht="22.5" hidden="1" customHeight="1">
      <c r="A758" s="8">
        <v>45770.3425049537</v>
      </c>
      <c r="B758" s="9"/>
      <c r="C758" s="9" t="s">
        <v>15</v>
      </c>
      <c r="D758" s="9" t="s">
        <v>27</v>
      </c>
      <c r="E758" s="9" t="s">
        <v>17</v>
      </c>
      <c r="F758" s="9" t="s">
        <v>60</v>
      </c>
      <c r="G758" s="9" t="s">
        <v>24</v>
      </c>
      <c r="H758" s="9" t="s">
        <v>17</v>
      </c>
      <c r="I758" s="9" t="s">
        <v>20</v>
      </c>
      <c r="J758" s="10"/>
      <c r="K758" s="7"/>
      <c r="L758" s="7"/>
      <c r="M758" s="7"/>
      <c r="N758" s="7"/>
      <c r="O758" s="7"/>
    </row>
    <row r="759" ht="22.5" hidden="1" customHeight="1">
      <c r="A759" s="8">
        <v>45770.345385</v>
      </c>
      <c r="B759" s="9"/>
      <c r="C759" s="9" t="s">
        <v>15</v>
      </c>
      <c r="D759" s="9" t="s">
        <v>230</v>
      </c>
      <c r="E759" s="9" t="s">
        <v>17</v>
      </c>
      <c r="F759" s="9" t="s">
        <v>17</v>
      </c>
      <c r="G759" s="9" t="s">
        <v>24</v>
      </c>
      <c r="H759" s="9" t="s">
        <v>17</v>
      </c>
      <c r="I759" s="9" t="s">
        <v>89</v>
      </c>
      <c r="J759" s="10"/>
      <c r="K759" s="7"/>
      <c r="L759" s="7"/>
      <c r="M759" s="7"/>
      <c r="N759" s="7"/>
      <c r="O759" s="7"/>
    </row>
    <row r="760" ht="22.5" hidden="1" customHeight="1">
      <c r="A760" s="8">
        <v>45770.346925543985</v>
      </c>
      <c r="B760" s="9"/>
      <c r="C760" s="9" t="s">
        <v>15</v>
      </c>
      <c r="D760" s="9" t="s">
        <v>268</v>
      </c>
      <c r="E760" s="9" t="s">
        <v>17</v>
      </c>
      <c r="F760" s="9" t="s">
        <v>17</v>
      </c>
      <c r="G760" s="9" t="s">
        <v>24</v>
      </c>
      <c r="H760" s="9" t="s">
        <v>25</v>
      </c>
      <c r="I760" s="9" t="s">
        <v>137</v>
      </c>
      <c r="J760" s="10"/>
      <c r="K760" s="7"/>
      <c r="L760" s="7"/>
      <c r="M760" s="7"/>
      <c r="N760" s="7"/>
      <c r="O760" s="7"/>
    </row>
    <row r="761" ht="22.5" hidden="1" customHeight="1">
      <c r="A761" s="8">
        <v>45770.347655578706</v>
      </c>
      <c r="B761" s="9"/>
      <c r="C761" s="9" t="s">
        <v>15</v>
      </c>
      <c r="D761" s="9" t="s">
        <v>289</v>
      </c>
      <c r="E761" s="9" t="s">
        <v>17</v>
      </c>
      <c r="F761" s="9" t="s">
        <v>60</v>
      </c>
      <c r="G761" s="9" t="s">
        <v>24</v>
      </c>
      <c r="H761" s="9" t="s">
        <v>25</v>
      </c>
      <c r="I761" s="9" t="s">
        <v>137</v>
      </c>
      <c r="J761" s="10"/>
      <c r="K761" s="7"/>
      <c r="L761" s="7"/>
      <c r="M761" s="7"/>
      <c r="N761" s="7"/>
      <c r="O761" s="7"/>
    </row>
    <row r="762" ht="22.5" hidden="1" customHeight="1">
      <c r="A762" s="8">
        <v>45770.348085081016</v>
      </c>
      <c r="B762" s="9"/>
      <c r="C762" s="9" t="s">
        <v>15</v>
      </c>
      <c r="D762" s="9" t="s">
        <v>127</v>
      </c>
      <c r="E762" s="9" t="s">
        <v>17</v>
      </c>
      <c r="F762" s="9" t="s">
        <v>60</v>
      </c>
      <c r="G762" s="9" t="s">
        <v>40</v>
      </c>
      <c r="H762" s="9" t="s">
        <v>25</v>
      </c>
      <c r="I762" s="9" t="s">
        <v>303</v>
      </c>
      <c r="J762" s="10"/>
      <c r="K762" s="7"/>
      <c r="L762" s="7"/>
      <c r="M762" s="7"/>
      <c r="N762" s="7"/>
      <c r="O762" s="7"/>
    </row>
    <row r="763" ht="22.5" hidden="1" customHeight="1">
      <c r="A763" s="8">
        <v>45770.34911880787</v>
      </c>
      <c r="B763" s="9"/>
      <c r="C763" s="9" t="s">
        <v>15</v>
      </c>
      <c r="D763" s="9" t="s">
        <v>107</v>
      </c>
      <c r="E763" s="9" t="s">
        <v>17</v>
      </c>
      <c r="F763" s="9" t="s">
        <v>17</v>
      </c>
      <c r="G763" s="9" t="s">
        <v>24</v>
      </c>
      <c r="H763" s="9" t="s">
        <v>25</v>
      </c>
      <c r="I763" s="9" t="s">
        <v>252</v>
      </c>
      <c r="J763" s="10"/>
      <c r="K763" s="7"/>
      <c r="L763" s="7"/>
      <c r="M763" s="7"/>
      <c r="N763" s="7"/>
      <c r="O763" s="7"/>
    </row>
    <row r="764" ht="22.5" hidden="1" customHeight="1">
      <c r="A764" s="8">
        <v>45770.35020731481</v>
      </c>
      <c r="B764" s="9"/>
      <c r="C764" s="9" t="s">
        <v>15</v>
      </c>
      <c r="D764" s="9" t="s">
        <v>23</v>
      </c>
      <c r="E764" s="9" t="s">
        <v>17</v>
      </c>
      <c r="F764" s="9" t="s">
        <v>17</v>
      </c>
      <c r="G764" s="9" t="s">
        <v>24</v>
      </c>
      <c r="H764" s="9" t="s">
        <v>17</v>
      </c>
      <c r="I764" s="9" t="s">
        <v>20</v>
      </c>
      <c r="J764" s="10"/>
      <c r="K764" s="7"/>
      <c r="L764" s="7"/>
      <c r="M764" s="7"/>
      <c r="N764" s="7"/>
      <c r="O764" s="7"/>
    </row>
    <row r="765" ht="22.5" hidden="1" customHeight="1">
      <c r="A765" s="8">
        <v>45770.35050956019</v>
      </c>
      <c r="B765" s="9"/>
      <c r="C765" s="9" t="s">
        <v>15</v>
      </c>
      <c r="D765" s="9" t="s">
        <v>102</v>
      </c>
      <c r="E765" s="9" t="s">
        <v>17</v>
      </c>
      <c r="F765" s="9" t="s">
        <v>17</v>
      </c>
      <c r="G765" s="9" t="s">
        <v>24</v>
      </c>
      <c r="H765" s="9" t="s">
        <v>17</v>
      </c>
      <c r="I765" s="9" t="s">
        <v>304</v>
      </c>
      <c r="J765" s="10"/>
      <c r="K765" s="7"/>
      <c r="L765" s="7"/>
      <c r="M765" s="7"/>
      <c r="N765" s="7"/>
      <c r="O765" s="7"/>
    </row>
    <row r="766" ht="22.5" hidden="1" customHeight="1">
      <c r="A766" s="8">
        <v>45770.358452141205</v>
      </c>
      <c r="B766" s="9"/>
      <c r="C766" s="9" t="s">
        <v>15</v>
      </c>
      <c r="D766" s="9" t="s">
        <v>42</v>
      </c>
      <c r="E766" s="9" t="s">
        <v>30</v>
      </c>
      <c r="F766" s="9" t="s">
        <v>18</v>
      </c>
      <c r="G766" s="9" t="s">
        <v>24</v>
      </c>
      <c r="H766" s="9" t="s">
        <v>22</v>
      </c>
      <c r="I766" s="9" t="s">
        <v>20</v>
      </c>
      <c r="J766" s="10"/>
      <c r="K766" s="7"/>
      <c r="L766" s="7"/>
      <c r="M766" s="7"/>
      <c r="N766" s="7"/>
      <c r="O766" s="7"/>
    </row>
    <row r="767" ht="22.5" hidden="1" customHeight="1">
      <c r="A767" s="8">
        <v>45770.362674675926</v>
      </c>
      <c r="B767" s="9"/>
      <c r="C767" s="9" t="s">
        <v>15</v>
      </c>
      <c r="D767" s="9" t="s">
        <v>227</v>
      </c>
      <c r="E767" s="9" t="s">
        <v>17</v>
      </c>
      <c r="F767" s="9" t="s">
        <v>17</v>
      </c>
      <c r="G767" s="9" t="s">
        <v>24</v>
      </c>
      <c r="H767" s="9" t="s">
        <v>17</v>
      </c>
      <c r="I767" s="9" t="s">
        <v>20</v>
      </c>
      <c r="J767" s="10"/>
      <c r="K767" s="7"/>
      <c r="L767" s="7"/>
      <c r="M767" s="7"/>
      <c r="N767" s="7"/>
      <c r="O767" s="7"/>
    </row>
    <row r="768" ht="22.5" hidden="1" customHeight="1">
      <c r="A768" s="8">
        <v>45770.36295643519</v>
      </c>
      <c r="B768" s="9"/>
      <c r="C768" s="9" t="s">
        <v>15</v>
      </c>
      <c r="D768" s="9" t="s">
        <v>109</v>
      </c>
      <c r="E768" s="9" t="s">
        <v>17</v>
      </c>
      <c r="F768" s="9" t="s">
        <v>17</v>
      </c>
      <c r="G768" s="9" t="s">
        <v>24</v>
      </c>
      <c r="H768" s="9" t="s">
        <v>17</v>
      </c>
      <c r="I768" s="9" t="s">
        <v>20</v>
      </c>
      <c r="J768" s="10"/>
      <c r="K768" s="7"/>
      <c r="L768" s="7"/>
      <c r="M768" s="7"/>
      <c r="N768" s="7"/>
      <c r="O768" s="7"/>
    </row>
    <row r="769" ht="22.5" hidden="1" customHeight="1">
      <c r="A769" s="8">
        <v>45770.364449155095</v>
      </c>
      <c r="B769" s="9"/>
      <c r="C769" s="9" t="s">
        <v>15</v>
      </c>
      <c r="D769" s="9" t="s">
        <v>133</v>
      </c>
      <c r="E769" s="9" t="s">
        <v>17</v>
      </c>
      <c r="F769" s="9" t="s">
        <v>17</v>
      </c>
      <c r="G769" s="9" t="s">
        <v>24</v>
      </c>
      <c r="H769" s="9" t="s">
        <v>17</v>
      </c>
      <c r="I769" s="9" t="s">
        <v>20</v>
      </c>
      <c r="J769" s="10"/>
      <c r="K769" s="7"/>
      <c r="L769" s="7"/>
      <c r="M769" s="7"/>
      <c r="N769" s="7"/>
      <c r="O769" s="7"/>
    </row>
    <row r="770" ht="22.5" hidden="1" customHeight="1">
      <c r="A770" s="8">
        <v>45770.36596152778</v>
      </c>
      <c r="B770" s="9"/>
      <c r="C770" s="9" t="s">
        <v>15</v>
      </c>
      <c r="D770" s="9" t="s">
        <v>250</v>
      </c>
      <c r="E770" s="9" t="s">
        <v>17</v>
      </c>
      <c r="F770" s="9" t="s">
        <v>17</v>
      </c>
      <c r="G770" s="9" t="s">
        <v>24</v>
      </c>
      <c r="H770" s="9" t="s">
        <v>17</v>
      </c>
      <c r="I770" s="9" t="s">
        <v>20</v>
      </c>
      <c r="J770" s="10"/>
      <c r="K770" s="7"/>
      <c r="L770" s="7"/>
      <c r="M770" s="7"/>
      <c r="N770" s="7"/>
      <c r="O770" s="7"/>
    </row>
    <row r="771" ht="22.5" hidden="1" customHeight="1">
      <c r="A771" s="8">
        <v>45770.369913194445</v>
      </c>
      <c r="B771" s="9"/>
      <c r="C771" s="9" t="s">
        <v>15</v>
      </c>
      <c r="D771" s="9" t="s">
        <v>51</v>
      </c>
      <c r="E771" s="9" t="s">
        <v>17</v>
      </c>
      <c r="F771" s="9" t="s">
        <v>17</v>
      </c>
      <c r="G771" s="9" t="s">
        <v>24</v>
      </c>
      <c r="H771" s="9" t="s">
        <v>17</v>
      </c>
      <c r="I771" s="9" t="s">
        <v>20</v>
      </c>
      <c r="J771" s="10"/>
      <c r="K771" s="7"/>
      <c r="L771" s="7"/>
      <c r="M771" s="7"/>
      <c r="N771" s="7"/>
      <c r="O771" s="7"/>
    </row>
    <row r="772" ht="22.5" hidden="1" customHeight="1">
      <c r="A772" s="8">
        <v>45771.329741967595</v>
      </c>
      <c r="B772" s="9"/>
      <c r="C772" s="9" t="s">
        <v>31</v>
      </c>
      <c r="D772" s="9" t="s">
        <v>230</v>
      </c>
      <c r="E772" s="9" t="s">
        <v>17</v>
      </c>
      <c r="F772" s="9" t="s">
        <v>17</v>
      </c>
      <c r="G772" s="9" t="s">
        <v>24</v>
      </c>
      <c r="H772" s="9" t="s">
        <v>17</v>
      </c>
      <c r="I772" s="9" t="s">
        <v>20</v>
      </c>
      <c r="J772" s="10"/>
      <c r="K772" s="7"/>
      <c r="L772" s="7"/>
      <c r="M772" s="7"/>
      <c r="N772" s="7"/>
      <c r="O772" s="7"/>
    </row>
    <row r="773" ht="22.5" hidden="1" customHeight="1">
      <c r="A773" s="8">
        <v>45771.33067335648</v>
      </c>
      <c r="B773" s="9"/>
      <c r="C773" s="9" t="s">
        <v>31</v>
      </c>
      <c r="D773" s="9" t="s">
        <v>212</v>
      </c>
      <c r="E773" s="9" t="s">
        <v>17</v>
      </c>
      <c r="F773" s="9" t="s">
        <v>17</v>
      </c>
      <c r="G773" s="9" t="s">
        <v>24</v>
      </c>
      <c r="H773" s="9" t="s">
        <v>25</v>
      </c>
      <c r="I773" s="9" t="s">
        <v>273</v>
      </c>
      <c r="J773" s="10"/>
      <c r="K773" s="7"/>
      <c r="L773" s="7"/>
      <c r="M773" s="7"/>
      <c r="N773" s="7"/>
      <c r="O773" s="7"/>
    </row>
    <row r="774" ht="22.5" hidden="1" customHeight="1">
      <c r="A774" s="8">
        <v>45771.334819375</v>
      </c>
      <c r="B774" s="9"/>
      <c r="C774" s="9" t="s">
        <v>31</v>
      </c>
      <c r="D774" s="9" t="s">
        <v>235</v>
      </c>
      <c r="E774" s="9" t="s">
        <v>30</v>
      </c>
      <c r="F774" s="9" t="s">
        <v>17</v>
      </c>
      <c r="G774" s="9" t="s">
        <v>40</v>
      </c>
      <c r="H774" s="9" t="s">
        <v>25</v>
      </c>
      <c r="I774" s="9" t="s">
        <v>305</v>
      </c>
      <c r="J774" s="10"/>
      <c r="K774" s="7"/>
      <c r="L774" s="7"/>
      <c r="M774" s="7"/>
      <c r="N774" s="7"/>
      <c r="O774" s="7"/>
    </row>
    <row r="775" ht="22.5" hidden="1" customHeight="1">
      <c r="A775" s="8">
        <v>45771.33514447916</v>
      </c>
      <c r="B775" s="9"/>
      <c r="C775" s="9" t="s">
        <v>31</v>
      </c>
      <c r="D775" s="9" t="s">
        <v>127</v>
      </c>
      <c r="E775" s="9" t="s">
        <v>46</v>
      </c>
      <c r="F775" s="9" t="s">
        <v>17</v>
      </c>
      <c r="G775" s="9" t="s">
        <v>24</v>
      </c>
      <c r="H775" s="9" t="s">
        <v>25</v>
      </c>
      <c r="I775" s="9" t="s">
        <v>67</v>
      </c>
      <c r="J775" s="10"/>
      <c r="K775" s="7"/>
      <c r="L775" s="7"/>
      <c r="M775" s="7"/>
      <c r="N775" s="7"/>
      <c r="O775" s="7"/>
    </row>
    <row r="776" ht="22.5" hidden="1" customHeight="1">
      <c r="A776" s="8">
        <v>45771.33569620371</v>
      </c>
      <c r="B776" s="9"/>
      <c r="C776" s="9" t="s">
        <v>31</v>
      </c>
      <c r="D776" s="9" t="s">
        <v>102</v>
      </c>
      <c r="E776" s="9" t="s">
        <v>17</v>
      </c>
      <c r="F776" s="9" t="s">
        <v>17</v>
      </c>
      <c r="G776" s="9" t="s">
        <v>24</v>
      </c>
      <c r="H776" s="9" t="s">
        <v>62</v>
      </c>
      <c r="I776" s="9" t="s">
        <v>28</v>
      </c>
      <c r="J776" s="10"/>
      <c r="K776" s="7"/>
      <c r="L776" s="7"/>
      <c r="M776" s="7"/>
      <c r="N776" s="7"/>
      <c r="O776" s="7"/>
    </row>
    <row r="777" ht="22.5" hidden="1" customHeight="1">
      <c r="A777" s="8">
        <v>45771.33632322917</v>
      </c>
      <c r="B777" s="9"/>
      <c r="C777" s="9" t="s">
        <v>31</v>
      </c>
      <c r="D777" s="9" t="s">
        <v>51</v>
      </c>
      <c r="E777" s="9" t="s">
        <v>17</v>
      </c>
      <c r="F777" s="9" t="s">
        <v>17</v>
      </c>
      <c r="G777" s="9" t="s">
        <v>24</v>
      </c>
      <c r="H777" s="9" t="s">
        <v>17</v>
      </c>
      <c r="I777" s="9" t="s">
        <v>20</v>
      </c>
      <c r="J777" s="10"/>
      <c r="K777" s="7"/>
      <c r="L777" s="7"/>
      <c r="M777" s="7"/>
      <c r="N777" s="7"/>
      <c r="O777" s="7"/>
    </row>
    <row r="778" ht="22.5" hidden="1" customHeight="1">
      <c r="A778" s="8">
        <v>45771.336827175925</v>
      </c>
      <c r="B778" s="9"/>
      <c r="C778" s="9" t="s">
        <v>31</v>
      </c>
      <c r="D778" s="9" t="s">
        <v>108</v>
      </c>
      <c r="E778" s="9" t="s">
        <v>46</v>
      </c>
      <c r="F778" s="9" t="s">
        <v>17</v>
      </c>
      <c r="G778" s="9" t="s">
        <v>24</v>
      </c>
      <c r="H778" s="9" t="s">
        <v>25</v>
      </c>
      <c r="I778" s="9" t="s">
        <v>218</v>
      </c>
      <c r="J778" s="10"/>
      <c r="K778" s="7"/>
      <c r="L778" s="7"/>
      <c r="M778" s="7"/>
      <c r="N778" s="7"/>
      <c r="O778" s="7"/>
    </row>
    <row r="779" ht="22.5" hidden="1" customHeight="1">
      <c r="A779" s="8">
        <v>45771.33751565972</v>
      </c>
      <c r="B779" s="9"/>
      <c r="C779" s="9" t="s">
        <v>31</v>
      </c>
      <c r="D779" s="9" t="s">
        <v>133</v>
      </c>
      <c r="E779" s="9" t="s">
        <v>17</v>
      </c>
      <c r="F779" s="9" t="s">
        <v>17</v>
      </c>
      <c r="G779" s="9" t="s">
        <v>24</v>
      </c>
      <c r="H779" s="9" t="s">
        <v>17</v>
      </c>
      <c r="I779" s="9" t="s">
        <v>20</v>
      </c>
      <c r="J779" s="10"/>
      <c r="K779" s="7"/>
      <c r="L779" s="7"/>
      <c r="M779" s="7"/>
      <c r="N779" s="7"/>
      <c r="O779" s="7"/>
    </row>
    <row r="780" ht="22.5" hidden="1" customHeight="1">
      <c r="A780" s="8">
        <v>45771.33806196759</v>
      </c>
      <c r="B780" s="9"/>
      <c r="C780" s="9" t="s">
        <v>31</v>
      </c>
      <c r="D780" s="9" t="s">
        <v>268</v>
      </c>
      <c r="E780" s="9" t="s">
        <v>17</v>
      </c>
      <c r="F780" s="9" t="s">
        <v>17</v>
      </c>
      <c r="G780" s="9" t="s">
        <v>24</v>
      </c>
      <c r="H780" s="9" t="s">
        <v>25</v>
      </c>
      <c r="I780" s="9" t="s">
        <v>137</v>
      </c>
      <c r="J780" s="10"/>
      <c r="K780" s="7"/>
      <c r="L780" s="7"/>
      <c r="M780" s="7"/>
      <c r="N780" s="7"/>
      <c r="O780" s="7"/>
    </row>
    <row r="781" ht="22.5" hidden="1" customHeight="1">
      <c r="A781" s="8">
        <v>45771.33839239583</v>
      </c>
      <c r="B781" s="9"/>
      <c r="C781" s="9" t="s">
        <v>31</v>
      </c>
      <c r="D781" s="9" t="s">
        <v>27</v>
      </c>
      <c r="E781" s="9" t="s">
        <v>46</v>
      </c>
      <c r="F781" s="9" t="s">
        <v>60</v>
      </c>
      <c r="G781" s="9" t="s">
        <v>24</v>
      </c>
      <c r="H781" s="9" t="s">
        <v>62</v>
      </c>
      <c r="I781" s="9" t="s">
        <v>173</v>
      </c>
      <c r="J781" s="10"/>
      <c r="K781" s="7"/>
      <c r="L781" s="7"/>
      <c r="M781" s="7"/>
      <c r="N781" s="7"/>
      <c r="O781" s="7"/>
    </row>
    <row r="782" ht="22.5" hidden="1" customHeight="1">
      <c r="A782" s="8">
        <v>45771.3389224537</v>
      </c>
      <c r="B782" s="9"/>
      <c r="C782" s="9" t="s">
        <v>31</v>
      </c>
      <c r="D782" s="9" t="s">
        <v>227</v>
      </c>
      <c r="E782" s="9" t="s">
        <v>17</v>
      </c>
      <c r="F782" s="9" t="s">
        <v>60</v>
      </c>
      <c r="G782" s="9" t="s">
        <v>40</v>
      </c>
      <c r="H782" s="9" t="s">
        <v>25</v>
      </c>
      <c r="I782" s="9" t="s">
        <v>79</v>
      </c>
      <c r="J782" s="10"/>
      <c r="K782" s="7"/>
      <c r="L782" s="7"/>
      <c r="M782" s="7"/>
      <c r="N782" s="7"/>
      <c r="O782" s="7"/>
    </row>
    <row r="783" ht="22.5" hidden="1" customHeight="1">
      <c r="A783" s="8">
        <v>45771.339183958335</v>
      </c>
      <c r="B783" s="9"/>
      <c r="C783" s="9" t="s">
        <v>31</v>
      </c>
      <c r="D783" s="9" t="s">
        <v>250</v>
      </c>
      <c r="E783" s="9" t="s">
        <v>17</v>
      </c>
      <c r="F783" s="9" t="s">
        <v>17</v>
      </c>
      <c r="G783" s="9" t="s">
        <v>24</v>
      </c>
      <c r="H783" s="9" t="s">
        <v>17</v>
      </c>
      <c r="I783" s="9" t="s">
        <v>20</v>
      </c>
      <c r="J783" s="10"/>
      <c r="K783" s="7"/>
      <c r="L783" s="7"/>
      <c r="M783" s="7"/>
      <c r="N783" s="7"/>
      <c r="O783" s="7"/>
    </row>
    <row r="784" ht="22.5" hidden="1" customHeight="1">
      <c r="A784" s="8">
        <v>45771.339372939816</v>
      </c>
      <c r="B784" s="9"/>
      <c r="C784" s="9" t="s">
        <v>31</v>
      </c>
      <c r="D784" s="9" t="s">
        <v>285</v>
      </c>
      <c r="E784" s="9" t="s">
        <v>30</v>
      </c>
      <c r="F784" s="9" t="s">
        <v>18</v>
      </c>
      <c r="G784" s="9" t="s">
        <v>24</v>
      </c>
      <c r="H784" s="9" t="s">
        <v>22</v>
      </c>
      <c r="I784" s="9" t="s">
        <v>20</v>
      </c>
      <c r="J784" s="10"/>
      <c r="K784" s="7"/>
      <c r="L784" s="7"/>
      <c r="M784" s="7"/>
      <c r="N784" s="7"/>
      <c r="O784" s="7"/>
    </row>
    <row r="785" ht="22.5" hidden="1" customHeight="1">
      <c r="A785" s="8">
        <v>45771.33964657407</v>
      </c>
      <c r="B785" s="9"/>
      <c r="C785" s="9" t="s">
        <v>31</v>
      </c>
      <c r="D785" s="9" t="s">
        <v>299</v>
      </c>
      <c r="E785" s="9" t="s">
        <v>17</v>
      </c>
      <c r="F785" s="9" t="s">
        <v>17</v>
      </c>
      <c r="G785" s="9" t="s">
        <v>24</v>
      </c>
      <c r="H785" s="9" t="s">
        <v>17</v>
      </c>
      <c r="I785" s="9" t="s">
        <v>20</v>
      </c>
      <c r="J785" s="10"/>
      <c r="K785" s="7"/>
      <c r="L785" s="7"/>
      <c r="M785" s="7"/>
      <c r="N785" s="7"/>
      <c r="O785" s="7"/>
    </row>
    <row r="786" ht="22.5" hidden="1" customHeight="1">
      <c r="A786" s="8">
        <v>45771.34092106481</v>
      </c>
      <c r="B786" s="9"/>
      <c r="C786" s="9" t="s">
        <v>31</v>
      </c>
      <c r="D786" s="9" t="s">
        <v>243</v>
      </c>
      <c r="E786" s="9" t="s">
        <v>17</v>
      </c>
      <c r="F786" s="9" t="s">
        <v>17</v>
      </c>
      <c r="G786" s="9" t="s">
        <v>24</v>
      </c>
      <c r="H786" s="9" t="s">
        <v>17</v>
      </c>
      <c r="I786" s="9" t="s">
        <v>20</v>
      </c>
      <c r="J786" s="10"/>
      <c r="K786" s="7"/>
      <c r="L786" s="7"/>
      <c r="M786" s="7"/>
      <c r="N786" s="7"/>
      <c r="O786" s="7"/>
    </row>
    <row r="787" ht="22.5" hidden="1" customHeight="1">
      <c r="A787" s="8">
        <v>45771.34823858796</v>
      </c>
      <c r="B787" s="9"/>
      <c r="C787" s="9" t="s">
        <v>31</v>
      </c>
      <c r="D787" s="9" t="s">
        <v>33</v>
      </c>
      <c r="E787" s="9" t="s">
        <v>17</v>
      </c>
      <c r="F787" s="9" t="s">
        <v>17</v>
      </c>
      <c r="G787" s="9" t="s">
        <v>24</v>
      </c>
      <c r="H787" s="9" t="s">
        <v>17</v>
      </c>
      <c r="I787" s="9" t="s">
        <v>20</v>
      </c>
      <c r="J787" s="10"/>
      <c r="K787" s="7"/>
      <c r="L787" s="7"/>
      <c r="M787" s="7"/>
      <c r="N787" s="7"/>
      <c r="O787" s="7"/>
    </row>
    <row r="788" ht="22.5" hidden="1" customHeight="1">
      <c r="A788" s="8">
        <v>45771.354320451384</v>
      </c>
      <c r="B788" s="9"/>
      <c r="C788" s="9" t="s">
        <v>31</v>
      </c>
      <c r="D788" s="9" t="s">
        <v>107</v>
      </c>
      <c r="E788" s="9" t="s">
        <v>46</v>
      </c>
      <c r="F788" s="9" t="s">
        <v>18</v>
      </c>
      <c r="G788" s="9" t="s">
        <v>24</v>
      </c>
      <c r="H788" s="9" t="s">
        <v>25</v>
      </c>
      <c r="I788" s="9" t="s">
        <v>306</v>
      </c>
      <c r="J788" s="10"/>
      <c r="K788" s="7"/>
      <c r="L788" s="7"/>
      <c r="M788" s="7"/>
      <c r="N788" s="7"/>
      <c r="O788" s="7"/>
    </row>
    <row r="789" ht="22.5" hidden="1" customHeight="1">
      <c r="A789" s="8">
        <v>45771.35512826389</v>
      </c>
      <c r="B789" s="9"/>
      <c r="C789" s="9" t="s">
        <v>31</v>
      </c>
      <c r="D789" s="9" t="s">
        <v>277</v>
      </c>
      <c r="E789" s="9" t="s">
        <v>46</v>
      </c>
      <c r="F789" s="9" t="s">
        <v>17</v>
      </c>
      <c r="G789" s="9" t="s">
        <v>24</v>
      </c>
      <c r="H789" s="9" t="s">
        <v>17</v>
      </c>
      <c r="I789" s="9" t="s">
        <v>20</v>
      </c>
      <c r="J789" s="10"/>
      <c r="K789" s="7"/>
      <c r="L789" s="7"/>
      <c r="M789" s="7"/>
      <c r="N789" s="7"/>
      <c r="O789" s="7"/>
    </row>
    <row r="790" ht="22.5" hidden="1" customHeight="1">
      <c r="A790" s="8">
        <v>45771.35606452546</v>
      </c>
      <c r="B790" s="9"/>
      <c r="C790" s="9" t="s">
        <v>31</v>
      </c>
      <c r="D790" s="9" t="s">
        <v>109</v>
      </c>
      <c r="E790" s="9" t="s">
        <v>61</v>
      </c>
      <c r="F790" s="9" t="s">
        <v>43</v>
      </c>
      <c r="G790" s="9" t="s">
        <v>24</v>
      </c>
      <c r="H790" s="9" t="s">
        <v>62</v>
      </c>
      <c r="I790" s="9" t="s">
        <v>20</v>
      </c>
      <c r="J790" s="10"/>
      <c r="K790" s="7"/>
      <c r="L790" s="7"/>
      <c r="M790" s="7"/>
      <c r="N790" s="7"/>
      <c r="O790" s="7"/>
    </row>
    <row r="791" ht="22.5" hidden="1" customHeight="1">
      <c r="A791" s="8">
        <v>45772.305980624995</v>
      </c>
      <c r="B791" s="9"/>
      <c r="C791" s="9" t="s">
        <v>48</v>
      </c>
      <c r="D791" s="9" t="s">
        <v>42</v>
      </c>
      <c r="E791" s="9" t="s">
        <v>30</v>
      </c>
      <c r="F791" s="9" t="s">
        <v>18</v>
      </c>
      <c r="G791" s="9" t="s">
        <v>24</v>
      </c>
      <c r="H791" s="9" t="s">
        <v>22</v>
      </c>
      <c r="I791" s="9" t="s">
        <v>20</v>
      </c>
      <c r="J791" s="10"/>
      <c r="K791" s="7"/>
      <c r="L791" s="7"/>
      <c r="M791" s="7"/>
      <c r="N791" s="7"/>
      <c r="O791" s="7"/>
    </row>
    <row r="792" ht="22.5" hidden="1" customHeight="1">
      <c r="A792" s="8">
        <v>45772.31186862268</v>
      </c>
      <c r="B792" s="9"/>
      <c r="C792" s="9" t="s">
        <v>48</v>
      </c>
      <c r="D792" s="9" t="s">
        <v>141</v>
      </c>
      <c r="E792" s="9" t="s">
        <v>17</v>
      </c>
      <c r="F792" s="9" t="s">
        <v>39</v>
      </c>
      <c r="G792" s="9" t="s">
        <v>40</v>
      </c>
      <c r="H792" s="9" t="s">
        <v>22</v>
      </c>
      <c r="I792" s="9" t="s">
        <v>20</v>
      </c>
      <c r="J792" s="10"/>
      <c r="K792" s="7"/>
      <c r="L792" s="7"/>
      <c r="M792" s="7"/>
      <c r="N792" s="7"/>
      <c r="O792" s="7"/>
    </row>
    <row r="793" ht="22.5" hidden="1" customHeight="1">
      <c r="A793" s="8">
        <v>45772.31330541667</v>
      </c>
      <c r="B793" s="9"/>
      <c r="C793" s="9" t="s">
        <v>48</v>
      </c>
      <c r="D793" s="9" t="s">
        <v>129</v>
      </c>
      <c r="E793" s="9" t="s">
        <v>46</v>
      </c>
      <c r="F793" s="9" t="s">
        <v>39</v>
      </c>
      <c r="G793" s="9" t="s">
        <v>24</v>
      </c>
      <c r="H793" s="9" t="s">
        <v>25</v>
      </c>
      <c r="I793" s="9" t="s">
        <v>137</v>
      </c>
      <c r="J793" s="10"/>
      <c r="K793" s="7"/>
      <c r="L793" s="7"/>
      <c r="M793" s="7"/>
      <c r="N793" s="7"/>
      <c r="O793" s="7"/>
    </row>
    <row r="794" ht="22.5" hidden="1" customHeight="1">
      <c r="A794" s="8">
        <v>45772.320632476854</v>
      </c>
      <c r="B794" s="9"/>
      <c r="C794" s="9" t="s">
        <v>48</v>
      </c>
      <c r="D794" s="9" t="s">
        <v>138</v>
      </c>
      <c r="E794" s="9" t="s">
        <v>46</v>
      </c>
      <c r="F794" s="9" t="s">
        <v>17</v>
      </c>
      <c r="G794" s="9" t="s">
        <v>24</v>
      </c>
      <c r="H794" s="9" t="s">
        <v>25</v>
      </c>
      <c r="I794" s="9" t="s">
        <v>204</v>
      </c>
      <c r="J794" s="10"/>
      <c r="K794" s="7"/>
      <c r="L794" s="7"/>
      <c r="M794" s="7"/>
      <c r="N794" s="7"/>
      <c r="O794" s="7"/>
    </row>
    <row r="795" ht="22.5" hidden="1" customHeight="1">
      <c r="A795" s="8">
        <v>45772.32137863426</v>
      </c>
      <c r="B795" s="9"/>
      <c r="C795" s="9" t="s">
        <v>48</v>
      </c>
      <c r="D795" s="9" t="s">
        <v>29</v>
      </c>
      <c r="E795" s="9" t="s">
        <v>46</v>
      </c>
      <c r="F795" s="9" t="s">
        <v>17</v>
      </c>
      <c r="G795" s="9" t="s">
        <v>24</v>
      </c>
      <c r="H795" s="9" t="s">
        <v>17</v>
      </c>
      <c r="I795" s="9" t="s">
        <v>20</v>
      </c>
      <c r="J795" s="10"/>
      <c r="K795" s="7"/>
      <c r="L795" s="7"/>
      <c r="M795" s="7"/>
      <c r="N795" s="7"/>
      <c r="O795" s="7"/>
    </row>
    <row r="796" ht="22.5" hidden="1" customHeight="1">
      <c r="A796" s="8">
        <v>45772.32569765046</v>
      </c>
      <c r="B796" s="9"/>
      <c r="C796" s="9" t="s">
        <v>48</v>
      </c>
      <c r="D796" s="9" t="s">
        <v>27</v>
      </c>
      <c r="E796" s="9" t="s">
        <v>17</v>
      </c>
      <c r="F796" s="9" t="s">
        <v>17</v>
      </c>
      <c r="G796" s="9" t="s">
        <v>24</v>
      </c>
      <c r="H796" s="9" t="s">
        <v>17</v>
      </c>
      <c r="I796" s="9" t="s">
        <v>20</v>
      </c>
      <c r="J796" s="10"/>
      <c r="K796" s="7"/>
      <c r="L796" s="7"/>
      <c r="M796" s="7"/>
      <c r="N796" s="7"/>
      <c r="O796" s="7"/>
    </row>
    <row r="797" ht="22.5" hidden="1" customHeight="1">
      <c r="A797" s="8">
        <v>45772.34103953704</v>
      </c>
      <c r="B797" s="9"/>
      <c r="C797" s="9" t="s">
        <v>48</v>
      </c>
      <c r="D797" s="9" t="s">
        <v>127</v>
      </c>
      <c r="E797" s="9" t="s">
        <v>17</v>
      </c>
      <c r="F797" s="9" t="s">
        <v>43</v>
      </c>
      <c r="G797" s="9" t="s">
        <v>24</v>
      </c>
      <c r="H797" s="9" t="s">
        <v>25</v>
      </c>
      <c r="I797" s="9" t="s">
        <v>67</v>
      </c>
      <c r="J797" s="10"/>
      <c r="K797" s="7"/>
      <c r="L797" s="7"/>
      <c r="M797" s="7"/>
      <c r="N797" s="7"/>
      <c r="O797" s="7"/>
    </row>
    <row r="798" ht="22.5" hidden="1" customHeight="1">
      <c r="A798" s="8">
        <v>45772.341502337964</v>
      </c>
      <c r="B798" s="9"/>
      <c r="C798" s="9" t="s">
        <v>48</v>
      </c>
      <c r="D798" s="9" t="s">
        <v>235</v>
      </c>
      <c r="E798" s="9" t="s">
        <v>17</v>
      </c>
      <c r="F798" s="9" t="s">
        <v>35</v>
      </c>
      <c r="G798" s="9" t="s">
        <v>24</v>
      </c>
      <c r="H798" s="9" t="s">
        <v>25</v>
      </c>
      <c r="I798" s="9" t="s">
        <v>307</v>
      </c>
      <c r="J798" s="10"/>
      <c r="K798" s="7"/>
      <c r="L798" s="7"/>
      <c r="M798" s="7"/>
      <c r="N798" s="7"/>
      <c r="O798" s="7"/>
    </row>
    <row r="799" ht="22.5" hidden="1" customHeight="1">
      <c r="A799" s="8">
        <v>45772.34263758102</v>
      </c>
      <c r="B799" s="9"/>
      <c r="C799" s="9" t="s">
        <v>48</v>
      </c>
      <c r="D799" s="9" t="s">
        <v>230</v>
      </c>
      <c r="E799" s="9" t="s">
        <v>46</v>
      </c>
      <c r="F799" s="9" t="s">
        <v>17</v>
      </c>
      <c r="G799" s="9" t="s">
        <v>24</v>
      </c>
      <c r="H799" s="9" t="s">
        <v>62</v>
      </c>
      <c r="I799" s="9" t="s">
        <v>273</v>
      </c>
      <c r="J799" s="10"/>
      <c r="K799" s="7"/>
      <c r="L799" s="7"/>
      <c r="M799" s="7"/>
      <c r="N799" s="7"/>
      <c r="O799" s="7"/>
    </row>
    <row r="800" ht="22.5" hidden="1" customHeight="1">
      <c r="A800" s="8">
        <v>45772.34338005787</v>
      </c>
      <c r="B800" s="9"/>
      <c r="C800" s="9" t="s">
        <v>48</v>
      </c>
      <c r="D800" s="9" t="s">
        <v>206</v>
      </c>
      <c r="E800" s="9" t="s">
        <v>61</v>
      </c>
      <c r="F800" s="9" t="s">
        <v>35</v>
      </c>
      <c r="G800" s="9" t="s">
        <v>24</v>
      </c>
      <c r="H800" s="9" t="s">
        <v>62</v>
      </c>
      <c r="I800" s="9" t="s">
        <v>20</v>
      </c>
      <c r="J800" s="10"/>
      <c r="K800" s="7"/>
      <c r="L800" s="7"/>
      <c r="M800" s="7"/>
      <c r="N800" s="7"/>
      <c r="O800" s="7"/>
    </row>
    <row r="801" ht="22.5" hidden="1" customHeight="1">
      <c r="A801" s="8">
        <v>45772.34528770833</v>
      </c>
      <c r="B801" s="9"/>
      <c r="C801" s="9" t="s">
        <v>48</v>
      </c>
      <c r="D801" s="9" t="s">
        <v>192</v>
      </c>
      <c r="E801" s="9" t="s">
        <v>17</v>
      </c>
      <c r="F801" s="9" t="s">
        <v>17</v>
      </c>
      <c r="G801" s="9" t="s">
        <v>24</v>
      </c>
      <c r="H801" s="9" t="s">
        <v>17</v>
      </c>
      <c r="I801" s="9" t="s">
        <v>20</v>
      </c>
      <c r="J801" s="10"/>
      <c r="K801" s="7"/>
      <c r="L801" s="7"/>
      <c r="M801" s="7"/>
      <c r="N801" s="7"/>
      <c r="O801" s="7"/>
    </row>
    <row r="802" ht="22.5" hidden="1" customHeight="1">
      <c r="A802" s="8">
        <v>45772.34567796296</v>
      </c>
      <c r="B802" s="9"/>
      <c r="C802" s="9" t="s">
        <v>48</v>
      </c>
      <c r="D802" s="9" t="s">
        <v>227</v>
      </c>
      <c r="E802" s="9" t="s">
        <v>17</v>
      </c>
      <c r="F802" s="9" t="s">
        <v>17</v>
      </c>
      <c r="G802" s="9" t="s">
        <v>24</v>
      </c>
      <c r="H802" s="9" t="s">
        <v>25</v>
      </c>
      <c r="I802" s="9" t="s">
        <v>79</v>
      </c>
      <c r="J802" s="10"/>
      <c r="K802" s="7"/>
      <c r="L802" s="7"/>
      <c r="M802" s="7"/>
      <c r="N802" s="7"/>
      <c r="O802" s="7"/>
    </row>
    <row r="803" ht="22.5" hidden="1" customHeight="1">
      <c r="A803" s="8">
        <v>45772.34616905093</v>
      </c>
      <c r="B803" s="9"/>
      <c r="C803" s="9" t="s">
        <v>48</v>
      </c>
      <c r="D803" s="9" t="s">
        <v>133</v>
      </c>
      <c r="E803" s="9" t="s">
        <v>17</v>
      </c>
      <c r="F803" s="9" t="s">
        <v>17</v>
      </c>
      <c r="G803" s="9" t="s">
        <v>24</v>
      </c>
      <c r="H803" s="9" t="s">
        <v>17</v>
      </c>
      <c r="I803" s="9" t="s">
        <v>20</v>
      </c>
      <c r="J803" s="10"/>
      <c r="K803" s="7"/>
      <c r="L803" s="7"/>
      <c r="M803" s="7"/>
      <c r="N803" s="7"/>
      <c r="O803" s="7"/>
    </row>
    <row r="804" ht="22.5" hidden="1" customHeight="1">
      <c r="A804" s="8">
        <v>45772.34790231481</v>
      </c>
      <c r="B804" s="9"/>
      <c r="C804" s="9" t="s">
        <v>48</v>
      </c>
      <c r="D804" s="9" t="s">
        <v>49</v>
      </c>
      <c r="E804" s="9" t="s">
        <v>17</v>
      </c>
      <c r="F804" s="9" t="s">
        <v>17</v>
      </c>
      <c r="G804" s="9" t="s">
        <v>24</v>
      </c>
      <c r="H804" s="9" t="s">
        <v>17</v>
      </c>
      <c r="I804" s="9" t="s">
        <v>20</v>
      </c>
      <c r="J804" s="10"/>
      <c r="K804" s="7"/>
      <c r="L804" s="7"/>
      <c r="M804" s="7"/>
      <c r="N804" s="7"/>
      <c r="O804" s="7"/>
    </row>
    <row r="805" ht="22.5" hidden="1" customHeight="1">
      <c r="A805" s="8">
        <v>45772.34828913194</v>
      </c>
      <c r="B805" s="9"/>
      <c r="C805" s="9" t="s">
        <v>48</v>
      </c>
      <c r="D805" s="9" t="s">
        <v>285</v>
      </c>
      <c r="E805" s="9" t="s">
        <v>30</v>
      </c>
      <c r="F805" s="9" t="s">
        <v>18</v>
      </c>
      <c r="G805" s="9" t="s">
        <v>24</v>
      </c>
      <c r="H805" s="9" t="s">
        <v>22</v>
      </c>
      <c r="I805" s="9" t="s">
        <v>20</v>
      </c>
      <c r="J805" s="10"/>
      <c r="K805" s="7"/>
      <c r="L805" s="7"/>
      <c r="M805" s="7"/>
      <c r="N805" s="7"/>
      <c r="O805" s="7"/>
    </row>
    <row r="806" ht="22.5" hidden="1" customHeight="1">
      <c r="A806" s="8">
        <v>45772.34868815972</v>
      </c>
      <c r="B806" s="9"/>
      <c r="C806" s="9" t="s">
        <v>48</v>
      </c>
      <c r="D806" s="9" t="s">
        <v>107</v>
      </c>
      <c r="E806" s="9" t="s">
        <v>46</v>
      </c>
      <c r="F806" s="9" t="s">
        <v>18</v>
      </c>
      <c r="G806" s="9" t="s">
        <v>24</v>
      </c>
      <c r="H806" s="9" t="s">
        <v>25</v>
      </c>
      <c r="I806" s="9" t="s">
        <v>308</v>
      </c>
      <c r="J806" s="10"/>
      <c r="K806" s="7"/>
      <c r="L806" s="7"/>
      <c r="M806" s="7"/>
      <c r="N806" s="7"/>
      <c r="O806" s="7"/>
    </row>
    <row r="807" ht="22.5" hidden="1" customHeight="1">
      <c r="A807" s="8">
        <v>45772.349069421296</v>
      </c>
      <c r="B807" s="9"/>
      <c r="C807" s="9" t="s">
        <v>48</v>
      </c>
      <c r="D807" s="9" t="s">
        <v>277</v>
      </c>
      <c r="E807" s="9" t="s">
        <v>46</v>
      </c>
      <c r="F807" s="9" t="s">
        <v>17</v>
      </c>
      <c r="G807" s="9" t="s">
        <v>24</v>
      </c>
      <c r="H807" s="9" t="s">
        <v>62</v>
      </c>
      <c r="I807" s="9" t="s">
        <v>20</v>
      </c>
      <c r="J807" s="10"/>
      <c r="K807" s="7"/>
      <c r="L807" s="7"/>
      <c r="M807" s="7"/>
      <c r="N807" s="7"/>
      <c r="O807" s="7"/>
    </row>
    <row r="808" ht="22.5" hidden="1" customHeight="1">
      <c r="A808" s="8">
        <v>45772.3497728125</v>
      </c>
      <c r="B808" s="9"/>
      <c r="C808" s="9" t="s">
        <v>48</v>
      </c>
      <c r="D808" s="9" t="s">
        <v>299</v>
      </c>
      <c r="E808" s="9" t="s">
        <v>17</v>
      </c>
      <c r="F808" s="9" t="s">
        <v>17</v>
      </c>
      <c r="G808" s="9" t="s">
        <v>24</v>
      </c>
      <c r="H808" s="9" t="s">
        <v>17</v>
      </c>
      <c r="I808" s="9" t="s">
        <v>20</v>
      </c>
      <c r="J808" s="10"/>
      <c r="K808" s="7"/>
      <c r="L808" s="7"/>
      <c r="M808" s="7"/>
      <c r="N808" s="7"/>
      <c r="O808" s="7"/>
    </row>
    <row r="809" ht="22.5" hidden="1" customHeight="1">
      <c r="A809" s="8">
        <v>45772.35228663194</v>
      </c>
      <c r="B809" s="9"/>
      <c r="C809" s="9" t="s">
        <v>48</v>
      </c>
      <c r="D809" s="9" t="s">
        <v>109</v>
      </c>
      <c r="E809" s="9" t="s">
        <v>17</v>
      </c>
      <c r="F809" s="9" t="s">
        <v>17</v>
      </c>
      <c r="G809" s="9" t="s">
        <v>24</v>
      </c>
      <c r="H809" s="9" t="s">
        <v>62</v>
      </c>
      <c r="I809" s="9" t="s">
        <v>20</v>
      </c>
      <c r="J809" s="10"/>
      <c r="K809" s="7"/>
      <c r="L809" s="7"/>
      <c r="M809" s="7"/>
      <c r="N809" s="7"/>
      <c r="O809" s="7"/>
    </row>
    <row r="810" ht="22.5" hidden="1" customHeight="1">
      <c r="A810" s="8">
        <v>45772.352890995375</v>
      </c>
      <c r="B810" s="9"/>
      <c r="C810" s="9" t="s">
        <v>48</v>
      </c>
      <c r="D810" s="9" t="s">
        <v>23</v>
      </c>
      <c r="E810" s="9" t="s">
        <v>17</v>
      </c>
      <c r="F810" s="9" t="s">
        <v>17</v>
      </c>
      <c r="G810" s="9" t="s">
        <v>24</v>
      </c>
      <c r="H810" s="9" t="s">
        <v>17</v>
      </c>
      <c r="I810" s="9" t="s">
        <v>20</v>
      </c>
      <c r="J810" s="10"/>
      <c r="K810" s="7"/>
      <c r="L810" s="7"/>
      <c r="M810" s="7"/>
      <c r="N810" s="7"/>
      <c r="O810" s="7"/>
    </row>
    <row r="811" ht="22.5" hidden="1" customHeight="1">
      <c r="A811" s="8">
        <v>45772.35692644676</v>
      </c>
      <c r="B811" s="9"/>
      <c r="C811" s="9" t="s">
        <v>48</v>
      </c>
      <c r="D811" s="9" t="s">
        <v>108</v>
      </c>
      <c r="E811" s="9" t="s">
        <v>46</v>
      </c>
      <c r="F811" s="9" t="s">
        <v>17</v>
      </c>
      <c r="G811" s="9" t="s">
        <v>24</v>
      </c>
      <c r="H811" s="9" t="s">
        <v>25</v>
      </c>
      <c r="I811" s="9" t="s">
        <v>309</v>
      </c>
      <c r="J811" s="10"/>
      <c r="K811" s="7"/>
      <c r="L811" s="7"/>
      <c r="M811" s="7"/>
      <c r="N811" s="7"/>
      <c r="O811" s="7"/>
    </row>
    <row r="812" ht="22.5" hidden="1" customHeight="1">
      <c r="A812" s="8">
        <v>45772.357494791664</v>
      </c>
      <c r="B812" s="9"/>
      <c r="C812" s="9" t="s">
        <v>48</v>
      </c>
      <c r="D812" s="9" t="s">
        <v>56</v>
      </c>
      <c r="E812" s="9" t="s">
        <v>30</v>
      </c>
      <c r="F812" s="9" t="s">
        <v>43</v>
      </c>
      <c r="G812" s="9" t="s">
        <v>24</v>
      </c>
      <c r="H812" s="9" t="s">
        <v>17</v>
      </c>
      <c r="I812" s="9" t="s">
        <v>79</v>
      </c>
      <c r="J812" s="10"/>
      <c r="K812" s="7"/>
      <c r="L812" s="7"/>
      <c r="M812" s="7"/>
      <c r="N812" s="7"/>
      <c r="O812" s="7"/>
    </row>
    <row r="813" ht="22.5" hidden="1" customHeight="1">
      <c r="A813" s="8">
        <v>45773.3316096412</v>
      </c>
      <c r="B813" s="9"/>
      <c r="C813" s="9" t="s">
        <v>53</v>
      </c>
      <c r="D813" s="9" t="s">
        <v>108</v>
      </c>
      <c r="E813" s="9" t="s">
        <v>46</v>
      </c>
      <c r="F813" s="9" t="s">
        <v>17</v>
      </c>
      <c r="G813" s="9" t="s">
        <v>24</v>
      </c>
      <c r="H813" s="9" t="s">
        <v>25</v>
      </c>
      <c r="I813" s="9" t="s">
        <v>218</v>
      </c>
      <c r="J813" s="10"/>
      <c r="K813" s="7"/>
      <c r="L813" s="7"/>
      <c r="M813" s="7"/>
      <c r="N813" s="7"/>
      <c r="O813" s="7"/>
    </row>
    <row r="814" ht="22.5" hidden="1" customHeight="1">
      <c r="A814" s="8">
        <v>45773.332162175924</v>
      </c>
      <c r="B814" s="9"/>
      <c r="C814" s="9" t="s">
        <v>53</v>
      </c>
      <c r="D814" s="9" t="s">
        <v>230</v>
      </c>
      <c r="E814" s="9" t="s">
        <v>17</v>
      </c>
      <c r="F814" s="9" t="s">
        <v>18</v>
      </c>
      <c r="G814" s="9" t="s">
        <v>24</v>
      </c>
      <c r="H814" s="9" t="s">
        <v>25</v>
      </c>
      <c r="I814" s="9" t="s">
        <v>28</v>
      </c>
      <c r="J814" s="10"/>
      <c r="K814" s="7"/>
      <c r="L814" s="7"/>
      <c r="M814" s="7"/>
      <c r="N814" s="7"/>
      <c r="O814" s="7"/>
    </row>
    <row r="815" ht="22.5" hidden="1" customHeight="1">
      <c r="A815" s="8">
        <v>45773.33372190972</v>
      </c>
      <c r="B815" s="9"/>
      <c r="C815" s="9" t="s">
        <v>53</v>
      </c>
      <c r="D815" s="9" t="s">
        <v>127</v>
      </c>
      <c r="E815" s="9" t="s">
        <v>17</v>
      </c>
      <c r="F815" s="9" t="s">
        <v>35</v>
      </c>
      <c r="G815" s="9" t="s">
        <v>24</v>
      </c>
      <c r="H815" s="9" t="s">
        <v>25</v>
      </c>
      <c r="I815" s="9" t="s">
        <v>67</v>
      </c>
      <c r="J815" s="10"/>
      <c r="K815" s="7"/>
      <c r="L815" s="7"/>
      <c r="M815" s="7"/>
      <c r="N815" s="7"/>
      <c r="O815" s="7"/>
    </row>
    <row r="816" ht="22.5" hidden="1" customHeight="1">
      <c r="A816" s="8">
        <v>45773.33405399305</v>
      </c>
      <c r="B816" s="9"/>
      <c r="C816" s="9" t="s">
        <v>53</v>
      </c>
      <c r="D816" s="9" t="s">
        <v>235</v>
      </c>
      <c r="E816" s="9" t="s">
        <v>17</v>
      </c>
      <c r="F816" s="9" t="s">
        <v>17</v>
      </c>
      <c r="G816" s="9" t="s">
        <v>24</v>
      </c>
      <c r="H816" s="9" t="s">
        <v>25</v>
      </c>
      <c r="I816" s="9" t="s">
        <v>301</v>
      </c>
      <c r="J816" s="10"/>
      <c r="K816" s="7"/>
      <c r="L816" s="7"/>
      <c r="M816" s="7"/>
      <c r="N816" s="7"/>
      <c r="O816" s="7"/>
    </row>
    <row r="817" ht="22.5" hidden="1" customHeight="1">
      <c r="A817" s="8">
        <v>45773.334489375</v>
      </c>
      <c r="B817" s="9"/>
      <c r="C817" s="9" t="s">
        <v>53</v>
      </c>
      <c r="D817" s="9" t="s">
        <v>133</v>
      </c>
      <c r="E817" s="9" t="s">
        <v>17</v>
      </c>
      <c r="F817" s="9" t="s">
        <v>17</v>
      </c>
      <c r="G817" s="9" t="s">
        <v>24</v>
      </c>
      <c r="H817" s="9" t="s">
        <v>25</v>
      </c>
      <c r="I817" s="9" t="s">
        <v>173</v>
      </c>
      <c r="J817" s="10"/>
      <c r="K817" s="7"/>
      <c r="L817" s="7"/>
      <c r="M817" s="7"/>
      <c r="N817" s="7"/>
      <c r="O817" s="7"/>
    </row>
    <row r="818" ht="22.5" hidden="1" customHeight="1">
      <c r="A818" s="8">
        <v>45773.335222187496</v>
      </c>
      <c r="B818" s="9"/>
      <c r="C818" s="9" t="s">
        <v>53</v>
      </c>
      <c r="D818" s="9" t="s">
        <v>132</v>
      </c>
      <c r="E818" s="9" t="s">
        <v>30</v>
      </c>
      <c r="F818" s="9" t="s">
        <v>17</v>
      </c>
      <c r="G818" s="9" t="s">
        <v>24</v>
      </c>
      <c r="H818" s="9" t="s">
        <v>17</v>
      </c>
      <c r="I818" s="9" t="s">
        <v>20</v>
      </c>
      <c r="J818" s="10"/>
      <c r="K818" s="7"/>
      <c r="L818" s="7"/>
      <c r="M818" s="7"/>
      <c r="N818" s="7"/>
      <c r="O818" s="7"/>
    </row>
    <row r="819" ht="22.5" hidden="1" customHeight="1">
      <c r="A819" s="8">
        <v>45773.335453645836</v>
      </c>
      <c r="B819" s="9"/>
      <c r="C819" s="9" t="s">
        <v>53</v>
      </c>
      <c r="D819" s="9" t="s">
        <v>250</v>
      </c>
      <c r="E819" s="9" t="s">
        <v>17</v>
      </c>
      <c r="F819" s="9" t="s">
        <v>17</v>
      </c>
      <c r="G819" s="9" t="s">
        <v>24</v>
      </c>
      <c r="H819" s="9" t="s">
        <v>17</v>
      </c>
      <c r="I819" s="9" t="s">
        <v>20</v>
      </c>
      <c r="J819" s="10"/>
      <c r="K819" s="7"/>
      <c r="L819" s="7"/>
      <c r="M819" s="7"/>
      <c r="N819" s="7"/>
      <c r="O819" s="7"/>
    </row>
    <row r="820" ht="22.5" hidden="1" customHeight="1">
      <c r="A820" s="8">
        <v>45773.339921886574</v>
      </c>
      <c r="B820" s="9"/>
      <c r="C820" s="9" t="s">
        <v>53</v>
      </c>
      <c r="D820" s="9" t="s">
        <v>268</v>
      </c>
      <c r="E820" s="9" t="s">
        <v>17</v>
      </c>
      <c r="F820" s="9" t="s">
        <v>17</v>
      </c>
      <c r="G820" s="9" t="s">
        <v>24</v>
      </c>
      <c r="H820" s="9" t="s">
        <v>25</v>
      </c>
      <c r="I820" s="9" t="s">
        <v>137</v>
      </c>
      <c r="J820" s="10"/>
      <c r="K820" s="7"/>
      <c r="L820" s="7"/>
      <c r="M820" s="7"/>
      <c r="N820" s="7"/>
      <c r="O820" s="7"/>
    </row>
    <row r="821" ht="22.5" hidden="1" customHeight="1">
      <c r="A821" s="8">
        <v>45773.34073520833</v>
      </c>
      <c r="B821" s="9"/>
      <c r="C821" s="9" t="s">
        <v>53</v>
      </c>
      <c r="D821" s="9" t="s">
        <v>299</v>
      </c>
      <c r="E821" s="9" t="s">
        <v>17</v>
      </c>
      <c r="F821" s="9" t="s">
        <v>17</v>
      </c>
      <c r="G821" s="9" t="s">
        <v>24</v>
      </c>
      <c r="H821" s="9" t="s">
        <v>17</v>
      </c>
      <c r="I821" s="9" t="s">
        <v>20</v>
      </c>
      <c r="J821" s="10"/>
      <c r="K821" s="7"/>
      <c r="L821" s="7"/>
      <c r="M821" s="7"/>
      <c r="N821" s="7"/>
      <c r="O821" s="7"/>
    </row>
    <row r="822" ht="22.5" hidden="1" customHeight="1">
      <c r="A822" s="8">
        <v>45773.343048124996</v>
      </c>
      <c r="B822" s="9"/>
      <c r="C822" s="9" t="s">
        <v>53</v>
      </c>
      <c r="D822" s="9" t="s">
        <v>227</v>
      </c>
      <c r="E822" s="9" t="s">
        <v>17</v>
      </c>
      <c r="F822" s="9" t="s">
        <v>17</v>
      </c>
      <c r="G822" s="9" t="s">
        <v>24</v>
      </c>
      <c r="H822" s="9" t="s">
        <v>25</v>
      </c>
      <c r="I822" s="9" t="s">
        <v>137</v>
      </c>
      <c r="J822" s="10"/>
      <c r="K822" s="7"/>
      <c r="L822" s="7"/>
      <c r="M822" s="7"/>
      <c r="N822" s="7"/>
      <c r="O822" s="7"/>
    </row>
    <row r="823" ht="22.5" hidden="1" customHeight="1">
      <c r="A823" s="8">
        <v>45773.34427394676</v>
      </c>
      <c r="B823" s="9"/>
      <c r="C823" s="9" t="s">
        <v>53</v>
      </c>
      <c r="D823" s="9" t="s">
        <v>49</v>
      </c>
      <c r="E823" s="9" t="s">
        <v>17</v>
      </c>
      <c r="F823" s="9" t="s">
        <v>17</v>
      </c>
      <c r="G823" s="9" t="s">
        <v>24</v>
      </c>
      <c r="H823" s="9" t="s">
        <v>17</v>
      </c>
      <c r="I823" s="9" t="s">
        <v>20</v>
      </c>
      <c r="J823" s="10"/>
      <c r="K823" s="7"/>
      <c r="L823" s="7"/>
      <c r="M823" s="7"/>
      <c r="N823" s="7"/>
      <c r="O823" s="7"/>
    </row>
    <row r="824" ht="22.5" hidden="1" customHeight="1">
      <c r="A824" s="8">
        <v>45773.34513722222</v>
      </c>
      <c r="B824" s="9"/>
      <c r="C824" s="9" t="s">
        <v>53</v>
      </c>
      <c r="D824" s="9" t="s">
        <v>23</v>
      </c>
      <c r="E824" s="9" t="s">
        <v>17</v>
      </c>
      <c r="F824" s="9" t="s">
        <v>17</v>
      </c>
      <c r="G824" s="9" t="s">
        <v>24</v>
      </c>
      <c r="H824" s="9" t="s">
        <v>62</v>
      </c>
      <c r="I824" s="9" t="s">
        <v>20</v>
      </c>
      <c r="J824" s="10"/>
      <c r="K824" s="7"/>
      <c r="L824" s="7"/>
      <c r="M824" s="7"/>
      <c r="N824" s="7"/>
      <c r="O824" s="7"/>
    </row>
    <row r="825" ht="22.5" hidden="1" customHeight="1">
      <c r="A825" s="8">
        <v>45773.34555650463</v>
      </c>
      <c r="B825" s="9"/>
      <c r="C825" s="9" t="s">
        <v>53</v>
      </c>
      <c r="D825" s="9" t="s">
        <v>107</v>
      </c>
      <c r="E825" s="9" t="s">
        <v>17</v>
      </c>
      <c r="F825" s="9" t="s">
        <v>17</v>
      </c>
      <c r="G825" s="9" t="s">
        <v>24</v>
      </c>
      <c r="H825" s="9" t="s">
        <v>25</v>
      </c>
      <c r="I825" s="9" t="s">
        <v>310</v>
      </c>
      <c r="J825" s="10"/>
      <c r="K825" s="7"/>
      <c r="L825" s="7"/>
      <c r="M825" s="7"/>
      <c r="N825" s="7"/>
      <c r="O825" s="7"/>
    </row>
    <row r="826" ht="22.5" hidden="1" customHeight="1">
      <c r="A826" s="8">
        <v>45773.34621928241</v>
      </c>
      <c r="B826" s="9"/>
      <c r="C826" s="9" t="s">
        <v>53</v>
      </c>
      <c r="D826" s="9" t="s">
        <v>102</v>
      </c>
      <c r="E826" s="9" t="s">
        <v>17</v>
      </c>
      <c r="F826" s="9" t="s">
        <v>17</v>
      </c>
      <c r="G826" s="9" t="s">
        <v>40</v>
      </c>
      <c r="H826" s="9" t="s">
        <v>25</v>
      </c>
      <c r="I826" s="9" t="s">
        <v>28</v>
      </c>
      <c r="J826" s="10"/>
      <c r="K826" s="7"/>
      <c r="L826" s="7"/>
      <c r="M826" s="7"/>
      <c r="N826" s="7"/>
      <c r="O826" s="7"/>
    </row>
    <row r="827" ht="22.5" hidden="1" customHeight="1">
      <c r="A827" s="8">
        <v>45773.346425717595</v>
      </c>
      <c r="B827" s="9"/>
      <c r="C827" s="9" t="s">
        <v>53</v>
      </c>
      <c r="D827" s="9" t="s">
        <v>109</v>
      </c>
      <c r="E827" s="9" t="s">
        <v>17</v>
      </c>
      <c r="F827" s="9" t="s">
        <v>17</v>
      </c>
      <c r="G827" s="9" t="s">
        <v>24</v>
      </c>
      <c r="H827" s="9" t="s">
        <v>17</v>
      </c>
      <c r="I827" s="9" t="s">
        <v>20</v>
      </c>
      <c r="J827" s="10"/>
      <c r="K827" s="7"/>
      <c r="L827" s="7"/>
      <c r="M827" s="7"/>
      <c r="N827" s="7"/>
      <c r="O827" s="7"/>
    </row>
    <row r="828" ht="22.5" hidden="1" customHeight="1">
      <c r="A828" s="8">
        <v>45773.35279721065</v>
      </c>
      <c r="B828" s="9"/>
      <c r="C828" s="9" t="s">
        <v>53</v>
      </c>
      <c r="D828" s="9" t="s">
        <v>243</v>
      </c>
      <c r="E828" s="9" t="s">
        <v>17</v>
      </c>
      <c r="F828" s="9" t="s">
        <v>17</v>
      </c>
      <c r="G828" s="9" t="s">
        <v>24</v>
      </c>
      <c r="H828" s="9" t="s">
        <v>17</v>
      </c>
      <c r="I828" s="9" t="s">
        <v>20</v>
      </c>
      <c r="J828" s="10"/>
      <c r="K828" s="7"/>
      <c r="L828" s="7"/>
      <c r="M828" s="7"/>
      <c r="N828" s="7"/>
      <c r="O828" s="7"/>
    </row>
    <row r="829" ht="22.5" hidden="1" customHeight="1">
      <c r="A829" s="8">
        <v>45773.35380081019</v>
      </c>
      <c r="B829" s="9"/>
      <c r="C829" s="9" t="s">
        <v>53</v>
      </c>
      <c r="D829" s="9" t="s">
        <v>51</v>
      </c>
      <c r="E829" s="9" t="s">
        <v>17</v>
      </c>
      <c r="F829" s="9" t="s">
        <v>17</v>
      </c>
      <c r="G829" s="9" t="s">
        <v>19</v>
      </c>
      <c r="H829" s="9" t="s">
        <v>17</v>
      </c>
      <c r="I829" s="9" t="s">
        <v>20</v>
      </c>
      <c r="J829" s="10"/>
      <c r="K829" s="7"/>
      <c r="L829" s="7"/>
      <c r="M829" s="7"/>
      <c r="N829" s="7"/>
      <c r="O829" s="7"/>
    </row>
    <row r="830" ht="22.5" hidden="1" customHeight="1">
      <c r="A830" s="8">
        <v>45775.681099837966</v>
      </c>
      <c r="B830" s="9"/>
      <c r="C830" s="9" t="s">
        <v>86</v>
      </c>
      <c r="D830" s="9" t="s">
        <v>285</v>
      </c>
      <c r="E830" s="9" t="s">
        <v>30</v>
      </c>
      <c r="F830" s="9" t="s">
        <v>18</v>
      </c>
      <c r="G830" s="9" t="s">
        <v>24</v>
      </c>
      <c r="H830" s="9" t="s">
        <v>22</v>
      </c>
      <c r="I830" s="9" t="s">
        <v>20</v>
      </c>
      <c r="J830" s="10"/>
      <c r="K830" s="7"/>
      <c r="L830" s="7"/>
      <c r="M830" s="7"/>
      <c r="N830" s="7"/>
      <c r="O830" s="7"/>
    </row>
    <row r="831" ht="22.5" hidden="1" customHeight="1">
      <c r="A831" s="8">
        <v>45775.68133670139</v>
      </c>
      <c r="B831" s="9"/>
      <c r="C831" s="9" t="s">
        <v>86</v>
      </c>
      <c r="D831" s="9" t="s">
        <v>42</v>
      </c>
      <c r="E831" s="9" t="s">
        <v>57</v>
      </c>
      <c r="F831" s="9" t="s">
        <v>43</v>
      </c>
      <c r="G831" s="9" t="s">
        <v>19</v>
      </c>
      <c r="H831" s="9" t="s">
        <v>22</v>
      </c>
      <c r="I831" s="9" t="s">
        <v>20</v>
      </c>
      <c r="J831" s="10"/>
      <c r="K831" s="7"/>
      <c r="L831" s="7"/>
      <c r="M831" s="7"/>
      <c r="N831" s="7"/>
      <c r="O831" s="7"/>
    </row>
    <row r="832" ht="22.5" hidden="1" customHeight="1">
      <c r="A832" s="8">
        <v>45775.682341817126</v>
      </c>
      <c r="B832" s="9"/>
      <c r="C832" s="9" t="s">
        <v>86</v>
      </c>
      <c r="D832" s="9" t="s">
        <v>27</v>
      </c>
      <c r="E832" s="9" t="s">
        <v>17</v>
      </c>
      <c r="F832" s="9" t="s">
        <v>35</v>
      </c>
      <c r="G832" s="9" t="s">
        <v>19</v>
      </c>
      <c r="H832" s="9" t="s">
        <v>17</v>
      </c>
      <c r="I832" s="9" t="s">
        <v>20</v>
      </c>
      <c r="J832" s="10"/>
      <c r="K832" s="7"/>
      <c r="L832" s="7"/>
      <c r="M832" s="7"/>
      <c r="N832" s="7"/>
      <c r="O832" s="7"/>
    </row>
    <row r="833" ht="22.5" hidden="1" customHeight="1">
      <c r="A833" s="8">
        <v>45776.334007812504</v>
      </c>
      <c r="B833" s="9"/>
      <c r="C833" s="9" t="s">
        <v>110</v>
      </c>
      <c r="D833" s="9" t="s">
        <v>235</v>
      </c>
      <c r="E833" s="9" t="s">
        <v>17</v>
      </c>
      <c r="F833" s="9" t="s">
        <v>17</v>
      </c>
      <c r="G833" s="9" t="s">
        <v>24</v>
      </c>
      <c r="H833" s="9" t="s">
        <v>25</v>
      </c>
      <c r="I833" s="9" t="s">
        <v>137</v>
      </c>
      <c r="J833" s="10"/>
      <c r="K833" s="7"/>
      <c r="L833" s="7"/>
      <c r="M833" s="7"/>
      <c r="N833" s="7"/>
      <c r="O833" s="7"/>
    </row>
    <row r="834" ht="22.5" hidden="1" customHeight="1">
      <c r="A834" s="8">
        <v>45776.34183600695</v>
      </c>
      <c r="B834" s="9"/>
      <c r="C834" s="9" t="s">
        <v>110</v>
      </c>
      <c r="D834" s="9" t="s">
        <v>299</v>
      </c>
      <c r="E834" s="9" t="s">
        <v>17</v>
      </c>
      <c r="F834" s="9" t="s">
        <v>17</v>
      </c>
      <c r="G834" s="9" t="s">
        <v>24</v>
      </c>
      <c r="H834" s="9" t="s">
        <v>17</v>
      </c>
      <c r="I834" s="9" t="s">
        <v>20</v>
      </c>
      <c r="J834" s="10"/>
      <c r="K834" s="7"/>
      <c r="L834" s="7"/>
      <c r="M834" s="7"/>
      <c r="N834" s="7"/>
      <c r="O834" s="7"/>
    </row>
    <row r="835" ht="22.5" hidden="1" customHeight="1">
      <c r="A835" s="8">
        <v>45776.342338622686</v>
      </c>
      <c r="B835" s="9"/>
      <c r="C835" s="9" t="s">
        <v>110</v>
      </c>
      <c r="D835" s="9" t="s">
        <v>268</v>
      </c>
      <c r="E835" s="9" t="s">
        <v>17</v>
      </c>
      <c r="F835" s="9" t="s">
        <v>17</v>
      </c>
      <c r="G835" s="9" t="s">
        <v>24</v>
      </c>
      <c r="H835" s="9" t="s">
        <v>25</v>
      </c>
      <c r="I835" s="9" t="s">
        <v>137</v>
      </c>
      <c r="J835" s="10"/>
      <c r="K835" s="7"/>
      <c r="L835" s="7"/>
      <c r="M835" s="7"/>
      <c r="N835" s="7"/>
      <c r="O835" s="7"/>
    </row>
    <row r="836" ht="22.5" hidden="1" customHeight="1">
      <c r="A836" s="8">
        <v>45776.343334062505</v>
      </c>
      <c r="B836" s="9"/>
      <c r="C836" s="9" t="s">
        <v>110</v>
      </c>
      <c r="D836" s="9" t="s">
        <v>108</v>
      </c>
      <c r="E836" s="9" t="s">
        <v>46</v>
      </c>
      <c r="F836" s="9" t="s">
        <v>17</v>
      </c>
      <c r="G836" s="9" t="s">
        <v>24</v>
      </c>
      <c r="H836" s="9" t="s">
        <v>25</v>
      </c>
      <c r="I836" s="9" t="s">
        <v>218</v>
      </c>
      <c r="J836" s="10"/>
      <c r="K836" s="7"/>
      <c r="L836" s="7"/>
      <c r="M836" s="7"/>
      <c r="N836" s="7"/>
      <c r="O836" s="7"/>
    </row>
    <row r="837" ht="22.5" hidden="1" customHeight="1">
      <c r="A837" s="8">
        <v>45776.34428232639</v>
      </c>
      <c r="B837" s="9"/>
      <c r="C837" s="9" t="s">
        <v>110</v>
      </c>
      <c r="D837" s="9" t="s">
        <v>127</v>
      </c>
      <c r="E837" s="9" t="s">
        <v>17</v>
      </c>
      <c r="F837" s="9" t="s">
        <v>17</v>
      </c>
      <c r="G837" s="9" t="s">
        <v>24</v>
      </c>
      <c r="H837" s="9" t="s">
        <v>17</v>
      </c>
      <c r="I837" s="9" t="s">
        <v>20</v>
      </c>
      <c r="J837" s="10"/>
      <c r="K837" s="7"/>
      <c r="L837" s="7"/>
      <c r="M837" s="7"/>
      <c r="N837" s="7"/>
      <c r="O837" s="7"/>
    </row>
    <row r="838" ht="22.5" hidden="1" customHeight="1">
      <c r="A838" s="8">
        <v>45776.34467215277</v>
      </c>
      <c r="B838" s="9"/>
      <c r="C838" s="9" t="s">
        <v>110</v>
      </c>
      <c r="D838" s="9" t="s">
        <v>243</v>
      </c>
      <c r="E838" s="9" t="s">
        <v>17</v>
      </c>
      <c r="F838" s="9" t="s">
        <v>17</v>
      </c>
      <c r="G838" s="9" t="s">
        <v>24</v>
      </c>
      <c r="H838" s="9" t="s">
        <v>25</v>
      </c>
      <c r="I838" s="9" t="s">
        <v>34</v>
      </c>
      <c r="J838" s="10"/>
      <c r="K838" s="7"/>
      <c r="L838" s="7"/>
      <c r="M838" s="7"/>
      <c r="N838" s="7"/>
      <c r="O838" s="7"/>
    </row>
    <row r="839" ht="22.5" hidden="1" customHeight="1">
      <c r="A839" s="8">
        <v>45776.345133229166</v>
      </c>
      <c r="B839" s="9"/>
      <c r="C839" s="9" t="s">
        <v>110</v>
      </c>
      <c r="D839" s="9" t="s">
        <v>102</v>
      </c>
      <c r="E839" s="9" t="s">
        <v>17</v>
      </c>
      <c r="F839" s="9" t="s">
        <v>17</v>
      </c>
      <c r="G839" s="9" t="s">
        <v>40</v>
      </c>
      <c r="H839" s="9" t="s">
        <v>17</v>
      </c>
      <c r="I839" s="9" t="s">
        <v>70</v>
      </c>
      <c r="J839" s="10"/>
      <c r="K839" s="7"/>
      <c r="L839" s="7"/>
      <c r="M839" s="7"/>
      <c r="N839" s="7"/>
      <c r="O839" s="7"/>
    </row>
    <row r="840" ht="22.5" hidden="1" customHeight="1">
      <c r="A840" s="8">
        <v>45776.345676944446</v>
      </c>
      <c r="B840" s="9"/>
      <c r="C840" s="9" t="s">
        <v>110</v>
      </c>
      <c r="D840" s="9" t="s">
        <v>277</v>
      </c>
      <c r="E840" s="9" t="s">
        <v>46</v>
      </c>
      <c r="F840" s="9" t="s">
        <v>17</v>
      </c>
      <c r="G840" s="9" t="s">
        <v>24</v>
      </c>
      <c r="H840" s="9" t="s">
        <v>17</v>
      </c>
      <c r="I840" s="9" t="s">
        <v>20</v>
      </c>
      <c r="J840" s="10"/>
      <c r="K840" s="7"/>
      <c r="L840" s="7"/>
      <c r="M840" s="7"/>
      <c r="N840" s="7"/>
      <c r="O840" s="7"/>
    </row>
    <row r="841" ht="22.5" hidden="1" customHeight="1">
      <c r="A841" s="8">
        <v>45776.34588887732</v>
      </c>
      <c r="B841" s="9"/>
      <c r="C841" s="9" t="s">
        <v>110</v>
      </c>
      <c r="D841" s="9" t="s">
        <v>206</v>
      </c>
      <c r="E841" s="9" t="s">
        <v>17</v>
      </c>
      <c r="F841" s="9" t="s">
        <v>17</v>
      </c>
      <c r="G841" s="9" t="s">
        <v>19</v>
      </c>
      <c r="H841" s="9" t="s">
        <v>17</v>
      </c>
      <c r="I841" s="9" t="s">
        <v>20</v>
      </c>
      <c r="J841" s="10"/>
      <c r="K841" s="7"/>
      <c r="L841" s="7"/>
      <c r="M841" s="7"/>
      <c r="N841" s="7"/>
      <c r="O841" s="7"/>
    </row>
    <row r="842" ht="22.5" hidden="1" customHeight="1">
      <c r="A842" s="8">
        <v>45776.34633758102</v>
      </c>
      <c r="B842" s="9"/>
      <c r="C842" s="9" t="s">
        <v>110</v>
      </c>
      <c r="D842" s="9" t="s">
        <v>230</v>
      </c>
      <c r="E842" s="9" t="s">
        <v>17</v>
      </c>
      <c r="F842" s="9" t="s">
        <v>17</v>
      </c>
      <c r="G842" s="9" t="s">
        <v>24</v>
      </c>
      <c r="H842" s="9" t="s">
        <v>25</v>
      </c>
      <c r="I842" s="9" t="s">
        <v>20</v>
      </c>
      <c r="J842" s="10"/>
      <c r="K842" s="7"/>
      <c r="L842" s="7"/>
      <c r="M842" s="7"/>
      <c r="N842" s="7"/>
      <c r="O842" s="7"/>
    </row>
    <row r="843" ht="22.5" hidden="1" customHeight="1">
      <c r="A843" s="8">
        <v>45776.346615358794</v>
      </c>
      <c r="B843" s="9"/>
      <c r="C843" s="9" t="s">
        <v>110</v>
      </c>
      <c r="D843" s="9" t="s">
        <v>192</v>
      </c>
      <c r="E843" s="9" t="s">
        <v>17</v>
      </c>
      <c r="F843" s="9" t="s">
        <v>17</v>
      </c>
      <c r="G843" s="9" t="s">
        <v>24</v>
      </c>
      <c r="H843" s="9" t="s">
        <v>17</v>
      </c>
      <c r="I843" s="9" t="s">
        <v>273</v>
      </c>
      <c r="J843" s="10"/>
      <c r="K843" s="7"/>
      <c r="L843" s="7"/>
      <c r="M843" s="7"/>
      <c r="N843" s="7"/>
      <c r="O843" s="7"/>
    </row>
    <row r="844" ht="22.5" hidden="1" customHeight="1">
      <c r="A844" s="8">
        <v>45776.34685238426</v>
      </c>
      <c r="B844" s="9"/>
      <c r="C844" s="9" t="s">
        <v>110</v>
      </c>
      <c r="D844" s="9" t="s">
        <v>250</v>
      </c>
      <c r="E844" s="9" t="s">
        <v>17</v>
      </c>
      <c r="F844" s="9" t="s">
        <v>17</v>
      </c>
      <c r="G844" s="9" t="s">
        <v>24</v>
      </c>
      <c r="H844" s="9" t="s">
        <v>17</v>
      </c>
      <c r="I844" s="9" t="s">
        <v>20</v>
      </c>
      <c r="J844" s="10"/>
      <c r="K844" s="7"/>
      <c r="L844" s="7"/>
      <c r="M844" s="7"/>
      <c r="N844" s="7"/>
      <c r="O844" s="7"/>
    </row>
    <row r="845" ht="22.5" hidden="1" customHeight="1">
      <c r="A845" s="8">
        <v>45776.347197442126</v>
      </c>
      <c r="B845" s="9"/>
      <c r="C845" s="9" t="s">
        <v>110</v>
      </c>
      <c r="D845" s="9" t="s">
        <v>227</v>
      </c>
      <c r="E845" s="9" t="s">
        <v>17</v>
      </c>
      <c r="F845" s="9" t="s">
        <v>17</v>
      </c>
      <c r="G845" s="9" t="s">
        <v>24</v>
      </c>
      <c r="H845" s="9" t="s">
        <v>17</v>
      </c>
      <c r="I845" s="9" t="s">
        <v>20</v>
      </c>
      <c r="J845" s="10"/>
      <c r="K845" s="7"/>
      <c r="L845" s="7"/>
      <c r="M845" s="7"/>
      <c r="N845" s="7"/>
      <c r="O845" s="7"/>
    </row>
    <row r="846" ht="22.5" hidden="1" customHeight="1">
      <c r="A846" s="8">
        <v>45776.34749431713</v>
      </c>
      <c r="B846" s="9"/>
      <c r="C846" s="9" t="s">
        <v>110</v>
      </c>
      <c r="D846" s="9" t="s">
        <v>51</v>
      </c>
      <c r="E846" s="9" t="s">
        <v>17</v>
      </c>
      <c r="F846" s="9" t="s">
        <v>17</v>
      </c>
      <c r="G846" s="9" t="s">
        <v>24</v>
      </c>
      <c r="H846" s="9" t="s">
        <v>17</v>
      </c>
      <c r="I846" s="9" t="s">
        <v>20</v>
      </c>
      <c r="J846" s="10"/>
      <c r="K846" s="7"/>
      <c r="L846" s="7"/>
      <c r="M846" s="7"/>
      <c r="N846" s="7"/>
      <c r="O846" s="7"/>
    </row>
    <row r="847" ht="22.5" hidden="1" customHeight="1">
      <c r="A847" s="8">
        <v>45776.34830924768</v>
      </c>
      <c r="B847" s="9"/>
      <c r="C847" s="9" t="s">
        <v>110</v>
      </c>
      <c r="D847" s="9" t="s">
        <v>23</v>
      </c>
      <c r="E847" s="9" t="s">
        <v>46</v>
      </c>
      <c r="F847" s="9" t="s">
        <v>17</v>
      </c>
      <c r="G847" s="9" t="s">
        <v>24</v>
      </c>
      <c r="H847" s="9" t="s">
        <v>17</v>
      </c>
      <c r="I847" s="9" t="s">
        <v>28</v>
      </c>
      <c r="J847" s="10"/>
      <c r="K847" s="7"/>
      <c r="L847" s="7"/>
      <c r="M847" s="7"/>
      <c r="N847" s="7"/>
      <c r="O847" s="7"/>
    </row>
    <row r="848" ht="22.5" hidden="1" customHeight="1">
      <c r="A848" s="8">
        <v>45776.349051400466</v>
      </c>
      <c r="B848" s="9"/>
      <c r="C848" s="9" t="s">
        <v>110</v>
      </c>
      <c r="D848" s="9" t="s">
        <v>107</v>
      </c>
      <c r="E848" s="9" t="s">
        <v>17</v>
      </c>
      <c r="F848" s="9" t="s">
        <v>17</v>
      </c>
      <c r="G848" s="9" t="s">
        <v>24</v>
      </c>
      <c r="H848" s="9" t="s">
        <v>25</v>
      </c>
      <c r="I848" s="9" t="s">
        <v>311</v>
      </c>
      <c r="J848" s="10"/>
      <c r="K848" s="7"/>
      <c r="L848" s="7"/>
      <c r="M848" s="7"/>
      <c r="N848" s="7"/>
      <c r="O848" s="7"/>
    </row>
    <row r="849" ht="22.5" hidden="1" customHeight="1">
      <c r="A849" s="8">
        <v>45776.34947021991</v>
      </c>
      <c r="B849" s="9"/>
      <c r="C849" s="9" t="s">
        <v>110</v>
      </c>
      <c r="D849" s="9" t="s">
        <v>260</v>
      </c>
      <c r="E849" s="9" t="s">
        <v>17</v>
      </c>
      <c r="F849" s="9" t="s">
        <v>17</v>
      </c>
      <c r="G849" s="9" t="s">
        <v>24</v>
      </c>
      <c r="H849" s="9" t="s">
        <v>17</v>
      </c>
      <c r="I849" s="9" t="s">
        <v>20</v>
      </c>
      <c r="J849" s="10"/>
      <c r="K849" s="7"/>
      <c r="L849" s="7"/>
      <c r="M849" s="7"/>
      <c r="N849" s="7"/>
      <c r="O849" s="7"/>
    </row>
    <row r="850" ht="22.5" hidden="1" customHeight="1">
      <c r="A850" s="8">
        <v>45776.34976376157</v>
      </c>
      <c r="B850" s="9"/>
      <c r="C850" s="9" t="s">
        <v>110</v>
      </c>
      <c r="D850" s="9" t="s">
        <v>132</v>
      </c>
      <c r="E850" s="9" t="s">
        <v>30</v>
      </c>
      <c r="F850" s="9" t="s">
        <v>17</v>
      </c>
      <c r="G850" s="9" t="s">
        <v>24</v>
      </c>
      <c r="H850" s="9" t="s">
        <v>17</v>
      </c>
      <c r="I850" s="9" t="s">
        <v>20</v>
      </c>
      <c r="J850" s="10"/>
      <c r="K850" s="7"/>
      <c r="L850" s="7"/>
      <c r="M850" s="7"/>
      <c r="N850" s="7"/>
      <c r="O850" s="7"/>
    </row>
    <row r="851" ht="22.5" hidden="1" customHeight="1">
      <c r="A851" s="8">
        <v>45776.3507033912</v>
      </c>
      <c r="B851" s="9"/>
      <c r="C851" s="9" t="s">
        <v>110</v>
      </c>
      <c r="D851" s="9" t="s">
        <v>27</v>
      </c>
      <c r="E851" s="9" t="s">
        <v>46</v>
      </c>
      <c r="F851" s="9" t="s">
        <v>17</v>
      </c>
      <c r="G851" s="9" t="s">
        <v>24</v>
      </c>
      <c r="H851" s="9" t="s">
        <v>25</v>
      </c>
      <c r="I851" s="9" t="s">
        <v>20</v>
      </c>
      <c r="J851" s="10"/>
      <c r="K851" s="7"/>
      <c r="L851" s="7"/>
      <c r="M851" s="7"/>
      <c r="N851" s="7"/>
      <c r="O851" s="7"/>
    </row>
    <row r="852" ht="22.5" hidden="1" customHeight="1">
      <c r="A852" s="8">
        <v>45776.3510671875</v>
      </c>
      <c r="B852" s="9"/>
      <c r="C852" s="9" t="s">
        <v>110</v>
      </c>
      <c r="D852" s="9" t="s">
        <v>21</v>
      </c>
      <c r="E852" s="9" t="s">
        <v>17</v>
      </c>
      <c r="F852" s="9" t="s">
        <v>17</v>
      </c>
      <c r="G852" s="9" t="s">
        <v>24</v>
      </c>
      <c r="H852" s="9" t="s">
        <v>17</v>
      </c>
      <c r="I852" s="9" t="s">
        <v>20</v>
      </c>
      <c r="J852" s="10"/>
      <c r="K852" s="7"/>
      <c r="L852" s="7"/>
      <c r="M852" s="7"/>
      <c r="N852" s="7"/>
      <c r="O852" s="7"/>
    </row>
    <row r="853" ht="22.5" hidden="1" customHeight="1">
      <c r="A853" s="8">
        <v>45776.35904865741</v>
      </c>
      <c r="B853" s="9"/>
      <c r="C853" s="9" t="s">
        <v>110</v>
      </c>
      <c r="D853" s="9" t="s">
        <v>109</v>
      </c>
      <c r="E853" s="9" t="s">
        <v>17</v>
      </c>
      <c r="F853" s="9" t="s">
        <v>17</v>
      </c>
      <c r="G853" s="9" t="s">
        <v>19</v>
      </c>
      <c r="H853" s="9" t="s">
        <v>17</v>
      </c>
      <c r="I853" s="9" t="s">
        <v>117</v>
      </c>
      <c r="J853" s="10"/>
      <c r="K853" s="7"/>
      <c r="L853" s="7"/>
      <c r="M853" s="7"/>
      <c r="N853" s="7"/>
      <c r="O853" s="7"/>
    </row>
    <row r="854" ht="22.5" hidden="1" customHeight="1">
      <c r="A854" s="8">
        <v>45776.3597040625</v>
      </c>
      <c r="B854" s="9"/>
      <c r="C854" s="9" t="s">
        <v>110</v>
      </c>
      <c r="D854" s="9" t="s">
        <v>133</v>
      </c>
      <c r="E854" s="9" t="s">
        <v>17</v>
      </c>
      <c r="F854" s="9" t="s">
        <v>17</v>
      </c>
      <c r="G854" s="9" t="s">
        <v>24</v>
      </c>
      <c r="H854" s="9" t="s">
        <v>25</v>
      </c>
      <c r="I854" s="9" t="s">
        <v>218</v>
      </c>
      <c r="J854" s="10"/>
      <c r="K854" s="7"/>
      <c r="L854" s="7"/>
      <c r="M854" s="7"/>
      <c r="N854" s="7"/>
      <c r="O854" s="7"/>
    </row>
    <row r="855" ht="22.5" hidden="1" customHeight="1">
      <c r="A855" s="8">
        <v>45777.33573142361</v>
      </c>
      <c r="B855" s="9"/>
      <c r="C855" s="9" t="s">
        <v>15</v>
      </c>
      <c r="D855" s="9" t="s">
        <v>268</v>
      </c>
      <c r="E855" s="9" t="s">
        <v>17</v>
      </c>
      <c r="F855" s="9" t="s">
        <v>17</v>
      </c>
      <c r="G855" s="9" t="s">
        <v>24</v>
      </c>
      <c r="H855" s="9" t="s">
        <v>25</v>
      </c>
      <c r="I855" s="9" t="s">
        <v>137</v>
      </c>
      <c r="J855" s="10"/>
      <c r="K855" s="7"/>
      <c r="L855" s="7"/>
      <c r="M855" s="7"/>
      <c r="N855" s="7"/>
      <c r="O855" s="7"/>
    </row>
    <row r="856" ht="22.5" hidden="1" customHeight="1">
      <c r="A856" s="8">
        <v>45777.336135694444</v>
      </c>
      <c r="B856" s="9"/>
      <c r="C856" s="9" t="s">
        <v>15</v>
      </c>
      <c r="D856" s="9" t="s">
        <v>127</v>
      </c>
      <c r="E856" s="9" t="s">
        <v>46</v>
      </c>
      <c r="F856" s="9" t="s">
        <v>18</v>
      </c>
      <c r="G856" s="9" t="s">
        <v>19</v>
      </c>
      <c r="H856" s="9" t="s">
        <v>17</v>
      </c>
      <c r="I856" s="9" t="s">
        <v>20</v>
      </c>
      <c r="J856" s="10"/>
      <c r="K856" s="7"/>
      <c r="L856" s="7"/>
      <c r="M856" s="7"/>
      <c r="N856" s="7"/>
      <c r="O856" s="7"/>
    </row>
    <row r="857" ht="22.5" hidden="1" customHeight="1">
      <c r="A857" s="8">
        <v>45777.33647659722</v>
      </c>
      <c r="B857" s="9"/>
      <c r="C857" s="9" t="s">
        <v>15</v>
      </c>
      <c r="D857" s="9" t="s">
        <v>243</v>
      </c>
      <c r="E857" s="9" t="s">
        <v>17</v>
      </c>
      <c r="F857" s="9" t="s">
        <v>17</v>
      </c>
      <c r="G857" s="9" t="s">
        <v>24</v>
      </c>
      <c r="H857" s="9" t="s">
        <v>25</v>
      </c>
      <c r="I857" s="9" t="s">
        <v>34</v>
      </c>
      <c r="J857" s="10"/>
      <c r="K857" s="7"/>
      <c r="L857" s="7"/>
      <c r="M857" s="7"/>
      <c r="N857" s="7"/>
      <c r="O857" s="7"/>
    </row>
    <row r="858" ht="22.5" hidden="1" customHeight="1">
      <c r="A858" s="8">
        <v>45777.33686681713</v>
      </c>
      <c r="B858" s="9"/>
      <c r="C858" s="9" t="s">
        <v>15</v>
      </c>
      <c r="D858" s="9" t="s">
        <v>230</v>
      </c>
      <c r="E858" s="9" t="s">
        <v>17</v>
      </c>
      <c r="F858" s="9" t="s">
        <v>18</v>
      </c>
      <c r="G858" s="9" t="s">
        <v>24</v>
      </c>
      <c r="H858" s="9" t="s">
        <v>17</v>
      </c>
      <c r="I858" s="9" t="s">
        <v>20</v>
      </c>
      <c r="J858" s="10"/>
      <c r="K858" s="7"/>
      <c r="L858" s="7"/>
      <c r="M858" s="7"/>
      <c r="N858" s="7"/>
      <c r="O858" s="7"/>
    </row>
    <row r="859" ht="22.5" hidden="1" customHeight="1">
      <c r="A859" s="8">
        <v>45777.337348298606</v>
      </c>
      <c r="B859" s="9"/>
      <c r="C859" s="9" t="s">
        <v>15</v>
      </c>
      <c r="D859" s="9" t="s">
        <v>133</v>
      </c>
      <c r="E859" s="9" t="s">
        <v>17</v>
      </c>
      <c r="F859" s="9" t="s">
        <v>17</v>
      </c>
      <c r="G859" s="9" t="s">
        <v>24</v>
      </c>
      <c r="H859" s="9" t="s">
        <v>25</v>
      </c>
      <c r="I859" s="9" t="s">
        <v>218</v>
      </c>
      <c r="J859" s="10"/>
      <c r="K859" s="7"/>
      <c r="L859" s="7"/>
      <c r="M859" s="7"/>
      <c r="N859" s="7"/>
      <c r="O859" s="7"/>
    </row>
    <row r="860" ht="22.5" hidden="1" customHeight="1">
      <c r="A860" s="8">
        <v>45777.33781900463</v>
      </c>
      <c r="B860" s="9"/>
      <c r="C860" s="9" t="s">
        <v>15</v>
      </c>
      <c r="D860" s="9" t="s">
        <v>235</v>
      </c>
      <c r="E860" s="9" t="s">
        <v>17</v>
      </c>
      <c r="F860" s="9" t="s">
        <v>17</v>
      </c>
      <c r="G860" s="9" t="s">
        <v>24</v>
      </c>
      <c r="H860" s="9" t="s">
        <v>25</v>
      </c>
      <c r="I860" s="9" t="s">
        <v>301</v>
      </c>
      <c r="J860" s="10"/>
      <c r="K860" s="7"/>
      <c r="L860" s="7"/>
      <c r="M860" s="7"/>
      <c r="N860" s="7"/>
      <c r="O860" s="7"/>
    </row>
    <row r="861" ht="22.5" hidden="1" customHeight="1">
      <c r="A861" s="8">
        <v>45777.33812930556</v>
      </c>
      <c r="B861" s="9"/>
      <c r="C861" s="9" t="s">
        <v>15</v>
      </c>
      <c r="D861" s="9" t="s">
        <v>51</v>
      </c>
      <c r="E861" s="9" t="s">
        <v>17</v>
      </c>
      <c r="F861" s="9" t="s">
        <v>17</v>
      </c>
      <c r="G861" s="9" t="s">
        <v>24</v>
      </c>
      <c r="H861" s="9" t="s">
        <v>17</v>
      </c>
      <c r="I861" s="9" t="s">
        <v>20</v>
      </c>
      <c r="J861" s="10"/>
      <c r="K861" s="7"/>
      <c r="L861" s="7"/>
      <c r="M861" s="7"/>
      <c r="N861" s="7"/>
      <c r="O861" s="7"/>
    </row>
    <row r="862" ht="22.5" hidden="1" customHeight="1">
      <c r="A862" s="8">
        <v>45777.33924090277</v>
      </c>
      <c r="B862" s="9"/>
      <c r="C862" s="9" t="s">
        <v>15</v>
      </c>
      <c r="D862" s="9" t="s">
        <v>108</v>
      </c>
      <c r="E862" s="9" t="s">
        <v>46</v>
      </c>
      <c r="F862" s="9" t="s">
        <v>17</v>
      </c>
      <c r="G862" s="9" t="s">
        <v>24</v>
      </c>
      <c r="H862" s="9" t="s">
        <v>25</v>
      </c>
      <c r="I862" s="9" t="s">
        <v>218</v>
      </c>
      <c r="J862" s="10"/>
      <c r="K862" s="7"/>
      <c r="L862" s="7"/>
      <c r="M862" s="7"/>
      <c r="N862" s="7"/>
      <c r="O862" s="7"/>
    </row>
    <row r="863" ht="22.5" hidden="1" customHeight="1">
      <c r="A863" s="8">
        <v>45777.342491689815</v>
      </c>
      <c r="B863" s="9"/>
      <c r="C863" s="9" t="s">
        <v>15</v>
      </c>
      <c r="D863" s="9" t="s">
        <v>107</v>
      </c>
      <c r="E863" s="9" t="s">
        <v>17</v>
      </c>
      <c r="F863" s="9" t="s">
        <v>43</v>
      </c>
      <c r="G863" s="9" t="s">
        <v>19</v>
      </c>
      <c r="H863" s="9" t="s">
        <v>25</v>
      </c>
      <c r="I863" s="9" t="s">
        <v>311</v>
      </c>
      <c r="J863" s="10"/>
      <c r="K863" s="7"/>
      <c r="L863" s="7"/>
      <c r="M863" s="7"/>
      <c r="N863" s="7"/>
      <c r="O863" s="7"/>
    </row>
    <row r="864" ht="22.5" hidden="1" customHeight="1">
      <c r="A864" s="8">
        <v>45777.34306601852</v>
      </c>
      <c r="B864" s="9"/>
      <c r="C864" s="9" t="s">
        <v>15</v>
      </c>
      <c r="D864" s="9" t="s">
        <v>23</v>
      </c>
      <c r="E864" s="9" t="s">
        <v>46</v>
      </c>
      <c r="F864" s="9" t="s">
        <v>17</v>
      </c>
      <c r="G864" s="9" t="s">
        <v>24</v>
      </c>
      <c r="H864" s="9" t="s">
        <v>62</v>
      </c>
      <c r="I864" s="9" t="s">
        <v>20</v>
      </c>
      <c r="J864" s="10"/>
      <c r="K864" s="7"/>
      <c r="L864" s="7"/>
      <c r="M864" s="7"/>
      <c r="N864" s="7"/>
      <c r="O864" s="7"/>
    </row>
    <row r="865" ht="22.5" hidden="1" customHeight="1">
      <c r="A865" s="8">
        <v>45777.34338342593</v>
      </c>
      <c r="B865" s="9"/>
      <c r="C865" s="9" t="s">
        <v>15</v>
      </c>
      <c r="D865" s="9" t="s">
        <v>312</v>
      </c>
      <c r="E865" s="9" t="s">
        <v>17</v>
      </c>
      <c r="F865" s="9" t="s">
        <v>17</v>
      </c>
      <c r="G865" s="9" t="s">
        <v>24</v>
      </c>
      <c r="H865" s="9" t="s">
        <v>17</v>
      </c>
      <c r="I865" s="9" t="s">
        <v>20</v>
      </c>
      <c r="J865" s="10"/>
      <c r="K865" s="7"/>
      <c r="L865" s="7"/>
      <c r="M865" s="7"/>
      <c r="N865" s="7"/>
      <c r="O865" s="7"/>
    </row>
    <row r="866" ht="22.5" hidden="1" customHeight="1">
      <c r="A866" s="8">
        <v>45777.34356846065</v>
      </c>
      <c r="B866" s="9"/>
      <c r="C866" s="9" t="s">
        <v>15</v>
      </c>
      <c r="D866" s="9" t="s">
        <v>299</v>
      </c>
      <c r="E866" s="9" t="s">
        <v>17</v>
      </c>
      <c r="F866" s="9" t="s">
        <v>17</v>
      </c>
      <c r="G866" s="9" t="s">
        <v>24</v>
      </c>
      <c r="H866" s="9" t="s">
        <v>17</v>
      </c>
      <c r="I866" s="9" t="s">
        <v>20</v>
      </c>
      <c r="J866" s="10"/>
      <c r="K866" s="7"/>
      <c r="L866" s="7"/>
      <c r="M866" s="7"/>
      <c r="N866" s="7"/>
      <c r="O866" s="7"/>
    </row>
    <row r="867" ht="22.5" hidden="1" customHeight="1">
      <c r="A867" s="8">
        <v>45777.34406207176</v>
      </c>
      <c r="B867" s="9"/>
      <c r="C867" s="9" t="s">
        <v>15</v>
      </c>
      <c r="D867" s="9" t="s">
        <v>227</v>
      </c>
      <c r="E867" s="9" t="s">
        <v>17</v>
      </c>
      <c r="F867" s="9" t="s">
        <v>17</v>
      </c>
      <c r="G867" s="9" t="s">
        <v>24</v>
      </c>
      <c r="H867" s="9" t="s">
        <v>17</v>
      </c>
      <c r="I867" s="9" t="s">
        <v>20</v>
      </c>
      <c r="J867" s="10"/>
      <c r="K867" s="7"/>
      <c r="L867" s="7"/>
      <c r="M867" s="7"/>
      <c r="N867" s="7"/>
      <c r="O867" s="7"/>
    </row>
    <row r="868" ht="22.5" hidden="1" customHeight="1">
      <c r="A868" s="8">
        <v>45777.34485005787</v>
      </c>
      <c r="B868" s="9"/>
      <c r="C868" s="9" t="s">
        <v>15</v>
      </c>
      <c r="D868" s="9" t="s">
        <v>277</v>
      </c>
      <c r="E868" s="9" t="s">
        <v>61</v>
      </c>
      <c r="F868" s="9" t="s">
        <v>17</v>
      </c>
      <c r="G868" s="9" t="s">
        <v>24</v>
      </c>
      <c r="H868" s="9" t="s">
        <v>25</v>
      </c>
      <c r="I868" s="9" t="s">
        <v>34</v>
      </c>
      <c r="J868" s="10"/>
      <c r="K868" s="7"/>
      <c r="L868" s="7"/>
      <c r="M868" s="7"/>
      <c r="N868" s="7"/>
      <c r="O868" s="7"/>
    </row>
    <row r="869" ht="22.5" hidden="1" customHeight="1">
      <c r="A869" s="8">
        <v>45777.34531693287</v>
      </c>
      <c r="B869" s="9"/>
      <c r="C869" s="9" t="s">
        <v>15</v>
      </c>
      <c r="D869" s="9" t="s">
        <v>250</v>
      </c>
      <c r="E869" s="9" t="s">
        <v>17</v>
      </c>
      <c r="F869" s="9" t="s">
        <v>17</v>
      </c>
      <c r="G869" s="9" t="s">
        <v>24</v>
      </c>
      <c r="H869" s="9" t="s">
        <v>25</v>
      </c>
      <c r="I869" s="9" t="s">
        <v>50</v>
      </c>
      <c r="J869" s="10"/>
      <c r="K869" s="7"/>
      <c r="L869" s="7"/>
      <c r="M869" s="7"/>
      <c r="N869" s="7"/>
      <c r="O869" s="7"/>
    </row>
    <row r="870" ht="22.5" hidden="1" customHeight="1">
      <c r="A870" s="8">
        <v>45777.345575960644</v>
      </c>
      <c r="B870" s="9"/>
      <c r="C870" s="9" t="s">
        <v>15</v>
      </c>
      <c r="D870" s="9" t="s">
        <v>192</v>
      </c>
      <c r="E870" s="9" t="s">
        <v>17</v>
      </c>
      <c r="F870" s="9" t="s">
        <v>17</v>
      </c>
      <c r="G870" s="9" t="s">
        <v>24</v>
      </c>
      <c r="H870" s="9" t="s">
        <v>25</v>
      </c>
      <c r="I870" s="9" t="s">
        <v>273</v>
      </c>
      <c r="J870" s="10"/>
      <c r="K870" s="7"/>
      <c r="L870" s="7"/>
      <c r="M870" s="7"/>
      <c r="N870" s="7"/>
      <c r="O870" s="7"/>
    </row>
    <row r="871" ht="22.5" hidden="1" customHeight="1">
      <c r="A871" s="8">
        <v>45777.35128986111</v>
      </c>
      <c r="B871" s="9"/>
      <c r="C871" s="9" t="s">
        <v>15</v>
      </c>
      <c r="D871" s="9" t="s">
        <v>249</v>
      </c>
      <c r="E871" s="9" t="s">
        <v>17</v>
      </c>
      <c r="F871" s="9" t="s">
        <v>17</v>
      </c>
      <c r="G871" s="9" t="s">
        <v>24</v>
      </c>
      <c r="H871" s="9" t="s">
        <v>17</v>
      </c>
      <c r="I871" s="9" t="s">
        <v>20</v>
      </c>
      <c r="J871" s="10"/>
      <c r="K871" s="7"/>
      <c r="L871" s="7"/>
      <c r="M871" s="7"/>
      <c r="N871" s="7"/>
      <c r="O871" s="7"/>
    </row>
    <row r="872" ht="22.5" hidden="1" customHeight="1">
      <c r="A872" s="8">
        <v>45777.35163445602</v>
      </c>
      <c r="B872" s="9"/>
      <c r="C872" s="9" t="s">
        <v>15</v>
      </c>
      <c r="D872" s="9" t="s">
        <v>132</v>
      </c>
      <c r="E872" s="9" t="s">
        <v>30</v>
      </c>
      <c r="F872" s="9" t="s">
        <v>17</v>
      </c>
      <c r="G872" s="9" t="s">
        <v>24</v>
      </c>
      <c r="H872" s="9" t="s">
        <v>22</v>
      </c>
      <c r="I872" s="9" t="s">
        <v>20</v>
      </c>
      <c r="J872" s="10"/>
      <c r="K872" s="7"/>
      <c r="L872" s="7"/>
      <c r="M872" s="7"/>
      <c r="N872" s="7"/>
      <c r="O872" s="7"/>
    </row>
    <row r="873" ht="22.5" hidden="1" customHeight="1">
      <c r="A873" s="8">
        <v>45777.35573728009</v>
      </c>
      <c r="B873" s="9"/>
      <c r="C873" s="9" t="s">
        <v>15</v>
      </c>
      <c r="D873" s="9" t="s">
        <v>27</v>
      </c>
      <c r="E873" s="9" t="s">
        <v>17</v>
      </c>
      <c r="F873" s="9" t="s">
        <v>17</v>
      </c>
      <c r="G873" s="9" t="s">
        <v>24</v>
      </c>
      <c r="H873" s="9" t="s">
        <v>17</v>
      </c>
      <c r="I873" s="9" t="s">
        <v>20</v>
      </c>
      <c r="J873" s="10"/>
      <c r="K873" s="7"/>
      <c r="L873" s="7"/>
      <c r="M873" s="7"/>
      <c r="N873" s="7"/>
      <c r="O873" s="7"/>
    </row>
    <row r="874" ht="22.5" hidden="1" customHeight="1">
      <c r="A874" s="8">
        <v>45777.35967689815</v>
      </c>
      <c r="B874" s="9"/>
      <c r="C874" s="9" t="s">
        <v>15</v>
      </c>
      <c r="D874" s="9" t="s">
        <v>102</v>
      </c>
      <c r="E874" s="9" t="s">
        <v>46</v>
      </c>
      <c r="F874" s="9" t="s">
        <v>17</v>
      </c>
      <c r="G874" s="9" t="s">
        <v>24</v>
      </c>
      <c r="H874" s="9" t="s">
        <v>25</v>
      </c>
      <c r="I874" s="9" t="s">
        <v>313</v>
      </c>
      <c r="J874" s="10"/>
      <c r="K874" s="7"/>
      <c r="L874" s="7"/>
      <c r="M874" s="7"/>
      <c r="N874" s="7"/>
      <c r="O874" s="7"/>
    </row>
    <row r="875" ht="22.5" hidden="1" customHeight="1">
      <c r="A875" s="8">
        <v>45777.360535810185</v>
      </c>
      <c r="B875" s="9"/>
      <c r="C875" s="9" t="s">
        <v>15</v>
      </c>
      <c r="D875" s="9" t="s">
        <v>109</v>
      </c>
      <c r="E875" s="9" t="s">
        <v>61</v>
      </c>
      <c r="F875" s="9" t="s">
        <v>18</v>
      </c>
      <c r="G875" s="9" t="s">
        <v>24</v>
      </c>
      <c r="H875" s="9" t="s">
        <v>62</v>
      </c>
      <c r="I875" s="9" t="s">
        <v>20</v>
      </c>
      <c r="J875" s="10"/>
      <c r="K875" s="7"/>
      <c r="L875" s="7"/>
      <c r="M875" s="7"/>
      <c r="N875" s="7"/>
      <c r="O875" s="7"/>
    </row>
    <row r="876" ht="22.5" hidden="1" customHeight="1">
      <c r="A876" s="8">
        <v>45777.36242491898</v>
      </c>
      <c r="B876" s="9"/>
      <c r="C876" s="9" t="s">
        <v>15</v>
      </c>
      <c r="D876" s="9" t="s">
        <v>206</v>
      </c>
      <c r="E876" s="9" t="s">
        <v>17</v>
      </c>
      <c r="F876" s="9" t="s">
        <v>17</v>
      </c>
      <c r="G876" s="9" t="s">
        <v>24</v>
      </c>
      <c r="H876" s="9" t="s">
        <v>17</v>
      </c>
      <c r="I876" s="9" t="s">
        <v>20</v>
      </c>
      <c r="J876" s="10"/>
      <c r="K876" s="7"/>
      <c r="L876" s="7"/>
      <c r="M876" s="7"/>
      <c r="N876" s="7"/>
      <c r="O876" s="7"/>
    </row>
    <row r="877" ht="22.5" hidden="1" customHeight="1">
      <c r="A877" s="8">
        <v>45778.338495104166</v>
      </c>
      <c r="B877" s="9"/>
      <c r="C877" s="9" t="s">
        <v>31</v>
      </c>
      <c r="D877" s="9" t="s">
        <v>127</v>
      </c>
      <c r="E877" s="9" t="s">
        <v>17</v>
      </c>
      <c r="F877" s="9" t="s">
        <v>17</v>
      </c>
      <c r="G877" s="9" t="s">
        <v>24</v>
      </c>
      <c r="H877" s="9" t="s">
        <v>17</v>
      </c>
      <c r="I877" s="9" t="s">
        <v>20</v>
      </c>
      <c r="J877" s="10"/>
      <c r="K877" s="7"/>
      <c r="L877" s="7"/>
      <c r="M877" s="7"/>
      <c r="N877" s="7"/>
      <c r="O877" s="7"/>
    </row>
    <row r="878" ht="22.5" hidden="1" customHeight="1">
      <c r="A878" s="8">
        <v>45778.33875739583</v>
      </c>
      <c r="B878" s="9"/>
      <c r="C878" s="9" t="s">
        <v>31</v>
      </c>
      <c r="D878" s="9" t="s">
        <v>51</v>
      </c>
      <c r="E878" s="9" t="s">
        <v>17</v>
      </c>
      <c r="F878" s="9" t="s">
        <v>17</v>
      </c>
      <c r="G878" s="9" t="s">
        <v>24</v>
      </c>
      <c r="H878" s="9" t="s">
        <v>17</v>
      </c>
      <c r="I878" s="9" t="s">
        <v>20</v>
      </c>
      <c r="J878" s="10"/>
      <c r="K878" s="7"/>
      <c r="L878" s="7"/>
      <c r="M878" s="7"/>
      <c r="N878" s="7"/>
      <c r="O878" s="7"/>
    </row>
    <row r="879" ht="22.5" hidden="1" customHeight="1">
      <c r="A879" s="8">
        <v>45778.339060115744</v>
      </c>
      <c r="B879" s="9"/>
      <c r="C879" s="9" t="s">
        <v>31</v>
      </c>
      <c r="D879" s="9" t="s">
        <v>243</v>
      </c>
      <c r="E879" s="9" t="s">
        <v>17</v>
      </c>
      <c r="F879" s="9" t="s">
        <v>17</v>
      </c>
      <c r="G879" s="9" t="s">
        <v>24</v>
      </c>
      <c r="H879" s="9" t="s">
        <v>17</v>
      </c>
      <c r="I879" s="9" t="s">
        <v>34</v>
      </c>
      <c r="J879" s="10"/>
      <c r="K879" s="7"/>
      <c r="L879" s="7"/>
      <c r="M879" s="7"/>
      <c r="N879" s="7"/>
      <c r="O879" s="7"/>
    </row>
    <row r="880" ht="22.5" hidden="1" customHeight="1">
      <c r="A880" s="8">
        <v>45778.339736064816</v>
      </c>
      <c r="B880" s="9"/>
      <c r="C880" s="9" t="s">
        <v>31</v>
      </c>
      <c r="D880" s="9" t="s">
        <v>235</v>
      </c>
      <c r="E880" s="9" t="s">
        <v>17</v>
      </c>
      <c r="F880" s="9" t="s">
        <v>17</v>
      </c>
      <c r="G880" s="9" t="s">
        <v>24</v>
      </c>
      <c r="H880" s="9" t="s">
        <v>17</v>
      </c>
      <c r="I880" s="9" t="s">
        <v>301</v>
      </c>
      <c r="J880" s="10"/>
      <c r="K880" s="7"/>
      <c r="L880" s="7"/>
      <c r="M880" s="7"/>
      <c r="N880" s="7"/>
      <c r="O880" s="7"/>
    </row>
    <row r="881" ht="22.5" hidden="1" customHeight="1">
      <c r="A881" s="8">
        <v>45778.340079131944</v>
      </c>
      <c r="B881" s="9"/>
      <c r="C881" s="9" t="s">
        <v>31</v>
      </c>
      <c r="D881" s="9" t="s">
        <v>268</v>
      </c>
      <c r="E881" s="9" t="s">
        <v>17</v>
      </c>
      <c r="F881" s="9" t="s">
        <v>17</v>
      </c>
      <c r="G881" s="9" t="s">
        <v>24</v>
      </c>
      <c r="H881" s="9" t="s">
        <v>25</v>
      </c>
      <c r="I881" s="9" t="s">
        <v>137</v>
      </c>
      <c r="J881" s="10"/>
      <c r="K881" s="7"/>
      <c r="L881" s="7"/>
      <c r="M881" s="7"/>
      <c r="N881" s="7"/>
      <c r="O881" s="7"/>
    </row>
    <row r="882" ht="22.5" hidden="1" customHeight="1">
      <c r="A882" s="8">
        <v>45778.34179361111</v>
      </c>
      <c r="B882" s="9"/>
      <c r="C882" s="9" t="s">
        <v>31</v>
      </c>
      <c r="D882" s="9" t="s">
        <v>133</v>
      </c>
      <c r="E882" s="9" t="s">
        <v>17</v>
      </c>
      <c r="F882" s="9" t="s">
        <v>17</v>
      </c>
      <c r="G882" s="9" t="s">
        <v>24</v>
      </c>
      <c r="H882" s="9" t="s">
        <v>25</v>
      </c>
      <c r="I882" s="9" t="s">
        <v>218</v>
      </c>
      <c r="J882" s="10"/>
      <c r="K882" s="7"/>
      <c r="L882" s="7"/>
      <c r="M882" s="7"/>
      <c r="N882" s="7"/>
      <c r="O882" s="7"/>
    </row>
    <row r="883" ht="22.5" hidden="1" customHeight="1">
      <c r="A883" s="8">
        <v>45778.342434756945</v>
      </c>
      <c r="B883" s="9"/>
      <c r="C883" s="9" t="s">
        <v>31</v>
      </c>
      <c r="D883" s="9" t="s">
        <v>102</v>
      </c>
      <c r="E883" s="9" t="s">
        <v>46</v>
      </c>
      <c r="F883" s="9" t="s">
        <v>17</v>
      </c>
      <c r="G883" s="9" t="s">
        <v>24</v>
      </c>
      <c r="H883" s="9" t="s">
        <v>25</v>
      </c>
      <c r="I883" s="9" t="s">
        <v>314</v>
      </c>
      <c r="J883" s="10"/>
      <c r="K883" s="7"/>
      <c r="L883" s="7"/>
      <c r="M883" s="7"/>
      <c r="N883" s="7"/>
      <c r="O883" s="7"/>
    </row>
    <row r="884" ht="22.5" hidden="1" customHeight="1">
      <c r="A884" s="8">
        <v>45778.342907384256</v>
      </c>
      <c r="B884" s="9"/>
      <c r="C884" s="9" t="s">
        <v>31</v>
      </c>
      <c r="D884" s="9" t="s">
        <v>108</v>
      </c>
      <c r="E884" s="9" t="s">
        <v>17</v>
      </c>
      <c r="F884" s="9" t="s">
        <v>17</v>
      </c>
      <c r="G884" s="9" t="s">
        <v>24</v>
      </c>
      <c r="H884" s="9" t="s">
        <v>25</v>
      </c>
      <c r="I884" s="9" t="s">
        <v>218</v>
      </c>
      <c r="J884" s="10"/>
      <c r="K884" s="7"/>
      <c r="L884" s="7"/>
      <c r="M884" s="7"/>
      <c r="N884" s="7"/>
      <c r="O884" s="7"/>
    </row>
    <row r="885" ht="22.5" hidden="1" customHeight="1">
      <c r="A885" s="8">
        <v>45778.34745208333</v>
      </c>
      <c r="B885" s="9"/>
      <c r="C885" s="9" t="s">
        <v>31</v>
      </c>
      <c r="D885" s="9" t="s">
        <v>227</v>
      </c>
      <c r="E885" s="9" t="s">
        <v>17</v>
      </c>
      <c r="F885" s="9" t="s">
        <v>17</v>
      </c>
      <c r="G885" s="9" t="s">
        <v>24</v>
      </c>
      <c r="H885" s="9" t="s">
        <v>17</v>
      </c>
      <c r="I885" s="9" t="s">
        <v>20</v>
      </c>
      <c r="J885" s="10"/>
      <c r="K885" s="7"/>
      <c r="L885" s="7"/>
      <c r="M885" s="7"/>
      <c r="N885" s="7"/>
      <c r="O885" s="7"/>
    </row>
    <row r="886" ht="22.5" hidden="1" customHeight="1">
      <c r="A886" s="8">
        <v>45778.34774229166</v>
      </c>
      <c r="B886" s="9"/>
      <c r="C886" s="9" t="s">
        <v>31</v>
      </c>
      <c r="D886" s="9" t="s">
        <v>21</v>
      </c>
      <c r="E886" s="9" t="s">
        <v>17</v>
      </c>
      <c r="F886" s="9" t="s">
        <v>17</v>
      </c>
      <c r="G886" s="9" t="s">
        <v>24</v>
      </c>
      <c r="H886" s="9" t="s">
        <v>17</v>
      </c>
      <c r="I886" s="9" t="s">
        <v>20</v>
      </c>
      <c r="J886" s="10"/>
      <c r="K886" s="7"/>
      <c r="L886" s="7"/>
      <c r="M886" s="7"/>
      <c r="N886" s="7"/>
      <c r="O886" s="7"/>
    </row>
    <row r="887" ht="22.5" hidden="1" customHeight="1">
      <c r="A887" s="8">
        <v>45778.3480075</v>
      </c>
      <c r="B887" s="9"/>
      <c r="C887" s="9" t="s">
        <v>31</v>
      </c>
      <c r="D887" s="9" t="s">
        <v>23</v>
      </c>
      <c r="E887" s="9" t="s">
        <v>17</v>
      </c>
      <c r="F887" s="9" t="s">
        <v>17</v>
      </c>
      <c r="G887" s="9" t="s">
        <v>24</v>
      </c>
      <c r="H887" s="9" t="s">
        <v>62</v>
      </c>
      <c r="I887" s="9" t="s">
        <v>20</v>
      </c>
      <c r="J887" s="10"/>
      <c r="K887" s="7"/>
      <c r="L887" s="7"/>
      <c r="M887" s="7"/>
      <c r="N887" s="7"/>
      <c r="O887" s="7"/>
    </row>
    <row r="888" ht="22.5" hidden="1" customHeight="1">
      <c r="A888" s="8">
        <v>45778.34834972222</v>
      </c>
      <c r="B888" s="9"/>
      <c r="C888" s="9" t="s">
        <v>31</v>
      </c>
      <c r="D888" s="9" t="s">
        <v>260</v>
      </c>
      <c r="E888" s="9" t="s">
        <v>17</v>
      </c>
      <c r="F888" s="9" t="s">
        <v>17</v>
      </c>
      <c r="G888" s="9" t="s">
        <v>19</v>
      </c>
      <c r="H888" s="9" t="s">
        <v>17</v>
      </c>
      <c r="I888" s="9" t="s">
        <v>20</v>
      </c>
      <c r="J888" s="10"/>
      <c r="K888" s="7"/>
      <c r="L888" s="7"/>
      <c r="M888" s="7"/>
      <c r="N888" s="7"/>
      <c r="O888" s="7"/>
    </row>
    <row r="889" ht="22.5" hidden="1" customHeight="1">
      <c r="A889" s="8">
        <v>45778.34864466435</v>
      </c>
      <c r="B889" s="9"/>
      <c r="C889" s="9" t="s">
        <v>31</v>
      </c>
      <c r="D889" s="9" t="s">
        <v>132</v>
      </c>
      <c r="E889" s="9" t="s">
        <v>30</v>
      </c>
      <c r="F889" s="9" t="s">
        <v>18</v>
      </c>
      <c r="G889" s="9" t="s">
        <v>24</v>
      </c>
      <c r="H889" s="9" t="s">
        <v>22</v>
      </c>
      <c r="I889" s="9" t="s">
        <v>20</v>
      </c>
      <c r="J889" s="10"/>
      <c r="K889" s="7"/>
      <c r="L889" s="7"/>
      <c r="M889" s="7"/>
      <c r="N889" s="7"/>
      <c r="O889" s="7"/>
    </row>
    <row r="890" ht="22.5" hidden="1" customHeight="1">
      <c r="A890" s="8">
        <v>45778.349210810185</v>
      </c>
      <c r="B890" s="9"/>
      <c r="C890" s="9" t="s">
        <v>31</v>
      </c>
      <c r="D890" s="9" t="s">
        <v>192</v>
      </c>
      <c r="E890" s="9" t="s">
        <v>17</v>
      </c>
      <c r="F890" s="9" t="s">
        <v>17</v>
      </c>
      <c r="G890" s="9" t="s">
        <v>24</v>
      </c>
      <c r="H890" s="9" t="s">
        <v>17</v>
      </c>
      <c r="I890" s="9" t="s">
        <v>273</v>
      </c>
      <c r="J890" s="10"/>
      <c r="K890" s="7"/>
      <c r="L890" s="7"/>
      <c r="M890" s="7"/>
      <c r="N890" s="7"/>
      <c r="O890" s="7"/>
    </row>
    <row r="891" ht="22.5" hidden="1" customHeight="1">
      <c r="A891" s="8">
        <v>45778.350916689815</v>
      </c>
      <c r="B891" s="9"/>
      <c r="C891" s="9" t="s">
        <v>31</v>
      </c>
      <c r="D891" s="9" t="s">
        <v>107</v>
      </c>
      <c r="E891" s="9" t="s">
        <v>17</v>
      </c>
      <c r="F891" s="9" t="s">
        <v>35</v>
      </c>
      <c r="G891" s="9" t="s">
        <v>19</v>
      </c>
      <c r="H891" s="9" t="s">
        <v>25</v>
      </c>
      <c r="I891" s="9" t="s">
        <v>311</v>
      </c>
      <c r="J891" s="10"/>
      <c r="K891" s="7"/>
      <c r="L891" s="7"/>
      <c r="M891" s="7"/>
      <c r="N891" s="7"/>
      <c r="O891" s="7"/>
    </row>
    <row r="892" ht="22.5" hidden="1" customHeight="1">
      <c r="A892" s="8">
        <v>45778.3517628125</v>
      </c>
      <c r="B892" s="9"/>
      <c r="C892" s="9" t="s">
        <v>31</v>
      </c>
      <c r="D892" s="9" t="s">
        <v>315</v>
      </c>
      <c r="E892" s="9" t="s">
        <v>17</v>
      </c>
      <c r="F892" s="9" t="s">
        <v>17</v>
      </c>
      <c r="G892" s="9" t="s">
        <v>24</v>
      </c>
      <c r="H892" s="9" t="s">
        <v>25</v>
      </c>
      <c r="I892" s="9" t="s">
        <v>67</v>
      </c>
      <c r="J892" s="10"/>
      <c r="K892" s="7"/>
      <c r="L892" s="7"/>
      <c r="M892" s="7"/>
      <c r="N892" s="7"/>
      <c r="O892" s="7"/>
    </row>
    <row r="893" ht="22.5" hidden="1" customHeight="1">
      <c r="A893" s="8">
        <v>45778.35266695602</v>
      </c>
      <c r="B893" s="9"/>
      <c r="C893" s="9" t="s">
        <v>31</v>
      </c>
      <c r="D893" s="9" t="s">
        <v>277</v>
      </c>
      <c r="E893" s="9" t="s">
        <v>17</v>
      </c>
      <c r="F893" s="9" t="s">
        <v>17</v>
      </c>
      <c r="G893" s="9" t="s">
        <v>24</v>
      </c>
      <c r="H893" s="9" t="s">
        <v>25</v>
      </c>
      <c r="I893" s="9" t="s">
        <v>50</v>
      </c>
      <c r="J893" s="10"/>
      <c r="K893" s="7"/>
      <c r="L893" s="7"/>
      <c r="M893" s="7"/>
      <c r="N893" s="7"/>
      <c r="O893" s="7"/>
    </row>
    <row r="894" ht="22.5" hidden="1" customHeight="1">
      <c r="A894" s="8">
        <v>45778.353692453704</v>
      </c>
      <c r="B894" s="9"/>
      <c r="C894" s="9" t="s">
        <v>31</v>
      </c>
      <c r="D894" s="9" t="s">
        <v>27</v>
      </c>
      <c r="E894" s="9" t="s">
        <v>17</v>
      </c>
      <c r="F894" s="9" t="s">
        <v>17</v>
      </c>
      <c r="G894" s="9" t="s">
        <v>24</v>
      </c>
      <c r="H894" s="9" t="s">
        <v>25</v>
      </c>
      <c r="I894" s="9" t="s">
        <v>20</v>
      </c>
      <c r="J894" s="10"/>
      <c r="K894" s="7"/>
      <c r="L894" s="7"/>
      <c r="M894" s="7"/>
      <c r="N894" s="7"/>
      <c r="O894" s="7"/>
    </row>
    <row r="895" ht="22.5" hidden="1" customHeight="1">
      <c r="A895" s="8">
        <v>45778.35416128472</v>
      </c>
      <c r="B895" s="9"/>
      <c r="C895" s="9" t="s">
        <v>31</v>
      </c>
      <c r="D895" s="9" t="s">
        <v>230</v>
      </c>
      <c r="E895" s="9" t="s">
        <v>17</v>
      </c>
      <c r="F895" s="9" t="s">
        <v>17</v>
      </c>
      <c r="G895" s="9" t="s">
        <v>24</v>
      </c>
      <c r="H895" s="9" t="s">
        <v>17</v>
      </c>
      <c r="I895" s="9" t="s">
        <v>20</v>
      </c>
      <c r="J895" s="10"/>
      <c r="K895" s="7"/>
      <c r="L895" s="7"/>
      <c r="M895" s="7"/>
      <c r="N895" s="7"/>
      <c r="O895" s="7"/>
    </row>
    <row r="896" ht="22.5" hidden="1" customHeight="1">
      <c r="A896" s="8">
        <v>45778.35450917824</v>
      </c>
      <c r="B896" s="9"/>
      <c r="C896" s="9" t="s">
        <v>31</v>
      </c>
      <c r="D896" s="9" t="s">
        <v>299</v>
      </c>
      <c r="E896" s="9" t="s">
        <v>17</v>
      </c>
      <c r="F896" s="9" t="s">
        <v>17</v>
      </c>
      <c r="G896" s="9" t="s">
        <v>24</v>
      </c>
      <c r="H896" s="9" t="s">
        <v>17</v>
      </c>
      <c r="I896" s="9" t="s">
        <v>20</v>
      </c>
      <c r="J896" s="10"/>
      <c r="K896" s="7"/>
      <c r="L896" s="7"/>
      <c r="M896" s="7"/>
      <c r="N896" s="7"/>
      <c r="O896" s="7"/>
    </row>
    <row r="897" ht="22.5" hidden="1" customHeight="1">
      <c r="A897" s="8">
        <v>45778.357345798606</v>
      </c>
      <c r="B897" s="9"/>
      <c r="C897" s="9" t="s">
        <v>31</v>
      </c>
      <c r="D897" s="9" t="s">
        <v>109</v>
      </c>
      <c r="E897" s="9" t="s">
        <v>17</v>
      </c>
      <c r="F897" s="9" t="s">
        <v>17</v>
      </c>
      <c r="G897" s="9" t="s">
        <v>24</v>
      </c>
      <c r="H897" s="9" t="s">
        <v>17</v>
      </c>
      <c r="I897" s="9" t="s">
        <v>20</v>
      </c>
      <c r="J897" s="10"/>
      <c r="K897" s="7"/>
      <c r="L897" s="7"/>
      <c r="M897" s="7"/>
      <c r="N897" s="7"/>
      <c r="O897" s="7"/>
    </row>
    <row r="898" ht="22.5" hidden="1" customHeight="1">
      <c r="A898" s="8">
        <v>45779.333113333334</v>
      </c>
      <c r="B898" s="9"/>
      <c r="C898" s="9" t="s">
        <v>48</v>
      </c>
      <c r="D898" s="9" t="s">
        <v>268</v>
      </c>
      <c r="E898" s="9" t="s">
        <v>17</v>
      </c>
      <c r="F898" s="9" t="s">
        <v>17</v>
      </c>
      <c r="G898" s="9" t="s">
        <v>24</v>
      </c>
      <c r="H898" s="9" t="s">
        <v>25</v>
      </c>
      <c r="I898" s="9" t="s">
        <v>137</v>
      </c>
      <c r="J898" s="10"/>
      <c r="K898" s="7"/>
      <c r="L898" s="7"/>
      <c r="M898" s="7"/>
      <c r="N898" s="7"/>
      <c r="O898" s="7"/>
    </row>
    <row r="899" ht="22.5" hidden="1" customHeight="1">
      <c r="A899" s="8">
        <v>45779.33386028935</v>
      </c>
      <c r="B899" s="9"/>
      <c r="C899" s="9" t="s">
        <v>48</v>
      </c>
      <c r="D899" s="9" t="s">
        <v>51</v>
      </c>
      <c r="E899" s="9" t="s">
        <v>17</v>
      </c>
      <c r="F899" s="9" t="s">
        <v>17</v>
      </c>
      <c r="G899" s="9" t="s">
        <v>24</v>
      </c>
      <c r="H899" s="9" t="s">
        <v>25</v>
      </c>
      <c r="I899" s="9" t="s">
        <v>26</v>
      </c>
      <c r="J899" s="10"/>
      <c r="K899" s="7"/>
      <c r="L899" s="7"/>
      <c r="M899" s="7"/>
      <c r="N899" s="7"/>
      <c r="O899" s="7"/>
    </row>
    <row r="900" ht="22.5" hidden="1" customHeight="1">
      <c r="A900" s="8">
        <v>45779.334182245366</v>
      </c>
      <c r="B900" s="9"/>
      <c r="C900" s="9" t="s">
        <v>48</v>
      </c>
      <c r="D900" s="9" t="s">
        <v>299</v>
      </c>
      <c r="E900" s="9" t="s">
        <v>17</v>
      </c>
      <c r="F900" s="9" t="s">
        <v>17</v>
      </c>
      <c r="G900" s="9" t="s">
        <v>24</v>
      </c>
      <c r="H900" s="9" t="s">
        <v>17</v>
      </c>
      <c r="I900" s="9" t="s">
        <v>20</v>
      </c>
      <c r="J900" s="10"/>
      <c r="K900" s="7"/>
      <c r="L900" s="7"/>
      <c r="M900" s="7"/>
      <c r="N900" s="7"/>
      <c r="O900" s="7"/>
    </row>
    <row r="901" ht="22.5" hidden="1" customHeight="1">
      <c r="A901" s="8">
        <v>45779.33512512731</v>
      </c>
      <c r="B901" s="9"/>
      <c r="C901" s="9" t="s">
        <v>48</v>
      </c>
      <c r="D901" s="9" t="s">
        <v>243</v>
      </c>
      <c r="E901" s="9" t="s">
        <v>17</v>
      </c>
      <c r="F901" s="9" t="s">
        <v>17</v>
      </c>
      <c r="G901" s="9" t="s">
        <v>24</v>
      </c>
      <c r="H901" s="9" t="s">
        <v>17</v>
      </c>
      <c r="I901" s="9" t="s">
        <v>20</v>
      </c>
      <c r="J901" s="10"/>
      <c r="K901" s="7"/>
      <c r="L901" s="7"/>
      <c r="M901" s="7"/>
      <c r="N901" s="7"/>
      <c r="O901" s="7"/>
    </row>
    <row r="902" ht="22.5" hidden="1" customHeight="1">
      <c r="A902" s="8">
        <v>45779.33609304398</v>
      </c>
      <c r="B902" s="9"/>
      <c r="C902" s="9" t="s">
        <v>48</v>
      </c>
      <c r="D902" s="9" t="s">
        <v>27</v>
      </c>
      <c r="E902" s="9" t="s">
        <v>17</v>
      </c>
      <c r="F902" s="9" t="s">
        <v>17</v>
      </c>
      <c r="G902" s="9" t="s">
        <v>24</v>
      </c>
      <c r="H902" s="9" t="s">
        <v>17</v>
      </c>
      <c r="I902" s="9" t="s">
        <v>20</v>
      </c>
      <c r="J902" s="10"/>
      <c r="K902" s="7"/>
      <c r="L902" s="7"/>
      <c r="M902" s="7"/>
      <c r="N902" s="7"/>
      <c r="O902" s="7"/>
    </row>
    <row r="903" ht="22.5" hidden="1" customHeight="1">
      <c r="A903" s="8">
        <v>45779.336938981476</v>
      </c>
      <c r="B903" s="9"/>
      <c r="C903" s="9" t="s">
        <v>48</v>
      </c>
      <c r="D903" s="9" t="s">
        <v>23</v>
      </c>
      <c r="E903" s="9" t="s">
        <v>46</v>
      </c>
      <c r="F903" s="9" t="s">
        <v>17</v>
      </c>
      <c r="G903" s="9" t="s">
        <v>24</v>
      </c>
      <c r="H903" s="9" t="s">
        <v>25</v>
      </c>
      <c r="I903" s="9" t="s">
        <v>316</v>
      </c>
      <c r="J903" s="10"/>
      <c r="K903" s="7"/>
      <c r="L903" s="7"/>
      <c r="M903" s="7"/>
      <c r="N903" s="7"/>
      <c r="O903" s="7"/>
    </row>
    <row r="904" ht="22.5" hidden="1" customHeight="1">
      <c r="A904" s="8">
        <v>45779.33724681713</v>
      </c>
      <c r="B904" s="9"/>
      <c r="C904" s="9" t="s">
        <v>48</v>
      </c>
      <c r="D904" s="9" t="s">
        <v>230</v>
      </c>
      <c r="E904" s="9" t="s">
        <v>17</v>
      </c>
      <c r="F904" s="9" t="s">
        <v>17</v>
      </c>
      <c r="G904" s="9" t="s">
        <v>24</v>
      </c>
      <c r="H904" s="9" t="s">
        <v>17</v>
      </c>
      <c r="I904" s="9" t="s">
        <v>20</v>
      </c>
      <c r="J904" s="10"/>
      <c r="K904" s="7"/>
      <c r="L904" s="7"/>
      <c r="M904" s="7"/>
      <c r="N904" s="7"/>
      <c r="O904" s="7"/>
    </row>
    <row r="905" ht="22.5" hidden="1" customHeight="1">
      <c r="A905" s="8">
        <v>45779.337626712964</v>
      </c>
      <c r="B905" s="9"/>
      <c r="C905" s="9" t="s">
        <v>48</v>
      </c>
      <c r="D905" s="9" t="s">
        <v>133</v>
      </c>
      <c r="E905" s="9" t="s">
        <v>17</v>
      </c>
      <c r="F905" s="9" t="s">
        <v>17</v>
      </c>
      <c r="G905" s="9" t="s">
        <v>24</v>
      </c>
      <c r="H905" s="9" t="s">
        <v>25</v>
      </c>
      <c r="I905" s="9" t="s">
        <v>218</v>
      </c>
      <c r="J905" s="10"/>
      <c r="K905" s="7"/>
      <c r="L905" s="7"/>
      <c r="M905" s="7"/>
      <c r="N905" s="7"/>
      <c r="O905" s="7"/>
    </row>
    <row r="906" ht="22.5" hidden="1" customHeight="1">
      <c r="A906" s="8">
        <v>45779.33829332176</v>
      </c>
      <c r="B906" s="9"/>
      <c r="C906" s="9" t="s">
        <v>48</v>
      </c>
      <c r="D906" s="9" t="s">
        <v>109</v>
      </c>
      <c r="E906" s="9" t="s">
        <v>17</v>
      </c>
      <c r="F906" s="9" t="s">
        <v>17</v>
      </c>
      <c r="G906" s="9" t="s">
        <v>24</v>
      </c>
      <c r="H906" s="9" t="s">
        <v>17</v>
      </c>
      <c r="I906" s="9" t="s">
        <v>20</v>
      </c>
      <c r="J906" s="10"/>
      <c r="K906" s="7"/>
      <c r="L906" s="7"/>
      <c r="M906" s="7"/>
      <c r="N906" s="7"/>
      <c r="O906" s="7"/>
    </row>
    <row r="907" ht="22.5" hidden="1" customHeight="1">
      <c r="A907" s="8">
        <v>45779.33874150463</v>
      </c>
      <c r="B907" s="9"/>
      <c r="C907" s="9" t="s">
        <v>48</v>
      </c>
      <c r="D907" s="9" t="s">
        <v>21</v>
      </c>
      <c r="E907" s="9" t="s">
        <v>17</v>
      </c>
      <c r="F907" s="9" t="s">
        <v>17</v>
      </c>
      <c r="G907" s="9" t="s">
        <v>24</v>
      </c>
      <c r="H907" s="9" t="s">
        <v>17</v>
      </c>
      <c r="I907" s="9" t="s">
        <v>20</v>
      </c>
      <c r="J907" s="10"/>
      <c r="K907" s="7"/>
      <c r="L907" s="7"/>
      <c r="M907" s="7"/>
      <c r="N907" s="7"/>
      <c r="O907" s="7"/>
    </row>
    <row r="908" ht="22.5" hidden="1" customHeight="1">
      <c r="A908" s="8">
        <v>45779.339490196755</v>
      </c>
      <c r="B908" s="9"/>
      <c r="C908" s="9" t="s">
        <v>48</v>
      </c>
      <c r="D908" s="9" t="s">
        <v>127</v>
      </c>
      <c r="E908" s="9" t="s">
        <v>17</v>
      </c>
      <c r="F908" s="9" t="s">
        <v>18</v>
      </c>
      <c r="G908" s="9" t="s">
        <v>24</v>
      </c>
      <c r="H908" s="9" t="s">
        <v>17</v>
      </c>
      <c r="I908" s="9" t="s">
        <v>20</v>
      </c>
      <c r="J908" s="10"/>
      <c r="K908" s="7"/>
      <c r="L908" s="7"/>
      <c r="M908" s="7"/>
      <c r="N908" s="7"/>
      <c r="O908" s="7"/>
    </row>
    <row r="909" ht="22.5" hidden="1" customHeight="1">
      <c r="A909" s="8">
        <v>45779.33973153935</v>
      </c>
      <c r="B909" s="9"/>
      <c r="C909" s="9" t="s">
        <v>48</v>
      </c>
      <c r="D909" s="9" t="s">
        <v>260</v>
      </c>
      <c r="E909" s="9" t="s">
        <v>17</v>
      </c>
      <c r="F909" s="9" t="s">
        <v>17</v>
      </c>
      <c r="G909" s="9" t="s">
        <v>19</v>
      </c>
      <c r="H909" s="9" t="s">
        <v>17</v>
      </c>
      <c r="I909" s="9" t="s">
        <v>20</v>
      </c>
      <c r="J909" s="10"/>
      <c r="K909" s="7"/>
      <c r="L909" s="7"/>
      <c r="M909" s="7"/>
      <c r="N909" s="7"/>
      <c r="O909" s="7"/>
    </row>
    <row r="910" ht="22.5" hidden="1" customHeight="1">
      <c r="A910" s="8">
        <v>45779.340241701386</v>
      </c>
      <c r="B910" s="9"/>
      <c r="C910" s="9" t="s">
        <v>48</v>
      </c>
      <c r="D910" s="9" t="s">
        <v>277</v>
      </c>
      <c r="E910" s="9" t="s">
        <v>46</v>
      </c>
      <c r="F910" s="9" t="s">
        <v>43</v>
      </c>
      <c r="G910" s="9" t="s">
        <v>19</v>
      </c>
      <c r="H910" s="9" t="s">
        <v>17</v>
      </c>
      <c r="I910" s="9" t="s">
        <v>20</v>
      </c>
      <c r="J910" s="10"/>
      <c r="K910" s="7"/>
      <c r="L910" s="7"/>
      <c r="M910" s="7"/>
      <c r="N910" s="7"/>
      <c r="O910" s="7"/>
    </row>
    <row r="911" ht="22.5" hidden="1" customHeight="1">
      <c r="A911" s="8">
        <v>45779.340525127314</v>
      </c>
      <c r="B911" s="9"/>
      <c r="C911" s="9" t="s">
        <v>48</v>
      </c>
      <c r="D911" s="9" t="s">
        <v>132</v>
      </c>
      <c r="E911" s="9" t="s">
        <v>30</v>
      </c>
      <c r="F911" s="9" t="s">
        <v>18</v>
      </c>
      <c r="G911" s="9" t="s">
        <v>24</v>
      </c>
      <c r="H911" s="9" t="s">
        <v>22</v>
      </c>
      <c r="I911" s="9" t="s">
        <v>20</v>
      </c>
      <c r="J911" s="10"/>
      <c r="K911" s="7"/>
      <c r="L911" s="7"/>
      <c r="M911" s="7"/>
      <c r="N911" s="7"/>
      <c r="O911" s="7"/>
    </row>
    <row r="912" ht="22.5" hidden="1" customHeight="1">
      <c r="A912" s="8">
        <v>45779.340893125</v>
      </c>
      <c r="B912" s="9"/>
      <c r="C912" s="9" t="s">
        <v>48</v>
      </c>
      <c r="D912" s="9" t="s">
        <v>192</v>
      </c>
      <c r="E912" s="9" t="s">
        <v>17</v>
      </c>
      <c r="F912" s="9" t="s">
        <v>17</v>
      </c>
      <c r="G912" s="9" t="s">
        <v>24</v>
      </c>
      <c r="H912" s="9" t="s">
        <v>25</v>
      </c>
      <c r="I912" s="9" t="s">
        <v>273</v>
      </c>
      <c r="J912" s="10"/>
      <c r="K912" s="7"/>
      <c r="L912" s="7"/>
      <c r="M912" s="7"/>
      <c r="N912" s="7"/>
      <c r="O912" s="7"/>
    </row>
    <row r="913" ht="22.5" hidden="1" customHeight="1">
      <c r="A913" s="8">
        <v>45779.34122178241</v>
      </c>
      <c r="B913" s="9"/>
      <c r="C913" s="9" t="s">
        <v>48</v>
      </c>
      <c r="D913" s="9" t="s">
        <v>227</v>
      </c>
      <c r="E913" s="9" t="s">
        <v>17</v>
      </c>
      <c r="F913" s="9" t="s">
        <v>17</v>
      </c>
      <c r="G913" s="9" t="s">
        <v>24</v>
      </c>
      <c r="H913" s="9" t="s">
        <v>17</v>
      </c>
      <c r="I913" s="9" t="s">
        <v>20</v>
      </c>
      <c r="J913" s="10"/>
      <c r="K913" s="7"/>
      <c r="L913" s="7"/>
      <c r="M913" s="7"/>
      <c r="N913" s="7"/>
      <c r="O913" s="7"/>
    </row>
    <row r="914" ht="22.5" hidden="1" customHeight="1">
      <c r="A914" s="8">
        <v>45779.34194097223</v>
      </c>
      <c r="B914" s="9"/>
      <c r="C914" s="9" t="s">
        <v>48</v>
      </c>
      <c r="D914" s="9" t="s">
        <v>250</v>
      </c>
      <c r="E914" s="9" t="s">
        <v>17</v>
      </c>
      <c r="F914" s="9" t="s">
        <v>17</v>
      </c>
      <c r="G914" s="9" t="s">
        <v>24</v>
      </c>
      <c r="H914" s="9" t="s">
        <v>17</v>
      </c>
      <c r="I914" s="9" t="s">
        <v>20</v>
      </c>
      <c r="J914" s="10"/>
      <c r="K914" s="7"/>
      <c r="L914" s="7"/>
      <c r="M914" s="7"/>
      <c r="N914" s="7"/>
      <c r="O914" s="7"/>
    </row>
    <row r="915" ht="22.5" hidden="1" customHeight="1">
      <c r="A915" s="8">
        <v>45779.342730069446</v>
      </c>
      <c r="B915" s="9"/>
      <c r="C915" s="9" t="s">
        <v>48</v>
      </c>
      <c r="D915" s="9" t="s">
        <v>108</v>
      </c>
      <c r="E915" s="9" t="s">
        <v>17</v>
      </c>
      <c r="F915" s="9" t="s">
        <v>17</v>
      </c>
      <c r="G915" s="9" t="s">
        <v>24</v>
      </c>
      <c r="H915" s="9" t="s">
        <v>25</v>
      </c>
      <c r="I915" s="9" t="s">
        <v>317</v>
      </c>
      <c r="J915" s="10"/>
      <c r="K915" s="7"/>
      <c r="L915" s="7"/>
      <c r="M915" s="7"/>
      <c r="N915" s="7"/>
      <c r="O915" s="7"/>
    </row>
    <row r="916" ht="22.5" hidden="1" customHeight="1">
      <c r="A916" s="8">
        <v>45779.34323946759</v>
      </c>
      <c r="B916" s="9"/>
      <c r="C916" s="9" t="s">
        <v>48</v>
      </c>
      <c r="D916" s="9" t="s">
        <v>102</v>
      </c>
      <c r="E916" s="9" t="s">
        <v>17</v>
      </c>
      <c r="F916" s="9" t="s">
        <v>17</v>
      </c>
      <c r="G916" s="9" t="s">
        <v>24</v>
      </c>
      <c r="H916" s="9" t="s">
        <v>25</v>
      </c>
      <c r="I916" s="9" t="s">
        <v>318</v>
      </c>
      <c r="J916" s="10"/>
      <c r="K916" s="7"/>
      <c r="L916" s="7"/>
      <c r="M916" s="7"/>
      <c r="N916" s="7"/>
      <c r="O916" s="7"/>
    </row>
    <row r="917" ht="22.5" hidden="1" customHeight="1">
      <c r="A917" s="8">
        <v>45779.34469125</v>
      </c>
      <c r="B917" s="9"/>
      <c r="C917" s="9" t="s">
        <v>48</v>
      </c>
      <c r="D917" s="9" t="s">
        <v>206</v>
      </c>
      <c r="E917" s="9" t="s">
        <v>17</v>
      </c>
      <c r="F917" s="9" t="s">
        <v>17</v>
      </c>
      <c r="G917" s="9" t="s">
        <v>24</v>
      </c>
      <c r="H917" s="9" t="s">
        <v>17</v>
      </c>
      <c r="I917" s="9" t="s">
        <v>20</v>
      </c>
      <c r="J917" s="10"/>
      <c r="K917" s="7"/>
      <c r="L917" s="7"/>
      <c r="M917" s="7"/>
      <c r="N917" s="7"/>
      <c r="O917" s="7"/>
    </row>
    <row r="918" ht="22.5" hidden="1" customHeight="1">
      <c r="A918" s="8">
        <v>45779.34853853009</v>
      </c>
      <c r="B918" s="9"/>
      <c r="C918" s="9" t="s">
        <v>48</v>
      </c>
      <c r="D918" s="9" t="s">
        <v>235</v>
      </c>
      <c r="E918" s="9" t="s">
        <v>17</v>
      </c>
      <c r="F918" s="9" t="s">
        <v>17</v>
      </c>
      <c r="G918" s="9" t="s">
        <v>24</v>
      </c>
      <c r="H918" s="9" t="s">
        <v>25</v>
      </c>
      <c r="I918" s="9" t="s">
        <v>301</v>
      </c>
      <c r="J918" s="10"/>
      <c r="K918" s="7"/>
      <c r="L918" s="7"/>
      <c r="M918" s="7"/>
      <c r="N918" s="7"/>
      <c r="O918" s="7"/>
    </row>
    <row r="919" ht="22.5" hidden="1" customHeight="1">
      <c r="A919" s="8">
        <v>45782.32451005787</v>
      </c>
      <c r="B919" s="9"/>
      <c r="C919" s="9" t="s">
        <v>86</v>
      </c>
      <c r="D919" s="9" t="s">
        <v>299</v>
      </c>
      <c r="E919" s="9" t="s">
        <v>30</v>
      </c>
      <c r="F919" s="9" t="s">
        <v>18</v>
      </c>
      <c r="G919" s="9" t="s">
        <v>24</v>
      </c>
      <c r="H919" s="9" t="s">
        <v>22</v>
      </c>
      <c r="I919" s="9" t="s">
        <v>20</v>
      </c>
      <c r="J919" s="10"/>
      <c r="K919" s="7"/>
      <c r="L919" s="7"/>
      <c r="M919" s="7"/>
      <c r="N919" s="7"/>
      <c r="O919" s="7"/>
    </row>
    <row r="920" ht="22.5" hidden="1" customHeight="1">
      <c r="A920" s="8">
        <v>45782.32720326389</v>
      </c>
      <c r="B920" s="9"/>
      <c r="C920" s="9" t="s">
        <v>86</v>
      </c>
      <c r="D920" s="9" t="s">
        <v>42</v>
      </c>
      <c r="E920" s="9" t="s">
        <v>30</v>
      </c>
      <c r="F920" s="9" t="s">
        <v>18</v>
      </c>
      <c r="G920" s="9" t="s">
        <v>24</v>
      </c>
      <c r="H920" s="9" t="s">
        <v>22</v>
      </c>
      <c r="I920" s="9" t="s">
        <v>20</v>
      </c>
      <c r="J920" s="10"/>
      <c r="K920" s="7"/>
      <c r="L920" s="7"/>
      <c r="M920" s="7"/>
      <c r="N920" s="7"/>
      <c r="O920" s="7"/>
    </row>
    <row r="921" ht="22.5" hidden="1" customHeight="1">
      <c r="A921" s="8">
        <v>45782.33102896991</v>
      </c>
      <c r="B921" s="9"/>
      <c r="C921" s="9" t="s">
        <v>110</v>
      </c>
      <c r="D921" s="9" t="s">
        <v>23</v>
      </c>
      <c r="E921" s="9" t="s">
        <v>17</v>
      </c>
      <c r="F921" s="9" t="s">
        <v>17</v>
      </c>
      <c r="G921" s="9" t="s">
        <v>24</v>
      </c>
      <c r="H921" s="9" t="s">
        <v>25</v>
      </c>
      <c r="I921" s="9" t="s">
        <v>316</v>
      </c>
      <c r="J921" s="10"/>
      <c r="K921" s="7"/>
      <c r="L921" s="7"/>
      <c r="M921" s="7"/>
      <c r="N921" s="7"/>
      <c r="O921" s="7"/>
    </row>
    <row r="922" ht="22.5" hidden="1" customHeight="1">
      <c r="A922" s="8">
        <v>45782.33127483796</v>
      </c>
      <c r="B922" s="9"/>
      <c r="C922" s="9" t="s">
        <v>110</v>
      </c>
      <c r="D922" s="9" t="s">
        <v>127</v>
      </c>
      <c r="E922" s="9" t="s">
        <v>17</v>
      </c>
      <c r="F922" s="9" t="s">
        <v>17</v>
      </c>
      <c r="G922" s="9" t="s">
        <v>24</v>
      </c>
      <c r="H922" s="9" t="s">
        <v>17</v>
      </c>
      <c r="I922" s="9" t="s">
        <v>20</v>
      </c>
      <c r="J922" s="10"/>
      <c r="K922" s="7"/>
      <c r="L922" s="7"/>
      <c r="M922" s="7"/>
      <c r="N922" s="7"/>
      <c r="O922" s="7"/>
    </row>
    <row r="923" ht="22.5" hidden="1" customHeight="1">
      <c r="A923" s="8">
        <v>45782.33178324074</v>
      </c>
      <c r="B923" s="9"/>
      <c r="C923" s="9" t="s">
        <v>110</v>
      </c>
      <c r="D923" s="9" t="s">
        <v>206</v>
      </c>
      <c r="E923" s="9" t="s">
        <v>17</v>
      </c>
      <c r="F923" s="9" t="s">
        <v>17</v>
      </c>
      <c r="G923" s="9" t="s">
        <v>24</v>
      </c>
      <c r="H923" s="9" t="s">
        <v>17</v>
      </c>
      <c r="I923" s="9" t="s">
        <v>20</v>
      </c>
      <c r="J923" s="10"/>
      <c r="K923" s="7"/>
      <c r="L923" s="7"/>
      <c r="M923" s="7"/>
      <c r="N923" s="7"/>
      <c r="O923" s="7"/>
    </row>
    <row r="924" ht="22.5" hidden="1" customHeight="1">
      <c r="A924" s="8">
        <v>45782.33222344908</v>
      </c>
      <c r="B924" s="9"/>
      <c r="C924" s="9" t="s">
        <v>110</v>
      </c>
      <c r="D924" s="9" t="s">
        <v>277</v>
      </c>
      <c r="E924" s="9" t="s">
        <v>61</v>
      </c>
      <c r="F924" s="9" t="s">
        <v>17</v>
      </c>
      <c r="G924" s="9" t="s">
        <v>19</v>
      </c>
      <c r="H924" s="9" t="s">
        <v>17</v>
      </c>
      <c r="I924" s="9" t="s">
        <v>20</v>
      </c>
      <c r="J924" s="10"/>
      <c r="K924" s="7"/>
      <c r="L924" s="7"/>
      <c r="M924" s="7"/>
      <c r="N924" s="7"/>
      <c r="O924" s="7"/>
    </row>
    <row r="925" ht="22.5" hidden="1" customHeight="1">
      <c r="A925" s="8">
        <v>45782.33260395833</v>
      </c>
      <c r="B925" s="9"/>
      <c r="C925" s="9" t="s">
        <v>110</v>
      </c>
      <c r="D925" s="9" t="s">
        <v>133</v>
      </c>
      <c r="E925" s="9" t="s">
        <v>17</v>
      </c>
      <c r="F925" s="9" t="s">
        <v>17</v>
      </c>
      <c r="G925" s="9" t="s">
        <v>24</v>
      </c>
      <c r="H925" s="9" t="s">
        <v>25</v>
      </c>
      <c r="I925" s="9" t="s">
        <v>319</v>
      </c>
      <c r="J925" s="10"/>
      <c r="K925" s="7"/>
      <c r="L925" s="7"/>
      <c r="M925" s="7"/>
      <c r="N925" s="7"/>
      <c r="O925" s="7"/>
    </row>
    <row r="926" ht="22.5" hidden="1" customHeight="1">
      <c r="A926" s="8">
        <v>45782.33291996528</v>
      </c>
      <c r="B926" s="9"/>
      <c r="C926" s="9" t="s">
        <v>110</v>
      </c>
      <c r="D926" s="9" t="s">
        <v>51</v>
      </c>
      <c r="E926" s="9" t="s">
        <v>17</v>
      </c>
      <c r="F926" s="9" t="s">
        <v>17</v>
      </c>
      <c r="G926" s="9" t="s">
        <v>24</v>
      </c>
      <c r="H926" s="9" t="s">
        <v>17</v>
      </c>
      <c r="I926" s="9" t="s">
        <v>20</v>
      </c>
      <c r="J926" s="10"/>
      <c r="K926" s="7"/>
      <c r="L926" s="7"/>
      <c r="M926" s="7"/>
      <c r="N926" s="7"/>
      <c r="O926" s="7"/>
    </row>
    <row r="927" ht="22.5" hidden="1" customHeight="1">
      <c r="A927" s="8">
        <v>45782.3340350463</v>
      </c>
      <c r="B927" s="9"/>
      <c r="C927" s="9" t="s">
        <v>110</v>
      </c>
      <c r="D927" s="9" t="s">
        <v>192</v>
      </c>
      <c r="E927" s="9" t="s">
        <v>17</v>
      </c>
      <c r="F927" s="9" t="s">
        <v>17</v>
      </c>
      <c r="G927" s="9" t="s">
        <v>24</v>
      </c>
      <c r="H927" s="9" t="s">
        <v>17</v>
      </c>
      <c r="I927" s="9" t="s">
        <v>20</v>
      </c>
      <c r="J927" s="10"/>
      <c r="K927" s="7"/>
      <c r="L927" s="7"/>
      <c r="M927" s="7"/>
      <c r="N927" s="7"/>
      <c r="O927" s="7"/>
    </row>
    <row r="928" ht="22.5" hidden="1" customHeight="1">
      <c r="A928" s="8">
        <v>45782.33425454861</v>
      </c>
      <c r="B928" s="9"/>
      <c r="C928" s="9" t="s">
        <v>110</v>
      </c>
      <c r="D928" s="9" t="s">
        <v>250</v>
      </c>
      <c r="E928" s="9" t="s">
        <v>17</v>
      </c>
      <c r="F928" s="9" t="s">
        <v>17</v>
      </c>
      <c r="G928" s="9" t="s">
        <v>24</v>
      </c>
      <c r="H928" s="9" t="s">
        <v>25</v>
      </c>
      <c r="I928" s="9" t="s">
        <v>37</v>
      </c>
      <c r="J928" s="10"/>
      <c r="K928" s="7"/>
      <c r="L928" s="7"/>
      <c r="M928" s="7"/>
      <c r="N928" s="7"/>
      <c r="O928" s="7"/>
    </row>
    <row r="929" ht="22.5" hidden="1" customHeight="1">
      <c r="A929" s="8">
        <v>45782.33456710648</v>
      </c>
      <c r="B929" s="9"/>
      <c r="C929" s="9" t="s">
        <v>110</v>
      </c>
      <c r="D929" s="9" t="s">
        <v>227</v>
      </c>
      <c r="E929" s="9" t="s">
        <v>17</v>
      </c>
      <c r="F929" s="9" t="s">
        <v>17</v>
      </c>
      <c r="G929" s="9" t="s">
        <v>24</v>
      </c>
      <c r="H929" s="9" t="s">
        <v>17</v>
      </c>
      <c r="I929" s="9" t="s">
        <v>20</v>
      </c>
      <c r="J929" s="10"/>
      <c r="K929" s="7"/>
      <c r="L929" s="7"/>
      <c r="M929" s="7"/>
      <c r="N929" s="7"/>
      <c r="O929" s="7"/>
    </row>
    <row r="930" ht="22.5" hidden="1" customHeight="1">
      <c r="A930" s="8">
        <v>45782.33620561342</v>
      </c>
      <c r="B930" s="9"/>
      <c r="C930" s="9" t="s">
        <v>110</v>
      </c>
      <c r="D930" s="9" t="s">
        <v>109</v>
      </c>
      <c r="E930" s="9" t="s">
        <v>17</v>
      </c>
      <c r="F930" s="9" t="s">
        <v>17</v>
      </c>
      <c r="G930" s="9" t="s">
        <v>24</v>
      </c>
      <c r="H930" s="9" t="s">
        <v>17</v>
      </c>
      <c r="I930" s="9" t="s">
        <v>20</v>
      </c>
      <c r="J930" s="10"/>
      <c r="K930" s="7"/>
      <c r="L930" s="7"/>
      <c r="M930" s="7"/>
      <c r="N930" s="7"/>
      <c r="O930" s="7"/>
    </row>
    <row r="931" ht="22.5" hidden="1" customHeight="1">
      <c r="A931" s="8">
        <v>45782.33639173611</v>
      </c>
      <c r="B931" s="9"/>
      <c r="C931" s="9" t="s">
        <v>110</v>
      </c>
      <c r="D931" s="9" t="s">
        <v>243</v>
      </c>
      <c r="E931" s="9" t="s">
        <v>17</v>
      </c>
      <c r="F931" s="9" t="s">
        <v>17</v>
      </c>
      <c r="G931" s="9" t="s">
        <v>24</v>
      </c>
      <c r="H931" s="9" t="s">
        <v>17</v>
      </c>
      <c r="I931" s="9" t="s">
        <v>20</v>
      </c>
      <c r="J931" s="10"/>
      <c r="K931" s="7"/>
      <c r="L931" s="7"/>
      <c r="M931" s="7"/>
      <c r="N931" s="7"/>
      <c r="O931" s="7"/>
    </row>
    <row r="932" ht="22.5" hidden="1" customHeight="1">
      <c r="A932" s="8">
        <v>45782.336949247685</v>
      </c>
      <c r="B932" s="9"/>
      <c r="C932" s="9" t="s">
        <v>110</v>
      </c>
      <c r="D932" s="9" t="s">
        <v>108</v>
      </c>
      <c r="E932" s="9" t="s">
        <v>17</v>
      </c>
      <c r="F932" s="9" t="s">
        <v>17</v>
      </c>
      <c r="G932" s="9" t="s">
        <v>24</v>
      </c>
      <c r="H932" s="9" t="s">
        <v>25</v>
      </c>
      <c r="I932" s="9" t="s">
        <v>320</v>
      </c>
      <c r="J932" s="10"/>
      <c r="K932" s="7"/>
      <c r="L932" s="7"/>
      <c r="M932" s="7"/>
      <c r="N932" s="7"/>
      <c r="O932" s="7"/>
    </row>
    <row r="933" ht="22.5" hidden="1" customHeight="1">
      <c r="A933" s="8">
        <v>45782.33817984954</v>
      </c>
      <c r="B933" s="9"/>
      <c r="C933" s="9" t="s">
        <v>86</v>
      </c>
      <c r="D933" s="9" t="s">
        <v>107</v>
      </c>
      <c r="E933" s="9" t="s">
        <v>17</v>
      </c>
      <c r="F933" s="9" t="s">
        <v>18</v>
      </c>
      <c r="G933" s="9" t="s">
        <v>24</v>
      </c>
      <c r="H933" s="9" t="s">
        <v>25</v>
      </c>
      <c r="I933" s="9" t="s">
        <v>311</v>
      </c>
      <c r="J933" s="10"/>
      <c r="K933" s="7"/>
      <c r="L933" s="7"/>
      <c r="M933" s="7"/>
      <c r="N933" s="7"/>
      <c r="O933" s="7"/>
    </row>
    <row r="934" ht="22.5" hidden="1" customHeight="1">
      <c r="A934" s="8">
        <v>45782.33987304398</v>
      </c>
      <c r="B934" s="9"/>
      <c r="C934" s="9" t="s">
        <v>86</v>
      </c>
      <c r="D934" s="9" t="s">
        <v>268</v>
      </c>
      <c r="E934" s="9" t="s">
        <v>17</v>
      </c>
      <c r="F934" s="9" t="s">
        <v>17</v>
      </c>
      <c r="G934" s="9" t="s">
        <v>24</v>
      </c>
      <c r="H934" s="9" t="s">
        <v>25</v>
      </c>
      <c r="I934" s="9" t="s">
        <v>137</v>
      </c>
      <c r="J934" s="10"/>
      <c r="K934" s="7"/>
      <c r="L934" s="7"/>
      <c r="M934" s="7"/>
      <c r="N934" s="7"/>
      <c r="O934" s="7"/>
    </row>
    <row r="935" ht="22.5" hidden="1" customHeight="1">
      <c r="A935" s="8">
        <v>45782.341580266206</v>
      </c>
      <c r="B935" s="9"/>
      <c r="C935" s="9" t="s">
        <v>86</v>
      </c>
      <c r="D935" s="9" t="s">
        <v>230</v>
      </c>
      <c r="E935" s="9" t="s">
        <v>17</v>
      </c>
      <c r="F935" s="9" t="s">
        <v>17</v>
      </c>
      <c r="G935" s="9" t="s">
        <v>24</v>
      </c>
      <c r="H935" s="9" t="s">
        <v>25</v>
      </c>
      <c r="I935" s="9" t="s">
        <v>20</v>
      </c>
      <c r="J935" s="10"/>
      <c r="K935" s="7"/>
      <c r="L935" s="7"/>
      <c r="M935" s="7"/>
      <c r="N935" s="7"/>
      <c r="O935" s="7"/>
    </row>
    <row r="936" ht="22.5" hidden="1" customHeight="1">
      <c r="A936" s="8">
        <v>45782.34451783565</v>
      </c>
      <c r="B936" s="9"/>
      <c r="C936" s="9" t="s">
        <v>86</v>
      </c>
      <c r="D936" s="9" t="s">
        <v>299</v>
      </c>
      <c r="E936" s="9" t="s">
        <v>17</v>
      </c>
      <c r="F936" s="9" t="s">
        <v>17</v>
      </c>
      <c r="G936" s="9" t="s">
        <v>24</v>
      </c>
      <c r="H936" s="9" t="s">
        <v>17</v>
      </c>
      <c r="I936" s="9" t="s">
        <v>20</v>
      </c>
      <c r="J936" s="10"/>
      <c r="K936" s="7"/>
      <c r="L936" s="7"/>
      <c r="M936" s="7"/>
      <c r="N936" s="7"/>
      <c r="O936" s="7"/>
    </row>
    <row r="937" ht="22.5" hidden="1" customHeight="1">
      <c r="A937" s="8">
        <v>45782.34853681713</v>
      </c>
      <c r="B937" s="9"/>
      <c r="C937" s="9" t="s">
        <v>86</v>
      </c>
      <c r="D937" s="9" t="s">
        <v>132</v>
      </c>
      <c r="E937" s="9" t="s">
        <v>30</v>
      </c>
      <c r="F937" s="9" t="s">
        <v>17</v>
      </c>
      <c r="G937" s="9" t="s">
        <v>24</v>
      </c>
      <c r="H937" s="9" t="s">
        <v>17</v>
      </c>
      <c r="I937" s="9" t="s">
        <v>20</v>
      </c>
      <c r="J937" s="10"/>
      <c r="K937" s="7"/>
      <c r="L937" s="7"/>
      <c r="M937" s="7"/>
      <c r="N937" s="7"/>
      <c r="O937" s="7"/>
    </row>
    <row r="938" ht="22.5" hidden="1" customHeight="1">
      <c r="A938" s="8">
        <v>45782.354311076386</v>
      </c>
      <c r="B938" s="9"/>
      <c r="C938" s="9" t="s">
        <v>86</v>
      </c>
      <c r="D938" s="9" t="s">
        <v>27</v>
      </c>
      <c r="E938" s="9" t="s">
        <v>17</v>
      </c>
      <c r="F938" s="9" t="s">
        <v>17</v>
      </c>
      <c r="G938" s="9" t="s">
        <v>24</v>
      </c>
      <c r="H938" s="9" t="s">
        <v>17</v>
      </c>
      <c r="I938" s="9" t="s">
        <v>20</v>
      </c>
      <c r="J938" s="10"/>
      <c r="K938" s="7"/>
      <c r="L938" s="7"/>
      <c r="M938" s="7"/>
      <c r="N938" s="7"/>
      <c r="O938" s="7"/>
    </row>
    <row r="939" ht="22.5" hidden="1" customHeight="1">
      <c r="A939" s="8">
        <v>45782.36233122685</v>
      </c>
      <c r="B939" s="9"/>
      <c r="C939" s="9" t="s">
        <v>86</v>
      </c>
      <c r="D939" s="9" t="s">
        <v>260</v>
      </c>
      <c r="E939" s="9" t="s">
        <v>17</v>
      </c>
      <c r="F939" s="9" t="s">
        <v>17</v>
      </c>
      <c r="G939" s="9" t="s">
        <v>24</v>
      </c>
      <c r="H939" s="9" t="s">
        <v>17</v>
      </c>
      <c r="I939" s="9" t="s">
        <v>20</v>
      </c>
      <c r="J939" s="10"/>
      <c r="K939" s="7"/>
      <c r="L939" s="7"/>
      <c r="M939" s="7"/>
      <c r="N939" s="7"/>
      <c r="O939" s="7"/>
    </row>
    <row r="940" ht="22.5" hidden="1" customHeight="1">
      <c r="A940" s="8">
        <v>45782.3708355787</v>
      </c>
      <c r="B940" s="9"/>
      <c r="C940" s="9" t="s">
        <v>86</v>
      </c>
      <c r="D940" s="9" t="s">
        <v>33</v>
      </c>
      <c r="E940" s="9" t="s">
        <v>17</v>
      </c>
      <c r="F940" s="9" t="s">
        <v>17</v>
      </c>
      <c r="G940" s="9" t="s">
        <v>24</v>
      </c>
      <c r="H940" s="9" t="s">
        <v>17</v>
      </c>
      <c r="I940" s="9" t="s">
        <v>20</v>
      </c>
      <c r="J940" s="10"/>
      <c r="K940" s="7"/>
      <c r="L940" s="7"/>
      <c r="M940" s="7"/>
      <c r="N940" s="7"/>
      <c r="O940" s="7"/>
    </row>
    <row r="941" ht="22.5" hidden="1" customHeight="1">
      <c r="A941" s="8">
        <v>45782.37180342592</v>
      </c>
      <c r="B941" s="9"/>
      <c r="C941" s="9" t="s">
        <v>86</v>
      </c>
      <c r="D941" s="9" t="s">
        <v>235</v>
      </c>
      <c r="E941" s="9" t="s">
        <v>17</v>
      </c>
      <c r="F941" s="9" t="s">
        <v>17</v>
      </c>
      <c r="G941" s="9" t="s">
        <v>24</v>
      </c>
      <c r="H941" s="9" t="s">
        <v>25</v>
      </c>
      <c r="I941" s="9" t="s">
        <v>301</v>
      </c>
      <c r="J941" s="10"/>
      <c r="K941" s="7"/>
      <c r="L941" s="7"/>
      <c r="M941" s="7"/>
      <c r="N941" s="7"/>
      <c r="O941" s="7"/>
    </row>
    <row r="942" ht="22.5" hidden="1" customHeight="1">
      <c r="A942" s="8">
        <v>45783.33693228009</v>
      </c>
      <c r="B942" s="9"/>
      <c r="C942" s="9" t="s">
        <v>110</v>
      </c>
      <c r="D942" s="9" t="s">
        <v>27</v>
      </c>
      <c r="E942" s="9" t="s">
        <v>17</v>
      </c>
      <c r="F942" s="9" t="s">
        <v>17</v>
      </c>
      <c r="G942" s="9" t="s">
        <v>24</v>
      </c>
      <c r="H942" s="9" t="s">
        <v>17</v>
      </c>
      <c r="I942" s="9" t="s">
        <v>20</v>
      </c>
      <c r="J942" s="10"/>
      <c r="K942" s="7"/>
      <c r="L942" s="7"/>
      <c r="M942" s="7"/>
      <c r="N942" s="7"/>
      <c r="O942" s="7"/>
    </row>
    <row r="943" ht="22.5" hidden="1" customHeight="1">
      <c r="A943" s="8">
        <v>45783.33713137731</v>
      </c>
      <c r="B943" s="9"/>
      <c r="C943" s="9" t="s">
        <v>110</v>
      </c>
      <c r="D943" s="9" t="s">
        <v>127</v>
      </c>
      <c r="E943" s="9" t="s">
        <v>17</v>
      </c>
      <c r="F943" s="9" t="s">
        <v>17</v>
      </c>
      <c r="G943" s="9" t="s">
        <v>24</v>
      </c>
      <c r="H943" s="9" t="s">
        <v>17</v>
      </c>
      <c r="I943" s="9" t="s">
        <v>20</v>
      </c>
      <c r="J943" s="10"/>
      <c r="K943" s="7"/>
      <c r="L943" s="7"/>
      <c r="M943" s="7"/>
      <c r="N943" s="7"/>
      <c r="O943" s="7"/>
    </row>
    <row r="944" ht="22.5" hidden="1" customHeight="1">
      <c r="A944" s="8">
        <v>45783.33730590278</v>
      </c>
      <c r="B944" s="9"/>
      <c r="C944" s="9" t="s">
        <v>110</v>
      </c>
      <c r="D944" s="9" t="s">
        <v>33</v>
      </c>
      <c r="E944" s="9" t="s">
        <v>17</v>
      </c>
      <c r="F944" s="9" t="s">
        <v>17</v>
      </c>
      <c r="G944" s="9" t="s">
        <v>24</v>
      </c>
      <c r="H944" s="9" t="s">
        <v>17</v>
      </c>
      <c r="I944" s="9" t="s">
        <v>20</v>
      </c>
      <c r="J944" s="10"/>
      <c r="K944" s="7"/>
      <c r="L944" s="7"/>
      <c r="M944" s="7"/>
      <c r="N944" s="7"/>
      <c r="O944" s="7"/>
    </row>
    <row r="945" ht="22.5" hidden="1" customHeight="1">
      <c r="A945" s="8">
        <v>45783.33843640046</v>
      </c>
      <c r="B945" s="9"/>
      <c r="C945" s="9" t="s">
        <v>110</v>
      </c>
      <c r="D945" s="9" t="s">
        <v>268</v>
      </c>
      <c r="E945" s="9" t="s">
        <v>17</v>
      </c>
      <c r="F945" s="9" t="s">
        <v>17</v>
      </c>
      <c r="G945" s="9" t="s">
        <v>24</v>
      </c>
      <c r="H945" s="9" t="s">
        <v>25</v>
      </c>
      <c r="I945" s="9" t="s">
        <v>137</v>
      </c>
      <c r="J945" s="10"/>
      <c r="K945" s="7"/>
      <c r="L945" s="7"/>
      <c r="M945" s="7"/>
      <c r="N945" s="7"/>
      <c r="O945" s="7"/>
    </row>
    <row r="946" ht="22.5" hidden="1" customHeight="1">
      <c r="A946" s="8">
        <v>45783.3386940625</v>
      </c>
      <c r="B946" s="9"/>
      <c r="C946" s="9" t="s">
        <v>110</v>
      </c>
      <c r="D946" s="9" t="s">
        <v>51</v>
      </c>
      <c r="E946" s="9" t="s">
        <v>17</v>
      </c>
      <c r="F946" s="9" t="s">
        <v>17</v>
      </c>
      <c r="G946" s="9" t="s">
        <v>24</v>
      </c>
      <c r="H946" s="9" t="s">
        <v>17</v>
      </c>
      <c r="I946" s="9" t="s">
        <v>20</v>
      </c>
      <c r="J946" s="10"/>
      <c r="K946" s="7"/>
      <c r="L946" s="7"/>
      <c r="M946" s="7"/>
      <c r="N946" s="7"/>
      <c r="O946" s="7"/>
    </row>
    <row r="947" ht="22.5" hidden="1" customHeight="1">
      <c r="A947" s="8">
        <v>45783.33925114584</v>
      </c>
      <c r="B947" s="9"/>
      <c r="C947" s="9" t="s">
        <v>110</v>
      </c>
      <c r="D947" s="9" t="s">
        <v>68</v>
      </c>
      <c r="E947" s="9" t="s">
        <v>17</v>
      </c>
      <c r="F947" s="9" t="s">
        <v>17</v>
      </c>
      <c r="G947" s="9" t="s">
        <v>24</v>
      </c>
      <c r="H947" s="9" t="s">
        <v>25</v>
      </c>
      <c r="I947" s="9" t="s">
        <v>50</v>
      </c>
      <c r="J947" s="10"/>
      <c r="K947" s="7"/>
      <c r="L947" s="7"/>
      <c r="M947" s="7"/>
      <c r="N947" s="7"/>
      <c r="O947" s="7"/>
    </row>
    <row r="948" ht="22.5" hidden="1" customHeight="1">
      <c r="A948" s="8">
        <v>45783.3396346875</v>
      </c>
      <c r="B948" s="9"/>
      <c r="C948" s="9" t="s">
        <v>110</v>
      </c>
      <c r="D948" s="9" t="s">
        <v>133</v>
      </c>
      <c r="E948" s="9" t="s">
        <v>17</v>
      </c>
      <c r="F948" s="9" t="s">
        <v>17</v>
      </c>
      <c r="G948" s="9" t="s">
        <v>24</v>
      </c>
      <c r="H948" s="9" t="s">
        <v>25</v>
      </c>
      <c r="I948" s="9" t="s">
        <v>321</v>
      </c>
      <c r="J948" s="10"/>
      <c r="K948" s="7"/>
      <c r="L948" s="7"/>
      <c r="M948" s="7"/>
      <c r="N948" s="7"/>
      <c r="O948" s="7"/>
    </row>
    <row r="949" ht="22.5" hidden="1" customHeight="1">
      <c r="A949" s="8">
        <v>45783.34001733796</v>
      </c>
      <c r="B949" s="9"/>
      <c r="C949" s="9" t="s">
        <v>110</v>
      </c>
      <c r="D949" s="9" t="s">
        <v>289</v>
      </c>
      <c r="E949" s="9" t="s">
        <v>17</v>
      </c>
      <c r="F949" s="9" t="s">
        <v>17</v>
      </c>
      <c r="G949" s="9" t="s">
        <v>24</v>
      </c>
      <c r="H949" s="9" t="s">
        <v>25</v>
      </c>
      <c r="I949" s="9" t="s">
        <v>137</v>
      </c>
      <c r="J949" s="10"/>
      <c r="K949" s="7"/>
      <c r="L949" s="7"/>
      <c r="M949" s="7"/>
      <c r="N949" s="7"/>
      <c r="O949" s="7"/>
    </row>
    <row r="950" ht="22.5" hidden="1" customHeight="1">
      <c r="A950" s="8">
        <v>45783.340396087966</v>
      </c>
      <c r="B950" s="9"/>
      <c r="C950" s="9" t="s">
        <v>110</v>
      </c>
      <c r="D950" s="9" t="s">
        <v>230</v>
      </c>
      <c r="E950" s="9" t="s">
        <v>17</v>
      </c>
      <c r="F950" s="9" t="s">
        <v>17</v>
      </c>
      <c r="G950" s="9" t="s">
        <v>24</v>
      </c>
      <c r="H950" s="9" t="s">
        <v>25</v>
      </c>
      <c r="I950" s="9" t="s">
        <v>20</v>
      </c>
      <c r="J950" s="10"/>
      <c r="K950" s="7"/>
      <c r="L950" s="7"/>
      <c r="M950" s="7"/>
      <c r="N950" s="7"/>
      <c r="O950" s="7"/>
    </row>
    <row r="951" ht="22.5" hidden="1" customHeight="1">
      <c r="A951" s="8">
        <v>45783.34067564815</v>
      </c>
      <c r="B951" s="9"/>
      <c r="C951" s="9" t="s">
        <v>110</v>
      </c>
      <c r="D951" s="9" t="s">
        <v>23</v>
      </c>
      <c r="E951" s="9" t="s">
        <v>17</v>
      </c>
      <c r="F951" s="9" t="s">
        <v>17</v>
      </c>
      <c r="G951" s="9" t="s">
        <v>24</v>
      </c>
      <c r="H951" s="9" t="s">
        <v>25</v>
      </c>
      <c r="I951" s="9" t="s">
        <v>316</v>
      </c>
      <c r="J951" s="10"/>
      <c r="K951" s="7"/>
      <c r="L951" s="7"/>
      <c r="M951" s="7"/>
      <c r="N951" s="7"/>
      <c r="O951" s="7"/>
    </row>
    <row r="952" ht="22.5" hidden="1" customHeight="1">
      <c r="A952" s="8">
        <v>45783.34108305555</v>
      </c>
      <c r="B952" s="9"/>
      <c r="C952" s="9" t="s">
        <v>110</v>
      </c>
      <c r="D952" s="9" t="s">
        <v>206</v>
      </c>
      <c r="E952" s="9" t="s">
        <v>17</v>
      </c>
      <c r="F952" s="9" t="s">
        <v>17</v>
      </c>
      <c r="G952" s="9" t="s">
        <v>24</v>
      </c>
      <c r="H952" s="9" t="s">
        <v>17</v>
      </c>
      <c r="I952" s="9" t="s">
        <v>20</v>
      </c>
      <c r="J952" s="10"/>
      <c r="K952" s="7"/>
      <c r="L952" s="7"/>
      <c r="M952" s="7"/>
      <c r="N952" s="7"/>
      <c r="O952" s="7"/>
    </row>
    <row r="953" ht="22.5" hidden="1" customHeight="1">
      <c r="A953" s="8">
        <v>45783.343594398146</v>
      </c>
      <c r="B953" s="9"/>
      <c r="C953" s="9" t="s">
        <v>110</v>
      </c>
      <c r="D953" s="9" t="s">
        <v>107</v>
      </c>
      <c r="E953" s="9" t="s">
        <v>17</v>
      </c>
      <c r="F953" s="9" t="s">
        <v>17</v>
      </c>
      <c r="G953" s="9" t="s">
        <v>24</v>
      </c>
      <c r="H953" s="9" t="s">
        <v>25</v>
      </c>
      <c r="I953" s="9" t="s">
        <v>311</v>
      </c>
      <c r="J953" s="10"/>
      <c r="K953" s="7"/>
      <c r="L953" s="7"/>
      <c r="M953" s="7"/>
      <c r="N953" s="7"/>
      <c r="O953" s="7"/>
    </row>
    <row r="954" ht="22.5" hidden="1" customHeight="1">
      <c r="A954" s="8">
        <v>45783.34443256944</v>
      </c>
      <c r="B954" s="9"/>
      <c r="C954" s="9" t="s">
        <v>110</v>
      </c>
      <c r="D954" s="9" t="s">
        <v>192</v>
      </c>
      <c r="E954" s="9" t="s">
        <v>17</v>
      </c>
      <c r="F954" s="9" t="s">
        <v>17</v>
      </c>
      <c r="G954" s="9" t="s">
        <v>24</v>
      </c>
      <c r="H954" s="9" t="s">
        <v>17</v>
      </c>
      <c r="I954" s="9" t="s">
        <v>20</v>
      </c>
      <c r="J954" s="10"/>
      <c r="K954" s="7"/>
      <c r="L954" s="7"/>
      <c r="M954" s="7"/>
      <c r="N954" s="7"/>
      <c r="O954" s="7"/>
    </row>
    <row r="955" ht="22.5" hidden="1" customHeight="1">
      <c r="A955" s="8">
        <v>45783.34521061342</v>
      </c>
      <c r="B955" s="9"/>
      <c r="C955" s="9" t="s">
        <v>110</v>
      </c>
      <c r="D955" s="9" t="s">
        <v>102</v>
      </c>
      <c r="E955" s="9" t="s">
        <v>17</v>
      </c>
      <c r="F955" s="9" t="s">
        <v>18</v>
      </c>
      <c r="G955" s="9" t="s">
        <v>24</v>
      </c>
      <c r="H955" s="9" t="s">
        <v>25</v>
      </c>
      <c r="I955" s="9" t="s">
        <v>322</v>
      </c>
      <c r="J955" s="10"/>
      <c r="K955" s="7"/>
      <c r="L955" s="7"/>
      <c r="M955" s="7"/>
      <c r="N955" s="7"/>
      <c r="O955" s="7"/>
    </row>
    <row r="956" ht="22.5" hidden="1" customHeight="1">
      <c r="A956" s="8">
        <v>45783.34561715278</v>
      </c>
      <c r="B956" s="9"/>
      <c r="C956" s="9" t="s">
        <v>110</v>
      </c>
      <c r="D956" s="9" t="s">
        <v>277</v>
      </c>
      <c r="E956" s="9" t="s">
        <v>17</v>
      </c>
      <c r="F956" s="9" t="s">
        <v>43</v>
      </c>
      <c r="G956" s="9" t="s">
        <v>24</v>
      </c>
      <c r="H956" s="9" t="s">
        <v>17</v>
      </c>
      <c r="I956" s="9" t="s">
        <v>20</v>
      </c>
      <c r="J956" s="10"/>
      <c r="K956" s="7"/>
      <c r="L956" s="7"/>
      <c r="M956" s="7"/>
      <c r="N956" s="7"/>
      <c r="O956" s="7"/>
    </row>
    <row r="957" ht="22.5" hidden="1" customHeight="1">
      <c r="A957" s="8">
        <v>45783.346060138894</v>
      </c>
      <c r="B957" s="9"/>
      <c r="C957" s="9" t="s">
        <v>110</v>
      </c>
      <c r="D957" s="9" t="s">
        <v>250</v>
      </c>
      <c r="E957" s="9" t="s">
        <v>17</v>
      </c>
      <c r="F957" s="9" t="s">
        <v>17</v>
      </c>
      <c r="G957" s="9" t="s">
        <v>24</v>
      </c>
      <c r="H957" s="9" t="s">
        <v>17</v>
      </c>
      <c r="I957" s="9" t="s">
        <v>20</v>
      </c>
      <c r="J957" s="10"/>
      <c r="K957" s="7"/>
      <c r="L957" s="7"/>
      <c r="M957" s="7"/>
      <c r="N957" s="7"/>
      <c r="O957" s="7"/>
    </row>
    <row r="958" ht="22.5" hidden="1" customHeight="1">
      <c r="A958" s="8">
        <v>45783.358232604165</v>
      </c>
      <c r="B958" s="9"/>
      <c r="C958" s="9" t="s">
        <v>110</v>
      </c>
      <c r="D958" s="9" t="s">
        <v>108</v>
      </c>
      <c r="E958" s="9" t="s">
        <v>17</v>
      </c>
      <c r="F958" s="9" t="s">
        <v>17</v>
      </c>
      <c r="G958" s="9" t="s">
        <v>24</v>
      </c>
      <c r="H958" s="9" t="s">
        <v>25</v>
      </c>
      <c r="I958" s="9" t="s">
        <v>320</v>
      </c>
      <c r="J958" s="10"/>
      <c r="K958" s="7"/>
      <c r="L958" s="7"/>
      <c r="M958" s="7"/>
      <c r="N958" s="7"/>
      <c r="O958" s="7"/>
    </row>
    <row r="959" ht="22.5" hidden="1" customHeight="1">
      <c r="A959" s="8">
        <v>45783.35852716435</v>
      </c>
      <c r="B959" s="9"/>
      <c r="C959" s="9" t="s">
        <v>110</v>
      </c>
      <c r="D959" s="9" t="s">
        <v>227</v>
      </c>
      <c r="E959" s="9" t="s">
        <v>17</v>
      </c>
      <c r="F959" s="9" t="s">
        <v>17</v>
      </c>
      <c r="G959" s="9" t="s">
        <v>24</v>
      </c>
      <c r="H959" s="9" t="s">
        <v>17</v>
      </c>
      <c r="I959" s="9" t="s">
        <v>20</v>
      </c>
      <c r="J959" s="10"/>
      <c r="K959" s="7"/>
      <c r="L959" s="7"/>
      <c r="M959" s="7"/>
      <c r="N959" s="7"/>
      <c r="O959" s="7"/>
    </row>
    <row r="960" ht="22.5" hidden="1" customHeight="1">
      <c r="A960" s="8">
        <v>45783.35949797454</v>
      </c>
      <c r="B960" s="9"/>
      <c r="C960" s="9" t="s">
        <v>110</v>
      </c>
      <c r="D960" s="9" t="s">
        <v>109</v>
      </c>
      <c r="E960" s="9" t="s">
        <v>17</v>
      </c>
      <c r="F960" s="9" t="s">
        <v>43</v>
      </c>
      <c r="G960" s="9" t="s">
        <v>24</v>
      </c>
      <c r="H960" s="9" t="s">
        <v>17</v>
      </c>
      <c r="I960" s="9" t="s">
        <v>20</v>
      </c>
      <c r="J960" s="10"/>
      <c r="K960" s="7"/>
      <c r="L960" s="7"/>
      <c r="M960" s="7"/>
      <c r="N960" s="7"/>
      <c r="O960" s="7"/>
    </row>
    <row r="961" ht="22.5" hidden="1" customHeight="1">
      <c r="A961" s="8">
        <v>45783.36011262731</v>
      </c>
      <c r="B961" s="9"/>
      <c r="C961" s="9" t="s">
        <v>110</v>
      </c>
      <c r="D961" s="9" t="s">
        <v>132</v>
      </c>
      <c r="E961" s="9" t="s">
        <v>30</v>
      </c>
      <c r="F961" s="9" t="s">
        <v>17</v>
      </c>
      <c r="G961" s="9" t="s">
        <v>24</v>
      </c>
      <c r="H961" s="9" t="s">
        <v>22</v>
      </c>
      <c r="I961" s="9" t="s">
        <v>20</v>
      </c>
      <c r="J961" s="10"/>
      <c r="K961" s="7"/>
      <c r="L961" s="7"/>
      <c r="M961" s="7"/>
      <c r="N961" s="7"/>
      <c r="O961" s="7"/>
    </row>
    <row r="962" ht="22.5" hidden="1" customHeight="1">
      <c r="A962" s="8">
        <v>45783.36045238426</v>
      </c>
      <c r="B962" s="9"/>
      <c r="C962" s="9" t="s">
        <v>110</v>
      </c>
      <c r="D962" s="9" t="s">
        <v>260</v>
      </c>
      <c r="E962" s="9" t="s">
        <v>17</v>
      </c>
      <c r="F962" s="9" t="s">
        <v>17</v>
      </c>
      <c r="G962" s="9" t="s">
        <v>24</v>
      </c>
      <c r="H962" s="9" t="s">
        <v>17</v>
      </c>
      <c r="I962" s="9" t="s">
        <v>20</v>
      </c>
      <c r="J962" s="10"/>
      <c r="K962" s="7"/>
      <c r="L962" s="7"/>
      <c r="M962" s="7"/>
      <c r="N962" s="7"/>
      <c r="O962" s="7"/>
    </row>
    <row r="963" ht="22.5" hidden="1" customHeight="1">
      <c r="A963" s="8">
        <v>45785.64621443287</v>
      </c>
      <c r="B963" s="9"/>
      <c r="C963" s="9" t="s">
        <v>31</v>
      </c>
      <c r="D963" s="9" t="s">
        <v>42</v>
      </c>
      <c r="E963" s="9" t="s">
        <v>57</v>
      </c>
      <c r="F963" s="9" t="s">
        <v>18</v>
      </c>
      <c r="G963" s="9" t="s">
        <v>19</v>
      </c>
      <c r="H963" s="9" t="s">
        <v>22</v>
      </c>
      <c r="I963" s="9" t="s">
        <v>20</v>
      </c>
      <c r="J963" s="10"/>
      <c r="K963" s="7"/>
      <c r="L963" s="7"/>
      <c r="M963" s="7"/>
      <c r="N963" s="7"/>
      <c r="O963" s="7"/>
    </row>
    <row r="964" ht="22.5" hidden="1" customHeight="1">
      <c r="A964" s="8">
        <v>45785.64723241898</v>
      </c>
      <c r="B964" s="9"/>
      <c r="C964" s="9" t="s">
        <v>31</v>
      </c>
      <c r="D964" s="9" t="s">
        <v>27</v>
      </c>
      <c r="E964" s="9" t="s">
        <v>17</v>
      </c>
      <c r="F964" s="9" t="s">
        <v>17</v>
      </c>
      <c r="G964" s="9" t="s">
        <v>24</v>
      </c>
      <c r="H964" s="9" t="s">
        <v>17</v>
      </c>
      <c r="I964" s="9" t="s">
        <v>20</v>
      </c>
      <c r="J964" s="10"/>
      <c r="K964" s="7"/>
      <c r="L964" s="7"/>
      <c r="M964" s="7"/>
      <c r="N964" s="7"/>
      <c r="O964" s="7"/>
    </row>
    <row r="965" ht="22.5" hidden="1" customHeight="1">
      <c r="A965" s="8">
        <v>45785.654561006944</v>
      </c>
      <c r="B965" s="9"/>
      <c r="C965" s="9" t="s">
        <v>31</v>
      </c>
      <c r="D965" s="9" t="s">
        <v>33</v>
      </c>
      <c r="E965" s="9" t="s">
        <v>17</v>
      </c>
      <c r="F965" s="9" t="s">
        <v>17</v>
      </c>
      <c r="G965" s="9" t="s">
        <v>24</v>
      </c>
      <c r="H965" s="9" t="s">
        <v>17</v>
      </c>
      <c r="I965" s="9" t="s">
        <v>20</v>
      </c>
      <c r="J965" s="10"/>
      <c r="K965" s="7"/>
      <c r="L965" s="7"/>
      <c r="M965" s="7"/>
      <c r="N965" s="7"/>
      <c r="O965" s="7"/>
    </row>
    <row r="966" ht="22.5" hidden="1" customHeight="1">
      <c r="A966" s="8">
        <v>45786.653156932865</v>
      </c>
      <c r="B966" s="9"/>
      <c r="C966" s="9" t="s">
        <v>48</v>
      </c>
      <c r="D966" s="9" t="s">
        <v>33</v>
      </c>
      <c r="E966" s="9" t="s">
        <v>17</v>
      </c>
      <c r="F966" s="9" t="s">
        <v>17</v>
      </c>
      <c r="G966" s="9" t="s">
        <v>24</v>
      </c>
      <c r="H966" s="9" t="s">
        <v>17</v>
      </c>
      <c r="I966" s="9" t="s">
        <v>20</v>
      </c>
      <c r="J966" s="10"/>
      <c r="K966" s="7"/>
      <c r="L966" s="7"/>
      <c r="M966" s="7"/>
      <c r="N966" s="7"/>
      <c r="O966" s="7"/>
    </row>
    <row r="967" ht="22.5" hidden="1" customHeight="1">
      <c r="A967" s="8">
        <v>45786.65531016204</v>
      </c>
      <c r="B967" s="9"/>
      <c r="C967" s="9" t="s">
        <v>48</v>
      </c>
      <c r="D967" s="9" t="s">
        <v>51</v>
      </c>
      <c r="E967" s="9" t="s">
        <v>17</v>
      </c>
      <c r="F967" s="9" t="s">
        <v>17</v>
      </c>
      <c r="G967" s="9" t="s">
        <v>19</v>
      </c>
      <c r="H967" s="9" t="s">
        <v>17</v>
      </c>
      <c r="I967" s="9" t="s">
        <v>20</v>
      </c>
      <c r="J967" s="10"/>
      <c r="K967" s="7"/>
      <c r="L967" s="7"/>
      <c r="M967" s="7"/>
      <c r="N967" s="7"/>
      <c r="O967" s="7"/>
    </row>
    <row r="968" ht="22.5" hidden="1" customHeight="1">
      <c r="A968" s="8">
        <v>45786.6560484838</v>
      </c>
      <c r="B968" s="9"/>
      <c r="C968" s="9" t="s">
        <v>48</v>
      </c>
      <c r="D968" s="9" t="s">
        <v>235</v>
      </c>
      <c r="E968" s="9" t="s">
        <v>17</v>
      </c>
      <c r="F968" s="9" t="s">
        <v>17</v>
      </c>
      <c r="G968" s="9" t="s">
        <v>19</v>
      </c>
      <c r="H968" s="9" t="s">
        <v>25</v>
      </c>
      <c r="I968" s="9" t="s">
        <v>137</v>
      </c>
      <c r="J968" s="10"/>
      <c r="K968" s="7"/>
      <c r="L968" s="7"/>
      <c r="M968" s="7"/>
      <c r="N968" s="7"/>
      <c r="O968" s="7"/>
    </row>
    <row r="969" ht="22.5" hidden="1" customHeight="1">
      <c r="A969" s="8">
        <v>45786.65780729167</v>
      </c>
      <c r="B969" s="9"/>
      <c r="C969" s="9" t="s">
        <v>48</v>
      </c>
      <c r="D969" s="9" t="s">
        <v>102</v>
      </c>
      <c r="E969" s="9" t="s">
        <v>17</v>
      </c>
      <c r="F969" s="9" t="s">
        <v>17</v>
      </c>
      <c r="G969" s="9" t="s">
        <v>24</v>
      </c>
      <c r="H969" s="9" t="s">
        <v>25</v>
      </c>
      <c r="I969" s="9" t="s">
        <v>211</v>
      </c>
      <c r="J969" s="10"/>
      <c r="K969" s="7"/>
      <c r="L969" s="7"/>
      <c r="M969" s="7"/>
      <c r="N969" s="7"/>
      <c r="O969" s="7"/>
    </row>
    <row r="970" ht="22.5" hidden="1" customHeight="1">
      <c r="A970" s="8">
        <v>45786.65998186343</v>
      </c>
      <c r="B970" s="9"/>
      <c r="C970" s="9" t="s">
        <v>48</v>
      </c>
      <c r="D970" s="9" t="s">
        <v>133</v>
      </c>
      <c r="E970" s="9" t="s">
        <v>17</v>
      </c>
      <c r="F970" s="9" t="s">
        <v>17</v>
      </c>
      <c r="G970" s="9" t="s">
        <v>24</v>
      </c>
      <c r="H970" s="9" t="s">
        <v>17</v>
      </c>
      <c r="I970" s="9" t="s">
        <v>20</v>
      </c>
      <c r="J970" s="10"/>
      <c r="K970" s="7"/>
      <c r="L970" s="7"/>
      <c r="M970" s="7"/>
      <c r="N970" s="7"/>
      <c r="O970" s="7"/>
    </row>
    <row r="971" ht="22.5" hidden="1" customHeight="1">
      <c r="A971" s="8">
        <v>45786.66049277778</v>
      </c>
      <c r="B971" s="9"/>
      <c r="C971" s="9" t="s">
        <v>48</v>
      </c>
      <c r="D971" s="9" t="s">
        <v>250</v>
      </c>
      <c r="E971" s="9" t="s">
        <v>17</v>
      </c>
      <c r="F971" s="9" t="s">
        <v>17</v>
      </c>
      <c r="G971" s="9" t="s">
        <v>24</v>
      </c>
      <c r="H971" s="9" t="s">
        <v>17</v>
      </c>
      <c r="I971" s="9" t="s">
        <v>20</v>
      </c>
      <c r="J971" s="10"/>
      <c r="K971" s="7"/>
      <c r="L971" s="7"/>
      <c r="M971" s="7"/>
      <c r="N971" s="7"/>
      <c r="O971" s="7"/>
    </row>
    <row r="972" ht="22.5" hidden="1" customHeight="1">
      <c r="A972" s="8">
        <v>45786.660779074075</v>
      </c>
      <c r="B972" s="9"/>
      <c r="C972" s="9" t="s">
        <v>48</v>
      </c>
      <c r="D972" s="9" t="s">
        <v>206</v>
      </c>
      <c r="E972" s="9" t="s">
        <v>17</v>
      </c>
      <c r="F972" s="9" t="s">
        <v>17</v>
      </c>
      <c r="G972" s="9" t="s">
        <v>24</v>
      </c>
      <c r="H972" s="9" t="s">
        <v>17</v>
      </c>
      <c r="I972" s="9" t="s">
        <v>20</v>
      </c>
      <c r="J972" s="10"/>
      <c r="K972" s="7"/>
      <c r="L972" s="7"/>
      <c r="M972" s="7"/>
      <c r="N972" s="7"/>
      <c r="O972" s="7"/>
    </row>
    <row r="973" ht="22.5" hidden="1" customHeight="1">
      <c r="A973" s="8">
        <v>45786.661154456015</v>
      </c>
      <c r="B973" s="9"/>
      <c r="C973" s="9" t="s">
        <v>48</v>
      </c>
      <c r="D973" s="9" t="s">
        <v>192</v>
      </c>
      <c r="E973" s="9" t="s">
        <v>17</v>
      </c>
      <c r="F973" s="9" t="s">
        <v>17</v>
      </c>
      <c r="G973" s="9" t="s">
        <v>24</v>
      </c>
      <c r="H973" s="9" t="s">
        <v>17</v>
      </c>
      <c r="I973" s="9" t="s">
        <v>20</v>
      </c>
      <c r="J973" s="10"/>
      <c r="K973" s="7"/>
      <c r="L973" s="7"/>
      <c r="M973" s="7"/>
      <c r="N973" s="7"/>
      <c r="O973" s="7"/>
    </row>
    <row r="974" ht="22.5" hidden="1" customHeight="1">
      <c r="A974" s="8">
        <v>45786.66161282407</v>
      </c>
      <c r="B974" s="9"/>
      <c r="C974" s="9" t="s">
        <v>48</v>
      </c>
      <c r="D974" s="9" t="s">
        <v>68</v>
      </c>
      <c r="E974" s="9" t="s">
        <v>17</v>
      </c>
      <c r="F974" s="9" t="s">
        <v>17</v>
      </c>
      <c r="G974" s="9" t="s">
        <v>24</v>
      </c>
      <c r="H974" s="9" t="s">
        <v>17</v>
      </c>
      <c r="I974" s="9" t="s">
        <v>20</v>
      </c>
      <c r="J974" s="10"/>
      <c r="K974" s="7"/>
      <c r="L974" s="7"/>
      <c r="M974" s="7"/>
      <c r="N974" s="7"/>
      <c r="O974" s="7"/>
    </row>
    <row r="975" ht="22.5" hidden="1" customHeight="1">
      <c r="A975" s="8">
        <v>45786.66216452546</v>
      </c>
      <c r="B975" s="9"/>
      <c r="C975" s="9" t="s">
        <v>48</v>
      </c>
      <c r="D975" s="9" t="s">
        <v>277</v>
      </c>
      <c r="E975" s="9" t="s">
        <v>17</v>
      </c>
      <c r="F975" s="9" t="s">
        <v>43</v>
      </c>
      <c r="G975" s="9" t="s">
        <v>19</v>
      </c>
      <c r="H975" s="9" t="s">
        <v>17</v>
      </c>
      <c r="I975" s="9" t="s">
        <v>20</v>
      </c>
      <c r="J975" s="10"/>
      <c r="K975" s="7"/>
      <c r="L975" s="7"/>
      <c r="M975" s="7"/>
      <c r="N975" s="7"/>
      <c r="O975" s="7"/>
    </row>
    <row r="976" ht="22.5" hidden="1" customHeight="1">
      <c r="A976" s="8">
        <v>45786.66362072917</v>
      </c>
      <c r="B976" s="9"/>
      <c r="C976" s="9" t="s">
        <v>48</v>
      </c>
      <c r="D976" s="9" t="s">
        <v>23</v>
      </c>
      <c r="E976" s="9" t="s">
        <v>17</v>
      </c>
      <c r="F976" s="9" t="s">
        <v>17</v>
      </c>
      <c r="G976" s="9" t="s">
        <v>24</v>
      </c>
      <c r="H976" s="9" t="s">
        <v>25</v>
      </c>
      <c r="I976" s="9" t="s">
        <v>316</v>
      </c>
      <c r="J976" s="10"/>
      <c r="K976" s="7"/>
      <c r="L976" s="7"/>
      <c r="M976" s="7"/>
      <c r="N976" s="7"/>
      <c r="O976" s="7"/>
    </row>
    <row r="977" ht="22.5" hidden="1" customHeight="1">
      <c r="A977" s="8">
        <v>45786.66402548611</v>
      </c>
      <c r="B977" s="9"/>
      <c r="C977" s="9" t="s">
        <v>48</v>
      </c>
      <c r="D977" s="9" t="s">
        <v>132</v>
      </c>
      <c r="E977" s="9" t="s">
        <v>30</v>
      </c>
      <c r="F977" s="9" t="s">
        <v>17</v>
      </c>
      <c r="G977" s="9" t="s">
        <v>24</v>
      </c>
      <c r="H977" s="9" t="s">
        <v>22</v>
      </c>
      <c r="I977" s="9" t="s">
        <v>20</v>
      </c>
      <c r="J977" s="10"/>
      <c r="K977" s="7"/>
      <c r="L977" s="7"/>
      <c r="M977" s="7"/>
      <c r="N977" s="7"/>
      <c r="O977" s="7"/>
    </row>
    <row r="978" ht="22.5" hidden="1" customHeight="1">
      <c r="A978" s="8">
        <v>45786.664348645834</v>
      </c>
      <c r="B978" s="9"/>
      <c r="C978" s="9" t="s">
        <v>48</v>
      </c>
      <c r="D978" s="9" t="s">
        <v>260</v>
      </c>
      <c r="E978" s="9" t="s">
        <v>17</v>
      </c>
      <c r="F978" s="9" t="s">
        <v>17</v>
      </c>
      <c r="G978" s="9" t="s">
        <v>24</v>
      </c>
      <c r="H978" s="9" t="s">
        <v>17</v>
      </c>
      <c r="I978" s="9" t="s">
        <v>20</v>
      </c>
      <c r="J978" s="10"/>
      <c r="K978" s="7"/>
      <c r="L978" s="7"/>
      <c r="M978" s="7"/>
      <c r="N978" s="7"/>
      <c r="O978" s="7"/>
    </row>
    <row r="979" ht="22.5" hidden="1" customHeight="1">
      <c r="A979" s="8">
        <v>45786.66688010417</v>
      </c>
      <c r="B979" s="9"/>
      <c r="C979" s="9" t="s">
        <v>48</v>
      </c>
      <c r="D979" s="9" t="s">
        <v>127</v>
      </c>
      <c r="E979" s="9" t="s">
        <v>17</v>
      </c>
      <c r="F979" s="9" t="s">
        <v>17</v>
      </c>
      <c r="G979" s="9" t="s">
        <v>24</v>
      </c>
      <c r="H979" s="9" t="s">
        <v>25</v>
      </c>
      <c r="I979" s="9" t="s">
        <v>218</v>
      </c>
      <c r="J979" s="10"/>
      <c r="K979" s="7"/>
      <c r="L979" s="7"/>
      <c r="M979" s="7"/>
      <c r="N979" s="7"/>
      <c r="O979" s="7"/>
    </row>
    <row r="980" ht="22.5" hidden="1" customHeight="1">
      <c r="A980" s="8">
        <v>45786.66782998842</v>
      </c>
      <c r="B980" s="9"/>
      <c r="C980" s="9" t="s">
        <v>48</v>
      </c>
      <c r="D980" s="9" t="s">
        <v>227</v>
      </c>
      <c r="E980" s="9" t="s">
        <v>17</v>
      </c>
      <c r="F980" s="9" t="s">
        <v>17</v>
      </c>
      <c r="G980" s="9" t="s">
        <v>19</v>
      </c>
      <c r="H980" s="9" t="s">
        <v>25</v>
      </c>
      <c r="I980" s="9" t="s">
        <v>34</v>
      </c>
      <c r="J980" s="10"/>
      <c r="K980" s="7"/>
      <c r="L980" s="7"/>
      <c r="M980" s="7"/>
      <c r="N980" s="7"/>
      <c r="O980" s="7"/>
    </row>
    <row r="981" ht="22.5" hidden="1" customHeight="1">
      <c r="A981" s="8">
        <v>45786.66864261574</v>
      </c>
      <c r="B981" s="9"/>
      <c r="C981" s="9" t="s">
        <v>48</v>
      </c>
      <c r="D981" s="9" t="s">
        <v>107</v>
      </c>
      <c r="E981" s="9" t="s">
        <v>46</v>
      </c>
      <c r="F981" s="9" t="s">
        <v>35</v>
      </c>
      <c r="G981" s="9" t="s">
        <v>19</v>
      </c>
      <c r="H981" s="9" t="s">
        <v>25</v>
      </c>
      <c r="I981" s="9" t="s">
        <v>311</v>
      </c>
      <c r="J981" s="10"/>
      <c r="K981" s="7"/>
      <c r="L981" s="7"/>
      <c r="M981" s="7"/>
      <c r="N981" s="7"/>
      <c r="O981" s="7"/>
    </row>
    <row r="982" ht="22.5" hidden="1" customHeight="1">
      <c r="A982" s="8">
        <v>45786.66925331019</v>
      </c>
      <c r="B982" s="9"/>
      <c r="C982" s="9" t="s">
        <v>48</v>
      </c>
      <c r="D982" s="9" t="s">
        <v>27</v>
      </c>
      <c r="E982" s="9" t="s">
        <v>17</v>
      </c>
      <c r="F982" s="9" t="s">
        <v>17</v>
      </c>
      <c r="G982" s="9" t="s">
        <v>24</v>
      </c>
      <c r="H982" s="9" t="s">
        <v>25</v>
      </c>
      <c r="I982" s="9" t="s">
        <v>79</v>
      </c>
      <c r="J982" s="10"/>
      <c r="K982" s="7"/>
      <c r="L982" s="7"/>
      <c r="M982" s="7"/>
      <c r="N982" s="7"/>
      <c r="O982" s="7"/>
    </row>
    <row r="983" ht="22.5" hidden="1" customHeight="1">
      <c r="A983" s="8">
        <v>45786.66974842593</v>
      </c>
      <c r="B983" s="9"/>
      <c r="C983" s="9" t="s">
        <v>48</v>
      </c>
      <c r="D983" s="9" t="s">
        <v>109</v>
      </c>
      <c r="E983" s="9" t="s">
        <v>17</v>
      </c>
      <c r="F983" s="9" t="s">
        <v>17</v>
      </c>
      <c r="G983" s="9" t="s">
        <v>24</v>
      </c>
      <c r="H983" s="9" t="s">
        <v>17</v>
      </c>
      <c r="I983" s="9" t="s">
        <v>20</v>
      </c>
      <c r="J983" s="10"/>
      <c r="K983" s="7"/>
      <c r="L983" s="7"/>
      <c r="M983" s="7"/>
      <c r="N983" s="7"/>
      <c r="O983" s="7"/>
    </row>
    <row r="984" ht="22.5" hidden="1" customHeight="1">
      <c r="A984" s="8">
        <v>45786.67008494213</v>
      </c>
      <c r="B984" s="9"/>
      <c r="C984" s="9" t="s">
        <v>48</v>
      </c>
      <c r="D984" s="9" t="s">
        <v>230</v>
      </c>
      <c r="E984" s="9" t="s">
        <v>17</v>
      </c>
      <c r="F984" s="9" t="s">
        <v>17</v>
      </c>
      <c r="G984" s="9" t="s">
        <v>19</v>
      </c>
      <c r="H984" s="9" t="s">
        <v>17</v>
      </c>
      <c r="I984" s="9" t="s">
        <v>20</v>
      </c>
      <c r="J984" s="10"/>
      <c r="K984" s="7"/>
      <c r="L984" s="7"/>
      <c r="M984" s="7"/>
      <c r="N984" s="7"/>
      <c r="O984" s="7"/>
    </row>
    <row r="985" ht="22.5" hidden="1" customHeight="1">
      <c r="A985" s="8">
        <v>45786.67133940972</v>
      </c>
      <c r="B985" s="9"/>
      <c r="C985" s="9" t="s">
        <v>48</v>
      </c>
      <c r="D985" s="9" t="s">
        <v>108</v>
      </c>
      <c r="E985" s="9" t="s">
        <v>46</v>
      </c>
      <c r="F985" s="9" t="s">
        <v>17</v>
      </c>
      <c r="G985" s="9" t="s">
        <v>24</v>
      </c>
      <c r="H985" s="9" t="s">
        <v>25</v>
      </c>
      <c r="I985" s="9" t="s">
        <v>320</v>
      </c>
      <c r="J985" s="10"/>
      <c r="K985" s="7"/>
      <c r="L985" s="7"/>
      <c r="M985" s="7"/>
      <c r="N985" s="7"/>
      <c r="O985" s="7"/>
    </row>
    <row r="986" ht="22.5" hidden="1" customHeight="1">
      <c r="A986" s="8">
        <v>45789.33456335648</v>
      </c>
      <c r="B986" s="9"/>
      <c r="C986" s="9" t="s">
        <v>86</v>
      </c>
      <c r="D986" s="9" t="s">
        <v>235</v>
      </c>
      <c r="E986" s="9" t="s">
        <v>17</v>
      </c>
      <c r="F986" s="9" t="s">
        <v>17</v>
      </c>
      <c r="G986" s="9" t="s">
        <v>24</v>
      </c>
      <c r="H986" s="9" t="s">
        <v>25</v>
      </c>
      <c r="I986" s="9" t="s">
        <v>137</v>
      </c>
      <c r="J986" s="10"/>
      <c r="K986" s="7"/>
      <c r="L986" s="7"/>
      <c r="M986" s="7"/>
      <c r="N986" s="7"/>
      <c r="O986" s="7"/>
    </row>
    <row r="987" ht="22.5" hidden="1" customHeight="1">
      <c r="A987" s="8">
        <v>45789.335112280096</v>
      </c>
      <c r="B987" s="9"/>
      <c r="C987" s="9" t="s">
        <v>86</v>
      </c>
      <c r="D987" s="9" t="s">
        <v>230</v>
      </c>
      <c r="E987" s="9" t="s">
        <v>17</v>
      </c>
      <c r="F987" s="9" t="s">
        <v>17</v>
      </c>
      <c r="G987" s="9" t="s">
        <v>40</v>
      </c>
      <c r="H987" s="9" t="s">
        <v>25</v>
      </c>
      <c r="I987" s="9" t="s">
        <v>137</v>
      </c>
      <c r="J987" s="10"/>
      <c r="K987" s="7"/>
      <c r="L987" s="7"/>
      <c r="M987" s="7"/>
      <c r="N987" s="7"/>
      <c r="O987" s="7"/>
    </row>
    <row r="988" ht="22.5" hidden="1" customHeight="1">
      <c r="A988" s="8">
        <v>45789.336097638894</v>
      </c>
      <c r="B988" s="9"/>
      <c r="C988" s="9" t="s">
        <v>86</v>
      </c>
      <c r="D988" s="9" t="s">
        <v>127</v>
      </c>
      <c r="E988" s="9" t="s">
        <v>17</v>
      </c>
      <c r="F988" s="9" t="s">
        <v>60</v>
      </c>
      <c r="G988" s="9" t="s">
        <v>40</v>
      </c>
      <c r="H988" s="9" t="s">
        <v>25</v>
      </c>
      <c r="I988" s="9" t="s">
        <v>218</v>
      </c>
      <c r="J988" s="10"/>
      <c r="K988" s="7"/>
      <c r="L988" s="7"/>
      <c r="M988" s="7"/>
      <c r="N988" s="7"/>
      <c r="O988" s="7"/>
    </row>
    <row r="989" ht="22.5" hidden="1" customHeight="1">
      <c r="A989" s="8">
        <v>45789.33666375</v>
      </c>
      <c r="B989" s="9"/>
      <c r="C989" s="9" t="s">
        <v>86</v>
      </c>
      <c r="D989" s="9" t="s">
        <v>23</v>
      </c>
      <c r="E989" s="9" t="s">
        <v>17</v>
      </c>
      <c r="F989" s="9" t="s">
        <v>17</v>
      </c>
      <c r="G989" s="9" t="s">
        <v>24</v>
      </c>
      <c r="H989" s="9" t="s">
        <v>25</v>
      </c>
      <c r="I989" s="9" t="s">
        <v>34</v>
      </c>
      <c r="J989" s="10"/>
      <c r="K989" s="7"/>
      <c r="L989" s="7"/>
      <c r="M989" s="7"/>
      <c r="N989" s="7"/>
      <c r="O989" s="7"/>
    </row>
    <row r="990" ht="22.5" hidden="1" customHeight="1">
      <c r="A990" s="8">
        <v>45789.33722494213</v>
      </c>
      <c r="B990" s="9"/>
      <c r="C990" s="9" t="s">
        <v>86</v>
      </c>
      <c r="D990" s="9" t="s">
        <v>68</v>
      </c>
      <c r="E990" s="9" t="s">
        <v>17</v>
      </c>
      <c r="F990" s="9" t="s">
        <v>17</v>
      </c>
      <c r="G990" s="9" t="s">
        <v>24</v>
      </c>
      <c r="H990" s="9" t="s">
        <v>17</v>
      </c>
      <c r="I990" s="9" t="s">
        <v>20</v>
      </c>
      <c r="J990" s="10"/>
      <c r="K990" s="7"/>
      <c r="L990" s="7"/>
      <c r="M990" s="7"/>
      <c r="N990" s="7"/>
      <c r="O990" s="7"/>
    </row>
    <row r="991" ht="22.5" hidden="1" customHeight="1">
      <c r="A991" s="8">
        <v>45789.33764496528</v>
      </c>
      <c r="B991" s="9"/>
      <c r="C991" s="9" t="s">
        <v>86</v>
      </c>
      <c r="D991" s="9" t="s">
        <v>277</v>
      </c>
      <c r="E991" s="9" t="s">
        <v>17</v>
      </c>
      <c r="F991" s="9" t="s">
        <v>17</v>
      </c>
      <c r="G991" s="9" t="s">
        <v>19</v>
      </c>
      <c r="H991" s="9" t="s">
        <v>17</v>
      </c>
      <c r="I991" s="9" t="s">
        <v>20</v>
      </c>
      <c r="J991" s="10"/>
      <c r="K991" s="7"/>
      <c r="L991" s="7"/>
      <c r="M991" s="7"/>
      <c r="N991" s="7"/>
      <c r="O991" s="7"/>
    </row>
    <row r="992" ht="22.5" hidden="1" customHeight="1">
      <c r="A992" s="8">
        <v>45789.33803370371</v>
      </c>
      <c r="B992" s="9"/>
      <c r="C992" s="9" t="s">
        <v>86</v>
      </c>
      <c r="D992" s="9" t="s">
        <v>133</v>
      </c>
      <c r="E992" s="9" t="s">
        <v>17</v>
      </c>
      <c r="F992" s="9" t="s">
        <v>17</v>
      </c>
      <c r="G992" s="9" t="s">
        <v>24</v>
      </c>
      <c r="H992" s="9" t="s">
        <v>17</v>
      </c>
      <c r="I992" s="9" t="s">
        <v>20</v>
      </c>
      <c r="J992" s="10"/>
      <c r="K992" s="7"/>
      <c r="L992" s="7"/>
      <c r="M992" s="7"/>
      <c r="N992" s="7"/>
      <c r="O992" s="7"/>
    </row>
    <row r="993" ht="22.5" hidden="1" customHeight="1">
      <c r="A993" s="8">
        <v>45789.33830957176</v>
      </c>
      <c r="B993" s="9"/>
      <c r="C993" s="9" t="s">
        <v>86</v>
      </c>
      <c r="D993" s="9" t="s">
        <v>250</v>
      </c>
      <c r="E993" s="9" t="s">
        <v>17</v>
      </c>
      <c r="F993" s="9" t="s">
        <v>17</v>
      </c>
      <c r="G993" s="9" t="s">
        <v>24</v>
      </c>
      <c r="H993" s="9" t="s">
        <v>17</v>
      </c>
      <c r="I993" s="9" t="s">
        <v>20</v>
      </c>
      <c r="J993" s="10"/>
      <c r="K993" s="7"/>
      <c r="L993" s="7"/>
      <c r="M993" s="7"/>
      <c r="N993" s="7"/>
      <c r="O993" s="7"/>
    </row>
    <row r="994" ht="22.5" hidden="1" customHeight="1">
      <c r="A994" s="8">
        <v>45789.33899152778</v>
      </c>
      <c r="B994" s="9"/>
      <c r="C994" s="9" t="s">
        <v>86</v>
      </c>
      <c r="D994" s="9" t="s">
        <v>107</v>
      </c>
      <c r="E994" s="9" t="s">
        <v>61</v>
      </c>
      <c r="F994" s="9" t="s">
        <v>18</v>
      </c>
      <c r="G994" s="9" t="s">
        <v>24</v>
      </c>
      <c r="H994" s="9" t="s">
        <v>25</v>
      </c>
      <c r="I994" s="9" t="s">
        <v>323</v>
      </c>
      <c r="J994" s="10"/>
      <c r="K994" s="7"/>
      <c r="L994" s="7"/>
      <c r="M994" s="7"/>
      <c r="N994" s="7"/>
      <c r="O994" s="7"/>
    </row>
    <row r="995" ht="22.5" hidden="1" customHeight="1">
      <c r="A995" s="8">
        <v>45789.33938636574</v>
      </c>
      <c r="B995" s="9"/>
      <c r="C995" s="9" t="s">
        <v>86</v>
      </c>
      <c r="D995" s="9" t="s">
        <v>109</v>
      </c>
      <c r="E995" s="9" t="s">
        <v>17</v>
      </c>
      <c r="F995" s="9" t="s">
        <v>17</v>
      </c>
      <c r="G995" s="9" t="s">
        <v>24</v>
      </c>
      <c r="H995" s="9" t="s">
        <v>62</v>
      </c>
      <c r="I995" s="9" t="s">
        <v>20</v>
      </c>
      <c r="J995" s="10"/>
      <c r="K995" s="7"/>
      <c r="L995" s="7"/>
      <c r="M995" s="7"/>
      <c r="N995" s="7"/>
      <c r="O995" s="7"/>
    </row>
    <row r="996" ht="22.5" hidden="1" customHeight="1">
      <c r="A996" s="8">
        <v>45789.33993689815</v>
      </c>
      <c r="B996" s="9"/>
      <c r="C996" s="9" t="s">
        <v>86</v>
      </c>
      <c r="D996" s="9" t="s">
        <v>227</v>
      </c>
      <c r="E996" s="9" t="s">
        <v>17</v>
      </c>
      <c r="F996" s="9" t="s">
        <v>17</v>
      </c>
      <c r="G996" s="9" t="s">
        <v>24</v>
      </c>
      <c r="H996" s="9" t="s">
        <v>17</v>
      </c>
      <c r="I996" s="9" t="s">
        <v>20</v>
      </c>
      <c r="J996" s="10"/>
      <c r="K996" s="7"/>
      <c r="L996" s="7"/>
      <c r="M996" s="7"/>
      <c r="N996" s="7"/>
      <c r="O996" s="7"/>
    </row>
    <row r="997" ht="22.5" hidden="1" customHeight="1">
      <c r="A997" s="8">
        <v>45789.34039798611</v>
      </c>
      <c r="B997" s="9"/>
      <c r="C997" s="9" t="s">
        <v>86</v>
      </c>
      <c r="D997" s="9" t="s">
        <v>108</v>
      </c>
      <c r="E997" s="9" t="s">
        <v>17</v>
      </c>
      <c r="F997" s="9" t="s">
        <v>17</v>
      </c>
      <c r="G997" s="9" t="s">
        <v>24</v>
      </c>
      <c r="H997" s="9" t="s">
        <v>25</v>
      </c>
      <c r="I997" s="9" t="s">
        <v>218</v>
      </c>
      <c r="J997" s="10"/>
      <c r="K997" s="7"/>
      <c r="L997" s="7"/>
      <c r="M997" s="7"/>
      <c r="N997" s="7"/>
      <c r="O997" s="7"/>
    </row>
    <row r="998" ht="22.5" hidden="1" customHeight="1">
      <c r="A998" s="8">
        <v>45789.34229543981</v>
      </c>
      <c r="B998" s="9"/>
      <c r="C998" s="9" t="s">
        <v>86</v>
      </c>
      <c r="D998" s="9" t="s">
        <v>132</v>
      </c>
      <c r="E998" s="9" t="s">
        <v>30</v>
      </c>
      <c r="F998" s="9" t="s">
        <v>17</v>
      </c>
      <c r="G998" s="9" t="s">
        <v>24</v>
      </c>
      <c r="H998" s="9" t="s">
        <v>17</v>
      </c>
      <c r="I998" s="9" t="s">
        <v>20</v>
      </c>
      <c r="J998" s="10"/>
      <c r="K998" s="7"/>
      <c r="L998" s="7"/>
      <c r="M998" s="7"/>
      <c r="N998" s="7"/>
      <c r="O998" s="7"/>
    </row>
    <row r="999" ht="22.5" hidden="1" customHeight="1">
      <c r="A999" s="8">
        <v>45789.34679275463</v>
      </c>
      <c r="B999" s="9"/>
      <c r="C999" s="9" t="s">
        <v>86</v>
      </c>
      <c r="D999" s="9" t="s">
        <v>102</v>
      </c>
      <c r="E999" s="9" t="s">
        <v>17</v>
      </c>
      <c r="F999" s="9" t="s">
        <v>17</v>
      </c>
      <c r="G999" s="9" t="s">
        <v>24</v>
      </c>
      <c r="H999" s="9" t="s">
        <v>25</v>
      </c>
      <c r="I999" s="9" t="s">
        <v>211</v>
      </c>
      <c r="J999" s="10"/>
      <c r="K999" s="7"/>
      <c r="L999" s="7"/>
      <c r="M999" s="7"/>
      <c r="N999" s="7"/>
      <c r="O999" s="7"/>
    </row>
    <row r="1000" ht="22.5" hidden="1" customHeight="1">
      <c r="A1000" s="8">
        <v>45789.347071620374</v>
      </c>
      <c r="B1000" s="9"/>
      <c r="C1000" s="9" t="s">
        <v>86</v>
      </c>
      <c r="D1000" s="9" t="s">
        <v>33</v>
      </c>
      <c r="E1000" s="9" t="s">
        <v>17</v>
      </c>
      <c r="F1000" s="9" t="s">
        <v>17</v>
      </c>
      <c r="G1000" s="9" t="s">
        <v>24</v>
      </c>
      <c r="H1000" s="9" t="s">
        <v>17</v>
      </c>
      <c r="I1000" s="9" t="s">
        <v>20</v>
      </c>
      <c r="J1000" s="10"/>
      <c r="K1000" s="7"/>
      <c r="L1000" s="7"/>
      <c r="M1000" s="7"/>
      <c r="N1000" s="7"/>
      <c r="O1000" s="7"/>
    </row>
    <row r="1001" ht="22.5" hidden="1" customHeight="1">
      <c r="A1001" s="8">
        <v>45789.347163425926</v>
      </c>
      <c r="B1001" s="9"/>
      <c r="C1001" s="9" t="s">
        <v>86</v>
      </c>
      <c r="D1001" s="9" t="s">
        <v>192</v>
      </c>
      <c r="E1001" s="9" t="s">
        <v>17</v>
      </c>
      <c r="F1001" s="9" t="s">
        <v>17</v>
      </c>
      <c r="G1001" s="9" t="s">
        <v>24</v>
      </c>
      <c r="H1001" s="9" t="s">
        <v>17</v>
      </c>
      <c r="I1001" s="9" t="s">
        <v>20</v>
      </c>
      <c r="J1001" s="10"/>
      <c r="K1001" s="7"/>
      <c r="L1001" s="7"/>
      <c r="M1001" s="7"/>
      <c r="N1001" s="7"/>
      <c r="O1001" s="7"/>
    </row>
    <row r="1002" ht="22.5" hidden="1" customHeight="1">
      <c r="A1002" s="8">
        <v>45789.35111621528</v>
      </c>
      <c r="B1002" s="9"/>
      <c r="C1002" s="9" t="s">
        <v>86</v>
      </c>
      <c r="D1002" s="9" t="s">
        <v>260</v>
      </c>
      <c r="E1002" s="9" t="s">
        <v>17</v>
      </c>
      <c r="F1002" s="9" t="s">
        <v>17</v>
      </c>
      <c r="G1002" s="9" t="s">
        <v>24</v>
      </c>
      <c r="H1002" s="9" t="s">
        <v>17</v>
      </c>
      <c r="I1002" s="9" t="s">
        <v>20</v>
      </c>
      <c r="J1002" s="10"/>
      <c r="K1002" s="7"/>
      <c r="L1002" s="7"/>
      <c r="M1002" s="7"/>
      <c r="N1002" s="7"/>
      <c r="O1002" s="7"/>
    </row>
    <row r="1003" ht="22.5" hidden="1" customHeight="1">
      <c r="A1003" s="8">
        <v>45789.35494020833</v>
      </c>
      <c r="B1003" s="9"/>
      <c r="C1003" s="9" t="s">
        <v>86</v>
      </c>
      <c r="D1003" s="9" t="s">
        <v>287</v>
      </c>
      <c r="E1003" s="9" t="s">
        <v>17</v>
      </c>
      <c r="F1003" s="9" t="s">
        <v>35</v>
      </c>
      <c r="G1003" s="9" t="s">
        <v>24</v>
      </c>
      <c r="H1003" s="9" t="s">
        <v>17</v>
      </c>
      <c r="I1003" s="9" t="s">
        <v>20</v>
      </c>
      <c r="J1003" s="10"/>
      <c r="K1003" s="7"/>
      <c r="L1003" s="7"/>
      <c r="M1003" s="7"/>
      <c r="N1003" s="7"/>
      <c r="O1003" s="7"/>
    </row>
    <row r="1004" ht="22.5" hidden="1" customHeight="1">
      <c r="A1004" s="8">
        <v>45790.328825752316</v>
      </c>
      <c r="B1004" s="9"/>
      <c r="C1004" s="9" t="s">
        <v>110</v>
      </c>
      <c r="D1004" s="9" t="s">
        <v>235</v>
      </c>
      <c r="E1004" s="9" t="s">
        <v>17</v>
      </c>
      <c r="F1004" s="9" t="s">
        <v>17</v>
      </c>
      <c r="G1004" s="9" t="s">
        <v>24</v>
      </c>
      <c r="H1004" s="9" t="s">
        <v>25</v>
      </c>
      <c r="I1004" s="9" t="s">
        <v>137</v>
      </c>
      <c r="J1004" s="10"/>
      <c r="K1004" s="7"/>
      <c r="L1004" s="7"/>
      <c r="M1004" s="7"/>
      <c r="N1004" s="7"/>
      <c r="O1004" s="7"/>
    </row>
    <row r="1005" ht="22.5" hidden="1" customHeight="1">
      <c r="A1005" s="8">
        <v>45790.33234219908</v>
      </c>
      <c r="B1005" s="9"/>
      <c r="C1005" s="9" t="s">
        <v>110</v>
      </c>
      <c r="D1005" s="9" t="s">
        <v>127</v>
      </c>
      <c r="E1005" s="9" t="s">
        <v>46</v>
      </c>
      <c r="F1005" s="9" t="s">
        <v>17</v>
      </c>
      <c r="G1005" s="9" t="s">
        <v>24</v>
      </c>
      <c r="H1005" s="9" t="s">
        <v>25</v>
      </c>
      <c r="I1005" s="9" t="s">
        <v>218</v>
      </c>
      <c r="J1005" s="10"/>
      <c r="K1005" s="7"/>
      <c r="L1005" s="7"/>
      <c r="M1005" s="7"/>
      <c r="N1005" s="7"/>
      <c r="O1005" s="7"/>
    </row>
    <row r="1006" ht="22.5" hidden="1" customHeight="1">
      <c r="A1006" s="8">
        <v>45790.33276435186</v>
      </c>
      <c r="B1006" s="9"/>
      <c r="C1006" s="9" t="s">
        <v>110</v>
      </c>
      <c r="D1006" s="9" t="s">
        <v>230</v>
      </c>
      <c r="E1006" s="9" t="s">
        <v>44</v>
      </c>
      <c r="F1006" s="9" t="s">
        <v>17</v>
      </c>
      <c r="G1006" s="9" t="s">
        <v>24</v>
      </c>
      <c r="H1006" s="9" t="s">
        <v>17</v>
      </c>
      <c r="I1006" s="9" t="s">
        <v>20</v>
      </c>
      <c r="J1006" s="10"/>
      <c r="K1006" s="7"/>
      <c r="L1006" s="7"/>
      <c r="M1006" s="7"/>
      <c r="N1006" s="7"/>
      <c r="O1006" s="7"/>
    </row>
    <row r="1007" ht="22.5" hidden="1" customHeight="1">
      <c r="A1007" s="8">
        <v>45790.33305984954</v>
      </c>
      <c r="B1007" s="9"/>
      <c r="C1007" s="9" t="s">
        <v>110</v>
      </c>
      <c r="D1007" s="9" t="s">
        <v>102</v>
      </c>
      <c r="E1007" s="9" t="s">
        <v>17</v>
      </c>
      <c r="F1007" s="9" t="s">
        <v>17</v>
      </c>
      <c r="G1007" s="9" t="s">
        <v>24</v>
      </c>
      <c r="H1007" s="9" t="s">
        <v>25</v>
      </c>
      <c r="I1007" s="9" t="s">
        <v>211</v>
      </c>
      <c r="J1007" s="10"/>
      <c r="K1007" s="7"/>
      <c r="L1007" s="7"/>
      <c r="M1007" s="7"/>
      <c r="N1007" s="7"/>
      <c r="O1007" s="7"/>
    </row>
    <row r="1008" ht="22.5" hidden="1" customHeight="1">
      <c r="A1008" s="8">
        <v>45790.33337827546</v>
      </c>
      <c r="B1008" s="9"/>
      <c r="C1008" s="9" t="s">
        <v>110</v>
      </c>
      <c r="D1008" s="9" t="s">
        <v>23</v>
      </c>
      <c r="E1008" s="9" t="s">
        <v>17</v>
      </c>
      <c r="F1008" s="9" t="s">
        <v>17</v>
      </c>
      <c r="G1008" s="9" t="s">
        <v>24</v>
      </c>
      <c r="H1008" s="9" t="s">
        <v>17</v>
      </c>
      <c r="I1008" s="9" t="s">
        <v>20</v>
      </c>
      <c r="J1008" s="10"/>
      <c r="K1008" s="7"/>
      <c r="L1008" s="7"/>
      <c r="M1008" s="7"/>
      <c r="N1008" s="7"/>
      <c r="O1008" s="7"/>
    </row>
    <row r="1009" ht="22.5" hidden="1" customHeight="1">
      <c r="A1009" s="8">
        <v>45790.333894537034</v>
      </c>
      <c r="B1009" s="9"/>
      <c r="C1009" s="9" t="s">
        <v>110</v>
      </c>
      <c r="D1009" s="9" t="s">
        <v>206</v>
      </c>
      <c r="E1009" s="9" t="s">
        <v>17</v>
      </c>
      <c r="F1009" s="9" t="s">
        <v>17</v>
      </c>
      <c r="G1009" s="9" t="s">
        <v>24</v>
      </c>
      <c r="H1009" s="9" t="s">
        <v>25</v>
      </c>
      <c r="I1009" s="9" t="s">
        <v>20</v>
      </c>
      <c r="J1009" s="10"/>
      <c r="K1009" s="7"/>
      <c r="L1009" s="7"/>
      <c r="M1009" s="7"/>
      <c r="N1009" s="7"/>
      <c r="O1009" s="7"/>
    </row>
    <row r="1010" ht="22.5" hidden="1" customHeight="1">
      <c r="A1010" s="8">
        <v>45790.33421331018</v>
      </c>
      <c r="B1010" s="9"/>
      <c r="C1010" s="9" t="s">
        <v>110</v>
      </c>
      <c r="D1010" s="9" t="s">
        <v>133</v>
      </c>
      <c r="E1010" s="9" t="s">
        <v>17</v>
      </c>
      <c r="F1010" s="9" t="s">
        <v>17</v>
      </c>
      <c r="G1010" s="9" t="s">
        <v>24</v>
      </c>
      <c r="H1010" s="9" t="s">
        <v>17</v>
      </c>
      <c r="I1010" s="9" t="s">
        <v>20</v>
      </c>
      <c r="J1010" s="10"/>
      <c r="K1010" s="7"/>
      <c r="L1010" s="7"/>
      <c r="M1010" s="7"/>
      <c r="N1010" s="7"/>
      <c r="O1010" s="7"/>
    </row>
    <row r="1011" ht="22.5" hidden="1" customHeight="1">
      <c r="A1011" s="8">
        <v>45790.3356227662</v>
      </c>
      <c r="B1011" s="9"/>
      <c r="C1011" s="9" t="s">
        <v>110</v>
      </c>
      <c r="D1011" s="9" t="s">
        <v>227</v>
      </c>
      <c r="E1011" s="9" t="s">
        <v>17</v>
      </c>
      <c r="F1011" s="9" t="s">
        <v>17</v>
      </c>
      <c r="G1011" s="9" t="s">
        <v>24</v>
      </c>
      <c r="H1011" s="9" t="s">
        <v>17</v>
      </c>
      <c r="I1011" s="9" t="s">
        <v>20</v>
      </c>
      <c r="J1011" s="10"/>
      <c r="K1011" s="7"/>
      <c r="L1011" s="7"/>
      <c r="M1011" s="7"/>
      <c r="N1011" s="7"/>
      <c r="O1011" s="7"/>
    </row>
    <row r="1012" ht="22.5" hidden="1" customHeight="1">
      <c r="A1012" s="8">
        <v>45790.33583214121</v>
      </c>
      <c r="B1012" s="9"/>
      <c r="C1012" s="9" t="s">
        <v>110</v>
      </c>
      <c r="D1012" s="9" t="s">
        <v>250</v>
      </c>
      <c r="E1012" s="9" t="s">
        <v>17</v>
      </c>
      <c r="F1012" s="9" t="s">
        <v>17</v>
      </c>
      <c r="G1012" s="9" t="s">
        <v>24</v>
      </c>
      <c r="H1012" s="9" t="s">
        <v>17</v>
      </c>
      <c r="I1012" s="9" t="s">
        <v>20</v>
      </c>
      <c r="J1012" s="10"/>
      <c r="K1012" s="7"/>
      <c r="L1012" s="7"/>
      <c r="M1012" s="7"/>
      <c r="N1012" s="7"/>
      <c r="O1012" s="7"/>
    </row>
    <row r="1013" ht="22.5" hidden="1" customHeight="1">
      <c r="A1013" s="8">
        <v>45790.33588883102</v>
      </c>
      <c r="B1013" s="9"/>
      <c r="C1013" s="9" t="s">
        <v>110</v>
      </c>
      <c r="D1013" s="9" t="s">
        <v>299</v>
      </c>
      <c r="E1013" s="9" t="s">
        <v>57</v>
      </c>
      <c r="F1013" s="9" t="s">
        <v>18</v>
      </c>
      <c r="G1013" s="9" t="s">
        <v>24</v>
      </c>
      <c r="H1013" s="9" t="s">
        <v>22</v>
      </c>
      <c r="I1013" s="9" t="s">
        <v>20</v>
      </c>
      <c r="J1013" s="10"/>
      <c r="K1013" s="7"/>
      <c r="L1013" s="7"/>
      <c r="M1013" s="7"/>
      <c r="N1013" s="7"/>
      <c r="O1013" s="7"/>
    </row>
    <row r="1014" ht="22.5" hidden="1" customHeight="1">
      <c r="A1014" s="8">
        <v>45790.336414074074</v>
      </c>
      <c r="B1014" s="9"/>
      <c r="C1014" s="9" t="s">
        <v>110</v>
      </c>
      <c r="D1014" s="9" t="s">
        <v>192</v>
      </c>
      <c r="E1014" s="9" t="s">
        <v>17</v>
      </c>
      <c r="F1014" s="9" t="s">
        <v>17</v>
      </c>
      <c r="G1014" s="9" t="s">
        <v>24</v>
      </c>
      <c r="H1014" s="9" t="s">
        <v>17</v>
      </c>
      <c r="I1014" s="9" t="s">
        <v>20</v>
      </c>
      <c r="J1014" s="10"/>
      <c r="K1014" s="7"/>
      <c r="L1014" s="7"/>
      <c r="M1014" s="7"/>
      <c r="N1014" s="7"/>
      <c r="O1014" s="7"/>
    </row>
    <row r="1015" ht="22.5" hidden="1" customHeight="1">
      <c r="A1015" s="8">
        <v>45790.33782901621</v>
      </c>
      <c r="B1015" s="9"/>
      <c r="C1015" s="9" t="s">
        <v>110</v>
      </c>
      <c r="D1015" s="9" t="s">
        <v>68</v>
      </c>
      <c r="E1015" s="9" t="s">
        <v>17</v>
      </c>
      <c r="F1015" s="9" t="s">
        <v>17</v>
      </c>
      <c r="G1015" s="9" t="s">
        <v>24</v>
      </c>
      <c r="H1015" s="9" t="s">
        <v>17</v>
      </c>
      <c r="I1015" s="9" t="s">
        <v>20</v>
      </c>
      <c r="J1015" s="10"/>
      <c r="K1015" s="7"/>
      <c r="L1015" s="7"/>
      <c r="M1015" s="7"/>
      <c r="N1015" s="7"/>
      <c r="O1015" s="7"/>
    </row>
    <row r="1016" ht="22.5" hidden="1" customHeight="1">
      <c r="A1016" s="8">
        <v>45790.33822019676</v>
      </c>
      <c r="B1016" s="9"/>
      <c r="C1016" s="9" t="s">
        <v>110</v>
      </c>
      <c r="D1016" s="9" t="s">
        <v>108</v>
      </c>
      <c r="E1016" s="9" t="s">
        <v>17</v>
      </c>
      <c r="F1016" s="9" t="s">
        <v>17</v>
      </c>
      <c r="G1016" s="9" t="s">
        <v>24</v>
      </c>
      <c r="H1016" s="9" t="s">
        <v>25</v>
      </c>
      <c r="I1016" s="9" t="s">
        <v>218</v>
      </c>
      <c r="J1016" s="10"/>
      <c r="K1016" s="7"/>
      <c r="L1016" s="7"/>
      <c r="M1016" s="7"/>
      <c r="N1016" s="7"/>
      <c r="O1016" s="7"/>
    </row>
    <row r="1017" ht="22.5" hidden="1" customHeight="1">
      <c r="A1017" s="8">
        <v>45790.33858244213</v>
      </c>
      <c r="B1017" s="9"/>
      <c r="C1017" s="9" t="s">
        <v>110</v>
      </c>
      <c r="D1017" s="9" t="s">
        <v>243</v>
      </c>
      <c r="E1017" s="9" t="s">
        <v>17</v>
      </c>
      <c r="F1017" s="9" t="s">
        <v>17</v>
      </c>
      <c r="G1017" s="9" t="s">
        <v>24</v>
      </c>
      <c r="H1017" s="9" t="s">
        <v>17</v>
      </c>
      <c r="I1017" s="9" t="s">
        <v>20</v>
      </c>
      <c r="J1017" s="10"/>
      <c r="K1017" s="7"/>
      <c r="L1017" s="7"/>
      <c r="M1017" s="7"/>
      <c r="N1017" s="7"/>
      <c r="O1017" s="7"/>
    </row>
    <row r="1018" ht="22.5" hidden="1" customHeight="1">
      <c r="A1018" s="8">
        <v>45790.339027685186</v>
      </c>
      <c r="B1018" s="9"/>
      <c r="C1018" s="9" t="s">
        <v>110</v>
      </c>
      <c r="D1018" s="9" t="s">
        <v>107</v>
      </c>
      <c r="E1018" s="9" t="s">
        <v>17</v>
      </c>
      <c r="F1018" s="9" t="s">
        <v>17</v>
      </c>
      <c r="G1018" s="9" t="s">
        <v>24</v>
      </c>
      <c r="H1018" s="9" t="s">
        <v>25</v>
      </c>
      <c r="I1018" s="9" t="s">
        <v>323</v>
      </c>
      <c r="J1018" s="10"/>
      <c r="K1018" s="7"/>
      <c r="L1018" s="7"/>
      <c r="M1018" s="7"/>
      <c r="N1018" s="7"/>
      <c r="O1018" s="7"/>
    </row>
    <row r="1019" ht="22.5" hidden="1" customHeight="1">
      <c r="A1019" s="8">
        <v>45790.33937043982</v>
      </c>
      <c r="B1019" s="9"/>
      <c r="C1019" s="9" t="s">
        <v>110</v>
      </c>
      <c r="D1019" s="9" t="s">
        <v>21</v>
      </c>
      <c r="E1019" s="9" t="s">
        <v>17</v>
      </c>
      <c r="F1019" s="9" t="s">
        <v>17</v>
      </c>
      <c r="G1019" s="9" t="s">
        <v>24</v>
      </c>
      <c r="H1019" s="9" t="s">
        <v>17</v>
      </c>
      <c r="I1019" s="9" t="s">
        <v>20</v>
      </c>
      <c r="J1019" s="10"/>
      <c r="K1019" s="7"/>
      <c r="L1019" s="7"/>
      <c r="M1019" s="7"/>
      <c r="N1019" s="7"/>
      <c r="O1019" s="7"/>
    </row>
    <row r="1020" ht="22.5" hidden="1" customHeight="1">
      <c r="A1020" s="8">
        <v>45790.34131304398</v>
      </c>
      <c r="B1020" s="9"/>
      <c r="C1020" s="9" t="s">
        <v>110</v>
      </c>
      <c r="D1020" s="9" t="s">
        <v>155</v>
      </c>
      <c r="E1020" s="9" t="s">
        <v>17</v>
      </c>
      <c r="F1020" s="9" t="s">
        <v>43</v>
      </c>
      <c r="G1020" s="9" t="s">
        <v>24</v>
      </c>
      <c r="H1020" s="9" t="s">
        <v>17</v>
      </c>
      <c r="I1020" s="9" t="s">
        <v>20</v>
      </c>
      <c r="J1020" s="10"/>
      <c r="K1020" s="7"/>
      <c r="L1020" s="7"/>
      <c r="M1020" s="7"/>
      <c r="N1020" s="7"/>
      <c r="O1020" s="7"/>
    </row>
    <row r="1021" ht="22.5" hidden="1" customHeight="1">
      <c r="A1021" s="8">
        <v>45790.342260474536</v>
      </c>
      <c r="B1021" s="9"/>
      <c r="C1021" s="9" t="s">
        <v>110</v>
      </c>
      <c r="D1021" s="9" t="s">
        <v>51</v>
      </c>
      <c r="E1021" s="9" t="s">
        <v>17</v>
      </c>
      <c r="F1021" s="9" t="s">
        <v>17</v>
      </c>
      <c r="G1021" s="9" t="s">
        <v>24</v>
      </c>
      <c r="H1021" s="9" t="s">
        <v>17</v>
      </c>
      <c r="I1021" s="9" t="s">
        <v>20</v>
      </c>
      <c r="J1021" s="10"/>
      <c r="K1021" s="7"/>
      <c r="L1021" s="7"/>
      <c r="M1021" s="7"/>
      <c r="N1021" s="7"/>
      <c r="O1021" s="7"/>
    </row>
    <row r="1022" ht="22.5" hidden="1" customHeight="1">
      <c r="A1022" s="8">
        <v>45790.343055115736</v>
      </c>
      <c r="B1022" s="9"/>
      <c r="C1022" s="9" t="s">
        <v>110</v>
      </c>
      <c r="D1022" s="9" t="s">
        <v>42</v>
      </c>
      <c r="E1022" s="9" t="s">
        <v>30</v>
      </c>
      <c r="F1022" s="9" t="s">
        <v>18</v>
      </c>
      <c r="G1022" s="9" t="s">
        <v>24</v>
      </c>
      <c r="H1022" s="9" t="s">
        <v>22</v>
      </c>
      <c r="I1022" s="9" t="s">
        <v>20</v>
      </c>
      <c r="J1022" s="10"/>
      <c r="K1022" s="7"/>
      <c r="L1022" s="7"/>
      <c r="M1022" s="7"/>
      <c r="N1022" s="7"/>
      <c r="O1022" s="7"/>
    </row>
    <row r="1023" ht="22.5" hidden="1" customHeight="1">
      <c r="A1023" s="8">
        <v>45790.34531287037</v>
      </c>
      <c r="B1023" s="9"/>
      <c r="C1023" s="9" t="s">
        <v>110</v>
      </c>
      <c r="D1023" s="9" t="s">
        <v>268</v>
      </c>
      <c r="E1023" s="9" t="s">
        <v>17</v>
      </c>
      <c r="F1023" s="9" t="s">
        <v>17</v>
      </c>
      <c r="G1023" s="9" t="s">
        <v>24</v>
      </c>
      <c r="H1023" s="9" t="s">
        <v>17</v>
      </c>
      <c r="I1023" s="9" t="s">
        <v>20</v>
      </c>
      <c r="J1023" s="10"/>
      <c r="K1023" s="7"/>
      <c r="L1023" s="7"/>
      <c r="M1023" s="7"/>
      <c r="N1023" s="7"/>
      <c r="O1023" s="7"/>
    </row>
    <row r="1024" ht="22.5" hidden="1" customHeight="1">
      <c r="A1024" s="8">
        <v>45790.356235370375</v>
      </c>
      <c r="B1024" s="9"/>
      <c r="C1024" s="9" t="s">
        <v>110</v>
      </c>
      <c r="D1024" s="9" t="s">
        <v>27</v>
      </c>
      <c r="E1024" s="9" t="s">
        <v>17</v>
      </c>
      <c r="F1024" s="9" t="s">
        <v>17</v>
      </c>
      <c r="G1024" s="9" t="s">
        <v>24</v>
      </c>
      <c r="H1024" s="9" t="s">
        <v>17</v>
      </c>
      <c r="I1024" s="9" t="s">
        <v>20</v>
      </c>
      <c r="J1024" s="10"/>
      <c r="K1024" s="7"/>
      <c r="L1024" s="7"/>
      <c r="M1024" s="7"/>
      <c r="N1024" s="7"/>
      <c r="O1024" s="7"/>
    </row>
    <row r="1025" ht="22.5" hidden="1" customHeight="1">
      <c r="A1025" s="8">
        <v>45790.35672804398</v>
      </c>
      <c r="B1025" s="9"/>
      <c r="C1025" s="9" t="s">
        <v>110</v>
      </c>
      <c r="D1025" s="9" t="s">
        <v>132</v>
      </c>
      <c r="E1025" s="9" t="s">
        <v>30</v>
      </c>
      <c r="F1025" s="9" t="s">
        <v>17</v>
      </c>
      <c r="G1025" s="9" t="s">
        <v>24</v>
      </c>
      <c r="H1025" s="9" t="s">
        <v>17</v>
      </c>
      <c r="I1025" s="9" t="s">
        <v>20</v>
      </c>
      <c r="J1025" s="10"/>
      <c r="K1025" s="7"/>
      <c r="L1025" s="7"/>
      <c r="M1025" s="7"/>
      <c r="N1025" s="7"/>
      <c r="O1025" s="7"/>
    </row>
    <row r="1026" ht="22.5" hidden="1" customHeight="1">
      <c r="A1026" s="8">
        <v>45791.65251853009</v>
      </c>
      <c r="B1026" s="9"/>
      <c r="C1026" s="9" t="s">
        <v>15</v>
      </c>
      <c r="D1026" s="9" t="s">
        <v>49</v>
      </c>
      <c r="E1026" s="9" t="s">
        <v>17</v>
      </c>
      <c r="F1026" s="9" t="s">
        <v>17</v>
      </c>
      <c r="G1026" s="9" t="s">
        <v>19</v>
      </c>
      <c r="H1026" s="9" t="s">
        <v>17</v>
      </c>
      <c r="I1026" s="9" t="s">
        <v>20</v>
      </c>
      <c r="J1026" s="10"/>
      <c r="K1026" s="7"/>
      <c r="L1026" s="7"/>
      <c r="M1026" s="7"/>
      <c r="N1026" s="7"/>
      <c r="O1026" s="7"/>
    </row>
    <row r="1027" ht="22.5" hidden="1" customHeight="1">
      <c r="A1027" s="8">
        <v>45791.65264697917</v>
      </c>
      <c r="B1027" s="9"/>
      <c r="C1027" s="9" t="s">
        <v>15</v>
      </c>
      <c r="D1027" s="9" t="s">
        <v>129</v>
      </c>
      <c r="E1027" s="9" t="s">
        <v>17</v>
      </c>
      <c r="F1027" s="9" t="s">
        <v>18</v>
      </c>
      <c r="G1027" s="9" t="s">
        <v>19</v>
      </c>
      <c r="H1027" s="9" t="s">
        <v>25</v>
      </c>
      <c r="I1027" s="9" t="s">
        <v>137</v>
      </c>
      <c r="J1027" s="10"/>
      <c r="K1027" s="7"/>
      <c r="L1027" s="7"/>
      <c r="M1027" s="7"/>
      <c r="N1027" s="7"/>
      <c r="O1027" s="7"/>
    </row>
    <row r="1028" ht="22.5" hidden="1" customHeight="1">
      <c r="A1028" s="8">
        <v>45791.66687880787</v>
      </c>
      <c r="B1028" s="9"/>
      <c r="C1028" s="9" t="s">
        <v>15</v>
      </c>
      <c r="D1028" s="9" t="s">
        <v>285</v>
      </c>
      <c r="E1028" s="9" t="s">
        <v>30</v>
      </c>
      <c r="F1028" s="9" t="s">
        <v>18</v>
      </c>
      <c r="G1028" s="9" t="s">
        <v>24</v>
      </c>
      <c r="H1028" s="9" t="s">
        <v>22</v>
      </c>
      <c r="I1028" s="9" t="s">
        <v>20</v>
      </c>
      <c r="J1028" s="10"/>
      <c r="K1028" s="7"/>
      <c r="L1028" s="7"/>
      <c r="M1028" s="7"/>
      <c r="N1028" s="7"/>
      <c r="O1028" s="7"/>
    </row>
    <row r="1029" ht="22.5" hidden="1" customHeight="1">
      <c r="A1029" s="8">
        <v>45793.635914467595</v>
      </c>
      <c r="B1029" s="9"/>
      <c r="C1029" s="9" t="s">
        <v>48</v>
      </c>
      <c r="D1029" s="9" t="s">
        <v>129</v>
      </c>
      <c r="E1029" s="9" t="s">
        <v>61</v>
      </c>
      <c r="F1029" s="9" t="s">
        <v>35</v>
      </c>
      <c r="G1029" s="9" t="s">
        <v>19</v>
      </c>
      <c r="H1029" s="9" t="s">
        <v>25</v>
      </c>
      <c r="I1029" s="9" t="s">
        <v>137</v>
      </c>
      <c r="J1029" s="10"/>
      <c r="K1029" s="7"/>
      <c r="L1029" s="7"/>
      <c r="M1029" s="7"/>
      <c r="N1029" s="7"/>
      <c r="O1029" s="7"/>
    </row>
    <row r="1030" ht="22.5" hidden="1" customHeight="1">
      <c r="A1030" s="8">
        <v>45793.646544884265</v>
      </c>
      <c r="B1030" s="9"/>
      <c r="C1030" s="9" t="s">
        <v>48</v>
      </c>
      <c r="D1030" s="9" t="s">
        <v>157</v>
      </c>
      <c r="E1030" s="9" t="s">
        <v>44</v>
      </c>
      <c r="F1030" s="9" t="s">
        <v>17</v>
      </c>
      <c r="G1030" s="9" t="s">
        <v>24</v>
      </c>
      <c r="H1030" s="9" t="s">
        <v>22</v>
      </c>
      <c r="I1030" s="9" t="s">
        <v>20</v>
      </c>
      <c r="J1030" s="10"/>
      <c r="K1030" s="7"/>
      <c r="L1030" s="7"/>
      <c r="M1030" s="7"/>
      <c r="N1030" s="7"/>
      <c r="O1030" s="7"/>
    </row>
    <row r="1031" ht="22.5" hidden="1" customHeight="1">
      <c r="A1031" s="8">
        <v>45793.684454560185</v>
      </c>
      <c r="B1031" s="9"/>
      <c r="C1031" s="9" t="s">
        <v>48</v>
      </c>
      <c r="D1031" s="9" t="s">
        <v>33</v>
      </c>
      <c r="E1031" s="9" t="s">
        <v>17</v>
      </c>
      <c r="F1031" s="9" t="s">
        <v>17</v>
      </c>
      <c r="G1031" s="9" t="s">
        <v>24</v>
      </c>
      <c r="H1031" s="9" t="s">
        <v>17</v>
      </c>
      <c r="I1031" s="9" t="s">
        <v>20</v>
      </c>
      <c r="J1031" s="10"/>
      <c r="K1031" s="7"/>
      <c r="L1031" s="7"/>
      <c r="M1031" s="7"/>
      <c r="N1031" s="7"/>
      <c r="O1031" s="7"/>
    </row>
    <row r="1032" ht="22.5" hidden="1" customHeight="1">
      <c r="A1032" s="8">
        <v>45793.699228530095</v>
      </c>
      <c r="B1032" s="9"/>
      <c r="C1032" s="9" t="s">
        <v>48</v>
      </c>
      <c r="D1032" s="9" t="s">
        <v>285</v>
      </c>
      <c r="E1032" s="9" t="s">
        <v>30</v>
      </c>
      <c r="F1032" s="9" t="s">
        <v>18</v>
      </c>
      <c r="G1032" s="9" t="s">
        <v>19</v>
      </c>
      <c r="H1032" s="9" t="s">
        <v>22</v>
      </c>
      <c r="I1032" s="9" t="s">
        <v>20</v>
      </c>
      <c r="J1032" s="10"/>
      <c r="K1032" s="7"/>
      <c r="L1032" s="7"/>
      <c r="M1032" s="7"/>
      <c r="N1032" s="7"/>
      <c r="O1032" s="7"/>
    </row>
    <row r="1033" ht="22.5" hidden="1" customHeight="1">
      <c r="A1033" s="8">
        <v>45794.631807777776</v>
      </c>
      <c r="B1033" s="9"/>
      <c r="C1033" s="9" t="s">
        <v>53</v>
      </c>
      <c r="D1033" s="9" t="s">
        <v>324</v>
      </c>
      <c r="E1033" s="9" t="s">
        <v>30</v>
      </c>
      <c r="F1033" s="9" t="s">
        <v>18</v>
      </c>
      <c r="G1033" s="9" t="s">
        <v>24</v>
      </c>
      <c r="H1033" s="9" t="s">
        <v>22</v>
      </c>
      <c r="I1033" s="9" t="s">
        <v>20</v>
      </c>
      <c r="J1033" s="10"/>
      <c r="K1033" s="7"/>
      <c r="L1033" s="7"/>
      <c r="M1033" s="7"/>
      <c r="N1033" s="7"/>
      <c r="O1033" s="7"/>
    </row>
    <row r="1034" ht="22.5" hidden="1" customHeight="1">
      <c r="A1034" s="8">
        <v>45794.63544377315</v>
      </c>
      <c r="B1034" s="9"/>
      <c r="C1034" s="9" t="s">
        <v>53</v>
      </c>
      <c r="D1034" s="9" t="s">
        <v>129</v>
      </c>
      <c r="E1034" s="9" t="s">
        <v>17</v>
      </c>
      <c r="F1034" s="9" t="s">
        <v>18</v>
      </c>
      <c r="G1034" s="9" t="s">
        <v>19</v>
      </c>
      <c r="H1034" s="9" t="s">
        <v>25</v>
      </c>
      <c r="I1034" s="9" t="s">
        <v>325</v>
      </c>
      <c r="J1034" s="10"/>
      <c r="K1034" s="7"/>
      <c r="L1034" s="7"/>
      <c r="M1034" s="7"/>
      <c r="N1034" s="7"/>
      <c r="O1034" s="7"/>
    </row>
    <row r="1035" ht="22.5" hidden="1" customHeight="1">
      <c r="A1035" s="8">
        <v>45794.64543321759</v>
      </c>
      <c r="B1035" s="9"/>
      <c r="C1035" s="9" t="s">
        <v>53</v>
      </c>
      <c r="D1035" s="9" t="s">
        <v>42</v>
      </c>
      <c r="E1035" s="9" t="s">
        <v>30</v>
      </c>
      <c r="F1035" s="9" t="s">
        <v>43</v>
      </c>
      <c r="G1035" s="9" t="s">
        <v>19</v>
      </c>
      <c r="H1035" s="9" t="s">
        <v>22</v>
      </c>
      <c r="I1035" s="9" t="s">
        <v>20</v>
      </c>
      <c r="J1035" s="10"/>
      <c r="K1035" s="7"/>
      <c r="L1035" s="7"/>
      <c r="M1035" s="7"/>
      <c r="N1035" s="7"/>
      <c r="O1035" s="7"/>
    </row>
    <row r="1036" ht="22.5" hidden="1" customHeight="1">
      <c r="A1036" s="8">
        <v>45794.65800302083</v>
      </c>
      <c r="B1036" s="9"/>
      <c r="C1036" s="9" t="s">
        <v>53</v>
      </c>
      <c r="D1036" s="9" t="s">
        <v>33</v>
      </c>
      <c r="E1036" s="9" t="s">
        <v>17</v>
      </c>
      <c r="F1036" s="9" t="s">
        <v>17</v>
      </c>
      <c r="G1036" s="9" t="s">
        <v>19</v>
      </c>
      <c r="H1036" s="9" t="s">
        <v>17</v>
      </c>
      <c r="I1036" s="9" t="s">
        <v>20</v>
      </c>
      <c r="J1036" s="10"/>
      <c r="K1036" s="7"/>
      <c r="L1036" s="7"/>
      <c r="M1036" s="7"/>
      <c r="N1036" s="7"/>
      <c r="O1036" s="7"/>
    </row>
    <row r="1037" ht="22.5" hidden="1" customHeight="1">
      <c r="A1037" s="8">
        <v>45794.666009837965</v>
      </c>
      <c r="B1037" s="9"/>
      <c r="C1037" s="9" t="s">
        <v>53</v>
      </c>
      <c r="D1037" s="9" t="s">
        <v>277</v>
      </c>
      <c r="E1037" s="9" t="s">
        <v>17</v>
      </c>
      <c r="F1037" s="9" t="s">
        <v>17</v>
      </c>
      <c r="G1037" s="9" t="s">
        <v>24</v>
      </c>
      <c r="H1037" s="9" t="s">
        <v>25</v>
      </c>
      <c r="I1037" s="9" t="s">
        <v>240</v>
      </c>
      <c r="J1037" s="10"/>
      <c r="K1037" s="7"/>
      <c r="L1037" s="7"/>
      <c r="M1037" s="7"/>
      <c r="N1037" s="7"/>
      <c r="O1037" s="7"/>
    </row>
    <row r="1038" ht="22.5" hidden="1" customHeight="1">
      <c r="A1038" s="8">
        <v>45794.66668171296</v>
      </c>
      <c r="B1038" s="9"/>
      <c r="C1038" s="9" t="s">
        <v>53</v>
      </c>
      <c r="D1038" s="9" t="s">
        <v>23</v>
      </c>
      <c r="E1038" s="9" t="s">
        <v>17</v>
      </c>
      <c r="F1038" s="9" t="s">
        <v>17</v>
      </c>
      <c r="G1038" s="9" t="s">
        <v>24</v>
      </c>
      <c r="H1038" s="9" t="s">
        <v>17</v>
      </c>
      <c r="I1038" s="9" t="s">
        <v>20</v>
      </c>
      <c r="J1038" s="10"/>
      <c r="K1038" s="7"/>
      <c r="L1038" s="7"/>
      <c r="M1038" s="7"/>
      <c r="N1038" s="7"/>
      <c r="O1038" s="7"/>
    </row>
    <row r="1039" ht="22.5" hidden="1" customHeight="1">
      <c r="A1039" s="8">
        <v>45794.66702606481</v>
      </c>
      <c r="B1039" s="9"/>
      <c r="C1039" s="9" t="s">
        <v>53</v>
      </c>
      <c r="D1039" s="9" t="s">
        <v>235</v>
      </c>
      <c r="E1039" s="9" t="s">
        <v>17</v>
      </c>
      <c r="F1039" s="9" t="s">
        <v>17</v>
      </c>
      <c r="G1039" s="9" t="s">
        <v>19</v>
      </c>
      <c r="H1039" s="9" t="s">
        <v>25</v>
      </c>
      <c r="I1039" s="9" t="s">
        <v>137</v>
      </c>
      <c r="J1039" s="10"/>
      <c r="K1039" s="7"/>
      <c r="L1039" s="7"/>
      <c r="M1039" s="7"/>
      <c r="N1039" s="7"/>
      <c r="O1039" s="7"/>
    </row>
    <row r="1040" ht="22.5" hidden="1" customHeight="1">
      <c r="A1040" s="8">
        <v>45794.66772037037</v>
      </c>
      <c r="B1040" s="9"/>
      <c r="C1040" s="9" t="s">
        <v>53</v>
      </c>
      <c r="D1040" s="9" t="s">
        <v>51</v>
      </c>
      <c r="E1040" s="9" t="s">
        <v>17</v>
      </c>
      <c r="F1040" s="9" t="s">
        <v>17</v>
      </c>
      <c r="G1040" s="9" t="s">
        <v>24</v>
      </c>
      <c r="H1040" s="9" t="s">
        <v>17</v>
      </c>
      <c r="I1040" s="9" t="s">
        <v>20</v>
      </c>
      <c r="J1040" s="10"/>
      <c r="K1040" s="7"/>
      <c r="L1040" s="7"/>
      <c r="M1040" s="7"/>
      <c r="N1040" s="7"/>
      <c r="O1040" s="7"/>
    </row>
    <row r="1041" ht="22.5" hidden="1" customHeight="1">
      <c r="A1041" s="8">
        <v>45794.668107488425</v>
      </c>
      <c r="B1041" s="9"/>
      <c r="C1041" s="9" t="s">
        <v>53</v>
      </c>
      <c r="D1041" s="9" t="s">
        <v>206</v>
      </c>
      <c r="E1041" s="9" t="s">
        <v>17</v>
      </c>
      <c r="F1041" s="9" t="s">
        <v>17</v>
      </c>
      <c r="G1041" s="9" t="s">
        <v>19</v>
      </c>
      <c r="H1041" s="9" t="s">
        <v>17</v>
      </c>
      <c r="I1041" s="9" t="s">
        <v>20</v>
      </c>
      <c r="J1041" s="10"/>
      <c r="K1041" s="7"/>
      <c r="L1041" s="7"/>
      <c r="M1041" s="7"/>
      <c r="N1041" s="7"/>
      <c r="O1041" s="7"/>
    </row>
    <row r="1042" ht="22.5" hidden="1" customHeight="1">
      <c r="A1042" s="8">
        <v>45794.668403171294</v>
      </c>
      <c r="B1042" s="9"/>
      <c r="C1042" s="9" t="s">
        <v>53</v>
      </c>
      <c r="D1042" s="9" t="s">
        <v>127</v>
      </c>
      <c r="E1042" s="9" t="s">
        <v>17</v>
      </c>
      <c r="F1042" s="9" t="s">
        <v>17</v>
      </c>
      <c r="G1042" s="9" t="s">
        <v>24</v>
      </c>
      <c r="H1042" s="9" t="s">
        <v>17</v>
      </c>
      <c r="I1042" s="9" t="s">
        <v>20</v>
      </c>
      <c r="J1042" s="10"/>
      <c r="K1042" s="7"/>
      <c r="L1042" s="7"/>
      <c r="M1042" s="7"/>
      <c r="N1042" s="7"/>
      <c r="O1042" s="7"/>
    </row>
    <row r="1043" ht="22.5" hidden="1" customHeight="1">
      <c r="A1043" s="8">
        <v>45794.66880850695</v>
      </c>
      <c r="B1043" s="9"/>
      <c r="C1043" s="9" t="s">
        <v>53</v>
      </c>
      <c r="D1043" s="9" t="s">
        <v>192</v>
      </c>
      <c r="E1043" s="9" t="s">
        <v>17</v>
      </c>
      <c r="F1043" s="9" t="s">
        <v>17</v>
      </c>
      <c r="G1043" s="9" t="s">
        <v>19</v>
      </c>
      <c r="H1043" s="9" t="s">
        <v>17</v>
      </c>
      <c r="I1043" s="9" t="s">
        <v>20</v>
      </c>
      <c r="J1043" s="10"/>
      <c r="K1043" s="7"/>
      <c r="L1043" s="7"/>
      <c r="M1043" s="7"/>
      <c r="N1043" s="7"/>
      <c r="O1043" s="7"/>
    </row>
    <row r="1044" ht="22.5" hidden="1" customHeight="1">
      <c r="A1044" s="8">
        <v>45794.66908969908</v>
      </c>
      <c r="B1044" s="9"/>
      <c r="C1044" s="9" t="s">
        <v>53</v>
      </c>
      <c r="D1044" s="9" t="s">
        <v>250</v>
      </c>
      <c r="E1044" s="9" t="s">
        <v>17</v>
      </c>
      <c r="F1044" s="9" t="s">
        <v>17</v>
      </c>
      <c r="G1044" s="9" t="s">
        <v>24</v>
      </c>
      <c r="H1044" s="9" t="s">
        <v>17</v>
      </c>
      <c r="I1044" s="9" t="s">
        <v>20</v>
      </c>
      <c r="J1044" s="10"/>
      <c r="K1044" s="7"/>
      <c r="L1044" s="7"/>
      <c r="M1044" s="7"/>
      <c r="N1044" s="7"/>
      <c r="O1044" s="7"/>
    </row>
    <row r="1045" ht="22.5" hidden="1" customHeight="1">
      <c r="A1045" s="8">
        <v>45794.66929289352</v>
      </c>
      <c r="B1045" s="9"/>
      <c r="C1045" s="9" t="s">
        <v>53</v>
      </c>
      <c r="D1045" s="9" t="s">
        <v>281</v>
      </c>
      <c r="E1045" s="9" t="s">
        <v>17</v>
      </c>
      <c r="F1045" s="9" t="s">
        <v>17</v>
      </c>
      <c r="G1045" s="9" t="s">
        <v>24</v>
      </c>
      <c r="H1045" s="9" t="s">
        <v>17</v>
      </c>
      <c r="I1045" s="9" t="s">
        <v>20</v>
      </c>
      <c r="J1045" s="10"/>
      <c r="K1045" s="7"/>
      <c r="L1045" s="7"/>
      <c r="M1045" s="7"/>
      <c r="N1045" s="7"/>
      <c r="O1045" s="7"/>
    </row>
    <row r="1046" ht="22.5" hidden="1" customHeight="1">
      <c r="A1046" s="8">
        <v>45794.67151675926</v>
      </c>
      <c r="B1046" s="9"/>
      <c r="C1046" s="9" t="s">
        <v>53</v>
      </c>
      <c r="D1046" s="9" t="s">
        <v>68</v>
      </c>
      <c r="E1046" s="9" t="s">
        <v>17</v>
      </c>
      <c r="F1046" s="9" t="s">
        <v>17</v>
      </c>
      <c r="G1046" s="9" t="s">
        <v>24</v>
      </c>
      <c r="H1046" s="9" t="s">
        <v>17</v>
      </c>
      <c r="I1046" s="9" t="s">
        <v>20</v>
      </c>
      <c r="J1046" s="10"/>
      <c r="K1046" s="7"/>
      <c r="L1046" s="7"/>
      <c r="M1046" s="7"/>
      <c r="N1046" s="7"/>
      <c r="O1046" s="7"/>
    </row>
    <row r="1047" ht="22.5" hidden="1" customHeight="1">
      <c r="A1047" s="8">
        <v>45794.6723940625</v>
      </c>
      <c r="B1047" s="9"/>
      <c r="C1047" s="9" t="s">
        <v>53</v>
      </c>
      <c r="D1047" s="9" t="s">
        <v>102</v>
      </c>
      <c r="E1047" s="9" t="s">
        <v>17</v>
      </c>
      <c r="F1047" s="9" t="s">
        <v>17</v>
      </c>
      <c r="G1047" s="9" t="s">
        <v>19</v>
      </c>
      <c r="H1047" s="9" t="s">
        <v>25</v>
      </c>
      <c r="I1047" s="9" t="s">
        <v>70</v>
      </c>
      <c r="J1047" s="10"/>
      <c r="K1047" s="7"/>
      <c r="L1047" s="7"/>
      <c r="M1047" s="7"/>
      <c r="N1047" s="7"/>
      <c r="O1047" s="7"/>
    </row>
    <row r="1048" ht="22.5" hidden="1" customHeight="1">
      <c r="A1048" s="8">
        <v>45794.67343190972</v>
      </c>
      <c r="B1048" s="9"/>
      <c r="C1048" s="9" t="s">
        <v>53</v>
      </c>
      <c r="D1048" s="9" t="s">
        <v>107</v>
      </c>
      <c r="E1048" s="9" t="s">
        <v>44</v>
      </c>
      <c r="F1048" s="9" t="s">
        <v>17</v>
      </c>
      <c r="G1048" s="9" t="s">
        <v>19</v>
      </c>
      <c r="H1048" s="9" t="s">
        <v>25</v>
      </c>
      <c r="I1048" s="9" t="s">
        <v>311</v>
      </c>
      <c r="J1048" s="10"/>
      <c r="K1048" s="7"/>
      <c r="L1048" s="7"/>
      <c r="M1048" s="7"/>
      <c r="N1048" s="7"/>
      <c r="O1048" s="7"/>
    </row>
    <row r="1049" ht="22.5" hidden="1" customHeight="1">
      <c r="A1049" s="8">
        <v>45794.67378414352</v>
      </c>
      <c r="B1049" s="9"/>
      <c r="C1049" s="9" t="s">
        <v>53</v>
      </c>
      <c r="D1049" s="9" t="s">
        <v>230</v>
      </c>
      <c r="E1049" s="9" t="s">
        <v>17</v>
      </c>
      <c r="F1049" s="9" t="s">
        <v>17</v>
      </c>
      <c r="G1049" s="9" t="s">
        <v>24</v>
      </c>
      <c r="H1049" s="9" t="s">
        <v>17</v>
      </c>
      <c r="I1049" s="9" t="s">
        <v>20</v>
      </c>
      <c r="J1049" s="10"/>
      <c r="K1049" s="7"/>
      <c r="L1049" s="7"/>
      <c r="M1049" s="7"/>
      <c r="N1049" s="7"/>
      <c r="O1049" s="7"/>
    </row>
    <row r="1050" ht="22.5" hidden="1" customHeight="1">
      <c r="A1050" s="8">
        <v>45794.67399707176</v>
      </c>
      <c r="B1050" s="9"/>
      <c r="C1050" s="9" t="s">
        <v>53</v>
      </c>
      <c r="D1050" s="9" t="s">
        <v>108</v>
      </c>
      <c r="E1050" s="9" t="s">
        <v>17</v>
      </c>
      <c r="F1050" s="9" t="s">
        <v>17</v>
      </c>
      <c r="G1050" s="9" t="s">
        <v>24</v>
      </c>
      <c r="H1050" s="9" t="s">
        <v>17</v>
      </c>
      <c r="I1050" s="9" t="s">
        <v>20</v>
      </c>
      <c r="J1050" s="10"/>
      <c r="K1050" s="7"/>
      <c r="L1050" s="7"/>
      <c r="M1050" s="7"/>
      <c r="N1050" s="7"/>
      <c r="O1050" s="7"/>
    </row>
    <row r="1051" ht="22.5" hidden="1" customHeight="1">
      <c r="A1051" s="8">
        <v>45794.67563440972</v>
      </c>
      <c r="B1051" s="9"/>
      <c r="C1051" s="9" t="s">
        <v>53</v>
      </c>
      <c r="D1051" s="9" t="s">
        <v>133</v>
      </c>
      <c r="E1051" s="9" t="s">
        <v>17</v>
      </c>
      <c r="F1051" s="9" t="s">
        <v>17</v>
      </c>
      <c r="G1051" s="9" t="s">
        <v>24</v>
      </c>
      <c r="H1051" s="9" t="s">
        <v>17</v>
      </c>
      <c r="I1051" s="9" t="s">
        <v>20</v>
      </c>
      <c r="J1051" s="10"/>
      <c r="K1051" s="7"/>
      <c r="L1051" s="7"/>
      <c r="M1051" s="7"/>
      <c r="N1051" s="7"/>
      <c r="O1051" s="7"/>
    </row>
    <row r="1052" ht="22.5" hidden="1" customHeight="1">
      <c r="A1052" s="8">
        <v>45796.40204342593</v>
      </c>
      <c r="B1052" s="9"/>
      <c r="C1052" s="9" t="s">
        <v>86</v>
      </c>
      <c r="D1052" s="9" t="s">
        <v>33</v>
      </c>
      <c r="E1052" s="9" t="s">
        <v>17</v>
      </c>
      <c r="F1052" s="9" t="s">
        <v>17</v>
      </c>
      <c r="G1052" s="9" t="s">
        <v>24</v>
      </c>
      <c r="H1052" s="9" t="s">
        <v>17</v>
      </c>
      <c r="I1052" s="9" t="s">
        <v>20</v>
      </c>
      <c r="J1052" s="10"/>
      <c r="K1052" s="7"/>
      <c r="L1052" s="7"/>
      <c r="M1052" s="7"/>
      <c r="N1052" s="7"/>
      <c r="O1052" s="7"/>
    </row>
    <row r="1053" ht="22.5" hidden="1" customHeight="1">
      <c r="A1053" s="8">
        <v>45796.40894101852</v>
      </c>
      <c r="B1053" s="9"/>
      <c r="C1053" s="9" t="s">
        <v>86</v>
      </c>
      <c r="D1053" s="9" t="s">
        <v>42</v>
      </c>
      <c r="E1053" s="9" t="s">
        <v>57</v>
      </c>
      <c r="F1053" s="9" t="s">
        <v>43</v>
      </c>
      <c r="G1053" s="9" t="s">
        <v>24</v>
      </c>
      <c r="H1053" s="9" t="s">
        <v>22</v>
      </c>
      <c r="I1053" s="9" t="s">
        <v>20</v>
      </c>
      <c r="J1053" s="10"/>
      <c r="K1053" s="7"/>
      <c r="L1053" s="7"/>
      <c r="M1053" s="7"/>
      <c r="N1053" s="7"/>
      <c r="O1053" s="7"/>
    </row>
    <row r="1054" ht="22.5" hidden="1" customHeight="1">
      <c r="A1054" s="8">
        <v>45796.42922106481</v>
      </c>
      <c r="B1054" s="9"/>
      <c r="C1054" s="9" t="s">
        <v>86</v>
      </c>
      <c r="D1054" s="9" t="s">
        <v>127</v>
      </c>
      <c r="E1054" s="9" t="s">
        <v>17</v>
      </c>
      <c r="F1054" s="9" t="s">
        <v>17</v>
      </c>
      <c r="G1054" s="9" t="s">
        <v>24</v>
      </c>
      <c r="H1054" s="9" t="s">
        <v>17</v>
      </c>
      <c r="I1054" s="9" t="s">
        <v>67</v>
      </c>
      <c r="J1054" s="10"/>
      <c r="K1054" s="7"/>
      <c r="L1054" s="7"/>
      <c r="M1054" s="7"/>
      <c r="N1054" s="7"/>
      <c r="O1054" s="7"/>
    </row>
    <row r="1055" ht="22.5" hidden="1" customHeight="1">
      <c r="A1055" s="8">
        <v>45796.429697858795</v>
      </c>
      <c r="B1055" s="9"/>
      <c r="C1055" s="9" t="s">
        <v>86</v>
      </c>
      <c r="D1055" s="9" t="s">
        <v>133</v>
      </c>
      <c r="E1055" s="9" t="s">
        <v>17</v>
      </c>
      <c r="F1055" s="9" t="s">
        <v>17</v>
      </c>
      <c r="G1055" s="9" t="s">
        <v>40</v>
      </c>
      <c r="H1055" s="9" t="s">
        <v>17</v>
      </c>
      <c r="I1055" s="9" t="s">
        <v>20</v>
      </c>
      <c r="J1055" s="10"/>
      <c r="K1055" s="7"/>
      <c r="L1055" s="7"/>
      <c r="M1055" s="7"/>
      <c r="N1055" s="7"/>
      <c r="O1055" s="7"/>
    </row>
    <row r="1056" ht="22.5" hidden="1" customHeight="1">
      <c r="A1056" s="8">
        <v>45796.430063657404</v>
      </c>
      <c r="B1056" s="9"/>
      <c r="C1056" s="9" t="s">
        <v>86</v>
      </c>
      <c r="D1056" s="9" t="s">
        <v>23</v>
      </c>
      <c r="E1056" s="9" t="s">
        <v>17</v>
      </c>
      <c r="F1056" s="9" t="s">
        <v>17</v>
      </c>
      <c r="G1056" s="9" t="s">
        <v>24</v>
      </c>
      <c r="H1056" s="9" t="s">
        <v>17</v>
      </c>
      <c r="I1056" s="9" t="s">
        <v>20</v>
      </c>
      <c r="J1056" s="10"/>
      <c r="K1056" s="7"/>
      <c r="L1056" s="7"/>
      <c r="M1056" s="7"/>
      <c r="N1056" s="7"/>
      <c r="O1056" s="7"/>
    </row>
    <row r="1057" ht="22.5" hidden="1" customHeight="1">
      <c r="A1057" s="8">
        <v>45796.430576134255</v>
      </c>
      <c r="B1057" s="9"/>
      <c r="C1057" s="9" t="s">
        <v>86</v>
      </c>
      <c r="D1057" s="9" t="s">
        <v>235</v>
      </c>
      <c r="E1057" s="9" t="s">
        <v>17</v>
      </c>
      <c r="F1057" s="9" t="s">
        <v>17</v>
      </c>
      <c r="G1057" s="9" t="s">
        <v>40</v>
      </c>
      <c r="H1057" s="9" t="s">
        <v>25</v>
      </c>
      <c r="I1057" s="9" t="s">
        <v>137</v>
      </c>
      <c r="J1057" s="10"/>
      <c r="K1057" s="7"/>
      <c r="L1057" s="7"/>
      <c r="M1057" s="7"/>
      <c r="N1057" s="7"/>
      <c r="O1057" s="7"/>
    </row>
    <row r="1058" ht="22.5" hidden="1" customHeight="1">
      <c r="A1058" s="8">
        <v>45796.43258875</v>
      </c>
      <c r="B1058" s="9"/>
      <c r="C1058" s="9" t="s">
        <v>86</v>
      </c>
      <c r="D1058" s="9" t="s">
        <v>192</v>
      </c>
      <c r="E1058" s="9" t="s">
        <v>17</v>
      </c>
      <c r="F1058" s="9" t="s">
        <v>17</v>
      </c>
      <c r="G1058" s="9" t="s">
        <v>40</v>
      </c>
      <c r="H1058" s="9" t="s">
        <v>17</v>
      </c>
      <c r="I1058" s="9" t="s">
        <v>20</v>
      </c>
      <c r="J1058" s="10"/>
      <c r="K1058" s="7"/>
      <c r="L1058" s="7"/>
      <c r="M1058" s="7"/>
      <c r="N1058" s="7"/>
      <c r="O1058" s="7"/>
    </row>
    <row r="1059" ht="22.5" hidden="1" customHeight="1">
      <c r="A1059" s="8">
        <v>45796.43298849537</v>
      </c>
      <c r="B1059" s="9"/>
      <c r="C1059" s="9" t="s">
        <v>86</v>
      </c>
      <c r="D1059" s="9" t="s">
        <v>51</v>
      </c>
      <c r="E1059" s="9" t="s">
        <v>17</v>
      </c>
      <c r="F1059" s="9" t="s">
        <v>17</v>
      </c>
      <c r="G1059" s="9" t="s">
        <v>24</v>
      </c>
      <c r="H1059" s="9" t="s">
        <v>25</v>
      </c>
      <c r="I1059" s="9" t="s">
        <v>117</v>
      </c>
      <c r="J1059" s="10"/>
      <c r="K1059" s="7"/>
      <c r="L1059" s="7"/>
      <c r="M1059" s="7"/>
      <c r="N1059" s="7"/>
      <c r="O1059" s="7"/>
    </row>
    <row r="1060" ht="22.5" hidden="1" customHeight="1">
      <c r="A1060" s="8">
        <v>45796.433264363426</v>
      </c>
      <c r="B1060" s="9"/>
      <c r="C1060" s="9" t="s">
        <v>86</v>
      </c>
      <c r="D1060" s="9" t="s">
        <v>132</v>
      </c>
      <c r="E1060" s="9" t="s">
        <v>30</v>
      </c>
      <c r="F1060" s="9" t="s">
        <v>18</v>
      </c>
      <c r="G1060" s="9" t="s">
        <v>24</v>
      </c>
      <c r="H1060" s="9" t="s">
        <v>22</v>
      </c>
      <c r="I1060" s="9" t="s">
        <v>20</v>
      </c>
      <c r="J1060" s="10"/>
      <c r="K1060" s="7"/>
      <c r="L1060" s="7"/>
      <c r="M1060" s="7"/>
      <c r="N1060" s="7"/>
      <c r="O1060" s="7"/>
    </row>
    <row r="1061" ht="22.5" hidden="1" customHeight="1">
      <c r="A1061" s="8">
        <v>45796.43348290509</v>
      </c>
      <c r="B1061" s="9"/>
      <c r="C1061" s="9" t="s">
        <v>86</v>
      </c>
      <c r="D1061" s="9" t="s">
        <v>108</v>
      </c>
      <c r="E1061" s="9" t="s">
        <v>17</v>
      </c>
      <c r="F1061" s="9" t="s">
        <v>17</v>
      </c>
      <c r="G1061" s="9" t="s">
        <v>24</v>
      </c>
      <c r="H1061" s="9" t="s">
        <v>17</v>
      </c>
      <c r="I1061" s="9" t="s">
        <v>20</v>
      </c>
      <c r="J1061" s="10"/>
      <c r="K1061" s="7"/>
      <c r="L1061" s="7"/>
      <c r="M1061" s="7"/>
      <c r="N1061" s="7"/>
      <c r="O1061" s="7"/>
    </row>
    <row r="1062" ht="22.5" hidden="1" customHeight="1">
      <c r="A1062" s="8">
        <v>45796.433709791665</v>
      </c>
      <c r="B1062" s="9"/>
      <c r="C1062" s="9" t="s">
        <v>86</v>
      </c>
      <c r="D1062" s="9" t="s">
        <v>27</v>
      </c>
      <c r="E1062" s="9" t="s">
        <v>17</v>
      </c>
      <c r="F1062" s="9" t="s">
        <v>17</v>
      </c>
      <c r="G1062" s="9" t="s">
        <v>24</v>
      </c>
      <c r="H1062" s="9" t="s">
        <v>17</v>
      </c>
      <c r="I1062" s="9" t="s">
        <v>20</v>
      </c>
      <c r="J1062" s="10"/>
      <c r="K1062" s="7"/>
      <c r="L1062" s="7"/>
      <c r="M1062" s="7"/>
      <c r="N1062" s="7"/>
      <c r="O1062" s="7"/>
    </row>
    <row r="1063" ht="22.5" hidden="1" customHeight="1">
      <c r="A1063" s="8">
        <v>45796.43444606481</v>
      </c>
      <c r="B1063" s="9"/>
      <c r="C1063" s="9" t="s">
        <v>86</v>
      </c>
      <c r="D1063" s="9" t="s">
        <v>227</v>
      </c>
      <c r="E1063" s="9" t="s">
        <v>46</v>
      </c>
      <c r="F1063" s="9" t="s">
        <v>60</v>
      </c>
      <c r="G1063" s="9" t="s">
        <v>40</v>
      </c>
      <c r="H1063" s="9" t="s">
        <v>25</v>
      </c>
      <c r="I1063" s="9" t="s">
        <v>240</v>
      </c>
      <c r="J1063" s="10"/>
      <c r="K1063" s="7"/>
      <c r="L1063" s="7"/>
      <c r="M1063" s="7"/>
      <c r="N1063" s="7"/>
      <c r="O1063" s="7"/>
    </row>
    <row r="1064" ht="22.5" hidden="1" customHeight="1">
      <c r="A1064" s="8">
        <v>45796.43465631944</v>
      </c>
      <c r="B1064" s="9"/>
      <c r="C1064" s="9" t="s">
        <v>86</v>
      </c>
      <c r="D1064" s="9" t="s">
        <v>281</v>
      </c>
      <c r="E1064" s="9" t="s">
        <v>17</v>
      </c>
      <c r="F1064" s="9" t="s">
        <v>17</v>
      </c>
      <c r="G1064" s="9" t="s">
        <v>24</v>
      </c>
      <c r="H1064" s="9" t="s">
        <v>17</v>
      </c>
      <c r="I1064" s="9" t="s">
        <v>20</v>
      </c>
      <c r="J1064" s="10"/>
      <c r="K1064" s="7"/>
      <c r="L1064" s="7"/>
      <c r="M1064" s="7"/>
      <c r="N1064" s="7"/>
      <c r="O1064" s="7"/>
    </row>
    <row r="1065" ht="22.5" hidden="1" customHeight="1">
      <c r="A1065" s="8">
        <v>45796.4352815625</v>
      </c>
      <c r="B1065" s="9"/>
      <c r="C1065" s="9" t="s">
        <v>86</v>
      </c>
      <c r="D1065" s="9" t="s">
        <v>107</v>
      </c>
      <c r="E1065" s="9" t="s">
        <v>17</v>
      </c>
      <c r="F1065" s="9" t="s">
        <v>17</v>
      </c>
      <c r="G1065" s="9" t="s">
        <v>24</v>
      </c>
      <c r="H1065" s="9" t="s">
        <v>25</v>
      </c>
      <c r="I1065" s="9" t="s">
        <v>311</v>
      </c>
      <c r="J1065" s="10"/>
      <c r="K1065" s="7"/>
      <c r="L1065" s="7"/>
      <c r="M1065" s="7"/>
      <c r="N1065" s="7"/>
      <c r="O1065" s="7"/>
    </row>
    <row r="1066" ht="22.5" hidden="1" customHeight="1">
      <c r="A1066" s="8">
        <v>45796.43591408565</v>
      </c>
      <c r="B1066" s="9"/>
      <c r="C1066" s="9" t="s">
        <v>86</v>
      </c>
      <c r="D1066" s="9" t="s">
        <v>326</v>
      </c>
      <c r="E1066" s="9" t="s">
        <v>17</v>
      </c>
      <c r="F1066" s="9" t="s">
        <v>17</v>
      </c>
      <c r="G1066" s="9" t="s">
        <v>24</v>
      </c>
      <c r="H1066" s="9" t="s">
        <v>17</v>
      </c>
      <c r="I1066" s="9" t="s">
        <v>20</v>
      </c>
      <c r="J1066" s="10"/>
      <c r="K1066" s="7"/>
      <c r="L1066" s="7"/>
      <c r="M1066" s="7"/>
      <c r="N1066" s="7"/>
      <c r="O1066" s="7"/>
    </row>
    <row r="1067" ht="22.5" hidden="1" customHeight="1">
      <c r="A1067" s="8">
        <v>45796.43610314815</v>
      </c>
      <c r="B1067" s="9"/>
      <c r="C1067" s="9" t="s">
        <v>86</v>
      </c>
      <c r="D1067" s="9" t="s">
        <v>68</v>
      </c>
      <c r="E1067" s="9" t="s">
        <v>17</v>
      </c>
      <c r="F1067" s="9" t="s">
        <v>17</v>
      </c>
      <c r="G1067" s="9" t="s">
        <v>24</v>
      </c>
      <c r="H1067" s="9" t="s">
        <v>17</v>
      </c>
      <c r="I1067" s="9" t="s">
        <v>20</v>
      </c>
      <c r="J1067" s="10"/>
      <c r="K1067" s="7"/>
      <c r="L1067" s="7"/>
      <c r="M1067" s="7"/>
      <c r="N1067" s="7"/>
      <c r="O1067" s="7"/>
    </row>
    <row r="1068" ht="22.5" hidden="1" customHeight="1">
      <c r="A1068" s="8">
        <v>45796.43684434028</v>
      </c>
      <c r="B1068" s="9"/>
      <c r="C1068" s="9" t="s">
        <v>86</v>
      </c>
      <c r="D1068" s="9" t="s">
        <v>250</v>
      </c>
      <c r="E1068" s="9" t="s">
        <v>17</v>
      </c>
      <c r="F1068" s="9" t="s">
        <v>17</v>
      </c>
      <c r="G1068" s="9" t="s">
        <v>24</v>
      </c>
      <c r="H1068" s="9" t="s">
        <v>17</v>
      </c>
      <c r="I1068" s="9" t="s">
        <v>20</v>
      </c>
      <c r="J1068" s="10"/>
      <c r="K1068" s="7"/>
      <c r="L1068" s="7"/>
      <c r="M1068" s="7"/>
      <c r="N1068" s="7"/>
      <c r="O1068" s="7"/>
    </row>
    <row r="1069" ht="22.5" hidden="1" customHeight="1">
      <c r="A1069" s="8">
        <v>45796.438532002314</v>
      </c>
      <c r="B1069" s="9"/>
      <c r="C1069" s="9" t="s">
        <v>86</v>
      </c>
      <c r="D1069" s="9" t="s">
        <v>243</v>
      </c>
      <c r="E1069" s="9" t="s">
        <v>17</v>
      </c>
      <c r="F1069" s="9" t="s">
        <v>17</v>
      </c>
      <c r="G1069" s="9" t="s">
        <v>24</v>
      </c>
      <c r="H1069" s="9" t="s">
        <v>25</v>
      </c>
      <c r="I1069" s="9" t="s">
        <v>34</v>
      </c>
      <c r="J1069" s="10"/>
      <c r="K1069" s="7"/>
      <c r="L1069" s="7"/>
      <c r="M1069" s="7"/>
      <c r="N1069" s="7"/>
      <c r="O1069" s="7"/>
    </row>
    <row r="1070" ht="22.5" hidden="1" customHeight="1">
      <c r="A1070" s="8">
        <v>45796.443028587964</v>
      </c>
      <c r="B1070" s="9"/>
      <c r="C1070" s="9" t="s">
        <v>86</v>
      </c>
      <c r="D1070" s="9" t="s">
        <v>102</v>
      </c>
      <c r="E1070" s="9" t="s">
        <v>17</v>
      </c>
      <c r="F1070" s="9" t="s">
        <v>17</v>
      </c>
      <c r="G1070" s="9" t="s">
        <v>24</v>
      </c>
      <c r="H1070" s="9" t="s">
        <v>17</v>
      </c>
      <c r="I1070" s="9" t="s">
        <v>20</v>
      </c>
      <c r="J1070" s="10"/>
      <c r="K1070" s="7"/>
      <c r="L1070" s="7"/>
      <c r="M1070" s="7"/>
      <c r="N1070" s="7"/>
      <c r="O1070" s="7"/>
    </row>
    <row r="1071" ht="22.5" hidden="1" customHeight="1">
      <c r="A1071" s="8">
        <v>45796.44908304398</v>
      </c>
      <c r="B1071" s="9"/>
      <c r="C1071" s="9" t="s">
        <v>86</v>
      </c>
      <c r="D1071" s="9" t="s">
        <v>230</v>
      </c>
      <c r="E1071" s="9" t="s">
        <v>17</v>
      </c>
      <c r="F1071" s="9" t="s">
        <v>17</v>
      </c>
      <c r="G1071" s="9" t="s">
        <v>40</v>
      </c>
      <c r="H1071" s="9" t="s">
        <v>25</v>
      </c>
      <c r="I1071" s="9" t="s">
        <v>137</v>
      </c>
      <c r="J1071" s="10"/>
      <c r="K1071" s="7"/>
      <c r="L1071" s="7"/>
      <c r="M1071" s="7"/>
      <c r="N1071" s="7"/>
      <c r="O1071" s="7"/>
    </row>
    <row r="1072" ht="22.5" hidden="1" customHeight="1">
      <c r="A1072" s="8">
        <v>45796.455614328705</v>
      </c>
      <c r="B1072" s="9"/>
      <c r="C1072" s="9" t="s">
        <v>86</v>
      </c>
      <c r="D1072" s="9" t="s">
        <v>109</v>
      </c>
      <c r="E1072" s="9" t="s">
        <v>17</v>
      </c>
      <c r="F1072" s="9" t="s">
        <v>60</v>
      </c>
      <c r="G1072" s="9" t="s">
        <v>40</v>
      </c>
      <c r="H1072" s="9" t="s">
        <v>25</v>
      </c>
      <c r="I1072" s="9" t="s">
        <v>117</v>
      </c>
      <c r="J1072" s="10"/>
      <c r="K1072" s="7"/>
      <c r="L1072" s="7"/>
      <c r="M1072" s="7"/>
      <c r="N1072" s="7"/>
      <c r="O1072" s="7"/>
    </row>
    <row r="1073" ht="22.5" hidden="1" customHeight="1">
      <c r="A1073" s="8">
        <v>45797.33467619213</v>
      </c>
      <c r="B1073" s="9"/>
      <c r="C1073" s="9" t="s">
        <v>110</v>
      </c>
      <c r="D1073" s="9" t="s">
        <v>277</v>
      </c>
      <c r="E1073" s="9" t="s">
        <v>17</v>
      </c>
      <c r="F1073" s="9" t="s">
        <v>17</v>
      </c>
      <c r="G1073" s="9" t="s">
        <v>19</v>
      </c>
      <c r="H1073" s="9" t="s">
        <v>17</v>
      </c>
      <c r="I1073" s="9" t="s">
        <v>20</v>
      </c>
      <c r="J1073" s="10"/>
      <c r="K1073" s="7"/>
      <c r="L1073" s="7"/>
      <c r="M1073" s="7"/>
      <c r="N1073" s="7"/>
      <c r="O1073" s="7"/>
    </row>
    <row r="1074" ht="22.5" hidden="1" customHeight="1">
      <c r="A1074" s="8">
        <v>45797.33511115741</v>
      </c>
      <c r="B1074" s="9"/>
      <c r="C1074" s="9" t="s">
        <v>110</v>
      </c>
      <c r="D1074" s="9" t="s">
        <v>127</v>
      </c>
      <c r="E1074" s="9" t="s">
        <v>46</v>
      </c>
      <c r="F1074" s="9" t="s">
        <v>17</v>
      </c>
      <c r="G1074" s="9" t="s">
        <v>24</v>
      </c>
      <c r="H1074" s="9" t="s">
        <v>25</v>
      </c>
      <c r="I1074" s="9" t="s">
        <v>67</v>
      </c>
      <c r="J1074" s="10"/>
      <c r="K1074" s="7"/>
      <c r="L1074" s="7"/>
      <c r="M1074" s="7"/>
      <c r="N1074" s="7"/>
      <c r="O1074" s="7"/>
    </row>
    <row r="1075" ht="22.5" hidden="1" customHeight="1">
      <c r="A1075" s="8">
        <v>45797.33558539352</v>
      </c>
      <c r="B1075" s="9"/>
      <c r="C1075" s="9" t="s">
        <v>110</v>
      </c>
      <c r="D1075" s="9" t="s">
        <v>51</v>
      </c>
      <c r="E1075" s="9" t="s">
        <v>17</v>
      </c>
      <c r="F1075" s="9" t="s">
        <v>17</v>
      </c>
      <c r="G1075" s="9" t="s">
        <v>24</v>
      </c>
      <c r="H1075" s="9" t="s">
        <v>25</v>
      </c>
      <c r="I1075" s="9" t="s">
        <v>117</v>
      </c>
      <c r="J1075" s="10"/>
      <c r="K1075" s="7"/>
      <c r="L1075" s="7"/>
      <c r="M1075" s="7"/>
      <c r="N1075" s="7"/>
      <c r="O1075" s="7"/>
    </row>
    <row r="1076" ht="22.5" hidden="1" customHeight="1">
      <c r="A1076" s="8">
        <v>45797.33588486111</v>
      </c>
      <c r="B1076" s="9"/>
      <c r="C1076" s="9" t="s">
        <v>110</v>
      </c>
      <c r="D1076" s="9" t="s">
        <v>133</v>
      </c>
      <c r="E1076" s="9" t="s">
        <v>17</v>
      </c>
      <c r="F1076" s="9" t="s">
        <v>17</v>
      </c>
      <c r="G1076" s="9" t="s">
        <v>19</v>
      </c>
      <c r="H1076" s="9" t="s">
        <v>17</v>
      </c>
      <c r="I1076" s="9" t="s">
        <v>20</v>
      </c>
      <c r="J1076" s="10"/>
      <c r="K1076" s="7"/>
      <c r="L1076" s="7"/>
      <c r="M1076" s="7"/>
      <c r="N1076" s="7"/>
      <c r="O1076" s="7"/>
    </row>
    <row r="1077" ht="22.5" hidden="1" customHeight="1">
      <c r="A1077" s="8">
        <v>45797.33632743056</v>
      </c>
      <c r="B1077" s="9"/>
      <c r="C1077" s="9" t="s">
        <v>110</v>
      </c>
      <c r="D1077" s="9" t="s">
        <v>230</v>
      </c>
      <c r="E1077" s="9" t="s">
        <v>17</v>
      </c>
      <c r="F1077" s="9" t="s">
        <v>17</v>
      </c>
      <c r="G1077" s="9" t="s">
        <v>24</v>
      </c>
      <c r="H1077" s="9" t="s">
        <v>25</v>
      </c>
      <c r="I1077" s="9" t="s">
        <v>137</v>
      </c>
      <c r="J1077" s="10"/>
      <c r="K1077" s="7"/>
      <c r="L1077" s="7"/>
      <c r="M1077" s="7"/>
      <c r="N1077" s="7"/>
      <c r="O1077" s="7"/>
    </row>
    <row r="1078" ht="22.5" hidden="1" customHeight="1">
      <c r="A1078" s="8">
        <v>45797.33946461805</v>
      </c>
      <c r="B1078" s="9"/>
      <c r="C1078" s="9" t="s">
        <v>110</v>
      </c>
      <c r="D1078" s="9" t="s">
        <v>23</v>
      </c>
      <c r="E1078" s="9" t="s">
        <v>17</v>
      </c>
      <c r="F1078" s="9" t="s">
        <v>17</v>
      </c>
      <c r="G1078" s="9" t="s">
        <v>24</v>
      </c>
      <c r="H1078" s="9" t="s">
        <v>17</v>
      </c>
      <c r="I1078" s="9" t="s">
        <v>20</v>
      </c>
      <c r="J1078" s="10"/>
      <c r="K1078" s="7"/>
      <c r="L1078" s="7"/>
      <c r="M1078" s="7"/>
      <c r="N1078" s="7"/>
      <c r="O1078" s="7"/>
    </row>
    <row r="1079" ht="22.5" hidden="1" customHeight="1">
      <c r="A1079" s="8">
        <v>45797.33987285879</v>
      </c>
      <c r="B1079" s="9"/>
      <c r="C1079" s="9" t="s">
        <v>110</v>
      </c>
      <c r="D1079" s="9" t="s">
        <v>235</v>
      </c>
      <c r="E1079" s="9" t="s">
        <v>17</v>
      </c>
      <c r="F1079" s="9" t="s">
        <v>17</v>
      </c>
      <c r="G1079" s="9" t="s">
        <v>24</v>
      </c>
      <c r="H1079" s="9" t="s">
        <v>25</v>
      </c>
      <c r="I1079" s="9" t="s">
        <v>137</v>
      </c>
      <c r="J1079" s="10"/>
      <c r="K1079" s="7"/>
      <c r="L1079" s="7"/>
      <c r="M1079" s="7"/>
      <c r="N1079" s="7"/>
      <c r="O1079" s="7"/>
    </row>
    <row r="1080" ht="22.5" hidden="1" customHeight="1">
      <c r="A1080" s="8">
        <v>45797.34028940972</v>
      </c>
      <c r="B1080" s="9"/>
      <c r="C1080" s="9" t="s">
        <v>110</v>
      </c>
      <c r="D1080" s="9" t="s">
        <v>68</v>
      </c>
      <c r="E1080" s="9" t="s">
        <v>17</v>
      </c>
      <c r="F1080" s="9" t="s">
        <v>17</v>
      </c>
      <c r="G1080" s="9" t="s">
        <v>24</v>
      </c>
      <c r="H1080" s="9" t="s">
        <v>17</v>
      </c>
      <c r="I1080" s="9" t="s">
        <v>20</v>
      </c>
      <c r="J1080" s="10"/>
      <c r="K1080" s="7"/>
      <c r="L1080" s="7"/>
      <c r="M1080" s="7"/>
      <c r="N1080" s="7"/>
      <c r="O1080" s="7"/>
    </row>
    <row r="1081" ht="22.5" hidden="1" customHeight="1">
      <c r="A1081" s="8">
        <v>45797.34070922453</v>
      </c>
      <c r="B1081" s="9"/>
      <c r="C1081" s="9" t="s">
        <v>110</v>
      </c>
      <c r="D1081" s="9" t="s">
        <v>250</v>
      </c>
      <c r="E1081" s="9" t="s">
        <v>17</v>
      </c>
      <c r="F1081" s="9" t="s">
        <v>17</v>
      </c>
      <c r="G1081" s="9" t="s">
        <v>24</v>
      </c>
      <c r="H1081" s="9" t="s">
        <v>25</v>
      </c>
      <c r="I1081" s="9" t="s">
        <v>20</v>
      </c>
      <c r="J1081" s="10"/>
      <c r="K1081" s="7"/>
      <c r="L1081" s="7"/>
      <c r="M1081" s="7"/>
      <c r="N1081" s="7"/>
      <c r="O1081" s="7"/>
    </row>
    <row r="1082" ht="22.5" hidden="1" customHeight="1">
      <c r="A1082" s="8">
        <v>45797.34116005787</v>
      </c>
      <c r="B1082" s="9"/>
      <c r="C1082" s="9" t="s">
        <v>110</v>
      </c>
      <c r="D1082" s="9" t="s">
        <v>102</v>
      </c>
      <c r="E1082" s="9" t="s">
        <v>17</v>
      </c>
      <c r="F1082" s="9" t="s">
        <v>17</v>
      </c>
      <c r="G1082" s="9" t="s">
        <v>24</v>
      </c>
      <c r="H1082" s="9" t="s">
        <v>17</v>
      </c>
      <c r="I1082" s="9" t="s">
        <v>20</v>
      </c>
      <c r="J1082" s="10"/>
      <c r="K1082" s="7"/>
      <c r="L1082" s="7"/>
      <c r="M1082" s="7"/>
      <c r="N1082" s="7"/>
      <c r="O1082" s="7"/>
    </row>
    <row r="1083" ht="22.5" hidden="1" customHeight="1">
      <c r="A1083" s="8">
        <v>45797.34183685185</v>
      </c>
      <c r="B1083" s="9"/>
      <c r="C1083" s="9" t="s">
        <v>110</v>
      </c>
      <c r="D1083" s="9" t="s">
        <v>227</v>
      </c>
      <c r="E1083" s="9" t="s">
        <v>17</v>
      </c>
      <c r="F1083" s="9" t="s">
        <v>17</v>
      </c>
      <c r="G1083" s="9" t="s">
        <v>24</v>
      </c>
      <c r="H1083" s="9" t="s">
        <v>25</v>
      </c>
      <c r="I1083" s="9" t="s">
        <v>240</v>
      </c>
      <c r="J1083" s="10"/>
      <c r="K1083" s="7"/>
      <c r="L1083" s="7"/>
      <c r="M1083" s="7"/>
      <c r="N1083" s="7"/>
      <c r="O1083" s="7"/>
    </row>
    <row r="1084" ht="22.5" hidden="1" customHeight="1">
      <c r="A1084" s="8">
        <v>45797.342101319446</v>
      </c>
      <c r="B1084" s="9"/>
      <c r="C1084" s="9" t="s">
        <v>110</v>
      </c>
      <c r="D1084" s="9" t="s">
        <v>132</v>
      </c>
      <c r="E1084" s="9" t="s">
        <v>30</v>
      </c>
      <c r="F1084" s="9" t="s">
        <v>18</v>
      </c>
      <c r="G1084" s="9" t="s">
        <v>24</v>
      </c>
      <c r="H1084" s="9" t="s">
        <v>22</v>
      </c>
      <c r="I1084" s="9" t="s">
        <v>20</v>
      </c>
      <c r="J1084" s="10"/>
      <c r="K1084" s="7"/>
      <c r="L1084" s="7"/>
      <c r="M1084" s="7"/>
      <c r="N1084" s="7"/>
      <c r="O1084" s="7"/>
    </row>
    <row r="1085" ht="22.5" hidden="1" customHeight="1">
      <c r="A1085" s="8">
        <v>45797.34229611111</v>
      </c>
      <c r="B1085" s="9"/>
      <c r="C1085" s="9" t="s">
        <v>110</v>
      </c>
      <c r="D1085" s="9" t="s">
        <v>206</v>
      </c>
      <c r="E1085" s="9" t="s">
        <v>17</v>
      </c>
      <c r="F1085" s="9" t="s">
        <v>17</v>
      </c>
      <c r="G1085" s="9" t="s">
        <v>24</v>
      </c>
      <c r="H1085" s="9" t="s">
        <v>17</v>
      </c>
      <c r="I1085" s="9" t="s">
        <v>20</v>
      </c>
      <c r="J1085" s="10"/>
      <c r="K1085" s="7"/>
      <c r="L1085" s="7"/>
      <c r="M1085" s="7"/>
      <c r="N1085" s="7"/>
      <c r="O1085" s="7"/>
    </row>
    <row r="1086" ht="22.5" hidden="1" customHeight="1">
      <c r="A1086" s="8">
        <v>45797.34272655092</v>
      </c>
      <c r="B1086" s="9"/>
      <c r="C1086" s="9" t="s">
        <v>110</v>
      </c>
      <c r="D1086" s="9" t="s">
        <v>243</v>
      </c>
      <c r="E1086" s="9" t="s">
        <v>17</v>
      </c>
      <c r="F1086" s="9" t="s">
        <v>17</v>
      </c>
      <c r="G1086" s="9" t="s">
        <v>24</v>
      </c>
      <c r="H1086" s="9" t="s">
        <v>17</v>
      </c>
      <c r="I1086" s="9" t="s">
        <v>20</v>
      </c>
      <c r="J1086" s="10"/>
      <c r="K1086" s="7"/>
      <c r="L1086" s="7"/>
      <c r="M1086" s="7"/>
      <c r="N1086" s="7"/>
      <c r="O1086" s="7"/>
    </row>
    <row r="1087" ht="22.5" hidden="1" customHeight="1">
      <c r="A1087" s="8">
        <v>45797.34504010416</v>
      </c>
      <c r="B1087" s="9"/>
      <c r="C1087" s="9" t="s">
        <v>110</v>
      </c>
      <c r="D1087" s="9" t="s">
        <v>21</v>
      </c>
      <c r="E1087" s="9" t="s">
        <v>17</v>
      </c>
      <c r="F1087" s="9" t="s">
        <v>17</v>
      </c>
      <c r="G1087" s="9" t="s">
        <v>24</v>
      </c>
      <c r="H1087" s="9" t="s">
        <v>17</v>
      </c>
      <c r="I1087" s="9" t="s">
        <v>20</v>
      </c>
      <c r="J1087" s="10"/>
      <c r="K1087" s="7"/>
      <c r="L1087" s="7"/>
      <c r="M1087" s="7"/>
      <c r="N1087" s="7"/>
      <c r="O1087" s="7"/>
    </row>
    <row r="1088" ht="22.5" hidden="1" customHeight="1">
      <c r="A1088" s="8">
        <v>45797.34530234954</v>
      </c>
      <c r="B1088" s="9"/>
      <c r="C1088" s="9" t="s">
        <v>110</v>
      </c>
      <c r="D1088" s="9" t="s">
        <v>192</v>
      </c>
      <c r="E1088" s="9" t="s">
        <v>17</v>
      </c>
      <c r="F1088" s="9" t="s">
        <v>17</v>
      </c>
      <c r="G1088" s="9" t="s">
        <v>24</v>
      </c>
      <c r="H1088" s="9" t="s">
        <v>17</v>
      </c>
      <c r="I1088" s="9" t="s">
        <v>20</v>
      </c>
      <c r="J1088" s="10"/>
      <c r="K1088" s="7"/>
      <c r="L1088" s="7"/>
      <c r="M1088" s="7"/>
      <c r="N1088" s="7"/>
      <c r="O1088" s="7"/>
    </row>
    <row r="1089" ht="22.5" hidden="1" customHeight="1">
      <c r="A1089" s="8">
        <v>45797.34788519676</v>
      </c>
      <c r="B1089" s="9"/>
      <c r="C1089" s="9" t="s">
        <v>110</v>
      </c>
      <c r="D1089" s="9" t="s">
        <v>111</v>
      </c>
      <c r="E1089" s="9" t="s">
        <v>57</v>
      </c>
      <c r="F1089" s="9" t="s">
        <v>18</v>
      </c>
      <c r="G1089" s="9" t="s">
        <v>24</v>
      </c>
      <c r="H1089" s="9" t="s">
        <v>22</v>
      </c>
      <c r="I1089" s="9" t="s">
        <v>20</v>
      </c>
      <c r="J1089" s="10"/>
      <c r="K1089" s="7"/>
      <c r="L1089" s="7"/>
      <c r="M1089" s="7"/>
      <c r="N1089" s="7"/>
      <c r="O1089" s="7"/>
    </row>
    <row r="1090" ht="22.5" hidden="1" customHeight="1">
      <c r="A1090" s="8">
        <v>45797.348981284726</v>
      </c>
      <c r="B1090" s="9"/>
      <c r="C1090" s="9" t="s">
        <v>110</v>
      </c>
      <c r="D1090" s="9" t="s">
        <v>287</v>
      </c>
      <c r="E1090" s="9" t="s">
        <v>46</v>
      </c>
      <c r="F1090" s="9" t="s">
        <v>17</v>
      </c>
      <c r="G1090" s="9" t="s">
        <v>24</v>
      </c>
      <c r="H1090" s="9" t="s">
        <v>17</v>
      </c>
      <c r="I1090" s="9" t="s">
        <v>20</v>
      </c>
      <c r="J1090" s="10"/>
      <c r="K1090" s="7"/>
      <c r="L1090" s="7"/>
      <c r="M1090" s="7"/>
      <c r="N1090" s="7"/>
      <c r="O1090" s="7"/>
    </row>
    <row r="1091" ht="22.5" hidden="1" customHeight="1">
      <c r="A1091" s="8">
        <v>45797.349257696755</v>
      </c>
      <c r="B1091" s="9"/>
      <c r="C1091" s="9" t="s">
        <v>110</v>
      </c>
      <c r="D1091" s="9" t="s">
        <v>107</v>
      </c>
      <c r="E1091" s="9" t="s">
        <v>46</v>
      </c>
      <c r="F1091" s="9" t="s">
        <v>18</v>
      </c>
      <c r="G1091" s="9" t="s">
        <v>24</v>
      </c>
      <c r="H1091" s="9" t="s">
        <v>25</v>
      </c>
      <c r="I1091" s="9" t="s">
        <v>311</v>
      </c>
      <c r="J1091" s="10"/>
      <c r="K1091" s="7"/>
      <c r="L1091" s="7"/>
      <c r="M1091" s="7"/>
      <c r="N1091" s="7"/>
      <c r="O1091" s="7"/>
    </row>
    <row r="1092" ht="22.5" hidden="1" customHeight="1">
      <c r="A1092" s="8">
        <v>45797.349607083335</v>
      </c>
      <c r="B1092" s="9"/>
      <c r="C1092" s="9" t="s">
        <v>110</v>
      </c>
      <c r="D1092" s="9" t="s">
        <v>327</v>
      </c>
      <c r="E1092" s="9" t="s">
        <v>17</v>
      </c>
      <c r="F1092" s="9" t="s">
        <v>17</v>
      </c>
      <c r="G1092" s="9" t="s">
        <v>24</v>
      </c>
      <c r="H1092" s="9" t="s">
        <v>17</v>
      </c>
      <c r="I1092" s="9" t="s">
        <v>20</v>
      </c>
      <c r="J1092" s="10"/>
      <c r="K1092" s="7"/>
      <c r="L1092" s="7"/>
      <c r="M1092" s="7"/>
      <c r="N1092" s="7"/>
      <c r="O1092" s="7"/>
    </row>
    <row r="1093" ht="22.5" hidden="1" customHeight="1">
      <c r="A1093" s="8">
        <v>45797.35058048611</v>
      </c>
      <c r="B1093" s="9"/>
      <c r="C1093" s="9" t="s">
        <v>110</v>
      </c>
      <c r="D1093" s="9" t="s">
        <v>260</v>
      </c>
      <c r="E1093" s="9" t="s">
        <v>17</v>
      </c>
      <c r="F1093" s="9" t="s">
        <v>17</v>
      </c>
      <c r="G1093" s="9" t="s">
        <v>24</v>
      </c>
      <c r="H1093" s="9" t="s">
        <v>17</v>
      </c>
      <c r="I1093" s="9" t="s">
        <v>20</v>
      </c>
      <c r="J1093" s="10"/>
      <c r="K1093" s="7"/>
      <c r="L1093" s="7"/>
      <c r="M1093" s="7"/>
      <c r="N1093" s="7"/>
      <c r="O1093" s="7"/>
    </row>
    <row r="1094" ht="22.5" hidden="1" customHeight="1">
      <c r="A1094" s="8">
        <v>45797.3513052662</v>
      </c>
      <c r="B1094" s="9"/>
      <c r="C1094" s="9" t="s">
        <v>110</v>
      </c>
      <c r="D1094" s="9" t="s">
        <v>109</v>
      </c>
      <c r="E1094" s="9" t="s">
        <v>46</v>
      </c>
      <c r="F1094" s="9" t="s">
        <v>77</v>
      </c>
      <c r="G1094" s="9" t="s">
        <v>40</v>
      </c>
      <c r="H1094" s="9" t="s">
        <v>17</v>
      </c>
      <c r="I1094" s="9" t="s">
        <v>20</v>
      </c>
      <c r="J1094" s="10"/>
      <c r="K1094" s="7"/>
      <c r="L1094" s="7"/>
      <c r="M1094" s="7"/>
      <c r="N1094" s="7"/>
      <c r="O1094" s="7"/>
    </row>
    <row r="1095" ht="22.5" hidden="1" customHeight="1">
      <c r="A1095" s="8">
        <v>45798.5662615162</v>
      </c>
      <c r="B1095" s="9"/>
      <c r="C1095" s="9" t="s">
        <v>15</v>
      </c>
      <c r="D1095" s="9" t="s">
        <v>285</v>
      </c>
      <c r="E1095" s="9" t="s">
        <v>30</v>
      </c>
      <c r="F1095" s="9" t="s">
        <v>18</v>
      </c>
      <c r="G1095" s="9" t="s">
        <v>24</v>
      </c>
      <c r="H1095" s="9" t="s">
        <v>22</v>
      </c>
      <c r="I1095" s="9" t="s">
        <v>20</v>
      </c>
      <c r="J1095" s="10"/>
      <c r="K1095" s="7"/>
      <c r="L1095" s="7"/>
      <c r="M1095" s="7"/>
      <c r="N1095" s="7"/>
      <c r="O1095" s="7"/>
    </row>
    <row r="1096" ht="22.5" hidden="1" customHeight="1">
      <c r="A1096" s="8">
        <v>45798.566605810185</v>
      </c>
      <c r="B1096" s="9"/>
      <c r="C1096" s="9" t="s">
        <v>15</v>
      </c>
      <c r="D1096" s="9" t="s">
        <v>33</v>
      </c>
      <c r="E1096" s="9" t="s">
        <v>17</v>
      </c>
      <c r="F1096" s="9" t="s">
        <v>17</v>
      </c>
      <c r="G1096" s="9" t="s">
        <v>24</v>
      </c>
      <c r="H1096" s="9" t="s">
        <v>17</v>
      </c>
      <c r="I1096" s="9" t="s">
        <v>20</v>
      </c>
      <c r="J1096" s="10"/>
      <c r="K1096" s="7"/>
      <c r="L1096" s="7"/>
      <c r="M1096" s="7"/>
      <c r="N1096" s="7"/>
      <c r="O1096" s="7"/>
    </row>
    <row r="1097" ht="22.5" hidden="1" customHeight="1">
      <c r="A1097" s="8">
        <v>45798.567992233795</v>
      </c>
      <c r="B1097" s="9"/>
      <c r="C1097" s="9" t="s">
        <v>15</v>
      </c>
      <c r="D1097" s="9" t="s">
        <v>42</v>
      </c>
      <c r="E1097" s="9" t="s">
        <v>57</v>
      </c>
      <c r="F1097" s="9" t="s">
        <v>43</v>
      </c>
      <c r="G1097" s="9" t="s">
        <v>19</v>
      </c>
      <c r="H1097" s="9" t="s">
        <v>22</v>
      </c>
      <c r="I1097" s="9" t="s">
        <v>20</v>
      </c>
      <c r="J1097" s="10"/>
      <c r="K1097" s="7"/>
      <c r="L1097" s="7"/>
      <c r="M1097" s="7"/>
      <c r="N1097" s="7"/>
      <c r="O1097" s="7"/>
    </row>
    <row r="1098" ht="22.5" hidden="1" customHeight="1">
      <c r="A1098" s="8">
        <v>45798.714064618056</v>
      </c>
      <c r="B1098" s="9"/>
      <c r="C1098" s="9" t="s">
        <v>15</v>
      </c>
      <c r="D1098" s="9" t="s">
        <v>133</v>
      </c>
      <c r="E1098" s="9" t="s">
        <v>57</v>
      </c>
      <c r="F1098" s="9" t="s">
        <v>43</v>
      </c>
      <c r="G1098" s="9" t="s">
        <v>24</v>
      </c>
      <c r="H1098" s="9" t="s">
        <v>22</v>
      </c>
      <c r="I1098" s="9" t="s">
        <v>20</v>
      </c>
      <c r="J1098" s="10"/>
      <c r="K1098" s="7"/>
      <c r="L1098" s="7"/>
      <c r="M1098" s="7"/>
      <c r="N1098" s="7"/>
      <c r="O1098" s="7"/>
    </row>
    <row r="1099" ht="22.5" hidden="1" customHeight="1">
      <c r="A1099" s="8">
        <v>45800.59638020833</v>
      </c>
      <c r="B1099" s="9"/>
      <c r="C1099" s="9" t="s">
        <v>48</v>
      </c>
      <c r="D1099" s="9" t="s">
        <v>49</v>
      </c>
      <c r="E1099" s="9" t="s">
        <v>17</v>
      </c>
      <c r="F1099" s="9" t="s">
        <v>17</v>
      </c>
      <c r="G1099" s="9" t="s">
        <v>24</v>
      </c>
      <c r="H1099" s="9" t="s">
        <v>17</v>
      </c>
      <c r="I1099" s="9" t="s">
        <v>20</v>
      </c>
      <c r="J1099" s="10"/>
      <c r="K1099" s="7"/>
      <c r="L1099" s="7"/>
      <c r="M1099" s="7"/>
      <c r="N1099" s="7"/>
      <c r="O1099" s="7"/>
    </row>
    <row r="1100" ht="22.5" hidden="1" customHeight="1">
      <c r="A1100" s="8">
        <v>45801.33572021991</v>
      </c>
      <c r="B1100" s="9"/>
      <c r="C1100" s="9" t="s">
        <v>53</v>
      </c>
      <c r="D1100" s="9" t="s">
        <v>328</v>
      </c>
      <c r="E1100" s="9" t="s">
        <v>17</v>
      </c>
      <c r="F1100" s="9" t="s">
        <v>17</v>
      </c>
      <c r="G1100" s="9" t="s">
        <v>24</v>
      </c>
      <c r="H1100" s="9" t="s">
        <v>17</v>
      </c>
      <c r="I1100" s="9" t="s">
        <v>20</v>
      </c>
      <c r="J1100" s="10"/>
      <c r="K1100" s="7"/>
      <c r="L1100" s="7"/>
      <c r="M1100" s="7"/>
      <c r="N1100" s="7"/>
      <c r="O1100" s="7"/>
    </row>
    <row r="1101" ht="22.5" hidden="1" customHeight="1">
      <c r="A1101" s="8">
        <v>45801.33618699074</v>
      </c>
      <c r="B1101" s="9"/>
      <c r="C1101" s="9" t="s">
        <v>53</v>
      </c>
      <c r="D1101" s="9" t="s">
        <v>230</v>
      </c>
      <c r="E1101" s="9" t="s">
        <v>17</v>
      </c>
      <c r="F1101" s="9" t="s">
        <v>17</v>
      </c>
      <c r="G1101" s="9" t="s">
        <v>24</v>
      </c>
      <c r="H1101" s="9" t="s">
        <v>25</v>
      </c>
      <c r="I1101" s="9" t="s">
        <v>67</v>
      </c>
      <c r="J1101" s="10"/>
      <c r="K1101" s="7"/>
      <c r="L1101" s="7"/>
      <c r="M1101" s="7"/>
      <c r="N1101" s="7"/>
      <c r="O1101" s="7"/>
    </row>
    <row r="1102" ht="22.5" hidden="1" customHeight="1">
      <c r="A1102" s="8">
        <v>45801.33645973379</v>
      </c>
      <c r="B1102" s="9"/>
      <c r="C1102" s="9" t="s">
        <v>53</v>
      </c>
      <c r="D1102" s="9" t="s">
        <v>268</v>
      </c>
      <c r="E1102" s="9" t="s">
        <v>17</v>
      </c>
      <c r="F1102" s="9" t="s">
        <v>17</v>
      </c>
      <c r="G1102" s="9" t="s">
        <v>24</v>
      </c>
      <c r="H1102" s="9" t="s">
        <v>25</v>
      </c>
      <c r="I1102" s="9" t="s">
        <v>137</v>
      </c>
      <c r="J1102" s="10"/>
      <c r="K1102" s="7"/>
      <c r="L1102" s="7"/>
      <c r="M1102" s="7"/>
      <c r="N1102" s="7"/>
      <c r="O1102" s="7"/>
    </row>
    <row r="1103" ht="22.5" hidden="1" customHeight="1">
      <c r="A1103" s="8">
        <v>45801.33669215278</v>
      </c>
      <c r="B1103" s="9"/>
      <c r="C1103" s="9" t="s">
        <v>53</v>
      </c>
      <c r="D1103" s="9" t="s">
        <v>127</v>
      </c>
      <c r="E1103" s="9" t="s">
        <v>17</v>
      </c>
      <c r="F1103" s="9" t="s">
        <v>17</v>
      </c>
      <c r="G1103" s="9" t="s">
        <v>24</v>
      </c>
      <c r="H1103" s="9" t="s">
        <v>17</v>
      </c>
      <c r="I1103" s="9" t="s">
        <v>20</v>
      </c>
      <c r="J1103" s="10"/>
      <c r="K1103" s="7"/>
      <c r="L1103" s="7"/>
      <c r="M1103" s="7"/>
      <c r="N1103" s="7"/>
      <c r="O1103" s="7"/>
    </row>
    <row r="1104" ht="22.5" hidden="1" customHeight="1">
      <c r="A1104" s="8">
        <v>45801.33721564815</v>
      </c>
      <c r="B1104" s="9"/>
      <c r="C1104" s="9" t="s">
        <v>53</v>
      </c>
      <c r="D1104" s="9" t="s">
        <v>277</v>
      </c>
      <c r="E1104" s="9" t="s">
        <v>17</v>
      </c>
      <c r="F1104" s="9" t="s">
        <v>17</v>
      </c>
      <c r="G1104" s="9" t="s">
        <v>24</v>
      </c>
      <c r="H1104" s="9" t="s">
        <v>25</v>
      </c>
      <c r="I1104" s="9" t="s">
        <v>20</v>
      </c>
      <c r="J1104" s="10"/>
      <c r="K1104" s="7"/>
      <c r="L1104" s="7"/>
      <c r="M1104" s="7"/>
      <c r="N1104" s="7"/>
      <c r="O1104" s="7"/>
    </row>
    <row r="1105" ht="22.5" hidden="1" customHeight="1">
      <c r="A1105" s="8">
        <v>45801.33748412037</v>
      </c>
      <c r="B1105" s="9"/>
      <c r="C1105" s="9" t="s">
        <v>53</v>
      </c>
      <c r="D1105" s="9" t="s">
        <v>23</v>
      </c>
      <c r="E1105" s="9" t="s">
        <v>17</v>
      </c>
      <c r="F1105" s="9" t="s">
        <v>17</v>
      </c>
      <c r="G1105" s="9" t="s">
        <v>24</v>
      </c>
      <c r="H1105" s="9" t="s">
        <v>17</v>
      </c>
      <c r="I1105" s="9" t="s">
        <v>20</v>
      </c>
      <c r="J1105" s="10"/>
      <c r="K1105" s="7"/>
      <c r="L1105" s="7"/>
      <c r="M1105" s="7"/>
      <c r="N1105" s="7"/>
      <c r="O1105" s="7"/>
    </row>
    <row r="1106" ht="22.5" hidden="1" customHeight="1">
      <c r="A1106" s="8">
        <v>45801.3379233912</v>
      </c>
      <c r="B1106" s="9"/>
      <c r="C1106" s="9" t="s">
        <v>53</v>
      </c>
      <c r="D1106" s="9" t="s">
        <v>51</v>
      </c>
      <c r="E1106" s="9" t="s">
        <v>17</v>
      </c>
      <c r="F1106" s="9" t="s">
        <v>17</v>
      </c>
      <c r="G1106" s="9" t="s">
        <v>24</v>
      </c>
      <c r="H1106" s="9" t="s">
        <v>17</v>
      </c>
      <c r="I1106" s="9" t="s">
        <v>20</v>
      </c>
      <c r="J1106" s="10"/>
      <c r="K1106" s="7"/>
      <c r="L1106" s="7"/>
      <c r="M1106" s="7"/>
      <c r="N1106" s="7"/>
      <c r="O1106" s="7"/>
    </row>
    <row r="1107" ht="22.5" hidden="1" customHeight="1">
      <c r="A1107" s="8">
        <v>45801.33854917824</v>
      </c>
      <c r="B1107" s="9"/>
      <c r="C1107" s="9" t="s">
        <v>53</v>
      </c>
      <c r="D1107" s="9" t="s">
        <v>235</v>
      </c>
      <c r="E1107" s="9" t="s">
        <v>17</v>
      </c>
      <c r="F1107" s="9" t="s">
        <v>17</v>
      </c>
      <c r="G1107" s="9" t="s">
        <v>24</v>
      </c>
      <c r="H1107" s="9" t="s">
        <v>25</v>
      </c>
      <c r="I1107" s="9" t="s">
        <v>137</v>
      </c>
      <c r="J1107" s="10"/>
      <c r="K1107" s="7"/>
      <c r="L1107" s="7"/>
      <c r="M1107" s="7"/>
      <c r="N1107" s="7"/>
      <c r="O1107" s="7"/>
    </row>
    <row r="1108" ht="22.5" hidden="1" customHeight="1">
      <c r="A1108" s="8">
        <v>45801.33884108796</v>
      </c>
      <c r="B1108" s="9"/>
      <c r="C1108" s="9" t="s">
        <v>53</v>
      </c>
      <c r="D1108" s="9" t="s">
        <v>243</v>
      </c>
      <c r="E1108" s="9" t="s">
        <v>17</v>
      </c>
      <c r="F1108" s="9" t="s">
        <v>17</v>
      </c>
      <c r="G1108" s="9" t="s">
        <v>24</v>
      </c>
      <c r="H1108" s="9" t="s">
        <v>25</v>
      </c>
      <c r="I1108" s="9" t="s">
        <v>37</v>
      </c>
      <c r="J1108" s="10"/>
      <c r="K1108" s="7"/>
      <c r="L1108" s="7"/>
      <c r="M1108" s="7"/>
      <c r="N1108" s="7"/>
      <c r="O1108" s="7"/>
    </row>
    <row r="1109" ht="22.5" hidden="1" customHeight="1">
      <c r="A1109" s="8">
        <v>45801.33933538194</v>
      </c>
      <c r="B1109" s="9"/>
      <c r="C1109" s="9" t="s">
        <v>53</v>
      </c>
      <c r="D1109" s="9" t="s">
        <v>107</v>
      </c>
      <c r="E1109" s="9" t="s">
        <v>17</v>
      </c>
      <c r="F1109" s="9" t="s">
        <v>17</v>
      </c>
      <c r="G1109" s="9" t="s">
        <v>24</v>
      </c>
      <c r="H1109" s="9" t="s">
        <v>25</v>
      </c>
      <c r="I1109" s="9" t="s">
        <v>329</v>
      </c>
      <c r="J1109" s="10"/>
      <c r="K1109" s="7"/>
      <c r="L1109" s="7"/>
      <c r="M1109" s="7"/>
      <c r="N1109" s="7"/>
      <c r="O1109" s="7"/>
    </row>
    <row r="1110" ht="22.5" hidden="1" customHeight="1">
      <c r="A1110" s="8">
        <v>45801.33972650463</v>
      </c>
      <c r="B1110" s="9"/>
      <c r="C1110" s="9" t="s">
        <v>53</v>
      </c>
      <c r="D1110" s="9" t="s">
        <v>68</v>
      </c>
      <c r="E1110" s="9" t="s">
        <v>17</v>
      </c>
      <c r="F1110" s="9" t="s">
        <v>17</v>
      </c>
      <c r="G1110" s="9" t="s">
        <v>24</v>
      </c>
      <c r="H1110" s="9" t="s">
        <v>17</v>
      </c>
      <c r="I1110" s="9" t="s">
        <v>20</v>
      </c>
      <c r="J1110" s="10"/>
      <c r="K1110" s="7"/>
      <c r="L1110" s="7"/>
      <c r="M1110" s="7"/>
      <c r="N1110" s="7"/>
      <c r="O1110" s="7"/>
    </row>
    <row r="1111" ht="22.5" hidden="1" customHeight="1">
      <c r="A1111" s="8">
        <v>45801.34008502315</v>
      </c>
      <c r="B1111" s="9"/>
      <c r="C1111" s="9" t="s">
        <v>53</v>
      </c>
      <c r="D1111" s="9" t="s">
        <v>281</v>
      </c>
      <c r="E1111" s="9" t="s">
        <v>17</v>
      </c>
      <c r="F1111" s="9" t="s">
        <v>17</v>
      </c>
      <c r="G1111" s="9" t="s">
        <v>24</v>
      </c>
      <c r="H1111" s="9" t="s">
        <v>17</v>
      </c>
      <c r="I1111" s="9" t="s">
        <v>20</v>
      </c>
      <c r="J1111" s="10"/>
      <c r="K1111" s="7"/>
      <c r="L1111" s="7"/>
      <c r="M1111" s="7"/>
      <c r="N1111" s="7"/>
      <c r="O1111" s="7"/>
    </row>
    <row r="1112" ht="22.5" hidden="1" customHeight="1">
      <c r="A1112" s="8">
        <v>45801.3404515625</v>
      </c>
      <c r="B1112" s="9"/>
      <c r="C1112" s="9" t="s">
        <v>53</v>
      </c>
      <c r="D1112" s="9" t="s">
        <v>250</v>
      </c>
      <c r="E1112" s="9" t="s">
        <v>17</v>
      </c>
      <c r="F1112" s="9" t="s">
        <v>17</v>
      </c>
      <c r="G1112" s="9" t="s">
        <v>24</v>
      </c>
      <c r="H1112" s="9" t="s">
        <v>17</v>
      </c>
      <c r="I1112" s="9" t="s">
        <v>20</v>
      </c>
      <c r="J1112" s="10"/>
      <c r="K1112" s="7"/>
      <c r="L1112" s="7"/>
      <c r="M1112" s="7"/>
      <c r="N1112" s="7"/>
      <c r="O1112" s="7"/>
    </row>
    <row r="1113" ht="22.5" hidden="1" customHeight="1">
      <c r="A1113" s="8">
        <v>45801.340654699074</v>
      </c>
      <c r="B1113" s="9"/>
      <c r="C1113" s="9" t="s">
        <v>53</v>
      </c>
      <c r="D1113" s="9" t="s">
        <v>109</v>
      </c>
      <c r="E1113" s="9" t="s">
        <v>17</v>
      </c>
      <c r="F1113" s="9" t="s">
        <v>17</v>
      </c>
      <c r="G1113" s="9" t="s">
        <v>24</v>
      </c>
      <c r="H1113" s="9" t="s">
        <v>17</v>
      </c>
      <c r="I1113" s="9" t="s">
        <v>20</v>
      </c>
      <c r="J1113" s="10"/>
      <c r="K1113" s="7"/>
      <c r="L1113" s="7"/>
      <c r="M1113" s="7"/>
      <c r="N1113" s="7"/>
      <c r="O1113" s="7"/>
    </row>
    <row r="1114" ht="22.5" hidden="1" customHeight="1">
      <c r="A1114" s="8">
        <v>45801.34083342593</v>
      </c>
      <c r="B1114" s="9"/>
      <c r="C1114" s="9" t="s">
        <v>53</v>
      </c>
      <c r="D1114" s="9" t="s">
        <v>108</v>
      </c>
      <c r="E1114" s="9" t="s">
        <v>17</v>
      </c>
      <c r="F1114" s="9" t="s">
        <v>17</v>
      </c>
      <c r="G1114" s="9" t="s">
        <v>24</v>
      </c>
      <c r="H1114" s="9" t="s">
        <v>17</v>
      </c>
      <c r="I1114" s="9" t="s">
        <v>20</v>
      </c>
      <c r="J1114" s="10"/>
      <c r="K1114" s="7"/>
      <c r="L1114" s="7"/>
      <c r="M1114" s="7"/>
      <c r="N1114" s="7"/>
      <c r="O1114" s="7"/>
    </row>
    <row r="1115" ht="22.5" hidden="1" customHeight="1">
      <c r="A1115" s="8">
        <v>45801.35000269676</v>
      </c>
      <c r="B1115" s="9"/>
      <c r="C1115" s="9" t="s">
        <v>53</v>
      </c>
      <c r="D1115" s="9" t="s">
        <v>192</v>
      </c>
      <c r="E1115" s="9" t="s">
        <v>17</v>
      </c>
      <c r="F1115" s="9" t="s">
        <v>17</v>
      </c>
      <c r="G1115" s="9" t="s">
        <v>24</v>
      </c>
      <c r="H1115" s="9" t="s">
        <v>17</v>
      </c>
      <c r="I1115" s="9" t="s">
        <v>20</v>
      </c>
      <c r="J1115" s="10"/>
      <c r="K1115" s="7"/>
      <c r="L1115" s="7"/>
      <c r="M1115" s="7"/>
      <c r="N1115" s="7"/>
      <c r="O1115" s="7"/>
    </row>
    <row r="1116" ht="22.5" hidden="1" customHeight="1">
      <c r="A1116" s="8">
        <v>45801.35047336806</v>
      </c>
      <c r="B1116" s="9"/>
      <c r="C1116" s="9" t="s">
        <v>53</v>
      </c>
      <c r="D1116" s="9" t="s">
        <v>206</v>
      </c>
      <c r="E1116" s="9" t="s">
        <v>17</v>
      </c>
      <c r="F1116" s="9" t="s">
        <v>17</v>
      </c>
      <c r="G1116" s="9" t="s">
        <v>40</v>
      </c>
      <c r="H1116" s="9" t="s">
        <v>17</v>
      </c>
      <c r="I1116" s="9" t="s">
        <v>20</v>
      </c>
      <c r="J1116" s="10"/>
      <c r="K1116" s="7"/>
      <c r="L1116" s="7"/>
      <c r="M1116" s="7"/>
      <c r="N1116" s="7"/>
      <c r="O1116" s="7"/>
    </row>
    <row r="1117" ht="22.5" hidden="1" customHeight="1">
      <c r="A1117" s="8">
        <v>45801.350665034726</v>
      </c>
      <c r="B1117" s="9"/>
      <c r="C1117" s="9" t="s">
        <v>53</v>
      </c>
      <c r="D1117" s="9" t="s">
        <v>133</v>
      </c>
      <c r="E1117" s="9" t="s">
        <v>17</v>
      </c>
      <c r="F1117" s="9" t="s">
        <v>17</v>
      </c>
      <c r="G1117" s="9" t="s">
        <v>24</v>
      </c>
      <c r="H1117" s="9" t="s">
        <v>17</v>
      </c>
      <c r="I1117" s="9" t="s">
        <v>20</v>
      </c>
      <c r="J1117" s="10"/>
      <c r="K1117" s="7"/>
      <c r="L1117" s="7"/>
      <c r="M1117" s="7"/>
      <c r="N1117" s="7"/>
      <c r="O1117" s="7"/>
    </row>
    <row r="1118" ht="22.5" hidden="1" customHeight="1">
      <c r="A1118" s="8">
        <v>45801.355725625</v>
      </c>
      <c r="B1118" s="9"/>
      <c r="C1118" s="9" t="s">
        <v>53</v>
      </c>
      <c r="D1118" s="9" t="s">
        <v>132</v>
      </c>
      <c r="E1118" s="9" t="s">
        <v>30</v>
      </c>
      <c r="F1118" s="9" t="s">
        <v>17</v>
      </c>
      <c r="G1118" s="9" t="s">
        <v>24</v>
      </c>
      <c r="H1118" s="9" t="s">
        <v>22</v>
      </c>
      <c r="I1118" s="9" t="s">
        <v>20</v>
      </c>
      <c r="J1118" s="10"/>
      <c r="K1118" s="7"/>
      <c r="L1118" s="7"/>
      <c r="M1118" s="7"/>
      <c r="N1118" s="7"/>
      <c r="O1118" s="7"/>
    </row>
    <row r="1119" ht="22.5" hidden="1" customHeight="1">
      <c r="A1119" s="8">
        <v>45801.35612622685</v>
      </c>
      <c r="B1119" s="9"/>
      <c r="C1119" s="9" t="s">
        <v>53</v>
      </c>
      <c r="D1119" s="9" t="s">
        <v>260</v>
      </c>
      <c r="E1119" s="9" t="s">
        <v>30</v>
      </c>
      <c r="F1119" s="9" t="s">
        <v>17</v>
      </c>
      <c r="G1119" s="9" t="s">
        <v>24</v>
      </c>
      <c r="H1119" s="9" t="s">
        <v>17</v>
      </c>
      <c r="I1119" s="9" t="s">
        <v>20</v>
      </c>
      <c r="J1119" s="10"/>
      <c r="K1119" s="7"/>
      <c r="L1119" s="7"/>
      <c r="M1119" s="7"/>
      <c r="N1119" s="7"/>
      <c r="O1119" s="7"/>
    </row>
    <row r="1120" ht="22.5" hidden="1" customHeight="1">
      <c r="A1120" s="8">
        <v>45801.3566224074</v>
      </c>
      <c r="B1120" s="9"/>
      <c r="C1120" s="9" t="s">
        <v>53</v>
      </c>
      <c r="D1120" s="9" t="s">
        <v>21</v>
      </c>
      <c r="E1120" s="9" t="s">
        <v>17</v>
      </c>
      <c r="F1120" s="9" t="s">
        <v>17</v>
      </c>
      <c r="G1120" s="9" t="s">
        <v>24</v>
      </c>
      <c r="H1120" s="9" t="s">
        <v>17</v>
      </c>
      <c r="I1120" s="9" t="s">
        <v>20</v>
      </c>
      <c r="J1120" s="10"/>
      <c r="K1120" s="7"/>
      <c r="L1120" s="7"/>
      <c r="M1120" s="7"/>
      <c r="N1120" s="7"/>
      <c r="O1120" s="7"/>
    </row>
    <row r="1121" ht="22.5" hidden="1" customHeight="1">
      <c r="A1121" s="8">
        <v>45801.364682326384</v>
      </c>
      <c r="B1121" s="9"/>
      <c r="C1121" s="9" t="s">
        <v>53</v>
      </c>
      <c r="D1121" s="9" t="s">
        <v>227</v>
      </c>
      <c r="E1121" s="9" t="s">
        <v>17</v>
      </c>
      <c r="F1121" s="9" t="s">
        <v>17</v>
      </c>
      <c r="G1121" s="9" t="s">
        <v>40</v>
      </c>
      <c r="H1121" s="9" t="s">
        <v>25</v>
      </c>
      <c r="I1121" s="9" t="s">
        <v>273</v>
      </c>
      <c r="J1121" s="10"/>
      <c r="K1121" s="7"/>
      <c r="L1121" s="7"/>
      <c r="M1121" s="7"/>
      <c r="N1121" s="7"/>
      <c r="O1121" s="7"/>
    </row>
    <row r="1122" ht="22.5" hidden="1" customHeight="1">
      <c r="A1122" s="8">
        <v>45804.35355991898</v>
      </c>
      <c r="B1122" s="9"/>
      <c r="C1122" s="9" t="s">
        <v>110</v>
      </c>
      <c r="D1122" s="9" t="s">
        <v>133</v>
      </c>
      <c r="E1122" s="9" t="s">
        <v>17</v>
      </c>
      <c r="F1122" s="9" t="s">
        <v>17</v>
      </c>
      <c r="G1122" s="9" t="s">
        <v>24</v>
      </c>
      <c r="H1122" s="9" t="s">
        <v>17</v>
      </c>
      <c r="I1122" s="9" t="s">
        <v>20</v>
      </c>
      <c r="J1122" s="10"/>
      <c r="K1122" s="7"/>
      <c r="L1122" s="7"/>
      <c r="M1122" s="7"/>
      <c r="N1122" s="7"/>
      <c r="O1122" s="7"/>
    </row>
    <row r="1123" ht="22.5" hidden="1" customHeight="1">
      <c r="A1123" s="8">
        <v>45804.35431011574</v>
      </c>
      <c r="B1123" s="9"/>
      <c r="C1123" s="9" t="s">
        <v>110</v>
      </c>
      <c r="D1123" s="9" t="s">
        <v>51</v>
      </c>
      <c r="E1123" s="9" t="s">
        <v>17</v>
      </c>
      <c r="F1123" s="9" t="s">
        <v>17</v>
      </c>
      <c r="G1123" s="9" t="s">
        <v>24</v>
      </c>
      <c r="H1123" s="9" t="s">
        <v>17</v>
      </c>
      <c r="I1123" s="9" t="s">
        <v>20</v>
      </c>
      <c r="J1123" s="10"/>
      <c r="K1123" s="7"/>
      <c r="L1123" s="7"/>
      <c r="M1123" s="7"/>
      <c r="N1123" s="7"/>
      <c r="O1123" s="7"/>
    </row>
    <row r="1124" ht="22.5" hidden="1" customHeight="1">
      <c r="A1124" s="8">
        <v>45804.35461361111</v>
      </c>
      <c r="B1124" s="9"/>
      <c r="C1124" s="9" t="s">
        <v>110</v>
      </c>
      <c r="D1124" s="9" t="s">
        <v>235</v>
      </c>
      <c r="E1124" s="9" t="s">
        <v>17</v>
      </c>
      <c r="F1124" s="9" t="s">
        <v>17</v>
      </c>
      <c r="G1124" s="9" t="s">
        <v>24</v>
      </c>
      <c r="H1124" s="9" t="s">
        <v>17</v>
      </c>
      <c r="I1124" s="9" t="s">
        <v>20</v>
      </c>
      <c r="J1124" s="10"/>
      <c r="K1124" s="7"/>
      <c r="L1124" s="7"/>
      <c r="M1124" s="7"/>
      <c r="N1124" s="7"/>
      <c r="O1124" s="7"/>
    </row>
    <row r="1125" ht="22.5" hidden="1" customHeight="1">
      <c r="A1125" s="8">
        <v>45804.35528826389</v>
      </c>
      <c r="B1125" s="9"/>
      <c r="C1125" s="9" t="s">
        <v>110</v>
      </c>
      <c r="D1125" s="9" t="s">
        <v>127</v>
      </c>
      <c r="E1125" s="9" t="s">
        <v>46</v>
      </c>
      <c r="F1125" s="9" t="s">
        <v>60</v>
      </c>
      <c r="G1125" s="9" t="s">
        <v>40</v>
      </c>
      <c r="H1125" s="9" t="s">
        <v>25</v>
      </c>
      <c r="I1125" s="9" t="s">
        <v>211</v>
      </c>
      <c r="J1125" s="10"/>
      <c r="K1125" s="7"/>
      <c r="L1125" s="7"/>
      <c r="M1125" s="7"/>
      <c r="N1125" s="7"/>
      <c r="O1125" s="7"/>
    </row>
    <row r="1126" ht="22.5" hidden="1" customHeight="1">
      <c r="A1126" s="8">
        <v>45804.35557215278</v>
      </c>
      <c r="B1126" s="9"/>
      <c r="C1126" s="9" t="s">
        <v>110</v>
      </c>
      <c r="D1126" s="9" t="s">
        <v>281</v>
      </c>
      <c r="E1126" s="9" t="s">
        <v>17</v>
      </c>
      <c r="F1126" s="9" t="s">
        <v>17</v>
      </c>
      <c r="G1126" s="9" t="s">
        <v>24</v>
      </c>
      <c r="H1126" s="9" t="s">
        <v>25</v>
      </c>
      <c r="I1126" s="9" t="s">
        <v>20</v>
      </c>
      <c r="J1126" s="10"/>
      <c r="K1126" s="7"/>
      <c r="L1126" s="7"/>
      <c r="M1126" s="7"/>
      <c r="N1126" s="7"/>
      <c r="O1126" s="7"/>
    </row>
    <row r="1127" ht="22.5" hidden="1" customHeight="1">
      <c r="A1127" s="8">
        <v>45804.356201620365</v>
      </c>
      <c r="B1127" s="9"/>
      <c r="C1127" s="9" t="s">
        <v>110</v>
      </c>
      <c r="D1127" s="9" t="s">
        <v>268</v>
      </c>
      <c r="E1127" s="9" t="s">
        <v>61</v>
      </c>
      <c r="F1127" s="9" t="s">
        <v>17</v>
      </c>
      <c r="G1127" s="9" t="s">
        <v>24</v>
      </c>
      <c r="H1127" s="9" t="s">
        <v>25</v>
      </c>
      <c r="I1127" s="9" t="s">
        <v>330</v>
      </c>
      <c r="J1127" s="10"/>
      <c r="K1127" s="7"/>
      <c r="L1127" s="7"/>
      <c r="M1127" s="7"/>
      <c r="N1127" s="7"/>
      <c r="O1127" s="7"/>
    </row>
    <row r="1128" ht="22.5" hidden="1" customHeight="1">
      <c r="A1128" s="8">
        <v>45804.35682611111</v>
      </c>
      <c r="B1128" s="9"/>
      <c r="C1128" s="9" t="s">
        <v>110</v>
      </c>
      <c r="D1128" s="9" t="s">
        <v>230</v>
      </c>
      <c r="E1128" s="9" t="s">
        <v>61</v>
      </c>
      <c r="F1128" s="9" t="s">
        <v>60</v>
      </c>
      <c r="G1128" s="9" t="s">
        <v>40</v>
      </c>
      <c r="H1128" s="9" t="s">
        <v>25</v>
      </c>
      <c r="I1128" s="9" t="s">
        <v>273</v>
      </c>
      <c r="J1128" s="10"/>
      <c r="K1128" s="7"/>
      <c r="L1128" s="7"/>
      <c r="M1128" s="7"/>
      <c r="N1128" s="7"/>
      <c r="O1128" s="7"/>
    </row>
    <row r="1129" ht="22.5" hidden="1" customHeight="1">
      <c r="A1129" s="8">
        <v>45804.35734162037</v>
      </c>
      <c r="B1129" s="9"/>
      <c r="C1129" s="9" t="s">
        <v>110</v>
      </c>
      <c r="D1129" s="9" t="s">
        <v>23</v>
      </c>
      <c r="E1129" s="9" t="s">
        <v>17</v>
      </c>
      <c r="F1129" s="9" t="s">
        <v>17</v>
      </c>
      <c r="G1129" s="9" t="s">
        <v>24</v>
      </c>
      <c r="H1129" s="9" t="s">
        <v>62</v>
      </c>
      <c r="I1129" s="9" t="s">
        <v>20</v>
      </c>
      <c r="J1129" s="10"/>
      <c r="K1129" s="7"/>
      <c r="L1129" s="7"/>
      <c r="M1129" s="7"/>
      <c r="N1129" s="7"/>
      <c r="O1129" s="7"/>
    </row>
    <row r="1130" ht="22.5" hidden="1" customHeight="1">
      <c r="A1130" s="8">
        <v>45804.36411953704</v>
      </c>
      <c r="B1130" s="9"/>
      <c r="C1130" s="9" t="s">
        <v>110</v>
      </c>
      <c r="D1130" s="9" t="s">
        <v>328</v>
      </c>
      <c r="E1130" s="9" t="s">
        <v>17</v>
      </c>
      <c r="F1130" s="9" t="s">
        <v>17</v>
      </c>
      <c r="G1130" s="9" t="s">
        <v>24</v>
      </c>
      <c r="H1130" s="9" t="s">
        <v>17</v>
      </c>
      <c r="I1130" s="9" t="s">
        <v>20</v>
      </c>
      <c r="J1130" s="10"/>
      <c r="K1130" s="7"/>
      <c r="L1130" s="7"/>
      <c r="M1130" s="7"/>
      <c r="N1130" s="7"/>
      <c r="O1130" s="7"/>
    </row>
    <row r="1131" ht="22.5" hidden="1" customHeight="1">
      <c r="A1131" s="8">
        <v>45804.364489224536</v>
      </c>
      <c r="B1131" s="9"/>
      <c r="C1131" s="9" t="s">
        <v>110</v>
      </c>
      <c r="D1131" s="9" t="s">
        <v>277</v>
      </c>
      <c r="E1131" s="9" t="s">
        <v>17</v>
      </c>
      <c r="F1131" s="9" t="s">
        <v>17</v>
      </c>
      <c r="G1131" s="9" t="s">
        <v>24</v>
      </c>
      <c r="H1131" s="9" t="s">
        <v>17</v>
      </c>
      <c r="I1131" s="9" t="s">
        <v>20</v>
      </c>
      <c r="J1131" s="10"/>
      <c r="K1131" s="7"/>
      <c r="L1131" s="7"/>
      <c r="M1131" s="7"/>
      <c r="N1131" s="7"/>
      <c r="O1131" s="7"/>
    </row>
    <row r="1132" ht="22.5" hidden="1" customHeight="1">
      <c r="A1132" s="8">
        <v>45804.371618310186</v>
      </c>
      <c r="B1132" s="9"/>
      <c r="C1132" s="9" t="s">
        <v>110</v>
      </c>
      <c r="D1132" s="9" t="s">
        <v>107</v>
      </c>
      <c r="E1132" s="9" t="s">
        <v>17</v>
      </c>
      <c r="F1132" s="9" t="s">
        <v>17</v>
      </c>
      <c r="G1132" s="9" t="s">
        <v>24</v>
      </c>
      <c r="H1132" s="9" t="s">
        <v>25</v>
      </c>
      <c r="I1132" s="9" t="s">
        <v>329</v>
      </c>
      <c r="J1132" s="10"/>
      <c r="K1132" s="7"/>
      <c r="L1132" s="7"/>
      <c r="M1132" s="7"/>
      <c r="N1132" s="7"/>
      <c r="O1132" s="7"/>
    </row>
    <row r="1133" ht="22.5" hidden="1" customHeight="1">
      <c r="A1133" s="8">
        <v>45804.38123503472</v>
      </c>
      <c r="B1133" s="9"/>
      <c r="C1133" s="9" t="s">
        <v>110</v>
      </c>
      <c r="D1133" s="9" t="s">
        <v>260</v>
      </c>
      <c r="E1133" s="9" t="s">
        <v>17</v>
      </c>
      <c r="F1133" s="9" t="s">
        <v>17</v>
      </c>
      <c r="G1133" s="9" t="s">
        <v>24</v>
      </c>
      <c r="H1133" s="9" t="s">
        <v>17</v>
      </c>
      <c r="I1133" s="9" t="s">
        <v>20</v>
      </c>
      <c r="J1133" s="10"/>
      <c r="K1133" s="7"/>
      <c r="L1133" s="7"/>
      <c r="M1133" s="7"/>
      <c r="N1133" s="7"/>
      <c r="O1133" s="7"/>
    </row>
    <row r="1134" ht="22.5" hidden="1" customHeight="1">
      <c r="A1134" s="8">
        <v>45804.381458090276</v>
      </c>
      <c r="B1134" s="9"/>
      <c r="C1134" s="9" t="s">
        <v>110</v>
      </c>
      <c r="D1134" s="9" t="s">
        <v>132</v>
      </c>
      <c r="E1134" s="9" t="s">
        <v>30</v>
      </c>
      <c r="F1134" s="9" t="s">
        <v>18</v>
      </c>
      <c r="G1134" s="9" t="s">
        <v>24</v>
      </c>
      <c r="H1134" s="9" t="s">
        <v>22</v>
      </c>
      <c r="I1134" s="9" t="s">
        <v>20</v>
      </c>
      <c r="J1134" s="10"/>
      <c r="K1134" s="7"/>
      <c r="L1134" s="7"/>
      <c r="M1134" s="7"/>
      <c r="N1134" s="7"/>
      <c r="O1134" s="7"/>
    </row>
    <row r="1135" ht="22.5" hidden="1" customHeight="1">
      <c r="A1135" s="8">
        <v>45804.381852708335</v>
      </c>
      <c r="B1135" s="9"/>
      <c r="C1135" s="9" t="s">
        <v>110</v>
      </c>
      <c r="D1135" s="9" t="s">
        <v>227</v>
      </c>
      <c r="E1135" s="9" t="s">
        <v>17</v>
      </c>
      <c r="F1135" s="9" t="s">
        <v>77</v>
      </c>
      <c r="G1135" s="9" t="s">
        <v>40</v>
      </c>
      <c r="H1135" s="9" t="s">
        <v>25</v>
      </c>
      <c r="I1135" s="9" t="s">
        <v>273</v>
      </c>
      <c r="J1135" s="10"/>
      <c r="K1135" s="7"/>
      <c r="L1135" s="7"/>
      <c r="M1135" s="7"/>
      <c r="N1135" s="7"/>
      <c r="O1135" s="7"/>
    </row>
    <row r="1136" ht="22.5" hidden="1" customHeight="1">
      <c r="A1136" s="8">
        <v>45804.38225825231</v>
      </c>
      <c r="B1136" s="9"/>
      <c r="C1136" s="9" t="s">
        <v>110</v>
      </c>
      <c r="D1136" s="9" t="s">
        <v>108</v>
      </c>
      <c r="E1136" s="9" t="s">
        <v>17</v>
      </c>
      <c r="F1136" s="9" t="s">
        <v>17</v>
      </c>
      <c r="G1136" s="9" t="s">
        <v>24</v>
      </c>
      <c r="H1136" s="9" t="s">
        <v>17</v>
      </c>
      <c r="I1136" s="9" t="s">
        <v>20</v>
      </c>
      <c r="J1136" s="10"/>
      <c r="K1136" s="7"/>
      <c r="L1136" s="7"/>
      <c r="M1136" s="7"/>
      <c r="N1136" s="7"/>
      <c r="O1136" s="7"/>
    </row>
    <row r="1137" ht="22.5" hidden="1" customHeight="1">
      <c r="A1137" s="8">
        <v>45804.38276604167</v>
      </c>
      <c r="B1137" s="9"/>
      <c r="C1137" s="9" t="s">
        <v>110</v>
      </c>
      <c r="D1137" s="9" t="s">
        <v>250</v>
      </c>
      <c r="E1137" s="9" t="s">
        <v>17</v>
      </c>
      <c r="F1137" s="9" t="s">
        <v>17</v>
      </c>
      <c r="G1137" s="9" t="s">
        <v>24</v>
      </c>
      <c r="H1137" s="9" t="s">
        <v>17</v>
      </c>
      <c r="I1137" s="9" t="s">
        <v>20</v>
      </c>
      <c r="J1137" s="10"/>
      <c r="K1137" s="7"/>
      <c r="L1137" s="7"/>
      <c r="M1137" s="7"/>
      <c r="N1137" s="7"/>
      <c r="O1137" s="7"/>
    </row>
    <row r="1138" ht="22.5" hidden="1" customHeight="1">
      <c r="A1138" s="8">
        <v>45804.38325938657</v>
      </c>
      <c r="B1138" s="9"/>
      <c r="C1138" s="9" t="s">
        <v>110</v>
      </c>
      <c r="D1138" s="9" t="s">
        <v>109</v>
      </c>
      <c r="E1138" s="9" t="s">
        <v>17</v>
      </c>
      <c r="F1138" s="9" t="s">
        <v>39</v>
      </c>
      <c r="G1138" s="9" t="s">
        <v>40</v>
      </c>
      <c r="H1138" s="9" t="s">
        <v>62</v>
      </c>
      <c r="I1138" s="9" t="s">
        <v>20</v>
      </c>
      <c r="J1138" s="10"/>
      <c r="K1138" s="7"/>
      <c r="L1138" s="7"/>
      <c r="M1138" s="7"/>
      <c r="N1138" s="7"/>
      <c r="O1138" s="7"/>
    </row>
    <row r="1139" ht="22.5" hidden="1" customHeight="1">
      <c r="A1139" s="8">
        <v>45804.38358596065</v>
      </c>
      <c r="B1139" s="9"/>
      <c r="C1139" s="9" t="s">
        <v>110</v>
      </c>
      <c r="D1139" s="9" t="s">
        <v>21</v>
      </c>
      <c r="E1139" s="9" t="s">
        <v>17</v>
      </c>
      <c r="F1139" s="9" t="s">
        <v>17</v>
      </c>
      <c r="G1139" s="9" t="s">
        <v>24</v>
      </c>
      <c r="H1139" s="9" t="s">
        <v>17</v>
      </c>
      <c r="I1139" s="9" t="s">
        <v>20</v>
      </c>
      <c r="J1139" s="10"/>
      <c r="K1139" s="7"/>
      <c r="L1139" s="7"/>
      <c r="M1139" s="7"/>
      <c r="N1139" s="7"/>
      <c r="O1139" s="7"/>
    </row>
    <row r="1140" ht="22.5" hidden="1" customHeight="1">
      <c r="A1140" s="8">
        <v>45804.38494898148</v>
      </c>
      <c r="B1140" s="9"/>
      <c r="C1140" s="9" t="s">
        <v>110</v>
      </c>
      <c r="D1140" s="9" t="s">
        <v>192</v>
      </c>
      <c r="E1140" s="9" t="s">
        <v>17</v>
      </c>
      <c r="F1140" s="9" t="s">
        <v>17</v>
      </c>
      <c r="G1140" s="9" t="s">
        <v>24</v>
      </c>
      <c r="H1140" s="9" t="s">
        <v>17</v>
      </c>
      <c r="I1140" s="9" t="s">
        <v>20</v>
      </c>
      <c r="J1140" s="10"/>
      <c r="K1140" s="7"/>
      <c r="L1140" s="7"/>
      <c r="M1140" s="7"/>
      <c r="N1140" s="7"/>
      <c r="O1140" s="7"/>
    </row>
    <row r="1141" ht="22.5" hidden="1" customHeight="1">
      <c r="A1141" s="8">
        <v>45804.38569185185</v>
      </c>
      <c r="B1141" s="9"/>
      <c r="C1141" s="9" t="s">
        <v>110</v>
      </c>
      <c r="D1141" s="9" t="s">
        <v>68</v>
      </c>
      <c r="E1141" s="9" t="s">
        <v>17</v>
      </c>
      <c r="F1141" s="9" t="s">
        <v>17</v>
      </c>
      <c r="G1141" s="9" t="s">
        <v>24</v>
      </c>
      <c r="H1141" s="9" t="s">
        <v>17</v>
      </c>
      <c r="I1141" s="9" t="s">
        <v>20</v>
      </c>
      <c r="J1141" s="10"/>
      <c r="K1141" s="7"/>
      <c r="L1141" s="7"/>
      <c r="M1141" s="7"/>
      <c r="N1141" s="7"/>
      <c r="O1141" s="7"/>
    </row>
    <row r="1142" ht="22.5" hidden="1" customHeight="1">
      <c r="A1142" s="8">
        <v>45804.38911394676</v>
      </c>
      <c r="B1142" s="9"/>
      <c r="C1142" s="9" t="s">
        <v>110</v>
      </c>
      <c r="D1142" s="9" t="s">
        <v>206</v>
      </c>
      <c r="E1142" s="9" t="s">
        <v>17</v>
      </c>
      <c r="F1142" s="9" t="s">
        <v>60</v>
      </c>
      <c r="G1142" s="9" t="s">
        <v>40</v>
      </c>
      <c r="H1142" s="9" t="s">
        <v>17</v>
      </c>
      <c r="I1142" s="9" t="s">
        <v>20</v>
      </c>
      <c r="J1142" s="10"/>
      <c r="K1142" s="7"/>
      <c r="L1142" s="7"/>
      <c r="M1142" s="7"/>
      <c r="N1142" s="7"/>
      <c r="O1142" s="7"/>
    </row>
    <row r="1143" ht="22.5" hidden="1" customHeight="1">
      <c r="A1143" s="8">
        <v>45804.389292210646</v>
      </c>
      <c r="B1143" s="9"/>
      <c r="C1143" s="9" t="s">
        <v>110</v>
      </c>
      <c r="D1143" s="9" t="s">
        <v>27</v>
      </c>
      <c r="E1143" s="9" t="s">
        <v>17</v>
      </c>
      <c r="F1143" s="9" t="s">
        <v>17</v>
      </c>
      <c r="G1143" s="9" t="s">
        <v>24</v>
      </c>
      <c r="H1143" s="9" t="s">
        <v>17</v>
      </c>
      <c r="I1143" s="9" t="s">
        <v>20</v>
      </c>
      <c r="J1143" s="10"/>
      <c r="K1143" s="7"/>
      <c r="L1143" s="7"/>
      <c r="M1143" s="7"/>
      <c r="N1143" s="7"/>
      <c r="O1143" s="7"/>
    </row>
    <row r="1144" ht="22.5" hidden="1" customHeight="1">
      <c r="A1144" s="8">
        <v>45804.39486428241</v>
      </c>
      <c r="B1144" s="9"/>
      <c r="C1144" s="9" t="s">
        <v>110</v>
      </c>
      <c r="D1144" s="9" t="s">
        <v>102</v>
      </c>
      <c r="E1144" s="9" t="s">
        <v>17</v>
      </c>
      <c r="F1144" s="9" t="s">
        <v>17</v>
      </c>
      <c r="G1144" s="9" t="s">
        <v>24</v>
      </c>
      <c r="H1144" s="9" t="s">
        <v>17</v>
      </c>
      <c r="I1144" s="9" t="s">
        <v>20</v>
      </c>
      <c r="J1144" s="10"/>
      <c r="K1144" s="7"/>
      <c r="L1144" s="7"/>
      <c r="M1144" s="7"/>
      <c r="N1144" s="7"/>
      <c r="O1144" s="7"/>
    </row>
    <row r="1145" ht="22.5" hidden="1" customHeight="1">
      <c r="A1145" s="8">
        <v>45804.395377361114</v>
      </c>
      <c r="B1145" s="9"/>
      <c r="C1145" s="9" t="s">
        <v>110</v>
      </c>
      <c r="D1145" s="9" t="s">
        <v>243</v>
      </c>
      <c r="E1145" s="9" t="s">
        <v>17</v>
      </c>
      <c r="F1145" s="9" t="s">
        <v>17</v>
      </c>
      <c r="G1145" s="9" t="s">
        <v>24</v>
      </c>
      <c r="H1145" s="9" t="s">
        <v>17</v>
      </c>
      <c r="I1145" s="9" t="s">
        <v>20</v>
      </c>
      <c r="J1145" s="10"/>
      <c r="K1145" s="7"/>
      <c r="L1145" s="7"/>
      <c r="M1145" s="7"/>
      <c r="N1145" s="7"/>
      <c r="O1145" s="7"/>
    </row>
    <row r="1146" ht="22.5" hidden="1" customHeight="1">
      <c r="A1146" s="8">
        <v>45805.34117701389</v>
      </c>
      <c r="B1146" s="9"/>
      <c r="C1146" s="9" t="s">
        <v>15</v>
      </c>
      <c r="D1146" s="9" t="s">
        <v>51</v>
      </c>
      <c r="E1146" s="9" t="s">
        <v>17</v>
      </c>
      <c r="F1146" s="9" t="s">
        <v>17</v>
      </c>
      <c r="G1146" s="9" t="s">
        <v>24</v>
      </c>
      <c r="H1146" s="9" t="s">
        <v>25</v>
      </c>
      <c r="I1146" s="9" t="s">
        <v>20</v>
      </c>
      <c r="J1146" s="10"/>
      <c r="K1146" s="7"/>
      <c r="L1146" s="7"/>
      <c r="M1146" s="7"/>
      <c r="N1146" s="7"/>
      <c r="O1146" s="7"/>
    </row>
    <row r="1147" ht="22.5" hidden="1" customHeight="1">
      <c r="A1147" s="8">
        <v>45805.34180079861</v>
      </c>
      <c r="B1147" s="9"/>
      <c r="C1147" s="9" t="s">
        <v>15</v>
      </c>
      <c r="D1147" s="9" t="s">
        <v>268</v>
      </c>
      <c r="E1147" s="9" t="s">
        <v>17</v>
      </c>
      <c r="F1147" s="9" t="s">
        <v>17</v>
      </c>
      <c r="G1147" s="9" t="s">
        <v>19</v>
      </c>
      <c r="H1147" s="9" t="s">
        <v>25</v>
      </c>
      <c r="I1147" s="9" t="s">
        <v>331</v>
      </c>
      <c r="J1147" s="10"/>
      <c r="K1147" s="7"/>
      <c r="L1147" s="7"/>
      <c r="M1147" s="7"/>
      <c r="N1147" s="7"/>
      <c r="O1147" s="7"/>
    </row>
    <row r="1148" ht="22.5" hidden="1" customHeight="1">
      <c r="A1148" s="8">
        <v>45805.34291611111</v>
      </c>
      <c r="B1148" s="9"/>
      <c r="C1148" s="9" t="s">
        <v>15</v>
      </c>
      <c r="D1148" s="9" t="s">
        <v>198</v>
      </c>
      <c r="E1148" s="9" t="s">
        <v>17</v>
      </c>
      <c r="F1148" s="9" t="s">
        <v>17</v>
      </c>
      <c r="G1148" s="9" t="s">
        <v>24</v>
      </c>
      <c r="H1148" s="9" t="s">
        <v>25</v>
      </c>
      <c r="I1148" s="9" t="s">
        <v>211</v>
      </c>
      <c r="J1148" s="10"/>
      <c r="K1148" s="7"/>
      <c r="L1148" s="7"/>
      <c r="M1148" s="7"/>
      <c r="N1148" s="7"/>
      <c r="O1148" s="7"/>
    </row>
    <row r="1149" ht="22.5" hidden="1" customHeight="1">
      <c r="A1149" s="8">
        <v>45805.343210046296</v>
      </c>
      <c r="B1149" s="9"/>
      <c r="C1149" s="9" t="s">
        <v>15</v>
      </c>
      <c r="D1149" s="9" t="s">
        <v>23</v>
      </c>
      <c r="E1149" s="9" t="s">
        <v>17</v>
      </c>
      <c r="F1149" s="9" t="s">
        <v>17</v>
      </c>
      <c r="G1149" s="9" t="s">
        <v>24</v>
      </c>
      <c r="H1149" s="9" t="s">
        <v>17</v>
      </c>
      <c r="I1149" s="9" t="s">
        <v>20</v>
      </c>
      <c r="J1149" s="10"/>
      <c r="K1149" s="7"/>
      <c r="L1149" s="7"/>
      <c r="M1149" s="7"/>
      <c r="N1149" s="7"/>
      <c r="O1149" s="7"/>
    </row>
    <row r="1150" ht="22.5" hidden="1" customHeight="1">
      <c r="A1150" s="8">
        <v>45806.33447836805</v>
      </c>
      <c r="B1150" s="9"/>
      <c r="C1150" s="9" t="s">
        <v>31</v>
      </c>
      <c r="D1150" s="9" t="s">
        <v>198</v>
      </c>
      <c r="E1150" s="9" t="s">
        <v>17</v>
      </c>
      <c r="F1150" s="9" t="s">
        <v>17</v>
      </c>
      <c r="G1150" s="9" t="s">
        <v>24</v>
      </c>
      <c r="H1150" s="9" t="s">
        <v>25</v>
      </c>
      <c r="I1150" s="9" t="s">
        <v>211</v>
      </c>
      <c r="J1150" s="10"/>
      <c r="K1150" s="7"/>
      <c r="L1150" s="7"/>
      <c r="M1150" s="7"/>
      <c r="N1150" s="7"/>
      <c r="O1150" s="7"/>
    </row>
    <row r="1151" ht="22.5" hidden="1" customHeight="1">
      <c r="A1151" s="8">
        <v>45806.33474723379</v>
      </c>
      <c r="B1151" s="9"/>
      <c r="C1151" s="9" t="s">
        <v>31</v>
      </c>
      <c r="D1151" s="9" t="s">
        <v>230</v>
      </c>
      <c r="E1151" s="9" t="s">
        <v>17</v>
      </c>
      <c r="F1151" s="9" t="s">
        <v>17</v>
      </c>
      <c r="G1151" s="9" t="s">
        <v>19</v>
      </c>
      <c r="H1151" s="9" t="s">
        <v>17</v>
      </c>
      <c r="I1151" s="9" t="s">
        <v>20</v>
      </c>
      <c r="J1151" s="10"/>
      <c r="K1151" s="7"/>
      <c r="L1151" s="7"/>
      <c r="M1151" s="7"/>
      <c r="N1151" s="7"/>
      <c r="O1151" s="7"/>
    </row>
    <row r="1152" ht="22.5" hidden="1" customHeight="1">
      <c r="A1152" s="8">
        <v>45806.33651865741</v>
      </c>
      <c r="B1152" s="9"/>
      <c r="C1152" s="9" t="s">
        <v>31</v>
      </c>
      <c r="D1152" s="9" t="s">
        <v>51</v>
      </c>
      <c r="E1152" s="9" t="s">
        <v>17</v>
      </c>
      <c r="F1152" s="9" t="s">
        <v>17</v>
      </c>
      <c r="G1152" s="9" t="s">
        <v>24</v>
      </c>
      <c r="H1152" s="9" t="s">
        <v>17</v>
      </c>
      <c r="I1152" s="9" t="s">
        <v>20</v>
      </c>
      <c r="J1152" s="10"/>
      <c r="K1152" s="7"/>
      <c r="L1152" s="7"/>
      <c r="M1152" s="7"/>
      <c r="N1152" s="7"/>
      <c r="O1152" s="7"/>
    </row>
    <row r="1153" ht="22.5" hidden="1" customHeight="1">
      <c r="A1153" s="8">
        <v>45806.33783181713</v>
      </c>
      <c r="B1153" s="9"/>
      <c r="C1153" s="9" t="s">
        <v>31</v>
      </c>
      <c r="D1153" s="9" t="s">
        <v>23</v>
      </c>
      <c r="E1153" s="9" t="s">
        <v>17</v>
      </c>
      <c r="F1153" s="9" t="s">
        <v>17</v>
      </c>
      <c r="G1153" s="9" t="s">
        <v>24</v>
      </c>
      <c r="H1153" s="9" t="s">
        <v>17</v>
      </c>
      <c r="I1153" s="9" t="s">
        <v>20</v>
      </c>
      <c r="J1153" s="10"/>
      <c r="K1153" s="7"/>
      <c r="L1153" s="7"/>
      <c r="M1153" s="7"/>
      <c r="N1153" s="7"/>
      <c r="O1153" s="7"/>
    </row>
    <row r="1154" ht="22.5" hidden="1" customHeight="1">
      <c r="A1154" s="8">
        <v>45806.33847462963</v>
      </c>
      <c r="B1154" s="9"/>
      <c r="C1154" s="9" t="s">
        <v>31</v>
      </c>
      <c r="D1154" s="9" t="s">
        <v>68</v>
      </c>
      <c r="E1154" s="9" t="s">
        <v>17</v>
      </c>
      <c r="F1154" s="9" t="s">
        <v>17</v>
      </c>
      <c r="G1154" s="9" t="s">
        <v>24</v>
      </c>
      <c r="H1154" s="9" t="s">
        <v>25</v>
      </c>
      <c r="I1154" s="9" t="s">
        <v>173</v>
      </c>
      <c r="J1154" s="10"/>
      <c r="K1154" s="7"/>
      <c r="L1154" s="7"/>
      <c r="M1154" s="7"/>
      <c r="N1154" s="7"/>
      <c r="O1154" s="7"/>
    </row>
    <row r="1155" ht="22.5" hidden="1" customHeight="1">
      <c r="A1155" s="8">
        <v>45806.35034841435</v>
      </c>
      <c r="B1155" s="9"/>
      <c r="C1155" s="9" t="s">
        <v>31</v>
      </c>
      <c r="D1155" s="9" t="s">
        <v>192</v>
      </c>
      <c r="E1155" s="9" t="s">
        <v>17</v>
      </c>
      <c r="F1155" s="9" t="s">
        <v>17</v>
      </c>
      <c r="G1155" s="9" t="s">
        <v>24</v>
      </c>
      <c r="H1155" s="9" t="s">
        <v>17</v>
      </c>
      <c r="I1155" s="9" t="s">
        <v>20</v>
      </c>
      <c r="J1155" s="10"/>
      <c r="K1155" s="7"/>
      <c r="L1155" s="7"/>
      <c r="M1155" s="7"/>
      <c r="N1155" s="7"/>
      <c r="O1155" s="7"/>
    </row>
    <row r="1156" ht="22.5" hidden="1" customHeight="1">
      <c r="A1156" s="8">
        <v>45806.350761828704</v>
      </c>
      <c r="B1156" s="9"/>
      <c r="C1156" s="9" t="s">
        <v>31</v>
      </c>
      <c r="D1156" s="9" t="s">
        <v>102</v>
      </c>
      <c r="E1156" s="9" t="s">
        <v>17</v>
      </c>
      <c r="F1156" s="9" t="s">
        <v>17</v>
      </c>
      <c r="G1156" s="9" t="s">
        <v>24</v>
      </c>
      <c r="H1156" s="9" t="s">
        <v>17</v>
      </c>
      <c r="I1156" s="9" t="s">
        <v>20</v>
      </c>
      <c r="J1156" s="10"/>
      <c r="K1156" s="7"/>
      <c r="L1156" s="7"/>
      <c r="M1156" s="7"/>
      <c r="N1156" s="7"/>
      <c r="O1156" s="7"/>
    </row>
    <row r="1157" ht="22.5" hidden="1" customHeight="1">
      <c r="A1157" s="8">
        <v>45806.35107991898</v>
      </c>
      <c r="B1157" s="9"/>
      <c r="C1157" s="9" t="s">
        <v>31</v>
      </c>
      <c r="D1157" s="9" t="s">
        <v>250</v>
      </c>
      <c r="E1157" s="9" t="s">
        <v>17</v>
      </c>
      <c r="F1157" s="9" t="s">
        <v>17</v>
      </c>
      <c r="G1157" s="9" t="s">
        <v>24</v>
      </c>
      <c r="H1157" s="9" t="s">
        <v>25</v>
      </c>
      <c r="I1157" s="9" t="s">
        <v>79</v>
      </c>
      <c r="J1157" s="10"/>
      <c r="K1157" s="7"/>
      <c r="L1157" s="7"/>
      <c r="M1157" s="7"/>
      <c r="N1157" s="7"/>
      <c r="O1157" s="7"/>
    </row>
    <row r="1158" ht="22.5" hidden="1" customHeight="1">
      <c r="A1158" s="8">
        <v>45806.351493449074</v>
      </c>
      <c r="B1158" s="9"/>
      <c r="C1158" s="9" t="s">
        <v>31</v>
      </c>
      <c r="D1158" s="9" t="s">
        <v>206</v>
      </c>
      <c r="E1158" s="9" t="s">
        <v>17</v>
      </c>
      <c r="F1158" s="9" t="s">
        <v>17</v>
      </c>
      <c r="G1158" s="9" t="s">
        <v>19</v>
      </c>
      <c r="H1158" s="9" t="s">
        <v>17</v>
      </c>
      <c r="I1158" s="9" t="s">
        <v>20</v>
      </c>
      <c r="J1158" s="10"/>
      <c r="K1158" s="7"/>
      <c r="L1158" s="7"/>
      <c r="M1158" s="7"/>
      <c r="N1158" s="7"/>
      <c r="O1158" s="7"/>
    </row>
    <row r="1159" ht="22.5" hidden="1" customHeight="1">
      <c r="A1159" s="8">
        <v>45806.35186766204</v>
      </c>
      <c r="B1159" s="9"/>
      <c r="C1159" s="9" t="s">
        <v>31</v>
      </c>
      <c r="D1159" s="9" t="s">
        <v>108</v>
      </c>
      <c r="E1159" s="9" t="s">
        <v>17</v>
      </c>
      <c r="F1159" s="9" t="s">
        <v>17</v>
      </c>
      <c r="G1159" s="9" t="s">
        <v>24</v>
      </c>
      <c r="H1159" s="9" t="s">
        <v>17</v>
      </c>
      <c r="I1159" s="9" t="s">
        <v>20</v>
      </c>
      <c r="J1159" s="10"/>
      <c r="K1159" s="7"/>
      <c r="L1159" s="7"/>
      <c r="M1159" s="7"/>
      <c r="N1159" s="7"/>
      <c r="O1159" s="7"/>
    </row>
    <row r="1160" ht="22.5" hidden="1" customHeight="1">
      <c r="A1160" s="8">
        <v>45806.352157500005</v>
      </c>
      <c r="B1160" s="9"/>
      <c r="C1160" s="9" t="s">
        <v>31</v>
      </c>
      <c r="D1160" s="9" t="s">
        <v>277</v>
      </c>
      <c r="E1160" s="9" t="s">
        <v>17</v>
      </c>
      <c r="F1160" s="9" t="s">
        <v>17</v>
      </c>
      <c r="G1160" s="9" t="s">
        <v>24</v>
      </c>
      <c r="H1160" s="9" t="s">
        <v>17</v>
      </c>
      <c r="I1160" s="9" t="s">
        <v>20</v>
      </c>
      <c r="J1160" s="10"/>
      <c r="K1160" s="7"/>
      <c r="L1160" s="7"/>
      <c r="M1160" s="7"/>
      <c r="N1160" s="7"/>
      <c r="O1160" s="7"/>
    </row>
    <row r="1161" ht="22.5" hidden="1" customHeight="1">
      <c r="A1161" s="8">
        <v>45806.35283554398</v>
      </c>
      <c r="B1161" s="9"/>
      <c r="C1161" s="9" t="s">
        <v>31</v>
      </c>
      <c r="D1161" s="9" t="s">
        <v>107</v>
      </c>
      <c r="E1161" s="9" t="s">
        <v>46</v>
      </c>
      <c r="F1161" s="9" t="s">
        <v>17</v>
      </c>
      <c r="G1161" s="9" t="s">
        <v>24</v>
      </c>
      <c r="H1161" s="9" t="s">
        <v>62</v>
      </c>
      <c r="I1161" s="9" t="s">
        <v>311</v>
      </c>
      <c r="J1161" s="10"/>
      <c r="K1161" s="7"/>
      <c r="L1161" s="7"/>
      <c r="M1161" s="7"/>
      <c r="N1161" s="7"/>
      <c r="O1161" s="7"/>
    </row>
    <row r="1162" ht="22.5" hidden="1" customHeight="1">
      <c r="A1162" s="8">
        <v>45806.353562777775</v>
      </c>
      <c r="B1162" s="9"/>
      <c r="C1162" s="9" t="s">
        <v>31</v>
      </c>
      <c r="D1162" s="9" t="s">
        <v>243</v>
      </c>
      <c r="E1162" s="9" t="s">
        <v>17</v>
      </c>
      <c r="F1162" s="9" t="s">
        <v>17</v>
      </c>
      <c r="G1162" s="9" t="s">
        <v>24</v>
      </c>
      <c r="H1162" s="9" t="s">
        <v>17</v>
      </c>
      <c r="I1162" s="9" t="s">
        <v>20</v>
      </c>
      <c r="J1162" s="10"/>
      <c r="K1162" s="7"/>
      <c r="L1162" s="7"/>
      <c r="M1162" s="7"/>
      <c r="N1162" s="7"/>
      <c r="O1162" s="7"/>
    </row>
    <row r="1163" ht="22.5" hidden="1" customHeight="1">
      <c r="A1163" s="8">
        <v>45806.35390361111</v>
      </c>
      <c r="B1163" s="9"/>
      <c r="C1163" s="9" t="s">
        <v>31</v>
      </c>
      <c r="D1163" s="9" t="s">
        <v>231</v>
      </c>
      <c r="E1163" s="9" t="s">
        <v>17</v>
      </c>
      <c r="F1163" s="9" t="s">
        <v>17</v>
      </c>
      <c r="G1163" s="9" t="s">
        <v>24</v>
      </c>
      <c r="H1163" s="9" t="s">
        <v>17</v>
      </c>
      <c r="I1163" s="9" t="s">
        <v>20</v>
      </c>
      <c r="J1163" s="10"/>
      <c r="K1163" s="7"/>
      <c r="L1163" s="7"/>
      <c r="M1163" s="7"/>
      <c r="N1163" s="7"/>
      <c r="O1163" s="7"/>
    </row>
    <row r="1164" ht="22.5" hidden="1" customHeight="1">
      <c r="A1164" s="8">
        <v>45806.354215659725</v>
      </c>
      <c r="B1164" s="9"/>
      <c r="C1164" s="9" t="s">
        <v>31</v>
      </c>
      <c r="D1164" s="9" t="s">
        <v>133</v>
      </c>
      <c r="E1164" s="9" t="s">
        <v>17</v>
      </c>
      <c r="F1164" s="9" t="s">
        <v>17</v>
      </c>
      <c r="G1164" s="9" t="s">
        <v>24</v>
      </c>
      <c r="H1164" s="9" t="s">
        <v>17</v>
      </c>
      <c r="I1164" s="9" t="s">
        <v>20</v>
      </c>
      <c r="J1164" s="10"/>
      <c r="K1164" s="7"/>
      <c r="L1164" s="7"/>
      <c r="M1164" s="7"/>
      <c r="N1164" s="7"/>
      <c r="O1164" s="7"/>
    </row>
    <row r="1165" ht="22.5" hidden="1" customHeight="1">
      <c r="A1165" s="8">
        <v>45806.354519479166</v>
      </c>
      <c r="B1165" s="9"/>
      <c r="C1165" s="9" t="s">
        <v>31</v>
      </c>
      <c r="D1165" s="9" t="s">
        <v>21</v>
      </c>
      <c r="E1165" s="9" t="s">
        <v>17</v>
      </c>
      <c r="F1165" s="9" t="s">
        <v>17</v>
      </c>
      <c r="G1165" s="9" t="s">
        <v>24</v>
      </c>
      <c r="H1165" s="9" t="s">
        <v>17</v>
      </c>
      <c r="I1165" s="9" t="s">
        <v>20</v>
      </c>
      <c r="J1165" s="10"/>
      <c r="K1165" s="7"/>
      <c r="L1165" s="7"/>
      <c r="M1165" s="7"/>
      <c r="N1165" s="7"/>
      <c r="O1165" s="7"/>
    </row>
    <row r="1166" ht="22.5" hidden="1" customHeight="1">
      <c r="A1166" s="8">
        <v>45806.35507020833</v>
      </c>
      <c r="B1166" s="9"/>
      <c r="C1166" s="9" t="s">
        <v>31</v>
      </c>
      <c r="D1166" s="9" t="s">
        <v>227</v>
      </c>
      <c r="E1166" s="9" t="s">
        <v>17</v>
      </c>
      <c r="F1166" s="9" t="s">
        <v>17</v>
      </c>
      <c r="G1166" s="9" t="s">
        <v>24</v>
      </c>
      <c r="H1166" s="9" t="s">
        <v>25</v>
      </c>
      <c r="I1166" s="9" t="s">
        <v>273</v>
      </c>
      <c r="J1166" s="10"/>
      <c r="K1166" s="7"/>
      <c r="L1166" s="7"/>
      <c r="M1166" s="7"/>
      <c r="N1166" s="7"/>
      <c r="O1166" s="7"/>
    </row>
    <row r="1167" ht="22.5" hidden="1" customHeight="1">
      <c r="A1167" s="8">
        <v>45806.36745314815</v>
      </c>
      <c r="B1167" s="9"/>
      <c r="C1167" s="9" t="s">
        <v>31</v>
      </c>
      <c r="D1167" s="9" t="s">
        <v>109</v>
      </c>
      <c r="E1167" s="9" t="s">
        <v>17</v>
      </c>
      <c r="F1167" s="9" t="s">
        <v>17</v>
      </c>
      <c r="G1167" s="9" t="s">
        <v>24</v>
      </c>
      <c r="H1167" s="9" t="s">
        <v>17</v>
      </c>
      <c r="I1167" s="9" t="s">
        <v>20</v>
      </c>
      <c r="J1167" s="10"/>
      <c r="K1167" s="7"/>
      <c r="L1167" s="7"/>
      <c r="M1167" s="7"/>
      <c r="N1167" s="7"/>
      <c r="O1167" s="7"/>
    </row>
    <row r="1168" ht="22.5" hidden="1" customHeight="1">
      <c r="A1168" s="8">
        <v>45806.36872131945</v>
      </c>
      <c r="B1168" s="9"/>
      <c r="C1168" s="9" t="s">
        <v>31</v>
      </c>
      <c r="D1168" s="9" t="s">
        <v>332</v>
      </c>
      <c r="E1168" s="9" t="s">
        <v>30</v>
      </c>
      <c r="F1168" s="9" t="s">
        <v>17</v>
      </c>
      <c r="G1168" s="9" t="s">
        <v>24</v>
      </c>
      <c r="H1168" s="9" t="s">
        <v>25</v>
      </c>
      <c r="I1168" s="9" t="s">
        <v>159</v>
      </c>
      <c r="J1168" s="10"/>
      <c r="K1168" s="7"/>
      <c r="L1168" s="7"/>
      <c r="M1168" s="7"/>
      <c r="N1168" s="7"/>
      <c r="O1168" s="7"/>
    </row>
    <row r="1169" ht="22.5" hidden="1" customHeight="1">
      <c r="A1169" s="8">
        <v>45806.36903105324</v>
      </c>
      <c r="B1169" s="9"/>
      <c r="C1169" s="9" t="s">
        <v>31</v>
      </c>
      <c r="D1169" s="9" t="s">
        <v>260</v>
      </c>
      <c r="E1169" s="9" t="s">
        <v>17</v>
      </c>
      <c r="F1169" s="9" t="s">
        <v>17</v>
      </c>
      <c r="G1169" s="9" t="s">
        <v>24</v>
      </c>
      <c r="H1169" s="9" t="s">
        <v>17</v>
      </c>
      <c r="I1169" s="9" t="s">
        <v>20</v>
      </c>
      <c r="J1169" s="10"/>
      <c r="K1169" s="7"/>
      <c r="L1169" s="7"/>
      <c r="M1169" s="7"/>
      <c r="N1169" s="7"/>
      <c r="O1169" s="7"/>
    </row>
    <row r="1170" ht="22.5" hidden="1" customHeight="1">
      <c r="A1170" s="8">
        <v>45806.36936841435</v>
      </c>
      <c r="B1170" s="9"/>
      <c r="C1170" s="9" t="s">
        <v>31</v>
      </c>
      <c r="D1170" s="9" t="s">
        <v>27</v>
      </c>
      <c r="E1170" s="9" t="s">
        <v>17</v>
      </c>
      <c r="F1170" s="9" t="s">
        <v>17</v>
      </c>
      <c r="G1170" s="9" t="s">
        <v>24</v>
      </c>
      <c r="H1170" s="9" t="s">
        <v>17</v>
      </c>
      <c r="I1170" s="9" t="s">
        <v>20</v>
      </c>
      <c r="J1170" s="10"/>
      <c r="K1170" s="7"/>
      <c r="L1170" s="7"/>
      <c r="M1170" s="7"/>
      <c r="N1170" s="7"/>
      <c r="O1170" s="7"/>
    </row>
    <row r="1171" ht="22.5" hidden="1" customHeight="1">
      <c r="A1171" s="8">
        <v>45806.36986571759</v>
      </c>
      <c r="B1171" s="9"/>
      <c r="C1171" s="9" t="s">
        <v>31</v>
      </c>
      <c r="D1171" s="9" t="s">
        <v>132</v>
      </c>
      <c r="E1171" s="9" t="s">
        <v>30</v>
      </c>
      <c r="F1171" s="9" t="s">
        <v>18</v>
      </c>
      <c r="G1171" s="9" t="s">
        <v>24</v>
      </c>
      <c r="H1171" s="9" t="s">
        <v>17</v>
      </c>
      <c r="I1171" s="9" t="s">
        <v>20</v>
      </c>
      <c r="J1171" s="10"/>
      <c r="K1171" s="7"/>
      <c r="L1171" s="7"/>
      <c r="M1171" s="7"/>
      <c r="N1171" s="7"/>
      <c r="O1171" s="7"/>
    </row>
    <row r="1172" ht="22.5" hidden="1" customHeight="1">
      <c r="A1172" s="8">
        <v>45806.37015269676</v>
      </c>
      <c r="B1172" s="9"/>
      <c r="C1172" s="9" t="s">
        <v>31</v>
      </c>
      <c r="D1172" s="9" t="s">
        <v>281</v>
      </c>
      <c r="E1172" s="9" t="s">
        <v>17</v>
      </c>
      <c r="F1172" s="9" t="s">
        <v>17</v>
      </c>
      <c r="G1172" s="9" t="s">
        <v>24</v>
      </c>
      <c r="H1172" s="9" t="s">
        <v>17</v>
      </c>
      <c r="I1172" s="9" t="s">
        <v>20</v>
      </c>
      <c r="J1172" s="10"/>
      <c r="K1172" s="7"/>
      <c r="L1172" s="7"/>
      <c r="M1172" s="7"/>
      <c r="N1172" s="7"/>
      <c r="O1172" s="7"/>
    </row>
    <row r="1173" ht="22.5" hidden="1" customHeight="1">
      <c r="A1173" s="8">
        <v>45813.340761921296</v>
      </c>
      <c r="B1173" s="9"/>
      <c r="C1173" s="9" t="s">
        <v>31</v>
      </c>
      <c r="D1173" s="9" t="s">
        <v>332</v>
      </c>
      <c r="E1173" s="9" t="s">
        <v>17</v>
      </c>
      <c r="F1173" s="9" t="s">
        <v>17</v>
      </c>
      <c r="G1173" s="9" t="s">
        <v>24</v>
      </c>
      <c r="H1173" s="9" t="s">
        <v>25</v>
      </c>
      <c r="I1173" s="9" t="s">
        <v>79</v>
      </c>
      <c r="J1173" s="10"/>
      <c r="K1173" s="7"/>
      <c r="L1173" s="7"/>
      <c r="M1173" s="7"/>
      <c r="N1173" s="7"/>
      <c r="O1173" s="7"/>
    </row>
    <row r="1174" ht="22.5" hidden="1" customHeight="1">
      <c r="A1174" s="8">
        <v>45813.341836493055</v>
      </c>
      <c r="B1174" s="9"/>
      <c r="C1174" s="9" t="s">
        <v>31</v>
      </c>
      <c r="D1174" s="9" t="s">
        <v>260</v>
      </c>
      <c r="E1174" s="9" t="s">
        <v>17</v>
      </c>
      <c r="F1174" s="9" t="s">
        <v>17</v>
      </c>
      <c r="G1174" s="9" t="s">
        <v>24</v>
      </c>
      <c r="H1174" s="9" t="s">
        <v>17</v>
      </c>
      <c r="I1174" s="9" t="s">
        <v>20</v>
      </c>
      <c r="J1174" s="10"/>
      <c r="K1174" s="7"/>
      <c r="L1174" s="7"/>
      <c r="M1174" s="7"/>
      <c r="N1174" s="7"/>
      <c r="O1174" s="7"/>
    </row>
    <row r="1175" ht="22.5" hidden="1" customHeight="1">
      <c r="A1175" s="8">
        <v>45813.34740590278</v>
      </c>
      <c r="B1175" s="9"/>
      <c r="C1175" s="9" t="s">
        <v>31</v>
      </c>
      <c r="D1175" s="9" t="s">
        <v>132</v>
      </c>
      <c r="E1175" s="9" t="s">
        <v>30</v>
      </c>
      <c r="F1175" s="9" t="s">
        <v>18</v>
      </c>
      <c r="G1175" s="9" t="s">
        <v>24</v>
      </c>
      <c r="H1175" s="9" t="s">
        <v>22</v>
      </c>
      <c r="I1175" s="9" t="s">
        <v>20</v>
      </c>
      <c r="J1175" s="10"/>
      <c r="K1175" s="7"/>
      <c r="L1175" s="7"/>
      <c r="M1175" s="7"/>
      <c r="N1175" s="7"/>
      <c r="O1175" s="7"/>
    </row>
    <row r="1176" ht="22.5" hidden="1" customHeight="1">
      <c r="A1176" s="8">
        <v>45826.532908043984</v>
      </c>
      <c r="B1176" s="9"/>
      <c r="C1176" s="9" t="s">
        <v>15</v>
      </c>
      <c r="D1176" s="9" t="s">
        <v>212</v>
      </c>
      <c r="E1176" s="9" t="s">
        <v>17</v>
      </c>
      <c r="F1176" s="9" t="s">
        <v>17</v>
      </c>
      <c r="G1176" s="9" t="s">
        <v>24</v>
      </c>
      <c r="H1176" s="9" t="s">
        <v>17</v>
      </c>
      <c r="I1176" s="9" t="s">
        <v>20</v>
      </c>
      <c r="J1176" s="10"/>
      <c r="K1176" s="7"/>
      <c r="L1176" s="7"/>
      <c r="M1176" s="7"/>
      <c r="N1176" s="7"/>
      <c r="O1176" s="7"/>
    </row>
    <row r="1177" ht="22.5" hidden="1" customHeight="1">
      <c r="A1177" s="8">
        <v>45826.65612850695</v>
      </c>
      <c r="B1177" s="9"/>
      <c r="C1177" s="9" t="s">
        <v>15</v>
      </c>
      <c r="D1177" s="9" t="s">
        <v>168</v>
      </c>
      <c r="E1177" s="9" t="s">
        <v>17</v>
      </c>
      <c r="F1177" s="9" t="s">
        <v>17</v>
      </c>
      <c r="G1177" s="9" t="s">
        <v>24</v>
      </c>
      <c r="H1177" s="9" t="s">
        <v>17</v>
      </c>
      <c r="I1177" s="9" t="s">
        <v>20</v>
      </c>
      <c r="J1177" s="10"/>
      <c r="K1177" s="7"/>
      <c r="L1177" s="7"/>
      <c r="M1177" s="7"/>
      <c r="N1177" s="7"/>
      <c r="O1177" s="7"/>
    </row>
    <row r="1178" ht="22.5" hidden="1" customHeight="1">
      <c r="A1178" s="8">
        <v>45826.65656458333</v>
      </c>
      <c r="B1178" s="9"/>
      <c r="C1178" s="9" t="s">
        <v>15</v>
      </c>
      <c r="D1178" s="9" t="s">
        <v>174</v>
      </c>
      <c r="E1178" s="9" t="s">
        <v>44</v>
      </c>
      <c r="F1178" s="9" t="s">
        <v>18</v>
      </c>
      <c r="G1178" s="9" t="s">
        <v>24</v>
      </c>
      <c r="H1178" s="9" t="s">
        <v>22</v>
      </c>
      <c r="I1178" s="9" t="s">
        <v>20</v>
      </c>
      <c r="J1178" s="10"/>
      <c r="K1178" s="7"/>
      <c r="L1178" s="7"/>
      <c r="M1178" s="7"/>
      <c r="N1178" s="7"/>
      <c r="O1178" s="7"/>
    </row>
    <row r="1179" ht="22.5" hidden="1" customHeight="1">
      <c r="A1179" s="8">
        <v>45826.66112606481</v>
      </c>
      <c r="B1179" s="9"/>
      <c r="C1179" s="9" t="s">
        <v>15</v>
      </c>
      <c r="D1179" s="9" t="s">
        <v>257</v>
      </c>
      <c r="E1179" s="9" t="s">
        <v>57</v>
      </c>
      <c r="F1179" s="9" t="s">
        <v>18</v>
      </c>
      <c r="G1179" s="9" t="s">
        <v>24</v>
      </c>
      <c r="H1179" s="9" t="s">
        <v>17</v>
      </c>
      <c r="I1179" s="9" t="s">
        <v>67</v>
      </c>
      <c r="J1179" s="10"/>
      <c r="K1179" s="7"/>
      <c r="L1179" s="7"/>
      <c r="M1179" s="7"/>
      <c r="N1179" s="7"/>
      <c r="O1179" s="7"/>
    </row>
    <row r="1180" ht="22.5" hidden="1" customHeight="1">
      <c r="A1180" s="8">
        <v>45826.661689155095</v>
      </c>
      <c r="B1180" s="9"/>
      <c r="C1180" s="9" t="s">
        <v>15</v>
      </c>
      <c r="D1180" s="9" t="s">
        <v>259</v>
      </c>
      <c r="E1180" s="9" t="s">
        <v>17</v>
      </c>
      <c r="F1180" s="9" t="s">
        <v>18</v>
      </c>
      <c r="G1180" s="9" t="s">
        <v>24</v>
      </c>
      <c r="H1180" s="9" t="s">
        <v>17</v>
      </c>
      <c r="I1180" s="9" t="s">
        <v>20</v>
      </c>
      <c r="J1180" s="10"/>
      <c r="K1180" s="7"/>
      <c r="L1180" s="7"/>
      <c r="M1180" s="7"/>
      <c r="N1180" s="7"/>
      <c r="O1180" s="7"/>
    </row>
    <row r="1181" ht="22.5" hidden="1" customHeight="1">
      <c r="A1181" s="8">
        <v>45826.662971666665</v>
      </c>
      <c r="B1181" s="9"/>
      <c r="C1181" s="9" t="s">
        <v>15</v>
      </c>
      <c r="D1181" s="9" t="s">
        <v>260</v>
      </c>
      <c r="E1181" s="9" t="s">
        <v>17</v>
      </c>
      <c r="F1181" s="9" t="s">
        <v>43</v>
      </c>
      <c r="G1181" s="9" t="s">
        <v>19</v>
      </c>
      <c r="H1181" s="9" t="s">
        <v>22</v>
      </c>
      <c r="I1181" s="9" t="s">
        <v>20</v>
      </c>
      <c r="J1181" s="10"/>
      <c r="K1181" s="7"/>
      <c r="L1181" s="7"/>
      <c r="M1181" s="7"/>
      <c r="N1181" s="7"/>
      <c r="O1181" s="7"/>
    </row>
    <row r="1182" ht="22.5" hidden="1" customHeight="1">
      <c r="A1182" s="8">
        <v>45826.68267826389</v>
      </c>
      <c r="B1182" s="9"/>
      <c r="C1182" s="9" t="s">
        <v>15</v>
      </c>
      <c r="D1182" s="9" t="s">
        <v>333</v>
      </c>
      <c r="E1182" s="9" t="s">
        <v>61</v>
      </c>
      <c r="F1182" s="9" t="s">
        <v>35</v>
      </c>
      <c r="G1182" s="9" t="s">
        <v>24</v>
      </c>
      <c r="H1182" s="9" t="s">
        <v>17</v>
      </c>
      <c r="I1182" s="9" t="s">
        <v>292</v>
      </c>
      <c r="J1182" s="10"/>
      <c r="K1182" s="7"/>
      <c r="L1182" s="7"/>
      <c r="M1182" s="7"/>
      <c r="N1182" s="7"/>
      <c r="O1182" s="7"/>
    </row>
    <row r="1183" ht="22.5" hidden="1" customHeight="1">
      <c r="A1183" s="8">
        <v>45827.35462113426</v>
      </c>
      <c r="B1183" s="9"/>
      <c r="C1183" s="9" t="s">
        <v>31</v>
      </c>
      <c r="D1183" s="9" t="s">
        <v>23</v>
      </c>
      <c r="E1183" s="9" t="s">
        <v>61</v>
      </c>
      <c r="F1183" s="9" t="s">
        <v>18</v>
      </c>
      <c r="G1183" s="9" t="s">
        <v>24</v>
      </c>
      <c r="H1183" s="9" t="s">
        <v>62</v>
      </c>
      <c r="I1183" s="9" t="s">
        <v>20</v>
      </c>
      <c r="J1183" s="10"/>
      <c r="K1183" s="7"/>
      <c r="L1183" s="7"/>
      <c r="M1183" s="7"/>
      <c r="N1183" s="7"/>
      <c r="O1183" s="7"/>
    </row>
    <row r="1184" ht="22.5" hidden="1" customHeight="1">
      <c r="A1184" s="8">
        <v>45827.35503759259</v>
      </c>
      <c r="B1184" s="9"/>
      <c r="C1184" s="9" t="s">
        <v>31</v>
      </c>
      <c r="D1184" s="9" t="s">
        <v>108</v>
      </c>
      <c r="E1184" s="9" t="s">
        <v>17</v>
      </c>
      <c r="F1184" s="9" t="s">
        <v>18</v>
      </c>
      <c r="G1184" s="9" t="s">
        <v>24</v>
      </c>
      <c r="H1184" s="9" t="s">
        <v>22</v>
      </c>
      <c r="I1184" s="9" t="s">
        <v>20</v>
      </c>
      <c r="J1184" s="10"/>
      <c r="K1184" s="7"/>
      <c r="L1184" s="7"/>
      <c r="M1184" s="7"/>
      <c r="N1184" s="7"/>
      <c r="O1184" s="7"/>
    </row>
    <row r="1185" ht="22.5" hidden="1" customHeight="1">
      <c r="A1185" s="8">
        <v>45827.35582427084</v>
      </c>
      <c r="B1185" s="9"/>
      <c r="C1185" s="9" t="s">
        <v>31</v>
      </c>
      <c r="D1185" s="9" t="s">
        <v>51</v>
      </c>
      <c r="E1185" s="9" t="s">
        <v>30</v>
      </c>
      <c r="F1185" s="9" t="s">
        <v>18</v>
      </c>
      <c r="G1185" s="9" t="s">
        <v>24</v>
      </c>
      <c r="H1185" s="9" t="s">
        <v>17</v>
      </c>
      <c r="I1185" s="9" t="s">
        <v>195</v>
      </c>
      <c r="J1185" s="10"/>
      <c r="K1185" s="7"/>
      <c r="L1185" s="7"/>
      <c r="M1185" s="7"/>
      <c r="N1185" s="7"/>
      <c r="O1185" s="7"/>
    </row>
    <row r="1186" ht="22.5" hidden="1" customHeight="1">
      <c r="A1186" s="8">
        <v>45827.356239444445</v>
      </c>
      <c r="B1186" s="9"/>
      <c r="C1186" s="9" t="s">
        <v>31</v>
      </c>
      <c r="D1186" s="9" t="s">
        <v>259</v>
      </c>
      <c r="E1186" s="9" t="s">
        <v>17</v>
      </c>
      <c r="F1186" s="9" t="s">
        <v>18</v>
      </c>
      <c r="G1186" s="9" t="s">
        <v>24</v>
      </c>
      <c r="H1186" s="9" t="s">
        <v>22</v>
      </c>
      <c r="I1186" s="9" t="s">
        <v>20</v>
      </c>
      <c r="J1186" s="10"/>
      <c r="K1186" s="7"/>
      <c r="L1186" s="7"/>
      <c r="M1186" s="7"/>
      <c r="N1186" s="7"/>
      <c r="O1186" s="7"/>
    </row>
    <row r="1187" ht="22.5" hidden="1" customHeight="1">
      <c r="A1187" s="8">
        <v>45827.356805347226</v>
      </c>
      <c r="B1187" s="9"/>
      <c r="C1187" s="9" t="s">
        <v>31</v>
      </c>
      <c r="D1187" s="9" t="s">
        <v>334</v>
      </c>
      <c r="E1187" s="9" t="s">
        <v>61</v>
      </c>
      <c r="F1187" s="9" t="s">
        <v>35</v>
      </c>
      <c r="G1187" s="9" t="s">
        <v>19</v>
      </c>
      <c r="H1187" s="9" t="s">
        <v>25</v>
      </c>
      <c r="I1187" s="9" t="s">
        <v>70</v>
      </c>
      <c r="J1187" s="10"/>
      <c r="K1187" s="7"/>
      <c r="L1187" s="7"/>
      <c r="M1187" s="7"/>
      <c r="N1187" s="7"/>
      <c r="O1187" s="7"/>
    </row>
    <row r="1188" ht="22.5" hidden="1" customHeight="1">
      <c r="A1188" s="8">
        <v>45827.3573590625</v>
      </c>
      <c r="B1188" s="9"/>
      <c r="C1188" s="9" t="s">
        <v>31</v>
      </c>
      <c r="D1188" s="9" t="s">
        <v>168</v>
      </c>
      <c r="E1188" s="9" t="s">
        <v>30</v>
      </c>
      <c r="F1188" s="9" t="s">
        <v>18</v>
      </c>
      <c r="G1188" s="9" t="s">
        <v>19</v>
      </c>
      <c r="H1188" s="9" t="s">
        <v>25</v>
      </c>
      <c r="I1188" s="9" t="s">
        <v>79</v>
      </c>
      <c r="J1188" s="10"/>
      <c r="K1188" s="7"/>
      <c r="L1188" s="7"/>
      <c r="M1188" s="7"/>
      <c r="N1188" s="7"/>
      <c r="O1188" s="7"/>
    </row>
    <row r="1189" ht="22.5" hidden="1" customHeight="1">
      <c r="A1189" s="8">
        <v>45827.35818200231</v>
      </c>
      <c r="B1189" s="9"/>
      <c r="C1189" s="9" t="s">
        <v>31</v>
      </c>
      <c r="D1189" s="9" t="s">
        <v>335</v>
      </c>
      <c r="E1189" s="9" t="s">
        <v>17</v>
      </c>
      <c r="F1189" s="9" t="s">
        <v>18</v>
      </c>
      <c r="G1189" s="9" t="s">
        <v>24</v>
      </c>
      <c r="H1189" s="9" t="s">
        <v>25</v>
      </c>
      <c r="I1189" s="9" t="s">
        <v>291</v>
      </c>
      <c r="J1189" s="10"/>
      <c r="K1189" s="7"/>
      <c r="L1189" s="7"/>
      <c r="M1189" s="7"/>
      <c r="N1189" s="7"/>
      <c r="O1189" s="7"/>
    </row>
    <row r="1190" ht="22.5" hidden="1" customHeight="1">
      <c r="A1190" s="8">
        <v>45827.35885695602</v>
      </c>
      <c r="B1190" s="9"/>
      <c r="C1190" s="9" t="s">
        <v>31</v>
      </c>
      <c r="D1190" s="9" t="s">
        <v>258</v>
      </c>
      <c r="E1190" s="9" t="s">
        <v>30</v>
      </c>
      <c r="F1190" s="9" t="s">
        <v>18</v>
      </c>
      <c r="G1190" s="9" t="s">
        <v>24</v>
      </c>
      <c r="H1190" s="9" t="s">
        <v>22</v>
      </c>
      <c r="I1190" s="9" t="s">
        <v>20</v>
      </c>
      <c r="J1190" s="10"/>
      <c r="K1190" s="7"/>
      <c r="L1190" s="7"/>
      <c r="M1190" s="7"/>
      <c r="N1190" s="7"/>
      <c r="O1190" s="7"/>
    </row>
    <row r="1191" ht="22.5" hidden="1" customHeight="1">
      <c r="A1191" s="8">
        <v>45827.359340173614</v>
      </c>
      <c r="B1191" s="9"/>
      <c r="C1191" s="9" t="s">
        <v>31</v>
      </c>
      <c r="D1191" s="9" t="s">
        <v>336</v>
      </c>
      <c r="E1191" s="9" t="s">
        <v>61</v>
      </c>
      <c r="F1191" s="9" t="s">
        <v>39</v>
      </c>
      <c r="G1191" s="9" t="s">
        <v>24</v>
      </c>
      <c r="H1191" s="9" t="s">
        <v>17</v>
      </c>
      <c r="I1191" s="9" t="s">
        <v>79</v>
      </c>
      <c r="J1191" s="10"/>
      <c r="K1191" s="7"/>
      <c r="L1191" s="7"/>
      <c r="M1191" s="7"/>
      <c r="N1191" s="7"/>
      <c r="O1191" s="7"/>
    </row>
    <row r="1192" ht="22.5" hidden="1" customHeight="1">
      <c r="A1192" s="8">
        <v>45827.360425844905</v>
      </c>
      <c r="B1192" s="9"/>
      <c r="C1192" s="9" t="s">
        <v>31</v>
      </c>
      <c r="D1192" s="9" t="s">
        <v>337</v>
      </c>
      <c r="E1192" s="9" t="s">
        <v>17</v>
      </c>
      <c r="F1192" s="9" t="s">
        <v>18</v>
      </c>
      <c r="G1192" s="9" t="s">
        <v>24</v>
      </c>
      <c r="H1192" s="9" t="s">
        <v>25</v>
      </c>
      <c r="I1192" s="9" t="s">
        <v>89</v>
      </c>
      <c r="J1192" s="10"/>
      <c r="K1192" s="7"/>
      <c r="L1192" s="7"/>
      <c r="M1192" s="7"/>
      <c r="N1192" s="7"/>
      <c r="O1192" s="7"/>
    </row>
    <row r="1193" ht="22.5" hidden="1" customHeight="1">
      <c r="A1193" s="8">
        <v>45827.360930717594</v>
      </c>
      <c r="B1193" s="9"/>
      <c r="C1193" s="9" t="s">
        <v>31</v>
      </c>
      <c r="D1193" s="9" t="s">
        <v>338</v>
      </c>
      <c r="E1193" s="9" t="s">
        <v>61</v>
      </c>
      <c r="F1193" s="9" t="s">
        <v>18</v>
      </c>
      <c r="G1193" s="9" t="s">
        <v>19</v>
      </c>
      <c r="H1193" s="9" t="s">
        <v>25</v>
      </c>
      <c r="I1193" s="9" t="s">
        <v>79</v>
      </c>
      <c r="J1193" s="10"/>
      <c r="K1193" s="7"/>
      <c r="L1193" s="7"/>
      <c r="M1193" s="7"/>
      <c r="N1193" s="7"/>
      <c r="O1193" s="7"/>
    </row>
    <row r="1194" ht="22.5" hidden="1" customHeight="1">
      <c r="A1194" s="8">
        <v>45827.36141715277</v>
      </c>
      <c r="B1194" s="9"/>
      <c r="C1194" s="9" t="s">
        <v>31</v>
      </c>
      <c r="D1194" s="9" t="s">
        <v>339</v>
      </c>
      <c r="E1194" s="9" t="s">
        <v>61</v>
      </c>
      <c r="F1194" s="9" t="s">
        <v>18</v>
      </c>
      <c r="G1194" s="9" t="s">
        <v>24</v>
      </c>
      <c r="H1194" s="9" t="s">
        <v>25</v>
      </c>
      <c r="I1194" s="9" t="s">
        <v>291</v>
      </c>
      <c r="J1194" s="10"/>
      <c r="K1194" s="7"/>
      <c r="L1194" s="7"/>
      <c r="M1194" s="7"/>
      <c r="N1194" s="7"/>
      <c r="O1194" s="7"/>
    </row>
    <row r="1195" ht="22.5" hidden="1" customHeight="1">
      <c r="A1195" s="8">
        <v>45827.36190556713</v>
      </c>
      <c r="B1195" s="9"/>
      <c r="C1195" s="9" t="s">
        <v>31</v>
      </c>
      <c r="D1195" s="9" t="s">
        <v>340</v>
      </c>
      <c r="E1195" s="9" t="s">
        <v>61</v>
      </c>
      <c r="F1195" s="9" t="s">
        <v>17</v>
      </c>
      <c r="G1195" s="9" t="s">
        <v>24</v>
      </c>
      <c r="H1195" s="9" t="s">
        <v>25</v>
      </c>
      <c r="I1195" s="9" t="s">
        <v>79</v>
      </c>
      <c r="J1195" s="10"/>
      <c r="K1195" s="7"/>
      <c r="L1195" s="7"/>
      <c r="M1195" s="7"/>
      <c r="N1195" s="7"/>
      <c r="O1195" s="7"/>
    </row>
    <row r="1196" ht="22.5" hidden="1" customHeight="1">
      <c r="A1196" s="8">
        <v>45827.3623614699</v>
      </c>
      <c r="B1196" s="9"/>
      <c r="C1196" s="9" t="s">
        <v>31</v>
      </c>
      <c r="D1196" s="9" t="s">
        <v>341</v>
      </c>
      <c r="E1196" s="9" t="s">
        <v>17</v>
      </c>
      <c r="F1196" s="9" t="s">
        <v>17</v>
      </c>
      <c r="G1196" s="9" t="s">
        <v>24</v>
      </c>
      <c r="H1196" s="9" t="s">
        <v>22</v>
      </c>
      <c r="I1196" s="9" t="s">
        <v>20</v>
      </c>
      <c r="J1196" s="10"/>
      <c r="K1196" s="7"/>
      <c r="L1196" s="7"/>
      <c r="M1196" s="7"/>
      <c r="N1196" s="7"/>
      <c r="O1196" s="7"/>
    </row>
    <row r="1197" ht="22.5" hidden="1" customHeight="1">
      <c r="A1197" s="8">
        <v>45827.362872708334</v>
      </c>
      <c r="B1197" s="9"/>
      <c r="C1197" s="9" t="s">
        <v>31</v>
      </c>
      <c r="D1197" s="9" t="s">
        <v>342</v>
      </c>
      <c r="E1197" s="9" t="s">
        <v>17</v>
      </c>
      <c r="F1197" s="9" t="s">
        <v>18</v>
      </c>
      <c r="G1197" s="9" t="s">
        <v>24</v>
      </c>
      <c r="H1197" s="9" t="s">
        <v>22</v>
      </c>
      <c r="I1197" s="9" t="s">
        <v>20</v>
      </c>
      <c r="J1197" s="10"/>
      <c r="K1197" s="7"/>
      <c r="L1197" s="7"/>
      <c r="M1197" s="7"/>
      <c r="N1197" s="7"/>
      <c r="O1197" s="7"/>
    </row>
    <row r="1198" ht="22.5" hidden="1" customHeight="1">
      <c r="A1198" s="8">
        <v>45827.3632184375</v>
      </c>
      <c r="B1198" s="9"/>
      <c r="C1198" s="9" t="s">
        <v>31</v>
      </c>
      <c r="D1198" s="9" t="s">
        <v>343</v>
      </c>
      <c r="E1198" s="9" t="s">
        <v>61</v>
      </c>
      <c r="F1198" s="9" t="s">
        <v>18</v>
      </c>
      <c r="G1198" s="9" t="s">
        <v>24</v>
      </c>
      <c r="H1198" s="9" t="s">
        <v>22</v>
      </c>
      <c r="I1198" s="9" t="s">
        <v>20</v>
      </c>
      <c r="J1198" s="10"/>
      <c r="K1198" s="7"/>
      <c r="L1198" s="7"/>
      <c r="M1198" s="7"/>
      <c r="N1198" s="7"/>
      <c r="O1198" s="7"/>
    </row>
    <row r="1199" ht="22.5" hidden="1" customHeight="1">
      <c r="A1199" s="8">
        <v>45827.36351792824</v>
      </c>
      <c r="B1199" s="9"/>
      <c r="C1199" s="9" t="s">
        <v>31</v>
      </c>
      <c r="D1199" s="9" t="s">
        <v>344</v>
      </c>
      <c r="E1199" s="9" t="s">
        <v>17</v>
      </c>
      <c r="F1199" s="9" t="s">
        <v>17</v>
      </c>
      <c r="G1199" s="9" t="s">
        <v>24</v>
      </c>
      <c r="H1199" s="9" t="s">
        <v>22</v>
      </c>
      <c r="I1199" s="9" t="s">
        <v>20</v>
      </c>
      <c r="J1199" s="10"/>
      <c r="K1199" s="7"/>
      <c r="L1199" s="7"/>
      <c r="M1199" s="7"/>
      <c r="N1199" s="7"/>
      <c r="O1199" s="7"/>
    </row>
    <row r="1200" ht="22.5" hidden="1" customHeight="1">
      <c r="A1200" s="8">
        <v>45827.36403063657</v>
      </c>
      <c r="B1200" s="9"/>
      <c r="C1200" s="9" t="s">
        <v>31</v>
      </c>
      <c r="D1200" s="9" t="s">
        <v>345</v>
      </c>
      <c r="E1200" s="9" t="s">
        <v>17</v>
      </c>
      <c r="F1200" s="9" t="s">
        <v>17</v>
      </c>
      <c r="G1200" s="9" t="s">
        <v>24</v>
      </c>
      <c r="H1200" s="9" t="s">
        <v>22</v>
      </c>
      <c r="I1200" s="9" t="s">
        <v>20</v>
      </c>
      <c r="J1200" s="10"/>
      <c r="K1200" s="7"/>
      <c r="L1200" s="7"/>
      <c r="M1200" s="7"/>
      <c r="N1200" s="7"/>
      <c r="O1200" s="7"/>
    </row>
    <row r="1201" ht="22.5" hidden="1" customHeight="1">
      <c r="A1201" s="8">
        <v>45827.36450619213</v>
      </c>
      <c r="B1201" s="9"/>
      <c r="C1201" s="9" t="s">
        <v>31</v>
      </c>
      <c r="D1201" s="9" t="s">
        <v>346</v>
      </c>
      <c r="E1201" s="9" t="s">
        <v>61</v>
      </c>
      <c r="F1201" s="9" t="s">
        <v>43</v>
      </c>
      <c r="G1201" s="9" t="s">
        <v>24</v>
      </c>
      <c r="H1201" s="9" t="s">
        <v>25</v>
      </c>
      <c r="I1201" s="9" t="s">
        <v>79</v>
      </c>
      <c r="J1201" s="10"/>
      <c r="K1201" s="7"/>
      <c r="L1201" s="7"/>
      <c r="M1201" s="7"/>
      <c r="N1201" s="7"/>
      <c r="O1201" s="7"/>
    </row>
    <row r="1202" ht="22.5" hidden="1" customHeight="1">
      <c r="A1202" s="8">
        <v>45827.36497540509</v>
      </c>
      <c r="B1202" s="9"/>
      <c r="C1202" s="9" t="s">
        <v>31</v>
      </c>
      <c r="D1202" s="9" t="s">
        <v>347</v>
      </c>
      <c r="E1202" s="9" t="s">
        <v>17</v>
      </c>
      <c r="F1202" s="9" t="s">
        <v>35</v>
      </c>
      <c r="G1202" s="9" t="s">
        <v>24</v>
      </c>
      <c r="H1202" s="9" t="s">
        <v>25</v>
      </c>
      <c r="I1202" s="9" t="s">
        <v>41</v>
      </c>
      <c r="J1202" s="10"/>
      <c r="K1202" s="7"/>
      <c r="L1202" s="7"/>
      <c r="M1202" s="7"/>
      <c r="N1202" s="7"/>
      <c r="O1202" s="7"/>
    </row>
    <row r="1203" ht="22.5" hidden="1" customHeight="1">
      <c r="A1203" s="8">
        <v>45827.36535826389</v>
      </c>
      <c r="B1203" s="9"/>
      <c r="C1203" s="9" t="s">
        <v>31</v>
      </c>
      <c r="D1203" s="9" t="s">
        <v>348</v>
      </c>
      <c r="E1203" s="9" t="s">
        <v>61</v>
      </c>
      <c r="F1203" s="9" t="s">
        <v>17</v>
      </c>
      <c r="G1203" s="9" t="s">
        <v>24</v>
      </c>
      <c r="H1203" s="9" t="s">
        <v>25</v>
      </c>
      <c r="I1203" s="9" t="s">
        <v>79</v>
      </c>
      <c r="J1203" s="10"/>
      <c r="K1203" s="7"/>
      <c r="L1203" s="7"/>
      <c r="M1203" s="7"/>
      <c r="N1203" s="7"/>
      <c r="O1203" s="7"/>
    </row>
    <row r="1204" ht="22.5" hidden="1" customHeight="1">
      <c r="A1204" s="8">
        <v>45828.35698052083</v>
      </c>
      <c r="B1204" s="9"/>
      <c r="C1204" s="9" t="s">
        <v>48</v>
      </c>
      <c r="D1204" s="9" t="s">
        <v>108</v>
      </c>
      <c r="E1204" s="9" t="s">
        <v>17</v>
      </c>
      <c r="F1204" s="9" t="s">
        <v>17</v>
      </c>
      <c r="G1204" s="9" t="s">
        <v>24</v>
      </c>
      <c r="H1204" s="9" t="s">
        <v>22</v>
      </c>
      <c r="I1204" s="9" t="s">
        <v>20</v>
      </c>
      <c r="J1204" s="10"/>
      <c r="K1204" s="7"/>
      <c r="L1204" s="7"/>
      <c r="M1204" s="7"/>
      <c r="N1204" s="7"/>
      <c r="O1204" s="7"/>
    </row>
    <row r="1205" ht="22.5" hidden="1" customHeight="1">
      <c r="A1205" s="8">
        <v>45828.357448483795</v>
      </c>
      <c r="B1205" s="9"/>
      <c r="C1205" s="9" t="s">
        <v>48</v>
      </c>
      <c r="D1205" s="9" t="s">
        <v>23</v>
      </c>
      <c r="E1205" s="9" t="s">
        <v>17</v>
      </c>
      <c r="F1205" s="9" t="s">
        <v>18</v>
      </c>
      <c r="G1205" s="9" t="s">
        <v>24</v>
      </c>
      <c r="H1205" s="9" t="s">
        <v>62</v>
      </c>
      <c r="I1205" s="9" t="s">
        <v>20</v>
      </c>
      <c r="J1205" s="10"/>
      <c r="K1205" s="7"/>
      <c r="L1205" s="7"/>
      <c r="M1205" s="7"/>
      <c r="N1205" s="7"/>
      <c r="O1205" s="7"/>
    </row>
    <row r="1206" ht="22.5" hidden="1" customHeight="1">
      <c r="A1206" s="8">
        <v>45828.357923171294</v>
      </c>
      <c r="B1206" s="9"/>
      <c r="C1206" s="9" t="s">
        <v>48</v>
      </c>
      <c r="D1206" s="9" t="s">
        <v>168</v>
      </c>
      <c r="E1206" s="9" t="s">
        <v>17</v>
      </c>
      <c r="F1206" s="9" t="s">
        <v>60</v>
      </c>
      <c r="G1206" s="9" t="s">
        <v>40</v>
      </c>
      <c r="H1206" s="9" t="s">
        <v>22</v>
      </c>
      <c r="I1206" s="9" t="s">
        <v>20</v>
      </c>
      <c r="J1206" s="10"/>
      <c r="K1206" s="7"/>
      <c r="L1206" s="7"/>
      <c r="M1206" s="7"/>
      <c r="N1206" s="7"/>
      <c r="O1206" s="7"/>
    </row>
    <row r="1207" ht="22.5" hidden="1" customHeight="1">
      <c r="A1207" s="8">
        <v>45828.358548240736</v>
      </c>
      <c r="B1207" s="9"/>
      <c r="C1207" s="9" t="s">
        <v>48</v>
      </c>
      <c r="D1207" s="9" t="s">
        <v>281</v>
      </c>
      <c r="E1207" s="9" t="s">
        <v>17</v>
      </c>
      <c r="F1207" s="9" t="s">
        <v>60</v>
      </c>
      <c r="G1207" s="9" t="s">
        <v>24</v>
      </c>
      <c r="H1207" s="9" t="s">
        <v>25</v>
      </c>
      <c r="I1207" s="9" t="s">
        <v>79</v>
      </c>
      <c r="J1207" s="10"/>
      <c r="K1207" s="7"/>
      <c r="L1207" s="7"/>
      <c r="M1207" s="7"/>
      <c r="N1207" s="7"/>
      <c r="O1207" s="7"/>
    </row>
    <row r="1208" ht="22.5" hidden="1" customHeight="1">
      <c r="A1208" s="8">
        <v>45828.35900435185</v>
      </c>
      <c r="B1208" s="9"/>
      <c r="C1208" s="9" t="s">
        <v>48</v>
      </c>
      <c r="D1208" s="9" t="s">
        <v>51</v>
      </c>
      <c r="E1208" s="9" t="s">
        <v>30</v>
      </c>
      <c r="F1208" s="9" t="s">
        <v>43</v>
      </c>
      <c r="G1208" s="9" t="s">
        <v>24</v>
      </c>
      <c r="H1208" s="9" t="s">
        <v>25</v>
      </c>
      <c r="I1208" s="9" t="s">
        <v>159</v>
      </c>
      <c r="J1208" s="10"/>
      <c r="K1208" s="7"/>
      <c r="L1208" s="7"/>
      <c r="M1208" s="7"/>
      <c r="N1208" s="7"/>
      <c r="O1208" s="7"/>
    </row>
    <row r="1209" ht="22.5" hidden="1" customHeight="1">
      <c r="A1209" s="8">
        <v>45828.359642129624</v>
      </c>
      <c r="B1209" s="9"/>
      <c r="C1209" s="9" t="s">
        <v>48</v>
      </c>
      <c r="D1209" s="9" t="s">
        <v>258</v>
      </c>
      <c r="E1209" s="9" t="s">
        <v>17</v>
      </c>
      <c r="F1209" s="9" t="s">
        <v>17</v>
      </c>
      <c r="G1209" s="9" t="s">
        <v>24</v>
      </c>
      <c r="H1209" s="9" t="s">
        <v>62</v>
      </c>
      <c r="I1209" s="9" t="s">
        <v>20</v>
      </c>
      <c r="J1209" s="10"/>
      <c r="K1209" s="7"/>
      <c r="L1209" s="7"/>
      <c r="M1209" s="7"/>
      <c r="N1209" s="7"/>
      <c r="O1209" s="7"/>
    </row>
    <row r="1210" ht="22.5" hidden="1" customHeight="1">
      <c r="A1210" s="8">
        <v>45828.36027119213</v>
      </c>
      <c r="B1210" s="9"/>
      <c r="C1210" s="9" t="s">
        <v>48</v>
      </c>
      <c r="D1210" s="9" t="s">
        <v>333</v>
      </c>
      <c r="E1210" s="9" t="s">
        <v>61</v>
      </c>
      <c r="F1210" s="9" t="s">
        <v>18</v>
      </c>
      <c r="G1210" s="9" t="s">
        <v>19</v>
      </c>
      <c r="H1210" s="9" t="s">
        <v>25</v>
      </c>
      <c r="I1210" s="9" t="s">
        <v>349</v>
      </c>
      <c r="J1210" s="10"/>
      <c r="K1210" s="7"/>
      <c r="L1210" s="7"/>
      <c r="M1210" s="7"/>
      <c r="N1210" s="7"/>
      <c r="O1210" s="7"/>
    </row>
    <row r="1211" ht="22.5" hidden="1" customHeight="1">
      <c r="A1211" s="8">
        <v>45828.36090320602</v>
      </c>
      <c r="B1211" s="9"/>
      <c r="C1211" s="9" t="s">
        <v>48</v>
      </c>
      <c r="D1211" s="9" t="s">
        <v>350</v>
      </c>
      <c r="E1211" s="9" t="s">
        <v>17</v>
      </c>
      <c r="F1211" s="9" t="s">
        <v>18</v>
      </c>
      <c r="G1211" s="9" t="s">
        <v>19</v>
      </c>
      <c r="H1211" s="9" t="s">
        <v>17</v>
      </c>
      <c r="I1211" s="9" t="s">
        <v>79</v>
      </c>
      <c r="J1211" s="10"/>
      <c r="K1211" s="7"/>
      <c r="L1211" s="7"/>
      <c r="M1211" s="7"/>
      <c r="N1211" s="7"/>
      <c r="O1211" s="7"/>
    </row>
    <row r="1212" ht="22.5" hidden="1" customHeight="1">
      <c r="A1212" s="8">
        <v>45828.36142913194</v>
      </c>
      <c r="B1212" s="9"/>
      <c r="C1212" s="9" t="s">
        <v>48</v>
      </c>
      <c r="D1212" s="9" t="s">
        <v>335</v>
      </c>
      <c r="E1212" s="9" t="s">
        <v>140</v>
      </c>
      <c r="F1212" s="9" t="s">
        <v>18</v>
      </c>
      <c r="G1212" s="9" t="s">
        <v>19</v>
      </c>
      <c r="H1212" s="9" t="s">
        <v>25</v>
      </c>
      <c r="I1212" s="9" t="s">
        <v>79</v>
      </c>
      <c r="J1212" s="10"/>
      <c r="K1212" s="7"/>
      <c r="L1212" s="7"/>
      <c r="M1212" s="7"/>
      <c r="N1212" s="7"/>
      <c r="O1212" s="7"/>
    </row>
    <row r="1213" ht="22.5" hidden="1" customHeight="1">
      <c r="A1213" s="8">
        <v>45828.3626180787</v>
      </c>
      <c r="B1213" s="9"/>
      <c r="C1213" s="9" t="s">
        <v>48</v>
      </c>
      <c r="D1213" s="9" t="s">
        <v>260</v>
      </c>
      <c r="E1213" s="9" t="s">
        <v>17</v>
      </c>
      <c r="F1213" s="9" t="s">
        <v>43</v>
      </c>
      <c r="G1213" s="9" t="s">
        <v>24</v>
      </c>
      <c r="H1213" s="9" t="s">
        <v>25</v>
      </c>
      <c r="I1213" s="9" t="s">
        <v>79</v>
      </c>
      <c r="J1213" s="10"/>
      <c r="K1213" s="7"/>
      <c r="L1213" s="7"/>
      <c r="M1213" s="7"/>
      <c r="N1213" s="7"/>
      <c r="O1213" s="7"/>
    </row>
    <row r="1214" ht="22.5" hidden="1" customHeight="1">
      <c r="A1214" s="8">
        <v>45828.36302466435</v>
      </c>
      <c r="B1214" s="9"/>
      <c r="C1214" s="9" t="s">
        <v>48</v>
      </c>
      <c r="D1214" s="9" t="s">
        <v>174</v>
      </c>
      <c r="E1214" s="9" t="s">
        <v>17</v>
      </c>
      <c r="F1214" s="9" t="s">
        <v>18</v>
      </c>
      <c r="G1214" s="9" t="s">
        <v>24</v>
      </c>
      <c r="H1214" s="9" t="s">
        <v>22</v>
      </c>
      <c r="I1214" s="9" t="s">
        <v>20</v>
      </c>
      <c r="J1214" s="10"/>
      <c r="K1214" s="7"/>
      <c r="L1214" s="7"/>
      <c r="M1214" s="7"/>
      <c r="N1214" s="7"/>
      <c r="O1214" s="7"/>
    </row>
    <row r="1215" ht="22.5" hidden="1" customHeight="1">
      <c r="A1215" s="8">
        <v>45828.36351789352</v>
      </c>
      <c r="B1215" s="9"/>
      <c r="C1215" s="9" t="s">
        <v>48</v>
      </c>
      <c r="D1215" s="9" t="s">
        <v>332</v>
      </c>
      <c r="E1215" s="9" t="s">
        <v>17</v>
      </c>
      <c r="F1215" s="9" t="s">
        <v>17</v>
      </c>
      <c r="G1215" s="9" t="s">
        <v>24</v>
      </c>
      <c r="H1215" s="9" t="s">
        <v>25</v>
      </c>
      <c r="I1215" s="9" t="s">
        <v>79</v>
      </c>
      <c r="J1215" s="10"/>
      <c r="K1215" s="7"/>
      <c r="L1215" s="7"/>
      <c r="M1215" s="7"/>
      <c r="N1215" s="7"/>
      <c r="O1215" s="7"/>
    </row>
    <row r="1216" ht="22.5" hidden="1" customHeight="1">
      <c r="A1216" s="8">
        <v>45829.41798835648</v>
      </c>
      <c r="B1216" s="9"/>
      <c r="C1216" s="9" t="s">
        <v>53</v>
      </c>
      <c r="D1216" s="9" t="s">
        <v>51</v>
      </c>
      <c r="E1216" s="9" t="s">
        <v>17</v>
      </c>
      <c r="F1216" s="9" t="s">
        <v>17</v>
      </c>
      <c r="G1216" s="9" t="s">
        <v>24</v>
      </c>
      <c r="H1216" s="9" t="s">
        <v>17</v>
      </c>
      <c r="I1216" s="9" t="s">
        <v>20</v>
      </c>
      <c r="J1216" s="10"/>
      <c r="K1216" s="7"/>
      <c r="L1216" s="7"/>
      <c r="M1216" s="7"/>
      <c r="N1216" s="7"/>
      <c r="O1216" s="7"/>
    </row>
    <row r="1217" ht="22.5" hidden="1" customHeight="1">
      <c r="A1217" s="8">
        <v>45829.41883224537</v>
      </c>
      <c r="B1217" s="9"/>
      <c r="C1217" s="9" t="s">
        <v>53</v>
      </c>
      <c r="D1217" s="9" t="s">
        <v>102</v>
      </c>
      <c r="E1217" s="9" t="s">
        <v>17</v>
      </c>
      <c r="F1217" s="9" t="s">
        <v>17</v>
      </c>
      <c r="G1217" s="9" t="s">
        <v>19</v>
      </c>
      <c r="H1217" s="9" t="s">
        <v>25</v>
      </c>
      <c r="I1217" s="9" t="s">
        <v>351</v>
      </c>
      <c r="J1217" s="10"/>
      <c r="K1217" s="7"/>
      <c r="L1217" s="7"/>
      <c r="M1217" s="7"/>
      <c r="N1217" s="7"/>
      <c r="O1217" s="7"/>
    </row>
    <row r="1218" ht="22.5" hidden="1" customHeight="1">
      <c r="A1218" s="8">
        <v>45829.41967045139</v>
      </c>
      <c r="B1218" s="9"/>
      <c r="C1218" s="9" t="s">
        <v>53</v>
      </c>
      <c r="D1218" s="9" t="s">
        <v>350</v>
      </c>
      <c r="E1218" s="9" t="s">
        <v>61</v>
      </c>
      <c r="F1218" s="9" t="s">
        <v>18</v>
      </c>
      <c r="G1218" s="9" t="s">
        <v>19</v>
      </c>
      <c r="H1218" s="9" t="s">
        <v>25</v>
      </c>
      <c r="I1218" s="9" t="s">
        <v>34</v>
      </c>
      <c r="J1218" s="10"/>
      <c r="K1218" s="7"/>
      <c r="L1218" s="7"/>
      <c r="M1218" s="7"/>
      <c r="N1218" s="7"/>
      <c r="O1218" s="7"/>
    </row>
    <row r="1219" ht="22.5" hidden="1" customHeight="1">
      <c r="A1219" s="8">
        <v>45829.420015509255</v>
      </c>
      <c r="B1219" s="9"/>
      <c r="C1219" s="9" t="s">
        <v>53</v>
      </c>
      <c r="D1219" s="9" t="s">
        <v>281</v>
      </c>
      <c r="E1219" s="9" t="s">
        <v>17</v>
      </c>
      <c r="F1219" s="9" t="s">
        <v>17</v>
      </c>
      <c r="G1219" s="9" t="s">
        <v>24</v>
      </c>
      <c r="H1219" s="9" t="s">
        <v>25</v>
      </c>
      <c r="I1219" s="9" t="s">
        <v>79</v>
      </c>
      <c r="J1219" s="10"/>
      <c r="K1219" s="7"/>
      <c r="L1219" s="7"/>
      <c r="M1219" s="7"/>
      <c r="N1219" s="7"/>
      <c r="O1219" s="7"/>
    </row>
    <row r="1220" ht="22.5" hidden="1" customHeight="1">
      <c r="A1220" s="8">
        <v>45829.420413518514</v>
      </c>
      <c r="B1220" s="9"/>
      <c r="C1220" s="9" t="s">
        <v>53</v>
      </c>
      <c r="D1220" s="9" t="s">
        <v>212</v>
      </c>
      <c r="E1220" s="9" t="s">
        <v>17</v>
      </c>
      <c r="F1220" s="9" t="s">
        <v>17</v>
      </c>
      <c r="G1220" s="9" t="s">
        <v>24</v>
      </c>
      <c r="H1220" s="9" t="s">
        <v>62</v>
      </c>
      <c r="I1220" s="9" t="s">
        <v>20</v>
      </c>
      <c r="J1220" s="10"/>
      <c r="K1220" s="7"/>
      <c r="L1220" s="7"/>
      <c r="M1220" s="7"/>
      <c r="N1220" s="7"/>
      <c r="O1220" s="7"/>
    </row>
    <row r="1221" ht="22.5" hidden="1" customHeight="1">
      <c r="A1221" s="8">
        <v>45829.420770324075</v>
      </c>
      <c r="B1221" s="9"/>
      <c r="C1221" s="9" t="s">
        <v>53</v>
      </c>
      <c r="D1221" s="9" t="s">
        <v>23</v>
      </c>
      <c r="E1221" s="9" t="s">
        <v>17</v>
      </c>
      <c r="F1221" s="9" t="s">
        <v>17</v>
      </c>
      <c r="G1221" s="9" t="s">
        <v>24</v>
      </c>
      <c r="H1221" s="9" t="s">
        <v>62</v>
      </c>
      <c r="I1221" s="9" t="s">
        <v>20</v>
      </c>
      <c r="J1221" s="10"/>
      <c r="K1221" s="7"/>
      <c r="L1221" s="7"/>
      <c r="M1221" s="7"/>
      <c r="N1221" s="7"/>
      <c r="O1221" s="7"/>
    </row>
    <row r="1222" ht="22.5" hidden="1" customHeight="1">
      <c r="A1222" s="8">
        <v>45829.42111792824</v>
      </c>
      <c r="B1222" s="9"/>
      <c r="C1222" s="9" t="s">
        <v>53</v>
      </c>
      <c r="D1222" s="9" t="s">
        <v>108</v>
      </c>
      <c r="E1222" s="9" t="s">
        <v>17</v>
      </c>
      <c r="F1222" s="9" t="s">
        <v>17</v>
      </c>
      <c r="G1222" s="9" t="s">
        <v>24</v>
      </c>
      <c r="H1222" s="9" t="s">
        <v>25</v>
      </c>
      <c r="I1222" s="9" t="s">
        <v>79</v>
      </c>
      <c r="J1222" s="10"/>
      <c r="K1222" s="7"/>
      <c r="L1222" s="7"/>
      <c r="M1222" s="7"/>
      <c r="N1222" s="7"/>
      <c r="O1222" s="7"/>
    </row>
    <row r="1223" ht="22.5" hidden="1" customHeight="1">
      <c r="A1223" s="8">
        <v>45829.421428773145</v>
      </c>
      <c r="B1223" s="9"/>
      <c r="C1223" s="9" t="s">
        <v>53</v>
      </c>
      <c r="D1223" s="9" t="s">
        <v>194</v>
      </c>
      <c r="E1223" s="9" t="s">
        <v>140</v>
      </c>
      <c r="F1223" s="9" t="s">
        <v>17</v>
      </c>
      <c r="G1223" s="9" t="s">
        <v>24</v>
      </c>
      <c r="H1223" s="9" t="s">
        <v>62</v>
      </c>
      <c r="I1223" s="9" t="s">
        <v>20</v>
      </c>
      <c r="J1223" s="10"/>
      <c r="K1223" s="7"/>
      <c r="L1223" s="7"/>
      <c r="M1223" s="7"/>
      <c r="N1223" s="7"/>
      <c r="O1223" s="7"/>
    </row>
    <row r="1224" ht="22.5" hidden="1" customHeight="1">
      <c r="A1224" s="8">
        <v>45829.42254175926</v>
      </c>
      <c r="B1224" s="9"/>
      <c r="C1224" s="9" t="s">
        <v>53</v>
      </c>
      <c r="D1224" s="9" t="s">
        <v>243</v>
      </c>
      <c r="E1224" s="9" t="s">
        <v>17</v>
      </c>
      <c r="F1224" s="9" t="s">
        <v>17</v>
      </c>
      <c r="G1224" s="9" t="s">
        <v>24</v>
      </c>
      <c r="H1224" s="9" t="s">
        <v>17</v>
      </c>
      <c r="I1224" s="9" t="s">
        <v>20</v>
      </c>
      <c r="J1224" s="10"/>
      <c r="K1224" s="7"/>
      <c r="L1224" s="7"/>
      <c r="M1224" s="7"/>
      <c r="N1224" s="7"/>
      <c r="O1224" s="7"/>
    </row>
    <row r="1225" ht="21.75" hidden="1" customHeight="1">
      <c r="A1225" s="8">
        <v>45829.454142118055</v>
      </c>
      <c r="B1225" s="9"/>
      <c r="C1225" s="9" t="s">
        <v>53</v>
      </c>
      <c r="D1225" s="9" t="s">
        <v>54</v>
      </c>
      <c r="E1225" s="9" t="s">
        <v>17</v>
      </c>
      <c r="F1225" s="9" t="s">
        <v>17</v>
      </c>
      <c r="G1225" s="9" t="s">
        <v>24</v>
      </c>
      <c r="H1225" s="9" t="s">
        <v>25</v>
      </c>
      <c r="I1225" s="9" t="s">
        <v>137</v>
      </c>
      <c r="J1225" s="10"/>
      <c r="K1225" s="7"/>
      <c r="L1225" s="7"/>
      <c r="M1225" s="7"/>
      <c r="N1225" s="7"/>
      <c r="O1225" s="7"/>
    </row>
    <row r="1226" ht="22.5" hidden="1" customHeight="1">
      <c r="A1226" s="8">
        <v>45841.41786059028</v>
      </c>
      <c r="B1226" s="9"/>
      <c r="C1226" s="9" t="s">
        <v>31</v>
      </c>
      <c r="D1226" s="9" t="s">
        <v>108</v>
      </c>
      <c r="E1226" s="9" t="s">
        <v>17</v>
      </c>
      <c r="F1226" s="9" t="s">
        <v>17</v>
      </c>
      <c r="G1226" s="9" t="s">
        <v>24</v>
      </c>
      <c r="H1226" s="9" t="s">
        <v>17</v>
      </c>
      <c r="I1226" s="9" t="s">
        <v>20</v>
      </c>
      <c r="J1226" s="10"/>
      <c r="K1226" s="7"/>
      <c r="L1226" s="7"/>
      <c r="M1226" s="7"/>
      <c r="N1226" s="7"/>
      <c r="O1226" s="7"/>
    </row>
    <row r="1227" ht="22.5" hidden="1" customHeight="1">
      <c r="A1227" s="8">
        <v>45841.418517638886</v>
      </c>
      <c r="B1227" s="9"/>
      <c r="C1227" s="9" t="s">
        <v>31</v>
      </c>
      <c r="D1227" s="9" t="s">
        <v>227</v>
      </c>
      <c r="E1227" s="9" t="s">
        <v>17</v>
      </c>
      <c r="F1227" s="9" t="s">
        <v>17</v>
      </c>
      <c r="G1227" s="9" t="s">
        <v>24</v>
      </c>
      <c r="H1227" s="9" t="s">
        <v>17</v>
      </c>
      <c r="I1227" s="9" t="s">
        <v>20</v>
      </c>
      <c r="J1227" s="10"/>
      <c r="K1227" s="7"/>
      <c r="L1227" s="7"/>
      <c r="M1227" s="7"/>
      <c r="N1227" s="7"/>
      <c r="O1227" s="7"/>
    </row>
    <row r="1228" ht="22.5" hidden="1" customHeight="1">
      <c r="A1228" s="8">
        <v>45841.41939285879</v>
      </c>
      <c r="B1228" s="9"/>
      <c r="C1228" s="9" t="s">
        <v>31</v>
      </c>
      <c r="D1228" s="9" t="s">
        <v>277</v>
      </c>
      <c r="E1228" s="9" t="s">
        <v>17</v>
      </c>
      <c r="F1228" s="9" t="s">
        <v>17</v>
      </c>
      <c r="G1228" s="9" t="s">
        <v>24</v>
      </c>
      <c r="H1228" s="9" t="s">
        <v>17</v>
      </c>
      <c r="I1228" s="9" t="s">
        <v>20</v>
      </c>
      <c r="J1228" s="10"/>
      <c r="K1228" s="7"/>
      <c r="L1228" s="7"/>
      <c r="M1228" s="7"/>
      <c r="N1228" s="7"/>
      <c r="O1228" s="7"/>
    </row>
    <row r="1229" ht="22.5" hidden="1" customHeight="1">
      <c r="A1229" s="8">
        <v>45841.41995487269</v>
      </c>
      <c r="B1229" s="9"/>
      <c r="C1229" s="9" t="s">
        <v>31</v>
      </c>
      <c r="D1229" s="9" t="s">
        <v>198</v>
      </c>
      <c r="E1229" s="9" t="s">
        <v>61</v>
      </c>
      <c r="F1229" s="9" t="s">
        <v>17</v>
      </c>
      <c r="G1229" s="9" t="s">
        <v>24</v>
      </c>
      <c r="H1229" s="9" t="s">
        <v>17</v>
      </c>
      <c r="I1229" s="9" t="s">
        <v>20</v>
      </c>
      <c r="J1229" s="10"/>
      <c r="K1229" s="7"/>
      <c r="L1229" s="7"/>
      <c r="M1229" s="7"/>
      <c r="N1229" s="7"/>
      <c r="O1229" s="7"/>
    </row>
    <row r="1230" ht="22.5" hidden="1" customHeight="1">
      <c r="A1230" s="8">
        <v>45841.42044611111</v>
      </c>
      <c r="B1230" s="9"/>
      <c r="C1230" s="9" t="s">
        <v>31</v>
      </c>
      <c r="D1230" s="9" t="s">
        <v>155</v>
      </c>
      <c r="E1230" s="9" t="s">
        <v>17</v>
      </c>
      <c r="F1230" s="9" t="s">
        <v>18</v>
      </c>
      <c r="G1230" s="9" t="s">
        <v>24</v>
      </c>
      <c r="H1230" s="9" t="s">
        <v>17</v>
      </c>
      <c r="I1230" s="9" t="s">
        <v>20</v>
      </c>
      <c r="J1230" s="10"/>
      <c r="K1230" s="7"/>
      <c r="L1230" s="7"/>
      <c r="M1230" s="7"/>
      <c r="N1230" s="7"/>
      <c r="O1230" s="7"/>
    </row>
    <row r="1231" ht="22.5" hidden="1" customHeight="1">
      <c r="A1231" s="8">
        <v>45841.420786793984</v>
      </c>
      <c r="B1231" s="9"/>
      <c r="C1231" s="9" t="s">
        <v>31</v>
      </c>
      <c r="D1231" s="9" t="s">
        <v>212</v>
      </c>
      <c r="E1231" s="9" t="s">
        <v>46</v>
      </c>
      <c r="F1231" s="9" t="s">
        <v>17</v>
      </c>
      <c r="G1231" s="9" t="s">
        <v>40</v>
      </c>
      <c r="H1231" s="9" t="s">
        <v>17</v>
      </c>
      <c r="I1231" s="9" t="s">
        <v>20</v>
      </c>
      <c r="J1231" s="10"/>
      <c r="K1231" s="7"/>
      <c r="L1231" s="7"/>
      <c r="M1231" s="7"/>
      <c r="N1231" s="7"/>
      <c r="O1231" s="7"/>
    </row>
    <row r="1232" ht="22.5" hidden="1" customHeight="1">
      <c r="A1232" s="8">
        <v>45841.421045613424</v>
      </c>
      <c r="B1232" s="9"/>
      <c r="C1232" s="9" t="s">
        <v>31</v>
      </c>
      <c r="D1232" s="9" t="s">
        <v>255</v>
      </c>
      <c r="E1232" s="9" t="s">
        <v>30</v>
      </c>
      <c r="F1232" s="9" t="s">
        <v>18</v>
      </c>
      <c r="G1232" s="9" t="s">
        <v>24</v>
      </c>
      <c r="H1232" s="9" t="s">
        <v>22</v>
      </c>
      <c r="I1232" s="9" t="s">
        <v>20</v>
      </c>
      <c r="J1232" s="10"/>
      <c r="K1232" s="7"/>
      <c r="L1232" s="7"/>
      <c r="M1232" s="7"/>
      <c r="N1232" s="7"/>
      <c r="O1232" s="7"/>
    </row>
    <row r="1233" ht="22.5" hidden="1" customHeight="1">
      <c r="A1233" s="8">
        <v>45841.42127950232</v>
      </c>
      <c r="B1233" s="9"/>
      <c r="C1233" s="9" t="s">
        <v>31</v>
      </c>
      <c r="D1233" s="9" t="s">
        <v>260</v>
      </c>
      <c r="E1233" s="9" t="s">
        <v>17</v>
      </c>
      <c r="F1233" s="9" t="s">
        <v>17</v>
      </c>
      <c r="G1233" s="9" t="s">
        <v>24</v>
      </c>
      <c r="H1233" s="9" t="s">
        <v>17</v>
      </c>
      <c r="I1233" s="9" t="s">
        <v>20</v>
      </c>
      <c r="J1233" s="10"/>
      <c r="K1233" s="7"/>
      <c r="L1233" s="7"/>
      <c r="M1233" s="7"/>
      <c r="N1233" s="7"/>
      <c r="O1233" s="7"/>
    </row>
    <row r="1234" ht="22.5" hidden="1" customHeight="1">
      <c r="A1234" s="8">
        <v>45841.42154865741</v>
      </c>
      <c r="B1234" s="9"/>
      <c r="C1234" s="9" t="s">
        <v>31</v>
      </c>
      <c r="D1234" s="9" t="s">
        <v>332</v>
      </c>
      <c r="E1234" s="9" t="s">
        <v>17</v>
      </c>
      <c r="F1234" s="9" t="s">
        <v>17</v>
      </c>
      <c r="G1234" s="9" t="s">
        <v>24</v>
      </c>
      <c r="H1234" s="9" t="s">
        <v>17</v>
      </c>
      <c r="I1234" s="9" t="s">
        <v>20</v>
      </c>
      <c r="J1234" s="10"/>
      <c r="K1234" s="7"/>
      <c r="L1234" s="7"/>
      <c r="M1234" s="7"/>
      <c r="N1234" s="7"/>
      <c r="O1234" s="7"/>
    </row>
    <row r="1235" ht="22.5" hidden="1" customHeight="1">
      <c r="A1235" s="8">
        <v>45841.42242217592</v>
      </c>
      <c r="B1235" s="9"/>
      <c r="C1235" s="9" t="s">
        <v>31</v>
      </c>
      <c r="D1235" s="9" t="s">
        <v>206</v>
      </c>
      <c r="E1235" s="9" t="s">
        <v>17</v>
      </c>
      <c r="F1235" s="9" t="s">
        <v>17</v>
      </c>
      <c r="G1235" s="9" t="s">
        <v>40</v>
      </c>
      <c r="H1235" s="9" t="s">
        <v>62</v>
      </c>
      <c r="I1235" s="9" t="s">
        <v>34</v>
      </c>
      <c r="J1235" s="10"/>
      <c r="K1235" s="7"/>
      <c r="L1235" s="7"/>
      <c r="M1235" s="7"/>
      <c r="N1235" s="7"/>
      <c r="O1235" s="7"/>
    </row>
    <row r="1236" ht="22.5" hidden="1" customHeight="1">
      <c r="A1236" s="8">
        <v>45841.42311417824</v>
      </c>
      <c r="B1236" s="9"/>
      <c r="C1236" s="9" t="s">
        <v>31</v>
      </c>
      <c r="D1236" s="9" t="s">
        <v>352</v>
      </c>
      <c r="E1236" s="9" t="s">
        <v>61</v>
      </c>
      <c r="F1236" s="9" t="s">
        <v>39</v>
      </c>
      <c r="G1236" s="9" t="s">
        <v>40</v>
      </c>
      <c r="H1236" s="9" t="s">
        <v>17</v>
      </c>
      <c r="I1236" s="9" t="s">
        <v>20</v>
      </c>
      <c r="J1236" s="10"/>
      <c r="K1236" s="7"/>
      <c r="L1236" s="7"/>
      <c r="M1236" s="7"/>
      <c r="N1236" s="7"/>
      <c r="O1236" s="7"/>
    </row>
    <row r="1237" ht="22.5" hidden="1" customHeight="1">
      <c r="A1237" s="8">
        <v>45841.42401740741</v>
      </c>
      <c r="B1237" s="9"/>
      <c r="C1237" s="9" t="s">
        <v>31</v>
      </c>
      <c r="D1237" s="9" t="s">
        <v>23</v>
      </c>
      <c r="E1237" s="9" t="s">
        <v>17</v>
      </c>
      <c r="F1237" s="9" t="s">
        <v>39</v>
      </c>
      <c r="G1237" s="9" t="s">
        <v>40</v>
      </c>
      <c r="H1237" s="9" t="s">
        <v>25</v>
      </c>
      <c r="I1237" s="9" t="s">
        <v>316</v>
      </c>
      <c r="J1237" s="10"/>
      <c r="K1237" s="7"/>
      <c r="L1237" s="7"/>
      <c r="M1237" s="7"/>
      <c r="N1237" s="7"/>
      <c r="O1237" s="7"/>
    </row>
    <row r="1238" ht="22.5" hidden="1" customHeight="1">
      <c r="A1238" s="8">
        <v>45841.42483553241</v>
      </c>
      <c r="B1238" s="9"/>
      <c r="C1238" s="9" t="s">
        <v>31</v>
      </c>
      <c r="D1238" s="9" t="s">
        <v>254</v>
      </c>
      <c r="E1238" s="9" t="s">
        <v>17</v>
      </c>
      <c r="F1238" s="9" t="s">
        <v>17</v>
      </c>
      <c r="G1238" s="9" t="s">
        <v>24</v>
      </c>
      <c r="H1238" s="9" t="s">
        <v>25</v>
      </c>
      <c r="I1238" s="9" t="s">
        <v>20</v>
      </c>
      <c r="J1238" s="10"/>
      <c r="K1238" s="7"/>
      <c r="L1238" s="7"/>
      <c r="M1238" s="7"/>
      <c r="N1238" s="7"/>
      <c r="O1238" s="7"/>
    </row>
    <row r="1239" ht="22.5" hidden="1" customHeight="1">
      <c r="A1239" s="8">
        <v>45841.42512881944</v>
      </c>
      <c r="B1239" s="9"/>
      <c r="C1239" s="9" t="s">
        <v>31</v>
      </c>
      <c r="D1239" s="9" t="s">
        <v>261</v>
      </c>
      <c r="E1239" s="9" t="s">
        <v>17</v>
      </c>
      <c r="F1239" s="9" t="s">
        <v>17</v>
      </c>
      <c r="G1239" s="9" t="s">
        <v>24</v>
      </c>
      <c r="H1239" s="9" t="s">
        <v>17</v>
      </c>
      <c r="I1239" s="9" t="s">
        <v>20</v>
      </c>
      <c r="J1239" s="10"/>
      <c r="K1239" s="7"/>
      <c r="L1239" s="7"/>
      <c r="M1239" s="7"/>
      <c r="N1239" s="7"/>
      <c r="O1239" s="7"/>
    </row>
    <row r="1240" ht="22.5" hidden="1" customHeight="1">
      <c r="A1240" s="8">
        <v>45841.42541295139</v>
      </c>
      <c r="B1240" s="9"/>
      <c r="C1240" s="9" t="s">
        <v>31</v>
      </c>
      <c r="D1240" s="9" t="s">
        <v>51</v>
      </c>
      <c r="E1240" s="9" t="s">
        <v>17</v>
      </c>
      <c r="F1240" s="9" t="s">
        <v>17</v>
      </c>
      <c r="G1240" s="9" t="s">
        <v>24</v>
      </c>
      <c r="H1240" s="9" t="s">
        <v>17</v>
      </c>
      <c r="I1240" s="9" t="s">
        <v>20</v>
      </c>
      <c r="J1240" s="10"/>
      <c r="K1240" s="7"/>
      <c r="L1240" s="7"/>
      <c r="M1240" s="7"/>
      <c r="N1240" s="7"/>
      <c r="O1240" s="7"/>
    </row>
    <row r="1241" ht="22.5" hidden="1" customHeight="1">
      <c r="A1241" s="8">
        <v>45841.42595868056</v>
      </c>
      <c r="B1241" s="9"/>
      <c r="C1241" s="9" t="s">
        <v>31</v>
      </c>
      <c r="D1241" s="9" t="s">
        <v>253</v>
      </c>
      <c r="E1241" s="9" t="s">
        <v>46</v>
      </c>
      <c r="F1241" s="9" t="s">
        <v>43</v>
      </c>
      <c r="G1241" s="9" t="s">
        <v>24</v>
      </c>
      <c r="H1241" s="9" t="s">
        <v>25</v>
      </c>
      <c r="I1241" s="9" t="s">
        <v>311</v>
      </c>
      <c r="J1241" s="10"/>
      <c r="K1241" s="7"/>
      <c r="L1241" s="7"/>
      <c r="M1241" s="7"/>
      <c r="N1241" s="7"/>
      <c r="O1241" s="7"/>
    </row>
    <row r="1242" ht="22.5" hidden="1" customHeight="1">
      <c r="A1242" s="8">
        <v>45842.41033131944</v>
      </c>
      <c r="B1242" s="9"/>
      <c r="C1242" s="9" t="s">
        <v>48</v>
      </c>
      <c r="D1242" s="9" t="s">
        <v>212</v>
      </c>
      <c r="E1242" s="9" t="s">
        <v>17</v>
      </c>
      <c r="F1242" s="9" t="s">
        <v>17</v>
      </c>
      <c r="G1242" s="9" t="s">
        <v>24</v>
      </c>
      <c r="H1242" s="9" t="s">
        <v>25</v>
      </c>
      <c r="I1242" s="9" t="s">
        <v>50</v>
      </c>
      <c r="J1242" s="10"/>
      <c r="K1242" s="7"/>
      <c r="L1242" s="7"/>
      <c r="M1242" s="7"/>
      <c r="N1242" s="7"/>
      <c r="O1242" s="7"/>
    </row>
    <row r="1243" ht="22.5" hidden="1" customHeight="1">
      <c r="A1243" s="8">
        <v>45842.4110913426</v>
      </c>
      <c r="B1243" s="9"/>
      <c r="C1243" s="9" t="s">
        <v>48</v>
      </c>
      <c r="D1243" s="9" t="s">
        <v>353</v>
      </c>
      <c r="E1243" s="9" t="s">
        <v>30</v>
      </c>
      <c r="F1243" s="9" t="s">
        <v>18</v>
      </c>
      <c r="G1243" s="9" t="s">
        <v>19</v>
      </c>
      <c r="H1243" s="9" t="s">
        <v>25</v>
      </c>
      <c r="I1243" s="9" t="s">
        <v>34</v>
      </c>
      <c r="J1243" s="10"/>
      <c r="K1243" s="7"/>
      <c r="L1243" s="7"/>
      <c r="M1243" s="7"/>
      <c r="N1243" s="7"/>
      <c r="O1243" s="7"/>
    </row>
    <row r="1244" ht="22.5" hidden="1" customHeight="1">
      <c r="A1244" s="8">
        <v>45842.41160090278</v>
      </c>
      <c r="B1244" s="9"/>
      <c r="C1244" s="9" t="s">
        <v>48</v>
      </c>
      <c r="D1244" s="9" t="s">
        <v>260</v>
      </c>
      <c r="E1244" s="9" t="s">
        <v>17</v>
      </c>
      <c r="F1244" s="9" t="s">
        <v>17</v>
      </c>
      <c r="G1244" s="9" t="s">
        <v>24</v>
      </c>
      <c r="H1244" s="9" t="s">
        <v>17</v>
      </c>
      <c r="I1244" s="9" t="s">
        <v>20</v>
      </c>
      <c r="J1244" s="10"/>
      <c r="K1244" s="7"/>
      <c r="L1244" s="7"/>
      <c r="M1244" s="7"/>
      <c r="N1244" s="7"/>
      <c r="O1244" s="7"/>
    </row>
    <row r="1245" ht="22.5" hidden="1" customHeight="1">
      <c r="A1245" s="8">
        <v>45842.411949560184</v>
      </c>
      <c r="B1245" s="9"/>
      <c r="C1245" s="9" t="s">
        <v>48</v>
      </c>
      <c r="D1245" s="9" t="s">
        <v>255</v>
      </c>
      <c r="E1245" s="9" t="s">
        <v>30</v>
      </c>
      <c r="F1245" s="9" t="s">
        <v>18</v>
      </c>
      <c r="G1245" s="9" t="s">
        <v>24</v>
      </c>
      <c r="H1245" s="9" t="s">
        <v>22</v>
      </c>
      <c r="I1245" s="9" t="s">
        <v>20</v>
      </c>
      <c r="J1245" s="10"/>
      <c r="K1245" s="7"/>
      <c r="L1245" s="7"/>
      <c r="M1245" s="7"/>
      <c r="N1245" s="7"/>
      <c r="O1245" s="7"/>
    </row>
    <row r="1246" ht="22.5" hidden="1" customHeight="1">
      <c r="A1246" s="8">
        <v>45842.41259309028</v>
      </c>
      <c r="B1246" s="9"/>
      <c r="C1246" s="9" t="s">
        <v>48</v>
      </c>
      <c r="D1246" s="9" t="s">
        <v>277</v>
      </c>
      <c r="E1246" s="9" t="s">
        <v>17</v>
      </c>
      <c r="F1246" s="9" t="s">
        <v>17</v>
      </c>
      <c r="G1246" s="9" t="s">
        <v>24</v>
      </c>
      <c r="H1246" s="9" t="s">
        <v>62</v>
      </c>
      <c r="I1246" s="9" t="s">
        <v>20</v>
      </c>
      <c r="J1246" s="10"/>
      <c r="K1246" s="7"/>
      <c r="L1246" s="7"/>
      <c r="M1246" s="7"/>
      <c r="N1246" s="7"/>
      <c r="O1246" s="7"/>
    </row>
    <row r="1247" ht="22.5" hidden="1" customHeight="1">
      <c r="A1247" s="8">
        <v>45842.41308277778</v>
      </c>
      <c r="B1247" s="9"/>
      <c r="C1247" s="9" t="s">
        <v>48</v>
      </c>
      <c r="D1247" s="9" t="s">
        <v>51</v>
      </c>
      <c r="E1247" s="9" t="s">
        <v>17</v>
      </c>
      <c r="F1247" s="9" t="s">
        <v>35</v>
      </c>
      <c r="G1247" s="9" t="s">
        <v>19</v>
      </c>
      <c r="H1247" s="9" t="s">
        <v>17</v>
      </c>
      <c r="I1247" s="9" t="s">
        <v>20</v>
      </c>
      <c r="J1247" s="10"/>
      <c r="K1247" s="7"/>
      <c r="L1247" s="7"/>
      <c r="M1247" s="7"/>
      <c r="N1247" s="7"/>
      <c r="O1247" s="7"/>
    </row>
    <row r="1248" ht="22.5" hidden="1" customHeight="1">
      <c r="A1248" s="8">
        <v>45842.41390547453</v>
      </c>
      <c r="B1248" s="9"/>
      <c r="C1248" s="9" t="s">
        <v>48</v>
      </c>
      <c r="D1248" s="9" t="s">
        <v>155</v>
      </c>
      <c r="E1248" s="9" t="s">
        <v>17</v>
      </c>
      <c r="F1248" s="9" t="s">
        <v>17</v>
      </c>
      <c r="G1248" s="9" t="s">
        <v>24</v>
      </c>
      <c r="H1248" s="9" t="s">
        <v>17</v>
      </c>
      <c r="I1248" s="9" t="s">
        <v>20</v>
      </c>
      <c r="J1248" s="10"/>
      <c r="K1248" s="7"/>
      <c r="L1248" s="7"/>
      <c r="M1248" s="7"/>
      <c r="N1248" s="7"/>
      <c r="O1248" s="7"/>
    </row>
    <row r="1249" ht="22.5" hidden="1" customHeight="1">
      <c r="A1249" s="8">
        <v>45842.41605881944</v>
      </c>
      <c r="B1249" s="9"/>
      <c r="C1249" s="9" t="s">
        <v>48</v>
      </c>
      <c r="D1249" s="9" t="s">
        <v>227</v>
      </c>
      <c r="E1249" s="9" t="s">
        <v>17</v>
      </c>
      <c r="F1249" s="9" t="s">
        <v>17</v>
      </c>
      <c r="G1249" s="9" t="s">
        <v>24</v>
      </c>
      <c r="H1249" s="9" t="s">
        <v>25</v>
      </c>
      <c r="I1249" s="9" t="s">
        <v>117</v>
      </c>
      <c r="J1249" s="10"/>
      <c r="K1249" s="7"/>
      <c r="L1249" s="7"/>
      <c r="M1249" s="7"/>
      <c r="N1249" s="7"/>
      <c r="O1249" s="7"/>
    </row>
    <row r="1250" ht="22.5" hidden="1" customHeight="1">
      <c r="A1250" s="8">
        <v>45842.41644748843</v>
      </c>
      <c r="B1250" s="9"/>
      <c r="C1250" s="9" t="s">
        <v>48</v>
      </c>
      <c r="D1250" s="9" t="s">
        <v>253</v>
      </c>
      <c r="E1250" s="9" t="s">
        <v>17</v>
      </c>
      <c r="F1250" s="9" t="s">
        <v>17</v>
      </c>
      <c r="G1250" s="9" t="s">
        <v>24</v>
      </c>
      <c r="H1250" s="9" t="s">
        <v>62</v>
      </c>
      <c r="I1250" s="9" t="s">
        <v>93</v>
      </c>
      <c r="J1250" s="10"/>
      <c r="K1250" s="7"/>
      <c r="L1250" s="7"/>
      <c r="M1250" s="7"/>
      <c r="N1250" s="7"/>
      <c r="O1250" s="7"/>
    </row>
    <row r="1251" ht="22.5" hidden="1" customHeight="1">
      <c r="A1251" s="8">
        <v>45842.41717951389</v>
      </c>
      <c r="B1251" s="9"/>
      <c r="C1251" s="9" t="s">
        <v>48</v>
      </c>
      <c r="D1251" s="9" t="s">
        <v>352</v>
      </c>
      <c r="E1251" s="9" t="s">
        <v>61</v>
      </c>
      <c r="F1251" s="9" t="s">
        <v>39</v>
      </c>
      <c r="G1251" s="9" t="s">
        <v>24</v>
      </c>
      <c r="H1251" s="9" t="s">
        <v>17</v>
      </c>
      <c r="I1251" s="9" t="s">
        <v>20</v>
      </c>
      <c r="J1251" s="10"/>
      <c r="K1251" s="7"/>
      <c r="L1251" s="7"/>
      <c r="M1251" s="7"/>
      <c r="N1251" s="7"/>
      <c r="O1251" s="7"/>
    </row>
    <row r="1252" ht="22.5" hidden="1" customHeight="1">
      <c r="A1252" s="8">
        <v>45842.417741157406</v>
      </c>
      <c r="B1252" s="9"/>
      <c r="C1252" s="9" t="s">
        <v>48</v>
      </c>
      <c r="D1252" s="9" t="s">
        <v>332</v>
      </c>
      <c r="E1252" s="9" t="s">
        <v>17</v>
      </c>
      <c r="F1252" s="9" t="s">
        <v>17</v>
      </c>
      <c r="G1252" s="9" t="s">
        <v>24</v>
      </c>
      <c r="H1252" s="9" t="s">
        <v>17</v>
      </c>
      <c r="I1252" s="9" t="s">
        <v>20</v>
      </c>
      <c r="J1252" s="10"/>
      <c r="K1252" s="7"/>
      <c r="L1252" s="7"/>
      <c r="M1252" s="7"/>
      <c r="N1252" s="7"/>
      <c r="O1252" s="7"/>
    </row>
    <row r="1253" ht="22.5" hidden="1" customHeight="1">
      <c r="A1253" s="8">
        <v>45842.41816403935</v>
      </c>
      <c r="B1253" s="9"/>
      <c r="C1253" s="9" t="s">
        <v>48</v>
      </c>
      <c r="D1253" s="9" t="s">
        <v>108</v>
      </c>
      <c r="E1253" s="9" t="s">
        <v>17</v>
      </c>
      <c r="F1253" s="9" t="s">
        <v>17</v>
      </c>
      <c r="G1253" s="9" t="s">
        <v>24</v>
      </c>
      <c r="H1253" s="9" t="s">
        <v>17</v>
      </c>
      <c r="I1253" s="9" t="s">
        <v>20</v>
      </c>
      <c r="J1253" s="10"/>
      <c r="K1253" s="7"/>
      <c r="L1253" s="7"/>
      <c r="M1253" s="7"/>
      <c r="N1253" s="7"/>
      <c r="O1253" s="7"/>
    </row>
    <row r="1254" ht="22.5" hidden="1" customHeight="1">
      <c r="A1254" s="8">
        <v>45842.41882655093</v>
      </c>
      <c r="B1254" s="9"/>
      <c r="C1254" s="9" t="s">
        <v>48</v>
      </c>
      <c r="D1254" s="9" t="s">
        <v>261</v>
      </c>
      <c r="E1254" s="9" t="s">
        <v>17</v>
      </c>
      <c r="F1254" s="9" t="s">
        <v>17</v>
      </c>
      <c r="G1254" s="9" t="s">
        <v>24</v>
      </c>
      <c r="H1254" s="9" t="s">
        <v>17</v>
      </c>
      <c r="I1254" s="9" t="s">
        <v>20</v>
      </c>
      <c r="J1254" s="10"/>
      <c r="K1254" s="7"/>
      <c r="L1254" s="7"/>
      <c r="M1254" s="7"/>
      <c r="N1254" s="7"/>
      <c r="O1254" s="7"/>
    </row>
    <row r="1255" ht="22.5" hidden="1" customHeight="1">
      <c r="A1255" s="8">
        <v>45842.419567372686</v>
      </c>
      <c r="B1255" s="9"/>
      <c r="C1255" s="9" t="s">
        <v>48</v>
      </c>
      <c r="D1255" s="9" t="s">
        <v>354</v>
      </c>
      <c r="E1255" s="9" t="s">
        <v>46</v>
      </c>
      <c r="F1255" s="9" t="s">
        <v>17</v>
      </c>
      <c r="G1255" s="9" t="s">
        <v>19</v>
      </c>
      <c r="H1255" s="9" t="s">
        <v>62</v>
      </c>
      <c r="I1255" s="9" t="s">
        <v>34</v>
      </c>
      <c r="J1255" s="10"/>
      <c r="K1255" s="7"/>
      <c r="L1255" s="7"/>
      <c r="M1255" s="7"/>
      <c r="N1255" s="7"/>
      <c r="O1255" s="7"/>
    </row>
    <row r="1256" ht="22.5" hidden="1" customHeight="1">
      <c r="A1256" s="8">
        <v>45842.42058633102</v>
      </c>
      <c r="B1256" s="9"/>
      <c r="C1256" s="9" t="s">
        <v>48</v>
      </c>
      <c r="D1256" s="9" t="s">
        <v>23</v>
      </c>
      <c r="E1256" s="9" t="s">
        <v>17</v>
      </c>
      <c r="F1256" s="9" t="s">
        <v>17</v>
      </c>
      <c r="G1256" s="9" t="s">
        <v>24</v>
      </c>
      <c r="H1256" s="9" t="s">
        <v>25</v>
      </c>
      <c r="I1256" s="9" t="s">
        <v>316</v>
      </c>
      <c r="J1256" s="10"/>
      <c r="K1256" s="7"/>
      <c r="L1256" s="7"/>
      <c r="M1256" s="7"/>
      <c r="N1256" s="7"/>
      <c r="O1256" s="7"/>
    </row>
    <row r="1257" ht="22.5" hidden="1" customHeight="1">
      <c r="A1257" s="8">
        <v>45842.42163350694</v>
      </c>
      <c r="B1257" s="9"/>
      <c r="C1257" s="9" t="s">
        <v>48</v>
      </c>
      <c r="D1257" s="9" t="s">
        <v>259</v>
      </c>
      <c r="E1257" s="9" t="s">
        <v>46</v>
      </c>
      <c r="F1257" s="9" t="s">
        <v>17</v>
      </c>
      <c r="G1257" s="9" t="s">
        <v>24</v>
      </c>
      <c r="H1257" s="9" t="s">
        <v>17</v>
      </c>
      <c r="I1257" s="9" t="s">
        <v>20</v>
      </c>
      <c r="J1257" s="10"/>
      <c r="K1257" s="7"/>
      <c r="L1257" s="7"/>
      <c r="M1257" s="7"/>
      <c r="N1257" s="7"/>
      <c r="O1257" s="7"/>
    </row>
    <row r="1258" ht="22.5" hidden="1" customHeight="1">
      <c r="A1258" s="8">
        <v>45842.42190728009</v>
      </c>
      <c r="B1258" s="9"/>
      <c r="C1258" s="9" t="s">
        <v>48</v>
      </c>
      <c r="D1258" s="9" t="s">
        <v>198</v>
      </c>
      <c r="E1258" s="9" t="s">
        <v>17</v>
      </c>
      <c r="F1258" s="9" t="s">
        <v>17</v>
      </c>
      <c r="G1258" s="9" t="s">
        <v>24</v>
      </c>
      <c r="H1258" s="9" t="s">
        <v>17</v>
      </c>
      <c r="I1258" s="9" t="s">
        <v>20</v>
      </c>
      <c r="J1258" s="10"/>
      <c r="K1258" s="7"/>
      <c r="L1258" s="7"/>
      <c r="M1258" s="7"/>
      <c r="N1258" s="7"/>
      <c r="O1258" s="7"/>
    </row>
    <row r="1259" ht="22.5" hidden="1" customHeight="1">
      <c r="A1259" s="8">
        <v>45842.423155729164</v>
      </c>
      <c r="B1259" s="9"/>
      <c r="C1259" s="9" t="s">
        <v>48</v>
      </c>
      <c r="D1259" s="9" t="s">
        <v>243</v>
      </c>
      <c r="E1259" s="9" t="s">
        <v>17</v>
      </c>
      <c r="F1259" s="9" t="s">
        <v>17</v>
      </c>
      <c r="G1259" s="9" t="s">
        <v>24</v>
      </c>
      <c r="H1259" s="9" t="s">
        <v>17</v>
      </c>
      <c r="I1259" s="9" t="s">
        <v>20</v>
      </c>
      <c r="J1259" s="10"/>
      <c r="K1259" s="7"/>
      <c r="L1259" s="7"/>
      <c r="M1259" s="7"/>
      <c r="N1259" s="7"/>
      <c r="O1259" s="7"/>
    </row>
    <row r="1260" ht="22.5" hidden="1" customHeight="1">
      <c r="A1260" s="8">
        <v>45842.4234612963</v>
      </c>
      <c r="B1260" s="9"/>
      <c r="C1260" s="9" t="s">
        <v>48</v>
      </c>
      <c r="D1260" s="9" t="s">
        <v>254</v>
      </c>
      <c r="E1260" s="9" t="s">
        <v>17</v>
      </c>
      <c r="F1260" s="9" t="s">
        <v>17</v>
      </c>
      <c r="G1260" s="9" t="s">
        <v>24</v>
      </c>
      <c r="H1260" s="9" t="s">
        <v>17</v>
      </c>
      <c r="I1260" s="9" t="s">
        <v>20</v>
      </c>
      <c r="J1260" s="10"/>
      <c r="K1260" s="7"/>
      <c r="L1260" s="7"/>
      <c r="M1260" s="7"/>
      <c r="N1260" s="7"/>
      <c r="O1260" s="7"/>
    </row>
    <row r="1261" ht="22.5" hidden="1" customHeight="1">
      <c r="A1261" s="8">
        <v>45842.42405891204</v>
      </c>
      <c r="B1261" s="9"/>
      <c r="C1261" s="9" t="s">
        <v>48</v>
      </c>
      <c r="D1261" s="9" t="s">
        <v>133</v>
      </c>
      <c r="E1261" s="9" t="s">
        <v>17</v>
      </c>
      <c r="F1261" s="9" t="s">
        <v>17</v>
      </c>
      <c r="G1261" s="9" t="s">
        <v>24</v>
      </c>
      <c r="H1261" s="9" t="s">
        <v>25</v>
      </c>
      <c r="I1261" s="9" t="s">
        <v>355</v>
      </c>
      <c r="J1261" s="10"/>
      <c r="K1261" s="7"/>
      <c r="L1261" s="7"/>
      <c r="M1261" s="7"/>
      <c r="N1261" s="7"/>
      <c r="O1261" s="7"/>
    </row>
    <row r="1262" ht="22.5" hidden="1" customHeight="1">
      <c r="A1262" s="8">
        <v>45842.424674953705</v>
      </c>
      <c r="B1262" s="9"/>
      <c r="C1262" s="9" t="s">
        <v>48</v>
      </c>
      <c r="D1262" s="9" t="s">
        <v>335</v>
      </c>
      <c r="E1262" s="9" t="s">
        <v>17</v>
      </c>
      <c r="F1262" s="9" t="s">
        <v>17</v>
      </c>
      <c r="G1262" s="9" t="s">
        <v>24</v>
      </c>
      <c r="H1262" s="9" t="s">
        <v>25</v>
      </c>
      <c r="I1262" s="9" t="s">
        <v>34</v>
      </c>
      <c r="J1262" s="10"/>
      <c r="K1262" s="7"/>
      <c r="L1262" s="7"/>
      <c r="M1262" s="7"/>
      <c r="N1262" s="7"/>
      <c r="O1262" s="7"/>
    </row>
    <row r="1263" ht="22.5" hidden="1" customHeight="1">
      <c r="A1263" s="8">
        <v>45843.352637372685</v>
      </c>
      <c r="B1263" s="9"/>
      <c r="C1263" s="9" t="s">
        <v>53</v>
      </c>
      <c r="D1263" s="9" t="s">
        <v>192</v>
      </c>
      <c r="E1263" s="9" t="s">
        <v>17</v>
      </c>
      <c r="F1263" s="9" t="s">
        <v>17</v>
      </c>
      <c r="G1263" s="9" t="s">
        <v>24</v>
      </c>
      <c r="H1263" s="9" t="s">
        <v>17</v>
      </c>
      <c r="I1263" s="9" t="s">
        <v>20</v>
      </c>
      <c r="J1263" s="10"/>
      <c r="K1263" s="7"/>
      <c r="L1263" s="7"/>
      <c r="M1263" s="7"/>
      <c r="N1263" s="7"/>
      <c r="O1263" s="7"/>
    </row>
    <row r="1264" ht="22.5" hidden="1" customHeight="1">
      <c r="A1264" s="8">
        <v>45843.353284212964</v>
      </c>
      <c r="B1264" s="9"/>
      <c r="C1264" s="9" t="s">
        <v>53</v>
      </c>
      <c r="D1264" s="9" t="s">
        <v>133</v>
      </c>
      <c r="E1264" s="9" t="s">
        <v>17</v>
      </c>
      <c r="F1264" s="9" t="s">
        <v>17</v>
      </c>
      <c r="G1264" s="9" t="s">
        <v>24</v>
      </c>
      <c r="H1264" s="9" t="s">
        <v>17</v>
      </c>
      <c r="I1264" s="9" t="s">
        <v>355</v>
      </c>
      <c r="J1264" s="10"/>
      <c r="K1264" s="7"/>
      <c r="L1264" s="7"/>
      <c r="M1264" s="7"/>
      <c r="N1264" s="7"/>
      <c r="O1264" s="7"/>
    </row>
    <row r="1265" ht="22.5" hidden="1" customHeight="1">
      <c r="A1265" s="8">
        <v>45843.35388388889</v>
      </c>
      <c r="B1265" s="9"/>
      <c r="C1265" s="9" t="s">
        <v>53</v>
      </c>
      <c r="D1265" s="9" t="s">
        <v>255</v>
      </c>
      <c r="E1265" s="9" t="s">
        <v>30</v>
      </c>
      <c r="F1265" s="9" t="s">
        <v>18</v>
      </c>
      <c r="G1265" s="9" t="s">
        <v>24</v>
      </c>
      <c r="H1265" s="9" t="s">
        <v>22</v>
      </c>
      <c r="I1265" s="9" t="s">
        <v>20</v>
      </c>
      <c r="J1265" s="10"/>
      <c r="K1265" s="7"/>
      <c r="L1265" s="7"/>
      <c r="M1265" s="7"/>
      <c r="N1265" s="7"/>
      <c r="O1265" s="7"/>
    </row>
    <row r="1266" ht="22.5" hidden="1" customHeight="1">
      <c r="A1266" s="8">
        <v>45843.35659298611</v>
      </c>
      <c r="B1266" s="9"/>
      <c r="C1266" s="9" t="s">
        <v>53</v>
      </c>
      <c r="D1266" s="9" t="s">
        <v>23</v>
      </c>
      <c r="E1266" s="9" t="s">
        <v>17</v>
      </c>
      <c r="F1266" s="9" t="s">
        <v>39</v>
      </c>
      <c r="G1266" s="9" t="s">
        <v>40</v>
      </c>
      <c r="H1266" s="9" t="s">
        <v>25</v>
      </c>
      <c r="I1266" s="9" t="s">
        <v>316</v>
      </c>
      <c r="J1266" s="10"/>
      <c r="K1266" s="7"/>
      <c r="L1266" s="7"/>
      <c r="M1266" s="7"/>
      <c r="N1266" s="7"/>
      <c r="O1266" s="7"/>
    </row>
    <row r="1267" ht="22.5" hidden="1" customHeight="1">
      <c r="A1267" s="8">
        <v>45843.35695560185</v>
      </c>
      <c r="B1267" s="9"/>
      <c r="C1267" s="9" t="s">
        <v>53</v>
      </c>
      <c r="D1267" s="9" t="s">
        <v>261</v>
      </c>
      <c r="E1267" s="9" t="s">
        <v>17</v>
      </c>
      <c r="F1267" s="9" t="s">
        <v>17</v>
      </c>
      <c r="G1267" s="9" t="s">
        <v>24</v>
      </c>
      <c r="H1267" s="9" t="s">
        <v>17</v>
      </c>
      <c r="I1267" s="9" t="s">
        <v>20</v>
      </c>
      <c r="J1267" s="10"/>
      <c r="K1267" s="7"/>
      <c r="L1267" s="7"/>
      <c r="M1267" s="7"/>
      <c r="N1267" s="7"/>
      <c r="O1267" s="7"/>
    </row>
    <row r="1268" ht="22.5" hidden="1" customHeight="1">
      <c r="A1268" s="8">
        <v>45843.35743222223</v>
      </c>
      <c r="B1268" s="9"/>
      <c r="C1268" s="9" t="s">
        <v>53</v>
      </c>
      <c r="D1268" s="9" t="s">
        <v>198</v>
      </c>
      <c r="E1268" s="9" t="s">
        <v>46</v>
      </c>
      <c r="F1268" s="9" t="s">
        <v>35</v>
      </c>
      <c r="G1268" s="9" t="s">
        <v>24</v>
      </c>
      <c r="H1268" s="9" t="s">
        <v>17</v>
      </c>
      <c r="I1268" s="9" t="s">
        <v>20</v>
      </c>
      <c r="J1268" s="10"/>
      <c r="K1268" s="7"/>
      <c r="L1268" s="7"/>
      <c r="M1268" s="7"/>
      <c r="N1268" s="7"/>
      <c r="O1268" s="7"/>
    </row>
    <row r="1269" ht="22.5" hidden="1" customHeight="1">
      <c r="A1269" s="8">
        <v>45843.36093086806</v>
      </c>
      <c r="B1269" s="9"/>
      <c r="C1269" s="9" t="s">
        <v>53</v>
      </c>
      <c r="D1269" s="9" t="s">
        <v>356</v>
      </c>
      <c r="E1269" s="9" t="s">
        <v>30</v>
      </c>
      <c r="F1269" s="9" t="s">
        <v>18</v>
      </c>
      <c r="G1269" s="9" t="s">
        <v>24</v>
      </c>
      <c r="H1269" s="9" t="s">
        <v>17</v>
      </c>
      <c r="I1269" s="9" t="s">
        <v>20</v>
      </c>
      <c r="J1269" s="10"/>
      <c r="K1269" s="7"/>
      <c r="L1269" s="7"/>
      <c r="M1269" s="7"/>
      <c r="N1269" s="7"/>
      <c r="O1269" s="7"/>
    </row>
    <row r="1270" ht="22.5" hidden="1" customHeight="1">
      <c r="A1270" s="8">
        <v>45843.36164350694</v>
      </c>
      <c r="B1270" s="9"/>
      <c r="C1270" s="9" t="s">
        <v>53</v>
      </c>
      <c r="D1270" s="9" t="s">
        <v>260</v>
      </c>
      <c r="E1270" s="9" t="s">
        <v>17</v>
      </c>
      <c r="F1270" s="9" t="s">
        <v>17</v>
      </c>
      <c r="G1270" s="9" t="s">
        <v>24</v>
      </c>
      <c r="H1270" s="9" t="s">
        <v>17</v>
      </c>
      <c r="I1270" s="9" t="s">
        <v>20</v>
      </c>
      <c r="J1270" s="10"/>
      <c r="K1270" s="7"/>
      <c r="L1270" s="7"/>
      <c r="M1270" s="7"/>
      <c r="N1270" s="7"/>
      <c r="O1270" s="7"/>
    </row>
    <row r="1271" ht="22.5" hidden="1" customHeight="1">
      <c r="A1271" s="8">
        <v>45843.36487943287</v>
      </c>
      <c r="B1271" s="9"/>
      <c r="C1271" s="9" t="s">
        <v>53</v>
      </c>
      <c r="D1271" s="9" t="s">
        <v>51</v>
      </c>
      <c r="E1271" s="9" t="s">
        <v>17</v>
      </c>
      <c r="F1271" s="9" t="s">
        <v>17</v>
      </c>
      <c r="G1271" s="9" t="s">
        <v>24</v>
      </c>
      <c r="H1271" s="9" t="s">
        <v>17</v>
      </c>
      <c r="I1271" s="9" t="s">
        <v>20</v>
      </c>
      <c r="J1271" s="10"/>
      <c r="K1271" s="7"/>
      <c r="L1271" s="7"/>
      <c r="M1271" s="7"/>
      <c r="N1271" s="7"/>
      <c r="O1271" s="7"/>
    </row>
    <row r="1272" ht="22.5" hidden="1" customHeight="1">
      <c r="A1272" s="8">
        <v>45843.36817581019</v>
      </c>
      <c r="B1272" s="9"/>
      <c r="C1272" s="9" t="s">
        <v>53</v>
      </c>
      <c r="D1272" s="9" t="s">
        <v>352</v>
      </c>
      <c r="E1272" s="9" t="s">
        <v>17</v>
      </c>
      <c r="F1272" s="9" t="s">
        <v>43</v>
      </c>
      <c r="G1272" s="9" t="s">
        <v>19</v>
      </c>
      <c r="H1272" s="9" t="s">
        <v>17</v>
      </c>
      <c r="I1272" s="9" t="s">
        <v>20</v>
      </c>
      <c r="J1272" s="10"/>
      <c r="K1272" s="7"/>
      <c r="L1272" s="7"/>
      <c r="M1272" s="7"/>
      <c r="N1272" s="7"/>
      <c r="O1272" s="7"/>
    </row>
    <row r="1273" ht="22.5" hidden="1" customHeight="1">
      <c r="A1273" s="8">
        <v>45843.370443865744</v>
      </c>
      <c r="B1273" s="9"/>
      <c r="C1273" s="9" t="s">
        <v>53</v>
      </c>
      <c r="D1273" s="9" t="s">
        <v>332</v>
      </c>
      <c r="E1273" s="9" t="s">
        <v>17</v>
      </c>
      <c r="F1273" s="9" t="s">
        <v>17</v>
      </c>
      <c r="G1273" s="9" t="s">
        <v>24</v>
      </c>
      <c r="H1273" s="9" t="s">
        <v>17</v>
      </c>
      <c r="I1273" s="9" t="s">
        <v>20</v>
      </c>
      <c r="J1273" s="10"/>
      <c r="K1273" s="7"/>
      <c r="L1273" s="7"/>
      <c r="M1273" s="7"/>
      <c r="N1273" s="7"/>
      <c r="O1273" s="7"/>
    </row>
    <row r="1274" ht="22.5" hidden="1" customHeight="1">
      <c r="A1274" s="8">
        <v>45843.370910937505</v>
      </c>
      <c r="B1274" s="9"/>
      <c r="C1274" s="9" t="s">
        <v>53</v>
      </c>
      <c r="D1274" s="9" t="s">
        <v>253</v>
      </c>
      <c r="E1274" s="9" t="s">
        <v>17</v>
      </c>
      <c r="F1274" s="9" t="s">
        <v>17</v>
      </c>
      <c r="G1274" s="9" t="s">
        <v>24</v>
      </c>
      <c r="H1274" s="9" t="s">
        <v>25</v>
      </c>
      <c r="I1274" s="9" t="s">
        <v>311</v>
      </c>
      <c r="J1274" s="10"/>
      <c r="K1274" s="7"/>
      <c r="L1274" s="7"/>
      <c r="M1274" s="7"/>
      <c r="N1274" s="7"/>
      <c r="O1274" s="7"/>
    </row>
    <row r="1275" ht="22.5" hidden="1" customHeight="1">
      <c r="A1275" s="8">
        <v>45843.37120435185</v>
      </c>
      <c r="B1275" s="9"/>
      <c r="C1275" s="9" t="s">
        <v>53</v>
      </c>
      <c r="D1275" s="9" t="s">
        <v>194</v>
      </c>
      <c r="E1275" s="9" t="s">
        <v>17</v>
      </c>
      <c r="F1275" s="9" t="s">
        <v>17</v>
      </c>
      <c r="G1275" s="9" t="s">
        <v>19</v>
      </c>
      <c r="H1275" s="9" t="s">
        <v>17</v>
      </c>
      <c r="I1275" s="9" t="s">
        <v>20</v>
      </c>
      <c r="J1275" s="10"/>
      <c r="K1275" s="7"/>
      <c r="L1275" s="7"/>
      <c r="M1275" s="7"/>
      <c r="N1275" s="7"/>
      <c r="O1275" s="7"/>
    </row>
    <row r="1276" ht="22.5" hidden="1" customHeight="1">
      <c r="A1276" s="8">
        <v>45843.37152414352</v>
      </c>
      <c r="B1276" s="9"/>
      <c r="C1276" s="9" t="s">
        <v>53</v>
      </c>
      <c r="D1276" s="9" t="s">
        <v>254</v>
      </c>
      <c r="E1276" s="9" t="s">
        <v>17</v>
      </c>
      <c r="F1276" s="9" t="s">
        <v>17</v>
      </c>
      <c r="G1276" s="9" t="s">
        <v>24</v>
      </c>
      <c r="H1276" s="9" t="s">
        <v>17</v>
      </c>
      <c r="I1276" s="9" t="s">
        <v>20</v>
      </c>
      <c r="J1276" s="10"/>
      <c r="K1276" s="7"/>
      <c r="L1276" s="7"/>
      <c r="M1276" s="7"/>
      <c r="N1276" s="7"/>
      <c r="O1276" s="7"/>
    </row>
    <row r="1277" ht="22.5" hidden="1" customHeight="1">
      <c r="A1277" s="8">
        <v>45843.37195792824</v>
      </c>
      <c r="B1277" s="9"/>
      <c r="C1277" s="9" t="s">
        <v>53</v>
      </c>
      <c r="D1277" s="9" t="s">
        <v>54</v>
      </c>
      <c r="E1277" s="9" t="s">
        <v>17</v>
      </c>
      <c r="F1277" s="9" t="s">
        <v>43</v>
      </c>
      <c r="G1277" s="9" t="s">
        <v>19</v>
      </c>
      <c r="H1277" s="9" t="s">
        <v>17</v>
      </c>
      <c r="I1277" s="9" t="s">
        <v>20</v>
      </c>
      <c r="J1277" s="10"/>
      <c r="K1277" s="7"/>
      <c r="L1277" s="7"/>
      <c r="M1277" s="7"/>
      <c r="N1277" s="7"/>
      <c r="O1277" s="7"/>
    </row>
    <row r="1278" ht="22.5" hidden="1" customHeight="1">
      <c r="A1278" s="8">
        <v>45843.373356400465</v>
      </c>
      <c r="B1278" s="9"/>
      <c r="C1278" s="9" t="s">
        <v>53</v>
      </c>
      <c r="D1278" s="9" t="s">
        <v>108</v>
      </c>
      <c r="E1278" s="9" t="s">
        <v>17</v>
      </c>
      <c r="F1278" s="9" t="s">
        <v>17</v>
      </c>
      <c r="G1278" s="9" t="s">
        <v>24</v>
      </c>
      <c r="H1278" s="9" t="s">
        <v>17</v>
      </c>
      <c r="I1278" s="9" t="s">
        <v>20</v>
      </c>
      <c r="J1278" s="10"/>
      <c r="K1278" s="7"/>
      <c r="L1278" s="7"/>
      <c r="M1278" s="7"/>
      <c r="N1278" s="7"/>
      <c r="O1278" s="7"/>
    </row>
    <row r="1279" ht="22.5" hidden="1" customHeight="1">
      <c r="A1279" s="8">
        <v>45843.37371626157</v>
      </c>
      <c r="B1279" s="9"/>
      <c r="C1279" s="9" t="s">
        <v>53</v>
      </c>
      <c r="D1279" s="9" t="s">
        <v>227</v>
      </c>
      <c r="E1279" s="9" t="s">
        <v>17</v>
      </c>
      <c r="F1279" s="9" t="s">
        <v>17</v>
      </c>
      <c r="G1279" s="9" t="s">
        <v>24</v>
      </c>
      <c r="H1279" s="9" t="s">
        <v>17</v>
      </c>
      <c r="I1279" s="9" t="s">
        <v>20</v>
      </c>
      <c r="J1279" s="10"/>
      <c r="K1279" s="7"/>
      <c r="L1279" s="7"/>
      <c r="M1279" s="7"/>
      <c r="N1279" s="7"/>
      <c r="O1279" s="7"/>
    </row>
    <row r="1280" ht="22.5" hidden="1" customHeight="1">
      <c r="A1280" s="8">
        <v>45843.37623488426</v>
      </c>
      <c r="B1280" s="9"/>
      <c r="C1280" s="9" t="s">
        <v>53</v>
      </c>
      <c r="D1280" s="9" t="s">
        <v>243</v>
      </c>
      <c r="E1280" s="9" t="s">
        <v>17</v>
      </c>
      <c r="F1280" s="9" t="s">
        <v>17</v>
      </c>
      <c r="G1280" s="9" t="s">
        <v>24</v>
      </c>
      <c r="H1280" s="9" t="s">
        <v>17</v>
      </c>
      <c r="I1280" s="9" t="s">
        <v>20</v>
      </c>
      <c r="J1280" s="10"/>
      <c r="K1280" s="7"/>
      <c r="L1280" s="7"/>
      <c r="M1280" s="7"/>
      <c r="N1280" s="7"/>
      <c r="O1280" s="7"/>
    </row>
    <row r="1281" ht="22.5" hidden="1" customHeight="1">
      <c r="A1281" s="8">
        <v>45843.377013634265</v>
      </c>
      <c r="B1281" s="9"/>
      <c r="C1281" s="9" t="s">
        <v>53</v>
      </c>
      <c r="D1281" s="9" t="s">
        <v>155</v>
      </c>
      <c r="E1281" s="9" t="s">
        <v>17</v>
      </c>
      <c r="F1281" s="9" t="s">
        <v>43</v>
      </c>
      <c r="G1281" s="9" t="s">
        <v>19</v>
      </c>
      <c r="H1281" s="9" t="s">
        <v>17</v>
      </c>
      <c r="I1281" s="9" t="s">
        <v>20</v>
      </c>
      <c r="J1281" s="10"/>
      <c r="K1281" s="7"/>
      <c r="L1281" s="7"/>
      <c r="M1281" s="7"/>
      <c r="N1281" s="7"/>
      <c r="O1281" s="7"/>
    </row>
    <row r="1282" ht="22.5" hidden="1" customHeight="1">
      <c r="A1282" s="8">
        <v>45843.37911231481</v>
      </c>
      <c r="B1282" s="9"/>
      <c r="C1282" s="9" t="s">
        <v>53</v>
      </c>
      <c r="D1282" s="9" t="s">
        <v>350</v>
      </c>
      <c r="E1282" s="9" t="s">
        <v>17</v>
      </c>
      <c r="F1282" s="9" t="s">
        <v>18</v>
      </c>
      <c r="G1282" s="9" t="s">
        <v>19</v>
      </c>
      <c r="H1282" s="9" t="s">
        <v>17</v>
      </c>
      <c r="I1282" s="9" t="s">
        <v>20</v>
      </c>
      <c r="J1282" s="10"/>
      <c r="K1282" s="7"/>
      <c r="L1282" s="7"/>
      <c r="M1282" s="7"/>
      <c r="N1282" s="7"/>
      <c r="O1282" s="7"/>
    </row>
    <row r="1283" ht="22.5" hidden="1" customHeight="1">
      <c r="A1283" s="8">
        <v>45845.35144594907</v>
      </c>
      <c r="B1283" s="9"/>
      <c r="C1283" s="9" t="s">
        <v>86</v>
      </c>
      <c r="D1283" s="9" t="s">
        <v>261</v>
      </c>
      <c r="E1283" s="9" t="s">
        <v>17</v>
      </c>
      <c r="F1283" s="9" t="s">
        <v>17</v>
      </c>
      <c r="G1283" s="9" t="s">
        <v>24</v>
      </c>
      <c r="H1283" s="9" t="s">
        <v>17</v>
      </c>
      <c r="I1283" s="9" t="s">
        <v>20</v>
      </c>
      <c r="J1283" s="10"/>
      <c r="K1283" s="7"/>
      <c r="L1283" s="7"/>
      <c r="M1283" s="7"/>
      <c r="N1283" s="7"/>
      <c r="O1283" s="7"/>
    </row>
    <row r="1284" ht="22.5" hidden="1" customHeight="1">
      <c r="A1284" s="8">
        <v>45845.35171935185</v>
      </c>
      <c r="B1284" s="9"/>
      <c r="C1284" s="9" t="s">
        <v>86</v>
      </c>
      <c r="D1284" s="9" t="s">
        <v>354</v>
      </c>
      <c r="E1284" s="9" t="s">
        <v>30</v>
      </c>
      <c r="F1284" s="9" t="s">
        <v>17</v>
      </c>
      <c r="G1284" s="9" t="s">
        <v>24</v>
      </c>
      <c r="H1284" s="9" t="s">
        <v>22</v>
      </c>
      <c r="I1284" s="9" t="s">
        <v>20</v>
      </c>
      <c r="J1284" s="10"/>
      <c r="K1284" s="7"/>
      <c r="L1284" s="7"/>
      <c r="M1284" s="7"/>
      <c r="N1284" s="7"/>
      <c r="O1284" s="7"/>
    </row>
    <row r="1285" ht="22.5" hidden="1" customHeight="1">
      <c r="A1285" s="8">
        <v>45845.35253596064</v>
      </c>
      <c r="B1285" s="9"/>
      <c r="C1285" s="9" t="s">
        <v>86</v>
      </c>
      <c r="D1285" s="9" t="s">
        <v>23</v>
      </c>
      <c r="E1285" s="9" t="s">
        <v>17</v>
      </c>
      <c r="F1285" s="9" t="s">
        <v>17</v>
      </c>
      <c r="G1285" s="9" t="s">
        <v>24</v>
      </c>
      <c r="H1285" s="9" t="s">
        <v>17</v>
      </c>
      <c r="I1285" s="9" t="s">
        <v>20</v>
      </c>
      <c r="J1285" s="10"/>
      <c r="K1285" s="7"/>
      <c r="L1285" s="7"/>
      <c r="M1285" s="7"/>
      <c r="N1285" s="7"/>
      <c r="O1285" s="7"/>
    </row>
    <row r="1286" ht="22.5" hidden="1" customHeight="1">
      <c r="A1286" s="8">
        <v>45845.35287498843</v>
      </c>
      <c r="B1286" s="9"/>
      <c r="C1286" s="9" t="s">
        <v>86</v>
      </c>
      <c r="D1286" s="9" t="s">
        <v>133</v>
      </c>
      <c r="E1286" s="9" t="s">
        <v>17</v>
      </c>
      <c r="F1286" s="9" t="s">
        <v>17</v>
      </c>
      <c r="G1286" s="9" t="s">
        <v>24</v>
      </c>
      <c r="H1286" s="9" t="s">
        <v>17</v>
      </c>
      <c r="I1286" s="9" t="s">
        <v>20</v>
      </c>
      <c r="J1286" s="10"/>
      <c r="K1286" s="7"/>
      <c r="L1286" s="7"/>
      <c r="M1286" s="7"/>
      <c r="N1286" s="7"/>
      <c r="O1286" s="7"/>
    </row>
    <row r="1287" ht="22.5" hidden="1" customHeight="1">
      <c r="A1287" s="8">
        <v>45845.36007444444</v>
      </c>
      <c r="B1287" s="9"/>
      <c r="C1287" s="9" t="s">
        <v>86</v>
      </c>
      <c r="D1287" s="9" t="s">
        <v>357</v>
      </c>
      <c r="E1287" s="9" t="s">
        <v>30</v>
      </c>
      <c r="F1287" s="9" t="s">
        <v>18</v>
      </c>
      <c r="G1287" s="9" t="s">
        <v>24</v>
      </c>
      <c r="H1287" s="9" t="s">
        <v>22</v>
      </c>
      <c r="I1287" s="9" t="s">
        <v>20</v>
      </c>
      <c r="J1287" s="10"/>
      <c r="K1287" s="7"/>
      <c r="L1287" s="7"/>
      <c r="M1287" s="7"/>
      <c r="N1287" s="7"/>
      <c r="O1287" s="7"/>
    </row>
    <row r="1288" ht="22.5" hidden="1" customHeight="1">
      <c r="A1288" s="8">
        <v>45845.363343564815</v>
      </c>
      <c r="B1288" s="9"/>
      <c r="C1288" s="9" t="s">
        <v>86</v>
      </c>
      <c r="D1288" s="9" t="s">
        <v>198</v>
      </c>
      <c r="E1288" s="9" t="s">
        <v>17</v>
      </c>
      <c r="F1288" s="9" t="s">
        <v>35</v>
      </c>
      <c r="G1288" s="9" t="s">
        <v>24</v>
      </c>
      <c r="H1288" s="9" t="s">
        <v>25</v>
      </c>
      <c r="I1288" s="9" t="s">
        <v>28</v>
      </c>
      <c r="J1288" s="10"/>
      <c r="K1288" s="7"/>
      <c r="L1288" s="7"/>
      <c r="M1288" s="7"/>
      <c r="N1288" s="7"/>
      <c r="O1288" s="7"/>
    </row>
    <row r="1289" ht="22.5" hidden="1" customHeight="1">
      <c r="A1289" s="8">
        <v>45845.36581831018</v>
      </c>
      <c r="B1289" s="9"/>
      <c r="C1289" s="9" t="s">
        <v>86</v>
      </c>
      <c r="D1289" s="9" t="s">
        <v>255</v>
      </c>
      <c r="E1289" s="9" t="s">
        <v>30</v>
      </c>
      <c r="F1289" s="9" t="s">
        <v>18</v>
      </c>
      <c r="G1289" s="9" t="s">
        <v>24</v>
      </c>
      <c r="H1289" s="9" t="s">
        <v>22</v>
      </c>
      <c r="I1289" s="9" t="s">
        <v>20</v>
      </c>
      <c r="J1289" s="10"/>
      <c r="K1289" s="7"/>
      <c r="L1289" s="7"/>
      <c r="M1289" s="7"/>
      <c r="N1289" s="7"/>
      <c r="O1289" s="7"/>
    </row>
    <row r="1290" ht="22.5" hidden="1" customHeight="1">
      <c r="A1290" s="8">
        <v>45845.36596744213</v>
      </c>
      <c r="B1290" s="9"/>
      <c r="C1290" s="9" t="s">
        <v>86</v>
      </c>
      <c r="D1290" s="9" t="s">
        <v>260</v>
      </c>
      <c r="E1290" s="9" t="s">
        <v>17</v>
      </c>
      <c r="F1290" s="9" t="s">
        <v>17</v>
      </c>
      <c r="G1290" s="9" t="s">
        <v>24</v>
      </c>
      <c r="H1290" s="9" t="s">
        <v>17</v>
      </c>
      <c r="I1290" s="9" t="s">
        <v>20</v>
      </c>
      <c r="J1290" s="10"/>
      <c r="K1290" s="7"/>
      <c r="L1290" s="7"/>
      <c r="M1290" s="7"/>
      <c r="N1290" s="7"/>
      <c r="O1290" s="7"/>
    </row>
    <row r="1291" ht="22.5" hidden="1" customHeight="1">
      <c r="A1291" s="8">
        <v>45845.37286179398</v>
      </c>
      <c r="B1291" s="9"/>
      <c r="C1291" s="9" t="s">
        <v>86</v>
      </c>
      <c r="D1291" s="9" t="s">
        <v>51</v>
      </c>
      <c r="E1291" s="9" t="s">
        <v>17</v>
      </c>
      <c r="F1291" s="9" t="s">
        <v>17</v>
      </c>
      <c r="G1291" s="9" t="s">
        <v>24</v>
      </c>
      <c r="H1291" s="9" t="s">
        <v>17</v>
      </c>
      <c r="I1291" s="9" t="s">
        <v>20</v>
      </c>
      <c r="J1291" s="10"/>
      <c r="K1291" s="7"/>
      <c r="L1291" s="7"/>
      <c r="M1291" s="7"/>
      <c r="N1291" s="7"/>
      <c r="O1291" s="7"/>
    </row>
    <row r="1292" ht="22.5" hidden="1" customHeight="1">
      <c r="A1292" s="8">
        <v>45845.37454881944</v>
      </c>
      <c r="B1292" s="9"/>
      <c r="C1292" s="9" t="s">
        <v>86</v>
      </c>
      <c r="D1292" s="9" t="s">
        <v>352</v>
      </c>
      <c r="E1292" s="9" t="s">
        <v>30</v>
      </c>
      <c r="F1292" s="9" t="s">
        <v>18</v>
      </c>
      <c r="G1292" s="9" t="s">
        <v>24</v>
      </c>
      <c r="H1292" s="9" t="s">
        <v>17</v>
      </c>
      <c r="I1292" s="9" t="s">
        <v>20</v>
      </c>
      <c r="J1292" s="10"/>
      <c r="K1292" s="7"/>
      <c r="L1292" s="7"/>
      <c r="M1292" s="7"/>
      <c r="N1292" s="7"/>
      <c r="O1292" s="7"/>
    </row>
    <row r="1293" ht="22.5" hidden="1" customHeight="1">
      <c r="A1293" s="8">
        <v>45845.375136574075</v>
      </c>
      <c r="B1293" s="9"/>
      <c r="C1293" s="9" t="s">
        <v>86</v>
      </c>
      <c r="D1293" s="9" t="s">
        <v>258</v>
      </c>
      <c r="E1293" s="9" t="s">
        <v>17</v>
      </c>
      <c r="F1293" s="9" t="s">
        <v>17</v>
      </c>
      <c r="G1293" s="9" t="s">
        <v>24</v>
      </c>
      <c r="H1293" s="9" t="s">
        <v>17</v>
      </c>
      <c r="I1293" s="9" t="s">
        <v>20</v>
      </c>
      <c r="J1293" s="10"/>
      <c r="K1293" s="7"/>
      <c r="L1293" s="7"/>
      <c r="M1293" s="7"/>
      <c r="N1293" s="7"/>
      <c r="O1293" s="7"/>
    </row>
    <row r="1294" ht="22.5" hidden="1" customHeight="1">
      <c r="A1294" s="8">
        <v>45845.377805682874</v>
      </c>
      <c r="B1294" s="9"/>
      <c r="C1294" s="9" t="s">
        <v>86</v>
      </c>
      <c r="D1294" s="9" t="s">
        <v>210</v>
      </c>
      <c r="E1294" s="9" t="s">
        <v>17</v>
      </c>
      <c r="F1294" s="9" t="s">
        <v>43</v>
      </c>
      <c r="G1294" s="9" t="s">
        <v>24</v>
      </c>
      <c r="H1294" s="9" t="s">
        <v>25</v>
      </c>
      <c r="I1294" s="9" t="s">
        <v>50</v>
      </c>
      <c r="J1294" s="10"/>
      <c r="K1294" s="7"/>
      <c r="L1294" s="7"/>
      <c r="M1294" s="7"/>
      <c r="N1294" s="7"/>
      <c r="O1294" s="7"/>
    </row>
    <row r="1295" ht="22.5" hidden="1" customHeight="1">
      <c r="A1295" s="8">
        <v>45845.38030200232</v>
      </c>
      <c r="B1295" s="9"/>
      <c r="C1295" s="9" t="s">
        <v>86</v>
      </c>
      <c r="D1295" s="9" t="s">
        <v>54</v>
      </c>
      <c r="E1295" s="9" t="s">
        <v>44</v>
      </c>
      <c r="F1295" s="9" t="s">
        <v>18</v>
      </c>
      <c r="G1295" s="9" t="s">
        <v>19</v>
      </c>
      <c r="H1295" s="9" t="s">
        <v>17</v>
      </c>
      <c r="I1295" s="9" t="s">
        <v>358</v>
      </c>
      <c r="J1295" s="10"/>
      <c r="K1295" s="7"/>
      <c r="L1295" s="7"/>
      <c r="M1295" s="7"/>
      <c r="N1295" s="7"/>
      <c r="O1295" s="7"/>
    </row>
    <row r="1296" ht="22.5" hidden="1" customHeight="1">
      <c r="A1296" s="8">
        <v>45845.38374346065</v>
      </c>
      <c r="B1296" s="9"/>
      <c r="C1296" s="9" t="s">
        <v>86</v>
      </c>
      <c r="D1296" s="9" t="s">
        <v>359</v>
      </c>
      <c r="E1296" s="9" t="s">
        <v>17</v>
      </c>
      <c r="F1296" s="9" t="s">
        <v>17</v>
      </c>
      <c r="G1296" s="9" t="s">
        <v>24</v>
      </c>
      <c r="H1296" s="9" t="s">
        <v>17</v>
      </c>
      <c r="I1296" s="9" t="s">
        <v>20</v>
      </c>
      <c r="J1296" s="10"/>
      <c r="K1296" s="7"/>
      <c r="L1296" s="7"/>
      <c r="M1296" s="7"/>
      <c r="N1296" s="7"/>
      <c r="O1296" s="7"/>
    </row>
    <row r="1297" ht="22.5" hidden="1" customHeight="1">
      <c r="A1297" s="8">
        <v>45845.38442165509</v>
      </c>
      <c r="B1297" s="9"/>
      <c r="C1297" s="9" t="s">
        <v>86</v>
      </c>
      <c r="D1297" s="9" t="s">
        <v>168</v>
      </c>
      <c r="E1297" s="9" t="s">
        <v>17</v>
      </c>
      <c r="F1297" s="9" t="s">
        <v>17</v>
      </c>
      <c r="G1297" s="9" t="s">
        <v>24</v>
      </c>
      <c r="H1297" s="9" t="s">
        <v>25</v>
      </c>
      <c r="I1297" s="9" t="s">
        <v>89</v>
      </c>
      <c r="J1297" s="10"/>
      <c r="K1297" s="7"/>
      <c r="L1297" s="7"/>
      <c r="M1297" s="7"/>
      <c r="N1297" s="7"/>
      <c r="O1297" s="7"/>
    </row>
    <row r="1298" ht="22.5" hidden="1" customHeight="1">
      <c r="A1298" s="8">
        <v>45845.384966956015</v>
      </c>
      <c r="B1298" s="9"/>
      <c r="C1298" s="9" t="s">
        <v>86</v>
      </c>
      <c r="D1298" s="9" t="s">
        <v>253</v>
      </c>
      <c r="E1298" s="9" t="s">
        <v>17</v>
      </c>
      <c r="F1298" s="9" t="s">
        <v>17</v>
      </c>
      <c r="G1298" s="9" t="s">
        <v>24</v>
      </c>
      <c r="H1298" s="9" t="s">
        <v>25</v>
      </c>
      <c r="I1298" s="9" t="s">
        <v>360</v>
      </c>
      <c r="J1298" s="10"/>
      <c r="K1298" s="7"/>
      <c r="L1298" s="7"/>
      <c r="M1298" s="7"/>
      <c r="N1298" s="7"/>
      <c r="O1298" s="7"/>
    </row>
    <row r="1299" ht="22.5" hidden="1" customHeight="1">
      <c r="A1299" s="8">
        <v>45845.385584965275</v>
      </c>
      <c r="B1299" s="9"/>
      <c r="C1299" s="9" t="s">
        <v>86</v>
      </c>
      <c r="D1299" s="9" t="s">
        <v>254</v>
      </c>
      <c r="E1299" s="9" t="s">
        <v>17</v>
      </c>
      <c r="F1299" s="9" t="s">
        <v>17</v>
      </c>
      <c r="G1299" s="9" t="s">
        <v>24</v>
      </c>
      <c r="H1299" s="9" t="s">
        <v>17</v>
      </c>
      <c r="I1299" s="9" t="s">
        <v>20</v>
      </c>
      <c r="J1299" s="10"/>
      <c r="K1299" s="7"/>
      <c r="L1299" s="7"/>
      <c r="M1299" s="7"/>
      <c r="N1299" s="7"/>
      <c r="O1299" s="7"/>
    </row>
    <row r="1300" ht="22.5" hidden="1" customHeight="1">
      <c r="A1300" s="8">
        <v>45845.385857939815</v>
      </c>
      <c r="B1300" s="9"/>
      <c r="C1300" s="9" t="s">
        <v>86</v>
      </c>
      <c r="D1300" s="9" t="s">
        <v>108</v>
      </c>
      <c r="E1300" s="9" t="s">
        <v>17</v>
      </c>
      <c r="F1300" s="9" t="s">
        <v>17</v>
      </c>
      <c r="G1300" s="9" t="s">
        <v>24</v>
      </c>
      <c r="H1300" s="9" t="s">
        <v>17</v>
      </c>
      <c r="I1300" s="9" t="s">
        <v>20</v>
      </c>
      <c r="J1300" s="10"/>
      <c r="K1300" s="7"/>
      <c r="L1300" s="7"/>
      <c r="M1300" s="7"/>
      <c r="N1300" s="7"/>
      <c r="O1300" s="7"/>
    </row>
    <row r="1301" ht="22.5" hidden="1" customHeight="1">
      <c r="A1301" s="8">
        <v>45845.401014375</v>
      </c>
      <c r="B1301" s="9"/>
      <c r="C1301" s="9" t="s">
        <v>86</v>
      </c>
      <c r="D1301" s="9" t="s">
        <v>361</v>
      </c>
      <c r="E1301" s="9" t="s">
        <v>17</v>
      </c>
      <c r="F1301" s="9" t="s">
        <v>17</v>
      </c>
      <c r="G1301" s="9" t="s">
        <v>24</v>
      </c>
      <c r="H1301" s="9" t="s">
        <v>17</v>
      </c>
      <c r="I1301" s="9" t="s">
        <v>20</v>
      </c>
      <c r="J1301" s="10"/>
      <c r="K1301" s="7"/>
      <c r="L1301" s="7"/>
      <c r="M1301" s="7"/>
      <c r="N1301" s="7"/>
      <c r="O1301" s="7"/>
    </row>
    <row r="1302" ht="22.5" hidden="1" customHeight="1">
      <c r="A1302" s="8">
        <v>45845.40521527777</v>
      </c>
      <c r="B1302" s="9"/>
      <c r="C1302" s="9" t="s">
        <v>86</v>
      </c>
      <c r="D1302" s="9" t="s">
        <v>362</v>
      </c>
      <c r="E1302" s="9" t="s">
        <v>17</v>
      </c>
      <c r="F1302" s="9" t="s">
        <v>35</v>
      </c>
      <c r="G1302" s="9" t="s">
        <v>24</v>
      </c>
      <c r="H1302" s="9" t="s">
        <v>25</v>
      </c>
      <c r="I1302" s="9" t="s">
        <v>363</v>
      </c>
      <c r="J1302" s="10"/>
      <c r="K1302" s="7"/>
      <c r="L1302" s="7"/>
      <c r="M1302" s="7"/>
      <c r="N1302" s="7"/>
      <c r="O1302" s="7"/>
    </row>
    <row r="1303" ht="22.5" hidden="1" customHeight="1">
      <c r="A1303" s="8">
        <v>45846.36640666667</v>
      </c>
      <c r="B1303" s="9"/>
      <c r="C1303" s="9" t="s">
        <v>110</v>
      </c>
      <c r="D1303" s="9" t="s">
        <v>364</v>
      </c>
      <c r="E1303" s="9" t="s">
        <v>17</v>
      </c>
      <c r="F1303" s="9" t="s">
        <v>17</v>
      </c>
      <c r="G1303" s="9" t="s">
        <v>24</v>
      </c>
      <c r="H1303" s="9" t="s">
        <v>17</v>
      </c>
      <c r="I1303" s="9" t="s">
        <v>20</v>
      </c>
      <c r="J1303" s="10"/>
      <c r="K1303" s="7"/>
      <c r="L1303" s="7"/>
      <c r="M1303" s="7"/>
      <c r="N1303" s="7"/>
      <c r="O1303" s="7"/>
    </row>
    <row r="1304" ht="22.5" hidden="1" customHeight="1">
      <c r="A1304" s="8">
        <v>45846.36835951389</v>
      </c>
      <c r="B1304" s="9"/>
      <c r="C1304" s="9" t="s">
        <v>110</v>
      </c>
      <c r="D1304" s="9" t="s">
        <v>133</v>
      </c>
      <c r="E1304" s="9" t="s">
        <v>17</v>
      </c>
      <c r="F1304" s="9" t="s">
        <v>17</v>
      </c>
      <c r="G1304" s="9" t="s">
        <v>19</v>
      </c>
      <c r="H1304" s="9" t="s">
        <v>17</v>
      </c>
      <c r="I1304" s="9" t="s">
        <v>20</v>
      </c>
      <c r="J1304" s="10"/>
      <c r="K1304" s="7"/>
      <c r="L1304" s="7"/>
      <c r="M1304" s="7"/>
      <c r="N1304" s="7"/>
      <c r="O1304" s="7"/>
    </row>
    <row r="1305" ht="22.5" hidden="1" customHeight="1">
      <c r="A1305" s="8">
        <v>45846.368983437496</v>
      </c>
      <c r="B1305" s="9"/>
      <c r="C1305" s="9" t="s">
        <v>110</v>
      </c>
      <c r="D1305" s="9" t="s">
        <v>198</v>
      </c>
      <c r="E1305" s="9" t="s">
        <v>17</v>
      </c>
      <c r="F1305" s="9" t="s">
        <v>17</v>
      </c>
      <c r="G1305" s="9" t="s">
        <v>24</v>
      </c>
      <c r="H1305" s="9" t="s">
        <v>25</v>
      </c>
      <c r="I1305" s="9" t="s">
        <v>28</v>
      </c>
      <c r="J1305" s="10"/>
      <c r="K1305" s="7"/>
      <c r="L1305" s="7"/>
      <c r="M1305" s="7"/>
      <c r="N1305" s="7"/>
      <c r="O1305" s="7"/>
    </row>
    <row r="1306" ht="22.5" hidden="1" customHeight="1">
      <c r="A1306" s="8">
        <v>45846.369581226856</v>
      </c>
      <c r="B1306" s="9"/>
      <c r="C1306" s="9" t="s">
        <v>110</v>
      </c>
      <c r="D1306" s="9" t="s">
        <v>257</v>
      </c>
      <c r="E1306" s="9" t="s">
        <v>17</v>
      </c>
      <c r="F1306" s="9" t="s">
        <v>17</v>
      </c>
      <c r="G1306" s="9" t="s">
        <v>24</v>
      </c>
      <c r="H1306" s="9" t="s">
        <v>17</v>
      </c>
      <c r="I1306" s="9" t="s">
        <v>20</v>
      </c>
      <c r="J1306" s="10"/>
      <c r="K1306" s="7"/>
      <c r="L1306" s="7"/>
      <c r="M1306" s="7"/>
      <c r="N1306" s="7"/>
      <c r="O1306" s="7"/>
    </row>
    <row r="1307" ht="22.5" hidden="1" customHeight="1">
      <c r="A1307" s="8">
        <v>45846.37108866898</v>
      </c>
      <c r="B1307" s="9"/>
      <c r="C1307" s="9" t="s">
        <v>110</v>
      </c>
      <c r="D1307" s="9" t="s">
        <v>350</v>
      </c>
      <c r="E1307" s="9" t="s">
        <v>17</v>
      </c>
      <c r="F1307" s="9" t="s">
        <v>35</v>
      </c>
      <c r="G1307" s="9" t="s">
        <v>24</v>
      </c>
      <c r="H1307" s="9" t="s">
        <v>22</v>
      </c>
      <c r="I1307" s="9" t="s">
        <v>20</v>
      </c>
      <c r="J1307" s="10"/>
      <c r="K1307" s="7"/>
      <c r="L1307" s="7"/>
      <c r="M1307" s="7"/>
      <c r="N1307" s="7"/>
      <c r="O1307" s="7"/>
    </row>
    <row r="1308" ht="22.5" hidden="1" customHeight="1">
      <c r="A1308" s="8">
        <v>45846.37168835648</v>
      </c>
      <c r="B1308" s="9"/>
      <c r="C1308" s="9" t="s">
        <v>110</v>
      </c>
      <c r="D1308" s="9" t="s">
        <v>280</v>
      </c>
      <c r="E1308" s="9" t="s">
        <v>17</v>
      </c>
      <c r="F1308" s="9" t="s">
        <v>17</v>
      </c>
      <c r="G1308" s="9" t="s">
        <v>24</v>
      </c>
      <c r="H1308" s="9" t="s">
        <v>17</v>
      </c>
      <c r="I1308" s="9" t="s">
        <v>20</v>
      </c>
      <c r="J1308" s="10"/>
      <c r="K1308" s="7"/>
      <c r="L1308" s="7"/>
      <c r="M1308" s="7"/>
      <c r="N1308" s="7"/>
      <c r="O1308" s="7"/>
    </row>
    <row r="1309" ht="22.5" hidden="1" customHeight="1">
      <c r="A1309" s="8">
        <v>45846.3722555787</v>
      </c>
      <c r="B1309" s="9"/>
      <c r="C1309" s="9" t="s">
        <v>110</v>
      </c>
      <c r="D1309" s="9" t="s">
        <v>352</v>
      </c>
      <c r="E1309" s="9" t="s">
        <v>17</v>
      </c>
      <c r="F1309" s="9" t="s">
        <v>18</v>
      </c>
      <c r="G1309" s="9" t="s">
        <v>24</v>
      </c>
      <c r="H1309" s="9" t="s">
        <v>17</v>
      </c>
      <c r="I1309" s="9" t="s">
        <v>20</v>
      </c>
      <c r="J1309" s="10"/>
      <c r="K1309" s="7"/>
      <c r="L1309" s="7"/>
      <c r="M1309" s="7"/>
      <c r="N1309" s="7"/>
      <c r="O1309" s="7"/>
    </row>
    <row r="1310" ht="22.5" hidden="1" customHeight="1">
      <c r="A1310" s="8">
        <v>45846.37286836805</v>
      </c>
      <c r="B1310" s="9"/>
      <c r="C1310" s="9" t="s">
        <v>110</v>
      </c>
      <c r="D1310" s="9" t="s">
        <v>23</v>
      </c>
      <c r="E1310" s="9" t="s">
        <v>17</v>
      </c>
      <c r="F1310" s="9" t="s">
        <v>17</v>
      </c>
      <c r="G1310" s="9" t="s">
        <v>24</v>
      </c>
      <c r="H1310" s="9" t="s">
        <v>17</v>
      </c>
      <c r="I1310" s="9" t="s">
        <v>20</v>
      </c>
      <c r="J1310" s="10"/>
      <c r="K1310" s="7"/>
      <c r="L1310" s="7"/>
      <c r="M1310" s="7"/>
      <c r="N1310" s="7"/>
      <c r="O1310" s="7"/>
    </row>
    <row r="1311" ht="22.5" hidden="1" customHeight="1">
      <c r="A1311" s="8">
        <v>45846.3738416088</v>
      </c>
      <c r="B1311" s="9"/>
      <c r="C1311" s="9" t="s">
        <v>110</v>
      </c>
      <c r="D1311" s="9" t="s">
        <v>365</v>
      </c>
      <c r="E1311" s="9" t="s">
        <v>17</v>
      </c>
      <c r="F1311" s="9" t="s">
        <v>35</v>
      </c>
      <c r="G1311" s="9" t="s">
        <v>24</v>
      </c>
      <c r="H1311" s="9" t="s">
        <v>25</v>
      </c>
      <c r="I1311" s="9" t="s">
        <v>159</v>
      </c>
      <c r="J1311" s="10"/>
      <c r="K1311" s="7"/>
      <c r="L1311" s="7"/>
      <c r="M1311" s="7"/>
      <c r="N1311" s="7"/>
      <c r="O1311" s="7"/>
    </row>
    <row r="1312" ht="22.5" hidden="1" customHeight="1">
      <c r="A1312" s="8">
        <v>45846.37758965278</v>
      </c>
      <c r="B1312" s="9"/>
      <c r="C1312" s="9" t="s">
        <v>110</v>
      </c>
      <c r="D1312" s="9" t="s">
        <v>54</v>
      </c>
      <c r="E1312" s="9" t="s">
        <v>17</v>
      </c>
      <c r="F1312" s="9" t="s">
        <v>18</v>
      </c>
      <c r="G1312" s="9" t="s">
        <v>19</v>
      </c>
      <c r="H1312" s="9" t="s">
        <v>25</v>
      </c>
      <c r="I1312" s="9" t="s">
        <v>358</v>
      </c>
      <c r="J1312" s="10"/>
      <c r="K1312" s="7"/>
      <c r="L1312" s="7"/>
      <c r="M1312" s="7"/>
      <c r="N1312" s="7"/>
      <c r="O1312" s="7"/>
    </row>
    <row r="1313" ht="22.5" hidden="1" customHeight="1">
      <c r="A1313" s="8">
        <v>45846.378903310186</v>
      </c>
      <c r="B1313" s="9"/>
      <c r="C1313" s="9" t="s">
        <v>110</v>
      </c>
      <c r="D1313" s="9" t="s">
        <v>194</v>
      </c>
      <c r="E1313" s="9" t="s">
        <v>61</v>
      </c>
      <c r="F1313" s="9" t="s">
        <v>17</v>
      </c>
      <c r="G1313" s="9" t="s">
        <v>24</v>
      </c>
      <c r="H1313" s="9" t="s">
        <v>17</v>
      </c>
      <c r="I1313" s="9" t="s">
        <v>20</v>
      </c>
      <c r="J1313" s="10"/>
      <c r="K1313" s="7"/>
      <c r="L1313" s="7"/>
      <c r="M1313" s="7"/>
      <c r="N1313" s="7"/>
      <c r="O1313" s="7"/>
    </row>
    <row r="1314" ht="22.5" hidden="1" customHeight="1">
      <c r="A1314" s="8">
        <v>45846.38074449074</v>
      </c>
      <c r="B1314" s="9"/>
      <c r="C1314" s="9" t="s">
        <v>110</v>
      </c>
      <c r="D1314" s="9" t="s">
        <v>366</v>
      </c>
      <c r="E1314" s="9" t="s">
        <v>17</v>
      </c>
      <c r="F1314" s="9" t="s">
        <v>60</v>
      </c>
      <c r="G1314" s="9" t="s">
        <v>24</v>
      </c>
      <c r="H1314" s="9" t="s">
        <v>17</v>
      </c>
      <c r="I1314" s="9" t="s">
        <v>20</v>
      </c>
      <c r="J1314" s="10"/>
      <c r="K1314" s="7"/>
      <c r="L1314" s="7"/>
      <c r="M1314" s="7"/>
      <c r="N1314" s="7"/>
      <c r="O1314" s="7"/>
    </row>
    <row r="1315" ht="22.5" hidden="1" customHeight="1">
      <c r="A1315" s="8">
        <v>45846.38141104167</v>
      </c>
      <c r="B1315" s="9"/>
      <c r="C1315" s="9" t="s">
        <v>110</v>
      </c>
      <c r="D1315" s="9" t="s">
        <v>367</v>
      </c>
      <c r="E1315" s="9" t="s">
        <v>17</v>
      </c>
      <c r="F1315" s="9" t="s">
        <v>17</v>
      </c>
      <c r="G1315" s="9" t="s">
        <v>24</v>
      </c>
      <c r="H1315" s="9" t="s">
        <v>25</v>
      </c>
      <c r="I1315" s="9" t="s">
        <v>311</v>
      </c>
      <c r="J1315" s="10"/>
      <c r="K1315" s="7"/>
      <c r="L1315" s="7"/>
      <c r="M1315" s="7"/>
      <c r="N1315" s="7"/>
      <c r="O1315" s="7"/>
    </row>
    <row r="1316" ht="22.5" hidden="1" customHeight="1">
      <c r="A1316" s="8">
        <v>45846.38180320602</v>
      </c>
      <c r="B1316" s="9"/>
      <c r="C1316" s="9" t="s">
        <v>110</v>
      </c>
      <c r="D1316" s="9" t="s">
        <v>108</v>
      </c>
      <c r="E1316" s="9" t="s">
        <v>17</v>
      </c>
      <c r="F1316" s="9" t="s">
        <v>17</v>
      </c>
      <c r="G1316" s="9" t="s">
        <v>24</v>
      </c>
      <c r="H1316" s="9" t="s">
        <v>17</v>
      </c>
      <c r="I1316" s="9" t="s">
        <v>20</v>
      </c>
      <c r="J1316" s="10"/>
      <c r="K1316" s="7"/>
      <c r="L1316" s="7"/>
      <c r="M1316" s="7"/>
      <c r="N1316" s="7"/>
      <c r="O1316" s="7"/>
    </row>
    <row r="1317" ht="22.5" hidden="1" customHeight="1">
      <c r="A1317" s="8">
        <v>45846.385076782404</v>
      </c>
      <c r="B1317" s="9"/>
      <c r="C1317" s="9" t="s">
        <v>110</v>
      </c>
      <c r="D1317" s="9" t="s">
        <v>227</v>
      </c>
      <c r="E1317" s="9" t="s">
        <v>17</v>
      </c>
      <c r="F1317" s="9" t="s">
        <v>17</v>
      </c>
      <c r="G1317" s="9" t="s">
        <v>24</v>
      </c>
      <c r="H1317" s="9" t="s">
        <v>17</v>
      </c>
      <c r="I1317" s="9" t="s">
        <v>20</v>
      </c>
      <c r="J1317" s="10"/>
      <c r="K1317" s="7"/>
      <c r="L1317" s="7"/>
      <c r="M1317" s="7"/>
      <c r="N1317" s="7"/>
      <c r="O1317" s="7"/>
    </row>
    <row r="1318" ht="22.5" hidden="1" customHeight="1">
      <c r="A1318" s="8">
        <v>45846.38597916666</v>
      </c>
      <c r="B1318" s="9"/>
      <c r="C1318" s="9" t="s">
        <v>110</v>
      </c>
      <c r="D1318" s="9" t="s">
        <v>254</v>
      </c>
      <c r="E1318" s="9" t="s">
        <v>17</v>
      </c>
      <c r="F1318" s="9" t="s">
        <v>17</v>
      </c>
      <c r="G1318" s="9" t="s">
        <v>24</v>
      </c>
      <c r="H1318" s="9" t="s">
        <v>17</v>
      </c>
      <c r="I1318" s="9" t="s">
        <v>20</v>
      </c>
      <c r="J1318" s="10"/>
      <c r="K1318" s="7"/>
      <c r="L1318" s="7"/>
      <c r="M1318" s="7"/>
      <c r="N1318" s="7"/>
      <c r="O1318" s="7"/>
    </row>
    <row r="1319" ht="22.5" hidden="1" customHeight="1">
      <c r="A1319" s="8">
        <v>45846.38674761574</v>
      </c>
      <c r="B1319" s="9"/>
      <c r="C1319" s="9" t="s">
        <v>110</v>
      </c>
      <c r="D1319" s="9" t="s">
        <v>212</v>
      </c>
      <c r="E1319" s="9" t="s">
        <v>17</v>
      </c>
      <c r="F1319" s="9" t="s">
        <v>17</v>
      </c>
      <c r="G1319" s="9" t="s">
        <v>24</v>
      </c>
      <c r="H1319" s="9" t="s">
        <v>17</v>
      </c>
      <c r="I1319" s="9" t="s">
        <v>20</v>
      </c>
      <c r="J1319" s="10"/>
      <c r="K1319" s="7"/>
      <c r="L1319" s="7"/>
      <c r="M1319" s="7"/>
      <c r="N1319" s="7"/>
      <c r="O1319" s="7"/>
    </row>
    <row r="1320" ht="22.5" hidden="1" customHeight="1">
      <c r="A1320" s="8">
        <v>45846.38767545139</v>
      </c>
      <c r="B1320" s="9"/>
      <c r="C1320" s="9" t="s">
        <v>110</v>
      </c>
      <c r="D1320" s="9" t="s">
        <v>260</v>
      </c>
      <c r="E1320" s="9" t="s">
        <v>17</v>
      </c>
      <c r="F1320" s="9" t="s">
        <v>17</v>
      </c>
      <c r="G1320" s="9" t="s">
        <v>24</v>
      </c>
      <c r="H1320" s="9" t="s">
        <v>17</v>
      </c>
      <c r="I1320" s="9" t="s">
        <v>20</v>
      </c>
      <c r="J1320" s="10"/>
      <c r="K1320" s="7"/>
      <c r="L1320" s="7"/>
      <c r="M1320" s="7"/>
      <c r="N1320" s="7"/>
      <c r="O1320" s="7"/>
    </row>
    <row r="1321" ht="22.5" hidden="1" customHeight="1">
      <c r="A1321" s="8">
        <v>45846.38846944444</v>
      </c>
      <c r="B1321" s="9"/>
      <c r="C1321" s="9" t="s">
        <v>110</v>
      </c>
      <c r="D1321" s="9" t="s">
        <v>255</v>
      </c>
      <c r="E1321" s="9" t="s">
        <v>17</v>
      </c>
      <c r="F1321" s="9" t="s">
        <v>17</v>
      </c>
      <c r="G1321" s="9" t="s">
        <v>24</v>
      </c>
      <c r="H1321" s="9" t="s">
        <v>17</v>
      </c>
      <c r="I1321" s="9" t="s">
        <v>20</v>
      </c>
      <c r="J1321" s="10"/>
      <c r="K1321" s="7"/>
      <c r="L1321" s="7"/>
      <c r="M1321" s="7"/>
      <c r="N1321" s="7"/>
      <c r="O1321" s="7"/>
    </row>
    <row r="1322" ht="22.5" hidden="1" customHeight="1">
      <c r="A1322" s="8">
        <v>45846.38927555556</v>
      </c>
      <c r="B1322" s="9"/>
      <c r="C1322" s="9" t="s">
        <v>110</v>
      </c>
      <c r="D1322" s="9" t="s">
        <v>155</v>
      </c>
      <c r="E1322" s="9" t="s">
        <v>17</v>
      </c>
      <c r="F1322" s="9" t="s">
        <v>17</v>
      </c>
      <c r="G1322" s="9" t="s">
        <v>24</v>
      </c>
      <c r="H1322" s="9" t="s">
        <v>17</v>
      </c>
      <c r="I1322" s="9" t="s">
        <v>20</v>
      </c>
      <c r="J1322" s="10"/>
      <c r="K1322" s="7"/>
      <c r="L1322" s="7"/>
      <c r="M1322" s="7"/>
      <c r="N1322" s="7"/>
      <c r="O1322" s="7"/>
    </row>
    <row r="1323" ht="22.5" hidden="1" customHeight="1">
      <c r="A1323" s="8">
        <v>45846.403480787034</v>
      </c>
      <c r="B1323" s="9"/>
      <c r="C1323" s="9" t="s">
        <v>110</v>
      </c>
      <c r="D1323" s="9" t="s">
        <v>362</v>
      </c>
      <c r="E1323" s="9" t="s">
        <v>17</v>
      </c>
      <c r="F1323" s="9" t="s">
        <v>17</v>
      </c>
      <c r="G1323" s="9" t="s">
        <v>24</v>
      </c>
      <c r="H1323" s="9" t="s">
        <v>17</v>
      </c>
      <c r="I1323" s="9" t="s">
        <v>20</v>
      </c>
      <c r="J1323" s="10"/>
      <c r="K1323" s="7"/>
      <c r="L1323" s="7"/>
      <c r="M1323" s="7"/>
      <c r="N1323" s="7"/>
      <c r="O1323" s="7"/>
    </row>
    <row r="1324" ht="22.5" hidden="1" customHeight="1">
      <c r="A1324" s="8">
        <v>45846.405814618054</v>
      </c>
      <c r="B1324" s="9"/>
      <c r="C1324" s="9" t="s">
        <v>110</v>
      </c>
      <c r="D1324" s="9" t="s">
        <v>332</v>
      </c>
      <c r="E1324" s="9" t="s">
        <v>17</v>
      </c>
      <c r="F1324" s="9" t="s">
        <v>17</v>
      </c>
      <c r="G1324" s="9" t="s">
        <v>24</v>
      </c>
      <c r="H1324" s="9" t="s">
        <v>17</v>
      </c>
      <c r="I1324" s="9" t="s">
        <v>20</v>
      </c>
      <c r="J1324" s="10"/>
      <c r="K1324" s="7"/>
      <c r="L1324" s="7"/>
      <c r="M1324" s="7"/>
      <c r="N1324" s="7"/>
      <c r="O1324" s="7"/>
    </row>
    <row r="1325" ht="22.5" hidden="1" customHeight="1">
      <c r="A1325" s="8">
        <v>45847.363051736116</v>
      </c>
      <c r="B1325" s="9"/>
      <c r="C1325" s="9" t="s">
        <v>15</v>
      </c>
      <c r="D1325" s="9" t="s">
        <v>133</v>
      </c>
      <c r="E1325" s="9" t="s">
        <v>17</v>
      </c>
      <c r="F1325" s="9" t="s">
        <v>17</v>
      </c>
      <c r="G1325" s="9" t="s">
        <v>24</v>
      </c>
      <c r="H1325" s="9" t="s">
        <v>25</v>
      </c>
      <c r="I1325" s="9" t="s">
        <v>41</v>
      </c>
      <c r="J1325" s="10"/>
      <c r="K1325" s="7"/>
      <c r="L1325" s="7"/>
      <c r="M1325" s="7"/>
      <c r="N1325" s="7"/>
      <c r="O1325" s="7"/>
    </row>
    <row r="1326" ht="22.5" hidden="1" customHeight="1">
      <c r="A1326" s="8">
        <v>45847.373582291664</v>
      </c>
      <c r="B1326" s="9"/>
      <c r="C1326" s="9" t="s">
        <v>15</v>
      </c>
      <c r="D1326" s="9" t="s">
        <v>54</v>
      </c>
      <c r="E1326" s="9" t="s">
        <v>17</v>
      </c>
      <c r="F1326" s="9" t="s">
        <v>43</v>
      </c>
      <c r="G1326" s="9" t="s">
        <v>19</v>
      </c>
      <c r="H1326" s="9" t="s">
        <v>25</v>
      </c>
      <c r="I1326" s="9" t="s">
        <v>37</v>
      </c>
      <c r="J1326" s="10"/>
      <c r="K1326" s="7"/>
      <c r="L1326" s="7"/>
      <c r="M1326" s="7"/>
      <c r="N1326" s="7"/>
      <c r="O1326" s="7"/>
    </row>
    <row r="1327" ht="22.5" hidden="1" customHeight="1">
      <c r="A1327" s="8">
        <v>45847.37419537037</v>
      </c>
      <c r="B1327" s="9"/>
      <c r="C1327" s="9" t="s">
        <v>15</v>
      </c>
      <c r="D1327" s="9" t="s">
        <v>254</v>
      </c>
      <c r="E1327" s="9" t="s">
        <v>17</v>
      </c>
      <c r="F1327" s="9" t="s">
        <v>17</v>
      </c>
      <c r="G1327" s="9" t="s">
        <v>24</v>
      </c>
      <c r="H1327" s="9" t="s">
        <v>17</v>
      </c>
      <c r="I1327" s="9" t="s">
        <v>20</v>
      </c>
      <c r="J1327" s="10"/>
      <c r="K1327" s="7"/>
      <c r="L1327" s="7"/>
      <c r="M1327" s="7"/>
      <c r="N1327" s="7"/>
      <c r="O1327" s="7"/>
    </row>
    <row r="1328" ht="22.5" hidden="1" customHeight="1">
      <c r="A1328" s="8">
        <v>45847.37673640046</v>
      </c>
      <c r="B1328" s="9"/>
      <c r="C1328" s="9" t="s">
        <v>15</v>
      </c>
      <c r="D1328" s="9" t="s">
        <v>198</v>
      </c>
      <c r="E1328" s="9" t="s">
        <v>17</v>
      </c>
      <c r="F1328" s="9" t="s">
        <v>18</v>
      </c>
      <c r="G1328" s="9" t="s">
        <v>24</v>
      </c>
      <c r="H1328" s="9" t="s">
        <v>25</v>
      </c>
      <c r="I1328" s="9" t="s">
        <v>28</v>
      </c>
      <c r="J1328" s="10"/>
      <c r="K1328" s="7"/>
      <c r="L1328" s="7"/>
      <c r="M1328" s="7"/>
      <c r="N1328" s="7"/>
      <c r="O1328" s="7"/>
    </row>
    <row r="1329" ht="22.5" hidden="1" customHeight="1">
      <c r="A1329" s="8">
        <v>45847.38484990741</v>
      </c>
      <c r="B1329" s="9"/>
      <c r="C1329" s="9" t="s">
        <v>15</v>
      </c>
      <c r="D1329" s="9" t="s">
        <v>352</v>
      </c>
      <c r="E1329" s="9" t="s">
        <v>17</v>
      </c>
      <c r="F1329" s="9" t="s">
        <v>17</v>
      </c>
      <c r="G1329" s="9" t="s">
        <v>24</v>
      </c>
      <c r="H1329" s="9" t="s">
        <v>17</v>
      </c>
      <c r="I1329" s="9" t="s">
        <v>20</v>
      </c>
      <c r="J1329" s="10"/>
      <c r="K1329" s="7"/>
      <c r="L1329" s="7"/>
      <c r="M1329" s="7"/>
      <c r="N1329" s="7"/>
      <c r="O1329" s="7"/>
    </row>
    <row r="1330" ht="22.5" hidden="1" customHeight="1">
      <c r="A1330" s="8">
        <v>45847.385233946756</v>
      </c>
      <c r="B1330" s="9"/>
      <c r="C1330" s="9" t="s">
        <v>15</v>
      </c>
      <c r="D1330" s="9" t="s">
        <v>261</v>
      </c>
      <c r="E1330" s="9" t="s">
        <v>17</v>
      </c>
      <c r="F1330" s="9" t="s">
        <v>17</v>
      </c>
      <c r="G1330" s="9" t="s">
        <v>24</v>
      </c>
      <c r="H1330" s="9" t="s">
        <v>17</v>
      </c>
      <c r="I1330" s="9" t="s">
        <v>20</v>
      </c>
      <c r="J1330" s="10"/>
      <c r="K1330" s="7"/>
      <c r="L1330" s="7"/>
      <c r="M1330" s="7"/>
      <c r="N1330" s="7"/>
      <c r="O1330" s="7"/>
    </row>
    <row r="1331" ht="22.5" hidden="1" customHeight="1">
      <c r="A1331" s="8">
        <v>45847.38555730324</v>
      </c>
      <c r="B1331" s="9"/>
      <c r="C1331" s="9" t="s">
        <v>15</v>
      </c>
      <c r="D1331" s="9" t="s">
        <v>155</v>
      </c>
      <c r="E1331" s="9" t="s">
        <v>17</v>
      </c>
      <c r="F1331" s="9" t="s">
        <v>17</v>
      </c>
      <c r="G1331" s="9" t="s">
        <v>24</v>
      </c>
      <c r="H1331" s="9" t="s">
        <v>17</v>
      </c>
      <c r="I1331" s="9" t="s">
        <v>20</v>
      </c>
      <c r="J1331" s="10"/>
      <c r="K1331" s="7"/>
      <c r="L1331" s="7"/>
      <c r="M1331" s="7"/>
      <c r="N1331" s="7"/>
      <c r="O1331" s="7"/>
    </row>
    <row r="1332" ht="22.5" hidden="1" customHeight="1">
      <c r="A1332" s="8">
        <v>45847.38631158565</v>
      </c>
      <c r="B1332" s="9"/>
      <c r="C1332" s="9" t="s">
        <v>15</v>
      </c>
      <c r="D1332" s="9" t="s">
        <v>365</v>
      </c>
      <c r="E1332" s="9" t="s">
        <v>30</v>
      </c>
      <c r="F1332" s="9" t="s">
        <v>18</v>
      </c>
      <c r="G1332" s="9" t="s">
        <v>19</v>
      </c>
      <c r="H1332" s="9" t="s">
        <v>17</v>
      </c>
      <c r="I1332" s="9" t="s">
        <v>20</v>
      </c>
      <c r="J1332" s="10"/>
      <c r="K1332" s="7"/>
      <c r="L1332" s="7"/>
      <c r="M1332" s="7"/>
      <c r="N1332" s="7"/>
      <c r="O1332" s="7"/>
    </row>
    <row r="1333" ht="22.5" hidden="1" customHeight="1">
      <c r="A1333" s="8">
        <v>45847.386653229165</v>
      </c>
      <c r="B1333" s="9"/>
      <c r="C1333" s="9" t="s">
        <v>15</v>
      </c>
      <c r="D1333" s="9" t="s">
        <v>23</v>
      </c>
      <c r="E1333" s="9" t="s">
        <v>17</v>
      </c>
      <c r="F1333" s="9" t="s">
        <v>17</v>
      </c>
      <c r="G1333" s="9" t="s">
        <v>24</v>
      </c>
      <c r="H1333" s="9" t="s">
        <v>17</v>
      </c>
      <c r="I1333" s="9" t="s">
        <v>20</v>
      </c>
      <c r="J1333" s="10"/>
      <c r="K1333" s="7"/>
      <c r="L1333" s="7"/>
      <c r="M1333" s="7"/>
      <c r="N1333" s="7"/>
      <c r="O1333" s="7"/>
    </row>
    <row r="1334" ht="22.5" hidden="1" customHeight="1">
      <c r="A1334" s="8">
        <v>45847.387027916666</v>
      </c>
      <c r="B1334" s="9"/>
      <c r="C1334" s="9" t="s">
        <v>15</v>
      </c>
      <c r="D1334" s="9" t="s">
        <v>227</v>
      </c>
      <c r="E1334" s="9" t="s">
        <v>17</v>
      </c>
      <c r="F1334" s="9" t="s">
        <v>17</v>
      </c>
      <c r="G1334" s="9" t="s">
        <v>24</v>
      </c>
      <c r="H1334" s="9" t="s">
        <v>17</v>
      </c>
      <c r="I1334" s="9" t="s">
        <v>20</v>
      </c>
      <c r="J1334" s="10"/>
      <c r="K1334" s="7"/>
      <c r="L1334" s="7"/>
      <c r="M1334" s="7"/>
      <c r="N1334" s="7"/>
      <c r="O1334" s="7"/>
    </row>
    <row r="1335" ht="22.5" hidden="1" customHeight="1">
      <c r="A1335" s="8">
        <v>45847.387461087965</v>
      </c>
      <c r="B1335" s="9"/>
      <c r="C1335" s="9" t="s">
        <v>15</v>
      </c>
      <c r="D1335" s="9" t="s">
        <v>108</v>
      </c>
      <c r="E1335" s="9" t="s">
        <v>17</v>
      </c>
      <c r="F1335" s="9" t="s">
        <v>17</v>
      </c>
      <c r="G1335" s="9" t="s">
        <v>24</v>
      </c>
      <c r="H1335" s="9" t="s">
        <v>17</v>
      </c>
      <c r="I1335" s="9" t="s">
        <v>20</v>
      </c>
      <c r="J1335" s="10"/>
      <c r="K1335" s="7"/>
      <c r="L1335" s="7"/>
      <c r="M1335" s="7"/>
      <c r="N1335" s="7"/>
      <c r="O1335" s="7"/>
    </row>
    <row r="1336" ht="22.5" hidden="1" customHeight="1">
      <c r="A1336" s="8">
        <v>45847.38812395833</v>
      </c>
      <c r="B1336" s="9"/>
      <c r="C1336" s="9" t="s">
        <v>15</v>
      </c>
      <c r="D1336" s="9" t="s">
        <v>253</v>
      </c>
      <c r="E1336" s="9" t="s">
        <v>46</v>
      </c>
      <c r="F1336" s="9" t="s">
        <v>43</v>
      </c>
      <c r="G1336" s="9" t="s">
        <v>24</v>
      </c>
      <c r="H1336" s="9" t="s">
        <v>25</v>
      </c>
      <c r="I1336" s="9" t="s">
        <v>323</v>
      </c>
      <c r="J1336" s="10"/>
      <c r="K1336" s="7"/>
      <c r="L1336" s="7"/>
      <c r="M1336" s="7"/>
      <c r="N1336" s="7"/>
      <c r="O1336" s="7"/>
    </row>
    <row r="1337" ht="22.5" hidden="1" customHeight="1">
      <c r="A1337" s="8">
        <v>45847.38840769676</v>
      </c>
      <c r="B1337" s="9"/>
      <c r="C1337" s="9" t="s">
        <v>15</v>
      </c>
      <c r="D1337" s="9" t="s">
        <v>243</v>
      </c>
      <c r="E1337" s="9" t="s">
        <v>17</v>
      </c>
      <c r="F1337" s="9" t="s">
        <v>17</v>
      </c>
      <c r="G1337" s="9" t="s">
        <v>24</v>
      </c>
      <c r="H1337" s="9" t="s">
        <v>17</v>
      </c>
      <c r="I1337" s="9" t="s">
        <v>20</v>
      </c>
      <c r="J1337" s="10"/>
      <c r="K1337" s="7"/>
      <c r="L1337" s="7"/>
      <c r="M1337" s="7"/>
      <c r="N1337" s="7"/>
      <c r="O1337" s="7"/>
    </row>
    <row r="1338" ht="22.5" hidden="1" customHeight="1">
      <c r="A1338" s="8">
        <v>45847.38891175926</v>
      </c>
      <c r="B1338" s="9"/>
      <c r="C1338" s="9" t="s">
        <v>15</v>
      </c>
      <c r="D1338" s="9" t="s">
        <v>194</v>
      </c>
      <c r="E1338" s="9" t="s">
        <v>17</v>
      </c>
      <c r="F1338" s="9" t="s">
        <v>17</v>
      </c>
      <c r="G1338" s="9" t="s">
        <v>19</v>
      </c>
      <c r="H1338" s="9" t="s">
        <v>17</v>
      </c>
      <c r="I1338" s="9" t="s">
        <v>20</v>
      </c>
      <c r="J1338" s="10"/>
      <c r="K1338" s="7"/>
      <c r="L1338" s="7"/>
      <c r="M1338" s="7"/>
      <c r="N1338" s="7"/>
      <c r="O1338" s="7"/>
    </row>
    <row r="1339" ht="22.5" hidden="1" customHeight="1">
      <c r="A1339" s="8">
        <v>45847.4003980787</v>
      </c>
      <c r="B1339" s="9"/>
      <c r="C1339" s="9" t="s">
        <v>15</v>
      </c>
      <c r="D1339" s="9" t="s">
        <v>249</v>
      </c>
      <c r="E1339" s="9" t="s">
        <v>46</v>
      </c>
      <c r="F1339" s="9" t="s">
        <v>43</v>
      </c>
      <c r="G1339" s="9" t="s">
        <v>19</v>
      </c>
      <c r="H1339" s="9" t="s">
        <v>17</v>
      </c>
      <c r="I1339" s="9" t="s">
        <v>20</v>
      </c>
      <c r="J1339" s="10"/>
      <c r="K1339" s="7"/>
      <c r="L1339" s="7"/>
      <c r="M1339" s="7"/>
      <c r="N1339" s="7"/>
      <c r="O1339" s="7"/>
    </row>
    <row r="1340" ht="22.5" hidden="1" customHeight="1">
      <c r="A1340" s="8">
        <v>45847.40095924769</v>
      </c>
      <c r="B1340" s="9"/>
      <c r="C1340" s="9" t="s">
        <v>15</v>
      </c>
      <c r="D1340" s="9" t="s">
        <v>361</v>
      </c>
      <c r="E1340" s="9" t="s">
        <v>61</v>
      </c>
      <c r="F1340" s="9" t="s">
        <v>17</v>
      </c>
      <c r="G1340" s="9" t="s">
        <v>24</v>
      </c>
      <c r="H1340" s="9" t="s">
        <v>25</v>
      </c>
      <c r="I1340" s="9" t="s">
        <v>368</v>
      </c>
      <c r="J1340" s="10"/>
      <c r="K1340" s="7"/>
      <c r="L1340" s="7"/>
      <c r="M1340" s="7"/>
      <c r="N1340" s="7"/>
      <c r="O1340" s="7"/>
    </row>
    <row r="1341" ht="22.5" hidden="1" customHeight="1">
      <c r="A1341" s="8">
        <v>45847.40137929398</v>
      </c>
      <c r="B1341" s="9"/>
      <c r="C1341" s="9" t="s">
        <v>15</v>
      </c>
      <c r="D1341" s="9" t="s">
        <v>350</v>
      </c>
      <c r="E1341" s="9" t="s">
        <v>17</v>
      </c>
      <c r="F1341" s="9" t="s">
        <v>17</v>
      </c>
      <c r="G1341" s="9" t="s">
        <v>24</v>
      </c>
      <c r="H1341" s="9" t="s">
        <v>17</v>
      </c>
      <c r="I1341" s="9" t="s">
        <v>20</v>
      </c>
      <c r="J1341" s="10"/>
      <c r="K1341" s="7"/>
      <c r="L1341" s="7"/>
      <c r="M1341" s="7"/>
      <c r="N1341" s="7"/>
      <c r="O1341" s="7"/>
    </row>
    <row r="1342" ht="22.5" hidden="1" customHeight="1">
      <c r="A1342" s="8">
        <v>45847.406062071765</v>
      </c>
      <c r="B1342" s="9"/>
      <c r="C1342" s="9" t="s">
        <v>15</v>
      </c>
      <c r="D1342" s="9" t="s">
        <v>255</v>
      </c>
      <c r="E1342" s="9" t="s">
        <v>17</v>
      </c>
      <c r="F1342" s="9" t="s">
        <v>17</v>
      </c>
      <c r="G1342" s="9" t="s">
        <v>24</v>
      </c>
      <c r="H1342" s="9" t="s">
        <v>17</v>
      </c>
      <c r="I1342" s="9" t="s">
        <v>20</v>
      </c>
      <c r="J1342" s="10"/>
      <c r="K1342" s="7"/>
      <c r="L1342" s="7"/>
      <c r="M1342" s="7"/>
      <c r="N1342" s="7"/>
      <c r="O1342" s="7"/>
    </row>
    <row r="1343" ht="22.5" hidden="1" customHeight="1">
      <c r="A1343" s="8">
        <v>45847.40904534722</v>
      </c>
      <c r="B1343" s="9"/>
      <c r="C1343" s="9" t="s">
        <v>15</v>
      </c>
      <c r="D1343" s="9" t="s">
        <v>51</v>
      </c>
      <c r="E1343" s="9" t="s">
        <v>17</v>
      </c>
      <c r="F1343" s="9" t="s">
        <v>17</v>
      </c>
      <c r="G1343" s="9" t="s">
        <v>24</v>
      </c>
      <c r="H1343" s="9" t="s">
        <v>17</v>
      </c>
      <c r="I1343" s="9" t="s">
        <v>20</v>
      </c>
      <c r="J1343" s="10"/>
      <c r="K1343" s="7"/>
      <c r="L1343" s="7"/>
      <c r="M1343" s="7"/>
      <c r="N1343" s="7"/>
      <c r="O1343" s="7"/>
    </row>
    <row r="1344" ht="22.5" hidden="1" customHeight="1">
      <c r="A1344" s="8">
        <v>45847.40973155093</v>
      </c>
      <c r="B1344" s="9"/>
      <c r="C1344" s="9" t="s">
        <v>15</v>
      </c>
      <c r="D1344" s="9" t="s">
        <v>369</v>
      </c>
      <c r="E1344" s="9" t="s">
        <v>17</v>
      </c>
      <c r="F1344" s="9" t="s">
        <v>17</v>
      </c>
      <c r="G1344" s="9" t="s">
        <v>24</v>
      </c>
      <c r="H1344" s="9" t="s">
        <v>17</v>
      </c>
      <c r="I1344" s="9" t="s">
        <v>20</v>
      </c>
      <c r="J1344" s="10"/>
      <c r="K1344" s="7"/>
      <c r="L1344" s="7"/>
      <c r="M1344" s="7"/>
      <c r="N1344" s="7"/>
      <c r="O1344" s="7"/>
    </row>
    <row r="1345" ht="22.5" hidden="1" customHeight="1">
      <c r="A1345" s="8">
        <v>45848.347829583334</v>
      </c>
      <c r="B1345" s="9"/>
      <c r="C1345" s="9" t="s">
        <v>31</v>
      </c>
      <c r="D1345" s="9" t="s">
        <v>133</v>
      </c>
      <c r="E1345" s="9" t="s">
        <v>17</v>
      </c>
      <c r="F1345" s="9" t="s">
        <v>17</v>
      </c>
      <c r="G1345" s="9" t="s">
        <v>24</v>
      </c>
      <c r="H1345" s="9" t="s">
        <v>25</v>
      </c>
      <c r="I1345" s="9" t="s">
        <v>173</v>
      </c>
      <c r="J1345" s="10"/>
      <c r="K1345" s="7"/>
      <c r="L1345" s="7"/>
      <c r="M1345" s="7"/>
      <c r="N1345" s="7"/>
      <c r="O1345" s="7"/>
    </row>
    <row r="1346" ht="22.5" hidden="1" customHeight="1">
      <c r="A1346" s="8">
        <v>45848.34965762732</v>
      </c>
      <c r="B1346" s="9"/>
      <c r="C1346" s="9" t="s">
        <v>31</v>
      </c>
      <c r="D1346" s="9" t="s">
        <v>277</v>
      </c>
      <c r="E1346" s="9" t="s">
        <v>46</v>
      </c>
      <c r="F1346" s="9" t="s">
        <v>17</v>
      </c>
      <c r="G1346" s="9" t="s">
        <v>24</v>
      </c>
      <c r="H1346" s="9" t="s">
        <v>17</v>
      </c>
      <c r="I1346" s="9" t="s">
        <v>20</v>
      </c>
      <c r="J1346" s="10"/>
      <c r="K1346" s="7"/>
      <c r="L1346" s="7"/>
      <c r="M1346" s="7"/>
      <c r="N1346" s="7"/>
      <c r="O1346" s="7"/>
    </row>
    <row r="1347" ht="22.5" hidden="1" customHeight="1">
      <c r="A1347" s="8">
        <v>45848.35261787037</v>
      </c>
      <c r="B1347" s="9"/>
      <c r="C1347" s="9" t="s">
        <v>31</v>
      </c>
      <c r="D1347" s="9" t="s">
        <v>54</v>
      </c>
      <c r="E1347" s="9" t="s">
        <v>17</v>
      </c>
      <c r="F1347" s="9" t="s">
        <v>18</v>
      </c>
      <c r="G1347" s="9" t="s">
        <v>24</v>
      </c>
      <c r="H1347" s="9" t="s">
        <v>25</v>
      </c>
      <c r="I1347" s="9" t="s">
        <v>358</v>
      </c>
      <c r="J1347" s="10"/>
      <c r="K1347" s="7"/>
      <c r="L1347" s="7"/>
      <c r="M1347" s="7"/>
      <c r="N1347" s="7"/>
      <c r="O1347" s="7"/>
    </row>
    <row r="1348" ht="22.5" hidden="1" customHeight="1">
      <c r="A1348" s="8">
        <v>45848.35352079861</v>
      </c>
      <c r="B1348" s="9"/>
      <c r="C1348" s="9" t="s">
        <v>31</v>
      </c>
      <c r="D1348" s="9" t="s">
        <v>370</v>
      </c>
      <c r="E1348" s="9" t="s">
        <v>17</v>
      </c>
      <c r="F1348" s="9" t="s">
        <v>17</v>
      </c>
      <c r="G1348" s="9" t="s">
        <v>24</v>
      </c>
      <c r="H1348" s="9" t="s">
        <v>25</v>
      </c>
      <c r="I1348" s="9" t="s">
        <v>28</v>
      </c>
      <c r="J1348" s="10"/>
      <c r="K1348" s="7"/>
      <c r="L1348" s="7"/>
      <c r="M1348" s="7"/>
      <c r="N1348" s="7"/>
      <c r="O1348" s="7"/>
    </row>
    <row r="1349" ht="22.5" hidden="1" customHeight="1">
      <c r="A1349" s="8">
        <v>45848.35482145833</v>
      </c>
      <c r="B1349" s="9"/>
      <c r="C1349" s="9" t="s">
        <v>31</v>
      </c>
      <c r="D1349" s="9" t="s">
        <v>254</v>
      </c>
      <c r="E1349" s="9" t="s">
        <v>17</v>
      </c>
      <c r="F1349" s="9" t="s">
        <v>17</v>
      </c>
      <c r="G1349" s="9" t="s">
        <v>24</v>
      </c>
      <c r="H1349" s="9" t="s">
        <v>17</v>
      </c>
      <c r="I1349" s="9" t="s">
        <v>20</v>
      </c>
      <c r="J1349" s="10"/>
      <c r="K1349" s="7"/>
      <c r="L1349" s="7"/>
      <c r="M1349" s="7"/>
      <c r="N1349" s="7"/>
      <c r="O1349" s="7"/>
    </row>
    <row r="1350" ht="22.5" hidden="1" customHeight="1">
      <c r="A1350" s="8">
        <v>45848.35605663194</v>
      </c>
      <c r="B1350" s="9"/>
      <c r="C1350" s="9" t="s">
        <v>31</v>
      </c>
      <c r="D1350" s="9" t="s">
        <v>243</v>
      </c>
      <c r="E1350" s="9" t="s">
        <v>17</v>
      </c>
      <c r="F1350" s="9" t="s">
        <v>17</v>
      </c>
      <c r="G1350" s="9" t="s">
        <v>24</v>
      </c>
      <c r="H1350" s="9" t="s">
        <v>17</v>
      </c>
      <c r="I1350" s="9" t="s">
        <v>20</v>
      </c>
      <c r="J1350" s="10"/>
      <c r="K1350" s="7"/>
      <c r="L1350" s="7"/>
      <c r="M1350" s="7"/>
      <c r="N1350" s="7"/>
      <c r="O1350" s="7"/>
    </row>
    <row r="1351" ht="22.5" hidden="1" customHeight="1">
      <c r="A1351" s="8">
        <v>45848.35654778936</v>
      </c>
      <c r="B1351" s="9"/>
      <c r="C1351" s="9" t="s">
        <v>31</v>
      </c>
      <c r="D1351" s="9" t="s">
        <v>23</v>
      </c>
      <c r="E1351" s="9" t="s">
        <v>17</v>
      </c>
      <c r="F1351" s="9" t="s">
        <v>17</v>
      </c>
      <c r="G1351" s="9" t="s">
        <v>24</v>
      </c>
      <c r="H1351" s="9" t="s">
        <v>25</v>
      </c>
      <c r="I1351" s="9" t="s">
        <v>316</v>
      </c>
      <c r="J1351" s="10"/>
      <c r="K1351" s="7"/>
      <c r="L1351" s="7"/>
      <c r="M1351" s="7"/>
      <c r="N1351" s="7"/>
      <c r="O1351" s="7"/>
    </row>
    <row r="1352" ht="22.5" hidden="1" customHeight="1">
      <c r="A1352" s="8">
        <v>45848.35732019676</v>
      </c>
      <c r="B1352" s="9"/>
      <c r="C1352" s="9" t="s">
        <v>31</v>
      </c>
      <c r="D1352" s="9" t="s">
        <v>227</v>
      </c>
      <c r="E1352" s="9" t="s">
        <v>17</v>
      </c>
      <c r="F1352" s="9" t="s">
        <v>17</v>
      </c>
      <c r="G1352" s="9" t="s">
        <v>24</v>
      </c>
      <c r="H1352" s="9" t="s">
        <v>25</v>
      </c>
      <c r="I1352" s="9" t="s">
        <v>211</v>
      </c>
      <c r="J1352" s="10"/>
      <c r="K1352" s="7"/>
      <c r="L1352" s="7"/>
      <c r="M1352" s="7"/>
      <c r="N1352" s="7"/>
      <c r="O1352" s="7"/>
    </row>
    <row r="1353" ht="22.5" hidden="1" customHeight="1">
      <c r="A1353" s="8">
        <v>45848.35765585648</v>
      </c>
      <c r="B1353" s="9"/>
      <c r="C1353" s="9" t="s">
        <v>31</v>
      </c>
      <c r="D1353" s="9" t="s">
        <v>352</v>
      </c>
      <c r="E1353" s="9" t="s">
        <v>17</v>
      </c>
      <c r="F1353" s="9" t="s">
        <v>18</v>
      </c>
      <c r="G1353" s="9" t="s">
        <v>24</v>
      </c>
      <c r="H1353" s="9" t="s">
        <v>17</v>
      </c>
      <c r="I1353" s="9" t="s">
        <v>20</v>
      </c>
      <c r="J1353" s="10"/>
      <c r="K1353" s="7"/>
      <c r="L1353" s="7"/>
      <c r="M1353" s="7"/>
      <c r="N1353" s="7"/>
      <c r="O1353" s="7"/>
    </row>
    <row r="1354" ht="22.5" hidden="1" customHeight="1">
      <c r="A1354" s="8">
        <v>45848.35808708333</v>
      </c>
      <c r="B1354" s="9"/>
      <c r="C1354" s="9" t="s">
        <v>31</v>
      </c>
      <c r="D1354" s="9" t="s">
        <v>194</v>
      </c>
      <c r="E1354" s="9" t="s">
        <v>17</v>
      </c>
      <c r="F1354" s="9" t="s">
        <v>17</v>
      </c>
      <c r="G1354" s="9" t="s">
        <v>24</v>
      </c>
      <c r="H1354" s="9" t="s">
        <v>17</v>
      </c>
      <c r="I1354" s="9" t="s">
        <v>20</v>
      </c>
      <c r="J1354" s="10"/>
      <c r="K1354" s="7"/>
      <c r="L1354" s="7"/>
      <c r="M1354" s="7"/>
      <c r="N1354" s="7"/>
      <c r="O1354" s="7"/>
    </row>
    <row r="1355" ht="22.5" hidden="1" customHeight="1">
      <c r="A1355" s="8">
        <v>45848.35872040509</v>
      </c>
      <c r="B1355" s="9"/>
      <c r="C1355" s="9" t="s">
        <v>31</v>
      </c>
      <c r="D1355" s="9" t="s">
        <v>253</v>
      </c>
      <c r="E1355" s="9" t="s">
        <v>17</v>
      </c>
      <c r="F1355" s="9" t="s">
        <v>17</v>
      </c>
      <c r="G1355" s="9" t="s">
        <v>24</v>
      </c>
      <c r="H1355" s="9" t="s">
        <v>25</v>
      </c>
      <c r="I1355" s="9" t="s">
        <v>311</v>
      </c>
      <c r="J1355" s="10"/>
      <c r="K1355" s="7"/>
      <c r="L1355" s="7"/>
      <c r="M1355" s="7"/>
      <c r="N1355" s="7"/>
      <c r="O1355" s="7"/>
    </row>
    <row r="1356" ht="22.5" hidden="1" customHeight="1">
      <c r="A1356" s="8">
        <v>45848.35936685185</v>
      </c>
      <c r="B1356" s="9"/>
      <c r="C1356" s="9" t="s">
        <v>31</v>
      </c>
      <c r="D1356" s="9" t="s">
        <v>155</v>
      </c>
      <c r="E1356" s="9" t="s">
        <v>17</v>
      </c>
      <c r="F1356" s="9" t="s">
        <v>43</v>
      </c>
      <c r="G1356" s="9" t="s">
        <v>19</v>
      </c>
      <c r="H1356" s="9" t="s">
        <v>17</v>
      </c>
      <c r="I1356" s="9" t="s">
        <v>20</v>
      </c>
      <c r="J1356" s="10"/>
      <c r="K1356" s="7"/>
      <c r="L1356" s="7"/>
      <c r="M1356" s="7"/>
      <c r="N1356" s="7"/>
      <c r="O1356" s="7"/>
    </row>
    <row r="1357" ht="22.5" hidden="1" customHeight="1">
      <c r="A1357" s="8">
        <v>45848.35964538195</v>
      </c>
      <c r="B1357" s="9"/>
      <c r="C1357" s="9" t="s">
        <v>31</v>
      </c>
      <c r="D1357" s="9" t="s">
        <v>108</v>
      </c>
      <c r="E1357" s="9" t="s">
        <v>17</v>
      </c>
      <c r="F1357" s="9" t="s">
        <v>17</v>
      </c>
      <c r="G1357" s="9" t="s">
        <v>24</v>
      </c>
      <c r="H1357" s="9" t="s">
        <v>17</v>
      </c>
      <c r="I1357" s="9" t="s">
        <v>20</v>
      </c>
      <c r="J1357" s="10"/>
      <c r="K1357" s="7"/>
      <c r="L1357" s="7"/>
      <c r="M1357" s="7"/>
      <c r="N1357" s="7"/>
      <c r="O1357" s="7"/>
    </row>
    <row r="1358" ht="22.5" hidden="1" customHeight="1">
      <c r="A1358" s="8">
        <v>45848.36263795139</v>
      </c>
      <c r="B1358" s="9"/>
      <c r="C1358" s="9" t="s">
        <v>31</v>
      </c>
      <c r="D1358" s="9" t="s">
        <v>371</v>
      </c>
      <c r="E1358" s="9" t="s">
        <v>17</v>
      </c>
      <c r="F1358" s="9" t="s">
        <v>17</v>
      </c>
      <c r="G1358" s="9" t="s">
        <v>24</v>
      </c>
      <c r="H1358" s="9" t="s">
        <v>17</v>
      </c>
      <c r="I1358" s="9" t="s">
        <v>20</v>
      </c>
      <c r="J1358" s="10"/>
      <c r="K1358" s="7"/>
      <c r="L1358" s="7"/>
      <c r="M1358" s="7"/>
      <c r="N1358" s="7"/>
      <c r="O1358" s="7"/>
    </row>
    <row r="1359" ht="22.5" hidden="1" customHeight="1">
      <c r="A1359" s="8">
        <v>45848.36593023148</v>
      </c>
      <c r="B1359" s="9"/>
      <c r="C1359" s="9" t="s">
        <v>31</v>
      </c>
      <c r="D1359" s="9" t="s">
        <v>372</v>
      </c>
      <c r="E1359" s="9" t="s">
        <v>17</v>
      </c>
      <c r="F1359" s="9" t="s">
        <v>17</v>
      </c>
      <c r="G1359" s="9" t="s">
        <v>24</v>
      </c>
      <c r="H1359" s="9" t="s">
        <v>25</v>
      </c>
      <c r="I1359" s="9" t="s">
        <v>37</v>
      </c>
      <c r="J1359" s="10"/>
      <c r="K1359" s="7"/>
      <c r="L1359" s="7"/>
      <c r="M1359" s="7"/>
      <c r="N1359" s="7"/>
      <c r="O1359" s="7"/>
    </row>
    <row r="1360" ht="22.5" hidden="1" customHeight="1">
      <c r="A1360" s="8">
        <v>45848.36654594907</v>
      </c>
      <c r="B1360" s="9"/>
      <c r="C1360" s="9" t="s">
        <v>31</v>
      </c>
      <c r="D1360" s="9" t="s">
        <v>51</v>
      </c>
      <c r="E1360" s="9" t="s">
        <v>17</v>
      </c>
      <c r="F1360" s="9" t="s">
        <v>17</v>
      </c>
      <c r="G1360" s="9" t="s">
        <v>24</v>
      </c>
      <c r="H1360" s="9" t="s">
        <v>17</v>
      </c>
      <c r="I1360" s="9" t="s">
        <v>20</v>
      </c>
      <c r="J1360" s="10"/>
      <c r="K1360" s="7"/>
      <c r="L1360" s="7"/>
      <c r="M1360" s="7"/>
      <c r="N1360" s="7"/>
      <c r="O1360" s="7"/>
    </row>
    <row r="1361" ht="22.5" hidden="1" customHeight="1">
      <c r="A1361" s="8">
        <v>45848.37789881944</v>
      </c>
      <c r="B1361" s="9"/>
      <c r="C1361" s="9" t="s">
        <v>31</v>
      </c>
      <c r="D1361" s="9" t="s">
        <v>365</v>
      </c>
      <c r="E1361" s="9" t="s">
        <v>17</v>
      </c>
      <c r="F1361" s="9" t="s">
        <v>17</v>
      </c>
      <c r="G1361" s="9" t="s">
        <v>24</v>
      </c>
      <c r="H1361" s="9" t="s">
        <v>17</v>
      </c>
      <c r="I1361" s="9" t="s">
        <v>20</v>
      </c>
      <c r="J1361" s="10"/>
      <c r="K1361" s="7"/>
      <c r="L1361" s="7"/>
      <c r="M1361" s="7"/>
      <c r="N1361" s="7"/>
      <c r="O1361" s="7"/>
    </row>
    <row r="1362" ht="22.5" hidden="1" customHeight="1">
      <c r="A1362" s="8">
        <v>45848.37812037037</v>
      </c>
      <c r="B1362" s="9"/>
      <c r="C1362" s="9" t="s">
        <v>31</v>
      </c>
      <c r="D1362" s="9" t="s">
        <v>354</v>
      </c>
      <c r="E1362" s="9" t="s">
        <v>17</v>
      </c>
      <c r="F1362" s="9" t="s">
        <v>17</v>
      </c>
      <c r="G1362" s="9" t="s">
        <v>24</v>
      </c>
      <c r="H1362" s="9" t="s">
        <v>17</v>
      </c>
      <c r="I1362" s="9" t="s">
        <v>20</v>
      </c>
      <c r="J1362" s="10"/>
      <c r="K1362" s="7"/>
      <c r="L1362" s="7"/>
      <c r="M1362" s="7"/>
      <c r="N1362" s="7"/>
      <c r="O1362" s="7"/>
    </row>
    <row r="1363" ht="22.5" hidden="1" customHeight="1">
      <c r="A1363" s="8">
        <v>45848.37858148148</v>
      </c>
      <c r="B1363" s="9"/>
      <c r="C1363" s="9" t="s">
        <v>31</v>
      </c>
      <c r="D1363" s="9" t="s">
        <v>260</v>
      </c>
      <c r="E1363" s="9" t="s">
        <v>17</v>
      </c>
      <c r="F1363" s="9" t="s">
        <v>17</v>
      </c>
      <c r="G1363" s="9" t="s">
        <v>24</v>
      </c>
      <c r="H1363" s="9" t="s">
        <v>17</v>
      </c>
      <c r="I1363" s="9" t="s">
        <v>20</v>
      </c>
      <c r="J1363" s="10"/>
      <c r="K1363" s="7"/>
      <c r="L1363" s="7"/>
      <c r="M1363" s="7"/>
      <c r="N1363" s="7"/>
      <c r="O1363" s="7"/>
    </row>
    <row r="1364" ht="22.5" hidden="1" customHeight="1">
      <c r="A1364" s="8">
        <v>45851.37953346065</v>
      </c>
      <c r="B1364" s="9"/>
      <c r="C1364" s="9" t="s">
        <v>58</v>
      </c>
      <c r="D1364" s="9" t="s">
        <v>254</v>
      </c>
      <c r="E1364" s="9" t="s">
        <v>17</v>
      </c>
      <c r="F1364" s="9" t="s">
        <v>17</v>
      </c>
      <c r="G1364" s="9" t="s">
        <v>24</v>
      </c>
      <c r="H1364" s="9" t="s">
        <v>25</v>
      </c>
      <c r="I1364" s="9" t="s">
        <v>26</v>
      </c>
      <c r="J1364" s="10"/>
      <c r="K1364" s="7"/>
      <c r="L1364" s="7"/>
      <c r="M1364" s="7"/>
      <c r="N1364" s="7"/>
      <c r="O1364" s="7"/>
    </row>
    <row r="1365" ht="22.5" hidden="1" customHeight="1">
      <c r="A1365" s="8">
        <v>45851.380250682865</v>
      </c>
      <c r="B1365" s="9"/>
      <c r="C1365" s="9" t="s">
        <v>58</v>
      </c>
      <c r="D1365" s="9" t="s">
        <v>223</v>
      </c>
      <c r="E1365" s="9" t="s">
        <v>61</v>
      </c>
      <c r="F1365" s="9" t="s">
        <v>43</v>
      </c>
      <c r="G1365" s="9" t="s">
        <v>24</v>
      </c>
      <c r="H1365" s="9" t="s">
        <v>17</v>
      </c>
      <c r="I1365" s="9" t="s">
        <v>20</v>
      </c>
      <c r="J1365" s="10"/>
      <c r="K1365" s="7"/>
      <c r="L1365" s="7"/>
      <c r="M1365" s="7"/>
      <c r="N1365" s="7"/>
      <c r="O1365" s="7"/>
    </row>
    <row r="1366" ht="22.5" hidden="1" customHeight="1">
      <c r="A1366" s="8">
        <v>45851.38069984954</v>
      </c>
      <c r="B1366" s="9"/>
      <c r="C1366" s="9" t="s">
        <v>58</v>
      </c>
      <c r="D1366" s="9" t="s">
        <v>54</v>
      </c>
      <c r="E1366" s="9" t="s">
        <v>17</v>
      </c>
      <c r="F1366" s="9" t="s">
        <v>43</v>
      </c>
      <c r="G1366" s="9" t="s">
        <v>24</v>
      </c>
      <c r="H1366" s="9" t="s">
        <v>17</v>
      </c>
      <c r="I1366" s="9" t="s">
        <v>20</v>
      </c>
      <c r="J1366" s="10"/>
      <c r="K1366" s="7"/>
      <c r="L1366" s="7"/>
      <c r="M1366" s="7"/>
      <c r="N1366" s="7"/>
      <c r="O1366" s="7"/>
    </row>
    <row r="1367" ht="22.5" hidden="1" customHeight="1">
      <c r="A1367" s="8">
        <v>45851.38092415509</v>
      </c>
      <c r="B1367" s="9"/>
      <c r="C1367" s="9" t="s">
        <v>58</v>
      </c>
      <c r="D1367" s="9" t="s">
        <v>194</v>
      </c>
      <c r="E1367" s="9" t="s">
        <v>17</v>
      </c>
      <c r="F1367" s="9" t="s">
        <v>17</v>
      </c>
      <c r="G1367" s="9" t="s">
        <v>24</v>
      </c>
      <c r="H1367" s="9" t="s">
        <v>17</v>
      </c>
      <c r="I1367" s="9" t="s">
        <v>20</v>
      </c>
      <c r="J1367" s="10"/>
      <c r="K1367" s="7"/>
      <c r="L1367" s="7"/>
      <c r="M1367" s="7"/>
      <c r="N1367" s="7"/>
      <c r="O1367" s="7"/>
    </row>
    <row r="1368" ht="22.5" hidden="1" customHeight="1">
      <c r="A1368" s="8">
        <v>45851.381329895834</v>
      </c>
      <c r="B1368" s="9"/>
      <c r="C1368" s="9" t="s">
        <v>58</v>
      </c>
      <c r="D1368" s="9" t="s">
        <v>198</v>
      </c>
      <c r="E1368" s="9" t="s">
        <v>61</v>
      </c>
      <c r="F1368" s="9" t="s">
        <v>43</v>
      </c>
      <c r="G1368" s="9" t="s">
        <v>24</v>
      </c>
      <c r="H1368" s="9" t="s">
        <v>25</v>
      </c>
      <c r="I1368" s="9" t="s">
        <v>28</v>
      </c>
      <c r="J1368" s="10"/>
      <c r="K1368" s="7"/>
      <c r="L1368" s="7"/>
      <c r="M1368" s="7"/>
      <c r="N1368" s="7"/>
      <c r="O1368" s="7"/>
    </row>
    <row r="1369" ht="22.5" hidden="1" customHeight="1">
      <c r="A1369" s="8">
        <v>45851.38183025463</v>
      </c>
      <c r="B1369" s="9"/>
      <c r="C1369" s="9" t="s">
        <v>58</v>
      </c>
      <c r="D1369" s="9" t="s">
        <v>261</v>
      </c>
      <c r="E1369" s="9" t="s">
        <v>17</v>
      </c>
      <c r="F1369" s="9" t="s">
        <v>17</v>
      </c>
      <c r="G1369" s="9" t="s">
        <v>24</v>
      </c>
      <c r="H1369" s="9" t="s">
        <v>17</v>
      </c>
      <c r="I1369" s="9" t="s">
        <v>20</v>
      </c>
      <c r="J1369" s="10"/>
      <c r="K1369" s="7"/>
      <c r="L1369" s="7"/>
      <c r="M1369" s="7"/>
      <c r="N1369" s="7"/>
      <c r="O1369" s="7"/>
    </row>
    <row r="1370" ht="22.5" hidden="1" customHeight="1">
      <c r="A1370" s="8">
        <v>45851.382022418984</v>
      </c>
      <c r="B1370" s="9"/>
      <c r="C1370" s="9" t="s">
        <v>58</v>
      </c>
      <c r="D1370" s="9" t="s">
        <v>354</v>
      </c>
      <c r="E1370" s="9" t="s">
        <v>17</v>
      </c>
      <c r="F1370" s="9" t="s">
        <v>17</v>
      </c>
      <c r="G1370" s="9" t="s">
        <v>24</v>
      </c>
      <c r="H1370" s="9" t="s">
        <v>17</v>
      </c>
      <c r="I1370" s="9" t="s">
        <v>20</v>
      </c>
      <c r="J1370" s="10"/>
      <c r="K1370" s="7"/>
      <c r="L1370" s="7"/>
      <c r="M1370" s="7"/>
      <c r="N1370" s="7"/>
      <c r="O1370" s="7"/>
    </row>
    <row r="1371" ht="22.5" hidden="1" customHeight="1">
      <c r="A1371" s="8">
        <v>45851.3822978588</v>
      </c>
      <c r="B1371" s="9"/>
      <c r="C1371" s="9" t="s">
        <v>58</v>
      </c>
      <c r="D1371" s="9" t="s">
        <v>51</v>
      </c>
      <c r="E1371" s="9" t="s">
        <v>17</v>
      </c>
      <c r="F1371" s="9" t="s">
        <v>17</v>
      </c>
      <c r="G1371" s="9" t="s">
        <v>24</v>
      </c>
      <c r="H1371" s="9" t="s">
        <v>17</v>
      </c>
      <c r="I1371" s="9" t="s">
        <v>20</v>
      </c>
      <c r="J1371" s="10"/>
      <c r="K1371" s="7"/>
      <c r="L1371" s="7"/>
      <c r="M1371" s="7"/>
      <c r="N1371" s="7"/>
      <c r="O1371" s="7"/>
    </row>
    <row r="1372" ht="22.5" hidden="1" customHeight="1">
      <c r="A1372" s="8">
        <v>45851.38268229167</v>
      </c>
      <c r="B1372" s="9"/>
      <c r="C1372" s="9" t="s">
        <v>58</v>
      </c>
      <c r="D1372" s="9" t="s">
        <v>23</v>
      </c>
      <c r="E1372" s="9" t="s">
        <v>17</v>
      </c>
      <c r="F1372" s="9" t="s">
        <v>17</v>
      </c>
      <c r="G1372" s="9" t="s">
        <v>24</v>
      </c>
      <c r="H1372" s="9" t="s">
        <v>17</v>
      </c>
      <c r="I1372" s="9" t="s">
        <v>20</v>
      </c>
      <c r="J1372" s="10"/>
      <c r="K1372" s="7"/>
      <c r="L1372" s="7"/>
      <c r="M1372" s="7"/>
      <c r="N1372" s="7"/>
      <c r="O1372" s="7"/>
    </row>
    <row r="1373" ht="22.5" hidden="1" customHeight="1">
      <c r="A1373" s="8">
        <v>45851.383110497685</v>
      </c>
      <c r="B1373" s="9"/>
      <c r="C1373" s="9" t="s">
        <v>58</v>
      </c>
      <c r="D1373" s="9" t="s">
        <v>247</v>
      </c>
      <c r="E1373" s="9" t="s">
        <v>61</v>
      </c>
      <c r="F1373" s="9" t="s">
        <v>17</v>
      </c>
      <c r="G1373" s="9" t="s">
        <v>24</v>
      </c>
      <c r="H1373" s="9" t="s">
        <v>25</v>
      </c>
      <c r="I1373" s="9" t="s">
        <v>137</v>
      </c>
      <c r="J1373" s="10"/>
      <c r="K1373" s="7"/>
      <c r="L1373" s="7"/>
      <c r="M1373" s="7"/>
      <c r="N1373" s="7"/>
      <c r="O1373" s="7"/>
    </row>
    <row r="1374" ht="22.5" hidden="1" customHeight="1">
      <c r="A1374" s="8">
        <v>45851.3834259375</v>
      </c>
      <c r="B1374" s="9"/>
      <c r="C1374" s="9" t="s">
        <v>58</v>
      </c>
      <c r="D1374" s="9" t="s">
        <v>108</v>
      </c>
      <c r="E1374" s="9" t="s">
        <v>17</v>
      </c>
      <c r="F1374" s="9" t="s">
        <v>17</v>
      </c>
      <c r="G1374" s="9" t="s">
        <v>24</v>
      </c>
      <c r="H1374" s="9" t="s">
        <v>17</v>
      </c>
      <c r="I1374" s="9" t="s">
        <v>50</v>
      </c>
      <c r="J1374" s="10"/>
      <c r="K1374" s="7"/>
      <c r="L1374" s="7"/>
      <c r="M1374" s="7"/>
      <c r="N1374" s="7"/>
      <c r="O1374" s="7"/>
    </row>
    <row r="1375" ht="22.5" hidden="1" customHeight="1">
      <c r="A1375" s="8">
        <v>45851.38406480324</v>
      </c>
      <c r="B1375" s="9"/>
      <c r="C1375" s="9" t="s">
        <v>58</v>
      </c>
      <c r="D1375" s="9" t="s">
        <v>107</v>
      </c>
      <c r="E1375" s="9" t="s">
        <v>17</v>
      </c>
      <c r="F1375" s="9" t="s">
        <v>43</v>
      </c>
      <c r="G1375" s="9" t="s">
        <v>24</v>
      </c>
      <c r="H1375" s="9" t="s">
        <v>25</v>
      </c>
      <c r="I1375" s="9" t="s">
        <v>283</v>
      </c>
      <c r="J1375" s="10"/>
      <c r="K1375" s="7"/>
      <c r="L1375" s="7"/>
      <c r="M1375" s="7"/>
      <c r="N1375" s="7"/>
      <c r="O1375" s="7"/>
    </row>
    <row r="1376" ht="22.5" hidden="1" customHeight="1">
      <c r="A1376" s="8">
        <v>45851.38446296296</v>
      </c>
      <c r="B1376" s="9"/>
      <c r="C1376" s="9" t="s">
        <v>58</v>
      </c>
      <c r="D1376" s="9" t="s">
        <v>243</v>
      </c>
      <c r="E1376" s="9" t="s">
        <v>17</v>
      </c>
      <c r="F1376" s="9" t="s">
        <v>17</v>
      </c>
      <c r="G1376" s="9" t="s">
        <v>24</v>
      </c>
      <c r="H1376" s="9" t="s">
        <v>25</v>
      </c>
      <c r="I1376" s="9" t="s">
        <v>207</v>
      </c>
      <c r="J1376" s="10"/>
      <c r="K1376" s="7"/>
      <c r="L1376" s="7"/>
      <c r="M1376" s="7"/>
      <c r="N1376" s="7"/>
      <c r="O1376" s="7"/>
    </row>
    <row r="1377" ht="22.5" hidden="1" customHeight="1">
      <c r="A1377" s="8">
        <v>45851.384891574075</v>
      </c>
      <c r="B1377" s="9"/>
      <c r="C1377" s="9" t="s">
        <v>58</v>
      </c>
      <c r="D1377" s="9" t="s">
        <v>365</v>
      </c>
      <c r="E1377" s="9" t="s">
        <v>30</v>
      </c>
      <c r="F1377" s="9" t="s">
        <v>18</v>
      </c>
      <c r="G1377" s="9" t="s">
        <v>24</v>
      </c>
      <c r="H1377" s="9" t="s">
        <v>22</v>
      </c>
      <c r="I1377" s="9" t="s">
        <v>20</v>
      </c>
      <c r="J1377" s="10"/>
      <c r="K1377" s="7"/>
      <c r="L1377" s="7"/>
      <c r="M1377" s="7"/>
      <c r="N1377" s="7"/>
      <c r="O1377" s="7"/>
    </row>
    <row r="1378" ht="22.5" hidden="1" customHeight="1">
      <c r="A1378" s="8">
        <v>45851.38541239583</v>
      </c>
      <c r="B1378" s="9"/>
      <c r="C1378" s="9" t="s">
        <v>58</v>
      </c>
      <c r="D1378" s="9" t="s">
        <v>352</v>
      </c>
      <c r="E1378" s="9" t="s">
        <v>44</v>
      </c>
      <c r="F1378" s="9" t="s">
        <v>17</v>
      </c>
      <c r="G1378" s="9" t="s">
        <v>24</v>
      </c>
      <c r="H1378" s="9" t="s">
        <v>22</v>
      </c>
      <c r="I1378" s="9" t="s">
        <v>20</v>
      </c>
      <c r="J1378" s="10"/>
      <c r="K1378" s="7"/>
      <c r="L1378" s="7"/>
      <c r="M1378" s="7"/>
      <c r="N1378" s="7"/>
      <c r="O1378" s="7"/>
    </row>
    <row r="1379" ht="22.5" hidden="1" customHeight="1">
      <c r="A1379" s="8">
        <v>45851.38621791667</v>
      </c>
      <c r="B1379" s="9"/>
      <c r="C1379" s="9" t="s">
        <v>58</v>
      </c>
      <c r="D1379" s="9" t="s">
        <v>212</v>
      </c>
      <c r="E1379" s="9" t="s">
        <v>17</v>
      </c>
      <c r="F1379" s="9" t="s">
        <v>17</v>
      </c>
      <c r="G1379" s="9" t="s">
        <v>24</v>
      </c>
      <c r="H1379" s="9" t="s">
        <v>22</v>
      </c>
      <c r="I1379" s="9" t="s">
        <v>20</v>
      </c>
      <c r="J1379" s="10"/>
      <c r="K1379" s="7"/>
      <c r="L1379" s="7"/>
      <c r="M1379" s="7"/>
      <c r="N1379" s="7"/>
      <c r="O1379" s="7"/>
    </row>
    <row r="1380" ht="22.5" hidden="1" customHeight="1">
      <c r="A1380" s="8">
        <v>45851.38701715278</v>
      </c>
      <c r="B1380" s="9"/>
      <c r="C1380" s="9" t="s">
        <v>58</v>
      </c>
      <c r="D1380" s="9" t="s">
        <v>373</v>
      </c>
      <c r="E1380" s="9" t="s">
        <v>17</v>
      </c>
      <c r="F1380" s="9" t="s">
        <v>60</v>
      </c>
      <c r="G1380" s="9" t="s">
        <v>40</v>
      </c>
      <c r="H1380" s="9" t="s">
        <v>22</v>
      </c>
      <c r="I1380" s="9" t="s">
        <v>20</v>
      </c>
      <c r="J1380" s="10"/>
      <c r="K1380" s="7"/>
      <c r="L1380" s="7"/>
      <c r="M1380" s="7"/>
      <c r="N1380" s="7"/>
      <c r="O1380" s="7"/>
    </row>
    <row r="1381" ht="22.5" hidden="1" customHeight="1">
      <c r="A1381" s="8">
        <v>45852.370867418984</v>
      </c>
      <c r="B1381" s="9"/>
      <c r="C1381" s="9" t="s">
        <v>86</v>
      </c>
      <c r="D1381" s="9" t="s">
        <v>371</v>
      </c>
      <c r="E1381" s="9" t="s">
        <v>17</v>
      </c>
      <c r="F1381" s="9" t="s">
        <v>17</v>
      </c>
      <c r="G1381" s="9" t="s">
        <v>24</v>
      </c>
      <c r="H1381" s="9" t="s">
        <v>17</v>
      </c>
      <c r="I1381" s="9" t="s">
        <v>20</v>
      </c>
      <c r="J1381" s="10"/>
      <c r="K1381" s="7"/>
      <c r="L1381" s="7"/>
      <c r="M1381" s="7"/>
      <c r="N1381" s="7"/>
      <c r="O1381" s="7"/>
    </row>
    <row r="1382" ht="22.5" hidden="1" customHeight="1">
      <c r="A1382" s="8">
        <v>45852.37119450231</v>
      </c>
      <c r="B1382" s="9"/>
      <c r="C1382" s="9" t="s">
        <v>86</v>
      </c>
      <c r="D1382" s="9" t="s">
        <v>365</v>
      </c>
      <c r="E1382" s="9" t="s">
        <v>44</v>
      </c>
      <c r="F1382" s="9" t="s">
        <v>35</v>
      </c>
      <c r="G1382" s="9" t="s">
        <v>24</v>
      </c>
      <c r="H1382" s="9" t="s">
        <v>25</v>
      </c>
      <c r="I1382" s="9" t="s">
        <v>242</v>
      </c>
      <c r="J1382" s="10"/>
      <c r="K1382" s="7"/>
      <c r="L1382" s="7"/>
      <c r="M1382" s="7"/>
      <c r="N1382" s="7"/>
      <c r="O1382" s="7"/>
    </row>
    <row r="1383" ht="22.5" hidden="1" customHeight="1">
      <c r="A1383" s="8">
        <v>45852.37134936343</v>
      </c>
      <c r="B1383" s="9"/>
      <c r="C1383" s="9" t="s">
        <v>86</v>
      </c>
      <c r="D1383" s="9" t="s">
        <v>374</v>
      </c>
      <c r="E1383" s="9" t="s">
        <v>17</v>
      </c>
      <c r="F1383" s="9" t="s">
        <v>17</v>
      </c>
      <c r="G1383" s="9" t="s">
        <v>24</v>
      </c>
      <c r="H1383" s="9" t="s">
        <v>17</v>
      </c>
      <c r="I1383" s="9" t="s">
        <v>20</v>
      </c>
      <c r="J1383" s="10"/>
      <c r="K1383" s="7"/>
      <c r="L1383" s="7"/>
      <c r="M1383" s="7"/>
      <c r="N1383" s="7"/>
      <c r="O1383" s="7"/>
    </row>
    <row r="1384" ht="22.5" hidden="1" customHeight="1">
      <c r="A1384" s="8">
        <v>45852.37166604167</v>
      </c>
      <c r="B1384" s="9"/>
      <c r="C1384" s="9" t="s">
        <v>86</v>
      </c>
      <c r="D1384" s="9" t="s">
        <v>54</v>
      </c>
      <c r="E1384" s="9" t="s">
        <v>17</v>
      </c>
      <c r="F1384" s="9" t="s">
        <v>17</v>
      </c>
      <c r="G1384" s="9" t="s">
        <v>24</v>
      </c>
      <c r="H1384" s="9" t="s">
        <v>25</v>
      </c>
      <c r="I1384" s="9" t="s">
        <v>355</v>
      </c>
      <c r="J1384" s="10"/>
      <c r="K1384" s="7"/>
      <c r="L1384" s="7"/>
      <c r="M1384" s="7"/>
      <c r="N1384" s="7"/>
      <c r="O1384" s="7"/>
    </row>
    <row r="1385" ht="22.5" hidden="1" customHeight="1">
      <c r="A1385" s="8">
        <v>45852.37184245371</v>
      </c>
      <c r="B1385" s="9"/>
      <c r="C1385" s="9" t="s">
        <v>86</v>
      </c>
      <c r="D1385" s="9" t="s">
        <v>243</v>
      </c>
      <c r="E1385" s="9" t="s">
        <v>17</v>
      </c>
      <c r="F1385" s="9" t="s">
        <v>17</v>
      </c>
      <c r="G1385" s="9" t="s">
        <v>24</v>
      </c>
      <c r="H1385" s="9" t="s">
        <v>17</v>
      </c>
      <c r="I1385" s="9" t="s">
        <v>207</v>
      </c>
      <c r="J1385" s="10"/>
      <c r="K1385" s="7"/>
      <c r="L1385" s="7"/>
      <c r="M1385" s="7"/>
      <c r="N1385" s="7"/>
      <c r="O1385" s="7"/>
    </row>
    <row r="1386" ht="22.5" hidden="1" customHeight="1">
      <c r="A1386" s="8">
        <v>45852.372106863426</v>
      </c>
      <c r="B1386" s="9"/>
      <c r="C1386" s="9" t="s">
        <v>86</v>
      </c>
      <c r="D1386" s="9" t="s">
        <v>194</v>
      </c>
      <c r="E1386" s="9" t="s">
        <v>17</v>
      </c>
      <c r="F1386" s="9" t="s">
        <v>60</v>
      </c>
      <c r="G1386" s="9" t="s">
        <v>24</v>
      </c>
      <c r="H1386" s="9" t="s">
        <v>17</v>
      </c>
      <c r="I1386" s="9" t="s">
        <v>20</v>
      </c>
      <c r="J1386" s="10"/>
      <c r="K1386" s="7"/>
      <c r="L1386" s="7"/>
      <c r="M1386" s="7"/>
      <c r="N1386" s="7"/>
      <c r="O1386" s="7"/>
    </row>
    <row r="1387" ht="22.5" hidden="1" customHeight="1">
      <c r="A1387" s="8">
        <v>45852.37211278935</v>
      </c>
      <c r="B1387" s="9"/>
      <c r="C1387" s="9" t="s">
        <v>86</v>
      </c>
      <c r="D1387" s="9" t="s">
        <v>198</v>
      </c>
      <c r="E1387" s="9" t="s">
        <v>46</v>
      </c>
      <c r="F1387" s="9" t="s">
        <v>35</v>
      </c>
      <c r="G1387" s="9" t="s">
        <v>24</v>
      </c>
      <c r="H1387" s="9" t="s">
        <v>25</v>
      </c>
      <c r="I1387" s="9" t="s">
        <v>375</v>
      </c>
      <c r="J1387" s="10"/>
      <c r="K1387" s="7"/>
      <c r="L1387" s="7"/>
      <c r="M1387" s="7"/>
      <c r="N1387" s="7"/>
      <c r="O1387" s="7"/>
    </row>
    <row r="1388" ht="22.5" hidden="1" customHeight="1">
      <c r="A1388" s="8">
        <v>45852.37247877315</v>
      </c>
      <c r="B1388" s="9"/>
      <c r="C1388" s="9" t="s">
        <v>86</v>
      </c>
      <c r="D1388" s="9" t="s">
        <v>255</v>
      </c>
      <c r="E1388" s="9" t="s">
        <v>17</v>
      </c>
      <c r="F1388" s="9" t="s">
        <v>17</v>
      </c>
      <c r="G1388" s="9" t="s">
        <v>24</v>
      </c>
      <c r="H1388" s="9" t="s">
        <v>17</v>
      </c>
      <c r="I1388" s="9" t="s">
        <v>20</v>
      </c>
      <c r="J1388" s="10"/>
      <c r="K1388" s="7"/>
      <c r="L1388" s="7"/>
      <c r="M1388" s="7"/>
      <c r="N1388" s="7"/>
      <c r="O1388" s="7"/>
    </row>
    <row r="1389" ht="22.5" hidden="1" customHeight="1">
      <c r="A1389" s="8">
        <v>45852.37287377314</v>
      </c>
      <c r="B1389" s="9"/>
      <c r="C1389" s="9" t="s">
        <v>86</v>
      </c>
      <c r="D1389" s="9" t="s">
        <v>352</v>
      </c>
      <c r="E1389" s="9" t="s">
        <v>17</v>
      </c>
      <c r="F1389" s="9" t="s">
        <v>17</v>
      </c>
      <c r="G1389" s="9" t="s">
        <v>24</v>
      </c>
      <c r="H1389" s="9" t="s">
        <v>17</v>
      </c>
      <c r="I1389" s="9" t="s">
        <v>20</v>
      </c>
      <c r="J1389" s="10"/>
      <c r="K1389" s="7"/>
      <c r="L1389" s="7"/>
      <c r="M1389" s="7"/>
      <c r="N1389" s="7"/>
      <c r="O1389" s="7"/>
    </row>
    <row r="1390" ht="22.5" hidden="1" customHeight="1">
      <c r="A1390" s="8">
        <v>45852.37374916667</v>
      </c>
      <c r="B1390" s="9"/>
      <c r="C1390" s="9" t="s">
        <v>86</v>
      </c>
      <c r="D1390" s="9" t="s">
        <v>376</v>
      </c>
      <c r="E1390" s="9" t="s">
        <v>17</v>
      </c>
      <c r="F1390" s="9" t="s">
        <v>35</v>
      </c>
      <c r="G1390" s="9" t="s">
        <v>24</v>
      </c>
      <c r="H1390" s="9" t="s">
        <v>17</v>
      </c>
      <c r="I1390" s="9" t="s">
        <v>20</v>
      </c>
      <c r="J1390" s="10"/>
      <c r="K1390" s="7"/>
      <c r="L1390" s="7"/>
      <c r="M1390" s="7"/>
      <c r="N1390" s="7"/>
      <c r="O1390" s="7"/>
    </row>
    <row r="1391" ht="22.5" hidden="1" customHeight="1">
      <c r="A1391" s="8">
        <v>45852.374117534724</v>
      </c>
      <c r="B1391" s="9"/>
      <c r="C1391" s="9" t="s">
        <v>86</v>
      </c>
      <c r="D1391" s="9" t="s">
        <v>23</v>
      </c>
      <c r="E1391" s="9" t="s">
        <v>17</v>
      </c>
      <c r="F1391" s="9" t="s">
        <v>17</v>
      </c>
      <c r="G1391" s="9" t="s">
        <v>24</v>
      </c>
      <c r="H1391" s="9" t="s">
        <v>17</v>
      </c>
      <c r="I1391" s="9" t="s">
        <v>20</v>
      </c>
      <c r="J1391" s="10"/>
      <c r="K1391" s="7"/>
      <c r="L1391" s="7"/>
      <c r="M1391" s="7"/>
      <c r="N1391" s="7"/>
      <c r="O1391" s="7"/>
    </row>
    <row r="1392" ht="22.5" hidden="1" customHeight="1">
      <c r="A1392" s="8">
        <v>45852.37776405092</v>
      </c>
      <c r="B1392" s="9"/>
      <c r="C1392" s="9" t="s">
        <v>86</v>
      </c>
      <c r="D1392" s="9" t="s">
        <v>155</v>
      </c>
      <c r="E1392" s="9" t="s">
        <v>17</v>
      </c>
      <c r="F1392" s="9" t="s">
        <v>18</v>
      </c>
      <c r="G1392" s="9" t="s">
        <v>24</v>
      </c>
      <c r="H1392" s="9" t="s">
        <v>17</v>
      </c>
      <c r="I1392" s="9" t="s">
        <v>20</v>
      </c>
      <c r="J1392" s="10"/>
      <c r="K1392" s="7"/>
      <c r="L1392" s="7"/>
      <c r="M1392" s="7"/>
      <c r="N1392" s="7"/>
      <c r="O1392" s="7"/>
    </row>
    <row r="1393" ht="22.5" hidden="1" customHeight="1">
      <c r="A1393" s="8">
        <v>45852.38026266204</v>
      </c>
      <c r="B1393" s="9"/>
      <c r="C1393" s="9" t="s">
        <v>86</v>
      </c>
      <c r="D1393" s="9" t="s">
        <v>261</v>
      </c>
      <c r="E1393" s="9" t="s">
        <v>17</v>
      </c>
      <c r="F1393" s="9" t="s">
        <v>17</v>
      </c>
      <c r="G1393" s="9" t="s">
        <v>24</v>
      </c>
      <c r="H1393" s="9" t="s">
        <v>17</v>
      </c>
      <c r="I1393" s="9" t="s">
        <v>20</v>
      </c>
      <c r="J1393" s="10"/>
      <c r="K1393" s="7"/>
      <c r="L1393" s="7"/>
      <c r="M1393" s="7"/>
      <c r="N1393" s="7"/>
      <c r="O1393" s="7"/>
    </row>
    <row r="1394" ht="22.5" hidden="1" customHeight="1">
      <c r="A1394" s="8">
        <v>45852.38128210648</v>
      </c>
      <c r="B1394" s="9"/>
      <c r="C1394" s="9" t="s">
        <v>86</v>
      </c>
      <c r="D1394" s="9" t="s">
        <v>254</v>
      </c>
      <c r="E1394" s="9" t="s">
        <v>17</v>
      </c>
      <c r="F1394" s="9" t="s">
        <v>17</v>
      </c>
      <c r="G1394" s="9" t="s">
        <v>24</v>
      </c>
      <c r="H1394" s="9" t="s">
        <v>17</v>
      </c>
      <c r="I1394" s="9" t="s">
        <v>20</v>
      </c>
      <c r="J1394" s="10"/>
      <c r="K1394" s="7"/>
      <c r="L1394" s="7"/>
      <c r="M1394" s="7"/>
      <c r="N1394" s="7"/>
      <c r="O1394" s="7"/>
    </row>
    <row r="1395" ht="22.5" hidden="1" customHeight="1">
      <c r="A1395" s="8">
        <v>45852.38161278935</v>
      </c>
      <c r="B1395" s="9"/>
      <c r="C1395" s="9" t="s">
        <v>86</v>
      </c>
      <c r="D1395" s="9" t="s">
        <v>133</v>
      </c>
      <c r="E1395" s="9" t="s">
        <v>17</v>
      </c>
      <c r="F1395" s="9" t="s">
        <v>17</v>
      </c>
      <c r="G1395" s="9" t="s">
        <v>24</v>
      </c>
      <c r="H1395" s="9" t="s">
        <v>17</v>
      </c>
      <c r="I1395" s="9" t="s">
        <v>20</v>
      </c>
      <c r="J1395" s="10"/>
      <c r="K1395" s="7"/>
      <c r="L1395" s="7"/>
      <c r="M1395" s="7"/>
      <c r="N1395" s="7"/>
      <c r="O1395" s="7"/>
    </row>
    <row r="1396" ht="22.5" hidden="1" customHeight="1">
      <c r="A1396" s="8">
        <v>45852.382074189816</v>
      </c>
      <c r="B1396" s="9"/>
      <c r="C1396" s="9" t="s">
        <v>86</v>
      </c>
      <c r="D1396" s="9" t="s">
        <v>108</v>
      </c>
      <c r="E1396" s="9" t="s">
        <v>17</v>
      </c>
      <c r="F1396" s="9" t="s">
        <v>17</v>
      </c>
      <c r="G1396" s="9" t="s">
        <v>24</v>
      </c>
      <c r="H1396" s="9" t="s">
        <v>17</v>
      </c>
      <c r="I1396" s="9" t="s">
        <v>50</v>
      </c>
      <c r="J1396" s="10"/>
      <c r="K1396" s="7"/>
      <c r="L1396" s="7"/>
      <c r="M1396" s="7"/>
      <c r="N1396" s="7"/>
      <c r="O1396" s="7"/>
    </row>
    <row r="1397" ht="22.5" hidden="1" customHeight="1">
      <c r="A1397" s="8">
        <v>45852.384186157404</v>
      </c>
      <c r="B1397" s="9"/>
      <c r="C1397" s="9" t="s">
        <v>86</v>
      </c>
      <c r="D1397" s="9" t="s">
        <v>253</v>
      </c>
      <c r="E1397" s="9" t="s">
        <v>17</v>
      </c>
      <c r="F1397" s="9" t="s">
        <v>17</v>
      </c>
      <c r="G1397" s="9" t="s">
        <v>24</v>
      </c>
      <c r="H1397" s="9" t="s">
        <v>17</v>
      </c>
      <c r="I1397" s="9" t="s">
        <v>306</v>
      </c>
      <c r="J1397" s="10"/>
      <c r="K1397" s="7"/>
      <c r="L1397" s="7"/>
      <c r="M1397" s="7"/>
      <c r="N1397" s="7"/>
      <c r="O1397" s="7"/>
    </row>
    <row r="1398" ht="22.5" hidden="1" customHeight="1">
      <c r="A1398" s="8">
        <v>45852.38500277778</v>
      </c>
      <c r="B1398" s="9"/>
      <c r="C1398" s="9" t="s">
        <v>86</v>
      </c>
      <c r="D1398" s="9" t="s">
        <v>354</v>
      </c>
      <c r="E1398" s="9" t="s">
        <v>17</v>
      </c>
      <c r="F1398" s="9" t="s">
        <v>17</v>
      </c>
      <c r="G1398" s="9" t="s">
        <v>24</v>
      </c>
      <c r="H1398" s="9" t="s">
        <v>17</v>
      </c>
      <c r="I1398" s="9" t="s">
        <v>20</v>
      </c>
      <c r="J1398" s="10"/>
      <c r="K1398" s="7"/>
      <c r="L1398" s="7"/>
      <c r="M1398" s="7"/>
      <c r="N1398" s="7"/>
      <c r="O1398" s="7"/>
    </row>
    <row r="1399" ht="22.5" hidden="1" customHeight="1">
      <c r="A1399" s="8">
        <v>45852.38926085648</v>
      </c>
      <c r="B1399" s="9"/>
      <c r="C1399" s="9" t="s">
        <v>86</v>
      </c>
      <c r="D1399" s="9" t="s">
        <v>277</v>
      </c>
      <c r="E1399" s="9" t="s">
        <v>44</v>
      </c>
      <c r="F1399" s="9" t="s">
        <v>18</v>
      </c>
      <c r="G1399" s="9" t="s">
        <v>24</v>
      </c>
      <c r="H1399" s="9" t="s">
        <v>22</v>
      </c>
      <c r="I1399" s="9" t="s">
        <v>20</v>
      </c>
      <c r="J1399" s="10"/>
      <c r="K1399" s="7"/>
      <c r="L1399" s="7"/>
      <c r="M1399" s="7"/>
      <c r="N1399" s="7"/>
      <c r="O1399" s="7"/>
    </row>
    <row r="1400" ht="22.5" hidden="1" customHeight="1">
      <c r="A1400" s="8">
        <v>45852.39154185185</v>
      </c>
      <c r="B1400" s="9"/>
      <c r="C1400" s="9" t="s">
        <v>86</v>
      </c>
      <c r="D1400" s="9" t="s">
        <v>227</v>
      </c>
      <c r="E1400" s="9" t="s">
        <v>17</v>
      </c>
      <c r="F1400" s="9" t="s">
        <v>17</v>
      </c>
      <c r="G1400" s="9" t="s">
        <v>24</v>
      </c>
      <c r="H1400" s="9" t="s">
        <v>17</v>
      </c>
      <c r="I1400" s="9" t="s">
        <v>137</v>
      </c>
      <c r="J1400" s="10"/>
      <c r="K1400" s="7"/>
      <c r="L1400" s="7"/>
      <c r="M1400" s="7"/>
      <c r="N1400" s="7"/>
      <c r="O1400" s="7"/>
    </row>
    <row r="1401" ht="22.5" hidden="1" customHeight="1">
      <c r="A1401" s="8">
        <v>45853.357993356476</v>
      </c>
      <c r="B1401" s="9"/>
      <c r="C1401" s="9" t="s">
        <v>110</v>
      </c>
      <c r="D1401" s="9" t="s">
        <v>133</v>
      </c>
      <c r="E1401" s="9" t="s">
        <v>17</v>
      </c>
      <c r="F1401" s="9" t="s">
        <v>17</v>
      </c>
      <c r="G1401" s="9" t="s">
        <v>24</v>
      </c>
      <c r="H1401" s="9" t="s">
        <v>17</v>
      </c>
      <c r="I1401" s="9" t="s">
        <v>20</v>
      </c>
      <c r="J1401" s="10"/>
      <c r="K1401" s="7"/>
      <c r="L1401" s="7"/>
      <c r="M1401" s="7"/>
      <c r="N1401" s="7"/>
      <c r="O1401" s="7"/>
    </row>
    <row r="1402" ht="22.5" hidden="1" customHeight="1">
      <c r="A1402" s="8">
        <v>45853.35836346065</v>
      </c>
      <c r="B1402" s="9"/>
      <c r="C1402" s="9" t="s">
        <v>110</v>
      </c>
      <c r="D1402" s="9" t="s">
        <v>51</v>
      </c>
      <c r="E1402" s="9" t="s">
        <v>17</v>
      </c>
      <c r="F1402" s="9" t="s">
        <v>17</v>
      </c>
      <c r="G1402" s="9" t="s">
        <v>24</v>
      </c>
      <c r="H1402" s="9" t="s">
        <v>17</v>
      </c>
      <c r="I1402" s="9" t="s">
        <v>20</v>
      </c>
      <c r="J1402" s="10"/>
      <c r="K1402" s="7"/>
      <c r="L1402" s="7"/>
      <c r="M1402" s="7"/>
      <c r="N1402" s="7"/>
      <c r="O1402" s="7"/>
    </row>
    <row r="1403" ht="22.5" hidden="1" customHeight="1">
      <c r="A1403" s="8">
        <v>45853.37216643519</v>
      </c>
      <c r="B1403" s="9"/>
      <c r="C1403" s="9" t="s">
        <v>110</v>
      </c>
      <c r="D1403" s="9" t="s">
        <v>377</v>
      </c>
      <c r="E1403" s="9" t="s">
        <v>17</v>
      </c>
      <c r="F1403" s="9" t="s">
        <v>18</v>
      </c>
      <c r="G1403" s="9" t="s">
        <v>24</v>
      </c>
      <c r="H1403" s="9" t="s">
        <v>17</v>
      </c>
      <c r="I1403" s="9" t="s">
        <v>20</v>
      </c>
      <c r="J1403" s="10"/>
      <c r="K1403" s="7"/>
      <c r="L1403" s="7"/>
      <c r="M1403" s="7"/>
      <c r="N1403" s="7"/>
      <c r="O1403" s="7"/>
    </row>
    <row r="1404" ht="22.5" hidden="1" customHeight="1">
      <c r="A1404" s="8">
        <v>45853.372893321764</v>
      </c>
      <c r="B1404" s="9"/>
      <c r="C1404" s="9" t="s">
        <v>110</v>
      </c>
      <c r="D1404" s="9" t="s">
        <v>253</v>
      </c>
      <c r="E1404" s="9" t="s">
        <v>17</v>
      </c>
      <c r="F1404" s="9" t="s">
        <v>17</v>
      </c>
      <c r="G1404" s="9" t="s">
        <v>24</v>
      </c>
      <c r="H1404" s="9" t="s">
        <v>25</v>
      </c>
      <c r="I1404" s="9" t="s">
        <v>306</v>
      </c>
      <c r="J1404" s="10"/>
      <c r="K1404" s="7"/>
      <c r="L1404" s="7"/>
      <c r="M1404" s="7"/>
      <c r="N1404" s="7"/>
      <c r="O1404" s="7"/>
    </row>
    <row r="1405" ht="22.5" hidden="1" customHeight="1">
      <c r="A1405" s="8">
        <v>45853.37367829861</v>
      </c>
      <c r="B1405" s="9"/>
      <c r="C1405" s="9" t="s">
        <v>110</v>
      </c>
      <c r="D1405" s="9" t="s">
        <v>378</v>
      </c>
      <c r="E1405" s="9" t="s">
        <v>17</v>
      </c>
      <c r="F1405" s="9" t="s">
        <v>17</v>
      </c>
      <c r="G1405" s="9" t="s">
        <v>24</v>
      </c>
      <c r="H1405" s="9" t="s">
        <v>25</v>
      </c>
      <c r="I1405" s="9" t="s">
        <v>207</v>
      </c>
      <c r="J1405" s="10"/>
      <c r="K1405" s="7"/>
      <c r="L1405" s="7"/>
      <c r="M1405" s="7"/>
      <c r="N1405" s="7"/>
      <c r="O1405" s="7"/>
    </row>
    <row r="1406" ht="22.5" hidden="1" customHeight="1">
      <c r="A1406" s="8">
        <v>45853.374159618055</v>
      </c>
      <c r="B1406" s="9"/>
      <c r="C1406" s="9" t="s">
        <v>110</v>
      </c>
      <c r="D1406" s="9" t="s">
        <v>198</v>
      </c>
      <c r="E1406" s="9" t="s">
        <v>17</v>
      </c>
      <c r="F1406" s="9" t="s">
        <v>17</v>
      </c>
      <c r="G1406" s="9" t="s">
        <v>24</v>
      </c>
      <c r="H1406" s="9" t="s">
        <v>25</v>
      </c>
      <c r="I1406" s="9" t="s">
        <v>28</v>
      </c>
      <c r="J1406" s="10"/>
      <c r="K1406" s="7"/>
      <c r="L1406" s="7"/>
      <c r="M1406" s="7"/>
      <c r="N1406" s="7"/>
      <c r="O1406" s="7"/>
    </row>
    <row r="1407" ht="22.5" hidden="1" customHeight="1">
      <c r="A1407" s="8">
        <v>45853.37457193287</v>
      </c>
      <c r="B1407" s="9"/>
      <c r="C1407" s="9" t="s">
        <v>110</v>
      </c>
      <c r="D1407" s="9" t="s">
        <v>230</v>
      </c>
      <c r="E1407" s="9" t="s">
        <v>17</v>
      </c>
      <c r="F1407" s="9" t="s">
        <v>17</v>
      </c>
      <c r="G1407" s="9" t="s">
        <v>24</v>
      </c>
      <c r="H1407" s="9" t="s">
        <v>17</v>
      </c>
      <c r="I1407" s="9" t="s">
        <v>20</v>
      </c>
      <c r="J1407" s="10"/>
      <c r="K1407" s="7"/>
      <c r="L1407" s="7"/>
      <c r="M1407" s="7"/>
      <c r="N1407" s="7"/>
      <c r="O1407" s="7"/>
    </row>
    <row r="1408" ht="22.5" hidden="1" customHeight="1">
      <c r="A1408" s="8">
        <v>45853.37500997685</v>
      </c>
      <c r="B1408" s="9"/>
      <c r="C1408" s="9" t="s">
        <v>110</v>
      </c>
      <c r="D1408" s="9" t="s">
        <v>332</v>
      </c>
      <c r="E1408" s="9" t="s">
        <v>17</v>
      </c>
      <c r="F1408" s="9" t="s">
        <v>17</v>
      </c>
      <c r="G1408" s="9" t="s">
        <v>24</v>
      </c>
      <c r="H1408" s="9" t="s">
        <v>17</v>
      </c>
      <c r="I1408" s="9" t="s">
        <v>20</v>
      </c>
      <c r="J1408" s="10"/>
      <c r="K1408" s="7"/>
      <c r="L1408" s="7"/>
      <c r="M1408" s="7"/>
      <c r="N1408" s="7"/>
      <c r="O1408" s="7"/>
    </row>
    <row r="1409" ht="22.5" hidden="1" customHeight="1">
      <c r="A1409" s="8">
        <v>45853.37533152778</v>
      </c>
      <c r="B1409" s="9"/>
      <c r="C1409" s="9" t="s">
        <v>110</v>
      </c>
      <c r="D1409" s="9" t="s">
        <v>261</v>
      </c>
      <c r="E1409" s="9" t="s">
        <v>17</v>
      </c>
      <c r="F1409" s="9" t="s">
        <v>17</v>
      </c>
      <c r="G1409" s="9" t="s">
        <v>24</v>
      </c>
      <c r="H1409" s="9" t="s">
        <v>17</v>
      </c>
      <c r="I1409" s="9" t="s">
        <v>20</v>
      </c>
      <c r="J1409" s="10"/>
      <c r="K1409" s="7"/>
      <c r="L1409" s="7"/>
      <c r="M1409" s="7"/>
      <c r="N1409" s="7"/>
      <c r="O1409" s="7"/>
    </row>
    <row r="1410" ht="22.5" hidden="1" customHeight="1">
      <c r="A1410" s="8">
        <v>45853.37602800926</v>
      </c>
      <c r="B1410" s="9"/>
      <c r="C1410" s="9" t="s">
        <v>110</v>
      </c>
      <c r="D1410" s="9" t="s">
        <v>379</v>
      </c>
      <c r="E1410" s="9" t="s">
        <v>17</v>
      </c>
      <c r="F1410" s="9" t="s">
        <v>60</v>
      </c>
      <c r="G1410" s="9" t="s">
        <v>40</v>
      </c>
      <c r="H1410" s="9" t="s">
        <v>17</v>
      </c>
      <c r="I1410" s="9" t="s">
        <v>20</v>
      </c>
      <c r="J1410" s="10"/>
      <c r="K1410" s="7"/>
      <c r="L1410" s="7"/>
      <c r="M1410" s="7"/>
      <c r="N1410" s="7"/>
      <c r="O1410" s="7"/>
    </row>
    <row r="1411" ht="22.5" hidden="1" customHeight="1">
      <c r="A1411" s="8">
        <v>45853.376673356484</v>
      </c>
      <c r="B1411" s="9"/>
      <c r="C1411" s="9" t="s">
        <v>110</v>
      </c>
      <c r="D1411" s="9" t="s">
        <v>359</v>
      </c>
      <c r="E1411" s="9" t="s">
        <v>17</v>
      </c>
      <c r="F1411" s="9" t="s">
        <v>17</v>
      </c>
      <c r="G1411" s="9" t="s">
        <v>24</v>
      </c>
      <c r="H1411" s="9" t="s">
        <v>17</v>
      </c>
      <c r="I1411" s="9" t="s">
        <v>20</v>
      </c>
      <c r="J1411" s="10"/>
      <c r="K1411" s="7"/>
      <c r="L1411" s="7"/>
      <c r="M1411" s="7"/>
      <c r="N1411" s="7"/>
      <c r="O1411" s="7"/>
    </row>
    <row r="1412" ht="22.5" hidden="1" customHeight="1">
      <c r="A1412" s="8">
        <v>45853.377101875</v>
      </c>
      <c r="B1412" s="9"/>
      <c r="C1412" s="9" t="s">
        <v>110</v>
      </c>
      <c r="D1412" s="9" t="s">
        <v>23</v>
      </c>
      <c r="E1412" s="9" t="s">
        <v>17</v>
      </c>
      <c r="F1412" s="9" t="s">
        <v>17</v>
      </c>
      <c r="G1412" s="9" t="s">
        <v>24</v>
      </c>
      <c r="H1412" s="9" t="s">
        <v>17</v>
      </c>
      <c r="I1412" s="9" t="s">
        <v>128</v>
      </c>
      <c r="J1412" s="10"/>
      <c r="K1412" s="7"/>
      <c r="L1412" s="7"/>
      <c r="M1412" s="7"/>
      <c r="N1412" s="7"/>
      <c r="O1412" s="7"/>
    </row>
    <row r="1413" ht="22.5" hidden="1" customHeight="1">
      <c r="A1413" s="8">
        <v>45853.37750973379</v>
      </c>
      <c r="B1413" s="9"/>
      <c r="C1413" s="9" t="s">
        <v>110</v>
      </c>
      <c r="D1413" s="9" t="s">
        <v>352</v>
      </c>
      <c r="E1413" s="9" t="s">
        <v>17</v>
      </c>
      <c r="F1413" s="9" t="s">
        <v>17</v>
      </c>
      <c r="G1413" s="9" t="s">
        <v>24</v>
      </c>
      <c r="H1413" s="9" t="s">
        <v>17</v>
      </c>
      <c r="I1413" s="9" t="s">
        <v>20</v>
      </c>
      <c r="J1413" s="10"/>
      <c r="K1413" s="7"/>
      <c r="L1413" s="7"/>
      <c r="M1413" s="7"/>
      <c r="N1413" s="7"/>
      <c r="O1413" s="7"/>
    </row>
    <row r="1414" ht="22.5" hidden="1" customHeight="1">
      <c r="A1414" s="8">
        <v>45853.37786818287</v>
      </c>
      <c r="B1414" s="9"/>
      <c r="C1414" s="9" t="s">
        <v>110</v>
      </c>
      <c r="D1414" s="9" t="s">
        <v>155</v>
      </c>
      <c r="E1414" s="9" t="s">
        <v>17</v>
      </c>
      <c r="F1414" s="9" t="s">
        <v>43</v>
      </c>
      <c r="G1414" s="9" t="s">
        <v>19</v>
      </c>
      <c r="H1414" s="9" t="s">
        <v>17</v>
      </c>
      <c r="I1414" s="9" t="s">
        <v>20</v>
      </c>
      <c r="J1414" s="10"/>
      <c r="K1414" s="7"/>
      <c r="L1414" s="7"/>
      <c r="M1414" s="7"/>
      <c r="N1414" s="7"/>
      <c r="O1414" s="7"/>
    </row>
    <row r="1415" ht="22.5" hidden="1" customHeight="1">
      <c r="A1415" s="8">
        <v>45853.37984565972</v>
      </c>
      <c r="B1415" s="9"/>
      <c r="C1415" s="9" t="s">
        <v>110</v>
      </c>
      <c r="D1415" s="9" t="s">
        <v>227</v>
      </c>
      <c r="E1415" s="9" t="s">
        <v>17</v>
      </c>
      <c r="F1415" s="9" t="s">
        <v>17</v>
      </c>
      <c r="G1415" s="9" t="s">
        <v>24</v>
      </c>
      <c r="H1415" s="9" t="s">
        <v>17</v>
      </c>
      <c r="I1415" s="9" t="s">
        <v>20</v>
      </c>
      <c r="J1415" s="10"/>
      <c r="K1415" s="7"/>
      <c r="L1415" s="7"/>
      <c r="M1415" s="7"/>
      <c r="N1415" s="7"/>
      <c r="O1415" s="7"/>
    </row>
    <row r="1416" ht="22.5" hidden="1" customHeight="1">
      <c r="A1416" s="8">
        <v>45853.380174039354</v>
      </c>
      <c r="B1416" s="9"/>
      <c r="C1416" s="9" t="s">
        <v>110</v>
      </c>
      <c r="D1416" s="9" t="s">
        <v>254</v>
      </c>
      <c r="E1416" s="9" t="s">
        <v>17</v>
      </c>
      <c r="F1416" s="9" t="s">
        <v>60</v>
      </c>
      <c r="G1416" s="9" t="s">
        <v>40</v>
      </c>
      <c r="H1416" s="9" t="s">
        <v>17</v>
      </c>
      <c r="I1416" s="9" t="s">
        <v>20</v>
      </c>
      <c r="J1416" s="10"/>
      <c r="K1416" s="7"/>
      <c r="L1416" s="7"/>
      <c r="M1416" s="7"/>
      <c r="N1416" s="7"/>
      <c r="O1416" s="7"/>
    </row>
    <row r="1417" ht="22.5" hidden="1" customHeight="1">
      <c r="A1417" s="8">
        <v>45853.3831139699</v>
      </c>
      <c r="B1417" s="9"/>
      <c r="C1417" s="9" t="s">
        <v>110</v>
      </c>
      <c r="D1417" s="9" t="s">
        <v>380</v>
      </c>
      <c r="E1417" s="9" t="s">
        <v>17</v>
      </c>
      <c r="F1417" s="9" t="s">
        <v>18</v>
      </c>
      <c r="G1417" s="9" t="s">
        <v>24</v>
      </c>
      <c r="H1417" s="9" t="s">
        <v>17</v>
      </c>
      <c r="I1417" s="9" t="s">
        <v>20</v>
      </c>
      <c r="J1417" s="10"/>
      <c r="K1417" s="7"/>
      <c r="L1417" s="7"/>
      <c r="M1417" s="7"/>
      <c r="N1417" s="7"/>
      <c r="O1417" s="7"/>
    </row>
    <row r="1418" ht="22.5" hidden="1" customHeight="1">
      <c r="A1418" s="8">
        <v>45853.38710179398</v>
      </c>
      <c r="B1418" s="9"/>
      <c r="C1418" s="9" t="s">
        <v>110</v>
      </c>
      <c r="D1418" s="9" t="s">
        <v>365</v>
      </c>
      <c r="E1418" s="9" t="s">
        <v>17</v>
      </c>
      <c r="F1418" s="9" t="s">
        <v>18</v>
      </c>
      <c r="G1418" s="9" t="s">
        <v>19</v>
      </c>
      <c r="H1418" s="9" t="s">
        <v>25</v>
      </c>
      <c r="I1418" s="9" t="s">
        <v>242</v>
      </c>
      <c r="J1418" s="10"/>
      <c r="K1418" s="7"/>
      <c r="L1418" s="7"/>
      <c r="M1418" s="7"/>
      <c r="N1418" s="7"/>
      <c r="O1418" s="7"/>
    </row>
    <row r="1419" ht="22.5" hidden="1" customHeight="1">
      <c r="A1419" s="8">
        <v>45853.4006508912</v>
      </c>
      <c r="B1419" s="9"/>
      <c r="C1419" s="9" t="s">
        <v>110</v>
      </c>
      <c r="D1419" s="9" t="s">
        <v>277</v>
      </c>
      <c r="E1419" s="9" t="s">
        <v>61</v>
      </c>
      <c r="F1419" s="9" t="s">
        <v>35</v>
      </c>
      <c r="G1419" s="9" t="s">
        <v>24</v>
      </c>
      <c r="H1419" s="9" t="s">
        <v>62</v>
      </c>
      <c r="I1419" s="9" t="s">
        <v>20</v>
      </c>
      <c r="J1419" s="10"/>
      <c r="K1419" s="7"/>
      <c r="L1419" s="7"/>
      <c r="M1419" s="7"/>
      <c r="N1419" s="7"/>
      <c r="O1419" s="7"/>
    </row>
    <row r="1420" ht="22.5" hidden="1" customHeight="1">
      <c r="A1420" s="8">
        <v>45854.321488912035</v>
      </c>
      <c r="B1420" s="9"/>
      <c r="C1420" s="9" t="s">
        <v>15</v>
      </c>
      <c r="D1420" s="9" t="s">
        <v>23</v>
      </c>
      <c r="E1420" s="9" t="s">
        <v>17</v>
      </c>
      <c r="F1420" s="9" t="s">
        <v>17</v>
      </c>
      <c r="G1420" s="9" t="s">
        <v>24</v>
      </c>
      <c r="H1420" s="9" t="s">
        <v>17</v>
      </c>
      <c r="I1420" s="9" t="s">
        <v>20</v>
      </c>
      <c r="J1420" s="10"/>
      <c r="K1420" s="7"/>
      <c r="L1420" s="7"/>
      <c r="M1420" s="7"/>
      <c r="N1420" s="7"/>
      <c r="O1420" s="7"/>
    </row>
    <row r="1421" ht="22.5" hidden="1" customHeight="1">
      <c r="A1421" s="8">
        <v>45854.32203862269</v>
      </c>
      <c r="B1421" s="9"/>
      <c r="C1421" s="9" t="s">
        <v>15</v>
      </c>
      <c r="D1421" s="9" t="s">
        <v>54</v>
      </c>
      <c r="E1421" s="9" t="s">
        <v>17</v>
      </c>
      <c r="F1421" s="9" t="s">
        <v>17</v>
      </c>
      <c r="G1421" s="9" t="s">
        <v>24</v>
      </c>
      <c r="H1421" s="9" t="s">
        <v>17</v>
      </c>
      <c r="I1421" s="9" t="s">
        <v>20</v>
      </c>
      <c r="J1421" s="10"/>
      <c r="K1421" s="7"/>
      <c r="L1421" s="7"/>
      <c r="M1421" s="7"/>
      <c r="N1421" s="7"/>
      <c r="O1421" s="7"/>
    </row>
    <row r="1422" ht="22.5" hidden="1" customHeight="1">
      <c r="A1422" s="8">
        <v>45854.32337611111</v>
      </c>
      <c r="B1422" s="9"/>
      <c r="C1422" s="9" t="s">
        <v>15</v>
      </c>
      <c r="D1422" s="9" t="s">
        <v>212</v>
      </c>
      <c r="E1422" s="9" t="s">
        <v>17</v>
      </c>
      <c r="F1422" s="9" t="s">
        <v>17</v>
      </c>
      <c r="G1422" s="9" t="s">
        <v>24</v>
      </c>
      <c r="H1422" s="9" t="s">
        <v>17</v>
      </c>
      <c r="I1422" s="9" t="s">
        <v>20</v>
      </c>
      <c r="J1422" s="10"/>
      <c r="K1422" s="7"/>
      <c r="L1422" s="7"/>
      <c r="M1422" s="7"/>
      <c r="N1422" s="7"/>
      <c r="O1422" s="7"/>
    </row>
    <row r="1423" ht="22.5" hidden="1" customHeight="1">
      <c r="A1423" s="8">
        <v>45854.32367549768</v>
      </c>
      <c r="B1423" s="9"/>
      <c r="C1423" s="9" t="s">
        <v>15</v>
      </c>
      <c r="D1423" s="9" t="s">
        <v>354</v>
      </c>
      <c r="E1423" s="9" t="s">
        <v>17</v>
      </c>
      <c r="F1423" s="9" t="s">
        <v>17</v>
      </c>
      <c r="G1423" s="9" t="s">
        <v>24</v>
      </c>
      <c r="H1423" s="9" t="s">
        <v>17</v>
      </c>
      <c r="I1423" s="9" t="s">
        <v>20</v>
      </c>
      <c r="J1423" s="10"/>
      <c r="K1423" s="7"/>
      <c r="L1423" s="7"/>
      <c r="M1423" s="7"/>
      <c r="N1423" s="7"/>
      <c r="O1423" s="7"/>
    </row>
    <row r="1424" ht="22.5" hidden="1" customHeight="1">
      <c r="A1424" s="8">
        <v>45855.36747208334</v>
      </c>
      <c r="B1424" s="9"/>
      <c r="C1424" s="9" t="s">
        <v>31</v>
      </c>
      <c r="D1424" s="9" t="s">
        <v>51</v>
      </c>
      <c r="E1424" s="9" t="s">
        <v>17</v>
      </c>
      <c r="F1424" s="9" t="s">
        <v>17</v>
      </c>
      <c r="G1424" s="9" t="s">
        <v>40</v>
      </c>
      <c r="H1424" s="9" t="s">
        <v>17</v>
      </c>
      <c r="I1424" s="9" t="s">
        <v>20</v>
      </c>
      <c r="J1424" s="10"/>
      <c r="K1424" s="7"/>
      <c r="L1424" s="7"/>
      <c r="M1424" s="7"/>
      <c r="N1424" s="7"/>
      <c r="O1424" s="7"/>
    </row>
    <row r="1425" ht="22.5" hidden="1" customHeight="1">
      <c r="A1425" s="8">
        <v>45855.37296649306</v>
      </c>
      <c r="B1425" s="9"/>
      <c r="C1425" s="9" t="s">
        <v>31</v>
      </c>
      <c r="D1425" s="9" t="s">
        <v>380</v>
      </c>
      <c r="E1425" s="9" t="s">
        <v>17</v>
      </c>
      <c r="F1425" s="9" t="s">
        <v>17</v>
      </c>
      <c r="G1425" s="9" t="s">
        <v>24</v>
      </c>
      <c r="H1425" s="9" t="s">
        <v>17</v>
      </c>
      <c r="I1425" s="9" t="s">
        <v>20</v>
      </c>
      <c r="J1425" s="10"/>
      <c r="K1425" s="7"/>
      <c r="L1425" s="7"/>
      <c r="M1425" s="7"/>
      <c r="N1425" s="7"/>
      <c r="O1425" s="7"/>
    </row>
    <row r="1426" ht="22.5" hidden="1" customHeight="1">
      <c r="A1426" s="8">
        <v>45855.375525428244</v>
      </c>
      <c r="B1426" s="9"/>
      <c r="C1426" s="9" t="s">
        <v>31</v>
      </c>
      <c r="D1426" s="9" t="s">
        <v>261</v>
      </c>
      <c r="E1426" s="9" t="s">
        <v>17</v>
      </c>
      <c r="F1426" s="9" t="s">
        <v>17</v>
      </c>
      <c r="G1426" s="9" t="s">
        <v>24</v>
      </c>
      <c r="H1426" s="9" t="s">
        <v>17</v>
      </c>
      <c r="I1426" s="9" t="s">
        <v>20</v>
      </c>
      <c r="J1426" s="10"/>
      <c r="K1426" s="7"/>
      <c r="L1426" s="7"/>
      <c r="M1426" s="7"/>
      <c r="N1426" s="7"/>
      <c r="O1426" s="7"/>
    </row>
    <row r="1427" ht="22.5" hidden="1" customHeight="1">
      <c r="A1427" s="8">
        <v>45855.377532453705</v>
      </c>
      <c r="B1427" s="9"/>
      <c r="C1427" s="9" t="s">
        <v>31</v>
      </c>
      <c r="D1427" s="9" t="s">
        <v>198</v>
      </c>
      <c r="E1427" s="9" t="s">
        <v>46</v>
      </c>
      <c r="F1427" s="9" t="s">
        <v>17</v>
      </c>
      <c r="G1427" s="9" t="s">
        <v>24</v>
      </c>
      <c r="H1427" s="9" t="s">
        <v>17</v>
      </c>
      <c r="I1427" s="9" t="s">
        <v>20</v>
      </c>
      <c r="J1427" s="10"/>
      <c r="K1427" s="7"/>
      <c r="L1427" s="7"/>
      <c r="M1427" s="7"/>
      <c r="N1427" s="7"/>
      <c r="O1427" s="7"/>
    </row>
    <row r="1428" ht="22.5" hidden="1" customHeight="1">
      <c r="A1428" s="8">
        <v>45855.38035871528</v>
      </c>
      <c r="B1428" s="9"/>
      <c r="C1428" s="9" t="s">
        <v>31</v>
      </c>
      <c r="D1428" s="9" t="s">
        <v>133</v>
      </c>
      <c r="E1428" s="9" t="s">
        <v>17</v>
      </c>
      <c r="F1428" s="9" t="s">
        <v>60</v>
      </c>
      <c r="G1428" s="9" t="s">
        <v>40</v>
      </c>
      <c r="H1428" s="9" t="s">
        <v>25</v>
      </c>
      <c r="I1428" s="9" t="s">
        <v>381</v>
      </c>
      <c r="J1428" s="10"/>
      <c r="K1428" s="7"/>
      <c r="L1428" s="7"/>
      <c r="M1428" s="7"/>
      <c r="N1428" s="7"/>
      <c r="O1428" s="7"/>
    </row>
    <row r="1429" ht="22.5" hidden="1" customHeight="1">
      <c r="A1429" s="8">
        <v>45855.38137232639</v>
      </c>
      <c r="B1429" s="9"/>
      <c r="C1429" s="9" t="s">
        <v>31</v>
      </c>
      <c r="D1429" s="9" t="s">
        <v>243</v>
      </c>
      <c r="E1429" s="9" t="s">
        <v>17</v>
      </c>
      <c r="F1429" s="9" t="s">
        <v>17</v>
      </c>
      <c r="G1429" s="9" t="s">
        <v>24</v>
      </c>
      <c r="H1429" s="9" t="s">
        <v>25</v>
      </c>
      <c r="I1429" s="9" t="s">
        <v>207</v>
      </c>
      <c r="J1429" s="10"/>
      <c r="K1429" s="7"/>
      <c r="L1429" s="7"/>
      <c r="M1429" s="7"/>
      <c r="N1429" s="7"/>
      <c r="O1429" s="7"/>
    </row>
    <row r="1430" ht="22.5" hidden="1" customHeight="1">
      <c r="A1430" s="8">
        <v>45855.38216258102</v>
      </c>
      <c r="B1430" s="9"/>
      <c r="C1430" s="9" t="s">
        <v>31</v>
      </c>
      <c r="D1430" s="9" t="s">
        <v>382</v>
      </c>
      <c r="E1430" s="9" t="s">
        <v>17</v>
      </c>
      <c r="F1430" s="9" t="s">
        <v>17</v>
      </c>
      <c r="G1430" s="9" t="s">
        <v>40</v>
      </c>
      <c r="H1430" s="9" t="s">
        <v>17</v>
      </c>
      <c r="I1430" s="9" t="s">
        <v>20</v>
      </c>
      <c r="J1430" s="10"/>
      <c r="K1430" s="7"/>
      <c r="L1430" s="7"/>
      <c r="M1430" s="7"/>
      <c r="N1430" s="7"/>
      <c r="O1430" s="7"/>
    </row>
    <row r="1431" ht="22.5" hidden="1" customHeight="1">
      <c r="A1431" s="8">
        <v>45855.38321804398</v>
      </c>
      <c r="B1431" s="9"/>
      <c r="C1431" s="9" t="s">
        <v>31</v>
      </c>
      <c r="D1431" s="9" t="s">
        <v>335</v>
      </c>
      <c r="E1431" s="9" t="s">
        <v>17</v>
      </c>
      <c r="F1431" s="9" t="s">
        <v>17</v>
      </c>
      <c r="G1431" s="9" t="s">
        <v>24</v>
      </c>
      <c r="H1431" s="9" t="s">
        <v>17</v>
      </c>
      <c r="I1431" s="9" t="s">
        <v>20</v>
      </c>
      <c r="J1431" s="10"/>
      <c r="K1431" s="7"/>
      <c r="L1431" s="7"/>
      <c r="M1431" s="7"/>
      <c r="N1431" s="7"/>
      <c r="O1431" s="7"/>
    </row>
    <row r="1432" ht="22.5" hidden="1" customHeight="1">
      <c r="A1432" s="8">
        <v>45855.384246030095</v>
      </c>
      <c r="B1432" s="9"/>
      <c r="C1432" s="9" t="s">
        <v>31</v>
      </c>
      <c r="D1432" s="9" t="s">
        <v>260</v>
      </c>
      <c r="E1432" s="9" t="s">
        <v>17</v>
      </c>
      <c r="F1432" s="9" t="s">
        <v>17</v>
      </c>
      <c r="G1432" s="9" t="s">
        <v>24</v>
      </c>
      <c r="H1432" s="9" t="s">
        <v>17</v>
      </c>
      <c r="I1432" s="9" t="s">
        <v>20</v>
      </c>
      <c r="J1432" s="10"/>
      <c r="K1432" s="7"/>
      <c r="L1432" s="7"/>
      <c r="M1432" s="7"/>
      <c r="N1432" s="7"/>
      <c r="O1432" s="7"/>
    </row>
    <row r="1433" ht="22.5" hidden="1" customHeight="1">
      <c r="A1433" s="8">
        <v>45855.38463759259</v>
      </c>
      <c r="B1433" s="9"/>
      <c r="C1433" s="9" t="s">
        <v>31</v>
      </c>
      <c r="D1433" s="9" t="s">
        <v>23</v>
      </c>
      <c r="E1433" s="9" t="s">
        <v>17</v>
      </c>
      <c r="F1433" s="9" t="s">
        <v>17</v>
      </c>
      <c r="G1433" s="9" t="s">
        <v>24</v>
      </c>
      <c r="H1433" s="9" t="s">
        <v>17</v>
      </c>
      <c r="I1433" s="9" t="s">
        <v>20</v>
      </c>
      <c r="J1433" s="10"/>
      <c r="K1433" s="7"/>
      <c r="L1433" s="7"/>
      <c r="M1433" s="7"/>
      <c r="N1433" s="7"/>
      <c r="O1433" s="7"/>
    </row>
    <row r="1434" ht="22.5" hidden="1" customHeight="1">
      <c r="A1434" s="8">
        <v>45855.3861230787</v>
      </c>
      <c r="B1434" s="9"/>
      <c r="C1434" s="9" t="s">
        <v>31</v>
      </c>
      <c r="D1434" s="9" t="s">
        <v>352</v>
      </c>
      <c r="E1434" s="9" t="s">
        <v>17</v>
      </c>
      <c r="F1434" s="9" t="s">
        <v>17</v>
      </c>
      <c r="G1434" s="9" t="s">
        <v>24</v>
      </c>
      <c r="H1434" s="9" t="s">
        <v>17</v>
      </c>
      <c r="I1434" s="9" t="s">
        <v>20</v>
      </c>
      <c r="J1434" s="10"/>
      <c r="K1434" s="7"/>
      <c r="L1434" s="7"/>
      <c r="M1434" s="7"/>
      <c r="N1434" s="7"/>
      <c r="O1434" s="7"/>
    </row>
    <row r="1435" ht="22.5" hidden="1" customHeight="1">
      <c r="A1435" s="8">
        <v>45855.39579116898</v>
      </c>
      <c r="B1435" s="9"/>
      <c r="C1435" s="9" t="s">
        <v>31</v>
      </c>
      <c r="D1435" s="9" t="s">
        <v>230</v>
      </c>
      <c r="E1435" s="9" t="s">
        <v>46</v>
      </c>
      <c r="F1435" s="9" t="s">
        <v>17</v>
      </c>
      <c r="G1435" s="9" t="s">
        <v>40</v>
      </c>
      <c r="H1435" s="9" t="s">
        <v>25</v>
      </c>
      <c r="I1435" s="9" t="s">
        <v>79</v>
      </c>
      <c r="J1435" s="10"/>
      <c r="K1435" s="7"/>
      <c r="L1435" s="7"/>
      <c r="M1435" s="7"/>
      <c r="N1435" s="7"/>
      <c r="O1435" s="7"/>
    </row>
    <row r="1436" ht="22.5" hidden="1" customHeight="1">
      <c r="A1436" s="8">
        <v>45855.398065891204</v>
      </c>
      <c r="B1436" s="9"/>
      <c r="C1436" s="9" t="s">
        <v>31</v>
      </c>
      <c r="D1436" s="9" t="s">
        <v>108</v>
      </c>
      <c r="E1436" s="9" t="s">
        <v>17</v>
      </c>
      <c r="F1436" s="9" t="s">
        <v>17</v>
      </c>
      <c r="G1436" s="9" t="s">
        <v>24</v>
      </c>
      <c r="H1436" s="9" t="s">
        <v>17</v>
      </c>
      <c r="I1436" s="9" t="s">
        <v>20</v>
      </c>
      <c r="J1436" s="10"/>
      <c r="K1436" s="7"/>
      <c r="L1436" s="7"/>
      <c r="M1436" s="7"/>
      <c r="N1436" s="7"/>
      <c r="O1436" s="7"/>
    </row>
    <row r="1437" ht="22.5" hidden="1" customHeight="1">
      <c r="A1437" s="8">
        <v>45855.398505833335</v>
      </c>
      <c r="B1437" s="9"/>
      <c r="C1437" s="9" t="s">
        <v>31</v>
      </c>
      <c r="D1437" s="9" t="s">
        <v>155</v>
      </c>
      <c r="E1437" s="9" t="s">
        <v>17</v>
      </c>
      <c r="F1437" s="9" t="s">
        <v>43</v>
      </c>
      <c r="G1437" s="9" t="s">
        <v>24</v>
      </c>
      <c r="H1437" s="9" t="s">
        <v>17</v>
      </c>
      <c r="I1437" s="9" t="s">
        <v>20</v>
      </c>
      <c r="J1437" s="10"/>
      <c r="K1437" s="7"/>
      <c r="L1437" s="7"/>
      <c r="M1437" s="7"/>
      <c r="N1437" s="7"/>
      <c r="O1437" s="7"/>
    </row>
    <row r="1438" ht="22.5" hidden="1" customHeight="1">
      <c r="A1438" s="8">
        <v>45855.40324158565</v>
      </c>
      <c r="B1438" s="9"/>
      <c r="C1438" s="9" t="s">
        <v>31</v>
      </c>
      <c r="D1438" s="9" t="s">
        <v>54</v>
      </c>
      <c r="E1438" s="9" t="s">
        <v>17</v>
      </c>
      <c r="F1438" s="9" t="s">
        <v>17</v>
      </c>
      <c r="G1438" s="9" t="s">
        <v>24</v>
      </c>
      <c r="H1438" s="9" t="s">
        <v>17</v>
      </c>
      <c r="I1438" s="9" t="s">
        <v>20</v>
      </c>
      <c r="J1438" s="10"/>
      <c r="K1438" s="7"/>
      <c r="L1438" s="7"/>
      <c r="M1438" s="7"/>
      <c r="N1438" s="7"/>
      <c r="O1438" s="7"/>
    </row>
    <row r="1439" ht="22.5" hidden="1" customHeight="1">
      <c r="A1439" s="8">
        <v>45855.40498895833</v>
      </c>
      <c r="B1439" s="9"/>
      <c r="C1439" s="9" t="s">
        <v>31</v>
      </c>
      <c r="D1439" s="9" t="s">
        <v>365</v>
      </c>
      <c r="E1439" s="9" t="s">
        <v>17</v>
      </c>
      <c r="F1439" s="9" t="s">
        <v>17</v>
      </c>
      <c r="G1439" s="9" t="s">
        <v>24</v>
      </c>
      <c r="H1439" s="9" t="s">
        <v>17</v>
      </c>
      <c r="I1439" s="9" t="s">
        <v>20</v>
      </c>
      <c r="J1439" s="10"/>
      <c r="K1439" s="7"/>
      <c r="L1439" s="7"/>
      <c r="M1439" s="7"/>
      <c r="N1439" s="7"/>
      <c r="O1439" s="7"/>
    </row>
    <row r="1440" ht="22.5" hidden="1" customHeight="1">
      <c r="A1440" s="8">
        <v>45855.40539922453</v>
      </c>
      <c r="B1440" s="9"/>
      <c r="C1440" s="9" t="s">
        <v>31</v>
      </c>
      <c r="D1440" s="9" t="s">
        <v>332</v>
      </c>
      <c r="E1440" s="9" t="s">
        <v>17</v>
      </c>
      <c r="F1440" s="9" t="s">
        <v>17</v>
      </c>
      <c r="G1440" s="9" t="s">
        <v>24</v>
      </c>
      <c r="H1440" s="9" t="s">
        <v>25</v>
      </c>
      <c r="I1440" s="9" t="s">
        <v>79</v>
      </c>
      <c r="J1440" s="10"/>
      <c r="K1440" s="7"/>
      <c r="L1440" s="7"/>
      <c r="M1440" s="7"/>
      <c r="N1440" s="7"/>
      <c r="O1440" s="7"/>
    </row>
    <row r="1441" ht="22.5" hidden="1" customHeight="1">
      <c r="A1441" s="8">
        <v>45856.31521206019</v>
      </c>
      <c r="B1441" s="9"/>
      <c r="C1441" s="9" t="s">
        <v>48</v>
      </c>
      <c r="D1441" s="9" t="s">
        <v>258</v>
      </c>
      <c r="E1441" s="9" t="s">
        <v>17</v>
      </c>
      <c r="F1441" s="9" t="s">
        <v>17</v>
      </c>
      <c r="G1441" s="9" t="s">
        <v>24</v>
      </c>
      <c r="H1441" s="9" t="s">
        <v>17</v>
      </c>
      <c r="I1441" s="9" t="s">
        <v>20</v>
      </c>
      <c r="J1441" s="10"/>
      <c r="K1441" s="7"/>
      <c r="L1441" s="7"/>
      <c r="M1441" s="7"/>
      <c r="N1441" s="7"/>
      <c r="O1441" s="7"/>
    </row>
    <row r="1442" ht="22.5" hidden="1" customHeight="1">
      <c r="A1442" s="8">
        <v>45856.3161809375</v>
      </c>
      <c r="B1442" s="9"/>
      <c r="C1442" s="9" t="s">
        <v>48</v>
      </c>
      <c r="D1442" s="9" t="s">
        <v>352</v>
      </c>
      <c r="E1442" s="9" t="s">
        <v>17</v>
      </c>
      <c r="F1442" s="9" t="s">
        <v>17</v>
      </c>
      <c r="G1442" s="9" t="s">
        <v>24</v>
      </c>
      <c r="H1442" s="9" t="s">
        <v>17</v>
      </c>
      <c r="I1442" s="9" t="s">
        <v>20</v>
      </c>
      <c r="J1442" s="10"/>
      <c r="K1442" s="7"/>
      <c r="L1442" s="7"/>
      <c r="M1442" s="7"/>
      <c r="N1442" s="7"/>
      <c r="O1442" s="7"/>
    </row>
    <row r="1443" ht="22.5" hidden="1" customHeight="1">
      <c r="A1443" s="8">
        <v>45856.31743039352</v>
      </c>
      <c r="B1443" s="9"/>
      <c r="C1443" s="9" t="s">
        <v>48</v>
      </c>
      <c r="D1443" s="9" t="s">
        <v>376</v>
      </c>
      <c r="E1443" s="9" t="s">
        <v>17</v>
      </c>
      <c r="F1443" s="9" t="s">
        <v>17</v>
      </c>
      <c r="G1443" s="9" t="s">
        <v>24</v>
      </c>
      <c r="H1443" s="9" t="s">
        <v>25</v>
      </c>
      <c r="I1443" s="9" t="s">
        <v>173</v>
      </c>
      <c r="J1443" s="10"/>
      <c r="K1443" s="7"/>
      <c r="L1443" s="7"/>
      <c r="M1443" s="7"/>
      <c r="N1443" s="7"/>
      <c r="O1443" s="7"/>
    </row>
    <row r="1444" ht="22.5" hidden="1" customHeight="1">
      <c r="A1444" s="8">
        <v>45856.32407188657</v>
      </c>
      <c r="B1444" s="9"/>
      <c r="C1444" s="9" t="s">
        <v>48</v>
      </c>
      <c r="D1444" s="9" t="s">
        <v>51</v>
      </c>
      <c r="E1444" s="9" t="s">
        <v>17</v>
      </c>
      <c r="F1444" s="9" t="s">
        <v>17</v>
      </c>
      <c r="G1444" s="9" t="s">
        <v>24</v>
      </c>
      <c r="H1444" s="9" t="s">
        <v>25</v>
      </c>
      <c r="I1444" s="9" t="s">
        <v>240</v>
      </c>
      <c r="J1444" s="10"/>
      <c r="K1444" s="7"/>
      <c r="L1444" s="7"/>
      <c r="M1444" s="7"/>
      <c r="N1444" s="7"/>
      <c r="O1444" s="7"/>
    </row>
    <row r="1445" ht="22.5" hidden="1" customHeight="1">
      <c r="A1445" s="8">
        <v>45856.32531734953</v>
      </c>
      <c r="B1445" s="9"/>
      <c r="C1445" s="9" t="s">
        <v>48</v>
      </c>
      <c r="D1445" s="9" t="s">
        <v>23</v>
      </c>
      <c r="E1445" s="9" t="s">
        <v>17</v>
      </c>
      <c r="F1445" s="9" t="s">
        <v>17</v>
      </c>
      <c r="G1445" s="9" t="s">
        <v>24</v>
      </c>
      <c r="H1445" s="9" t="s">
        <v>17</v>
      </c>
      <c r="I1445" s="9" t="s">
        <v>20</v>
      </c>
      <c r="J1445" s="10"/>
      <c r="K1445" s="7"/>
      <c r="L1445" s="7"/>
      <c r="M1445" s="7"/>
      <c r="N1445" s="7"/>
      <c r="O1445" s="7"/>
    </row>
    <row r="1446" ht="22.5" hidden="1" customHeight="1">
      <c r="A1446" s="8">
        <v>45856.327065474536</v>
      </c>
      <c r="B1446" s="9"/>
      <c r="C1446" s="9" t="s">
        <v>48</v>
      </c>
      <c r="D1446" s="9" t="s">
        <v>332</v>
      </c>
      <c r="E1446" s="9" t="s">
        <v>17</v>
      </c>
      <c r="F1446" s="9" t="s">
        <v>17</v>
      </c>
      <c r="G1446" s="9" t="s">
        <v>24</v>
      </c>
      <c r="H1446" s="9" t="s">
        <v>17</v>
      </c>
      <c r="I1446" s="9" t="s">
        <v>20</v>
      </c>
      <c r="J1446" s="10"/>
      <c r="K1446" s="7"/>
      <c r="L1446" s="7"/>
      <c r="M1446" s="7"/>
      <c r="N1446" s="7"/>
      <c r="O1446" s="7"/>
    </row>
    <row r="1447" ht="22.5" hidden="1" customHeight="1">
      <c r="A1447" s="8">
        <v>45856.32769686343</v>
      </c>
      <c r="B1447" s="9"/>
      <c r="C1447" s="9" t="s">
        <v>48</v>
      </c>
      <c r="D1447" s="9" t="s">
        <v>383</v>
      </c>
      <c r="E1447" s="9" t="s">
        <v>17</v>
      </c>
      <c r="F1447" s="9" t="s">
        <v>17</v>
      </c>
      <c r="G1447" s="9" t="s">
        <v>24</v>
      </c>
      <c r="H1447" s="9" t="s">
        <v>17</v>
      </c>
      <c r="I1447" s="9" t="s">
        <v>20</v>
      </c>
      <c r="J1447" s="10"/>
      <c r="K1447" s="7"/>
      <c r="L1447" s="7"/>
      <c r="M1447" s="7"/>
      <c r="N1447" s="7"/>
      <c r="O1447" s="7"/>
    </row>
    <row r="1448" ht="22.5" hidden="1" customHeight="1">
      <c r="A1448" s="8">
        <v>45856.33003814815</v>
      </c>
      <c r="B1448" s="9"/>
      <c r="C1448" s="9" t="s">
        <v>48</v>
      </c>
      <c r="D1448" s="9" t="s">
        <v>133</v>
      </c>
      <c r="E1448" s="9" t="s">
        <v>17</v>
      </c>
      <c r="F1448" s="9" t="s">
        <v>17</v>
      </c>
      <c r="G1448" s="9" t="s">
        <v>24</v>
      </c>
      <c r="H1448" s="9" t="s">
        <v>25</v>
      </c>
      <c r="I1448" s="9" t="s">
        <v>381</v>
      </c>
      <c r="J1448" s="10"/>
      <c r="K1448" s="7"/>
      <c r="L1448" s="7"/>
      <c r="M1448" s="7"/>
      <c r="N1448" s="7"/>
      <c r="O1448" s="7"/>
    </row>
    <row r="1449" ht="22.5" hidden="1" customHeight="1">
      <c r="A1449" s="8">
        <v>45856.330287951394</v>
      </c>
      <c r="B1449" s="9"/>
      <c r="C1449" s="9" t="s">
        <v>48</v>
      </c>
      <c r="D1449" s="9" t="s">
        <v>198</v>
      </c>
      <c r="E1449" s="9" t="s">
        <v>17</v>
      </c>
      <c r="F1449" s="9" t="s">
        <v>17</v>
      </c>
      <c r="G1449" s="9" t="s">
        <v>24</v>
      </c>
      <c r="H1449" s="9" t="s">
        <v>25</v>
      </c>
      <c r="I1449" s="9" t="s">
        <v>207</v>
      </c>
      <c r="J1449" s="10"/>
      <c r="K1449" s="7"/>
      <c r="L1449" s="7"/>
      <c r="M1449" s="7"/>
      <c r="N1449" s="7"/>
      <c r="O1449" s="7"/>
    </row>
    <row r="1450" ht="22.5" hidden="1" customHeight="1">
      <c r="A1450" s="8">
        <v>45856.33126666667</v>
      </c>
      <c r="B1450" s="9"/>
      <c r="C1450" s="9" t="s">
        <v>48</v>
      </c>
      <c r="D1450" s="9" t="s">
        <v>356</v>
      </c>
      <c r="E1450" s="9" t="s">
        <v>17</v>
      </c>
      <c r="F1450" s="9" t="s">
        <v>18</v>
      </c>
      <c r="G1450" s="9" t="s">
        <v>24</v>
      </c>
      <c r="H1450" s="9" t="s">
        <v>25</v>
      </c>
      <c r="I1450" s="9" t="s">
        <v>218</v>
      </c>
      <c r="J1450" s="10"/>
      <c r="K1450" s="7"/>
      <c r="L1450" s="7"/>
      <c r="M1450" s="7"/>
      <c r="N1450" s="7"/>
      <c r="O1450" s="7"/>
    </row>
    <row r="1451" ht="22.5" hidden="1" customHeight="1">
      <c r="A1451" s="8">
        <v>45856.33197035879</v>
      </c>
      <c r="B1451" s="9"/>
      <c r="C1451" s="9" t="s">
        <v>48</v>
      </c>
      <c r="D1451" s="9" t="s">
        <v>378</v>
      </c>
      <c r="E1451" s="9" t="s">
        <v>17</v>
      </c>
      <c r="F1451" s="9" t="s">
        <v>17</v>
      </c>
      <c r="G1451" s="9" t="s">
        <v>24</v>
      </c>
      <c r="H1451" s="9" t="s">
        <v>25</v>
      </c>
      <c r="I1451" s="9" t="s">
        <v>384</v>
      </c>
      <c r="J1451" s="10"/>
      <c r="K1451" s="7"/>
      <c r="L1451" s="7"/>
      <c r="M1451" s="7"/>
      <c r="N1451" s="7"/>
      <c r="O1451" s="7"/>
    </row>
    <row r="1452" ht="22.5" hidden="1" customHeight="1">
      <c r="A1452" s="8">
        <v>45856.33254546297</v>
      </c>
      <c r="B1452" s="9"/>
      <c r="C1452" s="9" t="s">
        <v>48</v>
      </c>
      <c r="D1452" s="9" t="s">
        <v>261</v>
      </c>
      <c r="E1452" s="9" t="s">
        <v>17</v>
      </c>
      <c r="F1452" s="9" t="s">
        <v>17</v>
      </c>
      <c r="G1452" s="9" t="s">
        <v>24</v>
      </c>
      <c r="H1452" s="9" t="s">
        <v>17</v>
      </c>
      <c r="I1452" s="9" t="s">
        <v>20</v>
      </c>
      <c r="J1452" s="10"/>
      <c r="K1452" s="7"/>
      <c r="L1452" s="7"/>
      <c r="M1452" s="7"/>
      <c r="N1452" s="7"/>
      <c r="O1452" s="7"/>
    </row>
    <row r="1453" ht="22.5" hidden="1" customHeight="1">
      <c r="A1453" s="8">
        <v>45856.33613827547</v>
      </c>
      <c r="B1453" s="9"/>
      <c r="C1453" s="9" t="s">
        <v>48</v>
      </c>
      <c r="D1453" s="9" t="s">
        <v>230</v>
      </c>
      <c r="E1453" s="9" t="s">
        <v>17</v>
      </c>
      <c r="F1453" s="9" t="s">
        <v>17</v>
      </c>
      <c r="G1453" s="9" t="s">
        <v>24</v>
      </c>
      <c r="H1453" s="9" t="s">
        <v>17</v>
      </c>
      <c r="I1453" s="9" t="s">
        <v>20</v>
      </c>
      <c r="J1453" s="10"/>
      <c r="K1453" s="7"/>
      <c r="L1453" s="7"/>
      <c r="M1453" s="7"/>
      <c r="N1453" s="7"/>
      <c r="O1453" s="7"/>
    </row>
    <row r="1454" ht="22.5" hidden="1" customHeight="1">
      <c r="A1454" s="8">
        <v>45856.33898138889</v>
      </c>
      <c r="B1454" s="9"/>
      <c r="C1454" s="9" t="s">
        <v>48</v>
      </c>
      <c r="D1454" s="9" t="s">
        <v>227</v>
      </c>
      <c r="E1454" s="9" t="s">
        <v>17</v>
      </c>
      <c r="F1454" s="9" t="s">
        <v>17</v>
      </c>
      <c r="G1454" s="9" t="s">
        <v>24</v>
      </c>
      <c r="H1454" s="9" t="s">
        <v>25</v>
      </c>
      <c r="I1454" s="9" t="s">
        <v>240</v>
      </c>
      <c r="J1454" s="10"/>
      <c r="K1454" s="7"/>
      <c r="L1454" s="7"/>
      <c r="M1454" s="7"/>
      <c r="N1454" s="7"/>
      <c r="O1454" s="7"/>
    </row>
    <row r="1455" ht="22.5" hidden="1" customHeight="1">
      <c r="A1455" s="8">
        <v>45856.34175231482</v>
      </c>
      <c r="B1455" s="9"/>
      <c r="C1455" s="9" t="s">
        <v>48</v>
      </c>
      <c r="D1455" s="9" t="s">
        <v>289</v>
      </c>
      <c r="E1455" s="9" t="s">
        <v>17</v>
      </c>
      <c r="F1455" s="9" t="s">
        <v>17</v>
      </c>
      <c r="G1455" s="9" t="s">
        <v>24</v>
      </c>
      <c r="H1455" s="9" t="s">
        <v>25</v>
      </c>
      <c r="I1455" s="9" t="s">
        <v>28</v>
      </c>
      <c r="J1455" s="10"/>
      <c r="K1455" s="7"/>
      <c r="L1455" s="7"/>
      <c r="M1455" s="7"/>
      <c r="N1455" s="7"/>
      <c r="O1455" s="7"/>
    </row>
    <row r="1456" ht="22.5" hidden="1" customHeight="1">
      <c r="A1456" s="8">
        <v>45856.34239875</v>
      </c>
      <c r="B1456" s="9"/>
      <c r="C1456" s="9" t="s">
        <v>48</v>
      </c>
      <c r="D1456" s="9" t="s">
        <v>54</v>
      </c>
      <c r="E1456" s="9" t="s">
        <v>17</v>
      </c>
      <c r="F1456" s="9" t="s">
        <v>18</v>
      </c>
      <c r="G1456" s="9" t="s">
        <v>24</v>
      </c>
      <c r="H1456" s="9" t="s">
        <v>17</v>
      </c>
      <c r="I1456" s="9" t="s">
        <v>20</v>
      </c>
      <c r="J1456" s="10"/>
      <c r="K1456" s="7"/>
      <c r="L1456" s="7"/>
      <c r="M1456" s="7"/>
      <c r="N1456" s="7"/>
      <c r="O1456" s="7"/>
    </row>
    <row r="1457" ht="22.5" hidden="1" customHeight="1">
      <c r="A1457" s="8">
        <v>45856.34567405093</v>
      </c>
      <c r="B1457" s="9"/>
      <c r="C1457" s="9" t="s">
        <v>48</v>
      </c>
      <c r="D1457" s="9" t="s">
        <v>254</v>
      </c>
      <c r="E1457" s="9" t="s">
        <v>17</v>
      </c>
      <c r="F1457" s="9" t="s">
        <v>17</v>
      </c>
      <c r="G1457" s="9" t="s">
        <v>24</v>
      </c>
      <c r="H1457" s="9" t="s">
        <v>25</v>
      </c>
      <c r="I1457" s="9" t="s">
        <v>79</v>
      </c>
      <c r="J1457" s="10"/>
      <c r="K1457" s="7"/>
      <c r="L1457" s="7"/>
      <c r="M1457" s="7"/>
      <c r="N1457" s="7"/>
      <c r="O1457" s="7"/>
    </row>
    <row r="1458" ht="22.5" hidden="1" customHeight="1">
      <c r="A1458" s="8">
        <v>45856.351613935185</v>
      </c>
      <c r="B1458" s="9"/>
      <c r="C1458" s="9" t="s">
        <v>48</v>
      </c>
      <c r="D1458" s="9" t="s">
        <v>365</v>
      </c>
      <c r="E1458" s="9" t="s">
        <v>17</v>
      </c>
      <c r="F1458" s="9" t="s">
        <v>17</v>
      </c>
      <c r="G1458" s="9" t="s">
        <v>24</v>
      </c>
      <c r="H1458" s="9" t="s">
        <v>17</v>
      </c>
      <c r="I1458" s="9" t="s">
        <v>20</v>
      </c>
      <c r="J1458" s="10"/>
      <c r="K1458" s="7"/>
      <c r="L1458" s="7"/>
      <c r="M1458" s="7"/>
      <c r="N1458" s="7"/>
      <c r="O1458" s="7"/>
    </row>
    <row r="1459" ht="22.5" hidden="1" customHeight="1">
      <c r="A1459" s="8">
        <v>45860.35858104167</v>
      </c>
      <c r="B1459" s="9"/>
      <c r="C1459" s="9" t="s">
        <v>110</v>
      </c>
      <c r="D1459" s="9" t="s">
        <v>23</v>
      </c>
      <c r="E1459" s="9" t="s">
        <v>17</v>
      </c>
      <c r="F1459" s="9" t="s">
        <v>17</v>
      </c>
      <c r="G1459" s="9" t="s">
        <v>24</v>
      </c>
      <c r="H1459" s="9" t="s">
        <v>25</v>
      </c>
      <c r="I1459" s="9" t="s">
        <v>385</v>
      </c>
      <c r="J1459" s="10"/>
      <c r="K1459" s="7"/>
      <c r="L1459" s="7"/>
      <c r="M1459" s="7"/>
      <c r="N1459" s="7"/>
      <c r="O1459" s="7"/>
    </row>
    <row r="1460" ht="22.5" hidden="1" customHeight="1">
      <c r="A1460" s="8">
        <v>45860.363784305555</v>
      </c>
      <c r="B1460" s="9"/>
      <c r="C1460" s="9" t="s">
        <v>110</v>
      </c>
      <c r="D1460" s="9" t="s">
        <v>198</v>
      </c>
      <c r="E1460" s="9" t="s">
        <v>17</v>
      </c>
      <c r="F1460" s="9" t="s">
        <v>17</v>
      </c>
      <c r="G1460" s="9" t="s">
        <v>24</v>
      </c>
      <c r="H1460" s="9" t="s">
        <v>25</v>
      </c>
      <c r="I1460" s="9" t="s">
        <v>211</v>
      </c>
      <c r="J1460" s="10"/>
      <c r="K1460" s="7"/>
      <c r="L1460" s="7"/>
      <c r="M1460" s="7"/>
      <c r="N1460" s="7"/>
      <c r="O1460" s="7"/>
    </row>
    <row r="1461" ht="22.5" hidden="1" customHeight="1">
      <c r="A1461" s="8">
        <v>45860.370554189816</v>
      </c>
      <c r="B1461" s="9"/>
      <c r="C1461" s="9" t="s">
        <v>110</v>
      </c>
      <c r="D1461" s="9" t="s">
        <v>133</v>
      </c>
      <c r="E1461" s="9" t="s">
        <v>17</v>
      </c>
      <c r="F1461" s="9" t="s">
        <v>17</v>
      </c>
      <c r="G1461" s="9" t="s">
        <v>24</v>
      </c>
      <c r="H1461" s="9" t="s">
        <v>17</v>
      </c>
      <c r="I1461" s="9" t="s">
        <v>20</v>
      </c>
      <c r="J1461" s="10"/>
      <c r="K1461" s="7"/>
      <c r="L1461" s="7"/>
      <c r="M1461" s="7"/>
      <c r="N1461" s="7"/>
      <c r="O1461" s="7"/>
    </row>
    <row r="1462" ht="22.5" hidden="1" customHeight="1">
      <c r="A1462" s="8">
        <v>45860.37120194444</v>
      </c>
      <c r="B1462" s="9"/>
      <c r="C1462" s="9" t="s">
        <v>110</v>
      </c>
      <c r="D1462" s="9" t="s">
        <v>356</v>
      </c>
      <c r="E1462" s="9" t="s">
        <v>17</v>
      </c>
      <c r="F1462" s="9" t="s">
        <v>17</v>
      </c>
      <c r="G1462" s="9" t="s">
        <v>24</v>
      </c>
      <c r="H1462" s="9" t="s">
        <v>25</v>
      </c>
      <c r="I1462" s="9" t="s">
        <v>211</v>
      </c>
      <c r="J1462" s="10"/>
      <c r="K1462" s="7"/>
      <c r="L1462" s="7"/>
      <c r="M1462" s="7"/>
      <c r="N1462" s="7"/>
      <c r="O1462" s="7"/>
    </row>
    <row r="1463" ht="22.5" hidden="1" customHeight="1">
      <c r="A1463" s="8">
        <v>45860.37207898148</v>
      </c>
      <c r="B1463" s="9"/>
      <c r="C1463" s="9" t="s">
        <v>110</v>
      </c>
      <c r="D1463" s="9" t="s">
        <v>261</v>
      </c>
      <c r="E1463" s="9" t="s">
        <v>17</v>
      </c>
      <c r="F1463" s="9" t="s">
        <v>17</v>
      </c>
      <c r="G1463" s="9" t="s">
        <v>24</v>
      </c>
      <c r="H1463" s="9" t="s">
        <v>17</v>
      </c>
      <c r="I1463" s="9" t="s">
        <v>20</v>
      </c>
      <c r="J1463" s="10"/>
      <c r="K1463" s="7"/>
      <c r="L1463" s="7"/>
      <c r="M1463" s="7"/>
      <c r="N1463" s="7"/>
      <c r="O1463" s="7"/>
    </row>
    <row r="1464" ht="22.5" hidden="1" customHeight="1">
      <c r="A1464" s="8">
        <v>45860.37494908565</v>
      </c>
      <c r="B1464" s="9"/>
      <c r="C1464" s="9" t="s">
        <v>110</v>
      </c>
      <c r="D1464" s="9" t="s">
        <v>376</v>
      </c>
      <c r="E1464" s="9" t="s">
        <v>17</v>
      </c>
      <c r="F1464" s="9" t="s">
        <v>18</v>
      </c>
      <c r="G1464" s="9" t="s">
        <v>24</v>
      </c>
      <c r="H1464" s="9" t="s">
        <v>17</v>
      </c>
      <c r="I1464" s="9" t="s">
        <v>20</v>
      </c>
      <c r="J1464" s="10"/>
      <c r="K1464" s="7"/>
      <c r="L1464" s="7"/>
      <c r="M1464" s="7"/>
      <c r="N1464" s="7"/>
      <c r="O1464" s="7"/>
    </row>
    <row r="1465" ht="22.5" hidden="1" customHeight="1">
      <c r="A1465" s="8">
        <v>45860.3751950463</v>
      </c>
      <c r="B1465" s="9"/>
      <c r="C1465" s="9" t="s">
        <v>110</v>
      </c>
      <c r="D1465" s="9" t="s">
        <v>352</v>
      </c>
      <c r="E1465" s="9" t="s">
        <v>17</v>
      </c>
      <c r="F1465" s="9" t="s">
        <v>17</v>
      </c>
      <c r="G1465" s="9" t="s">
        <v>24</v>
      </c>
      <c r="H1465" s="9" t="s">
        <v>17</v>
      </c>
      <c r="I1465" s="9" t="s">
        <v>20</v>
      </c>
      <c r="J1465" s="10"/>
      <c r="K1465" s="7"/>
      <c r="L1465" s="7"/>
      <c r="M1465" s="7"/>
      <c r="N1465" s="7"/>
      <c r="O1465" s="7"/>
    </row>
    <row r="1466" ht="22.5" hidden="1" customHeight="1">
      <c r="A1466" s="8">
        <v>45860.37581229166</v>
      </c>
      <c r="B1466" s="9"/>
      <c r="C1466" s="9" t="s">
        <v>110</v>
      </c>
      <c r="D1466" s="9" t="s">
        <v>227</v>
      </c>
      <c r="E1466" s="9" t="s">
        <v>17</v>
      </c>
      <c r="F1466" s="9" t="s">
        <v>17</v>
      </c>
      <c r="G1466" s="9" t="s">
        <v>24</v>
      </c>
      <c r="H1466" s="9" t="s">
        <v>25</v>
      </c>
      <c r="I1466" s="9" t="s">
        <v>240</v>
      </c>
      <c r="J1466" s="10"/>
      <c r="K1466" s="7"/>
      <c r="L1466" s="7"/>
      <c r="M1466" s="7"/>
      <c r="N1466" s="7"/>
      <c r="O1466" s="7"/>
    </row>
    <row r="1467" ht="22.5" hidden="1" customHeight="1">
      <c r="A1467" s="8">
        <v>45860.376615625</v>
      </c>
      <c r="B1467" s="9"/>
      <c r="C1467" s="9" t="s">
        <v>110</v>
      </c>
      <c r="D1467" s="9" t="s">
        <v>54</v>
      </c>
      <c r="E1467" s="9" t="s">
        <v>17</v>
      </c>
      <c r="F1467" s="9" t="s">
        <v>17</v>
      </c>
      <c r="G1467" s="9" t="s">
        <v>19</v>
      </c>
      <c r="H1467" s="9" t="s">
        <v>25</v>
      </c>
      <c r="I1467" s="9" t="s">
        <v>67</v>
      </c>
      <c r="J1467" s="10"/>
      <c r="K1467" s="7"/>
      <c r="L1467" s="7"/>
      <c r="M1467" s="7"/>
      <c r="N1467" s="7"/>
      <c r="O1467" s="7"/>
    </row>
    <row r="1468" ht="22.5" hidden="1" customHeight="1">
      <c r="A1468" s="8">
        <v>45860.39314349537</v>
      </c>
      <c r="B1468" s="9"/>
      <c r="C1468" s="9" t="s">
        <v>110</v>
      </c>
      <c r="D1468" s="9" t="s">
        <v>243</v>
      </c>
      <c r="E1468" s="9" t="s">
        <v>17</v>
      </c>
      <c r="F1468" s="9" t="s">
        <v>17</v>
      </c>
      <c r="G1468" s="9" t="s">
        <v>24</v>
      </c>
      <c r="H1468" s="9" t="s">
        <v>17</v>
      </c>
      <c r="I1468" s="9" t="s">
        <v>20</v>
      </c>
      <c r="J1468" s="10"/>
      <c r="K1468" s="7"/>
      <c r="L1468" s="7"/>
      <c r="M1468" s="7"/>
      <c r="N1468" s="7"/>
      <c r="O1468" s="7"/>
    </row>
    <row r="1469" ht="22.5" hidden="1" customHeight="1">
      <c r="A1469" s="8">
        <v>45860.39418091435</v>
      </c>
      <c r="B1469" s="9"/>
      <c r="C1469" s="9" t="s">
        <v>110</v>
      </c>
      <c r="D1469" s="9" t="s">
        <v>350</v>
      </c>
      <c r="E1469" s="9" t="s">
        <v>17</v>
      </c>
      <c r="F1469" s="9" t="s">
        <v>17</v>
      </c>
      <c r="G1469" s="9" t="s">
        <v>24</v>
      </c>
      <c r="H1469" s="9" t="s">
        <v>17</v>
      </c>
      <c r="I1469" s="9" t="s">
        <v>20</v>
      </c>
      <c r="J1469" s="10"/>
      <c r="K1469" s="7"/>
      <c r="L1469" s="7"/>
      <c r="M1469" s="7"/>
      <c r="N1469" s="7"/>
      <c r="O1469" s="7"/>
    </row>
    <row r="1470" ht="22.5" hidden="1" customHeight="1">
      <c r="A1470" s="8">
        <v>45860.39463015046</v>
      </c>
      <c r="B1470" s="9"/>
      <c r="C1470" s="9" t="s">
        <v>110</v>
      </c>
      <c r="D1470" s="9" t="s">
        <v>253</v>
      </c>
      <c r="E1470" s="9" t="s">
        <v>17</v>
      </c>
      <c r="F1470" s="9" t="s">
        <v>17</v>
      </c>
      <c r="G1470" s="9" t="s">
        <v>24</v>
      </c>
      <c r="H1470" s="9" t="s">
        <v>25</v>
      </c>
      <c r="I1470" s="9" t="s">
        <v>50</v>
      </c>
      <c r="J1470" s="10"/>
      <c r="K1470" s="7"/>
      <c r="L1470" s="7"/>
      <c r="M1470" s="7"/>
      <c r="N1470" s="7"/>
      <c r="O1470" s="7"/>
    </row>
    <row r="1471" ht="22.5" hidden="1" customHeight="1">
      <c r="A1471" s="8">
        <v>45860.39517491898</v>
      </c>
      <c r="B1471" s="9"/>
      <c r="C1471" s="9" t="s">
        <v>110</v>
      </c>
      <c r="D1471" s="9" t="s">
        <v>255</v>
      </c>
      <c r="E1471" s="9" t="s">
        <v>17</v>
      </c>
      <c r="F1471" s="9" t="s">
        <v>17</v>
      </c>
      <c r="G1471" s="9" t="s">
        <v>24</v>
      </c>
      <c r="H1471" s="9" t="s">
        <v>17</v>
      </c>
      <c r="I1471" s="9" t="s">
        <v>20</v>
      </c>
      <c r="J1471" s="10"/>
      <c r="K1471" s="7"/>
      <c r="L1471" s="7"/>
      <c r="M1471" s="7"/>
      <c r="N1471" s="7"/>
      <c r="O1471" s="7"/>
    </row>
    <row r="1472" ht="22.5" hidden="1" customHeight="1">
      <c r="A1472" s="8">
        <v>45860.39537074074</v>
      </c>
      <c r="B1472" s="9"/>
      <c r="C1472" s="9" t="s">
        <v>110</v>
      </c>
      <c r="D1472" s="9" t="s">
        <v>260</v>
      </c>
      <c r="E1472" s="9" t="s">
        <v>17</v>
      </c>
      <c r="F1472" s="9" t="s">
        <v>17</v>
      </c>
      <c r="G1472" s="9" t="s">
        <v>24</v>
      </c>
      <c r="H1472" s="9" t="s">
        <v>17</v>
      </c>
      <c r="I1472" s="9" t="s">
        <v>20</v>
      </c>
      <c r="J1472" s="10"/>
      <c r="K1472" s="7"/>
      <c r="L1472" s="7"/>
      <c r="M1472" s="7"/>
      <c r="N1472" s="7"/>
      <c r="O1472" s="7"/>
    </row>
    <row r="1473" ht="22.5" hidden="1" customHeight="1">
      <c r="A1473" s="8">
        <v>45860.39555677083</v>
      </c>
      <c r="B1473" s="9"/>
      <c r="C1473" s="9" t="s">
        <v>110</v>
      </c>
      <c r="D1473" s="9" t="s">
        <v>332</v>
      </c>
      <c r="E1473" s="9" t="s">
        <v>17</v>
      </c>
      <c r="F1473" s="9" t="s">
        <v>17</v>
      </c>
      <c r="G1473" s="9" t="s">
        <v>24</v>
      </c>
      <c r="H1473" s="9" t="s">
        <v>17</v>
      </c>
      <c r="I1473" s="9" t="s">
        <v>20</v>
      </c>
      <c r="J1473" s="10"/>
      <c r="K1473" s="7"/>
      <c r="L1473" s="7"/>
      <c r="M1473" s="7"/>
      <c r="N1473" s="7"/>
      <c r="O1473" s="7"/>
    </row>
    <row r="1474" ht="22.5" hidden="1" customHeight="1">
      <c r="A1474" s="8">
        <v>45860.397522430554</v>
      </c>
      <c r="B1474" s="9"/>
      <c r="C1474" s="9" t="s">
        <v>110</v>
      </c>
      <c r="D1474" s="9" t="s">
        <v>108</v>
      </c>
      <c r="E1474" s="9" t="s">
        <v>17</v>
      </c>
      <c r="F1474" s="9" t="s">
        <v>17</v>
      </c>
      <c r="G1474" s="9" t="s">
        <v>24</v>
      </c>
      <c r="H1474" s="9" t="s">
        <v>17</v>
      </c>
      <c r="I1474" s="9" t="s">
        <v>20</v>
      </c>
      <c r="J1474" s="10"/>
      <c r="K1474" s="7"/>
      <c r="L1474" s="7"/>
      <c r="M1474" s="7"/>
      <c r="N1474" s="7"/>
      <c r="O1474" s="7"/>
    </row>
    <row r="1475" ht="22.5" hidden="1" customHeight="1">
      <c r="A1475" s="8">
        <v>45861.35445399306</v>
      </c>
      <c r="B1475" s="9"/>
      <c r="C1475" s="9" t="s">
        <v>15</v>
      </c>
      <c r="D1475" s="9" t="s">
        <v>376</v>
      </c>
      <c r="E1475" s="9" t="s">
        <v>61</v>
      </c>
      <c r="F1475" s="9" t="s">
        <v>17</v>
      </c>
      <c r="G1475" s="9" t="s">
        <v>24</v>
      </c>
      <c r="H1475" s="9" t="s">
        <v>17</v>
      </c>
      <c r="I1475" s="9" t="s">
        <v>20</v>
      </c>
      <c r="J1475" s="10"/>
      <c r="K1475" s="7"/>
      <c r="L1475" s="7"/>
      <c r="M1475" s="7"/>
      <c r="N1475" s="7"/>
      <c r="O1475" s="7"/>
    </row>
    <row r="1476" ht="22.5" hidden="1" customHeight="1">
      <c r="A1476" s="8">
        <v>45861.37160760417</v>
      </c>
      <c r="B1476" s="9"/>
      <c r="C1476" s="9" t="s">
        <v>15</v>
      </c>
      <c r="D1476" s="9" t="s">
        <v>261</v>
      </c>
      <c r="E1476" s="9" t="s">
        <v>17</v>
      </c>
      <c r="F1476" s="9" t="s">
        <v>17</v>
      </c>
      <c r="G1476" s="9" t="s">
        <v>24</v>
      </c>
      <c r="H1476" s="9" t="s">
        <v>17</v>
      </c>
      <c r="I1476" s="9" t="s">
        <v>20</v>
      </c>
      <c r="J1476" s="10"/>
      <c r="K1476" s="7"/>
      <c r="L1476" s="7"/>
      <c r="M1476" s="7"/>
      <c r="N1476" s="7"/>
      <c r="O1476" s="7"/>
    </row>
    <row r="1477" ht="22.5" hidden="1" customHeight="1">
      <c r="A1477" s="8">
        <v>45861.3721680787</v>
      </c>
      <c r="B1477" s="9"/>
      <c r="C1477" s="9" t="s">
        <v>15</v>
      </c>
      <c r="D1477" s="9" t="s">
        <v>365</v>
      </c>
      <c r="E1477" s="9" t="s">
        <v>61</v>
      </c>
      <c r="F1477" s="9" t="s">
        <v>17</v>
      </c>
      <c r="G1477" s="9" t="s">
        <v>40</v>
      </c>
      <c r="H1477" s="9" t="s">
        <v>17</v>
      </c>
      <c r="I1477" s="9" t="s">
        <v>20</v>
      </c>
      <c r="J1477" s="10"/>
      <c r="K1477" s="7"/>
      <c r="L1477" s="7"/>
      <c r="M1477" s="7"/>
      <c r="N1477" s="7"/>
      <c r="O1477" s="7"/>
    </row>
    <row r="1478" ht="22.5" hidden="1" customHeight="1">
      <c r="A1478" s="8">
        <v>45861.37417446759</v>
      </c>
      <c r="B1478" s="9"/>
      <c r="C1478" s="9" t="s">
        <v>15</v>
      </c>
      <c r="D1478" s="9" t="s">
        <v>54</v>
      </c>
      <c r="E1478" s="9" t="s">
        <v>17</v>
      </c>
      <c r="F1478" s="9" t="s">
        <v>18</v>
      </c>
      <c r="G1478" s="9" t="s">
        <v>24</v>
      </c>
      <c r="H1478" s="9" t="s">
        <v>25</v>
      </c>
      <c r="I1478" s="9" t="s">
        <v>67</v>
      </c>
      <c r="J1478" s="10"/>
      <c r="K1478" s="7"/>
      <c r="L1478" s="7"/>
      <c r="M1478" s="7"/>
      <c r="N1478" s="7"/>
      <c r="O1478" s="7"/>
    </row>
    <row r="1479" ht="22.5" hidden="1" customHeight="1">
      <c r="A1479" s="8">
        <v>45861.37572599537</v>
      </c>
      <c r="B1479" s="9"/>
      <c r="C1479" s="9" t="s">
        <v>15</v>
      </c>
      <c r="D1479" s="9" t="s">
        <v>133</v>
      </c>
      <c r="E1479" s="9" t="s">
        <v>17</v>
      </c>
      <c r="F1479" s="9" t="s">
        <v>17</v>
      </c>
      <c r="G1479" s="9" t="s">
        <v>24</v>
      </c>
      <c r="H1479" s="9" t="s">
        <v>17</v>
      </c>
      <c r="I1479" s="9" t="s">
        <v>20</v>
      </c>
      <c r="J1479" s="10"/>
      <c r="K1479" s="7"/>
      <c r="L1479" s="7"/>
      <c r="M1479" s="7"/>
      <c r="N1479" s="7"/>
      <c r="O1479" s="7"/>
    </row>
    <row r="1480" ht="22.5" hidden="1" customHeight="1">
      <c r="A1480" s="8">
        <v>45861.37810724537</v>
      </c>
      <c r="B1480" s="9"/>
      <c r="C1480" s="9" t="s">
        <v>15</v>
      </c>
      <c r="D1480" s="9" t="s">
        <v>155</v>
      </c>
      <c r="E1480" s="9" t="s">
        <v>17</v>
      </c>
      <c r="F1480" s="9" t="s">
        <v>17</v>
      </c>
      <c r="G1480" s="9" t="s">
        <v>19</v>
      </c>
      <c r="H1480" s="9" t="s">
        <v>17</v>
      </c>
      <c r="I1480" s="9" t="s">
        <v>20</v>
      </c>
      <c r="J1480" s="10"/>
      <c r="K1480" s="7"/>
      <c r="L1480" s="7"/>
      <c r="M1480" s="7"/>
      <c r="N1480" s="7"/>
      <c r="O1480" s="7"/>
    </row>
    <row r="1481" ht="22.5" hidden="1" customHeight="1">
      <c r="A1481" s="8">
        <v>45861.378308761574</v>
      </c>
      <c r="B1481" s="9"/>
      <c r="C1481" s="9" t="s">
        <v>15</v>
      </c>
      <c r="D1481" s="9" t="s">
        <v>352</v>
      </c>
      <c r="E1481" s="9" t="s">
        <v>17</v>
      </c>
      <c r="F1481" s="9" t="s">
        <v>17</v>
      </c>
      <c r="G1481" s="9" t="s">
        <v>24</v>
      </c>
      <c r="H1481" s="9" t="s">
        <v>17</v>
      </c>
      <c r="I1481" s="9" t="s">
        <v>20</v>
      </c>
      <c r="J1481" s="10"/>
      <c r="K1481" s="7"/>
      <c r="L1481" s="7"/>
      <c r="M1481" s="7"/>
      <c r="N1481" s="7"/>
      <c r="O1481" s="7"/>
    </row>
    <row r="1482" ht="22.5" hidden="1" customHeight="1">
      <c r="A1482" s="8">
        <v>45861.378905798614</v>
      </c>
      <c r="B1482" s="9"/>
      <c r="C1482" s="9" t="s">
        <v>15</v>
      </c>
      <c r="D1482" s="9" t="s">
        <v>227</v>
      </c>
      <c r="E1482" s="9" t="s">
        <v>17</v>
      </c>
      <c r="F1482" s="9" t="s">
        <v>17</v>
      </c>
      <c r="G1482" s="9" t="s">
        <v>24</v>
      </c>
      <c r="H1482" s="9" t="s">
        <v>25</v>
      </c>
      <c r="I1482" s="9" t="s">
        <v>240</v>
      </c>
      <c r="J1482" s="10"/>
      <c r="K1482" s="7"/>
      <c r="L1482" s="7"/>
      <c r="M1482" s="7"/>
      <c r="N1482" s="7"/>
      <c r="O1482" s="7"/>
    </row>
    <row r="1483" ht="22.5" hidden="1" customHeight="1">
      <c r="A1483" s="8">
        <v>45861.38023277778</v>
      </c>
      <c r="B1483" s="9"/>
      <c r="C1483" s="9" t="s">
        <v>15</v>
      </c>
      <c r="D1483" s="9" t="s">
        <v>212</v>
      </c>
      <c r="E1483" s="9" t="s">
        <v>17</v>
      </c>
      <c r="F1483" s="9" t="s">
        <v>17</v>
      </c>
      <c r="G1483" s="9" t="s">
        <v>24</v>
      </c>
      <c r="H1483" s="9" t="s">
        <v>17</v>
      </c>
      <c r="I1483" s="9" t="s">
        <v>20</v>
      </c>
      <c r="J1483" s="10"/>
      <c r="K1483" s="7"/>
      <c r="L1483" s="7"/>
      <c r="M1483" s="7"/>
      <c r="N1483" s="7"/>
      <c r="O1483" s="7"/>
    </row>
    <row r="1484" ht="22.5" hidden="1" customHeight="1">
      <c r="A1484" s="8">
        <v>45861.3820909375</v>
      </c>
      <c r="B1484" s="9"/>
      <c r="C1484" s="9" t="s">
        <v>15</v>
      </c>
      <c r="D1484" s="9" t="s">
        <v>354</v>
      </c>
      <c r="E1484" s="9" t="s">
        <v>17</v>
      </c>
      <c r="F1484" s="9" t="s">
        <v>17</v>
      </c>
      <c r="G1484" s="9" t="s">
        <v>24</v>
      </c>
      <c r="H1484" s="9" t="s">
        <v>17</v>
      </c>
      <c r="I1484" s="9" t="s">
        <v>20</v>
      </c>
      <c r="J1484" s="10"/>
      <c r="K1484" s="7"/>
      <c r="L1484" s="7"/>
      <c r="M1484" s="7"/>
      <c r="N1484" s="7"/>
      <c r="O1484" s="7"/>
    </row>
    <row r="1485" ht="22.5" hidden="1" customHeight="1">
      <c r="A1485" s="8">
        <v>45861.38364299768</v>
      </c>
      <c r="B1485" s="9"/>
      <c r="C1485" s="9" t="s">
        <v>15</v>
      </c>
      <c r="D1485" s="9" t="s">
        <v>23</v>
      </c>
      <c r="E1485" s="9" t="s">
        <v>17</v>
      </c>
      <c r="F1485" s="9" t="s">
        <v>17</v>
      </c>
      <c r="G1485" s="9" t="s">
        <v>24</v>
      </c>
      <c r="H1485" s="9" t="s">
        <v>17</v>
      </c>
      <c r="I1485" s="9" t="s">
        <v>20</v>
      </c>
      <c r="J1485" s="10"/>
      <c r="K1485" s="7"/>
      <c r="L1485" s="7"/>
      <c r="M1485" s="7"/>
      <c r="N1485" s="7"/>
      <c r="O1485" s="7"/>
    </row>
    <row r="1486" ht="22.5" hidden="1" customHeight="1">
      <c r="A1486" s="8">
        <v>45861.38440704861</v>
      </c>
      <c r="B1486" s="9"/>
      <c r="C1486" s="9" t="s">
        <v>15</v>
      </c>
      <c r="D1486" s="9" t="s">
        <v>378</v>
      </c>
      <c r="E1486" s="9" t="s">
        <v>17</v>
      </c>
      <c r="F1486" s="9" t="s">
        <v>17</v>
      </c>
      <c r="G1486" s="9" t="s">
        <v>24</v>
      </c>
      <c r="H1486" s="9" t="s">
        <v>25</v>
      </c>
      <c r="I1486" s="9" t="s">
        <v>207</v>
      </c>
      <c r="J1486" s="10"/>
      <c r="K1486" s="7"/>
      <c r="L1486" s="7"/>
      <c r="M1486" s="7"/>
      <c r="N1486" s="7"/>
      <c r="O1486" s="7"/>
    </row>
    <row r="1487" ht="22.5" hidden="1" customHeight="1">
      <c r="A1487" s="8">
        <v>45861.39279787037</v>
      </c>
      <c r="B1487" s="9"/>
      <c r="C1487" s="9" t="s">
        <v>15</v>
      </c>
      <c r="D1487" s="9" t="s">
        <v>198</v>
      </c>
      <c r="E1487" s="9" t="s">
        <v>17</v>
      </c>
      <c r="F1487" s="9" t="s">
        <v>17</v>
      </c>
      <c r="G1487" s="9" t="s">
        <v>24</v>
      </c>
      <c r="H1487" s="9" t="s">
        <v>25</v>
      </c>
      <c r="I1487" s="9" t="s">
        <v>211</v>
      </c>
      <c r="J1487" s="10"/>
      <c r="K1487" s="7"/>
      <c r="L1487" s="7"/>
      <c r="M1487" s="7"/>
      <c r="N1487" s="7"/>
      <c r="O1487" s="7"/>
    </row>
    <row r="1488" ht="22.5" hidden="1" customHeight="1">
      <c r="A1488" s="8">
        <v>45861.41574287037</v>
      </c>
      <c r="B1488" s="9"/>
      <c r="C1488" s="9" t="s">
        <v>15</v>
      </c>
      <c r="D1488" s="9" t="s">
        <v>255</v>
      </c>
      <c r="E1488" s="9" t="s">
        <v>17</v>
      </c>
      <c r="F1488" s="9" t="s">
        <v>17</v>
      </c>
      <c r="G1488" s="9" t="s">
        <v>24</v>
      </c>
      <c r="H1488" s="9" t="s">
        <v>17</v>
      </c>
      <c r="I1488" s="9" t="s">
        <v>20</v>
      </c>
      <c r="J1488" s="10"/>
      <c r="K1488" s="7"/>
      <c r="L1488" s="7"/>
      <c r="M1488" s="7"/>
      <c r="N1488" s="7"/>
      <c r="O1488" s="7"/>
    </row>
    <row r="1489" ht="22.5" hidden="1" customHeight="1">
      <c r="A1489" s="8">
        <v>45861.41593653936</v>
      </c>
      <c r="B1489" s="9"/>
      <c r="C1489" s="9" t="s">
        <v>15</v>
      </c>
      <c r="D1489" s="9" t="s">
        <v>332</v>
      </c>
      <c r="E1489" s="9" t="s">
        <v>17</v>
      </c>
      <c r="F1489" s="9" t="s">
        <v>17</v>
      </c>
      <c r="G1489" s="9" t="s">
        <v>24</v>
      </c>
      <c r="H1489" s="9" t="s">
        <v>17</v>
      </c>
      <c r="I1489" s="9" t="s">
        <v>20</v>
      </c>
      <c r="J1489" s="10"/>
      <c r="K1489" s="7"/>
      <c r="L1489" s="7"/>
      <c r="M1489" s="7"/>
      <c r="N1489" s="7"/>
      <c r="O1489" s="7"/>
    </row>
    <row r="1490" ht="22.5" hidden="1" customHeight="1">
      <c r="A1490" s="8">
        <v>45862.63611990741</v>
      </c>
      <c r="B1490" s="9"/>
      <c r="C1490" s="9" t="s">
        <v>31</v>
      </c>
      <c r="D1490" s="9" t="s">
        <v>212</v>
      </c>
      <c r="E1490" s="9" t="s">
        <v>17</v>
      </c>
      <c r="F1490" s="9" t="s">
        <v>17</v>
      </c>
      <c r="G1490" s="9" t="s">
        <v>24</v>
      </c>
      <c r="H1490" s="9" t="s">
        <v>17</v>
      </c>
      <c r="I1490" s="9" t="s">
        <v>20</v>
      </c>
      <c r="J1490" s="10"/>
      <c r="K1490" s="7"/>
      <c r="L1490" s="7"/>
      <c r="M1490" s="7"/>
      <c r="N1490" s="7"/>
      <c r="O1490" s="7"/>
    </row>
    <row r="1491" ht="22.5" hidden="1" customHeight="1">
      <c r="A1491" s="8">
        <v>45862.637533402776</v>
      </c>
      <c r="B1491" s="9"/>
      <c r="C1491" s="9" t="s">
        <v>31</v>
      </c>
      <c r="D1491" s="9" t="s">
        <v>261</v>
      </c>
      <c r="E1491" s="9" t="s">
        <v>17</v>
      </c>
      <c r="F1491" s="9" t="s">
        <v>17</v>
      </c>
      <c r="G1491" s="9" t="s">
        <v>24</v>
      </c>
      <c r="H1491" s="9" t="s">
        <v>17</v>
      </c>
      <c r="I1491" s="9" t="s">
        <v>20</v>
      </c>
      <c r="J1491" s="10"/>
      <c r="K1491" s="7"/>
      <c r="L1491" s="7"/>
      <c r="M1491" s="7"/>
      <c r="N1491" s="7"/>
      <c r="O1491" s="7"/>
    </row>
    <row r="1492" ht="22.5" hidden="1" customHeight="1">
      <c r="A1492" s="8">
        <v>45862.637996944446</v>
      </c>
      <c r="B1492" s="9"/>
      <c r="C1492" s="9" t="s">
        <v>31</v>
      </c>
      <c r="D1492" s="9" t="s">
        <v>198</v>
      </c>
      <c r="E1492" s="9" t="s">
        <v>17</v>
      </c>
      <c r="F1492" s="9" t="s">
        <v>17</v>
      </c>
      <c r="G1492" s="9" t="s">
        <v>24</v>
      </c>
      <c r="H1492" s="9" t="s">
        <v>25</v>
      </c>
      <c r="I1492" s="9" t="s">
        <v>211</v>
      </c>
      <c r="J1492" s="10"/>
      <c r="K1492" s="7"/>
      <c r="L1492" s="7"/>
      <c r="M1492" s="7"/>
      <c r="N1492" s="7"/>
      <c r="O1492" s="7"/>
    </row>
    <row r="1493" ht="22.5" hidden="1" customHeight="1">
      <c r="A1493" s="8">
        <v>45862.64166712963</v>
      </c>
      <c r="B1493" s="9"/>
      <c r="C1493" s="9" t="s">
        <v>31</v>
      </c>
      <c r="D1493" s="9" t="s">
        <v>54</v>
      </c>
      <c r="E1493" s="9" t="s">
        <v>17</v>
      </c>
      <c r="F1493" s="9" t="s">
        <v>18</v>
      </c>
      <c r="G1493" s="9" t="s">
        <v>19</v>
      </c>
      <c r="H1493" s="9" t="s">
        <v>25</v>
      </c>
      <c r="I1493" s="9" t="s">
        <v>67</v>
      </c>
      <c r="J1493" s="10"/>
      <c r="K1493" s="7"/>
      <c r="L1493" s="7"/>
      <c r="M1493" s="7"/>
      <c r="N1493" s="7"/>
      <c r="O1493" s="7"/>
    </row>
    <row r="1494" ht="22.5" hidden="1" customHeight="1">
      <c r="A1494" s="8">
        <v>45862.64312224537</v>
      </c>
      <c r="B1494" s="9"/>
      <c r="C1494" s="9" t="s">
        <v>31</v>
      </c>
      <c r="D1494" s="9" t="s">
        <v>386</v>
      </c>
      <c r="E1494" s="9" t="s">
        <v>61</v>
      </c>
      <c r="F1494" s="9" t="s">
        <v>17</v>
      </c>
      <c r="G1494" s="9" t="s">
        <v>40</v>
      </c>
      <c r="H1494" s="9" t="s">
        <v>17</v>
      </c>
      <c r="I1494" s="9" t="s">
        <v>20</v>
      </c>
      <c r="J1494" s="10"/>
      <c r="K1494" s="7"/>
      <c r="L1494" s="7"/>
      <c r="M1494" s="7"/>
      <c r="N1494" s="7"/>
      <c r="O1494" s="7"/>
    </row>
    <row r="1495" ht="22.5" hidden="1" customHeight="1">
      <c r="A1495" s="8">
        <v>45862.64363702547</v>
      </c>
      <c r="B1495" s="9"/>
      <c r="C1495" s="9" t="s">
        <v>31</v>
      </c>
      <c r="D1495" s="9" t="s">
        <v>51</v>
      </c>
      <c r="E1495" s="9" t="s">
        <v>17</v>
      </c>
      <c r="F1495" s="9" t="s">
        <v>17</v>
      </c>
      <c r="G1495" s="9" t="s">
        <v>24</v>
      </c>
      <c r="H1495" s="9" t="s">
        <v>17</v>
      </c>
      <c r="I1495" s="9" t="s">
        <v>20</v>
      </c>
      <c r="J1495" s="10"/>
      <c r="K1495" s="7"/>
      <c r="L1495" s="7"/>
      <c r="M1495" s="7"/>
      <c r="N1495" s="7"/>
      <c r="O1495" s="7"/>
    </row>
    <row r="1496" ht="22.5" hidden="1" customHeight="1">
      <c r="A1496" s="8">
        <v>45862.64532322917</v>
      </c>
      <c r="B1496" s="9"/>
      <c r="C1496" s="9" t="s">
        <v>31</v>
      </c>
      <c r="D1496" s="9" t="s">
        <v>289</v>
      </c>
      <c r="E1496" s="9" t="s">
        <v>61</v>
      </c>
      <c r="F1496" s="9" t="s">
        <v>17</v>
      </c>
      <c r="G1496" s="9" t="s">
        <v>24</v>
      </c>
      <c r="H1496" s="9" t="s">
        <v>25</v>
      </c>
      <c r="I1496" s="9" t="s">
        <v>28</v>
      </c>
      <c r="J1496" s="10"/>
      <c r="K1496" s="7"/>
      <c r="L1496" s="7"/>
      <c r="M1496" s="7"/>
      <c r="N1496" s="7"/>
      <c r="O1496" s="7"/>
    </row>
    <row r="1497" ht="22.5" hidden="1" customHeight="1">
      <c r="A1497" s="8">
        <v>45862.70729150463</v>
      </c>
      <c r="B1497" s="9"/>
      <c r="C1497" s="9" t="s">
        <v>31</v>
      </c>
      <c r="D1497" s="9" t="s">
        <v>227</v>
      </c>
      <c r="E1497" s="9" t="s">
        <v>17</v>
      </c>
      <c r="F1497" s="9" t="s">
        <v>17</v>
      </c>
      <c r="G1497" s="9" t="s">
        <v>24</v>
      </c>
      <c r="H1497" s="9" t="s">
        <v>25</v>
      </c>
      <c r="I1497" s="9" t="s">
        <v>240</v>
      </c>
      <c r="J1497" s="10"/>
      <c r="K1497" s="7"/>
      <c r="L1497" s="7"/>
      <c r="M1497" s="7"/>
      <c r="N1497" s="7"/>
      <c r="O1497" s="7"/>
    </row>
    <row r="1498" ht="22.5" hidden="1" customHeight="1">
      <c r="A1498" s="8">
        <v>45862.70856349537</v>
      </c>
      <c r="B1498" s="9"/>
      <c r="C1498" s="9" t="s">
        <v>31</v>
      </c>
      <c r="D1498" s="9" t="s">
        <v>108</v>
      </c>
      <c r="E1498" s="9" t="s">
        <v>17</v>
      </c>
      <c r="F1498" s="9" t="s">
        <v>17</v>
      </c>
      <c r="G1498" s="9" t="s">
        <v>24</v>
      </c>
      <c r="H1498" s="9" t="s">
        <v>17</v>
      </c>
      <c r="I1498" s="9" t="s">
        <v>20</v>
      </c>
      <c r="J1498" s="10"/>
      <c r="K1498" s="7"/>
      <c r="L1498" s="7"/>
      <c r="M1498" s="7"/>
      <c r="N1498" s="7"/>
      <c r="O1498" s="7"/>
    </row>
    <row r="1499" ht="22.5" hidden="1" customHeight="1">
      <c r="A1499" s="8">
        <v>45862.70919521991</v>
      </c>
      <c r="B1499" s="9"/>
      <c r="C1499" s="9" t="s">
        <v>31</v>
      </c>
      <c r="D1499" s="9" t="s">
        <v>332</v>
      </c>
      <c r="E1499" s="9" t="s">
        <v>17</v>
      </c>
      <c r="F1499" s="9" t="s">
        <v>17</v>
      </c>
      <c r="G1499" s="9" t="s">
        <v>24</v>
      </c>
      <c r="H1499" s="9" t="s">
        <v>17</v>
      </c>
      <c r="I1499" s="9" t="s">
        <v>20</v>
      </c>
      <c r="J1499" s="10"/>
      <c r="K1499" s="7"/>
      <c r="L1499" s="7"/>
      <c r="M1499" s="7"/>
      <c r="N1499" s="7"/>
      <c r="O1499" s="7"/>
    </row>
    <row r="1500" ht="22.5" hidden="1" customHeight="1">
      <c r="A1500" s="8">
        <v>45862.7109621412</v>
      </c>
      <c r="B1500" s="9"/>
      <c r="C1500" s="9" t="s">
        <v>31</v>
      </c>
      <c r="D1500" s="9" t="s">
        <v>387</v>
      </c>
      <c r="E1500" s="9" t="s">
        <v>17</v>
      </c>
      <c r="F1500" s="9" t="s">
        <v>17</v>
      </c>
      <c r="G1500" s="9" t="s">
        <v>24</v>
      </c>
      <c r="H1500" s="9" t="s">
        <v>17</v>
      </c>
      <c r="I1500" s="9" t="s">
        <v>20</v>
      </c>
      <c r="J1500" s="10"/>
      <c r="K1500" s="7"/>
      <c r="L1500" s="7"/>
      <c r="M1500" s="7"/>
      <c r="N1500" s="7"/>
      <c r="O1500" s="7"/>
    </row>
    <row r="1501" ht="22.5" hidden="1" customHeight="1">
      <c r="A1501" s="8">
        <v>45862.71114408565</v>
      </c>
      <c r="B1501" s="9"/>
      <c r="C1501" s="9" t="s">
        <v>31</v>
      </c>
      <c r="D1501" s="9" t="s">
        <v>365</v>
      </c>
      <c r="E1501" s="9" t="s">
        <v>17</v>
      </c>
      <c r="F1501" s="9" t="s">
        <v>17</v>
      </c>
      <c r="G1501" s="9" t="s">
        <v>19</v>
      </c>
      <c r="H1501" s="9" t="s">
        <v>17</v>
      </c>
      <c r="I1501" s="9" t="s">
        <v>20</v>
      </c>
      <c r="J1501" s="10"/>
      <c r="K1501" s="7"/>
      <c r="L1501" s="7"/>
      <c r="M1501" s="7"/>
      <c r="N1501" s="7"/>
      <c r="O1501" s="7"/>
    </row>
    <row r="1502" ht="22.5" hidden="1" customHeight="1">
      <c r="A1502" s="8">
        <v>45862.71253164352</v>
      </c>
      <c r="B1502" s="9"/>
      <c r="C1502" s="9" t="s">
        <v>31</v>
      </c>
      <c r="D1502" s="9" t="s">
        <v>253</v>
      </c>
      <c r="E1502" s="9" t="s">
        <v>17</v>
      </c>
      <c r="F1502" s="9" t="s">
        <v>17</v>
      </c>
      <c r="G1502" s="9" t="s">
        <v>24</v>
      </c>
      <c r="H1502" s="9" t="s">
        <v>25</v>
      </c>
      <c r="I1502" s="9" t="s">
        <v>50</v>
      </c>
      <c r="J1502" s="10"/>
      <c r="K1502" s="7"/>
      <c r="L1502" s="7"/>
      <c r="M1502" s="7"/>
      <c r="N1502" s="7"/>
      <c r="O1502" s="7"/>
    </row>
    <row r="1503" ht="22.5" hidden="1" customHeight="1">
      <c r="A1503" s="8">
        <v>45862.71327324074</v>
      </c>
      <c r="B1503" s="9"/>
      <c r="C1503" s="9" t="s">
        <v>31</v>
      </c>
      <c r="D1503" s="9" t="s">
        <v>255</v>
      </c>
      <c r="E1503" s="9" t="s">
        <v>17</v>
      </c>
      <c r="F1503" s="9" t="s">
        <v>17</v>
      </c>
      <c r="G1503" s="9" t="s">
        <v>19</v>
      </c>
      <c r="H1503" s="9" t="s">
        <v>17</v>
      </c>
      <c r="I1503" s="9" t="s">
        <v>20</v>
      </c>
      <c r="J1503" s="10"/>
      <c r="K1503" s="7"/>
      <c r="L1503" s="7"/>
      <c r="M1503" s="7"/>
      <c r="N1503" s="7"/>
      <c r="O1503" s="7"/>
    </row>
    <row r="1504" ht="22.5" hidden="1" customHeight="1">
      <c r="A1504" s="8">
        <v>45862.71364623842</v>
      </c>
      <c r="B1504" s="9"/>
      <c r="C1504" s="9" t="s">
        <v>31</v>
      </c>
      <c r="D1504" s="9" t="s">
        <v>373</v>
      </c>
      <c r="E1504" s="9" t="s">
        <v>17</v>
      </c>
      <c r="F1504" s="9" t="s">
        <v>17</v>
      </c>
      <c r="G1504" s="9" t="s">
        <v>24</v>
      </c>
      <c r="H1504" s="9" t="s">
        <v>17</v>
      </c>
      <c r="I1504" s="9" t="s">
        <v>20</v>
      </c>
      <c r="J1504" s="10"/>
      <c r="K1504" s="7"/>
      <c r="L1504" s="7"/>
      <c r="M1504" s="7"/>
      <c r="N1504" s="7"/>
      <c r="O1504" s="7"/>
    </row>
    <row r="1505" ht="22.5" hidden="1" customHeight="1">
      <c r="A1505" s="8">
        <v>45862.717380752314</v>
      </c>
      <c r="B1505" s="9"/>
      <c r="C1505" s="9" t="s">
        <v>31</v>
      </c>
      <c r="D1505" s="9" t="s">
        <v>133</v>
      </c>
      <c r="E1505" s="9" t="s">
        <v>17</v>
      </c>
      <c r="F1505" s="9" t="s">
        <v>17</v>
      </c>
      <c r="G1505" s="9" t="s">
        <v>24</v>
      </c>
      <c r="H1505" s="9" t="s">
        <v>17</v>
      </c>
      <c r="I1505" s="9" t="s">
        <v>20</v>
      </c>
      <c r="J1505" s="10"/>
      <c r="K1505" s="7"/>
      <c r="L1505" s="7"/>
      <c r="M1505" s="7"/>
      <c r="N1505" s="7"/>
      <c r="O1505" s="7"/>
    </row>
    <row r="1506" ht="22.5" hidden="1" customHeight="1">
      <c r="A1506" s="8">
        <v>45862.71792189815</v>
      </c>
      <c r="B1506" s="9"/>
      <c r="C1506" s="9" t="s">
        <v>31</v>
      </c>
      <c r="D1506" s="9" t="s">
        <v>352</v>
      </c>
      <c r="E1506" s="9" t="s">
        <v>17</v>
      </c>
      <c r="F1506" s="9" t="s">
        <v>17</v>
      </c>
      <c r="G1506" s="9" t="s">
        <v>19</v>
      </c>
      <c r="H1506" s="9" t="s">
        <v>17</v>
      </c>
      <c r="I1506" s="9" t="s">
        <v>20</v>
      </c>
      <c r="J1506" s="10"/>
      <c r="K1506" s="7"/>
      <c r="L1506" s="7"/>
      <c r="M1506" s="7"/>
      <c r="N1506" s="7"/>
      <c r="O1506" s="7"/>
    </row>
    <row r="1507" ht="22.5" hidden="1" customHeight="1">
      <c r="A1507" s="8">
        <v>45862.72032811343</v>
      </c>
      <c r="B1507" s="9"/>
      <c r="C1507" s="9" t="s">
        <v>31</v>
      </c>
      <c r="D1507" s="9" t="s">
        <v>254</v>
      </c>
      <c r="E1507" s="9" t="s">
        <v>61</v>
      </c>
      <c r="F1507" s="9" t="s">
        <v>17</v>
      </c>
      <c r="G1507" s="9" t="s">
        <v>24</v>
      </c>
      <c r="H1507" s="9" t="s">
        <v>17</v>
      </c>
      <c r="I1507" s="9" t="s">
        <v>20</v>
      </c>
      <c r="J1507" s="10"/>
      <c r="K1507" s="7"/>
      <c r="L1507" s="7"/>
      <c r="M1507" s="7"/>
      <c r="N1507" s="7"/>
      <c r="O1507" s="7"/>
    </row>
    <row r="1508" ht="22.5" hidden="1" customHeight="1">
      <c r="A1508" s="8">
        <v>45862.72051165509</v>
      </c>
      <c r="B1508" s="9"/>
      <c r="C1508" s="9" t="s">
        <v>31</v>
      </c>
      <c r="D1508" s="9" t="s">
        <v>155</v>
      </c>
      <c r="E1508" s="9" t="s">
        <v>17</v>
      </c>
      <c r="F1508" s="9" t="s">
        <v>17</v>
      </c>
      <c r="G1508" s="9" t="s">
        <v>24</v>
      </c>
      <c r="H1508" s="9" t="s">
        <v>17</v>
      </c>
      <c r="I1508" s="9" t="s">
        <v>20</v>
      </c>
      <c r="J1508" s="10"/>
      <c r="K1508" s="7"/>
      <c r="L1508" s="7"/>
      <c r="M1508" s="7"/>
      <c r="N1508" s="7"/>
      <c r="O1508" s="7"/>
    </row>
    <row r="1509" ht="22.5" hidden="1" customHeight="1">
      <c r="A1509" s="8">
        <v>45863.31608746528</v>
      </c>
      <c r="B1509" s="9"/>
      <c r="C1509" s="9" t="s">
        <v>48</v>
      </c>
      <c r="D1509" s="9" t="s">
        <v>133</v>
      </c>
      <c r="E1509" s="9" t="s">
        <v>17</v>
      </c>
      <c r="F1509" s="9" t="s">
        <v>17</v>
      </c>
      <c r="G1509" s="9" t="s">
        <v>24</v>
      </c>
      <c r="H1509" s="9" t="s">
        <v>17</v>
      </c>
      <c r="I1509" s="9" t="s">
        <v>20</v>
      </c>
      <c r="J1509" s="10"/>
      <c r="K1509" s="7"/>
      <c r="L1509" s="7"/>
      <c r="M1509" s="7"/>
      <c r="N1509" s="7"/>
      <c r="O1509" s="7"/>
    </row>
    <row r="1510" ht="22.5" hidden="1" customHeight="1">
      <c r="A1510" s="8">
        <v>45863.318997696755</v>
      </c>
      <c r="B1510" s="9"/>
      <c r="C1510" s="9" t="s">
        <v>48</v>
      </c>
      <c r="D1510" s="9" t="s">
        <v>260</v>
      </c>
      <c r="E1510" s="9" t="s">
        <v>17</v>
      </c>
      <c r="F1510" s="9" t="s">
        <v>17</v>
      </c>
      <c r="G1510" s="9" t="s">
        <v>24</v>
      </c>
      <c r="H1510" s="9" t="s">
        <v>17</v>
      </c>
      <c r="I1510" s="9" t="s">
        <v>20</v>
      </c>
      <c r="J1510" s="10"/>
      <c r="K1510" s="7"/>
      <c r="L1510" s="7"/>
      <c r="M1510" s="7"/>
      <c r="N1510" s="7"/>
      <c r="O1510" s="7"/>
    </row>
    <row r="1511" ht="22.5" hidden="1" customHeight="1">
      <c r="A1511" s="8">
        <v>45863.319269432875</v>
      </c>
      <c r="B1511" s="9"/>
      <c r="C1511" s="9" t="s">
        <v>48</v>
      </c>
      <c r="D1511" s="9" t="s">
        <v>212</v>
      </c>
      <c r="E1511" s="9" t="s">
        <v>17</v>
      </c>
      <c r="F1511" s="9" t="s">
        <v>17</v>
      </c>
      <c r="G1511" s="9" t="s">
        <v>24</v>
      </c>
      <c r="H1511" s="9" t="s">
        <v>17</v>
      </c>
      <c r="I1511" s="9" t="s">
        <v>20</v>
      </c>
      <c r="J1511" s="10"/>
      <c r="K1511" s="7"/>
      <c r="L1511" s="7"/>
      <c r="M1511" s="7"/>
      <c r="N1511" s="7"/>
      <c r="O1511" s="7"/>
    </row>
    <row r="1512" ht="22.5" hidden="1" customHeight="1">
      <c r="A1512" s="8">
        <v>45863.32163475694</v>
      </c>
      <c r="B1512" s="9"/>
      <c r="C1512" s="9" t="s">
        <v>48</v>
      </c>
      <c r="D1512" s="9" t="s">
        <v>332</v>
      </c>
      <c r="E1512" s="9" t="s">
        <v>17</v>
      </c>
      <c r="F1512" s="9" t="s">
        <v>17</v>
      </c>
      <c r="G1512" s="9" t="s">
        <v>24</v>
      </c>
      <c r="H1512" s="9" t="s">
        <v>17</v>
      </c>
      <c r="I1512" s="9" t="s">
        <v>20</v>
      </c>
      <c r="J1512" s="10"/>
      <c r="K1512" s="7"/>
      <c r="L1512" s="7"/>
      <c r="M1512" s="7"/>
      <c r="N1512" s="7"/>
      <c r="O1512" s="7"/>
    </row>
    <row r="1513" ht="22.5" hidden="1" customHeight="1">
      <c r="A1513" s="8">
        <v>45863.32298722222</v>
      </c>
      <c r="B1513" s="9"/>
      <c r="C1513" s="9" t="s">
        <v>48</v>
      </c>
      <c r="D1513" s="9" t="s">
        <v>194</v>
      </c>
      <c r="E1513" s="9" t="s">
        <v>17</v>
      </c>
      <c r="F1513" s="9" t="s">
        <v>17</v>
      </c>
      <c r="G1513" s="9" t="s">
        <v>24</v>
      </c>
      <c r="H1513" s="9" t="s">
        <v>17</v>
      </c>
      <c r="I1513" s="9" t="s">
        <v>20</v>
      </c>
      <c r="J1513" s="10"/>
      <c r="K1513" s="7"/>
      <c r="L1513" s="7"/>
      <c r="M1513" s="7"/>
      <c r="N1513" s="7"/>
      <c r="O1513" s="7"/>
    </row>
    <row r="1514" ht="22.5" hidden="1" customHeight="1">
      <c r="A1514" s="8">
        <v>45863.32322711806</v>
      </c>
      <c r="B1514" s="9"/>
      <c r="C1514" s="9" t="s">
        <v>48</v>
      </c>
      <c r="D1514" s="9" t="s">
        <v>388</v>
      </c>
      <c r="E1514" s="9" t="s">
        <v>17</v>
      </c>
      <c r="F1514" s="9" t="s">
        <v>17</v>
      </c>
      <c r="G1514" s="9" t="s">
        <v>24</v>
      </c>
      <c r="H1514" s="9" t="s">
        <v>17</v>
      </c>
      <c r="I1514" s="9" t="s">
        <v>20</v>
      </c>
      <c r="J1514" s="10"/>
      <c r="K1514" s="7"/>
      <c r="L1514" s="7"/>
      <c r="M1514" s="7"/>
      <c r="N1514" s="7"/>
      <c r="O1514" s="7"/>
    </row>
    <row r="1515" ht="22.5" hidden="1" customHeight="1">
      <c r="A1515" s="8">
        <v>45863.32342863426</v>
      </c>
      <c r="B1515" s="9"/>
      <c r="C1515" s="9" t="s">
        <v>48</v>
      </c>
      <c r="D1515" s="9" t="s">
        <v>352</v>
      </c>
      <c r="E1515" s="9" t="s">
        <v>17</v>
      </c>
      <c r="F1515" s="9" t="s">
        <v>17</v>
      </c>
      <c r="G1515" s="9" t="s">
        <v>24</v>
      </c>
      <c r="H1515" s="9" t="s">
        <v>17</v>
      </c>
      <c r="I1515" s="9" t="s">
        <v>20</v>
      </c>
      <c r="J1515" s="10"/>
      <c r="K1515" s="7"/>
      <c r="L1515" s="7"/>
      <c r="M1515" s="7"/>
      <c r="N1515" s="7"/>
      <c r="O1515" s="7"/>
    </row>
    <row r="1516" ht="22.5" hidden="1" customHeight="1">
      <c r="A1516" s="8">
        <v>45863.323768692135</v>
      </c>
      <c r="B1516" s="9"/>
      <c r="C1516" s="9" t="s">
        <v>48</v>
      </c>
      <c r="D1516" s="9" t="s">
        <v>198</v>
      </c>
      <c r="E1516" s="9" t="s">
        <v>17</v>
      </c>
      <c r="F1516" s="9" t="s">
        <v>17</v>
      </c>
      <c r="G1516" s="9" t="s">
        <v>24</v>
      </c>
      <c r="H1516" s="9" t="s">
        <v>25</v>
      </c>
      <c r="I1516" s="9" t="s">
        <v>211</v>
      </c>
      <c r="J1516" s="10"/>
      <c r="K1516" s="7"/>
      <c r="L1516" s="7"/>
      <c r="M1516" s="7"/>
      <c r="N1516" s="7"/>
      <c r="O1516" s="7"/>
    </row>
    <row r="1517" ht="22.5" hidden="1" customHeight="1">
      <c r="A1517" s="8">
        <v>45863.33368193287</v>
      </c>
      <c r="B1517" s="9"/>
      <c r="C1517" s="9" t="s">
        <v>48</v>
      </c>
      <c r="D1517" s="9" t="s">
        <v>365</v>
      </c>
      <c r="E1517" s="9" t="s">
        <v>17</v>
      </c>
      <c r="F1517" s="9" t="s">
        <v>17</v>
      </c>
      <c r="G1517" s="9" t="s">
        <v>24</v>
      </c>
      <c r="H1517" s="9" t="s">
        <v>17</v>
      </c>
      <c r="I1517" s="9" t="s">
        <v>20</v>
      </c>
      <c r="J1517" s="10"/>
      <c r="K1517" s="7"/>
      <c r="L1517" s="7"/>
      <c r="M1517" s="7"/>
      <c r="N1517" s="7"/>
      <c r="O1517" s="7"/>
    </row>
    <row r="1518" ht="22.5" hidden="1" customHeight="1">
      <c r="A1518" s="8">
        <v>45863.334226562496</v>
      </c>
      <c r="B1518" s="9"/>
      <c r="C1518" s="9" t="s">
        <v>48</v>
      </c>
      <c r="D1518" s="9" t="s">
        <v>230</v>
      </c>
      <c r="E1518" s="9" t="s">
        <v>17</v>
      </c>
      <c r="F1518" s="9" t="s">
        <v>17</v>
      </c>
      <c r="G1518" s="9" t="s">
        <v>24</v>
      </c>
      <c r="H1518" s="9" t="s">
        <v>17</v>
      </c>
      <c r="I1518" s="9" t="s">
        <v>20</v>
      </c>
      <c r="J1518" s="10"/>
      <c r="K1518" s="7"/>
      <c r="L1518" s="7"/>
      <c r="M1518" s="7"/>
      <c r="N1518" s="7"/>
      <c r="O1518" s="7"/>
    </row>
    <row r="1519" ht="22.5" hidden="1" customHeight="1">
      <c r="A1519" s="8">
        <v>45863.3345640162</v>
      </c>
      <c r="B1519" s="9"/>
      <c r="C1519" s="9" t="s">
        <v>48</v>
      </c>
      <c r="D1519" s="9" t="s">
        <v>51</v>
      </c>
      <c r="E1519" s="9" t="s">
        <v>17</v>
      </c>
      <c r="F1519" s="9" t="s">
        <v>17</v>
      </c>
      <c r="G1519" s="9" t="s">
        <v>24</v>
      </c>
      <c r="H1519" s="9" t="s">
        <v>17</v>
      </c>
      <c r="I1519" s="9" t="s">
        <v>20</v>
      </c>
      <c r="J1519" s="10"/>
      <c r="K1519" s="7"/>
      <c r="L1519" s="7"/>
      <c r="M1519" s="7"/>
      <c r="N1519" s="7"/>
      <c r="O1519" s="7"/>
    </row>
    <row r="1520" ht="22.5" hidden="1" customHeight="1">
      <c r="A1520" s="8">
        <v>45863.33479334491</v>
      </c>
      <c r="B1520" s="9"/>
      <c r="C1520" s="9" t="s">
        <v>48</v>
      </c>
      <c r="D1520" s="9" t="s">
        <v>51</v>
      </c>
      <c r="E1520" s="9" t="s">
        <v>17</v>
      </c>
      <c r="F1520" s="9" t="s">
        <v>17</v>
      </c>
      <c r="G1520" s="9" t="s">
        <v>24</v>
      </c>
      <c r="H1520" s="9" t="s">
        <v>25</v>
      </c>
      <c r="I1520" s="9" t="s">
        <v>240</v>
      </c>
      <c r="J1520" s="10"/>
      <c r="K1520" s="7"/>
      <c r="L1520" s="7"/>
      <c r="M1520" s="7"/>
      <c r="N1520" s="7"/>
      <c r="O1520" s="7"/>
    </row>
    <row r="1521" ht="22.5" hidden="1" customHeight="1">
      <c r="A1521" s="8">
        <v>45863.33681003472</v>
      </c>
      <c r="B1521" s="9"/>
      <c r="C1521" s="9" t="s">
        <v>48</v>
      </c>
      <c r="D1521" s="9" t="s">
        <v>155</v>
      </c>
      <c r="E1521" s="9" t="s">
        <v>17</v>
      </c>
      <c r="F1521" s="9" t="s">
        <v>17</v>
      </c>
      <c r="G1521" s="9" t="s">
        <v>24</v>
      </c>
      <c r="H1521" s="9" t="s">
        <v>17</v>
      </c>
      <c r="I1521" s="9" t="s">
        <v>20</v>
      </c>
      <c r="J1521" s="10"/>
      <c r="K1521" s="7"/>
      <c r="L1521" s="7"/>
      <c r="M1521" s="7"/>
      <c r="N1521" s="7"/>
      <c r="O1521" s="7"/>
    </row>
    <row r="1522" ht="22.5" hidden="1" customHeight="1">
      <c r="A1522" s="8">
        <v>45863.337488668985</v>
      </c>
      <c r="B1522" s="9"/>
      <c r="C1522" s="9" t="s">
        <v>48</v>
      </c>
      <c r="D1522" s="9" t="s">
        <v>227</v>
      </c>
      <c r="E1522" s="9" t="s">
        <v>17</v>
      </c>
      <c r="F1522" s="9" t="s">
        <v>17</v>
      </c>
      <c r="G1522" s="9" t="s">
        <v>24</v>
      </c>
      <c r="H1522" s="9" t="s">
        <v>25</v>
      </c>
      <c r="I1522" s="9" t="s">
        <v>240</v>
      </c>
      <c r="J1522" s="10"/>
      <c r="K1522" s="7"/>
      <c r="L1522" s="7"/>
      <c r="M1522" s="7"/>
      <c r="N1522" s="7"/>
      <c r="O1522" s="7"/>
    </row>
    <row r="1523" ht="22.5" hidden="1" customHeight="1">
      <c r="A1523" s="8">
        <v>45863.33928803241</v>
      </c>
      <c r="B1523" s="9"/>
      <c r="C1523" s="9" t="s">
        <v>48</v>
      </c>
      <c r="D1523" s="9" t="s">
        <v>108</v>
      </c>
      <c r="E1523" s="9" t="s">
        <v>17</v>
      </c>
      <c r="F1523" s="9" t="s">
        <v>17</v>
      </c>
      <c r="G1523" s="9" t="s">
        <v>24</v>
      </c>
      <c r="H1523" s="9" t="s">
        <v>17</v>
      </c>
      <c r="I1523" s="9" t="s">
        <v>20</v>
      </c>
      <c r="J1523" s="10"/>
      <c r="K1523" s="7"/>
      <c r="L1523" s="7"/>
      <c r="M1523" s="7"/>
      <c r="N1523" s="7"/>
      <c r="O1523" s="7"/>
    </row>
    <row r="1524" ht="22.5" hidden="1" customHeight="1">
      <c r="A1524" s="8">
        <v>45863.34250033565</v>
      </c>
      <c r="B1524" s="9"/>
      <c r="C1524" s="9" t="s">
        <v>48</v>
      </c>
      <c r="D1524" s="9" t="s">
        <v>277</v>
      </c>
      <c r="E1524" s="9" t="s">
        <v>17</v>
      </c>
      <c r="F1524" s="9" t="s">
        <v>43</v>
      </c>
      <c r="G1524" s="9" t="s">
        <v>24</v>
      </c>
      <c r="H1524" s="9" t="s">
        <v>25</v>
      </c>
      <c r="I1524" s="9" t="s">
        <v>389</v>
      </c>
      <c r="J1524" s="10"/>
      <c r="K1524" s="7"/>
      <c r="L1524" s="7"/>
      <c r="M1524" s="7"/>
      <c r="N1524" s="7"/>
      <c r="O1524" s="7"/>
    </row>
    <row r="1525" ht="22.5" hidden="1" customHeight="1">
      <c r="A1525" s="8">
        <v>45863.34668556713</v>
      </c>
      <c r="B1525" s="9"/>
      <c r="C1525" s="9" t="s">
        <v>48</v>
      </c>
      <c r="D1525" s="9" t="s">
        <v>378</v>
      </c>
      <c r="E1525" s="9" t="s">
        <v>17</v>
      </c>
      <c r="F1525" s="9" t="s">
        <v>17</v>
      </c>
      <c r="G1525" s="9" t="s">
        <v>40</v>
      </c>
      <c r="H1525" s="9" t="s">
        <v>17</v>
      </c>
      <c r="I1525" s="9" t="s">
        <v>20</v>
      </c>
      <c r="J1525" s="10"/>
      <c r="K1525" s="7"/>
      <c r="L1525" s="7"/>
      <c r="M1525" s="7"/>
      <c r="N1525" s="7"/>
      <c r="O1525" s="7"/>
    </row>
    <row r="1526" ht="22.5" hidden="1" customHeight="1">
      <c r="A1526" s="8">
        <v>45863.34721299769</v>
      </c>
      <c r="B1526" s="9"/>
      <c r="C1526" s="9" t="s">
        <v>48</v>
      </c>
      <c r="D1526" s="9" t="s">
        <v>54</v>
      </c>
      <c r="E1526" s="9" t="s">
        <v>17</v>
      </c>
      <c r="F1526" s="9" t="s">
        <v>18</v>
      </c>
      <c r="G1526" s="9" t="s">
        <v>24</v>
      </c>
      <c r="H1526" s="9" t="s">
        <v>25</v>
      </c>
      <c r="I1526" s="9" t="s">
        <v>67</v>
      </c>
      <c r="J1526" s="10"/>
      <c r="K1526" s="7"/>
      <c r="L1526" s="7"/>
      <c r="M1526" s="7"/>
      <c r="N1526" s="7"/>
      <c r="O1526" s="7"/>
    </row>
    <row r="1527" ht="22.5" hidden="1" customHeight="1">
      <c r="A1527" s="8">
        <v>45863.34801591435</v>
      </c>
      <c r="B1527" s="9"/>
      <c r="C1527" s="9" t="s">
        <v>48</v>
      </c>
      <c r="D1527" s="9" t="s">
        <v>23</v>
      </c>
      <c r="E1527" s="9" t="s">
        <v>17</v>
      </c>
      <c r="F1527" s="9" t="s">
        <v>17</v>
      </c>
      <c r="G1527" s="9" t="s">
        <v>24</v>
      </c>
      <c r="H1527" s="9" t="s">
        <v>17</v>
      </c>
      <c r="I1527" s="9" t="s">
        <v>20</v>
      </c>
      <c r="J1527" s="10"/>
      <c r="K1527" s="7"/>
      <c r="L1527" s="7"/>
      <c r="M1527" s="7"/>
      <c r="N1527" s="7"/>
      <c r="O1527" s="7"/>
    </row>
    <row r="1528" ht="22.5" hidden="1" customHeight="1">
      <c r="A1528" s="8">
        <v>45863.373204930554</v>
      </c>
      <c r="B1528" s="9"/>
      <c r="C1528" s="9" t="s">
        <v>48</v>
      </c>
      <c r="D1528" s="9" t="s">
        <v>254</v>
      </c>
      <c r="E1528" s="9" t="s">
        <v>17</v>
      </c>
      <c r="F1528" s="9" t="s">
        <v>17</v>
      </c>
      <c r="G1528" s="9" t="s">
        <v>24</v>
      </c>
      <c r="H1528" s="9" t="s">
        <v>17</v>
      </c>
      <c r="I1528" s="9" t="s">
        <v>20</v>
      </c>
      <c r="J1528" s="10"/>
      <c r="K1528" s="7"/>
      <c r="L1528" s="7"/>
      <c r="M1528" s="7"/>
      <c r="N1528" s="7"/>
      <c r="O1528" s="7"/>
    </row>
    <row r="1529" ht="22.5" hidden="1" customHeight="1">
      <c r="A1529" s="8">
        <v>45877.34883862268</v>
      </c>
      <c r="B1529" s="9"/>
      <c r="C1529" s="9" t="s">
        <v>48</v>
      </c>
      <c r="D1529" s="9" t="s">
        <v>51</v>
      </c>
      <c r="E1529" s="9" t="s">
        <v>17</v>
      </c>
      <c r="F1529" s="9" t="s">
        <v>17</v>
      </c>
      <c r="G1529" s="9" t="s">
        <v>24</v>
      </c>
      <c r="H1529" s="9" t="s">
        <v>17</v>
      </c>
      <c r="I1529" s="9" t="s">
        <v>20</v>
      </c>
      <c r="J1529" s="10"/>
      <c r="K1529" s="7"/>
      <c r="L1529" s="7"/>
      <c r="M1529" s="7"/>
      <c r="N1529" s="7"/>
      <c r="O1529" s="7"/>
    </row>
    <row r="1530" ht="22.5" hidden="1" customHeight="1">
      <c r="A1530" s="8">
        <v>45877.36862408565</v>
      </c>
      <c r="B1530" s="9"/>
      <c r="C1530" s="9" t="s">
        <v>48</v>
      </c>
      <c r="D1530" s="9" t="s">
        <v>365</v>
      </c>
      <c r="E1530" s="9" t="s">
        <v>46</v>
      </c>
      <c r="F1530" s="9" t="s">
        <v>17</v>
      </c>
      <c r="G1530" s="9" t="s">
        <v>24</v>
      </c>
      <c r="H1530" s="9" t="s">
        <v>25</v>
      </c>
      <c r="I1530" s="9" t="s">
        <v>242</v>
      </c>
      <c r="J1530" s="10"/>
      <c r="K1530" s="7"/>
      <c r="L1530" s="7"/>
      <c r="M1530" s="7"/>
      <c r="N1530" s="7"/>
      <c r="O1530" s="7"/>
    </row>
    <row r="1531" ht="22.5" hidden="1" customHeight="1">
      <c r="A1531" s="8">
        <v>45877.37031452546</v>
      </c>
      <c r="B1531" s="9"/>
      <c r="C1531" s="9" t="s">
        <v>48</v>
      </c>
      <c r="D1531" s="9" t="s">
        <v>198</v>
      </c>
      <c r="E1531" s="9" t="s">
        <v>140</v>
      </c>
      <c r="F1531" s="9" t="s">
        <v>17</v>
      </c>
      <c r="G1531" s="9" t="s">
        <v>24</v>
      </c>
      <c r="H1531" s="9" t="s">
        <v>25</v>
      </c>
      <c r="I1531" s="9" t="s">
        <v>368</v>
      </c>
      <c r="J1531" s="10"/>
      <c r="K1531" s="7"/>
      <c r="L1531" s="7"/>
      <c r="M1531" s="7"/>
      <c r="N1531" s="7"/>
      <c r="O1531" s="7"/>
    </row>
    <row r="1532" ht="22.5" hidden="1" customHeight="1">
      <c r="A1532" s="8">
        <v>45877.371835972226</v>
      </c>
      <c r="B1532" s="9"/>
      <c r="C1532" s="9" t="s">
        <v>48</v>
      </c>
      <c r="D1532" s="9" t="s">
        <v>54</v>
      </c>
      <c r="E1532" s="9" t="s">
        <v>44</v>
      </c>
      <c r="F1532" s="9" t="s">
        <v>43</v>
      </c>
      <c r="G1532" s="9" t="s">
        <v>19</v>
      </c>
      <c r="H1532" s="9" t="s">
        <v>25</v>
      </c>
      <c r="I1532" s="9" t="s">
        <v>390</v>
      </c>
      <c r="J1532" s="10"/>
      <c r="K1532" s="7"/>
      <c r="L1532" s="7"/>
      <c r="M1532" s="7"/>
      <c r="N1532" s="7"/>
      <c r="O1532" s="7"/>
    </row>
    <row r="1533" ht="22.5" hidden="1" customHeight="1">
      <c r="A1533" s="8">
        <v>45877.37288686342</v>
      </c>
      <c r="B1533" s="9"/>
      <c r="C1533" s="9" t="s">
        <v>48</v>
      </c>
      <c r="D1533" s="9" t="s">
        <v>376</v>
      </c>
      <c r="E1533" s="9" t="s">
        <v>61</v>
      </c>
      <c r="F1533" s="9" t="s">
        <v>39</v>
      </c>
      <c r="G1533" s="9" t="s">
        <v>24</v>
      </c>
      <c r="H1533" s="9" t="s">
        <v>17</v>
      </c>
      <c r="I1533" s="9" t="s">
        <v>20</v>
      </c>
      <c r="J1533" s="10"/>
      <c r="K1533" s="7"/>
      <c r="L1533" s="7"/>
      <c r="M1533" s="7"/>
      <c r="N1533" s="7"/>
      <c r="O1533" s="7"/>
    </row>
    <row r="1534" ht="22.5" hidden="1" customHeight="1">
      <c r="A1534" s="8">
        <v>45877.37374402778</v>
      </c>
      <c r="B1534" s="9"/>
      <c r="C1534" s="9" t="s">
        <v>48</v>
      </c>
      <c r="D1534" s="9" t="s">
        <v>253</v>
      </c>
      <c r="E1534" s="9" t="s">
        <v>17</v>
      </c>
      <c r="F1534" s="9" t="s">
        <v>18</v>
      </c>
      <c r="G1534" s="9" t="s">
        <v>19</v>
      </c>
      <c r="H1534" s="9" t="s">
        <v>25</v>
      </c>
      <c r="I1534" s="9" t="s">
        <v>391</v>
      </c>
      <c r="J1534" s="10"/>
      <c r="K1534" s="7"/>
      <c r="L1534" s="7"/>
      <c r="M1534" s="7"/>
      <c r="N1534" s="7"/>
      <c r="O1534" s="7"/>
    </row>
    <row r="1535" ht="22.5" hidden="1" customHeight="1">
      <c r="A1535" s="8">
        <v>45877.37411800926</v>
      </c>
      <c r="B1535" s="9"/>
      <c r="C1535" s="9" t="s">
        <v>48</v>
      </c>
      <c r="D1535" s="9" t="s">
        <v>212</v>
      </c>
      <c r="E1535" s="9" t="s">
        <v>17</v>
      </c>
      <c r="F1535" s="9" t="s">
        <v>17</v>
      </c>
      <c r="G1535" s="9" t="s">
        <v>24</v>
      </c>
      <c r="H1535" s="9" t="s">
        <v>17</v>
      </c>
      <c r="I1535" s="9" t="s">
        <v>20</v>
      </c>
      <c r="J1535" s="10"/>
      <c r="K1535" s="7"/>
      <c r="L1535" s="7"/>
      <c r="M1535" s="7"/>
      <c r="N1535" s="7"/>
      <c r="O1535" s="7"/>
    </row>
    <row r="1536" ht="22.5" hidden="1" customHeight="1">
      <c r="A1536" s="8">
        <v>45877.37459490741</v>
      </c>
      <c r="B1536" s="9"/>
      <c r="C1536" s="9" t="s">
        <v>48</v>
      </c>
      <c r="D1536" s="9" t="s">
        <v>392</v>
      </c>
      <c r="E1536" s="9" t="s">
        <v>17</v>
      </c>
      <c r="F1536" s="9" t="s">
        <v>17</v>
      </c>
      <c r="G1536" s="9" t="s">
        <v>24</v>
      </c>
      <c r="H1536" s="9" t="s">
        <v>17</v>
      </c>
      <c r="I1536" s="9" t="s">
        <v>20</v>
      </c>
      <c r="J1536" s="10"/>
      <c r="K1536" s="7"/>
      <c r="L1536" s="7"/>
      <c r="M1536" s="7"/>
      <c r="N1536" s="7"/>
      <c r="O1536" s="7"/>
    </row>
    <row r="1537" ht="22.5" hidden="1" customHeight="1">
      <c r="A1537" s="8">
        <v>45877.3749474537</v>
      </c>
      <c r="B1537" s="9"/>
      <c r="C1537" s="9" t="s">
        <v>48</v>
      </c>
      <c r="D1537" s="9" t="s">
        <v>352</v>
      </c>
      <c r="E1537" s="9" t="s">
        <v>17</v>
      </c>
      <c r="F1537" s="9" t="s">
        <v>17</v>
      </c>
      <c r="G1537" s="9" t="s">
        <v>24</v>
      </c>
      <c r="H1537" s="9" t="s">
        <v>17</v>
      </c>
      <c r="I1537" s="9" t="s">
        <v>20</v>
      </c>
      <c r="J1537" s="10"/>
      <c r="K1537" s="7"/>
      <c r="L1537" s="7"/>
      <c r="M1537" s="7"/>
      <c r="N1537" s="7"/>
      <c r="O1537" s="7"/>
    </row>
    <row r="1538" ht="22.5" hidden="1" customHeight="1">
      <c r="A1538" s="8">
        <v>45877.375324039356</v>
      </c>
      <c r="B1538" s="9"/>
      <c r="C1538" s="9" t="s">
        <v>48</v>
      </c>
      <c r="D1538" s="9" t="s">
        <v>371</v>
      </c>
      <c r="E1538" s="9" t="s">
        <v>17</v>
      </c>
      <c r="F1538" s="9" t="s">
        <v>17</v>
      </c>
      <c r="G1538" s="9" t="s">
        <v>24</v>
      </c>
      <c r="H1538" s="9" t="s">
        <v>17</v>
      </c>
      <c r="I1538" s="9" t="s">
        <v>20</v>
      </c>
      <c r="J1538" s="10"/>
      <c r="K1538" s="7"/>
      <c r="L1538" s="7"/>
      <c r="M1538" s="7"/>
      <c r="N1538" s="7"/>
      <c r="O1538" s="7"/>
    </row>
    <row r="1539" ht="22.5" hidden="1" customHeight="1">
      <c r="A1539" s="8">
        <v>45877.37623417824</v>
      </c>
      <c r="B1539" s="9"/>
      <c r="C1539" s="9" t="s">
        <v>48</v>
      </c>
      <c r="D1539" s="9" t="s">
        <v>23</v>
      </c>
      <c r="E1539" s="9" t="s">
        <v>17</v>
      </c>
      <c r="F1539" s="9" t="s">
        <v>60</v>
      </c>
      <c r="G1539" s="9" t="s">
        <v>40</v>
      </c>
      <c r="H1539" s="9" t="s">
        <v>17</v>
      </c>
      <c r="I1539" s="9" t="s">
        <v>20</v>
      </c>
      <c r="J1539" s="10"/>
      <c r="K1539" s="7"/>
      <c r="L1539" s="7"/>
      <c r="M1539" s="7"/>
      <c r="N1539" s="7"/>
      <c r="O1539" s="7"/>
    </row>
    <row r="1540" ht="22.5" hidden="1" customHeight="1">
      <c r="A1540" s="8">
        <v>45877.37664991898</v>
      </c>
      <c r="B1540" s="9"/>
      <c r="C1540" s="9" t="s">
        <v>48</v>
      </c>
      <c r="D1540" s="9" t="s">
        <v>261</v>
      </c>
      <c r="E1540" s="9" t="s">
        <v>17</v>
      </c>
      <c r="F1540" s="9" t="s">
        <v>17</v>
      </c>
      <c r="G1540" s="9" t="s">
        <v>24</v>
      </c>
      <c r="H1540" s="9" t="s">
        <v>17</v>
      </c>
      <c r="I1540" s="9" t="s">
        <v>20</v>
      </c>
      <c r="J1540" s="10"/>
      <c r="K1540" s="7"/>
      <c r="L1540" s="7"/>
      <c r="M1540" s="7"/>
      <c r="N1540" s="7"/>
      <c r="O1540" s="7"/>
    </row>
    <row r="1541" ht="22.5" hidden="1" customHeight="1">
      <c r="A1541" s="8">
        <v>45877.37701677083</v>
      </c>
      <c r="B1541" s="9"/>
      <c r="C1541" s="9" t="s">
        <v>48</v>
      </c>
      <c r="D1541" s="9" t="s">
        <v>155</v>
      </c>
      <c r="E1541" s="9" t="s">
        <v>17</v>
      </c>
      <c r="F1541" s="9" t="s">
        <v>18</v>
      </c>
      <c r="G1541" s="9" t="s">
        <v>24</v>
      </c>
      <c r="H1541" s="9" t="s">
        <v>17</v>
      </c>
      <c r="I1541" s="9" t="s">
        <v>20</v>
      </c>
      <c r="J1541" s="10"/>
      <c r="K1541" s="7"/>
      <c r="L1541" s="7"/>
      <c r="M1541" s="7"/>
      <c r="N1541" s="7"/>
      <c r="O1541" s="7"/>
    </row>
    <row r="1542" ht="22.5" hidden="1" customHeight="1">
      <c r="A1542" s="8">
        <v>45877.37962103009</v>
      </c>
      <c r="B1542" s="9"/>
      <c r="C1542" s="9" t="s">
        <v>48</v>
      </c>
      <c r="D1542" s="9" t="s">
        <v>133</v>
      </c>
      <c r="E1542" s="9" t="s">
        <v>17</v>
      </c>
      <c r="F1542" s="9" t="s">
        <v>17</v>
      </c>
      <c r="G1542" s="9" t="s">
        <v>24</v>
      </c>
      <c r="H1542" s="9" t="s">
        <v>25</v>
      </c>
      <c r="I1542" s="9" t="s">
        <v>173</v>
      </c>
      <c r="J1542" s="10"/>
      <c r="K1542" s="7"/>
      <c r="L1542" s="7"/>
      <c r="M1542" s="7"/>
      <c r="N1542" s="7"/>
      <c r="O1542" s="7"/>
    </row>
    <row r="1543" ht="22.5" hidden="1" customHeight="1">
      <c r="A1543" s="8">
        <v>45877.38027245371</v>
      </c>
      <c r="B1543" s="9"/>
      <c r="C1543" s="9" t="s">
        <v>48</v>
      </c>
      <c r="D1543" s="9" t="s">
        <v>254</v>
      </c>
      <c r="E1543" s="9" t="s">
        <v>17</v>
      </c>
      <c r="F1543" s="9" t="s">
        <v>17</v>
      </c>
      <c r="G1543" s="9" t="s">
        <v>24</v>
      </c>
      <c r="H1543" s="9" t="s">
        <v>17</v>
      </c>
      <c r="I1543" s="9" t="s">
        <v>20</v>
      </c>
      <c r="J1543" s="10"/>
      <c r="K1543" s="7"/>
      <c r="L1543" s="7"/>
      <c r="M1543" s="7"/>
      <c r="N1543" s="7"/>
      <c r="O1543" s="7"/>
    </row>
    <row r="1544" ht="22.5" hidden="1" customHeight="1">
      <c r="A1544" s="8">
        <v>45877.38106487269</v>
      </c>
      <c r="B1544" s="9"/>
      <c r="C1544" s="9" t="s">
        <v>48</v>
      </c>
      <c r="D1544" s="9" t="s">
        <v>243</v>
      </c>
      <c r="E1544" s="9" t="s">
        <v>17</v>
      </c>
      <c r="F1544" s="9" t="s">
        <v>17</v>
      </c>
      <c r="G1544" s="9" t="s">
        <v>24</v>
      </c>
      <c r="H1544" s="9" t="s">
        <v>17</v>
      </c>
      <c r="I1544" s="9" t="s">
        <v>20</v>
      </c>
      <c r="J1544" s="10"/>
      <c r="K1544" s="7"/>
      <c r="L1544" s="7"/>
      <c r="M1544" s="7"/>
      <c r="N1544" s="7"/>
      <c r="O1544" s="7"/>
    </row>
    <row r="1545" ht="22.5" hidden="1" customHeight="1">
      <c r="A1545" s="8">
        <v>45877.381267372686</v>
      </c>
      <c r="B1545" s="9"/>
      <c r="C1545" s="9" t="s">
        <v>48</v>
      </c>
      <c r="D1545" s="9" t="s">
        <v>194</v>
      </c>
      <c r="E1545" s="9" t="s">
        <v>17</v>
      </c>
      <c r="F1545" s="9" t="s">
        <v>17</v>
      </c>
      <c r="G1545" s="9" t="s">
        <v>24</v>
      </c>
      <c r="H1545" s="9" t="s">
        <v>17</v>
      </c>
      <c r="I1545" s="9" t="s">
        <v>20</v>
      </c>
      <c r="J1545" s="10"/>
      <c r="K1545" s="7"/>
      <c r="L1545" s="7"/>
      <c r="M1545" s="7"/>
      <c r="N1545" s="7"/>
      <c r="O1545" s="7"/>
    </row>
    <row r="1546" ht="22.5" hidden="1" customHeight="1">
      <c r="A1546" s="8">
        <v>45877.38914206019</v>
      </c>
      <c r="B1546" s="9"/>
      <c r="C1546" s="9" t="s">
        <v>48</v>
      </c>
      <c r="D1546" s="9" t="s">
        <v>230</v>
      </c>
      <c r="E1546" s="9" t="s">
        <v>17</v>
      </c>
      <c r="F1546" s="9" t="s">
        <v>17</v>
      </c>
      <c r="G1546" s="9" t="s">
        <v>24</v>
      </c>
      <c r="H1546" s="9" t="s">
        <v>17</v>
      </c>
      <c r="I1546" s="9" t="s">
        <v>20</v>
      </c>
      <c r="J1546" s="10"/>
      <c r="K1546" s="7"/>
      <c r="L1546" s="7"/>
      <c r="M1546" s="7"/>
      <c r="N1546" s="7"/>
      <c r="O1546" s="7"/>
    </row>
    <row r="1547" ht="22.5" hidden="1" customHeight="1">
      <c r="A1547" s="8">
        <v>45880.351948807875</v>
      </c>
      <c r="B1547" s="9"/>
      <c r="C1547" s="9" t="s">
        <v>86</v>
      </c>
      <c r="D1547" s="9" t="s">
        <v>257</v>
      </c>
      <c r="E1547" s="9" t="s">
        <v>17</v>
      </c>
      <c r="F1547" s="9" t="s">
        <v>35</v>
      </c>
      <c r="G1547" s="9" t="s">
        <v>19</v>
      </c>
      <c r="H1547" s="9" t="s">
        <v>17</v>
      </c>
      <c r="I1547" s="9" t="s">
        <v>20</v>
      </c>
      <c r="J1547" s="10"/>
      <c r="K1547" s="7"/>
      <c r="L1547" s="7"/>
      <c r="M1547" s="7"/>
      <c r="N1547" s="7"/>
      <c r="O1547" s="7"/>
    </row>
    <row r="1548" ht="22.5" hidden="1" customHeight="1">
      <c r="A1548" s="8">
        <v>45880.35497219907</v>
      </c>
      <c r="B1548" s="9"/>
      <c r="C1548" s="9" t="s">
        <v>86</v>
      </c>
      <c r="D1548" s="9" t="s">
        <v>258</v>
      </c>
      <c r="E1548" s="9" t="s">
        <v>17</v>
      </c>
      <c r="F1548" s="9" t="s">
        <v>17</v>
      </c>
      <c r="G1548" s="9" t="s">
        <v>24</v>
      </c>
      <c r="H1548" s="9" t="s">
        <v>17</v>
      </c>
      <c r="I1548" s="9" t="s">
        <v>20</v>
      </c>
      <c r="J1548" s="10"/>
      <c r="K1548" s="7"/>
      <c r="L1548" s="7"/>
      <c r="M1548" s="7"/>
      <c r="N1548" s="7"/>
      <c r="O1548" s="7"/>
    </row>
    <row r="1549" ht="22.5" hidden="1" customHeight="1">
      <c r="A1549" s="8">
        <v>45880.35605615741</v>
      </c>
      <c r="B1549" s="9"/>
      <c r="C1549" s="9" t="s">
        <v>86</v>
      </c>
      <c r="D1549" s="9" t="s">
        <v>393</v>
      </c>
      <c r="E1549" s="9" t="s">
        <v>17</v>
      </c>
      <c r="F1549" s="9" t="s">
        <v>60</v>
      </c>
      <c r="G1549" s="9" t="s">
        <v>24</v>
      </c>
      <c r="H1549" s="9" t="s">
        <v>17</v>
      </c>
      <c r="I1549" s="9" t="s">
        <v>20</v>
      </c>
      <c r="J1549" s="10"/>
      <c r="K1549" s="7"/>
      <c r="L1549" s="7"/>
      <c r="M1549" s="7"/>
      <c r="N1549" s="7"/>
      <c r="O1549" s="7"/>
    </row>
    <row r="1550" ht="22.5" hidden="1" customHeight="1">
      <c r="A1550" s="8">
        <v>45880.3568934375</v>
      </c>
      <c r="B1550" s="9"/>
      <c r="C1550" s="9" t="s">
        <v>86</v>
      </c>
      <c r="D1550" s="9" t="s">
        <v>394</v>
      </c>
      <c r="E1550" s="9" t="s">
        <v>17</v>
      </c>
      <c r="F1550" s="9" t="s">
        <v>17</v>
      </c>
      <c r="G1550" s="9" t="s">
        <v>24</v>
      </c>
      <c r="H1550" s="9" t="s">
        <v>17</v>
      </c>
      <c r="I1550" s="9" t="s">
        <v>20</v>
      </c>
      <c r="J1550" s="10"/>
      <c r="K1550" s="7"/>
      <c r="L1550" s="7"/>
      <c r="M1550" s="7"/>
      <c r="N1550" s="7"/>
      <c r="O1550" s="7"/>
    </row>
    <row r="1551" ht="22.5" hidden="1" customHeight="1">
      <c r="A1551" s="8">
        <v>45880.36914304398</v>
      </c>
      <c r="B1551" s="9"/>
      <c r="C1551" s="9" t="s">
        <v>86</v>
      </c>
      <c r="D1551" s="9" t="s">
        <v>178</v>
      </c>
      <c r="E1551" s="9" t="s">
        <v>17</v>
      </c>
      <c r="F1551" s="9" t="s">
        <v>60</v>
      </c>
      <c r="G1551" s="9" t="s">
        <v>40</v>
      </c>
      <c r="H1551" s="9" t="s">
        <v>17</v>
      </c>
      <c r="I1551" s="9" t="s">
        <v>20</v>
      </c>
      <c r="J1551" s="10"/>
      <c r="K1551" s="7"/>
      <c r="L1551" s="7"/>
      <c r="M1551" s="7"/>
      <c r="N1551" s="7"/>
      <c r="O1551" s="7"/>
    </row>
    <row r="1552" ht="22.5" hidden="1" customHeight="1">
      <c r="A1552" s="8">
        <v>45880.37883199074</v>
      </c>
      <c r="B1552" s="9"/>
      <c r="C1552" s="9" t="s">
        <v>86</v>
      </c>
      <c r="D1552" s="9" t="s">
        <v>280</v>
      </c>
      <c r="E1552" s="9" t="s">
        <v>17</v>
      </c>
      <c r="F1552" s="9" t="s">
        <v>17</v>
      </c>
      <c r="G1552" s="9" t="s">
        <v>24</v>
      </c>
      <c r="H1552" s="9" t="s">
        <v>17</v>
      </c>
      <c r="I1552" s="9" t="s">
        <v>20</v>
      </c>
      <c r="J1552" s="10"/>
      <c r="K1552" s="7"/>
      <c r="L1552" s="7"/>
      <c r="M1552" s="7"/>
      <c r="N1552" s="7"/>
      <c r="O1552" s="7"/>
    </row>
    <row r="1553" ht="22.5" hidden="1" customHeight="1">
      <c r="A1553" s="8">
        <v>45880.38362291666</v>
      </c>
      <c r="B1553" s="9"/>
      <c r="C1553" s="9" t="s">
        <v>86</v>
      </c>
      <c r="D1553" s="9" t="s">
        <v>395</v>
      </c>
      <c r="E1553" s="9" t="s">
        <v>17</v>
      </c>
      <c r="F1553" s="9" t="s">
        <v>17</v>
      </c>
      <c r="G1553" s="9" t="s">
        <v>24</v>
      </c>
      <c r="H1553" s="9" t="s">
        <v>17</v>
      </c>
      <c r="I1553" s="9" t="s">
        <v>20</v>
      </c>
      <c r="J1553" s="10"/>
      <c r="K1553" s="7"/>
      <c r="L1553" s="7"/>
      <c r="M1553" s="7"/>
      <c r="N1553" s="7"/>
      <c r="O1553" s="7"/>
    </row>
    <row r="1554" ht="22.5" hidden="1" customHeight="1">
      <c r="A1554" s="8">
        <v>45880.384631030094</v>
      </c>
      <c r="B1554" s="9"/>
      <c r="C1554" s="9" t="s">
        <v>86</v>
      </c>
      <c r="D1554" s="9" t="s">
        <v>177</v>
      </c>
      <c r="E1554" s="9" t="s">
        <v>17</v>
      </c>
      <c r="F1554" s="9" t="s">
        <v>17</v>
      </c>
      <c r="G1554" s="9" t="s">
        <v>24</v>
      </c>
      <c r="H1554" s="9" t="s">
        <v>17</v>
      </c>
      <c r="I1554" s="9" t="s">
        <v>20</v>
      </c>
      <c r="J1554" s="10"/>
      <c r="K1554" s="7"/>
      <c r="L1554" s="7"/>
      <c r="M1554" s="7"/>
      <c r="N1554" s="7"/>
      <c r="O1554" s="7"/>
    </row>
    <row r="1555" ht="22.5" hidden="1" customHeight="1">
      <c r="A1555" s="8">
        <v>45880.38479652778</v>
      </c>
      <c r="B1555" s="9"/>
      <c r="C1555" s="9" t="s">
        <v>86</v>
      </c>
      <c r="D1555" s="9" t="s">
        <v>396</v>
      </c>
      <c r="E1555" s="9" t="s">
        <v>17</v>
      </c>
      <c r="F1555" s="9" t="s">
        <v>17</v>
      </c>
      <c r="G1555" s="9" t="s">
        <v>24</v>
      </c>
      <c r="H1555" s="9" t="s">
        <v>17</v>
      </c>
      <c r="I1555" s="9" t="s">
        <v>20</v>
      </c>
      <c r="J1555" s="10"/>
      <c r="K1555" s="7"/>
      <c r="L1555" s="7"/>
      <c r="M1555" s="7"/>
      <c r="N1555" s="7"/>
      <c r="O1555" s="7"/>
    </row>
    <row r="1556" ht="22.5" hidden="1" customHeight="1">
      <c r="A1556" s="8">
        <v>45880.38497909722</v>
      </c>
      <c r="B1556" s="9"/>
      <c r="C1556" s="9" t="s">
        <v>86</v>
      </c>
      <c r="D1556" s="9" t="s">
        <v>223</v>
      </c>
      <c r="E1556" s="9" t="s">
        <v>17</v>
      </c>
      <c r="F1556" s="9" t="s">
        <v>17</v>
      </c>
      <c r="G1556" s="9" t="s">
        <v>24</v>
      </c>
      <c r="H1556" s="9" t="s">
        <v>17</v>
      </c>
      <c r="I1556" s="9" t="s">
        <v>20</v>
      </c>
      <c r="J1556" s="10"/>
      <c r="K1556" s="7"/>
      <c r="L1556" s="7"/>
      <c r="M1556" s="7"/>
      <c r="N1556" s="7"/>
      <c r="O1556" s="7"/>
    </row>
    <row r="1557" ht="22.5" hidden="1" customHeight="1">
      <c r="A1557" s="8">
        <v>45880.38532104167</v>
      </c>
      <c r="B1557" s="9"/>
      <c r="C1557" s="9" t="s">
        <v>86</v>
      </c>
      <c r="D1557" s="9" t="s">
        <v>168</v>
      </c>
      <c r="E1557" s="9" t="s">
        <v>17</v>
      </c>
      <c r="F1557" s="9" t="s">
        <v>17</v>
      </c>
      <c r="G1557" s="9" t="s">
        <v>24</v>
      </c>
      <c r="H1557" s="9" t="s">
        <v>25</v>
      </c>
      <c r="I1557" s="9" t="s">
        <v>67</v>
      </c>
      <c r="J1557" s="10"/>
      <c r="K1557" s="7"/>
      <c r="L1557" s="7"/>
      <c r="M1557" s="7"/>
      <c r="N1557" s="7"/>
      <c r="O1557" s="7"/>
    </row>
    <row r="1558" ht="22.5" hidden="1" customHeight="1">
      <c r="A1558" s="8">
        <v>45880.387728368056</v>
      </c>
      <c r="B1558" s="9"/>
      <c r="C1558" s="9" t="s">
        <v>86</v>
      </c>
      <c r="D1558" s="9" t="s">
        <v>350</v>
      </c>
      <c r="E1558" s="9" t="s">
        <v>17</v>
      </c>
      <c r="F1558" s="9" t="s">
        <v>17</v>
      </c>
      <c r="G1558" s="9" t="s">
        <v>24</v>
      </c>
      <c r="H1558" s="9" t="s">
        <v>17</v>
      </c>
      <c r="I1558" s="9" t="s">
        <v>20</v>
      </c>
      <c r="J1558" s="10"/>
      <c r="K1558" s="7"/>
      <c r="L1558" s="7"/>
      <c r="M1558" s="7"/>
      <c r="N1558" s="7"/>
      <c r="O1558" s="7"/>
    </row>
    <row r="1559" ht="22.5" hidden="1" customHeight="1">
      <c r="A1559" s="8">
        <v>45880.38928990741</v>
      </c>
      <c r="B1559" s="9"/>
      <c r="C1559" s="9" t="s">
        <v>86</v>
      </c>
      <c r="D1559" s="9" t="s">
        <v>259</v>
      </c>
      <c r="E1559" s="9" t="s">
        <v>17</v>
      </c>
      <c r="F1559" s="9" t="s">
        <v>17</v>
      </c>
      <c r="G1559" s="9" t="s">
        <v>24</v>
      </c>
      <c r="H1559" s="9" t="s">
        <v>25</v>
      </c>
      <c r="I1559" s="9" t="s">
        <v>67</v>
      </c>
      <c r="J1559" s="10"/>
      <c r="K1559" s="7"/>
      <c r="L1559" s="7"/>
      <c r="M1559" s="7"/>
      <c r="N1559" s="7"/>
      <c r="O1559" s="7"/>
    </row>
    <row r="1560" ht="22.5" hidden="1" customHeight="1">
      <c r="A1560" s="8">
        <v>45880.389651053236</v>
      </c>
      <c r="B1560" s="9"/>
      <c r="C1560" s="9" t="s">
        <v>86</v>
      </c>
      <c r="D1560" s="9" t="s">
        <v>171</v>
      </c>
      <c r="E1560" s="9" t="s">
        <v>17</v>
      </c>
      <c r="F1560" s="9" t="s">
        <v>17</v>
      </c>
      <c r="G1560" s="9" t="s">
        <v>24</v>
      </c>
      <c r="H1560" s="9" t="s">
        <v>17</v>
      </c>
      <c r="I1560" s="9" t="s">
        <v>20</v>
      </c>
      <c r="J1560" s="10"/>
      <c r="K1560" s="7"/>
      <c r="L1560" s="7"/>
      <c r="M1560" s="7"/>
      <c r="N1560" s="7"/>
      <c r="O1560" s="7"/>
    </row>
    <row r="1561" ht="22.5" hidden="1" customHeight="1">
      <c r="A1561" s="8">
        <v>45880.39028413194</v>
      </c>
      <c r="B1561" s="9"/>
      <c r="C1561" s="9" t="s">
        <v>86</v>
      </c>
      <c r="D1561" s="9" t="s">
        <v>177</v>
      </c>
      <c r="E1561" s="9" t="s">
        <v>17</v>
      </c>
      <c r="F1561" s="9" t="s">
        <v>17</v>
      </c>
      <c r="G1561" s="9" t="s">
        <v>24</v>
      </c>
      <c r="H1561" s="9" t="s">
        <v>17</v>
      </c>
      <c r="I1561" s="9" t="s">
        <v>20</v>
      </c>
      <c r="J1561" s="10"/>
      <c r="K1561" s="7"/>
      <c r="L1561" s="7"/>
      <c r="M1561" s="7"/>
      <c r="N1561" s="7"/>
      <c r="O1561" s="7"/>
    </row>
    <row r="1562" ht="22.5" hidden="1" customHeight="1">
      <c r="A1562" s="8">
        <v>45880.39076241898</v>
      </c>
      <c r="B1562" s="9"/>
      <c r="C1562" s="9" t="s">
        <v>86</v>
      </c>
      <c r="D1562" s="9" t="s">
        <v>357</v>
      </c>
      <c r="E1562" s="9" t="s">
        <v>17</v>
      </c>
      <c r="F1562" s="9" t="s">
        <v>17</v>
      </c>
      <c r="G1562" s="9" t="s">
        <v>24</v>
      </c>
      <c r="H1562" s="9" t="s">
        <v>25</v>
      </c>
      <c r="I1562" s="9" t="s">
        <v>242</v>
      </c>
      <c r="J1562" s="10"/>
      <c r="K1562" s="7"/>
      <c r="L1562" s="7"/>
      <c r="M1562" s="7"/>
      <c r="N1562" s="7"/>
      <c r="O1562" s="7"/>
    </row>
    <row r="1563" ht="22.5" hidden="1" customHeight="1">
      <c r="A1563" s="8">
        <v>45880.39178005787</v>
      </c>
      <c r="B1563" s="9"/>
      <c r="C1563" s="9" t="s">
        <v>86</v>
      </c>
      <c r="D1563" s="9" t="s">
        <v>247</v>
      </c>
      <c r="E1563" s="9" t="s">
        <v>17</v>
      </c>
      <c r="F1563" s="9" t="s">
        <v>17</v>
      </c>
      <c r="G1563" s="9" t="s">
        <v>24</v>
      </c>
      <c r="H1563" s="9" t="s">
        <v>25</v>
      </c>
      <c r="I1563" s="9" t="s">
        <v>273</v>
      </c>
      <c r="J1563" s="10"/>
      <c r="K1563" s="7"/>
      <c r="L1563" s="7"/>
      <c r="M1563" s="7"/>
      <c r="N1563" s="7"/>
      <c r="O1563" s="7"/>
    </row>
    <row r="1564" ht="22.5" hidden="1" customHeight="1">
      <c r="A1564" s="8">
        <v>45880.39196759259</v>
      </c>
      <c r="B1564" s="9"/>
      <c r="C1564" s="9" t="s">
        <v>86</v>
      </c>
      <c r="D1564" s="9" t="s">
        <v>367</v>
      </c>
      <c r="E1564" s="9" t="s">
        <v>17</v>
      </c>
      <c r="F1564" s="9" t="s">
        <v>17</v>
      </c>
      <c r="G1564" s="9" t="s">
        <v>24</v>
      </c>
      <c r="H1564" s="9" t="s">
        <v>25</v>
      </c>
      <c r="I1564" s="9" t="s">
        <v>273</v>
      </c>
      <c r="J1564" s="10"/>
      <c r="K1564" s="7"/>
      <c r="L1564" s="7"/>
      <c r="M1564" s="7"/>
      <c r="N1564" s="7"/>
      <c r="O1564" s="7"/>
    </row>
    <row r="1565" ht="22.5" hidden="1" customHeight="1">
      <c r="A1565" s="8">
        <v>45880.40407255787</v>
      </c>
      <c r="B1565" s="9"/>
      <c r="C1565" s="9" t="s">
        <v>86</v>
      </c>
      <c r="D1565" s="9" t="s">
        <v>210</v>
      </c>
      <c r="E1565" s="9" t="s">
        <v>17</v>
      </c>
      <c r="F1565" s="9" t="s">
        <v>17</v>
      </c>
      <c r="G1565" s="9" t="s">
        <v>24</v>
      </c>
      <c r="H1565" s="9" t="s">
        <v>17</v>
      </c>
      <c r="I1565" s="9" t="s">
        <v>20</v>
      </c>
      <c r="J1565" s="10"/>
      <c r="K1565" s="7"/>
      <c r="L1565" s="7"/>
      <c r="M1565" s="7"/>
      <c r="N1565" s="7"/>
      <c r="O1565" s="7"/>
    </row>
    <row r="1566" ht="22.5" hidden="1" customHeight="1">
      <c r="A1566" s="8">
        <v>45880.41896456019</v>
      </c>
      <c r="B1566" s="9"/>
      <c r="C1566" s="9" t="s">
        <v>86</v>
      </c>
      <c r="D1566" s="9" t="s">
        <v>174</v>
      </c>
      <c r="E1566" s="9" t="s">
        <v>17</v>
      </c>
      <c r="F1566" s="9" t="s">
        <v>17</v>
      </c>
      <c r="G1566" s="9" t="s">
        <v>24</v>
      </c>
      <c r="H1566" s="9" t="s">
        <v>17</v>
      </c>
      <c r="I1566" s="9" t="s">
        <v>20</v>
      </c>
      <c r="J1566" s="10"/>
      <c r="K1566" s="7"/>
      <c r="L1566" s="7"/>
      <c r="M1566" s="7"/>
      <c r="N1566" s="7"/>
      <c r="O1566" s="7"/>
    </row>
    <row r="1567" ht="22.5" hidden="1" customHeight="1">
      <c r="A1567" s="8">
        <v>45880.41930699074</v>
      </c>
      <c r="B1567" s="9"/>
      <c r="C1567" s="9" t="s">
        <v>86</v>
      </c>
      <c r="D1567" s="9" t="s">
        <v>249</v>
      </c>
      <c r="E1567" s="9" t="s">
        <v>17</v>
      </c>
      <c r="F1567" s="9" t="s">
        <v>17</v>
      </c>
      <c r="G1567" s="9" t="s">
        <v>24</v>
      </c>
      <c r="H1567" s="9" t="s">
        <v>17</v>
      </c>
      <c r="I1567" s="9" t="s">
        <v>20</v>
      </c>
      <c r="J1567" s="10"/>
      <c r="K1567" s="7"/>
      <c r="L1567" s="7"/>
      <c r="M1567" s="7"/>
      <c r="N1567" s="7"/>
      <c r="O1567" s="7"/>
    </row>
    <row r="1568" ht="22.5" hidden="1" customHeight="1">
      <c r="A1568" s="8">
        <v>45881.34970086806</v>
      </c>
      <c r="B1568" s="9"/>
      <c r="C1568" s="9" t="s">
        <v>110</v>
      </c>
      <c r="D1568" s="9" t="s">
        <v>258</v>
      </c>
      <c r="E1568" s="9" t="s">
        <v>17</v>
      </c>
      <c r="F1568" s="9" t="s">
        <v>17</v>
      </c>
      <c r="G1568" s="9" t="s">
        <v>24</v>
      </c>
      <c r="H1568" s="9" t="s">
        <v>17</v>
      </c>
      <c r="I1568" s="9" t="s">
        <v>20</v>
      </c>
      <c r="J1568" s="10"/>
      <c r="K1568" s="7"/>
      <c r="L1568" s="7"/>
      <c r="M1568" s="7"/>
      <c r="N1568" s="7"/>
      <c r="O1568" s="7"/>
    </row>
    <row r="1569" ht="22.5" hidden="1" customHeight="1">
      <c r="A1569" s="8">
        <v>45881.35944141204</v>
      </c>
      <c r="B1569" s="9"/>
      <c r="C1569" s="9" t="s">
        <v>110</v>
      </c>
      <c r="D1569" s="9" t="s">
        <v>280</v>
      </c>
      <c r="E1569" s="9" t="s">
        <v>17</v>
      </c>
      <c r="F1569" s="9" t="s">
        <v>17</v>
      </c>
      <c r="G1569" s="9" t="s">
        <v>24</v>
      </c>
      <c r="H1569" s="9" t="s">
        <v>17</v>
      </c>
      <c r="I1569" s="9" t="s">
        <v>20</v>
      </c>
      <c r="J1569" s="10"/>
      <c r="K1569" s="7"/>
      <c r="L1569" s="7"/>
      <c r="M1569" s="7"/>
      <c r="N1569" s="7"/>
      <c r="O1569" s="7"/>
    </row>
    <row r="1570" ht="22.5" hidden="1" customHeight="1">
      <c r="A1570" s="8">
        <v>45881.35983332176</v>
      </c>
      <c r="B1570" s="9"/>
      <c r="C1570" s="9" t="s">
        <v>110</v>
      </c>
      <c r="D1570" s="9" t="s">
        <v>177</v>
      </c>
      <c r="E1570" s="9" t="s">
        <v>17</v>
      </c>
      <c r="F1570" s="9" t="s">
        <v>17</v>
      </c>
      <c r="G1570" s="9" t="s">
        <v>24</v>
      </c>
      <c r="H1570" s="9" t="s">
        <v>17</v>
      </c>
      <c r="I1570" s="9" t="s">
        <v>20</v>
      </c>
      <c r="J1570" s="10"/>
      <c r="K1570" s="7"/>
      <c r="L1570" s="7"/>
      <c r="M1570" s="7"/>
      <c r="N1570" s="7"/>
      <c r="O1570" s="7"/>
    </row>
    <row r="1571" ht="22.5" hidden="1" customHeight="1">
      <c r="A1571" s="8">
        <v>45881.36059590278</v>
      </c>
      <c r="B1571" s="9"/>
      <c r="C1571" s="9" t="s">
        <v>110</v>
      </c>
      <c r="D1571" s="9" t="s">
        <v>393</v>
      </c>
      <c r="E1571" s="9" t="s">
        <v>17</v>
      </c>
      <c r="F1571" s="9" t="s">
        <v>17</v>
      </c>
      <c r="G1571" s="9" t="s">
        <v>24</v>
      </c>
      <c r="H1571" s="9" t="s">
        <v>17</v>
      </c>
      <c r="I1571" s="9" t="s">
        <v>20</v>
      </c>
      <c r="J1571" s="10"/>
      <c r="K1571" s="7"/>
      <c r="L1571" s="7"/>
      <c r="M1571" s="7"/>
      <c r="N1571" s="7"/>
      <c r="O1571" s="7"/>
    </row>
    <row r="1572" ht="22.5" hidden="1" customHeight="1">
      <c r="A1572" s="8">
        <v>45881.36090865741</v>
      </c>
      <c r="B1572" s="9"/>
      <c r="C1572" s="9" t="s">
        <v>110</v>
      </c>
      <c r="D1572" s="9" t="s">
        <v>257</v>
      </c>
      <c r="E1572" s="9" t="s">
        <v>17</v>
      </c>
      <c r="F1572" s="9" t="s">
        <v>17</v>
      </c>
      <c r="G1572" s="9" t="s">
        <v>19</v>
      </c>
      <c r="H1572" s="9" t="s">
        <v>17</v>
      </c>
      <c r="I1572" s="9" t="s">
        <v>20</v>
      </c>
      <c r="J1572" s="10"/>
      <c r="K1572" s="7"/>
      <c r="L1572" s="7"/>
      <c r="M1572" s="7"/>
      <c r="N1572" s="7"/>
      <c r="O1572" s="7"/>
    </row>
    <row r="1573" ht="22.5" hidden="1" customHeight="1">
      <c r="A1573" s="8">
        <v>45881.367832013886</v>
      </c>
      <c r="B1573" s="9"/>
      <c r="C1573" s="9" t="s">
        <v>110</v>
      </c>
      <c r="D1573" s="9" t="s">
        <v>171</v>
      </c>
      <c r="E1573" s="9" t="s">
        <v>17</v>
      </c>
      <c r="F1573" s="9" t="s">
        <v>17</v>
      </c>
      <c r="G1573" s="9" t="s">
        <v>24</v>
      </c>
      <c r="H1573" s="9" t="s">
        <v>17</v>
      </c>
      <c r="I1573" s="9" t="s">
        <v>20</v>
      </c>
      <c r="J1573" s="10"/>
      <c r="K1573" s="7"/>
      <c r="L1573" s="7"/>
      <c r="M1573" s="7"/>
      <c r="N1573" s="7"/>
      <c r="O1573" s="7"/>
    </row>
    <row r="1574" ht="22.5" hidden="1" customHeight="1">
      <c r="A1574" s="8">
        <v>45881.369973356486</v>
      </c>
      <c r="B1574" s="9"/>
      <c r="C1574" s="9" t="s">
        <v>110</v>
      </c>
      <c r="D1574" s="9" t="s">
        <v>178</v>
      </c>
      <c r="E1574" s="9" t="s">
        <v>17</v>
      </c>
      <c r="F1574" s="9" t="s">
        <v>17</v>
      </c>
      <c r="G1574" s="9" t="s">
        <v>24</v>
      </c>
      <c r="H1574" s="9" t="s">
        <v>17</v>
      </c>
      <c r="I1574" s="9" t="s">
        <v>20</v>
      </c>
      <c r="J1574" s="10"/>
      <c r="K1574" s="7"/>
      <c r="L1574" s="7"/>
      <c r="M1574" s="7"/>
      <c r="N1574" s="7"/>
      <c r="O1574" s="7"/>
    </row>
    <row r="1575" ht="22.5" hidden="1" customHeight="1">
      <c r="A1575" s="8">
        <v>45881.3724607176</v>
      </c>
      <c r="B1575" s="9"/>
      <c r="C1575" s="9" t="s">
        <v>110</v>
      </c>
      <c r="D1575" s="9" t="s">
        <v>394</v>
      </c>
      <c r="E1575" s="9" t="s">
        <v>17</v>
      </c>
      <c r="F1575" s="9" t="s">
        <v>17</v>
      </c>
      <c r="G1575" s="9" t="s">
        <v>24</v>
      </c>
      <c r="H1575" s="9" t="s">
        <v>17</v>
      </c>
      <c r="I1575" s="9" t="s">
        <v>20</v>
      </c>
      <c r="J1575" s="10"/>
      <c r="K1575" s="7"/>
      <c r="L1575" s="7"/>
      <c r="M1575" s="7"/>
      <c r="N1575" s="7"/>
      <c r="O1575" s="7"/>
    </row>
    <row r="1576" ht="22.5" hidden="1" customHeight="1">
      <c r="A1576" s="8">
        <v>45881.372934328705</v>
      </c>
      <c r="B1576" s="9"/>
      <c r="C1576" s="9" t="s">
        <v>110</v>
      </c>
      <c r="D1576" s="9" t="s">
        <v>174</v>
      </c>
      <c r="E1576" s="9" t="s">
        <v>17</v>
      </c>
      <c r="F1576" s="9" t="s">
        <v>17</v>
      </c>
      <c r="G1576" s="9" t="s">
        <v>24</v>
      </c>
      <c r="H1576" s="9" t="s">
        <v>17</v>
      </c>
      <c r="I1576" s="9" t="s">
        <v>20</v>
      </c>
      <c r="J1576" s="10"/>
      <c r="K1576" s="7"/>
      <c r="L1576" s="7"/>
      <c r="M1576" s="7"/>
      <c r="N1576" s="7"/>
      <c r="O1576" s="7"/>
    </row>
    <row r="1577" ht="22.5" hidden="1" customHeight="1">
      <c r="A1577" s="8">
        <v>45881.37317238426</v>
      </c>
      <c r="B1577" s="9"/>
      <c r="C1577" s="9" t="s">
        <v>110</v>
      </c>
      <c r="D1577" s="9" t="s">
        <v>249</v>
      </c>
      <c r="E1577" s="9" t="s">
        <v>17</v>
      </c>
      <c r="F1577" s="9" t="s">
        <v>17</v>
      </c>
      <c r="G1577" s="9" t="s">
        <v>24</v>
      </c>
      <c r="H1577" s="9" t="s">
        <v>17</v>
      </c>
      <c r="I1577" s="9" t="s">
        <v>20</v>
      </c>
      <c r="J1577" s="10"/>
      <c r="K1577" s="7"/>
      <c r="L1577" s="7"/>
      <c r="M1577" s="7"/>
      <c r="N1577" s="7"/>
      <c r="O1577" s="7"/>
    </row>
    <row r="1578" ht="22.5" hidden="1" customHeight="1">
      <c r="A1578" s="8">
        <v>45881.373618541664</v>
      </c>
      <c r="B1578" s="9"/>
      <c r="C1578" s="9" t="s">
        <v>110</v>
      </c>
      <c r="D1578" s="9" t="s">
        <v>361</v>
      </c>
      <c r="E1578" s="9" t="s">
        <v>17</v>
      </c>
      <c r="F1578" s="9" t="s">
        <v>17</v>
      </c>
      <c r="G1578" s="9" t="s">
        <v>24</v>
      </c>
      <c r="H1578" s="9" t="s">
        <v>17</v>
      </c>
      <c r="I1578" s="9" t="s">
        <v>20</v>
      </c>
      <c r="J1578" s="10"/>
      <c r="K1578" s="7"/>
      <c r="L1578" s="7"/>
      <c r="M1578" s="7"/>
      <c r="N1578" s="7"/>
      <c r="O1578" s="7"/>
    </row>
    <row r="1579" ht="22.5" hidden="1" customHeight="1">
      <c r="A1579" s="8">
        <v>45881.37730723379</v>
      </c>
      <c r="B1579" s="9"/>
      <c r="C1579" s="9" t="s">
        <v>110</v>
      </c>
      <c r="D1579" s="9" t="s">
        <v>350</v>
      </c>
      <c r="E1579" s="9" t="s">
        <v>17</v>
      </c>
      <c r="F1579" s="9" t="s">
        <v>17</v>
      </c>
      <c r="G1579" s="9" t="s">
        <v>24</v>
      </c>
      <c r="H1579" s="9" t="s">
        <v>17</v>
      </c>
      <c r="I1579" s="9" t="s">
        <v>20</v>
      </c>
      <c r="J1579" s="10"/>
      <c r="K1579" s="7"/>
      <c r="L1579" s="7"/>
      <c r="M1579" s="7"/>
      <c r="N1579" s="7"/>
      <c r="O1579" s="7"/>
    </row>
    <row r="1580" ht="22.5" hidden="1" customHeight="1">
      <c r="A1580" s="8">
        <v>45881.37750016204</v>
      </c>
      <c r="B1580" s="9"/>
      <c r="C1580" s="9" t="s">
        <v>110</v>
      </c>
      <c r="D1580" s="9" t="s">
        <v>395</v>
      </c>
      <c r="E1580" s="9" t="s">
        <v>17</v>
      </c>
      <c r="F1580" s="9" t="s">
        <v>17</v>
      </c>
      <c r="G1580" s="9" t="s">
        <v>24</v>
      </c>
      <c r="H1580" s="9" t="s">
        <v>17</v>
      </c>
      <c r="I1580" s="9" t="s">
        <v>20</v>
      </c>
      <c r="J1580" s="10"/>
      <c r="K1580" s="7"/>
      <c r="L1580" s="7"/>
      <c r="M1580" s="7"/>
      <c r="N1580" s="7"/>
      <c r="O1580" s="7"/>
    </row>
    <row r="1581" ht="22.5" hidden="1" customHeight="1">
      <c r="A1581" s="8">
        <v>45881.37838711806</v>
      </c>
      <c r="B1581" s="9"/>
      <c r="C1581" s="9" t="s">
        <v>110</v>
      </c>
      <c r="D1581" s="9" t="s">
        <v>210</v>
      </c>
      <c r="E1581" s="9" t="s">
        <v>17</v>
      </c>
      <c r="F1581" s="9" t="s">
        <v>17</v>
      </c>
      <c r="G1581" s="9" t="s">
        <v>24</v>
      </c>
      <c r="H1581" s="9" t="s">
        <v>17</v>
      </c>
      <c r="I1581" s="9" t="s">
        <v>20</v>
      </c>
      <c r="J1581" s="10"/>
      <c r="K1581" s="7"/>
      <c r="L1581" s="7"/>
      <c r="M1581" s="7"/>
      <c r="N1581" s="7"/>
      <c r="O1581" s="7"/>
    </row>
    <row r="1582" ht="22.5" hidden="1" customHeight="1">
      <c r="A1582" s="8">
        <v>45881.38025357639</v>
      </c>
      <c r="B1582" s="9"/>
      <c r="C1582" s="9" t="s">
        <v>110</v>
      </c>
      <c r="D1582" s="9" t="s">
        <v>259</v>
      </c>
      <c r="E1582" s="9" t="s">
        <v>17</v>
      </c>
      <c r="F1582" s="9" t="s">
        <v>17</v>
      </c>
      <c r="G1582" s="9" t="s">
        <v>24</v>
      </c>
      <c r="H1582" s="9" t="s">
        <v>25</v>
      </c>
      <c r="I1582" s="9" t="s">
        <v>67</v>
      </c>
      <c r="J1582" s="10"/>
      <c r="K1582" s="7"/>
      <c r="L1582" s="7"/>
      <c r="M1582" s="7"/>
      <c r="N1582" s="7"/>
      <c r="O1582" s="7"/>
    </row>
    <row r="1583" ht="22.5" hidden="1" customHeight="1">
      <c r="A1583" s="8">
        <v>45881.38045846065</v>
      </c>
      <c r="B1583" s="9"/>
      <c r="C1583" s="9" t="s">
        <v>110</v>
      </c>
      <c r="D1583" s="9" t="s">
        <v>247</v>
      </c>
      <c r="E1583" s="9" t="s">
        <v>17</v>
      </c>
      <c r="F1583" s="9" t="s">
        <v>17</v>
      </c>
      <c r="G1583" s="9" t="s">
        <v>24</v>
      </c>
      <c r="H1583" s="9" t="s">
        <v>25</v>
      </c>
      <c r="I1583" s="9" t="s">
        <v>273</v>
      </c>
      <c r="J1583" s="10"/>
      <c r="K1583" s="7"/>
      <c r="L1583" s="7"/>
      <c r="M1583" s="7"/>
      <c r="N1583" s="7"/>
      <c r="O1583" s="7"/>
    </row>
    <row r="1584" ht="22.5" hidden="1" customHeight="1">
      <c r="A1584" s="8">
        <v>45881.381669062495</v>
      </c>
      <c r="B1584" s="9"/>
      <c r="C1584" s="9" t="s">
        <v>110</v>
      </c>
      <c r="D1584" s="9" t="s">
        <v>168</v>
      </c>
      <c r="E1584" s="9" t="s">
        <v>17</v>
      </c>
      <c r="F1584" s="9" t="s">
        <v>17</v>
      </c>
      <c r="G1584" s="9" t="s">
        <v>24</v>
      </c>
      <c r="H1584" s="9" t="s">
        <v>25</v>
      </c>
      <c r="I1584" s="9" t="s">
        <v>67</v>
      </c>
      <c r="J1584" s="10"/>
      <c r="K1584" s="7"/>
      <c r="L1584" s="7"/>
      <c r="M1584" s="7"/>
      <c r="N1584" s="7"/>
      <c r="O1584" s="7"/>
    </row>
    <row r="1585" ht="22.5" hidden="1" customHeight="1">
      <c r="A1585" s="8">
        <v>45881.38301464121</v>
      </c>
      <c r="B1585" s="9"/>
      <c r="C1585" s="9" t="s">
        <v>110</v>
      </c>
      <c r="D1585" s="9" t="s">
        <v>396</v>
      </c>
      <c r="E1585" s="9" t="s">
        <v>17</v>
      </c>
      <c r="F1585" s="9" t="s">
        <v>17</v>
      </c>
      <c r="G1585" s="9" t="s">
        <v>24</v>
      </c>
      <c r="H1585" s="9" t="s">
        <v>17</v>
      </c>
      <c r="I1585" s="9" t="s">
        <v>20</v>
      </c>
      <c r="J1585" s="10"/>
      <c r="K1585" s="7"/>
      <c r="L1585" s="7"/>
      <c r="M1585" s="7"/>
      <c r="N1585" s="7"/>
      <c r="O1585" s="7"/>
    </row>
    <row r="1586" ht="22.5" hidden="1" customHeight="1">
      <c r="A1586" s="8">
        <v>45881.383263483796</v>
      </c>
      <c r="B1586" s="9"/>
      <c r="C1586" s="9" t="s">
        <v>110</v>
      </c>
      <c r="D1586" s="9" t="s">
        <v>223</v>
      </c>
      <c r="E1586" s="9" t="s">
        <v>17</v>
      </c>
      <c r="F1586" s="9" t="s">
        <v>17</v>
      </c>
      <c r="G1586" s="9" t="s">
        <v>24</v>
      </c>
      <c r="H1586" s="9" t="s">
        <v>17</v>
      </c>
      <c r="I1586" s="9" t="s">
        <v>20</v>
      </c>
      <c r="J1586" s="10"/>
      <c r="K1586" s="7"/>
      <c r="L1586" s="7"/>
      <c r="M1586" s="7"/>
      <c r="N1586" s="7"/>
      <c r="O1586" s="7"/>
    </row>
    <row r="1587" ht="22.5" hidden="1" customHeight="1">
      <c r="A1587" s="8">
        <v>45881.38395292824</v>
      </c>
      <c r="B1587" s="9"/>
      <c r="C1587" s="9" t="s">
        <v>110</v>
      </c>
      <c r="D1587" s="9" t="s">
        <v>367</v>
      </c>
      <c r="E1587" s="9" t="s">
        <v>17</v>
      </c>
      <c r="F1587" s="9" t="s">
        <v>17</v>
      </c>
      <c r="G1587" s="9" t="s">
        <v>24</v>
      </c>
      <c r="H1587" s="9" t="s">
        <v>25</v>
      </c>
      <c r="I1587" s="9" t="s">
        <v>273</v>
      </c>
      <c r="J1587" s="10"/>
      <c r="K1587" s="7"/>
      <c r="L1587" s="7"/>
      <c r="M1587" s="7"/>
      <c r="N1587" s="7"/>
      <c r="O1587" s="7"/>
    </row>
    <row r="1588" ht="22.5" hidden="1" customHeight="1">
      <c r="A1588" s="8">
        <v>45881.39453532407</v>
      </c>
      <c r="B1588" s="9"/>
      <c r="C1588" s="9" t="s">
        <v>110</v>
      </c>
      <c r="D1588" s="9" t="s">
        <v>357</v>
      </c>
      <c r="E1588" s="9" t="s">
        <v>17</v>
      </c>
      <c r="F1588" s="9" t="s">
        <v>17</v>
      </c>
      <c r="G1588" s="9" t="s">
        <v>24</v>
      </c>
      <c r="H1588" s="9" t="s">
        <v>25</v>
      </c>
      <c r="I1588" s="9" t="s">
        <v>242</v>
      </c>
      <c r="J1588" s="10"/>
      <c r="K1588" s="7"/>
      <c r="L1588" s="7"/>
      <c r="M1588" s="7"/>
      <c r="N1588" s="7"/>
      <c r="O1588" s="7"/>
    </row>
    <row r="1589" ht="22.5" hidden="1" customHeight="1">
      <c r="A1589" s="8">
        <v>45881.401105613426</v>
      </c>
      <c r="B1589" s="9"/>
      <c r="C1589" s="9" t="s">
        <v>110</v>
      </c>
      <c r="D1589" s="9" t="s">
        <v>335</v>
      </c>
      <c r="E1589" s="9" t="s">
        <v>17</v>
      </c>
      <c r="F1589" s="9" t="s">
        <v>17</v>
      </c>
      <c r="G1589" s="9" t="s">
        <v>24</v>
      </c>
      <c r="H1589" s="9" t="s">
        <v>17</v>
      </c>
      <c r="I1589" s="9" t="s">
        <v>20</v>
      </c>
      <c r="J1589" s="10"/>
      <c r="K1589" s="7"/>
      <c r="L1589" s="7"/>
      <c r="M1589" s="7"/>
      <c r="N1589" s="7"/>
      <c r="O1589" s="7"/>
    </row>
    <row r="1590" ht="22.5" hidden="1" customHeight="1">
      <c r="A1590" s="8">
        <v>45881.401315358795</v>
      </c>
      <c r="B1590" s="9"/>
      <c r="C1590" s="9" t="s">
        <v>110</v>
      </c>
      <c r="D1590" s="9" t="s">
        <v>175</v>
      </c>
      <c r="E1590" s="9" t="s">
        <v>17</v>
      </c>
      <c r="F1590" s="9" t="s">
        <v>17</v>
      </c>
      <c r="G1590" s="9" t="s">
        <v>24</v>
      </c>
      <c r="H1590" s="9" t="s">
        <v>17</v>
      </c>
      <c r="I1590" s="9" t="s">
        <v>20</v>
      </c>
      <c r="J1590" s="10"/>
      <c r="K1590" s="7"/>
      <c r="L1590" s="7"/>
      <c r="M1590" s="7"/>
      <c r="N1590" s="7"/>
      <c r="O1590" s="7"/>
    </row>
    <row r="1591" ht="22.5" hidden="1" customHeight="1">
      <c r="A1591" s="8">
        <v>45881.40468253472</v>
      </c>
      <c r="B1591" s="9">
        <f t="array" ref="B1591:B53811">IF(A1591:A53811="","",INT(A1591:A53811))
</f>
        <v>45881</v>
      </c>
      <c r="C1591" s="9" t="s">
        <v>110</v>
      </c>
      <c r="D1591" s="9" t="s">
        <v>397</v>
      </c>
      <c r="E1591" s="9" t="s">
        <v>61</v>
      </c>
      <c r="F1591" s="9" t="s">
        <v>17</v>
      </c>
      <c r="G1591" s="9" t="s">
        <v>24</v>
      </c>
      <c r="H1591" s="9" t="s">
        <v>17</v>
      </c>
      <c r="I1591" s="9" t="s">
        <v>20</v>
      </c>
      <c r="J1591" s="10"/>
      <c r="K1591" s="4" t="str">
        <f t="array" ref="K1591:K33311">IF(
    D1591:D33311="",
    "",
    IFERROR(
      _xlfn.XLOOKUP(
        TRIM(D1591:D33311)&amp;"|"&amp;(B1591:B33311-1),
        $N$2:$N53811,
        $O$2:$O53811
      ),
      "Sin dato (no puso RPE ayer)"
    )
  )</f>
        <v>Sin dato (no puso RPE ayer)</v>
      </c>
      <c r="L1591" s="11"/>
      <c r="M1591" s="12"/>
      <c r="N1591" s="12" t="str">
        <f>IFERROR(__xludf.DUMMYFUNCTION("IMPORTRANGE(""https://docs.google.com/spreadsheets/d/1qDk966nBxl8XNpplNg0-5CMH3EtfdFmSTowhbNHJttQ"",""Respuestas de Formulario 1!J:J"")"),"Key")</f>
        <v>Key</v>
      </c>
      <c r="O1591" s="13" t="str">
        <f>IFERROR(__xludf.DUMMYFUNCTION("IMPORTRANGE(""https://docs.google.com/spreadsheets/d/1qDk966nBxl8XNpplNg0-5CMH3EtfdFmSTowhbNHJttQ"",""Respuestas de formulario 1!G:G"")"),"RPE")</f>
        <v>RPE</v>
      </c>
    </row>
    <row r="1592" ht="22.5" hidden="1" customHeight="1">
      <c r="A1592" s="8">
        <v>45882.35950185185</v>
      </c>
      <c r="B1592" s="9">
        <v>45882.0</v>
      </c>
      <c r="C1592" s="9" t="s">
        <v>15</v>
      </c>
      <c r="D1592" s="9" t="s">
        <v>258</v>
      </c>
      <c r="E1592" s="9" t="s">
        <v>17</v>
      </c>
      <c r="F1592" s="9" t="s">
        <v>17</v>
      </c>
      <c r="G1592" s="9" t="s">
        <v>19</v>
      </c>
      <c r="H1592" s="9" t="s">
        <v>17</v>
      </c>
      <c r="I1592" s="9" t="s">
        <v>20</v>
      </c>
      <c r="J1592" s="10"/>
      <c r="K1592" s="7" t="s">
        <v>398</v>
      </c>
      <c r="L1592" s="7"/>
      <c r="M1592" s="7"/>
      <c r="N1592" s="7" t="str">
        <f>IFERROR(__xludf.DUMMYFUNCTION("""COMPUTED_VALUE"""),"Néstor Araujo|46013")</f>
        <v>Néstor Araujo|46013</v>
      </c>
      <c r="O1592" s="7">
        <f>IFERROR(__xludf.DUMMYFUNCTION("""COMPUTED_VALUE"""),3.0)</f>
        <v>3</v>
      </c>
    </row>
    <row r="1593" ht="22.5" hidden="1" customHeight="1">
      <c r="A1593" s="8">
        <v>45882.35975902778</v>
      </c>
      <c r="B1593" s="9">
        <v>45882.0</v>
      </c>
      <c r="C1593" s="9" t="s">
        <v>15</v>
      </c>
      <c r="D1593" s="9" t="s">
        <v>395</v>
      </c>
      <c r="E1593" s="9" t="s">
        <v>17</v>
      </c>
      <c r="F1593" s="9" t="s">
        <v>17</v>
      </c>
      <c r="G1593" s="9" t="s">
        <v>24</v>
      </c>
      <c r="H1593" s="9" t="s">
        <v>17</v>
      </c>
      <c r="I1593" s="9" t="s">
        <v>20</v>
      </c>
      <c r="J1593" s="10"/>
      <c r="K1593" s="7" t="s">
        <v>398</v>
      </c>
      <c r="L1593" s="7"/>
      <c r="M1593" s="7"/>
      <c r="N1593" s="7" t="str">
        <f>IFERROR(__xludf.DUMMYFUNCTION("""COMPUTED_VALUE"""),"Miguel Vázquez|46013")</f>
        <v>Miguel Vázquez|46013</v>
      </c>
      <c r="O1593" s="7">
        <f>IFERROR(__xludf.DUMMYFUNCTION("""COMPUTED_VALUE"""),4.0)</f>
        <v>4</v>
      </c>
    </row>
    <row r="1594" ht="22.5" hidden="1" customHeight="1">
      <c r="A1594" s="8">
        <v>45882.35998528935</v>
      </c>
      <c r="B1594" s="9">
        <v>45882.0</v>
      </c>
      <c r="C1594" s="9" t="s">
        <v>15</v>
      </c>
      <c r="D1594" s="9" t="s">
        <v>171</v>
      </c>
      <c r="E1594" s="9" t="s">
        <v>17</v>
      </c>
      <c r="F1594" s="9" t="s">
        <v>17</v>
      </c>
      <c r="G1594" s="9" t="s">
        <v>24</v>
      </c>
      <c r="H1594" s="9" t="s">
        <v>17</v>
      </c>
      <c r="I1594" s="9" t="s">
        <v>20</v>
      </c>
      <c r="J1594" s="10"/>
      <c r="K1594" s="7" t="s">
        <v>398</v>
      </c>
      <c r="L1594" s="7"/>
      <c r="M1594" s="7"/>
      <c r="N1594" s="7" t="str">
        <f>IFERROR(__xludf.DUMMYFUNCTION("""COMPUTED_VALUE"""),"Ralph Orquín|46013")</f>
        <v>Ralph Orquín|46013</v>
      </c>
      <c r="O1594" s="7">
        <f>IFERROR(__xludf.DUMMYFUNCTION("""COMPUTED_VALUE"""),4.0)</f>
        <v>4</v>
      </c>
    </row>
    <row r="1595" ht="22.5" hidden="1" customHeight="1">
      <c r="A1595" s="8">
        <v>45882.36560993055</v>
      </c>
      <c r="B1595" s="9">
        <v>45882.0</v>
      </c>
      <c r="C1595" s="9" t="s">
        <v>15</v>
      </c>
      <c r="D1595" s="9" t="s">
        <v>178</v>
      </c>
      <c r="E1595" s="9" t="s">
        <v>17</v>
      </c>
      <c r="F1595" s="9" t="s">
        <v>17</v>
      </c>
      <c r="G1595" s="9" t="s">
        <v>24</v>
      </c>
      <c r="H1595" s="9" t="s">
        <v>17</v>
      </c>
      <c r="I1595" s="9" t="s">
        <v>20</v>
      </c>
      <c r="J1595" s="10"/>
      <c r="K1595" s="7" t="s">
        <v>398</v>
      </c>
      <c r="L1595" s="7"/>
      <c r="M1595" s="7"/>
      <c r="N1595" s="7" t="str">
        <f>IFERROR(__xludf.DUMMYFUNCTION("""COMPUTED_VALUE"""),"Isaías Violante|46013")</f>
        <v>Isaías Violante|46013</v>
      </c>
      <c r="O1595" s="7">
        <f>IFERROR(__xludf.DUMMYFUNCTION("""COMPUTED_VALUE"""),4.0)</f>
        <v>4</v>
      </c>
    </row>
    <row r="1596" ht="22.5" hidden="1" customHeight="1">
      <c r="A1596" s="8">
        <v>45882.368365567134</v>
      </c>
      <c r="B1596" s="9">
        <v>45882.0</v>
      </c>
      <c r="C1596" s="9" t="s">
        <v>15</v>
      </c>
      <c r="D1596" s="9" t="s">
        <v>177</v>
      </c>
      <c r="E1596" s="9" t="s">
        <v>17</v>
      </c>
      <c r="F1596" s="9" t="s">
        <v>17</v>
      </c>
      <c r="G1596" s="9" t="s">
        <v>24</v>
      </c>
      <c r="H1596" s="9" t="s">
        <v>17</v>
      </c>
      <c r="I1596" s="9" t="s">
        <v>20</v>
      </c>
      <c r="J1596" s="10"/>
      <c r="K1596" s="7" t="s">
        <v>398</v>
      </c>
      <c r="L1596" s="7"/>
      <c r="M1596" s="7"/>
      <c r="N1596" s="7" t="str">
        <f>IFERROR(__xludf.DUMMYFUNCTION("""COMPUTED_VALUE"""),"Alan Cervantes|46013")</f>
        <v>Alan Cervantes|46013</v>
      </c>
      <c r="O1596" s="7">
        <f>IFERROR(__xludf.DUMMYFUNCTION("""COMPUTED_VALUE"""),4.0)</f>
        <v>4</v>
      </c>
    </row>
    <row r="1597" ht="22.5" hidden="1" customHeight="1">
      <c r="A1597" s="8">
        <v>45882.36938403935</v>
      </c>
      <c r="B1597" s="9">
        <v>45882.0</v>
      </c>
      <c r="C1597" s="9" t="s">
        <v>15</v>
      </c>
      <c r="D1597" s="9" t="s">
        <v>280</v>
      </c>
      <c r="E1597" s="9" t="s">
        <v>17</v>
      </c>
      <c r="F1597" s="9" t="s">
        <v>17</v>
      </c>
      <c r="G1597" s="9" t="s">
        <v>24</v>
      </c>
      <c r="H1597" s="9" t="s">
        <v>17</v>
      </c>
      <c r="I1597" s="9" t="s">
        <v>20</v>
      </c>
      <c r="J1597" s="10"/>
      <c r="K1597" s="7" t="s">
        <v>398</v>
      </c>
      <c r="L1597" s="7"/>
      <c r="M1597" s="7"/>
      <c r="N1597" s="7" t="str">
        <f>IFERROR(__xludf.DUMMYFUNCTION("""COMPUTED_VALUE"""),"Igor Lichnovsky|46013")</f>
        <v>Igor Lichnovsky|46013</v>
      </c>
      <c r="O1597" s="7">
        <f>IFERROR(__xludf.DUMMYFUNCTION("""COMPUTED_VALUE"""),4.0)</f>
        <v>4</v>
      </c>
    </row>
    <row r="1598" ht="22.5" hidden="1" customHeight="1">
      <c r="A1598" s="8">
        <v>45882.37654596065</v>
      </c>
      <c r="B1598" s="9">
        <v>45882.0</v>
      </c>
      <c r="C1598" s="9" t="s">
        <v>15</v>
      </c>
      <c r="D1598" s="9" t="s">
        <v>259</v>
      </c>
      <c r="E1598" s="9" t="s">
        <v>17</v>
      </c>
      <c r="F1598" s="9" t="s">
        <v>18</v>
      </c>
      <c r="G1598" s="9" t="s">
        <v>19</v>
      </c>
      <c r="H1598" s="9" t="s">
        <v>25</v>
      </c>
      <c r="I1598" s="9" t="s">
        <v>67</v>
      </c>
      <c r="J1598" s="10"/>
      <c r="K1598" s="7" t="s">
        <v>398</v>
      </c>
      <c r="L1598" s="7"/>
      <c r="M1598" s="7"/>
      <c r="N1598" s="7" t="str">
        <f>IFERROR(__xludf.DUMMYFUNCTION("""COMPUTED_VALUE"""),"Ramón Juárez|46013")</f>
        <v>Ramón Juárez|46013</v>
      </c>
      <c r="O1598" s="7">
        <f>IFERROR(__xludf.DUMMYFUNCTION("""COMPUTED_VALUE"""),6.0)</f>
        <v>6</v>
      </c>
    </row>
    <row r="1599" ht="22.5" hidden="1" customHeight="1">
      <c r="A1599" s="8">
        <v>45882.37705993056</v>
      </c>
      <c r="B1599" s="9">
        <v>45882.0</v>
      </c>
      <c r="C1599" s="9" t="s">
        <v>15</v>
      </c>
      <c r="D1599" s="9" t="s">
        <v>394</v>
      </c>
      <c r="E1599" s="9" t="s">
        <v>17</v>
      </c>
      <c r="F1599" s="9" t="s">
        <v>17</v>
      </c>
      <c r="G1599" s="9" t="s">
        <v>24</v>
      </c>
      <c r="H1599" s="9" t="s">
        <v>25</v>
      </c>
      <c r="I1599" s="9" t="s">
        <v>28</v>
      </c>
      <c r="J1599" s="10"/>
      <c r="K1599" s="7" t="s">
        <v>398</v>
      </c>
      <c r="L1599" s="7"/>
      <c r="M1599" s="7"/>
      <c r="N1599" s="7" t="str">
        <f>IFERROR(__xludf.DUMMYFUNCTION("""COMPUTED_VALUE"""),"Cristian Borja|46013")</f>
        <v>Cristian Borja|46013</v>
      </c>
      <c r="O1599" s="7">
        <f>IFERROR(__xludf.DUMMYFUNCTION("""COMPUTED_VALUE"""),4.0)</f>
        <v>4</v>
      </c>
    </row>
    <row r="1600" ht="22.5" hidden="1" customHeight="1">
      <c r="A1600" s="8">
        <v>45882.38646496528</v>
      </c>
      <c r="B1600" s="9">
        <v>45882.0</v>
      </c>
      <c r="C1600" s="9" t="s">
        <v>15</v>
      </c>
      <c r="D1600" s="9" t="s">
        <v>223</v>
      </c>
      <c r="E1600" s="9" t="s">
        <v>17</v>
      </c>
      <c r="F1600" s="9" t="s">
        <v>17</v>
      </c>
      <c r="G1600" s="9" t="s">
        <v>24</v>
      </c>
      <c r="H1600" s="9" t="s">
        <v>17</v>
      </c>
      <c r="I1600" s="9" t="s">
        <v>20</v>
      </c>
      <c r="J1600" s="10"/>
      <c r="K1600" s="7" t="s">
        <v>398</v>
      </c>
      <c r="L1600" s="7"/>
      <c r="M1600" s="7"/>
      <c r="N1600" s="7" t="str">
        <f>IFERROR(__xludf.DUMMYFUNCTION("""COMPUTED_VALUE"""),"Sebastián Cáceres|46013")</f>
        <v>Sebastián Cáceres|46013</v>
      </c>
      <c r="O1600" s="7">
        <f>IFERROR(__xludf.DUMMYFUNCTION("""COMPUTED_VALUE"""),5.0)</f>
        <v>5</v>
      </c>
    </row>
    <row r="1601" ht="22.5" hidden="1" customHeight="1">
      <c r="A1601" s="8">
        <v>45882.388083645834</v>
      </c>
      <c r="B1601" s="9">
        <v>45882.0</v>
      </c>
      <c r="C1601" s="9" t="s">
        <v>15</v>
      </c>
      <c r="D1601" s="9" t="s">
        <v>367</v>
      </c>
      <c r="E1601" s="9" t="s">
        <v>17</v>
      </c>
      <c r="F1601" s="9" t="s">
        <v>17</v>
      </c>
      <c r="G1601" s="9" t="s">
        <v>24</v>
      </c>
      <c r="H1601" s="9" t="s">
        <v>17</v>
      </c>
      <c r="I1601" s="9" t="s">
        <v>20</v>
      </c>
      <c r="J1601" s="10"/>
      <c r="K1601" s="7" t="s">
        <v>398</v>
      </c>
      <c r="L1601" s="7"/>
      <c r="M1601" s="7"/>
      <c r="N1601" s="7" t="str">
        <f>IFERROR(__xludf.DUMMYFUNCTION("""COMPUTED_VALUE"""),"Israel Reyes|46013")</f>
        <v>Israel Reyes|46013</v>
      </c>
      <c r="O1601" s="7">
        <f>IFERROR(__xludf.DUMMYFUNCTION("""COMPUTED_VALUE"""),7.0)</f>
        <v>7</v>
      </c>
    </row>
    <row r="1602" ht="22.5" hidden="1" customHeight="1">
      <c r="A1602" s="8">
        <v>45882.389070324076</v>
      </c>
      <c r="B1602" s="9">
        <v>45882.0</v>
      </c>
      <c r="C1602" s="9" t="s">
        <v>15</v>
      </c>
      <c r="D1602" s="9" t="s">
        <v>247</v>
      </c>
      <c r="E1602" s="9" t="s">
        <v>17</v>
      </c>
      <c r="F1602" s="9" t="s">
        <v>17</v>
      </c>
      <c r="G1602" s="9" t="s">
        <v>24</v>
      </c>
      <c r="H1602" s="9" t="s">
        <v>17</v>
      </c>
      <c r="I1602" s="9" t="s">
        <v>20</v>
      </c>
      <c r="J1602" s="10"/>
      <c r="K1602" s="7" t="s">
        <v>398</v>
      </c>
      <c r="L1602" s="7"/>
      <c r="M1602" s="7"/>
      <c r="N1602" s="7" t="str">
        <f>IFERROR(__xludf.DUMMYFUNCTION("""COMPUTED_VALUE"""),"Víctor Dávila|46013")</f>
        <v>Víctor Dávila|46013</v>
      </c>
      <c r="O1602" s="7">
        <f>IFERROR(__xludf.DUMMYFUNCTION("""COMPUTED_VALUE"""),3.0)</f>
        <v>3</v>
      </c>
    </row>
    <row r="1603" ht="22.5" hidden="1" customHeight="1">
      <c r="A1603" s="8">
        <v>45882.389471435185</v>
      </c>
      <c r="B1603" s="9">
        <v>45882.0</v>
      </c>
      <c r="C1603" s="9" t="s">
        <v>15</v>
      </c>
      <c r="D1603" s="9" t="s">
        <v>357</v>
      </c>
      <c r="E1603" s="9" t="s">
        <v>17</v>
      </c>
      <c r="F1603" s="9" t="s">
        <v>17</v>
      </c>
      <c r="G1603" s="9" t="s">
        <v>24</v>
      </c>
      <c r="H1603" s="9" t="s">
        <v>25</v>
      </c>
      <c r="I1603" s="9" t="s">
        <v>242</v>
      </c>
      <c r="J1603" s="10"/>
      <c r="K1603" s="7" t="s">
        <v>398</v>
      </c>
      <c r="L1603" s="7"/>
      <c r="M1603" s="7"/>
      <c r="N1603" s="7" t="str">
        <f>IFERROR(__xludf.DUMMYFUNCTION("""COMPUTED_VALUE"""),"Rodolfo Cota|46013")</f>
        <v>Rodolfo Cota|46013</v>
      </c>
      <c r="O1603" s="7">
        <f>IFERROR(__xludf.DUMMYFUNCTION("""COMPUTED_VALUE"""),2.0)</f>
        <v>2</v>
      </c>
    </row>
    <row r="1604" ht="22.5" hidden="1" customHeight="1">
      <c r="A1604" s="8">
        <v>45882.39004302083</v>
      </c>
      <c r="B1604" s="9">
        <v>45882.0</v>
      </c>
      <c r="C1604" s="9" t="s">
        <v>15</v>
      </c>
      <c r="D1604" s="9" t="s">
        <v>397</v>
      </c>
      <c r="E1604" s="9" t="s">
        <v>17</v>
      </c>
      <c r="F1604" s="9" t="s">
        <v>17</v>
      </c>
      <c r="G1604" s="9" t="s">
        <v>24</v>
      </c>
      <c r="H1604" s="9" t="s">
        <v>17</v>
      </c>
      <c r="I1604" s="9" t="s">
        <v>20</v>
      </c>
      <c r="J1604" s="10"/>
      <c r="K1604" s="1" t="s">
        <v>398</v>
      </c>
      <c r="L1604" s="7"/>
      <c r="M1604" s="7"/>
      <c r="N1604" s="7" t="str">
        <f>IFERROR(__xludf.DUMMYFUNCTION("""COMPUTED_VALUE"""),"Alejando Zendejas|46013")</f>
        <v>Alejando Zendejas|46013</v>
      </c>
      <c r="O1604" s="7">
        <f>IFERROR(__xludf.DUMMYFUNCTION("""COMPUTED_VALUE"""),2.0)</f>
        <v>2</v>
      </c>
    </row>
    <row r="1605" ht="22.5" hidden="1" customHeight="1">
      <c r="A1605" s="8">
        <v>45882.3903350926</v>
      </c>
      <c r="B1605" s="9">
        <v>45882.0</v>
      </c>
      <c r="C1605" s="9" t="s">
        <v>15</v>
      </c>
      <c r="D1605" s="9" t="s">
        <v>175</v>
      </c>
      <c r="E1605" s="9" t="s">
        <v>17</v>
      </c>
      <c r="F1605" s="9" t="s">
        <v>17</v>
      </c>
      <c r="G1605" s="9" t="s">
        <v>24</v>
      </c>
      <c r="H1605" s="9" t="s">
        <v>17</v>
      </c>
      <c r="I1605" s="9" t="s">
        <v>20</v>
      </c>
      <c r="J1605" s="10"/>
      <c r="K1605" s="7" t="s">
        <v>398</v>
      </c>
      <c r="L1605" s="7"/>
      <c r="M1605" s="7"/>
      <c r="N1605" s="7" t="str">
        <f>IFERROR(__xludf.DUMMYFUNCTION("""COMPUTED_VALUE"""),"Luis Malagon|46013")</f>
        <v>Luis Malagon|46013</v>
      </c>
      <c r="O1605" s="7">
        <f>IFERROR(__xludf.DUMMYFUNCTION("""COMPUTED_VALUE"""),5.0)</f>
        <v>5</v>
      </c>
    </row>
    <row r="1606" ht="22.5" hidden="1" customHeight="1">
      <c r="A1606" s="8">
        <v>45882.39110766204</v>
      </c>
      <c r="B1606" s="9">
        <v>45882.0</v>
      </c>
      <c r="C1606" s="9" t="s">
        <v>15</v>
      </c>
      <c r="D1606" s="9" t="s">
        <v>168</v>
      </c>
      <c r="E1606" s="9" t="s">
        <v>17</v>
      </c>
      <c r="F1606" s="9" t="s">
        <v>17</v>
      </c>
      <c r="G1606" s="9" t="s">
        <v>24</v>
      </c>
      <c r="H1606" s="9" t="s">
        <v>25</v>
      </c>
      <c r="I1606" s="9" t="s">
        <v>67</v>
      </c>
      <c r="J1606" s="10"/>
      <c r="K1606" s="7" t="s">
        <v>398</v>
      </c>
      <c r="L1606" s="7"/>
      <c r="M1606" s="7"/>
      <c r="N1606" s="7" t="str">
        <f>IFERROR(__xludf.DUMMYFUNCTION("""COMPUTED_VALUE"""),"Ramón Juárez|46013")</f>
        <v>Ramón Juárez|46013</v>
      </c>
      <c r="O1606" s="7">
        <f>IFERROR(__xludf.DUMMYFUNCTION("""COMPUTED_VALUE"""),4.0)</f>
        <v>4</v>
      </c>
    </row>
    <row r="1607" ht="22.5" hidden="1" customHeight="1">
      <c r="A1607" s="8">
        <v>45882.391556539354</v>
      </c>
      <c r="B1607" s="9">
        <v>45882.0</v>
      </c>
      <c r="C1607" s="9" t="s">
        <v>15</v>
      </c>
      <c r="D1607" s="9" t="s">
        <v>396</v>
      </c>
      <c r="E1607" s="9" t="s">
        <v>17</v>
      </c>
      <c r="F1607" s="9" t="s">
        <v>17</v>
      </c>
      <c r="G1607" s="9" t="s">
        <v>24</v>
      </c>
      <c r="H1607" s="9" t="s">
        <v>17</v>
      </c>
      <c r="I1607" s="9" t="s">
        <v>20</v>
      </c>
      <c r="J1607" s="10"/>
      <c r="K1607" s="7" t="s">
        <v>398</v>
      </c>
      <c r="L1607" s="7"/>
      <c r="M1607" s="7"/>
      <c r="N1607" s="7" t="str">
        <f>IFERROR(__xludf.DUMMYFUNCTION("""COMPUTED_VALUE"""),"Santiago Naveda|46013")</f>
        <v>Santiago Naveda|46013</v>
      </c>
      <c r="O1607" s="7">
        <f>IFERROR(__xludf.DUMMYFUNCTION("""COMPUTED_VALUE"""),3.0)</f>
        <v>3</v>
      </c>
    </row>
    <row r="1608" ht="22.5" hidden="1" customHeight="1">
      <c r="A1608" s="8">
        <v>45882.39249424769</v>
      </c>
      <c r="B1608" s="9">
        <v>45882.0</v>
      </c>
      <c r="C1608" s="9" t="s">
        <v>15</v>
      </c>
      <c r="D1608" s="9" t="s">
        <v>361</v>
      </c>
      <c r="E1608" s="9" t="s">
        <v>17</v>
      </c>
      <c r="F1608" s="9" t="s">
        <v>17</v>
      </c>
      <c r="G1608" s="9" t="s">
        <v>24</v>
      </c>
      <c r="H1608" s="9" t="s">
        <v>17</v>
      </c>
      <c r="I1608" s="9" t="s">
        <v>20</v>
      </c>
      <c r="J1608" s="10"/>
      <c r="K1608" s="7" t="s">
        <v>398</v>
      </c>
      <c r="L1608" s="7"/>
      <c r="M1608" s="7"/>
      <c r="N1608" s="7" t="str">
        <f>IFERROR(__xludf.DUMMYFUNCTION("""COMPUTED_VALUE"""),"Brian Rodríguez|46013")</f>
        <v>Brian Rodríguez|46013</v>
      </c>
      <c r="O1608" s="7">
        <f>IFERROR(__xludf.DUMMYFUNCTION("""COMPUTED_VALUE"""),3.0)</f>
        <v>3</v>
      </c>
    </row>
    <row r="1609" ht="22.5" hidden="1" customHeight="1">
      <c r="A1609" s="8">
        <v>45882.39509273148</v>
      </c>
      <c r="B1609" s="9">
        <v>45882.0</v>
      </c>
      <c r="C1609" s="9" t="s">
        <v>15</v>
      </c>
      <c r="D1609" s="9" t="s">
        <v>393</v>
      </c>
      <c r="E1609" s="9" t="s">
        <v>17</v>
      </c>
      <c r="F1609" s="9" t="s">
        <v>17</v>
      </c>
      <c r="G1609" s="9" t="s">
        <v>24</v>
      </c>
      <c r="H1609" s="9" t="s">
        <v>25</v>
      </c>
      <c r="I1609" s="9" t="s">
        <v>211</v>
      </c>
      <c r="J1609" s="10"/>
      <c r="K1609" s="7" t="s">
        <v>398</v>
      </c>
      <c r="L1609" s="7"/>
      <c r="M1609" s="7"/>
      <c r="N1609" s="7" t="str">
        <f>IFERROR(__xludf.DUMMYFUNCTION("""COMPUTED_VALUE"""),"Rodrigo Aguirre|46013")</f>
        <v>Rodrigo Aguirre|46013</v>
      </c>
      <c r="O1609" s="7">
        <f>IFERROR(__xludf.DUMMYFUNCTION("""COMPUTED_VALUE"""),3.0)</f>
        <v>3</v>
      </c>
    </row>
    <row r="1610" ht="22.5" hidden="1" customHeight="1">
      <c r="A1610" s="8">
        <v>45882.395311458335</v>
      </c>
      <c r="B1610" s="9">
        <v>45882.0</v>
      </c>
      <c r="C1610" s="9" t="s">
        <v>15</v>
      </c>
      <c r="D1610" s="9" t="s">
        <v>249</v>
      </c>
      <c r="E1610" s="9" t="s">
        <v>17</v>
      </c>
      <c r="F1610" s="9" t="s">
        <v>17</v>
      </c>
      <c r="G1610" s="9" t="s">
        <v>24</v>
      </c>
      <c r="H1610" s="9" t="s">
        <v>17</v>
      </c>
      <c r="I1610" s="9" t="s">
        <v>20</v>
      </c>
      <c r="J1610" s="10"/>
      <c r="K1610" s="7" t="s">
        <v>398</v>
      </c>
      <c r="L1610" s="7"/>
      <c r="M1610" s="7"/>
      <c r="N1610" s="7" t="str">
        <f>IFERROR(__xludf.DUMMYFUNCTION("""COMPUTED_VALUE"""),"Álvaro Fidalgo|46013")</f>
        <v>Álvaro Fidalgo|46013</v>
      </c>
      <c r="O1610" s="7">
        <f>IFERROR(__xludf.DUMMYFUNCTION("""COMPUTED_VALUE"""),2.0)</f>
        <v>2</v>
      </c>
    </row>
    <row r="1611" ht="22.5" hidden="1" customHeight="1">
      <c r="A1611" s="8">
        <v>45882.40090146991</v>
      </c>
      <c r="B1611" s="9">
        <v>45882.0</v>
      </c>
      <c r="C1611" s="9" t="s">
        <v>15</v>
      </c>
      <c r="D1611" s="9" t="s">
        <v>170</v>
      </c>
      <c r="E1611" s="9" t="s">
        <v>61</v>
      </c>
      <c r="F1611" s="9" t="s">
        <v>18</v>
      </c>
      <c r="G1611" s="9" t="s">
        <v>24</v>
      </c>
      <c r="H1611" s="9" t="s">
        <v>25</v>
      </c>
      <c r="I1611" s="9" t="s">
        <v>173</v>
      </c>
      <c r="J1611" s="10"/>
      <c r="K1611" s="7" t="s">
        <v>398</v>
      </c>
      <c r="L1611" s="7"/>
      <c r="M1611" s="7"/>
      <c r="N1611" s="7" t="str">
        <f>IFERROR(__xludf.DUMMYFUNCTION("""COMPUTED_VALUE"""),"Erick Sánchez|46013")</f>
        <v>Erick Sánchez|46013</v>
      </c>
      <c r="O1611" s="7">
        <f>IFERROR(__xludf.DUMMYFUNCTION("""COMPUTED_VALUE"""),3.0)</f>
        <v>3</v>
      </c>
    </row>
    <row r="1612" ht="22.5" hidden="1" customHeight="1">
      <c r="A1612" s="8">
        <v>45883.34490467593</v>
      </c>
      <c r="B1612" s="9">
        <v>45883.0</v>
      </c>
      <c r="C1612" s="9" t="s">
        <v>31</v>
      </c>
      <c r="D1612" s="9" t="s">
        <v>257</v>
      </c>
      <c r="E1612" s="9" t="s">
        <v>17</v>
      </c>
      <c r="F1612" s="9" t="s">
        <v>17</v>
      </c>
      <c r="G1612" s="9" t="s">
        <v>19</v>
      </c>
      <c r="H1612" s="9" t="s">
        <v>17</v>
      </c>
      <c r="I1612" s="9" t="s">
        <v>20</v>
      </c>
      <c r="J1612" s="10"/>
      <c r="K1612" s="7" t="s">
        <v>398</v>
      </c>
      <c r="L1612" s="7"/>
      <c r="M1612" s="7"/>
      <c r="N1612" s="7" t="str">
        <f>IFERROR(__xludf.DUMMYFUNCTION("""COMPUTED_VALUE"""),"José Raúl Zuñiga|46013")</f>
        <v>José Raúl Zuñiga|46013</v>
      </c>
      <c r="O1612" s="7">
        <f>IFERROR(__xludf.DUMMYFUNCTION("""COMPUTED_VALUE"""),2.0)</f>
        <v>2</v>
      </c>
    </row>
    <row r="1613" ht="22.5" hidden="1" customHeight="1">
      <c r="A1613" s="8">
        <v>45883.35785920139</v>
      </c>
      <c r="B1613" s="9">
        <v>45883.0</v>
      </c>
      <c r="C1613" s="9" t="s">
        <v>31</v>
      </c>
      <c r="D1613" s="9" t="s">
        <v>249</v>
      </c>
      <c r="E1613" s="9" t="s">
        <v>17</v>
      </c>
      <c r="F1613" s="9" t="s">
        <v>17</v>
      </c>
      <c r="G1613" s="9" t="s">
        <v>19</v>
      </c>
      <c r="H1613" s="9" t="s">
        <v>17</v>
      </c>
      <c r="I1613" s="9" t="s">
        <v>20</v>
      </c>
      <c r="J1613" s="10"/>
      <c r="K1613" s="7" t="s">
        <v>398</v>
      </c>
      <c r="L1613" s="7"/>
      <c r="M1613" s="7"/>
      <c r="N1613" s="7" t="str">
        <f>IFERROR(__xludf.DUMMYFUNCTION("""COMPUTED_VALUE"""),"Allan Saint-Maximin|46013")</f>
        <v>Allan Saint-Maximin|46013</v>
      </c>
      <c r="O1613" s="7">
        <f>IFERROR(__xludf.DUMMYFUNCTION("""COMPUTED_VALUE"""),3.0)</f>
        <v>3</v>
      </c>
    </row>
    <row r="1614" ht="22.5" hidden="1" customHeight="1">
      <c r="A1614" s="8">
        <v>45883.358326435184</v>
      </c>
      <c r="B1614" s="9">
        <v>45883.0</v>
      </c>
      <c r="C1614" s="9" t="s">
        <v>31</v>
      </c>
      <c r="D1614" s="9" t="s">
        <v>280</v>
      </c>
      <c r="E1614" s="9" t="s">
        <v>17</v>
      </c>
      <c r="F1614" s="9" t="s">
        <v>17</v>
      </c>
      <c r="G1614" s="9" t="s">
        <v>24</v>
      </c>
      <c r="H1614" s="9" t="s">
        <v>17</v>
      </c>
      <c r="I1614" s="9" t="s">
        <v>20</v>
      </c>
      <c r="J1614" s="10"/>
      <c r="K1614" s="7" t="s">
        <v>398</v>
      </c>
      <c r="L1614" s="7"/>
      <c r="M1614" s="7"/>
      <c r="N1614" s="7" t="str">
        <f>IFERROR(__xludf.DUMMYFUNCTION("""COMPUTED_VALUE"""),"Alexis Gutiérrez|46013")</f>
        <v>Alexis Gutiérrez|46013</v>
      </c>
      <c r="O1614" s="7">
        <f>IFERROR(__xludf.DUMMYFUNCTION("""COMPUTED_VALUE"""),4.0)</f>
        <v>4</v>
      </c>
    </row>
    <row r="1615" ht="22.5" hidden="1" customHeight="1">
      <c r="A1615" s="8">
        <v>45883.35856253472</v>
      </c>
      <c r="B1615" s="9">
        <v>45883.0</v>
      </c>
      <c r="C1615" s="9" t="s">
        <v>31</v>
      </c>
      <c r="D1615" s="9" t="s">
        <v>258</v>
      </c>
      <c r="E1615" s="9" t="s">
        <v>17</v>
      </c>
      <c r="F1615" s="9" t="s">
        <v>17</v>
      </c>
      <c r="G1615" s="9" t="s">
        <v>24</v>
      </c>
      <c r="H1615" s="9" t="s">
        <v>17</v>
      </c>
      <c r="I1615" s="9" t="s">
        <v>20</v>
      </c>
      <c r="J1615" s="10"/>
      <c r="K1615" s="7" t="s">
        <v>398</v>
      </c>
      <c r="L1615" s="7"/>
      <c r="M1615" s="7"/>
      <c r="N1615" s="7" t="str">
        <f>IFERROR(__xludf.DUMMYFUNCTION("""COMPUTED_VALUE"""),"Patricio Salas|46013")</f>
        <v>Patricio Salas|46013</v>
      </c>
      <c r="O1615" s="7">
        <f>IFERROR(__xludf.DUMMYFUNCTION("""COMPUTED_VALUE"""),4.0)</f>
        <v>4</v>
      </c>
    </row>
    <row r="1616" ht="22.5" hidden="1" customHeight="1">
      <c r="A1616" s="8">
        <v>45883.367815034726</v>
      </c>
      <c r="B1616" s="9">
        <v>45883.0</v>
      </c>
      <c r="C1616" s="9" t="s">
        <v>31</v>
      </c>
      <c r="D1616" s="9" t="s">
        <v>171</v>
      </c>
      <c r="E1616" s="9" t="s">
        <v>17</v>
      </c>
      <c r="F1616" s="9" t="s">
        <v>17</v>
      </c>
      <c r="G1616" s="9" t="s">
        <v>19</v>
      </c>
      <c r="H1616" s="9" t="s">
        <v>17</v>
      </c>
      <c r="I1616" s="9" t="s">
        <v>20</v>
      </c>
      <c r="J1616" s="10"/>
      <c r="K1616" s="7" t="s">
        <v>398</v>
      </c>
      <c r="L1616" s="7"/>
      <c r="M1616" s="7"/>
      <c r="N1616" s="7" t="str">
        <f>IFERROR(__xludf.DUMMYFUNCTION("""COMPUTED_VALUE"""),"Kevin Álvarez|46013")</f>
        <v>Kevin Álvarez|46013</v>
      </c>
      <c r="O1616" s="7">
        <f>IFERROR(__xludf.DUMMYFUNCTION("""COMPUTED_VALUE"""),3.0)</f>
        <v>3</v>
      </c>
    </row>
    <row r="1617" ht="22.5" hidden="1" customHeight="1">
      <c r="A1617" s="8">
        <v>45883.371031863426</v>
      </c>
      <c r="B1617" s="9">
        <v>45883.0</v>
      </c>
      <c r="C1617" s="9" t="s">
        <v>31</v>
      </c>
      <c r="D1617" s="9" t="s">
        <v>395</v>
      </c>
      <c r="E1617" s="9" t="s">
        <v>17</v>
      </c>
      <c r="F1617" s="9" t="s">
        <v>17</v>
      </c>
      <c r="G1617" s="9" t="s">
        <v>24</v>
      </c>
      <c r="H1617" s="9" t="s">
        <v>17</v>
      </c>
      <c r="I1617" s="9" t="s">
        <v>20</v>
      </c>
      <c r="J1617" s="10"/>
      <c r="K1617" s="7" t="s">
        <v>398</v>
      </c>
      <c r="L1617" s="7"/>
      <c r="M1617" s="7"/>
      <c r="N1617" s="7" t="str">
        <f>IFERROR(__xludf.DUMMYFUNCTION("""COMPUTED_VALUE"""),"Henry Martín|46013")</f>
        <v>Henry Martín|46013</v>
      </c>
      <c r="O1617" s="7">
        <f>IFERROR(__xludf.DUMMYFUNCTION("""COMPUTED_VALUE"""),4.0)</f>
        <v>4</v>
      </c>
    </row>
    <row r="1618" ht="22.5" hidden="1" customHeight="1">
      <c r="A1618" s="8">
        <v>45883.37126668981</v>
      </c>
      <c r="B1618" s="9">
        <v>45883.0</v>
      </c>
      <c r="C1618" s="9" t="s">
        <v>31</v>
      </c>
      <c r="D1618" s="9" t="s">
        <v>178</v>
      </c>
      <c r="E1618" s="9" t="s">
        <v>17</v>
      </c>
      <c r="F1618" s="9" t="s">
        <v>17</v>
      </c>
      <c r="G1618" s="9" t="s">
        <v>24</v>
      </c>
      <c r="H1618" s="9" t="s">
        <v>17</v>
      </c>
      <c r="I1618" s="9" t="s">
        <v>20</v>
      </c>
      <c r="J1618" s="10"/>
      <c r="K1618" s="7" t="s">
        <v>398</v>
      </c>
      <c r="L1618" s="7"/>
      <c r="M1618" s="7"/>
      <c r="N1618" s="7" t="str">
        <f>IFERROR(__xludf.DUMMYFUNCTION("""COMPUTED_VALUE"""),"Diego Arriaga|46013")</f>
        <v>Diego Arriaga|46013</v>
      </c>
      <c r="O1618" s="7">
        <f>IFERROR(__xludf.DUMMYFUNCTION("""COMPUTED_VALUE"""),4.0)</f>
        <v>4</v>
      </c>
    </row>
    <row r="1619" ht="22.5" hidden="1" customHeight="1">
      <c r="A1619" s="8">
        <v>45883.371949699074</v>
      </c>
      <c r="B1619" s="9">
        <v>45883.0</v>
      </c>
      <c r="C1619" s="9" t="s">
        <v>31</v>
      </c>
      <c r="D1619" s="9" t="s">
        <v>393</v>
      </c>
      <c r="E1619" s="9" t="s">
        <v>17</v>
      </c>
      <c r="F1619" s="9" t="s">
        <v>17</v>
      </c>
      <c r="G1619" s="9" t="s">
        <v>24</v>
      </c>
      <c r="H1619" s="9" t="s">
        <v>17</v>
      </c>
      <c r="I1619" s="9" t="s">
        <v>20</v>
      </c>
      <c r="J1619" s="10"/>
      <c r="K1619" s="7" t="s">
        <v>398</v>
      </c>
      <c r="L1619" s="7"/>
      <c r="M1619" s="7"/>
      <c r="N1619" s="7" t="str">
        <f>IFERROR(__xludf.DUMMYFUNCTION("""COMPUTED_VALUE"""),"Diego Reyes|46013")</f>
        <v>Diego Reyes|46013</v>
      </c>
      <c r="O1619" s="7">
        <f>IFERROR(__xludf.DUMMYFUNCTION("""COMPUTED_VALUE"""),7.0)</f>
        <v>7</v>
      </c>
    </row>
    <row r="1620" ht="22.5" hidden="1" customHeight="1">
      <c r="A1620" s="8">
        <v>45883.372554699075</v>
      </c>
      <c r="B1620" s="9">
        <v>45883.0</v>
      </c>
      <c r="C1620" s="9" t="s">
        <v>31</v>
      </c>
      <c r="D1620" s="9" t="s">
        <v>396</v>
      </c>
      <c r="E1620" s="9" t="s">
        <v>17</v>
      </c>
      <c r="F1620" s="9" t="s">
        <v>17</v>
      </c>
      <c r="G1620" s="9" t="s">
        <v>24</v>
      </c>
      <c r="H1620" s="9" t="s">
        <v>17</v>
      </c>
      <c r="I1620" s="9" t="s">
        <v>20</v>
      </c>
      <c r="J1620" s="10"/>
      <c r="K1620" s="7" t="s">
        <v>398</v>
      </c>
      <c r="L1620" s="7"/>
      <c r="M1620" s="7"/>
      <c r="N1620" s="7" t="str">
        <f>IFERROR(__xludf.DUMMYFUNCTION("""COMPUTED_VALUE"""),"Henry Martín|46013")</f>
        <v>Henry Martín|46013</v>
      </c>
      <c r="O1620" s="7">
        <f>IFERROR(__xludf.DUMMYFUNCTION("""COMPUTED_VALUE"""),7.0)</f>
        <v>7</v>
      </c>
    </row>
    <row r="1621" ht="22.5" hidden="1" customHeight="1">
      <c r="A1621" s="8">
        <v>45883.37275708333</v>
      </c>
      <c r="B1621" s="9">
        <v>45883.0</v>
      </c>
      <c r="C1621" s="9" t="s">
        <v>31</v>
      </c>
      <c r="D1621" s="9" t="s">
        <v>223</v>
      </c>
      <c r="E1621" s="9" t="s">
        <v>17</v>
      </c>
      <c r="F1621" s="9" t="s">
        <v>17</v>
      </c>
      <c r="G1621" s="9" t="s">
        <v>24</v>
      </c>
      <c r="H1621" s="9" t="s">
        <v>17</v>
      </c>
      <c r="I1621" s="9" t="s">
        <v>20</v>
      </c>
      <c r="J1621" s="10"/>
      <c r="K1621" s="7" t="s">
        <v>398</v>
      </c>
      <c r="L1621" s="7"/>
      <c r="M1621" s="7"/>
      <c r="N1621" s="7" t="str">
        <f>IFERROR(__xludf.DUMMYFUNCTION("""COMPUTED_VALUE"""),"Alejando Zendejas|46013")</f>
        <v>Alejando Zendejas|46013</v>
      </c>
      <c r="O1621" s="7">
        <f>IFERROR(__xludf.DUMMYFUNCTION("""COMPUTED_VALUE"""),4.0)</f>
        <v>4</v>
      </c>
    </row>
    <row r="1622" ht="22.5" hidden="1" customHeight="1">
      <c r="A1622" s="8">
        <v>45883.373002824075</v>
      </c>
      <c r="B1622" s="9">
        <v>45883.0</v>
      </c>
      <c r="C1622" s="9" t="s">
        <v>31</v>
      </c>
      <c r="D1622" s="9" t="s">
        <v>361</v>
      </c>
      <c r="E1622" s="9" t="s">
        <v>17</v>
      </c>
      <c r="F1622" s="9" t="s">
        <v>17</v>
      </c>
      <c r="G1622" s="9" t="s">
        <v>24</v>
      </c>
      <c r="H1622" s="9" t="s">
        <v>25</v>
      </c>
      <c r="I1622" s="9" t="s">
        <v>211</v>
      </c>
      <c r="J1622" s="10"/>
      <c r="K1622" s="7" t="s">
        <v>398</v>
      </c>
      <c r="L1622" s="7"/>
      <c r="M1622" s="7"/>
      <c r="N1622" s="7" t="str">
        <f>IFERROR(__xludf.DUMMYFUNCTION("""COMPUTED_VALUE"""),"Rodrigo Aguirre|46013")</f>
        <v>Rodrigo Aguirre|46013</v>
      </c>
      <c r="O1622" s="7">
        <f>IFERROR(__xludf.DUMMYFUNCTION("""COMPUTED_VALUE"""),5.0)</f>
        <v>5</v>
      </c>
    </row>
    <row r="1623" ht="22.5" hidden="1" customHeight="1">
      <c r="A1623" s="8">
        <v>45883.374393125</v>
      </c>
      <c r="B1623" s="9">
        <v>45883.0</v>
      </c>
      <c r="C1623" s="9" t="s">
        <v>31</v>
      </c>
      <c r="D1623" s="9" t="s">
        <v>397</v>
      </c>
      <c r="E1623" s="9" t="s">
        <v>17</v>
      </c>
      <c r="F1623" s="9" t="s">
        <v>17</v>
      </c>
      <c r="G1623" s="9" t="s">
        <v>24</v>
      </c>
      <c r="H1623" s="9" t="s">
        <v>17</v>
      </c>
      <c r="I1623" s="9" t="s">
        <v>20</v>
      </c>
      <c r="J1623" s="10"/>
      <c r="K1623" s="1" t="s">
        <v>398</v>
      </c>
      <c r="L1623" s="7"/>
      <c r="M1623" s="7"/>
      <c r="N1623" s="7" t="str">
        <f>IFERROR(__xludf.DUMMYFUNCTION("""COMPUTED_VALUE"""),"Alan Cervantes|46013")</f>
        <v>Alan Cervantes|46013</v>
      </c>
      <c r="O1623" s="7">
        <f>IFERROR(__xludf.DUMMYFUNCTION("""COMPUTED_VALUE"""),7.0)</f>
        <v>7</v>
      </c>
    </row>
    <row r="1624" ht="22.5" hidden="1" customHeight="1">
      <c r="A1624" s="8">
        <v>45883.37459864584</v>
      </c>
      <c r="B1624" s="9">
        <v>45883.0</v>
      </c>
      <c r="C1624" s="9" t="s">
        <v>31</v>
      </c>
      <c r="D1624" s="9" t="s">
        <v>357</v>
      </c>
      <c r="E1624" s="9" t="s">
        <v>17</v>
      </c>
      <c r="F1624" s="9" t="s">
        <v>17</v>
      </c>
      <c r="G1624" s="9" t="s">
        <v>24</v>
      </c>
      <c r="H1624" s="9" t="s">
        <v>25</v>
      </c>
      <c r="I1624" s="9" t="s">
        <v>242</v>
      </c>
      <c r="J1624" s="10"/>
      <c r="K1624" s="7" t="s">
        <v>398</v>
      </c>
      <c r="L1624" s="7"/>
      <c r="M1624" s="7"/>
      <c r="N1624" s="7" t="str">
        <f>IFERROR(__xludf.DUMMYFUNCTION("""COMPUTED_VALUE"""),"Cristian Borja|46013")</f>
        <v>Cristian Borja|46013</v>
      </c>
      <c r="O1624" s="7">
        <f>IFERROR(__xludf.DUMMYFUNCTION("""COMPUTED_VALUE"""),4.0)</f>
        <v>4</v>
      </c>
    </row>
    <row r="1625" ht="22.5" hidden="1" customHeight="1">
      <c r="A1625" s="8">
        <v>45883.37485944445</v>
      </c>
      <c r="B1625" s="9">
        <v>45883.0</v>
      </c>
      <c r="C1625" s="9" t="s">
        <v>31</v>
      </c>
      <c r="D1625" s="9" t="s">
        <v>259</v>
      </c>
      <c r="E1625" s="9" t="s">
        <v>17</v>
      </c>
      <c r="F1625" s="9" t="s">
        <v>17</v>
      </c>
      <c r="G1625" s="9" t="s">
        <v>24</v>
      </c>
      <c r="H1625" s="9" t="s">
        <v>25</v>
      </c>
      <c r="I1625" s="9" t="s">
        <v>67</v>
      </c>
      <c r="J1625" s="10"/>
      <c r="K1625" s="7" t="s">
        <v>398</v>
      </c>
      <c r="L1625" s="7"/>
      <c r="M1625" s="7"/>
      <c r="N1625" s="7" t="str">
        <f>IFERROR(__xludf.DUMMYFUNCTION("""COMPUTED_VALUE"""),"Ramón Juárez|46013")</f>
        <v>Ramón Juárez|46013</v>
      </c>
      <c r="O1625" s="7">
        <f>IFERROR(__xludf.DUMMYFUNCTION("""COMPUTED_VALUE"""),5.0)</f>
        <v>5</v>
      </c>
    </row>
    <row r="1626" ht="22.5" hidden="1" customHeight="1">
      <c r="A1626" s="8">
        <v>45883.376316967595</v>
      </c>
      <c r="B1626" s="9">
        <v>45883.0</v>
      </c>
      <c r="C1626" s="9" t="s">
        <v>31</v>
      </c>
      <c r="D1626" s="9" t="s">
        <v>350</v>
      </c>
      <c r="E1626" s="9" t="s">
        <v>17</v>
      </c>
      <c r="F1626" s="9" t="s">
        <v>17</v>
      </c>
      <c r="G1626" s="9" t="s">
        <v>24</v>
      </c>
      <c r="H1626" s="9" t="s">
        <v>17</v>
      </c>
      <c r="I1626" s="9" t="s">
        <v>20</v>
      </c>
      <c r="J1626" s="10"/>
      <c r="K1626" s="7" t="s">
        <v>398</v>
      </c>
      <c r="L1626" s="7"/>
      <c r="M1626" s="7"/>
      <c r="N1626" s="7" t="str">
        <f>IFERROR(__xludf.DUMMYFUNCTION("""COMPUTED_VALUE"""),"Igor Lichnovsky|46013")</f>
        <v>Igor Lichnovsky|46013</v>
      </c>
      <c r="O1626" s="7">
        <f>IFERROR(__xludf.DUMMYFUNCTION("""COMPUTED_VALUE"""),4.0)</f>
        <v>4</v>
      </c>
    </row>
    <row r="1627" ht="22.5" hidden="1" customHeight="1">
      <c r="A1627" s="8">
        <v>45883.38367258102</v>
      </c>
      <c r="B1627" s="9">
        <v>45883.0</v>
      </c>
      <c r="C1627" s="9" t="s">
        <v>31</v>
      </c>
      <c r="D1627" s="9" t="s">
        <v>247</v>
      </c>
      <c r="E1627" s="9" t="s">
        <v>17</v>
      </c>
      <c r="F1627" s="9" t="s">
        <v>17</v>
      </c>
      <c r="G1627" s="9" t="s">
        <v>24</v>
      </c>
      <c r="H1627" s="9" t="s">
        <v>17</v>
      </c>
      <c r="I1627" s="9" t="s">
        <v>20</v>
      </c>
      <c r="J1627" s="10"/>
      <c r="K1627" s="7" t="s">
        <v>398</v>
      </c>
      <c r="L1627" s="7"/>
      <c r="M1627" s="7"/>
      <c r="N1627" s="7" t="str">
        <f>IFERROR(__xludf.DUMMYFUNCTION("""COMPUTED_VALUE"""),"Miguel Vázquez|46013")</f>
        <v>Miguel Vázquez|46013</v>
      </c>
      <c r="O1627" s="7">
        <f>IFERROR(__xludf.DUMMYFUNCTION("""COMPUTED_VALUE"""),3.0)</f>
        <v>3</v>
      </c>
    </row>
    <row r="1628" ht="22.5" hidden="1" customHeight="1">
      <c r="A1628" s="8">
        <v>45883.385100266205</v>
      </c>
      <c r="B1628" s="9">
        <v>45883.0</v>
      </c>
      <c r="C1628" s="9" t="s">
        <v>31</v>
      </c>
      <c r="D1628" s="9" t="s">
        <v>394</v>
      </c>
      <c r="E1628" s="9" t="s">
        <v>17</v>
      </c>
      <c r="F1628" s="9" t="s">
        <v>17</v>
      </c>
      <c r="G1628" s="9" t="s">
        <v>24</v>
      </c>
      <c r="H1628" s="9" t="s">
        <v>25</v>
      </c>
      <c r="I1628" s="9" t="s">
        <v>28</v>
      </c>
      <c r="J1628" s="10"/>
      <c r="K1628" s="7" t="s">
        <v>398</v>
      </c>
      <c r="L1628" s="7"/>
      <c r="M1628" s="7"/>
      <c r="N1628" s="7" t="str">
        <f>IFERROR(__xludf.DUMMYFUNCTION("""COMPUTED_VALUE"""),"Néstor Araujo|46013")</f>
        <v>Néstor Araujo|46013</v>
      </c>
      <c r="O1628" s="7">
        <f>IFERROR(__xludf.DUMMYFUNCTION("""COMPUTED_VALUE"""),2.0)</f>
        <v>2</v>
      </c>
    </row>
    <row r="1629" ht="22.5" hidden="1" customHeight="1">
      <c r="A1629" s="8">
        <v>45883.391343923606</v>
      </c>
      <c r="B1629" s="9">
        <v>45883.0</v>
      </c>
      <c r="C1629" s="9" t="s">
        <v>31</v>
      </c>
      <c r="D1629" s="9" t="s">
        <v>168</v>
      </c>
      <c r="E1629" s="9" t="s">
        <v>17</v>
      </c>
      <c r="F1629" s="9" t="s">
        <v>17</v>
      </c>
      <c r="G1629" s="9" t="s">
        <v>19</v>
      </c>
      <c r="H1629" s="9" t="s">
        <v>25</v>
      </c>
      <c r="I1629" s="9" t="s">
        <v>67</v>
      </c>
      <c r="J1629" s="10"/>
      <c r="K1629" s="7" t="s">
        <v>398</v>
      </c>
      <c r="L1629" s="7"/>
      <c r="M1629" s="7"/>
      <c r="N1629" s="7" t="str">
        <f>IFERROR(__xludf.DUMMYFUNCTION("""COMPUTED_VALUE"""),"Erick Sánchez|46013")</f>
        <v>Erick Sánchez|46013</v>
      </c>
      <c r="O1629" s="7">
        <f>IFERROR(__xludf.DUMMYFUNCTION("""COMPUTED_VALUE"""),8.0)</f>
        <v>8</v>
      </c>
    </row>
    <row r="1630" ht="22.5" hidden="1" customHeight="1">
      <c r="A1630" s="8">
        <v>45883.40386751157</v>
      </c>
      <c r="B1630" s="9">
        <v>45883.0</v>
      </c>
      <c r="C1630" s="9" t="s">
        <v>31</v>
      </c>
      <c r="D1630" s="9" t="s">
        <v>177</v>
      </c>
      <c r="E1630" s="9" t="s">
        <v>17</v>
      </c>
      <c r="F1630" s="9" t="s">
        <v>17</v>
      </c>
      <c r="G1630" s="9" t="s">
        <v>24</v>
      </c>
      <c r="H1630" s="9" t="s">
        <v>17</v>
      </c>
      <c r="I1630" s="9" t="s">
        <v>20</v>
      </c>
      <c r="J1630" s="10"/>
      <c r="K1630" s="7" t="s">
        <v>398</v>
      </c>
      <c r="L1630" s="7"/>
      <c r="M1630" s="7"/>
      <c r="N1630" s="7" t="str">
        <f>IFERROR(__xludf.DUMMYFUNCTION("""COMPUTED_VALUE"""),"Ralph Orquín|46013")</f>
        <v>Ralph Orquín|46013</v>
      </c>
      <c r="O1630" s="7">
        <f>IFERROR(__xludf.DUMMYFUNCTION("""COMPUTED_VALUE"""),6.0)</f>
        <v>6</v>
      </c>
    </row>
    <row r="1631" ht="22.5" hidden="1" customHeight="1">
      <c r="A1631" s="8">
        <v>45883.404108622686</v>
      </c>
      <c r="B1631" s="9">
        <v>45883.0</v>
      </c>
      <c r="C1631" s="9" t="s">
        <v>31</v>
      </c>
      <c r="D1631" s="9" t="s">
        <v>335</v>
      </c>
      <c r="E1631" s="9" t="s">
        <v>17</v>
      </c>
      <c r="F1631" s="9" t="s">
        <v>17</v>
      </c>
      <c r="G1631" s="9" t="s">
        <v>24</v>
      </c>
      <c r="H1631" s="9" t="s">
        <v>17</v>
      </c>
      <c r="I1631" s="9" t="s">
        <v>20</v>
      </c>
      <c r="J1631" s="10"/>
      <c r="K1631" s="7" t="s">
        <v>398</v>
      </c>
      <c r="L1631" s="7"/>
      <c r="M1631" s="7"/>
      <c r="N1631" s="7" t="str">
        <f>IFERROR(__xludf.DUMMYFUNCTION("""COMPUTED_VALUE"""),"Brian Rodríguez|46013")</f>
        <v>Brian Rodríguez|46013</v>
      </c>
      <c r="O1631" s="7">
        <f>IFERROR(__xludf.DUMMYFUNCTION("""COMPUTED_VALUE"""),2.0)</f>
        <v>2</v>
      </c>
    </row>
    <row r="1632" ht="22.5" hidden="1" customHeight="1">
      <c r="A1632" s="8">
        <v>45883.41425511574</v>
      </c>
      <c r="B1632" s="9">
        <v>45883.0</v>
      </c>
      <c r="C1632" s="9" t="s">
        <v>31</v>
      </c>
      <c r="D1632" s="9" t="s">
        <v>210</v>
      </c>
      <c r="E1632" s="9" t="s">
        <v>17</v>
      </c>
      <c r="F1632" s="9" t="s">
        <v>17</v>
      </c>
      <c r="G1632" s="9" t="s">
        <v>19</v>
      </c>
      <c r="H1632" s="9" t="s">
        <v>25</v>
      </c>
      <c r="I1632" s="9" t="s">
        <v>79</v>
      </c>
      <c r="J1632" s="10"/>
      <c r="K1632" s="7" t="s">
        <v>398</v>
      </c>
      <c r="L1632" s="7"/>
      <c r="M1632" s="7"/>
      <c r="N1632" s="7" t="str">
        <f>IFERROR(__xludf.DUMMYFUNCTION("""COMPUTED_VALUE"""),"Allan Saint-Maximin|46013")</f>
        <v>Allan Saint-Maximin|46013</v>
      </c>
      <c r="O1632" s="7">
        <f>IFERROR(__xludf.DUMMYFUNCTION("""COMPUTED_VALUE"""),6.0)</f>
        <v>6</v>
      </c>
    </row>
    <row r="1633" ht="22.5" hidden="1" customHeight="1">
      <c r="A1633" s="8">
        <v>45883.41445065972</v>
      </c>
      <c r="B1633" s="9">
        <v>45883.0</v>
      </c>
      <c r="C1633" s="9" t="s">
        <v>31</v>
      </c>
      <c r="D1633" s="9" t="s">
        <v>174</v>
      </c>
      <c r="E1633" s="9" t="s">
        <v>17</v>
      </c>
      <c r="F1633" s="9" t="s">
        <v>17</v>
      </c>
      <c r="G1633" s="9" t="s">
        <v>24</v>
      </c>
      <c r="H1633" s="9" t="s">
        <v>17</v>
      </c>
      <c r="I1633" s="9" t="s">
        <v>20</v>
      </c>
      <c r="J1633" s="10"/>
      <c r="K1633" s="7" t="s">
        <v>398</v>
      </c>
      <c r="L1633" s="7"/>
      <c r="M1633" s="7"/>
      <c r="N1633" s="7" t="str">
        <f>IFERROR(__xludf.DUMMYFUNCTION("""COMPUTED_VALUE"""),"José Raúl Zuñiga|46013")</f>
        <v>José Raúl Zuñiga|46013</v>
      </c>
      <c r="O1633" s="7">
        <f>IFERROR(__xludf.DUMMYFUNCTION("""COMPUTED_VALUE"""),4.0)</f>
        <v>4</v>
      </c>
    </row>
    <row r="1634" ht="22.5" hidden="1" customHeight="1">
      <c r="A1634" s="8">
        <v>45883.414607280094</v>
      </c>
      <c r="B1634" s="9">
        <v>45883.0</v>
      </c>
      <c r="C1634" s="9" t="s">
        <v>31</v>
      </c>
      <c r="D1634" s="9" t="s">
        <v>175</v>
      </c>
      <c r="E1634" s="9" t="s">
        <v>17</v>
      </c>
      <c r="F1634" s="9" t="s">
        <v>17</v>
      </c>
      <c r="G1634" s="9" t="s">
        <v>24</v>
      </c>
      <c r="H1634" s="9" t="s">
        <v>17</v>
      </c>
      <c r="I1634" s="9" t="s">
        <v>20</v>
      </c>
      <c r="J1634" s="10"/>
      <c r="K1634" s="7" t="s">
        <v>398</v>
      </c>
      <c r="L1634" s="7"/>
      <c r="M1634" s="7"/>
      <c r="N1634" s="7" t="str">
        <f>IFERROR(__xludf.DUMMYFUNCTION("""COMPUTED_VALUE"""),"Sebastián Cáceres|46013")</f>
        <v>Sebastián Cáceres|46013</v>
      </c>
      <c r="O1634" s="7">
        <f>IFERROR(__xludf.DUMMYFUNCTION("""COMPUTED_VALUE"""),5.0)</f>
        <v>5</v>
      </c>
    </row>
    <row r="1635" ht="22.5" hidden="1" customHeight="1">
      <c r="A1635" s="8">
        <v>45884.33805715278</v>
      </c>
      <c r="B1635" s="9">
        <v>45884.0</v>
      </c>
      <c r="C1635" s="9" t="s">
        <v>48</v>
      </c>
      <c r="D1635" s="9" t="s">
        <v>257</v>
      </c>
      <c r="E1635" s="9" t="s">
        <v>17</v>
      </c>
      <c r="F1635" s="9" t="s">
        <v>17</v>
      </c>
      <c r="G1635" s="9" t="s">
        <v>19</v>
      </c>
      <c r="H1635" s="9" t="s">
        <v>17</v>
      </c>
      <c r="I1635" s="9" t="s">
        <v>20</v>
      </c>
      <c r="J1635" s="10"/>
      <c r="K1635" s="7" t="s">
        <v>398</v>
      </c>
      <c r="L1635" s="7"/>
      <c r="M1635" s="7"/>
      <c r="N1635" s="7" t="str">
        <f>IFERROR(__xludf.DUMMYFUNCTION("""COMPUTED_VALUE"""),"Kevin Álvarez|46013")</f>
        <v>Kevin Álvarez|46013</v>
      </c>
      <c r="O1635" s="7">
        <f>IFERROR(__xludf.DUMMYFUNCTION("""COMPUTED_VALUE"""),3.0)</f>
        <v>3</v>
      </c>
    </row>
    <row r="1636" ht="22.5" hidden="1" customHeight="1">
      <c r="A1636" s="8">
        <v>45884.341288055555</v>
      </c>
      <c r="B1636" s="9">
        <v>45884.0</v>
      </c>
      <c r="C1636" s="9" t="s">
        <v>48</v>
      </c>
      <c r="D1636" s="9" t="s">
        <v>249</v>
      </c>
      <c r="E1636" s="9" t="s">
        <v>17</v>
      </c>
      <c r="F1636" s="9" t="s">
        <v>17</v>
      </c>
      <c r="G1636" s="9" t="s">
        <v>19</v>
      </c>
      <c r="H1636" s="9" t="s">
        <v>17</v>
      </c>
      <c r="I1636" s="9" t="s">
        <v>20</v>
      </c>
      <c r="J1636" s="10"/>
      <c r="K1636" s="7" t="s">
        <v>398</v>
      </c>
      <c r="L1636" s="7"/>
      <c r="M1636" s="7"/>
      <c r="N1636" s="7" t="str">
        <f>IFERROR(__xludf.DUMMYFUNCTION("""COMPUTED_VALUE"""),"Álvaro Fidalgo|46013")</f>
        <v>Álvaro Fidalgo|46013</v>
      </c>
      <c r="O1636" s="7">
        <f>IFERROR(__xludf.DUMMYFUNCTION("""COMPUTED_VALUE"""),4.0)</f>
        <v>4</v>
      </c>
    </row>
    <row r="1637" ht="22.5" hidden="1" customHeight="1">
      <c r="A1637" s="8">
        <v>45884.34146255787</v>
      </c>
      <c r="B1637" s="9">
        <v>45884.0</v>
      </c>
      <c r="C1637" s="9" t="s">
        <v>48</v>
      </c>
      <c r="D1637" s="9" t="s">
        <v>280</v>
      </c>
      <c r="E1637" s="9" t="s">
        <v>17</v>
      </c>
      <c r="F1637" s="9" t="s">
        <v>17</v>
      </c>
      <c r="G1637" s="9" t="s">
        <v>24</v>
      </c>
      <c r="H1637" s="9" t="s">
        <v>17</v>
      </c>
      <c r="I1637" s="9" t="s">
        <v>20</v>
      </c>
      <c r="J1637" s="10"/>
      <c r="K1637" s="7" t="s">
        <v>398</v>
      </c>
      <c r="L1637" s="7"/>
      <c r="M1637" s="7"/>
      <c r="N1637" s="7" t="str">
        <f>IFERROR(__xludf.DUMMYFUNCTION("""COMPUTED_VALUE"""),"Santiago Naveda|46013")</f>
        <v>Santiago Naveda|46013</v>
      </c>
      <c r="O1637" s="7">
        <f>IFERROR(__xludf.DUMMYFUNCTION("""COMPUTED_VALUE"""),5.0)</f>
        <v>5</v>
      </c>
    </row>
    <row r="1638" ht="22.5" hidden="1" customHeight="1">
      <c r="A1638" s="8">
        <v>45884.341663900464</v>
      </c>
      <c r="B1638" s="9">
        <v>45884.0</v>
      </c>
      <c r="C1638" s="9" t="s">
        <v>48</v>
      </c>
      <c r="D1638" s="9" t="s">
        <v>177</v>
      </c>
      <c r="E1638" s="9" t="s">
        <v>17</v>
      </c>
      <c r="F1638" s="9" t="s">
        <v>17</v>
      </c>
      <c r="G1638" s="9" t="s">
        <v>24</v>
      </c>
      <c r="H1638" s="9" t="s">
        <v>17</v>
      </c>
      <c r="I1638" s="9" t="s">
        <v>20</v>
      </c>
      <c r="J1638" s="10"/>
      <c r="K1638" s="7" t="s">
        <v>398</v>
      </c>
      <c r="L1638" s="7"/>
      <c r="M1638" s="7"/>
      <c r="N1638" s="7" t="str">
        <f>IFERROR(__xludf.DUMMYFUNCTION("""COMPUTED_VALUE"""),"Israel Reyes|46013")</f>
        <v>Israel Reyes|46013</v>
      </c>
      <c r="O1638" s="7">
        <f>IFERROR(__xludf.DUMMYFUNCTION("""COMPUTED_VALUE"""),6.0)</f>
        <v>6</v>
      </c>
    </row>
    <row r="1639" ht="22.5" hidden="1" customHeight="1">
      <c r="A1639" s="8">
        <v>45884.341975069445</v>
      </c>
      <c r="B1639" s="9">
        <v>45884.0</v>
      </c>
      <c r="C1639" s="9" t="s">
        <v>48</v>
      </c>
      <c r="D1639" s="9" t="s">
        <v>393</v>
      </c>
      <c r="E1639" s="9" t="s">
        <v>17</v>
      </c>
      <c r="F1639" s="9" t="s">
        <v>17</v>
      </c>
      <c r="G1639" s="9" t="s">
        <v>24</v>
      </c>
      <c r="H1639" s="9" t="s">
        <v>17</v>
      </c>
      <c r="I1639" s="9" t="s">
        <v>20</v>
      </c>
      <c r="J1639" s="10"/>
      <c r="K1639" s="7" t="s">
        <v>398</v>
      </c>
      <c r="L1639" s="7"/>
      <c r="M1639" s="7"/>
      <c r="N1639" s="7" t="str">
        <f>IFERROR(__xludf.DUMMYFUNCTION("""COMPUTED_VALUE"""),"Alexis Gutiérrez|46013")</f>
        <v>Alexis Gutiérrez|46013</v>
      </c>
      <c r="O1639" s="7">
        <f>IFERROR(__xludf.DUMMYFUNCTION("""COMPUTED_VALUE"""),6.0)</f>
        <v>6</v>
      </c>
    </row>
    <row r="1640" ht="22.5" hidden="1" customHeight="1">
      <c r="A1640" s="8">
        <v>45884.342484016204</v>
      </c>
      <c r="B1640" s="9">
        <v>45884.0</v>
      </c>
      <c r="C1640" s="9" t="s">
        <v>48</v>
      </c>
      <c r="D1640" s="9" t="s">
        <v>171</v>
      </c>
      <c r="E1640" s="9" t="s">
        <v>17</v>
      </c>
      <c r="F1640" s="9" t="s">
        <v>17</v>
      </c>
      <c r="G1640" s="9" t="s">
        <v>24</v>
      </c>
      <c r="H1640" s="9" t="s">
        <v>17</v>
      </c>
      <c r="I1640" s="9" t="s">
        <v>20</v>
      </c>
      <c r="J1640" s="10"/>
      <c r="K1640" s="7" t="s">
        <v>398</v>
      </c>
      <c r="L1640" s="7"/>
      <c r="M1640" s="7"/>
      <c r="N1640" s="7" t="str">
        <f>IFERROR(__xludf.DUMMYFUNCTION("""COMPUTED_VALUE"""),"Rodolfo Cota|46013")</f>
        <v>Rodolfo Cota|46013</v>
      </c>
      <c r="O1640" s="7">
        <f>IFERROR(__xludf.DUMMYFUNCTION("""COMPUTED_VALUE"""),2.0)</f>
        <v>2</v>
      </c>
    </row>
    <row r="1641" ht="22.5" hidden="1" customHeight="1">
      <c r="A1641" s="8">
        <v>45884.344802974534</v>
      </c>
      <c r="B1641" s="9">
        <v>45884.0</v>
      </c>
      <c r="C1641" s="9" t="s">
        <v>48</v>
      </c>
      <c r="D1641" s="9" t="s">
        <v>258</v>
      </c>
      <c r="E1641" s="9" t="s">
        <v>17</v>
      </c>
      <c r="F1641" s="9" t="s">
        <v>17</v>
      </c>
      <c r="G1641" s="9" t="s">
        <v>24</v>
      </c>
      <c r="H1641" s="9" t="s">
        <v>17</v>
      </c>
      <c r="I1641" s="9" t="s">
        <v>20</v>
      </c>
      <c r="J1641" s="10"/>
      <c r="K1641" s="7" t="s">
        <v>398</v>
      </c>
      <c r="L1641" s="7"/>
      <c r="M1641" s="7"/>
      <c r="N1641" s="7" t="str">
        <f>IFERROR(__xludf.DUMMYFUNCTION("""COMPUTED_VALUE"""),"Luis Ángel Malagón|46013")</f>
        <v>Luis Ángel Malagón|46013</v>
      </c>
      <c r="O1641" s="7">
        <f>IFERROR(__xludf.DUMMYFUNCTION("""COMPUTED_VALUE"""),4.0)</f>
        <v>4</v>
      </c>
    </row>
    <row r="1642" ht="22.5" hidden="1" customHeight="1">
      <c r="A1642" s="8">
        <v>45884.347059594904</v>
      </c>
      <c r="B1642" s="9">
        <v>45884.0</v>
      </c>
      <c r="C1642" s="9" t="s">
        <v>48</v>
      </c>
      <c r="D1642" s="9" t="s">
        <v>361</v>
      </c>
      <c r="E1642" s="9" t="s">
        <v>17</v>
      </c>
      <c r="F1642" s="9" t="s">
        <v>17</v>
      </c>
      <c r="G1642" s="9" t="s">
        <v>24</v>
      </c>
      <c r="H1642" s="9" t="s">
        <v>17</v>
      </c>
      <c r="I1642" s="9" t="s">
        <v>20</v>
      </c>
      <c r="J1642" s="10"/>
      <c r="K1642" s="7" t="s">
        <v>398</v>
      </c>
      <c r="L1642" s="7"/>
      <c r="M1642" s="7"/>
      <c r="N1642" s="7" t="str">
        <f>IFERROR(__xludf.DUMMYFUNCTION("""COMPUTED_VALUE"""),"Isaías Violante|46013")</f>
        <v>Isaías Violante|46013</v>
      </c>
      <c r="O1642" s="7">
        <f>IFERROR(__xludf.DUMMYFUNCTION("""COMPUTED_VALUE"""),6.0)</f>
        <v>6</v>
      </c>
    </row>
    <row r="1643" ht="22.5" hidden="1" customHeight="1">
      <c r="A1643" s="8">
        <v>45884.34791650463</v>
      </c>
      <c r="B1643" s="9">
        <v>45884.0</v>
      </c>
      <c r="C1643" s="9" t="s">
        <v>48</v>
      </c>
      <c r="D1643" s="9" t="s">
        <v>350</v>
      </c>
      <c r="E1643" s="9" t="s">
        <v>17</v>
      </c>
      <c r="F1643" s="9" t="s">
        <v>17</v>
      </c>
      <c r="G1643" s="9" t="s">
        <v>24</v>
      </c>
      <c r="H1643" s="9" t="s">
        <v>17</v>
      </c>
      <c r="I1643" s="9" t="s">
        <v>20</v>
      </c>
      <c r="J1643" s="10"/>
      <c r="K1643" s="7" t="s">
        <v>398</v>
      </c>
      <c r="L1643" s="7"/>
      <c r="M1643" s="7"/>
      <c r="N1643" s="7" t="str">
        <f>IFERROR(__xludf.DUMMYFUNCTION("""COMPUTED_VALUE"""),"Rodrigo Aguirre|46014")</f>
        <v>Rodrigo Aguirre|46014</v>
      </c>
      <c r="O1643" s="7">
        <f>IFERROR(__xludf.DUMMYFUNCTION("""COMPUTED_VALUE"""),5.0)</f>
        <v>5</v>
      </c>
    </row>
    <row r="1644" ht="22.5" hidden="1" customHeight="1">
      <c r="A1644" s="8">
        <v>45884.3486690625</v>
      </c>
      <c r="B1644" s="9">
        <v>45884.0</v>
      </c>
      <c r="C1644" s="9" t="s">
        <v>48</v>
      </c>
      <c r="D1644" s="9" t="s">
        <v>335</v>
      </c>
      <c r="E1644" s="9" t="s">
        <v>17</v>
      </c>
      <c r="F1644" s="9" t="s">
        <v>17</v>
      </c>
      <c r="G1644" s="9" t="s">
        <v>24</v>
      </c>
      <c r="H1644" s="9" t="s">
        <v>17</v>
      </c>
      <c r="I1644" s="9" t="s">
        <v>20</v>
      </c>
      <c r="J1644" s="10"/>
      <c r="K1644" s="7" t="s">
        <v>398</v>
      </c>
      <c r="L1644" s="7"/>
      <c r="M1644" s="7"/>
      <c r="N1644" s="7" t="str">
        <f>IFERROR(__xludf.DUMMYFUNCTION("""COMPUTED_VALUE"""),"Alan Cervantes|46014")</f>
        <v>Alan Cervantes|46014</v>
      </c>
      <c r="O1644" s="7">
        <f>IFERROR(__xludf.DUMMYFUNCTION("""COMPUTED_VALUE"""),6.0)</f>
        <v>6</v>
      </c>
    </row>
    <row r="1645" ht="22.5" hidden="1" customHeight="1">
      <c r="A1645" s="8">
        <v>45884.348960682866</v>
      </c>
      <c r="B1645" s="9">
        <v>45884.0</v>
      </c>
      <c r="C1645" s="9" t="s">
        <v>48</v>
      </c>
      <c r="D1645" s="9" t="s">
        <v>367</v>
      </c>
      <c r="E1645" s="9" t="s">
        <v>17</v>
      </c>
      <c r="F1645" s="9" t="s">
        <v>17</v>
      </c>
      <c r="G1645" s="9" t="s">
        <v>19</v>
      </c>
      <c r="H1645" s="9" t="s">
        <v>17</v>
      </c>
      <c r="I1645" s="9" t="s">
        <v>20</v>
      </c>
      <c r="J1645" s="10"/>
      <c r="K1645" s="7" t="s">
        <v>398</v>
      </c>
      <c r="L1645" s="7"/>
      <c r="M1645" s="7"/>
      <c r="N1645" s="7" t="str">
        <f>IFERROR(__xludf.DUMMYFUNCTION("""COMPUTED_VALUE"""),"Kevin Álvarez|46014")</f>
        <v>Kevin Álvarez|46014</v>
      </c>
      <c r="O1645" s="7">
        <f>IFERROR(__xludf.DUMMYFUNCTION("""COMPUTED_VALUE"""),4.0)</f>
        <v>4</v>
      </c>
    </row>
    <row r="1646" ht="22.5" hidden="1" customHeight="1">
      <c r="A1646" s="8">
        <v>45884.35048953704</v>
      </c>
      <c r="B1646" s="9">
        <v>45884.0</v>
      </c>
      <c r="C1646" s="9" t="s">
        <v>48</v>
      </c>
      <c r="D1646" s="9" t="s">
        <v>395</v>
      </c>
      <c r="E1646" s="9" t="s">
        <v>17</v>
      </c>
      <c r="F1646" s="9" t="s">
        <v>17</v>
      </c>
      <c r="G1646" s="9" t="s">
        <v>24</v>
      </c>
      <c r="H1646" s="9" t="s">
        <v>17</v>
      </c>
      <c r="I1646" s="9" t="s">
        <v>20</v>
      </c>
      <c r="J1646" s="10"/>
      <c r="K1646" s="7" t="s">
        <v>398</v>
      </c>
      <c r="L1646" s="7"/>
      <c r="M1646" s="7"/>
      <c r="N1646" s="7" t="str">
        <f>IFERROR(__xludf.DUMMYFUNCTION("""COMPUTED_VALUE"""),"José Raúl Zuñiga|46014")</f>
        <v>José Raúl Zuñiga|46014</v>
      </c>
      <c r="O1646" s="7">
        <f>IFERROR(__xludf.DUMMYFUNCTION("""COMPUTED_VALUE"""),3.0)</f>
        <v>3</v>
      </c>
    </row>
    <row r="1647" ht="22.5" hidden="1" customHeight="1">
      <c r="A1647" s="8">
        <v>45884.3509165162</v>
      </c>
      <c r="B1647" s="9">
        <v>45884.0</v>
      </c>
      <c r="C1647" s="9" t="s">
        <v>48</v>
      </c>
      <c r="D1647" s="9" t="s">
        <v>396</v>
      </c>
      <c r="E1647" s="9" t="s">
        <v>17</v>
      </c>
      <c r="F1647" s="9" t="s">
        <v>17</v>
      </c>
      <c r="G1647" s="9" t="s">
        <v>24</v>
      </c>
      <c r="H1647" s="9" t="s">
        <v>17</v>
      </c>
      <c r="I1647" s="9" t="s">
        <v>20</v>
      </c>
      <c r="J1647" s="10"/>
      <c r="K1647" s="7" t="s">
        <v>398</v>
      </c>
      <c r="L1647" s="7"/>
      <c r="M1647" s="7"/>
      <c r="N1647" s="7" t="str">
        <f>IFERROR(__xludf.DUMMYFUNCTION("""COMPUTED_VALUE"""),"Ralph Orquín|46014")</f>
        <v>Ralph Orquín|46014</v>
      </c>
      <c r="O1647" s="7">
        <f>IFERROR(__xludf.DUMMYFUNCTION("""COMPUTED_VALUE"""),6.0)</f>
        <v>6</v>
      </c>
    </row>
    <row r="1648" ht="22.5" hidden="1" customHeight="1">
      <c r="A1648" s="8">
        <v>45884.35251921296</v>
      </c>
      <c r="B1648" s="9">
        <v>45884.0</v>
      </c>
      <c r="C1648" s="9" t="s">
        <v>48</v>
      </c>
      <c r="D1648" s="9" t="s">
        <v>178</v>
      </c>
      <c r="E1648" s="9" t="s">
        <v>17</v>
      </c>
      <c r="F1648" s="9" t="s">
        <v>17</v>
      </c>
      <c r="G1648" s="9" t="s">
        <v>24</v>
      </c>
      <c r="H1648" s="9" t="s">
        <v>17</v>
      </c>
      <c r="I1648" s="9" t="s">
        <v>20</v>
      </c>
      <c r="J1648" s="10"/>
      <c r="K1648" s="7" t="s">
        <v>398</v>
      </c>
      <c r="L1648" s="7"/>
      <c r="M1648" s="7"/>
      <c r="N1648" s="7" t="str">
        <f>IFERROR(__xludf.DUMMYFUNCTION("""COMPUTED_VALUE"""),"Isaías Violante|46014")</f>
        <v>Isaías Violante|46014</v>
      </c>
      <c r="O1648" s="7">
        <f>IFERROR(__xludf.DUMMYFUNCTION("""COMPUTED_VALUE"""),8.0)</f>
        <v>8</v>
      </c>
    </row>
    <row r="1649" ht="22.5" hidden="1" customHeight="1">
      <c r="A1649" s="8">
        <v>45884.369775196756</v>
      </c>
      <c r="B1649" s="9">
        <v>45884.0</v>
      </c>
      <c r="C1649" s="9" t="s">
        <v>48</v>
      </c>
      <c r="D1649" s="9" t="s">
        <v>223</v>
      </c>
      <c r="E1649" s="9" t="s">
        <v>17</v>
      </c>
      <c r="F1649" s="9" t="s">
        <v>17</v>
      </c>
      <c r="G1649" s="9" t="s">
        <v>24</v>
      </c>
      <c r="H1649" s="9" t="s">
        <v>17</v>
      </c>
      <c r="I1649" s="9" t="s">
        <v>20</v>
      </c>
      <c r="J1649" s="10"/>
      <c r="K1649" s="7" t="s">
        <v>398</v>
      </c>
      <c r="L1649" s="7"/>
      <c r="M1649" s="7"/>
      <c r="N1649" s="7" t="str">
        <f>IFERROR(__xludf.DUMMYFUNCTION("""COMPUTED_VALUE"""),"Alexis Gutiérrez|46014")</f>
        <v>Alexis Gutiérrez|46014</v>
      </c>
      <c r="O1649" s="7">
        <f>IFERROR(__xludf.DUMMYFUNCTION("""COMPUTED_VALUE"""),5.0)</f>
        <v>5</v>
      </c>
    </row>
    <row r="1650" ht="22.5" hidden="1" customHeight="1">
      <c r="A1650" s="8">
        <v>45884.376228090274</v>
      </c>
      <c r="B1650" s="9">
        <v>45884.0</v>
      </c>
      <c r="C1650" s="9" t="s">
        <v>48</v>
      </c>
      <c r="D1650" s="9" t="s">
        <v>168</v>
      </c>
      <c r="E1650" s="9" t="s">
        <v>17</v>
      </c>
      <c r="F1650" s="9" t="s">
        <v>17</v>
      </c>
      <c r="G1650" s="9" t="s">
        <v>24</v>
      </c>
      <c r="H1650" s="9" t="s">
        <v>25</v>
      </c>
      <c r="I1650" s="9" t="s">
        <v>67</v>
      </c>
      <c r="J1650" s="10"/>
      <c r="K1650" s="7" t="s">
        <v>398</v>
      </c>
      <c r="L1650" s="7"/>
      <c r="M1650" s="7"/>
      <c r="N1650" s="7" t="str">
        <f>IFERROR(__xludf.DUMMYFUNCTION("""COMPUTED_VALUE"""),"Luis Malagon|46014")</f>
        <v>Luis Malagon|46014</v>
      </c>
      <c r="O1650" s="7">
        <f>IFERROR(__xludf.DUMMYFUNCTION("""COMPUTED_VALUE"""),5.0)</f>
        <v>5</v>
      </c>
    </row>
    <row r="1651" ht="22.5" hidden="1" customHeight="1">
      <c r="A1651" s="8">
        <v>45884.41920474537</v>
      </c>
      <c r="B1651" s="9">
        <v>45884.0</v>
      </c>
      <c r="C1651" s="9" t="s">
        <v>48</v>
      </c>
      <c r="D1651" s="9" t="s">
        <v>397</v>
      </c>
      <c r="E1651" s="9" t="s">
        <v>17</v>
      </c>
      <c r="F1651" s="9" t="s">
        <v>17</v>
      </c>
      <c r="G1651" s="9" t="s">
        <v>24</v>
      </c>
      <c r="H1651" s="9" t="s">
        <v>17</v>
      </c>
      <c r="I1651" s="9" t="s">
        <v>20</v>
      </c>
      <c r="J1651" s="10"/>
      <c r="K1651" s="1" t="s">
        <v>398</v>
      </c>
      <c r="L1651" s="7"/>
      <c r="M1651" s="7"/>
      <c r="N1651" s="7" t="str">
        <f>IFERROR(__xludf.DUMMYFUNCTION("""COMPUTED_VALUE"""),"Erick Sánchez|46014")</f>
        <v>Erick Sánchez|46014</v>
      </c>
      <c r="O1651" s="7">
        <f>IFERROR(__xludf.DUMMYFUNCTION("""COMPUTED_VALUE"""),7.0)</f>
        <v>7</v>
      </c>
    </row>
    <row r="1652" ht="22.5" hidden="1" customHeight="1">
      <c r="A1652" s="8">
        <v>45887.37138094907</v>
      </c>
      <c r="B1652" s="9">
        <v>45887.0</v>
      </c>
      <c r="C1652" s="9" t="s">
        <v>86</v>
      </c>
      <c r="D1652" s="9" t="s">
        <v>259</v>
      </c>
      <c r="E1652" s="9" t="s">
        <v>17</v>
      </c>
      <c r="F1652" s="9" t="s">
        <v>43</v>
      </c>
      <c r="G1652" s="9" t="s">
        <v>19</v>
      </c>
      <c r="H1652" s="9" t="s">
        <v>25</v>
      </c>
      <c r="I1652" s="9" t="s">
        <v>67</v>
      </c>
      <c r="J1652" s="10"/>
      <c r="K1652" s="7" t="s">
        <v>398</v>
      </c>
      <c r="L1652" s="7"/>
      <c r="M1652" s="7"/>
      <c r="N1652" s="7" t="str">
        <f>IFERROR(__xludf.DUMMYFUNCTION("""COMPUTED_VALUE"""),"Santiago Naveda|46014")</f>
        <v>Santiago Naveda|46014</v>
      </c>
      <c r="O1652" s="7">
        <f>IFERROR(__xludf.DUMMYFUNCTION("""COMPUTED_VALUE"""),6.0)</f>
        <v>6</v>
      </c>
    </row>
    <row r="1653" ht="22.5" hidden="1" customHeight="1">
      <c r="A1653" s="8">
        <v>45887.3809612037</v>
      </c>
      <c r="B1653" s="9">
        <v>45887.0</v>
      </c>
      <c r="C1653" s="9" t="s">
        <v>86</v>
      </c>
      <c r="D1653" s="9" t="s">
        <v>397</v>
      </c>
      <c r="E1653" s="9" t="s">
        <v>17</v>
      </c>
      <c r="F1653" s="9" t="s">
        <v>17</v>
      </c>
      <c r="G1653" s="9" t="s">
        <v>24</v>
      </c>
      <c r="H1653" s="9" t="s">
        <v>22</v>
      </c>
      <c r="I1653" s="9" t="s">
        <v>20</v>
      </c>
      <c r="J1653" s="10"/>
      <c r="K1653" s="1" t="s">
        <v>398</v>
      </c>
      <c r="L1653" s="7"/>
      <c r="M1653" s="7"/>
      <c r="N1653" s="7" t="str">
        <f>IFERROR(__xludf.DUMMYFUNCTION("""COMPUTED_VALUE"""),"Alejando Zendejas|46014")</f>
        <v>Alejando Zendejas|46014</v>
      </c>
      <c r="O1653" s="7">
        <f>IFERROR(__xludf.DUMMYFUNCTION("""COMPUTED_VALUE"""),4.0)</f>
        <v>4</v>
      </c>
    </row>
    <row r="1654" ht="22.5" hidden="1" customHeight="1">
      <c r="A1654" s="8">
        <v>45888.35647108796</v>
      </c>
      <c r="B1654" s="9">
        <v>45888.0</v>
      </c>
      <c r="C1654" s="9" t="s">
        <v>110</v>
      </c>
      <c r="D1654" s="9" t="s">
        <v>257</v>
      </c>
      <c r="E1654" s="9" t="s">
        <v>17</v>
      </c>
      <c r="F1654" s="9" t="s">
        <v>17</v>
      </c>
      <c r="G1654" s="9" t="s">
        <v>24</v>
      </c>
      <c r="H1654" s="9" t="s">
        <v>22</v>
      </c>
      <c r="I1654" s="9" t="s">
        <v>20</v>
      </c>
      <c r="J1654" s="10"/>
      <c r="K1654" s="7" t="s">
        <v>398</v>
      </c>
      <c r="L1654" s="7"/>
      <c r="M1654" s="7"/>
      <c r="N1654" s="7" t="str">
        <f>IFERROR(__xludf.DUMMYFUNCTION("""COMPUTED_VALUE"""),"Igor Lichnovsky|46014")</f>
        <v>Igor Lichnovsky|46014</v>
      </c>
      <c r="O1654" s="7">
        <f>IFERROR(__xludf.DUMMYFUNCTION("""COMPUTED_VALUE"""),3.0)</f>
        <v>3</v>
      </c>
    </row>
    <row r="1655" ht="22.5" hidden="1" customHeight="1">
      <c r="A1655" s="8">
        <v>45888.35687857639</v>
      </c>
      <c r="B1655" s="9">
        <v>45888.0</v>
      </c>
      <c r="C1655" s="9" t="s">
        <v>110</v>
      </c>
      <c r="D1655" s="9" t="s">
        <v>177</v>
      </c>
      <c r="E1655" s="9" t="s">
        <v>17</v>
      </c>
      <c r="F1655" s="9" t="s">
        <v>17</v>
      </c>
      <c r="G1655" s="9" t="s">
        <v>24</v>
      </c>
      <c r="H1655" s="9" t="s">
        <v>17</v>
      </c>
      <c r="I1655" s="9" t="s">
        <v>20</v>
      </c>
      <c r="J1655" s="10"/>
      <c r="K1655" s="7" t="s">
        <v>398</v>
      </c>
      <c r="L1655" s="7"/>
      <c r="M1655" s="7"/>
      <c r="N1655" s="7" t="str">
        <f>IFERROR(__xludf.DUMMYFUNCTION("""COMPUTED_VALUE"""),"Ramón Juárez|46014")</f>
        <v>Ramón Juárez|46014</v>
      </c>
      <c r="O1655" s="7">
        <f>IFERROR(__xludf.DUMMYFUNCTION("""COMPUTED_VALUE"""),5.0)</f>
        <v>5</v>
      </c>
    </row>
    <row r="1656" ht="22.5" hidden="1" customHeight="1">
      <c r="A1656" s="8">
        <v>45888.35753246528</v>
      </c>
      <c r="B1656" s="9">
        <v>45888.0</v>
      </c>
      <c r="C1656" s="9" t="s">
        <v>110</v>
      </c>
      <c r="D1656" s="9" t="s">
        <v>280</v>
      </c>
      <c r="E1656" s="9" t="s">
        <v>17</v>
      </c>
      <c r="F1656" s="9" t="s">
        <v>17</v>
      </c>
      <c r="G1656" s="9" t="s">
        <v>24</v>
      </c>
      <c r="H1656" s="9" t="s">
        <v>17</v>
      </c>
      <c r="I1656" s="9" t="s">
        <v>20</v>
      </c>
      <c r="J1656" s="10"/>
      <c r="K1656" s="7" t="s">
        <v>398</v>
      </c>
      <c r="L1656" s="7"/>
      <c r="M1656" s="7"/>
      <c r="N1656" s="7" t="str">
        <f>IFERROR(__xludf.DUMMYFUNCTION("""COMPUTED_VALUE"""),"Sebastián Cáceres|46014")</f>
        <v>Sebastián Cáceres|46014</v>
      </c>
      <c r="O1656" s="7">
        <f>IFERROR(__xludf.DUMMYFUNCTION("""COMPUTED_VALUE"""),4.0)</f>
        <v>4</v>
      </c>
    </row>
    <row r="1657" ht="22.5" hidden="1" customHeight="1">
      <c r="A1657" s="8">
        <v>45888.36209539352</v>
      </c>
      <c r="B1657" s="9">
        <v>45888.0</v>
      </c>
      <c r="C1657" s="9" t="s">
        <v>110</v>
      </c>
      <c r="D1657" s="9" t="s">
        <v>393</v>
      </c>
      <c r="E1657" s="9" t="s">
        <v>17</v>
      </c>
      <c r="F1657" s="9" t="s">
        <v>17</v>
      </c>
      <c r="G1657" s="9" t="s">
        <v>24</v>
      </c>
      <c r="H1657" s="9" t="s">
        <v>17</v>
      </c>
      <c r="I1657" s="9" t="s">
        <v>20</v>
      </c>
      <c r="J1657" s="10"/>
      <c r="K1657" s="7" t="s">
        <v>398</v>
      </c>
      <c r="L1657" s="7"/>
      <c r="M1657" s="7"/>
      <c r="N1657" s="7" t="str">
        <f>IFERROR(__xludf.DUMMYFUNCTION("""COMPUTED_VALUE"""),"Néstor Araujo|46014")</f>
        <v>Néstor Araujo|46014</v>
      </c>
      <c r="O1657" s="7">
        <f>IFERROR(__xludf.DUMMYFUNCTION("""COMPUTED_VALUE"""),3.0)</f>
        <v>3</v>
      </c>
    </row>
    <row r="1658" ht="22.5" hidden="1" customHeight="1">
      <c r="A1658" s="8">
        <v>45888.363266319444</v>
      </c>
      <c r="B1658" s="9">
        <v>45888.0</v>
      </c>
      <c r="C1658" s="9" t="s">
        <v>110</v>
      </c>
      <c r="D1658" s="9" t="s">
        <v>258</v>
      </c>
      <c r="E1658" s="9" t="s">
        <v>17</v>
      </c>
      <c r="F1658" s="9" t="s">
        <v>17</v>
      </c>
      <c r="G1658" s="9" t="s">
        <v>24</v>
      </c>
      <c r="H1658" s="9" t="s">
        <v>22</v>
      </c>
      <c r="I1658" s="9" t="s">
        <v>20</v>
      </c>
      <c r="J1658" s="10"/>
      <c r="K1658" s="7" t="s">
        <v>398</v>
      </c>
      <c r="L1658" s="7"/>
      <c r="M1658" s="7"/>
      <c r="N1658" s="7" t="str">
        <f>IFERROR(__xludf.DUMMYFUNCTION("""COMPUTED_VALUE"""),"Israel Reyes|46014")</f>
        <v>Israel Reyes|46014</v>
      </c>
      <c r="O1658" s="7">
        <f>IFERROR(__xludf.DUMMYFUNCTION("""COMPUTED_VALUE"""),7.0)</f>
        <v>7</v>
      </c>
    </row>
    <row r="1659" ht="22.5" hidden="1" customHeight="1">
      <c r="A1659" s="8">
        <v>45888.36349553241</v>
      </c>
      <c r="B1659" s="9">
        <v>45888.0</v>
      </c>
      <c r="C1659" s="9" t="s">
        <v>110</v>
      </c>
      <c r="D1659" s="9" t="s">
        <v>357</v>
      </c>
      <c r="E1659" s="9" t="s">
        <v>17</v>
      </c>
      <c r="F1659" s="9" t="s">
        <v>17</v>
      </c>
      <c r="G1659" s="9" t="s">
        <v>24</v>
      </c>
      <c r="H1659" s="9" t="s">
        <v>25</v>
      </c>
      <c r="I1659" s="9" t="s">
        <v>242</v>
      </c>
      <c r="J1659" s="10"/>
      <c r="K1659" s="7" t="s">
        <v>398</v>
      </c>
      <c r="L1659" s="7"/>
      <c r="M1659" s="7"/>
      <c r="N1659" s="7" t="str">
        <f>IFERROR(__xludf.DUMMYFUNCTION("""COMPUTED_VALUE"""),"Allan Saint-Maximin|46014")</f>
        <v>Allan Saint-Maximin|46014</v>
      </c>
      <c r="O1659" s="7">
        <f>IFERROR(__xludf.DUMMYFUNCTION("""COMPUTED_VALUE"""),6.0)</f>
        <v>6</v>
      </c>
    </row>
    <row r="1660" ht="22.5" hidden="1" customHeight="1">
      <c r="A1660" s="8">
        <v>45888.36371119213</v>
      </c>
      <c r="B1660" s="9">
        <v>45888.0</v>
      </c>
      <c r="C1660" s="9" t="s">
        <v>110</v>
      </c>
      <c r="D1660" s="9" t="s">
        <v>350</v>
      </c>
      <c r="E1660" s="9" t="s">
        <v>17</v>
      </c>
      <c r="F1660" s="9" t="s">
        <v>17</v>
      </c>
      <c r="G1660" s="9" t="s">
        <v>19</v>
      </c>
      <c r="H1660" s="9" t="s">
        <v>17</v>
      </c>
      <c r="I1660" s="9" t="s">
        <v>20</v>
      </c>
      <c r="J1660" s="10"/>
      <c r="K1660" s="7" t="s">
        <v>398</v>
      </c>
      <c r="L1660" s="7"/>
      <c r="M1660" s="7"/>
      <c r="N1660" s="7" t="str">
        <f>IFERROR(__xludf.DUMMYFUNCTION("""COMPUTED_VALUE"""),"Rodolfo Cota|46014")</f>
        <v>Rodolfo Cota|46014</v>
      </c>
      <c r="O1660" s="7">
        <f>IFERROR(__xludf.DUMMYFUNCTION("""COMPUTED_VALUE"""),3.0)</f>
        <v>3</v>
      </c>
    </row>
    <row r="1661" ht="22.5" hidden="1" customHeight="1">
      <c r="A1661" s="8">
        <v>45888.364066724534</v>
      </c>
      <c r="B1661" s="9">
        <v>45888.0</v>
      </c>
      <c r="C1661" s="9" t="s">
        <v>110</v>
      </c>
      <c r="D1661" s="9" t="s">
        <v>223</v>
      </c>
      <c r="E1661" s="9" t="s">
        <v>17</v>
      </c>
      <c r="F1661" s="9" t="s">
        <v>17</v>
      </c>
      <c r="G1661" s="9" t="s">
        <v>24</v>
      </c>
      <c r="H1661" s="9" t="s">
        <v>17</v>
      </c>
      <c r="I1661" s="9" t="s">
        <v>20</v>
      </c>
      <c r="J1661" s="10"/>
      <c r="K1661" s="7" t="s">
        <v>398</v>
      </c>
      <c r="L1661" s="7"/>
      <c r="M1661" s="7"/>
      <c r="N1661" s="7" t="str">
        <f>IFERROR(__xludf.DUMMYFUNCTION("""COMPUTED_VALUE"""),"Miguel Vázquez|46014")</f>
        <v>Miguel Vázquez|46014</v>
      </c>
      <c r="O1661" s="7">
        <f>IFERROR(__xludf.DUMMYFUNCTION("""COMPUTED_VALUE"""),5.0)</f>
        <v>5</v>
      </c>
    </row>
    <row r="1662" ht="22.5" hidden="1" customHeight="1">
      <c r="A1662" s="8">
        <v>45888.3665006713</v>
      </c>
      <c r="B1662" s="9">
        <v>45888.0</v>
      </c>
      <c r="C1662" s="9" t="s">
        <v>110</v>
      </c>
      <c r="D1662" s="9" t="s">
        <v>171</v>
      </c>
      <c r="E1662" s="9" t="s">
        <v>17</v>
      </c>
      <c r="F1662" s="9" t="s">
        <v>17</v>
      </c>
      <c r="G1662" s="9" t="s">
        <v>24</v>
      </c>
      <c r="H1662" s="9" t="s">
        <v>17</v>
      </c>
      <c r="I1662" s="9" t="s">
        <v>20</v>
      </c>
      <c r="J1662" s="10"/>
      <c r="K1662" s="7" t="s">
        <v>398</v>
      </c>
      <c r="L1662" s="7"/>
      <c r="M1662" s="7"/>
      <c r="N1662" s="7" t="str">
        <f>IFERROR(__xludf.DUMMYFUNCTION("""COMPUTED_VALUE"""),"Henry Martín|46014")</f>
        <v>Henry Martín|46014</v>
      </c>
      <c r="O1662" s="7">
        <f>IFERROR(__xludf.DUMMYFUNCTION("""COMPUTED_VALUE"""),4.0)</f>
        <v>4</v>
      </c>
    </row>
    <row r="1663" ht="22.5" hidden="1" customHeight="1">
      <c r="A1663" s="8">
        <v>45888.370354479164</v>
      </c>
      <c r="B1663" s="9">
        <v>45888.0</v>
      </c>
      <c r="C1663" s="9" t="s">
        <v>110</v>
      </c>
      <c r="D1663" s="9" t="s">
        <v>394</v>
      </c>
      <c r="E1663" s="9" t="s">
        <v>17</v>
      </c>
      <c r="F1663" s="9" t="s">
        <v>17</v>
      </c>
      <c r="G1663" s="9" t="s">
        <v>24</v>
      </c>
      <c r="H1663" s="9" t="s">
        <v>17</v>
      </c>
      <c r="I1663" s="9" t="s">
        <v>20</v>
      </c>
      <c r="J1663" s="10"/>
      <c r="K1663" s="7" t="s">
        <v>398</v>
      </c>
      <c r="L1663" s="7"/>
      <c r="M1663" s="7"/>
      <c r="N1663" s="7" t="str">
        <f>IFERROR(__xludf.DUMMYFUNCTION("""COMPUTED_VALUE"""),"Cristian Borja|46014")</f>
        <v>Cristian Borja|46014</v>
      </c>
      <c r="O1663" s="7">
        <f>IFERROR(__xludf.DUMMYFUNCTION("""COMPUTED_VALUE"""),3.0)</f>
        <v>3</v>
      </c>
    </row>
    <row r="1664" ht="22.5" hidden="1" customHeight="1">
      <c r="A1664" s="8">
        <v>45888.37182921296</v>
      </c>
      <c r="B1664" s="9">
        <v>45888.0</v>
      </c>
      <c r="C1664" s="9" t="s">
        <v>110</v>
      </c>
      <c r="D1664" s="9" t="s">
        <v>395</v>
      </c>
      <c r="E1664" s="9" t="s">
        <v>17</v>
      </c>
      <c r="F1664" s="9" t="s">
        <v>17</v>
      </c>
      <c r="G1664" s="9" t="s">
        <v>24</v>
      </c>
      <c r="H1664" s="9" t="s">
        <v>17</v>
      </c>
      <c r="I1664" s="9" t="s">
        <v>20</v>
      </c>
      <c r="J1664" s="10"/>
      <c r="K1664" s="7" t="s">
        <v>398</v>
      </c>
      <c r="L1664" s="7"/>
      <c r="M1664" s="7"/>
      <c r="N1664" s="7" t="str">
        <f>IFERROR(__xludf.DUMMYFUNCTION("""COMPUTED_VALUE"""),"Igor Lichnovsky|46017")</f>
        <v>Igor Lichnovsky|46017</v>
      </c>
      <c r="O1664" s="7">
        <f>IFERROR(__xludf.DUMMYFUNCTION("""COMPUTED_VALUE"""),3.0)</f>
        <v>3</v>
      </c>
    </row>
    <row r="1665" ht="22.5" hidden="1" customHeight="1">
      <c r="A1665" s="8">
        <v>45888.37596077546</v>
      </c>
      <c r="B1665" s="9">
        <v>45888.0</v>
      </c>
      <c r="C1665" s="9" t="s">
        <v>110</v>
      </c>
      <c r="D1665" s="9" t="s">
        <v>178</v>
      </c>
      <c r="E1665" s="9" t="s">
        <v>17</v>
      </c>
      <c r="F1665" s="9" t="s">
        <v>17</v>
      </c>
      <c r="G1665" s="9" t="s">
        <v>24</v>
      </c>
      <c r="H1665" s="9" t="s">
        <v>25</v>
      </c>
      <c r="I1665" s="9" t="s">
        <v>37</v>
      </c>
      <c r="J1665" s="10"/>
      <c r="K1665" s="7" t="s">
        <v>398</v>
      </c>
      <c r="L1665" s="7"/>
      <c r="M1665" s="7"/>
      <c r="N1665" s="7" t="str">
        <f>IFERROR(__xludf.DUMMYFUNCTION("""COMPUTED_VALUE"""),"Ralph Orquín|46017")</f>
        <v>Ralph Orquín|46017</v>
      </c>
      <c r="O1665" s="7">
        <f>IFERROR(__xludf.DUMMYFUNCTION("""COMPUTED_VALUE"""),5.0)</f>
        <v>5</v>
      </c>
    </row>
    <row r="1666" ht="22.5" hidden="1" customHeight="1">
      <c r="A1666" s="8">
        <v>45888.3762505787</v>
      </c>
      <c r="B1666" s="9">
        <v>45888.0</v>
      </c>
      <c r="C1666" s="9" t="s">
        <v>110</v>
      </c>
      <c r="D1666" s="9" t="s">
        <v>259</v>
      </c>
      <c r="E1666" s="9" t="s">
        <v>17</v>
      </c>
      <c r="F1666" s="9" t="s">
        <v>17</v>
      </c>
      <c r="G1666" s="9" t="s">
        <v>24</v>
      </c>
      <c r="H1666" s="9" t="s">
        <v>25</v>
      </c>
      <c r="I1666" s="9" t="s">
        <v>67</v>
      </c>
      <c r="J1666" s="10"/>
      <c r="K1666" s="7" t="s">
        <v>398</v>
      </c>
      <c r="L1666" s="7"/>
      <c r="M1666" s="7"/>
      <c r="N1666" s="7" t="str">
        <f>IFERROR(__xludf.DUMMYFUNCTION("""COMPUTED_VALUE"""),"Ralph Orquín|46017")</f>
        <v>Ralph Orquín|46017</v>
      </c>
      <c r="O1666" s="7">
        <f>IFERROR(__xludf.DUMMYFUNCTION("""COMPUTED_VALUE"""),5.0)</f>
        <v>5</v>
      </c>
    </row>
    <row r="1667" ht="22.5" hidden="1" customHeight="1">
      <c r="A1667" s="8">
        <v>45888.386695625</v>
      </c>
      <c r="B1667" s="9">
        <v>45888.0</v>
      </c>
      <c r="C1667" s="9" t="s">
        <v>110</v>
      </c>
      <c r="D1667" s="9" t="s">
        <v>361</v>
      </c>
      <c r="E1667" s="9" t="s">
        <v>17</v>
      </c>
      <c r="F1667" s="9" t="s">
        <v>17</v>
      </c>
      <c r="G1667" s="9" t="s">
        <v>24</v>
      </c>
      <c r="H1667" s="9" t="s">
        <v>22</v>
      </c>
      <c r="I1667" s="9" t="s">
        <v>20</v>
      </c>
      <c r="J1667" s="10"/>
      <c r="K1667" s="7" t="s">
        <v>398</v>
      </c>
      <c r="L1667" s="7"/>
      <c r="M1667" s="7"/>
      <c r="N1667" s="7" t="str">
        <f>IFERROR(__xludf.DUMMYFUNCTION("""COMPUTED_VALUE"""),"Rodrigo Aguirre|46017")</f>
        <v>Rodrigo Aguirre|46017</v>
      </c>
      <c r="O1667" s="7">
        <f>IFERROR(__xludf.DUMMYFUNCTION("""COMPUTED_VALUE"""),5.0)</f>
        <v>5</v>
      </c>
    </row>
    <row r="1668" ht="22.5" hidden="1" customHeight="1">
      <c r="A1668" s="8">
        <v>45888.390053449075</v>
      </c>
      <c r="B1668" s="9">
        <v>45888.0</v>
      </c>
      <c r="C1668" s="9" t="s">
        <v>110</v>
      </c>
      <c r="D1668" s="9" t="s">
        <v>367</v>
      </c>
      <c r="E1668" s="9" t="s">
        <v>17</v>
      </c>
      <c r="F1668" s="9" t="s">
        <v>17</v>
      </c>
      <c r="G1668" s="9" t="s">
        <v>24</v>
      </c>
      <c r="H1668" s="9" t="s">
        <v>25</v>
      </c>
      <c r="I1668" s="9" t="s">
        <v>20</v>
      </c>
      <c r="J1668" s="10"/>
      <c r="K1668" s="7" t="s">
        <v>398</v>
      </c>
      <c r="L1668" s="7"/>
      <c r="M1668" s="7"/>
      <c r="N1668" s="7" t="str">
        <f>IFERROR(__xludf.DUMMYFUNCTION("""COMPUTED_VALUE"""),"Israel Reyes|46017")</f>
        <v>Israel Reyes|46017</v>
      </c>
      <c r="O1668" s="7">
        <f>IFERROR(__xludf.DUMMYFUNCTION("""COMPUTED_VALUE"""),4.0)</f>
        <v>4</v>
      </c>
    </row>
    <row r="1669" ht="22.5" hidden="1" customHeight="1">
      <c r="A1669" s="8">
        <v>45888.39022594907</v>
      </c>
      <c r="B1669" s="9">
        <v>45888.0</v>
      </c>
      <c r="C1669" s="9" t="s">
        <v>110</v>
      </c>
      <c r="D1669" s="9" t="s">
        <v>174</v>
      </c>
      <c r="E1669" s="9" t="s">
        <v>17</v>
      </c>
      <c r="F1669" s="9" t="s">
        <v>17</v>
      </c>
      <c r="G1669" s="9" t="s">
        <v>24</v>
      </c>
      <c r="H1669" s="9" t="s">
        <v>22</v>
      </c>
      <c r="I1669" s="9" t="s">
        <v>20</v>
      </c>
      <c r="J1669" s="10"/>
      <c r="K1669" s="7" t="s">
        <v>398</v>
      </c>
      <c r="L1669" s="7"/>
      <c r="M1669" s="7"/>
      <c r="N1669" s="7" t="str">
        <f>IFERROR(__xludf.DUMMYFUNCTION("""COMPUTED_VALUE"""),"Álvaro Fidalgo|46017")</f>
        <v>Álvaro Fidalgo|46017</v>
      </c>
      <c r="O1669" s="7">
        <f>IFERROR(__xludf.DUMMYFUNCTION("""COMPUTED_VALUE"""),4.0)</f>
        <v>4</v>
      </c>
    </row>
    <row r="1670" ht="22.5" hidden="1" customHeight="1">
      <c r="A1670" s="8">
        <v>45888.39140821759</v>
      </c>
      <c r="B1670" s="9">
        <v>45888.0</v>
      </c>
      <c r="C1670" s="9" t="s">
        <v>110</v>
      </c>
      <c r="D1670" s="9" t="s">
        <v>397</v>
      </c>
      <c r="E1670" s="9" t="s">
        <v>17</v>
      </c>
      <c r="F1670" s="9" t="s">
        <v>35</v>
      </c>
      <c r="G1670" s="9" t="s">
        <v>19</v>
      </c>
      <c r="H1670" s="9" t="s">
        <v>17</v>
      </c>
      <c r="I1670" s="9" t="s">
        <v>20</v>
      </c>
      <c r="J1670" s="10"/>
      <c r="K1670" s="1" t="s">
        <v>398</v>
      </c>
      <c r="L1670" s="7"/>
      <c r="M1670" s="7"/>
      <c r="N1670" s="7" t="str">
        <f>IFERROR(__xludf.DUMMYFUNCTION("""COMPUTED_VALUE"""),"Kevin Álvarez|46017")</f>
        <v>Kevin Álvarez|46017</v>
      </c>
      <c r="O1670" s="7">
        <f>IFERROR(__xludf.DUMMYFUNCTION("""COMPUTED_VALUE"""),3.0)</f>
        <v>3</v>
      </c>
    </row>
    <row r="1671" ht="22.5" hidden="1" customHeight="1">
      <c r="A1671" s="8">
        <v>45888.396158483796</v>
      </c>
      <c r="B1671" s="9">
        <v>45888.0</v>
      </c>
      <c r="C1671" s="9" t="s">
        <v>110</v>
      </c>
      <c r="D1671" s="9" t="s">
        <v>396</v>
      </c>
      <c r="E1671" s="9" t="s">
        <v>17</v>
      </c>
      <c r="F1671" s="9" t="s">
        <v>17</v>
      </c>
      <c r="G1671" s="9" t="s">
        <v>24</v>
      </c>
      <c r="H1671" s="9" t="s">
        <v>17</v>
      </c>
      <c r="I1671" s="9" t="s">
        <v>20</v>
      </c>
      <c r="J1671" s="10"/>
      <c r="K1671" s="7" t="s">
        <v>398</v>
      </c>
      <c r="L1671" s="7"/>
      <c r="M1671" s="7"/>
      <c r="N1671" s="7" t="str">
        <f>IFERROR(__xludf.DUMMYFUNCTION("""COMPUTED_VALUE"""),"Isaías Violante|46017")</f>
        <v>Isaías Violante|46017</v>
      </c>
      <c r="O1671" s="7">
        <f>IFERROR(__xludf.DUMMYFUNCTION("""COMPUTED_VALUE"""),4.0)</f>
        <v>4</v>
      </c>
    </row>
    <row r="1672" ht="22.5" hidden="1" customHeight="1">
      <c r="A1672" s="8">
        <v>45888.39635028935</v>
      </c>
      <c r="B1672" s="9">
        <v>45888.0</v>
      </c>
      <c r="C1672" s="9" t="s">
        <v>110</v>
      </c>
      <c r="D1672" s="9" t="s">
        <v>247</v>
      </c>
      <c r="E1672" s="9" t="s">
        <v>17</v>
      </c>
      <c r="F1672" s="9" t="s">
        <v>17</v>
      </c>
      <c r="G1672" s="9" t="s">
        <v>24</v>
      </c>
      <c r="H1672" s="9" t="s">
        <v>17</v>
      </c>
      <c r="I1672" s="9" t="s">
        <v>20</v>
      </c>
      <c r="J1672" s="10"/>
      <c r="K1672" s="7" t="s">
        <v>398</v>
      </c>
      <c r="L1672" s="7"/>
      <c r="M1672" s="7"/>
      <c r="N1672" s="7" t="str">
        <f>IFERROR(__xludf.DUMMYFUNCTION("""COMPUTED_VALUE"""),"Miguel Vázquez|46017")</f>
        <v>Miguel Vázquez|46017</v>
      </c>
      <c r="O1672" s="7">
        <f>IFERROR(__xludf.DUMMYFUNCTION("""COMPUTED_VALUE"""),4.0)</f>
        <v>4</v>
      </c>
    </row>
    <row r="1673" ht="22.5" hidden="1" customHeight="1">
      <c r="A1673" s="8">
        <v>45888.39652327546</v>
      </c>
      <c r="B1673" s="9">
        <v>45888.0</v>
      </c>
      <c r="C1673" s="9" t="s">
        <v>110</v>
      </c>
      <c r="D1673" s="9" t="s">
        <v>175</v>
      </c>
      <c r="E1673" s="9" t="s">
        <v>17</v>
      </c>
      <c r="F1673" s="9" t="s">
        <v>17</v>
      </c>
      <c r="G1673" s="9" t="s">
        <v>24</v>
      </c>
      <c r="H1673" s="9" t="s">
        <v>17</v>
      </c>
      <c r="I1673" s="9" t="s">
        <v>20</v>
      </c>
      <c r="J1673" s="10"/>
      <c r="K1673" s="7" t="s">
        <v>398</v>
      </c>
      <c r="L1673" s="7"/>
      <c r="M1673" s="7"/>
      <c r="N1673" s="7" t="str">
        <f>IFERROR(__xludf.DUMMYFUNCTION("""COMPUTED_VALUE"""),"Sebastián Cáceres|46017")</f>
        <v>Sebastián Cáceres|46017</v>
      </c>
      <c r="O1673" s="7">
        <f>IFERROR(__xludf.DUMMYFUNCTION("""COMPUTED_VALUE"""),3.0)</f>
        <v>3</v>
      </c>
    </row>
    <row r="1674" ht="22.5" hidden="1" customHeight="1">
      <c r="A1674" s="8">
        <v>45888.39697940972</v>
      </c>
      <c r="B1674" s="9">
        <v>45888.0</v>
      </c>
      <c r="C1674" s="9" t="s">
        <v>110</v>
      </c>
      <c r="D1674" s="9" t="s">
        <v>168</v>
      </c>
      <c r="E1674" s="9" t="s">
        <v>17</v>
      </c>
      <c r="F1674" s="9" t="s">
        <v>17</v>
      </c>
      <c r="G1674" s="9" t="s">
        <v>24</v>
      </c>
      <c r="H1674" s="9" t="s">
        <v>17</v>
      </c>
      <c r="I1674" s="9" t="s">
        <v>20</v>
      </c>
      <c r="J1674" s="10"/>
      <c r="K1674" s="7" t="s">
        <v>398</v>
      </c>
      <c r="L1674" s="7"/>
      <c r="M1674" s="7"/>
      <c r="N1674" s="7" t="str">
        <f>IFERROR(__xludf.DUMMYFUNCTION("""COMPUTED_VALUE"""),"Alan Cervantes|46017")</f>
        <v>Alan Cervantes|46017</v>
      </c>
      <c r="O1674" s="7">
        <f>IFERROR(__xludf.DUMMYFUNCTION("""COMPUTED_VALUE"""),4.0)</f>
        <v>4</v>
      </c>
    </row>
    <row r="1675" ht="22.5" hidden="1" customHeight="1">
      <c r="A1675" s="8">
        <v>45889.34148533565</v>
      </c>
      <c r="B1675" s="9">
        <v>45889.0</v>
      </c>
      <c r="C1675" s="9" t="s">
        <v>15</v>
      </c>
      <c r="D1675" s="9" t="s">
        <v>258</v>
      </c>
      <c r="E1675" s="9" t="s">
        <v>17</v>
      </c>
      <c r="F1675" s="9" t="s">
        <v>17</v>
      </c>
      <c r="G1675" s="9" t="s">
        <v>24</v>
      </c>
      <c r="H1675" s="9" t="s">
        <v>17</v>
      </c>
      <c r="I1675" s="9" t="s">
        <v>20</v>
      </c>
      <c r="J1675" s="10"/>
      <c r="K1675" s="7" t="s">
        <v>398</v>
      </c>
      <c r="L1675" s="7"/>
      <c r="M1675" s="7"/>
      <c r="N1675" s="7" t="str">
        <f>IFERROR(__xludf.DUMMYFUNCTION("""COMPUTED_VALUE"""),"Allan Saint-Maximin|46017")</f>
        <v>Allan Saint-Maximin|46017</v>
      </c>
      <c r="O1675" s="7">
        <f>IFERROR(__xludf.DUMMYFUNCTION("""COMPUTED_VALUE"""),4.0)</f>
        <v>4</v>
      </c>
    </row>
    <row r="1676" ht="22.5" hidden="1" customHeight="1">
      <c r="A1676" s="8">
        <v>45889.34167108797</v>
      </c>
      <c r="B1676" s="9">
        <v>45889.0</v>
      </c>
      <c r="C1676" s="9" t="s">
        <v>15</v>
      </c>
      <c r="D1676" s="9" t="s">
        <v>280</v>
      </c>
      <c r="E1676" s="9" t="s">
        <v>17</v>
      </c>
      <c r="F1676" s="9" t="s">
        <v>17</v>
      </c>
      <c r="G1676" s="9" t="s">
        <v>19</v>
      </c>
      <c r="H1676" s="9" t="s">
        <v>17</v>
      </c>
      <c r="I1676" s="9" t="s">
        <v>20</v>
      </c>
      <c r="J1676" s="10"/>
      <c r="K1676" s="7" t="s">
        <v>398</v>
      </c>
      <c r="L1676" s="7"/>
      <c r="M1676" s="7"/>
      <c r="N1676" s="7" t="str">
        <f>IFERROR(__xludf.DUMMYFUNCTION("""COMPUTED_VALUE"""),"Rodolfo Cota|46017")</f>
        <v>Rodolfo Cota|46017</v>
      </c>
      <c r="O1676" s="7">
        <f>IFERROR(__xludf.DUMMYFUNCTION("""COMPUTED_VALUE"""),1.0)</f>
        <v>1</v>
      </c>
    </row>
    <row r="1677" ht="22.5" hidden="1" customHeight="1">
      <c r="A1677" s="8">
        <v>45889.34270879629</v>
      </c>
      <c r="B1677" s="9">
        <v>45889.0</v>
      </c>
      <c r="C1677" s="9" t="s">
        <v>15</v>
      </c>
      <c r="D1677" s="9" t="s">
        <v>257</v>
      </c>
      <c r="E1677" s="9" t="s">
        <v>17</v>
      </c>
      <c r="F1677" s="9" t="s">
        <v>17</v>
      </c>
      <c r="G1677" s="9" t="s">
        <v>19</v>
      </c>
      <c r="H1677" s="9" t="s">
        <v>22</v>
      </c>
      <c r="I1677" s="9" t="s">
        <v>20</v>
      </c>
      <c r="J1677" s="10"/>
      <c r="K1677" s="7" t="s">
        <v>398</v>
      </c>
      <c r="L1677" s="7"/>
      <c r="M1677" s="7"/>
      <c r="N1677" s="7" t="str">
        <f>IFERROR(__xludf.DUMMYFUNCTION("""COMPUTED_VALUE"""),"Henry Martín|46017")</f>
        <v>Henry Martín|46017</v>
      </c>
      <c r="O1677" s="7">
        <f>IFERROR(__xludf.DUMMYFUNCTION("""COMPUTED_VALUE"""),4.0)</f>
        <v>4</v>
      </c>
    </row>
    <row r="1678" ht="22.5" hidden="1" customHeight="1">
      <c r="A1678" s="8">
        <v>45889.34933582176</v>
      </c>
      <c r="B1678" s="9">
        <v>45889.0</v>
      </c>
      <c r="C1678" s="9" t="s">
        <v>15</v>
      </c>
      <c r="D1678" s="9" t="s">
        <v>393</v>
      </c>
      <c r="E1678" s="9" t="s">
        <v>17</v>
      </c>
      <c r="F1678" s="9" t="s">
        <v>18</v>
      </c>
      <c r="G1678" s="9" t="s">
        <v>24</v>
      </c>
      <c r="H1678" s="9" t="s">
        <v>17</v>
      </c>
      <c r="I1678" s="9" t="s">
        <v>20</v>
      </c>
      <c r="J1678" s="10"/>
      <c r="K1678" s="7" t="s">
        <v>398</v>
      </c>
      <c r="L1678" s="7"/>
      <c r="M1678" s="7"/>
      <c r="N1678" s="7" t="str">
        <f>IFERROR(__xludf.DUMMYFUNCTION("""COMPUTED_VALUE"""),"Miguel Vázquez|46017")</f>
        <v>Miguel Vázquez|46017</v>
      </c>
      <c r="O1678" s="7">
        <f>IFERROR(__xludf.DUMMYFUNCTION("""COMPUTED_VALUE"""),6.0)</f>
        <v>6</v>
      </c>
    </row>
    <row r="1679" ht="22.5" hidden="1" customHeight="1">
      <c r="A1679" s="8">
        <v>45889.34952243055</v>
      </c>
      <c r="B1679" s="9">
        <v>45889.0</v>
      </c>
      <c r="C1679" s="9" t="s">
        <v>15</v>
      </c>
      <c r="D1679" s="9" t="s">
        <v>249</v>
      </c>
      <c r="E1679" s="9" t="s">
        <v>17</v>
      </c>
      <c r="F1679" s="9" t="s">
        <v>17</v>
      </c>
      <c r="G1679" s="9" t="s">
        <v>24</v>
      </c>
      <c r="H1679" s="9" t="s">
        <v>17</v>
      </c>
      <c r="I1679" s="9" t="s">
        <v>20</v>
      </c>
      <c r="J1679" s="10"/>
      <c r="K1679" s="7" t="s">
        <v>398</v>
      </c>
      <c r="L1679" s="7"/>
      <c r="M1679" s="7"/>
      <c r="N1679" s="7" t="str">
        <f>IFERROR(__xludf.DUMMYFUNCTION("""COMPUTED_VALUE"""),"Erick Sánchez|46017")</f>
        <v>Erick Sánchez|46017</v>
      </c>
      <c r="O1679" s="7">
        <f>IFERROR(__xludf.DUMMYFUNCTION("""COMPUTED_VALUE"""),5.0)</f>
        <v>5</v>
      </c>
    </row>
    <row r="1680" ht="22.5" hidden="1" customHeight="1">
      <c r="A1680" s="8">
        <v>45889.35977405093</v>
      </c>
      <c r="B1680" s="9">
        <v>45889.0</v>
      </c>
      <c r="C1680" s="9" t="s">
        <v>15</v>
      </c>
      <c r="D1680" s="9" t="s">
        <v>177</v>
      </c>
      <c r="E1680" s="9" t="s">
        <v>17</v>
      </c>
      <c r="F1680" s="9" t="s">
        <v>17</v>
      </c>
      <c r="G1680" s="9" t="s">
        <v>24</v>
      </c>
      <c r="H1680" s="9" t="s">
        <v>17</v>
      </c>
      <c r="I1680" s="9" t="s">
        <v>20</v>
      </c>
      <c r="J1680" s="10"/>
      <c r="K1680" s="7" t="s">
        <v>398</v>
      </c>
      <c r="L1680" s="7"/>
      <c r="M1680" s="7"/>
      <c r="N1680" s="7" t="str">
        <f>IFERROR(__xludf.DUMMYFUNCTION("""COMPUTED_VALUE"""),"Alexis Gutiérrez|46017")</f>
        <v>Alexis Gutiérrez|46017</v>
      </c>
      <c r="O1680" s="7">
        <f>IFERROR(__xludf.DUMMYFUNCTION("""COMPUTED_VALUE"""),3.0)</f>
        <v>3</v>
      </c>
    </row>
    <row r="1681" ht="22.5" hidden="1" customHeight="1">
      <c r="A1681" s="8">
        <v>45889.36750769676</v>
      </c>
      <c r="B1681" s="9">
        <v>45889.0</v>
      </c>
      <c r="C1681" s="9" t="s">
        <v>15</v>
      </c>
      <c r="D1681" s="9" t="s">
        <v>178</v>
      </c>
      <c r="E1681" s="9" t="s">
        <v>17</v>
      </c>
      <c r="F1681" s="9" t="s">
        <v>17</v>
      </c>
      <c r="G1681" s="9" t="s">
        <v>24</v>
      </c>
      <c r="H1681" s="9" t="s">
        <v>17</v>
      </c>
      <c r="I1681" s="9" t="s">
        <v>20</v>
      </c>
      <c r="J1681" s="10"/>
      <c r="K1681" s="7" t="s">
        <v>398</v>
      </c>
      <c r="L1681" s="7"/>
      <c r="M1681" s="7"/>
      <c r="N1681" s="7" t="str">
        <f>IFERROR(__xludf.DUMMYFUNCTION("""COMPUTED_VALUE"""),"Alexis Gutiérrez|46017")</f>
        <v>Alexis Gutiérrez|46017</v>
      </c>
      <c r="O1681" s="7">
        <f>IFERROR(__xludf.DUMMYFUNCTION("""COMPUTED_VALUE"""),4.0)</f>
        <v>4</v>
      </c>
    </row>
    <row r="1682" ht="22.5" hidden="1" customHeight="1">
      <c r="A1682" s="8">
        <v>45889.3684109375</v>
      </c>
      <c r="B1682" s="9">
        <v>45889.0</v>
      </c>
      <c r="C1682" s="9" t="s">
        <v>15</v>
      </c>
      <c r="D1682" s="9" t="s">
        <v>394</v>
      </c>
      <c r="E1682" s="9" t="s">
        <v>17</v>
      </c>
      <c r="F1682" s="9" t="s">
        <v>17</v>
      </c>
      <c r="G1682" s="9" t="s">
        <v>24</v>
      </c>
      <c r="H1682" s="9" t="s">
        <v>25</v>
      </c>
      <c r="I1682" s="9" t="s">
        <v>399</v>
      </c>
      <c r="J1682" s="10"/>
      <c r="K1682" s="7" t="s">
        <v>398</v>
      </c>
      <c r="L1682" s="7"/>
      <c r="M1682" s="7"/>
      <c r="N1682" s="7" t="str">
        <f>IFERROR(__xludf.DUMMYFUNCTION("""COMPUTED_VALUE"""),"José Raúl Zuñiga|46017")</f>
        <v>José Raúl Zuñiga|46017</v>
      </c>
      <c r="O1682" s="7">
        <f>IFERROR(__xludf.DUMMYFUNCTION("""COMPUTED_VALUE"""),3.0)</f>
        <v>3</v>
      </c>
    </row>
    <row r="1683" ht="22.5" hidden="1" customHeight="1">
      <c r="A1683" s="8">
        <v>45889.370456516204</v>
      </c>
      <c r="B1683" s="9">
        <v>45889.0</v>
      </c>
      <c r="C1683" s="9" t="s">
        <v>15</v>
      </c>
      <c r="D1683" s="9" t="s">
        <v>174</v>
      </c>
      <c r="E1683" s="9" t="s">
        <v>17</v>
      </c>
      <c r="F1683" s="9" t="s">
        <v>17</v>
      </c>
      <c r="G1683" s="9" t="s">
        <v>24</v>
      </c>
      <c r="H1683" s="9" t="s">
        <v>22</v>
      </c>
      <c r="I1683" s="9" t="s">
        <v>20</v>
      </c>
      <c r="J1683" s="10"/>
      <c r="K1683" s="7" t="s">
        <v>398</v>
      </c>
      <c r="L1683" s="7"/>
      <c r="M1683" s="7"/>
      <c r="N1683" s="7" t="str">
        <f>IFERROR(__xludf.DUMMYFUNCTION("""COMPUTED_VALUE"""),"Patricio Salas|46017")</f>
        <v>Patricio Salas|46017</v>
      </c>
      <c r="O1683" s="7">
        <f>IFERROR(__xludf.DUMMYFUNCTION("""COMPUTED_VALUE"""),3.0)</f>
        <v>3</v>
      </c>
    </row>
    <row r="1684" ht="22.5" hidden="1" customHeight="1">
      <c r="A1684" s="8">
        <v>45889.37087975694</v>
      </c>
      <c r="B1684" s="9">
        <v>45889.0</v>
      </c>
      <c r="C1684" s="9" t="s">
        <v>15</v>
      </c>
      <c r="D1684" s="9" t="s">
        <v>171</v>
      </c>
      <c r="E1684" s="9" t="s">
        <v>17</v>
      </c>
      <c r="F1684" s="9" t="s">
        <v>17</v>
      </c>
      <c r="G1684" s="9" t="s">
        <v>24</v>
      </c>
      <c r="H1684" s="9" t="s">
        <v>17</v>
      </c>
      <c r="I1684" s="9" t="s">
        <v>20</v>
      </c>
      <c r="J1684" s="10"/>
      <c r="K1684" s="7" t="s">
        <v>398</v>
      </c>
      <c r="L1684" s="7"/>
      <c r="M1684" s="7"/>
      <c r="N1684" s="7" t="str">
        <f>IFERROR(__xludf.DUMMYFUNCTION("""COMPUTED_VALUE"""),"Luis Malagon|46017")</f>
        <v>Luis Malagon|46017</v>
      </c>
      <c r="O1684" s="7">
        <f>IFERROR(__xludf.DUMMYFUNCTION("""COMPUTED_VALUE"""),3.0)</f>
        <v>3</v>
      </c>
    </row>
    <row r="1685" ht="22.5" hidden="1" customHeight="1">
      <c r="A1685" s="8">
        <v>45889.37222376157</v>
      </c>
      <c r="B1685" s="9">
        <v>45889.0</v>
      </c>
      <c r="C1685" s="9" t="s">
        <v>15</v>
      </c>
      <c r="D1685" s="9" t="s">
        <v>361</v>
      </c>
      <c r="E1685" s="9" t="s">
        <v>17</v>
      </c>
      <c r="F1685" s="9" t="s">
        <v>17</v>
      </c>
      <c r="G1685" s="9" t="s">
        <v>24</v>
      </c>
      <c r="H1685" s="9" t="s">
        <v>25</v>
      </c>
      <c r="I1685" s="9" t="s">
        <v>79</v>
      </c>
      <c r="J1685" s="10"/>
      <c r="K1685" s="7" t="s">
        <v>398</v>
      </c>
      <c r="L1685" s="7"/>
      <c r="M1685" s="7"/>
      <c r="N1685" s="7" t="str">
        <f>IFERROR(__xludf.DUMMYFUNCTION("""COMPUTED_VALUE"""),"Allan Saint-Maximin|46018")</f>
        <v>Allan Saint-Maximin|46018</v>
      </c>
      <c r="O1685" s="7">
        <f>IFERROR(__xludf.DUMMYFUNCTION("""COMPUTED_VALUE"""),2.0)</f>
        <v>2</v>
      </c>
    </row>
    <row r="1686" ht="22.5" hidden="1" customHeight="1">
      <c r="A1686" s="8">
        <v>45889.37316533565</v>
      </c>
      <c r="B1686" s="9">
        <v>45889.0</v>
      </c>
      <c r="C1686" s="9" t="s">
        <v>15</v>
      </c>
      <c r="D1686" s="9" t="s">
        <v>223</v>
      </c>
      <c r="E1686" s="9" t="s">
        <v>17</v>
      </c>
      <c r="F1686" s="9" t="s">
        <v>17</v>
      </c>
      <c r="G1686" s="9" t="s">
        <v>24</v>
      </c>
      <c r="H1686" s="9" t="s">
        <v>17</v>
      </c>
      <c r="I1686" s="9" t="s">
        <v>20</v>
      </c>
      <c r="J1686" s="10"/>
      <c r="K1686" s="7" t="s">
        <v>398</v>
      </c>
      <c r="L1686" s="7"/>
      <c r="M1686" s="7"/>
      <c r="N1686" s="7" t="str">
        <f>IFERROR(__xludf.DUMMYFUNCTION("""COMPUTED_VALUE"""),"Erick Sánchez|46018")</f>
        <v>Erick Sánchez|46018</v>
      </c>
      <c r="O1686" s="7">
        <f>IFERROR(__xludf.DUMMYFUNCTION("""COMPUTED_VALUE"""),7.0)</f>
        <v>7</v>
      </c>
    </row>
    <row r="1687" ht="22.5" hidden="1" customHeight="1">
      <c r="A1687" s="8">
        <v>45889.37453079861</v>
      </c>
      <c r="B1687" s="9">
        <v>45889.0</v>
      </c>
      <c r="C1687" s="9" t="s">
        <v>15</v>
      </c>
      <c r="D1687" s="9" t="s">
        <v>395</v>
      </c>
      <c r="E1687" s="9" t="s">
        <v>17</v>
      </c>
      <c r="F1687" s="9" t="s">
        <v>17</v>
      </c>
      <c r="G1687" s="9" t="s">
        <v>24</v>
      </c>
      <c r="H1687" s="9" t="s">
        <v>17</v>
      </c>
      <c r="I1687" s="9" t="s">
        <v>20</v>
      </c>
      <c r="J1687" s="10"/>
      <c r="K1687" s="7" t="s">
        <v>398</v>
      </c>
      <c r="L1687" s="7"/>
      <c r="M1687" s="7"/>
      <c r="N1687" s="7" t="str">
        <f>IFERROR(__xludf.DUMMYFUNCTION("""COMPUTED_VALUE"""),"Álvaro Fidalgo|46018")</f>
        <v>Álvaro Fidalgo|46018</v>
      </c>
      <c r="O1687" s="7">
        <f>IFERROR(__xludf.DUMMYFUNCTION("""COMPUTED_VALUE"""),5.0)</f>
        <v>5</v>
      </c>
    </row>
    <row r="1688" ht="22.5" hidden="1" customHeight="1">
      <c r="A1688" s="8">
        <v>45889.37513912037</v>
      </c>
      <c r="B1688" s="9">
        <v>45889.0</v>
      </c>
      <c r="C1688" s="9" t="s">
        <v>15</v>
      </c>
      <c r="D1688" s="9" t="s">
        <v>259</v>
      </c>
      <c r="E1688" s="9" t="s">
        <v>17</v>
      </c>
      <c r="F1688" s="9" t="s">
        <v>18</v>
      </c>
      <c r="G1688" s="9" t="s">
        <v>24</v>
      </c>
      <c r="H1688" s="9" t="s">
        <v>17</v>
      </c>
      <c r="I1688" s="9" t="s">
        <v>20</v>
      </c>
      <c r="J1688" s="10"/>
      <c r="K1688" s="7" t="s">
        <v>398</v>
      </c>
      <c r="L1688" s="7"/>
      <c r="M1688" s="7"/>
      <c r="N1688" s="7" t="str">
        <f>IFERROR(__xludf.DUMMYFUNCTION("""COMPUTED_VALUE"""),"Santiago Naveda|46018")</f>
        <v>Santiago Naveda|46018</v>
      </c>
      <c r="O1688" s="7">
        <f>IFERROR(__xludf.DUMMYFUNCTION("""COMPUTED_VALUE"""),5.0)</f>
        <v>5</v>
      </c>
    </row>
    <row r="1689" ht="22.5" hidden="1" customHeight="1">
      <c r="A1689" s="8">
        <v>45889.376496689816</v>
      </c>
      <c r="B1689" s="9">
        <v>45889.0</v>
      </c>
      <c r="C1689" s="9" t="s">
        <v>15</v>
      </c>
      <c r="D1689" s="9" t="s">
        <v>175</v>
      </c>
      <c r="E1689" s="9" t="s">
        <v>17</v>
      </c>
      <c r="F1689" s="9" t="s">
        <v>17</v>
      </c>
      <c r="G1689" s="9" t="s">
        <v>24</v>
      </c>
      <c r="H1689" s="9" t="s">
        <v>25</v>
      </c>
      <c r="I1689" s="9" t="s">
        <v>399</v>
      </c>
      <c r="J1689" s="10"/>
      <c r="K1689" s="7" t="s">
        <v>398</v>
      </c>
      <c r="L1689" s="7"/>
      <c r="M1689" s="7"/>
      <c r="N1689" s="7" t="str">
        <f>IFERROR(__xludf.DUMMYFUNCTION("""COMPUTED_VALUE"""),"José Raúl Zuñiga|46018")</f>
        <v>José Raúl Zuñiga|46018</v>
      </c>
      <c r="O1689" s="7">
        <f>IFERROR(__xludf.DUMMYFUNCTION("""COMPUTED_VALUE"""),3.0)</f>
        <v>3</v>
      </c>
    </row>
    <row r="1690" ht="22.5" hidden="1" customHeight="1">
      <c r="A1690" s="8">
        <v>45889.376853344904</v>
      </c>
      <c r="B1690" s="9">
        <v>45889.0</v>
      </c>
      <c r="C1690" s="9" t="s">
        <v>15</v>
      </c>
      <c r="D1690" s="9" t="s">
        <v>357</v>
      </c>
      <c r="E1690" s="9" t="s">
        <v>17</v>
      </c>
      <c r="F1690" s="9" t="s">
        <v>17</v>
      </c>
      <c r="G1690" s="9" t="s">
        <v>24</v>
      </c>
      <c r="H1690" s="9" t="s">
        <v>25</v>
      </c>
      <c r="I1690" s="9" t="s">
        <v>242</v>
      </c>
      <c r="J1690" s="10"/>
      <c r="K1690" s="7" t="s">
        <v>398</v>
      </c>
      <c r="L1690" s="7"/>
      <c r="M1690" s="7"/>
      <c r="N1690" s="7" t="str">
        <f>IFERROR(__xludf.DUMMYFUNCTION("""COMPUTED_VALUE"""),"Patricio Salas|46018")</f>
        <v>Patricio Salas|46018</v>
      </c>
      <c r="O1690" s="7">
        <f>IFERROR(__xludf.DUMMYFUNCTION("""COMPUTED_VALUE"""),4.0)</f>
        <v>4</v>
      </c>
    </row>
    <row r="1691" ht="22.5" hidden="1" customHeight="1">
      <c r="A1691" s="8">
        <v>45889.377265324074</v>
      </c>
      <c r="B1691" s="9">
        <v>45889.0</v>
      </c>
      <c r="C1691" s="9" t="s">
        <v>15</v>
      </c>
      <c r="D1691" s="9" t="s">
        <v>210</v>
      </c>
      <c r="E1691" s="9" t="s">
        <v>17</v>
      </c>
      <c r="F1691" s="9" t="s">
        <v>43</v>
      </c>
      <c r="G1691" s="9" t="s">
        <v>24</v>
      </c>
      <c r="H1691" s="9" t="s">
        <v>22</v>
      </c>
      <c r="I1691" s="9" t="s">
        <v>20</v>
      </c>
      <c r="J1691" s="10"/>
      <c r="K1691" s="7" t="s">
        <v>398</v>
      </c>
      <c r="L1691" s="7"/>
      <c r="M1691" s="7"/>
      <c r="N1691" s="7" t="str">
        <f>IFERROR(__xludf.DUMMYFUNCTION("""COMPUTED_VALUE"""),"Alejando Zendejas|46018")</f>
        <v>Alejando Zendejas|46018</v>
      </c>
      <c r="O1691" s="7">
        <f>IFERROR(__xludf.DUMMYFUNCTION("""COMPUTED_VALUE"""),3.0)</f>
        <v>3</v>
      </c>
    </row>
    <row r="1692" ht="22.5" hidden="1" customHeight="1">
      <c r="A1692" s="8">
        <v>45889.37757265047</v>
      </c>
      <c r="B1692" s="9">
        <v>45889.0</v>
      </c>
      <c r="C1692" s="9" t="s">
        <v>15</v>
      </c>
      <c r="D1692" s="9" t="s">
        <v>350</v>
      </c>
      <c r="E1692" s="9" t="s">
        <v>17</v>
      </c>
      <c r="F1692" s="9" t="s">
        <v>17</v>
      </c>
      <c r="G1692" s="9" t="s">
        <v>19</v>
      </c>
      <c r="H1692" s="9" t="s">
        <v>25</v>
      </c>
      <c r="I1692" s="9" t="s">
        <v>79</v>
      </c>
      <c r="J1692" s="10"/>
      <c r="K1692" s="7" t="s">
        <v>398</v>
      </c>
      <c r="L1692" s="7"/>
      <c r="M1692" s="7"/>
      <c r="N1692" s="7" t="str">
        <f>IFERROR(__xludf.DUMMYFUNCTION("""COMPUTED_VALUE"""),"Diego Reyes|46018")</f>
        <v>Diego Reyes|46018</v>
      </c>
      <c r="O1692" s="7">
        <f>IFERROR(__xludf.DUMMYFUNCTION("""COMPUTED_VALUE"""),7.0)</f>
        <v>7</v>
      </c>
    </row>
    <row r="1693" ht="22.5" hidden="1" customHeight="1">
      <c r="A1693" s="8">
        <v>45889.378789062495</v>
      </c>
      <c r="B1693" s="9">
        <v>45889.0</v>
      </c>
      <c r="C1693" s="9" t="s">
        <v>15</v>
      </c>
      <c r="D1693" s="9" t="s">
        <v>367</v>
      </c>
      <c r="E1693" s="9" t="s">
        <v>17</v>
      </c>
      <c r="F1693" s="9" t="s">
        <v>17</v>
      </c>
      <c r="G1693" s="9" t="s">
        <v>19</v>
      </c>
      <c r="H1693" s="9" t="s">
        <v>25</v>
      </c>
      <c r="I1693" s="9" t="s">
        <v>176</v>
      </c>
      <c r="J1693" s="10"/>
      <c r="K1693" s="7" t="s">
        <v>398</v>
      </c>
      <c r="L1693" s="7"/>
      <c r="M1693" s="7"/>
      <c r="N1693" s="7" t="str">
        <f>IFERROR(__xludf.DUMMYFUNCTION("""COMPUTED_VALUE"""),"Alexis Gutiérrez|46018")</f>
        <v>Alexis Gutiérrez|46018</v>
      </c>
      <c r="O1693" s="7">
        <f>IFERROR(__xludf.DUMMYFUNCTION("""COMPUTED_VALUE"""),4.0)</f>
        <v>4</v>
      </c>
    </row>
    <row r="1694" ht="22.5" hidden="1" customHeight="1">
      <c r="A1694" s="8">
        <v>45889.379339872685</v>
      </c>
      <c r="B1694" s="9">
        <v>45889.0</v>
      </c>
      <c r="C1694" s="9" t="s">
        <v>15</v>
      </c>
      <c r="D1694" s="9" t="s">
        <v>397</v>
      </c>
      <c r="E1694" s="9" t="s">
        <v>17</v>
      </c>
      <c r="F1694" s="9" t="s">
        <v>17</v>
      </c>
      <c r="G1694" s="9" t="s">
        <v>24</v>
      </c>
      <c r="H1694" s="9" t="s">
        <v>22</v>
      </c>
      <c r="I1694" s="9" t="s">
        <v>20</v>
      </c>
      <c r="J1694" s="10"/>
      <c r="K1694" s="1" t="s">
        <v>398</v>
      </c>
      <c r="L1694" s="7"/>
      <c r="M1694" s="7"/>
      <c r="N1694" s="7" t="str">
        <f>IFERROR(__xludf.DUMMYFUNCTION("""COMPUTED_VALUE"""),"Rodrigo Aguirre|46018")</f>
        <v>Rodrigo Aguirre|46018</v>
      </c>
      <c r="O1694" s="7">
        <f>IFERROR(__xludf.DUMMYFUNCTION("""COMPUTED_VALUE"""),5.0)</f>
        <v>5</v>
      </c>
    </row>
    <row r="1695" ht="22.5" hidden="1" customHeight="1">
      <c r="A1695" s="8">
        <v>45889.38008471065</v>
      </c>
      <c r="B1695" s="9">
        <v>45889.0</v>
      </c>
      <c r="C1695" s="9" t="s">
        <v>15</v>
      </c>
      <c r="D1695" s="9" t="s">
        <v>168</v>
      </c>
      <c r="E1695" s="9" t="s">
        <v>17</v>
      </c>
      <c r="F1695" s="9" t="s">
        <v>17</v>
      </c>
      <c r="G1695" s="9" t="s">
        <v>19</v>
      </c>
      <c r="H1695" s="9" t="s">
        <v>25</v>
      </c>
      <c r="I1695" s="9" t="s">
        <v>67</v>
      </c>
      <c r="J1695" s="10"/>
      <c r="K1695" s="7" t="s">
        <v>398</v>
      </c>
      <c r="L1695" s="7"/>
      <c r="M1695" s="7"/>
      <c r="N1695" s="7" t="str">
        <f>IFERROR(__xludf.DUMMYFUNCTION("""COMPUTED_VALUE"""),"Víctor Dávila|46018")</f>
        <v>Víctor Dávila|46018</v>
      </c>
      <c r="O1695" s="7">
        <f>IFERROR(__xludf.DUMMYFUNCTION("""COMPUTED_VALUE"""),6.0)</f>
        <v>6</v>
      </c>
    </row>
    <row r="1696" ht="22.5" hidden="1" customHeight="1">
      <c r="A1696" s="8">
        <v>45889.38024679398</v>
      </c>
      <c r="B1696" s="9">
        <v>45889.0</v>
      </c>
      <c r="C1696" s="9" t="s">
        <v>15</v>
      </c>
      <c r="D1696" s="9" t="s">
        <v>396</v>
      </c>
      <c r="E1696" s="9" t="s">
        <v>17</v>
      </c>
      <c r="F1696" s="9" t="s">
        <v>17</v>
      </c>
      <c r="G1696" s="9" t="s">
        <v>24</v>
      </c>
      <c r="H1696" s="9" t="s">
        <v>17</v>
      </c>
      <c r="I1696" s="9" t="s">
        <v>20</v>
      </c>
      <c r="J1696" s="10"/>
      <c r="K1696" s="7" t="s">
        <v>398</v>
      </c>
      <c r="L1696" s="7"/>
      <c r="M1696" s="7"/>
      <c r="N1696" s="7" t="str">
        <f>IFERROR(__xludf.DUMMYFUNCTION("""COMPUTED_VALUE"""),"Néstor Araujo|46018")</f>
        <v>Néstor Araujo|46018</v>
      </c>
      <c r="O1696" s="7">
        <f>IFERROR(__xludf.DUMMYFUNCTION("""COMPUTED_VALUE"""),5.0)</f>
        <v>5</v>
      </c>
    </row>
    <row r="1697" ht="22.5" hidden="1" customHeight="1">
      <c r="A1697" s="8">
        <v>45889.399322337966</v>
      </c>
      <c r="B1697" s="9">
        <v>45889.0</v>
      </c>
      <c r="C1697" s="9" t="s">
        <v>15</v>
      </c>
      <c r="D1697" s="9" t="s">
        <v>247</v>
      </c>
      <c r="E1697" s="9" t="s">
        <v>17</v>
      </c>
      <c r="F1697" s="9" t="s">
        <v>17</v>
      </c>
      <c r="G1697" s="9" t="s">
        <v>24</v>
      </c>
      <c r="H1697" s="9" t="s">
        <v>17</v>
      </c>
      <c r="I1697" s="9" t="s">
        <v>20</v>
      </c>
      <c r="J1697" s="10"/>
      <c r="K1697" s="7" t="s">
        <v>398</v>
      </c>
      <c r="L1697" s="7"/>
      <c r="M1697" s="7"/>
      <c r="N1697" s="7" t="str">
        <f>IFERROR(__xludf.DUMMYFUNCTION("""COMPUTED_VALUE"""),"Isaías Violante|46018")</f>
        <v>Isaías Violante|46018</v>
      </c>
      <c r="O1697" s="7">
        <f>IFERROR(__xludf.DUMMYFUNCTION("""COMPUTED_VALUE"""),4.0)</f>
        <v>4</v>
      </c>
    </row>
    <row r="1698" ht="22.5" hidden="1" customHeight="1">
      <c r="A1698" s="8">
        <v>45889.39948184028</v>
      </c>
      <c r="B1698" s="9">
        <v>45889.0</v>
      </c>
      <c r="C1698" s="9" t="s">
        <v>15</v>
      </c>
      <c r="D1698" s="9" t="s">
        <v>335</v>
      </c>
      <c r="E1698" s="9" t="s">
        <v>17</v>
      </c>
      <c r="F1698" s="9" t="s">
        <v>17</v>
      </c>
      <c r="G1698" s="9" t="s">
        <v>24</v>
      </c>
      <c r="H1698" s="9" t="s">
        <v>22</v>
      </c>
      <c r="I1698" s="9" t="s">
        <v>20</v>
      </c>
      <c r="J1698" s="10"/>
      <c r="K1698" s="7" t="s">
        <v>398</v>
      </c>
      <c r="L1698" s="7"/>
      <c r="M1698" s="7"/>
      <c r="N1698" s="7" t="str">
        <f>IFERROR(__xludf.DUMMYFUNCTION("""COMPUTED_VALUE"""),"Cristian Borja|46018")</f>
        <v>Cristian Borja|46018</v>
      </c>
      <c r="O1698" s="7">
        <f>IFERROR(__xludf.DUMMYFUNCTION("""COMPUTED_VALUE"""),4.0)</f>
        <v>4</v>
      </c>
    </row>
    <row r="1699" ht="22.5" hidden="1" customHeight="1">
      <c r="A1699" s="8">
        <v>45890.35372402778</v>
      </c>
      <c r="B1699" s="9">
        <v>45890.0</v>
      </c>
      <c r="C1699" s="9" t="s">
        <v>31</v>
      </c>
      <c r="D1699" s="9" t="s">
        <v>257</v>
      </c>
      <c r="E1699" s="9" t="s">
        <v>17</v>
      </c>
      <c r="F1699" s="9" t="s">
        <v>17</v>
      </c>
      <c r="G1699" s="9" t="s">
        <v>24</v>
      </c>
      <c r="H1699" s="9" t="s">
        <v>17</v>
      </c>
      <c r="I1699" s="9" t="s">
        <v>20</v>
      </c>
      <c r="J1699" s="10"/>
      <c r="K1699" s="7" t="s">
        <v>398</v>
      </c>
      <c r="L1699" s="7"/>
      <c r="M1699" s="7"/>
      <c r="N1699" s="7" t="str">
        <f>IFERROR(__xludf.DUMMYFUNCTION("""COMPUTED_VALUE"""),"Alan Cervantes|46018")</f>
        <v>Alan Cervantes|46018</v>
      </c>
      <c r="O1699" s="7">
        <f>IFERROR(__xludf.DUMMYFUNCTION("""COMPUTED_VALUE"""),5.0)</f>
        <v>5</v>
      </c>
    </row>
    <row r="1700" ht="22.5" hidden="1" customHeight="1">
      <c r="A1700" s="8">
        <v>45890.35421572917</v>
      </c>
      <c r="B1700" s="9">
        <v>45890.0</v>
      </c>
      <c r="C1700" s="9" t="s">
        <v>31</v>
      </c>
      <c r="D1700" s="9" t="s">
        <v>258</v>
      </c>
      <c r="E1700" s="9" t="s">
        <v>17</v>
      </c>
      <c r="F1700" s="9" t="s">
        <v>17</v>
      </c>
      <c r="G1700" s="9" t="s">
        <v>24</v>
      </c>
      <c r="H1700" s="9" t="s">
        <v>25</v>
      </c>
      <c r="I1700" s="9" t="s">
        <v>173</v>
      </c>
      <c r="J1700" s="10"/>
      <c r="K1700" s="7" t="s">
        <v>398</v>
      </c>
      <c r="L1700" s="7"/>
      <c r="M1700" s="7"/>
      <c r="N1700" s="7" t="str">
        <f>IFERROR(__xludf.DUMMYFUNCTION("""COMPUTED_VALUE"""),"Ralph Orquín|46018")</f>
        <v>Ralph Orquín|46018</v>
      </c>
      <c r="O1700" s="7">
        <f>IFERROR(__xludf.DUMMYFUNCTION("""COMPUTED_VALUE"""),4.0)</f>
        <v>4</v>
      </c>
    </row>
    <row r="1701" ht="22.5" hidden="1" customHeight="1">
      <c r="A1701" s="8">
        <v>45890.35444431713</v>
      </c>
      <c r="B1701" s="9">
        <v>45890.0</v>
      </c>
      <c r="C1701" s="9" t="s">
        <v>31</v>
      </c>
      <c r="D1701" s="9" t="s">
        <v>393</v>
      </c>
      <c r="E1701" s="9" t="s">
        <v>17</v>
      </c>
      <c r="F1701" s="9" t="s">
        <v>17</v>
      </c>
      <c r="G1701" s="9" t="s">
        <v>24</v>
      </c>
      <c r="H1701" s="9" t="s">
        <v>22</v>
      </c>
      <c r="I1701" s="9" t="s">
        <v>20</v>
      </c>
      <c r="J1701" s="10"/>
      <c r="K1701" s="7" t="s">
        <v>398</v>
      </c>
      <c r="L1701" s="7"/>
      <c r="M1701" s="7"/>
      <c r="N1701" s="7" t="str">
        <f>IFERROR(__xludf.DUMMYFUNCTION("""COMPUTED_VALUE"""),"Ramón Juárez|46018")</f>
        <v>Ramón Juárez|46018</v>
      </c>
      <c r="O1701" s="7">
        <f>IFERROR(__xludf.DUMMYFUNCTION("""COMPUTED_VALUE"""),4.0)</f>
        <v>4</v>
      </c>
    </row>
    <row r="1702" ht="22.5" hidden="1" customHeight="1">
      <c r="A1702" s="8">
        <v>45890.355034733795</v>
      </c>
      <c r="B1702" s="9">
        <v>45890.0</v>
      </c>
      <c r="C1702" s="9" t="s">
        <v>31</v>
      </c>
      <c r="D1702" s="9" t="s">
        <v>280</v>
      </c>
      <c r="E1702" s="9" t="s">
        <v>17</v>
      </c>
      <c r="F1702" s="9" t="s">
        <v>17</v>
      </c>
      <c r="G1702" s="9" t="s">
        <v>24</v>
      </c>
      <c r="H1702" s="9" t="s">
        <v>17</v>
      </c>
      <c r="I1702" s="9" t="s">
        <v>20</v>
      </c>
      <c r="J1702" s="10"/>
      <c r="K1702" s="7" t="s">
        <v>398</v>
      </c>
      <c r="L1702" s="7"/>
      <c r="M1702" s="7"/>
      <c r="N1702" s="7" t="str">
        <f>IFERROR(__xludf.DUMMYFUNCTION("""COMPUTED_VALUE"""),"Sebastián Cáceres|46018")</f>
        <v>Sebastián Cáceres|46018</v>
      </c>
      <c r="O1702" s="7">
        <f>IFERROR(__xludf.DUMMYFUNCTION("""COMPUTED_VALUE"""),2.0)</f>
        <v>2</v>
      </c>
    </row>
    <row r="1703" ht="22.5" hidden="1" customHeight="1">
      <c r="A1703" s="8">
        <v>45890.355385567134</v>
      </c>
      <c r="B1703" s="9">
        <v>45890.0</v>
      </c>
      <c r="C1703" s="9" t="s">
        <v>31</v>
      </c>
      <c r="D1703" s="9" t="s">
        <v>249</v>
      </c>
      <c r="E1703" s="9" t="s">
        <v>17</v>
      </c>
      <c r="F1703" s="9" t="s">
        <v>17</v>
      </c>
      <c r="G1703" s="9" t="s">
        <v>19</v>
      </c>
      <c r="H1703" s="9" t="s">
        <v>17</v>
      </c>
      <c r="I1703" s="9" t="s">
        <v>20</v>
      </c>
      <c r="J1703" s="10"/>
      <c r="K1703" s="7" t="s">
        <v>398</v>
      </c>
      <c r="L1703" s="7"/>
      <c r="M1703" s="7"/>
      <c r="N1703" s="7" t="str">
        <f>IFERROR(__xludf.DUMMYFUNCTION("""COMPUTED_VALUE"""),"Luis Malagon|46018")</f>
        <v>Luis Malagon|46018</v>
      </c>
      <c r="O1703" s="7">
        <f>IFERROR(__xludf.DUMMYFUNCTION("""COMPUTED_VALUE"""),4.0)</f>
        <v>4</v>
      </c>
    </row>
    <row r="1704" ht="22.5" hidden="1" customHeight="1">
      <c r="A1704" s="8">
        <v>45890.35850634259</v>
      </c>
      <c r="B1704" s="9">
        <v>45890.0</v>
      </c>
      <c r="C1704" s="9" t="s">
        <v>31</v>
      </c>
      <c r="D1704" s="9" t="s">
        <v>177</v>
      </c>
      <c r="E1704" s="9" t="s">
        <v>17</v>
      </c>
      <c r="F1704" s="9" t="s">
        <v>17</v>
      </c>
      <c r="G1704" s="9" t="s">
        <v>24</v>
      </c>
      <c r="H1704" s="9" t="s">
        <v>17</v>
      </c>
      <c r="I1704" s="9" t="s">
        <v>20</v>
      </c>
      <c r="J1704" s="10"/>
      <c r="K1704" s="7" t="s">
        <v>398</v>
      </c>
      <c r="L1704" s="7"/>
      <c r="M1704" s="7"/>
      <c r="N1704" s="7" t="str">
        <f>IFERROR(__xludf.DUMMYFUNCTION("""COMPUTED_VALUE"""),"Miguel Vázquez|46018")</f>
        <v>Miguel Vázquez|46018</v>
      </c>
      <c r="O1704" s="7">
        <f>IFERROR(__xludf.DUMMYFUNCTION("""COMPUTED_VALUE"""),2.0)</f>
        <v>2</v>
      </c>
    </row>
    <row r="1705" ht="22.5" hidden="1" customHeight="1">
      <c r="A1705" s="8">
        <v>45890.36606292824</v>
      </c>
      <c r="B1705" s="9">
        <v>45890.0</v>
      </c>
      <c r="C1705" s="9" t="s">
        <v>31</v>
      </c>
      <c r="D1705" s="9" t="s">
        <v>395</v>
      </c>
      <c r="E1705" s="9" t="s">
        <v>17</v>
      </c>
      <c r="F1705" s="9" t="s">
        <v>17</v>
      </c>
      <c r="G1705" s="9" t="s">
        <v>24</v>
      </c>
      <c r="H1705" s="9" t="s">
        <v>22</v>
      </c>
      <c r="I1705" s="9" t="s">
        <v>20</v>
      </c>
      <c r="J1705" s="10"/>
      <c r="K1705" s="7" t="s">
        <v>398</v>
      </c>
      <c r="L1705" s="7"/>
      <c r="M1705" s="7"/>
      <c r="N1705" s="7" t="str">
        <f>IFERROR(__xludf.DUMMYFUNCTION("""COMPUTED_VALUE"""),"Igor Lichnovsky|46018")</f>
        <v>Igor Lichnovsky|46018</v>
      </c>
      <c r="O1705" s="7">
        <f>IFERROR(__xludf.DUMMYFUNCTION("""COMPUTED_VALUE"""),3.0)</f>
        <v>3</v>
      </c>
    </row>
    <row r="1706" ht="22.5" hidden="1" customHeight="1">
      <c r="A1706" s="8">
        <v>45890.36631341436</v>
      </c>
      <c r="B1706" s="9">
        <v>45890.0</v>
      </c>
      <c r="C1706" s="9" t="s">
        <v>31</v>
      </c>
      <c r="D1706" s="9" t="s">
        <v>174</v>
      </c>
      <c r="E1706" s="9" t="s">
        <v>17</v>
      </c>
      <c r="F1706" s="9" t="s">
        <v>17</v>
      </c>
      <c r="G1706" s="9" t="s">
        <v>24</v>
      </c>
      <c r="H1706" s="9" t="s">
        <v>22</v>
      </c>
      <c r="I1706" s="9" t="s">
        <v>20</v>
      </c>
      <c r="J1706" s="10"/>
      <c r="K1706" s="7" t="s">
        <v>398</v>
      </c>
      <c r="L1706" s="7"/>
      <c r="M1706" s="7"/>
      <c r="N1706" s="7" t="str">
        <f>IFERROR(__xludf.DUMMYFUNCTION("""COMPUTED_VALUE"""),"Israel Reyes|46018")</f>
        <v>Israel Reyes|46018</v>
      </c>
      <c r="O1706" s="7">
        <f>IFERROR(__xludf.DUMMYFUNCTION("""COMPUTED_VALUE"""),5.0)</f>
        <v>5</v>
      </c>
    </row>
    <row r="1707" ht="22.5" hidden="1" customHeight="1">
      <c r="A1707" s="8">
        <v>45890.36648978009</v>
      </c>
      <c r="B1707" s="9">
        <v>45890.0</v>
      </c>
      <c r="C1707" s="9" t="s">
        <v>31</v>
      </c>
      <c r="D1707" s="9" t="s">
        <v>175</v>
      </c>
      <c r="E1707" s="9" t="s">
        <v>17</v>
      </c>
      <c r="F1707" s="9" t="s">
        <v>17</v>
      </c>
      <c r="G1707" s="9" t="s">
        <v>24</v>
      </c>
      <c r="H1707" s="9" t="s">
        <v>17</v>
      </c>
      <c r="I1707" s="9" t="s">
        <v>20</v>
      </c>
      <c r="J1707" s="10"/>
      <c r="K1707" s="7" t="s">
        <v>398</v>
      </c>
      <c r="L1707" s="7"/>
      <c r="M1707" s="7"/>
      <c r="N1707" s="7" t="str">
        <f>IFERROR(__xludf.DUMMYFUNCTION("""COMPUTED_VALUE"""),"Israel Reyes|46018")</f>
        <v>Israel Reyes|46018</v>
      </c>
      <c r="O1707" s="7">
        <f>IFERROR(__xludf.DUMMYFUNCTION("""COMPUTED_VALUE"""),6.0)</f>
        <v>6</v>
      </c>
    </row>
    <row r="1708" ht="22.5" hidden="1" customHeight="1">
      <c r="A1708" s="8">
        <v>45890.37116664352</v>
      </c>
      <c r="B1708" s="9">
        <v>45890.0</v>
      </c>
      <c r="C1708" s="9" t="s">
        <v>31</v>
      </c>
      <c r="D1708" s="9" t="s">
        <v>171</v>
      </c>
      <c r="E1708" s="9" t="s">
        <v>17</v>
      </c>
      <c r="F1708" s="9" t="s">
        <v>17</v>
      </c>
      <c r="G1708" s="9" t="s">
        <v>24</v>
      </c>
      <c r="H1708" s="9" t="s">
        <v>25</v>
      </c>
      <c r="I1708" s="9" t="s">
        <v>28</v>
      </c>
      <c r="J1708" s="10"/>
      <c r="K1708" s="7" t="s">
        <v>398</v>
      </c>
      <c r="L1708" s="7"/>
      <c r="M1708" s="7"/>
      <c r="N1708" s="7" t="str">
        <f>IFERROR(__xludf.DUMMYFUNCTION("""COMPUTED_VALUE"""),"Sebastián Cáceres|46018")</f>
        <v>Sebastián Cáceres|46018</v>
      </c>
      <c r="O1708" s="7">
        <f>IFERROR(__xludf.DUMMYFUNCTION("""COMPUTED_VALUE"""),4.0)</f>
        <v>4</v>
      </c>
    </row>
    <row r="1709" ht="22.5" hidden="1" customHeight="1">
      <c r="A1709" s="8">
        <v>45890.38008725694</v>
      </c>
      <c r="B1709" s="9">
        <v>45890.0</v>
      </c>
      <c r="C1709" s="9" t="s">
        <v>31</v>
      </c>
      <c r="D1709" s="9" t="s">
        <v>357</v>
      </c>
      <c r="E1709" s="9" t="s">
        <v>17</v>
      </c>
      <c r="F1709" s="9" t="s">
        <v>17</v>
      </c>
      <c r="G1709" s="9" t="s">
        <v>24</v>
      </c>
      <c r="H1709" s="9" t="s">
        <v>17</v>
      </c>
      <c r="I1709" s="9" t="s">
        <v>20</v>
      </c>
      <c r="J1709" s="10"/>
      <c r="K1709" s="7" t="s">
        <v>398</v>
      </c>
      <c r="L1709" s="7"/>
      <c r="M1709" s="7"/>
      <c r="N1709" s="7" t="str">
        <f>IFERROR(__xludf.DUMMYFUNCTION("""COMPUTED_VALUE"""),"Rodolfo Cota|46018")</f>
        <v>Rodolfo Cota|46018</v>
      </c>
      <c r="O1709" s="7">
        <f>IFERROR(__xludf.DUMMYFUNCTION("""COMPUTED_VALUE"""),2.0)</f>
        <v>2</v>
      </c>
    </row>
    <row r="1710" ht="22.5" hidden="1" customHeight="1">
      <c r="A1710" s="8">
        <v>45890.38025368056</v>
      </c>
      <c r="B1710" s="9">
        <v>45890.0</v>
      </c>
      <c r="C1710" s="9" t="s">
        <v>31</v>
      </c>
      <c r="D1710" s="9" t="s">
        <v>394</v>
      </c>
      <c r="E1710" s="9" t="s">
        <v>17</v>
      </c>
      <c r="F1710" s="9" t="s">
        <v>17</v>
      </c>
      <c r="G1710" s="9" t="s">
        <v>24</v>
      </c>
      <c r="H1710" s="9" t="s">
        <v>17</v>
      </c>
      <c r="I1710" s="9" t="s">
        <v>20</v>
      </c>
      <c r="J1710" s="10"/>
      <c r="K1710" s="7" t="s">
        <v>398</v>
      </c>
      <c r="L1710" s="7"/>
      <c r="M1710" s="7"/>
      <c r="N1710" s="7" t="str">
        <f>IFERROR(__xludf.DUMMYFUNCTION("""COMPUTED_VALUE"""),"Néstor Araujo|46018")</f>
        <v>Néstor Araujo|46018</v>
      </c>
      <c r="O1710" s="7">
        <f>IFERROR(__xludf.DUMMYFUNCTION("""COMPUTED_VALUE"""),3.0)</f>
        <v>3</v>
      </c>
    </row>
    <row r="1711" ht="22.5" hidden="1" customHeight="1">
      <c r="A1711" s="8">
        <v>45890.38040228009</v>
      </c>
      <c r="B1711" s="9">
        <v>45890.0</v>
      </c>
      <c r="C1711" s="9" t="s">
        <v>31</v>
      </c>
      <c r="D1711" s="9" t="s">
        <v>396</v>
      </c>
      <c r="E1711" s="9" t="s">
        <v>17</v>
      </c>
      <c r="F1711" s="9" t="s">
        <v>17</v>
      </c>
      <c r="G1711" s="9" t="s">
        <v>24</v>
      </c>
      <c r="H1711" s="9" t="s">
        <v>17</v>
      </c>
      <c r="I1711" s="9" t="s">
        <v>20</v>
      </c>
      <c r="J1711" s="10"/>
      <c r="K1711" s="7" t="s">
        <v>398</v>
      </c>
      <c r="L1711" s="7"/>
      <c r="M1711" s="7"/>
      <c r="N1711" s="7" t="str">
        <f>IFERROR(__xludf.DUMMYFUNCTION("""COMPUTED_VALUE"""),"Luis Malagon|46018")</f>
        <v>Luis Malagon|46018</v>
      </c>
      <c r="O1711" s="7">
        <f>IFERROR(__xludf.DUMMYFUNCTION("""COMPUTED_VALUE"""),3.0)</f>
        <v>3</v>
      </c>
    </row>
    <row r="1712" ht="22.5" hidden="1" customHeight="1">
      <c r="A1712" s="8">
        <v>45890.38062165509</v>
      </c>
      <c r="B1712" s="9">
        <v>45890.0</v>
      </c>
      <c r="C1712" s="9" t="s">
        <v>31</v>
      </c>
      <c r="D1712" s="9" t="s">
        <v>247</v>
      </c>
      <c r="E1712" s="9" t="s">
        <v>17</v>
      </c>
      <c r="F1712" s="9" t="s">
        <v>17</v>
      </c>
      <c r="G1712" s="9" t="s">
        <v>24</v>
      </c>
      <c r="H1712" s="9" t="s">
        <v>17</v>
      </c>
      <c r="I1712" s="9" t="s">
        <v>20</v>
      </c>
      <c r="J1712" s="10"/>
      <c r="K1712" s="7" t="s">
        <v>398</v>
      </c>
      <c r="L1712" s="7"/>
      <c r="M1712" s="7"/>
      <c r="N1712" s="7" t="str">
        <f>IFERROR(__xludf.DUMMYFUNCTION("""COMPUTED_VALUE"""),"Alan Cervantes|46018")</f>
        <v>Alan Cervantes|46018</v>
      </c>
      <c r="O1712" s="7">
        <f>IFERROR(__xludf.DUMMYFUNCTION("""COMPUTED_VALUE"""),6.0)</f>
        <v>6</v>
      </c>
    </row>
    <row r="1713" ht="22.5" hidden="1" customHeight="1">
      <c r="A1713" s="8">
        <v>45890.387725023145</v>
      </c>
      <c r="B1713" s="9">
        <v>45890.0</v>
      </c>
      <c r="C1713" s="9" t="s">
        <v>31</v>
      </c>
      <c r="D1713" s="9" t="s">
        <v>178</v>
      </c>
      <c r="E1713" s="9" t="s">
        <v>17</v>
      </c>
      <c r="F1713" s="9" t="s">
        <v>17</v>
      </c>
      <c r="G1713" s="9" t="s">
        <v>24</v>
      </c>
      <c r="H1713" s="9" t="s">
        <v>17</v>
      </c>
      <c r="I1713" s="9" t="s">
        <v>20</v>
      </c>
      <c r="J1713" s="10"/>
      <c r="K1713" s="7" t="s">
        <v>398</v>
      </c>
      <c r="L1713" s="7"/>
      <c r="M1713" s="7"/>
      <c r="N1713" s="7" t="str">
        <f>IFERROR(__xludf.DUMMYFUNCTION("""COMPUTED_VALUE"""),"Isaías Violante|46018")</f>
        <v>Isaías Violante|46018</v>
      </c>
      <c r="O1713" s="7">
        <f>IFERROR(__xludf.DUMMYFUNCTION("""COMPUTED_VALUE"""),3.0)</f>
        <v>3</v>
      </c>
    </row>
    <row r="1714" ht="22.5" hidden="1" customHeight="1">
      <c r="A1714" s="8">
        <v>45890.38841097223</v>
      </c>
      <c r="B1714" s="9">
        <v>45890.0</v>
      </c>
      <c r="C1714" s="9" t="s">
        <v>31</v>
      </c>
      <c r="D1714" s="9" t="s">
        <v>259</v>
      </c>
      <c r="E1714" s="9" t="s">
        <v>17</v>
      </c>
      <c r="F1714" s="9" t="s">
        <v>18</v>
      </c>
      <c r="G1714" s="9" t="s">
        <v>19</v>
      </c>
      <c r="H1714" s="9" t="s">
        <v>25</v>
      </c>
      <c r="I1714" s="9" t="s">
        <v>67</v>
      </c>
      <c r="J1714" s="10"/>
      <c r="K1714" s="7" t="s">
        <v>398</v>
      </c>
      <c r="L1714" s="7"/>
      <c r="M1714" s="7"/>
      <c r="N1714" s="7" t="str">
        <f>IFERROR(__xludf.DUMMYFUNCTION("""COMPUTED_VALUE"""),"Patricio Salas|46018")</f>
        <v>Patricio Salas|46018</v>
      </c>
      <c r="O1714" s="7">
        <f>IFERROR(__xludf.DUMMYFUNCTION("""COMPUTED_VALUE"""),7.0)</f>
        <v>7</v>
      </c>
    </row>
    <row r="1715" ht="22.5" hidden="1" customHeight="1">
      <c r="A1715" s="8">
        <v>45890.38864520833</v>
      </c>
      <c r="B1715" s="9">
        <v>45890.0</v>
      </c>
      <c r="C1715" s="9" t="s">
        <v>31</v>
      </c>
      <c r="D1715" s="9" t="s">
        <v>223</v>
      </c>
      <c r="E1715" s="9" t="s">
        <v>17</v>
      </c>
      <c r="F1715" s="9" t="s">
        <v>17</v>
      </c>
      <c r="G1715" s="9" t="s">
        <v>24</v>
      </c>
      <c r="H1715" s="9" t="s">
        <v>25</v>
      </c>
      <c r="I1715" s="9" t="s">
        <v>137</v>
      </c>
      <c r="J1715" s="10"/>
      <c r="K1715" s="7" t="s">
        <v>398</v>
      </c>
      <c r="L1715" s="7"/>
      <c r="M1715" s="7"/>
      <c r="N1715" s="7" t="str">
        <f>IFERROR(__xludf.DUMMYFUNCTION("""COMPUTED_VALUE"""),"Erick Sánchez|46018")</f>
        <v>Erick Sánchez|46018</v>
      </c>
      <c r="O1715" s="7">
        <f>IFERROR(__xludf.DUMMYFUNCTION("""COMPUTED_VALUE"""),6.0)</f>
        <v>6</v>
      </c>
    </row>
    <row r="1716" ht="22.5" hidden="1" customHeight="1">
      <c r="A1716" s="8">
        <v>45890.390869236115</v>
      </c>
      <c r="B1716" s="9">
        <v>45890.0</v>
      </c>
      <c r="C1716" s="9" t="s">
        <v>31</v>
      </c>
      <c r="D1716" s="9" t="s">
        <v>168</v>
      </c>
      <c r="E1716" s="9" t="s">
        <v>17</v>
      </c>
      <c r="F1716" s="9" t="s">
        <v>17</v>
      </c>
      <c r="G1716" s="9" t="s">
        <v>19</v>
      </c>
      <c r="H1716" s="9" t="s">
        <v>25</v>
      </c>
      <c r="I1716" s="9" t="s">
        <v>207</v>
      </c>
      <c r="J1716" s="10"/>
      <c r="K1716" s="7" t="s">
        <v>398</v>
      </c>
      <c r="L1716" s="7"/>
      <c r="M1716" s="7"/>
      <c r="N1716" s="7" t="str">
        <f>IFERROR(__xludf.DUMMYFUNCTION("""COMPUTED_VALUE"""),"José Raúl Zuñiga|46018")</f>
        <v>José Raúl Zuñiga|46018</v>
      </c>
      <c r="O1716" s="7">
        <f>IFERROR(__xludf.DUMMYFUNCTION("""COMPUTED_VALUE"""),4.0)</f>
        <v>4</v>
      </c>
    </row>
    <row r="1717" ht="22.5" hidden="1" customHeight="1">
      <c r="A1717" s="8">
        <v>45890.392223726856</v>
      </c>
      <c r="B1717" s="9">
        <v>45890.0</v>
      </c>
      <c r="C1717" s="9" t="s">
        <v>31</v>
      </c>
      <c r="D1717" s="9" t="s">
        <v>367</v>
      </c>
      <c r="E1717" s="9" t="s">
        <v>17</v>
      </c>
      <c r="F1717" s="9" t="s">
        <v>17</v>
      </c>
      <c r="G1717" s="9" t="s">
        <v>24</v>
      </c>
      <c r="H1717" s="9" t="s">
        <v>25</v>
      </c>
      <c r="I1717" s="9" t="s">
        <v>20</v>
      </c>
      <c r="J1717" s="10"/>
      <c r="K1717" s="7" t="s">
        <v>398</v>
      </c>
      <c r="L1717" s="7"/>
      <c r="M1717" s="7"/>
      <c r="N1717" s="7" t="str">
        <f>IFERROR(__xludf.DUMMYFUNCTION("""COMPUTED_VALUE"""),"Alexis Gutiérrez|46018")</f>
        <v>Alexis Gutiérrez|46018</v>
      </c>
      <c r="O1717" s="7">
        <f>IFERROR(__xludf.DUMMYFUNCTION("""COMPUTED_VALUE"""),4.0)</f>
        <v>4</v>
      </c>
    </row>
    <row r="1718" ht="22.5" hidden="1" customHeight="1">
      <c r="A1718" s="8">
        <v>45890.392384004634</v>
      </c>
      <c r="B1718" s="9">
        <v>45890.0</v>
      </c>
      <c r="C1718" s="9" t="s">
        <v>31</v>
      </c>
      <c r="D1718" s="9" t="s">
        <v>397</v>
      </c>
      <c r="E1718" s="9" t="s">
        <v>17</v>
      </c>
      <c r="F1718" s="9" t="s">
        <v>17</v>
      </c>
      <c r="G1718" s="9" t="s">
        <v>24</v>
      </c>
      <c r="H1718" s="9" t="s">
        <v>22</v>
      </c>
      <c r="I1718" s="9" t="s">
        <v>20</v>
      </c>
      <c r="J1718" s="10"/>
      <c r="K1718" s="1" t="s">
        <v>398</v>
      </c>
      <c r="L1718" s="7"/>
      <c r="M1718" s="7"/>
      <c r="N1718" s="7" t="str">
        <f>IFERROR(__xludf.DUMMYFUNCTION("""COMPUTED_VALUE"""),"Miguel Vázquez|46018")</f>
        <v>Miguel Vázquez|46018</v>
      </c>
      <c r="O1718" s="7">
        <f>IFERROR(__xludf.DUMMYFUNCTION("""COMPUTED_VALUE"""),2.0)</f>
        <v>2</v>
      </c>
    </row>
    <row r="1719" ht="22.5" hidden="1" customHeight="1">
      <c r="A1719" s="8">
        <v>45890.394320277774</v>
      </c>
      <c r="B1719" s="9">
        <v>45890.0</v>
      </c>
      <c r="C1719" s="9" t="s">
        <v>31</v>
      </c>
      <c r="D1719" s="9" t="s">
        <v>350</v>
      </c>
      <c r="E1719" s="9" t="s">
        <v>17</v>
      </c>
      <c r="F1719" s="9" t="s">
        <v>17</v>
      </c>
      <c r="G1719" s="9" t="s">
        <v>19</v>
      </c>
      <c r="H1719" s="9" t="s">
        <v>22</v>
      </c>
      <c r="I1719" s="9" t="s">
        <v>20</v>
      </c>
      <c r="J1719" s="10"/>
      <c r="K1719" s="7" t="s">
        <v>398</v>
      </c>
      <c r="L1719" s="7"/>
      <c r="M1719" s="7"/>
      <c r="N1719" s="7" t="str">
        <f>IFERROR(__xludf.DUMMYFUNCTION("""COMPUTED_VALUE"""),"Allan Saint-Maximin|46018")</f>
        <v>Allan Saint-Maximin|46018</v>
      </c>
      <c r="O1719" s="7">
        <f>IFERROR(__xludf.DUMMYFUNCTION("""COMPUTED_VALUE"""),2.0)</f>
        <v>2</v>
      </c>
    </row>
    <row r="1720" ht="22.5" hidden="1" customHeight="1">
      <c r="A1720" s="8">
        <v>45890.40605950232</v>
      </c>
      <c r="B1720" s="9">
        <v>45890.0</v>
      </c>
      <c r="C1720" s="9" t="s">
        <v>31</v>
      </c>
      <c r="D1720" s="9" t="s">
        <v>335</v>
      </c>
      <c r="E1720" s="9" t="s">
        <v>17</v>
      </c>
      <c r="F1720" s="9" t="s">
        <v>17</v>
      </c>
      <c r="G1720" s="9" t="s">
        <v>24</v>
      </c>
      <c r="H1720" s="9" t="s">
        <v>17</v>
      </c>
      <c r="I1720" s="9" t="s">
        <v>20</v>
      </c>
      <c r="J1720" s="10"/>
      <c r="K1720" s="7" t="s">
        <v>398</v>
      </c>
      <c r="L1720" s="7"/>
      <c r="M1720" s="7"/>
      <c r="N1720" s="7" t="str">
        <f>IFERROR(__xludf.DUMMYFUNCTION("""COMPUTED_VALUE"""),"Ralph Orquín|46018")</f>
        <v>Ralph Orquín|46018</v>
      </c>
      <c r="O1720" s="7">
        <f>IFERROR(__xludf.DUMMYFUNCTION("""COMPUTED_VALUE"""),4.0)</f>
        <v>4</v>
      </c>
    </row>
    <row r="1721" ht="22.5" hidden="1" customHeight="1">
      <c r="A1721" s="8">
        <v>45890.40624414352</v>
      </c>
      <c r="B1721" s="9">
        <v>45890.0</v>
      </c>
      <c r="C1721" s="9" t="s">
        <v>31</v>
      </c>
      <c r="D1721" s="9" t="s">
        <v>361</v>
      </c>
      <c r="E1721" s="9" t="s">
        <v>17</v>
      </c>
      <c r="F1721" s="9" t="s">
        <v>17</v>
      </c>
      <c r="G1721" s="9" t="s">
        <v>24</v>
      </c>
      <c r="H1721" s="9" t="s">
        <v>17</v>
      </c>
      <c r="I1721" s="9" t="s">
        <v>20</v>
      </c>
      <c r="J1721" s="10"/>
      <c r="K1721" s="7" t="s">
        <v>398</v>
      </c>
      <c r="L1721" s="7"/>
      <c r="M1721" s="7"/>
      <c r="N1721" s="7" t="str">
        <f>IFERROR(__xludf.DUMMYFUNCTION("""COMPUTED_VALUE"""),"Cristian Borja|46018")</f>
        <v>Cristian Borja|46018</v>
      </c>
      <c r="O1721" s="7">
        <f>IFERROR(__xludf.DUMMYFUNCTION("""COMPUTED_VALUE"""),5.0)</f>
        <v>5</v>
      </c>
    </row>
    <row r="1722" ht="22.5" hidden="1" customHeight="1">
      <c r="A1722" s="8">
        <v>45891.35789832176</v>
      </c>
      <c r="B1722" s="9">
        <v>45891.0</v>
      </c>
      <c r="C1722" s="9" t="s">
        <v>48</v>
      </c>
      <c r="D1722" s="9" t="s">
        <v>257</v>
      </c>
      <c r="E1722" s="9" t="s">
        <v>17</v>
      </c>
      <c r="F1722" s="9" t="s">
        <v>17</v>
      </c>
      <c r="G1722" s="9" t="s">
        <v>24</v>
      </c>
      <c r="H1722" s="9" t="s">
        <v>17</v>
      </c>
      <c r="I1722" s="9" t="s">
        <v>20</v>
      </c>
      <c r="J1722" s="10"/>
      <c r="K1722" s="7" t="s">
        <v>398</v>
      </c>
      <c r="L1722" s="7"/>
      <c r="M1722" s="7"/>
      <c r="N1722" s="7" t="str">
        <f>IFERROR(__xludf.DUMMYFUNCTION("""COMPUTED_VALUE"""),"Alejando Zendejas|46018")</f>
        <v>Alejando Zendejas|46018</v>
      </c>
      <c r="O1722" s="7">
        <f>IFERROR(__xludf.DUMMYFUNCTION("""COMPUTED_VALUE"""),4.0)</f>
        <v>4</v>
      </c>
    </row>
    <row r="1723" ht="22.5" hidden="1" customHeight="1">
      <c r="A1723" s="8">
        <v>45891.35870439815</v>
      </c>
      <c r="B1723" s="9">
        <v>45891.0</v>
      </c>
      <c r="C1723" s="9" t="s">
        <v>48</v>
      </c>
      <c r="D1723" s="9" t="s">
        <v>223</v>
      </c>
      <c r="E1723" s="9" t="s">
        <v>17</v>
      </c>
      <c r="F1723" s="9" t="s">
        <v>17</v>
      </c>
      <c r="G1723" s="9" t="s">
        <v>19</v>
      </c>
      <c r="H1723" s="9" t="s">
        <v>25</v>
      </c>
      <c r="I1723" s="9" t="s">
        <v>137</v>
      </c>
      <c r="J1723" s="10"/>
      <c r="K1723" s="7" t="s">
        <v>398</v>
      </c>
      <c r="L1723" s="7"/>
      <c r="M1723" s="7"/>
      <c r="N1723" s="7" t="str">
        <f>IFERROR(__xludf.DUMMYFUNCTION("""COMPUTED_VALUE"""),"Álvaro Fidalgo|46018")</f>
        <v>Álvaro Fidalgo|46018</v>
      </c>
      <c r="O1723" s="7">
        <f>IFERROR(__xludf.DUMMYFUNCTION("""COMPUTED_VALUE"""),5.0)</f>
        <v>5</v>
      </c>
    </row>
    <row r="1724" ht="22.5" hidden="1" customHeight="1">
      <c r="A1724" s="8">
        <v>45891.36651678241</v>
      </c>
      <c r="B1724" s="9">
        <v>45891.0</v>
      </c>
      <c r="C1724" s="9" t="s">
        <v>48</v>
      </c>
      <c r="D1724" s="9" t="s">
        <v>357</v>
      </c>
      <c r="E1724" s="9" t="s">
        <v>17</v>
      </c>
      <c r="F1724" s="9" t="s">
        <v>17</v>
      </c>
      <c r="G1724" s="9" t="s">
        <v>24</v>
      </c>
      <c r="H1724" s="9" t="s">
        <v>17</v>
      </c>
      <c r="I1724" s="9" t="s">
        <v>20</v>
      </c>
      <c r="J1724" s="10"/>
      <c r="K1724" s="7" t="s">
        <v>398</v>
      </c>
      <c r="L1724" s="7"/>
      <c r="M1724" s="7"/>
      <c r="N1724" s="7" t="str">
        <f>IFERROR(__xludf.DUMMYFUNCTION("""COMPUTED_VALUE"""),"Santiago Naveda|46018")</f>
        <v>Santiago Naveda|46018</v>
      </c>
      <c r="O1724" s="7">
        <f>IFERROR(__xludf.DUMMYFUNCTION("""COMPUTED_VALUE"""),5.0)</f>
        <v>5</v>
      </c>
    </row>
    <row r="1725" ht="22.5" hidden="1" customHeight="1">
      <c r="A1725" s="8">
        <v>45891.366746377316</v>
      </c>
      <c r="B1725" s="9">
        <v>45891.0</v>
      </c>
      <c r="C1725" s="9" t="s">
        <v>48</v>
      </c>
      <c r="D1725" s="9" t="s">
        <v>171</v>
      </c>
      <c r="E1725" s="9" t="s">
        <v>17</v>
      </c>
      <c r="F1725" s="9" t="s">
        <v>17</v>
      </c>
      <c r="G1725" s="9" t="s">
        <v>24</v>
      </c>
      <c r="H1725" s="9" t="s">
        <v>17</v>
      </c>
      <c r="I1725" s="9" t="s">
        <v>20</v>
      </c>
      <c r="J1725" s="10"/>
      <c r="K1725" s="7" t="s">
        <v>398</v>
      </c>
      <c r="L1725" s="7"/>
      <c r="M1725" s="7"/>
      <c r="N1725" s="7" t="str">
        <f>IFERROR(__xludf.DUMMYFUNCTION("""COMPUTED_VALUE"""),"Igor Lichnovsky|46018")</f>
        <v>Igor Lichnovsky|46018</v>
      </c>
      <c r="O1725" s="7">
        <f>IFERROR(__xludf.DUMMYFUNCTION("""COMPUTED_VALUE"""),3.0)</f>
        <v>3</v>
      </c>
    </row>
    <row r="1726" ht="22.5" hidden="1" customHeight="1">
      <c r="A1726" s="8">
        <v>45891.367821064814</v>
      </c>
      <c r="B1726" s="9">
        <v>45891.0</v>
      </c>
      <c r="C1726" s="9" t="s">
        <v>48</v>
      </c>
      <c r="D1726" s="9" t="s">
        <v>178</v>
      </c>
      <c r="E1726" s="9" t="s">
        <v>17</v>
      </c>
      <c r="F1726" s="9" t="s">
        <v>17</v>
      </c>
      <c r="G1726" s="9" t="s">
        <v>24</v>
      </c>
      <c r="H1726" s="9" t="s">
        <v>22</v>
      </c>
      <c r="I1726" s="9" t="s">
        <v>20</v>
      </c>
      <c r="J1726" s="10"/>
      <c r="K1726" s="7" t="s">
        <v>398</v>
      </c>
      <c r="L1726" s="7"/>
      <c r="M1726" s="7"/>
      <c r="N1726" s="7" t="str">
        <f>IFERROR(__xludf.DUMMYFUNCTION("""COMPUTED_VALUE"""),"Víctor Dávila|46018")</f>
        <v>Víctor Dávila|46018</v>
      </c>
      <c r="O1726" s="7">
        <f>IFERROR(__xludf.DUMMYFUNCTION("""COMPUTED_VALUE"""),6.0)</f>
        <v>6</v>
      </c>
    </row>
    <row r="1727" ht="22.5" hidden="1" customHeight="1">
      <c r="A1727" s="8">
        <v>45891.36841505787</v>
      </c>
      <c r="B1727" s="9">
        <v>45891.0</v>
      </c>
      <c r="C1727" s="9" t="s">
        <v>48</v>
      </c>
      <c r="D1727" s="9" t="s">
        <v>258</v>
      </c>
      <c r="E1727" s="9" t="s">
        <v>17</v>
      </c>
      <c r="F1727" s="9" t="s">
        <v>17</v>
      </c>
      <c r="G1727" s="9" t="s">
        <v>24</v>
      </c>
      <c r="H1727" s="9" t="s">
        <v>25</v>
      </c>
      <c r="I1727" s="9" t="s">
        <v>173</v>
      </c>
      <c r="J1727" s="10"/>
      <c r="K1727" s="7" t="s">
        <v>398</v>
      </c>
      <c r="L1727" s="7"/>
      <c r="M1727" s="7"/>
      <c r="N1727" s="7" t="str">
        <f>IFERROR(__xludf.DUMMYFUNCTION("""COMPUTED_VALUE"""),"Israel Reyes|46019")</f>
        <v>Israel Reyes|46019</v>
      </c>
      <c r="O1727" s="7">
        <f>IFERROR(__xludf.DUMMYFUNCTION("""COMPUTED_VALUE"""),7.0)</f>
        <v>7</v>
      </c>
    </row>
    <row r="1728" ht="22.5" hidden="1" customHeight="1">
      <c r="A1728" s="8">
        <v>45891.36862865741</v>
      </c>
      <c r="B1728" s="9">
        <v>45891.0</v>
      </c>
      <c r="C1728" s="9" t="s">
        <v>48</v>
      </c>
      <c r="D1728" s="9" t="s">
        <v>280</v>
      </c>
      <c r="E1728" s="9" t="s">
        <v>17</v>
      </c>
      <c r="F1728" s="9" t="s">
        <v>17</v>
      </c>
      <c r="G1728" s="9" t="s">
        <v>24</v>
      </c>
      <c r="H1728" s="9" t="s">
        <v>17</v>
      </c>
      <c r="I1728" s="9" t="s">
        <v>20</v>
      </c>
      <c r="J1728" s="10"/>
      <c r="K1728" s="7" t="s">
        <v>398</v>
      </c>
      <c r="L1728" s="7"/>
      <c r="M1728" s="7"/>
      <c r="N1728" s="7" t="str">
        <f>IFERROR(__xludf.DUMMYFUNCTION("""COMPUTED_VALUE"""),"Sebastián Cáceres|46019")</f>
        <v>Sebastián Cáceres|46019</v>
      </c>
      <c r="O1728" s="7">
        <f>IFERROR(__xludf.DUMMYFUNCTION("""COMPUTED_VALUE"""),5.0)</f>
        <v>5</v>
      </c>
    </row>
    <row r="1729" ht="22.5" hidden="1" customHeight="1">
      <c r="A1729" s="8">
        <v>45891.36882530093</v>
      </c>
      <c r="B1729" s="9">
        <v>45891.0</v>
      </c>
      <c r="C1729" s="9" t="s">
        <v>48</v>
      </c>
      <c r="D1729" s="9" t="s">
        <v>395</v>
      </c>
      <c r="E1729" s="9" t="s">
        <v>17</v>
      </c>
      <c r="F1729" s="9" t="s">
        <v>17</v>
      </c>
      <c r="G1729" s="9" t="s">
        <v>24</v>
      </c>
      <c r="H1729" s="9" t="s">
        <v>17</v>
      </c>
      <c r="I1729" s="9" t="s">
        <v>20</v>
      </c>
      <c r="J1729" s="10"/>
      <c r="K1729" s="7" t="s">
        <v>398</v>
      </c>
      <c r="L1729" s="7"/>
      <c r="M1729" s="7"/>
      <c r="N1729" s="7" t="str">
        <f>IFERROR(__xludf.DUMMYFUNCTION("""COMPUTED_VALUE"""),"Isaías Violante|46019")</f>
        <v>Isaías Violante|46019</v>
      </c>
      <c r="O1729" s="7">
        <f>IFERROR(__xludf.DUMMYFUNCTION("""COMPUTED_VALUE"""),9.0)</f>
        <v>9</v>
      </c>
    </row>
    <row r="1730" ht="22.5" hidden="1" customHeight="1">
      <c r="A1730" s="8">
        <v>45891.368996226855</v>
      </c>
      <c r="B1730" s="9">
        <v>45891.0</v>
      </c>
      <c r="C1730" s="9" t="s">
        <v>48</v>
      </c>
      <c r="D1730" s="9" t="s">
        <v>350</v>
      </c>
      <c r="E1730" s="9" t="s">
        <v>17</v>
      </c>
      <c r="F1730" s="9" t="s">
        <v>17</v>
      </c>
      <c r="G1730" s="9" t="s">
        <v>19</v>
      </c>
      <c r="H1730" s="9" t="s">
        <v>17</v>
      </c>
      <c r="I1730" s="9" t="s">
        <v>20</v>
      </c>
      <c r="J1730" s="10"/>
      <c r="K1730" s="7" t="s">
        <v>398</v>
      </c>
      <c r="L1730" s="7"/>
      <c r="M1730" s="7"/>
      <c r="N1730" s="7" t="str">
        <f>IFERROR(__xludf.DUMMYFUNCTION("""COMPUTED_VALUE"""),"Miguel Vázquez|46019")</f>
        <v>Miguel Vázquez|46019</v>
      </c>
      <c r="O1730" s="7">
        <f>IFERROR(__xludf.DUMMYFUNCTION("""COMPUTED_VALUE"""),3.0)</f>
        <v>3</v>
      </c>
    </row>
    <row r="1731" ht="22.5" hidden="1" customHeight="1">
      <c r="A1731" s="8">
        <v>45891.36925108796</v>
      </c>
      <c r="B1731" s="9">
        <v>45891.0</v>
      </c>
      <c r="C1731" s="9" t="s">
        <v>48</v>
      </c>
      <c r="D1731" s="9" t="s">
        <v>394</v>
      </c>
      <c r="E1731" s="9" t="s">
        <v>17</v>
      </c>
      <c r="F1731" s="9" t="s">
        <v>17</v>
      </c>
      <c r="G1731" s="9" t="s">
        <v>24</v>
      </c>
      <c r="H1731" s="9" t="s">
        <v>17</v>
      </c>
      <c r="I1731" s="9" t="s">
        <v>20</v>
      </c>
      <c r="J1731" s="10"/>
      <c r="K1731" s="7" t="s">
        <v>398</v>
      </c>
      <c r="L1731" s="7"/>
      <c r="M1731" s="7"/>
      <c r="N1731" s="7" t="str">
        <f>IFERROR(__xludf.DUMMYFUNCTION("""COMPUTED_VALUE"""),"Alan Cervantes|46019")</f>
        <v>Alan Cervantes|46019</v>
      </c>
      <c r="O1731" s="7">
        <f>IFERROR(__xludf.DUMMYFUNCTION("""COMPUTED_VALUE"""),6.0)</f>
        <v>6</v>
      </c>
    </row>
    <row r="1732" ht="22.5" hidden="1" customHeight="1">
      <c r="A1732" s="8">
        <v>45891.3725397338</v>
      </c>
      <c r="B1732" s="9">
        <v>45891.0</v>
      </c>
      <c r="C1732" s="9" t="s">
        <v>48</v>
      </c>
      <c r="D1732" s="9" t="s">
        <v>361</v>
      </c>
      <c r="E1732" s="9" t="s">
        <v>17</v>
      </c>
      <c r="F1732" s="9" t="s">
        <v>17</v>
      </c>
      <c r="G1732" s="9" t="s">
        <v>24</v>
      </c>
      <c r="H1732" s="9" t="s">
        <v>17</v>
      </c>
      <c r="I1732" s="9" t="s">
        <v>20</v>
      </c>
      <c r="J1732" s="10"/>
      <c r="K1732" s="7" t="s">
        <v>398</v>
      </c>
      <c r="L1732" s="7"/>
      <c r="M1732" s="7"/>
      <c r="N1732" s="7" t="str">
        <f>IFERROR(__xludf.DUMMYFUNCTION("""COMPUTED_VALUE"""),"Patricio Salas|46019")</f>
        <v>Patricio Salas|46019</v>
      </c>
      <c r="O1732" s="7">
        <f>IFERROR(__xludf.DUMMYFUNCTION("""COMPUTED_VALUE"""),6.0)</f>
        <v>6</v>
      </c>
    </row>
    <row r="1733" ht="22.5" hidden="1" customHeight="1">
      <c r="A1733" s="8">
        <v>45891.37273321759</v>
      </c>
      <c r="B1733" s="9">
        <v>45891.0</v>
      </c>
      <c r="C1733" s="9" t="s">
        <v>48</v>
      </c>
      <c r="D1733" s="9" t="s">
        <v>177</v>
      </c>
      <c r="E1733" s="9" t="s">
        <v>17</v>
      </c>
      <c r="F1733" s="9" t="s">
        <v>17</v>
      </c>
      <c r="G1733" s="9" t="s">
        <v>24</v>
      </c>
      <c r="H1733" s="9" t="s">
        <v>17</v>
      </c>
      <c r="I1733" s="9" t="s">
        <v>20</v>
      </c>
      <c r="J1733" s="10"/>
      <c r="K1733" s="7" t="s">
        <v>398</v>
      </c>
      <c r="L1733" s="7"/>
      <c r="M1733" s="7"/>
      <c r="N1733" s="7" t="str">
        <f>IFERROR(__xludf.DUMMYFUNCTION("""COMPUTED_VALUE"""),"Alejando Zendejas|46019")</f>
        <v>Alejando Zendejas|46019</v>
      </c>
      <c r="O1733" s="7">
        <f>IFERROR(__xludf.DUMMYFUNCTION("""COMPUTED_VALUE"""),4.0)</f>
        <v>4</v>
      </c>
    </row>
    <row r="1734" ht="22.5" hidden="1" customHeight="1">
      <c r="A1734" s="8">
        <v>45891.373854826394</v>
      </c>
      <c r="B1734" s="9">
        <v>45891.0</v>
      </c>
      <c r="C1734" s="9" t="s">
        <v>48</v>
      </c>
      <c r="D1734" s="9" t="s">
        <v>247</v>
      </c>
      <c r="E1734" s="9" t="s">
        <v>17</v>
      </c>
      <c r="F1734" s="9" t="s">
        <v>17</v>
      </c>
      <c r="G1734" s="9" t="s">
        <v>24</v>
      </c>
      <c r="H1734" s="9" t="s">
        <v>17</v>
      </c>
      <c r="I1734" s="9" t="s">
        <v>20</v>
      </c>
      <c r="J1734" s="10"/>
      <c r="K1734" s="7" t="s">
        <v>398</v>
      </c>
      <c r="L1734" s="7"/>
      <c r="M1734" s="7"/>
      <c r="N1734" s="7" t="str">
        <f>IFERROR(__xludf.DUMMYFUNCTION("""COMPUTED_VALUE"""),"José Raúl Zuñiga|46019")</f>
        <v>José Raúl Zuñiga|46019</v>
      </c>
      <c r="O1734" s="7">
        <f>IFERROR(__xludf.DUMMYFUNCTION("""COMPUTED_VALUE"""),3.0)</f>
        <v>3</v>
      </c>
    </row>
    <row r="1735" ht="22.5" hidden="1" customHeight="1">
      <c r="A1735" s="8">
        <v>45891.37664133102</v>
      </c>
      <c r="B1735" s="9">
        <v>45891.0</v>
      </c>
      <c r="C1735" s="9" t="s">
        <v>48</v>
      </c>
      <c r="D1735" s="9" t="s">
        <v>210</v>
      </c>
      <c r="E1735" s="9" t="s">
        <v>17</v>
      </c>
      <c r="F1735" s="9" t="s">
        <v>43</v>
      </c>
      <c r="G1735" s="9" t="s">
        <v>24</v>
      </c>
      <c r="H1735" s="9" t="s">
        <v>22</v>
      </c>
      <c r="I1735" s="9" t="s">
        <v>20</v>
      </c>
      <c r="J1735" s="10"/>
      <c r="K1735" s="7" t="s">
        <v>398</v>
      </c>
      <c r="L1735" s="7"/>
      <c r="M1735" s="7"/>
      <c r="N1735" s="7" t="str">
        <f>IFERROR(__xludf.DUMMYFUNCTION("""COMPUTED_VALUE"""),"Ralph Orquín|46019")</f>
        <v>Ralph Orquín|46019</v>
      </c>
      <c r="O1735" s="7">
        <f>IFERROR(__xludf.DUMMYFUNCTION("""COMPUTED_VALUE"""),5.0)</f>
        <v>5</v>
      </c>
    </row>
    <row r="1736" ht="22.5" hidden="1" customHeight="1">
      <c r="A1736" s="8">
        <v>45891.37725924769</v>
      </c>
      <c r="B1736" s="9">
        <v>45891.0</v>
      </c>
      <c r="C1736" s="9" t="s">
        <v>48</v>
      </c>
      <c r="D1736" s="9" t="s">
        <v>259</v>
      </c>
      <c r="E1736" s="9" t="s">
        <v>17</v>
      </c>
      <c r="F1736" s="9" t="s">
        <v>43</v>
      </c>
      <c r="G1736" s="9" t="s">
        <v>19</v>
      </c>
      <c r="H1736" s="9" t="s">
        <v>17</v>
      </c>
      <c r="I1736" s="9" t="s">
        <v>20</v>
      </c>
      <c r="J1736" s="10"/>
      <c r="K1736" s="7" t="s">
        <v>398</v>
      </c>
      <c r="L1736" s="7"/>
      <c r="M1736" s="7"/>
      <c r="N1736" s="7" t="str">
        <f>IFERROR(__xludf.DUMMYFUNCTION("""COMPUTED_VALUE"""),"Erick Sánchez|46019")</f>
        <v>Erick Sánchez|46019</v>
      </c>
      <c r="O1736" s="7">
        <f>IFERROR(__xludf.DUMMYFUNCTION("""COMPUTED_VALUE"""),7.0)</f>
        <v>7</v>
      </c>
    </row>
    <row r="1737" ht="22.5" hidden="1" customHeight="1">
      <c r="A1737" s="8">
        <v>45891.37754451389</v>
      </c>
      <c r="B1737" s="9">
        <v>45891.0</v>
      </c>
      <c r="C1737" s="9" t="s">
        <v>48</v>
      </c>
      <c r="D1737" s="9" t="s">
        <v>175</v>
      </c>
      <c r="E1737" s="9" t="s">
        <v>17</v>
      </c>
      <c r="F1737" s="9" t="s">
        <v>17</v>
      </c>
      <c r="G1737" s="9" t="s">
        <v>24</v>
      </c>
      <c r="H1737" s="9" t="s">
        <v>17</v>
      </c>
      <c r="I1737" s="9" t="s">
        <v>20</v>
      </c>
      <c r="J1737" s="10"/>
      <c r="K1737" s="7" t="s">
        <v>398</v>
      </c>
      <c r="L1737" s="7"/>
      <c r="M1737" s="7"/>
      <c r="N1737" s="7" t="str">
        <f>IFERROR(__xludf.DUMMYFUNCTION("""COMPUTED_VALUE"""),"Kevin Álvarez|46019")</f>
        <v>Kevin Álvarez|46019</v>
      </c>
      <c r="O1737" s="7">
        <f>IFERROR(__xludf.DUMMYFUNCTION("""COMPUTED_VALUE"""),6.0)</f>
        <v>6</v>
      </c>
    </row>
    <row r="1738" ht="22.5" hidden="1" customHeight="1">
      <c r="A1738" s="8">
        <v>45891.37925225694</v>
      </c>
      <c r="B1738" s="9">
        <v>45891.0</v>
      </c>
      <c r="C1738" s="9" t="s">
        <v>48</v>
      </c>
      <c r="D1738" s="9" t="s">
        <v>393</v>
      </c>
      <c r="E1738" s="9" t="s">
        <v>17</v>
      </c>
      <c r="F1738" s="9" t="s">
        <v>18</v>
      </c>
      <c r="G1738" s="9" t="s">
        <v>24</v>
      </c>
      <c r="H1738" s="9" t="s">
        <v>17</v>
      </c>
      <c r="I1738" s="9" t="s">
        <v>20</v>
      </c>
      <c r="J1738" s="10"/>
      <c r="K1738" s="7" t="s">
        <v>398</v>
      </c>
      <c r="L1738" s="7"/>
      <c r="M1738" s="7"/>
      <c r="N1738" s="7" t="str">
        <f>IFERROR(__xludf.DUMMYFUNCTION("""COMPUTED_VALUE"""),"Alexis Gutiérrez|46019")</f>
        <v>Alexis Gutiérrez|46019</v>
      </c>
      <c r="O1738" s="7">
        <f>IFERROR(__xludf.DUMMYFUNCTION("""COMPUTED_VALUE"""),4.0)</f>
        <v>4</v>
      </c>
    </row>
    <row r="1739" ht="22.5" hidden="1" customHeight="1">
      <c r="A1739" s="8">
        <v>45891.38239840278</v>
      </c>
      <c r="B1739" s="9">
        <v>45891.0</v>
      </c>
      <c r="C1739" s="9" t="s">
        <v>48</v>
      </c>
      <c r="D1739" s="9" t="s">
        <v>396</v>
      </c>
      <c r="E1739" s="9" t="s">
        <v>17</v>
      </c>
      <c r="F1739" s="9" t="s">
        <v>17</v>
      </c>
      <c r="G1739" s="9" t="s">
        <v>24</v>
      </c>
      <c r="H1739" s="9" t="s">
        <v>17</v>
      </c>
      <c r="I1739" s="9" t="s">
        <v>20</v>
      </c>
      <c r="J1739" s="10"/>
      <c r="K1739" s="7" t="s">
        <v>398</v>
      </c>
      <c r="L1739" s="7"/>
      <c r="M1739" s="7"/>
      <c r="N1739" s="7" t="str">
        <f>IFERROR(__xludf.DUMMYFUNCTION("""COMPUTED_VALUE"""),"Santiago Naveda|46019")</f>
        <v>Santiago Naveda|46019</v>
      </c>
      <c r="O1739" s="7">
        <f>IFERROR(__xludf.DUMMYFUNCTION("""COMPUTED_VALUE"""),7.0)</f>
        <v>7</v>
      </c>
    </row>
    <row r="1740" ht="22.5" hidden="1" customHeight="1">
      <c r="A1740" s="8">
        <v>45891.383409201386</v>
      </c>
      <c r="B1740" s="9">
        <v>45891.0</v>
      </c>
      <c r="C1740" s="9" t="s">
        <v>48</v>
      </c>
      <c r="D1740" s="9" t="s">
        <v>335</v>
      </c>
      <c r="E1740" s="9" t="s">
        <v>17</v>
      </c>
      <c r="F1740" s="9" t="s">
        <v>17</v>
      </c>
      <c r="G1740" s="9" t="s">
        <v>19</v>
      </c>
      <c r="H1740" s="9" t="s">
        <v>22</v>
      </c>
      <c r="I1740" s="9" t="s">
        <v>20</v>
      </c>
      <c r="J1740" s="10"/>
      <c r="K1740" s="7" t="s">
        <v>398</v>
      </c>
      <c r="L1740" s="7"/>
      <c r="M1740" s="7"/>
      <c r="N1740" s="7" t="str">
        <f>IFERROR(__xludf.DUMMYFUNCTION("""COMPUTED_VALUE"""),"Néstor Araujo|46019")</f>
        <v>Néstor Araujo|46019</v>
      </c>
      <c r="O1740" s="7">
        <f>IFERROR(__xludf.DUMMYFUNCTION("""COMPUTED_VALUE"""),3.0)</f>
        <v>3</v>
      </c>
    </row>
    <row r="1741" ht="22.5" hidden="1" customHeight="1">
      <c r="A1741" s="8">
        <v>45891.389327048615</v>
      </c>
      <c r="B1741" s="9">
        <v>45891.0</v>
      </c>
      <c r="C1741" s="9" t="s">
        <v>48</v>
      </c>
      <c r="D1741" s="9" t="s">
        <v>367</v>
      </c>
      <c r="E1741" s="9" t="s">
        <v>17</v>
      </c>
      <c r="F1741" s="9" t="s">
        <v>17</v>
      </c>
      <c r="G1741" s="9" t="s">
        <v>19</v>
      </c>
      <c r="H1741" s="9" t="s">
        <v>17</v>
      </c>
      <c r="I1741" s="9" t="s">
        <v>20</v>
      </c>
      <c r="J1741" s="10"/>
      <c r="K1741" s="7" t="s">
        <v>398</v>
      </c>
      <c r="L1741" s="7"/>
      <c r="M1741" s="7"/>
      <c r="N1741" s="7" t="str">
        <f>IFERROR(__xludf.DUMMYFUNCTION("""COMPUTED_VALUE"""),"Rodolfo Cota|46019")</f>
        <v>Rodolfo Cota|46019</v>
      </c>
      <c r="O1741" s="7">
        <f>IFERROR(__xludf.DUMMYFUNCTION("""COMPUTED_VALUE"""),2.0)</f>
        <v>2</v>
      </c>
    </row>
    <row r="1742" ht="22.5" hidden="1" customHeight="1">
      <c r="A1742" s="8">
        <v>45891.3899556713</v>
      </c>
      <c r="B1742" s="9">
        <v>45891.0</v>
      </c>
      <c r="C1742" s="9" t="s">
        <v>48</v>
      </c>
      <c r="D1742" s="9" t="s">
        <v>397</v>
      </c>
      <c r="E1742" s="9" t="s">
        <v>17</v>
      </c>
      <c r="F1742" s="9" t="s">
        <v>17</v>
      </c>
      <c r="G1742" s="9" t="s">
        <v>24</v>
      </c>
      <c r="H1742" s="9" t="s">
        <v>17</v>
      </c>
      <c r="I1742" s="9" t="s">
        <v>20</v>
      </c>
      <c r="J1742" s="10"/>
      <c r="K1742" s="1" t="s">
        <v>398</v>
      </c>
      <c r="L1742" s="7"/>
      <c r="M1742" s="7"/>
      <c r="N1742" s="7" t="str">
        <f>IFERROR(__xludf.DUMMYFUNCTION("""COMPUTED_VALUE"""),"Rodrigo Aguirre|46019")</f>
        <v>Rodrigo Aguirre|46019</v>
      </c>
      <c r="O1742" s="7">
        <f>IFERROR(__xludf.DUMMYFUNCTION("""COMPUTED_VALUE"""),5.0)</f>
        <v>5</v>
      </c>
    </row>
    <row r="1743" ht="22.5" hidden="1" customHeight="1">
      <c r="A1743" s="8">
        <v>45891.40267585649</v>
      </c>
      <c r="B1743" s="9">
        <v>45891.0</v>
      </c>
      <c r="C1743" s="9" t="s">
        <v>48</v>
      </c>
      <c r="D1743" s="9" t="s">
        <v>174</v>
      </c>
      <c r="E1743" s="9" t="s">
        <v>17</v>
      </c>
      <c r="F1743" s="9" t="s">
        <v>17</v>
      </c>
      <c r="G1743" s="9" t="s">
        <v>24</v>
      </c>
      <c r="H1743" s="9" t="s">
        <v>17</v>
      </c>
      <c r="I1743" s="9" t="s">
        <v>20</v>
      </c>
      <c r="J1743" s="10"/>
      <c r="K1743" s="7" t="s">
        <v>398</v>
      </c>
      <c r="L1743" s="7"/>
      <c r="M1743" s="7"/>
      <c r="N1743" s="7" t="str">
        <f>IFERROR(__xludf.DUMMYFUNCTION("""COMPUTED_VALUE"""),"Igor Lichnovsky|46019")</f>
        <v>Igor Lichnovsky|46019</v>
      </c>
      <c r="O1743" s="7">
        <f>IFERROR(__xludf.DUMMYFUNCTION("""COMPUTED_VALUE"""),2.0)</f>
        <v>2</v>
      </c>
    </row>
    <row r="1744" ht="22.5" hidden="1" customHeight="1">
      <c r="A1744" s="8">
        <v>45891.40910425926</v>
      </c>
      <c r="B1744" s="9">
        <v>45891.0</v>
      </c>
      <c r="C1744" s="9" t="s">
        <v>48</v>
      </c>
      <c r="D1744" s="9" t="s">
        <v>168</v>
      </c>
      <c r="E1744" s="9" t="s">
        <v>17</v>
      </c>
      <c r="F1744" s="9" t="s">
        <v>17</v>
      </c>
      <c r="G1744" s="9" t="s">
        <v>24</v>
      </c>
      <c r="H1744" s="9" t="s">
        <v>25</v>
      </c>
      <c r="I1744" s="9" t="s">
        <v>207</v>
      </c>
      <c r="J1744" s="10"/>
      <c r="K1744" s="7" t="s">
        <v>398</v>
      </c>
      <c r="L1744" s="7"/>
      <c r="M1744" s="7"/>
      <c r="N1744" s="7" t="str">
        <f>IFERROR(__xludf.DUMMYFUNCTION("""COMPUTED_VALUE"""),"Víctor Dávila|46019")</f>
        <v>Víctor Dávila|46019</v>
      </c>
      <c r="O1744" s="7">
        <f>IFERROR(__xludf.DUMMYFUNCTION("""COMPUTED_VALUE"""),8.0)</f>
        <v>8</v>
      </c>
    </row>
    <row r="1745" ht="22.5" hidden="1" customHeight="1">
      <c r="A1745" s="8">
        <v>45892.331507615745</v>
      </c>
      <c r="B1745" s="9">
        <v>45892.0</v>
      </c>
      <c r="C1745" s="9" t="s">
        <v>53</v>
      </c>
      <c r="D1745" s="9" t="s">
        <v>258</v>
      </c>
      <c r="E1745" s="9" t="s">
        <v>17</v>
      </c>
      <c r="F1745" s="9" t="s">
        <v>17</v>
      </c>
      <c r="G1745" s="9" t="s">
        <v>24</v>
      </c>
      <c r="H1745" s="9" t="s">
        <v>17</v>
      </c>
      <c r="I1745" s="9" t="s">
        <v>20</v>
      </c>
      <c r="J1745" s="10"/>
      <c r="K1745" s="7" t="s">
        <v>398</v>
      </c>
      <c r="L1745" s="7"/>
      <c r="M1745" s="7"/>
      <c r="N1745" s="7" t="str">
        <f>IFERROR(__xludf.DUMMYFUNCTION("""COMPUTED_VALUE"""),"Álvaro Fidalgo|46020")</f>
        <v>Álvaro Fidalgo|46020</v>
      </c>
      <c r="O1745" s="7">
        <f>IFERROR(__xludf.DUMMYFUNCTION("""COMPUTED_VALUE"""),3.0)</f>
        <v>3</v>
      </c>
    </row>
    <row r="1746" ht="22.5" hidden="1" customHeight="1">
      <c r="A1746" s="8">
        <v>45892.33182148148</v>
      </c>
      <c r="B1746" s="9">
        <v>45892.0</v>
      </c>
      <c r="C1746" s="9" t="s">
        <v>53</v>
      </c>
      <c r="D1746" s="9" t="s">
        <v>393</v>
      </c>
      <c r="E1746" s="9" t="s">
        <v>17</v>
      </c>
      <c r="F1746" s="9" t="s">
        <v>17</v>
      </c>
      <c r="G1746" s="9" t="s">
        <v>24</v>
      </c>
      <c r="H1746" s="9" t="s">
        <v>17</v>
      </c>
      <c r="I1746" s="9" t="s">
        <v>20</v>
      </c>
      <c r="J1746" s="10"/>
      <c r="K1746" s="7" t="s">
        <v>398</v>
      </c>
      <c r="L1746" s="7"/>
      <c r="M1746" s="7"/>
      <c r="N1746" s="7" t="str">
        <f>IFERROR(__xludf.DUMMYFUNCTION("""COMPUTED_VALUE"""),"Ramón Juárez|46020")</f>
        <v>Ramón Juárez|46020</v>
      </c>
      <c r="O1746" s="7">
        <f>IFERROR(__xludf.DUMMYFUNCTION("""COMPUTED_VALUE"""),2.0)</f>
        <v>2</v>
      </c>
    </row>
    <row r="1747" ht="22.5" hidden="1" customHeight="1">
      <c r="A1747" s="8">
        <v>45892.33198210648</v>
      </c>
      <c r="B1747" s="9">
        <v>45892.0</v>
      </c>
      <c r="C1747" s="9" t="s">
        <v>53</v>
      </c>
      <c r="D1747" s="9" t="s">
        <v>177</v>
      </c>
      <c r="E1747" s="9" t="s">
        <v>17</v>
      </c>
      <c r="F1747" s="9" t="s">
        <v>17</v>
      </c>
      <c r="G1747" s="9" t="s">
        <v>24</v>
      </c>
      <c r="H1747" s="9" t="s">
        <v>17</v>
      </c>
      <c r="I1747" s="9" t="s">
        <v>20</v>
      </c>
      <c r="J1747" s="10"/>
      <c r="K1747" s="7" t="s">
        <v>398</v>
      </c>
      <c r="L1747" s="7"/>
      <c r="M1747" s="7"/>
      <c r="N1747" s="7" t="str">
        <f>IFERROR(__xludf.DUMMYFUNCTION("""COMPUTED_VALUE"""),"Santiago Naveda|46020")</f>
        <v>Santiago Naveda|46020</v>
      </c>
      <c r="O1747" s="7">
        <f>IFERROR(__xludf.DUMMYFUNCTION("""COMPUTED_VALUE"""),3.0)</f>
        <v>3</v>
      </c>
    </row>
    <row r="1748" ht="22.5" hidden="1" customHeight="1">
      <c r="A1748" s="8">
        <v>45892.338744803244</v>
      </c>
      <c r="B1748" s="9">
        <v>45892.0</v>
      </c>
      <c r="C1748" s="9" t="s">
        <v>53</v>
      </c>
      <c r="D1748" s="9" t="s">
        <v>257</v>
      </c>
      <c r="E1748" s="9" t="s">
        <v>17</v>
      </c>
      <c r="F1748" s="9" t="s">
        <v>17</v>
      </c>
      <c r="G1748" s="9" t="s">
        <v>24</v>
      </c>
      <c r="H1748" s="9" t="s">
        <v>22</v>
      </c>
      <c r="I1748" s="9" t="s">
        <v>20</v>
      </c>
      <c r="J1748" s="10"/>
      <c r="K1748" s="7" t="s">
        <v>398</v>
      </c>
      <c r="L1748" s="7"/>
      <c r="M1748" s="7"/>
      <c r="N1748" s="7" t="str">
        <f>IFERROR(__xludf.DUMMYFUNCTION("""COMPUTED_VALUE"""),"Igor Lichnovsky|46020")</f>
        <v>Igor Lichnovsky|46020</v>
      </c>
      <c r="O1748" s="7">
        <f>IFERROR(__xludf.DUMMYFUNCTION("""COMPUTED_VALUE"""),3.0)</f>
        <v>3</v>
      </c>
    </row>
    <row r="1749" ht="22.5" hidden="1" customHeight="1">
      <c r="A1749" s="8">
        <v>45892.34099824074</v>
      </c>
      <c r="B1749" s="9">
        <v>45892.0</v>
      </c>
      <c r="C1749" s="9" t="s">
        <v>53</v>
      </c>
      <c r="D1749" s="9" t="s">
        <v>223</v>
      </c>
      <c r="E1749" s="9" t="s">
        <v>17</v>
      </c>
      <c r="F1749" s="9" t="s">
        <v>17</v>
      </c>
      <c r="G1749" s="9" t="s">
        <v>24</v>
      </c>
      <c r="H1749" s="9" t="s">
        <v>25</v>
      </c>
      <c r="I1749" s="9" t="s">
        <v>137</v>
      </c>
      <c r="J1749" s="10"/>
      <c r="K1749" s="7" t="s">
        <v>398</v>
      </c>
      <c r="L1749" s="7"/>
      <c r="M1749" s="7"/>
      <c r="N1749" s="7" t="str">
        <f>IFERROR(__xludf.DUMMYFUNCTION("""COMPUTED_VALUE"""),"Patricio Salas|46020")</f>
        <v>Patricio Salas|46020</v>
      </c>
      <c r="O1749" s="7">
        <f>IFERROR(__xludf.DUMMYFUNCTION("""COMPUTED_VALUE"""),3.0)</f>
        <v>3</v>
      </c>
    </row>
    <row r="1750" ht="22.5" hidden="1" customHeight="1">
      <c r="A1750" s="8">
        <v>45892.34129131945</v>
      </c>
      <c r="B1750" s="9">
        <v>45892.0</v>
      </c>
      <c r="C1750" s="9" t="s">
        <v>53</v>
      </c>
      <c r="D1750" s="9" t="s">
        <v>395</v>
      </c>
      <c r="E1750" s="9" t="s">
        <v>17</v>
      </c>
      <c r="F1750" s="9" t="s">
        <v>17</v>
      </c>
      <c r="G1750" s="9" t="s">
        <v>24</v>
      </c>
      <c r="H1750" s="9" t="s">
        <v>17</v>
      </c>
      <c r="I1750" s="9" t="s">
        <v>20</v>
      </c>
      <c r="J1750" s="10"/>
      <c r="K1750" s="7" t="s">
        <v>398</v>
      </c>
      <c r="L1750" s="7"/>
      <c r="M1750" s="7"/>
      <c r="N1750" s="7" t="str">
        <f>IFERROR(__xludf.DUMMYFUNCTION("""COMPUTED_VALUE"""),"Jonathan Dos Santos|46020")</f>
        <v>Jonathan Dos Santos|46020</v>
      </c>
      <c r="O1750" s="7">
        <f>IFERROR(__xludf.DUMMYFUNCTION("""COMPUTED_VALUE"""),4.0)</f>
        <v>4</v>
      </c>
    </row>
    <row r="1751" ht="22.5" hidden="1" customHeight="1">
      <c r="A1751" s="8">
        <v>45892.343221400464</v>
      </c>
      <c r="B1751" s="9">
        <v>45892.0</v>
      </c>
      <c r="C1751" s="9" t="s">
        <v>53</v>
      </c>
      <c r="D1751" s="9" t="s">
        <v>367</v>
      </c>
      <c r="E1751" s="9" t="s">
        <v>17</v>
      </c>
      <c r="F1751" s="9" t="s">
        <v>17</v>
      </c>
      <c r="G1751" s="9" t="s">
        <v>24</v>
      </c>
      <c r="H1751" s="9" t="s">
        <v>17</v>
      </c>
      <c r="I1751" s="9" t="s">
        <v>20</v>
      </c>
      <c r="J1751" s="10"/>
      <c r="K1751" s="7" t="s">
        <v>398</v>
      </c>
      <c r="L1751" s="7"/>
      <c r="M1751" s="7"/>
      <c r="N1751" s="7" t="str">
        <f>IFERROR(__xludf.DUMMYFUNCTION("""COMPUTED_VALUE"""),"Alexis Gutiérrez|46020")</f>
        <v>Alexis Gutiérrez|46020</v>
      </c>
      <c r="O1751" s="7">
        <f>IFERROR(__xludf.DUMMYFUNCTION("""COMPUTED_VALUE"""),2.0)</f>
        <v>2</v>
      </c>
    </row>
    <row r="1752" ht="22.5" hidden="1" customHeight="1">
      <c r="A1752" s="8">
        <v>45892.34340371528</v>
      </c>
      <c r="B1752" s="9">
        <v>45892.0</v>
      </c>
      <c r="C1752" s="9" t="s">
        <v>53</v>
      </c>
      <c r="D1752" s="9" t="s">
        <v>249</v>
      </c>
      <c r="E1752" s="9" t="s">
        <v>17</v>
      </c>
      <c r="F1752" s="9" t="s">
        <v>17</v>
      </c>
      <c r="G1752" s="9" t="s">
        <v>24</v>
      </c>
      <c r="H1752" s="9" t="s">
        <v>22</v>
      </c>
      <c r="I1752" s="9" t="s">
        <v>20</v>
      </c>
      <c r="J1752" s="10"/>
      <c r="K1752" s="7" t="s">
        <v>398</v>
      </c>
      <c r="L1752" s="7"/>
      <c r="M1752" s="7"/>
      <c r="N1752" s="7" t="str">
        <f>IFERROR(__xludf.DUMMYFUNCTION("""COMPUTED_VALUE"""),"José Raúl Zuñiga|46020")</f>
        <v>José Raúl Zuñiga|46020</v>
      </c>
      <c r="O1752" s="7">
        <f>IFERROR(__xludf.DUMMYFUNCTION("""COMPUTED_VALUE"""),3.0)</f>
        <v>3</v>
      </c>
    </row>
    <row r="1753" ht="22.5" hidden="1" customHeight="1">
      <c r="A1753" s="8">
        <v>45892.343966643515</v>
      </c>
      <c r="B1753" s="9">
        <v>45892.0</v>
      </c>
      <c r="C1753" s="9" t="s">
        <v>53</v>
      </c>
      <c r="D1753" s="9" t="s">
        <v>280</v>
      </c>
      <c r="E1753" s="9" t="s">
        <v>17</v>
      </c>
      <c r="F1753" s="9" t="s">
        <v>17</v>
      </c>
      <c r="G1753" s="9" t="s">
        <v>24</v>
      </c>
      <c r="H1753" s="9" t="s">
        <v>17</v>
      </c>
      <c r="I1753" s="9" t="s">
        <v>20</v>
      </c>
      <c r="J1753" s="10"/>
      <c r="K1753" s="7" t="s">
        <v>398</v>
      </c>
      <c r="L1753" s="7"/>
      <c r="M1753" s="7"/>
      <c r="N1753" s="7" t="str">
        <f>IFERROR(__xludf.DUMMYFUNCTION("""COMPUTED_VALUE"""),"Ralph Orquín|46020")</f>
        <v>Ralph Orquín|46020</v>
      </c>
      <c r="O1753" s="7">
        <f>IFERROR(__xludf.DUMMYFUNCTION("""COMPUTED_VALUE"""),3.0)</f>
        <v>3</v>
      </c>
    </row>
    <row r="1754" ht="22.5" hidden="1" customHeight="1">
      <c r="A1754" s="8">
        <v>45892.344889375</v>
      </c>
      <c r="B1754" s="9">
        <v>45892.0</v>
      </c>
      <c r="C1754" s="9" t="s">
        <v>53</v>
      </c>
      <c r="D1754" s="9" t="s">
        <v>171</v>
      </c>
      <c r="E1754" s="9" t="s">
        <v>17</v>
      </c>
      <c r="F1754" s="9" t="s">
        <v>17</v>
      </c>
      <c r="G1754" s="9" t="s">
        <v>24</v>
      </c>
      <c r="H1754" s="9" t="s">
        <v>17</v>
      </c>
      <c r="I1754" s="9" t="s">
        <v>20</v>
      </c>
      <c r="J1754" s="10"/>
      <c r="K1754" s="7" t="s">
        <v>398</v>
      </c>
      <c r="L1754" s="7"/>
      <c r="M1754" s="7"/>
      <c r="N1754" s="7" t="str">
        <f>IFERROR(__xludf.DUMMYFUNCTION("""COMPUTED_VALUE"""),"Rodrigo Aguirre|46020")</f>
        <v>Rodrigo Aguirre|46020</v>
      </c>
      <c r="O1754" s="7">
        <f>IFERROR(__xludf.DUMMYFUNCTION("""COMPUTED_VALUE"""),2.0)</f>
        <v>2</v>
      </c>
    </row>
    <row r="1755" ht="22.5" hidden="1" customHeight="1">
      <c r="A1755" s="8">
        <v>45892.34579436343</v>
      </c>
      <c r="B1755" s="9">
        <v>45892.0</v>
      </c>
      <c r="C1755" s="9" t="s">
        <v>53</v>
      </c>
      <c r="D1755" s="9" t="s">
        <v>335</v>
      </c>
      <c r="E1755" s="9" t="s">
        <v>17</v>
      </c>
      <c r="F1755" s="9" t="s">
        <v>17</v>
      </c>
      <c r="G1755" s="9" t="s">
        <v>24</v>
      </c>
      <c r="H1755" s="9" t="s">
        <v>17</v>
      </c>
      <c r="I1755" s="9" t="s">
        <v>20</v>
      </c>
      <c r="J1755" s="10"/>
      <c r="K1755" s="7" t="s">
        <v>398</v>
      </c>
      <c r="L1755" s="7"/>
      <c r="M1755" s="7"/>
      <c r="N1755" s="7" t="str">
        <f>IFERROR(__xludf.DUMMYFUNCTION("""COMPUTED_VALUE"""),"Víctor Dávila|46020")</f>
        <v>Víctor Dávila|46020</v>
      </c>
      <c r="O1755" s="7">
        <f>IFERROR(__xludf.DUMMYFUNCTION("""COMPUTED_VALUE"""),3.0)</f>
        <v>3</v>
      </c>
    </row>
    <row r="1756" ht="22.5" hidden="1" customHeight="1">
      <c r="A1756" s="8">
        <v>45892.34620516204</v>
      </c>
      <c r="B1756" s="9">
        <v>45892.0</v>
      </c>
      <c r="C1756" s="9" t="s">
        <v>53</v>
      </c>
      <c r="D1756" s="9" t="s">
        <v>178</v>
      </c>
      <c r="E1756" s="9" t="s">
        <v>17</v>
      </c>
      <c r="F1756" s="9" t="s">
        <v>17</v>
      </c>
      <c r="G1756" s="9" t="s">
        <v>24</v>
      </c>
      <c r="H1756" s="9" t="s">
        <v>17</v>
      </c>
      <c r="I1756" s="9" t="s">
        <v>20</v>
      </c>
      <c r="J1756" s="10"/>
      <c r="K1756" s="7" t="s">
        <v>398</v>
      </c>
      <c r="L1756" s="7"/>
      <c r="M1756" s="7"/>
      <c r="N1756" s="7" t="str">
        <f>IFERROR(__xludf.DUMMYFUNCTION("""COMPUTED_VALUE"""),"Alan Cervantes|46020")</f>
        <v>Alan Cervantes|46020</v>
      </c>
      <c r="O1756" s="7">
        <f>IFERROR(__xludf.DUMMYFUNCTION("""COMPUTED_VALUE"""),4.0)</f>
        <v>4</v>
      </c>
    </row>
    <row r="1757" ht="22.5" hidden="1" customHeight="1">
      <c r="A1757" s="8">
        <v>45892.3466490162</v>
      </c>
      <c r="B1757" s="9">
        <v>45892.0</v>
      </c>
      <c r="C1757" s="9" t="s">
        <v>53</v>
      </c>
      <c r="D1757" s="9" t="s">
        <v>174</v>
      </c>
      <c r="E1757" s="9" t="s">
        <v>17</v>
      </c>
      <c r="F1757" s="9" t="s">
        <v>17</v>
      </c>
      <c r="G1757" s="9" t="s">
        <v>24</v>
      </c>
      <c r="H1757" s="9" t="s">
        <v>17</v>
      </c>
      <c r="I1757" s="9" t="s">
        <v>20</v>
      </c>
      <c r="J1757" s="10"/>
      <c r="K1757" s="7" t="s">
        <v>398</v>
      </c>
      <c r="L1757" s="7"/>
      <c r="M1757" s="7"/>
      <c r="N1757" s="7" t="str">
        <f>IFERROR(__xludf.DUMMYFUNCTION("""COMPUTED_VALUE"""),"Miguel Vázquez|46020")</f>
        <v>Miguel Vázquez|46020</v>
      </c>
      <c r="O1757" s="7">
        <f>IFERROR(__xludf.DUMMYFUNCTION("""COMPUTED_VALUE"""),1.0)</f>
        <v>1</v>
      </c>
    </row>
    <row r="1758" ht="22.5" hidden="1" customHeight="1">
      <c r="A1758" s="8">
        <v>45892.34870077546</v>
      </c>
      <c r="B1758" s="9">
        <v>45892.0</v>
      </c>
      <c r="C1758" s="9" t="s">
        <v>53</v>
      </c>
      <c r="D1758" s="9" t="s">
        <v>361</v>
      </c>
      <c r="E1758" s="9" t="s">
        <v>17</v>
      </c>
      <c r="F1758" s="9" t="s">
        <v>17</v>
      </c>
      <c r="G1758" s="9" t="s">
        <v>24</v>
      </c>
      <c r="H1758" s="9" t="s">
        <v>22</v>
      </c>
      <c r="I1758" s="9" t="s">
        <v>20</v>
      </c>
      <c r="J1758" s="10"/>
      <c r="K1758" s="7" t="s">
        <v>398</v>
      </c>
      <c r="L1758" s="7"/>
      <c r="M1758" s="7"/>
      <c r="N1758" s="7" t="str">
        <f>IFERROR(__xludf.DUMMYFUNCTION("""COMPUTED_VALUE"""),"Rodolfo Cota|46020")</f>
        <v>Rodolfo Cota|46020</v>
      </c>
      <c r="O1758" s="7">
        <f>IFERROR(__xludf.DUMMYFUNCTION("""COMPUTED_VALUE"""),2.0)</f>
        <v>2</v>
      </c>
    </row>
    <row r="1759" ht="22.5" hidden="1" customHeight="1">
      <c r="A1759" s="8">
        <v>45892.348942916666</v>
      </c>
      <c r="B1759" s="9">
        <v>45892.0</v>
      </c>
      <c r="C1759" s="9" t="s">
        <v>53</v>
      </c>
      <c r="D1759" s="9" t="s">
        <v>357</v>
      </c>
      <c r="E1759" s="9" t="s">
        <v>17</v>
      </c>
      <c r="F1759" s="9" t="s">
        <v>17</v>
      </c>
      <c r="G1759" s="9" t="s">
        <v>24</v>
      </c>
      <c r="H1759" s="9" t="s">
        <v>17</v>
      </c>
      <c r="I1759" s="9" t="s">
        <v>20</v>
      </c>
      <c r="J1759" s="10"/>
      <c r="K1759" s="7" t="s">
        <v>398</v>
      </c>
      <c r="L1759" s="7"/>
      <c r="M1759" s="7"/>
      <c r="N1759" s="7" t="str">
        <f>IFERROR(__xludf.DUMMYFUNCTION("""COMPUTED_VALUE"""),"Allan Saint-Maximin|46020")</f>
        <v>Allan Saint-Maximin|46020</v>
      </c>
      <c r="O1759" s="7">
        <f>IFERROR(__xludf.DUMMYFUNCTION("""COMPUTED_VALUE"""),1.0)</f>
        <v>1</v>
      </c>
    </row>
    <row r="1760" ht="22.5" hidden="1" customHeight="1">
      <c r="A1760" s="8">
        <v>45892.353231319445</v>
      </c>
      <c r="B1760" s="9">
        <v>45892.0</v>
      </c>
      <c r="C1760" s="9" t="s">
        <v>53</v>
      </c>
      <c r="D1760" s="9" t="s">
        <v>394</v>
      </c>
      <c r="E1760" s="9" t="s">
        <v>17</v>
      </c>
      <c r="F1760" s="9" t="s">
        <v>17</v>
      </c>
      <c r="G1760" s="9" t="s">
        <v>24</v>
      </c>
      <c r="H1760" s="9" t="s">
        <v>17</v>
      </c>
      <c r="I1760" s="9" t="s">
        <v>20</v>
      </c>
      <c r="J1760" s="10"/>
      <c r="K1760" s="7" t="s">
        <v>398</v>
      </c>
      <c r="L1760" s="7"/>
      <c r="M1760" s="7"/>
      <c r="N1760" s="7" t="str">
        <f>IFERROR(__xludf.DUMMYFUNCTION("""COMPUTED_VALUE"""),"Isaías Violante|46020")</f>
        <v>Isaías Violante|46020</v>
      </c>
      <c r="O1760" s="7">
        <f>IFERROR(__xludf.DUMMYFUNCTION("""COMPUTED_VALUE"""),2.0)</f>
        <v>2</v>
      </c>
    </row>
    <row r="1761" ht="22.5" hidden="1" customHeight="1">
      <c r="A1761" s="8">
        <v>45892.35343150463</v>
      </c>
      <c r="B1761" s="9">
        <v>45892.0</v>
      </c>
      <c r="C1761" s="9" t="s">
        <v>53</v>
      </c>
      <c r="D1761" s="9" t="s">
        <v>175</v>
      </c>
      <c r="E1761" s="9" t="s">
        <v>17</v>
      </c>
      <c r="F1761" s="9" t="s">
        <v>17</v>
      </c>
      <c r="G1761" s="9" t="s">
        <v>24</v>
      </c>
      <c r="H1761" s="9" t="s">
        <v>17</v>
      </c>
      <c r="I1761" s="9" t="s">
        <v>20</v>
      </c>
      <c r="J1761" s="10"/>
      <c r="K1761" s="7" t="s">
        <v>398</v>
      </c>
      <c r="L1761" s="7"/>
      <c r="M1761" s="7"/>
      <c r="N1761" s="7" t="str">
        <f>IFERROR(__xludf.DUMMYFUNCTION("""COMPUTED_VALUE"""),"Brian Rodríguez|46020")</f>
        <v>Brian Rodríguez|46020</v>
      </c>
      <c r="O1761" s="7">
        <f>IFERROR(__xludf.DUMMYFUNCTION("""COMPUTED_VALUE"""),3.0)</f>
        <v>3</v>
      </c>
    </row>
    <row r="1762" ht="22.5" hidden="1" customHeight="1">
      <c r="A1762" s="8">
        <v>45892.35366434028</v>
      </c>
      <c r="B1762" s="9">
        <v>45892.0</v>
      </c>
      <c r="C1762" s="9" t="s">
        <v>53</v>
      </c>
      <c r="D1762" s="9" t="s">
        <v>396</v>
      </c>
      <c r="E1762" s="9" t="s">
        <v>17</v>
      </c>
      <c r="F1762" s="9" t="s">
        <v>17</v>
      </c>
      <c r="G1762" s="9" t="s">
        <v>24</v>
      </c>
      <c r="H1762" s="9" t="s">
        <v>17</v>
      </c>
      <c r="I1762" s="9" t="s">
        <v>20</v>
      </c>
      <c r="J1762" s="10"/>
      <c r="K1762" s="7" t="s">
        <v>398</v>
      </c>
      <c r="L1762" s="7"/>
      <c r="M1762" s="7"/>
      <c r="N1762" s="7" t="str">
        <f>IFERROR(__xludf.DUMMYFUNCTION("""COMPUTED_VALUE"""),"Sebastián Cáceres|46020")</f>
        <v>Sebastián Cáceres|46020</v>
      </c>
      <c r="O1762" s="7">
        <f>IFERROR(__xludf.DUMMYFUNCTION("""COMPUTED_VALUE"""),2.0)</f>
        <v>2</v>
      </c>
    </row>
    <row r="1763" ht="22.5" hidden="1" customHeight="1">
      <c r="A1763" s="8">
        <v>45892.36715967592</v>
      </c>
      <c r="B1763" s="9">
        <v>45892.0</v>
      </c>
      <c r="C1763" s="9" t="s">
        <v>53</v>
      </c>
      <c r="D1763" s="9" t="s">
        <v>397</v>
      </c>
      <c r="E1763" s="9" t="s">
        <v>17</v>
      </c>
      <c r="F1763" s="9" t="s">
        <v>17</v>
      </c>
      <c r="G1763" s="9" t="s">
        <v>19</v>
      </c>
      <c r="H1763" s="9" t="s">
        <v>22</v>
      </c>
      <c r="I1763" s="9" t="s">
        <v>20</v>
      </c>
      <c r="J1763" s="10"/>
      <c r="K1763" s="1" t="s">
        <v>398</v>
      </c>
      <c r="L1763" s="7"/>
      <c r="M1763" s="7"/>
      <c r="N1763" s="7" t="str">
        <f>IFERROR(__xludf.DUMMYFUNCTION("""COMPUTED_VALUE"""),"Erick Sánchez|46020")</f>
        <v>Erick Sánchez|46020</v>
      </c>
      <c r="O1763" s="7">
        <f>IFERROR(__xludf.DUMMYFUNCTION("""COMPUTED_VALUE"""),3.0)</f>
        <v>3</v>
      </c>
    </row>
    <row r="1764" ht="22.5" hidden="1" customHeight="1">
      <c r="A1764" s="8">
        <v>45892.371656759264</v>
      </c>
      <c r="B1764" s="9">
        <v>45892.0</v>
      </c>
      <c r="C1764" s="9" t="s">
        <v>53</v>
      </c>
      <c r="D1764" s="9" t="s">
        <v>259</v>
      </c>
      <c r="E1764" s="9" t="s">
        <v>17</v>
      </c>
      <c r="F1764" s="9" t="s">
        <v>17</v>
      </c>
      <c r="G1764" s="9" t="s">
        <v>24</v>
      </c>
      <c r="H1764" s="9" t="s">
        <v>25</v>
      </c>
      <c r="I1764" s="9" t="s">
        <v>207</v>
      </c>
      <c r="J1764" s="10"/>
      <c r="K1764" s="7" t="s">
        <v>398</v>
      </c>
      <c r="L1764" s="7"/>
      <c r="M1764" s="7"/>
      <c r="N1764" s="7" t="str">
        <f>IFERROR(__xludf.DUMMYFUNCTION("""COMPUTED_VALUE"""),"Henry Martín|46020")</f>
        <v>Henry Martín|46020</v>
      </c>
      <c r="O1764" s="7">
        <f>IFERROR(__xludf.DUMMYFUNCTION("""COMPUTED_VALUE"""),4.0)</f>
        <v>4</v>
      </c>
    </row>
    <row r="1765" ht="22.5" hidden="1" customHeight="1">
      <c r="A1765" s="8">
        <v>45895.3621799074</v>
      </c>
      <c r="B1765" s="9">
        <v>45895.0</v>
      </c>
      <c r="C1765" s="9" t="s">
        <v>110</v>
      </c>
      <c r="D1765" s="9" t="s">
        <v>280</v>
      </c>
      <c r="E1765" s="9" t="s">
        <v>17</v>
      </c>
      <c r="F1765" s="9" t="s">
        <v>17</v>
      </c>
      <c r="G1765" s="9" t="s">
        <v>24</v>
      </c>
      <c r="H1765" s="9" t="s">
        <v>17</v>
      </c>
      <c r="I1765" s="9" t="s">
        <v>20</v>
      </c>
      <c r="J1765" s="10"/>
      <c r="K1765" s="7" t="s">
        <v>398</v>
      </c>
      <c r="L1765" s="7"/>
      <c r="M1765" s="7"/>
      <c r="N1765" s="7" t="str">
        <f>IFERROR(__xludf.DUMMYFUNCTION("""COMPUTED_VALUE"""),"Alejando Zendejas|46020")</f>
        <v>Alejando Zendejas|46020</v>
      </c>
      <c r="O1765" s="7">
        <f>IFERROR(__xludf.DUMMYFUNCTION("""COMPUTED_VALUE"""),3.0)</f>
        <v>3</v>
      </c>
    </row>
    <row r="1766" ht="22.5" hidden="1" customHeight="1">
      <c r="A1766" s="8">
        <v>45895.36244189815</v>
      </c>
      <c r="B1766" s="9">
        <v>45895.0</v>
      </c>
      <c r="C1766" s="9" t="s">
        <v>110</v>
      </c>
      <c r="D1766" s="9" t="s">
        <v>258</v>
      </c>
      <c r="E1766" s="9" t="s">
        <v>17</v>
      </c>
      <c r="F1766" s="9" t="s">
        <v>17</v>
      </c>
      <c r="G1766" s="9" t="s">
        <v>24</v>
      </c>
      <c r="H1766" s="9" t="s">
        <v>25</v>
      </c>
      <c r="I1766" s="9" t="s">
        <v>117</v>
      </c>
      <c r="J1766" s="10"/>
      <c r="K1766" s="7" t="s">
        <v>398</v>
      </c>
      <c r="L1766" s="7"/>
      <c r="M1766" s="7"/>
      <c r="N1766" s="7" t="str">
        <f>IFERROR(__xludf.DUMMYFUNCTION("""COMPUTED_VALUE"""),"Luis Malagon|46020")</f>
        <v>Luis Malagon|46020</v>
      </c>
      <c r="O1766" s="7">
        <f>IFERROR(__xludf.DUMMYFUNCTION("""COMPUTED_VALUE"""),3.0)</f>
        <v>3</v>
      </c>
    </row>
    <row r="1767" ht="22.5" hidden="1" customHeight="1">
      <c r="A1767" s="8">
        <v>45895.36361596065</v>
      </c>
      <c r="B1767" s="9">
        <v>45895.0</v>
      </c>
      <c r="C1767" s="9" t="s">
        <v>110</v>
      </c>
      <c r="D1767" s="9" t="s">
        <v>249</v>
      </c>
      <c r="E1767" s="9" t="s">
        <v>17</v>
      </c>
      <c r="F1767" s="9" t="s">
        <v>17</v>
      </c>
      <c r="G1767" s="9" t="s">
        <v>24</v>
      </c>
      <c r="H1767" s="9" t="s">
        <v>17</v>
      </c>
      <c r="I1767" s="9" t="s">
        <v>20</v>
      </c>
      <c r="J1767" s="10"/>
      <c r="K1767" s="7" t="s">
        <v>398</v>
      </c>
      <c r="L1767" s="7"/>
      <c r="M1767" s="7"/>
      <c r="N1767" s="7" t="str">
        <f>IFERROR(__xludf.DUMMYFUNCTION("""COMPUTED_VALUE"""),"Cristian Borja|46020")</f>
        <v>Cristian Borja|46020</v>
      </c>
      <c r="O1767" s="7">
        <f>IFERROR(__xludf.DUMMYFUNCTION("""COMPUTED_VALUE"""),3.0)</f>
        <v>3</v>
      </c>
    </row>
    <row r="1768" ht="22.5" hidden="1" customHeight="1">
      <c r="A1768" s="8">
        <v>45895.36383878472</v>
      </c>
      <c r="B1768" s="9">
        <v>45895.0</v>
      </c>
      <c r="C1768" s="9" t="s">
        <v>110</v>
      </c>
      <c r="D1768" s="9" t="s">
        <v>350</v>
      </c>
      <c r="E1768" s="9" t="s">
        <v>17</v>
      </c>
      <c r="F1768" s="9" t="s">
        <v>17</v>
      </c>
      <c r="G1768" s="9" t="s">
        <v>19</v>
      </c>
      <c r="H1768" s="9" t="s">
        <v>17</v>
      </c>
      <c r="I1768" s="9" t="s">
        <v>20</v>
      </c>
      <c r="J1768" s="10"/>
      <c r="K1768" s="7" t="s">
        <v>398</v>
      </c>
      <c r="L1768" s="7"/>
      <c r="M1768" s="7"/>
      <c r="N1768" s="7" t="str">
        <f>IFERROR(__xludf.DUMMYFUNCTION("""COMPUTED_VALUE"""),"Israel Reyes|46020")</f>
        <v>Israel Reyes|46020</v>
      </c>
      <c r="O1768" s="7">
        <f>IFERROR(__xludf.DUMMYFUNCTION("""COMPUTED_VALUE"""),2.0)</f>
        <v>2</v>
      </c>
    </row>
    <row r="1769" ht="22.5" hidden="1" customHeight="1">
      <c r="A1769" s="8">
        <v>45895.36409127315</v>
      </c>
      <c r="B1769" s="9">
        <v>45895.0</v>
      </c>
      <c r="C1769" s="9" t="s">
        <v>110</v>
      </c>
      <c r="D1769" s="9" t="s">
        <v>174</v>
      </c>
      <c r="E1769" s="9" t="s">
        <v>17</v>
      </c>
      <c r="F1769" s="9" t="s">
        <v>17</v>
      </c>
      <c r="G1769" s="9" t="s">
        <v>24</v>
      </c>
      <c r="H1769" s="9" t="s">
        <v>17</v>
      </c>
      <c r="I1769" s="9" t="s">
        <v>20</v>
      </c>
      <c r="J1769" s="10"/>
      <c r="K1769" s="7" t="s">
        <v>398</v>
      </c>
      <c r="L1769" s="7"/>
      <c r="M1769" s="7"/>
      <c r="N1769" s="7" t="str">
        <f>IFERROR(__xludf.DUMMYFUNCTION("""COMPUTED_VALUE"""),"Henry Martín|46024")</f>
        <v>Henry Martín|46024</v>
      </c>
      <c r="O1769" s="7">
        <f>IFERROR(__xludf.DUMMYFUNCTION("""COMPUTED_VALUE"""),3.0)</f>
        <v>3</v>
      </c>
    </row>
    <row r="1770" ht="22.5" hidden="1" customHeight="1">
      <c r="A1770" s="8">
        <v>45895.3643028588</v>
      </c>
      <c r="B1770" s="9">
        <v>45895.0</v>
      </c>
      <c r="C1770" s="9" t="s">
        <v>110</v>
      </c>
      <c r="D1770" s="9" t="s">
        <v>393</v>
      </c>
      <c r="E1770" s="9" t="s">
        <v>17</v>
      </c>
      <c r="F1770" s="9" t="s">
        <v>17</v>
      </c>
      <c r="G1770" s="9" t="s">
        <v>24</v>
      </c>
      <c r="H1770" s="9" t="s">
        <v>22</v>
      </c>
      <c r="I1770" s="9" t="s">
        <v>20</v>
      </c>
      <c r="J1770" s="10"/>
      <c r="K1770" s="7" t="s">
        <v>398</v>
      </c>
      <c r="L1770" s="7"/>
      <c r="M1770" s="7"/>
      <c r="N1770" s="7" t="str">
        <f>IFERROR(__xludf.DUMMYFUNCTION("""COMPUTED_VALUE"""),"Luis Malagon|46024")</f>
        <v>Luis Malagon|46024</v>
      </c>
      <c r="O1770" s="7">
        <f>IFERROR(__xludf.DUMMYFUNCTION("""COMPUTED_VALUE"""),6.0)</f>
        <v>6</v>
      </c>
    </row>
    <row r="1771" ht="22.5" hidden="1" customHeight="1">
      <c r="A1771" s="8">
        <v>45895.369228344905</v>
      </c>
      <c r="B1771" s="9">
        <v>45895.0</v>
      </c>
      <c r="C1771" s="9" t="s">
        <v>110</v>
      </c>
      <c r="D1771" s="9" t="s">
        <v>257</v>
      </c>
      <c r="E1771" s="9" t="s">
        <v>17</v>
      </c>
      <c r="F1771" s="9" t="s">
        <v>17</v>
      </c>
      <c r="G1771" s="9" t="s">
        <v>24</v>
      </c>
      <c r="H1771" s="9" t="s">
        <v>17</v>
      </c>
      <c r="I1771" s="9" t="s">
        <v>20</v>
      </c>
      <c r="J1771" s="10"/>
      <c r="K1771" s="7" t="s">
        <v>398</v>
      </c>
      <c r="L1771" s="7"/>
      <c r="M1771" s="7"/>
      <c r="N1771" s="7" t="str">
        <f>IFERROR(__xludf.DUMMYFUNCTION("""COMPUTED_VALUE"""),"Rodrigo Aguirre|46024")</f>
        <v>Rodrigo Aguirre|46024</v>
      </c>
      <c r="O1771" s="7">
        <f>IFERROR(__xludf.DUMMYFUNCTION("""COMPUTED_VALUE"""),5.0)</f>
        <v>5</v>
      </c>
    </row>
    <row r="1772" ht="22.5" hidden="1" customHeight="1">
      <c r="A1772" s="8">
        <v>45895.378808078705</v>
      </c>
      <c r="B1772" s="9">
        <v>45895.0</v>
      </c>
      <c r="C1772" s="9" t="s">
        <v>110</v>
      </c>
      <c r="D1772" s="9" t="s">
        <v>367</v>
      </c>
      <c r="E1772" s="9" t="s">
        <v>17</v>
      </c>
      <c r="F1772" s="9" t="s">
        <v>17</v>
      </c>
      <c r="G1772" s="9" t="s">
        <v>24</v>
      </c>
      <c r="H1772" s="9" t="s">
        <v>17</v>
      </c>
      <c r="I1772" s="9" t="s">
        <v>20</v>
      </c>
      <c r="J1772" s="10"/>
      <c r="K1772" s="7" t="s">
        <v>398</v>
      </c>
      <c r="L1772" s="7"/>
      <c r="M1772" s="7"/>
      <c r="N1772" s="7" t="str">
        <f>IFERROR(__xludf.DUMMYFUNCTION("""COMPUTED_VALUE"""),"Brian Rodríguez|46024")</f>
        <v>Brian Rodríguez|46024</v>
      </c>
      <c r="O1772" s="7">
        <f>IFERROR(__xludf.DUMMYFUNCTION("""COMPUTED_VALUE"""),4.0)</f>
        <v>4</v>
      </c>
    </row>
    <row r="1773" ht="22.5" hidden="1" customHeight="1">
      <c r="A1773" s="8">
        <v>45895.378963553245</v>
      </c>
      <c r="B1773" s="9">
        <v>45895.0</v>
      </c>
      <c r="C1773" s="9" t="s">
        <v>110</v>
      </c>
      <c r="D1773" s="9" t="s">
        <v>361</v>
      </c>
      <c r="E1773" s="9" t="s">
        <v>17</v>
      </c>
      <c r="F1773" s="9" t="s">
        <v>17</v>
      </c>
      <c r="G1773" s="9" t="s">
        <v>24</v>
      </c>
      <c r="H1773" s="9" t="s">
        <v>17</v>
      </c>
      <c r="I1773" s="9" t="s">
        <v>20</v>
      </c>
      <c r="J1773" s="10"/>
      <c r="K1773" s="7" t="s">
        <v>398</v>
      </c>
      <c r="L1773" s="7"/>
      <c r="M1773" s="7"/>
      <c r="N1773" s="7" t="str">
        <f>IFERROR(__xludf.DUMMYFUNCTION("""COMPUTED_VALUE"""),"Kevin Álvarez|46024")</f>
        <v>Kevin Álvarez|46024</v>
      </c>
      <c r="O1773" s="7">
        <f>IFERROR(__xludf.DUMMYFUNCTION("""COMPUTED_VALUE"""),4.0)</f>
        <v>4</v>
      </c>
    </row>
    <row r="1774" ht="22.5" hidden="1" customHeight="1">
      <c r="A1774" s="8">
        <v>45895.38143707176</v>
      </c>
      <c r="B1774" s="9">
        <v>45895.0</v>
      </c>
      <c r="C1774" s="9" t="s">
        <v>110</v>
      </c>
      <c r="D1774" s="9" t="s">
        <v>335</v>
      </c>
      <c r="E1774" s="9" t="s">
        <v>17</v>
      </c>
      <c r="F1774" s="9" t="s">
        <v>17</v>
      </c>
      <c r="G1774" s="9" t="s">
        <v>24</v>
      </c>
      <c r="H1774" s="9" t="s">
        <v>17</v>
      </c>
      <c r="I1774" s="9" t="s">
        <v>20</v>
      </c>
      <c r="J1774" s="10"/>
      <c r="K1774" s="7" t="s">
        <v>398</v>
      </c>
      <c r="L1774" s="7"/>
      <c r="M1774" s="7"/>
      <c r="N1774" s="7" t="str">
        <f>IFERROR(__xludf.DUMMYFUNCTION("""COMPUTED_VALUE"""),"Miguel Vázquez|46024")</f>
        <v>Miguel Vázquez|46024</v>
      </c>
      <c r="O1774" s="7">
        <f>IFERROR(__xludf.DUMMYFUNCTION("""COMPUTED_VALUE"""),5.0)</f>
        <v>5</v>
      </c>
    </row>
    <row r="1775" ht="22.5" hidden="1" customHeight="1">
      <c r="A1775" s="8">
        <v>45895.381882974536</v>
      </c>
      <c r="B1775" s="9">
        <v>45895.0</v>
      </c>
      <c r="C1775" s="9" t="s">
        <v>110</v>
      </c>
      <c r="D1775" s="9" t="s">
        <v>247</v>
      </c>
      <c r="E1775" s="9" t="s">
        <v>17</v>
      </c>
      <c r="F1775" s="9" t="s">
        <v>17</v>
      </c>
      <c r="G1775" s="9" t="s">
        <v>24</v>
      </c>
      <c r="H1775" s="9" t="s">
        <v>17</v>
      </c>
      <c r="I1775" s="9" t="s">
        <v>20</v>
      </c>
      <c r="J1775" s="10"/>
      <c r="K1775" s="7" t="s">
        <v>398</v>
      </c>
      <c r="L1775" s="7"/>
      <c r="M1775" s="7"/>
      <c r="N1775" s="7" t="str">
        <f>IFERROR(__xludf.DUMMYFUNCTION("""COMPUTED_VALUE"""),"Santiago Naveda|46024")</f>
        <v>Santiago Naveda|46024</v>
      </c>
      <c r="O1775" s="7">
        <f>IFERROR(__xludf.DUMMYFUNCTION("""COMPUTED_VALUE"""),5.0)</f>
        <v>5</v>
      </c>
    </row>
    <row r="1776" ht="22.5" hidden="1" customHeight="1">
      <c r="A1776" s="8">
        <v>45895.38637034722</v>
      </c>
      <c r="B1776" s="9">
        <v>45895.0</v>
      </c>
      <c r="C1776" s="9" t="s">
        <v>110</v>
      </c>
      <c r="D1776" s="9" t="s">
        <v>223</v>
      </c>
      <c r="E1776" s="9" t="s">
        <v>17</v>
      </c>
      <c r="F1776" s="9" t="s">
        <v>17</v>
      </c>
      <c r="G1776" s="9" t="s">
        <v>24</v>
      </c>
      <c r="H1776" s="9" t="s">
        <v>17</v>
      </c>
      <c r="I1776" s="9" t="s">
        <v>20</v>
      </c>
      <c r="J1776" s="10"/>
      <c r="K1776" s="7" t="s">
        <v>398</v>
      </c>
      <c r="L1776" s="7"/>
      <c r="M1776" s="7"/>
      <c r="N1776" s="7" t="str">
        <f>IFERROR(__xludf.DUMMYFUNCTION("""COMPUTED_VALUE"""),"Rodolfo Cota|46024")</f>
        <v>Rodolfo Cota|46024</v>
      </c>
      <c r="O1776" s="7">
        <f>IFERROR(__xludf.DUMMYFUNCTION("""COMPUTED_VALUE"""),2.0)</f>
        <v>2</v>
      </c>
    </row>
    <row r="1777" ht="22.5" hidden="1" customHeight="1">
      <c r="A1777" s="8">
        <v>45895.38965509259</v>
      </c>
      <c r="B1777" s="9">
        <v>45895.0</v>
      </c>
      <c r="C1777" s="9" t="s">
        <v>110</v>
      </c>
      <c r="D1777" s="9" t="s">
        <v>397</v>
      </c>
      <c r="E1777" s="9" t="s">
        <v>17</v>
      </c>
      <c r="F1777" s="9" t="s">
        <v>35</v>
      </c>
      <c r="G1777" s="9" t="s">
        <v>19</v>
      </c>
      <c r="H1777" s="9" t="s">
        <v>22</v>
      </c>
      <c r="I1777" s="9" t="s">
        <v>20</v>
      </c>
      <c r="J1777" s="10"/>
      <c r="K1777" s="1" t="s">
        <v>398</v>
      </c>
      <c r="L1777" s="7"/>
      <c r="M1777" s="7"/>
      <c r="N1777" s="7" t="str">
        <f>IFERROR(__xludf.DUMMYFUNCTION("""COMPUTED_VALUE"""),"Israel Reyes|46024")</f>
        <v>Israel Reyes|46024</v>
      </c>
      <c r="O1777" s="7">
        <f>IFERROR(__xludf.DUMMYFUNCTION("""COMPUTED_VALUE"""),5.0)</f>
        <v>5</v>
      </c>
    </row>
    <row r="1778" ht="22.5" hidden="1" customHeight="1">
      <c r="A1778" s="8">
        <v>45895.396348888884</v>
      </c>
      <c r="B1778" s="9">
        <v>45895.0</v>
      </c>
      <c r="C1778" s="9" t="s">
        <v>110</v>
      </c>
      <c r="D1778" s="9" t="s">
        <v>259</v>
      </c>
      <c r="E1778" s="9" t="s">
        <v>17</v>
      </c>
      <c r="F1778" s="9" t="s">
        <v>17</v>
      </c>
      <c r="G1778" s="9" t="s">
        <v>24</v>
      </c>
      <c r="H1778" s="9" t="s">
        <v>25</v>
      </c>
      <c r="I1778" s="9" t="s">
        <v>207</v>
      </c>
      <c r="J1778" s="10"/>
      <c r="K1778" s="7" t="s">
        <v>398</v>
      </c>
      <c r="L1778" s="7"/>
      <c r="M1778" s="7"/>
      <c r="N1778" s="7" t="str">
        <f>IFERROR(__xludf.DUMMYFUNCTION("""COMPUTED_VALUE"""),"Patricio Salas|46024")</f>
        <v>Patricio Salas|46024</v>
      </c>
      <c r="O1778" s="7">
        <f>IFERROR(__xludf.DUMMYFUNCTION("""COMPUTED_VALUE"""),6.0)</f>
        <v>6</v>
      </c>
    </row>
    <row r="1779" ht="22.5" hidden="1" customHeight="1">
      <c r="A1779" s="8">
        <v>45895.397699016205</v>
      </c>
      <c r="B1779" s="9">
        <v>45895.0</v>
      </c>
      <c r="C1779" s="9" t="s">
        <v>110</v>
      </c>
      <c r="D1779" s="9" t="s">
        <v>168</v>
      </c>
      <c r="E1779" s="9" t="s">
        <v>17</v>
      </c>
      <c r="F1779" s="9" t="s">
        <v>17</v>
      </c>
      <c r="G1779" s="9" t="s">
        <v>24</v>
      </c>
      <c r="H1779" s="9" t="s">
        <v>17</v>
      </c>
      <c r="I1779" s="9" t="s">
        <v>20</v>
      </c>
      <c r="J1779" s="10"/>
      <c r="K1779" s="7" t="s">
        <v>398</v>
      </c>
      <c r="L1779" s="7"/>
      <c r="M1779" s="7"/>
      <c r="N1779" s="7" t="str">
        <f>IFERROR(__xludf.DUMMYFUNCTION("""COMPUTED_VALUE"""),"Jonathan Dos Santos|46024")</f>
        <v>Jonathan Dos Santos|46024</v>
      </c>
      <c r="O1779" s="7">
        <f>IFERROR(__xludf.DUMMYFUNCTION("""COMPUTED_VALUE"""),4.0)</f>
        <v>4</v>
      </c>
    </row>
    <row r="1780" ht="22.5" hidden="1" customHeight="1">
      <c r="A1780" s="8">
        <v>45895.40102993055</v>
      </c>
      <c r="B1780" s="9">
        <v>45895.0</v>
      </c>
      <c r="C1780" s="9" t="s">
        <v>110</v>
      </c>
      <c r="D1780" s="9" t="s">
        <v>394</v>
      </c>
      <c r="E1780" s="9" t="s">
        <v>17</v>
      </c>
      <c r="F1780" s="9" t="s">
        <v>17</v>
      </c>
      <c r="G1780" s="9" t="s">
        <v>24</v>
      </c>
      <c r="H1780" s="9" t="s">
        <v>17</v>
      </c>
      <c r="I1780" s="9" t="s">
        <v>20</v>
      </c>
      <c r="J1780" s="10"/>
      <c r="K1780" s="7" t="s">
        <v>398</v>
      </c>
      <c r="L1780" s="7"/>
      <c r="M1780" s="7"/>
      <c r="N1780" s="7" t="str">
        <f>IFERROR(__xludf.DUMMYFUNCTION("""COMPUTED_VALUE"""),"Alexis Gutiérrez|46024")</f>
        <v>Alexis Gutiérrez|46024</v>
      </c>
      <c r="O1780" s="7">
        <f>IFERROR(__xludf.DUMMYFUNCTION("""COMPUTED_VALUE"""),3.0)</f>
        <v>3</v>
      </c>
    </row>
    <row r="1781" ht="22.5" hidden="1" customHeight="1">
      <c r="A1781" s="8">
        <v>45895.402354074075</v>
      </c>
      <c r="B1781" s="9">
        <v>45895.0</v>
      </c>
      <c r="C1781" s="9" t="s">
        <v>110</v>
      </c>
      <c r="D1781" s="9" t="s">
        <v>178</v>
      </c>
      <c r="E1781" s="9" t="s">
        <v>17</v>
      </c>
      <c r="F1781" s="9" t="s">
        <v>17</v>
      </c>
      <c r="G1781" s="9" t="s">
        <v>40</v>
      </c>
      <c r="H1781" s="9" t="s">
        <v>17</v>
      </c>
      <c r="I1781" s="9" t="s">
        <v>20</v>
      </c>
      <c r="J1781" s="10"/>
      <c r="K1781" s="7" t="s">
        <v>398</v>
      </c>
      <c r="L1781" s="7"/>
      <c r="M1781" s="7"/>
      <c r="N1781" s="7" t="str">
        <f>IFERROR(__xludf.DUMMYFUNCTION("""COMPUTED_VALUE"""),"José Raúl Zuñiga|46024")</f>
        <v>José Raúl Zuñiga|46024</v>
      </c>
      <c r="O1781" s="7">
        <f>IFERROR(__xludf.DUMMYFUNCTION("""COMPUTED_VALUE"""),3.0)</f>
        <v>3</v>
      </c>
    </row>
    <row r="1782" ht="22.5" hidden="1" customHeight="1">
      <c r="A1782" s="8">
        <v>45895.428531944446</v>
      </c>
      <c r="B1782" s="9">
        <v>45895.0</v>
      </c>
      <c r="C1782" s="9" t="s">
        <v>110</v>
      </c>
      <c r="D1782" s="9" t="s">
        <v>258</v>
      </c>
      <c r="E1782" s="9" t="s">
        <v>17</v>
      </c>
      <c r="F1782" s="9" t="s">
        <v>17</v>
      </c>
      <c r="G1782" s="9" t="s">
        <v>24</v>
      </c>
      <c r="H1782" s="9" t="s">
        <v>17</v>
      </c>
      <c r="I1782" s="9" t="s">
        <v>20</v>
      </c>
      <c r="J1782" s="10"/>
      <c r="K1782" s="7" t="s">
        <v>398</v>
      </c>
      <c r="L1782" s="7"/>
      <c r="M1782" s="7"/>
      <c r="N1782" s="7" t="str">
        <f>IFERROR(__xludf.DUMMYFUNCTION("""COMPUTED_VALUE"""),"Ralph Orquín|46024")</f>
        <v>Ralph Orquín|46024</v>
      </c>
      <c r="O1782" s="7">
        <f>IFERROR(__xludf.DUMMYFUNCTION("""COMPUTED_VALUE"""),5.0)</f>
        <v>5</v>
      </c>
    </row>
    <row r="1783" ht="22.5" hidden="1" customHeight="1">
      <c r="A1783" s="8">
        <v>45895.4287994676</v>
      </c>
      <c r="B1783" s="9">
        <v>45895.0</v>
      </c>
      <c r="C1783" s="9" t="s">
        <v>110</v>
      </c>
      <c r="D1783" s="9" t="s">
        <v>171</v>
      </c>
      <c r="E1783" s="9" t="s">
        <v>17</v>
      </c>
      <c r="F1783" s="9" t="s">
        <v>17</v>
      </c>
      <c r="G1783" s="9" t="s">
        <v>24</v>
      </c>
      <c r="H1783" s="9" t="s">
        <v>25</v>
      </c>
      <c r="I1783" s="9" t="s">
        <v>117</v>
      </c>
      <c r="J1783" s="10"/>
      <c r="K1783" s="7" t="s">
        <v>398</v>
      </c>
      <c r="L1783" s="7"/>
      <c r="M1783" s="7"/>
      <c r="N1783" s="7" t="str">
        <f>IFERROR(__xludf.DUMMYFUNCTION("""COMPUTED_VALUE"""),"Néstor Araujo|46024")</f>
        <v>Néstor Araujo|46024</v>
      </c>
      <c r="O1783" s="7">
        <f>IFERROR(__xludf.DUMMYFUNCTION("""COMPUTED_VALUE"""),6.0)</f>
        <v>6</v>
      </c>
    </row>
    <row r="1784" ht="22.5" hidden="1" customHeight="1">
      <c r="A1784" s="8">
        <v>45896.34403115741</v>
      </c>
      <c r="B1784" s="9">
        <v>45896.0</v>
      </c>
      <c r="C1784" s="9" t="s">
        <v>15</v>
      </c>
      <c r="D1784" s="9" t="s">
        <v>257</v>
      </c>
      <c r="E1784" s="9" t="s">
        <v>17</v>
      </c>
      <c r="F1784" s="9" t="s">
        <v>17</v>
      </c>
      <c r="G1784" s="9" t="s">
        <v>24</v>
      </c>
      <c r="H1784" s="9" t="s">
        <v>17</v>
      </c>
      <c r="I1784" s="9" t="s">
        <v>20</v>
      </c>
      <c r="J1784" s="10"/>
      <c r="K1784" s="7" t="s">
        <v>398</v>
      </c>
      <c r="L1784" s="7"/>
      <c r="M1784" s="7"/>
      <c r="N1784" s="7" t="str">
        <f>IFERROR(__xludf.DUMMYFUNCTION("""COMPUTED_VALUE"""),"Víctor Dávila|46024")</f>
        <v>Víctor Dávila|46024</v>
      </c>
      <c r="O1784" s="7">
        <f>IFERROR(__xludf.DUMMYFUNCTION("""COMPUTED_VALUE"""),6.0)</f>
        <v>6</v>
      </c>
    </row>
    <row r="1785" ht="22.5" hidden="1" customHeight="1">
      <c r="A1785" s="8">
        <v>45896.366676562495</v>
      </c>
      <c r="B1785" s="9">
        <v>45896.0</v>
      </c>
      <c r="C1785" s="9" t="s">
        <v>15</v>
      </c>
      <c r="D1785" s="9" t="s">
        <v>171</v>
      </c>
      <c r="E1785" s="9" t="s">
        <v>17</v>
      </c>
      <c r="F1785" s="9" t="s">
        <v>17</v>
      </c>
      <c r="G1785" s="9" t="s">
        <v>24</v>
      </c>
      <c r="H1785" s="9" t="s">
        <v>25</v>
      </c>
      <c r="I1785" s="9" t="s">
        <v>242</v>
      </c>
      <c r="J1785" s="10"/>
      <c r="K1785" s="7" t="s">
        <v>398</v>
      </c>
      <c r="L1785" s="7"/>
      <c r="M1785" s="7"/>
      <c r="N1785" s="7" t="str">
        <f>IFERROR(__xludf.DUMMYFUNCTION("""COMPUTED_VALUE"""),"Igor Lichnovsky|46024")</f>
        <v>Igor Lichnovsky|46024</v>
      </c>
      <c r="O1785" s="7">
        <f>IFERROR(__xludf.DUMMYFUNCTION("""COMPUTED_VALUE"""),4.0)</f>
        <v>4</v>
      </c>
    </row>
    <row r="1786" ht="22.5" hidden="1" customHeight="1">
      <c r="A1786" s="8">
        <v>45896.36746260417</v>
      </c>
      <c r="B1786" s="9">
        <v>45896.0</v>
      </c>
      <c r="C1786" s="9" t="s">
        <v>15</v>
      </c>
      <c r="D1786" s="9" t="s">
        <v>393</v>
      </c>
      <c r="E1786" s="9" t="s">
        <v>17</v>
      </c>
      <c r="F1786" s="9" t="s">
        <v>17</v>
      </c>
      <c r="G1786" s="9" t="s">
        <v>24</v>
      </c>
      <c r="H1786" s="9" t="s">
        <v>22</v>
      </c>
      <c r="I1786" s="9" t="s">
        <v>20</v>
      </c>
      <c r="J1786" s="10"/>
      <c r="K1786" s="7" t="s">
        <v>398</v>
      </c>
      <c r="L1786" s="7"/>
      <c r="M1786" s="7"/>
      <c r="N1786" s="7" t="str">
        <f>IFERROR(__xludf.DUMMYFUNCTION("""COMPUTED_VALUE"""),"Allan Saint-Maximin|46024")</f>
        <v>Allan Saint-Maximin|46024</v>
      </c>
      <c r="O1786" s="7">
        <f>IFERROR(__xludf.DUMMYFUNCTION("""COMPUTED_VALUE"""),4.0)</f>
        <v>4</v>
      </c>
    </row>
    <row r="1787" ht="22.5" hidden="1" customHeight="1">
      <c r="A1787" s="8">
        <v>45896.36781496528</v>
      </c>
      <c r="B1787" s="9">
        <v>45896.0</v>
      </c>
      <c r="C1787" s="9" t="s">
        <v>15</v>
      </c>
      <c r="D1787" s="9" t="s">
        <v>258</v>
      </c>
      <c r="E1787" s="9" t="s">
        <v>17</v>
      </c>
      <c r="F1787" s="9" t="s">
        <v>17</v>
      </c>
      <c r="G1787" s="9" t="s">
        <v>24</v>
      </c>
      <c r="H1787" s="9" t="s">
        <v>17</v>
      </c>
      <c r="I1787" s="9" t="s">
        <v>20</v>
      </c>
      <c r="J1787" s="10"/>
      <c r="K1787" s="7" t="s">
        <v>398</v>
      </c>
      <c r="L1787" s="7"/>
      <c r="M1787" s="7"/>
      <c r="N1787" s="7" t="str">
        <f>IFERROR(__xludf.DUMMYFUNCTION("""COMPUTED_VALUE"""),"Álvaro Fidalgo|46024")</f>
        <v>Álvaro Fidalgo|46024</v>
      </c>
      <c r="O1787" s="7">
        <f>IFERROR(__xludf.DUMMYFUNCTION("""COMPUTED_VALUE"""),5.0)</f>
        <v>5</v>
      </c>
    </row>
    <row r="1788" ht="22.5" hidden="1" customHeight="1">
      <c r="A1788" s="8">
        <v>45896.36798729167</v>
      </c>
      <c r="B1788" s="9">
        <v>45896.0</v>
      </c>
      <c r="C1788" s="9" t="s">
        <v>15</v>
      </c>
      <c r="D1788" s="9" t="s">
        <v>280</v>
      </c>
      <c r="E1788" s="9" t="s">
        <v>17</v>
      </c>
      <c r="F1788" s="9" t="s">
        <v>17</v>
      </c>
      <c r="G1788" s="9" t="s">
        <v>24</v>
      </c>
      <c r="H1788" s="9" t="s">
        <v>17</v>
      </c>
      <c r="I1788" s="9" t="s">
        <v>20</v>
      </c>
      <c r="J1788" s="10"/>
      <c r="K1788" s="7" t="s">
        <v>398</v>
      </c>
      <c r="L1788" s="7"/>
      <c r="M1788" s="7"/>
      <c r="N1788" s="7" t="str">
        <f>IFERROR(__xludf.DUMMYFUNCTION("""COMPUTED_VALUE"""),"Cristian Borja|46024")</f>
        <v>Cristian Borja|46024</v>
      </c>
      <c r="O1788" s="7">
        <f>IFERROR(__xludf.DUMMYFUNCTION("""COMPUTED_VALUE"""),5.0)</f>
        <v>5</v>
      </c>
    </row>
    <row r="1789" ht="22.5" hidden="1" customHeight="1">
      <c r="A1789" s="8">
        <v>45896.371080972225</v>
      </c>
      <c r="B1789" s="9">
        <v>45896.0</v>
      </c>
      <c r="C1789" s="9" t="s">
        <v>15</v>
      </c>
      <c r="D1789" s="9" t="s">
        <v>397</v>
      </c>
      <c r="E1789" s="9" t="s">
        <v>17</v>
      </c>
      <c r="F1789" s="9" t="s">
        <v>17</v>
      </c>
      <c r="G1789" s="9" t="s">
        <v>24</v>
      </c>
      <c r="H1789" s="9" t="s">
        <v>25</v>
      </c>
      <c r="I1789" s="9" t="s">
        <v>234</v>
      </c>
      <c r="J1789" s="10"/>
      <c r="K1789" s="1" t="s">
        <v>398</v>
      </c>
      <c r="L1789" s="7"/>
      <c r="M1789" s="7"/>
      <c r="N1789" s="7" t="str">
        <f>IFERROR(__xludf.DUMMYFUNCTION("""COMPUTED_VALUE"""),"Alan Cervantes|46024")</f>
        <v>Alan Cervantes|46024</v>
      </c>
      <c r="O1789" s="7">
        <f>IFERROR(__xludf.DUMMYFUNCTION("""COMPUTED_VALUE"""),6.0)</f>
        <v>6</v>
      </c>
    </row>
    <row r="1790" ht="22.5" hidden="1" customHeight="1">
      <c r="A1790" s="8">
        <v>45896.373275185186</v>
      </c>
      <c r="B1790" s="9">
        <v>45896.0</v>
      </c>
      <c r="C1790" s="9" t="s">
        <v>15</v>
      </c>
      <c r="D1790" s="9" t="s">
        <v>178</v>
      </c>
      <c r="E1790" s="9" t="s">
        <v>17</v>
      </c>
      <c r="F1790" s="9" t="s">
        <v>35</v>
      </c>
      <c r="G1790" s="9" t="s">
        <v>24</v>
      </c>
      <c r="H1790" s="9" t="s">
        <v>17</v>
      </c>
      <c r="I1790" s="9" t="s">
        <v>20</v>
      </c>
      <c r="J1790" s="10"/>
      <c r="K1790" s="7" t="s">
        <v>398</v>
      </c>
      <c r="L1790" s="7"/>
      <c r="M1790" s="7"/>
      <c r="N1790" s="7" t="str">
        <f>IFERROR(__xludf.DUMMYFUNCTION("""COMPUTED_VALUE"""),"Álvaro Fidalgo|46025")</f>
        <v>Álvaro Fidalgo|46025</v>
      </c>
      <c r="O1790" s="7">
        <f>IFERROR(__xludf.DUMMYFUNCTION("""COMPUTED_VALUE"""),3.0)</f>
        <v>3</v>
      </c>
    </row>
    <row r="1791" ht="22.5" hidden="1" customHeight="1">
      <c r="A1791" s="8">
        <v>45896.37404847222</v>
      </c>
      <c r="B1791" s="9">
        <v>45896.0</v>
      </c>
      <c r="C1791" s="9" t="s">
        <v>15</v>
      </c>
      <c r="D1791" s="9" t="s">
        <v>223</v>
      </c>
      <c r="E1791" s="9" t="s">
        <v>17</v>
      </c>
      <c r="F1791" s="9" t="s">
        <v>17</v>
      </c>
      <c r="G1791" s="9" t="s">
        <v>24</v>
      </c>
      <c r="H1791" s="9" t="s">
        <v>25</v>
      </c>
      <c r="I1791" s="9" t="s">
        <v>273</v>
      </c>
      <c r="J1791" s="10"/>
      <c r="K1791" s="7" t="s">
        <v>398</v>
      </c>
      <c r="L1791" s="7"/>
      <c r="M1791" s="7"/>
      <c r="N1791" s="7" t="str">
        <f>IFERROR(__xludf.DUMMYFUNCTION("""COMPUTED_VALUE"""),"Alejando Zendejas|46025")</f>
        <v>Alejando Zendejas|46025</v>
      </c>
      <c r="O1791" s="7">
        <f>IFERROR(__xludf.DUMMYFUNCTION("""COMPUTED_VALUE"""),4.0)</f>
        <v>4</v>
      </c>
    </row>
    <row r="1792" ht="22.5" hidden="1" customHeight="1">
      <c r="A1792" s="8">
        <v>45896.37438153935</v>
      </c>
      <c r="B1792" s="9">
        <v>45896.0</v>
      </c>
      <c r="C1792" s="9" t="s">
        <v>15</v>
      </c>
      <c r="D1792" s="9" t="s">
        <v>168</v>
      </c>
      <c r="E1792" s="9" t="s">
        <v>17</v>
      </c>
      <c r="F1792" s="9" t="s">
        <v>17</v>
      </c>
      <c r="G1792" s="9" t="s">
        <v>24</v>
      </c>
      <c r="H1792" s="9" t="s">
        <v>17</v>
      </c>
      <c r="I1792" s="9" t="s">
        <v>20</v>
      </c>
      <c r="J1792" s="10"/>
      <c r="K1792" s="7" t="s">
        <v>398</v>
      </c>
      <c r="L1792" s="7"/>
      <c r="M1792" s="7"/>
      <c r="N1792" s="7" t="str">
        <f>IFERROR(__xludf.DUMMYFUNCTION("""COMPUTED_VALUE"""),"Kevin Álvarez|46025")</f>
        <v>Kevin Álvarez|46025</v>
      </c>
      <c r="O1792" s="7">
        <f>IFERROR(__xludf.DUMMYFUNCTION("""COMPUTED_VALUE"""),4.0)</f>
        <v>4</v>
      </c>
    </row>
    <row r="1793" ht="22.5" hidden="1" customHeight="1">
      <c r="A1793" s="8">
        <v>45896.37454163194</v>
      </c>
      <c r="B1793" s="9">
        <v>45896.0</v>
      </c>
      <c r="C1793" s="9" t="s">
        <v>15</v>
      </c>
      <c r="D1793" s="9" t="s">
        <v>361</v>
      </c>
      <c r="E1793" s="9" t="s">
        <v>17</v>
      </c>
      <c r="F1793" s="9" t="s">
        <v>17</v>
      </c>
      <c r="G1793" s="9" t="s">
        <v>24</v>
      </c>
      <c r="H1793" s="9" t="s">
        <v>22</v>
      </c>
      <c r="I1793" s="9" t="s">
        <v>20</v>
      </c>
      <c r="J1793" s="10"/>
      <c r="K1793" s="7" t="s">
        <v>398</v>
      </c>
      <c r="L1793" s="7"/>
      <c r="M1793" s="7"/>
      <c r="N1793" s="7" t="str">
        <f>IFERROR(__xludf.DUMMYFUNCTION("""COMPUTED_VALUE"""),"Santiago Naveda|46025")</f>
        <v>Santiago Naveda|46025</v>
      </c>
      <c r="O1793" s="7">
        <f>IFERROR(__xludf.DUMMYFUNCTION("""COMPUTED_VALUE"""),4.0)</f>
        <v>4</v>
      </c>
    </row>
    <row r="1794" ht="22.5" hidden="1" customHeight="1">
      <c r="A1794" s="8">
        <v>45896.374747766204</v>
      </c>
      <c r="B1794" s="9">
        <v>45896.0</v>
      </c>
      <c r="C1794" s="9" t="s">
        <v>15</v>
      </c>
      <c r="D1794" s="9" t="s">
        <v>249</v>
      </c>
      <c r="E1794" s="9" t="s">
        <v>17</v>
      </c>
      <c r="F1794" s="9" t="s">
        <v>17</v>
      </c>
      <c r="G1794" s="9" t="s">
        <v>24</v>
      </c>
      <c r="H1794" s="9" t="s">
        <v>22</v>
      </c>
      <c r="I1794" s="9" t="s">
        <v>20</v>
      </c>
      <c r="J1794" s="10"/>
      <c r="K1794" s="7" t="s">
        <v>398</v>
      </c>
      <c r="L1794" s="7"/>
      <c r="M1794" s="7"/>
      <c r="N1794" s="7" t="str">
        <f>IFERROR(__xludf.DUMMYFUNCTION("""COMPUTED_VALUE"""),"Rodolfo Cota|46025")</f>
        <v>Rodolfo Cota|46025</v>
      </c>
      <c r="O1794" s="7">
        <f>IFERROR(__xludf.DUMMYFUNCTION("""COMPUTED_VALUE"""),2.0)</f>
        <v>2</v>
      </c>
    </row>
    <row r="1795" ht="22.5" hidden="1" customHeight="1">
      <c r="A1795" s="8">
        <v>45896.37489825231</v>
      </c>
      <c r="B1795" s="9">
        <v>45896.0</v>
      </c>
      <c r="C1795" s="9" t="s">
        <v>15</v>
      </c>
      <c r="D1795" s="9" t="s">
        <v>175</v>
      </c>
      <c r="E1795" s="9" t="s">
        <v>17</v>
      </c>
      <c r="F1795" s="9" t="s">
        <v>17</v>
      </c>
      <c r="G1795" s="9" t="s">
        <v>24</v>
      </c>
      <c r="H1795" s="9" t="s">
        <v>17</v>
      </c>
      <c r="I1795" s="9" t="s">
        <v>20</v>
      </c>
      <c r="J1795" s="10"/>
      <c r="K1795" s="7" t="s">
        <v>398</v>
      </c>
      <c r="L1795" s="7"/>
      <c r="M1795" s="7"/>
      <c r="N1795" s="7" t="str">
        <f>IFERROR(__xludf.DUMMYFUNCTION("""COMPUTED_VALUE"""),"Allan Saint-Maximin|46025")</f>
        <v>Allan Saint-Maximin|46025</v>
      </c>
      <c r="O1795" s="7">
        <f>IFERROR(__xludf.DUMMYFUNCTION("""COMPUTED_VALUE"""),3.0)</f>
        <v>3</v>
      </c>
    </row>
    <row r="1796" ht="22.5" hidden="1" customHeight="1">
      <c r="A1796" s="8">
        <v>45896.38257797454</v>
      </c>
      <c r="B1796" s="9">
        <v>45896.0</v>
      </c>
      <c r="C1796" s="9" t="s">
        <v>15</v>
      </c>
      <c r="D1796" s="9" t="s">
        <v>350</v>
      </c>
      <c r="E1796" s="9" t="s">
        <v>17</v>
      </c>
      <c r="F1796" s="9" t="s">
        <v>17</v>
      </c>
      <c r="G1796" s="9" t="s">
        <v>24</v>
      </c>
      <c r="H1796" s="9" t="s">
        <v>17</v>
      </c>
      <c r="I1796" s="9" t="s">
        <v>20</v>
      </c>
      <c r="J1796" s="10"/>
      <c r="K1796" s="7" t="s">
        <v>398</v>
      </c>
      <c r="L1796" s="7"/>
      <c r="M1796" s="7"/>
      <c r="N1796" s="7" t="str">
        <f>IFERROR(__xludf.DUMMYFUNCTION("""COMPUTED_VALUE"""),"Sebastián Cáceres|46025")</f>
        <v>Sebastián Cáceres|46025</v>
      </c>
      <c r="O1796" s="7">
        <f>IFERROR(__xludf.DUMMYFUNCTION("""COMPUTED_VALUE"""),3.0)</f>
        <v>3</v>
      </c>
    </row>
    <row r="1797" ht="22.5" hidden="1" customHeight="1">
      <c r="A1797" s="8">
        <v>45896.38420561343</v>
      </c>
      <c r="B1797" s="9">
        <v>45896.0</v>
      </c>
      <c r="C1797" s="9" t="s">
        <v>15</v>
      </c>
      <c r="D1797" s="9" t="s">
        <v>174</v>
      </c>
      <c r="E1797" s="9" t="s">
        <v>17</v>
      </c>
      <c r="F1797" s="9" t="s">
        <v>17</v>
      </c>
      <c r="G1797" s="9" t="s">
        <v>24</v>
      </c>
      <c r="H1797" s="9" t="s">
        <v>17</v>
      </c>
      <c r="I1797" s="9" t="s">
        <v>20</v>
      </c>
      <c r="J1797" s="10"/>
      <c r="K1797" s="7" t="s">
        <v>398</v>
      </c>
      <c r="L1797" s="7"/>
      <c r="M1797" s="7"/>
      <c r="N1797" s="7" t="str">
        <f>IFERROR(__xludf.DUMMYFUNCTION("""COMPUTED_VALUE"""),"Patricio Salas|46025")</f>
        <v>Patricio Salas|46025</v>
      </c>
      <c r="O1797" s="7">
        <f>IFERROR(__xludf.DUMMYFUNCTION("""COMPUTED_VALUE"""),4.0)</f>
        <v>4</v>
      </c>
    </row>
    <row r="1798" ht="22.5" hidden="1" customHeight="1">
      <c r="A1798" s="8">
        <v>45896.393127222225</v>
      </c>
      <c r="B1798" s="9">
        <v>45896.0</v>
      </c>
      <c r="C1798" s="9" t="s">
        <v>15</v>
      </c>
      <c r="D1798" s="9" t="s">
        <v>259</v>
      </c>
      <c r="E1798" s="9" t="s">
        <v>17</v>
      </c>
      <c r="F1798" s="9" t="s">
        <v>17</v>
      </c>
      <c r="G1798" s="9" t="s">
        <v>24</v>
      </c>
      <c r="H1798" s="9" t="s">
        <v>17</v>
      </c>
      <c r="I1798" s="9" t="s">
        <v>20</v>
      </c>
      <c r="J1798" s="10"/>
      <c r="K1798" s="7" t="s">
        <v>398</v>
      </c>
      <c r="L1798" s="7"/>
      <c r="M1798" s="7"/>
      <c r="N1798" s="7" t="str">
        <f>IFERROR(__xludf.DUMMYFUNCTION("""COMPUTED_VALUE"""),"Alexis Gutiérrez|46025")</f>
        <v>Alexis Gutiérrez|46025</v>
      </c>
      <c r="O1798" s="7">
        <f>IFERROR(__xludf.DUMMYFUNCTION("""COMPUTED_VALUE"""),3.0)</f>
        <v>3</v>
      </c>
    </row>
    <row r="1799" ht="22.5" hidden="1" customHeight="1">
      <c r="A1799" s="8">
        <v>45896.40711936343</v>
      </c>
      <c r="B1799" s="9">
        <v>45896.0</v>
      </c>
      <c r="C1799" s="9" t="s">
        <v>15</v>
      </c>
      <c r="D1799" s="9" t="s">
        <v>396</v>
      </c>
      <c r="E1799" s="9" t="s">
        <v>17</v>
      </c>
      <c r="F1799" s="9" t="s">
        <v>17</v>
      </c>
      <c r="G1799" s="9" t="s">
        <v>24</v>
      </c>
      <c r="H1799" s="9" t="s">
        <v>17</v>
      </c>
      <c r="I1799" s="9" t="s">
        <v>20</v>
      </c>
      <c r="J1799" s="10"/>
      <c r="K1799" s="7" t="s">
        <v>398</v>
      </c>
      <c r="L1799" s="7"/>
      <c r="M1799" s="7"/>
      <c r="N1799" s="7" t="str">
        <f>IFERROR(__xludf.DUMMYFUNCTION("""COMPUTED_VALUE"""),"José Raúl Zuñiga|46025")</f>
        <v>José Raúl Zuñiga|46025</v>
      </c>
      <c r="O1799" s="7">
        <f>IFERROR(__xludf.DUMMYFUNCTION("""COMPUTED_VALUE"""),3.0)</f>
        <v>3</v>
      </c>
    </row>
    <row r="1800" ht="22.5" hidden="1" customHeight="1">
      <c r="A1800" s="8">
        <v>45896.40848599537</v>
      </c>
      <c r="B1800" s="9">
        <v>45896.0</v>
      </c>
      <c r="C1800" s="9" t="s">
        <v>15</v>
      </c>
      <c r="D1800" s="9" t="s">
        <v>367</v>
      </c>
      <c r="E1800" s="9" t="s">
        <v>17</v>
      </c>
      <c r="F1800" s="9" t="s">
        <v>17</v>
      </c>
      <c r="G1800" s="9" t="s">
        <v>24</v>
      </c>
      <c r="H1800" s="9" t="s">
        <v>17</v>
      </c>
      <c r="I1800" s="9" t="s">
        <v>20</v>
      </c>
      <c r="J1800" s="10"/>
      <c r="K1800" s="7" t="s">
        <v>398</v>
      </c>
      <c r="L1800" s="7"/>
      <c r="M1800" s="7"/>
      <c r="N1800" s="7" t="str">
        <f>IFERROR(__xludf.DUMMYFUNCTION("""COMPUTED_VALUE"""),"Miguel Vázquez|46025")</f>
        <v>Miguel Vázquez|46025</v>
      </c>
      <c r="O1800" s="7">
        <f>IFERROR(__xludf.DUMMYFUNCTION("""COMPUTED_VALUE"""),3.0)</f>
        <v>3</v>
      </c>
    </row>
    <row r="1801" ht="22.5" hidden="1" customHeight="1">
      <c r="A1801" s="8">
        <v>45896.4086643287</v>
      </c>
      <c r="B1801" s="9">
        <v>45896.0</v>
      </c>
      <c r="C1801" s="9" t="s">
        <v>15</v>
      </c>
      <c r="D1801" s="9" t="s">
        <v>394</v>
      </c>
      <c r="E1801" s="9" t="s">
        <v>17</v>
      </c>
      <c r="F1801" s="9" t="s">
        <v>17</v>
      </c>
      <c r="G1801" s="9" t="s">
        <v>24</v>
      </c>
      <c r="H1801" s="9" t="s">
        <v>17</v>
      </c>
      <c r="I1801" s="9" t="s">
        <v>20</v>
      </c>
      <c r="J1801" s="10"/>
      <c r="K1801" s="7" t="s">
        <v>398</v>
      </c>
      <c r="L1801" s="7"/>
      <c r="M1801" s="7"/>
      <c r="N1801" s="7" t="str">
        <f>IFERROR(__xludf.DUMMYFUNCTION("""COMPUTED_VALUE"""),"Néstor Araujo|46025")</f>
        <v>Néstor Araujo|46025</v>
      </c>
      <c r="O1801" s="7">
        <f>IFERROR(__xludf.DUMMYFUNCTION("""COMPUTED_VALUE"""),5.0)</f>
        <v>5</v>
      </c>
    </row>
    <row r="1802" ht="22.5" hidden="1" customHeight="1">
      <c r="A1802" s="8">
        <v>45897.35840283565</v>
      </c>
      <c r="B1802" s="9">
        <v>45897.0</v>
      </c>
      <c r="C1802" s="9" t="s">
        <v>31</v>
      </c>
      <c r="D1802" s="9" t="s">
        <v>258</v>
      </c>
      <c r="E1802" s="9" t="s">
        <v>17</v>
      </c>
      <c r="F1802" s="9" t="s">
        <v>17</v>
      </c>
      <c r="G1802" s="9" t="s">
        <v>24</v>
      </c>
      <c r="H1802" s="9" t="s">
        <v>17</v>
      </c>
      <c r="I1802" s="9" t="s">
        <v>20</v>
      </c>
      <c r="J1802" s="10"/>
      <c r="K1802" s="7" t="s">
        <v>398</v>
      </c>
      <c r="L1802" s="7"/>
      <c r="M1802" s="7"/>
      <c r="N1802" s="7" t="str">
        <f>IFERROR(__xludf.DUMMYFUNCTION("""COMPUTED_VALUE"""),"Henry Martín|46025")</f>
        <v>Henry Martín|46025</v>
      </c>
      <c r="O1802" s="7">
        <f>IFERROR(__xludf.DUMMYFUNCTION("""COMPUTED_VALUE"""),4.0)</f>
        <v>4</v>
      </c>
    </row>
    <row r="1803" ht="22.5" hidden="1" customHeight="1">
      <c r="A1803" s="8">
        <v>45897.35858082176</v>
      </c>
      <c r="B1803" s="9">
        <v>45897.0</v>
      </c>
      <c r="C1803" s="9" t="s">
        <v>31</v>
      </c>
      <c r="D1803" s="9" t="s">
        <v>257</v>
      </c>
      <c r="E1803" s="9" t="s">
        <v>17</v>
      </c>
      <c r="F1803" s="9" t="s">
        <v>17</v>
      </c>
      <c r="G1803" s="9" t="s">
        <v>24</v>
      </c>
      <c r="H1803" s="9" t="s">
        <v>17</v>
      </c>
      <c r="I1803" s="9" t="s">
        <v>20</v>
      </c>
      <c r="J1803" s="10"/>
      <c r="K1803" s="7" t="s">
        <v>398</v>
      </c>
      <c r="L1803" s="7"/>
      <c r="M1803" s="7"/>
      <c r="N1803" s="7" t="str">
        <f>IFERROR(__xludf.DUMMYFUNCTION("""COMPUTED_VALUE"""),"Israel Reyes|46025")</f>
        <v>Israel Reyes|46025</v>
      </c>
      <c r="O1803" s="7">
        <f>IFERROR(__xludf.DUMMYFUNCTION("""COMPUTED_VALUE"""),3.0)</f>
        <v>3</v>
      </c>
    </row>
    <row r="1804" ht="22.5" hidden="1" customHeight="1">
      <c r="A1804" s="8">
        <v>45897.35874866898</v>
      </c>
      <c r="B1804" s="9">
        <v>45897.0</v>
      </c>
      <c r="C1804" s="9" t="s">
        <v>31</v>
      </c>
      <c r="D1804" s="9" t="s">
        <v>249</v>
      </c>
      <c r="E1804" s="9" t="s">
        <v>17</v>
      </c>
      <c r="F1804" s="9" t="s">
        <v>17</v>
      </c>
      <c r="G1804" s="9" t="s">
        <v>24</v>
      </c>
      <c r="H1804" s="9" t="s">
        <v>17</v>
      </c>
      <c r="I1804" s="9" t="s">
        <v>20</v>
      </c>
      <c r="J1804" s="10"/>
      <c r="K1804" s="7" t="s">
        <v>398</v>
      </c>
      <c r="L1804" s="7"/>
      <c r="M1804" s="7"/>
      <c r="N1804" s="7" t="str">
        <f>IFERROR(__xludf.DUMMYFUNCTION("""COMPUTED_VALUE"""),"Jonathan Dos Santos|46025")</f>
        <v>Jonathan Dos Santos|46025</v>
      </c>
      <c r="O1804" s="7">
        <f>IFERROR(__xludf.DUMMYFUNCTION("""COMPUTED_VALUE"""),3.0)</f>
        <v>3</v>
      </c>
    </row>
    <row r="1805" ht="22.5" hidden="1" customHeight="1">
      <c r="A1805" s="8">
        <v>45897.359199189814</v>
      </c>
      <c r="B1805" s="9">
        <v>45897.0</v>
      </c>
      <c r="C1805" s="9" t="s">
        <v>31</v>
      </c>
      <c r="D1805" s="9" t="s">
        <v>280</v>
      </c>
      <c r="E1805" s="9" t="s">
        <v>17</v>
      </c>
      <c r="F1805" s="9" t="s">
        <v>17</v>
      </c>
      <c r="G1805" s="9" t="s">
        <v>24</v>
      </c>
      <c r="H1805" s="9" t="s">
        <v>17</v>
      </c>
      <c r="I1805" s="9" t="s">
        <v>20</v>
      </c>
      <c r="J1805" s="10"/>
      <c r="K1805" s="7" t="s">
        <v>398</v>
      </c>
      <c r="L1805" s="7"/>
      <c r="M1805" s="7"/>
      <c r="N1805" s="7" t="str">
        <f>IFERROR(__xludf.DUMMYFUNCTION("""COMPUTED_VALUE"""),"Brian Rodríguez|46025")</f>
        <v>Brian Rodríguez|46025</v>
      </c>
      <c r="O1805" s="7">
        <f>IFERROR(__xludf.DUMMYFUNCTION("""COMPUTED_VALUE"""),2.0)</f>
        <v>2</v>
      </c>
    </row>
    <row r="1806" ht="22.5" hidden="1" customHeight="1">
      <c r="A1806" s="8">
        <v>45897.361597546296</v>
      </c>
      <c r="B1806" s="9">
        <v>45897.0</v>
      </c>
      <c r="C1806" s="9" t="s">
        <v>31</v>
      </c>
      <c r="D1806" s="9" t="s">
        <v>177</v>
      </c>
      <c r="E1806" s="9" t="s">
        <v>17</v>
      </c>
      <c r="F1806" s="9" t="s">
        <v>17</v>
      </c>
      <c r="G1806" s="9" t="s">
        <v>24</v>
      </c>
      <c r="H1806" s="9" t="s">
        <v>17</v>
      </c>
      <c r="I1806" s="9" t="s">
        <v>20</v>
      </c>
      <c r="J1806" s="10"/>
      <c r="K1806" s="7" t="s">
        <v>398</v>
      </c>
      <c r="L1806" s="7"/>
      <c r="M1806" s="7"/>
      <c r="N1806" s="7" t="str">
        <f>IFERROR(__xludf.DUMMYFUNCTION("""COMPUTED_VALUE"""),"Cristian Borja|46025")</f>
        <v>Cristian Borja|46025</v>
      </c>
      <c r="O1806" s="7">
        <f>IFERROR(__xludf.DUMMYFUNCTION("""COMPUTED_VALUE"""),3.0)</f>
        <v>3</v>
      </c>
    </row>
    <row r="1807" ht="22.5" hidden="1" customHeight="1">
      <c r="A1807" s="8">
        <v>45897.36182627315</v>
      </c>
      <c r="B1807" s="9">
        <v>45897.0</v>
      </c>
      <c r="C1807" s="9" t="s">
        <v>31</v>
      </c>
      <c r="D1807" s="9" t="s">
        <v>357</v>
      </c>
      <c r="E1807" s="9" t="s">
        <v>17</v>
      </c>
      <c r="F1807" s="9" t="s">
        <v>17</v>
      </c>
      <c r="G1807" s="9" t="s">
        <v>24</v>
      </c>
      <c r="H1807" s="9" t="s">
        <v>17</v>
      </c>
      <c r="I1807" s="9" t="s">
        <v>20</v>
      </c>
      <c r="J1807" s="10"/>
      <c r="K1807" s="7" t="s">
        <v>398</v>
      </c>
      <c r="L1807" s="7"/>
      <c r="M1807" s="7"/>
      <c r="N1807" s="7" t="str">
        <f>IFERROR(__xludf.DUMMYFUNCTION("""COMPUTED_VALUE"""),"Igor Lichnovsky|46025")</f>
        <v>Igor Lichnovsky|46025</v>
      </c>
      <c r="O1807" s="7">
        <f>IFERROR(__xludf.DUMMYFUNCTION("""COMPUTED_VALUE"""),2.0)</f>
        <v>2</v>
      </c>
    </row>
    <row r="1808" ht="22.5" hidden="1" customHeight="1">
      <c r="A1808" s="8">
        <v>45897.36203703703</v>
      </c>
      <c r="B1808" s="9">
        <v>45897.0</v>
      </c>
      <c r="C1808" s="9" t="s">
        <v>31</v>
      </c>
      <c r="D1808" s="9" t="s">
        <v>394</v>
      </c>
      <c r="E1808" s="9" t="s">
        <v>17</v>
      </c>
      <c r="F1808" s="9" t="s">
        <v>17</v>
      </c>
      <c r="G1808" s="9" t="s">
        <v>24</v>
      </c>
      <c r="H1808" s="9" t="s">
        <v>25</v>
      </c>
      <c r="I1808" s="9" t="s">
        <v>273</v>
      </c>
      <c r="J1808" s="10"/>
      <c r="K1808" s="7" t="s">
        <v>398</v>
      </c>
      <c r="L1808" s="7"/>
      <c r="M1808" s="7"/>
      <c r="N1808" s="7" t="str">
        <f>IFERROR(__xludf.DUMMYFUNCTION("""COMPUTED_VALUE"""),"Rodrigo Aguirre|46025")</f>
        <v>Rodrigo Aguirre|46025</v>
      </c>
      <c r="O1808" s="7">
        <f>IFERROR(__xludf.DUMMYFUNCTION("""COMPUTED_VALUE"""),3.0)</f>
        <v>3</v>
      </c>
    </row>
    <row r="1809" ht="22.5" hidden="1" customHeight="1">
      <c r="A1809" s="8">
        <v>45897.367273854165</v>
      </c>
      <c r="B1809" s="9">
        <v>45897.0</v>
      </c>
      <c r="C1809" s="9" t="s">
        <v>31</v>
      </c>
      <c r="D1809" s="9" t="s">
        <v>175</v>
      </c>
      <c r="E1809" s="9" t="s">
        <v>17</v>
      </c>
      <c r="F1809" s="9" t="s">
        <v>17</v>
      </c>
      <c r="G1809" s="9" t="s">
        <v>24</v>
      </c>
      <c r="H1809" s="9" t="s">
        <v>17</v>
      </c>
      <c r="I1809" s="9" t="s">
        <v>20</v>
      </c>
      <c r="J1809" s="10"/>
      <c r="K1809" s="7" t="s">
        <v>398</v>
      </c>
      <c r="L1809" s="7"/>
      <c r="M1809" s="7"/>
      <c r="N1809" s="7" t="str">
        <f>IFERROR(__xludf.DUMMYFUNCTION("""COMPUTED_VALUE"""),"Alan Cervantes|46025")</f>
        <v>Alan Cervantes|46025</v>
      </c>
      <c r="O1809" s="7">
        <f>IFERROR(__xludf.DUMMYFUNCTION("""COMPUTED_VALUE"""),5.0)</f>
        <v>5</v>
      </c>
    </row>
    <row r="1810" ht="22.5" hidden="1" customHeight="1">
      <c r="A1810" s="8">
        <v>45897.37258306713</v>
      </c>
      <c r="B1810" s="9">
        <v>45897.0</v>
      </c>
      <c r="C1810" s="9" t="s">
        <v>31</v>
      </c>
      <c r="D1810" s="9" t="s">
        <v>395</v>
      </c>
      <c r="E1810" s="9" t="s">
        <v>17</v>
      </c>
      <c r="F1810" s="9" t="s">
        <v>17</v>
      </c>
      <c r="G1810" s="9" t="s">
        <v>24</v>
      </c>
      <c r="H1810" s="9" t="s">
        <v>17</v>
      </c>
      <c r="I1810" s="9" t="s">
        <v>20</v>
      </c>
      <c r="J1810" s="10"/>
      <c r="K1810" s="7" t="s">
        <v>398</v>
      </c>
      <c r="L1810" s="7"/>
      <c r="M1810" s="7"/>
      <c r="N1810" s="7" t="str">
        <f>IFERROR(__xludf.DUMMYFUNCTION("""COMPUTED_VALUE"""),"Víctor Dávila|46025")</f>
        <v>Víctor Dávila|46025</v>
      </c>
      <c r="O1810" s="7">
        <f>IFERROR(__xludf.DUMMYFUNCTION("""COMPUTED_VALUE"""),4.0)</f>
        <v>4</v>
      </c>
    </row>
    <row r="1811" ht="22.5" hidden="1" customHeight="1">
      <c r="A1811" s="8">
        <v>45897.375015405094</v>
      </c>
      <c r="B1811" s="9">
        <v>45897.0</v>
      </c>
      <c r="C1811" s="9" t="s">
        <v>31</v>
      </c>
      <c r="D1811" s="9" t="s">
        <v>361</v>
      </c>
      <c r="E1811" s="9" t="s">
        <v>17</v>
      </c>
      <c r="F1811" s="9" t="s">
        <v>17</v>
      </c>
      <c r="G1811" s="9" t="s">
        <v>24</v>
      </c>
      <c r="H1811" s="9" t="s">
        <v>17</v>
      </c>
      <c r="I1811" s="9" t="s">
        <v>20</v>
      </c>
      <c r="J1811" s="10"/>
      <c r="K1811" s="7" t="s">
        <v>398</v>
      </c>
      <c r="L1811" s="7"/>
      <c r="M1811" s="7"/>
      <c r="N1811" s="7" t="str">
        <f>IFERROR(__xludf.DUMMYFUNCTION("""COMPUTED_VALUE"""),"Miguel Vázquez|46026")</f>
        <v>Miguel Vázquez|46026</v>
      </c>
      <c r="O1811" s="7">
        <f>IFERROR(__xludf.DUMMYFUNCTION("""COMPUTED_VALUE"""),5.0)</f>
        <v>5</v>
      </c>
    </row>
    <row r="1812" ht="22.5" hidden="1" customHeight="1">
      <c r="A1812" s="8">
        <v>45897.37525747685</v>
      </c>
      <c r="B1812" s="9">
        <v>45897.0</v>
      </c>
      <c r="C1812" s="9" t="s">
        <v>31</v>
      </c>
      <c r="D1812" s="9" t="s">
        <v>174</v>
      </c>
      <c r="E1812" s="9" t="s">
        <v>17</v>
      </c>
      <c r="F1812" s="9" t="s">
        <v>17</v>
      </c>
      <c r="G1812" s="9" t="s">
        <v>24</v>
      </c>
      <c r="H1812" s="9" t="s">
        <v>17</v>
      </c>
      <c r="I1812" s="9" t="s">
        <v>20</v>
      </c>
      <c r="J1812" s="10"/>
      <c r="K1812" s="7" t="s">
        <v>398</v>
      </c>
      <c r="L1812" s="7"/>
      <c r="M1812" s="7"/>
      <c r="N1812" s="7" t="str">
        <f>IFERROR(__xludf.DUMMYFUNCTION("""COMPUTED_VALUE"""),"Israel Reyes|46026")</f>
        <v>Israel Reyes|46026</v>
      </c>
      <c r="O1812" s="7">
        <f>IFERROR(__xludf.DUMMYFUNCTION("""COMPUTED_VALUE"""),7.0)</f>
        <v>7</v>
      </c>
    </row>
    <row r="1813" ht="22.5" hidden="1" customHeight="1">
      <c r="A1813" s="8">
        <v>45897.380201249995</v>
      </c>
      <c r="B1813" s="9">
        <v>45897.0</v>
      </c>
      <c r="C1813" s="9" t="s">
        <v>31</v>
      </c>
      <c r="D1813" s="9" t="s">
        <v>397</v>
      </c>
      <c r="E1813" s="9" t="s">
        <v>17</v>
      </c>
      <c r="F1813" s="9" t="s">
        <v>60</v>
      </c>
      <c r="G1813" s="9" t="s">
        <v>40</v>
      </c>
      <c r="H1813" s="9" t="s">
        <v>25</v>
      </c>
      <c r="I1813" s="9" t="s">
        <v>242</v>
      </c>
      <c r="J1813" s="10"/>
      <c r="K1813" s="1" t="s">
        <v>398</v>
      </c>
      <c r="L1813" s="7"/>
      <c r="M1813" s="7"/>
      <c r="N1813" s="7" t="str">
        <f>IFERROR(__xludf.DUMMYFUNCTION("""COMPUTED_VALUE"""),"Sebastián Cáceres|46026")</f>
        <v>Sebastián Cáceres|46026</v>
      </c>
      <c r="O1813" s="7">
        <f>IFERROR(__xludf.DUMMYFUNCTION("""COMPUTED_VALUE"""),6.0)</f>
        <v>6</v>
      </c>
    </row>
    <row r="1814" ht="22.5" hidden="1" customHeight="1">
      <c r="A1814" s="8">
        <v>45897.38317991898</v>
      </c>
      <c r="B1814" s="9">
        <v>45897.0</v>
      </c>
      <c r="C1814" s="9" t="s">
        <v>31</v>
      </c>
      <c r="D1814" s="9" t="s">
        <v>259</v>
      </c>
      <c r="E1814" s="9" t="s">
        <v>17</v>
      </c>
      <c r="F1814" s="9" t="s">
        <v>18</v>
      </c>
      <c r="G1814" s="9" t="s">
        <v>24</v>
      </c>
      <c r="H1814" s="9" t="s">
        <v>17</v>
      </c>
      <c r="I1814" s="9" t="s">
        <v>20</v>
      </c>
      <c r="J1814" s="10"/>
      <c r="K1814" s="7" t="s">
        <v>398</v>
      </c>
      <c r="L1814" s="7"/>
      <c r="M1814" s="7"/>
      <c r="N1814" s="7" t="str">
        <f>IFERROR(__xludf.DUMMYFUNCTION("""COMPUTED_VALUE"""),"José Raúl Zuñiga|46026")</f>
        <v>José Raúl Zuñiga|46026</v>
      </c>
      <c r="O1814" s="7">
        <f>IFERROR(__xludf.DUMMYFUNCTION("""COMPUTED_VALUE"""),4.0)</f>
        <v>4</v>
      </c>
    </row>
    <row r="1815" ht="22.5" hidden="1" customHeight="1">
      <c r="A1815" s="8">
        <v>45897.38351017361</v>
      </c>
      <c r="B1815" s="9">
        <v>45897.0</v>
      </c>
      <c r="C1815" s="9" t="s">
        <v>31</v>
      </c>
      <c r="D1815" s="9" t="s">
        <v>350</v>
      </c>
      <c r="E1815" s="9" t="s">
        <v>17</v>
      </c>
      <c r="F1815" s="9" t="s">
        <v>17</v>
      </c>
      <c r="G1815" s="9" t="s">
        <v>24</v>
      </c>
      <c r="H1815" s="9" t="s">
        <v>17</v>
      </c>
      <c r="I1815" s="9" t="s">
        <v>20</v>
      </c>
      <c r="J1815" s="10"/>
      <c r="K1815" s="7" t="s">
        <v>398</v>
      </c>
      <c r="L1815" s="7"/>
      <c r="M1815" s="7"/>
      <c r="N1815" s="7" t="str">
        <f>IFERROR(__xludf.DUMMYFUNCTION("""COMPUTED_VALUE"""),"Álvaro Fidalgo|46026")</f>
        <v>Álvaro Fidalgo|46026</v>
      </c>
      <c r="O1815" s="7">
        <f>IFERROR(__xludf.DUMMYFUNCTION("""COMPUTED_VALUE"""),4.0)</f>
        <v>4</v>
      </c>
    </row>
    <row r="1816" ht="22.5" hidden="1" customHeight="1">
      <c r="A1816" s="8">
        <v>45897.389312060186</v>
      </c>
      <c r="B1816" s="9">
        <v>45897.0</v>
      </c>
      <c r="C1816" s="9" t="s">
        <v>31</v>
      </c>
      <c r="D1816" s="9" t="s">
        <v>178</v>
      </c>
      <c r="E1816" s="9" t="s">
        <v>17</v>
      </c>
      <c r="F1816" s="9" t="s">
        <v>18</v>
      </c>
      <c r="G1816" s="9" t="s">
        <v>24</v>
      </c>
      <c r="H1816" s="9" t="s">
        <v>17</v>
      </c>
      <c r="I1816" s="9" t="s">
        <v>20</v>
      </c>
      <c r="J1816" s="10"/>
      <c r="K1816" s="7" t="s">
        <v>398</v>
      </c>
      <c r="L1816" s="7"/>
      <c r="M1816" s="7"/>
      <c r="N1816" s="7" t="str">
        <f>IFERROR(__xludf.DUMMYFUNCTION("""COMPUTED_VALUE"""),"Jonathan Dos Santos|46026")</f>
        <v>Jonathan Dos Santos|46026</v>
      </c>
      <c r="O1816" s="7">
        <f>IFERROR(__xludf.DUMMYFUNCTION("""COMPUTED_VALUE"""),5.0)</f>
        <v>5</v>
      </c>
    </row>
    <row r="1817" ht="22.5" hidden="1" customHeight="1">
      <c r="A1817" s="8">
        <v>45897.398605740746</v>
      </c>
      <c r="B1817" s="9">
        <v>45897.0</v>
      </c>
      <c r="C1817" s="9" t="s">
        <v>31</v>
      </c>
      <c r="D1817" s="9" t="s">
        <v>171</v>
      </c>
      <c r="E1817" s="9" t="s">
        <v>17</v>
      </c>
      <c r="F1817" s="9" t="s">
        <v>17</v>
      </c>
      <c r="G1817" s="9" t="s">
        <v>24</v>
      </c>
      <c r="H1817" s="9" t="s">
        <v>25</v>
      </c>
      <c r="I1817" s="9" t="s">
        <v>242</v>
      </c>
      <c r="J1817" s="10"/>
      <c r="K1817" s="7" t="s">
        <v>398</v>
      </c>
      <c r="L1817" s="7"/>
      <c r="M1817" s="7"/>
      <c r="N1817" s="7" t="str">
        <f>IFERROR(__xludf.DUMMYFUNCTION("""COMPUTED_VALUE"""),"Ramón Juárez|46026")</f>
        <v>Ramón Juárez|46026</v>
      </c>
      <c r="O1817" s="7">
        <f>IFERROR(__xludf.DUMMYFUNCTION("""COMPUTED_VALUE"""),7.0)</f>
        <v>7</v>
      </c>
    </row>
    <row r="1818" ht="22.5" hidden="1" customHeight="1">
      <c r="A1818" s="8">
        <v>45897.39882109954</v>
      </c>
      <c r="B1818" s="9">
        <v>45897.0</v>
      </c>
      <c r="C1818" s="9" t="s">
        <v>31</v>
      </c>
      <c r="D1818" s="9" t="s">
        <v>210</v>
      </c>
      <c r="E1818" s="9" t="s">
        <v>17</v>
      </c>
      <c r="F1818" s="9" t="s">
        <v>17</v>
      </c>
      <c r="G1818" s="9" t="s">
        <v>24</v>
      </c>
      <c r="H1818" s="9" t="s">
        <v>17</v>
      </c>
      <c r="I1818" s="9" t="s">
        <v>20</v>
      </c>
      <c r="J1818" s="10"/>
      <c r="K1818" s="7" t="s">
        <v>398</v>
      </c>
      <c r="L1818" s="7"/>
      <c r="M1818" s="7"/>
      <c r="N1818" s="7" t="str">
        <f>IFERROR(__xludf.DUMMYFUNCTION("""COMPUTED_VALUE"""),"Brian Rodríguez|46026")</f>
        <v>Brian Rodríguez|46026</v>
      </c>
      <c r="O1818" s="7">
        <f>IFERROR(__xludf.DUMMYFUNCTION("""COMPUTED_VALUE"""),5.0)</f>
        <v>5</v>
      </c>
    </row>
    <row r="1819" ht="22.5" hidden="1" customHeight="1">
      <c r="A1819" s="8">
        <v>45897.39927621528</v>
      </c>
      <c r="B1819" s="9">
        <v>45897.0</v>
      </c>
      <c r="C1819" s="9" t="s">
        <v>31</v>
      </c>
      <c r="D1819" s="9" t="s">
        <v>223</v>
      </c>
      <c r="E1819" s="9" t="s">
        <v>17</v>
      </c>
      <c r="F1819" s="9" t="s">
        <v>17</v>
      </c>
      <c r="G1819" s="9" t="s">
        <v>24</v>
      </c>
      <c r="H1819" s="9" t="s">
        <v>17</v>
      </c>
      <c r="I1819" s="9" t="s">
        <v>20</v>
      </c>
      <c r="J1819" s="10"/>
      <c r="K1819" s="7" t="s">
        <v>398</v>
      </c>
      <c r="L1819" s="7"/>
      <c r="M1819" s="7"/>
      <c r="N1819" s="7" t="str">
        <f>IFERROR(__xludf.DUMMYFUNCTION("""COMPUTED_VALUE"""),"Rodrigo Aguirre|46026")</f>
        <v>Rodrigo Aguirre|46026</v>
      </c>
      <c r="O1819" s="7">
        <f>IFERROR(__xludf.DUMMYFUNCTION("""COMPUTED_VALUE"""),6.0)</f>
        <v>6</v>
      </c>
    </row>
    <row r="1820" ht="22.5" hidden="1" customHeight="1">
      <c r="A1820" s="8">
        <v>45897.40021335648</v>
      </c>
      <c r="B1820" s="9">
        <v>45897.0</v>
      </c>
      <c r="C1820" s="9" t="s">
        <v>31</v>
      </c>
      <c r="D1820" s="9" t="s">
        <v>168</v>
      </c>
      <c r="E1820" s="9" t="s">
        <v>17</v>
      </c>
      <c r="F1820" s="9" t="s">
        <v>17</v>
      </c>
      <c r="G1820" s="9" t="s">
        <v>24</v>
      </c>
      <c r="H1820" s="9" t="s">
        <v>17</v>
      </c>
      <c r="I1820" s="9" t="s">
        <v>20</v>
      </c>
      <c r="J1820" s="10"/>
      <c r="K1820" s="7" t="s">
        <v>398</v>
      </c>
      <c r="L1820" s="7"/>
      <c r="M1820" s="7"/>
      <c r="N1820" s="7" t="str">
        <f>IFERROR(__xludf.DUMMYFUNCTION("""COMPUTED_VALUE"""),"Alan Cervantes|46026")</f>
        <v>Alan Cervantes|46026</v>
      </c>
      <c r="O1820" s="7">
        <f>IFERROR(__xludf.DUMMYFUNCTION("""COMPUTED_VALUE"""),8.0)</f>
        <v>8</v>
      </c>
    </row>
    <row r="1821" ht="22.5" hidden="1" customHeight="1">
      <c r="A1821" s="8">
        <v>45897.400429918984</v>
      </c>
      <c r="B1821" s="9">
        <v>45897.0</v>
      </c>
      <c r="C1821" s="9" t="s">
        <v>31</v>
      </c>
      <c r="D1821" s="9" t="s">
        <v>396</v>
      </c>
      <c r="E1821" s="9" t="s">
        <v>17</v>
      </c>
      <c r="F1821" s="9" t="s">
        <v>17</v>
      </c>
      <c r="G1821" s="9" t="s">
        <v>24</v>
      </c>
      <c r="H1821" s="9" t="s">
        <v>17</v>
      </c>
      <c r="I1821" s="9" t="s">
        <v>20</v>
      </c>
      <c r="J1821" s="10"/>
      <c r="K1821" s="7" t="s">
        <v>398</v>
      </c>
      <c r="L1821" s="7"/>
      <c r="M1821" s="7"/>
      <c r="N1821" s="7" t="str">
        <f>IFERROR(__xludf.DUMMYFUNCTION("""COMPUTED_VALUE"""),"Isaías Violante|46026")</f>
        <v>Isaías Violante|46026</v>
      </c>
      <c r="O1821" s="7">
        <f>IFERROR(__xludf.DUMMYFUNCTION("""COMPUTED_VALUE"""),4.0)</f>
        <v>4</v>
      </c>
    </row>
    <row r="1822" ht="22.5" hidden="1" customHeight="1">
      <c r="A1822" s="8">
        <v>45897.40301159723</v>
      </c>
      <c r="B1822" s="9">
        <v>45897.0</v>
      </c>
      <c r="C1822" s="9" t="s">
        <v>31</v>
      </c>
      <c r="D1822" s="9" t="s">
        <v>393</v>
      </c>
      <c r="E1822" s="9" t="s">
        <v>17</v>
      </c>
      <c r="F1822" s="9" t="s">
        <v>17</v>
      </c>
      <c r="G1822" s="9" t="s">
        <v>24</v>
      </c>
      <c r="H1822" s="9" t="s">
        <v>17</v>
      </c>
      <c r="I1822" s="9" t="s">
        <v>20</v>
      </c>
      <c r="J1822" s="10"/>
      <c r="K1822" s="7" t="s">
        <v>398</v>
      </c>
      <c r="L1822" s="7"/>
      <c r="M1822" s="7"/>
      <c r="N1822" s="7" t="str">
        <f>IFERROR(__xludf.DUMMYFUNCTION("""COMPUTED_VALUE"""),"Víctor Dávila|46026")</f>
        <v>Víctor Dávila|46026</v>
      </c>
      <c r="O1822" s="7">
        <f>IFERROR(__xludf.DUMMYFUNCTION("""COMPUTED_VALUE"""),9.0)</f>
        <v>9</v>
      </c>
    </row>
    <row r="1823" ht="22.5" hidden="1" customHeight="1">
      <c r="A1823" s="8">
        <v>45898.35257802083</v>
      </c>
      <c r="B1823" s="9">
        <v>45898.0</v>
      </c>
      <c r="C1823" s="9" t="s">
        <v>48</v>
      </c>
      <c r="D1823" s="9" t="s">
        <v>258</v>
      </c>
      <c r="E1823" s="9" t="s">
        <v>17</v>
      </c>
      <c r="F1823" s="9" t="s">
        <v>17</v>
      </c>
      <c r="G1823" s="9" t="s">
        <v>24</v>
      </c>
      <c r="H1823" s="9" t="s">
        <v>17</v>
      </c>
      <c r="I1823" s="9" t="s">
        <v>20</v>
      </c>
      <c r="J1823" s="10"/>
      <c r="K1823" s="7" t="s">
        <v>398</v>
      </c>
      <c r="L1823" s="7"/>
      <c r="M1823" s="7"/>
      <c r="N1823" s="7" t="str">
        <f>IFERROR(__xludf.DUMMYFUNCTION("""COMPUTED_VALUE"""),"Diego Arriaga|46026")</f>
        <v>Diego Arriaga|46026</v>
      </c>
      <c r="O1823" s="7">
        <f>IFERROR(__xludf.DUMMYFUNCTION("""COMPUTED_VALUE"""),4.0)</f>
        <v>4</v>
      </c>
    </row>
    <row r="1824" ht="22.5" hidden="1" customHeight="1">
      <c r="A1824" s="8">
        <v>45898.35277478009</v>
      </c>
      <c r="B1824" s="9">
        <v>45898.0</v>
      </c>
      <c r="C1824" s="9" t="s">
        <v>48</v>
      </c>
      <c r="D1824" s="9" t="s">
        <v>393</v>
      </c>
      <c r="E1824" s="9" t="s">
        <v>17</v>
      </c>
      <c r="F1824" s="9" t="s">
        <v>18</v>
      </c>
      <c r="G1824" s="9" t="s">
        <v>24</v>
      </c>
      <c r="H1824" s="9" t="s">
        <v>22</v>
      </c>
      <c r="I1824" s="9" t="s">
        <v>20</v>
      </c>
      <c r="J1824" s="10"/>
      <c r="K1824" s="7" t="s">
        <v>398</v>
      </c>
      <c r="L1824" s="7"/>
      <c r="M1824" s="7"/>
      <c r="N1824" s="7" t="str">
        <f>IFERROR(__xludf.DUMMYFUNCTION("""COMPUTED_VALUE"""),"Patricio Salas|46028")</f>
        <v>Patricio Salas|46028</v>
      </c>
      <c r="O1824" s="7">
        <f>IFERROR(__xludf.DUMMYFUNCTION("""COMPUTED_VALUE"""),4.0)</f>
        <v>4</v>
      </c>
    </row>
    <row r="1825" ht="22.5" hidden="1" customHeight="1">
      <c r="A1825" s="8">
        <v>45898.37635923611</v>
      </c>
      <c r="B1825" s="9">
        <v>45898.0</v>
      </c>
      <c r="C1825" s="9" t="s">
        <v>48</v>
      </c>
      <c r="D1825" s="9" t="s">
        <v>259</v>
      </c>
      <c r="E1825" s="9" t="s">
        <v>17</v>
      </c>
      <c r="F1825" s="9" t="s">
        <v>17</v>
      </c>
      <c r="G1825" s="9" t="s">
        <v>24</v>
      </c>
      <c r="H1825" s="9" t="s">
        <v>17</v>
      </c>
      <c r="I1825" s="9" t="s">
        <v>20</v>
      </c>
      <c r="J1825" s="10"/>
      <c r="K1825" s="7" t="s">
        <v>398</v>
      </c>
      <c r="L1825" s="7"/>
      <c r="M1825" s="7"/>
      <c r="N1825" s="7" t="str">
        <f>IFERROR(__xludf.DUMMYFUNCTION("""COMPUTED_VALUE"""),"Néstor Araujo|46028")</f>
        <v>Néstor Araujo|46028</v>
      </c>
      <c r="O1825" s="7">
        <f>IFERROR(__xludf.DUMMYFUNCTION("""COMPUTED_VALUE"""),3.0)</f>
        <v>3</v>
      </c>
    </row>
    <row r="1826" ht="22.5" hidden="1" customHeight="1">
      <c r="A1826" s="8">
        <v>45898.37653252315</v>
      </c>
      <c r="B1826" s="9">
        <v>45898.0</v>
      </c>
      <c r="C1826" s="9" t="s">
        <v>48</v>
      </c>
      <c r="D1826" s="9" t="s">
        <v>357</v>
      </c>
      <c r="E1826" s="9" t="s">
        <v>17</v>
      </c>
      <c r="F1826" s="9" t="s">
        <v>17</v>
      </c>
      <c r="G1826" s="9" t="s">
        <v>24</v>
      </c>
      <c r="H1826" s="9" t="s">
        <v>17</v>
      </c>
      <c r="I1826" s="9" t="s">
        <v>20</v>
      </c>
      <c r="J1826" s="10"/>
      <c r="K1826" s="7" t="s">
        <v>398</v>
      </c>
      <c r="L1826" s="7"/>
      <c r="M1826" s="7"/>
      <c r="N1826" s="7" t="str">
        <f>IFERROR(__xludf.DUMMYFUNCTION("""COMPUTED_VALUE"""),"Luis Ángel Malagón|46028")</f>
        <v>Luis Ángel Malagón|46028</v>
      </c>
      <c r="O1826" s="7">
        <f>IFERROR(__xludf.DUMMYFUNCTION("""COMPUTED_VALUE"""),4.0)</f>
        <v>4</v>
      </c>
    </row>
    <row r="1827" ht="22.5" hidden="1" customHeight="1">
      <c r="A1827" s="8">
        <v>45898.37674788194</v>
      </c>
      <c r="B1827" s="9">
        <v>45898.0</v>
      </c>
      <c r="C1827" s="9" t="s">
        <v>48</v>
      </c>
      <c r="D1827" s="9" t="s">
        <v>257</v>
      </c>
      <c r="E1827" s="9" t="s">
        <v>17</v>
      </c>
      <c r="F1827" s="9" t="s">
        <v>17</v>
      </c>
      <c r="G1827" s="9" t="s">
        <v>24</v>
      </c>
      <c r="H1827" s="9" t="s">
        <v>17</v>
      </c>
      <c r="I1827" s="9" t="s">
        <v>20</v>
      </c>
      <c r="J1827" s="10"/>
      <c r="K1827" s="7" t="s">
        <v>398</v>
      </c>
      <c r="L1827" s="7"/>
      <c r="M1827" s="7"/>
      <c r="N1827" s="7" t="str">
        <f>IFERROR(__xludf.DUMMYFUNCTION("""COMPUTED_VALUE"""),"Rodrigo Aguirre|46028")</f>
        <v>Rodrigo Aguirre|46028</v>
      </c>
      <c r="O1827" s="7">
        <f>IFERROR(__xludf.DUMMYFUNCTION("""COMPUTED_VALUE"""),5.0)</f>
        <v>5</v>
      </c>
    </row>
    <row r="1828" ht="22.5" hidden="1" customHeight="1">
      <c r="A1828" s="8">
        <v>45898.376988449076</v>
      </c>
      <c r="B1828" s="9">
        <v>45898.0</v>
      </c>
      <c r="C1828" s="9" t="s">
        <v>48</v>
      </c>
      <c r="D1828" s="9" t="s">
        <v>258</v>
      </c>
      <c r="E1828" s="9" t="s">
        <v>17</v>
      </c>
      <c r="F1828" s="9" t="s">
        <v>17</v>
      </c>
      <c r="G1828" s="9" t="s">
        <v>24</v>
      </c>
      <c r="H1828" s="9" t="s">
        <v>17</v>
      </c>
      <c r="I1828" s="9" t="s">
        <v>20</v>
      </c>
      <c r="J1828" s="10"/>
      <c r="K1828" s="7" t="s">
        <v>398</v>
      </c>
      <c r="L1828" s="7"/>
      <c r="M1828" s="7"/>
      <c r="N1828" s="7" t="str">
        <f>IFERROR(__xludf.DUMMYFUNCTION("""COMPUTED_VALUE"""),"Álvaro Fidalgo|46028")</f>
        <v>Álvaro Fidalgo|46028</v>
      </c>
      <c r="O1828" s="7">
        <f>IFERROR(__xludf.DUMMYFUNCTION("""COMPUTED_VALUE"""),4.0)</f>
        <v>4</v>
      </c>
    </row>
    <row r="1829" ht="22.5" hidden="1" customHeight="1">
      <c r="A1829" s="8">
        <v>45898.37725493056</v>
      </c>
      <c r="B1829" s="9">
        <v>45898.0</v>
      </c>
      <c r="C1829" s="9" t="s">
        <v>48</v>
      </c>
      <c r="D1829" s="9" t="s">
        <v>280</v>
      </c>
      <c r="E1829" s="9" t="s">
        <v>17</v>
      </c>
      <c r="F1829" s="9" t="s">
        <v>17</v>
      </c>
      <c r="G1829" s="9" t="s">
        <v>24</v>
      </c>
      <c r="H1829" s="9" t="s">
        <v>17</v>
      </c>
      <c r="I1829" s="9" t="s">
        <v>20</v>
      </c>
      <c r="J1829" s="10"/>
      <c r="K1829" s="7" t="s">
        <v>398</v>
      </c>
      <c r="L1829" s="7"/>
      <c r="M1829" s="7"/>
      <c r="N1829" s="7" t="str">
        <f>IFERROR(__xludf.DUMMYFUNCTION("""COMPUTED_VALUE"""),"Kevin Álvarez|46028")</f>
        <v>Kevin Álvarez|46028</v>
      </c>
      <c r="O1829" s="7">
        <f>IFERROR(__xludf.DUMMYFUNCTION("""COMPUTED_VALUE"""),3.0)</f>
        <v>3</v>
      </c>
    </row>
    <row r="1830" ht="22.5" hidden="1" customHeight="1">
      <c r="A1830" s="8">
        <v>45898.37749131944</v>
      </c>
      <c r="B1830" s="9">
        <v>45898.0</v>
      </c>
      <c r="C1830" s="9" t="s">
        <v>48</v>
      </c>
      <c r="D1830" s="9" t="s">
        <v>395</v>
      </c>
      <c r="E1830" s="9" t="s">
        <v>17</v>
      </c>
      <c r="F1830" s="9" t="s">
        <v>17</v>
      </c>
      <c r="G1830" s="9" t="s">
        <v>24</v>
      </c>
      <c r="H1830" s="9" t="s">
        <v>17</v>
      </c>
      <c r="I1830" s="9" t="s">
        <v>20</v>
      </c>
      <c r="J1830" s="10"/>
      <c r="K1830" s="7" t="s">
        <v>398</v>
      </c>
      <c r="L1830" s="7"/>
      <c r="M1830" s="7"/>
      <c r="N1830" s="7" t="str">
        <f>IFERROR(__xludf.DUMMYFUNCTION("""COMPUTED_VALUE"""),"Rodolfo Cota|46028")</f>
        <v>Rodolfo Cota|46028</v>
      </c>
      <c r="O1830" s="7">
        <f>IFERROR(__xludf.DUMMYFUNCTION("""COMPUTED_VALUE"""),2.0)</f>
        <v>2</v>
      </c>
    </row>
    <row r="1831" ht="22.5" hidden="1" customHeight="1">
      <c r="A1831" s="8">
        <v>45898.37769258102</v>
      </c>
      <c r="B1831" s="9">
        <v>45898.0</v>
      </c>
      <c r="C1831" s="9" t="s">
        <v>48</v>
      </c>
      <c r="D1831" s="9" t="s">
        <v>361</v>
      </c>
      <c r="E1831" s="9" t="s">
        <v>17</v>
      </c>
      <c r="F1831" s="9" t="s">
        <v>17</v>
      </c>
      <c r="G1831" s="9" t="s">
        <v>24</v>
      </c>
      <c r="H1831" s="9" t="s">
        <v>17</v>
      </c>
      <c r="I1831" s="9" t="s">
        <v>20</v>
      </c>
      <c r="J1831" s="10"/>
      <c r="K1831" s="7" t="s">
        <v>398</v>
      </c>
      <c r="L1831" s="7"/>
      <c r="M1831" s="7"/>
      <c r="N1831" s="7" t="str">
        <f>IFERROR(__xludf.DUMMYFUNCTION("""COMPUTED_VALUE"""),"Sebastián Cáceres|46028")</f>
        <v>Sebastián Cáceres|46028</v>
      </c>
      <c r="O1831" s="7">
        <f>IFERROR(__xludf.DUMMYFUNCTION("""COMPUTED_VALUE"""),3.0)</f>
        <v>3</v>
      </c>
    </row>
    <row r="1832" ht="22.5" hidden="1" customHeight="1">
      <c r="A1832" s="8">
        <v>45898.37809346065</v>
      </c>
      <c r="B1832" s="9">
        <v>45898.0</v>
      </c>
      <c r="C1832" s="9" t="s">
        <v>48</v>
      </c>
      <c r="D1832" s="9" t="s">
        <v>177</v>
      </c>
      <c r="E1832" s="9" t="s">
        <v>17</v>
      </c>
      <c r="F1832" s="9" t="s">
        <v>17</v>
      </c>
      <c r="G1832" s="9" t="s">
        <v>24</v>
      </c>
      <c r="H1832" s="9" t="s">
        <v>17</v>
      </c>
      <c r="I1832" s="9" t="s">
        <v>20</v>
      </c>
      <c r="J1832" s="10"/>
      <c r="K1832" s="7" t="s">
        <v>398</v>
      </c>
      <c r="L1832" s="7"/>
      <c r="M1832" s="7"/>
      <c r="N1832" s="7" t="str">
        <f>IFERROR(__xludf.DUMMYFUNCTION("""COMPUTED_VALUE"""),"Igor Lichnovsky|46028")</f>
        <v>Igor Lichnovsky|46028</v>
      </c>
      <c r="O1832" s="7">
        <f>IFERROR(__xludf.DUMMYFUNCTION("""COMPUTED_VALUE"""),2.0)</f>
        <v>2</v>
      </c>
    </row>
    <row r="1833" ht="22.5" hidden="1" customHeight="1">
      <c r="A1833" s="8">
        <v>45898.37936261574</v>
      </c>
      <c r="B1833" s="9">
        <v>45898.0</v>
      </c>
      <c r="C1833" s="9" t="s">
        <v>48</v>
      </c>
      <c r="D1833" s="9" t="s">
        <v>210</v>
      </c>
      <c r="E1833" s="9" t="s">
        <v>17</v>
      </c>
      <c r="F1833" s="9" t="s">
        <v>35</v>
      </c>
      <c r="G1833" s="9" t="s">
        <v>24</v>
      </c>
      <c r="H1833" s="9" t="s">
        <v>17</v>
      </c>
      <c r="I1833" s="9" t="s">
        <v>20</v>
      </c>
      <c r="J1833" s="10"/>
      <c r="K1833" s="7" t="s">
        <v>398</v>
      </c>
      <c r="L1833" s="7"/>
      <c r="M1833" s="7"/>
      <c r="N1833" s="7" t="str">
        <f>IFERROR(__xludf.DUMMYFUNCTION("""COMPUTED_VALUE"""),"Jonathan Dos Santos|46028")</f>
        <v>Jonathan Dos Santos|46028</v>
      </c>
      <c r="O1833" s="7">
        <f>IFERROR(__xludf.DUMMYFUNCTION("""COMPUTED_VALUE"""),3.0)</f>
        <v>3</v>
      </c>
    </row>
    <row r="1834" ht="22.5" hidden="1" customHeight="1">
      <c r="A1834" s="8">
        <v>45898.38052472222</v>
      </c>
      <c r="B1834" s="9">
        <v>45898.0</v>
      </c>
      <c r="C1834" s="9" t="s">
        <v>48</v>
      </c>
      <c r="D1834" s="9" t="s">
        <v>367</v>
      </c>
      <c r="E1834" s="9" t="s">
        <v>17</v>
      </c>
      <c r="F1834" s="9" t="s">
        <v>17</v>
      </c>
      <c r="G1834" s="9" t="s">
        <v>24</v>
      </c>
      <c r="H1834" s="9" t="s">
        <v>17</v>
      </c>
      <c r="I1834" s="9" t="s">
        <v>20</v>
      </c>
      <c r="J1834" s="10"/>
      <c r="K1834" s="7" t="s">
        <v>398</v>
      </c>
      <c r="L1834" s="7"/>
      <c r="M1834" s="7"/>
      <c r="N1834" s="7" t="str">
        <f>IFERROR(__xludf.DUMMYFUNCTION("""COMPUTED_VALUE"""),"Cristian Borja|46028")</f>
        <v>Cristian Borja|46028</v>
      </c>
      <c r="O1834" s="7">
        <f>IFERROR(__xludf.DUMMYFUNCTION("""COMPUTED_VALUE"""),3.0)</f>
        <v>3</v>
      </c>
    </row>
    <row r="1835" ht="22.5" hidden="1" customHeight="1">
      <c r="A1835" s="8">
        <v>45898.38069342593</v>
      </c>
      <c r="B1835" s="9">
        <v>45898.0</v>
      </c>
      <c r="C1835" s="9" t="s">
        <v>48</v>
      </c>
      <c r="D1835" s="9" t="s">
        <v>394</v>
      </c>
      <c r="E1835" s="9" t="s">
        <v>17</v>
      </c>
      <c r="F1835" s="9" t="s">
        <v>17</v>
      </c>
      <c r="G1835" s="9" t="s">
        <v>24</v>
      </c>
      <c r="H1835" s="9" t="s">
        <v>17</v>
      </c>
      <c r="I1835" s="9" t="s">
        <v>20</v>
      </c>
      <c r="J1835" s="10"/>
      <c r="K1835" s="7" t="s">
        <v>398</v>
      </c>
      <c r="L1835" s="7"/>
      <c r="M1835" s="7"/>
      <c r="N1835" s="7" t="str">
        <f>IFERROR(__xludf.DUMMYFUNCTION("""COMPUTED_VALUE"""),"Alexis Gutiérrez|46028")</f>
        <v>Alexis Gutiérrez|46028</v>
      </c>
      <c r="O1835" s="7">
        <f>IFERROR(__xludf.DUMMYFUNCTION("""COMPUTED_VALUE"""),3.0)</f>
        <v>3</v>
      </c>
    </row>
    <row r="1836" ht="22.5" hidden="1" customHeight="1">
      <c r="A1836" s="8">
        <v>45898.387163391206</v>
      </c>
      <c r="B1836" s="9">
        <v>45898.0</v>
      </c>
      <c r="C1836" s="9" t="s">
        <v>48</v>
      </c>
      <c r="D1836" s="9" t="s">
        <v>178</v>
      </c>
      <c r="E1836" s="9" t="s">
        <v>17</v>
      </c>
      <c r="F1836" s="9" t="s">
        <v>17</v>
      </c>
      <c r="G1836" s="9" t="s">
        <v>24</v>
      </c>
      <c r="H1836" s="9" t="s">
        <v>17</v>
      </c>
      <c r="I1836" s="9" t="s">
        <v>20</v>
      </c>
      <c r="J1836" s="10"/>
      <c r="K1836" s="7" t="s">
        <v>398</v>
      </c>
      <c r="L1836" s="7"/>
      <c r="M1836" s="7"/>
      <c r="N1836" s="7" t="str">
        <f>IFERROR(__xludf.DUMMYFUNCTION("""COMPUTED_VALUE"""),"Rodrigo Dourado|46028")</f>
        <v>Rodrigo Dourado|46028</v>
      </c>
      <c r="O1836" s="7">
        <f>IFERROR(__xludf.DUMMYFUNCTION("""COMPUTED_VALUE"""),5.0)</f>
        <v>5</v>
      </c>
    </row>
    <row r="1837" ht="22.5" hidden="1" customHeight="1">
      <c r="A1837" s="8">
        <v>45898.389731979165</v>
      </c>
      <c r="B1837" s="9">
        <v>45898.0</v>
      </c>
      <c r="C1837" s="9" t="s">
        <v>48</v>
      </c>
      <c r="D1837" s="9" t="s">
        <v>397</v>
      </c>
      <c r="E1837" s="9" t="s">
        <v>17</v>
      </c>
      <c r="F1837" s="9" t="s">
        <v>35</v>
      </c>
      <c r="G1837" s="9" t="s">
        <v>24</v>
      </c>
      <c r="H1837" s="9" t="s">
        <v>17</v>
      </c>
      <c r="I1837" s="9" t="s">
        <v>20</v>
      </c>
      <c r="J1837" s="10"/>
      <c r="K1837" s="1" t="s">
        <v>398</v>
      </c>
      <c r="L1837" s="7"/>
      <c r="M1837" s="7"/>
      <c r="N1837" s="7" t="str">
        <f>IFERROR(__xludf.DUMMYFUNCTION("""COMPUTED_VALUE"""),"José Raúl Zúñiga|46028")</f>
        <v>José Raúl Zúñiga|46028</v>
      </c>
      <c r="O1837" s="7">
        <f>IFERROR(__xludf.DUMMYFUNCTION("""COMPUTED_VALUE"""),3.0)</f>
        <v>3</v>
      </c>
    </row>
    <row r="1838" ht="22.5" hidden="1" customHeight="1">
      <c r="A1838" s="8">
        <v>45898.39015375</v>
      </c>
      <c r="B1838" s="9">
        <v>45898.0</v>
      </c>
      <c r="C1838" s="9" t="s">
        <v>48</v>
      </c>
      <c r="D1838" s="9" t="s">
        <v>174</v>
      </c>
      <c r="E1838" s="9" t="s">
        <v>17</v>
      </c>
      <c r="F1838" s="9" t="s">
        <v>17</v>
      </c>
      <c r="G1838" s="9" t="s">
        <v>24</v>
      </c>
      <c r="H1838" s="9" t="s">
        <v>17</v>
      </c>
      <c r="I1838" s="9" t="s">
        <v>20</v>
      </c>
      <c r="J1838" s="10"/>
      <c r="K1838" s="7" t="s">
        <v>398</v>
      </c>
      <c r="L1838" s="7"/>
      <c r="M1838" s="7"/>
      <c r="N1838" s="7" t="str">
        <f>IFERROR(__xludf.DUMMYFUNCTION("""COMPUTED_VALUE"""),"Miguel Vázquez|46028")</f>
        <v>Miguel Vázquez|46028</v>
      </c>
      <c r="O1838" s="7">
        <f>IFERROR(__xludf.DUMMYFUNCTION("""COMPUTED_VALUE"""),2.0)</f>
        <v>2</v>
      </c>
    </row>
    <row r="1839" ht="22.5" hidden="1" customHeight="1">
      <c r="A1839" s="8">
        <v>45898.39038056713</v>
      </c>
      <c r="B1839" s="9">
        <v>45898.0</v>
      </c>
      <c r="C1839" s="9" t="s">
        <v>48</v>
      </c>
      <c r="D1839" s="9" t="s">
        <v>247</v>
      </c>
      <c r="E1839" s="9" t="s">
        <v>17</v>
      </c>
      <c r="F1839" s="9" t="s">
        <v>17</v>
      </c>
      <c r="G1839" s="9" t="s">
        <v>24</v>
      </c>
      <c r="H1839" s="9" t="s">
        <v>17</v>
      </c>
      <c r="I1839" s="9" t="s">
        <v>20</v>
      </c>
      <c r="J1839" s="10"/>
      <c r="K1839" s="7" t="s">
        <v>398</v>
      </c>
      <c r="L1839" s="7"/>
      <c r="M1839" s="7"/>
      <c r="N1839" s="7" t="str">
        <f>IFERROR(__xludf.DUMMYFUNCTION("""COMPUTED_VALUE"""),"Alan Cervantes|46028")</f>
        <v>Alan Cervantes|46028</v>
      </c>
      <c r="O1839" s="7">
        <f>IFERROR(__xludf.DUMMYFUNCTION("""COMPUTED_VALUE"""),7.0)</f>
        <v>7</v>
      </c>
    </row>
    <row r="1840" ht="22.5" hidden="1" customHeight="1">
      <c r="A1840" s="8">
        <v>45898.390573275465</v>
      </c>
      <c r="B1840" s="9">
        <v>45898.0</v>
      </c>
      <c r="C1840" s="9" t="s">
        <v>48</v>
      </c>
      <c r="D1840" s="9" t="s">
        <v>350</v>
      </c>
      <c r="E1840" s="9" t="s">
        <v>17</v>
      </c>
      <c r="F1840" s="9" t="s">
        <v>17</v>
      </c>
      <c r="G1840" s="9" t="s">
        <v>24</v>
      </c>
      <c r="H1840" s="9" t="s">
        <v>17</v>
      </c>
      <c r="I1840" s="9" t="s">
        <v>20</v>
      </c>
      <c r="J1840" s="10"/>
      <c r="K1840" s="7" t="s">
        <v>398</v>
      </c>
      <c r="L1840" s="7"/>
      <c r="M1840" s="7"/>
      <c r="N1840" s="7" t="str">
        <f>IFERROR(__xludf.DUMMYFUNCTION("""COMPUTED_VALUE"""),"Diego Reyes|46028")</f>
        <v>Diego Reyes|46028</v>
      </c>
      <c r="O1840" s="7">
        <f>IFERROR(__xludf.DUMMYFUNCTION("""COMPUTED_VALUE"""),6.0)</f>
        <v>6</v>
      </c>
    </row>
    <row r="1841" ht="22.5" hidden="1" customHeight="1">
      <c r="A1841" s="8">
        <v>45898.392053993055</v>
      </c>
      <c r="B1841" s="9">
        <v>45898.0</v>
      </c>
      <c r="C1841" s="9" t="s">
        <v>48</v>
      </c>
      <c r="D1841" s="9" t="s">
        <v>175</v>
      </c>
      <c r="E1841" s="9" t="s">
        <v>17</v>
      </c>
      <c r="F1841" s="9" t="s">
        <v>17</v>
      </c>
      <c r="G1841" s="9" t="s">
        <v>24</v>
      </c>
      <c r="H1841" s="9" t="s">
        <v>17</v>
      </c>
      <c r="I1841" s="9" t="s">
        <v>20</v>
      </c>
      <c r="J1841" s="10"/>
      <c r="K1841" s="7" t="s">
        <v>398</v>
      </c>
      <c r="L1841" s="7"/>
      <c r="M1841" s="7"/>
      <c r="N1841" s="7" t="str">
        <f>IFERROR(__xludf.DUMMYFUNCTION("""COMPUTED_VALUE"""),"Allan Saint-Maximin|46028")</f>
        <v>Allan Saint-Maximin|46028</v>
      </c>
      <c r="O1841" s="7">
        <f>IFERROR(__xludf.DUMMYFUNCTION("""COMPUTED_VALUE"""),3.0)</f>
        <v>3</v>
      </c>
    </row>
    <row r="1842" ht="22.5" hidden="1" customHeight="1">
      <c r="A1842" s="8">
        <v>45898.39841059028</v>
      </c>
      <c r="B1842" s="9">
        <v>45898.0</v>
      </c>
      <c r="C1842" s="9" t="s">
        <v>48</v>
      </c>
      <c r="D1842" s="9" t="s">
        <v>335</v>
      </c>
      <c r="E1842" s="9" t="s">
        <v>17</v>
      </c>
      <c r="F1842" s="9" t="s">
        <v>17</v>
      </c>
      <c r="G1842" s="9" t="s">
        <v>24</v>
      </c>
      <c r="H1842" s="9" t="s">
        <v>17</v>
      </c>
      <c r="I1842" s="9" t="s">
        <v>20</v>
      </c>
      <c r="J1842" s="10"/>
      <c r="K1842" s="7" t="s">
        <v>398</v>
      </c>
      <c r="L1842" s="7"/>
      <c r="M1842" s="7"/>
      <c r="N1842" s="7" t="str">
        <f>IFERROR(__xludf.DUMMYFUNCTION("""COMPUTED_VALUE"""),"Sebastián Cáceres|46028")</f>
        <v>Sebastián Cáceres|46028</v>
      </c>
      <c r="O1842" s="7">
        <f>IFERROR(__xludf.DUMMYFUNCTION("""COMPUTED_VALUE"""),6.0)</f>
        <v>6</v>
      </c>
    </row>
    <row r="1843" ht="22.5" hidden="1" customHeight="1">
      <c r="A1843" s="8">
        <v>45898.400814293986</v>
      </c>
      <c r="B1843" s="9">
        <v>45898.0</v>
      </c>
      <c r="C1843" s="9" t="s">
        <v>48</v>
      </c>
      <c r="D1843" s="9" t="s">
        <v>171</v>
      </c>
      <c r="E1843" s="9" t="s">
        <v>17</v>
      </c>
      <c r="F1843" s="9" t="s">
        <v>17</v>
      </c>
      <c r="G1843" s="9" t="s">
        <v>24</v>
      </c>
      <c r="H1843" s="9" t="s">
        <v>17</v>
      </c>
      <c r="I1843" s="9" t="s">
        <v>20</v>
      </c>
      <c r="J1843" s="10"/>
      <c r="K1843" s="7" t="s">
        <v>398</v>
      </c>
      <c r="L1843" s="7"/>
      <c r="M1843" s="7"/>
      <c r="N1843" s="7" t="str">
        <f>IFERROR(__xludf.DUMMYFUNCTION("""COMPUTED_VALUE"""),"Paolo Bedolla|46028")</f>
        <v>Paolo Bedolla|46028</v>
      </c>
      <c r="O1843" s="7">
        <f>IFERROR(__xludf.DUMMYFUNCTION("""COMPUTED_VALUE"""),6.0)</f>
        <v>6</v>
      </c>
    </row>
    <row r="1844" ht="22.5" hidden="1" customHeight="1">
      <c r="A1844" s="8">
        <v>45898.436626759256</v>
      </c>
      <c r="B1844" s="9">
        <v>45898.0</v>
      </c>
      <c r="C1844" s="9" t="s">
        <v>48</v>
      </c>
      <c r="D1844" s="9" t="s">
        <v>223</v>
      </c>
      <c r="E1844" s="9" t="s">
        <v>17</v>
      </c>
      <c r="F1844" s="9" t="s">
        <v>17</v>
      </c>
      <c r="G1844" s="9" t="s">
        <v>24</v>
      </c>
      <c r="H1844" s="9" t="s">
        <v>17</v>
      </c>
      <c r="I1844" s="9" t="s">
        <v>20</v>
      </c>
      <c r="J1844" s="10"/>
      <c r="K1844" s="7" t="s">
        <v>398</v>
      </c>
      <c r="L1844" s="7"/>
      <c r="M1844" s="7"/>
      <c r="N1844" s="7" t="str">
        <f>IFERROR(__xludf.DUMMYFUNCTION("""COMPUTED_VALUE"""),"Ramón Juárez|46028")</f>
        <v>Ramón Juárez|46028</v>
      </c>
      <c r="O1844" s="7">
        <f>IFERROR(__xludf.DUMMYFUNCTION("""COMPUTED_VALUE"""),6.0)</f>
        <v>6</v>
      </c>
    </row>
    <row r="1845" ht="22.5" hidden="1" customHeight="1">
      <c r="A1845" s="8">
        <v>45904.40468302083</v>
      </c>
      <c r="B1845" s="9">
        <v>45904.0</v>
      </c>
      <c r="C1845" s="9" t="s">
        <v>31</v>
      </c>
      <c r="D1845" s="9" t="s">
        <v>178</v>
      </c>
      <c r="E1845" s="9" t="s">
        <v>17</v>
      </c>
      <c r="F1845" s="9" t="s">
        <v>17</v>
      </c>
      <c r="G1845" s="9" t="s">
        <v>24</v>
      </c>
      <c r="H1845" s="9" t="s">
        <v>17</v>
      </c>
      <c r="I1845" s="9" t="s">
        <v>20</v>
      </c>
      <c r="J1845" s="10"/>
      <c r="K1845" s="7" t="s">
        <v>398</v>
      </c>
      <c r="L1845" s="7"/>
      <c r="M1845" s="7"/>
      <c r="N1845" s="7" t="str">
        <f>IFERROR(__xludf.DUMMYFUNCTION("""COMPUTED_VALUE"""),"Israel Reyes|46028")</f>
        <v>Israel Reyes|46028</v>
      </c>
      <c r="O1845" s="7">
        <f>IFERROR(__xludf.DUMMYFUNCTION("""COMPUTED_VALUE"""),5.0)</f>
        <v>5</v>
      </c>
    </row>
    <row r="1846" ht="22.5" hidden="1" customHeight="1">
      <c r="A1846" s="8">
        <v>45904.40492402778</v>
      </c>
      <c r="B1846" s="9">
        <v>45904.0</v>
      </c>
      <c r="C1846" s="9" t="s">
        <v>31</v>
      </c>
      <c r="D1846" s="9" t="s">
        <v>247</v>
      </c>
      <c r="E1846" s="9" t="s">
        <v>17</v>
      </c>
      <c r="F1846" s="9" t="s">
        <v>17</v>
      </c>
      <c r="G1846" s="9" t="s">
        <v>24</v>
      </c>
      <c r="H1846" s="9" t="s">
        <v>17</v>
      </c>
      <c r="I1846" s="9" t="s">
        <v>20</v>
      </c>
      <c r="J1846" s="10"/>
      <c r="K1846" s="7" t="s">
        <v>398</v>
      </c>
      <c r="L1846" s="7"/>
      <c r="M1846" s="7"/>
      <c r="N1846" s="7" t="str">
        <f>IFERROR(__xludf.DUMMYFUNCTION("""COMPUTED_VALUE"""),"Brian Rodríguez|46028")</f>
        <v>Brian Rodríguez|46028</v>
      </c>
      <c r="O1846" s="7">
        <f>IFERROR(__xludf.DUMMYFUNCTION("""COMPUTED_VALUE"""),2.0)</f>
        <v>2</v>
      </c>
    </row>
    <row r="1847" ht="22.5" hidden="1" customHeight="1">
      <c r="A1847" s="8">
        <v>45904.405266076385</v>
      </c>
      <c r="B1847" s="9">
        <v>45904.0</v>
      </c>
      <c r="C1847" s="9" t="s">
        <v>31</v>
      </c>
      <c r="D1847" s="9" t="s">
        <v>335</v>
      </c>
      <c r="E1847" s="9" t="s">
        <v>17</v>
      </c>
      <c r="F1847" s="9" t="s">
        <v>17</v>
      </c>
      <c r="G1847" s="9" t="s">
        <v>24</v>
      </c>
      <c r="H1847" s="9" t="s">
        <v>17</v>
      </c>
      <c r="I1847" s="9" t="s">
        <v>20</v>
      </c>
      <c r="J1847" s="10"/>
      <c r="K1847" s="7" t="s">
        <v>398</v>
      </c>
      <c r="L1847" s="7"/>
      <c r="M1847" s="7"/>
      <c r="N1847" s="7" t="str">
        <f>IFERROR(__xludf.DUMMYFUNCTION("""COMPUTED_VALUE"""),"Víctor Dávila|46028")</f>
        <v>Víctor Dávila|46028</v>
      </c>
      <c r="O1847" s="7">
        <f>IFERROR(__xludf.DUMMYFUNCTION("""COMPUTED_VALUE"""),3.0)</f>
        <v>3</v>
      </c>
    </row>
    <row r="1848" ht="22.5" hidden="1" customHeight="1">
      <c r="A1848" s="8">
        <v>45904.40570365741</v>
      </c>
      <c r="B1848" s="9">
        <v>45904.0</v>
      </c>
      <c r="C1848" s="9" t="s">
        <v>31</v>
      </c>
      <c r="D1848" s="9" t="s">
        <v>335</v>
      </c>
      <c r="E1848" s="9" t="s">
        <v>17</v>
      </c>
      <c r="F1848" s="9" t="s">
        <v>17</v>
      </c>
      <c r="G1848" s="9" t="s">
        <v>24</v>
      </c>
      <c r="H1848" s="9" t="s">
        <v>17</v>
      </c>
      <c r="I1848" s="9" t="s">
        <v>20</v>
      </c>
      <c r="J1848" s="10"/>
      <c r="K1848" s="7" t="s">
        <v>398</v>
      </c>
      <c r="L1848" s="7"/>
      <c r="M1848" s="7"/>
      <c r="N1848" s="7" t="str">
        <f>IFERROR(__xludf.DUMMYFUNCTION("""COMPUTED_VALUE"""),"Álvaro Fidalgo|46029")</f>
        <v>Álvaro Fidalgo|46029</v>
      </c>
      <c r="O1848" s="7">
        <f>IFERROR(__xludf.DUMMYFUNCTION("""COMPUTED_VALUE"""),3.0)</f>
        <v>3</v>
      </c>
    </row>
    <row r="1849" ht="22.5" hidden="1" customHeight="1">
      <c r="A1849" s="8">
        <v>45904.40590243056</v>
      </c>
      <c r="B1849" s="9">
        <v>45904.0</v>
      </c>
      <c r="C1849" s="9" t="s">
        <v>31</v>
      </c>
      <c r="D1849" s="9" t="s">
        <v>395</v>
      </c>
      <c r="E1849" s="9" t="s">
        <v>17</v>
      </c>
      <c r="F1849" s="9" t="s">
        <v>17</v>
      </c>
      <c r="G1849" s="9" t="s">
        <v>24</v>
      </c>
      <c r="H1849" s="9" t="s">
        <v>17</v>
      </c>
      <c r="I1849" s="9" t="s">
        <v>20</v>
      </c>
      <c r="J1849" s="10"/>
      <c r="K1849" s="7" t="s">
        <v>398</v>
      </c>
      <c r="L1849" s="7"/>
      <c r="M1849" s="7"/>
      <c r="N1849" s="7" t="str">
        <f>IFERROR(__xludf.DUMMYFUNCTION("""COMPUTED_VALUE"""),"Sebastián Cáceres|46029")</f>
        <v>Sebastián Cáceres|46029</v>
      </c>
      <c r="O1849" s="7">
        <f>IFERROR(__xludf.DUMMYFUNCTION("""COMPUTED_VALUE"""),3.0)</f>
        <v>3</v>
      </c>
    </row>
    <row r="1850" ht="22.5" hidden="1" customHeight="1">
      <c r="A1850" s="8">
        <v>45904.40614277778</v>
      </c>
      <c r="B1850" s="9">
        <v>45904.0</v>
      </c>
      <c r="C1850" s="9" t="s">
        <v>31</v>
      </c>
      <c r="D1850" s="9" t="s">
        <v>350</v>
      </c>
      <c r="E1850" s="9" t="s">
        <v>17</v>
      </c>
      <c r="F1850" s="9" t="s">
        <v>17</v>
      </c>
      <c r="G1850" s="9" t="s">
        <v>19</v>
      </c>
      <c r="H1850" s="9" t="s">
        <v>17</v>
      </c>
      <c r="I1850" s="9" t="s">
        <v>20</v>
      </c>
      <c r="J1850" s="10"/>
      <c r="K1850" s="7" t="s">
        <v>398</v>
      </c>
      <c r="L1850" s="7"/>
      <c r="M1850" s="7"/>
      <c r="N1850" s="7" t="str">
        <f>IFERROR(__xludf.DUMMYFUNCTION("""COMPUTED_VALUE"""),"Rodrigo Aguirre|46029")</f>
        <v>Rodrigo Aguirre|46029</v>
      </c>
      <c r="O1850" s="7">
        <f>IFERROR(__xludf.DUMMYFUNCTION("""COMPUTED_VALUE"""),2.0)</f>
        <v>2</v>
      </c>
    </row>
    <row r="1851" ht="22.5" hidden="1" customHeight="1">
      <c r="A1851" s="8">
        <v>45904.40629576389</v>
      </c>
      <c r="B1851" s="9">
        <v>45904.0</v>
      </c>
      <c r="C1851" s="9" t="s">
        <v>31</v>
      </c>
      <c r="D1851" s="9" t="s">
        <v>258</v>
      </c>
      <c r="E1851" s="9" t="s">
        <v>17</v>
      </c>
      <c r="F1851" s="9" t="s">
        <v>17</v>
      </c>
      <c r="G1851" s="9" t="s">
        <v>24</v>
      </c>
      <c r="H1851" s="9" t="s">
        <v>17</v>
      </c>
      <c r="I1851" s="9" t="s">
        <v>20</v>
      </c>
      <c r="J1851" s="10"/>
      <c r="K1851" s="7" t="s">
        <v>398</v>
      </c>
      <c r="L1851" s="7"/>
      <c r="M1851" s="7"/>
      <c r="N1851" s="7" t="str">
        <f>IFERROR(__xludf.DUMMYFUNCTION("""COMPUTED_VALUE"""),"José Raúl Zúñiga|46029")</f>
        <v>José Raúl Zúñiga|46029</v>
      </c>
      <c r="O1851" s="7">
        <f>IFERROR(__xludf.DUMMYFUNCTION("""COMPUTED_VALUE"""),3.0)</f>
        <v>3</v>
      </c>
    </row>
    <row r="1852" ht="22.5" hidden="1" customHeight="1">
      <c r="A1852" s="8">
        <v>45904.4068934838</v>
      </c>
      <c r="B1852" s="9">
        <v>45904.0</v>
      </c>
      <c r="C1852" s="9" t="s">
        <v>31</v>
      </c>
      <c r="D1852" s="9" t="s">
        <v>259</v>
      </c>
      <c r="E1852" s="9" t="s">
        <v>17</v>
      </c>
      <c r="F1852" s="9" t="s">
        <v>43</v>
      </c>
      <c r="G1852" s="9" t="s">
        <v>24</v>
      </c>
      <c r="H1852" s="9" t="s">
        <v>17</v>
      </c>
      <c r="I1852" s="9" t="s">
        <v>20</v>
      </c>
      <c r="J1852" s="10"/>
      <c r="K1852" s="7" t="s">
        <v>398</v>
      </c>
      <c r="L1852" s="7"/>
      <c r="M1852" s="7"/>
      <c r="N1852" s="7" t="str">
        <f>IFERROR(__xludf.DUMMYFUNCTION("""COMPUTED_VALUE"""),"Alexis Gutiérrez|46029")</f>
        <v>Alexis Gutiérrez|46029</v>
      </c>
      <c r="O1852" s="7">
        <f>IFERROR(__xludf.DUMMYFUNCTION("""COMPUTED_VALUE"""),3.0)</f>
        <v>3</v>
      </c>
    </row>
    <row r="1853" ht="22.5" hidden="1" customHeight="1">
      <c r="A1853" s="8">
        <v>45904.40915924768</v>
      </c>
      <c r="B1853" s="9">
        <v>45904.0</v>
      </c>
      <c r="C1853" s="9" t="s">
        <v>31</v>
      </c>
      <c r="D1853" s="9" t="s">
        <v>397</v>
      </c>
      <c r="E1853" s="9" t="s">
        <v>17</v>
      </c>
      <c r="F1853" s="9" t="s">
        <v>17</v>
      </c>
      <c r="G1853" s="9" t="s">
        <v>24</v>
      </c>
      <c r="H1853" s="9" t="s">
        <v>22</v>
      </c>
      <c r="I1853" s="9" t="s">
        <v>20</v>
      </c>
      <c r="J1853" s="10"/>
      <c r="K1853" s="1" t="s">
        <v>398</v>
      </c>
      <c r="L1853" s="7"/>
      <c r="M1853" s="7"/>
      <c r="N1853" s="7" t="str">
        <f>IFERROR(__xludf.DUMMYFUNCTION("""COMPUTED_VALUE"""),"Israel Reyes|46029")</f>
        <v>Israel Reyes|46029</v>
      </c>
      <c r="O1853" s="7">
        <f>IFERROR(__xludf.DUMMYFUNCTION("""COMPUTED_VALUE"""),4.0)</f>
        <v>4</v>
      </c>
    </row>
    <row r="1854" ht="22.5" hidden="1" customHeight="1">
      <c r="A1854" s="8">
        <v>45904.409582002314</v>
      </c>
      <c r="B1854" s="9">
        <v>45904.0</v>
      </c>
      <c r="C1854" s="9" t="s">
        <v>31</v>
      </c>
      <c r="D1854" s="9" t="s">
        <v>367</v>
      </c>
      <c r="E1854" s="9" t="s">
        <v>17</v>
      </c>
      <c r="F1854" s="9" t="s">
        <v>17</v>
      </c>
      <c r="G1854" s="9" t="s">
        <v>24</v>
      </c>
      <c r="H1854" s="9" t="s">
        <v>17</v>
      </c>
      <c r="I1854" s="9" t="s">
        <v>20</v>
      </c>
      <c r="J1854" s="10"/>
      <c r="K1854" s="7" t="s">
        <v>398</v>
      </c>
      <c r="L1854" s="7"/>
      <c r="M1854" s="7"/>
      <c r="N1854" s="7" t="str">
        <f>IFERROR(__xludf.DUMMYFUNCTION("""COMPUTED_VALUE"""),"Rodrigo Dourado|46029")</f>
        <v>Rodrigo Dourado|46029</v>
      </c>
      <c r="O1854" s="7">
        <f>IFERROR(__xludf.DUMMYFUNCTION("""COMPUTED_VALUE"""),4.0)</f>
        <v>4</v>
      </c>
    </row>
    <row r="1855" ht="22.5" hidden="1" customHeight="1">
      <c r="A1855" s="8">
        <v>45904.41042439815</v>
      </c>
      <c r="B1855" s="9">
        <v>45904.0</v>
      </c>
      <c r="C1855" s="9" t="s">
        <v>31</v>
      </c>
      <c r="D1855" s="9" t="s">
        <v>361</v>
      </c>
      <c r="E1855" s="9" t="s">
        <v>17</v>
      </c>
      <c r="F1855" s="9" t="s">
        <v>17</v>
      </c>
      <c r="G1855" s="9" t="s">
        <v>24</v>
      </c>
      <c r="H1855" s="9" t="s">
        <v>17</v>
      </c>
      <c r="I1855" s="9" t="s">
        <v>20</v>
      </c>
      <c r="J1855" s="10"/>
      <c r="K1855" s="7" t="s">
        <v>398</v>
      </c>
      <c r="L1855" s="7"/>
      <c r="M1855" s="7"/>
      <c r="N1855" s="7" t="str">
        <f>IFERROR(__xludf.DUMMYFUNCTION("""COMPUTED_VALUE"""),"Ramón Juárez|46029")</f>
        <v>Ramón Juárez|46029</v>
      </c>
      <c r="O1855" s="7">
        <f>IFERROR(__xludf.DUMMYFUNCTION("""COMPUTED_VALUE"""),5.0)</f>
        <v>5</v>
      </c>
    </row>
    <row r="1856" ht="22.5" hidden="1" customHeight="1">
      <c r="A1856" s="8">
        <v>45904.41185164352</v>
      </c>
      <c r="B1856" s="9">
        <v>45904.0</v>
      </c>
      <c r="C1856" s="9" t="s">
        <v>31</v>
      </c>
      <c r="D1856" s="9" t="s">
        <v>168</v>
      </c>
      <c r="E1856" s="9" t="s">
        <v>17</v>
      </c>
      <c r="F1856" s="9" t="s">
        <v>17</v>
      </c>
      <c r="G1856" s="9" t="s">
        <v>24</v>
      </c>
      <c r="H1856" s="9" t="s">
        <v>25</v>
      </c>
      <c r="I1856" s="9" t="s">
        <v>207</v>
      </c>
      <c r="J1856" s="10"/>
      <c r="K1856" s="7" t="s">
        <v>398</v>
      </c>
      <c r="L1856" s="7"/>
      <c r="M1856" s="7"/>
      <c r="N1856" s="7" t="str">
        <f>IFERROR(__xludf.DUMMYFUNCTION("""COMPUTED_VALUE"""),"Santiago Naveda|46029")</f>
        <v>Santiago Naveda|46029</v>
      </c>
      <c r="O1856" s="7">
        <f>IFERROR(__xludf.DUMMYFUNCTION("""COMPUTED_VALUE"""),6.0)</f>
        <v>6</v>
      </c>
    </row>
    <row r="1857" ht="22.5" hidden="1" customHeight="1">
      <c r="A1857" s="8">
        <v>45904.41239082176</v>
      </c>
      <c r="B1857" s="9">
        <v>45904.0</v>
      </c>
      <c r="C1857" s="9" t="s">
        <v>31</v>
      </c>
      <c r="D1857" s="9" t="s">
        <v>280</v>
      </c>
      <c r="E1857" s="9" t="s">
        <v>17</v>
      </c>
      <c r="F1857" s="9" t="s">
        <v>17</v>
      </c>
      <c r="G1857" s="9" t="s">
        <v>24</v>
      </c>
      <c r="H1857" s="9" t="s">
        <v>17</v>
      </c>
      <c r="I1857" s="9" t="s">
        <v>20</v>
      </c>
      <c r="J1857" s="10"/>
      <c r="K1857" s="7" t="s">
        <v>398</v>
      </c>
      <c r="L1857" s="7"/>
      <c r="M1857" s="7"/>
      <c r="N1857" s="7" t="str">
        <f>IFERROR(__xludf.DUMMYFUNCTION("""COMPUTED_VALUE"""),"Rodolfo Cota|46029")</f>
        <v>Rodolfo Cota|46029</v>
      </c>
      <c r="O1857" s="7">
        <f>IFERROR(__xludf.DUMMYFUNCTION("""COMPUTED_VALUE"""),2.0)</f>
        <v>2</v>
      </c>
    </row>
    <row r="1858" ht="22.5" hidden="1" customHeight="1">
      <c r="A1858" s="8">
        <v>45904.41260574074</v>
      </c>
      <c r="B1858" s="9">
        <v>45904.0</v>
      </c>
      <c r="C1858" s="9" t="s">
        <v>31</v>
      </c>
      <c r="D1858" s="9" t="s">
        <v>249</v>
      </c>
      <c r="E1858" s="9" t="s">
        <v>17</v>
      </c>
      <c r="F1858" s="9" t="s">
        <v>17</v>
      </c>
      <c r="G1858" s="9" t="s">
        <v>24</v>
      </c>
      <c r="H1858" s="9" t="s">
        <v>17</v>
      </c>
      <c r="I1858" s="9" t="s">
        <v>20</v>
      </c>
      <c r="J1858" s="10"/>
      <c r="K1858" s="7" t="s">
        <v>398</v>
      </c>
      <c r="L1858" s="7"/>
      <c r="M1858" s="7"/>
      <c r="N1858" s="7" t="str">
        <f>IFERROR(__xludf.DUMMYFUNCTION("""COMPUTED_VALUE"""),"Allan Saint-Maximin|46029")</f>
        <v>Allan Saint-Maximin|46029</v>
      </c>
      <c r="O1858" s="7">
        <f>IFERROR(__xludf.DUMMYFUNCTION("""COMPUTED_VALUE"""),2.0)</f>
        <v>2</v>
      </c>
    </row>
    <row r="1859" ht="22.5" hidden="1" customHeight="1">
      <c r="A1859" s="8">
        <v>45908.398801041665</v>
      </c>
      <c r="B1859" s="9">
        <v>45908.0</v>
      </c>
      <c r="C1859" s="9" t="s">
        <v>86</v>
      </c>
      <c r="D1859" s="9" t="s">
        <v>397</v>
      </c>
      <c r="E1859" s="9" t="s">
        <v>17</v>
      </c>
      <c r="F1859" s="9" t="s">
        <v>60</v>
      </c>
      <c r="G1859" s="9" t="s">
        <v>24</v>
      </c>
      <c r="H1859" s="9" t="s">
        <v>17</v>
      </c>
      <c r="I1859" s="9" t="s">
        <v>20</v>
      </c>
      <c r="J1859" s="10"/>
      <c r="K1859" s="1" t="s">
        <v>398</v>
      </c>
      <c r="L1859" s="7"/>
      <c r="M1859" s="7"/>
      <c r="N1859" s="7" t="str">
        <f>IFERROR(__xludf.DUMMYFUNCTION("""COMPUTED_VALUE"""),"Cristian Borja|46029")</f>
        <v>Cristian Borja|46029</v>
      </c>
      <c r="O1859" s="7">
        <f>IFERROR(__xludf.DUMMYFUNCTION("""COMPUTED_VALUE"""),3.0)</f>
        <v>3</v>
      </c>
    </row>
    <row r="1860" ht="22.5" hidden="1" customHeight="1">
      <c r="A1860" s="8">
        <v>45908.39972638889</v>
      </c>
      <c r="B1860" s="9">
        <v>45908.0</v>
      </c>
      <c r="C1860" s="9" t="s">
        <v>86</v>
      </c>
      <c r="D1860" s="9" t="s">
        <v>280</v>
      </c>
      <c r="E1860" s="9" t="s">
        <v>17</v>
      </c>
      <c r="F1860" s="9" t="s">
        <v>17</v>
      </c>
      <c r="G1860" s="9" t="s">
        <v>24</v>
      </c>
      <c r="H1860" s="9" t="s">
        <v>17</v>
      </c>
      <c r="I1860" s="9" t="s">
        <v>20</v>
      </c>
      <c r="J1860" s="10"/>
      <c r="K1860" s="7" t="s">
        <v>398</v>
      </c>
      <c r="L1860" s="7"/>
      <c r="M1860" s="7"/>
      <c r="N1860" s="7" t="str">
        <f>IFERROR(__xludf.DUMMYFUNCTION("""COMPUTED_VALUE"""),"Néstor Araujo|46029")</f>
        <v>Néstor Araujo|46029</v>
      </c>
      <c r="O1860" s="7">
        <f>IFERROR(__xludf.DUMMYFUNCTION("""COMPUTED_VALUE"""),5.0)</f>
        <v>5</v>
      </c>
    </row>
    <row r="1861" ht="22.5" hidden="1" customHeight="1">
      <c r="A1861" s="8">
        <v>45908.39990498843</v>
      </c>
      <c r="B1861" s="9">
        <v>45908.0</v>
      </c>
      <c r="C1861" s="9" t="s">
        <v>86</v>
      </c>
      <c r="D1861" s="9" t="s">
        <v>258</v>
      </c>
      <c r="E1861" s="9" t="s">
        <v>17</v>
      </c>
      <c r="F1861" s="9" t="s">
        <v>17</v>
      </c>
      <c r="G1861" s="9" t="s">
        <v>24</v>
      </c>
      <c r="H1861" s="9" t="s">
        <v>17</v>
      </c>
      <c r="I1861" s="9" t="s">
        <v>20</v>
      </c>
      <c r="J1861" s="10"/>
      <c r="K1861" s="7" t="s">
        <v>398</v>
      </c>
      <c r="L1861" s="7"/>
      <c r="M1861" s="7"/>
      <c r="N1861" s="7" t="str">
        <f>IFERROR(__xludf.DUMMYFUNCTION("""COMPUTED_VALUE"""),"Miguel Vázquez|46029")</f>
        <v>Miguel Vázquez|46029</v>
      </c>
      <c r="O1861" s="7">
        <f>IFERROR(__xludf.DUMMYFUNCTION("""COMPUTED_VALUE"""),3.0)</f>
        <v>3</v>
      </c>
    </row>
    <row r="1862" ht="22.5" hidden="1" customHeight="1">
      <c r="A1862" s="8">
        <v>45908.40597666666</v>
      </c>
      <c r="B1862" s="9">
        <v>45908.0</v>
      </c>
      <c r="C1862" s="9" t="s">
        <v>86</v>
      </c>
      <c r="D1862" s="9" t="s">
        <v>395</v>
      </c>
      <c r="E1862" s="9" t="s">
        <v>17</v>
      </c>
      <c r="F1862" s="9" t="s">
        <v>17</v>
      </c>
      <c r="G1862" s="9" t="s">
        <v>24</v>
      </c>
      <c r="H1862" s="9" t="s">
        <v>17</v>
      </c>
      <c r="I1862" s="9" t="s">
        <v>381</v>
      </c>
      <c r="J1862" s="10"/>
      <c r="K1862" s="7" t="s">
        <v>398</v>
      </c>
      <c r="L1862" s="7"/>
      <c r="M1862" s="7"/>
      <c r="N1862" s="7" t="str">
        <f>IFERROR(__xludf.DUMMYFUNCTION("""COMPUTED_VALUE"""),"Kevin Álvarez|46029")</f>
        <v>Kevin Álvarez|46029</v>
      </c>
      <c r="O1862" s="7">
        <f>IFERROR(__xludf.DUMMYFUNCTION("""COMPUTED_VALUE"""),3.0)</f>
        <v>3</v>
      </c>
    </row>
    <row r="1863" ht="22.5" hidden="1" customHeight="1">
      <c r="A1863" s="8">
        <v>45908.40661759259</v>
      </c>
      <c r="B1863" s="9">
        <v>45908.0</v>
      </c>
      <c r="C1863" s="9" t="s">
        <v>86</v>
      </c>
      <c r="D1863" s="9" t="s">
        <v>361</v>
      </c>
      <c r="E1863" s="9" t="s">
        <v>17</v>
      </c>
      <c r="F1863" s="9" t="s">
        <v>17</v>
      </c>
      <c r="G1863" s="9" t="s">
        <v>24</v>
      </c>
      <c r="H1863" s="9" t="s">
        <v>17</v>
      </c>
      <c r="I1863" s="9" t="s">
        <v>20</v>
      </c>
      <c r="J1863" s="10"/>
      <c r="K1863" s="7" t="s">
        <v>398</v>
      </c>
      <c r="L1863" s="7"/>
      <c r="M1863" s="7"/>
      <c r="N1863" s="7" t="str">
        <f>IFERROR(__xludf.DUMMYFUNCTION("""COMPUTED_VALUE"""),"Paolo Bedolla|46029")</f>
        <v>Paolo Bedolla|46029</v>
      </c>
      <c r="O1863" s="7">
        <f>IFERROR(__xludf.DUMMYFUNCTION("""COMPUTED_VALUE"""),4.0)</f>
        <v>4</v>
      </c>
    </row>
    <row r="1864" ht="22.5" hidden="1" customHeight="1">
      <c r="A1864" s="8">
        <v>45908.407004189816</v>
      </c>
      <c r="B1864" s="9">
        <v>45908.0</v>
      </c>
      <c r="C1864" s="9" t="s">
        <v>86</v>
      </c>
      <c r="D1864" s="9" t="s">
        <v>393</v>
      </c>
      <c r="E1864" s="9" t="s">
        <v>17</v>
      </c>
      <c r="F1864" s="9" t="s">
        <v>17</v>
      </c>
      <c r="G1864" s="9" t="s">
        <v>24</v>
      </c>
      <c r="H1864" s="9" t="s">
        <v>17</v>
      </c>
      <c r="I1864" s="9" t="s">
        <v>20</v>
      </c>
      <c r="J1864" s="10"/>
      <c r="K1864" s="7" t="s">
        <v>398</v>
      </c>
      <c r="L1864" s="7"/>
      <c r="M1864" s="7"/>
      <c r="N1864" s="7" t="str">
        <f>IFERROR(__xludf.DUMMYFUNCTION("""COMPUTED_VALUE"""),"Jonathan Dos Santos|46029")</f>
        <v>Jonathan Dos Santos|46029</v>
      </c>
      <c r="O1864" s="7">
        <f>IFERROR(__xludf.DUMMYFUNCTION("""COMPUTED_VALUE"""),3.0)</f>
        <v>3</v>
      </c>
    </row>
    <row r="1865" ht="22.5" hidden="1" customHeight="1">
      <c r="A1865" s="8">
        <v>45908.40741009259</v>
      </c>
      <c r="B1865" s="9">
        <v>45908.0</v>
      </c>
      <c r="C1865" s="9" t="s">
        <v>86</v>
      </c>
      <c r="D1865" s="9" t="s">
        <v>357</v>
      </c>
      <c r="E1865" s="9" t="s">
        <v>17</v>
      </c>
      <c r="F1865" s="9" t="s">
        <v>17</v>
      </c>
      <c r="G1865" s="9" t="s">
        <v>24</v>
      </c>
      <c r="H1865" s="9" t="s">
        <v>17</v>
      </c>
      <c r="I1865" s="9" t="s">
        <v>20</v>
      </c>
      <c r="J1865" s="10"/>
      <c r="K1865" s="7" t="s">
        <v>398</v>
      </c>
      <c r="L1865" s="7"/>
      <c r="M1865" s="7"/>
      <c r="N1865" s="7" t="str">
        <f>IFERROR(__xludf.DUMMYFUNCTION("""COMPUTED_VALUE"""),"Brian Rodríguez|46029")</f>
        <v>Brian Rodríguez|46029</v>
      </c>
      <c r="O1865" s="7">
        <f>IFERROR(__xludf.DUMMYFUNCTION("""COMPUTED_VALUE"""),2.0)</f>
        <v>2</v>
      </c>
    </row>
    <row r="1866" ht="22.5" hidden="1" customHeight="1">
      <c r="A1866" s="8">
        <v>45908.4162008912</v>
      </c>
      <c r="B1866" s="9">
        <v>45908.0</v>
      </c>
      <c r="C1866" s="9" t="s">
        <v>86</v>
      </c>
      <c r="D1866" s="9" t="s">
        <v>178</v>
      </c>
      <c r="E1866" s="9" t="s">
        <v>17</v>
      </c>
      <c r="F1866" s="9" t="s">
        <v>17</v>
      </c>
      <c r="G1866" s="9" t="s">
        <v>24</v>
      </c>
      <c r="H1866" s="9" t="s">
        <v>17</v>
      </c>
      <c r="I1866" s="9" t="s">
        <v>20</v>
      </c>
      <c r="J1866" s="10"/>
      <c r="K1866" s="7" t="s">
        <v>398</v>
      </c>
      <c r="L1866" s="7"/>
      <c r="M1866" s="7"/>
      <c r="N1866" s="7" t="str">
        <f>IFERROR(__xludf.DUMMYFUNCTION("""COMPUTED_VALUE"""),"Víctor Dávila|46029")</f>
        <v>Víctor Dávila|46029</v>
      </c>
      <c r="O1866" s="7">
        <f>IFERROR(__xludf.DUMMYFUNCTION("""COMPUTED_VALUE"""),5.0)</f>
        <v>5</v>
      </c>
    </row>
    <row r="1867" ht="22.5" hidden="1" customHeight="1">
      <c r="A1867" s="8">
        <v>45908.416400601855</v>
      </c>
      <c r="B1867" s="9">
        <v>45908.0</v>
      </c>
      <c r="C1867" s="9" t="s">
        <v>86</v>
      </c>
      <c r="D1867" s="9" t="s">
        <v>249</v>
      </c>
      <c r="E1867" s="9" t="s">
        <v>17</v>
      </c>
      <c r="F1867" s="9" t="s">
        <v>17</v>
      </c>
      <c r="G1867" s="9" t="s">
        <v>24</v>
      </c>
      <c r="H1867" s="9" t="s">
        <v>17</v>
      </c>
      <c r="I1867" s="9" t="s">
        <v>20</v>
      </c>
      <c r="J1867" s="10"/>
      <c r="K1867" s="7" t="s">
        <v>398</v>
      </c>
      <c r="L1867" s="7"/>
      <c r="M1867" s="7"/>
      <c r="N1867" s="7" t="str">
        <f>IFERROR(__xludf.DUMMYFUNCTION("""COMPUTED_VALUE"""),"Alan Cervantes|46029")</f>
        <v>Alan Cervantes|46029</v>
      </c>
      <c r="O1867" s="7">
        <f>IFERROR(__xludf.DUMMYFUNCTION("""COMPUTED_VALUE"""),5.0)</f>
        <v>5</v>
      </c>
    </row>
    <row r="1868" ht="22.5" hidden="1" customHeight="1">
      <c r="A1868" s="8">
        <v>45908.43757851852</v>
      </c>
      <c r="B1868" s="9">
        <v>45908.0</v>
      </c>
      <c r="C1868" s="9" t="s">
        <v>86</v>
      </c>
      <c r="D1868" s="9" t="s">
        <v>168</v>
      </c>
      <c r="E1868" s="9" t="s">
        <v>17</v>
      </c>
      <c r="F1868" s="9" t="s">
        <v>17</v>
      </c>
      <c r="G1868" s="9" t="s">
        <v>24</v>
      </c>
      <c r="H1868" s="9" t="s">
        <v>17</v>
      </c>
      <c r="I1868" s="9" t="s">
        <v>20</v>
      </c>
      <c r="J1868" s="10"/>
      <c r="K1868" s="7" t="s">
        <v>398</v>
      </c>
      <c r="L1868" s="7"/>
      <c r="M1868" s="7"/>
      <c r="N1868" s="7" t="str">
        <f>IFERROR(__xludf.DUMMYFUNCTION("""COMPUTED_VALUE"""),"Luis Ángel Malagón|46029")</f>
        <v>Luis Ángel Malagón|46029</v>
      </c>
      <c r="O1868" s="7">
        <f>IFERROR(__xludf.DUMMYFUNCTION("""COMPUTED_VALUE"""),3.0)</f>
        <v>3</v>
      </c>
    </row>
    <row r="1869" ht="22.5" hidden="1" customHeight="1">
      <c r="A1869" s="8">
        <v>45908.4388603588</v>
      </c>
      <c r="B1869" s="9">
        <v>45908.0</v>
      </c>
      <c r="C1869" s="9" t="s">
        <v>86</v>
      </c>
      <c r="D1869" s="9" t="s">
        <v>259</v>
      </c>
      <c r="E1869" s="9" t="s">
        <v>17</v>
      </c>
      <c r="F1869" s="9" t="s">
        <v>17</v>
      </c>
      <c r="G1869" s="9" t="s">
        <v>24</v>
      </c>
      <c r="H1869" s="9" t="s">
        <v>17</v>
      </c>
      <c r="I1869" s="9" t="s">
        <v>20</v>
      </c>
      <c r="J1869" s="10"/>
      <c r="K1869" s="7" t="s">
        <v>398</v>
      </c>
      <c r="L1869" s="7"/>
      <c r="M1869" s="7"/>
      <c r="N1869" s="7" t="str">
        <f>IFERROR(__xludf.DUMMYFUNCTION("""COMPUTED_VALUE"""),"Israel Reyes|46034")</f>
        <v>Israel Reyes|46034</v>
      </c>
      <c r="O1869" s="7">
        <f>IFERROR(__xludf.DUMMYFUNCTION("""COMPUTED_VALUE"""),5.0)</f>
        <v>5</v>
      </c>
    </row>
    <row r="1870" ht="22.5" hidden="1" customHeight="1">
      <c r="A1870" s="8">
        <v>45908.439442256946</v>
      </c>
      <c r="B1870" s="9">
        <v>45908.0</v>
      </c>
      <c r="C1870" s="9" t="s">
        <v>86</v>
      </c>
      <c r="D1870" s="9" t="s">
        <v>367</v>
      </c>
      <c r="E1870" s="9" t="s">
        <v>17</v>
      </c>
      <c r="F1870" s="9" t="s">
        <v>17</v>
      </c>
      <c r="G1870" s="9" t="s">
        <v>24</v>
      </c>
      <c r="H1870" s="9" t="s">
        <v>17</v>
      </c>
      <c r="I1870" s="9" t="s">
        <v>50</v>
      </c>
      <c r="J1870" s="10"/>
      <c r="K1870" s="7" t="s">
        <v>398</v>
      </c>
      <c r="L1870" s="7"/>
      <c r="M1870" s="7"/>
      <c r="N1870" s="7" t="str">
        <f>IFERROR(__xludf.DUMMYFUNCTION("""COMPUTED_VALUE"""),"Allan Saint-Maximin|46034")</f>
        <v>Allan Saint-Maximin|46034</v>
      </c>
      <c r="O1870" s="7">
        <f>IFERROR(__xludf.DUMMYFUNCTION("""COMPUTED_VALUE"""),3.0)</f>
        <v>3</v>
      </c>
    </row>
    <row r="1871" ht="22.5" hidden="1" customHeight="1">
      <c r="A1871" s="8">
        <v>45908.44579701389</v>
      </c>
      <c r="B1871" s="9">
        <v>45908.0</v>
      </c>
      <c r="C1871" s="9" t="s">
        <v>86</v>
      </c>
      <c r="D1871" s="9" t="s">
        <v>247</v>
      </c>
      <c r="E1871" s="9" t="s">
        <v>17</v>
      </c>
      <c r="F1871" s="9" t="s">
        <v>17</v>
      </c>
      <c r="G1871" s="9" t="s">
        <v>24</v>
      </c>
      <c r="H1871" s="9" t="s">
        <v>17</v>
      </c>
      <c r="I1871" s="9" t="s">
        <v>20</v>
      </c>
      <c r="J1871" s="10"/>
      <c r="K1871" s="7" t="s">
        <v>398</v>
      </c>
      <c r="L1871" s="7"/>
      <c r="M1871" s="7"/>
      <c r="N1871" s="7" t="str">
        <f>IFERROR(__xludf.DUMMYFUNCTION("""COMPUTED_VALUE"""),"Rodolfo Cota|46034")</f>
        <v>Rodolfo Cota|46034</v>
      </c>
      <c r="O1871" s="7">
        <f>IFERROR(__xludf.DUMMYFUNCTION("""COMPUTED_VALUE"""),2.0)</f>
        <v>2</v>
      </c>
    </row>
    <row r="1872" ht="22.5" hidden="1" customHeight="1">
      <c r="A1872" s="8">
        <v>45908.44596484954</v>
      </c>
      <c r="B1872" s="9">
        <v>45908.0</v>
      </c>
      <c r="C1872" s="9" t="s">
        <v>86</v>
      </c>
      <c r="D1872" s="9" t="s">
        <v>210</v>
      </c>
      <c r="E1872" s="9" t="s">
        <v>17</v>
      </c>
      <c r="F1872" s="9" t="s">
        <v>17</v>
      </c>
      <c r="G1872" s="9" t="s">
        <v>24</v>
      </c>
      <c r="H1872" s="9" t="s">
        <v>17</v>
      </c>
      <c r="I1872" s="9" t="s">
        <v>20</v>
      </c>
      <c r="J1872" s="10"/>
      <c r="K1872" s="7" t="s">
        <v>398</v>
      </c>
      <c r="L1872" s="7"/>
      <c r="M1872" s="7"/>
      <c r="N1872" s="7" t="str">
        <f>IFERROR(__xludf.DUMMYFUNCTION("""COMPUTED_VALUE"""),"Luis Ángel Malagón|46034")</f>
        <v>Luis Ángel Malagón|46034</v>
      </c>
      <c r="O1872" s="7">
        <f>IFERROR(__xludf.DUMMYFUNCTION("""COMPUTED_VALUE"""),4.0)</f>
        <v>4</v>
      </c>
    </row>
    <row r="1873" ht="22.5" hidden="1" customHeight="1">
      <c r="A1873" s="8">
        <v>45908.44616677084</v>
      </c>
      <c r="B1873" s="9">
        <v>45908.0</v>
      </c>
      <c r="C1873" s="9" t="s">
        <v>86</v>
      </c>
      <c r="D1873" s="9" t="s">
        <v>174</v>
      </c>
      <c r="E1873" s="9" t="s">
        <v>17</v>
      </c>
      <c r="F1873" s="9" t="s">
        <v>17</v>
      </c>
      <c r="G1873" s="9" t="s">
        <v>24</v>
      </c>
      <c r="H1873" s="9" t="s">
        <v>17</v>
      </c>
      <c r="I1873" s="9" t="s">
        <v>20</v>
      </c>
      <c r="J1873" s="10"/>
      <c r="K1873" s="7" t="s">
        <v>398</v>
      </c>
      <c r="L1873" s="7"/>
      <c r="M1873" s="7"/>
      <c r="N1873" s="7" t="str">
        <f>IFERROR(__xludf.DUMMYFUNCTION("""COMPUTED_VALUE"""),"Rodrigo Dourado|46034")</f>
        <v>Rodrigo Dourado|46034</v>
      </c>
      <c r="O1873" s="7">
        <f>IFERROR(__xludf.DUMMYFUNCTION("""COMPUTED_VALUE"""),5.0)</f>
        <v>5</v>
      </c>
    </row>
    <row r="1874" ht="22.5" hidden="1" customHeight="1">
      <c r="A1874" s="8">
        <v>45908.44645952546</v>
      </c>
      <c r="B1874" s="9">
        <v>45908.0</v>
      </c>
      <c r="C1874" s="9" t="s">
        <v>86</v>
      </c>
      <c r="D1874" s="9" t="s">
        <v>175</v>
      </c>
      <c r="E1874" s="9" t="s">
        <v>17</v>
      </c>
      <c r="F1874" s="9" t="s">
        <v>17</v>
      </c>
      <c r="G1874" s="9" t="s">
        <v>24</v>
      </c>
      <c r="H1874" s="9" t="s">
        <v>17</v>
      </c>
      <c r="I1874" s="9" t="s">
        <v>20</v>
      </c>
      <c r="J1874" s="10"/>
      <c r="K1874" s="7" t="s">
        <v>398</v>
      </c>
      <c r="L1874" s="7"/>
      <c r="M1874" s="7"/>
      <c r="N1874" s="7" t="str">
        <f>IFERROR(__xludf.DUMMYFUNCTION("""COMPUTED_VALUE"""),"José Raúl Zúñiga|46034")</f>
        <v>José Raúl Zúñiga|46034</v>
      </c>
      <c r="O1874" s="7">
        <f>IFERROR(__xludf.DUMMYFUNCTION("""COMPUTED_VALUE"""),3.0)</f>
        <v>3</v>
      </c>
    </row>
    <row r="1875" ht="22.5" hidden="1" customHeight="1">
      <c r="A1875" s="8">
        <v>45908.44690293982</v>
      </c>
      <c r="B1875" s="9">
        <v>45908.0</v>
      </c>
      <c r="C1875" s="9" t="s">
        <v>86</v>
      </c>
      <c r="D1875" s="9" t="s">
        <v>350</v>
      </c>
      <c r="E1875" s="9" t="s">
        <v>17</v>
      </c>
      <c r="F1875" s="9" t="s">
        <v>17</v>
      </c>
      <c r="G1875" s="9" t="s">
        <v>24</v>
      </c>
      <c r="H1875" s="9" t="s">
        <v>17</v>
      </c>
      <c r="I1875" s="9" t="s">
        <v>20</v>
      </c>
      <c r="J1875" s="10"/>
      <c r="K1875" s="7" t="s">
        <v>398</v>
      </c>
      <c r="L1875" s="7"/>
      <c r="M1875" s="7"/>
      <c r="N1875" s="7" t="str">
        <f>IFERROR(__xludf.DUMMYFUNCTION("""COMPUTED_VALUE"""),"Ramón Juárez|46034")</f>
        <v>Ramón Juárez|46034</v>
      </c>
      <c r="O1875" s="7">
        <f>IFERROR(__xludf.DUMMYFUNCTION("""COMPUTED_VALUE"""),6.0)</f>
        <v>6</v>
      </c>
    </row>
    <row r="1876" ht="22.5" hidden="1" customHeight="1">
      <c r="A1876" s="8">
        <v>45909.37215534722</v>
      </c>
      <c r="B1876" s="9">
        <v>45909.0</v>
      </c>
      <c r="C1876" s="9" t="s">
        <v>110</v>
      </c>
      <c r="D1876" s="9" t="s">
        <v>259</v>
      </c>
      <c r="E1876" s="9" t="s">
        <v>17</v>
      </c>
      <c r="F1876" s="9" t="s">
        <v>18</v>
      </c>
      <c r="G1876" s="9" t="s">
        <v>19</v>
      </c>
      <c r="H1876" s="9" t="s">
        <v>22</v>
      </c>
      <c r="I1876" s="9" t="s">
        <v>20</v>
      </c>
      <c r="J1876" s="10"/>
      <c r="K1876" s="7" t="s">
        <v>398</v>
      </c>
      <c r="L1876" s="7"/>
      <c r="M1876" s="7"/>
      <c r="N1876" s="7" t="str">
        <f>IFERROR(__xludf.DUMMYFUNCTION("""COMPUTED_VALUE"""),"Patricio Salas|46034")</f>
        <v>Patricio Salas|46034</v>
      </c>
      <c r="O1876" s="7">
        <f>IFERROR(__xludf.DUMMYFUNCTION("""COMPUTED_VALUE"""),5.0)</f>
        <v>5</v>
      </c>
    </row>
    <row r="1877" ht="22.5" hidden="1" customHeight="1">
      <c r="A1877" s="8">
        <v>45909.37285925926</v>
      </c>
      <c r="B1877" s="9">
        <v>45909.0</v>
      </c>
      <c r="C1877" s="9" t="s">
        <v>110</v>
      </c>
      <c r="D1877" s="9" t="s">
        <v>259</v>
      </c>
      <c r="E1877" s="9" t="s">
        <v>17</v>
      </c>
      <c r="F1877" s="9" t="s">
        <v>18</v>
      </c>
      <c r="G1877" s="9" t="s">
        <v>19</v>
      </c>
      <c r="H1877" s="9" t="s">
        <v>22</v>
      </c>
      <c r="I1877" s="9" t="s">
        <v>20</v>
      </c>
      <c r="J1877" s="10"/>
      <c r="K1877" s="7" t="s">
        <v>398</v>
      </c>
      <c r="L1877" s="7"/>
      <c r="M1877" s="7"/>
      <c r="N1877" s="7" t="str">
        <f>IFERROR(__xludf.DUMMYFUNCTION("""COMPUTED_VALUE"""),"Néstor Araujo|46034")</f>
        <v>Néstor Araujo|46034</v>
      </c>
      <c r="O1877" s="7">
        <f>IFERROR(__xludf.DUMMYFUNCTION("""COMPUTED_VALUE"""),6.0)</f>
        <v>6</v>
      </c>
    </row>
    <row r="1878" ht="22.5" hidden="1" customHeight="1">
      <c r="A1878" s="8">
        <v>45909.3827300463</v>
      </c>
      <c r="B1878" s="9">
        <v>45909.0</v>
      </c>
      <c r="C1878" s="9" t="s">
        <v>110</v>
      </c>
      <c r="D1878" s="9" t="s">
        <v>280</v>
      </c>
      <c r="E1878" s="9" t="s">
        <v>17</v>
      </c>
      <c r="F1878" s="9" t="s">
        <v>17</v>
      </c>
      <c r="G1878" s="9" t="s">
        <v>24</v>
      </c>
      <c r="H1878" s="9" t="s">
        <v>17</v>
      </c>
      <c r="I1878" s="9" t="s">
        <v>211</v>
      </c>
      <c r="J1878" s="10"/>
      <c r="K1878" s="7" t="s">
        <v>398</v>
      </c>
      <c r="L1878" s="7"/>
      <c r="M1878" s="7"/>
      <c r="N1878" s="7" t="str">
        <f>IFERROR(__xludf.DUMMYFUNCTION("""COMPUTED_VALUE"""),"Igor Lichnovsky|46034")</f>
        <v>Igor Lichnovsky|46034</v>
      </c>
      <c r="O1878" s="7">
        <f>IFERROR(__xludf.DUMMYFUNCTION("""COMPUTED_VALUE"""),4.0)</f>
        <v>4</v>
      </c>
    </row>
    <row r="1879" ht="22.5" hidden="1" customHeight="1">
      <c r="A1879" s="8">
        <v>45909.38467929398</v>
      </c>
      <c r="B1879" s="9">
        <v>45909.0</v>
      </c>
      <c r="C1879" s="9" t="s">
        <v>110</v>
      </c>
      <c r="D1879" s="9" t="s">
        <v>247</v>
      </c>
      <c r="E1879" s="9" t="s">
        <v>17</v>
      </c>
      <c r="F1879" s="9" t="s">
        <v>17</v>
      </c>
      <c r="G1879" s="9" t="s">
        <v>24</v>
      </c>
      <c r="H1879" s="9" t="s">
        <v>17</v>
      </c>
      <c r="I1879" s="9" t="s">
        <v>20</v>
      </c>
      <c r="J1879" s="10"/>
      <c r="K1879" s="7" t="s">
        <v>398</v>
      </c>
      <c r="L1879" s="7"/>
      <c r="M1879" s="7"/>
      <c r="N1879" s="7" t="str">
        <f>IFERROR(__xludf.DUMMYFUNCTION("""COMPUTED_VALUE"""),"Diego Reyes|46034")</f>
        <v>Diego Reyes|46034</v>
      </c>
      <c r="O1879" s="7">
        <f>IFERROR(__xludf.DUMMYFUNCTION("""COMPUTED_VALUE"""),5.0)</f>
        <v>5</v>
      </c>
    </row>
    <row r="1880" ht="22.5" hidden="1" customHeight="1">
      <c r="A1880" s="8">
        <v>45909.38609510417</v>
      </c>
      <c r="B1880" s="9">
        <v>45909.0</v>
      </c>
      <c r="C1880" s="9" t="s">
        <v>110</v>
      </c>
      <c r="D1880" s="9" t="s">
        <v>397</v>
      </c>
      <c r="E1880" s="9" t="s">
        <v>17</v>
      </c>
      <c r="F1880" s="9" t="s">
        <v>35</v>
      </c>
      <c r="G1880" s="9" t="s">
        <v>19</v>
      </c>
      <c r="H1880" s="9" t="s">
        <v>17</v>
      </c>
      <c r="I1880" s="9" t="s">
        <v>34</v>
      </c>
      <c r="J1880" s="10"/>
      <c r="K1880" s="1" t="s">
        <v>398</v>
      </c>
      <c r="L1880" s="7"/>
      <c r="M1880" s="7"/>
      <c r="N1880" s="7" t="str">
        <f>IFERROR(__xludf.DUMMYFUNCTION("""COMPUTED_VALUE"""),"Alan Cervantes|46034")</f>
        <v>Alan Cervantes|46034</v>
      </c>
      <c r="O1880" s="7">
        <f>IFERROR(__xludf.DUMMYFUNCTION("""COMPUTED_VALUE"""),7.0)</f>
        <v>7</v>
      </c>
    </row>
    <row r="1881" ht="22.5" hidden="1" customHeight="1">
      <c r="A1881" s="8">
        <v>45909.386736782406</v>
      </c>
      <c r="B1881" s="9">
        <v>45909.0</v>
      </c>
      <c r="C1881" s="9" t="s">
        <v>110</v>
      </c>
      <c r="D1881" s="9" t="s">
        <v>350</v>
      </c>
      <c r="E1881" s="9" t="s">
        <v>17</v>
      </c>
      <c r="F1881" s="9" t="s">
        <v>17</v>
      </c>
      <c r="G1881" s="9" t="s">
        <v>19</v>
      </c>
      <c r="H1881" s="9" t="s">
        <v>22</v>
      </c>
      <c r="I1881" s="9" t="s">
        <v>20</v>
      </c>
      <c r="J1881" s="10"/>
      <c r="K1881" s="7" t="s">
        <v>398</v>
      </c>
      <c r="L1881" s="7"/>
      <c r="M1881" s="7"/>
      <c r="N1881" s="7" t="str">
        <f>IFERROR(__xludf.DUMMYFUNCTION("""COMPUTED_VALUE"""),"Alexis Gutiérrez|46034")</f>
        <v>Alexis Gutiérrez|46034</v>
      </c>
      <c r="O1881" s="7">
        <f>IFERROR(__xludf.DUMMYFUNCTION("""COMPUTED_VALUE"""),4.0)</f>
        <v>4</v>
      </c>
    </row>
    <row r="1882" ht="22.5" hidden="1" customHeight="1">
      <c r="A1882" s="8">
        <v>45909.39146291667</v>
      </c>
      <c r="B1882" s="9">
        <v>45909.0</v>
      </c>
      <c r="C1882" s="9" t="s">
        <v>110</v>
      </c>
      <c r="D1882" s="9" t="s">
        <v>395</v>
      </c>
      <c r="E1882" s="9" t="s">
        <v>17</v>
      </c>
      <c r="F1882" s="9" t="s">
        <v>17</v>
      </c>
      <c r="G1882" s="9" t="s">
        <v>24</v>
      </c>
      <c r="H1882" s="9" t="s">
        <v>25</v>
      </c>
      <c r="I1882" s="9" t="s">
        <v>381</v>
      </c>
      <c r="J1882" s="10"/>
      <c r="K1882" s="7" t="s">
        <v>398</v>
      </c>
      <c r="L1882" s="7"/>
      <c r="M1882" s="7"/>
      <c r="N1882" s="7" t="str">
        <f>IFERROR(__xludf.DUMMYFUNCTION("""COMPUTED_VALUE"""),"Isaías Violante|46034")</f>
        <v>Isaías Violante|46034</v>
      </c>
      <c r="O1882" s="7">
        <f>IFERROR(__xludf.DUMMYFUNCTION("""COMPUTED_VALUE"""),5.0)</f>
        <v>5</v>
      </c>
    </row>
    <row r="1883" ht="22.5" hidden="1" customHeight="1">
      <c r="A1883" s="8">
        <v>45909.39195921297</v>
      </c>
      <c r="B1883" s="9">
        <v>45909.0</v>
      </c>
      <c r="C1883" s="9" t="s">
        <v>110</v>
      </c>
      <c r="D1883" s="9" t="s">
        <v>393</v>
      </c>
      <c r="E1883" s="9" t="s">
        <v>17</v>
      </c>
      <c r="F1883" s="9" t="s">
        <v>18</v>
      </c>
      <c r="G1883" s="9" t="s">
        <v>24</v>
      </c>
      <c r="H1883" s="9" t="s">
        <v>22</v>
      </c>
      <c r="I1883" s="9" t="s">
        <v>20</v>
      </c>
      <c r="J1883" s="10"/>
      <c r="K1883" s="7" t="s">
        <v>398</v>
      </c>
      <c r="L1883" s="7"/>
      <c r="M1883" s="7"/>
      <c r="N1883" s="7" t="str">
        <f>IFERROR(__xludf.DUMMYFUNCTION("""COMPUTED_VALUE"""),"Sebastián Cáceres|46034")</f>
        <v>Sebastián Cáceres|46034</v>
      </c>
      <c r="O1883" s="7">
        <f>IFERROR(__xludf.DUMMYFUNCTION("""COMPUTED_VALUE"""),3.0)</f>
        <v>3</v>
      </c>
    </row>
    <row r="1884" ht="22.5" hidden="1" customHeight="1">
      <c r="A1884" s="8">
        <v>45909.39305521991</v>
      </c>
      <c r="B1884" s="9">
        <v>45909.0</v>
      </c>
      <c r="C1884" s="9" t="s">
        <v>110</v>
      </c>
      <c r="D1884" s="9" t="s">
        <v>210</v>
      </c>
      <c r="E1884" s="9" t="s">
        <v>17</v>
      </c>
      <c r="F1884" s="9" t="s">
        <v>18</v>
      </c>
      <c r="G1884" s="9" t="s">
        <v>24</v>
      </c>
      <c r="H1884" s="9" t="s">
        <v>22</v>
      </c>
      <c r="I1884" s="9" t="s">
        <v>20</v>
      </c>
      <c r="J1884" s="10"/>
      <c r="K1884" s="7" t="s">
        <v>398</v>
      </c>
      <c r="L1884" s="7"/>
      <c r="M1884" s="7"/>
      <c r="N1884" s="7" t="str">
        <f>IFERROR(__xludf.DUMMYFUNCTION("""COMPUTED_VALUE"""),"Rodrigo Aguirre|46034")</f>
        <v>Rodrigo Aguirre|46034</v>
      </c>
      <c r="O1884" s="7">
        <f>IFERROR(__xludf.DUMMYFUNCTION("""COMPUTED_VALUE"""),3.0)</f>
        <v>3</v>
      </c>
    </row>
    <row r="1885" ht="22.5" hidden="1" customHeight="1">
      <c r="A1885" s="8">
        <v>45909.39377447916</v>
      </c>
      <c r="B1885" s="9">
        <v>45909.0</v>
      </c>
      <c r="C1885" s="9" t="s">
        <v>110</v>
      </c>
      <c r="D1885" s="9" t="s">
        <v>178</v>
      </c>
      <c r="E1885" s="9" t="s">
        <v>17</v>
      </c>
      <c r="F1885" s="9" t="s">
        <v>17</v>
      </c>
      <c r="G1885" s="9" t="s">
        <v>24</v>
      </c>
      <c r="H1885" s="9" t="s">
        <v>25</v>
      </c>
      <c r="I1885" s="9" t="s">
        <v>240</v>
      </c>
      <c r="J1885" s="10"/>
      <c r="K1885" s="7" t="s">
        <v>398</v>
      </c>
      <c r="L1885" s="7"/>
      <c r="M1885" s="7"/>
      <c r="N1885" s="7" t="str">
        <f>IFERROR(__xludf.DUMMYFUNCTION("""COMPUTED_VALUE"""),"Brian Rodríguez|46034")</f>
        <v>Brian Rodríguez|46034</v>
      </c>
      <c r="O1885" s="7">
        <f>IFERROR(__xludf.DUMMYFUNCTION("""COMPUTED_VALUE"""),2.0)</f>
        <v>2</v>
      </c>
    </row>
    <row r="1886" ht="22.5" hidden="1" customHeight="1">
      <c r="A1886" s="8">
        <v>45909.394696284726</v>
      </c>
      <c r="B1886" s="9">
        <v>45909.0</v>
      </c>
      <c r="C1886" s="9" t="s">
        <v>110</v>
      </c>
      <c r="D1886" s="9" t="s">
        <v>258</v>
      </c>
      <c r="E1886" s="9" t="s">
        <v>17</v>
      </c>
      <c r="F1886" s="9" t="s">
        <v>17</v>
      </c>
      <c r="G1886" s="9" t="s">
        <v>24</v>
      </c>
      <c r="H1886" s="9" t="s">
        <v>17</v>
      </c>
      <c r="I1886" s="9" t="s">
        <v>20</v>
      </c>
      <c r="J1886" s="10"/>
      <c r="K1886" s="7" t="s">
        <v>398</v>
      </c>
      <c r="L1886" s="7"/>
      <c r="M1886" s="7"/>
      <c r="N1886" s="7" t="str">
        <f>IFERROR(__xludf.DUMMYFUNCTION("""COMPUTED_VALUE"""),"Jonathan Dos Santos|46034")</f>
        <v>Jonathan Dos Santos|46034</v>
      </c>
      <c r="O1886" s="7">
        <f>IFERROR(__xludf.DUMMYFUNCTION("""COMPUTED_VALUE"""),5.0)</f>
        <v>5</v>
      </c>
    </row>
    <row r="1887" ht="22.5" hidden="1" customHeight="1">
      <c r="A1887" s="8">
        <v>45909.39527487269</v>
      </c>
      <c r="B1887" s="9">
        <v>45909.0</v>
      </c>
      <c r="C1887" s="9" t="s">
        <v>110</v>
      </c>
      <c r="D1887" s="9" t="s">
        <v>168</v>
      </c>
      <c r="E1887" s="9" t="s">
        <v>17</v>
      </c>
      <c r="F1887" s="9" t="s">
        <v>17</v>
      </c>
      <c r="G1887" s="9" t="s">
        <v>24</v>
      </c>
      <c r="H1887" s="9" t="s">
        <v>17</v>
      </c>
      <c r="I1887" s="9" t="s">
        <v>20</v>
      </c>
      <c r="J1887" s="10"/>
      <c r="K1887" s="7" t="s">
        <v>398</v>
      </c>
      <c r="L1887" s="7"/>
      <c r="M1887" s="7"/>
      <c r="N1887" s="7" t="str">
        <f>IFERROR(__xludf.DUMMYFUNCTION("""COMPUTED_VALUE"""),"Víctor Dávila|46034")</f>
        <v>Víctor Dávila|46034</v>
      </c>
      <c r="O1887" s="7">
        <f>IFERROR(__xludf.DUMMYFUNCTION("""COMPUTED_VALUE"""),6.0)</f>
        <v>6</v>
      </c>
    </row>
    <row r="1888" ht="22.5" hidden="1" customHeight="1">
      <c r="A1888" s="8">
        <v>45909.39545861111</v>
      </c>
      <c r="B1888" s="9">
        <v>45909.0</v>
      </c>
      <c r="C1888" s="9" t="s">
        <v>110</v>
      </c>
      <c r="D1888" s="9" t="s">
        <v>367</v>
      </c>
      <c r="E1888" s="9" t="s">
        <v>17</v>
      </c>
      <c r="F1888" s="9" t="s">
        <v>17</v>
      </c>
      <c r="G1888" s="9" t="s">
        <v>24</v>
      </c>
      <c r="H1888" s="9" t="s">
        <v>17</v>
      </c>
      <c r="I1888" s="9" t="s">
        <v>20</v>
      </c>
      <c r="J1888" s="10"/>
      <c r="K1888" s="7" t="s">
        <v>398</v>
      </c>
      <c r="L1888" s="7"/>
      <c r="M1888" s="7"/>
      <c r="N1888" s="7" t="str">
        <f>IFERROR(__xludf.DUMMYFUNCTION("""COMPUTED_VALUE"""),"Aaron Mejia|46034")</f>
        <v>Aaron Mejia|46034</v>
      </c>
      <c r="O1888" s="7">
        <f>IFERROR(__xludf.DUMMYFUNCTION("""COMPUTED_VALUE"""),4.0)</f>
        <v>4</v>
      </c>
    </row>
    <row r="1889" ht="22.5" hidden="1" customHeight="1">
      <c r="A1889" s="8">
        <v>45909.40301807871</v>
      </c>
      <c r="B1889" s="9">
        <v>45909.0</v>
      </c>
      <c r="C1889" s="9" t="s">
        <v>110</v>
      </c>
      <c r="D1889" s="9" t="s">
        <v>175</v>
      </c>
      <c r="E1889" s="9" t="s">
        <v>17</v>
      </c>
      <c r="F1889" s="9" t="s">
        <v>17</v>
      </c>
      <c r="G1889" s="9" t="s">
        <v>24</v>
      </c>
      <c r="H1889" s="9" t="s">
        <v>17</v>
      </c>
      <c r="I1889" s="9" t="s">
        <v>20</v>
      </c>
      <c r="J1889" s="10"/>
      <c r="K1889" s="7" t="s">
        <v>398</v>
      </c>
      <c r="L1889" s="7"/>
      <c r="M1889" s="7"/>
      <c r="N1889" s="7" t="str">
        <f>IFERROR(__xludf.DUMMYFUNCTION("""COMPUTED_VALUE"""),"Kevin Álvarez|46034")</f>
        <v>Kevin Álvarez|46034</v>
      </c>
      <c r="O1889" s="7">
        <f>IFERROR(__xludf.DUMMYFUNCTION("""COMPUTED_VALUE"""),4.0)</f>
        <v>4</v>
      </c>
    </row>
    <row r="1890" ht="22.5" hidden="1" customHeight="1">
      <c r="A1890" s="8">
        <v>45909.40365719907</v>
      </c>
      <c r="B1890" s="9">
        <v>45909.0</v>
      </c>
      <c r="C1890" s="9" t="s">
        <v>110</v>
      </c>
      <c r="D1890" s="9" t="s">
        <v>357</v>
      </c>
      <c r="E1890" s="9" t="s">
        <v>17</v>
      </c>
      <c r="F1890" s="9" t="s">
        <v>17</v>
      </c>
      <c r="G1890" s="9" t="s">
        <v>24</v>
      </c>
      <c r="H1890" s="9" t="s">
        <v>22</v>
      </c>
      <c r="I1890" s="9" t="s">
        <v>20</v>
      </c>
      <c r="J1890" s="10"/>
      <c r="K1890" s="7" t="s">
        <v>398</v>
      </c>
      <c r="L1890" s="7"/>
      <c r="M1890" s="7"/>
      <c r="N1890" s="7" t="str">
        <f>IFERROR(__xludf.DUMMYFUNCTION("""COMPUTED_VALUE"""),"Sebastián Cáceres|46035")</f>
        <v>Sebastián Cáceres|46035</v>
      </c>
      <c r="O1890" s="7">
        <f>IFERROR(__xludf.DUMMYFUNCTION("""COMPUTED_VALUE"""),2.0)</f>
        <v>2</v>
      </c>
    </row>
    <row r="1891" ht="22.5" hidden="1" customHeight="1">
      <c r="A1891" s="8">
        <v>45909.404076273146</v>
      </c>
      <c r="B1891" s="9">
        <v>45909.0</v>
      </c>
      <c r="C1891" s="9" t="s">
        <v>110</v>
      </c>
      <c r="D1891" s="9" t="s">
        <v>335</v>
      </c>
      <c r="E1891" s="9" t="s">
        <v>17</v>
      </c>
      <c r="F1891" s="9" t="s">
        <v>17</v>
      </c>
      <c r="G1891" s="9" t="s">
        <v>24</v>
      </c>
      <c r="H1891" s="9" t="s">
        <v>22</v>
      </c>
      <c r="I1891" s="9" t="s">
        <v>20</v>
      </c>
      <c r="J1891" s="10"/>
      <c r="K1891" s="7" t="s">
        <v>398</v>
      </c>
      <c r="L1891" s="7"/>
      <c r="M1891" s="7"/>
      <c r="N1891" s="7" t="str">
        <f>IFERROR(__xludf.DUMMYFUNCTION("""COMPUTED_VALUE"""),"Cristian Borja|46035")</f>
        <v>Cristian Borja|46035</v>
      </c>
      <c r="O1891" s="7">
        <f>IFERROR(__xludf.DUMMYFUNCTION("""COMPUTED_VALUE"""),2.0)</f>
        <v>2</v>
      </c>
    </row>
    <row r="1892" ht="22.5" hidden="1" customHeight="1">
      <c r="A1892" s="8">
        <v>45909.404262094904</v>
      </c>
      <c r="B1892" s="9">
        <v>45909.0</v>
      </c>
      <c r="C1892" s="9" t="s">
        <v>110</v>
      </c>
      <c r="D1892" s="9" t="s">
        <v>361</v>
      </c>
      <c r="E1892" s="9" t="s">
        <v>17</v>
      </c>
      <c r="F1892" s="9" t="s">
        <v>17</v>
      </c>
      <c r="G1892" s="9" t="s">
        <v>24</v>
      </c>
      <c r="H1892" s="9" t="s">
        <v>22</v>
      </c>
      <c r="I1892" s="9" t="s">
        <v>20</v>
      </c>
      <c r="J1892" s="10"/>
      <c r="K1892" s="7" t="s">
        <v>398</v>
      </c>
      <c r="L1892" s="7"/>
      <c r="M1892" s="7"/>
      <c r="N1892" s="7" t="str">
        <f>IFERROR(__xludf.DUMMYFUNCTION("""COMPUTED_VALUE"""),"Rodrigo Aguirre|46035")</f>
        <v>Rodrigo Aguirre|46035</v>
      </c>
      <c r="O1892" s="7">
        <f>IFERROR(__xludf.DUMMYFUNCTION("""COMPUTED_VALUE"""),2.0)</f>
        <v>2</v>
      </c>
    </row>
    <row r="1893" ht="22.5" hidden="1" customHeight="1">
      <c r="A1893" s="8">
        <v>45909.4055559838</v>
      </c>
      <c r="B1893" s="9">
        <v>45909.0</v>
      </c>
      <c r="C1893" s="9" t="s">
        <v>110</v>
      </c>
      <c r="D1893" s="9" t="s">
        <v>174</v>
      </c>
      <c r="E1893" s="9" t="s">
        <v>17</v>
      </c>
      <c r="F1893" s="9" t="s">
        <v>17</v>
      </c>
      <c r="G1893" s="9" t="s">
        <v>24</v>
      </c>
      <c r="H1893" s="9" t="s">
        <v>22</v>
      </c>
      <c r="I1893" s="9" t="s">
        <v>20</v>
      </c>
      <c r="J1893" s="10"/>
      <c r="K1893" s="7" t="s">
        <v>398</v>
      </c>
      <c r="L1893" s="7"/>
      <c r="M1893" s="7"/>
      <c r="N1893" s="7" t="str">
        <f>IFERROR(__xludf.DUMMYFUNCTION("""COMPUTED_VALUE"""),"Alexis Gutiérrez|46035")</f>
        <v>Alexis Gutiérrez|46035</v>
      </c>
      <c r="O1893" s="7">
        <f>IFERROR(__xludf.DUMMYFUNCTION("""COMPUTED_VALUE"""),2.0)</f>
        <v>2</v>
      </c>
    </row>
    <row r="1894" ht="22.5" hidden="1" customHeight="1">
      <c r="A1894" s="8">
        <v>45909.405731770836</v>
      </c>
      <c r="B1894" s="9">
        <v>45909.0</v>
      </c>
      <c r="C1894" s="9" t="s">
        <v>110</v>
      </c>
      <c r="D1894" s="9" t="s">
        <v>249</v>
      </c>
      <c r="E1894" s="9" t="s">
        <v>17</v>
      </c>
      <c r="F1894" s="9" t="s">
        <v>17</v>
      </c>
      <c r="G1894" s="9" t="s">
        <v>24</v>
      </c>
      <c r="H1894" s="9" t="s">
        <v>22</v>
      </c>
      <c r="I1894" s="9" t="s">
        <v>20</v>
      </c>
      <c r="J1894" s="10"/>
      <c r="K1894" s="7" t="s">
        <v>398</v>
      </c>
      <c r="L1894" s="7"/>
      <c r="M1894" s="7"/>
      <c r="N1894" s="7" t="str">
        <f>IFERROR(__xludf.DUMMYFUNCTION("""COMPUTED_VALUE"""),"Brian Rodríguez|46035")</f>
        <v>Brian Rodríguez|46035</v>
      </c>
      <c r="O1894" s="7">
        <f>IFERROR(__xludf.DUMMYFUNCTION("""COMPUTED_VALUE"""),3.0)</f>
        <v>3</v>
      </c>
    </row>
    <row r="1895" ht="22.5" hidden="1" customHeight="1">
      <c r="A1895" s="8">
        <v>45910.38872837963</v>
      </c>
      <c r="B1895" s="9">
        <v>45910.0</v>
      </c>
      <c r="C1895" s="9" t="s">
        <v>15</v>
      </c>
      <c r="D1895" s="9" t="s">
        <v>397</v>
      </c>
      <c r="E1895" s="9" t="s">
        <v>17</v>
      </c>
      <c r="F1895" s="9" t="s">
        <v>18</v>
      </c>
      <c r="G1895" s="9" t="s">
        <v>24</v>
      </c>
      <c r="H1895" s="9" t="s">
        <v>22</v>
      </c>
      <c r="I1895" s="9" t="s">
        <v>20</v>
      </c>
      <c r="J1895" s="10"/>
      <c r="K1895" s="1" t="s">
        <v>398</v>
      </c>
      <c r="L1895" s="7"/>
      <c r="M1895" s="7"/>
      <c r="N1895" s="7" t="str">
        <f>IFERROR(__xludf.DUMMYFUNCTION("""COMPUTED_VALUE"""),"Allan Saint-Maximin|46035")</f>
        <v>Allan Saint-Maximin|46035</v>
      </c>
      <c r="O1895" s="7">
        <f>IFERROR(__xludf.DUMMYFUNCTION("""COMPUTED_VALUE"""),2.0)</f>
        <v>2</v>
      </c>
    </row>
    <row r="1896" ht="22.5" hidden="1" customHeight="1">
      <c r="A1896" s="8">
        <v>45910.38907304398</v>
      </c>
      <c r="B1896" s="9">
        <v>45910.0</v>
      </c>
      <c r="C1896" s="9" t="s">
        <v>15</v>
      </c>
      <c r="D1896" s="9" t="s">
        <v>259</v>
      </c>
      <c r="E1896" s="9" t="s">
        <v>17</v>
      </c>
      <c r="F1896" s="9" t="s">
        <v>18</v>
      </c>
      <c r="G1896" s="9" t="s">
        <v>19</v>
      </c>
      <c r="H1896" s="9" t="s">
        <v>22</v>
      </c>
      <c r="I1896" s="9" t="s">
        <v>20</v>
      </c>
      <c r="J1896" s="10"/>
      <c r="K1896" s="7" t="s">
        <v>398</v>
      </c>
      <c r="L1896" s="7"/>
      <c r="M1896" s="7"/>
      <c r="N1896" s="7" t="str">
        <f>IFERROR(__xludf.DUMMYFUNCTION("""COMPUTED_VALUE"""),"Israel Reyes|46035")</f>
        <v>Israel Reyes|46035</v>
      </c>
      <c r="O1896" s="7">
        <f>IFERROR(__xludf.DUMMYFUNCTION("""COMPUTED_VALUE"""),4.0)</f>
        <v>4</v>
      </c>
    </row>
    <row r="1897" ht="22.5" hidden="1" customHeight="1">
      <c r="A1897" s="8">
        <v>45910.38921515046</v>
      </c>
      <c r="B1897" s="9">
        <v>45910.0</v>
      </c>
      <c r="C1897" s="9" t="s">
        <v>15</v>
      </c>
      <c r="D1897" s="9" t="s">
        <v>280</v>
      </c>
      <c r="E1897" s="9" t="s">
        <v>17</v>
      </c>
      <c r="F1897" s="9" t="s">
        <v>17</v>
      </c>
      <c r="G1897" s="9" t="s">
        <v>24</v>
      </c>
      <c r="H1897" s="9" t="s">
        <v>17</v>
      </c>
      <c r="I1897" s="9" t="s">
        <v>20</v>
      </c>
      <c r="J1897" s="10"/>
      <c r="K1897" s="7" t="s">
        <v>398</v>
      </c>
      <c r="L1897" s="7"/>
      <c r="M1897" s="7"/>
      <c r="N1897" s="7" t="str">
        <f>IFERROR(__xludf.DUMMYFUNCTION("""COMPUTED_VALUE"""),"Luis Ángel Malagón|46035")</f>
        <v>Luis Ángel Malagón|46035</v>
      </c>
      <c r="O1897" s="7">
        <f>IFERROR(__xludf.DUMMYFUNCTION("""COMPUTED_VALUE"""),3.0)</f>
        <v>3</v>
      </c>
    </row>
    <row r="1898" ht="22.5" hidden="1" customHeight="1">
      <c r="A1898" s="8">
        <v>45910.38978048611</v>
      </c>
      <c r="B1898" s="9">
        <v>45910.0</v>
      </c>
      <c r="C1898" s="9" t="s">
        <v>15</v>
      </c>
      <c r="D1898" s="9" t="s">
        <v>175</v>
      </c>
      <c r="E1898" s="9" t="s">
        <v>17</v>
      </c>
      <c r="F1898" s="9" t="s">
        <v>17</v>
      </c>
      <c r="G1898" s="9" t="s">
        <v>24</v>
      </c>
      <c r="H1898" s="9" t="s">
        <v>17</v>
      </c>
      <c r="I1898" s="9" t="s">
        <v>20</v>
      </c>
      <c r="J1898" s="10"/>
      <c r="K1898" s="7" t="s">
        <v>398</v>
      </c>
      <c r="L1898" s="7"/>
      <c r="M1898" s="7"/>
      <c r="N1898" s="7" t="str">
        <f>IFERROR(__xludf.DUMMYFUNCTION("""COMPUTED_VALUE"""),"Álvaro Fidalgo|46035")</f>
        <v>Álvaro Fidalgo|46035</v>
      </c>
      <c r="O1898" s="7">
        <f>IFERROR(__xludf.DUMMYFUNCTION("""COMPUTED_VALUE"""),3.0)</f>
        <v>3</v>
      </c>
    </row>
    <row r="1899" ht="22.5" hidden="1" customHeight="1">
      <c r="A1899" s="8">
        <v>45910.38995434028</v>
      </c>
      <c r="B1899" s="9">
        <v>45910.0</v>
      </c>
      <c r="C1899" s="9" t="s">
        <v>15</v>
      </c>
      <c r="D1899" s="9" t="s">
        <v>393</v>
      </c>
      <c r="E1899" s="9" t="s">
        <v>17</v>
      </c>
      <c r="F1899" s="9" t="s">
        <v>17</v>
      </c>
      <c r="G1899" s="9" t="s">
        <v>24</v>
      </c>
      <c r="H1899" s="9" t="s">
        <v>22</v>
      </c>
      <c r="I1899" s="9" t="s">
        <v>20</v>
      </c>
      <c r="J1899" s="10"/>
      <c r="K1899" s="7" t="s">
        <v>398</v>
      </c>
      <c r="L1899" s="7"/>
      <c r="M1899" s="7"/>
      <c r="N1899" s="7" t="str">
        <f>IFERROR(__xludf.DUMMYFUNCTION("""COMPUTED_VALUE"""),"Miguel Vázquez|46035")</f>
        <v>Miguel Vázquez|46035</v>
      </c>
      <c r="O1899" s="7">
        <f>IFERROR(__xludf.DUMMYFUNCTION("""COMPUTED_VALUE"""),2.0)</f>
        <v>2</v>
      </c>
    </row>
    <row r="1900" ht="22.5" hidden="1" customHeight="1">
      <c r="A1900" s="8">
        <v>45910.39032309028</v>
      </c>
      <c r="B1900" s="9">
        <v>45910.0</v>
      </c>
      <c r="C1900" s="9" t="s">
        <v>15</v>
      </c>
      <c r="D1900" s="9" t="s">
        <v>395</v>
      </c>
      <c r="E1900" s="9" t="s">
        <v>17</v>
      </c>
      <c r="F1900" s="9" t="s">
        <v>17</v>
      </c>
      <c r="G1900" s="9" t="s">
        <v>24</v>
      </c>
      <c r="H1900" s="9" t="s">
        <v>17</v>
      </c>
      <c r="I1900" s="9" t="s">
        <v>20</v>
      </c>
      <c r="J1900" s="10"/>
      <c r="K1900" s="7" t="s">
        <v>398</v>
      </c>
      <c r="L1900" s="7"/>
      <c r="M1900" s="7"/>
      <c r="N1900" s="7" t="str">
        <f>IFERROR(__xludf.DUMMYFUNCTION("""COMPUTED_VALUE"""),"Kevin Álvarez|46035")</f>
        <v>Kevin Álvarez|46035</v>
      </c>
      <c r="O1900" s="7">
        <f>IFERROR(__xludf.DUMMYFUNCTION("""COMPUTED_VALUE"""),2.0)</f>
        <v>2</v>
      </c>
    </row>
    <row r="1901" ht="22.5" hidden="1" customHeight="1">
      <c r="A1901" s="8">
        <v>45910.39570412037</v>
      </c>
      <c r="B1901" s="9">
        <v>45910.0</v>
      </c>
      <c r="C1901" s="9" t="s">
        <v>15</v>
      </c>
      <c r="D1901" s="9" t="s">
        <v>178</v>
      </c>
      <c r="E1901" s="9" t="s">
        <v>17</v>
      </c>
      <c r="F1901" s="9" t="s">
        <v>18</v>
      </c>
      <c r="G1901" s="9" t="s">
        <v>24</v>
      </c>
      <c r="H1901" s="9" t="s">
        <v>25</v>
      </c>
      <c r="I1901" s="9" t="s">
        <v>400</v>
      </c>
      <c r="J1901" s="10"/>
      <c r="K1901" s="7" t="s">
        <v>398</v>
      </c>
      <c r="L1901" s="7"/>
      <c r="M1901" s="7"/>
      <c r="N1901" s="7" t="str">
        <f>IFERROR(__xludf.DUMMYFUNCTION("""COMPUTED_VALUE"""),"Víctor Dávila|46035")</f>
        <v>Víctor Dávila|46035</v>
      </c>
      <c r="O1901" s="7">
        <f>IFERROR(__xludf.DUMMYFUNCTION("""COMPUTED_VALUE"""),1.0)</f>
        <v>1</v>
      </c>
    </row>
    <row r="1902" ht="22.5" hidden="1" customHeight="1">
      <c r="A1902" s="8">
        <v>45910.39645172453</v>
      </c>
      <c r="B1902" s="9">
        <v>45910.0</v>
      </c>
      <c r="C1902" s="9" t="s">
        <v>15</v>
      </c>
      <c r="D1902" s="9" t="s">
        <v>258</v>
      </c>
      <c r="E1902" s="9" t="s">
        <v>17</v>
      </c>
      <c r="F1902" s="9" t="s">
        <v>17</v>
      </c>
      <c r="G1902" s="9" t="s">
        <v>24</v>
      </c>
      <c r="H1902" s="9" t="s">
        <v>22</v>
      </c>
      <c r="I1902" s="9" t="s">
        <v>20</v>
      </c>
      <c r="J1902" s="10"/>
      <c r="K1902" s="7" t="s">
        <v>398</v>
      </c>
      <c r="L1902" s="7"/>
      <c r="M1902" s="7"/>
      <c r="N1902" s="7" t="str">
        <f>IFERROR(__xludf.DUMMYFUNCTION("""COMPUTED_VALUE"""),"Néstor Araujo|46035")</f>
        <v>Néstor Araujo|46035</v>
      </c>
      <c r="O1902" s="7">
        <f>IFERROR(__xludf.DUMMYFUNCTION("""COMPUTED_VALUE"""),2.0)</f>
        <v>2</v>
      </c>
    </row>
    <row r="1903" ht="22.5" hidden="1" customHeight="1">
      <c r="A1903" s="8">
        <v>45910.39726824074</v>
      </c>
      <c r="B1903" s="9">
        <v>45910.0</v>
      </c>
      <c r="C1903" s="9" t="s">
        <v>15</v>
      </c>
      <c r="D1903" s="9" t="s">
        <v>247</v>
      </c>
      <c r="E1903" s="9" t="s">
        <v>17</v>
      </c>
      <c r="F1903" s="9" t="s">
        <v>17</v>
      </c>
      <c r="G1903" s="9" t="s">
        <v>24</v>
      </c>
      <c r="H1903" s="9" t="s">
        <v>17</v>
      </c>
      <c r="I1903" s="9" t="s">
        <v>20</v>
      </c>
      <c r="J1903" s="10"/>
      <c r="K1903" s="7" t="s">
        <v>398</v>
      </c>
      <c r="L1903" s="7"/>
      <c r="M1903" s="7"/>
      <c r="N1903" s="7" t="str">
        <f>IFERROR(__xludf.DUMMYFUNCTION("""COMPUTED_VALUE"""),"Santiago Naveda|46035")</f>
        <v>Santiago Naveda|46035</v>
      </c>
      <c r="O1903" s="7">
        <f>IFERROR(__xludf.DUMMYFUNCTION("""COMPUTED_VALUE"""),2.0)</f>
        <v>2</v>
      </c>
    </row>
    <row r="1904" ht="22.5" hidden="1" customHeight="1">
      <c r="A1904" s="8">
        <v>45910.39743549768</v>
      </c>
      <c r="B1904" s="9">
        <v>45910.0</v>
      </c>
      <c r="C1904" s="9" t="s">
        <v>15</v>
      </c>
      <c r="D1904" s="9" t="s">
        <v>168</v>
      </c>
      <c r="E1904" s="9" t="s">
        <v>17</v>
      </c>
      <c r="F1904" s="9" t="s">
        <v>17</v>
      </c>
      <c r="G1904" s="9" t="s">
        <v>24</v>
      </c>
      <c r="H1904" s="9" t="s">
        <v>22</v>
      </c>
      <c r="I1904" s="9" t="s">
        <v>20</v>
      </c>
      <c r="J1904" s="10"/>
      <c r="K1904" s="7" t="s">
        <v>398</v>
      </c>
      <c r="L1904" s="7"/>
      <c r="M1904" s="7"/>
      <c r="N1904" s="7" t="str">
        <f>IFERROR(__xludf.DUMMYFUNCTION("""COMPUTED_VALUE"""),"Víctor Dávila|46035")</f>
        <v>Víctor Dávila|46035</v>
      </c>
      <c r="O1904" s="7">
        <f>IFERROR(__xludf.DUMMYFUNCTION("""COMPUTED_VALUE"""),3.0)</f>
        <v>3</v>
      </c>
    </row>
    <row r="1905" ht="22.5" hidden="1" customHeight="1">
      <c r="A1905" s="8">
        <v>45910.39761075232</v>
      </c>
      <c r="B1905" s="9">
        <v>45910.0</v>
      </c>
      <c r="C1905" s="9" t="s">
        <v>15</v>
      </c>
      <c r="D1905" s="9" t="s">
        <v>361</v>
      </c>
      <c r="E1905" s="9" t="s">
        <v>17</v>
      </c>
      <c r="F1905" s="9" t="s">
        <v>17</v>
      </c>
      <c r="G1905" s="9" t="s">
        <v>24</v>
      </c>
      <c r="H1905" s="9" t="s">
        <v>22</v>
      </c>
      <c r="I1905" s="9" t="s">
        <v>20</v>
      </c>
      <c r="J1905" s="10"/>
      <c r="K1905" s="7" t="s">
        <v>398</v>
      </c>
      <c r="L1905" s="7"/>
      <c r="M1905" s="7"/>
      <c r="N1905" s="7" t="str">
        <f>IFERROR(__xludf.DUMMYFUNCTION("""COMPUTED_VALUE"""),"Isaías Violante|46035")</f>
        <v>Isaías Violante|46035</v>
      </c>
      <c r="O1905" s="7">
        <f>IFERROR(__xludf.DUMMYFUNCTION("""COMPUTED_VALUE"""),3.0)</f>
        <v>3</v>
      </c>
    </row>
    <row r="1906" ht="22.5" hidden="1" customHeight="1">
      <c r="A1906" s="8">
        <v>45910.39778157407</v>
      </c>
      <c r="B1906" s="9">
        <v>45910.0</v>
      </c>
      <c r="C1906" s="9" t="s">
        <v>15</v>
      </c>
      <c r="D1906" s="9" t="s">
        <v>249</v>
      </c>
      <c r="E1906" s="9" t="s">
        <v>17</v>
      </c>
      <c r="F1906" s="9" t="s">
        <v>17</v>
      </c>
      <c r="G1906" s="9" t="s">
        <v>24</v>
      </c>
      <c r="H1906" s="9" t="s">
        <v>22</v>
      </c>
      <c r="I1906" s="9" t="s">
        <v>20</v>
      </c>
      <c r="J1906" s="10"/>
      <c r="K1906" s="7" t="s">
        <v>398</v>
      </c>
      <c r="L1906" s="7"/>
      <c r="M1906" s="7"/>
      <c r="N1906" s="7" t="str">
        <f>IFERROR(__xludf.DUMMYFUNCTION("""COMPUTED_VALUE"""),"José Raúl Zúñiga|46035")</f>
        <v>José Raúl Zúñiga|46035</v>
      </c>
      <c r="O1906" s="7">
        <f>IFERROR(__xludf.DUMMYFUNCTION("""COMPUTED_VALUE"""),3.0)</f>
        <v>3</v>
      </c>
    </row>
    <row r="1907" ht="22.5" hidden="1" customHeight="1">
      <c r="A1907" s="8">
        <v>45910.3980089699</v>
      </c>
      <c r="B1907" s="9">
        <v>45910.0</v>
      </c>
      <c r="C1907" s="9" t="s">
        <v>15</v>
      </c>
      <c r="D1907" s="9" t="s">
        <v>335</v>
      </c>
      <c r="E1907" s="9" t="s">
        <v>17</v>
      </c>
      <c r="F1907" s="9" t="s">
        <v>17</v>
      </c>
      <c r="G1907" s="9" t="s">
        <v>24</v>
      </c>
      <c r="H1907" s="9" t="s">
        <v>17</v>
      </c>
      <c r="I1907" s="9" t="s">
        <v>20</v>
      </c>
      <c r="J1907" s="10"/>
      <c r="K1907" s="7" t="s">
        <v>398</v>
      </c>
      <c r="L1907" s="7"/>
      <c r="M1907" s="7"/>
      <c r="N1907" s="7" t="str">
        <f>IFERROR(__xludf.DUMMYFUNCTION("""COMPUTED_VALUE"""),"Rodrigo Dourado|46035")</f>
        <v>Rodrigo Dourado|46035</v>
      </c>
      <c r="O1907" s="7">
        <f>IFERROR(__xludf.DUMMYFUNCTION("""COMPUTED_VALUE"""),3.0)</f>
        <v>3</v>
      </c>
    </row>
    <row r="1908" ht="22.5" hidden="1" customHeight="1">
      <c r="A1908" s="8">
        <v>45910.39846267361</v>
      </c>
      <c r="B1908" s="9">
        <v>45910.0</v>
      </c>
      <c r="C1908" s="9" t="s">
        <v>15</v>
      </c>
      <c r="D1908" s="9" t="s">
        <v>357</v>
      </c>
      <c r="E1908" s="9" t="s">
        <v>17</v>
      </c>
      <c r="F1908" s="9" t="s">
        <v>17</v>
      </c>
      <c r="G1908" s="9" t="s">
        <v>24</v>
      </c>
      <c r="H1908" s="9" t="s">
        <v>22</v>
      </c>
      <c r="I1908" s="9" t="s">
        <v>20</v>
      </c>
      <c r="J1908" s="10"/>
      <c r="K1908" s="7" t="s">
        <v>398</v>
      </c>
      <c r="L1908" s="7"/>
      <c r="M1908" s="7"/>
      <c r="N1908" s="7" t="str">
        <f>IFERROR(__xludf.DUMMYFUNCTION("""COMPUTED_VALUE"""),"Aaron Mejia|46035")</f>
        <v>Aaron Mejia|46035</v>
      </c>
      <c r="O1908" s="7">
        <f>IFERROR(__xludf.DUMMYFUNCTION("""COMPUTED_VALUE"""),3.0)</f>
        <v>3</v>
      </c>
    </row>
    <row r="1909" ht="22.5" hidden="1" customHeight="1">
      <c r="A1909" s="8">
        <v>45910.399084687495</v>
      </c>
      <c r="B1909" s="9">
        <v>45910.0</v>
      </c>
      <c r="C1909" s="9" t="s">
        <v>15</v>
      </c>
      <c r="D1909" s="9" t="s">
        <v>210</v>
      </c>
      <c r="E1909" s="9" t="s">
        <v>17</v>
      </c>
      <c r="F1909" s="9" t="s">
        <v>18</v>
      </c>
      <c r="G1909" s="9" t="s">
        <v>24</v>
      </c>
      <c r="H1909" s="9" t="s">
        <v>17</v>
      </c>
      <c r="I1909" s="9" t="s">
        <v>20</v>
      </c>
      <c r="J1909" s="10"/>
      <c r="K1909" s="7" t="s">
        <v>398</v>
      </c>
      <c r="L1909" s="7"/>
      <c r="M1909" s="7"/>
      <c r="N1909" s="7" t="str">
        <f>IFERROR(__xludf.DUMMYFUNCTION("""COMPUTED_VALUE"""),"Fernando Tapia|46035")</f>
        <v>Fernando Tapia|46035</v>
      </c>
      <c r="O1909" s="7">
        <f>IFERROR(__xludf.DUMMYFUNCTION("""COMPUTED_VALUE"""),3.0)</f>
        <v>3</v>
      </c>
    </row>
    <row r="1910" ht="22.5" hidden="1" customHeight="1">
      <c r="A1910" s="8">
        <v>45911.36196190972</v>
      </c>
      <c r="B1910" s="9">
        <v>45911.0</v>
      </c>
      <c r="C1910" s="9" t="s">
        <v>31</v>
      </c>
      <c r="D1910" s="9" t="s">
        <v>395</v>
      </c>
      <c r="E1910" s="9" t="s">
        <v>17</v>
      </c>
      <c r="F1910" s="9" t="s">
        <v>17</v>
      </c>
      <c r="G1910" s="9" t="s">
        <v>24</v>
      </c>
      <c r="H1910" s="9" t="s">
        <v>17</v>
      </c>
      <c r="I1910" s="9" t="s">
        <v>240</v>
      </c>
      <c r="J1910" s="10"/>
      <c r="K1910" s="7" t="s">
        <v>398</v>
      </c>
      <c r="L1910" s="7"/>
      <c r="M1910" s="7"/>
      <c r="N1910" s="7" t="str">
        <f>IFERROR(__xludf.DUMMYFUNCTION("""COMPUTED_VALUE"""),"Rodolfo Cota|46035")</f>
        <v>Rodolfo Cota|46035</v>
      </c>
      <c r="O1910" s="7">
        <f>IFERROR(__xludf.DUMMYFUNCTION("""COMPUTED_VALUE"""),2.0)</f>
        <v>2</v>
      </c>
    </row>
    <row r="1911" ht="22.5" hidden="1" customHeight="1">
      <c r="A1911" s="8">
        <v>45911.36269091435</v>
      </c>
      <c r="B1911" s="9">
        <v>45911.0</v>
      </c>
      <c r="C1911" s="9" t="s">
        <v>31</v>
      </c>
      <c r="D1911" s="9" t="s">
        <v>177</v>
      </c>
      <c r="E1911" s="9" t="s">
        <v>17</v>
      </c>
      <c r="F1911" s="9" t="s">
        <v>17</v>
      </c>
      <c r="G1911" s="9" t="s">
        <v>24</v>
      </c>
      <c r="H1911" s="9" t="s">
        <v>17</v>
      </c>
      <c r="I1911" s="9" t="s">
        <v>20</v>
      </c>
      <c r="J1911" s="10"/>
      <c r="K1911" s="7" t="s">
        <v>398</v>
      </c>
      <c r="L1911" s="7"/>
      <c r="M1911" s="7"/>
      <c r="N1911" s="7" t="str">
        <f>IFERROR(__xludf.DUMMYFUNCTION("""COMPUTED_VALUE"""),"Rodolfo Cota|46035")</f>
        <v>Rodolfo Cota|46035</v>
      </c>
      <c r="O1911" s="7">
        <f>IFERROR(__xludf.DUMMYFUNCTION("""COMPUTED_VALUE"""),2.0)</f>
        <v>2</v>
      </c>
    </row>
    <row r="1912" ht="22.5" hidden="1" customHeight="1">
      <c r="A1912" s="8">
        <v>45911.36399370371</v>
      </c>
      <c r="B1912" s="9">
        <v>45911.0</v>
      </c>
      <c r="C1912" s="9" t="s">
        <v>31</v>
      </c>
      <c r="D1912" s="9" t="s">
        <v>394</v>
      </c>
      <c r="E1912" s="9" t="s">
        <v>17</v>
      </c>
      <c r="F1912" s="9" t="s">
        <v>17</v>
      </c>
      <c r="G1912" s="9" t="s">
        <v>24</v>
      </c>
      <c r="H1912" s="9" t="s">
        <v>25</v>
      </c>
      <c r="I1912" s="9" t="s">
        <v>245</v>
      </c>
      <c r="J1912" s="10"/>
      <c r="K1912" s="7" t="s">
        <v>398</v>
      </c>
      <c r="L1912" s="7"/>
      <c r="M1912" s="7"/>
      <c r="N1912" s="7" t="str">
        <f>IFERROR(__xludf.DUMMYFUNCTION("""COMPUTED_VALUE"""),"Patricio Salas|46035")</f>
        <v>Patricio Salas|46035</v>
      </c>
      <c r="O1912" s="7">
        <f>IFERROR(__xludf.DUMMYFUNCTION("""COMPUTED_VALUE"""),2.0)</f>
        <v>2</v>
      </c>
    </row>
    <row r="1913" ht="22.5" hidden="1" customHeight="1">
      <c r="A1913" s="8">
        <v>45911.36563851852</v>
      </c>
      <c r="B1913" s="9">
        <v>45911.0</v>
      </c>
      <c r="C1913" s="9" t="s">
        <v>31</v>
      </c>
      <c r="D1913" s="9" t="s">
        <v>249</v>
      </c>
      <c r="E1913" s="9" t="s">
        <v>17</v>
      </c>
      <c r="F1913" s="9" t="s">
        <v>17</v>
      </c>
      <c r="G1913" s="9" t="s">
        <v>24</v>
      </c>
      <c r="H1913" s="9" t="s">
        <v>22</v>
      </c>
      <c r="I1913" s="9" t="s">
        <v>20</v>
      </c>
      <c r="J1913" s="10"/>
      <c r="K1913" s="7" t="s">
        <v>398</v>
      </c>
      <c r="L1913" s="7"/>
      <c r="M1913" s="7"/>
      <c r="N1913" s="7" t="str">
        <f>IFERROR(__xludf.DUMMYFUNCTION("""COMPUTED_VALUE"""),"Allan Saint-Maximin|46035")</f>
        <v>Allan Saint-Maximin|46035</v>
      </c>
      <c r="O1913" s="7">
        <f>IFERROR(__xludf.DUMMYFUNCTION("""COMPUTED_VALUE"""),1.0)</f>
        <v>1</v>
      </c>
    </row>
    <row r="1914" ht="22.5" hidden="1" customHeight="1">
      <c r="A1914" s="8">
        <v>45911.38102423611</v>
      </c>
      <c r="B1914" s="9">
        <v>45911.0</v>
      </c>
      <c r="C1914" s="9" t="s">
        <v>31</v>
      </c>
      <c r="D1914" s="9" t="s">
        <v>171</v>
      </c>
      <c r="E1914" s="9" t="s">
        <v>17</v>
      </c>
      <c r="F1914" s="9" t="s">
        <v>17</v>
      </c>
      <c r="G1914" s="9" t="s">
        <v>24</v>
      </c>
      <c r="H1914" s="9" t="s">
        <v>17</v>
      </c>
      <c r="I1914" s="9" t="s">
        <v>20</v>
      </c>
      <c r="J1914" s="10"/>
      <c r="K1914" s="7" t="s">
        <v>398</v>
      </c>
      <c r="L1914" s="7"/>
      <c r="M1914" s="7"/>
      <c r="N1914" s="7" t="str">
        <f>IFERROR(__xludf.DUMMYFUNCTION("""COMPUTED_VALUE"""),"Ramón Juárez|46035")</f>
        <v>Ramón Juárez|46035</v>
      </c>
      <c r="O1914" s="7">
        <f>IFERROR(__xludf.DUMMYFUNCTION("""COMPUTED_VALUE"""),3.0)</f>
        <v>3</v>
      </c>
    </row>
    <row r="1915" ht="22.5" hidden="1" customHeight="1">
      <c r="A1915" s="8">
        <v>45911.381370613424</v>
      </c>
      <c r="B1915" s="9">
        <v>45911.0</v>
      </c>
      <c r="C1915" s="9" t="s">
        <v>31</v>
      </c>
      <c r="D1915" s="9" t="s">
        <v>257</v>
      </c>
      <c r="E1915" s="9" t="s">
        <v>17</v>
      </c>
      <c r="F1915" s="9" t="s">
        <v>17</v>
      </c>
      <c r="G1915" s="9" t="s">
        <v>24</v>
      </c>
      <c r="H1915" s="9" t="s">
        <v>22</v>
      </c>
      <c r="I1915" s="9" t="s">
        <v>20</v>
      </c>
      <c r="J1915" s="10"/>
      <c r="K1915" s="7" t="s">
        <v>398</v>
      </c>
      <c r="L1915" s="7"/>
      <c r="M1915" s="7"/>
      <c r="N1915" s="7" t="str">
        <f>IFERROR(__xludf.DUMMYFUNCTION("""COMPUTED_VALUE"""),"Álvaro Fidalgo|46035")</f>
        <v>Álvaro Fidalgo|46035</v>
      </c>
      <c r="O1915" s="7">
        <f>IFERROR(__xludf.DUMMYFUNCTION("""COMPUTED_VALUE"""),3.0)</f>
        <v>3</v>
      </c>
    </row>
    <row r="1916" ht="22.5" hidden="1" customHeight="1">
      <c r="A1916" s="8">
        <v>45911.382989722224</v>
      </c>
      <c r="B1916" s="9">
        <v>45911.0</v>
      </c>
      <c r="C1916" s="9" t="s">
        <v>31</v>
      </c>
      <c r="D1916" s="9" t="s">
        <v>258</v>
      </c>
      <c r="E1916" s="9" t="s">
        <v>17</v>
      </c>
      <c r="F1916" s="9" t="s">
        <v>17</v>
      </c>
      <c r="G1916" s="9" t="s">
        <v>24</v>
      </c>
      <c r="H1916" s="9" t="s">
        <v>22</v>
      </c>
      <c r="I1916" s="9" t="s">
        <v>20</v>
      </c>
      <c r="J1916" s="10"/>
      <c r="K1916" s="7" t="s">
        <v>398</v>
      </c>
      <c r="L1916" s="7"/>
      <c r="M1916" s="7"/>
      <c r="N1916" s="7" t="str">
        <f>IFERROR(__xludf.DUMMYFUNCTION("""COMPUTED_VALUE"""),"Rodolfo Cota|46037")</f>
        <v>Rodolfo Cota|46037</v>
      </c>
      <c r="O1916" s="7">
        <f>IFERROR(__xludf.DUMMYFUNCTION("""COMPUTED_VALUE"""),2.0)</f>
        <v>2</v>
      </c>
    </row>
    <row r="1917" ht="22.5" hidden="1" customHeight="1">
      <c r="A1917" s="8">
        <v>45911.38319237268</v>
      </c>
      <c r="B1917" s="9">
        <v>45911.0</v>
      </c>
      <c r="C1917" s="9" t="s">
        <v>31</v>
      </c>
      <c r="D1917" s="9" t="s">
        <v>210</v>
      </c>
      <c r="E1917" s="9" t="s">
        <v>17</v>
      </c>
      <c r="F1917" s="9" t="s">
        <v>43</v>
      </c>
      <c r="G1917" s="9" t="s">
        <v>24</v>
      </c>
      <c r="H1917" s="9" t="s">
        <v>22</v>
      </c>
      <c r="I1917" s="9" t="s">
        <v>20</v>
      </c>
      <c r="J1917" s="10"/>
      <c r="K1917" s="7" t="s">
        <v>398</v>
      </c>
      <c r="L1917" s="7"/>
      <c r="M1917" s="7"/>
      <c r="N1917" s="7" t="str">
        <f>IFERROR(__xludf.DUMMYFUNCTION("""COMPUTED_VALUE"""),"Alan Cervantes|46037")</f>
        <v>Alan Cervantes|46037</v>
      </c>
      <c r="O1917" s="7">
        <f>IFERROR(__xludf.DUMMYFUNCTION("""COMPUTED_VALUE"""),7.0)</f>
        <v>7</v>
      </c>
    </row>
    <row r="1918" ht="22.5" hidden="1" customHeight="1">
      <c r="A1918" s="8">
        <v>45911.38335820602</v>
      </c>
      <c r="B1918" s="9">
        <v>45911.0</v>
      </c>
      <c r="C1918" s="9" t="s">
        <v>31</v>
      </c>
      <c r="D1918" s="9" t="s">
        <v>223</v>
      </c>
      <c r="E1918" s="9" t="s">
        <v>17</v>
      </c>
      <c r="F1918" s="9" t="s">
        <v>17</v>
      </c>
      <c r="G1918" s="9" t="s">
        <v>24</v>
      </c>
      <c r="H1918" s="9" t="s">
        <v>17</v>
      </c>
      <c r="I1918" s="9" t="s">
        <v>20</v>
      </c>
      <c r="J1918" s="10"/>
      <c r="K1918" s="7" t="s">
        <v>398</v>
      </c>
      <c r="L1918" s="7"/>
      <c r="M1918" s="7"/>
      <c r="N1918" s="7" t="str">
        <f>IFERROR(__xludf.DUMMYFUNCTION("""COMPUTED_VALUE"""),"Néstor Araujo|46037")</f>
        <v>Néstor Araujo|46037</v>
      </c>
      <c r="O1918" s="7">
        <f>IFERROR(__xludf.DUMMYFUNCTION("""COMPUTED_VALUE"""),6.0)</f>
        <v>6</v>
      </c>
    </row>
    <row r="1919" ht="22.5" hidden="1" customHeight="1">
      <c r="A1919" s="8">
        <v>45911.38355407407</v>
      </c>
      <c r="B1919" s="9">
        <v>45911.0</v>
      </c>
      <c r="C1919" s="9" t="s">
        <v>31</v>
      </c>
      <c r="D1919" s="9" t="s">
        <v>393</v>
      </c>
      <c r="E1919" s="9" t="s">
        <v>17</v>
      </c>
      <c r="F1919" s="9" t="s">
        <v>17</v>
      </c>
      <c r="G1919" s="9" t="s">
        <v>24</v>
      </c>
      <c r="H1919" s="9" t="s">
        <v>17</v>
      </c>
      <c r="I1919" s="9" t="s">
        <v>20</v>
      </c>
      <c r="J1919" s="10"/>
      <c r="K1919" s="7" t="s">
        <v>398</v>
      </c>
      <c r="L1919" s="7"/>
      <c r="M1919" s="7"/>
      <c r="N1919" s="7" t="str">
        <f>IFERROR(__xludf.DUMMYFUNCTION("""COMPUTED_VALUE"""),"Miguel Vázquez|46037")</f>
        <v>Miguel Vázquez|46037</v>
      </c>
      <c r="O1919" s="7">
        <f>IFERROR(__xludf.DUMMYFUNCTION("""COMPUTED_VALUE"""),5.0)</f>
        <v>5</v>
      </c>
    </row>
    <row r="1920" ht="22.5" hidden="1" customHeight="1">
      <c r="A1920" s="8">
        <v>45911.3837790625</v>
      </c>
      <c r="B1920" s="9">
        <v>45911.0</v>
      </c>
      <c r="C1920" s="9" t="s">
        <v>31</v>
      </c>
      <c r="D1920" s="9" t="s">
        <v>361</v>
      </c>
      <c r="E1920" s="9" t="s">
        <v>17</v>
      </c>
      <c r="F1920" s="9" t="s">
        <v>17</v>
      </c>
      <c r="G1920" s="9" t="s">
        <v>24</v>
      </c>
      <c r="H1920" s="9" t="s">
        <v>22</v>
      </c>
      <c r="I1920" s="9" t="s">
        <v>20</v>
      </c>
      <c r="J1920" s="10"/>
      <c r="K1920" s="7" t="s">
        <v>398</v>
      </c>
      <c r="L1920" s="7"/>
      <c r="M1920" s="7"/>
      <c r="N1920" s="7" t="str">
        <f>IFERROR(__xludf.DUMMYFUNCTION("""COMPUTED_VALUE"""),"Jonathan Dos Santos|46037")</f>
        <v>Jonathan Dos Santos|46037</v>
      </c>
      <c r="O1920" s="7">
        <f>IFERROR(__xludf.DUMMYFUNCTION("""COMPUTED_VALUE"""),6.0)</f>
        <v>6</v>
      </c>
    </row>
    <row r="1921" ht="22.5" hidden="1" customHeight="1">
      <c r="A1921" s="8">
        <v>45911.388568263894</v>
      </c>
      <c r="B1921" s="9">
        <v>45911.0</v>
      </c>
      <c r="C1921" s="9" t="s">
        <v>31</v>
      </c>
      <c r="D1921" s="9" t="s">
        <v>259</v>
      </c>
      <c r="E1921" s="9" t="s">
        <v>17</v>
      </c>
      <c r="F1921" s="9" t="s">
        <v>43</v>
      </c>
      <c r="G1921" s="9" t="s">
        <v>19</v>
      </c>
      <c r="H1921" s="9" t="s">
        <v>17</v>
      </c>
      <c r="I1921" s="9" t="s">
        <v>20</v>
      </c>
      <c r="J1921" s="10"/>
      <c r="K1921" s="7" t="s">
        <v>398</v>
      </c>
      <c r="L1921" s="7"/>
      <c r="M1921" s="7"/>
      <c r="N1921" s="7" t="str">
        <f>IFERROR(__xludf.DUMMYFUNCTION("""COMPUTED_VALUE"""),"Rodolfo Cota|46037")</f>
        <v>Rodolfo Cota|46037</v>
      </c>
      <c r="O1921" s="7">
        <f>IFERROR(__xludf.DUMMYFUNCTION("""COMPUTED_VALUE"""),2.0)</f>
        <v>2</v>
      </c>
    </row>
    <row r="1922" ht="22.5" hidden="1" customHeight="1">
      <c r="A1922" s="8">
        <v>45911.39399539352</v>
      </c>
      <c r="B1922" s="9">
        <v>45911.0</v>
      </c>
      <c r="C1922" s="9" t="s">
        <v>31</v>
      </c>
      <c r="D1922" s="9" t="s">
        <v>247</v>
      </c>
      <c r="E1922" s="9" t="s">
        <v>17</v>
      </c>
      <c r="F1922" s="9" t="s">
        <v>17</v>
      </c>
      <c r="G1922" s="9" t="s">
        <v>24</v>
      </c>
      <c r="H1922" s="9" t="s">
        <v>17</v>
      </c>
      <c r="I1922" s="9" t="s">
        <v>20</v>
      </c>
      <c r="J1922" s="10"/>
      <c r="K1922" s="7" t="s">
        <v>398</v>
      </c>
      <c r="L1922" s="7"/>
      <c r="M1922" s="7"/>
      <c r="N1922" s="7" t="str">
        <f>IFERROR(__xludf.DUMMYFUNCTION("""COMPUTED_VALUE"""),"Aaron Mejia|46037")</f>
        <v>Aaron Mejia|46037</v>
      </c>
      <c r="O1922" s="7">
        <f>IFERROR(__xludf.DUMMYFUNCTION("""COMPUTED_VALUE"""),4.0)</f>
        <v>4</v>
      </c>
    </row>
    <row r="1923" ht="22.5" hidden="1" customHeight="1">
      <c r="A1923" s="8">
        <v>45911.39479789352</v>
      </c>
      <c r="B1923" s="9">
        <v>45911.0</v>
      </c>
      <c r="C1923" s="9" t="s">
        <v>31</v>
      </c>
      <c r="D1923" s="9" t="s">
        <v>396</v>
      </c>
      <c r="E1923" s="9" t="s">
        <v>17</v>
      </c>
      <c r="F1923" s="9" t="s">
        <v>17</v>
      </c>
      <c r="G1923" s="9" t="s">
        <v>24</v>
      </c>
      <c r="H1923" s="9" t="s">
        <v>62</v>
      </c>
      <c r="I1923" s="9" t="s">
        <v>20</v>
      </c>
      <c r="J1923" s="10"/>
      <c r="K1923" s="7" t="s">
        <v>398</v>
      </c>
      <c r="L1923" s="7"/>
      <c r="M1923" s="7"/>
      <c r="N1923" s="7" t="str">
        <f>IFERROR(__xludf.DUMMYFUNCTION("""COMPUTED_VALUE"""),"Patricio Salas|46037")</f>
        <v>Patricio Salas|46037</v>
      </c>
      <c r="O1923" s="7">
        <f>IFERROR(__xludf.DUMMYFUNCTION("""COMPUTED_VALUE"""),4.0)</f>
        <v>4</v>
      </c>
    </row>
    <row r="1924" ht="22.5" hidden="1" customHeight="1">
      <c r="A1924" s="8">
        <v>45911.39495231482</v>
      </c>
      <c r="B1924" s="9">
        <v>45911.0</v>
      </c>
      <c r="C1924" s="9" t="s">
        <v>31</v>
      </c>
      <c r="D1924" s="9" t="s">
        <v>168</v>
      </c>
      <c r="E1924" s="9" t="s">
        <v>17</v>
      </c>
      <c r="F1924" s="9" t="s">
        <v>17</v>
      </c>
      <c r="G1924" s="9" t="s">
        <v>24</v>
      </c>
      <c r="H1924" s="9" t="s">
        <v>17</v>
      </c>
      <c r="I1924" s="9" t="s">
        <v>20</v>
      </c>
      <c r="J1924" s="10"/>
      <c r="K1924" s="7" t="s">
        <v>398</v>
      </c>
      <c r="L1924" s="7"/>
      <c r="M1924" s="7"/>
      <c r="N1924" s="7" t="str">
        <f>IFERROR(__xludf.DUMMYFUNCTION("""COMPUTED_VALUE"""),"Santiago Naveda|46037")</f>
        <v>Santiago Naveda|46037</v>
      </c>
      <c r="O1924" s="7">
        <f>IFERROR(__xludf.DUMMYFUNCTION("""COMPUTED_VALUE"""),6.0)</f>
        <v>6</v>
      </c>
    </row>
    <row r="1925" ht="22.5" hidden="1" customHeight="1">
      <c r="A1925" s="8">
        <v>45911.39511269676</v>
      </c>
      <c r="B1925" s="9">
        <v>45911.0</v>
      </c>
      <c r="C1925" s="9" t="s">
        <v>31</v>
      </c>
      <c r="D1925" s="9" t="s">
        <v>367</v>
      </c>
      <c r="E1925" s="9" t="s">
        <v>17</v>
      </c>
      <c r="F1925" s="9" t="s">
        <v>17</v>
      </c>
      <c r="G1925" s="9" t="s">
        <v>24</v>
      </c>
      <c r="H1925" s="9" t="s">
        <v>17</v>
      </c>
      <c r="I1925" s="9" t="s">
        <v>20</v>
      </c>
      <c r="J1925" s="10"/>
      <c r="K1925" s="7" t="s">
        <v>398</v>
      </c>
      <c r="L1925" s="7"/>
      <c r="M1925" s="7"/>
      <c r="N1925" s="7" t="str">
        <f>IFERROR(__xludf.DUMMYFUNCTION("""COMPUTED_VALUE"""),"Brian Rodríguez|46037")</f>
        <v>Brian Rodríguez|46037</v>
      </c>
      <c r="O1925" s="7">
        <f>IFERROR(__xludf.DUMMYFUNCTION("""COMPUTED_VALUE"""),4.0)</f>
        <v>4</v>
      </c>
    </row>
    <row r="1926" ht="22.5" hidden="1" customHeight="1">
      <c r="A1926" s="8">
        <v>45911.3959746412</v>
      </c>
      <c r="B1926" s="9">
        <v>45911.0</v>
      </c>
      <c r="C1926" s="9" t="s">
        <v>31</v>
      </c>
      <c r="D1926" s="9" t="s">
        <v>357</v>
      </c>
      <c r="E1926" s="9" t="s">
        <v>17</v>
      </c>
      <c r="F1926" s="9" t="s">
        <v>17</v>
      </c>
      <c r="G1926" s="9" t="s">
        <v>24</v>
      </c>
      <c r="H1926" s="9" t="s">
        <v>17</v>
      </c>
      <c r="I1926" s="9" t="s">
        <v>20</v>
      </c>
      <c r="J1926" s="10"/>
      <c r="K1926" s="7" t="s">
        <v>398</v>
      </c>
      <c r="L1926" s="7"/>
      <c r="M1926" s="7"/>
      <c r="N1926" s="7" t="str">
        <f>IFERROR(__xludf.DUMMYFUNCTION("""COMPUTED_VALUE"""),"Israel Reyes|46038")</f>
        <v>Israel Reyes|46038</v>
      </c>
      <c r="O1926" s="7">
        <f>IFERROR(__xludf.DUMMYFUNCTION("""COMPUTED_VALUE"""),4.0)</f>
        <v>4</v>
      </c>
    </row>
    <row r="1927" ht="22.5" hidden="1" customHeight="1">
      <c r="A1927" s="8">
        <v>45911.39617482639</v>
      </c>
      <c r="B1927" s="9">
        <v>45911.0</v>
      </c>
      <c r="C1927" s="9" t="s">
        <v>31</v>
      </c>
      <c r="D1927" s="9" t="s">
        <v>335</v>
      </c>
      <c r="E1927" s="9" t="s">
        <v>17</v>
      </c>
      <c r="F1927" s="9" t="s">
        <v>17</v>
      </c>
      <c r="G1927" s="9" t="s">
        <v>24</v>
      </c>
      <c r="H1927" s="9" t="s">
        <v>17</v>
      </c>
      <c r="I1927" s="9" t="s">
        <v>20</v>
      </c>
      <c r="J1927" s="10"/>
      <c r="K1927" s="7" t="s">
        <v>398</v>
      </c>
      <c r="L1927" s="7"/>
      <c r="M1927" s="7"/>
      <c r="N1927" s="7" t="str">
        <f>IFERROR(__xludf.DUMMYFUNCTION("""COMPUTED_VALUE"""),"Alexis Gutiérrez|46038")</f>
        <v>Alexis Gutiérrez|46038</v>
      </c>
      <c r="O1927" s="7">
        <f>IFERROR(__xludf.DUMMYFUNCTION("""COMPUTED_VALUE"""),3.0)</f>
        <v>3</v>
      </c>
    </row>
    <row r="1928" ht="22.5" hidden="1" customHeight="1">
      <c r="A1928" s="8">
        <v>45911.39747460648</v>
      </c>
      <c r="B1928" s="9">
        <v>45911.0</v>
      </c>
      <c r="C1928" s="9" t="s">
        <v>31</v>
      </c>
      <c r="D1928" s="9" t="s">
        <v>178</v>
      </c>
      <c r="E1928" s="9" t="s">
        <v>17</v>
      </c>
      <c r="F1928" s="9" t="s">
        <v>43</v>
      </c>
      <c r="G1928" s="9" t="s">
        <v>24</v>
      </c>
      <c r="H1928" s="9" t="s">
        <v>17</v>
      </c>
      <c r="I1928" s="9" t="s">
        <v>20</v>
      </c>
      <c r="J1928" s="10"/>
      <c r="K1928" s="7" t="s">
        <v>398</v>
      </c>
      <c r="L1928" s="7"/>
      <c r="M1928" s="7"/>
      <c r="N1928" s="7" t="str">
        <f>IFERROR(__xludf.DUMMYFUNCTION("""COMPUTED_VALUE"""),"Sebastián Cáceres|46038")</f>
        <v>Sebastián Cáceres|46038</v>
      </c>
      <c r="O1928" s="7">
        <f>IFERROR(__xludf.DUMMYFUNCTION("""COMPUTED_VALUE"""),6.0)</f>
        <v>6</v>
      </c>
    </row>
    <row r="1929" ht="22.5" hidden="1" customHeight="1">
      <c r="A1929" s="8">
        <v>45911.398987175926</v>
      </c>
      <c r="B1929" s="9">
        <v>45911.0</v>
      </c>
      <c r="C1929" s="9" t="s">
        <v>31</v>
      </c>
      <c r="D1929" s="9" t="s">
        <v>175</v>
      </c>
      <c r="E1929" s="9" t="s">
        <v>17</v>
      </c>
      <c r="F1929" s="9" t="s">
        <v>17</v>
      </c>
      <c r="G1929" s="9" t="s">
        <v>24</v>
      </c>
      <c r="H1929" s="9" t="s">
        <v>17</v>
      </c>
      <c r="I1929" s="9" t="s">
        <v>20</v>
      </c>
      <c r="J1929" s="10"/>
      <c r="K1929" s="7" t="s">
        <v>398</v>
      </c>
      <c r="L1929" s="7"/>
      <c r="M1929" s="7"/>
      <c r="N1929" s="7" t="str">
        <f>IFERROR(__xludf.DUMMYFUNCTION("""COMPUTED_VALUE"""),"Ramón Juárez|46038")</f>
        <v>Ramón Juárez|46038</v>
      </c>
      <c r="O1929" s="7">
        <f>IFERROR(__xludf.DUMMYFUNCTION("""COMPUTED_VALUE"""),7.0)</f>
        <v>7</v>
      </c>
    </row>
    <row r="1930" ht="22.5" hidden="1" customHeight="1">
      <c r="A1930" s="8">
        <v>45911.399243576394</v>
      </c>
      <c r="B1930" s="9">
        <v>45911.0</v>
      </c>
      <c r="C1930" s="9" t="s">
        <v>31</v>
      </c>
      <c r="D1930" s="9" t="s">
        <v>397</v>
      </c>
      <c r="E1930" s="9" t="s">
        <v>17</v>
      </c>
      <c r="F1930" s="9" t="s">
        <v>17</v>
      </c>
      <c r="G1930" s="9" t="s">
        <v>24</v>
      </c>
      <c r="H1930" s="9" t="s">
        <v>22</v>
      </c>
      <c r="I1930" s="9" t="s">
        <v>20</v>
      </c>
      <c r="J1930" s="10"/>
      <c r="K1930" s="1" t="s">
        <v>398</v>
      </c>
      <c r="L1930" s="7"/>
      <c r="M1930" s="7"/>
      <c r="N1930" s="7" t="str">
        <f>IFERROR(__xludf.DUMMYFUNCTION("""COMPUTED_VALUE"""),"Fernando Tapia|46038")</f>
        <v>Fernando Tapia|46038</v>
      </c>
      <c r="O1930" s="7">
        <f>IFERROR(__xludf.DUMMYFUNCTION("""COMPUTED_VALUE"""),3.0)</f>
        <v>3</v>
      </c>
    </row>
    <row r="1931" ht="22.5" hidden="1" customHeight="1">
      <c r="A1931" s="8">
        <v>45911.40027293982</v>
      </c>
      <c r="B1931" s="9">
        <v>45911.0</v>
      </c>
      <c r="C1931" s="9" t="s">
        <v>31</v>
      </c>
      <c r="D1931" s="9" t="s">
        <v>175</v>
      </c>
      <c r="E1931" s="9" t="s">
        <v>17</v>
      </c>
      <c r="F1931" s="9" t="s">
        <v>17</v>
      </c>
      <c r="G1931" s="9" t="s">
        <v>24</v>
      </c>
      <c r="H1931" s="9" t="s">
        <v>17</v>
      </c>
      <c r="I1931" s="9" t="s">
        <v>20</v>
      </c>
      <c r="J1931" s="10"/>
      <c r="K1931" s="7" t="s">
        <v>398</v>
      </c>
      <c r="L1931" s="7"/>
      <c r="M1931" s="7"/>
      <c r="N1931" s="7" t="str">
        <f>IFERROR(__xludf.DUMMYFUNCTION("""COMPUTED_VALUE"""),"José Raúl Zúñiga|46038")</f>
        <v>José Raúl Zúñiga|46038</v>
      </c>
      <c r="O1931" s="7">
        <f>IFERROR(__xludf.DUMMYFUNCTION("""COMPUTED_VALUE"""),3.0)</f>
        <v>3</v>
      </c>
    </row>
    <row r="1932" ht="22.5" hidden="1" customHeight="1">
      <c r="A1932" s="8">
        <v>45912.35150001157</v>
      </c>
      <c r="B1932" s="9">
        <v>45912.0</v>
      </c>
      <c r="C1932" s="9" t="s">
        <v>48</v>
      </c>
      <c r="D1932" s="9" t="s">
        <v>257</v>
      </c>
      <c r="E1932" s="9" t="s">
        <v>17</v>
      </c>
      <c r="F1932" s="9" t="s">
        <v>17</v>
      </c>
      <c r="G1932" s="9" t="s">
        <v>24</v>
      </c>
      <c r="H1932" s="9" t="s">
        <v>22</v>
      </c>
      <c r="I1932" s="9" t="s">
        <v>20</v>
      </c>
      <c r="J1932" s="10"/>
      <c r="K1932" s="7" t="s">
        <v>398</v>
      </c>
      <c r="L1932" s="7"/>
      <c r="M1932" s="7"/>
      <c r="N1932" s="7" t="str">
        <f>IFERROR(__xludf.DUMMYFUNCTION("""COMPUTED_VALUE"""),"Patricio Salas|46038")</f>
        <v>Patricio Salas|46038</v>
      </c>
      <c r="O1932" s="7">
        <f>IFERROR(__xludf.DUMMYFUNCTION("""COMPUTED_VALUE"""),3.0)</f>
        <v>3</v>
      </c>
    </row>
    <row r="1933" ht="22.5" hidden="1" customHeight="1">
      <c r="A1933" s="8">
        <v>45912.36705961806</v>
      </c>
      <c r="B1933" s="9">
        <v>45912.0</v>
      </c>
      <c r="C1933" s="9" t="s">
        <v>48</v>
      </c>
      <c r="D1933" s="9" t="s">
        <v>171</v>
      </c>
      <c r="E1933" s="9" t="s">
        <v>17</v>
      </c>
      <c r="F1933" s="9" t="s">
        <v>17</v>
      </c>
      <c r="G1933" s="9" t="s">
        <v>24</v>
      </c>
      <c r="H1933" s="9" t="s">
        <v>22</v>
      </c>
      <c r="I1933" s="9" t="s">
        <v>20</v>
      </c>
      <c r="J1933" s="10"/>
      <c r="K1933" s="7" t="s">
        <v>398</v>
      </c>
      <c r="L1933" s="7"/>
      <c r="M1933" s="7"/>
      <c r="N1933" s="7" t="str">
        <f>IFERROR(__xludf.DUMMYFUNCTION("""COMPUTED_VALUE"""),"Kevin Álvarez|46038")</f>
        <v>Kevin Álvarez|46038</v>
      </c>
      <c r="O1933" s="7">
        <f>IFERROR(__xludf.DUMMYFUNCTION("""COMPUTED_VALUE"""),3.0)</f>
        <v>3</v>
      </c>
    </row>
    <row r="1934" ht="22.5" hidden="1" customHeight="1">
      <c r="A1934" s="8">
        <v>45912.36731420139</v>
      </c>
      <c r="B1934" s="9">
        <v>45912.0</v>
      </c>
      <c r="C1934" s="9" t="s">
        <v>48</v>
      </c>
      <c r="D1934" s="9" t="s">
        <v>178</v>
      </c>
      <c r="E1934" s="9" t="s">
        <v>17</v>
      </c>
      <c r="F1934" s="9" t="s">
        <v>18</v>
      </c>
      <c r="G1934" s="9" t="s">
        <v>24</v>
      </c>
      <c r="H1934" s="9" t="s">
        <v>25</v>
      </c>
      <c r="I1934" s="9" t="s">
        <v>240</v>
      </c>
      <c r="J1934" s="10"/>
      <c r="K1934" s="7" t="s">
        <v>398</v>
      </c>
      <c r="L1934" s="7"/>
      <c r="M1934" s="7"/>
      <c r="N1934" s="7" t="str">
        <f>IFERROR(__xludf.DUMMYFUNCTION("""COMPUTED_VALUE"""),"Víctor Dávila|46038")</f>
        <v>Víctor Dávila|46038</v>
      </c>
      <c r="O1934" s="7">
        <f>IFERROR(__xludf.DUMMYFUNCTION("""COMPUTED_VALUE"""),6.0)</f>
        <v>6</v>
      </c>
    </row>
    <row r="1935" ht="22.5" hidden="1" customHeight="1">
      <c r="A1935" s="8">
        <v>45912.368830127314</v>
      </c>
      <c r="B1935" s="9">
        <v>45912.0</v>
      </c>
      <c r="C1935" s="9" t="s">
        <v>48</v>
      </c>
      <c r="D1935" s="9" t="s">
        <v>395</v>
      </c>
      <c r="E1935" s="9" t="s">
        <v>17</v>
      </c>
      <c r="F1935" s="9" t="s">
        <v>17</v>
      </c>
      <c r="G1935" s="9" t="s">
        <v>24</v>
      </c>
      <c r="H1935" s="9" t="s">
        <v>25</v>
      </c>
      <c r="I1935" s="9" t="s">
        <v>240</v>
      </c>
      <c r="J1935" s="10"/>
      <c r="K1935" s="7" t="s">
        <v>398</v>
      </c>
      <c r="L1935" s="7"/>
      <c r="M1935" s="7"/>
      <c r="N1935" s="7" t="str">
        <f>IFERROR(__xludf.DUMMYFUNCTION("""COMPUTED_VALUE"""),"Jonathan Dos Santos|46038")</f>
        <v>Jonathan Dos Santos|46038</v>
      </c>
      <c r="O1935" s="7">
        <f>IFERROR(__xludf.DUMMYFUNCTION("""COMPUTED_VALUE"""),3.0)</f>
        <v>3</v>
      </c>
    </row>
    <row r="1936" ht="22.5" hidden="1" customHeight="1">
      <c r="A1936" s="8">
        <v>45912.368984016204</v>
      </c>
      <c r="B1936" s="9">
        <v>45912.0</v>
      </c>
      <c r="C1936" s="9" t="s">
        <v>48</v>
      </c>
      <c r="D1936" s="9" t="s">
        <v>361</v>
      </c>
      <c r="E1936" s="9" t="s">
        <v>17</v>
      </c>
      <c r="F1936" s="9" t="s">
        <v>17</v>
      </c>
      <c r="G1936" s="9" t="s">
        <v>24</v>
      </c>
      <c r="H1936" s="9" t="s">
        <v>22</v>
      </c>
      <c r="I1936" s="9" t="s">
        <v>20</v>
      </c>
      <c r="J1936" s="10"/>
      <c r="K1936" s="7" t="s">
        <v>398</v>
      </c>
      <c r="L1936" s="7"/>
      <c r="M1936" s="7"/>
      <c r="N1936" s="7" t="str">
        <f>IFERROR(__xludf.DUMMYFUNCTION("""COMPUTED_VALUE"""),"Miguel Vázquez|46038")</f>
        <v>Miguel Vázquez|46038</v>
      </c>
      <c r="O1936" s="7">
        <f>IFERROR(__xludf.DUMMYFUNCTION("""COMPUTED_VALUE"""),2.0)</f>
        <v>2</v>
      </c>
    </row>
    <row r="1937" ht="22.5" hidden="1" customHeight="1">
      <c r="A1937" s="8">
        <v>45912.370099328706</v>
      </c>
      <c r="B1937" s="9">
        <v>45912.0</v>
      </c>
      <c r="C1937" s="9" t="s">
        <v>48</v>
      </c>
      <c r="D1937" s="9" t="s">
        <v>175</v>
      </c>
      <c r="E1937" s="9" t="s">
        <v>17</v>
      </c>
      <c r="F1937" s="9" t="s">
        <v>17</v>
      </c>
      <c r="G1937" s="9" t="s">
        <v>24</v>
      </c>
      <c r="H1937" s="9" t="s">
        <v>17</v>
      </c>
      <c r="I1937" s="9" t="s">
        <v>20</v>
      </c>
      <c r="J1937" s="10"/>
      <c r="K1937" s="7" t="s">
        <v>398</v>
      </c>
      <c r="L1937" s="7"/>
      <c r="M1937" s="7"/>
      <c r="N1937" s="7" t="str">
        <f>IFERROR(__xludf.DUMMYFUNCTION("""COMPUTED_VALUE"""),"Álvaro Fidalgo|46038")</f>
        <v>Álvaro Fidalgo|46038</v>
      </c>
      <c r="O1937" s="7">
        <f>IFERROR(__xludf.DUMMYFUNCTION("""COMPUTED_VALUE"""),3.0)</f>
        <v>3</v>
      </c>
    </row>
    <row r="1938" ht="22.5" hidden="1" customHeight="1">
      <c r="A1938" s="8">
        <v>45912.37372023148</v>
      </c>
      <c r="B1938" s="9">
        <v>45912.0</v>
      </c>
      <c r="C1938" s="9" t="s">
        <v>48</v>
      </c>
      <c r="D1938" s="9" t="s">
        <v>394</v>
      </c>
      <c r="E1938" s="9" t="s">
        <v>17</v>
      </c>
      <c r="F1938" s="9" t="s">
        <v>17</v>
      </c>
      <c r="G1938" s="9" t="s">
        <v>24</v>
      </c>
      <c r="H1938" s="9" t="s">
        <v>17</v>
      </c>
      <c r="I1938" s="9" t="s">
        <v>399</v>
      </c>
      <c r="J1938" s="10"/>
      <c r="K1938" s="7" t="s">
        <v>398</v>
      </c>
      <c r="L1938" s="7"/>
      <c r="M1938" s="7"/>
      <c r="N1938" s="7" t="str">
        <f>IFERROR(__xludf.DUMMYFUNCTION("""COMPUTED_VALUE"""),"Luis Ángel Malagón|46038")</f>
        <v>Luis Ángel Malagón|46038</v>
      </c>
      <c r="O1938" s="7">
        <f>IFERROR(__xludf.DUMMYFUNCTION("""COMPUTED_VALUE"""),4.0)</f>
        <v>4</v>
      </c>
    </row>
    <row r="1939" ht="22.5" hidden="1" customHeight="1">
      <c r="A1939" s="8">
        <v>45912.37398643518</v>
      </c>
      <c r="B1939" s="9">
        <v>45912.0</v>
      </c>
      <c r="C1939" s="9" t="s">
        <v>48</v>
      </c>
      <c r="D1939" s="9" t="s">
        <v>259</v>
      </c>
      <c r="E1939" s="9" t="s">
        <v>17</v>
      </c>
      <c r="F1939" s="9" t="s">
        <v>18</v>
      </c>
      <c r="G1939" s="9" t="s">
        <v>19</v>
      </c>
      <c r="H1939" s="9" t="s">
        <v>22</v>
      </c>
      <c r="I1939" s="9" t="s">
        <v>20</v>
      </c>
      <c r="J1939" s="10"/>
      <c r="K1939" s="7" t="s">
        <v>398</v>
      </c>
      <c r="L1939" s="7"/>
      <c r="M1939" s="7"/>
      <c r="N1939" s="7" t="str">
        <f>IFERROR(__xludf.DUMMYFUNCTION("""COMPUTED_VALUE"""),"Néstor Araujo|46038")</f>
        <v>Néstor Araujo|46038</v>
      </c>
      <c r="O1939" s="7">
        <f>IFERROR(__xludf.DUMMYFUNCTION("""COMPUTED_VALUE"""),5.0)</f>
        <v>5</v>
      </c>
    </row>
    <row r="1940" ht="22.5" hidden="1" customHeight="1">
      <c r="A1940" s="8">
        <v>45912.37436688658</v>
      </c>
      <c r="B1940" s="9">
        <v>45912.0</v>
      </c>
      <c r="C1940" s="9" t="s">
        <v>48</v>
      </c>
      <c r="D1940" s="9" t="s">
        <v>393</v>
      </c>
      <c r="E1940" s="9" t="s">
        <v>17</v>
      </c>
      <c r="F1940" s="9" t="s">
        <v>17</v>
      </c>
      <c r="G1940" s="9" t="s">
        <v>24</v>
      </c>
      <c r="H1940" s="9" t="s">
        <v>22</v>
      </c>
      <c r="I1940" s="9" t="s">
        <v>20</v>
      </c>
      <c r="J1940" s="10"/>
      <c r="K1940" s="7" t="s">
        <v>398</v>
      </c>
      <c r="L1940" s="7"/>
      <c r="M1940" s="7"/>
      <c r="N1940" s="7" t="str">
        <f>IFERROR(__xludf.DUMMYFUNCTION("""COMPUTED_VALUE"""),"Fernando Tapia|46038")</f>
        <v>Fernando Tapia|46038</v>
      </c>
      <c r="O1940" s="7">
        <f>IFERROR(__xludf.DUMMYFUNCTION("""COMPUTED_VALUE"""),3.0)</f>
        <v>3</v>
      </c>
    </row>
    <row r="1941" ht="22.5" hidden="1" customHeight="1">
      <c r="A1941" s="8">
        <v>45912.374579166666</v>
      </c>
      <c r="B1941" s="9">
        <v>45912.0</v>
      </c>
      <c r="C1941" s="9" t="s">
        <v>48</v>
      </c>
      <c r="D1941" s="9" t="s">
        <v>350</v>
      </c>
      <c r="E1941" s="9" t="s">
        <v>17</v>
      </c>
      <c r="F1941" s="9" t="s">
        <v>17</v>
      </c>
      <c r="G1941" s="9" t="s">
        <v>24</v>
      </c>
      <c r="H1941" s="9" t="s">
        <v>22</v>
      </c>
      <c r="I1941" s="9" t="s">
        <v>20</v>
      </c>
      <c r="J1941" s="10"/>
      <c r="K1941" s="7" t="s">
        <v>398</v>
      </c>
      <c r="L1941" s="7"/>
      <c r="M1941" s="7"/>
      <c r="N1941" s="7" t="str">
        <f>IFERROR(__xludf.DUMMYFUNCTION("""COMPUTED_VALUE"""),"Isaías Violante|46038")</f>
        <v>Isaías Violante|46038</v>
      </c>
      <c r="O1941" s="7">
        <f>IFERROR(__xludf.DUMMYFUNCTION("""COMPUTED_VALUE"""),4.0)</f>
        <v>4</v>
      </c>
    </row>
    <row r="1942" ht="22.5" hidden="1" customHeight="1">
      <c r="A1942" s="8">
        <v>45912.374878773146</v>
      </c>
      <c r="B1942" s="9">
        <v>45912.0</v>
      </c>
      <c r="C1942" s="9" t="s">
        <v>48</v>
      </c>
      <c r="D1942" s="9" t="s">
        <v>174</v>
      </c>
      <c r="E1942" s="9" t="s">
        <v>17</v>
      </c>
      <c r="F1942" s="9" t="s">
        <v>17</v>
      </c>
      <c r="G1942" s="9" t="s">
        <v>24</v>
      </c>
      <c r="H1942" s="9" t="s">
        <v>22</v>
      </c>
      <c r="I1942" s="9" t="s">
        <v>20</v>
      </c>
      <c r="J1942" s="10"/>
      <c r="K1942" s="7" t="s">
        <v>398</v>
      </c>
      <c r="L1942" s="7"/>
      <c r="M1942" s="7"/>
      <c r="N1942" s="7" t="str">
        <f>IFERROR(__xludf.DUMMYFUNCTION("""COMPUTED_VALUE"""),"Rodrigo Dourado|46038")</f>
        <v>Rodrigo Dourado|46038</v>
      </c>
      <c r="O1942" s="7">
        <f>IFERROR(__xludf.DUMMYFUNCTION("""COMPUTED_VALUE"""),4.0)</f>
        <v>4</v>
      </c>
    </row>
    <row r="1943" ht="22.5" hidden="1" customHeight="1">
      <c r="A1943" s="8">
        <v>45912.37513813657</v>
      </c>
      <c r="B1943" s="9">
        <v>45912.0</v>
      </c>
      <c r="C1943" s="9" t="s">
        <v>48</v>
      </c>
      <c r="D1943" s="9" t="s">
        <v>357</v>
      </c>
      <c r="E1943" s="9" t="s">
        <v>17</v>
      </c>
      <c r="F1943" s="9" t="s">
        <v>17</v>
      </c>
      <c r="G1943" s="9" t="s">
        <v>24</v>
      </c>
      <c r="H1943" s="9" t="s">
        <v>22</v>
      </c>
      <c r="I1943" s="9" t="s">
        <v>20</v>
      </c>
      <c r="J1943" s="10"/>
      <c r="K1943" s="7" t="s">
        <v>398</v>
      </c>
      <c r="L1943" s="7"/>
      <c r="M1943" s="7"/>
      <c r="N1943" s="7" t="str">
        <f>IFERROR(__xludf.DUMMYFUNCTION("""COMPUTED_VALUE"""),"Alan Cervantes|46038")</f>
        <v>Alan Cervantes|46038</v>
      </c>
      <c r="O1943" s="7">
        <f>IFERROR(__xludf.DUMMYFUNCTION("""COMPUTED_VALUE"""),5.0)</f>
        <v>5</v>
      </c>
    </row>
    <row r="1944" ht="22.5" hidden="1" customHeight="1">
      <c r="A1944" s="8">
        <v>45912.37601137732</v>
      </c>
      <c r="B1944" s="9">
        <v>45912.0</v>
      </c>
      <c r="C1944" s="9" t="s">
        <v>48</v>
      </c>
      <c r="D1944" s="9" t="s">
        <v>249</v>
      </c>
      <c r="E1944" s="9" t="s">
        <v>17</v>
      </c>
      <c r="F1944" s="9" t="s">
        <v>17</v>
      </c>
      <c r="G1944" s="9" t="s">
        <v>24</v>
      </c>
      <c r="H1944" s="9" t="s">
        <v>22</v>
      </c>
      <c r="I1944" s="9" t="s">
        <v>20</v>
      </c>
      <c r="J1944" s="10"/>
      <c r="K1944" s="7" t="s">
        <v>398</v>
      </c>
      <c r="L1944" s="7"/>
      <c r="M1944" s="7"/>
      <c r="N1944" s="7" t="str">
        <f>IFERROR(__xludf.DUMMYFUNCTION("""COMPUTED_VALUE"""),"Brian Rodríguez|46038")</f>
        <v>Brian Rodríguez|46038</v>
      </c>
      <c r="O1944" s="7">
        <f>IFERROR(__xludf.DUMMYFUNCTION("""COMPUTED_VALUE"""),3.0)</f>
        <v>3</v>
      </c>
    </row>
    <row r="1945" ht="22.5" hidden="1" customHeight="1">
      <c r="A1945" s="8">
        <v>45912.37621099537</v>
      </c>
      <c r="B1945" s="9">
        <v>45912.0</v>
      </c>
      <c r="C1945" s="9" t="s">
        <v>48</v>
      </c>
      <c r="D1945" s="9" t="s">
        <v>247</v>
      </c>
      <c r="E1945" s="9" t="s">
        <v>17</v>
      </c>
      <c r="F1945" s="9" t="s">
        <v>17</v>
      </c>
      <c r="G1945" s="9" t="s">
        <v>24</v>
      </c>
      <c r="H1945" s="9" t="s">
        <v>17</v>
      </c>
      <c r="I1945" s="9" t="s">
        <v>20</v>
      </c>
      <c r="J1945" s="10"/>
      <c r="K1945" s="7" t="s">
        <v>398</v>
      </c>
      <c r="L1945" s="7"/>
      <c r="M1945" s="7"/>
      <c r="N1945" s="7" t="str">
        <f>IFERROR(__xludf.DUMMYFUNCTION("""COMPUTED_VALUE"""),"Santiago Naveda|46038")</f>
        <v>Santiago Naveda|46038</v>
      </c>
      <c r="O1945" s="7">
        <f>IFERROR(__xludf.DUMMYFUNCTION("""COMPUTED_VALUE"""),3.0)</f>
        <v>3</v>
      </c>
    </row>
    <row r="1946" ht="22.5" hidden="1" customHeight="1">
      <c r="A1946" s="8">
        <v>45912.376369571764</v>
      </c>
      <c r="B1946" s="9">
        <v>45912.0</v>
      </c>
      <c r="C1946" s="9" t="s">
        <v>48</v>
      </c>
      <c r="D1946" s="9" t="s">
        <v>210</v>
      </c>
      <c r="E1946" s="9" t="s">
        <v>17</v>
      </c>
      <c r="F1946" s="9" t="s">
        <v>17</v>
      </c>
      <c r="G1946" s="9" t="s">
        <v>24</v>
      </c>
      <c r="H1946" s="9" t="s">
        <v>22</v>
      </c>
      <c r="I1946" s="9" t="s">
        <v>20</v>
      </c>
      <c r="J1946" s="10"/>
      <c r="K1946" s="7" t="s">
        <v>398</v>
      </c>
      <c r="L1946" s="7"/>
      <c r="M1946" s="7"/>
      <c r="N1946" s="7" t="str">
        <f>IFERROR(__xludf.DUMMYFUNCTION("""COMPUTED_VALUE"""),"Rodrigo Aguirre|46044")</f>
        <v>Rodrigo Aguirre|46044</v>
      </c>
      <c r="O1946" s="7">
        <f>IFERROR(__xludf.DUMMYFUNCTION("""COMPUTED_VALUE"""),5.0)</f>
        <v>5</v>
      </c>
    </row>
    <row r="1947" ht="22.5" hidden="1" customHeight="1">
      <c r="A1947" s="8">
        <v>45912.37963631944</v>
      </c>
      <c r="B1947" s="9">
        <v>45912.0</v>
      </c>
      <c r="C1947" s="9" t="s">
        <v>48</v>
      </c>
      <c r="D1947" s="9" t="s">
        <v>397</v>
      </c>
      <c r="E1947" s="9" t="s">
        <v>17</v>
      </c>
      <c r="F1947" s="9" t="s">
        <v>17</v>
      </c>
      <c r="G1947" s="9" t="s">
        <v>24</v>
      </c>
      <c r="H1947" s="9" t="s">
        <v>22</v>
      </c>
      <c r="I1947" s="9" t="s">
        <v>20</v>
      </c>
      <c r="J1947" s="10"/>
      <c r="K1947" s="1" t="s">
        <v>398</v>
      </c>
      <c r="L1947" s="7"/>
      <c r="M1947" s="7"/>
      <c r="N1947" s="7" t="str">
        <f>IFERROR(__xludf.DUMMYFUNCTION("""COMPUTED_VALUE"""),"Alan Cervantes|46044")</f>
        <v>Alan Cervantes|46044</v>
      </c>
      <c r="O1947" s="7">
        <f>IFERROR(__xludf.DUMMYFUNCTION("""COMPUTED_VALUE"""),7.0)</f>
        <v>7</v>
      </c>
    </row>
    <row r="1948" ht="22.5" hidden="1" customHeight="1">
      <c r="A1948" s="8">
        <v>45912.38561349537</v>
      </c>
      <c r="B1948" s="9">
        <v>45912.0</v>
      </c>
      <c r="C1948" s="9" t="s">
        <v>48</v>
      </c>
      <c r="D1948" s="9" t="s">
        <v>258</v>
      </c>
      <c r="E1948" s="9" t="s">
        <v>17</v>
      </c>
      <c r="F1948" s="9" t="s">
        <v>17</v>
      </c>
      <c r="G1948" s="9" t="s">
        <v>24</v>
      </c>
      <c r="H1948" s="9" t="s">
        <v>22</v>
      </c>
      <c r="I1948" s="9" t="s">
        <v>20</v>
      </c>
      <c r="J1948" s="10"/>
      <c r="K1948" s="7" t="s">
        <v>398</v>
      </c>
      <c r="L1948" s="7"/>
      <c r="M1948" s="7"/>
      <c r="N1948" s="7" t="str">
        <f>IFERROR(__xludf.DUMMYFUNCTION("""COMPUTED_VALUE"""),"Álvaro Fidalgo|46044")</f>
        <v>Álvaro Fidalgo|46044</v>
      </c>
      <c r="O1948" s="7">
        <f>IFERROR(__xludf.DUMMYFUNCTION("""COMPUTED_VALUE"""),4.0)</f>
        <v>4</v>
      </c>
    </row>
    <row r="1949" ht="22.5" hidden="1" customHeight="1">
      <c r="A1949" s="8">
        <v>45912.388620451384</v>
      </c>
      <c r="B1949" s="9">
        <v>45912.0</v>
      </c>
      <c r="C1949" s="9" t="s">
        <v>48</v>
      </c>
      <c r="D1949" s="9" t="s">
        <v>367</v>
      </c>
      <c r="E1949" s="9" t="s">
        <v>17</v>
      </c>
      <c r="F1949" s="9" t="s">
        <v>17</v>
      </c>
      <c r="G1949" s="9" t="s">
        <v>24</v>
      </c>
      <c r="H1949" s="9" t="s">
        <v>17</v>
      </c>
      <c r="I1949" s="9" t="s">
        <v>20</v>
      </c>
      <c r="J1949" s="10"/>
      <c r="K1949" s="7" t="s">
        <v>398</v>
      </c>
      <c r="L1949" s="7"/>
      <c r="M1949" s="7"/>
      <c r="N1949" s="7" t="str">
        <f>IFERROR(__xludf.DUMMYFUNCTION("""COMPUTED_VALUE"""),"Néstor Araujo|46044")</f>
        <v>Néstor Araujo|46044</v>
      </c>
      <c r="O1949" s="7">
        <f>IFERROR(__xludf.DUMMYFUNCTION("""COMPUTED_VALUE"""),7.0)</f>
        <v>7</v>
      </c>
    </row>
    <row r="1950" ht="22.5" hidden="1" customHeight="1">
      <c r="A1950" s="8">
        <v>45912.39263003472</v>
      </c>
      <c r="B1950" s="9">
        <v>45912.0</v>
      </c>
      <c r="C1950" s="9" t="s">
        <v>48</v>
      </c>
      <c r="D1950" s="9" t="s">
        <v>177</v>
      </c>
      <c r="E1950" s="9" t="s">
        <v>17</v>
      </c>
      <c r="F1950" s="9" t="s">
        <v>17</v>
      </c>
      <c r="G1950" s="9" t="s">
        <v>24</v>
      </c>
      <c r="H1950" s="9" t="s">
        <v>22</v>
      </c>
      <c r="I1950" s="9" t="s">
        <v>20</v>
      </c>
      <c r="J1950" s="10"/>
      <c r="K1950" s="7" t="s">
        <v>398</v>
      </c>
      <c r="L1950" s="7"/>
      <c r="M1950" s="7"/>
      <c r="N1950" s="7" t="str">
        <f>IFERROR(__xludf.DUMMYFUNCTION("""COMPUTED_VALUE"""),"Patricio Salas|46044")</f>
        <v>Patricio Salas|46044</v>
      </c>
      <c r="O1950" s="7">
        <f>IFERROR(__xludf.DUMMYFUNCTION("""COMPUTED_VALUE"""),6.0)</f>
        <v>6</v>
      </c>
    </row>
    <row r="1951" ht="22.5" hidden="1" customHeight="1">
      <c r="A1951" s="8">
        <v>45912.39282194445</v>
      </c>
      <c r="B1951" s="9">
        <v>45912.0</v>
      </c>
      <c r="C1951" s="9" t="s">
        <v>48</v>
      </c>
      <c r="D1951" s="9" t="s">
        <v>280</v>
      </c>
      <c r="E1951" s="9" t="s">
        <v>17</v>
      </c>
      <c r="F1951" s="9" t="s">
        <v>17</v>
      </c>
      <c r="G1951" s="9" t="s">
        <v>24</v>
      </c>
      <c r="H1951" s="9" t="s">
        <v>17</v>
      </c>
      <c r="I1951" s="9" t="s">
        <v>218</v>
      </c>
      <c r="J1951" s="10"/>
      <c r="K1951" s="7" t="s">
        <v>398</v>
      </c>
      <c r="L1951" s="7"/>
      <c r="M1951" s="7"/>
      <c r="N1951" s="7" t="str">
        <f>IFERROR(__xludf.DUMMYFUNCTION("""COMPUTED_VALUE"""),"Allan Saint-Maximin|46044")</f>
        <v>Allan Saint-Maximin|46044</v>
      </c>
      <c r="O1951" s="7">
        <f>IFERROR(__xludf.DUMMYFUNCTION("""COMPUTED_VALUE"""),5.0)</f>
        <v>5</v>
      </c>
    </row>
    <row r="1952" ht="22.5" hidden="1" customHeight="1">
      <c r="A1952" s="8">
        <v>45912.40098528935</v>
      </c>
      <c r="B1952" s="9">
        <v>45912.0</v>
      </c>
      <c r="C1952" s="9" t="s">
        <v>48</v>
      </c>
      <c r="D1952" s="9" t="s">
        <v>168</v>
      </c>
      <c r="E1952" s="9" t="s">
        <v>17</v>
      </c>
      <c r="F1952" s="9" t="s">
        <v>17</v>
      </c>
      <c r="G1952" s="9" t="s">
        <v>24</v>
      </c>
      <c r="H1952" s="9" t="s">
        <v>17</v>
      </c>
      <c r="I1952" s="9" t="s">
        <v>20</v>
      </c>
      <c r="J1952" s="10"/>
      <c r="K1952" s="7" t="s">
        <v>398</v>
      </c>
      <c r="L1952" s="7"/>
      <c r="M1952" s="7"/>
      <c r="N1952" s="7" t="str">
        <f>IFERROR(__xludf.DUMMYFUNCTION("""COMPUTED_VALUE"""),"Erick Sánchez|46044")</f>
        <v>Erick Sánchez|46044</v>
      </c>
      <c r="O1952" s="7">
        <f>IFERROR(__xludf.DUMMYFUNCTION("""COMPUTED_VALUE"""),6.0)</f>
        <v>6</v>
      </c>
    </row>
    <row r="1953" ht="22.5" hidden="1" customHeight="1">
      <c r="A1953" s="8">
        <v>45912.40146328704</v>
      </c>
      <c r="B1953" s="9">
        <v>45912.0</v>
      </c>
      <c r="C1953" s="9" t="s">
        <v>48</v>
      </c>
      <c r="D1953" s="9" t="s">
        <v>335</v>
      </c>
      <c r="E1953" s="9" t="s">
        <v>17</v>
      </c>
      <c r="F1953" s="9" t="s">
        <v>17</v>
      </c>
      <c r="G1953" s="9" t="s">
        <v>24</v>
      </c>
      <c r="H1953" s="9" t="s">
        <v>17</v>
      </c>
      <c r="I1953" s="9" t="s">
        <v>20</v>
      </c>
      <c r="J1953" s="10"/>
      <c r="K1953" s="7" t="s">
        <v>398</v>
      </c>
      <c r="L1953" s="7"/>
      <c r="M1953" s="7"/>
      <c r="N1953" s="7" t="str">
        <f>IFERROR(__xludf.DUMMYFUNCTION("""COMPUTED_VALUE"""),"Jonathan Dos Santos|46044")</f>
        <v>Jonathan Dos Santos|46044</v>
      </c>
      <c r="O1953" s="7">
        <f>IFERROR(__xludf.DUMMYFUNCTION("""COMPUTED_VALUE"""),5.0)</f>
        <v>5</v>
      </c>
    </row>
    <row r="1954" ht="22.5" hidden="1" customHeight="1">
      <c r="A1954" s="8">
        <v>45912.40656103009</v>
      </c>
      <c r="B1954" s="9">
        <v>45912.0</v>
      </c>
      <c r="C1954" s="9" t="s">
        <v>48</v>
      </c>
      <c r="D1954" s="9" t="s">
        <v>223</v>
      </c>
      <c r="E1954" s="9" t="s">
        <v>17</v>
      </c>
      <c r="F1954" s="9" t="s">
        <v>17</v>
      </c>
      <c r="G1954" s="9" t="s">
        <v>24</v>
      </c>
      <c r="H1954" s="9" t="s">
        <v>17</v>
      </c>
      <c r="I1954" s="9" t="s">
        <v>20</v>
      </c>
      <c r="J1954" s="10"/>
      <c r="K1954" s="7" t="s">
        <v>398</v>
      </c>
      <c r="L1954" s="7"/>
      <c r="M1954" s="7"/>
      <c r="N1954" s="7" t="str">
        <f>IFERROR(__xludf.DUMMYFUNCTION("""COMPUTED_VALUE"""),"Isaías Violante|46044")</f>
        <v>Isaías Violante|46044</v>
      </c>
      <c r="O1954" s="7">
        <f>IFERROR(__xludf.DUMMYFUNCTION("""COMPUTED_VALUE"""),6.0)</f>
        <v>6</v>
      </c>
    </row>
    <row r="1955" ht="22.5" hidden="1" customHeight="1">
      <c r="A1955" s="8">
        <v>45912.40972239584</v>
      </c>
      <c r="B1955" s="9">
        <v>45912.0</v>
      </c>
      <c r="C1955" s="9" t="s">
        <v>48</v>
      </c>
      <c r="D1955" s="9" t="s">
        <v>396</v>
      </c>
      <c r="E1955" s="9" t="s">
        <v>17</v>
      </c>
      <c r="F1955" s="9" t="s">
        <v>17</v>
      </c>
      <c r="G1955" s="9" t="s">
        <v>24</v>
      </c>
      <c r="H1955" s="9" t="s">
        <v>17</v>
      </c>
      <c r="I1955" s="9" t="s">
        <v>20</v>
      </c>
      <c r="J1955" s="10"/>
      <c r="K1955" s="7" t="s">
        <v>398</v>
      </c>
      <c r="L1955" s="7"/>
      <c r="M1955" s="7"/>
      <c r="N1955" s="7" t="str">
        <f>IFERROR(__xludf.DUMMYFUNCTION("""COMPUTED_VALUE"""),"Santiago Naveda|46044")</f>
        <v>Santiago Naveda|46044</v>
      </c>
      <c r="O1955" s="7">
        <f>IFERROR(__xludf.DUMMYFUNCTION("""COMPUTED_VALUE"""),5.0)</f>
        <v>5</v>
      </c>
    </row>
    <row r="1956" ht="22.5" hidden="1" customHeight="1">
      <c r="A1956" s="8">
        <v>45915.356879548606</v>
      </c>
      <c r="B1956" s="9">
        <v>45915.0</v>
      </c>
      <c r="C1956" s="9" t="s">
        <v>86</v>
      </c>
      <c r="D1956" s="9" t="s">
        <v>257</v>
      </c>
      <c r="E1956" s="9" t="s">
        <v>17</v>
      </c>
      <c r="F1956" s="9" t="s">
        <v>17</v>
      </c>
      <c r="G1956" s="9" t="s">
        <v>24</v>
      </c>
      <c r="H1956" s="9" t="s">
        <v>17</v>
      </c>
      <c r="I1956" s="9" t="s">
        <v>20</v>
      </c>
      <c r="J1956" s="10"/>
      <c r="K1956" s="7" t="s">
        <v>398</v>
      </c>
      <c r="L1956" s="7"/>
      <c r="M1956" s="7"/>
      <c r="N1956" s="7" t="str">
        <f>IFERROR(__xludf.DUMMYFUNCTION("""COMPUTED_VALUE"""),"José Raúl Zúñiga|46044")</f>
        <v>José Raúl Zúñiga|46044</v>
      </c>
      <c r="O1956" s="7">
        <f>IFERROR(__xludf.DUMMYFUNCTION("""COMPUTED_VALUE"""),4.0)</f>
        <v>4</v>
      </c>
    </row>
    <row r="1957" ht="22.5" hidden="1" customHeight="1">
      <c r="A1957" s="8">
        <v>45915.35912278935</v>
      </c>
      <c r="B1957" s="9">
        <v>45915.0</v>
      </c>
      <c r="C1957" s="9" t="s">
        <v>86</v>
      </c>
      <c r="D1957" s="9" t="s">
        <v>258</v>
      </c>
      <c r="E1957" s="9" t="s">
        <v>17</v>
      </c>
      <c r="F1957" s="9" t="s">
        <v>17</v>
      </c>
      <c r="G1957" s="9" t="s">
        <v>24</v>
      </c>
      <c r="H1957" s="9" t="s">
        <v>17</v>
      </c>
      <c r="I1957" s="9" t="s">
        <v>20</v>
      </c>
      <c r="J1957" s="10"/>
      <c r="K1957" s="7" t="s">
        <v>398</v>
      </c>
      <c r="L1957" s="7"/>
      <c r="M1957" s="7"/>
      <c r="N1957" s="7" t="str">
        <f>IFERROR(__xludf.DUMMYFUNCTION("""COMPUTED_VALUE"""),"Miguel Vázquez|46044")</f>
        <v>Miguel Vázquez|46044</v>
      </c>
      <c r="O1957" s="7">
        <f>IFERROR(__xludf.DUMMYFUNCTION("""COMPUTED_VALUE"""),3.0)</f>
        <v>3</v>
      </c>
    </row>
    <row r="1958" ht="22.5" hidden="1" customHeight="1">
      <c r="A1958" s="8">
        <v>45915.35981378472</v>
      </c>
      <c r="B1958" s="9">
        <v>45915.0</v>
      </c>
      <c r="C1958" s="9" t="s">
        <v>86</v>
      </c>
      <c r="D1958" s="9" t="s">
        <v>280</v>
      </c>
      <c r="E1958" s="9" t="s">
        <v>17</v>
      </c>
      <c r="F1958" s="9" t="s">
        <v>17</v>
      </c>
      <c r="G1958" s="9" t="s">
        <v>24</v>
      </c>
      <c r="H1958" s="9" t="s">
        <v>17</v>
      </c>
      <c r="I1958" s="9" t="s">
        <v>20</v>
      </c>
      <c r="J1958" s="10"/>
      <c r="K1958" s="7" t="s">
        <v>398</v>
      </c>
      <c r="L1958" s="7"/>
      <c r="M1958" s="7"/>
      <c r="N1958" s="7" t="str">
        <f>IFERROR(__xludf.DUMMYFUNCTION("""COMPUTED_VALUE"""),"Aaron Mejia|46044")</f>
        <v>Aaron Mejia|46044</v>
      </c>
      <c r="O1958" s="7">
        <f>IFERROR(__xludf.DUMMYFUNCTION("""COMPUTED_VALUE"""),4.0)</f>
        <v>4</v>
      </c>
    </row>
    <row r="1959" ht="22.5" hidden="1" customHeight="1">
      <c r="A1959" s="8">
        <v>45915.36003119213</v>
      </c>
      <c r="B1959" s="9">
        <v>45915.0</v>
      </c>
      <c r="C1959" s="9" t="s">
        <v>86</v>
      </c>
      <c r="D1959" s="9" t="s">
        <v>177</v>
      </c>
      <c r="E1959" s="9" t="s">
        <v>46</v>
      </c>
      <c r="F1959" s="9" t="s">
        <v>17</v>
      </c>
      <c r="G1959" s="9" t="s">
        <v>24</v>
      </c>
      <c r="H1959" s="9" t="s">
        <v>17</v>
      </c>
      <c r="I1959" s="9" t="s">
        <v>20</v>
      </c>
      <c r="J1959" s="10"/>
      <c r="K1959" s="7" t="s">
        <v>398</v>
      </c>
      <c r="L1959" s="7"/>
      <c r="M1959" s="7"/>
      <c r="N1959" s="7" t="str">
        <f>IFERROR(__xludf.DUMMYFUNCTION("""COMPUTED_VALUE"""),"Rodrigo Dourado|46044")</f>
        <v>Rodrigo Dourado|46044</v>
      </c>
      <c r="O1959" s="7">
        <f>IFERROR(__xludf.DUMMYFUNCTION("""COMPUTED_VALUE"""),5.0)</f>
        <v>5</v>
      </c>
    </row>
    <row r="1960" ht="22.5" hidden="1" customHeight="1">
      <c r="A1960" s="8">
        <v>45915.360451307875</v>
      </c>
      <c r="B1960" s="9">
        <v>45915.0</v>
      </c>
      <c r="C1960" s="9" t="s">
        <v>86</v>
      </c>
      <c r="D1960" s="9" t="s">
        <v>393</v>
      </c>
      <c r="E1960" s="9" t="s">
        <v>17</v>
      </c>
      <c r="F1960" s="9" t="s">
        <v>17</v>
      </c>
      <c r="G1960" s="9" t="s">
        <v>24</v>
      </c>
      <c r="H1960" s="9" t="s">
        <v>22</v>
      </c>
      <c r="I1960" s="9" t="s">
        <v>20</v>
      </c>
      <c r="J1960" s="10"/>
      <c r="K1960" s="7" t="s">
        <v>398</v>
      </c>
      <c r="L1960" s="7"/>
      <c r="M1960" s="7"/>
      <c r="N1960" s="7" t="str">
        <f>IFERROR(__xludf.DUMMYFUNCTION("""COMPUTED_VALUE"""),"Igor Lichnovsky|46044")</f>
        <v>Igor Lichnovsky|46044</v>
      </c>
      <c r="O1960" s="7">
        <f>IFERROR(__xludf.DUMMYFUNCTION("""COMPUTED_VALUE"""),3.0)</f>
        <v>3</v>
      </c>
    </row>
    <row r="1961" ht="22.5" hidden="1" customHeight="1">
      <c r="A1961" s="8">
        <v>45915.36087820602</v>
      </c>
      <c r="B1961" s="9">
        <v>45915.0</v>
      </c>
      <c r="C1961" s="9" t="s">
        <v>86</v>
      </c>
      <c r="D1961" s="9" t="s">
        <v>249</v>
      </c>
      <c r="E1961" s="9" t="s">
        <v>17</v>
      </c>
      <c r="F1961" s="9" t="s">
        <v>17</v>
      </c>
      <c r="G1961" s="9" t="s">
        <v>24</v>
      </c>
      <c r="H1961" s="9" t="s">
        <v>22</v>
      </c>
      <c r="I1961" s="9" t="s">
        <v>20</v>
      </c>
      <c r="J1961" s="10"/>
      <c r="K1961" s="7" t="s">
        <v>398</v>
      </c>
      <c r="L1961" s="7"/>
      <c r="M1961" s="7"/>
      <c r="N1961" s="7" t="str">
        <f>IFERROR(__xludf.DUMMYFUNCTION("""COMPUTED_VALUE"""),"Víctor Dávila|46044")</f>
        <v>Víctor Dávila|46044</v>
      </c>
      <c r="O1961" s="7">
        <f>IFERROR(__xludf.DUMMYFUNCTION("""COMPUTED_VALUE"""),4.0)</f>
        <v>4</v>
      </c>
    </row>
    <row r="1962" ht="22.5" hidden="1" customHeight="1">
      <c r="A1962" s="8">
        <v>45915.361059965275</v>
      </c>
      <c r="B1962" s="9">
        <v>45915.0</v>
      </c>
      <c r="C1962" s="9" t="s">
        <v>86</v>
      </c>
      <c r="D1962" s="9" t="s">
        <v>335</v>
      </c>
      <c r="E1962" s="9" t="s">
        <v>17</v>
      </c>
      <c r="F1962" s="9" t="s">
        <v>17</v>
      </c>
      <c r="G1962" s="9" t="s">
        <v>24</v>
      </c>
      <c r="H1962" s="9" t="s">
        <v>22</v>
      </c>
      <c r="I1962" s="9" t="s">
        <v>20</v>
      </c>
      <c r="J1962" s="10"/>
      <c r="K1962" s="7" t="s">
        <v>398</v>
      </c>
      <c r="L1962" s="7"/>
      <c r="M1962" s="7"/>
      <c r="N1962" s="7" t="str">
        <f>IFERROR(__xludf.DUMMYFUNCTION("""COMPUTED_VALUE"""),"Brian Rodríguez|46044")</f>
        <v>Brian Rodríguez|46044</v>
      </c>
      <c r="O1962" s="7">
        <f>IFERROR(__xludf.DUMMYFUNCTION("""COMPUTED_VALUE"""),3.0)</f>
        <v>3</v>
      </c>
    </row>
    <row r="1963" ht="22.5" hidden="1" customHeight="1">
      <c r="A1963" s="8">
        <v>45915.36157605324</v>
      </c>
      <c r="B1963" s="9">
        <v>45915.0</v>
      </c>
      <c r="C1963" s="9" t="s">
        <v>86</v>
      </c>
      <c r="D1963" s="9" t="s">
        <v>174</v>
      </c>
      <c r="E1963" s="9" t="s">
        <v>17</v>
      </c>
      <c r="F1963" s="9" t="s">
        <v>17</v>
      </c>
      <c r="G1963" s="9" t="s">
        <v>24</v>
      </c>
      <c r="H1963" s="9" t="s">
        <v>22</v>
      </c>
      <c r="I1963" s="9" t="s">
        <v>20</v>
      </c>
      <c r="J1963" s="10"/>
      <c r="K1963" s="7" t="s">
        <v>398</v>
      </c>
      <c r="L1963" s="7"/>
      <c r="M1963" s="7"/>
      <c r="N1963" s="7" t="str">
        <f>IFERROR(__xludf.DUMMYFUNCTION("""COMPUTED_VALUE"""),"Cristian Borja|46044")</f>
        <v>Cristian Borja|46044</v>
      </c>
      <c r="O1963" s="7">
        <f>IFERROR(__xludf.DUMMYFUNCTION("""COMPUTED_VALUE"""),3.0)</f>
        <v>3</v>
      </c>
    </row>
    <row r="1964" ht="22.5" hidden="1" customHeight="1">
      <c r="A1964" s="8">
        <v>45915.36177186343</v>
      </c>
      <c r="B1964" s="9">
        <v>45915.0</v>
      </c>
      <c r="C1964" s="9" t="s">
        <v>86</v>
      </c>
      <c r="D1964" s="9" t="s">
        <v>171</v>
      </c>
      <c r="E1964" s="9" t="s">
        <v>17</v>
      </c>
      <c r="F1964" s="9" t="s">
        <v>17</v>
      </c>
      <c r="G1964" s="9" t="s">
        <v>24</v>
      </c>
      <c r="H1964" s="9" t="s">
        <v>17</v>
      </c>
      <c r="I1964" s="9" t="s">
        <v>20</v>
      </c>
      <c r="J1964" s="10"/>
      <c r="K1964" s="7" t="s">
        <v>398</v>
      </c>
      <c r="L1964" s="7"/>
      <c r="M1964" s="7"/>
      <c r="N1964" s="7" t="str">
        <f>IFERROR(__xludf.DUMMYFUNCTION("""COMPUTED_VALUE"""),"Néstor Araujo|46045")</f>
        <v>Néstor Araujo|46045</v>
      </c>
      <c r="O1964" s="7">
        <f>IFERROR(__xludf.DUMMYFUNCTION("""COMPUTED_VALUE"""),4.0)</f>
        <v>4</v>
      </c>
    </row>
    <row r="1965" ht="22.5" hidden="1" customHeight="1">
      <c r="A1965" s="8">
        <v>45915.3879469213</v>
      </c>
      <c r="B1965" s="9">
        <v>45915.0</v>
      </c>
      <c r="C1965" s="9" t="s">
        <v>86</v>
      </c>
      <c r="D1965" s="9" t="s">
        <v>259</v>
      </c>
      <c r="E1965" s="9" t="s">
        <v>17</v>
      </c>
      <c r="F1965" s="9" t="s">
        <v>18</v>
      </c>
      <c r="G1965" s="9" t="s">
        <v>19</v>
      </c>
      <c r="H1965" s="9" t="s">
        <v>17</v>
      </c>
      <c r="I1965" s="9" t="s">
        <v>20</v>
      </c>
      <c r="J1965" s="10"/>
      <c r="K1965" s="7" t="s">
        <v>398</v>
      </c>
      <c r="L1965" s="7"/>
      <c r="M1965" s="7"/>
      <c r="N1965" s="7" t="str">
        <f>IFERROR(__xludf.DUMMYFUNCTION("""COMPUTED_VALUE"""),"Erick Sánchez|46045")</f>
        <v>Erick Sánchez|46045</v>
      </c>
      <c r="O1965" s="7">
        <f>IFERROR(__xludf.DUMMYFUNCTION("""COMPUTED_VALUE"""),4.0)</f>
        <v>4</v>
      </c>
    </row>
    <row r="1966" ht="22.5" hidden="1" customHeight="1">
      <c r="A1966" s="8">
        <v>45915.38813770833</v>
      </c>
      <c r="B1966" s="9">
        <v>45915.0</v>
      </c>
      <c r="C1966" s="9" t="s">
        <v>86</v>
      </c>
      <c r="D1966" s="9" t="s">
        <v>247</v>
      </c>
      <c r="E1966" s="9" t="s">
        <v>17</v>
      </c>
      <c r="F1966" s="9" t="s">
        <v>17</v>
      </c>
      <c r="G1966" s="9" t="s">
        <v>24</v>
      </c>
      <c r="H1966" s="9" t="s">
        <v>17</v>
      </c>
      <c r="I1966" s="9" t="s">
        <v>20</v>
      </c>
      <c r="J1966" s="10"/>
      <c r="K1966" s="7" t="s">
        <v>398</v>
      </c>
      <c r="L1966" s="7"/>
      <c r="M1966" s="7"/>
      <c r="N1966" s="7" t="str">
        <f>IFERROR(__xludf.DUMMYFUNCTION("""COMPUTED_VALUE"""),"Brian Rodríguez|46045")</f>
        <v>Brian Rodríguez|46045</v>
      </c>
      <c r="O1966" s="7">
        <f>IFERROR(__xludf.DUMMYFUNCTION("""COMPUTED_VALUE"""),2.0)</f>
        <v>2</v>
      </c>
    </row>
    <row r="1967" ht="22.5" hidden="1" customHeight="1">
      <c r="A1967" s="8">
        <v>45915.38831876157</v>
      </c>
      <c r="B1967" s="9">
        <v>45915.0</v>
      </c>
      <c r="C1967" s="9" t="s">
        <v>86</v>
      </c>
      <c r="D1967" s="9" t="s">
        <v>175</v>
      </c>
      <c r="E1967" s="9" t="s">
        <v>17</v>
      </c>
      <c r="F1967" s="9" t="s">
        <v>17</v>
      </c>
      <c r="G1967" s="9" t="s">
        <v>24</v>
      </c>
      <c r="H1967" s="9" t="s">
        <v>17</v>
      </c>
      <c r="I1967" s="9" t="s">
        <v>20</v>
      </c>
      <c r="J1967" s="10"/>
      <c r="K1967" s="7" t="s">
        <v>398</v>
      </c>
      <c r="L1967" s="7"/>
      <c r="M1967" s="7"/>
      <c r="N1967" s="7" t="str">
        <f>IFERROR(__xludf.DUMMYFUNCTION("""COMPUTED_VALUE"""),"Allan Saint-Maximin|46045")</f>
        <v>Allan Saint-Maximin|46045</v>
      </c>
      <c r="O1967" s="7">
        <f>IFERROR(__xludf.DUMMYFUNCTION("""COMPUTED_VALUE"""),5.0)</f>
        <v>5</v>
      </c>
    </row>
    <row r="1968" ht="22.5" hidden="1" customHeight="1">
      <c r="A1968" s="8">
        <v>45915.38853511574</v>
      </c>
      <c r="B1968" s="9">
        <v>45915.0</v>
      </c>
      <c r="C1968" s="9" t="s">
        <v>86</v>
      </c>
      <c r="D1968" s="9" t="s">
        <v>210</v>
      </c>
      <c r="E1968" s="9" t="s">
        <v>17</v>
      </c>
      <c r="F1968" s="9" t="s">
        <v>17</v>
      </c>
      <c r="G1968" s="9" t="s">
        <v>24</v>
      </c>
      <c r="H1968" s="9" t="s">
        <v>22</v>
      </c>
      <c r="I1968" s="9" t="s">
        <v>20</v>
      </c>
      <c r="J1968" s="10"/>
      <c r="K1968" s="7" t="s">
        <v>398</v>
      </c>
      <c r="L1968" s="7"/>
      <c r="M1968" s="7"/>
      <c r="N1968" s="7" t="str">
        <f>IFERROR(__xludf.DUMMYFUNCTION("""COMPUTED_VALUE"""),"Cristian Borja|46045")</f>
        <v>Cristian Borja|46045</v>
      </c>
      <c r="O1968" s="7">
        <f>IFERROR(__xludf.DUMMYFUNCTION("""COMPUTED_VALUE"""),3.0)</f>
        <v>3</v>
      </c>
    </row>
    <row r="1969" ht="22.5" hidden="1" customHeight="1">
      <c r="A1969" s="8">
        <v>45915.38873510416</v>
      </c>
      <c r="B1969" s="9">
        <v>45915.0</v>
      </c>
      <c r="C1969" s="9" t="s">
        <v>86</v>
      </c>
      <c r="D1969" s="9" t="s">
        <v>223</v>
      </c>
      <c r="E1969" s="9" t="s">
        <v>17</v>
      </c>
      <c r="F1969" s="9" t="s">
        <v>17</v>
      </c>
      <c r="G1969" s="9" t="s">
        <v>24</v>
      </c>
      <c r="H1969" s="9" t="s">
        <v>17</v>
      </c>
      <c r="I1969" s="9" t="s">
        <v>20</v>
      </c>
      <c r="J1969" s="10"/>
      <c r="K1969" s="7" t="s">
        <v>398</v>
      </c>
      <c r="L1969" s="7"/>
      <c r="M1969" s="7"/>
      <c r="N1969" s="7" t="str">
        <f>IFERROR(__xludf.DUMMYFUNCTION("""COMPUTED_VALUE"""),"Patricio Salas|46045")</f>
        <v>Patricio Salas|46045</v>
      </c>
      <c r="O1969" s="7">
        <f>IFERROR(__xludf.DUMMYFUNCTION("""COMPUTED_VALUE"""),3.0)</f>
        <v>3</v>
      </c>
    </row>
    <row r="1970" ht="22.5" hidden="1" customHeight="1">
      <c r="A1970" s="8">
        <v>45915.38889826389</v>
      </c>
      <c r="B1970" s="9">
        <v>45915.0</v>
      </c>
      <c r="C1970" s="9" t="s">
        <v>86</v>
      </c>
      <c r="D1970" s="9" t="s">
        <v>396</v>
      </c>
      <c r="E1970" s="9" t="s">
        <v>17</v>
      </c>
      <c r="F1970" s="9" t="s">
        <v>17</v>
      </c>
      <c r="G1970" s="9" t="s">
        <v>24</v>
      </c>
      <c r="H1970" s="9" t="s">
        <v>17</v>
      </c>
      <c r="I1970" s="9" t="s">
        <v>20</v>
      </c>
      <c r="J1970" s="10"/>
      <c r="K1970" s="7" t="s">
        <v>398</v>
      </c>
      <c r="L1970" s="7"/>
      <c r="M1970" s="7"/>
      <c r="N1970" s="7" t="str">
        <f>IFERROR(__xludf.DUMMYFUNCTION("""COMPUTED_VALUE"""),"Santiago Naveda|46045")</f>
        <v>Santiago Naveda|46045</v>
      </c>
      <c r="O1970" s="7">
        <f>IFERROR(__xludf.DUMMYFUNCTION("""COMPUTED_VALUE"""),4.0)</f>
        <v>4</v>
      </c>
    </row>
    <row r="1971" ht="22.5" hidden="1" customHeight="1">
      <c r="A1971" s="8">
        <v>45915.38972561342</v>
      </c>
      <c r="B1971" s="9">
        <v>45915.0</v>
      </c>
      <c r="C1971" s="9" t="s">
        <v>86</v>
      </c>
      <c r="D1971" s="9" t="s">
        <v>168</v>
      </c>
      <c r="E1971" s="9" t="s">
        <v>17</v>
      </c>
      <c r="F1971" s="9" t="s">
        <v>17</v>
      </c>
      <c r="G1971" s="9" t="s">
        <v>24</v>
      </c>
      <c r="H1971" s="9" t="s">
        <v>25</v>
      </c>
      <c r="I1971" s="9" t="s">
        <v>240</v>
      </c>
      <c r="J1971" s="10"/>
      <c r="K1971" s="7" t="s">
        <v>398</v>
      </c>
      <c r="L1971" s="7"/>
      <c r="M1971" s="7"/>
      <c r="N1971" s="7" t="str">
        <f>IFERROR(__xludf.DUMMYFUNCTION("""COMPUTED_VALUE"""),"Rodrigo Dourado|46045")</f>
        <v>Rodrigo Dourado|46045</v>
      </c>
      <c r="O1971" s="7">
        <f>IFERROR(__xludf.DUMMYFUNCTION("""COMPUTED_VALUE"""),3.0)</f>
        <v>3</v>
      </c>
    </row>
    <row r="1972" ht="22.5" hidden="1" customHeight="1">
      <c r="A1972" s="8">
        <v>45915.40587287037</v>
      </c>
      <c r="B1972" s="9">
        <v>45915.0</v>
      </c>
      <c r="C1972" s="9" t="s">
        <v>86</v>
      </c>
      <c r="D1972" s="9" t="s">
        <v>397</v>
      </c>
      <c r="E1972" s="9" t="s">
        <v>17</v>
      </c>
      <c r="F1972" s="9" t="s">
        <v>17</v>
      </c>
      <c r="G1972" s="9" t="s">
        <v>24</v>
      </c>
      <c r="H1972" s="9" t="s">
        <v>22</v>
      </c>
      <c r="I1972" s="9" t="s">
        <v>20</v>
      </c>
      <c r="J1972" s="10"/>
      <c r="K1972" s="1" t="s">
        <v>398</v>
      </c>
      <c r="L1972" s="7"/>
      <c r="M1972" s="7"/>
      <c r="N1972" s="7" t="str">
        <f>IFERROR(__xludf.DUMMYFUNCTION("""COMPUTED_VALUE"""),"Alan Cervantes|46045")</f>
        <v>Alan Cervantes|46045</v>
      </c>
      <c r="O1972" s="7">
        <f>IFERROR(__xludf.DUMMYFUNCTION("""COMPUTED_VALUE"""),4.0)</f>
        <v>4</v>
      </c>
    </row>
    <row r="1973" ht="22.5" hidden="1" customHeight="1">
      <c r="A1973" s="8">
        <v>45915.41061712963</v>
      </c>
      <c r="B1973" s="9">
        <v>45915.0</v>
      </c>
      <c r="C1973" s="9" t="s">
        <v>86</v>
      </c>
      <c r="D1973" s="9" t="s">
        <v>361</v>
      </c>
      <c r="E1973" s="9" t="s">
        <v>17</v>
      </c>
      <c r="F1973" s="9" t="s">
        <v>17</v>
      </c>
      <c r="G1973" s="9" t="s">
        <v>24</v>
      </c>
      <c r="H1973" s="9" t="s">
        <v>17</v>
      </c>
      <c r="I1973" s="9" t="s">
        <v>20</v>
      </c>
      <c r="J1973" s="10"/>
      <c r="K1973" s="7" t="s">
        <v>398</v>
      </c>
      <c r="L1973" s="7"/>
      <c r="M1973" s="7"/>
      <c r="N1973" s="7" t="str">
        <f>IFERROR(__xludf.DUMMYFUNCTION("""COMPUTED_VALUE"""),"Isaías Violante|46045")</f>
        <v>Isaías Violante|46045</v>
      </c>
      <c r="O1973" s="7">
        <f>IFERROR(__xludf.DUMMYFUNCTION("""COMPUTED_VALUE"""),3.0)</f>
        <v>3</v>
      </c>
    </row>
    <row r="1974" ht="22.5" hidden="1" customHeight="1">
      <c r="A1974" s="8">
        <v>45915.41088659722</v>
      </c>
      <c r="B1974" s="9">
        <v>45915.0</v>
      </c>
      <c r="C1974" s="9" t="s">
        <v>86</v>
      </c>
      <c r="D1974" s="9" t="s">
        <v>395</v>
      </c>
      <c r="E1974" s="9" t="s">
        <v>17</v>
      </c>
      <c r="F1974" s="9" t="s">
        <v>17</v>
      </c>
      <c r="G1974" s="9" t="s">
        <v>24</v>
      </c>
      <c r="H1974" s="9" t="s">
        <v>17</v>
      </c>
      <c r="I1974" s="9" t="s">
        <v>20</v>
      </c>
      <c r="J1974" s="10"/>
      <c r="K1974" s="7" t="s">
        <v>398</v>
      </c>
      <c r="L1974" s="7"/>
      <c r="M1974" s="7"/>
      <c r="N1974" s="7" t="str">
        <f>IFERROR(__xludf.DUMMYFUNCTION("""COMPUTED_VALUE"""),"Kevin Álvarez|46045")</f>
        <v>Kevin Álvarez|46045</v>
      </c>
      <c r="O1974" s="7">
        <f>IFERROR(__xludf.DUMMYFUNCTION("""COMPUTED_VALUE"""),4.0)</f>
        <v>4</v>
      </c>
    </row>
    <row r="1975" ht="22.5" hidden="1" customHeight="1">
      <c r="A1975" s="8">
        <v>45916.396026250004</v>
      </c>
      <c r="B1975" s="9">
        <v>45916.0</v>
      </c>
      <c r="C1975" s="9" t="s">
        <v>110</v>
      </c>
      <c r="D1975" s="9" t="s">
        <v>223</v>
      </c>
      <c r="E1975" s="9" t="s">
        <v>17</v>
      </c>
      <c r="F1975" s="9" t="s">
        <v>17</v>
      </c>
      <c r="G1975" s="9" t="s">
        <v>24</v>
      </c>
      <c r="H1975" s="9" t="s">
        <v>17</v>
      </c>
      <c r="I1975" s="9" t="s">
        <v>20</v>
      </c>
      <c r="J1975" s="10"/>
      <c r="K1975" s="7" t="s">
        <v>398</v>
      </c>
      <c r="L1975" s="7"/>
      <c r="M1975" s="7"/>
      <c r="N1975" s="7" t="str">
        <f>IFERROR(__xludf.DUMMYFUNCTION("""COMPUTED_VALUE"""),"Igor Lichnovsky|46045")</f>
        <v>Igor Lichnovsky|46045</v>
      </c>
      <c r="O1975" s="7">
        <f>IFERROR(__xludf.DUMMYFUNCTION("""COMPUTED_VALUE"""),3.0)</f>
        <v>3</v>
      </c>
    </row>
    <row r="1976" ht="22.5" hidden="1" customHeight="1">
      <c r="A1976" s="8">
        <v>45916.39632185185</v>
      </c>
      <c r="B1976" s="9">
        <v>45916.0</v>
      </c>
      <c r="C1976" s="9" t="s">
        <v>110</v>
      </c>
      <c r="D1976" s="9" t="s">
        <v>210</v>
      </c>
      <c r="E1976" s="9" t="s">
        <v>17</v>
      </c>
      <c r="F1976" s="9" t="s">
        <v>17</v>
      </c>
      <c r="G1976" s="9" t="s">
        <v>24</v>
      </c>
      <c r="H1976" s="9" t="s">
        <v>22</v>
      </c>
      <c r="I1976" s="9" t="s">
        <v>20</v>
      </c>
      <c r="J1976" s="10"/>
      <c r="K1976" s="7" t="s">
        <v>398</v>
      </c>
      <c r="L1976" s="7"/>
      <c r="M1976" s="7"/>
      <c r="N1976" s="7" t="str">
        <f>IFERROR(__xludf.DUMMYFUNCTION("""COMPUTED_VALUE"""),"Aaron Mejia|46045")</f>
        <v>Aaron Mejia|46045</v>
      </c>
      <c r="O1976" s="7">
        <f>IFERROR(__xludf.DUMMYFUNCTION("""COMPUTED_VALUE"""),3.0)</f>
        <v>3</v>
      </c>
    </row>
    <row r="1977" ht="22.5" hidden="1" customHeight="1">
      <c r="A1977" s="8">
        <v>45916.39653814815</v>
      </c>
      <c r="B1977" s="9">
        <v>45916.0</v>
      </c>
      <c r="C1977" s="9" t="s">
        <v>110</v>
      </c>
      <c r="D1977" s="9" t="s">
        <v>249</v>
      </c>
      <c r="E1977" s="9" t="s">
        <v>17</v>
      </c>
      <c r="F1977" s="9" t="s">
        <v>17</v>
      </c>
      <c r="G1977" s="9" t="s">
        <v>24</v>
      </c>
      <c r="H1977" s="9" t="s">
        <v>22</v>
      </c>
      <c r="I1977" s="9" t="s">
        <v>20</v>
      </c>
      <c r="J1977" s="10"/>
      <c r="K1977" s="7" t="s">
        <v>398</v>
      </c>
      <c r="L1977" s="7"/>
      <c r="M1977" s="7"/>
      <c r="N1977" s="7" t="str">
        <f>IFERROR(__xludf.DUMMYFUNCTION("""COMPUTED_VALUE"""),"Álvaro Fidalgo|46045")</f>
        <v>Álvaro Fidalgo|46045</v>
      </c>
      <c r="O1977" s="7">
        <f>IFERROR(__xludf.DUMMYFUNCTION("""COMPUTED_VALUE"""),3.0)</f>
        <v>3</v>
      </c>
    </row>
    <row r="1978" ht="22.5" hidden="1" customHeight="1">
      <c r="A1978" s="8">
        <v>45916.396749374995</v>
      </c>
      <c r="B1978" s="9">
        <v>45916.0</v>
      </c>
      <c r="C1978" s="9" t="s">
        <v>110</v>
      </c>
      <c r="D1978" s="9" t="s">
        <v>258</v>
      </c>
      <c r="E1978" s="9" t="s">
        <v>17</v>
      </c>
      <c r="F1978" s="9" t="s">
        <v>17</v>
      </c>
      <c r="G1978" s="9" t="s">
        <v>24</v>
      </c>
      <c r="H1978" s="9" t="s">
        <v>22</v>
      </c>
      <c r="I1978" s="9" t="s">
        <v>20</v>
      </c>
      <c r="J1978" s="10"/>
      <c r="K1978" s="7" t="s">
        <v>398</v>
      </c>
      <c r="L1978" s="7"/>
      <c r="M1978" s="7"/>
      <c r="N1978" s="7" t="str">
        <f>IFERROR(__xludf.DUMMYFUNCTION("""COMPUTED_VALUE"""),"Jonathan Dos Santos|46045")</f>
        <v>Jonathan Dos Santos|46045</v>
      </c>
      <c r="O1978" s="7">
        <f>IFERROR(__xludf.DUMMYFUNCTION("""COMPUTED_VALUE"""),3.0)</f>
        <v>3</v>
      </c>
    </row>
    <row r="1979" ht="22.5" hidden="1" customHeight="1">
      <c r="A1979" s="8">
        <v>45916.396972476854</v>
      </c>
      <c r="B1979" s="9">
        <v>45916.0</v>
      </c>
      <c r="C1979" s="9" t="s">
        <v>110</v>
      </c>
      <c r="D1979" s="9" t="s">
        <v>174</v>
      </c>
      <c r="E1979" s="9" t="s">
        <v>17</v>
      </c>
      <c r="F1979" s="9" t="s">
        <v>17</v>
      </c>
      <c r="G1979" s="9" t="s">
        <v>24</v>
      </c>
      <c r="H1979" s="9" t="s">
        <v>22</v>
      </c>
      <c r="I1979" s="9" t="s">
        <v>20</v>
      </c>
      <c r="J1979" s="10"/>
      <c r="K1979" s="7" t="s">
        <v>398</v>
      </c>
      <c r="L1979" s="7"/>
      <c r="M1979" s="7"/>
      <c r="N1979" s="7" t="str">
        <f>IFERROR(__xludf.DUMMYFUNCTION("""COMPUTED_VALUE"""),"José Raúl Zúñiga|46045")</f>
        <v>José Raúl Zúñiga|46045</v>
      </c>
      <c r="O1979" s="7">
        <f>IFERROR(__xludf.DUMMYFUNCTION("""COMPUTED_VALUE"""),3.0)</f>
        <v>3</v>
      </c>
    </row>
    <row r="1980" ht="22.5" hidden="1" customHeight="1">
      <c r="A1980" s="8">
        <v>45916.397191296295</v>
      </c>
      <c r="B1980" s="9">
        <v>45916.0</v>
      </c>
      <c r="C1980" s="9" t="s">
        <v>110</v>
      </c>
      <c r="D1980" s="9" t="s">
        <v>361</v>
      </c>
      <c r="E1980" s="9" t="s">
        <v>17</v>
      </c>
      <c r="F1980" s="9" t="s">
        <v>17</v>
      </c>
      <c r="G1980" s="9" t="s">
        <v>24</v>
      </c>
      <c r="H1980" s="9" t="s">
        <v>22</v>
      </c>
      <c r="I1980" s="9" t="s">
        <v>20</v>
      </c>
      <c r="J1980" s="10"/>
      <c r="K1980" s="7" t="s">
        <v>398</v>
      </c>
      <c r="L1980" s="7"/>
      <c r="M1980" s="7"/>
      <c r="N1980" s="7" t="str">
        <f>IFERROR(__xludf.DUMMYFUNCTION("""COMPUTED_VALUE"""),"Henry Martín|46045")</f>
        <v>Henry Martín|46045</v>
      </c>
      <c r="O1980" s="7">
        <f>IFERROR(__xludf.DUMMYFUNCTION("""COMPUTED_VALUE"""),4.0)</f>
        <v>4</v>
      </c>
    </row>
    <row r="1981" ht="22.5" hidden="1" customHeight="1">
      <c r="A1981" s="8">
        <v>45916.397969513884</v>
      </c>
      <c r="B1981" s="9">
        <v>45916.0</v>
      </c>
      <c r="C1981" s="9" t="s">
        <v>110</v>
      </c>
      <c r="D1981" s="9" t="s">
        <v>171</v>
      </c>
      <c r="E1981" s="9" t="s">
        <v>17</v>
      </c>
      <c r="F1981" s="9" t="s">
        <v>17</v>
      </c>
      <c r="G1981" s="9" t="s">
        <v>24</v>
      </c>
      <c r="H1981" s="9" t="s">
        <v>17</v>
      </c>
      <c r="I1981" s="9" t="s">
        <v>20</v>
      </c>
      <c r="J1981" s="10"/>
      <c r="K1981" s="7" t="s">
        <v>398</v>
      </c>
      <c r="L1981" s="7"/>
      <c r="M1981" s="7"/>
      <c r="N1981" s="7" t="str">
        <f>IFERROR(__xludf.DUMMYFUNCTION("""COMPUTED_VALUE"""),"Miguel Vázquez|46045")</f>
        <v>Miguel Vázquez|46045</v>
      </c>
      <c r="O1981" s="7">
        <f>IFERROR(__xludf.DUMMYFUNCTION("""COMPUTED_VALUE"""),3.0)</f>
        <v>3</v>
      </c>
    </row>
    <row r="1982" ht="22.5" hidden="1" customHeight="1">
      <c r="A1982" s="8">
        <v>45916.39928375</v>
      </c>
      <c r="B1982" s="9">
        <v>45916.0</v>
      </c>
      <c r="C1982" s="9" t="s">
        <v>110</v>
      </c>
      <c r="D1982" s="9" t="s">
        <v>397</v>
      </c>
      <c r="E1982" s="9" t="s">
        <v>17</v>
      </c>
      <c r="F1982" s="9" t="s">
        <v>60</v>
      </c>
      <c r="G1982" s="9" t="s">
        <v>40</v>
      </c>
      <c r="H1982" s="9" t="s">
        <v>22</v>
      </c>
      <c r="I1982" s="9" t="s">
        <v>20</v>
      </c>
      <c r="J1982" s="10"/>
      <c r="K1982" s="1" t="s">
        <v>398</v>
      </c>
      <c r="L1982" s="7"/>
      <c r="M1982" s="7"/>
      <c r="N1982" s="7" t="str">
        <f>IFERROR(__xludf.DUMMYFUNCTION("""COMPUTED_VALUE"""),"Víctor Dávila|46045")</f>
        <v>Víctor Dávila|46045</v>
      </c>
      <c r="O1982" s="7">
        <f>IFERROR(__xludf.DUMMYFUNCTION("""COMPUTED_VALUE"""),3.0)</f>
        <v>3</v>
      </c>
    </row>
    <row r="1983" ht="22.5" hidden="1" customHeight="1">
      <c r="A1983" s="8">
        <v>45916.40042868056</v>
      </c>
      <c r="B1983" s="9">
        <v>45916.0</v>
      </c>
      <c r="C1983" s="9" t="s">
        <v>110</v>
      </c>
      <c r="D1983" s="9" t="s">
        <v>395</v>
      </c>
      <c r="E1983" s="9" t="s">
        <v>17</v>
      </c>
      <c r="F1983" s="9" t="s">
        <v>17</v>
      </c>
      <c r="G1983" s="9" t="s">
        <v>24</v>
      </c>
      <c r="H1983" s="9" t="s">
        <v>17</v>
      </c>
      <c r="I1983" s="9" t="s">
        <v>20</v>
      </c>
      <c r="J1983" s="10"/>
      <c r="K1983" s="7" t="s">
        <v>398</v>
      </c>
      <c r="L1983" s="7"/>
      <c r="M1983" s="7"/>
      <c r="N1983" s="7" t="str">
        <f>IFERROR(__xludf.DUMMYFUNCTION("""COMPUTED_VALUE"""),"Isaías Violante|46048")</f>
        <v>Isaías Violante|46048</v>
      </c>
      <c r="O1983" s="7">
        <f>IFERROR(__xludf.DUMMYFUNCTION("""COMPUTED_VALUE"""),3.0)</f>
        <v>3</v>
      </c>
    </row>
    <row r="1984" ht="22.5" hidden="1" customHeight="1">
      <c r="A1984" s="8">
        <v>45916.40056829861</v>
      </c>
      <c r="B1984" s="9">
        <v>45916.0</v>
      </c>
      <c r="C1984" s="9" t="s">
        <v>110</v>
      </c>
      <c r="D1984" s="9" t="s">
        <v>280</v>
      </c>
      <c r="E1984" s="9" t="s">
        <v>17</v>
      </c>
      <c r="F1984" s="9" t="s">
        <v>17</v>
      </c>
      <c r="G1984" s="9" t="s">
        <v>24</v>
      </c>
      <c r="H1984" s="9" t="s">
        <v>17</v>
      </c>
      <c r="I1984" s="9" t="s">
        <v>20</v>
      </c>
      <c r="J1984" s="10"/>
      <c r="K1984" s="7" t="s">
        <v>398</v>
      </c>
      <c r="L1984" s="7"/>
      <c r="M1984" s="7"/>
      <c r="N1984" s="7" t="str">
        <f>IFERROR(__xludf.DUMMYFUNCTION("""COMPUTED_VALUE"""),"Patricio Salas|46048")</f>
        <v>Patricio Salas|46048</v>
      </c>
      <c r="O1984" s="7">
        <f>IFERROR(__xludf.DUMMYFUNCTION("""COMPUTED_VALUE"""),5.0)</f>
        <v>5</v>
      </c>
    </row>
    <row r="1985" ht="22.5" hidden="1" customHeight="1">
      <c r="A1985" s="8">
        <v>45916.400979247686</v>
      </c>
      <c r="B1985" s="9">
        <v>45916.0</v>
      </c>
      <c r="C1985" s="9" t="s">
        <v>110</v>
      </c>
      <c r="D1985" s="9" t="s">
        <v>394</v>
      </c>
      <c r="E1985" s="9" t="s">
        <v>17</v>
      </c>
      <c r="F1985" s="9" t="s">
        <v>17</v>
      </c>
      <c r="G1985" s="9" t="s">
        <v>24</v>
      </c>
      <c r="H1985" s="9" t="s">
        <v>17</v>
      </c>
      <c r="I1985" s="9" t="s">
        <v>20</v>
      </c>
      <c r="J1985" s="10"/>
      <c r="K1985" s="7" t="s">
        <v>398</v>
      </c>
      <c r="L1985" s="7"/>
      <c r="M1985" s="7"/>
      <c r="N1985" s="7" t="str">
        <f>IFERROR(__xludf.DUMMYFUNCTION("""COMPUTED_VALUE"""),"Jonathan Dos Santos|46048")</f>
        <v>Jonathan Dos Santos|46048</v>
      </c>
      <c r="O1985" s="7">
        <f>IFERROR(__xludf.DUMMYFUNCTION("""COMPUTED_VALUE"""),3.0)</f>
        <v>3</v>
      </c>
    </row>
    <row r="1986" ht="22.5" hidden="1" customHeight="1">
      <c r="A1986" s="8">
        <v>45916.4015003588</v>
      </c>
      <c r="B1986" s="9">
        <v>45916.0</v>
      </c>
      <c r="C1986" s="9" t="s">
        <v>110</v>
      </c>
      <c r="D1986" s="9" t="s">
        <v>393</v>
      </c>
      <c r="E1986" s="9" t="s">
        <v>17</v>
      </c>
      <c r="F1986" s="9" t="s">
        <v>17</v>
      </c>
      <c r="G1986" s="9" t="s">
        <v>24</v>
      </c>
      <c r="H1986" s="9" t="s">
        <v>22</v>
      </c>
      <c r="I1986" s="9" t="s">
        <v>20</v>
      </c>
      <c r="J1986" s="10"/>
      <c r="K1986" s="7" t="s">
        <v>398</v>
      </c>
      <c r="L1986" s="7"/>
      <c r="M1986" s="7"/>
      <c r="N1986" s="7" t="str">
        <f>IFERROR(__xludf.DUMMYFUNCTION("""COMPUTED_VALUE"""),"Sebastián Cáceres|46048")</f>
        <v>Sebastián Cáceres|46048</v>
      </c>
      <c r="O1986" s="7">
        <f>IFERROR(__xludf.DUMMYFUNCTION("""COMPUTED_VALUE"""),4.0)</f>
        <v>4</v>
      </c>
    </row>
    <row r="1987" ht="22.5" hidden="1" customHeight="1">
      <c r="A1987" s="8">
        <v>45916.401664143516</v>
      </c>
      <c r="B1987" s="9">
        <v>45916.0</v>
      </c>
      <c r="C1987" s="9" t="s">
        <v>110</v>
      </c>
      <c r="D1987" s="9" t="s">
        <v>177</v>
      </c>
      <c r="E1987" s="9" t="s">
        <v>17</v>
      </c>
      <c r="F1987" s="9" t="s">
        <v>17</v>
      </c>
      <c r="G1987" s="9" t="s">
        <v>24</v>
      </c>
      <c r="H1987" s="9" t="s">
        <v>22</v>
      </c>
      <c r="I1987" s="9" t="s">
        <v>20</v>
      </c>
      <c r="J1987" s="10"/>
      <c r="K1987" s="7" t="s">
        <v>398</v>
      </c>
      <c r="L1987" s="7"/>
      <c r="M1987" s="7"/>
      <c r="N1987" s="7" t="str">
        <f>IFERROR(__xludf.DUMMYFUNCTION("""COMPUTED_VALUE"""),"José Raúl Zúñiga|46048")</f>
        <v>José Raúl Zúñiga|46048</v>
      </c>
      <c r="O1987" s="7">
        <f>IFERROR(__xludf.DUMMYFUNCTION("""COMPUTED_VALUE"""),3.0)</f>
        <v>3</v>
      </c>
    </row>
    <row r="1988" ht="22.5" hidden="1" customHeight="1">
      <c r="A1988" s="8">
        <v>45916.40223659722</v>
      </c>
      <c r="B1988" s="9">
        <v>45916.0</v>
      </c>
      <c r="C1988" s="9" t="s">
        <v>110</v>
      </c>
      <c r="D1988" s="9" t="s">
        <v>367</v>
      </c>
      <c r="E1988" s="9" t="s">
        <v>17</v>
      </c>
      <c r="F1988" s="9" t="s">
        <v>17</v>
      </c>
      <c r="G1988" s="9" t="s">
        <v>24</v>
      </c>
      <c r="H1988" s="9" t="s">
        <v>17</v>
      </c>
      <c r="I1988" s="9" t="s">
        <v>20</v>
      </c>
      <c r="J1988" s="10"/>
      <c r="K1988" s="7" t="s">
        <v>398</v>
      </c>
      <c r="L1988" s="7"/>
      <c r="M1988" s="7"/>
      <c r="N1988" s="7" t="str">
        <f>IFERROR(__xludf.DUMMYFUNCTION("""COMPUTED_VALUE"""),"Erick Sánchez|46048")</f>
        <v>Erick Sánchez|46048</v>
      </c>
      <c r="O1988" s="7">
        <f>IFERROR(__xludf.DUMMYFUNCTION("""COMPUTED_VALUE"""),5.0)</f>
        <v>5</v>
      </c>
    </row>
    <row r="1989" ht="22.5" hidden="1" customHeight="1">
      <c r="A1989" s="8">
        <v>45916.4027728588</v>
      </c>
      <c r="B1989" s="9">
        <v>45916.0</v>
      </c>
      <c r="C1989" s="9" t="s">
        <v>110</v>
      </c>
      <c r="D1989" s="9" t="s">
        <v>178</v>
      </c>
      <c r="E1989" s="9" t="s">
        <v>17</v>
      </c>
      <c r="F1989" s="9" t="s">
        <v>17</v>
      </c>
      <c r="G1989" s="9" t="s">
        <v>24</v>
      </c>
      <c r="H1989" s="9" t="s">
        <v>22</v>
      </c>
      <c r="I1989" s="9" t="s">
        <v>20</v>
      </c>
      <c r="J1989" s="10"/>
      <c r="K1989" s="7" t="s">
        <v>398</v>
      </c>
      <c r="L1989" s="7"/>
      <c r="M1989" s="7"/>
      <c r="N1989" s="7" t="str">
        <f>IFERROR(__xludf.DUMMYFUNCTION("""COMPUTED_VALUE"""),"Néstor Araujo|46048")</f>
        <v>Néstor Araujo|46048</v>
      </c>
      <c r="O1989" s="7">
        <f>IFERROR(__xludf.DUMMYFUNCTION("""COMPUTED_VALUE"""),3.0)</f>
        <v>3</v>
      </c>
    </row>
    <row r="1990" ht="22.5" hidden="1" customHeight="1">
      <c r="A1990" s="8">
        <v>45916.40760965278</v>
      </c>
      <c r="B1990" s="9">
        <v>45916.0</v>
      </c>
      <c r="C1990" s="9" t="s">
        <v>110</v>
      </c>
      <c r="D1990" s="9" t="s">
        <v>247</v>
      </c>
      <c r="E1990" s="9" t="s">
        <v>17</v>
      </c>
      <c r="F1990" s="9" t="s">
        <v>17</v>
      </c>
      <c r="G1990" s="9" t="s">
        <v>24</v>
      </c>
      <c r="H1990" s="9" t="s">
        <v>17</v>
      </c>
      <c r="I1990" s="9" t="s">
        <v>20</v>
      </c>
      <c r="J1990" s="10"/>
      <c r="K1990" s="7" t="s">
        <v>398</v>
      </c>
      <c r="L1990" s="7"/>
      <c r="M1990" s="7"/>
      <c r="N1990" s="7" t="str">
        <f>IFERROR(__xludf.DUMMYFUNCTION("""COMPUTED_VALUE"""),"Rodrigo Dourado|46048")</f>
        <v>Rodrigo Dourado|46048</v>
      </c>
      <c r="O1990" s="7">
        <f>IFERROR(__xludf.DUMMYFUNCTION("""COMPUTED_VALUE"""),5.0)</f>
        <v>5</v>
      </c>
    </row>
    <row r="1991" ht="22.5" hidden="1" customHeight="1">
      <c r="A1991" s="8">
        <v>45916.40778666666</v>
      </c>
      <c r="B1991" s="9">
        <v>45916.0</v>
      </c>
      <c r="C1991" s="9" t="s">
        <v>110</v>
      </c>
      <c r="D1991" s="9" t="s">
        <v>168</v>
      </c>
      <c r="E1991" s="9" t="s">
        <v>17</v>
      </c>
      <c r="F1991" s="9" t="s">
        <v>17</v>
      </c>
      <c r="G1991" s="9" t="s">
        <v>24</v>
      </c>
      <c r="H1991" s="9" t="s">
        <v>25</v>
      </c>
      <c r="I1991" s="9" t="s">
        <v>240</v>
      </c>
      <c r="J1991" s="10"/>
      <c r="K1991" s="7" t="s">
        <v>398</v>
      </c>
      <c r="L1991" s="7"/>
      <c r="M1991" s="7"/>
      <c r="N1991" s="7" t="str">
        <f>IFERROR(__xludf.DUMMYFUNCTION("""COMPUTED_VALUE"""),"Rodrigo Aguirre|46048")</f>
        <v>Rodrigo Aguirre|46048</v>
      </c>
      <c r="O1991" s="7">
        <f>IFERROR(__xludf.DUMMYFUNCTION("""COMPUTED_VALUE"""),4.0)</f>
        <v>4</v>
      </c>
    </row>
    <row r="1992" ht="22.5" hidden="1" customHeight="1">
      <c r="A1992" s="8">
        <v>45916.40800802084</v>
      </c>
      <c r="B1992" s="9">
        <v>45916.0</v>
      </c>
      <c r="C1992" s="9" t="s">
        <v>110</v>
      </c>
      <c r="D1992" s="9" t="s">
        <v>396</v>
      </c>
      <c r="E1992" s="9" t="s">
        <v>17</v>
      </c>
      <c r="F1992" s="9" t="s">
        <v>17</v>
      </c>
      <c r="G1992" s="9" t="s">
        <v>24</v>
      </c>
      <c r="H1992" s="9" t="s">
        <v>17</v>
      </c>
      <c r="I1992" s="9" t="s">
        <v>20</v>
      </c>
      <c r="J1992" s="10"/>
      <c r="K1992" s="7" t="s">
        <v>398</v>
      </c>
      <c r="L1992" s="7"/>
      <c r="M1992" s="7"/>
      <c r="N1992" s="7" t="str">
        <f>IFERROR(__xludf.DUMMYFUNCTION("""COMPUTED_VALUE"""),"Víctor Dávila|46048")</f>
        <v>Víctor Dávila|46048</v>
      </c>
      <c r="O1992" s="7">
        <f>IFERROR(__xludf.DUMMYFUNCTION("""COMPUTED_VALUE"""),4.0)</f>
        <v>4</v>
      </c>
    </row>
    <row r="1993" ht="22.5" hidden="1" customHeight="1">
      <c r="A1993" s="8">
        <v>45916.408183113424</v>
      </c>
      <c r="B1993" s="9">
        <v>45916.0</v>
      </c>
      <c r="C1993" s="9" t="s">
        <v>110</v>
      </c>
      <c r="D1993" s="9" t="s">
        <v>335</v>
      </c>
      <c r="E1993" s="9" t="s">
        <v>17</v>
      </c>
      <c r="F1993" s="9" t="s">
        <v>17</v>
      </c>
      <c r="G1993" s="9" t="s">
        <v>24</v>
      </c>
      <c r="H1993" s="9" t="s">
        <v>17</v>
      </c>
      <c r="I1993" s="9" t="s">
        <v>20</v>
      </c>
      <c r="J1993" s="10"/>
      <c r="K1993" s="7" t="s">
        <v>398</v>
      </c>
      <c r="L1993" s="7"/>
      <c r="M1993" s="7"/>
      <c r="N1993" s="7" t="str">
        <f>IFERROR(__xludf.DUMMYFUNCTION("""COMPUTED_VALUE"""),"Kevin Álvarez|46048")</f>
        <v>Kevin Álvarez|46048</v>
      </c>
      <c r="O1993" s="7">
        <f>IFERROR(__xludf.DUMMYFUNCTION("""COMPUTED_VALUE"""),5.0)</f>
        <v>5</v>
      </c>
    </row>
    <row r="1994" ht="22.5" hidden="1" customHeight="1">
      <c r="A1994" s="8">
        <v>45916.418678738424</v>
      </c>
      <c r="B1994" s="9">
        <v>45916.0</v>
      </c>
      <c r="C1994" s="9" t="s">
        <v>110</v>
      </c>
      <c r="D1994" s="9" t="s">
        <v>259</v>
      </c>
      <c r="E1994" s="9" t="s">
        <v>17</v>
      </c>
      <c r="F1994" s="9" t="s">
        <v>18</v>
      </c>
      <c r="G1994" s="9" t="s">
        <v>24</v>
      </c>
      <c r="H1994" s="9" t="s">
        <v>25</v>
      </c>
      <c r="I1994" s="9" t="s">
        <v>401</v>
      </c>
      <c r="J1994" s="10"/>
      <c r="K1994" s="7" t="s">
        <v>398</v>
      </c>
      <c r="L1994" s="7"/>
      <c r="M1994" s="7"/>
      <c r="N1994" s="7" t="str">
        <f>IFERROR(__xludf.DUMMYFUNCTION("""COMPUTED_VALUE"""),"Miguel Vázquez|46048")</f>
        <v>Miguel Vázquez|46048</v>
      </c>
      <c r="O1994" s="7">
        <f>IFERROR(__xludf.DUMMYFUNCTION("""COMPUTED_VALUE"""),5.0)</f>
        <v>5</v>
      </c>
    </row>
    <row r="1995" ht="22.5" hidden="1" customHeight="1">
      <c r="A1995" s="8">
        <v>45917.35918104167</v>
      </c>
      <c r="B1995" s="9">
        <v>45917.0</v>
      </c>
      <c r="C1995" s="9" t="s">
        <v>15</v>
      </c>
      <c r="D1995" s="9" t="s">
        <v>257</v>
      </c>
      <c r="E1995" s="9" t="s">
        <v>17</v>
      </c>
      <c r="F1995" s="9" t="s">
        <v>18</v>
      </c>
      <c r="G1995" s="9" t="s">
        <v>19</v>
      </c>
      <c r="H1995" s="9" t="s">
        <v>22</v>
      </c>
      <c r="I1995" s="9" t="s">
        <v>20</v>
      </c>
      <c r="J1995" s="10"/>
      <c r="K1995" s="7" t="s">
        <v>398</v>
      </c>
      <c r="L1995" s="7"/>
      <c r="M1995" s="7"/>
      <c r="N1995" s="7" t="str">
        <f>IFERROR(__xludf.DUMMYFUNCTION("""COMPUTED_VALUE"""),"Cristian Borja|46048")</f>
        <v>Cristian Borja|46048</v>
      </c>
      <c r="O1995" s="7">
        <f>IFERROR(__xludf.DUMMYFUNCTION("""COMPUTED_VALUE"""),4.0)</f>
        <v>4</v>
      </c>
    </row>
    <row r="1996" ht="22.5" hidden="1" customHeight="1">
      <c r="A1996" s="8">
        <v>45917.362821180555</v>
      </c>
      <c r="B1996" s="9">
        <v>45917.0</v>
      </c>
      <c r="C1996" s="9" t="s">
        <v>15</v>
      </c>
      <c r="D1996" s="9" t="s">
        <v>395</v>
      </c>
      <c r="E1996" s="9" t="s">
        <v>17</v>
      </c>
      <c r="F1996" s="9" t="s">
        <v>17</v>
      </c>
      <c r="G1996" s="9" t="s">
        <v>24</v>
      </c>
      <c r="H1996" s="9" t="s">
        <v>22</v>
      </c>
      <c r="I1996" s="9" t="s">
        <v>20</v>
      </c>
      <c r="J1996" s="10"/>
      <c r="K1996" s="7" t="s">
        <v>398</v>
      </c>
      <c r="L1996" s="7"/>
      <c r="M1996" s="7"/>
      <c r="N1996" s="7" t="str">
        <f>IFERROR(__xludf.DUMMYFUNCTION("""COMPUTED_VALUE"""),"Alan Cervantes|46048")</f>
        <v>Alan Cervantes|46048</v>
      </c>
      <c r="O1996" s="7">
        <f>IFERROR(__xludf.DUMMYFUNCTION("""COMPUTED_VALUE"""),6.0)</f>
        <v>6</v>
      </c>
    </row>
    <row r="1997" ht="22.5" hidden="1" customHeight="1">
      <c r="A1997" s="8">
        <v>45917.364348206014</v>
      </c>
      <c r="B1997" s="9">
        <v>45917.0</v>
      </c>
      <c r="C1997" s="9" t="s">
        <v>15</v>
      </c>
      <c r="D1997" s="9" t="s">
        <v>171</v>
      </c>
      <c r="E1997" s="9" t="s">
        <v>61</v>
      </c>
      <c r="F1997" s="9" t="s">
        <v>17</v>
      </c>
      <c r="G1997" s="9" t="s">
        <v>24</v>
      </c>
      <c r="H1997" s="9" t="s">
        <v>22</v>
      </c>
      <c r="I1997" s="9" t="s">
        <v>20</v>
      </c>
      <c r="J1997" s="10"/>
      <c r="K1997" s="7" t="s">
        <v>398</v>
      </c>
      <c r="L1997" s="7"/>
      <c r="M1997" s="7"/>
      <c r="N1997" s="7" t="str">
        <f>IFERROR(__xludf.DUMMYFUNCTION("""COMPUTED_VALUE"""),"Santiago Naveda|46048")</f>
        <v>Santiago Naveda|46048</v>
      </c>
      <c r="O1997" s="7">
        <f>IFERROR(__xludf.DUMMYFUNCTION("""COMPUTED_VALUE"""),5.0)</f>
        <v>5</v>
      </c>
    </row>
    <row r="1998" ht="22.5" hidden="1" customHeight="1">
      <c r="A1998" s="8">
        <v>45917.36531684028</v>
      </c>
      <c r="B1998" s="9">
        <v>45917.0</v>
      </c>
      <c r="C1998" s="9" t="s">
        <v>15</v>
      </c>
      <c r="D1998" s="9" t="s">
        <v>394</v>
      </c>
      <c r="E1998" s="9" t="s">
        <v>17</v>
      </c>
      <c r="F1998" s="9" t="s">
        <v>17</v>
      </c>
      <c r="G1998" s="9" t="s">
        <v>24</v>
      </c>
      <c r="H1998" s="9" t="s">
        <v>17</v>
      </c>
      <c r="I1998" s="9" t="s">
        <v>20</v>
      </c>
      <c r="J1998" s="10"/>
      <c r="K1998" s="7" t="s">
        <v>398</v>
      </c>
      <c r="L1998" s="7"/>
      <c r="M1998" s="7"/>
      <c r="N1998" s="7" t="str">
        <f>IFERROR(__xludf.DUMMYFUNCTION("""COMPUTED_VALUE"""),"Álvaro Fidalgo|46048")</f>
        <v>Álvaro Fidalgo|46048</v>
      </c>
      <c r="O1998" s="7">
        <f>IFERROR(__xludf.DUMMYFUNCTION("""COMPUTED_VALUE"""),4.0)</f>
        <v>4</v>
      </c>
    </row>
    <row r="1999" ht="22.5" hidden="1" customHeight="1">
      <c r="A1999" s="8">
        <v>45917.36659045139</v>
      </c>
      <c r="B1999" s="9">
        <v>45917.0</v>
      </c>
      <c r="C1999" s="9" t="s">
        <v>15</v>
      </c>
      <c r="D1999" s="9" t="s">
        <v>177</v>
      </c>
      <c r="E1999" s="9" t="s">
        <v>17</v>
      </c>
      <c r="F1999" s="9" t="s">
        <v>17</v>
      </c>
      <c r="G1999" s="9" t="s">
        <v>24</v>
      </c>
      <c r="H1999" s="9" t="s">
        <v>22</v>
      </c>
      <c r="I1999" s="9" t="s">
        <v>20</v>
      </c>
      <c r="J1999" s="10"/>
      <c r="K1999" s="7" t="s">
        <v>398</v>
      </c>
      <c r="L1999" s="7"/>
      <c r="M1999" s="7"/>
      <c r="N1999" s="7" t="str">
        <f>IFERROR(__xludf.DUMMYFUNCTION("""COMPUTED_VALUE"""),"Brian Rodríguez|46048")</f>
        <v>Brian Rodríguez|46048</v>
      </c>
      <c r="O1999" s="7">
        <f>IFERROR(__xludf.DUMMYFUNCTION("""COMPUTED_VALUE"""),2.0)</f>
        <v>2</v>
      </c>
    </row>
    <row r="2000" ht="22.5" hidden="1" customHeight="1">
      <c r="A2000" s="8">
        <v>45917.367945763894</v>
      </c>
      <c r="B2000" s="9">
        <v>45917.0</v>
      </c>
      <c r="C2000" s="9" t="s">
        <v>15</v>
      </c>
      <c r="D2000" s="9" t="s">
        <v>178</v>
      </c>
      <c r="E2000" s="9" t="s">
        <v>17</v>
      </c>
      <c r="F2000" s="9" t="s">
        <v>18</v>
      </c>
      <c r="G2000" s="9" t="s">
        <v>24</v>
      </c>
      <c r="H2000" s="9" t="s">
        <v>22</v>
      </c>
      <c r="I2000" s="9" t="s">
        <v>20</v>
      </c>
      <c r="J2000" s="10"/>
      <c r="K2000" s="7" t="s">
        <v>398</v>
      </c>
      <c r="L2000" s="7"/>
      <c r="M2000" s="7"/>
      <c r="N2000" s="7" t="str">
        <f>IFERROR(__xludf.DUMMYFUNCTION("""COMPUTED_VALUE"""),"Allan Saint-Maximin|46048")</f>
        <v>Allan Saint-Maximin|46048</v>
      </c>
      <c r="O2000" s="7">
        <f>IFERROR(__xludf.DUMMYFUNCTION("""COMPUTED_VALUE"""),3.0)</f>
        <v>3</v>
      </c>
    </row>
    <row r="2001" ht="22.5" hidden="1" customHeight="1">
      <c r="A2001" s="8">
        <v>45917.369153506945</v>
      </c>
      <c r="B2001" s="9">
        <v>45917.0</v>
      </c>
      <c r="C2001" s="9" t="s">
        <v>15</v>
      </c>
      <c r="D2001" s="9" t="s">
        <v>258</v>
      </c>
      <c r="E2001" s="9" t="s">
        <v>17</v>
      </c>
      <c r="F2001" s="9" t="s">
        <v>17</v>
      </c>
      <c r="G2001" s="9" t="s">
        <v>24</v>
      </c>
      <c r="H2001" s="9" t="s">
        <v>22</v>
      </c>
      <c r="I2001" s="9" t="s">
        <v>20</v>
      </c>
      <c r="J2001" s="10"/>
      <c r="K2001" s="7" t="s">
        <v>398</v>
      </c>
      <c r="L2001" s="7"/>
      <c r="M2001" s="7"/>
      <c r="N2001" s="7" t="str">
        <f>IFERROR(__xludf.DUMMYFUNCTION("""COMPUTED_VALUE"""),"Henry Martín|46048")</f>
        <v>Henry Martín|46048</v>
      </c>
      <c r="O2001" s="7">
        <f>IFERROR(__xludf.DUMMYFUNCTION("""COMPUTED_VALUE"""),4.0)</f>
        <v>4</v>
      </c>
    </row>
    <row r="2002" ht="22.5" hidden="1" customHeight="1">
      <c r="A2002" s="8">
        <v>45917.369526319446</v>
      </c>
      <c r="B2002" s="9">
        <v>45917.0</v>
      </c>
      <c r="C2002" s="9" t="s">
        <v>15</v>
      </c>
      <c r="D2002" s="9" t="s">
        <v>393</v>
      </c>
      <c r="E2002" s="9" t="s">
        <v>17</v>
      </c>
      <c r="F2002" s="9" t="s">
        <v>18</v>
      </c>
      <c r="G2002" s="9" t="s">
        <v>24</v>
      </c>
      <c r="H2002" s="9" t="s">
        <v>22</v>
      </c>
      <c r="I2002" s="9" t="s">
        <v>20</v>
      </c>
      <c r="J2002" s="10"/>
      <c r="K2002" s="7" t="s">
        <v>398</v>
      </c>
      <c r="L2002" s="7"/>
      <c r="M2002" s="7"/>
      <c r="N2002" s="7" t="str">
        <f>IFERROR(__xludf.DUMMYFUNCTION("""COMPUTED_VALUE"""),"Miguel Vázquez|46049")</f>
        <v>Miguel Vázquez|46049</v>
      </c>
      <c r="O2002" s="7">
        <f>IFERROR(__xludf.DUMMYFUNCTION("""COMPUTED_VALUE"""),3.0)</f>
        <v>3</v>
      </c>
    </row>
    <row r="2003" ht="22.5" hidden="1" customHeight="1">
      <c r="A2003" s="8">
        <v>45917.36986510416</v>
      </c>
      <c r="B2003" s="9">
        <v>45917.0</v>
      </c>
      <c r="C2003" s="9" t="s">
        <v>15</v>
      </c>
      <c r="D2003" s="9" t="s">
        <v>280</v>
      </c>
      <c r="E2003" s="9" t="s">
        <v>17</v>
      </c>
      <c r="F2003" s="9" t="s">
        <v>17</v>
      </c>
      <c r="G2003" s="9" t="s">
        <v>24</v>
      </c>
      <c r="H2003" s="9" t="s">
        <v>17</v>
      </c>
      <c r="I2003" s="9" t="s">
        <v>20</v>
      </c>
      <c r="J2003" s="10"/>
      <c r="K2003" s="7" t="s">
        <v>398</v>
      </c>
      <c r="L2003" s="7"/>
      <c r="M2003" s="7"/>
      <c r="N2003" s="7" t="str">
        <f>IFERROR(__xludf.DUMMYFUNCTION("""COMPUTED_VALUE"""),"Aaron Mejia|46049")</f>
        <v>Aaron Mejia|46049</v>
      </c>
      <c r="O2003" s="7">
        <f>IFERROR(__xludf.DUMMYFUNCTION("""COMPUTED_VALUE"""),3.0)</f>
        <v>3</v>
      </c>
    </row>
    <row r="2004" ht="22.5" hidden="1" customHeight="1">
      <c r="A2004" s="8">
        <v>45917.37014591435</v>
      </c>
      <c r="B2004" s="9">
        <v>45917.0</v>
      </c>
      <c r="C2004" s="9" t="s">
        <v>15</v>
      </c>
      <c r="D2004" s="9" t="s">
        <v>361</v>
      </c>
      <c r="E2004" s="9" t="s">
        <v>17</v>
      </c>
      <c r="F2004" s="9" t="s">
        <v>17</v>
      </c>
      <c r="G2004" s="9" t="s">
        <v>24</v>
      </c>
      <c r="H2004" s="9" t="s">
        <v>22</v>
      </c>
      <c r="I2004" s="9" t="s">
        <v>20</v>
      </c>
      <c r="J2004" s="10"/>
      <c r="K2004" s="7" t="s">
        <v>398</v>
      </c>
      <c r="L2004" s="7"/>
      <c r="M2004" s="7"/>
      <c r="N2004" s="7" t="str">
        <f>IFERROR(__xludf.DUMMYFUNCTION("""COMPUTED_VALUE"""),"Patricio Salas|46049")</f>
        <v>Patricio Salas|46049</v>
      </c>
      <c r="O2004" s="7">
        <f>IFERROR(__xludf.DUMMYFUNCTION("""COMPUTED_VALUE"""),4.0)</f>
        <v>4</v>
      </c>
    </row>
    <row r="2005" ht="22.5" hidden="1" customHeight="1">
      <c r="A2005" s="8">
        <v>45917.37063655093</v>
      </c>
      <c r="B2005" s="9">
        <v>45917.0</v>
      </c>
      <c r="C2005" s="9" t="s">
        <v>15</v>
      </c>
      <c r="D2005" s="9" t="s">
        <v>174</v>
      </c>
      <c r="E2005" s="9" t="s">
        <v>17</v>
      </c>
      <c r="F2005" s="9" t="s">
        <v>17</v>
      </c>
      <c r="G2005" s="9" t="s">
        <v>24</v>
      </c>
      <c r="H2005" s="9" t="s">
        <v>22</v>
      </c>
      <c r="I2005" s="9" t="s">
        <v>20</v>
      </c>
      <c r="J2005" s="10"/>
      <c r="K2005" s="7" t="s">
        <v>398</v>
      </c>
      <c r="L2005" s="7"/>
      <c r="M2005" s="7"/>
      <c r="N2005" s="7" t="str">
        <f>IFERROR(__xludf.DUMMYFUNCTION("""COMPUTED_VALUE"""),"Henry Martín|46049")</f>
        <v>Henry Martín|46049</v>
      </c>
      <c r="O2005" s="7">
        <f>IFERROR(__xludf.DUMMYFUNCTION("""COMPUTED_VALUE"""),4.0)</f>
        <v>4</v>
      </c>
    </row>
    <row r="2006" ht="22.5" hidden="1" customHeight="1">
      <c r="A2006" s="8">
        <v>45917.393133680554</v>
      </c>
      <c r="B2006" s="9">
        <v>45917.0</v>
      </c>
      <c r="C2006" s="9" t="s">
        <v>15</v>
      </c>
      <c r="D2006" s="9" t="s">
        <v>259</v>
      </c>
      <c r="E2006" s="9" t="s">
        <v>17</v>
      </c>
      <c r="F2006" s="9" t="s">
        <v>17</v>
      </c>
      <c r="G2006" s="9" t="s">
        <v>24</v>
      </c>
      <c r="H2006" s="9" t="s">
        <v>25</v>
      </c>
      <c r="I2006" s="9" t="s">
        <v>401</v>
      </c>
      <c r="J2006" s="10"/>
      <c r="K2006" s="7" t="s">
        <v>398</v>
      </c>
      <c r="L2006" s="7"/>
      <c r="M2006" s="7"/>
      <c r="N2006" s="7" t="str">
        <f>IFERROR(__xludf.DUMMYFUNCTION("""COMPUTED_VALUE"""),"Erick Sánchez|46049")</f>
        <v>Erick Sánchez|46049</v>
      </c>
      <c r="O2006" s="7">
        <f>IFERROR(__xludf.DUMMYFUNCTION("""COMPUTED_VALUE"""),4.0)</f>
        <v>4</v>
      </c>
    </row>
    <row r="2007" ht="22.5" hidden="1" customHeight="1">
      <c r="A2007" s="8">
        <v>45917.393531608795</v>
      </c>
      <c r="B2007" s="9">
        <v>45917.0</v>
      </c>
      <c r="C2007" s="9" t="s">
        <v>15</v>
      </c>
      <c r="D2007" s="9" t="s">
        <v>168</v>
      </c>
      <c r="E2007" s="9" t="s">
        <v>17</v>
      </c>
      <c r="F2007" s="9" t="s">
        <v>17</v>
      </c>
      <c r="G2007" s="9" t="s">
        <v>24</v>
      </c>
      <c r="H2007" s="9" t="s">
        <v>25</v>
      </c>
      <c r="I2007" s="9" t="s">
        <v>240</v>
      </c>
      <c r="J2007" s="10"/>
      <c r="K2007" s="7" t="s">
        <v>398</v>
      </c>
      <c r="L2007" s="7"/>
      <c r="M2007" s="7"/>
      <c r="N2007" s="7" t="str">
        <f>IFERROR(__xludf.DUMMYFUNCTION("""COMPUTED_VALUE"""),"Cristian Borja|46049")</f>
        <v>Cristian Borja|46049</v>
      </c>
      <c r="O2007" s="7">
        <f>IFERROR(__xludf.DUMMYFUNCTION("""COMPUTED_VALUE"""),6.0)</f>
        <v>6</v>
      </c>
    </row>
    <row r="2008" ht="22.5" hidden="1" customHeight="1">
      <c r="A2008" s="8">
        <v>45917.394830000005</v>
      </c>
      <c r="B2008" s="9">
        <v>45917.0</v>
      </c>
      <c r="C2008" s="9" t="s">
        <v>15</v>
      </c>
      <c r="D2008" s="9" t="s">
        <v>397</v>
      </c>
      <c r="E2008" s="9" t="s">
        <v>17</v>
      </c>
      <c r="F2008" s="9" t="s">
        <v>18</v>
      </c>
      <c r="G2008" s="9" t="s">
        <v>24</v>
      </c>
      <c r="H2008" s="9" t="s">
        <v>22</v>
      </c>
      <c r="I2008" s="9" t="s">
        <v>20</v>
      </c>
      <c r="J2008" s="10"/>
      <c r="K2008" s="1" t="s">
        <v>398</v>
      </c>
      <c r="L2008" s="7"/>
      <c r="M2008" s="7"/>
      <c r="N2008" s="7" t="str">
        <f>IFERROR(__xludf.DUMMYFUNCTION("""COMPUTED_VALUE"""),"Sebastián Cáceres|46049")</f>
        <v>Sebastián Cáceres|46049</v>
      </c>
      <c r="O2008" s="7">
        <f>IFERROR(__xludf.DUMMYFUNCTION("""COMPUTED_VALUE"""),5.0)</f>
        <v>5</v>
      </c>
    </row>
    <row r="2009" ht="22.5" hidden="1" customHeight="1">
      <c r="A2009" s="8">
        <v>45917.39538016204</v>
      </c>
      <c r="B2009" s="9">
        <v>45917.0</v>
      </c>
      <c r="C2009" s="9" t="s">
        <v>15</v>
      </c>
      <c r="D2009" s="9" t="s">
        <v>350</v>
      </c>
      <c r="E2009" s="9" t="s">
        <v>17</v>
      </c>
      <c r="F2009" s="9" t="s">
        <v>17</v>
      </c>
      <c r="G2009" s="9" t="s">
        <v>24</v>
      </c>
      <c r="H2009" s="9" t="s">
        <v>22</v>
      </c>
      <c r="I2009" s="9" t="s">
        <v>20</v>
      </c>
      <c r="J2009" s="10"/>
      <c r="K2009" s="7" t="s">
        <v>398</v>
      </c>
      <c r="L2009" s="7"/>
      <c r="M2009" s="7"/>
      <c r="N2009" s="7" t="str">
        <f>IFERROR(__xludf.DUMMYFUNCTION("""COMPUTED_VALUE"""),"Kevin Álvarez|46049")</f>
        <v>Kevin Álvarez|46049</v>
      </c>
      <c r="O2009" s="7">
        <f>IFERROR(__xludf.DUMMYFUNCTION("""COMPUTED_VALUE"""),4.0)</f>
        <v>4</v>
      </c>
    </row>
    <row r="2010" ht="22.5" hidden="1" customHeight="1">
      <c r="A2010" s="8">
        <v>45917.39555421296</v>
      </c>
      <c r="B2010" s="9">
        <v>45917.0</v>
      </c>
      <c r="C2010" s="9" t="s">
        <v>15</v>
      </c>
      <c r="D2010" s="9" t="s">
        <v>247</v>
      </c>
      <c r="E2010" s="9" t="s">
        <v>17</v>
      </c>
      <c r="F2010" s="9" t="s">
        <v>17</v>
      </c>
      <c r="G2010" s="9" t="s">
        <v>24</v>
      </c>
      <c r="H2010" s="9" t="s">
        <v>17</v>
      </c>
      <c r="I2010" s="9" t="s">
        <v>20</v>
      </c>
      <c r="J2010" s="10"/>
      <c r="K2010" s="7" t="s">
        <v>398</v>
      </c>
      <c r="L2010" s="7"/>
      <c r="M2010" s="7"/>
      <c r="N2010" s="7" t="str">
        <f>IFERROR(__xludf.DUMMYFUNCTION("""COMPUTED_VALUE"""),"Alan Cervantes|46049")</f>
        <v>Alan Cervantes|46049</v>
      </c>
      <c r="O2010" s="7">
        <f>IFERROR(__xludf.DUMMYFUNCTION("""COMPUTED_VALUE"""),7.0)</f>
        <v>7</v>
      </c>
    </row>
    <row r="2011" ht="22.5" hidden="1" customHeight="1">
      <c r="A2011" s="8">
        <v>45917.39713341436</v>
      </c>
      <c r="B2011" s="9">
        <v>45917.0</v>
      </c>
      <c r="C2011" s="9" t="s">
        <v>15</v>
      </c>
      <c r="D2011" s="9" t="s">
        <v>249</v>
      </c>
      <c r="E2011" s="9" t="s">
        <v>17</v>
      </c>
      <c r="F2011" s="9" t="s">
        <v>17</v>
      </c>
      <c r="G2011" s="9" t="s">
        <v>24</v>
      </c>
      <c r="H2011" s="9" t="s">
        <v>22</v>
      </c>
      <c r="I2011" s="9" t="s">
        <v>20</v>
      </c>
      <c r="J2011" s="10"/>
      <c r="K2011" s="7" t="s">
        <v>398</v>
      </c>
      <c r="L2011" s="7"/>
      <c r="M2011" s="7"/>
      <c r="N2011" s="7" t="str">
        <f>IFERROR(__xludf.DUMMYFUNCTION("""COMPUTED_VALUE"""),"Álvaro Fidalgo|46049")</f>
        <v>Álvaro Fidalgo|46049</v>
      </c>
      <c r="O2011" s="7">
        <f>IFERROR(__xludf.DUMMYFUNCTION("""COMPUTED_VALUE"""),4.0)</f>
        <v>4</v>
      </c>
    </row>
    <row r="2012" ht="22.5" hidden="1" customHeight="1">
      <c r="A2012" s="8">
        <v>45917.39749369213</v>
      </c>
      <c r="B2012" s="9">
        <v>45917.0</v>
      </c>
      <c r="C2012" s="9" t="s">
        <v>15</v>
      </c>
      <c r="D2012" s="9" t="s">
        <v>357</v>
      </c>
      <c r="E2012" s="9" t="s">
        <v>17</v>
      </c>
      <c r="F2012" s="9" t="s">
        <v>17</v>
      </c>
      <c r="G2012" s="9" t="s">
        <v>24</v>
      </c>
      <c r="H2012" s="9" t="s">
        <v>22</v>
      </c>
      <c r="I2012" s="9" t="s">
        <v>20</v>
      </c>
      <c r="J2012" s="10"/>
      <c r="K2012" s="7" t="s">
        <v>398</v>
      </c>
      <c r="L2012" s="7"/>
      <c r="M2012" s="7"/>
      <c r="N2012" s="7" t="str">
        <f>IFERROR(__xludf.DUMMYFUNCTION("""COMPUTED_VALUE"""),"Isaías Violante|46049")</f>
        <v>Isaías Violante|46049</v>
      </c>
      <c r="O2012" s="7">
        <f>IFERROR(__xludf.DUMMYFUNCTION("""COMPUTED_VALUE"""),6.0)</f>
        <v>6</v>
      </c>
    </row>
    <row r="2013" ht="22.5" hidden="1" customHeight="1">
      <c r="A2013" s="8">
        <v>45918.362257430555</v>
      </c>
      <c r="B2013" s="9">
        <v>45918.0</v>
      </c>
      <c r="C2013" s="9" t="s">
        <v>31</v>
      </c>
      <c r="D2013" s="9" t="s">
        <v>257</v>
      </c>
      <c r="E2013" s="9" t="s">
        <v>17</v>
      </c>
      <c r="F2013" s="9" t="s">
        <v>17</v>
      </c>
      <c r="G2013" s="9" t="s">
        <v>24</v>
      </c>
      <c r="H2013" s="9" t="s">
        <v>22</v>
      </c>
      <c r="I2013" s="9" t="s">
        <v>20</v>
      </c>
      <c r="J2013" s="10"/>
      <c r="K2013" s="7" t="s">
        <v>398</v>
      </c>
      <c r="L2013" s="7"/>
      <c r="M2013" s="7"/>
      <c r="N2013" s="7" t="str">
        <f>IFERROR(__xludf.DUMMYFUNCTION("""COMPUTED_VALUE"""),"Allan Saint-Maximin|46049")</f>
        <v>Allan Saint-Maximin|46049</v>
      </c>
      <c r="O2013" s="7">
        <f>IFERROR(__xludf.DUMMYFUNCTION("""COMPUTED_VALUE"""),6.0)</f>
        <v>6</v>
      </c>
    </row>
    <row r="2014" ht="22.5" hidden="1" customHeight="1">
      <c r="A2014" s="8">
        <v>45918.362523715274</v>
      </c>
      <c r="B2014" s="9">
        <v>45918.0</v>
      </c>
      <c r="C2014" s="9" t="s">
        <v>31</v>
      </c>
      <c r="D2014" s="9" t="s">
        <v>395</v>
      </c>
      <c r="E2014" s="9" t="s">
        <v>17</v>
      </c>
      <c r="F2014" s="9" t="s">
        <v>17</v>
      </c>
      <c r="G2014" s="9" t="s">
        <v>24</v>
      </c>
      <c r="H2014" s="9" t="s">
        <v>22</v>
      </c>
      <c r="I2014" s="9" t="s">
        <v>20</v>
      </c>
      <c r="J2014" s="10"/>
      <c r="K2014" s="7" t="s">
        <v>398</v>
      </c>
      <c r="L2014" s="7"/>
      <c r="M2014" s="7"/>
      <c r="N2014" s="7" t="str">
        <f>IFERROR(__xludf.DUMMYFUNCTION("""COMPUTED_VALUE"""),"José Raúl Zúñiga|46049")</f>
        <v>José Raúl Zúñiga|46049</v>
      </c>
      <c r="O2014" s="7">
        <f>IFERROR(__xludf.DUMMYFUNCTION("""COMPUTED_VALUE"""),3.0)</f>
        <v>3</v>
      </c>
    </row>
    <row r="2015" ht="22.5" hidden="1" customHeight="1">
      <c r="A2015" s="8">
        <v>45918.362735393515</v>
      </c>
      <c r="B2015" s="9">
        <v>45918.0</v>
      </c>
      <c r="C2015" s="9" t="s">
        <v>31</v>
      </c>
      <c r="D2015" s="9" t="s">
        <v>393</v>
      </c>
      <c r="E2015" s="9" t="s">
        <v>17</v>
      </c>
      <c r="F2015" s="9" t="s">
        <v>18</v>
      </c>
      <c r="G2015" s="9" t="s">
        <v>24</v>
      </c>
      <c r="H2015" s="9" t="s">
        <v>22</v>
      </c>
      <c r="I2015" s="9" t="s">
        <v>20</v>
      </c>
      <c r="J2015" s="10"/>
      <c r="K2015" s="7" t="s">
        <v>398</v>
      </c>
      <c r="L2015" s="7"/>
      <c r="M2015" s="7"/>
      <c r="N2015" s="7" t="str">
        <f>IFERROR(__xludf.DUMMYFUNCTION("""COMPUTED_VALUE"""),"Néstor Araujo|46049")</f>
        <v>Néstor Araujo|46049</v>
      </c>
      <c r="O2015" s="7">
        <f>IFERROR(__xludf.DUMMYFUNCTION("""COMPUTED_VALUE"""),7.0)</f>
        <v>7</v>
      </c>
    </row>
    <row r="2016" ht="22.5" hidden="1" customHeight="1">
      <c r="A2016" s="8">
        <v>45918.3628928588</v>
      </c>
      <c r="B2016" s="9">
        <v>45918.0</v>
      </c>
      <c r="C2016" s="9" t="s">
        <v>31</v>
      </c>
      <c r="D2016" s="9" t="s">
        <v>249</v>
      </c>
      <c r="E2016" s="9" t="s">
        <v>17</v>
      </c>
      <c r="F2016" s="9" t="s">
        <v>17</v>
      </c>
      <c r="G2016" s="9" t="s">
        <v>24</v>
      </c>
      <c r="H2016" s="9" t="s">
        <v>22</v>
      </c>
      <c r="I2016" s="9" t="s">
        <v>20</v>
      </c>
      <c r="J2016" s="10"/>
      <c r="K2016" s="7" t="s">
        <v>398</v>
      </c>
      <c r="L2016" s="7"/>
      <c r="M2016" s="7"/>
      <c r="N2016" s="7" t="str">
        <f>IFERROR(__xludf.DUMMYFUNCTION("""COMPUTED_VALUE"""),"Jonathan Dos Santos|46049")</f>
        <v>Jonathan Dos Santos|46049</v>
      </c>
      <c r="O2016" s="7">
        <f>IFERROR(__xludf.DUMMYFUNCTION("""COMPUTED_VALUE"""),3.0)</f>
        <v>3</v>
      </c>
    </row>
    <row r="2017" ht="22.5" hidden="1" customHeight="1">
      <c r="A2017" s="8">
        <v>45918.36306712963</v>
      </c>
      <c r="B2017" s="9">
        <v>45918.0</v>
      </c>
      <c r="C2017" s="9" t="s">
        <v>31</v>
      </c>
      <c r="D2017" s="9" t="s">
        <v>357</v>
      </c>
      <c r="E2017" s="9" t="s">
        <v>17</v>
      </c>
      <c r="F2017" s="9" t="s">
        <v>17</v>
      </c>
      <c r="G2017" s="9" t="s">
        <v>24</v>
      </c>
      <c r="H2017" s="9" t="s">
        <v>25</v>
      </c>
      <c r="I2017" s="9" t="s">
        <v>89</v>
      </c>
      <c r="J2017" s="10"/>
      <c r="K2017" s="7" t="s">
        <v>398</v>
      </c>
      <c r="L2017" s="7"/>
      <c r="M2017" s="7"/>
      <c r="N2017" s="7" t="str">
        <f>IFERROR(__xludf.DUMMYFUNCTION("""COMPUTED_VALUE"""),"Rodrigo Aguirre|46049")</f>
        <v>Rodrigo Aguirre|46049</v>
      </c>
      <c r="O2017" s="7">
        <f>IFERROR(__xludf.DUMMYFUNCTION("""COMPUTED_VALUE"""),3.0)</f>
        <v>3</v>
      </c>
    </row>
    <row r="2018" ht="22.5" hidden="1" customHeight="1">
      <c r="A2018" s="8">
        <v>45918.36324944445</v>
      </c>
      <c r="B2018" s="9">
        <v>45918.0</v>
      </c>
      <c r="C2018" s="9" t="s">
        <v>31</v>
      </c>
      <c r="D2018" s="9" t="s">
        <v>223</v>
      </c>
      <c r="E2018" s="9" t="s">
        <v>17</v>
      </c>
      <c r="F2018" s="9" t="s">
        <v>17</v>
      </c>
      <c r="G2018" s="9" t="s">
        <v>24</v>
      </c>
      <c r="H2018" s="9" t="s">
        <v>22</v>
      </c>
      <c r="I2018" s="9" t="s">
        <v>20</v>
      </c>
      <c r="J2018" s="10"/>
      <c r="K2018" s="7" t="s">
        <v>398</v>
      </c>
      <c r="L2018" s="7"/>
      <c r="M2018" s="7"/>
      <c r="N2018" s="7" t="str">
        <f>IFERROR(__xludf.DUMMYFUNCTION("""COMPUTED_VALUE"""),"Brian Rodríguez|46049")</f>
        <v>Brian Rodríguez|46049</v>
      </c>
      <c r="O2018" s="7">
        <f>IFERROR(__xludf.DUMMYFUNCTION("""COMPUTED_VALUE"""),4.0)</f>
        <v>4</v>
      </c>
    </row>
    <row r="2019" ht="22.5" hidden="1" customHeight="1">
      <c r="A2019" s="8">
        <v>45918.36341832176</v>
      </c>
      <c r="B2019" s="9">
        <v>45918.0</v>
      </c>
      <c r="C2019" s="9" t="s">
        <v>31</v>
      </c>
      <c r="D2019" s="9" t="s">
        <v>335</v>
      </c>
      <c r="E2019" s="9" t="s">
        <v>17</v>
      </c>
      <c r="F2019" s="9" t="s">
        <v>18</v>
      </c>
      <c r="G2019" s="9" t="s">
        <v>24</v>
      </c>
      <c r="H2019" s="9" t="s">
        <v>22</v>
      </c>
      <c r="I2019" s="9" t="s">
        <v>20</v>
      </c>
      <c r="J2019" s="10"/>
      <c r="K2019" s="7" t="s">
        <v>398</v>
      </c>
      <c r="L2019" s="7"/>
      <c r="M2019" s="7"/>
      <c r="N2019" s="7" t="str">
        <f>IFERROR(__xludf.DUMMYFUNCTION("""COMPUTED_VALUE"""),"Santiago Naveda|46049")</f>
        <v>Santiago Naveda|46049</v>
      </c>
      <c r="O2019" s="7">
        <f>IFERROR(__xludf.DUMMYFUNCTION("""COMPUTED_VALUE"""),5.0)</f>
        <v>5</v>
      </c>
    </row>
    <row r="2020" ht="22.5" hidden="1" customHeight="1">
      <c r="A2020" s="8">
        <v>45918.366790115746</v>
      </c>
      <c r="B2020" s="9">
        <v>45918.0</v>
      </c>
      <c r="C2020" s="9" t="s">
        <v>31</v>
      </c>
      <c r="D2020" s="9" t="s">
        <v>280</v>
      </c>
      <c r="E2020" s="9" t="s">
        <v>17</v>
      </c>
      <c r="F2020" s="9" t="s">
        <v>18</v>
      </c>
      <c r="G2020" s="9" t="s">
        <v>24</v>
      </c>
      <c r="H2020" s="9" t="s">
        <v>25</v>
      </c>
      <c r="I2020" s="9" t="s">
        <v>37</v>
      </c>
      <c r="J2020" s="10"/>
      <c r="K2020" s="7" t="s">
        <v>398</v>
      </c>
      <c r="L2020" s="7"/>
      <c r="M2020" s="7"/>
      <c r="N2020" s="7" t="str">
        <f>IFERROR(__xludf.DUMMYFUNCTION("""COMPUTED_VALUE"""),"Víctor Dávila|46049")</f>
        <v>Víctor Dávila|46049</v>
      </c>
      <c r="O2020" s="7">
        <f>IFERROR(__xludf.DUMMYFUNCTION("""COMPUTED_VALUE"""),3.0)</f>
        <v>3</v>
      </c>
    </row>
    <row r="2021" ht="22.5" hidden="1" customHeight="1">
      <c r="A2021" s="8">
        <v>45918.36697659722</v>
      </c>
      <c r="B2021" s="9">
        <v>45918.0</v>
      </c>
      <c r="C2021" s="9" t="s">
        <v>31</v>
      </c>
      <c r="D2021" s="9" t="s">
        <v>177</v>
      </c>
      <c r="E2021" s="9" t="s">
        <v>17</v>
      </c>
      <c r="F2021" s="9" t="s">
        <v>17</v>
      </c>
      <c r="G2021" s="9" t="s">
        <v>24</v>
      </c>
      <c r="H2021" s="9" t="s">
        <v>22</v>
      </c>
      <c r="I2021" s="9" t="s">
        <v>20</v>
      </c>
      <c r="J2021" s="10"/>
      <c r="K2021" s="7" t="s">
        <v>398</v>
      </c>
      <c r="L2021" s="7"/>
      <c r="M2021" s="7"/>
      <c r="N2021" s="7" t="str">
        <f>IFERROR(__xludf.DUMMYFUNCTION("""COMPUTED_VALUE"""),"Santiago Naveda|46050")</f>
        <v>Santiago Naveda|46050</v>
      </c>
      <c r="O2021" s="7">
        <f>IFERROR(__xludf.DUMMYFUNCTION("""COMPUTED_VALUE"""),5.0)</f>
        <v>5</v>
      </c>
    </row>
    <row r="2022" ht="22.5" hidden="1" customHeight="1">
      <c r="A2022" s="8">
        <v>45918.36723836805</v>
      </c>
      <c r="B2022" s="9">
        <v>45918.0</v>
      </c>
      <c r="C2022" s="9" t="s">
        <v>31</v>
      </c>
      <c r="D2022" s="9" t="s">
        <v>168</v>
      </c>
      <c r="E2022" s="9" t="s">
        <v>17</v>
      </c>
      <c r="F2022" s="9" t="s">
        <v>17</v>
      </c>
      <c r="G2022" s="9" t="s">
        <v>24</v>
      </c>
      <c r="H2022" s="9" t="s">
        <v>17</v>
      </c>
      <c r="I2022" s="9" t="s">
        <v>240</v>
      </c>
      <c r="J2022" s="10"/>
      <c r="K2022" s="7" t="s">
        <v>398</v>
      </c>
      <c r="L2022" s="7"/>
      <c r="M2022" s="7"/>
      <c r="N2022" s="7" t="str">
        <f>IFERROR(__xludf.DUMMYFUNCTION("""COMPUTED_VALUE"""),"Alan Cervantes|46050")</f>
        <v>Alan Cervantes|46050</v>
      </c>
      <c r="O2022" s="7">
        <f>IFERROR(__xludf.DUMMYFUNCTION("""COMPUTED_VALUE"""),6.0)</f>
        <v>6</v>
      </c>
    </row>
    <row r="2023" ht="22.5" hidden="1" customHeight="1">
      <c r="A2023" s="8">
        <v>45918.36747875</v>
      </c>
      <c r="B2023" s="9">
        <v>45918.0</v>
      </c>
      <c r="C2023" s="9" t="s">
        <v>31</v>
      </c>
      <c r="D2023" s="9" t="s">
        <v>171</v>
      </c>
      <c r="E2023" s="9" t="s">
        <v>61</v>
      </c>
      <c r="F2023" s="9" t="s">
        <v>17</v>
      </c>
      <c r="G2023" s="9" t="s">
        <v>24</v>
      </c>
      <c r="H2023" s="9" t="s">
        <v>17</v>
      </c>
      <c r="I2023" s="9" t="s">
        <v>20</v>
      </c>
      <c r="J2023" s="10"/>
      <c r="K2023" s="7" t="s">
        <v>398</v>
      </c>
      <c r="L2023" s="7"/>
      <c r="M2023" s="7"/>
      <c r="N2023" s="7" t="str">
        <f>IFERROR(__xludf.DUMMYFUNCTION("""COMPUTED_VALUE"""),"Kevin Álvarez|46050")</f>
        <v>Kevin Álvarez|46050</v>
      </c>
      <c r="O2023" s="7">
        <f>IFERROR(__xludf.DUMMYFUNCTION("""COMPUTED_VALUE"""),5.0)</f>
        <v>5</v>
      </c>
    </row>
    <row r="2024" ht="22.5" hidden="1" customHeight="1">
      <c r="A2024" s="8">
        <v>45918.37022053241</v>
      </c>
      <c r="B2024" s="9">
        <v>45918.0</v>
      </c>
      <c r="C2024" s="9" t="s">
        <v>31</v>
      </c>
      <c r="D2024" s="9" t="s">
        <v>280</v>
      </c>
      <c r="E2024" s="9" t="s">
        <v>17</v>
      </c>
      <c r="F2024" s="9" t="s">
        <v>18</v>
      </c>
      <c r="G2024" s="9" t="s">
        <v>24</v>
      </c>
      <c r="H2024" s="9" t="s">
        <v>25</v>
      </c>
      <c r="I2024" s="9" t="s">
        <v>37</v>
      </c>
      <c r="J2024" s="10"/>
      <c r="K2024" s="7" t="s">
        <v>398</v>
      </c>
      <c r="L2024" s="7"/>
      <c r="M2024" s="7"/>
      <c r="N2024" s="7" t="str">
        <f>IFERROR(__xludf.DUMMYFUNCTION("""COMPUTED_VALUE"""),"Brian Rodríguez|46050")</f>
        <v>Brian Rodríguez|46050</v>
      </c>
      <c r="O2024" s="7">
        <f>IFERROR(__xludf.DUMMYFUNCTION("""COMPUTED_VALUE"""),4.0)</f>
        <v>4</v>
      </c>
    </row>
    <row r="2025" ht="22.5" hidden="1" customHeight="1">
      <c r="A2025" s="8">
        <v>45918.37049721065</v>
      </c>
      <c r="B2025" s="9">
        <v>45918.0</v>
      </c>
      <c r="C2025" s="9" t="s">
        <v>31</v>
      </c>
      <c r="D2025" s="9" t="s">
        <v>350</v>
      </c>
      <c r="E2025" s="9" t="s">
        <v>17</v>
      </c>
      <c r="F2025" s="9" t="s">
        <v>17</v>
      </c>
      <c r="G2025" s="9" t="s">
        <v>24</v>
      </c>
      <c r="H2025" s="9" t="s">
        <v>22</v>
      </c>
      <c r="I2025" s="9" t="s">
        <v>20</v>
      </c>
      <c r="J2025" s="10"/>
      <c r="K2025" s="7" t="s">
        <v>398</v>
      </c>
      <c r="L2025" s="7"/>
      <c r="M2025" s="7"/>
      <c r="N2025" s="7" t="str">
        <f>IFERROR(__xludf.DUMMYFUNCTION("""COMPUTED_VALUE"""),"Luis Ángel Malagón|46050")</f>
        <v>Luis Ángel Malagón|46050</v>
      </c>
      <c r="O2025" s="7">
        <f>IFERROR(__xludf.DUMMYFUNCTION("""COMPUTED_VALUE"""),3.0)</f>
        <v>3</v>
      </c>
    </row>
    <row r="2026" ht="22.5" hidden="1" customHeight="1">
      <c r="A2026" s="8">
        <v>45918.37078590278</v>
      </c>
      <c r="B2026" s="9">
        <v>45918.0</v>
      </c>
      <c r="C2026" s="9" t="s">
        <v>31</v>
      </c>
      <c r="D2026" s="9" t="s">
        <v>361</v>
      </c>
      <c r="E2026" s="9" t="s">
        <v>17</v>
      </c>
      <c r="F2026" s="9" t="s">
        <v>17</v>
      </c>
      <c r="G2026" s="9" t="s">
        <v>24</v>
      </c>
      <c r="H2026" s="9" t="s">
        <v>22</v>
      </c>
      <c r="I2026" s="9" t="s">
        <v>20</v>
      </c>
      <c r="J2026" s="10"/>
      <c r="K2026" s="7" t="s">
        <v>398</v>
      </c>
      <c r="L2026" s="7"/>
      <c r="M2026" s="7"/>
      <c r="N2026" s="7" t="str">
        <f>IFERROR(__xludf.DUMMYFUNCTION("""COMPUTED_VALUE"""),"Néstor Araujo|46050")</f>
        <v>Néstor Araujo|46050</v>
      </c>
      <c r="O2026" s="7">
        <f>IFERROR(__xludf.DUMMYFUNCTION("""COMPUTED_VALUE"""),8.0)</f>
        <v>8</v>
      </c>
    </row>
    <row r="2027" ht="22.5" hidden="1" customHeight="1">
      <c r="A2027" s="8">
        <v>45918.37169479167</v>
      </c>
      <c r="B2027" s="9">
        <v>45918.0</v>
      </c>
      <c r="C2027" s="9" t="s">
        <v>31</v>
      </c>
      <c r="D2027" s="9" t="s">
        <v>259</v>
      </c>
      <c r="E2027" s="9" t="s">
        <v>17</v>
      </c>
      <c r="F2027" s="9" t="s">
        <v>18</v>
      </c>
      <c r="G2027" s="9" t="s">
        <v>24</v>
      </c>
      <c r="H2027" s="9" t="s">
        <v>25</v>
      </c>
      <c r="I2027" s="9" t="s">
        <v>401</v>
      </c>
      <c r="J2027" s="10"/>
      <c r="K2027" s="7" t="s">
        <v>398</v>
      </c>
      <c r="L2027" s="7"/>
      <c r="M2027" s="7"/>
      <c r="N2027" s="7" t="str">
        <f>IFERROR(__xludf.DUMMYFUNCTION("""COMPUTED_VALUE"""),"Sebastián Cáceres|46050")</f>
        <v>Sebastián Cáceres|46050</v>
      </c>
      <c r="O2027" s="7">
        <f>IFERROR(__xludf.DUMMYFUNCTION("""COMPUTED_VALUE"""),4.0)</f>
        <v>4</v>
      </c>
    </row>
    <row r="2028" ht="22.5" hidden="1" customHeight="1">
      <c r="A2028" s="8">
        <v>45918.3843537037</v>
      </c>
      <c r="B2028" s="9">
        <v>45918.0</v>
      </c>
      <c r="C2028" s="9" t="s">
        <v>31</v>
      </c>
      <c r="D2028" s="9" t="s">
        <v>178</v>
      </c>
      <c r="E2028" s="9" t="s">
        <v>17</v>
      </c>
      <c r="F2028" s="9" t="s">
        <v>18</v>
      </c>
      <c r="G2028" s="9" t="s">
        <v>24</v>
      </c>
      <c r="H2028" s="9" t="s">
        <v>17</v>
      </c>
      <c r="I2028" s="9" t="s">
        <v>20</v>
      </c>
      <c r="J2028" s="10"/>
      <c r="K2028" s="7" t="s">
        <v>398</v>
      </c>
      <c r="L2028" s="7"/>
      <c r="M2028" s="7"/>
      <c r="N2028" s="7" t="str">
        <f>IFERROR(__xludf.DUMMYFUNCTION("""COMPUTED_VALUE"""),"Rodolfo Cota|46050")</f>
        <v>Rodolfo Cota|46050</v>
      </c>
      <c r="O2028" s="7">
        <f>IFERROR(__xludf.DUMMYFUNCTION("""COMPUTED_VALUE"""),3.0)</f>
        <v>3</v>
      </c>
    </row>
    <row r="2029" ht="22.5" hidden="1" customHeight="1">
      <c r="A2029" s="8">
        <v>45918.392201863426</v>
      </c>
      <c r="B2029" s="9">
        <v>45918.0</v>
      </c>
      <c r="C2029" s="9" t="s">
        <v>31</v>
      </c>
      <c r="D2029" s="9" t="s">
        <v>397</v>
      </c>
      <c r="E2029" s="9" t="s">
        <v>17</v>
      </c>
      <c r="F2029" s="9" t="s">
        <v>17</v>
      </c>
      <c r="G2029" s="9" t="s">
        <v>24</v>
      </c>
      <c r="H2029" s="9" t="s">
        <v>22</v>
      </c>
      <c r="I2029" s="9" t="s">
        <v>20</v>
      </c>
      <c r="J2029" s="10"/>
      <c r="K2029" s="1" t="s">
        <v>398</v>
      </c>
      <c r="L2029" s="7"/>
      <c r="M2029" s="7"/>
      <c r="N2029" s="7" t="str">
        <f>IFERROR(__xludf.DUMMYFUNCTION("""COMPUTED_VALUE"""),"Patricio Salas|46050")</f>
        <v>Patricio Salas|46050</v>
      </c>
      <c r="O2029" s="7">
        <f>IFERROR(__xludf.DUMMYFUNCTION("""COMPUTED_VALUE"""),5.0)</f>
        <v>5</v>
      </c>
    </row>
    <row r="2030" ht="22.5" hidden="1" customHeight="1">
      <c r="A2030" s="8">
        <v>45918.39668232639</v>
      </c>
      <c r="B2030" s="9">
        <v>45918.0</v>
      </c>
      <c r="C2030" s="9" t="s">
        <v>31</v>
      </c>
      <c r="D2030" s="9" t="s">
        <v>396</v>
      </c>
      <c r="E2030" s="9" t="s">
        <v>17</v>
      </c>
      <c r="F2030" s="9" t="s">
        <v>17</v>
      </c>
      <c r="G2030" s="9" t="s">
        <v>24</v>
      </c>
      <c r="H2030" s="9" t="s">
        <v>17</v>
      </c>
      <c r="I2030" s="9" t="s">
        <v>20</v>
      </c>
      <c r="J2030" s="10"/>
      <c r="K2030" s="7" t="s">
        <v>398</v>
      </c>
      <c r="L2030" s="7"/>
      <c r="M2030" s="7"/>
      <c r="N2030" s="7" t="str">
        <f>IFERROR(__xludf.DUMMYFUNCTION("""COMPUTED_VALUE"""),"Aaron Mejia|46050")</f>
        <v>Aaron Mejia|46050</v>
      </c>
      <c r="O2030" s="7">
        <f>IFERROR(__xludf.DUMMYFUNCTION("""COMPUTED_VALUE"""),5.0)</f>
        <v>5</v>
      </c>
    </row>
    <row r="2031" ht="22.5" hidden="1" customHeight="1">
      <c r="A2031" s="8">
        <v>45918.39722233797</v>
      </c>
      <c r="B2031" s="9">
        <v>45918.0</v>
      </c>
      <c r="C2031" s="9" t="s">
        <v>31</v>
      </c>
      <c r="D2031" s="9" t="s">
        <v>367</v>
      </c>
      <c r="E2031" s="9" t="s">
        <v>17</v>
      </c>
      <c r="F2031" s="9" t="s">
        <v>17</v>
      </c>
      <c r="G2031" s="9" t="s">
        <v>24</v>
      </c>
      <c r="H2031" s="9" t="s">
        <v>25</v>
      </c>
      <c r="I2031" s="9" t="s">
        <v>263</v>
      </c>
      <c r="J2031" s="10"/>
      <c r="K2031" s="7" t="s">
        <v>398</v>
      </c>
      <c r="L2031" s="7"/>
      <c r="M2031" s="7"/>
      <c r="N2031" s="7" t="str">
        <f>IFERROR(__xludf.DUMMYFUNCTION("""COMPUTED_VALUE"""),"Ramón Juárez|46050")</f>
        <v>Ramón Juárez|46050</v>
      </c>
      <c r="O2031" s="7">
        <f>IFERROR(__xludf.DUMMYFUNCTION("""COMPUTED_VALUE"""),7.0)</f>
        <v>7</v>
      </c>
    </row>
    <row r="2032" ht="22.5" hidden="1" customHeight="1">
      <c r="A2032" s="8">
        <v>45918.40847412037</v>
      </c>
      <c r="B2032" s="9">
        <v>45918.0</v>
      </c>
      <c r="C2032" s="9" t="s">
        <v>31</v>
      </c>
      <c r="D2032" s="9" t="s">
        <v>175</v>
      </c>
      <c r="E2032" s="9" t="s">
        <v>17</v>
      </c>
      <c r="F2032" s="9" t="s">
        <v>17</v>
      </c>
      <c r="G2032" s="9" t="s">
        <v>24</v>
      </c>
      <c r="H2032" s="9" t="s">
        <v>17</v>
      </c>
      <c r="I2032" s="9" t="s">
        <v>20</v>
      </c>
      <c r="J2032" s="10"/>
      <c r="K2032" s="7" t="s">
        <v>398</v>
      </c>
      <c r="L2032" s="7"/>
      <c r="M2032" s="7"/>
      <c r="N2032" s="7" t="str">
        <f>IFERROR(__xludf.DUMMYFUNCTION("""COMPUTED_VALUE"""),"Alexis Gutiérrez|46050")</f>
        <v>Alexis Gutiérrez|46050</v>
      </c>
      <c r="O2032" s="7">
        <f>IFERROR(__xludf.DUMMYFUNCTION("""COMPUTED_VALUE"""),6.0)</f>
        <v>6</v>
      </c>
    </row>
    <row r="2033" ht="22.5" hidden="1" customHeight="1">
      <c r="A2033" s="8">
        <v>45919.356499444446</v>
      </c>
      <c r="B2033" s="9">
        <v>45919.0</v>
      </c>
      <c r="C2033" s="9" t="s">
        <v>48</v>
      </c>
      <c r="D2033" s="9" t="s">
        <v>258</v>
      </c>
      <c r="E2033" s="9" t="s">
        <v>61</v>
      </c>
      <c r="F2033" s="9" t="s">
        <v>17</v>
      </c>
      <c r="G2033" s="9" t="s">
        <v>24</v>
      </c>
      <c r="H2033" s="9" t="s">
        <v>62</v>
      </c>
      <c r="I2033" s="9" t="s">
        <v>20</v>
      </c>
      <c r="J2033" s="10"/>
      <c r="K2033" s="7" t="s">
        <v>398</v>
      </c>
      <c r="L2033" s="7"/>
      <c r="M2033" s="7"/>
      <c r="N2033" s="7" t="str">
        <f>IFERROR(__xludf.DUMMYFUNCTION("""COMPUTED_VALUE"""),"Álvaro Fidalgo|46050")</f>
        <v>Álvaro Fidalgo|46050</v>
      </c>
      <c r="O2033" s="7">
        <f>IFERROR(__xludf.DUMMYFUNCTION("""COMPUTED_VALUE"""),5.0)</f>
        <v>5</v>
      </c>
    </row>
    <row r="2034" ht="22.5" hidden="1" customHeight="1">
      <c r="A2034" s="8">
        <v>45919.3580168287</v>
      </c>
      <c r="B2034" s="9">
        <v>45919.0</v>
      </c>
      <c r="C2034" s="9" t="s">
        <v>48</v>
      </c>
      <c r="D2034" s="9" t="s">
        <v>177</v>
      </c>
      <c r="E2034" s="9" t="s">
        <v>17</v>
      </c>
      <c r="F2034" s="9" t="s">
        <v>17</v>
      </c>
      <c r="G2034" s="9" t="s">
        <v>24</v>
      </c>
      <c r="H2034" s="9" t="s">
        <v>22</v>
      </c>
      <c r="I2034" s="9" t="s">
        <v>20</v>
      </c>
      <c r="J2034" s="10"/>
      <c r="K2034" s="7" t="s">
        <v>398</v>
      </c>
      <c r="L2034" s="7"/>
      <c r="M2034" s="7"/>
      <c r="N2034" s="7" t="str">
        <f>IFERROR(__xludf.DUMMYFUNCTION("""COMPUTED_VALUE"""),"Erick Sánchez|46050")</f>
        <v>Erick Sánchez|46050</v>
      </c>
      <c r="O2034" s="7">
        <f>IFERROR(__xludf.DUMMYFUNCTION("""COMPUTED_VALUE"""),5.0)</f>
        <v>5</v>
      </c>
    </row>
    <row r="2035" ht="22.5" hidden="1" customHeight="1">
      <c r="A2035" s="8">
        <v>45919.358243877316</v>
      </c>
      <c r="B2035" s="9">
        <v>45919.0</v>
      </c>
      <c r="C2035" s="9" t="s">
        <v>48</v>
      </c>
      <c r="D2035" s="9" t="s">
        <v>174</v>
      </c>
      <c r="E2035" s="9" t="s">
        <v>17</v>
      </c>
      <c r="F2035" s="9" t="s">
        <v>17</v>
      </c>
      <c r="G2035" s="9" t="s">
        <v>24</v>
      </c>
      <c r="H2035" s="9" t="s">
        <v>22</v>
      </c>
      <c r="I2035" s="9" t="s">
        <v>20</v>
      </c>
      <c r="J2035" s="10"/>
      <c r="K2035" s="7" t="s">
        <v>398</v>
      </c>
      <c r="L2035" s="7"/>
      <c r="M2035" s="7"/>
      <c r="N2035" s="7" t="str">
        <f>IFERROR(__xludf.DUMMYFUNCTION("""COMPUTED_VALUE"""),"Cristian Borja|46050")</f>
        <v>Cristian Borja|46050</v>
      </c>
      <c r="O2035" s="7">
        <f>IFERROR(__xludf.DUMMYFUNCTION("""COMPUTED_VALUE"""),5.0)</f>
        <v>5</v>
      </c>
    </row>
    <row r="2036" ht="22.5" hidden="1" customHeight="1">
      <c r="A2036" s="8">
        <v>45919.35844302083</v>
      </c>
      <c r="B2036" s="9">
        <v>45919.0</v>
      </c>
      <c r="C2036" s="9" t="s">
        <v>48</v>
      </c>
      <c r="D2036" s="9" t="s">
        <v>393</v>
      </c>
      <c r="E2036" s="9" t="s">
        <v>17</v>
      </c>
      <c r="F2036" s="9" t="s">
        <v>18</v>
      </c>
      <c r="G2036" s="9" t="s">
        <v>24</v>
      </c>
      <c r="H2036" s="9" t="s">
        <v>22</v>
      </c>
      <c r="I2036" s="9" t="s">
        <v>20</v>
      </c>
      <c r="J2036" s="10"/>
      <c r="K2036" s="7" t="s">
        <v>398</v>
      </c>
      <c r="L2036" s="7"/>
      <c r="M2036" s="7"/>
      <c r="N2036" s="7" t="str">
        <f>IFERROR(__xludf.DUMMYFUNCTION("""COMPUTED_VALUE"""),"Rodrigo Dourado|46050")</f>
        <v>Rodrigo Dourado|46050</v>
      </c>
      <c r="O2036" s="7">
        <f>IFERROR(__xludf.DUMMYFUNCTION("""COMPUTED_VALUE"""),6.0)</f>
        <v>6</v>
      </c>
    </row>
    <row r="2037" ht="22.5" hidden="1" customHeight="1">
      <c r="A2037" s="8">
        <v>45919.358959317135</v>
      </c>
      <c r="B2037" s="9">
        <v>45919.0</v>
      </c>
      <c r="C2037" s="9" t="s">
        <v>48</v>
      </c>
      <c r="D2037" s="9" t="s">
        <v>280</v>
      </c>
      <c r="E2037" s="9" t="s">
        <v>17</v>
      </c>
      <c r="F2037" s="9" t="s">
        <v>17</v>
      </c>
      <c r="G2037" s="9" t="s">
        <v>24</v>
      </c>
      <c r="H2037" s="9" t="s">
        <v>25</v>
      </c>
      <c r="I2037" s="9" t="s">
        <v>37</v>
      </c>
      <c r="J2037" s="10"/>
      <c r="K2037" s="7" t="s">
        <v>398</v>
      </c>
      <c r="L2037" s="7"/>
      <c r="M2037" s="7"/>
      <c r="N2037" s="7" t="str">
        <f>IFERROR(__xludf.DUMMYFUNCTION("""COMPUTED_VALUE"""),"Igor Lichnovsky|46050")</f>
        <v>Igor Lichnovsky|46050</v>
      </c>
      <c r="O2037" s="7">
        <f>IFERROR(__xludf.DUMMYFUNCTION("""COMPUTED_VALUE"""),5.0)</f>
        <v>5</v>
      </c>
    </row>
    <row r="2038" ht="22.5" hidden="1" customHeight="1">
      <c r="A2038" s="8">
        <v>45919.35913081019</v>
      </c>
      <c r="B2038" s="9">
        <v>45919.0</v>
      </c>
      <c r="C2038" s="9" t="s">
        <v>48</v>
      </c>
      <c r="D2038" s="9" t="s">
        <v>257</v>
      </c>
      <c r="E2038" s="9" t="s">
        <v>17</v>
      </c>
      <c r="F2038" s="9" t="s">
        <v>17</v>
      </c>
      <c r="G2038" s="9" t="s">
        <v>24</v>
      </c>
      <c r="H2038" s="9" t="s">
        <v>17</v>
      </c>
      <c r="I2038" s="9" t="s">
        <v>20</v>
      </c>
      <c r="J2038" s="10"/>
      <c r="K2038" s="7" t="s">
        <v>398</v>
      </c>
      <c r="L2038" s="7"/>
      <c r="M2038" s="7"/>
      <c r="N2038" s="7" t="str">
        <f>IFERROR(__xludf.DUMMYFUNCTION("""COMPUTED_VALUE"""),"Jonathan Dos Santos|46050")</f>
        <v>Jonathan Dos Santos|46050</v>
      </c>
      <c r="O2038" s="7">
        <f>IFERROR(__xludf.DUMMYFUNCTION("""COMPUTED_VALUE"""),4.0)</f>
        <v>4</v>
      </c>
    </row>
    <row r="2039" ht="22.5" hidden="1" customHeight="1">
      <c r="A2039" s="8">
        <v>45919.35931994213</v>
      </c>
      <c r="B2039" s="9">
        <v>45919.0</v>
      </c>
      <c r="C2039" s="9" t="s">
        <v>48</v>
      </c>
      <c r="D2039" s="9" t="s">
        <v>395</v>
      </c>
      <c r="E2039" s="9" t="s">
        <v>17</v>
      </c>
      <c r="F2039" s="9" t="s">
        <v>17</v>
      </c>
      <c r="G2039" s="9" t="s">
        <v>24</v>
      </c>
      <c r="H2039" s="9" t="s">
        <v>17</v>
      </c>
      <c r="I2039" s="9" t="s">
        <v>20</v>
      </c>
      <c r="J2039" s="10"/>
      <c r="K2039" s="7" t="s">
        <v>398</v>
      </c>
      <c r="L2039" s="7"/>
      <c r="M2039" s="7"/>
      <c r="N2039" s="7" t="str">
        <f>IFERROR(__xludf.DUMMYFUNCTION("""COMPUTED_VALUE"""),"Víctor Dávila|46050")</f>
        <v>Víctor Dávila|46050</v>
      </c>
      <c r="O2039" s="7">
        <f>IFERROR(__xludf.DUMMYFUNCTION("""COMPUTED_VALUE"""),8.0)</f>
        <v>8</v>
      </c>
    </row>
    <row r="2040" ht="22.5" hidden="1" customHeight="1">
      <c r="A2040" s="8">
        <v>45919.35994055556</v>
      </c>
      <c r="B2040" s="9">
        <v>45919.0</v>
      </c>
      <c r="C2040" s="9" t="s">
        <v>48</v>
      </c>
      <c r="D2040" s="9" t="s">
        <v>249</v>
      </c>
      <c r="E2040" s="9" t="s">
        <v>17</v>
      </c>
      <c r="F2040" s="9" t="s">
        <v>17</v>
      </c>
      <c r="G2040" s="9" t="s">
        <v>24</v>
      </c>
      <c r="H2040" s="9" t="s">
        <v>22</v>
      </c>
      <c r="I2040" s="9" t="s">
        <v>20</v>
      </c>
      <c r="J2040" s="10"/>
      <c r="K2040" s="7" t="s">
        <v>398</v>
      </c>
      <c r="L2040" s="7"/>
      <c r="M2040" s="7"/>
      <c r="N2040" s="7" t="str">
        <f>IFERROR(__xludf.DUMMYFUNCTION("""COMPUTED_VALUE"""),"Isaías Violante|46050")</f>
        <v>Isaías Violante|46050</v>
      </c>
      <c r="O2040" s="7">
        <f>IFERROR(__xludf.DUMMYFUNCTION("""COMPUTED_VALUE"""),6.0)</f>
        <v>6</v>
      </c>
    </row>
    <row r="2041" ht="22.5" hidden="1" customHeight="1">
      <c r="A2041" s="8">
        <v>45919.36344716435</v>
      </c>
      <c r="B2041" s="9">
        <v>45919.0</v>
      </c>
      <c r="C2041" s="9" t="s">
        <v>48</v>
      </c>
      <c r="D2041" s="9" t="s">
        <v>178</v>
      </c>
      <c r="E2041" s="9" t="s">
        <v>17</v>
      </c>
      <c r="F2041" s="9" t="s">
        <v>18</v>
      </c>
      <c r="G2041" s="9" t="s">
        <v>24</v>
      </c>
      <c r="H2041" s="9" t="s">
        <v>17</v>
      </c>
      <c r="I2041" s="9" t="s">
        <v>20</v>
      </c>
      <c r="J2041" s="10"/>
      <c r="K2041" s="7" t="s">
        <v>398</v>
      </c>
      <c r="L2041" s="7"/>
      <c r="M2041" s="7"/>
      <c r="N2041" s="7" t="str">
        <f>IFERROR(__xludf.DUMMYFUNCTION("""COMPUTED_VALUE"""),"Henry Martín|46050")</f>
        <v>Henry Martín|46050</v>
      </c>
      <c r="O2041" s="7">
        <f>IFERROR(__xludf.DUMMYFUNCTION("""COMPUTED_VALUE"""),5.0)</f>
        <v>5</v>
      </c>
    </row>
    <row r="2042" ht="22.5" hidden="1" customHeight="1">
      <c r="A2042" s="8">
        <v>45919.364587268516</v>
      </c>
      <c r="B2042" s="9">
        <v>45919.0</v>
      </c>
      <c r="C2042" s="9" t="s">
        <v>48</v>
      </c>
      <c r="D2042" s="9" t="s">
        <v>171</v>
      </c>
      <c r="E2042" s="9" t="s">
        <v>17</v>
      </c>
      <c r="F2042" s="9" t="s">
        <v>17</v>
      </c>
      <c r="G2042" s="9" t="s">
        <v>24</v>
      </c>
      <c r="H2042" s="9" t="s">
        <v>22</v>
      </c>
      <c r="I2042" s="9" t="s">
        <v>20</v>
      </c>
      <c r="J2042" s="10"/>
      <c r="K2042" s="7" t="s">
        <v>398</v>
      </c>
      <c r="L2042" s="7"/>
      <c r="M2042" s="7"/>
      <c r="N2042" s="7" t="str">
        <f>IFERROR(__xludf.DUMMYFUNCTION("""COMPUTED_VALUE"""),"José Raúl Zúñiga|46050")</f>
        <v>José Raúl Zúñiga|46050</v>
      </c>
      <c r="O2042" s="7">
        <f>IFERROR(__xludf.DUMMYFUNCTION("""COMPUTED_VALUE"""),4.0)</f>
        <v>4</v>
      </c>
    </row>
    <row r="2043" ht="22.5" hidden="1" customHeight="1">
      <c r="A2043" s="8">
        <v>45919.36608043981</v>
      </c>
      <c r="B2043" s="9">
        <v>45919.0</v>
      </c>
      <c r="C2043" s="9" t="s">
        <v>48</v>
      </c>
      <c r="D2043" s="9" t="s">
        <v>394</v>
      </c>
      <c r="E2043" s="9" t="s">
        <v>17</v>
      </c>
      <c r="F2043" s="9" t="s">
        <v>17</v>
      </c>
      <c r="G2043" s="9" t="s">
        <v>24</v>
      </c>
      <c r="H2043" s="9" t="s">
        <v>17</v>
      </c>
      <c r="I2043" s="9" t="s">
        <v>20</v>
      </c>
      <c r="J2043" s="10"/>
      <c r="K2043" s="7" t="s">
        <v>398</v>
      </c>
      <c r="L2043" s="7"/>
      <c r="M2043" s="7"/>
      <c r="N2043" s="7" t="str">
        <f>IFERROR(__xludf.DUMMYFUNCTION("""COMPUTED_VALUE"""),"Miguel Vázquez|46050")</f>
        <v>Miguel Vázquez|46050</v>
      </c>
      <c r="O2043" s="7">
        <f>IFERROR(__xludf.DUMMYFUNCTION("""COMPUTED_VALUE"""),5.0)</f>
        <v>5</v>
      </c>
    </row>
    <row r="2044" ht="22.5" hidden="1" customHeight="1">
      <c r="A2044" s="8">
        <v>45919.36635920139</v>
      </c>
      <c r="B2044" s="9">
        <v>45919.0</v>
      </c>
      <c r="C2044" s="9" t="s">
        <v>48</v>
      </c>
      <c r="D2044" s="9" t="s">
        <v>357</v>
      </c>
      <c r="E2044" s="9" t="s">
        <v>17</v>
      </c>
      <c r="F2044" s="9" t="s">
        <v>17</v>
      </c>
      <c r="G2044" s="9" t="s">
        <v>24</v>
      </c>
      <c r="H2044" s="9" t="s">
        <v>25</v>
      </c>
      <c r="I2044" s="9" t="s">
        <v>89</v>
      </c>
      <c r="J2044" s="10"/>
      <c r="K2044" s="7" t="s">
        <v>398</v>
      </c>
      <c r="L2044" s="7"/>
      <c r="M2044" s="7"/>
      <c r="N2044" s="7" t="str">
        <f>IFERROR(__xludf.DUMMYFUNCTION("""COMPUTED_VALUE"""),"Santiago Naveda|46051")</f>
        <v>Santiago Naveda|46051</v>
      </c>
      <c r="O2044" s="7">
        <f>IFERROR(__xludf.DUMMYFUNCTION("""COMPUTED_VALUE"""),5.0)</f>
        <v>5</v>
      </c>
    </row>
    <row r="2045" ht="22.5" hidden="1" customHeight="1">
      <c r="A2045" s="8">
        <v>45919.3668396875</v>
      </c>
      <c r="B2045" s="9">
        <v>45919.0</v>
      </c>
      <c r="C2045" s="9" t="s">
        <v>48</v>
      </c>
      <c r="D2045" s="9" t="s">
        <v>361</v>
      </c>
      <c r="E2045" s="9" t="s">
        <v>17</v>
      </c>
      <c r="F2045" s="9" t="s">
        <v>17</v>
      </c>
      <c r="G2045" s="9" t="s">
        <v>24</v>
      </c>
      <c r="H2045" s="9" t="s">
        <v>22</v>
      </c>
      <c r="I2045" s="9" t="s">
        <v>20</v>
      </c>
      <c r="J2045" s="10"/>
      <c r="K2045" s="7" t="s">
        <v>398</v>
      </c>
      <c r="L2045" s="7"/>
      <c r="M2045" s="7"/>
      <c r="N2045" s="7" t="str">
        <f>IFERROR(__xludf.DUMMYFUNCTION("""COMPUTED_VALUE"""),"Patricio Salas|46051")</f>
        <v>Patricio Salas|46051</v>
      </c>
      <c r="O2045" s="7">
        <f>IFERROR(__xludf.DUMMYFUNCTION("""COMPUTED_VALUE"""),4.0)</f>
        <v>4</v>
      </c>
    </row>
    <row r="2046" ht="22.5" hidden="1" customHeight="1">
      <c r="A2046" s="8">
        <v>45919.36850094907</v>
      </c>
      <c r="B2046" s="9">
        <v>45919.0</v>
      </c>
      <c r="C2046" s="9" t="s">
        <v>48</v>
      </c>
      <c r="D2046" s="9" t="s">
        <v>168</v>
      </c>
      <c r="E2046" s="9" t="s">
        <v>17</v>
      </c>
      <c r="F2046" s="9" t="s">
        <v>17</v>
      </c>
      <c r="G2046" s="9" t="s">
        <v>24</v>
      </c>
      <c r="H2046" s="9" t="s">
        <v>17</v>
      </c>
      <c r="I2046" s="9" t="s">
        <v>20</v>
      </c>
      <c r="J2046" s="10"/>
      <c r="K2046" s="7" t="s">
        <v>398</v>
      </c>
      <c r="L2046" s="7"/>
      <c r="M2046" s="7"/>
      <c r="N2046" s="7" t="str">
        <f>IFERROR(__xludf.DUMMYFUNCTION("""COMPUTED_VALUE"""),"Alexis Gutiérrez|46051")</f>
        <v>Alexis Gutiérrez|46051</v>
      </c>
      <c r="O2046" s="7">
        <f>IFERROR(__xludf.DUMMYFUNCTION("""COMPUTED_VALUE"""),3.0)</f>
        <v>3</v>
      </c>
    </row>
    <row r="2047" ht="22.5" hidden="1" customHeight="1">
      <c r="A2047" s="8">
        <v>45919.37091416666</v>
      </c>
      <c r="B2047" s="9">
        <v>45919.0</v>
      </c>
      <c r="C2047" s="9" t="s">
        <v>48</v>
      </c>
      <c r="D2047" s="9" t="s">
        <v>350</v>
      </c>
      <c r="E2047" s="9" t="s">
        <v>17</v>
      </c>
      <c r="F2047" s="9" t="s">
        <v>17</v>
      </c>
      <c r="G2047" s="9" t="s">
        <v>24</v>
      </c>
      <c r="H2047" s="9" t="s">
        <v>17</v>
      </c>
      <c r="I2047" s="9" t="s">
        <v>20</v>
      </c>
      <c r="J2047" s="10"/>
      <c r="K2047" s="7" t="s">
        <v>398</v>
      </c>
      <c r="L2047" s="7"/>
      <c r="M2047" s="7"/>
      <c r="N2047" s="7" t="str">
        <f>IFERROR(__xludf.DUMMYFUNCTION("""COMPUTED_VALUE"""),"José Raúl Zúñiga|46051")</f>
        <v>José Raúl Zúñiga|46051</v>
      </c>
      <c r="O2047" s="7">
        <f>IFERROR(__xludf.DUMMYFUNCTION("""COMPUTED_VALUE"""),3.0)</f>
        <v>3</v>
      </c>
    </row>
    <row r="2048" ht="22.5" hidden="1" customHeight="1">
      <c r="A2048" s="8">
        <v>45919.37106462963</v>
      </c>
      <c r="B2048" s="9">
        <v>45919.0</v>
      </c>
      <c r="C2048" s="9" t="s">
        <v>48</v>
      </c>
      <c r="D2048" s="9" t="s">
        <v>247</v>
      </c>
      <c r="E2048" s="9" t="s">
        <v>17</v>
      </c>
      <c r="F2048" s="9" t="s">
        <v>17</v>
      </c>
      <c r="G2048" s="9" t="s">
        <v>24</v>
      </c>
      <c r="H2048" s="9" t="s">
        <v>17</v>
      </c>
      <c r="I2048" s="9" t="s">
        <v>20</v>
      </c>
      <c r="J2048" s="10"/>
      <c r="K2048" s="7" t="s">
        <v>398</v>
      </c>
      <c r="L2048" s="7"/>
      <c r="M2048" s="7"/>
      <c r="N2048" s="7" t="str">
        <f>IFERROR(__xludf.DUMMYFUNCTION("""COMPUTED_VALUE"""),"Luis Ángel Malagón|46051")</f>
        <v>Luis Ángel Malagón|46051</v>
      </c>
      <c r="O2048" s="7">
        <f>IFERROR(__xludf.DUMMYFUNCTION("""COMPUTED_VALUE"""),3.0)</f>
        <v>3</v>
      </c>
    </row>
    <row r="2049" ht="22.5" hidden="1" customHeight="1">
      <c r="A2049" s="8">
        <v>45919.37147537037</v>
      </c>
      <c r="B2049" s="9">
        <v>45919.0</v>
      </c>
      <c r="C2049" s="9" t="s">
        <v>48</v>
      </c>
      <c r="D2049" s="9" t="s">
        <v>367</v>
      </c>
      <c r="E2049" s="9" t="s">
        <v>17</v>
      </c>
      <c r="F2049" s="9" t="s">
        <v>17</v>
      </c>
      <c r="G2049" s="9" t="s">
        <v>24</v>
      </c>
      <c r="H2049" s="9" t="s">
        <v>17</v>
      </c>
      <c r="I2049" s="9" t="s">
        <v>263</v>
      </c>
      <c r="J2049" s="10"/>
      <c r="K2049" s="7" t="s">
        <v>398</v>
      </c>
      <c r="L2049" s="7"/>
      <c r="M2049" s="7"/>
      <c r="N2049" s="7" t="str">
        <f>IFERROR(__xludf.DUMMYFUNCTION("""COMPUTED_VALUE"""),"Fernando Tapia|46051")</f>
        <v>Fernando Tapia|46051</v>
      </c>
      <c r="O2049" s="7">
        <f>IFERROR(__xludf.DUMMYFUNCTION("""COMPUTED_VALUE"""),2.0)</f>
        <v>2</v>
      </c>
    </row>
    <row r="2050" ht="22.5" hidden="1" customHeight="1">
      <c r="A2050" s="8">
        <v>45919.371796527776</v>
      </c>
      <c r="B2050" s="9">
        <v>45919.0</v>
      </c>
      <c r="C2050" s="9" t="s">
        <v>48</v>
      </c>
      <c r="D2050" s="9" t="s">
        <v>335</v>
      </c>
      <c r="E2050" s="9" t="s">
        <v>17</v>
      </c>
      <c r="F2050" s="9" t="s">
        <v>17</v>
      </c>
      <c r="G2050" s="9" t="s">
        <v>24</v>
      </c>
      <c r="H2050" s="9" t="s">
        <v>17</v>
      </c>
      <c r="I2050" s="9" t="s">
        <v>20</v>
      </c>
      <c r="J2050" s="10"/>
      <c r="K2050" s="7" t="s">
        <v>398</v>
      </c>
      <c r="L2050" s="7"/>
      <c r="M2050" s="7"/>
      <c r="N2050" s="7" t="str">
        <f>IFERROR(__xludf.DUMMYFUNCTION("""COMPUTED_VALUE"""),"Miguel Vázquez|46051")</f>
        <v>Miguel Vázquez|46051</v>
      </c>
      <c r="O2050" s="7">
        <f>IFERROR(__xludf.DUMMYFUNCTION("""COMPUTED_VALUE"""),2.0)</f>
        <v>2</v>
      </c>
    </row>
    <row r="2051" ht="22.5" hidden="1" customHeight="1">
      <c r="A2051" s="8">
        <v>45919.37451686343</v>
      </c>
      <c r="B2051" s="9">
        <v>45919.0</v>
      </c>
      <c r="C2051" s="9" t="s">
        <v>48</v>
      </c>
      <c r="D2051" s="9" t="s">
        <v>259</v>
      </c>
      <c r="E2051" s="9" t="s">
        <v>17</v>
      </c>
      <c r="F2051" s="9" t="s">
        <v>18</v>
      </c>
      <c r="G2051" s="9" t="s">
        <v>24</v>
      </c>
      <c r="H2051" s="9" t="s">
        <v>17</v>
      </c>
      <c r="I2051" s="9" t="s">
        <v>67</v>
      </c>
      <c r="J2051" s="10"/>
      <c r="K2051" s="7" t="s">
        <v>398</v>
      </c>
      <c r="L2051" s="7"/>
      <c r="M2051" s="7"/>
      <c r="N2051" s="7" t="str">
        <f>IFERROR(__xludf.DUMMYFUNCTION("""COMPUTED_VALUE"""),"Rodrigo Dourado|46051")</f>
        <v>Rodrigo Dourado|46051</v>
      </c>
      <c r="O2051" s="7">
        <f>IFERROR(__xludf.DUMMYFUNCTION("""COMPUTED_VALUE"""),3.0)</f>
        <v>3</v>
      </c>
    </row>
    <row r="2052" ht="22.5" hidden="1" customHeight="1">
      <c r="A2052" s="8">
        <v>45919.377988796296</v>
      </c>
      <c r="B2052" s="9">
        <v>45919.0</v>
      </c>
      <c r="C2052" s="9" t="s">
        <v>48</v>
      </c>
      <c r="D2052" s="9" t="s">
        <v>396</v>
      </c>
      <c r="E2052" s="9" t="s">
        <v>17</v>
      </c>
      <c r="F2052" s="9" t="s">
        <v>17</v>
      </c>
      <c r="G2052" s="9" t="s">
        <v>24</v>
      </c>
      <c r="H2052" s="9" t="s">
        <v>17</v>
      </c>
      <c r="I2052" s="9" t="s">
        <v>20</v>
      </c>
      <c r="J2052" s="10"/>
      <c r="K2052" s="7" t="s">
        <v>398</v>
      </c>
      <c r="L2052" s="7"/>
      <c r="M2052" s="7"/>
      <c r="N2052" s="7" t="str">
        <f>IFERROR(__xludf.DUMMYFUNCTION("""COMPUTED_VALUE"""),"Brian Rodríguez|46051")</f>
        <v>Brian Rodríguez|46051</v>
      </c>
      <c r="O2052" s="7">
        <f>IFERROR(__xludf.DUMMYFUNCTION("""COMPUTED_VALUE"""),2.0)</f>
        <v>2</v>
      </c>
    </row>
    <row r="2053" ht="22.5" hidden="1" customHeight="1">
      <c r="A2053" s="8">
        <v>45919.38368543981</v>
      </c>
      <c r="B2053" s="9">
        <v>45919.0</v>
      </c>
      <c r="C2053" s="9" t="s">
        <v>48</v>
      </c>
      <c r="D2053" s="9" t="s">
        <v>397</v>
      </c>
      <c r="E2053" s="9" t="s">
        <v>17</v>
      </c>
      <c r="F2053" s="9" t="s">
        <v>18</v>
      </c>
      <c r="G2053" s="9" t="s">
        <v>19</v>
      </c>
      <c r="H2053" s="9" t="s">
        <v>22</v>
      </c>
      <c r="I2053" s="9" t="s">
        <v>20</v>
      </c>
      <c r="J2053" s="10"/>
      <c r="K2053" s="1" t="s">
        <v>398</v>
      </c>
      <c r="L2053" s="7"/>
      <c r="M2053" s="7"/>
      <c r="N2053" s="7" t="str">
        <f>IFERROR(__xludf.DUMMYFUNCTION("""COMPUTED_VALUE"""),"Alejando Zendejas|46051")</f>
        <v>Alejando Zendejas|46051</v>
      </c>
      <c r="O2053" s="7">
        <f>IFERROR(__xludf.DUMMYFUNCTION("""COMPUTED_VALUE"""),3.0)</f>
        <v>3</v>
      </c>
    </row>
    <row r="2054" ht="22.5" hidden="1" customHeight="1">
      <c r="A2054" s="8">
        <v>45922.356927789355</v>
      </c>
      <c r="B2054" s="9">
        <v>45922.0</v>
      </c>
      <c r="C2054" s="9" t="s">
        <v>86</v>
      </c>
      <c r="D2054" s="9" t="s">
        <v>258</v>
      </c>
      <c r="E2054" s="9" t="s">
        <v>17</v>
      </c>
      <c r="F2054" s="9" t="s">
        <v>17</v>
      </c>
      <c r="G2054" s="9" t="s">
        <v>24</v>
      </c>
      <c r="H2054" s="9" t="s">
        <v>22</v>
      </c>
      <c r="I2054" s="9" t="s">
        <v>20</v>
      </c>
      <c r="J2054" s="10"/>
      <c r="K2054" s="7" t="s">
        <v>398</v>
      </c>
      <c r="L2054" s="7"/>
      <c r="M2054" s="7"/>
      <c r="N2054" s="7" t="str">
        <f>IFERROR(__xludf.DUMMYFUNCTION("""COMPUTED_VALUE"""),"Víctor Dávila|46051")</f>
        <v>Víctor Dávila|46051</v>
      </c>
      <c r="O2054" s="7">
        <f>IFERROR(__xludf.DUMMYFUNCTION("""COMPUTED_VALUE"""),3.0)</f>
        <v>3</v>
      </c>
    </row>
    <row r="2055" ht="22.5" hidden="1" customHeight="1">
      <c r="A2055" s="8">
        <v>45922.357128460644</v>
      </c>
      <c r="B2055" s="9">
        <v>45922.0</v>
      </c>
      <c r="C2055" s="9" t="s">
        <v>86</v>
      </c>
      <c r="D2055" s="9" t="s">
        <v>177</v>
      </c>
      <c r="E2055" s="9" t="s">
        <v>17</v>
      </c>
      <c r="F2055" s="9" t="s">
        <v>17</v>
      </c>
      <c r="G2055" s="9" t="s">
        <v>24</v>
      </c>
      <c r="H2055" s="9" t="s">
        <v>22</v>
      </c>
      <c r="I2055" s="9" t="s">
        <v>20</v>
      </c>
      <c r="J2055" s="10"/>
      <c r="K2055" s="7" t="s">
        <v>398</v>
      </c>
      <c r="L2055" s="7"/>
      <c r="M2055" s="7"/>
      <c r="N2055" s="7" t="str">
        <f>IFERROR(__xludf.DUMMYFUNCTION("""COMPUTED_VALUE"""),"Cristian Borja|46051")</f>
        <v>Cristian Borja|46051</v>
      </c>
      <c r="O2055" s="7">
        <f>IFERROR(__xludf.DUMMYFUNCTION("""COMPUTED_VALUE"""),6.0)</f>
        <v>6</v>
      </c>
    </row>
    <row r="2056" ht="22.5" hidden="1" customHeight="1">
      <c r="A2056" s="8">
        <v>45922.36746291666</v>
      </c>
      <c r="B2056" s="9">
        <v>45922.0</v>
      </c>
      <c r="C2056" s="9" t="s">
        <v>86</v>
      </c>
      <c r="D2056" s="9" t="s">
        <v>280</v>
      </c>
      <c r="E2056" s="9" t="s">
        <v>17</v>
      </c>
      <c r="F2056" s="9" t="s">
        <v>17</v>
      </c>
      <c r="G2056" s="9" t="s">
        <v>24</v>
      </c>
      <c r="H2056" s="9" t="s">
        <v>25</v>
      </c>
      <c r="I2056" s="9" t="s">
        <v>37</v>
      </c>
      <c r="J2056" s="10"/>
      <c r="K2056" s="7" t="s">
        <v>398</v>
      </c>
      <c r="L2056" s="7"/>
      <c r="M2056" s="7"/>
      <c r="N2056" s="7" t="str">
        <f>IFERROR(__xludf.DUMMYFUNCTION("""COMPUTED_VALUE"""),"Allan Saint-Maximin|46051")</f>
        <v>Allan Saint-Maximin|46051</v>
      </c>
      <c r="O2056" s="7">
        <f>IFERROR(__xludf.DUMMYFUNCTION("""COMPUTED_VALUE"""),2.0)</f>
        <v>2</v>
      </c>
    </row>
    <row r="2057" ht="22.5" hidden="1" customHeight="1">
      <c r="A2057" s="8">
        <v>45922.367984386576</v>
      </c>
      <c r="B2057" s="9">
        <v>45922.0</v>
      </c>
      <c r="C2057" s="9" t="s">
        <v>86</v>
      </c>
      <c r="D2057" s="9" t="s">
        <v>257</v>
      </c>
      <c r="E2057" s="9" t="s">
        <v>17</v>
      </c>
      <c r="F2057" s="9" t="s">
        <v>17</v>
      </c>
      <c r="G2057" s="9" t="s">
        <v>24</v>
      </c>
      <c r="H2057" s="9" t="s">
        <v>25</v>
      </c>
      <c r="I2057" s="9" t="s">
        <v>240</v>
      </c>
      <c r="J2057" s="10"/>
      <c r="K2057" s="7" t="s">
        <v>398</v>
      </c>
      <c r="L2057" s="7"/>
      <c r="M2057" s="7"/>
      <c r="N2057" s="7" t="str">
        <f>IFERROR(__xludf.DUMMYFUNCTION("""COMPUTED_VALUE"""),"Sebastián Cáceres|46051")</f>
        <v>Sebastián Cáceres|46051</v>
      </c>
      <c r="O2057" s="7">
        <f>IFERROR(__xludf.DUMMYFUNCTION("""COMPUTED_VALUE"""),2.0)</f>
        <v>2</v>
      </c>
    </row>
    <row r="2058" ht="22.5" hidden="1" customHeight="1">
      <c r="A2058" s="8">
        <v>45922.369453067135</v>
      </c>
      <c r="B2058" s="9">
        <v>45922.0</v>
      </c>
      <c r="C2058" s="9" t="s">
        <v>86</v>
      </c>
      <c r="D2058" s="9" t="s">
        <v>394</v>
      </c>
      <c r="E2058" s="9" t="s">
        <v>17</v>
      </c>
      <c r="F2058" s="9" t="s">
        <v>17</v>
      </c>
      <c r="G2058" s="9" t="s">
        <v>24</v>
      </c>
      <c r="H2058" s="9" t="s">
        <v>17</v>
      </c>
      <c r="I2058" s="9" t="s">
        <v>20</v>
      </c>
      <c r="J2058" s="10"/>
      <c r="K2058" s="7" t="s">
        <v>398</v>
      </c>
      <c r="L2058" s="7"/>
      <c r="M2058" s="7"/>
      <c r="N2058" s="7" t="str">
        <f>IFERROR(__xludf.DUMMYFUNCTION("""COMPUTED_VALUE"""),"Erick Sánchez|46051")</f>
        <v>Erick Sánchez|46051</v>
      </c>
      <c r="O2058" s="7">
        <f>IFERROR(__xludf.DUMMYFUNCTION("""COMPUTED_VALUE"""),4.0)</f>
        <v>4</v>
      </c>
    </row>
    <row r="2059" ht="22.5" hidden="1" customHeight="1">
      <c r="A2059" s="8">
        <v>45922.37064728009</v>
      </c>
      <c r="B2059" s="9">
        <v>45922.0</v>
      </c>
      <c r="C2059" s="9" t="s">
        <v>86</v>
      </c>
      <c r="D2059" s="9" t="s">
        <v>393</v>
      </c>
      <c r="E2059" s="9" t="s">
        <v>17</v>
      </c>
      <c r="F2059" s="9" t="s">
        <v>17</v>
      </c>
      <c r="G2059" s="9" t="s">
        <v>24</v>
      </c>
      <c r="H2059" s="9" t="s">
        <v>22</v>
      </c>
      <c r="I2059" s="9" t="s">
        <v>20</v>
      </c>
      <c r="J2059" s="10"/>
      <c r="K2059" s="7" t="s">
        <v>398</v>
      </c>
      <c r="L2059" s="7"/>
      <c r="M2059" s="7"/>
      <c r="N2059" s="7" t="str">
        <f>IFERROR(__xludf.DUMMYFUNCTION("""COMPUTED_VALUE"""),"Isaías Violante|46051")</f>
        <v>Isaías Violante|46051</v>
      </c>
      <c r="O2059" s="7">
        <f>IFERROR(__xludf.DUMMYFUNCTION("""COMPUTED_VALUE"""),3.0)</f>
        <v>3</v>
      </c>
    </row>
    <row r="2060" ht="22.5" hidden="1" customHeight="1">
      <c r="A2060" s="8">
        <v>45922.370831631946</v>
      </c>
      <c r="B2060" s="9">
        <v>45922.0</v>
      </c>
      <c r="C2060" s="9" t="s">
        <v>86</v>
      </c>
      <c r="D2060" s="9" t="s">
        <v>395</v>
      </c>
      <c r="E2060" s="9" t="s">
        <v>17</v>
      </c>
      <c r="F2060" s="9" t="s">
        <v>17</v>
      </c>
      <c r="G2060" s="9" t="s">
        <v>24</v>
      </c>
      <c r="H2060" s="9" t="s">
        <v>25</v>
      </c>
      <c r="I2060" s="9" t="s">
        <v>363</v>
      </c>
      <c r="J2060" s="10"/>
      <c r="K2060" s="7" t="s">
        <v>398</v>
      </c>
      <c r="L2060" s="7"/>
      <c r="M2060" s="7"/>
      <c r="N2060" s="7" t="str">
        <f>IFERROR(__xludf.DUMMYFUNCTION("""COMPUTED_VALUE"""),"Néstor Araujo|46051")</f>
        <v>Néstor Araujo|46051</v>
      </c>
      <c r="O2060" s="7">
        <f>IFERROR(__xludf.DUMMYFUNCTION("""COMPUTED_VALUE"""),4.0)</f>
        <v>4</v>
      </c>
    </row>
    <row r="2061" ht="22.5" hidden="1" customHeight="1">
      <c r="A2061" s="8">
        <v>45922.37103134259</v>
      </c>
      <c r="B2061" s="9">
        <v>45922.0</v>
      </c>
      <c r="C2061" s="9" t="s">
        <v>86</v>
      </c>
      <c r="D2061" s="9" t="s">
        <v>357</v>
      </c>
      <c r="E2061" s="9" t="s">
        <v>17</v>
      </c>
      <c r="F2061" s="9" t="s">
        <v>17</v>
      </c>
      <c r="G2061" s="9" t="s">
        <v>24</v>
      </c>
      <c r="H2061" s="9" t="s">
        <v>22</v>
      </c>
      <c r="I2061" s="9" t="s">
        <v>20</v>
      </c>
      <c r="J2061" s="10"/>
      <c r="K2061" s="7" t="s">
        <v>398</v>
      </c>
      <c r="L2061" s="7"/>
      <c r="M2061" s="7"/>
      <c r="N2061" s="7" t="str">
        <f>IFERROR(__xludf.DUMMYFUNCTION("""COMPUTED_VALUE"""),"Álvaro Fidalgo|46051")</f>
        <v>Álvaro Fidalgo|46051</v>
      </c>
      <c r="O2061" s="7">
        <f>IFERROR(__xludf.DUMMYFUNCTION("""COMPUTED_VALUE"""),3.0)</f>
        <v>3</v>
      </c>
    </row>
    <row r="2062" ht="22.5" hidden="1" customHeight="1">
      <c r="A2062" s="8">
        <v>45922.371231921294</v>
      </c>
      <c r="B2062" s="9">
        <v>45922.0</v>
      </c>
      <c r="C2062" s="9" t="s">
        <v>86</v>
      </c>
      <c r="D2062" s="9" t="s">
        <v>350</v>
      </c>
      <c r="E2062" s="9" t="s">
        <v>17</v>
      </c>
      <c r="F2062" s="9" t="s">
        <v>17</v>
      </c>
      <c r="G2062" s="9" t="s">
        <v>24</v>
      </c>
      <c r="H2062" s="9" t="s">
        <v>22</v>
      </c>
      <c r="I2062" s="9" t="s">
        <v>20</v>
      </c>
      <c r="J2062" s="10"/>
      <c r="K2062" s="7" t="s">
        <v>398</v>
      </c>
      <c r="L2062" s="7"/>
      <c r="M2062" s="7"/>
      <c r="N2062" s="7" t="str">
        <f>IFERROR(__xludf.DUMMYFUNCTION("""COMPUTED_VALUE"""),"Henry Martín|46051")</f>
        <v>Henry Martín|46051</v>
      </c>
      <c r="O2062" s="7">
        <f>IFERROR(__xludf.DUMMYFUNCTION("""COMPUTED_VALUE"""),3.0)</f>
        <v>3</v>
      </c>
    </row>
    <row r="2063" ht="22.5" hidden="1" customHeight="1">
      <c r="A2063" s="8">
        <v>45922.37356446759</v>
      </c>
      <c r="B2063" s="9">
        <v>45922.0</v>
      </c>
      <c r="C2063" s="9" t="s">
        <v>86</v>
      </c>
      <c r="D2063" s="9" t="s">
        <v>171</v>
      </c>
      <c r="E2063" s="9" t="s">
        <v>17</v>
      </c>
      <c r="F2063" s="9" t="s">
        <v>17</v>
      </c>
      <c r="G2063" s="9" t="s">
        <v>24</v>
      </c>
      <c r="H2063" s="9" t="s">
        <v>25</v>
      </c>
      <c r="I2063" s="9" t="s">
        <v>399</v>
      </c>
      <c r="J2063" s="10"/>
      <c r="K2063" s="7" t="s">
        <v>398</v>
      </c>
      <c r="L2063" s="7"/>
      <c r="M2063" s="7"/>
      <c r="N2063" s="7" t="str">
        <f>IFERROR(__xludf.DUMMYFUNCTION("""COMPUTED_VALUE"""),"Rodolfo Cota|46051")</f>
        <v>Rodolfo Cota|46051</v>
      </c>
      <c r="O2063" s="7">
        <f>IFERROR(__xludf.DUMMYFUNCTION("""COMPUTED_VALUE"""),2.0)</f>
        <v>2</v>
      </c>
    </row>
    <row r="2064" ht="22.5" hidden="1" customHeight="1">
      <c r="A2064" s="8">
        <v>45922.381482199075</v>
      </c>
      <c r="B2064" s="9">
        <v>45922.0</v>
      </c>
      <c r="C2064" s="9" t="s">
        <v>86</v>
      </c>
      <c r="D2064" s="9" t="s">
        <v>259</v>
      </c>
      <c r="E2064" s="9" t="s">
        <v>17</v>
      </c>
      <c r="F2064" s="9" t="s">
        <v>18</v>
      </c>
      <c r="G2064" s="9" t="s">
        <v>24</v>
      </c>
      <c r="H2064" s="9" t="s">
        <v>25</v>
      </c>
      <c r="I2064" s="9" t="s">
        <v>207</v>
      </c>
      <c r="J2064" s="10"/>
      <c r="K2064" s="7" t="s">
        <v>398</v>
      </c>
      <c r="L2064" s="7"/>
      <c r="M2064" s="7"/>
      <c r="N2064" s="7" t="str">
        <f>IFERROR(__xludf.DUMMYFUNCTION("""COMPUTED_VALUE"""),"Paolo Bedolla|46051")</f>
        <v>Paolo Bedolla|46051</v>
      </c>
      <c r="O2064" s="7">
        <f>IFERROR(__xludf.DUMMYFUNCTION("""COMPUTED_VALUE"""),3.0)</f>
        <v>3</v>
      </c>
    </row>
    <row r="2065" ht="22.5" hidden="1" customHeight="1">
      <c r="A2065" s="8">
        <v>45922.3816590162</v>
      </c>
      <c r="B2065" s="9">
        <v>45922.0</v>
      </c>
      <c r="C2065" s="9" t="s">
        <v>86</v>
      </c>
      <c r="D2065" s="9" t="s">
        <v>361</v>
      </c>
      <c r="E2065" s="9" t="s">
        <v>17</v>
      </c>
      <c r="F2065" s="9" t="s">
        <v>17</v>
      </c>
      <c r="G2065" s="9" t="s">
        <v>24</v>
      </c>
      <c r="H2065" s="9" t="s">
        <v>22</v>
      </c>
      <c r="I2065" s="9" t="s">
        <v>20</v>
      </c>
      <c r="J2065" s="10"/>
      <c r="K2065" s="7" t="s">
        <v>398</v>
      </c>
      <c r="L2065" s="7"/>
      <c r="M2065" s="7"/>
      <c r="N2065" s="7" t="str">
        <f>IFERROR(__xludf.DUMMYFUNCTION("""COMPUTED_VALUE"""),"Jonathan Dos Santos|46051")</f>
        <v>Jonathan Dos Santos|46051</v>
      </c>
      <c r="O2065" s="7">
        <f>IFERROR(__xludf.DUMMYFUNCTION("""COMPUTED_VALUE"""),2.0)</f>
        <v>2</v>
      </c>
    </row>
    <row r="2066" ht="22.5" hidden="1" customHeight="1">
      <c r="A2066" s="8">
        <v>45922.38190583333</v>
      </c>
      <c r="B2066" s="9">
        <v>45922.0</v>
      </c>
      <c r="C2066" s="9" t="s">
        <v>86</v>
      </c>
      <c r="D2066" s="9" t="s">
        <v>174</v>
      </c>
      <c r="E2066" s="9" t="s">
        <v>17</v>
      </c>
      <c r="F2066" s="9" t="s">
        <v>17</v>
      </c>
      <c r="G2066" s="9" t="s">
        <v>24</v>
      </c>
      <c r="H2066" s="9" t="s">
        <v>22</v>
      </c>
      <c r="I2066" s="9" t="s">
        <v>20</v>
      </c>
      <c r="J2066" s="10"/>
      <c r="K2066" s="7" t="s">
        <v>398</v>
      </c>
      <c r="L2066" s="7"/>
      <c r="M2066" s="7"/>
      <c r="N2066" s="7" t="str">
        <f>IFERROR(__xludf.DUMMYFUNCTION("""COMPUTED_VALUE"""),"Aaron Mejia|46051")</f>
        <v>Aaron Mejia|46051</v>
      </c>
      <c r="O2066" s="7">
        <f>IFERROR(__xludf.DUMMYFUNCTION("""COMPUTED_VALUE"""),4.0)</f>
        <v>4</v>
      </c>
    </row>
    <row r="2067" ht="22.5" hidden="1" customHeight="1">
      <c r="A2067" s="8">
        <v>45922.38222090278</v>
      </c>
      <c r="B2067" s="9">
        <v>45922.0</v>
      </c>
      <c r="C2067" s="9" t="s">
        <v>86</v>
      </c>
      <c r="D2067" s="9" t="s">
        <v>249</v>
      </c>
      <c r="E2067" s="9" t="s">
        <v>17</v>
      </c>
      <c r="F2067" s="9" t="s">
        <v>17</v>
      </c>
      <c r="G2067" s="9" t="s">
        <v>24</v>
      </c>
      <c r="H2067" s="9" t="s">
        <v>17</v>
      </c>
      <c r="I2067" s="9" t="s">
        <v>207</v>
      </c>
      <c r="J2067" s="10"/>
      <c r="K2067" s="7" t="s">
        <v>398</v>
      </c>
      <c r="L2067" s="7"/>
      <c r="M2067" s="7"/>
      <c r="N2067" s="7" t="str">
        <f>IFERROR(__xludf.DUMMYFUNCTION("""COMPUTED_VALUE"""),"Ramón Juárez|46051")</f>
        <v>Ramón Juárez|46051</v>
      </c>
      <c r="O2067" s="7">
        <f>IFERROR(__xludf.DUMMYFUNCTION("""COMPUTED_VALUE"""),4.0)</f>
        <v>4</v>
      </c>
    </row>
    <row r="2068" ht="22.5" hidden="1" customHeight="1">
      <c r="A2068" s="8">
        <v>45922.38245211805</v>
      </c>
      <c r="B2068" s="9">
        <v>45922.0</v>
      </c>
      <c r="C2068" s="9" t="s">
        <v>86</v>
      </c>
      <c r="D2068" s="9" t="s">
        <v>247</v>
      </c>
      <c r="E2068" s="9" t="s">
        <v>17</v>
      </c>
      <c r="F2068" s="9" t="s">
        <v>17</v>
      </c>
      <c r="G2068" s="9" t="s">
        <v>24</v>
      </c>
      <c r="H2068" s="9" t="s">
        <v>17</v>
      </c>
      <c r="I2068" s="9" t="s">
        <v>20</v>
      </c>
      <c r="J2068" s="10"/>
      <c r="K2068" s="7" t="s">
        <v>398</v>
      </c>
      <c r="L2068" s="7"/>
      <c r="M2068" s="7"/>
      <c r="N2068" s="7" t="str">
        <f>IFERROR(__xludf.DUMMYFUNCTION("""COMPUTED_VALUE"""),"Kevin Álvarez|46051")</f>
        <v>Kevin Álvarez|46051</v>
      </c>
      <c r="O2068" s="7">
        <f>IFERROR(__xludf.DUMMYFUNCTION("""COMPUTED_VALUE"""),3.0)</f>
        <v>3</v>
      </c>
    </row>
    <row r="2069" ht="22.5" hidden="1" customHeight="1">
      <c r="A2069" s="8">
        <v>45922.382852916664</v>
      </c>
      <c r="B2069" s="9">
        <v>45922.0</v>
      </c>
      <c r="C2069" s="9" t="s">
        <v>86</v>
      </c>
      <c r="D2069" s="9" t="s">
        <v>168</v>
      </c>
      <c r="E2069" s="9" t="s">
        <v>17</v>
      </c>
      <c r="F2069" s="9" t="s">
        <v>17</v>
      </c>
      <c r="G2069" s="9" t="s">
        <v>24</v>
      </c>
      <c r="H2069" s="9" t="s">
        <v>25</v>
      </c>
      <c r="I2069" s="9" t="s">
        <v>240</v>
      </c>
      <c r="J2069" s="10"/>
      <c r="K2069" s="7" t="s">
        <v>398</v>
      </c>
      <c r="L2069" s="7"/>
      <c r="M2069" s="7"/>
      <c r="N2069" s="7" t="str">
        <f>IFERROR(__xludf.DUMMYFUNCTION("""COMPUTED_VALUE"""),"Henry Martín|46052")</f>
        <v>Henry Martín|46052</v>
      </c>
      <c r="O2069" s="7">
        <f>IFERROR(__xludf.DUMMYFUNCTION("""COMPUTED_VALUE"""),3.0)</f>
        <v>3</v>
      </c>
    </row>
    <row r="2070" ht="22.5" hidden="1" customHeight="1">
      <c r="A2070" s="8">
        <v>45922.38356194444</v>
      </c>
      <c r="B2070" s="9">
        <v>45922.0</v>
      </c>
      <c r="C2070" s="9" t="s">
        <v>86</v>
      </c>
      <c r="D2070" s="9" t="s">
        <v>175</v>
      </c>
      <c r="E2070" s="9" t="s">
        <v>17</v>
      </c>
      <c r="F2070" s="9" t="s">
        <v>17</v>
      </c>
      <c r="G2070" s="9" t="s">
        <v>24</v>
      </c>
      <c r="H2070" s="9" t="s">
        <v>22</v>
      </c>
      <c r="I2070" s="9" t="s">
        <v>20</v>
      </c>
      <c r="J2070" s="10"/>
      <c r="K2070" s="7" t="s">
        <v>398</v>
      </c>
      <c r="L2070" s="7"/>
      <c r="M2070" s="7"/>
      <c r="N2070" s="7" t="str">
        <f>IFERROR(__xludf.DUMMYFUNCTION("""COMPUTED_VALUE"""),"Álvaro Fidalgo|46052")</f>
        <v>Álvaro Fidalgo|46052</v>
      </c>
      <c r="O2070" s="7">
        <f>IFERROR(__xludf.DUMMYFUNCTION("""COMPUTED_VALUE"""),3.0)</f>
        <v>3</v>
      </c>
    </row>
    <row r="2071" ht="22.5" hidden="1" customHeight="1">
      <c r="A2071" s="8">
        <v>45922.38489828704</v>
      </c>
      <c r="B2071" s="9">
        <v>45922.0</v>
      </c>
      <c r="C2071" s="9" t="s">
        <v>86</v>
      </c>
      <c r="D2071" s="9" t="s">
        <v>397</v>
      </c>
      <c r="E2071" s="9" t="s">
        <v>17</v>
      </c>
      <c r="F2071" s="9" t="s">
        <v>17</v>
      </c>
      <c r="G2071" s="9" t="s">
        <v>24</v>
      </c>
      <c r="H2071" s="9" t="s">
        <v>22</v>
      </c>
      <c r="I2071" s="9" t="s">
        <v>20</v>
      </c>
      <c r="J2071" s="10"/>
      <c r="K2071" s="1" t="s">
        <v>398</v>
      </c>
      <c r="L2071" s="7"/>
      <c r="M2071" s="7"/>
      <c r="N2071" s="7" t="str">
        <f>IFERROR(__xludf.DUMMYFUNCTION("""COMPUTED_VALUE"""),"Jonathan Dos Santos|46052")</f>
        <v>Jonathan Dos Santos|46052</v>
      </c>
      <c r="O2071" s="7">
        <f>IFERROR(__xludf.DUMMYFUNCTION("""COMPUTED_VALUE"""),3.0)</f>
        <v>3</v>
      </c>
    </row>
    <row r="2072" ht="22.5" hidden="1" customHeight="1">
      <c r="A2072" s="8">
        <v>45922.392472418986</v>
      </c>
      <c r="B2072" s="9">
        <v>45922.0</v>
      </c>
      <c r="C2072" s="9" t="s">
        <v>86</v>
      </c>
      <c r="D2072" s="9" t="s">
        <v>178</v>
      </c>
      <c r="E2072" s="9" t="s">
        <v>17</v>
      </c>
      <c r="F2072" s="9" t="s">
        <v>17</v>
      </c>
      <c r="G2072" s="9" t="s">
        <v>24</v>
      </c>
      <c r="H2072" s="9" t="s">
        <v>22</v>
      </c>
      <c r="I2072" s="9" t="s">
        <v>20</v>
      </c>
      <c r="J2072" s="10"/>
      <c r="K2072" s="7" t="s">
        <v>398</v>
      </c>
      <c r="L2072" s="7"/>
      <c r="M2072" s="7"/>
      <c r="N2072" s="7" t="str">
        <f>IFERROR(__xludf.DUMMYFUNCTION("""COMPUTED_VALUE"""),"Rodrigo Dourado|46052")</f>
        <v>Rodrigo Dourado|46052</v>
      </c>
      <c r="O2072" s="7">
        <f>IFERROR(__xludf.DUMMYFUNCTION("""COMPUTED_VALUE"""),2.0)</f>
        <v>2</v>
      </c>
    </row>
    <row r="2073" ht="22.5" hidden="1" customHeight="1">
      <c r="A2073" s="8">
        <v>45922.39349585648</v>
      </c>
      <c r="B2073" s="9">
        <v>45922.0</v>
      </c>
      <c r="C2073" s="9" t="s">
        <v>86</v>
      </c>
      <c r="D2073" s="9" t="s">
        <v>223</v>
      </c>
      <c r="E2073" s="9" t="s">
        <v>17</v>
      </c>
      <c r="F2073" s="9" t="s">
        <v>17</v>
      </c>
      <c r="G2073" s="9" t="s">
        <v>24</v>
      </c>
      <c r="H2073" s="9" t="s">
        <v>25</v>
      </c>
      <c r="I2073" s="9" t="s">
        <v>273</v>
      </c>
      <c r="J2073" s="10"/>
      <c r="K2073" s="7" t="s">
        <v>398</v>
      </c>
      <c r="L2073" s="7"/>
      <c r="M2073" s="7"/>
      <c r="N2073" s="7" t="str">
        <f>IFERROR(__xludf.DUMMYFUNCTION("""COMPUTED_VALUE"""),"Fernando Tapia|46052")</f>
        <v>Fernando Tapia|46052</v>
      </c>
      <c r="O2073" s="7">
        <f>IFERROR(__xludf.DUMMYFUNCTION("""COMPUTED_VALUE"""),5.0)</f>
        <v>5</v>
      </c>
    </row>
    <row r="2074" ht="22.5" hidden="1" customHeight="1">
      <c r="A2074" s="8">
        <v>45922.39836489584</v>
      </c>
      <c r="B2074" s="9">
        <v>45922.0</v>
      </c>
      <c r="C2074" s="9" t="s">
        <v>86</v>
      </c>
      <c r="D2074" s="9" t="s">
        <v>367</v>
      </c>
      <c r="E2074" s="9" t="s">
        <v>17</v>
      </c>
      <c r="F2074" s="9" t="s">
        <v>17</v>
      </c>
      <c r="G2074" s="9" t="s">
        <v>24</v>
      </c>
      <c r="H2074" s="9" t="s">
        <v>17</v>
      </c>
      <c r="I2074" s="9" t="s">
        <v>37</v>
      </c>
      <c r="J2074" s="10"/>
      <c r="K2074" s="7" t="s">
        <v>398</v>
      </c>
      <c r="L2074" s="7"/>
      <c r="M2074" s="7"/>
      <c r="N2074" s="7" t="str">
        <f>IFERROR(__xludf.DUMMYFUNCTION("""COMPUTED_VALUE"""),"Paolo Bedolla|46052")</f>
        <v>Paolo Bedolla|46052</v>
      </c>
      <c r="O2074" s="7">
        <f>IFERROR(__xludf.DUMMYFUNCTION("""COMPUTED_VALUE"""),4.0)</f>
        <v>4</v>
      </c>
    </row>
    <row r="2075" ht="22.5" hidden="1" customHeight="1">
      <c r="A2075" s="8">
        <v>45923.371285891204</v>
      </c>
      <c r="B2075" s="9">
        <v>45923.0</v>
      </c>
      <c r="C2075" s="9" t="s">
        <v>110</v>
      </c>
      <c r="D2075" s="9" t="s">
        <v>258</v>
      </c>
      <c r="E2075" s="9" t="s">
        <v>17</v>
      </c>
      <c r="F2075" s="9" t="s">
        <v>17</v>
      </c>
      <c r="G2075" s="9" t="s">
        <v>24</v>
      </c>
      <c r="H2075" s="9" t="s">
        <v>22</v>
      </c>
      <c r="I2075" s="9" t="s">
        <v>20</v>
      </c>
      <c r="J2075" s="10"/>
      <c r="K2075" s="7" t="s">
        <v>398</v>
      </c>
      <c r="L2075" s="7"/>
      <c r="M2075" s="7"/>
      <c r="N2075" s="7" t="str">
        <f>IFERROR(__xludf.DUMMYFUNCTION("""COMPUTED_VALUE"""),"Alexis Gutiérrez|46052")</f>
        <v>Alexis Gutiérrez|46052</v>
      </c>
      <c r="O2075" s="7">
        <f>IFERROR(__xludf.DUMMYFUNCTION("""COMPUTED_VALUE"""),2.0)</f>
        <v>2</v>
      </c>
    </row>
    <row r="2076" ht="22.5" hidden="1" customHeight="1">
      <c r="A2076" s="8">
        <v>45923.37151541667</v>
      </c>
      <c r="B2076" s="9">
        <v>45923.0</v>
      </c>
      <c r="C2076" s="9" t="s">
        <v>110</v>
      </c>
      <c r="D2076" s="9" t="s">
        <v>395</v>
      </c>
      <c r="E2076" s="9" t="s">
        <v>17</v>
      </c>
      <c r="F2076" s="9" t="s">
        <v>17</v>
      </c>
      <c r="G2076" s="9" t="s">
        <v>24</v>
      </c>
      <c r="H2076" s="9" t="s">
        <v>17</v>
      </c>
      <c r="I2076" s="9" t="s">
        <v>20</v>
      </c>
      <c r="J2076" s="10"/>
      <c r="K2076" s="7" t="s">
        <v>398</v>
      </c>
      <c r="L2076" s="7"/>
      <c r="M2076" s="7"/>
      <c r="N2076" s="7" t="str">
        <f>IFERROR(__xludf.DUMMYFUNCTION("""COMPUTED_VALUE"""),"Aaron Mejia|46052")</f>
        <v>Aaron Mejia|46052</v>
      </c>
      <c r="O2076" s="7">
        <f>IFERROR(__xludf.DUMMYFUNCTION("""COMPUTED_VALUE"""),3.0)</f>
        <v>3</v>
      </c>
    </row>
    <row r="2077" ht="22.5" hidden="1" customHeight="1">
      <c r="A2077" s="8">
        <v>45923.37174200232</v>
      </c>
      <c r="B2077" s="9">
        <v>45923.0</v>
      </c>
      <c r="C2077" s="9" t="s">
        <v>110</v>
      </c>
      <c r="D2077" s="9" t="s">
        <v>393</v>
      </c>
      <c r="E2077" s="9" t="s">
        <v>17</v>
      </c>
      <c r="F2077" s="9" t="s">
        <v>17</v>
      </c>
      <c r="G2077" s="9" t="s">
        <v>24</v>
      </c>
      <c r="H2077" s="9" t="s">
        <v>22</v>
      </c>
      <c r="I2077" s="9" t="s">
        <v>20</v>
      </c>
      <c r="J2077" s="10"/>
      <c r="K2077" s="7" t="s">
        <v>398</v>
      </c>
      <c r="L2077" s="7"/>
      <c r="M2077" s="7"/>
      <c r="N2077" s="7" t="str">
        <f>IFERROR(__xludf.DUMMYFUNCTION("""COMPUTED_VALUE"""),"Erick Sánchez|46052")</f>
        <v>Erick Sánchez|46052</v>
      </c>
      <c r="O2077" s="7">
        <f>IFERROR(__xludf.DUMMYFUNCTION("""COMPUTED_VALUE"""),3.0)</f>
        <v>3</v>
      </c>
    </row>
    <row r="2078" ht="22.5" hidden="1" customHeight="1">
      <c r="A2078" s="8">
        <v>45923.37196240741</v>
      </c>
      <c r="B2078" s="9">
        <v>45923.0</v>
      </c>
      <c r="C2078" s="9" t="s">
        <v>110</v>
      </c>
      <c r="D2078" s="9" t="s">
        <v>361</v>
      </c>
      <c r="E2078" s="9" t="s">
        <v>17</v>
      </c>
      <c r="F2078" s="9" t="s">
        <v>17</v>
      </c>
      <c r="G2078" s="9" t="s">
        <v>24</v>
      </c>
      <c r="H2078" s="9" t="s">
        <v>22</v>
      </c>
      <c r="I2078" s="9" t="s">
        <v>20</v>
      </c>
      <c r="J2078" s="10"/>
      <c r="K2078" s="7" t="s">
        <v>398</v>
      </c>
      <c r="L2078" s="7"/>
      <c r="M2078" s="7"/>
      <c r="N2078" s="7" t="str">
        <f>IFERROR(__xludf.DUMMYFUNCTION("""COMPUTED_VALUE"""),"Kevin Álvarez|46052")</f>
        <v>Kevin Álvarez|46052</v>
      </c>
      <c r="O2078" s="7">
        <f>IFERROR(__xludf.DUMMYFUNCTION("""COMPUTED_VALUE"""),2.0)</f>
        <v>2</v>
      </c>
    </row>
    <row r="2079" ht="22.5" hidden="1" customHeight="1">
      <c r="A2079" s="8">
        <v>45923.37276237269</v>
      </c>
      <c r="B2079" s="9">
        <v>45923.0</v>
      </c>
      <c r="C2079" s="9" t="s">
        <v>110</v>
      </c>
      <c r="D2079" s="9" t="s">
        <v>280</v>
      </c>
      <c r="E2079" s="9" t="s">
        <v>17</v>
      </c>
      <c r="F2079" s="9" t="s">
        <v>17</v>
      </c>
      <c r="G2079" s="9" t="s">
        <v>24</v>
      </c>
      <c r="H2079" s="9" t="s">
        <v>25</v>
      </c>
      <c r="I2079" s="9" t="s">
        <v>37</v>
      </c>
      <c r="J2079" s="10"/>
      <c r="K2079" s="7" t="s">
        <v>398</v>
      </c>
      <c r="L2079" s="7"/>
      <c r="M2079" s="7"/>
      <c r="N2079" s="7" t="str">
        <f>IFERROR(__xludf.DUMMYFUNCTION("""COMPUTED_VALUE"""),"Israel Reyes|46052")</f>
        <v>Israel Reyes|46052</v>
      </c>
      <c r="O2079" s="7">
        <f>IFERROR(__xludf.DUMMYFUNCTION("""COMPUTED_VALUE"""),3.0)</f>
        <v>3</v>
      </c>
    </row>
    <row r="2080" ht="22.5" hidden="1" customHeight="1">
      <c r="A2080" s="8">
        <v>45923.37294431713</v>
      </c>
      <c r="B2080" s="9">
        <v>45923.0</v>
      </c>
      <c r="C2080" s="9" t="s">
        <v>110</v>
      </c>
      <c r="D2080" s="9" t="s">
        <v>223</v>
      </c>
      <c r="E2080" s="9" t="s">
        <v>17</v>
      </c>
      <c r="F2080" s="9" t="s">
        <v>17</v>
      </c>
      <c r="G2080" s="9" t="s">
        <v>24</v>
      </c>
      <c r="H2080" s="9" t="s">
        <v>25</v>
      </c>
      <c r="I2080" s="9" t="s">
        <v>273</v>
      </c>
      <c r="J2080" s="10"/>
      <c r="K2080" s="7" t="s">
        <v>398</v>
      </c>
      <c r="L2080" s="7"/>
      <c r="M2080" s="7"/>
      <c r="N2080" s="7" t="str">
        <f>IFERROR(__xludf.DUMMYFUNCTION("""COMPUTED_VALUE"""),"Luis Ángel Malagón|46052")</f>
        <v>Luis Ángel Malagón|46052</v>
      </c>
      <c r="O2080" s="7">
        <f>IFERROR(__xludf.DUMMYFUNCTION("""COMPUTED_VALUE"""),2.0)</f>
        <v>2</v>
      </c>
    </row>
    <row r="2081" ht="22.5" hidden="1" customHeight="1">
      <c r="A2081" s="8">
        <v>45923.373171354164</v>
      </c>
      <c r="B2081" s="9">
        <v>45923.0</v>
      </c>
      <c r="C2081" s="9" t="s">
        <v>110</v>
      </c>
      <c r="D2081" s="9" t="s">
        <v>171</v>
      </c>
      <c r="E2081" s="9" t="s">
        <v>17</v>
      </c>
      <c r="F2081" s="9" t="s">
        <v>17</v>
      </c>
      <c r="G2081" s="9" t="s">
        <v>24</v>
      </c>
      <c r="H2081" s="9" t="s">
        <v>17</v>
      </c>
      <c r="I2081" s="9" t="s">
        <v>20</v>
      </c>
      <c r="J2081" s="10"/>
      <c r="K2081" s="7" t="s">
        <v>398</v>
      </c>
      <c r="L2081" s="7"/>
      <c r="M2081" s="7"/>
      <c r="N2081" s="7" t="str">
        <f>IFERROR(__xludf.DUMMYFUNCTION("""COMPUTED_VALUE"""),"Alejando Zendejas|46052")</f>
        <v>Alejando Zendejas|46052</v>
      </c>
      <c r="O2081" s="7">
        <f>IFERROR(__xludf.DUMMYFUNCTION("""COMPUTED_VALUE"""),5.0)</f>
        <v>5</v>
      </c>
    </row>
    <row r="2082" ht="22.5" hidden="1" customHeight="1">
      <c r="A2082" s="8">
        <v>45923.37344793981</v>
      </c>
      <c r="B2082" s="9">
        <v>45923.0</v>
      </c>
      <c r="C2082" s="9" t="s">
        <v>110</v>
      </c>
      <c r="D2082" s="9" t="s">
        <v>249</v>
      </c>
      <c r="E2082" s="9" t="s">
        <v>17</v>
      </c>
      <c r="F2082" s="9" t="s">
        <v>17</v>
      </c>
      <c r="G2082" s="9" t="s">
        <v>24</v>
      </c>
      <c r="H2082" s="9" t="s">
        <v>17</v>
      </c>
      <c r="I2082" s="9" t="s">
        <v>20</v>
      </c>
      <c r="J2082" s="10"/>
      <c r="K2082" s="7" t="s">
        <v>398</v>
      </c>
      <c r="L2082" s="7"/>
      <c r="M2082" s="7"/>
      <c r="N2082" s="7" t="str">
        <f>IFERROR(__xludf.DUMMYFUNCTION("""COMPUTED_VALUE"""),"Néstor Araujo|46052")</f>
        <v>Néstor Araujo|46052</v>
      </c>
      <c r="O2082" s="7">
        <f>IFERROR(__xludf.DUMMYFUNCTION("""COMPUTED_VALUE"""),6.0)</f>
        <v>6</v>
      </c>
    </row>
    <row r="2083" ht="22.5" hidden="1" customHeight="1">
      <c r="A2083" s="8">
        <v>45923.37377549769</v>
      </c>
      <c r="B2083" s="9">
        <v>45923.0</v>
      </c>
      <c r="C2083" s="9" t="s">
        <v>110</v>
      </c>
      <c r="D2083" s="9" t="s">
        <v>257</v>
      </c>
      <c r="E2083" s="9" t="s">
        <v>17</v>
      </c>
      <c r="F2083" s="9" t="s">
        <v>17</v>
      </c>
      <c r="G2083" s="9" t="s">
        <v>24</v>
      </c>
      <c r="H2083" s="9" t="s">
        <v>22</v>
      </c>
      <c r="I2083" s="9" t="s">
        <v>20</v>
      </c>
      <c r="J2083" s="10"/>
      <c r="K2083" s="7" t="s">
        <v>398</v>
      </c>
      <c r="L2083" s="7"/>
      <c r="M2083" s="7"/>
      <c r="N2083" s="7" t="str">
        <f>IFERROR(__xludf.DUMMYFUNCTION("""COMPUTED_VALUE"""),"José Raúl Zúñiga|46052")</f>
        <v>José Raúl Zúñiga|46052</v>
      </c>
      <c r="O2083" s="7">
        <f>IFERROR(__xludf.DUMMYFUNCTION("""COMPUTED_VALUE"""),3.0)</f>
        <v>3</v>
      </c>
    </row>
    <row r="2084" ht="22.5" hidden="1" customHeight="1">
      <c r="A2084" s="8">
        <v>45923.37461142361</v>
      </c>
      <c r="B2084" s="9">
        <v>45923.0</v>
      </c>
      <c r="C2084" s="9" t="s">
        <v>110</v>
      </c>
      <c r="D2084" s="9" t="s">
        <v>168</v>
      </c>
      <c r="E2084" s="9" t="s">
        <v>17</v>
      </c>
      <c r="F2084" s="9" t="s">
        <v>17</v>
      </c>
      <c r="G2084" s="9" t="s">
        <v>24</v>
      </c>
      <c r="H2084" s="9" t="s">
        <v>25</v>
      </c>
      <c r="I2084" s="9" t="s">
        <v>240</v>
      </c>
      <c r="J2084" s="10"/>
      <c r="K2084" s="7" t="s">
        <v>398</v>
      </c>
      <c r="L2084" s="7"/>
      <c r="M2084" s="7"/>
      <c r="N2084" s="7" t="str">
        <f>IFERROR(__xludf.DUMMYFUNCTION("""COMPUTED_VALUE"""),"Cristian Borja|46052")</f>
        <v>Cristian Borja|46052</v>
      </c>
      <c r="O2084" s="7">
        <f>IFERROR(__xludf.DUMMYFUNCTION("""COMPUTED_VALUE"""),2.0)</f>
        <v>2</v>
      </c>
    </row>
    <row r="2085" ht="22.5" hidden="1" customHeight="1">
      <c r="A2085" s="8">
        <v>45923.38884486111</v>
      </c>
      <c r="B2085" s="9">
        <v>45923.0</v>
      </c>
      <c r="C2085" s="9" t="s">
        <v>110</v>
      </c>
      <c r="D2085" s="9" t="s">
        <v>174</v>
      </c>
      <c r="E2085" s="9" t="s">
        <v>17</v>
      </c>
      <c r="F2085" s="9" t="s">
        <v>17</v>
      </c>
      <c r="G2085" s="9" t="s">
        <v>24</v>
      </c>
      <c r="H2085" s="9" t="s">
        <v>17</v>
      </c>
      <c r="I2085" s="9" t="s">
        <v>20</v>
      </c>
      <c r="J2085" s="10"/>
      <c r="K2085" s="7" t="s">
        <v>398</v>
      </c>
      <c r="L2085" s="7"/>
      <c r="M2085" s="7"/>
      <c r="N2085" s="7" t="str">
        <f>IFERROR(__xludf.DUMMYFUNCTION("""COMPUTED_VALUE"""),"Patricio Salas|46052")</f>
        <v>Patricio Salas|46052</v>
      </c>
      <c r="O2085" s="7">
        <f>IFERROR(__xludf.DUMMYFUNCTION("""COMPUTED_VALUE"""),4.0)</f>
        <v>4</v>
      </c>
    </row>
    <row r="2086" ht="22.5" hidden="1" customHeight="1">
      <c r="A2086" s="8">
        <v>45923.38922362268</v>
      </c>
      <c r="B2086" s="9">
        <v>45923.0</v>
      </c>
      <c r="C2086" s="9" t="s">
        <v>110</v>
      </c>
      <c r="D2086" s="9" t="s">
        <v>178</v>
      </c>
      <c r="E2086" s="9" t="s">
        <v>17</v>
      </c>
      <c r="F2086" s="9" t="s">
        <v>17</v>
      </c>
      <c r="G2086" s="9" t="s">
        <v>24</v>
      </c>
      <c r="H2086" s="9" t="s">
        <v>22</v>
      </c>
      <c r="I2086" s="9" t="s">
        <v>20</v>
      </c>
      <c r="J2086" s="10"/>
      <c r="K2086" s="7" t="s">
        <v>398</v>
      </c>
      <c r="L2086" s="7"/>
      <c r="M2086" s="7"/>
      <c r="N2086" s="7" t="str">
        <f>IFERROR(__xludf.DUMMYFUNCTION("""COMPUTED_VALUE"""),"Alan Cervantes|46052")</f>
        <v>Alan Cervantes|46052</v>
      </c>
      <c r="O2086" s="7">
        <f>IFERROR(__xludf.DUMMYFUNCTION("""COMPUTED_VALUE"""),4.0)</f>
        <v>4</v>
      </c>
    </row>
    <row r="2087" ht="22.5" hidden="1" customHeight="1">
      <c r="A2087" s="8">
        <v>45923.38983987269</v>
      </c>
      <c r="B2087" s="9">
        <v>45923.0</v>
      </c>
      <c r="C2087" s="9" t="s">
        <v>110</v>
      </c>
      <c r="D2087" s="9" t="s">
        <v>397</v>
      </c>
      <c r="E2087" s="9" t="s">
        <v>17</v>
      </c>
      <c r="F2087" s="9" t="s">
        <v>17</v>
      </c>
      <c r="G2087" s="9" t="s">
        <v>24</v>
      </c>
      <c r="H2087" s="9" t="s">
        <v>22</v>
      </c>
      <c r="I2087" s="9" t="s">
        <v>20</v>
      </c>
      <c r="J2087" s="10"/>
      <c r="K2087" s="1" t="s">
        <v>398</v>
      </c>
      <c r="L2087" s="7"/>
      <c r="M2087" s="7"/>
      <c r="N2087" s="7" t="str">
        <f>IFERROR(__xludf.DUMMYFUNCTION("""COMPUTED_VALUE"""),"Miguel Vázquez|46052")</f>
        <v>Miguel Vázquez|46052</v>
      </c>
      <c r="O2087" s="7">
        <f>IFERROR(__xludf.DUMMYFUNCTION("""COMPUTED_VALUE"""),4.0)</f>
        <v>4</v>
      </c>
    </row>
    <row r="2088" ht="22.5" hidden="1" customHeight="1">
      <c r="A2088" s="8">
        <v>45923.390471782404</v>
      </c>
      <c r="B2088" s="9">
        <v>45923.0</v>
      </c>
      <c r="C2088" s="9" t="s">
        <v>110</v>
      </c>
      <c r="D2088" s="9" t="s">
        <v>367</v>
      </c>
      <c r="E2088" s="9" t="s">
        <v>17</v>
      </c>
      <c r="F2088" s="9" t="s">
        <v>17</v>
      </c>
      <c r="G2088" s="9" t="s">
        <v>24</v>
      </c>
      <c r="H2088" s="9" t="s">
        <v>17</v>
      </c>
      <c r="I2088" s="9" t="s">
        <v>20</v>
      </c>
      <c r="J2088" s="10"/>
      <c r="K2088" s="7" t="s">
        <v>398</v>
      </c>
      <c r="L2088" s="7"/>
      <c r="M2088" s="7"/>
      <c r="N2088" s="7" t="str">
        <f>IFERROR(__xludf.DUMMYFUNCTION("""COMPUTED_VALUE"""),"Isaías Violante|46052")</f>
        <v>Isaías Violante|46052</v>
      </c>
      <c r="O2088" s="7">
        <f>IFERROR(__xludf.DUMMYFUNCTION("""COMPUTED_VALUE"""),2.0)</f>
        <v>2</v>
      </c>
    </row>
    <row r="2089" ht="22.5" hidden="1" customHeight="1">
      <c r="A2089" s="8">
        <v>45923.40482486111</v>
      </c>
      <c r="B2089" s="9">
        <v>45923.0</v>
      </c>
      <c r="C2089" s="9" t="s">
        <v>110</v>
      </c>
      <c r="D2089" s="9" t="s">
        <v>177</v>
      </c>
      <c r="E2089" s="9" t="s">
        <v>17</v>
      </c>
      <c r="F2089" s="9" t="s">
        <v>17</v>
      </c>
      <c r="G2089" s="9" t="s">
        <v>24</v>
      </c>
      <c r="H2089" s="9" t="s">
        <v>22</v>
      </c>
      <c r="I2089" s="9" t="s">
        <v>20</v>
      </c>
      <c r="J2089" s="10"/>
      <c r="K2089" s="7" t="s">
        <v>398</v>
      </c>
      <c r="L2089" s="7"/>
      <c r="M2089" s="7"/>
      <c r="N2089" s="7" t="str">
        <f>IFERROR(__xludf.DUMMYFUNCTION("""COMPUTED_VALUE"""),"Brian Rodríguez|46052")</f>
        <v>Brian Rodríguez|46052</v>
      </c>
      <c r="O2089" s="7">
        <f>IFERROR(__xludf.DUMMYFUNCTION("""COMPUTED_VALUE"""),2.0)</f>
        <v>2</v>
      </c>
    </row>
    <row r="2090" ht="22.5" hidden="1" customHeight="1">
      <c r="A2090" s="8">
        <v>45923.405790439814</v>
      </c>
      <c r="B2090" s="9">
        <v>45923.0</v>
      </c>
      <c r="C2090" s="9" t="s">
        <v>110</v>
      </c>
      <c r="D2090" s="9" t="s">
        <v>350</v>
      </c>
      <c r="E2090" s="9" t="s">
        <v>17</v>
      </c>
      <c r="F2090" s="9" t="s">
        <v>17</v>
      </c>
      <c r="G2090" s="9" t="s">
        <v>24</v>
      </c>
      <c r="H2090" s="9" t="s">
        <v>17</v>
      </c>
      <c r="I2090" s="9" t="s">
        <v>20</v>
      </c>
      <c r="J2090" s="10"/>
      <c r="K2090" s="7" t="s">
        <v>398</v>
      </c>
      <c r="L2090" s="7"/>
      <c r="M2090" s="7"/>
      <c r="N2090" s="7" t="str">
        <f>IFERROR(__xludf.DUMMYFUNCTION("""COMPUTED_VALUE"""),"Rodolfo Cota|46052")</f>
        <v>Rodolfo Cota|46052</v>
      </c>
      <c r="O2090" s="7">
        <f>IFERROR(__xludf.DUMMYFUNCTION("""COMPUTED_VALUE"""),2.0)</f>
        <v>2</v>
      </c>
    </row>
    <row r="2091" ht="22.5" hidden="1" customHeight="1">
      <c r="A2091" s="8">
        <v>45923.40676356481</v>
      </c>
      <c r="B2091" s="9">
        <v>45923.0</v>
      </c>
      <c r="C2091" s="9" t="s">
        <v>110</v>
      </c>
      <c r="D2091" s="9" t="s">
        <v>210</v>
      </c>
      <c r="E2091" s="9" t="s">
        <v>17</v>
      </c>
      <c r="F2091" s="9" t="s">
        <v>18</v>
      </c>
      <c r="G2091" s="9" t="s">
        <v>24</v>
      </c>
      <c r="H2091" s="9" t="s">
        <v>22</v>
      </c>
      <c r="I2091" s="9" t="s">
        <v>20</v>
      </c>
      <c r="J2091" s="10"/>
      <c r="K2091" s="7" t="s">
        <v>398</v>
      </c>
      <c r="L2091" s="7"/>
      <c r="M2091" s="7"/>
      <c r="N2091" s="7" t="str">
        <f>IFERROR(__xludf.DUMMYFUNCTION("""COMPUTED_VALUE"""),"Allan Saint-Maximin|46052")</f>
        <v>Allan Saint-Maximin|46052</v>
      </c>
      <c r="O2091" s="7">
        <f>IFERROR(__xludf.DUMMYFUNCTION("""COMPUTED_VALUE"""),2.0)</f>
        <v>2</v>
      </c>
    </row>
    <row r="2092" ht="22.5" hidden="1" customHeight="1">
      <c r="A2092" s="8">
        <v>45923.412033773144</v>
      </c>
      <c r="B2092" s="9">
        <v>45923.0</v>
      </c>
      <c r="C2092" s="9" t="s">
        <v>110</v>
      </c>
      <c r="D2092" s="9" t="s">
        <v>357</v>
      </c>
      <c r="E2092" s="9" t="s">
        <v>17</v>
      </c>
      <c r="F2092" s="9" t="s">
        <v>17</v>
      </c>
      <c r="G2092" s="9" t="s">
        <v>24</v>
      </c>
      <c r="H2092" s="9" t="s">
        <v>17</v>
      </c>
      <c r="I2092" s="9" t="s">
        <v>20</v>
      </c>
      <c r="J2092" s="10"/>
      <c r="K2092" s="7" t="s">
        <v>398</v>
      </c>
      <c r="L2092" s="7"/>
      <c r="M2092" s="7"/>
      <c r="N2092" s="7" t="str">
        <f>IFERROR(__xludf.DUMMYFUNCTION("""COMPUTED_VALUE"""),"Alan Cervantes|46057")</f>
        <v>Alan Cervantes|46057</v>
      </c>
      <c r="O2092" s="7">
        <f>IFERROR(__xludf.DUMMYFUNCTION("""COMPUTED_VALUE"""),6.0)</f>
        <v>6</v>
      </c>
    </row>
    <row r="2093" ht="22.5" hidden="1" customHeight="1">
      <c r="A2093" s="8">
        <v>45926.33973487269</v>
      </c>
      <c r="B2093" s="9">
        <v>45926.0</v>
      </c>
      <c r="C2093" s="9" t="s">
        <v>48</v>
      </c>
      <c r="D2093" s="9" t="s">
        <v>280</v>
      </c>
      <c r="E2093" s="9" t="s">
        <v>17</v>
      </c>
      <c r="F2093" s="9" t="s">
        <v>17</v>
      </c>
      <c r="G2093" s="9" t="s">
        <v>24</v>
      </c>
      <c r="H2093" s="9" t="s">
        <v>17</v>
      </c>
      <c r="I2093" s="9" t="s">
        <v>37</v>
      </c>
      <c r="J2093" s="10"/>
      <c r="K2093" s="7" t="s">
        <v>398</v>
      </c>
      <c r="L2093" s="7"/>
      <c r="M2093" s="7"/>
      <c r="N2093" s="7" t="str">
        <f>IFERROR(__xludf.DUMMYFUNCTION("""COMPUTED_VALUE"""),"Henry Martín|46057")</f>
        <v>Henry Martín|46057</v>
      </c>
      <c r="O2093" s="7">
        <f>IFERROR(__xludf.DUMMYFUNCTION("""COMPUTED_VALUE"""),4.0)</f>
        <v>4</v>
      </c>
    </row>
    <row r="2094" ht="22.5" hidden="1" customHeight="1">
      <c r="A2094" s="8">
        <v>45926.34701702546</v>
      </c>
      <c r="B2094" s="9">
        <v>45926.0</v>
      </c>
      <c r="C2094" s="9" t="s">
        <v>48</v>
      </c>
      <c r="D2094" s="9" t="s">
        <v>259</v>
      </c>
      <c r="E2094" s="9" t="s">
        <v>17</v>
      </c>
      <c r="F2094" s="9" t="s">
        <v>18</v>
      </c>
      <c r="G2094" s="9" t="s">
        <v>24</v>
      </c>
      <c r="H2094" s="9" t="s">
        <v>17</v>
      </c>
      <c r="I2094" s="9" t="s">
        <v>20</v>
      </c>
      <c r="J2094" s="10"/>
      <c r="K2094" s="7" t="s">
        <v>398</v>
      </c>
      <c r="L2094" s="7"/>
      <c r="M2094" s="7"/>
      <c r="N2094" s="7" t="str">
        <f>IFERROR(__xludf.DUMMYFUNCTION("""COMPUTED_VALUE"""),"Miguel Vázquez|46057")</f>
        <v>Miguel Vázquez|46057</v>
      </c>
      <c r="O2094" s="7">
        <f>IFERROR(__xludf.DUMMYFUNCTION("""COMPUTED_VALUE"""),4.0)</f>
        <v>4</v>
      </c>
    </row>
    <row r="2095" ht="22.5" hidden="1" customHeight="1">
      <c r="A2095" s="8">
        <v>45926.34933336805</v>
      </c>
      <c r="B2095" s="9">
        <v>45926.0</v>
      </c>
      <c r="C2095" s="9" t="s">
        <v>48</v>
      </c>
      <c r="D2095" s="9" t="s">
        <v>177</v>
      </c>
      <c r="E2095" s="9" t="s">
        <v>17</v>
      </c>
      <c r="F2095" s="9" t="s">
        <v>17</v>
      </c>
      <c r="G2095" s="9" t="s">
        <v>24</v>
      </c>
      <c r="H2095" s="9" t="s">
        <v>22</v>
      </c>
      <c r="I2095" s="9" t="s">
        <v>20</v>
      </c>
      <c r="J2095" s="10"/>
      <c r="K2095" s="7" t="s">
        <v>398</v>
      </c>
      <c r="L2095" s="7"/>
      <c r="M2095" s="7"/>
      <c r="N2095" s="7" t="str">
        <f>IFERROR(__xludf.DUMMYFUNCTION("""COMPUTED_VALUE"""),"Santiago Naveda|46057")</f>
        <v>Santiago Naveda|46057</v>
      </c>
      <c r="O2095" s="7">
        <f>IFERROR(__xludf.DUMMYFUNCTION("""COMPUTED_VALUE"""),4.0)</f>
        <v>4</v>
      </c>
    </row>
    <row r="2096" ht="22.5" hidden="1" customHeight="1">
      <c r="A2096" s="8">
        <v>45926.34947806713</v>
      </c>
      <c r="B2096" s="9">
        <v>45926.0</v>
      </c>
      <c r="C2096" s="9" t="s">
        <v>48</v>
      </c>
      <c r="D2096" s="9" t="s">
        <v>393</v>
      </c>
      <c r="E2096" s="9" t="s">
        <v>17</v>
      </c>
      <c r="F2096" s="9" t="s">
        <v>17</v>
      </c>
      <c r="G2096" s="9" t="s">
        <v>24</v>
      </c>
      <c r="H2096" s="9" t="s">
        <v>22</v>
      </c>
      <c r="I2096" s="9" t="s">
        <v>20</v>
      </c>
      <c r="J2096" s="10"/>
      <c r="K2096" s="7" t="s">
        <v>398</v>
      </c>
      <c r="L2096" s="7"/>
      <c r="M2096" s="7"/>
      <c r="N2096" s="7" t="str">
        <f>IFERROR(__xludf.DUMMYFUNCTION("""COMPUTED_VALUE"""),"Brian Rodríguez|46057")</f>
        <v>Brian Rodríguez|46057</v>
      </c>
      <c r="O2096" s="7">
        <f>IFERROR(__xludf.DUMMYFUNCTION("""COMPUTED_VALUE"""),2.0)</f>
        <v>2</v>
      </c>
    </row>
    <row r="2097" ht="22.5" hidden="1" customHeight="1">
      <c r="A2097" s="8">
        <v>45926.349656122686</v>
      </c>
      <c r="B2097" s="9">
        <v>45926.0</v>
      </c>
      <c r="C2097" s="9" t="s">
        <v>48</v>
      </c>
      <c r="D2097" s="9" t="s">
        <v>258</v>
      </c>
      <c r="E2097" s="9" t="s">
        <v>17</v>
      </c>
      <c r="F2097" s="9" t="s">
        <v>17</v>
      </c>
      <c r="G2097" s="9" t="s">
        <v>24</v>
      </c>
      <c r="H2097" s="9" t="s">
        <v>22</v>
      </c>
      <c r="I2097" s="9" t="s">
        <v>20</v>
      </c>
      <c r="J2097" s="10"/>
      <c r="K2097" s="7" t="s">
        <v>398</v>
      </c>
      <c r="L2097" s="7"/>
      <c r="M2097" s="7"/>
      <c r="N2097" s="7" t="str">
        <f>IFERROR(__xludf.DUMMYFUNCTION("""COMPUTED_VALUE"""),"Isaías Violante|46057")</f>
        <v>Isaías Violante|46057</v>
      </c>
      <c r="O2097" s="7">
        <f>IFERROR(__xludf.DUMMYFUNCTION("""COMPUTED_VALUE"""),5.0)</f>
        <v>5</v>
      </c>
    </row>
    <row r="2098" ht="22.5" hidden="1" customHeight="1">
      <c r="A2098" s="8">
        <v>45926.357278587966</v>
      </c>
      <c r="B2098" s="9">
        <v>45926.0</v>
      </c>
      <c r="C2098" s="9" t="s">
        <v>48</v>
      </c>
      <c r="D2098" s="9" t="s">
        <v>257</v>
      </c>
      <c r="E2098" s="9" t="s">
        <v>17</v>
      </c>
      <c r="F2098" s="9" t="s">
        <v>17</v>
      </c>
      <c r="G2098" s="9" t="s">
        <v>24</v>
      </c>
      <c r="H2098" s="9" t="s">
        <v>25</v>
      </c>
      <c r="I2098" s="9" t="s">
        <v>240</v>
      </c>
      <c r="J2098" s="10"/>
      <c r="K2098" s="7" t="s">
        <v>398</v>
      </c>
      <c r="L2098" s="7"/>
      <c r="M2098" s="7"/>
      <c r="N2098" s="7" t="str">
        <f>IFERROR(__xludf.DUMMYFUNCTION("""COMPUTED_VALUE"""),"Alejando Zendejas|46057")</f>
        <v>Alejando Zendejas|46057</v>
      </c>
      <c r="O2098" s="7">
        <f>IFERROR(__xludf.DUMMYFUNCTION("""COMPUTED_VALUE"""),5.0)</f>
        <v>5</v>
      </c>
    </row>
    <row r="2099" ht="22.5" hidden="1" customHeight="1">
      <c r="A2099" s="8">
        <v>45926.3609009838</v>
      </c>
      <c r="B2099" s="9">
        <v>45926.0</v>
      </c>
      <c r="C2099" s="9" t="s">
        <v>48</v>
      </c>
      <c r="D2099" s="9" t="s">
        <v>223</v>
      </c>
      <c r="E2099" s="9" t="s">
        <v>17</v>
      </c>
      <c r="F2099" s="9" t="s">
        <v>17</v>
      </c>
      <c r="G2099" s="9" t="s">
        <v>19</v>
      </c>
      <c r="H2099" s="9" t="s">
        <v>25</v>
      </c>
      <c r="I2099" s="9" t="s">
        <v>399</v>
      </c>
      <c r="J2099" s="10"/>
      <c r="K2099" s="7" t="s">
        <v>398</v>
      </c>
      <c r="L2099" s="7"/>
      <c r="M2099" s="7"/>
      <c r="N2099" s="7" t="str">
        <f>IFERROR(__xludf.DUMMYFUNCTION("""COMPUTED_VALUE"""),"Raphael Veiga|46057")</f>
        <v>Raphael Veiga|46057</v>
      </c>
      <c r="O2099" s="7">
        <f>IFERROR(__xludf.DUMMYFUNCTION("""COMPUTED_VALUE"""),6.0)</f>
        <v>6</v>
      </c>
    </row>
    <row r="2100" ht="22.5" hidden="1" customHeight="1">
      <c r="A2100" s="8">
        <v>45926.364903912036</v>
      </c>
      <c r="B2100" s="9">
        <v>45926.0</v>
      </c>
      <c r="C2100" s="9" t="s">
        <v>48</v>
      </c>
      <c r="D2100" s="9" t="s">
        <v>247</v>
      </c>
      <c r="E2100" s="9" t="s">
        <v>17</v>
      </c>
      <c r="F2100" s="9" t="s">
        <v>17</v>
      </c>
      <c r="G2100" s="9" t="s">
        <v>24</v>
      </c>
      <c r="H2100" s="9" t="s">
        <v>25</v>
      </c>
      <c r="I2100" s="9" t="s">
        <v>28</v>
      </c>
      <c r="J2100" s="10"/>
      <c r="K2100" s="7" t="s">
        <v>398</v>
      </c>
      <c r="L2100" s="7"/>
      <c r="M2100" s="7"/>
      <c r="N2100" s="7" t="str">
        <f>IFERROR(__xludf.DUMMYFUNCTION("""COMPUTED_VALUE"""),"Patricio Salas|46057")</f>
        <v>Patricio Salas|46057</v>
      </c>
      <c r="O2100" s="7">
        <f>IFERROR(__xludf.DUMMYFUNCTION("""COMPUTED_VALUE"""),4.0)</f>
        <v>4</v>
      </c>
    </row>
    <row r="2101" ht="22.5" hidden="1" customHeight="1">
      <c r="A2101" s="8">
        <v>45926.36922965277</v>
      </c>
      <c r="B2101" s="9">
        <v>45926.0</v>
      </c>
      <c r="C2101" s="9" t="s">
        <v>48</v>
      </c>
      <c r="D2101" s="9" t="s">
        <v>178</v>
      </c>
      <c r="E2101" s="9" t="s">
        <v>17</v>
      </c>
      <c r="F2101" s="9" t="s">
        <v>18</v>
      </c>
      <c r="G2101" s="9" t="s">
        <v>24</v>
      </c>
      <c r="H2101" s="9" t="s">
        <v>22</v>
      </c>
      <c r="I2101" s="9" t="s">
        <v>20</v>
      </c>
      <c r="J2101" s="10"/>
      <c r="K2101" s="7" t="s">
        <v>398</v>
      </c>
      <c r="L2101" s="7"/>
      <c r="M2101" s="7"/>
      <c r="N2101" s="7" t="str">
        <f>IFERROR(__xludf.DUMMYFUNCTION("""COMPUTED_VALUE"""),"Aaron Mejia|46057")</f>
        <v>Aaron Mejia|46057</v>
      </c>
      <c r="O2101" s="7">
        <f>IFERROR(__xludf.DUMMYFUNCTION("""COMPUTED_VALUE"""),4.0)</f>
        <v>4</v>
      </c>
    </row>
    <row r="2102" ht="22.5" hidden="1" customHeight="1">
      <c r="A2102" s="8">
        <v>45926.36951209491</v>
      </c>
      <c r="B2102" s="9">
        <v>45926.0</v>
      </c>
      <c r="C2102" s="9" t="s">
        <v>48</v>
      </c>
      <c r="D2102" s="9" t="s">
        <v>361</v>
      </c>
      <c r="E2102" s="9" t="s">
        <v>17</v>
      </c>
      <c r="F2102" s="9" t="s">
        <v>17</v>
      </c>
      <c r="G2102" s="9" t="s">
        <v>24</v>
      </c>
      <c r="H2102" s="9" t="s">
        <v>22</v>
      </c>
      <c r="I2102" s="9" t="s">
        <v>20</v>
      </c>
      <c r="J2102" s="10"/>
      <c r="K2102" s="7" t="s">
        <v>398</v>
      </c>
      <c r="L2102" s="7"/>
      <c r="M2102" s="7"/>
      <c r="N2102" s="7" t="str">
        <f>IFERROR(__xludf.DUMMYFUNCTION("""COMPUTED_VALUE"""),"Santiago Naveda|46058")</f>
        <v>Santiago Naveda|46058</v>
      </c>
      <c r="O2102" s="7">
        <f>IFERROR(__xludf.DUMMYFUNCTION("""COMPUTED_VALUE"""),5.0)</f>
        <v>5</v>
      </c>
    </row>
    <row r="2103" ht="22.5" hidden="1" customHeight="1">
      <c r="A2103" s="8">
        <v>45926.37000575232</v>
      </c>
      <c r="B2103" s="9">
        <v>45926.0</v>
      </c>
      <c r="C2103" s="9" t="s">
        <v>48</v>
      </c>
      <c r="D2103" s="9" t="s">
        <v>395</v>
      </c>
      <c r="E2103" s="9" t="s">
        <v>17</v>
      </c>
      <c r="F2103" s="9" t="s">
        <v>17</v>
      </c>
      <c r="G2103" s="9" t="s">
        <v>24</v>
      </c>
      <c r="H2103" s="9" t="s">
        <v>22</v>
      </c>
      <c r="I2103" s="9" t="s">
        <v>20</v>
      </c>
      <c r="J2103" s="10"/>
      <c r="K2103" s="7" t="s">
        <v>398</v>
      </c>
      <c r="L2103" s="7"/>
      <c r="M2103" s="7"/>
      <c r="N2103" s="7" t="str">
        <f>IFERROR(__xludf.DUMMYFUNCTION("""COMPUTED_VALUE"""),"Aaron Mejia|46058")</f>
        <v>Aaron Mejia|46058</v>
      </c>
      <c r="O2103" s="7">
        <f>IFERROR(__xludf.DUMMYFUNCTION("""COMPUTED_VALUE"""),4.0)</f>
        <v>4</v>
      </c>
    </row>
    <row r="2104" ht="22.5" hidden="1" customHeight="1">
      <c r="A2104" s="8">
        <v>45926.37018421297</v>
      </c>
      <c r="B2104" s="9">
        <v>45926.0</v>
      </c>
      <c r="C2104" s="9" t="s">
        <v>48</v>
      </c>
      <c r="D2104" s="9" t="s">
        <v>350</v>
      </c>
      <c r="E2104" s="9" t="s">
        <v>17</v>
      </c>
      <c r="F2104" s="9" t="s">
        <v>17</v>
      </c>
      <c r="G2104" s="9" t="s">
        <v>24</v>
      </c>
      <c r="H2104" s="9" t="s">
        <v>22</v>
      </c>
      <c r="I2104" s="9" t="s">
        <v>20</v>
      </c>
      <c r="J2104" s="10"/>
      <c r="K2104" s="7" t="s">
        <v>398</v>
      </c>
      <c r="L2104" s="7"/>
      <c r="M2104" s="7"/>
      <c r="N2104" s="7" t="str">
        <f>IFERROR(__xludf.DUMMYFUNCTION("""COMPUTED_VALUE"""),"Alexis Gutiérrez|46058")</f>
        <v>Alexis Gutiérrez|46058</v>
      </c>
      <c r="O2104" s="7">
        <f>IFERROR(__xludf.DUMMYFUNCTION("""COMPUTED_VALUE"""),4.0)</f>
        <v>4</v>
      </c>
    </row>
    <row r="2105" ht="22.5" hidden="1" customHeight="1">
      <c r="A2105" s="8">
        <v>45926.370466319444</v>
      </c>
      <c r="B2105" s="9">
        <v>45926.0</v>
      </c>
      <c r="C2105" s="9" t="s">
        <v>48</v>
      </c>
      <c r="D2105" s="9" t="s">
        <v>174</v>
      </c>
      <c r="E2105" s="9" t="s">
        <v>17</v>
      </c>
      <c r="F2105" s="9" t="s">
        <v>17</v>
      </c>
      <c r="G2105" s="9" t="s">
        <v>24</v>
      </c>
      <c r="H2105" s="9" t="s">
        <v>22</v>
      </c>
      <c r="I2105" s="9" t="s">
        <v>20</v>
      </c>
      <c r="J2105" s="10"/>
      <c r="K2105" s="7" t="s">
        <v>398</v>
      </c>
      <c r="L2105" s="7"/>
      <c r="M2105" s="7"/>
      <c r="N2105" s="7" t="str">
        <f>IFERROR(__xludf.DUMMYFUNCTION("""COMPUTED_VALUE"""),"Rodolfo Cota|46058")</f>
        <v>Rodolfo Cota|46058</v>
      </c>
      <c r="O2105" s="7">
        <f>IFERROR(__xludf.DUMMYFUNCTION("""COMPUTED_VALUE"""),2.0)</f>
        <v>2</v>
      </c>
    </row>
    <row r="2106" ht="22.5" hidden="1" customHeight="1">
      <c r="A2106" s="8">
        <v>45926.37084695602</v>
      </c>
      <c r="B2106" s="9">
        <v>45926.0</v>
      </c>
      <c r="C2106" s="9" t="s">
        <v>48</v>
      </c>
      <c r="D2106" s="9" t="s">
        <v>357</v>
      </c>
      <c r="E2106" s="9" t="s">
        <v>17</v>
      </c>
      <c r="F2106" s="9" t="s">
        <v>17</v>
      </c>
      <c r="G2106" s="9" t="s">
        <v>24</v>
      </c>
      <c r="H2106" s="9" t="s">
        <v>25</v>
      </c>
      <c r="I2106" s="9" t="s">
        <v>89</v>
      </c>
      <c r="J2106" s="10"/>
      <c r="K2106" s="7" t="s">
        <v>398</v>
      </c>
      <c r="L2106" s="7"/>
      <c r="M2106" s="7"/>
      <c r="N2106" s="7" t="str">
        <f>IFERROR(__xludf.DUMMYFUNCTION("""COMPUTED_VALUE"""),"Henry Martín|46058")</f>
        <v>Henry Martín|46058</v>
      </c>
      <c r="O2106" s="7">
        <f>IFERROR(__xludf.DUMMYFUNCTION("""COMPUTED_VALUE"""),4.0)</f>
        <v>4</v>
      </c>
    </row>
    <row r="2107" ht="22.5" hidden="1" customHeight="1">
      <c r="A2107" s="8">
        <v>45926.385102175926</v>
      </c>
      <c r="B2107" s="9">
        <v>45926.0</v>
      </c>
      <c r="C2107" s="9" t="s">
        <v>48</v>
      </c>
      <c r="D2107" s="9" t="s">
        <v>171</v>
      </c>
      <c r="E2107" s="9" t="s">
        <v>17</v>
      </c>
      <c r="F2107" s="9" t="s">
        <v>17</v>
      </c>
      <c r="G2107" s="9" t="s">
        <v>24</v>
      </c>
      <c r="H2107" s="9" t="s">
        <v>17</v>
      </c>
      <c r="I2107" s="9" t="s">
        <v>20</v>
      </c>
      <c r="J2107" s="10"/>
      <c r="K2107" s="7" t="s">
        <v>398</v>
      </c>
      <c r="L2107" s="7"/>
      <c r="M2107" s="7"/>
      <c r="N2107" s="7" t="str">
        <f>IFERROR(__xludf.DUMMYFUNCTION("""COMPUTED_VALUE"""),"Miguel Vázquez|46058")</f>
        <v>Miguel Vázquez|46058</v>
      </c>
      <c r="O2107" s="7">
        <f>IFERROR(__xludf.DUMMYFUNCTION("""COMPUTED_VALUE"""),7.0)</f>
        <v>7</v>
      </c>
    </row>
    <row r="2108" ht="22.5" hidden="1" customHeight="1">
      <c r="A2108" s="8">
        <v>45926.38564234954</v>
      </c>
      <c r="B2108" s="9">
        <v>45926.0</v>
      </c>
      <c r="C2108" s="9" t="s">
        <v>48</v>
      </c>
      <c r="D2108" s="9" t="s">
        <v>367</v>
      </c>
      <c r="E2108" s="9" t="s">
        <v>17</v>
      </c>
      <c r="F2108" s="9" t="s">
        <v>17</v>
      </c>
      <c r="G2108" s="9" t="s">
        <v>24</v>
      </c>
      <c r="H2108" s="9" t="s">
        <v>17</v>
      </c>
      <c r="I2108" s="9" t="s">
        <v>37</v>
      </c>
      <c r="J2108" s="10"/>
      <c r="K2108" s="7" t="s">
        <v>398</v>
      </c>
      <c r="L2108" s="7"/>
      <c r="M2108" s="7"/>
      <c r="N2108" s="7" t="str">
        <f>IFERROR(__xludf.DUMMYFUNCTION("""COMPUTED_VALUE"""),"Raphael Veiga|46058")</f>
        <v>Raphael Veiga|46058</v>
      </c>
      <c r="O2108" s="7">
        <f>IFERROR(__xludf.DUMMYFUNCTION("""COMPUTED_VALUE"""),3.0)</f>
        <v>3</v>
      </c>
    </row>
    <row r="2109" ht="22.5" hidden="1" customHeight="1">
      <c r="A2109" s="8">
        <v>45926.38942910879</v>
      </c>
      <c r="B2109" s="9">
        <v>45926.0</v>
      </c>
      <c r="C2109" s="9" t="s">
        <v>48</v>
      </c>
      <c r="D2109" s="9" t="s">
        <v>396</v>
      </c>
      <c r="E2109" s="9" t="s">
        <v>17</v>
      </c>
      <c r="F2109" s="9" t="s">
        <v>17</v>
      </c>
      <c r="G2109" s="9" t="s">
        <v>24</v>
      </c>
      <c r="H2109" s="9" t="s">
        <v>22</v>
      </c>
      <c r="I2109" s="9" t="s">
        <v>20</v>
      </c>
      <c r="J2109" s="10"/>
      <c r="K2109" s="7" t="s">
        <v>398</v>
      </c>
      <c r="L2109" s="7"/>
      <c r="M2109" s="7"/>
      <c r="N2109" s="7" t="str">
        <f>IFERROR(__xludf.DUMMYFUNCTION("""COMPUTED_VALUE"""),"Brian Rodríguez|46058")</f>
        <v>Brian Rodríguez|46058</v>
      </c>
      <c r="O2109" s="7">
        <f>IFERROR(__xludf.DUMMYFUNCTION("""COMPUTED_VALUE"""),4.0)</f>
        <v>4</v>
      </c>
    </row>
    <row r="2110" ht="22.5" hidden="1" customHeight="1">
      <c r="A2110" s="8">
        <v>45926.40699524306</v>
      </c>
      <c r="B2110" s="9">
        <v>45926.0</v>
      </c>
      <c r="C2110" s="9" t="s">
        <v>48</v>
      </c>
      <c r="D2110" s="9" t="s">
        <v>397</v>
      </c>
      <c r="E2110" s="9" t="s">
        <v>17</v>
      </c>
      <c r="F2110" s="9" t="s">
        <v>18</v>
      </c>
      <c r="G2110" s="9" t="s">
        <v>19</v>
      </c>
      <c r="H2110" s="9" t="s">
        <v>22</v>
      </c>
      <c r="I2110" s="9" t="s">
        <v>20</v>
      </c>
      <c r="J2110" s="10"/>
      <c r="K2110" s="1" t="s">
        <v>398</v>
      </c>
      <c r="L2110" s="7"/>
      <c r="M2110" s="7"/>
      <c r="N2110" s="7" t="str">
        <f>IFERROR(__xludf.DUMMYFUNCTION("""COMPUTED_VALUE"""),"Isaías Violante|46058")</f>
        <v>Isaías Violante|46058</v>
      </c>
      <c r="O2110" s="7">
        <f>IFERROR(__xludf.DUMMYFUNCTION("""COMPUTED_VALUE"""),4.0)</f>
        <v>4</v>
      </c>
    </row>
    <row r="2111" ht="22.5" hidden="1" customHeight="1">
      <c r="A2111" s="8">
        <v>45930.35072290509</v>
      </c>
      <c r="B2111" s="9">
        <v>45930.0</v>
      </c>
      <c r="C2111" s="9" t="s">
        <v>110</v>
      </c>
      <c r="D2111" s="9" t="s">
        <v>249</v>
      </c>
      <c r="E2111" s="9" t="s">
        <v>17</v>
      </c>
      <c r="F2111" s="9" t="s">
        <v>17</v>
      </c>
      <c r="G2111" s="9" t="s">
        <v>24</v>
      </c>
      <c r="H2111" s="9" t="s">
        <v>25</v>
      </c>
      <c r="I2111" s="9" t="s">
        <v>207</v>
      </c>
      <c r="J2111" s="10"/>
      <c r="K2111" s="7" t="s">
        <v>398</v>
      </c>
      <c r="L2111" s="7"/>
      <c r="M2111" s="7"/>
      <c r="N2111" s="7" t="str">
        <f>IFERROR(__xludf.DUMMYFUNCTION("""COMPUTED_VALUE"""),"Alan Cervantes|46058")</f>
        <v>Alan Cervantes|46058</v>
      </c>
      <c r="O2111" s="7">
        <f>IFERROR(__xludf.DUMMYFUNCTION("""COMPUTED_VALUE"""),7.0)</f>
        <v>7</v>
      </c>
    </row>
    <row r="2112" ht="22.5" hidden="1" customHeight="1">
      <c r="A2112" s="8">
        <v>45930.352601203704</v>
      </c>
      <c r="B2112" s="9">
        <v>45930.0</v>
      </c>
      <c r="C2112" s="9" t="s">
        <v>110</v>
      </c>
      <c r="D2112" s="9" t="s">
        <v>258</v>
      </c>
      <c r="E2112" s="9" t="s">
        <v>17</v>
      </c>
      <c r="F2112" s="9" t="s">
        <v>17</v>
      </c>
      <c r="G2112" s="9" t="s">
        <v>24</v>
      </c>
      <c r="H2112" s="9" t="s">
        <v>22</v>
      </c>
      <c r="I2112" s="9" t="s">
        <v>20</v>
      </c>
      <c r="J2112" s="10"/>
      <c r="K2112" s="7" t="s">
        <v>398</v>
      </c>
      <c r="L2112" s="7"/>
      <c r="M2112" s="7"/>
      <c r="N2112" s="7" t="str">
        <f>IFERROR(__xludf.DUMMYFUNCTION("""COMPUTED_VALUE"""),"Patricio Salas|46058")</f>
        <v>Patricio Salas|46058</v>
      </c>
      <c r="O2112" s="7">
        <f>IFERROR(__xludf.DUMMYFUNCTION("""COMPUTED_VALUE"""),4.0)</f>
        <v>4</v>
      </c>
    </row>
    <row r="2113" ht="22.5" hidden="1" customHeight="1">
      <c r="A2113" s="8">
        <v>45930.357260543984</v>
      </c>
      <c r="B2113" s="9">
        <v>45930.0</v>
      </c>
      <c r="C2113" s="9" t="s">
        <v>110</v>
      </c>
      <c r="D2113" s="9" t="s">
        <v>280</v>
      </c>
      <c r="E2113" s="9" t="s">
        <v>17</v>
      </c>
      <c r="F2113" s="9" t="s">
        <v>17</v>
      </c>
      <c r="G2113" s="9" t="s">
        <v>24</v>
      </c>
      <c r="H2113" s="9" t="s">
        <v>17</v>
      </c>
      <c r="I2113" s="9" t="s">
        <v>20</v>
      </c>
      <c r="J2113" s="10"/>
      <c r="K2113" s="7" t="s">
        <v>398</v>
      </c>
      <c r="L2113" s="7"/>
      <c r="M2113" s="7"/>
      <c r="N2113" s="7" t="str">
        <f>IFERROR(__xludf.DUMMYFUNCTION("""COMPUTED_VALUE"""),"Israel Reyes|46058")</f>
        <v>Israel Reyes|46058</v>
      </c>
      <c r="O2113" s="7">
        <f>IFERROR(__xludf.DUMMYFUNCTION("""COMPUTED_VALUE"""),8.0)</f>
        <v>8</v>
      </c>
    </row>
    <row r="2114" ht="22.5" hidden="1" customHeight="1">
      <c r="A2114" s="8">
        <v>45930.3669765625</v>
      </c>
      <c r="B2114" s="9">
        <v>45930.0</v>
      </c>
      <c r="C2114" s="9" t="s">
        <v>110</v>
      </c>
      <c r="D2114" s="9" t="s">
        <v>171</v>
      </c>
      <c r="E2114" s="9" t="s">
        <v>17</v>
      </c>
      <c r="F2114" s="9" t="s">
        <v>17</v>
      </c>
      <c r="G2114" s="9" t="s">
        <v>24</v>
      </c>
      <c r="H2114" s="9" t="s">
        <v>25</v>
      </c>
      <c r="I2114" s="9" t="s">
        <v>242</v>
      </c>
      <c r="J2114" s="10"/>
      <c r="K2114" s="7" t="s">
        <v>398</v>
      </c>
      <c r="L2114" s="7"/>
      <c r="M2114" s="7"/>
      <c r="N2114" s="7" t="str">
        <f>IFERROR(__xludf.DUMMYFUNCTION("""COMPUTED_VALUE"""),"Néstor Araujo|46058")</f>
        <v>Néstor Araujo|46058</v>
      </c>
      <c r="O2114" s="7">
        <f>IFERROR(__xludf.DUMMYFUNCTION("""COMPUTED_VALUE"""),6.0)</f>
        <v>6</v>
      </c>
    </row>
    <row r="2115" ht="22.5" hidden="1" customHeight="1">
      <c r="A2115" s="8">
        <v>45930.367270393515</v>
      </c>
      <c r="B2115" s="9">
        <v>45930.0</v>
      </c>
      <c r="C2115" s="9" t="s">
        <v>110</v>
      </c>
      <c r="D2115" s="9" t="s">
        <v>174</v>
      </c>
      <c r="E2115" s="9" t="s">
        <v>17</v>
      </c>
      <c r="F2115" s="9" t="s">
        <v>17</v>
      </c>
      <c r="G2115" s="9" t="s">
        <v>24</v>
      </c>
      <c r="H2115" s="9" t="s">
        <v>22</v>
      </c>
      <c r="I2115" s="9" t="s">
        <v>20</v>
      </c>
      <c r="J2115" s="10"/>
      <c r="K2115" s="7" t="s">
        <v>398</v>
      </c>
      <c r="L2115" s="7"/>
      <c r="M2115" s="7"/>
      <c r="N2115" s="7" t="str">
        <f>IFERROR(__xludf.DUMMYFUNCTION("""COMPUTED_VALUE"""),"Luis Ángel Malagón|46058")</f>
        <v>Luis Ángel Malagón|46058</v>
      </c>
      <c r="O2115" s="7">
        <f>IFERROR(__xludf.DUMMYFUNCTION("""COMPUTED_VALUE"""),4.0)</f>
        <v>4</v>
      </c>
    </row>
    <row r="2116" ht="22.5" hidden="1" customHeight="1">
      <c r="A2116" s="8">
        <v>45930.36766606482</v>
      </c>
      <c r="B2116" s="9">
        <v>45930.0</v>
      </c>
      <c r="C2116" s="9" t="s">
        <v>110</v>
      </c>
      <c r="D2116" s="9" t="s">
        <v>257</v>
      </c>
      <c r="E2116" s="9" t="s">
        <v>17</v>
      </c>
      <c r="F2116" s="9" t="s">
        <v>17</v>
      </c>
      <c r="G2116" s="9" t="s">
        <v>24</v>
      </c>
      <c r="H2116" s="9" t="s">
        <v>25</v>
      </c>
      <c r="I2116" s="9" t="s">
        <v>240</v>
      </c>
      <c r="J2116" s="10"/>
      <c r="K2116" s="7" t="s">
        <v>398</v>
      </c>
      <c r="L2116" s="7"/>
      <c r="M2116" s="7"/>
      <c r="N2116" s="7" t="str">
        <f>IFERROR(__xludf.DUMMYFUNCTION("""COMPUTED_VALUE"""),"Paolo Bedolla|46058")</f>
        <v>Paolo Bedolla|46058</v>
      </c>
      <c r="O2116" s="7">
        <f>IFERROR(__xludf.DUMMYFUNCTION("""COMPUTED_VALUE"""),3.0)</f>
        <v>3</v>
      </c>
    </row>
    <row r="2117" ht="22.5" hidden="1" customHeight="1">
      <c r="A2117" s="8">
        <v>45930.369535370366</v>
      </c>
      <c r="B2117" s="9">
        <v>45930.0</v>
      </c>
      <c r="C2117" s="9" t="s">
        <v>110</v>
      </c>
      <c r="D2117" s="9" t="s">
        <v>393</v>
      </c>
      <c r="E2117" s="9" t="s">
        <v>17</v>
      </c>
      <c r="F2117" s="9" t="s">
        <v>17</v>
      </c>
      <c r="G2117" s="9" t="s">
        <v>24</v>
      </c>
      <c r="H2117" s="9" t="s">
        <v>22</v>
      </c>
      <c r="I2117" s="9" t="s">
        <v>20</v>
      </c>
      <c r="J2117" s="10"/>
      <c r="K2117" s="7" t="s">
        <v>398</v>
      </c>
      <c r="L2117" s="7"/>
      <c r="M2117" s="7"/>
      <c r="N2117" s="7" t="str">
        <f>IFERROR(__xludf.DUMMYFUNCTION("""COMPUTED_VALUE"""),"Fernando Tapia|46058")</f>
        <v>Fernando Tapia|46058</v>
      </c>
      <c r="O2117" s="7">
        <f>IFERROR(__xludf.DUMMYFUNCTION("""COMPUTED_VALUE"""),3.0)</f>
        <v>3</v>
      </c>
    </row>
    <row r="2118" ht="22.5" hidden="1" customHeight="1">
      <c r="A2118" s="8">
        <v>45930.36970707176</v>
      </c>
      <c r="B2118" s="9">
        <v>45930.0</v>
      </c>
      <c r="C2118" s="9" t="s">
        <v>110</v>
      </c>
      <c r="D2118" s="9" t="s">
        <v>395</v>
      </c>
      <c r="E2118" s="9" t="s">
        <v>17</v>
      </c>
      <c r="F2118" s="9" t="s">
        <v>17</v>
      </c>
      <c r="G2118" s="9" t="s">
        <v>24</v>
      </c>
      <c r="H2118" s="9" t="s">
        <v>22</v>
      </c>
      <c r="I2118" s="9" t="s">
        <v>20</v>
      </c>
      <c r="J2118" s="10"/>
      <c r="K2118" s="7" t="s">
        <v>398</v>
      </c>
      <c r="L2118" s="7"/>
      <c r="M2118" s="7"/>
      <c r="N2118" s="7" t="str">
        <f>IFERROR(__xludf.DUMMYFUNCTION("""COMPUTED_VALUE"""),"Isaías Violante|46062")</f>
        <v>Isaías Violante|46062</v>
      </c>
      <c r="O2118" s="7">
        <f>IFERROR(__xludf.DUMMYFUNCTION("""COMPUTED_VALUE"""),6.0)</f>
        <v>6</v>
      </c>
    </row>
    <row r="2119" ht="22.5" hidden="1" customHeight="1">
      <c r="A2119" s="8">
        <v>45930.3698969213</v>
      </c>
      <c r="B2119" s="9">
        <v>45930.0</v>
      </c>
      <c r="C2119" s="9" t="s">
        <v>110</v>
      </c>
      <c r="D2119" s="9" t="s">
        <v>357</v>
      </c>
      <c r="E2119" s="9" t="s">
        <v>17</v>
      </c>
      <c r="F2119" s="9" t="s">
        <v>17</v>
      </c>
      <c r="G2119" s="9" t="s">
        <v>24</v>
      </c>
      <c r="H2119" s="9" t="s">
        <v>25</v>
      </c>
      <c r="I2119" s="9" t="s">
        <v>273</v>
      </c>
      <c r="J2119" s="10"/>
      <c r="K2119" s="7" t="s">
        <v>398</v>
      </c>
      <c r="L2119" s="7"/>
      <c r="M2119" s="7"/>
      <c r="N2119" s="7" t="str">
        <f>IFERROR(__xludf.DUMMYFUNCTION("""COMPUTED_VALUE"""),"Rodolfo Cota|46062")</f>
        <v>Rodolfo Cota|46062</v>
      </c>
      <c r="O2119" s="7">
        <f>IFERROR(__xludf.DUMMYFUNCTION("""COMPUTED_VALUE"""),2.0)</f>
        <v>2</v>
      </c>
    </row>
    <row r="2120" ht="22.5" hidden="1" customHeight="1">
      <c r="A2120" s="8">
        <v>45930.37462818287</v>
      </c>
      <c r="B2120" s="9">
        <v>45930.0</v>
      </c>
      <c r="C2120" s="9" t="s">
        <v>110</v>
      </c>
      <c r="D2120" s="9" t="s">
        <v>177</v>
      </c>
      <c r="E2120" s="9" t="s">
        <v>17</v>
      </c>
      <c r="F2120" s="9" t="s">
        <v>17</v>
      </c>
      <c r="G2120" s="9" t="s">
        <v>24</v>
      </c>
      <c r="H2120" s="9" t="s">
        <v>17</v>
      </c>
      <c r="I2120" s="9" t="s">
        <v>20</v>
      </c>
      <c r="J2120" s="10"/>
      <c r="K2120" s="7" t="s">
        <v>398</v>
      </c>
      <c r="L2120" s="7"/>
      <c r="M2120" s="7"/>
      <c r="N2120" s="7" t="str">
        <f>IFERROR(__xludf.DUMMYFUNCTION("""COMPUTED_VALUE"""),"Alexis Gutiérrez|46062")</f>
        <v>Alexis Gutiérrez|46062</v>
      </c>
      <c r="O2120" s="7">
        <f>IFERROR(__xludf.DUMMYFUNCTION("""COMPUTED_VALUE"""),5.0)</f>
        <v>5</v>
      </c>
    </row>
    <row r="2121" ht="22.5" hidden="1" customHeight="1">
      <c r="A2121" s="8">
        <v>45930.384636874995</v>
      </c>
      <c r="B2121" s="9">
        <v>45930.0</v>
      </c>
      <c r="C2121" s="9" t="s">
        <v>110</v>
      </c>
      <c r="D2121" s="9" t="s">
        <v>247</v>
      </c>
      <c r="E2121" s="9" t="s">
        <v>17</v>
      </c>
      <c r="F2121" s="9" t="s">
        <v>17</v>
      </c>
      <c r="G2121" s="9" t="s">
        <v>24</v>
      </c>
      <c r="H2121" s="9" t="s">
        <v>17</v>
      </c>
      <c r="I2121" s="9" t="s">
        <v>20</v>
      </c>
      <c r="J2121" s="10"/>
      <c r="K2121" s="7" t="s">
        <v>398</v>
      </c>
      <c r="L2121" s="7"/>
      <c r="M2121" s="7"/>
      <c r="N2121" s="7" t="str">
        <f>IFERROR(__xludf.DUMMYFUNCTION("""COMPUTED_VALUE"""),"Néstor Araujo|46062")</f>
        <v>Néstor Araujo|46062</v>
      </c>
      <c r="O2121" s="7">
        <f>IFERROR(__xludf.DUMMYFUNCTION("""COMPUTED_VALUE"""),6.0)</f>
        <v>6</v>
      </c>
    </row>
    <row r="2122" ht="22.5" hidden="1" customHeight="1">
      <c r="A2122" s="8">
        <v>45930.38815517361</v>
      </c>
      <c r="B2122" s="9">
        <v>45930.0</v>
      </c>
      <c r="C2122" s="9" t="s">
        <v>110</v>
      </c>
      <c r="D2122" s="9" t="s">
        <v>259</v>
      </c>
      <c r="E2122" s="9" t="s">
        <v>17</v>
      </c>
      <c r="F2122" s="9" t="s">
        <v>17</v>
      </c>
      <c r="G2122" s="9" t="s">
        <v>19</v>
      </c>
      <c r="H2122" s="9" t="s">
        <v>25</v>
      </c>
      <c r="I2122" s="9" t="s">
        <v>401</v>
      </c>
      <c r="J2122" s="10"/>
      <c r="K2122" s="7" t="s">
        <v>398</v>
      </c>
      <c r="L2122" s="7"/>
      <c r="M2122" s="7"/>
      <c r="N2122" s="7" t="str">
        <f>IFERROR(__xludf.DUMMYFUNCTION("""COMPUTED_VALUE"""),"Miguel Vázquez|46062")</f>
        <v>Miguel Vázquez|46062</v>
      </c>
      <c r="O2122" s="7">
        <f>IFERROR(__xludf.DUMMYFUNCTION("""COMPUTED_VALUE"""),6.0)</f>
        <v>6</v>
      </c>
    </row>
    <row r="2123" ht="22.5" hidden="1" customHeight="1">
      <c r="A2123" s="8">
        <v>45930.38858100695</v>
      </c>
      <c r="B2123" s="9">
        <v>45930.0</v>
      </c>
      <c r="C2123" s="9" t="s">
        <v>110</v>
      </c>
      <c r="D2123" s="9" t="s">
        <v>397</v>
      </c>
      <c r="E2123" s="9" t="s">
        <v>17</v>
      </c>
      <c r="F2123" s="9" t="s">
        <v>17</v>
      </c>
      <c r="G2123" s="9" t="s">
        <v>24</v>
      </c>
      <c r="H2123" s="9" t="s">
        <v>22</v>
      </c>
      <c r="I2123" s="9" t="s">
        <v>20</v>
      </c>
      <c r="J2123" s="10"/>
      <c r="K2123" s="1" t="s">
        <v>398</v>
      </c>
      <c r="L2123" s="7"/>
      <c r="M2123" s="7"/>
      <c r="N2123" s="7" t="str">
        <f>IFERROR(__xludf.DUMMYFUNCTION("""COMPUTED_VALUE"""),"Paolo Bedolla|46062")</f>
        <v>Paolo Bedolla|46062</v>
      </c>
      <c r="O2123" s="7">
        <f>IFERROR(__xludf.DUMMYFUNCTION("""COMPUTED_VALUE"""),3.0)</f>
        <v>3</v>
      </c>
    </row>
    <row r="2124" ht="22.5" hidden="1" customHeight="1">
      <c r="A2124" s="8">
        <v>45930.3936884375</v>
      </c>
      <c r="B2124" s="9">
        <v>45930.0</v>
      </c>
      <c r="C2124" s="9" t="s">
        <v>110</v>
      </c>
      <c r="D2124" s="9" t="s">
        <v>361</v>
      </c>
      <c r="E2124" s="9" t="s">
        <v>17</v>
      </c>
      <c r="F2124" s="9" t="s">
        <v>17</v>
      </c>
      <c r="G2124" s="9" t="s">
        <v>24</v>
      </c>
      <c r="H2124" s="9" t="s">
        <v>22</v>
      </c>
      <c r="I2124" s="9" t="s">
        <v>20</v>
      </c>
      <c r="J2124" s="10"/>
      <c r="K2124" s="7" t="s">
        <v>398</v>
      </c>
      <c r="L2124" s="7"/>
      <c r="M2124" s="7"/>
      <c r="N2124" s="7" t="str">
        <f>IFERROR(__xludf.DUMMYFUNCTION("""COMPUTED_VALUE"""),"Ramón Juárez|46062")</f>
        <v>Ramón Juárez|46062</v>
      </c>
      <c r="O2124" s="7">
        <f>IFERROR(__xludf.DUMMYFUNCTION("""COMPUTED_VALUE"""),5.0)</f>
        <v>5</v>
      </c>
    </row>
    <row r="2125" ht="22.5" hidden="1" customHeight="1">
      <c r="A2125" s="8">
        <v>45930.3952375463</v>
      </c>
      <c r="B2125" s="9">
        <v>45930.0</v>
      </c>
      <c r="C2125" s="9" t="s">
        <v>110</v>
      </c>
      <c r="D2125" s="9" t="s">
        <v>175</v>
      </c>
      <c r="E2125" s="9" t="s">
        <v>17</v>
      </c>
      <c r="F2125" s="9" t="s">
        <v>17</v>
      </c>
      <c r="G2125" s="9" t="s">
        <v>24</v>
      </c>
      <c r="H2125" s="9" t="s">
        <v>17</v>
      </c>
      <c r="I2125" s="9" t="s">
        <v>20</v>
      </c>
      <c r="J2125" s="10"/>
      <c r="K2125" s="7" t="s">
        <v>398</v>
      </c>
      <c r="L2125" s="7"/>
      <c r="M2125" s="7"/>
      <c r="N2125" s="7" t="str">
        <f>IFERROR(__xludf.DUMMYFUNCTION("""COMPUTED_VALUE"""),"Aaron Mejia|46062")</f>
        <v>Aaron Mejia|46062</v>
      </c>
      <c r="O2125" s="7">
        <f>IFERROR(__xludf.DUMMYFUNCTION("""COMPUTED_VALUE"""),6.0)</f>
        <v>6</v>
      </c>
    </row>
    <row r="2126" ht="22.5" hidden="1" customHeight="1">
      <c r="A2126" s="8">
        <v>45930.40193920139</v>
      </c>
      <c r="B2126" s="9">
        <v>45930.0</v>
      </c>
      <c r="C2126" s="9" t="s">
        <v>110</v>
      </c>
      <c r="D2126" s="9" t="s">
        <v>210</v>
      </c>
      <c r="E2126" s="9" t="s">
        <v>17</v>
      </c>
      <c r="F2126" s="9" t="s">
        <v>18</v>
      </c>
      <c r="G2126" s="9" t="s">
        <v>24</v>
      </c>
      <c r="H2126" s="9" t="s">
        <v>22</v>
      </c>
      <c r="I2126" s="9" t="s">
        <v>20</v>
      </c>
      <c r="J2126" s="10"/>
      <c r="K2126" s="7" t="s">
        <v>398</v>
      </c>
      <c r="L2126" s="7"/>
      <c r="M2126" s="7"/>
      <c r="N2126" s="7" t="str">
        <f>IFERROR(__xludf.DUMMYFUNCTION("""COMPUTED_VALUE"""),"José Raúl Zúñiga|46062")</f>
        <v>José Raúl Zúñiga|46062</v>
      </c>
      <c r="O2126" s="7">
        <f>IFERROR(__xludf.DUMMYFUNCTION("""COMPUTED_VALUE"""),4.0)</f>
        <v>4</v>
      </c>
    </row>
    <row r="2127" ht="22.5" hidden="1" customHeight="1">
      <c r="A2127" s="8">
        <v>45930.417426562504</v>
      </c>
      <c r="B2127" s="9">
        <v>45930.0</v>
      </c>
      <c r="C2127" s="9" t="s">
        <v>110</v>
      </c>
      <c r="D2127" s="9" t="s">
        <v>168</v>
      </c>
      <c r="E2127" s="9" t="s">
        <v>17</v>
      </c>
      <c r="F2127" s="9" t="s">
        <v>17</v>
      </c>
      <c r="G2127" s="9" t="s">
        <v>24</v>
      </c>
      <c r="H2127" s="9" t="s">
        <v>25</v>
      </c>
      <c r="I2127" s="9" t="s">
        <v>240</v>
      </c>
      <c r="J2127" s="10"/>
      <c r="K2127" s="7" t="s">
        <v>398</v>
      </c>
      <c r="L2127" s="7"/>
      <c r="M2127" s="7"/>
      <c r="N2127" s="7" t="str">
        <f>IFERROR(__xludf.DUMMYFUNCTION("""COMPUTED_VALUE"""),"Raphael Veiga|46062")</f>
        <v>Raphael Veiga|46062</v>
      </c>
      <c r="O2127" s="7">
        <f>IFERROR(__xludf.DUMMYFUNCTION("""COMPUTED_VALUE"""),4.0)</f>
        <v>4</v>
      </c>
    </row>
    <row r="2128" ht="22.5" hidden="1" customHeight="1">
      <c r="A2128" s="8">
        <v>45931.368601712966</v>
      </c>
      <c r="B2128" s="9">
        <v>45931.0</v>
      </c>
      <c r="C2128" s="9" t="s">
        <v>15</v>
      </c>
      <c r="D2128" s="9" t="s">
        <v>395</v>
      </c>
      <c r="E2128" s="9" t="s">
        <v>17</v>
      </c>
      <c r="F2128" s="9" t="s">
        <v>17</v>
      </c>
      <c r="G2128" s="9" t="s">
        <v>24</v>
      </c>
      <c r="H2128" s="9" t="s">
        <v>17</v>
      </c>
      <c r="I2128" s="9" t="s">
        <v>20</v>
      </c>
      <c r="J2128" s="10"/>
      <c r="K2128" s="7" t="s">
        <v>398</v>
      </c>
      <c r="L2128" s="7"/>
      <c r="M2128" s="7"/>
      <c r="N2128" s="7" t="str">
        <f>IFERROR(__xludf.DUMMYFUNCTION("""COMPUTED_VALUE"""),"Víctor Dávila|46062")</f>
        <v>Víctor Dávila|46062</v>
      </c>
      <c r="O2128" s="7">
        <f>IFERROR(__xludf.DUMMYFUNCTION("""COMPUTED_VALUE"""),8.0)</f>
        <v>8</v>
      </c>
    </row>
    <row r="2129" ht="22.5" hidden="1" customHeight="1">
      <c r="A2129" s="8">
        <v>45931.36880420139</v>
      </c>
      <c r="B2129" s="9">
        <v>45931.0</v>
      </c>
      <c r="C2129" s="9" t="s">
        <v>15</v>
      </c>
      <c r="D2129" s="9" t="s">
        <v>249</v>
      </c>
      <c r="E2129" s="9" t="s">
        <v>17</v>
      </c>
      <c r="F2129" s="9" t="s">
        <v>17</v>
      </c>
      <c r="G2129" s="9" t="s">
        <v>24</v>
      </c>
      <c r="H2129" s="9" t="s">
        <v>25</v>
      </c>
      <c r="I2129" s="9" t="s">
        <v>207</v>
      </c>
      <c r="J2129" s="10"/>
      <c r="K2129" s="7" t="s">
        <v>398</v>
      </c>
      <c r="L2129" s="7"/>
      <c r="M2129" s="7"/>
      <c r="N2129" s="7" t="str">
        <f>IFERROR(__xludf.DUMMYFUNCTION("""COMPUTED_VALUE"""),"Vinícius Lima|46064")</f>
        <v>Vinícius Lima|46064</v>
      </c>
      <c r="O2129" s="7">
        <f>IFERROR(__xludf.DUMMYFUNCTION("""COMPUTED_VALUE"""),3.0)</f>
        <v>3</v>
      </c>
    </row>
    <row r="2130" ht="22.5" hidden="1" customHeight="1">
      <c r="A2130" s="8">
        <v>45931.369370810186</v>
      </c>
      <c r="B2130" s="9">
        <v>45931.0</v>
      </c>
      <c r="C2130" s="9" t="s">
        <v>15</v>
      </c>
      <c r="D2130" s="9" t="s">
        <v>258</v>
      </c>
      <c r="E2130" s="9" t="s">
        <v>17</v>
      </c>
      <c r="F2130" s="9" t="s">
        <v>17</v>
      </c>
      <c r="G2130" s="9" t="s">
        <v>24</v>
      </c>
      <c r="H2130" s="9" t="s">
        <v>22</v>
      </c>
      <c r="I2130" s="9" t="s">
        <v>20</v>
      </c>
      <c r="J2130" s="10"/>
      <c r="K2130" s="7" t="s">
        <v>398</v>
      </c>
      <c r="L2130" s="7"/>
      <c r="M2130" s="7"/>
      <c r="N2130" s="7" t="str">
        <f>IFERROR(__xludf.DUMMYFUNCTION("""COMPUTED_VALUE"""),"Alexis Gutiérrez|46069")</f>
        <v>Alexis Gutiérrez|46069</v>
      </c>
      <c r="O2130" s="7">
        <f>IFERROR(__xludf.DUMMYFUNCTION("""COMPUTED_VALUE"""),4.0)</f>
        <v>4</v>
      </c>
    </row>
    <row r="2131" ht="22.5" hidden="1" customHeight="1">
      <c r="A2131" s="8">
        <v>45931.36985497685</v>
      </c>
      <c r="B2131" s="9">
        <v>45931.0</v>
      </c>
      <c r="C2131" s="9" t="s">
        <v>15</v>
      </c>
      <c r="D2131" s="9" t="s">
        <v>350</v>
      </c>
      <c r="E2131" s="9" t="s">
        <v>17</v>
      </c>
      <c r="F2131" s="9" t="s">
        <v>17</v>
      </c>
      <c r="G2131" s="9" t="s">
        <v>24</v>
      </c>
      <c r="H2131" s="9" t="s">
        <v>22</v>
      </c>
      <c r="I2131" s="9" t="s">
        <v>20</v>
      </c>
      <c r="J2131" s="10"/>
      <c r="K2131" s="7" t="s">
        <v>398</v>
      </c>
      <c r="L2131" s="7"/>
      <c r="M2131" s="7"/>
      <c r="N2131" s="7" t="str">
        <f>IFERROR(__xludf.DUMMYFUNCTION("""COMPUTED_VALUE"""),"Aaron Mejia|46069")</f>
        <v>Aaron Mejia|46069</v>
      </c>
      <c r="O2131" s="7">
        <f>IFERROR(__xludf.DUMMYFUNCTION("""COMPUTED_VALUE"""),3.0)</f>
        <v>3</v>
      </c>
    </row>
    <row r="2132" ht="22.5" hidden="1" customHeight="1">
      <c r="A2132" s="8">
        <v>45931.38374134259</v>
      </c>
      <c r="B2132" s="9">
        <v>45931.0</v>
      </c>
      <c r="C2132" s="9" t="s">
        <v>15</v>
      </c>
      <c r="D2132" s="9" t="s">
        <v>257</v>
      </c>
      <c r="E2132" s="9" t="s">
        <v>17</v>
      </c>
      <c r="F2132" s="9" t="s">
        <v>17</v>
      </c>
      <c r="G2132" s="9" t="s">
        <v>24</v>
      </c>
      <c r="H2132" s="9" t="s">
        <v>25</v>
      </c>
      <c r="I2132" s="9" t="s">
        <v>240</v>
      </c>
      <c r="J2132" s="10"/>
      <c r="K2132" s="7" t="s">
        <v>398</v>
      </c>
      <c r="L2132" s="7"/>
      <c r="M2132" s="7"/>
      <c r="N2132" s="7" t="str">
        <f>IFERROR(__xludf.DUMMYFUNCTION("""COMPUTED_VALUE"""),"Miguel Vázquez|46069")</f>
        <v>Miguel Vázquez|46069</v>
      </c>
      <c r="O2132" s="7">
        <f>IFERROR(__xludf.DUMMYFUNCTION("""COMPUTED_VALUE"""),4.0)</f>
        <v>4</v>
      </c>
    </row>
    <row r="2133" ht="22.5" hidden="1" customHeight="1">
      <c r="A2133" s="8">
        <v>45931.38407158565</v>
      </c>
      <c r="B2133" s="9">
        <v>45931.0</v>
      </c>
      <c r="C2133" s="9" t="s">
        <v>15</v>
      </c>
      <c r="D2133" s="9" t="s">
        <v>259</v>
      </c>
      <c r="E2133" s="9" t="s">
        <v>17</v>
      </c>
      <c r="F2133" s="9" t="s">
        <v>18</v>
      </c>
      <c r="G2133" s="9" t="s">
        <v>19</v>
      </c>
      <c r="H2133" s="9" t="s">
        <v>22</v>
      </c>
      <c r="I2133" s="9" t="s">
        <v>20</v>
      </c>
      <c r="J2133" s="10"/>
      <c r="K2133" s="7" t="s">
        <v>398</v>
      </c>
      <c r="L2133" s="7"/>
      <c r="M2133" s="7"/>
      <c r="N2133" s="7" t="str">
        <f>IFERROR(__xludf.DUMMYFUNCTION("""COMPUTED_VALUE"""),"Alan Cervantes|46069")</f>
        <v>Alan Cervantes|46069</v>
      </c>
      <c r="O2133" s="7">
        <f>IFERROR(__xludf.DUMMYFUNCTION("""COMPUTED_VALUE"""),5.0)</f>
        <v>5</v>
      </c>
    </row>
    <row r="2134" ht="22.5" hidden="1" customHeight="1">
      <c r="A2134" s="8">
        <v>45931.38425981482</v>
      </c>
      <c r="B2134" s="9">
        <v>45931.0</v>
      </c>
      <c r="C2134" s="9" t="s">
        <v>15</v>
      </c>
      <c r="D2134" s="9" t="s">
        <v>393</v>
      </c>
      <c r="E2134" s="9" t="s">
        <v>17</v>
      </c>
      <c r="F2134" s="9" t="s">
        <v>17</v>
      </c>
      <c r="G2134" s="9" t="s">
        <v>24</v>
      </c>
      <c r="H2134" s="9" t="s">
        <v>22</v>
      </c>
      <c r="I2134" s="9" t="s">
        <v>20</v>
      </c>
      <c r="J2134" s="10"/>
      <c r="K2134" s="7" t="s">
        <v>398</v>
      </c>
      <c r="L2134" s="7"/>
      <c r="M2134" s="7"/>
      <c r="N2134" s="7" t="str">
        <f>IFERROR(__xludf.DUMMYFUNCTION("""COMPUTED_VALUE"""),"Ramón Juárez|46069")</f>
        <v>Ramón Juárez|46069</v>
      </c>
      <c r="O2134" s="7">
        <f>IFERROR(__xludf.DUMMYFUNCTION("""COMPUTED_VALUE"""),7.0)</f>
        <v>7</v>
      </c>
    </row>
    <row r="2135" ht="22.5" hidden="1" customHeight="1">
      <c r="A2135" s="8">
        <v>45931.3856155324</v>
      </c>
      <c r="B2135" s="9">
        <v>45931.0</v>
      </c>
      <c r="C2135" s="9" t="s">
        <v>15</v>
      </c>
      <c r="D2135" s="9" t="s">
        <v>174</v>
      </c>
      <c r="E2135" s="9" t="s">
        <v>17</v>
      </c>
      <c r="F2135" s="9" t="s">
        <v>17</v>
      </c>
      <c r="G2135" s="9" t="s">
        <v>24</v>
      </c>
      <c r="H2135" s="9" t="s">
        <v>17</v>
      </c>
      <c r="I2135" s="9" t="s">
        <v>20</v>
      </c>
      <c r="J2135" s="10"/>
      <c r="K2135" s="7" t="s">
        <v>398</v>
      </c>
      <c r="L2135" s="7"/>
      <c r="M2135" s="7"/>
      <c r="N2135" s="7" t="str">
        <f>IFERROR(__xludf.DUMMYFUNCTION("""COMPUTED_VALUE"""),"Luis Ángel Malagón|46069")</f>
        <v>Luis Ángel Malagón|46069</v>
      </c>
      <c r="O2135" s="7">
        <f>IFERROR(__xludf.DUMMYFUNCTION("""COMPUTED_VALUE"""),4.0)</f>
        <v>4</v>
      </c>
    </row>
    <row r="2136" ht="22.5" hidden="1" customHeight="1">
      <c r="A2136" s="8">
        <v>45931.387110625</v>
      </c>
      <c r="B2136" s="9">
        <v>45931.0</v>
      </c>
      <c r="C2136" s="9" t="s">
        <v>15</v>
      </c>
      <c r="D2136" s="9" t="s">
        <v>171</v>
      </c>
      <c r="E2136" s="9" t="s">
        <v>17</v>
      </c>
      <c r="F2136" s="9" t="s">
        <v>17</v>
      </c>
      <c r="G2136" s="9" t="s">
        <v>24</v>
      </c>
      <c r="H2136" s="9" t="s">
        <v>17</v>
      </c>
      <c r="I2136" s="9" t="s">
        <v>242</v>
      </c>
      <c r="J2136" s="10"/>
      <c r="K2136" s="7" t="s">
        <v>398</v>
      </c>
      <c r="L2136" s="7"/>
      <c r="M2136" s="7"/>
      <c r="N2136" s="7" t="str">
        <f>IFERROR(__xludf.DUMMYFUNCTION("""COMPUTED_VALUE"""),"Víctor Dávila|46069")</f>
        <v>Víctor Dávila|46069</v>
      </c>
      <c r="O2136" s="7">
        <f>IFERROR(__xludf.DUMMYFUNCTION("""COMPUTED_VALUE"""),8.0)</f>
        <v>8</v>
      </c>
    </row>
    <row r="2137" ht="22.5" hidden="1" customHeight="1">
      <c r="A2137" s="8">
        <v>45931.38731853009</v>
      </c>
      <c r="B2137" s="9">
        <v>45931.0</v>
      </c>
      <c r="C2137" s="9" t="s">
        <v>15</v>
      </c>
      <c r="D2137" s="9" t="s">
        <v>223</v>
      </c>
      <c r="E2137" s="9" t="s">
        <v>17</v>
      </c>
      <c r="F2137" s="9" t="s">
        <v>17</v>
      </c>
      <c r="G2137" s="9" t="s">
        <v>24</v>
      </c>
      <c r="H2137" s="9" t="s">
        <v>25</v>
      </c>
      <c r="I2137" s="9" t="s">
        <v>273</v>
      </c>
      <c r="J2137" s="10"/>
      <c r="K2137" s="7" t="s">
        <v>398</v>
      </c>
      <c r="L2137" s="7"/>
      <c r="M2137" s="7"/>
      <c r="N2137" s="7" t="str">
        <f>IFERROR(__xludf.DUMMYFUNCTION("""COMPUTED_VALUE"""),"Patricio Salas|46069")</f>
        <v>Patricio Salas|46069</v>
      </c>
      <c r="O2137" s="7">
        <f>IFERROR(__xludf.DUMMYFUNCTION("""COMPUTED_VALUE"""),3.0)</f>
        <v>3</v>
      </c>
    </row>
    <row r="2138" ht="22.5" hidden="1" customHeight="1">
      <c r="A2138" s="8">
        <v>45931.38799164352</v>
      </c>
      <c r="B2138" s="9">
        <v>45931.0</v>
      </c>
      <c r="C2138" s="9" t="s">
        <v>15</v>
      </c>
      <c r="D2138" s="9" t="s">
        <v>397</v>
      </c>
      <c r="E2138" s="9" t="s">
        <v>17</v>
      </c>
      <c r="F2138" s="9" t="s">
        <v>17</v>
      </c>
      <c r="G2138" s="9" t="s">
        <v>24</v>
      </c>
      <c r="H2138" s="9" t="s">
        <v>22</v>
      </c>
      <c r="I2138" s="9" t="s">
        <v>20</v>
      </c>
      <c r="J2138" s="10"/>
      <c r="K2138" s="1" t="s">
        <v>398</v>
      </c>
      <c r="L2138" s="7"/>
      <c r="M2138" s="7"/>
      <c r="N2138" s="7" t="str">
        <f>IFERROR(__xludf.DUMMYFUNCTION("""COMPUTED_VALUE"""),"Dagoberto Espinoza|46070")</f>
        <v>Dagoberto Espinoza|46070</v>
      </c>
      <c r="O2138" s="7">
        <f>IFERROR(__xludf.DUMMYFUNCTION("""COMPUTED_VALUE"""),6.0)</f>
        <v>6</v>
      </c>
    </row>
    <row r="2139" ht="22.5" hidden="1" customHeight="1">
      <c r="A2139" s="8">
        <v>45931.38827034722</v>
      </c>
      <c r="B2139" s="9">
        <v>45931.0</v>
      </c>
      <c r="C2139" s="9" t="s">
        <v>15</v>
      </c>
      <c r="D2139" s="9" t="s">
        <v>178</v>
      </c>
      <c r="E2139" s="9" t="s">
        <v>17</v>
      </c>
      <c r="F2139" s="9" t="s">
        <v>17</v>
      </c>
      <c r="G2139" s="9" t="s">
        <v>24</v>
      </c>
      <c r="H2139" s="9" t="s">
        <v>22</v>
      </c>
      <c r="I2139" s="9" t="s">
        <v>20</v>
      </c>
      <c r="J2139" s="10"/>
      <c r="K2139" s="7" t="s">
        <v>398</v>
      </c>
      <c r="L2139" s="7"/>
      <c r="M2139" s="7"/>
      <c r="N2139" s="7" t="str">
        <f>IFERROR(__xludf.DUMMYFUNCTION("""COMPUTED_VALUE"""),"Santiago Naveda|46070")</f>
        <v>Santiago Naveda|46070</v>
      </c>
      <c r="O2139" s="7">
        <f>IFERROR(__xludf.DUMMYFUNCTION("""COMPUTED_VALUE"""),5.0)</f>
        <v>5</v>
      </c>
    </row>
    <row r="2140" ht="22.5" hidden="1" customHeight="1">
      <c r="A2140" s="8">
        <v>45931.390006863425</v>
      </c>
      <c r="B2140" s="9">
        <v>45931.0</v>
      </c>
      <c r="C2140" s="9" t="s">
        <v>15</v>
      </c>
      <c r="D2140" s="9" t="s">
        <v>357</v>
      </c>
      <c r="E2140" s="9" t="s">
        <v>17</v>
      </c>
      <c r="F2140" s="9" t="s">
        <v>17</v>
      </c>
      <c r="G2140" s="9" t="s">
        <v>24</v>
      </c>
      <c r="H2140" s="9" t="s">
        <v>17</v>
      </c>
      <c r="I2140" s="9" t="s">
        <v>28</v>
      </c>
      <c r="J2140" s="10"/>
      <c r="K2140" s="7" t="s">
        <v>398</v>
      </c>
      <c r="L2140" s="7"/>
      <c r="M2140" s="7"/>
      <c r="N2140" s="7" t="str">
        <f>IFERROR(__xludf.DUMMYFUNCTION("""COMPUTED_VALUE"""),"Rodrigo Dourado|46070")</f>
        <v>Rodrigo Dourado|46070</v>
      </c>
      <c r="O2140" s="7">
        <f>IFERROR(__xludf.DUMMYFUNCTION("""COMPUTED_VALUE"""),5.0)</f>
        <v>5</v>
      </c>
    </row>
    <row r="2141" ht="22.5" hidden="1" customHeight="1">
      <c r="A2141" s="8">
        <v>45931.397893807865</v>
      </c>
      <c r="B2141" s="9">
        <v>45931.0</v>
      </c>
      <c r="C2141" s="9" t="s">
        <v>15</v>
      </c>
      <c r="D2141" s="9" t="s">
        <v>168</v>
      </c>
      <c r="E2141" s="9" t="s">
        <v>17</v>
      </c>
      <c r="F2141" s="9" t="s">
        <v>17</v>
      </c>
      <c r="G2141" s="9" t="s">
        <v>24</v>
      </c>
      <c r="H2141" s="9" t="s">
        <v>25</v>
      </c>
      <c r="I2141" s="9" t="s">
        <v>400</v>
      </c>
      <c r="J2141" s="10"/>
      <c r="K2141" s="7" t="s">
        <v>398</v>
      </c>
      <c r="L2141" s="7"/>
      <c r="M2141" s="7"/>
      <c r="N2141" s="7" t="str">
        <f>IFERROR(__xludf.DUMMYFUNCTION("""COMPUTED_VALUE"""),"Isaías Violante|46070")</f>
        <v>Isaías Violante|46070</v>
      </c>
      <c r="O2141" s="7">
        <f>IFERROR(__xludf.DUMMYFUNCTION("""COMPUTED_VALUE"""),5.0)</f>
        <v>5</v>
      </c>
    </row>
    <row r="2142" ht="22.5" hidden="1" customHeight="1">
      <c r="A2142" s="8">
        <v>45931.39806449074</v>
      </c>
      <c r="B2142" s="9">
        <v>45931.0</v>
      </c>
      <c r="C2142" s="9" t="s">
        <v>15</v>
      </c>
      <c r="D2142" s="9" t="s">
        <v>361</v>
      </c>
      <c r="E2142" s="9" t="s">
        <v>17</v>
      </c>
      <c r="F2142" s="9" t="s">
        <v>17</v>
      </c>
      <c r="G2142" s="9" t="s">
        <v>24</v>
      </c>
      <c r="H2142" s="9" t="s">
        <v>22</v>
      </c>
      <c r="I2142" s="9" t="s">
        <v>20</v>
      </c>
      <c r="J2142" s="10"/>
      <c r="K2142" s="7" t="s">
        <v>398</v>
      </c>
      <c r="L2142" s="7"/>
      <c r="M2142" s="7"/>
      <c r="N2142" s="7" t="str">
        <f>IFERROR(__xludf.DUMMYFUNCTION("""COMPUTED_VALUE"""),"Sebastián Cáceres|46070")</f>
        <v>Sebastián Cáceres|46070</v>
      </c>
      <c r="O2142" s="7">
        <f>IFERROR(__xludf.DUMMYFUNCTION("""COMPUTED_VALUE"""),8.0)</f>
        <v>8</v>
      </c>
    </row>
    <row r="2143" ht="22.5" hidden="1" customHeight="1">
      <c r="A2143" s="8">
        <v>45931.39864886574</v>
      </c>
      <c r="B2143" s="9">
        <v>45931.0</v>
      </c>
      <c r="C2143" s="9" t="s">
        <v>15</v>
      </c>
      <c r="D2143" s="9" t="s">
        <v>247</v>
      </c>
      <c r="E2143" s="9" t="s">
        <v>17</v>
      </c>
      <c r="F2143" s="9" t="s">
        <v>17</v>
      </c>
      <c r="G2143" s="9" t="s">
        <v>24</v>
      </c>
      <c r="H2143" s="9" t="s">
        <v>17</v>
      </c>
      <c r="I2143" s="9" t="s">
        <v>20</v>
      </c>
      <c r="J2143" s="10"/>
      <c r="K2143" s="7" t="s">
        <v>398</v>
      </c>
      <c r="L2143" s="7"/>
      <c r="M2143" s="7"/>
      <c r="N2143" s="7" t="str">
        <f>IFERROR(__xludf.DUMMYFUNCTION("""COMPUTED_VALUE"""),"Vinícius Lima|46070")</f>
        <v>Vinícius Lima|46070</v>
      </c>
      <c r="O2143" s="7">
        <f>IFERROR(__xludf.DUMMYFUNCTION("""COMPUTED_VALUE"""),7.0)</f>
        <v>7</v>
      </c>
    </row>
    <row r="2144" ht="22.5" hidden="1" customHeight="1">
      <c r="A2144" s="8">
        <v>45931.39879435185</v>
      </c>
      <c r="B2144" s="9">
        <v>45931.0</v>
      </c>
      <c r="C2144" s="9" t="s">
        <v>15</v>
      </c>
      <c r="D2144" s="9" t="s">
        <v>175</v>
      </c>
      <c r="E2144" s="9" t="s">
        <v>17</v>
      </c>
      <c r="F2144" s="9" t="s">
        <v>17</v>
      </c>
      <c r="G2144" s="9" t="s">
        <v>24</v>
      </c>
      <c r="H2144" s="9" t="s">
        <v>22</v>
      </c>
      <c r="I2144" s="9" t="s">
        <v>20</v>
      </c>
      <c r="J2144" s="10"/>
      <c r="K2144" s="7" t="s">
        <v>398</v>
      </c>
      <c r="L2144" s="7"/>
      <c r="M2144" s="7"/>
      <c r="N2144" s="7" t="str">
        <f>IFERROR(__xludf.DUMMYFUNCTION("""COMPUTED_VALUE"""),"Raphael Veiga|46070")</f>
        <v>Raphael Veiga|46070</v>
      </c>
      <c r="O2144" s="7">
        <f>IFERROR(__xludf.DUMMYFUNCTION("""COMPUTED_VALUE"""),4.0)</f>
        <v>4</v>
      </c>
    </row>
    <row r="2145" ht="22.5" hidden="1" customHeight="1">
      <c r="A2145" s="8">
        <v>45931.40382787037</v>
      </c>
      <c r="B2145" s="9">
        <v>45931.0</v>
      </c>
      <c r="C2145" s="9" t="s">
        <v>15</v>
      </c>
      <c r="D2145" s="9" t="s">
        <v>210</v>
      </c>
      <c r="E2145" s="9" t="s">
        <v>17</v>
      </c>
      <c r="F2145" s="9" t="s">
        <v>17</v>
      </c>
      <c r="G2145" s="9" t="s">
        <v>24</v>
      </c>
      <c r="H2145" s="9" t="s">
        <v>22</v>
      </c>
      <c r="I2145" s="9" t="s">
        <v>20</v>
      </c>
      <c r="J2145" s="10"/>
      <c r="K2145" s="7" t="s">
        <v>398</v>
      </c>
      <c r="L2145" s="7"/>
      <c r="M2145" s="7"/>
      <c r="N2145" s="7" t="str">
        <f>IFERROR(__xludf.DUMMYFUNCTION("""COMPUTED_VALUE"""),"Néstor Araujo|46070")</f>
        <v>Néstor Araujo|46070</v>
      </c>
      <c r="O2145" s="7">
        <f>IFERROR(__xludf.DUMMYFUNCTION("""COMPUTED_VALUE"""),7.0)</f>
        <v>7</v>
      </c>
    </row>
    <row r="2146" ht="22.5" hidden="1" customHeight="1">
      <c r="A2146" s="8">
        <v>45932.34858381945</v>
      </c>
      <c r="B2146" s="9">
        <v>45932.0</v>
      </c>
      <c r="C2146" s="9" t="s">
        <v>31</v>
      </c>
      <c r="D2146" s="9" t="s">
        <v>257</v>
      </c>
      <c r="E2146" s="9" t="s">
        <v>17</v>
      </c>
      <c r="F2146" s="9" t="s">
        <v>17</v>
      </c>
      <c r="G2146" s="9" t="s">
        <v>24</v>
      </c>
      <c r="H2146" s="9" t="s">
        <v>25</v>
      </c>
      <c r="I2146" s="9" t="s">
        <v>240</v>
      </c>
      <c r="J2146" s="10"/>
      <c r="K2146" s="7" t="s">
        <v>398</v>
      </c>
      <c r="L2146" s="7"/>
      <c r="M2146" s="7"/>
      <c r="N2146" s="7" t="str">
        <f>IFERROR(__xludf.DUMMYFUNCTION("""COMPUTED_VALUE"""),"José Raúl Zúñiga|46070")</f>
        <v>José Raúl Zúñiga|46070</v>
      </c>
      <c r="O2146" s="7">
        <f>IFERROR(__xludf.DUMMYFUNCTION("""COMPUTED_VALUE"""),4.0)</f>
        <v>4</v>
      </c>
    </row>
    <row r="2147" ht="22.5" hidden="1" customHeight="1">
      <c r="A2147" s="8">
        <v>45932.35044663194</v>
      </c>
      <c r="B2147" s="9">
        <v>45932.0</v>
      </c>
      <c r="C2147" s="9" t="s">
        <v>31</v>
      </c>
      <c r="D2147" s="9" t="s">
        <v>258</v>
      </c>
      <c r="E2147" s="9" t="s">
        <v>17</v>
      </c>
      <c r="F2147" s="9" t="s">
        <v>17</v>
      </c>
      <c r="G2147" s="9" t="s">
        <v>24</v>
      </c>
      <c r="H2147" s="9" t="s">
        <v>22</v>
      </c>
      <c r="I2147" s="9" t="s">
        <v>20</v>
      </c>
      <c r="J2147" s="10"/>
      <c r="K2147" s="7" t="s">
        <v>398</v>
      </c>
      <c r="L2147" s="7"/>
      <c r="M2147" s="7"/>
      <c r="N2147" s="7" t="str">
        <f>IFERROR(__xludf.DUMMYFUNCTION("""COMPUTED_VALUE"""),"Ramón Juárez|46070")</f>
        <v>Ramón Juárez|46070</v>
      </c>
      <c r="O2147" s="7">
        <f>IFERROR(__xludf.DUMMYFUNCTION("""COMPUTED_VALUE"""),6.0)</f>
        <v>6</v>
      </c>
    </row>
    <row r="2148" ht="22.5" hidden="1" customHeight="1">
      <c r="A2148" s="8">
        <v>45932.366592060185</v>
      </c>
      <c r="B2148" s="9">
        <v>45932.0</v>
      </c>
      <c r="C2148" s="9" t="s">
        <v>31</v>
      </c>
      <c r="D2148" s="9" t="s">
        <v>171</v>
      </c>
      <c r="E2148" s="9" t="s">
        <v>17</v>
      </c>
      <c r="F2148" s="9" t="s">
        <v>17</v>
      </c>
      <c r="G2148" s="9" t="s">
        <v>24</v>
      </c>
      <c r="H2148" s="9" t="s">
        <v>17</v>
      </c>
      <c r="I2148" s="9" t="s">
        <v>242</v>
      </c>
      <c r="J2148" s="10"/>
      <c r="K2148" s="7" t="s">
        <v>398</v>
      </c>
      <c r="L2148" s="7"/>
      <c r="M2148" s="7"/>
      <c r="N2148" s="7" t="str">
        <f>IFERROR(__xludf.DUMMYFUNCTION("""COMPUTED_VALUE"""),"Jonathan Dos Santos|46070")</f>
        <v>Jonathan Dos Santos|46070</v>
      </c>
      <c r="O2148" s="7">
        <f>IFERROR(__xludf.DUMMYFUNCTION("""COMPUTED_VALUE"""),5.0)</f>
        <v>5</v>
      </c>
    </row>
    <row r="2149" ht="22.5" hidden="1" customHeight="1">
      <c r="A2149" s="8">
        <v>45932.3668690162</v>
      </c>
      <c r="B2149" s="9">
        <v>45932.0</v>
      </c>
      <c r="C2149" s="9" t="s">
        <v>31</v>
      </c>
      <c r="D2149" s="9" t="s">
        <v>168</v>
      </c>
      <c r="E2149" s="9" t="s">
        <v>17</v>
      </c>
      <c r="F2149" s="9" t="s">
        <v>17</v>
      </c>
      <c r="G2149" s="9" t="s">
        <v>24</v>
      </c>
      <c r="H2149" s="9" t="s">
        <v>25</v>
      </c>
      <c r="I2149" s="9" t="s">
        <v>400</v>
      </c>
      <c r="J2149" s="10"/>
      <c r="K2149" s="7" t="s">
        <v>398</v>
      </c>
      <c r="L2149" s="7"/>
      <c r="M2149" s="7"/>
      <c r="N2149" s="7" t="str">
        <f>IFERROR(__xludf.DUMMYFUNCTION("""COMPUTED_VALUE"""),"Patricio Salas|46070")</f>
        <v>Patricio Salas|46070</v>
      </c>
      <c r="O2149" s="7">
        <f>IFERROR(__xludf.DUMMYFUNCTION("""COMPUTED_VALUE"""),6.0)</f>
        <v>6</v>
      </c>
    </row>
    <row r="2150" ht="22.5" hidden="1" customHeight="1">
      <c r="A2150" s="8">
        <v>45932.367350960645</v>
      </c>
      <c r="B2150" s="9">
        <v>45932.0</v>
      </c>
      <c r="C2150" s="9" t="s">
        <v>31</v>
      </c>
      <c r="D2150" s="9" t="s">
        <v>249</v>
      </c>
      <c r="E2150" s="9" t="s">
        <v>17</v>
      </c>
      <c r="F2150" s="9" t="s">
        <v>17</v>
      </c>
      <c r="G2150" s="9" t="s">
        <v>24</v>
      </c>
      <c r="H2150" s="9" t="s">
        <v>17</v>
      </c>
      <c r="I2150" s="9" t="s">
        <v>20</v>
      </c>
      <c r="J2150" s="10"/>
      <c r="K2150" s="7" t="s">
        <v>398</v>
      </c>
      <c r="L2150" s="7"/>
      <c r="M2150" s="7"/>
      <c r="N2150" s="7" t="str">
        <f>IFERROR(__xludf.DUMMYFUNCTION("""COMPUTED_VALUE"""),"Cristian Borja|46070")</f>
        <v>Cristian Borja|46070</v>
      </c>
      <c r="O2150" s="7">
        <f>IFERROR(__xludf.DUMMYFUNCTION("""COMPUTED_VALUE"""),5.0)</f>
        <v>5</v>
      </c>
    </row>
    <row r="2151" ht="22.5" hidden="1" customHeight="1">
      <c r="A2151" s="8">
        <v>45932.36868383102</v>
      </c>
      <c r="B2151" s="9">
        <v>45932.0</v>
      </c>
      <c r="C2151" s="9" t="s">
        <v>31</v>
      </c>
      <c r="D2151" s="9" t="s">
        <v>174</v>
      </c>
      <c r="E2151" s="9" t="s">
        <v>17</v>
      </c>
      <c r="F2151" s="9" t="s">
        <v>17</v>
      </c>
      <c r="G2151" s="9" t="s">
        <v>24</v>
      </c>
      <c r="H2151" s="9" t="s">
        <v>25</v>
      </c>
      <c r="I2151" s="9" t="s">
        <v>240</v>
      </c>
      <c r="J2151" s="10"/>
      <c r="K2151" s="7" t="s">
        <v>398</v>
      </c>
      <c r="L2151" s="7"/>
      <c r="M2151" s="7"/>
      <c r="N2151" s="7" t="str">
        <f>IFERROR(__xludf.DUMMYFUNCTION("""COMPUTED_VALUE"""),"Luis Ángel Malagón|46070")</f>
        <v>Luis Ángel Malagón|46070</v>
      </c>
      <c r="O2151" s="7">
        <f>IFERROR(__xludf.DUMMYFUNCTION("""COMPUTED_VALUE"""),4.0)</f>
        <v>4</v>
      </c>
    </row>
    <row r="2152" ht="22.5" hidden="1" customHeight="1">
      <c r="A2152" s="8">
        <v>45932.36974126157</v>
      </c>
      <c r="B2152" s="9">
        <v>45932.0</v>
      </c>
      <c r="C2152" s="9" t="s">
        <v>31</v>
      </c>
      <c r="D2152" s="9" t="s">
        <v>393</v>
      </c>
      <c r="E2152" s="9" t="s">
        <v>17</v>
      </c>
      <c r="F2152" s="9" t="s">
        <v>17</v>
      </c>
      <c r="G2152" s="9" t="s">
        <v>24</v>
      </c>
      <c r="H2152" s="9" t="s">
        <v>22</v>
      </c>
      <c r="I2152" s="9" t="s">
        <v>20</v>
      </c>
      <c r="J2152" s="10"/>
      <c r="K2152" s="7" t="s">
        <v>398</v>
      </c>
      <c r="L2152" s="7"/>
      <c r="M2152" s="7"/>
      <c r="N2152" s="7" t="str">
        <f>IFERROR(__xludf.DUMMYFUNCTION("""COMPUTED_VALUE"""),"Kevin Álvarez|46070")</f>
        <v>Kevin Álvarez|46070</v>
      </c>
      <c r="O2152" s="7">
        <f>IFERROR(__xludf.DUMMYFUNCTION("""COMPUTED_VALUE"""),4.0)</f>
        <v>4</v>
      </c>
    </row>
    <row r="2153" ht="22.5" hidden="1" customHeight="1">
      <c r="A2153" s="8">
        <v>45932.37223422454</v>
      </c>
      <c r="B2153" s="9">
        <v>45932.0</v>
      </c>
      <c r="C2153" s="9" t="s">
        <v>31</v>
      </c>
      <c r="D2153" s="9" t="s">
        <v>223</v>
      </c>
      <c r="E2153" s="9" t="s">
        <v>17</v>
      </c>
      <c r="F2153" s="9" t="s">
        <v>17</v>
      </c>
      <c r="G2153" s="9" t="s">
        <v>24</v>
      </c>
      <c r="H2153" s="9" t="s">
        <v>17</v>
      </c>
      <c r="I2153" s="9" t="s">
        <v>20</v>
      </c>
      <c r="J2153" s="10"/>
      <c r="K2153" s="7" t="s">
        <v>398</v>
      </c>
      <c r="L2153" s="7"/>
      <c r="M2153" s="7"/>
      <c r="N2153" s="7" t="str">
        <f>IFERROR(__xludf.DUMMYFUNCTION("""COMPUTED_VALUE"""),"Aaron Mejia|46070")</f>
        <v>Aaron Mejia|46070</v>
      </c>
      <c r="O2153" s="7">
        <f>IFERROR(__xludf.DUMMYFUNCTION("""COMPUTED_VALUE"""),4.0)</f>
        <v>4</v>
      </c>
    </row>
    <row r="2154" ht="22.5" hidden="1" customHeight="1">
      <c r="A2154" s="8">
        <v>45932.372382500005</v>
      </c>
      <c r="B2154" s="9">
        <v>45932.0</v>
      </c>
      <c r="C2154" s="9" t="s">
        <v>31</v>
      </c>
      <c r="D2154" s="9" t="s">
        <v>177</v>
      </c>
      <c r="E2154" s="9" t="s">
        <v>17</v>
      </c>
      <c r="F2154" s="9" t="s">
        <v>17</v>
      </c>
      <c r="G2154" s="9" t="s">
        <v>24</v>
      </c>
      <c r="H2154" s="9" t="s">
        <v>17</v>
      </c>
      <c r="I2154" s="9" t="s">
        <v>20</v>
      </c>
      <c r="J2154" s="10"/>
      <c r="K2154" s="7" t="s">
        <v>398</v>
      </c>
      <c r="L2154" s="7"/>
      <c r="M2154" s="7"/>
      <c r="N2154" s="7" t="str">
        <f>IFERROR(__xludf.DUMMYFUNCTION("""COMPUTED_VALUE"""),"Henry Martín|46070")</f>
        <v>Henry Martín|46070</v>
      </c>
      <c r="O2154" s="7">
        <f>IFERROR(__xludf.DUMMYFUNCTION("""COMPUTED_VALUE"""),3.0)</f>
        <v>3</v>
      </c>
    </row>
    <row r="2155" ht="22.5" hidden="1" customHeight="1">
      <c r="A2155" s="8">
        <v>45932.373174085646</v>
      </c>
      <c r="B2155" s="9">
        <v>45932.0</v>
      </c>
      <c r="C2155" s="9" t="s">
        <v>31</v>
      </c>
      <c r="D2155" s="9" t="s">
        <v>394</v>
      </c>
      <c r="E2155" s="9" t="s">
        <v>17</v>
      </c>
      <c r="F2155" s="9" t="s">
        <v>17</v>
      </c>
      <c r="G2155" s="9" t="s">
        <v>24</v>
      </c>
      <c r="H2155" s="9" t="s">
        <v>17</v>
      </c>
      <c r="I2155" s="9" t="s">
        <v>20</v>
      </c>
      <c r="J2155" s="10"/>
      <c r="K2155" s="7" t="s">
        <v>398</v>
      </c>
      <c r="L2155" s="7"/>
      <c r="M2155" s="7"/>
      <c r="N2155" s="7" t="str">
        <f>IFERROR(__xludf.DUMMYFUNCTION("""COMPUTED_VALUE"""),"Alejando Zendejas|46070")</f>
        <v>Alejando Zendejas|46070</v>
      </c>
      <c r="O2155" s="7">
        <f>IFERROR(__xludf.DUMMYFUNCTION("""COMPUTED_VALUE"""),3.0)</f>
        <v>3</v>
      </c>
    </row>
    <row r="2156" ht="22.5" hidden="1" customHeight="1">
      <c r="A2156" s="8">
        <v>45932.37606667824</v>
      </c>
      <c r="B2156" s="9">
        <v>45932.0</v>
      </c>
      <c r="C2156" s="9" t="s">
        <v>31</v>
      </c>
      <c r="D2156" s="9" t="s">
        <v>247</v>
      </c>
      <c r="E2156" s="9" t="s">
        <v>17</v>
      </c>
      <c r="F2156" s="9" t="s">
        <v>17</v>
      </c>
      <c r="G2156" s="9" t="s">
        <v>24</v>
      </c>
      <c r="H2156" s="9" t="s">
        <v>25</v>
      </c>
      <c r="I2156" s="9" t="s">
        <v>117</v>
      </c>
      <c r="J2156" s="10"/>
      <c r="K2156" s="7" t="s">
        <v>398</v>
      </c>
      <c r="L2156" s="7"/>
      <c r="M2156" s="7"/>
      <c r="N2156" s="7" t="str">
        <f>IFERROR(__xludf.DUMMYFUNCTION("""COMPUTED_VALUE"""),"Patricio Salas|46071")</f>
        <v>Patricio Salas|46071</v>
      </c>
      <c r="O2156" s="7">
        <f>IFERROR(__xludf.DUMMYFUNCTION("""COMPUTED_VALUE"""),4.0)</f>
        <v>4</v>
      </c>
    </row>
    <row r="2157" ht="22.5" hidden="1" customHeight="1">
      <c r="A2157" s="8">
        <v>45932.37680600694</v>
      </c>
      <c r="B2157" s="9">
        <v>45932.0</v>
      </c>
      <c r="C2157" s="9" t="s">
        <v>31</v>
      </c>
      <c r="D2157" s="9" t="s">
        <v>395</v>
      </c>
      <c r="E2157" s="9" t="s">
        <v>17</v>
      </c>
      <c r="F2157" s="9" t="s">
        <v>17</v>
      </c>
      <c r="G2157" s="9" t="s">
        <v>24</v>
      </c>
      <c r="H2157" s="9" t="s">
        <v>17</v>
      </c>
      <c r="I2157" s="9" t="s">
        <v>20</v>
      </c>
      <c r="J2157" s="10"/>
      <c r="K2157" s="7" t="s">
        <v>398</v>
      </c>
      <c r="L2157" s="7"/>
      <c r="M2157" s="7"/>
      <c r="N2157" s="7" t="str">
        <f>IFERROR(__xludf.DUMMYFUNCTION("""COMPUTED_VALUE"""),"Alexis Gutiérrez|46071")</f>
        <v>Alexis Gutiérrez|46071</v>
      </c>
      <c r="O2157" s="7">
        <f>IFERROR(__xludf.DUMMYFUNCTION("""COMPUTED_VALUE"""),3.0)</f>
        <v>3</v>
      </c>
    </row>
    <row r="2158" ht="22.5" hidden="1" customHeight="1">
      <c r="A2158" s="8">
        <v>45932.37704416667</v>
      </c>
      <c r="B2158" s="9">
        <v>45932.0</v>
      </c>
      <c r="C2158" s="9" t="s">
        <v>31</v>
      </c>
      <c r="D2158" s="9" t="s">
        <v>350</v>
      </c>
      <c r="E2158" s="9" t="s">
        <v>17</v>
      </c>
      <c r="F2158" s="9" t="s">
        <v>17</v>
      </c>
      <c r="G2158" s="9" t="s">
        <v>24</v>
      </c>
      <c r="H2158" s="9" t="s">
        <v>22</v>
      </c>
      <c r="I2158" s="9" t="s">
        <v>20</v>
      </c>
      <c r="J2158" s="10"/>
      <c r="K2158" s="7" t="s">
        <v>398</v>
      </c>
      <c r="L2158" s="7"/>
      <c r="M2158" s="7"/>
      <c r="N2158" s="7" t="str">
        <f>IFERROR(__xludf.DUMMYFUNCTION("""COMPUTED_VALUE"""),"Vinícius Lima|46071")</f>
        <v>Vinícius Lima|46071</v>
      </c>
      <c r="O2158" s="7">
        <f>IFERROR(__xludf.DUMMYFUNCTION("""COMPUTED_VALUE"""),4.0)</f>
        <v>4</v>
      </c>
    </row>
    <row r="2159" ht="22.5" hidden="1" customHeight="1">
      <c r="A2159" s="8">
        <v>45932.37879803241</v>
      </c>
      <c r="B2159" s="9">
        <v>45932.0</v>
      </c>
      <c r="C2159" s="9" t="s">
        <v>31</v>
      </c>
      <c r="D2159" s="9" t="s">
        <v>259</v>
      </c>
      <c r="E2159" s="9" t="s">
        <v>17</v>
      </c>
      <c r="F2159" s="9" t="s">
        <v>17</v>
      </c>
      <c r="G2159" s="9" t="s">
        <v>24</v>
      </c>
      <c r="H2159" s="9" t="s">
        <v>17</v>
      </c>
      <c r="I2159" s="9" t="s">
        <v>20</v>
      </c>
      <c r="J2159" s="10"/>
      <c r="K2159" s="7" t="s">
        <v>398</v>
      </c>
      <c r="L2159" s="7"/>
      <c r="M2159" s="7"/>
      <c r="N2159" s="7" t="str">
        <f>IFERROR(__xludf.DUMMYFUNCTION("""COMPUTED_VALUE"""),"Santiago Naveda|46071")</f>
        <v>Santiago Naveda|46071</v>
      </c>
      <c r="O2159" s="7">
        <f>IFERROR(__xludf.DUMMYFUNCTION("""COMPUTED_VALUE"""),5.0)</f>
        <v>5</v>
      </c>
    </row>
    <row r="2160" ht="22.5" hidden="1" customHeight="1">
      <c r="A2160" s="8">
        <v>45932.39429412037</v>
      </c>
      <c r="B2160" s="9">
        <v>45932.0</v>
      </c>
      <c r="C2160" s="9" t="s">
        <v>31</v>
      </c>
      <c r="D2160" s="9" t="s">
        <v>178</v>
      </c>
      <c r="E2160" s="9" t="s">
        <v>17</v>
      </c>
      <c r="F2160" s="9" t="s">
        <v>17</v>
      </c>
      <c r="G2160" s="9" t="s">
        <v>24</v>
      </c>
      <c r="H2160" s="9" t="s">
        <v>17</v>
      </c>
      <c r="I2160" s="9" t="s">
        <v>20</v>
      </c>
      <c r="J2160" s="10"/>
      <c r="K2160" s="7" t="s">
        <v>398</v>
      </c>
      <c r="L2160" s="7"/>
      <c r="M2160" s="7"/>
      <c r="N2160" s="7" t="str">
        <f>IFERROR(__xludf.DUMMYFUNCTION("""COMPUTED_VALUE"""),"Luis Ángel Malagón|46071")</f>
        <v>Luis Ángel Malagón|46071</v>
      </c>
      <c r="O2160" s="7">
        <f>IFERROR(__xludf.DUMMYFUNCTION("""COMPUTED_VALUE"""),3.0)</f>
        <v>3</v>
      </c>
    </row>
    <row r="2161" ht="22.5" hidden="1" customHeight="1">
      <c r="A2161" s="8">
        <v>45932.39460741898</v>
      </c>
      <c r="B2161" s="9">
        <v>45932.0</v>
      </c>
      <c r="C2161" s="9" t="s">
        <v>31</v>
      </c>
      <c r="D2161" s="9" t="s">
        <v>210</v>
      </c>
      <c r="E2161" s="9" t="s">
        <v>17</v>
      </c>
      <c r="F2161" s="9" t="s">
        <v>17</v>
      </c>
      <c r="G2161" s="9" t="s">
        <v>24</v>
      </c>
      <c r="H2161" s="9" t="s">
        <v>17</v>
      </c>
      <c r="I2161" s="9" t="s">
        <v>20</v>
      </c>
      <c r="J2161" s="10"/>
      <c r="K2161" s="7" t="s">
        <v>398</v>
      </c>
      <c r="L2161" s="7"/>
      <c r="M2161" s="7"/>
      <c r="N2161" s="7" t="str">
        <f>IFERROR(__xludf.DUMMYFUNCTION("""COMPUTED_VALUE"""),"Erick Sánchez|46071")</f>
        <v>Erick Sánchez|46071</v>
      </c>
      <c r="O2161" s="7">
        <f>IFERROR(__xludf.DUMMYFUNCTION("""COMPUTED_VALUE"""),4.0)</f>
        <v>4</v>
      </c>
    </row>
    <row r="2162" ht="22.5" hidden="1" customHeight="1">
      <c r="A2162" s="8">
        <v>45932.39477396991</v>
      </c>
      <c r="B2162" s="9">
        <v>45932.0</v>
      </c>
      <c r="C2162" s="9" t="s">
        <v>31</v>
      </c>
      <c r="D2162" s="9" t="s">
        <v>396</v>
      </c>
      <c r="E2162" s="9" t="s">
        <v>17</v>
      </c>
      <c r="F2162" s="9" t="s">
        <v>17</v>
      </c>
      <c r="G2162" s="9" t="s">
        <v>24</v>
      </c>
      <c r="H2162" s="9" t="s">
        <v>17</v>
      </c>
      <c r="I2162" s="9" t="s">
        <v>20</v>
      </c>
      <c r="J2162" s="10"/>
      <c r="K2162" s="7" t="s">
        <v>398</v>
      </c>
      <c r="L2162" s="7"/>
      <c r="M2162" s="7"/>
      <c r="N2162" s="7" t="str">
        <f>IFERROR(__xludf.DUMMYFUNCTION("""COMPUTED_VALUE"""),"Henry Martín|46071")</f>
        <v>Henry Martín|46071</v>
      </c>
      <c r="O2162" s="7">
        <f>IFERROR(__xludf.DUMMYFUNCTION("""COMPUTED_VALUE"""),5.0)</f>
        <v>5</v>
      </c>
    </row>
    <row r="2163" ht="22.5" hidden="1" customHeight="1">
      <c r="A2163" s="8">
        <v>45933.34677777778</v>
      </c>
      <c r="B2163" s="9">
        <v>45933.0</v>
      </c>
      <c r="C2163" s="9" t="s">
        <v>48</v>
      </c>
      <c r="D2163" s="9" t="s">
        <v>259</v>
      </c>
      <c r="E2163" s="9" t="s">
        <v>17</v>
      </c>
      <c r="F2163" s="9" t="s">
        <v>17</v>
      </c>
      <c r="G2163" s="9" t="s">
        <v>24</v>
      </c>
      <c r="H2163" s="9" t="s">
        <v>25</v>
      </c>
      <c r="I2163" s="9" t="s">
        <v>401</v>
      </c>
      <c r="J2163" s="10"/>
      <c r="K2163" s="7" t="s">
        <v>398</v>
      </c>
      <c r="L2163" s="7"/>
      <c r="M2163" s="7"/>
      <c r="N2163" s="7" t="str">
        <f>IFERROR(__xludf.DUMMYFUNCTION("""COMPUTED_VALUE"""),"Cristian Borja|46071")</f>
        <v>Cristian Borja|46071</v>
      </c>
      <c r="O2163" s="7">
        <f>IFERROR(__xludf.DUMMYFUNCTION("""COMPUTED_VALUE"""),5.0)</f>
        <v>5</v>
      </c>
    </row>
    <row r="2164" ht="22.5" hidden="1" customHeight="1">
      <c r="A2164" s="8">
        <v>45933.34711002315</v>
      </c>
      <c r="B2164" s="9">
        <v>45933.0</v>
      </c>
      <c r="C2164" s="9" t="s">
        <v>48</v>
      </c>
      <c r="D2164" s="9" t="s">
        <v>257</v>
      </c>
      <c r="E2164" s="9" t="s">
        <v>17</v>
      </c>
      <c r="F2164" s="9" t="s">
        <v>17</v>
      </c>
      <c r="G2164" s="9" t="s">
        <v>24</v>
      </c>
      <c r="H2164" s="9" t="s">
        <v>17</v>
      </c>
      <c r="I2164" s="9" t="s">
        <v>240</v>
      </c>
      <c r="J2164" s="10"/>
      <c r="K2164" s="7" t="s">
        <v>398</v>
      </c>
      <c r="L2164" s="7"/>
      <c r="M2164" s="7"/>
      <c r="N2164" s="7" t="str">
        <f>IFERROR(__xludf.DUMMYFUNCTION("""COMPUTED_VALUE"""),"José Raúl Zúñiga|46071")</f>
        <v>José Raúl Zúñiga|46071</v>
      </c>
      <c r="O2164" s="7">
        <f>IFERROR(__xludf.DUMMYFUNCTION("""COMPUTED_VALUE"""),3.0)</f>
        <v>3</v>
      </c>
    </row>
    <row r="2165" ht="22.5" hidden="1" customHeight="1">
      <c r="A2165" s="8">
        <v>45933.358100729165</v>
      </c>
      <c r="B2165" s="9">
        <v>45933.0</v>
      </c>
      <c r="C2165" s="9" t="s">
        <v>48</v>
      </c>
      <c r="D2165" s="9" t="s">
        <v>395</v>
      </c>
      <c r="E2165" s="9" t="s">
        <v>17</v>
      </c>
      <c r="F2165" s="9" t="s">
        <v>17</v>
      </c>
      <c r="G2165" s="9" t="s">
        <v>24</v>
      </c>
      <c r="H2165" s="9" t="s">
        <v>22</v>
      </c>
      <c r="I2165" s="9" t="s">
        <v>20</v>
      </c>
      <c r="J2165" s="10"/>
      <c r="K2165" s="7" t="s">
        <v>398</v>
      </c>
      <c r="L2165" s="7"/>
      <c r="M2165" s="7"/>
      <c r="N2165" s="7" t="str">
        <f>IFERROR(__xludf.DUMMYFUNCTION("""COMPUTED_VALUE"""),"Ramón Juárez|46071")</f>
        <v>Ramón Juárez|46071</v>
      </c>
      <c r="O2165" s="7">
        <f>IFERROR(__xludf.DUMMYFUNCTION("""COMPUTED_VALUE"""),5.0)</f>
        <v>5</v>
      </c>
    </row>
    <row r="2166" ht="22.5" hidden="1" customHeight="1">
      <c r="A2166" s="8">
        <v>45933.36139194445</v>
      </c>
      <c r="B2166" s="9">
        <v>45933.0</v>
      </c>
      <c r="C2166" s="9" t="s">
        <v>48</v>
      </c>
      <c r="D2166" s="9" t="s">
        <v>249</v>
      </c>
      <c r="E2166" s="9" t="s">
        <v>17</v>
      </c>
      <c r="F2166" s="9" t="s">
        <v>17</v>
      </c>
      <c r="G2166" s="9" t="s">
        <v>24</v>
      </c>
      <c r="H2166" s="9" t="s">
        <v>17</v>
      </c>
      <c r="I2166" s="9" t="s">
        <v>20</v>
      </c>
      <c r="J2166" s="10"/>
      <c r="K2166" s="7" t="s">
        <v>398</v>
      </c>
      <c r="L2166" s="7"/>
      <c r="M2166" s="7"/>
      <c r="N2166" s="7" t="str">
        <f>IFERROR(__xludf.DUMMYFUNCTION("""COMPUTED_VALUE"""),"Sebastián Cáceres|46071")</f>
        <v>Sebastián Cáceres|46071</v>
      </c>
      <c r="O2166" s="7">
        <f>IFERROR(__xludf.DUMMYFUNCTION("""COMPUTED_VALUE"""),5.0)</f>
        <v>5</v>
      </c>
    </row>
    <row r="2167" ht="22.5" hidden="1" customHeight="1">
      <c r="A2167" s="8">
        <v>45933.363193020836</v>
      </c>
      <c r="B2167" s="9">
        <v>45933.0</v>
      </c>
      <c r="C2167" s="9" t="s">
        <v>48</v>
      </c>
      <c r="D2167" s="9" t="s">
        <v>174</v>
      </c>
      <c r="E2167" s="9" t="s">
        <v>17</v>
      </c>
      <c r="F2167" s="9" t="s">
        <v>17</v>
      </c>
      <c r="G2167" s="9" t="s">
        <v>24</v>
      </c>
      <c r="H2167" s="9" t="s">
        <v>17</v>
      </c>
      <c r="I2167" s="9" t="s">
        <v>20</v>
      </c>
      <c r="J2167" s="10"/>
      <c r="K2167" s="7" t="s">
        <v>398</v>
      </c>
      <c r="L2167" s="7"/>
      <c r="M2167" s="7"/>
      <c r="N2167" s="7" t="str">
        <f>IFERROR(__xludf.DUMMYFUNCTION("""COMPUTED_VALUE"""),"Raphael Veiga|46071")</f>
        <v>Raphael Veiga|46071</v>
      </c>
      <c r="O2167" s="7">
        <f>IFERROR(__xludf.DUMMYFUNCTION("""COMPUTED_VALUE"""),5.0)</f>
        <v>5</v>
      </c>
    </row>
    <row r="2168" ht="22.5" hidden="1" customHeight="1">
      <c r="A2168" s="8">
        <v>45933.36357446759</v>
      </c>
      <c r="B2168" s="9">
        <v>45933.0</v>
      </c>
      <c r="C2168" s="9" t="s">
        <v>48</v>
      </c>
      <c r="D2168" s="9" t="s">
        <v>171</v>
      </c>
      <c r="E2168" s="9" t="s">
        <v>17</v>
      </c>
      <c r="F2168" s="9" t="s">
        <v>17</v>
      </c>
      <c r="G2168" s="9" t="s">
        <v>24</v>
      </c>
      <c r="H2168" s="9" t="s">
        <v>17</v>
      </c>
      <c r="I2168" s="9" t="s">
        <v>20</v>
      </c>
      <c r="J2168" s="10"/>
      <c r="K2168" s="7" t="s">
        <v>398</v>
      </c>
      <c r="L2168" s="7"/>
      <c r="M2168" s="7"/>
      <c r="N2168" s="7" t="str">
        <f>IFERROR(__xludf.DUMMYFUNCTION("""COMPUTED_VALUE"""),"Néstor Araujo|46071")</f>
        <v>Néstor Araujo|46071</v>
      </c>
      <c r="O2168" s="7">
        <f>IFERROR(__xludf.DUMMYFUNCTION("""COMPUTED_VALUE"""),5.0)</f>
        <v>5</v>
      </c>
    </row>
    <row r="2169" ht="22.5" hidden="1" customHeight="1">
      <c r="A2169" s="8">
        <v>45933.36624018518</v>
      </c>
      <c r="B2169" s="9">
        <v>45933.0</v>
      </c>
      <c r="C2169" s="9" t="s">
        <v>48</v>
      </c>
      <c r="D2169" s="9" t="s">
        <v>393</v>
      </c>
      <c r="E2169" s="9" t="s">
        <v>17</v>
      </c>
      <c r="F2169" s="9" t="s">
        <v>18</v>
      </c>
      <c r="G2169" s="9" t="s">
        <v>24</v>
      </c>
      <c r="H2169" s="9" t="s">
        <v>22</v>
      </c>
      <c r="I2169" s="9" t="s">
        <v>20</v>
      </c>
      <c r="J2169" s="10"/>
      <c r="K2169" s="7" t="s">
        <v>398</v>
      </c>
      <c r="L2169" s="7"/>
      <c r="M2169" s="7"/>
      <c r="N2169" s="7" t="str">
        <f>IFERROR(__xludf.DUMMYFUNCTION("""COMPUTED_VALUE"""),"Israel Reyes|46071")</f>
        <v>Israel Reyes|46071</v>
      </c>
      <c r="O2169" s="7">
        <f>IFERROR(__xludf.DUMMYFUNCTION("""COMPUTED_VALUE"""),8.0)</f>
        <v>8</v>
      </c>
    </row>
    <row r="2170" ht="22.5" hidden="1" customHeight="1">
      <c r="A2170" s="8">
        <v>45933.366397731486</v>
      </c>
      <c r="B2170" s="9">
        <v>45933.0</v>
      </c>
      <c r="C2170" s="9" t="s">
        <v>48</v>
      </c>
      <c r="D2170" s="9" t="s">
        <v>223</v>
      </c>
      <c r="E2170" s="9" t="s">
        <v>17</v>
      </c>
      <c r="F2170" s="9" t="s">
        <v>17</v>
      </c>
      <c r="G2170" s="9" t="s">
        <v>24</v>
      </c>
      <c r="H2170" s="9" t="s">
        <v>17</v>
      </c>
      <c r="I2170" s="9" t="s">
        <v>20</v>
      </c>
      <c r="J2170" s="10"/>
      <c r="K2170" s="7" t="s">
        <v>398</v>
      </c>
      <c r="L2170" s="7"/>
      <c r="M2170" s="7"/>
      <c r="N2170" s="7" t="str">
        <f>IFERROR(__xludf.DUMMYFUNCTION("""COMPUTED_VALUE"""),"Fernando Tapia|46071")</f>
        <v>Fernando Tapia|46071</v>
      </c>
      <c r="O2170" s="7">
        <f>IFERROR(__xludf.DUMMYFUNCTION("""COMPUTED_VALUE"""),3.0)</f>
        <v>3</v>
      </c>
    </row>
    <row r="2171" ht="22.5" hidden="1" customHeight="1">
      <c r="A2171" s="8">
        <v>45933.36702009259</v>
      </c>
      <c r="B2171" s="9">
        <v>45933.0</v>
      </c>
      <c r="C2171" s="9" t="s">
        <v>48</v>
      </c>
      <c r="D2171" s="9" t="s">
        <v>394</v>
      </c>
      <c r="E2171" s="9" t="s">
        <v>17</v>
      </c>
      <c r="F2171" s="9" t="s">
        <v>17</v>
      </c>
      <c r="G2171" s="9" t="s">
        <v>24</v>
      </c>
      <c r="H2171" s="9" t="s">
        <v>17</v>
      </c>
      <c r="I2171" s="9" t="s">
        <v>20</v>
      </c>
      <c r="J2171" s="10"/>
      <c r="K2171" s="7" t="s">
        <v>398</v>
      </c>
      <c r="L2171" s="7"/>
      <c r="M2171" s="7"/>
      <c r="N2171" s="7" t="str">
        <f>IFERROR(__xludf.DUMMYFUNCTION("""COMPUTED_VALUE"""),"Paolo Bedolla|46071")</f>
        <v>Paolo Bedolla|46071</v>
      </c>
      <c r="O2171" s="7">
        <f>IFERROR(__xludf.DUMMYFUNCTION("""COMPUTED_VALUE"""),4.0)</f>
        <v>4</v>
      </c>
    </row>
    <row r="2172" ht="22.5" hidden="1" customHeight="1">
      <c r="A2172" s="8">
        <v>45933.36721296296</v>
      </c>
      <c r="B2172" s="9">
        <v>45933.0</v>
      </c>
      <c r="C2172" s="9" t="s">
        <v>48</v>
      </c>
      <c r="D2172" s="9" t="s">
        <v>258</v>
      </c>
      <c r="E2172" s="9" t="s">
        <v>17</v>
      </c>
      <c r="F2172" s="9" t="s">
        <v>17</v>
      </c>
      <c r="G2172" s="9" t="s">
        <v>24</v>
      </c>
      <c r="H2172" s="9" t="s">
        <v>17</v>
      </c>
      <c r="I2172" s="9" t="s">
        <v>20</v>
      </c>
      <c r="J2172" s="10"/>
      <c r="K2172" s="7" t="s">
        <v>398</v>
      </c>
      <c r="L2172" s="7"/>
      <c r="M2172" s="7"/>
      <c r="N2172" s="7" t="str">
        <f>IFERROR(__xludf.DUMMYFUNCTION("""COMPUTED_VALUE"""),"Aaron Mejia|46071")</f>
        <v>Aaron Mejia|46071</v>
      </c>
      <c r="O2172" s="7">
        <f>IFERROR(__xludf.DUMMYFUNCTION("""COMPUTED_VALUE"""),4.0)</f>
        <v>4</v>
      </c>
    </row>
    <row r="2173" ht="22.5" hidden="1" customHeight="1">
      <c r="A2173" s="8">
        <v>45933.367366493054</v>
      </c>
      <c r="B2173" s="9">
        <v>45933.0</v>
      </c>
      <c r="C2173" s="9" t="s">
        <v>48</v>
      </c>
      <c r="D2173" s="9" t="s">
        <v>177</v>
      </c>
      <c r="E2173" s="9" t="s">
        <v>17</v>
      </c>
      <c r="F2173" s="9" t="s">
        <v>17</v>
      </c>
      <c r="G2173" s="9" t="s">
        <v>24</v>
      </c>
      <c r="H2173" s="9" t="s">
        <v>17</v>
      </c>
      <c r="I2173" s="9" t="s">
        <v>20</v>
      </c>
      <c r="J2173" s="10"/>
      <c r="K2173" s="7" t="s">
        <v>398</v>
      </c>
      <c r="L2173" s="7"/>
      <c r="M2173" s="7"/>
      <c r="N2173" s="7" t="str">
        <f>IFERROR(__xludf.DUMMYFUNCTION("""COMPUTED_VALUE"""),"Rodolfo Cota|46071")</f>
        <v>Rodolfo Cota|46071</v>
      </c>
      <c r="O2173" s="7">
        <f>IFERROR(__xludf.DUMMYFUNCTION("""COMPUTED_VALUE"""),2.0)</f>
        <v>2</v>
      </c>
    </row>
    <row r="2174" ht="22.5" hidden="1" customHeight="1">
      <c r="A2174" s="8">
        <v>45933.36821256945</v>
      </c>
      <c r="B2174" s="9">
        <v>45933.0</v>
      </c>
      <c r="C2174" s="9" t="s">
        <v>48</v>
      </c>
      <c r="D2174" s="9" t="s">
        <v>178</v>
      </c>
      <c r="E2174" s="9" t="s">
        <v>17</v>
      </c>
      <c r="F2174" s="9" t="s">
        <v>17</v>
      </c>
      <c r="G2174" s="9" t="s">
        <v>24</v>
      </c>
      <c r="H2174" s="9" t="s">
        <v>17</v>
      </c>
      <c r="I2174" s="9" t="s">
        <v>20</v>
      </c>
      <c r="J2174" s="10"/>
      <c r="K2174" s="7" t="s">
        <v>398</v>
      </c>
      <c r="L2174" s="7"/>
      <c r="M2174" s="7"/>
      <c r="N2174" s="7" t="str">
        <f>IFERROR(__xludf.DUMMYFUNCTION("""COMPUTED_VALUE"""),"Rodrigo Dourado|46071")</f>
        <v>Rodrigo Dourado|46071</v>
      </c>
      <c r="O2174" s="7">
        <f>IFERROR(__xludf.DUMMYFUNCTION("""COMPUTED_VALUE"""),5.0)</f>
        <v>5</v>
      </c>
    </row>
    <row r="2175" ht="22.5" hidden="1" customHeight="1">
      <c r="A2175" s="8">
        <v>45933.3769794213</v>
      </c>
      <c r="B2175" s="9">
        <v>45933.0</v>
      </c>
      <c r="C2175" s="9" t="s">
        <v>48</v>
      </c>
      <c r="D2175" s="9" t="s">
        <v>361</v>
      </c>
      <c r="E2175" s="9" t="s">
        <v>17</v>
      </c>
      <c r="F2175" s="9" t="s">
        <v>17</v>
      </c>
      <c r="G2175" s="9" t="s">
        <v>24</v>
      </c>
      <c r="H2175" s="9" t="s">
        <v>22</v>
      </c>
      <c r="I2175" s="9" t="s">
        <v>20</v>
      </c>
      <c r="J2175" s="10"/>
      <c r="K2175" s="7" t="s">
        <v>398</v>
      </c>
      <c r="L2175" s="7"/>
      <c r="M2175" s="7"/>
      <c r="N2175" s="7" t="str">
        <f>IFERROR(__xludf.DUMMYFUNCTION("""COMPUTED_VALUE"""),"Brian Rodríguez|46071")</f>
        <v>Brian Rodríguez|46071</v>
      </c>
      <c r="O2175" s="7">
        <f>IFERROR(__xludf.DUMMYFUNCTION("""COMPUTED_VALUE"""),2.0)</f>
        <v>2</v>
      </c>
    </row>
    <row r="2176" ht="22.5" hidden="1" customHeight="1">
      <c r="A2176" s="8">
        <v>45933.377796898145</v>
      </c>
      <c r="B2176" s="9">
        <v>45933.0</v>
      </c>
      <c r="C2176" s="9" t="s">
        <v>48</v>
      </c>
      <c r="D2176" s="9" t="s">
        <v>247</v>
      </c>
      <c r="E2176" s="9" t="s">
        <v>17</v>
      </c>
      <c r="F2176" s="9" t="s">
        <v>17</v>
      </c>
      <c r="G2176" s="9" t="s">
        <v>24</v>
      </c>
      <c r="H2176" s="9" t="s">
        <v>25</v>
      </c>
      <c r="I2176" s="9" t="s">
        <v>117</v>
      </c>
      <c r="J2176" s="10"/>
      <c r="K2176" s="7" t="s">
        <v>398</v>
      </c>
      <c r="L2176" s="7"/>
      <c r="M2176" s="7"/>
      <c r="N2176" s="7" t="str">
        <f>IFERROR(__xludf.DUMMYFUNCTION("""COMPUTED_VALUE"""),"Miguel Vázquez|46071")</f>
        <v>Miguel Vázquez|46071</v>
      </c>
      <c r="O2176" s="7">
        <f>IFERROR(__xludf.DUMMYFUNCTION("""COMPUTED_VALUE"""),3.0)</f>
        <v>3</v>
      </c>
    </row>
    <row r="2177" ht="22.5" hidden="1" customHeight="1">
      <c r="A2177" s="8">
        <v>45933.37801890046</v>
      </c>
      <c r="B2177" s="9">
        <v>45933.0</v>
      </c>
      <c r="C2177" s="9" t="s">
        <v>48</v>
      </c>
      <c r="D2177" s="9" t="s">
        <v>350</v>
      </c>
      <c r="E2177" s="9" t="s">
        <v>17</v>
      </c>
      <c r="F2177" s="9" t="s">
        <v>17</v>
      </c>
      <c r="G2177" s="9" t="s">
        <v>24</v>
      </c>
      <c r="H2177" s="9" t="s">
        <v>17</v>
      </c>
      <c r="I2177" s="9" t="s">
        <v>20</v>
      </c>
      <c r="J2177" s="10"/>
      <c r="K2177" s="7" t="s">
        <v>398</v>
      </c>
      <c r="L2177" s="7"/>
      <c r="M2177" s="7"/>
      <c r="N2177" s="7" t="str">
        <f>IFERROR(__xludf.DUMMYFUNCTION("""COMPUTED_VALUE"""),"Jonathan Dos Santos|46071")</f>
        <v>Jonathan Dos Santos|46071</v>
      </c>
      <c r="O2177" s="7">
        <f>IFERROR(__xludf.DUMMYFUNCTION("""COMPUTED_VALUE"""),4.0)</f>
        <v>4</v>
      </c>
    </row>
    <row r="2178" ht="22.5" hidden="1" customHeight="1">
      <c r="A2178" s="8">
        <v>45933.38023359954</v>
      </c>
      <c r="B2178" s="9">
        <v>45933.0</v>
      </c>
      <c r="C2178" s="9" t="s">
        <v>48</v>
      </c>
      <c r="D2178" s="9" t="s">
        <v>357</v>
      </c>
      <c r="E2178" s="9" t="s">
        <v>17</v>
      </c>
      <c r="F2178" s="9" t="s">
        <v>18</v>
      </c>
      <c r="G2178" s="9" t="s">
        <v>24</v>
      </c>
      <c r="H2178" s="9" t="s">
        <v>25</v>
      </c>
      <c r="I2178" s="9" t="s">
        <v>89</v>
      </c>
      <c r="J2178" s="10"/>
      <c r="K2178" s="7" t="s">
        <v>398</v>
      </c>
      <c r="L2178" s="7"/>
      <c r="M2178" s="7"/>
      <c r="N2178" s="7" t="str">
        <f>IFERROR(__xludf.DUMMYFUNCTION("""COMPUTED_VALUE"""),"Alan Cervantes|46071")</f>
        <v>Alan Cervantes|46071</v>
      </c>
      <c r="O2178" s="7">
        <f>IFERROR(__xludf.DUMMYFUNCTION("""COMPUTED_VALUE"""),5.0)</f>
        <v>5</v>
      </c>
    </row>
    <row r="2179" ht="22.5" hidden="1" customHeight="1">
      <c r="A2179" s="8">
        <v>45933.38156096065</v>
      </c>
      <c r="B2179" s="9">
        <v>45933.0</v>
      </c>
      <c r="C2179" s="9" t="s">
        <v>48</v>
      </c>
      <c r="D2179" s="9" t="s">
        <v>168</v>
      </c>
      <c r="E2179" s="9" t="s">
        <v>17</v>
      </c>
      <c r="F2179" s="9" t="s">
        <v>17</v>
      </c>
      <c r="G2179" s="9" t="s">
        <v>24</v>
      </c>
      <c r="H2179" s="9" t="s">
        <v>17</v>
      </c>
      <c r="I2179" s="9" t="s">
        <v>400</v>
      </c>
      <c r="J2179" s="10"/>
      <c r="K2179" s="7" t="s">
        <v>398</v>
      </c>
      <c r="L2179" s="7"/>
      <c r="M2179" s="7"/>
      <c r="N2179" s="7" t="str">
        <f>IFERROR(__xludf.DUMMYFUNCTION("""COMPUTED_VALUE"""),"Henry Martín|46071")</f>
        <v>Henry Martín|46071</v>
      </c>
      <c r="O2179" s="7">
        <f>IFERROR(__xludf.DUMMYFUNCTION("""COMPUTED_VALUE"""),4.0)</f>
        <v>4</v>
      </c>
    </row>
    <row r="2180" ht="22.5" hidden="1" customHeight="1">
      <c r="A2180" s="8">
        <v>45933.38693552083</v>
      </c>
      <c r="B2180" s="9">
        <v>45933.0</v>
      </c>
      <c r="C2180" s="9" t="s">
        <v>48</v>
      </c>
      <c r="D2180" s="9" t="s">
        <v>210</v>
      </c>
      <c r="E2180" s="9" t="s">
        <v>17</v>
      </c>
      <c r="F2180" s="9" t="s">
        <v>17</v>
      </c>
      <c r="G2180" s="9" t="s">
        <v>24</v>
      </c>
      <c r="H2180" s="9" t="s">
        <v>22</v>
      </c>
      <c r="I2180" s="9" t="s">
        <v>20</v>
      </c>
      <c r="J2180" s="10"/>
      <c r="K2180" s="7" t="s">
        <v>398</v>
      </c>
      <c r="L2180" s="7"/>
      <c r="M2180" s="7"/>
      <c r="N2180" s="7" t="str">
        <f>IFERROR(__xludf.DUMMYFUNCTION("""COMPUTED_VALUE"""),"Isaías Violante|46071")</f>
        <v>Isaías Violante|46071</v>
      </c>
      <c r="O2180" s="7">
        <f>IFERROR(__xludf.DUMMYFUNCTION("""COMPUTED_VALUE"""),4.0)</f>
        <v>4</v>
      </c>
    </row>
    <row r="2181" ht="22.5" hidden="1" customHeight="1">
      <c r="A2181" s="8">
        <v>45933.4039849074</v>
      </c>
      <c r="B2181" s="9">
        <v>45933.0</v>
      </c>
      <c r="C2181" s="9" t="s">
        <v>48</v>
      </c>
      <c r="D2181" s="9" t="s">
        <v>280</v>
      </c>
      <c r="E2181" s="9" t="s">
        <v>17</v>
      </c>
      <c r="F2181" s="9" t="s">
        <v>17</v>
      </c>
      <c r="G2181" s="9" t="s">
        <v>24</v>
      </c>
      <c r="H2181" s="9" t="s">
        <v>17</v>
      </c>
      <c r="I2181" s="9" t="s">
        <v>20</v>
      </c>
      <c r="J2181" s="10"/>
      <c r="K2181" s="7" t="s">
        <v>398</v>
      </c>
      <c r="L2181" s="7"/>
      <c r="M2181" s="7"/>
      <c r="N2181" s="7" t="str">
        <f>IFERROR(__xludf.DUMMYFUNCTION("""COMPUTED_VALUE"""),"Víctor Dávila|46071")</f>
        <v>Víctor Dávila|46071</v>
      </c>
      <c r="O2181" s="7">
        <f>IFERROR(__xludf.DUMMYFUNCTION("""COMPUTED_VALUE"""),7.0)</f>
        <v>7</v>
      </c>
    </row>
    <row r="2182" ht="22.5" hidden="1" customHeight="1">
      <c r="A2182" s="8">
        <v>45933.40417862269</v>
      </c>
      <c r="B2182" s="9">
        <v>45933.0</v>
      </c>
      <c r="C2182" s="9" t="s">
        <v>48</v>
      </c>
      <c r="D2182" s="9" t="s">
        <v>335</v>
      </c>
      <c r="E2182" s="9" t="s">
        <v>17</v>
      </c>
      <c r="F2182" s="9" t="s">
        <v>17</v>
      </c>
      <c r="G2182" s="9" t="s">
        <v>24</v>
      </c>
      <c r="H2182" s="9" t="s">
        <v>17</v>
      </c>
      <c r="I2182" s="9" t="s">
        <v>20</v>
      </c>
      <c r="J2182" s="10"/>
      <c r="K2182" s="7" t="s">
        <v>398</v>
      </c>
      <c r="L2182" s="7"/>
      <c r="M2182" s="7"/>
      <c r="N2182" s="7" t="str">
        <f>IFERROR(__xludf.DUMMYFUNCTION("""COMPUTED_VALUE"""),"Vinícius Lima|46076")</f>
        <v>Vinícius Lima|46076</v>
      </c>
      <c r="O2182" s="7">
        <f>IFERROR(__xludf.DUMMYFUNCTION("""COMPUTED_VALUE"""),3.0)</f>
        <v>3</v>
      </c>
    </row>
    <row r="2183" ht="22.5" hidden="1" customHeight="1">
      <c r="A2183" s="8">
        <v>45943.390180682865</v>
      </c>
      <c r="B2183" s="9">
        <v>45943.0</v>
      </c>
      <c r="C2183" s="9" t="s">
        <v>86</v>
      </c>
      <c r="D2183" s="9" t="s">
        <v>393</v>
      </c>
      <c r="E2183" s="9" t="s">
        <v>17</v>
      </c>
      <c r="F2183" s="9" t="s">
        <v>18</v>
      </c>
      <c r="G2183" s="9" t="s">
        <v>24</v>
      </c>
      <c r="H2183" s="9" t="s">
        <v>17</v>
      </c>
      <c r="I2183" s="9" t="s">
        <v>89</v>
      </c>
      <c r="J2183" s="10"/>
      <c r="K2183" s="7" t="s">
        <v>398</v>
      </c>
      <c r="L2183" s="7"/>
      <c r="M2183" s="7"/>
      <c r="N2183" s="7" t="str">
        <f>IFERROR(__xludf.DUMMYFUNCTION("""COMPUTED_VALUE"""),"Rodolfo Cota|46076")</f>
        <v>Rodolfo Cota|46076</v>
      </c>
      <c r="O2183" s="7">
        <f>IFERROR(__xludf.DUMMYFUNCTION("""COMPUTED_VALUE"""),2.0)</f>
        <v>2</v>
      </c>
    </row>
    <row r="2184" ht="22.5" hidden="1" customHeight="1">
      <c r="A2184" s="8">
        <v>45943.424944189814</v>
      </c>
      <c r="B2184" s="9">
        <v>45943.0</v>
      </c>
      <c r="C2184" s="9" t="s">
        <v>86</v>
      </c>
      <c r="D2184" s="9" t="s">
        <v>357</v>
      </c>
      <c r="E2184" s="9" t="s">
        <v>17</v>
      </c>
      <c r="F2184" s="9" t="s">
        <v>17</v>
      </c>
      <c r="G2184" s="9" t="s">
        <v>24</v>
      </c>
      <c r="H2184" s="9" t="s">
        <v>25</v>
      </c>
      <c r="I2184" s="9" t="s">
        <v>89</v>
      </c>
      <c r="J2184" s="10"/>
      <c r="K2184" s="7" t="s">
        <v>398</v>
      </c>
      <c r="L2184" s="7"/>
      <c r="M2184" s="7"/>
      <c r="N2184" s="7" t="str">
        <f>IFERROR(__xludf.DUMMYFUNCTION("""COMPUTED_VALUE"""),"Raphael Veiga|46076")</f>
        <v>Raphael Veiga|46076</v>
      </c>
      <c r="O2184" s="7">
        <f>IFERROR(__xludf.DUMMYFUNCTION("""COMPUTED_VALUE"""),3.0)</f>
        <v>3</v>
      </c>
    </row>
    <row r="2185" ht="22.5" hidden="1" customHeight="1">
      <c r="A2185" s="8">
        <v>45943.425391956014</v>
      </c>
      <c r="B2185" s="9">
        <v>45943.0</v>
      </c>
      <c r="C2185" s="9" t="s">
        <v>86</v>
      </c>
      <c r="D2185" s="9" t="s">
        <v>259</v>
      </c>
      <c r="E2185" s="9" t="s">
        <v>17</v>
      </c>
      <c r="F2185" s="9" t="s">
        <v>18</v>
      </c>
      <c r="G2185" s="9" t="s">
        <v>19</v>
      </c>
      <c r="H2185" s="9" t="s">
        <v>17</v>
      </c>
      <c r="I2185" s="9" t="s">
        <v>67</v>
      </c>
      <c r="J2185" s="10"/>
      <c r="K2185" s="7" t="s">
        <v>398</v>
      </c>
      <c r="L2185" s="7"/>
      <c r="M2185" s="7"/>
      <c r="N2185" s="7" t="str">
        <f>IFERROR(__xludf.DUMMYFUNCTION("""COMPUTED_VALUE"""),"Alan Cervantes|46076")</f>
        <v>Alan Cervantes|46076</v>
      </c>
      <c r="O2185" s="7">
        <f>IFERROR(__xludf.DUMMYFUNCTION("""COMPUTED_VALUE"""),7.0)</f>
        <v>7</v>
      </c>
    </row>
    <row r="2186" ht="22.5" hidden="1" customHeight="1">
      <c r="A2186" s="8">
        <v>45943.42756928241</v>
      </c>
      <c r="B2186" s="9">
        <v>45943.0</v>
      </c>
      <c r="C2186" s="9" t="s">
        <v>86</v>
      </c>
      <c r="D2186" s="9" t="s">
        <v>171</v>
      </c>
      <c r="E2186" s="9" t="s">
        <v>17</v>
      </c>
      <c r="F2186" s="9" t="s">
        <v>17</v>
      </c>
      <c r="G2186" s="9" t="s">
        <v>24</v>
      </c>
      <c r="H2186" s="9" t="s">
        <v>25</v>
      </c>
      <c r="I2186" s="9" t="s">
        <v>28</v>
      </c>
      <c r="J2186" s="10"/>
      <c r="K2186" s="7" t="s">
        <v>398</v>
      </c>
      <c r="L2186" s="7"/>
      <c r="M2186" s="7"/>
      <c r="N2186" s="7" t="str">
        <f>IFERROR(__xludf.DUMMYFUNCTION("""COMPUTED_VALUE"""),"Fernando Tapia|46076")</f>
        <v>Fernando Tapia|46076</v>
      </c>
      <c r="O2186" s="7">
        <f>IFERROR(__xludf.DUMMYFUNCTION("""COMPUTED_VALUE"""),5.0)</f>
        <v>5</v>
      </c>
    </row>
    <row r="2187" ht="22.5" hidden="1" customHeight="1">
      <c r="A2187" s="8">
        <v>45943.42913484953</v>
      </c>
      <c r="B2187" s="9">
        <v>45943.0</v>
      </c>
      <c r="C2187" s="9" t="s">
        <v>86</v>
      </c>
      <c r="D2187" s="9" t="s">
        <v>280</v>
      </c>
      <c r="E2187" s="9" t="s">
        <v>17</v>
      </c>
      <c r="F2187" s="9" t="s">
        <v>17</v>
      </c>
      <c r="G2187" s="9" t="s">
        <v>24</v>
      </c>
      <c r="H2187" s="9" t="s">
        <v>17</v>
      </c>
      <c r="I2187" s="9" t="s">
        <v>20</v>
      </c>
      <c r="J2187" s="10"/>
      <c r="K2187" s="7" t="s">
        <v>398</v>
      </c>
      <c r="L2187" s="7"/>
      <c r="M2187" s="7"/>
      <c r="N2187" s="7" t="str">
        <f>IFERROR(__xludf.DUMMYFUNCTION("""COMPUTED_VALUE"""),"Aaron Mejia|46076")</f>
        <v>Aaron Mejia|46076</v>
      </c>
      <c r="O2187" s="7">
        <f>IFERROR(__xludf.DUMMYFUNCTION("""COMPUTED_VALUE"""),3.0)</f>
        <v>3</v>
      </c>
    </row>
    <row r="2188" ht="22.5" hidden="1" customHeight="1">
      <c r="A2188" s="8">
        <v>45943.4343321875</v>
      </c>
      <c r="B2188" s="9">
        <v>45943.0</v>
      </c>
      <c r="C2188" s="9" t="s">
        <v>86</v>
      </c>
      <c r="D2188" s="9" t="s">
        <v>350</v>
      </c>
      <c r="E2188" s="9" t="s">
        <v>17</v>
      </c>
      <c r="F2188" s="9" t="s">
        <v>17</v>
      </c>
      <c r="G2188" s="9" t="s">
        <v>24</v>
      </c>
      <c r="H2188" s="9" t="s">
        <v>22</v>
      </c>
      <c r="I2188" s="9" t="s">
        <v>20</v>
      </c>
      <c r="J2188" s="10"/>
      <c r="K2188" s="7" t="s">
        <v>398</v>
      </c>
      <c r="L2188" s="7"/>
      <c r="M2188" s="7"/>
      <c r="N2188" s="7" t="str">
        <f>IFERROR(__xludf.DUMMYFUNCTION("""COMPUTED_VALUE"""),"Brian Rodríguez|46076")</f>
        <v>Brian Rodríguez|46076</v>
      </c>
      <c r="O2188" s="7">
        <f>IFERROR(__xludf.DUMMYFUNCTION("""COMPUTED_VALUE"""),3.0)</f>
        <v>3</v>
      </c>
    </row>
    <row r="2189" ht="22.5" hidden="1" customHeight="1">
      <c r="A2189" s="8">
        <v>45943.439895787036</v>
      </c>
      <c r="B2189" s="9">
        <v>45943.0</v>
      </c>
      <c r="C2189" s="9" t="s">
        <v>86</v>
      </c>
      <c r="D2189" s="9" t="s">
        <v>168</v>
      </c>
      <c r="E2189" s="9" t="s">
        <v>17</v>
      </c>
      <c r="F2189" s="9" t="s">
        <v>17</v>
      </c>
      <c r="G2189" s="9" t="s">
        <v>24</v>
      </c>
      <c r="H2189" s="9" t="s">
        <v>17</v>
      </c>
      <c r="I2189" s="9" t="s">
        <v>20</v>
      </c>
      <c r="J2189" s="10"/>
      <c r="K2189" s="7" t="s">
        <v>398</v>
      </c>
      <c r="L2189" s="7"/>
      <c r="M2189" s="7"/>
      <c r="N2189" s="7" t="str">
        <f>IFERROR(__xludf.DUMMYFUNCTION("""COMPUTED_VALUE"""),"Rodrigo Dourado|46076")</f>
        <v>Rodrigo Dourado|46076</v>
      </c>
      <c r="O2189" s="7">
        <f>IFERROR(__xludf.DUMMYFUNCTION("""COMPUTED_VALUE"""),4.0)</f>
        <v>4</v>
      </c>
    </row>
    <row r="2190" ht="22.5" hidden="1" customHeight="1">
      <c r="A2190" s="8">
        <v>45943.44129505787</v>
      </c>
      <c r="B2190" s="9">
        <v>45943.0</v>
      </c>
      <c r="C2190" s="9" t="s">
        <v>86</v>
      </c>
      <c r="D2190" s="9" t="s">
        <v>257</v>
      </c>
      <c r="E2190" s="9" t="s">
        <v>17</v>
      </c>
      <c r="F2190" s="9" t="s">
        <v>17</v>
      </c>
      <c r="G2190" s="9" t="s">
        <v>24</v>
      </c>
      <c r="H2190" s="9" t="s">
        <v>25</v>
      </c>
      <c r="I2190" s="9" t="s">
        <v>240</v>
      </c>
      <c r="J2190" s="10"/>
      <c r="K2190" s="7" t="s">
        <v>398</v>
      </c>
      <c r="L2190" s="7"/>
      <c r="M2190" s="7"/>
      <c r="N2190" s="7" t="str">
        <f>IFERROR(__xludf.DUMMYFUNCTION("""COMPUTED_VALUE"""),"Néstor Araujo|46076")</f>
        <v>Néstor Araujo|46076</v>
      </c>
      <c r="O2190" s="7">
        <f>IFERROR(__xludf.DUMMYFUNCTION("""COMPUTED_VALUE"""),7.0)</f>
        <v>7</v>
      </c>
    </row>
    <row r="2191" ht="22.5" hidden="1" customHeight="1">
      <c r="A2191" s="8">
        <v>45943.44147763889</v>
      </c>
      <c r="B2191" s="9">
        <v>45943.0</v>
      </c>
      <c r="C2191" s="9" t="s">
        <v>86</v>
      </c>
      <c r="D2191" s="9" t="s">
        <v>223</v>
      </c>
      <c r="E2191" s="9" t="s">
        <v>17</v>
      </c>
      <c r="F2191" s="9" t="s">
        <v>17</v>
      </c>
      <c r="G2191" s="9" t="s">
        <v>24</v>
      </c>
      <c r="H2191" s="9" t="s">
        <v>22</v>
      </c>
      <c r="I2191" s="9" t="s">
        <v>321</v>
      </c>
      <c r="J2191" s="10"/>
      <c r="K2191" s="7" t="s">
        <v>398</v>
      </c>
      <c r="L2191" s="7"/>
      <c r="M2191" s="7"/>
      <c r="N2191" s="7" t="str">
        <f>IFERROR(__xludf.DUMMYFUNCTION("""COMPUTED_VALUE"""),"José Raúl Zúñiga|46076")</f>
        <v>José Raúl Zúñiga|46076</v>
      </c>
      <c r="O2191" s="7">
        <f>IFERROR(__xludf.DUMMYFUNCTION("""COMPUTED_VALUE"""),3.0)</f>
        <v>3</v>
      </c>
    </row>
    <row r="2192" ht="22.5" hidden="1" customHeight="1">
      <c r="A2192" s="8">
        <v>45943.442480682876</v>
      </c>
      <c r="B2192" s="9">
        <v>45943.0</v>
      </c>
      <c r="C2192" s="9" t="s">
        <v>86</v>
      </c>
      <c r="D2192" s="9" t="s">
        <v>367</v>
      </c>
      <c r="E2192" s="9" t="s">
        <v>17</v>
      </c>
      <c r="F2192" s="9" t="s">
        <v>17</v>
      </c>
      <c r="G2192" s="9" t="s">
        <v>24</v>
      </c>
      <c r="H2192" s="9" t="s">
        <v>17</v>
      </c>
      <c r="I2192" s="9" t="s">
        <v>37</v>
      </c>
      <c r="J2192" s="10"/>
      <c r="K2192" s="7" t="s">
        <v>398</v>
      </c>
      <c r="L2192" s="7"/>
      <c r="M2192" s="7"/>
      <c r="N2192" s="7" t="str">
        <f>IFERROR(__xludf.DUMMYFUNCTION("""COMPUTED_VALUE"""),"Patricio Salas|46076")</f>
        <v>Patricio Salas|46076</v>
      </c>
      <c r="O2192" s="7">
        <f>IFERROR(__xludf.DUMMYFUNCTION("""COMPUTED_VALUE"""),5.0)</f>
        <v>5</v>
      </c>
    </row>
    <row r="2193" ht="22.5" hidden="1" customHeight="1">
      <c r="A2193" s="8">
        <v>45943.443330636575</v>
      </c>
      <c r="B2193" s="9">
        <v>45943.0</v>
      </c>
      <c r="C2193" s="9" t="s">
        <v>86</v>
      </c>
      <c r="D2193" s="9" t="s">
        <v>258</v>
      </c>
      <c r="E2193" s="9" t="s">
        <v>17</v>
      </c>
      <c r="F2193" s="9" t="s">
        <v>17</v>
      </c>
      <c r="G2193" s="9" t="s">
        <v>24</v>
      </c>
      <c r="H2193" s="9" t="s">
        <v>22</v>
      </c>
      <c r="I2193" s="9" t="s">
        <v>20</v>
      </c>
      <c r="J2193" s="10"/>
      <c r="K2193" s="7" t="s">
        <v>398</v>
      </c>
      <c r="L2193" s="7"/>
      <c r="M2193" s="7"/>
      <c r="N2193" s="7" t="str">
        <f>IFERROR(__xludf.DUMMYFUNCTION("""COMPUTED_VALUE"""),"Jonathan Dos Santos|46076")</f>
        <v>Jonathan Dos Santos|46076</v>
      </c>
      <c r="O2193" s="7">
        <f>IFERROR(__xludf.DUMMYFUNCTION("""COMPUTED_VALUE"""),4.0)</f>
        <v>4</v>
      </c>
    </row>
    <row r="2194" ht="22.5" hidden="1" customHeight="1">
      <c r="A2194" s="8">
        <v>45943.45716614583</v>
      </c>
      <c r="B2194" s="9">
        <v>45943.0</v>
      </c>
      <c r="C2194" s="9" t="s">
        <v>86</v>
      </c>
      <c r="D2194" s="9" t="s">
        <v>247</v>
      </c>
      <c r="E2194" s="9" t="s">
        <v>17</v>
      </c>
      <c r="F2194" s="9" t="s">
        <v>17</v>
      </c>
      <c r="G2194" s="9" t="s">
        <v>24</v>
      </c>
      <c r="H2194" s="9" t="s">
        <v>17</v>
      </c>
      <c r="I2194" s="9" t="s">
        <v>20</v>
      </c>
      <c r="J2194" s="10"/>
      <c r="K2194" s="7" t="s">
        <v>398</v>
      </c>
      <c r="L2194" s="7"/>
      <c r="M2194" s="7"/>
      <c r="N2194" s="7" t="str">
        <f>IFERROR(__xludf.DUMMYFUNCTION("""COMPUTED_VALUE"""),"Ramón Juárez|46076")</f>
        <v>Ramón Juárez|46076</v>
      </c>
      <c r="O2194" s="7">
        <f>IFERROR(__xludf.DUMMYFUNCTION("""COMPUTED_VALUE"""),5.0)</f>
        <v>5</v>
      </c>
    </row>
    <row r="2195" ht="22.5" hidden="1" customHeight="1">
      <c r="A2195" s="8">
        <v>45943.457368981486</v>
      </c>
      <c r="B2195" s="9">
        <v>45943.0</v>
      </c>
      <c r="C2195" s="9" t="s">
        <v>86</v>
      </c>
      <c r="D2195" s="9" t="s">
        <v>361</v>
      </c>
      <c r="E2195" s="9" t="s">
        <v>17</v>
      </c>
      <c r="F2195" s="9" t="s">
        <v>17</v>
      </c>
      <c r="G2195" s="9" t="s">
        <v>24</v>
      </c>
      <c r="H2195" s="9" t="s">
        <v>17</v>
      </c>
      <c r="I2195" s="9" t="s">
        <v>20</v>
      </c>
      <c r="J2195" s="10"/>
      <c r="K2195" s="7" t="s">
        <v>398</v>
      </c>
      <c r="L2195" s="7"/>
      <c r="M2195" s="7"/>
      <c r="N2195" s="7" t="str">
        <f>IFERROR(__xludf.DUMMYFUNCTION("""COMPUTED_VALUE"""),"Cristian Borja|46076")</f>
        <v>Cristian Borja|46076</v>
      </c>
      <c r="O2195" s="7">
        <f>IFERROR(__xludf.DUMMYFUNCTION("""COMPUTED_VALUE"""),3.0)</f>
        <v>3</v>
      </c>
    </row>
    <row r="2196" ht="22.5" hidden="1" customHeight="1">
      <c r="A2196" s="8">
        <v>45943.45755864584</v>
      </c>
      <c r="B2196" s="9">
        <v>45943.0</v>
      </c>
      <c r="C2196" s="9" t="s">
        <v>86</v>
      </c>
      <c r="D2196" s="9" t="s">
        <v>174</v>
      </c>
      <c r="E2196" s="9" t="s">
        <v>17</v>
      </c>
      <c r="F2196" s="9" t="s">
        <v>17</v>
      </c>
      <c r="G2196" s="9" t="s">
        <v>24</v>
      </c>
      <c r="H2196" s="9" t="s">
        <v>17</v>
      </c>
      <c r="I2196" s="9" t="s">
        <v>20</v>
      </c>
      <c r="J2196" s="10"/>
      <c r="K2196" s="7" t="s">
        <v>398</v>
      </c>
      <c r="L2196" s="7"/>
      <c r="M2196" s="7"/>
      <c r="N2196" s="7" t="str">
        <f>IFERROR(__xludf.DUMMYFUNCTION("""COMPUTED_VALUE"""),"Sebastián Cáceres|46076")</f>
        <v>Sebastián Cáceres|46076</v>
      </c>
      <c r="O2196" s="7">
        <f>IFERROR(__xludf.DUMMYFUNCTION("""COMPUTED_VALUE"""),3.0)</f>
        <v>3</v>
      </c>
    </row>
    <row r="2197" ht="22.5" hidden="1" customHeight="1">
      <c r="A2197" s="8">
        <v>45943.45935690972</v>
      </c>
      <c r="B2197" s="9">
        <v>45943.0</v>
      </c>
      <c r="C2197" s="9" t="s">
        <v>86</v>
      </c>
      <c r="D2197" s="9" t="s">
        <v>397</v>
      </c>
      <c r="E2197" s="9" t="s">
        <v>17</v>
      </c>
      <c r="F2197" s="9" t="s">
        <v>17</v>
      </c>
      <c r="G2197" s="9" t="s">
        <v>24</v>
      </c>
      <c r="H2197" s="9" t="s">
        <v>17</v>
      </c>
      <c r="I2197" s="9" t="s">
        <v>20</v>
      </c>
      <c r="J2197" s="10"/>
      <c r="K2197" s="1" t="s">
        <v>398</v>
      </c>
      <c r="L2197" s="7"/>
      <c r="M2197" s="7"/>
      <c r="N2197" s="7" t="str">
        <f>IFERROR(__xludf.DUMMYFUNCTION("""COMPUTED_VALUE"""),"Kevin Álvarez|46076")</f>
        <v>Kevin Álvarez|46076</v>
      </c>
      <c r="O2197" s="7">
        <f>IFERROR(__xludf.DUMMYFUNCTION("""COMPUTED_VALUE"""),4.0)</f>
        <v>4</v>
      </c>
    </row>
    <row r="2198" ht="22.5" hidden="1" customHeight="1">
      <c r="A2198" s="8">
        <v>45944.354731921296</v>
      </c>
      <c r="B2198" s="9">
        <v>45944.0</v>
      </c>
      <c r="C2198" s="9" t="s">
        <v>110</v>
      </c>
      <c r="D2198" s="9" t="s">
        <v>258</v>
      </c>
      <c r="E2198" s="9" t="s">
        <v>17</v>
      </c>
      <c r="F2198" s="9" t="s">
        <v>17</v>
      </c>
      <c r="G2198" s="9" t="s">
        <v>24</v>
      </c>
      <c r="H2198" s="9" t="s">
        <v>22</v>
      </c>
      <c r="I2198" s="9" t="s">
        <v>20</v>
      </c>
      <c r="J2198" s="10"/>
      <c r="K2198" s="7" t="s">
        <v>398</v>
      </c>
      <c r="L2198" s="7"/>
      <c r="M2198" s="7"/>
      <c r="N2198" s="7" t="str">
        <f>IFERROR(__xludf.DUMMYFUNCTION("""COMPUTED_VALUE"""),"Santiago Naveda|46076")</f>
        <v>Santiago Naveda|46076</v>
      </c>
      <c r="O2198" s="7">
        <f>IFERROR(__xludf.DUMMYFUNCTION("""COMPUTED_VALUE"""),5.0)</f>
        <v>5</v>
      </c>
    </row>
    <row r="2199" ht="22.5" hidden="1" customHeight="1">
      <c r="A2199" s="8">
        <v>45944.35531449074</v>
      </c>
      <c r="B2199" s="9">
        <v>45944.0</v>
      </c>
      <c r="C2199" s="9" t="s">
        <v>110</v>
      </c>
      <c r="D2199" s="9" t="s">
        <v>280</v>
      </c>
      <c r="E2199" s="9" t="s">
        <v>17</v>
      </c>
      <c r="F2199" s="9" t="s">
        <v>17</v>
      </c>
      <c r="G2199" s="9" t="s">
        <v>24</v>
      </c>
      <c r="H2199" s="9" t="s">
        <v>17</v>
      </c>
      <c r="I2199" s="9" t="s">
        <v>20</v>
      </c>
      <c r="J2199" s="10"/>
      <c r="K2199" s="7" t="s">
        <v>398</v>
      </c>
      <c r="L2199" s="7"/>
      <c r="M2199" s="7"/>
      <c r="N2199" s="7" t="str">
        <f>IFERROR(__xludf.DUMMYFUNCTION("""COMPUTED_VALUE"""),"Henry Martín|46076")</f>
        <v>Henry Martín|46076</v>
      </c>
      <c r="O2199" s="7">
        <f>IFERROR(__xludf.DUMMYFUNCTION("""COMPUTED_VALUE"""),3.0)</f>
        <v>3</v>
      </c>
    </row>
    <row r="2200" ht="22.5" hidden="1" customHeight="1">
      <c r="A2200" s="8">
        <v>45944.359010949076</v>
      </c>
      <c r="B2200" s="9">
        <v>45944.0</v>
      </c>
      <c r="C2200" s="9" t="s">
        <v>110</v>
      </c>
      <c r="D2200" s="9" t="s">
        <v>223</v>
      </c>
      <c r="E2200" s="9" t="s">
        <v>17</v>
      </c>
      <c r="F2200" s="9" t="s">
        <v>17</v>
      </c>
      <c r="G2200" s="9" t="s">
        <v>24</v>
      </c>
      <c r="H2200" s="9" t="s">
        <v>17</v>
      </c>
      <c r="I2200" s="9" t="s">
        <v>321</v>
      </c>
      <c r="J2200" s="10"/>
      <c r="K2200" s="7" t="s">
        <v>398</v>
      </c>
      <c r="L2200" s="7"/>
      <c r="M2200" s="7"/>
      <c r="N2200" s="7" t="str">
        <f>IFERROR(__xludf.DUMMYFUNCTION("""COMPUTED_VALUE"""),"Miguel Vázquez|46076")</f>
        <v>Miguel Vázquez|46076</v>
      </c>
      <c r="O2200" s="7">
        <f>IFERROR(__xludf.DUMMYFUNCTION("""COMPUTED_VALUE"""),4.0)</f>
        <v>4</v>
      </c>
    </row>
    <row r="2201" ht="22.5" hidden="1" customHeight="1">
      <c r="A2201" s="8">
        <v>45944.35916572917</v>
      </c>
      <c r="B2201" s="9">
        <v>45944.0</v>
      </c>
      <c r="C2201" s="9" t="s">
        <v>110</v>
      </c>
      <c r="D2201" s="9" t="s">
        <v>393</v>
      </c>
      <c r="E2201" s="9" t="s">
        <v>17</v>
      </c>
      <c r="F2201" s="9" t="s">
        <v>43</v>
      </c>
      <c r="G2201" s="9" t="s">
        <v>24</v>
      </c>
      <c r="H2201" s="9" t="s">
        <v>17</v>
      </c>
      <c r="I2201" s="9" t="s">
        <v>20</v>
      </c>
      <c r="J2201" s="10"/>
      <c r="K2201" s="7" t="s">
        <v>398</v>
      </c>
      <c r="L2201" s="7"/>
      <c r="M2201" s="7"/>
      <c r="N2201" s="7" t="str">
        <f>IFERROR(__xludf.DUMMYFUNCTION("""COMPUTED_VALUE"""),"Isaías Violante|46076")</f>
        <v>Isaías Violante|46076</v>
      </c>
      <c r="O2201" s="7">
        <f>IFERROR(__xludf.DUMMYFUNCTION("""COMPUTED_VALUE"""),4.0)</f>
        <v>4</v>
      </c>
    </row>
    <row r="2202" ht="22.5" hidden="1" customHeight="1">
      <c r="A2202" s="8">
        <v>45944.364896747684</v>
      </c>
      <c r="B2202" s="9">
        <v>45944.0</v>
      </c>
      <c r="C2202" s="9" t="s">
        <v>110</v>
      </c>
      <c r="D2202" s="9" t="s">
        <v>171</v>
      </c>
      <c r="E2202" s="9" t="s">
        <v>17</v>
      </c>
      <c r="F2202" s="9" t="s">
        <v>17</v>
      </c>
      <c r="G2202" s="9" t="s">
        <v>24</v>
      </c>
      <c r="H2202" s="9" t="s">
        <v>25</v>
      </c>
      <c r="I2202" s="9" t="s">
        <v>28</v>
      </c>
      <c r="J2202" s="10"/>
      <c r="K2202" s="7" t="s">
        <v>398</v>
      </c>
      <c r="L2202" s="7"/>
      <c r="M2202" s="7"/>
      <c r="N2202" s="7" t="str">
        <f>IFERROR(__xludf.DUMMYFUNCTION("""COMPUTED_VALUE"""),"Víctor Dávila|46076")</f>
        <v>Víctor Dávila|46076</v>
      </c>
      <c r="O2202" s="7">
        <f>IFERROR(__xludf.DUMMYFUNCTION("""COMPUTED_VALUE"""),8.0)</f>
        <v>8</v>
      </c>
    </row>
    <row r="2203" ht="22.5" hidden="1" customHeight="1">
      <c r="A2203" s="8">
        <v>45944.36611857639</v>
      </c>
      <c r="B2203" s="9">
        <v>45944.0</v>
      </c>
      <c r="C2203" s="9" t="s">
        <v>110</v>
      </c>
      <c r="D2203" s="9" t="s">
        <v>350</v>
      </c>
      <c r="E2203" s="9" t="s">
        <v>17</v>
      </c>
      <c r="F2203" s="9" t="s">
        <v>17</v>
      </c>
      <c r="G2203" s="9" t="s">
        <v>24</v>
      </c>
      <c r="H2203" s="9" t="s">
        <v>22</v>
      </c>
      <c r="I2203" s="9" t="s">
        <v>20</v>
      </c>
      <c r="J2203" s="10"/>
      <c r="K2203" s="7" t="s">
        <v>398</v>
      </c>
      <c r="L2203" s="7"/>
      <c r="M2203" s="7"/>
      <c r="N2203" s="7" t="str">
        <f>IFERROR(__xludf.DUMMYFUNCTION("""COMPUTED_VALUE"""),"Néstor Araujo|46077")</f>
        <v>Néstor Araujo|46077</v>
      </c>
      <c r="O2203" s="7">
        <f>IFERROR(__xludf.DUMMYFUNCTION("""COMPUTED_VALUE"""),7.0)</f>
        <v>7</v>
      </c>
    </row>
    <row r="2204" ht="22.5" hidden="1" customHeight="1">
      <c r="A2204" s="8">
        <v>45944.368247210645</v>
      </c>
      <c r="B2204" s="9">
        <v>45944.0</v>
      </c>
      <c r="C2204" s="9" t="s">
        <v>110</v>
      </c>
      <c r="D2204" s="9" t="s">
        <v>257</v>
      </c>
      <c r="E2204" s="9" t="s">
        <v>17</v>
      </c>
      <c r="F2204" s="9" t="s">
        <v>17</v>
      </c>
      <c r="G2204" s="9" t="s">
        <v>24</v>
      </c>
      <c r="H2204" s="9" t="s">
        <v>25</v>
      </c>
      <c r="I2204" s="9" t="s">
        <v>240</v>
      </c>
      <c r="J2204" s="10"/>
      <c r="K2204" s="7" t="s">
        <v>398</v>
      </c>
      <c r="L2204" s="7"/>
      <c r="M2204" s="7"/>
      <c r="N2204" s="7" t="str">
        <f>IFERROR(__xludf.DUMMYFUNCTION("""COMPUTED_VALUE"""),"José Raúl Zúñiga|46077")</f>
        <v>José Raúl Zúñiga|46077</v>
      </c>
      <c r="O2204" s="7">
        <f>IFERROR(__xludf.DUMMYFUNCTION("""COMPUTED_VALUE"""),4.0)</f>
        <v>4</v>
      </c>
    </row>
    <row r="2205" ht="22.5" hidden="1" customHeight="1">
      <c r="A2205" s="8">
        <v>45944.374824328705</v>
      </c>
      <c r="B2205" s="9">
        <v>45944.0</v>
      </c>
      <c r="C2205" s="9" t="s">
        <v>110</v>
      </c>
      <c r="D2205" s="9" t="s">
        <v>174</v>
      </c>
      <c r="E2205" s="9" t="s">
        <v>17</v>
      </c>
      <c r="F2205" s="9" t="s">
        <v>17</v>
      </c>
      <c r="G2205" s="9" t="s">
        <v>24</v>
      </c>
      <c r="H2205" s="9" t="s">
        <v>17</v>
      </c>
      <c r="I2205" s="9" t="s">
        <v>20</v>
      </c>
      <c r="J2205" s="10"/>
      <c r="K2205" s="7" t="s">
        <v>398</v>
      </c>
      <c r="L2205" s="7"/>
      <c r="M2205" s="7"/>
      <c r="N2205" s="7" t="str">
        <f>IFERROR(__xludf.DUMMYFUNCTION("""COMPUTED_VALUE"""),"Patricio Salas|46077")</f>
        <v>Patricio Salas|46077</v>
      </c>
      <c r="O2205" s="7">
        <f>IFERROR(__xludf.DUMMYFUNCTION("""COMPUTED_VALUE"""),6.0)</f>
        <v>6</v>
      </c>
    </row>
    <row r="2206" ht="22.5" hidden="1" customHeight="1">
      <c r="A2206" s="8">
        <v>45944.382605949075</v>
      </c>
      <c r="B2206" s="9">
        <v>45944.0</v>
      </c>
      <c r="C2206" s="9" t="s">
        <v>110</v>
      </c>
      <c r="D2206" s="9" t="s">
        <v>397</v>
      </c>
      <c r="E2206" s="9" t="s">
        <v>17</v>
      </c>
      <c r="F2206" s="9" t="s">
        <v>17</v>
      </c>
      <c r="G2206" s="9" t="s">
        <v>24</v>
      </c>
      <c r="H2206" s="9" t="s">
        <v>17</v>
      </c>
      <c r="I2206" s="9" t="s">
        <v>20</v>
      </c>
      <c r="J2206" s="10"/>
      <c r="K2206" s="1" t="s">
        <v>398</v>
      </c>
      <c r="L2206" s="7"/>
      <c r="M2206" s="7"/>
      <c r="N2206" s="7" t="str">
        <f>IFERROR(__xludf.DUMMYFUNCTION("""COMPUTED_VALUE"""),"Santiago Naveda|46077")</f>
        <v>Santiago Naveda|46077</v>
      </c>
      <c r="O2206" s="7">
        <f>IFERROR(__xludf.DUMMYFUNCTION("""COMPUTED_VALUE"""),6.0)</f>
        <v>6</v>
      </c>
    </row>
    <row r="2207" ht="22.5" hidden="1" customHeight="1">
      <c r="A2207" s="8">
        <v>45944.38298334491</v>
      </c>
      <c r="B2207" s="9">
        <v>45944.0</v>
      </c>
      <c r="C2207" s="9" t="s">
        <v>110</v>
      </c>
      <c r="D2207" s="9" t="s">
        <v>361</v>
      </c>
      <c r="E2207" s="9" t="s">
        <v>17</v>
      </c>
      <c r="F2207" s="9" t="s">
        <v>17</v>
      </c>
      <c r="G2207" s="9" t="s">
        <v>24</v>
      </c>
      <c r="H2207" s="9" t="s">
        <v>22</v>
      </c>
      <c r="I2207" s="9" t="s">
        <v>20</v>
      </c>
      <c r="J2207" s="10"/>
      <c r="K2207" s="7" t="s">
        <v>398</v>
      </c>
      <c r="L2207" s="7"/>
      <c r="M2207" s="7"/>
      <c r="N2207" s="7" t="str">
        <f>IFERROR(__xludf.DUMMYFUNCTION("""COMPUTED_VALUE"""),"Miguel Vázquez|46077")</f>
        <v>Miguel Vázquez|46077</v>
      </c>
      <c r="O2207" s="7">
        <f>IFERROR(__xludf.DUMMYFUNCTION("""COMPUTED_VALUE"""),4.0)</f>
        <v>4</v>
      </c>
    </row>
    <row r="2208" ht="22.5" hidden="1" customHeight="1">
      <c r="A2208" s="8">
        <v>45944.39213121528</v>
      </c>
      <c r="B2208" s="9">
        <v>45944.0</v>
      </c>
      <c r="C2208" s="9" t="s">
        <v>110</v>
      </c>
      <c r="D2208" s="9" t="s">
        <v>259</v>
      </c>
      <c r="E2208" s="9" t="s">
        <v>17</v>
      </c>
      <c r="F2208" s="9" t="s">
        <v>18</v>
      </c>
      <c r="G2208" s="9" t="s">
        <v>24</v>
      </c>
      <c r="H2208" s="9" t="s">
        <v>25</v>
      </c>
      <c r="I2208" s="9" t="s">
        <v>67</v>
      </c>
      <c r="J2208" s="10"/>
      <c r="K2208" s="7" t="s">
        <v>398</v>
      </c>
      <c r="L2208" s="7"/>
      <c r="M2208" s="7"/>
      <c r="N2208" s="7" t="str">
        <f>IFERROR(__xludf.DUMMYFUNCTION("""COMPUTED_VALUE"""),"Brian Rodríguez|46077")</f>
        <v>Brian Rodríguez|46077</v>
      </c>
      <c r="O2208" s="7">
        <f>IFERROR(__xludf.DUMMYFUNCTION("""COMPUTED_VALUE"""),3.0)</f>
        <v>3</v>
      </c>
    </row>
    <row r="2209" ht="22.5" hidden="1" customHeight="1">
      <c r="A2209" s="8">
        <v>45944.39304451389</v>
      </c>
      <c r="B2209" s="9">
        <v>45944.0</v>
      </c>
      <c r="C2209" s="9" t="s">
        <v>110</v>
      </c>
      <c r="D2209" s="9" t="s">
        <v>357</v>
      </c>
      <c r="E2209" s="9" t="s">
        <v>17</v>
      </c>
      <c r="F2209" s="9" t="s">
        <v>17</v>
      </c>
      <c r="G2209" s="9" t="s">
        <v>24</v>
      </c>
      <c r="H2209" s="9" t="s">
        <v>25</v>
      </c>
      <c r="I2209" s="9" t="s">
        <v>89</v>
      </c>
      <c r="J2209" s="10"/>
      <c r="K2209" s="7" t="s">
        <v>398</v>
      </c>
      <c r="L2209" s="7"/>
      <c r="M2209" s="7"/>
      <c r="N2209" s="7" t="str">
        <f>IFERROR(__xludf.DUMMYFUNCTION("""COMPUTED_VALUE"""),"Rodolfo Cota|46077")</f>
        <v>Rodolfo Cota|46077</v>
      </c>
      <c r="O2209" s="7">
        <f>IFERROR(__xludf.DUMMYFUNCTION("""COMPUTED_VALUE"""),2.0)</f>
        <v>2</v>
      </c>
    </row>
    <row r="2210" ht="22.5" hidden="1" customHeight="1">
      <c r="A2210" s="8">
        <v>45944.39919011574</v>
      </c>
      <c r="B2210" s="9">
        <v>45944.0</v>
      </c>
      <c r="C2210" s="9" t="s">
        <v>110</v>
      </c>
      <c r="D2210" s="9" t="s">
        <v>168</v>
      </c>
      <c r="E2210" s="9" t="s">
        <v>17</v>
      </c>
      <c r="F2210" s="9" t="s">
        <v>17</v>
      </c>
      <c r="G2210" s="9" t="s">
        <v>24</v>
      </c>
      <c r="H2210" s="9" t="s">
        <v>17</v>
      </c>
      <c r="I2210" s="9" t="s">
        <v>400</v>
      </c>
      <c r="J2210" s="10"/>
      <c r="K2210" s="7" t="s">
        <v>398</v>
      </c>
      <c r="L2210" s="7"/>
      <c r="M2210" s="7"/>
      <c r="N2210" s="7" t="str">
        <f>IFERROR(__xludf.DUMMYFUNCTION("""COMPUTED_VALUE"""),"Kevin Álvarez|46077")</f>
        <v>Kevin Álvarez|46077</v>
      </c>
      <c r="O2210" s="7">
        <f>IFERROR(__xludf.DUMMYFUNCTION("""COMPUTED_VALUE"""),4.0)</f>
        <v>4</v>
      </c>
    </row>
    <row r="2211" ht="22.5" hidden="1" customHeight="1">
      <c r="A2211" s="8">
        <v>45947.34792840278</v>
      </c>
      <c r="B2211" s="9">
        <v>45947.0</v>
      </c>
      <c r="C2211" s="9" t="s">
        <v>48</v>
      </c>
      <c r="D2211" s="9" t="s">
        <v>258</v>
      </c>
      <c r="E2211" s="9" t="s">
        <v>17</v>
      </c>
      <c r="F2211" s="9" t="s">
        <v>17</v>
      </c>
      <c r="G2211" s="9" t="s">
        <v>24</v>
      </c>
      <c r="H2211" s="9" t="s">
        <v>17</v>
      </c>
      <c r="I2211" s="9" t="s">
        <v>20</v>
      </c>
      <c r="J2211" s="10"/>
      <c r="K2211" s="7" t="s">
        <v>398</v>
      </c>
      <c r="L2211" s="7"/>
      <c r="M2211" s="7"/>
      <c r="N2211" s="7" t="str">
        <f>IFERROR(__xludf.DUMMYFUNCTION("""COMPUTED_VALUE"""),"Raphael Veiga|46077")</f>
        <v>Raphael Veiga|46077</v>
      </c>
      <c r="O2211" s="7">
        <f>IFERROR(__xludf.DUMMYFUNCTION("""COMPUTED_VALUE"""),5.0)</f>
        <v>5</v>
      </c>
    </row>
    <row r="2212" ht="22.5" hidden="1" customHeight="1">
      <c r="A2212" s="8">
        <v>45947.34818803241</v>
      </c>
      <c r="B2212" s="9">
        <v>45947.0</v>
      </c>
      <c r="C2212" s="9" t="s">
        <v>48</v>
      </c>
      <c r="D2212" s="9" t="s">
        <v>177</v>
      </c>
      <c r="E2212" s="9" t="s">
        <v>17</v>
      </c>
      <c r="F2212" s="9" t="s">
        <v>17</v>
      </c>
      <c r="G2212" s="9" t="s">
        <v>24</v>
      </c>
      <c r="H2212" s="9" t="s">
        <v>22</v>
      </c>
      <c r="I2212" s="9" t="s">
        <v>20</v>
      </c>
      <c r="J2212" s="10"/>
      <c r="K2212" s="7" t="s">
        <v>398</v>
      </c>
      <c r="L2212" s="7"/>
      <c r="M2212" s="7"/>
      <c r="N2212" s="7" t="str">
        <f>IFERROR(__xludf.DUMMYFUNCTION("""COMPUTED_VALUE"""),"Jonathan Dos Santos|46077")</f>
        <v>Jonathan Dos Santos|46077</v>
      </c>
      <c r="O2212" s="7">
        <f>IFERROR(__xludf.DUMMYFUNCTION("""COMPUTED_VALUE"""),5.0)</f>
        <v>5</v>
      </c>
    </row>
    <row r="2213" ht="22.5" hidden="1" customHeight="1">
      <c r="A2213" s="8">
        <v>45947.352187372686</v>
      </c>
      <c r="B2213" s="9">
        <v>45947.0</v>
      </c>
      <c r="C2213" s="9" t="s">
        <v>48</v>
      </c>
      <c r="D2213" s="9" t="s">
        <v>280</v>
      </c>
      <c r="E2213" s="9" t="s">
        <v>17</v>
      </c>
      <c r="F2213" s="9" t="s">
        <v>17</v>
      </c>
      <c r="G2213" s="9" t="s">
        <v>24</v>
      </c>
      <c r="H2213" s="9" t="s">
        <v>17</v>
      </c>
      <c r="I2213" s="9" t="s">
        <v>20</v>
      </c>
      <c r="J2213" s="10"/>
      <c r="K2213" s="7" t="s">
        <v>398</v>
      </c>
      <c r="L2213" s="7"/>
      <c r="M2213" s="7"/>
      <c r="N2213" s="7" t="str">
        <f>IFERROR(__xludf.DUMMYFUNCTION("""COMPUTED_VALUE"""),"Víctor Dávila|46077")</f>
        <v>Víctor Dávila|46077</v>
      </c>
      <c r="O2213" s="7">
        <f>IFERROR(__xludf.DUMMYFUNCTION("""COMPUTED_VALUE"""),6.0)</f>
        <v>6</v>
      </c>
    </row>
    <row r="2214" ht="22.5" hidden="1" customHeight="1">
      <c r="A2214" s="8">
        <v>45947.355400879635</v>
      </c>
      <c r="B2214" s="9">
        <v>45947.0</v>
      </c>
      <c r="C2214" s="9" t="s">
        <v>48</v>
      </c>
      <c r="D2214" s="9" t="s">
        <v>395</v>
      </c>
      <c r="E2214" s="9" t="s">
        <v>17</v>
      </c>
      <c r="F2214" s="9" t="s">
        <v>17</v>
      </c>
      <c r="G2214" s="9" t="s">
        <v>24</v>
      </c>
      <c r="H2214" s="9" t="s">
        <v>22</v>
      </c>
      <c r="I2214" s="9" t="s">
        <v>20</v>
      </c>
      <c r="J2214" s="10"/>
      <c r="K2214" s="7" t="s">
        <v>398</v>
      </c>
      <c r="L2214" s="7"/>
      <c r="M2214" s="7"/>
      <c r="N2214" s="7" t="str">
        <f>IFERROR(__xludf.DUMMYFUNCTION("""COMPUTED_VALUE"""),"Dagoberto Espinoza|46077")</f>
        <v>Dagoberto Espinoza|46077</v>
      </c>
      <c r="O2214" s="7">
        <f>IFERROR(__xludf.DUMMYFUNCTION("""COMPUTED_VALUE"""),7.0)</f>
        <v>7</v>
      </c>
    </row>
    <row r="2215" ht="22.5" hidden="1" customHeight="1">
      <c r="A2215" s="8">
        <v>45947.369521562505</v>
      </c>
      <c r="B2215" s="9">
        <v>45947.0</v>
      </c>
      <c r="C2215" s="9" t="s">
        <v>48</v>
      </c>
      <c r="D2215" s="9" t="s">
        <v>361</v>
      </c>
      <c r="E2215" s="9" t="s">
        <v>17</v>
      </c>
      <c r="F2215" s="9" t="s">
        <v>17</v>
      </c>
      <c r="G2215" s="9" t="s">
        <v>24</v>
      </c>
      <c r="H2215" s="9" t="s">
        <v>25</v>
      </c>
      <c r="I2215" s="9" t="s">
        <v>26</v>
      </c>
      <c r="J2215" s="10"/>
      <c r="K2215" s="7" t="s">
        <v>398</v>
      </c>
      <c r="L2215" s="7"/>
      <c r="M2215" s="7"/>
      <c r="N2215" s="7" t="str">
        <f>IFERROR(__xludf.DUMMYFUNCTION("""COMPUTED_VALUE"""),"Alan Cervantes|46077")</f>
        <v>Alan Cervantes|46077</v>
      </c>
      <c r="O2215" s="7">
        <f>IFERROR(__xludf.DUMMYFUNCTION("""COMPUTED_VALUE"""),6.0)</f>
        <v>6</v>
      </c>
    </row>
    <row r="2216" ht="22.5" hidden="1" customHeight="1">
      <c r="A2216" s="8">
        <v>45947.37041200232</v>
      </c>
      <c r="B2216" s="9">
        <v>45947.0</v>
      </c>
      <c r="C2216" s="9" t="s">
        <v>48</v>
      </c>
      <c r="D2216" s="9" t="s">
        <v>210</v>
      </c>
      <c r="E2216" s="9" t="s">
        <v>17</v>
      </c>
      <c r="F2216" s="9" t="s">
        <v>17</v>
      </c>
      <c r="G2216" s="9" t="s">
        <v>24</v>
      </c>
      <c r="H2216" s="9" t="s">
        <v>22</v>
      </c>
      <c r="I2216" s="9" t="s">
        <v>20</v>
      </c>
      <c r="J2216" s="10"/>
      <c r="K2216" s="7" t="s">
        <v>398</v>
      </c>
      <c r="L2216" s="7"/>
      <c r="M2216" s="7"/>
      <c r="N2216" s="7" t="str">
        <f>IFERROR(__xludf.DUMMYFUNCTION("""COMPUTED_VALUE"""),"Thiago Espinosa|46077")</f>
        <v>Thiago Espinosa|46077</v>
      </c>
      <c r="O2216" s="7">
        <f>IFERROR(__xludf.DUMMYFUNCTION("""COMPUTED_VALUE"""),6.0)</f>
        <v>6</v>
      </c>
    </row>
    <row r="2217" ht="22.5" hidden="1" customHeight="1">
      <c r="A2217" s="8">
        <v>45947.37101920139</v>
      </c>
      <c r="B2217" s="9">
        <v>45947.0</v>
      </c>
      <c r="C2217" s="9" t="s">
        <v>48</v>
      </c>
      <c r="D2217" s="9" t="s">
        <v>393</v>
      </c>
      <c r="E2217" s="9" t="s">
        <v>17</v>
      </c>
      <c r="F2217" s="9" t="s">
        <v>17</v>
      </c>
      <c r="G2217" s="9" t="s">
        <v>24</v>
      </c>
      <c r="H2217" s="9" t="s">
        <v>17</v>
      </c>
      <c r="I2217" s="9" t="s">
        <v>20</v>
      </c>
      <c r="J2217" s="10"/>
      <c r="K2217" s="7" t="s">
        <v>398</v>
      </c>
      <c r="L2217" s="7"/>
      <c r="M2217" s="7"/>
      <c r="N2217" s="7" t="str">
        <f>IFERROR(__xludf.DUMMYFUNCTION("""COMPUTED_VALUE"""),"Fernando Tapia|46077")</f>
        <v>Fernando Tapia|46077</v>
      </c>
      <c r="O2217" s="7">
        <f>IFERROR(__xludf.DUMMYFUNCTION("""COMPUTED_VALUE"""),6.0)</f>
        <v>6</v>
      </c>
    </row>
    <row r="2218" ht="22.5" hidden="1" customHeight="1">
      <c r="A2218" s="8">
        <v>45947.37215761574</v>
      </c>
      <c r="B2218" s="9">
        <v>45947.0</v>
      </c>
      <c r="C2218" s="9" t="s">
        <v>48</v>
      </c>
      <c r="D2218" s="9" t="s">
        <v>223</v>
      </c>
      <c r="E2218" s="9" t="s">
        <v>17</v>
      </c>
      <c r="F2218" s="9" t="s">
        <v>17</v>
      </c>
      <c r="G2218" s="9" t="s">
        <v>24</v>
      </c>
      <c r="H2218" s="9" t="s">
        <v>22</v>
      </c>
      <c r="I2218" s="9" t="s">
        <v>20</v>
      </c>
      <c r="J2218" s="10"/>
      <c r="K2218" s="7" t="s">
        <v>398</v>
      </c>
      <c r="L2218" s="7"/>
      <c r="M2218" s="7"/>
      <c r="N2218" s="7" t="str">
        <f>IFERROR(__xludf.DUMMYFUNCTION("""COMPUTED_VALUE"""),"Vinícius Lima|46077")</f>
        <v>Vinícius Lima|46077</v>
      </c>
      <c r="O2218" s="7">
        <f>IFERROR(__xludf.DUMMYFUNCTION("""COMPUTED_VALUE"""),4.0)</f>
        <v>4</v>
      </c>
    </row>
    <row r="2219" ht="22.5" hidden="1" customHeight="1">
      <c r="A2219" s="8">
        <v>45947.372322337964</v>
      </c>
      <c r="B2219" s="9">
        <v>45947.0</v>
      </c>
      <c r="C2219" s="9" t="s">
        <v>48</v>
      </c>
      <c r="D2219" s="9" t="s">
        <v>174</v>
      </c>
      <c r="E2219" s="9" t="s">
        <v>17</v>
      </c>
      <c r="F2219" s="9" t="s">
        <v>17</v>
      </c>
      <c r="G2219" s="9" t="s">
        <v>24</v>
      </c>
      <c r="H2219" s="9" t="s">
        <v>22</v>
      </c>
      <c r="I2219" s="9" t="s">
        <v>20</v>
      </c>
      <c r="J2219" s="10"/>
      <c r="K2219" s="7" t="s">
        <v>398</v>
      </c>
      <c r="L2219" s="7"/>
      <c r="M2219" s="7"/>
      <c r="N2219" s="7" t="str">
        <f>IFERROR(__xludf.DUMMYFUNCTION("""COMPUTED_VALUE"""),"Cristian Borja|46077")</f>
        <v>Cristian Borja|46077</v>
      </c>
      <c r="O2219" s="7">
        <f>IFERROR(__xludf.DUMMYFUNCTION("""COMPUTED_VALUE"""),5.0)</f>
        <v>5</v>
      </c>
    </row>
    <row r="2220" ht="22.5" hidden="1" customHeight="1">
      <c r="A2220" s="8">
        <v>45947.377948657406</v>
      </c>
      <c r="B2220" s="9">
        <v>45947.0</v>
      </c>
      <c r="C2220" s="9" t="s">
        <v>48</v>
      </c>
      <c r="D2220" s="9" t="s">
        <v>259</v>
      </c>
      <c r="E2220" s="9" t="s">
        <v>17</v>
      </c>
      <c r="F2220" s="9" t="s">
        <v>18</v>
      </c>
      <c r="G2220" s="9" t="s">
        <v>24</v>
      </c>
      <c r="H2220" s="9" t="s">
        <v>25</v>
      </c>
      <c r="I2220" s="9" t="s">
        <v>67</v>
      </c>
      <c r="J2220" s="10"/>
      <c r="K2220" s="7" t="s">
        <v>398</v>
      </c>
      <c r="L2220" s="7"/>
      <c r="M2220" s="7"/>
      <c r="N2220" s="7" t="str">
        <f>IFERROR(__xludf.DUMMYFUNCTION("""COMPUTED_VALUE"""),"Ramón Juárez|46077")</f>
        <v>Ramón Juárez|46077</v>
      </c>
      <c r="O2220" s="7">
        <f>IFERROR(__xludf.DUMMYFUNCTION("""COMPUTED_VALUE"""),5.0)</f>
        <v>5</v>
      </c>
    </row>
    <row r="2221" ht="22.5" hidden="1" customHeight="1">
      <c r="A2221" s="8">
        <v>45947.37849015046</v>
      </c>
      <c r="B2221" s="9">
        <v>45947.0</v>
      </c>
      <c r="C2221" s="9" t="s">
        <v>48</v>
      </c>
      <c r="D2221" s="9" t="s">
        <v>178</v>
      </c>
      <c r="E2221" s="9" t="s">
        <v>17</v>
      </c>
      <c r="F2221" s="9" t="s">
        <v>18</v>
      </c>
      <c r="G2221" s="9" t="s">
        <v>24</v>
      </c>
      <c r="H2221" s="9" t="s">
        <v>22</v>
      </c>
      <c r="I2221" s="9" t="s">
        <v>20</v>
      </c>
      <c r="J2221" s="10"/>
      <c r="K2221" s="7" t="s">
        <v>398</v>
      </c>
      <c r="L2221" s="7"/>
      <c r="M2221" s="7"/>
      <c r="N2221" s="7" t="str">
        <f>IFERROR(__xludf.DUMMYFUNCTION("""COMPUTED_VALUE"""),"Rodrigo Dourado|46077")</f>
        <v>Rodrigo Dourado|46077</v>
      </c>
      <c r="O2221" s="7">
        <f>IFERROR(__xludf.DUMMYFUNCTION("""COMPUTED_VALUE"""),5.0)</f>
        <v>5</v>
      </c>
    </row>
    <row r="2222" ht="22.5" hidden="1" customHeight="1">
      <c r="A2222" s="8">
        <v>45947.3789765625</v>
      </c>
      <c r="B2222" s="9">
        <v>45947.0</v>
      </c>
      <c r="C2222" s="9" t="s">
        <v>48</v>
      </c>
      <c r="D2222" s="9" t="s">
        <v>171</v>
      </c>
      <c r="E2222" s="9" t="s">
        <v>17</v>
      </c>
      <c r="F2222" s="9" t="s">
        <v>17</v>
      </c>
      <c r="G2222" s="9" t="s">
        <v>24</v>
      </c>
      <c r="H2222" s="9" t="s">
        <v>17</v>
      </c>
      <c r="I2222" s="9" t="s">
        <v>20</v>
      </c>
      <c r="J2222" s="10"/>
      <c r="K2222" s="7" t="s">
        <v>398</v>
      </c>
      <c r="L2222" s="7"/>
      <c r="M2222" s="7"/>
      <c r="N2222" s="7" t="str">
        <f>IFERROR(__xludf.DUMMYFUNCTION("""COMPUTED_VALUE"""),"Aaron Mejia|46077")</f>
        <v>Aaron Mejia|46077</v>
      </c>
      <c r="O2222" s="7">
        <f>IFERROR(__xludf.DUMMYFUNCTION("""COMPUTED_VALUE"""),3.0)</f>
        <v>3</v>
      </c>
    </row>
    <row r="2223" ht="22.5" hidden="1" customHeight="1">
      <c r="A2223" s="8">
        <v>45947.403554282406</v>
      </c>
      <c r="B2223" s="9">
        <v>45947.0</v>
      </c>
      <c r="C2223" s="9" t="s">
        <v>48</v>
      </c>
      <c r="D2223" s="9" t="s">
        <v>397</v>
      </c>
      <c r="E2223" s="9" t="s">
        <v>17</v>
      </c>
      <c r="F2223" s="9" t="s">
        <v>17</v>
      </c>
      <c r="G2223" s="9" t="s">
        <v>24</v>
      </c>
      <c r="H2223" s="9" t="s">
        <v>17</v>
      </c>
      <c r="I2223" s="9" t="s">
        <v>50</v>
      </c>
      <c r="J2223" s="10"/>
      <c r="K2223" s="1" t="s">
        <v>398</v>
      </c>
      <c r="L2223" s="7"/>
      <c r="M2223" s="7"/>
      <c r="N2223" s="7" t="str">
        <f>IFERROR(__xludf.DUMMYFUNCTION("""COMPUTED_VALUE"""),"Henry Martín|46077")</f>
        <v>Henry Martín|46077</v>
      </c>
      <c r="O2223" s="7">
        <f>IFERROR(__xludf.DUMMYFUNCTION("""COMPUTED_VALUE"""),6.0)</f>
        <v>6</v>
      </c>
    </row>
    <row r="2224" ht="22.5" hidden="1" customHeight="1">
      <c r="A2224" s="8">
        <v>45947.40380013888</v>
      </c>
      <c r="B2224" s="9">
        <v>45947.0</v>
      </c>
      <c r="C2224" s="9" t="s">
        <v>48</v>
      </c>
      <c r="D2224" s="9" t="s">
        <v>357</v>
      </c>
      <c r="E2224" s="9" t="s">
        <v>17</v>
      </c>
      <c r="F2224" s="9" t="s">
        <v>17</v>
      </c>
      <c r="G2224" s="9" t="s">
        <v>24</v>
      </c>
      <c r="H2224" s="9" t="s">
        <v>25</v>
      </c>
      <c r="I2224" s="9" t="s">
        <v>89</v>
      </c>
      <c r="J2224" s="10"/>
      <c r="K2224" s="7" t="s">
        <v>398</v>
      </c>
      <c r="L2224" s="7"/>
      <c r="M2224" s="7"/>
      <c r="N2224" s="7" t="str">
        <f>IFERROR(__xludf.DUMMYFUNCTION("""COMPUTED_VALUE"""),"Isaías Violante|46077")</f>
        <v>Isaías Violante|46077</v>
      </c>
      <c r="O2224" s="7">
        <f>IFERROR(__xludf.DUMMYFUNCTION("""COMPUTED_VALUE"""),5.0)</f>
        <v>5</v>
      </c>
    </row>
    <row r="2225" ht="22.5" hidden="1" customHeight="1">
      <c r="A2225" s="8">
        <v>45947.404019375</v>
      </c>
      <c r="B2225" s="9">
        <v>45947.0</v>
      </c>
      <c r="C2225" s="9" t="s">
        <v>48</v>
      </c>
      <c r="D2225" s="9" t="s">
        <v>257</v>
      </c>
      <c r="E2225" s="9" t="s">
        <v>17</v>
      </c>
      <c r="F2225" s="9" t="s">
        <v>17</v>
      </c>
      <c r="G2225" s="9" t="s">
        <v>24</v>
      </c>
      <c r="H2225" s="9" t="s">
        <v>17</v>
      </c>
      <c r="I2225" s="9" t="s">
        <v>20</v>
      </c>
      <c r="J2225" s="10"/>
      <c r="K2225" s="7" t="s">
        <v>398</v>
      </c>
      <c r="L2225" s="7"/>
      <c r="M2225" s="7"/>
      <c r="N2225" s="7" t="str">
        <f>IFERROR(__xludf.DUMMYFUNCTION("""COMPUTED_VALUE"""),"Alejando Zendejas|46077")</f>
        <v>Alejando Zendejas|46077</v>
      </c>
      <c r="O2225" s="7">
        <f>IFERROR(__xludf.DUMMYFUNCTION("""COMPUTED_VALUE"""),3.0)</f>
        <v>3</v>
      </c>
    </row>
    <row r="2226" ht="22.5" hidden="1" customHeight="1">
      <c r="A2226" s="8">
        <v>45947.405126134254</v>
      </c>
      <c r="B2226" s="9">
        <v>45947.0</v>
      </c>
      <c r="C2226" s="9" t="s">
        <v>48</v>
      </c>
      <c r="D2226" s="9" t="s">
        <v>168</v>
      </c>
      <c r="E2226" s="9" t="s">
        <v>17</v>
      </c>
      <c r="F2226" s="9" t="s">
        <v>17</v>
      </c>
      <c r="G2226" s="9" t="s">
        <v>24</v>
      </c>
      <c r="H2226" s="9" t="s">
        <v>17</v>
      </c>
      <c r="I2226" s="9" t="s">
        <v>20</v>
      </c>
      <c r="J2226" s="10"/>
      <c r="K2226" s="7" t="s">
        <v>398</v>
      </c>
      <c r="L2226" s="7"/>
      <c r="M2226" s="7"/>
      <c r="N2226" s="7" t="str">
        <f>IFERROR(__xludf.DUMMYFUNCTION("""COMPUTED_VALUE"""),"Raphael Veiga|46079")</f>
        <v>Raphael Veiga|46079</v>
      </c>
      <c r="O2226" s="7">
        <f>IFERROR(__xludf.DUMMYFUNCTION("""COMPUTED_VALUE"""),3.0)</f>
        <v>3</v>
      </c>
    </row>
    <row r="2227" ht="22.5" hidden="1" customHeight="1">
      <c r="A2227" s="8">
        <v>45947.405311863426</v>
      </c>
      <c r="B2227" s="9">
        <v>45947.0</v>
      </c>
      <c r="C2227" s="9" t="s">
        <v>48</v>
      </c>
      <c r="D2227" s="9" t="s">
        <v>247</v>
      </c>
      <c r="E2227" s="9" t="s">
        <v>17</v>
      </c>
      <c r="F2227" s="9" t="s">
        <v>17</v>
      </c>
      <c r="G2227" s="9" t="s">
        <v>24</v>
      </c>
      <c r="H2227" s="9" t="s">
        <v>17</v>
      </c>
      <c r="I2227" s="9" t="s">
        <v>20</v>
      </c>
      <c r="J2227" s="10"/>
      <c r="K2227" s="7" t="s">
        <v>398</v>
      </c>
      <c r="L2227" s="7"/>
      <c r="M2227" s="7"/>
      <c r="N2227" s="7" t="str">
        <f>IFERROR(__xludf.DUMMYFUNCTION("""COMPUTED_VALUE"""),"Alan Cervantes|46079")</f>
        <v>Alan Cervantes|46079</v>
      </c>
      <c r="O2227" s="7">
        <f>IFERROR(__xludf.DUMMYFUNCTION("""COMPUTED_VALUE"""),5.0)</f>
        <v>5</v>
      </c>
    </row>
    <row r="2228" ht="22.5" hidden="1" customHeight="1">
      <c r="A2228" s="8">
        <v>45947.405520879634</v>
      </c>
      <c r="B2228" s="9">
        <v>45947.0</v>
      </c>
      <c r="C2228" s="9" t="s">
        <v>48</v>
      </c>
      <c r="D2228" s="9" t="s">
        <v>350</v>
      </c>
      <c r="E2228" s="9" t="s">
        <v>17</v>
      </c>
      <c r="F2228" s="9" t="s">
        <v>17</v>
      </c>
      <c r="G2228" s="9" t="s">
        <v>24</v>
      </c>
      <c r="H2228" s="9" t="s">
        <v>22</v>
      </c>
      <c r="I2228" s="9" t="s">
        <v>20</v>
      </c>
      <c r="J2228" s="10"/>
      <c r="K2228" s="7" t="s">
        <v>398</v>
      </c>
      <c r="L2228" s="7"/>
      <c r="M2228" s="7"/>
      <c r="N2228" s="7" t="str">
        <f>IFERROR(__xludf.DUMMYFUNCTION("""COMPUTED_VALUE"""),"Dagoberto Espinoza|46079")</f>
        <v>Dagoberto Espinoza|46079</v>
      </c>
      <c r="O2228" s="7">
        <f>IFERROR(__xludf.DUMMYFUNCTION("""COMPUTED_VALUE"""),8.0)</f>
        <v>8</v>
      </c>
    </row>
    <row r="2229" ht="22.5" hidden="1" customHeight="1">
      <c r="A2229" s="8">
        <v>45947.40588899306</v>
      </c>
      <c r="B2229" s="9">
        <v>45947.0</v>
      </c>
      <c r="C2229" s="9" t="s">
        <v>48</v>
      </c>
      <c r="D2229" s="9" t="s">
        <v>367</v>
      </c>
      <c r="E2229" s="9" t="s">
        <v>17</v>
      </c>
      <c r="F2229" s="9" t="s">
        <v>17</v>
      </c>
      <c r="G2229" s="9" t="s">
        <v>24</v>
      </c>
      <c r="H2229" s="9" t="s">
        <v>17</v>
      </c>
      <c r="I2229" s="9" t="s">
        <v>20</v>
      </c>
      <c r="J2229" s="10"/>
      <c r="K2229" s="7" t="s">
        <v>398</v>
      </c>
      <c r="L2229" s="7"/>
      <c r="M2229" s="7"/>
      <c r="N2229" s="7" t="str">
        <f>IFERROR(__xludf.DUMMYFUNCTION("""COMPUTED_VALUE"""),"Patricio Salas|46079")</f>
        <v>Patricio Salas|46079</v>
      </c>
      <c r="O2229" s="7">
        <f>IFERROR(__xludf.DUMMYFUNCTION("""COMPUTED_VALUE"""),3.0)</f>
        <v>3</v>
      </c>
    </row>
    <row r="2230" ht="22.5" hidden="1" customHeight="1">
      <c r="A2230" s="8">
        <v>45949.40053398148</v>
      </c>
      <c r="B2230" s="9">
        <v>45949.0</v>
      </c>
      <c r="C2230" s="9" t="s">
        <v>58</v>
      </c>
      <c r="D2230" s="9" t="s">
        <v>395</v>
      </c>
      <c r="E2230" s="9" t="s">
        <v>17</v>
      </c>
      <c r="F2230" s="9" t="s">
        <v>17</v>
      </c>
      <c r="G2230" s="9" t="s">
        <v>24</v>
      </c>
      <c r="H2230" s="9" t="s">
        <v>17</v>
      </c>
      <c r="I2230" s="9" t="s">
        <v>20</v>
      </c>
      <c r="J2230" s="10"/>
      <c r="K2230" s="7" t="s">
        <v>398</v>
      </c>
      <c r="L2230" s="7"/>
      <c r="M2230" s="7"/>
      <c r="N2230" s="7" t="str">
        <f>IFERROR(__xludf.DUMMYFUNCTION("""COMPUTED_VALUE"""),"Fernando Tapia|46079")</f>
        <v>Fernando Tapia|46079</v>
      </c>
      <c r="O2230" s="7">
        <f>IFERROR(__xludf.DUMMYFUNCTION("""COMPUTED_VALUE"""),3.0)</f>
        <v>3</v>
      </c>
    </row>
    <row r="2231" ht="22.5" hidden="1" customHeight="1">
      <c r="A2231" s="8">
        <v>45949.40070585648</v>
      </c>
      <c r="B2231" s="9">
        <v>45949.0</v>
      </c>
      <c r="C2231" s="9" t="s">
        <v>58</v>
      </c>
      <c r="D2231" s="9" t="s">
        <v>259</v>
      </c>
      <c r="E2231" s="9" t="s">
        <v>17</v>
      </c>
      <c r="F2231" s="9" t="s">
        <v>17</v>
      </c>
      <c r="G2231" s="9" t="s">
        <v>24</v>
      </c>
      <c r="H2231" s="9" t="s">
        <v>17</v>
      </c>
      <c r="I2231" s="9" t="s">
        <v>67</v>
      </c>
      <c r="J2231" s="10"/>
      <c r="K2231" s="7" t="s">
        <v>398</v>
      </c>
      <c r="L2231" s="7"/>
      <c r="M2231" s="7"/>
      <c r="N2231" s="7" t="str">
        <f>IFERROR(__xludf.DUMMYFUNCTION("""COMPUTED_VALUE"""),"Santiago Naveda|46079")</f>
        <v>Santiago Naveda|46079</v>
      </c>
      <c r="O2231" s="7">
        <f>IFERROR(__xludf.DUMMYFUNCTION("""COMPUTED_VALUE"""),3.0)</f>
        <v>3</v>
      </c>
    </row>
    <row r="2232" ht="22.5" hidden="1" customHeight="1">
      <c r="A2232" s="8">
        <v>45949.4009180787</v>
      </c>
      <c r="B2232" s="9">
        <v>45949.0</v>
      </c>
      <c r="C2232" s="9" t="s">
        <v>58</v>
      </c>
      <c r="D2232" s="9" t="s">
        <v>393</v>
      </c>
      <c r="E2232" s="9" t="s">
        <v>17</v>
      </c>
      <c r="F2232" s="9" t="s">
        <v>17</v>
      </c>
      <c r="G2232" s="9" t="s">
        <v>24</v>
      </c>
      <c r="H2232" s="9" t="s">
        <v>17</v>
      </c>
      <c r="I2232" s="9" t="s">
        <v>20</v>
      </c>
      <c r="J2232" s="10"/>
      <c r="K2232" s="7" t="s">
        <v>398</v>
      </c>
      <c r="L2232" s="7"/>
      <c r="M2232" s="7"/>
      <c r="N2232" s="7" t="str">
        <f>IFERROR(__xludf.DUMMYFUNCTION("""COMPUTED_VALUE"""),"Erick Sánchez|46079")</f>
        <v>Erick Sánchez|46079</v>
      </c>
      <c r="O2232" s="7">
        <f>IFERROR(__xludf.DUMMYFUNCTION("""COMPUTED_VALUE"""),3.0)</f>
        <v>3</v>
      </c>
    </row>
    <row r="2233" ht="22.5" hidden="1" customHeight="1">
      <c r="A2233" s="8">
        <v>45949.401119594906</v>
      </c>
      <c r="B2233" s="9">
        <v>45949.0</v>
      </c>
      <c r="C2233" s="9" t="s">
        <v>58</v>
      </c>
      <c r="D2233" s="9" t="s">
        <v>258</v>
      </c>
      <c r="E2233" s="9" t="s">
        <v>17</v>
      </c>
      <c r="F2233" s="9" t="s">
        <v>17</v>
      </c>
      <c r="G2233" s="9" t="s">
        <v>24</v>
      </c>
      <c r="H2233" s="9" t="s">
        <v>22</v>
      </c>
      <c r="I2233" s="9" t="s">
        <v>20</v>
      </c>
      <c r="J2233" s="10"/>
      <c r="K2233" s="7" t="s">
        <v>398</v>
      </c>
      <c r="L2233" s="7"/>
      <c r="M2233" s="7"/>
      <c r="N2233" s="7" t="str">
        <f>IFERROR(__xludf.DUMMYFUNCTION("""COMPUTED_VALUE"""),"Alejando Zendejas|46079")</f>
        <v>Alejando Zendejas|46079</v>
      </c>
      <c r="O2233" s="7">
        <f>IFERROR(__xludf.DUMMYFUNCTION("""COMPUTED_VALUE"""),2.0)</f>
        <v>2</v>
      </c>
    </row>
    <row r="2234" ht="22.5" hidden="1" customHeight="1">
      <c r="A2234" s="8">
        <v>45949.40241527778</v>
      </c>
      <c r="B2234" s="9">
        <v>45949.0</v>
      </c>
      <c r="C2234" s="9" t="s">
        <v>58</v>
      </c>
      <c r="D2234" s="9" t="s">
        <v>357</v>
      </c>
      <c r="E2234" s="9" t="s">
        <v>17</v>
      </c>
      <c r="F2234" s="9" t="s">
        <v>17</v>
      </c>
      <c r="G2234" s="9" t="s">
        <v>24</v>
      </c>
      <c r="H2234" s="9" t="s">
        <v>17</v>
      </c>
      <c r="I2234" s="9" t="s">
        <v>20</v>
      </c>
      <c r="J2234" s="10"/>
      <c r="K2234" s="7" t="s">
        <v>398</v>
      </c>
      <c r="L2234" s="7"/>
      <c r="M2234" s="7"/>
      <c r="N2234" s="7" t="str">
        <f>IFERROR(__xludf.DUMMYFUNCTION("""COMPUTED_VALUE"""),"Aaron Mejia|46079")</f>
        <v>Aaron Mejia|46079</v>
      </c>
      <c r="O2234" s="7">
        <f>IFERROR(__xludf.DUMMYFUNCTION("""COMPUTED_VALUE"""),4.0)</f>
        <v>4</v>
      </c>
    </row>
    <row r="2235" ht="22.5" hidden="1" customHeight="1">
      <c r="A2235" s="8">
        <v>45949.403081909724</v>
      </c>
      <c r="B2235" s="9">
        <v>45949.0</v>
      </c>
      <c r="C2235" s="9" t="s">
        <v>58</v>
      </c>
      <c r="D2235" s="9" t="s">
        <v>177</v>
      </c>
      <c r="E2235" s="9" t="s">
        <v>17</v>
      </c>
      <c r="F2235" s="9" t="s">
        <v>17</v>
      </c>
      <c r="G2235" s="9" t="s">
        <v>24</v>
      </c>
      <c r="H2235" s="9" t="s">
        <v>17</v>
      </c>
      <c r="I2235" s="9" t="s">
        <v>67</v>
      </c>
      <c r="J2235" s="10"/>
      <c r="K2235" s="7" t="s">
        <v>398</v>
      </c>
      <c r="L2235" s="7"/>
      <c r="M2235" s="7"/>
      <c r="N2235" s="7" t="str">
        <f>IFERROR(__xludf.DUMMYFUNCTION("""COMPUTED_VALUE"""),"Sebastián Cáceres|46079")</f>
        <v>Sebastián Cáceres|46079</v>
      </c>
      <c r="O2235" s="7">
        <f>IFERROR(__xludf.DUMMYFUNCTION("""COMPUTED_VALUE"""),3.0)</f>
        <v>3</v>
      </c>
    </row>
    <row r="2236" ht="22.5" hidden="1" customHeight="1">
      <c r="A2236" s="8">
        <v>45949.42311469908</v>
      </c>
      <c r="B2236" s="9">
        <v>45949.0</v>
      </c>
      <c r="C2236" s="9" t="s">
        <v>58</v>
      </c>
      <c r="D2236" s="9" t="s">
        <v>397</v>
      </c>
      <c r="E2236" s="9" t="s">
        <v>17</v>
      </c>
      <c r="F2236" s="9" t="s">
        <v>17</v>
      </c>
      <c r="G2236" s="9" t="s">
        <v>24</v>
      </c>
      <c r="H2236" s="9" t="s">
        <v>25</v>
      </c>
      <c r="I2236" s="9" t="s">
        <v>218</v>
      </c>
      <c r="J2236" s="10"/>
      <c r="K2236" s="1" t="s">
        <v>398</v>
      </c>
      <c r="L2236" s="7"/>
      <c r="M2236" s="7"/>
      <c r="N2236" s="7" t="str">
        <f>IFERROR(__xludf.DUMMYFUNCTION("""COMPUTED_VALUE"""),"Luis Ángel Malagón|46079")</f>
        <v>Luis Ángel Malagón|46079</v>
      </c>
      <c r="O2236" s="7">
        <f>IFERROR(__xludf.DUMMYFUNCTION("""COMPUTED_VALUE"""),4.0)</f>
        <v>4</v>
      </c>
    </row>
    <row r="2237" ht="22.5" hidden="1" customHeight="1">
      <c r="A2237" s="8">
        <v>45949.42327053241</v>
      </c>
      <c r="B2237" s="9">
        <v>45949.0</v>
      </c>
      <c r="C2237" s="9" t="s">
        <v>58</v>
      </c>
      <c r="D2237" s="9" t="s">
        <v>396</v>
      </c>
      <c r="E2237" s="9" t="s">
        <v>17</v>
      </c>
      <c r="F2237" s="9" t="s">
        <v>17</v>
      </c>
      <c r="G2237" s="9" t="s">
        <v>24</v>
      </c>
      <c r="H2237" s="9" t="s">
        <v>17</v>
      </c>
      <c r="I2237" s="9" t="s">
        <v>20</v>
      </c>
      <c r="J2237" s="10"/>
      <c r="K2237" s="7" t="s">
        <v>398</v>
      </c>
      <c r="L2237" s="7"/>
      <c r="M2237" s="7"/>
      <c r="N2237" s="7" t="str">
        <f>IFERROR(__xludf.DUMMYFUNCTION("""COMPUTED_VALUE"""),"José Raúl Zúñiga|46079")</f>
        <v>José Raúl Zúñiga|46079</v>
      </c>
      <c r="O2237" s="7">
        <f>IFERROR(__xludf.DUMMYFUNCTION("""COMPUTED_VALUE"""),3.0)</f>
        <v>3</v>
      </c>
    </row>
    <row r="2238" ht="22.5" hidden="1" customHeight="1">
      <c r="A2238" s="8">
        <v>45949.42534109954</v>
      </c>
      <c r="B2238" s="9">
        <v>45949.0</v>
      </c>
      <c r="C2238" s="9" t="s">
        <v>58</v>
      </c>
      <c r="D2238" s="9" t="s">
        <v>171</v>
      </c>
      <c r="E2238" s="9" t="s">
        <v>17</v>
      </c>
      <c r="F2238" s="9" t="s">
        <v>17</v>
      </c>
      <c r="G2238" s="9" t="s">
        <v>24</v>
      </c>
      <c r="H2238" s="9" t="s">
        <v>17</v>
      </c>
      <c r="I2238" s="9" t="s">
        <v>20</v>
      </c>
      <c r="J2238" s="10"/>
      <c r="K2238" s="7" t="s">
        <v>398</v>
      </c>
      <c r="L2238" s="7"/>
      <c r="M2238" s="7"/>
      <c r="N2238" s="7" t="str">
        <f>IFERROR(__xludf.DUMMYFUNCTION("""COMPUTED_VALUE"""),"Alexis Gutiérrez|46079")</f>
        <v>Alexis Gutiérrez|46079</v>
      </c>
      <c r="O2238" s="7">
        <f>IFERROR(__xludf.DUMMYFUNCTION("""COMPUTED_VALUE"""),3.0)</f>
        <v>3</v>
      </c>
    </row>
    <row r="2239" ht="22.5" hidden="1" customHeight="1">
      <c r="A2239" s="8">
        <v>45949.42948577546</v>
      </c>
      <c r="B2239" s="9">
        <v>45949.0</v>
      </c>
      <c r="C2239" s="9" t="s">
        <v>58</v>
      </c>
      <c r="D2239" s="9" t="s">
        <v>367</v>
      </c>
      <c r="E2239" s="9" t="s">
        <v>17</v>
      </c>
      <c r="F2239" s="9" t="s">
        <v>17</v>
      </c>
      <c r="G2239" s="9" t="s">
        <v>24</v>
      </c>
      <c r="H2239" s="9" t="s">
        <v>25</v>
      </c>
      <c r="I2239" s="9" t="s">
        <v>93</v>
      </c>
      <c r="J2239" s="10"/>
      <c r="K2239" s="7" t="s">
        <v>398</v>
      </c>
      <c r="L2239" s="7"/>
      <c r="M2239" s="7"/>
      <c r="N2239" s="7" t="str">
        <f>IFERROR(__xludf.DUMMYFUNCTION("""COMPUTED_VALUE"""),"Vinícius Lima|46079")</f>
        <v>Vinícius Lima|46079</v>
      </c>
      <c r="O2239" s="7">
        <f>IFERROR(__xludf.DUMMYFUNCTION("""COMPUTED_VALUE"""),2.0)</f>
        <v>2</v>
      </c>
    </row>
    <row r="2240" ht="22.5" hidden="1" customHeight="1">
      <c r="A2240" s="8">
        <v>45949.42972061342</v>
      </c>
      <c r="B2240" s="9">
        <v>45949.0</v>
      </c>
      <c r="C2240" s="9" t="s">
        <v>58</v>
      </c>
      <c r="D2240" s="9" t="s">
        <v>174</v>
      </c>
      <c r="E2240" s="9" t="s">
        <v>17</v>
      </c>
      <c r="F2240" s="9" t="s">
        <v>17</v>
      </c>
      <c r="G2240" s="9" t="s">
        <v>24</v>
      </c>
      <c r="H2240" s="9" t="s">
        <v>22</v>
      </c>
      <c r="I2240" s="9" t="s">
        <v>20</v>
      </c>
      <c r="J2240" s="10"/>
      <c r="K2240" s="7" t="s">
        <v>398</v>
      </c>
      <c r="L2240" s="7"/>
      <c r="M2240" s="7"/>
      <c r="N2240" s="7" t="str">
        <f>IFERROR(__xludf.DUMMYFUNCTION("""COMPUTED_VALUE"""),"Paolo Bedolla|46079")</f>
        <v>Paolo Bedolla|46079</v>
      </c>
      <c r="O2240" s="7">
        <f>IFERROR(__xludf.DUMMYFUNCTION("""COMPUTED_VALUE"""),5.0)</f>
        <v>5</v>
      </c>
    </row>
    <row r="2241" ht="22.5" hidden="1" customHeight="1">
      <c r="A2241" s="8">
        <v>45949.43017797454</v>
      </c>
      <c r="B2241" s="9">
        <v>45949.0</v>
      </c>
      <c r="C2241" s="9" t="s">
        <v>58</v>
      </c>
      <c r="D2241" s="9" t="s">
        <v>361</v>
      </c>
      <c r="E2241" s="9" t="s">
        <v>17</v>
      </c>
      <c r="F2241" s="9" t="s">
        <v>17</v>
      </c>
      <c r="G2241" s="9" t="s">
        <v>24</v>
      </c>
      <c r="H2241" s="9" t="s">
        <v>17</v>
      </c>
      <c r="I2241" s="9" t="s">
        <v>20</v>
      </c>
      <c r="J2241" s="10"/>
      <c r="K2241" s="7" t="s">
        <v>398</v>
      </c>
      <c r="L2241" s="7"/>
      <c r="M2241" s="7"/>
      <c r="N2241" s="7" t="str">
        <f>IFERROR(__xludf.DUMMYFUNCTION("""COMPUTED_VALUE"""),"Miguel Vázquez|46079")</f>
        <v>Miguel Vázquez|46079</v>
      </c>
      <c r="O2241" s="7">
        <f>IFERROR(__xludf.DUMMYFUNCTION("""COMPUTED_VALUE"""),2.0)</f>
        <v>2</v>
      </c>
    </row>
    <row r="2242" ht="22.5" hidden="1" customHeight="1">
      <c r="A2242" s="8">
        <v>45949.43089023148</v>
      </c>
      <c r="B2242" s="9">
        <v>45949.0</v>
      </c>
      <c r="C2242" s="9" t="s">
        <v>58</v>
      </c>
      <c r="D2242" s="9" t="s">
        <v>178</v>
      </c>
      <c r="E2242" s="9" t="s">
        <v>17</v>
      </c>
      <c r="F2242" s="9" t="s">
        <v>17</v>
      </c>
      <c r="G2242" s="9" t="s">
        <v>24</v>
      </c>
      <c r="H2242" s="9" t="s">
        <v>17</v>
      </c>
      <c r="I2242" s="9" t="s">
        <v>20</v>
      </c>
      <c r="J2242" s="10"/>
      <c r="K2242" s="7" t="s">
        <v>398</v>
      </c>
      <c r="L2242" s="7"/>
      <c r="M2242" s="7"/>
      <c r="N2242" s="7" t="str">
        <f>IFERROR(__xludf.DUMMYFUNCTION("""COMPUTED_VALUE"""),"Jonathan Dos Santos|46079")</f>
        <v>Jonathan Dos Santos|46079</v>
      </c>
      <c r="O2242" s="7">
        <f>IFERROR(__xludf.DUMMYFUNCTION("""COMPUTED_VALUE"""),3.0)</f>
        <v>3</v>
      </c>
    </row>
    <row r="2243" ht="22.5" hidden="1" customHeight="1">
      <c r="A2243" s="8">
        <v>45949.431319236115</v>
      </c>
      <c r="B2243" s="9">
        <v>45949.0</v>
      </c>
      <c r="C2243" s="9" t="s">
        <v>58</v>
      </c>
      <c r="D2243" s="9" t="s">
        <v>394</v>
      </c>
      <c r="E2243" s="9" t="s">
        <v>17</v>
      </c>
      <c r="F2243" s="9" t="s">
        <v>17</v>
      </c>
      <c r="G2243" s="9" t="s">
        <v>24</v>
      </c>
      <c r="H2243" s="9" t="s">
        <v>17</v>
      </c>
      <c r="I2243" s="9" t="s">
        <v>20</v>
      </c>
      <c r="J2243" s="10"/>
      <c r="K2243" s="7" t="s">
        <v>398</v>
      </c>
      <c r="L2243" s="7"/>
      <c r="M2243" s="7"/>
      <c r="N2243" s="7" t="str">
        <f>IFERROR(__xludf.DUMMYFUNCTION("""COMPUTED_VALUE"""),"Brian Rodríguez|46079")</f>
        <v>Brian Rodríguez|46079</v>
      </c>
      <c r="O2243" s="7">
        <f>IFERROR(__xludf.DUMMYFUNCTION("""COMPUTED_VALUE"""),3.0)</f>
        <v>3</v>
      </c>
    </row>
    <row r="2244" ht="22.5" hidden="1" customHeight="1">
      <c r="A2244" s="8">
        <v>45949.44222877314</v>
      </c>
      <c r="B2244" s="9">
        <v>45949.0</v>
      </c>
      <c r="C2244" s="9" t="s">
        <v>58</v>
      </c>
      <c r="D2244" s="9" t="s">
        <v>247</v>
      </c>
      <c r="E2244" s="9" t="s">
        <v>17</v>
      </c>
      <c r="F2244" s="9" t="s">
        <v>17</v>
      </c>
      <c r="G2244" s="9" t="s">
        <v>24</v>
      </c>
      <c r="H2244" s="9" t="s">
        <v>25</v>
      </c>
      <c r="I2244" s="9" t="s">
        <v>240</v>
      </c>
      <c r="J2244" s="10"/>
      <c r="K2244" s="7" t="s">
        <v>398</v>
      </c>
      <c r="L2244" s="7"/>
      <c r="M2244" s="7"/>
      <c r="N2244" s="7" t="str">
        <f>IFERROR(__xludf.DUMMYFUNCTION("""COMPUTED_VALUE"""),"Rodolfo Cota|46079")</f>
        <v>Rodolfo Cota|46079</v>
      </c>
      <c r="O2244" s="7">
        <f>IFERROR(__xludf.DUMMYFUNCTION("""COMPUTED_VALUE"""),2.0)</f>
        <v>2</v>
      </c>
    </row>
    <row r="2245" ht="22.5" hidden="1" customHeight="1">
      <c r="A2245" s="8">
        <v>45949.44239898148</v>
      </c>
      <c r="B2245" s="9">
        <v>45949.0</v>
      </c>
      <c r="C2245" s="9" t="s">
        <v>58</v>
      </c>
      <c r="D2245" s="9" t="s">
        <v>210</v>
      </c>
      <c r="E2245" s="9" t="s">
        <v>17</v>
      </c>
      <c r="F2245" s="9" t="s">
        <v>17</v>
      </c>
      <c r="G2245" s="9" t="s">
        <v>24</v>
      </c>
      <c r="H2245" s="9" t="s">
        <v>22</v>
      </c>
      <c r="I2245" s="9" t="s">
        <v>20</v>
      </c>
      <c r="J2245" s="10"/>
      <c r="K2245" s="7" t="s">
        <v>398</v>
      </c>
      <c r="L2245" s="7"/>
      <c r="M2245" s="7"/>
      <c r="N2245" s="7" t="str">
        <f>IFERROR(__xludf.DUMMYFUNCTION("""COMPUTED_VALUE"""),"Víctor Dávila|46079")</f>
        <v>Víctor Dávila|46079</v>
      </c>
      <c r="O2245" s="7">
        <f>IFERROR(__xludf.DUMMYFUNCTION("""COMPUTED_VALUE"""),5.0)</f>
        <v>5</v>
      </c>
    </row>
    <row r="2246" ht="22.5" hidden="1" customHeight="1">
      <c r="A2246" s="8">
        <v>45949.44265386574</v>
      </c>
      <c r="B2246" s="9">
        <v>45949.0</v>
      </c>
      <c r="C2246" s="9" t="s">
        <v>58</v>
      </c>
      <c r="D2246" s="9" t="s">
        <v>223</v>
      </c>
      <c r="E2246" s="9" t="s">
        <v>17</v>
      </c>
      <c r="F2246" s="9" t="s">
        <v>17</v>
      </c>
      <c r="G2246" s="9" t="s">
        <v>24</v>
      </c>
      <c r="H2246" s="9" t="s">
        <v>25</v>
      </c>
      <c r="I2246" s="9" t="s">
        <v>117</v>
      </c>
      <c r="J2246" s="10"/>
      <c r="K2246" s="7" t="s">
        <v>398</v>
      </c>
      <c r="L2246" s="7"/>
      <c r="M2246" s="7"/>
      <c r="N2246" s="7" t="str">
        <f>IFERROR(__xludf.DUMMYFUNCTION("""COMPUTED_VALUE"""),"Néstor Araujo|46079")</f>
        <v>Néstor Araujo|46079</v>
      </c>
      <c r="O2246" s="7">
        <f>IFERROR(__xludf.DUMMYFUNCTION("""COMPUTED_VALUE"""),4.0)</f>
        <v>4</v>
      </c>
    </row>
    <row r="2247" ht="22.5" hidden="1" customHeight="1">
      <c r="A2247" s="8">
        <v>45949.44608954861</v>
      </c>
      <c r="B2247" s="9">
        <v>45949.0</v>
      </c>
      <c r="C2247" s="9" t="s">
        <v>58</v>
      </c>
      <c r="D2247" s="9" t="s">
        <v>168</v>
      </c>
      <c r="E2247" s="9" t="s">
        <v>17</v>
      </c>
      <c r="F2247" s="9" t="s">
        <v>17</v>
      </c>
      <c r="G2247" s="9" t="s">
        <v>24</v>
      </c>
      <c r="H2247" s="9" t="s">
        <v>17</v>
      </c>
      <c r="I2247" s="9" t="s">
        <v>20</v>
      </c>
      <c r="J2247" s="10"/>
      <c r="K2247" s="7" t="s">
        <v>398</v>
      </c>
      <c r="L2247" s="7"/>
      <c r="M2247" s="7"/>
      <c r="N2247" s="7" t="str">
        <f>IFERROR(__xludf.DUMMYFUNCTION("""COMPUTED_VALUE"""),"Cristian Borja|46079")</f>
        <v>Cristian Borja|46079</v>
      </c>
      <c r="O2247" s="7">
        <f>IFERROR(__xludf.DUMMYFUNCTION("""COMPUTED_VALUE"""),3.0)</f>
        <v>3</v>
      </c>
    </row>
    <row r="2248" ht="22.5" hidden="1" customHeight="1">
      <c r="A2248" s="8">
        <v>45949.44626636574</v>
      </c>
      <c r="B2248" s="9">
        <v>45949.0</v>
      </c>
      <c r="C2248" s="9" t="s">
        <v>58</v>
      </c>
      <c r="D2248" s="9" t="s">
        <v>335</v>
      </c>
      <c r="E2248" s="9" t="s">
        <v>17</v>
      </c>
      <c r="F2248" s="9" t="s">
        <v>17</v>
      </c>
      <c r="G2248" s="9" t="s">
        <v>24</v>
      </c>
      <c r="H2248" s="9" t="s">
        <v>17</v>
      </c>
      <c r="I2248" s="9" t="s">
        <v>20</v>
      </c>
      <c r="J2248" s="10"/>
      <c r="K2248" s="7" t="s">
        <v>398</v>
      </c>
      <c r="L2248" s="7"/>
      <c r="M2248" s="7"/>
      <c r="N2248" s="7" t="str">
        <f>IFERROR(__xludf.DUMMYFUNCTION("""COMPUTED_VALUE"""),"Thiago Espinosa|46079")</f>
        <v>Thiago Espinosa|46079</v>
      </c>
      <c r="O2248" s="7">
        <f>IFERROR(__xludf.DUMMYFUNCTION("""COMPUTED_VALUE"""),4.0)</f>
        <v>4</v>
      </c>
    </row>
    <row r="2249" ht="22.5" hidden="1" customHeight="1">
      <c r="A2249" s="8">
        <v>45952.34467048611</v>
      </c>
      <c r="B2249" s="9">
        <v>45952.0</v>
      </c>
      <c r="C2249" s="9" t="s">
        <v>15</v>
      </c>
      <c r="D2249" s="9" t="s">
        <v>177</v>
      </c>
      <c r="E2249" s="9" t="s">
        <v>17</v>
      </c>
      <c r="F2249" s="9" t="s">
        <v>17</v>
      </c>
      <c r="G2249" s="9" t="s">
        <v>24</v>
      </c>
      <c r="H2249" s="9" t="s">
        <v>17</v>
      </c>
      <c r="I2249" s="9" t="s">
        <v>20</v>
      </c>
      <c r="J2249" s="10"/>
      <c r="K2249" s="7" t="s">
        <v>398</v>
      </c>
      <c r="L2249" s="7"/>
      <c r="M2249" s="7"/>
      <c r="N2249" s="7" t="str">
        <f>IFERROR(__xludf.DUMMYFUNCTION("""COMPUTED_VALUE"""),"Ramón Juárez|46079")</f>
        <v>Ramón Juárez|46079</v>
      </c>
      <c r="O2249" s="7">
        <f>IFERROR(__xludf.DUMMYFUNCTION("""COMPUTED_VALUE"""),4.0)</f>
        <v>4</v>
      </c>
    </row>
    <row r="2250" ht="22.5" hidden="1" customHeight="1">
      <c r="A2250" s="8">
        <v>45952.345047870374</v>
      </c>
      <c r="B2250" s="9">
        <v>45952.0</v>
      </c>
      <c r="C2250" s="9" t="s">
        <v>15</v>
      </c>
      <c r="D2250" s="9" t="s">
        <v>258</v>
      </c>
      <c r="E2250" s="9" t="s">
        <v>17</v>
      </c>
      <c r="F2250" s="9" t="s">
        <v>17</v>
      </c>
      <c r="G2250" s="9" t="s">
        <v>24</v>
      </c>
      <c r="H2250" s="9" t="s">
        <v>22</v>
      </c>
      <c r="I2250" s="9" t="s">
        <v>20</v>
      </c>
      <c r="J2250" s="10"/>
      <c r="K2250" s="7" t="s">
        <v>398</v>
      </c>
      <c r="L2250" s="7"/>
      <c r="M2250" s="7"/>
      <c r="N2250" s="7" t="str">
        <f>IFERROR(__xludf.DUMMYFUNCTION("""COMPUTED_VALUE"""),"Isaías Violante|46079")</f>
        <v>Isaías Violante|46079</v>
      </c>
      <c r="O2250" s="7">
        <f>IFERROR(__xludf.DUMMYFUNCTION("""COMPUTED_VALUE"""),7.0)</f>
        <v>7</v>
      </c>
    </row>
    <row r="2251" ht="22.5" hidden="1" customHeight="1">
      <c r="A2251" s="8">
        <v>45952.35089391204</v>
      </c>
      <c r="B2251" s="9">
        <v>45952.0</v>
      </c>
      <c r="C2251" s="9" t="s">
        <v>15</v>
      </c>
      <c r="D2251" s="9" t="s">
        <v>257</v>
      </c>
      <c r="E2251" s="9" t="s">
        <v>17</v>
      </c>
      <c r="F2251" s="9" t="s">
        <v>17</v>
      </c>
      <c r="G2251" s="9" t="s">
        <v>24</v>
      </c>
      <c r="H2251" s="9" t="s">
        <v>25</v>
      </c>
      <c r="I2251" s="9" t="s">
        <v>67</v>
      </c>
      <c r="J2251" s="10"/>
      <c r="K2251" s="7" t="s">
        <v>398</v>
      </c>
      <c r="L2251" s="7"/>
      <c r="M2251" s="7"/>
      <c r="N2251" s="7" t="str">
        <f>IFERROR(__xludf.DUMMYFUNCTION("""COMPUTED_VALUE"""),"Santiago Naveda|46083")</f>
        <v>Santiago Naveda|46083</v>
      </c>
      <c r="O2251" s="7">
        <f>IFERROR(__xludf.DUMMYFUNCTION("""COMPUTED_VALUE"""),4.0)</f>
        <v>4</v>
      </c>
    </row>
    <row r="2252" ht="22.5" hidden="1" customHeight="1">
      <c r="A2252" s="8">
        <v>45952.35118247685</v>
      </c>
      <c r="B2252" s="9">
        <v>45952.0</v>
      </c>
      <c r="C2252" s="9" t="s">
        <v>15</v>
      </c>
      <c r="D2252" s="9" t="s">
        <v>393</v>
      </c>
      <c r="E2252" s="9" t="s">
        <v>17</v>
      </c>
      <c r="F2252" s="9" t="s">
        <v>17</v>
      </c>
      <c r="G2252" s="9" t="s">
        <v>24</v>
      </c>
      <c r="H2252" s="9" t="s">
        <v>17</v>
      </c>
      <c r="I2252" s="9" t="s">
        <v>89</v>
      </c>
      <c r="J2252" s="10"/>
      <c r="K2252" s="7" t="s">
        <v>398</v>
      </c>
      <c r="L2252" s="7"/>
      <c r="M2252" s="7"/>
      <c r="N2252" s="7" t="str">
        <f>IFERROR(__xludf.DUMMYFUNCTION("""COMPUTED_VALUE"""),"Dagoberto Espinoza|46083")</f>
        <v>Dagoberto Espinoza|46083</v>
      </c>
      <c r="O2252" s="7">
        <f>IFERROR(__xludf.DUMMYFUNCTION("""COMPUTED_VALUE"""),5.0)</f>
        <v>5</v>
      </c>
    </row>
    <row r="2253" ht="22.5" hidden="1" customHeight="1">
      <c r="A2253" s="8">
        <v>45952.35173863426</v>
      </c>
      <c r="B2253" s="9">
        <v>45952.0</v>
      </c>
      <c r="C2253" s="9" t="s">
        <v>15</v>
      </c>
      <c r="D2253" s="9" t="s">
        <v>280</v>
      </c>
      <c r="E2253" s="9" t="s">
        <v>17</v>
      </c>
      <c r="F2253" s="9" t="s">
        <v>17</v>
      </c>
      <c r="G2253" s="9" t="s">
        <v>24</v>
      </c>
      <c r="H2253" s="9" t="s">
        <v>17</v>
      </c>
      <c r="I2253" s="9" t="s">
        <v>20</v>
      </c>
      <c r="J2253" s="10"/>
      <c r="K2253" s="7" t="s">
        <v>398</v>
      </c>
      <c r="L2253" s="7"/>
      <c r="M2253" s="7"/>
      <c r="N2253" s="7" t="str">
        <f>IFERROR(__xludf.DUMMYFUNCTION("""COMPUTED_VALUE"""),"Kevin Álvarez|46083")</f>
        <v>Kevin Álvarez|46083</v>
      </c>
      <c r="O2253" s="7">
        <f>IFERROR(__xludf.DUMMYFUNCTION("""COMPUTED_VALUE"""),6.0)</f>
        <v>6</v>
      </c>
    </row>
    <row r="2254" ht="22.5" hidden="1" customHeight="1">
      <c r="A2254" s="8">
        <v>45952.36485211806</v>
      </c>
      <c r="B2254" s="9">
        <v>45952.0</v>
      </c>
      <c r="C2254" s="9" t="s">
        <v>15</v>
      </c>
      <c r="D2254" s="9" t="s">
        <v>395</v>
      </c>
      <c r="E2254" s="9" t="s">
        <v>17</v>
      </c>
      <c r="F2254" s="9" t="s">
        <v>17</v>
      </c>
      <c r="G2254" s="9" t="s">
        <v>24</v>
      </c>
      <c r="H2254" s="9" t="s">
        <v>17</v>
      </c>
      <c r="I2254" s="9" t="s">
        <v>20</v>
      </c>
      <c r="J2254" s="10"/>
      <c r="K2254" s="7" t="s">
        <v>398</v>
      </c>
      <c r="L2254" s="7"/>
      <c r="M2254" s="7"/>
      <c r="N2254" s="7" t="str">
        <f>IFERROR(__xludf.DUMMYFUNCTION("""COMPUTED_VALUE"""),"Thiago Espinosa|46083")</f>
        <v>Thiago Espinosa|46083</v>
      </c>
      <c r="O2254" s="7">
        <f>IFERROR(__xludf.DUMMYFUNCTION("""COMPUTED_VALUE"""),6.0)</f>
        <v>6</v>
      </c>
    </row>
    <row r="2255" ht="22.5" hidden="1" customHeight="1">
      <c r="A2255" s="8">
        <v>45952.36855961806</v>
      </c>
      <c r="B2255" s="9">
        <v>45952.0</v>
      </c>
      <c r="C2255" s="9" t="s">
        <v>15</v>
      </c>
      <c r="D2255" s="9" t="s">
        <v>171</v>
      </c>
      <c r="E2255" s="9" t="s">
        <v>17</v>
      </c>
      <c r="F2255" s="9" t="s">
        <v>17</v>
      </c>
      <c r="G2255" s="9" t="s">
        <v>24</v>
      </c>
      <c r="H2255" s="9" t="s">
        <v>17</v>
      </c>
      <c r="I2255" s="9" t="s">
        <v>20</v>
      </c>
      <c r="J2255" s="10"/>
      <c r="K2255" s="7" t="s">
        <v>398</v>
      </c>
      <c r="L2255" s="7"/>
      <c r="M2255" s="7"/>
      <c r="N2255" s="7" t="str">
        <f>IFERROR(__xludf.DUMMYFUNCTION("""COMPUTED_VALUE"""),"Erick Sánchez|46083")</f>
        <v>Erick Sánchez|46083</v>
      </c>
      <c r="O2255" s="7">
        <f>IFERROR(__xludf.DUMMYFUNCTION("""COMPUTED_VALUE"""),5.0)</f>
        <v>5</v>
      </c>
    </row>
    <row r="2256" ht="22.5" hidden="1" customHeight="1">
      <c r="A2256" s="8">
        <v>45952.38742313658</v>
      </c>
      <c r="B2256" s="9">
        <v>45952.0</v>
      </c>
      <c r="C2256" s="9" t="s">
        <v>15</v>
      </c>
      <c r="D2256" s="9" t="s">
        <v>397</v>
      </c>
      <c r="E2256" s="9" t="s">
        <v>17</v>
      </c>
      <c r="F2256" s="9" t="s">
        <v>17</v>
      </c>
      <c r="G2256" s="9" t="s">
        <v>24</v>
      </c>
      <c r="H2256" s="9" t="s">
        <v>25</v>
      </c>
      <c r="I2256" s="9" t="s">
        <v>50</v>
      </c>
      <c r="J2256" s="10"/>
      <c r="K2256" s="1" t="s">
        <v>398</v>
      </c>
      <c r="L2256" s="7"/>
      <c r="M2256" s="7"/>
      <c r="N2256" s="7" t="str">
        <f>IFERROR(__xludf.DUMMYFUNCTION("""COMPUTED_VALUE"""),"Luis Ángel Malagón|46083")</f>
        <v>Luis Ángel Malagón|46083</v>
      </c>
      <c r="O2256" s="7">
        <f>IFERROR(__xludf.DUMMYFUNCTION("""COMPUTED_VALUE"""),3.0)</f>
        <v>3</v>
      </c>
    </row>
    <row r="2257" ht="22.5" hidden="1" customHeight="1">
      <c r="A2257" s="8">
        <v>45952.38762664352</v>
      </c>
      <c r="B2257" s="9">
        <v>45952.0</v>
      </c>
      <c r="C2257" s="9" t="s">
        <v>15</v>
      </c>
      <c r="D2257" s="9" t="s">
        <v>396</v>
      </c>
      <c r="E2257" s="9" t="s">
        <v>17</v>
      </c>
      <c r="F2257" s="9" t="s">
        <v>17</v>
      </c>
      <c r="G2257" s="9" t="s">
        <v>24</v>
      </c>
      <c r="H2257" s="9" t="s">
        <v>25</v>
      </c>
      <c r="I2257" s="9" t="s">
        <v>207</v>
      </c>
      <c r="J2257" s="10"/>
      <c r="K2257" s="7" t="s">
        <v>398</v>
      </c>
      <c r="L2257" s="7"/>
      <c r="M2257" s="7"/>
      <c r="N2257" s="7" t="str">
        <f>IFERROR(__xludf.DUMMYFUNCTION("""COMPUTED_VALUE"""),"Patricio Salas|46083")</f>
        <v>Patricio Salas|46083</v>
      </c>
      <c r="O2257" s="7">
        <f>IFERROR(__xludf.DUMMYFUNCTION("""COMPUTED_VALUE"""),5.0)</f>
        <v>5</v>
      </c>
    </row>
    <row r="2258" ht="22.5" hidden="1" customHeight="1">
      <c r="A2258" s="8">
        <v>45952.410955671294</v>
      </c>
      <c r="B2258" s="9">
        <v>45952.0</v>
      </c>
      <c r="C2258" s="9" t="s">
        <v>15</v>
      </c>
      <c r="D2258" s="9" t="s">
        <v>259</v>
      </c>
      <c r="E2258" s="9" t="s">
        <v>17</v>
      </c>
      <c r="F2258" s="9" t="s">
        <v>17</v>
      </c>
      <c r="G2258" s="9" t="s">
        <v>24</v>
      </c>
      <c r="H2258" s="9" t="s">
        <v>17</v>
      </c>
      <c r="I2258" s="9" t="s">
        <v>67</v>
      </c>
      <c r="J2258" s="10"/>
      <c r="K2258" s="7" t="s">
        <v>398</v>
      </c>
      <c r="L2258" s="7"/>
      <c r="M2258" s="7"/>
      <c r="N2258" s="7" t="str">
        <f>IFERROR(__xludf.DUMMYFUNCTION("""COMPUTED_VALUE"""),"Vinícius Lima|46083")</f>
        <v>Vinícius Lima|46083</v>
      </c>
      <c r="O2258" s="7">
        <f>IFERROR(__xludf.DUMMYFUNCTION("""COMPUTED_VALUE"""),4.0)</f>
        <v>4</v>
      </c>
    </row>
    <row r="2259" ht="22.5" hidden="1" customHeight="1">
      <c r="A2259" s="8">
        <v>45952.41210498843</v>
      </c>
      <c r="B2259" s="9">
        <v>45952.0</v>
      </c>
      <c r="C2259" s="9" t="s">
        <v>15</v>
      </c>
      <c r="D2259" s="9" t="s">
        <v>367</v>
      </c>
      <c r="E2259" s="9" t="s">
        <v>17</v>
      </c>
      <c r="F2259" s="9" t="s">
        <v>17</v>
      </c>
      <c r="G2259" s="9" t="s">
        <v>24</v>
      </c>
      <c r="H2259" s="9" t="s">
        <v>25</v>
      </c>
      <c r="I2259" s="9" t="s">
        <v>381</v>
      </c>
      <c r="J2259" s="10"/>
      <c r="K2259" s="7" t="s">
        <v>398</v>
      </c>
      <c r="L2259" s="7"/>
      <c r="M2259" s="7"/>
      <c r="N2259" s="7" t="str">
        <f>IFERROR(__xludf.DUMMYFUNCTION("""COMPUTED_VALUE"""),"Miguel Vázquez|46083")</f>
        <v>Miguel Vázquez|46083</v>
      </c>
      <c r="O2259" s="7">
        <f>IFERROR(__xludf.DUMMYFUNCTION("""COMPUTED_VALUE"""),4.0)</f>
        <v>4</v>
      </c>
    </row>
    <row r="2260" ht="22.5" hidden="1" customHeight="1">
      <c r="A2260" s="8">
        <v>45952.412782534724</v>
      </c>
      <c r="B2260" s="9">
        <v>45952.0</v>
      </c>
      <c r="C2260" s="9" t="s">
        <v>15</v>
      </c>
      <c r="D2260" s="9" t="s">
        <v>357</v>
      </c>
      <c r="E2260" s="9" t="s">
        <v>17</v>
      </c>
      <c r="F2260" s="9" t="s">
        <v>17</v>
      </c>
      <c r="G2260" s="9" t="s">
        <v>24</v>
      </c>
      <c r="H2260" s="9" t="s">
        <v>17</v>
      </c>
      <c r="I2260" s="9" t="s">
        <v>89</v>
      </c>
      <c r="J2260" s="10"/>
      <c r="K2260" s="7" t="s">
        <v>398</v>
      </c>
      <c r="L2260" s="7"/>
      <c r="M2260" s="7"/>
      <c r="N2260" s="7" t="str">
        <f>IFERROR(__xludf.DUMMYFUNCTION("""COMPUTED_VALUE"""),"José Raúl Zúñiga|46083")</f>
        <v>José Raúl Zúñiga|46083</v>
      </c>
      <c r="O2260" s="7">
        <f>IFERROR(__xludf.DUMMYFUNCTION("""COMPUTED_VALUE"""),4.0)</f>
        <v>4</v>
      </c>
    </row>
    <row r="2261" ht="22.5" hidden="1" customHeight="1">
      <c r="A2261" s="8">
        <v>45952.412947743054</v>
      </c>
      <c r="B2261" s="9">
        <v>45952.0</v>
      </c>
      <c r="C2261" s="9" t="s">
        <v>15</v>
      </c>
      <c r="D2261" s="9" t="s">
        <v>361</v>
      </c>
      <c r="E2261" s="9" t="s">
        <v>17</v>
      </c>
      <c r="F2261" s="9" t="s">
        <v>17</v>
      </c>
      <c r="G2261" s="9" t="s">
        <v>24</v>
      </c>
      <c r="H2261" s="9" t="s">
        <v>22</v>
      </c>
      <c r="I2261" s="9" t="s">
        <v>20</v>
      </c>
      <c r="J2261" s="10"/>
      <c r="K2261" s="7" t="s">
        <v>398</v>
      </c>
      <c r="L2261" s="7"/>
      <c r="M2261" s="7"/>
      <c r="N2261" s="7" t="str">
        <f>IFERROR(__xludf.DUMMYFUNCTION("""COMPUTED_VALUE"""),"Paolo Bedolla|46083")</f>
        <v>Paolo Bedolla|46083</v>
      </c>
      <c r="O2261" s="7">
        <f>IFERROR(__xludf.DUMMYFUNCTION("""COMPUTED_VALUE"""),4.0)</f>
        <v>4</v>
      </c>
    </row>
    <row r="2262" ht="22.5" hidden="1" customHeight="1">
      <c r="A2262" s="8">
        <v>45952.41320034722</v>
      </c>
      <c r="B2262" s="9">
        <v>45952.0</v>
      </c>
      <c r="C2262" s="9" t="s">
        <v>15</v>
      </c>
      <c r="D2262" s="9" t="s">
        <v>247</v>
      </c>
      <c r="E2262" s="9" t="s">
        <v>17</v>
      </c>
      <c r="F2262" s="9" t="s">
        <v>17</v>
      </c>
      <c r="G2262" s="9" t="s">
        <v>24</v>
      </c>
      <c r="H2262" s="9" t="s">
        <v>25</v>
      </c>
      <c r="I2262" s="9" t="s">
        <v>240</v>
      </c>
      <c r="J2262" s="10"/>
      <c r="K2262" s="7" t="s">
        <v>398</v>
      </c>
      <c r="L2262" s="7"/>
      <c r="M2262" s="7"/>
      <c r="N2262" s="7" t="str">
        <f>IFERROR(__xludf.DUMMYFUNCTION("""COMPUTED_VALUE"""),"Alejando Zendejas|46083")</f>
        <v>Alejando Zendejas|46083</v>
      </c>
      <c r="O2262" s="7">
        <f>IFERROR(__xludf.DUMMYFUNCTION("""COMPUTED_VALUE"""),3.0)</f>
        <v>3</v>
      </c>
    </row>
    <row r="2263" ht="22.5" hidden="1" customHeight="1">
      <c r="A2263" s="8">
        <v>45952.41411288195</v>
      </c>
      <c r="B2263" s="9">
        <v>45952.0</v>
      </c>
      <c r="C2263" s="9" t="s">
        <v>15</v>
      </c>
      <c r="D2263" s="9" t="s">
        <v>394</v>
      </c>
      <c r="E2263" s="9" t="s">
        <v>17</v>
      </c>
      <c r="F2263" s="9" t="s">
        <v>17</v>
      </c>
      <c r="G2263" s="9" t="s">
        <v>24</v>
      </c>
      <c r="H2263" s="9" t="s">
        <v>17</v>
      </c>
      <c r="I2263" s="9" t="s">
        <v>20</v>
      </c>
      <c r="J2263" s="10"/>
      <c r="K2263" s="7" t="s">
        <v>398</v>
      </c>
      <c r="L2263" s="7"/>
      <c r="M2263" s="7"/>
      <c r="N2263" s="7" t="str">
        <f>IFERROR(__xludf.DUMMYFUNCTION("""COMPUTED_VALUE"""),"Jonathan Dos Santos|46083")</f>
        <v>Jonathan Dos Santos|46083</v>
      </c>
      <c r="O2263" s="7">
        <f>IFERROR(__xludf.DUMMYFUNCTION("""COMPUTED_VALUE"""),5.0)</f>
        <v>5</v>
      </c>
    </row>
    <row r="2264" ht="22.5" hidden="1" customHeight="1">
      <c r="A2264" s="8">
        <v>45952.41425173611</v>
      </c>
      <c r="B2264" s="9">
        <v>45952.0</v>
      </c>
      <c r="C2264" s="9" t="s">
        <v>15</v>
      </c>
      <c r="D2264" s="9" t="s">
        <v>168</v>
      </c>
      <c r="E2264" s="9" t="s">
        <v>17</v>
      </c>
      <c r="F2264" s="9" t="s">
        <v>17</v>
      </c>
      <c r="G2264" s="9" t="s">
        <v>24</v>
      </c>
      <c r="H2264" s="9" t="s">
        <v>17</v>
      </c>
      <c r="I2264" s="9" t="s">
        <v>20</v>
      </c>
      <c r="J2264" s="10"/>
      <c r="K2264" s="7" t="s">
        <v>398</v>
      </c>
      <c r="L2264" s="7"/>
      <c r="M2264" s="7"/>
      <c r="N2264" s="7" t="str">
        <f>IFERROR(__xludf.DUMMYFUNCTION("""COMPUTED_VALUE"""),"Rodolfo Cota|46083")</f>
        <v>Rodolfo Cota|46083</v>
      </c>
      <c r="O2264" s="7">
        <f>IFERROR(__xludf.DUMMYFUNCTION("""COMPUTED_VALUE"""),2.0)</f>
        <v>2</v>
      </c>
    </row>
    <row r="2265" ht="22.5" hidden="1" customHeight="1">
      <c r="A2265" s="8">
        <v>45952.41442105324</v>
      </c>
      <c r="B2265" s="9">
        <v>45952.0</v>
      </c>
      <c r="C2265" s="9" t="s">
        <v>15</v>
      </c>
      <c r="D2265" s="9" t="s">
        <v>335</v>
      </c>
      <c r="E2265" s="9" t="s">
        <v>17</v>
      </c>
      <c r="F2265" s="9" t="s">
        <v>17</v>
      </c>
      <c r="G2265" s="9" t="s">
        <v>24</v>
      </c>
      <c r="H2265" s="9" t="s">
        <v>17</v>
      </c>
      <c r="I2265" s="9" t="s">
        <v>20</v>
      </c>
      <c r="J2265" s="10"/>
      <c r="K2265" s="7" t="s">
        <v>398</v>
      </c>
      <c r="L2265" s="7"/>
      <c r="M2265" s="7"/>
      <c r="N2265" s="7" t="str">
        <f>IFERROR(__xludf.DUMMYFUNCTION("""COMPUTED_VALUE"""),"Alexis Gutiérrez|46083")</f>
        <v>Alexis Gutiérrez|46083</v>
      </c>
      <c r="O2265" s="7">
        <f>IFERROR(__xludf.DUMMYFUNCTION("""COMPUTED_VALUE"""),4.0)</f>
        <v>4</v>
      </c>
    </row>
    <row r="2266" ht="22.5" hidden="1" customHeight="1">
      <c r="A2266" s="8">
        <v>45952.41459458333</v>
      </c>
      <c r="B2266" s="9">
        <v>45952.0</v>
      </c>
      <c r="C2266" s="9" t="s">
        <v>15</v>
      </c>
      <c r="D2266" s="9" t="s">
        <v>175</v>
      </c>
      <c r="E2266" s="9" t="s">
        <v>17</v>
      </c>
      <c r="F2266" s="9" t="s">
        <v>17</v>
      </c>
      <c r="G2266" s="9" t="s">
        <v>24</v>
      </c>
      <c r="H2266" s="9" t="s">
        <v>22</v>
      </c>
      <c r="I2266" s="9" t="s">
        <v>20</v>
      </c>
      <c r="J2266" s="10"/>
      <c r="K2266" s="7" t="s">
        <v>398</v>
      </c>
      <c r="L2266" s="7"/>
      <c r="M2266" s="7"/>
      <c r="N2266" s="7" t="str">
        <f>IFERROR(__xludf.DUMMYFUNCTION("""COMPUTED_VALUE"""),"Ramón Juárez|46083")</f>
        <v>Ramón Juárez|46083</v>
      </c>
      <c r="O2266" s="7">
        <f>IFERROR(__xludf.DUMMYFUNCTION("""COMPUTED_VALUE"""),5.0)</f>
        <v>5</v>
      </c>
    </row>
    <row r="2267" ht="22.5" hidden="1" customHeight="1">
      <c r="A2267" s="8">
        <v>45952.414769780095</v>
      </c>
      <c r="B2267" s="9">
        <v>45952.0</v>
      </c>
      <c r="C2267" s="9" t="s">
        <v>15</v>
      </c>
      <c r="D2267" s="9" t="s">
        <v>210</v>
      </c>
      <c r="E2267" s="9" t="s">
        <v>17</v>
      </c>
      <c r="F2267" s="9" t="s">
        <v>17</v>
      </c>
      <c r="G2267" s="9" t="s">
        <v>24</v>
      </c>
      <c r="H2267" s="9" t="s">
        <v>22</v>
      </c>
      <c r="I2267" s="9" t="s">
        <v>20</v>
      </c>
      <c r="J2267" s="10"/>
      <c r="K2267" s="7" t="s">
        <v>398</v>
      </c>
      <c r="L2267" s="7"/>
      <c r="M2267" s="7"/>
      <c r="N2267" s="7" t="str">
        <f>IFERROR(__xludf.DUMMYFUNCTION("""COMPUTED_VALUE"""),"Néstor Araujo|46083")</f>
        <v>Néstor Araujo|46083</v>
      </c>
      <c r="O2267" s="7">
        <f>IFERROR(__xludf.DUMMYFUNCTION("""COMPUTED_VALUE"""),5.0)</f>
        <v>5</v>
      </c>
    </row>
    <row r="2268" ht="22.5" hidden="1" customHeight="1">
      <c r="A2268" s="8">
        <v>45952.4153465625</v>
      </c>
      <c r="B2268" s="9">
        <v>45952.0</v>
      </c>
      <c r="C2268" s="9" t="s">
        <v>15</v>
      </c>
      <c r="D2268" s="9" t="s">
        <v>174</v>
      </c>
      <c r="E2268" s="9" t="s">
        <v>17</v>
      </c>
      <c r="F2268" s="9" t="s">
        <v>17</v>
      </c>
      <c r="G2268" s="9" t="s">
        <v>24</v>
      </c>
      <c r="H2268" s="9" t="s">
        <v>17</v>
      </c>
      <c r="I2268" s="9" t="s">
        <v>20</v>
      </c>
      <c r="J2268" s="10"/>
      <c r="K2268" s="7" t="s">
        <v>398</v>
      </c>
      <c r="L2268" s="7"/>
      <c r="M2268" s="7"/>
      <c r="N2268" s="7" t="str">
        <f>IFERROR(__xludf.DUMMYFUNCTION("""COMPUTED_VALUE"""),"Aaron Mejia|46083")</f>
        <v>Aaron Mejia|46083</v>
      </c>
      <c r="O2268" s="7">
        <f>IFERROR(__xludf.DUMMYFUNCTION("""COMPUTED_VALUE"""),4.0)</f>
        <v>4</v>
      </c>
    </row>
    <row r="2269" ht="22.5" hidden="1" customHeight="1">
      <c r="A2269" s="8">
        <v>45953.32133170139</v>
      </c>
      <c r="B2269" s="9">
        <v>45953.0</v>
      </c>
      <c r="C2269" s="9" t="s">
        <v>31</v>
      </c>
      <c r="D2269" s="9" t="s">
        <v>177</v>
      </c>
      <c r="E2269" s="9" t="s">
        <v>17</v>
      </c>
      <c r="F2269" s="9" t="s">
        <v>17</v>
      </c>
      <c r="G2269" s="9" t="s">
        <v>24</v>
      </c>
      <c r="H2269" s="9" t="s">
        <v>22</v>
      </c>
      <c r="I2269" s="9" t="s">
        <v>20</v>
      </c>
      <c r="J2269" s="10"/>
      <c r="K2269" s="7" t="s">
        <v>398</v>
      </c>
      <c r="L2269" s="7"/>
      <c r="M2269" s="7"/>
      <c r="N2269" s="7" t="str">
        <f>IFERROR(__xludf.DUMMYFUNCTION("""COMPUTED_VALUE"""),"Alan Cervantes|46083")</f>
        <v>Alan Cervantes|46083</v>
      </c>
      <c r="O2269" s="7">
        <f>IFERROR(__xludf.DUMMYFUNCTION("""COMPUTED_VALUE"""),6.0)</f>
        <v>6</v>
      </c>
    </row>
    <row r="2270" ht="22.5" hidden="1" customHeight="1">
      <c r="A2270" s="8">
        <v>45953.32561439815</v>
      </c>
      <c r="B2270" s="9">
        <v>45953.0</v>
      </c>
      <c r="C2270" s="9" t="s">
        <v>31</v>
      </c>
      <c r="D2270" s="9" t="s">
        <v>397</v>
      </c>
      <c r="E2270" s="9" t="s">
        <v>17</v>
      </c>
      <c r="F2270" s="9" t="s">
        <v>17</v>
      </c>
      <c r="G2270" s="9" t="s">
        <v>24</v>
      </c>
      <c r="H2270" s="9" t="s">
        <v>25</v>
      </c>
      <c r="I2270" s="9" t="s">
        <v>50</v>
      </c>
      <c r="J2270" s="10"/>
      <c r="K2270" s="1" t="s">
        <v>398</v>
      </c>
      <c r="L2270" s="7"/>
      <c r="M2270" s="7"/>
      <c r="N2270" s="7" t="str">
        <f>IFERROR(__xludf.DUMMYFUNCTION("""COMPUTED_VALUE"""),"Fernando Tapia|46083")</f>
        <v>Fernando Tapia|46083</v>
      </c>
      <c r="O2270" s="7">
        <f>IFERROR(__xludf.DUMMYFUNCTION("""COMPUTED_VALUE"""),2.0)</f>
        <v>2</v>
      </c>
    </row>
    <row r="2271" ht="22.5" hidden="1" customHeight="1">
      <c r="A2271" s="8">
        <v>45953.33003686342</v>
      </c>
      <c r="B2271" s="9">
        <v>45953.0</v>
      </c>
      <c r="C2271" s="9" t="s">
        <v>31</v>
      </c>
      <c r="D2271" s="9" t="s">
        <v>259</v>
      </c>
      <c r="E2271" s="9" t="s">
        <v>17</v>
      </c>
      <c r="F2271" s="9" t="s">
        <v>18</v>
      </c>
      <c r="G2271" s="9" t="s">
        <v>24</v>
      </c>
      <c r="H2271" s="9" t="s">
        <v>17</v>
      </c>
      <c r="I2271" s="9" t="s">
        <v>67</v>
      </c>
      <c r="J2271" s="10"/>
      <c r="K2271" s="7" t="s">
        <v>398</v>
      </c>
      <c r="L2271" s="7"/>
      <c r="M2271" s="7"/>
      <c r="N2271" s="7" t="str">
        <f>IFERROR(__xludf.DUMMYFUNCTION("""COMPUTED_VALUE"""),"Israel Reyes|46086")</f>
        <v>Israel Reyes|46086</v>
      </c>
      <c r="O2271" s="7">
        <f>IFERROR(__xludf.DUMMYFUNCTION("""COMPUTED_VALUE"""),6.0)</f>
        <v>6</v>
      </c>
    </row>
    <row r="2272" ht="22.5" hidden="1" customHeight="1">
      <c r="A2272" s="8">
        <v>45953.33033107639</v>
      </c>
      <c r="B2272" s="9">
        <v>45953.0</v>
      </c>
      <c r="C2272" s="9" t="s">
        <v>31</v>
      </c>
      <c r="D2272" s="9" t="s">
        <v>393</v>
      </c>
      <c r="E2272" s="9" t="s">
        <v>17</v>
      </c>
      <c r="F2272" s="9" t="s">
        <v>17</v>
      </c>
      <c r="G2272" s="9" t="s">
        <v>24</v>
      </c>
      <c r="H2272" s="9" t="s">
        <v>17</v>
      </c>
      <c r="I2272" s="9" t="s">
        <v>20</v>
      </c>
      <c r="J2272" s="10"/>
      <c r="K2272" s="7" t="s">
        <v>398</v>
      </c>
      <c r="L2272" s="7"/>
      <c r="M2272" s="7"/>
      <c r="N2272" s="7" t="str">
        <f>IFERROR(__xludf.DUMMYFUNCTION("""COMPUTED_VALUE"""),"Rodolfo Cota|46086")</f>
        <v>Rodolfo Cota|46086</v>
      </c>
      <c r="O2272" s="7">
        <f>IFERROR(__xludf.DUMMYFUNCTION("""COMPUTED_VALUE"""),2.0)</f>
        <v>2</v>
      </c>
    </row>
    <row r="2273" ht="22.5" hidden="1" customHeight="1">
      <c r="A2273" s="8">
        <v>45953.33232927084</v>
      </c>
      <c r="B2273" s="9">
        <v>45953.0</v>
      </c>
      <c r="C2273" s="9" t="s">
        <v>31</v>
      </c>
      <c r="D2273" s="9" t="s">
        <v>357</v>
      </c>
      <c r="E2273" s="9" t="s">
        <v>17</v>
      </c>
      <c r="F2273" s="9" t="s">
        <v>17</v>
      </c>
      <c r="G2273" s="9" t="s">
        <v>24</v>
      </c>
      <c r="H2273" s="9" t="s">
        <v>17</v>
      </c>
      <c r="I2273" s="9" t="s">
        <v>20</v>
      </c>
      <c r="J2273" s="10"/>
      <c r="K2273" s="7" t="s">
        <v>398</v>
      </c>
      <c r="L2273" s="7"/>
      <c r="M2273" s="7"/>
      <c r="N2273" s="7" t="str">
        <f>IFERROR(__xludf.DUMMYFUNCTION("""COMPUTED_VALUE"""),"Alexis Gutiérrez|46086")</f>
        <v>Alexis Gutiérrez|46086</v>
      </c>
      <c r="O2273" s="7">
        <f>IFERROR(__xludf.DUMMYFUNCTION("""COMPUTED_VALUE"""),4.0)</f>
        <v>4</v>
      </c>
    </row>
    <row r="2274" ht="22.5" hidden="1" customHeight="1">
      <c r="A2274" s="8">
        <v>45953.33346738426</v>
      </c>
      <c r="B2274" s="9">
        <v>45953.0</v>
      </c>
      <c r="C2274" s="9" t="s">
        <v>31</v>
      </c>
      <c r="D2274" s="9" t="s">
        <v>396</v>
      </c>
      <c r="E2274" s="9" t="s">
        <v>17</v>
      </c>
      <c r="F2274" s="9" t="s">
        <v>17</v>
      </c>
      <c r="G2274" s="9" t="s">
        <v>24</v>
      </c>
      <c r="H2274" s="9" t="s">
        <v>25</v>
      </c>
      <c r="I2274" s="9" t="s">
        <v>207</v>
      </c>
      <c r="J2274" s="10"/>
      <c r="K2274" s="7" t="s">
        <v>398</v>
      </c>
      <c r="L2274" s="7"/>
      <c r="M2274" s="7"/>
      <c r="N2274" s="7" t="str">
        <f>IFERROR(__xludf.DUMMYFUNCTION("""COMPUTED_VALUE"""),"Cristian Borja|46086")</f>
        <v>Cristian Borja|46086</v>
      </c>
      <c r="O2274" s="7">
        <f>IFERROR(__xludf.DUMMYFUNCTION("""COMPUTED_VALUE"""),3.0)</f>
        <v>3</v>
      </c>
    </row>
    <row r="2275" ht="22.5" hidden="1" customHeight="1">
      <c r="A2275" s="8">
        <v>45953.334249004634</v>
      </c>
      <c r="B2275" s="9">
        <v>45953.0</v>
      </c>
      <c r="C2275" s="9" t="s">
        <v>31</v>
      </c>
      <c r="D2275" s="9" t="s">
        <v>257</v>
      </c>
      <c r="E2275" s="9" t="s">
        <v>17</v>
      </c>
      <c r="F2275" s="9" t="s">
        <v>17</v>
      </c>
      <c r="G2275" s="9" t="s">
        <v>24</v>
      </c>
      <c r="H2275" s="9" t="s">
        <v>17</v>
      </c>
      <c r="I2275" s="9" t="s">
        <v>20</v>
      </c>
      <c r="J2275" s="10"/>
      <c r="K2275" s="7" t="s">
        <v>398</v>
      </c>
      <c r="L2275" s="7"/>
      <c r="M2275" s="7"/>
      <c r="N2275" s="7" t="str">
        <f>IFERROR(__xludf.DUMMYFUNCTION("""COMPUTED_VALUE"""),"Brian Rodríguez|46086")</f>
        <v>Brian Rodríguez|46086</v>
      </c>
      <c r="O2275" s="7">
        <f>IFERROR(__xludf.DUMMYFUNCTION("""COMPUTED_VALUE"""),2.0)</f>
        <v>2</v>
      </c>
    </row>
    <row r="2276" ht="22.5" hidden="1" customHeight="1">
      <c r="A2276" s="8">
        <v>45953.33986373842</v>
      </c>
      <c r="B2276" s="9">
        <v>45953.0</v>
      </c>
      <c r="C2276" s="9" t="s">
        <v>31</v>
      </c>
      <c r="D2276" s="9" t="s">
        <v>171</v>
      </c>
      <c r="E2276" s="9" t="s">
        <v>17</v>
      </c>
      <c r="F2276" s="9" t="s">
        <v>17</v>
      </c>
      <c r="G2276" s="9" t="s">
        <v>24</v>
      </c>
      <c r="H2276" s="9" t="s">
        <v>17</v>
      </c>
      <c r="I2276" s="9" t="s">
        <v>20</v>
      </c>
      <c r="J2276" s="10"/>
      <c r="K2276" s="7" t="s">
        <v>398</v>
      </c>
      <c r="L2276" s="7"/>
      <c r="M2276" s="7"/>
      <c r="N2276" s="7" t="str">
        <f>IFERROR(__xludf.DUMMYFUNCTION("""COMPUTED_VALUE"""),"Miguel Vázquez|46086")</f>
        <v>Miguel Vázquez|46086</v>
      </c>
      <c r="O2276" s="7">
        <f>IFERROR(__xludf.DUMMYFUNCTION("""COMPUTED_VALUE"""),5.0)</f>
        <v>5</v>
      </c>
    </row>
    <row r="2277" ht="22.5" hidden="1" customHeight="1">
      <c r="A2277" s="8">
        <v>45953.3400658912</v>
      </c>
      <c r="B2277" s="9">
        <v>45953.0</v>
      </c>
      <c r="C2277" s="9" t="s">
        <v>31</v>
      </c>
      <c r="D2277" s="9" t="s">
        <v>258</v>
      </c>
      <c r="E2277" s="9" t="s">
        <v>17</v>
      </c>
      <c r="F2277" s="9" t="s">
        <v>17</v>
      </c>
      <c r="G2277" s="9" t="s">
        <v>24</v>
      </c>
      <c r="H2277" s="9" t="s">
        <v>22</v>
      </c>
      <c r="I2277" s="9" t="s">
        <v>20</v>
      </c>
      <c r="J2277" s="10"/>
      <c r="K2277" s="7" t="s">
        <v>398</v>
      </c>
      <c r="L2277" s="7"/>
      <c r="M2277" s="7"/>
      <c r="N2277" s="7" t="str">
        <f>IFERROR(__xludf.DUMMYFUNCTION("""COMPUTED_VALUE"""),"Dagoberto Espinoza|46086")</f>
        <v>Dagoberto Espinoza|46086</v>
      </c>
      <c r="O2277" s="7">
        <f>IFERROR(__xludf.DUMMYFUNCTION("""COMPUTED_VALUE"""),6.0)</f>
        <v>6</v>
      </c>
    </row>
    <row r="2278" ht="22.5" hidden="1" customHeight="1">
      <c r="A2278" s="8">
        <v>45953.35276890046</v>
      </c>
      <c r="B2278" s="9">
        <v>45953.0</v>
      </c>
      <c r="C2278" s="9" t="s">
        <v>31</v>
      </c>
      <c r="D2278" s="9" t="s">
        <v>335</v>
      </c>
      <c r="E2278" s="9" t="s">
        <v>17</v>
      </c>
      <c r="F2278" s="9" t="s">
        <v>17</v>
      </c>
      <c r="G2278" s="9" t="s">
        <v>24</v>
      </c>
      <c r="H2278" s="9" t="s">
        <v>17</v>
      </c>
      <c r="I2278" s="9" t="s">
        <v>20</v>
      </c>
      <c r="J2278" s="10"/>
      <c r="K2278" s="7" t="s">
        <v>398</v>
      </c>
      <c r="L2278" s="7"/>
      <c r="M2278" s="7"/>
      <c r="N2278" s="7" t="str">
        <f>IFERROR(__xludf.DUMMYFUNCTION("""COMPUTED_VALUE"""),"Alan Cervantes|46086")</f>
        <v>Alan Cervantes|46086</v>
      </c>
      <c r="O2278" s="7">
        <f>IFERROR(__xludf.DUMMYFUNCTION("""COMPUTED_VALUE"""),4.0)</f>
        <v>4</v>
      </c>
    </row>
    <row r="2279" ht="22.5" hidden="1" customHeight="1">
      <c r="A2279" s="8">
        <v>45953.35293284722</v>
      </c>
      <c r="B2279" s="9">
        <v>45953.0</v>
      </c>
      <c r="C2279" s="9" t="s">
        <v>31</v>
      </c>
      <c r="D2279" s="9" t="s">
        <v>395</v>
      </c>
      <c r="E2279" s="9" t="s">
        <v>17</v>
      </c>
      <c r="F2279" s="9" t="s">
        <v>17</v>
      </c>
      <c r="G2279" s="9" t="s">
        <v>24</v>
      </c>
      <c r="H2279" s="9" t="s">
        <v>17</v>
      </c>
      <c r="I2279" s="9" t="s">
        <v>20</v>
      </c>
      <c r="J2279" s="10"/>
      <c r="K2279" s="7" t="s">
        <v>398</v>
      </c>
      <c r="L2279" s="7"/>
      <c r="M2279" s="7"/>
      <c r="N2279" s="7" t="str">
        <f>IFERROR(__xludf.DUMMYFUNCTION("""COMPUTED_VALUE"""),"Vinícius Lima|46086")</f>
        <v>Vinícius Lima|46086</v>
      </c>
      <c r="O2279" s="7">
        <f>IFERROR(__xludf.DUMMYFUNCTION("""COMPUTED_VALUE"""),2.0)</f>
        <v>2</v>
      </c>
    </row>
    <row r="2280" ht="22.5" hidden="1" customHeight="1">
      <c r="A2280" s="8">
        <v>45953.35376951389</v>
      </c>
      <c r="B2280" s="9">
        <v>45953.0</v>
      </c>
      <c r="C2280" s="9" t="s">
        <v>31</v>
      </c>
      <c r="D2280" s="9" t="s">
        <v>361</v>
      </c>
      <c r="E2280" s="9" t="s">
        <v>17</v>
      </c>
      <c r="F2280" s="9" t="s">
        <v>17</v>
      </c>
      <c r="G2280" s="9" t="s">
        <v>24</v>
      </c>
      <c r="H2280" s="9" t="s">
        <v>22</v>
      </c>
      <c r="I2280" s="9" t="s">
        <v>20</v>
      </c>
      <c r="J2280" s="10"/>
      <c r="K2280" s="7" t="s">
        <v>398</v>
      </c>
      <c r="L2280" s="7"/>
      <c r="M2280" s="7"/>
      <c r="N2280" s="7" t="str">
        <f>IFERROR(__xludf.DUMMYFUNCTION("""COMPUTED_VALUE"""),"Néstor Araujo|46086")</f>
        <v>Néstor Araujo|46086</v>
      </c>
      <c r="O2280" s="7">
        <f>IFERROR(__xludf.DUMMYFUNCTION("""COMPUTED_VALUE"""),5.0)</f>
        <v>5</v>
      </c>
    </row>
    <row r="2281" ht="22.5" hidden="1" customHeight="1">
      <c r="A2281" s="8">
        <v>45953.35399474537</v>
      </c>
      <c r="B2281" s="9">
        <v>45953.0</v>
      </c>
      <c r="C2281" s="9" t="s">
        <v>31</v>
      </c>
      <c r="D2281" s="9" t="s">
        <v>223</v>
      </c>
      <c r="E2281" s="9" t="s">
        <v>17</v>
      </c>
      <c r="F2281" s="9" t="s">
        <v>17</v>
      </c>
      <c r="G2281" s="9" t="s">
        <v>24</v>
      </c>
      <c r="H2281" s="9" t="s">
        <v>22</v>
      </c>
      <c r="I2281" s="9" t="s">
        <v>20</v>
      </c>
      <c r="J2281" s="10"/>
      <c r="K2281" s="7" t="s">
        <v>398</v>
      </c>
      <c r="L2281" s="7"/>
      <c r="M2281" s="7"/>
      <c r="N2281" s="7" t="str">
        <f>IFERROR(__xludf.DUMMYFUNCTION("""COMPUTED_VALUE"""),"Kevin Álvarez|46086")</f>
        <v>Kevin Álvarez|46086</v>
      </c>
      <c r="O2281" s="7">
        <f>IFERROR(__xludf.DUMMYFUNCTION("""COMPUTED_VALUE"""),5.0)</f>
        <v>5</v>
      </c>
    </row>
    <row r="2282" ht="22.5" hidden="1" customHeight="1">
      <c r="A2282" s="8">
        <v>45953.35418197917</v>
      </c>
      <c r="B2282" s="9">
        <v>45953.0</v>
      </c>
      <c r="C2282" s="9" t="s">
        <v>31</v>
      </c>
      <c r="D2282" s="9" t="s">
        <v>168</v>
      </c>
      <c r="E2282" s="9" t="s">
        <v>17</v>
      </c>
      <c r="F2282" s="9" t="s">
        <v>17</v>
      </c>
      <c r="G2282" s="9" t="s">
        <v>24</v>
      </c>
      <c r="H2282" s="9" t="s">
        <v>17</v>
      </c>
      <c r="I2282" s="9" t="s">
        <v>20</v>
      </c>
      <c r="J2282" s="10"/>
      <c r="K2282" s="7" t="s">
        <v>398</v>
      </c>
      <c r="L2282" s="7"/>
      <c r="M2282" s="7"/>
      <c r="N2282" s="7" t="str">
        <f>IFERROR(__xludf.DUMMYFUNCTION("""COMPUTED_VALUE"""),"Fernando Tapia|46086")</f>
        <v>Fernando Tapia|46086</v>
      </c>
      <c r="O2282" s="7">
        <f>IFERROR(__xludf.DUMMYFUNCTION("""COMPUTED_VALUE"""),7.0)</f>
        <v>7</v>
      </c>
    </row>
    <row r="2283" ht="22.5" hidden="1" customHeight="1">
      <c r="A2283" s="8">
        <v>45953.35446824074</v>
      </c>
      <c r="B2283" s="9">
        <v>45953.0</v>
      </c>
      <c r="C2283" s="9" t="s">
        <v>31</v>
      </c>
      <c r="D2283" s="9" t="s">
        <v>174</v>
      </c>
      <c r="E2283" s="9" t="s">
        <v>17</v>
      </c>
      <c r="F2283" s="9" t="s">
        <v>17</v>
      </c>
      <c r="G2283" s="9" t="s">
        <v>24</v>
      </c>
      <c r="H2283" s="9" t="s">
        <v>17</v>
      </c>
      <c r="I2283" s="9" t="s">
        <v>20</v>
      </c>
      <c r="J2283" s="10"/>
      <c r="K2283" s="7" t="s">
        <v>398</v>
      </c>
      <c r="L2283" s="7"/>
      <c r="M2283" s="7"/>
      <c r="N2283" s="7" t="str">
        <f>IFERROR(__xludf.DUMMYFUNCTION("""COMPUTED_VALUE"""),"Ramón Juárez|46086")</f>
        <v>Ramón Juárez|46086</v>
      </c>
      <c r="O2283" s="7">
        <f>IFERROR(__xludf.DUMMYFUNCTION("""COMPUTED_VALUE"""),7.0)</f>
        <v>7</v>
      </c>
    </row>
    <row r="2284" ht="22.5" hidden="1" customHeight="1">
      <c r="A2284" s="8">
        <v>45953.359394513885</v>
      </c>
      <c r="B2284" s="9">
        <v>45953.0</v>
      </c>
      <c r="C2284" s="9" t="s">
        <v>31</v>
      </c>
      <c r="D2284" s="9" t="s">
        <v>394</v>
      </c>
      <c r="E2284" s="9" t="s">
        <v>17</v>
      </c>
      <c r="F2284" s="9" t="s">
        <v>17</v>
      </c>
      <c r="G2284" s="9" t="s">
        <v>24</v>
      </c>
      <c r="H2284" s="9" t="s">
        <v>17</v>
      </c>
      <c r="I2284" s="9" t="s">
        <v>20</v>
      </c>
      <c r="J2284" s="10"/>
      <c r="K2284" s="7" t="s">
        <v>398</v>
      </c>
      <c r="L2284" s="7"/>
      <c r="M2284" s="7"/>
      <c r="N2284" s="7" t="str">
        <f>IFERROR(__xludf.DUMMYFUNCTION("""COMPUTED_VALUE"""),"Santiago Naveda|46086")</f>
        <v>Santiago Naveda|46086</v>
      </c>
      <c r="O2284" s="7">
        <f>IFERROR(__xludf.DUMMYFUNCTION("""COMPUTED_VALUE"""),5.0)</f>
        <v>5</v>
      </c>
    </row>
    <row r="2285" ht="22.5" hidden="1" customHeight="1">
      <c r="A2285" s="8">
        <v>45953.36426511574</v>
      </c>
      <c r="B2285" s="9">
        <v>45953.0</v>
      </c>
      <c r="C2285" s="9" t="s">
        <v>31</v>
      </c>
      <c r="D2285" s="9" t="s">
        <v>175</v>
      </c>
      <c r="E2285" s="9" t="s">
        <v>17</v>
      </c>
      <c r="F2285" s="9" t="s">
        <v>17</v>
      </c>
      <c r="G2285" s="9" t="s">
        <v>24</v>
      </c>
      <c r="H2285" s="9" t="s">
        <v>17</v>
      </c>
      <c r="I2285" s="9" t="s">
        <v>20</v>
      </c>
      <c r="J2285" s="10"/>
      <c r="K2285" s="7" t="s">
        <v>398</v>
      </c>
      <c r="L2285" s="7"/>
      <c r="M2285" s="7"/>
      <c r="N2285" s="7" t="str">
        <f>IFERROR(__xludf.DUMMYFUNCTION("""COMPUTED_VALUE"""),"José Raúl Zúñiga|46089")</f>
        <v>José Raúl Zúñiga|46089</v>
      </c>
      <c r="O2285" s="7">
        <f>IFERROR(__xludf.DUMMYFUNCTION("""COMPUTED_VALUE"""),3.0)</f>
        <v>3</v>
      </c>
    </row>
    <row r="2286" ht="22.5" hidden="1" customHeight="1">
      <c r="A2286" s="8">
        <v>45953.36538174769</v>
      </c>
      <c r="B2286" s="9">
        <v>45953.0</v>
      </c>
      <c r="C2286" s="9" t="s">
        <v>31</v>
      </c>
      <c r="D2286" s="9" t="s">
        <v>247</v>
      </c>
      <c r="E2286" s="9" t="s">
        <v>17</v>
      </c>
      <c r="F2286" s="9" t="s">
        <v>17</v>
      </c>
      <c r="G2286" s="9" t="s">
        <v>24</v>
      </c>
      <c r="H2286" s="9" t="s">
        <v>25</v>
      </c>
      <c r="I2286" s="9" t="s">
        <v>240</v>
      </c>
      <c r="J2286" s="10"/>
      <c r="K2286" s="7" t="s">
        <v>398</v>
      </c>
      <c r="L2286" s="7"/>
      <c r="M2286" s="7"/>
      <c r="N2286" s="7" t="str">
        <f>IFERROR(__xludf.DUMMYFUNCTION("""COMPUTED_VALUE"""),"Alexis Gutiérrez|46089")</f>
        <v>Alexis Gutiérrez|46089</v>
      </c>
      <c r="O2286" s="7">
        <f>IFERROR(__xludf.DUMMYFUNCTION("""COMPUTED_VALUE"""),4.0)</f>
        <v>4</v>
      </c>
    </row>
    <row r="2287" ht="22.5" hidden="1" customHeight="1">
      <c r="A2287" s="8">
        <v>45953.36744931713</v>
      </c>
      <c r="B2287" s="9">
        <v>45953.0</v>
      </c>
      <c r="C2287" s="9" t="s">
        <v>31</v>
      </c>
      <c r="D2287" s="9" t="s">
        <v>210</v>
      </c>
      <c r="E2287" s="9" t="s">
        <v>17</v>
      </c>
      <c r="F2287" s="9" t="s">
        <v>17</v>
      </c>
      <c r="G2287" s="9" t="s">
        <v>24</v>
      </c>
      <c r="H2287" s="9" t="s">
        <v>17</v>
      </c>
      <c r="I2287" s="9" t="s">
        <v>20</v>
      </c>
      <c r="J2287" s="10"/>
      <c r="K2287" s="7" t="s">
        <v>398</v>
      </c>
      <c r="L2287" s="7"/>
      <c r="M2287" s="7"/>
      <c r="N2287" s="7" t="str">
        <f>IFERROR(__xludf.DUMMYFUNCTION("""COMPUTED_VALUE"""),"Alan Cervantes|46089")</f>
        <v>Alan Cervantes|46089</v>
      </c>
      <c r="O2287" s="7">
        <f>IFERROR(__xludf.DUMMYFUNCTION("""COMPUTED_VALUE"""),4.0)</f>
        <v>4</v>
      </c>
    </row>
    <row r="2288" ht="22.5" hidden="1" customHeight="1">
      <c r="A2288" s="8">
        <v>45953.370094768514</v>
      </c>
      <c r="B2288" s="9">
        <v>45953.0</v>
      </c>
      <c r="C2288" s="9" t="s">
        <v>31</v>
      </c>
      <c r="D2288" s="9" t="s">
        <v>367</v>
      </c>
      <c r="E2288" s="9" t="s">
        <v>17</v>
      </c>
      <c r="F2288" s="9" t="s">
        <v>17</v>
      </c>
      <c r="G2288" s="9" t="s">
        <v>24</v>
      </c>
      <c r="H2288" s="9" t="s">
        <v>25</v>
      </c>
      <c r="I2288" s="9" t="s">
        <v>381</v>
      </c>
      <c r="J2288" s="10"/>
      <c r="K2288" s="7" t="s">
        <v>398</v>
      </c>
      <c r="L2288" s="7"/>
      <c r="M2288" s="7"/>
      <c r="N2288" s="7" t="str">
        <f>IFERROR(__xludf.DUMMYFUNCTION("""COMPUTED_VALUE"""),"Raphael Veiga|46089")</f>
        <v>Raphael Veiga|46089</v>
      </c>
      <c r="O2288" s="7">
        <f>IFERROR(__xludf.DUMMYFUNCTION("""COMPUTED_VALUE"""),4.0)</f>
        <v>4</v>
      </c>
    </row>
    <row r="2289" ht="22.5" hidden="1" customHeight="1">
      <c r="A2289" s="8">
        <v>45957.33799828704</v>
      </c>
      <c r="B2289" s="9">
        <v>45957.0</v>
      </c>
      <c r="C2289" s="9" t="s">
        <v>86</v>
      </c>
      <c r="D2289" s="9" t="s">
        <v>393</v>
      </c>
      <c r="E2289" s="9" t="s">
        <v>17</v>
      </c>
      <c r="F2289" s="9" t="s">
        <v>18</v>
      </c>
      <c r="G2289" s="9" t="s">
        <v>24</v>
      </c>
      <c r="H2289" s="9" t="s">
        <v>17</v>
      </c>
      <c r="I2289" s="9" t="s">
        <v>20</v>
      </c>
      <c r="J2289" s="10"/>
      <c r="K2289" s="7" t="s">
        <v>398</v>
      </c>
      <c r="L2289" s="7"/>
      <c r="M2289" s="7"/>
      <c r="N2289" s="7" t="str">
        <f>IFERROR(__xludf.DUMMYFUNCTION("""COMPUTED_VALUE"""),"Rodrigo Dourado|46089")</f>
        <v>Rodrigo Dourado|46089</v>
      </c>
      <c r="O2289" s="7">
        <f>IFERROR(__xludf.DUMMYFUNCTION("""COMPUTED_VALUE"""),4.0)</f>
        <v>4</v>
      </c>
    </row>
    <row r="2290" ht="22.5" hidden="1" customHeight="1">
      <c r="A2290" s="8">
        <v>45957.33953883102</v>
      </c>
      <c r="B2290" s="9">
        <v>45957.0</v>
      </c>
      <c r="C2290" s="9" t="s">
        <v>86</v>
      </c>
      <c r="D2290" s="9" t="s">
        <v>249</v>
      </c>
      <c r="E2290" s="9" t="s">
        <v>61</v>
      </c>
      <c r="F2290" s="9" t="s">
        <v>17</v>
      </c>
      <c r="G2290" s="9" t="s">
        <v>40</v>
      </c>
      <c r="H2290" s="9" t="s">
        <v>17</v>
      </c>
      <c r="I2290" s="9" t="s">
        <v>20</v>
      </c>
      <c r="J2290" s="10"/>
      <c r="K2290" s="7" t="s">
        <v>398</v>
      </c>
      <c r="L2290" s="7"/>
      <c r="M2290" s="7"/>
      <c r="N2290" s="7" t="str">
        <f>IFERROR(__xludf.DUMMYFUNCTION("""COMPUTED_VALUE"""),"Thiago Espinosa|46089")</f>
        <v>Thiago Espinosa|46089</v>
      </c>
      <c r="O2290" s="7">
        <f>IFERROR(__xludf.DUMMYFUNCTION("""COMPUTED_VALUE"""),6.0)</f>
        <v>6</v>
      </c>
    </row>
    <row r="2291" ht="22.5" hidden="1" customHeight="1">
      <c r="A2291" s="8">
        <v>45957.33975008102</v>
      </c>
      <c r="B2291" s="9">
        <v>45957.0</v>
      </c>
      <c r="C2291" s="9" t="s">
        <v>86</v>
      </c>
      <c r="D2291" s="9" t="s">
        <v>258</v>
      </c>
      <c r="E2291" s="9" t="s">
        <v>17</v>
      </c>
      <c r="F2291" s="9" t="s">
        <v>17</v>
      </c>
      <c r="G2291" s="9" t="s">
        <v>24</v>
      </c>
      <c r="H2291" s="9" t="s">
        <v>22</v>
      </c>
      <c r="I2291" s="9" t="s">
        <v>20</v>
      </c>
      <c r="J2291" s="10"/>
      <c r="K2291" s="7" t="s">
        <v>398</v>
      </c>
      <c r="L2291" s="7"/>
      <c r="M2291" s="7"/>
      <c r="N2291" s="7" t="str">
        <f>IFERROR(__xludf.DUMMYFUNCTION("""COMPUTED_VALUE"""),"Néstor Araujo|46089")</f>
        <v>Néstor Araujo|46089</v>
      </c>
      <c r="O2291" s="7">
        <f>IFERROR(__xludf.DUMMYFUNCTION("""COMPUTED_VALUE"""),6.0)</f>
        <v>6</v>
      </c>
    </row>
    <row r="2292" ht="22.5" hidden="1" customHeight="1">
      <c r="A2292" s="8">
        <v>45957.34874357639</v>
      </c>
      <c r="B2292" s="9">
        <v>45957.0</v>
      </c>
      <c r="C2292" s="9" t="s">
        <v>86</v>
      </c>
      <c r="D2292" s="9" t="s">
        <v>259</v>
      </c>
      <c r="E2292" s="9" t="s">
        <v>17</v>
      </c>
      <c r="F2292" s="9" t="s">
        <v>18</v>
      </c>
      <c r="G2292" s="9" t="s">
        <v>19</v>
      </c>
      <c r="H2292" s="9" t="s">
        <v>17</v>
      </c>
      <c r="I2292" s="9" t="s">
        <v>20</v>
      </c>
      <c r="J2292" s="10"/>
      <c r="K2292" s="7" t="s">
        <v>398</v>
      </c>
      <c r="L2292" s="7"/>
      <c r="M2292" s="7"/>
      <c r="N2292" s="7" t="str">
        <f>IFERROR(__xludf.DUMMYFUNCTION("""COMPUTED_VALUE"""),"Sebastián Cáceres|46089")</f>
        <v>Sebastián Cáceres|46089</v>
      </c>
      <c r="O2292" s="7">
        <f>IFERROR(__xludf.DUMMYFUNCTION("""COMPUTED_VALUE"""),7.0)</f>
        <v>7</v>
      </c>
    </row>
    <row r="2293" ht="22.5" hidden="1" customHeight="1">
      <c r="A2293" s="8">
        <v>45957.353678541665</v>
      </c>
      <c r="B2293" s="9">
        <v>45957.0</v>
      </c>
      <c r="C2293" s="9" t="s">
        <v>86</v>
      </c>
      <c r="D2293" s="9" t="s">
        <v>177</v>
      </c>
      <c r="E2293" s="9" t="s">
        <v>17</v>
      </c>
      <c r="F2293" s="9" t="s">
        <v>17</v>
      </c>
      <c r="G2293" s="9" t="s">
        <v>24</v>
      </c>
      <c r="H2293" s="9" t="s">
        <v>17</v>
      </c>
      <c r="I2293" s="9" t="s">
        <v>20</v>
      </c>
      <c r="J2293" s="10"/>
      <c r="K2293" s="7" t="s">
        <v>398</v>
      </c>
      <c r="L2293" s="7"/>
      <c r="M2293" s="7"/>
      <c r="N2293" s="7" t="str">
        <f>IFERROR(__xludf.DUMMYFUNCTION("""COMPUTED_VALUE"""),"Ramón Juárez|46089")</f>
        <v>Ramón Juárez|46089</v>
      </c>
      <c r="O2293" s="7">
        <f>IFERROR(__xludf.DUMMYFUNCTION("""COMPUTED_VALUE"""),6.0)</f>
        <v>6</v>
      </c>
    </row>
    <row r="2294" ht="22.5" hidden="1" customHeight="1">
      <c r="A2294" s="8">
        <v>45957.353922106486</v>
      </c>
      <c r="B2294" s="9">
        <v>45957.0</v>
      </c>
      <c r="C2294" s="9" t="s">
        <v>86</v>
      </c>
      <c r="D2294" s="9" t="s">
        <v>357</v>
      </c>
      <c r="E2294" s="9" t="s">
        <v>17</v>
      </c>
      <c r="F2294" s="9" t="s">
        <v>17</v>
      </c>
      <c r="G2294" s="9" t="s">
        <v>24</v>
      </c>
      <c r="H2294" s="9" t="s">
        <v>17</v>
      </c>
      <c r="I2294" s="9" t="s">
        <v>20</v>
      </c>
      <c r="J2294" s="10"/>
      <c r="K2294" s="7" t="s">
        <v>398</v>
      </c>
      <c r="L2294" s="7"/>
      <c r="M2294" s="7"/>
      <c r="N2294" s="7" t="str">
        <f>IFERROR(__xludf.DUMMYFUNCTION("""COMPUTED_VALUE"""),"Paolo Bedolla|46093")</f>
        <v>Paolo Bedolla|46093</v>
      </c>
      <c r="O2294" s="7">
        <f>IFERROR(__xludf.DUMMYFUNCTION("""COMPUTED_VALUE"""),3.0)</f>
        <v>3</v>
      </c>
    </row>
    <row r="2295" ht="22.5" hidden="1" customHeight="1">
      <c r="A2295" s="8">
        <v>45957.3543097338</v>
      </c>
      <c r="B2295" s="9">
        <v>45957.0</v>
      </c>
      <c r="C2295" s="9" t="s">
        <v>86</v>
      </c>
      <c r="D2295" s="9" t="s">
        <v>257</v>
      </c>
      <c r="E2295" s="9" t="s">
        <v>17</v>
      </c>
      <c r="F2295" s="9" t="s">
        <v>17</v>
      </c>
      <c r="G2295" s="9" t="s">
        <v>24</v>
      </c>
      <c r="H2295" s="9" t="s">
        <v>17</v>
      </c>
      <c r="I2295" s="9" t="s">
        <v>20</v>
      </c>
      <c r="J2295" s="10"/>
      <c r="K2295" s="7" t="s">
        <v>398</v>
      </c>
      <c r="L2295" s="7"/>
      <c r="M2295" s="7"/>
      <c r="N2295" s="7" t="str">
        <f>IFERROR(__xludf.DUMMYFUNCTION("""COMPUTED_VALUE"""),"Fernando Tapia|46093")</f>
        <v>Fernando Tapia|46093</v>
      </c>
      <c r="O2295" s="7">
        <f>IFERROR(__xludf.DUMMYFUNCTION("""COMPUTED_VALUE"""),4.0)</f>
        <v>4</v>
      </c>
    </row>
    <row r="2296" ht="22.5" hidden="1" customHeight="1">
      <c r="A2296" s="8">
        <v>45957.37045560185</v>
      </c>
      <c r="B2296" s="9">
        <v>45957.0</v>
      </c>
      <c r="C2296" s="9" t="s">
        <v>86</v>
      </c>
      <c r="D2296" s="9" t="s">
        <v>168</v>
      </c>
      <c r="E2296" s="9" t="s">
        <v>17</v>
      </c>
      <c r="F2296" s="9" t="s">
        <v>17</v>
      </c>
      <c r="G2296" s="9" t="s">
        <v>24</v>
      </c>
      <c r="H2296" s="9" t="s">
        <v>25</v>
      </c>
      <c r="I2296" s="9" t="s">
        <v>240</v>
      </c>
      <c r="J2296" s="10"/>
      <c r="K2296" s="7" t="s">
        <v>398</v>
      </c>
      <c r="L2296" s="7"/>
      <c r="M2296" s="7"/>
      <c r="N2296" s="7" t="str">
        <f>IFERROR(__xludf.DUMMYFUNCTION("""COMPUTED_VALUE"""),"José Raúl Zúñiga|46093")</f>
        <v>José Raúl Zúñiga|46093</v>
      </c>
      <c r="O2296" s="7">
        <f>IFERROR(__xludf.DUMMYFUNCTION("""COMPUTED_VALUE"""),4.0)</f>
        <v>4</v>
      </c>
    </row>
    <row r="2297" ht="22.5" hidden="1" customHeight="1">
      <c r="A2297" s="8">
        <v>45957.37074780093</v>
      </c>
      <c r="B2297" s="9">
        <v>45957.0</v>
      </c>
      <c r="C2297" s="9" t="s">
        <v>86</v>
      </c>
      <c r="D2297" s="9" t="s">
        <v>397</v>
      </c>
      <c r="E2297" s="9" t="s">
        <v>17</v>
      </c>
      <c r="F2297" s="9" t="s">
        <v>17</v>
      </c>
      <c r="G2297" s="9" t="s">
        <v>24</v>
      </c>
      <c r="H2297" s="9" t="s">
        <v>25</v>
      </c>
      <c r="I2297" s="9" t="s">
        <v>117</v>
      </c>
      <c r="J2297" s="10"/>
      <c r="K2297" s="1" t="s">
        <v>398</v>
      </c>
      <c r="L2297" s="7"/>
      <c r="M2297" s="7"/>
      <c r="N2297" s="7" t="str">
        <f>IFERROR(__xludf.DUMMYFUNCTION("""COMPUTED_VALUE"""),"Alexis Gutiérrez|46093")</f>
        <v>Alexis Gutiérrez|46093</v>
      </c>
      <c r="O2297" s="7">
        <f>IFERROR(__xludf.DUMMYFUNCTION("""COMPUTED_VALUE"""),5.0)</f>
        <v>5</v>
      </c>
    </row>
    <row r="2298" ht="22.5" hidden="1" customHeight="1">
      <c r="A2298" s="8">
        <v>45957.383850729166</v>
      </c>
      <c r="B2298" s="9">
        <v>45957.0</v>
      </c>
      <c r="C2298" s="9" t="s">
        <v>86</v>
      </c>
      <c r="D2298" s="9" t="s">
        <v>168</v>
      </c>
      <c r="E2298" s="9" t="s">
        <v>17</v>
      </c>
      <c r="F2298" s="9" t="s">
        <v>17</v>
      </c>
      <c r="G2298" s="9" t="s">
        <v>24</v>
      </c>
      <c r="H2298" s="9" t="s">
        <v>25</v>
      </c>
      <c r="I2298" s="9" t="s">
        <v>240</v>
      </c>
      <c r="J2298" s="10"/>
      <c r="K2298" s="7" t="s">
        <v>398</v>
      </c>
      <c r="L2298" s="7"/>
      <c r="M2298" s="7"/>
      <c r="N2298" s="7" t="str">
        <f>IFERROR(__xludf.DUMMYFUNCTION("""COMPUTED_VALUE"""),"Santiago Naveda|46093")</f>
        <v>Santiago Naveda|46093</v>
      </c>
      <c r="O2298" s="7">
        <f>IFERROR(__xludf.DUMMYFUNCTION("""COMPUTED_VALUE"""),5.0)</f>
        <v>5</v>
      </c>
    </row>
    <row r="2299" ht="22.5" hidden="1" customHeight="1">
      <c r="A2299" s="8">
        <v>45957.38399929398</v>
      </c>
      <c r="B2299" s="9">
        <v>45957.0</v>
      </c>
      <c r="C2299" s="9" t="s">
        <v>86</v>
      </c>
      <c r="D2299" s="9" t="s">
        <v>396</v>
      </c>
      <c r="E2299" s="9" t="s">
        <v>17</v>
      </c>
      <c r="F2299" s="9" t="s">
        <v>17</v>
      </c>
      <c r="G2299" s="9" t="s">
        <v>24</v>
      </c>
      <c r="H2299" s="9" t="s">
        <v>17</v>
      </c>
      <c r="I2299" s="9" t="s">
        <v>20</v>
      </c>
      <c r="J2299" s="10"/>
      <c r="K2299" s="7" t="s">
        <v>398</v>
      </c>
      <c r="L2299" s="7"/>
      <c r="M2299" s="7"/>
      <c r="N2299" s="7" t="str">
        <f>IFERROR(__xludf.DUMMYFUNCTION("""COMPUTED_VALUE"""),"Jonathan Dos Santos|46093")</f>
        <v>Jonathan Dos Santos|46093</v>
      </c>
      <c r="O2299" s="7">
        <f>IFERROR(__xludf.DUMMYFUNCTION("""COMPUTED_VALUE"""),5.0)</f>
        <v>5</v>
      </c>
    </row>
    <row r="2300" ht="22.5" hidden="1" customHeight="1">
      <c r="A2300" s="8">
        <v>45957.38877232639</v>
      </c>
      <c r="B2300" s="9">
        <v>45957.0</v>
      </c>
      <c r="C2300" s="9" t="s">
        <v>86</v>
      </c>
      <c r="D2300" s="9" t="s">
        <v>394</v>
      </c>
      <c r="E2300" s="9" t="s">
        <v>17</v>
      </c>
      <c r="F2300" s="9" t="s">
        <v>17</v>
      </c>
      <c r="G2300" s="9" t="s">
        <v>24</v>
      </c>
      <c r="H2300" s="9" t="s">
        <v>17</v>
      </c>
      <c r="I2300" s="9" t="s">
        <v>20</v>
      </c>
      <c r="J2300" s="10"/>
      <c r="K2300" s="7" t="s">
        <v>398</v>
      </c>
      <c r="L2300" s="7"/>
      <c r="M2300" s="7"/>
      <c r="N2300" s="7" t="str">
        <f>IFERROR(__xludf.DUMMYFUNCTION("""COMPUTED_VALUE"""),"Dagoberto Espinoza|46093")</f>
        <v>Dagoberto Espinoza|46093</v>
      </c>
      <c r="O2300" s="7">
        <f>IFERROR(__xludf.DUMMYFUNCTION("""COMPUTED_VALUE"""),7.0)</f>
        <v>7</v>
      </c>
    </row>
    <row r="2301" ht="22.5" hidden="1" customHeight="1">
      <c r="A2301" s="8">
        <v>45957.398234594904</v>
      </c>
      <c r="B2301" s="9">
        <v>45957.0</v>
      </c>
      <c r="C2301" s="9" t="s">
        <v>86</v>
      </c>
      <c r="D2301" s="9" t="s">
        <v>223</v>
      </c>
      <c r="E2301" s="9" t="s">
        <v>17</v>
      </c>
      <c r="F2301" s="9" t="s">
        <v>17</v>
      </c>
      <c r="G2301" s="9" t="s">
        <v>24</v>
      </c>
      <c r="H2301" s="9" t="s">
        <v>17</v>
      </c>
      <c r="I2301" s="9" t="s">
        <v>20</v>
      </c>
      <c r="J2301" s="10"/>
      <c r="K2301" s="7" t="s">
        <v>398</v>
      </c>
      <c r="L2301" s="7"/>
      <c r="M2301" s="7"/>
      <c r="N2301" s="7" t="str">
        <f>IFERROR(__xludf.DUMMYFUNCTION("""COMPUTED_VALUE"""),"Ramón Juárez|46093")</f>
        <v>Ramón Juárez|46093</v>
      </c>
      <c r="O2301" s="7">
        <f>IFERROR(__xludf.DUMMYFUNCTION("""COMPUTED_VALUE"""),5.0)</f>
        <v>5</v>
      </c>
    </row>
    <row r="2302" ht="22.5" hidden="1" customHeight="1">
      <c r="A2302" s="8">
        <v>45957.39891782407</v>
      </c>
      <c r="B2302" s="9">
        <v>45957.0</v>
      </c>
      <c r="C2302" s="9" t="s">
        <v>86</v>
      </c>
      <c r="D2302" s="9" t="s">
        <v>361</v>
      </c>
      <c r="E2302" s="9" t="s">
        <v>17</v>
      </c>
      <c r="F2302" s="9" t="s">
        <v>17</v>
      </c>
      <c r="G2302" s="9" t="s">
        <v>24</v>
      </c>
      <c r="H2302" s="9" t="s">
        <v>22</v>
      </c>
      <c r="I2302" s="9" t="s">
        <v>20</v>
      </c>
      <c r="J2302" s="10"/>
      <c r="K2302" s="7" t="s">
        <v>398</v>
      </c>
      <c r="L2302" s="7"/>
      <c r="M2302" s="7"/>
      <c r="N2302" s="7" t="str">
        <f>IFERROR(__xludf.DUMMYFUNCTION("""COMPUTED_VALUE"""),"Miguel Vázquez|46093")</f>
        <v>Miguel Vázquez|46093</v>
      </c>
      <c r="O2302" s="7">
        <f>IFERROR(__xludf.DUMMYFUNCTION("""COMPUTED_VALUE"""),7.0)</f>
        <v>7</v>
      </c>
    </row>
    <row r="2303" ht="22.5" hidden="1" customHeight="1">
      <c r="A2303" s="8">
        <v>45957.40018952546</v>
      </c>
      <c r="B2303" s="9">
        <v>45957.0</v>
      </c>
      <c r="C2303" s="9" t="s">
        <v>86</v>
      </c>
      <c r="D2303" s="9" t="s">
        <v>395</v>
      </c>
      <c r="E2303" s="9" t="s">
        <v>17</v>
      </c>
      <c r="F2303" s="9" t="s">
        <v>17</v>
      </c>
      <c r="G2303" s="9" t="s">
        <v>24</v>
      </c>
      <c r="H2303" s="9" t="s">
        <v>17</v>
      </c>
      <c r="I2303" s="9" t="s">
        <v>20</v>
      </c>
      <c r="J2303" s="10"/>
      <c r="K2303" s="7" t="s">
        <v>398</v>
      </c>
      <c r="L2303" s="7"/>
      <c r="M2303" s="7"/>
      <c r="N2303" s="7" t="str">
        <f>IFERROR(__xludf.DUMMYFUNCTION("""COMPUTED_VALUE"""),"Kevin Álvarez|46093")</f>
        <v>Kevin Álvarez|46093</v>
      </c>
      <c r="O2303" s="7">
        <f>IFERROR(__xludf.DUMMYFUNCTION("""COMPUTED_VALUE"""),5.0)</f>
        <v>5</v>
      </c>
    </row>
    <row r="2304" ht="22.5" hidden="1" customHeight="1">
      <c r="A2304" s="8">
        <v>45957.400458668984</v>
      </c>
      <c r="B2304" s="9">
        <v>45957.0</v>
      </c>
      <c r="C2304" s="9" t="s">
        <v>86</v>
      </c>
      <c r="D2304" s="9" t="s">
        <v>174</v>
      </c>
      <c r="E2304" s="9" t="s">
        <v>17</v>
      </c>
      <c r="F2304" s="9" t="s">
        <v>17</v>
      </c>
      <c r="G2304" s="9" t="s">
        <v>24</v>
      </c>
      <c r="H2304" s="9" t="s">
        <v>17</v>
      </c>
      <c r="I2304" s="9" t="s">
        <v>20</v>
      </c>
      <c r="J2304" s="10"/>
      <c r="K2304" s="7" t="s">
        <v>398</v>
      </c>
      <c r="L2304" s="7"/>
      <c r="M2304" s="7"/>
      <c r="N2304" s="7" t="str">
        <f>IFERROR(__xludf.DUMMYFUNCTION("""COMPUTED_VALUE"""),"Néstor Araujo|46093")</f>
        <v>Néstor Araujo|46093</v>
      </c>
      <c r="O2304" s="7">
        <f>IFERROR(__xludf.DUMMYFUNCTION("""COMPUTED_VALUE"""),7.0)</f>
        <v>7</v>
      </c>
    </row>
    <row r="2305" ht="22.5" hidden="1" customHeight="1">
      <c r="A2305" s="8">
        <v>45957.40083236111</v>
      </c>
      <c r="B2305" s="9">
        <v>45957.0</v>
      </c>
      <c r="C2305" s="9" t="s">
        <v>86</v>
      </c>
      <c r="D2305" s="9" t="s">
        <v>178</v>
      </c>
      <c r="E2305" s="9" t="s">
        <v>17</v>
      </c>
      <c r="F2305" s="9" t="s">
        <v>17</v>
      </c>
      <c r="G2305" s="9" t="s">
        <v>24</v>
      </c>
      <c r="H2305" s="9" t="s">
        <v>17</v>
      </c>
      <c r="I2305" s="9" t="s">
        <v>20</v>
      </c>
      <c r="J2305" s="10"/>
      <c r="K2305" s="7" t="s">
        <v>398</v>
      </c>
      <c r="L2305" s="7"/>
      <c r="M2305" s="7"/>
      <c r="N2305" s="7" t="str">
        <f>IFERROR(__xludf.DUMMYFUNCTION("""COMPUTED_VALUE"""),"Vinícius Lima|46093")</f>
        <v>Vinícius Lima|46093</v>
      </c>
      <c r="O2305" s="7">
        <f>IFERROR(__xludf.DUMMYFUNCTION("""COMPUTED_VALUE"""),3.0)</f>
        <v>3</v>
      </c>
    </row>
    <row r="2306" ht="22.5" hidden="1" customHeight="1">
      <c r="A2306" s="8">
        <v>45957.40104710648</v>
      </c>
      <c r="B2306" s="9">
        <v>45957.0</v>
      </c>
      <c r="C2306" s="9" t="s">
        <v>86</v>
      </c>
      <c r="D2306" s="9" t="s">
        <v>367</v>
      </c>
      <c r="E2306" s="9" t="s">
        <v>17</v>
      </c>
      <c r="F2306" s="9" t="s">
        <v>17</v>
      </c>
      <c r="G2306" s="9" t="s">
        <v>24</v>
      </c>
      <c r="H2306" s="9" t="s">
        <v>17</v>
      </c>
      <c r="I2306" s="9" t="s">
        <v>20</v>
      </c>
      <c r="J2306" s="10"/>
      <c r="K2306" s="7" t="s">
        <v>398</v>
      </c>
      <c r="L2306" s="7"/>
      <c r="M2306" s="7"/>
      <c r="N2306" s="7" t="str">
        <f>IFERROR(__xludf.DUMMYFUNCTION("""COMPUTED_VALUE"""),"Thiago Espinosa|46093")</f>
        <v>Thiago Espinosa|46093</v>
      </c>
      <c r="O2306" s="7">
        <f>IFERROR(__xludf.DUMMYFUNCTION("""COMPUTED_VALUE"""),7.0)</f>
        <v>7</v>
      </c>
    </row>
    <row r="2307" ht="22.5" hidden="1" customHeight="1">
      <c r="A2307" s="8">
        <v>45957.411177766204</v>
      </c>
      <c r="B2307" s="9">
        <v>45957.0</v>
      </c>
      <c r="C2307" s="9" t="s">
        <v>86</v>
      </c>
      <c r="D2307" s="9" t="s">
        <v>247</v>
      </c>
      <c r="E2307" s="9" t="s">
        <v>17</v>
      </c>
      <c r="F2307" s="9" t="s">
        <v>17</v>
      </c>
      <c r="G2307" s="9" t="s">
        <v>24</v>
      </c>
      <c r="H2307" s="9" t="s">
        <v>25</v>
      </c>
      <c r="I2307" s="9" t="s">
        <v>240</v>
      </c>
      <c r="J2307" s="10"/>
      <c r="K2307" s="7" t="s">
        <v>398</v>
      </c>
      <c r="L2307" s="7"/>
      <c r="M2307" s="7"/>
      <c r="N2307" s="7" t="str">
        <f>IFERROR(__xludf.DUMMYFUNCTION("""COMPUTED_VALUE"""),"Rodolfo Cota|46093")</f>
        <v>Rodolfo Cota|46093</v>
      </c>
      <c r="O2307" s="7">
        <f>IFERROR(__xludf.DUMMYFUNCTION("""COMPUTED_VALUE"""),2.0)</f>
        <v>2</v>
      </c>
    </row>
    <row r="2308" ht="22.5" hidden="1" customHeight="1">
      <c r="A2308" s="8">
        <v>45958.34083350694</v>
      </c>
      <c r="B2308" s="9">
        <v>45958.0</v>
      </c>
      <c r="C2308" s="9" t="s">
        <v>110</v>
      </c>
      <c r="D2308" s="9" t="s">
        <v>393</v>
      </c>
      <c r="E2308" s="9" t="s">
        <v>17</v>
      </c>
      <c r="F2308" s="9" t="s">
        <v>17</v>
      </c>
      <c r="G2308" s="9" t="s">
        <v>24</v>
      </c>
      <c r="H2308" s="9" t="s">
        <v>17</v>
      </c>
      <c r="I2308" s="9" t="s">
        <v>20</v>
      </c>
      <c r="J2308" s="10"/>
      <c r="K2308" s="7" t="s">
        <v>398</v>
      </c>
      <c r="L2308" s="7"/>
      <c r="M2308" s="7"/>
      <c r="N2308" s="7" t="str">
        <f>IFERROR(__xludf.DUMMYFUNCTION("""COMPUTED_VALUE"""),"Rodolfo Cota|46094")</f>
        <v>Rodolfo Cota|46094</v>
      </c>
      <c r="O2308" s="7">
        <f>IFERROR(__xludf.DUMMYFUNCTION("""COMPUTED_VALUE"""),2.0)</f>
        <v>2</v>
      </c>
    </row>
    <row r="2309" ht="22.5" hidden="1" customHeight="1">
      <c r="A2309" s="8">
        <v>45958.344075127316</v>
      </c>
      <c r="B2309" s="9">
        <v>45958.0</v>
      </c>
      <c r="C2309" s="9" t="s">
        <v>110</v>
      </c>
      <c r="D2309" s="9" t="s">
        <v>259</v>
      </c>
      <c r="E2309" s="9" t="s">
        <v>17</v>
      </c>
      <c r="F2309" s="9" t="s">
        <v>18</v>
      </c>
      <c r="G2309" s="9" t="s">
        <v>24</v>
      </c>
      <c r="H2309" s="9" t="s">
        <v>17</v>
      </c>
      <c r="I2309" s="9" t="s">
        <v>20</v>
      </c>
      <c r="J2309" s="10"/>
      <c r="K2309" s="7" t="s">
        <v>398</v>
      </c>
      <c r="L2309" s="7"/>
      <c r="M2309" s="7"/>
      <c r="N2309" s="7" t="str">
        <f>IFERROR(__xludf.DUMMYFUNCTION("""COMPUTED_VALUE"""),"José Raúl Zúñiga|46094")</f>
        <v>José Raúl Zúñiga|46094</v>
      </c>
      <c r="O2309" s="7">
        <f>IFERROR(__xludf.DUMMYFUNCTION("""COMPUTED_VALUE"""),4.0)</f>
        <v>4</v>
      </c>
    </row>
    <row r="2310" ht="22.5" hidden="1" customHeight="1">
      <c r="A2310" s="8">
        <v>45958.34497142361</v>
      </c>
      <c r="B2310" s="9">
        <v>45958.0</v>
      </c>
      <c r="C2310" s="9" t="s">
        <v>110</v>
      </c>
      <c r="D2310" s="9" t="s">
        <v>257</v>
      </c>
      <c r="E2310" s="9" t="s">
        <v>17</v>
      </c>
      <c r="F2310" s="9" t="s">
        <v>17</v>
      </c>
      <c r="G2310" s="9" t="s">
        <v>24</v>
      </c>
      <c r="H2310" s="9" t="s">
        <v>25</v>
      </c>
      <c r="I2310" s="9" t="s">
        <v>67</v>
      </c>
      <c r="J2310" s="10"/>
      <c r="K2310" s="7" t="s">
        <v>398</v>
      </c>
      <c r="L2310" s="7"/>
      <c r="M2310" s="7"/>
      <c r="N2310" s="7" t="str">
        <f>IFERROR(__xludf.DUMMYFUNCTION("""COMPUTED_VALUE"""),"Thiago Espinosa|46094")</f>
        <v>Thiago Espinosa|46094</v>
      </c>
      <c r="O2310" s="7">
        <f>IFERROR(__xludf.DUMMYFUNCTION("""COMPUTED_VALUE"""),7.0)</f>
        <v>7</v>
      </c>
    </row>
    <row r="2311" ht="22.5" hidden="1" customHeight="1">
      <c r="A2311" s="8">
        <v>45958.35377291667</v>
      </c>
      <c r="B2311" s="9">
        <v>45958.0</v>
      </c>
      <c r="C2311" s="9" t="s">
        <v>110</v>
      </c>
      <c r="D2311" s="9" t="s">
        <v>168</v>
      </c>
      <c r="E2311" s="9" t="s">
        <v>17</v>
      </c>
      <c r="F2311" s="9" t="s">
        <v>17</v>
      </c>
      <c r="G2311" s="9" t="s">
        <v>24</v>
      </c>
      <c r="H2311" s="9" t="s">
        <v>25</v>
      </c>
      <c r="I2311" s="9" t="s">
        <v>240</v>
      </c>
      <c r="J2311" s="10"/>
      <c r="K2311" s="7" t="s">
        <v>398</v>
      </c>
      <c r="L2311" s="7"/>
      <c r="M2311" s="7"/>
      <c r="N2311" s="7" t="str">
        <f>IFERROR(__xludf.DUMMYFUNCTION("""COMPUTED_VALUE"""),"Fernando Tapia|46094")</f>
        <v>Fernando Tapia|46094</v>
      </c>
      <c r="O2311" s="7">
        <f>IFERROR(__xludf.DUMMYFUNCTION("""COMPUTED_VALUE"""),4.0)</f>
        <v>4</v>
      </c>
    </row>
    <row r="2312" ht="22.5" hidden="1" customHeight="1">
      <c r="A2312" s="8">
        <v>45958.35560137732</v>
      </c>
      <c r="B2312" s="9">
        <v>45958.0</v>
      </c>
      <c r="C2312" s="9" t="s">
        <v>110</v>
      </c>
      <c r="D2312" s="9" t="s">
        <v>177</v>
      </c>
      <c r="E2312" s="9" t="s">
        <v>61</v>
      </c>
      <c r="F2312" s="9" t="s">
        <v>17</v>
      </c>
      <c r="G2312" s="9" t="s">
        <v>24</v>
      </c>
      <c r="H2312" s="9" t="s">
        <v>17</v>
      </c>
      <c r="I2312" s="9" t="s">
        <v>20</v>
      </c>
      <c r="J2312" s="10"/>
      <c r="K2312" s="7" t="s">
        <v>398</v>
      </c>
      <c r="L2312" s="7"/>
      <c r="M2312" s="7"/>
      <c r="N2312" s="7" t="str">
        <f>IFERROR(__xludf.DUMMYFUNCTION("""COMPUTED_VALUE"""),"Israel Reyes|46094")</f>
        <v>Israel Reyes|46094</v>
      </c>
      <c r="O2312" s="7">
        <f>IFERROR(__xludf.DUMMYFUNCTION("""COMPUTED_VALUE"""),7.0)</f>
        <v>7</v>
      </c>
    </row>
    <row r="2313" ht="22.5" hidden="1" customHeight="1">
      <c r="A2313" s="8">
        <v>45958.35920699074</v>
      </c>
      <c r="B2313" s="9">
        <v>45958.0</v>
      </c>
      <c r="C2313" s="9" t="s">
        <v>110</v>
      </c>
      <c r="D2313" s="9" t="s">
        <v>397</v>
      </c>
      <c r="E2313" s="9" t="s">
        <v>17</v>
      </c>
      <c r="F2313" s="9" t="s">
        <v>17</v>
      </c>
      <c r="G2313" s="9" t="s">
        <v>24</v>
      </c>
      <c r="H2313" s="9" t="s">
        <v>25</v>
      </c>
      <c r="I2313" s="9" t="s">
        <v>50</v>
      </c>
      <c r="J2313" s="10"/>
      <c r="K2313" s="1" t="s">
        <v>398</v>
      </c>
      <c r="L2313" s="7"/>
      <c r="M2313" s="7"/>
      <c r="N2313" s="7" t="str">
        <f>IFERROR(__xludf.DUMMYFUNCTION("""COMPUTED_VALUE"""),"Kevin Álvarez|46094")</f>
        <v>Kevin Álvarez|46094</v>
      </c>
      <c r="O2313" s="7">
        <f>IFERROR(__xludf.DUMMYFUNCTION("""COMPUTED_VALUE"""),4.0)</f>
        <v>4</v>
      </c>
    </row>
    <row r="2314" ht="22.5" hidden="1" customHeight="1">
      <c r="A2314" s="8">
        <v>45958.36006160879</v>
      </c>
      <c r="B2314" s="9">
        <v>45958.0</v>
      </c>
      <c r="C2314" s="9" t="s">
        <v>110</v>
      </c>
      <c r="D2314" s="9" t="s">
        <v>357</v>
      </c>
      <c r="E2314" s="9" t="s">
        <v>61</v>
      </c>
      <c r="F2314" s="9" t="s">
        <v>17</v>
      </c>
      <c r="G2314" s="9" t="s">
        <v>24</v>
      </c>
      <c r="H2314" s="9" t="s">
        <v>17</v>
      </c>
      <c r="I2314" s="9" t="s">
        <v>20</v>
      </c>
      <c r="J2314" s="10"/>
      <c r="K2314" s="7" t="s">
        <v>398</v>
      </c>
      <c r="L2314" s="7"/>
      <c r="M2314" s="7"/>
      <c r="N2314" s="7" t="str">
        <f>IFERROR(__xludf.DUMMYFUNCTION("""COMPUTED_VALUE"""),"Néstor Araujo|46094")</f>
        <v>Néstor Araujo|46094</v>
      </c>
      <c r="O2314" s="7">
        <f>IFERROR(__xludf.DUMMYFUNCTION("""COMPUTED_VALUE"""),7.0)</f>
        <v>7</v>
      </c>
    </row>
    <row r="2315" ht="22.5" hidden="1" customHeight="1">
      <c r="A2315" s="8">
        <v>45958.3620680787</v>
      </c>
      <c r="B2315" s="9">
        <v>45958.0</v>
      </c>
      <c r="C2315" s="9" t="s">
        <v>110</v>
      </c>
      <c r="D2315" s="9" t="s">
        <v>171</v>
      </c>
      <c r="E2315" s="9" t="s">
        <v>17</v>
      </c>
      <c r="F2315" s="9" t="s">
        <v>17</v>
      </c>
      <c r="G2315" s="9" t="s">
        <v>24</v>
      </c>
      <c r="H2315" s="9" t="s">
        <v>17</v>
      </c>
      <c r="I2315" s="9" t="s">
        <v>20</v>
      </c>
      <c r="J2315" s="10"/>
      <c r="K2315" s="7" t="s">
        <v>398</v>
      </c>
      <c r="L2315" s="7"/>
      <c r="M2315" s="7"/>
      <c r="N2315" s="7" t="str">
        <f>IFERROR(__xludf.DUMMYFUNCTION("""COMPUTED_VALUE"""),"Erick Sánchez|46094")</f>
        <v>Erick Sánchez|46094</v>
      </c>
      <c r="O2315" s="7">
        <f>IFERROR(__xludf.DUMMYFUNCTION("""COMPUTED_VALUE"""),4.0)</f>
        <v>4</v>
      </c>
    </row>
    <row r="2316" ht="22.5" hidden="1" customHeight="1">
      <c r="A2316" s="8">
        <v>45958.37576761574</v>
      </c>
      <c r="B2316" s="9">
        <v>45958.0</v>
      </c>
      <c r="C2316" s="9" t="s">
        <v>110</v>
      </c>
      <c r="D2316" s="9" t="s">
        <v>394</v>
      </c>
      <c r="E2316" s="9" t="s">
        <v>17</v>
      </c>
      <c r="F2316" s="9" t="s">
        <v>17</v>
      </c>
      <c r="G2316" s="9" t="s">
        <v>24</v>
      </c>
      <c r="H2316" s="9" t="s">
        <v>17</v>
      </c>
      <c r="I2316" s="9" t="s">
        <v>20</v>
      </c>
      <c r="J2316" s="10"/>
      <c r="K2316" s="7" t="s">
        <v>398</v>
      </c>
      <c r="L2316" s="7"/>
      <c r="M2316" s="7"/>
      <c r="N2316" s="7" t="str">
        <f>IFERROR(__xludf.DUMMYFUNCTION("""COMPUTED_VALUE"""),"Sebastián Cáceres|46094")</f>
        <v>Sebastián Cáceres|46094</v>
      </c>
      <c r="O2316" s="7">
        <f>IFERROR(__xludf.DUMMYFUNCTION("""COMPUTED_VALUE"""),4.0)</f>
        <v>4</v>
      </c>
    </row>
    <row r="2317" ht="22.5" hidden="1" customHeight="1">
      <c r="A2317" s="8">
        <v>45958.376574317124</v>
      </c>
      <c r="B2317" s="9">
        <v>45958.0</v>
      </c>
      <c r="C2317" s="9" t="s">
        <v>110</v>
      </c>
      <c r="D2317" s="9" t="s">
        <v>258</v>
      </c>
      <c r="E2317" s="9" t="s">
        <v>17</v>
      </c>
      <c r="F2317" s="9" t="s">
        <v>17</v>
      </c>
      <c r="G2317" s="9" t="s">
        <v>24</v>
      </c>
      <c r="H2317" s="9" t="s">
        <v>17</v>
      </c>
      <c r="I2317" s="9" t="s">
        <v>20</v>
      </c>
      <c r="J2317" s="10"/>
      <c r="K2317" s="7" t="s">
        <v>398</v>
      </c>
      <c r="L2317" s="7"/>
      <c r="M2317" s="7"/>
      <c r="N2317" s="7" t="str">
        <f>IFERROR(__xludf.DUMMYFUNCTION("""COMPUTED_VALUE"""),"Paolo Bedolla|46094")</f>
        <v>Paolo Bedolla|46094</v>
      </c>
      <c r="O2317" s="7">
        <f>IFERROR(__xludf.DUMMYFUNCTION("""COMPUTED_VALUE"""),4.0)</f>
        <v>4</v>
      </c>
    </row>
    <row r="2318" ht="22.5" hidden="1" customHeight="1">
      <c r="A2318" s="8">
        <v>45958.37710899305</v>
      </c>
      <c r="B2318" s="9">
        <v>45958.0</v>
      </c>
      <c r="C2318" s="9" t="s">
        <v>110</v>
      </c>
      <c r="D2318" s="9" t="s">
        <v>223</v>
      </c>
      <c r="E2318" s="9" t="s">
        <v>17</v>
      </c>
      <c r="F2318" s="9" t="s">
        <v>17</v>
      </c>
      <c r="G2318" s="9" t="s">
        <v>24</v>
      </c>
      <c r="H2318" s="9" t="s">
        <v>17</v>
      </c>
      <c r="I2318" s="9" t="s">
        <v>20</v>
      </c>
      <c r="J2318" s="10"/>
      <c r="K2318" s="7" t="s">
        <v>398</v>
      </c>
      <c r="L2318" s="7"/>
      <c r="M2318" s="7"/>
      <c r="N2318" s="7" t="str">
        <f>IFERROR(__xludf.DUMMYFUNCTION("""COMPUTED_VALUE"""),"Alexis Gutiérrez|46094")</f>
        <v>Alexis Gutiérrez|46094</v>
      </c>
      <c r="O2318" s="7">
        <f>IFERROR(__xludf.DUMMYFUNCTION("""COMPUTED_VALUE"""),4.0)</f>
        <v>4</v>
      </c>
    </row>
    <row r="2319" ht="22.5" hidden="1" customHeight="1">
      <c r="A2319" s="8">
        <v>45958.3777237037</v>
      </c>
      <c r="B2319" s="9">
        <v>45958.0</v>
      </c>
      <c r="C2319" s="9" t="s">
        <v>110</v>
      </c>
      <c r="D2319" s="9" t="s">
        <v>210</v>
      </c>
      <c r="E2319" s="9" t="s">
        <v>17</v>
      </c>
      <c r="F2319" s="9" t="s">
        <v>17</v>
      </c>
      <c r="G2319" s="9" t="s">
        <v>24</v>
      </c>
      <c r="H2319" s="9" t="s">
        <v>17</v>
      </c>
      <c r="I2319" s="9" t="s">
        <v>20</v>
      </c>
      <c r="J2319" s="10"/>
      <c r="K2319" s="7" t="s">
        <v>398</v>
      </c>
      <c r="L2319" s="7"/>
      <c r="M2319" s="7"/>
      <c r="N2319" s="7" t="str">
        <f>IFERROR(__xludf.DUMMYFUNCTION("""COMPUTED_VALUE"""),"Miguel Vázquez|46094")</f>
        <v>Miguel Vázquez|46094</v>
      </c>
      <c r="O2319" s="7">
        <f>IFERROR(__xludf.DUMMYFUNCTION("""COMPUTED_VALUE"""),3.0)</f>
        <v>3</v>
      </c>
    </row>
    <row r="2320" ht="22.5" hidden="1" customHeight="1">
      <c r="A2320" s="8">
        <v>45958.377992291666</v>
      </c>
      <c r="B2320" s="9">
        <v>45958.0</v>
      </c>
      <c r="C2320" s="9" t="s">
        <v>110</v>
      </c>
      <c r="D2320" s="9" t="s">
        <v>395</v>
      </c>
      <c r="E2320" s="9" t="s">
        <v>17</v>
      </c>
      <c r="F2320" s="9" t="s">
        <v>17</v>
      </c>
      <c r="G2320" s="9" t="s">
        <v>24</v>
      </c>
      <c r="H2320" s="9" t="s">
        <v>22</v>
      </c>
      <c r="I2320" s="9" t="s">
        <v>20</v>
      </c>
      <c r="J2320" s="10"/>
      <c r="K2320" s="7" t="s">
        <v>398</v>
      </c>
      <c r="L2320" s="7"/>
      <c r="M2320" s="7"/>
      <c r="N2320" s="7" t="str">
        <f>IFERROR(__xludf.DUMMYFUNCTION("""COMPUTED_VALUE"""),"Alejando Zendejas|46094")</f>
        <v>Alejando Zendejas|46094</v>
      </c>
      <c r="O2320" s="7">
        <f>IFERROR(__xludf.DUMMYFUNCTION("""COMPUTED_VALUE"""),3.0)</f>
        <v>3</v>
      </c>
    </row>
    <row r="2321" ht="22.5" hidden="1" customHeight="1">
      <c r="A2321" s="8">
        <v>45958.37952650463</v>
      </c>
      <c r="B2321" s="9">
        <v>45958.0</v>
      </c>
      <c r="C2321" s="9" t="s">
        <v>110</v>
      </c>
      <c r="D2321" s="9" t="s">
        <v>174</v>
      </c>
      <c r="E2321" s="9" t="s">
        <v>17</v>
      </c>
      <c r="F2321" s="9" t="s">
        <v>17</v>
      </c>
      <c r="G2321" s="9" t="s">
        <v>24</v>
      </c>
      <c r="H2321" s="9" t="s">
        <v>17</v>
      </c>
      <c r="I2321" s="9" t="s">
        <v>20</v>
      </c>
      <c r="J2321" s="10"/>
      <c r="K2321" s="7" t="s">
        <v>398</v>
      </c>
      <c r="L2321" s="7"/>
      <c r="M2321" s="7"/>
      <c r="N2321" s="7" t="str">
        <f>IFERROR(__xludf.DUMMYFUNCTION("""COMPUTED_VALUE"""),"Dagoberto Espinoza|46094")</f>
        <v>Dagoberto Espinoza|46094</v>
      </c>
      <c r="O2321" s="7">
        <f>IFERROR(__xludf.DUMMYFUNCTION("""COMPUTED_VALUE"""),9.0)</f>
        <v>9</v>
      </c>
    </row>
    <row r="2322" ht="22.5" hidden="1" customHeight="1">
      <c r="A2322" s="8">
        <v>45958.37967646991</v>
      </c>
      <c r="B2322" s="9">
        <v>45958.0</v>
      </c>
      <c r="C2322" s="9" t="s">
        <v>110</v>
      </c>
      <c r="D2322" s="9" t="s">
        <v>175</v>
      </c>
      <c r="E2322" s="9" t="s">
        <v>17</v>
      </c>
      <c r="F2322" s="9" t="s">
        <v>17</v>
      </c>
      <c r="G2322" s="9" t="s">
        <v>24</v>
      </c>
      <c r="H2322" s="9" t="s">
        <v>17</v>
      </c>
      <c r="I2322" s="9" t="s">
        <v>20</v>
      </c>
      <c r="J2322" s="10"/>
      <c r="K2322" s="7" t="s">
        <v>398</v>
      </c>
      <c r="L2322" s="7"/>
      <c r="M2322" s="7"/>
      <c r="N2322" s="7" t="str">
        <f>IFERROR(__xludf.DUMMYFUNCTION("""COMPUTED_VALUE"""),"Rodrigo Dourado|46094")</f>
        <v>Rodrigo Dourado|46094</v>
      </c>
      <c r="O2322" s="7">
        <f>IFERROR(__xludf.DUMMYFUNCTION("""COMPUTED_VALUE"""),5.0)</f>
        <v>5</v>
      </c>
    </row>
    <row r="2323" ht="22.5" hidden="1" customHeight="1">
      <c r="A2323" s="8">
        <v>45958.38852679398</v>
      </c>
      <c r="B2323" s="9">
        <v>45958.0</v>
      </c>
      <c r="C2323" s="9" t="s">
        <v>110</v>
      </c>
      <c r="D2323" s="9" t="s">
        <v>361</v>
      </c>
      <c r="E2323" s="9" t="s">
        <v>17</v>
      </c>
      <c r="F2323" s="9" t="s">
        <v>17</v>
      </c>
      <c r="G2323" s="9" t="s">
        <v>24</v>
      </c>
      <c r="H2323" s="9" t="s">
        <v>22</v>
      </c>
      <c r="I2323" s="9" t="s">
        <v>20</v>
      </c>
      <c r="J2323" s="10"/>
      <c r="K2323" s="7" t="s">
        <v>398</v>
      </c>
      <c r="L2323" s="7"/>
      <c r="M2323" s="7"/>
      <c r="N2323" s="7" t="str">
        <f>IFERROR(__xludf.DUMMYFUNCTION("""COMPUTED_VALUE"""),"Aaron Mejia|46094")</f>
        <v>Aaron Mejia|46094</v>
      </c>
      <c r="O2323" s="7">
        <f>IFERROR(__xludf.DUMMYFUNCTION("""COMPUTED_VALUE"""),5.0)</f>
        <v>5</v>
      </c>
    </row>
    <row r="2324" ht="22.5" hidden="1" customHeight="1">
      <c r="A2324" s="8">
        <v>45958.38923584491</v>
      </c>
      <c r="B2324" s="9">
        <v>45958.0</v>
      </c>
      <c r="C2324" s="9" t="s">
        <v>110</v>
      </c>
      <c r="D2324" s="9" t="s">
        <v>396</v>
      </c>
      <c r="E2324" s="9" t="s">
        <v>17</v>
      </c>
      <c r="F2324" s="9" t="s">
        <v>17</v>
      </c>
      <c r="G2324" s="9" t="s">
        <v>24</v>
      </c>
      <c r="H2324" s="9" t="s">
        <v>17</v>
      </c>
      <c r="I2324" s="9" t="s">
        <v>20</v>
      </c>
      <c r="J2324" s="10"/>
      <c r="K2324" s="7" t="s">
        <v>398</v>
      </c>
      <c r="L2324" s="7"/>
      <c r="M2324" s="7"/>
      <c r="N2324" s="7" t="str">
        <f>IFERROR(__xludf.DUMMYFUNCTION("""COMPUTED_VALUE"""),"Vinícius Lima|46094")</f>
        <v>Vinícius Lima|46094</v>
      </c>
      <c r="O2324" s="7">
        <f>IFERROR(__xludf.DUMMYFUNCTION("""COMPUTED_VALUE"""),4.0)</f>
        <v>4</v>
      </c>
    </row>
    <row r="2325" ht="22.5" hidden="1" customHeight="1">
      <c r="A2325" s="8">
        <v>45958.38948722222</v>
      </c>
      <c r="B2325" s="9">
        <v>45958.0</v>
      </c>
      <c r="C2325" s="9" t="s">
        <v>110</v>
      </c>
      <c r="D2325" s="9" t="s">
        <v>350</v>
      </c>
      <c r="E2325" s="9" t="s">
        <v>17</v>
      </c>
      <c r="F2325" s="9" t="s">
        <v>17</v>
      </c>
      <c r="G2325" s="9" t="s">
        <v>24</v>
      </c>
      <c r="H2325" s="9" t="s">
        <v>17</v>
      </c>
      <c r="I2325" s="9" t="s">
        <v>20</v>
      </c>
      <c r="J2325" s="10"/>
      <c r="K2325" s="7" t="s">
        <v>398</v>
      </c>
      <c r="L2325" s="7"/>
      <c r="M2325" s="7"/>
      <c r="N2325" s="7" t="str">
        <f>IFERROR(__xludf.DUMMYFUNCTION("""COMPUTED_VALUE"""),"Raphael Veiga|46094")</f>
        <v>Raphael Veiga|46094</v>
      </c>
      <c r="O2325" s="7">
        <f>IFERROR(__xludf.DUMMYFUNCTION("""COMPUTED_VALUE"""),4.0)</f>
        <v>4</v>
      </c>
    </row>
    <row r="2326" ht="22.5" hidden="1" customHeight="1">
      <c r="A2326" s="8">
        <v>45958.39696684028</v>
      </c>
      <c r="B2326" s="9">
        <v>45958.0</v>
      </c>
      <c r="C2326" s="9" t="s">
        <v>110</v>
      </c>
      <c r="D2326" s="9" t="s">
        <v>367</v>
      </c>
      <c r="E2326" s="9" t="s">
        <v>17</v>
      </c>
      <c r="F2326" s="9" t="s">
        <v>17</v>
      </c>
      <c r="G2326" s="9" t="s">
        <v>24</v>
      </c>
      <c r="H2326" s="9" t="s">
        <v>17</v>
      </c>
      <c r="I2326" s="9" t="s">
        <v>20</v>
      </c>
      <c r="J2326" s="10"/>
      <c r="K2326" s="7" t="s">
        <v>398</v>
      </c>
      <c r="L2326" s="7"/>
      <c r="M2326" s="7"/>
      <c r="N2326" s="7" t="str">
        <f>IFERROR(__xludf.DUMMYFUNCTION("""COMPUTED_VALUE"""),"Ramón Juárez|46094")</f>
        <v>Ramón Juárez|46094</v>
      </c>
      <c r="O2326" s="7">
        <f>IFERROR(__xludf.DUMMYFUNCTION("""COMPUTED_VALUE"""),7.0)</f>
        <v>7</v>
      </c>
    </row>
    <row r="2327" ht="22.5" hidden="1" customHeight="1">
      <c r="A2327" s="8">
        <v>45961.349068703705</v>
      </c>
      <c r="B2327" s="9">
        <v>45961.0</v>
      </c>
      <c r="C2327" s="9" t="s">
        <v>48</v>
      </c>
      <c r="D2327" s="9" t="s">
        <v>249</v>
      </c>
      <c r="E2327" s="9" t="s">
        <v>17</v>
      </c>
      <c r="F2327" s="9" t="s">
        <v>17</v>
      </c>
      <c r="G2327" s="9" t="s">
        <v>24</v>
      </c>
      <c r="H2327" s="9" t="s">
        <v>17</v>
      </c>
      <c r="I2327" s="9" t="s">
        <v>20</v>
      </c>
      <c r="J2327" s="10"/>
      <c r="K2327" s="7" t="s">
        <v>398</v>
      </c>
      <c r="L2327" s="7"/>
      <c r="M2327" s="7"/>
      <c r="N2327" s="7" t="str">
        <f>IFERROR(__xludf.DUMMYFUNCTION("""COMPUTED_VALUE"""),"Jonathan Dos Santos|46094")</f>
        <v>Jonathan Dos Santos|46094</v>
      </c>
      <c r="O2327" s="7">
        <f>IFERROR(__xludf.DUMMYFUNCTION("""COMPUTED_VALUE"""),5.0)</f>
        <v>5</v>
      </c>
    </row>
    <row r="2328" ht="22.5" hidden="1" customHeight="1">
      <c r="A2328" s="8">
        <v>45961.34924784722</v>
      </c>
      <c r="B2328" s="9">
        <v>45961.0</v>
      </c>
      <c r="C2328" s="9" t="s">
        <v>48</v>
      </c>
      <c r="D2328" s="9" t="s">
        <v>257</v>
      </c>
      <c r="E2328" s="9" t="s">
        <v>17</v>
      </c>
      <c r="F2328" s="9" t="s">
        <v>17</v>
      </c>
      <c r="G2328" s="9" t="s">
        <v>24</v>
      </c>
      <c r="H2328" s="9" t="s">
        <v>17</v>
      </c>
      <c r="I2328" s="9" t="s">
        <v>20</v>
      </c>
      <c r="J2328" s="10"/>
      <c r="K2328" s="7" t="s">
        <v>398</v>
      </c>
      <c r="L2328" s="7"/>
      <c r="M2328" s="7"/>
      <c r="N2328" s="7" t="str">
        <f>IFERROR(__xludf.DUMMYFUNCTION("""COMPUTED_VALUE"""),"Santiago Naveda|46094")</f>
        <v>Santiago Naveda|46094</v>
      </c>
      <c r="O2328" s="7">
        <f>IFERROR(__xludf.DUMMYFUNCTION("""COMPUTED_VALUE"""),6.0)</f>
        <v>6</v>
      </c>
    </row>
    <row r="2329" ht="22.5" hidden="1" customHeight="1">
      <c r="A2329" s="8">
        <v>45961.349792939815</v>
      </c>
      <c r="B2329" s="9">
        <v>45961.0</v>
      </c>
      <c r="C2329" s="9" t="s">
        <v>48</v>
      </c>
      <c r="D2329" s="9" t="s">
        <v>393</v>
      </c>
      <c r="E2329" s="9" t="s">
        <v>17</v>
      </c>
      <c r="F2329" s="9" t="s">
        <v>18</v>
      </c>
      <c r="G2329" s="9" t="s">
        <v>24</v>
      </c>
      <c r="H2329" s="9" t="s">
        <v>17</v>
      </c>
      <c r="I2329" s="9" t="s">
        <v>20</v>
      </c>
      <c r="J2329" s="10"/>
      <c r="K2329" s="7" t="s">
        <v>398</v>
      </c>
      <c r="L2329" s="7"/>
      <c r="M2329" s="7"/>
      <c r="N2329" s="7" t="str">
        <f>IFERROR(__xludf.DUMMYFUNCTION("""COMPUTED_VALUE"""),"Alan Cervantes|46094")</f>
        <v>Alan Cervantes|46094</v>
      </c>
      <c r="O2329" s="7">
        <f>IFERROR(__xludf.DUMMYFUNCTION("""COMPUTED_VALUE"""),6.0)</f>
        <v>6</v>
      </c>
    </row>
    <row r="2330" ht="22.5" hidden="1" customHeight="1">
      <c r="A2330" s="8">
        <v>45961.354895752316</v>
      </c>
      <c r="B2330" s="9">
        <v>45961.0</v>
      </c>
      <c r="C2330" s="9" t="s">
        <v>48</v>
      </c>
      <c r="D2330" s="9" t="s">
        <v>394</v>
      </c>
      <c r="E2330" s="9" t="s">
        <v>17</v>
      </c>
      <c r="F2330" s="9" t="s">
        <v>17</v>
      </c>
      <c r="G2330" s="9" t="s">
        <v>24</v>
      </c>
      <c r="H2330" s="9" t="s">
        <v>17</v>
      </c>
      <c r="I2330" s="9" t="s">
        <v>20</v>
      </c>
      <c r="J2330" s="10"/>
      <c r="K2330" s="7" t="s">
        <v>398</v>
      </c>
      <c r="L2330" s="7"/>
      <c r="M2330" s="7"/>
      <c r="N2330" s="7" t="str">
        <f>IFERROR(__xludf.DUMMYFUNCTION("""COMPUTED_VALUE"""),"Henry Martín|46094")</f>
        <v>Henry Martín|46094</v>
      </c>
      <c r="O2330" s="7">
        <f>IFERROR(__xludf.DUMMYFUNCTION("""COMPUTED_VALUE"""),6.0)</f>
        <v>6</v>
      </c>
    </row>
    <row r="2331" ht="22.5" hidden="1" customHeight="1">
      <c r="A2331" s="8">
        <v>45961.356059791666</v>
      </c>
      <c r="B2331" s="9">
        <v>45961.0</v>
      </c>
      <c r="C2331" s="9" t="s">
        <v>48</v>
      </c>
      <c r="D2331" s="9" t="s">
        <v>395</v>
      </c>
      <c r="E2331" s="9" t="s">
        <v>17</v>
      </c>
      <c r="F2331" s="9" t="s">
        <v>17</v>
      </c>
      <c r="G2331" s="9" t="s">
        <v>24</v>
      </c>
      <c r="H2331" s="9" t="s">
        <v>22</v>
      </c>
      <c r="I2331" s="9" t="s">
        <v>20</v>
      </c>
      <c r="J2331" s="10"/>
      <c r="K2331" s="7" t="s">
        <v>398</v>
      </c>
      <c r="L2331" s="7"/>
      <c r="M2331" s="7"/>
      <c r="N2331" s="7" t="str">
        <f>IFERROR(__xludf.DUMMYFUNCTION("""COMPUTED_VALUE"""),"Alexis Gutiérrez|46097")</f>
        <v>Alexis Gutiérrez|46097</v>
      </c>
      <c r="O2331" s="7">
        <f>IFERROR(__xludf.DUMMYFUNCTION("""COMPUTED_VALUE"""),3.0)</f>
        <v>3</v>
      </c>
    </row>
    <row r="2332" ht="22.5" hidden="1" customHeight="1">
      <c r="A2332" s="8">
        <v>45961.38264822916</v>
      </c>
      <c r="B2332" s="9">
        <v>45961.0</v>
      </c>
      <c r="C2332" s="9" t="s">
        <v>48</v>
      </c>
      <c r="D2332" s="9" t="s">
        <v>177</v>
      </c>
      <c r="E2332" s="9" t="s">
        <v>17</v>
      </c>
      <c r="F2332" s="9" t="s">
        <v>17</v>
      </c>
      <c r="G2332" s="9" t="s">
        <v>24</v>
      </c>
      <c r="H2332" s="9" t="s">
        <v>17</v>
      </c>
      <c r="I2332" s="9" t="s">
        <v>20</v>
      </c>
      <c r="J2332" s="10"/>
      <c r="K2332" s="7" t="s">
        <v>398</v>
      </c>
      <c r="L2332" s="7"/>
      <c r="M2332" s="7"/>
      <c r="N2332" s="7" t="str">
        <f>IFERROR(__xludf.DUMMYFUNCTION("""COMPUTED_VALUE"""),"Fernando Tapia|46097")</f>
        <v>Fernando Tapia|46097</v>
      </c>
      <c r="O2332" s="7">
        <f>IFERROR(__xludf.DUMMYFUNCTION("""COMPUTED_VALUE"""),5.0)</f>
        <v>5</v>
      </c>
    </row>
    <row r="2333" ht="22.5" hidden="1" customHeight="1">
      <c r="A2333" s="8">
        <v>45961.382819756946</v>
      </c>
      <c r="B2333" s="9">
        <v>45961.0</v>
      </c>
      <c r="C2333" s="9" t="s">
        <v>48</v>
      </c>
      <c r="D2333" s="9" t="s">
        <v>357</v>
      </c>
      <c r="E2333" s="9" t="s">
        <v>17</v>
      </c>
      <c r="F2333" s="9" t="s">
        <v>17</v>
      </c>
      <c r="G2333" s="9" t="s">
        <v>24</v>
      </c>
      <c r="H2333" s="9" t="s">
        <v>17</v>
      </c>
      <c r="I2333" s="9" t="s">
        <v>20</v>
      </c>
      <c r="J2333" s="10"/>
      <c r="K2333" s="7" t="s">
        <v>398</v>
      </c>
      <c r="L2333" s="7"/>
      <c r="M2333" s="7"/>
      <c r="N2333" s="7" t="str">
        <f>IFERROR(__xludf.DUMMYFUNCTION("""COMPUTED_VALUE"""),"Néstor Araujo|46097")</f>
        <v>Néstor Araujo|46097</v>
      </c>
      <c r="O2333" s="7">
        <f>IFERROR(__xludf.DUMMYFUNCTION("""COMPUTED_VALUE"""),6.0)</f>
        <v>6</v>
      </c>
    </row>
    <row r="2334" ht="22.5" hidden="1" customHeight="1">
      <c r="A2334" s="8">
        <v>45961.38330422454</v>
      </c>
      <c r="B2334" s="9">
        <v>45961.0</v>
      </c>
      <c r="C2334" s="9" t="s">
        <v>48</v>
      </c>
      <c r="D2334" s="9" t="s">
        <v>174</v>
      </c>
      <c r="E2334" s="9" t="s">
        <v>17</v>
      </c>
      <c r="F2334" s="9" t="s">
        <v>17</v>
      </c>
      <c r="G2334" s="9" t="s">
        <v>24</v>
      </c>
      <c r="H2334" s="9" t="s">
        <v>17</v>
      </c>
      <c r="I2334" s="9" t="s">
        <v>240</v>
      </c>
      <c r="J2334" s="10"/>
      <c r="K2334" s="7" t="s">
        <v>398</v>
      </c>
      <c r="L2334" s="7"/>
      <c r="M2334" s="7"/>
      <c r="N2334" s="7" t="str">
        <f>IFERROR(__xludf.DUMMYFUNCTION("""COMPUTED_VALUE"""),"Paolo Bedolla|46097")</f>
        <v>Paolo Bedolla|46097</v>
      </c>
      <c r="O2334" s="7">
        <f>IFERROR(__xludf.DUMMYFUNCTION("""COMPUTED_VALUE"""),4.0)</f>
        <v>4</v>
      </c>
    </row>
    <row r="2335" ht="22.5" hidden="1" customHeight="1">
      <c r="A2335" s="8">
        <v>45961.38363506945</v>
      </c>
      <c r="B2335" s="9">
        <v>45961.0</v>
      </c>
      <c r="C2335" s="9" t="s">
        <v>48</v>
      </c>
      <c r="D2335" s="9" t="s">
        <v>171</v>
      </c>
      <c r="E2335" s="9" t="s">
        <v>17</v>
      </c>
      <c r="F2335" s="9" t="s">
        <v>17</v>
      </c>
      <c r="G2335" s="9" t="s">
        <v>24</v>
      </c>
      <c r="H2335" s="9" t="s">
        <v>17</v>
      </c>
      <c r="I2335" s="9" t="s">
        <v>20</v>
      </c>
      <c r="J2335" s="10"/>
      <c r="K2335" s="7" t="s">
        <v>398</v>
      </c>
      <c r="L2335" s="7"/>
      <c r="M2335" s="7"/>
      <c r="N2335" s="7" t="str">
        <f>IFERROR(__xludf.DUMMYFUNCTION("""COMPUTED_VALUE"""),"José Raúl Zúñiga|46097")</f>
        <v>José Raúl Zúñiga|46097</v>
      </c>
      <c r="O2335" s="7">
        <f>IFERROR(__xludf.DUMMYFUNCTION("""COMPUTED_VALUE"""),3.0)</f>
        <v>3</v>
      </c>
    </row>
    <row r="2336" ht="22.5" hidden="1" customHeight="1">
      <c r="A2336" s="8">
        <v>45961.383967685186</v>
      </c>
      <c r="B2336" s="9">
        <v>45961.0</v>
      </c>
      <c r="C2336" s="9" t="s">
        <v>48</v>
      </c>
      <c r="D2336" s="9" t="s">
        <v>175</v>
      </c>
      <c r="E2336" s="9" t="s">
        <v>17</v>
      </c>
      <c r="F2336" s="9" t="s">
        <v>17</v>
      </c>
      <c r="G2336" s="9" t="s">
        <v>24</v>
      </c>
      <c r="H2336" s="9" t="s">
        <v>17</v>
      </c>
      <c r="I2336" s="9" t="s">
        <v>20</v>
      </c>
      <c r="J2336" s="10"/>
      <c r="K2336" s="7" t="s">
        <v>398</v>
      </c>
      <c r="L2336" s="7"/>
      <c r="M2336" s="7"/>
      <c r="N2336" s="7" t="str">
        <f>IFERROR(__xludf.DUMMYFUNCTION("""COMPUTED_VALUE"""),"Thiago Espinosa|46097")</f>
        <v>Thiago Espinosa|46097</v>
      </c>
      <c r="O2336" s="7">
        <f>IFERROR(__xludf.DUMMYFUNCTION("""COMPUTED_VALUE"""),6.0)</f>
        <v>6</v>
      </c>
    </row>
    <row r="2337" ht="22.5" hidden="1" customHeight="1">
      <c r="A2337" s="8">
        <v>45961.38694309028</v>
      </c>
      <c r="B2337" s="9">
        <v>45961.0</v>
      </c>
      <c r="C2337" s="9" t="s">
        <v>48</v>
      </c>
      <c r="D2337" s="9" t="s">
        <v>259</v>
      </c>
      <c r="E2337" s="9" t="s">
        <v>17</v>
      </c>
      <c r="F2337" s="9" t="s">
        <v>18</v>
      </c>
      <c r="G2337" s="9" t="s">
        <v>24</v>
      </c>
      <c r="H2337" s="9" t="s">
        <v>25</v>
      </c>
      <c r="I2337" s="9" t="s">
        <v>67</v>
      </c>
      <c r="J2337" s="10"/>
      <c r="K2337" s="7" t="s">
        <v>398</v>
      </c>
      <c r="L2337" s="7"/>
      <c r="M2337" s="7"/>
      <c r="N2337" s="7" t="str">
        <f>IFERROR(__xludf.DUMMYFUNCTION("""COMPUTED_VALUE"""),"Sebastián Cáceres|46097")</f>
        <v>Sebastián Cáceres|46097</v>
      </c>
      <c r="O2337" s="7">
        <f>IFERROR(__xludf.DUMMYFUNCTION("""COMPUTED_VALUE"""),4.0)</f>
        <v>4</v>
      </c>
    </row>
    <row r="2338" ht="22.5" hidden="1" customHeight="1">
      <c r="A2338" s="8">
        <v>45961.398452141206</v>
      </c>
      <c r="B2338" s="9">
        <v>45961.0</v>
      </c>
      <c r="C2338" s="9" t="s">
        <v>48</v>
      </c>
      <c r="D2338" s="9" t="s">
        <v>361</v>
      </c>
      <c r="E2338" s="9" t="s">
        <v>17</v>
      </c>
      <c r="F2338" s="9" t="s">
        <v>17</v>
      </c>
      <c r="G2338" s="9" t="s">
        <v>24</v>
      </c>
      <c r="H2338" s="9" t="s">
        <v>22</v>
      </c>
      <c r="I2338" s="9" t="s">
        <v>20</v>
      </c>
      <c r="J2338" s="10"/>
      <c r="K2338" s="7" t="s">
        <v>398</v>
      </c>
      <c r="L2338" s="7"/>
      <c r="M2338" s="7"/>
      <c r="N2338" s="7" t="str">
        <f>IFERROR(__xludf.DUMMYFUNCTION("""COMPUTED_VALUE"""),"Henry Martín|46097")</f>
        <v>Henry Martín|46097</v>
      </c>
      <c r="O2338" s="7">
        <f>IFERROR(__xludf.DUMMYFUNCTION("""COMPUTED_VALUE"""),6.0)</f>
        <v>6</v>
      </c>
    </row>
    <row r="2339" ht="22.5" hidden="1" customHeight="1">
      <c r="A2339" s="8">
        <v>45961.405344722225</v>
      </c>
      <c r="B2339" s="9">
        <v>45961.0</v>
      </c>
      <c r="C2339" s="9" t="s">
        <v>48</v>
      </c>
      <c r="D2339" s="9" t="s">
        <v>178</v>
      </c>
      <c r="E2339" s="9" t="s">
        <v>17</v>
      </c>
      <c r="F2339" s="9" t="s">
        <v>17</v>
      </c>
      <c r="G2339" s="9" t="s">
        <v>24</v>
      </c>
      <c r="H2339" s="9" t="s">
        <v>17</v>
      </c>
      <c r="I2339" s="9" t="s">
        <v>20</v>
      </c>
      <c r="J2339" s="10"/>
      <c r="K2339" s="7" t="s">
        <v>398</v>
      </c>
      <c r="L2339" s="7"/>
      <c r="M2339" s="7"/>
      <c r="N2339" s="7" t="str">
        <f>IFERROR(__xludf.DUMMYFUNCTION("""COMPUTED_VALUE"""),"Vinícius Lima|46097")</f>
        <v>Vinícius Lima|46097</v>
      </c>
      <c r="O2339" s="7">
        <f>IFERROR(__xludf.DUMMYFUNCTION("""COMPUTED_VALUE"""),5.0)</f>
        <v>5</v>
      </c>
    </row>
    <row r="2340" ht="22.5" hidden="1" customHeight="1">
      <c r="A2340" s="8">
        <v>45961.40685032407</v>
      </c>
      <c r="B2340" s="9">
        <v>45961.0</v>
      </c>
      <c r="C2340" s="9" t="s">
        <v>48</v>
      </c>
      <c r="D2340" s="9" t="s">
        <v>367</v>
      </c>
      <c r="E2340" s="9" t="s">
        <v>17</v>
      </c>
      <c r="F2340" s="9" t="s">
        <v>17</v>
      </c>
      <c r="G2340" s="9" t="s">
        <v>24</v>
      </c>
      <c r="H2340" s="9" t="s">
        <v>17</v>
      </c>
      <c r="I2340" s="9" t="s">
        <v>37</v>
      </c>
      <c r="J2340" s="10"/>
      <c r="K2340" s="7" t="s">
        <v>398</v>
      </c>
      <c r="L2340" s="7"/>
      <c r="M2340" s="7"/>
      <c r="N2340" s="7" t="str">
        <f>IFERROR(__xludf.DUMMYFUNCTION("""COMPUTED_VALUE"""),"Miguel Vázquez|46097")</f>
        <v>Miguel Vázquez|46097</v>
      </c>
      <c r="O2340" s="7">
        <f>IFERROR(__xludf.DUMMYFUNCTION("""COMPUTED_VALUE"""),4.0)</f>
        <v>4</v>
      </c>
    </row>
    <row r="2341" ht="22.5" hidden="1" customHeight="1">
      <c r="A2341" s="8">
        <v>45961.407000266205</v>
      </c>
      <c r="B2341" s="9">
        <v>45961.0</v>
      </c>
      <c r="C2341" s="9" t="s">
        <v>48</v>
      </c>
      <c r="D2341" s="9" t="s">
        <v>168</v>
      </c>
      <c r="E2341" s="9" t="s">
        <v>17</v>
      </c>
      <c r="F2341" s="9" t="s">
        <v>17</v>
      </c>
      <c r="G2341" s="9" t="s">
        <v>24</v>
      </c>
      <c r="H2341" s="9" t="s">
        <v>17</v>
      </c>
      <c r="I2341" s="9" t="s">
        <v>20</v>
      </c>
      <c r="J2341" s="10"/>
      <c r="K2341" s="7" t="s">
        <v>398</v>
      </c>
      <c r="L2341" s="7"/>
      <c r="M2341" s="7"/>
      <c r="N2341" s="7" t="str">
        <f>IFERROR(__xludf.DUMMYFUNCTION("""COMPUTED_VALUE"""),"Aaron Mejia|46097")</f>
        <v>Aaron Mejia|46097</v>
      </c>
      <c r="O2341" s="7">
        <f>IFERROR(__xludf.DUMMYFUNCTION("""COMPUTED_VALUE"""),5.0)</f>
        <v>5</v>
      </c>
    </row>
    <row r="2342" ht="22.5" hidden="1" customHeight="1">
      <c r="A2342" s="8">
        <v>45961.40716292824</v>
      </c>
      <c r="B2342" s="9">
        <v>45961.0</v>
      </c>
      <c r="C2342" s="9" t="s">
        <v>48</v>
      </c>
      <c r="D2342" s="9" t="s">
        <v>280</v>
      </c>
      <c r="E2342" s="9" t="s">
        <v>17</v>
      </c>
      <c r="F2342" s="9" t="s">
        <v>17</v>
      </c>
      <c r="G2342" s="9" t="s">
        <v>24</v>
      </c>
      <c r="H2342" s="9" t="s">
        <v>17</v>
      </c>
      <c r="I2342" s="9" t="s">
        <v>20</v>
      </c>
      <c r="J2342" s="10"/>
      <c r="K2342" s="7" t="s">
        <v>398</v>
      </c>
      <c r="L2342" s="7"/>
      <c r="M2342" s="7"/>
      <c r="N2342" s="7" t="str">
        <f>IFERROR(__xludf.DUMMYFUNCTION("""COMPUTED_VALUE"""),"Alan Cervantes|46097")</f>
        <v>Alan Cervantes|46097</v>
      </c>
      <c r="O2342" s="7">
        <f>IFERROR(__xludf.DUMMYFUNCTION("""COMPUTED_VALUE"""),5.0)</f>
        <v>5</v>
      </c>
    </row>
    <row r="2343" ht="22.5" hidden="1" customHeight="1">
      <c r="A2343" s="8">
        <v>45964.37515317129</v>
      </c>
      <c r="B2343" s="9">
        <v>45964.0</v>
      </c>
      <c r="C2343" s="9" t="s">
        <v>86</v>
      </c>
      <c r="D2343" s="9" t="s">
        <v>258</v>
      </c>
      <c r="E2343" s="9" t="s">
        <v>17</v>
      </c>
      <c r="F2343" s="9" t="s">
        <v>17</v>
      </c>
      <c r="G2343" s="9" t="s">
        <v>24</v>
      </c>
      <c r="H2343" s="9" t="s">
        <v>17</v>
      </c>
      <c r="I2343" s="9" t="s">
        <v>20</v>
      </c>
      <c r="J2343" s="10"/>
      <c r="K2343" s="7" t="s">
        <v>398</v>
      </c>
      <c r="L2343" s="7"/>
      <c r="M2343" s="7"/>
      <c r="N2343" s="7" t="str">
        <f>IFERROR(__xludf.DUMMYFUNCTION("""COMPUTED_VALUE"""),"Dagoberto Espinoza|46097")</f>
        <v>Dagoberto Espinoza|46097</v>
      </c>
      <c r="O2343" s="7">
        <f>IFERROR(__xludf.DUMMYFUNCTION("""COMPUTED_VALUE"""),7.0)</f>
        <v>7</v>
      </c>
    </row>
    <row r="2344" ht="22.5" hidden="1" customHeight="1">
      <c r="A2344" s="8">
        <v>45964.375313032404</v>
      </c>
      <c r="B2344" s="9">
        <v>45964.0</v>
      </c>
      <c r="C2344" s="9" t="s">
        <v>86</v>
      </c>
      <c r="D2344" s="9" t="s">
        <v>280</v>
      </c>
      <c r="E2344" s="9" t="s">
        <v>17</v>
      </c>
      <c r="F2344" s="9" t="s">
        <v>17</v>
      </c>
      <c r="G2344" s="9" t="s">
        <v>24</v>
      </c>
      <c r="H2344" s="9" t="s">
        <v>17</v>
      </c>
      <c r="I2344" s="9" t="s">
        <v>20</v>
      </c>
      <c r="J2344" s="10"/>
      <c r="K2344" s="7" t="s">
        <v>398</v>
      </c>
      <c r="L2344" s="7"/>
      <c r="M2344" s="7"/>
      <c r="N2344" s="7" t="str">
        <f>IFERROR(__xludf.DUMMYFUNCTION("""COMPUTED_VALUE"""),"Henry Martín|46099")</f>
        <v>Henry Martín|46099</v>
      </c>
      <c r="O2344" s="7">
        <f>IFERROR(__xludf.DUMMYFUNCTION("""COMPUTED_VALUE"""),4.0)</f>
        <v>4</v>
      </c>
    </row>
    <row r="2345" ht="22.5" hidden="1" customHeight="1">
      <c r="A2345" s="8">
        <v>45964.37591126157</v>
      </c>
      <c r="B2345" s="9">
        <v>45964.0</v>
      </c>
      <c r="C2345" s="9" t="s">
        <v>86</v>
      </c>
      <c r="D2345" s="9" t="s">
        <v>174</v>
      </c>
      <c r="E2345" s="9" t="s">
        <v>17</v>
      </c>
      <c r="F2345" s="9" t="s">
        <v>17</v>
      </c>
      <c r="G2345" s="9" t="s">
        <v>24</v>
      </c>
      <c r="H2345" s="9" t="s">
        <v>22</v>
      </c>
      <c r="I2345" s="9" t="s">
        <v>20</v>
      </c>
      <c r="J2345" s="10"/>
      <c r="K2345" s="7" t="s">
        <v>398</v>
      </c>
      <c r="L2345" s="7"/>
      <c r="M2345" s="7"/>
      <c r="N2345" s="7" t="str">
        <f>IFERROR(__xludf.DUMMYFUNCTION("""COMPUTED_VALUE"""),"Dagoberto Espinoza|46099")</f>
        <v>Dagoberto Espinoza|46099</v>
      </c>
      <c r="O2345" s="7">
        <f>IFERROR(__xludf.DUMMYFUNCTION("""COMPUTED_VALUE"""),5.0)</f>
        <v>5</v>
      </c>
    </row>
    <row r="2346" ht="22.5" hidden="1" customHeight="1">
      <c r="A2346" s="8">
        <v>45964.376069861115</v>
      </c>
      <c r="B2346" s="9">
        <v>45964.0</v>
      </c>
      <c r="C2346" s="9" t="s">
        <v>86</v>
      </c>
      <c r="D2346" s="9" t="s">
        <v>395</v>
      </c>
      <c r="E2346" s="9" t="s">
        <v>17</v>
      </c>
      <c r="F2346" s="9" t="s">
        <v>17</v>
      </c>
      <c r="G2346" s="9" t="s">
        <v>24</v>
      </c>
      <c r="H2346" s="9" t="s">
        <v>22</v>
      </c>
      <c r="I2346" s="9" t="s">
        <v>20</v>
      </c>
      <c r="J2346" s="10"/>
      <c r="K2346" s="7" t="s">
        <v>398</v>
      </c>
      <c r="L2346" s="7"/>
      <c r="M2346" s="7"/>
      <c r="N2346" s="7" t="str">
        <f>IFERROR(__xludf.DUMMYFUNCTION("""COMPUTED_VALUE"""),"Santiago Naveda|46099")</f>
        <v>Santiago Naveda|46099</v>
      </c>
      <c r="O2346" s="7">
        <f>IFERROR(__xludf.DUMMYFUNCTION("""COMPUTED_VALUE"""),4.0)</f>
        <v>4</v>
      </c>
    </row>
    <row r="2347" ht="22.5" hidden="1" customHeight="1">
      <c r="A2347" s="8">
        <v>45964.376246134256</v>
      </c>
      <c r="B2347" s="9">
        <v>45964.0</v>
      </c>
      <c r="C2347" s="9" t="s">
        <v>86</v>
      </c>
      <c r="D2347" s="9" t="s">
        <v>393</v>
      </c>
      <c r="E2347" s="9" t="s">
        <v>17</v>
      </c>
      <c r="F2347" s="9" t="s">
        <v>17</v>
      </c>
      <c r="G2347" s="9" t="s">
        <v>24</v>
      </c>
      <c r="H2347" s="9" t="s">
        <v>17</v>
      </c>
      <c r="I2347" s="9" t="s">
        <v>20</v>
      </c>
      <c r="J2347" s="10"/>
      <c r="K2347" s="7" t="s">
        <v>398</v>
      </c>
      <c r="L2347" s="7"/>
      <c r="M2347" s="7"/>
      <c r="N2347" s="7" t="str">
        <f>IFERROR(__xludf.DUMMYFUNCTION("""COMPUTED_VALUE"""),"Miguel Vázquez|46100")</f>
        <v>Miguel Vázquez|46100</v>
      </c>
      <c r="O2347" s="7">
        <f>IFERROR(__xludf.DUMMYFUNCTION("""COMPUTED_VALUE"""),5.0)</f>
        <v>5</v>
      </c>
    </row>
    <row r="2348" ht="22.5" hidden="1" customHeight="1">
      <c r="A2348" s="8">
        <v>45964.37645232639</v>
      </c>
      <c r="B2348" s="9">
        <v>45964.0</v>
      </c>
      <c r="C2348" s="9" t="s">
        <v>86</v>
      </c>
      <c r="D2348" s="9" t="s">
        <v>249</v>
      </c>
      <c r="E2348" s="9" t="s">
        <v>17</v>
      </c>
      <c r="F2348" s="9" t="s">
        <v>17</v>
      </c>
      <c r="G2348" s="9" t="s">
        <v>24</v>
      </c>
      <c r="H2348" s="9" t="s">
        <v>17</v>
      </c>
      <c r="I2348" s="9" t="s">
        <v>207</v>
      </c>
      <c r="J2348" s="10"/>
      <c r="K2348" s="7" t="s">
        <v>398</v>
      </c>
      <c r="L2348" s="7"/>
      <c r="M2348" s="7"/>
      <c r="N2348" s="7" t="str">
        <f>IFERROR(__xludf.DUMMYFUNCTION("""COMPUTED_VALUE"""),"Paolo Bedolla|46100")</f>
        <v>Paolo Bedolla|46100</v>
      </c>
      <c r="O2348" s="7">
        <f>IFERROR(__xludf.DUMMYFUNCTION("""COMPUTED_VALUE"""),2.0)</f>
        <v>2</v>
      </c>
    </row>
    <row r="2349" ht="22.5" hidden="1" customHeight="1">
      <c r="A2349" s="8">
        <v>45964.37673474537</v>
      </c>
      <c r="B2349" s="9">
        <v>45964.0</v>
      </c>
      <c r="C2349" s="9" t="s">
        <v>86</v>
      </c>
      <c r="D2349" s="9" t="s">
        <v>350</v>
      </c>
      <c r="E2349" s="9" t="s">
        <v>17</v>
      </c>
      <c r="F2349" s="9" t="s">
        <v>17</v>
      </c>
      <c r="G2349" s="9" t="s">
        <v>24</v>
      </c>
      <c r="H2349" s="9" t="s">
        <v>22</v>
      </c>
      <c r="I2349" s="9" t="s">
        <v>20</v>
      </c>
      <c r="J2349" s="10"/>
      <c r="K2349" s="7" t="s">
        <v>398</v>
      </c>
      <c r="L2349" s="7"/>
      <c r="M2349" s="7"/>
      <c r="N2349" s="7" t="str">
        <f>IFERROR(__xludf.DUMMYFUNCTION("""COMPUTED_VALUE"""),"José Raúl Zúñiga|46100")</f>
        <v>José Raúl Zúñiga|46100</v>
      </c>
      <c r="O2349" s="7">
        <f>IFERROR(__xludf.DUMMYFUNCTION("""COMPUTED_VALUE"""),3.0)</f>
        <v>3</v>
      </c>
    </row>
    <row r="2350" ht="22.5" hidden="1" customHeight="1">
      <c r="A2350" s="8">
        <v>45964.37703472222</v>
      </c>
      <c r="B2350" s="9">
        <v>45964.0</v>
      </c>
      <c r="C2350" s="9" t="s">
        <v>86</v>
      </c>
      <c r="D2350" s="9" t="s">
        <v>171</v>
      </c>
      <c r="E2350" s="9" t="s">
        <v>17</v>
      </c>
      <c r="F2350" s="9" t="s">
        <v>17</v>
      </c>
      <c r="G2350" s="9" t="s">
        <v>24</v>
      </c>
      <c r="H2350" s="9" t="s">
        <v>25</v>
      </c>
      <c r="I2350" s="9" t="s">
        <v>218</v>
      </c>
      <c r="J2350" s="10"/>
      <c r="K2350" s="7" t="s">
        <v>398</v>
      </c>
      <c r="L2350" s="7"/>
      <c r="M2350" s="7"/>
      <c r="N2350" s="7" t="str">
        <f>IFERROR(__xludf.DUMMYFUNCTION("""COMPUTED_VALUE"""),"Rodolfo Cota|46100")</f>
        <v>Rodolfo Cota|46100</v>
      </c>
      <c r="O2350" s="7">
        <f>IFERROR(__xludf.DUMMYFUNCTION("""COMPUTED_VALUE"""),2.0)</f>
        <v>2</v>
      </c>
    </row>
    <row r="2351" ht="22.5" hidden="1" customHeight="1">
      <c r="A2351" s="8">
        <v>45964.37738497685</v>
      </c>
      <c r="B2351" s="9">
        <v>45964.0</v>
      </c>
      <c r="C2351" s="9" t="s">
        <v>86</v>
      </c>
      <c r="D2351" s="9" t="s">
        <v>177</v>
      </c>
      <c r="E2351" s="9" t="s">
        <v>17</v>
      </c>
      <c r="F2351" s="9" t="s">
        <v>17</v>
      </c>
      <c r="G2351" s="9" t="s">
        <v>24</v>
      </c>
      <c r="H2351" s="9" t="s">
        <v>17</v>
      </c>
      <c r="I2351" s="9" t="s">
        <v>20</v>
      </c>
      <c r="J2351" s="10"/>
      <c r="K2351" s="7" t="s">
        <v>398</v>
      </c>
      <c r="L2351" s="7"/>
      <c r="M2351" s="7"/>
      <c r="N2351" s="7" t="str">
        <f>IFERROR(__xludf.DUMMYFUNCTION("""COMPUTED_VALUE"""),"Dagoberto Espinoza|46100")</f>
        <v>Dagoberto Espinoza|46100</v>
      </c>
      <c r="O2351" s="7">
        <f>IFERROR(__xludf.DUMMYFUNCTION("""COMPUTED_VALUE"""),4.0)</f>
        <v>4</v>
      </c>
    </row>
    <row r="2352" ht="22.5" hidden="1" customHeight="1">
      <c r="A2352" s="8">
        <v>45964.38053445602</v>
      </c>
      <c r="B2352" s="9">
        <v>45964.0</v>
      </c>
      <c r="C2352" s="9" t="s">
        <v>86</v>
      </c>
      <c r="D2352" s="9" t="s">
        <v>357</v>
      </c>
      <c r="E2352" s="9" t="s">
        <v>61</v>
      </c>
      <c r="F2352" s="9" t="s">
        <v>60</v>
      </c>
      <c r="G2352" s="9" t="s">
        <v>40</v>
      </c>
      <c r="H2352" s="9" t="s">
        <v>25</v>
      </c>
      <c r="I2352" s="9" t="s">
        <v>363</v>
      </c>
      <c r="J2352" s="10"/>
      <c r="K2352" s="7" t="s">
        <v>398</v>
      </c>
      <c r="L2352" s="7"/>
      <c r="M2352" s="7"/>
      <c r="N2352" s="7" t="str">
        <f>IFERROR(__xludf.DUMMYFUNCTION("""COMPUTED_VALUE"""),"Santiago Naveda|46100")</f>
        <v>Santiago Naveda|46100</v>
      </c>
      <c r="O2352" s="7">
        <f>IFERROR(__xludf.DUMMYFUNCTION("""COMPUTED_VALUE"""),7.0)</f>
        <v>7</v>
      </c>
    </row>
    <row r="2353" ht="22.5" hidden="1" customHeight="1">
      <c r="A2353" s="8">
        <v>45964.380921828706</v>
      </c>
      <c r="B2353" s="9">
        <v>45964.0</v>
      </c>
      <c r="C2353" s="9" t="s">
        <v>86</v>
      </c>
      <c r="D2353" s="9" t="s">
        <v>178</v>
      </c>
      <c r="E2353" s="9" t="s">
        <v>17</v>
      </c>
      <c r="F2353" s="9" t="s">
        <v>17</v>
      </c>
      <c r="G2353" s="9" t="s">
        <v>24</v>
      </c>
      <c r="H2353" s="9" t="s">
        <v>17</v>
      </c>
      <c r="I2353" s="9" t="s">
        <v>20</v>
      </c>
      <c r="J2353" s="10"/>
      <c r="K2353" s="7" t="s">
        <v>398</v>
      </c>
      <c r="L2353" s="7"/>
      <c r="M2353" s="7"/>
      <c r="N2353" s="7" t="str">
        <f>IFERROR(__xludf.DUMMYFUNCTION("""COMPUTED_VALUE"""),"Vinícius Lima|46100")</f>
        <v>Vinícius Lima|46100</v>
      </c>
      <c r="O2353" s="7">
        <f>IFERROR(__xludf.DUMMYFUNCTION("""COMPUTED_VALUE"""),3.0)</f>
        <v>3</v>
      </c>
    </row>
    <row r="2354" ht="22.5" hidden="1" customHeight="1">
      <c r="A2354" s="8">
        <v>45964.3813362963</v>
      </c>
      <c r="B2354" s="9">
        <v>45964.0</v>
      </c>
      <c r="C2354" s="9" t="s">
        <v>86</v>
      </c>
      <c r="D2354" s="9" t="s">
        <v>259</v>
      </c>
      <c r="E2354" s="9" t="s">
        <v>17</v>
      </c>
      <c r="F2354" s="9" t="s">
        <v>18</v>
      </c>
      <c r="G2354" s="9" t="s">
        <v>24</v>
      </c>
      <c r="H2354" s="9" t="s">
        <v>17</v>
      </c>
      <c r="I2354" s="9" t="s">
        <v>20</v>
      </c>
      <c r="J2354" s="10"/>
      <c r="K2354" s="7" t="s">
        <v>398</v>
      </c>
      <c r="L2354" s="7"/>
      <c r="M2354" s="7"/>
      <c r="N2354" s="7" t="str">
        <f>IFERROR(__xludf.DUMMYFUNCTION("""COMPUTED_VALUE"""),"Néstor Araujo|46100")</f>
        <v>Néstor Araujo|46100</v>
      </c>
      <c r="O2354" s="7">
        <f>IFERROR(__xludf.DUMMYFUNCTION("""COMPUTED_VALUE"""),6.0)</f>
        <v>6</v>
      </c>
    </row>
    <row r="2355" ht="22.5" hidden="1" customHeight="1">
      <c r="A2355" s="8">
        <v>45964.38149857639</v>
      </c>
      <c r="B2355" s="9">
        <v>45964.0</v>
      </c>
      <c r="C2355" s="9" t="s">
        <v>86</v>
      </c>
      <c r="D2355" s="9" t="s">
        <v>257</v>
      </c>
      <c r="E2355" s="9" t="s">
        <v>17</v>
      </c>
      <c r="F2355" s="9" t="s">
        <v>18</v>
      </c>
      <c r="G2355" s="9" t="s">
        <v>24</v>
      </c>
      <c r="H2355" s="9" t="s">
        <v>17</v>
      </c>
      <c r="I2355" s="9" t="s">
        <v>20</v>
      </c>
      <c r="J2355" s="10"/>
      <c r="K2355" s="7" t="s">
        <v>398</v>
      </c>
      <c r="L2355" s="7"/>
      <c r="M2355" s="7"/>
      <c r="N2355" s="7" t="str">
        <f>IFERROR(__xludf.DUMMYFUNCTION("""COMPUTED_VALUE"""),"Henry Martín|46100")</f>
        <v>Henry Martín|46100</v>
      </c>
      <c r="O2355" s="7">
        <f>IFERROR(__xludf.DUMMYFUNCTION("""COMPUTED_VALUE"""),4.0)</f>
        <v>4</v>
      </c>
    </row>
    <row r="2356" ht="22.5" hidden="1" customHeight="1">
      <c r="A2356" s="8">
        <v>45964.38284978009</v>
      </c>
      <c r="B2356" s="9">
        <v>45964.0</v>
      </c>
      <c r="C2356" s="9" t="s">
        <v>86</v>
      </c>
      <c r="D2356" s="9" t="s">
        <v>361</v>
      </c>
      <c r="E2356" s="9" t="s">
        <v>17</v>
      </c>
      <c r="F2356" s="9" t="s">
        <v>17</v>
      </c>
      <c r="G2356" s="9" t="s">
        <v>24</v>
      </c>
      <c r="H2356" s="9" t="s">
        <v>22</v>
      </c>
      <c r="I2356" s="9" t="s">
        <v>20</v>
      </c>
      <c r="J2356" s="10"/>
      <c r="K2356" s="7" t="s">
        <v>398</v>
      </c>
      <c r="L2356" s="7"/>
      <c r="M2356" s="7"/>
      <c r="N2356" s="7" t="str">
        <f>IFERROR(__xludf.DUMMYFUNCTION("""COMPUTED_VALUE"""),"Ramón Juárez|46100")</f>
        <v>Ramón Juárez|46100</v>
      </c>
      <c r="O2356" s="7">
        <f>IFERROR(__xludf.DUMMYFUNCTION("""COMPUTED_VALUE"""),5.0)</f>
        <v>5</v>
      </c>
    </row>
    <row r="2357" ht="22.5" hidden="1" customHeight="1">
      <c r="A2357" s="8">
        <v>45964.39025149305</v>
      </c>
      <c r="B2357" s="9">
        <v>45964.0</v>
      </c>
      <c r="C2357" s="9" t="s">
        <v>86</v>
      </c>
      <c r="D2357" s="9" t="s">
        <v>210</v>
      </c>
      <c r="E2357" s="9" t="s">
        <v>17</v>
      </c>
      <c r="F2357" s="9" t="s">
        <v>17</v>
      </c>
      <c r="G2357" s="9" t="s">
        <v>24</v>
      </c>
      <c r="H2357" s="9" t="s">
        <v>22</v>
      </c>
      <c r="I2357" s="9" t="s">
        <v>20</v>
      </c>
      <c r="J2357" s="10"/>
      <c r="K2357" s="7" t="s">
        <v>398</v>
      </c>
      <c r="L2357" s="7"/>
      <c r="M2357" s="7"/>
      <c r="N2357" s="7" t="str">
        <f>IFERROR(__xludf.DUMMYFUNCTION("""COMPUTED_VALUE"""),"Jonathan Dos Santos|46100")</f>
        <v>Jonathan Dos Santos|46100</v>
      </c>
      <c r="O2357" s="7">
        <f>IFERROR(__xludf.DUMMYFUNCTION("""COMPUTED_VALUE"""),5.0)</f>
        <v>5</v>
      </c>
    </row>
    <row r="2358" ht="22.5" hidden="1" customHeight="1">
      <c r="A2358" s="8">
        <v>45964.39044413195</v>
      </c>
      <c r="B2358" s="9">
        <v>45964.0</v>
      </c>
      <c r="C2358" s="9" t="s">
        <v>86</v>
      </c>
      <c r="D2358" s="9" t="s">
        <v>394</v>
      </c>
      <c r="E2358" s="9" t="s">
        <v>17</v>
      </c>
      <c r="F2358" s="9" t="s">
        <v>17</v>
      </c>
      <c r="G2358" s="9" t="s">
        <v>24</v>
      </c>
      <c r="H2358" s="9" t="s">
        <v>17</v>
      </c>
      <c r="I2358" s="9" t="s">
        <v>20</v>
      </c>
      <c r="J2358" s="10"/>
      <c r="K2358" s="7" t="s">
        <v>398</v>
      </c>
      <c r="L2358" s="7"/>
      <c r="M2358" s="7"/>
      <c r="N2358" s="7" t="str">
        <f>IFERROR(__xludf.DUMMYFUNCTION("""COMPUTED_VALUE"""),"Thiago Espinosa|46100")</f>
        <v>Thiago Espinosa|46100</v>
      </c>
      <c r="O2358" s="7">
        <f>IFERROR(__xludf.DUMMYFUNCTION("""COMPUTED_VALUE"""),6.0)</f>
        <v>6</v>
      </c>
    </row>
    <row r="2359" ht="22.5" hidden="1" customHeight="1">
      <c r="A2359" s="8">
        <v>45964.391543645834</v>
      </c>
      <c r="B2359" s="9">
        <v>45964.0</v>
      </c>
      <c r="C2359" s="9" t="s">
        <v>86</v>
      </c>
      <c r="D2359" s="9" t="s">
        <v>168</v>
      </c>
      <c r="E2359" s="9" t="s">
        <v>17</v>
      </c>
      <c r="F2359" s="9" t="s">
        <v>17</v>
      </c>
      <c r="G2359" s="9" t="s">
        <v>24</v>
      </c>
      <c r="H2359" s="9" t="s">
        <v>17</v>
      </c>
      <c r="I2359" s="9" t="s">
        <v>20</v>
      </c>
      <c r="J2359" s="10"/>
      <c r="K2359" s="7" t="s">
        <v>398</v>
      </c>
      <c r="L2359" s="7"/>
      <c r="M2359" s="7"/>
      <c r="N2359" s="7" t="str">
        <f>IFERROR(__xludf.DUMMYFUNCTION("""COMPUTED_VALUE"""),"Kevin Álvarez|46100")</f>
        <v>Kevin Álvarez|46100</v>
      </c>
      <c r="O2359" s="7">
        <f>IFERROR(__xludf.DUMMYFUNCTION("""COMPUTED_VALUE"""),5.0)</f>
        <v>5</v>
      </c>
    </row>
    <row r="2360" ht="22.5" hidden="1" customHeight="1">
      <c r="A2360" s="8">
        <v>45964.39174259259</v>
      </c>
      <c r="B2360" s="9">
        <v>45964.0</v>
      </c>
      <c r="C2360" s="9" t="s">
        <v>86</v>
      </c>
      <c r="D2360" s="9" t="s">
        <v>335</v>
      </c>
      <c r="E2360" s="9" t="s">
        <v>17</v>
      </c>
      <c r="F2360" s="9" t="s">
        <v>17</v>
      </c>
      <c r="G2360" s="9" t="s">
        <v>24</v>
      </c>
      <c r="H2360" s="9" t="s">
        <v>22</v>
      </c>
      <c r="I2360" s="9" t="s">
        <v>20</v>
      </c>
      <c r="J2360" s="10"/>
      <c r="K2360" s="7" t="s">
        <v>398</v>
      </c>
      <c r="L2360" s="7"/>
      <c r="M2360" s="7"/>
      <c r="N2360" s="7" t="str">
        <f>IFERROR(__xludf.DUMMYFUNCTION("""COMPUTED_VALUE"""),"Néstor Araujo|46102")</f>
        <v>Néstor Araujo|46102</v>
      </c>
      <c r="O2360" s="7">
        <f>IFERROR(__xludf.DUMMYFUNCTION("""COMPUTED_VALUE"""),7.0)</f>
        <v>7</v>
      </c>
    </row>
    <row r="2361" ht="22.5" hidden="1" customHeight="1">
      <c r="A2361" s="8">
        <v>45964.39932907408</v>
      </c>
      <c r="B2361" s="9">
        <v>45964.0</v>
      </c>
      <c r="C2361" s="9" t="s">
        <v>86</v>
      </c>
      <c r="D2361" s="9" t="s">
        <v>175</v>
      </c>
      <c r="E2361" s="9" t="s">
        <v>17</v>
      </c>
      <c r="F2361" s="9" t="s">
        <v>17</v>
      </c>
      <c r="G2361" s="9" t="s">
        <v>24</v>
      </c>
      <c r="H2361" s="9" t="s">
        <v>17</v>
      </c>
      <c r="I2361" s="9" t="s">
        <v>20</v>
      </c>
      <c r="J2361" s="10"/>
      <c r="K2361" s="7" t="s">
        <v>398</v>
      </c>
      <c r="L2361" s="7"/>
      <c r="M2361" s="7"/>
      <c r="N2361" s="7" t="str">
        <f>IFERROR(__xludf.DUMMYFUNCTION("""COMPUTED_VALUE"""),"Henry Martín|46102")</f>
        <v>Henry Martín|46102</v>
      </c>
      <c r="O2361" s="7">
        <f>IFERROR(__xludf.DUMMYFUNCTION("""COMPUTED_VALUE"""),5.0)</f>
        <v>5</v>
      </c>
    </row>
    <row r="2362" ht="22.5" hidden="1" customHeight="1">
      <c r="A2362" s="8">
        <v>45964.40012075231</v>
      </c>
      <c r="B2362" s="9">
        <v>45964.0</v>
      </c>
      <c r="C2362" s="9" t="s">
        <v>86</v>
      </c>
      <c r="D2362" s="9" t="s">
        <v>367</v>
      </c>
      <c r="E2362" s="9" t="s">
        <v>17</v>
      </c>
      <c r="F2362" s="9" t="s">
        <v>17</v>
      </c>
      <c r="G2362" s="9" t="s">
        <v>24</v>
      </c>
      <c r="H2362" s="9" t="s">
        <v>17</v>
      </c>
      <c r="I2362" s="9" t="s">
        <v>20</v>
      </c>
      <c r="J2362" s="10"/>
      <c r="K2362" s="7" t="s">
        <v>398</v>
      </c>
      <c r="L2362" s="7"/>
      <c r="M2362" s="7"/>
      <c r="N2362" s="7" t="str">
        <f>IFERROR(__xludf.DUMMYFUNCTION("""COMPUTED_VALUE"""),"Dagoberto Espinoza|46102")</f>
        <v>Dagoberto Espinoza|46102</v>
      </c>
      <c r="O2362" s="7">
        <f>IFERROR(__xludf.DUMMYFUNCTION("""COMPUTED_VALUE"""),7.0)</f>
        <v>7</v>
      </c>
    </row>
    <row r="2363" ht="22.5" hidden="1" customHeight="1">
      <c r="A2363" s="8">
        <v>45964.400345243055</v>
      </c>
      <c r="B2363" s="9">
        <v>45964.0</v>
      </c>
      <c r="C2363" s="9" t="s">
        <v>86</v>
      </c>
      <c r="D2363" s="9" t="s">
        <v>397</v>
      </c>
      <c r="E2363" s="9" t="s">
        <v>17</v>
      </c>
      <c r="F2363" s="9" t="s">
        <v>17</v>
      </c>
      <c r="G2363" s="9" t="s">
        <v>24</v>
      </c>
      <c r="H2363" s="9" t="s">
        <v>22</v>
      </c>
      <c r="I2363" s="9" t="s">
        <v>20</v>
      </c>
      <c r="J2363" s="10"/>
      <c r="K2363" s="1" t="s">
        <v>398</v>
      </c>
      <c r="L2363" s="7"/>
      <c r="M2363" s="7"/>
      <c r="N2363" s="7" t="str">
        <f>IFERROR(__xludf.DUMMYFUNCTION("""COMPUTED_VALUE"""),"Santiago Naveda|46107")</f>
        <v>Santiago Naveda|46107</v>
      </c>
      <c r="O2363" s="7">
        <f>IFERROR(__xludf.DUMMYFUNCTION("""COMPUTED_VALUE"""),7.0)</f>
        <v>7</v>
      </c>
    </row>
    <row r="2364" ht="22.5" hidden="1" customHeight="1">
      <c r="A2364" s="8">
        <v>45964.4123768287</v>
      </c>
      <c r="B2364" s="9">
        <v>45964.0</v>
      </c>
      <c r="C2364" s="9" t="s">
        <v>86</v>
      </c>
      <c r="D2364" s="9" t="s">
        <v>223</v>
      </c>
      <c r="E2364" s="9" t="s">
        <v>17</v>
      </c>
      <c r="F2364" s="9" t="s">
        <v>17</v>
      </c>
      <c r="G2364" s="9" t="s">
        <v>24</v>
      </c>
      <c r="H2364" s="9" t="s">
        <v>25</v>
      </c>
      <c r="I2364" s="9" t="s">
        <v>137</v>
      </c>
      <c r="J2364" s="10"/>
      <c r="K2364" s="7" t="s">
        <v>398</v>
      </c>
      <c r="L2364" s="7"/>
      <c r="M2364" s="7"/>
      <c r="N2364" s="7" t="str">
        <f>IFERROR(__xludf.DUMMYFUNCTION("""COMPUTED_VALUE"""),"Jonathan Dos Santos|46107")</f>
        <v>Jonathan Dos Santos|46107</v>
      </c>
      <c r="O2364" s="7">
        <f>IFERROR(__xludf.DUMMYFUNCTION("""COMPUTED_VALUE"""),5.0)</f>
        <v>5</v>
      </c>
    </row>
    <row r="2365" ht="22.5" hidden="1" customHeight="1">
      <c r="A2365" s="8">
        <v>45965.35299944444</v>
      </c>
      <c r="B2365" s="9">
        <v>45965.0</v>
      </c>
      <c r="C2365" s="9" t="s">
        <v>110</v>
      </c>
      <c r="D2365" s="9" t="s">
        <v>249</v>
      </c>
      <c r="E2365" s="9" t="s">
        <v>17</v>
      </c>
      <c r="F2365" s="9" t="s">
        <v>17</v>
      </c>
      <c r="G2365" s="9" t="s">
        <v>24</v>
      </c>
      <c r="H2365" s="9" t="s">
        <v>17</v>
      </c>
      <c r="I2365" s="9" t="s">
        <v>20</v>
      </c>
      <c r="J2365" s="10"/>
      <c r="K2365" s="7" t="s">
        <v>398</v>
      </c>
      <c r="L2365" s="7"/>
      <c r="M2365" s="7"/>
      <c r="N2365" s="7" t="str">
        <f>IFERROR(__xludf.DUMMYFUNCTION("""COMPUTED_VALUE"""),"Rodrigo Dourado|46107")</f>
        <v>Rodrigo Dourado|46107</v>
      </c>
      <c r="O2365" s="7">
        <f>IFERROR(__xludf.DUMMYFUNCTION("""COMPUTED_VALUE"""),5.0)</f>
        <v>5</v>
      </c>
    </row>
    <row r="2366" ht="22.5" hidden="1" customHeight="1">
      <c r="A2366" s="8">
        <v>45965.35441059028</v>
      </c>
      <c r="B2366" s="9">
        <v>45965.0</v>
      </c>
      <c r="C2366" s="9" t="s">
        <v>110</v>
      </c>
      <c r="D2366" s="9" t="s">
        <v>259</v>
      </c>
      <c r="E2366" s="9" t="s">
        <v>17</v>
      </c>
      <c r="F2366" s="9" t="s">
        <v>17</v>
      </c>
      <c r="G2366" s="9" t="s">
        <v>24</v>
      </c>
      <c r="H2366" s="9" t="s">
        <v>25</v>
      </c>
      <c r="I2366" s="9" t="s">
        <v>358</v>
      </c>
      <c r="J2366" s="10"/>
      <c r="K2366" s="7" t="s">
        <v>398</v>
      </c>
      <c r="L2366" s="7"/>
      <c r="M2366" s="7"/>
      <c r="N2366" s="7" t="str">
        <f>IFERROR(__xludf.DUMMYFUNCTION("""COMPUTED_VALUE"""),"Rodolfo Cota|46107")</f>
        <v>Rodolfo Cota|46107</v>
      </c>
      <c r="O2366" s="7">
        <f>IFERROR(__xludf.DUMMYFUNCTION("""COMPUTED_VALUE"""),2.0)</f>
        <v>2</v>
      </c>
    </row>
    <row r="2367" ht="22.5" hidden="1" customHeight="1">
      <c r="A2367" s="8">
        <v>45965.354595185185</v>
      </c>
      <c r="B2367" s="9">
        <v>45965.0</v>
      </c>
      <c r="C2367" s="9" t="s">
        <v>110</v>
      </c>
      <c r="D2367" s="9" t="s">
        <v>393</v>
      </c>
      <c r="E2367" s="9" t="s">
        <v>17</v>
      </c>
      <c r="F2367" s="9" t="s">
        <v>17</v>
      </c>
      <c r="G2367" s="9" t="s">
        <v>24</v>
      </c>
      <c r="H2367" s="9" t="s">
        <v>17</v>
      </c>
      <c r="I2367" s="9" t="s">
        <v>20</v>
      </c>
      <c r="J2367" s="10"/>
      <c r="K2367" s="7" t="s">
        <v>398</v>
      </c>
      <c r="L2367" s="7"/>
      <c r="M2367" s="7"/>
      <c r="N2367" s="7" t="str">
        <f>IFERROR(__xludf.DUMMYFUNCTION("""COMPUTED_VALUE"""),"Paolo Bedolla|46107")</f>
        <v>Paolo Bedolla|46107</v>
      </c>
      <c r="O2367" s="7">
        <f>IFERROR(__xludf.DUMMYFUNCTION("""COMPUTED_VALUE"""),5.0)</f>
        <v>5</v>
      </c>
    </row>
    <row r="2368" ht="22.5" hidden="1" customHeight="1">
      <c r="A2368" s="8">
        <v>45965.35588708334</v>
      </c>
      <c r="B2368" s="9">
        <v>45965.0</v>
      </c>
      <c r="C2368" s="9" t="s">
        <v>110</v>
      </c>
      <c r="D2368" s="9" t="s">
        <v>177</v>
      </c>
      <c r="E2368" s="9" t="s">
        <v>17</v>
      </c>
      <c r="F2368" s="9" t="s">
        <v>39</v>
      </c>
      <c r="G2368" s="9" t="s">
        <v>24</v>
      </c>
      <c r="H2368" s="9" t="s">
        <v>22</v>
      </c>
      <c r="I2368" s="9" t="s">
        <v>20</v>
      </c>
      <c r="J2368" s="10"/>
      <c r="K2368" s="7" t="s">
        <v>398</v>
      </c>
      <c r="L2368" s="7"/>
      <c r="M2368" s="7"/>
      <c r="N2368" s="7" t="str">
        <f>IFERROR(__xludf.DUMMYFUNCTION("""COMPUTED_VALUE"""),"Cristian Borja|46107")</f>
        <v>Cristian Borja|46107</v>
      </c>
      <c r="O2368" s="7">
        <f>IFERROR(__xludf.DUMMYFUNCTION("""COMPUTED_VALUE"""),3.0)</f>
        <v>3</v>
      </c>
    </row>
    <row r="2369" ht="22.5" hidden="1" customHeight="1">
      <c r="A2369" s="8">
        <v>45965.357469490744</v>
      </c>
      <c r="B2369" s="9">
        <v>45965.0</v>
      </c>
      <c r="C2369" s="9" t="s">
        <v>110</v>
      </c>
      <c r="D2369" s="9" t="s">
        <v>357</v>
      </c>
      <c r="E2369" s="9" t="s">
        <v>17</v>
      </c>
      <c r="F2369" s="9" t="s">
        <v>17</v>
      </c>
      <c r="G2369" s="9" t="s">
        <v>24</v>
      </c>
      <c r="H2369" s="9" t="s">
        <v>17</v>
      </c>
      <c r="I2369" s="9" t="s">
        <v>20</v>
      </c>
      <c r="J2369" s="10"/>
      <c r="K2369" s="7" t="s">
        <v>398</v>
      </c>
      <c r="L2369" s="7"/>
      <c r="M2369" s="7"/>
      <c r="N2369" s="7" t="str">
        <f>IFERROR(__xludf.DUMMYFUNCTION("""COMPUTED_VALUE"""),"Raphael Veiga|46107")</f>
        <v>Raphael Veiga|46107</v>
      </c>
      <c r="O2369" s="7">
        <f>IFERROR(__xludf.DUMMYFUNCTION("""COMPUTED_VALUE"""),5.0)</f>
        <v>5</v>
      </c>
    </row>
    <row r="2370" ht="22.5" hidden="1" customHeight="1">
      <c r="A2370" s="8">
        <v>45965.3577646875</v>
      </c>
      <c r="B2370" s="9">
        <v>45965.0</v>
      </c>
      <c r="C2370" s="9" t="s">
        <v>110</v>
      </c>
      <c r="D2370" s="9" t="s">
        <v>394</v>
      </c>
      <c r="E2370" s="9" t="s">
        <v>17</v>
      </c>
      <c r="F2370" s="9" t="s">
        <v>17</v>
      </c>
      <c r="G2370" s="9" t="s">
        <v>24</v>
      </c>
      <c r="H2370" s="9" t="s">
        <v>17</v>
      </c>
      <c r="I2370" s="9" t="s">
        <v>20</v>
      </c>
      <c r="J2370" s="10"/>
      <c r="K2370" s="7" t="s">
        <v>398</v>
      </c>
      <c r="L2370" s="7"/>
      <c r="M2370" s="7"/>
      <c r="N2370" s="7" t="str">
        <f>IFERROR(__xludf.DUMMYFUNCTION("""COMPUTED_VALUE"""),"Isaías Violante|46107")</f>
        <v>Isaías Violante|46107</v>
      </c>
      <c r="O2370" s="7">
        <f>IFERROR(__xludf.DUMMYFUNCTION("""COMPUTED_VALUE"""),4.0)</f>
        <v>4</v>
      </c>
    </row>
    <row r="2371" ht="22.5" hidden="1" customHeight="1">
      <c r="A2371" s="8">
        <v>45965.36012496528</v>
      </c>
      <c r="B2371" s="9">
        <v>45965.0</v>
      </c>
      <c r="C2371" s="9" t="s">
        <v>110</v>
      </c>
      <c r="D2371" s="9" t="s">
        <v>171</v>
      </c>
      <c r="E2371" s="9" t="s">
        <v>17</v>
      </c>
      <c r="F2371" s="9" t="s">
        <v>17</v>
      </c>
      <c r="G2371" s="9" t="s">
        <v>24</v>
      </c>
      <c r="H2371" s="9" t="s">
        <v>25</v>
      </c>
      <c r="I2371" s="9" t="s">
        <v>218</v>
      </c>
      <c r="J2371" s="10"/>
      <c r="K2371" s="7" t="s">
        <v>398</v>
      </c>
      <c r="L2371" s="7"/>
      <c r="M2371" s="7"/>
      <c r="N2371" s="7" t="str">
        <f>IFERROR(__xludf.DUMMYFUNCTION("""COMPUTED_VALUE"""),"Néstor Araujo|46107")</f>
        <v>Néstor Araujo|46107</v>
      </c>
      <c r="O2371" s="7">
        <f>IFERROR(__xludf.DUMMYFUNCTION("""COMPUTED_VALUE"""),6.0)</f>
        <v>6</v>
      </c>
    </row>
    <row r="2372" ht="22.5" hidden="1" customHeight="1">
      <c r="A2372" s="8">
        <v>45965.360776747686</v>
      </c>
      <c r="B2372" s="9">
        <v>45965.0</v>
      </c>
      <c r="C2372" s="9" t="s">
        <v>110</v>
      </c>
      <c r="D2372" s="9" t="s">
        <v>395</v>
      </c>
      <c r="E2372" s="9" t="s">
        <v>17</v>
      </c>
      <c r="F2372" s="9" t="s">
        <v>17</v>
      </c>
      <c r="G2372" s="9" t="s">
        <v>24</v>
      </c>
      <c r="H2372" s="9" t="s">
        <v>22</v>
      </c>
      <c r="I2372" s="9" t="s">
        <v>20</v>
      </c>
      <c r="J2372" s="10"/>
      <c r="K2372" s="7" t="s">
        <v>398</v>
      </c>
      <c r="L2372" s="7"/>
      <c r="M2372" s="7"/>
      <c r="N2372" s="7" t="str">
        <f>IFERROR(__xludf.DUMMYFUNCTION("""COMPUTED_VALUE"""),"Thiago Espinosa|46107")</f>
        <v>Thiago Espinosa|46107</v>
      </c>
      <c r="O2372" s="7">
        <f>IFERROR(__xludf.DUMMYFUNCTION("""COMPUTED_VALUE"""),6.0)</f>
        <v>6</v>
      </c>
    </row>
    <row r="2373" ht="22.5" hidden="1" customHeight="1">
      <c r="A2373" s="8">
        <v>45965.36316502315</v>
      </c>
      <c r="B2373" s="9">
        <v>45965.0</v>
      </c>
      <c r="C2373" s="9" t="s">
        <v>110</v>
      </c>
      <c r="D2373" s="9" t="s">
        <v>257</v>
      </c>
      <c r="E2373" s="9" t="s">
        <v>17</v>
      </c>
      <c r="F2373" s="9" t="s">
        <v>17</v>
      </c>
      <c r="G2373" s="9" t="s">
        <v>24</v>
      </c>
      <c r="H2373" s="9" t="s">
        <v>17</v>
      </c>
      <c r="I2373" s="9" t="s">
        <v>20</v>
      </c>
      <c r="J2373" s="10"/>
      <c r="K2373" s="7" t="s">
        <v>398</v>
      </c>
      <c r="L2373" s="7"/>
      <c r="M2373" s="7"/>
      <c r="N2373" s="7" t="str">
        <f>IFERROR(__xludf.DUMMYFUNCTION("""COMPUTED_VALUE"""),"Kevin Álvarez|46107")</f>
        <v>Kevin Álvarez|46107</v>
      </c>
      <c r="O2373" s="7">
        <f>IFERROR(__xludf.DUMMYFUNCTION("""COMPUTED_VALUE"""),5.0)</f>
        <v>5</v>
      </c>
    </row>
    <row r="2374" ht="22.5" hidden="1" customHeight="1">
      <c r="A2374" s="8">
        <v>45965.36566008102</v>
      </c>
      <c r="B2374" s="9">
        <v>45965.0</v>
      </c>
      <c r="C2374" s="9" t="s">
        <v>110</v>
      </c>
      <c r="D2374" s="9" t="s">
        <v>174</v>
      </c>
      <c r="E2374" s="9" t="s">
        <v>17</v>
      </c>
      <c r="F2374" s="9" t="s">
        <v>17</v>
      </c>
      <c r="G2374" s="9" t="s">
        <v>24</v>
      </c>
      <c r="H2374" s="9" t="s">
        <v>17</v>
      </c>
      <c r="I2374" s="9" t="s">
        <v>20</v>
      </c>
      <c r="J2374" s="10"/>
      <c r="K2374" s="7" t="s">
        <v>398</v>
      </c>
      <c r="L2374" s="7"/>
      <c r="M2374" s="7"/>
      <c r="N2374" s="7" t="str">
        <f>IFERROR(__xludf.DUMMYFUNCTION("""COMPUTED_VALUE"""),"José Raúl Zúñiga|46107")</f>
        <v>José Raúl Zúñiga|46107</v>
      </c>
      <c r="O2374" s="7">
        <f>IFERROR(__xludf.DUMMYFUNCTION("""COMPUTED_VALUE"""),3.0)</f>
        <v>3</v>
      </c>
    </row>
    <row r="2375" ht="22.5" hidden="1" customHeight="1">
      <c r="A2375" s="8">
        <v>45965.37161753472</v>
      </c>
      <c r="B2375" s="9">
        <v>45965.0</v>
      </c>
      <c r="C2375" s="9" t="s">
        <v>110</v>
      </c>
      <c r="D2375" s="9" t="s">
        <v>178</v>
      </c>
      <c r="E2375" s="9" t="s">
        <v>17</v>
      </c>
      <c r="F2375" s="9" t="s">
        <v>17</v>
      </c>
      <c r="G2375" s="9" t="s">
        <v>24</v>
      </c>
      <c r="H2375" s="9" t="s">
        <v>17</v>
      </c>
      <c r="I2375" s="9" t="s">
        <v>20</v>
      </c>
      <c r="J2375" s="10"/>
      <c r="K2375" s="7" t="s">
        <v>398</v>
      </c>
      <c r="L2375" s="7"/>
      <c r="M2375" s="7"/>
      <c r="N2375" s="7" t="str">
        <f>IFERROR(__xludf.DUMMYFUNCTION("""COMPUTED_VALUE"""),"Patricio Salas|46107")</f>
        <v>Patricio Salas|46107</v>
      </c>
      <c r="O2375" s="7">
        <f>IFERROR(__xludf.DUMMYFUNCTION("""COMPUTED_VALUE"""),5.0)</f>
        <v>5</v>
      </c>
    </row>
    <row r="2376" ht="22.5" hidden="1" customHeight="1">
      <c r="A2376" s="8">
        <v>45965.37821322917</v>
      </c>
      <c r="B2376" s="9">
        <v>45965.0</v>
      </c>
      <c r="C2376" s="9" t="s">
        <v>110</v>
      </c>
      <c r="D2376" s="9" t="s">
        <v>175</v>
      </c>
      <c r="E2376" s="9" t="s">
        <v>17</v>
      </c>
      <c r="F2376" s="9" t="s">
        <v>17</v>
      </c>
      <c r="G2376" s="9" t="s">
        <v>24</v>
      </c>
      <c r="H2376" s="9" t="s">
        <v>17</v>
      </c>
      <c r="I2376" s="9" t="s">
        <v>20</v>
      </c>
      <c r="J2376" s="10"/>
      <c r="K2376" s="7" t="s">
        <v>398</v>
      </c>
      <c r="L2376" s="7"/>
      <c r="M2376" s="7"/>
      <c r="N2376" s="7" t="str">
        <f>IFERROR(__xludf.DUMMYFUNCTION("""COMPUTED_VALUE"""),"Fernando Tapia|46107")</f>
        <v>Fernando Tapia|46107</v>
      </c>
      <c r="O2376" s="7">
        <f>IFERROR(__xludf.DUMMYFUNCTION("""COMPUTED_VALUE"""),4.0)</f>
        <v>4</v>
      </c>
    </row>
    <row r="2377" ht="22.5" hidden="1" customHeight="1">
      <c r="A2377" s="8">
        <v>45965.389150532406</v>
      </c>
      <c r="B2377" s="9">
        <v>45965.0</v>
      </c>
      <c r="C2377" s="9" t="s">
        <v>110</v>
      </c>
      <c r="D2377" s="9" t="s">
        <v>361</v>
      </c>
      <c r="E2377" s="9" t="s">
        <v>17</v>
      </c>
      <c r="F2377" s="9" t="s">
        <v>17</v>
      </c>
      <c r="G2377" s="9" t="s">
        <v>24</v>
      </c>
      <c r="H2377" s="9" t="s">
        <v>22</v>
      </c>
      <c r="I2377" s="9" t="s">
        <v>20</v>
      </c>
      <c r="J2377" s="10"/>
      <c r="K2377" s="7" t="s">
        <v>398</v>
      </c>
      <c r="L2377" s="7"/>
      <c r="M2377" s="7"/>
      <c r="N2377" s="7" t="str">
        <f>IFERROR(__xludf.DUMMYFUNCTION("""COMPUTED_VALUE"""),"Aaron Mejia|46107")</f>
        <v>Aaron Mejia|46107</v>
      </c>
      <c r="O2377" s="7">
        <f>IFERROR(__xludf.DUMMYFUNCTION("""COMPUTED_VALUE"""),4.0)</f>
        <v>4</v>
      </c>
    </row>
    <row r="2378" ht="22.5" hidden="1" customHeight="1">
      <c r="A2378" s="8">
        <v>45965.39184217593</v>
      </c>
      <c r="B2378" s="9">
        <v>45965.0</v>
      </c>
      <c r="C2378" s="9" t="s">
        <v>110</v>
      </c>
      <c r="D2378" s="9" t="s">
        <v>350</v>
      </c>
      <c r="E2378" s="9" t="s">
        <v>17</v>
      </c>
      <c r="F2378" s="9" t="s">
        <v>17</v>
      </c>
      <c r="G2378" s="9" t="s">
        <v>24</v>
      </c>
      <c r="H2378" s="9" t="s">
        <v>22</v>
      </c>
      <c r="I2378" s="9" t="s">
        <v>20</v>
      </c>
      <c r="J2378" s="10"/>
      <c r="K2378" s="7" t="s">
        <v>398</v>
      </c>
      <c r="L2378" s="7"/>
      <c r="M2378" s="7"/>
      <c r="N2378" s="7" t="str">
        <f>IFERROR(__xludf.DUMMYFUNCTION("""COMPUTED_VALUE"""),"Alexis Gutiérrez|46107")</f>
        <v>Alexis Gutiérrez|46107</v>
      </c>
      <c r="O2378" s="7">
        <f>IFERROR(__xludf.DUMMYFUNCTION("""COMPUTED_VALUE"""),5.0)</f>
        <v>5</v>
      </c>
    </row>
    <row r="2379" ht="22.5" hidden="1" customHeight="1">
      <c r="A2379" s="8">
        <v>45965.40109734954</v>
      </c>
      <c r="B2379" s="9">
        <v>45965.0</v>
      </c>
      <c r="C2379" s="9" t="s">
        <v>110</v>
      </c>
      <c r="D2379" s="9" t="s">
        <v>168</v>
      </c>
      <c r="E2379" s="9" t="s">
        <v>17</v>
      </c>
      <c r="F2379" s="9" t="s">
        <v>17</v>
      </c>
      <c r="G2379" s="9" t="s">
        <v>24</v>
      </c>
      <c r="H2379" s="9" t="s">
        <v>17</v>
      </c>
      <c r="I2379" s="9" t="s">
        <v>20</v>
      </c>
      <c r="J2379" s="10"/>
      <c r="K2379" s="7" t="s">
        <v>398</v>
      </c>
      <c r="L2379" s="7"/>
      <c r="M2379" s="7"/>
      <c r="N2379" s="7" t="str">
        <f>IFERROR(__xludf.DUMMYFUNCTION("""COMPUTED_VALUE"""),"Miguel Vázquez|46107")</f>
        <v>Miguel Vázquez|46107</v>
      </c>
      <c r="O2379" s="7">
        <f>IFERROR(__xludf.DUMMYFUNCTION("""COMPUTED_VALUE"""),4.0)</f>
        <v>4</v>
      </c>
    </row>
    <row r="2380" ht="22.5" hidden="1" customHeight="1">
      <c r="A2380" s="8">
        <v>45965.40127700231</v>
      </c>
      <c r="B2380" s="9">
        <v>45965.0</v>
      </c>
      <c r="C2380" s="9" t="s">
        <v>110</v>
      </c>
      <c r="D2380" s="9" t="s">
        <v>210</v>
      </c>
      <c r="E2380" s="9" t="s">
        <v>17</v>
      </c>
      <c r="F2380" s="9" t="s">
        <v>17</v>
      </c>
      <c r="G2380" s="9" t="s">
        <v>24</v>
      </c>
      <c r="H2380" s="9" t="s">
        <v>17</v>
      </c>
      <c r="I2380" s="9" t="s">
        <v>20</v>
      </c>
      <c r="J2380" s="10"/>
      <c r="K2380" s="7" t="s">
        <v>398</v>
      </c>
      <c r="L2380" s="7"/>
      <c r="M2380" s="7"/>
      <c r="N2380" s="7" t="str">
        <f>IFERROR(__xludf.DUMMYFUNCTION("""COMPUTED_VALUE"""),"Alan Cervantes|46107")</f>
        <v>Alan Cervantes|46107</v>
      </c>
      <c r="O2380" s="7">
        <f>IFERROR(__xludf.DUMMYFUNCTION("""COMPUTED_VALUE"""),5.0)</f>
        <v>5</v>
      </c>
    </row>
    <row r="2381" ht="22.5" hidden="1" customHeight="1">
      <c r="A2381" s="8">
        <v>45965.40151548611</v>
      </c>
      <c r="B2381" s="9">
        <v>45965.0</v>
      </c>
      <c r="C2381" s="9" t="s">
        <v>110</v>
      </c>
      <c r="D2381" s="9" t="s">
        <v>247</v>
      </c>
      <c r="E2381" s="9" t="s">
        <v>17</v>
      </c>
      <c r="F2381" s="9" t="s">
        <v>17</v>
      </c>
      <c r="G2381" s="9" t="s">
        <v>24</v>
      </c>
      <c r="H2381" s="9" t="s">
        <v>25</v>
      </c>
      <c r="I2381" s="9" t="s">
        <v>240</v>
      </c>
      <c r="J2381" s="10"/>
      <c r="K2381" s="7" t="s">
        <v>398</v>
      </c>
      <c r="L2381" s="7"/>
      <c r="M2381" s="7"/>
      <c r="N2381" s="7" t="str">
        <f>IFERROR(__xludf.DUMMYFUNCTION("""COMPUTED_VALUE"""),"Ramón Juárez|46107")</f>
        <v>Ramón Juárez|46107</v>
      </c>
      <c r="O2381" s="7">
        <f>IFERROR(__xludf.DUMMYFUNCTION("""COMPUTED_VALUE"""),7.0)</f>
        <v>7</v>
      </c>
    </row>
    <row r="2382" ht="22.5" hidden="1" customHeight="1">
      <c r="A2382" s="8">
        <v>45966.342014560185</v>
      </c>
      <c r="B2382" s="9">
        <v>45966.0</v>
      </c>
      <c r="C2382" s="9" t="s">
        <v>15</v>
      </c>
      <c r="D2382" s="9" t="s">
        <v>249</v>
      </c>
      <c r="E2382" s="9" t="s">
        <v>17</v>
      </c>
      <c r="F2382" s="9" t="s">
        <v>17</v>
      </c>
      <c r="G2382" s="9" t="s">
        <v>24</v>
      </c>
      <c r="H2382" s="9" t="s">
        <v>17</v>
      </c>
      <c r="I2382" s="9" t="s">
        <v>20</v>
      </c>
      <c r="J2382" s="10"/>
      <c r="K2382" s="7" t="s">
        <v>398</v>
      </c>
      <c r="L2382" s="7"/>
      <c r="M2382" s="7"/>
      <c r="N2382" s="7" t="str">
        <f>IFERROR(__xludf.DUMMYFUNCTION("""COMPUTED_VALUE"""),"Isaías Violante|46111")</f>
        <v>Isaías Violante|46111</v>
      </c>
      <c r="O2382" s="7">
        <f>IFERROR(__xludf.DUMMYFUNCTION("""COMPUTED_VALUE"""),4.0)</f>
        <v>4</v>
      </c>
    </row>
    <row r="2383" ht="22.5" hidden="1" customHeight="1">
      <c r="A2383" s="8">
        <v>45966.35233184027</v>
      </c>
      <c r="B2383" s="9">
        <v>45966.0</v>
      </c>
      <c r="C2383" s="9" t="s">
        <v>15</v>
      </c>
      <c r="D2383" s="9" t="s">
        <v>259</v>
      </c>
      <c r="E2383" s="9" t="s">
        <v>17</v>
      </c>
      <c r="F2383" s="9" t="s">
        <v>18</v>
      </c>
      <c r="G2383" s="9" t="s">
        <v>24</v>
      </c>
      <c r="H2383" s="9" t="s">
        <v>25</v>
      </c>
      <c r="I2383" s="9" t="s">
        <v>37</v>
      </c>
      <c r="J2383" s="10"/>
      <c r="K2383" s="7" t="s">
        <v>398</v>
      </c>
      <c r="L2383" s="7"/>
      <c r="M2383" s="7"/>
      <c r="N2383" s="7" t="str">
        <f>IFERROR(__xludf.DUMMYFUNCTION("""COMPUTED_VALUE"""),"Miguel Vázquez|46111")</f>
        <v>Miguel Vázquez|46111</v>
      </c>
      <c r="O2383" s="7">
        <f>IFERROR(__xludf.DUMMYFUNCTION("""COMPUTED_VALUE"""),3.0)</f>
        <v>3</v>
      </c>
    </row>
    <row r="2384" ht="22.5" hidden="1" customHeight="1">
      <c r="A2384" s="8">
        <v>45966.35266907407</v>
      </c>
      <c r="B2384" s="9">
        <v>45966.0</v>
      </c>
      <c r="C2384" s="9" t="s">
        <v>15</v>
      </c>
      <c r="D2384" s="9" t="s">
        <v>177</v>
      </c>
      <c r="E2384" s="9" t="s">
        <v>17</v>
      </c>
      <c r="F2384" s="9" t="s">
        <v>17</v>
      </c>
      <c r="G2384" s="9" t="s">
        <v>24</v>
      </c>
      <c r="H2384" s="9" t="s">
        <v>22</v>
      </c>
      <c r="I2384" s="9" t="s">
        <v>20</v>
      </c>
      <c r="J2384" s="10"/>
      <c r="K2384" s="7" t="s">
        <v>398</v>
      </c>
      <c r="L2384" s="7"/>
      <c r="M2384" s="7"/>
      <c r="N2384" s="7" t="str">
        <f>IFERROR(__xludf.DUMMYFUNCTION("""COMPUTED_VALUE"""),"Vinícius Lima|46111")</f>
        <v>Vinícius Lima|46111</v>
      </c>
      <c r="O2384" s="7">
        <f>IFERROR(__xludf.DUMMYFUNCTION("""COMPUTED_VALUE"""),2.0)</f>
        <v>2</v>
      </c>
    </row>
    <row r="2385" ht="22.5" hidden="1" customHeight="1">
      <c r="A2385" s="8">
        <v>45966.35389994213</v>
      </c>
      <c r="B2385" s="9">
        <v>45966.0</v>
      </c>
      <c r="C2385" s="9" t="s">
        <v>15</v>
      </c>
      <c r="D2385" s="9" t="s">
        <v>357</v>
      </c>
      <c r="E2385" s="9" t="s">
        <v>17</v>
      </c>
      <c r="F2385" s="9" t="s">
        <v>17</v>
      </c>
      <c r="G2385" s="9" t="s">
        <v>24</v>
      </c>
      <c r="H2385" s="9" t="s">
        <v>17</v>
      </c>
      <c r="I2385" s="9" t="s">
        <v>20</v>
      </c>
      <c r="J2385" s="10"/>
      <c r="K2385" s="7" t="s">
        <v>398</v>
      </c>
      <c r="L2385" s="7"/>
      <c r="M2385" s="7"/>
      <c r="N2385" s="7" t="str">
        <f>IFERROR(__xludf.DUMMYFUNCTION("""COMPUTED_VALUE"""),"Henry Martín|46111")</f>
        <v>Henry Martín|46111</v>
      </c>
      <c r="O2385" s="7">
        <f>IFERROR(__xludf.DUMMYFUNCTION("""COMPUTED_VALUE"""),4.0)</f>
        <v>4</v>
      </c>
    </row>
    <row r="2386" ht="22.5" hidden="1" customHeight="1">
      <c r="A2386" s="8">
        <v>45966.35695739584</v>
      </c>
      <c r="B2386" s="9">
        <v>45966.0</v>
      </c>
      <c r="C2386" s="9" t="s">
        <v>15</v>
      </c>
      <c r="D2386" s="9" t="s">
        <v>393</v>
      </c>
      <c r="E2386" s="9" t="s">
        <v>17</v>
      </c>
      <c r="F2386" s="9" t="s">
        <v>17</v>
      </c>
      <c r="G2386" s="9" t="s">
        <v>24</v>
      </c>
      <c r="H2386" s="9" t="s">
        <v>17</v>
      </c>
      <c r="I2386" s="9" t="s">
        <v>89</v>
      </c>
      <c r="J2386" s="10"/>
      <c r="K2386" s="7" t="s">
        <v>398</v>
      </c>
      <c r="L2386" s="7"/>
      <c r="M2386" s="7"/>
      <c r="N2386" s="7" t="str">
        <f>IFERROR(__xludf.DUMMYFUNCTION("""COMPUTED_VALUE"""),"Thiago Espinosa|46111")</f>
        <v>Thiago Espinosa|46111</v>
      </c>
      <c r="O2386" s="7">
        <f>IFERROR(__xludf.DUMMYFUNCTION("""COMPUTED_VALUE"""),5.0)</f>
        <v>5</v>
      </c>
    </row>
    <row r="2387" ht="22.5" hidden="1" customHeight="1">
      <c r="A2387" s="8">
        <v>45966.35814534722</v>
      </c>
      <c r="B2387" s="9">
        <v>45966.0</v>
      </c>
      <c r="C2387" s="9" t="s">
        <v>15</v>
      </c>
      <c r="D2387" s="9" t="s">
        <v>257</v>
      </c>
      <c r="E2387" s="9" t="s">
        <v>17</v>
      </c>
      <c r="F2387" s="9" t="s">
        <v>17</v>
      </c>
      <c r="G2387" s="9" t="s">
        <v>24</v>
      </c>
      <c r="H2387" s="9" t="s">
        <v>17</v>
      </c>
      <c r="I2387" s="9" t="s">
        <v>20</v>
      </c>
      <c r="J2387" s="10"/>
      <c r="K2387" s="7" t="s">
        <v>398</v>
      </c>
      <c r="L2387" s="7"/>
      <c r="M2387" s="7"/>
      <c r="N2387" s="7" t="str">
        <f>IFERROR(__xludf.DUMMYFUNCTION("""COMPUTED_VALUE"""),"Kevin Álvarez|46111")</f>
        <v>Kevin Álvarez|46111</v>
      </c>
      <c r="O2387" s="7">
        <f>IFERROR(__xludf.DUMMYFUNCTION("""COMPUTED_VALUE"""),4.0)</f>
        <v>4</v>
      </c>
    </row>
    <row r="2388" ht="22.5" hidden="1" customHeight="1">
      <c r="A2388" s="8">
        <v>45966.369080856486</v>
      </c>
      <c r="B2388" s="9">
        <v>45966.0</v>
      </c>
      <c r="C2388" s="9" t="s">
        <v>15</v>
      </c>
      <c r="D2388" s="9" t="s">
        <v>171</v>
      </c>
      <c r="E2388" s="9" t="s">
        <v>17</v>
      </c>
      <c r="F2388" s="9" t="s">
        <v>17</v>
      </c>
      <c r="G2388" s="9" t="s">
        <v>24</v>
      </c>
      <c r="H2388" s="9" t="s">
        <v>25</v>
      </c>
      <c r="I2388" s="9" t="s">
        <v>218</v>
      </c>
      <c r="J2388" s="10"/>
      <c r="K2388" s="7" t="s">
        <v>398</v>
      </c>
      <c r="L2388" s="7"/>
      <c r="M2388" s="7"/>
      <c r="N2388" s="7" t="str">
        <f>IFERROR(__xludf.DUMMYFUNCTION("""COMPUTED_VALUE"""),"Fernando Tapia|46111")</f>
        <v>Fernando Tapia|46111</v>
      </c>
      <c r="O2388" s="7">
        <f>IFERROR(__xludf.DUMMYFUNCTION("""COMPUTED_VALUE"""),5.0)</f>
        <v>5</v>
      </c>
    </row>
    <row r="2389" ht="22.5" hidden="1" customHeight="1">
      <c r="A2389" s="8">
        <v>45966.370306157405</v>
      </c>
      <c r="B2389" s="9">
        <v>45966.0</v>
      </c>
      <c r="C2389" s="9" t="s">
        <v>15</v>
      </c>
      <c r="D2389" s="9" t="s">
        <v>395</v>
      </c>
      <c r="E2389" s="9" t="s">
        <v>17</v>
      </c>
      <c r="F2389" s="9" t="s">
        <v>17</v>
      </c>
      <c r="G2389" s="9" t="s">
        <v>24</v>
      </c>
      <c r="H2389" s="9" t="s">
        <v>22</v>
      </c>
      <c r="I2389" s="9" t="s">
        <v>20</v>
      </c>
      <c r="J2389" s="10"/>
      <c r="K2389" s="7" t="s">
        <v>398</v>
      </c>
      <c r="L2389" s="7"/>
      <c r="M2389" s="7"/>
      <c r="N2389" s="7" t="str">
        <f>IFERROR(__xludf.DUMMYFUNCTION("""COMPUTED_VALUE"""),"Raphael Veiga|46111")</f>
        <v>Raphael Veiga|46111</v>
      </c>
      <c r="O2389" s="7">
        <f>IFERROR(__xludf.DUMMYFUNCTION("""COMPUTED_VALUE"""),4.0)</f>
        <v>4</v>
      </c>
    </row>
    <row r="2390" ht="22.5" hidden="1" customHeight="1">
      <c r="A2390" s="8">
        <v>45966.37044907408</v>
      </c>
      <c r="B2390" s="9">
        <v>45966.0</v>
      </c>
      <c r="C2390" s="9" t="s">
        <v>15</v>
      </c>
      <c r="D2390" s="9" t="s">
        <v>394</v>
      </c>
      <c r="E2390" s="9" t="s">
        <v>17</v>
      </c>
      <c r="F2390" s="9" t="s">
        <v>17</v>
      </c>
      <c r="G2390" s="9" t="s">
        <v>24</v>
      </c>
      <c r="H2390" s="9" t="s">
        <v>17</v>
      </c>
      <c r="I2390" s="9" t="s">
        <v>20</v>
      </c>
      <c r="J2390" s="10"/>
      <c r="K2390" s="7" t="s">
        <v>398</v>
      </c>
      <c r="L2390" s="7"/>
      <c r="M2390" s="7"/>
      <c r="N2390" s="7" t="str">
        <f>IFERROR(__xludf.DUMMYFUNCTION("""COMPUTED_VALUE"""),"Patricio Salas|46111")</f>
        <v>Patricio Salas|46111</v>
      </c>
      <c r="O2390" s="7">
        <f>IFERROR(__xludf.DUMMYFUNCTION("""COMPUTED_VALUE"""),4.0)</f>
        <v>4</v>
      </c>
    </row>
    <row r="2391" ht="22.5" hidden="1" customHeight="1">
      <c r="A2391" s="8">
        <v>45966.37111207176</v>
      </c>
      <c r="B2391" s="9">
        <v>45966.0</v>
      </c>
      <c r="C2391" s="9" t="s">
        <v>15</v>
      </c>
      <c r="D2391" s="9" t="s">
        <v>258</v>
      </c>
      <c r="E2391" s="9" t="s">
        <v>17</v>
      </c>
      <c r="F2391" s="9" t="s">
        <v>17</v>
      </c>
      <c r="G2391" s="9" t="s">
        <v>24</v>
      </c>
      <c r="H2391" s="9" t="s">
        <v>22</v>
      </c>
      <c r="I2391" s="9" t="s">
        <v>20</v>
      </c>
      <c r="J2391" s="10"/>
      <c r="K2391" s="7" t="s">
        <v>398</v>
      </c>
      <c r="L2391" s="7"/>
      <c r="M2391" s="7"/>
      <c r="N2391" s="7" t="str">
        <f>IFERROR(__xludf.DUMMYFUNCTION("""COMPUTED_VALUE"""),"Rodolfo Cota|46111")</f>
        <v>Rodolfo Cota|46111</v>
      </c>
      <c r="O2391" s="7">
        <f>IFERROR(__xludf.DUMMYFUNCTION("""COMPUTED_VALUE"""),2.0)</f>
        <v>2</v>
      </c>
    </row>
    <row r="2392" ht="22.5" hidden="1" customHeight="1">
      <c r="A2392" s="8">
        <v>45966.373446770835</v>
      </c>
      <c r="B2392" s="9">
        <v>45966.0</v>
      </c>
      <c r="C2392" s="9" t="s">
        <v>15</v>
      </c>
      <c r="D2392" s="9" t="s">
        <v>223</v>
      </c>
      <c r="E2392" s="9" t="s">
        <v>17</v>
      </c>
      <c r="F2392" s="9" t="s">
        <v>17</v>
      </c>
      <c r="G2392" s="9" t="s">
        <v>24</v>
      </c>
      <c r="H2392" s="9" t="s">
        <v>17</v>
      </c>
      <c r="I2392" s="9" t="s">
        <v>20</v>
      </c>
      <c r="J2392" s="10"/>
      <c r="K2392" s="7" t="s">
        <v>398</v>
      </c>
      <c r="L2392" s="7"/>
      <c r="M2392" s="7"/>
      <c r="N2392" s="7" t="str">
        <f>IFERROR(__xludf.DUMMYFUNCTION("""COMPUTED_VALUE"""),"Néstor Araujo|46111")</f>
        <v>Néstor Araujo|46111</v>
      </c>
      <c r="O2392" s="7">
        <f>IFERROR(__xludf.DUMMYFUNCTION("""COMPUTED_VALUE"""),6.0)</f>
        <v>6</v>
      </c>
    </row>
    <row r="2393" ht="22.5" hidden="1" customHeight="1">
      <c r="A2393" s="8">
        <v>45966.37366357639</v>
      </c>
      <c r="B2393" s="9">
        <v>45966.0</v>
      </c>
      <c r="C2393" s="9" t="s">
        <v>15</v>
      </c>
      <c r="D2393" s="9" t="s">
        <v>350</v>
      </c>
      <c r="E2393" s="9" t="s">
        <v>17</v>
      </c>
      <c r="F2393" s="9" t="s">
        <v>17</v>
      </c>
      <c r="G2393" s="9" t="s">
        <v>24</v>
      </c>
      <c r="H2393" s="9" t="s">
        <v>22</v>
      </c>
      <c r="I2393" s="9" t="s">
        <v>20</v>
      </c>
      <c r="J2393" s="10"/>
      <c r="K2393" s="7" t="s">
        <v>398</v>
      </c>
      <c r="L2393" s="7"/>
      <c r="M2393" s="7"/>
      <c r="N2393" s="7" t="str">
        <f>IFERROR(__xludf.DUMMYFUNCTION("""COMPUTED_VALUE"""),"Aaron Mejia|46111")</f>
        <v>Aaron Mejia|46111</v>
      </c>
      <c r="O2393" s="7">
        <f>IFERROR(__xludf.DUMMYFUNCTION("""COMPUTED_VALUE"""),3.0)</f>
        <v>3</v>
      </c>
    </row>
    <row r="2394" ht="22.5" hidden="1" customHeight="1">
      <c r="A2394" s="8">
        <v>45966.37463479167</v>
      </c>
      <c r="B2394" s="9">
        <v>45966.0</v>
      </c>
      <c r="C2394" s="9" t="s">
        <v>15</v>
      </c>
      <c r="D2394" s="9" t="s">
        <v>397</v>
      </c>
      <c r="E2394" s="9" t="s">
        <v>17</v>
      </c>
      <c r="F2394" s="9" t="s">
        <v>17</v>
      </c>
      <c r="G2394" s="9" t="s">
        <v>24</v>
      </c>
      <c r="H2394" s="9" t="s">
        <v>17</v>
      </c>
      <c r="I2394" s="9" t="s">
        <v>20</v>
      </c>
      <c r="J2394" s="10"/>
      <c r="K2394" s="1" t="s">
        <v>398</v>
      </c>
      <c r="L2394" s="7"/>
      <c r="M2394" s="7"/>
      <c r="N2394" s="7" t="str">
        <f>IFERROR(__xludf.DUMMYFUNCTION("""COMPUTED_VALUE"""),"José Raúl Zúñiga|46111")</f>
        <v>José Raúl Zúñiga|46111</v>
      </c>
      <c r="O2394" s="7">
        <f>IFERROR(__xludf.DUMMYFUNCTION("""COMPUTED_VALUE"""),3.0)</f>
        <v>3</v>
      </c>
    </row>
    <row r="2395" ht="22.5" hidden="1" customHeight="1">
      <c r="A2395" s="8">
        <v>45966.37506982639</v>
      </c>
      <c r="B2395" s="9">
        <v>45966.0</v>
      </c>
      <c r="C2395" s="9" t="s">
        <v>15</v>
      </c>
      <c r="D2395" s="9" t="s">
        <v>361</v>
      </c>
      <c r="E2395" s="9" t="s">
        <v>17</v>
      </c>
      <c r="F2395" s="9" t="s">
        <v>17</v>
      </c>
      <c r="G2395" s="9" t="s">
        <v>24</v>
      </c>
      <c r="H2395" s="9" t="s">
        <v>22</v>
      </c>
      <c r="I2395" s="9" t="s">
        <v>20</v>
      </c>
      <c r="J2395" s="10"/>
      <c r="K2395" s="7" t="s">
        <v>398</v>
      </c>
      <c r="L2395" s="7"/>
      <c r="M2395" s="7"/>
      <c r="N2395" s="7" t="str">
        <f>IFERROR(__xludf.DUMMYFUNCTION("""COMPUTED_VALUE"""),"Rodrigo Dourado|46111")</f>
        <v>Rodrigo Dourado|46111</v>
      </c>
      <c r="O2395" s="7">
        <f>IFERROR(__xludf.DUMMYFUNCTION("""COMPUTED_VALUE"""),4.0)</f>
        <v>4</v>
      </c>
    </row>
    <row r="2396" ht="22.5" hidden="1" customHeight="1">
      <c r="A2396" s="8">
        <v>45966.375838946755</v>
      </c>
      <c r="B2396" s="9">
        <v>45966.0</v>
      </c>
      <c r="C2396" s="9" t="s">
        <v>15</v>
      </c>
      <c r="D2396" s="9" t="s">
        <v>178</v>
      </c>
      <c r="E2396" s="9" t="s">
        <v>61</v>
      </c>
      <c r="F2396" s="9" t="s">
        <v>17</v>
      </c>
      <c r="G2396" s="9" t="s">
        <v>24</v>
      </c>
      <c r="H2396" s="9" t="s">
        <v>17</v>
      </c>
      <c r="I2396" s="9" t="s">
        <v>20</v>
      </c>
      <c r="J2396" s="10"/>
      <c r="K2396" s="7" t="s">
        <v>398</v>
      </c>
      <c r="L2396" s="7"/>
      <c r="M2396" s="7"/>
      <c r="N2396" s="7" t="str">
        <f>IFERROR(__xludf.DUMMYFUNCTION("""COMPUTED_VALUE"""),"Santiago Naveda|46111")</f>
        <v>Santiago Naveda|46111</v>
      </c>
      <c r="O2396" s="7">
        <f>IFERROR(__xludf.DUMMYFUNCTION("""COMPUTED_VALUE"""),5.0)</f>
        <v>5</v>
      </c>
    </row>
    <row r="2397" ht="22.5" hidden="1" customHeight="1">
      <c r="A2397" s="8">
        <v>45966.386143587966</v>
      </c>
      <c r="B2397" s="9">
        <v>45966.0</v>
      </c>
      <c r="C2397" s="9" t="s">
        <v>15</v>
      </c>
      <c r="D2397" s="9" t="s">
        <v>175</v>
      </c>
      <c r="E2397" s="9" t="s">
        <v>17</v>
      </c>
      <c r="F2397" s="9" t="s">
        <v>17</v>
      </c>
      <c r="G2397" s="9" t="s">
        <v>24</v>
      </c>
      <c r="H2397" s="9" t="s">
        <v>17</v>
      </c>
      <c r="I2397" s="9" t="s">
        <v>20</v>
      </c>
      <c r="J2397" s="10"/>
      <c r="K2397" s="7" t="s">
        <v>398</v>
      </c>
      <c r="L2397" s="7"/>
      <c r="M2397" s="7"/>
      <c r="N2397" s="7" t="str">
        <f>IFERROR(__xludf.DUMMYFUNCTION("""COMPUTED_VALUE"""),"Alexis Gutiérrez|46111")</f>
        <v>Alexis Gutiérrez|46111</v>
      </c>
      <c r="O2397" s="7">
        <f>IFERROR(__xludf.DUMMYFUNCTION("""COMPUTED_VALUE"""),3.0)</f>
        <v>3</v>
      </c>
    </row>
    <row r="2398" ht="22.5" hidden="1" customHeight="1">
      <c r="A2398" s="8">
        <v>45966.38634715277</v>
      </c>
      <c r="B2398" s="9">
        <v>45966.0</v>
      </c>
      <c r="C2398" s="9" t="s">
        <v>15</v>
      </c>
      <c r="D2398" s="9" t="s">
        <v>247</v>
      </c>
      <c r="E2398" s="9" t="s">
        <v>17</v>
      </c>
      <c r="F2398" s="9" t="s">
        <v>17</v>
      </c>
      <c r="G2398" s="9" t="s">
        <v>24</v>
      </c>
      <c r="H2398" s="9" t="s">
        <v>25</v>
      </c>
      <c r="I2398" s="9" t="s">
        <v>240</v>
      </c>
      <c r="J2398" s="10"/>
      <c r="K2398" s="7" t="s">
        <v>398</v>
      </c>
      <c r="L2398" s="7"/>
      <c r="M2398" s="7"/>
      <c r="N2398" s="7" t="str">
        <f>IFERROR(__xludf.DUMMYFUNCTION("""COMPUTED_VALUE"""),"Jonathan Dos Santos|46111")</f>
        <v>Jonathan Dos Santos|46111</v>
      </c>
      <c r="O2398" s="7">
        <f>IFERROR(__xludf.DUMMYFUNCTION("""COMPUTED_VALUE"""),5.0)</f>
        <v>5</v>
      </c>
    </row>
    <row r="2399" ht="22.5" hidden="1" customHeight="1">
      <c r="A2399" s="8">
        <v>45966.38653355324</v>
      </c>
      <c r="B2399" s="9">
        <v>45966.0</v>
      </c>
      <c r="C2399" s="9" t="s">
        <v>15</v>
      </c>
      <c r="D2399" s="9" t="s">
        <v>174</v>
      </c>
      <c r="E2399" s="9" t="s">
        <v>17</v>
      </c>
      <c r="F2399" s="9" t="s">
        <v>17</v>
      </c>
      <c r="G2399" s="9" t="s">
        <v>24</v>
      </c>
      <c r="H2399" s="9" t="s">
        <v>17</v>
      </c>
      <c r="I2399" s="9" t="s">
        <v>20</v>
      </c>
      <c r="J2399" s="10"/>
      <c r="K2399" s="7" t="s">
        <v>398</v>
      </c>
      <c r="L2399" s="7"/>
      <c r="M2399" s="7"/>
      <c r="N2399" s="7" t="str">
        <f>IFERROR(__xludf.DUMMYFUNCTION("""COMPUTED_VALUE"""),"Cristian Borja|46111")</f>
        <v>Cristian Borja|46111</v>
      </c>
      <c r="O2399" s="7">
        <f>IFERROR(__xludf.DUMMYFUNCTION("""COMPUTED_VALUE"""),3.0)</f>
        <v>3</v>
      </c>
    </row>
    <row r="2400" ht="22.5" hidden="1" customHeight="1">
      <c r="A2400" s="8">
        <v>45966.39841623843</v>
      </c>
      <c r="B2400" s="9">
        <v>45966.0</v>
      </c>
      <c r="C2400" s="9" t="s">
        <v>15</v>
      </c>
      <c r="D2400" s="9" t="s">
        <v>168</v>
      </c>
      <c r="E2400" s="9" t="s">
        <v>17</v>
      </c>
      <c r="F2400" s="9" t="s">
        <v>17</v>
      </c>
      <c r="G2400" s="9" t="s">
        <v>24</v>
      </c>
      <c r="H2400" s="9" t="s">
        <v>17</v>
      </c>
      <c r="I2400" s="9" t="s">
        <v>20</v>
      </c>
      <c r="J2400" s="10"/>
      <c r="K2400" s="7" t="s">
        <v>398</v>
      </c>
      <c r="L2400" s="7"/>
      <c r="M2400" s="7"/>
      <c r="N2400" s="7" t="str">
        <f>IFERROR(__xludf.DUMMYFUNCTION("""COMPUTED_VALUE"""),"Paolo Bedolla|46111")</f>
        <v>Paolo Bedolla|46111</v>
      </c>
      <c r="O2400" s="7">
        <f>IFERROR(__xludf.DUMMYFUNCTION("""COMPUTED_VALUE"""),3.0)</f>
        <v>3</v>
      </c>
    </row>
    <row r="2401" ht="22.5" hidden="1" customHeight="1">
      <c r="A2401" s="8">
        <v>45966.398801793985</v>
      </c>
      <c r="B2401" s="9">
        <v>45966.0</v>
      </c>
      <c r="C2401" s="9" t="s">
        <v>15</v>
      </c>
      <c r="D2401" s="9" t="s">
        <v>335</v>
      </c>
      <c r="E2401" s="9" t="s">
        <v>17</v>
      </c>
      <c r="F2401" s="9" t="s">
        <v>17</v>
      </c>
      <c r="G2401" s="9" t="s">
        <v>24</v>
      </c>
      <c r="H2401" s="9" t="s">
        <v>17</v>
      </c>
      <c r="I2401" s="9" t="s">
        <v>20</v>
      </c>
      <c r="J2401" s="10"/>
      <c r="K2401" s="7" t="s">
        <v>398</v>
      </c>
      <c r="L2401" s="7"/>
      <c r="M2401" s="7"/>
      <c r="N2401" s="7" t="str">
        <f>IFERROR(__xludf.DUMMYFUNCTION("""COMPUTED_VALUE"""),"Ramón Juárez|46111")</f>
        <v>Ramón Juárez|46111</v>
      </c>
      <c r="O2401" s="7">
        <f>IFERROR(__xludf.DUMMYFUNCTION("""COMPUTED_VALUE"""),4.0)</f>
        <v>4</v>
      </c>
    </row>
    <row r="2402" ht="22.5" hidden="1" customHeight="1">
      <c r="A2402" s="8">
        <v>45966.403497604166</v>
      </c>
      <c r="B2402" s="9">
        <v>45966.0</v>
      </c>
      <c r="C2402" s="9" t="s">
        <v>15</v>
      </c>
      <c r="D2402" s="9" t="s">
        <v>280</v>
      </c>
      <c r="E2402" s="9" t="s">
        <v>17</v>
      </c>
      <c r="F2402" s="9" t="s">
        <v>17</v>
      </c>
      <c r="G2402" s="9" t="s">
        <v>24</v>
      </c>
      <c r="H2402" s="9" t="s">
        <v>17</v>
      </c>
      <c r="I2402" s="9" t="s">
        <v>20</v>
      </c>
      <c r="J2402" s="10"/>
      <c r="K2402" s="7" t="s">
        <v>398</v>
      </c>
      <c r="L2402" s="7"/>
      <c r="M2402" s="7"/>
      <c r="N2402" s="7" t="str">
        <f>IFERROR(__xludf.DUMMYFUNCTION("""COMPUTED_VALUE"""),"Alan Cervantes|46111")</f>
        <v>Alan Cervantes|46111</v>
      </c>
      <c r="O2402" s="7">
        <f>IFERROR(__xludf.DUMMYFUNCTION("""COMPUTED_VALUE"""),6.0)</f>
        <v>6</v>
      </c>
    </row>
    <row r="2403" ht="22.5" hidden="1" customHeight="1">
      <c r="A2403" s="8">
        <v>45967.347547349535</v>
      </c>
      <c r="B2403" s="9">
        <v>45967.0</v>
      </c>
      <c r="C2403" s="9" t="s">
        <v>31</v>
      </c>
      <c r="D2403" s="9" t="s">
        <v>177</v>
      </c>
      <c r="E2403" s="9" t="s">
        <v>17</v>
      </c>
      <c r="F2403" s="9" t="s">
        <v>17</v>
      </c>
      <c r="G2403" s="9" t="s">
        <v>24</v>
      </c>
      <c r="H2403" s="9" t="s">
        <v>17</v>
      </c>
      <c r="I2403" s="9" t="s">
        <v>20</v>
      </c>
      <c r="J2403" s="10"/>
      <c r="K2403" s="7" t="s">
        <v>398</v>
      </c>
      <c r="L2403" s="7"/>
      <c r="M2403" s="7"/>
      <c r="N2403" s="7" t="str">
        <f>IFERROR(__xludf.DUMMYFUNCTION("""COMPUTED_VALUE"""),"Alejando Zendejas|46111")</f>
        <v>Alejando Zendejas|46111</v>
      </c>
      <c r="O2403" s="7">
        <f>IFERROR(__xludf.DUMMYFUNCTION("""COMPUTED_VALUE"""),3.0)</f>
        <v>3</v>
      </c>
    </row>
    <row r="2404" ht="22.5" hidden="1" customHeight="1">
      <c r="A2404" s="8">
        <v>45967.34772618055</v>
      </c>
      <c r="B2404" s="9">
        <v>45967.0</v>
      </c>
      <c r="C2404" s="9" t="s">
        <v>31</v>
      </c>
      <c r="D2404" s="9" t="s">
        <v>257</v>
      </c>
      <c r="E2404" s="9" t="s">
        <v>17</v>
      </c>
      <c r="F2404" s="9" t="s">
        <v>17</v>
      </c>
      <c r="G2404" s="9" t="s">
        <v>24</v>
      </c>
      <c r="H2404" s="9" t="s">
        <v>17</v>
      </c>
      <c r="I2404" s="9" t="s">
        <v>20</v>
      </c>
      <c r="J2404" s="10"/>
      <c r="K2404" s="7" t="s">
        <v>398</v>
      </c>
      <c r="L2404" s="7"/>
      <c r="M2404" s="7"/>
      <c r="N2404" s="7" t="str">
        <f>IFERROR(__xludf.DUMMYFUNCTION("""COMPUTED_VALUE"""),"Alejando Zendejas|46113")</f>
        <v>Alejando Zendejas|46113</v>
      </c>
      <c r="O2404" s="7">
        <f>IFERROR(__xludf.DUMMYFUNCTION("""COMPUTED_VALUE"""),3.0)</f>
        <v>3</v>
      </c>
    </row>
    <row r="2405" ht="22.5" hidden="1" customHeight="1">
      <c r="A2405" s="8">
        <v>45967.34979953704</v>
      </c>
      <c r="B2405" s="9">
        <v>45967.0</v>
      </c>
      <c r="C2405" s="9" t="s">
        <v>31</v>
      </c>
      <c r="D2405" s="9" t="s">
        <v>249</v>
      </c>
      <c r="E2405" s="9" t="s">
        <v>17</v>
      </c>
      <c r="F2405" s="9" t="s">
        <v>17</v>
      </c>
      <c r="G2405" s="9" t="s">
        <v>24</v>
      </c>
      <c r="H2405" s="9" t="s">
        <v>17</v>
      </c>
      <c r="I2405" s="9" t="s">
        <v>20</v>
      </c>
      <c r="J2405" s="10"/>
      <c r="K2405" s="7" t="s">
        <v>398</v>
      </c>
      <c r="L2405" s="7"/>
      <c r="M2405" s="7"/>
      <c r="N2405" s="7" t="str">
        <f>IFERROR(__xludf.DUMMYFUNCTION("""COMPUTED_VALUE"""),"Dagoberto Espinoza|46113")</f>
        <v>Dagoberto Espinoza|46113</v>
      </c>
      <c r="O2405" s="7">
        <f>IFERROR(__xludf.DUMMYFUNCTION("""COMPUTED_VALUE"""),7.0)</f>
        <v>7</v>
      </c>
    </row>
    <row r="2406" ht="22.5" hidden="1" customHeight="1">
      <c r="A2406" s="8">
        <v>45967.36394403935</v>
      </c>
      <c r="B2406" s="9">
        <v>45967.0</v>
      </c>
      <c r="C2406" s="9" t="s">
        <v>31</v>
      </c>
      <c r="D2406" s="9" t="s">
        <v>357</v>
      </c>
      <c r="E2406" s="9" t="s">
        <v>17</v>
      </c>
      <c r="F2406" s="9" t="s">
        <v>17</v>
      </c>
      <c r="G2406" s="9" t="s">
        <v>24</v>
      </c>
      <c r="H2406" s="9" t="s">
        <v>17</v>
      </c>
      <c r="I2406" s="9" t="s">
        <v>20</v>
      </c>
      <c r="J2406" s="10"/>
      <c r="K2406" s="7" t="s">
        <v>398</v>
      </c>
      <c r="L2406" s="7"/>
      <c r="M2406" s="7"/>
      <c r="N2406" s="7" t="str">
        <f>IFERROR(__xludf.DUMMYFUNCTION("""COMPUTED_VALUE"""),"Santiago Naveda|46113")</f>
        <v>Santiago Naveda|46113</v>
      </c>
      <c r="O2406" s="7">
        <f>IFERROR(__xludf.DUMMYFUNCTION("""COMPUTED_VALUE"""),4.0)</f>
        <v>4</v>
      </c>
    </row>
    <row r="2407" ht="22.5" hidden="1" customHeight="1">
      <c r="A2407" s="8">
        <v>45967.36449908565</v>
      </c>
      <c r="B2407" s="9">
        <v>45967.0</v>
      </c>
      <c r="C2407" s="9" t="s">
        <v>31</v>
      </c>
      <c r="D2407" s="9" t="s">
        <v>223</v>
      </c>
      <c r="E2407" s="9" t="s">
        <v>17</v>
      </c>
      <c r="F2407" s="9" t="s">
        <v>17</v>
      </c>
      <c r="G2407" s="9" t="s">
        <v>24</v>
      </c>
      <c r="H2407" s="9" t="s">
        <v>17</v>
      </c>
      <c r="I2407" s="9" t="s">
        <v>20</v>
      </c>
      <c r="J2407" s="10"/>
      <c r="K2407" s="7" t="s">
        <v>398</v>
      </c>
      <c r="L2407" s="7"/>
      <c r="M2407" s="7"/>
      <c r="N2407" s="7" t="str">
        <f>IFERROR(__xludf.DUMMYFUNCTION("""COMPUTED_VALUE"""),"Raphael Veiga|46113")</f>
        <v>Raphael Veiga|46113</v>
      </c>
      <c r="O2407" s="7">
        <f>IFERROR(__xludf.DUMMYFUNCTION("""COMPUTED_VALUE"""),5.0)</f>
        <v>5</v>
      </c>
    </row>
    <row r="2408" ht="22.5" hidden="1" customHeight="1">
      <c r="A2408" s="8">
        <v>45967.376191296295</v>
      </c>
      <c r="B2408" s="9">
        <v>45967.0</v>
      </c>
      <c r="C2408" s="9" t="s">
        <v>31</v>
      </c>
      <c r="D2408" s="9" t="s">
        <v>393</v>
      </c>
      <c r="E2408" s="9" t="s">
        <v>17</v>
      </c>
      <c r="F2408" s="9" t="s">
        <v>17</v>
      </c>
      <c r="G2408" s="9" t="s">
        <v>24</v>
      </c>
      <c r="H2408" s="9" t="s">
        <v>17</v>
      </c>
      <c r="I2408" s="9" t="s">
        <v>20</v>
      </c>
      <c r="J2408" s="10"/>
      <c r="K2408" s="7" t="s">
        <v>398</v>
      </c>
      <c r="L2408" s="7"/>
      <c r="M2408" s="7"/>
      <c r="N2408" s="7" t="str">
        <f>IFERROR(__xludf.DUMMYFUNCTION("""COMPUTED_VALUE"""),"Erick Sánchez|46113")</f>
        <v>Erick Sánchez|46113</v>
      </c>
      <c r="O2408" s="7">
        <f>IFERROR(__xludf.DUMMYFUNCTION("""COMPUTED_VALUE"""),5.0)</f>
        <v>5</v>
      </c>
    </row>
    <row r="2409" ht="22.5" hidden="1" customHeight="1">
      <c r="A2409" s="8">
        <v>45967.38077751157</v>
      </c>
      <c r="B2409" s="9">
        <v>45967.0</v>
      </c>
      <c r="C2409" s="9" t="s">
        <v>31</v>
      </c>
      <c r="D2409" s="9" t="s">
        <v>350</v>
      </c>
      <c r="E2409" s="9" t="s">
        <v>17</v>
      </c>
      <c r="F2409" s="9" t="s">
        <v>17</v>
      </c>
      <c r="G2409" s="9" t="s">
        <v>24</v>
      </c>
      <c r="H2409" s="9" t="s">
        <v>22</v>
      </c>
      <c r="I2409" s="9" t="s">
        <v>20</v>
      </c>
      <c r="J2409" s="10"/>
      <c r="K2409" s="7" t="s">
        <v>398</v>
      </c>
      <c r="L2409" s="7"/>
      <c r="M2409" s="7"/>
      <c r="N2409" s="7" t="str">
        <f>IFERROR(__xludf.DUMMYFUNCTION("""COMPUTED_VALUE"""),"Isaías Violante|46113")</f>
        <v>Isaías Violante|46113</v>
      </c>
      <c r="O2409" s="7">
        <f>IFERROR(__xludf.DUMMYFUNCTION("""COMPUTED_VALUE"""),7.0)</f>
        <v>7</v>
      </c>
    </row>
    <row r="2410" ht="22.5" hidden="1" customHeight="1">
      <c r="A2410" s="8">
        <v>45967.381072511576</v>
      </c>
      <c r="B2410" s="9">
        <v>45967.0</v>
      </c>
      <c r="C2410" s="9" t="s">
        <v>31</v>
      </c>
      <c r="D2410" s="9" t="s">
        <v>259</v>
      </c>
      <c r="E2410" s="9" t="s">
        <v>17</v>
      </c>
      <c r="F2410" s="9" t="s">
        <v>17</v>
      </c>
      <c r="G2410" s="9" t="s">
        <v>24</v>
      </c>
      <c r="H2410" s="9" t="s">
        <v>25</v>
      </c>
      <c r="I2410" s="9" t="s">
        <v>37</v>
      </c>
      <c r="J2410" s="10"/>
      <c r="K2410" s="7" t="s">
        <v>398</v>
      </c>
      <c r="L2410" s="7"/>
      <c r="M2410" s="7"/>
      <c r="N2410" s="7" t="str">
        <f>IFERROR(__xludf.DUMMYFUNCTION("""COMPUTED_VALUE"""),"Cristian Borja|46113")</f>
        <v>Cristian Borja|46113</v>
      </c>
      <c r="O2410" s="7">
        <f>IFERROR(__xludf.DUMMYFUNCTION("""COMPUTED_VALUE"""),3.0)</f>
        <v>3</v>
      </c>
    </row>
    <row r="2411" ht="22.5" hidden="1" customHeight="1">
      <c r="A2411" s="8">
        <v>45967.38133672454</v>
      </c>
      <c r="B2411" s="9">
        <v>45967.0</v>
      </c>
      <c r="C2411" s="9" t="s">
        <v>31</v>
      </c>
      <c r="D2411" s="9" t="s">
        <v>174</v>
      </c>
      <c r="E2411" s="9" t="s">
        <v>17</v>
      </c>
      <c r="F2411" s="9" t="s">
        <v>17</v>
      </c>
      <c r="G2411" s="9" t="s">
        <v>24</v>
      </c>
      <c r="H2411" s="9" t="s">
        <v>17</v>
      </c>
      <c r="I2411" s="9" t="s">
        <v>20</v>
      </c>
      <c r="J2411" s="10"/>
      <c r="K2411" s="7" t="s">
        <v>398</v>
      </c>
      <c r="L2411" s="7"/>
      <c r="M2411" s="7"/>
      <c r="N2411" s="7" t="str">
        <f>IFERROR(__xludf.DUMMYFUNCTION("""COMPUTED_VALUE"""),"Néstor Araujo|46113")</f>
        <v>Néstor Araujo|46113</v>
      </c>
      <c r="O2411" s="7">
        <f>IFERROR(__xludf.DUMMYFUNCTION("""COMPUTED_VALUE"""),6.0)</f>
        <v>6</v>
      </c>
    </row>
    <row r="2412" ht="22.5" hidden="1" customHeight="1">
      <c r="A2412" s="8">
        <v>45967.381897824074</v>
      </c>
      <c r="B2412" s="9">
        <v>45967.0</v>
      </c>
      <c r="C2412" s="9" t="s">
        <v>31</v>
      </c>
      <c r="D2412" s="9" t="s">
        <v>395</v>
      </c>
      <c r="E2412" s="9" t="s">
        <v>17</v>
      </c>
      <c r="F2412" s="9" t="s">
        <v>17</v>
      </c>
      <c r="G2412" s="9" t="s">
        <v>24</v>
      </c>
      <c r="H2412" s="9" t="s">
        <v>22</v>
      </c>
      <c r="I2412" s="9" t="s">
        <v>20</v>
      </c>
      <c r="J2412" s="10"/>
      <c r="K2412" s="7" t="s">
        <v>398</v>
      </c>
      <c r="L2412" s="7"/>
      <c r="M2412" s="7"/>
      <c r="N2412" s="7" t="str">
        <f>IFERROR(__xludf.DUMMYFUNCTION("""COMPUTED_VALUE"""),"Rodrigo Dourado|46113")</f>
        <v>Rodrigo Dourado|46113</v>
      </c>
      <c r="O2412" s="7">
        <f>IFERROR(__xludf.DUMMYFUNCTION("""COMPUTED_VALUE"""),5.0)</f>
        <v>5</v>
      </c>
    </row>
    <row r="2413" ht="22.5" hidden="1" customHeight="1">
      <c r="A2413" s="8">
        <v>45967.38206212963</v>
      </c>
      <c r="B2413" s="9">
        <v>45967.0</v>
      </c>
      <c r="C2413" s="9" t="s">
        <v>31</v>
      </c>
      <c r="D2413" s="9" t="s">
        <v>280</v>
      </c>
      <c r="E2413" s="9" t="s">
        <v>17</v>
      </c>
      <c r="F2413" s="9" t="s">
        <v>17</v>
      </c>
      <c r="G2413" s="9" t="s">
        <v>24</v>
      </c>
      <c r="H2413" s="9" t="s">
        <v>17</v>
      </c>
      <c r="I2413" s="9" t="s">
        <v>20</v>
      </c>
      <c r="J2413" s="10"/>
      <c r="K2413" s="7" t="s">
        <v>398</v>
      </c>
      <c r="L2413" s="7"/>
      <c r="M2413" s="7"/>
      <c r="N2413" s="7" t="str">
        <f>IFERROR(__xludf.DUMMYFUNCTION("""COMPUTED_VALUE"""),"Thiago Espinosa|46113")</f>
        <v>Thiago Espinosa|46113</v>
      </c>
      <c r="O2413" s="7">
        <f>IFERROR(__xludf.DUMMYFUNCTION("""COMPUTED_VALUE"""),5.0)</f>
        <v>5</v>
      </c>
    </row>
    <row r="2414" ht="22.5" hidden="1" customHeight="1">
      <c r="A2414" s="8">
        <v>45967.38285576389</v>
      </c>
      <c r="B2414" s="9">
        <v>45967.0</v>
      </c>
      <c r="C2414" s="9" t="s">
        <v>31</v>
      </c>
      <c r="D2414" s="9" t="s">
        <v>361</v>
      </c>
      <c r="E2414" s="9" t="s">
        <v>17</v>
      </c>
      <c r="F2414" s="9" t="s">
        <v>17</v>
      </c>
      <c r="G2414" s="9" t="s">
        <v>24</v>
      </c>
      <c r="H2414" s="9" t="s">
        <v>22</v>
      </c>
      <c r="I2414" s="9" t="s">
        <v>20</v>
      </c>
      <c r="J2414" s="10"/>
      <c r="K2414" s="7" t="s">
        <v>398</v>
      </c>
      <c r="L2414" s="7"/>
      <c r="M2414" s="7"/>
      <c r="N2414" s="7" t="str">
        <f>IFERROR(__xludf.DUMMYFUNCTION("""COMPUTED_VALUE"""),"Miguel Vázquez|46113")</f>
        <v>Miguel Vázquez|46113</v>
      </c>
      <c r="O2414" s="7">
        <f>IFERROR(__xludf.DUMMYFUNCTION("""COMPUTED_VALUE"""),4.0)</f>
        <v>4</v>
      </c>
    </row>
    <row r="2415" ht="22.5" hidden="1" customHeight="1">
      <c r="A2415" s="8">
        <v>45967.38327824074</v>
      </c>
      <c r="B2415" s="9">
        <v>45967.0</v>
      </c>
      <c r="C2415" s="9" t="s">
        <v>31</v>
      </c>
      <c r="D2415" s="9" t="s">
        <v>258</v>
      </c>
      <c r="E2415" s="9" t="s">
        <v>17</v>
      </c>
      <c r="F2415" s="9" t="s">
        <v>17</v>
      </c>
      <c r="G2415" s="9" t="s">
        <v>24</v>
      </c>
      <c r="H2415" s="9" t="s">
        <v>22</v>
      </c>
      <c r="I2415" s="9" t="s">
        <v>20</v>
      </c>
      <c r="J2415" s="10"/>
      <c r="K2415" s="7" t="s">
        <v>398</v>
      </c>
      <c r="L2415" s="7"/>
      <c r="M2415" s="7"/>
      <c r="N2415" s="7" t="str">
        <f>IFERROR(__xludf.DUMMYFUNCTION("""COMPUTED_VALUE"""),"José Raúl Zúñiga|46113")</f>
        <v>José Raúl Zúñiga|46113</v>
      </c>
      <c r="O2415" s="7">
        <f>IFERROR(__xludf.DUMMYFUNCTION("""COMPUTED_VALUE"""),3.0)</f>
        <v>3</v>
      </c>
    </row>
    <row r="2416" ht="22.5" hidden="1" customHeight="1">
      <c r="A2416" s="8">
        <v>45967.38348127315</v>
      </c>
      <c r="B2416" s="9">
        <v>45967.0</v>
      </c>
      <c r="C2416" s="9" t="s">
        <v>31</v>
      </c>
      <c r="D2416" s="9" t="s">
        <v>175</v>
      </c>
      <c r="E2416" s="9" t="s">
        <v>17</v>
      </c>
      <c r="F2416" s="9" t="s">
        <v>17</v>
      </c>
      <c r="G2416" s="9" t="s">
        <v>24</v>
      </c>
      <c r="H2416" s="9" t="s">
        <v>17</v>
      </c>
      <c r="I2416" s="9" t="s">
        <v>20</v>
      </c>
      <c r="J2416" s="10"/>
      <c r="K2416" s="7" t="s">
        <v>398</v>
      </c>
      <c r="L2416" s="7"/>
      <c r="M2416" s="7"/>
      <c r="N2416" s="7" t="str">
        <f>IFERROR(__xludf.DUMMYFUNCTION("""COMPUTED_VALUE"""),"Alan Cervantes|46113")</f>
        <v>Alan Cervantes|46113</v>
      </c>
      <c r="O2416" s="7">
        <f>IFERROR(__xludf.DUMMYFUNCTION("""COMPUTED_VALUE"""),7.0)</f>
        <v>7</v>
      </c>
    </row>
    <row r="2417" ht="22.5" hidden="1" customHeight="1">
      <c r="A2417" s="8">
        <v>45967.38382347222</v>
      </c>
      <c r="B2417" s="9">
        <v>45967.0</v>
      </c>
      <c r="C2417" s="9" t="s">
        <v>31</v>
      </c>
      <c r="D2417" s="9" t="s">
        <v>171</v>
      </c>
      <c r="E2417" s="9" t="s">
        <v>17</v>
      </c>
      <c r="F2417" s="9" t="s">
        <v>17</v>
      </c>
      <c r="G2417" s="9" t="s">
        <v>24</v>
      </c>
      <c r="H2417" s="9" t="s">
        <v>25</v>
      </c>
      <c r="I2417" s="9" t="s">
        <v>218</v>
      </c>
      <c r="J2417" s="10"/>
      <c r="K2417" s="7" t="s">
        <v>398</v>
      </c>
      <c r="L2417" s="7"/>
      <c r="M2417" s="7"/>
      <c r="N2417" s="7" t="str">
        <f>IFERROR(__xludf.DUMMYFUNCTION("""COMPUTED_VALUE"""),"Jonathan Dos Santos|46113")</f>
        <v>Jonathan Dos Santos|46113</v>
      </c>
      <c r="O2417" s="7">
        <f>IFERROR(__xludf.DUMMYFUNCTION("""COMPUTED_VALUE"""),6.0)</f>
        <v>6</v>
      </c>
    </row>
    <row r="2418" ht="22.5" hidden="1" customHeight="1">
      <c r="A2418" s="8">
        <v>45967.38426653935</v>
      </c>
      <c r="B2418" s="9">
        <v>45967.0</v>
      </c>
      <c r="C2418" s="9" t="s">
        <v>31</v>
      </c>
      <c r="D2418" s="9" t="s">
        <v>210</v>
      </c>
      <c r="E2418" s="9" t="s">
        <v>17</v>
      </c>
      <c r="F2418" s="9" t="s">
        <v>17</v>
      </c>
      <c r="G2418" s="9" t="s">
        <v>24</v>
      </c>
      <c r="H2418" s="9" t="s">
        <v>17</v>
      </c>
      <c r="I2418" s="9" t="s">
        <v>20</v>
      </c>
      <c r="J2418" s="10"/>
      <c r="K2418" s="7" t="s">
        <v>398</v>
      </c>
      <c r="L2418" s="7"/>
      <c r="M2418" s="7"/>
      <c r="N2418" s="7" t="str">
        <f>IFERROR(__xludf.DUMMYFUNCTION("""COMPUTED_VALUE"""),"Alexis Gutiérrez|46113")</f>
        <v>Alexis Gutiérrez|46113</v>
      </c>
      <c r="O2418" s="7">
        <f>IFERROR(__xludf.DUMMYFUNCTION("""COMPUTED_VALUE"""),5.0)</f>
        <v>5</v>
      </c>
    </row>
    <row r="2419" ht="22.5" hidden="1" customHeight="1">
      <c r="A2419" s="8">
        <v>45967.390986087965</v>
      </c>
      <c r="B2419" s="9">
        <v>45967.0</v>
      </c>
      <c r="C2419" s="9" t="s">
        <v>31</v>
      </c>
      <c r="D2419" s="9" t="s">
        <v>397</v>
      </c>
      <c r="E2419" s="9" t="s">
        <v>17</v>
      </c>
      <c r="F2419" s="9" t="s">
        <v>17</v>
      </c>
      <c r="G2419" s="9" t="s">
        <v>24</v>
      </c>
      <c r="H2419" s="9" t="s">
        <v>25</v>
      </c>
      <c r="I2419" s="9" t="s">
        <v>117</v>
      </c>
      <c r="J2419" s="10"/>
      <c r="K2419" s="1" t="s">
        <v>398</v>
      </c>
      <c r="L2419" s="7"/>
      <c r="M2419" s="7"/>
      <c r="N2419" s="7" t="str">
        <f>IFERROR(__xludf.DUMMYFUNCTION("""COMPUTED_VALUE"""),"Vinícius Lima|46113")</f>
        <v>Vinícius Lima|46113</v>
      </c>
      <c r="O2419" s="7">
        <f>IFERROR(__xludf.DUMMYFUNCTION("""COMPUTED_VALUE"""),2.0)</f>
        <v>2</v>
      </c>
    </row>
    <row r="2420" ht="22.5" hidden="1" customHeight="1">
      <c r="A2420" s="8">
        <v>45967.39278637731</v>
      </c>
      <c r="B2420" s="9">
        <v>45967.0</v>
      </c>
      <c r="C2420" s="9" t="s">
        <v>31</v>
      </c>
      <c r="D2420" s="9" t="s">
        <v>335</v>
      </c>
      <c r="E2420" s="9" t="s">
        <v>17</v>
      </c>
      <c r="F2420" s="9" t="s">
        <v>17</v>
      </c>
      <c r="G2420" s="9" t="s">
        <v>24</v>
      </c>
      <c r="H2420" s="9" t="s">
        <v>22</v>
      </c>
      <c r="I2420" s="9" t="s">
        <v>20</v>
      </c>
      <c r="J2420" s="10"/>
      <c r="K2420" s="7" t="s">
        <v>398</v>
      </c>
      <c r="L2420" s="7"/>
      <c r="M2420" s="7"/>
      <c r="N2420" s="7" t="str">
        <f>IFERROR(__xludf.DUMMYFUNCTION("""COMPUTED_VALUE"""),"Aaron Mejia|46113")</f>
        <v>Aaron Mejia|46113</v>
      </c>
      <c r="O2420" s="7">
        <f>IFERROR(__xludf.DUMMYFUNCTION("""COMPUTED_VALUE"""),4.0)</f>
        <v>4</v>
      </c>
    </row>
    <row r="2421" ht="22.5" hidden="1" customHeight="1">
      <c r="A2421" s="8">
        <v>45967.39298908565</v>
      </c>
      <c r="B2421" s="9">
        <v>45967.0</v>
      </c>
      <c r="C2421" s="9" t="s">
        <v>31</v>
      </c>
      <c r="D2421" s="9" t="s">
        <v>367</v>
      </c>
      <c r="E2421" s="9" t="s">
        <v>17</v>
      </c>
      <c r="F2421" s="9" t="s">
        <v>17</v>
      </c>
      <c r="G2421" s="9" t="s">
        <v>24</v>
      </c>
      <c r="H2421" s="9" t="s">
        <v>25</v>
      </c>
      <c r="I2421" s="9" t="s">
        <v>37</v>
      </c>
      <c r="J2421" s="10"/>
      <c r="K2421" s="7" t="s">
        <v>398</v>
      </c>
      <c r="L2421" s="7"/>
      <c r="M2421" s="7"/>
      <c r="N2421" s="7" t="str">
        <f>IFERROR(__xludf.DUMMYFUNCTION("""COMPUTED_VALUE"""),"Patricio Salas|46113")</f>
        <v>Patricio Salas|46113</v>
      </c>
      <c r="O2421" s="7">
        <f>IFERROR(__xludf.DUMMYFUNCTION("""COMPUTED_VALUE"""),5.0)</f>
        <v>5</v>
      </c>
    </row>
    <row r="2422" ht="22.5" hidden="1" customHeight="1">
      <c r="A2422" s="8">
        <v>45967.39805467593</v>
      </c>
      <c r="B2422" s="9">
        <v>45967.0</v>
      </c>
      <c r="C2422" s="9" t="s">
        <v>31</v>
      </c>
      <c r="D2422" s="9" t="s">
        <v>247</v>
      </c>
      <c r="E2422" s="9" t="s">
        <v>17</v>
      </c>
      <c r="F2422" s="9" t="s">
        <v>17</v>
      </c>
      <c r="G2422" s="9" t="s">
        <v>24</v>
      </c>
      <c r="H2422" s="9" t="s">
        <v>25</v>
      </c>
      <c r="I2422" s="9" t="s">
        <v>240</v>
      </c>
      <c r="J2422" s="10"/>
      <c r="K2422" s="7" t="s">
        <v>398</v>
      </c>
      <c r="L2422" s="7"/>
      <c r="M2422" s="7"/>
      <c r="N2422" s="7" t="str">
        <f>IFERROR(__xludf.DUMMYFUNCTION("""COMPUTED_VALUE"""),"Ramón Juárez|46113")</f>
        <v>Ramón Juárez|46113</v>
      </c>
      <c r="O2422" s="7">
        <f>IFERROR(__xludf.DUMMYFUNCTION("""COMPUTED_VALUE"""),7.0)</f>
        <v>7</v>
      </c>
    </row>
    <row r="2423" ht="22.5" hidden="1" customHeight="1">
      <c r="A2423" s="8">
        <v>45968.35926745371</v>
      </c>
      <c r="B2423" s="9">
        <v>45968.0</v>
      </c>
      <c r="C2423" s="9" t="s">
        <v>48</v>
      </c>
      <c r="D2423" s="9" t="s">
        <v>168</v>
      </c>
      <c r="E2423" s="9" t="s">
        <v>17</v>
      </c>
      <c r="F2423" s="9" t="s">
        <v>17</v>
      </c>
      <c r="G2423" s="9" t="s">
        <v>24</v>
      </c>
      <c r="H2423" s="9" t="s">
        <v>25</v>
      </c>
      <c r="I2423" s="9" t="s">
        <v>399</v>
      </c>
      <c r="J2423" s="10"/>
      <c r="K2423" s="7" t="s">
        <v>398</v>
      </c>
      <c r="L2423" s="7"/>
      <c r="M2423" s="7"/>
      <c r="N2423" s="7" t="str">
        <f>IFERROR(__xludf.DUMMYFUNCTION("""COMPUTED_VALUE"""),"Ramón Juárez|46113")</f>
        <v>Ramón Juárez|46113</v>
      </c>
      <c r="O2423" s="7">
        <f>IFERROR(__xludf.DUMMYFUNCTION("""COMPUTED_VALUE"""),6.0)</f>
        <v>6</v>
      </c>
    </row>
    <row r="2424" ht="22.5" hidden="1" customHeight="1">
      <c r="A2424" s="8">
        <v>45968.359447986106</v>
      </c>
      <c r="B2424" s="9">
        <v>45968.0</v>
      </c>
      <c r="C2424" s="9" t="s">
        <v>48</v>
      </c>
      <c r="D2424" s="9" t="s">
        <v>249</v>
      </c>
      <c r="E2424" s="9" t="s">
        <v>17</v>
      </c>
      <c r="F2424" s="9" t="s">
        <v>17</v>
      </c>
      <c r="G2424" s="9" t="s">
        <v>24</v>
      </c>
      <c r="H2424" s="9" t="s">
        <v>17</v>
      </c>
      <c r="I2424" s="9" t="s">
        <v>20</v>
      </c>
      <c r="J2424" s="10"/>
      <c r="K2424" s="7" t="s">
        <v>398</v>
      </c>
      <c r="L2424" s="7"/>
      <c r="M2424" s="7"/>
      <c r="N2424" s="7" t="str">
        <f>IFERROR(__xludf.DUMMYFUNCTION("""COMPUTED_VALUE"""),"Fernando Tapia|46113")</f>
        <v>Fernando Tapia|46113</v>
      </c>
      <c r="O2424" s="7">
        <f>IFERROR(__xludf.DUMMYFUNCTION("""COMPUTED_VALUE"""),2.0)</f>
        <v>2</v>
      </c>
    </row>
    <row r="2425" ht="22.5" hidden="1" customHeight="1">
      <c r="A2425" s="8">
        <v>45968.362269791665</v>
      </c>
      <c r="B2425" s="9">
        <v>45968.0</v>
      </c>
      <c r="C2425" s="9" t="s">
        <v>48</v>
      </c>
      <c r="D2425" s="9" t="s">
        <v>171</v>
      </c>
      <c r="E2425" s="9" t="s">
        <v>17</v>
      </c>
      <c r="F2425" s="9" t="s">
        <v>17</v>
      </c>
      <c r="G2425" s="9" t="s">
        <v>24</v>
      </c>
      <c r="H2425" s="9" t="s">
        <v>17</v>
      </c>
      <c r="I2425" s="9" t="s">
        <v>218</v>
      </c>
      <c r="J2425" s="10"/>
      <c r="K2425" s="7" t="s">
        <v>398</v>
      </c>
      <c r="L2425" s="7"/>
      <c r="M2425" s="7"/>
      <c r="N2425" s="7" t="str">
        <f>IFERROR(__xludf.DUMMYFUNCTION("""COMPUTED_VALUE"""),"Paolo Bedolla|46113")</f>
        <v>Paolo Bedolla|46113</v>
      </c>
      <c r="O2425" s="7">
        <f>IFERROR(__xludf.DUMMYFUNCTION("""COMPUTED_VALUE"""),4.0)</f>
        <v>4</v>
      </c>
    </row>
    <row r="2426" ht="22.5" hidden="1" customHeight="1">
      <c r="A2426" s="8">
        <v>45968.378002060184</v>
      </c>
      <c r="B2426" s="9">
        <v>45968.0</v>
      </c>
      <c r="C2426" s="9" t="s">
        <v>48</v>
      </c>
      <c r="D2426" s="9" t="s">
        <v>174</v>
      </c>
      <c r="E2426" s="9" t="s">
        <v>17</v>
      </c>
      <c r="F2426" s="9" t="s">
        <v>17</v>
      </c>
      <c r="G2426" s="9" t="s">
        <v>24</v>
      </c>
      <c r="H2426" s="9" t="s">
        <v>17</v>
      </c>
      <c r="I2426" s="9" t="s">
        <v>20</v>
      </c>
      <c r="J2426" s="10"/>
      <c r="K2426" s="7" t="s">
        <v>398</v>
      </c>
      <c r="L2426" s="7"/>
      <c r="M2426" s="7"/>
      <c r="N2426" s="7" t="str">
        <f>IFERROR(__xludf.DUMMYFUNCTION("""COMPUTED_VALUE"""),"Rodrigo Dourado|46114")</f>
        <v>Rodrigo Dourado|46114</v>
      </c>
      <c r="O2426" s="7">
        <f>IFERROR(__xludf.DUMMYFUNCTION("""COMPUTED_VALUE"""),3.0)</f>
        <v>3</v>
      </c>
    </row>
    <row r="2427" ht="22.5" hidden="1" customHeight="1">
      <c r="A2427" s="8">
        <v>45968.3782828588</v>
      </c>
      <c r="B2427" s="9">
        <v>45968.0</v>
      </c>
      <c r="C2427" s="9" t="s">
        <v>48</v>
      </c>
      <c r="D2427" s="9" t="s">
        <v>257</v>
      </c>
      <c r="E2427" s="9" t="s">
        <v>17</v>
      </c>
      <c r="F2427" s="9" t="s">
        <v>17</v>
      </c>
      <c r="G2427" s="9" t="s">
        <v>24</v>
      </c>
      <c r="H2427" s="9" t="s">
        <v>17</v>
      </c>
      <c r="I2427" s="9" t="s">
        <v>20</v>
      </c>
      <c r="J2427" s="10"/>
      <c r="K2427" s="7" t="s">
        <v>398</v>
      </c>
      <c r="L2427" s="7"/>
      <c r="M2427" s="7"/>
      <c r="N2427" s="7" t="str">
        <f>IFERROR(__xludf.DUMMYFUNCTION("""COMPUTED_VALUE"""),"Alexis Gutiérrez|46114")</f>
        <v>Alexis Gutiérrez|46114</v>
      </c>
      <c r="O2427" s="7">
        <f>IFERROR(__xludf.DUMMYFUNCTION("""COMPUTED_VALUE"""),3.0)</f>
        <v>3</v>
      </c>
    </row>
    <row r="2428" ht="22.5" hidden="1" customHeight="1">
      <c r="A2428" s="8">
        <v>45968.3785555787</v>
      </c>
      <c r="B2428" s="9">
        <v>45968.0</v>
      </c>
      <c r="C2428" s="9" t="s">
        <v>48</v>
      </c>
      <c r="D2428" s="9" t="s">
        <v>357</v>
      </c>
      <c r="E2428" s="9" t="s">
        <v>17</v>
      </c>
      <c r="F2428" s="9" t="s">
        <v>17</v>
      </c>
      <c r="G2428" s="9" t="s">
        <v>24</v>
      </c>
      <c r="H2428" s="9" t="s">
        <v>17</v>
      </c>
      <c r="I2428" s="9" t="s">
        <v>20</v>
      </c>
      <c r="J2428" s="10"/>
      <c r="K2428" s="7" t="s">
        <v>398</v>
      </c>
      <c r="L2428" s="7"/>
      <c r="M2428" s="7"/>
      <c r="N2428" s="7" t="str">
        <f>IFERROR(__xludf.DUMMYFUNCTION("""COMPUTED_VALUE"""),"José Raúl Zúñiga|46114")</f>
        <v>José Raúl Zúñiga|46114</v>
      </c>
      <c r="O2428" s="7">
        <f>IFERROR(__xludf.DUMMYFUNCTION("""COMPUTED_VALUE"""),3.0)</f>
        <v>3</v>
      </c>
    </row>
    <row r="2429" ht="22.5" hidden="1" customHeight="1">
      <c r="A2429" s="8">
        <v>45968.38078215277</v>
      </c>
      <c r="B2429" s="9">
        <v>45968.0</v>
      </c>
      <c r="C2429" s="9" t="s">
        <v>48</v>
      </c>
      <c r="D2429" s="9" t="s">
        <v>175</v>
      </c>
      <c r="E2429" s="9" t="s">
        <v>17</v>
      </c>
      <c r="F2429" s="9" t="s">
        <v>17</v>
      </c>
      <c r="G2429" s="9" t="s">
        <v>24</v>
      </c>
      <c r="H2429" s="9" t="s">
        <v>17</v>
      </c>
      <c r="I2429" s="9" t="s">
        <v>20</v>
      </c>
      <c r="J2429" s="10"/>
      <c r="K2429" s="7" t="s">
        <v>398</v>
      </c>
      <c r="L2429" s="7"/>
      <c r="M2429" s="7"/>
      <c r="N2429" s="7" t="str">
        <f>IFERROR(__xludf.DUMMYFUNCTION("""COMPUTED_VALUE"""),"Erick Sánchez|46114")</f>
        <v>Erick Sánchez|46114</v>
      </c>
      <c r="O2429" s="7">
        <f>IFERROR(__xludf.DUMMYFUNCTION("""COMPUTED_VALUE"""),3.0)</f>
        <v>3</v>
      </c>
    </row>
    <row r="2430" ht="22.5" hidden="1" customHeight="1">
      <c r="A2430" s="8">
        <v>45968.381006446754</v>
      </c>
      <c r="B2430" s="9">
        <v>45968.0</v>
      </c>
      <c r="C2430" s="9" t="s">
        <v>48</v>
      </c>
      <c r="D2430" s="9" t="s">
        <v>210</v>
      </c>
      <c r="E2430" s="9" t="s">
        <v>17</v>
      </c>
      <c r="F2430" s="9" t="s">
        <v>17</v>
      </c>
      <c r="G2430" s="9" t="s">
        <v>24</v>
      </c>
      <c r="H2430" s="9" t="s">
        <v>22</v>
      </c>
      <c r="I2430" s="9" t="s">
        <v>20</v>
      </c>
      <c r="J2430" s="10"/>
      <c r="K2430" s="7" t="s">
        <v>398</v>
      </c>
      <c r="L2430" s="7"/>
      <c r="M2430" s="7"/>
      <c r="N2430" s="7" t="str">
        <f>IFERROR(__xludf.DUMMYFUNCTION("""COMPUTED_VALUE"""),"Aaron Mejia|46114")</f>
        <v>Aaron Mejia|46114</v>
      </c>
      <c r="O2430" s="7">
        <f>IFERROR(__xludf.DUMMYFUNCTION("""COMPUTED_VALUE"""),4.0)</f>
        <v>4</v>
      </c>
    </row>
    <row r="2431" ht="22.5" hidden="1" customHeight="1">
      <c r="A2431" s="8">
        <v>45968.38269425926</v>
      </c>
      <c r="B2431" s="9">
        <v>45968.0</v>
      </c>
      <c r="C2431" s="9" t="s">
        <v>48</v>
      </c>
      <c r="D2431" s="9" t="s">
        <v>393</v>
      </c>
      <c r="E2431" s="9" t="s">
        <v>17</v>
      </c>
      <c r="F2431" s="9" t="s">
        <v>17</v>
      </c>
      <c r="G2431" s="9" t="s">
        <v>24</v>
      </c>
      <c r="H2431" s="9" t="s">
        <v>17</v>
      </c>
      <c r="I2431" s="9" t="s">
        <v>20</v>
      </c>
      <c r="J2431" s="10"/>
      <c r="K2431" s="7" t="s">
        <v>398</v>
      </c>
      <c r="L2431" s="7"/>
      <c r="M2431" s="7"/>
      <c r="N2431" s="7" t="str">
        <f>IFERROR(__xludf.DUMMYFUNCTION("""COMPUTED_VALUE"""),"Vinícius Lima|46114")</f>
        <v>Vinícius Lima|46114</v>
      </c>
      <c r="O2431" s="7">
        <f>IFERROR(__xludf.DUMMYFUNCTION("""COMPUTED_VALUE"""),2.0)</f>
        <v>2</v>
      </c>
    </row>
    <row r="2432" ht="22.5" hidden="1" customHeight="1">
      <c r="A2432" s="8">
        <v>45968.38321020833</v>
      </c>
      <c r="B2432" s="9">
        <v>45968.0</v>
      </c>
      <c r="C2432" s="9" t="s">
        <v>48</v>
      </c>
      <c r="D2432" s="9" t="s">
        <v>258</v>
      </c>
      <c r="E2432" s="9" t="s">
        <v>17</v>
      </c>
      <c r="F2432" s="9" t="s">
        <v>17</v>
      </c>
      <c r="G2432" s="9" t="s">
        <v>24</v>
      </c>
      <c r="H2432" s="9" t="s">
        <v>22</v>
      </c>
      <c r="I2432" s="9" t="s">
        <v>20</v>
      </c>
      <c r="J2432" s="10"/>
      <c r="K2432" s="7" t="s">
        <v>398</v>
      </c>
      <c r="L2432" s="7"/>
      <c r="M2432" s="7"/>
      <c r="N2432" s="7" t="str">
        <f>IFERROR(__xludf.DUMMYFUNCTION("""COMPUTED_VALUE"""),"Brian Rodríguez|46114")</f>
        <v>Brian Rodríguez|46114</v>
      </c>
      <c r="O2432" s="7">
        <f>IFERROR(__xludf.DUMMYFUNCTION("""COMPUTED_VALUE"""),3.0)</f>
        <v>3</v>
      </c>
    </row>
    <row r="2433" ht="22.5" hidden="1" customHeight="1">
      <c r="A2433" s="8">
        <v>45968.38337827547</v>
      </c>
      <c r="B2433" s="9">
        <v>45968.0</v>
      </c>
      <c r="C2433" s="9" t="s">
        <v>48</v>
      </c>
      <c r="D2433" s="9" t="s">
        <v>177</v>
      </c>
      <c r="E2433" s="9" t="s">
        <v>17</v>
      </c>
      <c r="F2433" s="9" t="s">
        <v>17</v>
      </c>
      <c r="G2433" s="9" t="s">
        <v>24</v>
      </c>
      <c r="H2433" s="9" t="s">
        <v>17</v>
      </c>
      <c r="I2433" s="9" t="s">
        <v>20</v>
      </c>
      <c r="J2433" s="10"/>
      <c r="K2433" s="7" t="s">
        <v>398</v>
      </c>
      <c r="L2433" s="7"/>
      <c r="M2433" s="7"/>
      <c r="N2433" s="7" t="str">
        <f>IFERROR(__xludf.DUMMYFUNCTION("""COMPUTED_VALUE"""),"Raphael Veiga|46114")</f>
        <v>Raphael Veiga|46114</v>
      </c>
      <c r="O2433" s="7">
        <f>IFERROR(__xludf.DUMMYFUNCTION("""COMPUTED_VALUE"""),5.0)</f>
        <v>5</v>
      </c>
    </row>
    <row r="2434" ht="22.5" hidden="1" customHeight="1">
      <c r="A2434" s="8">
        <v>45968.38852256944</v>
      </c>
      <c r="B2434" s="9">
        <v>45968.0</v>
      </c>
      <c r="C2434" s="9" t="s">
        <v>48</v>
      </c>
      <c r="D2434" s="9" t="s">
        <v>247</v>
      </c>
      <c r="E2434" s="9" t="s">
        <v>17</v>
      </c>
      <c r="F2434" s="9" t="s">
        <v>17</v>
      </c>
      <c r="G2434" s="9" t="s">
        <v>24</v>
      </c>
      <c r="H2434" s="9" t="s">
        <v>25</v>
      </c>
      <c r="I2434" s="9" t="s">
        <v>240</v>
      </c>
      <c r="J2434" s="10"/>
      <c r="K2434" s="7" t="s">
        <v>398</v>
      </c>
      <c r="L2434" s="7"/>
      <c r="M2434" s="7"/>
      <c r="N2434" s="7" t="str">
        <f>IFERROR(__xludf.DUMMYFUNCTION("""COMPUTED_VALUE"""),"Rodolfo Cota|46114")</f>
        <v>Rodolfo Cota|46114</v>
      </c>
      <c r="O2434" s="7">
        <f>IFERROR(__xludf.DUMMYFUNCTION("""COMPUTED_VALUE"""),2.0)</f>
        <v>2</v>
      </c>
    </row>
    <row r="2435" ht="22.5" hidden="1" customHeight="1">
      <c r="A2435" s="8">
        <v>45968.38890579861</v>
      </c>
      <c r="B2435" s="9">
        <v>45968.0</v>
      </c>
      <c r="C2435" s="9" t="s">
        <v>48</v>
      </c>
      <c r="D2435" s="9" t="s">
        <v>395</v>
      </c>
      <c r="E2435" s="9" t="s">
        <v>17</v>
      </c>
      <c r="F2435" s="9" t="s">
        <v>17</v>
      </c>
      <c r="G2435" s="9" t="s">
        <v>24</v>
      </c>
      <c r="H2435" s="9" t="s">
        <v>22</v>
      </c>
      <c r="I2435" s="9" t="s">
        <v>20</v>
      </c>
      <c r="J2435" s="10"/>
      <c r="K2435" s="7" t="s">
        <v>398</v>
      </c>
      <c r="L2435" s="7"/>
      <c r="M2435" s="7"/>
      <c r="N2435" s="7" t="str">
        <f>IFERROR(__xludf.DUMMYFUNCTION("""COMPUTED_VALUE"""),"Thiago Espinosa|46114")</f>
        <v>Thiago Espinosa|46114</v>
      </c>
      <c r="O2435" s="7">
        <f>IFERROR(__xludf.DUMMYFUNCTION("""COMPUTED_VALUE"""),4.0)</f>
        <v>4</v>
      </c>
    </row>
    <row r="2436" ht="22.5" hidden="1" customHeight="1">
      <c r="A2436" s="8">
        <v>45968.38906540509</v>
      </c>
      <c r="B2436" s="9">
        <v>45968.0</v>
      </c>
      <c r="C2436" s="9" t="s">
        <v>48</v>
      </c>
      <c r="D2436" s="9" t="s">
        <v>223</v>
      </c>
      <c r="E2436" s="9" t="s">
        <v>17</v>
      </c>
      <c r="F2436" s="9" t="s">
        <v>17</v>
      </c>
      <c r="G2436" s="9" t="s">
        <v>24</v>
      </c>
      <c r="H2436" s="9" t="s">
        <v>17</v>
      </c>
      <c r="I2436" s="9" t="s">
        <v>20</v>
      </c>
      <c r="J2436" s="10"/>
      <c r="K2436" s="7" t="s">
        <v>398</v>
      </c>
      <c r="L2436" s="7"/>
      <c r="M2436" s="7"/>
      <c r="N2436" s="7" t="str">
        <f>IFERROR(__xludf.DUMMYFUNCTION("""COMPUTED_VALUE"""),"Sebastián Cáceres|46114")</f>
        <v>Sebastián Cáceres|46114</v>
      </c>
      <c r="O2436" s="7">
        <f>IFERROR(__xludf.DUMMYFUNCTION("""COMPUTED_VALUE"""),4.0)</f>
        <v>4</v>
      </c>
    </row>
    <row r="2437" ht="22.5" hidden="1" customHeight="1">
      <c r="A2437" s="8">
        <v>45968.389227569445</v>
      </c>
      <c r="B2437" s="9">
        <v>45968.0</v>
      </c>
      <c r="C2437" s="9" t="s">
        <v>48</v>
      </c>
      <c r="D2437" s="9" t="s">
        <v>397</v>
      </c>
      <c r="E2437" s="9" t="s">
        <v>17</v>
      </c>
      <c r="F2437" s="9" t="s">
        <v>17</v>
      </c>
      <c r="G2437" s="9" t="s">
        <v>24</v>
      </c>
      <c r="H2437" s="9" t="s">
        <v>17</v>
      </c>
      <c r="I2437" s="9" t="s">
        <v>20</v>
      </c>
      <c r="J2437" s="10"/>
      <c r="K2437" s="1" t="s">
        <v>398</v>
      </c>
      <c r="L2437" s="7"/>
      <c r="M2437" s="7"/>
      <c r="N2437" s="7" t="str">
        <f>IFERROR(__xludf.DUMMYFUNCTION("""COMPUTED_VALUE"""),"Kevin Álvarez|46114")</f>
        <v>Kevin Álvarez|46114</v>
      </c>
      <c r="O2437" s="7">
        <f>IFERROR(__xludf.DUMMYFUNCTION("""COMPUTED_VALUE"""),4.0)</f>
        <v>4</v>
      </c>
    </row>
    <row r="2438" ht="22.5" hidden="1" customHeight="1">
      <c r="A2438" s="8">
        <v>45968.38940216435</v>
      </c>
      <c r="B2438" s="9">
        <v>45968.0</v>
      </c>
      <c r="C2438" s="9" t="s">
        <v>48</v>
      </c>
      <c r="D2438" s="9" t="s">
        <v>361</v>
      </c>
      <c r="E2438" s="9" t="s">
        <v>17</v>
      </c>
      <c r="F2438" s="9" t="s">
        <v>17</v>
      </c>
      <c r="G2438" s="9" t="s">
        <v>24</v>
      </c>
      <c r="H2438" s="9" t="s">
        <v>22</v>
      </c>
      <c r="I2438" s="9" t="s">
        <v>20</v>
      </c>
      <c r="J2438" s="10"/>
      <c r="K2438" s="7" t="s">
        <v>398</v>
      </c>
      <c r="L2438" s="7"/>
      <c r="M2438" s="7"/>
      <c r="N2438" s="7" t="str">
        <f>IFERROR(__xludf.DUMMYFUNCTION("""COMPUTED_VALUE"""),"Miguel Vázquez|46114")</f>
        <v>Miguel Vázquez|46114</v>
      </c>
      <c r="O2438" s="7">
        <f>IFERROR(__xludf.DUMMYFUNCTION("""COMPUTED_VALUE"""),3.0)</f>
        <v>3</v>
      </c>
    </row>
    <row r="2439" ht="22.5" hidden="1" customHeight="1">
      <c r="A2439" s="8">
        <v>45968.395858703705</v>
      </c>
      <c r="B2439" s="9">
        <v>45968.0</v>
      </c>
      <c r="C2439" s="9" t="s">
        <v>48</v>
      </c>
      <c r="D2439" s="9" t="s">
        <v>259</v>
      </c>
      <c r="E2439" s="9" t="s">
        <v>17</v>
      </c>
      <c r="F2439" s="9" t="s">
        <v>18</v>
      </c>
      <c r="G2439" s="9" t="s">
        <v>24</v>
      </c>
      <c r="H2439" s="9" t="s">
        <v>25</v>
      </c>
      <c r="I2439" s="9" t="s">
        <v>37</v>
      </c>
      <c r="J2439" s="10"/>
      <c r="K2439" s="7" t="s">
        <v>398</v>
      </c>
      <c r="L2439" s="7"/>
      <c r="M2439" s="7"/>
      <c r="N2439" s="7" t="str">
        <f>IFERROR(__xludf.DUMMYFUNCTION("""COMPUTED_VALUE"""),"Alan Cervantes|46114")</f>
        <v>Alan Cervantes|46114</v>
      </c>
      <c r="O2439" s="7">
        <f>IFERROR(__xludf.DUMMYFUNCTION("""COMPUTED_VALUE"""),5.0)</f>
        <v>5</v>
      </c>
    </row>
    <row r="2440" ht="22.5" hidden="1" customHeight="1">
      <c r="A2440" s="8">
        <v>45968.396380659724</v>
      </c>
      <c r="B2440" s="9">
        <v>45968.0</v>
      </c>
      <c r="C2440" s="9" t="s">
        <v>48</v>
      </c>
      <c r="D2440" s="9" t="s">
        <v>280</v>
      </c>
      <c r="E2440" s="9" t="s">
        <v>17</v>
      </c>
      <c r="F2440" s="9" t="s">
        <v>17</v>
      </c>
      <c r="G2440" s="9" t="s">
        <v>24</v>
      </c>
      <c r="H2440" s="9" t="s">
        <v>17</v>
      </c>
      <c r="I2440" s="9" t="s">
        <v>20</v>
      </c>
      <c r="J2440" s="10"/>
      <c r="K2440" s="7" t="s">
        <v>398</v>
      </c>
      <c r="L2440" s="7"/>
      <c r="M2440" s="7"/>
      <c r="N2440" s="7" t="str">
        <f>IFERROR(__xludf.DUMMYFUNCTION("""COMPUTED_VALUE"""),"Patricio Salas|46114")</f>
        <v>Patricio Salas|46114</v>
      </c>
      <c r="O2440" s="7">
        <f>IFERROR(__xludf.DUMMYFUNCTION("""COMPUTED_VALUE"""),4.0)</f>
        <v>4</v>
      </c>
    </row>
    <row r="2441" ht="22.5" hidden="1" customHeight="1">
      <c r="A2441" s="8">
        <v>45979.371744027776</v>
      </c>
      <c r="B2441" s="9">
        <v>45979.0</v>
      </c>
      <c r="C2441" s="9" t="s">
        <v>110</v>
      </c>
      <c r="D2441" s="9" t="s">
        <v>249</v>
      </c>
      <c r="E2441" s="9" t="s">
        <v>17</v>
      </c>
      <c r="F2441" s="9" t="s">
        <v>17</v>
      </c>
      <c r="G2441" s="9" t="s">
        <v>24</v>
      </c>
      <c r="H2441" s="9" t="s">
        <v>17</v>
      </c>
      <c r="I2441" s="9" t="s">
        <v>20</v>
      </c>
      <c r="J2441" s="10"/>
      <c r="K2441" s="7" t="s">
        <v>398</v>
      </c>
      <c r="L2441" s="7"/>
      <c r="M2441" s="7"/>
      <c r="N2441" s="7" t="str">
        <f>IFERROR(__xludf.DUMMYFUNCTION("""COMPUTED_VALUE"""),"Jonathan Dos Santos|46114")</f>
        <v>Jonathan Dos Santos|46114</v>
      </c>
      <c r="O2441" s="7">
        <f>IFERROR(__xludf.DUMMYFUNCTION("""COMPUTED_VALUE"""),5.0)</f>
        <v>5</v>
      </c>
    </row>
    <row r="2442" ht="22.5" hidden="1" customHeight="1">
      <c r="A2442" s="8">
        <v>45979.38103636574</v>
      </c>
      <c r="B2442" s="9">
        <v>45979.0</v>
      </c>
      <c r="C2442" s="9" t="s">
        <v>110</v>
      </c>
      <c r="D2442" s="9" t="s">
        <v>393</v>
      </c>
      <c r="E2442" s="9" t="s">
        <v>17</v>
      </c>
      <c r="F2442" s="9" t="s">
        <v>17</v>
      </c>
      <c r="G2442" s="9" t="s">
        <v>24</v>
      </c>
      <c r="H2442" s="9" t="s">
        <v>22</v>
      </c>
      <c r="I2442" s="9" t="s">
        <v>20</v>
      </c>
      <c r="J2442" s="10"/>
      <c r="K2442" s="7" t="s">
        <v>398</v>
      </c>
      <c r="L2442" s="7"/>
      <c r="M2442" s="7"/>
      <c r="N2442" s="7" t="str">
        <f>IFERROR(__xludf.DUMMYFUNCTION("""COMPUTED_VALUE"""),"Ramón Juárez|46114")</f>
        <v>Ramón Juárez|46114</v>
      </c>
      <c r="O2442" s="7">
        <f>IFERROR(__xludf.DUMMYFUNCTION("""COMPUTED_VALUE"""),4.0)</f>
        <v>4</v>
      </c>
    </row>
    <row r="2443" ht="22.5" hidden="1" customHeight="1">
      <c r="A2443" s="8">
        <v>45979.38141162037</v>
      </c>
      <c r="B2443" s="9">
        <v>45979.0</v>
      </c>
      <c r="C2443" s="9" t="s">
        <v>110</v>
      </c>
      <c r="D2443" s="9" t="s">
        <v>168</v>
      </c>
      <c r="E2443" s="9" t="s">
        <v>17</v>
      </c>
      <c r="F2443" s="9" t="s">
        <v>17</v>
      </c>
      <c r="G2443" s="9" t="s">
        <v>24</v>
      </c>
      <c r="H2443" s="9" t="s">
        <v>17</v>
      </c>
      <c r="I2443" s="9" t="s">
        <v>20</v>
      </c>
      <c r="J2443" s="10"/>
      <c r="K2443" s="7" t="s">
        <v>398</v>
      </c>
      <c r="L2443" s="7"/>
      <c r="M2443" s="7"/>
      <c r="N2443" s="7" t="str">
        <f>IFERROR(__xludf.DUMMYFUNCTION("""COMPUTED_VALUE"""),"Néstor Araujo|46114")</f>
        <v>Néstor Araujo|46114</v>
      </c>
      <c r="O2443" s="7">
        <f>IFERROR(__xludf.DUMMYFUNCTION("""COMPUTED_VALUE"""),3.0)</f>
        <v>3</v>
      </c>
    </row>
    <row r="2444" ht="22.5" hidden="1" customHeight="1">
      <c r="A2444" s="8">
        <v>45979.381551053244</v>
      </c>
      <c r="B2444" s="9">
        <v>45979.0</v>
      </c>
      <c r="C2444" s="9" t="s">
        <v>110</v>
      </c>
      <c r="D2444" s="9" t="s">
        <v>361</v>
      </c>
      <c r="E2444" s="9" t="s">
        <v>17</v>
      </c>
      <c r="F2444" s="9" t="s">
        <v>17</v>
      </c>
      <c r="G2444" s="9" t="s">
        <v>24</v>
      </c>
      <c r="H2444" s="9" t="s">
        <v>22</v>
      </c>
      <c r="I2444" s="9" t="s">
        <v>20</v>
      </c>
      <c r="J2444" s="10"/>
      <c r="K2444" s="7" t="s">
        <v>398</v>
      </c>
      <c r="L2444" s="7"/>
      <c r="M2444" s="7"/>
      <c r="N2444" s="7" t="str">
        <f>IFERROR(__xludf.DUMMYFUNCTION("""COMPUTED_VALUE"""),"Paolo Bedolla|46114")</f>
        <v>Paolo Bedolla|46114</v>
      </c>
      <c r="O2444" s="7">
        <f>IFERROR(__xludf.DUMMYFUNCTION("""COMPUTED_VALUE"""),4.0)</f>
        <v>4</v>
      </c>
    </row>
    <row r="2445" ht="22.5" hidden="1" customHeight="1">
      <c r="A2445" s="8">
        <v>45979.38177255787</v>
      </c>
      <c r="B2445" s="9">
        <v>45979.0</v>
      </c>
      <c r="C2445" s="9" t="s">
        <v>110</v>
      </c>
      <c r="D2445" s="9" t="s">
        <v>280</v>
      </c>
      <c r="E2445" s="9" t="s">
        <v>17</v>
      </c>
      <c r="F2445" s="9" t="s">
        <v>17</v>
      </c>
      <c r="G2445" s="9" t="s">
        <v>24</v>
      </c>
      <c r="H2445" s="9" t="s">
        <v>22</v>
      </c>
      <c r="I2445" s="9" t="s">
        <v>20</v>
      </c>
      <c r="J2445" s="10"/>
      <c r="K2445" s="7" t="s">
        <v>398</v>
      </c>
      <c r="L2445" s="7"/>
      <c r="M2445" s="7"/>
      <c r="N2445" s="7" t="str">
        <f>IFERROR(__xludf.DUMMYFUNCTION("""COMPUTED_VALUE"""),"Santiago Naveda|46114")</f>
        <v>Santiago Naveda|46114</v>
      </c>
      <c r="O2445" s="7">
        <f>IFERROR(__xludf.DUMMYFUNCTION("""COMPUTED_VALUE"""),3.0)</f>
        <v>3</v>
      </c>
    </row>
    <row r="2446" ht="22.5" hidden="1" customHeight="1">
      <c r="A2446" s="8">
        <v>45979.38241262731</v>
      </c>
      <c r="B2446" s="9">
        <v>45979.0</v>
      </c>
      <c r="C2446" s="9" t="s">
        <v>110</v>
      </c>
      <c r="D2446" s="9" t="s">
        <v>397</v>
      </c>
      <c r="E2446" s="9" t="s">
        <v>17</v>
      </c>
      <c r="F2446" s="9" t="s">
        <v>17</v>
      </c>
      <c r="G2446" s="9" t="s">
        <v>24</v>
      </c>
      <c r="H2446" s="9" t="s">
        <v>17</v>
      </c>
      <c r="I2446" s="9" t="s">
        <v>20</v>
      </c>
      <c r="J2446" s="10"/>
      <c r="K2446" s="1" t="s">
        <v>398</v>
      </c>
      <c r="L2446" s="7"/>
      <c r="M2446" s="7"/>
      <c r="N2446" s="7" t="str">
        <f>IFERROR(__xludf.DUMMYFUNCTION("""COMPUTED_VALUE"""),"Isaías Violante|46114")</f>
        <v>Isaías Violante|46114</v>
      </c>
      <c r="O2446" s="7">
        <f>IFERROR(__xludf.DUMMYFUNCTION("""COMPUTED_VALUE"""),3.0)</f>
        <v>3</v>
      </c>
    </row>
    <row r="2447" ht="22.5" hidden="1" customHeight="1">
      <c r="A2447" s="8">
        <v>45979.382770358796</v>
      </c>
      <c r="B2447" s="9">
        <v>45979.0</v>
      </c>
      <c r="C2447" s="9" t="s">
        <v>110</v>
      </c>
      <c r="D2447" s="9" t="s">
        <v>171</v>
      </c>
      <c r="E2447" s="9" t="s">
        <v>17</v>
      </c>
      <c r="F2447" s="9" t="s">
        <v>17</v>
      </c>
      <c r="G2447" s="9" t="s">
        <v>24</v>
      </c>
      <c r="H2447" s="9" t="s">
        <v>17</v>
      </c>
      <c r="I2447" s="9" t="s">
        <v>26</v>
      </c>
      <c r="J2447" s="10"/>
      <c r="K2447" s="7" t="s">
        <v>398</v>
      </c>
      <c r="L2447" s="7"/>
      <c r="M2447" s="7"/>
      <c r="N2447" s="7" t="str">
        <f>IFERROR(__xludf.DUMMYFUNCTION("""COMPUTED_VALUE"""),"Dagoberto Espinoza|46114")</f>
        <v>Dagoberto Espinoza|46114</v>
      </c>
      <c r="O2447" s="7">
        <f>IFERROR(__xludf.DUMMYFUNCTION("""COMPUTED_VALUE"""),4.0)</f>
        <v>4</v>
      </c>
    </row>
    <row r="2448" ht="22.5" hidden="1" customHeight="1">
      <c r="A2448" s="8">
        <v>45979.38304634259</v>
      </c>
      <c r="B2448" s="9">
        <v>45979.0</v>
      </c>
      <c r="C2448" s="9" t="s">
        <v>110</v>
      </c>
      <c r="D2448" s="9" t="s">
        <v>257</v>
      </c>
      <c r="E2448" s="9" t="s">
        <v>17</v>
      </c>
      <c r="F2448" s="9" t="s">
        <v>17</v>
      </c>
      <c r="G2448" s="9" t="s">
        <v>24</v>
      </c>
      <c r="H2448" s="9" t="s">
        <v>22</v>
      </c>
      <c r="I2448" s="9" t="s">
        <v>20</v>
      </c>
      <c r="J2448" s="10"/>
      <c r="K2448" s="7" t="s">
        <v>398</v>
      </c>
      <c r="L2448" s="7"/>
      <c r="M2448" s="7"/>
      <c r="N2448" s="7" t="str">
        <f>IFERROR(__xludf.DUMMYFUNCTION("""COMPUTED_VALUE"""),"Fernando Tapia|46114")</f>
        <v>Fernando Tapia|46114</v>
      </c>
      <c r="O2448" s="7">
        <f>IFERROR(__xludf.DUMMYFUNCTION("""COMPUTED_VALUE"""),3.0)</f>
        <v>3</v>
      </c>
    </row>
    <row r="2449" ht="22.5" hidden="1" customHeight="1">
      <c r="A2449" s="8">
        <v>45979.38318224537</v>
      </c>
      <c r="B2449" s="9">
        <v>45979.0</v>
      </c>
      <c r="C2449" s="9" t="s">
        <v>110</v>
      </c>
      <c r="D2449" s="9" t="s">
        <v>258</v>
      </c>
      <c r="E2449" s="9" t="s">
        <v>17</v>
      </c>
      <c r="F2449" s="9" t="s">
        <v>17</v>
      </c>
      <c r="G2449" s="9" t="s">
        <v>24</v>
      </c>
      <c r="H2449" s="9" t="s">
        <v>22</v>
      </c>
      <c r="I2449" s="9" t="s">
        <v>20</v>
      </c>
      <c r="J2449" s="10"/>
      <c r="K2449" s="7" t="s">
        <v>398</v>
      </c>
      <c r="L2449" s="7"/>
      <c r="M2449" s="7"/>
      <c r="N2449" s="7" t="str">
        <f>IFERROR(__xludf.DUMMYFUNCTION("""COMPUTED_VALUE"""),"Alejando Zendejas|46114")</f>
        <v>Alejando Zendejas|46114</v>
      </c>
      <c r="O2449" s="7">
        <f>IFERROR(__xludf.DUMMYFUNCTION("""COMPUTED_VALUE"""),2.0)</f>
        <v>2</v>
      </c>
    </row>
    <row r="2450" ht="22.5" hidden="1" customHeight="1">
      <c r="A2450" s="8">
        <v>45979.38356877315</v>
      </c>
      <c r="B2450" s="9">
        <v>45979.0</v>
      </c>
      <c r="C2450" s="9" t="s">
        <v>110</v>
      </c>
      <c r="D2450" s="9" t="s">
        <v>210</v>
      </c>
      <c r="E2450" s="9" t="s">
        <v>17</v>
      </c>
      <c r="F2450" s="9" t="s">
        <v>17</v>
      </c>
      <c r="G2450" s="9" t="s">
        <v>24</v>
      </c>
      <c r="H2450" s="9" t="s">
        <v>22</v>
      </c>
      <c r="I2450" s="9" t="s">
        <v>20</v>
      </c>
      <c r="J2450" s="10"/>
      <c r="K2450" s="7" t="s">
        <v>398</v>
      </c>
      <c r="L2450" s="7"/>
      <c r="M2450" s="7"/>
      <c r="N2450" s="7" t="str">
        <f>IFERROR(__xludf.DUMMYFUNCTION("""COMPUTED_VALUE"""),"Rodolfo Cota|46121")</f>
        <v>Rodolfo Cota|46121</v>
      </c>
      <c r="O2450" s="7">
        <f>IFERROR(__xludf.DUMMYFUNCTION("""COMPUTED_VALUE"""),2.0)</f>
        <v>2</v>
      </c>
    </row>
    <row r="2451" ht="22.5" hidden="1" customHeight="1">
      <c r="A2451" s="8">
        <v>45979.383746493055</v>
      </c>
      <c r="B2451" s="9">
        <v>45979.0</v>
      </c>
      <c r="C2451" s="9" t="s">
        <v>110</v>
      </c>
      <c r="D2451" s="9" t="s">
        <v>350</v>
      </c>
      <c r="E2451" s="9" t="s">
        <v>17</v>
      </c>
      <c r="F2451" s="9" t="s">
        <v>17</v>
      </c>
      <c r="G2451" s="9" t="s">
        <v>24</v>
      </c>
      <c r="H2451" s="9" t="s">
        <v>22</v>
      </c>
      <c r="I2451" s="9" t="s">
        <v>20</v>
      </c>
      <c r="J2451" s="10"/>
      <c r="K2451" s="7" t="s">
        <v>398</v>
      </c>
      <c r="L2451" s="7"/>
      <c r="M2451" s="7"/>
      <c r="N2451" s="7" t="str">
        <f>IFERROR(__xludf.DUMMYFUNCTION("""COMPUTED_VALUE"""),"Dagoberto Espinoza|46121")</f>
        <v>Dagoberto Espinoza|46121</v>
      </c>
      <c r="O2451" s="7">
        <f>IFERROR(__xludf.DUMMYFUNCTION("""COMPUTED_VALUE"""),7.0)</f>
        <v>7</v>
      </c>
    </row>
    <row r="2452" ht="22.5" hidden="1" customHeight="1">
      <c r="A2452" s="8">
        <v>45979.38665796296</v>
      </c>
      <c r="B2452" s="9">
        <v>45979.0</v>
      </c>
      <c r="C2452" s="9" t="s">
        <v>110</v>
      </c>
      <c r="D2452" s="9" t="s">
        <v>357</v>
      </c>
      <c r="E2452" s="9" t="s">
        <v>17</v>
      </c>
      <c r="F2452" s="9" t="s">
        <v>17</v>
      </c>
      <c r="G2452" s="9" t="s">
        <v>24</v>
      </c>
      <c r="H2452" s="9" t="s">
        <v>22</v>
      </c>
      <c r="I2452" s="9" t="s">
        <v>20</v>
      </c>
      <c r="J2452" s="10"/>
      <c r="K2452" s="7" t="s">
        <v>398</v>
      </c>
      <c r="L2452" s="7"/>
      <c r="M2452" s="7"/>
      <c r="N2452" s="7" t="str">
        <f>IFERROR(__xludf.DUMMYFUNCTION("""COMPUTED_VALUE"""),"Santiago Naveda|46121")</f>
        <v>Santiago Naveda|46121</v>
      </c>
      <c r="O2452" s="7">
        <f>IFERROR(__xludf.DUMMYFUNCTION("""COMPUTED_VALUE"""),5.0)</f>
        <v>5</v>
      </c>
    </row>
    <row r="2453" ht="22.5" hidden="1" customHeight="1">
      <c r="A2453" s="8">
        <v>45979.39523810185</v>
      </c>
      <c r="B2453" s="9">
        <v>45979.0</v>
      </c>
      <c r="C2453" s="9" t="s">
        <v>110</v>
      </c>
      <c r="D2453" s="9" t="s">
        <v>259</v>
      </c>
      <c r="E2453" s="9" t="s">
        <v>17</v>
      </c>
      <c r="F2453" s="9" t="s">
        <v>17</v>
      </c>
      <c r="G2453" s="9" t="s">
        <v>24</v>
      </c>
      <c r="H2453" s="9" t="s">
        <v>25</v>
      </c>
      <c r="I2453" s="9" t="s">
        <v>67</v>
      </c>
      <c r="J2453" s="10"/>
      <c r="K2453" s="7" t="s">
        <v>398</v>
      </c>
      <c r="L2453" s="7"/>
      <c r="M2453" s="7"/>
      <c r="N2453" s="7" t="str">
        <f>IFERROR(__xludf.DUMMYFUNCTION("""COMPUTED_VALUE"""),"Vinícius Lima|46121")</f>
        <v>Vinícius Lima|46121</v>
      </c>
      <c r="O2453" s="7">
        <f>IFERROR(__xludf.DUMMYFUNCTION("""COMPUTED_VALUE"""),3.0)</f>
        <v>3</v>
      </c>
    </row>
    <row r="2454" ht="22.5" hidden="1" customHeight="1">
      <c r="A2454" s="8">
        <v>45979.40328141204</v>
      </c>
      <c r="B2454" s="9">
        <v>45979.0</v>
      </c>
      <c r="C2454" s="9" t="s">
        <v>110</v>
      </c>
      <c r="D2454" s="9" t="s">
        <v>367</v>
      </c>
      <c r="E2454" s="9" t="s">
        <v>17</v>
      </c>
      <c r="F2454" s="9" t="s">
        <v>17</v>
      </c>
      <c r="G2454" s="9" t="s">
        <v>24</v>
      </c>
      <c r="H2454" s="9" t="s">
        <v>17</v>
      </c>
      <c r="I2454" s="9" t="s">
        <v>20</v>
      </c>
      <c r="J2454" s="10"/>
      <c r="K2454" s="7" t="s">
        <v>398</v>
      </c>
      <c r="L2454" s="7"/>
      <c r="M2454" s="7"/>
      <c r="N2454" s="7" t="str">
        <f>IFERROR(__xludf.DUMMYFUNCTION("""COMPUTED_VALUE"""),"Néstor Araujo|46121")</f>
        <v>Néstor Araujo|46121</v>
      </c>
      <c r="O2454" s="7">
        <f>IFERROR(__xludf.DUMMYFUNCTION("""COMPUTED_VALUE"""),4.0)</f>
        <v>4</v>
      </c>
    </row>
    <row r="2455" ht="22.5" hidden="1" customHeight="1">
      <c r="A2455" s="8">
        <v>45980.33732693287</v>
      </c>
      <c r="B2455" s="9">
        <v>45980.0</v>
      </c>
      <c r="C2455" s="9" t="s">
        <v>15</v>
      </c>
      <c r="D2455" s="9" t="s">
        <v>258</v>
      </c>
      <c r="E2455" s="9" t="s">
        <v>17</v>
      </c>
      <c r="F2455" s="9" t="s">
        <v>17</v>
      </c>
      <c r="G2455" s="9" t="s">
        <v>24</v>
      </c>
      <c r="H2455" s="9" t="s">
        <v>25</v>
      </c>
      <c r="I2455" s="9" t="s">
        <v>67</v>
      </c>
      <c r="J2455" s="10"/>
      <c r="K2455" s="7" t="s">
        <v>398</v>
      </c>
      <c r="L2455" s="7"/>
      <c r="M2455" s="7"/>
      <c r="N2455" s="7" t="str">
        <f>IFERROR(__xludf.DUMMYFUNCTION("""COMPUTED_VALUE"""),"José Raúl Zúñiga|46121")</f>
        <v>José Raúl Zúñiga|46121</v>
      </c>
      <c r="O2455" s="7">
        <f>IFERROR(__xludf.DUMMYFUNCTION("""COMPUTED_VALUE"""),4.0)</f>
        <v>4</v>
      </c>
    </row>
    <row r="2456" ht="22.5" hidden="1" customHeight="1">
      <c r="A2456" s="8">
        <v>45980.337807303236</v>
      </c>
      <c r="B2456" s="9">
        <v>45980.0</v>
      </c>
      <c r="C2456" s="9" t="s">
        <v>15</v>
      </c>
      <c r="D2456" s="9" t="s">
        <v>249</v>
      </c>
      <c r="E2456" s="9" t="s">
        <v>17</v>
      </c>
      <c r="F2456" s="9" t="s">
        <v>17</v>
      </c>
      <c r="G2456" s="9" t="s">
        <v>24</v>
      </c>
      <c r="H2456" s="9" t="s">
        <v>17</v>
      </c>
      <c r="I2456" s="9" t="s">
        <v>20</v>
      </c>
      <c r="J2456" s="10"/>
      <c r="K2456" s="7" t="s">
        <v>398</v>
      </c>
      <c r="L2456" s="7"/>
      <c r="M2456" s="7"/>
      <c r="N2456" s="7" t="str">
        <f>IFERROR(__xludf.DUMMYFUNCTION("""COMPUTED_VALUE"""),"Alexis Gutiérrez|46121")</f>
        <v>Alexis Gutiérrez|46121</v>
      </c>
      <c r="O2456" s="7">
        <f>IFERROR(__xludf.DUMMYFUNCTION("""COMPUTED_VALUE"""),5.0)</f>
        <v>5</v>
      </c>
    </row>
    <row r="2457" ht="22.5" hidden="1" customHeight="1">
      <c r="A2457" s="8">
        <v>45980.352399537034</v>
      </c>
      <c r="B2457" s="9">
        <v>45980.0</v>
      </c>
      <c r="C2457" s="9" t="s">
        <v>15</v>
      </c>
      <c r="D2457" s="9" t="s">
        <v>171</v>
      </c>
      <c r="E2457" s="9" t="s">
        <v>17</v>
      </c>
      <c r="F2457" s="9" t="s">
        <v>17</v>
      </c>
      <c r="G2457" s="9" t="s">
        <v>24</v>
      </c>
      <c r="H2457" s="9" t="s">
        <v>17</v>
      </c>
      <c r="I2457" s="9" t="s">
        <v>20</v>
      </c>
      <c r="J2457" s="10"/>
      <c r="K2457" s="7" t="s">
        <v>398</v>
      </c>
      <c r="L2457" s="7"/>
      <c r="M2457" s="7"/>
      <c r="N2457" s="7" t="str">
        <f>IFERROR(__xludf.DUMMYFUNCTION("""COMPUTED_VALUE"""),"Cristian Borja|46121")</f>
        <v>Cristian Borja|46121</v>
      </c>
      <c r="O2457" s="7">
        <f>IFERROR(__xludf.DUMMYFUNCTION("""COMPUTED_VALUE"""),7.0)</f>
        <v>7</v>
      </c>
    </row>
    <row r="2458" ht="22.5" hidden="1" customHeight="1">
      <c r="A2458" s="8">
        <v>45980.355132013894</v>
      </c>
      <c r="B2458" s="9">
        <v>45980.0</v>
      </c>
      <c r="C2458" s="9" t="s">
        <v>15</v>
      </c>
      <c r="D2458" s="9" t="s">
        <v>168</v>
      </c>
      <c r="E2458" s="9" t="s">
        <v>17</v>
      </c>
      <c r="F2458" s="9" t="s">
        <v>17</v>
      </c>
      <c r="G2458" s="9" t="s">
        <v>24</v>
      </c>
      <c r="H2458" s="9" t="s">
        <v>17</v>
      </c>
      <c r="I2458" s="9" t="s">
        <v>20</v>
      </c>
      <c r="J2458" s="10"/>
      <c r="K2458" s="7" t="s">
        <v>398</v>
      </c>
      <c r="L2458" s="7"/>
      <c r="M2458" s="7"/>
      <c r="N2458" s="7" t="str">
        <f>IFERROR(__xludf.DUMMYFUNCTION("""COMPUTED_VALUE"""),"Jonathan Dos Santos|46121")</f>
        <v>Jonathan Dos Santos|46121</v>
      </c>
      <c r="O2458" s="7">
        <f>IFERROR(__xludf.DUMMYFUNCTION("""COMPUTED_VALUE"""),6.0)</f>
        <v>6</v>
      </c>
    </row>
    <row r="2459" ht="22.5" hidden="1" customHeight="1">
      <c r="A2459" s="8">
        <v>45980.36229711806</v>
      </c>
      <c r="B2459" s="9">
        <v>45980.0</v>
      </c>
      <c r="C2459" s="9" t="s">
        <v>15</v>
      </c>
      <c r="D2459" s="9" t="s">
        <v>257</v>
      </c>
      <c r="E2459" s="9" t="s">
        <v>17</v>
      </c>
      <c r="F2459" s="9" t="s">
        <v>17</v>
      </c>
      <c r="G2459" s="9" t="s">
        <v>24</v>
      </c>
      <c r="H2459" s="9" t="s">
        <v>17</v>
      </c>
      <c r="I2459" s="9" t="s">
        <v>20</v>
      </c>
      <c r="J2459" s="10"/>
      <c r="K2459" s="7" t="s">
        <v>398</v>
      </c>
      <c r="L2459" s="7"/>
      <c r="M2459" s="7"/>
      <c r="N2459" s="7" t="str">
        <f>IFERROR(__xludf.DUMMYFUNCTION("""COMPUTED_VALUE"""),"Fernando Tapia|46121")</f>
        <v>Fernando Tapia|46121</v>
      </c>
      <c r="O2459" s="7">
        <f>IFERROR(__xludf.DUMMYFUNCTION("""COMPUTED_VALUE"""),3.0)</f>
        <v>3</v>
      </c>
    </row>
    <row r="2460" ht="22.5" hidden="1" customHeight="1">
      <c r="A2460" s="8">
        <v>45980.37232134259</v>
      </c>
      <c r="B2460" s="9">
        <v>45980.0</v>
      </c>
      <c r="C2460" s="9" t="s">
        <v>15</v>
      </c>
      <c r="D2460" s="9" t="s">
        <v>393</v>
      </c>
      <c r="E2460" s="9" t="s">
        <v>17</v>
      </c>
      <c r="F2460" s="9" t="s">
        <v>17</v>
      </c>
      <c r="G2460" s="9" t="s">
        <v>24</v>
      </c>
      <c r="H2460" s="9" t="s">
        <v>22</v>
      </c>
      <c r="I2460" s="9" t="s">
        <v>20</v>
      </c>
      <c r="J2460" s="10"/>
      <c r="K2460" s="7" t="s">
        <v>398</v>
      </c>
      <c r="L2460" s="7"/>
      <c r="M2460" s="7"/>
      <c r="N2460" s="7" t="str">
        <f>IFERROR(__xludf.DUMMYFUNCTION("""COMPUTED_VALUE"""),"Alan Cervantes|46121")</f>
        <v>Alan Cervantes|46121</v>
      </c>
      <c r="O2460" s="7">
        <f>IFERROR(__xludf.DUMMYFUNCTION("""COMPUTED_VALUE"""),6.0)</f>
        <v>6</v>
      </c>
    </row>
    <row r="2461" ht="22.5" hidden="1" customHeight="1">
      <c r="A2461" s="8">
        <v>45980.37654516204</v>
      </c>
      <c r="B2461" s="9">
        <v>45980.0</v>
      </c>
      <c r="C2461" s="9" t="s">
        <v>15</v>
      </c>
      <c r="D2461" s="9" t="s">
        <v>397</v>
      </c>
      <c r="E2461" s="9" t="s">
        <v>17</v>
      </c>
      <c r="F2461" s="9" t="s">
        <v>17</v>
      </c>
      <c r="G2461" s="9" t="s">
        <v>24</v>
      </c>
      <c r="H2461" s="9" t="s">
        <v>25</v>
      </c>
      <c r="I2461" s="9" t="s">
        <v>402</v>
      </c>
      <c r="J2461" s="10"/>
      <c r="K2461" s="1" t="s">
        <v>398</v>
      </c>
      <c r="L2461" s="7"/>
      <c r="M2461" s="7"/>
      <c r="N2461" s="7" t="str">
        <f>IFERROR(__xludf.DUMMYFUNCTION("""COMPUTED_VALUE"""),"Brian Rodríguez|46121")</f>
        <v>Brian Rodríguez|46121</v>
      </c>
      <c r="O2461" s="7">
        <f>IFERROR(__xludf.DUMMYFUNCTION("""COMPUTED_VALUE"""),2.0)</f>
        <v>2</v>
      </c>
    </row>
    <row r="2462" ht="22.5" hidden="1" customHeight="1">
      <c r="A2462" s="8">
        <v>45980.37741714121</v>
      </c>
      <c r="B2462" s="9">
        <v>45980.0</v>
      </c>
      <c r="C2462" s="9" t="s">
        <v>15</v>
      </c>
      <c r="D2462" s="9" t="s">
        <v>175</v>
      </c>
      <c r="E2462" s="9" t="s">
        <v>17</v>
      </c>
      <c r="F2462" s="9" t="s">
        <v>17</v>
      </c>
      <c r="G2462" s="9" t="s">
        <v>24</v>
      </c>
      <c r="H2462" s="9" t="s">
        <v>17</v>
      </c>
      <c r="I2462" s="9" t="s">
        <v>20</v>
      </c>
      <c r="J2462" s="10"/>
      <c r="K2462" s="7" t="s">
        <v>398</v>
      </c>
      <c r="L2462" s="7"/>
      <c r="M2462" s="7"/>
      <c r="N2462" s="7" t="str">
        <f>IFERROR(__xludf.DUMMYFUNCTION("""COMPUTED_VALUE"""),"Paolo Bedolla|46121")</f>
        <v>Paolo Bedolla|46121</v>
      </c>
      <c r="O2462" s="7">
        <f>IFERROR(__xludf.DUMMYFUNCTION("""COMPUTED_VALUE"""),3.0)</f>
        <v>3</v>
      </c>
    </row>
    <row r="2463" ht="22.5" hidden="1" customHeight="1">
      <c r="A2463" s="8">
        <v>45980.379511990745</v>
      </c>
      <c r="B2463" s="9">
        <v>45980.0</v>
      </c>
      <c r="C2463" s="9" t="s">
        <v>15</v>
      </c>
      <c r="D2463" s="9" t="s">
        <v>259</v>
      </c>
      <c r="E2463" s="9" t="s">
        <v>17</v>
      </c>
      <c r="F2463" s="9" t="s">
        <v>17</v>
      </c>
      <c r="G2463" s="9" t="s">
        <v>24</v>
      </c>
      <c r="H2463" s="9" t="s">
        <v>17</v>
      </c>
      <c r="I2463" s="9" t="s">
        <v>37</v>
      </c>
      <c r="J2463" s="10"/>
      <c r="K2463" s="7" t="s">
        <v>398</v>
      </c>
      <c r="L2463" s="7"/>
      <c r="M2463" s="7"/>
      <c r="N2463" s="7" t="str">
        <f>IFERROR(__xludf.DUMMYFUNCTION("""COMPUTED_VALUE"""),"Aaron Mejia|46121")</f>
        <v>Aaron Mejia|46121</v>
      </c>
      <c r="O2463" s="7">
        <f>IFERROR(__xludf.DUMMYFUNCTION("""COMPUTED_VALUE"""),4.0)</f>
        <v>4</v>
      </c>
    </row>
    <row r="2464" ht="22.5" hidden="1" customHeight="1">
      <c r="A2464" s="8">
        <v>45980.38000016204</v>
      </c>
      <c r="B2464" s="9">
        <v>45980.0</v>
      </c>
      <c r="C2464" s="9" t="s">
        <v>15</v>
      </c>
      <c r="D2464" s="9" t="s">
        <v>357</v>
      </c>
      <c r="E2464" s="9" t="s">
        <v>17</v>
      </c>
      <c r="F2464" s="9" t="s">
        <v>17</v>
      </c>
      <c r="G2464" s="9" t="s">
        <v>24</v>
      </c>
      <c r="H2464" s="9" t="s">
        <v>22</v>
      </c>
      <c r="I2464" s="9" t="s">
        <v>20</v>
      </c>
      <c r="J2464" s="10"/>
      <c r="K2464" s="7" t="s">
        <v>398</v>
      </c>
      <c r="L2464" s="7"/>
      <c r="M2464" s="7"/>
      <c r="N2464" s="7" t="str">
        <f>IFERROR(__xludf.DUMMYFUNCTION("""COMPUTED_VALUE"""),"Kevin Álvarez|46124")</f>
        <v>Kevin Álvarez|46124</v>
      </c>
      <c r="O2464" s="7">
        <f>IFERROR(__xludf.DUMMYFUNCTION("""COMPUTED_VALUE"""),6.0)</f>
        <v>6</v>
      </c>
    </row>
    <row r="2465" ht="22.5" hidden="1" customHeight="1">
      <c r="A2465" s="8">
        <v>45980.380176226856</v>
      </c>
      <c r="B2465" s="9">
        <v>45980.0</v>
      </c>
      <c r="C2465" s="9" t="s">
        <v>15</v>
      </c>
      <c r="D2465" s="9" t="s">
        <v>361</v>
      </c>
      <c r="E2465" s="9" t="s">
        <v>17</v>
      </c>
      <c r="F2465" s="9" t="s">
        <v>17</v>
      </c>
      <c r="G2465" s="9" t="s">
        <v>24</v>
      </c>
      <c r="H2465" s="9" t="s">
        <v>17</v>
      </c>
      <c r="I2465" s="9" t="s">
        <v>20</v>
      </c>
      <c r="J2465" s="10"/>
      <c r="K2465" s="7" t="s">
        <v>398</v>
      </c>
      <c r="L2465" s="7"/>
      <c r="M2465" s="7"/>
      <c r="N2465" s="7" t="str">
        <f>IFERROR(__xludf.DUMMYFUNCTION("""COMPUTED_VALUE"""),"Dagoberto Espinoza|46124")</f>
        <v>Dagoberto Espinoza|46124</v>
      </c>
      <c r="O2465" s="7">
        <f>IFERROR(__xludf.DUMMYFUNCTION("""COMPUTED_VALUE"""),10.0)</f>
        <v>10</v>
      </c>
    </row>
    <row r="2466" ht="22.5" hidden="1" customHeight="1">
      <c r="A2466" s="8">
        <v>45981.34220226852</v>
      </c>
      <c r="B2466" s="9">
        <v>45981.0</v>
      </c>
      <c r="C2466" s="9" t="s">
        <v>31</v>
      </c>
      <c r="D2466" s="9" t="s">
        <v>258</v>
      </c>
      <c r="E2466" s="9" t="s">
        <v>17</v>
      </c>
      <c r="F2466" s="9" t="s">
        <v>17</v>
      </c>
      <c r="G2466" s="9" t="s">
        <v>24</v>
      </c>
      <c r="H2466" s="9" t="s">
        <v>25</v>
      </c>
      <c r="I2466" s="9" t="s">
        <v>67</v>
      </c>
      <c r="J2466" s="10"/>
      <c r="K2466" s="7" t="s">
        <v>398</v>
      </c>
      <c r="L2466" s="7"/>
      <c r="M2466" s="7"/>
      <c r="N2466" s="7" t="str">
        <f>IFERROR(__xludf.DUMMYFUNCTION("""COMPUTED_VALUE"""),"Thiago Espinosa|46124")</f>
        <v>Thiago Espinosa|46124</v>
      </c>
      <c r="O2466" s="7">
        <f>IFERROR(__xludf.DUMMYFUNCTION("""COMPUTED_VALUE"""),7.0)</f>
        <v>7</v>
      </c>
    </row>
    <row r="2467" ht="22.5" hidden="1" customHeight="1">
      <c r="A2467" s="8">
        <v>45981.34241208334</v>
      </c>
      <c r="B2467" s="9">
        <v>45981.0</v>
      </c>
      <c r="C2467" s="9" t="s">
        <v>31</v>
      </c>
      <c r="D2467" s="9" t="s">
        <v>249</v>
      </c>
      <c r="E2467" s="9" t="s">
        <v>17</v>
      </c>
      <c r="F2467" s="9" t="s">
        <v>17</v>
      </c>
      <c r="G2467" s="9" t="s">
        <v>24</v>
      </c>
      <c r="H2467" s="9" t="s">
        <v>17</v>
      </c>
      <c r="I2467" s="9" t="s">
        <v>20</v>
      </c>
      <c r="J2467" s="10"/>
      <c r="K2467" s="7" t="s">
        <v>398</v>
      </c>
      <c r="L2467" s="7"/>
      <c r="M2467" s="7"/>
      <c r="N2467" s="7" t="str">
        <f>IFERROR(__xludf.DUMMYFUNCTION("""COMPUTED_VALUE"""),"Miguel Vázquez|46124")</f>
        <v>Miguel Vázquez|46124</v>
      </c>
      <c r="O2467" s="7">
        <f>IFERROR(__xludf.DUMMYFUNCTION("""COMPUTED_VALUE"""),5.0)</f>
        <v>5</v>
      </c>
    </row>
    <row r="2468" ht="22.5" hidden="1" customHeight="1">
      <c r="A2468" s="8">
        <v>45981.36439379629</v>
      </c>
      <c r="B2468" s="9">
        <v>45981.0</v>
      </c>
      <c r="C2468" s="9" t="s">
        <v>31</v>
      </c>
      <c r="D2468" s="9" t="s">
        <v>393</v>
      </c>
      <c r="E2468" s="9" t="s">
        <v>17</v>
      </c>
      <c r="F2468" s="9" t="s">
        <v>18</v>
      </c>
      <c r="G2468" s="9" t="s">
        <v>24</v>
      </c>
      <c r="H2468" s="9" t="s">
        <v>22</v>
      </c>
      <c r="I2468" s="9" t="s">
        <v>20</v>
      </c>
      <c r="J2468" s="10"/>
      <c r="K2468" s="7" t="s">
        <v>398</v>
      </c>
      <c r="L2468" s="7"/>
      <c r="M2468" s="7"/>
      <c r="N2468" s="7" t="str">
        <f>IFERROR(__xludf.DUMMYFUNCTION("""COMPUTED_VALUE"""),"Aaron Mejia|46124")</f>
        <v>Aaron Mejia|46124</v>
      </c>
      <c r="O2468" s="7">
        <f>IFERROR(__xludf.DUMMYFUNCTION("""COMPUTED_VALUE"""),4.0)</f>
        <v>4</v>
      </c>
    </row>
    <row r="2469" ht="22.5" hidden="1" customHeight="1">
      <c r="A2469" s="8">
        <v>45981.36458327546</v>
      </c>
      <c r="B2469" s="9">
        <v>45981.0</v>
      </c>
      <c r="C2469" s="9" t="s">
        <v>31</v>
      </c>
      <c r="D2469" s="9" t="s">
        <v>395</v>
      </c>
      <c r="E2469" s="9" t="s">
        <v>17</v>
      </c>
      <c r="F2469" s="9" t="s">
        <v>17</v>
      </c>
      <c r="G2469" s="9" t="s">
        <v>24</v>
      </c>
      <c r="H2469" s="9" t="s">
        <v>17</v>
      </c>
      <c r="I2469" s="9" t="s">
        <v>20</v>
      </c>
      <c r="J2469" s="10"/>
      <c r="K2469" s="7" t="s">
        <v>398</v>
      </c>
      <c r="L2469" s="7"/>
      <c r="M2469" s="7"/>
      <c r="N2469" s="7" t="str">
        <f>IFERROR(__xludf.DUMMYFUNCTION("""COMPUTED_VALUE"""),"Alexis Gutiérrez|46124")</f>
        <v>Alexis Gutiérrez|46124</v>
      </c>
      <c r="O2469" s="7">
        <f>IFERROR(__xludf.DUMMYFUNCTION("""COMPUTED_VALUE"""),5.0)</f>
        <v>5</v>
      </c>
    </row>
    <row r="2470" ht="22.5" hidden="1" customHeight="1">
      <c r="A2470" s="8">
        <v>45981.367529571755</v>
      </c>
      <c r="B2470" s="9">
        <v>45981.0</v>
      </c>
      <c r="C2470" s="9" t="s">
        <v>31</v>
      </c>
      <c r="D2470" s="9" t="s">
        <v>171</v>
      </c>
      <c r="E2470" s="9" t="s">
        <v>17</v>
      </c>
      <c r="F2470" s="9" t="s">
        <v>17</v>
      </c>
      <c r="G2470" s="9" t="s">
        <v>24</v>
      </c>
      <c r="H2470" s="9" t="s">
        <v>17</v>
      </c>
      <c r="I2470" s="9" t="s">
        <v>26</v>
      </c>
      <c r="J2470" s="10"/>
      <c r="K2470" s="7" t="s">
        <v>398</v>
      </c>
      <c r="L2470" s="7"/>
      <c r="M2470" s="7"/>
      <c r="N2470" s="7" t="str">
        <f>IFERROR(__xludf.DUMMYFUNCTION("""COMPUTED_VALUE"""),"Fernando Tapia|46124")</f>
        <v>Fernando Tapia|46124</v>
      </c>
      <c r="O2470" s="7">
        <f>IFERROR(__xludf.DUMMYFUNCTION("""COMPUTED_VALUE"""),4.0)</f>
        <v>4</v>
      </c>
    </row>
    <row r="2471" ht="22.5" hidden="1" customHeight="1">
      <c r="A2471" s="8">
        <v>45981.37876619213</v>
      </c>
      <c r="B2471" s="9">
        <v>45981.0</v>
      </c>
      <c r="C2471" s="9" t="s">
        <v>31</v>
      </c>
      <c r="D2471" s="9" t="s">
        <v>396</v>
      </c>
      <c r="E2471" s="9" t="s">
        <v>61</v>
      </c>
      <c r="F2471" s="9" t="s">
        <v>17</v>
      </c>
      <c r="G2471" s="9" t="s">
        <v>24</v>
      </c>
      <c r="H2471" s="9" t="s">
        <v>17</v>
      </c>
      <c r="I2471" s="9" t="s">
        <v>20</v>
      </c>
      <c r="J2471" s="10"/>
      <c r="K2471" s="7" t="s">
        <v>398</v>
      </c>
      <c r="L2471" s="7"/>
      <c r="M2471" s="7"/>
      <c r="N2471" s="7" t="str">
        <f>IFERROR(__xludf.DUMMYFUNCTION("""COMPUTED_VALUE"""),"Néstor Araujo|46124")</f>
        <v>Néstor Araujo|46124</v>
      </c>
      <c r="O2471" s="7">
        <f>IFERROR(__xludf.DUMMYFUNCTION("""COMPUTED_VALUE"""),6.0)</f>
        <v>6</v>
      </c>
    </row>
    <row r="2472" ht="22.5" hidden="1" customHeight="1">
      <c r="A2472" s="8">
        <v>45981.37911232639</v>
      </c>
      <c r="B2472" s="9">
        <v>45981.0</v>
      </c>
      <c r="C2472" s="9" t="s">
        <v>31</v>
      </c>
      <c r="D2472" s="9" t="s">
        <v>223</v>
      </c>
      <c r="E2472" s="9" t="s">
        <v>17</v>
      </c>
      <c r="F2472" s="9" t="s">
        <v>17</v>
      </c>
      <c r="G2472" s="9" t="s">
        <v>24</v>
      </c>
      <c r="H2472" s="9" t="s">
        <v>25</v>
      </c>
      <c r="I2472" s="9" t="s">
        <v>137</v>
      </c>
      <c r="J2472" s="10"/>
      <c r="K2472" s="7" t="s">
        <v>398</v>
      </c>
      <c r="L2472" s="7"/>
      <c r="M2472" s="7"/>
      <c r="N2472" s="7" t="str">
        <f>IFERROR(__xludf.DUMMYFUNCTION("""COMPUTED_VALUE"""),"Alan Cervantes|46124")</f>
        <v>Alan Cervantes|46124</v>
      </c>
      <c r="O2472" s="7">
        <f>IFERROR(__xludf.DUMMYFUNCTION("""COMPUTED_VALUE"""),6.0)</f>
        <v>6</v>
      </c>
    </row>
    <row r="2473" ht="22.5" hidden="1" customHeight="1">
      <c r="A2473" s="8">
        <v>45981.379467743056</v>
      </c>
      <c r="B2473" s="9">
        <v>45981.0</v>
      </c>
      <c r="C2473" s="9" t="s">
        <v>31</v>
      </c>
      <c r="D2473" s="9" t="s">
        <v>178</v>
      </c>
      <c r="E2473" s="9" t="s">
        <v>17</v>
      </c>
      <c r="F2473" s="9" t="s">
        <v>17</v>
      </c>
      <c r="G2473" s="9" t="s">
        <v>24</v>
      </c>
      <c r="H2473" s="9" t="s">
        <v>17</v>
      </c>
      <c r="I2473" s="9" t="s">
        <v>20</v>
      </c>
      <c r="J2473" s="10"/>
      <c r="K2473" s="7" t="s">
        <v>398</v>
      </c>
      <c r="L2473" s="7"/>
      <c r="M2473" s="7"/>
      <c r="N2473" s="7" t="str">
        <f>IFERROR(__xludf.DUMMYFUNCTION("""COMPUTED_VALUE"""),"José Raúl Zúñiga|46124")</f>
        <v>José Raúl Zúñiga|46124</v>
      </c>
      <c r="O2473" s="7">
        <f>IFERROR(__xludf.DUMMYFUNCTION("""COMPUTED_VALUE"""),4.0)</f>
        <v>4</v>
      </c>
    </row>
    <row r="2474" ht="22.5" hidden="1" customHeight="1">
      <c r="A2474" s="8">
        <v>45981.37972802084</v>
      </c>
      <c r="B2474" s="9">
        <v>45981.0</v>
      </c>
      <c r="C2474" s="9" t="s">
        <v>31</v>
      </c>
      <c r="D2474" s="9" t="s">
        <v>259</v>
      </c>
      <c r="E2474" s="9" t="s">
        <v>17</v>
      </c>
      <c r="F2474" s="9" t="s">
        <v>18</v>
      </c>
      <c r="G2474" s="9" t="s">
        <v>24</v>
      </c>
      <c r="H2474" s="9" t="s">
        <v>17</v>
      </c>
      <c r="I2474" s="9" t="s">
        <v>20</v>
      </c>
      <c r="J2474" s="10"/>
      <c r="K2474" s="7" t="s">
        <v>398</v>
      </c>
      <c r="L2474" s="7"/>
      <c r="M2474" s="7"/>
      <c r="N2474" s="7" t="str">
        <f>IFERROR(__xludf.DUMMYFUNCTION("""COMPUTED_VALUE"""),"Santiago Naveda|46127")</f>
        <v>Santiago Naveda|46127</v>
      </c>
      <c r="O2474" s="7">
        <f>IFERROR(__xludf.DUMMYFUNCTION("""COMPUTED_VALUE"""),5.0)</f>
        <v>5</v>
      </c>
    </row>
    <row r="2475" ht="22.5" hidden="1" customHeight="1">
      <c r="A2475" s="8">
        <v>45981.380400891205</v>
      </c>
      <c r="B2475" s="9">
        <v>45981.0</v>
      </c>
      <c r="C2475" s="9" t="s">
        <v>31</v>
      </c>
      <c r="D2475" s="9" t="s">
        <v>357</v>
      </c>
      <c r="E2475" s="9" t="s">
        <v>17</v>
      </c>
      <c r="F2475" s="9" t="s">
        <v>17</v>
      </c>
      <c r="G2475" s="9" t="s">
        <v>24</v>
      </c>
      <c r="H2475" s="9" t="s">
        <v>17</v>
      </c>
      <c r="I2475" s="9" t="s">
        <v>20</v>
      </c>
      <c r="J2475" s="10"/>
      <c r="K2475" s="7" t="s">
        <v>398</v>
      </c>
      <c r="L2475" s="7"/>
      <c r="M2475" s="7"/>
      <c r="N2475" s="7" t="str">
        <f>IFERROR(__xludf.DUMMYFUNCTION("""COMPUTED_VALUE"""),"Aaron Mejia|46127")</f>
        <v>Aaron Mejia|46127</v>
      </c>
      <c r="O2475" s="7">
        <f>IFERROR(__xludf.DUMMYFUNCTION("""COMPUTED_VALUE"""),4.0)</f>
        <v>4</v>
      </c>
    </row>
    <row r="2476" ht="22.5" hidden="1" customHeight="1">
      <c r="A2476" s="8">
        <v>45981.38114978009</v>
      </c>
      <c r="B2476" s="9">
        <v>45981.0</v>
      </c>
      <c r="C2476" s="9" t="s">
        <v>31</v>
      </c>
      <c r="D2476" s="9" t="s">
        <v>397</v>
      </c>
      <c r="E2476" s="9" t="s">
        <v>17</v>
      </c>
      <c r="F2476" s="9" t="s">
        <v>17</v>
      </c>
      <c r="G2476" s="9" t="s">
        <v>24</v>
      </c>
      <c r="H2476" s="9" t="s">
        <v>25</v>
      </c>
      <c r="I2476" s="9" t="s">
        <v>402</v>
      </c>
      <c r="J2476" s="10"/>
      <c r="K2476" s="1" t="s">
        <v>398</v>
      </c>
      <c r="L2476" s="7"/>
      <c r="M2476" s="7"/>
      <c r="N2476" s="7" t="str">
        <f>IFERROR(__xludf.DUMMYFUNCTION("""COMPUTED_VALUE"""),"Dagoberto Espinoza|46127")</f>
        <v>Dagoberto Espinoza|46127</v>
      </c>
      <c r="O2476" s="7">
        <f>IFERROR(__xludf.DUMMYFUNCTION("""COMPUTED_VALUE"""),5.0)</f>
        <v>5</v>
      </c>
    </row>
    <row r="2477" ht="22.5" hidden="1" customHeight="1">
      <c r="A2477" s="8">
        <v>45981.388170694445</v>
      </c>
      <c r="B2477" s="9">
        <v>45981.0</v>
      </c>
      <c r="C2477" s="9" t="s">
        <v>31</v>
      </c>
      <c r="D2477" s="9" t="s">
        <v>177</v>
      </c>
      <c r="E2477" s="9" t="s">
        <v>17</v>
      </c>
      <c r="F2477" s="9" t="s">
        <v>17</v>
      </c>
      <c r="G2477" s="9" t="s">
        <v>24</v>
      </c>
      <c r="H2477" s="9" t="s">
        <v>17</v>
      </c>
      <c r="I2477" s="9" t="s">
        <v>20</v>
      </c>
      <c r="J2477" s="10"/>
      <c r="K2477" s="7" t="s">
        <v>398</v>
      </c>
      <c r="L2477" s="7"/>
      <c r="M2477" s="7"/>
      <c r="N2477" s="7" t="str">
        <f>IFERROR(__xludf.DUMMYFUNCTION("""COMPUTED_VALUE"""),"Fernando Tapia|46127")</f>
        <v>Fernando Tapia|46127</v>
      </c>
      <c r="O2477" s="7">
        <f>IFERROR(__xludf.DUMMYFUNCTION("""COMPUTED_VALUE"""),5.0)</f>
        <v>5</v>
      </c>
    </row>
    <row r="2478" ht="22.5" hidden="1" customHeight="1">
      <c r="A2478" s="8">
        <v>45981.38836467593</v>
      </c>
      <c r="B2478" s="9">
        <v>45981.0</v>
      </c>
      <c r="C2478" s="9" t="s">
        <v>31</v>
      </c>
      <c r="D2478" s="9" t="s">
        <v>394</v>
      </c>
      <c r="E2478" s="9" t="s">
        <v>17</v>
      </c>
      <c r="F2478" s="9" t="s">
        <v>17</v>
      </c>
      <c r="G2478" s="9" t="s">
        <v>24</v>
      </c>
      <c r="H2478" s="9" t="s">
        <v>17</v>
      </c>
      <c r="I2478" s="9" t="s">
        <v>20</v>
      </c>
      <c r="J2478" s="10"/>
      <c r="K2478" s="7" t="s">
        <v>398</v>
      </c>
      <c r="L2478" s="7"/>
      <c r="M2478" s="7"/>
      <c r="N2478" s="7" t="str">
        <f>IFERROR(__xludf.DUMMYFUNCTION("""COMPUTED_VALUE"""),"Kevin Álvarez|46127")</f>
        <v>Kevin Álvarez|46127</v>
      </c>
      <c r="O2478" s="7">
        <f>IFERROR(__xludf.DUMMYFUNCTION("""COMPUTED_VALUE"""),5.0)</f>
        <v>5</v>
      </c>
    </row>
    <row r="2479" ht="22.5" hidden="1" customHeight="1">
      <c r="A2479" s="8">
        <v>45981.38989756945</v>
      </c>
      <c r="B2479" s="9">
        <v>45981.0</v>
      </c>
      <c r="C2479" s="9" t="s">
        <v>31</v>
      </c>
      <c r="D2479" s="9" t="s">
        <v>168</v>
      </c>
      <c r="E2479" s="9" t="s">
        <v>17</v>
      </c>
      <c r="F2479" s="9" t="s">
        <v>17</v>
      </c>
      <c r="G2479" s="9" t="s">
        <v>24</v>
      </c>
      <c r="H2479" s="9" t="s">
        <v>17</v>
      </c>
      <c r="I2479" s="9" t="s">
        <v>20</v>
      </c>
      <c r="J2479" s="10"/>
      <c r="K2479" s="7" t="s">
        <v>398</v>
      </c>
      <c r="L2479" s="7"/>
      <c r="M2479" s="7"/>
      <c r="N2479" s="7" t="str">
        <f>IFERROR(__xludf.DUMMYFUNCTION("""COMPUTED_VALUE"""),"Thiago Espinosa|46127")</f>
        <v>Thiago Espinosa|46127</v>
      </c>
      <c r="O2479" s="7">
        <f>IFERROR(__xludf.DUMMYFUNCTION("""COMPUTED_VALUE"""),7.0)</f>
        <v>7</v>
      </c>
    </row>
    <row r="2480" ht="22.5" hidden="1" customHeight="1">
      <c r="A2480" s="8">
        <v>45981.39213384259</v>
      </c>
      <c r="B2480" s="9">
        <v>45981.0</v>
      </c>
      <c r="C2480" s="9" t="s">
        <v>31</v>
      </c>
      <c r="D2480" s="9" t="s">
        <v>335</v>
      </c>
      <c r="E2480" s="9" t="s">
        <v>17</v>
      </c>
      <c r="F2480" s="9" t="s">
        <v>17</v>
      </c>
      <c r="G2480" s="9" t="s">
        <v>24</v>
      </c>
      <c r="H2480" s="9" t="s">
        <v>17</v>
      </c>
      <c r="I2480" s="9" t="s">
        <v>20</v>
      </c>
      <c r="J2480" s="10"/>
      <c r="K2480" s="7" t="s">
        <v>398</v>
      </c>
      <c r="L2480" s="7"/>
      <c r="M2480" s="7"/>
      <c r="N2480" s="7" t="str">
        <f>IFERROR(__xludf.DUMMYFUNCTION("""COMPUTED_VALUE"""),"Alan Cervantes|46127")</f>
        <v>Alan Cervantes|46127</v>
      </c>
      <c r="O2480" s="7">
        <f>IFERROR(__xludf.DUMMYFUNCTION("""COMPUTED_VALUE"""),7.0)</f>
        <v>7</v>
      </c>
    </row>
    <row r="2481" ht="22.5" hidden="1" customHeight="1">
      <c r="A2481" s="8">
        <v>45981.39294583333</v>
      </c>
      <c r="B2481" s="9">
        <v>45981.0</v>
      </c>
      <c r="C2481" s="9" t="s">
        <v>31</v>
      </c>
      <c r="D2481" s="9" t="s">
        <v>361</v>
      </c>
      <c r="E2481" s="9" t="s">
        <v>17</v>
      </c>
      <c r="F2481" s="9" t="s">
        <v>17</v>
      </c>
      <c r="G2481" s="9" t="s">
        <v>24</v>
      </c>
      <c r="H2481" s="9" t="s">
        <v>22</v>
      </c>
      <c r="I2481" s="9" t="s">
        <v>20</v>
      </c>
      <c r="J2481" s="10"/>
      <c r="K2481" s="7" t="s">
        <v>398</v>
      </c>
      <c r="L2481" s="7"/>
      <c r="M2481" s="7"/>
      <c r="N2481" s="7" t="str">
        <f>IFERROR(__xludf.DUMMYFUNCTION("""COMPUTED_VALUE"""),"Néstor Araujo|46127")</f>
        <v>Néstor Araujo|46127</v>
      </c>
      <c r="O2481" s="7">
        <f>IFERROR(__xludf.DUMMYFUNCTION("""COMPUTED_VALUE"""),7.0)</f>
        <v>7</v>
      </c>
    </row>
    <row r="2482" ht="22.5" hidden="1" customHeight="1">
      <c r="A2482" s="8">
        <v>45981.393144699075</v>
      </c>
      <c r="B2482" s="9">
        <v>45981.0</v>
      </c>
      <c r="C2482" s="9" t="s">
        <v>31</v>
      </c>
      <c r="D2482" s="9" t="s">
        <v>350</v>
      </c>
      <c r="E2482" s="9" t="s">
        <v>17</v>
      </c>
      <c r="F2482" s="9" t="s">
        <v>17</v>
      </c>
      <c r="G2482" s="9" t="s">
        <v>24</v>
      </c>
      <c r="H2482" s="9" t="s">
        <v>22</v>
      </c>
      <c r="I2482" s="9" t="s">
        <v>20</v>
      </c>
      <c r="J2482" s="10"/>
      <c r="K2482" s="7" t="s">
        <v>398</v>
      </c>
      <c r="L2482" s="7"/>
      <c r="M2482" s="7"/>
      <c r="N2482" s="7" t="str">
        <f>IFERROR(__xludf.DUMMYFUNCTION("""COMPUTED_VALUE"""),"José Raúl Zúñiga|46127")</f>
        <v>José Raúl Zúñiga|46127</v>
      </c>
      <c r="O2482" s="7">
        <f>IFERROR(__xludf.DUMMYFUNCTION("""COMPUTED_VALUE"""),4.0)</f>
        <v>4</v>
      </c>
    </row>
    <row r="2483" ht="22.5" hidden="1" customHeight="1">
      <c r="A2483" s="8">
        <v>45981.393335127315</v>
      </c>
      <c r="B2483" s="9">
        <v>45981.0</v>
      </c>
      <c r="C2483" s="9" t="s">
        <v>31</v>
      </c>
      <c r="D2483" s="9" t="s">
        <v>247</v>
      </c>
      <c r="E2483" s="9" t="s">
        <v>17</v>
      </c>
      <c r="F2483" s="9" t="s">
        <v>17</v>
      </c>
      <c r="G2483" s="9" t="s">
        <v>24</v>
      </c>
      <c r="H2483" s="9" t="s">
        <v>17</v>
      </c>
      <c r="I2483" s="9" t="s">
        <v>20</v>
      </c>
      <c r="J2483" s="10"/>
      <c r="K2483" s="7" t="s">
        <v>398</v>
      </c>
      <c r="L2483" s="7"/>
      <c r="M2483" s="7"/>
      <c r="N2483" s="7" t="str">
        <f>IFERROR(__xludf.DUMMYFUNCTION("""COMPUTED_VALUE"""),"Alexis Gutiérrez|46127")</f>
        <v>Alexis Gutiérrez|46127</v>
      </c>
      <c r="O2483" s="7">
        <f>IFERROR(__xludf.DUMMYFUNCTION("""COMPUTED_VALUE"""),5.0)</f>
        <v>5</v>
      </c>
    </row>
    <row r="2484" ht="22.5" hidden="1" customHeight="1">
      <c r="A2484" s="8">
        <v>45985.37313903935</v>
      </c>
      <c r="B2484" s="9">
        <v>45985.0</v>
      </c>
      <c r="C2484" s="9" t="s">
        <v>86</v>
      </c>
      <c r="D2484" s="9" t="s">
        <v>171</v>
      </c>
      <c r="E2484" s="9" t="s">
        <v>17</v>
      </c>
      <c r="F2484" s="9" t="s">
        <v>17</v>
      </c>
      <c r="G2484" s="9" t="s">
        <v>24</v>
      </c>
      <c r="H2484" s="9" t="s">
        <v>17</v>
      </c>
      <c r="I2484" s="9" t="s">
        <v>20</v>
      </c>
      <c r="J2484" s="10"/>
      <c r="K2484" s="7" t="s">
        <v>398</v>
      </c>
      <c r="L2484" s="7"/>
      <c r="M2484" s="7"/>
      <c r="N2484" s="7" t="str">
        <f>IFERROR(__xludf.DUMMYFUNCTION("""COMPUTED_VALUE"""),"Paolo Bedolla|46127")</f>
        <v>Paolo Bedolla|46127</v>
      </c>
      <c r="O2484" s="7">
        <f>IFERROR(__xludf.DUMMYFUNCTION("""COMPUTED_VALUE"""),3.0)</f>
        <v>3</v>
      </c>
    </row>
    <row r="2485" ht="22.5" hidden="1" customHeight="1">
      <c r="A2485" s="8">
        <v>45985.37328670139</v>
      </c>
      <c r="B2485" s="9">
        <v>45985.0</v>
      </c>
      <c r="C2485" s="9" t="s">
        <v>86</v>
      </c>
      <c r="D2485" s="9" t="s">
        <v>168</v>
      </c>
      <c r="E2485" s="9" t="s">
        <v>17</v>
      </c>
      <c r="F2485" s="9" t="s">
        <v>17</v>
      </c>
      <c r="G2485" s="9" t="s">
        <v>24</v>
      </c>
      <c r="H2485" s="9" t="s">
        <v>17</v>
      </c>
      <c r="I2485" s="9" t="s">
        <v>20</v>
      </c>
      <c r="J2485" s="10"/>
      <c r="K2485" s="7" t="s">
        <v>398</v>
      </c>
      <c r="L2485" s="7"/>
      <c r="M2485" s="7"/>
      <c r="N2485" s="7" t="str">
        <f>IFERROR(__xludf.DUMMYFUNCTION("""COMPUTED_VALUE"""),"Rodrigo Dourado|46127")</f>
        <v>Rodrigo Dourado|46127</v>
      </c>
      <c r="O2485" s="7">
        <f>IFERROR(__xludf.DUMMYFUNCTION("""COMPUTED_VALUE"""),5.0)</f>
        <v>5</v>
      </c>
    </row>
    <row r="2486" ht="22.5" hidden="1" customHeight="1">
      <c r="A2486" s="8">
        <v>45985.37347265046</v>
      </c>
      <c r="B2486" s="9">
        <v>45985.0</v>
      </c>
      <c r="C2486" s="9" t="s">
        <v>86</v>
      </c>
      <c r="D2486" s="9" t="s">
        <v>393</v>
      </c>
      <c r="E2486" s="9" t="s">
        <v>17</v>
      </c>
      <c r="F2486" s="9" t="s">
        <v>17</v>
      </c>
      <c r="G2486" s="9" t="s">
        <v>24</v>
      </c>
      <c r="H2486" s="9" t="s">
        <v>17</v>
      </c>
      <c r="I2486" s="9" t="s">
        <v>20</v>
      </c>
      <c r="J2486" s="10"/>
      <c r="K2486" s="7" t="s">
        <v>398</v>
      </c>
      <c r="L2486" s="7"/>
      <c r="M2486" s="7"/>
      <c r="N2486" s="7" t="str">
        <f>IFERROR(__xludf.DUMMYFUNCTION("""COMPUTED_VALUE"""),"Miguel Vázquez|46127")</f>
        <v>Miguel Vázquez|46127</v>
      </c>
      <c r="O2486" s="7">
        <f>IFERROR(__xludf.DUMMYFUNCTION("""COMPUTED_VALUE"""),4.0)</f>
        <v>4</v>
      </c>
    </row>
    <row r="2487" ht="22.5" hidden="1" customHeight="1">
      <c r="A2487" s="8">
        <v>45985.37374943287</v>
      </c>
      <c r="B2487" s="9">
        <v>45985.0</v>
      </c>
      <c r="C2487" s="9" t="s">
        <v>86</v>
      </c>
      <c r="D2487" s="9" t="s">
        <v>395</v>
      </c>
      <c r="E2487" s="9" t="s">
        <v>17</v>
      </c>
      <c r="F2487" s="9" t="s">
        <v>17</v>
      </c>
      <c r="G2487" s="9" t="s">
        <v>24</v>
      </c>
      <c r="H2487" s="9" t="s">
        <v>17</v>
      </c>
      <c r="I2487" s="9" t="s">
        <v>20</v>
      </c>
      <c r="J2487" s="10"/>
      <c r="K2487" s="7" t="s">
        <v>398</v>
      </c>
      <c r="L2487" s="7"/>
      <c r="M2487" s="7"/>
      <c r="N2487" s="7" t="str">
        <f>IFERROR(__xludf.DUMMYFUNCTION("""COMPUTED_VALUE"""),"Vinícius Lima|46127")</f>
        <v>Vinícius Lima|46127</v>
      </c>
      <c r="O2487" s="7">
        <f>IFERROR(__xludf.DUMMYFUNCTION("""COMPUTED_VALUE"""),4.0)</f>
        <v>4</v>
      </c>
    </row>
    <row r="2488" ht="22.5" hidden="1" customHeight="1">
      <c r="A2488" s="8">
        <v>45985.38800142361</v>
      </c>
      <c r="B2488" s="9">
        <v>45985.0</v>
      </c>
      <c r="C2488" s="9" t="s">
        <v>86</v>
      </c>
      <c r="D2488" s="9" t="s">
        <v>258</v>
      </c>
      <c r="E2488" s="9" t="s">
        <v>17</v>
      </c>
      <c r="F2488" s="9" t="s">
        <v>17</v>
      </c>
      <c r="G2488" s="9" t="s">
        <v>24</v>
      </c>
      <c r="H2488" s="9" t="s">
        <v>17</v>
      </c>
      <c r="I2488" s="9" t="s">
        <v>20</v>
      </c>
      <c r="J2488" s="10"/>
      <c r="K2488" s="7" t="s">
        <v>398</v>
      </c>
      <c r="L2488" s="7"/>
      <c r="M2488" s="7"/>
      <c r="N2488" s="7" t="str">
        <f>IFERROR(__xludf.DUMMYFUNCTION("""COMPUTED_VALUE"""),"Paolo Bedolla|46128")</f>
        <v>Paolo Bedolla|46128</v>
      </c>
      <c r="O2488" s="7">
        <f>IFERROR(__xludf.DUMMYFUNCTION("""COMPUTED_VALUE"""),3.0)</f>
        <v>3</v>
      </c>
    </row>
    <row r="2489" ht="22.5" hidden="1" customHeight="1">
      <c r="A2489" s="8">
        <v>45985.389600208335</v>
      </c>
      <c r="B2489" s="9">
        <v>45985.0</v>
      </c>
      <c r="C2489" s="9" t="s">
        <v>86</v>
      </c>
      <c r="D2489" s="9" t="s">
        <v>259</v>
      </c>
      <c r="E2489" s="9" t="s">
        <v>17</v>
      </c>
      <c r="F2489" s="9" t="s">
        <v>18</v>
      </c>
      <c r="G2489" s="9" t="s">
        <v>40</v>
      </c>
      <c r="H2489" s="9" t="s">
        <v>17</v>
      </c>
      <c r="I2489" s="9" t="s">
        <v>20</v>
      </c>
      <c r="J2489" s="10"/>
      <c r="K2489" s="7" t="s">
        <v>398</v>
      </c>
      <c r="L2489" s="7"/>
      <c r="M2489" s="7"/>
      <c r="N2489" s="7" t="str">
        <f>IFERROR(__xludf.DUMMYFUNCTION("""COMPUTED_VALUE"""),"Ramón Juárez|46128")</f>
        <v>Ramón Juárez|46128</v>
      </c>
      <c r="O2489" s="7">
        <f>IFERROR(__xludf.DUMMYFUNCTION("""COMPUTED_VALUE"""),3.0)</f>
        <v>3</v>
      </c>
    </row>
    <row r="2490" ht="22.5" hidden="1" customHeight="1">
      <c r="A2490" s="8">
        <v>45985.389780196754</v>
      </c>
      <c r="B2490" s="9">
        <v>45985.0</v>
      </c>
      <c r="C2490" s="9" t="s">
        <v>86</v>
      </c>
      <c r="D2490" s="9" t="s">
        <v>177</v>
      </c>
      <c r="E2490" s="9" t="s">
        <v>17</v>
      </c>
      <c r="F2490" s="9" t="s">
        <v>17</v>
      </c>
      <c r="G2490" s="9" t="s">
        <v>24</v>
      </c>
      <c r="H2490" s="9" t="s">
        <v>17</v>
      </c>
      <c r="I2490" s="9" t="s">
        <v>20</v>
      </c>
      <c r="J2490" s="10"/>
      <c r="K2490" s="7" t="s">
        <v>398</v>
      </c>
      <c r="L2490" s="7"/>
      <c r="M2490" s="7"/>
      <c r="N2490" s="7" t="str">
        <f>IFERROR(__xludf.DUMMYFUNCTION("""COMPUTED_VALUE"""),"Brian Rodríguez|46128")</f>
        <v>Brian Rodríguez|46128</v>
      </c>
      <c r="O2490" s="7">
        <f>IFERROR(__xludf.DUMMYFUNCTION("""COMPUTED_VALUE"""),2.0)</f>
        <v>2</v>
      </c>
    </row>
    <row r="2491" ht="22.5" hidden="1" customHeight="1">
      <c r="A2491" s="8">
        <v>45985.3900733912</v>
      </c>
      <c r="B2491" s="9">
        <v>45985.0</v>
      </c>
      <c r="C2491" s="9" t="s">
        <v>86</v>
      </c>
      <c r="D2491" s="9" t="s">
        <v>396</v>
      </c>
      <c r="E2491" s="9" t="s">
        <v>17</v>
      </c>
      <c r="F2491" s="9" t="s">
        <v>17</v>
      </c>
      <c r="G2491" s="9" t="s">
        <v>24</v>
      </c>
      <c r="H2491" s="9" t="s">
        <v>17</v>
      </c>
      <c r="I2491" s="9" t="s">
        <v>20</v>
      </c>
      <c r="J2491" s="10"/>
      <c r="K2491" s="7" t="s">
        <v>398</v>
      </c>
      <c r="L2491" s="7"/>
      <c r="M2491" s="7"/>
      <c r="N2491" s="7" t="str">
        <f>IFERROR(__xludf.DUMMYFUNCTION("""COMPUTED_VALUE"""),"Cristian Borja|46128")</f>
        <v>Cristian Borja|46128</v>
      </c>
      <c r="O2491" s="7">
        <f>IFERROR(__xludf.DUMMYFUNCTION("""COMPUTED_VALUE"""),2.0)</f>
        <v>2</v>
      </c>
    </row>
    <row r="2492" ht="22.5" hidden="1" customHeight="1">
      <c r="A2492" s="8">
        <v>45985.39057517362</v>
      </c>
      <c r="B2492" s="9">
        <v>45985.0</v>
      </c>
      <c r="C2492" s="9" t="s">
        <v>86</v>
      </c>
      <c r="D2492" s="9" t="s">
        <v>357</v>
      </c>
      <c r="E2492" s="9" t="s">
        <v>17</v>
      </c>
      <c r="F2492" s="9" t="s">
        <v>17</v>
      </c>
      <c r="G2492" s="9" t="s">
        <v>24</v>
      </c>
      <c r="H2492" s="9" t="s">
        <v>17</v>
      </c>
      <c r="I2492" s="9" t="s">
        <v>50</v>
      </c>
      <c r="J2492" s="10"/>
      <c r="K2492" s="7" t="s">
        <v>398</v>
      </c>
      <c r="L2492" s="7"/>
      <c r="M2492" s="7"/>
      <c r="N2492" s="7" t="str">
        <f>IFERROR(__xludf.DUMMYFUNCTION("""COMPUTED_VALUE"""),"Thiago Espinosa|46128")</f>
        <v>Thiago Espinosa|46128</v>
      </c>
      <c r="O2492" s="7">
        <f>IFERROR(__xludf.DUMMYFUNCTION("""COMPUTED_VALUE"""),7.0)</f>
        <v>7</v>
      </c>
    </row>
    <row r="2493" ht="22.5" hidden="1" customHeight="1">
      <c r="A2493" s="8">
        <v>45985.39079627315</v>
      </c>
      <c r="B2493" s="9">
        <v>45985.0</v>
      </c>
      <c r="C2493" s="9" t="s">
        <v>86</v>
      </c>
      <c r="D2493" s="9" t="s">
        <v>361</v>
      </c>
      <c r="E2493" s="9" t="s">
        <v>17</v>
      </c>
      <c r="F2493" s="9" t="s">
        <v>17</v>
      </c>
      <c r="G2493" s="9" t="s">
        <v>24</v>
      </c>
      <c r="H2493" s="9" t="s">
        <v>22</v>
      </c>
      <c r="I2493" s="9" t="s">
        <v>20</v>
      </c>
      <c r="J2493" s="10"/>
      <c r="K2493" s="7" t="s">
        <v>398</v>
      </c>
      <c r="L2493" s="7"/>
      <c r="M2493" s="7"/>
      <c r="N2493" s="7" t="str">
        <f>IFERROR(__xludf.DUMMYFUNCTION("""COMPUTED_VALUE"""),"Sebastián Cáceres|46128")</f>
        <v>Sebastián Cáceres|46128</v>
      </c>
      <c r="O2493" s="7">
        <f>IFERROR(__xludf.DUMMYFUNCTION("""COMPUTED_VALUE"""),3.0)</f>
        <v>3</v>
      </c>
    </row>
    <row r="2494" ht="22.5" hidden="1" customHeight="1">
      <c r="A2494" s="8">
        <v>45985.39547872685</v>
      </c>
      <c r="B2494" s="9">
        <v>45985.0</v>
      </c>
      <c r="C2494" s="9" t="s">
        <v>86</v>
      </c>
      <c r="D2494" s="9" t="s">
        <v>394</v>
      </c>
      <c r="E2494" s="9" t="s">
        <v>17</v>
      </c>
      <c r="F2494" s="9" t="s">
        <v>17</v>
      </c>
      <c r="G2494" s="9" t="s">
        <v>24</v>
      </c>
      <c r="H2494" s="9" t="s">
        <v>17</v>
      </c>
      <c r="I2494" s="9" t="s">
        <v>20</v>
      </c>
      <c r="J2494" s="10"/>
      <c r="K2494" s="7" t="s">
        <v>398</v>
      </c>
      <c r="L2494" s="7"/>
      <c r="M2494" s="7"/>
      <c r="N2494" s="7" t="str">
        <f>IFERROR(__xludf.DUMMYFUNCTION("""COMPUTED_VALUE"""),"Jonathan Dos Santos|46128")</f>
        <v>Jonathan Dos Santos|46128</v>
      </c>
      <c r="O2494" s="7">
        <f>IFERROR(__xludf.DUMMYFUNCTION("""COMPUTED_VALUE"""),2.0)</f>
        <v>2</v>
      </c>
    </row>
    <row r="2495" ht="22.5" hidden="1" customHeight="1">
      <c r="A2495" s="8">
        <v>45985.395632291664</v>
      </c>
      <c r="B2495" s="9">
        <v>45985.0</v>
      </c>
      <c r="C2495" s="9" t="s">
        <v>86</v>
      </c>
      <c r="D2495" s="9" t="s">
        <v>223</v>
      </c>
      <c r="E2495" s="9" t="s">
        <v>17</v>
      </c>
      <c r="F2495" s="9" t="s">
        <v>17</v>
      </c>
      <c r="G2495" s="9" t="s">
        <v>24</v>
      </c>
      <c r="H2495" s="9" t="s">
        <v>17</v>
      </c>
      <c r="I2495" s="9" t="s">
        <v>20</v>
      </c>
      <c r="J2495" s="10"/>
      <c r="K2495" s="7" t="s">
        <v>398</v>
      </c>
      <c r="L2495" s="7"/>
      <c r="M2495" s="7"/>
      <c r="N2495" s="7" t="str">
        <f>IFERROR(__xludf.DUMMYFUNCTION("""COMPUTED_VALUE"""),"Rodrigo Dourado|46128")</f>
        <v>Rodrigo Dourado|46128</v>
      </c>
      <c r="O2495" s="7">
        <f>IFERROR(__xludf.DUMMYFUNCTION("""COMPUTED_VALUE"""),3.0)</f>
        <v>3</v>
      </c>
    </row>
    <row r="2496" ht="22.5" hidden="1" customHeight="1">
      <c r="A2496" s="8">
        <v>45985.39580758102</v>
      </c>
      <c r="B2496" s="9">
        <v>45985.0</v>
      </c>
      <c r="C2496" s="9" t="s">
        <v>86</v>
      </c>
      <c r="D2496" s="9" t="s">
        <v>367</v>
      </c>
      <c r="E2496" s="9" t="s">
        <v>17</v>
      </c>
      <c r="F2496" s="9" t="s">
        <v>17</v>
      </c>
      <c r="G2496" s="9" t="s">
        <v>24</v>
      </c>
      <c r="H2496" s="9" t="s">
        <v>17</v>
      </c>
      <c r="I2496" s="9" t="s">
        <v>20</v>
      </c>
      <c r="J2496" s="10"/>
      <c r="K2496" s="7" t="s">
        <v>398</v>
      </c>
      <c r="L2496" s="7"/>
      <c r="M2496" s="7"/>
      <c r="N2496" s="7" t="str">
        <f>IFERROR(__xludf.DUMMYFUNCTION("""COMPUTED_VALUE"""),"Aaron Mejia|46128")</f>
        <v>Aaron Mejia|46128</v>
      </c>
      <c r="O2496" s="7">
        <f>IFERROR(__xludf.DUMMYFUNCTION("""COMPUTED_VALUE"""),5.0)</f>
        <v>5</v>
      </c>
    </row>
    <row r="2497" ht="22.5" hidden="1" customHeight="1">
      <c r="A2497" s="8">
        <v>45985.39599524306</v>
      </c>
      <c r="B2497" s="9">
        <v>45985.0</v>
      </c>
      <c r="C2497" s="9" t="s">
        <v>86</v>
      </c>
      <c r="D2497" s="9" t="s">
        <v>247</v>
      </c>
      <c r="E2497" s="9" t="s">
        <v>17</v>
      </c>
      <c r="F2497" s="9" t="s">
        <v>17</v>
      </c>
      <c r="G2497" s="9" t="s">
        <v>24</v>
      </c>
      <c r="H2497" s="9" t="s">
        <v>17</v>
      </c>
      <c r="I2497" s="9" t="s">
        <v>20</v>
      </c>
      <c r="J2497" s="10"/>
      <c r="K2497" s="7" t="s">
        <v>398</v>
      </c>
      <c r="L2497" s="7"/>
      <c r="M2497" s="7"/>
      <c r="N2497" s="7" t="str">
        <f>IFERROR(__xludf.DUMMYFUNCTION("""COMPUTED_VALUE"""),"Rodolfo Cota|46128")</f>
        <v>Rodolfo Cota|46128</v>
      </c>
      <c r="O2497" s="7">
        <f>IFERROR(__xludf.DUMMYFUNCTION("""COMPUTED_VALUE"""),2.0)</f>
        <v>2</v>
      </c>
    </row>
    <row r="2498" ht="22.5" hidden="1" customHeight="1">
      <c r="A2498" s="8">
        <v>45985.39622416667</v>
      </c>
      <c r="B2498" s="9">
        <v>45985.0</v>
      </c>
      <c r="C2498" s="9" t="s">
        <v>86</v>
      </c>
      <c r="D2498" s="9" t="s">
        <v>174</v>
      </c>
      <c r="E2498" s="9" t="s">
        <v>17</v>
      </c>
      <c r="F2498" s="9" t="s">
        <v>17</v>
      </c>
      <c r="G2498" s="9" t="s">
        <v>24</v>
      </c>
      <c r="H2498" s="9" t="s">
        <v>22</v>
      </c>
      <c r="I2498" s="9" t="s">
        <v>20</v>
      </c>
      <c r="J2498" s="10"/>
      <c r="K2498" s="7" t="s">
        <v>398</v>
      </c>
      <c r="L2498" s="7"/>
      <c r="M2498" s="7"/>
      <c r="N2498" s="7" t="str">
        <f>IFERROR(__xludf.DUMMYFUNCTION("""COMPUTED_VALUE"""),"Miguel Vázquez|46128")</f>
        <v>Miguel Vázquez|46128</v>
      </c>
      <c r="O2498" s="7">
        <f>IFERROR(__xludf.DUMMYFUNCTION("""COMPUTED_VALUE"""),5.0)</f>
        <v>5</v>
      </c>
    </row>
    <row r="2499" ht="22.5" hidden="1" customHeight="1">
      <c r="A2499" s="8">
        <v>45985.39639915509</v>
      </c>
      <c r="B2499" s="9">
        <v>45985.0</v>
      </c>
      <c r="C2499" s="9" t="s">
        <v>86</v>
      </c>
      <c r="D2499" s="9" t="s">
        <v>335</v>
      </c>
      <c r="E2499" s="9" t="s">
        <v>17</v>
      </c>
      <c r="F2499" s="9" t="s">
        <v>17</v>
      </c>
      <c r="G2499" s="9" t="s">
        <v>24</v>
      </c>
      <c r="H2499" s="9" t="s">
        <v>17</v>
      </c>
      <c r="I2499" s="9" t="s">
        <v>20</v>
      </c>
      <c r="J2499" s="10"/>
      <c r="K2499" s="7" t="s">
        <v>398</v>
      </c>
      <c r="L2499" s="7"/>
      <c r="M2499" s="7"/>
      <c r="N2499" s="7" t="str">
        <f>IFERROR(__xludf.DUMMYFUNCTION("""COMPUTED_VALUE"""),"Alan Cervantes|46128")</f>
        <v>Alan Cervantes|46128</v>
      </c>
      <c r="O2499" s="7">
        <f>IFERROR(__xludf.DUMMYFUNCTION("""COMPUTED_VALUE"""),6.0)</f>
        <v>6</v>
      </c>
    </row>
    <row r="2500" ht="22.5" hidden="1" customHeight="1">
      <c r="A2500" s="8">
        <v>45985.39979122685</v>
      </c>
      <c r="B2500" s="9">
        <v>45985.0</v>
      </c>
      <c r="C2500" s="9" t="s">
        <v>86</v>
      </c>
      <c r="D2500" s="9" t="s">
        <v>178</v>
      </c>
      <c r="E2500" s="9" t="s">
        <v>17</v>
      </c>
      <c r="F2500" s="9" t="s">
        <v>17</v>
      </c>
      <c r="G2500" s="9" t="s">
        <v>24</v>
      </c>
      <c r="H2500" s="9" t="s">
        <v>17</v>
      </c>
      <c r="I2500" s="9" t="s">
        <v>20</v>
      </c>
      <c r="J2500" s="10"/>
      <c r="K2500" s="7" t="s">
        <v>398</v>
      </c>
      <c r="L2500" s="7"/>
      <c r="M2500" s="7"/>
      <c r="N2500" s="7" t="str">
        <f>IFERROR(__xludf.DUMMYFUNCTION("""COMPUTED_VALUE"""),"Néstor Araujo|46128")</f>
        <v>Néstor Araujo|46128</v>
      </c>
      <c r="O2500" s="7">
        <f>IFERROR(__xludf.DUMMYFUNCTION("""COMPUTED_VALUE"""),7.0)</f>
        <v>7</v>
      </c>
    </row>
    <row r="2501" ht="22.5" hidden="1" customHeight="1">
      <c r="A2501" s="8">
        <v>45985.400279560185</v>
      </c>
      <c r="B2501" s="9">
        <v>45985.0</v>
      </c>
      <c r="C2501" s="9" t="s">
        <v>86</v>
      </c>
      <c r="D2501" s="9" t="s">
        <v>249</v>
      </c>
      <c r="E2501" s="9" t="s">
        <v>17</v>
      </c>
      <c r="F2501" s="9" t="s">
        <v>17</v>
      </c>
      <c r="G2501" s="9" t="s">
        <v>24</v>
      </c>
      <c r="H2501" s="9" t="s">
        <v>17</v>
      </c>
      <c r="I2501" s="9" t="s">
        <v>20</v>
      </c>
      <c r="J2501" s="10"/>
      <c r="K2501" s="7" t="s">
        <v>398</v>
      </c>
      <c r="L2501" s="7"/>
      <c r="M2501" s="7"/>
      <c r="N2501" s="7" t="str">
        <f>IFERROR(__xludf.DUMMYFUNCTION("""COMPUTED_VALUE"""),"José Raúl Zúñiga|46128")</f>
        <v>José Raúl Zúñiga|46128</v>
      </c>
      <c r="O2501" s="7">
        <f>IFERROR(__xludf.DUMMYFUNCTION("""COMPUTED_VALUE"""),4.0)</f>
        <v>4</v>
      </c>
    </row>
    <row r="2502" ht="22.5" hidden="1" customHeight="1">
      <c r="A2502" s="8">
        <v>45985.400573217594</v>
      </c>
      <c r="B2502" s="9">
        <v>45985.0</v>
      </c>
      <c r="C2502" s="9" t="s">
        <v>86</v>
      </c>
      <c r="D2502" s="9" t="s">
        <v>175</v>
      </c>
      <c r="E2502" s="9" t="s">
        <v>17</v>
      </c>
      <c r="F2502" s="9" t="s">
        <v>17</v>
      </c>
      <c r="G2502" s="9" t="s">
        <v>24</v>
      </c>
      <c r="H2502" s="9" t="s">
        <v>25</v>
      </c>
      <c r="I2502" s="9" t="s">
        <v>207</v>
      </c>
      <c r="J2502" s="10"/>
      <c r="K2502" s="7" t="s">
        <v>398</v>
      </c>
      <c r="L2502" s="7"/>
      <c r="M2502" s="7"/>
      <c r="N2502" s="7" t="str">
        <f>IFERROR(__xludf.DUMMYFUNCTION("""COMPUTED_VALUE"""),"Alexis Gutiérrez|46128")</f>
        <v>Alexis Gutiérrez|46128</v>
      </c>
      <c r="O2502" s="7">
        <f>IFERROR(__xludf.DUMMYFUNCTION("""COMPUTED_VALUE"""),3.0)</f>
        <v>3</v>
      </c>
    </row>
    <row r="2503" ht="22.5" hidden="1" customHeight="1">
      <c r="A2503" s="8">
        <v>45985.40075596065</v>
      </c>
      <c r="B2503" s="9">
        <v>45985.0</v>
      </c>
      <c r="C2503" s="9" t="s">
        <v>86</v>
      </c>
      <c r="D2503" s="9" t="s">
        <v>257</v>
      </c>
      <c r="E2503" s="9" t="s">
        <v>17</v>
      </c>
      <c r="F2503" s="9" t="s">
        <v>17</v>
      </c>
      <c r="G2503" s="9" t="s">
        <v>24</v>
      </c>
      <c r="H2503" s="9" t="s">
        <v>17</v>
      </c>
      <c r="I2503" s="9" t="s">
        <v>20</v>
      </c>
      <c r="J2503" s="10"/>
      <c r="K2503" s="7" t="s">
        <v>398</v>
      </c>
      <c r="L2503" s="7"/>
      <c r="M2503" s="7"/>
      <c r="N2503" s="7" t="str">
        <f>IFERROR(__xludf.DUMMYFUNCTION("""COMPUTED_VALUE"""),"Alejando Zendejas|46128")</f>
        <v>Alejando Zendejas|46128</v>
      </c>
      <c r="O2503" s="7">
        <f>IFERROR(__xludf.DUMMYFUNCTION("""COMPUTED_VALUE"""),3.0)</f>
        <v>3</v>
      </c>
    </row>
    <row r="2504" ht="22.5" hidden="1" customHeight="1">
      <c r="A2504" s="8">
        <v>45985.40096788194</v>
      </c>
      <c r="B2504" s="9">
        <v>45985.0</v>
      </c>
      <c r="C2504" s="9" t="s">
        <v>86</v>
      </c>
      <c r="D2504" s="9" t="s">
        <v>350</v>
      </c>
      <c r="E2504" s="9" t="s">
        <v>17</v>
      </c>
      <c r="F2504" s="9" t="s">
        <v>17</v>
      </c>
      <c r="G2504" s="9" t="s">
        <v>24</v>
      </c>
      <c r="H2504" s="9" t="s">
        <v>17</v>
      </c>
      <c r="I2504" s="9" t="s">
        <v>20</v>
      </c>
      <c r="J2504" s="10"/>
      <c r="K2504" s="7" t="s">
        <v>398</v>
      </c>
      <c r="L2504" s="7"/>
      <c r="M2504" s="7"/>
      <c r="N2504" s="7" t="str">
        <f>IFERROR(__xludf.DUMMYFUNCTION("""COMPUTED_VALUE"""),"Raphael Veiga|46128")</f>
        <v>Raphael Veiga|46128</v>
      </c>
      <c r="O2504" s="7">
        <f>IFERROR(__xludf.DUMMYFUNCTION("""COMPUTED_VALUE"""),3.0)</f>
        <v>3</v>
      </c>
    </row>
    <row r="2505" ht="22.5" hidden="1" customHeight="1">
      <c r="A2505" s="8">
        <v>45986.381360706015</v>
      </c>
      <c r="B2505" s="9">
        <v>45986.0</v>
      </c>
      <c r="C2505" s="9" t="s">
        <v>110</v>
      </c>
      <c r="D2505" s="9" t="s">
        <v>249</v>
      </c>
      <c r="E2505" s="9" t="s">
        <v>17</v>
      </c>
      <c r="F2505" s="9" t="s">
        <v>17</v>
      </c>
      <c r="G2505" s="9" t="s">
        <v>24</v>
      </c>
      <c r="H2505" s="9" t="s">
        <v>17</v>
      </c>
      <c r="I2505" s="9" t="s">
        <v>20</v>
      </c>
      <c r="J2505" s="10"/>
      <c r="K2505" s="7" t="s">
        <v>398</v>
      </c>
      <c r="L2505" s="7"/>
      <c r="M2505" s="7"/>
      <c r="N2505" s="7" t="str">
        <f>IFERROR(__xludf.DUMMYFUNCTION("""COMPUTED_VALUE"""),"Fernando Tapia|46128")</f>
        <v>Fernando Tapia|46128</v>
      </c>
      <c r="O2505" s="7">
        <f>IFERROR(__xludf.DUMMYFUNCTION("""COMPUTED_VALUE"""),4.0)</f>
        <v>4</v>
      </c>
    </row>
    <row r="2506" ht="22.5" hidden="1" customHeight="1">
      <c r="A2506" s="8">
        <v>45986.38169416667</v>
      </c>
      <c r="B2506" s="9">
        <v>45986.0</v>
      </c>
      <c r="C2506" s="9" t="s">
        <v>110</v>
      </c>
      <c r="D2506" s="9" t="s">
        <v>258</v>
      </c>
      <c r="E2506" s="9" t="s">
        <v>17</v>
      </c>
      <c r="F2506" s="9" t="s">
        <v>17</v>
      </c>
      <c r="G2506" s="9" t="s">
        <v>24</v>
      </c>
      <c r="H2506" s="9" t="s">
        <v>17</v>
      </c>
      <c r="I2506" s="9" t="s">
        <v>20</v>
      </c>
      <c r="J2506" s="10"/>
      <c r="K2506" s="7" t="s">
        <v>398</v>
      </c>
      <c r="L2506" s="7"/>
      <c r="M2506" s="7"/>
      <c r="N2506" s="7" t="str">
        <f>IFERROR(__xludf.DUMMYFUNCTION("""COMPUTED_VALUE"""),"Santiago Naveda|46130")</f>
        <v>Santiago Naveda|46130</v>
      </c>
      <c r="O2506" s="7">
        <f>IFERROR(__xludf.DUMMYFUNCTION("""COMPUTED_VALUE"""),4.0)</f>
        <v>4</v>
      </c>
    </row>
    <row r="2507" ht="22.5" hidden="1" customHeight="1">
      <c r="A2507" s="8">
        <v>45986.384118437505</v>
      </c>
      <c r="B2507" s="9">
        <v>45986.0</v>
      </c>
      <c r="C2507" s="9" t="s">
        <v>110</v>
      </c>
      <c r="D2507" s="9" t="s">
        <v>175</v>
      </c>
      <c r="E2507" s="9" t="s">
        <v>17</v>
      </c>
      <c r="F2507" s="9" t="s">
        <v>17</v>
      </c>
      <c r="G2507" s="9" t="s">
        <v>24</v>
      </c>
      <c r="H2507" s="9" t="s">
        <v>17</v>
      </c>
      <c r="I2507" s="9" t="s">
        <v>207</v>
      </c>
      <c r="J2507" s="10"/>
      <c r="K2507" s="7" t="s">
        <v>398</v>
      </c>
      <c r="L2507" s="7"/>
      <c r="M2507" s="7"/>
      <c r="N2507" s="7" t="str">
        <f>IFERROR(__xludf.DUMMYFUNCTION("""COMPUTED_VALUE"""),"Dagoberto Espinoza|46130")</f>
        <v>Dagoberto Espinoza|46130</v>
      </c>
      <c r="O2507" s="7">
        <f>IFERROR(__xludf.DUMMYFUNCTION("""COMPUTED_VALUE"""),4.0)</f>
        <v>4</v>
      </c>
    </row>
    <row r="2508" ht="22.5" hidden="1" customHeight="1">
      <c r="A2508" s="8">
        <v>45986.384317766206</v>
      </c>
      <c r="B2508" s="9">
        <v>45986.0</v>
      </c>
      <c r="C2508" s="9" t="s">
        <v>110</v>
      </c>
      <c r="D2508" s="9" t="s">
        <v>357</v>
      </c>
      <c r="E2508" s="9" t="s">
        <v>17</v>
      </c>
      <c r="F2508" s="9" t="s">
        <v>17</v>
      </c>
      <c r="G2508" s="9" t="s">
        <v>24</v>
      </c>
      <c r="H2508" s="9" t="s">
        <v>17</v>
      </c>
      <c r="I2508" s="9" t="s">
        <v>20</v>
      </c>
      <c r="J2508" s="10"/>
      <c r="K2508" s="7" t="s">
        <v>398</v>
      </c>
      <c r="L2508" s="7"/>
      <c r="M2508" s="7"/>
      <c r="N2508" s="7" t="str">
        <f>IFERROR(__xludf.DUMMYFUNCTION("""COMPUTED_VALUE"""),"Henry Martín|46130")</f>
        <v>Henry Martín|46130</v>
      </c>
      <c r="O2508" s="7">
        <f>IFERROR(__xludf.DUMMYFUNCTION("""COMPUTED_VALUE"""),4.0)</f>
        <v>4</v>
      </c>
    </row>
    <row r="2509" ht="22.5" hidden="1" customHeight="1">
      <c r="A2509" s="8">
        <v>45986.38448778936</v>
      </c>
      <c r="B2509" s="9">
        <v>45986.0</v>
      </c>
      <c r="C2509" s="9" t="s">
        <v>110</v>
      </c>
      <c r="D2509" s="9" t="s">
        <v>393</v>
      </c>
      <c r="E2509" s="9" t="s">
        <v>17</v>
      </c>
      <c r="F2509" s="9" t="s">
        <v>17</v>
      </c>
      <c r="G2509" s="9" t="s">
        <v>24</v>
      </c>
      <c r="H2509" s="9" t="s">
        <v>22</v>
      </c>
      <c r="I2509" s="9" t="s">
        <v>20</v>
      </c>
      <c r="J2509" s="10"/>
      <c r="K2509" s="7" t="s">
        <v>398</v>
      </c>
      <c r="L2509" s="7"/>
      <c r="M2509" s="7"/>
      <c r="N2509" s="7" t="str">
        <f>IFERROR(__xludf.DUMMYFUNCTION("""COMPUTED_VALUE"""),"Néstor Araujo|46130")</f>
        <v>Néstor Araujo|46130</v>
      </c>
      <c r="O2509" s="7">
        <f>IFERROR(__xludf.DUMMYFUNCTION("""COMPUTED_VALUE"""),4.0)</f>
        <v>4</v>
      </c>
    </row>
    <row r="2510" ht="22.5" hidden="1" customHeight="1">
      <c r="A2510" s="8">
        <v>45986.385220729164</v>
      </c>
      <c r="B2510" s="9">
        <v>45986.0</v>
      </c>
      <c r="C2510" s="9" t="s">
        <v>110</v>
      </c>
      <c r="D2510" s="9" t="s">
        <v>395</v>
      </c>
      <c r="E2510" s="9" t="s">
        <v>17</v>
      </c>
      <c r="F2510" s="9" t="s">
        <v>17</v>
      </c>
      <c r="G2510" s="9" t="s">
        <v>24</v>
      </c>
      <c r="H2510" s="9" t="s">
        <v>17</v>
      </c>
      <c r="I2510" s="9" t="s">
        <v>20</v>
      </c>
      <c r="J2510" s="10"/>
      <c r="K2510" s="7" t="s">
        <v>398</v>
      </c>
      <c r="L2510" s="7"/>
      <c r="M2510" s="7"/>
      <c r="N2510" s="7" t="str">
        <f>IFERROR(__xludf.DUMMYFUNCTION("""COMPUTED_VALUE"""),"Dagoberto Espinoza|46131")</f>
        <v>Dagoberto Espinoza|46131</v>
      </c>
      <c r="O2510" s="7">
        <f>IFERROR(__xludf.DUMMYFUNCTION("""COMPUTED_VALUE"""),6.0)</f>
        <v>6</v>
      </c>
    </row>
    <row r="2511" ht="22.5" hidden="1" customHeight="1">
      <c r="A2511" s="8">
        <v>45986.38732739583</v>
      </c>
      <c r="B2511" s="9">
        <v>45986.0</v>
      </c>
      <c r="C2511" s="9" t="s">
        <v>110</v>
      </c>
      <c r="D2511" s="9" t="s">
        <v>177</v>
      </c>
      <c r="E2511" s="9" t="s">
        <v>17</v>
      </c>
      <c r="F2511" s="9" t="s">
        <v>17</v>
      </c>
      <c r="G2511" s="9" t="s">
        <v>24</v>
      </c>
      <c r="H2511" s="9" t="s">
        <v>22</v>
      </c>
      <c r="I2511" s="9" t="s">
        <v>20</v>
      </c>
      <c r="J2511" s="10"/>
      <c r="K2511" s="7" t="s">
        <v>398</v>
      </c>
      <c r="L2511" s="7"/>
      <c r="M2511" s="7"/>
      <c r="N2511" s="7" t="str">
        <f>IFERROR(__xludf.DUMMYFUNCTION("""COMPUTED_VALUE"""),"Henry Martín|46131")</f>
        <v>Henry Martín|46131</v>
      </c>
      <c r="O2511" s="7">
        <f>IFERROR(__xludf.DUMMYFUNCTION("""COMPUTED_VALUE"""),5.0)</f>
        <v>5</v>
      </c>
    </row>
    <row r="2512" ht="22.5" hidden="1" customHeight="1">
      <c r="A2512" s="8">
        <v>45986.38755190972</v>
      </c>
      <c r="B2512" s="9">
        <v>45986.0</v>
      </c>
      <c r="C2512" s="9" t="s">
        <v>110</v>
      </c>
      <c r="D2512" s="9" t="s">
        <v>171</v>
      </c>
      <c r="E2512" s="9" t="s">
        <v>17</v>
      </c>
      <c r="F2512" s="9" t="s">
        <v>17</v>
      </c>
      <c r="G2512" s="9" t="s">
        <v>24</v>
      </c>
      <c r="H2512" s="9" t="s">
        <v>17</v>
      </c>
      <c r="I2512" s="9" t="s">
        <v>20</v>
      </c>
      <c r="J2512" s="10"/>
      <c r="K2512" s="7" t="s">
        <v>398</v>
      </c>
      <c r="L2512" s="7"/>
      <c r="M2512" s="7"/>
      <c r="N2512" s="7" t="str">
        <f>IFERROR(__xludf.DUMMYFUNCTION("""COMPUTED_VALUE"""),"Paolo Bedolla|46131")</f>
        <v>Paolo Bedolla|46131</v>
      </c>
      <c r="O2512" s="7">
        <f>IFERROR(__xludf.DUMMYFUNCTION("""COMPUTED_VALUE"""),3.0)</f>
        <v>3</v>
      </c>
    </row>
    <row r="2513" ht="22.5" hidden="1" customHeight="1">
      <c r="A2513" s="8">
        <v>45986.38784972222</v>
      </c>
      <c r="B2513" s="9">
        <v>45986.0</v>
      </c>
      <c r="C2513" s="9" t="s">
        <v>110</v>
      </c>
      <c r="D2513" s="9" t="s">
        <v>168</v>
      </c>
      <c r="E2513" s="9" t="s">
        <v>17</v>
      </c>
      <c r="F2513" s="9" t="s">
        <v>17</v>
      </c>
      <c r="G2513" s="9" t="s">
        <v>24</v>
      </c>
      <c r="H2513" s="9" t="s">
        <v>17</v>
      </c>
      <c r="I2513" s="9" t="s">
        <v>20</v>
      </c>
      <c r="J2513" s="10"/>
      <c r="K2513" s="7" t="s">
        <v>398</v>
      </c>
      <c r="L2513" s="7"/>
      <c r="M2513" s="7"/>
      <c r="N2513" s="7" t="str">
        <f>IFERROR(__xludf.DUMMYFUNCTION("""COMPUTED_VALUE"""),"Thiago Espinosa|46131")</f>
        <v>Thiago Espinosa|46131</v>
      </c>
      <c r="O2513" s="7">
        <f>IFERROR(__xludf.DUMMYFUNCTION("""COMPUTED_VALUE"""),5.0)</f>
        <v>5</v>
      </c>
    </row>
    <row r="2514" ht="22.5" hidden="1" customHeight="1">
      <c r="A2514" s="8">
        <v>45986.38808230324</v>
      </c>
      <c r="B2514" s="9">
        <v>45986.0</v>
      </c>
      <c r="C2514" s="9" t="s">
        <v>110</v>
      </c>
      <c r="D2514" s="9" t="s">
        <v>259</v>
      </c>
      <c r="E2514" s="9" t="s">
        <v>17</v>
      </c>
      <c r="F2514" s="9" t="s">
        <v>18</v>
      </c>
      <c r="G2514" s="9" t="s">
        <v>24</v>
      </c>
      <c r="H2514" s="9" t="s">
        <v>17</v>
      </c>
      <c r="I2514" s="9" t="s">
        <v>20</v>
      </c>
      <c r="J2514" s="10"/>
      <c r="K2514" s="7" t="s">
        <v>398</v>
      </c>
      <c r="L2514" s="7"/>
      <c r="M2514" s="7"/>
      <c r="N2514" s="7" t="str">
        <f>IFERROR(__xludf.DUMMYFUNCTION("""COMPUTED_VALUE"""),"Néstor Araujo|46131")</f>
        <v>Néstor Araujo|46131</v>
      </c>
      <c r="O2514" s="7">
        <f>IFERROR(__xludf.DUMMYFUNCTION("""COMPUTED_VALUE"""),7.0)</f>
        <v>7</v>
      </c>
    </row>
    <row r="2515" ht="22.5" hidden="1" customHeight="1">
      <c r="A2515" s="8">
        <v>45986.38828114583</v>
      </c>
      <c r="B2515" s="9">
        <v>45986.0</v>
      </c>
      <c r="C2515" s="9" t="s">
        <v>110</v>
      </c>
      <c r="D2515" s="9" t="s">
        <v>280</v>
      </c>
      <c r="E2515" s="9" t="s">
        <v>17</v>
      </c>
      <c r="F2515" s="9" t="s">
        <v>17</v>
      </c>
      <c r="G2515" s="9" t="s">
        <v>24</v>
      </c>
      <c r="H2515" s="9" t="s">
        <v>17</v>
      </c>
      <c r="I2515" s="9" t="s">
        <v>20</v>
      </c>
      <c r="J2515" s="10"/>
      <c r="K2515" s="7" t="s">
        <v>398</v>
      </c>
      <c r="L2515" s="7"/>
      <c r="M2515" s="7"/>
      <c r="N2515" s="7" t="str">
        <f>IFERROR(__xludf.DUMMYFUNCTION("""COMPUTED_VALUE"""),"Kevin Álvarez|46131")</f>
        <v>Kevin Álvarez|46131</v>
      </c>
      <c r="O2515" s="7">
        <f>IFERROR(__xludf.DUMMYFUNCTION("""COMPUTED_VALUE"""),4.0)</f>
        <v>4</v>
      </c>
    </row>
    <row r="2516" ht="22.5" hidden="1" customHeight="1">
      <c r="A2516" s="8">
        <v>45986.38929590277</v>
      </c>
      <c r="B2516" s="9">
        <v>45986.0</v>
      </c>
      <c r="C2516" s="9" t="s">
        <v>110</v>
      </c>
      <c r="D2516" s="9" t="s">
        <v>178</v>
      </c>
      <c r="E2516" s="9" t="s">
        <v>17</v>
      </c>
      <c r="F2516" s="9" t="s">
        <v>17</v>
      </c>
      <c r="G2516" s="9" t="s">
        <v>24</v>
      </c>
      <c r="H2516" s="9" t="s">
        <v>17</v>
      </c>
      <c r="I2516" s="9" t="s">
        <v>20</v>
      </c>
      <c r="J2516" s="10"/>
      <c r="K2516" s="7" t="s">
        <v>398</v>
      </c>
      <c r="L2516" s="7"/>
      <c r="M2516" s="7"/>
      <c r="N2516" s="7" t="str">
        <f>IFERROR(__xludf.DUMMYFUNCTION("""COMPUTED_VALUE"""),"Alan Cervantes|46131")</f>
        <v>Alan Cervantes|46131</v>
      </c>
      <c r="O2516" s="7">
        <f>IFERROR(__xludf.DUMMYFUNCTION("""COMPUTED_VALUE"""),6.0)</f>
        <v>6</v>
      </c>
    </row>
    <row r="2517" ht="22.5" hidden="1" customHeight="1">
      <c r="A2517" s="8">
        <v>45986.38943311342</v>
      </c>
      <c r="B2517" s="9">
        <v>45986.0</v>
      </c>
      <c r="C2517" s="9" t="s">
        <v>110</v>
      </c>
      <c r="D2517" s="9" t="s">
        <v>361</v>
      </c>
      <c r="E2517" s="9" t="s">
        <v>17</v>
      </c>
      <c r="F2517" s="9" t="s">
        <v>17</v>
      </c>
      <c r="G2517" s="9" t="s">
        <v>24</v>
      </c>
      <c r="H2517" s="9" t="s">
        <v>22</v>
      </c>
      <c r="I2517" s="9" t="s">
        <v>20</v>
      </c>
      <c r="J2517" s="10"/>
      <c r="K2517" s="7" t="s">
        <v>398</v>
      </c>
      <c r="L2517" s="7"/>
      <c r="M2517" s="7"/>
      <c r="N2517" s="7" t="str">
        <f>IFERROR(__xludf.DUMMYFUNCTION("""COMPUTED_VALUE"""),"Patricio Salas|46131")</f>
        <v>Patricio Salas|46131</v>
      </c>
      <c r="O2517" s="7">
        <f>IFERROR(__xludf.DUMMYFUNCTION("""COMPUTED_VALUE"""),6.0)</f>
        <v>6</v>
      </c>
    </row>
    <row r="2518" ht="22.5" hidden="1" customHeight="1">
      <c r="A2518" s="8">
        <v>45986.39645888889</v>
      </c>
      <c r="B2518" s="9">
        <v>45986.0</v>
      </c>
      <c r="C2518" s="9" t="s">
        <v>110</v>
      </c>
      <c r="D2518" s="9" t="s">
        <v>394</v>
      </c>
      <c r="E2518" s="9" t="s">
        <v>17</v>
      </c>
      <c r="F2518" s="9" t="s">
        <v>17</v>
      </c>
      <c r="G2518" s="9" t="s">
        <v>24</v>
      </c>
      <c r="H2518" s="9" t="s">
        <v>17</v>
      </c>
      <c r="I2518" s="9" t="s">
        <v>20</v>
      </c>
      <c r="J2518" s="10"/>
      <c r="K2518" s="7" t="s">
        <v>398</v>
      </c>
      <c r="L2518" s="7"/>
      <c r="M2518" s="7"/>
      <c r="N2518" s="7" t="str">
        <f>IFERROR(__xludf.DUMMYFUNCTION("""COMPUTED_VALUE"""),"José Raúl Zúñiga|46131")</f>
        <v>José Raúl Zúñiga|46131</v>
      </c>
      <c r="O2518" s="7">
        <f>IFERROR(__xludf.DUMMYFUNCTION("""COMPUTED_VALUE"""),4.0)</f>
        <v>4</v>
      </c>
    </row>
    <row r="2519" ht="22.5" hidden="1" customHeight="1">
      <c r="A2519" s="8">
        <v>45986.39661427084</v>
      </c>
      <c r="B2519" s="9">
        <v>45986.0</v>
      </c>
      <c r="C2519" s="9" t="s">
        <v>110</v>
      </c>
      <c r="D2519" s="9" t="s">
        <v>223</v>
      </c>
      <c r="E2519" s="9" t="s">
        <v>17</v>
      </c>
      <c r="F2519" s="9" t="s">
        <v>17</v>
      </c>
      <c r="G2519" s="9" t="s">
        <v>24</v>
      </c>
      <c r="H2519" s="9" t="s">
        <v>17</v>
      </c>
      <c r="I2519" s="9" t="s">
        <v>20</v>
      </c>
      <c r="J2519" s="10"/>
      <c r="K2519" s="7" t="s">
        <v>398</v>
      </c>
      <c r="L2519" s="7"/>
      <c r="M2519" s="7"/>
      <c r="N2519" s="7" t="str">
        <f>IFERROR(__xludf.DUMMYFUNCTION("""COMPUTED_VALUE"""),"Santiago Naveda|46131")</f>
        <v>Santiago Naveda|46131</v>
      </c>
      <c r="O2519" s="7">
        <f>IFERROR(__xludf.DUMMYFUNCTION("""COMPUTED_VALUE"""),5.0)</f>
        <v>5</v>
      </c>
    </row>
    <row r="2520" ht="22.5" hidden="1" customHeight="1">
      <c r="A2520" s="8">
        <v>45986.40569484954</v>
      </c>
      <c r="B2520" s="9">
        <v>45986.0</v>
      </c>
      <c r="C2520" s="9" t="s">
        <v>110</v>
      </c>
      <c r="D2520" s="9" t="s">
        <v>257</v>
      </c>
      <c r="E2520" s="9" t="s">
        <v>17</v>
      </c>
      <c r="F2520" s="9" t="s">
        <v>17</v>
      </c>
      <c r="G2520" s="9" t="s">
        <v>24</v>
      </c>
      <c r="H2520" s="9" t="s">
        <v>17</v>
      </c>
      <c r="I2520" s="9" t="s">
        <v>20</v>
      </c>
      <c r="J2520" s="10"/>
      <c r="K2520" s="7" t="s">
        <v>398</v>
      </c>
      <c r="L2520" s="7"/>
      <c r="M2520" s="7"/>
      <c r="N2520" s="7" t="str">
        <f>IFERROR(__xludf.DUMMYFUNCTION("""COMPUTED_VALUE"""),"Erick Sánchez|46131")</f>
        <v>Erick Sánchez|46131</v>
      </c>
      <c r="O2520" s="7">
        <f>IFERROR(__xludf.DUMMYFUNCTION("""COMPUTED_VALUE"""),4.0)</f>
        <v>4</v>
      </c>
    </row>
    <row r="2521" ht="22.5" hidden="1" customHeight="1">
      <c r="A2521" s="8">
        <v>45986.406333946754</v>
      </c>
      <c r="B2521" s="9">
        <v>45986.0</v>
      </c>
      <c r="C2521" s="9" t="s">
        <v>110</v>
      </c>
      <c r="D2521" s="9" t="s">
        <v>174</v>
      </c>
      <c r="E2521" s="9" t="s">
        <v>17</v>
      </c>
      <c r="F2521" s="9" t="s">
        <v>17</v>
      </c>
      <c r="G2521" s="9" t="s">
        <v>24</v>
      </c>
      <c r="H2521" s="9" t="s">
        <v>22</v>
      </c>
      <c r="I2521" s="9" t="s">
        <v>20</v>
      </c>
      <c r="J2521" s="10"/>
      <c r="K2521" s="7" t="s">
        <v>398</v>
      </c>
      <c r="L2521" s="7"/>
      <c r="M2521" s="7"/>
      <c r="N2521" s="7" t="str">
        <f>IFERROR(__xludf.DUMMYFUNCTION("""COMPUTED_VALUE"""),"Alexis Gutiérrez|46131")</f>
        <v>Alexis Gutiérrez|46131</v>
      </c>
      <c r="O2521" s="7">
        <f>IFERROR(__xludf.DUMMYFUNCTION("""COMPUTED_VALUE"""),3.0)</f>
        <v>3</v>
      </c>
    </row>
    <row r="2522" ht="22.5" hidden="1" customHeight="1">
      <c r="A2522" s="8">
        <v>45986.406483252315</v>
      </c>
      <c r="B2522" s="9">
        <v>45986.0</v>
      </c>
      <c r="C2522" s="9" t="s">
        <v>110</v>
      </c>
      <c r="D2522" s="9" t="s">
        <v>396</v>
      </c>
      <c r="E2522" s="9" t="s">
        <v>17</v>
      </c>
      <c r="F2522" s="9" t="s">
        <v>17</v>
      </c>
      <c r="G2522" s="9" t="s">
        <v>24</v>
      </c>
      <c r="H2522" s="9" t="s">
        <v>17</v>
      </c>
      <c r="I2522" s="9" t="s">
        <v>20</v>
      </c>
      <c r="J2522" s="10"/>
      <c r="K2522" s="7" t="s">
        <v>398</v>
      </c>
      <c r="L2522" s="7"/>
      <c r="M2522" s="7"/>
      <c r="N2522" s="7" t="str">
        <f>IFERROR(__xludf.DUMMYFUNCTION("""COMPUTED_VALUE"""),"Ramón Juárez|46131")</f>
        <v>Ramón Juárez|46131</v>
      </c>
      <c r="O2522" s="7">
        <f>IFERROR(__xludf.DUMMYFUNCTION("""COMPUTED_VALUE"""),5.0)</f>
        <v>5</v>
      </c>
    </row>
    <row r="2523" ht="22.5" hidden="1" customHeight="1">
      <c r="A2523" s="8">
        <v>45986.40677638889</v>
      </c>
      <c r="B2523" s="9">
        <v>45986.0</v>
      </c>
      <c r="C2523" s="9" t="s">
        <v>110</v>
      </c>
      <c r="D2523" s="9" t="s">
        <v>210</v>
      </c>
      <c r="E2523" s="9" t="s">
        <v>17</v>
      </c>
      <c r="F2523" s="9" t="s">
        <v>17</v>
      </c>
      <c r="G2523" s="9" t="s">
        <v>24</v>
      </c>
      <c r="H2523" s="9" t="s">
        <v>17</v>
      </c>
      <c r="I2523" s="9" t="s">
        <v>20</v>
      </c>
      <c r="J2523" s="10"/>
      <c r="K2523" s="7" t="s">
        <v>398</v>
      </c>
      <c r="L2523" s="7"/>
      <c r="M2523" s="7"/>
      <c r="N2523" s="7" t="str">
        <f>IFERROR(__xludf.DUMMYFUNCTION("""COMPUTED_VALUE"""),"Fernando Tapia|46131")</f>
        <v>Fernando Tapia|46131</v>
      </c>
      <c r="O2523" s="7">
        <f>IFERROR(__xludf.DUMMYFUNCTION("""COMPUTED_VALUE"""),3.0)</f>
        <v>3</v>
      </c>
    </row>
    <row r="2524" ht="22.5" hidden="1" customHeight="1">
      <c r="A2524" s="8">
        <v>46008.50118107639</v>
      </c>
      <c r="B2524" s="9">
        <v>46008.0</v>
      </c>
      <c r="C2524" s="9" t="s">
        <v>86</v>
      </c>
      <c r="D2524" s="9" t="s">
        <v>177</v>
      </c>
      <c r="E2524" s="9" t="s">
        <v>61</v>
      </c>
      <c r="F2524" s="9" t="s">
        <v>60</v>
      </c>
      <c r="G2524" s="9" t="s">
        <v>40</v>
      </c>
      <c r="H2524" s="9" t="s">
        <v>62</v>
      </c>
      <c r="I2524" s="9" t="s">
        <v>321</v>
      </c>
      <c r="J2524" s="10"/>
      <c r="K2524" s="7" t="s">
        <v>398</v>
      </c>
      <c r="L2524" s="7"/>
      <c r="M2524" s="7"/>
      <c r="N2524" s="7" t="str">
        <f>IFERROR(__xludf.DUMMYFUNCTION("""COMPUTED_VALUE"""),"Santiago Naveda|46133")</f>
        <v>Santiago Naveda|46133</v>
      </c>
      <c r="O2524" s="7">
        <f>IFERROR(__xludf.DUMMYFUNCTION("""COMPUTED_VALUE"""),4.0)</f>
        <v>4</v>
      </c>
    </row>
    <row r="2525" ht="22.5" hidden="1" customHeight="1">
      <c r="A2525" s="8">
        <v>46009.63071359954</v>
      </c>
      <c r="B2525" s="9">
        <v>46009.0</v>
      </c>
      <c r="C2525" s="9" t="s">
        <v>31</v>
      </c>
      <c r="D2525" s="9" t="s">
        <v>171</v>
      </c>
      <c r="E2525" s="9" t="s">
        <v>46</v>
      </c>
      <c r="F2525" s="9" t="s">
        <v>39</v>
      </c>
      <c r="G2525" s="9" t="s">
        <v>40</v>
      </c>
      <c r="H2525" s="9" t="s">
        <v>17</v>
      </c>
      <c r="I2525" s="9" t="s">
        <v>20</v>
      </c>
      <c r="J2525" s="10"/>
      <c r="K2525" s="7" t="s">
        <v>398</v>
      </c>
      <c r="L2525" s="7"/>
      <c r="M2525" s="7"/>
      <c r="N2525" s="7" t="str">
        <f>IFERROR(__xludf.DUMMYFUNCTION("""COMPUTED_VALUE"""),"Néstor Araujo|46133")</f>
        <v>Néstor Araujo|46133</v>
      </c>
      <c r="O2525" s="7">
        <f>IFERROR(__xludf.DUMMYFUNCTION("""COMPUTED_VALUE"""),4.0)</f>
        <v>4</v>
      </c>
    </row>
    <row r="2526" ht="22.5" hidden="1" customHeight="1">
      <c r="A2526" s="8">
        <v>46009.63157017361</v>
      </c>
      <c r="B2526" s="9">
        <v>46009.0</v>
      </c>
      <c r="C2526" s="9" t="s">
        <v>31</v>
      </c>
      <c r="D2526" s="9" t="s">
        <v>168</v>
      </c>
      <c r="E2526" s="9" t="s">
        <v>61</v>
      </c>
      <c r="F2526" s="9" t="s">
        <v>17</v>
      </c>
      <c r="G2526" s="9" t="s">
        <v>24</v>
      </c>
      <c r="H2526" s="9" t="s">
        <v>17</v>
      </c>
      <c r="I2526" s="9" t="s">
        <v>20</v>
      </c>
      <c r="J2526" s="10"/>
      <c r="K2526" s="7" t="s">
        <v>398</v>
      </c>
      <c r="L2526" s="7"/>
      <c r="M2526" s="7"/>
      <c r="N2526" s="7" t="str">
        <f>IFERROR(__xludf.DUMMYFUNCTION("""COMPUTED_VALUE"""),"Dagoberto Espinoza|46133")</f>
        <v>Dagoberto Espinoza|46133</v>
      </c>
      <c r="O2526" s="7">
        <f>IFERROR(__xludf.DUMMYFUNCTION("""COMPUTED_VALUE"""),4.0)</f>
        <v>4</v>
      </c>
    </row>
    <row r="2527" ht="22.5" hidden="1" customHeight="1">
      <c r="A2527" s="8">
        <v>46009.63196967593</v>
      </c>
      <c r="B2527" s="9">
        <v>46009.0</v>
      </c>
      <c r="C2527" s="9" t="s">
        <v>31</v>
      </c>
      <c r="D2527" s="9" t="s">
        <v>177</v>
      </c>
      <c r="E2527" s="9" t="s">
        <v>17</v>
      </c>
      <c r="F2527" s="9" t="s">
        <v>17</v>
      </c>
      <c r="G2527" s="9" t="s">
        <v>24</v>
      </c>
      <c r="H2527" s="9" t="s">
        <v>17</v>
      </c>
      <c r="I2527" s="9" t="s">
        <v>20</v>
      </c>
      <c r="J2527" s="10"/>
      <c r="K2527" s="7" t="s">
        <v>398</v>
      </c>
      <c r="L2527" s="7"/>
      <c r="M2527" s="7"/>
      <c r="N2527" s="7" t="str">
        <f>IFERROR(__xludf.DUMMYFUNCTION("""COMPUTED_VALUE"""),"Néstor Araujo|46134")</f>
        <v>Néstor Araujo|46134</v>
      </c>
      <c r="O2527" s="7">
        <f>IFERROR(__xludf.DUMMYFUNCTION("""COMPUTED_VALUE"""),5.0)</f>
        <v>5</v>
      </c>
    </row>
    <row r="2528" ht="22.5" hidden="1" customHeight="1">
      <c r="A2528" s="8">
        <v>46009.63219956019</v>
      </c>
      <c r="B2528" s="9">
        <v>46009.0</v>
      </c>
      <c r="C2528" s="9" t="s">
        <v>31</v>
      </c>
      <c r="D2528" s="9" t="s">
        <v>258</v>
      </c>
      <c r="E2528" s="9" t="s">
        <v>17</v>
      </c>
      <c r="F2528" s="9" t="s">
        <v>17</v>
      </c>
      <c r="G2528" s="9" t="s">
        <v>24</v>
      </c>
      <c r="H2528" s="9" t="s">
        <v>17</v>
      </c>
      <c r="I2528" s="9" t="s">
        <v>20</v>
      </c>
      <c r="J2528" s="10"/>
      <c r="K2528" s="7" t="s">
        <v>398</v>
      </c>
      <c r="L2528" s="7"/>
      <c r="M2528" s="7"/>
      <c r="N2528" s="7" t="str">
        <f>IFERROR(__xludf.DUMMYFUNCTION("""COMPUTED_VALUE"""),"Patricio Salas|46134")</f>
        <v>Patricio Salas|46134</v>
      </c>
      <c r="O2528" s="7">
        <f>IFERROR(__xludf.DUMMYFUNCTION("""COMPUTED_VALUE"""),6.0)</f>
        <v>6</v>
      </c>
    </row>
    <row r="2529" ht="22.5" hidden="1" customHeight="1">
      <c r="A2529" s="8">
        <v>46009.63250756945</v>
      </c>
      <c r="B2529" s="9">
        <v>46009.0</v>
      </c>
      <c r="C2529" s="9" t="s">
        <v>31</v>
      </c>
      <c r="D2529" s="9" t="s">
        <v>257</v>
      </c>
      <c r="E2529" s="9" t="s">
        <v>17</v>
      </c>
      <c r="F2529" s="9" t="s">
        <v>17</v>
      </c>
      <c r="G2529" s="9" t="s">
        <v>24</v>
      </c>
      <c r="H2529" s="9" t="s">
        <v>22</v>
      </c>
      <c r="I2529" s="9" t="s">
        <v>20</v>
      </c>
      <c r="J2529" s="10"/>
      <c r="K2529" s="7" t="s">
        <v>398</v>
      </c>
      <c r="L2529" s="7"/>
      <c r="M2529" s="7"/>
      <c r="N2529" s="7" t="str">
        <f>IFERROR(__xludf.DUMMYFUNCTION("""COMPUTED_VALUE"""),"Thiago Espinosa|46134")</f>
        <v>Thiago Espinosa|46134</v>
      </c>
      <c r="O2529" s="7">
        <f>IFERROR(__xludf.DUMMYFUNCTION("""COMPUTED_VALUE"""),6.0)</f>
        <v>6</v>
      </c>
    </row>
    <row r="2530" ht="22.5" hidden="1" customHeight="1">
      <c r="A2530" s="8">
        <v>46009.633614328704</v>
      </c>
      <c r="B2530" s="9">
        <v>46009.0</v>
      </c>
      <c r="C2530" s="9" t="s">
        <v>31</v>
      </c>
      <c r="D2530" s="9" t="s">
        <v>223</v>
      </c>
      <c r="E2530" s="9" t="s">
        <v>17</v>
      </c>
      <c r="F2530" s="9" t="s">
        <v>17</v>
      </c>
      <c r="G2530" s="9" t="s">
        <v>24</v>
      </c>
      <c r="H2530" s="9" t="s">
        <v>17</v>
      </c>
      <c r="I2530" s="9" t="s">
        <v>20</v>
      </c>
      <c r="J2530" s="10"/>
      <c r="K2530" s="7" t="s">
        <v>398</v>
      </c>
      <c r="L2530" s="7"/>
      <c r="M2530" s="7"/>
      <c r="N2530" s="7" t="str">
        <f>IFERROR(__xludf.DUMMYFUNCTION("""COMPUTED_VALUE"""),"Aaron Mejia|46134")</f>
        <v>Aaron Mejia|46134</v>
      </c>
      <c r="O2530" s="7">
        <f>IFERROR(__xludf.DUMMYFUNCTION("""COMPUTED_VALUE"""),5.0)</f>
        <v>5</v>
      </c>
    </row>
    <row r="2531" ht="22.5" hidden="1" customHeight="1">
      <c r="A2531" s="8">
        <v>46009.63377163194</v>
      </c>
      <c r="B2531" s="9">
        <v>46009.0</v>
      </c>
      <c r="C2531" s="9" t="s">
        <v>31</v>
      </c>
      <c r="D2531" s="9" t="s">
        <v>178</v>
      </c>
      <c r="E2531" s="9" t="s">
        <v>17</v>
      </c>
      <c r="F2531" s="9" t="s">
        <v>17</v>
      </c>
      <c r="G2531" s="9" t="s">
        <v>24</v>
      </c>
      <c r="H2531" s="9" t="s">
        <v>22</v>
      </c>
      <c r="I2531" s="9" t="s">
        <v>20</v>
      </c>
      <c r="J2531" s="10"/>
      <c r="K2531" s="7" t="s">
        <v>398</v>
      </c>
      <c r="L2531" s="7"/>
      <c r="M2531" s="7"/>
      <c r="N2531" s="7" t="str">
        <f>IFERROR(__xludf.DUMMYFUNCTION("""COMPUTED_VALUE"""),"Vinícius Lima|46134")</f>
        <v>Vinícius Lima|46134</v>
      </c>
      <c r="O2531" s="7">
        <f>IFERROR(__xludf.DUMMYFUNCTION("""COMPUTED_VALUE"""),3.0)</f>
        <v>3</v>
      </c>
    </row>
    <row r="2532" ht="22.5" hidden="1" customHeight="1">
      <c r="A2532" s="8">
        <v>46009.63467008102</v>
      </c>
      <c r="B2532" s="9">
        <v>46009.0</v>
      </c>
      <c r="C2532" s="9" t="s">
        <v>31</v>
      </c>
      <c r="D2532" s="9" t="s">
        <v>395</v>
      </c>
      <c r="E2532" s="9" t="s">
        <v>17</v>
      </c>
      <c r="F2532" s="9" t="s">
        <v>17</v>
      </c>
      <c r="G2532" s="9" t="s">
        <v>24</v>
      </c>
      <c r="H2532" s="9" t="s">
        <v>22</v>
      </c>
      <c r="I2532" s="9" t="s">
        <v>20</v>
      </c>
      <c r="J2532" s="10"/>
      <c r="K2532" s="7" t="s">
        <v>398</v>
      </c>
      <c r="L2532" s="7"/>
      <c r="M2532" s="7"/>
      <c r="N2532" s="7" t="str">
        <f>IFERROR(__xludf.DUMMYFUNCTION("""COMPUTED_VALUE"""),"Henry Martín|46134")</f>
        <v>Henry Martín|46134</v>
      </c>
      <c r="O2532" s="7">
        <f>IFERROR(__xludf.DUMMYFUNCTION("""COMPUTED_VALUE"""),4.0)</f>
        <v>4</v>
      </c>
    </row>
    <row r="2533" ht="22.5" hidden="1" customHeight="1">
      <c r="A2533" s="8">
        <v>46009.63540960648</v>
      </c>
      <c r="B2533" s="9">
        <v>46009.0</v>
      </c>
      <c r="C2533" s="9" t="s">
        <v>31</v>
      </c>
      <c r="D2533" s="9" t="s">
        <v>361</v>
      </c>
      <c r="E2533" s="9" t="s">
        <v>17</v>
      </c>
      <c r="F2533" s="9" t="s">
        <v>17</v>
      </c>
      <c r="G2533" s="9" t="s">
        <v>24</v>
      </c>
      <c r="H2533" s="9" t="s">
        <v>22</v>
      </c>
      <c r="I2533" s="9" t="s">
        <v>20</v>
      </c>
      <c r="J2533" s="10"/>
      <c r="K2533" s="7" t="s">
        <v>398</v>
      </c>
      <c r="L2533" s="7"/>
      <c r="M2533" s="7"/>
      <c r="N2533" s="7" t="str">
        <f>IFERROR(__xludf.DUMMYFUNCTION("""COMPUTED_VALUE"""),"José Raúl Zúñiga|46134")</f>
        <v>José Raúl Zúñiga|46134</v>
      </c>
      <c r="O2533" s="7">
        <f>IFERROR(__xludf.DUMMYFUNCTION("""COMPUTED_VALUE"""),4.0)</f>
        <v>4</v>
      </c>
    </row>
    <row r="2534" ht="22.5" hidden="1" customHeight="1">
      <c r="A2534" s="8">
        <v>46009.63556296296</v>
      </c>
      <c r="B2534" s="9">
        <v>46009.0</v>
      </c>
      <c r="C2534" s="9" t="s">
        <v>31</v>
      </c>
      <c r="D2534" s="9" t="s">
        <v>175</v>
      </c>
      <c r="E2534" s="9" t="s">
        <v>17</v>
      </c>
      <c r="F2534" s="9" t="s">
        <v>17</v>
      </c>
      <c r="G2534" s="9" t="s">
        <v>24</v>
      </c>
      <c r="H2534" s="9" t="s">
        <v>22</v>
      </c>
      <c r="I2534" s="9" t="s">
        <v>20</v>
      </c>
      <c r="J2534" s="10"/>
      <c r="K2534" s="7" t="s">
        <v>398</v>
      </c>
      <c r="L2534" s="7"/>
      <c r="M2534" s="7"/>
      <c r="N2534" s="7" t="str">
        <f>IFERROR(__xludf.DUMMYFUNCTION("""COMPUTED_VALUE"""),"Dagoberto Espinoza|46134")</f>
        <v>Dagoberto Espinoza|46134</v>
      </c>
      <c r="O2534" s="7">
        <f>IFERROR(__xludf.DUMMYFUNCTION("""COMPUTED_VALUE"""),7.0)</f>
        <v>7</v>
      </c>
    </row>
    <row r="2535" ht="22.5" hidden="1" customHeight="1">
      <c r="A2535" s="8">
        <v>46009.63616807871</v>
      </c>
      <c r="B2535" s="9">
        <v>46009.0</v>
      </c>
      <c r="C2535" s="9" t="s">
        <v>31</v>
      </c>
      <c r="D2535" s="9" t="s">
        <v>350</v>
      </c>
      <c r="E2535" s="9" t="s">
        <v>17</v>
      </c>
      <c r="F2535" s="9" t="s">
        <v>17</v>
      </c>
      <c r="G2535" s="9" t="s">
        <v>24</v>
      </c>
      <c r="H2535" s="9" t="s">
        <v>22</v>
      </c>
      <c r="I2535" s="9" t="s">
        <v>20</v>
      </c>
      <c r="J2535" s="10"/>
      <c r="K2535" s="7" t="s">
        <v>398</v>
      </c>
      <c r="L2535" s="7"/>
      <c r="M2535" s="7"/>
      <c r="N2535" s="7" t="str">
        <f>IFERROR(__xludf.DUMMYFUNCTION("""COMPUTED_VALUE"""),"Alan Cervantes|46134")</f>
        <v>Alan Cervantes|46134</v>
      </c>
      <c r="O2535" s="7">
        <f>IFERROR(__xludf.DUMMYFUNCTION("""COMPUTED_VALUE"""),7.0)</f>
        <v>7</v>
      </c>
    </row>
    <row r="2536" ht="22.5" hidden="1" customHeight="1">
      <c r="A2536" s="8">
        <v>46009.64010440972</v>
      </c>
      <c r="B2536" s="9">
        <v>46009.0</v>
      </c>
      <c r="C2536" s="9" t="s">
        <v>31</v>
      </c>
      <c r="D2536" s="9" t="s">
        <v>394</v>
      </c>
      <c r="E2536" s="9" t="s">
        <v>17</v>
      </c>
      <c r="F2536" s="9" t="s">
        <v>17</v>
      </c>
      <c r="G2536" s="9" t="s">
        <v>24</v>
      </c>
      <c r="H2536" s="9" t="s">
        <v>22</v>
      </c>
      <c r="I2536" s="9" t="s">
        <v>20</v>
      </c>
      <c r="J2536" s="10"/>
      <c r="K2536" s="7" t="s">
        <v>398</v>
      </c>
      <c r="L2536" s="7"/>
      <c r="M2536" s="7"/>
      <c r="N2536" s="7" t="str">
        <f>IFERROR(__xludf.DUMMYFUNCTION("""COMPUTED_VALUE"""),"Santiago Naveda|46134")</f>
        <v>Santiago Naveda|46134</v>
      </c>
      <c r="O2536" s="7">
        <f>IFERROR(__xludf.DUMMYFUNCTION("""COMPUTED_VALUE"""),6.0)</f>
        <v>6</v>
      </c>
    </row>
    <row r="2537" ht="22.5" hidden="1" customHeight="1">
      <c r="A2537" s="8">
        <v>46009.640328043984</v>
      </c>
      <c r="B2537" s="9">
        <v>46009.0</v>
      </c>
      <c r="C2537" s="9" t="s">
        <v>31</v>
      </c>
      <c r="D2537" s="9" t="s">
        <v>393</v>
      </c>
      <c r="E2537" s="9" t="s">
        <v>17</v>
      </c>
      <c r="F2537" s="9" t="s">
        <v>17</v>
      </c>
      <c r="G2537" s="9" t="s">
        <v>24</v>
      </c>
      <c r="H2537" s="9" t="s">
        <v>22</v>
      </c>
      <c r="I2537" s="9" t="s">
        <v>20</v>
      </c>
      <c r="J2537" s="10"/>
      <c r="K2537" s="7" t="s">
        <v>398</v>
      </c>
      <c r="L2537" s="7"/>
      <c r="M2537" s="7"/>
      <c r="N2537" s="7" t="str">
        <f>IFERROR(__xludf.DUMMYFUNCTION("""COMPUTED_VALUE"""),"Alexis Gutiérrez|46134")</f>
        <v>Alexis Gutiérrez|46134</v>
      </c>
      <c r="O2537" s="7">
        <f>IFERROR(__xludf.DUMMYFUNCTION("""COMPUTED_VALUE"""),6.0)</f>
        <v>6</v>
      </c>
    </row>
    <row r="2538" ht="22.5" hidden="1" customHeight="1">
      <c r="A2538" s="8">
        <v>46009.64048443287</v>
      </c>
      <c r="B2538" s="9">
        <v>46009.0</v>
      </c>
      <c r="C2538" s="9" t="s">
        <v>31</v>
      </c>
      <c r="D2538" s="9" t="s">
        <v>247</v>
      </c>
      <c r="E2538" s="9" t="s">
        <v>17</v>
      </c>
      <c r="F2538" s="9" t="s">
        <v>17</v>
      </c>
      <c r="G2538" s="9" t="s">
        <v>24</v>
      </c>
      <c r="H2538" s="9" t="s">
        <v>22</v>
      </c>
      <c r="I2538" s="9" t="s">
        <v>20</v>
      </c>
      <c r="J2538" s="10"/>
      <c r="K2538" s="7" t="s">
        <v>398</v>
      </c>
      <c r="L2538" s="7"/>
      <c r="M2538" s="7"/>
      <c r="N2538" s="7" t="str">
        <f>IFERROR(__xludf.DUMMYFUNCTION("""COMPUTED_VALUE"""),"Fernando Tapia|46134")</f>
        <v>Fernando Tapia|46134</v>
      </c>
      <c r="O2538" s="7">
        <f>IFERROR(__xludf.DUMMYFUNCTION("""COMPUTED_VALUE"""),4.0)</f>
        <v>4</v>
      </c>
    </row>
    <row r="2539" ht="22.5" hidden="1" customHeight="1">
      <c r="A2539" s="8">
        <v>46009.64063076389</v>
      </c>
      <c r="B2539" s="9">
        <v>46009.0</v>
      </c>
      <c r="C2539" s="9" t="s">
        <v>31</v>
      </c>
      <c r="D2539" s="9" t="s">
        <v>249</v>
      </c>
      <c r="E2539" s="9" t="s">
        <v>17</v>
      </c>
      <c r="F2539" s="9" t="s">
        <v>17</v>
      </c>
      <c r="G2539" s="9" t="s">
        <v>24</v>
      </c>
      <c r="H2539" s="9" t="s">
        <v>22</v>
      </c>
      <c r="I2539" s="9" t="s">
        <v>20</v>
      </c>
      <c r="J2539" s="10"/>
      <c r="K2539" s="7" t="s">
        <v>398</v>
      </c>
      <c r="L2539" s="7"/>
      <c r="M2539" s="7"/>
      <c r="N2539" s="7" t="str">
        <f>IFERROR(__xludf.DUMMYFUNCTION("""COMPUTED_VALUE"""),"Santiago Naveda|46135")</f>
        <v>Santiago Naveda|46135</v>
      </c>
      <c r="O2539" s="7">
        <f>IFERROR(__xludf.DUMMYFUNCTION("""COMPUTED_VALUE"""),6.0)</f>
        <v>6</v>
      </c>
    </row>
    <row r="2540" ht="22.5" hidden="1" customHeight="1">
      <c r="A2540" s="8">
        <v>46009.640842187495</v>
      </c>
      <c r="B2540" s="9">
        <v>46009.0</v>
      </c>
      <c r="C2540" s="9" t="s">
        <v>31</v>
      </c>
      <c r="D2540" s="9" t="s">
        <v>210</v>
      </c>
      <c r="E2540" s="9" t="s">
        <v>17</v>
      </c>
      <c r="F2540" s="9" t="s">
        <v>17</v>
      </c>
      <c r="G2540" s="9" t="s">
        <v>24</v>
      </c>
      <c r="H2540" s="9" t="s">
        <v>22</v>
      </c>
      <c r="I2540" s="9" t="s">
        <v>20</v>
      </c>
      <c r="J2540" s="10"/>
      <c r="K2540" s="7" t="s">
        <v>398</v>
      </c>
      <c r="L2540" s="7"/>
      <c r="M2540" s="7"/>
      <c r="N2540" s="7" t="str">
        <f>IFERROR(__xludf.DUMMYFUNCTION("""COMPUTED_VALUE"""),"Kevin Álvarez|46135")</f>
        <v>Kevin Álvarez|46135</v>
      </c>
      <c r="O2540" s="7">
        <f>IFERROR(__xludf.DUMMYFUNCTION("""COMPUTED_VALUE"""),6.0)</f>
        <v>6</v>
      </c>
    </row>
    <row r="2541" ht="22.5" hidden="1" customHeight="1">
      <c r="A2541" s="8">
        <v>46009.64235283565</v>
      </c>
      <c r="B2541" s="9">
        <v>46009.0</v>
      </c>
      <c r="C2541" s="9" t="s">
        <v>31</v>
      </c>
      <c r="D2541" s="9" t="s">
        <v>335</v>
      </c>
      <c r="E2541" s="9" t="s">
        <v>17</v>
      </c>
      <c r="F2541" s="9" t="s">
        <v>17</v>
      </c>
      <c r="G2541" s="9" t="s">
        <v>24</v>
      </c>
      <c r="H2541" s="9" t="s">
        <v>17</v>
      </c>
      <c r="I2541" s="9" t="s">
        <v>20</v>
      </c>
      <c r="J2541" s="10"/>
      <c r="K2541" s="7" t="s">
        <v>398</v>
      </c>
      <c r="L2541" s="7"/>
      <c r="M2541" s="7"/>
      <c r="N2541" s="7" t="str">
        <f>IFERROR(__xludf.DUMMYFUNCTION("""COMPUTED_VALUE"""),"Alan Cervantes|46135")</f>
        <v>Alan Cervantes|46135</v>
      </c>
      <c r="O2541" s="7">
        <f>IFERROR(__xludf.DUMMYFUNCTION("""COMPUTED_VALUE"""),7.0)</f>
        <v>7</v>
      </c>
    </row>
    <row r="2542" ht="22.5" hidden="1" customHeight="1">
      <c r="A2542" s="8">
        <v>46010.33907607639</v>
      </c>
      <c r="B2542" s="9">
        <v>46010.0</v>
      </c>
      <c r="C2542" s="9" t="s">
        <v>48</v>
      </c>
      <c r="D2542" s="9" t="s">
        <v>171</v>
      </c>
      <c r="E2542" s="9" t="s">
        <v>17</v>
      </c>
      <c r="F2542" s="9" t="s">
        <v>17</v>
      </c>
      <c r="G2542" s="9" t="s">
        <v>24</v>
      </c>
      <c r="H2542" s="9" t="s">
        <v>22</v>
      </c>
      <c r="I2542" s="9" t="s">
        <v>20</v>
      </c>
      <c r="J2542" s="10"/>
      <c r="K2542" s="7" t="s">
        <v>398</v>
      </c>
      <c r="L2542" s="7"/>
      <c r="M2542" s="7"/>
      <c r="N2542" s="7" t="str">
        <f>IFERROR(__xludf.DUMMYFUNCTION("""COMPUTED_VALUE"""),"Rodrigo Dourado|46135")</f>
        <v>Rodrigo Dourado|46135</v>
      </c>
      <c r="O2542" s="7">
        <f>IFERROR(__xludf.DUMMYFUNCTION("""COMPUTED_VALUE"""),3.0)</f>
        <v>3</v>
      </c>
    </row>
    <row r="2543" ht="22.5" hidden="1" customHeight="1">
      <c r="A2543" s="8">
        <v>46010.33984688658</v>
      </c>
      <c r="B2543" s="9">
        <v>46010.0</v>
      </c>
      <c r="C2543" s="9" t="s">
        <v>48</v>
      </c>
      <c r="D2543" s="9" t="s">
        <v>394</v>
      </c>
      <c r="E2543" s="9" t="s">
        <v>17</v>
      </c>
      <c r="F2543" s="9" t="s">
        <v>17</v>
      </c>
      <c r="G2543" s="9" t="s">
        <v>24</v>
      </c>
      <c r="H2543" s="9" t="s">
        <v>17</v>
      </c>
      <c r="I2543" s="9" t="s">
        <v>20</v>
      </c>
      <c r="J2543" s="10"/>
      <c r="K2543" s="7" t="s">
        <v>398</v>
      </c>
      <c r="L2543" s="7"/>
      <c r="M2543" s="7"/>
      <c r="N2543" s="7" t="str">
        <f>IFERROR(__xludf.DUMMYFUNCTION("""COMPUTED_VALUE"""),"José Raúl Zúñiga|46135")</f>
        <v>José Raúl Zúñiga|46135</v>
      </c>
      <c r="O2543" s="7">
        <f>IFERROR(__xludf.DUMMYFUNCTION("""COMPUTED_VALUE"""),4.0)</f>
        <v>4</v>
      </c>
    </row>
    <row r="2544" ht="22.5" hidden="1" customHeight="1">
      <c r="A2544" s="8">
        <v>46010.34017599537</v>
      </c>
      <c r="B2544" s="9">
        <v>46010.0</v>
      </c>
      <c r="C2544" s="9" t="s">
        <v>48</v>
      </c>
      <c r="D2544" s="9" t="s">
        <v>247</v>
      </c>
      <c r="E2544" s="9" t="s">
        <v>17</v>
      </c>
      <c r="F2544" s="9" t="s">
        <v>17</v>
      </c>
      <c r="G2544" s="9" t="s">
        <v>24</v>
      </c>
      <c r="H2544" s="9" t="s">
        <v>17</v>
      </c>
      <c r="I2544" s="9" t="s">
        <v>20</v>
      </c>
      <c r="J2544" s="10"/>
      <c r="K2544" s="7" t="s">
        <v>398</v>
      </c>
      <c r="L2544" s="7"/>
      <c r="M2544" s="7"/>
      <c r="N2544" s="7" t="str">
        <f>IFERROR(__xludf.DUMMYFUNCTION("""COMPUTED_VALUE"""),"Thiago Espinosa|46135")</f>
        <v>Thiago Espinosa|46135</v>
      </c>
      <c r="O2544" s="7">
        <f>IFERROR(__xludf.DUMMYFUNCTION("""COMPUTED_VALUE"""),7.0)</f>
        <v>7</v>
      </c>
    </row>
    <row r="2545" ht="22.5" hidden="1" customHeight="1">
      <c r="A2545" s="8">
        <v>46010.34057917824</v>
      </c>
      <c r="B2545" s="9">
        <v>46010.0</v>
      </c>
      <c r="C2545" s="9" t="s">
        <v>48</v>
      </c>
      <c r="D2545" s="9" t="s">
        <v>175</v>
      </c>
      <c r="E2545" s="9" t="s">
        <v>17</v>
      </c>
      <c r="F2545" s="9" t="s">
        <v>17</v>
      </c>
      <c r="G2545" s="9" t="s">
        <v>24</v>
      </c>
      <c r="H2545" s="9" t="s">
        <v>22</v>
      </c>
      <c r="I2545" s="9" t="s">
        <v>20</v>
      </c>
      <c r="J2545" s="10"/>
      <c r="K2545" s="7" t="s">
        <v>398</v>
      </c>
      <c r="L2545" s="7"/>
      <c r="M2545" s="7"/>
      <c r="N2545" s="7" t="str">
        <f>IFERROR(__xludf.DUMMYFUNCTION("""COMPUTED_VALUE"""),"Dagoberto Espinoza|46135")</f>
        <v>Dagoberto Espinoza|46135</v>
      </c>
      <c r="O2545" s="7">
        <f>IFERROR(__xludf.DUMMYFUNCTION("""COMPUTED_VALUE"""),4.0)</f>
        <v>4</v>
      </c>
    </row>
    <row r="2546" ht="22.5" hidden="1" customHeight="1">
      <c r="A2546" s="8">
        <v>46010.340764594905</v>
      </c>
      <c r="B2546" s="9">
        <v>46010.0</v>
      </c>
      <c r="C2546" s="9" t="s">
        <v>48</v>
      </c>
      <c r="D2546" s="9" t="s">
        <v>361</v>
      </c>
      <c r="E2546" s="9" t="s">
        <v>17</v>
      </c>
      <c r="F2546" s="9" t="s">
        <v>17</v>
      </c>
      <c r="G2546" s="9" t="s">
        <v>24</v>
      </c>
      <c r="H2546" s="9" t="s">
        <v>17</v>
      </c>
      <c r="I2546" s="9" t="s">
        <v>79</v>
      </c>
      <c r="J2546" s="10"/>
      <c r="K2546" s="7" t="s">
        <v>398</v>
      </c>
      <c r="L2546" s="7"/>
      <c r="M2546" s="7"/>
      <c r="N2546" s="7" t="str">
        <f>IFERROR(__xludf.DUMMYFUNCTION("""COMPUTED_VALUE"""),"Fernando Tapia|46135")</f>
        <v>Fernando Tapia|46135</v>
      </c>
      <c r="O2546" s="7">
        <f>IFERROR(__xludf.DUMMYFUNCTION("""COMPUTED_VALUE"""),3.0)</f>
        <v>3</v>
      </c>
    </row>
    <row r="2547" ht="22.5" hidden="1" customHeight="1">
      <c r="A2547" s="8">
        <v>46010.34091508102</v>
      </c>
      <c r="B2547" s="9">
        <v>46010.0</v>
      </c>
      <c r="C2547" s="9" t="s">
        <v>48</v>
      </c>
      <c r="D2547" s="9" t="s">
        <v>350</v>
      </c>
      <c r="E2547" s="9" t="s">
        <v>17</v>
      </c>
      <c r="F2547" s="9" t="s">
        <v>17</v>
      </c>
      <c r="G2547" s="9" t="s">
        <v>24</v>
      </c>
      <c r="H2547" s="9" t="s">
        <v>22</v>
      </c>
      <c r="I2547" s="9" t="s">
        <v>20</v>
      </c>
      <c r="J2547" s="10"/>
      <c r="K2547" s="7" t="s">
        <v>398</v>
      </c>
      <c r="L2547" s="7"/>
      <c r="M2547" s="7"/>
      <c r="N2547" s="7" t="str">
        <f>IFERROR(__xludf.DUMMYFUNCTION("""COMPUTED_VALUE"""),"Sebastián Cáceres|46135")</f>
        <v>Sebastián Cáceres|46135</v>
      </c>
      <c r="O2547" s="7">
        <f>IFERROR(__xludf.DUMMYFUNCTION("""COMPUTED_VALUE"""),4.0)</f>
        <v>4</v>
      </c>
    </row>
    <row r="2548" ht="22.5" hidden="1" customHeight="1">
      <c r="A2548" s="8">
        <v>46010.34207900463</v>
      </c>
      <c r="B2548" s="9">
        <v>46010.0</v>
      </c>
      <c r="C2548" s="9" t="s">
        <v>48</v>
      </c>
      <c r="D2548" s="9" t="s">
        <v>177</v>
      </c>
      <c r="E2548" s="9" t="s">
        <v>17</v>
      </c>
      <c r="F2548" s="9" t="s">
        <v>17</v>
      </c>
      <c r="G2548" s="9" t="s">
        <v>24</v>
      </c>
      <c r="H2548" s="9" t="s">
        <v>17</v>
      </c>
      <c r="I2548" s="9" t="s">
        <v>20</v>
      </c>
      <c r="J2548" s="10"/>
      <c r="K2548" s="7" t="s">
        <v>398</v>
      </c>
      <c r="L2548" s="7"/>
      <c r="M2548" s="7"/>
      <c r="N2548" s="7" t="str">
        <f>IFERROR(__xludf.DUMMYFUNCTION("""COMPUTED_VALUE"""),"Néstor Araujo|46135")</f>
        <v>Néstor Araujo|46135</v>
      </c>
      <c r="O2548" s="7">
        <f>IFERROR(__xludf.DUMMYFUNCTION("""COMPUTED_VALUE"""),6.0)</f>
        <v>6</v>
      </c>
    </row>
    <row r="2549" ht="22.5" hidden="1" customHeight="1">
      <c r="A2549" s="8">
        <v>46010.34233159722</v>
      </c>
      <c r="B2549" s="9">
        <v>46010.0</v>
      </c>
      <c r="C2549" s="9" t="s">
        <v>48</v>
      </c>
      <c r="D2549" s="9" t="s">
        <v>393</v>
      </c>
      <c r="E2549" s="9" t="s">
        <v>17</v>
      </c>
      <c r="F2549" s="9" t="s">
        <v>18</v>
      </c>
      <c r="G2549" s="9" t="s">
        <v>24</v>
      </c>
      <c r="H2549" s="9" t="s">
        <v>22</v>
      </c>
      <c r="I2549" s="9" t="s">
        <v>20</v>
      </c>
      <c r="J2549" s="10"/>
      <c r="K2549" s="7" t="s">
        <v>398</v>
      </c>
      <c r="L2549" s="7"/>
      <c r="M2549" s="7"/>
      <c r="N2549" s="7" t="str">
        <f>IFERROR(__xludf.DUMMYFUNCTION("""COMPUTED_VALUE"""),"Alexis Gutiérrez|46135")</f>
        <v>Alexis Gutiérrez|46135</v>
      </c>
      <c r="O2549" s="7">
        <f>IFERROR(__xludf.DUMMYFUNCTION("""COMPUTED_VALUE"""),5.0)</f>
        <v>5</v>
      </c>
    </row>
    <row r="2550" ht="22.5" hidden="1" customHeight="1">
      <c r="A2550" s="8">
        <v>46010.342462002314</v>
      </c>
      <c r="B2550" s="9">
        <v>46010.0</v>
      </c>
      <c r="C2550" s="9" t="s">
        <v>48</v>
      </c>
      <c r="D2550" s="9" t="s">
        <v>396</v>
      </c>
      <c r="E2550" s="9" t="s">
        <v>17</v>
      </c>
      <c r="F2550" s="9" t="s">
        <v>17</v>
      </c>
      <c r="G2550" s="9" t="s">
        <v>24</v>
      </c>
      <c r="H2550" s="9" t="s">
        <v>17</v>
      </c>
      <c r="I2550" s="9" t="s">
        <v>20</v>
      </c>
      <c r="J2550" s="10"/>
      <c r="K2550" s="7" t="s">
        <v>398</v>
      </c>
      <c r="L2550" s="7"/>
      <c r="M2550" s="7"/>
      <c r="N2550" s="7" t="str">
        <f>IFERROR(__xludf.DUMMYFUNCTION("""COMPUTED_VALUE"""),"Aaron Mejia|46135")</f>
        <v>Aaron Mejia|46135</v>
      </c>
      <c r="O2550" s="7">
        <f>IFERROR(__xludf.DUMMYFUNCTION("""COMPUTED_VALUE"""),4.0)</f>
        <v>4</v>
      </c>
    </row>
    <row r="2551" ht="22.5" hidden="1" customHeight="1">
      <c r="A2551" s="8">
        <v>46010.34270541667</v>
      </c>
      <c r="B2551" s="9">
        <v>46010.0</v>
      </c>
      <c r="C2551" s="9" t="s">
        <v>48</v>
      </c>
      <c r="D2551" s="9" t="s">
        <v>335</v>
      </c>
      <c r="E2551" s="9" t="s">
        <v>17</v>
      </c>
      <c r="F2551" s="9" t="s">
        <v>17</v>
      </c>
      <c r="G2551" s="9" t="s">
        <v>24</v>
      </c>
      <c r="H2551" s="9" t="s">
        <v>17</v>
      </c>
      <c r="I2551" s="9" t="s">
        <v>211</v>
      </c>
      <c r="J2551" s="10"/>
      <c r="K2551" s="7" t="s">
        <v>398</v>
      </c>
      <c r="L2551" s="7"/>
      <c r="M2551" s="7"/>
      <c r="N2551" s="7" t="str">
        <f>IFERROR(__xludf.DUMMYFUNCTION("""COMPUTED_VALUE"""),"Paolo Bedolla|46135")</f>
        <v>Paolo Bedolla|46135</v>
      </c>
      <c r="O2551" s="7">
        <f>IFERROR(__xludf.DUMMYFUNCTION("""COMPUTED_VALUE"""),4.0)</f>
        <v>4</v>
      </c>
    </row>
    <row r="2552" ht="22.5" hidden="1" customHeight="1">
      <c r="A2552" s="8">
        <v>46010.342964571755</v>
      </c>
      <c r="B2552" s="9">
        <v>46010.0</v>
      </c>
      <c r="C2552" s="9" t="s">
        <v>48</v>
      </c>
      <c r="D2552" s="9" t="s">
        <v>174</v>
      </c>
      <c r="E2552" s="9" t="s">
        <v>17</v>
      </c>
      <c r="F2552" s="9" t="s">
        <v>17</v>
      </c>
      <c r="G2552" s="9" t="s">
        <v>24</v>
      </c>
      <c r="H2552" s="9" t="s">
        <v>17</v>
      </c>
      <c r="I2552" s="9" t="s">
        <v>20</v>
      </c>
      <c r="J2552" s="10"/>
      <c r="K2552" s="7" t="s">
        <v>398</v>
      </c>
      <c r="L2552" s="7"/>
      <c r="M2552" s="7"/>
      <c r="N2552" s="7" t="str">
        <f>IFERROR(__xludf.DUMMYFUNCTION("""COMPUTED_VALUE"""),"Henry Martín|46135")</f>
        <v>Henry Martín|46135</v>
      </c>
      <c r="O2552" s="7">
        <f>IFERROR(__xludf.DUMMYFUNCTION("""COMPUTED_VALUE"""),3.0)</f>
        <v>3</v>
      </c>
    </row>
    <row r="2553" ht="22.5" hidden="1" customHeight="1">
      <c r="A2553" s="8">
        <v>46010.34317388889</v>
      </c>
      <c r="B2553" s="9">
        <v>46010.0</v>
      </c>
      <c r="C2553" s="9" t="s">
        <v>48</v>
      </c>
      <c r="D2553" s="9" t="s">
        <v>168</v>
      </c>
      <c r="E2553" s="9" t="s">
        <v>17</v>
      </c>
      <c r="F2553" s="9" t="s">
        <v>17</v>
      </c>
      <c r="G2553" s="9" t="s">
        <v>24</v>
      </c>
      <c r="H2553" s="9" t="s">
        <v>17</v>
      </c>
      <c r="I2553" s="9" t="s">
        <v>20</v>
      </c>
      <c r="J2553" s="10"/>
      <c r="K2553" s="7" t="s">
        <v>398</v>
      </c>
      <c r="L2553" s="7"/>
      <c r="M2553" s="7"/>
      <c r="N2553" s="7" t="str">
        <f>IFERROR(__xludf.DUMMYFUNCTION("""COMPUTED_VALUE"""),"Isaías Violante|46139")</f>
        <v>Isaías Violante|46139</v>
      </c>
      <c r="O2553" s="7">
        <f>IFERROR(__xludf.DUMMYFUNCTION("""COMPUTED_VALUE"""),7.0)</f>
        <v>7</v>
      </c>
    </row>
    <row r="2554" ht="22.5" hidden="1" customHeight="1">
      <c r="A2554" s="8">
        <v>46010.344093657404</v>
      </c>
      <c r="B2554" s="9">
        <v>46010.0</v>
      </c>
      <c r="C2554" s="9" t="s">
        <v>48</v>
      </c>
      <c r="D2554" s="9" t="s">
        <v>259</v>
      </c>
      <c r="E2554" s="9" t="s">
        <v>17</v>
      </c>
      <c r="F2554" s="9" t="s">
        <v>18</v>
      </c>
      <c r="G2554" s="9" t="s">
        <v>19</v>
      </c>
      <c r="H2554" s="9" t="s">
        <v>22</v>
      </c>
      <c r="I2554" s="9" t="s">
        <v>20</v>
      </c>
      <c r="J2554" s="10"/>
      <c r="K2554" s="7" t="s">
        <v>398</v>
      </c>
      <c r="L2554" s="7"/>
      <c r="M2554" s="7"/>
      <c r="N2554" s="7" t="str">
        <f>IFERROR(__xludf.DUMMYFUNCTION("""COMPUTED_VALUE"""),"Patricio Salas|46139")</f>
        <v>Patricio Salas|46139</v>
      </c>
      <c r="O2554" s="7">
        <f>IFERROR(__xludf.DUMMYFUNCTION("""COMPUTED_VALUE"""),5.0)</f>
        <v>5</v>
      </c>
    </row>
    <row r="2555" ht="22.5" hidden="1" customHeight="1">
      <c r="A2555" s="8">
        <v>46010.34441888889</v>
      </c>
      <c r="B2555" s="9">
        <v>46010.0</v>
      </c>
      <c r="C2555" s="9" t="s">
        <v>48</v>
      </c>
      <c r="D2555" s="9" t="s">
        <v>258</v>
      </c>
      <c r="E2555" s="9" t="s">
        <v>17</v>
      </c>
      <c r="F2555" s="9" t="s">
        <v>17</v>
      </c>
      <c r="G2555" s="9" t="s">
        <v>24</v>
      </c>
      <c r="H2555" s="9" t="s">
        <v>22</v>
      </c>
      <c r="I2555" s="9" t="s">
        <v>20</v>
      </c>
      <c r="J2555" s="10"/>
      <c r="K2555" s="7" t="s">
        <v>398</v>
      </c>
      <c r="L2555" s="7"/>
      <c r="M2555" s="7"/>
      <c r="N2555" s="7" t="str">
        <f>IFERROR(__xludf.DUMMYFUNCTION("""COMPUTED_VALUE"""),"Vinícius Lima|46139")</f>
        <v>Vinícius Lima|46139</v>
      </c>
      <c r="O2555" s="7">
        <f>IFERROR(__xludf.DUMMYFUNCTION("""COMPUTED_VALUE"""),5.0)</f>
        <v>5</v>
      </c>
    </row>
    <row r="2556" ht="22.5" hidden="1" customHeight="1">
      <c r="A2556" s="8">
        <v>46010.344881701385</v>
      </c>
      <c r="B2556" s="9">
        <v>46010.0</v>
      </c>
      <c r="C2556" s="9" t="s">
        <v>48</v>
      </c>
      <c r="D2556" s="9" t="s">
        <v>249</v>
      </c>
      <c r="E2556" s="9" t="s">
        <v>17</v>
      </c>
      <c r="F2556" s="9" t="s">
        <v>18</v>
      </c>
      <c r="G2556" s="9" t="s">
        <v>24</v>
      </c>
      <c r="H2556" s="9" t="s">
        <v>22</v>
      </c>
      <c r="I2556" s="9" t="s">
        <v>20</v>
      </c>
      <c r="J2556" s="10"/>
      <c r="K2556" s="7" t="s">
        <v>398</v>
      </c>
      <c r="L2556" s="7"/>
      <c r="M2556" s="7"/>
      <c r="N2556" s="7" t="str">
        <f>IFERROR(__xludf.DUMMYFUNCTION("""COMPUTED_VALUE"""),"Rodolfo Cota|46139")</f>
        <v>Rodolfo Cota|46139</v>
      </c>
      <c r="O2556" s="7">
        <f>IFERROR(__xludf.DUMMYFUNCTION("""COMPUTED_VALUE"""),3.0)</f>
        <v>3</v>
      </c>
    </row>
    <row r="2557" ht="22.5" hidden="1" customHeight="1">
      <c r="A2557" s="8">
        <v>46010.34607519676</v>
      </c>
      <c r="B2557" s="9">
        <v>46010.0</v>
      </c>
      <c r="C2557" s="9" t="s">
        <v>48</v>
      </c>
      <c r="D2557" s="9" t="s">
        <v>178</v>
      </c>
      <c r="E2557" s="9" t="s">
        <v>17</v>
      </c>
      <c r="F2557" s="9" t="s">
        <v>18</v>
      </c>
      <c r="G2557" s="9" t="s">
        <v>19</v>
      </c>
      <c r="H2557" s="9" t="s">
        <v>22</v>
      </c>
      <c r="I2557" s="9" t="s">
        <v>20</v>
      </c>
      <c r="J2557" s="10"/>
      <c r="K2557" s="7" t="s">
        <v>398</v>
      </c>
      <c r="L2557" s="7"/>
      <c r="M2557" s="7"/>
      <c r="N2557" s="7" t="str">
        <f>IFERROR(__xludf.DUMMYFUNCTION("""COMPUTED_VALUE"""),"Fernando Tapia|46139")</f>
        <v>Fernando Tapia|46139</v>
      </c>
      <c r="O2557" s="7">
        <f>IFERROR(__xludf.DUMMYFUNCTION("""COMPUTED_VALUE"""),4.0)</f>
        <v>4</v>
      </c>
    </row>
    <row r="2558" ht="22.5" hidden="1" customHeight="1">
      <c r="A2558" s="8">
        <v>46010.34621233796</v>
      </c>
      <c r="B2558" s="9">
        <v>46010.0</v>
      </c>
      <c r="C2558" s="9" t="s">
        <v>48</v>
      </c>
      <c r="D2558" s="9" t="s">
        <v>257</v>
      </c>
      <c r="E2558" s="9" t="s">
        <v>17</v>
      </c>
      <c r="F2558" s="9" t="s">
        <v>17</v>
      </c>
      <c r="G2558" s="9" t="s">
        <v>24</v>
      </c>
      <c r="H2558" s="9" t="s">
        <v>17</v>
      </c>
      <c r="I2558" s="9" t="s">
        <v>20</v>
      </c>
      <c r="J2558" s="10"/>
      <c r="K2558" s="7" t="s">
        <v>398</v>
      </c>
      <c r="L2558" s="7"/>
      <c r="M2558" s="7"/>
      <c r="N2558" s="7" t="str">
        <f>IFERROR(__xludf.DUMMYFUNCTION("""COMPUTED_VALUE"""),"Néstor Araujo|46139")</f>
        <v>Néstor Araujo|46139</v>
      </c>
      <c r="O2558" s="7">
        <f>IFERROR(__xludf.DUMMYFUNCTION("""COMPUTED_VALUE"""),4.0)</f>
        <v>4</v>
      </c>
    </row>
    <row r="2559" ht="22.5" hidden="1" customHeight="1">
      <c r="A2559" s="8">
        <v>46010.34728162037</v>
      </c>
      <c r="B2559" s="9">
        <v>46010.0</v>
      </c>
      <c r="C2559" s="9" t="s">
        <v>48</v>
      </c>
      <c r="D2559" s="9" t="s">
        <v>357</v>
      </c>
      <c r="E2559" s="9" t="s">
        <v>46</v>
      </c>
      <c r="F2559" s="9" t="s">
        <v>17</v>
      </c>
      <c r="G2559" s="9" t="s">
        <v>24</v>
      </c>
      <c r="H2559" s="9" t="s">
        <v>17</v>
      </c>
      <c r="I2559" s="9" t="s">
        <v>20</v>
      </c>
      <c r="J2559" s="10"/>
      <c r="K2559" s="7" t="s">
        <v>398</v>
      </c>
      <c r="L2559" s="7"/>
      <c r="M2559" s="7"/>
      <c r="N2559" s="7" t="str">
        <f>IFERROR(__xludf.DUMMYFUNCTION("""COMPUTED_VALUE"""),"José Raúl Zúñiga|46139")</f>
        <v>José Raúl Zúñiga|46139</v>
      </c>
      <c r="O2559" s="7">
        <f>IFERROR(__xludf.DUMMYFUNCTION("""COMPUTED_VALUE"""),5.0)</f>
        <v>5</v>
      </c>
    </row>
    <row r="2560" ht="22.5" hidden="1" customHeight="1">
      <c r="A2560" s="8">
        <v>46010.6586277662</v>
      </c>
      <c r="B2560" s="9">
        <v>46010.0</v>
      </c>
      <c r="C2560" s="9" t="s">
        <v>48</v>
      </c>
      <c r="D2560" s="9" t="s">
        <v>177</v>
      </c>
      <c r="E2560" s="9" t="s">
        <v>17</v>
      </c>
      <c r="F2560" s="9" t="s">
        <v>17</v>
      </c>
      <c r="G2560" s="9" t="s">
        <v>24</v>
      </c>
      <c r="H2560" s="9" t="s">
        <v>17</v>
      </c>
      <c r="I2560" s="9" t="s">
        <v>20</v>
      </c>
      <c r="J2560" s="10"/>
      <c r="K2560" s="1" t="s">
        <v>398</v>
      </c>
      <c r="L2560" s="7"/>
      <c r="M2560" s="7"/>
      <c r="N2560" s="7" t="str">
        <f>IFERROR(__xludf.DUMMYFUNCTION("""COMPUTED_VALUE"""),"Alexis Gutiérrez|46139")</f>
        <v>Alexis Gutiérrez|46139</v>
      </c>
      <c r="O2560" s="7">
        <f>IFERROR(__xludf.DUMMYFUNCTION("""COMPUTED_VALUE"""),4.0)</f>
        <v>4</v>
      </c>
    </row>
    <row r="2561" ht="22.5" hidden="1" customHeight="1">
      <c r="A2561" s="8">
        <v>46010.6602537037</v>
      </c>
      <c r="B2561" s="9">
        <v>46010.0</v>
      </c>
      <c r="C2561" s="9" t="s">
        <v>48</v>
      </c>
      <c r="D2561" s="9" t="s">
        <v>280</v>
      </c>
      <c r="E2561" s="9" t="s">
        <v>17</v>
      </c>
      <c r="F2561" s="9" t="s">
        <v>17</v>
      </c>
      <c r="G2561" s="9" t="s">
        <v>24</v>
      </c>
      <c r="H2561" s="9" t="s">
        <v>22</v>
      </c>
      <c r="I2561" s="9" t="s">
        <v>20</v>
      </c>
      <c r="J2561" s="10"/>
      <c r="K2561" s="1" t="s">
        <v>398</v>
      </c>
      <c r="L2561" s="7"/>
      <c r="M2561" s="7"/>
      <c r="N2561" s="7" t="str">
        <f>IFERROR(__xludf.DUMMYFUNCTION("""COMPUTED_VALUE"""),"Santiago Naveda|46139")</f>
        <v>Santiago Naveda|46139</v>
      </c>
      <c r="O2561" s="7">
        <f>IFERROR(__xludf.DUMMYFUNCTION("""COMPUTED_VALUE"""),5.0)</f>
        <v>5</v>
      </c>
    </row>
    <row r="2562" ht="22.5" hidden="1" customHeight="1">
      <c r="A2562" s="8">
        <v>46010.68708289352</v>
      </c>
      <c r="B2562" s="9">
        <v>46010.0</v>
      </c>
      <c r="C2562" s="9" t="s">
        <v>48</v>
      </c>
      <c r="D2562" s="9" t="s">
        <v>258</v>
      </c>
      <c r="E2562" s="9" t="s">
        <v>17</v>
      </c>
      <c r="F2562" s="9" t="s">
        <v>17</v>
      </c>
      <c r="G2562" s="9" t="s">
        <v>24</v>
      </c>
      <c r="H2562" s="9" t="s">
        <v>22</v>
      </c>
      <c r="I2562" s="9" t="s">
        <v>20</v>
      </c>
      <c r="J2562" s="10"/>
      <c r="K2562" s="1" t="s">
        <v>398</v>
      </c>
      <c r="L2562" s="7"/>
      <c r="M2562" s="7"/>
      <c r="N2562" s="7" t="str">
        <f>IFERROR(__xludf.DUMMYFUNCTION("""COMPUTED_VALUE"""),"Thiago Espinosa|46139")</f>
        <v>Thiago Espinosa|46139</v>
      </c>
      <c r="O2562" s="7">
        <f>IFERROR(__xludf.DUMMYFUNCTION("""COMPUTED_VALUE"""),6.0)</f>
        <v>6</v>
      </c>
    </row>
    <row r="2563" ht="22.5" hidden="1" customHeight="1">
      <c r="A2563" s="8">
        <v>46010.68727944445</v>
      </c>
      <c r="B2563" s="9">
        <v>46010.0</v>
      </c>
      <c r="C2563" s="9" t="s">
        <v>48</v>
      </c>
      <c r="D2563" s="9" t="s">
        <v>249</v>
      </c>
      <c r="E2563" s="9" t="s">
        <v>17</v>
      </c>
      <c r="F2563" s="9" t="s">
        <v>17</v>
      </c>
      <c r="G2563" s="9" t="s">
        <v>24</v>
      </c>
      <c r="H2563" s="9" t="s">
        <v>17</v>
      </c>
      <c r="I2563" s="9" t="s">
        <v>20</v>
      </c>
      <c r="J2563" s="10"/>
      <c r="K2563" s="1" t="s">
        <v>398</v>
      </c>
      <c r="L2563" s="7"/>
      <c r="M2563" s="7"/>
      <c r="N2563" s="7" t="str">
        <f>IFERROR(__xludf.DUMMYFUNCTION("""COMPUTED_VALUE"""),"Henry Martín|46139")</f>
        <v>Henry Martín|46139</v>
      </c>
      <c r="O2563" s="7">
        <f>IFERROR(__xludf.DUMMYFUNCTION("""COMPUTED_VALUE"""),5.0)</f>
        <v>5</v>
      </c>
    </row>
    <row r="2564" ht="22.5" hidden="1" customHeight="1">
      <c r="A2564" s="8">
        <v>46010.68803590278</v>
      </c>
      <c r="B2564" s="9">
        <v>46010.0</v>
      </c>
      <c r="C2564" s="9" t="s">
        <v>48</v>
      </c>
      <c r="D2564" s="9" t="s">
        <v>394</v>
      </c>
      <c r="E2564" s="9" t="s">
        <v>17</v>
      </c>
      <c r="F2564" s="9" t="s">
        <v>17</v>
      </c>
      <c r="G2564" s="9" t="s">
        <v>24</v>
      </c>
      <c r="H2564" s="9" t="s">
        <v>17</v>
      </c>
      <c r="I2564" s="9" t="s">
        <v>20</v>
      </c>
      <c r="J2564" s="10"/>
      <c r="K2564" s="1" t="s">
        <v>398</v>
      </c>
      <c r="L2564" s="7"/>
      <c r="M2564" s="7"/>
      <c r="N2564" s="7" t="str">
        <f>IFERROR(__xludf.DUMMYFUNCTION("""COMPUTED_VALUE"""),"Aaron Mejia|46139")</f>
        <v>Aaron Mejia|46139</v>
      </c>
      <c r="O2564" s="7">
        <f>IFERROR(__xludf.DUMMYFUNCTION("""COMPUTED_VALUE"""),4.0)</f>
        <v>4</v>
      </c>
    </row>
    <row r="2565" ht="22.5" hidden="1" customHeight="1">
      <c r="A2565" s="8">
        <v>46010.68818315973</v>
      </c>
      <c r="B2565" s="9">
        <v>46010.0</v>
      </c>
      <c r="C2565" s="9" t="s">
        <v>48</v>
      </c>
      <c r="D2565" s="9" t="s">
        <v>175</v>
      </c>
      <c r="E2565" s="9" t="s">
        <v>17</v>
      </c>
      <c r="F2565" s="9" t="s">
        <v>17</v>
      </c>
      <c r="G2565" s="9" t="s">
        <v>24</v>
      </c>
      <c r="H2565" s="9" t="s">
        <v>17</v>
      </c>
      <c r="I2565" s="9" t="s">
        <v>20</v>
      </c>
      <c r="J2565" s="10"/>
      <c r="K2565" s="1" t="s">
        <v>398</v>
      </c>
      <c r="L2565" s="7"/>
      <c r="M2565" s="7"/>
      <c r="N2565" s="7" t="str">
        <f>IFERROR(__xludf.DUMMYFUNCTION("""COMPUTED_VALUE"""),"Dagoberto Espinoza|46139")</f>
        <v>Dagoberto Espinoza|46139</v>
      </c>
      <c r="O2565" s="7">
        <f>IFERROR(__xludf.DUMMYFUNCTION("""COMPUTED_VALUE"""),4.0)</f>
        <v>4</v>
      </c>
    </row>
    <row r="2566" ht="22.5" hidden="1" customHeight="1">
      <c r="A2566" s="8">
        <v>46010.689745069445</v>
      </c>
      <c r="B2566" s="9">
        <v>46010.0</v>
      </c>
      <c r="C2566" s="9" t="s">
        <v>48</v>
      </c>
      <c r="D2566" s="9" t="s">
        <v>259</v>
      </c>
      <c r="E2566" s="9" t="s">
        <v>17</v>
      </c>
      <c r="F2566" s="9" t="s">
        <v>18</v>
      </c>
      <c r="G2566" s="9" t="s">
        <v>19</v>
      </c>
      <c r="H2566" s="9" t="s">
        <v>22</v>
      </c>
      <c r="I2566" s="9" t="s">
        <v>20</v>
      </c>
      <c r="J2566" s="10"/>
      <c r="K2566" s="1" t="s">
        <v>398</v>
      </c>
      <c r="L2566" s="7"/>
      <c r="M2566" s="7"/>
      <c r="N2566" s="7" t="str">
        <f>IFERROR(__xludf.DUMMYFUNCTION("""COMPUTED_VALUE"""),"Paolo Bedolla|46139")</f>
        <v>Paolo Bedolla|46139</v>
      </c>
      <c r="O2566" s="7">
        <f>IFERROR(__xludf.DUMMYFUNCTION("""COMPUTED_VALUE"""),2.0)</f>
        <v>2</v>
      </c>
    </row>
    <row r="2567" ht="22.5" hidden="1" customHeight="1">
      <c r="A2567" s="8">
        <v>46010.689891331014</v>
      </c>
      <c r="B2567" s="9">
        <v>46010.0</v>
      </c>
      <c r="C2567" s="9" t="s">
        <v>48</v>
      </c>
      <c r="D2567" s="9" t="s">
        <v>396</v>
      </c>
      <c r="E2567" s="9" t="s">
        <v>17</v>
      </c>
      <c r="F2567" s="9" t="s">
        <v>17</v>
      </c>
      <c r="G2567" s="9" t="s">
        <v>24</v>
      </c>
      <c r="H2567" s="9" t="s">
        <v>17</v>
      </c>
      <c r="I2567" s="9" t="s">
        <v>20</v>
      </c>
      <c r="J2567" s="10"/>
      <c r="K2567" s="1" t="s">
        <v>398</v>
      </c>
      <c r="L2567" s="7"/>
      <c r="M2567" s="7"/>
      <c r="N2567" s="7" t="str">
        <f>IFERROR(__xludf.DUMMYFUNCTION("""COMPUTED_VALUE"""),"Paolo Bedolla|46140")</f>
        <v>Paolo Bedolla|46140</v>
      </c>
      <c r="O2567" s="7">
        <f>IFERROR(__xludf.DUMMYFUNCTION("""COMPUTED_VALUE"""),6.0)</f>
        <v>6</v>
      </c>
    </row>
    <row r="2568" ht="22.5" hidden="1" customHeight="1">
      <c r="A2568" s="8">
        <v>46010.698468726856</v>
      </c>
      <c r="B2568" s="9">
        <v>46010.0</v>
      </c>
      <c r="C2568" s="9" t="s">
        <v>48</v>
      </c>
      <c r="D2568" s="9" t="s">
        <v>178</v>
      </c>
      <c r="E2568" s="9" t="s">
        <v>17</v>
      </c>
      <c r="F2568" s="9" t="s">
        <v>17</v>
      </c>
      <c r="G2568" s="9" t="s">
        <v>24</v>
      </c>
      <c r="H2568" s="9" t="s">
        <v>22</v>
      </c>
      <c r="I2568" s="9" t="s">
        <v>20</v>
      </c>
      <c r="J2568" s="10"/>
      <c r="K2568" s="1" t="s">
        <v>398</v>
      </c>
      <c r="L2568" s="7"/>
      <c r="M2568" s="7"/>
      <c r="N2568" s="7" t="str">
        <f>IFERROR(__xludf.DUMMYFUNCTION("""COMPUTED_VALUE"""),"Rodolfo Cota|46140")</f>
        <v>Rodolfo Cota|46140</v>
      </c>
      <c r="O2568" s="7">
        <f>IFERROR(__xludf.DUMMYFUNCTION("""COMPUTED_VALUE"""),2.0)</f>
        <v>2</v>
      </c>
    </row>
    <row r="2569" ht="22.5" hidden="1" customHeight="1">
      <c r="A2569" s="8">
        <v>46010.69863162037</v>
      </c>
      <c r="B2569" s="9">
        <v>46010.0</v>
      </c>
      <c r="C2569" s="9" t="s">
        <v>48</v>
      </c>
      <c r="D2569" s="9" t="s">
        <v>335</v>
      </c>
      <c r="E2569" s="9" t="s">
        <v>17</v>
      </c>
      <c r="F2569" s="9" t="s">
        <v>17</v>
      </c>
      <c r="G2569" s="9" t="s">
        <v>24</v>
      </c>
      <c r="H2569" s="9" t="s">
        <v>17</v>
      </c>
      <c r="I2569" s="9" t="s">
        <v>20</v>
      </c>
      <c r="J2569" s="10"/>
      <c r="K2569" s="1" t="s">
        <v>398</v>
      </c>
      <c r="L2569" s="7"/>
      <c r="M2569" s="7"/>
      <c r="N2569" s="7" t="str">
        <f>IFERROR(__xludf.DUMMYFUNCTION("""COMPUTED_VALUE"""),"Alejando Zendejas|46140")</f>
        <v>Alejando Zendejas|46140</v>
      </c>
      <c r="O2569" s="7">
        <f>IFERROR(__xludf.DUMMYFUNCTION("""COMPUTED_VALUE"""),3.0)</f>
        <v>3</v>
      </c>
    </row>
    <row r="2570" ht="22.5" hidden="1" customHeight="1">
      <c r="A2570" s="8">
        <v>46010.69886758101</v>
      </c>
      <c r="B2570" s="9">
        <v>46010.0</v>
      </c>
      <c r="C2570" s="9" t="s">
        <v>48</v>
      </c>
      <c r="D2570" s="9" t="s">
        <v>361</v>
      </c>
      <c r="E2570" s="9" t="s">
        <v>17</v>
      </c>
      <c r="F2570" s="9" t="s">
        <v>17</v>
      </c>
      <c r="G2570" s="9" t="s">
        <v>24</v>
      </c>
      <c r="H2570" s="9" t="s">
        <v>17</v>
      </c>
      <c r="I2570" s="9" t="s">
        <v>79</v>
      </c>
      <c r="J2570" s="10"/>
      <c r="K2570" s="1" t="s">
        <v>398</v>
      </c>
      <c r="L2570" s="7"/>
      <c r="M2570" s="7"/>
      <c r="N2570" s="7" t="str">
        <f>IFERROR(__xludf.DUMMYFUNCTION("""COMPUTED_VALUE"""),"Aaron Mejia|46140")</f>
        <v>Aaron Mejia|46140</v>
      </c>
      <c r="O2570" s="7">
        <f>IFERROR(__xludf.DUMMYFUNCTION("""COMPUTED_VALUE"""),3.0)</f>
        <v>3</v>
      </c>
    </row>
    <row r="2571" ht="22.5" hidden="1" customHeight="1">
      <c r="A2571" s="8">
        <v>46010.702832106486</v>
      </c>
      <c r="B2571" s="9">
        <v>46010.0</v>
      </c>
      <c r="C2571" s="9" t="s">
        <v>48</v>
      </c>
      <c r="D2571" s="9" t="s">
        <v>350</v>
      </c>
      <c r="E2571" s="9" t="s">
        <v>17</v>
      </c>
      <c r="F2571" s="9" t="s">
        <v>17</v>
      </c>
      <c r="G2571" s="9" t="s">
        <v>24</v>
      </c>
      <c r="H2571" s="9" t="s">
        <v>22</v>
      </c>
      <c r="I2571" s="9" t="s">
        <v>20</v>
      </c>
      <c r="J2571" s="10"/>
      <c r="K2571" s="1" t="s">
        <v>398</v>
      </c>
      <c r="L2571" s="7"/>
      <c r="M2571" s="7"/>
      <c r="N2571" s="7" t="str">
        <f>IFERROR(__xludf.DUMMYFUNCTION("""COMPUTED_VALUE"""),"Rodrigo Dourado|46140")</f>
        <v>Rodrigo Dourado|46140</v>
      </c>
      <c r="O2571" s="7">
        <f>IFERROR(__xludf.DUMMYFUNCTION("""COMPUTED_VALUE"""),4.0)</f>
        <v>4</v>
      </c>
    </row>
    <row r="2572" ht="22.5" hidden="1" customHeight="1">
      <c r="A2572" s="8">
        <v>46010.70299414352</v>
      </c>
      <c r="B2572" s="9">
        <v>46010.0</v>
      </c>
      <c r="C2572" s="9" t="s">
        <v>48</v>
      </c>
      <c r="D2572" s="9" t="s">
        <v>168</v>
      </c>
      <c r="E2572" s="9" t="s">
        <v>17</v>
      </c>
      <c r="F2572" s="9" t="s">
        <v>17</v>
      </c>
      <c r="G2572" s="9" t="s">
        <v>24</v>
      </c>
      <c r="H2572" s="9" t="s">
        <v>17</v>
      </c>
      <c r="I2572" s="9" t="s">
        <v>20</v>
      </c>
      <c r="J2572" s="10"/>
      <c r="K2572" s="1" t="s">
        <v>398</v>
      </c>
      <c r="L2572" s="7"/>
      <c r="M2572" s="7"/>
      <c r="N2572" s="7" t="str">
        <f>IFERROR(__xludf.DUMMYFUNCTION("""COMPUTED_VALUE"""),"Raphael Veiga|46140")</f>
        <v>Raphael Veiga|46140</v>
      </c>
      <c r="O2572" s="7">
        <f>IFERROR(__xludf.DUMMYFUNCTION("""COMPUTED_VALUE"""),3.0)</f>
        <v>3</v>
      </c>
    </row>
    <row r="2573" ht="22.5" hidden="1" customHeight="1">
      <c r="A2573" s="8">
        <v>46010.70315818287</v>
      </c>
      <c r="B2573" s="9">
        <v>46010.0</v>
      </c>
      <c r="C2573" s="9" t="s">
        <v>48</v>
      </c>
      <c r="D2573" s="9" t="s">
        <v>257</v>
      </c>
      <c r="E2573" s="9" t="s">
        <v>17</v>
      </c>
      <c r="F2573" s="9" t="s">
        <v>17</v>
      </c>
      <c r="G2573" s="9" t="s">
        <v>24</v>
      </c>
      <c r="H2573" s="9" t="s">
        <v>17</v>
      </c>
      <c r="I2573" s="9" t="s">
        <v>20</v>
      </c>
      <c r="J2573" s="10"/>
      <c r="K2573" s="1" t="s">
        <v>398</v>
      </c>
      <c r="L2573" s="7"/>
      <c r="M2573" s="7"/>
      <c r="N2573" s="7" t="str">
        <f>IFERROR(__xludf.DUMMYFUNCTION("""COMPUTED_VALUE"""),"Miguel Vázquez|46140")</f>
        <v>Miguel Vázquez|46140</v>
      </c>
      <c r="O2573" s="7">
        <f>IFERROR(__xludf.DUMMYFUNCTION("""COMPUTED_VALUE"""),2.0)</f>
        <v>2</v>
      </c>
    </row>
    <row r="2574" ht="22.5" hidden="1" customHeight="1">
      <c r="A2574" s="8">
        <v>46011.36116439815</v>
      </c>
      <c r="B2574" s="9">
        <v>46011.0</v>
      </c>
      <c r="C2574" s="9" t="s">
        <v>53</v>
      </c>
      <c r="D2574" s="9" t="s">
        <v>259</v>
      </c>
      <c r="E2574" s="9" t="s">
        <v>46</v>
      </c>
      <c r="F2574" s="9" t="s">
        <v>18</v>
      </c>
      <c r="G2574" s="9" t="s">
        <v>24</v>
      </c>
      <c r="H2574" s="9" t="s">
        <v>22</v>
      </c>
      <c r="I2574" s="9" t="s">
        <v>20</v>
      </c>
      <c r="J2574" s="10"/>
      <c r="K2574" s="1" t="s">
        <v>398</v>
      </c>
      <c r="L2574" s="7"/>
      <c r="M2574" s="7"/>
      <c r="N2574" s="7" t="str">
        <f>IFERROR(__xludf.DUMMYFUNCTION("""COMPUTED_VALUE"""),"Santiago Naveda|46140")</f>
        <v>Santiago Naveda|46140</v>
      </c>
      <c r="O2574" s="7">
        <f>IFERROR(__xludf.DUMMYFUNCTION("""COMPUTED_VALUE"""),4.0)</f>
        <v>4</v>
      </c>
    </row>
    <row r="2575" ht="22.5" hidden="1" customHeight="1">
      <c r="A2575" s="8">
        <v>46011.36194297454</v>
      </c>
      <c r="B2575" s="9">
        <v>46011.0</v>
      </c>
      <c r="C2575" s="9" t="s">
        <v>53</v>
      </c>
      <c r="D2575" s="9" t="s">
        <v>168</v>
      </c>
      <c r="E2575" s="9" t="s">
        <v>17</v>
      </c>
      <c r="F2575" s="9" t="s">
        <v>18</v>
      </c>
      <c r="G2575" s="9" t="s">
        <v>19</v>
      </c>
      <c r="H2575" s="9" t="s">
        <v>17</v>
      </c>
      <c r="I2575" s="9" t="s">
        <v>37</v>
      </c>
      <c r="J2575" s="10"/>
      <c r="K2575" s="1" t="s">
        <v>398</v>
      </c>
      <c r="L2575" s="7"/>
      <c r="M2575" s="7"/>
      <c r="N2575" s="7" t="str">
        <f>IFERROR(__xludf.DUMMYFUNCTION("""COMPUTED_VALUE"""),"Néstor Araujo|46140")</f>
        <v>Néstor Araujo|46140</v>
      </c>
      <c r="O2575" s="7">
        <f>IFERROR(__xludf.DUMMYFUNCTION("""COMPUTED_VALUE"""),4.0)</f>
        <v>4</v>
      </c>
    </row>
    <row r="2576" ht="22.5" hidden="1" customHeight="1">
      <c r="A2576" s="8">
        <v>46011.36257939815</v>
      </c>
      <c r="B2576" s="9">
        <v>46011.0</v>
      </c>
      <c r="C2576" s="9" t="s">
        <v>53</v>
      </c>
      <c r="D2576" s="9" t="s">
        <v>178</v>
      </c>
      <c r="E2576" s="9" t="s">
        <v>46</v>
      </c>
      <c r="F2576" s="9" t="s">
        <v>77</v>
      </c>
      <c r="G2576" s="9" t="s">
        <v>40</v>
      </c>
      <c r="H2576" s="9" t="s">
        <v>25</v>
      </c>
      <c r="I2576" s="9" t="s">
        <v>41</v>
      </c>
      <c r="J2576" s="10"/>
      <c r="K2576" s="1" t="s">
        <v>398</v>
      </c>
      <c r="L2576" s="7"/>
      <c r="M2576" s="7"/>
      <c r="N2576" s="7" t="str">
        <f>IFERROR(__xludf.DUMMYFUNCTION("""COMPUTED_VALUE"""),"Sebastián Cáceres|46140")</f>
        <v>Sebastián Cáceres|46140</v>
      </c>
      <c r="O2576" s="7">
        <f>IFERROR(__xludf.DUMMYFUNCTION("""COMPUTED_VALUE"""),3.0)</f>
        <v>3</v>
      </c>
    </row>
    <row r="2577" ht="22.5" hidden="1" customHeight="1">
      <c r="A2577" s="8">
        <v>46011.36303930556</v>
      </c>
      <c r="B2577" s="9">
        <v>46011.0</v>
      </c>
      <c r="C2577" s="9" t="s">
        <v>53</v>
      </c>
      <c r="D2577" s="9" t="s">
        <v>171</v>
      </c>
      <c r="E2577" s="9" t="s">
        <v>17</v>
      </c>
      <c r="F2577" s="9" t="s">
        <v>17</v>
      </c>
      <c r="G2577" s="9" t="s">
        <v>24</v>
      </c>
      <c r="H2577" s="9" t="s">
        <v>22</v>
      </c>
      <c r="I2577" s="9" t="s">
        <v>20</v>
      </c>
      <c r="J2577" s="10"/>
      <c r="K2577" s="1" t="s">
        <v>398</v>
      </c>
      <c r="L2577" s="7"/>
      <c r="M2577" s="7"/>
      <c r="N2577" s="7" t="str">
        <f>IFERROR(__xludf.DUMMYFUNCTION("""COMPUTED_VALUE"""),"Isaías Violante|46140")</f>
        <v>Isaías Violante|46140</v>
      </c>
      <c r="O2577" s="7">
        <f>IFERROR(__xludf.DUMMYFUNCTION("""COMPUTED_VALUE"""),5.0)</f>
        <v>5</v>
      </c>
    </row>
    <row r="2578" ht="22.5" hidden="1" customHeight="1">
      <c r="A2578" s="8">
        <v>46011.36370047454</v>
      </c>
      <c r="B2578" s="9">
        <v>46011.0</v>
      </c>
      <c r="C2578" s="9" t="s">
        <v>53</v>
      </c>
      <c r="D2578" s="9" t="s">
        <v>257</v>
      </c>
      <c r="E2578" s="9" t="s">
        <v>61</v>
      </c>
      <c r="F2578" s="9" t="s">
        <v>35</v>
      </c>
      <c r="G2578" s="9" t="s">
        <v>24</v>
      </c>
      <c r="H2578" s="9" t="s">
        <v>25</v>
      </c>
      <c r="I2578" s="9" t="s">
        <v>300</v>
      </c>
      <c r="J2578" s="10"/>
      <c r="K2578" s="1" t="s">
        <v>398</v>
      </c>
      <c r="L2578" s="7"/>
      <c r="M2578" s="7"/>
      <c r="N2578" s="7" t="str">
        <f>IFERROR(__xludf.DUMMYFUNCTION("""COMPUTED_VALUE"""),"Thiago Espinosa|46140")</f>
        <v>Thiago Espinosa|46140</v>
      </c>
      <c r="O2578" s="7">
        <f>IFERROR(__xludf.DUMMYFUNCTION("""COMPUTED_VALUE"""),5.0)</f>
        <v>5</v>
      </c>
    </row>
    <row r="2579" ht="22.5" hidden="1" customHeight="1">
      <c r="A2579" s="8">
        <v>46011.364157986114</v>
      </c>
      <c r="B2579" s="9">
        <v>46011.0</v>
      </c>
      <c r="C2579" s="9" t="s">
        <v>53</v>
      </c>
      <c r="D2579" s="9" t="s">
        <v>223</v>
      </c>
      <c r="E2579" s="9" t="s">
        <v>17</v>
      </c>
      <c r="F2579" s="9" t="s">
        <v>17</v>
      </c>
      <c r="G2579" s="9" t="s">
        <v>24</v>
      </c>
      <c r="H2579" s="9" t="s">
        <v>17</v>
      </c>
      <c r="I2579" s="9" t="s">
        <v>20</v>
      </c>
      <c r="J2579" s="10"/>
      <c r="K2579" s="1" t="s">
        <v>398</v>
      </c>
      <c r="L2579" s="7"/>
      <c r="M2579" s="7"/>
      <c r="N2579" s="7" t="str">
        <f>IFERROR(__xludf.DUMMYFUNCTION("""COMPUTED_VALUE"""),"Erick Sánchez|46140")</f>
        <v>Erick Sánchez|46140</v>
      </c>
      <c r="O2579" s="7">
        <f>IFERROR(__xludf.DUMMYFUNCTION("""COMPUTED_VALUE"""),4.0)</f>
        <v>4</v>
      </c>
    </row>
    <row r="2580" ht="22.5" hidden="1" customHeight="1">
      <c r="A2580" s="8">
        <v>46011.36491052083</v>
      </c>
      <c r="B2580" s="9">
        <v>46011.0</v>
      </c>
      <c r="C2580" s="9" t="s">
        <v>53</v>
      </c>
      <c r="D2580" s="9" t="s">
        <v>357</v>
      </c>
      <c r="E2580" s="9" t="s">
        <v>17</v>
      </c>
      <c r="F2580" s="9" t="s">
        <v>17</v>
      </c>
      <c r="G2580" s="9" t="s">
        <v>24</v>
      </c>
      <c r="H2580" s="9" t="s">
        <v>17</v>
      </c>
      <c r="I2580" s="9" t="s">
        <v>20</v>
      </c>
      <c r="J2580" s="10"/>
      <c r="K2580" s="1" t="s">
        <v>398</v>
      </c>
      <c r="L2580" s="7"/>
      <c r="M2580" s="7"/>
      <c r="N2580" s="7" t="str">
        <f>IFERROR(__xludf.DUMMYFUNCTION("""COMPUTED_VALUE"""),"Alan Cervantes|46140")</f>
        <v>Alan Cervantes|46140</v>
      </c>
      <c r="O2580" s="7">
        <f>IFERROR(__xludf.DUMMYFUNCTION("""COMPUTED_VALUE"""),5.0)</f>
        <v>5</v>
      </c>
    </row>
    <row r="2581" ht="22.5" hidden="1" customHeight="1">
      <c r="A2581" s="8">
        <v>46011.36641270833</v>
      </c>
      <c r="B2581" s="9">
        <v>46011.0</v>
      </c>
      <c r="C2581" s="9" t="s">
        <v>53</v>
      </c>
      <c r="D2581" s="9" t="s">
        <v>247</v>
      </c>
      <c r="E2581" s="9" t="s">
        <v>17</v>
      </c>
      <c r="F2581" s="9" t="s">
        <v>77</v>
      </c>
      <c r="G2581" s="9" t="s">
        <v>40</v>
      </c>
      <c r="H2581" s="9" t="s">
        <v>25</v>
      </c>
      <c r="I2581" s="9" t="s">
        <v>79</v>
      </c>
      <c r="J2581" s="10"/>
      <c r="K2581" s="1" t="s">
        <v>398</v>
      </c>
      <c r="L2581" s="7"/>
      <c r="M2581" s="7"/>
      <c r="N2581" s="7" t="str">
        <f>IFERROR(__xludf.DUMMYFUNCTION("""COMPUTED_VALUE"""),"Fernando Tapia|46140")</f>
        <v>Fernando Tapia|46140</v>
      </c>
      <c r="O2581" s="7">
        <f>IFERROR(__xludf.DUMMYFUNCTION("""COMPUTED_VALUE"""),4.0)</f>
        <v>4</v>
      </c>
    </row>
    <row r="2582" ht="22.5" hidden="1" customHeight="1">
      <c r="A2582" s="8">
        <v>46011.36754990741</v>
      </c>
      <c r="B2582" s="9">
        <v>46011.0</v>
      </c>
      <c r="C2582" s="9" t="s">
        <v>53</v>
      </c>
      <c r="D2582" s="9" t="s">
        <v>394</v>
      </c>
      <c r="E2582" s="9" t="s">
        <v>57</v>
      </c>
      <c r="F2582" s="9" t="s">
        <v>60</v>
      </c>
      <c r="G2582" s="9" t="s">
        <v>40</v>
      </c>
      <c r="H2582" s="9" t="s">
        <v>22</v>
      </c>
      <c r="I2582" s="9" t="s">
        <v>20</v>
      </c>
      <c r="J2582" s="10"/>
      <c r="K2582" s="1" t="s">
        <v>398</v>
      </c>
      <c r="L2582" s="7"/>
      <c r="M2582" s="7"/>
      <c r="N2582" s="7" t="str">
        <f>IFERROR(__xludf.DUMMYFUNCTION("""COMPUTED_VALUE"""),"Cristian Borja|46140")</f>
        <v>Cristian Borja|46140</v>
      </c>
      <c r="O2582" s="7">
        <f>IFERROR(__xludf.DUMMYFUNCTION("""COMPUTED_VALUE"""),7.0)</f>
        <v>7</v>
      </c>
    </row>
    <row r="2583" ht="22.5" hidden="1" customHeight="1">
      <c r="A2583" s="8">
        <v>46011.3680284375</v>
      </c>
      <c r="B2583" s="9">
        <v>46011.0</v>
      </c>
      <c r="C2583" s="9" t="s">
        <v>53</v>
      </c>
      <c r="D2583" s="9" t="s">
        <v>210</v>
      </c>
      <c r="E2583" s="9" t="s">
        <v>61</v>
      </c>
      <c r="F2583" s="9" t="s">
        <v>18</v>
      </c>
      <c r="G2583" s="9" t="s">
        <v>24</v>
      </c>
      <c r="H2583" s="9" t="s">
        <v>62</v>
      </c>
      <c r="I2583" s="9" t="s">
        <v>20</v>
      </c>
      <c r="J2583" s="10"/>
      <c r="K2583" s="1" t="s">
        <v>398</v>
      </c>
      <c r="L2583" s="7"/>
      <c r="M2583" s="7"/>
      <c r="N2583" s="7" t="str">
        <f>IFERROR(__xludf.DUMMYFUNCTION("""COMPUTED_VALUE"""),"Alexis Gutiérrez|46140")</f>
        <v>Alexis Gutiérrez|46140</v>
      </c>
      <c r="O2583" s="7">
        <f>IFERROR(__xludf.DUMMYFUNCTION("""COMPUTED_VALUE"""),4.0)</f>
        <v>4</v>
      </c>
    </row>
    <row r="2584" ht="22.5" hidden="1" customHeight="1">
      <c r="A2584" s="8">
        <v>46011.36899107639</v>
      </c>
      <c r="B2584" s="9">
        <v>46011.0</v>
      </c>
      <c r="C2584" s="9" t="s">
        <v>53</v>
      </c>
      <c r="D2584" s="9" t="s">
        <v>335</v>
      </c>
      <c r="E2584" s="9" t="s">
        <v>30</v>
      </c>
      <c r="F2584" s="9" t="s">
        <v>17</v>
      </c>
      <c r="G2584" s="9" t="s">
        <v>24</v>
      </c>
      <c r="H2584" s="9" t="s">
        <v>62</v>
      </c>
      <c r="I2584" s="9" t="s">
        <v>20</v>
      </c>
      <c r="J2584" s="10"/>
      <c r="K2584" s="1" t="s">
        <v>398</v>
      </c>
      <c r="L2584" s="7"/>
      <c r="M2584" s="7"/>
      <c r="N2584" s="7" t="str">
        <f>IFERROR(__xludf.DUMMYFUNCTION("""COMPUTED_VALUE"""),"Patricio Salas|46140")</f>
        <v>Patricio Salas|46140</v>
      </c>
      <c r="O2584" s="7">
        <f>IFERROR(__xludf.DUMMYFUNCTION("""COMPUTED_VALUE"""),5.0)</f>
        <v>5</v>
      </c>
    </row>
    <row r="2585" ht="22.5" hidden="1" customHeight="1">
      <c r="A2585" s="8">
        <v>46011.36956982639</v>
      </c>
      <c r="B2585" s="9">
        <v>46011.0</v>
      </c>
      <c r="C2585" s="9" t="s">
        <v>53</v>
      </c>
      <c r="D2585" s="9" t="s">
        <v>177</v>
      </c>
      <c r="E2585" s="9" t="s">
        <v>17</v>
      </c>
      <c r="F2585" s="9" t="s">
        <v>60</v>
      </c>
      <c r="G2585" s="9" t="s">
        <v>24</v>
      </c>
      <c r="H2585" s="9" t="s">
        <v>62</v>
      </c>
      <c r="I2585" s="9" t="s">
        <v>20</v>
      </c>
      <c r="J2585" s="10"/>
      <c r="K2585" s="1" t="s">
        <v>398</v>
      </c>
      <c r="L2585" s="7"/>
      <c r="M2585" s="7"/>
      <c r="N2585" s="7" t="str">
        <f>IFERROR(__xludf.DUMMYFUNCTION("""COMPUTED_VALUE"""),"Henry Martín|46140")</f>
        <v>Henry Martín|46140</v>
      </c>
      <c r="O2585" s="7">
        <f>IFERROR(__xludf.DUMMYFUNCTION("""COMPUTED_VALUE"""),4.0)</f>
        <v>4</v>
      </c>
    </row>
    <row r="2586" ht="22.5" hidden="1" customHeight="1">
      <c r="A2586" s="8">
        <v>46011.36990143519</v>
      </c>
      <c r="B2586" s="9">
        <v>46011.0</v>
      </c>
      <c r="C2586" s="9" t="s">
        <v>53</v>
      </c>
      <c r="D2586" s="9" t="s">
        <v>361</v>
      </c>
      <c r="E2586" s="9" t="s">
        <v>17</v>
      </c>
      <c r="F2586" s="9" t="s">
        <v>17</v>
      </c>
      <c r="G2586" s="9" t="s">
        <v>24</v>
      </c>
      <c r="H2586" s="9" t="s">
        <v>62</v>
      </c>
      <c r="I2586" s="9" t="s">
        <v>20</v>
      </c>
      <c r="J2586" s="10"/>
      <c r="K2586" s="1" t="s">
        <v>398</v>
      </c>
      <c r="L2586" s="7"/>
      <c r="M2586" s="7"/>
      <c r="N2586" s="7" t="str">
        <f>IFERROR(__xludf.DUMMYFUNCTION("""COMPUTED_VALUE"""),"Vinícius Lima|46140")</f>
        <v>Vinícius Lima|46140</v>
      </c>
      <c r="O2586" s="7">
        <f>IFERROR(__xludf.DUMMYFUNCTION("""COMPUTED_VALUE"""),3.0)</f>
        <v>3</v>
      </c>
    </row>
    <row r="2587" ht="22.5" hidden="1" customHeight="1">
      <c r="A2587" s="8">
        <v>46011.37083474537</v>
      </c>
      <c r="B2587" s="9">
        <v>46011.0</v>
      </c>
      <c r="C2587" s="9" t="s">
        <v>53</v>
      </c>
      <c r="D2587" s="9" t="s">
        <v>395</v>
      </c>
      <c r="E2587" s="9" t="s">
        <v>17</v>
      </c>
      <c r="F2587" s="9" t="s">
        <v>18</v>
      </c>
      <c r="G2587" s="9" t="s">
        <v>24</v>
      </c>
      <c r="H2587" s="9" t="s">
        <v>62</v>
      </c>
      <c r="I2587" s="9" t="s">
        <v>20</v>
      </c>
      <c r="J2587" s="10"/>
      <c r="K2587" s="1" t="s">
        <v>398</v>
      </c>
      <c r="L2587" s="7"/>
      <c r="M2587" s="7"/>
      <c r="N2587" s="7" t="str">
        <f>IFERROR(__xludf.DUMMYFUNCTION("""COMPUTED_VALUE"""),"José Raúl Zúñiga|46140")</f>
        <v>José Raúl Zúñiga|46140</v>
      </c>
      <c r="O2587" s="7">
        <f>IFERROR(__xludf.DUMMYFUNCTION("""COMPUTED_VALUE"""),4.0)</f>
        <v>4</v>
      </c>
    </row>
    <row r="2588" ht="22.5" hidden="1" customHeight="1">
      <c r="A2588" s="8">
        <v>46011.37155277778</v>
      </c>
      <c r="B2588" s="9">
        <v>46011.0</v>
      </c>
      <c r="C2588" s="9" t="s">
        <v>53</v>
      </c>
      <c r="D2588" s="9" t="s">
        <v>367</v>
      </c>
      <c r="E2588" s="9" t="s">
        <v>17</v>
      </c>
      <c r="F2588" s="9" t="s">
        <v>18</v>
      </c>
      <c r="G2588" s="9" t="s">
        <v>24</v>
      </c>
      <c r="H2588" s="9" t="s">
        <v>25</v>
      </c>
      <c r="I2588" s="9" t="s">
        <v>403</v>
      </c>
      <c r="J2588" s="10"/>
      <c r="K2588" s="1" t="s">
        <v>398</v>
      </c>
      <c r="L2588" s="7"/>
      <c r="M2588" s="7"/>
      <c r="N2588" s="7" t="str">
        <f>IFERROR(__xludf.DUMMYFUNCTION("""COMPUTED_VALUE"""),"Ramón Juárez|46140")</f>
        <v>Ramón Juárez|46140</v>
      </c>
      <c r="O2588" s="7">
        <f>IFERROR(__xludf.DUMMYFUNCTION("""COMPUTED_VALUE"""),5.0)</f>
        <v>5</v>
      </c>
    </row>
    <row r="2589" ht="22.5" hidden="1" customHeight="1">
      <c r="A2589" s="8">
        <v>46011.37188224537</v>
      </c>
      <c r="B2589" s="9">
        <v>46011.0</v>
      </c>
      <c r="C2589" s="9" t="s">
        <v>53</v>
      </c>
      <c r="D2589" s="9" t="s">
        <v>174</v>
      </c>
      <c r="E2589" s="9" t="s">
        <v>17</v>
      </c>
      <c r="F2589" s="9" t="s">
        <v>17</v>
      </c>
      <c r="G2589" s="9" t="s">
        <v>24</v>
      </c>
      <c r="H2589" s="9" t="s">
        <v>17</v>
      </c>
      <c r="I2589" s="9" t="s">
        <v>20</v>
      </c>
      <c r="J2589" s="10"/>
      <c r="K2589" s="1" t="s">
        <v>398</v>
      </c>
      <c r="L2589" s="7"/>
      <c r="M2589" s="7"/>
      <c r="N2589" s="7" t="str">
        <f>IFERROR(__xludf.DUMMYFUNCTION("""COMPUTED_VALUE"""),"Santiago Naveda|46141")</f>
        <v>Santiago Naveda|46141</v>
      </c>
      <c r="O2589" s="7">
        <f>IFERROR(__xludf.DUMMYFUNCTION("""COMPUTED_VALUE"""),4.0)</f>
        <v>4</v>
      </c>
    </row>
    <row r="2590" ht="22.5" hidden="1" customHeight="1">
      <c r="A2590" s="8">
        <v>46011.37250920139</v>
      </c>
      <c r="B2590" s="9">
        <v>46011.0</v>
      </c>
      <c r="C2590" s="9" t="s">
        <v>53</v>
      </c>
      <c r="D2590" s="9" t="s">
        <v>170</v>
      </c>
      <c r="E2590" s="9" t="s">
        <v>17</v>
      </c>
      <c r="F2590" s="9" t="s">
        <v>18</v>
      </c>
      <c r="G2590" s="9" t="s">
        <v>24</v>
      </c>
      <c r="H2590" s="9" t="s">
        <v>17</v>
      </c>
      <c r="I2590" s="9" t="s">
        <v>20</v>
      </c>
      <c r="J2590" s="10"/>
      <c r="K2590" s="1" t="s">
        <v>398</v>
      </c>
      <c r="L2590" s="7"/>
      <c r="M2590" s="7"/>
      <c r="N2590" s="7" t="str">
        <f>IFERROR(__xludf.DUMMYFUNCTION("""COMPUTED_VALUE"""),"Miguel Vázquez|46141")</f>
        <v>Miguel Vázquez|46141</v>
      </c>
      <c r="O2590" s="7">
        <f>IFERROR(__xludf.DUMMYFUNCTION("""COMPUTED_VALUE"""),4.0)</f>
        <v>4</v>
      </c>
    </row>
    <row r="2591" ht="22.5" hidden="1" customHeight="1">
      <c r="A2591" s="8">
        <v>46011.37290135417</v>
      </c>
      <c r="B2591" s="9">
        <v>46011.0</v>
      </c>
      <c r="C2591" s="9" t="s">
        <v>53</v>
      </c>
      <c r="D2591" s="9" t="s">
        <v>280</v>
      </c>
      <c r="E2591" s="9" t="s">
        <v>17</v>
      </c>
      <c r="F2591" s="9" t="s">
        <v>17</v>
      </c>
      <c r="G2591" s="9" t="s">
        <v>24</v>
      </c>
      <c r="H2591" s="9" t="s">
        <v>17</v>
      </c>
      <c r="I2591" s="9" t="s">
        <v>20</v>
      </c>
      <c r="J2591" s="10"/>
      <c r="K2591" s="1" t="s">
        <v>398</v>
      </c>
      <c r="L2591" s="7"/>
      <c r="M2591" s="7"/>
      <c r="N2591" s="7" t="str">
        <f>IFERROR(__xludf.DUMMYFUNCTION("""COMPUTED_VALUE"""),"Aaron Mejia|46141")</f>
        <v>Aaron Mejia|46141</v>
      </c>
      <c r="O2591" s="7">
        <f>IFERROR(__xludf.DUMMYFUNCTION("""COMPUTED_VALUE"""),4.0)</f>
        <v>4</v>
      </c>
    </row>
    <row r="2592" ht="22.5" hidden="1" customHeight="1">
      <c r="A2592" s="8">
        <v>46011.644947673616</v>
      </c>
      <c r="B2592" s="9">
        <v>46011.0</v>
      </c>
      <c r="C2592" s="9" t="s">
        <v>53</v>
      </c>
      <c r="D2592" s="9" t="s">
        <v>170</v>
      </c>
      <c r="E2592" s="9" t="s">
        <v>17</v>
      </c>
      <c r="F2592" s="9" t="s">
        <v>17</v>
      </c>
      <c r="G2592" s="9" t="s">
        <v>24</v>
      </c>
      <c r="H2592" s="9" t="s">
        <v>17</v>
      </c>
      <c r="I2592" s="9" t="s">
        <v>20</v>
      </c>
      <c r="J2592" s="10"/>
      <c r="K2592" s="1" t="s">
        <v>398</v>
      </c>
      <c r="L2592" s="7"/>
      <c r="M2592" s="7"/>
      <c r="N2592" s="7" t="str">
        <f>IFERROR(__xludf.DUMMYFUNCTION("""COMPUTED_VALUE"""),"Rodrigo Dourado|46141")</f>
        <v>Rodrigo Dourado|46141</v>
      </c>
      <c r="O2592" s="7">
        <f>IFERROR(__xludf.DUMMYFUNCTION("""COMPUTED_VALUE"""),4.0)</f>
        <v>4</v>
      </c>
    </row>
    <row r="2593" ht="22.5" hidden="1" customHeight="1">
      <c r="A2593" s="8">
        <v>46011.64575946759</v>
      </c>
      <c r="B2593" s="9">
        <v>46011.0</v>
      </c>
      <c r="C2593" s="9" t="s">
        <v>53</v>
      </c>
      <c r="D2593" s="9" t="s">
        <v>178</v>
      </c>
      <c r="E2593" s="9" t="s">
        <v>17</v>
      </c>
      <c r="F2593" s="9" t="s">
        <v>60</v>
      </c>
      <c r="G2593" s="9" t="s">
        <v>40</v>
      </c>
      <c r="H2593" s="9" t="s">
        <v>25</v>
      </c>
      <c r="I2593" s="9" t="s">
        <v>50</v>
      </c>
      <c r="J2593" s="10"/>
      <c r="K2593" s="1" t="s">
        <v>398</v>
      </c>
      <c r="L2593" s="7"/>
      <c r="M2593" s="7"/>
      <c r="N2593" s="7" t="str">
        <f>IFERROR(__xludf.DUMMYFUNCTION("""COMPUTED_VALUE"""),"Raphael Veiga|46141")</f>
        <v>Raphael Veiga|46141</v>
      </c>
      <c r="O2593" s="7">
        <f>IFERROR(__xludf.DUMMYFUNCTION("""COMPUTED_VALUE"""),4.0)</f>
        <v>4</v>
      </c>
    </row>
    <row r="2594" ht="22.5" hidden="1" customHeight="1">
      <c r="A2594" s="8">
        <v>46011.64679453704</v>
      </c>
      <c r="B2594" s="9">
        <v>46011.0</v>
      </c>
      <c r="C2594" s="9" t="s">
        <v>53</v>
      </c>
      <c r="D2594" s="9" t="s">
        <v>367</v>
      </c>
      <c r="E2594" s="9" t="s">
        <v>17</v>
      </c>
      <c r="F2594" s="9" t="s">
        <v>17</v>
      </c>
      <c r="G2594" s="9" t="s">
        <v>24</v>
      </c>
      <c r="H2594" s="9" t="s">
        <v>17</v>
      </c>
      <c r="I2594" s="9" t="s">
        <v>41</v>
      </c>
      <c r="J2594" s="10"/>
      <c r="K2594" s="1" t="s">
        <v>398</v>
      </c>
      <c r="L2594" s="7"/>
      <c r="M2594" s="7"/>
      <c r="N2594" s="7" t="str">
        <f>IFERROR(__xludf.DUMMYFUNCTION("""COMPUTED_VALUE"""),"Néstor Araujo|46141")</f>
        <v>Néstor Araujo|46141</v>
      </c>
      <c r="O2594" s="7">
        <f>IFERROR(__xludf.DUMMYFUNCTION("""COMPUTED_VALUE"""),5.0)</f>
        <v>5</v>
      </c>
    </row>
    <row r="2595" ht="22.5" hidden="1" customHeight="1">
      <c r="A2595" s="8">
        <v>46011.64726376157</v>
      </c>
      <c r="B2595" s="9">
        <v>46011.0</v>
      </c>
      <c r="C2595" s="9" t="s">
        <v>53</v>
      </c>
      <c r="D2595" s="9" t="s">
        <v>335</v>
      </c>
      <c r="E2595" s="9" t="s">
        <v>17</v>
      </c>
      <c r="F2595" s="9" t="s">
        <v>17</v>
      </c>
      <c r="G2595" s="9" t="s">
        <v>24</v>
      </c>
      <c r="H2595" s="9" t="s">
        <v>25</v>
      </c>
      <c r="I2595" s="9" t="s">
        <v>28</v>
      </c>
      <c r="J2595" s="10"/>
      <c r="K2595" s="1" t="s">
        <v>398</v>
      </c>
      <c r="L2595" s="7"/>
      <c r="M2595" s="7"/>
      <c r="N2595" s="7" t="str">
        <f>IFERROR(__xludf.DUMMYFUNCTION("""COMPUTED_VALUE"""),"Rodolfo Cota|46141")</f>
        <v>Rodolfo Cota|46141</v>
      </c>
      <c r="O2595" s="7">
        <f>IFERROR(__xludf.DUMMYFUNCTION("""COMPUTED_VALUE"""),2.0)</f>
        <v>2</v>
      </c>
    </row>
    <row r="2596" ht="22.5" hidden="1" customHeight="1">
      <c r="A2596" s="8">
        <v>46011.64855503472</v>
      </c>
      <c r="B2596" s="9">
        <v>46011.0</v>
      </c>
      <c r="C2596" s="9" t="s">
        <v>53</v>
      </c>
      <c r="D2596" s="9" t="s">
        <v>249</v>
      </c>
      <c r="E2596" s="9" t="s">
        <v>57</v>
      </c>
      <c r="F2596" s="9" t="s">
        <v>43</v>
      </c>
      <c r="G2596" s="9" t="s">
        <v>19</v>
      </c>
      <c r="H2596" s="9" t="s">
        <v>62</v>
      </c>
      <c r="I2596" s="9" t="s">
        <v>93</v>
      </c>
      <c r="J2596" s="10"/>
      <c r="K2596" s="1" t="s">
        <v>398</v>
      </c>
      <c r="L2596" s="7"/>
      <c r="M2596" s="7"/>
      <c r="N2596" s="7" t="str">
        <f>IFERROR(__xludf.DUMMYFUNCTION("""COMPUTED_VALUE"""),"Sebastián Cáceres|46141")</f>
        <v>Sebastián Cáceres|46141</v>
      </c>
      <c r="O2596" s="7">
        <f>IFERROR(__xludf.DUMMYFUNCTION("""COMPUTED_VALUE"""),6.0)</f>
        <v>6</v>
      </c>
    </row>
    <row r="2597" ht="22.5" hidden="1" customHeight="1">
      <c r="A2597" s="8">
        <v>46011.65217178241</v>
      </c>
      <c r="B2597" s="9">
        <v>46011.0</v>
      </c>
      <c r="C2597" s="9" t="s">
        <v>53</v>
      </c>
      <c r="D2597" s="9" t="s">
        <v>177</v>
      </c>
      <c r="E2597" s="9" t="s">
        <v>17</v>
      </c>
      <c r="F2597" s="9" t="s">
        <v>60</v>
      </c>
      <c r="G2597" s="9" t="s">
        <v>24</v>
      </c>
      <c r="H2597" s="9" t="s">
        <v>22</v>
      </c>
      <c r="I2597" s="9" t="s">
        <v>20</v>
      </c>
      <c r="J2597" s="10"/>
      <c r="K2597" s="1" t="s">
        <v>398</v>
      </c>
      <c r="L2597" s="7"/>
      <c r="M2597" s="7"/>
      <c r="N2597" s="7" t="str">
        <f>IFERROR(__xludf.DUMMYFUNCTION("""COMPUTED_VALUE"""),"Cristian Borja|46141")</f>
        <v>Cristian Borja|46141</v>
      </c>
      <c r="O2597" s="7">
        <f>IFERROR(__xludf.DUMMYFUNCTION("""COMPUTED_VALUE"""),4.0)</f>
        <v>4</v>
      </c>
    </row>
    <row r="2598" ht="22.5" hidden="1" customHeight="1">
      <c r="A2598" s="8">
        <v>46011.65270490741</v>
      </c>
      <c r="B2598" s="9">
        <v>46011.0</v>
      </c>
      <c r="C2598" s="9" t="s">
        <v>53</v>
      </c>
      <c r="D2598" s="9" t="s">
        <v>397</v>
      </c>
      <c r="E2598" s="9" t="s">
        <v>17</v>
      </c>
      <c r="F2598" s="9" t="s">
        <v>17</v>
      </c>
      <c r="G2598" s="9" t="s">
        <v>24</v>
      </c>
      <c r="H2598" s="9" t="s">
        <v>25</v>
      </c>
      <c r="I2598" s="9" t="s">
        <v>93</v>
      </c>
      <c r="J2598" s="10"/>
      <c r="K2598" s="1" t="s">
        <v>398</v>
      </c>
      <c r="L2598" s="7"/>
      <c r="M2598" s="7"/>
      <c r="N2598" s="7" t="str">
        <f>IFERROR(__xludf.DUMMYFUNCTION("""COMPUTED_VALUE"""),"Kevin Álvarez|46141")</f>
        <v>Kevin Álvarez|46141</v>
      </c>
      <c r="O2598" s="7">
        <f>IFERROR(__xludf.DUMMYFUNCTION("""COMPUTED_VALUE"""),4.0)</f>
        <v>4</v>
      </c>
    </row>
    <row r="2599" ht="22.5" hidden="1" customHeight="1">
      <c r="A2599" s="8">
        <v>46011.65336935185</v>
      </c>
      <c r="B2599" s="9">
        <v>46011.0</v>
      </c>
      <c r="C2599" s="9" t="s">
        <v>53</v>
      </c>
      <c r="D2599" s="9" t="s">
        <v>171</v>
      </c>
      <c r="E2599" s="9" t="s">
        <v>61</v>
      </c>
      <c r="F2599" s="9" t="s">
        <v>17</v>
      </c>
      <c r="G2599" s="9" t="s">
        <v>24</v>
      </c>
      <c r="H2599" s="9" t="s">
        <v>22</v>
      </c>
      <c r="I2599" s="9" t="s">
        <v>20</v>
      </c>
      <c r="J2599" s="10"/>
      <c r="K2599" s="1" t="s">
        <v>398</v>
      </c>
      <c r="L2599" s="7"/>
      <c r="M2599" s="7"/>
      <c r="N2599" s="7" t="str">
        <f>IFERROR(__xludf.DUMMYFUNCTION("""COMPUTED_VALUE"""),"Thiago Espinosa|46141")</f>
        <v>Thiago Espinosa|46141</v>
      </c>
      <c r="O2599" s="7">
        <f>IFERROR(__xludf.DUMMYFUNCTION("""COMPUTED_VALUE"""),4.0)</f>
        <v>4</v>
      </c>
    </row>
    <row r="2600" ht="22.5" hidden="1" customHeight="1">
      <c r="A2600" s="8">
        <v>46011.65512840278</v>
      </c>
      <c r="B2600" s="9">
        <v>46011.0</v>
      </c>
      <c r="C2600" s="9" t="s">
        <v>53</v>
      </c>
      <c r="D2600" s="9" t="s">
        <v>223</v>
      </c>
      <c r="E2600" s="9" t="s">
        <v>17</v>
      </c>
      <c r="F2600" s="9" t="s">
        <v>17</v>
      </c>
      <c r="G2600" s="9" t="s">
        <v>24</v>
      </c>
      <c r="H2600" s="9" t="s">
        <v>22</v>
      </c>
      <c r="I2600" s="9" t="s">
        <v>20</v>
      </c>
      <c r="J2600" s="10"/>
      <c r="K2600" s="1" t="s">
        <v>398</v>
      </c>
      <c r="L2600" s="7"/>
      <c r="M2600" s="7"/>
      <c r="N2600" s="7" t="str">
        <f>IFERROR(__xludf.DUMMYFUNCTION("""COMPUTED_VALUE"""),"Alexis Gutiérrez|46141")</f>
        <v>Alexis Gutiérrez|46141</v>
      </c>
      <c r="O2600" s="7">
        <f>IFERROR(__xludf.DUMMYFUNCTION("""COMPUTED_VALUE"""),4.0)</f>
        <v>4</v>
      </c>
    </row>
    <row r="2601" ht="22.5" hidden="1" customHeight="1">
      <c r="A2601" s="8">
        <v>46011.655611504626</v>
      </c>
      <c r="B2601" s="9">
        <v>46011.0</v>
      </c>
      <c r="C2601" s="9" t="s">
        <v>53</v>
      </c>
      <c r="D2601" s="9" t="s">
        <v>247</v>
      </c>
      <c r="E2601" s="9" t="s">
        <v>17</v>
      </c>
      <c r="F2601" s="9" t="s">
        <v>17</v>
      </c>
      <c r="G2601" s="9" t="s">
        <v>24</v>
      </c>
      <c r="H2601" s="9" t="s">
        <v>25</v>
      </c>
      <c r="I2601" s="9" t="s">
        <v>93</v>
      </c>
      <c r="J2601" s="10"/>
      <c r="K2601" s="1" t="s">
        <v>398</v>
      </c>
      <c r="L2601" s="7"/>
      <c r="M2601" s="7"/>
      <c r="N2601" s="7" t="str">
        <f>IFERROR(__xludf.DUMMYFUNCTION("""COMPUTED_VALUE"""),"Patricio Salas|46141")</f>
        <v>Patricio Salas|46141</v>
      </c>
      <c r="O2601" s="7">
        <f>IFERROR(__xludf.DUMMYFUNCTION("""COMPUTED_VALUE"""),4.0)</f>
        <v>4</v>
      </c>
    </row>
    <row r="2602" ht="22.5" hidden="1" customHeight="1">
      <c r="A2602" s="8">
        <v>46011.65925834491</v>
      </c>
      <c r="B2602" s="9">
        <v>46011.0</v>
      </c>
      <c r="C2602" s="9" t="s">
        <v>53</v>
      </c>
      <c r="D2602" s="9" t="s">
        <v>259</v>
      </c>
      <c r="E2602" s="9" t="s">
        <v>17</v>
      </c>
      <c r="F2602" s="9" t="s">
        <v>18</v>
      </c>
      <c r="G2602" s="9" t="s">
        <v>24</v>
      </c>
      <c r="H2602" s="9" t="s">
        <v>17</v>
      </c>
      <c r="I2602" s="9" t="s">
        <v>20</v>
      </c>
      <c r="J2602" s="10"/>
      <c r="K2602" s="1" t="s">
        <v>398</v>
      </c>
      <c r="L2602" s="7"/>
      <c r="M2602" s="7"/>
      <c r="N2602" s="7" t="str">
        <f>IFERROR(__xludf.DUMMYFUNCTION("""COMPUTED_VALUE"""),"Alan Cervantes|46141")</f>
        <v>Alan Cervantes|46141</v>
      </c>
      <c r="O2602" s="7">
        <f>IFERROR(__xludf.DUMMYFUNCTION("""COMPUTED_VALUE"""),6.0)</f>
        <v>6</v>
      </c>
    </row>
    <row r="2603" ht="22.5" hidden="1" customHeight="1">
      <c r="A2603" s="8">
        <v>46011.65957847222</v>
      </c>
      <c r="B2603" s="9">
        <v>46011.0</v>
      </c>
      <c r="C2603" s="9" t="s">
        <v>53</v>
      </c>
      <c r="D2603" s="9" t="s">
        <v>168</v>
      </c>
      <c r="E2603" s="9" t="s">
        <v>17</v>
      </c>
      <c r="F2603" s="9" t="s">
        <v>17</v>
      </c>
      <c r="G2603" s="9" t="s">
        <v>24</v>
      </c>
      <c r="H2603" s="9" t="s">
        <v>17</v>
      </c>
      <c r="I2603" s="9" t="s">
        <v>20</v>
      </c>
      <c r="J2603" s="10"/>
      <c r="K2603" s="1" t="s">
        <v>398</v>
      </c>
      <c r="L2603" s="7"/>
      <c r="M2603" s="7"/>
      <c r="N2603" s="7" t="str">
        <f>IFERROR(__xludf.DUMMYFUNCTION("""COMPUTED_VALUE"""),"Ramón Juárez|46141")</f>
        <v>Ramón Juárez|46141</v>
      </c>
      <c r="O2603" s="7">
        <f>IFERROR(__xludf.DUMMYFUNCTION("""COMPUTED_VALUE"""),4.0)</f>
        <v>4</v>
      </c>
    </row>
    <row r="2604" ht="22.5" hidden="1" customHeight="1">
      <c r="A2604" s="8">
        <v>46011.659953912036</v>
      </c>
      <c r="B2604" s="9">
        <v>46011.0</v>
      </c>
      <c r="C2604" s="9" t="s">
        <v>53</v>
      </c>
      <c r="D2604" s="9" t="s">
        <v>394</v>
      </c>
      <c r="E2604" s="9" t="s">
        <v>17</v>
      </c>
      <c r="F2604" s="9" t="s">
        <v>17</v>
      </c>
      <c r="G2604" s="9" t="s">
        <v>24</v>
      </c>
      <c r="H2604" s="9" t="s">
        <v>17</v>
      </c>
      <c r="I2604" s="9" t="s">
        <v>20</v>
      </c>
      <c r="J2604" s="10"/>
      <c r="K2604" s="1" t="s">
        <v>398</v>
      </c>
      <c r="L2604" s="7"/>
      <c r="M2604" s="7"/>
      <c r="N2604" s="7" t="str">
        <f>IFERROR(__xludf.DUMMYFUNCTION("""COMPUTED_VALUE"""),"Fernando Tapia|46141")</f>
        <v>Fernando Tapia|46141</v>
      </c>
      <c r="O2604" s="7">
        <f>IFERROR(__xludf.DUMMYFUNCTION("""COMPUTED_VALUE"""),4.0)</f>
        <v>4</v>
      </c>
    </row>
    <row r="2605" ht="22.5" hidden="1" customHeight="1">
      <c r="A2605" s="8">
        <v>46011.66039179398</v>
      </c>
      <c r="B2605" s="9">
        <v>46011.0</v>
      </c>
      <c r="C2605" s="9" t="s">
        <v>53</v>
      </c>
      <c r="D2605" s="9" t="s">
        <v>258</v>
      </c>
      <c r="E2605" s="9" t="s">
        <v>44</v>
      </c>
      <c r="F2605" s="9" t="s">
        <v>17</v>
      </c>
      <c r="G2605" s="9" t="s">
        <v>19</v>
      </c>
      <c r="H2605" s="9" t="s">
        <v>17</v>
      </c>
      <c r="I2605" s="9" t="s">
        <v>20</v>
      </c>
      <c r="J2605" s="10"/>
      <c r="K2605" s="1" t="s">
        <v>398</v>
      </c>
      <c r="L2605" s="7"/>
      <c r="M2605" s="7"/>
      <c r="N2605" s="7" t="str">
        <f>IFERROR(__xludf.DUMMYFUNCTION("""COMPUTED_VALUE"""),"Paolo Bedolla|46141")</f>
        <v>Paolo Bedolla|46141</v>
      </c>
      <c r="O2605" s="7">
        <f>IFERROR(__xludf.DUMMYFUNCTION("""COMPUTED_VALUE"""),2.0)</f>
        <v>2</v>
      </c>
    </row>
    <row r="2606" ht="22.5" hidden="1" customHeight="1">
      <c r="A2606" s="8">
        <v>46011.66075746527</v>
      </c>
      <c r="B2606" s="9">
        <v>46011.0</v>
      </c>
      <c r="C2606" s="9" t="s">
        <v>53</v>
      </c>
      <c r="D2606" s="9" t="s">
        <v>257</v>
      </c>
      <c r="E2606" s="9" t="s">
        <v>17</v>
      </c>
      <c r="F2606" s="9" t="s">
        <v>18</v>
      </c>
      <c r="G2606" s="9" t="s">
        <v>24</v>
      </c>
      <c r="H2606" s="9" t="s">
        <v>17</v>
      </c>
      <c r="I2606" s="9" t="s">
        <v>20</v>
      </c>
      <c r="J2606" s="10"/>
      <c r="K2606" s="1" t="s">
        <v>398</v>
      </c>
      <c r="L2606" s="7"/>
      <c r="M2606" s="7"/>
      <c r="N2606" s="7" t="str">
        <f>IFERROR(__xludf.DUMMYFUNCTION("""COMPUTED_VALUE"""),"José Raúl Zúñiga|46141")</f>
        <v>José Raúl Zúñiga|46141</v>
      </c>
      <c r="O2606" s="7">
        <f>IFERROR(__xludf.DUMMYFUNCTION("""COMPUTED_VALUE"""),3.0)</f>
        <v>3</v>
      </c>
    </row>
    <row r="2607" ht="22.5" hidden="1" customHeight="1">
      <c r="A2607" s="8">
        <v>46011.661354814816</v>
      </c>
      <c r="B2607" s="9">
        <v>46011.0</v>
      </c>
      <c r="C2607" s="9" t="s">
        <v>53</v>
      </c>
      <c r="D2607" s="9" t="s">
        <v>175</v>
      </c>
      <c r="E2607" s="9" t="s">
        <v>17</v>
      </c>
      <c r="F2607" s="9" t="s">
        <v>18</v>
      </c>
      <c r="G2607" s="9" t="s">
        <v>19</v>
      </c>
      <c r="H2607" s="9" t="s">
        <v>17</v>
      </c>
      <c r="I2607" s="9" t="s">
        <v>20</v>
      </c>
      <c r="J2607" s="10"/>
      <c r="K2607" s="1" t="s">
        <v>398</v>
      </c>
      <c r="L2607" s="7"/>
      <c r="M2607" s="7"/>
      <c r="N2607" s="7" t="str">
        <f>IFERROR(__xludf.DUMMYFUNCTION("""COMPUTED_VALUE"""),"Alan Cervantes|46142")</f>
        <v>Alan Cervantes|46142</v>
      </c>
      <c r="O2607" s="7">
        <f>IFERROR(__xludf.DUMMYFUNCTION("""COMPUTED_VALUE"""),6.0)</f>
        <v>6</v>
      </c>
    </row>
    <row r="2608" ht="22.5" hidden="1" customHeight="1">
      <c r="A2608" s="8">
        <v>46011.66189505787</v>
      </c>
      <c r="B2608" s="9">
        <v>46011.0</v>
      </c>
      <c r="C2608" s="9" t="s">
        <v>53</v>
      </c>
      <c r="D2608" s="9" t="s">
        <v>396</v>
      </c>
      <c r="E2608" s="9" t="s">
        <v>17</v>
      </c>
      <c r="F2608" s="9" t="s">
        <v>17</v>
      </c>
      <c r="G2608" s="9" t="s">
        <v>24</v>
      </c>
      <c r="H2608" s="9" t="s">
        <v>17</v>
      </c>
      <c r="I2608" s="9" t="s">
        <v>20</v>
      </c>
      <c r="J2608" s="10"/>
      <c r="K2608" s="1" t="s">
        <v>398</v>
      </c>
      <c r="L2608" s="7"/>
      <c r="M2608" s="7"/>
      <c r="N2608" s="7" t="str">
        <f>IFERROR(__xludf.DUMMYFUNCTION("""COMPUTED_VALUE"""),"Miguel Vázquez|46142")</f>
        <v>Miguel Vázquez|46142</v>
      </c>
      <c r="O2608" s="7">
        <f>IFERROR(__xludf.DUMMYFUNCTION("""COMPUTED_VALUE"""),5.0)</f>
        <v>5</v>
      </c>
    </row>
    <row r="2609" ht="22.5" hidden="1" customHeight="1">
      <c r="A2609" s="8">
        <v>46011.66219752315</v>
      </c>
      <c r="B2609" s="9">
        <v>46011.0</v>
      </c>
      <c r="C2609" s="9" t="s">
        <v>53</v>
      </c>
      <c r="D2609" s="9" t="s">
        <v>210</v>
      </c>
      <c r="E2609" s="9" t="s">
        <v>44</v>
      </c>
      <c r="F2609" s="9" t="s">
        <v>35</v>
      </c>
      <c r="G2609" s="9" t="s">
        <v>24</v>
      </c>
      <c r="H2609" s="9" t="s">
        <v>17</v>
      </c>
      <c r="I2609" s="9" t="s">
        <v>20</v>
      </c>
      <c r="J2609" s="10"/>
      <c r="K2609" s="1" t="s">
        <v>398</v>
      </c>
      <c r="L2609" s="7"/>
      <c r="M2609" s="7"/>
      <c r="N2609" s="7" t="str">
        <f>IFERROR(__xludf.DUMMYFUNCTION("""COMPUTED_VALUE"""),"Fernando Tapia|46142")</f>
        <v>Fernando Tapia|46142</v>
      </c>
      <c r="O2609" s="7">
        <f>IFERROR(__xludf.DUMMYFUNCTION("""COMPUTED_VALUE"""),4.0)</f>
        <v>4</v>
      </c>
    </row>
    <row r="2610" ht="22.5" hidden="1" customHeight="1">
      <c r="A2610" s="8">
        <v>46011.662445787035</v>
      </c>
      <c r="B2610" s="9">
        <v>46011.0</v>
      </c>
      <c r="C2610" s="9" t="s">
        <v>53</v>
      </c>
      <c r="D2610" s="9" t="s">
        <v>105</v>
      </c>
      <c r="E2610" s="9" t="s">
        <v>17</v>
      </c>
      <c r="F2610" s="9" t="s">
        <v>17</v>
      </c>
      <c r="G2610" s="9" t="s">
        <v>24</v>
      </c>
      <c r="H2610" s="9" t="s">
        <v>17</v>
      </c>
      <c r="I2610" s="9" t="s">
        <v>20</v>
      </c>
      <c r="J2610" s="10"/>
      <c r="K2610" s="1" t="s">
        <v>398</v>
      </c>
      <c r="L2610" s="7"/>
      <c r="M2610" s="7"/>
      <c r="N2610" s="7" t="str">
        <f>IFERROR(__xludf.DUMMYFUNCTION("""COMPUTED_VALUE"""),"Cristian Borja|46142")</f>
        <v>Cristian Borja|46142</v>
      </c>
      <c r="O2610" s="7">
        <f>IFERROR(__xludf.DUMMYFUNCTION("""COMPUTED_VALUE"""),3.0)</f>
        <v>3</v>
      </c>
    </row>
    <row r="2611" ht="22.5" hidden="1" customHeight="1">
      <c r="A2611" s="8">
        <v>46011.662733310186</v>
      </c>
      <c r="B2611" s="9">
        <v>46011.0</v>
      </c>
      <c r="C2611" s="9" t="s">
        <v>53</v>
      </c>
      <c r="D2611" s="9" t="s">
        <v>174</v>
      </c>
      <c r="E2611" s="9" t="s">
        <v>44</v>
      </c>
      <c r="F2611" s="9" t="s">
        <v>18</v>
      </c>
      <c r="G2611" s="9" t="s">
        <v>24</v>
      </c>
      <c r="H2611" s="9" t="s">
        <v>17</v>
      </c>
      <c r="I2611" s="9" t="s">
        <v>20</v>
      </c>
      <c r="J2611" s="10"/>
      <c r="K2611" s="1" t="s">
        <v>398</v>
      </c>
      <c r="L2611" s="7"/>
      <c r="M2611" s="7"/>
      <c r="N2611" s="7" t="str">
        <f>IFERROR(__xludf.DUMMYFUNCTION("""COMPUTED_VALUE"""),"Rodrigo Dourado|46142")</f>
        <v>Rodrigo Dourado|46142</v>
      </c>
      <c r="O2611" s="7">
        <f>IFERROR(__xludf.DUMMYFUNCTION("""COMPUTED_VALUE"""),5.0)</f>
        <v>5</v>
      </c>
    </row>
    <row r="2612" ht="22.5" hidden="1" customHeight="1">
      <c r="A2612" s="8">
        <v>46011.66310677084</v>
      </c>
      <c r="B2612" s="9">
        <v>46011.0</v>
      </c>
      <c r="C2612" s="9" t="s">
        <v>53</v>
      </c>
      <c r="D2612" s="9" t="s">
        <v>350</v>
      </c>
      <c r="E2612" s="9" t="s">
        <v>44</v>
      </c>
      <c r="F2612" s="9" t="s">
        <v>17</v>
      </c>
      <c r="G2612" s="9" t="s">
        <v>24</v>
      </c>
      <c r="H2612" s="9" t="s">
        <v>17</v>
      </c>
      <c r="I2612" s="9" t="s">
        <v>20</v>
      </c>
      <c r="J2612" s="10"/>
      <c r="K2612" s="1" t="s">
        <v>398</v>
      </c>
      <c r="L2612" s="7"/>
      <c r="M2612" s="7"/>
      <c r="N2612" s="7" t="str">
        <f>IFERROR(__xludf.DUMMYFUNCTION("""COMPUTED_VALUE"""),"Rodolfo Cota|46142")</f>
        <v>Rodolfo Cota|46142</v>
      </c>
      <c r="O2612" s="7">
        <f>IFERROR(__xludf.DUMMYFUNCTION("""COMPUTED_VALUE"""),2.0)</f>
        <v>2</v>
      </c>
    </row>
    <row r="2613" ht="22.5" hidden="1" customHeight="1">
      <c r="A2613" s="8">
        <v>46011.663499953705</v>
      </c>
      <c r="B2613" s="9">
        <v>46011.0</v>
      </c>
      <c r="C2613" s="9" t="s">
        <v>53</v>
      </c>
      <c r="D2613" s="9" t="s">
        <v>361</v>
      </c>
      <c r="E2613" s="9" t="s">
        <v>17</v>
      </c>
      <c r="F2613" s="9" t="s">
        <v>17</v>
      </c>
      <c r="G2613" s="9" t="s">
        <v>19</v>
      </c>
      <c r="H2613" s="9" t="s">
        <v>17</v>
      </c>
      <c r="I2613" s="9" t="s">
        <v>20</v>
      </c>
      <c r="J2613" s="10"/>
      <c r="K2613" s="1" t="s">
        <v>398</v>
      </c>
      <c r="L2613" s="7"/>
      <c r="M2613" s="7"/>
      <c r="N2613" s="7" t="str">
        <f>IFERROR(__xludf.DUMMYFUNCTION("""COMPUTED_VALUE"""),"Santiago Naveda|46142")</f>
        <v>Santiago Naveda|46142</v>
      </c>
      <c r="O2613" s="7">
        <f>IFERROR(__xludf.DUMMYFUNCTION("""COMPUTED_VALUE"""),8.0)</f>
        <v>8</v>
      </c>
    </row>
    <row r="2614" ht="22.5" hidden="1" customHeight="1">
      <c r="A2614" s="8">
        <v>46011.66377085648</v>
      </c>
      <c r="B2614" s="9">
        <v>46011.0</v>
      </c>
      <c r="C2614" s="9" t="s">
        <v>53</v>
      </c>
      <c r="D2614" s="9" t="s">
        <v>395</v>
      </c>
      <c r="E2614" s="9" t="s">
        <v>44</v>
      </c>
      <c r="F2614" s="9" t="s">
        <v>35</v>
      </c>
      <c r="G2614" s="9" t="s">
        <v>19</v>
      </c>
      <c r="H2614" s="9" t="s">
        <v>17</v>
      </c>
      <c r="I2614" s="9" t="s">
        <v>20</v>
      </c>
      <c r="J2614" s="10"/>
      <c r="K2614" s="1" t="s">
        <v>398</v>
      </c>
      <c r="L2614" s="7"/>
      <c r="M2614" s="7"/>
      <c r="N2614" s="7" t="str">
        <f>IFERROR(__xludf.DUMMYFUNCTION("""COMPUTED_VALUE"""),"Alejando Zendejas|46142")</f>
        <v>Alejando Zendejas|46142</v>
      </c>
      <c r="O2614" s="7">
        <f>IFERROR(__xludf.DUMMYFUNCTION("""COMPUTED_VALUE"""),3.0)</f>
        <v>3</v>
      </c>
    </row>
    <row r="2615" ht="22.5" hidden="1" customHeight="1">
      <c r="A2615" s="8">
        <v>46011.664039166666</v>
      </c>
      <c r="B2615" s="9">
        <v>46011.0</v>
      </c>
      <c r="C2615" s="9" t="s">
        <v>53</v>
      </c>
      <c r="D2615" s="9" t="s">
        <v>357</v>
      </c>
      <c r="E2615" s="9" t="s">
        <v>17</v>
      </c>
      <c r="F2615" s="9" t="s">
        <v>17</v>
      </c>
      <c r="G2615" s="9" t="s">
        <v>24</v>
      </c>
      <c r="H2615" s="9" t="s">
        <v>17</v>
      </c>
      <c r="I2615" s="9" t="s">
        <v>20</v>
      </c>
      <c r="J2615" s="10"/>
      <c r="K2615" s="1" t="s">
        <v>398</v>
      </c>
      <c r="L2615" s="7"/>
      <c r="M2615" s="7"/>
      <c r="N2615" s="7" t="str">
        <f>IFERROR(__xludf.DUMMYFUNCTION("""COMPUTED_VALUE"""),"Kevin Álvarez|46142")</f>
        <v>Kevin Álvarez|46142</v>
      </c>
      <c r="O2615" s="7">
        <f>IFERROR(__xludf.DUMMYFUNCTION("""COMPUTED_VALUE"""),5.0)</f>
        <v>5</v>
      </c>
    </row>
    <row r="2616" ht="22.5" hidden="1" customHeight="1">
      <c r="A2616" s="8">
        <v>46011.66431335648</v>
      </c>
      <c r="B2616" s="9">
        <v>46011.0</v>
      </c>
      <c r="C2616" s="9" t="s">
        <v>53</v>
      </c>
      <c r="D2616" s="9" t="s">
        <v>393</v>
      </c>
      <c r="E2616" s="9" t="s">
        <v>17</v>
      </c>
      <c r="F2616" s="9" t="s">
        <v>17</v>
      </c>
      <c r="G2616" s="9" t="s">
        <v>24</v>
      </c>
      <c r="H2616" s="9" t="s">
        <v>17</v>
      </c>
      <c r="I2616" s="9" t="s">
        <v>20</v>
      </c>
      <c r="J2616" s="10"/>
      <c r="K2616" s="1" t="s">
        <v>398</v>
      </c>
      <c r="L2616" s="7"/>
      <c r="M2616" s="7"/>
      <c r="N2616" s="7" t="str">
        <f>IFERROR(__xludf.DUMMYFUNCTION("""COMPUTED_VALUE"""),"Henry Martín|46142")</f>
        <v>Henry Martín|46142</v>
      </c>
      <c r="O2616" s="7">
        <f>IFERROR(__xludf.DUMMYFUNCTION("""COMPUTED_VALUE"""),5.0)</f>
        <v>5</v>
      </c>
    </row>
    <row r="2617" ht="22.5" hidden="1" customHeight="1">
      <c r="A2617" s="8">
        <v>46012.406275416666</v>
      </c>
      <c r="B2617" s="9">
        <v>46012.0</v>
      </c>
      <c r="C2617" s="9" t="s">
        <v>58</v>
      </c>
      <c r="D2617" s="9" t="s">
        <v>258</v>
      </c>
      <c r="E2617" s="9" t="s">
        <v>17</v>
      </c>
      <c r="F2617" s="9" t="s">
        <v>17</v>
      </c>
      <c r="G2617" s="9" t="s">
        <v>24</v>
      </c>
      <c r="H2617" s="9" t="s">
        <v>22</v>
      </c>
      <c r="I2617" s="9" t="s">
        <v>20</v>
      </c>
      <c r="J2617" s="10"/>
      <c r="K2617" s="1" t="s">
        <v>398</v>
      </c>
      <c r="L2617" s="7"/>
      <c r="M2617" s="7"/>
      <c r="N2617" s="7" t="str">
        <f>IFERROR(__xludf.DUMMYFUNCTION("""COMPUTED_VALUE"""),"Isaías Violante|46142")</f>
        <v>Isaías Violante|46142</v>
      </c>
      <c r="O2617" s="7">
        <f>IFERROR(__xludf.DUMMYFUNCTION("""COMPUTED_VALUE"""),6.0)</f>
        <v>6</v>
      </c>
    </row>
    <row r="2618" ht="22.5" hidden="1" customHeight="1">
      <c r="A2618" s="8">
        <v>46012.40696774305</v>
      </c>
      <c r="B2618" s="9">
        <v>46012.0</v>
      </c>
      <c r="C2618" s="9" t="s">
        <v>58</v>
      </c>
      <c r="D2618" s="9" t="s">
        <v>396</v>
      </c>
      <c r="E2618" s="9" t="s">
        <v>17</v>
      </c>
      <c r="F2618" s="9" t="s">
        <v>17</v>
      </c>
      <c r="G2618" s="9" t="s">
        <v>24</v>
      </c>
      <c r="H2618" s="9" t="s">
        <v>25</v>
      </c>
      <c r="I2618" s="9" t="s">
        <v>316</v>
      </c>
      <c r="J2618" s="10"/>
      <c r="K2618" s="1" t="s">
        <v>398</v>
      </c>
      <c r="L2618" s="7"/>
      <c r="M2618" s="7"/>
      <c r="N2618" s="7" t="str">
        <f>IFERROR(__xludf.DUMMYFUNCTION("""COMPUTED_VALUE"""),"Vinícius Lima|46142")</f>
        <v>Vinícius Lima|46142</v>
      </c>
      <c r="O2618" s="7">
        <f>IFERROR(__xludf.DUMMYFUNCTION("""COMPUTED_VALUE"""),3.0)</f>
        <v>3</v>
      </c>
    </row>
    <row r="2619" ht="22.5" hidden="1" customHeight="1">
      <c r="A2619" s="8">
        <v>46012.40735553241</v>
      </c>
      <c r="B2619" s="9">
        <v>46012.0</v>
      </c>
      <c r="C2619" s="9" t="s">
        <v>58</v>
      </c>
      <c r="D2619" s="9" t="s">
        <v>171</v>
      </c>
      <c r="E2619" s="9" t="s">
        <v>17</v>
      </c>
      <c r="F2619" s="9" t="s">
        <v>17</v>
      </c>
      <c r="G2619" s="9" t="s">
        <v>24</v>
      </c>
      <c r="H2619" s="9" t="s">
        <v>17</v>
      </c>
      <c r="I2619" s="9" t="s">
        <v>20</v>
      </c>
      <c r="J2619" s="10"/>
      <c r="K2619" s="1" t="s">
        <v>398</v>
      </c>
      <c r="L2619" s="7"/>
      <c r="M2619" s="7"/>
      <c r="N2619" s="7" t="str">
        <f>IFERROR(__xludf.DUMMYFUNCTION("""COMPUTED_VALUE"""),"Patricio Salas|46142")</f>
        <v>Patricio Salas|46142</v>
      </c>
      <c r="O2619" s="7">
        <f>IFERROR(__xludf.DUMMYFUNCTION("""COMPUTED_VALUE"""),5.0)</f>
        <v>5</v>
      </c>
    </row>
    <row r="2620" ht="22.5" hidden="1" customHeight="1">
      <c r="A2620" s="8">
        <v>46012.407736747686</v>
      </c>
      <c r="B2620" s="9">
        <v>46012.0</v>
      </c>
      <c r="C2620" s="9" t="s">
        <v>58</v>
      </c>
      <c r="D2620" s="9" t="s">
        <v>177</v>
      </c>
      <c r="E2620" s="9" t="s">
        <v>17</v>
      </c>
      <c r="F2620" s="9" t="s">
        <v>17</v>
      </c>
      <c r="G2620" s="9" t="s">
        <v>24</v>
      </c>
      <c r="H2620" s="9" t="s">
        <v>62</v>
      </c>
      <c r="I2620" s="9" t="s">
        <v>20</v>
      </c>
      <c r="J2620" s="10"/>
      <c r="K2620" s="1" t="s">
        <v>398</v>
      </c>
      <c r="L2620" s="7"/>
      <c r="M2620" s="7"/>
      <c r="N2620" s="7" t="str">
        <f>IFERROR(__xludf.DUMMYFUNCTION("""COMPUTED_VALUE"""),"Sebastián Cáceres|46142")</f>
        <v>Sebastián Cáceres|46142</v>
      </c>
      <c r="O2620" s="7">
        <f>IFERROR(__xludf.DUMMYFUNCTION("""COMPUTED_VALUE"""),5.0)</f>
        <v>5</v>
      </c>
    </row>
    <row r="2621" ht="22.5" hidden="1" customHeight="1">
      <c r="A2621" s="8">
        <v>46012.40803497685</v>
      </c>
      <c r="B2621" s="9">
        <v>46012.0</v>
      </c>
      <c r="C2621" s="9" t="s">
        <v>58</v>
      </c>
      <c r="D2621" s="9" t="s">
        <v>168</v>
      </c>
      <c r="E2621" s="9" t="s">
        <v>17</v>
      </c>
      <c r="F2621" s="9" t="s">
        <v>17</v>
      </c>
      <c r="G2621" s="9" t="s">
        <v>19</v>
      </c>
      <c r="H2621" s="9" t="s">
        <v>22</v>
      </c>
      <c r="I2621" s="9" t="s">
        <v>20</v>
      </c>
      <c r="J2621" s="10"/>
      <c r="K2621" s="1" t="s">
        <v>398</v>
      </c>
      <c r="L2621" s="7"/>
      <c r="M2621" s="7"/>
      <c r="N2621" s="7" t="str">
        <f>IFERROR(__xludf.DUMMYFUNCTION("""COMPUTED_VALUE"""),"Ramón Juárez|46142")</f>
        <v>Ramón Juárez|46142</v>
      </c>
      <c r="O2621" s="7">
        <f>IFERROR(__xludf.DUMMYFUNCTION("""COMPUTED_VALUE"""),6.0)</f>
        <v>6</v>
      </c>
    </row>
    <row r="2622" ht="22.5" hidden="1" customHeight="1">
      <c r="A2622" s="8">
        <v>46012.408312280095</v>
      </c>
      <c r="B2622" s="9">
        <v>46012.0</v>
      </c>
      <c r="C2622" s="9" t="s">
        <v>58</v>
      </c>
      <c r="D2622" s="9" t="s">
        <v>259</v>
      </c>
      <c r="E2622" s="9" t="s">
        <v>17</v>
      </c>
      <c r="F2622" s="9" t="s">
        <v>17</v>
      </c>
      <c r="G2622" s="9" t="s">
        <v>24</v>
      </c>
      <c r="H2622" s="9" t="s">
        <v>22</v>
      </c>
      <c r="I2622" s="9" t="s">
        <v>20</v>
      </c>
      <c r="J2622" s="10"/>
      <c r="K2622" s="1" t="s">
        <v>398</v>
      </c>
      <c r="L2622" s="7"/>
      <c r="M2622" s="7"/>
      <c r="N2622" s="7" t="str">
        <f>IFERROR(__xludf.DUMMYFUNCTION("""COMPUTED_VALUE"""),"Aaron Mejia|46142")</f>
        <v>Aaron Mejia|46142</v>
      </c>
      <c r="O2622" s="7">
        <f>IFERROR(__xludf.DUMMYFUNCTION("""COMPUTED_VALUE"""),4.0)</f>
        <v>4</v>
      </c>
    </row>
    <row r="2623" ht="22.5" hidden="1" customHeight="1">
      <c r="A2623" s="8">
        <v>46012.408646076394</v>
      </c>
      <c r="B2623" s="9">
        <v>46012.0</v>
      </c>
      <c r="C2623" s="9" t="s">
        <v>58</v>
      </c>
      <c r="D2623" s="9" t="s">
        <v>178</v>
      </c>
      <c r="E2623" s="9" t="s">
        <v>17</v>
      </c>
      <c r="F2623" s="9" t="s">
        <v>17</v>
      </c>
      <c r="G2623" s="9" t="s">
        <v>24</v>
      </c>
      <c r="H2623" s="9" t="s">
        <v>22</v>
      </c>
      <c r="I2623" s="9" t="s">
        <v>20</v>
      </c>
      <c r="J2623" s="10"/>
      <c r="K2623" s="1" t="s">
        <v>398</v>
      </c>
      <c r="L2623" s="7"/>
      <c r="M2623" s="7"/>
      <c r="N2623" s="7" t="str">
        <f>IFERROR(__xludf.DUMMYFUNCTION("""COMPUTED_VALUE"""),"Dagoberto Espinoza|46142")</f>
        <v>Dagoberto Espinoza|46142</v>
      </c>
      <c r="O2623" s="7">
        <f>IFERROR(__xludf.DUMMYFUNCTION("""COMPUTED_VALUE"""),3.0)</f>
        <v>3</v>
      </c>
    </row>
    <row r="2624" ht="22.5" hidden="1" customHeight="1">
      <c r="A2624" s="8">
        <v>46012.409001064814</v>
      </c>
      <c r="B2624" s="9">
        <v>46012.0</v>
      </c>
      <c r="C2624" s="9" t="s">
        <v>58</v>
      </c>
      <c r="D2624" s="9" t="s">
        <v>335</v>
      </c>
      <c r="E2624" s="9" t="s">
        <v>17</v>
      </c>
      <c r="F2624" s="9" t="s">
        <v>18</v>
      </c>
      <c r="G2624" s="9" t="s">
        <v>24</v>
      </c>
      <c r="H2624" s="9" t="s">
        <v>25</v>
      </c>
      <c r="I2624" s="9" t="s">
        <v>211</v>
      </c>
      <c r="J2624" s="10"/>
      <c r="K2624" s="1" t="s">
        <v>398</v>
      </c>
      <c r="L2624" s="7"/>
      <c r="M2624" s="7"/>
      <c r="N2624" s="7" t="str">
        <f>IFERROR(__xludf.DUMMYFUNCTION("""COMPUTED_VALUE"""),"Erick Sánchez|46142")</f>
        <v>Erick Sánchez|46142</v>
      </c>
      <c r="O2624" s="7">
        <f>IFERROR(__xludf.DUMMYFUNCTION("""COMPUTED_VALUE"""),5.0)</f>
        <v>5</v>
      </c>
    </row>
    <row r="2625" ht="22.5" hidden="1" customHeight="1">
      <c r="A2625" s="8">
        <v>46012.409509398145</v>
      </c>
      <c r="B2625" s="9">
        <v>46012.0</v>
      </c>
      <c r="C2625" s="9" t="s">
        <v>58</v>
      </c>
      <c r="D2625" s="9" t="s">
        <v>394</v>
      </c>
      <c r="E2625" s="9" t="s">
        <v>17</v>
      </c>
      <c r="F2625" s="9" t="s">
        <v>17</v>
      </c>
      <c r="G2625" s="9" t="s">
        <v>40</v>
      </c>
      <c r="H2625" s="9" t="s">
        <v>22</v>
      </c>
      <c r="I2625" s="9" t="s">
        <v>20</v>
      </c>
      <c r="J2625" s="10"/>
      <c r="K2625" s="1" t="s">
        <v>398</v>
      </c>
      <c r="L2625" s="7"/>
      <c r="M2625" s="7"/>
      <c r="N2625" s="7" t="str">
        <f>IFERROR(__xludf.DUMMYFUNCTION("""COMPUTED_VALUE"""),"Néstor Araujo|46142")</f>
        <v>Néstor Araujo|46142</v>
      </c>
      <c r="O2625" s="7">
        <f>IFERROR(__xludf.DUMMYFUNCTION("""COMPUTED_VALUE"""),5.0)</f>
        <v>5</v>
      </c>
    </row>
    <row r="2626" ht="22.5" hidden="1" customHeight="1">
      <c r="A2626" s="8">
        <v>46012.409934525465</v>
      </c>
      <c r="B2626" s="9">
        <v>46012.0</v>
      </c>
      <c r="C2626" s="9" t="s">
        <v>58</v>
      </c>
      <c r="D2626" s="9" t="s">
        <v>174</v>
      </c>
      <c r="E2626" s="9" t="s">
        <v>17</v>
      </c>
      <c r="F2626" s="9" t="s">
        <v>17</v>
      </c>
      <c r="G2626" s="9" t="s">
        <v>19</v>
      </c>
      <c r="H2626" s="9" t="s">
        <v>22</v>
      </c>
      <c r="I2626" s="9" t="s">
        <v>20</v>
      </c>
      <c r="J2626" s="10"/>
      <c r="K2626" s="1" t="s">
        <v>398</v>
      </c>
      <c r="L2626" s="7"/>
      <c r="M2626" s="7"/>
      <c r="N2626" s="7" t="str">
        <f>IFERROR(__xludf.DUMMYFUNCTION("""COMPUTED_VALUE"""),"Paolo Bedolla|46142")</f>
        <v>Paolo Bedolla|46142</v>
      </c>
      <c r="O2626" s="7">
        <f>IFERROR(__xludf.DUMMYFUNCTION("""COMPUTED_VALUE"""),4.0)</f>
        <v>4</v>
      </c>
    </row>
    <row r="2627" ht="22.5" hidden="1" customHeight="1">
      <c r="A2627" s="8">
        <v>46012.410468587965</v>
      </c>
      <c r="B2627" s="9">
        <v>46012.0</v>
      </c>
      <c r="C2627" s="9" t="s">
        <v>58</v>
      </c>
      <c r="D2627" s="9" t="s">
        <v>257</v>
      </c>
      <c r="E2627" s="9" t="s">
        <v>17</v>
      </c>
      <c r="F2627" s="9" t="s">
        <v>17</v>
      </c>
      <c r="G2627" s="9" t="s">
        <v>24</v>
      </c>
      <c r="H2627" s="9" t="s">
        <v>25</v>
      </c>
      <c r="I2627" s="9" t="s">
        <v>67</v>
      </c>
      <c r="J2627" s="10"/>
      <c r="K2627" s="1" t="s">
        <v>398</v>
      </c>
      <c r="L2627" s="7"/>
      <c r="M2627" s="7"/>
      <c r="N2627" s="7" t="str">
        <f>IFERROR(__xludf.DUMMYFUNCTION("""COMPUTED_VALUE"""),"Raphael Veiga|46142")</f>
        <v>Raphael Veiga|46142</v>
      </c>
      <c r="O2627" s="7">
        <f>IFERROR(__xludf.DUMMYFUNCTION("""COMPUTED_VALUE"""),4.0)</f>
        <v>4</v>
      </c>
    </row>
    <row r="2628" ht="22.5" hidden="1" customHeight="1">
      <c r="A2628" s="8">
        <v>46012.41076921296</v>
      </c>
      <c r="B2628" s="9">
        <v>46012.0</v>
      </c>
      <c r="C2628" s="9" t="s">
        <v>58</v>
      </c>
      <c r="D2628" s="9" t="s">
        <v>223</v>
      </c>
      <c r="E2628" s="9" t="s">
        <v>17</v>
      </c>
      <c r="F2628" s="9" t="s">
        <v>17</v>
      </c>
      <c r="G2628" s="9" t="s">
        <v>19</v>
      </c>
      <c r="H2628" s="9" t="s">
        <v>22</v>
      </c>
      <c r="I2628" s="9" t="s">
        <v>20</v>
      </c>
      <c r="J2628" s="10"/>
      <c r="K2628" s="1" t="s">
        <v>398</v>
      </c>
      <c r="L2628" s="7"/>
      <c r="M2628" s="7"/>
      <c r="N2628" s="7" t="str">
        <f>IFERROR(__xludf.DUMMYFUNCTION("""COMPUTED_VALUE"""),"Alan Cervantes|46143")</f>
        <v>Alan Cervantes|46143</v>
      </c>
      <c r="O2628" s="7">
        <f>IFERROR(__xludf.DUMMYFUNCTION("""COMPUTED_VALUE"""),5.0)</f>
        <v>5</v>
      </c>
    </row>
    <row r="2629" ht="22.5" hidden="1" customHeight="1">
      <c r="A2629" s="8">
        <v>46012.41105765046</v>
      </c>
      <c r="B2629" s="9">
        <v>46012.0</v>
      </c>
      <c r="C2629" s="9" t="s">
        <v>58</v>
      </c>
      <c r="D2629" s="9" t="s">
        <v>247</v>
      </c>
      <c r="E2629" s="9" t="s">
        <v>17</v>
      </c>
      <c r="F2629" s="9" t="s">
        <v>17</v>
      </c>
      <c r="G2629" s="9" t="s">
        <v>24</v>
      </c>
      <c r="H2629" s="9" t="s">
        <v>62</v>
      </c>
      <c r="I2629" s="9" t="s">
        <v>20</v>
      </c>
      <c r="J2629" s="10"/>
      <c r="K2629" s="1" t="s">
        <v>398</v>
      </c>
      <c r="L2629" s="7"/>
      <c r="M2629" s="7"/>
      <c r="N2629" s="7" t="str">
        <f>IFERROR(__xludf.DUMMYFUNCTION("""COMPUTED_VALUE"""),"Jonathan Dos Santos|46143")</f>
        <v>Jonathan Dos Santos|46143</v>
      </c>
      <c r="O2629" s="7">
        <f>IFERROR(__xludf.DUMMYFUNCTION("""COMPUTED_VALUE"""),3.0)</f>
        <v>3</v>
      </c>
    </row>
    <row r="2630" ht="22.5" hidden="1" customHeight="1">
      <c r="A2630" s="8">
        <v>46012.411354027776</v>
      </c>
      <c r="B2630" s="9">
        <v>46012.0</v>
      </c>
      <c r="C2630" s="9" t="s">
        <v>58</v>
      </c>
      <c r="D2630" s="9" t="s">
        <v>170</v>
      </c>
      <c r="E2630" s="9" t="s">
        <v>17</v>
      </c>
      <c r="F2630" s="9" t="s">
        <v>17</v>
      </c>
      <c r="G2630" s="9" t="s">
        <v>19</v>
      </c>
      <c r="H2630" s="9" t="s">
        <v>25</v>
      </c>
      <c r="I2630" s="9" t="s">
        <v>28</v>
      </c>
      <c r="J2630" s="10"/>
      <c r="K2630" s="1" t="s">
        <v>398</v>
      </c>
      <c r="L2630" s="7"/>
      <c r="M2630" s="7"/>
      <c r="N2630" s="7" t="str">
        <f>IFERROR(__xludf.DUMMYFUNCTION("""COMPUTED_VALUE"""),"Miguel Vázquez|46143")</f>
        <v>Miguel Vázquez|46143</v>
      </c>
      <c r="O2630" s="7">
        <f>IFERROR(__xludf.DUMMYFUNCTION("""COMPUTED_VALUE"""),3.0)</f>
        <v>3</v>
      </c>
    </row>
    <row r="2631" ht="22.5" hidden="1" customHeight="1">
      <c r="A2631" s="8">
        <v>46012.411611435185</v>
      </c>
      <c r="B2631" s="9">
        <v>46012.0</v>
      </c>
      <c r="C2631" s="9" t="s">
        <v>58</v>
      </c>
      <c r="D2631" s="9" t="s">
        <v>361</v>
      </c>
      <c r="E2631" s="9" t="s">
        <v>17</v>
      </c>
      <c r="F2631" s="9" t="s">
        <v>17</v>
      </c>
      <c r="G2631" s="9" t="s">
        <v>24</v>
      </c>
      <c r="H2631" s="9" t="s">
        <v>22</v>
      </c>
      <c r="I2631" s="9" t="s">
        <v>20</v>
      </c>
      <c r="J2631" s="10"/>
      <c r="K2631" s="1" t="s">
        <v>398</v>
      </c>
      <c r="L2631" s="7"/>
      <c r="M2631" s="7"/>
      <c r="N2631" s="7" t="str">
        <f>IFERROR(__xludf.DUMMYFUNCTION("""COMPUTED_VALUE"""),"Dagoberto Espinoza|46143")</f>
        <v>Dagoberto Espinoza|46143</v>
      </c>
      <c r="O2631" s="7">
        <f>IFERROR(__xludf.DUMMYFUNCTION("""COMPUTED_VALUE"""),5.0)</f>
        <v>5</v>
      </c>
    </row>
    <row r="2632" ht="22.5" hidden="1" customHeight="1">
      <c r="A2632" s="8">
        <v>46012.41193630787</v>
      </c>
      <c r="B2632" s="9">
        <v>46012.0</v>
      </c>
      <c r="C2632" s="9" t="s">
        <v>58</v>
      </c>
      <c r="D2632" s="9" t="s">
        <v>395</v>
      </c>
      <c r="E2632" s="9" t="s">
        <v>17</v>
      </c>
      <c r="F2632" s="9" t="s">
        <v>17</v>
      </c>
      <c r="G2632" s="9" t="s">
        <v>24</v>
      </c>
      <c r="H2632" s="9" t="s">
        <v>22</v>
      </c>
      <c r="I2632" s="9" t="s">
        <v>20</v>
      </c>
      <c r="J2632" s="10"/>
      <c r="K2632" s="1" t="s">
        <v>398</v>
      </c>
      <c r="L2632" s="7"/>
      <c r="M2632" s="7"/>
      <c r="N2632" s="7" t="str">
        <f>IFERROR(__xludf.DUMMYFUNCTION("""COMPUTED_VALUE"""),"Rodrigo Dourado|46143")</f>
        <v>Rodrigo Dourado|46143</v>
      </c>
      <c r="O2632" s="7">
        <f>IFERROR(__xludf.DUMMYFUNCTION("""COMPUTED_VALUE"""),3.0)</f>
        <v>3</v>
      </c>
    </row>
    <row r="2633" ht="22.5" hidden="1" customHeight="1">
      <c r="A2633" s="8">
        <v>46012.41230246528</v>
      </c>
      <c r="B2633" s="9">
        <v>46012.0</v>
      </c>
      <c r="C2633" s="9" t="s">
        <v>58</v>
      </c>
      <c r="D2633" s="9" t="s">
        <v>393</v>
      </c>
      <c r="E2633" s="9" t="s">
        <v>17</v>
      </c>
      <c r="F2633" s="9" t="s">
        <v>17</v>
      </c>
      <c r="G2633" s="9" t="s">
        <v>24</v>
      </c>
      <c r="H2633" s="9" t="s">
        <v>25</v>
      </c>
      <c r="I2633" s="9" t="s">
        <v>37</v>
      </c>
      <c r="J2633" s="10"/>
      <c r="K2633" s="1" t="s">
        <v>398</v>
      </c>
      <c r="L2633" s="7"/>
      <c r="M2633" s="7"/>
      <c r="N2633" s="7" t="str">
        <f>IFERROR(__xludf.DUMMYFUNCTION("""COMPUTED_VALUE"""),"Cristian Borja|46143")</f>
        <v>Cristian Borja|46143</v>
      </c>
      <c r="O2633" s="7">
        <f>IFERROR(__xludf.DUMMYFUNCTION("""COMPUTED_VALUE"""),3.0)</f>
        <v>3</v>
      </c>
    </row>
    <row r="2634" ht="22.5" hidden="1" customHeight="1">
      <c r="A2634" s="8">
        <v>46012.416488877316</v>
      </c>
      <c r="B2634" s="9">
        <v>46012.0</v>
      </c>
      <c r="C2634" s="9" t="s">
        <v>58</v>
      </c>
      <c r="D2634" s="9" t="s">
        <v>397</v>
      </c>
      <c r="E2634" s="9" t="s">
        <v>46</v>
      </c>
      <c r="F2634" s="9" t="s">
        <v>60</v>
      </c>
      <c r="G2634" s="9" t="s">
        <v>24</v>
      </c>
      <c r="H2634" s="9" t="s">
        <v>22</v>
      </c>
      <c r="I2634" s="9" t="s">
        <v>20</v>
      </c>
      <c r="J2634" s="10"/>
      <c r="K2634" s="1" t="s">
        <v>398</v>
      </c>
      <c r="L2634" s="7"/>
      <c r="M2634" s="7"/>
      <c r="N2634" s="7" t="str">
        <f>IFERROR(__xludf.DUMMYFUNCTION("""COMPUTED_VALUE"""),"Patricio Salas|46143")</f>
        <v>Patricio Salas|46143</v>
      </c>
      <c r="O2634" s="7">
        <f>IFERROR(__xludf.DUMMYFUNCTION("""COMPUTED_VALUE"""),4.0)</f>
        <v>4</v>
      </c>
    </row>
    <row r="2635" ht="22.5" hidden="1" customHeight="1">
      <c r="A2635" s="8">
        <v>46012.41720302083</v>
      </c>
      <c r="B2635" s="9">
        <v>46012.0</v>
      </c>
      <c r="C2635" s="9" t="s">
        <v>58</v>
      </c>
      <c r="D2635" s="9" t="s">
        <v>367</v>
      </c>
      <c r="E2635" s="9" t="s">
        <v>17</v>
      </c>
      <c r="F2635" s="9" t="s">
        <v>17</v>
      </c>
      <c r="G2635" s="9" t="s">
        <v>24</v>
      </c>
      <c r="H2635" s="9" t="s">
        <v>25</v>
      </c>
      <c r="I2635" s="9" t="s">
        <v>41</v>
      </c>
      <c r="J2635" s="10"/>
      <c r="K2635" s="1" t="s">
        <v>398</v>
      </c>
      <c r="L2635" s="7"/>
      <c r="M2635" s="7"/>
      <c r="N2635" s="7" t="str">
        <f>IFERROR(__xludf.DUMMYFUNCTION("""COMPUTED_VALUE"""),"Alejando Zendejas|46143")</f>
        <v>Alejando Zendejas|46143</v>
      </c>
      <c r="O2635" s="7">
        <f>IFERROR(__xludf.DUMMYFUNCTION("""COMPUTED_VALUE"""),3.0)</f>
        <v>3</v>
      </c>
    </row>
    <row r="2636" ht="22.5" hidden="1" customHeight="1">
      <c r="A2636" s="8">
        <v>46012.417760729164</v>
      </c>
      <c r="B2636" s="9">
        <v>46012.0</v>
      </c>
      <c r="C2636" s="9" t="s">
        <v>58</v>
      </c>
      <c r="D2636" s="9" t="s">
        <v>175</v>
      </c>
      <c r="E2636" s="9" t="s">
        <v>17</v>
      </c>
      <c r="F2636" s="9" t="s">
        <v>17</v>
      </c>
      <c r="G2636" s="9" t="s">
        <v>24</v>
      </c>
      <c r="H2636" s="9" t="s">
        <v>17</v>
      </c>
      <c r="I2636" s="9" t="s">
        <v>20</v>
      </c>
      <c r="J2636" s="10"/>
      <c r="K2636" s="1" t="s">
        <v>398</v>
      </c>
      <c r="L2636" s="7"/>
      <c r="M2636" s="7"/>
      <c r="N2636" s="7" t="str">
        <f>IFERROR(__xludf.DUMMYFUNCTION("""COMPUTED_VALUE"""),"Kevin Álvarez|46143")</f>
        <v>Kevin Álvarez|46143</v>
      </c>
      <c r="O2636" s="7">
        <f>IFERROR(__xludf.DUMMYFUNCTION("""COMPUTED_VALUE"""),5.0)</f>
        <v>5</v>
      </c>
    </row>
    <row r="2637" ht="22.5" hidden="1" customHeight="1">
      <c r="A2637" s="8">
        <v>46012.417966493056</v>
      </c>
      <c r="B2637" s="9">
        <v>46012.0</v>
      </c>
      <c r="C2637" s="9" t="s">
        <v>58</v>
      </c>
      <c r="D2637" s="9" t="s">
        <v>249</v>
      </c>
      <c r="E2637" s="9" t="s">
        <v>17</v>
      </c>
      <c r="F2637" s="9" t="s">
        <v>17</v>
      </c>
      <c r="G2637" s="9" t="s">
        <v>24</v>
      </c>
      <c r="H2637" s="9" t="s">
        <v>17</v>
      </c>
      <c r="I2637" s="9" t="s">
        <v>20</v>
      </c>
      <c r="J2637" s="10"/>
      <c r="K2637" s="1" t="s">
        <v>398</v>
      </c>
      <c r="L2637" s="7"/>
      <c r="M2637" s="7"/>
      <c r="N2637" s="7" t="str">
        <f>IFERROR(__xludf.DUMMYFUNCTION("""COMPUTED_VALUE"""),"Erick Sánchez|46143")</f>
        <v>Erick Sánchez|46143</v>
      </c>
      <c r="O2637" s="7">
        <f>IFERROR(__xludf.DUMMYFUNCTION("""COMPUTED_VALUE"""),3.0)</f>
        <v>3</v>
      </c>
    </row>
    <row r="2638" ht="22.5" hidden="1" customHeight="1">
      <c r="A2638" s="8">
        <v>46013.335654027775</v>
      </c>
      <c r="B2638" s="9">
        <v>46013.0</v>
      </c>
      <c r="C2638" s="9" t="s">
        <v>86</v>
      </c>
      <c r="D2638" s="9" t="s">
        <v>171</v>
      </c>
      <c r="E2638" s="9" t="s">
        <v>17</v>
      </c>
      <c r="F2638" s="9" t="s">
        <v>17</v>
      </c>
      <c r="G2638" s="9" t="s">
        <v>24</v>
      </c>
      <c r="H2638" s="9" t="s">
        <v>22</v>
      </c>
      <c r="I2638" s="9" t="s">
        <v>20</v>
      </c>
      <c r="J2638" s="10"/>
      <c r="K2638" s="1" t="s">
        <v>398</v>
      </c>
      <c r="L2638" s="7"/>
      <c r="M2638" s="7"/>
      <c r="N2638" s="7" t="str">
        <f>IFERROR(__xludf.DUMMYFUNCTION("""COMPUTED_VALUE"""),"Vinícius Lima|46143")</f>
        <v>Vinícius Lima|46143</v>
      </c>
      <c r="O2638" s="7">
        <f>IFERROR(__xludf.DUMMYFUNCTION("""COMPUTED_VALUE"""),3.0)</f>
        <v>3</v>
      </c>
    </row>
    <row r="2639" ht="22.5" hidden="1" customHeight="1">
      <c r="A2639" s="8">
        <v>46013.33618799769</v>
      </c>
      <c r="B2639" s="9">
        <v>46013.0</v>
      </c>
      <c r="C2639" s="9" t="s">
        <v>86</v>
      </c>
      <c r="D2639" s="9" t="s">
        <v>168</v>
      </c>
      <c r="E2639" s="9" t="s">
        <v>17</v>
      </c>
      <c r="F2639" s="9" t="s">
        <v>17</v>
      </c>
      <c r="G2639" s="9" t="s">
        <v>24</v>
      </c>
      <c r="H2639" s="9" t="s">
        <v>22</v>
      </c>
      <c r="I2639" s="9" t="s">
        <v>20</v>
      </c>
      <c r="J2639" s="10"/>
      <c r="K2639" s="1" t="s">
        <v>398</v>
      </c>
      <c r="L2639" s="7"/>
      <c r="M2639" s="7"/>
      <c r="N2639" s="7" t="str">
        <f>IFERROR(__xludf.DUMMYFUNCTION("""COMPUTED_VALUE"""),"Santiago Naveda|46143")</f>
        <v>Santiago Naveda|46143</v>
      </c>
      <c r="O2639" s="7">
        <f>IFERROR(__xludf.DUMMYFUNCTION("""COMPUTED_VALUE"""),3.0)</f>
        <v>3</v>
      </c>
    </row>
    <row r="2640" ht="22.5" hidden="1" customHeight="1">
      <c r="A2640" s="8">
        <v>46013.33657557871</v>
      </c>
      <c r="B2640" s="9">
        <v>46013.0</v>
      </c>
      <c r="C2640" s="9" t="s">
        <v>86</v>
      </c>
      <c r="D2640" s="9" t="s">
        <v>178</v>
      </c>
      <c r="E2640" s="9" t="s">
        <v>30</v>
      </c>
      <c r="F2640" s="9" t="s">
        <v>17</v>
      </c>
      <c r="G2640" s="9" t="s">
        <v>24</v>
      </c>
      <c r="H2640" s="9" t="s">
        <v>22</v>
      </c>
      <c r="I2640" s="9" t="s">
        <v>20</v>
      </c>
      <c r="J2640" s="10"/>
      <c r="K2640" s="1" t="s">
        <v>398</v>
      </c>
      <c r="L2640" s="7"/>
      <c r="M2640" s="7"/>
      <c r="N2640" s="7" t="str">
        <f>IFERROR(__xludf.DUMMYFUNCTION("""COMPUTED_VALUE"""),"Rodolfo Cota|46143")</f>
        <v>Rodolfo Cota|46143</v>
      </c>
      <c r="O2640" s="7">
        <f>IFERROR(__xludf.DUMMYFUNCTION("""COMPUTED_VALUE"""),2.0)</f>
        <v>2</v>
      </c>
    </row>
    <row r="2641" ht="22.5" hidden="1" customHeight="1">
      <c r="A2641" s="8">
        <v>46013.33698266203</v>
      </c>
      <c r="B2641" s="9">
        <v>46013.0</v>
      </c>
      <c r="C2641" s="9" t="s">
        <v>86</v>
      </c>
      <c r="D2641" s="9" t="s">
        <v>174</v>
      </c>
      <c r="E2641" s="9" t="s">
        <v>44</v>
      </c>
      <c r="F2641" s="9" t="s">
        <v>17</v>
      </c>
      <c r="G2641" s="9" t="s">
        <v>24</v>
      </c>
      <c r="H2641" s="9" t="s">
        <v>22</v>
      </c>
      <c r="I2641" s="9" t="s">
        <v>20</v>
      </c>
      <c r="J2641" s="10"/>
      <c r="K2641" s="1" t="s">
        <v>398</v>
      </c>
      <c r="L2641" s="7"/>
      <c r="M2641" s="7"/>
      <c r="N2641" s="7" t="str">
        <f>IFERROR(__xludf.DUMMYFUNCTION("""COMPUTED_VALUE"""),"Néstor Araujo|46143")</f>
        <v>Néstor Araujo|46143</v>
      </c>
      <c r="O2641" s="7">
        <f>IFERROR(__xludf.DUMMYFUNCTION("""COMPUTED_VALUE"""),5.0)</f>
        <v>5</v>
      </c>
    </row>
    <row r="2642" ht="22.5" hidden="1" customHeight="1">
      <c r="A2642" s="8">
        <v>46013.33732827546</v>
      </c>
      <c r="B2642" s="9">
        <v>46013.0</v>
      </c>
      <c r="C2642" s="9" t="s">
        <v>86</v>
      </c>
      <c r="D2642" s="9" t="s">
        <v>257</v>
      </c>
      <c r="E2642" s="9" t="s">
        <v>17</v>
      </c>
      <c r="F2642" s="9" t="s">
        <v>17</v>
      </c>
      <c r="G2642" s="9" t="s">
        <v>24</v>
      </c>
      <c r="H2642" s="9" t="s">
        <v>25</v>
      </c>
      <c r="I2642" s="9" t="s">
        <v>67</v>
      </c>
      <c r="J2642" s="10"/>
      <c r="K2642" s="1" t="s">
        <v>398</v>
      </c>
      <c r="L2642" s="7"/>
      <c r="M2642" s="7"/>
      <c r="N2642" s="7" t="str">
        <f>IFERROR(__xludf.DUMMYFUNCTION("""COMPUTED_VALUE"""),"Henry Martín|46143")</f>
        <v>Henry Martín|46143</v>
      </c>
      <c r="O2642" s="7">
        <f>IFERROR(__xludf.DUMMYFUNCTION("""COMPUTED_VALUE"""),5.0)</f>
        <v>5</v>
      </c>
    </row>
    <row r="2643" ht="22.5" hidden="1" customHeight="1">
      <c r="A2643" s="8">
        <v>46013.33771087963</v>
      </c>
      <c r="B2643" s="9">
        <v>46013.0</v>
      </c>
      <c r="C2643" s="9" t="s">
        <v>86</v>
      </c>
      <c r="D2643" s="9" t="s">
        <v>249</v>
      </c>
      <c r="E2643" s="9" t="s">
        <v>30</v>
      </c>
      <c r="F2643" s="9" t="s">
        <v>18</v>
      </c>
      <c r="G2643" s="9" t="s">
        <v>19</v>
      </c>
      <c r="H2643" s="9" t="s">
        <v>22</v>
      </c>
      <c r="I2643" s="9" t="s">
        <v>20</v>
      </c>
      <c r="J2643" s="10"/>
      <c r="K2643" s="1" t="s">
        <v>398</v>
      </c>
      <c r="L2643" s="7"/>
      <c r="M2643" s="7"/>
      <c r="N2643" s="7" t="str">
        <f>IFERROR(__xludf.DUMMYFUNCTION("""COMPUTED_VALUE"""),"Raphael Veiga|46143")</f>
        <v>Raphael Veiga|46143</v>
      </c>
      <c r="O2643" s="7">
        <f>IFERROR(__xludf.DUMMYFUNCTION("""COMPUTED_VALUE"""),4.0)</f>
        <v>4</v>
      </c>
    </row>
    <row r="2644" ht="22.5" hidden="1" customHeight="1">
      <c r="A2644" s="8">
        <v>46013.33834283565</v>
      </c>
      <c r="B2644" s="9">
        <v>46013.0</v>
      </c>
      <c r="C2644" s="9" t="s">
        <v>86</v>
      </c>
      <c r="D2644" s="9" t="s">
        <v>280</v>
      </c>
      <c r="E2644" s="9" t="s">
        <v>17</v>
      </c>
      <c r="F2644" s="9" t="s">
        <v>17</v>
      </c>
      <c r="G2644" s="9" t="s">
        <v>24</v>
      </c>
      <c r="H2644" s="9" t="s">
        <v>25</v>
      </c>
      <c r="I2644" s="9" t="s">
        <v>67</v>
      </c>
      <c r="J2644" s="10"/>
      <c r="K2644" s="1" t="s">
        <v>398</v>
      </c>
      <c r="L2644" s="7"/>
      <c r="M2644" s="7"/>
      <c r="N2644" s="7" t="str">
        <f>IFERROR(__xludf.DUMMYFUNCTION("""COMPUTED_VALUE"""),"Aaron Mejia|46143")</f>
        <v>Aaron Mejia|46143</v>
      </c>
      <c r="O2644" s="7">
        <f>IFERROR(__xludf.DUMMYFUNCTION("""COMPUTED_VALUE"""),4.0)</f>
        <v>4</v>
      </c>
    </row>
    <row r="2645" ht="22.5" hidden="1" customHeight="1">
      <c r="A2645" s="8">
        <v>46013.34011751157</v>
      </c>
      <c r="B2645" s="9">
        <v>46013.0</v>
      </c>
      <c r="C2645" s="9" t="s">
        <v>86</v>
      </c>
      <c r="D2645" s="9" t="s">
        <v>357</v>
      </c>
      <c r="E2645" s="9" t="s">
        <v>17</v>
      </c>
      <c r="F2645" s="9" t="s">
        <v>17</v>
      </c>
      <c r="G2645" s="9" t="s">
        <v>24</v>
      </c>
      <c r="H2645" s="9" t="s">
        <v>22</v>
      </c>
      <c r="I2645" s="9" t="s">
        <v>20</v>
      </c>
      <c r="J2645" s="10"/>
      <c r="K2645" s="1" t="s">
        <v>398</v>
      </c>
      <c r="L2645" s="7"/>
      <c r="M2645" s="7"/>
      <c r="N2645" s="7" t="str">
        <f>IFERROR(__xludf.DUMMYFUNCTION("""COMPUTED_VALUE"""),"Fernando Tapia|46143")</f>
        <v>Fernando Tapia|46143</v>
      </c>
      <c r="O2645" s="7">
        <f>IFERROR(__xludf.DUMMYFUNCTION("""COMPUTED_VALUE"""),4.0)</f>
        <v>4</v>
      </c>
    </row>
    <row r="2646" ht="22.5" hidden="1" customHeight="1">
      <c r="A2646" s="8">
        <v>46013.342919675924</v>
      </c>
      <c r="B2646" s="9">
        <v>46013.0</v>
      </c>
      <c r="C2646" s="9" t="s">
        <v>86</v>
      </c>
      <c r="D2646" s="9" t="s">
        <v>223</v>
      </c>
      <c r="E2646" s="9" t="s">
        <v>17</v>
      </c>
      <c r="F2646" s="9" t="s">
        <v>18</v>
      </c>
      <c r="G2646" s="9" t="s">
        <v>24</v>
      </c>
      <c r="H2646" s="9" t="s">
        <v>22</v>
      </c>
      <c r="I2646" s="9" t="s">
        <v>20</v>
      </c>
      <c r="J2646" s="10"/>
      <c r="K2646" s="1" t="s">
        <v>398</v>
      </c>
      <c r="L2646" s="7"/>
      <c r="M2646" s="7"/>
      <c r="N2646" s="7" t="str">
        <f>IFERROR(__xludf.DUMMYFUNCTION("""COMPUTED_VALUE"""),"Alexis Gutiérrez|46143")</f>
        <v>Alexis Gutiérrez|46143</v>
      </c>
      <c r="O2646" s="7">
        <f>IFERROR(__xludf.DUMMYFUNCTION("""COMPUTED_VALUE"""),3.0)</f>
        <v>3</v>
      </c>
    </row>
    <row r="2647" ht="22.5" hidden="1" customHeight="1">
      <c r="A2647" s="8">
        <v>46013.343977303244</v>
      </c>
      <c r="B2647" s="9">
        <v>46013.0</v>
      </c>
      <c r="C2647" s="9" t="s">
        <v>86</v>
      </c>
      <c r="D2647" s="9" t="s">
        <v>259</v>
      </c>
      <c r="E2647" s="9" t="s">
        <v>46</v>
      </c>
      <c r="F2647" s="9" t="s">
        <v>17</v>
      </c>
      <c r="G2647" s="9" t="s">
        <v>24</v>
      </c>
      <c r="H2647" s="9" t="s">
        <v>22</v>
      </c>
      <c r="I2647" s="9" t="s">
        <v>20</v>
      </c>
      <c r="J2647" s="10"/>
      <c r="K2647" s="1" t="s">
        <v>398</v>
      </c>
      <c r="L2647" s="7"/>
      <c r="M2647" s="7"/>
      <c r="N2647" s="7" t="str">
        <f>IFERROR(__xludf.DUMMYFUNCTION("""COMPUTED_VALUE"""),"Isaías Violante|46143")</f>
        <v>Isaías Violante|46143</v>
      </c>
      <c r="O2647" s="7">
        <f>IFERROR(__xludf.DUMMYFUNCTION("""COMPUTED_VALUE"""),4.0)</f>
        <v>4</v>
      </c>
    </row>
    <row r="2648" ht="22.5" hidden="1" customHeight="1">
      <c r="A2648" s="8">
        <v>46013.35667259259</v>
      </c>
      <c r="B2648" s="9">
        <v>46013.0</v>
      </c>
      <c r="C2648" s="9" t="s">
        <v>86</v>
      </c>
      <c r="D2648" s="9" t="s">
        <v>361</v>
      </c>
      <c r="E2648" s="9" t="s">
        <v>17</v>
      </c>
      <c r="F2648" s="9" t="s">
        <v>17</v>
      </c>
      <c r="G2648" s="9" t="s">
        <v>24</v>
      </c>
      <c r="H2648" s="9" t="s">
        <v>22</v>
      </c>
      <c r="I2648" s="9" t="s">
        <v>20</v>
      </c>
      <c r="J2648" s="10"/>
      <c r="K2648" s="1" t="s">
        <v>398</v>
      </c>
      <c r="L2648" s="7"/>
      <c r="M2648" s="7"/>
      <c r="N2648" s="7" t="str">
        <f>IFERROR(__xludf.DUMMYFUNCTION("""COMPUTED_VALUE"""),"Ramón Juárez|46143")</f>
        <v>Ramón Juárez|46143</v>
      </c>
      <c r="O2648" s="7">
        <f>IFERROR(__xludf.DUMMYFUNCTION("""COMPUTED_VALUE"""),6.0)</f>
        <v>6</v>
      </c>
    </row>
    <row r="2649" ht="22.5" hidden="1" customHeight="1">
      <c r="A2649" s="8">
        <v>46013.3570225</v>
      </c>
      <c r="B2649" s="9">
        <v>46013.0</v>
      </c>
      <c r="C2649" s="9" t="s">
        <v>86</v>
      </c>
      <c r="D2649" s="9" t="s">
        <v>395</v>
      </c>
      <c r="E2649" s="9" t="s">
        <v>17</v>
      </c>
      <c r="F2649" s="9" t="s">
        <v>17</v>
      </c>
      <c r="G2649" s="9" t="s">
        <v>24</v>
      </c>
      <c r="H2649" s="9" t="s">
        <v>22</v>
      </c>
      <c r="I2649" s="9" t="s">
        <v>20</v>
      </c>
      <c r="J2649" s="10"/>
      <c r="K2649" s="1" t="s">
        <v>398</v>
      </c>
      <c r="L2649" s="7"/>
      <c r="M2649" s="7"/>
      <c r="N2649" s="7" t="str">
        <f>IFERROR(__xludf.DUMMYFUNCTION("""COMPUTED_VALUE"""),"Sebastián Cáceres|46143")</f>
        <v>Sebastián Cáceres|46143</v>
      </c>
      <c r="O2649" s="7">
        <f>IFERROR(__xludf.DUMMYFUNCTION("""COMPUTED_VALUE"""),4.0)</f>
        <v>4</v>
      </c>
    </row>
    <row r="2650" ht="22.5" hidden="1" customHeight="1">
      <c r="A2650" s="8">
        <v>46013.357438391206</v>
      </c>
      <c r="B2650" s="9">
        <v>46013.0</v>
      </c>
      <c r="C2650" s="9" t="s">
        <v>86</v>
      </c>
      <c r="D2650" s="9" t="s">
        <v>393</v>
      </c>
      <c r="E2650" s="9" t="s">
        <v>46</v>
      </c>
      <c r="F2650" s="9" t="s">
        <v>17</v>
      </c>
      <c r="G2650" s="9" t="s">
        <v>24</v>
      </c>
      <c r="H2650" s="9" t="s">
        <v>22</v>
      </c>
      <c r="I2650" s="9" t="s">
        <v>20</v>
      </c>
      <c r="J2650" s="10"/>
      <c r="K2650" s="1" t="s">
        <v>398</v>
      </c>
      <c r="L2650" s="7"/>
      <c r="M2650" s="7"/>
      <c r="N2650" s="7" t="str">
        <f>IFERROR(__xludf.DUMMYFUNCTION("""COMPUTED_VALUE"""),"Thiago Espinosa|46143")</f>
        <v>Thiago Espinosa|46143</v>
      </c>
      <c r="O2650" s="7">
        <f>IFERROR(__xludf.DUMMYFUNCTION("""COMPUTED_VALUE"""),4.0)</f>
        <v>4</v>
      </c>
    </row>
    <row r="2651" ht="22.5" hidden="1" customHeight="1">
      <c r="A2651" s="8">
        <v>46013.35799391204</v>
      </c>
      <c r="B2651" s="9">
        <v>46013.0</v>
      </c>
      <c r="C2651" s="9" t="s">
        <v>86</v>
      </c>
      <c r="D2651" s="9" t="s">
        <v>247</v>
      </c>
      <c r="E2651" s="9" t="s">
        <v>46</v>
      </c>
      <c r="F2651" s="9" t="s">
        <v>60</v>
      </c>
      <c r="G2651" s="9" t="s">
        <v>40</v>
      </c>
      <c r="H2651" s="9" t="s">
        <v>22</v>
      </c>
      <c r="I2651" s="9" t="s">
        <v>20</v>
      </c>
      <c r="J2651" s="10"/>
      <c r="K2651" s="1" t="s">
        <v>398</v>
      </c>
      <c r="L2651" s="7"/>
      <c r="M2651" s="7"/>
      <c r="N2651" s="7" t="str">
        <f>IFERROR(__xludf.DUMMYFUNCTION("""COMPUTED_VALUE"""),"Henry Martín|46147")</f>
        <v>Henry Martín|46147</v>
      </c>
      <c r="O2651" s="7">
        <f>IFERROR(__xludf.DUMMYFUNCTION("""COMPUTED_VALUE"""),5.0)</f>
        <v>5</v>
      </c>
    </row>
    <row r="2652" ht="22.5" hidden="1" customHeight="1">
      <c r="A2652" s="8">
        <v>46013.3583334838</v>
      </c>
      <c r="B2652" s="9">
        <v>46013.0</v>
      </c>
      <c r="C2652" s="9" t="s">
        <v>86</v>
      </c>
      <c r="D2652" s="9" t="s">
        <v>177</v>
      </c>
      <c r="E2652" s="9" t="s">
        <v>46</v>
      </c>
      <c r="F2652" s="9" t="s">
        <v>17</v>
      </c>
      <c r="G2652" s="9" t="s">
        <v>24</v>
      </c>
      <c r="H2652" s="9" t="s">
        <v>22</v>
      </c>
      <c r="I2652" s="9" t="s">
        <v>20</v>
      </c>
      <c r="J2652" s="10"/>
      <c r="K2652" s="1" t="s">
        <v>398</v>
      </c>
      <c r="L2652" s="7"/>
      <c r="M2652" s="7"/>
      <c r="N2652" s="7" t="str">
        <f>IFERROR(__xludf.DUMMYFUNCTION("""COMPUTED_VALUE"""),"Dagoberto Espinoza|46147")</f>
        <v>Dagoberto Espinoza|46147</v>
      </c>
      <c r="O2652" s="7">
        <f>IFERROR(__xludf.DUMMYFUNCTION("""COMPUTED_VALUE"""),6.0)</f>
        <v>6</v>
      </c>
    </row>
    <row r="2653" ht="22.5" hidden="1" customHeight="1">
      <c r="A2653" s="8">
        <v>46013.358621203704</v>
      </c>
      <c r="B2653" s="9">
        <v>46013.0</v>
      </c>
      <c r="C2653" s="9" t="s">
        <v>86</v>
      </c>
      <c r="D2653" s="9" t="s">
        <v>258</v>
      </c>
      <c r="E2653" s="9" t="s">
        <v>17</v>
      </c>
      <c r="F2653" s="9" t="s">
        <v>17</v>
      </c>
      <c r="G2653" s="9" t="s">
        <v>24</v>
      </c>
      <c r="H2653" s="9" t="s">
        <v>22</v>
      </c>
      <c r="I2653" s="9" t="s">
        <v>20</v>
      </c>
      <c r="J2653" s="10"/>
      <c r="K2653" s="1" t="s">
        <v>398</v>
      </c>
      <c r="L2653" s="7"/>
      <c r="M2653" s="7"/>
      <c r="N2653" s="7" t="str">
        <f>IFERROR(__xludf.DUMMYFUNCTION("""COMPUTED_VALUE"""),"Santiago Naveda|46147")</f>
        <v>Santiago Naveda|46147</v>
      </c>
      <c r="O2653" s="7">
        <f>IFERROR(__xludf.DUMMYFUNCTION("""COMPUTED_VALUE"""),5.0)</f>
        <v>5</v>
      </c>
    </row>
    <row r="2654" ht="22.5" hidden="1" customHeight="1">
      <c r="A2654" s="8">
        <v>46013.35895483797</v>
      </c>
      <c r="B2654" s="9">
        <v>46013.0</v>
      </c>
      <c r="C2654" s="9" t="s">
        <v>86</v>
      </c>
      <c r="D2654" s="9" t="s">
        <v>396</v>
      </c>
      <c r="E2654" s="9" t="s">
        <v>17</v>
      </c>
      <c r="F2654" s="9" t="s">
        <v>17</v>
      </c>
      <c r="G2654" s="9" t="s">
        <v>40</v>
      </c>
      <c r="H2654" s="9" t="s">
        <v>22</v>
      </c>
      <c r="I2654" s="9" t="s">
        <v>20</v>
      </c>
      <c r="J2654" s="10"/>
      <c r="K2654" s="1" t="s">
        <v>398</v>
      </c>
      <c r="L2654" s="7"/>
      <c r="M2654" s="7"/>
      <c r="N2654" s="7" t="str">
        <f>IFERROR(__xludf.DUMMYFUNCTION("""COMPUTED_VALUE"""),"Fernando Tapia|46147")</f>
        <v>Fernando Tapia|46147</v>
      </c>
      <c r="O2654" s="7">
        <f>IFERROR(__xludf.DUMMYFUNCTION("""COMPUTED_VALUE"""),4.0)</f>
        <v>4</v>
      </c>
    </row>
    <row r="2655" ht="22.5" hidden="1" customHeight="1">
      <c r="A2655" s="8">
        <v>46013.35930568287</v>
      </c>
      <c r="B2655" s="9">
        <v>46013.0</v>
      </c>
      <c r="C2655" s="9" t="s">
        <v>86</v>
      </c>
      <c r="D2655" s="9" t="s">
        <v>259</v>
      </c>
      <c r="E2655" s="9" t="s">
        <v>46</v>
      </c>
      <c r="F2655" s="9" t="s">
        <v>17</v>
      </c>
      <c r="G2655" s="9" t="s">
        <v>19</v>
      </c>
      <c r="H2655" s="9" t="s">
        <v>22</v>
      </c>
      <c r="I2655" s="9" t="s">
        <v>20</v>
      </c>
      <c r="J2655" s="10"/>
      <c r="K2655" s="1" t="s">
        <v>398</v>
      </c>
      <c r="L2655" s="7"/>
      <c r="M2655" s="7"/>
      <c r="N2655" s="7" t="str">
        <f>IFERROR(__xludf.DUMMYFUNCTION("""COMPUTED_VALUE"""),"Thiago Espinosa|46147")</f>
        <v>Thiago Espinosa|46147</v>
      </c>
      <c r="O2655" s="7">
        <f>IFERROR(__xludf.DUMMYFUNCTION("""COMPUTED_VALUE"""),6.0)</f>
        <v>6</v>
      </c>
    </row>
    <row r="2656" ht="22.5" hidden="1" customHeight="1">
      <c r="A2656" s="8">
        <v>46013.36087318287</v>
      </c>
      <c r="B2656" s="9">
        <v>46013.0</v>
      </c>
      <c r="C2656" s="9" t="s">
        <v>86</v>
      </c>
      <c r="D2656" s="9" t="s">
        <v>105</v>
      </c>
      <c r="E2656" s="9" t="s">
        <v>17</v>
      </c>
      <c r="F2656" s="9" t="s">
        <v>18</v>
      </c>
      <c r="G2656" s="9" t="s">
        <v>19</v>
      </c>
      <c r="H2656" s="9" t="s">
        <v>22</v>
      </c>
      <c r="I2656" s="9" t="s">
        <v>20</v>
      </c>
      <c r="J2656" s="10"/>
      <c r="K2656" s="1" t="s">
        <v>398</v>
      </c>
      <c r="L2656" s="7"/>
      <c r="M2656" s="7"/>
      <c r="N2656" s="7" t="str">
        <f>IFERROR(__xludf.DUMMYFUNCTION("""COMPUTED_VALUE"""),"Jonathan Dos Santos|46147")</f>
        <v>Jonathan Dos Santos|46147</v>
      </c>
      <c r="O2656" s="7">
        <f>IFERROR(__xludf.DUMMYFUNCTION("""COMPUTED_VALUE"""),7.0)</f>
        <v>7</v>
      </c>
    </row>
    <row r="2657" ht="22.5" hidden="1" customHeight="1">
      <c r="A2657" s="8">
        <v>46013.36119708333</v>
      </c>
      <c r="B2657" s="9">
        <v>46013.0</v>
      </c>
      <c r="C2657" s="9" t="s">
        <v>86</v>
      </c>
      <c r="D2657" s="9" t="s">
        <v>394</v>
      </c>
      <c r="E2657" s="9" t="s">
        <v>17</v>
      </c>
      <c r="F2657" s="9" t="s">
        <v>18</v>
      </c>
      <c r="G2657" s="9" t="s">
        <v>24</v>
      </c>
      <c r="H2657" s="9" t="s">
        <v>22</v>
      </c>
      <c r="I2657" s="9" t="s">
        <v>20</v>
      </c>
      <c r="J2657" s="10"/>
      <c r="K2657" s="1" t="s">
        <v>398</v>
      </c>
      <c r="L2657" s="7"/>
      <c r="M2657" s="7"/>
      <c r="N2657" s="7" t="str">
        <f>IFERROR(__xludf.DUMMYFUNCTION("""COMPUTED_VALUE"""),"Raphael Veiga|46147")</f>
        <v>Raphael Veiga|46147</v>
      </c>
      <c r="O2657" s="7">
        <f>IFERROR(__xludf.DUMMYFUNCTION("""COMPUTED_VALUE"""),4.0)</f>
        <v>4</v>
      </c>
    </row>
    <row r="2658" ht="22.5" hidden="1" customHeight="1">
      <c r="A2658" s="8">
        <v>46013.362917997685</v>
      </c>
      <c r="B2658" s="9">
        <v>46013.0</v>
      </c>
      <c r="C2658" s="9" t="s">
        <v>86</v>
      </c>
      <c r="D2658" s="9" t="s">
        <v>175</v>
      </c>
      <c r="E2658" s="9" t="s">
        <v>46</v>
      </c>
      <c r="F2658" s="9" t="s">
        <v>17</v>
      </c>
      <c r="G2658" s="9" t="s">
        <v>24</v>
      </c>
      <c r="H2658" s="9" t="s">
        <v>25</v>
      </c>
      <c r="I2658" s="9" t="s">
        <v>320</v>
      </c>
      <c r="J2658" s="10"/>
      <c r="K2658" s="1" t="s">
        <v>398</v>
      </c>
      <c r="L2658" s="7"/>
      <c r="M2658" s="7"/>
      <c r="N2658" s="7" t="str">
        <f>IFERROR(__xludf.DUMMYFUNCTION("""COMPUTED_VALUE"""),"Néstor Araujo|46147")</f>
        <v>Néstor Araujo|46147</v>
      </c>
      <c r="O2658" s="7">
        <f>IFERROR(__xludf.DUMMYFUNCTION("""COMPUTED_VALUE"""),5.0)</f>
        <v>5</v>
      </c>
    </row>
    <row r="2659" ht="22.5" hidden="1" customHeight="1">
      <c r="A2659" s="8">
        <v>46013.36359679398</v>
      </c>
      <c r="B2659" s="9">
        <v>46013.0</v>
      </c>
      <c r="C2659" s="9" t="s">
        <v>86</v>
      </c>
      <c r="D2659" s="9" t="s">
        <v>335</v>
      </c>
      <c r="E2659" s="9" t="s">
        <v>17</v>
      </c>
      <c r="F2659" s="9" t="s">
        <v>17</v>
      </c>
      <c r="G2659" s="9" t="s">
        <v>24</v>
      </c>
      <c r="H2659" s="9" t="s">
        <v>25</v>
      </c>
      <c r="I2659" s="9" t="s">
        <v>211</v>
      </c>
      <c r="J2659" s="10"/>
      <c r="K2659" s="1" t="s">
        <v>398</v>
      </c>
      <c r="L2659" s="7"/>
      <c r="M2659" s="7"/>
      <c r="N2659" s="7" t="str">
        <f>IFERROR(__xludf.DUMMYFUNCTION("""COMPUTED_VALUE"""),"Vinícius Lima|46147")</f>
        <v>Vinícius Lima|46147</v>
      </c>
      <c r="O2659" s="7">
        <f>IFERROR(__xludf.DUMMYFUNCTION("""COMPUTED_VALUE"""),5.0)</f>
        <v>5</v>
      </c>
    </row>
    <row r="2660" ht="22.5" hidden="1" customHeight="1">
      <c r="A2660" s="8">
        <v>46013.364556238426</v>
      </c>
      <c r="B2660" s="9">
        <v>46013.0</v>
      </c>
      <c r="C2660" s="9" t="s">
        <v>86</v>
      </c>
      <c r="D2660" s="9" t="s">
        <v>170</v>
      </c>
      <c r="E2660" s="9" t="s">
        <v>17</v>
      </c>
      <c r="F2660" s="9" t="s">
        <v>43</v>
      </c>
      <c r="G2660" s="9" t="s">
        <v>24</v>
      </c>
      <c r="H2660" s="9" t="s">
        <v>17</v>
      </c>
      <c r="I2660" s="9" t="s">
        <v>37</v>
      </c>
      <c r="J2660" s="10"/>
      <c r="K2660" s="1" t="s">
        <v>398</v>
      </c>
      <c r="L2660" s="7"/>
      <c r="M2660" s="7"/>
      <c r="N2660" s="7" t="str">
        <f>IFERROR(__xludf.DUMMYFUNCTION("""COMPUTED_VALUE"""),"Alan Cervantes|46147")</f>
        <v>Alan Cervantes|46147</v>
      </c>
      <c r="O2660" s="7">
        <f>IFERROR(__xludf.DUMMYFUNCTION("""COMPUTED_VALUE"""),6.0)</f>
        <v>6</v>
      </c>
    </row>
    <row r="2661" ht="22.5" hidden="1" customHeight="1">
      <c r="A2661" s="8">
        <v>46013.375676701384</v>
      </c>
      <c r="B2661" s="9">
        <v>46013.0</v>
      </c>
      <c r="C2661" s="9" t="s">
        <v>86</v>
      </c>
      <c r="D2661" s="9" t="s">
        <v>210</v>
      </c>
      <c r="E2661" s="9" t="s">
        <v>17</v>
      </c>
      <c r="F2661" s="9" t="s">
        <v>17</v>
      </c>
      <c r="G2661" s="9" t="s">
        <v>24</v>
      </c>
      <c r="H2661" s="9" t="s">
        <v>25</v>
      </c>
      <c r="I2661" s="9" t="s">
        <v>67</v>
      </c>
      <c r="J2661" s="10"/>
      <c r="K2661" s="1" t="s">
        <v>398</v>
      </c>
      <c r="L2661" s="7"/>
      <c r="M2661" s="7"/>
      <c r="N2661" s="7" t="str">
        <f>IFERROR(__xludf.DUMMYFUNCTION("""COMPUTED_VALUE"""),"Aaron Mejia|46147")</f>
        <v>Aaron Mejia|46147</v>
      </c>
      <c r="O2661" s="7">
        <f>IFERROR(__xludf.DUMMYFUNCTION("""COMPUTED_VALUE"""),4.0)</f>
        <v>4</v>
      </c>
    </row>
    <row r="2662" ht="22.5" hidden="1" customHeight="1">
      <c r="A2662" s="8">
        <v>46013.376511400464</v>
      </c>
      <c r="B2662" s="9">
        <v>46013.0</v>
      </c>
      <c r="C2662" s="9" t="s">
        <v>86</v>
      </c>
      <c r="D2662" s="9" t="s">
        <v>367</v>
      </c>
      <c r="E2662" s="9" t="s">
        <v>17</v>
      </c>
      <c r="F2662" s="9" t="s">
        <v>17</v>
      </c>
      <c r="G2662" s="9" t="s">
        <v>24</v>
      </c>
      <c r="H2662" s="9" t="s">
        <v>17</v>
      </c>
      <c r="I2662" s="9" t="s">
        <v>20</v>
      </c>
      <c r="J2662" s="10"/>
      <c r="K2662" s="1" t="s">
        <v>398</v>
      </c>
      <c r="L2662" s="7"/>
      <c r="M2662" s="7"/>
      <c r="N2662" s="7" t="str">
        <f>IFERROR(__xludf.DUMMYFUNCTION("""COMPUTED_VALUE"""),"Rodolfo Cota|46147")</f>
        <v>Rodolfo Cota|46147</v>
      </c>
      <c r="O2662" s="7">
        <f>IFERROR(__xludf.DUMMYFUNCTION("""COMPUTED_VALUE"""),2.0)</f>
        <v>2</v>
      </c>
    </row>
    <row r="2663" ht="22.5" hidden="1" customHeight="1">
      <c r="A2663" s="8">
        <v>46013.63638091435</v>
      </c>
      <c r="B2663" s="9">
        <v>46013.0</v>
      </c>
      <c r="C2663" s="9" t="s">
        <v>86</v>
      </c>
      <c r="D2663" s="9" t="s">
        <v>249</v>
      </c>
      <c r="E2663" s="9" t="s">
        <v>17</v>
      </c>
      <c r="F2663" s="9" t="s">
        <v>17</v>
      </c>
      <c r="G2663" s="9" t="s">
        <v>24</v>
      </c>
      <c r="H2663" s="9" t="s">
        <v>22</v>
      </c>
      <c r="I2663" s="9" t="s">
        <v>20</v>
      </c>
      <c r="J2663" s="10"/>
      <c r="K2663" s="1" t="s">
        <v>398</v>
      </c>
      <c r="L2663" s="7"/>
      <c r="M2663" s="7"/>
      <c r="N2663" s="7" t="str">
        <f>IFERROR(__xludf.DUMMYFUNCTION("""COMPUTED_VALUE"""),"Alejando Zendejas|46148")</f>
        <v>Alejando Zendejas|46148</v>
      </c>
      <c r="O2663" s="7">
        <f>IFERROR(__xludf.DUMMYFUNCTION("""COMPUTED_VALUE"""),4.0)</f>
        <v>4</v>
      </c>
    </row>
    <row r="2664" ht="22.5" hidden="1" customHeight="1">
      <c r="A2664" s="8">
        <v>46013.64290060185</v>
      </c>
      <c r="B2664" s="9">
        <v>46013.0</v>
      </c>
      <c r="C2664" s="9" t="s">
        <v>86</v>
      </c>
      <c r="D2664" s="9" t="s">
        <v>223</v>
      </c>
      <c r="E2664" s="9" t="s">
        <v>17</v>
      </c>
      <c r="F2664" s="9" t="s">
        <v>17</v>
      </c>
      <c r="G2664" s="9" t="s">
        <v>24</v>
      </c>
      <c r="H2664" s="9" t="s">
        <v>25</v>
      </c>
      <c r="I2664" s="9" t="s">
        <v>89</v>
      </c>
      <c r="J2664" s="10"/>
      <c r="K2664" s="1" t="s">
        <v>398</v>
      </c>
      <c r="L2664" s="7"/>
      <c r="M2664" s="7"/>
      <c r="N2664" s="7" t="str">
        <f>IFERROR(__xludf.DUMMYFUNCTION("""COMPUTED_VALUE"""),"Dagoberto Espinoza|46148")</f>
        <v>Dagoberto Espinoza|46148</v>
      </c>
      <c r="O2664" s="7">
        <f>IFERROR(__xludf.DUMMYFUNCTION("""COMPUTED_VALUE"""),7.0)</f>
        <v>7</v>
      </c>
    </row>
    <row r="2665" ht="22.5" hidden="1" customHeight="1">
      <c r="A2665" s="8">
        <v>46013.644082893516</v>
      </c>
      <c r="B2665" s="9">
        <v>46013.0</v>
      </c>
      <c r="C2665" s="9" t="s">
        <v>86</v>
      </c>
      <c r="D2665" s="9" t="s">
        <v>280</v>
      </c>
      <c r="E2665" s="9" t="s">
        <v>17</v>
      </c>
      <c r="F2665" s="9" t="s">
        <v>17</v>
      </c>
      <c r="G2665" s="9" t="s">
        <v>24</v>
      </c>
      <c r="H2665" s="9" t="s">
        <v>25</v>
      </c>
      <c r="I2665" s="9" t="s">
        <v>67</v>
      </c>
      <c r="J2665" s="10"/>
      <c r="K2665" s="1" t="s">
        <v>398</v>
      </c>
      <c r="L2665" s="7"/>
      <c r="M2665" s="7"/>
      <c r="N2665" s="7" t="str">
        <f>IFERROR(__xludf.DUMMYFUNCTION("""COMPUTED_VALUE"""),"Miguel Vázquez|46148")</f>
        <v>Miguel Vázquez|46148</v>
      </c>
      <c r="O2665" s="7">
        <f>IFERROR(__xludf.DUMMYFUNCTION("""COMPUTED_VALUE"""),4.0)</f>
        <v>4</v>
      </c>
    </row>
    <row r="2666" ht="22.5" hidden="1" customHeight="1">
      <c r="A2666" s="8">
        <v>46013.646062245374</v>
      </c>
      <c r="B2666" s="9">
        <v>46013.0</v>
      </c>
      <c r="C2666" s="9" t="s">
        <v>86</v>
      </c>
      <c r="D2666" s="9" t="s">
        <v>350</v>
      </c>
      <c r="E2666" s="9" t="s">
        <v>17</v>
      </c>
      <c r="F2666" s="9" t="s">
        <v>17</v>
      </c>
      <c r="G2666" s="9" t="s">
        <v>24</v>
      </c>
      <c r="H2666" s="9" t="s">
        <v>25</v>
      </c>
      <c r="I2666" s="9" t="s">
        <v>89</v>
      </c>
      <c r="J2666" s="10"/>
      <c r="K2666" s="1" t="s">
        <v>398</v>
      </c>
      <c r="L2666" s="7"/>
      <c r="M2666" s="7"/>
      <c r="N2666" s="7" t="str">
        <f>IFERROR(__xludf.DUMMYFUNCTION("""COMPUTED_VALUE"""),"Rodrigo Dourado|46148")</f>
        <v>Rodrigo Dourado|46148</v>
      </c>
      <c r="O2666" s="7">
        <f>IFERROR(__xludf.DUMMYFUNCTION("""COMPUTED_VALUE"""),4.0)</f>
        <v>4</v>
      </c>
    </row>
    <row r="2667" ht="22.5" hidden="1" customHeight="1">
      <c r="A2667" s="8">
        <v>46013.64692101852</v>
      </c>
      <c r="B2667" s="9">
        <v>46013.0</v>
      </c>
      <c r="C2667" s="9" t="s">
        <v>86</v>
      </c>
      <c r="D2667" s="9" t="s">
        <v>394</v>
      </c>
      <c r="E2667" s="9" t="s">
        <v>17</v>
      </c>
      <c r="F2667" s="9" t="s">
        <v>17</v>
      </c>
      <c r="G2667" s="9" t="s">
        <v>24</v>
      </c>
      <c r="H2667" s="9" t="s">
        <v>25</v>
      </c>
      <c r="I2667" s="9" t="s">
        <v>89</v>
      </c>
      <c r="J2667" s="10"/>
      <c r="K2667" s="1" t="s">
        <v>398</v>
      </c>
      <c r="L2667" s="7"/>
      <c r="M2667" s="7"/>
      <c r="N2667" s="7" t="str">
        <f>IFERROR(__xludf.DUMMYFUNCTION("""COMPUTED_VALUE"""),"Néstor Araujo|46148")</f>
        <v>Néstor Araujo|46148</v>
      </c>
      <c r="O2667" s="7">
        <f>IFERROR(__xludf.DUMMYFUNCTION("""COMPUTED_VALUE"""),5.0)</f>
        <v>5</v>
      </c>
    </row>
    <row r="2668" ht="22.5" hidden="1" customHeight="1">
      <c r="A2668" s="8">
        <v>46013.65180277778</v>
      </c>
      <c r="B2668" s="9">
        <v>46013.0</v>
      </c>
      <c r="C2668" s="9" t="s">
        <v>86</v>
      </c>
      <c r="D2668" s="9" t="s">
        <v>175</v>
      </c>
      <c r="E2668" s="9" t="s">
        <v>17</v>
      </c>
      <c r="F2668" s="9" t="s">
        <v>17</v>
      </c>
      <c r="G2668" s="9" t="s">
        <v>24</v>
      </c>
      <c r="H2668" s="9" t="s">
        <v>25</v>
      </c>
      <c r="I2668" s="9" t="s">
        <v>320</v>
      </c>
      <c r="J2668" s="10"/>
      <c r="K2668" s="1" t="s">
        <v>398</v>
      </c>
      <c r="L2668" s="7"/>
      <c r="M2668" s="7"/>
      <c r="N2668" s="7" t="str">
        <f>IFERROR(__xludf.DUMMYFUNCTION("""COMPUTED_VALUE"""),"Fernando Tapia|46148")</f>
        <v>Fernando Tapia|46148</v>
      </c>
      <c r="O2668" s="7">
        <f>IFERROR(__xludf.DUMMYFUNCTION("""COMPUTED_VALUE"""),4.0)</f>
        <v>4</v>
      </c>
    </row>
    <row r="2669" ht="22.5" hidden="1" customHeight="1">
      <c r="A2669" s="8">
        <v>46013.65762892361</v>
      </c>
      <c r="B2669" s="9">
        <v>46013.0</v>
      </c>
      <c r="C2669" s="9" t="s">
        <v>86</v>
      </c>
      <c r="D2669" s="9" t="s">
        <v>259</v>
      </c>
      <c r="E2669" s="9" t="s">
        <v>17</v>
      </c>
      <c r="F2669" s="9" t="s">
        <v>17</v>
      </c>
      <c r="G2669" s="9" t="s">
        <v>19</v>
      </c>
      <c r="H2669" s="9" t="s">
        <v>25</v>
      </c>
      <c r="I2669" s="9" t="s">
        <v>50</v>
      </c>
      <c r="J2669" s="10"/>
      <c r="K2669" s="1" t="s">
        <v>398</v>
      </c>
      <c r="L2669" s="7"/>
      <c r="M2669" s="7"/>
      <c r="N2669" s="7" t="str">
        <f>IFERROR(__xludf.DUMMYFUNCTION("""COMPUTED_VALUE"""),"Patricio Salas|46148")</f>
        <v>Patricio Salas|46148</v>
      </c>
      <c r="O2669" s="7">
        <f>IFERROR(__xludf.DUMMYFUNCTION("""COMPUTED_VALUE"""),5.0)</f>
        <v>5</v>
      </c>
    </row>
    <row r="2670" ht="22.5" hidden="1" customHeight="1">
      <c r="A2670" s="8">
        <v>46013.6579621875</v>
      </c>
      <c r="B2670" s="9">
        <v>46013.0</v>
      </c>
      <c r="C2670" s="9" t="s">
        <v>86</v>
      </c>
      <c r="D2670" s="9" t="s">
        <v>168</v>
      </c>
      <c r="E2670" s="9" t="s">
        <v>17</v>
      </c>
      <c r="F2670" s="9" t="s">
        <v>17</v>
      </c>
      <c r="G2670" s="9" t="s">
        <v>24</v>
      </c>
      <c r="H2670" s="9" t="s">
        <v>25</v>
      </c>
      <c r="I2670" s="9" t="s">
        <v>28</v>
      </c>
      <c r="J2670" s="10"/>
      <c r="K2670" s="1" t="s">
        <v>398</v>
      </c>
      <c r="L2670" s="7"/>
      <c r="M2670" s="7"/>
      <c r="N2670" s="7" t="str">
        <f>IFERROR(__xludf.DUMMYFUNCTION("""COMPUTED_VALUE"""),"Kevin Álvarez|46148")</f>
        <v>Kevin Álvarez|46148</v>
      </c>
      <c r="O2670" s="7">
        <f>IFERROR(__xludf.DUMMYFUNCTION("""COMPUTED_VALUE"""),4.0)</f>
        <v>4</v>
      </c>
    </row>
    <row r="2671" ht="22.5" hidden="1" customHeight="1">
      <c r="A2671" s="8">
        <v>46013.66350510417</v>
      </c>
      <c r="B2671" s="9">
        <v>46013.0</v>
      </c>
      <c r="C2671" s="9" t="s">
        <v>86</v>
      </c>
      <c r="D2671" s="9" t="s">
        <v>177</v>
      </c>
      <c r="E2671" s="9" t="s">
        <v>46</v>
      </c>
      <c r="F2671" s="9" t="s">
        <v>17</v>
      </c>
      <c r="G2671" s="9" t="s">
        <v>24</v>
      </c>
      <c r="H2671" s="9" t="s">
        <v>22</v>
      </c>
      <c r="I2671" s="9" t="s">
        <v>20</v>
      </c>
      <c r="J2671" s="10"/>
      <c r="K2671" s="1" t="s">
        <v>398</v>
      </c>
      <c r="L2671" s="7"/>
      <c r="M2671" s="7"/>
      <c r="N2671" s="7" t="str">
        <f>IFERROR(__xludf.DUMMYFUNCTION("""COMPUTED_VALUE"""),"Isaías Violante|46148")</f>
        <v>Isaías Violante|46148</v>
      </c>
      <c r="O2671" s="7">
        <f>IFERROR(__xludf.DUMMYFUNCTION("""COMPUTED_VALUE"""),4.0)</f>
        <v>4</v>
      </c>
    </row>
    <row r="2672" ht="22.5" hidden="1" customHeight="1">
      <c r="A2672" s="8">
        <v>46013.663840381945</v>
      </c>
      <c r="B2672" s="9">
        <v>46013.0</v>
      </c>
      <c r="C2672" s="9" t="s">
        <v>86</v>
      </c>
      <c r="D2672" s="9" t="s">
        <v>174</v>
      </c>
      <c r="E2672" s="9" t="s">
        <v>17</v>
      </c>
      <c r="F2672" s="9" t="s">
        <v>17</v>
      </c>
      <c r="G2672" s="9" t="s">
        <v>24</v>
      </c>
      <c r="H2672" s="9" t="s">
        <v>22</v>
      </c>
      <c r="I2672" s="9" t="s">
        <v>20</v>
      </c>
      <c r="J2672" s="10"/>
      <c r="K2672" s="1" t="s">
        <v>398</v>
      </c>
      <c r="L2672" s="7"/>
      <c r="M2672" s="7"/>
      <c r="N2672" s="7" t="str">
        <f>IFERROR(__xludf.DUMMYFUNCTION("""COMPUTED_VALUE"""),"Thiago Espinosa|46148")</f>
        <v>Thiago Espinosa|46148</v>
      </c>
      <c r="O2672" s="7">
        <f>IFERROR(__xludf.DUMMYFUNCTION("""COMPUTED_VALUE"""),5.0)</f>
        <v>5</v>
      </c>
    </row>
    <row r="2673" ht="22.5" hidden="1" customHeight="1">
      <c r="A2673" s="8">
        <v>46013.66417862268</v>
      </c>
      <c r="B2673" s="9">
        <v>46013.0</v>
      </c>
      <c r="C2673" s="9" t="s">
        <v>86</v>
      </c>
      <c r="D2673" s="9" t="s">
        <v>367</v>
      </c>
      <c r="E2673" s="9" t="s">
        <v>17</v>
      </c>
      <c r="F2673" s="9" t="s">
        <v>17</v>
      </c>
      <c r="G2673" s="9" t="s">
        <v>24</v>
      </c>
      <c r="H2673" s="9" t="s">
        <v>22</v>
      </c>
      <c r="I2673" s="9" t="s">
        <v>20</v>
      </c>
      <c r="J2673" s="10"/>
      <c r="K2673" s="1" t="s">
        <v>398</v>
      </c>
      <c r="L2673" s="7"/>
      <c r="M2673" s="7"/>
      <c r="N2673" s="7" t="str">
        <f>IFERROR(__xludf.DUMMYFUNCTION("""COMPUTED_VALUE"""),"Alan Cervantes|46148")</f>
        <v>Alan Cervantes|46148</v>
      </c>
      <c r="O2673" s="7">
        <f>IFERROR(__xludf.DUMMYFUNCTION("""COMPUTED_VALUE"""),6.0)</f>
        <v>6</v>
      </c>
    </row>
    <row r="2674" ht="22.5" hidden="1" customHeight="1">
      <c r="A2674" s="8">
        <v>46013.664499108796</v>
      </c>
      <c r="B2674" s="9">
        <v>46013.0</v>
      </c>
      <c r="C2674" s="9" t="s">
        <v>86</v>
      </c>
      <c r="D2674" s="9" t="s">
        <v>395</v>
      </c>
      <c r="E2674" s="9" t="s">
        <v>17</v>
      </c>
      <c r="F2674" s="9" t="s">
        <v>17</v>
      </c>
      <c r="G2674" s="9" t="s">
        <v>24</v>
      </c>
      <c r="H2674" s="9" t="s">
        <v>22</v>
      </c>
      <c r="I2674" s="9" t="s">
        <v>20</v>
      </c>
      <c r="J2674" s="10"/>
      <c r="K2674" s="1" t="s">
        <v>398</v>
      </c>
      <c r="L2674" s="7"/>
      <c r="M2674" s="7"/>
      <c r="N2674" s="7" t="str">
        <f>IFERROR(__xludf.DUMMYFUNCTION("""COMPUTED_VALUE"""),"Rodolfo Cota|46148")</f>
        <v>Rodolfo Cota|46148</v>
      </c>
      <c r="O2674" s="7">
        <f>IFERROR(__xludf.DUMMYFUNCTION("""COMPUTED_VALUE"""),2.0)</f>
        <v>2</v>
      </c>
    </row>
    <row r="2675" ht="22.5" hidden="1" customHeight="1">
      <c r="A2675" s="8">
        <v>46013.6647893287</v>
      </c>
      <c r="B2675" s="9">
        <v>46013.0</v>
      </c>
      <c r="C2675" s="9" t="s">
        <v>86</v>
      </c>
      <c r="D2675" s="9" t="s">
        <v>357</v>
      </c>
      <c r="E2675" s="9" t="s">
        <v>17</v>
      </c>
      <c r="F2675" s="9" t="s">
        <v>17</v>
      </c>
      <c r="G2675" s="9" t="s">
        <v>24</v>
      </c>
      <c r="H2675" s="9" t="s">
        <v>22</v>
      </c>
      <c r="I2675" s="9" t="s">
        <v>20</v>
      </c>
      <c r="J2675" s="10"/>
      <c r="K2675" s="1" t="s">
        <v>398</v>
      </c>
      <c r="L2675" s="7"/>
      <c r="M2675" s="7"/>
      <c r="N2675" s="7" t="str">
        <f>IFERROR(__xludf.DUMMYFUNCTION("""COMPUTED_VALUE"""),"Vinícius Lima|46148")</f>
        <v>Vinícius Lima|46148</v>
      </c>
      <c r="O2675" s="7">
        <f>IFERROR(__xludf.DUMMYFUNCTION("""COMPUTED_VALUE"""),3.0)</f>
        <v>3</v>
      </c>
    </row>
    <row r="2676" ht="22.5" hidden="1" customHeight="1">
      <c r="A2676" s="8">
        <v>46013.665156006944</v>
      </c>
      <c r="B2676" s="9">
        <v>46013.0</v>
      </c>
      <c r="C2676" s="9" t="s">
        <v>86</v>
      </c>
      <c r="D2676" s="9" t="s">
        <v>393</v>
      </c>
      <c r="E2676" s="9" t="s">
        <v>46</v>
      </c>
      <c r="F2676" s="9" t="s">
        <v>17</v>
      </c>
      <c r="G2676" s="9" t="s">
        <v>24</v>
      </c>
      <c r="H2676" s="9" t="s">
        <v>17</v>
      </c>
      <c r="I2676" s="9" t="s">
        <v>20</v>
      </c>
      <c r="J2676" s="10"/>
      <c r="K2676" s="1" t="s">
        <v>398</v>
      </c>
      <c r="L2676" s="7"/>
      <c r="M2676" s="7"/>
      <c r="N2676" s="7" t="str">
        <f>IFERROR(__xludf.DUMMYFUNCTION("""COMPUTED_VALUE"""),"Jonathan Dos Santos|46148")</f>
        <v>Jonathan Dos Santos|46148</v>
      </c>
      <c r="O2676" s="7">
        <f>IFERROR(__xludf.DUMMYFUNCTION("""COMPUTED_VALUE"""),5.0)</f>
        <v>5</v>
      </c>
    </row>
    <row r="2677" ht="22.5" hidden="1" customHeight="1">
      <c r="A2677" s="8">
        <v>46013.66688496528</v>
      </c>
      <c r="B2677" s="9">
        <v>46013.0</v>
      </c>
      <c r="C2677" s="9" t="s">
        <v>86</v>
      </c>
      <c r="D2677" s="9" t="s">
        <v>171</v>
      </c>
      <c r="E2677" s="9" t="s">
        <v>17</v>
      </c>
      <c r="F2677" s="9" t="s">
        <v>17</v>
      </c>
      <c r="G2677" s="9" t="s">
        <v>24</v>
      </c>
      <c r="H2677" s="9" t="s">
        <v>22</v>
      </c>
      <c r="I2677" s="9" t="s">
        <v>20</v>
      </c>
      <c r="J2677" s="10"/>
      <c r="K2677" s="1" t="s">
        <v>398</v>
      </c>
      <c r="L2677" s="7"/>
      <c r="M2677" s="7"/>
      <c r="N2677" s="7" t="str">
        <f>IFERROR(__xludf.DUMMYFUNCTION("""COMPUTED_VALUE"""),"Alexis Gutiérrez|46148")</f>
        <v>Alexis Gutiérrez|46148</v>
      </c>
      <c r="O2677" s="7">
        <f>IFERROR(__xludf.DUMMYFUNCTION("""COMPUTED_VALUE"""),4.0)</f>
        <v>4</v>
      </c>
    </row>
    <row r="2678" ht="22.5" hidden="1" customHeight="1">
      <c r="A2678" s="8">
        <v>46013.66868671296</v>
      </c>
      <c r="B2678" s="9">
        <v>46013.0</v>
      </c>
      <c r="C2678" s="9" t="s">
        <v>86</v>
      </c>
      <c r="D2678" s="9" t="s">
        <v>178</v>
      </c>
      <c r="E2678" s="9" t="s">
        <v>17</v>
      </c>
      <c r="F2678" s="9" t="s">
        <v>17</v>
      </c>
      <c r="G2678" s="9" t="s">
        <v>24</v>
      </c>
      <c r="H2678" s="9" t="s">
        <v>25</v>
      </c>
      <c r="I2678" s="9" t="s">
        <v>316</v>
      </c>
      <c r="J2678" s="10"/>
      <c r="K2678" s="1" t="s">
        <v>398</v>
      </c>
      <c r="L2678" s="7"/>
      <c r="M2678" s="7"/>
      <c r="N2678" s="7" t="str">
        <f>IFERROR(__xludf.DUMMYFUNCTION("""COMPUTED_VALUE"""),"Erick Sánchez|46148")</f>
        <v>Erick Sánchez|46148</v>
      </c>
      <c r="O2678" s="7">
        <f>IFERROR(__xludf.DUMMYFUNCTION("""COMPUTED_VALUE"""),4.0)</f>
        <v>4</v>
      </c>
    </row>
    <row r="2679" ht="22.5" hidden="1" customHeight="1">
      <c r="A2679" s="8">
        <v>46013.670060358796</v>
      </c>
      <c r="B2679" s="9">
        <v>46013.0</v>
      </c>
      <c r="C2679" s="9" t="s">
        <v>86</v>
      </c>
      <c r="D2679" s="9" t="s">
        <v>210</v>
      </c>
      <c r="E2679" s="9" t="s">
        <v>17</v>
      </c>
      <c r="F2679" s="9" t="s">
        <v>17</v>
      </c>
      <c r="G2679" s="9" t="s">
        <v>24</v>
      </c>
      <c r="H2679" s="9" t="s">
        <v>25</v>
      </c>
      <c r="I2679" s="9" t="s">
        <v>41</v>
      </c>
      <c r="J2679" s="10"/>
      <c r="K2679" s="1" t="s">
        <v>398</v>
      </c>
      <c r="L2679" s="7"/>
      <c r="M2679" s="7"/>
      <c r="N2679" s="7" t="str">
        <f>IFERROR(__xludf.DUMMYFUNCTION("""COMPUTED_VALUE"""),"Santiago Naveda|46148")</f>
        <v>Santiago Naveda|46148</v>
      </c>
      <c r="O2679" s="7">
        <f>IFERROR(__xludf.DUMMYFUNCTION("""COMPUTED_VALUE"""),4.0)</f>
        <v>4</v>
      </c>
    </row>
    <row r="2680" ht="22.5" hidden="1" customHeight="1">
      <c r="A2680" s="8">
        <v>46013.67331460648</v>
      </c>
      <c r="B2680" s="9">
        <v>46013.0</v>
      </c>
      <c r="C2680" s="9" t="s">
        <v>86</v>
      </c>
      <c r="D2680" s="9" t="s">
        <v>170</v>
      </c>
      <c r="E2680" s="9" t="s">
        <v>17</v>
      </c>
      <c r="F2680" s="9" t="s">
        <v>17</v>
      </c>
      <c r="G2680" s="9" t="s">
        <v>24</v>
      </c>
      <c r="H2680" s="9" t="s">
        <v>22</v>
      </c>
      <c r="I2680" s="9" t="s">
        <v>20</v>
      </c>
      <c r="J2680" s="10"/>
      <c r="K2680" s="1" t="s">
        <v>398</v>
      </c>
      <c r="L2680" s="7"/>
      <c r="M2680" s="7"/>
      <c r="N2680" s="7" t="str">
        <f>IFERROR(__xludf.DUMMYFUNCTION("""COMPUTED_VALUE"""),"Ramón Juárez|46148")</f>
        <v>Ramón Juárez|46148</v>
      </c>
      <c r="O2680" s="7">
        <f>IFERROR(__xludf.DUMMYFUNCTION("""COMPUTED_VALUE"""),4.0)</f>
        <v>4</v>
      </c>
    </row>
    <row r="2681" ht="22.5" hidden="1" customHeight="1">
      <c r="A2681" s="8">
        <v>46013.6736204051</v>
      </c>
      <c r="B2681" s="9">
        <v>46013.0</v>
      </c>
      <c r="C2681" s="9" t="s">
        <v>86</v>
      </c>
      <c r="D2681" s="9" t="s">
        <v>396</v>
      </c>
      <c r="E2681" s="9" t="s">
        <v>17</v>
      </c>
      <c r="F2681" s="9" t="s">
        <v>17</v>
      </c>
      <c r="G2681" s="9" t="s">
        <v>24</v>
      </c>
      <c r="H2681" s="9" t="s">
        <v>22</v>
      </c>
      <c r="I2681" s="9" t="s">
        <v>20</v>
      </c>
      <c r="J2681" s="10"/>
      <c r="K2681" s="1" t="s">
        <v>398</v>
      </c>
      <c r="L2681" s="7"/>
      <c r="M2681" s="7"/>
      <c r="N2681" s="7" t="str">
        <f>IFERROR(__xludf.DUMMYFUNCTION("""COMPUTED_VALUE"""),"Raphael Veiga|46148")</f>
        <v>Raphael Veiga|46148</v>
      </c>
      <c r="O2681" s="7">
        <f>IFERROR(__xludf.DUMMYFUNCTION("""COMPUTED_VALUE"""),4.0)</f>
        <v>4</v>
      </c>
    </row>
    <row r="2682" ht="22.5" hidden="1" customHeight="1">
      <c r="A2682" s="8">
        <v>46013.67488200231</v>
      </c>
      <c r="B2682" s="9">
        <v>46013.0</v>
      </c>
      <c r="C2682" s="9" t="s">
        <v>86</v>
      </c>
      <c r="D2682" s="9" t="s">
        <v>257</v>
      </c>
      <c r="E2682" s="9" t="s">
        <v>17</v>
      </c>
      <c r="F2682" s="9" t="s">
        <v>17</v>
      </c>
      <c r="G2682" s="9" t="s">
        <v>24</v>
      </c>
      <c r="H2682" s="9" t="s">
        <v>25</v>
      </c>
      <c r="I2682" s="9" t="s">
        <v>67</v>
      </c>
      <c r="J2682" s="10"/>
      <c r="K2682" s="1" t="s">
        <v>398</v>
      </c>
      <c r="L2682" s="7"/>
      <c r="M2682" s="7"/>
      <c r="N2682" s="7" t="str">
        <f>IFERROR(__xludf.DUMMYFUNCTION("""COMPUTED_VALUE"""),"Aaron Mejia|46148")</f>
        <v>Aaron Mejia|46148</v>
      </c>
      <c r="O2682" s="7">
        <f>IFERROR(__xludf.DUMMYFUNCTION("""COMPUTED_VALUE"""),3.0)</f>
        <v>3</v>
      </c>
    </row>
    <row r="2683" ht="22.5" hidden="1" customHeight="1">
      <c r="A2683" s="8">
        <v>46013.68261574074</v>
      </c>
      <c r="B2683" s="9">
        <v>46013.0</v>
      </c>
      <c r="C2683" s="9" t="s">
        <v>86</v>
      </c>
      <c r="D2683" s="9" t="s">
        <v>105</v>
      </c>
      <c r="E2683" s="9" t="s">
        <v>17</v>
      </c>
      <c r="F2683" s="9" t="s">
        <v>17</v>
      </c>
      <c r="G2683" s="9" t="s">
        <v>24</v>
      </c>
      <c r="H2683" s="9" t="s">
        <v>22</v>
      </c>
      <c r="I2683" s="9" t="s">
        <v>20</v>
      </c>
      <c r="J2683" s="10"/>
      <c r="K2683" s="1" t="s">
        <v>398</v>
      </c>
      <c r="L2683" s="7"/>
      <c r="M2683" s="7"/>
      <c r="N2683" s="7" t="str">
        <f>IFERROR(__xludf.DUMMYFUNCTION("""COMPUTED_VALUE"""),"Ramón Juárez|46149")</f>
        <v>Ramón Juárez|46149</v>
      </c>
      <c r="O2683" s="7">
        <f>IFERROR(__xludf.DUMMYFUNCTION("""COMPUTED_VALUE"""),5.0)</f>
        <v>5</v>
      </c>
    </row>
    <row r="2684" ht="22.5" hidden="1" customHeight="1">
      <c r="A2684" s="8">
        <v>46013.68291307871</v>
      </c>
      <c r="B2684" s="9">
        <v>46013.0</v>
      </c>
      <c r="C2684" s="9" t="s">
        <v>86</v>
      </c>
      <c r="D2684" s="9" t="s">
        <v>258</v>
      </c>
      <c r="E2684" s="9" t="s">
        <v>17</v>
      </c>
      <c r="F2684" s="9" t="s">
        <v>17</v>
      </c>
      <c r="G2684" s="9" t="s">
        <v>24</v>
      </c>
      <c r="H2684" s="9" t="s">
        <v>22</v>
      </c>
      <c r="I2684" s="9" t="s">
        <v>20</v>
      </c>
      <c r="J2684" s="10"/>
      <c r="K2684" s="1" t="s">
        <v>398</v>
      </c>
      <c r="L2684" s="7"/>
      <c r="M2684" s="7"/>
      <c r="N2684" s="7" t="str">
        <f>IFERROR(__xludf.DUMMYFUNCTION("""COMPUTED_VALUE"""),"Erick Sánchez|46149")</f>
        <v>Erick Sánchez|46149</v>
      </c>
      <c r="O2684" s="7">
        <f>IFERROR(__xludf.DUMMYFUNCTION("""COMPUTED_VALUE"""),3.0)</f>
        <v>3</v>
      </c>
    </row>
    <row r="2685" ht="22.5" hidden="1" customHeight="1">
      <c r="A2685" s="8">
        <v>46013.68362329861</v>
      </c>
      <c r="B2685" s="9">
        <v>46013.0</v>
      </c>
      <c r="C2685" s="9" t="s">
        <v>86</v>
      </c>
      <c r="D2685" s="9" t="s">
        <v>247</v>
      </c>
      <c r="E2685" s="9" t="s">
        <v>17</v>
      </c>
      <c r="F2685" s="9" t="s">
        <v>39</v>
      </c>
      <c r="G2685" s="9" t="s">
        <v>40</v>
      </c>
      <c r="H2685" s="9" t="s">
        <v>22</v>
      </c>
      <c r="I2685" s="9" t="s">
        <v>20</v>
      </c>
      <c r="J2685" s="10"/>
      <c r="K2685" s="1" t="s">
        <v>398</v>
      </c>
      <c r="L2685" s="7"/>
      <c r="M2685" s="7"/>
      <c r="N2685" s="7" t="str">
        <f>IFERROR(__xludf.DUMMYFUNCTION("""COMPUTED_VALUE"""),"Aaron Mejia|46149")</f>
        <v>Aaron Mejia|46149</v>
      </c>
      <c r="O2685" s="7">
        <f>IFERROR(__xludf.DUMMYFUNCTION("""COMPUTED_VALUE"""),1.0)</f>
        <v>1</v>
      </c>
    </row>
    <row r="2686" ht="22.5" hidden="1" customHeight="1">
      <c r="A2686" s="8">
        <v>46013.68426207176</v>
      </c>
      <c r="B2686" s="9">
        <v>46013.0</v>
      </c>
      <c r="C2686" s="9" t="s">
        <v>86</v>
      </c>
      <c r="D2686" s="9" t="s">
        <v>335</v>
      </c>
      <c r="E2686" s="9" t="s">
        <v>17</v>
      </c>
      <c r="F2686" s="9" t="s">
        <v>17</v>
      </c>
      <c r="G2686" s="9" t="s">
        <v>24</v>
      </c>
      <c r="H2686" s="9" t="s">
        <v>22</v>
      </c>
      <c r="I2686" s="9" t="s">
        <v>20</v>
      </c>
      <c r="J2686" s="10"/>
      <c r="K2686" s="1" t="s">
        <v>398</v>
      </c>
      <c r="L2686" s="7"/>
      <c r="M2686" s="7"/>
      <c r="N2686" s="7" t="str">
        <f>IFERROR(__xludf.DUMMYFUNCTION("""COMPUTED_VALUE"""),"Patricio Salas|46149")</f>
        <v>Patricio Salas|46149</v>
      </c>
      <c r="O2686" s="7">
        <f>IFERROR(__xludf.DUMMYFUNCTION("""COMPUTED_VALUE"""),5.0)</f>
        <v>5</v>
      </c>
    </row>
    <row r="2687" ht="22.5" hidden="1" customHeight="1">
      <c r="A2687" s="8">
        <v>46013.68832883102</v>
      </c>
      <c r="B2687" s="9">
        <v>46013.0</v>
      </c>
      <c r="C2687" s="9" t="s">
        <v>86</v>
      </c>
      <c r="D2687" s="9" t="s">
        <v>397</v>
      </c>
      <c r="E2687" s="9" t="s">
        <v>17</v>
      </c>
      <c r="F2687" s="9" t="s">
        <v>17</v>
      </c>
      <c r="G2687" s="9" t="s">
        <v>24</v>
      </c>
      <c r="H2687" s="9" t="s">
        <v>22</v>
      </c>
      <c r="I2687" s="9" t="s">
        <v>20</v>
      </c>
      <c r="J2687" s="10"/>
      <c r="K2687" s="1" t="s">
        <v>398</v>
      </c>
      <c r="L2687" s="7"/>
      <c r="M2687" s="7"/>
      <c r="N2687" s="7" t="str">
        <f>IFERROR(__xludf.DUMMYFUNCTION("""COMPUTED_VALUE"""),"Kevin Álvarez|46149")</f>
        <v>Kevin Álvarez|46149</v>
      </c>
      <c r="O2687" s="7">
        <f>IFERROR(__xludf.DUMMYFUNCTION("""COMPUTED_VALUE"""),5.0)</f>
        <v>5</v>
      </c>
    </row>
    <row r="2688" ht="22.5" hidden="1" customHeight="1">
      <c r="A2688" s="8">
        <v>46013.688577152774</v>
      </c>
      <c r="B2688" s="9">
        <v>46013.0</v>
      </c>
      <c r="C2688" s="9" t="s">
        <v>86</v>
      </c>
      <c r="D2688" s="9" t="s">
        <v>361</v>
      </c>
      <c r="E2688" s="9" t="s">
        <v>17</v>
      </c>
      <c r="F2688" s="9" t="s">
        <v>17</v>
      </c>
      <c r="G2688" s="9" t="s">
        <v>24</v>
      </c>
      <c r="H2688" s="9" t="s">
        <v>22</v>
      </c>
      <c r="I2688" s="9" t="s">
        <v>20</v>
      </c>
      <c r="J2688" s="10"/>
      <c r="K2688" s="1" t="s">
        <v>398</v>
      </c>
      <c r="L2688" s="7"/>
      <c r="M2688" s="7"/>
      <c r="N2688" s="7" t="str">
        <f>IFERROR(__xludf.DUMMYFUNCTION("""COMPUTED_VALUE"""),"Fernando Tapia|46149")</f>
        <v>Fernando Tapia|46149</v>
      </c>
      <c r="O2688" s="7">
        <f>IFERROR(__xludf.DUMMYFUNCTION("""COMPUTED_VALUE"""),3.0)</f>
        <v>3</v>
      </c>
    </row>
    <row r="2689" ht="22.5" hidden="1" customHeight="1">
      <c r="A2689" s="8">
        <v>46014.355254062495</v>
      </c>
      <c r="B2689" s="9">
        <v>46014.0</v>
      </c>
      <c r="C2689" s="9" t="s">
        <v>110</v>
      </c>
      <c r="D2689" s="9" t="s">
        <v>170</v>
      </c>
      <c r="E2689" s="9" t="s">
        <v>17</v>
      </c>
      <c r="F2689" s="9" t="s">
        <v>43</v>
      </c>
      <c r="G2689" s="9" t="s">
        <v>19</v>
      </c>
      <c r="H2689" s="9" t="s">
        <v>62</v>
      </c>
      <c r="I2689" s="9" t="s">
        <v>20</v>
      </c>
      <c r="J2689" s="10"/>
      <c r="K2689" s="1">
        <v>4.0</v>
      </c>
      <c r="L2689" s="7"/>
      <c r="M2689" s="7"/>
      <c r="N2689" s="7" t="str">
        <f>IFERROR(__xludf.DUMMYFUNCTION("""COMPUTED_VALUE"""),"Alan Cervantes|46149")</f>
        <v>Alan Cervantes|46149</v>
      </c>
      <c r="O2689" s="7">
        <f>IFERROR(__xludf.DUMMYFUNCTION("""COMPUTED_VALUE"""),6.0)</f>
        <v>6</v>
      </c>
    </row>
    <row r="2690" ht="22.5" hidden="1" customHeight="1">
      <c r="A2690" s="8">
        <v>46014.366081238426</v>
      </c>
      <c r="B2690" s="9">
        <v>46014.0</v>
      </c>
      <c r="C2690" s="9" t="s">
        <v>110</v>
      </c>
      <c r="D2690" s="9" t="s">
        <v>258</v>
      </c>
      <c r="E2690" s="9" t="s">
        <v>46</v>
      </c>
      <c r="F2690" s="9" t="s">
        <v>17</v>
      </c>
      <c r="G2690" s="9" t="s">
        <v>24</v>
      </c>
      <c r="H2690" s="9" t="s">
        <v>22</v>
      </c>
      <c r="I2690" s="9" t="s">
        <v>20</v>
      </c>
      <c r="J2690" s="10"/>
      <c r="K2690" s="1">
        <v>3.0</v>
      </c>
      <c r="L2690" s="7"/>
      <c r="M2690" s="7"/>
      <c r="N2690" s="7" t="str">
        <f>IFERROR(__xludf.DUMMYFUNCTION("""COMPUTED_VALUE"""),"Rodolfo Cota|46149")</f>
        <v>Rodolfo Cota|46149</v>
      </c>
      <c r="O2690" s="7">
        <f>IFERROR(__xludf.DUMMYFUNCTION("""COMPUTED_VALUE"""),2.0)</f>
        <v>2</v>
      </c>
    </row>
    <row r="2691" ht="22.5" hidden="1" customHeight="1">
      <c r="A2691" s="8">
        <v>46014.366509178246</v>
      </c>
      <c r="B2691" s="9">
        <v>46014.0</v>
      </c>
      <c r="C2691" s="9" t="s">
        <v>110</v>
      </c>
      <c r="D2691" s="9" t="s">
        <v>171</v>
      </c>
      <c r="E2691" s="9" t="s">
        <v>17</v>
      </c>
      <c r="F2691" s="9" t="s">
        <v>17</v>
      </c>
      <c r="G2691" s="9" t="s">
        <v>24</v>
      </c>
      <c r="H2691" s="9" t="s">
        <v>25</v>
      </c>
      <c r="I2691" s="9" t="s">
        <v>34</v>
      </c>
      <c r="J2691" s="10"/>
      <c r="K2691" s="1">
        <v>5.0</v>
      </c>
      <c r="L2691" s="7"/>
      <c r="M2691" s="7"/>
      <c r="N2691" s="7" t="str">
        <f>IFERROR(__xludf.DUMMYFUNCTION("""COMPUTED_VALUE"""),"Vinícius Lima|46149")</f>
        <v>Vinícius Lima|46149</v>
      </c>
      <c r="O2691" s="7">
        <f>IFERROR(__xludf.DUMMYFUNCTION("""COMPUTED_VALUE"""),3.0)</f>
        <v>3</v>
      </c>
    </row>
    <row r="2692" ht="22.5" hidden="1" customHeight="1">
      <c r="A2692" s="8">
        <v>46014.36729189815</v>
      </c>
      <c r="B2692" s="9">
        <v>46014.0</v>
      </c>
      <c r="C2692" s="9" t="s">
        <v>110</v>
      </c>
      <c r="D2692" s="9" t="s">
        <v>175</v>
      </c>
      <c r="E2692" s="9" t="s">
        <v>46</v>
      </c>
      <c r="F2692" s="9" t="s">
        <v>17</v>
      </c>
      <c r="G2692" s="9" t="s">
        <v>24</v>
      </c>
      <c r="H2692" s="9" t="s">
        <v>25</v>
      </c>
      <c r="I2692" s="9" t="s">
        <v>320</v>
      </c>
      <c r="J2692" s="10"/>
      <c r="K2692" s="1">
        <v>4.0</v>
      </c>
      <c r="L2692" s="7"/>
      <c r="M2692" s="7"/>
      <c r="N2692" s="7" t="str">
        <f>IFERROR(__xludf.DUMMYFUNCTION("""COMPUTED_VALUE"""),"Isaías Violante|46149")</f>
        <v>Isaías Violante|46149</v>
      </c>
      <c r="O2692" s="7">
        <f>IFERROR(__xludf.DUMMYFUNCTION("""COMPUTED_VALUE"""),5.0)</f>
        <v>5</v>
      </c>
    </row>
    <row r="2693" ht="22.5" hidden="1" customHeight="1">
      <c r="A2693" s="8">
        <v>46014.36779369213</v>
      </c>
      <c r="B2693" s="9">
        <v>46014.0</v>
      </c>
      <c r="C2693" s="9" t="s">
        <v>110</v>
      </c>
      <c r="D2693" s="9" t="s">
        <v>177</v>
      </c>
      <c r="E2693" s="9" t="s">
        <v>17</v>
      </c>
      <c r="F2693" s="9" t="s">
        <v>17</v>
      </c>
      <c r="G2693" s="9" t="s">
        <v>24</v>
      </c>
      <c r="H2693" s="9" t="s">
        <v>25</v>
      </c>
      <c r="I2693" s="9" t="s">
        <v>79</v>
      </c>
      <c r="J2693" s="10"/>
      <c r="K2693" s="1">
        <v>3.0</v>
      </c>
      <c r="L2693" s="7"/>
      <c r="M2693" s="7"/>
      <c r="N2693" s="7" t="str">
        <f>IFERROR(__xludf.DUMMYFUNCTION("""COMPUTED_VALUE"""),"Alexis Gutiérrez|46149")</f>
        <v>Alexis Gutiérrez|46149</v>
      </c>
      <c r="O2693" s="7">
        <f>IFERROR(__xludf.DUMMYFUNCTION("""COMPUTED_VALUE"""),5.0)</f>
        <v>5</v>
      </c>
    </row>
    <row r="2694" ht="22.5" hidden="1" customHeight="1">
      <c r="A2694" s="8">
        <v>46014.368286620374</v>
      </c>
      <c r="B2694" s="9">
        <v>46014.0</v>
      </c>
      <c r="C2694" s="9" t="s">
        <v>110</v>
      </c>
      <c r="D2694" s="9" t="s">
        <v>168</v>
      </c>
      <c r="E2694" s="9" t="s">
        <v>17</v>
      </c>
      <c r="F2694" s="9" t="s">
        <v>17</v>
      </c>
      <c r="G2694" s="9" t="s">
        <v>24</v>
      </c>
      <c r="H2694" s="9" t="s">
        <v>22</v>
      </c>
      <c r="I2694" s="9" t="s">
        <v>20</v>
      </c>
      <c r="J2694" s="10"/>
      <c r="K2694" s="1">
        <v>2.0</v>
      </c>
      <c r="L2694" s="7"/>
      <c r="M2694" s="7"/>
      <c r="N2694" s="7" t="str">
        <f>IFERROR(__xludf.DUMMYFUNCTION("""COMPUTED_VALUE"""),"Néstor Araujo|46149")</f>
        <v>Néstor Araujo|46149</v>
      </c>
      <c r="O2694" s="7">
        <f>IFERROR(__xludf.DUMMYFUNCTION("""COMPUTED_VALUE"""),6.0)</f>
        <v>6</v>
      </c>
    </row>
    <row r="2695" ht="22.5" hidden="1" customHeight="1">
      <c r="A2695" s="8">
        <v>46014.36884717592</v>
      </c>
      <c r="B2695" s="9">
        <v>46014.0</v>
      </c>
      <c r="C2695" s="9" t="s">
        <v>110</v>
      </c>
      <c r="D2695" s="9" t="s">
        <v>178</v>
      </c>
      <c r="E2695" s="9" t="s">
        <v>46</v>
      </c>
      <c r="F2695" s="9" t="s">
        <v>17</v>
      </c>
      <c r="G2695" s="9" t="s">
        <v>24</v>
      </c>
      <c r="H2695" s="9" t="s">
        <v>25</v>
      </c>
      <c r="I2695" s="9" t="s">
        <v>41</v>
      </c>
      <c r="J2695" s="10"/>
      <c r="K2695" s="1">
        <v>7.0</v>
      </c>
      <c r="L2695" s="7"/>
      <c r="M2695" s="7"/>
      <c r="N2695" s="7" t="str">
        <f>IFERROR(__xludf.DUMMYFUNCTION("""COMPUTED_VALUE"""),"Rodrigo Dourado|46149")</f>
        <v>Rodrigo Dourado|46149</v>
      </c>
      <c r="O2695" s="7">
        <f>IFERROR(__xludf.DUMMYFUNCTION("""COMPUTED_VALUE"""),4.0)</f>
        <v>4</v>
      </c>
    </row>
    <row r="2696" ht="22.5" hidden="1" customHeight="1">
      <c r="A2696" s="8">
        <v>46014.369300185186</v>
      </c>
      <c r="B2696" s="9">
        <v>46014.0</v>
      </c>
      <c r="C2696" s="9" t="s">
        <v>110</v>
      </c>
      <c r="D2696" s="9" t="s">
        <v>280</v>
      </c>
      <c r="E2696" s="9" t="s">
        <v>17</v>
      </c>
      <c r="F2696" s="9" t="s">
        <v>17</v>
      </c>
      <c r="G2696" s="9" t="s">
        <v>24</v>
      </c>
      <c r="H2696" s="9" t="s">
        <v>25</v>
      </c>
      <c r="I2696" s="9" t="s">
        <v>222</v>
      </c>
      <c r="J2696" s="10"/>
      <c r="K2696" s="1" t="s">
        <v>398</v>
      </c>
      <c r="L2696" s="7"/>
      <c r="M2696" s="7"/>
      <c r="N2696" s="7" t="str">
        <f>IFERROR(__xludf.DUMMYFUNCTION("""COMPUTED_VALUE"""),"Raphael Veiga|46149")</f>
        <v>Raphael Veiga|46149</v>
      </c>
      <c r="O2696" s="7">
        <f>IFERROR(__xludf.DUMMYFUNCTION("""COMPUTED_VALUE"""),5.0)</f>
        <v>5</v>
      </c>
    </row>
    <row r="2697" ht="22.5" hidden="1" customHeight="1">
      <c r="A2697" s="8">
        <v>46014.36972478009</v>
      </c>
      <c r="B2697" s="9">
        <v>46014.0</v>
      </c>
      <c r="C2697" s="9" t="s">
        <v>110</v>
      </c>
      <c r="D2697" s="9" t="s">
        <v>335</v>
      </c>
      <c r="E2697" s="9" t="s">
        <v>17</v>
      </c>
      <c r="F2697" s="9" t="s">
        <v>17</v>
      </c>
      <c r="G2697" s="9" t="s">
        <v>24</v>
      </c>
      <c r="H2697" s="9" t="s">
        <v>25</v>
      </c>
      <c r="I2697" s="9" t="s">
        <v>211</v>
      </c>
      <c r="J2697" s="10"/>
      <c r="K2697" s="1">
        <v>3.0</v>
      </c>
      <c r="L2697" s="7"/>
      <c r="M2697" s="7"/>
      <c r="N2697" s="7" t="str">
        <f>IFERROR(__xludf.DUMMYFUNCTION("""COMPUTED_VALUE"""),"Thiago Espinosa|46149")</f>
        <v>Thiago Espinosa|46149</v>
      </c>
      <c r="O2697" s="7">
        <f>IFERROR(__xludf.DUMMYFUNCTION("""COMPUTED_VALUE"""),4.0)</f>
        <v>4</v>
      </c>
    </row>
    <row r="2698" ht="22.5" hidden="1" customHeight="1">
      <c r="A2698" s="8">
        <v>46014.37022012731</v>
      </c>
      <c r="B2698" s="9">
        <v>46014.0</v>
      </c>
      <c r="C2698" s="9" t="s">
        <v>110</v>
      </c>
      <c r="D2698" s="9" t="s">
        <v>394</v>
      </c>
      <c r="E2698" s="9" t="s">
        <v>61</v>
      </c>
      <c r="F2698" s="9" t="s">
        <v>17</v>
      </c>
      <c r="G2698" s="9" t="s">
        <v>24</v>
      </c>
      <c r="H2698" s="9" t="s">
        <v>22</v>
      </c>
      <c r="I2698" s="9" t="s">
        <v>20</v>
      </c>
      <c r="J2698" s="10"/>
      <c r="K2698" s="1">
        <v>4.0</v>
      </c>
      <c r="L2698" s="7"/>
      <c r="M2698" s="7"/>
      <c r="N2698" s="7" t="str">
        <f>IFERROR(__xludf.DUMMYFUNCTION("""COMPUTED_VALUE"""),"Dagoberto Espinoza|46149")</f>
        <v>Dagoberto Espinoza|46149</v>
      </c>
      <c r="O2698" s="7">
        <f>IFERROR(__xludf.DUMMYFUNCTION("""COMPUTED_VALUE"""),6.0)</f>
        <v>6</v>
      </c>
    </row>
    <row r="2699" ht="22.5" hidden="1" customHeight="1">
      <c r="A2699" s="8">
        <v>46014.37053568287</v>
      </c>
      <c r="B2699" s="9">
        <v>46014.0</v>
      </c>
      <c r="C2699" s="9" t="s">
        <v>110</v>
      </c>
      <c r="D2699" s="9" t="s">
        <v>174</v>
      </c>
      <c r="E2699" s="9" t="s">
        <v>17</v>
      </c>
      <c r="F2699" s="9" t="s">
        <v>17</v>
      </c>
      <c r="G2699" s="9" t="s">
        <v>24</v>
      </c>
      <c r="H2699" s="9" t="s">
        <v>22</v>
      </c>
      <c r="I2699" s="9" t="s">
        <v>20</v>
      </c>
      <c r="J2699" s="10"/>
      <c r="K2699" s="1">
        <v>4.0</v>
      </c>
      <c r="L2699" s="7"/>
      <c r="M2699" s="7"/>
      <c r="N2699" s="7" t="str">
        <f>IFERROR(__xludf.DUMMYFUNCTION("""COMPUTED_VALUE"""),"Miguel Vázquez|46149")</f>
        <v>Miguel Vázquez|46149</v>
      </c>
      <c r="O2699" s="7">
        <f>IFERROR(__xludf.DUMMYFUNCTION("""COMPUTED_VALUE"""),4.0)</f>
        <v>4</v>
      </c>
    </row>
    <row r="2700" ht="22.5" hidden="1" customHeight="1">
      <c r="A2700" s="8">
        <v>46014.37097525463</v>
      </c>
      <c r="B2700" s="9">
        <v>46014.0</v>
      </c>
      <c r="C2700" s="9" t="s">
        <v>110</v>
      </c>
      <c r="D2700" s="9" t="s">
        <v>210</v>
      </c>
      <c r="E2700" s="9" t="s">
        <v>44</v>
      </c>
      <c r="F2700" s="9" t="s">
        <v>17</v>
      </c>
      <c r="G2700" s="9" t="s">
        <v>24</v>
      </c>
      <c r="H2700" s="9" t="s">
        <v>22</v>
      </c>
      <c r="I2700" s="9" t="s">
        <v>20</v>
      </c>
      <c r="J2700" s="10"/>
      <c r="K2700" s="1">
        <v>6.0</v>
      </c>
      <c r="L2700" s="7"/>
      <c r="M2700" s="7"/>
      <c r="N2700" s="7" t="str">
        <f>IFERROR(__xludf.DUMMYFUNCTION("""COMPUTED_VALUE"""),"Brian Rodríguez|46149")</f>
        <v>Brian Rodríguez|46149</v>
      </c>
      <c r="O2700" s="7">
        <f>IFERROR(__xludf.DUMMYFUNCTION("""COMPUTED_VALUE"""),3.0)</f>
        <v>3</v>
      </c>
    </row>
    <row r="2701" ht="22.5" hidden="1" customHeight="1">
      <c r="A2701" s="8">
        <v>46014.37143585648</v>
      </c>
      <c r="B2701" s="9">
        <v>46014.0</v>
      </c>
      <c r="C2701" s="9" t="s">
        <v>110</v>
      </c>
      <c r="D2701" s="9" t="s">
        <v>257</v>
      </c>
      <c r="E2701" s="9" t="s">
        <v>61</v>
      </c>
      <c r="F2701" s="9" t="s">
        <v>17</v>
      </c>
      <c r="G2701" s="9" t="s">
        <v>24</v>
      </c>
      <c r="H2701" s="9" t="s">
        <v>22</v>
      </c>
      <c r="I2701" s="9" t="s">
        <v>20</v>
      </c>
      <c r="J2701" s="10"/>
      <c r="K2701" s="1" t="s">
        <v>398</v>
      </c>
      <c r="L2701" s="7"/>
      <c r="M2701" s="7"/>
      <c r="N2701" s="7" t="str">
        <f>IFERROR(__xludf.DUMMYFUNCTION("""COMPUTED_VALUE"""),"Santiago Naveda|46149")</f>
        <v>Santiago Naveda|46149</v>
      </c>
      <c r="O2701" s="7">
        <f>IFERROR(__xludf.DUMMYFUNCTION("""COMPUTED_VALUE"""),5.0)</f>
        <v>5</v>
      </c>
    </row>
    <row r="2702" ht="22.5" hidden="1" customHeight="1">
      <c r="A2702" s="8">
        <v>46014.37370295139</v>
      </c>
      <c r="B2702" s="9">
        <v>46014.0</v>
      </c>
      <c r="C2702" s="9" t="s">
        <v>110</v>
      </c>
      <c r="D2702" s="9" t="s">
        <v>223</v>
      </c>
      <c r="E2702" s="9" t="s">
        <v>17</v>
      </c>
      <c r="F2702" s="9" t="s">
        <v>17</v>
      </c>
      <c r="G2702" s="9" t="s">
        <v>24</v>
      </c>
      <c r="H2702" s="9" t="s">
        <v>25</v>
      </c>
      <c r="I2702" s="9" t="s">
        <v>402</v>
      </c>
      <c r="J2702" s="10"/>
      <c r="K2702" s="1">
        <v>3.0</v>
      </c>
      <c r="L2702" s="7"/>
      <c r="M2702" s="7"/>
      <c r="N2702" s="7" t="str">
        <f>IFERROR(__xludf.DUMMYFUNCTION("""COMPUTED_VALUE"""),"Kevin Álvarez|46150")</f>
        <v>Kevin Álvarez|46150</v>
      </c>
      <c r="O2702" s="7">
        <f>IFERROR(__xludf.DUMMYFUNCTION("""COMPUTED_VALUE"""),4.0)</f>
        <v>4</v>
      </c>
    </row>
    <row r="2703" ht="22.5" hidden="1" customHeight="1">
      <c r="A2703" s="8">
        <v>46014.374090625</v>
      </c>
      <c r="B2703" s="9">
        <v>46014.0</v>
      </c>
      <c r="C2703" s="9" t="s">
        <v>110</v>
      </c>
      <c r="D2703" s="9" t="s">
        <v>247</v>
      </c>
      <c r="E2703" s="9" t="s">
        <v>46</v>
      </c>
      <c r="F2703" s="9" t="s">
        <v>17</v>
      </c>
      <c r="G2703" s="9" t="s">
        <v>24</v>
      </c>
      <c r="H2703" s="9" t="s">
        <v>22</v>
      </c>
      <c r="I2703" s="9" t="s">
        <v>20</v>
      </c>
      <c r="J2703" s="10"/>
      <c r="K2703" s="1">
        <v>4.0</v>
      </c>
      <c r="L2703" s="7"/>
      <c r="M2703" s="7"/>
      <c r="N2703" s="7" t="str">
        <f>IFERROR(__xludf.DUMMYFUNCTION("""COMPUTED_VALUE"""),"Raphael Veiga|46150")</f>
        <v>Raphael Veiga|46150</v>
      </c>
      <c r="O2703" s="7">
        <f>IFERROR(__xludf.DUMMYFUNCTION("""COMPUTED_VALUE"""),3.0)</f>
        <v>3</v>
      </c>
    </row>
    <row r="2704" ht="22.5" hidden="1" customHeight="1">
      <c r="A2704" s="8">
        <v>46014.374461886575</v>
      </c>
      <c r="B2704" s="9">
        <v>46014.0</v>
      </c>
      <c r="C2704" s="9" t="s">
        <v>110</v>
      </c>
      <c r="D2704" s="9" t="s">
        <v>350</v>
      </c>
      <c r="E2704" s="9" t="s">
        <v>17</v>
      </c>
      <c r="F2704" s="9" t="s">
        <v>17</v>
      </c>
      <c r="G2704" s="9" t="s">
        <v>24</v>
      </c>
      <c r="H2704" s="9" t="s">
        <v>25</v>
      </c>
      <c r="I2704" s="9" t="s">
        <v>79</v>
      </c>
      <c r="J2704" s="10"/>
      <c r="K2704" s="1">
        <v>3.0</v>
      </c>
      <c r="L2704" s="7"/>
      <c r="M2704" s="7"/>
      <c r="N2704" s="7" t="str">
        <f>IFERROR(__xludf.DUMMYFUNCTION("""COMPUTED_VALUE"""),"Brian Rodríguez|46150")</f>
        <v>Brian Rodríguez|46150</v>
      </c>
      <c r="O2704" s="7">
        <f>IFERROR(__xludf.DUMMYFUNCTION("""COMPUTED_VALUE"""),4.0)</f>
        <v>4</v>
      </c>
    </row>
    <row r="2705" ht="22.5" hidden="1" customHeight="1">
      <c r="A2705" s="8">
        <v>46014.374851342596</v>
      </c>
      <c r="B2705" s="9">
        <v>46014.0</v>
      </c>
      <c r="C2705" s="9" t="s">
        <v>110</v>
      </c>
      <c r="D2705" s="9" t="s">
        <v>361</v>
      </c>
      <c r="E2705" s="9" t="s">
        <v>17</v>
      </c>
      <c r="F2705" s="9" t="s">
        <v>17</v>
      </c>
      <c r="G2705" s="9" t="s">
        <v>24</v>
      </c>
      <c r="H2705" s="9" t="s">
        <v>22</v>
      </c>
      <c r="I2705" s="9" t="s">
        <v>20</v>
      </c>
      <c r="J2705" s="10"/>
      <c r="K2705" s="1" t="s">
        <v>398</v>
      </c>
      <c r="L2705" s="7"/>
      <c r="M2705" s="7"/>
      <c r="N2705" s="7" t="str">
        <f>IFERROR(__xludf.DUMMYFUNCTION("""COMPUTED_VALUE"""),"Thiago Espinosa|46150")</f>
        <v>Thiago Espinosa|46150</v>
      </c>
      <c r="O2705" s="7">
        <f>IFERROR(__xludf.DUMMYFUNCTION("""COMPUTED_VALUE"""),5.0)</f>
        <v>5</v>
      </c>
    </row>
    <row r="2706" ht="22.5" hidden="1" customHeight="1">
      <c r="A2706" s="8">
        <v>46014.375244062496</v>
      </c>
      <c r="B2706" s="9">
        <v>46014.0</v>
      </c>
      <c r="C2706" s="9" t="s">
        <v>110</v>
      </c>
      <c r="D2706" s="9" t="s">
        <v>395</v>
      </c>
      <c r="E2706" s="9" t="s">
        <v>17</v>
      </c>
      <c r="F2706" s="9" t="s">
        <v>17</v>
      </c>
      <c r="G2706" s="9" t="s">
        <v>24</v>
      </c>
      <c r="H2706" s="9" t="s">
        <v>22</v>
      </c>
      <c r="I2706" s="9" t="s">
        <v>20</v>
      </c>
      <c r="J2706" s="10"/>
      <c r="K2706" s="1">
        <v>4.0</v>
      </c>
      <c r="L2706" s="7"/>
      <c r="M2706" s="7"/>
      <c r="N2706" s="7" t="str">
        <f>IFERROR(__xludf.DUMMYFUNCTION("""COMPUTED_VALUE"""),"Aaron Mejia|46150")</f>
        <v>Aaron Mejia|46150</v>
      </c>
      <c r="O2706" s="7">
        <f>IFERROR(__xludf.DUMMYFUNCTION("""COMPUTED_VALUE"""),2.0)</f>
        <v>2</v>
      </c>
    </row>
    <row r="2707" ht="22.5" hidden="1" customHeight="1">
      <c r="A2707" s="8">
        <v>46014.37572994213</v>
      </c>
      <c r="B2707" s="9">
        <v>46014.0</v>
      </c>
      <c r="C2707" s="9" t="s">
        <v>110</v>
      </c>
      <c r="D2707" s="9" t="s">
        <v>357</v>
      </c>
      <c r="E2707" s="9" t="s">
        <v>17</v>
      </c>
      <c r="F2707" s="9" t="s">
        <v>17</v>
      </c>
      <c r="G2707" s="9" t="s">
        <v>24</v>
      </c>
      <c r="H2707" s="9" t="s">
        <v>25</v>
      </c>
      <c r="I2707" s="9" t="s">
        <v>211</v>
      </c>
      <c r="J2707" s="10"/>
      <c r="K2707" s="1">
        <v>4.0</v>
      </c>
      <c r="L2707" s="7"/>
      <c r="M2707" s="7"/>
      <c r="N2707" s="7" t="str">
        <f>IFERROR(__xludf.DUMMYFUNCTION("""COMPUTED_VALUE"""),"Néstor Araujo|46150")</f>
        <v>Néstor Araujo|46150</v>
      </c>
      <c r="O2707" s="7">
        <f>IFERROR(__xludf.DUMMYFUNCTION("""COMPUTED_VALUE"""),5.0)</f>
        <v>5</v>
      </c>
    </row>
    <row r="2708" ht="22.5" hidden="1" customHeight="1">
      <c r="A2708" s="8">
        <v>46014.37598351852</v>
      </c>
      <c r="B2708" s="9">
        <v>46014.0</v>
      </c>
      <c r="C2708" s="9" t="s">
        <v>110</v>
      </c>
      <c r="D2708" s="9" t="s">
        <v>393</v>
      </c>
      <c r="E2708" s="9" t="s">
        <v>17</v>
      </c>
      <c r="F2708" s="9" t="s">
        <v>17</v>
      </c>
      <c r="G2708" s="9" t="s">
        <v>24</v>
      </c>
      <c r="H2708" s="9" t="s">
        <v>22</v>
      </c>
      <c r="I2708" s="9" t="s">
        <v>20</v>
      </c>
      <c r="J2708" s="10"/>
      <c r="K2708" s="1" t="s">
        <v>398</v>
      </c>
      <c r="L2708" s="7"/>
      <c r="M2708" s="7"/>
      <c r="N2708" s="7" t="str">
        <f>IFERROR(__xludf.DUMMYFUNCTION("""COMPUTED_VALUE"""),"Ramón Juárez|46150")</f>
        <v>Ramón Juárez|46150</v>
      </c>
      <c r="O2708" s="7">
        <f>IFERROR(__xludf.DUMMYFUNCTION("""COMPUTED_VALUE"""),4.0)</f>
        <v>4</v>
      </c>
    </row>
    <row r="2709" ht="22.5" hidden="1" customHeight="1">
      <c r="A2709" s="8">
        <v>46014.377127314816</v>
      </c>
      <c r="B2709" s="9">
        <v>46014.0</v>
      </c>
      <c r="C2709" s="9" t="s">
        <v>110</v>
      </c>
      <c r="D2709" s="9" t="s">
        <v>396</v>
      </c>
      <c r="E2709" s="9" t="s">
        <v>17</v>
      </c>
      <c r="F2709" s="9" t="s">
        <v>35</v>
      </c>
      <c r="G2709" s="9" t="s">
        <v>19</v>
      </c>
      <c r="H2709" s="9" t="s">
        <v>25</v>
      </c>
      <c r="I2709" s="9" t="s">
        <v>37</v>
      </c>
      <c r="J2709" s="10"/>
      <c r="K2709" s="1">
        <v>3.0</v>
      </c>
      <c r="L2709" s="7"/>
      <c r="M2709" s="7"/>
      <c r="N2709" s="7" t="str">
        <f>IFERROR(__xludf.DUMMYFUNCTION("""COMPUTED_VALUE"""),"Fernando Tapia|46150")</f>
        <v>Fernando Tapia|46150</v>
      </c>
      <c r="O2709" s="7">
        <f>IFERROR(__xludf.DUMMYFUNCTION("""COMPUTED_VALUE"""),4.0)</f>
        <v>4</v>
      </c>
    </row>
    <row r="2710" ht="22.5" hidden="1" customHeight="1">
      <c r="A2710" s="8">
        <v>46014.38273574074</v>
      </c>
      <c r="B2710" s="9">
        <v>46014.0</v>
      </c>
      <c r="C2710" s="9" t="s">
        <v>110</v>
      </c>
      <c r="D2710" s="9" t="s">
        <v>397</v>
      </c>
      <c r="E2710" s="9" t="s">
        <v>17</v>
      </c>
      <c r="F2710" s="9" t="s">
        <v>60</v>
      </c>
      <c r="G2710" s="9" t="s">
        <v>24</v>
      </c>
      <c r="H2710" s="9" t="s">
        <v>25</v>
      </c>
      <c r="I2710" s="9" t="s">
        <v>50</v>
      </c>
      <c r="J2710" s="10"/>
      <c r="K2710" s="1">
        <v>3.0</v>
      </c>
      <c r="L2710" s="7"/>
      <c r="M2710" s="7"/>
      <c r="N2710" s="7" t="str">
        <f>IFERROR(__xludf.DUMMYFUNCTION("""COMPUTED_VALUE"""),"Dagoberto Espinoza|46150")</f>
        <v>Dagoberto Espinoza|46150</v>
      </c>
      <c r="O2710" s="7">
        <f>IFERROR(__xludf.DUMMYFUNCTION("""COMPUTED_VALUE"""),6.0)</f>
        <v>6</v>
      </c>
    </row>
    <row r="2711" ht="22.5" hidden="1" customHeight="1">
      <c r="A2711" s="8">
        <v>46014.38317577547</v>
      </c>
      <c r="B2711" s="9">
        <v>46014.0</v>
      </c>
      <c r="C2711" s="9" t="s">
        <v>110</v>
      </c>
      <c r="D2711" s="9" t="s">
        <v>367</v>
      </c>
      <c r="E2711" s="9" t="s">
        <v>17</v>
      </c>
      <c r="F2711" s="9" t="s">
        <v>17</v>
      </c>
      <c r="G2711" s="9" t="s">
        <v>24</v>
      </c>
      <c r="H2711" s="9" t="s">
        <v>22</v>
      </c>
      <c r="I2711" s="9" t="s">
        <v>20</v>
      </c>
      <c r="J2711" s="10"/>
      <c r="K2711" s="1">
        <v>3.0</v>
      </c>
      <c r="L2711" s="7"/>
      <c r="M2711" s="7"/>
      <c r="N2711" s="7" t="str">
        <f>IFERROR(__xludf.DUMMYFUNCTION("""COMPUTED_VALUE"""),"Isaías Violante|46150")</f>
        <v>Isaías Violante|46150</v>
      </c>
      <c r="O2711" s="7">
        <f>IFERROR(__xludf.DUMMYFUNCTION("""COMPUTED_VALUE"""),4.0)</f>
        <v>4</v>
      </c>
    </row>
    <row r="2712" ht="22.5" hidden="1" customHeight="1">
      <c r="A2712" s="8">
        <v>46014.631960115745</v>
      </c>
      <c r="B2712" s="9">
        <v>46014.0</v>
      </c>
      <c r="C2712" s="9" t="s">
        <v>110</v>
      </c>
      <c r="D2712" s="9" t="s">
        <v>258</v>
      </c>
      <c r="E2712" s="9" t="s">
        <v>17</v>
      </c>
      <c r="F2712" s="9" t="s">
        <v>17</v>
      </c>
      <c r="G2712" s="9" t="s">
        <v>24</v>
      </c>
      <c r="H2712" s="9" t="s">
        <v>22</v>
      </c>
      <c r="I2712" s="9" t="s">
        <v>20</v>
      </c>
      <c r="J2712" s="10"/>
      <c r="K2712" s="1">
        <v>3.0</v>
      </c>
      <c r="L2712" s="7"/>
      <c r="M2712" s="7"/>
      <c r="N2712" s="7" t="str">
        <f>IFERROR(__xludf.DUMMYFUNCTION("""COMPUTED_VALUE"""),"Miguel Vázquez|46150")</f>
        <v>Miguel Vázquez|46150</v>
      </c>
      <c r="O2712" s="7">
        <f>IFERROR(__xludf.DUMMYFUNCTION("""COMPUTED_VALUE"""),3.0)</f>
        <v>3</v>
      </c>
    </row>
    <row r="2713" ht="22.5" hidden="1" customHeight="1">
      <c r="A2713" s="8">
        <v>46014.63232362269</v>
      </c>
      <c r="B2713" s="9">
        <v>46014.0</v>
      </c>
      <c r="C2713" s="9" t="s">
        <v>110</v>
      </c>
      <c r="D2713" s="9" t="s">
        <v>177</v>
      </c>
      <c r="E2713" s="9" t="s">
        <v>17</v>
      </c>
      <c r="F2713" s="9" t="s">
        <v>17</v>
      </c>
      <c r="G2713" s="9" t="s">
        <v>24</v>
      </c>
      <c r="H2713" s="9" t="s">
        <v>22</v>
      </c>
      <c r="I2713" s="9" t="s">
        <v>20</v>
      </c>
      <c r="J2713" s="10"/>
      <c r="K2713" s="1">
        <v>3.0</v>
      </c>
      <c r="L2713" s="7"/>
      <c r="M2713" s="7"/>
      <c r="N2713" s="7" t="str">
        <f>IFERROR(__xludf.DUMMYFUNCTION("""COMPUTED_VALUE"""),"Alejando Zendejas|46150")</f>
        <v>Alejando Zendejas|46150</v>
      </c>
      <c r="O2713" s="7">
        <f>IFERROR(__xludf.DUMMYFUNCTION("""COMPUTED_VALUE"""),3.0)</f>
        <v>3</v>
      </c>
    </row>
    <row r="2714" ht="22.5" hidden="1" customHeight="1">
      <c r="A2714" s="8">
        <v>46014.63275675926</v>
      </c>
      <c r="B2714" s="9">
        <v>46014.0</v>
      </c>
      <c r="C2714" s="9" t="s">
        <v>110</v>
      </c>
      <c r="D2714" s="9" t="s">
        <v>257</v>
      </c>
      <c r="E2714" s="9" t="s">
        <v>17</v>
      </c>
      <c r="F2714" s="9" t="s">
        <v>17</v>
      </c>
      <c r="G2714" s="9" t="s">
        <v>24</v>
      </c>
      <c r="H2714" s="9" t="s">
        <v>25</v>
      </c>
      <c r="I2714" s="9" t="s">
        <v>240</v>
      </c>
      <c r="J2714" s="10"/>
      <c r="K2714" s="1" t="s">
        <v>398</v>
      </c>
      <c r="L2714" s="7"/>
      <c r="M2714" s="7"/>
      <c r="N2714" s="7" t="str">
        <f>IFERROR(__xludf.DUMMYFUNCTION("""COMPUTED_VALUE"""),"Rodrigo Dourado|46150")</f>
        <v>Rodrigo Dourado|46150</v>
      </c>
      <c r="O2714" s="7">
        <f>IFERROR(__xludf.DUMMYFUNCTION("""COMPUTED_VALUE"""),4.0)</f>
        <v>4</v>
      </c>
    </row>
    <row r="2715" ht="22.5" hidden="1" customHeight="1">
      <c r="A2715" s="8">
        <v>46014.633084270834</v>
      </c>
      <c r="B2715" s="9">
        <v>46014.0</v>
      </c>
      <c r="C2715" s="9" t="s">
        <v>110</v>
      </c>
      <c r="D2715" s="9" t="s">
        <v>350</v>
      </c>
      <c r="E2715" s="9" t="s">
        <v>17</v>
      </c>
      <c r="F2715" s="9" t="s">
        <v>17</v>
      </c>
      <c r="G2715" s="9" t="s">
        <v>24</v>
      </c>
      <c r="H2715" s="9" t="s">
        <v>25</v>
      </c>
      <c r="I2715" s="9" t="s">
        <v>89</v>
      </c>
      <c r="J2715" s="10"/>
      <c r="K2715" s="1">
        <v>3.0</v>
      </c>
      <c r="L2715" s="7"/>
      <c r="M2715" s="7"/>
      <c r="N2715" s="7" t="str">
        <f>IFERROR(__xludf.DUMMYFUNCTION("""COMPUTED_VALUE"""),"Jonathan Dos Santos|46150")</f>
        <v>Jonathan Dos Santos|46150</v>
      </c>
      <c r="O2715" s="7">
        <f>IFERROR(__xludf.DUMMYFUNCTION("""COMPUTED_VALUE"""),3.0)</f>
        <v>3</v>
      </c>
    </row>
    <row r="2716" ht="22.5" hidden="1" customHeight="1">
      <c r="A2716" s="8">
        <v>46014.64826628473</v>
      </c>
      <c r="B2716" s="9">
        <v>46014.0</v>
      </c>
      <c r="C2716" s="9" t="s">
        <v>110</v>
      </c>
      <c r="D2716" s="9" t="s">
        <v>247</v>
      </c>
      <c r="E2716" s="9" t="s">
        <v>17</v>
      </c>
      <c r="F2716" s="9" t="s">
        <v>17</v>
      </c>
      <c r="G2716" s="9" t="s">
        <v>24</v>
      </c>
      <c r="H2716" s="9" t="s">
        <v>25</v>
      </c>
      <c r="I2716" s="9" t="s">
        <v>20</v>
      </c>
      <c r="J2716" s="10"/>
      <c r="K2716" s="1">
        <v>4.0</v>
      </c>
      <c r="L2716" s="7"/>
      <c r="M2716" s="7"/>
      <c r="N2716" s="7" t="str">
        <f>IFERROR(__xludf.DUMMYFUNCTION("""COMPUTED_VALUE"""),"Santiago Naveda|46150")</f>
        <v>Santiago Naveda|46150</v>
      </c>
      <c r="O2716" s="7">
        <f>IFERROR(__xludf.DUMMYFUNCTION("""COMPUTED_VALUE"""),4.0)</f>
        <v>4</v>
      </c>
    </row>
    <row r="2717" ht="22.5" hidden="1" customHeight="1">
      <c r="A2717" s="8">
        <v>46015.342232337964</v>
      </c>
      <c r="B2717" s="9">
        <v>46015.0</v>
      </c>
      <c r="C2717" s="9" t="s">
        <v>15</v>
      </c>
      <c r="D2717" s="9" t="s">
        <v>105</v>
      </c>
      <c r="E2717" s="9" t="s">
        <v>17</v>
      </c>
      <c r="F2717" s="9" t="s">
        <v>17</v>
      </c>
      <c r="G2717" s="9" t="s">
        <v>24</v>
      </c>
      <c r="H2717" s="9" t="s">
        <v>22</v>
      </c>
      <c r="I2717" s="9" t="s">
        <v>20</v>
      </c>
      <c r="J2717" s="10"/>
      <c r="K2717" s="1">
        <v>3.0</v>
      </c>
      <c r="L2717" s="7"/>
      <c r="M2717" s="7"/>
      <c r="N2717" s="7" t="str">
        <f>IFERROR(__xludf.DUMMYFUNCTION("""COMPUTED_VALUE"""),"Henry Martín|46150")</f>
        <v>Henry Martín|46150</v>
      </c>
      <c r="O2717" s="7">
        <f>IFERROR(__xludf.DUMMYFUNCTION("""COMPUTED_VALUE"""),4.0)</f>
        <v>4</v>
      </c>
    </row>
    <row r="2718" ht="22.5" hidden="1" customHeight="1">
      <c r="A2718" s="8">
        <v>46015.345183321755</v>
      </c>
      <c r="B2718" s="9">
        <v>46015.0</v>
      </c>
      <c r="C2718" s="9" t="s">
        <v>15</v>
      </c>
      <c r="D2718" s="9" t="s">
        <v>258</v>
      </c>
      <c r="E2718" s="9" t="s">
        <v>46</v>
      </c>
      <c r="F2718" s="9" t="s">
        <v>17</v>
      </c>
      <c r="G2718" s="9" t="s">
        <v>24</v>
      </c>
      <c r="H2718" s="9" t="s">
        <v>22</v>
      </c>
      <c r="I2718" s="9" t="s">
        <v>20</v>
      </c>
      <c r="J2718" s="10"/>
      <c r="K2718" s="1">
        <v>3.0</v>
      </c>
      <c r="L2718" s="7"/>
      <c r="M2718" s="7"/>
      <c r="N2718" s="7" t="str">
        <f>IFERROR(__xludf.DUMMYFUNCTION("""COMPUTED_VALUE"""),"Thiago Espinosa|46150")</f>
        <v>Thiago Espinosa|46150</v>
      </c>
      <c r="O2718" s="7">
        <f>IFERROR(__xludf.DUMMYFUNCTION("""COMPUTED_VALUE"""),2.0)</f>
        <v>2</v>
      </c>
    </row>
    <row r="2719" ht="22.5" hidden="1" customHeight="1">
      <c r="A2719" s="8">
        <v>46015.346323935184</v>
      </c>
      <c r="B2719" s="9">
        <v>46015.0</v>
      </c>
      <c r="C2719" s="9" t="s">
        <v>15</v>
      </c>
      <c r="D2719" s="9" t="s">
        <v>171</v>
      </c>
      <c r="E2719" s="9" t="s">
        <v>17</v>
      </c>
      <c r="F2719" s="9" t="s">
        <v>17</v>
      </c>
      <c r="G2719" s="9" t="s">
        <v>24</v>
      </c>
      <c r="H2719" s="9" t="s">
        <v>22</v>
      </c>
      <c r="I2719" s="9" t="s">
        <v>20</v>
      </c>
      <c r="J2719" s="10"/>
      <c r="K2719" s="1">
        <v>4.0</v>
      </c>
      <c r="L2719" s="7"/>
      <c r="M2719" s="7"/>
      <c r="N2719" s="7" t="str">
        <f>IFERROR(__xludf.DUMMYFUNCTION("""COMPUTED_VALUE"""),"Rodolfo Cota|46150")</f>
        <v>Rodolfo Cota|46150</v>
      </c>
      <c r="O2719" s="7">
        <f>IFERROR(__xludf.DUMMYFUNCTION("""COMPUTED_VALUE"""),2.0)</f>
        <v>2</v>
      </c>
    </row>
    <row r="2720" ht="22.5" hidden="1" customHeight="1">
      <c r="A2720" s="8">
        <v>46015.34721195602</v>
      </c>
      <c r="B2720" s="9">
        <v>46015.0</v>
      </c>
      <c r="C2720" s="9" t="s">
        <v>15</v>
      </c>
      <c r="D2720" s="9" t="s">
        <v>177</v>
      </c>
      <c r="E2720" s="9" t="s">
        <v>17</v>
      </c>
      <c r="F2720" s="9" t="s">
        <v>17</v>
      </c>
      <c r="G2720" s="9" t="s">
        <v>24</v>
      </c>
      <c r="H2720" s="9" t="s">
        <v>22</v>
      </c>
      <c r="I2720" s="9" t="s">
        <v>20</v>
      </c>
      <c r="J2720" s="10"/>
      <c r="K2720" s="1">
        <v>7.0</v>
      </c>
      <c r="L2720" s="7"/>
      <c r="M2720" s="7"/>
      <c r="N2720" s="7" t="str">
        <f>IFERROR(__xludf.DUMMYFUNCTION("""COMPUTED_VALUE"""),"Kevin Álvarez|46182")</f>
        <v>Kevin Álvarez|46182</v>
      </c>
      <c r="O2720" s="7">
        <f>IFERROR(__xludf.DUMMYFUNCTION("""COMPUTED_VALUE"""),7.0)</f>
        <v>7</v>
      </c>
    </row>
    <row r="2721" ht="22.5" hidden="1" customHeight="1">
      <c r="A2721" s="8">
        <v>46015.3498609838</v>
      </c>
      <c r="B2721" s="9">
        <v>46015.0</v>
      </c>
      <c r="C2721" s="9" t="s">
        <v>15</v>
      </c>
      <c r="D2721" s="9" t="s">
        <v>178</v>
      </c>
      <c r="E2721" s="9" t="s">
        <v>46</v>
      </c>
      <c r="F2721" s="9" t="s">
        <v>17</v>
      </c>
      <c r="G2721" s="9" t="s">
        <v>24</v>
      </c>
      <c r="H2721" s="9" t="s">
        <v>22</v>
      </c>
      <c r="I2721" s="9" t="s">
        <v>20</v>
      </c>
      <c r="J2721" s="10"/>
      <c r="K2721" s="1">
        <v>7.0</v>
      </c>
      <c r="L2721" s="7"/>
      <c r="M2721" s="7"/>
      <c r="N2721" s="7" t="str">
        <f>IFERROR(__xludf.DUMMYFUNCTION("""COMPUTED_VALUE"""),"Miguel Vázquez|46182")</f>
        <v>Miguel Vázquez|46182</v>
      </c>
      <c r="O2721" s="7">
        <f>IFERROR(__xludf.DUMMYFUNCTION("""COMPUTED_VALUE"""),8.0)</f>
        <v>8</v>
      </c>
    </row>
    <row r="2722" ht="22.5" hidden="1" customHeight="1">
      <c r="A2722" s="8">
        <v>46015.35064265046</v>
      </c>
      <c r="B2722" s="9">
        <v>46015.0</v>
      </c>
      <c r="C2722" s="9" t="s">
        <v>15</v>
      </c>
      <c r="D2722" s="9" t="s">
        <v>259</v>
      </c>
      <c r="E2722" s="9" t="s">
        <v>46</v>
      </c>
      <c r="F2722" s="9" t="s">
        <v>17</v>
      </c>
      <c r="G2722" s="9" t="s">
        <v>24</v>
      </c>
      <c r="H2722" s="9" t="s">
        <v>22</v>
      </c>
      <c r="I2722" s="9" t="s">
        <v>20</v>
      </c>
      <c r="J2722" s="10"/>
      <c r="K2722" s="1">
        <v>4.0</v>
      </c>
      <c r="L2722" s="7"/>
      <c r="M2722" s="7"/>
      <c r="N2722" s="7" t="str">
        <f>IFERROR(__xludf.DUMMYFUNCTION("""COMPUTED_VALUE"""),"Henry Martín|46182")</f>
        <v>Henry Martín|46182</v>
      </c>
      <c r="O2722" s="7">
        <f>IFERROR(__xludf.DUMMYFUNCTION("""COMPUTED_VALUE"""),8.0)</f>
        <v>8</v>
      </c>
    </row>
    <row r="2723" ht="22.5" hidden="1" customHeight="1">
      <c r="A2723" s="8">
        <v>46015.351042002316</v>
      </c>
      <c r="B2723" s="9">
        <v>46015.0</v>
      </c>
      <c r="C2723" s="9" t="s">
        <v>15</v>
      </c>
      <c r="D2723" s="9" t="s">
        <v>394</v>
      </c>
      <c r="E2723" s="9" t="s">
        <v>17</v>
      </c>
      <c r="F2723" s="9" t="s">
        <v>17</v>
      </c>
      <c r="G2723" s="9" t="s">
        <v>24</v>
      </c>
      <c r="H2723" s="9" t="s">
        <v>22</v>
      </c>
      <c r="I2723" s="9" t="s">
        <v>20</v>
      </c>
      <c r="J2723" s="10"/>
      <c r="K2723" s="1" t="s">
        <v>398</v>
      </c>
      <c r="L2723" s="7"/>
      <c r="M2723" s="7"/>
      <c r="N2723" s="7" t="str">
        <f>IFERROR(__xludf.DUMMYFUNCTION("""COMPUTED_VALUE"""),"Fernando Tapia|46182")</f>
        <v>Fernando Tapia|46182</v>
      </c>
      <c r="O2723" s="7">
        <f>IFERROR(__xludf.DUMMYFUNCTION("""COMPUTED_VALUE"""),8.0)</f>
        <v>8</v>
      </c>
    </row>
    <row r="2724" ht="22.5" hidden="1" customHeight="1">
      <c r="A2724" s="8">
        <v>46015.35153733796</v>
      </c>
      <c r="B2724" s="9">
        <v>46015.0</v>
      </c>
      <c r="C2724" s="9" t="s">
        <v>15</v>
      </c>
      <c r="D2724" s="9" t="s">
        <v>210</v>
      </c>
      <c r="E2724" s="9" t="s">
        <v>17</v>
      </c>
      <c r="F2724" s="9" t="s">
        <v>17</v>
      </c>
      <c r="G2724" s="9" t="s">
        <v>24</v>
      </c>
      <c r="H2724" s="9" t="s">
        <v>22</v>
      </c>
      <c r="I2724" s="9" t="s">
        <v>20</v>
      </c>
      <c r="J2724" s="10"/>
      <c r="K2724" s="1">
        <v>5.0</v>
      </c>
      <c r="L2724" s="7"/>
      <c r="M2724" s="7"/>
      <c r="N2724" s="7" t="str">
        <f>IFERROR(__xludf.DUMMYFUNCTION("""COMPUTED_VALUE"""),"Dagoberto Espinoza|46182")</f>
        <v>Dagoberto Espinoza|46182</v>
      </c>
      <c r="O2724" s="7">
        <f>IFERROR(__xludf.DUMMYFUNCTION("""COMPUTED_VALUE"""),8.0)</f>
        <v>8</v>
      </c>
    </row>
    <row r="2725" ht="22.5" hidden="1" customHeight="1">
      <c r="A2725" s="8">
        <v>46015.35193912037</v>
      </c>
      <c r="B2725" s="9">
        <v>46015.0</v>
      </c>
      <c r="C2725" s="9" t="s">
        <v>15</v>
      </c>
      <c r="D2725" s="9" t="s">
        <v>257</v>
      </c>
      <c r="E2725" s="9" t="s">
        <v>17</v>
      </c>
      <c r="F2725" s="9" t="s">
        <v>17</v>
      </c>
      <c r="G2725" s="9" t="s">
        <v>24</v>
      </c>
      <c r="H2725" s="9" t="s">
        <v>25</v>
      </c>
      <c r="I2725" s="9" t="s">
        <v>26</v>
      </c>
      <c r="J2725" s="10"/>
      <c r="K2725" s="1" t="s">
        <v>398</v>
      </c>
      <c r="L2725" s="7"/>
      <c r="M2725" s="7"/>
      <c r="N2725" s="7" t="str">
        <f>IFERROR(__xludf.DUMMYFUNCTION("""COMPUTED_VALUE"""),"Alexis Gutiérrez|46182")</f>
        <v>Alexis Gutiérrez|46182</v>
      </c>
      <c r="O2725" s="7">
        <f>IFERROR(__xludf.DUMMYFUNCTION("""COMPUTED_VALUE"""),6.0)</f>
        <v>6</v>
      </c>
    </row>
    <row r="2726" ht="22.5" hidden="1" customHeight="1">
      <c r="A2726" s="8">
        <v>46015.35226402778</v>
      </c>
      <c r="B2726" s="9">
        <v>46015.0</v>
      </c>
      <c r="C2726" s="9" t="s">
        <v>15</v>
      </c>
      <c r="D2726" s="9" t="s">
        <v>249</v>
      </c>
      <c r="E2726" s="9" t="s">
        <v>17</v>
      </c>
      <c r="F2726" s="9" t="s">
        <v>17</v>
      </c>
      <c r="G2726" s="9" t="s">
        <v>24</v>
      </c>
      <c r="H2726" s="9" t="s">
        <v>22</v>
      </c>
      <c r="I2726" s="9" t="s">
        <v>20</v>
      </c>
      <c r="J2726" s="10"/>
      <c r="K2726" s="1" t="s">
        <v>398</v>
      </c>
      <c r="L2726" s="7"/>
      <c r="M2726" s="7"/>
      <c r="N2726" s="7" t="str">
        <f>IFERROR(__xludf.DUMMYFUNCTION("""COMPUTED_VALUE"""),"Rodolfo Cota|46182")</f>
        <v>Rodolfo Cota|46182</v>
      </c>
      <c r="O2726" s="7">
        <f>IFERROR(__xludf.DUMMYFUNCTION("""COMPUTED_VALUE"""),4.0)</f>
        <v>4</v>
      </c>
    </row>
    <row r="2727" ht="22.5" hidden="1" customHeight="1">
      <c r="A2727" s="8">
        <v>46015.35463725694</v>
      </c>
      <c r="B2727" s="9">
        <v>46015.0</v>
      </c>
      <c r="C2727" s="9" t="s">
        <v>15</v>
      </c>
      <c r="D2727" s="9" t="s">
        <v>361</v>
      </c>
      <c r="E2727" s="9" t="s">
        <v>17</v>
      </c>
      <c r="F2727" s="9" t="s">
        <v>17</v>
      </c>
      <c r="G2727" s="9" t="s">
        <v>24</v>
      </c>
      <c r="H2727" s="9" t="s">
        <v>22</v>
      </c>
      <c r="I2727" s="9" t="s">
        <v>20</v>
      </c>
      <c r="J2727" s="10"/>
      <c r="K2727" s="1" t="s">
        <v>398</v>
      </c>
      <c r="L2727" s="7"/>
      <c r="M2727" s="7"/>
      <c r="N2727" s="7" t="str">
        <f>IFERROR(__xludf.DUMMYFUNCTION("""COMPUTED_VALUE"""),"Thiago Espinosa|46182")</f>
        <v>Thiago Espinosa|46182</v>
      </c>
      <c r="O2727" s="7">
        <f>IFERROR(__xludf.DUMMYFUNCTION("""COMPUTED_VALUE"""),8.0)</f>
        <v>8</v>
      </c>
    </row>
    <row r="2728" ht="22.5" hidden="1" customHeight="1">
      <c r="A2728" s="8">
        <v>46015.35494684028</v>
      </c>
      <c r="B2728" s="9">
        <v>46015.0</v>
      </c>
      <c r="C2728" s="9" t="s">
        <v>15</v>
      </c>
      <c r="D2728" s="9" t="s">
        <v>395</v>
      </c>
      <c r="E2728" s="9" t="s">
        <v>17</v>
      </c>
      <c r="F2728" s="9" t="s">
        <v>17</v>
      </c>
      <c r="G2728" s="9" t="s">
        <v>24</v>
      </c>
      <c r="H2728" s="9" t="s">
        <v>22</v>
      </c>
      <c r="I2728" s="9" t="s">
        <v>20</v>
      </c>
      <c r="J2728" s="10"/>
      <c r="K2728" s="1">
        <v>5.0</v>
      </c>
      <c r="L2728" s="7"/>
      <c r="M2728" s="7"/>
      <c r="N2728" s="7" t="str">
        <f>IFERROR(__xludf.DUMMYFUNCTION("""COMPUTED_VALUE"""),"Paolo Bedolla|46182")</f>
        <v>Paolo Bedolla|46182</v>
      </c>
      <c r="O2728" s="7">
        <f>IFERROR(__xludf.DUMMYFUNCTION("""COMPUTED_VALUE"""),6.0)</f>
        <v>6</v>
      </c>
    </row>
    <row r="2729" ht="22.5" hidden="1" customHeight="1">
      <c r="A2729" s="8">
        <v>46015.35513675926</v>
      </c>
      <c r="B2729" s="9">
        <v>46015.0</v>
      </c>
      <c r="C2729" s="9" t="s">
        <v>15</v>
      </c>
      <c r="D2729" s="9" t="s">
        <v>393</v>
      </c>
      <c r="E2729" s="9" t="s">
        <v>17</v>
      </c>
      <c r="F2729" s="9" t="s">
        <v>17</v>
      </c>
      <c r="G2729" s="9" t="s">
        <v>24</v>
      </c>
      <c r="H2729" s="9" t="s">
        <v>22</v>
      </c>
      <c r="I2729" s="9" t="s">
        <v>20</v>
      </c>
      <c r="J2729" s="10"/>
      <c r="K2729" s="1" t="s">
        <v>398</v>
      </c>
      <c r="L2729" s="7"/>
      <c r="M2729" s="7"/>
      <c r="N2729" s="7" t="str">
        <f>IFERROR(__xludf.DUMMYFUNCTION("""COMPUTED_VALUE"""),"Santiago Naveda|46182")</f>
        <v>Santiago Naveda|46182</v>
      </c>
      <c r="O2729" s="7">
        <f>IFERROR(__xludf.DUMMYFUNCTION("""COMPUTED_VALUE"""),6.0)</f>
        <v>6</v>
      </c>
    </row>
    <row r="2730" ht="22.5" hidden="1" customHeight="1">
      <c r="A2730" s="8">
        <v>46015.355645972224</v>
      </c>
      <c r="B2730" s="9">
        <v>46015.0</v>
      </c>
      <c r="C2730" s="9" t="s">
        <v>15</v>
      </c>
      <c r="D2730" s="9" t="s">
        <v>247</v>
      </c>
      <c r="E2730" s="9" t="s">
        <v>17</v>
      </c>
      <c r="F2730" s="9" t="s">
        <v>17</v>
      </c>
      <c r="G2730" s="9" t="s">
        <v>24</v>
      </c>
      <c r="H2730" s="9" t="s">
        <v>25</v>
      </c>
      <c r="I2730" s="9" t="s">
        <v>20</v>
      </c>
      <c r="J2730" s="10"/>
      <c r="K2730" s="1">
        <v>3.0</v>
      </c>
      <c r="L2730" s="7"/>
      <c r="M2730" s="7"/>
      <c r="N2730" s="7" t="str">
        <f>IFERROR(__xludf.DUMMYFUNCTION("""COMPUTED_VALUE"""),"Patricio Salas|46182")</f>
        <v>Patricio Salas|46182</v>
      </c>
      <c r="O2730" s="7">
        <f>IFERROR(__xludf.DUMMYFUNCTION("""COMPUTED_VALUE"""),8.0)</f>
        <v>8</v>
      </c>
    </row>
    <row r="2731" ht="22.5" hidden="1" customHeight="1">
      <c r="A2731" s="8">
        <v>46015.35642765046</v>
      </c>
      <c r="B2731" s="9">
        <v>46015.0</v>
      </c>
      <c r="C2731" s="9" t="s">
        <v>15</v>
      </c>
      <c r="D2731" s="9" t="s">
        <v>350</v>
      </c>
      <c r="E2731" s="9" t="s">
        <v>17</v>
      </c>
      <c r="F2731" s="9" t="s">
        <v>17</v>
      </c>
      <c r="G2731" s="9" t="s">
        <v>24</v>
      </c>
      <c r="H2731" s="9" t="s">
        <v>22</v>
      </c>
      <c r="I2731" s="9" t="s">
        <v>20</v>
      </c>
      <c r="J2731" s="10"/>
      <c r="K2731" s="1">
        <v>6.0</v>
      </c>
      <c r="L2731" s="7"/>
      <c r="M2731" s="7"/>
      <c r="N2731" s="7" t="str">
        <f>IFERROR(__xludf.DUMMYFUNCTION("""COMPUTED_VALUE"""),"Raphael Veiga|46182")</f>
        <v>Raphael Veiga|46182</v>
      </c>
      <c r="O2731" s="7">
        <f>IFERROR(__xludf.DUMMYFUNCTION("""COMPUTED_VALUE"""),8.0)</f>
        <v>8</v>
      </c>
    </row>
    <row r="2732" ht="22.5" hidden="1" customHeight="1">
      <c r="A2732" s="8">
        <v>46015.356692430556</v>
      </c>
      <c r="B2732" s="9">
        <v>46015.0</v>
      </c>
      <c r="C2732" s="9" t="s">
        <v>15</v>
      </c>
      <c r="D2732" s="9" t="s">
        <v>170</v>
      </c>
      <c r="E2732" s="9" t="s">
        <v>17</v>
      </c>
      <c r="F2732" s="9" t="s">
        <v>17</v>
      </c>
      <c r="G2732" s="9" t="s">
        <v>24</v>
      </c>
      <c r="H2732" s="9" t="s">
        <v>22</v>
      </c>
      <c r="I2732" s="9" t="s">
        <v>20</v>
      </c>
      <c r="J2732" s="10"/>
      <c r="K2732" s="1">
        <v>3.0</v>
      </c>
      <c r="L2732" s="7"/>
      <c r="M2732" s="7"/>
      <c r="N2732" s="7" t="str">
        <f>IFERROR(__xludf.DUMMYFUNCTION("""COMPUTED_VALUE"""),"José Raúl Zúñiga|46182")</f>
        <v>José Raúl Zúñiga|46182</v>
      </c>
      <c r="O2732" s="7">
        <f>IFERROR(__xludf.DUMMYFUNCTION("""COMPUTED_VALUE"""),4.0)</f>
        <v>4</v>
      </c>
    </row>
    <row r="2733" ht="22.5" hidden="1" customHeight="1">
      <c r="A2733" s="8">
        <v>46015.357331527775</v>
      </c>
      <c r="B2733" s="9">
        <v>46015.0</v>
      </c>
      <c r="C2733" s="9" t="s">
        <v>15</v>
      </c>
      <c r="D2733" s="9" t="s">
        <v>175</v>
      </c>
      <c r="E2733" s="9" t="s">
        <v>17</v>
      </c>
      <c r="F2733" s="9" t="s">
        <v>17</v>
      </c>
      <c r="G2733" s="9" t="s">
        <v>24</v>
      </c>
      <c r="H2733" s="9" t="s">
        <v>22</v>
      </c>
      <c r="I2733" s="9" t="s">
        <v>20</v>
      </c>
      <c r="J2733" s="10"/>
      <c r="K2733" s="1">
        <v>6.0</v>
      </c>
      <c r="L2733" s="7"/>
      <c r="M2733" s="7"/>
      <c r="N2733" s="7" t="str">
        <f>IFERROR(__xludf.DUMMYFUNCTION("""COMPUTED_VALUE"""),"Rodrigo Dourado|46182")</f>
        <v>Rodrigo Dourado|46182</v>
      </c>
      <c r="O2733" s="7">
        <f>IFERROR(__xludf.DUMMYFUNCTION("""COMPUTED_VALUE"""),5.0)</f>
        <v>5</v>
      </c>
    </row>
    <row r="2734" ht="22.5" hidden="1" customHeight="1">
      <c r="A2734" s="8">
        <v>46015.35754813657</v>
      </c>
      <c r="B2734" s="9">
        <v>46015.0</v>
      </c>
      <c r="C2734" s="9" t="s">
        <v>15</v>
      </c>
      <c r="D2734" s="9" t="s">
        <v>168</v>
      </c>
      <c r="E2734" s="9" t="s">
        <v>17</v>
      </c>
      <c r="F2734" s="9" t="s">
        <v>17</v>
      </c>
      <c r="G2734" s="9" t="s">
        <v>24</v>
      </c>
      <c r="H2734" s="9" t="s">
        <v>22</v>
      </c>
      <c r="I2734" s="9" t="s">
        <v>20</v>
      </c>
      <c r="J2734" s="10"/>
      <c r="K2734" s="1" t="s">
        <v>398</v>
      </c>
      <c r="L2734" s="7"/>
      <c r="M2734" s="7"/>
      <c r="N2734" s="7" t="str">
        <f>IFERROR(__xludf.DUMMYFUNCTION("""COMPUTED_VALUE"""),"Alan Cervantes|46182")</f>
        <v>Alan Cervantes|46182</v>
      </c>
      <c r="O2734" s="7">
        <f>IFERROR(__xludf.DUMMYFUNCTION("""COMPUTED_VALUE"""),8.0)</f>
        <v>8</v>
      </c>
    </row>
    <row r="2735" ht="22.5" hidden="1" customHeight="1">
      <c r="A2735" s="8">
        <v>46015.35786024306</v>
      </c>
      <c r="B2735" s="9">
        <v>46015.0</v>
      </c>
      <c r="C2735" s="9" t="s">
        <v>15</v>
      </c>
      <c r="D2735" s="9" t="s">
        <v>335</v>
      </c>
      <c r="E2735" s="9" t="s">
        <v>17</v>
      </c>
      <c r="F2735" s="9" t="s">
        <v>17</v>
      </c>
      <c r="G2735" s="9" t="s">
        <v>24</v>
      </c>
      <c r="H2735" s="9" t="s">
        <v>22</v>
      </c>
      <c r="I2735" s="9" t="s">
        <v>20</v>
      </c>
      <c r="J2735" s="10"/>
      <c r="K2735" s="1">
        <v>4.0</v>
      </c>
      <c r="L2735" s="7"/>
      <c r="M2735" s="7"/>
      <c r="N2735" s="7" t="str">
        <f>IFERROR(__xludf.DUMMYFUNCTION("""COMPUTED_VALUE"""),"Vinícius Lima|46182")</f>
        <v>Vinícius Lima|46182</v>
      </c>
      <c r="O2735" s="7">
        <f>IFERROR(__xludf.DUMMYFUNCTION("""COMPUTED_VALUE"""),8.0)</f>
        <v>8</v>
      </c>
    </row>
    <row r="2736" ht="22.5" hidden="1" customHeight="1">
      <c r="A2736" s="8">
        <v>46015.358132256944</v>
      </c>
      <c r="B2736" s="9">
        <v>46015.0</v>
      </c>
      <c r="C2736" s="9" t="s">
        <v>15</v>
      </c>
      <c r="D2736" s="9" t="s">
        <v>223</v>
      </c>
      <c r="E2736" s="9" t="s">
        <v>17</v>
      </c>
      <c r="F2736" s="9" t="s">
        <v>17</v>
      </c>
      <c r="G2736" s="9" t="s">
        <v>24</v>
      </c>
      <c r="H2736" s="9" t="s">
        <v>22</v>
      </c>
      <c r="I2736" s="9" t="s">
        <v>20</v>
      </c>
      <c r="J2736" s="10"/>
      <c r="K2736" s="1">
        <v>5.0</v>
      </c>
      <c r="L2736" s="7"/>
      <c r="M2736" s="7"/>
      <c r="N2736" s="7" t="str">
        <f>IFERROR(__xludf.DUMMYFUNCTION("""COMPUTED_VALUE"""),"Ramón Juárez|46182")</f>
        <v>Ramón Juárez|46182</v>
      </c>
      <c r="O2736" s="7">
        <f>IFERROR(__xludf.DUMMYFUNCTION("""COMPUTED_VALUE"""),7.0)</f>
        <v>7</v>
      </c>
    </row>
    <row r="2737" ht="22.5" hidden="1" customHeight="1">
      <c r="A2737" s="8">
        <v>46015.35835894676</v>
      </c>
      <c r="B2737" s="9">
        <v>46015.0</v>
      </c>
      <c r="C2737" s="9" t="s">
        <v>15</v>
      </c>
      <c r="D2737" s="9" t="s">
        <v>367</v>
      </c>
      <c r="E2737" s="9" t="s">
        <v>17</v>
      </c>
      <c r="F2737" s="9" t="s">
        <v>17</v>
      </c>
      <c r="G2737" s="9" t="s">
        <v>24</v>
      </c>
      <c r="H2737" s="9" t="s">
        <v>22</v>
      </c>
      <c r="I2737" s="9" t="s">
        <v>20</v>
      </c>
      <c r="J2737" s="10"/>
      <c r="K2737" s="1" t="s">
        <v>398</v>
      </c>
      <c r="L2737" s="7"/>
      <c r="M2737" s="7"/>
      <c r="N2737" s="7" t="str">
        <f>IFERROR(__xludf.DUMMYFUNCTION("""COMPUTED_VALUE"""),"Cristian Borja|46182")</f>
        <v>Cristian Borja|46182</v>
      </c>
      <c r="O2737" s="7">
        <f>IFERROR(__xludf.DUMMYFUNCTION("""COMPUTED_VALUE"""),4.0)</f>
        <v>4</v>
      </c>
    </row>
    <row r="2738" ht="22.5" hidden="1" customHeight="1">
      <c r="A2738" s="8">
        <v>46015.35867284722</v>
      </c>
      <c r="B2738" s="9">
        <v>46015.0</v>
      </c>
      <c r="C2738" s="9" t="s">
        <v>15</v>
      </c>
      <c r="D2738" s="9" t="s">
        <v>357</v>
      </c>
      <c r="E2738" s="9" t="s">
        <v>17</v>
      </c>
      <c r="F2738" s="9" t="s">
        <v>17</v>
      </c>
      <c r="G2738" s="9" t="s">
        <v>24</v>
      </c>
      <c r="H2738" s="9" t="s">
        <v>22</v>
      </c>
      <c r="I2738" s="9" t="s">
        <v>20</v>
      </c>
      <c r="J2738" s="10"/>
      <c r="K2738" s="1">
        <v>8.0</v>
      </c>
      <c r="L2738" s="7"/>
      <c r="M2738" s="7"/>
      <c r="N2738" s="7" t="str">
        <f>IFERROR(__xludf.DUMMYFUNCTION("""COMPUTED_VALUE"""),"Erick Sánchez|46182")</f>
        <v>Erick Sánchez|46182</v>
      </c>
      <c r="O2738" s="7">
        <f>IFERROR(__xludf.DUMMYFUNCTION("""COMPUTED_VALUE"""),8.0)</f>
        <v>8</v>
      </c>
    </row>
    <row r="2739" ht="22.5" hidden="1" customHeight="1">
      <c r="A2739" s="8">
        <v>46015.359006134255</v>
      </c>
      <c r="B2739" s="9">
        <v>46015.0</v>
      </c>
      <c r="C2739" s="9" t="s">
        <v>15</v>
      </c>
      <c r="D2739" s="9" t="s">
        <v>174</v>
      </c>
      <c r="E2739" s="9" t="s">
        <v>17</v>
      </c>
      <c r="F2739" s="9" t="s">
        <v>17</v>
      </c>
      <c r="G2739" s="9" t="s">
        <v>24</v>
      </c>
      <c r="H2739" s="9" t="s">
        <v>22</v>
      </c>
      <c r="I2739" s="9" t="s">
        <v>20</v>
      </c>
      <c r="J2739" s="10"/>
      <c r="K2739" s="1">
        <v>5.0</v>
      </c>
      <c r="L2739" s="7"/>
      <c r="M2739" s="7"/>
      <c r="N2739" s="7" t="str">
        <f>IFERROR(__xludf.DUMMYFUNCTION("""COMPUTED_VALUE"""),"Vinícius Lima|46183")</f>
        <v>Vinícius Lima|46183</v>
      </c>
      <c r="O2739" s="7">
        <f>IFERROR(__xludf.DUMMYFUNCTION("""COMPUTED_VALUE"""),6.0)</f>
        <v>6</v>
      </c>
    </row>
    <row r="2740" ht="22.5" hidden="1" customHeight="1">
      <c r="A2740" s="8">
        <v>46015.35922329861</v>
      </c>
      <c r="B2740" s="9">
        <v>46015.0</v>
      </c>
      <c r="C2740" s="9" t="s">
        <v>15</v>
      </c>
      <c r="D2740" s="9" t="s">
        <v>396</v>
      </c>
      <c r="E2740" s="9" t="s">
        <v>17</v>
      </c>
      <c r="F2740" s="9" t="s">
        <v>17</v>
      </c>
      <c r="G2740" s="9" t="s">
        <v>24</v>
      </c>
      <c r="H2740" s="9" t="s">
        <v>22</v>
      </c>
      <c r="I2740" s="9" t="s">
        <v>20</v>
      </c>
      <c r="J2740" s="10"/>
      <c r="K2740" s="1" t="s">
        <v>398</v>
      </c>
      <c r="L2740" s="7"/>
      <c r="M2740" s="7"/>
      <c r="N2740" s="7" t="str">
        <f>IFERROR(__xludf.DUMMYFUNCTION("""COMPUTED_VALUE"""),"Santiago Naveda|46183")</f>
        <v>Santiago Naveda|46183</v>
      </c>
      <c r="O2740" s="7">
        <f>IFERROR(__xludf.DUMMYFUNCTION("""COMPUTED_VALUE"""),2.0)</f>
        <v>2</v>
      </c>
    </row>
    <row r="2741" ht="22.5" hidden="1" customHeight="1">
      <c r="A2741" s="8">
        <v>46015.359501342595</v>
      </c>
      <c r="B2741" s="9">
        <v>46015.0</v>
      </c>
      <c r="C2741" s="9" t="s">
        <v>15</v>
      </c>
      <c r="D2741" s="9" t="s">
        <v>397</v>
      </c>
      <c r="E2741" s="9" t="s">
        <v>17</v>
      </c>
      <c r="F2741" s="9" t="s">
        <v>60</v>
      </c>
      <c r="G2741" s="9" t="s">
        <v>24</v>
      </c>
      <c r="H2741" s="9" t="s">
        <v>22</v>
      </c>
      <c r="I2741" s="9" t="s">
        <v>20</v>
      </c>
      <c r="J2741" s="10"/>
      <c r="K2741" s="1">
        <v>6.0</v>
      </c>
      <c r="L2741" s="7"/>
      <c r="M2741" s="7"/>
      <c r="N2741" s="7" t="str">
        <f>IFERROR(__xludf.DUMMYFUNCTION("""COMPUTED_VALUE"""),"Patricio Salas|46183")</f>
        <v>Patricio Salas|46183</v>
      </c>
      <c r="O2741" s="7">
        <f>IFERROR(__xludf.DUMMYFUNCTION("""COMPUTED_VALUE"""),6.0)</f>
        <v>6</v>
      </c>
    </row>
    <row r="2742" ht="22.5" hidden="1" customHeight="1">
      <c r="A2742" s="8">
        <v>46017.65404252315</v>
      </c>
      <c r="B2742" s="9">
        <v>46017.0</v>
      </c>
      <c r="C2742" s="9" t="s">
        <v>48</v>
      </c>
      <c r="D2742" s="9" t="s">
        <v>257</v>
      </c>
      <c r="E2742" s="9" t="s">
        <v>17</v>
      </c>
      <c r="F2742" s="9" t="s">
        <v>17</v>
      </c>
      <c r="G2742" s="9" t="s">
        <v>24</v>
      </c>
      <c r="H2742" s="9" t="s">
        <v>25</v>
      </c>
      <c r="I2742" s="9" t="s">
        <v>240</v>
      </c>
      <c r="J2742" s="10"/>
      <c r="K2742" s="1" t="s">
        <v>398</v>
      </c>
      <c r="L2742" s="7"/>
      <c r="M2742" s="7"/>
      <c r="N2742" s="7" t="str">
        <f>IFERROR(__xludf.DUMMYFUNCTION("""COMPUTED_VALUE"""),"Rodolfo Cota|46183")</f>
        <v>Rodolfo Cota|46183</v>
      </c>
      <c r="O2742" s="7">
        <f>IFERROR(__xludf.DUMMYFUNCTION("""COMPUTED_VALUE"""),3.0)</f>
        <v>3</v>
      </c>
    </row>
    <row r="2743" ht="22.5" hidden="1" customHeight="1">
      <c r="A2743" s="8">
        <v>46017.69704168981</v>
      </c>
      <c r="B2743" s="9">
        <v>46017.0</v>
      </c>
      <c r="C2743" s="9" t="s">
        <v>48</v>
      </c>
      <c r="D2743" s="9" t="s">
        <v>280</v>
      </c>
      <c r="E2743" s="9" t="s">
        <v>17</v>
      </c>
      <c r="F2743" s="9" t="s">
        <v>17</v>
      </c>
      <c r="G2743" s="9" t="s">
        <v>24</v>
      </c>
      <c r="H2743" s="9" t="s">
        <v>25</v>
      </c>
      <c r="I2743" s="9" t="s">
        <v>67</v>
      </c>
      <c r="J2743" s="10"/>
      <c r="K2743" s="1" t="s">
        <v>398</v>
      </c>
      <c r="L2743" s="7"/>
      <c r="M2743" s="7"/>
      <c r="N2743" s="7" t="str">
        <f>IFERROR(__xludf.DUMMYFUNCTION("""COMPUTED_VALUE"""),"Cristian Borja|46183")</f>
        <v>Cristian Borja|46183</v>
      </c>
      <c r="O2743" s="7">
        <f>IFERROR(__xludf.DUMMYFUNCTION("""COMPUTED_VALUE"""),7.0)</f>
        <v>7</v>
      </c>
    </row>
    <row r="2744" ht="22.5" hidden="1" customHeight="1">
      <c r="A2744" s="8">
        <v>46017.70075290509</v>
      </c>
      <c r="B2744" s="9">
        <v>46017.0</v>
      </c>
      <c r="C2744" s="9" t="s">
        <v>48</v>
      </c>
      <c r="D2744" s="9" t="s">
        <v>396</v>
      </c>
      <c r="E2744" s="9" t="s">
        <v>17</v>
      </c>
      <c r="F2744" s="9" t="s">
        <v>17</v>
      </c>
      <c r="G2744" s="9" t="s">
        <v>24</v>
      </c>
      <c r="H2744" s="9" t="s">
        <v>25</v>
      </c>
      <c r="I2744" s="9" t="s">
        <v>355</v>
      </c>
      <c r="J2744" s="10"/>
      <c r="K2744" s="1" t="s">
        <v>398</v>
      </c>
      <c r="L2744" s="7"/>
      <c r="M2744" s="7"/>
      <c r="N2744" s="7" t="str">
        <f>IFERROR(__xludf.DUMMYFUNCTION("""COMPUTED_VALUE"""),"Thiago Espinosa|46183")</f>
        <v>Thiago Espinosa|46183</v>
      </c>
      <c r="O2744" s="7">
        <f>IFERROR(__xludf.DUMMYFUNCTION("""COMPUTED_VALUE"""),6.0)</f>
        <v>6</v>
      </c>
    </row>
    <row r="2745" ht="22.5" hidden="1" customHeight="1">
      <c r="A2745" s="8">
        <v>46017.702354629626</v>
      </c>
      <c r="B2745" s="9">
        <v>46017.0</v>
      </c>
      <c r="C2745" s="9" t="s">
        <v>48</v>
      </c>
      <c r="D2745" s="9" t="s">
        <v>249</v>
      </c>
      <c r="E2745" s="9" t="s">
        <v>17</v>
      </c>
      <c r="F2745" s="9" t="s">
        <v>35</v>
      </c>
      <c r="G2745" s="9" t="s">
        <v>19</v>
      </c>
      <c r="H2745" s="9" t="s">
        <v>25</v>
      </c>
      <c r="I2745" s="9" t="s">
        <v>207</v>
      </c>
      <c r="J2745" s="10"/>
      <c r="K2745" s="1" t="s">
        <v>398</v>
      </c>
      <c r="L2745" s="7"/>
      <c r="M2745" s="7"/>
      <c r="N2745" s="7" t="str">
        <f>IFERROR(__xludf.DUMMYFUNCTION("""COMPUTED_VALUE"""),"Alexis Gutiérrez|46183")</f>
        <v>Alexis Gutiérrez|46183</v>
      </c>
      <c r="O2745" s="7">
        <f>IFERROR(__xludf.DUMMYFUNCTION("""COMPUTED_VALUE"""),8.0)</f>
        <v>8</v>
      </c>
    </row>
    <row r="2746" ht="22.5" hidden="1" customHeight="1">
      <c r="A2746" s="8">
        <v>46017.70461512731</v>
      </c>
      <c r="B2746" s="9">
        <v>46017.0</v>
      </c>
      <c r="C2746" s="9" t="s">
        <v>48</v>
      </c>
      <c r="D2746" s="9" t="s">
        <v>177</v>
      </c>
      <c r="E2746" s="9" t="s">
        <v>17</v>
      </c>
      <c r="F2746" s="9" t="s">
        <v>17</v>
      </c>
      <c r="G2746" s="9" t="s">
        <v>24</v>
      </c>
      <c r="H2746" s="9" t="s">
        <v>22</v>
      </c>
      <c r="I2746" s="9" t="s">
        <v>20</v>
      </c>
      <c r="J2746" s="10"/>
      <c r="K2746" s="1" t="s">
        <v>398</v>
      </c>
      <c r="L2746" s="7"/>
      <c r="M2746" s="7"/>
      <c r="N2746" s="7" t="str">
        <f>IFERROR(__xludf.DUMMYFUNCTION("""COMPUTED_VALUE"""),"José Raúl Zúñiga|46183")</f>
        <v>José Raúl Zúñiga|46183</v>
      </c>
      <c r="O2746" s="7">
        <f>IFERROR(__xludf.DUMMYFUNCTION("""COMPUTED_VALUE"""),5.0)</f>
        <v>5</v>
      </c>
    </row>
    <row r="2747" ht="22.5" hidden="1" customHeight="1">
      <c r="A2747" s="8">
        <v>46017.71299413194</v>
      </c>
      <c r="B2747" s="9">
        <v>46017.0</v>
      </c>
      <c r="C2747" s="9" t="s">
        <v>48</v>
      </c>
      <c r="D2747" s="9" t="s">
        <v>168</v>
      </c>
      <c r="E2747" s="9" t="s">
        <v>17</v>
      </c>
      <c r="F2747" s="9" t="s">
        <v>17</v>
      </c>
      <c r="G2747" s="9" t="s">
        <v>24</v>
      </c>
      <c r="H2747" s="9" t="s">
        <v>22</v>
      </c>
      <c r="I2747" s="9" t="s">
        <v>20</v>
      </c>
      <c r="J2747" s="10"/>
      <c r="K2747" s="1" t="s">
        <v>398</v>
      </c>
      <c r="L2747" s="7"/>
      <c r="M2747" s="7"/>
      <c r="N2747" s="7" t="str">
        <f>IFERROR(__xludf.DUMMYFUNCTION("""COMPUTED_VALUE"""),"Rodrigo Dourado|46183")</f>
        <v>Rodrigo Dourado|46183</v>
      </c>
      <c r="O2747" s="7">
        <f>IFERROR(__xludf.DUMMYFUNCTION("""COMPUTED_VALUE"""),5.0)</f>
        <v>5</v>
      </c>
    </row>
    <row r="2748" ht="22.5" hidden="1" customHeight="1">
      <c r="A2748" s="8">
        <v>46017.721597615746</v>
      </c>
      <c r="B2748" s="9">
        <v>46017.0</v>
      </c>
      <c r="C2748" s="9" t="s">
        <v>48</v>
      </c>
      <c r="D2748" s="9" t="s">
        <v>105</v>
      </c>
      <c r="E2748" s="9" t="s">
        <v>17</v>
      </c>
      <c r="F2748" s="9" t="s">
        <v>17</v>
      </c>
      <c r="G2748" s="9" t="s">
        <v>24</v>
      </c>
      <c r="H2748" s="9" t="s">
        <v>22</v>
      </c>
      <c r="I2748" s="9" t="s">
        <v>20</v>
      </c>
      <c r="J2748" s="10"/>
      <c r="K2748" s="1" t="s">
        <v>398</v>
      </c>
      <c r="L2748" s="7"/>
      <c r="M2748" s="7"/>
      <c r="N2748" s="7" t="str">
        <f>IFERROR(__xludf.DUMMYFUNCTION("""COMPUTED_VALUE"""),"Kevin Álvarez|46183")</f>
        <v>Kevin Álvarez|46183</v>
      </c>
      <c r="O2748" s="7">
        <f>IFERROR(__xludf.DUMMYFUNCTION("""COMPUTED_VALUE"""),8.0)</f>
        <v>8</v>
      </c>
    </row>
    <row r="2749" ht="22.5" hidden="1" customHeight="1">
      <c r="A2749" s="8">
        <v>46017.72260340278</v>
      </c>
      <c r="B2749" s="9">
        <v>46017.0</v>
      </c>
      <c r="C2749" s="9" t="s">
        <v>48</v>
      </c>
      <c r="D2749" s="9" t="s">
        <v>210</v>
      </c>
      <c r="E2749" s="9" t="s">
        <v>17</v>
      </c>
      <c r="F2749" s="9" t="s">
        <v>17</v>
      </c>
      <c r="G2749" s="9" t="s">
        <v>24</v>
      </c>
      <c r="H2749" s="9" t="s">
        <v>22</v>
      </c>
      <c r="I2749" s="9" t="s">
        <v>20</v>
      </c>
      <c r="J2749" s="10"/>
      <c r="K2749" s="1" t="s">
        <v>398</v>
      </c>
      <c r="L2749" s="7"/>
      <c r="M2749" s="7"/>
      <c r="N2749" s="7" t="str">
        <f>IFERROR(__xludf.DUMMYFUNCTION("""COMPUTED_VALUE"""),"Erick Sánchez|46183")</f>
        <v>Erick Sánchez|46183</v>
      </c>
      <c r="O2749" s="7">
        <f>IFERROR(__xludf.DUMMYFUNCTION("""COMPUTED_VALUE"""),7.0)</f>
        <v>7</v>
      </c>
    </row>
    <row r="2750" ht="22.5" hidden="1" customHeight="1">
      <c r="A2750" s="8">
        <v>46017.72319462963</v>
      </c>
      <c r="B2750" s="9">
        <v>46017.0</v>
      </c>
      <c r="C2750" s="9" t="s">
        <v>53</v>
      </c>
      <c r="D2750" s="9" t="s">
        <v>395</v>
      </c>
      <c r="E2750" s="9" t="s">
        <v>17</v>
      </c>
      <c r="F2750" s="9" t="s">
        <v>60</v>
      </c>
      <c r="G2750" s="9" t="s">
        <v>24</v>
      </c>
      <c r="H2750" s="9" t="s">
        <v>22</v>
      </c>
      <c r="I2750" s="9" t="s">
        <v>20</v>
      </c>
      <c r="J2750" s="10"/>
      <c r="K2750" s="1" t="s">
        <v>398</v>
      </c>
      <c r="L2750" s="7"/>
      <c r="M2750" s="7"/>
      <c r="N2750" s="7" t="str">
        <f>IFERROR(__xludf.DUMMYFUNCTION("""COMPUTED_VALUE"""),"Raphael Veiga|46183")</f>
        <v>Raphael Veiga|46183</v>
      </c>
      <c r="O2750" s="7">
        <f>IFERROR(__xludf.DUMMYFUNCTION("""COMPUTED_VALUE"""),6.0)</f>
        <v>6</v>
      </c>
    </row>
    <row r="2751" ht="22.5" hidden="1" customHeight="1">
      <c r="A2751" s="8">
        <v>46017.723553738426</v>
      </c>
      <c r="B2751" s="9">
        <v>46017.0</v>
      </c>
      <c r="C2751" s="9" t="s">
        <v>48</v>
      </c>
      <c r="D2751" s="9" t="s">
        <v>393</v>
      </c>
      <c r="E2751" s="9" t="s">
        <v>46</v>
      </c>
      <c r="F2751" s="9" t="s">
        <v>17</v>
      </c>
      <c r="G2751" s="9" t="s">
        <v>24</v>
      </c>
      <c r="H2751" s="9" t="s">
        <v>22</v>
      </c>
      <c r="I2751" s="9" t="s">
        <v>20</v>
      </c>
      <c r="J2751" s="10"/>
      <c r="K2751" s="1" t="s">
        <v>398</v>
      </c>
      <c r="L2751" s="7"/>
      <c r="M2751" s="7"/>
      <c r="N2751" s="7" t="str">
        <f>IFERROR(__xludf.DUMMYFUNCTION("""COMPUTED_VALUE"""),"Alan Cervantes|46183")</f>
        <v>Alan Cervantes|46183</v>
      </c>
      <c r="O2751" s="7">
        <f>IFERROR(__xludf.DUMMYFUNCTION("""COMPUTED_VALUE"""),8.0)</f>
        <v>8</v>
      </c>
    </row>
    <row r="2752" ht="22.5" hidden="1" customHeight="1">
      <c r="A2752" s="8">
        <v>46017.72403891204</v>
      </c>
      <c r="B2752" s="9">
        <v>46017.0</v>
      </c>
      <c r="C2752" s="9" t="s">
        <v>48</v>
      </c>
      <c r="D2752" s="9" t="s">
        <v>357</v>
      </c>
      <c r="E2752" s="9" t="s">
        <v>17</v>
      </c>
      <c r="F2752" s="9" t="s">
        <v>17</v>
      </c>
      <c r="G2752" s="9" t="s">
        <v>24</v>
      </c>
      <c r="H2752" s="9" t="s">
        <v>17</v>
      </c>
      <c r="I2752" s="9" t="s">
        <v>20</v>
      </c>
      <c r="J2752" s="10"/>
      <c r="K2752" s="1" t="s">
        <v>398</v>
      </c>
      <c r="L2752" s="7"/>
      <c r="M2752" s="7"/>
      <c r="N2752" s="7" t="str">
        <f>IFERROR(__xludf.DUMMYFUNCTION("""COMPUTED_VALUE"""),"Henry Martín|46183")</f>
        <v>Henry Martín|46183</v>
      </c>
      <c r="O2752" s="7">
        <f>IFERROR(__xludf.DUMMYFUNCTION("""COMPUTED_VALUE"""),9.0)</f>
        <v>9</v>
      </c>
    </row>
    <row r="2753" ht="22.5" hidden="1" customHeight="1">
      <c r="A2753" s="8">
        <v>46017.724511203705</v>
      </c>
      <c r="B2753" s="9">
        <v>46017.0</v>
      </c>
      <c r="C2753" s="9" t="s">
        <v>48</v>
      </c>
      <c r="D2753" s="9" t="s">
        <v>174</v>
      </c>
      <c r="E2753" s="9" t="s">
        <v>17</v>
      </c>
      <c r="F2753" s="9" t="s">
        <v>17</v>
      </c>
      <c r="G2753" s="9" t="s">
        <v>24</v>
      </c>
      <c r="H2753" s="9" t="s">
        <v>22</v>
      </c>
      <c r="I2753" s="9" t="s">
        <v>20</v>
      </c>
      <c r="J2753" s="10"/>
      <c r="K2753" s="1" t="s">
        <v>398</v>
      </c>
      <c r="L2753" s="7"/>
      <c r="M2753" s="7"/>
      <c r="N2753" s="7" t="str">
        <f>IFERROR(__xludf.DUMMYFUNCTION("""COMPUTED_VALUE"""),"Fernando Tapia|46183")</f>
        <v>Fernando Tapia|46183</v>
      </c>
      <c r="O2753" s="7">
        <f>IFERROR(__xludf.DUMMYFUNCTION("""COMPUTED_VALUE"""),7.0)</f>
        <v>7</v>
      </c>
    </row>
    <row r="2754" ht="22.5" hidden="1" customHeight="1">
      <c r="A2754" s="8">
        <v>46017.724791863424</v>
      </c>
      <c r="B2754" s="9">
        <v>46017.0</v>
      </c>
      <c r="C2754" s="9" t="s">
        <v>48</v>
      </c>
      <c r="D2754" s="9" t="s">
        <v>335</v>
      </c>
      <c r="E2754" s="9" t="s">
        <v>17</v>
      </c>
      <c r="F2754" s="9" t="s">
        <v>17</v>
      </c>
      <c r="G2754" s="9" t="s">
        <v>24</v>
      </c>
      <c r="H2754" s="9" t="s">
        <v>22</v>
      </c>
      <c r="I2754" s="9" t="s">
        <v>20</v>
      </c>
      <c r="J2754" s="10"/>
      <c r="K2754" s="1" t="s">
        <v>398</v>
      </c>
      <c r="L2754" s="7"/>
      <c r="M2754" s="7"/>
      <c r="N2754" s="7" t="str">
        <f>IFERROR(__xludf.DUMMYFUNCTION("""COMPUTED_VALUE"""),"Miguel Vázquez|46183")</f>
        <v>Miguel Vázquez|46183</v>
      </c>
      <c r="O2754" s="7">
        <f>IFERROR(__xludf.DUMMYFUNCTION("""COMPUTED_VALUE"""),6.0)</f>
        <v>6</v>
      </c>
    </row>
    <row r="2755" ht="22.5" hidden="1" customHeight="1">
      <c r="A2755" s="8">
        <v>46017.72511119213</v>
      </c>
      <c r="B2755" s="9">
        <v>46017.0</v>
      </c>
      <c r="C2755" s="9" t="s">
        <v>48</v>
      </c>
      <c r="D2755" s="9" t="s">
        <v>361</v>
      </c>
      <c r="E2755" s="9" t="s">
        <v>17</v>
      </c>
      <c r="F2755" s="9" t="s">
        <v>17</v>
      </c>
      <c r="G2755" s="9" t="s">
        <v>24</v>
      </c>
      <c r="H2755" s="9" t="s">
        <v>22</v>
      </c>
      <c r="I2755" s="9" t="s">
        <v>20</v>
      </c>
      <c r="J2755" s="10"/>
      <c r="K2755" s="1" t="s">
        <v>398</v>
      </c>
      <c r="L2755" s="7"/>
      <c r="M2755" s="7"/>
      <c r="N2755" s="7" t="str">
        <f>IFERROR(__xludf.DUMMYFUNCTION("""COMPUTED_VALUE"""),"Ramón Juárez|46183")</f>
        <v>Ramón Juárez|46183</v>
      </c>
      <c r="O2755" s="7">
        <f>IFERROR(__xludf.DUMMYFUNCTION("""COMPUTED_VALUE"""),8.0)</f>
        <v>8</v>
      </c>
    </row>
    <row r="2756" ht="22.5" hidden="1" customHeight="1">
      <c r="A2756" s="8">
        <v>46017.725667824074</v>
      </c>
      <c r="B2756" s="9">
        <v>46017.0</v>
      </c>
      <c r="C2756" s="9" t="s">
        <v>48</v>
      </c>
      <c r="D2756" s="9" t="s">
        <v>170</v>
      </c>
      <c r="E2756" s="9" t="s">
        <v>30</v>
      </c>
      <c r="F2756" s="9" t="s">
        <v>18</v>
      </c>
      <c r="G2756" s="9" t="s">
        <v>24</v>
      </c>
      <c r="H2756" s="9" t="s">
        <v>22</v>
      </c>
      <c r="I2756" s="9" t="s">
        <v>20</v>
      </c>
      <c r="J2756" s="10"/>
      <c r="K2756" s="1" t="s">
        <v>398</v>
      </c>
      <c r="L2756" s="7"/>
      <c r="M2756" s="7"/>
      <c r="N2756" s="7" t="str">
        <f>IFERROR(__xludf.DUMMYFUNCTION("""COMPUTED_VALUE"""),"Dagoberto Espinoza|46183")</f>
        <v>Dagoberto Espinoza|46183</v>
      </c>
      <c r="O2756" s="7">
        <f>IFERROR(__xludf.DUMMYFUNCTION("""COMPUTED_VALUE"""),8.0)</f>
        <v>8</v>
      </c>
    </row>
    <row r="2757" ht="22.5" hidden="1" customHeight="1">
      <c r="A2757" s="8">
        <v>46017.72664543982</v>
      </c>
      <c r="B2757" s="9">
        <v>46017.0</v>
      </c>
      <c r="C2757" s="9" t="s">
        <v>48</v>
      </c>
      <c r="D2757" s="9" t="s">
        <v>259</v>
      </c>
      <c r="E2757" s="9" t="s">
        <v>17</v>
      </c>
      <c r="F2757" s="9" t="s">
        <v>17</v>
      </c>
      <c r="G2757" s="9" t="s">
        <v>19</v>
      </c>
      <c r="H2757" s="9" t="s">
        <v>22</v>
      </c>
      <c r="I2757" s="9" t="s">
        <v>20</v>
      </c>
      <c r="J2757" s="10"/>
      <c r="K2757" s="1" t="s">
        <v>398</v>
      </c>
      <c r="L2757" s="7"/>
      <c r="M2757" s="7"/>
      <c r="N2757" s="7" t="str">
        <f>IFERROR(__xludf.DUMMYFUNCTION("""COMPUTED_VALUE"""),"Vinícius Lima|46184")</f>
        <v>Vinícius Lima|46184</v>
      </c>
      <c r="O2757" s="7">
        <f>IFERROR(__xludf.DUMMYFUNCTION("""COMPUTED_VALUE"""),9.0)</f>
        <v>9</v>
      </c>
    </row>
    <row r="2758" ht="22.5" hidden="1" customHeight="1">
      <c r="A2758" s="8">
        <v>46017.728758287034</v>
      </c>
      <c r="B2758" s="9">
        <v>46017.0</v>
      </c>
      <c r="C2758" s="9" t="s">
        <v>48</v>
      </c>
      <c r="D2758" s="9" t="s">
        <v>350</v>
      </c>
      <c r="E2758" s="9" t="s">
        <v>17</v>
      </c>
      <c r="F2758" s="9" t="s">
        <v>17</v>
      </c>
      <c r="G2758" s="9" t="s">
        <v>24</v>
      </c>
      <c r="H2758" s="9" t="s">
        <v>22</v>
      </c>
      <c r="I2758" s="9" t="s">
        <v>20</v>
      </c>
      <c r="J2758" s="10"/>
      <c r="K2758" s="1" t="s">
        <v>398</v>
      </c>
      <c r="L2758" s="7"/>
      <c r="M2758" s="7"/>
      <c r="N2758" s="7" t="str">
        <f>IFERROR(__xludf.DUMMYFUNCTION("""COMPUTED_VALUE"""),"Dagoberto Espinoza|46184")</f>
        <v>Dagoberto Espinoza|46184</v>
      </c>
      <c r="O2758" s="7">
        <f>IFERROR(__xludf.DUMMYFUNCTION("""COMPUTED_VALUE"""),10.0)</f>
        <v>10</v>
      </c>
    </row>
    <row r="2759" ht="22.5" hidden="1" customHeight="1">
      <c r="A2759" s="8">
        <v>46017.72990052083</v>
      </c>
      <c r="B2759" s="9">
        <v>46017.0</v>
      </c>
      <c r="C2759" s="9" t="s">
        <v>48</v>
      </c>
      <c r="D2759" s="9" t="s">
        <v>223</v>
      </c>
      <c r="E2759" s="9" t="s">
        <v>17</v>
      </c>
      <c r="F2759" s="9" t="s">
        <v>17</v>
      </c>
      <c r="G2759" s="9" t="s">
        <v>24</v>
      </c>
      <c r="H2759" s="9" t="s">
        <v>25</v>
      </c>
      <c r="I2759" s="9" t="s">
        <v>211</v>
      </c>
      <c r="J2759" s="10"/>
      <c r="K2759" s="1" t="s">
        <v>398</v>
      </c>
      <c r="L2759" s="7"/>
      <c r="M2759" s="7"/>
      <c r="N2759" s="7" t="str">
        <f>IFERROR(__xludf.DUMMYFUNCTION("""COMPUTED_VALUE"""),"Patricio Salas|46184")</f>
        <v>Patricio Salas|46184</v>
      </c>
      <c r="O2759" s="7">
        <f>IFERROR(__xludf.DUMMYFUNCTION("""COMPUTED_VALUE"""),7.0)</f>
        <v>7</v>
      </c>
    </row>
    <row r="2760" ht="22.5" hidden="1" customHeight="1">
      <c r="A2760" s="8">
        <v>46017.73052435185</v>
      </c>
      <c r="B2760" s="9">
        <v>46017.0</v>
      </c>
      <c r="C2760" s="9" t="s">
        <v>48</v>
      </c>
      <c r="D2760" s="9" t="s">
        <v>171</v>
      </c>
      <c r="E2760" s="9" t="s">
        <v>17</v>
      </c>
      <c r="F2760" s="9" t="s">
        <v>17</v>
      </c>
      <c r="G2760" s="9" t="s">
        <v>24</v>
      </c>
      <c r="H2760" s="9" t="s">
        <v>25</v>
      </c>
      <c r="I2760" s="9" t="s">
        <v>242</v>
      </c>
      <c r="J2760" s="10"/>
      <c r="K2760" s="1" t="s">
        <v>398</v>
      </c>
      <c r="L2760" s="7"/>
      <c r="M2760" s="7"/>
      <c r="N2760" s="7" t="str">
        <f>IFERROR(__xludf.DUMMYFUNCTION("""COMPUTED_VALUE"""),"Erick Sánchez|46184")</f>
        <v>Erick Sánchez|46184</v>
      </c>
      <c r="O2760" s="7">
        <f>IFERROR(__xludf.DUMMYFUNCTION("""COMPUTED_VALUE"""),7.0)</f>
        <v>7</v>
      </c>
    </row>
    <row r="2761" ht="22.5" hidden="1" customHeight="1">
      <c r="A2761" s="8">
        <v>46017.731392291666</v>
      </c>
      <c r="B2761" s="9">
        <v>46017.0</v>
      </c>
      <c r="C2761" s="9" t="s">
        <v>48</v>
      </c>
      <c r="D2761" s="9" t="s">
        <v>247</v>
      </c>
      <c r="E2761" s="9" t="s">
        <v>17</v>
      </c>
      <c r="F2761" s="9" t="s">
        <v>17</v>
      </c>
      <c r="G2761" s="9" t="s">
        <v>24</v>
      </c>
      <c r="H2761" s="9" t="s">
        <v>25</v>
      </c>
      <c r="I2761" s="9" t="s">
        <v>20</v>
      </c>
      <c r="J2761" s="10"/>
      <c r="K2761" s="1" t="s">
        <v>398</v>
      </c>
      <c r="L2761" s="7"/>
      <c r="M2761" s="7"/>
      <c r="N2761" s="7" t="str">
        <f>IFERROR(__xludf.DUMMYFUNCTION("""COMPUTED_VALUE"""),"Cristian Borja|46184")</f>
        <v>Cristian Borja|46184</v>
      </c>
      <c r="O2761" s="7">
        <f>IFERROR(__xludf.DUMMYFUNCTION("""COMPUTED_VALUE"""),7.0)</f>
        <v>7</v>
      </c>
    </row>
    <row r="2762" ht="22.5" hidden="1" customHeight="1">
      <c r="A2762" s="8">
        <v>46017.7322216551</v>
      </c>
      <c r="B2762" s="9">
        <v>46017.0</v>
      </c>
      <c r="C2762" s="9" t="s">
        <v>48</v>
      </c>
      <c r="D2762" s="9" t="s">
        <v>178</v>
      </c>
      <c r="E2762" s="9" t="s">
        <v>46</v>
      </c>
      <c r="F2762" s="9" t="s">
        <v>60</v>
      </c>
      <c r="G2762" s="9" t="s">
        <v>24</v>
      </c>
      <c r="H2762" s="9" t="s">
        <v>22</v>
      </c>
      <c r="I2762" s="9" t="s">
        <v>20</v>
      </c>
      <c r="J2762" s="10"/>
      <c r="K2762" s="1" t="s">
        <v>398</v>
      </c>
      <c r="L2762" s="7"/>
      <c r="M2762" s="7"/>
      <c r="N2762" s="7" t="str">
        <f>IFERROR(__xludf.DUMMYFUNCTION("""COMPUTED_VALUE"""),"Alexis Gutiérrez|46184")</f>
        <v>Alexis Gutiérrez|46184</v>
      </c>
      <c r="O2762" s="7">
        <f>IFERROR(__xludf.DUMMYFUNCTION("""COMPUTED_VALUE"""),8.0)</f>
        <v>8</v>
      </c>
    </row>
    <row r="2763" ht="22.5" hidden="1" customHeight="1">
      <c r="A2763" s="8">
        <v>46017.7332721412</v>
      </c>
      <c r="B2763" s="9">
        <v>46017.0</v>
      </c>
      <c r="C2763" s="9" t="s">
        <v>48</v>
      </c>
      <c r="D2763" s="9" t="s">
        <v>258</v>
      </c>
      <c r="E2763" s="9" t="s">
        <v>17</v>
      </c>
      <c r="F2763" s="9" t="s">
        <v>17</v>
      </c>
      <c r="G2763" s="9" t="s">
        <v>24</v>
      </c>
      <c r="H2763" s="9" t="s">
        <v>22</v>
      </c>
      <c r="I2763" s="9" t="s">
        <v>20</v>
      </c>
      <c r="J2763" s="10"/>
      <c r="K2763" s="1" t="s">
        <v>398</v>
      </c>
      <c r="L2763" s="7"/>
      <c r="M2763" s="7"/>
      <c r="N2763" s="7" t="str">
        <f>IFERROR(__xludf.DUMMYFUNCTION("""COMPUTED_VALUE"""),"José Raúl Zúñiga|46184")</f>
        <v>José Raúl Zúñiga|46184</v>
      </c>
      <c r="O2763" s="7">
        <f>IFERROR(__xludf.DUMMYFUNCTION("""COMPUTED_VALUE"""),6.0)</f>
        <v>6</v>
      </c>
    </row>
    <row r="2764" ht="22.5" hidden="1" customHeight="1">
      <c r="A2764" s="8">
        <v>46017.74011416666</v>
      </c>
      <c r="B2764" s="9">
        <v>46017.0</v>
      </c>
      <c r="C2764" s="9" t="s">
        <v>48</v>
      </c>
      <c r="D2764" s="9" t="s">
        <v>397</v>
      </c>
      <c r="E2764" s="9" t="s">
        <v>17</v>
      </c>
      <c r="F2764" s="9" t="s">
        <v>17</v>
      </c>
      <c r="G2764" s="9" t="s">
        <v>19</v>
      </c>
      <c r="H2764" s="9" t="s">
        <v>22</v>
      </c>
      <c r="I2764" s="9" t="s">
        <v>20</v>
      </c>
      <c r="J2764" s="10"/>
      <c r="K2764" s="1" t="s">
        <v>398</v>
      </c>
      <c r="L2764" s="7"/>
      <c r="M2764" s="7"/>
      <c r="N2764" s="7" t="str">
        <f>IFERROR(__xludf.DUMMYFUNCTION("""COMPUTED_VALUE"""),"Kevin Álvarez|46184")</f>
        <v>Kevin Álvarez|46184</v>
      </c>
      <c r="O2764" s="7">
        <f>IFERROR(__xludf.DUMMYFUNCTION("""COMPUTED_VALUE"""),8.0)</f>
        <v>8</v>
      </c>
    </row>
    <row r="2765" ht="22.5" hidden="1" customHeight="1">
      <c r="A2765" s="8">
        <v>46017.74080305555</v>
      </c>
      <c r="B2765" s="9">
        <v>46017.0</v>
      </c>
      <c r="C2765" s="9" t="s">
        <v>48</v>
      </c>
      <c r="D2765" s="9" t="s">
        <v>175</v>
      </c>
      <c r="E2765" s="9" t="s">
        <v>46</v>
      </c>
      <c r="F2765" s="9" t="s">
        <v>60</v>
      </c>
      <c r="G2765" s="9" t="s">
        <v>24</v>
      </c>
      <c r="H2765" s="9" t="s">
        <v>22</v>
      </c>
      <c r="I2765" s="9" t="s">
        <v>20</v>
      </c>
      <c r="J2765" s="10"/>
      <c r="K2765" s="1" t="s">
        <v>398</v>
      </c>
      <c r="L2765" s="7"/>
      <c r="M2765" s="7"/>
      <c r="N2765" s="7" t="str">
        <f>IFERROR(__xludf.DUMMYFUNCTION("""COMPUTED_VALUE"""),"Rodolfo Cota|46184")</f>
        <v>Rodolfo Cota|46184</v>
      </c>
      <c r="O2765" s="7">
        <f>IFERROR(__xludf.DUMMYFUNCTION("""COMPUTED_VALUE"""),3.0)</f>
        <v>3</v>
      </c>
    </row>
    <row r="2766" ht="22.5" hidden="1" customHeight="1">
      <c r="A2766" s="8">
        <v>46017.74195659722</v>
      </c>
      <c r="B2766" s="9">
        <v>46017.0</v>
      </c>
      <c r="C2766" s="9" t="s">
        <v>48</v>
      </c>
      <c r="D2766" s="9" t="s">
        <v>394</v>
      </c>
      <c r="E2766" s="9" t="s">
        <v>17</v>
      </c>
      <c r="F2766" s="9" t="s">
        <v>17</v>
      </c>
      <c r="G2766" s="9" t="s">
        <v>24</v>
      </c>
      <c r="H2766" s="9" t="s">
        <v>22</v>
      </c>
      <c r="I2766" s="9" t="s">
        <v>20</v>
      </c>
      <c r="J2766" s="10"/>
      <c r="K2766" s="1" t="s">
        <v>398</v>
      </c>
      <c r="L2766" s="7"/>
      <c r="M2766" s="7"/>
      <c r="N2766" s="7" t="str">
        <f>IFERROR(__xludf.DUMMYFUNCTION("""COMPUTED_VALUE"""),"Miguel Vázquez|46184")</f>
        <v>Miguel Vázquez|46184</v>
      </c>
      <c r="O2766" s="7">
        <f>IFERROR(__xludf.DUMMYFUNCTION("""COMPUTED_VALUE"""),4.0)</f>
        <v>4</v>
      </c>
    </row>
    <row r="2767" ht="22.5" hidden="1" customHeight="1">
      <c r="A2767" s="8">
        <v>46018.36988907408</v>
      </c>
      <c r="B2767" s="9">
        <v>46018.0</v>
      </c>
      <c r="C2767" s="9" t="s">
        <v>53</v>
      </c>
      <c r="D2767" s="9" t="s">
        <v>258</v>
      </c>
      <c r="E2767" s="9" t="s">
        <v>17</v>
      </c>
      <c r="F2767" s="9" t="s">
        <v>17</v>
      </c>
      <c r="G2767" s="9" t="s">
        <v>24</v>
      </c>
      <c r="H2767" s="9" t="s">
        <v>22</v>
      </c>
      <c r="I2767" s="9" t="s">
        <v>20</v>
      </c>
      <c r="J2767" s="10"/>
      <c r="K2767" s="1" t="s">
        <v>398</v>
      </c>
      <c r="L2767" s="7"/>
      <c r="M2767" s="7"/>
      <c r="N2767" s="7" t="str">
        <f>IFERROR(__xludf.DUMMYFUNCTION("""COMPUTED_VALUE"""),"Ramón Juárez|46184")</f>
        <v>Ramón Juárez|46184</v>
      </c>
      <c r="O2767" s="7">
        <f>IFERROR(__xludf.DUMMYFUNCTION("""COMPUTED_VALUE"""),8.0)</f>
        <v>8</v>
      </c>
    </row>
    <row r="2768" ht="22.5" hidden="1" customHeight="1">
      <c r="A2768" s="8">
        <v>46018.370219212964</v>
      </c>
      <c r="B2768" s="9">
        <v>46018.0</v>
      </c>
      <c r="C2768" s="9" t="s">
        <v>53</v>
      </c>
      <c r="D2768" s="9" t="s">
        <v>396</v>
      </c>
      <c r="E2768" s="9" t="s">
        <v>17</v>
      </c>
      <c r="F2768" s="9" t="s">
        <v>17</v>
      </c>
      <c r="G2768" s="9" t="s">
        <v>24</v>
      </c>
      <c r="H2768" s="9" t="s">
        <v>25</v>
      </c>
      <c r="I2768" s="9" t="s">
        <v>355</v>
      </c>
      <c r="J2768" s="10"/>
      <c r="K2768" s="1" t="s">
        <v>398</v>
      </c>
      <c r="L2768" s="7"/>
      <c r="M2768" s="7"/>
      <c r="N2768" s="7" t="str">
        <f>IFERROR(__xludf.DUMMYFUNCTION("""COMPUTED_VALUE"""),"Alan Cervantes|46184")</f>
        <v>Alan Cervantes|46184</v>
      </c>
      <c r="O2768" s="7">
        <f>IFERROR(__xludf.DUMMYFUNCTION("""COMPUTED_VALUE"""),9.0)</f>
        <v>9</v>
      </c>
    </row>
    <row r="2769" ht="22.5" hidden="1" customHeight="1">
      <c r="A2769" s="8">
        <v>46018.37044612269</v>
      </c>
      <c r="B2769" s="9">
        <v>46018.0</v>
      </c>
      <c r="C2769" s="9" t="s">
        <v>53</v>
      </c>
      <c r="D2769" s="9" t="s">
        <v>105</v>
      </c>
      <c r="E2769" s="9" t="s">
        <v>17</v>
      </c>
      <c r="F2769" s="9" t="s">
        <v>17</v>
      </c>
      <c r="G2769" s="9" t="s">
        <v>24</v>
      </c>
      <c r="H2769" s="9" t="s">
        <v>22</v>
      </c>
      <c r="I2769" s="9" t="s">
        <v>20</v>
      </c>
      <c r="J2769" s="10"/>
      <c r="K2769" s="1">
        <v>1.0</v>
      </c>
      <c r="L2769" s="7"/>
      <c r="M2769" s="7"/>
      <c r="N2769" s="7" t="str">
        <f>IFERROR(__xludf.DUMMYFUNCTION("""COMPUTED_VALUE"""),"Fernando Tapia|46184")</f>
        <v>Fernando Tapia|46184</v>
      </c>
      <c r="O2769" s="7">
        <f>IFERROR(__xludf.DUMMYFUNCTION("""COMPUTED_VALUE"""),9.0)</f>
        <v>9</v>
      </c>
    </row>
    <row r="2770" ht="22.5" hidden="1" customHeight="1">
      <c r="A2770" s="8">
        <v>46018.37062170139</v>
      </c>
      <c r="B2770" s="9">
        <v>46018.0</v>
      </c>
      <c r="C2770" s="9" t="s">
        <v>53</v>
      </c>
      <c r="D2770" s="9" t="s">
        <v>177</v>
      </c>
      <c r="E2770" s="9" t="s">
        <v>17</v>
      </c>
      <c r="F2770" s="9" t="s">
        <v>17</v>
      </c>
      <c r="G2770" s="9" t="s">
        <v>24</v>
      </c>
      <c r="H2770" s="9" t="s">
        <v>22</v>
      </c>
      <c r="I2770" s="9" t="s">
        <v>20</v>
      </c>
      <c r="J2770" s="10"/>
      <c r="K2770" s="1">
        <v>5.0</v>
      </c>
      <c r="L2770" s="7"/>
      <c r="M2770" s="7"/>
      <c r="N2770" s="7" t="str">
        <f>IFERROR(__xludf.DUMMYFUNCTION("""COMPUTED_VALUE"""),"Raphael Veiga|46184")</f>
        <v>Raphael Veiga|46184</v>
      </c>
      <c r="O2770" s="7">
        <f>IFERROR(__xludf.DUMMYFUNCTION("""COMPUTED_VALUE"""),9.0)</f>
        <v>9</v>
      </c>
    </row>
    <row r="2771" ht="22.5" hidden="1" customHeight="1">
      <c r="A2771" s="8">
        <v>46018.37100155093</v>
      </c>
      <c r="B2771" s="9">
        <v>46018.0</v>
      </c>
      <c r="C2771" s="9" t="s">
        <v>53</v>
      </c>
      <c r="D2771" s="9" t="s">
        <v>168</v>
      </c>
      <c r="E2771" s="9" t="s">
        <v>17</v>
      </c>
      <c r="F2771" s="9" t="s">
        <v>17</v>
      </c>
      <c r="G2771" s="9" t="s">
        <v>24</v>
      </c>
      <c r="H2771" s="9" t="s">
        <v>22</v>
      </c>
      <c r="I2771" s="9" t="s">
        <v>20</v>
      </c>
      <c r="J2771" s="10"/>
      <c r="K2771" s="1">
        <v>4.0</v>
      </c>
      <c r="L2771" s="7"/>
      <c r="M2771" s="7"/>
      <c r="N2771" s="7" t="str">
        <f>IFERROR(__xludf.DUMMYFUNCTION("""COMPUTED_VALUE"""),"Thiago Espinosa|46184")</f>
        <v>Thiago Espinosa|46184</v>
      </c>
      <c r="O2771" s="7">
        <f>IFERROR(__xludf.DUMMYFUNCTION("""COMPUTED_VALUE"""),9.0)</f>
        <v>9</v>
      </c>
    </row>
    <row r="2772" ht="22.5" hidden="1" customHeight="1">
      <c r="A2772" s="8">
        <v>46018.37123103009</v>
      </c>
      <c r="B2772" s="9">
        <v>46018.0</v>
      </c>
      <c r="C2772" s="9" t="s">
        <v>53</v>
      </c>
      <c r="D2772" s="9" t="s">
        <v>259</v>
      </c>
      <c r="E2772" s="9" t="s">
        <v>46</v>
      </c>
      <c r="F2772" s="9" t="s">
        <v>60</v>
      </c>
      <c r="G2772" s="9" t="s">
        <v>24</v>
      </c>
      <c r="H2772" s="9" t="s">
        <v>22</v>
      </c>
      <c r="I2772" s="9" t="s">
        <v>20</v>
      </c>
      <c r="J2772" s="10"/>
      <c r="K2772" s="1">
        <v>4.0</v>
      </c>
      <c r="L2772" s="7"/>
      <c r="M2772" s="7"/>
      <c r="N2772" s="7" t="str">
        <f>IFERROR(__xludf.DUMMYFUNCTION("""COMPUTED_VALUE"""),"Rodrigo Dourado|46184")</f>
        <v>Rodrigo Dourado|46184</v>
      </c>
      <c r="O2772" s="7">
        <f>IFERROR(__xludf.DUMMYFUNCTION("""COMPUTED_VALUE"""),6.0)</f>
        <v>6</v>
      </c>
    </row>
    <row r="2773" ht="22.5" hidden="1" customHeight="1">
      <c r="A2773" s="8">
        <v>46018.37148209491</v>
      </c>
      <c r="B2773" s="9">
        <v>46018.0</v>
      </c>
      <c r="C2773" s="9" t="s">
        <v>53</v>
      </c>
      <c r="D2773" s="9" t="s">
        <v>178</v>
      </c>
      <c r="E2773" s="9" t="s">
        <v>17</v>
      </c>
      <c r="F2773" s="9" t="s">
        <v>17</v>
      </c>
      <c r="G2773" s="9" t="s">
        <v>24</v>
      </c>
      <c r="H2773" s="9" t="s">
        <v>22</v>
      </c>
      <c r="I2773" s="9" t="s">
        <v>20</v>
      </c>
      <c r="J2773" s="10"/>
      <c r="K2773" s="1">
        <v>4.0</v>
      </c>
      <c r="L2773" s="7"/>
      <c r="M2773" s="7"/>
      <c r="N2773" s="7" t="str">
        <f>IFERROR(__xludf.DUMMYFUNCTION("""COMPUTED_VALUE"""),"Emilio Lara|46184")</f>
        <v>Emilio Lara|46184</v>
      </c>
      <c r="O2773" s="7">
        <f>IFERROR(__xludf.DUMMYFUNCTION("""COMPUTED_VALUE"""),4.0)</f>
        <v>4</v>
      </c>
    </row>
    <row r="2774" ht="22.5" hidden="1" customHeight="1">
      <c r="A2774" s="8">
        <v>46018.37167540509</v>
      </c>
      <c r="B2774" s="9">
        <v>46018.0</v>
      </c>
      <c r="C2774" s="9" t="s">
        <v>53</v>
      </c>
      <c r="D2774" s="9" t="s">
        <v>280</v>
      </c>
      <c r="E2774" s="9" t="s">
        <v>17</v>
      </c>
      <c r="F2774" s="9" t="s">
        <v>17</v>
      </c>
      <c r="G2774" s="9" t="s">
        <v>24</v>
      </c>
      <c r="H2774" s="9" t="s">
        <v>22</v>
      </c>
      <c r="I2774" s="9" t="s">
        <v>20</v>
      </c>
      <c r="J2774" s="10"/>
      <c r="K2774" s="1" t="s">
        <v>398</v>
      </c>
      <c r="L2774" s="7"/>
      <c r="M2774" s="7"/>
      <c r="N2774" s="7" t="str">
        <f>IFERROR(__xludf.DUMMYFUNCTION("""COMPUTED_VALUE"""),"Henry Martín|46184")</f>
        <v>Henry Martín|46184</v>
      </c>
      <c r="O2774" s="7">
        <f>IFERROR(__xludf.DUMMYFUNCTION("""COMPUTED_VALUE"""),8.0)</f>
        <v>8</v>
      </c>
    </row>
    <row r="2775" ht="22.5" hidden="1" customHeight="1">
      <c r="A2775" s="8">
        <v>46018.371889988426</v>
      </c>
      <c r="B2775" s="9">
        <v>46018.0</v>
      </c>
      <c r="C2775" s="9" t="s">
        <v>53</v>
      </c>
      <c r="D2775" s="9" t="s">
        <v>335</v>
      </c>
      <c r="E2775" s="9" t="s">
        <v>17</v>
      </c>
      <c r="F2775" s="9" t="s">
        <v>17</v>
      </c>
      <c r="G2775" s="9" t="s">
        <v>24</v>
      </c>
      <c r="H2775" s="9" t="s">
        <v>22</v>
      </c>
      <c r="I2775" s="9" t="s">
        <v>20</v>
      </c>
      <c r="J2775" s="10"/>
      <c r="K2775" s="1">
        <v>3.0</v>
      </c>
      <c r="L2775" s="7"/>
      <c r="M2775" s="7"/>
      <c r="N2775" s="7" t="str">
        <f>IFERROR(__xludf.DUMMYFUNCTION("""COMPUTED_VALUE"""),"Franco Rossano|46184")</f>
        <v>Franco Rossano|46184</v>
      </c>
      <c r="O2775" s="7">
        <f>IFERROR(__xludf.DUMMYFUNCTION("""COMPUTED_VALUE"""),5.0)</f>
        <v>5</v>
      </c>
    </row>
    <row r="2776" ht="22.5" hidden="1" customHeight="1">
      <c r="A2776" s="8">
        <v>46018.372162071755</v>
      </c>
      <c r="B2776" s="9">
        <v>46018.0</v>
      </c>
      <c r="C2776" s="9" t="s">
        <v>53</v>
      </c>
      <c r="D2776" s="9" t="s">
        <v>394</v>
      </c>
      <c r="E2776" s="9" t="s">
        <v>17</v>
      </c>
      <c r="F2776" s="9" t="s">
        <v>39</v>
      </c>
      <c r="G2776" s="9" t="s">
        <v>24</v>
      </c>
      <c r="H2776" s="9" t="s">
        <v>22</v>
      </c>
      <c r="I2776" s="9" t="s">
        <v>20</v>
      </c>
      <c r="J2776" s="10"/>
      <c r="K2776" s="1" t="s">
        <v>398</v>
      </c>
      <c r="L2776" s="7"/>
      <c r="M2776" s="7"/>
      <c r="N2776" s="7" t="str">
        <f>IFERROR(__xludf.DUMMYFUNCTION("""COMPUTED_VALUE"""),"Franco Rossano|46184")</f>
        <v>Franco Rossano|46184</v>
      </c>
      <c r="O2776" s="7">
        <f>IFERROR(__xludf.DUMMYFUNCTION("""COMPUTED_VALUE"""),9.0)</f>
        <v>9</v>
      </c>
    </row>
    <row r="2777" ht="22.5" hidden="1" customHeight="1">
      <c r="A2777" s="8">
        <v>46018.37237737268</v>
      </c>
      <c r="B2777" s="9">
        <v>46018.0</v>
      </c>
      <c r="C2777" s="9" t="s">
        <v>53</v>
      </c>
      <c r="D2777" s="9" t="s">
        <v>174</v>
      </c>
      <c r="E2777" s="9" t="s">
        <v>17</v>
      </c>
      <c r="F2777" s="9" t="s">
        <v>17</v>
      </c>
      <c r="G2777" s="9" t="s">
        <v>24</v>
      </c>
      <c r="H2777" s="9" t="s">
        <v>22</v>
      </c>
      <c r="I2777" s="9" t="s">
        <v>20</v>
      </c>
      <c r="J2777" s="10"/>
      <c r="K2777" s="1">
        <v>4.0</v>
      </c>
      <c r="L2777" s="7"/>
      <c r="M2777" s="7"/>
      <c r="N2777" s="7" t="str">
        <f>IFERROR(__xludf.DUMMYFUNCTION("""COMPUTED_VALUE"""),"Miguel Ramírez|46184")</f>
        <v>Miguel Ramírez|46184</v>
      </c>
      <c r="O2777" s="7">
        <f>IFERROR(__xludf.DUMMYFUNCTION("""COMPUTED_VALUE"""),6.0)</f>
        <v>6</v>
      </c>
    </row>
    <row r="2778" ht="22.5" hidden="1" customHeight="1">
      <c r="A2778" s="8">
        <v>46018.37574675926</v>
      </c>
      <c r="B2778" s="9">
        <v>46018.0</v>
      </c>
      <c r="C2778" s="9" t="s">
        <v>53</v>
      </c>
      <c r="D2778" s="9" t="s">
        <v>170</v>
      </c>
      <c r="E2778" s="9" t="s">
        <v>17</v>
      </c>
      <c r="F2778" s="9" t="s">
        <v>18</v>
      </c>
      <c r="G2778" s="9" t="s">
        <v>24</v>
      </c>
      <c r="H2778" s="9" t="s">
        <v>22</v>
      </c>
      <c r="I2778" s="9" t="s">
        <v>20</v>
      </c>
      <c r="J2778" s="10"/>
      <c r="K2778" s="1">
        <v>3.0</v>
      </c>
      <c r="L2778" s="7"/>
      <c r="M2778" s="7"/>
      <c r="N2778" s="7" t="str">
        <f>IFERROR(__xludf.DUMMYFUNCTION("""COMPUTED_VALUE"""),"Paolo Bedolla|46184")</f>
        <v>Paolo Bedolla|46184</v>
      </c>
      <c r="O2778" s="7">
        <f>IFERROR(__xludf.DUMMYFUNCTION("""COMPUTED_VALUE"""),5.0)</f>
        <v>5</v>
      </c>
    </row>
    <row r="2779" ht="22.5" hidden="1" customHeight="1">
      <c r="A2779" s="8">
        <v>46018.37778195602</v>
      </c>
      <c r="B2779" s="9">
        <v>46018.0</v>
      </c>
      <c r="C2779" s="9" t="s">
        <v>53</v>
      </c>
      <c r="D2779" s="9" t="s">
        <v>361</v>
      </c>
      <c r="E2779" s="9" t="s">
        <v>17</v>
      </c>
      <c r="F2779" s="9" t="s">
        <v>17</v>
      </c>
      <c r="G2779" s="9" t="s">
        <v>24</v>
      </c>
      <c r="H2779" s="9" t="s">
        <v>22</v>
      </c>
      <c r="I2779" s="9" t="s">
        <v>20</v>
      </c>
      <c r="J2779" s="10"/>
      <c r="K2779" s="1" t="s">
        <v>398</v>
      </c>
      <c r="L2779" s="7"/>
      <c r="M2779" s="7"/>
      <c r="N2779" s="7" t="str">
        <f>IFERROR(__xludf.DUMMYFUNCTION("""COMPUTED_VALUE"""),"Franco Rossano|46185")</f>
        <v>Franco Rossano|46185</v>
      </c>
      <c r="O2779" s="7">
        <f>IFERROR(__xludf.DUMMYFUNCTION("""COMPUTED_VALUE"""),9.0)</f>
        <v>9</v>
      </c>
    </row>
    <row r="2780" ht="22.5" hidden="1" customHeight="1">
      <c r="A2780" s="8">
        <v>46018.37802824074</v>
      </c>
      <c r="B2780" s="9">
        <v>46018.0</v>
      </c>
      <c r="C2780" s="9" t="s">
        <v>53</v>
      </c>
      <c r="D2780" s="9" t="s">
        <v>350</v>
      </c>
      <c r="E2780" s="9" t="s">
        <v>17</v>
      </c>
      <c r="F2780" s="9" t="s">
        <v>17</v>
      </c>
      <c r="G2780" s="9" t="s">
        <v>24</v>
      </c>
      <c r="H2780" s="9" t="s">
        <v>22</v>
      </c>
      <c r="I2780" s="9" t="s">
        <v>20</v>
      </c>
      <c r="J2780" s="10"/>
      <c r="K2780" s="1" t="s">
        <v>398</v>
      </c>
      <c r="L2780" s="7"/>
      <c r="M2780" s="7"/>
      <c r="N2780" s="7" t="str">
        <f>IFERROR(__xludf.DUMMYFUNCTION("""COMPUTED_VALUE"""),"Kevin Álvarez|46185")</f>
        <v>Kevin Álvarez|46185</v>
      </c>
      <c r="O2780" s="7">
        <f>IFERROR(__xludf.DUMMYFUNCTION("""COMPUTED_VALUE"""),7.0)</f>
        <v>7</v>
      </c>
    </row>
    <row r="2781" ht="22.5" hidden="1" customHeight="1">
      <c r="A2781" s="8">
        <v>46018.37832456018</v>
      </c>
      <c r="B2781" s="9">
        <v>46018.0</v>
      </c>
      <c r="C2781" s="9" t="s">
        <v>53</v>
      </c>
      <c r="D2781" s="9" t="s">
        <v>223</v>
      </c>
      <c r="E2781" s="9" t="s">
        <v>17</v>
      </c>
      <c r="F2781" s="9" t="s">
        <v>17</v>
      </c>
      <c r="G2781" s="9" t="s">
        <v>24</v>
      </c>
      <c r="H2781" s="9" t="s">
        <v>25</v>
      </c>
      <c r="I2781" s="9" t="s">
        <v>211</v>
      </c>
      <c r="J2781" s="10"/>
      <c r="K2781" s="1">
        <v>5.0</v>
      </c>
      <c r="L2781" s="7"/>
      <c r="M2781" s="7"/>
      <c r="N2781" s="7" t="str">
        <f>IFERROR(__xludf.DUMMYFUNCTION("""COMPUTED_VALUE"""),"Henry Martín|46185")</f>
        <v>Henry Martín|46185</v>
      </c>
      <c r="O2781" s="7">
        <f>IFERROR(__xludf.DUMMYFUNCTION("""COMPUTED_VALUE"""),7.0)</f>
        <v>7</v>
      </c>
    </row>
    <row r="2782" ht="22.5" hidden="1" customHeight="1">
      <c r="A2782" s="8">
        <v>46018.37857559028</v>
      </c>
      <c r="B2782" s="9">
        <v>46018.0</v>
      </c>
      <c r="C2782" s="9" t="s">
        <v>53</v>
      </c>
      <c r="D2782" s="9" t="s">
        <v>247</v>
      </c>
      <c r="E2782" s="9" t="s">
        <v>17</v>
      </c>
      <c r="F2782" s="9" t="s">
        <v>17</v>
      </c>
      <c r="G2782" s="9" t="s">
        <v>40</v>
      </c>
      <c r="H2782" s="9" t="s">
        <v>22</v>
      </c>
      <c r="I2782" s="9" t="s">
        <v>20</v>
      </c>
      <c r="J2782" s="10"/>
      <c r="K2782" s="1" t="s">
        <v>398</v>
      </c>
      <c r="L2782" s="7"/>
      <c r="M2782" s="7"/>
      <c r="N2782" s="7" t="str">
        <f>IFERROR(__xludf.DUMMYFUNCTION("""COMPUTED_VALUE"""),"Isaías Violante|46185")</f>
        <v>Isaías Violante|46185</v>
      </c>
      <c r="O2782" s="7">
        <f>IFERROR(__xludf.DUMMYFUNCTION("""COMPUTED_VALUE"""),6.0)</f>
        <v>6</v>
      </c>
    </row>
    <row r="2783" ht="22.5" hidden="1" customHeight="1">
      <c r="A2783" s="8">
        <v>46018.378863680555</v>
      </c>
      <c r="B2783" s="9">
        <v>46018.0</v>
      </c>
      <c r="C2783" s="9" t="s">
        <v>53</v>
      </c>
      <c r="D2783" s="9" t="s">
        <v>249</v>
      </c>
      <c r="E2783" s="9" t="s">
        <v>44</v>
      </c>
      <c r="F2783" s="9" t="s">
        <v>35</v>
      </c>
      <c r="G2783" s="9" t="s">
        <v>19</v>
      </c>
      <c r="H2783" s="9" t="s">
        <v>22</v>
      </c>
      <c r="I2783" s="9" t="s">
        <v>20</v>
      </c>
      <c r="J2783" s="10"/>
      <c r="K2783" s="1" t="s">
        <v>398</v>
      </c>
      <c r="L2783" s="7"/>
      <c r="M2783" s="7"/>
      <c r="N2783" s="7" t="str">
        <f>IFERROR(__xludf.DUMMYFUNCTION("""COMPUTED_VALUE"""),"Thiago Espinosa|46185")</f>
        <v>Thiago Espinosa|46185</v>
      </c>
      <c r="O2783" s="7">
        <f>IFERROR(__xludf.DUMMYFUNCTION("""COMPUTED_VALUE"""),8.0)</f>
        <v>8</v>
      </c>
    </row>
    <row r="2784" ht="22.5" hidden="1" customHeight="1">
      <c r="A2784" s="8">
        <v>46018.379150231485</v>
      </c>
      <c r="B2784" s="9">
        <v>46018.0</v>
      </c>
      <c r="C2784" s="9" t="s">
        <v>53</v>
      </c>
      <c r="D2784" s="9" t="s">
        <v>367</v>
      </c>
      <c r="E2784" s="9" t="s">
        <v>17</v>
      </c>
      <c r="F2784" s="9" t="s">
        <v>17</v>
      </c>
      <c r="G2784" s="9" t="s">
        <v>24</v>
      </c>
      <c r="H2784" s="9" t="s">
        <v>22</v>
      </c>
      <c r="I2784" s="9" t="s">
        <v>20</v>
      </c>
      <c r="J2784" s="10"/>
      <c r="K2784" s="1" t="s">
        <v>398</v>
      </c>
      <c r="L2784" s="7"/>
      <c r="M2784" s="7"/>
      <c r="N2784" s="7" t="str">
        <f>IFERROR(__xludf.DUMMYFUNCTION("""COMPUTED_VALUE"""),"Raphael Veiga|46185")</f>
        <v>Raphael Veiga|46185</v>
      </c>
      <c r="O2784" s="7">
        <f>IFERROR(__xludf.DUMMYFUNCTION("""COMPUTED_VALUE"""),7.0)</f>
        <v>7</v>
      </c>
    </row>
    <row r="2785" ht="22.5" hidden="1" customHeight="1">
      <c r="A2785" s="8">
        <v>46018.37932494213</v>
      </c>
      <c r="B2785" s="9">
        <v>46018.0</v>
      </c>
      <c r="C2785" s="9" t="s">
        <v>53</v>
      </c>
      <c r="D2785" s="9" t="s">
        <v>357</v>
      </c>
      <c r="E2785" s="9" t="s">
        <v>17</v>
      </c>
      <c r="F2785" s="9" t="s">
        <v>17</v>
      </c>
      <c r="G2785" s="9" t="s">
        <v>24</v>
      </c>
      <c r="H2785" s="9" t="s">
        <v>22</v>
      </c>
      <c r="I2785" s="9" t="s">
        <v>20</v>
      </c>
      <c r="J2785" s="10"/>
      <c r="K2785" s="1">
        <v>4.0</v>
      </c>
      <c r="L2785" s="7"/>
      <c r="M2785" s="7"/>
      <c r="N2785" s="7" t="str">
        <f>IFERROR(__xludf.DUMMYFUNCTION("""COMPUTED_VALUE"""),"Cristian Borja|46185")</f>
        <v>Cristian Borja|46185</v>
      </c>
      <c r="O2785" s="7">
        <f>IFERROR(__xludf.DUMMYFUNCTION("""COMPUTED_VALUE"""),8.0)</f>
        <v>8</v>
      </c>
    </row>
    <row r="2786" ht="22.5" hidden="1" customHeight="1">
      <c r="A2786" s="8">
        <v>46018.37953976852</v>
      </c>
      <c r="B2786" s="9">
        <v>46018.0</v>
      </c>
      <c r="C2786" s="9" t="s">
        <v>53</v>
      </c>
      <c r="D2786" s="9" t="s">
        <v>397</v>
      </c>
      <c r="E2786" s="9" t="s">
        <v>46</v>
      </c>
      <c r="F2786" s="9" t="s">
        <v>60</v>
      </c>
      <c r="G2786" s="9" t="s">
        <v>40</v>
      </c>
      <c r="H2786" s="9" t="s">
        <v>62</v>
      </c>
      <c r="I2786" s="9" t="s">
        <v>20</v>
      </c>
      <c r="J2786" s="10"/>
      <c r="K2786" s="1">
        <v>4.0</v>
      </c>
      <c r="L2786" s="7"/>
      <c r="M2786" s="7"/>
      <c r="N2786" s="7" t="str">
        <f>IFERROR(__xludf.DUMMYFUNCTION("""COMPUTED_VALUE"""),"Erick Sánchez|46185")</f>
        <v>Erick Sánchez|46185</v>
      </c>
      <c r="O2786" s="7">
        <f>IFERROR(__xludf.DUMMYFUNCTION("""COMPUTED_VALUE"""),7.0)</f>
        <v>7</v>
      </c>
    </row>
    <row r="2787" ht="22.5" hidden="1" customHeight="1">
      <c r="A2787" s="8">
        <v>46018.37975946759</v>
      </c>
      <c r="B2787" s="9">
        <v>46018.0</v>
      </c>
      <c r="C2787" s="9" t="s">
        <v>53</v>
      </c>
      <c r="D2787" s="9" t="s">
        <v>395</v>
      </c>
      <c r="E2787" s="9" t="s">
        <v>17</v>
      </c>
      <c r="F2787" s="9" t="s">
        <v>17</v>
      </c>
      <c r="G2787" s="9" t="s">
        <v>24</v>
      </c>
      <c r="H2787" s="9" t="s">
        <v>22</v>
      </c>
      <c r="I2787" s="9" t="s">
        <v>20</v>
      </c>
      <c r="J2787" s="10"/>
      <c r="K2787" s="1">
        <v>3.0</v>
      </c>
      <c r="L2787" s="7"/>
      <c r="M2787" s="7"/>
      <c r="N2787" s="7" t="str">
        <f>IFERROR(__xludf.DUMMYFUNCTION("""COMPUTED_VALUE"""),"Patricio Salas|46185")</f>
        <v>Patricio Salas|46185</v>
      </c>
      <c r="O2787" s="7">
        <f>IFERROR(__xludf.DUMMYFUNCTION("""COMPUTED_VALUE"""),8.0)</f>
        <v>8</v>
      </c>
    </row>
    <row r="2788" ht="22.5" hidden="1" customHeight="1">
      <c r="A2788" s="8">
        <v>46018.379989340276</v>
      </c>
      <c r="B2788" s="9">
        <v>46018.0</v>
      </c>
      <c r="C2788" s="9" t="s">
        <v>53</v>
      </c>
      <c r="D2788" s="9" t="s">
        <v>393</v>
      </c>
      <c r="E2788" s="9" t="s">
        <v>17</v>
      </c>
      <c r="F2788" s="9" t="s">
        <v>17</v>
      </c>
      <c r="G2788" s="9" t="s">
        <v>24</v>
      </c>
      <c r="H2788" s="9" t="s">
        <v>22</v>
      </c>
      <c r="I2788" s="9" t="s">
        <v>20</v>
      </c>
      <c r="J2788" s="10"/>
      <c r="K2788" s="1" t="s">
        <v>398</v>
      </c>
      <c r="L2788" s="7"/>
      <c r="M2788" s="7"/>
      <c r="N2788" s="7" t="str">
        <f>IFERROR(__xludf.DUMMYFUNCTION("""COMPUTED_VALUE"""),"Dagoberto Espinoza|46185")</f>
        <v>Dagoberto Espinoza|46185</v>
      </c>
      <c r="O2788" s="7">
        <f>IFERROR(__xludf.DUMMYFUNCTION("""COMPUTED_VALUE"""),8.0)</f>
        <v>8</v>
      </c>
    </row>
    <row r="2789" ht="22.5" hidden="1" customHeight="1">
      <c r="A2789" s="8">
        <v>46018.38031994213</v>
      </c>
      <c r="B2789" s="9">
        <v>46018.0</v>
      </c>
      <c r="C2789" s="9" t="s">
        <v>53</v>
      </c>
      <c r="D2789" s="9" t="s">
        <v>257</v>
      </c>
      <c r="E2789" s="9" t="s">
        <v>17</v>
      </c>
      <c r="F2789" s="9" t="s">
        <v>17</v>
      </c>
      <c r="G2789" s="9" t="s">
        <v>24</v>
      </c>
      <c r="H2789" s="9" t="s">
        <v>25</v>
      </c>
      <c r="I2789" s="9" t="s">
        <v>240</v>
      </c>
      <c r="J2789" s="10"/>
      <c r="K2789" s="1" t="s">
        <v>398</v>
      </c>
      <c r="L2789" s="7"/>
      <c r="M2789" s="7"/>
      <c r="N2789" s="7" t="str">
        <f>IFERROR(__xludf.DUMMYFUNCTION("""COMPUTED_VALUE"""),"Vinícius Lima|46185")</f>
        <v>Vinícius Lima|46185</v>
      </c>
      <c r="O2789" s="7">
        <f>IFERROR(__xludf.DUMMYFUNCTION("""COMPUTED_VALUE"""),5.0)</f>
        <v>5</v>
      </c>
    </row>
    <row r="2790" ht="22.5" hidden="1" customHeight="1">
      <c r="A2790" s="8">
        <v>46018.38068541666</v>
      </c>
      <c r="B2790" s="9">
        <v>46018.0</v>
      </c>
      <c r="C2790" s="9" t="s">
        <v>53</v>
      </c>
      <c r="D2790" s="9" t="s">
        <v>210</v>
      </c>
      <c r="E2790" s="9" t="s">
        <v>17</v>
      </c>
      <c r="F2790" s="9" t="s">
        <v>17</v>
      </c>
      <c r="G2790" s="9" t="s">
        <v>24</v>
      </c>
      <c r="H2790" s="9" t="s">
        <v>17</v>
      </c>
      <c r="I2790" s="9" t="s">
        <v>20</v>
      </c>
      <c r="J2790" s="10"/>
      <c r="K2790" s="1" t="s">
        <v>398</v>
      </c>
      <c r="L2790" s="7"/>
      <c r="M2790" s="7"/>
      <c r="N2790" s="7" t="str">
        <f>IFERROR(__xludf.DUMMYFUNCTION("""COMPUTED_VALUE"""),"Rodolfo Cota|46185")</f>
        <v>Rodolfo Cota|46185</v>
      </c>
      <c r="O2790" s="7">
        <f>IFERROR(__xludf.DUMMYFUNCTION("""COMPUTED_VALUE"""),3.0)</f>
        <v>3</v>
      </c>
    </row>
    <row r="2791" ht="22.5" hidden="1" customHeight="1">
      <c r="A2791" s="8">
        <v>46018.380942881944</v>
      </c>
      <c r="B2791" s="9">
        <v>46018.0</v>
      </c>
      <c r="C2791" s="9" t="s">
        <v>53</v>
      </c>
      <c r="D2791" s="9" t="s">
        <v>396</v>
      </c>
      <c r="E2791" s="9" t="s">
        <v>61</v>
      </c>
      <c r="F2791" s="9" t="s">
        <v>17</v>
      </c>
      <c r="G2791" s="9" t="s">
        <v>24</v>
      </c>
      <c r="H2791" s="9" t="s">
        <v>25</v>
      </c>
      <c r="I2791" s="9" t="s">
        <v>355</v>
      </c>
      <c r="J2791" s="10"/>
      <c r="K2791" s="1" t="s">
        <v>398</v>
      </c>
      <c r="L2791" s="7"/>
      <c r="M2791" s="7"/>
      <c r="N2791" s="7" t="str">
        <f>IFERROR(__xludf.DUMMYFUNCTION("""COMPUTED_VALUE"""),"Alan Cervantes|46185")</f>
        <v>Alan Cervantes|46185</v>
      </c>
      <c r="O2791" s="7">
        <f>IFERROR(__xludf.DUMMYFUNCTION("""COMPUTED_VALUE"""),8.0)</f>
        <v>8</v>
      </c>
    </row>
    <row r="2792" ht="22.5" hidden="1" customHeight="1">
      <c r="A2792" s="8">
        <v>46018.38118600694</v>
      </c>
      <c r="B2792" s="9">
        <v>46018.0</v>
      </c>
      <c r="C2792" s="9" t="s">
        <v>53</v>
      </c>
      <c r="D2792" s="9" t="s">
        <v>171</v>
      </c>
      <c r="E2792" s="9" t="s">
        <v>17</v>
      </c>
      <c r="F2792" s="9" t="s">
        <v>17</v>
      </c>
      <c r="G2792" s="9" t="s">
        <v>24</v>
      </c>
      <c r="H2792" s="9" t="s">
        <v>25</v>
      </c>
      <c r="I2792" s="9" t="s">
        <v>242</v>
      </c>
      <c r="J2792" s="10"/>
      <c r="K2792" s="1">
        <v>3.0</v>
      </c>
      <c r="L2792" s="7"/>
      <c r="M2792" s="7"/>
      <c r="N2792" s="7" t="str">
        <f>IFERROR(__xludf.DUMMYFUNCTION("""COMPUTED_VALUE"""),"Rodrigo Dourado|46185")</f>
        <v>Rodrigo Dourado|46185</v>
      </c>
      <c r="O2792" s="7">
        <f>IFERROR(__xludf.DUMMYFUNCTION("""COMPUTED_VALUE"""),5.0)</f>
        <v>5</v>
      </c>
    </row>
    <row r="2793" ht="22.5" hidden="1" customHeight="1">
      <c r="A2793" s="8">
        <v>46018.381386284724</v>
      </c>
      <c r="B2793" s="9">
        <v>46018.0</v>
      </c>
      <c r="C2793" s="9" t="s">
        <v>53</v>
      </c>
      <c r="D2793" s="9" t="s">
        <v>175</v>
      </c>
      <c r="E2793" s="9" t="s">
        <v>17</v>
      </c>
      <c r="F2793" s="9" t="s">
        <v>17</v>
      </c>
      <c r="G2793" s="9" t="s">
        <v>24</v>
      </c>
      <c r="H2793" s="9" t="s">
        <v>22</v>
      </c>
      <c r="I2793" s="9" t="s">
        <v>20</v>
      </c>
      <c r="J2793" s="10"/>
      <c r="K2793" s="1">
        <v>4.0</v>
      </c>
      <c r="L2793" s="7"/>
      <c r="M2793" s="7"/>
      <c r="N2793" s="7" t="str">
        <f>IFERROR(__xludf.DUMMYFUNCTION("""COMPUTED_VALUE"""),"José Raúl Zúñiga|46185")</f>
        <v>José Raúl Zúñiga|46185</v>
      </c>
      <c r="O2793" s="7">
        <f>IFERROR(__xludf.DUMMYFUNCTION("""COMPUTED_VALUE"""),5.0)</f>
        <v>5</v>
      </c>
    </row>
    <row r="2794" ht="22.5" hidden="1" customHeight="1">
      <c r="A2794" s="8">
        <v>46018.67118978009</v>
      </c>
      <c r="B2794" s="14">
        <v>46018.0</v>
      </c>
      <c r="C2794" s="9" t="s">
        <v>53</v>
      </c>
      <c r="D2794" s="9" t="s">
        <v>249</v>
      </c>
      <c r="E2794" s="9" t="s">
        <v>17</v>
      </c>
      <c r="F2794" s="9" t="s">
        <v>17</v>
      </c>
      <c r="G2794" s="9" t="s">
        <v>24</v>
      </c>
      <c r="H2794" s="9" t="s">
        <v>22</v>
      </c>
      <c r="I2794" s="9" t="s">
        <v>20</v>
      </c>
      <c r="J2794" s="10"/>
      <c r="K2794" s="15" t="s">
        <v>398</v>
      </c>
      <c r="N2794" s="14" t="str">
        <f>IFERROR(__xludf.DUMMYFUNCTION("""COMPUTED_VALUE"""),"Alexis Gutiérrez|46185")</f>
        <v>Alexis Gutiérrez|46185</v>
      </c>
      <c r="O2794" s="14">
        <f>IFERROR(__xludf.DUMMYFUNCTION("""COMPUTED_VALUE"""),6.0)</f>
        <v>6</v>
      </c>
    </row>
    <row r="2795" ht="22.5" hidden="1" customHeight="1">
      <c r="A2795" s="8">
        <v>46018.673223668986</v>
      </c>
      <c r="B2795" s="14">
        <v>46018.0</v>
      </c>
      <c r="C2795" s="9" t="s">
        <v>53</v>
      </c>
      <c r="D2795" s="9" t="s">
        <v>210</v>
      </c>
      <c r="E2795" s="9" t="s">
        <v>17</v>
      </c>
      <c r="F2795" s="9" t="s">
        <v>17</v>
      </c>
      <c r="G2795" s="9" t="s">
        <v>24</v>
      </c>
      <c r="H2795" s="9" t="s">
        <v>22</v>
      </c>
      <c r="I2795" s="9" t="s">
        <v>20</v>
      </c>
      <c r="J2795" s="10"/>
      <c r="K2795" s="15" t="s">
        <v>398</v>
      </c>
      <c r="N2795" s="14" t="str">
        <f>IFERROR(__xludf.DUMMYFUNCTION("""COMPUTED_VALUE"""),"Ramón Juárez|46185")</f>
        <v>Ramón Juárez|46185</v>
      </c>
      <c r="O2795" s="14">
        <f>IFERROR(__xludf.DUMMYFUNCTION("""COMPUTED_VALUE"""),6.0)</f>
        <v>6</v>
      </c>
    </row>
    <row r="2796" ht="22.5" hidden="1" customHeight="1">
      <c r="A2796" s="8">
        <v>46018.67479578704</v>
      </c>
      <c r="B2796" s="14">
        <v>46018.0</v>
      </c>
      <c r="C2796" s="9" t="s">
        <v>53</v>
      </c>
      <c r="D2796" s="9" t="s">
        <v>350</v>
      </c>
      <c r="E2796" s="9" t="s">
        <v>17</v>
      </c>
      <c r="F2796" s="9" t="s">
        <v>17</v>
      </c>
      <c r="G2796" s="9" t="s">
        <v>24</v>
      </c>
      <c r="H2796" s="9" t="s">
        <v>25</v>
      </c>
      <c r="I2796" s="9" t="s">
        <v>404</v>
      </c>
      <c r="J2796" s="10"/>
      <c r="K2796" s="15" t="s">
        <v>398</v>
      </c>
      <c r="N2796" s="14" t="str">
        <f>IFERROR(__xludf.DUMMYFUNCTION("""COMPUTED_VALUE"""),"Miguel Vázquez|46185")</f>
        <v>Miguel Vázquez|46185</v>
      </c>
      <c r="O2796" s="14">
        <f>IFERROR(__xludf.DUMMYFUNCTION("""COMPUTED_VALUE"""),7.0)</f>
        <v>7</v>
      </c>
    </row>
    <row r="2797" ht="22.5" hidden="1" customHeight="1">
      <c r="A2797" s="8">
        <v>46018.67607710648</v>
      </c>
      <c r="B2797" s="14">
        <v>46018.0</v>
      </c>
      <c r="C2797" s="9" t="s">
        <v>53</v>
      </c>
      <c r="D2797" s="9" t="s">
        <v>178</v>
      </c>
      <c r="E2797" s="9" t="s">
        <v>17</v>
      </c>
      <c r="F2797" s="9" t="s">
        <v>17</v>
      </c>
      <c r="G2797" s="9" t="s">
        <v>24</v>
      </c>
      <c r="H2797" s="9" t="s">
        <v>25</v>
      </c>
      <c r="I2797" s="9" t="s">
        <v>207</v>
      </c>
      <c r="J2797" s="10"/>
      <c r="K2797" s="15">
        <v>4.0</v>
      </c>
      <c r="N2797" s="14" t="str">
        <f>IFERROR(__xludf.DUMMYFUNCTION("""COMPUTED_VALUE"""),"Fernando Tapia|46185")</f>
        <v>Fernando Tapia|46185</v>
      </c>
      <c r="O2797" s="14">
        <f>IFERROR(__xludf.DUMMYFUNCTION("""COMPUTED_VALUE"""),7.0)</f>
        <v>7</v>
      </c>
    </row>
    <row r="2798" ht="22.5" hidden="1" customHeight="1">
      <c r="A2798" s="8">
        <v>46018.67702771991</v>
      </c>
      <c r="B2798" s="14">
        <v>46018.0</v>
      </c>
      <c r="C2798" s="9" t="s">
        <v>53</v>
      </c>
      <c r="D2798" s="9" t="s">
        <v>394</v>
      </c>
      <c r="E2798" s="9" t="s">
        <v>17</v>
      </c>
      <c r="F2798" s="9" t="s">
        <v>17</v>
      </c>
      <c r="G2798" s="9" t="s">
        <v>24</v>
      </c>
      <c r="H2798" s="9" t="s">
        <v>25</v>
      </c>
      <c r="I2798" s="9" t="s">
        <v>20</v>
      </c>
      <c r="J2798" s="10"/>
      <c r="K2798" s="15" t="s">
        <v>398</v>
      </c>
      <c r="N2798" s="14" t="str">
        <f>IFERROR(__xludf.DUMMYFUNCTION("""COMPUTED_VALUE"""),"Paolo Bedolla|46185")</f>
        <v>Paolo Bedolla|46185</v>
      </c>
      <c r="O2798" s="14">
        <f>IFERROR(__xludf.DUMMYFUNCTION("""COMPUTED_VALUE"""),5.0)</f>
        <v>5</v>
      </c>
    </row>
    <row r="2799" ht="22.5" hidden="1" customHeight="1">
      <c r="A2799" s="8">
        <v>46018.67743950231</v>
      </c>
      <c r="B2799" s="14">
        <v>46018.0</v>
      </c>
      <c r="C2799" s="9" t="s">
        <v>53</v>
      </c>
      <c r="D2799" s="9" t="s">
        <v>258</v>
      </c>
      <c r="E2799" s="9" t="s">
        <v>17</v>
      </c>
      <c r="F2799" s="9" t="s">
        <v>17</v>
      </c>
      <c r="G2799" s="9" t="s">
        <v>24</v>
      </c>
      <c r="H2799" s="9" t="s">
        <v>17</v>
      </c>
      <c r="I2799" s="9" t="s">
        <v>20</v>
      </c>
      <c r="J2799" s="10"/>
      <c r="K2799" s="15" t="s">
        <v>398</v>
      </c>
      <c r="N2799" s="14" t="str">
        <f>IFERROR(__xludf.DUMMYFUNCTION("""COMPUTED_VALUE"""),"Emilio Lara|46185")</f>
        <v>Emilio Lara|46185</v>
      </c>
      <c r="O2799" s="14">
        <f>IFERROR(__xludf.DUMMYFUNCTION("""COMPUTED_VALUE"""),5.0)</f>
        <v>5</v>
      </c>
    </row>
    <row r="2800" ht="22.5" hidden="1" customHeight="1">
      <c r="A2800" s="8">
        <v>46018.68580841435</v>
      </c>
      <c r="B2800" s="14">
        <v>46018.0</v>
      </c>
      <c r="C2800" s="9" t="s">
        <v>53</v>
      </c>
      <c r="D2800" s="9" t="s">
        <v>168</v>
      </c>
      <c r="E2800" s="9" t="s">
        <v>17</v>
      </c>
      <c r="F2800" s="9" t="s">
        <v>17</v>
      </c>
      <c r="G2800" s="9" t="s">
        <v>24</v>
      </c>
      <c r="H2800" s="9" t="s">
        <v>22</v>
      </c>
      <c r="I2800" s="9" t="s">
        <v>20</v>
      </c>
      <c r="J2800" s="10"/>
      <c r="K2800" s="15">
        <v>4.0</v>
      </c>
      <c r="N2800" s="14" t="str">
        <f>IFERROR(__xludf.DUMMYFUNCTION("""COMPUTED_VALUE"""),"Erick Sánchez|46186")</f>
        <v>Erick Sánchez|46186</v>
      </c>
      <c r="O2800" s="14">
        <f>IFERROR(__xludf.DUMMYFUNCTION("""COMPUTED_VALUE"""),9.0)</f>
        <v>9</v>
      </c>
    </row>
    <row r="2801" ht="22.5" hidden="1" customHeight="1">
      <c r="A2801" s="8">
        <v>46018.687585312495</v>
      </c>
      <c r="B2801" s="14">
        <v>46018.0</v>
      </c>
      <c r="C2801" s="9" t="s">
        <v>53</v>
      </c>
      <c r="D2801" s="9" t="s">
        <v>170</v>
      </c>
      <c r="E2801" s="9" t="s">
        <v>17</v>
      </c>
      <c r="F2801" s="9" t="s">
        <v>17</v>
      </c>
      <c r="G2801" s="9" t="s">
        <v>24</v>
      </c>
      <c r="H2801" s="9" t="s">
        <v>22</v>
      </c>
      <c r="I2801" s="9" t="s">
        <v>20</v>
      </c>
      <c r="J2801" s="10"/>
      <c r="K2801" s="15">
        <v>3.0</v>
      </c>
      <c r="N2801" s="14" t="str">
        <f>IFERROR(__xludf.DUMMYFUNCTION("""COMPUTED_VALUE"""),"Cristian Borja|46186")</f>
        <v>Cristian Borja|46186</v>
      </c>
      <c r="O2801" s="14">
        <f>IFERROR(__xludf.DUMMYFUNCTION("""COMPUTED_VALUE"""),7.0)</f>
        <v>7</v>
      </c>
    </row>
    <row r="2802" ht="22.5" hidden="1" customHeight="1">
      <c r="A2802" s="8">
        <v>46018.68815071759</v>
      </c>
      <c r="B2802" s="14">
        <v>46018.0</v>
      </c>
      <c r="C2802" s="9" t="s">
        <v>53</v>
      </c>
      <c r="D2802" s="9" t="s">
        <v>367</v>
      </c>
      <c r="E2802" s="9" t="s">
        <v>17</v>
      </c>
      <c r="F2802" s="9" t="s">
        <v>17</v>
      </c>
      <c r="G2802" s="9" t="s">
        <v>24</v>
      </c>
      <c r="H2802" s="9" t="s">
        <v>22</v>
      </c>
      <c r="I2802" s="9" t="s">
        <v>20</v>
      </c>
      <c r="J2802" s="10"/>
      <c r="K2802" s="15" t="s">
        <v>398</v>
      </c>
      <c r="N2802" s="14" t="str">
        <f>IFERROR(__xludf.DUMMYFUNCTION("""COMPUTED_VALUE"""),"Thiago Espinosa|46186")</f>
        <v>Thiago Espinosa|46186</v>
      </c>
      <c r="O2802" s="14">
        <f>IFERROR(__xludf.DUMMYFUNCTION("""COMPUTED_VALUE"""),10.0)</f>
        <v>10</v>
      </c>
    </row>
    <row r="2803" ht="22.5" hidden="1" customHeight="1">
      <c r="A2803" s="8">
        <v>46018.69035740741</v>
      </c>
      <c r="B2803" s="14">
        <v>46018.0</v>
      </c>
      <c r="C2803" s="9" t="s">
        <v>53</v>
      </c>
      <c r="D2803" s="9" t="s">
        <v>396</v>
      </c>
      <c r="E2803" s="9" t="s">
        <v>17</v>
      </c>
      <c r="F2803" s="9" t="s">
        <v>17</v>
      </c>
      <c r="G2803" s="9" t="s">
        <v>24</v>
      </c>
      <c r="H2803" s="9" t="s">
        <v>25</v>
      </c>
      <c r="I2803" s="9" t="s">
        <v>355</v>
      </c>
      <c r="J2803" s="10"/>
      <c r="K2803" s="15" t="s">
        <v>398</v>
      </c>
      <c r="N2803" s="14" t="str">
        <f>IFERROR(__xludf.DUMMYFUNCTION("""COMPUTED_VALUE"""),"Isaías Violante|46186")</f>
        <v>Isaías Violante|46186</v>
      </c>
      <c r="O2803" s="14">
        <f>IFERROR(__xludf.DUMMYFUNCTION("""COMPUTED_VALUE"""),8.0)</f>
        <v>8</v>
      </c>
    </row>
    <row r="2804" ht="22.5" hidden="1" customHeight="1">
      <c r="A2804" s="8">
        <v>46018.69064760416</v>
      </c>
      <c r="B2804" s="14">
        <v>46018.0</v>
      </c>
      <c r="C2804" s="9" t="s">
        <v>53</v>
      </c>
      <c r="D2804" s="9" t="s">
        <v>171</v>
      </c>
      <c r="E2804" s="9" t="s">
        <v>17</v>
      </c>
      <c r="F2804" s="9" t="s">
        <v>17</v>
      </c>
      <c r="G2804" s="9" t="s">
        <v>24</v>
      </c>
      <c r="H2804" s="9" t="s">
        <v>25</v>
      </c>
      <c r="I2804" s="9" t="s">
        <v>242</v>
      </c>
      <c r="J2804" s="10"/>
      <c r="K2804" s="15">
        <v>3.0</v>
      </c>
      <c r="N2804" s="14" t="str">
        <f>IFERROR(__xludf.DUMMYFUNCTION("""COMPUTED_VALUE"""),"Henry Martín|46186")</f>
        <v>Henry Martín|46186</v>
      </c>
      <c r="O2804" s="14">
        <f>IFERROR(__xludf.DUMMYFUNCTION("""COMPUTED_VALUE"""),6.0)</f>
        <v>6</v>
      </c>
    </row>
    <row r="2805" ht="22.5" hidden="1" customHeight="1">
      <c r="A2805" s="8">
        <v>46018.69093662037</v>
      </c>
      <c r="B2805" s="14">
        <v>46018.0</v>
      </c>
      <c r="C2805" s="9" t="s">
        <v>53</v>
      </c>
      <c r="D2805" s="9" t="s">
        <v>177</v>
      </c>
      <c r="E2805" s="9" t="s">
        <v>17</v>
      </c>
      <c r="F2805" s="9" t="s">
        <v>17</v>
      </c>
      <c r="G2805" s="9" t="s">
        <v>24</v>
      </c>
      <c r="H2805" s="9" t="s">
        <v>17</v>
      </c>
      <c r="I2805" s="9" t="s">
        <v>20</v>
      </c>
      <c r="J2805" s="10"/>
      <c r="K2805" s="15">
        <v>5.0</v>
      </c>
      <c r="N2805" s="14" t="str">
        <f>IFERROR(__xludf.DUMMYFUNCTION("""COMPUTED_VALUE"""),"Rodolfo Cota|46186")</f>
        <v>Rodolfo Cota|46186</v>
      </c>
      <c r="O2805" s="14">
        <f>IFERROR(__xludf.DUMMYFUNCTION("""COMPUTED_VALUE"""),3.0)</f>
        <v>3</v>
      </c>
    </row>
    <row r="2806" ht="22.5" hidden="1" customHeight="1">
      <c r="A2806" s="8">
        <v>46018.691180787035</v>
      </c>
      <c r="B2806" s="14">
        <v>46018.0</v>
      </c>
      <c r="C2806" s="9" t="s">
        <v>53</v>
      </c>
      <c r="D2806" s="9" t="s">
        <v>280</v>
      </c>
      <c r="E2806" s="9" t="s">
        <v>17</v>
      </c>
      <c r="F2806" s="9" t="s">
        <v>17</v>
      </c>
      <c r="G2806" s="9" t="s">
        <v>24</v>
      </c>
      <c r="H2806" s="9" t="s">
        <v>22</v>
      </c>
      <c r="I2806" s="9" t="s">
        <v>20</v>
      </c>
      <c r="J2806" s="10"/>
      <c r="K2806" s="15" t="s">
        <v>398</v>
      </c>
      <c r="N2806" s="14" t="str">
        <f>IFERROR(__xludf.DUMMYFUNCTION("""COMPUTED_VALUE"""),"Raphael Veiga|46186")</f>
        <v>Raphael Veiga|46186</v>
      </c>
      <c r="O2806" s="14">
        <f>IFERROR(__xludf.DUMMYFUNCTION("""COMPUTED_VALUE"""),9.0)</f>
        <v>9</v>
      </c>
    </row>
    <row r="2807" ht="22.5" hidden="1" customHeight="1">
      <c r="A2807" s="8">
        <v>46018.69143212963</v>
      </c>
      <c r="B2807" s="14">
        <v>46018.0</v>
      </c>
      <c r="C2807" s="9" t="s">
        <v>53</v>
      </c>
      <c r="D2807" s="9" t="s">
        <v>257</v>
      </c>
      <c r="E2807" s="9" t="s">
        <v>17</v>
      </c>
      <c r="F2807" s="9" t="s">
        <v>17</v>
      </c>
      <c r="G2807" s="9" t="s">
        <v>24</v>
      </c>
      <c r="H2807" s="9" t="s">
        <v>22</v>
      </c>
      <c r="I2807" s="9" t="s">
        <v>20</v>
      </c>
      <c r="J2807" s="10"/>
      <c r="K2807" s="15" t="s">
        <v>398</v>
      </c>
      <c r="N2807" s="14" t="str">
        <f>IFERROR(__xludf.DUMMYFUNCTION("""COMPUTED_VALUE"""),"Emilio Lara|46186")</f>
        <v>Emilio Lara|46186</v>
      </c>
      <c r="O2807" s="14">
        <f>IFERROR(__xludf.DUMMYFUNCTION("""COMPUTED_VALUE"""),4.0)</f>
        <v>4</v>
      </c>
    </row>
    <row r="2808" ht="22.5" hidden="1" customHeight="1">
      <c r="A2808" s="8">
        <v>46018.69178288194</v>
      </c>
      <c r="B2808" s="14">
        <v>46018.0</v>
      </c>
      <c r="C2808" s="9" t="s">
        <v>53</v>
      </c>
      <c r="D2808" s="9" t="s">
        <v>223</v>
      </c>
      <c r="E2808" s="9" t="s">
        <v>17</v>
      </c>
      <c r="F2808" s="9" t="s">
        <v>17</v>
      </c>
      <c r="G2808" s="9" t="s">
        <v>24</v>
      </c>
      <c r="H2808" s="9" t="s">
        <v>25</v>
      </c>
      <c r="I2808" s="9" t="s">
        <v>211</v>
      </c>
      <c r="J2808" s="10"/>
      <c r="K2808" s="15">
        <v>5.0</v>
      </c>
      <c r="N2808" s="14" t="str">
        <f>IFERROR(__xludf.DUMMYFUNCTION("""COMPUTED_VALUE"""),"Alan Cervantes|46186")</f>
        <v>Alan Cervantes|46186</v>
      </c>
      <c r="O2808" s="14">
        <f>IFERROR(__xludf.DUMMYFUNCTION("""COMPUTED_VALUE"""),9.0)</f>
        <v>9</v>
      </c>
    </row>
    <row r="2809" ht="22.5" hidden="1" customHeight="1">
      <c r="A2809" s="8">
        <v>46018.69205489583</v>
      </c>
      <c r="B2809" s="14">
        <v>46018.0</v>
      </c>
      <c r="C2809" s="9" t="s">
        <v>53</v>
      </c>
      <c r="D2809" s="9" t="s">
        <v>247</v>
      </c>
      <c r="E2809" s="9" t="s">
        <v>17</v>
      </c>
      <c r="F2809" s="9" t="s">
        <v>17</v>
      </c>
      <c r="G2809" s="9" t="s">
        <v>24</v>
      </c>
      <c r="H2809" s="9" t="s">
        <v>22</v>
      </c>
      <c r="I2809" s="9" t="s">
        <v>20</v>
      </c>
      <c r="J2809" s="10"/>
      <c r="K2809" s="15" t="s">
        <v>398</v>
      </c>
      <c r="N2809" s="14" t="str">
        <f>IFERROR(__xludf.DUMMYFUNCTION("""COMPUTED_VALUE"""),"José Raúl Zúñiga|46186")</f>
        <v>José Raúl Zúñiga|46186</v>
      </c>
      <c r="O2809" s="14">
        <f>IFERROR(__xludf.DUMMYFUNCTION("""COMPUTED_VALUE"""),5.0)</f>
        <v>5</v>
      </c>
    </row>
    <row r="2810" ht="22.5" hidden="1" customHeight="1">
      <c r="A2810" s="8">
        <v>46018.69229021991</v>
      </c>
      <c r="B2810" s="14">
        <v>46018.0</v>
      </c>
      <c r="C2810" s="9" t="s">
        <v>53</v>
      </c>
      <c r="D2810" s="9" t="s">
        <v>367</v>
      </c>
      <c r="E2810" s="9" t="s">
        <v>17</v>
      </c>
      <c r="F2810" s="9" t="s">
        <v>17</v>
      </c>
      <c r="G2810" s="9" t="s">
        <v>24</v>
      </c>
      <c r="H2810" s="9" t="s">
        <v>22</v>
      </c>
      <c r="I2810" s="9" t="s">
        <v>20</v>
      </c>
      <c r="J2810" s="10"/>
      <c r="K2810" s="15" t="s">
        <v>398</v>
      </c>
      <c r="N2810" s="14" t="str">
        <f>IFERROR(__xludf.DUMMYFUNCTION("""COMPUTED_VALUE"""),"Ramón Juárez|46186")</f>
        <v>Ramón Juárez|46186</v>
      </c>
      <c r="O2810" s="14">
        <f>IFERROR(__xludf.DUMMYFUNCTION("""COMPUTED_VALUE"""),7.0)</f>
        <v>7</v>
      </c>
    </row>
    <row r="2811" ht="22.5" hidden="1" customHeight="1">
      <c r="A2811" s="8">
        <v>46018.69255476852</v>
      </c>
      <c r="B2811" s="14">
        <v>46018.0</v>
      </c>
      <c r="C2811" s="9" t="s">
        <v>53</v>
      </c>
      <c r="D2811" s="9" t="s">
        <v>361</v>
      </c>
      <c r="E2811" s="9" t="s">
        <v>17</v>
      </c>
      <c r="F2811" s="9" t="s">
        <v>17</v>
      </c>
      <c r="G2811" s="9" t="s">
        <v>24</v>
      </c>
      <c r="H2811" s="9" t="s">
        <v>22</v>
      </c>
      <c r="I2811" s="9" t="s">
        <v>20</v>
      </c>
      <c r="J2811" s="10"/>
      <c r="K2811" s="15" t="s">
        <v>398</v>
      </c>
      <c r="N2811" s="14" t="str">
        <f>IFERROR(__xludf.DUMMYFUNCTION("""COMPUTED_VALUE"""),"Alexis Gutiérrez|46186")</f>
        <v>Alexis Gutiérrez|46186</v>
      </c>
      <c r="O2811" s="14">
        <f>IFERROR(__xludf.DUMMYFUNCTION("""COMPUTED_VALUE"""),8.0)</f>
        <v>8</v>
      </c>
    </row>
    <row r="2812" ht="22.5" hidden="1" customHeight="1">
      <c r="A2812" s="8">
        <v>46018.69280549769</v>
      </c>
      <c r="B2812" s="14">
        <v>46018.0</v>
      </c>
      <c r="C2812" s="9" t="s">
        <v>53</v>
      </c>
      <c r="D2812" s="9" t="s">
        <v>357</v>
      </c>
      <c r="E2812" s="9" t="s">
        <v>17</v>
      </c>
      <c r="F2812" s="9" t="s">
        <v>17</v>
      </c>
      <c r="G2812" s="9" t="s">
        <v>24</v>
      </c>
      <c r="H2812" s="9" t="s">
        <v>22</v>
      </c>
      <c r="I2812" s="9" t="s">
        <v>20</v>
      </c>
      <c r="J2812" s="10"/>
      <c r="K2812" s="15">
        <v>4.0</v>
      </c>
      <c r="N2812" s="14" t="str">
        <f>IFERROR(__xludf.DUMMYFUNCTION("""COMPUTED_VALUE"""),"Miguel Vázquez|46186")</f>
        <v>Miguel Vázquez|46186</v>
      </c>
      <c r="O2812" s="14">
        <f>IFERROR(__xludf.DUMMYFUNCTION("""COMPUTED_VALUE"""),5.0)</f>
        <v>5</v>
      </c>
    </row>
    <row r="2813" ht="22.5" hidden="1" customHeight="1">
      <c r="A2813" s="8">
        <v>46018.69300616898</v>
      </c>
      <c r="B2813" s="14">
        <v>46018.0</v>
      </c>
      <c r="C2813" s="9" t="s">
        <v>53</v>
      </c>
      <c r="D2813" s="9" t="s">
        <v>393</v>
      </c>
      <c r="E2813" s="9" t="s">
        <v>17</v>
      </c>
      <c r="F2813" s="9" t="s">
        <v>17</v>
      </c>
      <c r="G2813" s="9" t="s">
        <v>24</v>
      </c>
      <c r="H2813" s="9" t="s">
        <v>22</v>
      </c>
      <c r="I2813" s="9" t="s">
        <v>20</v>
      </c>
      <c r="J2813" s="10"/>
      <c r="K2813" s="15" t="s">
        <v>398</v>
      </c>
      <c r="N2813" s="14" t="str">
        <f>IFERROR(__xludf.DUMMYFUNCTION("""COMPUTED_VALUE"""),"Patricio Salas|46186")</f>
        <v>Patricio Salas|46186</v>
      </c>
      <c r="O2813" s="14">
        <f>IFERROR(__xludf.DUMMYFUNCTION("""COMPUTED_VALUE"""),6.0)</f>
        <v>6</v>
      </c>
    </row>
    <row r="2814" ht="22.5" hidden="1" customHeight="1">
      <c r="A2814" s="8">
        <v>46018.69346649306</v>
      </c>
      <c r="B2814" s="14">
        <v>46018.0</v>
      </c>
      <c r="C2814" s="9" t="s">
        <v>53</v>
      </c>
      <c r="D2814" s="9" t="s">
        <v>397</v>
      </c>
      <c r="E2814" s="9" t="s">
        <v>46</v>
      </c>
      <c r="F2814" s="9" t="s">
        <v>60</v>
      </c>
      <c r="G2814" s="9" t="s">
        <v>40</v>
      </c>
      <c r="H2814" s="9" t="s">
        <v>62</v>
      </c>
      <c r="I2814" s="9" t="s">
        <v>20</v>
      </c>
      <c r="J2814" s="10"/>
      <c r="K2814" s="15">
        <v>4.0</v>
      </c>
      <c r="N2814" s="14" t="str">
        <f>IFERROR(__xludf.DUMMYFUNCTION("""COMPUTED_VALUE"""),"Dagoberto Espinoza|46186")</f>
        <v>Dagoberto Espinoza|46186</v>
      </c>
      <c r="O2814" s="14">
        <f>IFERROR(__xludf.DUMMYFUNCTION("""COMPUTED_VALUE"""),7.0)</f>
        <v>7</v>
      </c>
    </row>
    <row r="2815" ht="22.5" hidden="1" customHeight="1">
      <c r="A2815" s="8">
        <v>46018.69371798611</v>
      </c>
      <c r="B2815" s="14">
        <v>46018.0</v>
      </c>
      <c r="C2815" s="9" t="s">
        <v>53</v>
      </c>
      <c r="D2815" s="9" t="s">
        <v>335</v>
      </c>
      <c r="E2815" s="9" t="s">
        <v>17</v>
      </c>
      <c r="F2815" s="9" t="s">
        <v>17</v>
      </c>
      <c r="G2815" s="9" t="s">
        <v>24</v>
      </c>
      <c r="H2815" s="9" t="s">
        <v>22</v>
      </c>
      <c r="I2815" s="9" t="s">
        <v>20</v>
      </c>
      <c r="J2815" s="10"/>
      <c r="K2815" s="15">
        <v>3.0</v>
      </c>
      <c r="N2815" s="14" t="str">
        <f>IFERROR(__xludf.DUMMYFUNCTION("""COMPUTED_VALUE"""),"Franco Rossano|46186")</f>
        <v>Franco Rossano|46186</v>
      </c>
      <c r="O2815" s="14">
        <f>IFERROR(__xludf.DUMMYFUNCTION("""COMPUTED_VALUE"""),7.0)</f>
        <v>7</v>
      </c>
    </row>
    <row r="2816" ht="22.5" hidden="1" customHeight="1">
      <c r="A2816" s="8">
        <v>46018.69940678241</v>
      </c>
      <c r="B2816" s="14">
        <v>46018.0</v>
      </c>
      <c r="C2816" s="9" t="s">
        <v>53</v>
      </c>
      <c r="D2816" s="9" t="s">
        <v>395</v>
      </c>
      <c r="E2816" s="9" t="s">
        <v>17</v>
      </c>
      <c r="F2816" s="9" t="s">
        <v>17</v>
      </c>
      <c r="G2816" s="9" t="s">
        <v>24</v>
      </c>
      <c r="H2816" s="9" t="s">
        <v>22</v>
      </c>
      <c r="I2816" s="9" t="s">
        <v>20</v>
      </c>
      <c r="J2816" s="10"/>
      <c r="K2816" s="15">
        <v>3.0</v>
      </c>
      <c r="N2816" s="14" t="str">
        <f>IFERROR(__xludf.DUMMYFUNCTION("""COMPUTED_VALUE"""),"Kevin Álvarez|46186")</f>
        <v>Kevin Álvarez|46186</v>
      </c>
      <c r="O2816" s="14">
        <f>IFERROR(__xludf.DUMMYFUNCTION("""COMPUTED_VALUE"""),7.0)</f>
        <v>7</v>
      </c>
    </row>
    <row r="2817" ht="22.5" hidden="1" customHeight="1">
      <c r="A2817" s="8">
        <v>46018.702695879634</v>
      </c>
      <c r="B2817" s="14">
        <v>46018.0</v>
      </c>
      <c r="C2817" s="9" t="s">
        <v>53</v>
      </c>
      <c r="D2817" s="9" t="s">
        <v>175</v>
      </c>
      <c r="E2817" s="9" t="s">
        <v>17</v>
      </c>
      <c r="F2817" s="9" t="s">
        <v>17</v>
      </c>
      <c r="G2817" s="9" t="s">
        <v>24</v>
      </c>
      <c r="H2817" s="9" t="s">
        <v>22</v>
      </c>
      <c r="I2817" s="9" t="s">
        <v>20</v>
      </c>
      <c r="J2817" s="10"/>
      <c r="K2817" s="15">
        <v>4.0</v>
      </c>
      <c r="N2817" s="14" t="str">
        <f>IFERROR(__xludf.DUMMYFUNCTION("""COMPUTED_VALUE"""),"Raphael Veiga|46205")</f>
        <v>Raphael Veiga|46205</v>
      </c>
      <c r="O2817" s="14">
        <f>IFERROR(__xludf.DUMMYFUNCTION("""COMPUTED_VALUE"""),6.0)</f>
        <v>6</v>
      </c>
    </row>
    <row r="2818" ht="22.5" hidden="1" customHeight="1">
      <c r="A2818" s="8">
        <v>46018.7044215162</v>
      </c>
      <c r="B2818" s="14">
        <v>46018.0</v>
      </c>
      <c r="C2818" s="9" t="s">
        <v>53</v>
      </c>
      <c r="D2818" s="9" t="s">
        <v>105</v>
      </c>
      <c r="E2818" s="9" t="s">
        <v>17</v>
      </c>
      <c r="F2818" s="9" t="s">
        <v>17</v>
      </c>
      <c r="G2818" s="9" t="s">
        <v>24</v>
      </c>
      <c r="H2818" s="9" t="s">
        <v>22</v>
      </c>
      <c r="I2818" s="9" t="s">
        <v>20</v>
      </c>
      <c r="J2818" s="10"/>
      <c r="K2818" s="15">
        <v>1.0</v>
      </c>
      <c r="N2818" s="14" t="str">
        <f>IFERROR(__xludf.DUMMYFUNCTION("""COMPUTED_VALUE"""),"Patricio Salas|46205")</f>
        <v>Patricio Salas|46205</v>
      </c>
      <c r="O2818" s="14">
        <f>IFERROR(__xludf.DUMMYFUNCTION("""COMPUTED_VALUE"""),6.0)</f>
        <v>6</v>
      </c>
    </row>
    <row r="2819" ht="22.5" hidden="1" customHeight="1">
      <c r="A2819" s="8">
        <v>46019.36355357639</v>
      </c>
      <c r="B2819" s="14">
        <v>46019.0</v>
      </c>
      <c r="C2819" s="9" t="s">
        <v>58</v>
      </c>
      <c r="D2819" s="9" t="s">
        <v>249</v>
      </c>
      <c r="E2819" s="9" t="s">
        <v>17</v>
      </c>
      <c r="F2819" s="9" t="s">
        <v>17</v>
      </c>
      <c r="G2819" s="9" t="s">
        <v>24</v>
      </c>
      <c r="H2819" s="9" t="s">
        <v>22</v>
      </c>
      <c r="I2819" s="9" t="s">
        <v>20</v>
      </c>
      <c r="J2819" s="10"/>
      <c r="K2819" s="15" t="s">
        <v>398</v>
      </c>
      <c r="N2819" s="14" t="str">
        <f>IFERROR(__xludf.DUMMYFUNCTION("""COMPUTED_VALUE"""),"Erick Sánchez|46205")</f>
        <v>Erick Sánchez|46205</v>
      </c>
      <c r="O2819" s="14">
        <f>IFERROR(__xludf.DUMMYFUNCTION("""COMPUTED_VALUE"""),4.0)</f>
        <v>4</v>
      </c>
    </row>
    <row r="2820" ht="22.5" hidden="1" customHeight="1">
      <c r="A2820" s="8">
        <v>46019.363732060185</v>
      </c>
      <c r="B2820" s="14">
        <v>46019.0</v>
      </c>
      <c r="C2820" s="9" t="s">
        <v>58</v>
      </c>
      <c r="D2820" s="9" t="s">
        <v>280</v>
      </c>
      <c r="E2820" s="9" t="s">
        <v>17</v>
      </c>
      <c r="F2820" s="9" t="s">
        <v>17</v>
      </c>
      <c r="G2820" s="9" t="s">
        <v>24</v>
      </c>
      <c r="H2820" s="9" t="s">
        <v>22</v>
      </c>
      <c r="I2820" s="9" t="s">
        <v>20</v>
      </c>
      <c r="J2820" s="10"/>
      <c r="K2820" s="15" t="s">
        <v>398</v>
      </c>
      <c r="N2820" s="14" t="str">
        <f>IFERROR(__xludf.DUMMYFUNCTION("""COMPUTED_VALUE"""),"Franco Rossano|46205")</f>
        <v>Franco Rossano|46205</v>
      </c>
      <c r="O2820" s="14">
        <f>IFERROR(__xludf.DUMMYFUNCTION("""COMPUTED_VALUE"""),5.0)</f>
        <v>5</v>
      </c>
    </row>
    <row r="2821" ht="22.5" hidden="1" customHeight="1">
      <c r="A2821" s="8">
        <v>46019.37268853009</v>
      </c>
      <c r="B2821" s="14">
        <v>46019.0</v>
      </c>
      <c r="C2821" s="9" t="s">
        <v>58</v>
      </c>
      <c r="D2821" s="9" t="s">
        <v>258</v>
      </c>
      <c r="E2821" s="9" t="s">
        <v>17</v>
      </c>
      <c r="F2821" s="9" t="s">
        <v>17</v>
      </c>
      <c r="G2821" s="9" t="s">
        <v>24</v>
      </c>
      <c r="H2821" s="9" t="s">
        <v>22</v>
      </c>
      <c r="I2821" s="9" t="s">
        <v>20</v>
      </c>
      <c r="J2821" s="10"/>
      <c r="K2821" s="15">
        <v>5.0</v>
      </c>
      <c r="N2821" s="14" t="str">
        <f>IFERROR(__xludf.DUMMYFUNCTION("""COMPUTED_VALUE"""),"Fernando Tapia|46205")</f>
        <v>Fernando Tapia|46205</v>
      </c>
      <c r="O2821" s="14">
        <f>IFERROR(__xludf.DUMMYFUNCTION("""COMPUTED_VALUE"""),3.0)</f>
        <v>3</v>
      </c>
    </row>
    <row r="2822" ht="22.5" hidden="1" customHeight="1">
      <c r="A2822" s="8">
        <v>46019.3729564699</v>
      </c>
      <c r="B2822" s="14">
        <v>46019.0</v>
      </c>
      <c r="C2822" s="9" t="s">
        <v>58</v>
      </c>
      <c r="D2822" s="9" t="s">
        <v>177</v>
      </c>
      <c r="E2822" s="9" t="s">
        <v>17</v>
      </c>
      <c r="F2822" s="9" t="s">
        <v>17</v>
      </c>
      <c r="G2822" s="9" t="s">
        <v>24</v>
      </c>
      <c r="H2822" s="9" t="s">
        <v>22</v>
      </c>
      <c r="I2822" s="9" t="s">
        <v>20</v>
      </c>
      <c r="J2822" s="10"/>
      <c r="K2822" s="15">
        <v>7.0</v>
      </c>
      <c r="N2822" s="14" t="str">
        <f>IFERROR(__xludf.DUMMYFUNCTION("""COMPUTED_VALUE"""),"Dagoberto Espinoza|46205")</f>
        <v>Dagoberto Espinoza|46205</v>
      </c>
      <c r="O2822" s="14">
        <f>IFERROR(__xludf.DUMMYFUNCTION("""COMPUTED_VALUE"""),4.0)</f>
        <v>4</v>
      </c>
    </row>
    <row r="2823" ht="22.5" hidden="1" customHeight="1">
      <c r="A2823" s="8">
        <v>46019.39030481481</v>
      </c>
      <c r="B2823" s="14">
        <v>46019.0</v>
      </c>
      <c r="C2823" s="9" t="s">
        <v>58</v>
      </c>
      <c r="D2823" s="9" t="s">
        <v>396</v>
      </c>
      <c r="E2823" s="9" t="s">
        <v>17</v>
      </c>
      <c r="F2823" s="9" t="s">
        <v>17</v>
      </c>
      <c r="G2823" s="9" t="s">
        <v>24</v>
      </c>
      <c r="H2823" s="9" t="s">
        <v>22</v>
      </c>
      <c r="I2823" s="9" t="s">
        <v>20</v>
      </c>
      <c r="J2823" s="10"/>
      <c r="K2823" s="15" t="s">
        <v>398</v>
      </c>
      <c r="N2823" s="14" t="str">
        <f>IFERROR(__xludf.DUMMYFUNCTION("""COMPUTED_VALUE"""),"Miguel Vázquez|46205")</f>
        <v>Miguel Vázquez|46205</v>
      </c>
      <c r="O2823" s="14">
        <f>IFERROR(__xludf.DUMMYFUNCTION("""COMPUTED_VALUE"""),4.0)</f>
        <v>4</v>
      </c>
    </row>
    <row r="2824" ht="22.5" hidden="1" customHeight="1">
      <c r="A2824" s="8">
        <v>46019.39056859954</v>
      </c>
      <c r="B2824" s="14">
        <v>46019.0</v>
      </c>
      <c r="C2824" s="9" t="s">
        <v>58</v>
      </c>
      <c r="D2824" s="9" t="s">
        <v>171</v>
      </c>
      <c r="E2824" s="9" t="s">
        <v>17</v>
      </c>
      <c r="F2824" s="9" t="s">
        <v>17</v>
      </c>
      <c r="G2824" s="9" t="s">
        <v>24</v>
      </c>
      <c r="H2824" s="9" t="s">
        <v>25</v>
      </c>
      <c r="I2824" s="9" t="s">
        <v>242</v>
      </c>
      <c r="J2824" s="10"/>
      <c r="K2824" s="15">
        <v>2.0</v>
      </c>
      <c r="N2824" s="14" t="str">
        <f>IFERROR(__xludf.DUMMYFUNCTION("""COMPUTED_VALUE"""),"Rodolfo Cota|46205")</f>
        <v>Rodolfo Cota|46205</v>
      </c>
      <c r="O2824" s="14">
        <f>IFERROR(__xludf.DUMMYFUNCTION("""COMPUTED_VALUE"""),3.0)</f>
        <v>3</v>
      </c>
    </row>
    <row r="2825" ht="22.5" hidden="1" customHeight="1">
      <c r="A2825" s="8">
        <v>46019.39082847223</v>
      </c>
      <c r="B2825" s="14">
        <v>46019.0</v>
      </c>
      <c r="C2825" s="9" t="s">
        <v>58</v>
      </c>
      <c r="D2825" s="9" t="s">
        <v>175</v>
      </c>
      <c r="E2825" s="9" t="s">
        <v>17</v>
      </c>
      <c r="F2825" s="9" t="s">
        <v>17</v>
      </c>
      <c r="G2825" s="9" t="s">
        <v>24</v>
      </c>
      <c r="H2825" s="9" t="s">
        <v>22</v>
      </c>
      <c r="I2825" s="9" t="s">
        <v>20</v>
      </c>
      <c r="J2825" s="10"/>
      <c r="K2825" s="15">
        <v>5.0</v>
      </c>
      <c r="N2825" s="14" t="str">
        <f>IFERROR(__xludf.DUMMYFUNCTION("""COMPUTED_VALUE"""),"Thiago Espinosa|46205")</f>
        <v>Thiago Espinosa|46205</v>
      </c>
      <c r="O2825" s="14">
        <f>IFERROR(__xludf.DUMMYFUNCTION("""COMPUTED_VALUE"""),5.0)</f>
        <v>5</v>
      </c>
    </row>
    <row r="2826" ht="22.5" hidden="1" customHeight="1">
      <c r="A2826" s="8">
        <v>46019.39109546297</v>
      </c>
      <c r="B2826" s="14">
        <v>46019.0</v>
      </c>
      <c r="C2826" s="9" t="s">
        <v>58</v>
      </c>
      <c r="D2826" s="9" t="s">
        <v>105</v>
      </c>
      <c r="E2826" s="9" t="s">
        <v>17</v>
      </c>
      <c r="F2826" s="9" t="s">
        <v>17</v>
      </c>
      <c r="G2826" s="9" t="s">
        <v>24</v>
      </c>
      <c r="H2826" s="9" t="s">
        <v>22</v>
      </c>
      <c r="I2826" s="9" t="s">
        <v>20</v>
      </c>
      <c r="J2826" s="10"/>
      <c r="K2826" s="15">
        <v>2.0</v>
      </c>
      <c r="N2826" s="14" t="str">
        <f>IFERROR(__xludf.DUMMYFUNCTION("""COMPUTED_VALUE"""),"Ramón Juárez|46205")</f>
        <v>Ramón Juárez|46205</v>
      </c>
      <c r="O2826" s="14">
        <f>IFERROR(__xludf.DUMMYFUNCTION("""COMPUTED_VALUE"""),6.0)</f>
        <v>6</v>
      </c>
    </row>
    <row r="2827" ht="22.5" hidden="1" customHeight="1">
      <c r="A2827" s="8">
        <v>46019.39132877315</v>
      </c>
      <c r="B2827" s="14">
        <v>46019.0</v>
      </c>
      <c r="C2827" s="9" t="s">
        <v>58</v>
      </c>
      <c r="D2827" s="9" t="s">
        <v>259</v>
      </c>
      <c r="E2827" s="9" t="s">
        <v>17</v>
      </c>
      <c r="F2827" s="9" t="s">
        <v>60</v>
      </c>
      <c r="G2827" s="9" t="s">
        <v>24</v>
      </c>
      <c r="H2827" s="9" t="s">
        <v>22</v>
      </c>
      <c r="I2827" s="9" t="s">
        <v>20</v>
      </c>
      <c r="J2827" s="10"/>
      <c r="K2827" s="15" t="s">
        <v>398</v>
      </c>
      <c r="N2827" s="14" t="str">
        <f>IFERROR(__xludf.DUMMYFUNCTION("""COMPUTED_VALUE"""),"Alan Cervantes|46205")</f>
        <v>Alan Cervantes|46205</v>
      </c>
      <c r="O2827" s="14">
        <f>IFERROR(__xludf.DUMMYFUNCTION("""COMPUTED_VALUE"""),8.0)</f>
        <v>8</v>
      </c>
    </row>
    <row r="2828" ht="22.5" hidden="1" customHeight="1">
      <c r="A2828" s="8">
        <v>46019.39154539352</v>
      </c>
      <c r="B2828" s="14">
        <v>46019.0</v>
      </c>
      <c r="C2828" s="9" t="s">
        <v>58</v>
      </c>
      <c r="D2828" s="9" t="s">
        <v>178</v>
      </c>
      <c r="E2828" s="9" t="s">
        <v>17</v>
      </c>
      <c r="F2828" s="9" t="s">
        <v>17</v>
      </c>
      <c r="G2828" s="9" t="s">
        <v>24</v>
      </c>
      <c r="H2828" s="9" t="s">
        <v>22</v>
      </c>
      <c r="I2828" s="9" t="s">
        <v>20</v>
      </c>
      <c r="J2828" s="10"/>
      <c r="K2828" s="15">
        <v>5.0</v>
      </c>
      <c r="N2828" s="14" t="str">
        <f>IFERROR(__xludf.DUMMYFUNCTION("""COMPUTED_VALUE"""),"Cristian Borja|46205")</f>
        <v>Cristian Borja|46205</v>
      </c>
      <c r="O2828" s="14">
        <f>IFERROR(__xludf.DUMMYFUNCTION("""COMPUTED_VALUE"""),3.0)</f>
        <v>3</v>
      </c>
    </row>
    <row r="2829" ht="22.5" hidden="1" customHeight="1">
      <c r="A2829" s="8">
        <v>46019.3919847338</v>
      </c>
      <c r="B2829" s="14">
        <v>46019.0</v>
      </c>
      <c r="C2829" s="9" t="s">
        <v>58</v>
      </c>
      <c r="D2829" s="9" t="s">
        <v>394</v>
      </c>
      <c r="E2829" s="9" t="s">
        <v>17</v>
      </c>
      <c r="F2829" s="9" t="s">
        <v>17</v>
      </c>
      <c r="G2829" s="9" t="s">
        <v>24</v>
      </c>
      <c r="H2829" s="9" t="s">
        <v>22</v>
      </c>
      <c r="I2829" s="9" t="s">
        <v>20</v>
      </c>
      <c r="J2829" s="10"/>
      <c r="K2829" s="15" t="s">
        <v>398</v>
      </c>
      <c r="N2829" s="14" t="str">
        <f>IFERROR(__xludf.DUMMYFUNCTION("""COMPUTED_VALUE"""),"Henry Martín|46205")</f>
        <v>Henry Martín|46205</v>
      </c>
      <c r="O2829" s="14">
        <f>IFERROR(__xludf.DUMMYFUNCTION("""COMPUTED_VALUE"""),5.0)</f>
        <v>5</v>
      </c>
    </row>
    <row r="2830" ht="22.5" hidden="1" customHeight="1">
      <c r="A2830" s="8">
        <v>46019.39234355324</v>
      </c>
      <c r="B2830" s="14">
        <v>46019.0</v>
      </c>
      <c r="C2830" s="9" t="s">
        <v>58</v>
      </c>
      <c r="D2830" s="9" t="s">
        <v>257</v>
      </c>
      <c r="E2830" s="9" t="s">
        <v>17</v>
      </c>
      <c r="F2830" s="9" t="s">
        <v>17</v>
      </c>
      <c r="G2830" s="9" t="s">
        <v>24</v>
      </c>
      <c r="H2830" s="9" t="s">
        <v>25</v>
      </c>
      <c r="I2830" s="9" t="s">
        <v>67</v>
      </c>
      <c r="J2830" s="10"/>
      <c r="K2830" s="15" t="s">
        <v>398</v>
      </c>
      <c r="N2830" s="14" t="str">
        <f>IFERROR(__xludf.DUMMYFUNCTION("""COMPUTED_VALUE"""),"Alexis Gutiérrez|46205")</f>
        <v>Alexis Gutiérrez|46205</v>
      </c>
      <c r="O2830" s="14">
        <f>IFERROR(__xludf.DUMMYFUNCTION("""COMPUTED_VALUE"""),4.0)</f>
        <v>4</v>
      </c>
    </row>
    <row r="2831" ht="22.5" hidden="1" customHeight="1">
      <c r="A2831" s="8">
        <v>46019.39266884259</v>
      </c>
      <c r="B2831" s="14">
        <v>46019.0</v>
      </c>
      <c r="C2831" s="9" t="s">
        <v>58</v>
      </c>
      <c r="D2831" s="9" t="s">
        <v>223</v>
      </c>
      <c r="E2831" s="9" t="s">
        <v>17</v>
      </c>
      <c r="F2831" s="9" t="s">
        <v>17</v>
      </c>
      <c r="G2831" s="9" t="s">
        <v>24</v>
      </c>
      <c r="H2831" s="9" t="s">
        <v>25</v>
      </c>
      <c r="I2831" s="9" t="s">
        <v>399</v>
      </c>
      <c r="J2831" s="10"/>
      <c r="K2831" s="15">
        <v>5.0</v>
      </c>
      <c r="N2831" s="14" t="str">
        <f>IFERROR(__xludf.DUMMYFUNCTION("""COMPUTED_VALUE"""),"Emilio Lara|46205")</f>
        <v>Emilio Lara|46205</v>
      </c>
      <c r="O2831" s="14">
        <f>IFERROR(__xludf.DUMMYFUNCTION("""COMPUTED_VALUE"""),3.0)</f>
        <v>3</v>
      </c>
    </row>
    <row r="2832" ht="22.5" hidden="1" customHeight="1">
      <c r="A2832" s="8">
        <v>46019.3929462963</v>
      </c>
      <c r="B2832" s="14">
        <v>46019.0</v>
      </c>
      <c r="C2832" s="9" t="s">
        <v>58</v>
      </c>
      <c r="D2832" s="9" t="s">
        <v>247</v>
      </c>
      <c r="E2832" s="9" t="s">
        <v>17</v>
      </c>
      <c r="F2832" s="9" t="s">
        <v>17</v>
      </c>
      <c r="G2832" s="9" t="s">
        <v>24</v>
      </c>
      <c r="H2832" s="9" t="s">
        <v>22</v>
      </c>
      <c r="I2832" s="9" t="s">
        <v>20</v>
      </c>
      <c r="J2832" s="10"/>
      <c r="K2832" s="15">
        <v>4.0</v>
      </c>
      <c r="N2832" s="14" t="str">
        <f>IFERROR(__xludf.DUMMYFUNCTION("""COMPUTED_VALUE"""),"Isaías Violante|46205")</f>
        <v>Isaías Violante|46205</v>
      </c>
      <c r="O2832" s="14">
        <f>IFERROR(__xludf.DUMMYFUNCTION("""COMPUTED_VALUE"""),7.0)</f>
        <v>7</v>
      </c>
    </row>
    <row r="2833" ht="22.5" hidden="1" customHeight="1">
      <c r="A2833" s="8">
        <v>46019.3934328125</v>
      </c>
      <c r="B2833" s="14">
        <v>46019.0</v>
      </c>
      <c r="C2833" s="9" t="s">
        <v>58</v>
      </c>
      <c r="D2833" s="9" t="s">
        <v>350</v>
      </c>
      <c r="E2833" s="9" t="s">
        <v>17</v>
      </c>
      <c r="F2833" s="9" t="s">
        <v>60</v>
      </c>
      <c r="G2833" s="9" t="s">
        <v>24</v>
      </c>
      <c r="H2833" s="9" t="s">
        <v>22</v>
      </c>
      <c r="I2833" s="9" t="s">
        <v>20</v>
      </c>
      <c r="J2833" s="10"/>
      <c r="K2833" s="15">
        <v>5.0</v>
      </c>
      <c r="N2833" s="14" t="str">
        <f>IFERROR(__xludf.DUMMYFUNCTION("""COMPUTED_VALUE"""),"José Raúl Zúñiga|46205")</f>
        <v>José Raúl Zúñiga|46205</v>
      </c>
      <c r="O2833" s="14">
        <f>IFERROR(__xludf.DUMMYFUNCTION("""COMPUTED_VALUE"""),4.0)</f>
        <v>4</v>
      </c>
    </row>
    <row r="2834" ht="22.5" hidden="1" customHeight="1">
      <c r="A2834" s="8">
        <v>46019.39379939815</v>
      </c>
      <c r="B2834" s="14">
        <v>46019.0</v>
      </c>
      <c r="C2834" s="9" t="s">
        <v>58</v>
      </c>
      <c r="D2834" s="9" t="s">
        <v>395</v>
      </c>
      <c r="E2834" s="9" t="s">
        <v>17</v>
      </c>
      <c r="F2834" s="9" t="s">
        <v>17</v>
      </c>
      <c r="G2834" s="9" t="s">
        <v>24</v>
      </c>
      <c r="H2834" s="9" t="s">
        <v>22</v>
      </c>
      <c r="I2834" s="9" t="s">
        <v>20</v>
      </c>
      <c r="J2834" s="10"/>
      <c r="K2834" s="15">
        <v>4.0</v>
      </c>
      <c r="N2834" s="14" t="str">
        <f>IFERROR(__xludf.DUMMYFUNCTION("""COMPUTED_VALUE"""),"Kevin Álvarez|46205")</f>
        <v>Kevin Álvarez|46205</v>
      </c>
      <c r="O2834" s="14">
        <f>IFERROR(__xludf.DUMMYFUNCTION("""COMPUTED_VALUE"""),5.0)</f>
        <v>5</v>
      </c>
    </row>
    <row r="2835" ht="22.5" hidden="1" customHeight="1">
      <c r="A2835" s="8">
        <v>46019.393973067126</v>
      </c>
      <c r="B2835" s="14">
        <v>46019.0</v>
      </c>
      <c r="C2835" s="9" t="s">
        <v>58</v>
      </c>
      <c r="D2835" s="9" t="s">
        <v>393</v>
      </c>
      <c r="E2835" s="9" t="s">
        <v>17</v>
      </c>
      <c r="F2835" s="9" t="s">
        <v>17</v>
      </c>
      <c r="G2835" s="9" t="s">
        <v>24</v>
      </c>
      <c r="H2835" s="9" t="s">
        <v>22</v>
      </c>
      <c r="I2835" s="9" t="s">
        <v>20</v>
      </c>
      <c r="J2835" s="10"/>
      <c r="K2835" s="15" t="s">
        <v>398</v>
      </c>
      <c r="N2835" s="14" t="str">
        <f>IFERROR(__xludf.DUMMYFUNCTION("""COMPUTED_VALUE"""),"Cristian Borja|46206")</f>
        <v>Cristian Borja|46206</v>
      </c>
      <c r="O2835" s="14">
        <f>IFERROR(__xludf.DUMMYFUNCTION("""COMPUTED_VALUE"""),3.0)</f>
        <v>3</v>
      </c>
    </row>
    <row r="2836" ht="22.5" hidden="1" customHeight="1">
      <c r="A2836" s="8">
        <v>46019.39635581018</v>
      </c>
      <c r="B2836" s="14">
        <v>46019.0</v>
      </c>
      <c r="C2836" s="9" t="s">
        <v>58</v>
      </c>
      <c r="D2836" s="9" t="s">
        <v>174</v>
      </c>
      <c r="E2836" s="9" t="s">
        <v>17</v>
      </c>
      <c r="F2836" s="9" t="s">
        <v>17</v>
      </c>
      <c r="G2836" s="9" t="s">
        <v>24</v>
      </c>
      <c r="H2836" s="9" t="s">
        <v>22</v>
      </c>
      <c r="I2836" s="9" t="s">
        <v>20</v>
      </c>
      <c r="J2836" s="10"/>
      <c r="K2836" s="15">
        <v>2.0</v>
      </c>
      <c r="N2836" s="14" t="str">
        <f>IFERROR(__xludf.DUMMYFUNCTION("""COMPUTED_VALUE"""),"Patricio Salas|46206")</f>
        <v>Patricio Salas|46206</v>
      </c>
      <c r="O2836" s="14">
        <f>IFERROR(__xludf.DUMMYFUNCTION("""COMPUTED_VALUE"""),3.0)</f>
        <v>3</v>
      </c>
    </row>
    <row r="2837" ht="22.5" hidden="1" customHeight="1">
      <c r="A2837" s="8">
        <v>46019.39669579861</v>
      </c>
      <c r="B2837" s="14">
        <v>46019.0</v>
      </c>
      <c r="C2837" s="9" t="s">
        <v>58</v>
      </c>
      <c r="D2837" s="9" t="s">
        <v>361</v>
      </c>
      <c r="E2837" s="9" t="s">
        <v>17</v>
      </c>
      <c r="F2837" s="9" t="s">
        <v>17</v>
      </c>
      <c r="G2837" s="9" t="s">
        <v>24</v>
      </c>
      <c r="H2837" s="9" t="s">
        <v>22</v>
      </c>
      <c r="I2837" s="9" t="s">
        <v>20</v>
      </c>
      <c r="J2837" s="10"/>
      <c r="K2837" s="15" t="s">
        <v>398</v>
      </c>
      <c r="N2837" s="14" t="str">
        <f>IFERROR(__xludf.DUMMYFUNCTION("""COMPUTED_VALUE"""),"Thiago Espinosa|46206")</f>
        <v>Thiago Espinosa|46206</v>
      </c>
      <c r="O2837" s="14">
        <f>IFERROR(__xludf.DUMMYFUNCTION("""COMPUTED_VALUE"""),6.0)</f>
        <v>6</v>
      </c>
    </row>
    <row r="2838" ht="22.5" hidden="1" customHeight="1">
      <c r="A2838" s="8">
        <v>46019.39696032407</v>
      </c>
      <c r="B2838" s="14">
        <v>46019.0</v>
      </c>
      <c r="C2838" s="9" t="s">
        <v>58</v>
      </c>
      <c r="D2838" s="9" t="s">
        <v>357</v>
      </c>
      <c r="E2838" s="9" t="s">
        <v>17</v>
      </c>
      <c r="F2838" s="9" t="s">
        <v>17</v>
      </c>
      <c r="G2838" s="9" t="s">
        <v>24</v>
      </c>
      <c r="H2838" s="9" t="s">
        <v>22</v>
      </c>
      <c r="I2838" s="9" t="s">
        <v>20</v>
      </c>
      <c r="J2838" s="10"/>
      <c r="K2838" s="15">
        <v>4.0</v>
      </c>
      <c r="N2838" s="14" t="str">
        <f>IFERROR(__xludf.DUMMYFUNCTION("""COMPUTED_VALUE"""),"Dagoberto Espinoza|46206")</f>
        <v>Dagoberto Espinoza|46206</v>
      </c>
      <c r="O2838" s="14">
        <f>IFERROR(__xludf.DUMMYFUNCTION("""COMPUTED_VALUE"""),3.0)</f>
        <v>3</v>
      </c>
    </row>
    <row r="2839" ht="22.5" hidden="1" customHeight="1">
      <c r="A2839" s="8">
        <v>46019.40169153935</v>
      </c>
      <c r="B2839" s="14">
        <v>46019.0</v>
      </c>
      <c r="C2839" s="9" t="s">
        <v>58</v>
      </c>
      <c r="D2839" s="9" t="s">
        <v>397</v>
      </c>
      <c r="E2839" s="9" t="s">
        <v>17</v>
      </c>
      <c r="F2839" s="9" t="s">
        <v>17</v>
      </c>
      <c r="G2839" s="9" t="s">
        <v>24</v>
      </c>
      <c r="H2839" s="9" t="s">
        <v>17</v>
      </c>
      <c r="I2839" s="9" t="s">
        <v>20</v>
      </c>
      <c r="J2839" s="10"/>
      <c r="K2839" s="15">
        <v>2.0</v>
      </c>
      <c r="N2839" s="14" t="str">
        <f>IFERROR(__xludf.DUMMYFUNCTION("""COMPUTED_VALUE"""),"Kevin Álvarez|46206")</f>
        <v>Kevin Álvarez|46206</v>
      </c>
      <c r="O2839" s="14">
        <f>IFERROR(__xludf.DUMMYFUNCTION("""COMPUTED_VALUE"""),3.0)</f>
        <v>3</v>
      </c>
    </row>
    <row r="2840" ht="22.5" hidden="1" customHeight="1">
      <c r="A2840" s="8">
        <v>46019.402275416665</v>
      </c>
      <c r="B2840" s="14">
        <v>46019.0</v>
      </c>
      <c r="C2840" s="9" t="s">
        <v>58</v>
      </c>
      <c r="D2840" s="9" t="s">
        <v>170</v>
      </c>
      <c r="E2840" s="9" t="s">
        <v>17</v>
      </c>
      <c r="F2840" s="9" t="s">
        <v>43</v>
      </c>
      <c r="G2840" s="9" t="s">
        <v>19</v>
      </c>
      <c r="H2840" s="9" t="s">
        <v>17</v>
      </c>
      <c r="I2840" s="9" t="s">
        <v>20</v>
      </c>
      <c r="J2840" s="10"/>
      <c r="K2840" s="15">
        <v>3.0</v>
      </c>
      <c r="N2840" s="14" t="str">
        <f>IFERROR(__xludf.DUMMYFUNCTION("""COMPUTED_VALUE"""),"Fernando Tapia|46206")</f>
        <v>Fernando Tapia|46206</v>
      </c>
      <c r="O2840" s="14">
        <f>IFERROR(__xludf.DUMMYFUNCTION("""COMPUTED_VALUE"""),3.0)</f>
        <v>3</v>
      </c>
    </row>
    <row r="2841" ht="22.5" hidden="1" customHeight="1">
      <c r="A2841" s="8">
        <v>46019.40720877315</v>
      </c>
      <c r="B2841" s="14">
        <v>46019.0</v>
      </c>
      <c r="C2841" s="9" t="s">
        <v>58</v>
      </c>
      <c r="D2841" s="9" t="s">
        <v>168</v>
      </c>
      <c r="E2841" s="9" t="s">
        <v>17</v>
      </c>
      <c r="F2841" s="9" t="s">
        <v>17</v>
      </c>
      <c r="G2841" s="9" t="s">
        <v>24</v>
      </c>
      <c r="H2841" s="9" t="s">
        <v>22</v>
      </c>
      <c r="I2841" s="9" t="s">
        <v>20</v>
      </c>
      <c r="J2841" s="10"/>
      <c r="K2841" s="15">
        <v>5.0</v>
      </c>
      <c r="N2841" s="14" t="str">
        <f>IFERROR(__xludf.DUMMYFUNCTION("""COMPUTED_VALUE"""),"Isaías Violante|46206")</f>
        <v>Isaías Violante|46206</v>
      </c>
      <c r="O2841" s="14">
        <f>IFERROR(__xludf.DUMMYFUNCTION("""COMPUTED_VALUE"""),4.0)</f>
        <v>4</v>
      </c>
    </row>
    <row r="2842" ht="22.5" hidden="1" customHeight="1">
      <c r="A2842" s="8">
        <v>46019.40749439815</v>
      </c>
      <c r="B2842" s="14">
        <v>46019.0</v>
      </c>
      <c r="C2842" s="9" t="s">
        <v>58</v>
      </c>
      <c r="D2842" s="9" t="s">
        <v>335</v>
      </c>
      <c r="E2842" s="9" t="s">
        <v>17</v>
      </c>
      <c r="F2842" s="9" t="s">
        <v>17</v>
      </c>
      <c r="G2842" s="9" t="s">
        <v>24</v>
      </c>
      <c r="H2842" s="9" t="s">
        <v>22</v>
      </c>
      <c r="I2842" s="9" t="s">
        <v>20</v>
      </c>
      <c r="J2842" s="10"/>
      <c r="K2842" s="15" t="s">
        <v>398</v>
      </c>
      <c r="N2842" s="14" t="str">
        <f>IFERROR(__xludf.DUMMYFUNCTION("""COMPUTED_VALUE"""),"Erick Sánchez|46206")</f>
        <v>Erick Sánchez|46206</v>
      </c>
      <c r="O2842" s="14">
        <f>IFERROR(__xludf.DUMMYFUNCTION("""COMPUTED_VALUE"""),5.0)</f>
        <v>5</v>
      </c>
    </row>
    <row r="2843" ht="22.5" hidden="1" customHeight="1">
      <c r="A2843" s="8">
        <v>46019.407828807874</v>
      </c>
      <c r="B2843" s="14">
        <v>46019.0</v>
      </c>
      <c r="C2843" s="9" t="s">
        <v>58</v>
      </c>
      <c r="D2843" s="9" t="s">
        <v>210</v>
      </c>
      <c r="E2843" s="9" t="s">
        <v>17</v>
      </c>
      <c r="F2843" s="9" t="s">
        <v>17</v>
      </c>
      <c r="G2843" s="9" t="s">
        <v>24</v>
      </c>
      <c r="H2843" s="9" t="s">
        <v>22</v>
      </c>
      <c r="I2843" s="9" t="s">
        <v>20</v>
      </c>
      <c r="J2843" s="10"/>
      <c r="K2843" s="15">
        <v>4.0</v>
      </c>
      <c r="N2843" s="14" t="str">
        <f>IFERROR(__xludf.DUMMYFUNCTION("""COMPUTED_VALUE"""),"José Raúl Zúñiga|46206")</f>
        <v>José Raúl Zúñiga|46206</v>
      </c>
      <c r="O2843" s="14">
        <f>IFERROR(__xludf.DUMMYFUNCTION("""COMPUTED_VALUE"""),3.0)</f>
        <v>3</v>
      </c>
    </row>
    <row r="2844" ht="22.5" hidden="1" customHeight="1">
      <c r="A2844" s="8">
        <v>46019.40810217593</v>
      </c>
      <c r="B2844" s="14">
        <v>46019.0</v>
      </c>
      <c r="C2844" s="9" t="s">
        <v>58</v>
      </c>
      <c r="D2844" s="9" t="s">
        <v>367</v>
      </c>
      <c r="E2844" s="9" t="s">
        <v>17</v>
      </c>
      <c r="F2844" s="9" t="s">
        <v>17</v>
      </c>
      <c r="G2844" s="9" t="s">
        <v>24</v>
      </c>
      <c r="H2844" s="9" t="s">
        <v>22</v>
      </c>
      <c r="I2844" s="9" t="s">
        <v>20</v>
      </c>
      <c r="J2844" s="10"/>
      <c r="K2844" s="15">
        <v>6.0</v>
      </c>
      <c r="N2844" s="14" t="str">
        <f>IFERROR(__xludf.DUMMYFUNCTION("""COMPUTED_VALUE"""),"Ramón Juárez|46206")</f>
        <v>Ramón Juárez|46206</v>
      </c>
      <c r="O2844" s="14">
        <f>IFERROR(__xludf.DUMMYFUNCTION("""COMPUTED_VALUE"""),4.0)</f>
        <v>4</v>
      </c>
    </row>
    <row r="2845" ht="22.5" hidden="1" customHeight="1">
      <c r="A2845" s="8">
        <v>46020.37763596065</v>
      </c>
      <c r="B2845" s="14">
        <v>46020.0</v>
      </c>
      <c r="C2845" s="9" t="s">
        <v>86</v>
      </c>
      <c r="D2845" s="9" t="s">
        <v>258</v>
      </c>
      <c r="E2845" s="9" t="s">
        <v>46</v>
      </c>
      <c r="F2845" s="9" t="s">
        <v>17</v>
      </c>
      <c r="G2845" s="9" t="s">
        <v>24</v>
      </c>
      <c r="H2845" s="9" t="s">
        <v>22</v>
      </c>
      <c r="I2845" s="9" t="s">
        <v>20</v>
      </c>
      <c r="J2845" s="10"/>
      <c r="K2845" s="14">
        <v>3.0</v>
      </c>
      <c r="N2845" s="14" t="str">
        <f>IFERROR(__xludf.DUMMYFUNCTION("""COMPUTED_VALUE"""),"Raphael Veiga|46206")</f>
        <v>Raphael Veiga|46206</v>
      </c>
      <c r="O2845" s="14">
        <f>IFERROR(__xludf.DUMMYFUNCTION("""COMPUTED_VALUE"""),3.0)</f>
        <v>3</v>
      </c>
    </row>
    <row r="2846" ht="22.5" hidden="1" customHeight="1">
      <c r="A2846" s="8">
        <v>46020.37790641203</v>
      </c>
      <c r="B2846" s="14">
        <v>46020.0</v>
      </c>
      <c r="C2846" s="9" t="s">
        <v>86</v>
      </c>
      <c r="D2846" s="9" t="s">
        <v>171</v>
      </c>
      <c r="E2846" s="9" t="s">
        <v>17</v>
      </c>
      <c r="F2846" s="9" t="s">
        <v>17</v>
      </c>
      <c r="G2846" s="9" t="s">
        <v>24</v>
      </c>
      <c r="H2846" s="9" t="s">
        <v>25</v>
      </c>
      <c r="I2846" s="9" t="s">
        <v>405</v>
      </c>
      <c r="J2846" s="10"/>
      <c r="K2846" s="14">
        <v>5.0</v>
      </c>
      <c r="N2846" s="14" t="str">
        <f>IFERROR(__xludf.DUMMYFUNCTION("""COMPUTED_VALUE"""),"Rodolfo Cota|46206")</f>
        <v>Rodolfo Cota|46206</v>
      </c>
      <c r="O2846" s="14">
        <f>IFERROR(__xludf.DUMMYFUNCTION("""COMPUTED_VALUE"""),3.0)</f>
        <v>3</v>
      </c>
    </row>
    <row r="2847" ht="22.5" hidden="1" customHeight="1">
      <c r="A2847" s="8">
        <v>46020.378153032405</v>
      </c>
      <c r="B2847" s="14">
        <v>46020.0</v>
      </c>
      <c r="C2847" s="9" t="s">
        <v>86</v>
      </c>
      <c r="D2847" s="9" t="s">
        <v>177</v>
      </c>
      <c r="E2847" s="9" t="s">
        <v>17</v>
      </c>
      <c r="F2847" s="9" t="s">
        <v>17</v>
      </c>
      <c r="G2847" s="9" t="s">
        <v>24</v>
      </c>
      <c r="H2847" s="9" t="s">
        <v>22</v>
      </c>
      <c r="I2847" s="9" t="s">
        <v>20</v>
      </c>
      <c r="J2847" s="10"/>
      <c r="K2847" s="14">
        <v>7.0</v>
      </c>
      <c r="N2847" s="14" t="str">
        <f>IFERROR(__xludf.DUMMYFUNCTION("""COMPUTED_VALUE"""),"Henry Martín|46206")</f>
        <v>Henry Martín|46206</v>
      </c>
      <c r="O2847" s="14">
        <f>IFERROR(__xludf.DUMMYFUNCTION("""COMPUTED_VALUE"""),5.0)</f>
        <v>5</v>
      </c>
    </row>
    <row r="2848" ht="22.5" hidden="1" customHeight="1">
      <c r="A2848" s="8">
        <v>46020.37840289352</v>
      </c>
      <c r="B2848" s="14">
        <v>46020.0</v>
      </c>
      <c r="C2848" s="9" t="s">
        <v>86</v>
      </c>
      <c r="D2848" s="9" t="s">
        <v>178</v>
      </c>
      <c r="E2848" s="9" t="s">
        <v>17</v>
      </c>
      <c r="F2848" s="9" t="s">
        <v>17</v>
      </c>
      <c r="G2848" s="9" t="s">
        <v>24</v>
      </c>
      <c r="H2848" s="9" t="s">
        <v>22</v>
      </c>
      <c r="I2848" s="9" t="s">
        <v>20</v>
      </c>
      <c r="J2848" s="10"/>
      <c r="K2848" s="14">
        <v>7.0</v>
      </c>
      <c r="N2848" s="14" t="str">
        <f>IFERROR(__xludf.DUMMYFUNCTION("""COMPUTED_VALUE"""),"Emilio Lara|46206")</f>
        <v>Emilio Lara|46206</v>
      </c>
      <c r="O2848" s="14">
        <f>IFERROR(__xludf.DUMMYFUNCTION("""COMPUTED_VALUE"""),2.0)</f>
        <v>2</v>
      </c>
    </row>
    <row r="2849" ht="22.5" hidden="1" customHeight="1">
      <c r="A2849" s="8">
        <v>46020.37868520833</v>
      </c>
      <c r="B2849" s="14">
        <v>46020.0</v>
      </c>
      <c r="C2849" s="9" t="s">
        <v>86</v>
      </c>
      <c r="D2849" s="9" t="s">
        <v>280</v>
      </c>
      <c r="E2849" s="9" t="s">
        <v>17</v>
      </c>
      <c r="F2849" s="9" t="s">
        <v>17</v>
      </c>
      <c r="G2849" s="9" t="s">
        <v>24</v>
      </c>
      <c r="H2849" s="9" t="s">
        <v>22</v>
      </c>
      <c r="I2849" s="9" t="s">
        <v>20</v>
      </c>
      <c r="J2849" s="10"/>
      <c r="K2849" s="14" t="s">
        <v>398</v>
      </c>
      <c r="N2849" s="14" t="str">
        <f>IFERROR(__xludf.DUMMYFUNCTION("""COMPUTED_VALUE"""),"Patricio Salas|46209")</f>
        <v>Patricio Salas|46209</v>
      </c>
      <c r="O2849" s="14">
        <f>IFERROR(__xludf.DUMMYFUNCTION("""COMPUTED_VALUE"""),5.0)</f>
        <v>5</v>
      </c>
    </row>
    <row r="2850" ht="22.5" hidden="1" customHeight="1">
      <c r="A2850" s="8">
        <v>46020.378902094904</v>
      </c>
      <c r="B2850" s="14">
        <v>46020.0</v>
      </c>
      <c r="C2850" s="9" t="s">
        <v>86</v>
      </c>
      <c r="D2850" s="9" t="s">
        <v>335</v>
      </c>
      <c r="E2850" s="9" t="s">
        <v>17</v>
      </c>
      <c r="F2850" s="9" t="s">
        <v>17</v>
      </c>
      <c r="G2850" s="9" t="s">
        <v>24</v>
      </c>
      <c r="H2850" s="9" t="s">
        <v>22</v>
      </c>
      <c r="I2850" s="9" t="s">
        <v>20</v>
      </c>
      <c r="J2850" s="10"/>
      <c r="K2850" s="14">
        <v>6.0</v>
      </c>
      <c r="N2850" s="14" t="str">
        <f>IFERROR(__xludf.DUMMYFUNCTION("""COMPUTED_VALUE"""),"Isaías Violante|46209")</f>
        <v>Isaías Violante|46209</v>
      </c>
      <c r="O2850" s="14">
        <f>IFERROR(__xludf.DUMMYFUNCTION("""COMPUTED_VALUE"""),7.0)</f>
        <v>7</v>
      </c>
    </row>
    <row r="2851" ht="22.5" hidden="1" customHeight="1">
      <c r="A2851" s="8">
        <v>46020.379125949075</v>
      </c>
      <c r="B2851" s="14">
        <v>46020.0</v>
      </c>
      <c r="C2851" s="9" t="s">
        <v>86</v>
      </c>
      <c r="D2851" s="9" t="s">
        <v>394</v>
      </c>
      <c r="E2851" s="9" t="s">
        <v>17</v>
      </c>
      <c r="F2851" s="9" t="s">
        <v>17</v>
      </c>
      <c r="G2851" s="9" t="s">
        <v>24</v>
      </c>
      <c r="H2851" s="9" t="s">
        <v>22</v>
      </c>
      <c r="I2851" s="9" t="s">
        <v>20</v>
      </c>
      <c r="J2851" s="10"/>
      <c r="K2851" s="14" t="s">
        <v>398</v>
      </c>
      <c r="N2851" s="14" t="str">
        <f>IFERROR(__xludf.DUMMYFUNCTION("""COMPUTED_VALUE"""),"José Raúl Zúñiga|46209")</f>
        <v>José Raúl Zúñiga|46209</v>
      </c>
      <c r="O2851" s="14">
        <f>IFERROR(__xludf.DUMMYFUNCTION("""COMPUTED_VALUE"""),4.0)</f>
        <v>4</v>
      </c>
    </row>
    <row r="2852" ht="22.5" hidden="1" customHeight="1">
      <c r="A2852" s="8">
        <v>46020.37938861111</v>
      </c>
      <c r="B2852" s="14">
        <v>46020.0</v>
      </c>
      <c r="C2852" s="9" t="s">
        <v>86</v>
      </c>
      <c r="D2852" s="9" t="s">
        <v>174</v>
      </c>
      <c r="E2852" s="9" t="s">
        <v>17</v>
      </c>
      <c r="F2852" s="9" t="s">
        <v>17</v>
      </c>
      <c r="G2852" s="9" t="s">
        <v>24</v>
      </c>
      <c r="H2852" s="9" t="s">
        <v>22</v>
      </c>
      <c r="I2852" s="9" t="s">
        <v>20</v>
      </c>
      <c r="J2852" s="10"/>
      <c r="K2852" s="14">
        <v>3.0</v>
      </c>
      <c r="N2852" s="14" t="str">
        <f>IFERROR(__xludf.DUMMYFUNCTION("""COMPUTED_VALUE"""),"Henry Martín|46209")</f>
        <v>Henry Martín|46209</v>
      </c>
      <c r="O2852" s="14">
        <f>IFERROR(__xludf.DUMMYFUNCTION("""COMPUTED_VALUE"""),5.0)</f>
        <v>5</v>
      </c>
    </row>
    <row r="2853" ht="22.5" hidden="1" customHeight="1">
      <c r="A2853" s="8">
        <v>46020.37961256945</v>
      </c>
      <c r="B2853" s="14">
        <v>46020.0</v>
      </c>
      <c r="C2853" s="9" t="s">
        <v>86</v>
      </c>
      <c r="D2853" s="9" t="s">
        <v>257</v>
      </c>
      <c r="E2853" s="9" t="s">
        <v>17</v>
      </c>
      <c r="F2853" s="9" t="s">
        <v>17</v>
      </c>
      <c r="G2853" s="9" t="s">
        <v>24</v>
      </c>
      <c r="H2853" s="9" t="s">
        <v>22</v>
      </c>
      <c r="I2853" s="9" t="s">
        <v>20</v>
      </c>
      <c r="J2853" s="10"/>
      <c r="K2853" s="14" t="s">
        <v>398</v>
      </c>
      <c r="N2853" s="14" t="str">
        <f>IFERROR(__xludf.DUMMYFUNCTION("""COMPUTED_VALUE"""),"Rodolfo Cota|46209")</f>
        <v>Rodolfo Cota|46209</v>
      </c>
      <c r="O2853" s="14">
        <f>IFERROR(__xludf.DUMMYFUNCTION("""COMPUTED_VALUE"""),2.0)</f>
        <v>2</v>
      </c>
    </row>
    <row r="2854" ht="22.5" hidden="1" customHeight="1">
      <c r="A2854" s="8">
        <v>46020.37984259259</v>
      </c>
      <c r="B2854" s="14">
        <v>46020.0</v>
      </c>
      <c r="C2854" s="9" t="s">
        <v>86</v>
      </c>
      <c r="D2854" s="9" t="s">
        <v>249</v>
      </c>
      <c r="E2854" s="9" t="s">
        <v>17</v>
      </c>
      <c r="F2854" s="9" t="s">
        <v>17</v>
      </c>
      <c r="G2854" s="9" t="s">
        <v>19</v>
      </c>
      <c r="H2854" s="9" t="s">
        <v>22</v>
      </c>
      <c r="I2854" s="9" t="s">
        <v>20</v>
      </c>
      <c r="J2854" s="10"/>
      <c r="K2854" s="14" t="s">
        <v>398</v>
      </c>
      <c r="N2854" s="14" t="str">
        <f>IFERROR(__xludf.DUMMYFUNCTION("""COMPUTED_VALUE"""),"Fernando Tapia|46209")</f>
        <v>Fernando Tapia|46209</v>
      </c>
      <c r="O2854" s="14">
        <f>IFERROR(__xludf.DUMMYFUNCTION("""COMPUTED_VALUE"""),3.0)</f>
        <v>3</v>
      </c>
    </row>
    <row r="2855" ht="22.5" hidden="1" customHeight="1">
      <c r="A2855" s="8">
        <v>46020.38013855324</v>
      </c>
      <c r="B2855" s="14">
        <v>46020.0</v>
      </c>
      <c r="C2855" s="9" t="s">
        <v>86</v>
      </c>
      <c r="D2855" s="9" t="s">
        <v>395</v>
      </c>
      <c r="E2855" s="9" t="s">
        <v>17</v>
      </c>
      <c r="F2855" s="9" t="s">
        <v>17</v>
      </c>
      <c r="G2855" s="9" t="s">
        <v>24</v>
      </c>
      <c r="H2855" s="9" t="s">
        <v>22</v>
      </c>
      <c r="I2855" s="9" t="s">
        <v>20</v>
      </c>
      <c r="J2855" s="10"/>
      <c r="K2855" s="14">
        <v>4.0</v>
      </c>
      <c r="N2855" s="14" t="str">
        <f>IFERROR(__xludf.DUMMYFUNCTION("""COMPUTED_VALUE"""),"Kevin Álvarez|46209")</f>
        <v>Kevin Álvarez|46209</v>
      </c>
      <c r="O2855" s="14">
        <f>IFERROR(__xludf.DUMMYFUNCTION("""COMPUTED_VALUE"""),5.0)</f>
        <v>5</v>
      </c>
    </row>
    <row r="2856" ht="22.5" hidden="1" customHeight="1">
      <c r="A2856" s="8">
        <v>46020.38051778935</v>
      </c>
      <c r="B2856" s="14">
        <v>46020.0</v>
      </c>
      <c r="C2856" s="9" t="s">
        <v>86</v>
      </c>
      <c r="D2856" s="9" t="s">
        <v>393</v>
      </c>
      <c r="E2856" s="9" t="s">
        <v>17</v>
      </c>
      <c r="F2856" s="9" t="s">
        <v>17</v>
      </c>
      <c r="G2856" s="9" t="s">
        <v>24</v>
      </c>
      <c r="H2856" s="9" t="s">
        <v>25</v>
      </c>
      <c r="I2856" s="9" t="s">
        <v>211</v>
      </c>
      <c r="J2856" s="10"/>
      <c r="K2856" s="14" t="s">
        <v>398</v>
      </c>
      <c r="N2856" s="14" t="str">
        <f>IFERROR(__xludf.DUMMYFUNCTION("""COMPUTED_VALUE"""),"Cristian Borja|46209")</f>
        <v>Cristian Borja|46209</v>
      </c>
      <c r="O2856" s="14">
        <f>IFERROR(__xludf.DUMMYFUNCTION("""COMPUTED_VALUE"""),6.0)</f>
        <v>6</v>
      </c>
    </row>
    <row r="2857" ht="22.5" hidden="1" customHeight="1">
      <c r="A2857" s="8">
        <v>46020.38843651621</v>
      </c>
      <c r="B2857" s="14">
        <v>46020.0</v>
      </c>
      <c r="C2857" s="9" t="s">
        <v>86</v>
      </c>
      <c r="D2857" s="9" t="s">
        <v>259</v>
      </c>
      <c r="E2857" s="9" t="s">
        <v>17</v>
      </c>
      <c r="F2857" s="9" t="s">
        <v>17</v>
      </c>
      <c r="G2857" s="9" t="s">
        <v>19</v>
      </c>
      <c r="H2857" s="9" t="s">
        <v>22</v>
      </c>
      <c r="I2857" s="9" t="s">
        <v>20</v>
      </c>
      <c r="J2857" s="10"/>
      <c r="K2857" s="14" t="s">
        <v>398</v>
      </c>
      <c r="N2857" s="14" t="str">
        <f>IFERROR(__xludf.DUMMYFUNCTION("""COMPUTED_VALUE"""),"Dagoberto Espinoza|46209")</f>
        <v>Dagoberto Espinoza|46209</v>
      </c>
      <c r="O2857" s="14">
        <f>IFERROR(__xludf.DUMMYFUNCTION("""COMPUTED_VALUE"""),7.0)</f>
        <v>7</v>
      </c>
    </row>
    <row r="2858" ht="22.5" hidden="1" customHeight="1">
      <c r="A2858" s="8">
        <v>46020.38876724537</v>
      </c>
      <c r="B2858" s="14">
        <v>46020.0</v>
      </c>
      <c r="C2858" s="9" t="s">
        <v>86</v>
      </c>
      <c r="D2858" s="9" t="s">
        <v>210</v>
      </c>
      <c r="E2858" s="9" t="s">
        <v>17</v>
      </c>
      <c r="F2858" s="9" t="s">
        <v>17</v>
      </c>
      <c r="G2858" s="9" t="s">
        <v>24</v>
      </c>
      <c r="H2858" s="9" t="s">
        <v>22</v>
      </c>
      <c r="I2858" s="9" t="s">
        <v>20</v>
      </c>
      <c r="J2858" s="10"/>
      <c r="K2858" s="14" t="s">
        <v>398</v>
      </c>
      <c r="N2858" s="14" t="str">
        <f>IFERROR(__xludf.DUMMYFUNCTION("""COMPUTED_VALUE"""),"Miguel Vázquez|46209")</f>
        <v>Miguel Vázquez|46209</v>
      </c>
      <c r="O2858" s="14">
        <f>IFERROR(__xludf.DUMMYFUNCTION("""COMPUTED_VALUE"""),5.0)</f>
        <v>5</v>
      </c>
    </row>
    <row r="2859" ht="22.5" hidden="1" customHeight="1">
      <c r="A2859" s="8">
        <v>46020.38900668982</v>
      </c>
      <c r="B2859" s="14">
        <v>46020.0</v>
      </c>
      <c r="C2859" s="9" t="s">
        <v>86</v>
      </c>
      <c r="D2859" s="9" t="s">
        <v>247</v>
      </c>
      <c r="E2859" s="9" t="s">
        <v>17</v>
      </c>
      <c r="F2859" s="9" t="s">
        <v>17</v>
      </c>
      <c r="G2859" s="9" t="s">
        <v>24</v>
      </c>
      <c r="H2859" s="9" t="s">
        <v>22</v>
      </c>
      <c r="I2859" s="9" t="s">
        <v>20</v>
      </c>
      <c r="J2859" s="10"/>
      <c r="K2859" s="14" t="s">
        <v>398</v>
      </c>
      <c r="N2859" s="14" t="str">
        <f>IFERROR(__xludf.DUMMYFUNCTION("""COMPUTED_VALUE"""),"Emilio Lara|46209")</f>
        <v>Emilio Lara|46209</v>
      </c>
      <c r="O2859" s="14">
        <f>IFERROR(__xludf.DUMMYFUNCTION("""COMPUTED_VALUE"""),5.0)</f>
        <v>5</v>
      </c>
    </row>
    <row r="2860" ht="22.5" hidden="1" customHeight="1">
      <c r="A2860" s="8">
        <v>46020.3895574537</v>
      </c>
      <c r="B2860" s="14">
        <v>46020.0</v>
      </c>
      <c r="C2860" s="9" t="s">
        <v>86</v>
      </c>
      <c r="D2860" s="9" t="s">
        <v>350</v>
      </c>
      <c r="E2860" s="9" t="s">
        <v>17</v>
      </c>
      <c r="F2860" s="9" t="s">
        <v>17</v>
      </c>
      <c r="G2860" s="9" t="s">
        <v>24</v>
      </c>
      <c r="H2860" s="9" t="s">
        <v>22</v>
      </c>
      <c r="I2860" s="9" t="s">
        <v>20</v>
      </c>
      <c r="J2860" s="10"/>
      <c r="K2860" s="14">
        <v>7.0</v>
      </c>
      <c r="N2860" s="14" t="str">
        <f>IFERROR(__xludf.DUMMYFUNCTION("""COMPUTED_VALUE"""),"Alan Cervantes|46209")</f>
        <v>Alan Cervantes|46209</v>
      </c>
      <c r="O2860" s="14">
        <f>IFERROR(__xludf.DUMMYFUNCTION("""COMPUTED_VALUE"""),7.0)</f>
        <v>7</v>
      </c>
    </row>
    <row r="2861" ht="22.5" hidden="1" customHeight="1">
      <c r="A2861" s="8">
        <v>46020.38988815973</v>
      </c>
      <c r="B2861" s="14">
        <v>46020.0</v>
      </c>
      <c r="C2861" s="9" t="s">
        <v>86</v>
      </c>
      <c r="D2861" s="9" t="s">
        <v>361</v>
      </c>
      <c r="E2861" s="9" t="s">
        <v>17</v>
      </c>
      <c r="F2861" s="9" t="s">
        <v>17</v>
      </c>
      <c r="G2861" s="9" t="s">
        <v>24</v>
      </c>
      <c r="H2861" s="9" t="s">
        <v>22</v>
      </c>
      <c r="I2861" s="9" t="s">
        <v>20</v>
      </c>
      <c r="J2861" s="10"/>
      <c r="K2861" s="14" t="s">
        <v>398</v>
      </c>
      <c r="N2861" s="14" t="str">
        <f>IFERROR(__xludf.DUMMYFUNCTION("""COMPUTED_VALUE"""),"Alexis Gutiérrez|46209")</f>
        <v>Alexis Gutiérrez|46209</v>
      </c>
      <c r="O2861" s="14">
        <f>IFERROR(__xludf.DUMMYFUNCTION("""COMPUTED_VALUE"""),4.0)</f>
        <v>4</v>
      </c>
    </row>
    <row r="2862" ht="22.5" hidden="1" customHeight="1">
      <c r="A2862" s="8">
        <v>46020.390134490735</v>
      </c>
      <c r="B2862" s="14">
        <v>46020.0</v>
      </c>
      <c r="C2862" s="9" t="s">
        <v>86</v>
      </c>
      <c r="D2862" s="9" t="s">
        <v>357</v>
      </c>
      <c r="E2862" s="9" t="s">
        <v>17</v>
      </c>
      <c r="F2862" s="9" t="s">
        <v>17</v>
      </c>
      <c r="G2862" s="9" t="s">
        <v>24</v>
      </c>
      <c r="H2862" s="9" t="s">
        <v>22</v>
      </c>
      <c r="I2862" s="9" t="s">
        <v>20</v>
      </c>
      <c r="J2862" s="10"/>
      <c r="K2862" s="14">
        <v>9.0</v>
      </c>
      <c r="N2862" s="14" t="str">
        <f>IFERROR(__xludf.DUMMYFUNCTION("""COMPUTED_VALUE"""),"Ramón Juárez|46209")</f>
        <v>Ramón Juárez|46209</v>
      </c>
      <c r="O2862" s="14">
        <f>IFERROR(__xludf.DUMMYFUNCTION("""COMPUTED_VALUE"""),7.0)</f>
        <v>7</v>
      </c>
    </row>
    <row r="2863" ht="22.5" hidden="1" customHeight="1">
      <c r="A2863" s="8">
        <v>46020.39927988426</v>
      </c>
      <c r="B2863" s="14">
        <v>46020.0</v>
      </c>
      <c r="C2863" s="9" t="s">
        <v>86</v>
      </c>
      <c r="D2863" s="9" t="s">
        <v>396</v>
      </c>
      <c r="E2863" s="9" t="s">
        <v>17</v>
      </c>
      <c r="F2863" s="9" t="s">
        <v>17</v>
      </c>
      <c r="G2863" s="9" t="s">
        <v>24</v>
      </c>
      <c r="H2863" s="9" t="s">
        <v>22</v>
      </c>
      <c r="I2863" s="9" t="s">
        <v>20</v>
      </c>
      <c r="J2863" s="10"/>
      <c r="K2863" s="14" t="s">
        <v>398</v>
      </c>
      <c r="N2863" s="14" t="str">
        <f>IFERROR(__xludf.DUMMYFUNCTION("""COMPUTED_VALUE"""),"Erick Sánchez|46209")</f>
        <v>Erick Sánchez|46209</v>
      </c>
      <c r="O2863" s="14">
        <f>IFERROR(__xludf.DUMMYFUNCTION("""COMPUTED_VALUE"""),4.0)</f>
        <v>4</v>
      </c>
    </row>
    <row r="2864" ht="22.5" hidden="1" customHeight="1">
      <c r="A2864" s="8">
        <v>46020.399531550924</v>
      </c>
      <c r="B2864" s="14">
        <v>46020.0</v>
      </c>
      <c r="C2864" s="9" t="s">
        <v>86</v>
      </c>
      <c r="D2864" s="9" t="s">
        <v>175</v>
      </c>
      <c r="E2864" s="9" t="s">
        <v>17</v>
      </c>
      <c r="F2864" s="9" t="s">
        <v>17</v>
      </c>
      <c r="G2864" s="9" t="s">
        <v>24</v>
      </c>
      <c r="H2864" s="9" t="s">
        <v>17</v>
      </c>
      <c r="I2864" s="9" t="s">
        <v>20</v>
      </c>
      <c r="J2864" s="10"/>
      <c r="K2864" s="14">
        <v>6.0</v>
      </c>
      <c r="N2864" s="14" t="str">
        <f>IFERROR(__xludf.DUMMYFUNCTION("""COMPUTED_VALUE"""),"Franco Rossano|46209")</f>
        <v>Franco Rossano|46209</v>
      </c>
      <c r="O2864" s="14">
        <f>IFERROR(__xludf.DUMMYFUNCTION("""COMPUTED_VALUE"""),6.0)</f>
        <v>6</v>
      </c>
    </row>
    <row r="2865" ht="22.5" hidden="1" customHeight="1">
      <c r="A2865" s="8">
        <v>46020.39977732638</v>
      </c>
      <c r="B2865" s="14">
        <v>46020.0</v>
      </c>
      <c r="C2865" s="9" t="s">
        <v>86</v>
      </c>
      <c r="D2865" s="9" t="s">
        <v>105</v>
      </c>
      <c r="E2865" s="9" t="s">
        <v>17</v>
      </c>
      <c r="F2865" s="9" t="s">
        <v>17</v>
      </c>
      <c r="G2865" s="9" t="s">
        <v>24</v>
      </c>
      <c r="H2865" s="9" t="s">
        <v>22</v>
      </c>
      <c r="I2865" s="9" t="s">
        <v>20</v>
      </c>
      <c r="J2865" s="10"/>
      <c r="K2865" s="14">
        <v>2.0</v>
      </c>
      <c r="N2865" s="14" t="str">
        <f>IFERROR(__xludf.DUMMYFUNCTION("""COMPUTED_VALUE"""),"Paolo Bedolla|46209")</f>
        <v>Paolo Bedolla|46209</v>
      </c>
      <c r="O2865" s="14">
        <f>IFERROR(__xludf.DUMMYFUNCTION("""COMPUTED_VALUE"""),4.0)</f>
        <v>4</v>
      </c>
    </row>
    <row r="2866" ht="22.5" hidden="1" customHeight="1">
      <c r="A2866" s="8">
        <v>46020.40003336806</v>
      </c>
      <c r="B2866" s="14">
        <v>46020.0</v>
      </c>
      <c r="C2866" s="9" t="s">
        <v>86</v>
      </c>
      <c r="D2866" s="9" t="s">
        <v>168</v>
      </c>
      <c r="E2866" s="9" t="s">
        <v>17</v>
      </c>
      <c r="F2866" s="9" t="s">
        <v>17</v>
      </c>
      <c r="G2866" s="9" t="s">
        <v>24</v>
      </c>
      <c r="H2866" s="9" t="s">
        <v>22</v>
      </c>
      <c r="I2866" s="9" t="s">
        <v>20</v>
      </c>
      <c r="J2866" s="10"/>
      <c r="K2866" s="14" t="s">
        <v>398</v>
      </c>
      <c r="N2866" s="14" t="str">
        <f>IFERROR(__xludf.DUMMYFUNCTION("""COMPUTED_VALUE"""),"Thiago Espinosa|46209")</f>
        <v>Thiago Espinosa|46209</v>
      </c>
      <c r="O2866" s="14">
        <f>IFERROR(__xludf.DUMMYFUNCTION("""COMPUTED_VALUE"""),6.0)</f>
        <v>6</v>
      </c>
    </row>
    <row r="2867" ht="22.5" hidden="1" customHeight="1">
      <c r="A2867" s="8">
        <v>46020.40031081019</v>
      </c>
      <c r="B2867" s="14">
        <v>46020.0</v>
      </c>
      <c r="C2867" s="9" t="s">
        <v>86</v>
      </c>
      <c r="D2867" s="9" t="s">
        <v>367</v>
      </c>
      <c r="E2867" s="9" t="s">
        <v>17</v>
      </c>
      <c r="F2867" s="9" t="s">
        <v>17</v>
      </c>
      <c r="G2867" s="9" t="s">
        <v>24</v>
      </c>
      <c r="H2867" s="9" t="s">
        <v>22</v>
      </c>
      <c r="I2867" s="9" t="s">
        <v>20</v>
      </c>
      <c r="J2867" s="10"/>
      <c r="K2867" s="14">
        <v>8.0</v>
      </c>
      <c r="N2867" s="14" t="str">
        <f>IFERROR(__xludf.DUMMYFUNCTION("""COMPUTED_VALUE"""),"Raphael Veiga|46209")</f>
        <v>Raphael Veiga|46209</v>
      </c>
      <c r="O2867" s="14">
        <f>IFERROR(__xludf.DUMMYFUNCTION("""COMPUTED_VALUE"""),5.0)</f>
        <v>5</v>
      </c>
    </row>
    <row r="2868" ht="22.5" hidden="1" customHeight="1">
      <c r="A2868" s="8">
        <v>46020.40052015046</v>
      </c>
      <c r="B2868" s="14">
        <v>46020.0</v>
      </c>
      <c r="C2868" s="9" t="s">
        <v>86</v>
      </c>
      <c r="D2868" s="9" t="s">
        <v>170</v>
      </c>
      <c r="E2868" s="9" t="s">
        <v>17</v>
      </c>
      <c r="F2868" s="9" t="s">
        <v>17</v>
      </c>
      <c r="G2868" s="9" t="s">
        <v>24</v>
      </c>
      <c r="H2868" s="9" t="s">
        <v>22</v>
      </c>
      <c r="I2868" s="9" t="s">
        <v>20</v>
      </c>
      <c r="J2868" s="10"/>
      <c r="K2868" s="14">
        <v>2.0</v>
      </c>
      <c r="N2868" s="14" t="str">
        <f>IFERROR(__xludf.DUMMYFUNCTION("""COMPUTED_VALUE"""),"Henry Martín|46210")</f>
        <v>Henry Martín|46210</v>
      </c>
      <c r="O2868" s="14">
        <f>IFERROR(__xludf.DUMMYFUNCTION("""COMPUTED_VALUE"""),8.0)</f>
        <v>8</v>
      </c>
    </row>
    <row r="2869" ht="22.5" hidden="1" customHeight="1">
      <c r="A2869" s="8">
        <v>46020.40087975694</v>
      </c>
      <c r="B2869" s="14">
        <v>46020.0</v>
      </c>
      <c r="C2869" s="9" t="s">
        <v>86</v>
      </c>
      <c r="D2869" s="9" t="s">
        <v>223</v>
      </c>
      <c r="E2869" s="9" t="s">
        <v>17</v>
      </c>
      <c r="F2869" s="9" t="s">
        <v>17</v>
      </c>
      <c r="G2869" s="9" t="s">
        <v>24</v>
      </c>
      <c r="H2869" s="9" t="s">
        <v>25</v>
      </c>
      <c r="I2869" s="9" t="s">
        <v>399</v>
      </c>
      <c r="J2869" s="10"/>
      <c r="K2869" s="14">
        <v>5.0</v>
      </c>
      <c r="N2869" s="14" t="str">
        <f>IFERROR(__xludf.DUMMYFUNCTION("""COMPUTED_VALUE"""),"Alexis Gutiérrez|46210")</f>
        <v>Alexis Gutiérrez|46210</v>
      </c>
      <c r="O2869" s="14">
        <f>IFERROR(__xludf.DUMMYFUNCTION("""COMPUTED_VALUE"""),7.0)</f>
        <v>7</v>
      </c>
    </row>
    <row r="2870" ht="22.5" hidden="1" customHeight="1">
      <c r="A2870" s="8">
        <v>46020.40153849537</v>
      </c>
      <c r="B2870" s="14">
        <v>46020.0</v>
      </c>
      <c r="C2870" s="9" t="s">
        <v>86</v>
      </c>
      <c r="D2870" s="9" t="s">
        <v>397</v>
      </c>
      <c r="E2870" s="9" t="s">
        <v>17</v>
      </c>
      <c r="F2870" s="9" t="s">
        <v>17</v>
      </c>
      <c r="G2870" s="9" t="s">
        <v>24</v>
      </c>
      <c r="H2870" s="9" t="s">
        <v>22</v>
      </c>
      <c r="I2870" s="9" t="s">
        <v>20</v>
      </c>
      <c r="J2870" s="10"/>
      <c r="K2870" s="14" t="s">
        <v>398</v>
      </c>
      <c r="N2870" s="14" t="str">
        <f>IFERROR(__xludf.DUMMYFUNCTION("""COMPUTED_VALUE"""),"José Raúl Zúñiga|46210")</f>
        <v>José Raúl Zúñiga|46210</v>
      </c>
      <c r="O2870" s="14">
        <f>IFERROR(__xludf.DUMMYFUNCTION("""COMPUTED_VALUE"""),4.0)</f>
        <v>4</v>
      </c>
    </row>
    <row r="2871" ht="22.5" hidden="1" customHeight="1">
      <c r="A2871" s="8">
        <v>46021.32098278935</v>
      </c>
      <c r="B2871" s="14">
        <v>46021.0</v>
      </c>
      <c r="C2871" s="9" t="s">
        <v>110</v>
      </c>
      <c r="D2871" s="9" t="s">
        <v>177</v>
      </c>
      <c r="E2871" s="9" t="s">
        <v>17</v>
      </c>
      <c r="F2871" s="9" t="s">
        <v>17</v>
      </c>
      <c r="G2871" s="9" t="s">
        <v>24</v>
      </c>
      <c r="H2871" s="9" t="s">
        <v>22</v>
      </c>
      <c r="I2871" s="9" t="s">
        <v>20</v>
      </c>
      <c r="J2871" s="10"/>
      <c r="K2871" s="14">
        <v>3.0</v>
      </c>
      <c r="N2871" s="14" t="str">
        <f>IFERROR(__xludf.DUMMYFUNCTION("""COMPUTED_VALUE"""),"Erick Sánchez|46210")</f>
        <v>Erick Sánchez|46210</v>
      </c>
      <c r="O2871" s="14">
        <f>IFERROR(__xludf.DUMMYFUNCTION("""COMPUTED_VALUE"""),7.0)</f>
        <v>7</v>
      </c>
    </row>
    <row r="2872" ht="22.5" hidden="1" customHeight="1">
      <c r="A2872" s="8">
        <v>46021.33458216435</v>
      </c>
      <c r="B2872" s="14">
        <v>46021.0</v>
      </c>
      <c r="C2872" s="9" t="s">
        <v>110</v>
      </c>
      <c r="D2872" s="9" t="s">
        <v>210</v>
      </c>
      <c r="E2872" s="9" t="s">
        <v>17</v>
      </c>
      <c r="F2872" s="9" t="s">
        <v>17</v>
      </c>
      <c r="G2872" s="9" t="s">
        <v>24</v>
      </c>
      <c r="H2872" s="9" t="s">
        <v>22</v>
      </c>
      <c r="I2872" s="9" t="s">
        <v>20</v>
      </c>
      <c r="J2872" s="10"/>
      <c r="K2872" s="14">
        <v>2.0</v>
      </c>
      <c r="N2872" s="14" t="str">
        <f>IFERROR(__xludf.DUMMYFUNCTION("""COMPUTED_VALUE"""),"Emilio Lara|46210")</f>
        <v>Emilio Lara|46210</v>
      </c>
      <c r="O2872" s="14">
        <f>IFERROR(__xludf.DUMMYFUNCTION("""COMPUTED_VALUE"""),6.0)</f>
        <v>6</v>
      </c>
    </row>
    <row r="2873" ht="22.5" hidden="1" customHeight="1">
      <c r="A2873" s="8">
        <v>46021.33514243056</v>
      </c>
      <c r="B2873" s="14">
        <v>46021.0</v>
      </c>
      <c r="C2873" s="9" t="s">
        <v>110</v>
      </c>
      <c r="D2873" s="9" t="s">
        <v>259</v>
      </c>
      <c r="E2873" s="9" t="s">
        <v>17</v>
      </c>
      <c r="F2873" s="9" t="s">
        <v>17</v>
      </c>
      <c r="G2873" s="9" t="s">
        <v>24</v>
      </c>
      <c r="H2873" s="9" t="s">
        <v>22</v>
      </c>
      <c r="I2873" s="9" t="s">
        <v>20</v>
      </c>
      <c r="J2873" s="10"/>
      <c r="K2873" s="14">
        <v>4.0</v>
      </c>
      <c r="N2873" s="14" t="str">
        <f>IFERROR(__xludf.DUMMYFUNCTION("""COMPUTED_VALUE"""),"Thiago Espinosa|46210")</f>
        <v>Thiago Espinosa|46210</v>
      </c>
      <c r="O2873" s="14">
        <f>IFERROR(__xludf.DUMMYFUNCTION("""COMPUTED_VALUE"""),7.0)</f>
        <v>7</v>
      </c>
    </row>
    <row r="2874" ht="22.5" hidden="1" customHeight="1">
      <c r="A2874" s="8">
        <v>46021.33804582176</v>
      </c>
      <c r="B2874" s="14">
        <v>46021.0</v>
      </c>
      <c r="C2874" s="9" t="s">
        <v>110</v>
      </c>
      <c r="D2874" s="9" t="s">
        <v>171</v>
      </c>
      <c r="E2874" s="9" t="s">
        <v>46</v>
      </c>
      <c r="F2874" s="9" t="s">
        <v>60</v>
      </c>
      <c r="G2874" s="9" t="s">
        <v>24</v>
      </c>
      <c r="H2874" s="9" t="s">
        <v>17</v>
      </c>
      <c r="I2874" s="9" t="s">
        <v>20</v>
      </c>
      <c r="J2874" s="10"/>
      <c r="K2874" s="14">
        <v>2.0</v>
      </c>
      <c r="N2874" s="14" t="str">
        <f>IFERROR(__xludf.DUMMYFUNCTION("""COMPUTED_VALUE"""),"Dagoberto Espinoza|46210")</f>
        <v>Dagoberto Espinoza|46210</v>
      </c>
      <c r="O2874" s="14">
        <f>IFERROR(__xludf.DUMMYFUNCTION("""COMPUTED_VALUE"""),7.0)</f>
        <v>7</v>
      </c>
    </row>
    <row r="2875" ht="22.5" hidden="1" customHeight="1">
      <c r="A2875" s="8">
        <v>46021.34247355324</v>
      </c>
      <c r="B2875" s="14">
        <v>46021.0</v>
      </c>
      <c r="C2875" s="9" t="s">
        <v>110</v>
      </c>
      <c r="D2875" s="9" t="s">
        <v>393</v>
      </c>
      <c r="E2875" s="9" t="s">
        <v>17</v>
      </c>
      <c r="F2875" s="9" t="s">
        <v>17</v>
      </c>
      <c r="G2875" s="9" t="s">
        <v>24</v>
      </c>
      <c r="H2875" s="9" t="s">
        <v>22</v>
      </c>
      <c r="I2875" s="9" t="s">
        <v>20</v>
      </c>
      <c r="J2875" s="10"/>
      <c r="K2875" s="14" t="s">
        <v>398</v>
      </c>
      <c r="N2875" s="14" t="str">
        <f>IFERROR(__xludf.DUMMYFUNCTION("""COMPUTED_VALUE"""),"Kevin Álvarez|46210")</f>
        <v>Kevin Álvarez|46210</v>
      </c>
      <c r="O2875" s="14">
        <f>IFERROR(__xludf.DUMMYFUNCTION("""COMPUTED_VALUE"""),6.0)</f>
        <v>6</v>
      </c>
    </row>
    <row r="2876" ht="22.5" hidden="1" customHeight="1">
      <c r="A2876" s="8">
        <v>46021.343497974536</v>
      </c>
      <c r="B2876" s="14">
        <v>46021.0</v>
      </c>
      <c r="C2876" s="9" t="s">
        <v>110</v>
      </c>
      <c r="D2876" s="9" t="s">
        <v>174</v>
      </c>
      <c r="E2876" s="9" t="s">
        <v>17</v>
      </c>
      <c r="F2876" s="9" t="s">
        <v>17</v>
      </c>
      <c r="G2876" s="9" t="s">
        <v>24</v>
      </c>
      <c r="H2876" s="9" t="s">
        <v>22</v>
      </c>
      <c r="I2876" s="9" t="s">
        <v>20</v>
      </c>
      <c r="J2876" s="10"/>
      <c r="K2876" s="14">
        <v>1.0</v>
      </c>
      <c r="N2876" s="14" t="str">
        <f>IFERROR(__xludf.DUMMYFUNCTION("""COMPUTED_VALUE"""),"Cristian Borja|46210")</f>
        <v>Cristian Borja|46210</v>
      </c>
      <c r="O2876" s="14">
        <f>IFERROR(__xludf.DUMMYFUNCTION("""COMPUTED_VALUE"""),8.0)</f>
        <v>8</v>
      </c>
    </row>
    <row r="2877" ht="22.5" hidden="1" customHeight="1">
      <c r="A2877" s="8">
        <v>46021.34427515046</v>
      </c>
      <c r="B2877" s="14">
        <v>46021.0</v>
      </c>
      <c r="C2877" s="9" t="s">
        <v>110</v>
      </c>
      <c r="D2877" s="9" t="s">
        <v>170</v>
      </c>
      <c r="E2877" s="9" t="s">
        <v>17</v>
      </c>
      <c r="F2877" s="9" t="s">
        <v>17</v>
      </c>
      <c r="G2877" s="9" t="s">
        <v>24</v>
      </c>
      <c r="H2877" s="9" t="s">
        <v>22</v>
      </c>
      <c r="I2877" s="9" t="s">
        <v>20</v>
      </c>
      <c r="J2877" s="10"/>
      <c r="K2877" s="14">
        <v>3.0</v>
      </c>
      <c r="N2877" s="14" t="str">
        <f>IFERROR(__xludf.DUMMYFUNCTION("""COMPUTED_VALUE"""),"Alan Cervantes|46210")</f>
        <v>Alan Cervantes|46210</v>
      </c>
      <c r="O2877" s="14">
        <f>IFERROR(__xludf.DUMMYFUNCTION("""COMPUTED_VALUE"""),7.0)</f>
        <v>7</v>
      </c>
    </row>
    <row r="2878" ht="22.5" hidden="1" customHeight="1">
      <c r="A2878" s="8">
        <v>46021.34636820602</v>
      </c>
      <c r="B2878" s="14">
        <v>46021.0</v>
      </c>
      <c r="C2878" s="9" t="s">
        <v>110</v>
      </c>
      <c r="D2878" s="9" t="s">
        <v>257</v>
      </c>
      <c r="E2878" s="9" t="s">
        <v>17</v>
      </c>
      <c r="F2878" s="9" t="s">
        <v>17</v>
      </c>
      <c r="G2878" s="9" t="s">
        <v>24</v>
      </c>
      <c r="H2878" s="9" t="s">
        <v>17</v>
      </c>
      <c r="I2878" s="9" t="s">
        <v>67</v>
      </c>
      <c r="J2878" s="10"/>
      <c r="K2878" s="14" t="s">
        <v>398</v>
      </c>
      <c r="N2878" s="14" t="str">
        <f>IFERROR(__xludf.DUMMYFUNCTION("""COMPUTED_VALUE"""),"Víctor Dávila|46210")</f>
        <v>Víctor Dávila|46210</v>
      </c>
      <c r="O2878" s="14">
        <f>IFERROR(__xludf.DUMMYFUNCTION("""COMPUTED_VALUE"""),7.0)</f>
        <v>7</v>
      </c>
    </row>
    <row r="2879" ht="22.5" hidden="1" customHeight="1">
      <c r="A2879" s="8">
        <v>46021.34694</v>
      </c>
      <c r="B2879" s="14">
        <v>46021.0</v>
      </c>
      <c r="C2879" s="9" t="s">
        <v>110</v>
      </c>
      <c r="D2879" s="9" t="s">
        <v>350</v>
      </c>
      <c r="E2879" s="9" t="s">
        <v>17</v>
      </c>
      <c r="F2879" s="9" t="s">
        <v>17</v>
      </c>
      <c r="G2879" s="9" t="s">
        <v>24</v>
      </c>
      <c r="H2879" s="9" t="s">
        <v>22</v>
      </c>
      <c r="I2879" s="9" t="s">
        <v>20</v>
      </c>
      <c r="J2879" s="10"/>
      <c r="K2879" s="14">
        <v>3.0</v>
      </c>
      <c r="N2879" s="14" t="str">
        <f>IFERROR(__xludf.DUMMYFUNCTION("""COMPUTED_VALUE"""),"Rodolfo Cota|46210")</f>
        <v>Rodolfo Cota|46210</v>
      </c>
      <c r="O2879" s="14">
        <f>IFERROR(__xludf.DUMMYFUNCTION("""COMPUTED_VALUE"""),5.0)</f>
        <v>5</v>
      </c>
    </row>
    <row r="2880" ht="22.5" hidden="1" customHeight="1">
      <c r="A2880" s="8">
        <v>46021.34797520834</v>
      </c>
      <c r="B2880" s="14">
        <v>46021.0</v>
      </c>
      <c r="C2880" s="9" t="s">
        <v>110</v>
      </c>
      <c r="D2880" s="9" t="s">
        <v>361</v>
      </c>
      <c r="E2880" s="9" t="s">
        <v>17</v>
      </c>
      <c r="F2880" s="9" t="s">
        <v>17</v>
      </c>
      <c r="G2880" s="9" t="s">
        <v>24</v>
      </c>
      <c r="H2880" s="9" t="s">
        <v>22</v>
      </c>
      <c r="I2880" s="9" t="s">
        <v>20</v>
      </c>
      <c r="J2880" s="10"/>
      <c r="K2880" s="14" t="s">
        <v>398</v>
      </c>
      <c r="N2880" s="14" t="str">
        <f>IFERROR(__xludf.DUMMYFUNCTION("""COMPUTED_VALUE"""),"Isaías Violante|46210")</f>
        <v>Isaías Violante|46210</v>
      </c>
      <c r="O2880" s="14">
        <f>IFERROR(__xludf.DUMMYFUNCTION("""COMPUTED_VALUE"""),8.0)</f>
        <v>8</v>
      </c>
    </row>
    <row r="2881" ht="22.5" hidden="1" customHeight="1">
      <c r="A2881" s="8">
        <v>46021.348210358796</v>
      </c>
      <c r="B2881" s="14">
        <v>46021.0</v>
      </c>
      <c r="C2881" s="9" t="s">
        <v>110</v>
      </c>
      <c r="D2881" s="9" t="s">
        <v>367</v>
      </c>
      <c r="E2881" s="9" t="s">
        <v>17</v>
      </c>
      <c r="F2881" s="9" t="s">
        <v>17</v>
      </c>
      <c r="G2881" s="9" t="s">
        <v>24</v>
      </c>
      <c r="H2881" s="9" t="s">
        <v>22</v>
      </c>
      <c r="I2881" s="9" t="s">
        <v>20</v>
      </c>
      <c r="J2881" s="10"/>
      <c r="K2881" s="14">
        <v>3.0</v>
      </c>
      <c r="N2881" s="14" t="str">
        <f>IFERROR(__xludf.DUMMYFUNCTION("""COMPUTED_VALUE"""),"Raphael Veiga|46210")</f>
        <v>Raphael Veiga|46210</v>
      </c>
      <c r="O2881" s="14">
        <f>IFERROR(__xludf.DUMMYFUNCTION("""COMPUTED_VALUE"""),6.0)</f>
        <v>6</v>
      </c>
    </row>
    <row r="2882" ht="22.5" hidden="1" customHeight="1">
      <c r="A2882" s="8">
        <v>46021.348970023144</v>
      </c>
      <c r="B2882" s="14">
        <v>46021.0</v>
      </c>
      <c r="C2882" s="9" t="s">
        <v>110</v>
      </c>
      <c r="D2882" s="9" t="s">
        <v>223</v>
      </c>
      <c r="E2882" s="9" t="s">
        <v>17</v>
      </c>
      <c r="F2882" s="9" t="s">
        <v>17</v>
      </c>
      <c r="G2882" s="9" t="s">
        <v>24</v>
      </c>
      <c r="H2882" s="9" t="s">
        <v>22</v>
      </c>
      <c r="I2882" s="9" t="s">
        <v>20</v>
      </c>
      <c r="J2882" s="10"/>
      <c r="K2882" s="14">
        <v>2.0</v>
      </c>
      <c r="N2882" s="14" t="str">
        <f>IFERROR(__xludf.DUMMYFUNCTION("""COMPUTED_VALUE"""),"Patricio Salas|46210")</f>
        <v>Patricio Salas|46210</v>
      </c>
      <c r="O2882" s="14">
        <f>IFERROR(__xludf.DUMMYFUNCTION("""COMPUTED_VALUE"""),4.0)</f>
        <v>4</v>
      </c>
    </row>
    <row r="2883" ht="22.5" hidden="1" customHeight="1">
      <c r="A2883" s="8">
        <v>46021.3536400463</v>
      </c>
      <c r="B2883" s="14">
        <v>46021.0</v>
      </c>
      <c r="C2883" s="9" t="s">
        <v>110</v>
      </c>
      <c r="D2883" s="9" t="s">
        <v>395</v>
      </c>
      <c r="E2883" s="9" t="s">
        <v>17</v>
      </c>
      <c r="F2883" s="9" t="s">
        <v>17</v>
      </c>
      <c r="G2883" s="9" t="s">
        <v>24</v>
      </c>
      <c r="H2883" s="9" t="s">
        <v>17</v>
      </c>
      <c r="I2883" s="9" t="s">
        <v>399</v>
      </c>
      <c r="J2883" s="10"/>
      <c r="K2883" s="14">
        <v>2.0</v>
      </c>
      <c r="N2883" s="14" t="str">
        <f>IFERROR(__xludf.DUMMYFUNCTION("""COMPUTED_VALUE"""),"Franco Rossano|46210")</f>
        <v>Franco Rossano|46210</v>
      </c>
      <c r="O2883" s="14">
        <f>IFERROR(__xludf.DUMMYFUNCTION("""COMPUTED_VALUE"""),6.0)</f>
        <v>6</v>
      </c>
    </row>
    <row r="2884" ht="22.5" hidden="1" customHeight="1">
      <c r="A2884" s="8">
        <v>46021.35390609954</v>
      </c>
      <c r="B2884" s="14">
        <v>46021.0</v>
      </c>
      <c r="C2884" s="9" t="s">
        <v>110</v>
      </c>
      <c r="D2884" s="9" t="s">
        <v>397</v>
      </c>
      <c r="E2884" s="9" t="s">
        <v>17</v>
      </c>
      <c r="F2884" s="9" t="s">
        <v>35</v>
      </c>
      <c r="G2884" s="9" t="s">
        <v>24</v>
      </c>
      <c r="H2884" s="9" t="s">
        <v>22</v>
      </c>
      <c r="I2884" s="9" t="s">
        <v>20</v>
      </c>
      <c r="J2884" s="10"/>
      <c r="K2884" s="14">
        <v>1.0</v>
      </c>
      <c r="N2884" s="14" t="str">
        <f>IFERROR(__xludf.DUMMYFUNCTION("""COMPUTED_VALUE"""),"Franco Rossano|46210")</f>
        <v>Franco Rossano|46210</v>
      </c>
      <c r="O2884" s="14">
        <f>IFERROR(__xludf.DUMMYFUNCTION("""COMPUTED_VALUE"""),8.0)</f>
        <v>8</v>
      </c>
    </row>
    <row r="2885" ht="22.5" hidden="1" customHeight="1">
      <c r="A2885" s="8">
        <v>46021.354284409725</v>
      </c>
      <c r="B2885" s="14">
        <v>46021.0</v>
      </c>
      <c r="C2885" s="9" t="s">
        <v>110</v>
      </c>
      <c r="D2885" s="9" t="s">
        <v>168</v>
      </c>
      <c r="E2885" s="9" t="s">
        <v>17</v>
      </c>
      <c r="F2885" s="9" t="s">
        <v>17</v>
      </c>
      <c r="G2885" s="9" t="s">
        <v>19</v>
      </c>
      <c r="H2885" s="9" t="s">
        <v>17</v>
      </c>
      <c r="I2885" s="9" t="s">
        <v>20</v>
      </c>
      <c r="J2885" s="10"/>
      <c r="K2885" s="14">
        <v>3.0</v>
      </c>
      <c r="N2885" s="14" t="str">
        <f>IFERROR(__xludf.DUMMYFUNCTION("""COMPUTED_VALUE"""),"Miguel Vázquez|46210")</f>
        <v>Miguel Vázquez|46210</v>
      </c>
      <c r="O2885" s="14">
        <f>IFERROR(__xludf.DUMMYFUNCTION("""COMPUTED_VALUE"""),6.0)</f>
        <v>6</v>
      </c>
    </row>
    <row r="2886" ht="22.5" hidden="1" customHeight="1">
      <c r="A2886" s="8">
        <v>46021.35628760417</v>
      </c>
      <c r="B2886" s="14">
        <v>46021.0</v>
      </c>
      <c r="C2886" s="9" t="s">
        <v>110</v>
      </c>
      <c r="D2886" s="9" t="s">
        <v>335</v>
      </c>
      <c r="E2886" s="9" t="s">
        <v>17</v>
      </c>
      <c r="F2886" s="9" t="s">
        <v>17</v>
      </c>
      <c r="G2886" s="9" t="s">
        <v>24</v>
      </c>
      <c r="H2886" s="9" t="s">
        <v>22</v>
      </c>
      <c r="I2886" s="9" t="s">
        <v>20</v>
      </c>
      <c r="J2886" s="10"/>
      <c r="K2886" s="14" t="s">
        <v>398</v>
      </c>
      <c r="N2886" s="14" t="str">
        <f>IFERROR(__xludf.DUMMYFUNCTION("""COMPUTED_VALUE"""),"Ramón Juárez|46210")</f>
        <v>Ramón Juárez|46210</v>
      </c>
      <c r="O2886" s="14">
        <f>IFERROR(__xludf.DUMMYFUNCTION("""COMPUTED_VALUE"""),6.0)</f>
        <v>6</v>
      </c>
    </row>
    <row r="2887" ht="22.5" hidden="1" customHeight="1">
      <c r="A2887" s="8">
        <v>46021.356716215276</v>
      </c>
      <c r="B2887" s="14">
        <v>46021.0</v>
      </c>
      <c r="C2887" s="9" t="s">
        <v>110</v>
      </c>
      <c r="D2887" s="9" t="s">
        <v>280</v>
      </c>
      <c r="E2887" s="9" t="s">
        <v>17</v>
      </c>
      <c r="F2887" s="9" t="s">
        <v>17</v>
      </c>
      <c r="G2887" s="9" t="s">
        <v>24</v>
      </c>
      <c r="H2887" s="9" t="s">
        <v>17</v>
      </c>
      <c r="I2887" s="9" t="s">
        <v>20</v>
      </c>
      <c r="J2887" s="10"/>
      <c r="K2887" s="14">
        <v>4.0</v>
      </c>
      <c r="N2887" s="14" t="str">
        <f>IFERROR(__xludf.DUMMYFUNCTION("""COMPUTED_VALUE"""),"Patricio Salas|46211")</f>
        <v>Patricio Salas|46211</v>
      </c>
      <c r="O2887" s="14">
        <f>IFERROR(__xludf.DUMMYFUNCTION("""COMPUTED_VALUE"""),6.0)</f>
        <v>6</v>
      </c>
    </row>
    <row r="2888" ht="22.5" hidden="1" customHeight="1">
      <c r="A2888" s="8">
        <v>46021.35812430555</v>
      </c>
      <c r="B2888" s="14">
        <v>46021.0</v>
      </c>
      <c r="C2888" s="9" t="s">
        <v>110</v>
      </c>
      <c r="D2888" s="9" t="s">
        <v>357</v>
      </c>
      <c r="E2888" s="9" t="s">
        <v>17</v>
      </c>
      <c r="F2888" s="9" t="s">
        <v>17</v>
      </c>
      <c r="G2888" s="9" t="s">
        <v>24</v>
      </c>
      <c r="H2888" s="9" t="s">
        <v>22</v>
      </c>
      <c r="I2888" s="9" t="s">
        <v>20</v>
      </c>
      <c r="J2888" s="10"/>
      <c r="K2888" s="14">
        <v>2.0</v>
      </c>
      <c r="N2888" s="14" t="str">
        <f>IFERROR(__xludf.DUMMYFUNCTION("""COMPUTED_VALUE"""),"Cristian Borja|46211")</f>
        <v>Cristian Borja|46211</v>
      </c>
      <c r="O2888" s="14">
        <f>IFERROR(__xludf.DUMMYFUNCTION("""COMPUTED_VALUE"""),8.0)</f>
        <v>8</v>
      </c>
    </row>
    <row r="2889" ht="22.5" hidden="1" customHeight="1">
      <c r="A2889" s="8">
        <v>46021.35878462963</v>
      </c>
      <c r="B2889" s="14">
        <v>46021.0</v>
      </c>
      <c r="C2889" s="9" t="s">
        <v>110</v>
      </c>
      <c r="D2889" s="9" t="s">
        <v>105</v>
      </c>
      <c r="E2889" s="9" t="s">
        <v>17</v>
      </c>
      <c r="F2889" s="9" t="s">
        <v>17</v>
      </c>
      <c r="G2889" s="9" t="s">
        <v>24</v>
      </c>
      <c r="H2889" s="9" t="s">
        <v>22</v>
      </c>
      <c r="I2889" s="9" t="s">
        <v>20</v>
      </c>
      <c r="J2889" s="10"/>
      <c r="K2889" s="14">
        <v>2.0</v>
      </c>
      <c r="N2889" s="14" t="str">
        <f>IFERROR(__xludf.DUMMYFUNCTION("""COMPUTED_VALUE"""),"José Raúl Zúñiga|46211")</f>
        <v>José Raúl Zúñiga|46211</v>
      </c>
      <c r="O2889" s="14">
        <f>IFERROR(__xludf.DUMMYFUNCTION("""COMPUTED_VALUE"""),3.0)</f>
        <v>3</v>
      </c>
    </row>
    <row r="2890" ht="22.5" hidden="1" customHeight="1">
      <c r="A2890" s="8">
        <v>46021.35899084491</v>
      </c>
      <c r="B2890" s="14">
        <v>46021.0</v>
      </c>
      <c r="C2890" s="9" t="s">
        <v>110</v>
      </c>
      <c r="D2890" s="9" t="s">
        <v>396</v>
      </c>
      <c r="E2890" s="9" t="s">
        <v>17</v>
      </c>
      <c r="F2890" s="9" t="s">
        <v>17</v>
      </c>
      <c r="G2890" s="9" t="s">
        <v>24</v>
      </c>
      <c r="H2890" s="9" t="s">
        <v>17</v>
      </c>
      <c r="I2890" s="9" t="s">
        <v>20</v>
      </c>
      <c r="J2890" s="10"/>
      <c r="K2890" s="14">
        <v>3.0</v>
      </c>
      <c r="N2890" s="14" t="str">
        <f>IFERROR(__xludf.DUMMYFUNCTION("""COMPUTED_VALUE"""),"Erick Sánchez|46211")</f>
        <v>Erick Sánchez|46211</v>
      </c>
      <c r="O2890" s="14">
        <f>IFERROR(__xludf.DUMMYFUNCTION("""COMPUTED_VALUE"""),8.0)</f>
        <v>8</v>
      </c>
    </row>
    <row r="2891" ht="22.5" hidden="1" customHeight="1">
      <c r="A2891" s="8">
        <v>46021.359317002316</v>
      </c>
      <c r="B2891" s="14">
        <v>46021.0</v>
      </c>
      <c r="C2891" s="9" t="s">
        <v>110</v>
      </c>
      <c r="D2891" s="9" t="s">
        <v>247</v>
      </c>
      <c r="E2891" s="9" t="s">
        <v>17</v>
      </c>
      <c r="F2891" s="9" t="s">
        <v>39</v>
      </c>
      <c r="G2891" s="9" t="s">
        <v>24</v>
      </c>
      <c r="H2891" s="9" t="s">
        <v>17</v>
      </c>
      <c r="I2891" s="9" t="s">
        <v>20</v>
      </c>
      <c r="J2891" s="10"/>
      <c r="K2891" s="14">
        <v>3.0</v>
      </c>
      <c r="N2891" s="14" t="str">
        <f>IFERROR(__xludf.DUMMYFUNCTION("""COMPUTED_VALUE"""),"Emilio Lara|46211")</f>
        <v>Emilio Lara|46211</v>
      </c>
      <c r="O2891" s="14">
        <f>IFERROR(__xludf.DUMMYFUNCTION("""COMPUTED_VALUE"""),4.0)</f>
        <v>4</v>
      </c>
    </row>
    <row r="2892" ht="22.5" hidden="1" customHeight="1">
      <c r="A2892" s="8">
        <v>46021.36482112268</v>
      </c>
      <c r="B2892" s="14">
        <v>46021.0</v>
      </c>
      <c r="C2892" s="9" t="s">
        <v>110</v>
      </c>
      <c r="D2892" s="9" t="s">
        <v>178</v>
      </c>
      <c r="E2892" s="9" t="s">
        <v>17</v>
      </c>
      <c r="F2892" s="9" t="s">
        <v>17</v>
      </c>
      <c r="G2892" s="9" t="s">
        <v>24</v>
      </c>
      <c r="H2892" s="9" t="s">
        <v>25</v>
      </c>
      <c r="I2892" s="9" t="s">
        <v>207</v>
      </c>
      <c r="J2892" s="10"/>
      <c r="K2892" s="14">
        <v>2.0</v>
      </c>
      <c r="N2892" s="14" t="str">
        <f>IFERROR(__xludf.DUMMYFUNCTION("""COMPUTED_VALUE"""),"Luis Ángel Malagón|46211")</f>
        <v>Luis Ángel Malagón|46211</v>
      </c>
      <c r="O2892" s="14">
        <f>IFERROR(__xludf.DUMMYFUNCTION("""COMPUTED_VALUE"""),6.0)</f>
        <v>6</v>
      </c>
    </row>
    <row r="2893" ht="22.5" hidden="1" customHeight="1">
      <c r="A2893" s="8">
        <v>46022.33757142361</v>
      </c>
      <c r="B2893" s="14">
        <v>46022.0</v>
      </c>
      <c r="C2893" s="9" t="s">
        <v>15</v>
      </c>
      <c r="D2893" s="9" t="s">
        <v>178</v>
      </c>
      <c r="E2893" s="9" t="s">
        <v>17</v>
      </c>
      <c r="F2893" s="9" t="s">
        <v>39</v>
      </c>
      <c r="G2893" s="9" t="s">
        <v>40</v>
      </c>
      <c r="H2893" s="9" t="s">
        <v>25</v>
      </c>
      <c r="I2893" s="9" t="s">
        <v>207</v>
      </c>
      <c r="J2893" s="10"/>
      <c r="K2893" s="14" t="s">
        <v>398</v>
      </c>
      <c r="N2893" s="14" t="str">
        <f>IFERROR(__xludf.DUMMYFUNCTION("""COMPUTED_VALUE"""),"Miguel Vázquez|46211")</f>
        <v>Miguel Vázquez|46211</v>
      </c>
      <c r="O2893" s="14">
        <f>IFERROR(__xludf.DUMMYFUNCTION("""COMPUTED_VALUE"""),5.0)</f>
        <v>5</v>
      </c>
    </row>
    <row r="2894" ht="22.5" hidden="1" customHeight="1">
      <c r="A2894" s="8">
        <v>46022.33779173611</v>
      </c>
      <c r="B2894" s="14">
        <v>46022.0</v>
      </c>
      <c r="C2894" s="9" t="s">
        <v>15</v>
      </c>
      <c r="D2894" s="9" t="s">
        <v>249</v>
      </c>
      <c r="E2894" s="9" t="s">
        <v>17</v>
      </c>
      <c r="F2894" s="9" t="s">
        <v>17</v>
      </c>
      <c r="G2894" s="9" t="s">
        <v>24</v>
      </c>
      <c r="H2894" s="9" t="s">
        <v>22</v>
      </c>
      <c r="I2894" s="9" t="s">
        <v>20</v>
      </c>
      <c r="J2894" s="10"/>
      <c r="K2894" s="14" t="s">
        <v>398</v>
      </c>
      <c r="N2894" s="14" t="str">
        <f>IFERROR(__xludf.DUMMYFUNCTION("""COMPUTED_VALUE"""),"Rodolfo Cota|46211")</f>
        <v>Rodolfo Cota|46211</v>
      </c>
      <c r="O2894" s="14">
        <f>IFERROR(__xludf.DUMMYFUNCTION("""COMPUTED_VALUE"""),3.0)</f>
        <v>3</v>
      </c>
    </row>
    <row r="2895" ht="22.5" hidden="1" customHeight="1">
      <c r="A2895" s="8">
        <v>46022.338122800924</v>
      </c>
      <c r="B2895" s="14">
        <v>46022.0</v>
      </c>
      <c r="C2895" s="9" t="s">
        <v>15</v>
      </c>
      <c r="D2895" s="9" t="s">
        <v>258</v>
      </c>
      <c r="E2895" s="9" t="s">
        <v>17</v>
      </c>
      <c r="F2895" s="9" t="s">
        <v>17</v>
      </c>
      <c r="G2895" s="9" t="s">
        <v>24</v>
      </c>
      <c r="H2895" s="9" t="s">
        <v>17</v>
      </c>
      <c r="I2895" s="9" t="s">
        <v>20</v>
      </c>
      <c r="J2895" s="10"/>
      <c r="K2895" s="14" t="s">
        <v>398</v>
      </c>
      <c r="N2895" s="14" t="str">
        <f>IFERROR(__xludf.DUMMYFUNCTION("""COMPUTED_VALUE"""),"Alan Cervantes|46211")</f>
        <v>Alan Cervantes|46211</v>
      </c>
      <c r="O2895" s="14">
        <f>IFERROR(__xludf.DUMMYFUNCTION("""COMPUTED_VALUE"""),9.0)</f>
        <v>9</v>
      </c>
    </row>
    <row r="2896" ht="22.5" hidden="1" customHeight="1">
      <c r="A2896" s="8">
        <v>46022.33918476852</v>
      </c>
      <c r="B2896" s="14">
        <v>46022.0</v>
      </c>
      <c r="C2896" s="9" t="s">
        <v>15</v>
      </c>
      <c r="D2896" s="9" t="s">
        <v>177</v>
      </c>
      <c r="E2896" s="9" t="s">
        <v>17</v>
      </c>
      <c r="F2896" s="9" t="s">
        <v>17</v>
      </c>
      <c r="G2896" s="9" t="s">
        <v>24</v>
      </c>
      <c r="H2896" s="9" t="s">
        <v>22</v>
      </c>
      <c r="I2896" s="9" t="s">
        <v>20</v>
      </c>
      <c r="J2896" s="10"/>
      <c r="K2896" s="14" t="s">
        <v>398</v>
      </c>
      <c r="N2896" s="14" t="str">
        <f>IFERROR(__xludf.DUMMYFUNCTION("""COMPUTED_VALUE"""),"Ramón Juárez|46211")</f>
        <v>Ramón Juárez|46211</v>
      </c>
      <c r="O2896" s="14">
        <f>IFERROR(__xludf.DUMMYFUNCTION("""COMPUTED_VALUE"""),7.0)</f>
        <v>7</v>
      </c>
    </row>
    <row r="2897" ht="22.5" hidden="1" customHeight="1">
      <c r="A2897" s="8">
        <v>46022.341981122685</v>
      </c>
      <c r="B2897" s="14">
        <v>46022.0</v>
      </c>
      <c r="C2897" s="9" t="s">
        <v>15</v>
      </c>
      <c r="D2897" s="9" t="s">
        <v>357</v>
      </c>
      <c r="E2897" s="9" t="s">
        <v>17</v>
      </c>
      <c r="F2897" s="9" t="s">
        <v>17</v>
      </c>
      <c r="G2897" s="9" t="s">
        <v>24</v>
      </c>
      <c r="H2897" s="9" t="s">
        <v>22</v>
      </c>
      <c r="I2897" s="9" t="s">
        <v>20</v>
      </c>
      <c r="J2897" s="10"/>
      <c r="K2897" s="14" t="s">
        <v>398</v>
      </c>
      <c r="N2897" s="14" t="str">
        <f>IFERROR(__xludf.DUMMYFUNCTION("""COMPUTED_VALUE"""),"Alexis Gutiérrez|46211")</f>
        <v>Alexis Gutiérrez|46211</v>
      </c>
      <c r="O2897" s="14">
        <f>IFERROR(__xludf.DUMMYFUNCTION("""COMPUTED_VALUE"""),8.0)</f>
        <v>8</v>
      </c>
    </row>
    <row r="2898" ht="22.5" hidden="1" customHeight="1">
      <c r="A2898" s="8">
        <v>46022.34224658565</v>
      </c>
      <c r="B2898" s="14">
        <v>46022.0</v>
      </c>
      <c r="C2898" s="9" t="s">
        <v>15</v>
      </c>
      <c r="D2898" s="9" t="s">
        <v>395</v>
      </c>
      <c r="E2898" s="9" t="s">
        <v>17</v>
      </c>
      <c r="F2898" s="9" t="s">
        <v>17</v>
      </c>
      <c r="G2898" s="9" t="s">
        <v>24</v>
      </c>
      <c r="H2898" s="9" t="s">
        <v>17</v>
      </c>
      <c r="I2898" s="9" t="s">
        <v>20</v>
      </c>
      <c r="J2898" s="10"/>
      <c r="K2898" s="14" t="s">
        <v>398</v>
      </c>
      <c r="N2898" s="14" t="str">
        <f>IFERROR(__xludf.DUMMYFUNCTION("""COMPUTED_VALUE"""),"Isaías Violante|46211")</f>
        <v>Isaías Violante|46211</v>
      </c>
      <c r="O2898" s="14">
        <f>IFERROR(__xludf.DUMMYFUNCTION("""COMPUTED_VALUE"""),9.0)</f>
        <v>9</v>
      </c>
    </row>
    <row r="2899" ht="22.5" hidden="1" customHeight="1">
      <c r="A2899" s="8">
        <v>46022.34243305556</v>
      </c>
      <c r="B2899" s="14">
        <v>46022.0</v>
      </c>
      <c r="C2899" s="9" t="s">
        <v>15</v>
      </c>
      <c r="D2899" s="9" t="s">
        <v>393</v>
      </c>
      <c r="E2899" s="9" t="s">
        <v>17</v>
      </c>
      <c r="F2899" s="9" t="s">
        <v>17</v>
      </c>
      <c r="G2899" s="9" t="s">
        <v>24</v>
      </c>
      <c r="H2899" s="9" t="s">
        <v>22</v>
      </c>
      <c r="I2899" s="9" t="s">
        <v>20</v>
      </c>
      <c r="J2899" s="10"/>
      <c r="K2899" s="14" t="s">
        <v>398</v>
      </c>
      <c r="N2899" s="14" t="str">
        <f>IFERROR(__xludf.DUMMYFUNCTION("""COMPUTED_VALUE"""),"Kevin Álvarez|46211")</f>
        <v>Kevin Álvarez|46211</v>
      </c>
      <c r="O2899" s="14">
        <f>IFERROR(__xludf.DUMMYFUNCTION("""COMPUTED_VALUE"""),7.0)</f>
        <v>7</v>
      </c>
    </row>
    <row r="2900" ht="22.5" hidden="1" customHeight="1">
      <c r="A2900" s="8">
        <v>46022.34290123843</v>
      </c>
      <c r="B2900" s="14">
        <v>46022.0</v>
      </c>
      <c r="C2900" s="9" t="s">
        <v>15</v>
      </c>
      <c r="D2900" s="9" t="s">
        <v>361</v>
      </c>
      <c r="E2900" s="9" t="s">
        <v>17</v>
      </c>
      <c r="F2900" s="9" t="s">
        <v>17</v>
      </c>
      <c r="G2900" s="9" t="s">
        <v>24</v>
      </c>
      <c r="H2900" s="9" t="s">
        <v>22</v>
      </c>
      <c r="I2900" s="9" t="s">
        <v>20</v>
      </c>
      <c r="J2900" s="10"/>
      <c r="K2900" s="14" t="s">
        <v>398</v>
      </c>
      <c r="N2900" s="14" t="str">
        <f>IFERROR(__xludf.DUMMYFUNCTION("""COMPUTED_VALUE"""),"Henry Martín|46211")</f>
        <v>Henry Martín|46211</v>
      </c>
      <c r="O2900" s="14">
        <f>IFERROR(__xludf.DUMMYFUNCTION("""COMPUTED_VALUE"""),7.0)</f>
        <v>7</v>
      </c>
    </row>
    <row r="2901" ht="22.5" hidden="1" customHeight="1">
      <c r="A2901" s="8">
        <v>46022.426330393515</v>
      </c>
      <c r="B2901" s="14">
        <v>46022.0</v>
      </c>
      <c r="C2901" s="9" t="s">
        <v>15</v>
      </c>
      <c r="D2901" s="9" t="s">
        <v>258</v>
      </c>
      <c r="E2901" s="9" t="s">
        <v>17</v>
      </c>
      <c r="F2901" s="9" t="s">
        <v>17</v>
      </c>
      <c r="G2901" s="9" t="s">
        <v>24</v>
      </c>
      <c r="H2901" s="9" t="s">
        <v>17</v>
      </c>
      <c r="I2901" s="9" t="s">
        <v>20</v>
      </c>
      <c r="J2901" s="10"/>
      <c r="K2901" s="14" t="s">
        <v>398</v>
      </c>
      <c r="N2901" s="14" t="str">
        <f>IFERROR(__xludf.DUMMYFUNCTION("""COMPUTED_VALUE"""),"Fernando Tapia|46211")</f>
        <v>Fernando Tapia|46211</v>
      </c>
      <c r="O2901" s="14">
        <f>IFERROR(__xludf.DUMMYFUNCTION("""COMPUTED_VALUE"""),6.0)</f>
        <v>6</v>
      </c>
    </row>
    <row r="2902" ht="22.5" hidden="1" customHeight="1">
      <c r="A2902" s="8">
        <v>46022.42718105324</v>
      </c>
      <c r="B2902" s="14">
        <v>46022.0</v>
      </c>
      <c r="C2902" s="9" t="s">
        <v>15</v>
      </c>
      <c r="D2902" s="9" t="s">
        <v>396</v>
      </c>
      <c r="E2902" s="9" t="s">
        <v>17</v>
      </c>
      <c r="F2902" s="9" t="s">
        <v>17</v>
      </c>
      <c r="G2902" s="9" t="s">
        <v>24</v>
      </c>
      <c r="H2902" s="9" t="s">
        <v>22</v>
      </c>
      <c r="I2902" s="9" t="s">
        <v>20</v>
      </c>
      <c r="J2902" s="10"/>
      <c r="K2902" s="14" t="s">
        <v>398</v>
      </c>
      <c r="N2902" s="14" t="str">
        <f>IFERROR(__xludf.DUMMYFUNCTION("""COMPUTED_VALUE"""),"Víctor Dávila|46211")</f>
        <v>Víctor Dávila|46211</v>
      </c>
      <c r="O2902" s="14">
        <f>IFERROR(__xludf.DUMMYFUNCTION("""COMPUTED_VALUE"""),2.0)</f>
        <v>2</v>
      </c>
    </row>
    <row r="2903" ht="22.5" hidden="1" customHeight="1">
      <c r="A2903" s="8">
        <v>46022.42743454861</v>
      </c>
      <c r="B2903" s="14">
        <v>46022.0</v>
      </c>
      <c r="C2903" s="9" t="s">
        <v>15</v>
      </c>
      <c r="D2903" s="9" t="s">
        <v>171</v>
      </c>
      <c r="E2903" s="9" t="s">
        <v>17</v>
      </c>
      <c r="F2903" s="9" t="s">
        <v>17</v>
      </c>
      <c r="G2903" s="9" t="s">
        <v>24</v>
      </c>
      <c r="H2903" s="9" t="s">
        <v>22</v>
      </c>
      <c r="I2903" s="9" t="s">
        <v>20</v>
      </c>
      <c r="J2903" s="10"/>
      <c r="K2903" s="14" t="s">
        <v>398</v>
      </c>
      <c r="N2903" s="14" t="str">
        <f>IFERROR(__xludf.DUMMYFUNCTION("""COMPUTED_VALUE"""),"Thiago Espinosa|46211")</f>
        <v>Thiago Espinosa|46211</v>
      </c>
      <c r="O2903" s="14">
        <f>IFERROR(__xludf.DUMMYFUNCTION("""COMPUTED_VALUE"""),3.0)</f>
        <v>3</v>
      </c>
    </row>
    <row r="2904" ht="22.5" hidden="1" customHeight="1">
      <c r="A2904" s="8">
        <v>46022.42781087963</v>
      </c>
      <c r="B2904" s="14">
        <v>46022.0</v>
      </c>
      <c r="C2904" s="9" t="s">
        <v>15</v>
      </c>
      <c r="D2904" s="9" t="s">
        <v>175</v>
      </c>
      <c r="E2904" s="9" t="s">
        <v>17</v>
      </c>
      <c r="F2904" s="9" t="s">
        <v>17</v>
      </c>
      <c r="G2904" s="9" t="s">
        <v>24</v>
      </c>
      <c r="H2904" s="9" t="s">
        <v>22</v>
      </c>
      <c r="I2904" s="9" t="s">
        <v>20</v>
      </c>
      <c r="J2904" s="10"/>
      <c r="K2904" s="14" t="s">
        <v>398</v>
      </c>
      <c r="N2904" s="14" t="str">
        <f>IFERROR(__xludf.DUMMYFUNCTION("""COMPUTED_VALUE"""),"Fernando Tapia|46211")</f>
        <v>Fernando Tapia|46211</v>
      </c>
      <c r="O2904" s="14">
        <f>IFERROR(__xludf.DUMMYFUNCTION("""COMPUTED_VALUE"""),4.0)</f>
        <v>4</v>
      </c>
    </row>
    <row r="2905" ht="22.5" hidden="1" customHeight="1">
      <c r="A2905" s="8">
        <v>46022.42805947916</v>
      </c>
      <c r="B2905" s="14">
        <v>46022.0</v>
      </c>
      <c r="C2905" s="9" t="s">
        <v>15</v>
      </c>
      <c r="D2905" s="9" t="s">
        <v>105</v>
      </c>
      <c r="E2905" s="9" t="s">
        <v>17</v>
      </c>
      <c r="F2905" s="9" t="s">
        <v>17</v>
      </c>
      <c r="G2905" s="9" t="s">
        <v>24</v>
      </c>
      <c r="H2905" s="9" t="s">
        <v>22</v>
      </c>
      <c r="I2905" s="9" t="s">
        <v>20</v>
      </c>
      <c r="J2905" s="10"/>
      <c r="K2905" s="14" t="s">
        <v>398</v>
      </c>
      <c r="N2905" s="14" t="str">
        <f>IFERROR(__xludf.DUMMYFUNCTION("""COMPUTED_VALUE"""),"Raphael Veiga|46211")</f>
        <v>Raphael Veiga|46211</v>
      </c>
      <c r="O2905" s="14">
        <f>IFERROR(__xludf.DUMMYFUNCTION("""COMPUTED_VALUE"""),6.0)</f>
        <v>6</v>
      </c>
    </row>
    <row r="2906" ht="22.5" hidden="1" customHeight="1">
      <c r="A2906" s="8">
        <v>46022.42831645833</v>
      </c>
      <c r="B2906" s="14">
        <v>46022.0</v>
      </c>
      <c r="C2906" s="9" t="s">
        <v>15</v>
      </c>
      <c r="D2906" s="9" t="s">
        <v>168</v>
      </c>
      <c r="E2906" s="9" t="s">
        <v>17</v>
      </c>
      <c r="F2906" s="9" t="s">
        <v>17</v>
      </c>
      <c r="G2906" s="9" t="s">
        <v>24</v>
      </c>
      <c r="H2906" s="9" t="s">
        <v>22</v>
      </c>
      <c r="I2906" s="9" t="s">
        <v>20</v>
      </c>
      <c r="J2906" s="10"/>
      <c r="K2906" s="14" t="s">
        <v>398</v>
      </c>
      <c r="N2906" s="14" t="str">
        <f>IFERROR(__xludf.DUMMYFUNCTION("""COMPUTED_VALUE"""),"Dagoberto Espinoza|46211")</f>
        <v>Dagoberto Espinoza|46211</v>
      </c>
      <c r="O2906" s="14">
        <f>IFERROR(__xludf.DUMMYFUNCTION("""COMPUTED_VALUE"""),6.0)</f>
        <v>6</v>
      </c>
    </row>
    <row r="2907" ht="22.5" hidden="1" customHeight="1">
      <c r="A2907" s="8">
        <v>46022.42851049769</v>
      </c>
      <c r="B2907" s="14">
        <v>46022.0</v>
      </c>
      <c r="C2907" s="9" t="s">
        <v>15</v>
      </c>
      <c r="D2907" s="9" t="s">
        <v>259</v>
      </c>
      <c r="E2907" s="9" t="s">
        <v>17</v>
      </c>
      <c r="F2907" s="9" t="s">
        <v>17</v>
      </c>
      <c r="G2907" s="9" t="s">
        <v>24</v>
      </c>
      <c r="H2907" s="9" t="s">
        <v>22</v>
      </c>
      <c r="I2907" s="9" t="s">
        <v>20</v>
      </c>
      <c r="J2907" s="10"/>
      <c r="K2907" s="14" t="s">
        <v>398</v>
      </c>
      <c r="N2907" s="14" t="str">
        <f>IFERROR(__xludf.DUMMYFUNCTION("""COMPUTED_VALUE"""),"Alexis Gutiérrez|46212")</f>
        <v>Alexis Gutiérrez|46212</v>
      </c>
      <c r="O2907" s="14">
        <f>IFERROR(__xludf.DUMMYFUNCTION("""COMPUTED_VALUE"""),4.0)</f>
        <v>4</v>
      </c>
    </row>
    <row r="2908" ht="22.5" hidden="1" customHeight="1">
      <c r="A2908" s="8">
        <v>46022.42874456018</v>
      </c>
      <c r="B2908" s="14">
        <v>46022.0</v>
      </c>
      <c r="C2908" s="9" t="s">
        <v>15</v>
      </c>
      <c r="D2908" s="9" t="s">
        <v>178</v>
      </c>
      <c r="E2908" s="9" t="s">
        <v>17</v>
      </c>
      <c r="F2908" s="9" t="s">
        <v>17</v>
      </c>
      <c r="G2908" s="9" t="s">
        <v>24</v>
      </c>
      <c r="H2908" s="9" t="s">
        <v>22</v>
      </c>
      <c r="I2908" s="9" t="s">
        <v>20</v>
      </c>
      <c r="J2908" s="10"/>
      <c r="K2908" s="14" t="s">
        <v>398</v>
      </c>
      <c r="N2908" s="14" t="str">
        <f>IFERROR(__xludf.DUMMYFUNCTION("""COMPUTED_VALUE"""),"Isaías Violante|46212")</f>
        <v>Isaías Violante|46212</v>
      </c>
      <c r="O2908" s="14">
        <f>IFERROR(__xludf.DUMMYFUNCTION("""COMPUTED_VALUE"""),7.0)</f>
        <v>7</v>
      </c>
    </row>
    <row r="2909" ht="22.5" hidden="1" customHeight="1">
      <c r="A2909" s="8">
        <v>46022.4291562963</v>
      </c>
      <c r="B2909" s="14">
        <v>46022.0</v>
      </c>
      <c r="C2909" s="9" t="s">
        <v>15</v>
      </c>
      <c r="D2909" s="9" t="s">
        <v>280</v>
      </c>
      <c r="E2909" s="9" t="s">
        <v>17</v>
      </c>
      <c r="F2909" s="9" t="s">
        <v>17</v>
      </c>
      <c r="G2909" s="9" t="s">
        <v>24</v>
      </c>
      <c r="H2909" s="9" t="s">
        <v>22</v>
      </c>
      <c r="I2909" s="9" t="s">
        <v>20</v>
      </c>
      <c r="J2909" s="10"/>
      <c r="K2909" s="14" t="s">
        <v>398</v>
      </c>
      <c r="N2909" s="14" t="str">
        <f>IFERROR(__xludf.DUMMYFUNCTION("""COMPUTED_VALUE"""),"Miguel Vázquez|46212")</f>
        <v>Miguel Vázquez|46212</v>
      </c>
      <c r="O2909" s="14">
        <f>IFERROR(__xludf.DUMMYFUNCTION("""COMPUTED_VALUE"""),3.0)</f>
        <v>3</v>
      </c>
    </row>
    <row r="2910" ht="22.5" hidden="1" customHeight="1">
      <c r="A2910" s="8">
        <v>46022.429852291665</v>
      </c>
      <c r="B2910" s="14">
        <v>46022.0</v>
      </c>
      <c r="C2910" s="9" t="s">
        <v>15</v>
      </c>
      <c r="D2910" s="9" t="s">
        <v>335</v>
      </c>
      <c r="E2910" s="9" t="s">
        <v>17</v>
      </c>
      <c r="F2910" s="9" t="s">
        <v>17</v>
      </c>
      <c r="G2910" s="9" t="s">
        <v>24</v>
      </c>
      <c r="H2910" s="9" t="s">
        <v>22</v>
      </c>
      <c r="I2910" s="9" t="s">
        <v>20</v>
      </c>
      <c r="J2910" s="10"/>
      <c r="K2910" s="14" t="s">
        <v>398</v>
      </c>
      <c r="N2910" s="14" t="str">
        <f>IFERROR(__xludf.DUMMYFUNCTION("""COMPUTED_VALUE"""),"Patricio Salas|46212")</f>
        <v>Patricio Salas|46212</v>
      </c>
      <c r="O2910" s="14">
        <f>IFERROR(__xludf.DUMMYFUNCTION("""COMPUTED_VALUE"""),6.0)</f>
        <v>6</v>
      </c>
    </row>
    <row r="2911" ht="22.5" hidden="1" customHeight="1">
      <c r="A2911" s="8">
        <v>46022.430464212965</v>
      </c>
      <c r="B2911" s="14">
        <v>46022.0</v>
      </c>
      <c r="C2911" s="9" t="s">
        <v>15</v>
      </c>
      <c r="D2911" s="9" t="s">
        <v>335</v>
      </c>
      <c r="E2911" s="9" t="s">
        <v>17</v>
      </c>
      <c r="F2911" s="9" t="s">
        <v>17</v>
      </c>
      <c r="G2911" s="9" t="s">
        <v>24</v>
      </c>
      <c r="H2911" s="9" t="s">
        <v>22</v>
      </c>
      <c r="I2911" s="9" t="s">
        <v>20</v>
      </c>
      <c r="J2911" s="10"/>
      <c r="K2911" s="14" t="s">
        <v>398</v>
      </c>
      <c r="N2911" s="14" t="str">
        <f>IFERROR(__xludf.DUMMYFUNCTION("""COMPUTED_VALUE"""),"Alan Cervantes|46212")</f>
        <v>Alan Cervantes|46212</v>
      </c>
      <c r="O2911" s="14">
        <f>IFERROR(__xludf.DUMMYFUNCTION("""COMPUTED_VALUE"""),8.0)</f>
        <v>8</v>
      </c>
    </row>
    <row r="2912" ht="22.5" hidden="1" customHeight="1">
      <c r="A2912" s="8">
        <v>46022.430730416665</v>
      </c>
      <c r="B2912" s="14">
        <v>46022.0</v>
      </c>
      <c r="C2912" s="9" t="s">
        <v>15</v>
      </c>
      <c r="D2912" s="9" t="s">
        <v>394</v>
      </c>
      <c r="E2912" s="9" t="s">
        <v>17</v>
      </c>
      <c r="F2912" s="9" t="s">
        <v>17</v>
      </c>
      <c r="G2912" s="9" t="s">
        <v>24</v>
      </c>
      <c r="H2912" s="9" t="s">
        <v>22</v>
      </c>
      <c r="I2912" s="9" t="s">
        <v>20</v>
      </c>
      <c r="J2912" s="10"/>
      <c r="K2912" s="14" t="s">
        <v>398</v>
      </c>
      <c r="N2912" s="14" t="str">
        <f>IFERROR(__xludf.DUMMYFUNCTION("""COMPUTED_VALUE"""),"Raphael Veiga|46212")</f>
        <v>Raphael Veiga|46212</v>
      </c>
      <c r="O2912" s="14">
        <f>IFERROR(__xludf.DUMMYFUNCTION("""COMPUTED_VALUE"""),4.0)</f>
        <v>4</v>
      </c>
    </row>
    <row r="2913" ht="22.5" hidden="1" customHeight="1">
      <c r="A2913" s="8">
        <v>46022.43104922454</v>
      </c>
      <c r="B2913" s="14">
        <v>46022.0</v>
      </c>
      <c r="C2913" s="9" t="s">
        <v>15</v>
      </c>
      <c r="D2913" s="9" t="s">
        <v>210</v>
      </c>
      <c r="E2913" s="9" t="s">
        <v>17</v>
      </c>
      <c r="F2913" s="9" t="s">
        <v>17</v>
      </c>
      <c r="G2913" s="9" t="s">
        <v>24</v>
      </c>
      <c r="H2913" s="9" t="s">
        <v>22</v>
      </c>
      <c r="I2913" s="9" t="s">
        <v>20</v>
      </c>
      <c r="J2913" s="10"/>
      <c r="K2913" s="14" t="s">
        <v>398</v>
      </c>
      <c r="N2913" s="14" t="str">
        <f>IFERROR(__xludf.DUMMYFUNCTION("""COMPUTED_VALUE"""),"Emilio Lara|46212")</f>
        <v>Emilio Lara|46212</v>
      </c>
      <c r="O2913" s="14">
        <f>IFERROR(__xludf.DUMMYFUNCTION("""COMPUTED_VALUE"""),3.0)</f>
        <v>3</v>
      </c>
    </row>
    <row r="2914" ht="22.5" hidden="1" customHeight="1">
      <c r="A2914" s="8">
        <v>46022.43142994213</v>
      </c>
      <c r="B2914" s="14">
        <v>46022.0</v>
      </c>
      <c r="C2914" s="9" t="s">
        <v>15</v>
      </c>
      <c r="D2914" s="9" t="s">
        <v>257</v>
      </c>
      <c r="E2914" s="9" t="s">
        <v>17</v>
      </c>
      <c r="F2914" s="9" t="s">
        <v>17</v>
      </c>
      <c r="G2914" s="9" t="s">
        <v>24</v>
      </c>
      <c r="H2914" s="9" t="s">
        <v>22</v>
      </c>
      <c r="I2914" s="9" t="s">
        <v>20</v>
      </c>
      <c r="J2914" s="10"/>
      <c r="K2914" s="14" t="s">
        <v>398</v>
      </c>
      <c r="N2914" s="14" t="str">
        <f>IFERROR(__xludf.DUMMYFUNCTION("""COMPUTED_VALUE"""),"Dagoberto Espinoza|46212")</f>
        <v>Dagoberto Espinoza|46212</v>
      </c>
      <c r="O2914" s="14">
        <f>IFERROR(__xludf.DUMMYFUNCTION("""COMPUTED_VALUE"""),5.0)</f>
        <v>5</v>
      </c>
    </row>
    <row r="2915" ht="22.5" hidden="1" customHeight="1">
      <c r="A2915" s="8">
        <v>46022.43170931713</v>
      </c>
      <c r="B2915" s="14">
        <v>46022.0</v>
      </c>
      <c r="C2915" s="9" t="s">
        <v>15</v>
      </c>
      <c r="D2915" s="9" t="s">
        <v>223</v>
      </c>
      <c r="E2915" s="9" t="s">
        <v>17</v>
      </c>
      <c r="F2915" s="9" t="s">
        <v>17</v>
      </c>
      <c r="G2915" s="9" t="s">
        <v>24</v>
      </c>
      <c r="H2915" s="9" t="s">
        <v>22</v>
      </c>
      <c r="I2915" s="9" t="s">
        <v>20</v>
      </c>
      <c r="J2915" s="10"/>
      <c r="K2915" s="14" t="s">
        <v>398</v>
      </c>
      <c r="N2915" s="14" t="str">
        <f>IFERROR(__xludf.DUMMYFUNCTION("""COMPUTED_VALUE"""),"Fernando Tapia|46212")</f>
        <v>Fernando Tapia|46212</v>
      </c>
      <c r="O2915" s="14">
        <f>IFERROR(__xludf.DUMMYFUNCTION("""COMPUTED_VALUE"""),5.0)</f>
        <v>5</v>
      </c>
    </row>
    <row r="2916" ht="22.5" hidden="1" customHeight="1">
      <c r="A2916" s="8">
        <v>46022.43214469907</v>
      </c>
      <c r="B2916" s="14">
        <v>46022.0</v>
      </c>
      <c r="C2916" s="9" t="s">
        <v>15</v>
      </c>
      <c r="D2916" s="9" t="s">
        <v>247</v>
      </c>
      <c r="E2916" s="9" t="s">
        <v>17</v>
      </c>
      <c r="F2916" s="9" t="s">
        <v>17</v>
      </c>
      <c r="G2916" s="9" t="s">
        <v>24</v>
      </c>
      <c r="H2916" s="9" t="s">
        <v>22</v>
      </c>
      <c r="I2916" s="9" t="s">
        <v>20</v>
      </c>
      <c r="J2916" s="10"/>
      <c r="K2916" s="14" t="s">
        <v>398</v>
      </c>
      <c r="N2916" s="14" t="str">
        <f>IFERROR(__xludf.DUMMYFUNCTION("""COMPUTED_VALUE"""),"Luis Ángel Malagón|46212")</f>
        <v>Luis Ángel Malagón|46212</v>
      </c>
      <c r="O2916" s="14">
        <f>IFERROR(__xludf.DUMMYFUNCTION("""COMPUTED_VALUE"""),6.0)</f>
        <v>6</v>
      </c>
    </row>
    <row r="2917" ht="22.5" hidden="1" customHeight="1">
      <c r="A2917" s="8">
        <v>46022.432346863425</v>
      </c>
      <c r="B2917" s="14">
        <v>46022.0</v>
      </c>
      <c r="C2917" s="9" t="s">
        <v>15</v>
      </c>
      <c r="D2917" s="9" t="s">
        <v>249</v>
      </c>
      <c r="E2917" s="9" t="s">
        <v>17</v>
      </c>
      <c r="F2917" s="9" t="s">
        <v>17</v>
      </c>
      <c r="G2917" s="9" t="s">
        <v>24</v>
      </c>
      <c r="H2917" s="9" t="s">
        <v>22</v>
      </c>
      <c r="I2917" s="9" t="s">
        <v>20</v>
      </c>
      <c r="J2917" s="10"/>
      <c r="K2917" s="14" t="s">
        <v>398</v>
      </c>
      <c r="N2917" s="14" t="str">
        <f>IFERROR(__xludf.DUMMYFUNCTION("""COMPUTED_VALUE"""),"Erick Sánchez|46212")</f>
        <v>Erick Sánchez|46212</v>
      </c>
      <c r="O2917" s="14">
        <f>IFERROR(__xludf.DUMMYFUNCTION("""COMPUTED_VALUE"""),4.0)</f>
        <v>4</v>
      </c>
    </row>
    <row r="2918" ht="22.5" hidden="1" customHeight="1">
      <c r="A2918" s="8">
        <v>46022.43263954861</v>
      </c>
      <c r="B2918" s="14">
        <v>46022.0</v>
      </c>
      <c r="C2918" s="9" t="s">
        <v>15</v>
      </c>
      <c r="D2918" s="9" t="s">
        <v>367</v>
      </c>
      <c r="E2918" s="9" t="s">
        <v>17</v>
      </c>
      <c r="F2918" s="9" t="s">
        <v>17</v>
      </c>
      <c r="G2918" s="9" t="s">
        <v>24</v>
      </c>
      <c r="H2918" s="9" t="s">
        <v>22</v>
      </c>
      <c r="I2918" s="9" t="s">
        <v>20</v>
      </c>
      <c r="J2918" s="10"/>
      <c r="K2918" s="14" t="s">
        <v>398</v>
      </c>
      <c r="N2918" s="14" t="str">
        <f>IFERROR(__xludf.DUMMYFUNCTION("""COMPUTED_VALUE"""),"José Raúl Zúñiga|46212")</f>
        <v>José Raúl Zúñiga|46212</v>
      </c>
      <c r="O2918" s="14">
        <f>IFERROR(__xludf.DUMMYFUNCTION("""COMPUTED_VALUE"""),4.0)</f>
        <v>4</v>
      </c>
    </row>
    <row r="2919" ht="22.5" hidden="1" customHeight="1">
      <c r="A2919" s="8">
        <v>46022.432845648145</v>
      </c>
      <c r="B2919" s="14">
        <v>46022.0</v>
      </c>
      <c r="C2919" s="9" t="s">
        <v>15</v>
      </c>
      <c r="D2919" s="9" t="s">
        <v>170</v>
      </c>
      <c r="E2919" s="9" t="s">
        <v>17</v>
      </c>
      <c r="F2919" s="9" t="s">
        <v>17</v>
      </c>
      <c r="G2919" s="9" t="s">
        <v>24</v>
      </c>
      <c r="H2919" s="9" t="s">
        <v>22</v>
      </c>
      <c r="I2919" s="9" t="s">
        <v>20</v>
      </c>
      <c r="J2919" s="10"/>
      <c r="K2919" s="14" t="s">
        <v>398</v>
      </c>
      <c r="N2919" s="14" t="str">
        <f>IFERROR(__xludf.DUMMYFUNCTION("""COMPUTED_VALUE"""),"Ramón Juárez|46212")</f>
        <v>Ramón Juárez|46212</v>
      </c>
      <c r="O2919" s="14">
        <f>IFERROR(__xludf.DUMMYFUNCTION("""COMPUTED_VALUE"""),6.0)</f>
        <v>6</v>
      </c>
    </row>
    <row r="2920" ht="22.5" hidden="1" customHeight="1">
      <c r="A2920" s="8">
        <v>46022.43308320602</v>
      </c>
      <c r="B2920" s="14">
        <v>46022.0</v>
      </c>
      <c r="C2920" s="9" t="s">
        <v>15</v>
      </c>
      <c r="D2920" s="9" t="s">
        <v>350</v>
      </c>
      <c r="E2920" s="9" t="s">
        <v>17</v>
      </c>
      <c r="F2920" s="9" t="s">
        <v>17</v>
      </c>
      <c r="G2920" s="9" t="s">
        <v>24</v>
      </c>
      <c r="H2920" s="9" t="s">
        <v>22</v>
      </c>
      <c r="I2920" s="9" t="s">
        <v>20</v>
      </c>
      <c r="J2920" s="10"/>
      <c r="K2920" s="14" t="s">
        <v>398</v>
      </c>
      <c r="N2920" s="14" t="str">
        <f>IFERROR(__xludf.DUMMYFUNCTION("""COMPUTED_VALUE"""),"Cristian Borja|46212")</f>
        <v>Cristian Borja|46212</v>
      </c>
      <c r="O2920" s="14">
        <f>IFERROR(__xludf.DUMMYFUNCTION("""COMPUTED_VALUE"""),4.0)</f>
        <v>4</v>
      </c>
    </row>
    <row r="2921" ht="22.5" hidden="1" customHeight="1">
      <c r="A2921" s="8">
        <v>46022.43336953704</v>
      </c>
      <c r="B2921" s="14">
        <v>46022.0</v>
      </c>
      <c r="C2921" s="9" t="s">
        <v>15</v>
      </c>
      <c r="D2921" s="9" t="s">
        <v>357</v>
      </c>
      <c r="E2921" s="9" t="s">
        <v>17</v>
      </c>
      <c r="F2921" s="9" t="s">
        <v>17</v>
      </c>
      <c r="G2921" s="9" t="s">
        <v>24</v>
      </c>
      <c r="H2921" s="9" t="s">
        <v>22</v>
      </c>
      <c r="I2921" s="9" t="s">
        <v>20</v>
      </c>
      <c r="J2921" s="10"/>
      <c r="K2921" s="14" t="s">
        <v>398</v>
      </c>
      <c r="N2921" s="14" t="str">
        <f>IFERROR(__xludf.DUMMYFUNCTION("""COMPUTED_VALUE"""),"Rodolfo Cota|46212")</f>
        <v>Rodolfo Cota|46212</v>
      </c>
      <c r="O2921" s="14">
        <f>IFERROR(__xludf.DUMMYFUNCTION("""COMPUTED_VALUE"""),2.0)</f>
        <v>2</v>
      </c>
    </row>
    <row r="2922" ht="22.5" hidden="1" customHeight="1">
      <c r="A2922" s="8">
        <v>46022.433709247685</v>
      </c>
      <c r="B2922" s="14">
        <v>46022.0</v>
      </c>
      <c r="C2922" s="9" t="s">
        <v>15</v>
      </c>
      <c r="D2922" s="9" t="s">
        <v>397</v>
      </c>
      <c r="E2922" s="9" t="s">
        <v>17</v>
      </c>
      <c r="F2922" s="9" t="s">
        <v>60</v>
      </c>
      <c r="G2922" s="9" t="s">
        <v>40</v>
      </c>
      <c r="H2922" s="9" t="s">
        <v>25</v>
      </c>
      <c r="I2922" s="9" t="s">
        <v>242</v>
      </c>
      <c r="J2922" s="10"/>
      <c r="K2922" s="14" t="s">
        <v>398</v>
      </c>
      <c r="N2922" s="14" t="str">
        <f>IFERROR(__xludf.DUMMYFUNCTION("""COMPUTED_VALUE"""),"Henry Martín|46212")</f>
        <v>Henry Martín|46212</v>
      </c>
      <c r="O2922" s="14">
        <f>IFERROR(__xludf.DUMMYFUNCTION("""COMPUTED_VALUE"""),6.0)</f>
        <v>6</v>
      </c>
    </row>
    <row r="2923" ht="22.5" hidden="1" customHeight="1">
      <c r="A2923" s="8">
        <v>46025.3784843287</v>
      </c>
      <c r="B2923" s="14">
        <v>46025.0</v>
      </c>
      <c r="C2923" s="9" t="s">
        <v>53</v>
      </c>
      <c r="D2923" s="9" t="s">
        <v>170</v>
      </c>
      <c r="E2923" s="9" t="s">
        <v>44</v>
      </c>
      <c r="F2923" s="9" t="s">
        <v>43</v>
      </c>
      <c r="G2923" s="9" t="s">
        <v>24</v>
      </c>
      <c r="H2923" s="9" t="s">
        <v>17</v>
      </c>
      <c r="I2923" s="9" t="s">
        <v>20</v>
      </c>
      <c r="J2923" s="10"/>
      <c r="K2923" s="14">
        <v>4.0</v>
      </c>
      <c r="N2923" s="14" t="str">
        <f>IFERROR(__xludf.DUMMYFUNCTION("""COMPUTED_VALUE"""),"Thiago Espinosa|46212")</f>
        <v>Thiago Espinosa|46212</v>
      </c>
      <c r="O2923" s="14">
        <f>IFERROR(__xludf.DUMMYFUNCTION("""COMPUTED_VALUE"""),5.0)</f>
        <v>5</v>
      </c>
    </row>
    <row r="2924" ht="22.5" hidden="1" customHeight="1">
      <c r="A2924" s="8">
        <v>46025.38110991898</v>
      </c>
      <c r="B2924" s="14">
        <v>46025.0</v>
      </c>
      <c r="C2924" s="9" t="s">
        <v>53</v>
      </c>
      <c r="D2924" s="9" t="s">
        <v>210</v>
      </c>
      <c r="E2924" s="9" t="s">
        <v>17</v>
      </c>
      <c r="F2924" s="9" t="s">
        <v>35</v>
      </c>
      <c r="G2924" s="9" t="s">
        <v>24</v>
      </c>
      <c r="H2924" s="9" t="s">
        <v>17</v>
      </c>
      <c r="I2924" s="9" t="s">
        <v>20</v>
      </c>
      <c r="J2924" s="10"/>
      <c r="K2924" s="14" t="s">
        <v>398</v>
      </c>
      <c r="N2924" s="14" t="str">
        <f>IFERROR(__xludf.DUMMYFUNCTION("""COMPUTED_VALUE"""),"Paolo Bedolla|46212")</f>
        <v>Paolo Bedolla|46212</v>
      </c>
      <c r="O2924" s="14">
        <f>IFERROR(__xludf.DUMMYFUNCTION("""COMPUTED_VALUE"""),4.0)</f>
        <v>4</v>
      </c>
    </row>
    <row r="2925" ht="22.5" hidden="1" customHeight="1">
      <c r="A2925" s="8">
        <v>46025.38141341435</v>
      </c>
      <c r="B2925" s="14">
        <v>46025.0</v>
      </c>
      <c r="C2925" s="9" t="s">
        <v>53</v>
      </c>
      <c r="D2925" s="9" t="s">
        <v>396</v>
      </c>
      <c r="E2925" s="9" t="s">
        <v>17</v>
      </c>
      <c r="F2925" s="9" t="s">
        <v>17</v>
      </c>
      <c r="G2925" s="9" t="s">
        <v>24</v>
      </c>
      <c r="H2925" s="9" t="s">
        <v>25</v>
      </c>
      <c r="I2925" s="9" t="s">
        <v>218</v>
      </c>
      <c r="J2925" s="10"/>
      <c r="K2925" s="14">
        <v>4.0</v>
      </c>
      <c r="N2925" s="14" t="str">
        <f>IFERROR(__xludf.DUMMYFUNCTION("""COMPUTED_VALUE"""),"Franco Rossano|46212")</f>
        <v>Franco Rossano|46212</v>
      </c>
      <c r="O2925" s="14">
        <f>IFERROR(__xludf.DUMMYFUNCTION("""COMPUTED_VALUE"""),5.0)</f>
        <v>5</v>
      </c>
    </row>
    <row r="2926" ht="22.5" hidden="1" customHeight="1">
      <c r="A2926" s="8">
        <v>46025.381837974535</v>
      </c>
      <c r="B2926" s="14">
        <v>46025.0</v>
      </c>
      <c r="C2926" s="9" t="s">
        <v>53</v>
      </c>
      <c r="D2926" s="9" t="s">
        <v>223</v>
      </c>
      <c r="E2926" s="9" t="s">
        <v>17</v>
      </c>
      <c r="F2926" s="9" t="s">
        <v>17</v>
      </c>
      <c r="G2926" s="9" t="s">
        <v>24</v>
      </c>
      <c r="H2926" s="9" t="s">
        <v>17</v>
      </c>
      <c r="I2926" s="9" t="s">
        <v>20</v>
      </c>
      <c r="J2926" s="10"/>
      <c r="K2926" s="14">
        <v>5.0</v>
      </c>
      <c r="N2926" s="14" t="str">
        <f>IFERROR(__xludf.DUMMYFUNCTION("""COMPUTED_VALUE"""),"Víctor Dávila|46212")</f>
        <v>Víctor Dávila|46212</v>
      </c>
      <c r="O2926" s="14">
        <f>IFERROR(__xludf.DUMMYFUNCTION("""COMPUTED_VALUE"""),10.0)</f>
        <v>10</v>
      </c>
    </row>
    <row r="2927" ht="22.5" hidden="1" customHeight="1">
      <c r="A2927" s="8">
        <v>46025.38222640046</v>
      </c>
      <c r="B2927" s="14">
        <v>46025.0</v>
      </c>
      <c r="C2927" s="9" t="s">
        <v>53</v>
      </c>
      <c r="D2927" s="9" t="s">
        <v>247</v>
      </c>
      <c r="E2927" s="9" t="s">
        <v>17</v>
      </c>
      <c r="F2927" s="9" t="s">
        <v>17</v>
      </c>
      <c r="G2927" s="9" t="s">
        <v>24</v>
      </c>
      <c r="H2927" s="9" t="s">
        <v>17</v>
      </c>
      <c r="I2927" s="9" t="s">
        <v>20</v>
      </c>
      <c r="J2927" s="10"/>
      <c r="K2927" s="14">
        <v>5.0</v>
      </c>
      <c r="N2927" s="14" t="str">
        <f>IFERROR(__xludf.DUMMYFUNCTION("""COMPUTED_VALUE"""),"Víctor Dávila|46213")</f>
        <v>Víctor Dávila|46213</v>
      </c>
      <c r="O2927" s="14">
        <f>IFERROR(__xludf.DUMMYFUNCTION("""COMPUTED_VALUE"""),1.0)</f>
        <v>1</v>
      </c>
    </row>
    <row r="2928" ht="22.5" hidden="1" customHeight="1">
      <c r="A2928" s="8">
        <v>46025.38271210648</v>
      </c>
      <c r="B2928" s="14">
        <v>46025.0</v>
      </c>
      <c r="C2928" s="9" t="s">
        <v>53</v>
      </c>
      <c r="D2928" s="9" t="s">
        <v>171</v>
      </c>
      <c r="E2928" s="9" t="s">
        <v>17</v>
      </c>
      <c r="F2928" s="9" t="s">
        <v>39</v>
      </c>
      <c r="G2928" s="9" t="s">
        <v>40</v>
      </c>
      <c r="H2928" s="9" t="s">
        <v>22</v>
      </c>
      <c r="I2928" s="9" t="s">
        <v>20</v>
      </c>
      <c r="J2928" s="10"/>
      <c r="K2928" s="14" t="s">
        <v>398</v>
      </c>
      <c r="N2928" s="14" t="str">
        <f>IFERROR(__xludf.DUMMYFUNCTION("""COMPUTED_VALUE"""),"Patricio Salas|46213")</f>
        <v>Patricio Salas|46213</v>
      </c>
      <c r="O2928" s="14">
        <f>IFERROR(__xludf.DUMMYFUNCTION("""COMPUTED_VALUE"""),3.0)</f>
        <v>3</v>
      </c>
    </row>
    <row r="2929" ht="22.5" hidden="1" customHeight="1">
      <c r="A2929" s="8">
        <v>46025.38275842593</v>
      </c>
      <c r="B2929" s="14">
        <v>46025.0</v>
      </c>
      <c r="C2929" s="9" t="s">
        <v>53</v>
      </c>
      <c r="D2929" s="9" t="s">
        <v>249</v>
      </c>
      <c r="E2929" s="9" t="s">
        <v>46</v>
      </c>
      <c r="F2929" s="9" t="s">
        <v>17</v>
      </c>
      <c r="G2929" s="9" t="s">
        <v>24</v>
      </c>
      <c r="H2929" s="9" t="s">
        <v>17</v>
      </c>
      <c r="I2929" s="9" t="s">
        <v>20</v>
      </c>
      <c r="J2929" s="10"/>
      <c r="K2929" s="14" t="s">
        <v>398</v>
      </c>
      <c r="N2929" s="14" t="str">
        <f>IFERROR(__xludf.DUMMYFUNCTION("""COMPUTED_VALUE"""),"Alan Cervantes|46213")</f>
        <v>Alan Cervantes|46213</v>
      </c>
      <c r="O2929" s="14">
        <f>IFERROR(__xludf.DUMMYFUNCTION("""COMPUTED_VALUE"""),6.0)</f>
        <v>6</v>
      </c>
    </row>
    <row r="2930" ht="22.5" hidden="1" customHeight="1">
      <c r="A2930" s="8">
        <v>46025.38313158565</v>
      </c>
      <c r="B2930" s="14">
        <v>46025.0</v>
      </c>
      <c r="C2930" s="9" t="s">
        <v>53</v>
      </c>
      <c r="D2930" s="9" t="s">
        <v>350</v>
      </c>
      <c r="E2930" s="9" t="s">
        <v>17</v>
      </c>
      <c r="F2930" s="9" t="s">
        <v>17</v>
      </c>
      <c r="G2930" s="9" t="s">
        <v>24</v>
      </c>
      <c r="H2930" s="9" t="s">
        <v>17</v>
      </c>
      <c r="I2930" s="9" t="s">
        <v>20</v>
      </c>
      <c r="J2930" s="10"/>
      <c r="K2930" s="14">
        <v>5.0</v>
      </c>
      <c r="N2930" s="14" t="str">
        <f>IFERROR(__xludf.DUMMYFUNCTION("""COMPUTED_VALUE"""),"Henry Martín|46213")</f>
        <v>Henry Martín|46213</v>
      </c>
      <c r="O2930" s="14">
        <f>IFERROR(__xludf.DUMMYFUNCTION("""COMPUTED_VALUE"""),3.0)</f>
        <v>3</v>
      </c>
    </row>
    <row r="2931" ht="22.5" hidden="1" customHeight="1">
      <c r="A2931" s="8">
        <v>46025.38315256944</v>
      </c>
      <c r="B2931" s="14">
        <v>46025.0</v>
      </c>
      <c r="C2931" s="9" t="s">
        <v>53</v>
      </c>
      <c r="D2931" s="9" t="s">
        <v>175</v>
      </c>
      <c r="E2931" s="9" t="s">
        <v>17</v>
      </c>
      <c r="F2931" s="9" t="s">
        <v>17</v>
      </c>
      <c r="G2931" s="9" t="s">
        <v>24</v>
      </c>
      <c r="H2931" s="9" t="s">
        <v>22</v>
      </c>
      <c r="I2931" s="9" t="s">
        <v>20</v>
      </c>
      <c r="J2931" s="10"/>
      <c r="K2931" s="14">
        <v>6.0</v>
      </c>
      <c r="N2931" s="14" t="str">
        <f>IFERROR(__xludf.DUMMYFUNCTION("""COMPUTED_VALUE"""),"Thiago Espinosa|46213")</f>
        <v>Thiago Espinosa|46213</v>
      </c>
      <c r="O2931" s="14">
        <f>IFERROR(__xludf.DUMMYFUNCTION("""COMPUTED_VALUE"""),8.0)</f>
        <v>8</v>
      </c>
    </row>
    <row r="2932" ht="22.5" hidden="1" customHeight="1">
      <c r="A2932" s="8">
        <v>46025.38336771991</v>
      </c>
      <c r="B2932" s="14">
        <v>46025.0</v>
      </c>
      <c r="C2932" s="9" t="s">
        <v>53</v>
      </c>
      <c r="D2932" s="9" t="s">
        <v>361</v>
      </c>
      <c r="E2932" s="9" t="s">
        <v>17</v>
      </c>
      <c r="F2932" s="9" t="s">
        <v>17</v>
      </c>
      <c r="G2932" s="9" t="s">
        <v>24</v>
      </c>
      <c r="H2932" s="9" t="s">
        <v>17</v>
      </c>
      <c r="I2932" s="9" t="s">
        <v>20</v>
      </c>
      <c r="J2932" s="10"/>
      <c r="K2932" s="14" t="s">
        <v>398</v>
      </c>
      <c r="N2932" s="14" t="str">
        <f>IFERROR(__xludf.DUMMYFUNCTION("""COMPUTED_VALUE"""),"Ramón Juárez|46213")</f>
        <v>Ramón Juárez|46213</v>
      </c>
      <c r="O2932" s="14">
        <f>IFERROR(__xludf.DUMMYFUNCTION("""COMPUTED_VALUE"""),4.0)</f>
        <v>4</v>
      </c>
    </row>
    <row r="2933" ht="22.5" hidden="1" customHeight="1">
      <c r="A2933" s="8">
        <v>46025.38343559028</v>
      </c>
      <c r="B2933" s="14">
        <v>46025.0</v>
      </c>
      <c r="C2933" s="9" t="s">
        <v>53</v>
      </c>
      <c r="D2933" s="9" t="s">
        <v>105</v>
      </c>
      <c r="E2933" s="9" t="s">
        <v>17</v>
      </c>
      <c r="F2933" s="9" t="s">
        <v>17</v>
      </c>
      <c r="G2933" s="9" t="s">
        <v>24</v>
      </c>
      <c r="H2933" s="9" t="s">
        <v>22</v>
      </c>
      <c r="I2933" s="9" t="s">
        <v>20</v>
      </c>
      <c r="J2933" s="10"/>
      <c r="K2933" s="14">
        <v>2.0</v>
      </c>
      <c r="N2933" s="14" t="str">
        <f>IFERROR(__xludf.DUMMYFUNCTION("""COMPUTED_VALUE"""),"Alexis Gutiérrez|46213")</f>
        <v>Alexis Gutiérrez|46213</v>
      </c>
      <c r="O2933" s="14">
        <f>IFERROR(__xludf.DUMMYFUNCTION("""COMPUTED_VALUE"""),2.0)</f>
        <v>2</v>
      </c>
    </row>
    <row r="2934" ht="22.5" hidden="1" customHeight="1">
      <c r="A2934" s="8">
        <v>46025.38395670139</v>
      </c>
      <c r="B2934" s="14">
        <v>46025.0</v>
      </c>
      <c r="C2934" s="9" t="s">
        <v>53</v>
      </c>
      <c r="D2934" s="9" t="s">
        <v>395</v>
      </c>
      <c r="E2934" s="9" t="s">
        <v>17</v>
      </c>
      <c r="F2934" s="9" t="s">
        <v>17</v>
      </c>
      <c r="G2934" s="9" t="s">
        <v>24</v>
      </c>
      <c r="H2934" s="9" t="s">
        <v>17</v>
      </c>
      <c r="I2934" s="9" t="s">
        <v>20</v>
      </c>
      <c r="J2934" s="10"/>
      <c r="K2934" s="14">
        <v>3.0</v>
      </c>
      <c r="N2934" s="14" t="str">
        <f>IFERROR(__xludf.DUMMYFUNCTION("""COMPUTED_VALUE"""),"Rodolfo Cota|46213")</f>
        <v>Rodolfo Cota|46213</v>
      </c>
      <c r="O2934" s="14">
        <f>IFERROR(__xludf.DUMMYFUNCTION("""COMPUTED_VALUE"""),2.0)</f>
        <v>2</v>
      </c>
    </row>
    <row r="2935" ht="22.5" hidden="1" customHeight="1">
      <c r="A2935" s="8">
        <v>46025.38402261574</v>
      </c>
      <c r="B2935" s="14">
        <v>46025.0</v>
      </c>
      <c r="C2935" s="9" t="s">
        <v>53</v>
      </c>
      <c r="D2935" s="9" t="s">
        <v>177</v>
      </c>
      <c r="E2935" s="9" t="s">
        <v>17</v>
      </c>
      <c r="F2935" s="9" t="s">
        <v>17</v>
      </c>
      <c r="G2935" s="9" t="s">
        <v>24</v>
      </c>
      <c r="H2935" s="9" t="s">
        <v>22</v>
      </c>
      <c r="I2935" s="9" t="s">
        <v>20</v>
      </c>
      <c r="J2935" s="10"/>
      <c r="K2935" s="14" t="s">
        <v>398</v>
      </c>
      <c r="N2935" s="14" t="str">
        <f>IFERROR(__xludf.DUMMYFUNCTION("""COMPUTED_VALUE"""),"Dagoberto Espinoza|46213")</f>
        <v>Dagoberto Espinoza|46213</v>
      </c>
      <c r="O2935" s="14">
        <f>IFERROR(__xludf.DUMMYFUNCTION("""COMPUTED_VALUE"""),3.0)</f>
        <v>3</v>
      </c>
    </row>
    <row r="2936" ht="22.5" hidden="1" customHeight="1">
      <c r="A2936" s="8">
        <v>46025.3842825926</v>
      </c>
      <c r="B2936" s="14">
        <v>46025.0</v>
      </c>
      <c r="C2936" s="9" t="s">
        <v>53</v>
      </c>
      <c r="D2936" s="9" t="s">
        <v>168</v>
      </c>
      <c r="E2936" s="9" t="s">
        <v>17</v>
      </c>
      <c r="F2936" s="9" t="s">
        <v>17</v>
      </c>
      <c r="G2936" s="9" t="s">
        <v>19</v>
      </c>
      <c r="H2936" s="9" t="s">
        <v>22</v>
      </c>
      <c r="I2936" s="9" t="s">
        <v>20</v>
      </c>
      <c r="J2936" s="10"/>
      <c r="K2936" s="14">
        <v>5.0</v>
      </c>
      <c r="N2936" s="14" t="str">
        <f>IFERROR(__xludf.DUMMYFUNCTION("""COMPUTED_VALUE"""),"Fernando Tapia|46213")</f>
        <v>Fernando Tapia|46213</v>
      </c>
      <c r="O2936" s="14">
        <f>IFERROR(__xludf.DUMMYFUNCTION("""COMPUTED_VALUE"""),3.0)</f>
        <v>3</v>
      </c>
    </row>
    <row r="2937" ht="22.5" hidden="1" customHeight="1">
      <c r="A2937" s="8">
        <v>46025.38472461805</v>
      </c>
      <c r="B2937" s="14">
        <v>46025.0</v>
      </c>
      <c r="C2937" s="9" t="s">
        <v>53</v>
      </c>
      <c r="D2937" s="9" t="s">
        <v>357</v>
      </c>
      <c r="E2937" s="9" t="s">
        <v>17</v>
      </c>
      <c r="F2937" s="9" t="s">
        <v>17</v>
      </c>
      <c r="G2937" s="9" t="s">
        <v>24</v>
      </c>
      <c r="H2937" s="9" t="s">
        <v>25</v>
      </c>
      <c r="I2937" s="9" t="s">
        <v>89</v>
      </c>
      <c r="J2937" s="10"/>
      <c r="K2937" s="14" t="s">
        <v>398</v>
      </c>
      <c r="N2937" s="14" t="str">
        <f>IFERROR(__xludf.DUMMYFUNCTION("""COMPUTED_VALUE"""),"Miguel Vázquez|46213")</f>
        <v>Miguel Vázquez|46213</v>
      </c>
      <c r="O2937" s="14">
        <f>IFERROR(__xludf.DUMMYFUNCTION("""COMPUTED_VALUE"""),2.0)</f>
        <v>2</v>
      </c>
    </row>
    <row r="2938" ht="22.5" hidden="1" customHeight="1">
      <c r="A2938" s="8">
        <v>46025.38492603009</v>
      </c>
      <c r="B2938" s="14">
        <v>46025.0</v>
      </c>
      <c r="C2938" s="9" t="s">
        <v>53</v>
      </c>
      <c r="D2938" s="9" t="s">
        <v>259</v>
      </c>
      <c r="E2938" s="9" t="s">
        <v>17</v>
      </c>
      <c r="F2938" s="9" t="s">
        <v>17</v>
      </c>
      <c r="G2938" s="9" t="s">
        <v>19</v>
      </c>
      <c r="H2938" s="9" t="s">
        <v>22</v>
      </c>
      <c r="I2938" s="9" t="s">
        <v>20</v>
      </c>
      <c r="J2938" s="10"/>
      <c r="K2938" s="14">
        <v>3.0</v>
      </c>
      <c r="N2938" s="14" t="str">
        <f>IFERROR(__xludf.DUMMYFUNCTION("""COMPUTED_VALUE"""),"Emilio Lara|46213")</f>
        <v>Emilio Lara|46213</v>
      </c>
      <c r="O2938" s="14">
        <f>IFERROR(__xludf.DUMMYFUNCTION("""COMPUTED_VALUE"""),2.0)</f>
        <v>2</v>
      </c>
    </row>
    <row r="2939" ht="22.5" hidden="1" customHeight="1">
      <c r="A2939" s="8">
        <v>46025.38520634259</v>
      </c>
      <c r="B2939" s="14">
        <v>46025.0</v>
      </c>
      <c r="C2939" s="9" t="s">
        <v>53</v>
      </c>
      <c r="D2939" s="9" t="s">
        <v>393</v>
      </c>
      <c r="E2939" s="9" t="s">
        <v>17</v>
      </c>
      <c r="F2939" s="9" t="s">
        <v>17</v>
      </c>
      <c r="G2939" s="9" t="s">
        <v>24</v>
      </c>
      <c r="H2939" s="9" t="s">
        <v>17</v>
      </c>
      <c r="I2939" s="9" t="s">
        <v>20</v>
      </c>
      <c r="J2939" s="10"/>
      <c r="K2939" s="14" t="s">
        <v>398</v>
      </c>
      <c r="N2939" s="14" t="str">
        <f>IFERROR(__xludf.DUMMYFUNCTION("""COMPUTED_VALUE"""),"Erick Sánchez|46213")</f>
        <v>Erick Sánchez|46213</v>
      </c>
      <c r="O2939" s="14">
        <f>IFERROR(__xludf.DUMMYFUNCTION("""COMPUTED_VALUE"""),3.0)</f>
        <v>3</v>
      </c>
    </row>
    <row r="2940" ht="22.5" hidden="1" customHeight="1">
      <c r="A2940" s="8">
        <v>46025.38549164352</v>
      </c>
      <c r="B2940" s="14">
        <v>46025.0</v>
      </c>
      <c r="C2940" s="9" t="s">
        <v>53</v>
      </c>
      <c r="D2940" s="9" t="s">
        <v>178</v>
      </c>
      <c r="E2940" s="9" t="s">
        <v>17</v>
      </c>
      <c r="F2940" s="9" t="s">
        <v>17</v>
      </c>
      <c r="G2940" s="9" t="s">
        <v>24</v>
      </c>
      <c r="H2940" s="9" t="s">
        <v>22</v>
      </c>
      <c r="I2940" s="9" t="s">
        <v>20</v>
      </c>
      <c r="J2940" s="10"/>
      <c r="K2940" s="14">
        <v>5.0</v>
      </c>
      <c r="N2940" s="14" t="str">
        <f>IFERROR(__xludf.DUMMYFUNCTION("""COMPUTED_VALUE"""),"Cristian Borja|46213")</f>
        <v>Cristian Borja|46213</v>
      </c>
      <c r="O2940" s="14">
        <f>IFERROR(__xludf.DUMMYFUNCTION("""COMPUTED_VALUE"""),3.0)</f>
        <v>3</v>
      </c>
    </row>
    <row r="2941" ht="22.5" hidden="1" customHeight="1">
      <c r="A2941" s="8">
        <v>46025.38572003473</v>
      </c>
      <c r="B2941" s="14">
        <v>46025.0</v>
      </c>
      <c r="C2941" s="9" t="s">
        <v>53</v>
      </c>
      <c r="D2941" s="9" t="s">
        <v>280</v>
      </c>
      <c r="E2941" s="9" t="s">
        <v>17</v>
      </c>
      <c r="F2941" s="9" t="s">
        <v>17</v>
      </c>
      <c r="G2941" s="9" t="s">
        <v>24</v>
      </c>
      <c r="H2941" s="9" t="s">
        <v>22</v>
      </c>
      <c r="I2941" s="9" t="s">
        <v>20</v>
      </c>
      <c r="J2941" s="10"/>
      <c r="K2941" s="14">
        <v>4.0</v>
      </c>
      <c r="N2941" s="14" t="str">
        <f>IFERROR(__xludf.DUMMYFUNCTION("""COMPUTED_VALUE"""),"José Raúl Zúñiga|46213")</f>
        <v>José Raúl Zúñiga|46213</v>
      </c>
      <c r="O2941" s="14">
        <f>IFERROR(__xludf.DUMMYFUNCTION("""COMPUTED_VALUE"""),3.0)</f>
        <v>3</v>
      </c>
    </row>
    <row r="2942" ht="22.5" hidden="1" customHeight="1">
      <c r="A2942" s="8">
        <v>46025.386245104164</v>
      </c>
      <c r="B2942" s="14">
        <v>46025.0</v>
      </c>
      <c r="C2942" s="9" t="s">
        <v>53</v>
      </c>
      <c r="D2942" s="9" t="s">
        <v>335</v>
      </c>
      <c r="E2942" s="9" t="s">
        <v>17</v>
      </c>
      <c r="F2942" s="9" t="s">
        <v>17</v>
      </c>
      <c r="G2942" s="9" t="s">
        <v>24</v>
      </c>
      <c r="H2942" s="9" t="s">
        <v>25</v>
      </c>
      <c r="I2942" s="9" t="s">
        <v>211</v>
      </c>
      <c r="J2942" s="10"/>
      <c r="K2942" s="14">
        <v>4.0</v>
      </c>
      <c r="N2942" s="14" t="str">
        <f>IFERROR(__xludf.DUMMYFUNCTION("""COMPUTED_VALUE"""),"Franco Rossano|46213")</f>
        <v>Franco Rossano|46213</v>
      </c>
      <c r="O2942" s="14">
        <f>IFERROR(__xludf.DUMMYFUNCTION("""COMPUTED_VALUE"""),6.0)</f>
        <v>6</v>
      </c>
    </row>
    <row r="2943" ht="22.5" hidden="1" customHeight="1">
      <c r="A2943" s="8">
        <v>46025.386724641205</v>
      </c>
      <c r="B2943" s="14">
        <v>46025.0</v>
      </c>
      <c r="C2943" s="9" t="s">
        <v>53</v>
      </c>
      <c r="D2943" s="9" t="s">
        <v>367</v>
      </c>
      <c r="E2943" s="9" t="s">
        <v>17</v>
      </c>
      <c r="F2943" s="9" t="s">
        <v>17</v>
      </c>
      <c r="G2943" s="9" t="s">
        <v>24</v>
      </c>
      <c r="H2943" s="9" t="s">
        <v>17</v>
      </c>
      <c r="I2943" s="9" t="s">
        <v>20</v>
      </c>
      <c r="J2943" s="10"/>
      <c r="K2943" s="14">
        <v>6.0</v>
      </c>
      <c r="N2943" s="14" t="str">
        <f>IFERROR(__xludf.DUMMYFUNCTION("""COMPUTED_VALUE"""),"Cristian Borja|46213")</f>
        <v>Cristian Borja|46213</v>
      </c>
      <c r="O2943" s="14">
        <f>IFERROR(__xludf.DUMMYFUNCTION("""COMPUTED_VALUE"""),4.0)</f>
        <v>4</v>
      </c>
    </row>
    <row r="2944" ht="22.5" hidden="1" customHeight="1">
      <c r="A2944" s="8">
        <v>46025.38675266204</v>
      </c>
      <c r="B2944" s="14">
        <v>46025.0</v>
      </c>
      <c r="C2944" s="9" t="s">
        <v>53</v>
      </c>
      <c r="D2944" s="9" t="s">
        <v>394</v>
      </c>
      <c r="E2944" s="9" t="s">
        <v>17</v>
      </c>
      <c r="F2944" s="9" t="s">
        <v>17</v>
      </c>
      <c r="G2944" s="9" t="s">
        <v>24</v>
      </c>
      <c r="H2944" s="9" t="s">
        <v>22</v>
      </c>
      <c r="I2944" s="9" t="s">
        <v>20</v>
      </c>
      <c r="J2944" s="10"/>
      <c r="K2944" s="14" t="s">
        <v>398</v>
      </c>
      <c r="N2944" s="14" t="str">
        <f>IFERROR(__xludf.DUMMYFUNCTION("""COMPUTED_VALUE"""),"Raphael Veiga|46213")</f>
        <v>Raphael Veiga|46213</v>
      </c>
      <c r="O2944" s="14">
        <f>IFERROR(__xludf.DUMMYFUNCTION("""COMPUTED_VALUE"""),3.0)</f>
        <v>3</v>
      </c>
    </row>
    <row r="2945" ht="22.5" hidden="1" customHeight="1">
      <c r="A2945" s="8">
        <v>46025.387203680555</v>
      </c>
      <c r="B2945" s="14">
        <v>46025.0</v>
      </c>
      <c r="C2945" s="9" t="s">
        <v>53</v>
      </c>
      <c r="D2945" s="9" t="s">
        <v>174</v>
      </c>
      <c r="E2945" s="9" t="s">
        <v>17</v>
      </c>
      <c r="F2945" s="9" t="s">
        <v>17</v>
      </c>
      <c r="G2945" s="9" t="s">
        <v>24</v>
      </c>
      <c r="H2945" s="9" t="s">
        <v>22</v>
      </c>
      <c r="I2945" s="9" t="s">
        <v>20</v>
      </c>
      <c r="J2945" s="10"/>
      <c r="K2945" s="14">
        <v>5.0</v>
      </c>
      <c r="N2945" s="14" t="str">
        <f>IFERROR(__xludf.DUMMYFUNCTION("""COMPUTED_VALUE"""),"Kevin Álvarez|46213")</f>
        <v>Kevin Álvarez|46213</v>
      </c>
      <c r="O2945" s="14">
        <f>IFERROR(__xludf.DUMMYFUNCTION("""COMPUTED_VALUE"""),3.0)</f>
        <v>3</v>
      </c>
    </row>
    <row r="2946" ht="22.5" hidden="1" customHeight="1">
      <c r="A2946" s="8">
        <v>46025.38744464121</v>
      </c>
      <c r="B2946" s="14">
        <v>46025.0</v>
      </c>
      <c r="C2946" s="9" t="s">
        <v>53</v>
      </c>
      <c r="D2946" s="9" t="s">
        <v>258</v>
      </c>
      <c r="E2946" s="9" t="s">
        <v>17</v>
      </c>
      <c r="F2946" s="9" t="s">
        <v>17</v>
      </c>
      <c r="G2946" s="9" t="s">
        <v>24</v>
      </c>
      <c r="H2946" s="9" t="s">
        <v>22</v>
      </c>
      <c r="I2946" s="9" t="s">
        <v>20</v>
      </c>
      <c r="J2946" s="10"/>
      <c r="K2946" s="14">
        <v>6.0</v>
      </c>
      <c r="N2946" s="14" t="str">
        <f>IFERROR(__xludf.DUMMYFUNCTION("""COMPUTED_VALUE"""),"Luis Ángel Malagón|46213")</f>
        <v>Luis Ángel Malagón|46213</v>
      </c>
      <c r="O2946" s="14">
        <f>IFERROR(__xludf.DUMMYFUNCTION("""COMPUTED_VALUE"""),7.0)</f>
        <v>7</v>
      </c>
    </row>
    <row r="2947" ht="22.5" hidden="1" customHeight="1">
      <c r="A2947" s="8">
        <v>46025.40318877315</v>
      </c>
      <c r="B2947" s="14">
        <v>46025.0</v>
      </c>
      <c r="C2947" s="9" t="s">
        <v>53</v>
      </c>
      <c r="D2947" s="9" t="s">
        <v>397</v>
      </c>
      <c r="E2947" s="9" t="s">
        <v>17</v>
      </c>
      <c r="F2947" s="9" t="s">
        <v>60</v>
      </c>
      <c r="G2947" s="9" t="s">
        <v>24</v>
      </c>
      <c r="H2947" s="9" t="s">
        <v>25</v>
      </c>
      <c r="I2947" s="9" t="s">
        <v>117</v>
      </c>
      <c r="J2947" s="10"/>
      <c r="K2947" s="14">
        <v>4.0</v>
      </c>
      <c r="N2947" s="14" t="str">
        <f>IFERROR(__xludf.DUMMYFUNCTION("""COMPUTED_VALUE"""),"Paolo Bedolla|46213")</f>
        <v>Paolo Bedolla|46213</v>
      </c>
      <c r="O2947" s="14">
        <f>IFERROR(__xludf.DUMMYFUNCTION("""COMPUTED_VALUE"""),3.0)</f>
        <v>3</v>
      </c>
    </row>
    <row r="2948" ht="22.5" hidden="1" customHeight="1">
      <c r="A2948" s="8">
        <v>46026.34407917824</v>
      </c>
      <c r="B2948" s="14">
        <v>46026.0</v>
      </c>
      <c r="C2948" s="9" t="s">
        <v>58</v>
      </c>
      <c r="D2948" s="9" t="s">
        <v>258</v>
      </c>
      <c r="E2948" s="9" t="s">
        <v>17</v>
      </c>
      <c r="F2948" s="9" t="s">
        <v>35</v>
      </c>
      <c r="G2948" s="9" t="s">
        <v>24</v>
      </c>
      <c r="H2948" s="9" t="s">
        <v>22</v>
      </c>
      <c r="I2948" s="9" t="s">
        <v>20</v>
      </c>
      <c r="J2948" s="10"/>
      <c r="K2948" s="14">
        <v>5.0</v>
      </c>
      <c r="N2948" s="14" t="str">
        <f>IFERROR(__xludf.DUMMYFUNCTION("""COMPUTED_VALUE"""),"Ramón Juárez|46217")</f>
        <v>Ramón Juárez|46217</v>
      </c>
      <c r="O2948" s="14">
        <f>IFERROR(__xludf.DUMMYFUNCTION("""COMPUTED_VALUE"""),6.0)</f>
        <v>6</v>
      </c>
    </row>
    <row r="2949" ht="22.5" hidden="1" customHeight="1">
      <c r="A2949" s="8">
        <v>46026.344453831014</v>
      </c>
      <c r="B2949" s="14">
        <v>46026.0</v>
      </c>
      <c r="C2949" s="9" t="s">
        <v>58</v>
      </c>
      <c r="D2949" s="9" t="s">
        <v>177</v>
      </c>
      <c r="E2949" s="9" t="s">
        <v>17</v>
      </c>
      <c r="F2949" s="9" t="s">
        <v>17</v>
      </c>
      <c r="G2949" s="9" t="s">
        <v>24</v>
      </c>
      <c r="H2949" s="9" t="s">
        <v>22</v>
      </c>
      <c r="I2949" s="9" t="s">
        <v>20</v>
      </c>
      <c r="J2949" s="10"/>
      <c r="K2949" s="14" t="s">
        <v>398</v>
      </c>
      <c r="N2949" s="14" t="str">
        <f>IFERROR(__xludf.DUMMYFUNCTION("""COMPUTED_VALUE"""),"Sebastián Cáceres|46217")</f>
        <v>Sebastián Cáceres|46217</v>
      </c>
      <c r="O2949" s="14">
        <f>IFERROR(__xludf.DUMMYFUNCTION("""COMPUTED_VALUE"""),7.0)</f>
        <v>7</v>
      </c>
    </row>
    <row r="2950" ht="22.5" hidden="1" customHeight="1">
      <c r="A2950" s="8">
        <v>46026.34491515046</v>
      </c>
      <c r="B2950" s="14">
        <v>46026.0</v>
      </c>
      <c r="C2950" s="9" t="s">
        <v>58</v>
      </c>
      <c r="D2950" s="9" t="s">
        <v>257</v>
      </c>
      <c r="E2950" s="9" t="s">
        <v>17</v>
      </c>
      <c r="F2950" s="9" t="s">
        <v>35</v>
      </c>
      <c r="G2950" s="9" t="s">
        <v>24</v>
      </c>
      <c r="H2950" s="9" t="s">
        <v>25</v>
      </c>
      <c r="I2950" s="9" t="s">
        <v>173</v>
      </c>
      <c r="J2950" s="10"/>
      <c r="K2950" s="14" t="s">
        <v>398</v>
      </c>
      <c r="N2950" s="14" t="str">
        <f>IFERROR(__xludf.DUMMYFUNCTION("""COMPUTED_VALUE"""),"Raphael Veiga|46217")</f>
        <v>Raphael Veiga|46217</v>
      </c>
      <c r="O2950" s="14">
        <f>IFERROR(__xludf.DUMMYFUNCTION("""COMPUTED_VALUE"""),2.0)</f>
        <v>2</v>
      </c>
    </row>
    <row r="2951" ht="22.5" hidden="1" customHeight="1">
      <c r="A2951" s="8">
        <v>46026.34520170139</v>
      </c>
      <c r="B2951" s="14">
        <v>46026.0</v>
      </c>
      <c r="C2951" s="9" t="s">
        <v>58</v>
      </c>
      <c r="D2951" s="9" t="s">
        <v>249</v>
      </c>
      <c r="E2951" s="9" t="s">
        <v>46</v>
      </c>
      <c r="F2951" s="9" t="s">
        <v>17</v>
      </c>
      <c r="G2951" s="9" t="s">
        <v>24</v>
      </c>
      <c r="H2951" s="9" t="s">
        <v>22</v>
      </c>
      <c r="I2951" s="9" t="s">
        <v>20</v>
      </c>
      <c r="J2951" s="10"/>
      <c r="K2951" s="14" t="s">
        <v>398</v>
      </c>
      <c r="N2951" s="14" t="str">
        <f>IFERROR(__xludf.DUMMYFUNCTION("""COMPUTED_VALUE"""),"Miguel Vázquez|46217")</f>
        <v>Miguel Vázquez|46217</v>
      </c>
      <c r="O2951" s="14">
        <f>IFERROR(__xludf.DUMMYFUNCTION("""COMPUTED_VALUE"""),3.0)</f>
        <v>3</v>
      </c>
    </row>
    <row r="2952" ht="22.5" hidden="1" customHeight="1">
      <c r="A2952" s="8">
        <v>46026.35953032407</v>
      </c>
      <c r="B2952" s="14">
        <v>46026.0</v>
      </c>
      <c r="C2952" s="9" t="s">
        <v>58</v>
      </c>
      <c r="D2952" s="9" t="s">
        <v>395</v>
      </c>
      <c r="E2952" s="9" t="s">
        <v>17</v>
      </c>
      <c r="F2952" s="9" t="s">
        <v>17</v>
      </c>
      <c r="G2952" s="9" t="s">
        <v>24</v>
      </c>
      <c r="H2952" s="9" t="s">
        <v>22</v>
      </c>
      <c r="I2952" s="9" t="s">
        <v>20</v>
      </c>
      <c r="J2952" s="10"/>
      <c r="K2952" s="14">
        <v>3.0</v>
      </c>
      <c r="N2952" s="14" t="str">
        <f>IFERROR(__xludf.DUMMYFUNCTION("""COMPUTED_VALUE"""),"Dagoberto Espinoza|46217")</f>
        <v>Dagoberto Espinoza|46217</v>
      </c>
      <c r="O2952" s="14">
        <f>IFERROR(__xludf.DUMMYFUNCTION("""COMPUTED_VALUE"""),6.0)</f>
        <v>6</v>
      </c>
    </row>
    <row r="2953" ht="22.5" hidden="1" customHeight="1">
      <c r="A2953" s="8">
        <v>46026.35989386574</v>
      </c>
      <c r="B2953" s="14">
        <v>46026.0</v>
      </c>
      <c r="C2953" s="9" t="s">
        <v>58</v>
      </c>
      <c r="D2953" s="9" t="s">
        <v>357</v>
      </c>
      <c r="E2953" s="9" t="s">
        <v>17</v>
      </c>
      <c r="F2953" s="9" t="s">
        <v>17</v>
      </c>
      <c r="G2953" s="9" t="s">
        <v>24</v>
      </c>
      <c r="H2953" s="9" t="s">
        <v>25</v>
      </c>
      <c r="I2953" s="9" t="s">
        <v>89</v>
      </c>
      <c r="J2953" s="10"/>
      <c r="K2953" s="14" t="s">
        <v>398</v>
      </c>
      <c r="N2953" s="14" t="str">
        <f>IFERROR(__xludf.DUMMYFUNCTION("""COMPUTED_VALUE"""),"Franco Rossano|46217")</f>
        <v>Franco Rossano|46217</v>
      </c>
      <c r="O2953" s="14">
        <f>IFERROR(__xludf.DUMMYFUNCTION("""COMPUTED_VALUE"""),5.0)</f>
        <v>5</v>
      </c>
    </row>
    <row r="2954" ht="22.5" hidden="1" customHeight="1">
      <c r="A2954" s="8">
        <v>46026.36016087963</v>
      </c>
      <c r="B2954" s="14">
        <v>46026.0</v>
      </c>
      <c r="C2954" s="9" t="s">
        <v>58</v>
      </c>
      <c r="D2954" s="9" t="s">
        <v>393</v>
      </c>
      <c r="E2954" s="9" t="s">
        <v>17</v>
      </c>
      <c r="F2954" s="9" t="s">
        <v>17</v>
      </c>
      <c r="G2954" s="9" t="s">
        <v>24</v>
      </c>
      <c r="H2954" s="9" t="s">
        <v>22</v>
      </c>
      <c r="I2954" s="9" t="s">
        <v>20</v>
      </c>
      <c r="J2954" s="10"/>
      <c r="K2954" s="14" t="s">
        <v>398</v>
      </c>
      <c r="N2954" s="14" t="str">
        <f>IFERROR(__xludf.DUMMYFUNCTION("""COMPUTED_VALUE"""),"Rodolfo Cota|46217")</f>
        <v>Rodolfo Cota|46217</v>
      </c>
      <c r="O2954" s="14">
        <f>IFERROR(__xludf.DUMMYFUNCTION("""COMPUTED_VALUE"""),2.0)</f>
        <v>2</v>
      </c>
    </row>
    <row r="2955" ht="22.5" hidden="1" customHeight="1">
      <c r="A2955" s="8">
        <v>46026.383566840275</v>
      </c>
      <c r="B2955" s="14">
        <v>46026.0</v>
      </c>
      <c r="C2955" s="9" t="s">
        <v>58</v>
      </c>
      <c r="D2955" s="9" t="s">
        <v>396</v>
      </c>
      <c r="E2955" s="9" t="s">
        <v>17</v>
      </c>
      <c r="F2955" s="9" t="s">
        <v>17</v>
      </c>
      <c r="G2955" s="9" t="s">
        <v>24</v>
      </c>
      <c r="H2955" s="9" t="s">
        <v>25</v>
      </c>
      <c r="I2955" s="9" t="s">
        <v>218</v>
      </c>
      <c r="J2955" s="10"/>
      <c r="K2955" s="14">
        <v>2.0</v>
      </c>
      <c r="N2955" s="14" t="str">
        <f>IFERROR(__xludf.DUMMYFUNCTION("""COMPUTED_VALUE"""),"Isaías Violante|46217")</f>
        <v>Isaías Violante|46217</v>
      </c>
      <c r="O2955" s="14">
        <f>IFERROR(__xludf.DUMMYFUNCTION("""COMPUTED_VALUE"""),4.0)</f>
        <v>4</v>
      </c>
    </row>
    <row r="2956" ht="22.5" hidden="1" customHeight="1">
      <c r="A2956" s="8">
        <v>46026.383928194446</v>
      </c>
      <c r="B2956" s="14">
        <v>46026.0</v>
      </c>
      <c r="C2956" s="9" t="s">
        <v>58</v>
      </c>
      <c r="D2956" s="9" t="s">
        <v>175</v>
      </c>
      <c r="E2956" s="9" t="s">
        <v>17</v>
      </c>
      <c r="F2956" s="9" t="s">
        <v>17</v>
      </c>
      <c r="G2956" s="9" t="s">
        <v>24</v>
      </c>
      <c r="H2956" s="9" t="s">
        <v>22</v>
      </c>
      <c r="I2956" s="9" t="s">
        <v>20</v>
      </c>
      <c r="J2956" s="10"/>
      <c r="K2956" s="14">
        <v>5.0</v>
      </c>
      <c r="N2956" s="14" t="str">
        <f>IFERROR(__xludf.DUMMYFUNCTION("""COMPUTED_VALUE"""),"Brian Rodríguez|46217")</f>
        <v>Brian Rodríguez|46217</v>
      </c>
      <c r="O2956" s="14">
        <f>IFERROR(__xludf.DUMMYFUNCTION("""COMPUTED_VALUE"""),5.0)</f>
        <v>5</v>
      </c>
    </row>
    <row r="2957" ht="22.5" hidden="1" customHeight="1">
      <c r="A2957" s="8">
        <v>46026.38425758102</v>
      </c>
      <c r="B2957" s="14">
        <v>46026.0</v>
      </c>
      <c r="C2957" s="9" t="s">
        <v>58</v>
      </c>
      <c r="D2957" s="9" t="s">
        <v>168</v>
      </c>
      <c r="E2957" s="9" t="s">
        <v>17</v>
      </c>
      <c r="F2957" s="9" t="s">
        <v>17</v>
      </c>
      <c r="G2957" s="9" t="s">
        <v>24</v>
      </c>
      <c r="H2957" s="9" t="s">
        <v>22</v>
      </c>
      <c r="I2957" s="9" t="s">
        <v>20</v>
      </c>
      <c r="J2957" s="10"/>
      <c r="K2957" s="14">
        <v>3.0</v>
      </c>
      <c r="N2957" s="14" t="str">
        <f>IFERROR(__xludf.DUMMYFUNCTION("""COMPUTED_VALUE"""),"Patricio Salas|46217")</f>
        <v>Patricio Salas|46217</v>
      </c>
      <c r="O2957" s="14">
        <f>IFERROR(__xludf.DUMMYFUNCTION("""COMPUTED_VALUE"""),4.0)</f>
        <v>4</v>
      </c>
    </row>
    <row r="2958" ht="22.5" hidden="1" customHeight="1">
      <c r="A2958" s="8">
        <v>46026.38479210648</v>
      </c>
      <c r="B2958" s="14">
        <v>46026.0</v>
      </c>
      <c r="C2958" s="9" t="s">
        <v>58</v>
      </c>
      <c r="D2958" s="9" t="s">
        <v>178</v>
      </c>
      <c r="E2958" s="9" t="s">
        <v>44</v>
      </c>
      <c r="F2958" s="9" t="s">
        <v>17</v>
      </c>
      <c r="G2958" s="9" t="s">
        <v>19</v>
      </c>
      <c r="H2958" s="9" t="s">
        <v>25</v>
      </c>
      <c r="I2958" s="9" t="s">
        <v>218</v>
      </c>
      <c r="J2958" s="10"/>
      <c r="K2958" s="14">
        <v>3.0</v>
      </c>
      <c r="N2958" s="14" t="str">
        <f>IFERROR(__xludf.DUMMYFUNCTION("""COMPUTED_VALUE"""),"Alan Cervantes|46217")</f>
        <v>Alan Cervantes|46217</v>
      </c>
      <c r="O2958" s="14">
        <f>IFERROR(__xludf.DUMMYFUNCTION("""COMPUTED_VALUE"""),7.0)</f>
        <v>7</v>
      </c>
    </row>
    <row r="2959" ht="22.5" hidden="1" customHeight="1">
      <c r="A2959" s="8">
        <v>46026.38514454861</v>
      </c>
      <c r="B2959" s="14">
        <v>46026.0</v>
      </c>
      <c r="C2959" s="9" t="s">
        <v>58</v>
      </c>
      <c r="D2959" s="9" t="s">
        <v>335</v>
      </c>
      <c r="E2959" s="9" t="s">
        <v>17</v>
      </c>
      <c r="F2959" s="9" t="s">
        <v>35</v>
      </c>
      <c r="G2959" s="9" t="s">
        <v>24</v>
      </c>
      <c r="H2959" s="9" t="s">
        <v>25</v>
      </c>
      <c r="I2959" s="9" t="s">
        <v>211</v>
      </c>
      <c r="J2959" s="10"/>
      <c r="K2959" s="14">
        <v>4.0</v>
      </c>
      <c r="N2959" s="14" t="str">
        <f>IFERROR(__xludf.DUMMYFUNCTION("""COMPUTED_VALUE"""),"Henry Martín|46217")</f>
        <v>Henry Martín|46217</v>
      </c>
      <c r="O2959" s="14">
        <f>IFERROR(__xludf.DUMMYFUNCTION("""COMPUTED_VALUE"""),4.0)</f>
        <v>4</v>
      </c>
    </row>
    <row r="2960" ht="22.5" hidden="1" customHeight="1">
      <c r="A2960" s="8">
        <v>46026.38563584491</v>
      </c>
      <c r="B2960" s="14">
        <v>46026.0</v>
      </c>
      <c r="C2960" s="9" t="s">
        <v>58</v>
      </c>
      <c r="D2960" s="9" t="s">
        <v>394</v>
      </c>
      <c r="E2960" s="9" t="s">
        <v>17</v>
      </c>
      <c r="F2960" s="9" t="s">
        <v>17</v>
      </c>
      <c r="G2960" s="9" t="s">
        <v>24</v>
      </c>
      <c r="H2960" s="9" t="s">
        <v>25</v>
      </c>
      <c r="I2960" s="9" t="s">
        <v>406</v>
      </c>
      <c r="J2960" s="10"/>
      <c r="K2960" s="14" t="s">
        <v>398</v>
      </c>
      <c r="N2960" s="14" t="str">
        <f>IFERROR(__xludf.DUMMYFUNCTION("""COMPUTED_VALUE"""),"Cristian Borja|46217")</f>
        <v>Cristian Borja|46217</v>
      </c>
      <c r="O2960" s="14">
        <f>IFERROR(__xludf.DUMMYFUNCTION("""COMPUTED_VALUE"""),7.0)</f>
        <v>7</v>
      </c>
    </row>
    <row r="2961" ht="22.5" hidden="1" customHeight="1">
      <c r="A2961" s="8">
        <v>46026.385825729165</v>
      </c>
      <c r="B2961" s="14">
        <v>46026.0</v>
      </c>
      <c r="C2961" s="9" t="s">
        <v>58</v>
      </c>
      <c r="D2961" s="9" t="s">
        <v>394</v>
      </c>
      <c r="E2961" s="9" t="s">
        <v>17</v>
      </c>
      <c r="F2961" s="9" t="s">
        <v>17</v>
      </c>
      <c r="G2961" s="9" t="s">
        <v>24</v>
      </c>
      <c r="H2961" s="9" t="s">
        <v>22</v>
      </c>
      <c r="I2961" s="9" t="s">
        <v>20</v>
      </c>
      <c r="J2961" s="10"/>
      <c r="K2961" s="14" t="s">
        <v>398</v>
      </c>
      <c r="N2961" s="14" t="str">
        <f>IFERROR(__xludf.DUMMYFUNCTION("""COMPUTED_VALUE"""),"Víctor Dávila|46217")</f>
        <v>Víctor Dávila|46217</v>
      </c>
      <c r="O2961" s="14">
        <f>IFERROR(__xludf.DUMMYFUNCTION("""COMPUTED_VALUE"""),6.0)</f>
        <v>6</v>
      </c>
    </row>
    <row r="2962" ht="22.5" hidden="1" customHeight="1">
      <c r="A2962" s="8">
        <v>46026.3860987963</v>
      </c>
      <c r="B2962" s="14">
        <v>46026.0</v>
      </c>
      <c r="C2962" s="9" t="s">
        <v>58</v>
      </c>
      <c r="D2962" s="9" t="s">
        <v>174</v>
      </c>
      <c r="E2962" s="9" t="s">
        <v>17</v>
      </c>
      <c r="F2962" s="9" t="s">
        <v>17</v>
      </c>
      <c r="G2962" s="9" t="s">
        <v>24</v>
      </c>
      <c r="H2962" s="9" t="s">
        <v>25</v>
      </c>
      <c r="I2962" s="9" t="s">
        <v>28</v>
      </c>
      <c r="J2962" s="10"/>
      <c r="K2962" s="14">
        <v>3.0</v>
      </c>
      <c r="N2962" s="14" t="str">
        <f>IFERROR(__xludf.DUMMYFUNCTION("""COMPUTED_VALUE"""),"Luis Ángel Malagón|46217")</f>
        <v>Luis Ángel Malagón|46217</v>
      </c>
      <c r="O2962" s="14">
        <f>IFERROR(__xludf.DUMMYFUNCTION("""COMPUTED_VALUE"""),6.0)</f>
        <v>6</v>
      </c>
    </row>
    <row r="2963" ht="22.5" hidden="1" customHeight="1">
      <c r="A2963" s="8">
        <v>46026.386435196764</v>
      </c>
      <c r="B2963" s="14">
        <v>46026.0</v>
      </c>
      <c r="C2963" s="9" t="s">
        <v>58</v>
      </c>
      <c r="D2963" s="9" t="s">
        <v>210</v>
      </c>
      <c r="E2963" s="9" t="s">
        <v>17</v>
      </c>
      <c r="F2963" s="9" t="s">
        <v>17</v>
      </c>
      <c r="G2963" s="9" t="s">
        <v>24</v>
      </c>
      <c r="H2963" s="9" t="s">
        <v>22</v>
      </c>
      <c r="I2963" s="9" t="s">
        <v>20</v>
      </c>
      <c r="J2963" s="10"/>
      <c r="K2963" s="14" t="s">
        <v>398</v>
      </c>
      <c r="N2963" s="14" t="str">
        <f>IFERROR(__xludf.DUMMYFUNCTION("""COMPUTED_VALUE"""),"Emilio Lara|46217")</f>
        <v>Emilio Lara|46217</v>
      </c>
      <c r="O2963" s="14">
        <f>IFERROR(__xludf.DUMMYFUNCTION("""COMPUTED_VALUE"""),4.0)</f>
        <v>4</v>
      </c>
    </row>
    <row r="2964" ht="22.5" hidden="1" customHeight="1">
      <c r="A2964" s="8">
        <v>46026.386706770834</v>
      </c>
      <c r="B2964" s="14">
        <v>46026.0</v>
      </c>
      <c r="C2964" s="9" t="s">
        <v>58</v>
      </c>
      <c r="D2964" s="9" t="s">
        <v>223</v>
      </c>
      <c r="E2964" s="9" t="s">
        <v>17</v>
      </c>
      <c r="F2964" s="9" t="s">
        <v>17</v>
      </c>
      <c r="G2964" s="9" t="s">
        <v>24</v>
      </c>
      <c r="H2964" s="9" t="s">
        <v>22</v>
      </c>
      <c r="I2964" s="9" t="s">
        <v>20</v>
      </c>
      <c r="J2964" s="10"/>
      <c r="K2964" s="14">
        <v>3.0</v>
      </c>
      <c r="N2964" s="14" t="str">
        <f>IFERROR(__xludf.DUMMYFUNCTION("""COMPUTED_VALUE"""),"Paolo Bedolla|46217")</f>
        <v>Paolo Bedolla|46217</v>
      </c>
      <c r="O2964" s="14">
        <f>IFERROR(__xludf.DUMMYFUNCTION("""COMPUTED_VALUE"""),4.0)</f>
        <v>4</v>
      </c>
    </row>
    <row r="2965" ht="22.5" hidden="1" customHeight="1">
      <c r="A2965" s="8">
        <v>46026.386931597226</v>
      </c>
      <c r="B2965" s="14">
        <v>46026.0</v>
      </c>
      <c r="C2965" s="9" t="s">
        <v>58</v>
      </c>
      <c r="D2965" s="9" t="s">
        <v>247</v>
      </c>
      <c r="E2965" s="9" t="s">
        <v>17</v>
      </c>
      <c r="F2965" s="9" t="s">
        <v>17</v>
      </c>
      <c r="G2965" s="9" t="s">
        <v>24</v>
      </c>
      <c r="H2965" s="9" t="s">
        <v>22</v>
      </c>
      <c r="I2965" s="9" t="s">
        <v>20</v>
      </c>
      <c r="J2965" s="10"/>
      <c r="K2965" s="14">
        <v>3.0</v>
      </c>
      <c r="N2965" s="14" t="str">
        <f>IFERROR(__xludf.DUMMYFUNCTION("""COMPUTED_VALUE"""),"Alexis Gutiérrez|46217")</f>
        <v>Alexis Gutiérrez|46217</v>
      </c>
      <c r="O2965" s="14">
        <f>IFERROR(__xludf.DUMMYFUNCTION("""COMPUTED_VALUE"""),4.0)</f>
        <v>4</v>
      </c>
    </row>
    <row r="2966" ht="22.5" hidden="1" customHeight="1">
      <c r="A2966" s="8">
        <v>46026.387291377316</v>
      </c>
      <c r="B2966" s="14">
        <v>46026.0</v>
      </c>
      <c r="C2966" s="9" t="s">
        <v>58</v>
      </c>
      <c r="D2966" s="9" t="s">
        <v>367</v>
      </c>
      <c r="E2966" s="9" t="s">
        <v>17</v>
      </c>
      <c r="F2966" s="9" t="s">
        <v>17</v>
      </c>
      <c r="G2966" s="9" t="s">
        <v>24</v>
      </c>
      <c r="H2966" s="9" t="s">
        <v>22</v>
      </c>
      <c r="I2966" s="9" t="s">
        <v>20</v>
      </c>
      <c r="J2966" s="10"/>
      <c r="K2966" s="14">
        <v>4.0</v>
      </c>
      <c r="N2966" s="14" t="str">
        <f>IFERROR(__xludf.DUMMYFUNCTION("""COMPUTED_VALUE"""),"Fernando Tapia|46217")</f>
        <v>Fernando Tapia|46217</v>
      </c>
      <c r="O2966" s="14">
        <f>IFERROR(__xludf.DUMMYFUNCTION("""COMPUTED_VALUE"""),4.0)</f>
        <v>4</v>
      </c>
    </row>
    <row r="2967" ht="22.5" hidden="1" customHeight="1">
      <c r="A2967" s="8">
        <v>46026.387560462965</v>
      </c>
      <c r="B2967" s="14">
        <v>46026.0</v>
      </c>
      <c r="C2967" s="9" t="s">
        <v>58</v>
      </c>
      <c r="D2967" s="9" t="s">
        <v>350</v>
      </c>
      <c r="E2967" s="9" t="s">
        <v>17</v>
      </c>
      <c r="F2967" s="9" t="s">
        <v>17</v>
      </c>
      <c r="G2967" s="9" t="s">
        <v>24</v>
      </c>
      <c r="H2967" s="9" t="s">
        <v>22</v>
      </c>
      <c r="I2967" s="9" t="s">
        <v>20</v>
      </c>
      <c r="J2967" s="10"/>
      <c r="K2967" s="14">
        <v>4.0</v>
      </c>
      <c r="N2967" s="14" t="str">
        <f>IFERROR(__xludf.DUMMYFUNCTION("""COMPUTED_VALUE"""),"Erick Sánchez|46217")</f>
        <v>Erick Sánchez|46217</v>
      </c>
      <c r="O2967" s="14">
        <f>IFERROR(__xludf.DUMMYFUNCTION("""COMPUTED_VALUE"""),4.0)</f>
        <v>4</v>
      </c>
    </row>
    <row r="2968" ht="22.5" hidden="1" customHeight="1">
      <c r="A2968" s="8">
        <v>46026.38792383102</v>
      </c>
      <c r="B2968" s="14">
        <v>46026.0</v>
      </c>
      <c r="C2968" s="9" t="s">
        <v>58</v>
      </c>
      <c r="D2968" s="9" t="s">
        <v>280</v>
      </c>
      <c r="E2968" s="9" t="s">
        <v>17</v>
      </c>
      <c r="F2968" s="9" t="s">
        <v>17</v>
      </c>
      <c r="G2968" s="9" t="s">
        <v>24</v>
      </c>
      <c r="H2968" s="9" t="s">
        <v>22</v>
      </c>
      <c r="I2968" s="9" t="s">
        <v>20</v>
      </c>
      <c r="J2968" s="10"/>
      <c r="K2968" s="14">
        <v>3.0</v>
      </c>
      <c r="N2968" s="14" t="str">
        <f>IFERROR(__xludf.DUMMYFUNCTION("""COMPUTED_VALUE"""),"Israel Reyes|46217")</f>
        <v>Israel Reyes|46217</v>
      </c>
      <c r="O2968" s="14">
        <f>IFERROR(__xludf.DUMMYFUNCTION("""COMPUTED_VALUE"""),6.0)</f>
        <v>6</v>
      </c>
    </row>
    <row r="2969" ht="22.5" hidden="1" customHeight="1">
      <c r="A2969" s="8">
        <v>46026.39541041666</v>
      </c>
      <c r="B2969" s="14">
        <v>46026.0</v>
      </c>
      <c r="C2969" s="9" t="s">
        <v>58</v>
      </c>
      <c r="D2969" s="9" t="s">
        <v>105</v>
      </c>
      <c r="E2969" s="9" t="s">
        <v>17</v>
      </c>
      <c r="F2969" s="9" t="s">
        <v>17</v>
      </c>
      <c r="G2969" s="9" t="s">
        <v>24</v>
      </c>
      <c r="H2969" s="9" t="s">
        <v>22</v>
      </c>
      <c r="I2969" s="9" t="s">
        <v>20</v>
      </c>
      <c r="J2969" s="10"/>
      <c r="K2969" s="14">
        <v>2.0</v>
      </c>
      <c r="N2969" s="14" t="str">
        <f>IFERROR(__xludf.DUMMYFUNCTION("""COMPUTED_VALUE"""),"José Raúl Zúñiga|46217")</f>
        <v>José Raúl Zúñiga|46217</v>
      </c>
      <c r="O2969" s="14">
        <f>IFERROR(__xludf.DUMMYFUNCTION("""COMPUTED_VALUE"""),3.0)</f>
        <v>3</v>
      </c>
    </row>
    <row r="2970" ht="22.5" hidden="1" customHeight="1">
      <c r="A2970" s="8">
        <v>46026.39568127315</v>
      </c>
      <c r="B2970" s="14">
        <v>46026.0</v>
      </c>
      <c r="C2970" s="9" t="s">
        <v>58</v>
      </c>
      <c r="D2970" s="9" t="s">
        <v>171</v>
      </c>
      <c r="E2970" s="9" t="s">
        <v>17</v>
      </c>
      <c r="F2970" s="9" t="s">
        <v>17</v>
      </c>
      <c r="G2970" s="9" t="s">
        <v>24</v>
      </c>
      <c r="H2970" s="9" t="s">
        <v>22</v>
      </c>
      <c r="I2970" s="9" t="s">
        <v>20</v>
      </c>
      <c r="J2970" s="10"/>
      <c r="K2970" s="14">
        <v>3.0</v>
      </c>
      <c r="N2970" s="14" t="str">
        <f>IFERROR(__xludf.DUMMYFUNCTION("""COMPUTED_VALUE"""),"Erick Sánchez|46218")</f>
        <v>Erick Sánchez|46218</v>
      </c>
      <c r="O2970" s="14">
        <f>IFERROR(__xludf.DUMMYFUNCTION("""COMPUTED_VALUE"""),7.0)</f>
        <v>7</v>
      </c>
    </row>
    <row r="2971" ht="22.5" hidden="1" customHeight="1">
      <c r="A2971" s="8">
        <v>46026.395932326384</v>
      </c>
      <c r="B2971" s="14">
        <v>46026.0</v>
      </c>
      <c r="C2971" s="9" t="s">
        <v>58</v>
      </c>
      <c r="D2971" s="9" t="s">
        <v>259</v>
      </c>
      <c r="E2971" s="9" t="s">
        <v>17</v>
      </c>
      <c r="F2971" s="9" t="s">
        <v>17</v>
      </c>
      <c r="G2971" s="9" t="s">
        <v>24</v>
      </c>
      <c r="H2971" s="9" t="s">
        <v>22</v>
      </c>
      <c r="I2971" s="9" t="s">
        <v>20</v>
      </c>
      <c r="J2971" s="10"/>
      <c r="K2971" s="14">
        <v>4.0</v>
      </c>
      <c r="N2971" s="14" t="str">
        <f>IFERROR(__xludf.DUMMYFUNCTION("""COMPUTED_VALUE"""),"Raphael Veiga|46218")</f>
        <v>Raphael Veiga|46218</v>
      </c>
      <c r="O2971" s="14">
        <f>IFERROR(__xludf.DUMMYFUNCTION("""COMPUTED_VALUE"""),5.0)</f>
        <v>5</v>
      </c>
    </row>
    <row r="2972" ht="22.5" hidden="1" customHeight="1">
      <c r="A2972" s="8">
        <v>46026.39922678241</v>
      </c>
      <c r="B2972" s="14">
        <v>46026.0</v>
      </c>
      <c r="C2972" s="9" t="s">
        <v>58</v>
      </c>
      <c r="D2972" s="9" t="s">
        <v>170</v>
      </c>
      <c r="E2972" s="9" t="s">
        <v>17</v>
      </c>
      <c r="F2972" s="9" t="s">
        <v>17</v>
      </c>
      <c r="G2972" s="9" t="s">
        <v>24</v>
      </c>
      <c r="H2972" s="9" t="s">
        <v>22</v>
      </c>
      <c r="I2972" s="9" t="s">
        <v>20</v>
      </c>
      <c r="J2972" s="10"/>
      <c r="K2972" s="14">
        <v>2.0</v>
      </c>
      <c r="N2972" s="14" t="str">
        <f>IFERROR(__xludf.DUMMYFUNCTION("""COMPUTED_VALUE"""),"Brian Rodríguez|46218")</f>
        <v>Brian Rodríguez|46218</v>
      </c>
      <c r="O2972" s="14">
        <f>IFERROR(__xludf.DUMMYFUNCTION("""COMPUTED_VALUE"""),3.0)</f>
        <v>3</v>
      </c>
    </row>
    <row r="2973" ht="22.5" hidden="1" customHeight="1">
      <c r="A2973" s="8">
        <v>46026.402178530094</v>
      </c>
      <c r="B2973" s="14">
        <v>46026.0</v>
      </c>
      <c r="C2973" s="9" t="s">
        <v>58</v>
      </c>
      <c r="D2973" s="9" t="s">
        <v>397</v>
      </c>
      <c r="E2973" s="9" t="s">
        <v>17</v>
      </c>
      <c r="F2973" s="9" t="s">
        <v>17</v>
      </c>
      <c r="G2973" s="9" t="s">
        <v>24</v>
      </c>
      <c r="H2973" s="9" t="s">
        <v>22</v>
      </c>
      <c r="I2973" s="9" t="s">
        <v>20</v>
      </c>
      <c r="J2973" s="10"/>
      <c r="K2973" s="14">
        <v>3.0</v>
      </c>
      <c r="N2973" s="14" t="str">
        <f>IFERROR(__xludf.DUMMYFUNCTION("""COMPUTED_VALUE"""),"Isaías Violante|46218")</f>
        <v>Isaías Violante|46218</v>
      </c>
      <c r="O2973" s="14">
        <f>IFERROR(__xludf.DUMMYFUNCTION("""COMPUTED_VALUE"""),8.0)</f>
        <v>8</v>
      </c>
    </row>
    <row r="2974" ht="22.5" hidden="1" customHeight="1">
      <c r="A2974" s="8">
        <v>46028.337677118056</v>
      </c>
      <c r="B2974" s="14">
        <v>46028.0</v>
      </c>
      <c r="C2974" s="9" t="s">
        <v>110</v>
      </c>
      <c r="D2974" s="9" t="s">
        <v>177</v>
      </c>
      <c r="E2974" s="9" t="s">
        <v>17</v>
      </c>
      <c r="F2974" s="9" t="s">
        <v>17</v>
      </c>
      <c r="G2974" s="9" t="s">
        <v>24</v>
      </c>
      <c r="H2974" s="9" t="s">
        <v>22</v>
      </c>
      <c r="I2974" s="9" t="s">
        <v>20</v>
      </c>
      <c r="J2974" s="10"/>
      <c r="K2974" s="14" t="s">
        <v>398</v>
      </c>
      <c r="N2974" s="14" t="str">
        <f>IFERROR(__xludf.DUMMYFUNCTION("""COMPUTED_VALUE"""),"Dagoberto Espinoza|46218")</f>
        <v>Dagoberto Espinoza|46218</v>
      </c>
      <c r="O2974" s="14">
        <f>IFERROR(__xludf.DUMMYFUNCTION("""COMPUTED_VALUE"""),6.0)</f>
        <v>6</v>
      </c>
    </row>
    <row r="2975" ht="22.5" hidden="1" customHeight="1">
      <c r="A2975" s="8">
        <v>46028.341370891205</v>
      </c>
      <c r="B2975" s="14">
        <v>46028.0</v>
      </c>
      <c r="C2975" s="9" t="s">
        <v>110</v>
      </c>
      <c r="D2975" s="9" t="s">
        <v>249</v>
      </c>
      <c r="E2975" s="9" t="s">
        <v>46</v>
      </c>
      <c r="F2975" s="9" t="s">
        <v>17</v>
      </c>
      <c r="G2975" s="9" t="s">
        <v>24</v>
      </c>
      <c r="H2975" s="9" t="s">
        <v>62</v>
      </c>
      <c r="I2975" s="9" t="s">
        <v>20</v>
      </c>
      <c r="J2975" s="10"/>
      <c r="K2975" s="14" t="s">
        <v>398</v>
      </c>
      <c r="N2975" s="14" t="str">
        <f>IFERROR(__xludf.DUMMYFUNCTION("""COMPUTED_VALUE"""),"Miguel Vázquez|46218")</f>
        <v>Miguel Vázquez|46218</v>
      </c>
      <c r="O2975" s="14">
        <f>IFERROR(__xludf.DUMMYFUNCTION("""COMPUTED_VALUE"""),5.0)</f>
        <v>5</v>
      </c>
    </row>
    <row r="2976" ht="22.5" hidden="1" customHeight="1">
      <c r="A2976" s="8">
        <v>46028.38177849537</v>
      </c>
      <c r="B2976" s="14">
        <v>46028.0</v>
      </c>
      <c r="C2976" s="9" t="s">
        <v>110</v>
      </c>
      <c r="D2976" s="9" t="s">
        <v>258</v>
      </c>
      <c r="E2976" s="9" t="s">
        <v>17</v>
      </c>
      <c r="F2976" s="9" t="s">
        <v>17</v>
      </c>
      <c r="G2976" s="9" t="s">
        <v>24</v>
      </c>
      <c r="H2976" s="9" t="s">
        <v>22</v>
      </c>
      <c r="I2976" s="9" t="s">
        <v>20</v>
      </c>
      <c r="J2976" s="10"/>
      <c r="K2976" s="14" t="s">
        <v>398</v>
      </c>
      <c r="N2976" s="14" t="str">
        <f>IFERROR(__xludf.DUMMYFUNCTION("""COMPUTED_VALUE"""),"Ramón Juárez|46218")</f>
        <v>Ramón Juárez|46218</v>
      </c>
      <c r="O2976" s="14">
        <f>IFERROR(__xludf.DUMMYFUNCTION("""COMPUTED_VALUE"""),6.0)</f>
        <v>6</v>
      </c>
    </row>
    <row r="2977" ht="22.5" hidden="1" customHeight="1">
      <c r="A2977" s="8">
        <v>46028.38199310185</v>
      </c>
      <c r="B2977" s="14">
        <v>46028.0</v>
      </c>
      <c r="C2977" s="9" t="s">
        <v>110</v>
      </c>
      <c r="D2977" s="9" t="s">
        <v>396</v>
      </c>
      <c r="E2977" s="9" t="s">
        <v>17</v>
      </c>
      <c r="F2977" s="9" t="s">
        <v>17</v>
      </c>
      <c r="G2977" s="9" t="s">
        <v>24</v>
      </c>
      <c r="H2977" s="9" t="s">
        <v>22</v>
      </c>
      <c r="I2977" s="9" t="s">
        <v>20</v>
      </c>
      <c r="J2977" s="10"/>
      <c r="K2977" s="14" t="s">
        <v>398</v>
      </c>
      <c r="N2977" s="14" t="str">
        <f>IFERROR(__xludf.DUMMYFUNCTION("""COMPUTED_VALUE"""),"Cristian Borja|46218")</f>
        <v>Cristian Borja|46218</v>
      </c>
      <c r="O2977" s="14">
        <f>IFERROR(__xludf.DUMMYFUNCTION("""COMPUTED_VALUE"""),6.0)</f>
        <v>6</v>
      </c>
    </row>
    <row r="2978" ht="22.5" hidden="1" customHeight="1">
      <c r="A2978" s="8">
        <v>46028.38237416667</v>
      </c>
      <c r="B2978" s="14">
        <v>46028.0</v>
      </c>
      <c r="C2978" s="9" t="s">
        <v>110</v>
      </c>
      <c r="D2978" s="9" t="s">
        <v>171</v>
      </c>
      <c r="E2978" s="9" t="s">
        <v>17</v>
      </c>
      <c r="F2978" s="9" t="s">
        <v>17</v>
      </c>
      <c r="G2978" s="9" t="s">
        <v>24</v>
      </c>
      <c r="H2978" s="9" t="s">
        <v>22</v>
      </c>
      <c r="I2978" s="9" t="s">
        <v>20</v>
      </c>
      <c r="J2978" s="10"/>
      <c r="K2978" s="14" t="s">
        <v>398</v>
      </c>
      <c r="N2978" s="14" t="str">
        <f>IFERROR(__xludf.DUMMYFUNCTION("""COMPUTED_VALUE"""),"Alexis Gutiérrez|46218")</f>
        <v>Alexis Gutiérrez|46218</v>
      </c>
      <c r="O2978" s="14">
        <f>IFERROR(__xludf.DUMMYFUNCTION("""COMPUTED_VALUE"""),6.0)</f>
        <v>6</v>
      </c>
    </row>
    <row r="2979" ht="22.5" hidden="1" customHeight="1">
      <c r="A2979" s="8">
        <v>46028.382581365746</v>
      </c>
      <c r="B2979" s="14">
        <v>46028.0</v>
      </c>
      <c r="C2979" s="9" t="s">
        <v>110</v>
      </c>
      <c r="D2979" s="9" t="s">
        <v>175</v>
      </c>
      <c r="E2979" s="9" t="s">
        <v>17</v>
      </c>
      <c r="F2979" s="9" t="s">
        <v>17</v>
      </c>
      <c r="G2979" s="9" t="s">
        <v>24</v>
      </c>
      <c r="H2979" s="9" t="s">
        <v>22</v>
      </c>
      <c r="I2979" s="9" t="s">
        <v>20</v>
      </c>
      <c r="J2979" s="10"/>
      <c r="K2979" s="14" t="s">
        <v>398</v>
      </c>
      <c r="N2979" s="14" t="str">
        <f>IFERROR(__xludf.DUMMYFUNCTION("""COMPUTED_VALUE"""),"José Raúl Zúñiga|46218")</f>
        <v>José Raúl Zúñiga|46218</v>
      </c>
      <c r="O2979" s="14">
        <f>IFERROR(__xludf.DUMMYFUNCTION("""COMPUTED_VALUE"""),4.0)</f>
        <v>4</v>
      </c>
    </row>
    <row r="2980" ht="22.5" hidden="1" customHeight="1">
      <c r="A2980" s="8">
        <v>46028.38285515046</v>
      </c>
      <c r="B2980" s="14">
        <v>46028.0</v>
      </c>
      <c r="C2980" s="9" t="s">
        <v>110</v>
      </c>
      <c r="D2980" s="9" t="s">
        <v>105</v>
      </c>
      <c r="E2980" s="9" t="s">
        <v>17</v>
      </c>
      <c r="F2980" s="9" t="s">
        <v>17</v>
      </c>
      <c r="G2980" s="9" t="s">
        <v>24</v>
      </c>
      <c r="H2980" s="9" t="s">
        <v>22</v>
      </c>
      <c r="I2980" s="9" t="s">
        <v>20</v>
      </c>
      <c r="J2980" s="10"/>
      <c r="K2980" s="14" t="s">
        <v>398</v>
      </c>
      <c r="N2980" s="14" t="str">
        <f>IFERROR(__xludf.DUMMYFUNCTION("""COMPUTED_VALUE"""),"Israel Reyes|46218")</f>
        <v>Israel Reyes|46218</v>
      </c>
      <c r="O2980" s="14">
        <f>IFERROR(__xludf.DUMMYFUNCTION("""COMPUTED_VALUE"""),9.0)</f>
        <v>9</v>
      </c>
    </row>
    <row r="2981" ht="22.5" hidden="1" customHeight="1">
      <c r="A2981" s="8">
        <v>46028.38309944444</v>
      </c>
      <c r="B2981" s="14">
        <v>46028.0</v>
      </c>
      <c r="C2981" s="9" t="s">
        <v>110</v>
      </c>
      <c r="D2981" s="9" t="s">
        <v>259</v>
      </c>
      <c r="E2981" s="9" t="s">
        <v>17</v>
      </c>
      <c r="F2981" s="9" t="s">
        <v>17</v>
      </c>
      <c r="G2981" s="9" t="s">
        <v>24</v>
      </c>
      <c r="H2981" s="9" t="s">
        <v>25</v>
      </c>
      <c r="I2981" s="9" t="s">
        <v>89</v>
      </c>
      <c r="J2981" s="10"/>
      <c r="K2981" s="14" t="s">
        <v>398</v>
      </c>
      <c r="N2981" s="14" t="str">
        <f>IFERROR(__xludf.DUMMYFUNCTION("""COMPUTED_VALUE"""),"Emilio Lara|46218")</f>
        <v>Emilio Lara|46218</v>
      </c>
      <c r="O2981" s="14">
        <f>IFERROR(__xludf.DUMMYFUNCTION("""COMPUTED_VALUE"""),4.0)</f>
        <v>4</v>
      </c>
    </row>
    <row r="2982" ht="22.5" hidden="1" customHeight="1">
      <c r="A2982" s="8">
        <v>46028.3838784838</v>
      </c>
      <c r="B2982" s="14">
        <v>46028.0</v>
      </c>
      <c r="C2982" s="9" t="s">
        <v>110</v>
      </c>
      <c r="D2982" s="9" t="s">
        <v>178</v>
      </c>
      <c r="E2982" s="9" t="s">
        <v>17</v>
      </c>
      <c r="F2982" s="9" t="s">
        <v>17</v>
      </c>
      <c r="G2982" s="9" t="s">
        <v>24</v>
      </c>
      <c r="H2982" s="9" t="s">
        <v>25</v>
      </c>
      <c r="I2982" s="9" t="s">
        <v>218</v>
      </c>
      <c r="J2982" s="10"/>
      <c r="K2982" s="14" t="s">
        <v>398</v>
      </c>
      <c r="N2982" s="14" t="str">
        <f>IFERROR(__xludf.DUMMYFUNCTION("""COMPUTED_VALUE"""),"Sebastián Cáceres|46218")</f>
        <v>Sebastián Cáceres|46218</v>
      </c>
      <c r="O2982" s="14">
        <f>IFERROR(__xludf.DUMMYFUNCTION("""COMPUTED_VALUE"""),6.0)</f>
        <v>6</v>
      </c>
    </row>
    <row r="2983" ht="22.5" hidden="1" customHeight="1">
      <c r="A2983" s="8">
        <v>46028.38409334491</v>
      </c>
      <c r="B2983" s="14">
        <v>46028.0</v>
      </c>
      <c r="C2983" s="9" t="s">
        <v>110</v>
      </c>
      <c r="D2983" s="9" t="s">
        <v>280</v>
      </c>
      <c r="E2983" s="9" t="s">
        <v>17</v>
      </c>
      <c r="F2983" s="9" t="s">
        <v>17</v>
      </c>
      <c r="G2983" s="9" t="s">
        <v>24</v>
      </c>
      <c r="H2983" s="9" t="s">
        <v>22</v>
      </c>
      <c r="I2983" s="9" t="s">
        <v>20</v>
      </c>
      <c r="J2983" s="10"/>
      <c r="K2983" s="14" t="s">
        <v>398</v>
      </c>
      <c r="N2983" s="14" t="str">
        <f>IFERROR(__xludf.DUMMYFUNCTION("""COMPUTED_VALUE"""),"Alan Cervantes|46218")</f>
        <v>Alan Cervantes|46218</v>
      </c>
      <c r="O2983" s="14">
        <f>IFERROR(__xludf.DUMMYFUNCTION("""COMPUTED_VALUE"""),9.0)</f>
        <v>9</v>
      </c>
    </row>
    <row r="2984" ht="22.5" hidden="1" customHeight="1">
      <c r="A2984" s="8">
        <v>46028.38443479167</v>
      </c>
      <c r="B2984" s="14">
        <v>46028.0</v>
      </c>
      <c r="C2984" s="9" t="s">
        <v>110</v>
      </c>
      <c r="D2984" s="9" t="s">
        <v>335</v>
      </c>
      <c r="E2984" s="9" t="s">
        <v>17</v>
      </c>
      <c r="F2984" s="9" t="s">
        <v>18</v>
      </c>
      <c r="G2984" s="9" t="s">
        <v>19</v>
      </c>
      <c r="H2984" s="9" t="s">
        <v>25</v>
      </c>
      <c r="I2984" s="9" t="s">
        <v>211</v>
      </c>
      <c r="J2984" s="10"/>
      <c r="K2984" s="14" t="s">
        <v>398</v>
      </c>
      <c r="N2984" s="14" t="str">
        <f>IFERROR(__xludf.DUMMYFUNCTION("""COMPUTED_VALUE"""),"Franco Rossano|46218")</f>
        <v>Franco Rossano|46218</v>
      </c>
      <c r="O2984" s="14">
        <f>IFERROR(__xludf.DUMMYFUNCTION("""COMPUTED_VALUE"""),8.0)</f>
        <v>8</v>
      </c>
    </row>
    <row r="2985" ht="22.5" hidden="1" customHeight="1">
      <c r="A2985" s="8">
        <v>46028.38471440972</v>
      </c>
      <c r="B2985" s="14">
        <v>46028.0</v>
      </c>
      <c r="C2985" s="9" t="s">
        <v>110</v>
      </c>
      <c r="D2985" s="9" t="s">
        <v>394</v>
      </c>
      <c r="E2985" s="9" t="s">
        <v>17</v>
      </c>
      <c r="F2985" s="9" t="s">
        <v>17</v>
      </c>
      <c r="G2985" s="9" t="s">
        <v>24</v>
      </c>
      <c r="H2985" s="9" t="s">
        <v>22</v>
      </c>
      <c r="I2985" s="9" t="s">
        <v>20</v>
      </c>
      <c r="J2985" s="10"/>
      <c r="K2985" s="14" t="s">
        <v>398</v>
      </c>
      <c r="N2985" s="14" t="str">
        <f>IFERROR(__xludf.DUMMYFUNCTION("""COMPUTED_VALUE"""),"Fernando Tapia|46218")</f>
        <v>Fernando Tapia|46218</v>
      </c>
      <c r="O2985" s="14">
        <f>IFERROR(__xludf.DUMMYFUNCTION("""COMPUTED_VALUE"""),5.0)</f>
        <v>5</v>
      </c>
    </row>
    <row r="2986" ht="22.5" hidden="1" customHeight="1">
      <c r="A2986" s="8">
        <v>46028.38540741898</v>
      </c>
      <c r="B2986" s="14">
        <v>46028.0</v>
      </c>
      <c r="C2986" s="9" t="s">
        <v>110</v>
      </c>
      <c r="D2986" s="9" t="s">
        <v>174</v>
      </c>
      <c r="E2986" s="9" t="s">
        <v>17</v>
      </c>
      <c r="F2986" s="9" t="s">
        <v>39</v>
      </c>
      <c r="G2986" s="9" t="s">
        <v>24</v>
      </c>
      <c r="H2986" s="9" t="s">
        <v>22</v>
      </c>
      <c r="I2986" s="9" t="s">
        <v>407</v>
      </c>
      <c r="J2986" s="10"/>
      <c r="K2986" s="14" t="s">
        <v>398</v>
      </c>
      <c r="N2986" s="14" t="str">
        <f>IFERROR(__xludf.DUMMYFUNCTION("""COMPUTED_VALUE"""),"Henry Martín|46218")</f>
        <v>Henry Martín|46218</v>
      </c>
      <c r="O2986" s="14">
        <f>IFERROR(__xludf.DUMMYFUNCTION("""COMPUTED_VALUE"""),6.0)</f>
        <v>6</v>
      </c>
    </row>
    <row r="2987" ht="22.5" hidden="1" customHeight="1">
      <c r="A2987" s="8">
        <v>46028.38595465278</v>
      </c>
      <c r="B2987" s="14">
        <v>46028.0</v>
      </c>
      <c r="C2987" s="9" t="s">
        <v>110</v>
      </c>
      <c r="D2987" s="9" t="s">
        <v>257</v>
      </c>
      <c r="E2987" s="9" t="s">
        <v>17</v>
      </c>
      <c r="F2987" s="9" t="s">
        <v>17</v>
      </c>
      <c r="G2987" s="9" t="s">
        <v>24</v>
      </c>
      <c r="H2987" s="9" t="s">
        <v>25</v>
      </c>
      <c r="I2987" s="9" t="s">
        <v>173</v>
      </c>
      <c r="J2987" s="10"/>
      <c r="K2987" s="14" t="s">
        <v>398</v>
      </c>
      <c r="N2987" s="14" t="str">
        <f>IFERROR(__xludf.DUMMYFUNCTION("""COMPUTED_VALUE"""),"Patricio Salas|46218")</f>
        <v>Patricio Salas|46218</v>
      </c>
      <c r="O2987" s="14">
        <f>IFERROR(__xludf.DUMMYFUNCTION("""COMPUTED_VALUE"""),7.0)</f>
        <v>7</v>
      </c>
    </row>
    <row r="2988" ht="22.5" hidden="1" customHeight="1">
      <c r="A2988" s="8">
        <v>46028.38622533565</v>
      </c>
      <c r="B2988" s="14">
        <v>46028.0</v>
      </c>
      <c r="C2988" s="9" t="s">
        <v>110</v>
      </c>
      <c r="D2988" s="9" t="s">
        <v>247</v>
      </c>
      <c r="E2988" s="9" t="s">
        <v>30</v>
      </c>
      <c r="F2988" s="9" t="s">
        <v>35</v>
      </c>
      <c r="G2988" s="9" t="s">
        <v>19</v>
      </c>
      <c r="H2988" s="9" t="s">
        <v>22</v>
      </c>
      <c r="I2988" s="9" t="s">
        <v>20</v>
      </c>
      <c r="J2988" s="10"/>
      <c r="K2988" s="14" t="s">
        <v>398</v>
      </c>
      <c r="N2988" s="14" t="str">
        <f>IFERROR(__xludf.DUMMYFUNCTION("""COMPUTED_VALUE"""),"Kevin Álvarez|46219")</f>
        <v>Kevin Álvarez|46219</v>
      </c>
      <c r="O2988" s="14">
        <f>IFERROR(__xludf.DUMMYFUNCTION("""COMPUTED_VALUE"""),2.0)</f>
        <v>2</v>
      </c>
    </row>
    <row r="2989" ht="22.5" hidden="1" customHeight="1">
      <c r="A2989" s="8">
        <v>46028.38645630787</v>
      </c>
      <c r="B2989" s="14">
        <v>46028.0</v>
      </c>
      <c r="C2989" s="9" t="s">
        <v>110</v>
      </c>
      <c r="D2989" s="9" t="s">
        <v>367</v>
      </c>
      <c r="E2989" s="9" t="s">
        <v>17</v>
      </c>
      <c r="F2989" s="9" t="s">
        <v>17</v>
      </c>
      <c r="G2989" s="9" t="s">
        <v>24</v>
      </c>
      <c r="H2989" s="9" t="s">
        <v>22</v>
      </c>
      <c r="I2989" s="9" t="s">
        <v>20</v>
      </c>
      <c r="J2989" s="10"/>
      <c r="K2989" s="14" t="s">
        <v>398</v>
      </c>
      <c r="N2989" s="14" t="str">
        <f>IFERROR(__xludf.DUMMYFUNCTION("""COMPUTED_VALUE"""),"Alan Cervantes|46219")</f>
        <v>Alan Cervantes|46219</v>
      </c>
      <c r="O2989" s="14">
        <f>IFERROR(__xludf.DUMMYFUNCTION("""COMPUTED_VALUE"""),7.0)</f>
        <v>7</v>
      </c>
    </row>
    <row r="2990" ht="22.5" hidden="1" customHeight="1">
      <c r="A2990" s="8">
        <v>46028.38684924769</v>
      </c>
      <c r="B2990" s="14">
        <v>46028.0</v>
      </c>
      <c r="C2990" s="9" t="s">
        <v>110</v>
      </c>
      <c r="D2990" s="9" t="s">
        <v>350</v>
      </c>
      <c r="E2990" s="9" t="s">
        <v>44</v>
      </c>
      <c r="F2990" s="9" t="s">
        <v>43</v>
      </c>
      <c r="G2990" s="9" t="s">
        <v>19</v>
      </c>
      <c r="H2990" s="9" t="s">
        <v>22</v>
      </c>
      <c r="I2990" s="9" t="s">
        <v>20</v>
      </c>
      <c r="J2990" s="10"/>
      <c r="K2990" s="14" t="s">
        <v>398</v>
      </c>
      <c r="N2990" s="14" t="str">
        <f>IFERROR(__xludf.DUMMYFUNCTION("""COMPUTED_VALUE"""),"Brian Rodríguez|46219")</f>
        <v>Brian Rodríguez|46219</v>
      </c>
      <c r="O2990" s="14">
        <f>IFERROR(__xludf.DUMMYFUNCTION("""COMPUTED_VALUE"""),4.0)</f>
        <v>4</v>
      </c>
    </row>
    <row r="2991" ht="22.5" hidden="1" customHeight="1">
      <c r="A2991" s="8">
        <v>46028.387141631945</v>
      </c>
      <c r="B2991" s="14">
        <v>46028.0</v>
      </c>
      <c r="C2991" s="9" t="s">
        <v>110</v>
      </c>
      <c r="D2991" s="9" t="s">
        <v>395</v>
      </c>
      <c r="E2991" s="9" t="s">
        <v>17</v>
      </c>
      <c r="F2991" s="9" t="s">
        <v>17</v>
      </c>
      <c r="G2991" s="9" t="s">
        <v>24</v>
      </c>
      <c r="H2991" s="9" t="s">
        <v>22</v>
      </c>
      <c r="I2991" s="9" t="s">
        <v>20</v>
      </c>
      <c r="J2991" s="10"/>
      <c r="K2991" s="14" t="s">
        <v>398</v>
      </c>
      <c r="N2991" s="14" t="str">
        <f>IFERROR(__xludf.DUMMYFUNCTION("""COMPUTED_VALUE"""),"Dagoberto Espinoza|46219")</f>
        <v>Dagoberto Espinoza|46219</v>
      </c>
      <c r="O2991" s="14">
        <f>IFERROR(__xludf.DUMMYFUNCTION("""COMPUTED_VALUE"""),5.0)</f>
        <v>5</v>
      </c>
    </row>
    <row r="2992" ht="22.5" hidden="1" customHeight="1">
      <c r="A2992" s="8">
        <v>46028.387424120374</v>
      </c>
      <c r="B2992" s="14">
        <v>46028.0</v>
      </c>
      <c r="C2992" s="9" t="s">
        <v>110</v>
      </c>
      <c r="D2992" s="9" t="s">
        <v>357</v>
      </c>
      <c r="E2992" s="9" t="s">
        <v>17</v>
      </c>
      <c r="F2992" s="9" t="s">
        <v>17</v>
      </c>
      <c r="G2992" s="9" t="s">
        <v>24</v>
      </c>
      <c r="H2992" s="9" t="s">
        <v>22</v>
      </c>
      <c r="I2992" s="9" t="s">
        <v>20</v>
      </c>
      <c r="J2992" s="10"/>
      <c r="K2992" s="14" t="s">
        <v>398</v>
      </c>
      <c r="N2992" s="14" t="str">
        <f>IFERROR(__xludf.DUMMYFUNCTION("""COMPUTED_VALUE"""),"Fernando Tapia|46219")</f>
        <v>Fernando Tapia|46219</v>
      </c>
      <c r="O2992" s="14">
        <f>IFERROR(__xludf.DUMMYFUNCTION("""COMPUTED_VALUE"""),4.0)</f>
        <v>4</v>
      </c>
    </row>
    <row r="2993" ht="22.5" hidden="1" customHeight="1">
      <c r="A2993" s="8">
        <v>46028.387646574076</v>
      </c>
      <c r="B2993" s="14">
        <v>46028.0</v>
      </c>
      <c r="C2993" s="9" t="s">
        <v>110</v>
      </c>
      <c r="D2993" s="9" t="s">
        <v>357</v>
      </c>
      <c r="E2993" s="9" t="s">
        <v>17</v>
      </c>
      <c r="F2993" s="9" t="s">
        <v>17</v>
      </c>
      <c r="G2993" s="9" t="s">
        <v>24</v>
      </c>
      <c r="H2993" s="9" t="s">
        <v>22</v>
      </c>
      <c r="I2993" s="9" t="s">
        <v>20</v>
      </c>
      <c r="J2993" s="10"/>
      <c r="K2993" s="14" t="s">
        <v>398</v>
      </c>
      <c r="N2993" s="14" t="str">
        <f>IFERROR(__xludf.DUMMYFUNCTION("""COMPUTED_VALUE"""),"Miguel Vázquez|46219")</f>
        <v>Miguel Vázquez|46219</v>
      </c>
      <c r="O2993" s="14">
        <f>IFERROR(__xludf.DUMMYFUNCTION("""COMPUTED_VALUE"""),3.0)</f>
        <v>3</v>
      </c>
    </row>
    <row r="2994" ht="22.5" hidden="1" customHeight="1">
      <c r="A2994" s="8">
        <v>46028.387970625</v>
      </c>
      <c r="B2994" s="14">
        <v>46028.0</v>
      </c>
      <c r="C2994" s="9" t="s">
        <v>110</v>
      </c>
      <c r="D2994" s="9" t="s">
        <v>393</v>
      </c>
      <c r="E2994" s="9" t="s">
        <v>17</v>
      </c>
      <c r="F2994" s="9" t="s">
        <v>17</v>
      </c>
      <c r="G2994" s="9" t="s">
        <v>19</v>
      </c>
      <c r="H2994" s="9" t="s">
        <v>22</v>
      </c>
      <c r="I2994" s="9" t="s">
        <v>20</v>
      </c>
      <c r="J2994" s="10"/>
      <c r="K2994" s="14" t="s">
        <v>398</v>
      </c>
      <c r="N2994" s="14" t="str">
        <f>IFERROR(__xludf.DUMMYFUNCTION("""COMPUTED_VALUE"""),"Sebastián Cáceres|46219")</f>
        <v>Sebastián Cáceres|46219</v>
      </c>
      <c r="O2994" s="14">
        <f>IFERROR(__xludf.DUMMYFUNCTION("""COMPUTED_VALUE"""),4.0)</f>
        <v>4</v>
      </c>
    </row>
    <row r="2995" ht="22.5" hidden="1" customHeight="1">
      <c r="A2995" s="8">
        <v>46028.38816862268</v>
      </c>
      <c r="B2995" s="14">
        <v>46028.0</v>
      </c>
      <c r="C2995" s="9" t="s">
        <v>110</v>
      </c>
      <c r="D2995" s="9" t="s">
        <v>408</v>
      </c>
      <c r="E2995" s="9" t="s">
        <v>17</v>
      </c>
      <c r="F2995" s="9" t="s">
        <v>17</v>
      </c>
      <c r="G2995" s="9" t="s">
        <v>24</v>
      </c>
      <c r="H2995" s="9" t="s">
        <v>22</v>
      </c>
      <c r="I2995" s="9" t="s">
        <v>20</v>
      </c>
      <c r="J2995" s="10"/>
      <c r="K2995" s="14" t="s">
        <v>398</v>
      </c>
      <c r="N2995" s="14" t="str">
        <f>IFERROR(__xludf.DUMMYFUNCTION("""COMPUTED_VALUE"""),"Isaías Violante|46219")</f>
        <v>Isaías Violante|46219</v>
      </c>
      <c r="O2995" s="14">
        <f>IFERROR(__xludf.DUMMYFUNCTION("""COMPUTED_VALUE"""),6.0)</f>
        <v>6</v>
      </c>
    </row>
    <row r="2996" ht="22.5" hidden="1" customHeight="1">
      <c r="A2996" s="8">
        <v>46028.38836684028</v>
      </c>
      <c r="B2996" s="14">
        <v>46028.0</v>
      </c>
      <c r="C2996" s="9" t="s">
        <v>110</v>
      </c>
      <c r="D2996" s="9" t="s">
        <v>369</v>
      </c>
      <c r="E2996" s="9" t="s">
        <v>17</v>
      </c>
      <c r="F2996" s="9" t="s">
        <v>17</v>
      </c>
      <c r="G2996" s="9" t="s">
        <v>24</v>
      </c>
      <c r="H2996" s="9" t="s">
        <v>22</v>
      </c>
      <c r="I2996" s="9" t="s">
        <v>20</v>
      </c>
      <c r="J2996" s="10"/>
      <c r="K2996" s="14" t="s">
        <v>398</v>
      </c>
      <c r="N2996" s="14" t="str">
        <f>IFERROR(__xludf.DUMMYFUNCTION("""COMPUTED_VALUE"""),"Patricio Salas|46219")</f>
        <v>Patricio Salas|46219</v>
      </c>
      <c r="O2996" s="14">
        <f>IFERROR(__xludf.DUMMYFUNCTION("""COMPUTED_VALUE"""),3.0)</f>
        <v>3</v>
      </c>
    </row>
    <row r="2997" ht="22.5" hidden="1" customHeight="1">
      <c r="A2997" s="8">
        <v>46028.38866887732</v>
      </c>
      <c r="B2997" s="14">
        <v>46028.0</v>
      </c>
      <c r="C2997" s="9" t="s">
        <v>110</v>
      </c>
      <c r="D2997" s="9" t="s">
        <v>168</v>
      </c>
      <c r="E2997" s="9" t="s">
        <v>17</v>
      </c>
      <c r="F2997" s="9" t="s">
        <v>17</v>
      </c>
      <c r="G2997" s="9" t="s">
        <v>24</v>
      </c>
      <c r="H2997" s="9" t="s">
        <v>22</v>
      </c>
      <c r="I2997" s="9" t="s">
        <v>20</v>
      </c>
      <c r="J2997" s="10"/>
      <c r="K2997" s="14" t="s">
        <v>398</v>
      </c>
      <c r="N2997" s="14" t="str">
        <f>IFERROR(__xludf.DUMMYFUNCTION("""COMPUTED_VALUE"""),"Cristian Borja|46219")</f>
        <v>Cristian Borja|46219</v>
      </c>
      <c r="O2997" s="14">
        <f>IFERROR(__xludf.DUMMYFUNCTION("""COMPUTED_VALUE"""),8.0)</f>
        <v>8</v>
      </c>
    </row>
    <row r="2998" ht="22.5" hidden="1" customHeight="1">
      <c r="A2998" s="8">
        <v>46028.39621015046</v>
      </c>
      <c r="B2998" s="14">
        <v>46028.0</v>
      </c>
      <c r="C2998" s="9" t="s">
        <v>110</v>
      </c>
      <c r="D2998" s="9" t="s">
        <v>223</v>
      </c>
      <c r="E2998" s="9" t="s">
        <v>17</v>
      </c>
      <c r="F2998" s="9" t="s">
        <v>17</v>
      </c>
      <c r="G2998" s="9" t="s">
        <v>24</v>
      </c>
      <c r="H2998" s="9" t="s">
        <v>22</v>
      </c>
      <c r="I2998" s="9" t="s">
        <v>20</v>
      </c>
      <c r="J2998" s="10"/>
      <c r="K2998" s="14" t="s">
        <v>398</v>
      </c>
      <c r="N2998" s="14" t="str">
        <f>IFERROR(__xludf.DUMMYFUNCTION("""COMPUTED_VALUE"""),"Alexis Gutiérrez|46219")</f>
        <v>Alexis Gutiérrez|46219</v>
      </c>
      <c r="O2998" s="14">
        <f>IFERROR(__xludf.DUMMYFUNCTION("""COMPUTED_VALUE"""),5.0)</f>
        <v>5</v>
      </c>
    </row>
    <row r="2999" ht="22.5" hidden="1" customHeight="1">
      <c r="A2999" s="8">
        <v>46029.333124502315</v>
      </c>
      <c r="B2999" s="14">
        <v>46029.0</v>
      </c>
      <c r="C2999" s="9" t="s">
        <v>15</v>
      </c>
      <c r="D2999" s="9" t="s">
        <v>257</v>
      </c>
      <c r="E2999" s="9" t="s">
        <v>17</v>
      </c>
      <c r="F2999" s="9" t="s">
        <v>17</v>
      </c>
      <c r="G2999" s="9" t="s">
        <v>24</v>
      </c>
      <c r="H2999" s="9" t="s">
        <v>17</v>
      </c>
      <c r="I2999" s="9" t="s">
        <v>20</v>
      </c>
      <c r="J2999" s="10"/>
      <c r="K2999" s="14" t="s">
        <v>398</v>
      </c>
      <c r="N2999" s="14" t="str">
        <f>IFERROR(__xludf.DUMMYFUNCTION("""COMPUTED_VALUE"""),"José Raúl Zúñiga|46219")</f>
        <v>José Raúl Zúñiga|46219</v>
      </c>
      <c r="O2999" s="14">
        <f>IFERROR(__xludf.DUMMYFUNCTION("""COMPUTED_VALUE"""),3.0)</f>
        <v>3</v>
      </c>
    </row>
    <row r="3000" ht="22.5" hidden="1" customHeight="1">
      <c r="A3000" s="8">
        <v>46029.340667662036</v>
      </c>
      <c r="B3000" s="14">
        <v>46029.0</v>
      </c>
      <c r="C3000" s="9" t="s">
        <v>15</v>
      </c>
      <c r="D3000" s="9" t="s">
        <v>408</v>
      </c>
      <c r="E3000" s="9" t="s">
        <v>46</v>
      </c>
      <c r="F3000" s="9" t="s">
        <v>17</v>
      </c>
      <c r="G3000" s="9" t="s">
        <v>24</v>
      </c>
      <c r="H3000" s="9" t="s">
        <v>22</v>
      </c>
      <c r="I3000" s="9" t="s">
        <v>20</v>
      </c>
      <c r="J3000" s="10"/>
      <c r="K3000" s="14">
        <v>5.0</v>
      </c>
      <c r="N3000" s="14" t="str">
        <f>IFERROR(__xludf.DUMMYFUNCTION("""COMPUTED_VALUE"""),"Erick Sánchez|46219")</f>
        <v>Erick Sánchez|46219</v>
      </c>
      <c r="O3000" s="14">
        <f>IFERROR(__xludf.DUMMYFUNCTION("""COMPUTED_VALUE"""),4.0)</f>
        <v>4</v>
      </c>
    </row>
    <row r="3001" ht="22.5" hidden="1" customHeight="1">
      <c r="A3001" s="8">
        <v>46029.352238067135</v>
      </c>
      <c r="B3001" s="14">
        <v>46029.0</v>
      </c>
      <c r="C3001" s="9" t="s">
        <v>15</v>
      </c>
      <c r="D3001" s="9" t="s">
        <v>177</v>
      </c>
      <c r="E3001" s="9" t="s">
        <v>17</v>
      </c>
      <c r="F3001" s="9" t="s">
        <v>17</v>
      </c>
      <c r="G3001" s="9" t="s">
        <v>24</v>
      </c>
      <c r="H3001" s="9" t="s">
        <v>22</v>
      </c>
      <c r="I3001" s="9" t="s">
        <v>20</v>
      </c>
      <c r="J3001" s="10"/>
      <c r="K3001" s="14" t="s">
        <v>398</v>
      </c>
      <c r="N3001" s="14" t="str">
        <f>IFERROR(__xludf.DUMMYFUNCTION("""COMPUTED_VALUE"""),"Emilio Lara|46219")</f>
        <v>Emilio Lara|46219</v>
      </c>
      <c r="O3001" s="14">
        <f>IFERROR(__xludf.DUMMYFUNCTION("""COMPUTED_VALUE"""),3.0)</f>
        <v>3</v>
      </c>
    </row>
    <row r="3002" ht="22.5" hidden="1" customHeight="1">
      <c r="A3002" s="8">
        <v>46029.35668337963</v>
      </c>
      <c r="B3002" s="14">
        <v>46029.0</v>
      </c>
      <c r="C3002" s="9" t="s">
        <v>15</v>
      </c>
      <c r="D3002" s="9" t="s">
        <v>395</v>
      </c>
      <c r="E3002" s="9" t="s">
        <v>17</v>
      </c>
      <c r="F3002" s="9" t="s">
        <v>17</v>
      </c>
      <c r="G3002" s="9" t="s">
        <v>24</v>
      </c>
      <c r="H3002" s="9" t="s">
        <v>17</v>
      </c>
      <c r="I3002" s="9" t="s">
        <v>20</v>
      </c>
      <c r="J3002" s="10"/>
      <c r="K3002" s="14">
        <v>3.0</v>
      </c>
      <c r="N3002" s="14" t="str">
        <f>IFERROR(__xludf.DUMMYFUNCTION("""COMPUTED_VALUE"""),"Henry Martín|46219")</f>
        <v>Henry Martín|46219</v>
      </c>
      <c r="O3002" s="14">
        <f>IFERROR(__xludf.DUMMYFUNCTION("""COMPUTED_VALUE"""),6.0)</f>
        <v>6</v>
      </c>
    </row>
    <row r="3003" ht="22.5" hidden="1" customHeight="1">
      <c r="A3003" s="8">
        <v>46029.35924893519</v>
      </c>
      <c r="B3003" s="14">
        <v>46029.0</v>
      </c>
      <c r="C3003" s="9" t="s">
        <v>15</v>
      </c>
      <c r="D3003" s="9" t="s">
        <v>168</v>
      </c>
      <c r="E3003" s="9" t="s">
        <v>17</v>
      </c>
      <c r="F3003" s="9" t="s">
        <v>17</v>
      </c>
      <c r="G3003" s="9" t="s">
        <v>19</v>
      </c>
      <c r="H3003" s="9" t="s">
        <v>17</v>
      </c>
      <c r="I3003" s="9" t="s">
        <v>20</v>
      </c>
      <c r="J3003" s="10"/>
      <c r="K3003" s="14">
        <v>4.0</v>
      </c>
      <c r="N3003" s="14" t="str">
        <f>IFERROR(__xludf.DUMMYFUNCTION("""COMPUTED_VALUE"""),"Paolo Bedolla|46219")</f>
        <v>Paolo Bedolla|46219</v>
      </c>
      <c r="O3003" s="14">
        <f>IFERROR(__xludf.DUMMYFUNCTION("""COMPUTED_VALUE"""),3.0)</f>
        <v>3</v>
      </c>
    </row>
    <row r="3004" ht="22.5" hidden="1" customHeight="1">
      <c r="A3004" s="8">
        <v>46029.361093541665</v>
      </c>
      <c r="B3004" s="14">
        <v>46029.0</v>
      </c>
      <c r="C3004" s="9" t="s">
        <v>15</v>
      </c>
      <c r="D3004" s="9" t="s">
        <v>393</v>
      </c>
      <c r="E3004" s="9" t="s">
        <v>17</v>
      </c>
      <c r="F3004" s="9" t="s">
        <v>17</v>
      </c>
      <c r="G3004" s="9" t="s">
        <v>24</v>
      </c>
      <c r="H3004" s="9" t="s">
        <v>17</v>
      </c>
      <c r="I3004" s="9" t="s">
        <v>20</v>
      </c>
      <c r="J3004" s="10"/>
      <c r="K3004" s="14">
        <v>3.0</v>
      </c>
      <c r="N3004" s="14" t="str">
        <f>IFERROR(__xludf.DUMMYFUNCTION("""COMPUTED_VALUE"""),"Ramón Juárez|46219")</f>
        <v>Ramón Juárez|46219</v>
      </c>
      <c r="O3004" s="14">
        <f>IFERROR(__xludf.DUMMYFUNCTION("""COMPUTED_VALUE"""),4.0)</f>
        <v>4</v>
      </c>
    </row>
    <row r="3005" ht="22.5" hidden="1" customHeight="1">
      <c r="A3005" s="8">
        <v>46029.36159461805</v>
      </c>
      <c r="B3005" s="14">
        <v>46029.0</v>
      </c>
      <c r="C3005" s="9" t="s">
        <v>15</v>
      </c>
      <c r="D3005" s="9" t="s">
        <v>394</v>
      </c>
      <c r="E3005" s="9" t="s">
        <v>17</v>
      </c>
      <c r="F3005" s="9" t="s">
        <v>17</v>
      </c>
      <c r="G3005" s="9" t="s">
        <v>24</v>
      </c>
      <c r="H3005" s="9" t="s">
        <v>17</v>
      </c>
      <c r="I3005" s="9" t="s">
        <v>20</v>
      </c>
      <c r="J3005" s="10"/>
      <c r="K3005" s="14">
        <v>4.0</v>
      </c>
      <c r="N3005" s="14" t="str">
        <f>IFERROR(__xludf.DUMMYFUNCTION("""COMPUTED_VALUE"""),"Raphael Veiga|46219")</f>
        <v>Raphael Veiga|46219</v>
      </c>
      <c r="O3005" s="14">
        <f>IFERROR(__xludf.DUMMYFUNCTION("""COMPUTED_VALUE"""),5.0)</f>
        <v>5</v>
      </c>
    </row>
    <row r="3006" ht="22.5" hidden="1" customHeight="1">
      <c r="A3006" s="8">
        <v>46029.361705567135</v>
      </c>
      <c r="B3006" s="14">
        <v>46029.0</v>
      </c>
      <c r="C3006" s="9" t="s">
        <v>15</v>
      </c>
      <c r="D3006" s="9" t="s">
        <v>171</v>
      </c>
      <c r="E3006" s="9" t="s">
        <v>17</v>
      </c>
      <c r="F3006" s="9" t="s">
        <v>17</v>
      </c>
      <c r="G3006" s="9" t="s">
        <v>24</v>
      </c>
      <c r="H3006" s="9" t="s">
        <v>17</v>
      </c>
      <c r="I3006" s="9" t="s">
        <v>20</v>
      </c>
      <c r="J3006" s="10"/>
      <c r="K3006" s="14">
        <v>3.0</v>
      </c>
      <c r="N3006" s="14" t="str">
        <f>IFERROR(__xludf.DUMMYFUNCTION("""COMPUTED_VALUE"""),"Franco Rossano|46219")</f>
        <v>Franco Rossano|46219</v>
      </c>
      <c r="O3006" s="14">
        <f>IFERROR(__xludf.DUMMYFUNCTION("""COMPUTED_VALUE"""),4.0)</f>
        <v>4</v>
      </c>
    </row>
    <row r="3007" ht="22.5" hidden="1" customHeight="1">
      <c r="A3007" s="8">
        <v>46029.36305799769</v>
      </c>
      <c r="B3007" s="14">
        <v>46029.0</v>
      </c>
      <c r="C3007" s="9" t="s">
        <v>15</v>
      </c>
      <c r="D3007" s="9" t="s">
        <v>174</v>
      </c>
      <c r="E3007" s="9" t="s">
        <v>17</v>
      </c>
      <c r="F3007" s="9" t="s">
        <v>17</v>
      </c>
      <c r="G3007" s="9" t="s">
        <v>24</v>
      </c>
      <c r="H3007" s="9" t="s">
        <v>25</v>
      </c>
      <c r="I3007" s="9" t="s">
        <v>273</v>
      </c>
      <c r="J3007" s="10"/>
      <c r="K3007" s="14">
        <v>2.0</v>
      </c>
      <c r="N3007" s="14" t="str">
        <f>IFERROR(__xludf.DUMMYFUNCTION("""COMPUTED_VALUE"""),"Israel Reyes|46219")</f>
        <v>Israel Reyes|46219</v>
      </c>
      <c r="O3007" s="14">
        <f>IFERROR(__xludf.DUMMYFUNCTION("""COMPUTED_VALUE"""),6.0)</f>
        <v>6</v>
      </c>
    </row>
    <row r="3008" ht="22.5" hidden="1" customHeight="1">
      <c r="A3008" s="8">
        <v>46029.365415057866</v>
      </c>
      <c r="B3008" s="14">
        <v>46029.0</v>
      </c>
      <c r="C3008" s="9" t="s">
        <v>15</v>
      </c>
      <c r="D3008" s="9" t="s">
        <v>178</v>
      </c>
      <c r="E3008" s="9" t="s">
        <v>17</v>
      </c>
      <c r="F3008" s="9" t="s">
        <v>17</v>
      </c>
      <c r="G3008" s="9" t="s">
        <v>24</v>
      </c>
      <c r="H3008" s="9" t="s">
        <v>17</v>
      </c>
      <c r="I3008" s="9" t="s">
        <v>20</v>
      </c>
      <c r="J3008" s="10"/>
      <c r="K3008" s="14">
        <v>5.0</v>
      </c>
      <c r="N3008" s="14" t="str">
        <f>IFERROR(__xludf.DUMMYFUNCTION("""COMPUTED_VALUE"""),"Víctor Dávila|46219")</f>
        <v>Víctor Dávila|46219</v>
      </c>
      <c r="O3008" s="14">
        <f>IFERROR(__xludf.DUMMYFUNCTION("""COMPUTED_VALUE"""),6.0)</f>
        <v>6</v>
      </c>
    </row>
    <row r="3009" ht="22.5" hidden="1" customHeight="1">
      <c r="A3009" s="8">
        <v>46029.36586056713</v>
      </c>
      <c r="B3009" s="14">
        <v>46029.0</v>
      </c>
      <c r="C3009" s="9" t="s">
        <v>15</v>
      </c>
      <c r="D3009" s="9" t="s">
        <v>350</v>
      </c>
      <c r="E3009" s="9" t="s">
        <v>17</v>
      </c>
      <c r="F3009" s="9" t="s">
        <v>17</v>
      </c>
      <c r="G3009" s="9" t="s">
        <v>19</v>
      </c>
      <c r="H3009" s="9" t="s">
        <v>17</v>
      </c>
      <c r="I3009" s="9" t="s">
        <v>20</v>
      </c>
      <c r="J3009" s="10"/>
      <c r="K3009" s="14" t="s">
        <v>398</v>
      </c>
      <c r="N3009" s="14" t="str">
        <f>IFERROR(__xludf.DUMMYFUNCTION("""COMPUTED_VALUE"""),"Ramón Juárez|46223")</f>
        <v>Ramón Juárez|46223</v>
      </c>
      <c r="O3009" s="14">
        <f>IFERROR(__xludf.DUMMYFUNCTION("""COMPUTED_VALUE"""),2.0)</f>
        <v>2</v>
      </c>
    </row>
    <row r="3010" ht="22.5" hidden="1" customHeight="1">
      <c r="A3010" s="8">
        <v>46029.37113696759</v>
      </c>
      <c r="B3010" s="14">
        <v>46029.0</v>
      </c>
      <c r="C3010" s="9" t="s">
        <v>15</v>
      </c>
      <c r="D3010" s="9" t="s">
        <v>175</v>
      </c>
      <c r="E3010" s="9" t="s">
        <v>46</v>
      </c>
      <c r="F3010" s="9" t="s">
        <v>17</v>
      </c>
      <c r="G3010" s="9" t="s">
        <v>24</v>
      </c>
      <c r="H3010" s="9" t="s">
        <v>17</v>
      </c>
      <c r="I3010" s="9" t="s">
        <v>20</v>
      </c>
      <c r="J3010" s="10"/>
      <c r="K3010" s="14">
        <v>7.0</v>
      </c>
      <c r="N3010" s="14" t="str">
        <f>IFERROR(__xludf.DUMMYFUNCTION("""COMPUTED_VALUE"""),"Ramón Juárez|46223")</f>
        <v>Ramón Juárez|46223</v>
      </c>
      <c r="O3010" s="14">
        <f>IFERROR(__xludf.DUMMYFUNCTION("""COMPUTED_VALUE"""),2.0)</f>
        <v>2</v>
      </c>
    </row>
    <row r="3011" ht="22.5" hidden="1" customHeight="1">
      <c r="A3011" s="8">
        <v>46029.3713199537</v>
      </c>
      <c r="B3011" s="14">
        <v>46029.0</v>
      </c>
      <c r="C3011" s="9" t="s">
        <v>15</v>
      </c>
      <c r="D3011" s="9" t="s">
        <v>357</v>
      </c>
      <c r="E3011" s="9" t="s">
        <v>46</v>
      </c>
      <c r="F3011" s="9" t="s">
        <v>17</v>
      </c>
      <c r="G3011" s="9" t="s">
        <v>19</v>
      </c>
      <c r="H3011" s="9" t="s">
        <v>25</v>
      </c>
      <c r="I3011" s="9" t="s">
        <v>273</v>
      </c>
      <c r="J3011" s="10"/>
      <c r="K3011" s="14" t="s">
        <v>398</v>
      </c>
      <c r="N3011" s="14" t="str">
        <f>IFERROR(__xludf.DUMMYFUNCTION("""COMPUTED_VALUE"""),"Dagoberto Espinoza|46223")</f>
        <v>Dagoberto Espinoza|46223</v>
      </c>
      <c r="O3011" s="14">
        <f>IFERROR(__xludf.DUMMYFUNCTION("""COMPUTED_VALUE"""),2.0)</f>
        <v>2</v>
      </c>
    </row>
    <row r="3012" ht="22.5" hidden="1" customHeight="1">
      <c r="A3012" s="8">
        <v>46029.37186363426</v>
      </c>
      <c r="B3012" s="14">
        <v>46029.0</v>
      </c>
      <c r="C3012" s="9" t="s">
        <v>15</v>
      </c>
      <c r="D3012" s="9" t="s">
        <v>259</v>
      </c>
      <c r="E3012" s="9" t="s">
        <v>30</v>
      </c>
      <c r="F3012" s="9" t="s">
        <v>18</v>
      </c>
      <c r="G3012" s="9" t="s">
        <v>24</v>
      </c>
      <c r="H3012" s="9" t="s">
        <v>25</v>
      </c>
      <c r="I3012" s="9" t="s">
        <v>89</v>
      </c>
      <c r="J3012" s="10"/>
      <c r="K3012" s="14" t="s">
        <v>398</v>
      </c>
      <c r="N3012" s="14" t="str">
        <f>IFERROR(__xludf.DUMMYFUNCTION("""COMPUTED_VALUE"""),"Kevin Álvarez|46223")</f>
        <v>Kevin Álvarez|46223</v>
      </c>
      <c r="O3012" s="14">
        <f>IFERROR(__xludf.DUMMYFUNCTION("""COMPUTED_VALUE"""),2.0)</f>
        <v>2</v>
      </c>
    </row>
    <row r="3013" ht="22.5" hidden="1" customHeight="1">
      <c r="A3013" s="8">
        <v>46029.37361880787</v>
      </c>
      <c r="B3013" s="14">
        <v>46029.0</v>
      </c>
      <c r="C3013" s="9" t="s">
        <v>15</v>
      </c>
      <c r="D3013" s="9" t="s">
        <v>335</v>
      </c>
      <c r="E3013" s="9" t="s">
        <v>17</v>
      </c>
      <c r="F3013" s="9" t="s">
        <v>17</v>
      </c>
      <c r="G3013" s="9" t="s">
        <v>19</v>
      </c>
      <c r="H3013" s="9" t="s">
        <v>25</v>
      </c>
      <c r="I3013" s="9" t="s">
        <v>211</v>
      </c>
      <c r="J3013" s="10"/>
      <c r="K3013" s="14">
        <v>3.0</v>
      </c>
      <c r="N3013" s="14" t="str">
        <f>IFERROR(__xludf.DUMMYFUNCTION("""COMPUTED_VALUE"""),"Miguel Vázquez|46223")</f>
        <v>Miguel Vázquez|46223</v>
      </c>
      <c r="O3013" s="14">
        <f>IFERROR(__xludf.DUMMYFUNCTION("""COMPUTED_VALUE"""),2.0)</f>
        <v>2</v>
      </c>
    </row>
    <row r="3014" ht="22.5" hidden="1" customHeight="1">
      <c r="A3014" s="8">
        <v>46029.37432820602</v>
      </c>
      <c r="B3014" s="14">
        <v>46029.0</v>
      </c>
      <c r="C3014" s="9" t="s">
        <v>15</v>
      </c>
      <c r="D3014" s="9" t="s">
        <v>396</v>
      </c>
      <c r="E3014" s="9" t="s">
        <v>17</v>
      </c>
      <c r="F3014" s="9" t="s">
        <v>17</v>
      </c>
      <c r="G3014" s="9" t="s">
        <v>24</v>
      </c>
      <c r="H3014" s="9" t="s">
        <v>22</v>
      </c>
      <c r="I3014" s="9" t="s">
        <v>20</v>
      </c>
      <c r="J3014" s="10"/>
      <c r="K3014" s="14">
        <v>2.0</v>
      </c>
      <c r="N3014" s="14" t="str">
        <f>IFERROR(__xludf.DUMMYFUNCTION("""COMPUTED_VALUE"""),"Rodolfo Cota|46223")</f>
        <v>Rodolfo Cota|46223</v>
      </c>
      <c r="O3014" s="14">
        <f>IFERROR(__xludf.DUMMYFUNCTION("""COMPUTED_VALUE"""),1.0)</f>
        <v>1</v>
      </c>
    </row>
    <row r="3015" ht="22.5" hidden="1" customHeight="1">
      <c r="A3015" s="8">
        <v>46029.37762427083</v>
      </c>
      <c r="B3015" s="14">
        <v>46029.0</v>
      </c>
      <c r="C3015" s="9" t="s">
        <v>15</v>
      </c>
      <c r="D3015" s="9" t="s">
        <v>247</v>
      </c>
      <c r="E3015" s="9" t="s">
        <v>17</v>
      </c>
      <c r="F3015" s="9" t="s">
        <v>17</v>
      </c>
      <c r="G3015" s="9" t="s">
        <v>24</v>
      </c>
      <c r="H3015" s="9" t="s">
        <v>22</v>
      </c>
      <c r="I3015" s="9" t="s">
        <v>20</v>
      </c>
      <c r="J3015" s="10"/>
      <c r="K3015" s="14">
        <v>3.0</v>
      </c>
      <c r="N3015" s="14" t="str">
        <f>IFERROR(__xludf.DUMMYFUNCTION("""COMPUTED_VALUE"""),"Erick Sánchez|46223")</f>
        <v>Erick Sánchez|46223</v>
      </c>
      <c r="O3015" s="14">
        <f>IFERROR(__xludf.DUMMYFUNCTION("""COMPUTED_VALUE"""),2.0)</f>
        <v>2</v>
      </c>
    </row>
    <row r="3016" ht="22.5" hidden="1" customHeight="1">
      <c r="A3016" s="8">
        <v>46029.379781979165</v>
      </c>
      <c r="B3016" s="14">
        <v>46029.0</v>
      </c>
      <c r="C3016" s="9" t="s">
        <v>15</v>
      </c>
      <c r="D3016" s="9" t="s">
        <v>210</v>
      </c>
      <c r="E3016" s="9" t="s">
        <v>17</v>
      </c>
      <c r="F3016" s="9" t="s">
        <v>43</v>
      </c>
      <c r="G3016" s="9" t="s">
        <v>24</v>
      </c>
      <c r="H3016" s="9" t="s">
        <v>22</v>
      </c>
      <c r="I3016" s="9" t="s">
        <v>20</v>
      </c>
      <c r="J3016" s="10"/>
      <c r="K3016" s="14">
        <v>6.0</v>
      </c>
      <c r="N3016" s="14" t="str">
        <f>IFERROR(__xludf.DUMMYFUNCTION("""COMPUTED_VALUE"""),"Isaías Violante|46223")</f>
        <v>Isaías Violante|46223</v>
      </c>
      <c r="O3016" s="14">
        <f>IFERROR(__xludf.DUMMYFUNCTION("""COMPUTED_VALUE"""),2.0)</f>
        <v>2</v>
      </c>
    </row>
    <row r="3017" ht="22.5" hidden="1" customHeight="1">
      <c r="A3017" s="8">
        <v>46029.38958636574</v>
      </c>
      <c r="B3017" s="14">
        <v>46029.0</v>
      </c>
      <c r="C3017" s="9" t="s">
        <v>15</v>
      </c>
      <c r="D3017" s="9" t="s">
        <v>105</v>
      </c>
      <c r="E3017" s="9" t="s">
        <v>17</v>
      </c>
      <c r="F3017" s="9" t="s">
        <v>17</v>
      </c>
      <c r="G3017" s="9" t="s">
        <v>24</v>
      </c>
      <c r="H3017" s="9" t="s">
        <v>22</v>
      </c>
      <c r="I3017" s="9" t="s">
        <v>20</v>
      </c>
      <c r="J3017" s="10"/>
      <c r="K3017" s="14">
        <v>2.0</v>
      </c>
      <c r="N3017" s="14" t="str">
        <f>IFERROR(__xludf.DUMMYFUNCTION("""COMPUTED_VALUE"""),"Alan Cervantes|46223")</f>
        <v>Alan Cervantes|46223</v>
      </c>
      <c r="O3017" s="14">
        <f>IFERROR(__xludf.DUMMYFUNCTION("""COMPUTED_VALUE"""),3.0)</f>
        <v>3</v>
      </c>
    </row>
    <row r="3018" ht="22.5" hidden="1" customHeight="1">
      <c r="A3018" s="8">
        <v>46029.39019910879</v>
      </c>
      <c r="B3018" s="14">
        <v>46029.0</v>
      </c>
      <c r="C3018" s="9" t="s">
        <v>15</v>
      </c>
      <c r="D3018" s="9" t="s">
        <v>223</v>
      </c>
      <c r="E3018" s="9" t="s">
        <v>17</v>
      </c>
      <c r="F3018" s="9" t="s">
        <v>17</v>
      </c>
      <c r="G3018" s="9" t="s">
        <v>24</v>
      </c>
      <c r="H3018" s="9" t="s">
        <v>25</v>
      </c>
      <c r="I3018" s="9" t="s">
        <v>273</v>
      </c>
      <c r="J3018" s="10"/>
      <c r="K3018" s="14">
        <v>5.0</v>
      </c>
      <c r="N3018" s="14" t="str">
        <f>IFERROR(__xludf.DUMMYFUNCTION("""COMPUTED_VALUE"""),"Cristian Borja|46223")</f>
        <v>Cristian Borja|46223</v>
      </c>
      <c r="O3018" s="14">
        <f>IFERROR(__xludf.DUMMYFUNCTION("""COMPUTED_VALUE"""),2.0)</f>
        <v>2</v>
      </c>
    </row>
    <row r="3019" ht="22.5" hidden="1" customHeight="1">
      <c r="A3019" s="8">
        <v>46029.39084364583</v>
      </c>
      <c r="B3019" s="14">
        <v>46029.0</v>
      </c>
      <c r="C3019" s="9" t="s">
        <v>15</v>
      </c>
      <c r="D3019" s="9" t="s">
        <v>170</v>
      </c>
      <c r="E3019" s="9" t="s">
        <v>17</v>
      </c>
      <c r="F3019" s="9" t="s">
        <v>43</v>
      </c>
      <c r="G3019" s="9" t="s">
        <v>19</v>
      </c>
      <c r="H3019" s="9" t="s">
        <v>22</v>
      </c>
      <c r="I3019" s="9" t="s">
        <v>20</v>
      </c>
      <c r="J3019" s="10"/>
      <c r="K3019" s="14">
        <v>2.0</v>
      </c>
      <c r="N3019" s="14" t="str">
        <f>IFERROR(__xludf.DUMMYFUNCTION("""COMPUTED_VALUE"""),"Icaro|46223")</f>
        <v>Icaro|46223</v>
      </c>
      <c r="O3019" s="14">
        <f>IFERROR(__xludf.DUMMYFUNCTION("""COMPUTED_VALUE"""),8.0)</f>
        <v>8</v>
      </c>
    </row>
    <row r="3020" ht="22.5" hidden="1" customHeight="1">
      <c r="A3020" s="8">
        <v>46029.394351145835</v>
      </c>
      <c r="B3020" s="14">
        <v>46029.0</v>
      </c>
      <c r="C3020" s="9" t="s">
        <v>15</v>
      </c>
      <c r="D3020" s="9" t="s">
        <v>367</v>
      </c>
      <c r="E3020" s="9" t="s">
        <v>17</v>
      </c>
      <c r="F3020" s="9" t="s">
        <v>17</v>
      </c>
      <c r="G3020" s="9" t="s">
        <v>24</v>
      </c>
      <c r="H3020" s="9" t="s">
        <v>17</v>
      </c>
      <c r="I3020" s="9" t="s">
        <v>20</v>
      </c>
      <c r="J3020" s="10"/>
      <c r="K3020" s="14">
        <v>3.0</v>
      </c>
      <c r="N3020" s="14" t="str">
        <f>IFERROR(__xludf.DUMMYFUNCTION("""COMPUTED_VALUE"""),"Alexis Gutiérrez|46223")</f>
        <v>Alexis Gutiérrez|46223</v>
      </c>
      <c r="O3020" s="14">
        <f>IFERROR(__xludf.DUMMYFUNCTION("""COMPUTED_VALUE"""),8.0)</f>
        <v>8</v>
      </c>
    </row>
    <row r="3021" ht="22.5" hidden="1" customHeight="1">
      <c r="A3021" s="8">
        <v>46030.33791381944</v>
      </c>
      <c r="B3021" s="14">
        <v>46030.0</v>
      </c>
      <c r="C3021" s="9" t="s">
        <v>31</v>
      </c>
      <c r="D3021" s="9" t="s">
        <v>258</v>
      </c>
      <c r="E3021" s="9" t="s">
        <v>17</v>
      </c>
      <c r="F3021" s="9" t="s">
        <v>17</v>
      </c>
      <c r="G3021" s="9" t="s">
        <v>24</v>
      </c>
      <c r="H3021" s="9" t="s">
        <v>22</v>
      </c>
      <c r="I3021" s="9" t="s">
        <v>20</v>
      </c>
      <c r="J3021" s="10"/>
      <c r="K3021" s="14">
        <v>5.0</v>
      </c>
      <c r="N3021" s="14" t="str">
        <f>IFERROR(__xludf.DUMMYFUNCTION("""COMPUTED_VALUE"""),"Santiago Camarena|46223")</f>
        <v>Santiago Camarena|46223</v>
      </c>
      <c r="O3021" s="14">
        <f>IFERROR(__xludf.DUMMYFUNCTION("""COMPUTED_VALUE"""),4.0)</f>
        <v>4</v>
      </c>
    </row>
    <row r="3022" ht="22.5" hidden="1" customHeight="1">
      <c r="A3022" s="8">
        <v>46030.33825259259</v>
      </c>
      <c r="B3022" s="14">
        <v>46030.0</v>
      </c>
      <c r="C3022" s="9" t="s">
        <v>31</v>
      </c>
      <c r="D3022" s="9" t="s">
        <v>280</v>
      </c>
      <c r="E3022" s="9" t="s">
        <v>17</v>
      </c>
      <c r="F3022" s="9" t="s">
        <v>17</v>
      </c>
      <c r="G3022" s="9" t="s">
        <v>24</v>
      </c>
      <c r="H3022" s="9" t="s">
        <v>22</v>
      </c>
      <c r="I3022" s="9" t="s">
        <v>20</v>
      </c>
      <c r="J3022" s="10"/>
      <c r="K3022" s="14">
        <v>3.0</v>
      </c>
      <c r="N3022" s="14" t="str">
        <f>IFERROR(__xludf.DUMMYFUNCTION("""COMPUTED_VALUE"""),"Adrian Fernandez|46223")</f>
        <v>Adrian Fernandez|46223</v>
      </c>
      <c r="O3022" s="14">
        <f>IFERROR(__xludf.DUMMYFUNCTION("""COMPUTED_VALUE"""),7.0)</f>
        <v>7</v>
      </c>
    </row>
    <row r="3023" ht="22.5" hidden="1" customHeight="1">
      <c r="A3023" s="8">
        <v>46030.33862047453</v>
      </c>
      <c r="B3023" s="14">
        <v>46030.0</v>
      </c>
      <c r="C3023" s="9" t="s">
        <v>31</v>
      </c>
      <c r="D3023" s="9" t="s">
        <v>335</v>
      </c>
      <c r="E3023" s="9" t="s">
        <v>17</v>
      </c>
      <c r="F3023" s="9" t="s">
        <v>17</v>
      </c>
      <c r="G3023" s="9" t="s">
        <v>24</v>
      </c>
      <c r="H3023" s="9" t="s">
        <v>22</v>
      </c>
      <c r="I3023" s="9" t="s">
        <v>211</v>
      </c>
      <c r="J3023" s="10"/>
      <c r="K3023" s="14">
        <v>3.0</v>
      </c>
      <c r="N3023" s="14" t="str">
        <f>IFERROR(__xludf.DUMMYFUNCTION("""COMPUTED_VALUE"""),"Diego Arriaga|46223")</f>
        <v>Diego Arriaga|46223</v>
      </c>
      <c r="O3023" s="14">
        <f>IFERROR(__xludf.DUMMYFUNCTION("""COMPUTED_VALUE"""),6.0)</f>
        <v>6</v>
      </c>
    </row>
    <row r="3024" ht="22.5" hidden="1" customHeight="1">
      <c r="A3024" s="8">
        <v>46030.33886203704</v>
      </c>
      <c r="B3024" s="14">
        <v>46030.0</v>
      </c>
      <c r="C3024" s="9" t="s">
        <v>31</v>
      </c>
      <c r="D3024" s="9" t="s">
        <v>257</v>
      </c>
      <c r="E3024" s="9" t="s">
        <v>17</v>
      </c>
      <c r="F3024" s="9" t="s">
        <v>17</v>
      </c>
      <c r="G3024" s="9" t="s">
        <v>24</v>
      </c>
      <c r="H3024" s="9" t="s">
        <v>22</v>
      </c>
      <c r="I3024" s="9" t="s">
        <v>20</v>
      </c>
      <c r="J3024" s="10"/>
      <c r="K3024" s="14" t="s">
        <v>398</v>
      </c>
      <c r="N3024" s="14" t="str">
        <f>IFERROR(__xludf.DUMMYFUNCTION("""COMPUTED_VALUE"""),"Ricardo Gonzalez|46223")</f>
        <v>Ricardo Gonzalez|46223</v>
      </c>
      <c r="O3024" s="14">
        <f>IFERROR(__xludf.DUMMYFUNCTION("""COMPUTED_VALUE"""),7.0)</f>
        <v>7</v>
      </c>
    </row>
    <row r="3025" ht="22.5" hidden="1" customHeight="1">
      <c r="A3025" s="8">
        <v>46030.33997965278</v>
      </c>
      <c r="B3025" s="14">
        <v>46030.0</v>
      </c>
      <c r="C3025" s="9" t="s">
        <v>31</v>
      </c>
      <c r="D3025" s="9" t="s">
        <v>357</v>
      </c>
      <c r="E3025" s="9" t="s">
        <v>17</v>
      </c>
      <c r="F3025" s="9" t="s">
        <v>17</v>
      </c>
      <c r="G3025" s="9" t="s">
        <v>24</v>
      </c>
      <c r="H3025" s="9" t="s">
        <v>22</v>
      </c>
      <c r="I3025" s="9" t="s">
        <v>20</v>
      </c>
      <c r="J3025" s="10"/>
      <c r="K3025" s="14" t="s">
        <v>398</v>
      </c>
      <c r="N3025" s="14" t="str">
        <f>IFERROR(__xludf.DUMMYFUNCTION("""COMPUTED_VALUE"""),"Alejandro Cardenas|46223")</f>
        <v>Alejandro Cardenas|46223</v>
      </c>
      <c r="O3025" s="14">
        <f>IFERROR(__xludf.DUMMYFUNCTION("""COMPUTED_VALUE"""),8.0)</f>
        <v>8</v>
      </c>
    </row>
    <row r="3026" ht="22.5" hidden="1" customHeight="1">
      <c r="A3026" s="8">
        <v>46030.34036134259</v>
      </c>
      <c r="B3026" s="14">
        <v>46030.0</v>
      </c>
      <c r="C3026" s="9" t="s">
        <v>31</v>
      </c>
      <c r="D3026" s="9" t="s">
        <v>369</v>
      </c>
      <c r="E3026" s="9" t="s">
        <v>17</v>
      </c>
      <c r="F3026" s="9" t="s">
        <v>39</v>
      </c>
      <c r="G3026" s="9" t="s">
        <v>24</v>
      </c>
      <c r="H3026" s="9" t="s">
        <v>22</v>
      </c>
      <c r="I3026" s="9" t="s">
        <v>20</v>
      </c>
      <c r="J3026" s="10"/>
      <c r="K3026" s="14" t="s">
        <v>398</v>
      </c>
      <c r="N3026" s="14" t="str">
        <f>IFERROR(__xludf.DUMMYFUNCTION("""COMPUTED_VALUE"""),"Fernando Tapia|46223")</f>
        <v>Fernando Tapia|46223</v>
      </c>
      <c r="O3026" s="14">
        <f>IFERROR(__xludf.DUMMYFUNCTION("""COMPUTED_VALUE"""),6.0)</f>
        <v>6</v>
      </c>
    </row>
    <row r="3027" ht="22.5" hidden="1" customHeight="1">
      <c r="A3027" s="8">
        <v>46030.36924940972</v>
      </c>
      <c r="B3027" s="14">
        <v>46030.0</v>
      </c>
      <c r="C3027" s="9" t="s">
        <v>31</v>
      </c>
      <c r="D3027" s="9" t="s">
        <v>170</v>
      </c>
      <c r="E3027" s="9" t="s">
        <v>17</v>
      </c>
      <c r="F3027" s="9" t="s">
        <v>17</v>
      </c>
      <c r="G3027" s="9" t="s">
        <v>24</v>
      </c>
      <c r="H3027" s="9" t="s">
        <v>22</v>
      </c>
      <c r="I3027" s="9" t="s">
        <v>20</v>
      </c>
      <c r="J3027" s="10"/>
      <c r="K3027" s="14" t="s">
        <v>398</v>
      </c>
      <c r="N3027" s="14" t="str">
        <f>IFERROR(__xludf.DUMMYFUNCTION("""COMPUTED_VALUE"""),"Andres Marioni|46223")</f>
        <v>Andres Marioni|46223</v>
      </c>
      <c r="O3027" s="14">
        <f>IFERROR(__xludf.DUMMYFUNCTION("""COMPUTED_VALUE"""),7.0)</f>
        <v>7</v>
      </c>
    </row>
    <row r="3028" ht="22.5" hidden="1" customHeight="1">
      <c r="A3028" s="8">
        <v>46030.37157112268</v>
      </c>
      <c r="B3028" s="14">
        <v>46030.0</v>
      </c>
      <c r="C3028" s="9" t="s">
        <v>31</v>
      </c>
      <c r="D3028" s="9" t="s">
        <v>396</v>
      </c>
      <c r="E3028" s="9" t="s">
        <v>17</v>
      </c>
      <c r="F3028" s="9" t="s">
        <v>17</v>
      </c>
      <c r="G3028" s="9" t="s">
        <v>24</v>
      </c>
      <c r="H3028" s="9" t="s">
        <v>22</v>
      </c>
      <c r="I3028" s="9" t="s">
        <v>20</v>
      </c>
      <c r="J3028" s="10"/>
      <c r="K3028" s="14">
        <v>2.0</v>
      </c>
      <c r="N3028" s="14" t="str">
        <f>IFERROR(__xludf.DUMMYFUNCTION("""COMPUTED_VALUE"""),"Franco Rossano|46223")</f>
        <v>Franco Rossano|46223</v>
      </c>
      <c r="O3028" s="14">
        <f>IFERROR(__xludf.DUMMYFUNCTION("""COMPUTED_VALUE"""),8.0)</f>
        <v>8</v>
      </c>
    </row>
    <row r="3029" ht="22.5" hidden="1" customHeight="1">
      <c r="A3029" s="8">
        <v>46030.37204637731</v>
      </c>
      <c r="B3029" s="14">
        <v>46030.0</v>
      </c>
      <c r="C3029" s="9" t="s">
        <v>31</v>
      </c>
      <c r="D3029" s="9" t="s">
        <v>175</v>
      </c>
      <c r="E3029" s="9" t="s">
        <v>17</v>
      </c>
      <c r="F3029" s="9" t="s">
        <v>17</v>
      </c>
      <c r="G3029" s="9" t="s">
        <v>24</v>
      </c>
      <c r="H3029" s="9" t="s">
        <v>25</v>
      </c>
      <c r="I3029" s="9" t="s">
        <v>207</v>
      </c>
      <c r="J3029" s="10"/>
      <c r="K3029" s="14">
        <v>5.0</v>
      </c>
      <c r="N3029" s="14" t="str">
        <f>IFERROR(__xludf.DUMMYFUNCTION("""COMPUTED_VALUE"""),"Sebastián Cáceres|46223")</f>
        <v>Sebastián Cáceres|46223</v>
      </c>
      <c r="O3029" s="14">
        <f>IFERROR(__xludf.DUMMYFUNCTION("""COMPUTED_VALUE"""),7.0)</f>
        <v>7</v>
      </c>
    </row>
    <row r="3030" ht="22.5" hidden="1" customHeight="1">
      <c r="A3030" s="8">
        <v>46030.37238717593</v>
      </c>
      <c r="B3030" s="14">
        <v>46030.0</v>
      </c>
      <c r="C3030" s="9" t="s">
        <v>31</v>
      </c>
      <c r="D3030" s="9" t="s">
        <v>105</v>
      </c>
      <c r="E3030" s="9" t="s">
        <v>17</v>
      </c>
      <c r="F3030" s="9" t="s">
        <v>17</v>
      </c>
      <c r="G3030" s="9" t="s">
        <v>24</v>
      </c>
      <c r="H3030" s="9" t="s">
        <v>22</v>
      </c>
      <c r="I3030" s="9" t="s">
        <v>20</v>
      </c>
      <c r="J3030" s="10"/>
      <c r="K3030" s="14">
        <v>2.0</v>
      </c>
      <c r="N3030" s="14" t="str">
        <f>IFERROR(__xludf.DUMMYFUNCTION("""COMPUTED_VALUE"""),"Emilio Lara|46223")</f>
        <v>Emilio Lara|46223</v>
      </c>
      <c r="O3030" s="14">
        <f>IFERROR(__xludf.DUMMYFUNCTION("""COMPUTED_VALUE"""),4.0)</f>
        <v>4</v>
      </c>
    </row>
    <row r="3031" ht="22.5" hidden="1" customHeight="1">
      <c r="A3031" s="8">
        <v>46030.3725972338</v>
      </c>
      <c r="B3031" s="14">
        <v>46030.0</v>
      </c>
      <c r="C3031" s="9" t="s">
        <v>31</v>
      </c>
      <c r="D3031" s="9" t="s">
        <v>177</v>
      </c>
      <c r="E3031" s="9" t="s">
        <v>17</v>
      </c>
      <c r="F3031" s="9" t="s">
        <v>17</v>
      </c>
      <c r="G3031" s="9" t="s">
        <v>24</v>
      </c>
      <c r="H3031" s="9" t="s">
        <v>22</v>
      </c>
      <c r="I3031" s="9" t="s">
        <v>20</v>
      </c>
      <c r="J3031" s="10"/>
      <c r="K3031" s="14" t="s">
        <v>398</v>
      </c>
      <c r="N3031" s="14" t="str">
        <f>IFERROR(__xludf.DUMMYFUNCTION("""COMPUTED_VALUE"""),"Víctor Dávila|46223")</f>
        <v>Víctor Dávila|46223</v>
      </c>
      <c r="O3031" s="14">
        <f>IFERROR(__xludf.DUMMYFUNCTION("""COMPUTED_VALUE"""),6.0)</f>
        <v>6</v>
      </c>
    </row>
    <row r="3032" ht="22.5" hidden="1" customHeight="1">
      <c r="A3032" s="8">
        <v>46030.37284582176</v>
      </c>
      <c r="B3032" s="14">
        <v>46030.0</v>
      </c>
      <c r="C3032" s="9" t="s">
        <v>31</v>
      </c>
      <c r="D3032" s="9" t="s">
        <v>168</v>
      </c>
      <c r="E3032" s="9" t="s">
        <v>17</v>
      </c>
      <c r="F3032" s="9" t="s">
        <v>17</v>
      </c>
      <c r="G3032" s="9" t="s">
        <v>24</v>
      </c>
      <c r="H3032" s="9" t="s">
        <v>22</v>
      </c>
      <c r="I3032" s="9" t="s">
        <v>20</v>
      </c>
      <c r="J3032" s="10"/>
      <c r="K3032" s="14">
        <v>3.0</v>
      </c>
      <c r="N3032" s="14" t="str">
        <f>IFERROR(__xludf.DUMMYFUNCTION("""COMPUTED_VALUE"""),"Patricio Salas|46223")</f>
        <v>Patricio Salas|46223</v>
      </c>
      <c r="O3032" s="14">
        <f>IFERROR(__xludf.DUMMYFUNCTION("""COMPUTED_VALUE"""),8.0)</f>
        <v>8</v>
      </c>
    </row>
    <row r="3033" ht="22.5" hidden="1" customHeight="1">
      <c r="A3033" s="8">
        <v>46030.37312700231</v>
      </c>
      <c r="B3033" s="14">
        <v>46030.0</v>
      </c>
      <c r="C3033" s="9" t="s">
        <v>31</v>
      </c>
      <c r="D3033" s="9" t="s">
        <v>259</v>
      </c>
      <c r="E3033" s="9" t="s">
        <v>17</v>
      </c>
      <c r="F3033" s="9" t="s">
        <v>17</v>
      </c>
      <c r="G3033" s="9" t="s">
        <v>24</v>
      </c>
      <c r="H3033" s="9" t="s">
        <v>25</v>
      </c>
      <c r="I3033" s="9" t="s">
        <v>89</v>
      </c>
      <c r="J3033" s="10"/>
      <c r="K3033" s="14" t="s">
        <v>398</v>
      </c>
      <c r="N3033" s="14" t="str">
        <f>IFERROR(__xludf.DUMMYFUNCTION("""COMPUTED_VALUE"""),"Brian Rodríguez|46223")</f>
        <v>Brian Rodríguez|46223</v>
      </c>
      <c r="O3033" s="14">
        <f>IFERROR(__xludf.DUMMYFUNCTION("""COMPUTED_VALUE"""),7.0)</f>
        <v>7</v>
      </c>
    </row>
    <row r="3034" ht="22.5" hidden="1" customHeight="1">
      <c r="A3034" s="8">
        <v>46030.37348829861</v>
      </c>
      <c r="B3034" s="14">
        <v>46030.0</v>
      </c>
      <c r="C3034" s="9" t="s">
        <v>31</v>
      </c>
      <c r="D3034" s="9" t="s">
        <v>394</v>
      </c>
      <c r="E3034" s="9" t="s">
        <v>17</v>
      </c>
      <c r="F3034" s="9" t="s">
        <v>17</v>
      </c>
      <c r="G3034" s="9" t="s">
        <v>24</v>
      </c>
      <c r="H3034" s="9" t="s">
        <v>25</v>
      </c>
      <c r="I3034" s="9" t="s">
        <v>399</v>
      </c>
      <c r="J3034" s="10"/>
      <c r="K3034" s="14">
        <v>3.0</v>
      </c>
      <c r="N3034" s="14" t="str">
        <f>IFERROR(__xludf.DUMMYFUNCTION("""COMPUTED_VALUE"""),"Henry Martín|46223")</f>
        <v>Henry Martín|46223</v>
      </c>
      <c r="O3034" s="14">
        <f>IFERROR(__xludf.DUMMYFUNCTION("""COMPUTED_VALUE"""),1.0)</f>
        <v>1</v>
      </c>
    </row>
    <row r="3035" ht="22.5" hidden="1" customHeight="1">
      <c r="A3035" s="8">
        <v>46030.37372780092</v>
      </c>
      <c r="B3035" s="14">
        <v>46030.0</v>
      </c>
      <c r="C3035" s="9" t="s">
        <v>31</v>
      </c>
      <c r="D3035" s="9" t="s">
        <v>174</v>
      </c>
      <c r="E3035" s="9" t="s">
        <v>17</v>
      </c>
      <c r="F3035" s="9" t="s">
        <v>17</v>
      </c>
      <c r="G3035" s="9" t="s">
        <v>24</v>
      </c>
      <c r="H3035" s="9" t="s">
        <v>25</v>
      </c>
      <c r="I3035" s="9" t="s">
        <v>28</v>
      </c>
      <c r="J3035" s="10"/>
      <c r="K3035" s="14">
        <v>3.0</v>
      </c>
      <c r="N3035" s="14" t="str">
        <f>IFERROR(__xludf.DUMMYFUNCTION("""COMPUTED_VALUE"""),"Raphael Veiga|46223")</f>
        <v>Raphael Veiga|46223</v>
      </c>
      <c r="O3035" s="14">
        <f>IFERROR(__xludf.DUMMYFUNCTION("""COMPUTED_VALUE"""),2.0)</f>
        <v>2</v>
      </c>
    </row>
    <row r="3036" ht="22.5" hidden="1" customHeight="1">
      <c r="A3036" s="8">
        <v>46030.37402221065</v>
      </c>
      <c r="B3036" s="14">
        <v>46030.0</v>
      </c>
      <c r="C3036" s="9" t="s">
        <v>31</v>
      </c>
      <c r="D3036" s="9" t="s">
        <v>223</v>
      </c>
      <c r="E3036" s="9" t="s">
        <v>17</v>
      </c>
      <c r="F3036" s="9" t="s">
        <v>17</v>
      </c>
      <c r="G3036" s="9" t="s">
        <v>24</v>
      </c>
      <c r="H3036" s="9" t="s">
        <v>22</v>
      </c>
      <c r="I3036" s="9" t="s">
        <v>20</v>
      </c>
      <c r="J3036" s="10"/>
      <c r="K3036" s="14">
        <v>2.0</v>
      </c>
      <c r="N3036" s="14" t="str">
        <f>IFERROR(__xludf.DUMMYFUNCTION("""COMPUTED_VALUE"""),"Paolo Bedolla|46223")</f>
        <v>Paolo Bedolla|46223</v>
      </c>
      <c r="O3036" s="14">
        <f>IFERROR(__xludf.DUMMYFUNCTION("""COMPUTED_VALUE"""),3.0)</f>
        <v>3</v>
      </c>
    </row>
    <row r="3037" ht="22.5" hidden="1" customHeight="1">
      <c r="A3037" s="8">
        <v>46030.37438900463</v>
      </c>
      <c r="B3037" s="14">
        <v>46030.0</v>
      </c>
      <c r="C3037" s="9" t="s">
        <v>31</v>
      </c>
      <c r="D3037" s="9" t="s">
        <v>223</v>
      </c>
      <c r="E3037" s="9" t="s">
        <v>17</v>
      </c>
      <c r="F3037" s="9" t="s">
        <v>17</v>
      </c>
      <c r="G3037" s="9" t="s">
        <v>24</v>
      </c>
      <c r="H3037" s="9" t="s">
        <v>22</v>
      </c>
      <c r="I3037" s="9" t="s">
        <v>20</v>
      </c>
      <c r="J3037" s="10"/>
      <c r="K3037" s="14">
        <v>2.0</v>
      </c>
      <c r="N3037" s="14" t="str">
        <f>IFERROR(__xludf.DUMMYFUNCTION("""COMPUTED_VALUE"""),"Israel Reyes|46223")</f>
        <v>Israel Reyes|46223</v>
      </c>
      <c r="O3037" s="14">
        <f>IFERROR(__xludf.DUMMYFUNCTION("""COMPUTED_VALUE"""),9.0)</f>
        <v>9</v>
      </c>
    </row>
    <row r="3038" ht="22.5" hidden="1" customHeight="1">
      <c r="A3038" s="8">
        <v>46030.37479857639</v>
      </c>
      <c r="B3038" s="14">
        <v>46030.0</v>
      </c>
      <c r="C3038" s="9" t="s">
        <v>31</v>
      </c>
      <c r="D3038" s="9" t="s">
        <v>247</v>
      </c>
      <c r="E3038" s="9" t="s">
        <v>17</v>
      </c>
      <c r="F3038" s="9" t="s">
        <v>17</v>
      </c>
      <c r="G3038" s="9" t="s">
        <v>24</v>
      </c>
      <c r="H3038" s="9" t="s">
        <v>25</v>
      </c>
      <c r="I3038" s="9" t="s">
        <v>211</v>
      </c>
      <c r="J3038" s="10"/>
      <c r="K3038" s="14">
        <v>3.0</v>
      </c>
      <c r="N3038" s="14" t="str">
        <f>IFERROR(__xludf.DUMMYFUNCTION("""COMPUTED_VALUE"""),"Israel Reyes|46224")</f>
        <v>Israel Reyes|46224</v>
      </c>
      <c r="O3038" s="14">
        <f>IFERROR(__xludf.DUMMYFUNCTION("""COMPUTED_VALUE"""),5.0)</f>
        <v>5</v>
      </c>
    </row>
    <row r="3039" ht="22.5" hidden="1" customHeight="1">
      <c r="A3039" s="8">
        <v>46030.375040115745</v>
      </c>
      <c r="B3039" s="14">
        <v>46030.0</v>
      </c>
      <c r="C3039" s="9" t="s">
        <v>31</v>
      </c>
      <c r="D3039" s="9" t="s">
        <v>249</v>
      </c>
      <c r="E3039" s="9" t="s">
        <v>46</v>
      </c>
      <c r="F3039" s="9" t="s">
        <v>17</v>
      </c>
      <c r="G3039" s="9" t="s">
        <v>24</v>
      </c>
      <c r="H3039" s="9" t="s">
        <v>22</v>
      </c>
      <c r="I3039" s="9" t="s">
        <v>20</v>
      </c>
      <c r="J3039" s="10"/>
      <c r="K3039" s="14" t="s">
        <v>398</v>
      </c>
      <c r="N3039" s="14" t="str">
        <f>IFERROR(__xludf.DUMMYFUNCTION("""COMPUTED_VALUE"""),"Sebastián Cáceres|46224")</f>
        <v>Sebastián Cáceres|46224</v>
      </c>
      <c r="O3039" s="14">
        <f>IFERROR(__xludf.DUMMYFUNCTION("""COMPUTED_VALUE"""),4.0)</f>
        <v>4</v>
      </c>
    </row>
    <row r="3040" ht="22.5" hidden="1" customHeight="1">
      <c r="A3040" s="8">
        <v>46030.375546400464</v>
      </c>
      <c r="B3040" s="14">
        <v>46030.0</v>
      </c>
      <c r="C3040" s="9" t="s">
        <v>31</v>
      </c>
      <c r="D3040" s="9" t="s">
        <v>350</v>
      </c>
      <c r="E3040" s="9" t="s">
        <v>17</v>
      </c>
      <c r="F3040" s="9" t="s">
        <v>17</v>
      </c>
      <c r="G3040" s="9" t="s">
        <v>19</v>
      </c>
      <c r="H3040" s="9" t="s">
        <v>22</v>
      </c>
      <c r="I3040" s="9" t="s">
        <v>20</v>
      </c>
      <c r="J3040" s="10"/>
      <c r="K3040" s="14">
        <v>6.0</v>
      </c>
      <c r="N3040" s="14" t="str">
        <f>IFERROR(__xludf.DUMMYFUNCTION("""COMPUTED_VALUE"""),"Brian Rodríguez|46224")</f>
        <v>Brian Rodríguez|46224</v>
      </c>
      <c r="O3040" s="14">
        <f>IFERROR(__xludf.DUMMYFUNCTION("""COMPUTED_VALUE"""),8.0)</f>
        <v>8</v>
      </c>
    </row>
    <row r="3041" ht="22.5" hidden="1" customHeight="1">
      <c r="A3041" s="8">
        <v>46030.37626634259</v>
      </c>
      <c r="B3041" s="14">
        <v>46030.0</v>
      </c>
      <c r="C3041" s="9" t="s">
        <v>31</v>
      </c>
      <c r="D3041" s="9" t="s">
        <v>395</v>
      </c>
      <c r="E3041" s="9" t="s">
        <v>17</v>
      </c>
      <c r="F3041" s="9" t="s">
        <v>17</v>
      </c>
      <c r="G3041" s="9" t="s">
        <v>24</v>
      </c>
      <c r="H3041" s="9" t="s">
        <v>22</v>
      </c>
      <c r="I3041" s="9" t="s">
        <v>20</v>
      </c>
      <c r="J3041" s="10"/>
      <c r="K3041" s="14">
        <v>3.0</v>
      </c>
      <c r="N3041" s="14" t="str">
        <f>IFERROR(__xludf.DUMMYFUNCTION("""COMPUTED_VALUE"""),"Víctor Dávila|46224")</f>
        <v>Víctor Dávila|46224</v>
      </c>
      <c r="O3041" s="14">
        <f>IFERROR(__xludf.DUMMYFUNCTION("""COMPUTED_VALUE"""),10.0)</f>
        <v>10</v>
      </c>
    </row>
    <row r="3042" ht="22.5" hidden="1" customHeight="1">
      <c r="A3042" s="8">
        <v>46030.37664959491</v>
      </c>
      <c r="B3042" s="14">
        <v>46030.0</v>
      </c>
      <c r="C3042" s="9" t="s">
        <v>31</v>
      </c>
      <c r="D3042" s="9" t="s">
        <v>393</v>
      </c>
      <c r="E3042" s="9" t="s">
        <v>17</v>
      </c>
      <c r="F3042" s="9" t="s">
        <v>17</v>
      </c>
      <c r="G3042" s="9" t="s">
        <v>24</v>
      </c>
      <c r="H3042" s="9" t="s">
        <v>22</v>
      </c>
      <c r="I3042" s="9" t="s">
        <v>20</v>
      </c>
      <c r="J3042" s="10"/>
      <c r="K3042" s="14">
        <v>3.0</v>
      </c>
      <c r="N3042" s="14" t="str">
        <f>IFERROR(__xludf.DUMMYFUNCTION("""COMPUTED_VALUE"""),"Luis Ángel Malagón|46224")</f>
        <v>Luis Ángel Malagón|46224</v>
      </c>
      <c r="O3042" s="14">
        <f>IFERROR(__xludf.DUMMYFUNCTION("""COMPUTED_VALUE"""),6.0)</f>
        <v>6</v>
      </c>
    </row>
    <row r="3043" ht="22.5" hidden="1" customHeight="1">
      <c r="A3043" s="8">
        <v>46030.37700746528</v>
      </c>
      <c r="B3043" s="14">
        <v>46030.0</v>
      </c>
      <c r="C3043" s="9" t="s">
        <v>31</v>
      </c>
      <c r="D3043" s="9" t="s">
        <v>408</v>
      </c>
      <c r="E3043" s="9" t="s">
        <v>17</v>
      </c>
      <c r="F3043" s="9" t="s">
        <v>17</v>
      </c>
      <c r="G3043" s="9" t="s">
        <v>24</v>
      </c>
      <c r="H3043" s="9" t="s">
        <v>22</v>
      </c>
      <c r="I3043" s="9" t="s">
        <v>20</v>
      </c>
      <c r="J3043" s="10"/>
      <c r="K3043" s="14">
        <v>4.0</v>
      </c>
      <c r="N3043" s="14" t="str">
        <f>IFERROR(__xludf.DUMMYFUNCTION("""COMPUTED_VALUE"""),"Patricio Salas|46224")</f>
        <v>Patricio Salas|46224</v>
      </c>
      <c r="O3043" s="14">
        <f>IFERROR(__xludf.DUMMYFUNCTION("""COMPUTED_VALUE"""),5.0)</f>
        <v>5</v>
      </c>
    </row>
    <row r="3044" ht="22.5" hidden="1" customHeight="1">
      <c r="A3044" s="8">
        <v>46034.33506498842</v>
      </c>
      <c r="B3044" s="14">
        <v>46034.0</v>
      </c>
      <c r="C3044" s="9" t="s">
        <v>86</v>
      </c>
      <c r="D3044" s="9" t="s">
        <v>257</v>
      </c>
      <c r="E3044" s="9" t="s">
        <v>17</v>
      </c>
      <c r="F3044" s="9" t="s">
        <v>17</v>
      </c>
      <c r="G3044" s="9">
        <v>8.0</v>
      </c>
      <c r="H3044" s="9" t="s">
        <v>22</v>
      </c>
      <c r="I3044" s="9" t="s">
        <v>20</v>
      </c>
      <c r="J3044" s="10"/>
      <c r="K3044" s="14" t="s">
        <v>398</v>
      </c>
      <c r="N3044" s="14" t="str">
        <f>IFERROR(__xludf.DUMMYFUNCTION("""COMPUTED_VALUE"""),"Alan Cervantes|46224")</f>
        <v>Alan Cervantes|46224</v>
      </c>
      <c r="O3044" s="14">
        <f>IFERROR(__xludf.DUMMYFUNCTION("""COMPUTED_VALUE"""),6.0)</f>
        <v>6</v>
      </c>
    </row>
    <row r="3045" ht="22.5" hidden="1" customHeight="1">
      <c r="A3045" s="8">
        <v>46034.335382743055</v>
      </c>
      <c r="B3045" s="14">
        <v>46034.0</v>
      </c>
      <c r="C3045" s="9" t="s">
        <v>86</v>
      </c>
      <c r="D3045" s="9" t="s">
        <v>249</v>
      </c>
      <c r="E3045" s="9" t="s">
        <v>17</v>
      </c>
      <c r="F3045" s="9" t="s">
        <v>17</v>
      </c>
      <c r="G3045" s="9">
        <v>8.0</v>
      </c>
      <c r="H3045" s="9" t="s">
        <v>22</v>
      </c>
      <c r="I3045" s="9" t="s">
        <v>20</v>
      </c>
      <c r="J3045" s="10"/>
      <c r="K3045" s="14" t="s">
        <v>398</v>
      </c>
      <c r="N3045" s="14" t="str">
        <f>IFERROR(__xludf.DUMMYFUNCTION("""COMPUTED_VALUE"""),"Erick Sánchez|46224")</f>
        <v>Erick Sánchez|46224</v>
      </c>
      <c r="O3045" s="14">
        <f>IFERROR(__xludf.DUMMYFUNCTION("""COMPUTED_VALUE"""),5.0)</f>
        <v>5</v>
      </c>
    </row>
    <row r="3046" ht="22.5" hidden="1" customHeight="1">
      <c r="A3046" s="8">
        <v>46034.343570729165</v>
      </c>
      <c r="B3046" s="14">
        <v>46034.0</v>
      </c>
      <c r="C3046" s="9" t="s">
        <v>86</v>
      </c>
      <c r="D3046" s="9" t="s">
        <v>408</v>
      </c>
      <c r="E3046" s="9" t="s">
        <v>17</v>
      </c>
      <c r="F3046" s="9" t="s">
        <v>17</v>
      </c>
      <c r="G3046" s="9">
        <v>7.0</v>
      </c>
      <c r="H3046" s="9" t="s">
        <v>22</v>
      </c>
      <c r="I3046" s="9" t="s">
        <v>20</v>
      </c>
      <c r="J3046" s="10"/>
      <c r="K3046" s="14" t="s">
        <v>398</v>
      </c>
      <c r="N3046" s="14" t="str">
        <f>IFERROR(__xludf.DUMMYFUNCTION("""COMPUTED_VALUE"""),"Ricardo Gonzalez|46224")</f>
        <v>Ricardo Gonzalez|46224</v>
      </c>
      <c r="O3046" s="14">
        <f>IFERROR(__xludf.DUMMYFUNCTION("""COMPUTED_VALUE"""),5.0)</f>
        <v>5</v>
      </c>
    </row>
    <row r="3047" ht="22.5" hidden="1" customHeight="1">
      <c r="A3047" s="8">
        <v>46034.374918472226</v>
      </c>
      <c r="B3047" s="14">
        <v>46034.0</v>
      </c>
      <c r="C3047" s="9" t="s">
        <v>86</v>
      </c>
      <c r="D3047" s="9" t="s">
        <v>171</v>
      </c>
      <c r="E3047" s="9" t="s">
        <v>17</v>
      </c>
      <c r="F3047" s="9" t="s">
        <v>17</v>
      </c>
      <c r="G3047" s="9">
        <v>8.0</v>
      </c>
      <c r="H3047" s="9" t="s">
        <v>22</v>
      </c>
      <c r="I3047" s="9" t="s">
        <v>20</v>
      </c>
      <c r="J3047" s="10"/>
      <c r="K3047" s="14" t="s">
        <v>398</v>
      </c>
      <c r="N3047" s="14" t="str">
        <f>IFERROR(__xludf.DUMMYFUNCTION("""COMPUTED_VALUE"""),"Fernando Tapia|46224")</f>
        <v>Fernando Tapia|46224</v>
      </c>
      <c r="O3047" s="14">
        <f>IFERROR(__xludf.DUMMYFUNCTION("""COMPUTED_VALUE"""),4.0)</f>
        <v>4</v>
      </c>
    </row>
    <row r="3048" ht="22.5" hidden="1" customHeight="1">
      <c r="A3048" s="8">
        <v>46034.37526324074</v>
      </c>
      <c r="B3048" s="14">
        <v>46034.0</v>
      </c>
      <c r="C3048" s="9" t="s">
        <v>86</v>
      </c>
      <c r="D3048" s="9" t="s">
        <v>175</v>
      </c>
      <c r="E3048" s="9" t="s">
        <v>17</v>
      </c>
      <c r="F3048" s="9" t="s">
        <v>17</v>
      </c>
      <c r="G3048" s="9">
        <v>8.0</v>
      </c>
      <c r="H3048" s="9" t="s">
        <v>22</v>
      </c>
      <c r="I3048" s="9" t="s">
        <v>20</v>
      </c>
      <c r="J3048" s="10"/>
      <c r="K3048" s="14" t="s">
        <v>398</v>
      </c>
      <c r="N3048" s="14" t="str">
        <f>IFERROR(__xludf.DUMMYFUNCTION("""COMPUTED_VALUE"""),"Erick Sánchez|46224")</f>
        <v>Erick Sánchez|46224</v>
      </c>
      <c r="O3048" s="14">
        <f>IFERROR(__xludf.DUMMYFUNCTION("""COMPUTED_VALUE"""),5.0)</f>
        <v>5</v>
      </c>
    </row>
    <row r="3049" ht="22.5" hidden="1" customHeight="1">
      <c r="A3049" s="8">
        <v>46034.375578032406</v>
      </c>
      <c r="B3049" s="14">
        <v>46034.0</v>
      </c>
      <c r="C3049" s="9" t="s">
        <v>86</v>
      </c>
      <c r="D3049" s="9" t="s">
        <v>177</v>
      </c>
      <c r="E3049" s="9" t="s">
        <v>17</v>
      </c>
      <c r="F3049" s="9" t="s">
        <v>17</v>
      </c>
      <c r="G3049" s="9">
        <v>8.0</v>
      </c>
      <c r="H3049" s="9" t="s">
        <v>22</v>
      </c>
      <c r="I3049" s="9" t="s">
        <v>20</v>
      </c>
      <c r="J3049" s="10"/>
      <c r="K3049" s="14" t="s">
        <v>398</v>
      </c>
      <c r="N3049" s="14" t="str">
        <f>IFERROR(__xludf.DUMMYFUNCTION("""COMPUTED_VALUE"""),"Alexis Gutiérrez|46224")</f>
        <v>Alexis Gutiérrez|46224</v>
      </c>
      <c r="O3049" s="14">
        <f>IFERROR(__xludf.DUMMYFUNCTION("""COMPUTED_VALUE"""),4.0)</f>
        <v>4</v>
      </c>
    </row>
    <row r="3050" ht="22.5" hidden="1" customHeight="1">
      <c r="A3050" s="8">
        <v>46034.376089247686</v>
      </c>
      <c r="B3050" s="14">
        <v>46034.0</v>
      </c>
      <c r="C3050" s="9" t="s">
        <v>86</v>
      </c>
      <c r="D3050" s="9" t="s">
        <v>177</v>
      </c>
      <c r="E3050" s="9" t="s">
        <v>17</v>
      </c>
      <c r="F3050" s="9" t="s">
        <v>17</v>
      </c>
      <c r="G3050" s="9">
        <v>8.0</v>
      </c>
      <c r="H3050" s="9" t="s">
        <v>22</v>
      </c>
      <c r="I3050" s="9" t="s">
        <v>20</v>
      </c>
      <c r="J3050" s="10"/>
      <c r="K3050" s="14" t="s">
        <v>398</v>
      </c>
      <c r="N3050" s="14" t="str">
        <f>IFERROR(__xludf.DUMMYFUNCTION("""COMPUTED_VALUE"""),"Ramón Juárez|46224")</f>
        <v>Ramón Juárez|46224</v>
      </c>
      <c r="O3050" s="14">
        <f>IFERROR(__xludf.DUMMYFUNCTION("""COMPUTED_VALUE"""),4.0)</f>
        <v>4</v>
      </c>
    </row>
    <row r="3051" ht="22.5" hidden="1" customHeight="1">
      <c r="A3051" s="8">
        <v>46034.37635466435</v>
      </c>
      <c r="B3051" s="14">
        <v>46034.0</v>
      </c>
      <c r="C3051" s="9" t="s">
        <v>86</v>
      </c>
      <c r="D3051" s="9" t="s">
        <v>259</v>
      </c>
      <c r="E3051" s="9" t="s">
        <v>17</v>
      </c>
      <c r="F3051" s="9" t="s">
        <v>17</v>
      </c>
      <c r="G3051" s="9" t="s">
        <v>409</v>
      </c>
      <c r="H3051" s="9" t="s">
        <v>22</v>
      </c>
      <c r="I3051" s="9" t="s">
        <v>20</v>
      </c>
      <c r="J3051" s="10"/>
      <c r="K3051" s="14" t="s">
        <v>398</v>
      </c>
      <c r="N3051" s="14" t="str">
        <f>IFERROR(__xludf.DUMMYFUNCTION("""COMPUTED_VALUE"""),"Franco Rossano|46224")</f>
        <v>Franco Rossano|46224</v>
      </c>
      <c r="O3051" s="14">
        <f>IFERROR(__xludf.DUMMYFUNCTION("""COMPUTED_VALUE"""),5.0)</f>
        <v>5</v>
      </c>
    </row>
    <row r="3052" ht="22.5" hidden="1" customHeight="1">
      <c r="A3052" s="8">
        <v>46034.3767252199</v>
      </c>
      <c r="B3052" s="14">
        <v>46034.0</v>
      </c>
      <c r="C3052" s="9" t="s">
        <v>86</v>
      </c>
      <c r="D3052" s="9" t="s">
        <v>335</v>
      </c>
      <c r="E3052" s="9" t="s">
        <v>17</v>
      </c>
      <c r="F3052" s="9" t="s">
        <v>17</v>
      </c>
      <c r="G3052" s="9" t="s">
        <v>409</v>
      </c>
      <c r="H3052" s="9" t="s">
        <v>22</v>
      </c>
      <c r="I3052" s="9" t="s">
        <v>211</v>
      </c>
      <c r="J3052" s="10"/>
      <c r="K3052" s="14" t="s">
        <v>398</v>
      </c>
      <c r="N3052" s="14" t="str">
        <f>IFERROR(__xludf.DUMMYFUNCTION("""COMPUTED_VALUE"""),"Isaías Violante|46224")</f>
        <v>Isaías Violante|46224</v>
      </c>
      <c r="O3052" s="14">
        <f>IFERROR(__xludf.DUMMYFUNCTION("""COMPUTED_VALUE"""),7.0)</f>
        <v>7</v>
      </c>
    </row>
    <row r="3053" ht="22.5" hidden="1" customHeight="1">
      <c r="A3053" s="8">
        <v>46034.376996203704</v>
      </c>
      <c r="B3053" s="14">
        <v>46034.0</v>
      </c>
      <c r="C3053" s="9" t="s">
        <v>86</v>
      </c>
      <c r="D3053" s="9" t="s">
        <v>174</v>
      </c>
      <c r="E3053" s="9" t="s">
        <v>17</v>
      </c>
      <c r="F3053" s="9" t="s">
        <v>17</v>
      </c>
      <c r="G3053" s="9">
        <v>7.0</v>
      </c>
      <c r="H3053" s="9" t="s">
        <v>22</v>
      </c>
      <c r="I3053" s="9" t="s">
        <v>20</v>
      </c>
      <c r="J3053" s="10"/>
      <c r="K3053" s="14" t="s">
        <v>398</v>
      </c>
      <c r="N3053" s="14" t="str">
        <f>IFERROR(__xludf.DUMMYFUNCTION("""COMPUTED_VALUE"""),"Rodolfo Cota|46224")</f>
        <v>Rodolfo Cota|46224</v>
      </c>
      <c r="O3053" s="14">
        <f>IFERROR(__xludf.DUMMYFUNCTION("""COMPUTED_VALUE"""),2.0)</f>
        <v>2</v>
      </c>
    </row>
    <row r="3054" ht="22.5" hidden="1" customHeight="1">
      <c r="A3054" s="8">
        <v>46034.37736032407</v>
      </c>
      <c r="B3054" s="14">
        <v>46034.0</v>
      </c>
      <c r="C3054" s="9" t="s">
        <v>86</v>
      </c>
      <c r="D3054" s="9" t="s">
        <v>223</v>
      </c>
      <c r="E3054" s="9" t="s">
        <v>17</v>
      </c>
      <c r="F3054" s="9" t="s">
        <v>17</v>
      </c>
      <c r="G3054" s="9">
        <v>8.0</v>
      </c>
      <c r="H3054" s="9" t="s">
        <v>22</v>
      </c>
      <c r="I3054" s="9" t="s">
        <v>20</v>
      </c>
      <c r="J3054" s="10"/>
      <c r="K3054" s="14" t="s">
        <v>398</v>
      </c>
      <c r="N3054" s="14" t="str">
        <f>IFERROR(__xludf.DUMMYFUNCTION("""COMPUTED_VALUE"""),"Miguel Vázquez|46224")</f>
        <v>Miguel Vázquez|46224</v>
      </c>
      <c r="O3054" s="14">
        <f>IFERROR(__xludf.DUMMYFUNCTION("""COMPUTED_VALUE"""),3.0)</f>
        <v>3</v>
      </c>
    </row>
    <row r="3055" ht="22.5" hidden="1" customHeight="1">
      <c r="A3055" s="8">
        <v>46034.377668333334</v>
      </c>
      <c r="B3055" s="14">
        <v>46034.0</v>
      </c>
      <c r="C3055" s="9" t="s">
        <v>86</v>
      </c>
      <c r="D3055" s="9" t="s">
        <v>350</v>
      </c>
      <c r="E3055" s="9" t="s">
        <v>17</v>
      </c>
      <c r="F3055" s="9" t="s">
        <v>17</v>
      </c>
      <c r="G3055" s="9" t="s">
        <v>409</v>
      </c>
      <c r="H3055" s="9" t="s">
        <v>22</v>
      </c>
      <c r="I3055" s="9" t="s">
        <v>20</v>
      </c>
      <c r="J3055" s="10"/>
      <c r="K3055" s="14" t="s">
        <v>398</v>
      </c>
      <c r="N3055" s="14" t="str">
        <f>IFERROR(__xludf.DUMMYFUNCTION("""COMPUTED_VALUE"""),"Cristian Borja|46224")</f>
        <v>Cristian Borja|46224</v>
      </c>
      <c r="O3055" s="14">
        <f>IFERROR(__xludf.DUMMYFUNCTION("""COMPUTED_VALUE"""),5.0)</f>
        <v>5</v>
      </c>
    </row>
    <row r="3056" ht="22.5" hidden="1" customHeight="1">
      <c r="A3056" s="8">
        <v>46034.37801586806</v>
      </c>
      <c r="B3056" s="14">
        <v>46034.0</v>
      </c>
      <c r="C3056" s="9" t="s">
        <v>86</v>
      </c>
      <c r="D3056" s="9" t="s">
        <v>395</v>
      </c>
      <c r="E3056" s="9" t="s">
        <v>17</v>
      </c>
      <c r="F3056" s="9" t="s">
        <v>17</v>
      </c>
      <c r="G3056" s="9">
        <v>8.0</v>
      </c>
      <c r="H3056" s="9" t="s">
        <v>22</v>
      </c>
      <c r="I3056" s="9" t="s">
        <v>20</v>
      </c>
      <c r="J3056" s="10"/>
      <c r="K3056" s="14" t="s">
        <v>398</v>
      </c>
      <c r="N3056" s="14" t="str">
        <f>IFERROR(__xludf.DUMMYFUNCTION("""COMPUTED_VALUE"""),"Kevin Álvarez|46224")</f>
        <v>Kevin Álvarez|46224</v>
      </c>
      <c r="O3056" s="14">
        <f>IFERROR(__xludf.DUMMYFUNCTION("""COMPUTED_VALUE"""),5.0)</f>
        <v>5</v>
      </c>
    </row>
    <row r="3057" ht="22.5" hidden="1" customHeight="1">
      <c r="A3057" s="8">
        <v>46034.378289224536</v>
      </c>
      <c r="B3057" s="14">
        <v>46034.0</v>
      </c>
      <c r="C3057" s="9" t="s">
        <v>86</v>
      </c>
      <c r="D3057" s="9" t="s">
        <v>357</v>
      </c>
      <c r="E3057" s="9" t="s">
        <v>17</v>
      </c>
      <c r="F3057" s="9" t="s">
        <v>17</v>
      </c>
      <c r="G3057" s="9" t="s">
        <v>409</v>
      </c>
      <c r="H3057" s="9" t="s">
        <v>22</v>
      </c>
      <c r="I3057" s="9" t="s">
        <v>20</v>
      </c>
      <c r="J3057" s="10"/>
      <c r="K3057" s="14" t="s">
        <v>398</v>
      </c>
      <c r="N3057" s="14" t="str">
        <f>IFERROR(__xludf.DUMMYFUNCTION("""COMPUTED_VALUE"""),"Emilio Lara|46224")</f>
        <v>Emilio Lara|46224</v>
      </c>
      <c r="O3057" s="14">
        <f>IFERROR(__xludf.DUMMYFUNCTION("""COMPUTED_VALUE"""),3.0)</f>
        <v>3</v>
      </c>
    </row>
    <row r="3058" ht="22.5" hidden="1" customHeight="1">
      <c r="A3058" s="8">
        <v>46034.37854251158</v>
      </c>
      <c r="B3058" s="14">
        <v>46034.0</v>
      </c>
      <c r="C3058" s="9" t="s">
        <v>86</v>
      </c>
      <c r="D3058" s="9" t="s">
        <v>393</v>
      </c>
      <c r="E3058" s="9" t="s">
        <v>17</v>
      </c>
      <c r="F3058" s="9" t="s">
        <v>17</v>
      </c>
      <c r="G3058" s="9">
        <v>7.0</v>
      </c>
      <c r="H3058" s="9" t="s">
        <v>22</v>
      </c>
      <c r="I3058" s="9" t="s">
        <v>20</v>
      </c>
      <c r="J3058" s="10"/>
      <c r="K3058" s="14" t="s">
        <v>398</v>
      </c>
      <c r="N3058" s="14" t="str">
        <f>IFERROR(__xludf.DUMMYFUNCTION("""COMPUTED_VALUE"""),"Paolo Bedolla|46224")</f>
        <v>Paolo Bedolla|46224</v>
      </c>
      <c r="O3058" s="14">
        <f>IFERROR(__xludf.DUMMYFUNCTION("""COMPUTED_VALUE"""),4.0)</f>
        <v>4</v>
      </c>
    </row>
    <row r="3059" ht="22.5" hidden="1" customHeight="1">
      <c r="A3059" s="8">
        <v>46034.37877850694</v>
      </c>
      <c r="B3059" s="14">
        <v>46034.0</v>
      </c>
      <c r="C3059" s="9" t="s">
        <v>86</v>
      </c>
      <c r="D3059" s="9" t="s">
        <v>369</v>
      </c>
      <c r="E3059" s="9" t="s">
        <v>17</v>
      </c>
      <c r="F3059" s="9" t="s">
        <v>17</v>
      </c>
      <c r="G3059" s="9">
        <v>7.0</v>
      </c>
      <c r="H3059" s="9" t="s">
        <v>22</v>
      </c>
      <c r="I3059" s="9" t="s">
        <v>20</v>
      </c>
      <c r="J3059" s="10"/>
      <c r="K3059" s="14" t="s">
        <v>398</v>
      </c>
      <c r="N3059" s="14" t="str">
        <f>IFERROR(__xludf.DUMMYFUNCTION("""COMPUTED_VALUE"""),"Adrian Fernandez|46224")</f>
        <v>Adrian Fernandez|46224</v>
      </c>
      <c r="O3059" s="14">
        <f>IFERROR(__xludf.DUMMYFUNCTION("""COMPUTED_VALUE"""),4.0)</f>
        <v>4</v>
      </c>
    </row>
    <row r="3060" ht="22.5" hidden="1" customHeight="1">
      <c r="A3060" s="8">
        <v>46034.39192547454</v>
      </c>
      <c r="B3060" s="14">
        <v>46034.0</v>
      </c>
      <c r="C3060" s="9" t="s">
        <v>86</v>
      </c>
      <c r="D3060" s="9" t="s">
        <v>258</v>
      </c>
      <c r="E3060" s="9" t="s">
        <v>17</v>
      </c>
      <c r="F3060" s="9" t="s">
        <v>17</v>
      </c>
      <c r="G3060" s="9">
        <v>8.0</v>
      </c>
      <c r="H3060" s="9" t="s">
        <v>22</v>
      </c>
      <c r="I3060" s="9" t="s">
        <v>20</v>
      </c>
      <c r="J3060" s="10"/>
      <c r="K3060" s="14" t="s">
        <v>398</v>
      </c>
      <c r="N3060" s="14" t="str">
        <f>IFERROR(__xludf.DUMMYFUNCTION("""COMPUTED_VALUE"""),"Alejandro Cardenas|46224")</f>
        <v>Alejandro Cardenas|46224</v>
      </c>
      <c r="O3060" s="14">
        <f>IFERROR(__xludf.DUMMYFUNCTION("""COMPUTED_VALUE"""),4.0)</f>
        <v>4</v>
      </c>
    </row>
    <row r="3061" ht="22.5" hidden="1" customHeight="1">
      <c r="A3061" s="8">
        <v>46034.39291807871</v>
      </c>
      <c r="B3061" s="14">
        <v>46034.0</v>
      </c>
      <c r="C3061" s="9" t="s">
        <v>86</v>
      </c>
      <c r="D3061" s="9" t="s">
        <v>178</v>
      </c>
      <c r="E3061" s="9" t="s">
        <v>17</v>
      </c>
      <c r="F3061" s="9" t="s">
        <v>17</v>
      </c>
      <c r="G3061" s="9">
        <v>7.0</v>
      </c>
      <c r="H3061" s="9" t="s">
        <v>22</v>
      </c>
      <c r="I3061" s="9" t="s">
        <v>20</v>
      </c>
      <c r="J3061" s="10"/>
      <c r="K3061" s="14" t="s">
        <v>398</v>
      </c>
      <c r="N3061" s="14" t="str">
        <f>IFERROR(__xludf.DUMMYFUNCTION("""COMPUTED_VALUE"""),"Andres Marioni|46224")</f>
        <v>Andres Marioni|46224</v>
      </c>
      <c r="O3061" s="14">
        <f>IFERROR(__xludf.DUMMYFUNCTION("""COMPUTED_VALUE"""),5.0)</f>
        <v>5</v>
      </c>
    </row>
    <row r="3062" ht="22.5" hidden="1" customHeight="1">
      <c r="A3062" s="8">
        <v>46034.39313793981</v>
      </c>
      <c r="B3062" s="14">
        <v>46034.0</v>
      </c>
      <c r="C3062" s="9" t="s">
        <v>86</v>
      </c>
      <c r="D3062" s="9" t="s">
        <v>280</v>
      </c>
      <c r="E3062" s="9" t="s">
        <v>17</v>
      </c>
      <c r="F3062" s="9" t="s">
        <v>17</v>
      </c>
      <c r="G3062" s="9">
        <v>8.0</v>
      </c>
      <c r="H3062" s="9" t="s">
        <v>22</v>
      </c>
      <c r="I3062" s="9" t="s">
        <v>20</v>
      </c>
      <c r="J3062" s="10"/>
      <c r="K3062" s="14" t="s">
        <v>398</v>
      </c>
      <c r="N3062" s="14" t="str">
        <f>IFERROR(__xludf.DUMMYFUNCTION("""COMPUTED_VALUE"""),"Diego Arriaga|46224")</f>
        <v>Diego Arriaga|46224</v>
      </c>
      <c r="O3062" s="14">
        <f>IFERROR(__xludf.DUMMYFUNCTION("""COMPUTED_VALUE"""),5.0)</f>
        <v>5</v>
      </c>
    </row>
    <row r="3063" ht="22.5" hidden="1" customHeight="1">
      <c r="A3063" s="8">
        <v>46034.39352452546</v>
      </c>
      <c r="B3063" s="14">
        <v>46034.0</v>
      </c>
      <c r="C3063" s="9" t="s">
        <v>86</v>
      </c>
      <c r="D3063" s="9" t="s">
        <v>247</v>
      </c>
      <c r="E3063" s="9" t="s">
        <v>17</v>
      </c>
      <c r="F3063" s="9" t="s">
        <v>17</v>
      </c>
      <c r="G3063" s="9">
        <v>8.0</v>
      </c>
      <c r="H3063" s="9" t="s">
        <v>25</v>
      </c>
      <c r="I3063" s="9" t="s">
        <v>273</v>
      </c>
      <c r="J3063" s="10"/>
      <c r="K3063" s="14" t="s">
        <v>398</v>
      </c>
      <c r="N3063" s="14" t="str">
        <f>IFERROR(__xludf.DUMMYFUNCTION("""COMPUTED_VALUE"""),"Icaro|46224")</f>
        <v>Icaro|46224</v>
      </c>
      <c r="O3063" s="14">
        <f>IFERROR(__xludf.DUMMYFUNCTION("""COMPUTED_VALUE"""),4.0)</f>
        <v>4</v>
      </c>
    </row>
    <row r="3064" ht="22.5" hidden="1" customHeight="1">
      <c r="A3064" s="8">
        <v>46034.39397125</v>
      </c>
      <c r="B3064" s="14">
        <v>46034.0</v>
      </c>
      <c r="C3064" s="9" t="s">
        <v>86</v>
      </c>
      <c r="D3064" s="9" t="s">
        <v>170</v>
      </c>
      <c r="E3064" s="9" t="s">
        <v>17</v>
      </c>
      <c r="F3064" s="9" t="s">
        <v>17</v>
      </c>
      <c r="G3064" s="9">
        <v>7.0</v>
      </c>
      <c r="H3064" s="9" t="s">
        <v>25</v>
      </c>
      <c r="I3064" s="9" t="s">
        <v>355</v>
      </c>
      <c r="J3064" s="10"/>
      <c r="K3064" s="14" t="s">
        <v>398</v>
      </c>
      <c r="N3064" s="14" t="str">
        <f>IFERROR(__xludf.DUMMYFUNCTION("""COMPUTED_VALUE"""),"Raphael Veiga|46224")</f>
        <v>Raphael Veiga|46224</v>
      </c>
      <c r="O3064" s="14">
        <f>IFERROR(__xludf.DUMMYFUNCTION("""COMPUTED_VALUE"""),4.0)</f>
        <v>4</v>
      </c>
    </row>
    <row r="3065" ht="22.5" hidden="1" customHeight="1">
      <c r="A3065" s="8">
        <v>46034.3950206713</v>
      </c>
      <c r="B3065" s="14">
        <v>46034.0</v>
      </c>
      <c r="C3065" s="9" t="s">
        <v>86</v>
      </c>
      <c r="D3065" s="9" t="s">
        <v>394</v>
      </c>
      <c r="E3065" s="9" t="s">
        <v>17</v>
      </c>
      <c r="F3065" s="9" t="s">
        <v>17</v>
      </c>
      <c r="G3065" s="9">
        <v>8.0</v>
      </c>
      <c r="H3065" s="9" t="s">
        <v>25</v>
      </c>
      <c r="I3065" s="9" t="s">
        <v>28</v>
      </c>
      <c r="J3065" s="10"/>
      <c r="K3065" s="14" t="s">
        <v>398</v>
      </c>
      <c r="N3065" s="14" t="str">
        <f>IFERROR(__xludf.DUMMYFUNCTION("""COMPUTED_VALUE"""),"Santiago Camarena|46224")</f>
        <v>Santiago Camarena|46224</v>
      </c>
      <c r="O3065" s="14">
        <f>IFERROR(__xludf.DUMMYFUNCTION("""COMPUTED_VALUE"""),4.0)</f>
        <v>4</v>
      </c>
    </row>
    <row r="3066" ht="22.5" hidden="1" customHeight="1">
      <c r="A3066" s="8">
        <v>46034.39561957176</v>
      </c>
      <c r="B3066" s="14">
        <v>46034.0</v>
      </c>
      <c r="C3066" s="9" t="s">
        <v>86</v>
      </c>
      <c r="D3066" s="9" t="s">
        <v>105</v>
      </c>
      <c r="E3066" s="9" t="s">
        <v>17</v>
      </c>
      <c r="F3066" s="9" t="s">
        <v>17</v>
      </c>
      <c r="G3066" s="9">
        <v>8.0</v>
      </c>
      <c r="H3066" s="9" t="s">
        <v>22</v>
      </c>
      <c r="I3066" s="9" t="s">
        <v>20</v>
      </c>
      <c r="J3066" s="10"/>
      <c r="K3066" s="14" t="s">
        <v>398</v>
      </c>
      <c r="N3066" s="14" t="str">
        <f>IFERROR(__xludf.DUMMYFUNCTION("""COMPUTED_VALUE"""),"Patricio Salas|46225")</f>
        <v>Patricio Salas|46225</v>
      </c>
      <c r="O3066" s="14">
        <f>IFERROR(__xludf.DUMMYFUNCTION("""COMPUTED_VALUE"""),3.0)</f>
        <v>3</v>
      </c>
    </row>
    <row r="3067" ht="22.5" hidden="1" customHeight="1">
      <c r="A3067" s="8">
        <v>46034.40112278935</v>
      </c>
      <c r="B3067" s="14">
        <v>46034.0</v>
      </c>
      <c r="C3067" s="9" t="s">
        <v>86</v>
      </c>
      <c r="D3067" s="9" t="s">
        <v>396</v>
      </c>
      <c r="E3067" s="9" t="s">
        <v>17</v>
      </c>
      <c r="F3067" s="9" t="s">
        <v>17</v>
      </c>
      <c r="G3067" s="9">
        <v>8.0</v>
      </c>
      <c r="H3067" s="9" t="s">
        <v>22</v>
      </c>
      <c r="I3067" s="9" t="s">
        <v>20</v>
      </c>
      <c r="J3067" s="10"/>
      <c r="K3067" s="14" t="s">
        <v>398</v>
      </c>
      <c r="N3067" s="14" t="str">
        <f>IFERROR(__xludf.DUMMYFUNCTION("""COMPUTED_VALUE"""),"Erick Sánchez|46225")</f>
        <v>Erick Sánchez|46225</v>
      </c>
      <c r="O3067" s="14">
        <f>IFERROR(__xludf.DUMMYFUNCTION("""COMPUTED_VALUE"""),3.0)</f>
        <v>3</v>
      </c>
    </row>
    <row r="3068" ht="22.5" hidden="1" customHeight="1">
      <c r="A3068" s="8">
        <v>46034.40158947917</v>
      </c>
      <c r="B3068" s="14">
        <v>46034.0</v>
      </c>
      <c r="C3068" s="9" t="s">
        <v>86</v>
      </c>
      <c r="D3068" s="9" t="s">
        <v>168</v>
      </c>
      <c r="E3068" s="9" t="s">
        <v>17</v>
      </c>
      <c r="F3068" s="9" t="s">
        <v>17</v>
      </c>
      <c r="G3068" s="9">
        <v>8.0</v>
      </c>
      <c r="H3068" s="9" t="s">
        <v>22</v>
      </c>
      <c r="I3068" s="9" t="s">
        <v>20</v>
      </c>
      <c r="J3068" s="10"/>
      <c r="K3068" s="14" t="s">
        <v>398</v>
      </c>
      <c r="N3068" s="14" t="str">
        <f>IFERROR(__xludf.DUMMYFUNCTION("""COMPUTED_VALUE"""),"Emilio Lara|46225")</f>
        <v>Emilio Lara|46225</v>
      </c>
      <c r="O3068" s="14">
        <f>IFERROR(__xludf.DUMMYFUNCTION("""COMPUTED_VALUE"""),2.0)</f>
        <v>2</v>
      </c>
    </row>
    <row r="3069" ht="22.5" hidden="1" customHeight="1">
      <c r="A3069" s="8">
        <v>46034.40196145834</v>
      </c>
      <c r="B3069" s="14">
        <v>46034.0</v>
      </c>
      <c r="C3069" s="9" t="s">
        <v>86</v>
      </c>
      <c r="D3069" s="9" t="s">
        <v>397</v>
      </c>
      <c r="E3069" s="9" t="s">
        <v>46</v>
      </c>
      <c r="F3069" s="9" t="s">
        <v>17</v>
      </c>
      <c r="G3069" s="9">
        <v>7.0</v>
      </c>
      <c r="H3069" s="9" t="s">
        <v>22</v>
      </c>
      <c r="I3069" s="9" t="s">
        <v>20</v>
      </c>
      <c r="J3069" s="10"/>
      <c r="K3069" s="14" t="s">
        <v>398</v>
      </c>
      <c r="N3069" s="14" t="str">
        <f>IFERROR(__xludf.DUMMYFUNCTION("""COMPUTED_VALUE"""),"Cristian Borja|46225")</f>
        <v>Cristian Borja|46225</v>
      </c>
      <c r="O3069" s="14">
        <f>IFERROR(__xludf.DUMMYFUNCTION("""COMPUTED_VALUE"""),4.0)</f>
        <v>4</v>
      </c>
    </row>
    <row r="3070" ht="22.5" hidden="1" customHeight="1">
      <c r="A3070" s="8">
        <v>46035.35535131945</v>
      </c>
      <c r="B3070" s="14">
        <v>46035.0</v>
      </c>
      <c r="C3070" s="9" t="s">
        <v>86</v>
      </c>
      <c r="D3070" s="9" t="s">
        <v>258</v>
      </c>
      <c r="E3070" s="9" t="s">
        <v>17</v>
      </c>
      <c r="F3070" s="9" t="s">
        <v>17</v>
      </c>
      <c r="G3070" s="9">
        <v>8.0</v>
      </c>
      <c r="H3070" s="9" t="s">
        <v>22</v>
      </c>
      <c r="I3070" s="9" t="s">
        <v>20</v>
      </c>
      <c r="J3070" s="10"/>
      <c r="K3070" s="14">
        <v>6.0</v>
      </c>
      <c r="N3070" s="14" t="str">
        <f>IFERROR(__xludf.DUMMYFUNCTION("""COMPUTED_VALUE"""),"Luis Ángel Malagón|46225")</f>
        <v>Luis Ángel Malagón|46225</v>
      </c>
      <c r="O3070" s="14">
        <f>IFERROR(__xludf.DUMMYFUNCTION("""COMPUTED_VALUE"""),6.0)</f>
        <v>6</v>
      </c>
    </row>
    <row r="3071" ht="22.5" hidden="1" customHeight="1">
      <c r="A3071" s="8">
        <v>46035.355657175925</v>
      </c>
      <c r="B3071" s="14">
        <v>46035.0</v>
      </c>
      <c r="C3071" s="9" t="s">
        <v>110</v>
      </c>
      <c r="D3071" s="9" t="s">
        <v>258</v>
      </c>
      <c r="E3071" s="9" t="s">
        <v>17</v>
      </c>
      <c r="F3071" s="9" t="s">
        <v>17</v>
      </c>
      <c r="G3071" s="9">
        <v>8.0</v>
      </c>
      <c r="H3071" s="9" t="s">
        <v>22</v>
      </c>
      <c r="I3071" s="9" t="s">
        <v>20</v>
      </c>
      <c r="J3071" s="10"/>
      <c r="K3071" s="14">
        <v>6.0</v>
      </c>
      <c r="N3071" s="14" t="str">
        <f>IFERROR(__xludf.DUMMYFUNCTION("""COMPUTED_VALUE"""),"Alejandro Cardenas|46225")</f>
        <v>Alejandro Cardenas|46225</v>
      </c>
      <c r="O3071" s="14">
        <f>IFERROR(__xludf.DUMMYFUNCTION("""COMPUTED_VALUE"""),3.0)</f>
        <v>3</v>
      </c>
    </row>
    <row r="3072" ht="22.5" hidden="1" customHeight="1">
      <c r="A3072" s="8">
        <v>46035.355851608794</v>
      </c>
      <c r="B3072" s="14">
        <v>46035.0</v>
      </c>
      <c r="C3072" s="9" t="s">
        <v>110</v>
      </c>
      <c r="D3072" s="9" t="s">
        <v>177</v>
      </c>
      <c r="E3072" s="9" t="s">
        <v>17</v>
      </c>
      <c r="F3072" s="9" t="s">
        <v>17</v>
      </c>
      <c r="G3072" s="9">
        <v>8.0</v>
      </c>
      <c r="H3072" s="9" t="s">
        <v>22</v>
      </c>
      <c r="I3072" s="9" t="s">
        <v>20</v>
      </c>
      <c r="J3072" s="10"/>
      <c r="K3072" s="14" t="s">
        <v>398</v>
      </c>
      <c r="N3072" s="14" t="str">
        <f>IFERROR(__xludf.DUMMYFUNCTION("""COMPUTED_VALUE"""),"Franco Rossano|46225")</f>
        <v>Franco Rossano|46225</v>
      </c>
      <c r="O3072" s="14">
        <f>IFERROR(__xludf.DUMMYFUNCTION("""COMPUTED_VALUE"""),4.0)</f>
        <v>4</v>
      </c>
    </row>
    <row r="3073" ht="22.5" hidden="1" customHeight="1">
      <c r="A3073" s="8">
        <v>46035.356089733796</v>
      </c>
      <c r="B3073" s="14">
        <v>46035.0</v>
      </c>
      <c r="C3073" s="9" t="s">
        <v>110</v>
      </c>
      <c r="D3073" s="9" t="s">
        <v>280</v>
      </c>
      <c r="E3073" s="9" t="s">
        <v>17</v>
      </c>
      <c r="F3073" s="9" t="s">
        <v>17</v>
      </c>
      <c r="G3073" s="9">
        <v>8.0</v>
      </c>
      <c r="H3073" s="9" t="s">
        <v>22</v>
      </c>
      <c r="I3073" s="9" t="s">
        <v>20</v>
      </c>
      <c r="J3073" s="10"/>
      <c r="K3073" s="14">
        <v>5.0</v>
      </c>
      <c r="N3073" s="14" t="str">
        <f>IFERROR(__xludf.DUMMYFUNCTION("""COMPUTED_VALUE"""),"Alexis Gutiérrez|46225")</f>
        <v>Alexis Gutiérrez|46225</v>
      </c>
      <c r="O3073" s="14">
        <f>IFERROR(__xludf.DUMMYFUNCTION("""COMPUTED_VALUE"""),3.0)</f>
        <v>3</v>
      </c>
    </row>
    <row r="3074" ht="22.5" hidden="1" customHeight="1">
      <c r="A3074" s="8">
        <v>46035.35634212963</v>
      </c>
      <c r="B3074" s="14">
        <v>46035.0</v>
      </c>
      <c r="C3074" s="9" t="s">
        <v>110</v>
      </c>
      <c r="D3074" s="9" t="s">
        <v>249</v>
      </c>
      <c r="E3074" s="9" t="s">
        <v>46</v>
      </c>
      <c r="F3074" s="9" t="s">
        <v>17</v>
      </c>
      <c r="G3074" s="9">
        <v>8.0</v>
      </c>
      <c r="H3074" s="9" t="s">
        <v>22</v>
      </c>
      <c r="I3074" s="9" t="s">
        <v>20</v>
      </c>
      <c r="J3074" s="10"/>
      <c r="K3074" s="14" t="s">
        <v>398</v>
      </c>
      <c r="N3074" s="14" t="str">
        <f>IFERROR(__xludf.DUMMYFUNCTION("""COMPUTED_VALUE"""),"Henry Martín|46225")</f>
        <v>Henry Martín|46225</v>
      </c>
      <c r="O3074" s="14">
        <f>IFERROR(__xludf.DUMMYFUNCTION("""COMPUTED_VALUE"""),4.0)</f>
        <v>4</v>
      </c>
    </row>
    <row r="3075" ht="22.5" hidden="1" customHeight="1">
      <c r="A3075" s="8">
        <v>46035.35659465278</v>
      </c>
      <c r="B3075" s="14">
        <v>46035.0</v>
      </c>
      <c r="C3075" s="9" t="s">
        <v>110</v>
      </c>
      <c r="D3075" s="9" t="s">
        <v>408</v>
      </c>
      <c r="E3075" s="9" t="s">
        <v>17</v>
      </c>
      <c r="F3075" s="9" t="s">
        <v>17</v>
      </c>
      <c r="G3075" s="9">
        <v>7.0</v>
      </c>
      <c r="H3075" s="9" t="s">
        <v>22</v>
      </c>
      <c r="I3075" s="9" t="s">
        <v>20</v>
      </c>
      <c r="J3075" s="10"/>
      <c r="K3075" s="14">
        <v>5.0</v>
      </c>
      <c r="N3075" s="14" t="str">
        <f>IFERROR(__xludf.DUMMYFUNCTION("""COMPUTED_VALUE"""),"Ramón Juárez|46225")</f>
        <v>Ramón Juárez|46225</v>
      </c>
      <c r="O3075" s="14">
        <f>IFERROR(__xludf.DUMMYFUNCTION("""COMPUTED_VALUE"""),4.0)</f>
        <v>4</v>
      </c>
    </row>
    <row r="3076" ht="22.5" hidden="1" customHeight="1">
      <c r="A3076" s="8">
        <v>46035.36802565972</v>
      </c>
      <c r="B3076" s="14">
        <v>46035.0</v>
      </c>
      <c r="C3076" s="9" t="s">
        <v>110</v>
      </c>
      <c r="D3076" s="9" t="s">
        <v>105</v>
      </c>
      <c r="E3076" s="9" t="s">
        <v>17</v>
      </c>
      <c r="F3076" s="9" t="s">
        <v>17</v>
      </c>
      <c r="G3076" s="9">
        <v>7.0</v>
      </c>
      <c r="H3076" s="9" t="s">
        <v>22</v>
      </c>
      <c r="I3076" s="9" t="s">
        <v>20</v>
      </c>
      <c r="J3076" s="10"/>
      <c r="K3076" s="14">
        <v>2.0</v>
      </c>
      <c r="N3076" s="14" t="str">
        <f>IFERROR(__xludf.DUMMYFUNCTION("""COMPUTED_VALUE"""),"Miguel Vázquez|46225")</f>
        <v>Miguel Vázquez|46225</v>
      </c>
      <c r="O3076" s="14">
        <f>IFERROR(__xludf.DUMMYFUNCTION("""COMPUTED_VALUE"""),3.0)</f>
        <v>3</v>
      </c>
    </row>
    <row r="3077" ht="22.5" hidden="1" customHeight="1">
      <c r="A3077" s="8">
        <v>46035.36827755787</v>
      </c>
      <c r="B3077" s="14">
        <v>46035.0</v>
      </c>
      <c r="C3077" s="9" t="s">
        <v>110</v>
      </c>
      <c r="D3077" s="9" t="s">
        <v>168</v>
      </c>
      <c r="E3077" s="9" t="s">
        <v>17</v>
      </c>
      <c r="F3077" s="9" t="s">
        <v>17</v>
      </c>
      <c r="G3077" s="9">
        <v>8.0</v>
      </c>
      <c r="H3077" s="9" t="s">
        <v>22</v>
      </c>
      <c r="I3077" s="9" t="s">
        <v>20</v>
      </c>
      <c r="J3077" s="10"/>
      <c r="K3077" s="14" t="s">
        <v>398</v>
      </c>
      <c r="N3077" s="14" t="str">
        <f>IFERROR(__xludf.DUMMYFUNCTION("""COMPUTED_VALUE"""),"Rodolfo Cota|46225")</f>
        <v>Rodolfo Cota|46225</v>
      </c>
      <c r="O3077" s="14">
        <f>IFERROR(__xludf.DUMMYFUNCTION("""COMPUTED_VALUE"""),2.0)</f>
        <v>2</v>
      </c>
    </row>
    <row r="3078" ht="22.5" hidden="1" customHeight="1">
      <c r="A3078" s="8">
        <v>46035.36856641204</v>
      </c>
      <c r="B3078" s="14">
        <v>46035.0</v>
      </c>
      <c r="C3078" s="9" t="s">
        <v>110</v>
      </c>
      <c r="D3078" s="9" t="s">
        <v>178</v>
      </c>
      <c r="E3078" s="9" t="s">
        <v>17</v>
      </c>
      <c r="F3078" s="9" t="s">
        <v>17</v>
      </c>
      <c r="G3078" s="9">
        <v>8.0</v>
      </c>
      <c r="H3078" s="9" t="s">
        <v>25</v>
      </c>
      <c r="I3078" s="9" t="s">
        <v>316</v>
      </c>
      <c r="J3078" s="10"/>
      <c r="K3078" s="14">
        <v>5.0</v>
      </c>
      <c r="N3078" s="14" t="str">
        <f>IFERROR(__xludf.DUMMYFUNCTION("""COMPUTED_VALUE"""),"Fernando Tapia|46225")</f>
        <v>Fernando Tapia|46225</v>
      </c>
      <c r="O3078" s="14">
        <f>IFERROR(__xludf.DUMMYFUNCTION("""COMPUTED_VALUE"""),4.0)</f>
        <v>4</v>
      </c>
    </row>
    <row r="3079" ht="22.5" hidden="1" customHeight="1">
      <c r="A3079" s="8">
        <v>46035.36879247685</v>
      </c>
      <c r="B3079" s="14">
        <v>46035.0</v>
      </c>
      <c r="C3079" s="9" t="s">
        <v>110</v>
      </c>
      <c r="D3079" s="9" t="s">
        <v>174</v>
      </c>
      <c r="E3079" s="9" t="s">
        <v>17</v>
      </c>
      <c r="F3079" s="9" t="s">
        <v>17</v>
      </c>
      <c r="G3079" s="9">
        <v>8.0</v>
      </c>
      <c r="H3079" s="9" t="s">
        <v>22</v>
      </c>
      <c r="I3079" s="9" t="s">
        <v>20</v>
      </c>
      <c r="J3079" s="10"/>
      <c r="K3079" s="14" t="s">
        <v>398</v>
      </c>
      <c r="N3079" s="14" t="str">
        <f>IFERROR(__xludf.DUMMYFUNCTION("""COMPUTED_VALUE"""),"Kevin Álvarez|46225")</f>
        <v>Kevin Álvarez|46225</v>
      </c>
      <c r="O3079" s="14">
        <f>IFERROR(__xludf.DUMMYFUNCTION("""COMPUTED_VALUE"""),3.0)</f>
        <v>3</v>
      </c>
    </row>
    <row r="3080" ht="22.5" hidden="1" customHeight="1">
      <c r="A3080" s="8">
        <v>46035.36915939815</v>
      </c>
      <c r="B3080" s="14">
        <v>46035.0</v>
      </c>
      <c r="C3080" s="9" t="s">
        <v>110</v>
      </c>
      <c r="D3080" s="9" t="s">
        <v>395</v>
      </c>
      <c r="E3080" s="9" t="s">
        <v>17</v>
      </c>
      <c r="F3080" s="9" t="s">
        <v>17</v>
      </c>
      <c r="G3080" s="9">
        <v>7.0</v>
      </c>
      <c r="H3080" s="9" t="s">
        <v>22</v>
      </c>
      <c r="I3080" s="9" t="s">
        <v>20</v>
      </c>
      <c r="J3080" s="10"/>
      <c r="K3080" s="14">
        <v>4.0</v>
      </c>
      <c r="N3080" s="14" t="str">
        <f>IFERROR(__xludf.DUMMYFUNCTION("""COMPUTED_VALUE"""),"Raphael Veiga|46225")</f>
        <v>Raphael Veiga|46225</v>
      </c>
      <c r="O3080" s="14">
        <f>IFERROR(__xludf.DUMMYFUNCTION("""COMPUTED_VALUE"""),2.0)</f>
        <v>2</v>
      </c>
    </row>
    <row r="3081" ht="22.5" hidden="1" customHeight="1">
      <c r="A3081" s="8">
        <v>46035.36944353009</v>
      </c>
      <c r="B3081" s="14">
        <v>46035.0</v>
      </c>
      <c r="C3081" s="9" t="s">
        <v>110</v>
      </c>
      <c r="D3081" s="9" t="s">
        <v>393</v>
      </c>
      <c r="E3081" s="9" t="s">
        <v>17</v>
      </c>
      <c r="F3081" s="9" t="s">
        <v>17</v>
      </c>
      <c r="G3081" s="9">
        <v>7.0</v>
      </c>
      <c r="H3081" s="9" t="s">
        <v>22</v>
      </c>
      <c r="I3081" s="9" t="s">
        <v>20</v>
      </c>
      <c r="J3081" s="10"/>
      <c r="K3081" s="14">
        <v>3.0</v>
      </c>
      <c r="N3081" s="14" t="str">
        <f>IFERROR(__xludf.DUMMYFUNCTION("""COMPUTED_VALUE"""),"Víctor Dávila|46225")</f>
        <v>Víctor Dávila|46225</v>
      </c>
      <c r="O3081" s="14">
        <f>IFERROR(__xludf.DUMMYFUNCTION("""COMPUTED_VALUE"""),3.0)</f>
        <v>3</v>
      </c>
    </row>
    <row r="3082" ht="22.5" hidden="1" customHeight="1">
      <c r="A3082" s="8">
        <v>46035.36966347222</v>
      </c>
      <c r="B3082" s="14">
        <v>46035.0</v>
      </c>
      <c r="C3082" s="9" t="s">
        <v>110</v>
      </c>
      <c r="D3082" s="9" t="s">
        <v>369</v>
      </c>
      <c r="E3082" s="9" t="s">
        <v>17</v>
      </c>
      <c r="F3082" s="9" t="s">
        <v>17</v>
      </c>
      <c r="G3082" s="9">
        <v>7.0</v>
      </c>
      <c r="H3082" s="9" t="s">
        <v>22</v>
      </c>
      <c r="I3082" s="9" t="s">
        <v>20</v>
      </c>
      <c r="J3082" s="10"/>
      <c r="K3082" s="14">
        <v>5.0</v>
      </c>
      <c r="N3082" s="14" t="str">
        <f>IFERROR(__xludf.DUMMYFUNCTION("""COMPUTED_VALUE"""),"Isaías Violante|46225")</f>
        <v>Isaías Violante|46225</v>
      </c>
      <c r="O3082" s="14">
        <f>IFERROR(__xludf.DUMMYFUNCTION("""COMPUTED_VALUE"""),3.0)</f>
        <v>3</v>
      </c>
    </row>
    <row r="3083" ht="22.5" hidden="1" customHeight="1">
      <c r="A3083" s="8">
        <v>46035.38179950231</v>
      </c>
      <c r="B3083" s="14">
        <v>46035.0</v>
      </c>
      <c r="C3083" s="9" t="s">
        <v>110</v>
      </c>
      <c r="D3083" s="9" t="s">
        <v>170</v>
      </c>
      <c r="E3083" s="9" t="s">
        <v>17</v>
      </c>
      <c r="F3083" s="9" t="s">
        <v>43</v>
      </c>
      <c r="G3083" s="9">
        <v>8.0</v>
      </c>
      <c r="H3083" s="9" t="s">
        <v>25</v>
      </c>
      <c r="I3083" s="9" t="s">
        <v>211</v>
      </c>
      <c r="J3083" s="10"/>
      <c r="K3083" s="14">
        <v>4.0</v>
      </c>
      <c r="N3083" s="14" t="str">
        <f>IFERROR(__xludf.DUMMYFUNCTION("""COMPUTED_VALUE"""),"Adrian Fernandez|46225")</f>
        <v>Adrian Fernandez|46225</v>
      </c>
      <c r="O3083" s="14">
        <f>IFERROR(__xludf.DUMMYFUNCTION("""COMPUTED_VALUE"""),3.0)</f>
        <v>3</v>
      </c>
    </row>
    <row r="3084" ht="22.5" hidden="1" customHeight="1">
      <c r="A3084" s="8">
        <v>46035.382215081016</v>
      </c>
      <c r="B3084" s="14">
        <v>46035.0</v>
      </c>
      <c r="C3084" s="9" t="s">
        <v>110</v>
      </c>
      <c r="D3084" s="9" t="s">
        <v>396</v>
      </c>
      <c r="E3084" s="9" t="s">
        <v>17</v>
      </c>
      <c r="F3084" s="9" t="s">
        <v>17</v>
      </c>
      <c r="G3084" s="9">
        <v>7.0</v>
      </c>
      <c r="H3084" s="9" t="s">
        <v>22</v>
      </c>
      <c r="I3084" s="9" t="s">
        <v>20</v>
      </c>
      <c r="J3084" s="10"/>
      <c r="K3084" s="14">
        <v>2.0</v>
      </c>
      <c r="N3084" s="14" t="str">
        <f>IFERROR(__xludf.DUMMYFUNCTION("""COMPUTED_VALUE"""),"Andres Marioni|46225")</f>
        <v>Andres Marioni|46225</v>
      </c>
      <c r="O3084" s="14">
        <f>IFERROR(__xludf.DUMMYFUNCTION("""COMPUTED_VALUE"""),3.0)</f>
        <v>3</v>
      </c>
    </row>
    <row r="3085" ht="22.5" hidden="1" customHeight="1">
      <c r="A3085" s="8">
        <v>46035.382459942135</v>
      </c>
      <c r="B3085" s="14">
        <v>46035.0</v>
      </c>
      <c r="C3085" s="9" t="s">
        <v>110</v>
      </c>
      <c r="D3085" s="9" t="s">
        <v>171</v>
      </c>
      <c r="E3085" s="9" t="s">
        <v>17</v>
      </c>
      <c r="F3085" s="9" t="s">
        <v>17</v>
      </c>
      <c r="G3085" s="9">
        <v>8.0</v>
      </c>
      <c r="H3085" s="9" t="s">
        <v>25</v>
      </c>
      <c r="I3085" s="9" t="s">
        <v>242</v>
      </c>
      <c r="J3085" s="10"/>
      <c r="K3085" s="14">
        <v>3.0</v>
      </c>
      <c r="N3085" s="14" t="str">
        <f>IFERROR(__xludf.DUMMYFUNCTION("""COMPUTED_VALUE"""),"Santiago Camarena|46225")</f>
        <v>Santiago Camarena|46225</v>
      </c>
      <c r="O3085" s="14">
        <f>IFERROR(__xludf.DUMMYFUNCTION("""COMPUTED_VALUE"""),3.0)</f>
        <v>3</v>
      </c>
    </row>
    <row r="3086" ht="22.5" hidden="1" customHeight="1">
      <c r="A3086" s="8">
        <v>46035.38290646991</v>
      </c>
      <c r="B3086" s="14">
        <v>46035.0</v>
      </c>
      <c r="C3086" s="9" t="s">
        <v>110</v>
      </c>
      <c r="D3086" s="9" t="s">
        <v>175</v>
      </c>
      <c r="E3086" s="9" t="s">
        <v>17</v>
      </c>
      <c r="F3086" s="9" t="s">
        <v>17</v>
      </c>
      <c r="G3086" s="9">
        <v>7.0</v>
      </c>
      <c r="H3086" s="9" t="s">
        <v>22</v>
      </c>
      <c r="I3086" s="9" t="s">
        <v>20</v>
      </c>
      <c r="J3086" s="10"/>
      <c r="K3086" s="14">
        <v>7.0</v>
      </c>
      <c r="N3086" s="14" t="str">
        <f>IFERROR(__xludf.DUMMYFUNCTION("""COMPUTED_VALUE"""),"Paolo Bedolla|46225")</f>
        <v>Paolo Bedolla|46225</v>
      </c>
      <c r="O3086" s="14">
        <f>IFERROR(__xludf.DUMMYFUNCTION("""COMPUTED_VALUE"""),4.0)</f>
        <v>4</v>
      </c>
    </row>
    <row r="3087" ht="22.5" hidden="1" customHeight="1">
      <c r="A3087" s="8">
        <v>46035.383210115746</v>
      </c>
      <c r="B3087" s="14">
        <v>46035.0</v>
      </c>
      <c r="C3087" s="9" t="s">
        <v>110</v>
      </c>
      <c r="D3087" s="9" t="s">
        <v>335</v>
      </c>
      <c r="E3087" s="9" t="s">
        <v>17</v>
      </c>
      <c r="F3087" s="9" t="s">
        <v>17</v>
      </c>
      <c r="G3087" s="9">
        <v>8.0</v>
      </c>
      <c r="H3087" s="9" t="s">
        <v>25</v>
      </c>
      <c r="I3087" s="9" t="s">
        <v>211</v>
      </c>
      <c r="J3087" s="10"/>
      <c r="K3087" s="14">
        <v>4.0</v>
      </c>
      <c r="N3087" s="14" t="str">
        <f>IFERROR(__xludf.DUMMYFUNCTION("""COMPUTED_VALUE"""),"Diego Arriaga|46225")</f>
        <v>Diego Arriaga|46225</v>
      </c>
      <c r="O3087" s="14">
        <f>IFERROR(__xludf.DUMMYFUNCTION("""COMPUTED_VALUE"""),4.0)</f>
        <v>4</v>
      </c>
    </row>
    <row r="3088" ht="22.5" hidden="1" customHeight="1">
      <c r="A3088" s="8">
        <v>46035.38358533564</v>
      </c>
      <c r="B3088" s="14">
        <v>46035.0</v>
      </c>
      <c r="C3088" s="9" t="s">
        <v>110</v>
      </c>
      <c r="D3088" s="9" t="s">
        <v>394</v>
      </c>
      <c r="E3088" s="9" t="s">
        <v>17</v>
      </c>
      <c r="F3088" s="9" t="s">
        <v>17</v>
      </c>
      <c r="G3088" s="9">
        <v>8.0</v>
      </c>
      <c r="H3088" s="9" t="s">
        <v>25</v>
      </c>
      <c r="I3088" s="9" t="s">
        <v>28</v>
      </c>
      <c r="J3088" s="10"/>
      <c r="K3088" s="14">
        <v>4.0</v>
      </c>
      <c r="N3088" s="14" t="str">
        <f>IFERROR(__xludf.DUMMYFUNCTION("""COMPUTED_VALUE"""),"Icaro|46225")</f>
        <v>Icaro|46225</v>
      </c>
      <c r="O3088" s="14">
        <f>IFERROR(__xludf.DUMMYFUNCTION("""COMPUTED_VALUE"""),3.0)</f>
        <v>3</v>
      </c>
    </row>
    <row r="3089" ht="22.5" hidden="1" customHeight="1">
      <c r="A3089" s="8">
        <v>46035.383980011575</v>
      </c>
      <c r="B3089" s="14">
        <v>46035.0</v>
      </c>
      <c r="C3089" s="9" t="s">
        <v>110</v>
      </c>
      <c r="D3089" s="9" t="s">
        <v>210</v>
      </c>
      <c r="E3089" s="9" t="s">
        <v>17</v>
      </c>
      <c r="F3089" s="9" t="s">
        <v>17</v>
      </c>
      <c r="G3089" s="9">
        <v>8.0</v>
      </c>
      <c r="H3089" s="9" t="s">
        <v>22</v>
      </c>
      <c r="I3089" s="9" t="s">
        <v>20</v>
      </c>
      <c r="J3089" s="10"/>
      <c r="K3089" s="14">
        <v>6.0</v>
      </c>
      <c r="N3089" s="14" t="str">
        <f>IFERROR(__xludf.DUMMYFUNCTION("""COMPUTED_VALUE"""),"Brian Rodríguez|46225")</f>
        <v>Brian Rodríguez|46225</v>
      </c>
      <c r="O3089" s="14">
        <f>IFERROR(__xludf.DUMMYFUNCTION("""COMPUTED_VALUE"""),10.0)</f>
        <v>10</v>
      </c>
    </row>
    <row r="3090" ht="22.5" hidden="1" customHeight="1">
      <c r="A3090" s="8">
        <v>46035.38427484954</v>
      </c>
      <c r="B3090" s="14">
        <v>46035.0</v>
      </c>
      <c r="C3090" s="9" t="s">
        <v>110</v>
      </c>
      <c r="D3090" s="9" t="s">
        <v>257</v>
      </c>
      <c r="E3090" s="9" t="s">
        <v>17</v>
      </c>
      <c r="F3090" s="9" t="s">
        <v>60</v>
      </c>
      <c r="G3090" s="9" t="s">
        <v>410</v>
      </c>
      <c r="H3090" s="9" t="s">
        <v>22</v>
      </c>
      <c r="I3090" s="9" t="s">
        <v>20</v>
      </c>
      <c r="J3090" s="10"/>
      <c r="K3090" s="14" t="s">
        <v>398</v>
      </c>
      <c r="N3090" s="14" t="str">
        <f>IFERROR(__xludf.DUMMYFUNCTION("""COMPUTED_VALUE"""),"Israel Reyes|46225")</f>
        <v>Israel Reyes|46225</v>
      </c>
      <c r="O3090" s="14">
        <f>IFERROR(__xludf.DUMMYFUNCTION("""COMPUTED_VALUE"""),10.0)</f>
        <v>10</v>
      </c>
    </row>
    <row r="3091" ht="22.5" hidden="1" customHeight="1">
      <c r="A3091" s="8">
        <v>46035.38457804398</v>
      </c>
      <c r="B3091" s="14">
        <v>46035.0</v>
      </c>
      <c r="C3091" s="9" t="s">
        <v>110</v>
      </c>
      <c r="D3091" s="9" t="s">
        <v>223</v>
      </c>
      <c r="E3091" s="9" t="s">
        <v>17</v>
      </c>
      <c r="F3091" s="9" t="s">
        <v>17</v>
      </c>
      <c r="G3091" s="9">
        <v>7.0</v>
      </c>
      <c r="H3091" s="9" t="s">
        <v>22</v>
      </c>
      <c r="I3091" s="9" t="s">
        <v>20</v>
      </c>
      <c r="J3091" s="10"/>
      <c r="K3091" s="14">
        <v>3.0</v>
      </c>
      <c r="N3091" s="14" t="str">
        <f>IFERROR(__xludf.DUMMYFUNCTION("""COMPUTED_VALUE"""),"Alan Cervantes|46225")</f>
        <v>Alan Cervantes|46225</v>
      </c>
      <c r="O3091" s="14">
        <f>IFERROR(__xludf.DUMMYFUNCTION("""COMPUTED_VALUE"""),10.0)</f>
        <v>10</v>
      </c>
    </row>
    <row r="3092" ht="22.5" hidden="1" customHeight="1">
      <c r="A3092" s="8">
        <v>46035.384896874995</v>
      </c>
      <c r="B3092" s="14">
        <v>46035.0</v>
      </c>
      <c r="C3092" s="9" t="s">
        <v>110</v>
      </c>
      <c r="D3092" s="9" t="s">
        <v>247</v>
      </c>
      <c r="E3092" s="9" t="s">
        <v>17</v>
      </c>
      <c r="F3092" s="9" t="s">
        <v>17</v>
      </c>
      <c r="G3092" s="9">
        <v>7.0</v>
      </c>
      <c r="H3092" s="9" t="s">
        <v>22</v>
      </c>
      <c r="I3092" s="9" t="s">
        <v>20</v>
      </c>
      <c r="J3092" s="10"/>
      <c r="K3092" s="14" t="s">
        <v>398</v>
      </c>
      <c r="N3092" s="14" t="str">
        <f>IFERROR(__xludf.DUMMYFUNCTION("""COMPUTED_VALUE"""),"Sebastián Cáceres|46225")</f>
        <v>Sebastián Cáceres|46225</v>
      </c>
      <c r="O3092" s="14">
        <f>IFERROR(__xludf.DUMMYFUNCTION("""COMPUTED_VALUE"""),10.0)</f>
        <v>10</v>
      </c>
    </row>
    <row r="3093" ht="22.5" hidden="1" customHeight="1">
      <c r="A3093" s="8">
        <v>46035.385201157405</v>
      </c>
      <c r="B3093" s="14">
        <v>46035.0</v>
      </c>
      <c r="C3093" s="9" t="s">
        <v>110</v>
      </c>
      <c r="D3093" s="9" t="s">
        <v>367</v>
      </c>
      <c r="E3093" s="9" t="s">
        <v>17</v>
      </c>
      <c r="F3093" s="9" t="s">
        <v>17</v>
      </c>
      <c r="G3093" s="9">
        <v>8.0</v>
      </c>
      <c r="H3093" s="9" t="s">
        <v>22</v>
      </c>
      <c r="I3093" s="9" t="s">
        <v>20</v>
      </c>
      <c r="J3093" s="10"/>
      <c r="K3093" s="14">
        <v>6.0</v>
      </c>
      <c r="N3093" s="14" t="str">
        <f>IFERROR(__xludf.DUMMYFUNCTION("""COMPUTED_VALUE"""),"Israel Reyes|46226")</f>
        <v>Israel Reyes|46226</v>
      </c>
      <c r="O3093" s="14">
        <f>IFERROR(__xludf.DUMMYFUNCTION("""COMPUTED_VALUE"""),10.0)</f>
        <v>10</v>
      </c>
    </row>
    <row r="3094" ht="22.5" hidden="1" customHeight="1">
      <c r="A3094" s="8">
        <v>46035.385517002316</v>
      </c>
      <c r="B3094" s="14">
        <v>46035.0</v>
      </c>
      <c r="C3094" s="9" t="s">
        <v>110</v>
      </c>
      <c r="D3094" s="9" t="s">
        <v>357</v>
      </c>
      <c r="E3094" s="9" t="s">
        <v>17</v>
      </c>
      <c r="F3094" s="9" t="s">
        <v>17</v>
      </c>
      <c r="G3094" s="9">
        <v>8.0</v>
      </c>
      <c r="H3094" s="9" t="s">
        <v>22</v>
      </c>
      <c r="I3094" s="9" t="s">
        <v>20</v>
      </c>
      <c r="J3094" s="10"/>
      <c r="K3094" s="14">
        <v>5.0</v>
      </c>
      <c r="N3094" s="14" t="str">
        <f>IFERROR(__xludf.DUMMYFUNCTION("""COMPUTED_VALUE"""),"Sebastián Cáceres|46226")</f>
        <v>Sebastián Cáceres|46226</v>
      </c>
      <c r="O3094" s="14">
        <f>IFERROR(__xludf.DUMMYFUNCTION("""COMPUTED_VALUE"""),7.0)</f>
        <v>7</v>
      </c>
    </row>
    <row r="3095" ht="22.5" hidden="1" customHeight="1">
      <c r="A3095" s="8">
        <v>46035.39388278935</v>
      </c>
      <c r="B3095" s="14">
        <v>46035.0</v>
      </c>
      <c r="C3095" s="9" t="s">
        <v>110</v>
      </c>
      <c r="D3095" s="9" t="s">
        <v>259</v>
      </c>
      <c r="E3095" s="9" t="s">
        <v>30</v>
      </c>
      <c r="F3095" s="9" t="s">
        <v>18</v>
      </c>
      <c r="G3095" s="9" t="s">
        <v>409</v>
      </c>
      <c r="H3095" s="9" t="s">
        <v>22</v>
      </c>
      <c r="I3095" s="9" t="s">
        <v>20</v>
      </c>
      <c r="J3095" s="10"/>
      <c r="K3095" s="14" t="s">
        <v>398</v>
      </c>
      <c r="N3095" s="14" t="str">
        <f>IFERROR(__xludf.DUMMYFUNCTION("""COMPUTED_VALUE"""),"Brian Rodríguez|46226")</f>
        <v>Brian Rodríguez|46226</v>
      </c>
      <c r="O3095" s="14">
        <f>IFERROR(__xludf.DUMMYFUNCTION("""COMPUTED_VALUE"""),10.0)</f>
        <v>10</v>
      </c>
    </row>
    <row r="3096" ht="22.5" hidden="1" customHeight="1">
      <c r="A3096" s="8">
        <v>46035.40312145834</v>
      </c>
      <c r="B3096" s="14">
        <v>46035.0</v>
      </c>
      <c r="C3096" s="9" t="s">
        <v>110</v>
      </c>
      <c r="D3096" s="9" t="s">
        <v>397</v>
      </c>
      <c r="E3096" s="9" t="s">
        <v>17</v>
      </c>
      <c r="F3096" s="9" t="s">
        <v>17</v>
      </c>
      <c r="G3096" s="9">
        <v>8.0</v>
      </c>
      <c r="H3096" s="9" t="s">
        <v>22</v>
      </c>
      <c r="I3096" s="9" t="s">
        <v>20</v>
      </c>
      <c r="J3096" s="10"/>
      <c r="K3096" s="14">
        <v>3.0</v>
      </c>
      <c r="N3096" s="14" t="str">
        <f>IFERROR(__xludf.DUMMYFUNCTION("""COMPUTED_VALUE"""),"Alan Cervantes|46226")</f>
        <v>Alan Cervantes|46226</v>
      </c>
      <c r="O3096" s="14">
        <f>IFERROR(__xludf.DUMMYFUNCTION("""COMPUTED_VALUE"""),9.0)</f>
        <v>9</v>
      </c>
    </row>
    <row r="3097" ht="22.5" hidden="1" customHeight="1">
      <c r="A3097" s="8">
        <v>46035.40468969908</v>
      </c>
      <c r="B3097" s="14">
        <v>46035.0</v>
      </c>
      <c r="C3097" s="9" t="s">
        <v>110</v>
      </c>
      <c r="D3097" s="9" t="s">
        <v>397</v>
      </c>
      <c r="E3097" s="9" t="s">
        <v>17</v>
      </c>
      <c r="F3097" s="9" t="s">
        <v>17</v>
      </c>
      <c r="G3097" s="9">
        <v>8.0</v>
      </c>
      <c r="H3097" s="9" t="s">
        <v>22</v>
      </c>
      <c r="I3097" s="9" t="s">
        <v>20</v>
      </c>
      <c r="J3097" s="10"/>
      <c r="K3097" s="14">
        <v>3.0</v>
      </c>
      <c r="N3097" s="14" t="str">
        <f>IFERROR(__xludf.DUMMYFUNCTION("""COMPUTED_VALUE"""),"Luis Ángel Malagón|46233")</f>
        <v>Luis Ángel Malagón|46233</v>
      </c>
      <c r="O3097" s="14">
        <f>IFERROR(__xludf.DUMMYFUNCTION("""COMPUTED_VALUE"""),6.0)</f>
        <v>6</v>
      </c>
    </row>
    <row r="3098" ht="22.5" hidden="1" customHeight="1">
      <c r="A3098" s="8">
        <v>46037.397500543986</v>
      </c>
      <c r="B3098" s="14">
        <v>46037.0</v>
      </c>
      <c r="C3098" s="9" t="s">
        <v>31</v>
      </c>
      <c r="D3098" s="9" t="s">
        <v>170</v>
      </c>
      <c r="E3098" s="9" t="s">
        <v>17</v>
      </c>
      <c r="F3098" s="9" t="s">
        <v>17</v>
      </c>
      <c r="G3098" s="9">
        <v>8.0</v>
      </c>
      <c r="H3098" s="9" t="s">
        <v>25</v>
      </c>
      <c r="I3098" s="9" t="s">
        <v>355</v>
      </c>
      <c r="J3098" s="10"/>
      <c r="K3098" s="14" t="s">
        <v>398</v>
      </c>
      <c r="N3098" s="14" t="str">
        <f>IFERROR(__xludf.DUMMYFUNCTION("""COMPUTED_VALUE"""),"Henry Martín|46233")</f>
        <v>Henry Martín|46233</v>
      </c>
      <c r="O3098" s="14">
        <f>IFERROR(__xludf.DUMMYFUNCTION("""COMPUTED_VALUE"""),6.0)</f>
        <v>6</v>
      </c>
    </row>
    <row r="3099" ht="22.5" hidden="1" customHeight="1">
      <c r="A3099" s="8">
        <v>46037.412281157405</v>
      </c>
      <c r="B3099" s="14">
        <v>46037.0</v>
      </c>
      <c r="C3099" s="9" t="s">
        <v>31</v>
      </c>
      <c r="D3099" s="9" t="s">
        <v>258</v>
      </c>
      <c r="E3099" s="9" t="s">
        <v>17</v>
      </c>
      <c r="F3099" s="9" t="s">
        <v>17</v>
      </c>
      <c r="G3099" s="9">
        <v>8.0</v>
      </c>
      <c r="H3099" s="9" t="s">
        <v>22</v>
      </c>
      <c r="I3099" s="9" t="s">
        <v>20</v>
      </c>
      <c r="J3099" s="10"/>
      <c r="K3099" s="14" t="s">
        <v>398</v>
      </c>
      <c r="N3099" s="14" t="str">
        <f>IFERROR(__xludf.DUMMYFUNCTION("""COMPUTED_VALUE"""),"Isaías Violante|46233")</f>
        <v>Isaías Violante|46233</v>
      </c>
      <c r="O3099" s="14">
        <f>IFERROR(__xludf.DUMMYFUNCTION("""COMPUTED_VALUE"""),7.0)</f>
        <v>7</v>
      </c>
    </row>
    <row r="3100" ht="22.5" hidden="1" customHeight="1">
      <c r="A3100" s="8">
        <v>46037.412521631944</v>
      </c>
      <c r="B3100" s="14">
        <v>46037.0</v>
      </c>
      <c r="C3100" s="9" t="s">
        <v>31</v>
      </c>
      <c r="D3100" s="9" t="s">
        <v>396</v>
      </c>
      <c r="E3100" s="9" t="s">
        <v>17</v>
      </c>
      <c r="F3100" s="9" t="s">
        <v>17</v>
      </c>
      <c r="G3100" s="9">
        <v>7.0</v>
      </c>
      <c r="H3100" s="9" t="s">
        <v>22</v>
      </c>
      <c r="I3100" s="9" t="s">
        <v>20</v>
      </c>
      <c r="J3100" s="10"/>
      <c r="K3100" s="14" t="s">
        <v>398</v>
      </c>
      <c r="N3100" s="14" t="str">
        <f>IFERROR(__xludf.DUMMYFUNCTION("""COMPUTED_VALUE"""),"Alan Cervantes|46233")</f>
        <v>Alan Cervantes|46233</v>
      </c>
      <c r="O3100" s="14">
        <f>IFERROR(__xludf.DUMMYFUNCTION("""COMPUTED_VALUE"""),8.0)</f>
        <v>8</v>
      </c>
    </row>
    <row r="3101" ht="22.5" hidden="1" customHeight="1">
      <c r="A3101" s="8">
        <v>46037.412899745366</v>
      </c>
      <c r="B3101" s="14">
        <v>46037.0</v>
      </c>
      <c r="C3101" s="9" t="s">
        <v>31</v>
      </c>
      <c r="D3101" s="9" t="s">
        <v>171</v>
      </c>
      <c r="E3101" s="9" t="s">
        <v>17</v>
      </c>
      <c r="F3101" s="9" t="s">
        <v>17</v>
      </c>
      <c r="G3101" s="9">
        <v>8.0</v>
      </c>
      <c r="H3101" s="9" t="s">
        <v>25</v>
      </c>
      <c r="I3101" s="9" t="s">
        <v>37</v>
      </c>
      <c r="J3101" s="10"/>
      <c r="K3101" s="14" t="s">
        <v>398</v>
      </c>
      <c r="N3101" s="14" t="str">
        <f>IFERROR(__xludf.DUMMYFUNCTION("""COMPUTED_VALUE"""),"Cristian Borja|46233")</f>
        <v>Cristian Borja|46233</v>
      </c>
      <c r="O3101" s="14">
        <f>IFERROR(__xludf.DUMMYFUNCTION("""COMPUTED_VALUE"""),7.0)</f>
        <v>7</v>
      </c>
    </row>
    <row r="3102" ht="22.5" hidden="1" customHeight="1">
      <c r="A3102" s="8">
        <v>46037.41329052083</v>
      </c>
      <c r="B3102" s="14">
        <v>46037.0</v>
      </c>
      <c r="C3102" s="9" t="s">
        <v>31</v>
      </c>
      <c r="D3102" s="9" t="s">
        <v>175</v>
      </c>
      <c r="E3102" s="9" t="s">
        <v>17</v>
      </c>
      <c r="F3102" s="9" t="s">
        <v>17</v>
      </c>
      <c r="G3102" s="9">
        <v>7.0</v>
      </c>
      <c r="H3102" s="9" t="s">
        <v>25</v>
      </c>
      <c r="I3102" s="9" t="s">
        <v>207</v>
      </c>
      <c r="J3102" s="10"/>
      <c r="K3102" s="14" t="s">
        <v>398</v>
      </c>
      <c r="N3102" s="14" t="str">
        <f>IFERROR(__xludf.DUMMYFUNCTION("""COMPUTED_VALUE"""),"José Raúl Zúñiga|46233")</f>
        <v>José Raúl Zúñiga|46233</v>
      </c>
      <c r="O3102" s="14">
        <f>IFERROR(__xludf.DUMMYFUNCTION("""COMPUTED_VALUE"""),5.0)</f>
        <v>5</v>
      </c>
    </row>
    <row r="3103" ht="22.5" hidden="1" customHeight="1">
      <c r="A3103" s="8">
        <v>46037.41347326389</v>
      </c>
      <c r="B3103" s="14">
        <v>46037.0</v>
      </c>
      <c r="C3103" s="9" t="s">
        <v>31</v>
      </c>
      <c r="D3103" s="9" t="s">
        <v>105</v>
      </c>
      <c r="E3103" s="9" t="s">
        <v>17</v>
      </c>
      <c r="F3103" s="9" t="s">
        <v>17</v>
      </c>
      <c r="G3103" s="9">
        <v>8.0</v>
      </c>
      <c r="H3103" s="9" t="s">
        <v>22</v>
      </c>
      <c r="I3103" s="9" t="s">
        <v>20</v>
      </c>
      <c r="J3103" s="10"/>
      <c r="K3103" s="14" t="s">
        <v>398</v>
      </c>
      <c r="N3103" s="14" t="str">
        <f>IFERROR(__xludf.DUMMYFUNCTION("""COMPUTED_VALUE"""),"Patricio Salas|46233")</f>
        <v>Patricio Salas|46233</v>
      </c>
      <c r="O3103" s="14">
        <f>IFERROR(__xludf.DUMMYFUNCTION("""COMPUTED_VALUE"""),6.0)</f>
        <v>6</v>
      </c>
    </row>
    <row r="3104" ht="22.5" hidden="1" customHeight="1">
      <c r="A3104" s="8">
        <v>46037.41370856481</v>
      </c>
      <c r="B3104" s="14">
        <v>46037.0</v>
      </c>
      <c r="C3104" s="9" t="s">
        <v>31</v>
      </c>
      <c r="D3104" s="9" t="s">
        <v>177</v>
      </c>
      <c r="E3104" s="9" t="s">
        <v>17</v>
      </c>
      <c r="F3104" s="9" t="s">
        <v>17</v>
      </c>
      <c r="G3104" s="9">
        <v>8.0</v>
      </c>
      <c r="H3104" s="9" t="s">
        <v>22</v>
      </c>
      <c r="I3104" s="9" t="s">
        <v>20</v>
      </c>
      <c r="J3104" s="10"/>
      <c r="K3104" s="14" t="s">
        <v>398</v>
      </c>
      <c r="N3104" s="14" t="str">
        <f>IFERROR(__xludf.DUMMYFUNCTION("""COMPUTED_VALUE"""),"Franco Rossano|46233")</f>
        <v>Franco Rossano|46233</v>
      </c>
      <c r="O3104" s="14">
        <f>IFERROR(__xludf.DUMMYFUNCTION("""COMPUTED_VALUE"""),7.0)</f>
        <v>7</v>
      </c>
    </row>
    <row r="3105" ht="22.5" hidden="1" customHeight="1">
      <c r="A3105" s="8">
        <v>46037.41404532407</v>
      </c>
      <c r="B3105" s="14">
        <v>46037.0</v>
      </c>
      <c r="C3105" s="9" t="s">
        <v>31</v>
      </c>
      <c r="D3105" s="9" t="s">
        <v>168</v>
      </c>
      <c r="E3105" s="9" t="s">
        <v>17</v>
      </c>
      <c r="F3105" s="9" t="s">
        <v>17</v>
      </c>
      <c r="G3105" s="9">
        <v>7.0</v>
      </c>
      <c r="H3105" s="9" t="s">
        <v>22</v>
      </c>
      <c r="I3105" s="9" t="s">
        <v>20</v>
      </c>
      <c r="J3105" s="10"/>
      <c r="K3105" s="14" t="s">
        <v>398</v>
      </c>
      <c r="N3105" s="14" t="str">
        <f>IFERROR(__xludf.DUMMYFUNCTION("""COMPUTED_VALUE"""),"Emilio Lara|46233")</f>
        <v>Emilio Lara|46233</v>
      </c>
      <c r="O3105" s="14">
        <f>IFERROR(__xludf.DUMMYFUNCTION("""COMPUTED_VALUE"""),4.0)</f>
        <v>4</v>
      </c>
    </row>
    <row r="3106" ht="22.5" hidden="1" customHeight="1">
      <c r="A3106" s="8">
        <v>46037.41427253472</v>
      </c>
      <c r="B3106" s="14">
        <v>46037.0</v>
      </c>
      <c r="C3106" s="9" t="s">
        <v>31</v>
      </c>
      <c r="D3106" s="9" t="s">
        <v>259</v>
      </c>
      <c r="E3106" s="9" t="s">
        <v>17</v>
      </c>
      <c r="F3106" s="9" t="s">
        <v>17</v>
      </c>
      <c r="G3106" s="9">
        <v>8.0</v>
      </c>
      <c r="H3106" s="9" t="s">
        <v>22</v>
      </c>
      <c r="I3106" s="9" t="s">
        <v>20</v>
      </c>
      <c r="J3106" s="10"/>
      <c r="K3106" s="14" t="s">
        <v>398</v>
      </c>
      <c r="N3106" s="14" t="str">
        <f>IFERROR(__xludf.DUMMYFUNCTION("""COMPUTED_VALUE"""),"Dagoberto Espinoza|46233")</f>
        <v>Dagoberto Espinoza|46233</v>
      </c>
      <c r="O3106" s="14">
        <f>IFERROR(__xludf.DUMMYFUNCTION("""COMPUTED_VALUE"""),5.0)</f>
        <v>5</v>
      </c>
    </row>
    <row r="3107" ht="22.5" hidden="1" customHeight="1">
      <c r="A3107" s="8">
        <v>46037.41457201389</v>
      </c>
      <c r="B3107" s="14">
        <v>46037.0</v>
      </c>
      <c r="C3107" s="9" t="s">
        <v>31</v>
      </c>
      <c r="D3107" s="9" t="s">
        <v>178</v>
      </c>
      <c r="E3107" s="9" t="s">
        <v>17</v>
      </c>
      <c r="F3107" s="9" t="s">
        <v>17</v>
      </c>
      <c r="G3107" s="9">
        <v>8.0</v>
      </c>
      <c r="H3107" s="9" t="s">
        <v>25</v>
      </c>
      <c r="I3107" s="9" t="s">
        <v>173</v>
      </c>
      <c r="J3107" s="10"/>
      <c r="K3107" s="14" t="s">
        <v>398</v>
      </c>
      <c r="N3107" s="14" t="str">
        <f>IFERROR(__xludf.DUMMYFUNCTION("""COMPUTED_VALUE"""),"Kevin Álvarez|46233")</f>
        <v>Kevin Álvarez|46233</v>
      </c>
      <c r="O3107" s="14">
        <f>IFERROR(__xludf.DUMMYFUNCTION("""COMPUTED_VALUE"""),5.0)</f>
        <v>5</v>
      </c>
    </row>
    <row r="3108" ht="22.5" hidden="1" customHeight="1">
      <c r="A3108" s="8">
        <v>46037.41478503472</v>
      </c>
      <c r="B3108" s="14">
        <v>46037.0</v>
      </c>
      <c r="C3108" s="9" t="s">
        <v>31</v>
      </c>
      <c r="D3108" s="9" t="s">
        <v>280</v>
      </c>
      <c r="E3108" s="9" t="s">
        <v>17</v>
      </c>
      <c r="F3108" s="9" t="s">
        <v>17</v>
      </c>
      <c r="G3108" s="9">
        <v>7.0</v>
      </c>
      <c r="H3108" s="9" t="s">
        <v>22</v>
      </c>
      <c r="I3108" s="9" t="s">
        <v>20</v>
      </c>
      <c r="J3108" s="10"/>
      <c r="K3108" s="14" t="s">
        <v>398</v>
      </c>
      <c r="N3108" s="14" t="str">
        <f>IFERROR(__xludf.DUMMYFUNCTION("""COMPUTED_VALUE"""),"Fernando Tapia|46233")</f>
        <v>Fernando Tapia|46233</v>
      </c>
      <c r="O3108" s="14">
        <f>IFERROR(__xludf.DUMMYFUNCTION("""COMPUTED_VALUE"""),5.0)</f>
        <v>5</v>
      </c>
    </row>
    <row r="3109" ht="22.5" hidden="1" customHeight="1">
      <c r="A3109" s="8">
        <v>46037.4151492824</v>
      </c>
      <c r="B3109" s="14">
        <v>46037.0</v>
      </c>
      <c r="C3109" s="9" t="s">
        <v>31</v>
      </c>
      <c r="D3109" s="9" t="s">
        <v>335</v>
      </c>
      <c r="E3109" s="9" t="s">
        <v>17</v>
      </c>
      <c r="F3109" s="9" t="s">
        <v>17</v>
      </c>
      <c r="G3109" s="9">
        <v>8.0</v>
      </c>
      <c r="H3109" s="9" t="s">
        <v>25</v>
      </c>
      <c r="I3109" s="9" t="s">
        <v>411</v>
      </c>
      <c r="J3109" s="10"/>
      <c r="K3109" s="14" t="s">
        <v>398</v>
      </c>
      <c r="N3109" s="14" t="str">
        <f>IFERROR(__xludf.DUMMYFUNCTION("""COMPUTED_VALUE"""),"Miguel Vázquez|46233")</f>
        <v>Miguel Vázquez|46233</v>
      </c>
      <c r="O3109" s="14">
        <f>IFERROR(__xludf.DUMMYFUNCTION("""COMPUTED_VALUE"""),4.0)</f>
        <v>4</v>
      </c>
    </row>
    <row r="3110" ht="22.5" hidden="1" customHeight="1">
      <c r="A3110" s="8">
        <v>46037.41539461806</v>
      </c>
      <c r="B3110" s="14">
        <v>46037.0</v>
      </c>
      <c r="C3110" s="9" t="s">
        <v>31</v>
      </c>
      <c r="D3110" s="9" t="s">
        <v>394</v>
      </c>
      <c r="E3110" s="9" t="s">
        <v>17</v>
      </c>
      <c r="F3110" s="9" t="s">
        <v>17</v>
      </c>
      <c r="G3110" s="9">
        <v>7.0</v>
      </c>
      <c r="H3110" s="9" t="s">
        <v>22</v>
      </c>
      <c r="I3110" s="9" t="s">
        <v>20</v>
      </c>
      <c r="J3110" s="10"/>
      <c r="K3110" s="14" t="s">
        <v>398</v>
      </c>
      <c r="N3110" s="14" t="str">
        <f>IFERROR(__xludf.DUMMYFUNCTION("""COMPUTED_VALUE"""),"Sebastián Cáceres|46233")</f>
        <v>Sebastián Cáceres|46233</v>
      </c>
      <c r="O3110" s="14">
        <f>IFERROR(__xludf.DUMMYFUNCTION("""COMPUTED_VALUE"""),4.0)</f>
        <v>4</v>
      </c>
    </row>
    <row r="3111" ht="22.5" hidden="1" customHeight="1">
      <c r="A3111" s="8">
        <v>46037.41557356482</v>
      </c>
      <c r="B3111" s="14">
        <v>46037.0</v>
      </c>
      <c r="C3111" s="9" t="s">
        <v>31</v>
      </c>
      <c r="D3111" s="9" t="s">
        <v>174</v>
      </c>
      <c r="E3111" s="9" t="s">
        <v>17</v>
      </c>
      <c r="F3111" s="9" t="s">
        <v>17</v>
      </c>
      <c r="G3111" s="9">
        <v>8.0</v>
      </c>
      <c r="H3111" s="9" t="s">
        <v>22</v>
      </c>
      <c r="I3111" s="9" t="s">
        <v>20</v>
      </c>
      <c r="J3111" s="10"/>
      <c r="K3111" s="14" t="s">
        <v>398</v>
      </c>
      <c r="N3111" s="14" t="str">
        <f>IFERROR(__xludf.DUMMYFUNCTION("""COMPUTED_VALUE"""),"Cristian Borja|46233")</f>
        <v>Cristian Borja|46233</v>
      </c>
      <c r="O3111" s="14">
        <f>IFERROR(__xludf.DUMMYFUNCTION("""COMPUTED_VALUE"""),6.0)</f>
        <v>6</v>
      </c>
    </row>
    <row r="3112" ht="22.5" hidden="1" customHeight="1">
      <c r="A3112" s="8">
        <v>46037.41598070602</v>
      </c>
      <c r="B3112" s="14">
        <v>46037.0</v>
      </c>
      <c r="C3112" s="9" t="s">
        <v>31</v>
      </c>
      <c r="D3112" s="9" t="s">
        <v>210</v>
      </c>
      <c r="E3112" s="9" t="s">
        <v>17</v>
      </c>
      <c r="F3112" s="9" t="s">
        <v>35</v>
      </c>
      <c r="G3112" s="9">
        <v>7.0</v>
      </c>
      <c r="H3112" s="9" t="s">
        <v>22</v>
      </c>
      <c r="I3112" s="9" t="s">
        <v>20</v>
      </c>
      <c r="J3112" s="10"/>
      <c r="K3112" s="14" t="s">
        <v>398</v>
      </c>
      <c r="N3112" s="14" t="str">
        <f>IFERROR(__xludf.DUMMYFUNCTION("""COMPUTED_VALUE"""),"Alan Cervantes|46233")</f>
        <v>Alan Cervantes|46233</v>
      </c>
      <c r="O3112" s="14">
        <f>IFERROR(__xludf.DUMMYFUNCTION("""COMPUTED_VALUE"""),8.0)</f>
        <v>8</v>
      </c>
    </row>
    <row r="3113" ht="22.5" hidden="1" customHeight="1">
      <c r="A3113" s="8">
        <v>46037.416190324075</v>
      </c>
      <c r="B3113" s="14">
        <v>46037.0</v>
      </c>
      <c r="C3113" s="9" t="s">
        <v>31</v>
      </c>
      <c r="D3113" s="9" t="s">
        <v>257</v>
      </c>
      <c r="E3113" s="9" t="s">
        <v>17</v>
      </c>
      <c r="F3113" s="9" t="s">
        <v>17</v>
      </c>
      <c r="G3113" s="9">
        <v>7.0</v>
      </c>
      <c r="H3113" s="9" t="s">
        <v>22</v>
      </c>
      <c r="I3113" s="9" t="s">
        <v>20</v>
      </c>
      <c r="J3113" s="10"/>
      <c r="K3113" s="14" t="s">
        <v>398</v>
      </c>
      <c r="N3113" s="14" t="str">
        <f>IFERROR(__xludf.DUMMYFUNCTION("""COMPUTED_VALUE"""),"Cristian Borja|46233")</f>
        <v>Cristian Borja|46233</v>
      </c>
      <c r="O3113" s="14">
        <f>IFERROR(__xludf.DUMMYFUNCTION("""COMPUTED_VALUE"""),5.0)</f>
        <v>5</v>
      </c>
    </row>
    <row r="3114" ht="22.5" hidden="1" customHeight="1">
      <c r="A3114" s="8">
        <v>46037.416455555554</v>
      </c>
      <c r="B3114" s="14">
        <v>46037.0</v>
      </c>
      <c r="C3114" s="9" t="s">
        <v>31</v>
      </c>
      <c r="D3114" s="9" t="s">
        <v>223</v>
      </c>
      <c r="E3114" s="9" t="s">
        <v>17</v>
      </c>
      <c r="F3114" s="9" t="s">
        <v>17</v>
      </c>
      <c r="G3114" s="9">
        <v>8.0</v>
      </c>
      <c r="H3114" s="9" t="s">
        <v>25</v>
      </c>
      <c r="I3114" s="9" t="s">
        <v>67</v>
      </c>
      <c r="J3114" s="10"/>
      <c r="K3114" s="14" t="s">
        <v>398</v>
      </c>
      <c r="N3114" s="14" t="str">
        <f>IFERROR(__xludf.DUMMYFUNCTION("""COMPUTED_VALUE"""),"Dagoberto Espinoza|46233")</f>
        <v>Dagoberto Espinoza|46233</v>
      </c>
      <c r="O3114" s="14">
        <f>IFERROR(__xludf.DUMMYFUNCTION("""COMPUTED_VALUE"""),6.0)</f>
        <v>6</v>
      </c>
    </row>
    <row r="3115" ht="22.5" hidden="1" customHeight="1">
      <c r="A3115" s="8">
        <v>46037.41664946759</v>
      </c>
      <c r="B3115" s="14">
        <v>46037.0</v>
      </c>
      <c r="C3115" s="9" t="s">
        <v>31</v>
      </c>
      <c r="D3115" s="9" t="s">
        <v>247</v>
      </c>
      <c r="E3115" s="9" t="s">
        <v>17</v>
      </c>
      <c r="F3115" s="9" t="s">
        <v>17</v>
      </c>
      <c r="G3115" s="9">
        <v>7.0</v>
      </c>
      <c r="H3115" s="9" t="s">
        <v>22</v>
      </c>
      <c r="I3115" s="9" t="s">
        <v>20</v>
      </c>
      <c r="J3115" s="10"/>
      <c r="K3115" s="14" t="s">
        <v>398</v>
      </c>
      <c r="N3115" s="14" t="str">
        <f>IFERROR(__xludf.DUMMYFUNCTION("""COMPUTED_VALUE"""),"Erick Sánchez|46233")</f>
        <v>Erick Sánchez|46233</v>
      </c>
      <c r="O3115" s="14">
        <f>IFERROR(__xludf.DUMMYFUNCTION("""COMPUTED_VALUE"""),7.0)</f>
        <v>7</v>
      </c>
    </row>
    <row r="3116" ht="22.5" hidden="1" customHeight="1">
      <c r="A3116" s="8">
        <v>46037.4168722801</v>
      </c>
      <c r="B3116" s="14">
        <v>46037.0</v>
      </c>
      <c r="C3116" s="9" t="s">
        <v>31</v>
      </c>
      <c r="D3116" s="9" t="s">
        <v>249</v>
      </c>
      <c r="E3116" s="9" t="s">
        <v>17</v>
      </c>
      <c r="F3116" s="9" t="s">
        <v>17</v>
      </c>
      <c r="G3116" s="9">
        <v>8.0</v>
      </c>
      <c r="H3116" s="9" t="s">
        <v>22</v>
      </c>
      <c r="I3116" s="9" t="s">
        <v>20</v>
      </c>
      <c r="J3116" s="10"/>
      <c r="K3116" s="14" t="s">
        <v>398</v>
      </c>
      <c r="N3116" s="14" t="str">
        <f>IFERROR(__xludf.DUMMYFUNCTION("""COMPUTED_VALUE"""),"Emilio Lara|46233")</f>
        <v>Emilio Lara|46233</v>
      </c>
      <c r="O3116" s="14">
        <f>IFERROR(__xludf.DUMMYFUNCTION("""COMPUTED_VALUE"""),5.0)</f>
        <v>5</v>
      </c>
    </row>
    <row r="3117" ht="22.5" hidden="1" customHeight="1">
      <c r="A3117" s="8">
        <v>46037.41764079861</v>
      </c>
      <c r="B3117" s="14">
        <v>46037.0</v>
      </c>
      <c r="C3117" s="9" t="s">
        <v>31</v>
      </c>
      <c r="D3117" s="9" t="s">
        <v>367</v>
      </c>
      <c r="E3117" s="9" t="s">
        <v>17</v>
      </c>
      <c r="F3117" s="9" t="s">
        <v>17</v>
      </c>
      <c r="G3117" s="9">
        <v>7.0</v>
      </c>
      <c r="H3117" s="9" t="s">
        <v>22</v>
      </c>
      <c r="I3117" s="9" t="s">
        <v>20</v>
      </c>
      <c r="J3117" s="10"/>
      <c r="K3117" s="14" t="s">
        <v>398</v>
      </c>
      <c r="N3117" s="14" t="str">
        <f>IFERROR(__xludf.DUMMYFUNCTION("""COMPUTED_VALUE"""),"Fernando Tapia|46233")</f>
        <v>Fernando Tapia|46233</v>
      </c>
      <c r="O3117" s="14">
        <f>IFERROR(__xludf.DUMMYFUNCTION("""COMPUTED_VALUE"""),5.0)</f>
        <v>5</v>
      </c>
    </row>
    <row r="3118" ht="22.5" hidden="1" customHeight="1">
      <c r="A3118" s="8">
        <v>46037.418046203704</v>
      </c>
      <c r="B3118" s="14">
        <v>46037.0</v>
      </c>
      <c r="C3118" s="9" t="s">
        <v>31</v>
      </c>
      <c r="D3118" s="9" t="s">
        <v>350</v>
      </c>
      <c r="E3118" s="9" t="s">
        <v>17</v>
      </c>
      <c r="F3118" s="9" t="s">
        <v>17</v>
      </c>
      <c r="G3118" s="9">
        <v>7.0</v>
      </c>
      <c r="H3118" s="9" t="s">
        <v>22</v>
      </c>
      <c r="I3118" s="9" t="s">
        <v>20</v>
      </c>
      <c r="J3118" s="10"/>
      <c r="K3118" s="14" t="s">
        <v>398</v>
      </c>
      <c r="N3118" s="14" t="str">
        <f>IFERROR(__xludf.DUMMYFUNCTION("""COMPUTED_VALUE"""),"Israel Reyes|46233")</f>
        <v>Israel Reyes|46233</v>
      </c>
      <c r="O3118" s="14">
        <f>IFERROR(__xludf.DUMMYFUNCTION("""COMPUTED_VALUE"""),7.0)</f>
        <v>7</v>
      </c>
    </row>
    <row r="3119" ht="22.5" hidden="1" customHeight="1">
      <c r="A3119" s="8">
        <v>46037.41830585648</v>
      </c>
      <c r="B3119" s="14">
        <v>46037.0</v>
      </c>
      <c r="C3119" s="9" t="s">
        <v>31</v>
      </c>
      <c r="D3119" s="9" t="s">
        <v>395</v>
      </c>
      <c r="E3119" s="9" t="s">
        <v>17</v>
      </c>
      <c r="F3119" s="9" t="s">
        <v>17</v>
      </c>
      <c r="G3119" s="9">
        <v>6.0</v>
      </c>
      <c r="H3119" s="9" t="s">
        <v>22</v>
      </c>
      <c r="I3119" s="9" t="s">
        <v>20</v>
      </c>
      <c r="J3119" s="10"/>
      <c r="K3119" s="14" t="s">
        <v>398</v>
      </c>
      <c r="N3119" s="14" t="str">
        <f>IFERROR(__xludf.DUMMYFUNCTION("""COMPUTED_VALUE"""),"Henry Martín|46233")</f>
        <v>Henry Martín|46233</v>
      </c>
      <c r="O3119" s="14">
        <f>IFERROR(__xludf.DUMMYFUNCTION("""COMPUTED_VALUE"""),6.0)</f>
        <v>6</v>
      </c>
    </row>
    <row r="3120" ht="22.5" hidden="1" customHeight="1">
      <c r="A3120" s="8">
        <v>46037.41853333333</v>
      </c>
      <c r="B3120" s="14">
        <v>46037.0</v>
      </c>
      <c r="C3120" s="9" t="s">
        <v>31</v>
      </c>
      <c r="D3120" s="9" t="s">
        <v>357</v>
      </c>
      <c r="E3120" s="9" t="s">
        <v>17</v>
      </c>
      <c r="F3120" s="9" t="s">
        <v>17</v>
      </c>
      <c r="G3120" s="9">
        <v>8.0</v>
      </c>
      <c r="H3120" s="9" t="s">
        <v>22</v>
      </c>
      <c r="I3120" s="9" t="s">
        <v>20</v>
      </c>
      <c r="J3120" s="10"/>
      <c r="K3120" s="14" t="s">
        <v>398</v>
      </c>
      <c r="N3120" s="14" t="str">
        <f>IFERROR(__xludf.DUMMYFUNCTION("""COMPUTED_VALUE"""),"Franco Rossano|46233")</f>
        <v>Franco Rossano|46233</v>
      </c>
      <c r="O3120" s="14">
        <f>IFERROR(__xludf.DUMMYFUNCTION("""COMPUTED_VALUE"""),6.0)</f>
        <v>6</v>
      </c>
    </row>
    <row r="3121" ht="22.5" hidden="1" customHeight="1">
      <c r="A3121" s="8">
        <v>46037.4188186574</v>
      </c>
      <c r="B3121" s="14">
        <v>46037.0</v>
      </c>
      <c r="C3121" s="9" t="s">
        <v>31</v>
      </c>
      <c r="D3121" s="9" t="s">
        <v>393</v>
      </c>
      <c r="E3121" s="9" t="s">
        <v>17</v>
      </c>
      <c r="F3121" s="9" t="s">
        <v>17</v>
      </c>
      <c r="G3121" s="9">
        <v>8.0</v>
      </c>
      <c r="H3121" s="9" t="s">
        <v>22</v>
      </c>
      <c r="I3121" s="9" t="s">
        <v>20</v>
      </c>
      <c r="J3121" s="10"/>
      <c r="K3121" s="14" t="s">
        <v>398</v>
      </c>
      <c r="N3121" s="14" t="str">
        <f>IFERROR(__xludf.DUMMYFUNCTION("""COMPUTED_VALUE"""),"José Raúl Zúñiga|46233")</f>
        <v>José Raúl Zúñiga|46233</v>
      </c>
      <c r="O3121" s="14">
        <f>IFERROR(__xludf.DUMMYFUNCTION("""COMPUTED_VALUE"""),5.0)</f>
        <v>5</v>
      </c>
    </row>
    <row r="3122" ht="22.5" hidden="1" customHeight="1">
      <c r="A3122" s="8">
        <v>46037.419076018516</v>
      </c>
      <c r="B3122" s="14">
        <v>46037.0</v>
      </c>
      <c r="C3122" s="9" t="s">
        <v>31</v>
      </c>
      <c r="D3122" s="9" t="s">
        <v>397</v>
      </c>
      <c r="E3122" s="9" t="s">
        <v>17</v>
      </c>
      <c r="F3122" s="9" t="s">
        <v>17</v>
      </c>
      <c r="G3122" s="9">
        <v>7.0</v>
      </c>
      <c r="H3122" s="9" t="s">
        <v>22</v>
      </c>
      <c r="I3122" s="9" t="s">
        <v>20</v>
      </c>
      <c r="J3122" s="10"/>
      <c r="K3122" s="14" t="s">
        <v>398</v>
      </c>
      <c r="N3122" s="14" t="str">
        <f>IFERROR(__xludf.DUMMYFUNCTION("""COMPUTED_VALUE"""),"Kevin Álvarez|46233")</f>
        <v>Kevin Álvarez|46233</v>
      </c>
      <c r="O3122" s="14">
        <f>IFERROR(__xludf.DUMMYFUNCTION("""COMPUTED_VALUE"""),6.0)</f>
        <v>6</v>
      </c>
    </row>
    <row r="3123" ht="22.5" hidden="1" customHeight="1">
      <c r="A3123" s="8">
        <v>46037.419571273145</v>
      </c>
      <c r="B3123" s="14">
        <v>46037.0</v>
      </c>
      <c r="C3123" s="9" t="s">
        <v>31</v>
      </c>
      <c r="D3123" s="9" t="s">
        <v>408</v>
      </c>
      <c r="E3123" s="9" t="s">
        <v>46</v>
      </c>
      <c r="F3123" s="9" t="s">
        <v>60</v>
      </c>
      <c r="G3123" s="9">
        <v>6.0</v>
      </c>
      <c r="H3123" s="9" t="s">
        <v>22</v>
      </c>
      <c r="I3123" s="9" t="s">
        <v>20</v>
      </c>
      <c r="J3123" s="10"/>
      <c r="K3123" s="14" t="s">
        <v>398</v>
      </c>
      <c r="N3123" s="14" t="str">
        <f>IFERROR(__xludf.DUMMYFUNCTION("""COMPUTED_VALUE"""),"Luis Ángel Malagón|46233")</f>
        <v>Luis Ángel Malagón|46233</v>
      </c>
      <c r="O3123" s="14">
        <f>IFERROR(__xludf.DUMMYFUNCTION("""COMPUTED_VALUE"""),6.0)</f>
        <v>6</v>
      </c>
    </row>
    <row r="3124" ht="22.5" hidden="1" customHeight="1">
      <c r="A3124" s="8">
        <v>46037.420025625004</v>
      </c>
      <c r="B3124" s="14">
        <v>46037.0</v>
      </c>
      <c r="C3124" s="9" t="s">
        <v>31</v>
      </c>
      <c r="D3124" s="9" t="s">
        <v>369</v>
      </c>
      <c r="E3124" s="9" t="s">
        <v>17</v>
      </c>
      <c r="F3124" s="9" t="s">
        <v>17</v>
      </c>
      <c r="G3124" s="9">
        <v>8.0</v>
      </c>
      <c r="H3124" s="9" t="s">
        <v>22</v>
      </c>
      <c r="I3124" s="9" t="s">
        <v>20</v>
      </c>
      <c r="J3124" s="10"/>
      <c r="K3124" s="14" t="s">
        <v>398</v>
      </c>
      <c r="N3124" s="14" t="str">
        <f>IFERROR(__xludf.DUMMYFUNCTION("""COMPUTED_VALUE"""),"Isaías Violante|46233")</f>
        <v>Isaías Violante|46233</v>
      </c>
      <c r="O3124" s="14">
        <f>IFERROR(__xludf.DUMMYFUNCTION("""COMPUTED_VALUE"""),6.0)</f>
        <v>6</v>
      </c>
    </row>
    <row r="3125" ht="22.5" hidden="1" customHeight="1">
      <c r="A3125" s="8">
        <v>46037.42029638889</v>
      </c>
      <c r="B3125" s="14">
        <v>46037.0</v>
      </c>
      <c r="C3125" s="9" t="s">
        <v>31</v>
      </c>
      <c r="D3125" s="9" t="s">
        <v>412</v>
      </c>
      <c r="E3125" s="9" t="s">
        <v>17</v>
      </c>
      <c r="F3125" s="9" t="s">
        <v>17</v>
      </c>
      <c r="G3125" s="9">
        <v>8.0</v>
      </c>
      <c r="H3125" s="9" t="s">
        <v>22</v>
      </c>
      <c r="I3125" s="9" t="s">
        <v>20</v>
      </c>
      <c r="J3125" s="10"/>
      <c r="K3125" s="14" t="s">
        <v>398</v>
      </c>
      <c r="N3125" s="14" t="str">
        <f>IFERROR(__xludf.DUMMYFUNCTION("""COMPUTED_VALUE"""),"Rodolfo Cota|46233")</f>
        <v>Rodolfo Cota|46233</v>
      </c>
      <c r="O3125" s="14">
        <f>IFERROR(__xludf.DUMMYFUNCTION("""COMPUTED_VALUE"""),3.0)</f>
        <v>3</v>
      </c>
    </row>
    <row r="3126" ht="22.5" hidden="1" customHeight="1">
      <c r="A3126" s="8">
        <v>46037.42056642361</v>
      </c>
      <c r="B3126" s="14">
        <v>46037.0</v>
      </c>
      <c r="C3126" s="9" t="s">
        <v>31</v>
      </c>
      <c r="D3126" s="9" t="s">
        <v>413</v>
      </c>
      <c r="E3126" s="9" t="s">
        <v>17</v>
      </c>
      <c r="F3126" s="9" t="s">
        <v>17</v>
      </c>
      <c r="G3126" s="9">
        <v>7.0</v>
      </c>
      <c r="H3126" s="9" t="s">
        <v>22</v>
      </c>
      <c r="I3126" s="9" t="s">
        <v>20</v>
      </c>
      <c r="J3126" s="10"/>
      <c r="K3126" s="14" t="s">
        <v>398</v>
      </c>
      <c r="N3126" s="14" t="str">
        <f>IFERROR(__xludf.DUMMYFUNCTION("""COMPUTED_VALUE"""),"Raphael Veiga|46233")</f>
        <v>Raphael Veiga|46233</v>
      </c>
      <c r="O3126" s="14">
        <f>IFERROR(__xludf.DUMMYFUNCTION("""COMPUTED_VALUE"""),6.0)</f>
        <v>6</v>
      </c>
    </row>
    <row r="3127" ht="22.5" hidden="1" customHeight="1">
      <c r="A3127" s="8">
        <v>46038.37156712963</v>
      </c>
      <c r="B3127" s="14">
        <v>46038.0</v>
      </c>
      <c r="C3127" s="9" t="s">
        <v>48</v>
      </c>
      <c r="D3127" s="9" t="s">
        <v>258</v>
      </c>
      <c r="E3127" s="9" t="s">
        <v>17</v>
      </c>
      <c r="F3127" s="9" t="s">
        <v>17</v>
      </c>
      <c r="G3127" s="9">
        <v>8.0</v>
      </c>
      <c r="H3127" s="9" t="s">
        <v>22</v>
      </c>
      <c r="I3127" s="9" t="s">
        <v>20</v>
      </c>
      <c r="J3127" s="10"/>
      <c r="K3127" s="14">
        <v>6.0</v>
      </c>
      <c r="N3127" s="14" t="str">
        <f>IFERROR(__xludf.DUMMYFUNCTION("""COMPUTED_VALUE"""),"Sebastián Cáceres|46233")</f>
        <v>Sebastián Cáceres|46233</v>
      </c>
      <c r="O3127" s="14">
        <f>IFERROR(__xludf.DUMMYFUNCTION("""COMPUTED_VALUE"""),6.0)</f>
        <v>6</v>
      </c>
    </row>
    <row r="3128" ht="22.5" hidden="1" customHeight="1">
      <c r="A3128" s="8">
        <v>46038.37196875</v>
      </c>
      <c r="B3128" s="14">
        <v>46038.0</v>
      </c>
      <c r="C3128" s="9" t="s">
        <v>48</v>
      </c>
      <c r="D3128" s="9" t="s">
        <v>171</v>
      </c>
      <c r="E3128" s="9" t="s">
        <v>46</v>
      </c>
      <c r="F3128" s="9" t="s">
        <v>77</v>
      </c>
      <c r="G3128" s="9">
        <v>6.0</v>
      </c>
      <c r="H3128" s="9" t="s">
        <v>25</v>
      </c>
      <c r="I3128" s="9" t="s">
        <v>37</v>
      </c>
      <c r="J3128" s="10"/>
      <c r="K3128" s="14" t="s">
        <v>398</v>
      </c>
      <c r="N3128" s="14" t="str">
        <f>IFERROR(__xludf.DUMMYFUNCTION("""COMPUTED_VALUE"""),"Ramón Juárez|46233")</f>
        <v>Ramón Juárez|46233</v>
      </c>
      <c r="O3128" s="14">
        <f>IFERROR(__xludf.DUMMYFUNCTION("""COMPUTED_VALUE"""),5.0)</f>
        <v>5</v>
      </c>
    </row>
    <row r="3129" ht="22.5" hidden="1" customHeight="1">
      <c r="A3129" s="8">
        <v>46038.37217831019</v>
      </c>
      <c r="B3129" s="14">
        <v>46038.0</v>
      </c>
      <c r="C3129" s="9" t="s">
        <v>48</v>
      </c>
      <c r="D3129" s="9" t="s">
        <v>177</v>
      </c>
      <c r="E3129" s="9" t="s">
        <v>17</v>
      </c>
      <c r="F3129" s="9" t="s">
        <v>17</v>
      </c>
      <c r="G3129" s="9">
        <v>7.0</v>
      </c>
      <c r="H3129" s="9" t="s">
        <v>22</v>
      </c>
      <c r="I3129" s="9" t="s">
        <v>20</v>
      </c>
      <c r="J3129" s="10"/>
      <c r="K3129" s="14" t="s">
        <v>398</v>
      </c>
      <c r="N3129" s="14" t="str">
        <f>IFERROR(__xludf.DUMMYFUNCTION("""COMPUTED_VALUE"""),"Raphael Veiga|46234")</f>
        <v>Raphael Veiga|46234</v>
      </c>
      <c r="O3129" s="14">
        <f>IFERROR(__xludf.DUMMYFUNCTION("""COMPUTED_VALUE"""),3.0)</f>
        <v>3</v>
      </c>
    </row>
    <row r="3130" ht="22.5" hidden="1" customHeight="1">
      <c r="A3130" s="8">
        <v>46038.37242506944</v>
      </c>
      <c r="B3130" s="14">
        <v>46038.0</v>
      </c>
      <c r="C3130" s="9" t="s">
        <v>48</v>
      </c>
      <c r="D3130" s="9" t="s">
        <v>174</v>
      </c>
      <c r="E3130" s="9" t="s">
        <v>17</v>
      </c>
      <c r="F3130" s="9" t="s">
        <v>17</v>
      </c>
      <c r="G3130" s="9">
        <v>8.0</v>
      </c>
      <c r="H3130" s="9" t="s">
        <v>22</v>
      </c>
      <c r="I3130" s="9" t="s">
        <v>20</v>
      </c>
      <c r="J3130" s="10"/>
      <c r="K3130" s="14">
        <v>5.0</v>
      </c>
      <c r="N3130" s="14" t="str">
        <f>IFERROR(__xludf.DUMMYFUNCTION("""COMPUTED_VALUE"""),"Henry Martín|46234")</f>
        <v>Henry Martín|46234</v>
      </c>
      <c r="O3130" s="14">
        <f>IFERROR(__xludf.DUMMYFUNCTION("""COMPUTED_VALUE"""),6.0)</f>
        <v>6</v>
      </c>
    </row>
    <row r="3131" ht="22.5" hidden="1" customHeight="1">
      <c r="A3131" s="8">
        <v>46038.372732303236</v>
      </c>
      <c r="B3131" s="14">
        <v>46038.0</v>
      </c>
      <c r="C3131" s="9" t="s">
        <v>48</v>
      </c>
      <c r="D3131" s="9" t="s">
        <v>257</v>
      </c>
      <c r="E3131" s="9" t="s">
        <v>17</v>
      </c>
      <c r="F3131" s="9" t="s">
        <v>17</v>
      </c>
      <c r="G3131" s="9">
        <v>7.0</v>
      </c>
      <c r="H3131" s="9" t="s">
        <v>22</v>
      </c>
      <c r="I3131" s="9" t="s">
        <v>20</v>
      </c>
      <c r="J3131" s="10"/>
      <c r="K3131" s="14" t="s">
        <v>398</v>
      </c>
      <c r="N3131" s="14" t="str">
        <f>IFERROR(__xludf.DUMMYFUNCTION("""COMPUTED_VALUE"""),"Dagoberto Espinoza|46234")</f>
        <v>Dagoberto Espinoza|46234</v>
      </c>
      <c r="O3131" s="14">
        <f>IFERROR(__xludf.DUMMYFUNCTION("""COMPUTED_VALUE"""),4.0)</f>
        <v>4</v>
      </c>
    </row>
    <row r="3132" ht="22.5" hidden="1" customHeight="1">
      <c r="A3132" s="8">
        <v>46038.37308027778</v>
      </c>
      <c r="B3132" s="14">
        <v>46038.0</v>
      </c>
      <c r="C3132" s="9" t="s">
        <v>48</v>
      </c>
      <c r="D3132" s="9" t="s">
        <v>249</v>
      </c>
      <c r="E3132" s="9" t="s">
        <v>46</v>
      </c>
      <c r="F3132" s="9" t="s">
        <v>17</v>
      </c>
      <c r="G3132" s="9">
        <v>7.0</v>
      </c>
      <c r="H3132" s="9" t="s">
        <v>22</v>
      </c>
      <c r="I3132" s="9" t="s">
        <v>20</v>
      </c>
      <c r="J3132" s="10"/>
      <c r="K3132" s="14" t="s">
        <v>398</v>
      </c>
      <c r="N3132" s="14" t="str">
        <f>IFERROR(__xludf.DUMMYFUNCTION("""COMPUTED_VALUE"""),"Cristian Borja|46234")</f>
        <v>Cristian Borja|46234</v>
      </c>
      <c r="O3132" s="14">
        <f>IFERROR(__xludf.DUMMYFUNCTION("""COMPUTED_VALUE"""),5.0)</f>
        <v>5</v>
      </c>
    </row>
    <row r="3133" ht="22.5" hidden="1" customHeight="1">
      <c r="A3133" s="8">
        <v>46038.373449618055</v>
      </c>
      <c r="B3133" s="14">
        <v>46038.0</v>
      </c>
      <c r="C3133" s="9" t="s">
        <v>48</v>
      </c>
      <c r="D3133" s="9" t="s">
        <v>393</v>
      </c>
      <c r="E3133" s="9" t="s">
        <v>17</v>
      </c>
      <c r="F3133" s="9" t="s">
        <v>17</v>
      </c>
      <c r="G3133" s="9">
        <v>7.0</v>
      </c>
      <c r="H3133" s="9" t="s">
        <v>22</v>
      </c>
      <c r="I3133" s="9" t="s">
        <v>20</v>
      </c>
      <c r="J3133" s="10"/>
      <c r="K3133" s="14" t="s">
        <v>398</v>
      </c>
      <c r="N3133" s="14" t="str">
        <f>IFERROR(__xludf.DUMMYFUNCTION("""COMPUTED_VALUE"""),"Emilio Lara|46234")</f>
        <v>Emilio Lara|46234</v>
      </c>
      <c r="O3133" s="14">
        <f>IFERROR(__xludf.DUMMYFUNCTION("""COMPUTED_VALUE"""),4.0)</f>
        <v>4</v>
      </c>
    </row>
    <row r="3134" ht="22.5" hidden="1" customHeight="1">
      <c r="A3134" s="8">
        <v>46038.3900903125</v>
      </c>
      <c r="B3134" s="14">
        <v>46038.0</v>
      </c>
      <c r="C3134" s="9" t="s">
        <v>48</v>
      </c>
      <c r="D3134" s="9" t="s">
        <v>396</v>
      </c>
      <c r="E3134" s="9" t="s">
        <v>17</v>
      </c>
      <c r="F3134" s="9" t="s">
        <v>17</v>
      </c>
      <c r="G3134" s="9">
        <v>7.0</v>
      </c>
      <c r="H3134" s="9" t="s">
        <v>22</v>
      </c>
      <c r="I3134" s="9" t="s">
        <v>20</v>
      </c>
      <c r="J3134" s="10"/>
      <c r="K3134" s="14">
        <v>4.0</v>
      </c>
      <c r="N3134" s="14" t="str">
        <f>IFERROR(__xludf.DUMMYFUNCTION("""COMPUTED_VALUE"""),"Ramón Juárez|46234")</f>
        <v>Ramón Juárez|46234</v>
      </c>
      <c r="O3134" s="14">
        <f>IFERROR(__xludf.DUMMYFUNCTION("""COMPUTED_VALUE"""),4.0)</f>
        <v>4</v>
      </c>
    </row>
    <row r="3135" ht="22.5" hidden="1" customHeight="1">
      <c r="A3135" s="8">
        <v>46038.39622709491</v>
      </c>
      <c r="B3135" s="14">
        <v>46038.0</v>
      </c>
      <c r="C3135" s="9" t="s">
        <v>48</v>
      </c>
      <c r="D3135" s="9" t="s">
        <v>175</v>
      </c>
      <c r="E3135" s="9" t="s">
        <v>17</v>
      </c>
      <c r="F3135" s="9" t="s">
        <v>17</v>
      </c>
      <c r="G3135" s="9">
        <v>7.0</v>
      </c>
      <c r="H3135" s="9" t="s">
        <v>25</v>
      </c>
      <c r="I3135" s="9" t="s">
        <v>207</v>
      </c>
      <c r="J3135" s="10"/>
      <c r="K3135" s="14">
        <v>7.0</v>
      </c>
      <c r="N3135" s="14" t="str">
        <f>IFERROR(__xludf.DUMMYFUNCTION("""COMPUTED_VALUE"""),"Sebastián Cáceres|46234")</f>
        <v>Sebastián Cáceres|46234</v>
      </c>
      <c r="O3135" s="14">
        <f>IFERROR(__xludf.DUMMYFUNCTION("""COMPUTED_VALUE"""),3.0)</f>
        <v>3</v>
      </c>
    </row>
    <row r="3136" ht="22.5" hidden="1" customHeight="1">
      <c r="A3136" s="8">
        <v>46038.396568842596</v>
      </c>
      <c r="B3136" s="14">
        <v>46038.0</v>
      </c>
      <c r="C3136" s="9" t="s">
        <v>48</v>
      </c>
      <c r="D3136" s="9" t="s">
        <v>105</v>
      </c>
      <c r="E3136" s="9" t="s">
        <v>17</v>
      </c>
      <c r="F3136" s="9" t="s">
        <v>17</v>
      </c>
      <c r="G3136" s="9">
        <v>7.0</v>
      </c>
      <c r="H3136" s="9" t="s">
        <v>22</v>
      </c>
      <c r="I3136" s="9" t="s">
        <v>20</v>
      </c>
      <c r="J3136" s="10"/>
      <c r="K3136" s="14">
        <v>2.0</v>
      </c>
      <c r="N3136" s="14" t="str">
        <f>IFERROR(__xludf.DUMMYFUNCTION("""COMPUTED_VALUE"""),"Kevin Álvarez|46234")</f>
        <v>Kevin Álvarez|46234</v>
      </c>
      <c r="O3136" s="14">
        <f>IFERROR(__xludf.DUMMYFUNCTION("""COMPUTED_VALUE"""),3.0)</f>
        <v>3</v>
      </c>
    </row>
    <row r="3137" ht="22.5" hidden="1" customHeight="1">
      <c r="A3137" s="8">
        <v>46038.397884618054</v>
      </c>
      <c r="B3137" s="14">
        <v>46038.0</v>
      </c>
      <c r="C3137" s="9" t="s">
        <v>48</v>
      </c>
      <c r="D3137" s="9" t="s">
        <v>170</v>
      </c>
      <c r="E3137" s="9" t="s">
        <v>17</v>
      </c>
      <c r="F3137" s="9" t="s">
        <v>17</v>
      </c>
      <c r="G3137" s="9">
        <v>8.0</v>
      </c>
      <c r="H3137" s="9" t="s">
        <v>25</v>
      </c>
      <c r="I3137" s="9" t="s">
        <v>355</v>
      </c>
      <c r="J3137" s="10"/>
      <c r="K3137" s="14" t="s">
        <v>398</v>
      </c>
      <c r="N3137" s="14" t="str">
        <f>IFERROR(__xludf.DUMMYFUNCTION("""COMPUTED_VALUE"""),"Miguel Vázquez|46234")</f>
        <v>Miguel Vázquez|46234</v>
      </c>
      <c r="O3137" s="14">
        <f>IFERROR(__xludf.DUMMYFUNCTION("""COMPUTED_VALUE"""),3.0)</f>
        <v>3</v>
      </c>
    </row>
    <row r="3138" ht="22.5" hidden="1" customHeight="1">
      <c r="A3138" s="8">
        <v>46038.400149629626</v>
      </c>
      <c r="B3138" s="14">
        <v>46038.0</v>
      </c>
      <c r="C3138" s="9" t="s">
        <v>48</v>
      </c>
      <c r="D3138" s="9" t="s">
        <v>168</v>
      </c>
      <c r="E3138" s="9" t="s">
        <v>17</v>
      </c>
      <c r="F3138" s="9" t="s">
        <v>17</v>
      </c>
      <c r="G3138" s="9">
        <v>8.0</v>
      </c>
      <c r="H3138" s="9" t="s">
        <v>22</v>
      </c>
      <c r="I3138" s="9" t="s">
        <v>20</v>
      </c>
      <c r="J3138" s="10"/>
      <c r="K3138" s="14" t="s">
        <v>398</v>
      </c>
      <c r="N3138" s="14" t="str">
        <f>IFERROR(__xludf.DUMMYFUNCTION("""COMPUTED_VALUE"""),"Alexis Gutiérrez|46234")</f>
        <v>Alexis Gutiérrez|46234</v>
      </c>
      <c r="O3138" s="14">
        <f>IFERROR(__xludf.DUMMYFUNCTION("""COMPUTED_VALUE"""),5.0)</f>
        <v>5</v>
      </c>
    </row>
    <row r="3139" ht="22.5" hidden="1" customHeight="1">
      <c r="A3139" s="8">
        <v>46038.40047931713</v>
      </c>
      <c r="B3139" s="14">
        <v>46038.0</v>
      </c>
      <c r="C3139" s="9" t="s">
        <v>48</v>
      </c>
      <c r="D3139" s="9" t="s">
        <v>259</v>
      </c>
      <c r="E3139" s="9" t="s">
        <v>30</v>
      </c>
      <c r="F3139" s="9" t="s">
        <v>18</v>
      </c>
      <c r="G3139" s="9">
        <v>8.0</v>
      </c>
      <c r="H3139" s="9" t="s">
        <v>22</v>
      </c>
      <c r="I3139" s="9" t="s">
        <v>20</v>
      </c>
      <c r="J3139" s="10"/>
      <c r="K3139" s="14" t="s">
        <v>398</v>
      </c>
      <c r="N3139" s="14" t="str">
        <f>IFERROR(__xludf.DUMMYFUNCTION("""COMPUTED_VALUE"""),"Alan Cervantes|46234")</f>
        <v>Alan Cervantes|46234</v>
      </c>
      <c r="O3139" s="14">
        <f>IFERROR(__xludf.DUMMYFUNCTION("""COMPUTED_VALUE"""),4.0)</f>
        <v>4</v>
      </c>
    </row>
    <row r="3140" ht="22.5" hidden="1" customHeight="1">
      <c r="A3140" s="8">
        <v>46038.40086622685</v>
      </c>
      <c r="B3140" s="14">
        <v>46038.0</v>
      </c>
      <c r="C3140" s="9" t="s">
        <v>48</v>
      </c>
      <c r="D3140" s="9" t="s">
        <v>280</v>
      </c>
      <c r="E3140" s="9" t="s">
        <v>17</v>
      </c>
      <c r="F3140" s="9" t="s">
        <v>17</v>
      </c>
      <c r="G3140" s="9">
        <v>8.0</v>
      </c>
      <c r="H3140" s="9" t="s">
        <v>22</v>
      </c>
      <c r="I3140" s="9" t="s">
        <v>20</v>
      </c>
      <c r="J3140" s="10"/>
      <c r="K3140" s="14">
        <v>6.0</v>
      </c>
      <c r="N3140" s="14" t="str">
        <f>IFERROR(__xludf.DUMMYFUNCTION("""COMPUTED_VALUE"""),"Erick Sánchez|46234")</f>
        <v>Erick Sánchez|46234</v>
      </c>
      <c r="O3140" s="14">
        <f>IFERROR(__xludf.DUMMYFUNCTION("""COMPUTED_VALUE"""),3.0)</f>
        <v>3</v>
      </c>
    </row>
    <row r="3141" ht="22.5" hidden="1" customHeight="1">
      <c r="A3141" s="8">
        <v>46038.401108148144</v>
      </c>
      <c r="B3141" s="14">
        <v>46038.0</v>
      </c>
      <c r="C3141" s="9" t="s">
        <v>48</v>
      </c>
      <c r="D3141" s="9" t="s">
        <v>335</v>
      </c>
      <c r="E3141" s="9" t="s">
        <v>17</v>
      </c>
      <c r="F3141" s="9" t="s">
        <v>17</v>
      </c>
      <c r="G3141" s="9">
        <v>8.0</v>
      </c>
      <c r="H3141" s="9" t="s">
        <v>25</v>
      </c>
      <c r="I3141" s="9" t="s">
        <v>211</v>
      </c>
      <c r="J3141" s="10"/>
      <c r="K3141" s="14" t="s">
        <v>398</v>
      </c>
      <c r="N3141" s="14" t="str">
        <f>IFERROR(__xludf.DUMMYFUNCTION("""COMPUTED_VALUE"""),"Franco Rossano|46234")</f>
        <v>Franco Rossano|46234</v>
      </c>
      <c r="O3141" s="14">
        <f>IFERROR(__xludf.DUMMYFUNCTION("""COMPUTED_VALUE"""),4.0)</f>
        <v>4</v>
      </c>
    </row>
    <row r="3142" ht="22.5" hidden="1" customHeight="1">
      <c r="A3142" s="8">
        <v>46038.40143788194</v>
      </c>
      <c r="B3142" s="14">
        <v>46038.0</v>
      </c>
      <c r="C3142" s="9" t="s">
        <v>48</v>
      </c>
      <c r="D3142" s="9" t="s">
        <v>394</v>
      </c>
      <c r="E3142" s="9" t="s">
        <v>30</v>
      </c>
      <c r="F3142" s="9" t="s">
        <v>35</v>
      </c>
      <c r="G3142" s="9">
        <v>8.0</v>
      </c>
      <c r="H3142" s="9" t="s">
        <v>22</v>
      </c>
      <c r="I3142" s="9" t="s">
        <v>20</v>
      </c>
      <c r="J3142" s="10"/>
      <c r="K3142" s="14" t="s">
        <v>398</v>
      </c>
      <c r="N3142" s="14" t="str">
        <f>IFERROR(__xludf.DUMMYFUNCTION("""COMPUTED_VALUE"""),"Isaías Violante|46234")</f>
        <v>Isaías Violante|46234</v>
      </c>
      <c r="O3142" s="14">
        <f>IFERROR(__xludf.DUMMYFUNCTION("""COMPUTED_VALUE"""),3.0)</f>
        <v>3</v>
      </c>
    </row>
    <row r="3143" ht="22.5" hidden="1" customHeight="1">
      <c r="A3143" s="8">
        <v>46038.40440987269</v>
      </c>
      <c r="B3143" s="14">
        <v>46038.0</v>
      </c>
      <c r="C3143" s="9" t="s">
        <v>48</v>
      </c>
      <c r="D3143" s="9" t="s">
        <v>247</v>
      </c>
      <c r="E3143" s="9" t="s">
        <v>17</v>
      </c>
      <c r="F3143" s="9" t="s">
        <v>17</v>
      </c>
      <c r="G3143" s="9">
        <v>8.0</v>
      </c>
      <c r="H3143" s="9" t="s">
        <v>22</v>
      </c>
      <c r="I3143" s="9" t="s">
        <v>20</v>
      </c>
      <c r="J3143" s="10"/>
      <c r="K3143" s="14" t="s">
        <v>398</v>
      </c>
      <c r="N3143" s="14" t="str">
        <f>IFERROR(__xludf.DUMMYFUNCTION("""COMPUTED_VALUE"""),"Luis Ángel Malagón|46234")</f>
        <v>Luis Ángel Malagón|46234</v>
      </c>
      <c r="O3143" s="14">
        <f>IFERROR(__xludf.DUMMYFUNCTION("""COMPUTED_VALUE"""),3.0)</f>
        <v>3</v>
      </c>
    </row>
    <row r="3144" ht="22.5" hidden="1" customHeight="1">
      <c r="A3144" s="8">
        <v>46038.40471202546</v>
      </c>
      <c r="B3144" s="14">
        <v>46038.0</v>
      </c>
      <c r="C3144" s="9" t="s">
        <v>48</v>
      </c>
      <c r="D3144" s="9" t="s">
        <v>350</v>
      </c>
      <c r="E3144" s="9" t="s">
        <v>17</v>
      </c>
      <c r="F3144" s="9" t="s">
        <v>17</v>
      </c>
      <c r="G3144" s="9">
        <v>8.0</v>
      </c>
      <c r="H3144" s="9" t="s">
        <v>22</v>
      </c>
      <c r="I3144" s="9" t="s">
        <v>20</v>
      </c>
      <c r="J3144" s="10"/>
      <c r="K3144" s="14">
        <v>6.0</v>
      </c>
      <c r="N3144" s="14" t="str">
        <f>IFERROR(__xludf.DUMMYFUNCTION("""COMPUTED_VALUE"""),"Paolo Bedolla|46234")</f>
        <v>Paolo Bedolla|46234</v>
      </c>
      <c r="O3144" s="14">
        <f>IFERROR(__xludf.DUMMYFUNCTION("""COMPUTED_VALUE"""),3.0)</f>
        <v>3</v>
      </c>
    </row>
    <row r="3145" ht="22.5" hidden="1" customHeight="1">
      <c r="A3145" s="8">
        <v>46038.404992592594</v>
      </c>
      <c r="B3145" s="14">
        <v>46038.0</v>
      </c>
      <c r="C3145" s="9" t="s">
        <v>48</v>
      </c>
      <c r="D3145" s="9" t="s">
        <v>395</v>
      </c>
      <c r="E3145" s="9" t="s">
        <v>17</v>
      </c>
      <c r="F3145" s="9" t="s">
        <v>17</v>
      </c>
      <c r="G3145" s="9">
        <v>8.0</v>
      </c>
      <c r="H3145" s="9" t="s">
        <v>22</v>
      </c>
      <c r="I3145" s="9" t="s">
        <v>20</v>
      </c>
      <c r="J3145" s="10"/>
      <c r="K3145" s="14" t="s">
        <v>398</v>
      </c>
      <c r="N3145" s="14" t="str">
        <f>IFERROR(__xludf.DUMMYFUNCTION("""COMPUTED_VALUE"""),"Patricio Salas|46234")</f>
        <v>Patricio Salas|46234</v>
      </c>
      <c r="O3145" s="14">
        <f>IFERROR(__xludf.DUMMYFUNCTION("""COMPUTED_VALUE"""),4.0)</f>
        <v>4</v>
      </c>
    </row>
    <row r="3146" ht="22.5" hidden="1" customHeight="1">
      <c r="A3146" s="8">
        <v>46038.405325671294</v>
      </c>
      <c r="B3146" s="14">
        <v>46038.0</v>
      </c>
      <c r="C3146" s="9" t="s">
        <v>48</v>
      </c>
      <c r="D3146" s="9" t="s">
        <v>357</v>
      </c>
      <c r="E3146" s="9" t="s">
        <v>17</v>
      </c>
      <c r="F3146" s="9" t="s">
        <v>17</v>
      </c>
      <c r="G3146" s="9">
        <v>8.0</v>
      </c>
      <c r="H3146" s="9" t="s">
        <v>22</v>
      </c>
      <c r="I3146" s="9" t="s">
        <v>20</v>
      </c>
      <c r="J3146" s="10"/>
      <c r="K3146" s="14" t="s">
        <v>398</v>
      </c>
      <c r="N3146" s="14" t="str">
        <f>IFERROR(__xludf.DUMMYFUNCTION("""COMPUTED_VALUE"""),"Rodolfo Cota|46234")</f>
        <v>Rodolfo Cota|46234</v>
      </c>
      <c r="O3146" s="14">
        <f>IFERROR(__xludf.DUMMYFUNCTION("""COMPUTED_VALUE"""),2.0)</f>
        <v>2</v>
      </c>
    </row>
    <row r="3147" ht="22.5" hidden="1" customHeight="1">
      <c r="A3147" s="8">
        <v>46038.405535659724</v>
      </c>
      <c r="B3147" s="14">
        <v>46038.0</v>
      </c>
      <c r="C3147" s="9" t="s">
        <v>48</v>
      </c>
      <c r="D3147" s="9" t="s">
        <v>408</v>
      </c>
      <c r="E3147" s="9" t="s">
        <v>17</v>
      </c>
      <c r="F3147" s="9" t="s">
        <v>17</v>
      </c>
      <c r="G3147" s="9">
        <v>8.0</v>
      </c>
      <c r="H3147" s="9" t="s">
        <v>22</v>
      </c>
      <c r="I3147" s="9" t="s">
        <v>20</v>
      </c>
      <c r="J3147" s="10"/>
      <c r="K3147" s="14" t="s">
        <v>398</v>
      </c>
      <c r="N3147" s="14" t="str">
        <f>IFERROR(__xludf.DUMMYFUNCTION("""COMPUTED_VALUE"""),"Israel Reyes|46237")</f>
        <v>Israel Reyes|46237</v>
      </c>
      <c r="O3147" s="14">
        <f>IFERROR(__xludf.DUMMYFUNCTION("""COMPUTED_VALUE"""),3.0)</f>
        <v>3</v>
      </c>
    </row>
    <row r="3148" ht="22.5" hidden="1" customHeight="1">
      <c r="A3148" s="8">
        <v>46038.40618835649</v>
      </c>
      <c r="B3148" s="14">
        <v>46038.0</v>
      </c>
      <c r="C3148" s="9" t="s">
        <v>48</v>
      </c>
      <c r="D3148" s="9" t="s">
        <v>369</v>
      </c>
      <c r="E3148" s="9" t="s">
        <v>17</v>
      </c>
      <c r="F3148" s="9" t="s">
        <v>17</v>
      </c>
      <c r="G3148" s="9">
        <v>7.0</v>
      </c>
      <c r="H3148" s="9" t="s">
        <v>22</v>
      </c>
      <c r="I3148" s="9" t="s">
        <v>20</v>
      </c>
      <c r="J3148" s="10"/>
      <c r="K3148" s="14">
        <v>4.0</v>
      </c>
      <c r="N3148" s="14" t="str">
        <f>IFERROR(__xludf.DUMMYFUNCTION("""COMPUTED_VALUE"""),"Víctor Dávila|46237")</f>
        <v>Víctor Dávila|46237</v>
      </c>
      <c r="O3148" s="14">
        <f>IFERROR(__xludf.DUMMYFUNCTION("""COMPUTED_VALUE"""),10.0)</f>
        <v>10</v>
      </c>
    </row>
    <row r="3149" ht="22.5" hidden="1" customHeight="1">
      <c r="A3149" s="8">
        <v>46038.40654556713</v>
      </c>
      <c r="B3149" s="14">
        <v>46038.0</v>
      </c>
      <c r="C3149" s="9" t="s">
        <v>48</v>
      </c>
      <c r="D3149" s="9" t="s">
        <v>412</v>
      </c>
      <c r="E3149" s="9" t="s">
        <v>17</v>
      </c>
      <c r="F3149" s="9" t="s">
        <v>17</v>
      </c>
      <c r="G3149" s="9">
        <v>7.0</v>
      </c>
      <c r="H3149" s="9" t="s">
        <v>22</v>
      </c>
      <c r="I3149" s="9" t="s">
        <v>20</v>
      </c>
      <c r="J3149" s="10"/>
      <c r="K3149" s="14">
        <v>4.0</v>
      </c>
      <c r="N3149" s="14" t="str">
        <f>IFERROR(__xludf.DUMMYFUNCTION("""COMPUTED_VALUE"""),"Miguel Vázquez|46237")</f>
        <v>Miguel Vázquez|46237</v>
      </c>
      <c r="O3149" s="14">
        <f>IFERROR(__xludf.DUMMYFUNCTION("""COMPUTED_VALUE"""),4.0)</f>
        <v>4</v>
      </c>
    </row>
    <row r="3150" ht="22.5" hidden="1" customHeight="1">
      <c r="A3150" s="8">
        <v>46038.414445358794</v>
      </c>
      <c r="B3150" s="14">
        <v>46038.0</v>
      </c>
      <c r="C3150" s="9" t="s">
        <v>48</v>
      </c>
      <c r="D3150" s="9" t="s">
        <v>178</v>
      </c>
      <c r="E3150" s="9" t="s">
        <v>17</v>
      </c>
      <c r="F3150" s="9" t="s">
        <v>17</v>
      </c>
      <c r="G3150" s="9">
        <v>7.0</v>
      </c>
      <c r="H3150" s="9" t="s">
        <v>22</v>
      </c>
      <c r="I3150" s="9" t="s">
        <v>20</v>
      </c>
      <c r="J3150" s="10"/>
      <c r="K3150" s="14" t="s">
        <v>398</v>
      </c>
      <c r="N3150" s="14" t="str">
        <f>IFERROR(__xludf.DUMMYFUNCTION("""COMPUTED_VALUE"""),"Kevin Álvarez|46237")</f>
        <v>Kevin Álvarez|46237</v>
      </c>
      <c r="O3150" s="14">
        <f>IFERROR(__xludf.DUMMYFUNCTION("""COMPUTED_VALUE"""),5.0)</f>
        <v>5</v>
      </c>
    </row>
    <row r="3151" ht="22.5" hidden="1" customHeight="1">
      <c r="A3151" s="8">
        <v>46038.414981759255</v>
      </c>
      <c r="B3151" s="14">
        <v>46038.0</v>
      </c>
      <c r="C3151" s="9" t="s">
        <v>48</v>
      </c>
      <c r="D3151" s="9" t="s">
        <v>397</v>
      </c>
      <c r="E3151" s="9" t="s">
        <v>17</v>
      </c>
      <c r="F3151" s="9" t="s">
        <v>17</v>
      </c>
      <c r="G3151" s="9">
        <v>7.0</v>
      </c>
      <c r="H3151" s="9" t="s">
        <v>22</v>
      </c>
      <c r="I3151" s="9" t="s">
        <v>20</v>
      </c>
      <c r="J3151" s="10"/>
      <c r="K3151" s="14" t="s">
        <v>398</v>
      </c>
      <c r="N3151" s="14" t="str">
        <f>IFERROR(__xludf.DUMMYFUNCTION("""COMPUTED_VALUE"""),"Brian Rodríguez|46237")</f>
        <v>Brian Rodríguez|46237</v>
      </c>
      <c r="O3151" s="14">
        <f>IFERROR(__xludf.DUMMYFUNCTION("""COMPUTED_VALUE"""),6.0)</f>
        <v>6</v>
      </c>
    </row>
    <row r="3152" ht="22.5" hidden="1" customHeight="1">
      <c r="A3152" s="8">
        <v>46038.41518013889</v>
      </c>
      <c r="B3152" s="14">
        <v>46038.0</v>
      </c>
      <c r="C3152" s="9" t="s">
        <v>48</v>
      </c>
      <c r="D3152" s="9" t="s">
        <v>413</v>
      </c>
      <c r="E3152" s="9" t="s">
        <v>17</v>
      </c>
      <c r="F3152" s="9" t="s">
        <v>17</v>
      </c>
      <c r="G3152" s="9">
        <v>7.0</v>
      </c>
      <c r="H3152" s="9" t="s">
        <v>22</v>
      </c>
      <c r="I3152" s="9" t="s">
        <v>20</v>
      </c>
      <c r="J3152" s="10"/>
      <c r="K3152" s="14" t="s">
        <v>398</v>
      </c>
      <c r="N3152" s="14" t="str">
        <f>IFERROR(__xludf.DUMMYFUNCTION("""COMPUTED_VALUE"""),"Paolo Bedolla|46237")</f>
        <v>Paolo Bedolla|46237</v>
      </c>
      <c r="O3152" s="14">
        <f>IFERROR(__xludf.DUMMYFUNCTION("""COMPUTED_VALUE"""),5.0)</f>
        <v>5</v>
      </c>
    </row>
    <row r="3153" ht="22.5" hidden="1" customHeight="1">
      <c r="A3153" s="8">
        <v>46039.367291539354</v>
      </c>
      <c r="B3153" s="14">
        <v>46039.0</v>
      </c>
      <c r="C3153" s="9" t="s">
        <v>53</v>
      </c>
      <c r="D3153" s="9" t="s">
        <v>258</v>
      </c>
      <c r="E3153" s="9" t="s">
        <v>17</v>
      </c>
      <c r="F3153" s="9" t="s">
        <v>17</v>
      </c>
      <c r="G3153" s="9">
        <v>7.0</v>
      </c>
      <c r="H3153" s="9" t="s">
        <v>22</v>
      </c>
      <c r="I3153" s="9" t="s">
        <v>20</v>
      </c>
      <c r="J3153" s="10"/>
      <c r="K3153" s="14">
        <v>5.0</v>
      </c>
      <c r="N3153" s="14" t="str">
        <f>IFERROR(__xludf.DUMMYFUNCTION("""COMPUTED_VALUE"""),"Dagoberto Espinoza|46237")</f>
        <v>Dagoberto Espinoza|46237</v>
      </c>
      <c r="O3153" s="14">
        <f>IFERROR(__xludf.DUMMYFUNCTION("""COMPUTED_VALUE"""),5.0)</f>
        <v>5</v>
      </c>
    </row>
    <row r="3154" ht="22.5" hidden="1" customHeight="1">
      <c r="A3154" s="8">
        <v>46039.36760017361</v>
      </c>
      <c r="B3154" s="14">
        <v>46039.0</v>
      </c>
      <c r="C3154" s="9" t="s">
        <v>53</v>
      </c>
      <c r="D3154" s="9" t="s">
        <v>177</v>
      </c>
      <c r="E3154" s="9" t="s">
        <v>17</v>
      </c>
      <c r="F3154" s="9" t="s">
        <v>17</v>
      </c>
      <c r="G3154" s="9">
        <v>8.0</v>
      </c>
      <c r="H3154" s="9" t="s">
        <v>22</v>
      </c>
      <c r="I3154" s="9" t="s">
        <v>20</v>
      </c>
      <c r="J3154" s="10"/>
      <c r="K3154" s="14" t="s">
        <v>398</v>
      </c>
      <c r="N3154" s="14" t="str">
        <f>IFERROR(__xludf.DUMMYFUNCTION("""COMPUTED_VALUE"""),"Patricio Salas|46237")</f>
        <v>Patricio Salas|46237</v>
      </c>
      <c r="O3154" s="14">
        <f>IFERROR(__xludf.DUMMYFUNCTION("""COMPUTED_VALUE"""),6.0)</f>
        <v>6</v>
      </c>
    </row>
    <row r="3155" ht="22.5" hidden="1" customHeight="1">
      <c r="A3155" s="8">
        <v>46039.36789368055</v>
      </c>
      <c r="B3155" s="14">
        <v>46039.0</v>
      </c>
      <c r="C3155" s="9" t="s">
        <v>53</v>
      </c>
      <c r="D3155" s="9" t="s">
        <v>168</v>
      </c>
      <c r="E3155" s="9" t="s">
        <v>17</v>
      </c>
      <c r="F3155" s="9" t="s">
        <v>17</v>
      </c>
      <c r="G3155" s="9">
        <v>8.0</v>
      </c>
      <c r="H3155" s="9" t="s">
        <v>22</v>
      </c>
      <c r="I3155" s="9" t="s">
        <v>20</v>
      </c>
      <c r="J3155" s="10"/>
      <c r="K3155" s="14">
        <v>3.0</v>
      </c>
      <c r="N3155" s="14" t="str">
        <f>IFERROR(__xludf.DUMMYFUNCTION("""COMPUTED_VALUE"""),"Icaro|46237")</f>
        <v>Icaro|46237</v>
      </c>
      <c r="O3155" s="14">
        <f>IFERROR(__xludf.DUMMYFUNCTION("""COMPUTED_VALUE"""),5.0)</f>
        <v>5</v>
      </c>
    </row>
    <row r="3156" ht="22.5" hidden="1" customHeight="1">
      <c r="A3156" s="8">
        <v>46039.36813649305</v>
      </c>
      <c r="B3156" s="14">
        <v>46039.0</v>
      </c>
      <c r="C3156" s="9" t="s">
        <v>53</v>
      </c>
      <c r="D3156" s="9" t="s">
        <v>178</v>
      </c>
      <c r="E3156" s="9" t="s">
        <v>17</v>
      </c>
      <c r="F3156" s="9" t="s">
        <v>17</v>
      </c>
      <c r="G3156" s="9">
        <v>8.0</v>
      </c>
      <c r="H3156" s="9" t="s">
        <v>22</v>
      </c>
      <c r="I3156" s="9" t="s">
        <v>20</v>
      </c>
      <c r="J3156" s="10"/>
      <c r="K3156" s="14">
        <v>4.0</v>
      </c>
      <c r="N3156" s="14" t="str">
        <f>IFERROR(__xludf.DUMMYFUNCTION("""COMPUTED_VALUE"""),"Emilio Lara|46237")</f>
        <v>Emilio Lara|46237</v>
      </c>
      <c r="O3156" s="14">
        <f>IFERROR(__xludf.DUMMYFUNCTION("""COMPUTED_VALUE"""),3.0)</f>
        <v>3</v>
      </c>
    </row>
    <row r="3157" ht="22.5" hidden="1" customHeight="1">
      <c r="A3157" s="8">
        <v>46039.36835079861</v>
      </c>
      <c r="B3157" s="14">
        <v>46039.0</v>
      </c>
      <c r="C3157" s="9" t="s">
        <v>53</v>
      </c>
      <c r="D3157" s="9" t="s">
        <v>280</v>
      </c>
      <c r="E3157" s="9" t="s">
        <v>17</v>
      </c>
      <c r="F3157" s="9" t="s">
        <v>17</v>
      </c>
      <c r="G3157" s="9">
        <v>7.0</v>
      </c>
      <c r="H3157" s="9" t="s">
        <v>22</v>
      </c>
      <c r="I3157" s="9" t="s">
        <v>20</v>
      </c>
      <c r="J3157" s="10"/>
      <c r="K3157" s="14">
        <v>3.0</v>
      </c>
      <c r="N3157" s="14" t="str">
        <f>IFERROR(__xludf.DUMMYFUNCTION("""COMPUTED_VALUE"""),"Alejandro Cardenas|46237")</f>
        <v>Alejandro Cardenas|46237</v>
      </c>
      <c r="O3157" s="14">
        <f>IFERROR(__xludf.DUMMYFUNCTION("""COMPUTED_VALUE"""),6.0)</f>
        <v>6</v>
      </c>
    </row>
    <row r="3158" ht="22.5" hidden="1" customHeight="1">
      <c r="A3158" s="8">
        <v>46039.36900351851</v>
      </c>
      <c r="B3158" s="14">
        <v>46039.0</v>
      </c>
      <c r="C3158" s="9" t="s">
        <v>53</v>
      </c>
      <c r="D3158" s="9" t="s">
        <v>171</v>
      </c>
      <c r="E3158" s="9" t="s">
        <v>30</v>
      </c>
      <c r="F3158" s="9" t="s">
        <v>43</v>
      </c>
      <c r="G3158" s="9">
        <v>8.0</v>
      </c>
      <c r="H3158" s="9" t="s">
        <v>25</v>
      </c>
      <c r="I3158" s="9" t="s">
        <v>37</v>
      </c>
      <c r="J3158" s="10"/>
      <c r="K3158" s="14">
        <v>6.0</v>
      </c>
      <c r="N3158" s="14" t="str">
        <f>IFERROR(__xludf.DUMMYFUNCTION("""COMPUTED_VALUE"""),"Fernando Tapia|46237")</f>
        <v>Fernando Tapia|46237</v>
      </c>
      <c r="O3158" s="14">
        <f>IFERROR(__xludf.DUMMYFUNCTION("""COMPUTED_VALUE"""),3.0)</f>
        <v>3</v>
      </c>
    </row>
    <row r="3159" ht="22.5" hidden="1" customHeight="1">
      <c r="A3159" s="8">
        <v>46039.381540532406</v>
      </c>
      <c r="B3159" s="14">
        <v>46039.0</v>
      </c>
      <c r="C3159" s="9" t="s">
        <v>53</v>
      </c>
      <c r="D3159" s="9" t="s">
        <v>335</v>
      </c>
      <c r="E3159" s="9" t="s">
        <v>17</v>
      </c>
      <c r="F3159" s="9" t="s">
        <v>17</v>
      </c>
      <c r="G3159" s="9">
        <v>8.0</v>
      </c>
      <c r="H3159" s="9" t="s">
        <v>25</v>
      </c>
      <c r="I3159" s="9" t="s">
        <v>411</v>
      </c>
      <c r="J3159" s="10"/>
      <c r="K3159" s="14">
        <v>3.0</v>
      </c>
      <c r="N3159" s="14" t="str">
        <f>IFERROR(__xludf.DUMMYFUNCTION("""COMPUTED_VALUE"""),"José Raúl Zúñiga|46238")</f>
        <v>José Raúl Zúñiga|46238</v>
      </c>
      <c r="O3159" s="14">
        <f>IFERROR(__xludf.DUMMYFUNCTION("""COMPUTED_VALUE"""),3.0)</f>
        <v>3</v>
      </c>
    </row>
    <row r="3160" ht="22.5" hidden="1" customHeight="1">
      <c r="A3160" s="8">
        <v>46039.38256085648</v>
      </c>
      <c r="B3160" s="14">
        <v>46039.0</v>
      </c>
      <c r="C3160" s="9" t="s">
        <v>53</v>
      </c>
      <c r="D3160" s="9" t="s">
        <v>174</v>
      </c>
      <c r="E3160" s="9" t="s">
        <v>17</v>
      </c>
      <c r="F3160" s="9" t="s">
        <v>17</v>
      </c>
      <c r="G3160" s="9">
        <v>8.0</v>
      </c>
      <c r="H3160" s="9" t="s">
        <v>22</v>
      </c>
      <c r="I3160" s="9" t="s">
        <v>20</v>
      </c>
      <c r="J3160" s="10"/>
      <c r="K3160" s="14">
        <v>2.0</v>
      </c>
      <c r="N3160" s="14" t="str">
        <f>IFERROR(__xludf.DUMMYFUNCTION("""COMPUTED_VALUE"""),"Isaías Violante|46238")</f>
        <v>Isaías Violante|46238</v>
      </c>
      <c r="O3160" s="14">
        <f>IFERROR(__xludf.DUMMYFUNCTION("""COMPUTED_VALUE"""),3.0)</f>
        <v>3</v>
      </c>
    </row>
    <row r="3161" ht="22.5" hidden="1" customHeight="1">
      <c r="A3161" s="8">
        <v>46039.38283570602</v>
      </c>
      <c r="B3161" s="14">
        <v>46039.0</v>
      </c>
      <c r="C3161" s="9" t="s">
        <v>53</v>
      </c>
      <c r="D3161" s="9" t="s">
        <v>257</v>
      </c>
      <c r="E3161" s="9" t="s">
        <v>17</v>
      </c>
      <c r="F3161" s="9" t="s">
        <v>17</v>
      </c>
      <c r="G3161" s="9">
        <v>8.0</v>
      </c>
      <c r="H3161" s="9" t="s">
        <v>22</v>
      </c>
      <c r="I3161" s="9" t="s">
        <v>20</v>
      </c>
      <c r="J3161" s="10"/>
      <c r="K3161" s="14" t="s">
        <v>398</v>
      </c>
      <c r="N3161" s="14" t="str">
        <f>IFERROR(__xludf.DUMMYFUNCTION("""COMPUTED_VALUE"""),"Henry Martín|46238")</f>
        <v>Henry Martín|46238</v>
      </c>
      <c r="O3161" s="14">
        <f>IFERROR(__xludf.DUMMYFUNCTION("""COMPUTED_VALUE"""),3.0)</f>
        <v>3</v>
      </c>
    </row>
    <row r="3162" ht="22.5" hidden="1" customHeight="1">
      <c r="A3162" s="8">
        <v>46039.38316193287</v>
      </c>
      <c r="B3162" s="14">
        <v>46039.0</v>
      </c>
      <c r="C3162" s="9" t="s">
        <v>53</v>
      </c>
      <c r="D3162" s="9" t="s">
        <v>249</v>
      </c>
      <c r="E3162" s="9" t="s">
        <v>46</v>
      </c>
      <c r="F3162" s="9" t="s">
        <v>17</v>
      </c>
      <c r="G3162" s="9">
        <v>8.0</v>
      </c>
      <c r="H3162" s="9" t="s">
        <v>22</v>
      </c>
      <c r="I3162" s="9" t="s">
        <v>20</v>
      </c>
      <c r="J3162" s="10"/>
      <c r="K3162" s="14" t="s">
        <v>398</v>
      </c>
      <c r="N3162" s="14" t="str">
        <f>IFERROR(__xludf.DUMMYFUNCTION("""COMPUTED_VALUE"""),"Miguel Vázquez|46238")</f>
        <v>Miguel Vázquez|46238</v>
      </c>
      <c r="O3162" s="14">
        <f>IFERROR(__xludf.DUMMYFUNCTION("""COMPUTED_VALUE"""),4.0)</f>
        <v>4</v>
      </c>
    </row>
    <row r="3163" ht="22.5" hidden="1" customHeight="1">
      <c r="A3163" s="8">
        <v>46039.38347313658</v>
      </c>
      <c r="B3163" s="14">
        <v>46039.0</v>
      </c>
      <c r="C3163" s="9" t="s">
        <v>53</v>
      </c>
      <c r="D3163" s="9" t="s">
        <v>395</v>
      </c>
      <c r="E3163" s="9" t="s">
        <v>17</v>
      </c>
      <c r="F3163" s="9" t="s">
        <v>17</v>
      </c>
      <c r="G3163" s="9">
        <v>8.0</v>
      </c>
      <c r="H3163" s="9" t="s">
        <v>22</v>
      </c>
      <c r="I3163" s="9" t="s">
        <v>20</v>
      </c>
      <c r="J3163" s="10"/>
      <c r="K3163" s="14">
        <v>3.0</v>
      </c>
      <c r="N3163" s="14" t="str">
        <f>IFERROR(__xludf.DUMMYFUNCTION("""COMPUTED_VALUE"""),"Alexis Gutiérrez|46238")</f>
        <v>Alexis Gutiérrez|46238</v>
      </c>
      <c r="O3163" s="14">
        <f>IFERROR(__xludf.DUMMYFUNCTION("""COMPUTED_VALUE"""),3.0)</f>
        <v>3</v>
      </c>
    </row>
    <row r="3164" ht="22.5" hidden="1" customHeight="1">
      <c r="A3164" s="8">
        <v>46039.38369549769</v>
      </c>
      <c r="B3164" s="14">
        <v>46039.0</v>
      </c>
      <c r="C3164" s="9" t="s">
        <v>53</v>
      </c>
      <c r="D3164" s="9" t="s">
        <v>393</v>
      </c>
      <c r="E3164" s="9" t="s">
        <v>17</v>
      </c>
      <c r="F3164" s="9" t="s">
        <v>17</v>
      </c>
      <c r="G3164" s="9">
        <v>8.0</v>
      </c>
      <c r="H3164" s="9" t="s">
        <v>22</v>
      </c>
      <c r="I3164" s="9" t="s">
        <v>20</v>
      </c>
      <c r="J3164" s="10"/>
      <c r="K3164" s="14">
        <v>3.0</v>
      </c>
      <c r="N3164" s="14" t="str">
        <f>IFERROR(__xludf.DUMMYFUNCTION("""COMPUTED_VALUE"""),"Patricio Salas|46238")</f>
        <v>Patricio Salas|46238</v>
      </c>
      <c r="O3164" s="14">
        <f>IFERROR(__xludf.DUMMYFUNCTION("""COMPUTED_VALUE"""),3.0)</f>
        <v>3</v>
      </c>
    </row>
    <row r="3165" ht="22.5" hidden="1" customHeight="1">
      <c r="A3165" s="8">
        <v>46039.383973414355</v>
      </c>
      <c r="B3165" s="14">
        <v>46039.0</v>
      </c>
      <c r="C3165" s="9" t="s">
        <v>53</v>
      </c>
      <c r="D3165" s="9" t="s">
        <v>408</v>
      </c>
      <c r="E3165" s="9" t="s">
        <v>17</v>
      </c>
      <c r="F3165" s="9" t="s">
        <v>18</v>
      </c>
      <c r="G3165" s="9">
        <v>8.0</v>
      </c>
      <c r="H3165" s="9" t="s">
        <v>22</v>
      </c>
      <c r="I3165" s="9" t="s">
        <v>20</v>
      </c>
      <c r="J3165" s="10"/>
      <c r="K3165" s="14">
        <v>4.0</v>
      </c>
      <c r="N3165" s="14" t="str">
        <f>IFERROR(__xludf.DUMMYFUNCTION("""COMPUTED_VALUE"""),"Alan Cervantes|46238")</f>
        <v>Alan Cervantes|46238</v>
      </c>
      <c r="O3165" s="14">
        <f>IFERROR(__xludf.DUMMYFUNCTION("""COMPUTED_VALUE"""),3.0)</f>
        <v>3</v>
      </c>
    </row>
    <row r="3166" ht="22.5" hidden="1" customHeight="1">
      <c r="A3166" s="8">
        <v>46039.38429425926</v>
      </c>
      <c r="B3166" s="14">
        <v>46039.0</v>
      </c>
      <c r="C3166" s="9" t="s">
        <v>53</v>
      </c>
      <c r="D3166" s="9" t="s">
        <v>369</v>
      </c>
      <c r="E3166" s="9" t="s">
        <v>17</v>
      </c>
      <c r="F3166" s="9" t="s">
        <v>17</v>
      </c>
      <c r="G3166" s="9">
        <v>8.0</v>
      </c>
      <c r="H3166" s="9" t="s">
        <v>22</v>
      </c>
      <c r="I3166" s="9" t="s">
        <v>20</v>
      </c>
      <c r="J3166" s="10"/>
      <c r="K3166" s="14">
        <v>3.0</v>
      </c>
      <c r="N3166" s="14" t="str">
        <f>IFERROR(__xludf.DUMMYFUNCTION("""COMPUTED_VALUE"""),"Erick Sánchez|46238")</f>
        <v>Erick Sánchez|46238</v>
      </c>
      <c r="O3166" s="14">
        <f>IFERROR(__xludf.DUMMYFUNCTION("""COMPUTED_VALUE"""),2.0)</f>
        <v>2</v>
      </c>
    </row>
    <row r="3167" ht="22.5" hidden="1" customHeight="1">
      <c r="A3167" s="8">
        <v>46039.38457672454</v>
      </c>
      <c r="B3167" s="14">
        <v>46039.0</v>
      </c>
      <c r="C3167" s="9" t="s">
        <v>53</v>
      </c>
      <c r="D3167" s="9" t="s">
        <v>412</v>
      </c>
      <c r="E3167" s="9" t="s">
        <v>30</v>
      </c>
      <c r="F3167" s="9" t="s">
        <v>18</v>
      </c>
      <c r="G3167" s="9">
        <v>8.0</v>
      </c>
      <c r="H3167" s="9" t="s">
        <v>22</v>
      </c>
      <c r="I3167" s="9" t="s">
        <v>20</v>
      </c>
      <c r="J3167" s="10"/>
      <c r="K3167" s="14" t="s">
        <v>398</v>
      </c>
      <c r="N3167" s="14" t="str">
        <f>IFERROR(__xludf.DUMMYFUNCTION("""COMPUTED_VALUE"""),"Sebastián Cáceres|46238")</f>
        <v>Sebastián Cáceres|46238</v>
      </c>
      <c r="O3167" s="14">
        <f>IFERROR(__xludf.DUMMYFUNCTION("""COMPUTED_VALUE"""),3.0)</f>
        <v>3</v>
      </c>
    </row>
    <row r="3168" ht="22.5" hidden="1" customHeight="1">
      <c r="A3168" s="8">
        <v>46039.39287486111</v>
      </c>
      <c r="B3168" s="14">
        <v>46039.0</v>
      </c>
      <c r="C3168" s="9" t="s">
        <v>53</v>
      </c>
      <c r="D3168" s="9" t="s">
        <v>223</v>
      </c>
      <c r="E3168" s="9" t="s">
        <v>44</v>
      </c>
      <c r="F3168" s="9" t="s">
        <v>35</v>
      </c>
      <c r="G3168" s="9">
        <v>6.0</v>
      </c>
      <c r="H3168" s="9" t="s">
        <v>25</v>
      </c>
      <c r="I3168" s="9" t="s">
        <v>173</v>
      </c>
      <c r="J3168" s="10"/>
      <c r="K3168" s="14" t="s">
        <v>398</v>
      </c>
      <c r="N3168" s="14" t="str">
        <f>IFERROR(__xludf.DUMMYFUNCTION("""COMPUTED_VALUE"""),"Dagoberto Espinoza|46238")</f>
        <v>Dagoberto Espinoza|46238</v>
      </c>
      <c r="O3168" s="14">
        <f>IFERROR(__xludf.DUMMYFUNCTION("""COMPUTED_VALUE"""),3.0)</f>
        <v>3</v>
      </c>
    </row>
    <row r="3169" ht="22.5" hidden="1" customHeight="1">
      <c r="A3169" s="8">
        <v>46039.39348413194</v>
      </c>
      <c r="B3169" s="14">
        <v>46039.0</v>
      </c>
      <c r="C3169" s="9" t="s">
        <v>53</v>
      </c>
      <c r="D3169" s="9" t="s">
        <v>170</v>
      </c>
      <c r="E3169" s="9" t="s">
        <v>17</v>
      </c>
      <c r="F3169" s="9" t="s">
        <v>17</v>
      </c>
      <c r="G3169" s="9">
        <v>8.0</v>
      </c>
      <c r="H3169" s="9" t="s">
        <v>22</v>
      </c>
      <c r="I3169" s="9" t="s">
        <v>355</v>
      </c>
      <c r="J3169" s="10"/>
      <c r="K3169" s="14" t="s">
        <v>398</v>
      </c>
      <c r="N3169" s="14" t="str">
        <f>IFERROR(__xludf.DUMMYFUNCTION("""COMPUTED_VALUE"""),"Emilio Lara|46238")</f>
        <v>Emilio Lara|46238</v>
      </c>
      <c r="O3169" s="14">
        <f>IFERROR(__xludf.DUMMYFUNCTION("""COMPUTED_VALUE"""),3.0)</f>
        <v>3</v>
      </c>
    </row>
    <row r="3170" ht="22.5" hidden="1" customHeight="1">
      <c r="A3170" s="8">
        <v>46039.39368543982</v>
      </c>
      <c r="B3170" s="14">
        <v>46039.0</v>
      </c>
      <c r="C3170" s="9" t="s">
        <v>53</v>
      </c>
      <c r="D3170" s="9" t="s">
        <v>396</v>
      </c>
      <c r="E3170" s="9" t="s">
        <v>44</v>
      </c>
      <c r="F3170" s="9" t="s">
        <v>35</v>
      </c>
      <c r="G3170" s="9">
        <v>8.0</v>
      </c>
      <c r="H3170" s="9" t="s">
        <v>22</v>
      </c>
      <c r="I3170" s="9" t="s">
        <v>20</v>
      </c>
      <c r="J3170" s="10"/>
      <c r="K3170" s="14">
        <v>3.0</v>
      </c>
      <c r="N3170" s="14" t="str">
        <f>IFERROR(__xludf.DUMMYFUNCTION("""COMPUTED_VALUE"""),"Fernando Tapia|46238")</f>
        <v>Fernando Tapia|46238</v>
      </c>
      <c r="O3170" s="14">
        <f>IFERROR(__xludf.DUMMYFUNCTION("""COMPUTED_VALUE"""),4.0)</f>
        <v>4</v>
      </c>
    </row>
    <row r="3171" ht="22.5" hidden="1" customHeight="1">
      <c r="A3171" s="8">
        <v>46039.393801238424</v>
      </c>
      <c r="B3171" s="14">
        <v>46039.0</v>
      </c>
      <c r="C3171" s="9" t="s">
        <v>53</v>
      </c>
      <c r="D3171" s="9" t="s">
        <v>175</v>
      </c>
      <c r="E3171" s="9" t="s">
        <v>17</v>
      </c>
      <c r="F3171" s="9" t="s">
        <v>17</v>
      </c>
      <c r="G3171" s="9">
        <v>8.0</v>
      </c>
      <c r="H3171" s="9" t="s">
        <v>22</v>
      </c>
      <c r="I3171" s="9" t="s">
        <v>20</v>
      </c>
      <c r="J3171" s="10"/>
      <c r="K3171" s="14">
        <v>5.0</v>
      </c>
      <c r="N3171" s="14" t="str">
        <f>IFERROR(__xludf.DUMMYFUNCTION("""COMPUTED_VALUE"""),"Raphael Veiga|46238")</f>
        <v>Raphael Veiga|46238</v>
      </c>
      <c r="O3171" s="14">
        <f>IFERROR(__xludf.DUMMYFUNCTION("""COMPUTED_VALUE"""),2.0)</f>
        <v>2</v>
      </c>
    </row>
    <row r="3172" ht="22.5" hidden="1" customHeight="1">
      <c r="A3172" s="8">
        <v>46039.394019513886</v>
      </c>
      <c r="B3172" s="14">
        <v>46039.0</v>
      </c>
      <c r="C3172" s="9" t="s">
        <v>53</v>
      </c>
      <c r="D3172" s="9" t="s">
        <v>396</v>
      </c>
      <c r="E3172" s="9" t="s">
        <v>17</v>
      </c>
      <c r="F3172" s="9" t="s">
        <v>17</v>
      </c>
      <c r="G3172" s="9">
        <v>8.0</v>
      </c>
      <c r="H3172" s="9" t="s">
        <v>22</v>
      </c>
      <c r="I3172" s="9" t="s">
        <v>20</v>
      </c>
      <c r="J3172" s="10"/>
      <c r="K3172" s="14">
        <v>3.0</v>
      </c>
      <c r="N3172" s="14" t="str">
        <f>IFERROR(__xludf.DUMMYFUNCTION("""COMPUTED_VALUE"""),"Rodolfo Cota|46238")</f>
        <v>Rodolfo Cota|46238</v>
      </c>
      <c r="O3172" s="14">
        <f>IFERROR(__xludf.DUMMYFUNCTION("""COMPUTED_VALUE"""),3.0)</f>
        <v>3</v>
      </c>
    </row>
    <row r="3173" ht="22.5" hidden="1" customHeight="1">
      <c r="A3173" s="8">
        <v>46039.3946375463</v>
      </c>
      <c r="B3173" s="14">
        <v>46039.0</v>
      </c>
      <c r="C3173" s="9" t="s">
        <v>53</v>
      </c>
      <c r="D3173" s="9" t="s">
        <v>105</v>
      </c>
      <c r="E3173" s="9" t="s">
        <v>17</v>
      </c>
      <c r="F3173" s="9" t="s">
        <v>17</v>
      </c>
      <c r="G3173" s="9">
        <v>8.0</v>
      </c>
      <c r="H3173" s="9" t="s">
        <v>22</v>
      </c>
      <c r="I3173" s="9" t="s">
        <v>20</v>
      </c>
      <c r="J3173" s="10"/>
      <c r="K3173" s="14" t="s">
        <v>398</v>
      </c>
      <c r="N3173" s="14" t="str">
        <f>IFERROR(__xludf.DUMMYFUNCTION("""COMPUTED_VALUE"""),"Israel Reyes|46238")</f>
        <v>Israel Reyes|46238</v>
      </c>
      <c r="O3173" s="14">
        <f>IFERROR(__xludf.DUMMYFUNCTION("""COMPUTED_VALUE"""),4.0)</f>
        <v>4</v>
      </c>
    </row>
    <row r="3174" ht="22.5" hidden="1" customHeight="1">
      <c r="A3174" s="8">
        <v>46039.39491662037</v>
      </c>
      <c r="B3174" s="14">
        <v>46039.0</v>
      </c>
      <c r="C3174" s="9" t="s">
        <v>53</v>
      </c>
      <c r="D3174" s="9" t="s">
        <v>259</v>
      </c>
      <c r="E3174" s="9" t="s">
        <v>30</v>
      </c>
      <c r="F3174" s="9" t="s">
        <v>18</v>
      </c>
      <c r="G3174" s="9">
        <v>8.0</v>
      </c>
      <c r="H3174" s="9" t="s">
        <v>22</v>
      </c>
      <c r="I3174" s="9" t="s">
        <v>20</v>
      </c>
      <c r="J3174" s="10"/>
      <c r="K3174" s="14" t="s">
        <v>398</v>
      </c>
      <c r="N3174" s="14" t="str">
        <f>IFERROR(__xludf.DUMMYFUNCTION("""COMPUTED_VALUE"""),"Alejandro Cardenas|46238")</f>
        <v>Alejandro Cardenas|46238</v>
      </c>
      <c r="O3174" s="14">
        <f>IFERROR(__xludf.DUMMYFUNCTION("""COMPUTED_VALUE"""),3.0)</f>
        <v>3</v>
      </c>
    </row>
    <row r="3175" ht="22.5" hidden="1" customHeight="1">
      <c r="A3175" s="8">
        <v>46039.395210856484</v>
      </c>
      <c r="B3175" s="14">
        <v>46039.0</v>
      </c>
      <c r="C3175" s="9" t="s">
        <v>53</v>
      </c>
      <c r="D3175" s="9" t="s">
        <v>394</v>
      </c>
      <c r="E3175" s="9" t="s">
        <v>17</v>
      </c>
      <c r="F3175" s="9" t="s">
        <v>18</v>
      </c>
      <c r="G3175" s="9">
        <v>8.0</v>
      </c>
      <c r="H3175" s="9" t="s">
        <v>22</v>
      </c>
      <c r="I3175" s="9" t="s">
        <v>20</v>
      </c>
      <c r="J3175" s="10"/>
      <c r="K3175" s="14">
        <v>4.0</v>
      </c>
      <c r="N3175" s="14" t="str">
        <f>IFERROR(__xludf.DUMMYFUNCTION("""COMPUTED_VALUE"""),"Cristian Borja|46238")</f>
        <v>Cristian Borja|46238</v>
      </c>
      <c r="O3175" s="14">
        <f>IFERROR(__xludf.DUMMYFUNCTION("""COMPUTED_VALUE"""),4.0)</f>
        <v>4</v>
      </c>
    </row>
    <row r="3176" ht="22.5" hidden="1" customHeight="1">
      <c r="A3176" s="8">
        <v>46039.39611219907</v>
      </c>
      <c r="B3176" s="14">
        <v>46039.0</v>
      </c>
      <c r="C3176" s="9" t="s">
        <v>53</v>
      </c>
      <c r="D3176" s="9" t="s">
        <v>247</v>
      </c>
      <c r="E3176" s="9" t="s">
        <v>17</v>
      </c>
      <c r="F3176" s="9" t="s">
        <v>17</v>
      </c>
      <c r="G3176" s="9">
        <v>8.0</v>
      </c>
      <c r="H3176" s="9" t="s">
        <v>22</v>
      </c>
      <c r="I3176" s="9" t="s">
        <v>20</v>
      </c>
      <c r="J3176" s="10"/>
      <c r="K3176" s="14" t="s">
        <v>398</v>
      </c>
      <c r="N3176" s="14" t="str">
        <f>IFERROR(__xludf.DUMMYFUNCTION("""COMPUTED_VALUE"""),"Víctor Dávila|46238")</f>
        <v>Víctor Dávila|46238</v>
      </c>
      <c r="O3176" s="14">
        <f>IFERROR(__xludf.DUMMYFUNCTION("""COMPUTED_VALUE"""),7.0)</f>
        <v>7</v>
      </c>
    </row>
    <row r="3177" ht="22.5" hidden="1" customHeight="1">
      <c r="A3177" s="8">
        <v>46039.396633020835</v>
      </c>
      <c r="B3177" s="14">
        <v>46039.0</v>
      </c>
      <c r="C3177" s="9" t="s">
        <v>53</v>
      </c>
      <c r="D3177" s="9" t="s">
        <v>350</v>
      </c>
      <c r="E3177" s="9" t="s">
        <v>17</v>
      </c>
      <c r="F3177" s="9" t="s">
        <v>17</v>
      </c>
      <c r="G3177" s="9">
        <v>8.0</v>
      </c>
      <c r="H3177" s="9" t="s">
        <v>22</v>
      </c>
      <c r="I3177" s="9" t="s">
        <v>20</v>
      </c>
      <c r="J3177" s="10"/>
      <c r="K3177" s="14">
        <v>3.0</v>
      </c>
      <c r="N3177" s="14" t="str">
        <f>IFERROR(__xludf.DUMMYFUNCTION("""COMPUTED_VALUE"""),"Brian Rodríguez|46238")</f>
        <v>Brian Rodríguez|46238</v>
      </c>
      <c r="O3177" s="14">
        <f>IFERROR(__xludf.DUMMYFUNCTION("""COMPUTED_VALUE"""),3.0)</f>
        <v>3</v>
      </c>
    </row>
    <row r="3178" ht="22.5" hidden="1" customHeight="1">
      <c r="A3178" s="8">
        <v>46039.396898113424</v>
      </c>
      <c r="B3178" s="14">
        <v>46039.0</v>
      </c>
      <c r="C3178" s="9" t="s">
        <v>53</v>
      </c>
      <c r="D3178" s="9" t="s">
        <v>357</v>
      </c>
      <c r="E3178" s="9" t="s">
        <v>17</v>
      </c>
      <c r="F3178" s="9" t="s">
        <v>17</v>
      </c>
      <c r="G3178" s="9">
        <v>8.0</v>
      </c>
      <c r="H3178" s="9" t="s">
        <v>22</v>
      </c>
      <c r="I3178" s="9" t="s">
        <v>20</v>
      </c>
      <c r="J3178" s="10"/>
      <c r="K3178" s="14">
        <v>4.0</v>
      </c>
      <c r="N3178" s="14" t="str">
        <f>IFERROR(__xludf.DUMMYFUNCTION("""COMPUTED_VALUE"""),"Diego Arriaga|46238")</f>
        <v>Diego Arriaga|46238</v>
      </c>
      <c r="O3178" s="14">
        <f>IFERROR(__xludf.DUMMYFUNCTION("""COMPUTED_VALUE"""),3.0)</f>
        <v>3</v>
      </c>
    </row>
    <row r="3179" ht="22.5" hidden="1" customHeight="1">
      <c r="A3179" s="8">
        <v>46039.397220405095</v>
      </c>
      <c r="B3179" s="14">
        <v>46039.0</v>
      </c>
      <c r="C3179" s="9" t="s">
        <v>53</v>
      </c>
      <c r="D3179" s="9" t="s">
        <v>413</v>
      </c>
      <c r="E3179" s="9" t="s">
        <v>17</v>
      </c>
      <c r="F3179" s="9" t="s">
        <v>17</v>
      </c>
      <c r="G3179" s="9">
        <v>7.0</v>
      </c>
      <c r="H3179" s="9" t="s">
        <v>22</v>
      </c>
      <c r="I3179" s="9" t="s">
        <v>20</v>
      </c>
      <c r="J3179" s="10"/>
      <c r="K3179" s="14">
        <v>3.0</v>
      </c>
      <c r="N3179" s="14" t="str">
        <f>IFERROR(__xludf.DUMMYFUNCTION("""COMPUTED_VALUE"""),"Icaro|46238")</f>
        <v>Icaro|46238</v>
      </c>
      <c r="O3179" s="14">
        <f>IFERROR(__xludf.DUMMYFUNCTION("""COMPUTED_VALUE"""),3.0)</f>
        <v>3</v>
      </c>
    </row>
    <row r="3180" ht="22.5" hidden="1" customHeight="1">
      <c r="A3180" s="8">
        <v>46042.36522125</v>
      </c>
      <c r="B3180" s="14">
        <v>46042.0</v>
      </c>
      <c r="C3180" s="9" t="s">
        <v>110</v>
      </c>
      <c r="D3180" s="9" t="s">
        <v>257</v>
      </c>
      <c r="E3180" s="9" t="s">
        <v>17</v>
      </c>
      <c r="F3180" s="9" t="s">
        <v>17</v>
      </c>
      <c r="G3180" s="9">
        <v>7.0</v>
      </c>
      <c r="H3180" s="9" t="s">
        <v>22</v>
      </c>
      <c r="I3180" s="9" t="s">
        <v>20</v>
      </c>
      <c r="J3180" s="10"/>
      <c r="K3180" s="14" t="s">
        <v>398</v>
      </c>
      <c r="N3180" s="14" t="str">
        <f>IFERROR(__xludf.DUMMYFUNCTION("""COMPUTED_VALUE"""),"Ramón Juárez|46238")</f>
        <v>Ramón Juárez|46238</v>
      </c>
      <c r="O3180" s="14">
        <f>IFERROR(__xludf.DUMMYFUNCTION("""COMPUTED_VALUE"""),3.0)</f>
        <v>3</v>
      </c>
    </row>
    <row r="3181" ht="22.5" hidden="1" customHeight="1">
      <c r="A3181" s="8">
        <v>46042.36534907407</v>
      </c>
      <c r="B3181" s="14">
        <v>46042.0</v>
      </c>
      <c r="C3181" s="9" t="s">
        <v>110</v>
      </c>
      <c r="D3181" s="9" t="s">
        <v>177</v>
      </c>
      <c r="E3181" s="9" t="s">
        <v>61</v>
      </c>
      <c r="F3181" s="9" t="s">
        <v>17</v>
      </c>
      <c r="G3181" s="9">
        <v>7.0</v>
      </c>
      <c r="H3181" s="9" t="s">
        <v>25</v>
      </c>
      <c r="I3181" s="9" t="s">
        <v>173</v>
      </c>
      <c r="J3181" s="10"/>
      <c r="K3181" s="14" t="s">
        <v>398</v>
      </c>
      <c r="N3181" s="14" t="str">
        <f>IFERROR(__xludf.DUMMYFUNCTION("""COMPUTED_VALUE"""),"Kevin Álvarez|46238")</f>
        <v>Kevin Álvarez|46238</v>
      </c>
      <c r="O3181" s="14">
        <f>IFERROR(__xludf.DUMMYFUNCTION("""COMPUTED_VALUE"""),3.0)</f>
        <v>3</v>
      </c>
    </row>
    <row r="3182" ht="22.5" hidden="1" customHeight="1">
      <c r="A3182" s="8">
        <v>46042.36595252315</v>
      </c>
      <c r="B3182" s="14">
        <v>46042.0</v>
      </c>
      <c r="C3182" s="9" t="s">
        <v>110</v>
      </c>
      <c r="D3182" s="9" t="s">
        <v>259</v>
      </c>
      <c r="E3182" s="9" t="s">
        <v>30</v>
      </c>
      <c r="F3182" s="9" t="s">
        <v>18</v>
      </c>
      <c r="G3182" s="9">
        <v>8.0</v>
      </c>
      <c r="H3182" s="9" t="s">
        <v>22</v>
      </c>
      <c r="I3182" s="9" t="s">
        <v>20</v>
      </c>
      <c r="J3182" s="10"/>
      <c r="K3182" s="14" t="s">
        <v>398</v>
      </c>
      <c r="N3182" s="14" t="str">
        <f>IFERROR(__xludf.DUMMYFUNCTION("""COMPUTED_VALUE"""),"")</f>
        <v/>
      </c>
      <c r="O3182" s="14"/>
    </row>
    <row r="3183" ht="22.5" hidden="1" customHeight="1">
      <c r="A3183" s="8">
        <v>46042.36643010417</v>
      </c>
      <c r="B3183" s="14">
        <v>46042.0</v>
      </c>
      <c r="C3183" s="9" t="s">
        <v>110</v>
      </c>
      <c r="D3183" s="9" t="s">
        <v>223</v>
      </c>
      <c r="E3183" s="9" t="s">
        <v>44</v>
      </c>
      <c r="F3183" s="9" t="s">
        <v>17</v>
      </c>
      <c r="G3183" s="9">
        <v>7.0</v>
      </c>
      <c r="H3183" s="9" t="s">
        <v>22</v>
      </c>
      <c r="I3183" s="9" t="s">
        <v>20</v>
      </c>
      <c r="J3183" s="10"/>
      <c r="K3183" s="14" t="s">
        <v>398</v>
      </c>
      <c r="N3183" s="14" t="str">
        <f>IFERROR(__xludf.DUMMYFUNCTION("""COMPUTED_VALUE"""),"")</f>
        <v/>
      </c>
      <c r="O3183" s="14"/>
    </row>
    <row r="3184" ht="22.5" hidden="1" customHeight="1">
      <c r="A3184" s="8">
        <v>46042.367192708334</v>
      </c>
      <c r="B3184" s="14">
        <v>46042.0</v>
      </c>
      <c r="C3184" s="9" t="s">
        <v>110</v>
      </c>
      <c r="D3184" s="9" t="s">
        <v>249</v>
      </c>
      <c r="E3184" s="9" t="s">
        <v>17</v>
      </c>
      <c r="F3184" s="9" t="s">
        <v>35</v>
      </c>
      <c r="G3184" s="9">
        <v>6.0</v>
      </c>
      <c r="H3184" s="9" t="s">
        <v>22</v>
      </c>
      <c r="I3184" s="9" t="s">
        <v>20</v>
      </c>
      <c r="J3184" s="10"/>
      <c r="K3184" s="14" t="s">
        <v>398</v>
      </c>
      <c r="N3184" s="14" t="str">
        <f>IFERROR(__xludf.DUMMYFUNCTION("""COMPUTED_VALUE"""),"")</f>
        <v/>
      </c>
      <c r="O3184" s="14"/>
    </row>
    <row r="3185" ht="22.5" hidden="1" customHeight="1">
      <c r="A3185" s="8">
        <v>46043.381591956015</v>
      </c>
      <c r="B3185" s="14">
        <v>46043.0</v>
      </c>
      <c r="C3185" s="9" t="s">
        <v>15</v>
      </c>
      <c r="D3185" s="9" t="s">
        <v>258</v>
      </c>
      <c r="E3185" s="9" t="s">
        <v>17</v>
      </c>
      <c r="F3185" s="9" t="s">
        <v>17</v>
      </c>
      <c r="G3185" s="9">
        <v>8.0</v>
      </c>
      <c r="H3185" s="9" t="s">
        <v>22</v>
      </c>
      <c r="I3185" s="9" t="s">
        <v>20</v>
      </c>
      <c r="J3185" s="10"/>
      <c r="K3185" s="14" t="s">
        <v>398</v>
      </c>
      <c r="N3185" s="14" t="str">
        <f>IFERROR(__xludf.DUMMYFUNCTION("""COMPUTED_VALUE"""),"")</f>
        <v/>
      </c>
      <c r="O3185" s="14"/>
    </row>
    <row r="3186" ht="22.5" hidden="1" customHeight="1">
      <c r="A3186" s="8">
        <v>46043.38219541666</v>
      </c>
      <c r="B3186" s="14">
        <v>46043.0</v>
      </c>
      <c r="C3186" s="9" t="s">
        <v>15</v>
      </c>
      <c r="D3186" s="9" t="s">
        <v>171</v>
      </c>
      <c r="E3186" s="9" t="s">
        <v>17</v>
      </c>
      <c r="F3186" s="9" t="s">
        <v>17</v>
      </c>
      <c r="G3186" s="9">
        <v>8.0</v>
      </c>
      <c r="H3186" s="9" t="s">
        <v>25</v>
      </c>
      <c r="I3186" s="9" t="s">
        <v>20</v>
      </c>
      <c r="J3186" s="10"/>
      <c r="K3186" s="14" t="s">
        <v>398</v>
      </c>
      <c r="N3186" s="14" t="str">
        <f>IFERROR(__xludf.DUMMYFUNCTION("""COMPUTED_VALUE"""),"")</f>
        <v/>
      </c>
      <c r="O3186" s="14"/>
    </row>
    <row r="3187" ht="22.5" hidden="1" customHeight="1">
      <c r="A3187" s="8">
        <v>46043.38259283565</v>
      </c>
      <c r="B3187" s="14">
        <v>46043.0</v>
      </c>
      <c r="C3187" s="9" t="s">
        <v>15</v>
      </c>
      <c r="D3187" s="9" t="s">
        <v>175</v>
      </c>
      <c r="E3187" s="9" t="s">
        <v>17</v>
      </c>
      <c r="F3187" s="9" t="s">
        <v>17</v>
      </c>
      <c r="G3187" s="9">
        <v>8.0</v>
      </c>
      <c r="H3187" s="9" t="s">
        <v>25</v>
      </c>
      <c r="I3187" s="9" t="s">
        <v>207</v>
      </c>
      <c r="J3187" s="10"/>
      <c r="K3187" s="14" t="s">
        <v>398</v>
      </c>
      <c r="N3187" s="14" t="str">
        <f>IFERROR(__xludf.DUMMYFUNCTION("""COMPUTED_VALUE"""),"")</f>
        <v/>
      </c>
      <c r="O3187" s="14"/>
    </row>
    <row r="3188" ht="22.5" hidden="1" customHeight="1">
      <c r="A3188" s="8">
        <v>46043.382947673614</v>
      </c>
      <c r="B3188" s="14">
        <v>46043.0</v>
      </c>
      <c r="C3188" s="9" t="s">
        <v>15</v>
      </c>
      <c r="D3188" s="9" t="s">
        <v>177</v>
      </c>
      <c r="E3188" s="9" t="s">
        <v>17</v>
      </c>
      <c r="F3188" s="9" t="s">
        <v>17</v>
      </c>
      <c r="G3188" s="9">
        <v>8.0</v>
      </c>
      <c r="H3188" s="9" t="s">
        <v>22</v>
      </c>
      <c r="I3188" s="9" t="s">
        <v>20</v>
      </c>
      <c r="J3188" s="10"/>
      <c r="K3188" s="14" t="s">
        <v>398</v>
      </c>
      <c r="N3188" s="14" t="str">
        <f>IFERROR(__xludf.DUMMYFUNCTION("""COMPUTED_VALUE"""),"")</f>
        <v/>
      </c>
      <c r="O3188" s="14"/>
    </row>
    <row r="3189" ht="22.5" hidden="1" customHeight="1">
      <c r="A3189" s="8">
        <v>46043.38331651621</v>
      </c>
      <c r="B3189" s="14">
        <v>46043.0</v>
      </c>
      <c r="C3189" s="9" t="s">
        <v>15</v>
      </c>
      <c r="D3189" s="9" t="s">
        <v>259</v>
      </c>
      <c r="E3189" s="9" t="s">
        <v>30</v>
      </c>
      <c r="F3189" s="9" t="s">
        <v>17</v>
      </c>
      <c r="G3189" s="9">
        <v>8.0</v>
      </c>
      <c r="H3189" s="9" t="s">
        <v>22</v>
      </c>
      <c r="I3189" s="9" t="s">
        <v>20</v>
      </c>
      <c r="J3189" s="10"/>
      <c r="K3189" s="14" t="s">
        <v>398</v>
      </c>
      <c r="N3189" s="14" t="str">
        <f>IFERROR(__xludf.DUMMYFUNCTION("""COMPUTED_VALUE"""),"")</f>
        <v/>
      </c>
      <c r="O3189" s="14"/>
    </row>
    <row r="3190" ht="22.5" hidden="1" customHeight="1">
      <c r="A3190" s="8">
        <v>46043.38358247685</v>
      </c>
      <c r="B3190" s="14">
        <v>46043.0</v>
      </c>
      <c r="C3190" s="9" t="s">
        <v>15</v>
      </c>
      <c r="D3190" s="9" t="s">
        <v>280</v>
      </c>
      <c r="E3190" s="9" t="s">
        <v>17</v>
      </c>
      <c r="F3190" s="9" t="s">
        <v>17</v>
      </c>
      <c r="G3190" s="9">
        <v>7.0</v>
      </c>
      <c r="H3190" s="9" t="s">
        <v>22</v>
      </c>
      <c r="I3190" s="9" t="s">
        <v>20</v>
      </c>
      <c r="J3190" s="10"/>
      <c r="K3190" s="14" t="s">
        <v>398</v>
      </c>
      <c r="N3190" s="14" t="str">
        <f>IFERROR(__xludf.DUMMYFUNCTION("""COMPUTED_VALUE"""),"")</f>
        <v/>
      </c>
      <c r="O3190" s="14"/>
    </row>
    <row r="3191" ht="22.5" hidden="1" customHeight="1">
      <c r="A3191" s="8">
        <v>46043.383875775464</v>
      </c>
      <c r="B3191" s="14">
        <v>46043.0</v>
      </c>
      <c r="C3191" s="9" t="s">
        <v>15</v>
      </c>
      <c r="D3191" s="9" t="s">
        <v>335</v>
      </c>
      <c r="E3191" s="9" t="s">
        <v>17</v>
      </c>
      <c r="F3191" s="9" t="s">
        <v>17</v>
      </c>
      <c r="G3191" s="9">
        <v>8.0</v>
      </c>
      <c r="H3191" s="9" t="s">
        <v>25</v>
      </c>
      <c r="I3191" s="9" t="s">
        <v>211</v>
      </c>
      <c r="J3191" s="10"/>
      <c r="K3191" s="14" t="s">
        <v>398</v>
      </c>
      <c r="N3191" s="14" t="str">
        <f>IFERROR(__xludf.DUMMYFUNCTION("""COMPUTED_VALUE"""),"")</f>
        <v/>
      </c>
      <c r="O3191" s="14"/>
    </row>
    <row r="3192" ht="22.5" hidden="1" customHeight="1">
      <c r="A3192" s="8">
        <v>46043.38420642361</v>
      </c>
      <c r="B3192" s="14">
        <v>46043.0</v>
      </c>
      <c r="C3192" s="9" t="s">
        <v>15</v>
      </c>
      <c r="D3192" s="9" t="s">
        <v>174</v>
      </c>
      <c r="E3192" s="9" t="s">
        <v>30</v>
      </c>
      <c r="F3192" s="9" t="s">
        <v>17</v>
      </c>
      <c r="G3192" s="9">
        <v>8.0</v>
      </c>
      <c r="H3192" s="9" t="s">
        <v>22</v>
      </c>
      <c r="I3192" s="9" t="s">
        <v>20</v>
      </c>
      <c r="J3192" s="10"/>
      <c r="K3192" s="14" t="s">
        <v>398</v>
      </c>
      <c r="N3192" s="14" t="str">
        <f>IFERROR(__xludf.DUMMYFUNCTION("""COMPUTED_VALUE"""),"")</f>
        <v/>
      </c>
      <c r="O3192" s="14"/>
    </row>
    <row r="3193" ht="22.5" hidden="1" customHeight="1">
      <c r="A3193" s="8">
        <v>46043.38447806713</v>
      </c>
      <c r="B3193" s="14">
        <v>46043.0</v>
      </c>
      <c r="C3193" s="9" t="s">
        <v>15</v>
      </c>
      <c r="D3193" s="9" t="s">
        <v>223</v>
      </c>
      <c r="E3193" s="9" t="s">
        <v>17</v>
      </c>
      <c r="F3193" s="9" t="s">
        <v>17</v>
      </c>
      <c r="G3193" s="9">
        <v>8.0</v>
      </c>
      <c r="H3193" s="9" t="s">
        <v>22</v>
      </c>
      <c r="I3193" s="9" t="s">
        <v>20</v>
      </c>
      <c r="J3193" s="10"/>
      <c r="K3193" s="14" t="s">
        <v>398</v>
      </c>
      <c r="N3193" s="14" t="str">
        <f>IFERROR(__xludf.DUMMYFUNCTION("""COMPUTED_VALUE"""),"")</f>
        <v/>
      </c>
      <c r="O3193" s="14"/>
    </row>
    <row r="3194" ht="22.5" hidden="1" customHeight="1">
      <c r="A3194" s="8">
        <v>46043.384770625</v>
      </c>
      <c r="B3194" s="14">
        <v>46043.0</v>
      </c>
      <c r="C3194" s="9" t="s">
        <v>15</v>
      </c>
      <c r="D3194" s="9" t="s">
        <v>249</v>
      </c>
      <c r="E3194" s="9" t="s">
        <v>44</v>
      </c>
      <c r="F3194" s="9" t="s">
        <v>18</v>
      </c>
      <c r="G3194" s="9" t="s">
        <v>409</v>
      </c>
      <c r="H3194" s="9" t="s">
        <v>22</v>
      </c>
      <c r="I3194" s="9" t="s">
        <v>20</v>
      </c>
      <c r="J3194" s="10"/>
      <c r="K3194" s="14" t="s">
        <v>398</v>
      </c>
      <c r="N3194" s="14" t="str">
        <f>IFERROR(__xludf.DUMMYFUNCTION("""COMPUTED_VALUE"""),"")</f>
        <v/>
      </c>
      <c r="O3194" s="14"/>
    </row>
    <row r="3195" ht="22.5" hidden="1" customHeight="1">
      <c r="A3195" s="8">
        <v>46043.3850916088</v>
      </c>
      <c r="B3195" s="14">
        <v>46043.0</v>
      </c>
      <c r="C3195" s="9" t="s">
        <v>15</v>
      </c>
      <c r="D3195" s="9" t="s">
        <v>350</v>
      </c>
      <c r="E3195" s="9" t="s">
        <v>17</v>
      </c>
      <c r="F3195" s="9" t="s">
        <v>17</v>
      </c>
      <c r="G3195" s="9">
        <v>8.0</v>
      </c>
      <c r="H3195" s="9" t="s">
        <v>22</v>
      </c>
      <c r="I3195" s="9" t="s">
        <v>20</v>
      </c>
      <c r="J3195" s="10"/>
      <c r="K3195" s="14" t="s">
        <v>398</v>
      </c>
      <c r="N3195" s="14" t="str">
        <f>IFERROR(__xludf.DUMMYFUNCTION("""COMPUTED_VALUE"""),"")</f>
        <v/>
      </c>
      <c r="O3195" s="14"/>
    </row>
    <row r="3196" ht="22.5" hidden="1" customHeight="1">
      <c r="A3196" s="8">
        <v>46043.385368414354</v>
      </c>
      <c r="B3196" s="14">
        <v>46043.0</v>
      </c>
      <c r="C3196" s="9" t="s">
        <v>15</v>
      </c>
      <c r="D3196" s="9" t="s">
        <v>357</v>
      </c>
      <c r="E3196" s="9" t="s">
        <v>17</v>
      </c>
      <c r="F3196" s="9" t="s">
        <v>17</v>
      </c>
      <c r="G3196" s="9">
        <v>7.0</v>
      </c>
      <c r="H3196" s="9" t="s">
        <v>22</v>
      </c>
      <c r="I3196" s="9" t="s">
        <v>20</v>
      </c>
      <c r="J3196" s="10"/>
      <c r="K3196" s="14" t="s">
        <v>398</v>
      </c>
      <c r="N3196" s="14" t="str">
        <f>IFERROR(__xludf.DUMMYFUNCTION("""COMPUTED_VALUE"""),"")</f>
        <v/>
      </c>
      <c r="O3196" s="14"/>
    </row>
    <row r="3197" ht="22.5" hidden="1" customHeight="1">
      <c r="A3197" s="8">
        <v>46043.38568121528</v>
      </c>
      <c r="B3197" s="14">
        <v>46043.0</v>
      </c>
      <c r="C3197" s="9" t="s">
        <v>15</v>
      </c>
      <c r="D3197" s="9" t="s">
        <v>393</v>
      </c>
      <c r="E3197" s="9" t="s">
        <v>17</v>
      </c>
      <c r="F3197" s="9" t="s">
        <v>17</v>
      </c>
      <c r="G3197" s="9">
        <v>8.0</v>
      </c>
      <c r="H3197" s="9" t="s">
        <v>22</v>
      </c>
      <c r="I3197" s="9" t="s">
        <v>20</v>
      </c>
      <c r="J3197" s="10"/>
      <c r="K3197" s="14" t="s">
        <v>398</v>
      </c>
      <c r="N3197" s="14" t="str">
        <f>IFERROR(__xludf.DUMMYFUNCTION("""COMPUTED_VALUE"""),"")</f>
        <v/>
      </c>
      <c r="O3197" s="14"/>
    </row>
    <row r="3198" ht="22.5" hidden="1" customHeight="1">
      <c r="A3198" s="8">
        <v>46043.385907199074</v>
      </c>
      <c r="B3198" s="14">
        <v>46043.0</v>
      </c>
      <c r="C3198" s="9" t="s">
        <v>15</v>
      </c>
      <c r="D3198" s="9" t="s">
        <v>413</v>
      </c>
      <c r="E3198" s="9" t="s">
        <v>17</v>
      </c>
      <c r="F3198" s="9" t="s">
        <v>17</v>
      </c>
      <c r="G3198" s="9">
        <v>7.0</v>
      </c>
      <c r="H3198" s="9" t="s">
        <v>22</v>
      </c>
      <c r="I3198" s="9" t="s">
        <v>20</v>
      </c>
      <c r="J3198" s="10"/>
      <c r="K3198" s="14" t="s">
        <v>398</v>
      </c>
      <c r="N3198" s="14" t="str">
        <f>IFERROR(__xludf.DUMMYFUNCTION("""COMPUTED_VALUE"""),"")</f>
        <v/>
      </c>
      <c r="O3198" s="14"/>
    </row>
    <row r="3199" ht="22.5" hidden="1" customHeight="1">
      <c r="A3199" s="8">
        <v>46043.390957083335</v>
      </c>
      <c r="B3199" s="14">
        <v>46043.0</v>
      </c>
      <c r="C3199" s="9" t="s">
        <v>15</v>
      </c>
      <c r="D3199" s="9" t="s">
        <v>105</v>
      </c>
      <c r="E3199" s="9" t="s">
        <v>17</v>
      </c>
      <c r="F3199" s="9" t="s">
        <v>17</v>
      </c>
      <c r="G3199" s="9">
        <v>8.0</v>
      </c>
      <c r="H3199" s="9" t="s">
        <v>22</v>
      </c>
      <c r="I3199" s="9" t="s">
        <v>20</v>
      </c>
      <c r="J3199" s="10"/>
      <c r="K3199" s="14" t="s">
        <v>398</v>
      </c>
      <c r="N3199" s="14" t="str">
        <f>IFERROR(__xludf.DUMMYFUNCTION("""COMPUTED_VALUE"""),"")</f>
        <v/>
      </c>
      <c r="O3199" s="14"/>
    </row>
    <row r="3200" ht="22.5" hidden="1" customHeight="1">
      <c r="A3200" s="8">
        <v>46043.39131960648</v>
      </c>
      <c r="B3200" s="14">
        <v>46043.0</v>
      </c>
      <c r="C3200" s="9" t="s">
        <v>15</v>
      </c>
      <c r="D3200" s="9" t="s">
        <v>257</v>
      </c>
      <c r="E3200" s="9" t="s">
        <v>17</v>
      </c>
      <c r="F3200" s="9" t="s">
        <v>17</v>
      </c>
      <c r="G3200" s="9">
        <v>8.0</v>
      </c>
      <c r="H3200" s="9" t="s">
        <v>22</v>
      </c>
      <c r="I3200" s="9" t="s">
        <v>20</v>
      </c>
      <c r="J3200" s="10"/>
      <c r="K3200" s="14" t="s">
        <v>398</v>
      </c>
      <c r="N3200" s="14" t="str">
        <f>IFERROR(__xludf.DUMMYFUNCTION("""COMPUTED_VALUE"""),"")</f>
        <v/>
      </c>
      <c r="O3200" s="14"/>
    </row>
    <row r="3201" ht="22.5" hidden="1" customHeight="1">
      <c r="A3201" s="8">
        <v>46043.39483365741</v>
      </c>
      <c r="B3201" s="14">
        <v>46043.0</v>
      </c>
      <c r="C3201" s="9" t="s">
        <v>15</v>
      </c>
      <c r="D3201" s="9" t="s">
        <v>408</v>
      </c>
      <c r="E3201" s="9" t="s">
        <v>17</v>
      </c>
      <c r="F3201" s="9" t="s">
        <v>17</v>
      </c>
      <c r="G3201" s="9">
        <v>8.0</v>
      </c>
      <c r="H3201" s="9" t="s">
        <v>22</v>
      </c>
      <c r="I3201" s="9" t="s">
        <v>20</v>
      </c>
      <c r="J3201" s="10"/>
      <c r="K3201" s="14" t="s">
        <v>398</v>
      </c>
      <c r="N3201" s="14" t="str">
        <f>IFERROR(__xludf.DUMMYFUNCTION("""COMPUTED_VALUE"""),"")</f>
        <v/>
      </c>
      <c r="O3201" s="14"/>
    </row>
    <row r="3202" ht="22.5" hidden="1" customHeight="1">
      <c r="A3202" s="8">
        <v>46043.3950659838</v>
      </c>
      <c r="B3202" s="14">
        <v>46043.0</v>
      </c>
      <c r="C3202" s="9" t="s">
        <v>15</v>
      </c>
      <c r="D3202" s="9" t="s">
        <v>369</v>
      </c>
      <c r="E3202" s="9" t="s">
        <v>17</v>
      </c>
      <c r="F3202" s="9" t="s">
        <v>17</v>
      </c>
      <c r="G3202" s="9">
        <v>8.0</v>
      </c>
      <c r="H3202" s="9" t="s">
        <v>22</v>
      </c>
      <c r="I3202" s="9" t="s">
        <v>20</v>
      </c>
      <c r="J3202" s="10"/>
      <c r="K3202" s="14" t="s">
        <v>398</v>
      </c>
      <c r="N3202" s="14" t="str">
        <f>IFERROR(__xludf.DUMMYFUNCTION("""COMPUTED_VALUE"""),"")</f>
        <v/>
      </c>
      <c r="O3202" s="14"/>
    </row>
    <row r="3203" ht="22.5" hidden="1" customHeight="1">
      <c r="A3203" s="8">
        <v>46043.39724334491</v>
      </c>
      <c r="B3203" s="14">
        <v>46043.0</v>
      </c>
      <c r="C3203" s="9" t="s">
        <v>15</v>
      </c>
      <c r="D3203" s="9" t="s">
        <v>412</v>
      </c>
      <c r="E3203" s="9" t="s">
        <v>17</v>
      </c>
      <c r="F3203" s="9" t="s">
        <v>17</v>
      </c>
      <c r="G3203" s="9">
        <v>8.0</v>
      </c>
      <c r="H3203" s="9" t="s">
        <v>22</v>
      </c>
      <c r="I3203" s="9" t="s">
        <v>20</v>
      </c>
      <c r="J3203" s="10"/>
      <c r="K3203" s="14" t="s">
        <v>398</v>
      </c>
      <c r="N3203" s="14" t="str">
        <f>IFERROR(__xludf.DUMMYFUNCTION("""COMPUTED_VALUE"""),"")</f>
        <v/>
      </c>
      <c r="O3203" s="14"/>
    </row>
    <row r="3204" ht="22.5" hidden="1" customHeight="1">
      <c r="A3204" s="8">
        <v>46043.40655611111</v>
      </c>
      <c r="B3204" s="14">
        <v>46043.0</v>
      </c>
      <c r="C3204" s="9" t="s">
        <v>15</v>
      </c>
      <c r="D3204" s="9" t="s">
        <v>168</v>
      </c>
      <c r="E3204" s="9" t="s">
        <v>17</v>
      </c>
      <c r="F3204" s="9" t="s">
        <v>17</v>
      </c>
      <c r="G3204" s="9">
        <v>8.0</v>
      </c>
      <c r="H3204" s="9" t="s">
        <v>22</v>
      </c>
      <c r="I3204" s="9" t="s">
        <v>20</v>
      </c>
      <c r="J3204" s="10"/>
      <c r="K3204" s="14" t="s">
        <v>398</v>
      </c>
      <c r="N3204" s="14" t="str">
        <f>IFERROR(__xludf.DUMMYFUNCTION("""COMPUTED_VALUE"""),"")</f>
        <v/>
      </c>
      <c r="O3204" s="14"/>
    </row>
    <row r="3205" ht="22.5" hidden="1" customHeight="1">
      <c r="A3205" s="8">
        <v>46043.40688740741</v>
      </c>
      <c r="B3205" s="14">
        <v>46043.0</v>
      </c>
      <c r="C3205" s="9" t="s">
        <v>15</v>
      </c>
      <c r="D3205" s="9" t="s">
        <v>396</v>
      </c>
      <c r="E3205" s="9" t="s">
        <v>17</v>
      </c>
      <c r="F3205" s="9" t="s">
        <v>17</v>
      </c>
      <c r="G3205" s="9">
        <v>7.0</v>
      </c>
      <c r="H3205" s="9" t="s">
        <v>22</v>
      </c>
      <c r="I3205" s="9" t="s">
        <v>20</v>
      </c>
      <c r="J3205" s="10"/>
      <c r="K3205" s="14" t="s">
        <v>398</v>
      </c>
      <c r="N3205" s="14" t="str">
        <f>IFERROR(__xludf.DUMMYFUNCTION("""COMPUTED_VALUE"""),"")</f>
        <v/>
      </c>
      <c r="O3205" s="14"/>
    </row>
    <row r="3206" ht="22.5" hidden="1" customHeight="1">
      <c r="A3206" s="8">
        <v>46043.40718537037</v>
      </c>
      <c r="B3206" s="14">
        <v>46043.0</v>
      </c>
      <c r="C3206" s="9" t="s">
        <v>15</v>
      </c>
      <c r="D3206" s="9" t="s">
        <v>247</v>
      </c>
      <c r="E3206" s="9" t="s">
        <v>17</v>
      </c>
      <c r="F3206" s="9" t="s">
        <v>17</v>
      </c>
      <c r="G3206" s="9">
        <v>7.0</v>
      </c>
      <c r="H3206" s="9" t="s">
        <v>22</v>
      </c>
      <c r="I3206" s="9" t="s">
        <v>20</v>
      </c>
      <c r="J3206" s="10"/>
      <c r="K3206" s="14" t="s">
        <v>398</v>
      </c>
      <c r="N3206" s="14" t="str">
        <f>IFERROR(__xludf.DUMMYFUNCTION("""COMPUTED_VALUE"""),"")</f>
        <v/>
      </c>
      <c r="O3206" s="14"/>
    </row>
    <row r="3207" ht="22.5" hidden="1" customHeight="1">
      <c r="A3207" s="8">
        <v>46043.40752328704</v>
      </c>
      <c r="B3207" s="14">
        <v>46043.0</v>
      </c>
      <c r="C3207" s="9" t="s">
        <v>15</v>
      </c>
      <c r="D3207" s="9" t="s">
        <v>367</v>
      </c>
      <c r="E3207" s="9" t="s">
        <v>17</v>
      </c>
      <c r="F3207" s="9" t="s">
        <v>17</v>
      </c>
      <c r="G3207" s="9">
        <v>7.0</v>
      </c>
      <c r="H3207" s="9" t="s">
        <v>22</v>
      </c>
      <c r="I3207" s="9" t="s">
        <v>20</v>
      </c>
      <c r="J3207" s="10"/>
      <c r="K3207" s="14" t="s">
        <v>398</v>
      </c>
      <c r="N3207" s="14" t="str">
        <f>IFERROR(__xludf.DUMMYFUNCTION("""COMPUTED_VALUE"""),"")</f>
        <v/>
      </c>
      <c r="O3207" s="14"/>
    </row>
    <row r="3208" ht="22.5" hidden="1" customHeight="1">
      <c r="A3208" s="8">
        <v>46043.40777662037</v>
      </c>
      <c r="B3208" s="14">
        <v>46043.0</v>
      </c>
      <c r="C3208" s="9" t="s">
        <v>15</v>
      </c>
      <c r="D3208" s="9" t="s">
        <v>170</v>
      </c>
      <c r="E3208" s="9" t="s">
        <v>17</v>
      </c>
      <c r="F3208" s="9" t="s">
        <v>17</v>
      </c>
      <c r="G3208" s="9">
        <v>8.0</v>
      </c>
      <c r="H3208" s="9" t="s">
        <v>22</v>
      </c>
      <c r="I3208" s="9" t="s">
        <v>20</v>
      </c>
      <c r="J3208" s="10"/>
      <c r="K3208" s="14" t="s">
        <v>398</v>
      </c>
      <c r="N3208" s="14" t="str">
        <f>IFERROR(__xludf.DUMMYFUNCTION("""COMPUTED_VALUE"""),"")</f>
        <v/>
      </c>
      <c r="O3208" s="14"/>
    </row>
    <row r="3209" ht="22.5" hidden="1" customHeight="1">
      <c r="A3209" s="8">
        <v>46044.37139516204</v>
      </c>
      <c r="B3209" s="14">
        <v>46044.0</v>
      </c>
      <c r="C3209" s="9" t="s">
        <v>31</v>
      </c>
      <c r="D3209" s="9" t="s">
        <v>258</v>
      </c>
      <c r="E3209" s="9" t="s">
        <v>17</v>
      </c>
      <c r="F3209" s="9" t="s">
        <v>17</v>
      </c>
      <c r="G3209" s="9">
        <v>8.0</v>
      </c>
      <c r="H3209" s="9" t="s">
        <v>22</v>
      </c>
      <c r="I3209" s="9" t="s">
        <v>20</v>
      </c>
      <c r="J3209" s="10"/>
      <c r="K3209" s="14" t="s">
        <v>398</v>
      </c>
      <c r="N3209" s="14" t="str">
        <f>IFERROR(__xludf.DUMMYFUNCTION("""COMPUTED_VALUE"""),"")</f>
        <v/>
      </c>
      <c r="O3209" s="14"/>
    </row>
    <row r="3210" ht="22.5" hidden="1" customHeight="1">
      <c r="A3210" s="8">
        <v>46044.37175755787</v>
      </c>
      <c r="B3210" s="14">
        <v>46044.0</v>
      </c>
      <c r="C3210" s="9" t="s">
        <v>31</v>
      </c>
      <c r="D3210" s="9" t="s">
        <v>280</v>
      </c>
      <c r="E3210" s="9" t="s">
        <v>17</v>
      </c>
      <c r="F3210" s="9" t="s">
        <v>17</v>
      </c>
      <c r="G3210" s="9">
        <v>8.0</v>
      </c>
      <c r="H3210" s="9" t="s">
        <v>22</v>
      </c>
      <c r="I3210" s="9" t="s">
        <v>20</v>
      </c>
      <c r="J3210" s="10"/>
      <c r="K3210" s="14" t="s">
        <v>398</v>
      </c>
      <c r="N3210" s="14" t="str">
        <f>IFERROR(__xludf.DUMMYFUNCTION("""COMPUTED_VALUE"""),"")</f>
        <v/>
      </c>
      <c r="O3210" s="14"/>
    </row>
    <row r="3211" ht="22.5" hidden="1" customHeight="1">
      <c r="A3211" s="8">
        <v>46044.37197753473</v>
      </c>
      <c r="B3211" s="14">
        <v>46044.0</v>
      </c>
      <c r="C3211" s="9" t="s">
        <v>31</v>
      </c>
      <c r="D3211" s="9" t="s">
        <v>249</v>
      </c>
      <c r="E3211" s="9" t="s">
        <v>17</v>
      </c>
      <c r="F3211" s="9" t="s">
        <v>17</v>
      </c>
      <c r="G3211" s="9">
        <v>8.0</v>
      </c>
      <c r="H3211" s="9" t="s">
        <v>22</v>
      </c>
      <c r="I3211" s="9" t="s">
        <v>20</v>
      </c>
      <c r="J3211" s="10"/>
      <c r="K3211" s="14" t="s">
        <v>398</v>
      </c>
      <c r="N3211" s="14" t="str">
        <f>IFERROR(__xludf.DUMMYFUNCTION("""COMPUTED_VALUE"""),"")</f>
        <v/>
      </c>
      <c r="O3211" s="14"/>
    </row>
    <row r="3212" ht="22.5" hidden="1" customHeight="1">
      <c r="A3212" s="8">
        <v>46044.372312314816</v>
      </c>
      <c r="B3212" s="14">
        <v>46044.0</v>
      </c>
      <c r="C3212" s="9" t="s">
        <v>31</v>
      </c>
      <c r="D3212" s="9" t="s">
        <v>350</v>
      </c>
      <c r="E3212" s="9" t="s">
        <v>17</v>
      </c>
      <c r="F3212" s="9" t="s">
        <v>17</v>
      </c>
      <c r="G3212" s="9">
        <v>8.0</v>
      </c>
      <c r="H3212" s="9" t="s">
        <v>22</v>
      </c>
      <c r="I3212" s="9" t="s">
        <v>20</v>
      </c>
      <c r="J3212" s="10"/>
      <c r="K3212" s="14" t="s">
        <v>398</v>
      </c>
      <c r="N3212" s="14" t="str">
        <f>IFERROR(__xludf.DUMMYFUNCTION("""COMPUTED_VALUE"""),"")</f>
        <v/>
      </c>
      <c r="O3212" s="14"/>
    </row>
    <row r="3213" ht="22.5" hidden="1" customHeight="1">
      <c r="A3213" s="8">
        <v>46044.38143361111</v>
      </c>
      <c r="B3213" s="14">
        <v>46044.0</v>
      </c>
      <c r="C3213" s="9" t="s">
        <v>31</v>
      </c>
      <c r="D3213" s="9" t="s">
        <v>396</v>
      </c>
      <c r="E3213" s="9" t="s">
        <v>17</v>
      </c>
      <c r="F3213" s="9" t="s">
        <v>17</v>
      </c>
      <c r="G3213" s="9">
        <v>7.0</v>
      </c>
      <c r="H3213" s="9" t="s">
        <v>25</v>
      </c>
      <c r="I3213" s="9" t="s">
        <v>363</v>
      </c>
      <c r="J3213" s="10"/>
      <c r="K3213" s="14" t="s">
        <v>398</v>
      </c>
      <c r="N3213" s="14" t="str">
        <f>IFERROR(__xludf.DUMMYFUNCTION("""COMPUTED_VALUE"""),"")</f>
        <v/>
      </c>
      <c r="O3213" s="14"/>
    </row>
    <row r="3214" ht="22.5" hidden="1" customHeight="1">
      <c r="A3214" s="8">
        <v>46044.38182581018</v>
      </c>
      <c r="B3214" s="14">
        <v>46044.0</v>
      </c>
      <c r="C3214" s="9" t="s">
        <v>31</v>
      </c>
      <c r="D3214" s="9" t="s">
        <v>171</v>
      </c>
      <c r="E3214" s="9" t="s">
        <v>17</v>
      </c>
      <c r="F3214" s="9" t="s">
        <v>17</v>
      </c>
      <c r="G3214" s="9">
        <v>8.0</v>
      </c>
      <c r="H3214" s="9" t="s">
        <v>25</v>
      </c>
      <c r="I3214" s="9" t="s">
        <v>20</v>
      </c>
      <c r="J3214" s="10"/>
      <c r="K3214" s="14" t="s">
        <v>398</v>
      </c>
      <c r="N3214" s="14" t="str">
        <f>IFERROR(__xludf.DUMMYFUNCTION("""COMPUTED_VALUE"""),"")</f>
        <v/>
      </c>
      <c r="O3214" s="14"/>
    </row>
    <row r="3215" ht="22.5" hidden="1" customHeight="1">
      <c r="A3215" s="8">
        <v>46044.38204655093</v>
      </c>
      <c r="B3215" s="14">
        <v>46044.0</v>
      </c>
      <c r="C3215" s="9" t="s">
        <v>31</v>
      </c>
      <c r="D3215" s="9" t="s">
        <v>280</v>
      </c>
      <c r="E3215" s="9" t="s">
        <v>17</v>
      </c>
      <c r="F3215" s="9" t="s">
        <v>17</v>
      </c>
      <c r="G3215" s="9">
        <v>7.0</v>
      </c>
      <c r="H3215" s="9" t="s">
        <v>22</v>
      </c>
      <c r="I3215" s="9" t="s">
        <v>20</v>
      </c>
      <c r="J3215" s="10"/>
      <c r="K3215" s="14" t="s">
        <v>398</v>
      </c>
      <c r="N3215" s="14" t="str">
        <f>IFERROR(__xludf.DUMMYFUNCTION("""COMPUTED_VALUE"""),"")</f>
        <v/>
      </c>
      <c r="O3215" s="14"/>
    </row>
    <row r="3216" ht="22.5" hidden="1" customHeight="1">
      <c r="A3216" s="8">
        <v>46044.38224290509</v>
      </c>
      <c r="B3216" s="14">
        <v>46044.0</v>
      </c>
      <c r="C3216" s="9" t="s">
        <v>31</v>
      </c>
      <c r="D3216" s="9" t="s">
        <v>247</v>
      </c>
      <c r="E3216" s="9" t="s">
        <v>17</v>
      </c>
      <c r="F3216" s="9" t="s">
        <v>17</v>
      </c>
      <c r="G3216" s="9">
        <v>8.0</v>
      </c>
      <c r="H3216" s="9" t="s">
        <v>22</v>
      </c>
      <c r="I3216" s="9" t="s">
        <v>20</v>
      </c>
      <c r="J3216" s="10"/>
      <c r="K3216" s="14" t="s">
        <v>398</v>
      </c>
      <c r="N3216" s="14" t="str">
        <f>IFERROR(__xludf.DUMMYFUNCTION("""COMPUTED_VALUE"""),"")</f>
        <v/>
      </c>
      <c r="O3216" s="14"/>
    </row>
    <row r="3217" ht="22.5" hidden="1" customHeight="1">
      <c r="A3217" s="8">
        <v>46044.382568877314</v>
      </c>
      <c r="B3217" s="14">
        <v>46044.0</v>
      </c>
      <c r="C3217" s="9" t="s">
        <v>31</v>
      </c>
      <c r="D3217" s="9" t="s">
        <v>350</v>
      </c>
      <c r="E3217" s="9" t="s">
        <v>17</v>
      </c>
      <c r="F3217" s="9" t="s">
        <v>17</v>
      </c>
      <c r="G3217" s="9">
        <v>8.0</v>
      </c>
      <c r="H3217" s="9" t="s">
        <v>22</v>
      </c>
      <c r="I3217" s="9" t="s">
        <v>20</v>
      </c>
      <c r="J3217" s="10"/>
      <c r="K3217" s="14" t="s">
        <v>398</v>
      </c>
      <c r="N3217" s="14" t="str">
        <f>IFERROR(__xludf.DUMMYFUNCTION("""COMPUTED_VALUE"""),"")</f>
        <v/>
      </c>
      <c r="O3217" s="14"/>
    </row>
    <row r="3218" ht="22.5" hidden="1" customHeight="1">
      <c r="A3218" s="8">
        <v>46044.382864375</v>
      </c>
      <c r="B3218" s="14">
        <v>46044.0</v>
      </c>
      <c r="C3218" s="9" t="s">
        <v>31</v>
      </c>
      <c r="D3218" s="9" t="s">
        <v>357</v>
      </c>
      <c r="E3218" s="9" t="s">
        <v>17</v>
      </c>
      <c r="F3218" s="9" t="s">
        <v>17</v>
      </c>
      <c r="G3218" s="9">
        <v>8.0</v>
      </c>
      <c r="H3218" s="9" t="s">
        <v>22</v>
      </c>
      <c r="I3218" s="9" t="s">
        <v>20</v>
      </c>
      <c r="J3218" s="10"/>
      <c r="K3218" s="14" t="s">
        <v>398</v>
      </c>
      <c r="N3218" s="14" t="str">
        <f>IFERROR(__xludf.DUMMYFUNCTION("""COMPUTED_VALUE"""),"")</f>
        <v/>
      </c>
      <c r="O3218" s="14"/>
    </row>
    <row r="3219" ht="22.5" hidden="1" customHeight="1">
      <c r="A3219" s="8">
        <v>46044.38311569444</v>
      </c>
      <c r="B3219" s="14">
        <v>46044.0</v>
      </c>
      <c r="C3219" s="9" t="s">
        <v>31</v>
      </c>
      <c r="D3219" s="9" t="s">
        <v>393</v>
      </c>
      <c r="E3219" s="9" t="s">
        <v>17</v>
      </c>
      <c r="F3219" s="9" t="s">
        <v>17</v>
      </c>
      <c r="G3219" s="9">
        <v>8.0</v>
      </c>
      <c r="H3219" s="9" t="s">
        <v>22</v>
      </c>
      <c r="I3219" s="9" t="s">
        <v>20</v>
      </c>
      <c r="J3219" s="10"/>
      <c r="K3219" s="14" t="s">
        <v>398</v>
      </c>
      <c r="N3219" s="14" t="str">
        <f>IFERROR(__xludf.DUMMYFUNCTION("""COMPUTED_VALUE"""),"")</f>
        <v/>
      </c>
      <c r="O3219" s="14"/>
    </row>
    <row r="3220" ht="22.5" hidden="1" customHeight="1">
      <c r="A3220" s="8">
        <v>46044.38347880787</v>
      </c>
      <c r="B3220" s="14">
        <v>46044.0</v>
      </c>
      <c r="C3220" s="9" t="s">
        <v>31</v>
      </c>
      <c r="D3220" s="9" t="s">
        <v>408</v>
      </c>
      <c r="E3220" s="9" t="s">
        <v>17</v>
      </c>
      <c r="F3220" s="9" t="s">
        <v>17</v>
      </c>
      <c r="G3220" s="9">
        <v>8.0</v>
      </c>
      <c r="H3220" s="9" t="s">
        <v>22</v>
      </c>
      <c r="I3220" s="9" t="s">
        <v>20</v>
      </c>
      <c r="J3220" s="10"/>
      <c r="K3220" s="14" t="s">
        <v>398</v>
      </c>
      <c r="N3220" s="14" t="str">
        <f>IFERROR(__xludf.DUMMYFUNCTION("""COMPUTED_VALUE"""),"")</f>
        <v/>
      </c>
      <c r="O3220" s="14"/>
    </row>
    <row r="3221" ht="22.5" hidden="1" customHeight="1">
      <c r="A3221" s="8">
        <v>46044.38698657407</v>
      </c>
      <c r="B3221" s="14">
        <v>46044.0</v>
      </c>
      <c r="C3221" s="9" t="s">
        <v>31</v>
      </c>
      <c r="D3221" s="9" t="s">
        <v>369</v>
      </c>
      <c r="E3221" s="9" t="s">
        <v>17</v>
      </c>
      <c r="F3221" s="9" t="s">
        <v>17</v>
      </c>
      <c r="G3221" s="9">
        <v>8.0</v>
      </c>
      <c r="H3221" s="9" t="s">
        <v>25</v>
      </c>
      <c r="I3221" s="9" t="s">
        <v>37</v>
      </c>
      <c r="J3221" s="10"/>
      <c r="K3221" s="14" t="s">
        <v>398</v>
      </c>
      <c r="N3221" s="14" t="str">
        <f>IFERROR(__xludf.DUMMYFUNCTION("""COMPUTED_VALUE"""),"")</f>
        <v/>
      </c>
      <c r="O3221" s="14"/>
    </row>
    <row r="3222" ht="22.5" hidden="1" customHeight="1">
      <c r="A3222" s="8">
        <v>46044.38721710649</v>
      </c>
      <c r="B3222" s="14">
        <v>46044.0</v>
      </c>
      <c r="C3222" s="9" t="s">
        <v>31</v>
      </c>
      <c r="D3222" s="9" t="s">
        <v>413</v>
      </c>
      <c r="E3222" s="9" t="s">
        <v>17</v>
      </c>
      <c r="F3222" s="9" t="s">
        <v>17</v>
      </c>
      <c r="G3222" s="9">
        <v>8.0</v>
      </c>
      <c r="H3222" s="9" t="s">
        <v>22</v>
      </c>
      <c r="I3222" s="9" t="s">
        <v>20</v>
      </c>
      <c r="J3222" s="10"/>
      <c r="K3222" s="14" t="s">
        <v>398</v>
      </c>
      <c r="N3222" s="14" t="str">
        <f>IFERROR(__xludf.DUMMYFUNCTION("""COMPUTED_VALUE"""),"")</f>
        <v/>
      </c>
      <c r="O3222" s="14"/>
    </row>
    <row r="3223" ht="22.5" hidden="1" customHeight="1">
      <c r="A3223" s="8">
        <v>46044.38767085648</v>
      </c>
      <c r="B3223" s="14">
        <v>46044.0</v>
      </c>
      <c r="C3223" s="9" t="s">
        <v>31</v>
      </c>
      <c r="D3223" s="9" t="s">
        <v>223</v>
      </c>
      <c r="E3223" s="9" t="s">
        <v>17</v>
      </c>
      <c r="F3223" s="9" t="s">
        <v>17</v>
      </c>
      <c r="G3223" s="9">
        <v>8.0</v>
      </c>
      <c r="H3223" s="9" t="s">
        <v>22</v>
      </c>
      <c r="I3223" s="9" t="s">
        <v>20</v>
      </c>
      <c r="J3223" s="10"/>
      <c r="K3223" s="14" t="s">
        <v>398</v>
      </c>
      <c r="N3223" s="14" t="str">
        <f>IFERROR(__xludf.DUMMYFUNCTION("""COMPUTED_VALUE"""),"")</f>
        <v/>
      </c>
      <c r="O3223" s="14"/>
    </row>
    <row r="3224" ht="22.5" hidden="1" customHeight="1">
      <c r="A3224" s="8">
        <v>46044.388259942134</v>
      </c>
      <c r="B3224" s="14">
        <v>46044.0</v>
      </c>
      <c r="C3224" s="9" t="s">
        <v>31</v>
      </c>
      <c r="D3224" s="9" t="s">
        <v>257</v>
      </c>
      <c r="E3224" s="9" t="s">
        <v>17</v>
      </c>
      <c r="F3224" s="9" t="s">
        <v>17</v>
      </c>
      <c r="G3224" s="9">
        <v>8.0</v>
      </c>
      <c r="H3224" s="9" t="s">
        <v>22</v>
      </c>
      <c r="I3224" s="9" t="s">
        <v>20</v>
      </c>
      <c r="J3224" s="10"/>
      <c r="K3224" s="14" t="s">
        <v>398</v>
      </c>
      <c r="N3224" s="14" t="str">
        <f>IFERROR(__xludf.DUMMYFUNCTION("""COMPUTED_VALUE"""),"")</f>
        <v/>
      </c>
      <c r="O3224" s="14"/>
    </row>
    <row r="3225" ht="22.5" hidden="1" customHeight="1">
      <c r="A3225" s="8">
        <v>46044.38866578703</v>
      </c>
      <c r="B3225" s="14">
        <v>46044.0</v>
      </c>
      <c r="C3225" s="9" t="s">
        <v>31</v>
      </c>
      <c r="D3225" s="9" t="s">
        <v>175</v>
      </c>
      <c r="E3225" s="9" t="s">
        <v>17</v>
      </c>
      <c r="F3225" s="9" t="s">
        <v>17</v>
      </c>
      <c r="G3225" s="9">
        <v>8.0</v>
      </c>
      <c r="H3225" s="9" t="s">
        <v>25</v>
      </c>
      <c r="I3225" s="9" t="s">
        <v>207</v>
      </c>
      <c r="J3225" s="10"/>
      <c r="K3225" s="14" t="s">
        <v>398</v>
      </c>
      <c r="N3225" s="14" t="str">
        <f>IFERROR(__xludf.DUMMYFUNCTION("""COMPUTED_VALUE"""),"")</f>
        <v/>
      </c>
      <c r="O3225" s="14"/>
    </row>
    <row r="3226" ht="22.5" hidden="1" customHeight="1">
      <c r="A3226" s="8">
        <v>46044.39212153935</v>
      </c>
      <c r="B3226" s="14">
        <v>46044.0</v>
      </c>
      <c r="C3226" s="9" t="s">
        <v>31</v>
      </c>
      <c r="D3226" s="9" t="s">
        <v>170</v>
      </c>
      <c r="E3226" s="9" t="s">
        <v>17</v>
      </c>
      <c r="F3226" s="9" t="s">
        <v>17</v>
      </c>
      <c r="G3226" s="9">
        <v>8.0</v>
      </c>
      <c r="H3226" s="9" t="s">
        <v>25</v>
      </c>
      <c r="I3226" s="9" t="s">
        <v>28</v>
      </c>
      <c r="J3226" s="10"/>
      <c r="K3226" s="14" t="s">
        <v>398</v>
      </c>
      <c r="N3226" s="14" t="str">
        <f>IFERROR(__xludf.DUMMYFUNCTION("""COMPUTED_VALUE"""),"")</f>
        <v/>
      </c>
      <c r="O3226" s="14"/>
    </row>
    <row r="3227" ht="22.5" hidden="1" customHeight="1">
      <c r="A3227" s="8">
        <v>46044.392414166665</v>
      </c>
      <c r="B3227" s="14">
        <v>46044.0</v>
      </c>
      <c r="C3227" s="9" t="s">
        <v>31</v>
      </c>
      <c r="D3227" s="9" t="s">
        <v>174</v>
      </c>
      <c r="E3227" s="9" t="s">
        <v>17</v>
      </c>
      <c r="F3227" s="9" t="s">
        <v>17</v>
      </c>
      <c r="G3227" s="9">
        <v>8.0</v>
      </c>
      <c r="H3227" s="9" t="s">
        <v>22</v>
      </c>
      <c r="I3227" s="9" t="s">
        <v>20</v>
      </c>
      <c r="J3227" s="10"/>
      <c r="K3227" s="14" t="s">
        <v>398</v>
      </c>
      <c r="N3227" s="14" t="str">
        <f>IFERROR(__xludf.DUMMYFUNCTION("""COMPUTED_VALUE"""),"")</f>
        <v/>
      </c>
      <c r="O3227" s="14"/>
    </row>
    <row r="3228" ht="22.5" hidden="1" customHeight="1">
      <c r="A3228" s="8">
        <v>46044.39268262732</v>
      </c>
      <c r="B3228" s="14">
        <v>46044.0</v>
      </c>
      <c r="C3228" s="9" t="s">
        <v>31</v>
      </c>
      <c r="D3228" s="9" t="s">
        <v>105</v>
      </c>
      <c r="E3228" s="9" t="s">
        <v>17</v>
      </c>
      <c r="F3228" s="9" t="s">
        <v>17</v>
      </c>
      <c r="G3228" s="9">
        <v>8.0</v>
      </c>
      <c r="H3228" s="9" t="s">
        <v>22</v>
      </c>
      <c r="I3228" s="9" t="s">
        <v>20</v>
      </c>
      <c r="J3228" s="10"/>
      <c r="K3228" s="14" t="s">
        <v>398</v>
      </c>
      <c r="N3228" s="14" t="str">
        <f>IFERROR(__xludf.DUMMYFUNCTION("""COMPUTED_VALUE"""),"")</f>
        <v/>
      </c>
      <c r="O3228" s="14"/>
    </row>
    <row r="3229" ht="22.5" hidden="1" customHeight="1">
      <c r="A3229" s="8">
        <v>46044.39288237269</v>
      </c>
      <c r="B3229" s="14">
        <v>46044.0</v>
      </c>
      <c r="C3229" s="9" t="s">
        <v>31</v>
      </c>
      <c r="D3229" s="9" t="s">
        <v>177</v>
      </c>
      <c r="E3229" s="9" t="s">
        <v>17</v>
      </c>
      <c r="F3229" s="9" t="s">
        <v>17</v>
      </c>
      <c r="G3229" s="9">
        <v>8.0</v>
      </c>
      <c r="H3229" s="9" t="s">
        <v>22</v>
      </c>
      <c r="I3229" s="9" t="s">
        <v>20</v>
      </c>
      <c r="J3229" s="10"/>
      <c r="K3229" s="14" t="s">
        <v>398</v>
      </c>
      <c r="N3229" s="14" t="str">
        <f>IFERROR(__xludf.DUMMYFUNCTION("""COMPUTED_VALUE"""),"")</f>
        <v/>
      </c>
      <c r="O3229" s="14"/>
    </row>
    <row r="3230" ht="22.5" hidden="1" customHeight="1">
      <c r="A3230" s="8">
        <v>46044.40234101852</v>
      </c>
      <c r="B3230" s="14">
        <v>46044.0</v>
      </c>
      <c r="C3230" s="9" t="s">
        <v>31</v>
      </c>
      <c r="D3230" s="9" t="s">
        <v>335</v>
      </c>
      <c r="E3230" s="9" t="s">
        <v>17</v>
      </c>
      <c r="F3230" s="9" t="s">
        <v>35</v>
      </c>
      <c r="G3230" s="9" t="s">
        <v>409</v>
      </c>
      <c r="H3230" s="9" t="s">
        <v>25</v>
      </c>
      <c r="I3230" s="9" t="s">
        <v>211</v>
      </c>
      <c r="J3230" s="10"/>
      <c r="K3230" s="14" t="s">
        <v>398</v>
      </c>
      <c r="N3230" s="14" t="str">
        <f>IFERROR(__xludf.DUMMYFUNCTION("""COMPUTED_VALUE"""),"")</f>
        <v/>
      </c>
      <c r="O3230" s="14"/>
    </row>
    <row r="3231" ht="22.5" hidden="1" customHeight="1">
      <c r="A3231" s="8">
        <v>46044.40363011574</v>
      </c>
      <c r="B3231" s="14">
        <v>46044.0</v>
      </c>
      <c r="C3231" s="9" t="s">
        <v>31</v>
      </c>
      <c r="D3231" s="9" t="s">
        <v>168</v>
      </c>
      <c r="E3231" s="9" t="s">
        <v>17</v>
      </c>
      <c r="F3231" s="9" t="s">
        <v>17</v>
      </c>
      <c r="G3231" s="9">
        <v>8.0</v>
      </c>
      <c r="H3231" s="9" t="s">
        <v>22</v>
      </c>
      <c r="I3231" s="9" t="s">
        <v>20</v>
      </c>
      <c r="J3231" s="10"/>
      <c r="K3231" s="14" t="s">
        <v>398</v>
      </c>
      <c r="N3231" s="14" t="str">
        <f>IFERROR(__xludf.DUMMYFUNCTION("""COMPUTED_VALUE"""),"")</f>
        <v/>
      </c>
      <c r="O3231" s="14"/>
    </row>
    <row r="3232" ht="22.5" hidden="1" customHeight="1">
      <c r="A3232" s="8">
        <v>46044.40411939815</v>
      </c>
      <c r="B3232" s="14">
        <v>46044.0</v>
      </c>
      <c r="C3232" s="9" t="s">
        <v>31</v>
      </c>
      <c r="D3232" s="9" t="s">
        <v>259</v>
      </c>
      <c r="E3232" s="9" t="s">
        <v>30</v>
      </c>
      <c r="F3232" s="9" t="s">
        <v>18</v>
      </c>
      <c r="G3232" s="9" t="s">
        <v>409</v>
      </c>
      <c r="H3232" s="9" t="s">
        <v>22</v>
      </c>
      <c r="I3232" s="9" t="s">
        <v>20</v>
      </c>
      <c r="J3232" s="10"/>
      <c r="K3232" s="14" t="s">
        <v>398</v>
      </c>
      <c r="N3232" s="14" t="str">
        <f>IFERROR(__xludf.DUMMYFUNCTION("""COMPUTED_VALUE"""),"")</f>
        <v/>
      </c>
      <c r="O3232" s="14"/>
    </row>
    <row r="3233" ht="22.5" hidden="1" customHeight="1">
      <c r="A3233" s="8">
        <v>46044.40872364583</v>
      </c>
      <c r="B3233" s="14">
        <v>46044.0</v>
      </c>
      <c r="C3233" s="9" t="s">
        <v>31</v>
      </c>
      <c r="D3233" s="9" t="s">
        <v>367</v>
      </c>
      <c r="E3233" s="9" t="s">
        <v>17</v>
      </c>
      <c r="F3233" s="9" t="s">
        <v>17</v>
      </c>
      <c r="G3233" s="9">
        <v>8.0</v>
      </c>
      <c r="H3233" s="9" t="s">
        <v>22</v>
      </c>
      <c r="I3233" s="9" t="s">
        <v>20</v>
      </c>
      <c r="J3233" s="10"/>
      <c r="K3233" s="14" t="s">
        <v>398</v>
      </c>
      <c r="N3233" s="14" t="str">
        <f>IFERROR(__xludf.DUMMYFUNCTION("""COMPUTED_VALUE"""),"")</f>
        <v/>
      </c>
      <c r="O3233" s="14"/>
    </row>
    <row r="3234" ht="22.5" hidden="1" customHeight="1">
      <c r="A3234" s="8">
        <v>46044.41027474537</v>
      </c>
      <c r="B3234" s="14">
        <v>46044.0</v>
      </c>
      <c r="C3234" s="9" t="s">
        <v>31</v>
      </c>
      <c r="D3234" s="9" t="s">
        <v>397</v>
      </c>
      <c r="E3234" s="9" t="s">
        <v>17</v>
      </c>
      <c r="F3234" s="9" t="s">
        <v>17</v>
      </c>
      <c r="G3234" s="9">
        <v>7.0</v>
      </c>
      <c r="H3234" s="9" t="s">
        <v>22</v>
      </c>
      <c r="I3234" s="9" t="s">
        <v>20</v>
      </c>
      <c r="J3234" s="10"/>
      <c r="K3234" s="14" t="s">
        <v>398</v>
      </c>
      <c r="N3234" s="14" t="str">
        <f>IFERROR(__xludf.DUMMYFUNCTION("""COMPUTED_VALUE"""),"")</f>
        <v/>
      </c>
      <c r="O3234" s="14"/>
    </row>
    <row r="3235" ht="22.5" hidden="1" customHeight="1">
      <c r="A3235" s="8">
        <v>46045.40058526621</v>
      </c>
      <c r="B3235" s="14">
        <v>46045.0</v>
      </c>
      <c r="C3235" s="9" t="s">
        <v>48</v>
      </c>
      <c r="D3235" s="9" t="s">
        <v>171</v>
      </c>
      <c r="E3235" s="9" t="s">
        <v>17</v>
      </c>
      <c r="F3235" s="9" t="s">
        <v>43</v>
      </c>
      <c r="G3235" s="9">
        <v>7.0</v>
      </c>
      <c r="H3235" s="9" t="s">
        <v>25</v>
      </c>
      <c r="I3235" s="9" t="s">
        <v>20</v>
      </c>
      <c r="J3235" s="10"/>
      <c r="K3235" s="14" t="s">
        <v>398</v>
      </c>
      <c r="N3235" s="14" t="str">
        <f>IFERROR(__xludf.DUMMYFUNCTION("""COMPUTED_VALUE"""),"")</f>
        <v/>
      </c>
      <c r="O3235" s="14"/>
    </row>
    <row r="3236" ht="22.5" hidden="1" customHeight="1">
      <c r="A3236" s="8">
        <v>46045.40097103009</v>
      </c>
      <c r="B3236" s="14">
        <v>46045.0</v>
      </c>
      <c r="C3236" s="9" t="s">
        <v>48</v>
      </c>
      <c r="D3236" s="9" t="s">
        <v>168</v>
      </c>
      <c r="E3236" s="9" t="s">
        <v>17</v>
      </c>
      <c r="F3236" s="9" t="s">
        <v>17</v>
      </c>
      <c r="G3236" s="9">
        <v>8.0</v>
      </c>
      <c r="H3236" s="9" t="s">
        <v>22</v>
      </c>
      <c r="I3236" s="9" t="s">
        <v>20</v>
      </c>
      <c r="J3236" s="10"/>
      <c r="K3236" s="14">
        <v>4.0</v>
      </c>
      <c r="N3236" s="14" t="str">
        <f>IFERROR(__xludf.DUMMYFUNCTION("""COMPUTED_VALUE"""),"")</f>
        <v/>
      </c>
      <c r="O3236" s="14"/>
    </row>
    <row r="3237" ht="22.5" hidden="1" customHeight="1">
      <c r="A3237" s="8">
        <v>46045.40107111111</v>
      </c>
      <c r="B3237" s="14">
        <v>46045.0</v>
      </c>
      <c r="C3237" s="9" t="s">
        <v>48</v>
      </c>
      <c r="D3237" s="9" t="s">
        <v>177</v>
      </c>
      <c r="E3237" s="9" t="s">
        <v>17</v>
      </c>
      <c r="F3237" s="9" t="s">
        <v>17</v>
      </c>
      <c r="G3237" s="9">
        <v>8.0</v>
      </c>
      <c r="H3237" s="9" t="s">
        <v>17</v>
      </c>
      <c r="I3237" s="9" t="s">
        <v>20</v>
      </c>
      <c r="J3237" s="10"/>
      <c r="K3237" s="14">
        <v>6.0</v>
      </c>
      <c r="N3237" s="14" t="str">
        <f>IFERROR(__xludf.DUMMYFUNCTION("""COMPUTED_VALUE"""),"")</f>
        <v/>
      </c>
      <c r="O3237" s="14"/>
    </row>
    <row r="3238" ht="22.5" hidden="1" customHeight="1">
      <c r="A3238" s="8">
        <v>46045.401450439815</v>
      </c>
      <c r="B3238" s="14">
        <v>46045.0</v>
      </c>
      <c r="C3238" s="9" t="s">
        <v>48</v>
      </c>
      <c r="D3238" s="9" t="s">
        <v>170</v>
      </c>
      <c r="E3238" s="9" t="s">
        <v>17</v>
      </c>
      <c r="F3238" s="9" t="s">
        <v>17</v>
      </c>
      <c r="G3238" s="9">
        <v>8.0</v>
      </c>
      <c r="H3238" s="9" t="s">
        <v>17</v>
      </c>
      <c r="I3238" s="9" t="s">
        <v>20</v>
      </c>
      <c r="J3238" s="10"/>
      <c r="K3238" s="14">
        <v>3.0</v>
      </c>
      <c r="N3238" s="14" t="str">
        <f>IFERROR(__xludf.DUMMYFUNCTION("""COMPUTED_VALUE"""),"")</f>
        <v/>
      </c>
      <c r="O3238" s="14"/>
    </row>
    <row r="3239" ht="22.5" hidden="1" customHeight="1">
      <c r="A3239" s="8">
        <v>46045.401487615745</v>
      </c>
      <c r="B3239" s="14">
        <v>46045.0</v>
      </c>
      <c r="C3239" s="9" t="s">
        <v>48</v>
      </c>
      <c r="D3239" s="9" t="s">
        <v>369</v>
      </c>
      <c r="E3239" s="9" t="s">
        <v>46</v>
      </c>
      <c r="F3239" s="9" t="s">
        <v>60</v>
      </c>
      <c r="G3239" s="9">
        <v>6.0</v>
      </c>
      <c r="H3239" s="9" t="s">
        <v>22</v>
      </c>
      <c r="I3239" s="9" t="s">
        <v>20</v>
      </c>
      <c r="J3239" s="10"/>
      <c r="K3239" s="14">
        <v>6.0</v>
      </c>
      <c r="N3239" s="14" t="str">
        <f>IFERROR(__xludf.DUMMYFUNCTION("""COMPUTED_VALUE"""),"")</f>
        <v/>
      </c>
      <c r="O3239" s="14"/>
    </row>
    <row r="3240" ht="22.5" hidden="1" customHeight="1">
      <c r="A3240" s="8">
        <v>46045.40207166667</v>
      </c>
      <c r="B3240" s="14">
        <v>46045.0</v>
      </c>
      <c r="C3240" s="9" t="s">
        <v>48</v>
      </c>
      <c r="D3240" s="9" t="s">
        <v>105</v>
      </c>
      <c r="E3240" s="9" t="s">
        <v>17</v>
      </c>
      <c r="F3240" s="9" t="s">
        <v>17</v>
      </c>
      <c r="G3240" s="9">
        <v>8.0</v>
      </c>
      <c r="H3240" s="9" t="s">
        <v>17</v>
      </c>
      <c r="I3240" s="9" t="s">
        <v>20</v>
      </c>
      <c r="J3240" s="10"/>
      <c r="K3240" s="14" t="s">
        <v>398</v>
      </c>
      <c r="N3240" s="14" t="str">
        <f>IFERROR(__xludf.DUMMYFUNCTION("""COMPUTED_VALUE"""),"")</f>
        <v/>
      </c>
      <c r="O3240" s="14"/>
    </row>
    <row r="3241" ht="22.5" hidden="1" customHeight="1">
      <c r="A3241" s="8">
        <v>46045.402354652775</v>
      </c>
      <c r="B3241" s="14">
        <v>46045.0</v>
      </c>
      <c r="C3241" s="9" t="s">
        <v>48</v>
      </c>
      <c r="D3241" s="9" t="s">
        <v>367</v>
      </c>
      <c r="E3241" s="9" t="s">
        <v>17</v>
      </c>
      <c r="F3241" s="9" t="s">
        <v>17</v>
      </c>
      <c r="G3241" s="9">
        <v>7.0</v>
      </c>
      <c r="H3241" s="9" t="s">
        <v>22</v>
      </c>
      <c r="I3241" s="9" t="s">
        <v>20</v>
      </c>
      <c r="J3241" s="10"/>
      <c r="K3241" s="14">
        <v>4.0</v>
      </c>
      <c r="N3241" s="14" t="str">
        <f>IFERROR(__xludf.DUMMYFUNCTION("""COMPUTED_VALUE"""),"")</f>
        <v/>
      </c>
      <c r="O3241" s="14"/>
    </row>
    <row r="3242" ht="22.5" hidden="1" customHeight="1">
      <c r="A3242" s="8">
        <v>46045.402739178244</v>
      </c>
      <c r="B3242" s="14">
        <v>46045.0</v>
      </c>
      <c r="C3242" s="9" t="s">
        <v>48</v>
      </c>
      <c r="D3242" s="9" t="s">
        <v>174</v>
      </c>
      <c r="E3242" s="9" t="s">
        <v>17</v>
      </c>
      <c r="F3242" s="9" t="s">
        <v>17</v>
      </c>
      <c r="G3242" s="9">
        <v>8.0</v>
      </c>
      <c r="H3242" s="9" t="s">
        <v>17</v>
      </c>
      <c r="I3242" s="9" t="s">
        <v>20</v>
      </c>
      <c r="J3242" s="10"/>
      <c r="K3242" s="14">
        <v>3.0</v>
      </c>
      <c r="N3242" s="14" t="str">
        <f>IFERROR(__xludf.DUMMYFUNCTION("""COMPUTED_VALUE"""),"")</f>
        <v/>
      </c>
      <c r="O3242" s="14"/>
    </row>
    <row r="3243" ht="22.5" hidden="1" customHeight="1">
      <c r="A3243" s="8">
        <v>46045.403346736115</v>
      </c>
      <c r="B3243" s="14">
        <v>46045.0</v>
      </c>
      <c r="C3243" s="9" t="s">
        <v>48</v>
      </c>
      <c r="D3243" s="9" t="s">
        <v>413</v>
      </c>
      <c r="E3243" s="9" t="s">
        <v>17</v>
      </c>
      <c r="F3243" s="9" t="s">
        <v>17</v>
      </c>
      <c r="G3243" s="9">
        <v>8.0</v>
      </c>
      <c r="H3243" s="9" t="s">
        <v>17</v>
      </c>
      <c r="I3243" s="9" t="s">
        <v>20</v>
      </c>
      <c r="J3243" s="10"/>
      <c r="K3243" s="14" t="s">
        <v>398</v>
      </c>
      <c r="N3243" s="14" t="str">
        <f>IFERROR(__xludf.DUMMYFUNCTION("""COMPUTED_VALUE"""),"")</f>
        <v/>
      </c>
      <c r="O3243" s="14"/>
    </row>
    <row r="3244" ht="22.5" hidden="1" customHeight="1">
      <c r="A3244" s="8">
        <v>46045.40355289352</v>
      </c>
      <c r="B3244" s="14">
        <v>46045.0</v>
      </c>
      <c r="C3244" s="9" t="s">
        <v>48</v>
      </c>
      <c r="D3244" s="9" t="s">
        <v>259</v>
      </c>
      <c r="E3244" s="9" t="s">
        <v>17</v>
      </c>
      <c r="F3244" s="9" t="s">
        <v>17</v>
      </c>
      <c r="G3244" s="9" t="s">
        <v>409</v>
      </c>
      <c r="H3244" s="9" t="s">
        <v>22</v>
      </c>
      <c r="I3244" s="9" t="s">
        <v>20</v>
      </c>
      <c r="J3244" s="10"/>
      <c r="K3244" s="14" t="s">
        <v>398</v>
      </c>
      <c r="N3244" s="14" t="str">
        <f>IFERROR(__xludf.DUMMYFUNCTION("""COMPUTED_VALUE"""),"")</f>
        <v/>
      </c>
      <c r="O3244" s="14"/>
    </row>
    <row r="3245" ht="22.5" hidden="1" customHeight="1">
      <c r="A3245" s="8">
        <v>46045.403821458334</v>
      </c>
      <c r="B3245" s="14">
        <v>46045.0</v>
      </c>
      <c r="C3245" s="9" t="s">
        <v>48</v>
      </c>
      <c r="D3245" s="9" t="s">
        <v>397</v>
      </c>
      <c r="E3245" s="9" t="s">
        <v>17</v>
      </c>
      <c r="F3245" s="9" t="s">
        <v>17</v>
      </c>
      <c r="G3245" s="9">
        <v>8.0</v>
      </c>
      <c r="H3245" s="9" t="s">
        <v>17</v>
      </c>
      <c r="I3245" s="9" t="s">
        <v>20</v>
      </c>
      <c r="J3245" s="10"/>
      <c r="K3245" s="14">
        <v>5.0</v>
      </c>
      <c r="N3245" s="14" t="str">
        <f>IFERROR(__xludf.DUMMYFUNCTION("""COMPUTED_VALUE"""),"")</f>
        <v/>
      </c>
      <c r="O3245" s="14"/>
    </row>
    <row r="3246" ht="22.5" hidden="1" customHeight="1">
      <c r="A3246" s="8">
        <v>46045.404273900465</v>
      </c>
      <c r="B3246" s="14">
        <v>46045.0</v>
      </c>
      <c r="C3246" s="9" t="s">
        <v>48</v>
      </c>
      <c r="D3246" s="9" t="s">
        <v>249</v>
      </c>
      <c r="E3246" s="9" t="s">
        <v>61</v>
      </c>
      <c r="F3246" s="9" t="s">
        <v>18</v>
      </c>
      <c r="G3246" s="9">
        <v>8.0</v>
      </c>
      <c r="H3246" s="9" t="s">
        <v>25</v>
      </c>
      <c r="I3246" s="9" t="s">
        <v>159</v>
      </c>
      <c r="J3246" s="10"/>
      <c r="K3246" s="14" t="s">
        <v>398</v>
      </c>
      <c r="N3246" s="14" t="str">
        <f>IFERROR(__xludf.DUMMYFUNCTION("""COMPUTED_VALUE"""),"")</f>
        <v/>
      </c>
      <c r="O3246" s="14"/>
    </row>
    <row r="3247" ht="22.5" hidden="1" customHeight="1">
      <c r="A3247" s="8">
        <v>46045.40429802083</v>
      </c>
      <c r="B3247" s="14">
        <v>46045.0</v>
      </c>
      <c r="C3247" s="9" t="s">
        <v>48</v>
      </c>
      <c r="D3247" s="9" t="s">
        <v>357</v>
      </c>
      <c r="E3247" s="9" t="s">
        <v>17</v>
      </c>
      <c r="F3247" s="9" t="s">
        <v>17</v>
      </c>
      <c r="G3247" s="9">
        <v>7.0</v>
      </c>
      <c r="H3247" s="9" t="s">
        <v>17</v>
      </c>
      <c r="I3247" s="9" t="s">
        <v>20</v>
      </c>
      <c r="J3247" s="10"/>
      <c r="K3247" s="14">
        <v>6.0</v>
      </c>
      <c r="N3247" s="14" t="str">
        <f>IFERROR(__xludf.DUMMYFUNCTION("""COMPUTED_VALUE"""),"")</f>
        <v/>
      </c>
      <c r="O3247" s="14"/>
    </row>
    <row r="3248" ht="22.5" hidden="1" customHeight="1">
      <c r="A3248" s="8">
        <v>46045.40466347222</v>
      </c>
      <c r="B3248" s="14">
        <v>46045.0</v>
      </c>
      <c r="C3248" s="9" t="s">
        <v>48</v>
      </c>
      <c r="D3248" s="9" t="s">
        <v>393</v>
      </c>
      <c r="E3248" s="9" t="s">
        <v>46</v>
      </c>
      <c r="F3248" s="9" t="s">
        <v>17</v>
      </c>
      <c r="G3248" s="9">
        <v>7.0</v>
      </c>
      <c r="H3248" s="9" t="s">
        <v>17</v>
      </c>
      <c r="I3248" s="9" t="s">
        <v>20</v>
      </c>
      <c r="J3248" s="10"/>
      <c r="K3248" s="14">
        <v>4.0</v>
      </c>
      <c r="N3248" s="14" t="str">
        <f>IFERROR(__xludf.DUMMYFUNCTION("""COMPUTED_VALUE"""),"")</f>
        <v/>
      </c>
      <c r="O3248" s="14"/>
    </row>
    <row r="3249" ht="22.5" hidden="1" customHeight="1">
      <c r="A3249" s="8">
        <v>46045.40484591435</v>
      </c>
      <c r="B3249" s="14">
        <v>46045.0</v>
      </c>
      <c r="C3249" s="9" t="s">
        <v>48</v>
      </c>
      <c r="D3249" s="9" t="s">
        <v>258</v>
      </c>
      <c r="E3249" s="9" t="s">
        <v>17</v>
      </c>
      <c r="F3249" s="9" t="s">
        <v>17</v>
      </c>
      <c r="G3249" s="9">
        <v>7.0</v>
      </c>
      <c r="H3249" s="9" t="s">
        <v>22</v>
      </c>
      <c r="I3249" s="9" t="s">
        <v>20</v>
      </c>
      <c r="J3249" s="10"/>
      <c r="K3249" s="14">
        <v>7.0</v>
      </c>
      <c r="N3249" s="14" t="str">
        <f>IFERROR(__xludf.DUMMYFUNCTION("""COMPUTED_VALUE"""),"")</f>
        <v/>
      </c>
      <c r="O3249" s="14"/>
    </row>
    <row r="3250" ht="22.5" hidden="1" customHeight="1">
      <c r="A3250" s="8">
        <v>46045.40509680555</v>
      </c>
      <c r="B3250" s="14">
        <v>46045.0</v>
      </c>
      <c r="C3250" s="9" t="s">
        <v>48</v>
      </c>
      <c r="D3250" s="9" t="s">
        <v>175</v>
      </c>
      <c r="E3250" s="9" t="s">
        <v>17</v>
      </c>
      <c r="F3250" s="9" t="s">
        <v>17</v>
      </c>
      <c r="G3250" s="9">
        <v>8.0</v>
      </c>
      <c r="H3250" s="9" t="s">
        <v>25</v>
      </c>
      <c r="I3250" s="9" t="s">
        <v>207</v>
      </c>
      <c r="J3250" s="10"/>
      <c r="K3250" s="14">
        <v>7.0</v>
      </c>
      <c r="N3250" s="14" t="str">
        <f>IFERROR(__xludf.DUMMYFUNCTION("""COMPUTED_VALUE"""),"")</f>
        <v/>
      </c>
      <c r="O3250" s="14"/>
    </row>
    <row r="3251" ht="22.5" hidden="1" customHeight="1">
      <c r="A3251" s="8">
        <v>46045.40513219907</v>
      </c>
      <c r="B3251" s="14">
        <v>46045.0</v>
      </c>
      <c r="C3251" s="9" t="s">
        <v>48</v>
      </c>
      <c r="D3251" s="9" t="s">
        <v>257</v>
      </c>
      <c r="E3251" s="9" t="s">
        <v>17</v>
      </c>
      <c r="F3251" s="9" t="s">
        <v>17</v>
      </c>
      <c r="G3251" s="9">
        <v>7.0</v>
      </c>
      <c r="H3251" s="9" t="s">
        <v>22</v>
      </c>
      <c r="I3251" s="9" t="s">
        <v>20</v>
      </c>
      <c r="J3251" s="10"/>
      <c r="K3251" s="14" t="s">
        <v>398</v>
      </c>
      <c r="N3251" s="14" t="str">
        <f>IFERROR(__xludf.DUMMYFUNCTION("""COMPUTED_VALUE"""),"")</f>
        <v/>
      </c>
      <c r="O3251" s="14"/>
    </row>
    <row r="3252" ht="22.5" hidden="1" customHeight="1">
      <c r="A3252" s="8">
        <v>46045.405553703706</v>
      </c>
      <c r="B3252" s="14">
        <v>46045.0</v>
      </c>
      <c r="C3252" s="9" t="s">
        <v>48</v>
      </c>
      <c r="D3252" s="9" t="s">
        <v>280</v>
      </c>
      <c r="E3252" s="9" t="s">
        <v>17</v>
      </c>
      <c r="F3252" s="9" t="s">
        <v>17</v>
      </c>
      <c r="G3252" s="9">
        <v>8.0</v>
      </c>
      <c r="H3252" s="9" t="s">
        <v>17</v>
      </c>
      <c r="I3252" s="9" t="s">
        <v>20</v>
      </c>
      <c r="J3252" s="10"/>
      <c r="K3252" s="14">
        <v>5.0</v>
      </c>
      <c r="N3252" s="14" t="str">
        <f>IFERROR(__xludf.DUMMYFUNCTION("""COMPUTED_VALUE"""),"")</f>
        <v/>
      </c>
      <c r="O3252" s="14"/>
    </row>
    <row r="3253" ht="22.5" hidden="1" customHeight="1">
      <c r="A3253" s="8">
        <v>46045.40571196759</v>
      </c>
      <c r="B3253" s="14">
        <v>46045.0</v>
      </c>
      <c r="C3253" s="9" t="s">
        <v>48</v>
      </c>
      <c r="D3253" s="9" t="s">
        <v>412</v>
      </c>
      <c r="E3253" s="9" t="s">
        <v>17</v>
      </c>
      <c r="F3253" s="9" t="s">
        <v>43</v>
      </c>
      <c r="G3253" s="9">
        <v>8.0</v>
      </c>
      <c r="H3253" s="9" t="s">
        <v>22</v>
      </c>
      <c r="I3253" s="9" t="s">
        <v>20</v>
      </c>
      <c r="J3253" s="10"/>
      <c r="K3253" s="14">
        <v>4.0</v>
      </c>
      <c r="N3253" s="14" t="str">
        <f>IFERROR(__xludf.DUMMYFUNCTION("""COMPUTED_VALUE"""),"")</f>
        <v/>
      </c>
      <c r="O3253" s="14"/>
    </row>
    <row r="3254" ht="22.5" hidden="1" customHeight="1">
      <c r="A3254" s="8">
        <v>46045.40612109954</v>
      </c>
      <c r="B3254" s="14">
        <v>46045.0</v>
      </c>
      <c r="C3254" s="9" t="s">
        <v>48</v>
      </c>
      <c r="D3254" s="9" t="s">
        <v>350</v>
      </c>
      <c r="E3254" s="9" t="s">
        <v>17</v>
      </c>
      <c r="F3254" s="9" t="s">
        <v>17</v>
      </c>
      <c r="G3254" s="9" t="s">
        <v>409</v>
      </c>
      <c r="H3254" s="9" t="s">
        <v>17</v>
      </c>
      <c r="I3254" s="9" t="s">
        <v>20</v>
      </c>
      <c r="J3254" s="10"/>
      <c r="K3254" s="14">
        <v>5.0</v>
      </c>
      <c r="N3254" s="14" t="str">
        <f>IFERROR(__xludf.DUMMYFUNCTION("""COMPUTED_VALUE"""),"")</f>
        <v/>
      </c>
      <c r="O3254" s="14"/>
    </row>
    <row r="3255" ht="22.5" hidden="1" customHeight="1">
      <c r="A3255" s="8">
        <v>46045.40613769676</v>
      </c>
      <c r="B3255" s="14">
        <v>46045.0</v>
      </c>
      <c r="C3255" s="9" t="s">
        <v>48</v>
      </c>
      <c r="D3255" s="9" t="s">
        <v>408</v>
      </c>
      <c r="E3255" s="9" t="s">
        <v>17</v>
      </c>
      <c r="F3255" s="9" t="s">
        <v>17</v>
      </c>
      <c r="G3255" s="9">
        <v>7.0</v>
      </c>
      <c r="H3255" s="9" t="s">
        <v>22</v>
      </c>
      <c r="I3255" s="9" t="s">
        <v>20</v>
      </c>
      <c r="J3255" s="10"/>
      <c r="K3255" s="14">
        <v>5.0</v>
      </c>
      <c r="N3255" s="14" t="str">
        <f>IFERROR(__xludf.DUMMYFUNCTION("""COMPUTED_VALUE"""),"")</f>
        <v/>
      </c>
      <c r="O3255" s="14"/>
    </row>
    <row r="3256" ht="22.5" hidden="1" customHeight="1">
      <c r="A3256" s="8">
        <v>46045.40703538194</v>
      </c>
      <c r="B3256" s="14">
        <v>46045.0</v>
      </c>
      <c r="C3256" s="9" t="s">
        <v>48</v>
      </c>
      <c r="D3256" s="9" t="s">
        <v>335</v>
      </c>
      <c r="E3256" s="9" t="s">
        <v>17</v>
      </c>
      <c r="F3256" s="9" t="s">
        <v>17</v>
      </c>
      <c r="G3256" s="9" t="s">
        <v>409</v>
      </c>
      <c r="H3256" s="9" t="s">
        <v>25</v>
      </c>
      <c r="I3256" s="9" t="s">
        <v>211</v>
      </c>
      <c r="J3256" s="10"/>
      <c r="K3256" s="14" t="s">
        <v>398</v>
      </c>
      <c r="N3256" s="14" t="str">
        <f>IFERROR(__xludf.DUMMYFUNCTION("""COMPUTED_VALUE"""),"")</f>
        <v/>
      </c>
      <c r="O3256" s="14"/>
    </row>
    <row r="3257" ht="22.5" hidden="1" customHeight="1">
      <c r="A3257" s="8">
        <v>46045.40737731481</v>
      </c>
      <c r="B3257" s="14">
        <v>46045.0</v>
      </c>
      <c r="C3257" s="9" t="s">
        <v>48</v>
      </c>
      <c r="D3257" s="9" t="s">
        <v>247</v>
      </c>
      <c r="E3257" s="9" t="s">
        <v>17</v>
      </c>
      <c r="F3257" s="9" t="s">
        <v>17</v>
      </c>
      <c r="G3257" s="9">
        <v>8.0</v>
      </c>
      <c r="H3257" s="9" t="s">
        <v>17</v>
      </c>
      <c r="I3257" s="9" t="s">
        <v>20</v>
      </c>
      <c r="J3257" s="10"/>
      <c r="K3257" s="14">
        <v>3.0</v>
      </c>
      <c r="N3257" s="14" t="str">
        <f>IFERROR(__xludf.DUMMYFUNCTION("""COMPUTED_VALUE"""),"")</f>
        <v/>
      </c>
      <c r="O3257" s="14"/>
    </row>
    <row r="3258" ht="22.5" hidden="1" customHeight="1">
      <c r="A3258" s="8">
        <v>46045.40785616898</v>
      </c>
      <c r="B3258" s="14">
        <v>46045.0</v>
      </c>
      <c r="C3258" s="9" t="s">
        <v>48</v>
      </c>
      <c r="D3258" s="9" t="s">
        <v>223</v>
      </c>
      <c r="E3258" s="9" t="s">
        <v>61</v>
      </c>
      <c r="F3258" s="9" t="s">
        <v>39</v>
      </c>
      <c r="G3258" s="9">
        <v>7.0</v>
      </c>
      <c r="H3258" s="9" t="s">
        <v>22</v>
      </c>
      <c r="I3258" s="9" t="s">
        <v>20</v>
      </c>
      <c r="J3258" s="10"/>
      <c r="K3258" s="14">
        <v>5.0</v>
      </c>
      <c r="N3258" s="14" t="str">
        <f>IFERROR(__xludf.DUMMYFUNCTION("""COMPUTED_VALUE"""),"")</f>
        <v/>
      </c>
      <c r="O3258" s="14"/>
    </row>
    <row r="3259" ht="22.5" hidden="1" customHeight="1">
      <c r="A3259" s="8">
        <v>46045.408641331014</v>
      </c>
      <c r="B3259" s="14">
        <v>46045.0</v>
      </c>
      <c r="C3259" s="9" t="s">
        <v>48</v>
      </c>
      <c r="D3259" s="9" t="s">
        <v>396</v>
      </c>
      <c r="E3259" s="9" t="s">
        <v>17</v>
      </c>
      <c r="F3259" s="9" t="s">
        <v>17</v>
      </c>
      <c r="G3259" s="9" t="s">
        <v>409</v>
      </c>
      <c r="H3259" s="9" t="s">
        <v>22</v>
      </c>
      <c r="I3259" s="9" t="s">
        <v>20</v>
      </c>
      <c r="J3259" s="10"/>
      <c r="K3259" s="14">
        <v>3.0</v>
      </c>
      <c r="N3259" s="14" t="str">
        <f>IFERROR(__xludf.DUMMYFUNCTION("""COMPUTED_VALUE"""),"")</f>
        <v/>
      </c>
      <c r="O3259" s="14"/>
    </row>
    <row r="3260" ht="22.5" hidden="1" customHeight="1">
      <c r="A3260" s="8">
        <v>46046.3703631713</v>
      </c>
      <c r="B3260" s="14">
        <v>46046.0</v>
      </c>
      <c r="C3260" s="9" t="s">
        <v>53</v>
      </c>
      <c r="D3260" s="9" t="s">
        <v>413</v>
      </c>
      <c r="E3260" s="9" t="s">
        <v>17</v>
      </c>
      <c r="F3260" s="9" t="s">
        <v>17</v>
      </c>
      <c r="G3260" s="9">
        <v>8.0</v>
      </c>
      <c r="H3260" s="9" t="s">
        <v>22</v>
      </c>
      <c r="I3260" s="9" t="s">
        <v>20</v>
      </c>
      <c r="J3260" s="10"/>
      <c r="K3260" s="14" t="s">
        <v>398</v>
      </c>
      <c r="N3260" s="14" t="str">
        <f>IFERROR(__xludf.DUMMYFUNCTION("""COMPUTED_VALUE"""),"")</f>
        <v/>
      </c>
      <c r="O3260" s="14"/>
    </row>
    <row r="3261" ht="22.5" hidden="1" customHeight="1">
      <c r="A3261" s="8">
        <v>46046.37081521991</v>
      </c>
      <c r="B3261" s="14">
        <v>46046.0</v>
      </c>
      <c r="C3261" s="9" t="s">
        <v>53</v>
      </c>
      <c r="D3261" s="9" t="s">
        <v>369</v>
      </c>
      <c r="E3261" s="9" t="s">
        <v>17</v>
      </c>
      <c r="F3261" s="9" t="s">
        <v>17</v>
      </c>
      <c r="G3261" s="9">
        <v>7.0</v>
      </c>
      <c r="H3261" s="9" t="s">
        <v>22</v>
      </c>
      <c r="I3261" s="9" t="s">
        <v>20</v>
      </c>
      <c r="J3261" s="10"/>
      <c r="K3261" s="14">
        <v>3.0</v>
      </c>
      <c r="N3261" s="14" t="str">
        <f>IFERROR(__xludf.DUMMYFUNCTION("""COMPUTED_VALUE"""),"")</f>
        <v/>
      </c>
      <c r="O3261" s="14"/>
    </row>
    <row r="3262" ht="22.5" hidden="1" customHeight="1">
      <c r="A3262" s="8">
        <v>46046.37122821759</v>
      </c>
      <c r="B3262" s="14">
        <v>46046.0</v>
      </c>
      <c r="C3262" s="9" t="s">
        <v>53</v>
      </c>
      <c r="D3262" s="9" t="s">
        <v>357</v>
      </c>
      <c r="E3262" s="9" t="s">
        <v>17</v>
      </c>
      <c r="F3262" s="9" t="s">
        <v>17</v>
      </c>
      <c r="G3262" s="9">
        <v>8.0</v>
      </c>
      <c r="H3262" s="9" t="s">
        <v>25</v>
      </c>
      <c r="I3262" s="9" t="s">
        <v>381</v>
      </c>
      <c r="J3262" s="10"/>
      <c r="K3262" s="14">
        <v>3.0</v>
      </c>
      <c r="N3262" s="14" t="str">
        <f>IFERROR(__xludf.DUMMYFUNCTION("""COMPUTED_VALUE"""),"")</f>
        <v/>
      </c>
      <c r="O3262" s="14"/>
    </row>
    <row r="3263" ht="22.5" hidden="1" customHeight="1">
      <c r="A3263" s="8">
        <v>46046.37147545139</v>
      </c>
      <c r="B3263" s="14">
        <v>46046.0</v>
      </c>
      <c r="C3263" s="9" t="s">
        <v>53</v>
      </c>
      <c r="D3263" s="9" t="s">
        <v>247</v>
      </c>
      <c r="E3263" s="9" t="s">
        <v>17</v>
      </c>
      <c r="F3263" s="9" t="s">
        <v>17</v>
      </c>
      <c r="G3263" s="9">
        <v>8.0</v>
      </c>
      <c r="H3263" s="9" t="s">
        <v>22</v>
      </c>
      <c r="I3263" s="9" t="s">
        <v>20</v>
      </c>
      <c r="J3263" s="10"/>
      <c r="K3263" s="14">
        <v>3.0</v>
      </c>
      <c r="N3263" s="14" t="str">
        <f>IFERROR(__xludf.DUMMYFUNCTION("""COMPUTED_VALUE"""),"")</f>
        <v/>
      </c>
      <c r="O3263" s="14"/>
    </row>
    <row r="3264" ht="22.5" hidden="1" customHeight="1">
      <c r="A3264" s="8">
        <v>46046.37203341435</v>
      </c>
      <c r="B3264" s="14">
        <v>46046.0</v>
      </c>
      <c r="C3264" s="9" t="s">
        <v>53</v>
      </c>
      <c r="D3264" s="9" t="s">
        <v>335</v>
      </c>
      <c r="E3264" s="9" t="s">
        <v>17</v>
      </c>
      <c r="F3264" s="9" t="s">
        <v>17</v>
      </c>
      <c r="G3264" s="9">
        <v>8.0</v>
      </c>
      <c r="H3264" s="9" t="s">
        <v>25</v>
      </c>
      <c r="I3264" s="9" t="s">
        <v>211</v>
      </c>
      <c r="J3264" s="10"/>
      <c r="K3264" s="14">
        <v>4.0</v>
      </c>
      <c r="N3264" s="14" t="str">
        <f>IFERROR(__xludf.DUMMYFUNCTION("""COMPUTED_VALUE"""),"")</f>
        <v/>
      </c>
      <c r="O3264" s="14"/>
    </row>
    <row r="3265" ht="22.5" hidden="1" customHeight="1">
      <c r="A3265" s="8">
        <v>46046.37225959491</v>
      </c>
      <c r="B3265" s="14">
        <v>46046.0</v>
      </c>
      <c r="C3265" s="9" t="s">
        <v>53</v>
      </c>
      <c r="D3265" s="9" t="s">
        <v>280</v>
      </c>
      <c r="E3265" s="9" t="s">
        <v>17</v>
      </c>
      <c r="F3265" s="9" t="s">
        <v>17</v>
      </c>
      <c r="G3265" s="9">
        <v>8.0</v>
      </c>
      <c r="H3265" s="9" t="s">
        <v>22</v>
      </c>
      <c r="I3265" s="9" t="s">
        <v>20</v>
      </c>
      <c r="J3265" s="10"/>
      <c r="K3265" s="14">
        <v>3.0</v>
      </c>
      <c r="N3265" s="14" t="str">
        <f>IFERROR(__xludf.DUMMYFUNCTION("""COMPUTED_VALUE"""),"")</f>
        <v/>
      </c>
      <c r="O3265" s="14"/>
    </row>
    <row r="3266" ht="22.5" hidden="1" customHeight="1">
      <c r="A3266" s="8">
        <v>46046.37247606482</v>
      </c>
      <c r="B3266" s="14">
        <v>46046.0</v>
      </c>
      <c r="C3266" s="9" t="s">
        <v>53</v>
      </c>
      <c r="D3266" s="9" t="s">
        <v>177</v>
      </c>
      <c r="E3266" s="9" t="s">
        <v>17</v>
      </c>
      <c r="F3266" s="9" t="s">
        <v>17</v>
      </c>
      <c r="G3266" s="9">
        <v>8.0</v>
      </c>
      <c r="H3266" s="9" t="s">
        <v>22</v>
      </c>
      <c r="I3266" s="9" t="s">
        <v>20</v>
      </c>
      <c r="J3266" s="10"/>
      <c r="K3266" s="14">
        <v>4.0</v>
      </c>
      <c r="N3266" s="14" t="str">
        <f>IFERROR(__xludf.DUMMYFUNCTION("""COMPUTED_VALUE"""),"")</f>
        <v/>
      </c>
      <c r="O3266" s="14"/>
    </row>
    <row r="3267" ht="22.5" hidden="1" customHeight="1">
      <c r="A3267" s="8">
        <v>46046.37268291667</v>
      </c>
      <c r="B3267" s="14">
        <v>46046.0</v>
      </c>
      <c r="C3267" s="9" t="s">
        <v>53</v>
      </c>
      <c r="D3267" s="9" t="s">
        <v>105</v>
      </c>
      <c r="E3267" s="9" t="s">
        <v>17</v>
      </c>
      <c r="F3267" s="9" t="s">
        <v>17</v>
      </c>
      <c r="G3267" s="9">
        <v>8.0</v>
      </c>
      <c r="H3267" s="9" t="s">
        <v>22</v>
      </c>
      <c r="I3267" s="9" t="s">
        <v>20</v>
      </c>
      <c r="J3267" s="10"/>
      <c r="K3267" s="14" t="s">
        <v>398</v>
      </c>
      <c r="N3267" s="14" t="str">
        <f>IFERROR(__xludf.DUMMYFUNCTION("""COMPUTED_VALUE"""),"")</f>
        <v/>
      </c>
      <c r="O3267" s="14"/>
    </row>
    <row r="3268" ht="22.5" hidden="1" customHeight="1">
      <c r="A3268" s="8">
        <v>46046.372875925925</v>
      </c>
      <c r="B3268" s="14">
        <v>46046.0</v>
      </c>
      <c r="C3268" s="9" t="s">
        <v>53</v>
      </c>
      <c r="D3268" s="9" t="s">
        <v>171</v>
      </c>
      <c r="E3268" s="9" t="s">
        <v>17</v>
      </c>
      <c r="F3268" s="9" t="s">
        <v>17</v>
      </c>
      <c r="G3268" s="9">
        <v>8.0</v>
      </c>
      <c r="H3268" s="9" t="s">
        <v>22</v>
      </c>
      <c r="I3268" s="9" t="s">
        <v>20</v>
      </c>
      <c r="J3268" s="10"/>
      <c r="K3268" s="14" t="s">
        <v>398</v>
      </c>
      <c r="N3268" s="14" t="str">
        <f>IFERROR(__xludf.DUMMYFUNCTION("""COMPUTED_VALUE"""),"")</f>
        <v/>
      </c>
      <c r="O3268" s="14"/>
    </row>
    <row r="3269" ht="22.5" hidden="1" customHeight="1">
      <c r="A3269" s="8">
        <v>46046.37412807871</v>
      </c>
      <c r="B3269" s="14">
        <v>46046.0</v>
      </c>
      <c r="C3269" s="9" t="s">
        <v>53</v>
      </c>
      <c r="D3269" s="9" t="s">
        <v>175</v>
      </c>
      <c r="E3269" s="9" t="s">
        <v>17</v>
      </c>
      <c r="F3269" s="9" t="s">
        <v>17</v>
      </c>
      <c r="G3269" s="9">
        <v>8.0</v>
      </c>
      <c r="H3269" s="9" t="s">
        <v>25</v>
      </c>
      <c r="I3269" s="9" t="s">
        <v>207</v>
      </c>
      <c r="J3269" s="10"/>
      <c r="K3269" s="14">
        <v>4.0</v>
      </c>
      <c r="N3269" s="14" t="str">
        <f>IFERROR(__xludf.DUMMYFUNCTION("""COMPUTED_VALUE"""),"")</f>
        <v/>
      </c>
      <c r="O3269" s="14"/>
    </row>
    <row r="3270" ht="22.5" hidden="1" customHeight="1">
      <c r="A3270" s="8">
        <v>46046.37854694444</v>
      </c>
      <c r="B3270" s="14">
        <v>46046.0</v>
      </c>
      <c r="C3270" s="9" t="s">
        <v>53</v>
      </c>
      <c r="D3270" s="9" t="s">
        <v>408</v>
      </c>
      <c r="E3270" s="9" t="s">
        <v>17</v>
      </c>
      <c r="F3270" s="9" t="s">
        <v>17</v>
      </c>
      <c r="G3270" s="9">
        <v>8.0</v>
      </c>
      <c r="H3270" s="9" t="s">
        <v>22</v>
      </c>
      <c r="I3270" s="9" t="s">
        <v>20</v>
      </c>
      <c r="J3270" s="10"/>
      <c r="K3270" s="14">
        <v>3.0</v>
      </c>
      <c r="N3270" s="14" t="str">
        <f>IFERROR(__xludf.DUMMYFUNCTION("""COMPUTED_VALUE"""),"")</f>
        <v/>
      </c>
      <c r="O3270" s="14"/>
    </row>
    <row r="3271" ht="22.5" hidden="1" customHeight="1">
      <c r="A3271" s="8">
        <v>46046.37896893518</v>
      </c>
      <c r="B3271" s="14">
        <v>46046.0</v>
      </c>
      <c r="C3271" s="9" t="s">
        <v>53</v>
      </c>
      <c r="D3271" s="9" t="s">
        <v>412</v>
      </c>
      <c r="E3271" s="9" t="s">
        <v>17</v>
      </c>
      <c r="F3271" s="9" t="s">
        <v>17</v>
      </c>
      <c r="G3271" s="9">
        <v>8.0</v>
      </c>
      <c r="H3271" s="9" t="s">
        <v>22</v>
      </c>
      <c r="I3271" s="9" t="s">
        <v>20</v>
      </c>
      <c r="J3271" s="10"/>
      <c r="K3271" s="14">
        <v>3.0</v>
      </c>
      <c r="N3271" s="14" t="str">
        <f>IFERROR(__xludf.DUMMYFUNCTION("""COMPUTED_VALUE"""),"")</f>
        <v/>
      </c>
      <c r="O3271" s="14"/>
    </row>
    <row r="3272" ht="22.5" hidden="1" customHeight="1">
      <c r="A3272" s="8">
        <v>46046.37918078704</v>
      </c>
      <c r="B3272" s="14">
        <v>46046.0</v>
      </c>
      <c r="C3272" s="9" t="s">
        <v>53</v>
      </c>
      <c r="D3272" s="9" t="s">
        <v>393</v>
      </c>
      <c r="E3272" s="9" t="s">
        <v>17</v>
      </c>
      <c r="F3272" s="9" t="s">
        <v>17</v>
      </c>
      <c r="G3272" s="9">
        <v>8.0</v>
      </c>
      <c r="H3272" s="9" t="s">
        <v>22</v>
      </c>
      <c r="I3272" s="9" t="s">
        <v>20</v>
      </c>
      <c r="J3272" s="10"/>
      <c r="K3272" s="14">
        <v>3.0</v>
      </c>
      <c r="N3272" s="14" t="str">
        <f>IFERROR(__xludf.DUMMYFUNCTION("""COMPUTED_VALUE"""),"")</f>
        <v/>
      </c>
      <c r="O3272" s="14"/>
    </row>
    <row r="3273" ht="22.5" hidden="1" customHeight="1">
      <c r="A3273" s="8">
        <v>46046.37943425926</v>
      </c>
      <c r="B3273" s="14">
        <v>46046.0</v>
      </c>
      <c r="C3273" s="9" t="s">
        <v>53</v>
      </c>
      <c r="D3273" s="9" t="s">
        <v>350</v>
      </c>
      <c r="E3273" s="9" t="s">
        <v>17</v>
      </c>
      <c r="F3273" s="9" t="s">
        <v>17</v>
      </c>
      <c r="G3273" s="9">
        <v>8.0</v>
      </c>
      <c r="H3273" s="9" t="s">
        <v>22</v>
      </c>
      <c r="I3273" s="9" t="s">
        <v>20</v>
      </c>
      <c r="J3273" s="10"/>
      <c r="K3273" s="14">
        <v>4.0</v>
      </c>
      <c r="N3273" s="14" t="str">
        <f>IFERROR(__xludf.DUMMYFUNCTION("""COMPUTED_VALUE"""),"")</f>
        <v/>
      </c>
      <c r="O3273" s="14"/>
    </row>
    <row r="3274" ht="22.5" hidden="1" customHeight="1">
      <c r="A3274" s="8">
        <v>46046.37973702546</v>
      </c>
      <c r="B3274" s="14">
        <v>46046.0</v>
      </c>
      <c r="C3274" s="9" t="s">
        <v>53</v>
      </c>
      <c r="D3274" s="9" t="s">
        <v>174</v>
      </c>
      <c r="E3274" s="9" t="s">
        <v>17</v>
      </c>
      <c r="F3274" s="9" t="s">
        <v>17</v>
      </c>
      <c r="G3274" s="9">
        <v>7.0</v>
      </c>
      <c r="H3274" s="9" t="s">
        <v>22</v>
      </c>
      <c r="I3274" s="9" t="s">
        <v>20</v>
      </c>
      <c r="J3274" s="10"/>
      <c r="K3274" s="14">
        <v>3.0</v>
      </c>
      <c r="N3274" s="14" t="str">
        <f>IFERROR(__xludf.DUMMYFUNCTION("""COMPUTED_VALUE"""),"")</f>
        <v/>
      </c>
      <c r="O3274" s="14"/>
    </row>
    <row r="3275" ht="22.5" hidden="1" customHeight="1">
      <c r="A3275" s="8">
        <v>46046.37997502315</v>
      </c>
      <c r="B3275" s="14">
        <v>46046.0</v>
      </c>
      <c r="C3275" s="9" t="s">
        <v>53</v>
      </c>
      <c r="D3275" s="9" t="s">
        <v>259</v>
      </c>
      <c r="E3275" s="9" t="s">
        <v>17</v>
      </c>
      <c r="F3275" s="9" t="s">
        <v>17</v>
      </c>
      <c r="G3275" s="9">
        <v>7.0</v>
      </c>
      <c r="H3275" s="9" t="s">
        <v>22</v>
      </c>
      <c r="I3275" s="9" t="s">
        <v>20</v>
      </c>
      <c r="J3275" s="10"/>
      <c r="K3275" s="14">
        <v>4.0</v>
      </c>
      <c r="N3275" s="14" t="str">
        <f>IFERROR(__xludf.DUMMYFUNCTION("""COMPUTED_VALUE"""),"")</f>
        <v/>
      </c>
      <c r="O3275" s="14"/>
    </row>
    <row r="3276" ht="22.5" hidden="1" customHeight="1">
      <c r="A3276" s="8">
        <v>46046.380212696764</v>
      </c>
      <c r="B3276" s="14">
        <v>46046.0</v>
      </c>
      <c r="C3276" s="9" t="s">
        <v>53</v>
      </c>
      <c r="D3276" s="9" t="s">
        <v>168</v>
      </c>
      <c r="E3276" s="9" t="s">
        <v>17</v>
      </c>
      <c r="F3276" s="9" t="s">
        <v>17</v>
      </c>
      <c r="G3276" s="9">
        <v>7.0</v>
      </c>
      <c r="H3276" s="9" t="s">
        <v>22</v>
      </c>
      <c r="I3276" s="9" t="s">
        <v>20</v>
      </c>
      <c r="J3276" s="10"/>
      <c r="K3276" s="14">
        <v>3.0</v>
      </c>
      <c r="N3276" s="14" t="str">
        <f>IFERROR(__xludf.DUMMYFUNCTION("""COMPUTED_VALUE"""),"")</f>
        <v/>
      </c>
      <c r="O3276" s="14"/>
    </row>
    <row r="3277" ht="22.5" hidden="1" customHeight="1">
      <c r="A3277" s="8">
        <v>46046.39682938658</v>
      </c>
      <c r="B3277" s="14">
        <v>46046.0</v>
      </c>
      <c r="C3277" s="9" t="s">
        <v>53</v>
      </c>
      <c r="D3277" s="9" t="s">
        <v>396</v>
      </c>
      <c r="E3277" s="9" t="s">
        <v>17</v>
      </c>
      <c r="F3277" s="9" t="s">
        <v>17</v>
      </c>
      <c r="G3277" s="9">
        <v>8.0</v>
      </c>
      <c r="H3277" s="9" t="s">
        <v>22</v>
      </c>
      <c r="I3277" s="9" t="s">
        <v>20</v>
      </c>
      <c r="J3277" s="10"/>
      <c r="K3277" s="14">
        <v>2.0</v>
      </c>
      <c r="N3277" s="14" t="str">
        <f>IFERROR(__xludf.DUMMYFUNCTION("""COMPUTED_VALUE"""),"")</f>
        <v/>
      </c>
      <c r="O3277" s="14"/>
    </row>
    <row r="3278" ht="22.5" hidden="1" customHeight="1">
      <c r="A3278" s="8">
        <v>46046.39717111111</v>
      </c>
      <c r="B3278" s="14">
        <v>46046.0</v>
      </c>
      <c r="C3278" s="9" t="s">
        <v>53</v>
      </c>
      <c r="D3278" s="9" t="s">
        <v>367</v>
      </c>
      <c r="E3278" s="9" t="s">
        <v>17</v>
      </c>
      <c r="F3278" s="9" t="s">
        <v>17</v>
      </c>
      <c r="G3278" s="9">
        <v>7.0</v>
      </c>
      <c r="H3278" s="9" t="s">
        <v>22</v>
      </c>
      <c r="I3278" s="9" t="s">
        <v>20</v>
      </c>
      <c r="J3278" s="10"/>
      <c r="K3278" s="14">
        <v>3.0</v>
      </c>
      <c r="N3278" s="14" t="str">
        <f>IFERROR(__xludf.DUMMYFUNCTION("""COMPUTED_VALUE"""),"")</f>
        <v/>
      </c>
      <c r="O3278" s="14"/>
    </row>
    <row r="3279" ht="22.5" hidden="1" customHeight="1">
      <c r="A3279" s="8">
        <v>46046.39739701389</v>
      </c>
      <c r="B3279" s="14">
        <v>46046.0</v>
      </c>
      <c r="C3279" s="9" t="s">
        <v>53</v>
      </c>
      <c r="D3279" s="9" t="s">
        <v>397</v>
      </c>
      <c r="E3279" s="9" t="s">
        <v>17</v>
      </c>
      <c r="F3279" s="9" t="s">
        <v>17</v>
      </c>
      <c r="G3279" s="9">
        <v>7.0</v>
      </c>
      <c r="H3279" s="9" t="s">
        <v>22</v>
      </c>
      <c r="I3279" s="9" t="s">
        <v>20</v>
      </c>
      <c r="J3279" s="10"/>
      <c r="K3279" s="14">
        <v>5.0</v>
      </c>
      <c r="N3279" s="14" t="str">
        <f>IFERROR(__xludf.DUMMYFUNCTION("""COMPUTED_VALUE"""),"")</f>
        <v/>
      </c>
      <c r="O3279" s="14"/>
    </row>
    <row r="3280" ht="22.5" hidden="1" customHeight="1">
      <c r="A3280" s="8">
        <v>46048.64492612268</v>
      </c>
      <c r="B3280" s="14">
        <v>46048.0</v>
      </c>
      <c r="C3280" s="9" t="s">
        <v>86</v>
      </c>
      <c r="D3280" s="9" t="s">
        <v>105</v>
      </c>
      <c r="E3280" s="9" t="s">
        <v>17</v>
      </c>
      <c r="F3280" s="9" t="s">
        <v>17</v>
      </c>
      <c r="G3280" s="9">
        <v>8.0</v>
      </c>
      <c r="H3280" s="9" t="s">
        <v>22</v>
      </c>
      <c r="I3280" s="9" t="s">
        <v>20</v>
      </c>
      <c r="J3280" s="10"/>
      <c r="K3280" s="14" t="s">
        <v>398</v>
      </c>
      <c r="N3280" s="14" t="str">
        <f>IFERROR(__xludf.DUMMYFUNCTION("""COMPUTED_VALUE"""),"")</f>
        <v/>
      </c>
      <c r="O3280" s="14"/>
    </row>
    <row r="3281" ht="22.5" hidden="1" customHeight="1">
      <c r="A3281" s="8">
        <v>46048.64526962963</v>
      </c>
      <c r="B3281" s="14">
        <v>46048.0</v>
      </c>
      <c r="C3281" s="9" t="s">
        <v>86</v>
      </c>
      <c r="D3281" s="9" t="s">
        <v>280</v>
      </c>
      <c r="E3281" s="9" t="s">
        <v>17</v>
      </c>
      <c r="F3281" s="9" t="s">
        <v>17</v>
      </c>
      <c r="G3281" s="9">
        <v>8.0</v>
      </c>
      <c r="H3281" s="9" t="s">
        <v>22</v>
      </c>
      <c r="I3281" s="9" t="s">
        <v>20</v>
      </c>
      <c r="J3281" s="10"/>
      <c r="K3281" s="14" t="s">
        <v>398</v>
      </c>
      <c r="N3281" s="14" t="str">
        <f>IFERROR(__xludf.DUMMYFUNCTION("""COMPUTED_VALUE"""),"")</f>
        <v/>
      </c>
      <c r="O3281" s="14"/>
    </row>
    <row r="3282" ht="22.5" hidden="1" customHeight="1">
      <c r="A3282" s="8">
        <v>46048.64559488426</v>
      </c>
      <c r="B3282" s="14">
        <v>46048.0</v>
      </c>
      <c r="C3282" s="9" t="s">
        <v>86</v>
      </c>
      <c r="D3282" s="9" t="s">
        <v>174</v>
      </c>
      <c r="E3282" s="9" t="s">
        <v>17</v>
      </c>
      <c r="F3282" s="9" t="s">
        <v>17</v>
      </c>
      <c r="G3282" s="9">
        <v>8.0</v>
      </c>
      <c r="H3282" s="9" t="s">
        <v>22</v>
      </c>
      <c r="I3282" s="9" t="s">
        <v>20</v>
      </c>
      <c r="J3282" s="10"/>
      <c r="K3282" s="14" t="s">
        <v>398</v>
      </c>
      <c r="N3282" s="14" t="str">
        <f>IFERROR(__xludf.DUMMYFUNCTION("""COMPUTED_VALUE"""),"")</f>
        <v/>
      </c>
      <c r="O3282" s="14"/>
    </row>
    <row r="3283" ht="22.5" hidden="1" customHeight="1">
      <c r="A3283" s="8">
        <v>46048.652426712964</v>
      </c>
      <c r="B3283" s="14">
        <v>46048.0</v>
      </c>
      <c r="C3283" s="9" t="s">
        <v>86</v>
      </c>
      <c r="D3283" s="9" t="s">
        <v>257</v>
      </c>
      <c r="E3283" s="9" t="s">
        <v>17</v>
      </c>
      <c r="F3283" s="9" t="s">
        <v>17</v>
      </c>
      <c r="G3283" s="9">
        <v>8.0</v>
      </c>
      <c r="H3283" s="9" t="s">
        <v>22</v>
      </c>
      <c r="I3283" s="9" t="s">
        <v>20</v>
      </c>
      <c r="J3283" s="10"/>
      <c r="K3283" s="14" t="s">
        <v>398</v>
      </c>
      <c r="N3283" s="14" t="str">
        <f>IFERROR(__xludf.DUMMYFUNCTION("""COMPUTED_VALUE"""),"")</f>
        <v/>
      </c>
      <c r="O3283" s="14"/>
    </row>
    <row r="3284" ht="22.5" hidden="1" customHeight="1">
      <c r="A3284" s="8">
        <v>46048.65268099537</v>
      </c>
      <c r="B3284" s="14">
        <v>46048.0</v>
      </c>
      <c r="C3284" s="9" t="s">
        <v>86</v>
      </c>
      <c r="D3284" s="9" t="s">
        <v>249</v>
      </c>
      <c r="E3284" s="9" t="s">
        <v>17</v>
      </c>
      <c r="F3284" s="9" t="s">
        <v>17</v>
      </c>
      <c r="G3284" s="9">
        <v>7.0</v>
      </c>
      <c r="H3284" s="9" t="s">
        <v>22</v>
      </c>
      <c r="I3284" s="9" t="s">
        <v>20</v>
      </c>
      <c r="J3284" s="10"/>
      <c r="K3284" s="14" t="s">
        <v>398</v>
      </c>
      <c r="N3284" s="14" t="str">
        <f>IFERROR(__xludf.DUMMYFUNCTION("""COMPUTED_VALUE"""),"")</f>
        <v/>
      </c>
      <c r="O3284" s="14"/>
    </row>
    <row r="3285" ht="22.5" hidden="1" customHeight="1">
      <c r="A3285" s="8">
        <v>46048.653295868055</v>
      </c>
      <c r="B3285" s="14">
        <v>46048.0</v>
      </c>
      <c r="C3285" s="9" t="s">
        <v>86</v>
      </c>
      <c r="D3285" s="9" t="s">
        <v>393</v>
      </c>
      <c r="E3285" s="9" t="s">
        <v>17</v>
      </c>
      <c r="F3285" s="9" t="s">
        <v>17</v>
      </c>
      <c r="G3285" s="9">
        <v>8.0</v>
      </c>
      <c r="H3285" s="9" t="s">
        <v>22</v>
      </c>
      <c r="I3285" s="9" t="s">
        <v>20</v>
      </c>
      <c r="J3285" s="10"/>
      <c r="K3285" s="14" t="s">
        <v>398</v>
      </c>
      <c r="N3285" s="14" t="str">
        <f>IFERROR(__xludf.DUMMYFUNCTION("""COMPUTED_VALUE"""),"")</f>
        <v/>
      </c>
      <c r="O3285" s="14"/>
    </row>
    <row r="3286" ht="22.5" hidden="1" customHeight="1">
      <c r="A3286" s="8">
        <v>46048.6534983912</v>
      </c>
      <c r="B3286" s="14">
        <v>46048.0</v>
      </c>
      <c r="C3286" s="9" t="s">
        <v>86</v>
      </c>
      <c r="D3286" s="9" t="s">
        <v>412</v>
      </c>
      <c r="E3286" s="9" t="s">
        <v>17</v>
      </c>
      <c r="F3286" s="9" t="s">
        <v>17</v>
      </c>
      <c r="G3286" s="9">
        <v>7.0</v>
      </c>
      <c r="H3286" s="9" t="s">
        <v>22</v>
      </c>
      <c r="I3286" s="9" t="s">
        <v>20</v>
      </c>
      <c r="J3286" s="10"/>
      <c r="K3286" s="14" t="s">
        <v>398</v>
      </c>
      <c r="N3286" s="14" t="str">
        <f>IFERROR(__xludf.DUMMYFUNCTION("""COMPUTED_VALUE"""),"")</f>
        <v/>
      </c>
      <c r="O3286" s="14"/>
    </row>
    <row r="3287" ht="22.5" hidden="1" customHeight="1">
      <c r="A3287" s="8">
        <v>46048.65370634259</v>
      </c>
      <c r="B3287" s="14">
        <v>46048.0</v>
      </c>
      <c r="C3287" s="9" t="s">
        <v>86</v>
      </c>
      <c r="D3287" s="9" t="s">
        <v>413</v>
      </c>
      <c r="E3287" s="9" t="s">
        <v>17</v>
      </c>
      <c r="F3287" s="9" t="s">
        <v>17</v>
      </c>
      <c r="G3287" s="9">
        <v>8.0</v>
      </c>
      <c r="H3287" s="9" t="s">
        <v>22</v>
      </c>
      <c r="I3287" s="9" t="s">
        <v>20</v>
      </c>
      <c r="J3287" s="10"/>
      <c r="K3287" s="14" t="s">
        <v>398</v>
      </c>
      <c r="N3287" s="14" t="str">
        <f>IFERROR(__xludf.DUMMYFUNCTION("""COMPUTED_VALUE"""),"")</f>
        <v/>
      </c>
      <c r="O3287" s="14"/>
    </row>
    <row r="3288" ht="22.5" hidden="1" customHeight="1">
      <c r="A3288" s="8">
        <v>46048.654678645835</v>
      </c>
      <c r="B3288" s="14">
        <v>46048.0</v>
      </c>
      <c r="C3288" s="9" t="s">
        <v>86</v>
      </c>
      <c r="D3288" s="9" t="s">
        <v>168</v>
      </c>
      <c r="E3288" s="9" t="s">
        <v>17</v>
      </c>
      <c r="F3288" s="9" t="s">
        <v>17</v>
      </c>
      <c r="G3288" s="9">
        <v>7.0</v>
      </c>
      <c r="H3288" s="9" t="s">
        <v>22</v>
      </c>
      <c r="I3288" s="9" t="s">
        <v>20</v>
      </c>
      <c r="J3288" s="10"/>
      <c r="K3288" s="14" t="s">
        <v>398</v>
      </c>
      <c r="N3288" s="14" t="str">
        <f>IFERROR(__xludf.DUMMYFUNCTION("""COMPUTED_VALUE"""),"")</f>
        <v/>
      </c>
      <c r="O3288" s="14"/>
    </row>
    <row r="3289" ht="22.5" hidden="1" customHeight="1">
      <c r="A3289" s="8">
        <v>46048.663299050924</v>
      </c>
      <c r="B3289" s="14">
        <v>46048.0</v>
      </c>
      <c r="C3289" s="9" t="s">
        <v>86</v>
      </c>
      <c r="D3289" s="9" t="s">
        <v>178</v>
      </c>
      <c r="E3289" s="9" t="s">
        <v>17</v>
      </c>
      <c r="F3289" s="9" t="s">
        <v>17</v>
      </c>
      <c r="G3289" s="9">
        <v>6.0</v>
      </c>
      <c r="H3289" s="9" t="s">
        <v>25</v>
      </c>
      <c r="I3289" s="9" t="s">
        <v>273</v>
      </c>
      <c r="J3289" s="10"/>
      <c r="K3289" s="14" t="s">
        <v>398</v>
      </c>
      <c r="N3289" s="14" t="str">
        <f>IFERROR(__xludf.DUMMYFUNCTION("""COMPUTED_VALUE"""),"")</f>
        <v/>
      </c>
      <c r="O3289" s="14"/>
    </row>
    <row r="3290" ht="22.5" hidden="1" customHeight="1">
      <c r="A3290" s="8">
        <v>46048.66355601852</v>
      </c>
      <c r="B3290" s="14">
        <v>46048.0</v>
      </c>
      <c r="C3290" s="9" t="s">
        <v>86</v>
      </c>
      <c r="D3290" s="9" t="s">
        <v>367</v>
      </c>
      <c r="E3290" s="9" t="s">
        <v>17</v>
      </c>
      <c r="F3290" s="9" t="s">
        <v>17</v>
      </c>
      <c r="G3290" s="9">
        <v>8.0</v>
      </c>
      <c r="H3290" s="9" t="s">
        <v>22</v>
      </c>
      <c r="I3290" s="9" t="s">
        <v>20</v>
      </c>
      <c r="J3290" s="10"/>
      <c r="K3290" s="14" t="s">
        <v>398</v>
      </c>
      <c r="N3290" s="14" t="str">
        <f>IFERROR(__xludf.DUMMYFUNCTION("""COMPUTED_VALUE"""),"")</f>
        <v/>
      </c>
      <c r="O3290" s="14"/>
    </row>
    <row r="3291" ht="22.5" hidden="1" customHeight="1">
      <c r="A3291" s="8">
        <v>46048.66388579861</v>
      </c>
      <c r="B3291" s="14">
        <v>46048.0</v>
      </c>
      <c r="C3291" s="9" t="s">
        <v>86</v>
      </c>
      <c r="D3291" s="9" t="s">
        <v>350</v>
      </c>
      <c r="E3291" s="9" t="s">
        <v>17</v>
      </c>
      <c r="F3291" s="9" t="s">
        <v>17</v>
      </c>
      <c r="G3291" s="9" t="s">
        <v>409</v>
      </c>
      <c r="H3291" s="9" t="s">
        <v>22</v>
      </c>
      <c r="I3291" s="9" t="s">
        <v>20</v>
      </c>
      <c r="J3291" s="10"/>
      <c r="K3291" s="14" t="s">
        <v>398</v>
      </c>
      <c r="N3291" s="14" t="str">
        <f>IFERROR(__xludf.DUMMYFUNCTION("""COMPUTED_VALUE"""),"")</f>
        <v/>
      </c>
      <c r="O3291" s="14"/>
    </row>
    <row r="3292" ht="22.5" hidden="1" customHeight="1">
      <c r="A3292" s="8">
        <v>46048.66429746528</v>
      </c>
      <c r="B3292" s="14">
        <v>46048.0</v>
      </c>
      <c r="C3292" s="9" t="s">
        <v>86</v>
      </c>
      <c r="D3292" s="9" t="s">
        <v>396</v>
      </c>
      <c r="E3292" s="9" t="s">
        <v>17</v>
      </c>
      <c r="F3292" s="9" t="s">
        <v>17</v>
      </c>
      <c r="G3292" s="9">
        <v>7.0</v>
      </c>
      <c r="H3292" s="9" t="s">
        <v>22</v>
      </c>
      <c r="I3292" s="9" t="s">
        <v>20</v>
      </c>
      <c r="J3292" s="10"/>
      <c r="K3292" s="14" t="s">
        <v>398</v>
      </c>
      <c r="N3292" s="14" t="str">
        <f>IFERROR(__xludf.DUMMYFUNCTION("""COMPUTED_VALUE"""),"")</f>
        <v/>
      </c>
      <c r="O3292" s="14"/>
    </row>
    <row r="3293" ht="22.5" hidden="1" customHeight="1">
      <c r="A3293" s="8">
        <v>46048.664565451385</v>
      </c>
      <c r="B3293" s="14">
        <v>46048.0</v>
      </c>
      <c r="C3293" s="9" t="s">
        <v>86</v>
      </c>
      <c r="D3293" s="9" t="s">
        <v>350</v>
      </c>
      <c r="E3293" s="9" t="s">
        <v>17</v>
      </c>
      <c r="F3293" s="9" t="s">
        <v>17</v>
      </c>
      <c r="G3293" s="9" t="s">
        <v>409</v>
      </c>
      <c r="H3293" s="9" t="s">
        <v>22</v>
      </c>
      <c r="I3293" s="9" t="s">
        <v>20</v>
      </c>
      <c r="J3293" s="10"/>
      <c r="K3293" s="14" t="s">
        <v>398</v>
      </c>
      <c r="N3293" s="14" t="str">
        <f>IFERROR(__xludf.DUMMYFUNCTION("""COMPUTED_VALUE"""),"")</f>
        <v/>
      </c>
      <c r="O3293" s="14"/>
    </row>
    <row r="3294" ht="22.5" hidden="1" customHeight="1">
      <c r="A3294" s="8">
        <v>46048.66479026621</v>
      </c>
      <c r="B3294" s="14">
        <v>46048.0</v>
      </c>
      <c r="C3294" s="9" t="s">
        <v>86</v>
      </c>
      <c r="D3294" s="9" t="s">
        <v>408</v>
      </c>
      <c r="E3294" s="9" t="s">
        <v>17</v>
      </c>
      <c r="F3294" s="9" t="s">
        <v>17</v>
      </c>
      <c r="G3294" s="9">
        <v>8.0</v>
      </c>
      <c r="H3294" s="9" t="s">
        <v>22</v>
      </c>
      <c r="I3294" s="9" t="s">
        <v>20</v>
      </c>
      <c r="J3294" s="10"/>
      <c r="K3294" s="14" t="s">
        <v>398</v>
      </c>
      <c r="N3294" s="14" t="str">
        <f>IFERROR(__xludf.DUMMYFUNCTION("""COMPUTED_VALUE"""),"")</f>
        <v/>
      </c>
      <c r="O3294" s="14"/>
    </row>
    <row r="3295" ht="22.5" hidden="1" customHeight="1">
      <c r="A3295" s="8">
        <v>46048.66502047454</v>
      </c>
      <c r="B3295" s="14">
        <v>46048.0</v>
      </c>
      <c r="C3295" s="9" t="s">
        <v>86</v>
      </c>
      <c r="D3295" s="9" t="s">
        <v>369</v>
      </c>
      <c r="E3295" s="9" t="s">
        <v>17</v>
      </c>
      <c r="F3295" s="9" t="s">
        <v>17</v>
      </c>
      <c r="G3295" s="9">
        <v>7.0</v>
      </c>
      <c r="H3295" s="9" t="s">
        <v>22</v>
      </c>
      <c r="I3295" s="9" t="s">
        <v>20</v>
      </c>
      <c r="J3295" s="10"/>
      <c r="K3295" s="14" t="s">
        <v>398</v>
      </c>
      <c r="N3295" s="14" t="str">
        <f>IFERROR(__xludf.DUMMYFUNCTION("""COMPUTED_VALUE"""),"")</f>
        <v/>
      </c>
      <c r="O3295" s="14"/>
    </row>
    <row r="3296" ht="22.5" hidden="1" customHeight="1">
      <c r="A3296" s="8">
        <v>46048.66911271991</v>
      </c>
      <c r="B3296" s="14">
        <v>46048.0</v>
      </c>
      <c r="C3296" s="9" t="s">
        <v>86</v>
      </c>
      <c r="D3296" s="9" t="s">
        <v>171</v>
      </c>
      <c r="E3296" s="9" t="s">
        <v>17</v>
      </c>
      <c r="F3296" s="9" t="s">
        <v>17</v>
      </c>
      <c r="G3296" s="9">
        <v>8.0</v>
      </c>
      <c r="H3296" s="9" t="s">
        <v>22</v>
      </c>
      <c r="I3296" s="9" t="s">
        <v>20</v>
      </c>
      <c r="J3296" s="10"/>
      <c r="K3296" s="14" t="s">
        <v>398</v>
      </c>
      <c r="N3296" s="14" t="str">
        <f>IFERROR(__xludf.DUMMYFUNCTION("""COMPUTED_VALUE"""),"")</f>
        <v/>
      </c>
      <c r="O3296" s="14"/>
    </row>
    <row r="3297" ht="22.5" hidden="1" customHeight="1">
      <c r="A3297" s="8">
        <v>46048.68108459491</v>
      </c>
      <c r="B3297" s="14">
        <v>46048.0</v>
      </c>
      <c r="C3297" s="9" t="s">
        <v>86</v>
      </c>
      <c r="D3297" s="9" t="s">
        <v>175</v>
      </c>
      <c r="E3297" s="9" t="s">
        <v>17</v>
      </c>
      <c r="F3297" s="9" t="s">
        <v>17</v>
      </c>
      <c r="G3297" s="9">
        <v>8.0</v>
      </c>
      <c r="H3297" s="9" t="s">
        <v>25</v>
      </c>
      <c r="I3297" s="9" t="s">
        <v>207</v>
      </c>
      <c r="J3297" s="10"/>
      <c r="K3297" s="14" t="s">
        <v>398</v>
      </c>
      <c r="N3297" s="14" t="str">
        <f>IFERROR(__xludf.DUMMYFUNCTION("""COMPUTED_VALUE"""),"")</f>
        <v/>
      </c>
      <c r="O3297" s="14"/>
    </row>
    <row r="3298" ht="22.5" hidden="1" customHeight="1">
      <c r="A3298" s="8">
        <v>46048.68362296296</v>
      </c>
      <c r="B3298" s="14">
        <v>46048.0</v>
      </c>
      <c r="C3298" s="9" t="s">
        <v>86</v>
      </c>
      <c r="D3298" s="9" t="s">
        <v>394</v>
      </c>
      <c r="E3298" s="9" t="s">
        <v>17</v>
      </c>
      <c r="F3298" s="9" t="s">
        <v>17</v>
      </c>
      <c r="G3298" s="9">
        <v>7.0</v>
      </c>
      <c r="H3298" s="9" t="s">
        <v>22</v>
      </c>
      <c r="I3298" s="9" t="s">
        <v>20</v>
      </c>
      <c r="J3298" s="10"/>
      <c r="K3298" s="14" t="s">
        <v>398</v>
      </c>
      <c r="N3298" s="14" t="str">
        <f>IFERROR(__xludf.DUMMYFUNCTION("""COMPUTED_VALUE"""),"")</f>
        <v/>
      </c>
      <c r="O3298" s="14"/>
    </row>
    <row r="3299" ht="22.5" hidden="1" customHeight="1">
      <c r="A3299" s="8">
        <v>46048.683870243054</v>
      </c>
      <c r="B3299" s="14">
        <v>46048.0</v>
      </c>
      <c r="C3299" s="9" t="s">
        <v>86</v>
      </c>
      <c r="D3299" s="9" t="s">
        <v>335</v>
      </c>
      <c r="E3299" s="9" t="s">
        <v>17</v>
      </c>
      <c r="F3299" s="9" t="s">
        <v>17</v>
      </c>
      <c r="G3299" s="9">
        <v>7.0</v>
      </c>
      <c r="H3299" s="9" t="s">
        <v>25</v>
      </c>
      <c r="I3299" s="9" t="s">
        <v>211</v>
      </c>
      <c r="J3299" s="10"/>
      <c r="K3299" s="14" t="s">
        <v>398</v>
      </c>
      <c r="N3299" s="14" t="str">
        <f>IFERROR(__xludf.DUMMYFUNCTION("""COMPUTED_VALUE"""),"")</f>
        <v/>
      </c>
      <c r="O3299" s="14"/>
    </row>
    <row r="3300" ht="22.5" hidden="1" customHeight="1">
      <c r="A3300" s="8">
        <v>46048.684147893524</v>
      </c>
      <c r="B3300" s="14">
        <v>46048.0</v>
      </c>
      <c r="C3300" s="9" t="s">
        <v>86</v>
      </c>
      <c r="D3300" s="9" t="s">
        <v>259</v>
      </c>
      <c r="E3300" s="9" t="s">
        <v>17</v>
      </c>
      <c r="F3300" s="9" t="s">
        <v>17</v>
      </c>
      <c r="G3300" s="9">
        <v>7.0</v>
      </c>
      <c r="H3300" s="9" t="s">
        <v>22</v>
      </c>
      <c r="I3300" s="9" t="s">
        <v>20</v>
      </c>
      <c r="J3300" s="10"/>
      <c r="K3300" s="14" t="s">
        <v>398</v>
      </c>
      <c r="N3300" s="14" t="str">
        <f>IFERROR(__xludf.DUMMYFUNCTION("""COMPUTED_VALUE"""),"")</f>
        <v/>
      </c>
      <c r="O3300" s="14"/>
    </row>
    <row r="3301" ht="22.5" hidden="1" customHeight="1">
      <c r="A3301" s="8">
        <v>46048.68442013889</v>
      </c>
      <c r="B3301" s="14">
        <v>46048.0</v>
      </c>
      <c r="C3301" s="9" t="s">
        <v>86</v>
      </c>
      <c r="D3301" s="9" t="s">
        <v>223</v>
      </c>
      <c r="E3301" s="9" t="s">
        <v>17</v>
      </c>
      <c r="F3301" s="9" t="s">
        <v>17</v>
      </c>
      <c r="G3301" s="9">
        <v>8.0</v>
      </c>
      <c r="H3301" s="9" t="s">
        <v>22</v>
      </c>
      <c r="I3301" s="9" t="s">
        <v>20</v>
      </c>
      <c r="J3301" s="10"/>
      <c r="K3301" s="14" t="s">
        <v>398</v>
      </c>
      <c r="N3301" s="14" t="str">
        <f>IFERROR(__xludf.DUMMYFUNCTION("""COMPUTED_VALUE"""),"")</f>
        <v/>
      </c>
      <c r="O3301" s="14"/>
    </row>
    <row r="3302" ht="22.5" hidden="1" customHeight="1">
      <c r="A3302" s="8">
        <v>46048.68461490741</v>
      </c>
      <c r="B3302" s="14">
        <v>46048.0</v>
      </c>
      <c r="C3302" s="9" t="s">
        <v>86</v>
      </c>
      <c r="D3302" s="9" t="s">
        <v>247</v>
      </c>
      <c r="E3302" s="9" t="s">
        <v>17</v>
      </c>
      <c r="F3302" s="9" t="s">
        <v>17</v>
      </c>
      <c r="G3302" s="9">
        <v>7.0</v>
      </c>
      <c r="H3302" s="9" t="s">
        <v>22</v>
      </c>
      <c r="I3302" s="9" t="s">
        <v>20</v>
      </c>
      <c r="J3302" s="10"/>
      <c r="K3302" s="14" t="s">
        <v>398</v>
      </c>
      <c r="N3302" s="14" t="str">
        <f>IFERROR(__xludf.DUMMYFUNCTION("""COMPUTED_VALUE"""),"")</f>
        <v/>
      </c>
      <c r="O3302" s="14"/>
    </row>
    <row r="3303" ht="22.5" hidden="1" customHeight="1">
      <c r="A3303" s="8">
        <v>46048.68485902778</v>
      </c>
      <c r="B3303" s="14">
        <v>46048.0</v>
      </c>
      <c r="C3303" s="9" t="s">
        <v>86</v>
      </c>
      <c r="D3303" s="9" t="s">
        <v>357</v>
      </c>
      <c r="E3303" s="9" t="s">
        <v>17</v>
      </c>
      <c r="F3303" s="9" t="s">
        <v>17</v>
      </c>
      <c r="G3303" s="9">
        <v>7.0</v>
      </c>
      <c r="H3303" s="9" t="s">
        <v>22</v>
      </c>
      <c r="I3303" s="9" t="s">
        <v>20</v>
      </c>
      <c r="J3303" s="10"/>
      <c r="K3303" s="14" t="s">
        <v>398</v>
      </c>
      <c r="N3303" s="14" t="str">
        <f>IFERROR(__xludf.DUMMYFUNCTION("""COMPUTED_VALUE"""),"")</f>
        <v/>
      </c>
      <c r="O3303" s="14"/>
    </row>
    <row r="3304" ht="22.5" hidden="1" customHeight="1">
      <c r="A3304" s="8">
        <v>46048.685297627315</v>
      </c>
      <c r="B3304" s="14">
        <v>46048.0</v>
      </c>
      <c r="C3304" s="9" t="s">
        <v>86</v>
      </c>
      <c r="D3304" s="9" t="s">
        <v>177</v>
      </c>
      <c r="E3304" s="9" t="s">
        <v>17</v>
      </c>
      <c r="F3304" s="9" t="s">
        <v>17</v>
      </c>
      <c r="G3304" s="9">
        <v>7.0</v>
      </c>
      <c r="H3304" s="9" t="s">
        <v>22</v>
      </c>
      <c r="I3304" s="9" t="s">
        <v>20</v>
      </c>
      <c r="J3304" s="10"/>
      <c r="K3304" s="14" t="s">
        <v>398</v>
      </c>
      <c r="N3304" s="14" t="str">
        <f>IFERROR(__xludf.DUMMYFUNCTION("""COMPUTED_VALUE"""),"")</f>
        <v/>
      </c>
      <c r="O3304" s="14"/>
    </row>
    <row r="3305" ht="22.5" hidden="1" customHeight="1">
      <c r="A3305" s="8">
        <v>46048.69398107639</v>
      </c>
      <c r="B3305" s="14">
        <v>46048.0</v>
      </c>
      <c r="C3305" s="9" t="s">
        <v>86</v>
      </c>
      <c r="D3305" s="9" t="s">
        <v>258</v>
      </c>
      <c r="E3305" s="9" t="s">
        <v>17</v>
      </c>
      <c r="F3305" s="9" t="s">
        <v>17</v>
      </c>
      <c r="G3305" s="9">
        <v>8.0</v>
      </c>
      <c r="H3305" s="9" t="s">
        <v>22</v>
      </c>
      <c r="I3305" s="9" t="s">
        <v>20</v>
      </c>
      <c r="J3305" s="10"/>
      <c r="K3305" s="14" t="s">
        <v>398</v>
      </c>
      <c r="N3305" s="14" t="str">
        <f>IFERROR(__xludf.DUMMYFUNCTION("""COMPUTED_VALUE"""),"")</f>
        <v/>
      </c>
      <c r="O3305" s="14"/>
    </row>
    <row r="3306" ht="22.5" hidden="1" customHeight="1">
      <c r="A3306" s="8">
        <v>46048.694291458334</v>
      </c>
      <c r="B3306" s="14">
        <v>46048.0</v>
      </c>
      <c r="C3306" s="9" t="s">
        <v>86</v>
      </c>
      <c r="D3306" s="9" t="s">
        <v>170</v>
      </c>
      <c r="E3306" s="9" t="s">
        <v>17</v>
      </c>
      <c r="F3306" s="9" t="s">
        <v>17</v>
      </c>
      <c r="G3306" s="9">
        <v>8.0</v>
      </c>
      <c r="H3306" s="9" t="s">
        <v>22</v>
      </c>
      <c r="I3306" s="9" t="s">
        <v>20</v>
      </c>
      <c r="J3306" s="10"/>
      <c r="K3306" s="14" t="s">
        <v>398</v>
      </c>
      <c r="N3306" s="14" t="str">
        <f>IFERROR(__xludf.DUMMYFUNCTION("""COMPUTED_VALUE"""),"")</f>
        <v/>
      </c>
      <c r="O3306" s="14"/>
    </row>
    <row r="3307" ht="22.5" hidden="1" customHeight="1">
      <c r="A3307" s="8">
        <v>46048.70888295139</v>
      </c>
      <c r="B3307" s="14">
        <v>46048.0</v>
      </c>
      <c r="C3307" s="9" t="s">
        <v>86</v>
      </c>
      <c r="D3307" s="9" t="s">
        <v>397</v>
      </c>
      <c r="E3307" s="9" t="s">
        <v>17</v>
      </c>
      <c r="F3307" s="9" t="s">
        <v>17</v>
      </c>
      <c r="G3307" s="9">
        <v>7.0</v>
      </c>
      <c r="H3307" s="9" t="s">
        <v>22</v>
      </c>
      <c r="I3307" s="9" t="s">
        <v>20</v>
      </c>
      <c r="J3307" s="10"/>
      <c r="K3307" s="14" t="s">
        <v>398</v>
      </c>
      <c r="N3307" s="14" t="str">
        <f>IFERROR(__xludf.DUMMYFUNCTION("""COMPUTED_VALUE"""),"")</f>
        <v/>
      </c>
      <c r="O3307" s="14"/>
    </row>
    <row r="3308" ht="22.5" hidden="1" customHeight="1">
      <c r="A3308" s="8">
        <v>46049.353015243054</v>
      </c>
      <c r="B3308" s="14">
        <v>46049.0</v>
      </c>
      <c r="C3308" s="9" t="s">
        <v>110</v>
      </c>
      <c r="D3308" s="9" t="s">
        <v>280</v>
      </c>
      <c r="E3308" s="9" t="s">
        <v>17</v>
      </c>
      <c r="F3308" s="9" t="s">
        <v>17</v>
      </c>
      <c r="G3308" s="9">
        <v>8.0</v>
      </c>
      <c r="H3308" s="9" t="s">
        <v>22</v>
      </c>
      <c r="I3308" s="9" t="s">
        <v>20</v>
      </c>
      <c r="J3308" s="10"/>
      <c r="K3308" s="14">
        <v>3.0</v>
      </c>
      <c r="N3308" s="14" t="str">
        <f>IFERROR(__xludf.DUMMYFUNCTION("""COMPUTED_VALUE"""),"")</f>
        <v/>
      </c>
      <c r="O3308" s="14"/>
    </row>
    <row r="3309" ht="22.5" hidden="1" customHeight="1">
      <c r="A3309" s="8">
        <v>46049.35336039352</v>
      </c>
      <c r="B3309" s="14">
        <v>46049.0</v>
      </c>
      <c r="C3309" s="9" t="s">
        <v>110</v>
      </c>
      <c r="D3309" s="9" t="s">
        <v>249</v>
      </c>
      <c r="E3309" s="9" t="s">
        <v>17</v>
      </c>
      <c r="F3309" s="9" t="s">
        <v>17</v>
      </c>
      <c r="G3309" s="9">
        <v>7.0</v>
      </c>
      <c r="H3309" s="9" t="s">
        <v>22</v>
      </c>
      <c r="I3309" s="9" t="s">
        <v>20</v>
      </c>
      <c r="J3309" s="10"/>
      <c r="K3309" s="14" t="s">
        <v>398</v>
      </c>
      <c r="N3309" s="14" t="str">
        <f>IFERROR(__xludf.DUMMYFUNCTION("""COMPUTED_VALUE"""),"")</f>
        <v/>
      </c>
      <c r="O3309" s="14"/>
    </row>
    <row r="3310" ht="22.5" hidden="1" customHeight="1">
      <c r="A3310" s="8">
        <v>46049.35911542824</v>
      </c>
      <c r="B3310" s="14">
        <v>46049.0</v>
      </c>
      <c r="C3310" s="9" t="s">
        <v>110</v>
      </c>
      <c r="D3310" s="9" t="s">
        <v>413</v>
      </c>
      <c r="E3310" s="9" t="s">
        <v>17</v>
      </c>
      <c r="F3310" s="9" t="s">
        <v>17</v>
      </c>
      <c r="G3310" s="9">
        <v>7.0</v>
      </c>
      <c r="H3310" s="9" t="s">
        <v>22</v>
      </c>
      <c r="I3310" s="9" t="s">
        <v>20</v>
      </c>
      <c r="J3310" s="10"/>
      <c r="K3310" s="14" t="s">
        <v>398</v>
      </c>
      <c r="N3310" s="14" t="str">
        <f>IFERROR(__xludf.DUMMYFUNCTION("""COMPUTED_VALUE"""),"")</f>
        <v/>
      </c>
      <c r="O3310" s="14"/>
    </row>
    <row r="3311" ht="22.5" hidden="1" customHeight="1">
      <c r="A3311" s="8">
        <v>46049.359339456016</v>
      </c>
      <c r="B3311" s="14">
        <v>46049.0</v>
      </c>
      <c r="C3311" s="9" t="s">
        <v>110</v>
      </c>
      <c r="D3311" s="9" t="s">
        <v>408</v>
      </c>
      <c r="E3311" s="9" t="s">
        <v>17</v>
      </c>
      <c r="F3311" s="9" t="s">
        <v>17</v>
      </c>
      <c r="G3311" s="9">
        <v>8.0</v>
      </c>
      <c r="H3311" s="9" t="s">
        <v>22</v>
      </c>
      <c r="I3311" s="9" t="s">
        <v>20</v>
      </c>
      <c r="J3311" s="10"/>
      <c r="K3311" s="14">
        <v>5.0</v>
      </c>
      <c r="N3311" s="14" t="str">
        <f>IFERROR(__xludf.DUMMYFUNCTION("""COMPUTED_VALUE"""),"")</f>
        <v/>
      </c>
      <c r="O3311" s="14"/>
    </row>
    <row r="3312" ht="22.5" hidden="1" customHeight="1">
      <c r="A3312" s="8">
        <v>46049.35959039352</v>
      </c>
      <c r="B3312" s="14">
        <v>46049.0</v>
      </c>
      <c r="C3312" s="9" t="s">
        <v>110</v>
      </c>
      <c r="D3312" s="9" t="s">
        <v>168</v>
      </c>
      <c r="E3312" s="9" t="s">
        <v>17</v>
      </c>
      <c r="F3312" s="9" t="s">
        <v>17</v>
      </c>
      <c r="G3312" s="9">
        <v>7.0</v>
      </c>
      <c r="H3312" s="9" t="s">
        <v>22</v>
      </c>
      <c r="I3312" s="9" t="s">
        <v>20</v>
      </c>
      <c r="J3312" s="10"/>
      <c r="K3312" s="14">
        <v>4.0</v>
      </c>
      <c r="N3312" s="14" t="str">
        <f>IFERROR(__xludf.DUMMYFUNCTION("""COMPUTED_VALUE"""),"")</f>
        <v/>
      </c>
      <c r="O3312" s="14"/>
    </row>
    <row r="3313" ht="22.5" hidden="1" customHeight="1">
      <c r="A3313" s="8">
        <v>46049.38239296296</v>
      </c>
      <c r="B3313" s="14">
        <v>46049.0</v>
      </c>
      <c r="C3313" s="9" t="s">
        <v>110</v>
      </c>
      <c r="D3313" s="9" t="s">
        <v>175</v>
      </c>
      <c r="E3313" s="9" t="s">
        <v>17</v>
      </c>
      <c r="F3313" s="9" t="s">
        <v>17</v>
      </c>
      <c r="G3313" s="9">
        <v>7.0</v>
      </c>
      <c r="H3313" s="9" t="s">
        <v>25</v>
      </c>
      <c r="I3313" s="9" t="s">
        <v>207</v>
      </c>
      <c r="J3313" s="10"/>
      <c r="K3313" s="14">
        <v>6.0</v>
      </c>
      <c r="N3313" s="14" t="str">
        <f>IFERROR(__xludf.DUMMYFUNCTION("""COMPUTED_VALUE"""),"")</f>
        <v/>
      </c>
      <c r="O3313" s="14"/>
    </row>
    <row r="3314" ht="22.5" hidden="1" customHeight="1">
      <c r="A3314" s="8">
        <v>46049.382918703704</v>
      </c>
      <c r="B3314" s="14">
        <v>46049.0</v>
      </c>
      <c r="C3314" s="9" t="s">
        <v>110</v>
      </c>
      <c r="D3314" s="9" t="s">
        <v>177</v>
      </c>
      <c r="E3314" s="9" t="s">
        <v>46</v>
      </c>
      <c r="F3314" s="9" t="s">
        <v>17</v>
      </c>
      <c r="G3314" s="9">
        <v>7.0</v>
      </c>
      <c r="H3314" s="9" t="s">
        <v>25</v>
      </c>
      <c r="I3314" s="9" t="s">
        <v>28</v>
      </c>
      <c r="J3314" s="10"/>
      <c r="K3314" s="14">
        <v>5.0</v>
      </c>
      <c r="N3314" s="14" t="str">
        <f>IFERROR(__xludf.DUMMYFUNCTION("""COMPUTED_VALUE"""),"")</f>
        <v/>
      </c>
      <c r="O3314" s="14"/>
    </row>
    <row r="3315" ht="22.5" hidden="1" customHeight="1">
      <c r="A3315" s="8">
        <v>46049.38314314815</v>
      </c>
      <c r="B3315" s="14">
        <v>46049.0</v>
      </c>
      <c r="C3315" s="9" t="s">
        <v>110</v>
      </c>
      <c r="D3315" s="9" t="s">
        <v>259</v>
      </c>
      <c r="E3315" s="9" t="s">
        <v>17</v>
      </c>
      <c r="F3315" s="9" t="s">
        <v>17</v>
      </c>
      <c r="G3315" s="9">
        <v>8.0</v>
      </c>
      <c r="H3315" s="9" t="s">
        <v>22</v>
      </c>
      <c r="I3315" s="9" t="s">
        <v>20</v>
      </c>
      <c r="J3315" s="10"/>
      <c r="K3315" s="14">
        <v>4.0</v>
      </c>
      <c r="N3315" s="14" t="str">
        <f>IFERROR(__xludf.DUMMYFUNCTION("""COMPUTED_VALUE"""),"")</f>
        <v/>
      </c>
      <c r="O3315" s="14"/>
    </row>
    <row r="3316" ht="22.5" hidden="1" customHeight="1">
      <c r="A3316" s="8">
        <v>46049.38353170139</v>
      </c>
      <c r="B3316" s="14">
        <v>46049.0</v>
      </c>
      <c r="C3316" s="9" t="s">
        <v>110</v>
      </c>
      <c r="D3316" s="9" t="s">
        <v>178</v>
      </c>
      <c r="E3316" s="9" t="s">
        <v>17</v>
      </c>
      <c r="F3316" s="9" t="s">
        <v>17</v>
      </c>
      <c r="G3316" s="9">
        <v>8.0</v>
      </c>
      <c r="H3316" s="9" t="s">
        <v>25</v>
      </c>
      <c r="I3316" s="9" t="s">
        <v>273</v>
      </c>
      <c r="J3316" s="10"/>
      <c r="K3316" s="14" t="s">
        <v>398</v>
      </c>
      <c r="N3316" s="14" t="str">
        <f>IFERROR(__xludf.DUMMYFUNCTION("""COMPUTED_VALUE"""),"")</f>
        <v/>
      </c>
      <c r="O3316" s="14"/>
    </row>
    <row r="3317" ht="22.5" hidden="1" customHeight="1">
      <c r="A3317" s="8">
        <v>46049.383788506944</v>
      </c>
      <c r="B3317" s="14">
        <v>46049.0</v>
      </c>
      <c r="C3317" s="9" t="s">
        <v>110</v>
      </c>
      <c r="D3317" s="9" t="s">
        <v>335</v>
      </c>
      <c r="E3317" s="9" t="s">
        <v>17</v>
      </c>
      <c r="F3317" s="9" t="s">
        <v>17</v>
      </c>
      <c r="G3317" s="9">
        <v>8.0</v>
      </c>
      <c r="H3317" s="9" t="s">
        <v>25</v>
      </c>
      <c r="I3317" s="9" t="s">
        <v>211</v>
      </c>
      <c r="J3317" s="10"/>
      <c r="K3317" s="14">
        <v>5.0</v>
      </c>
      <c r="N3317" s="14" t="str">
        <f>IFERROR(__xludf.DUMMYFUNCTION("""COMPUTED_VALUE"""),"")</f>
        <v/>
      </c>
      <c r="O3317" s="14"/>
    </row>
    <row r="3318" ht="22.5" hidden="1" customHeight="1">
      <c r="A3318" s="8">
        <v>46049.384106365746</v>
      </c>
      <c r="B3318" s="14">
        <v>46049.0</v>
      </c>
      <c r="C3318" s="9" t="s">
        <v>110</v>
      </c>
      <c r="D3318" s="9" t="s">
        <v>394</v>
      </c>
      <c r="E3318" s="9" t="s">
        <v>17</v>
      </c>
      <c r="F3318" s="9" t="s">
        <v>17</v>
      </c>
      <c r="G3318" s="9">
        <v>7.0</v>
      </c>
      <c r="H3318" s="9" t="s">
        <v>25</v>
      </c>
      <c r="I3318" s="9" t="s">
        <v>28</v>
      </c>
      <c r="J3318" s="10"/>
      <c r="K3318" s="14" t="s">
        <v>398</v>
      </c>
      <c r="N3318" s="14" t="str">
        <f>IFERROR(__xludf.DUMMYFUNCTION("""COMPUTED_VALUE"""),"")</f>
        <v/>
      </c>
      <c r="O3318" s="14"/>
    </row>
    <row r="3319" ht="22.5" hidden="1" customHeight="1">
      <c r="A3319" s="8">
        <v>46049.38439989583</v>
      </c>
      <c r="B3319" s="14">
        <v>46049.0</v>
      </c>
      <c r="C3319" s="9" t="s">
        <v>110</v>
      </c>
      <c r="D3319" s="9" t="s">
        <v>174</v>
      </c>
      <c r="E3319" s="9" t="s">
        <v>17</v>
      </c>
      <c r="F3319" s="9" t="s">
        <v>17</v>
      </c>
      <c r="G3319" s="9">
        <v>8.0</v>
      </c>
      <c r="H3319" s="9" t="s">
        <v>22</v>
      </c>
      <c r="I3319" s="9" t="s">
        <v>20</v>
      </c>
      <c r="J3319" s="10"/>
      <c r="K3319" s="14">
        <v>5.0</v>
      </c>
      <c r="N3319" s="14" t="str">
        <f>IFERROR(__xludf.DUMMYFUNCTION("""COMPUTED_VALUE"""),"")</f>
        <v/>
      </c>
      <c r="O3319" s="14"/>
    </row>
    <row r="3320" ht="22.5" hidden="1" customHeight="1">
      <c r="A3320" s="8">
        <v>46049.384655856484</v>
      </c>
      <c r="B3320" s="14">
        <v>46049.0</v>
      </c>
      <c r="C3320" s="9" t="s">
        <v>110</v>
      </c>
      <c r="D3320" s="9" t="s">
        <v>210</v>
      </c>
      <c r="E3320" s="9" t="s">
        <v>17</v>
      </c>
      <c r="F3320" s="9" t="s">
        <v>17</v>
      </c>
      <c r="G3320" s="9">
        <v>7.0</v>
      </c>
      <c r="H3320" s="9" t="s">
        <v>25</v>
      </c>
      <c r="I3320" s="9" t="s">
        <v>79</v>
      </c>
      <c r="J3320" s="10"/>
      <c r="K3320" s="14" t="s">
        <v>398</v>
      </c>
      <c r="N3320" s="14" t="str">
        <f>IFERROR(__xludf.DUMMYFUNCTION("""COMPUTED_VALUE"""),"")</f>
        <v/>
      </c>
      <c r="O3320" s="14"/>
    </row>
    <row r="3321" ht="22.5" hidden="1" customHeight="1">
      <c r="A3321" s="8">
        <v>46049.38487780093</v>
      </c>
      <c r="B3321" s="14">
        <v>46049.0</v>
      </c>
      <c r="C3321" s="9" t="s">
        <v>110</v>
      </c>
      <c r="D3321" s="9" t="s">
        <v>247</v>
      </c>
      <c r="E3321" s="9" t="s">
        <v>17</v>
      </c>
      <c r="F3321" s="9" t="s">
        <v>17</v>
      </c>
      <c r="G3321" s="9">
        <v>8.0</v>
      </c>
      <c r="H3321" s="9" t="s">
        <v>22</v>
      </c>
      <c r="I3321" s="9" t="s">
        <v>20</v>
      </c>
      <c r="J3321" s="10"/>
      <c r="K3321" s="14">
        <v>4.0</v>
      </c>
      <c r="N3321" s="14" t="str">
        <f>IFERROR(__xludf.DUMMYFUNCTION("""COMPUTED_VALUE"""),"")</f>
        <v/>
      </c>
      <c r="O3321" s="14"/>
    </row>
    <row r="3322" ht="22.5" hidden="1" customHeight="1">
      <c r="A3322" s="8">
        <v>46049.38509869213</v>
      </c>
      <c r="B3322" s="14">
        <v>46049.0</v>
      </c>
      <c r="C3322" s="9" t="s">
        <v>110</v>
      </c>
      <c r="D3322" s="9" t="s">
        <v>393</v>
      </c>
      <c r="E3322" s="9" t="s">
        <v>17</v>
      </c>
      <c r="F3322" s="9" t="s">
        <v>17</v>
      </c>
      <c r="G3322" s="9">
        <v>8.0</v>
      </c>
      <c r="H3322" s="9" t="s">
        <v>22</v>
      </c>
      <c r="I3322" s="9" t="s">
        <v>20</v>
      </c>
      <c r="J3322" s="10"/>
      <c r="K3322" s="14">
        <v>3.0</v>
      </c>
      <c r="N3322" s="14" t="str">
        <f>IFERROR(__xludf.DUMMYFUNCTION("""COMPUTED_VALUE"""),"")</f>
        <v/>
      </c>
      <c r="O3322" s="14"/>
    </row>
    <row r="3323" ht="22.5" hidden="1" customHeight="1">
      <c r="A3323" s="8">
        <v>46049.385354178245</v>
      </c>
      <c r="B3323" s="14">
        <v>46049.0</v>
      </c>
      <c r="C3323" s="9" t="s">
        <v>110</v>
      </c>
      <c r="D3323" s="9" t="s">
        <v>369</v>
      </c>
      <c r="E3323" s="9" t="s">
        <v>17</v>
      </c>
      <c r="F3323" s="9" t="s">
        <v>17</v>
      </c>
      <c r="G3323" s="9">
        <v>8.0</v>
      </c>
      <c r="H3323" s="9" t="s">
        <v>22</v>
      </c>
      <c r="I3323" s="9" t="s">
        <v>20</v>
      </c>
      <c r="J3323" s="10"/>
      <c r="K3323" s="14">
        <v>5.0</v>
      </c>
      <c r="N3323" s="14" t="str">
        <f>IFERROR(__xludf.DUMMYFUNCTION("""COMPUTED_VALUE"""),"")</f>
        <v/>
      </c>
      <c r="O3323" s="14"/>
    </row>
    <row r="3324" ht="22.5" hidden="1" customHeight="1">
      <c r="A3324" s="8">
        <v>46049.38567079861</v>
      </c>
      <c r="B3324" s="14">
        <v>46049.0</v>
      </c>
      <c r="C3324" s="9" t="s">
        <v>110</v>
      </c>
      <c r="D3324" s="9" t="s">
        <v>367</v>
      </c>
      <c r="E3324" s="9" t="s">
        <v>17</v>
      </c>
      <c r="F3324" s="9" t="s">
        <v>17</v>
      </c>
      <c r="G3324" s="9">
        <v>8.0</v>
      </c>
      <c r="H3324" s="9" t="s">
        <v>22</v>
      </c>
      <c r="I3324" s="9" t="s">
        <v>20</v>
      </c>
      <c r="J3324" s="10"/>
      <c r="K3324" s="14">
        <v>4.0</v>
      </c>
      <c r="N3324" s="14" t="str">
        <f>IFERROR(__xludf.DUMMYFUNCTION("""COMPUTED_VALUE"""),"")</f>
        <v/>
      </c>
      <c r="O3324" s="14"/>
    </row>
    <row r="3325" ht="22.5" hidden="1" customHeight="1">
      <c r="A3325" s="8">
        <v>46049.39132289352</v>
      </c>
      <c r="B3325" s="14">
        <v>46049.0</v>
      </c>
      <c r="C3325" s="9" t="s">
        <v>110</v>
      </c>
      <c r="D3325" s="9" t="s">
        <v>258</v>
      </c>
      <c r="E3325" s="9" t="s">
        <v>17</v>
      </c>
      <c r="F3325" s="9" t="s">
        <v>17</v>
      </c>
      <c r="G3325" s="9">
        <v>8.0</v>
      </c>
      <c r="H3325" s="9" t="s">
        <v>22</v>
      </c>
      <c r="I3325" s="9" t="s">
        <v>20</v>
      </c>
      <c r="J3325" s="10"/>
      <c r="K3325" s="14">
        <v>3.0</v>
      </c>
      <c r="N3325" s="14" t="str">
        <f>IFERROR(__xludf.DUMMYFUNCTION("""COMPUTED_VALUE"""),"")</f>
        <v/>
      </c>
      <c r="O3325" s="14"/>
    </row>
    <row r="3326" ht="22.5" hidden="1" customHeight="1">
      <c r="A3326" s="8">
        <v>46049.39173724537</v>
      </c>
      <c r="B3326" s="14">
        <v>46049.0</v>
      </c>
      <c r="C3326" s="9" t="s">
        <v>110</v>
      </c>
      <c r="D3326" s="9" t="s">
        <v>257</v>
      </c>
      <c r="E3326" s="9" t="s">
        <v>17</v>
      </c>
      <c r="F3326" s="9" t="s">
        <v>17</v>
      </c>
      <c r="G3326" s="9">
        <v>8.0</v>
      </c>
      <c r="H3326" s="9" t="s">
        <v>22</v>
      </c>
      <c r="I3326" s="9" t="s">
        <v>20</v>
      </c>
      <c r="J3326" s="10"/>
      <c r="K3326" s="14" t="s">
        <v>398</v>
      </c>
      <c r="N3326" s="14" t="str">
        <f>IFERROR(__xludf.DUMMYFUNCTION("""COMPUTED_VALUE"""),"")</f>
        <v/>
      </c>
      <c r="O3326" s="14"/>
    </row>
    <row r="3327" ht="22.5" hidden="1" customHeight="1">
      <c r="A3327" s="8">
        <v>46049.39202564815</v>
      </c>
      <c r="B3327" s="14">
        <v>46049.0</v>
      </c>
      <c r="C3327" s="9" t="s">
        <v>110</v>
      </c>
      <c r="D3327" s="9" t="s">
        <v>395</v>
      </c>
      <c r="E3327" s="9" t="s">
        <v>17</v>
      </c>
      <c r="F3327" s="9" t="s">
        <v>17</v>
      </c>
      <c r="G3327" s="9">
        <v>8.0</v>
      </c>
      <c r="H3327" s="9" t="s">
        <v>22</v>
      </c>
      <c r="I3327" s="9" t="s">
        <v>20</v>
      </c>
      <c r="J3327" s="10"/>
      <c r="K3327" s="14" t="s">
        <v>398</v>
      </c>
      <c r="N3327" s="14" t="str">
        <f>IFERROR(__xludf.DUMMYFUNCTION("""COMPUTED_VALUE"""),"")</f>
        <v/>
      </c>
      <c r="O3327" s="14"/>
    </row>
    <row r="3328" ht="22.5" hidden="1" customHeight="1">
      <c r="A3328" s="8">
        <v>46049.39224480324</v>
      </c>
      <c r="B3328" s="14">
        <v>46049.0</v>
      </c>
      <c r="C3328" s="9" t="s">
        <v>110</v>
      </c>
      <c r="D3328" s="9" t="s">
        <v>357</v>
      </c>
      <c r="E3328" s="9" t="s">
        <v>17</v>
      </c>
      <c r="F3328" s="9" t="s">
        <v>17</v>
      </c>
      <c r="G3328" s="9">
        <v>8.0</v>
      </c>
      <c r="H3328" s="9" t="s">
        <v>22</v>
      </c>
      <c r="I3328" s="9" t="s">
        <v>20</v>
      </c>
      <c r="J3328" s="10"/>
      <c r="K3328" s="14">
        <v>3.0</v>
      </c>
      <c r="N3328" s="14" t="str">
        <f>IFERROR(__xludf.DUMMYFUNCTION("""COMPUTED_VALUE"""),"")</f>
        <v/>
      </c>
      <c r="O3328" s="14"/>
    </row>
    <row r="3329" ht="22.5" hidden="1" customHeight="1">
      <c r="A3329" s="8">
        <v>46049.39251363426</v>
      </c>
      <c r="B3329" s="14">
        <v>46049.0</v>
      </c>
      <c r="C3329" s="9" t="s">
        <v>110</v>
      </c>
      <c r="D3329" s="9" t="s">
        <v>412</v>
      </c>
      <c r="E3329" s="9" t="s">
        <v>17</v>
      </c>
      <c r="F3329" s="9" t="s">
        <v>17</v>
      </c>
      <c r="G3329" s="9">
        <v>7.0</v>
      </c>
      <c r="H3329" s="9" t="s">
        <v>22</v>
      </c>
      <c r="I3329" s="9" t="s">
        <v>20</v>
      </c>
      <c r="J3329" s="10"/>
      <c r="K3329" s="14" t="s">
        <v>398</v>
      </c>
      <c r="N3329" s="14" t="str">
        <f>IFERROR(__xludf.DUMMYFUNCTION("""COMPUTED_VALUE"""),"")</f>
        <v/>
      </c>
      <c r="O3329" s="14"/>
    </row>
    <row r="3330" ht="22.5" hidden="1" customHeight="1">
      <c r="A3330" s="8">
        <v>46049.39287927083</v>
      </c>
      <c r="B3330" s="14">
        <v>46049.0</v>
      </c>
      <c r="C3330" s="9" t="s">
        <v>110</v>
      </c>
      <c r="D3330" s="9" t="s">
        <v>105</v>
      </c>
      <c r="E3330" s="9" t="s">
        <v>17</v>
      </c>
      <c r="F3330" s="9" t="s">
        <v>17</v>
      </c>
      <c r="G3330" s="9">
        <v>8.0</v>
      </c>
      <c r="H3330" s="9" t="s">
        <v>22</v>
      </c>
      <c r="I3330" s="9" t="s">
        <v>20</v>
      </c>
      <c r="J3330" s="10"/>
      <c r="K3330" s="14" t="s">
        <v>398</v>
      </c>
      <c r="N3330" s="14" t="str">
        <f>IFERROR(__xludf.DUMMYFUNCTION("""COMPUTED_VALUE"""),"")</f>
        <v/>
      </c>
      <c r="O3330" s="14"/>
    </row>
    <row r="3331" ht="22.5" hidden="1" customHeight="1">
      <c r="A3331" s="8">
        <v>46049.40521956018</v>
      </c>
      <c r="B3331" s="14">
        <v>46049.0</v>
      </c>
      <c r="C3331" s="9" t="s">
        <v>110</v>
      </c>
      <c r="D3331" s="9" t="s">
        <v>170</v>
      </c>
      <c r="E3331" s="9" t="s">
        <v>17</v>
      </c>
      <c r="F3331" s="9" t="s">
        <v>17</v>
      </c>
      <c r="G3331" s="9">
        <v>8.0</v>
      </c>
      <c r="H3331" s="9" t="s">
        <v>22</v>
      </c>
      <c r="I3331" s="9" t="s">
        <v>20</v>
      </c>
      <c r="J3331" s="10"/>
      <c r="K3331" s="14" t="s">
        <v>398</v>
      </c>
      <c r="N3331" s="14" t="str">
        <f>IFERROR(__xludf.DUMMYFUNCTION("""COMPUTED_VALUE"""),"")</f>
        <v/>
      </c>
      <c r="O3331" s="14"/>
    </row>
    <row r="3332" ht="22.5" hidden="1" customHeight="1">
      <c r="A3332" s="8">
        <v>46049.405486620366</v>
      </c>
      <c r="B3332" s="14">
        <v>46049.0</v>
      </c>
      <c r="C3332" s="9" t="s">
        <v>110</v>
      </c>
      <c r="D3332" s="9" t="s">
        <v>350</v>
      </c>
      <c r="E3332" s="9" t="s">
        <v>17</v>
      </c>
      <c r="F3332" s="9" t="s">
        <v>17</v>
      </c>
      <c r="G3332" s="9">
        <v>8.0</v>
      </c>
      <c r="H3332" s="9" t="s">
        <v>22</v>
      </c>
      <c r="I3332" s="9" t="s">
        <v>20</v>
      </c>
      <c r="J3332" s="10"/>
      <c r="K3332" s="14">
        <v>5.0</v>
      </c>
      <c r="N3332" s="14" t="str">
        <f>IFERROR(__xludf.DUMMYFUNCTION("""COMPUTED_VALUE"""),"")</f>
        <v/>
      </c>
      <c r="O3332" s="14"/>
    </row>
    <row r="3333" ht="22.5" hidden="1" customHeight="1">
      <c r="A3333" s="8">
        <v>46049.40640197917</v>
      </c>
      <c r="B3333" s="14">
        <v>46049.0</v>
      </c>
      <c r="C3333" s="9" t="s">
        <v>110</v>
      </c>
      <c r="D3333" s="9" t="s">
        <v>171</v>
      </c>
      <c r="E3333" s="9" t="s">
        <v>17</v>
      </c>
      <c r="F3333" s="9" t="s">
        <v>17</v>
      </c>
      <c r="G3333" s="9">
        <v>8.0</v>
      </c>
      <c r="H3333" s="9" t="s">
        <v>22</v>
      </c>
      <c r="I3333" s="9" t="s">
        <v>20</v>
      </c>
      <c r="J3333" s="10"/>
      <c r="K3333" s="14">
        <v>4.0</v>
      </c>
      <c r="N3333" s="14" t="str">
        <f>IFERROR(__xludf.DUMMYFUNCTION("""COMPUTED_VALUE"""),"")</f>
        <v/>
      </c>
      <c r="O3333" s="14"/>
    </row>
    <row r="3334" ht="22.5" hidden="1" customHeight="1">
      <c r="A3334" s="8">
        <v>46049.407422696764</v>
      </c>
      <c r="B3334" s="14">
        <v>46049.0</v>
      </c>
      <c r="C3334" s="9" t="s">
        <v>110</v>
      </c>
      <c r="D3334" s="9" t="s">
        <v>223</v>
      </c>
      <c r="E3334" s="9" t="s">
        <v>17</v>
      </c>
      <c r="F3334" s="9" t="s">
        <v>17</v>
      </c>
      <c r="G3334" s="9">
        <v>7.0</v>
      </c>
      <c r="H3334" s="9" t="s">
        <v>22</v>
      </c>
      <c r="I3334" s="9" t="s">
        <v>20</v>
      </c>
      <c r="J3334" s="10"/>
      <c r="K3334" s="14">
        <v>4.0</v>
      </c>
      <c r="N3334" s="14" t="str">
        <f>IFERROR(__xludf.DUMMYFUNCTION("""COMPUTED_VALUE"""),"")</f>
        <v/>
      </c>
      <c r="O3334" s="14"/>
    </row>
    <row r="3335" ht="22.5" hidden="1" customHeight="1">
      <c r="A3335" s="8">
        <v>46049.41481695602</v>
      </c>
      <c r="B3335" s="14">
        <v>46049.0</v>
      </c>
      <c r="C3335" s="9" t="s">
        <v>110</v>
      </c>
      <c r="D3335" s="9" t="s">
        <v>396</v>
      </c>
      <c r="E3335" s="9" t="s">
        <v>17</v>
      </c>
      <c r="F3335" s="9" t="s">
        <v>17</v>
      </c>
      <c r="G3335" s="9">
        <v>8.0</v>
      </c>
      <c r="H3335" s="9" t="s">
        <v>22</v>
      </c>
      <c r="I3335" s="9" t="s">
        <v>20</v>
      </c>
      <c r="J3335" s="10"/>
      <c r="K3335" s="14">
        <v>2.0</v>
      </c>
      <c r="N3335" s="14" t="str">
        <f>IFERROR(__xludf.DUMMYFUNCTION("""COMPUTED_VALUE"""),"")</f>
        <v/>
      </c>
      <c r="O3335" s="14"/>
    </row>
    <row r="3336" ht="22.5" hidden="1" customHeight="1">
      <c r="A3336" s="8">
        <v>46049.41722346065</v>
      </c>
      <c r="B3336" s="14">
        <v>46049.0</v>
      </c>
      <c r="C3336" s="9" t="s">
        <v>110</v>
      </c>
      <c r="D3336" s="9" t="s">
        <v>397</v>
      </c>
      <c r="E3336" s="9" t="s">
        <v>17</v>
      </c>
      <c r="F3336" s="9" t="s">
        <v>17</v>
      </c>
      <c r="G3336" s="9">
        <v>7.0</v>
      </c>
      <c r="H3336" s="9" t="s">
        <v>22</v>
      </c>
      <c r="I3336" s="9" t="s">
        <v>20</v>
      </c>
      <c r="J3336" s="10"/>
      <c r="K3336" s="14">
        <v>3.0</v>
      </c>
      <c r="N3336" s="14" t="str">
        <f>IFERROR(__xludf.DUMMYFUNCTION("""COMPUTED_VALUE"""),"")</f>
        <v/>
      </c>
      <c r="O3336" s="14"/>
    </row>
    <row r="3337" ht="22.5" hidden="1" customHeight="1">
      <c r="A3337" s="8">
        <v>46050.35166986111</v>
      </c>
      <c r="B3337" s="14">
        <v>46050.0</v>
      </c>
      <c r="C3337" s="9" t="s">
        <v>15</v>
      </c>
      <c r="D3337" s="9" t="s">
        <v>249</v>
      </c>
      <c r="E3337" s="9" t="s">
        <v>46</v>
      </c>
      <c r="F3337" s="9" t="s">
        <v>17</v>
      </c>
      <c r="G3337" s="9">
        <v>8.0</v>
      </c>
      <c r="H3337" s="9" t="s">
        <v>22</v>
      </c>
      <c r="I3337" s="9" t="s">
        <v>20</v>
      </c>
      <c r="J3337" s="10"/>
      <c r="K3337" s="14" t="s">
        <v>398</v>
      </c>
      <c r="N3337" s="14" t="str">
        <f>IFERROR(__xludf.DUMMYFUNCTION("""COMPUTED_VALUE"""),"")</f>
        <v/>
      </c>
      <c r="O3337" s="14"/>
    </row>
    <row r="3338" ht="22.5" hidden="1" customHeight="1">
      <c r="A3338" s="8">
        <v>46050.35192497685</v>
      </c>
      <c r="B3338" s="14">
        <v>46050.0</v>
      </c>
      <c r="C3338" s="9" t="s">
        <v>15</v>
      </c>
      <c r="D3338" s="9" t="s">
        <v>413</v>
      </c>
      <c r="E3338" s="9" t="s">
        <v>17</v>
      </c>
      <c r="F3338" s="9" t="s">
        <v>17</v>
      </c>
      <c r="G3338" s="9">
        <v>7.0</v>
      </c>
      <c r="H3338" s="9" t="s">
        <v>22</v>
      </c>
      <c r="I3338" s="9" t="s">
        <v>20</v>
      </c>
      <c r="J3338" s="10"/>
      <c r="K3338" s="14" t="s">
        <v>398</v>
      </c>
      <c r="N3338" s="14" t="str">
        <f>IFERROR(__xludf.DUMMYFUNCTION("""COMPUTED_VALUE"""),"")</f>
        <v/>
      </c>
      <c r="O3338" s="14"/>
    </row>
    <row r="3339" ht="22.5" hidden="1" customHeight="1">
      <c r="A3339" s="8">
        <v>46050.39752908565</v>
      </c>
      <c r="B3339" s="14">
        <v>46050.0</v>
      </c>
      <c r="C3339" s="9" t="s">
        <v>15</v>
      </c>
      <c r="D3339" s="9" t="s">
        <v>258</v>
      </c>
      <c r="E3339" s="9" t="s">
        <v>17</v>
      </c>
      <c r="F3339" s="9" t="s">
        <v>17</v>
      </c>
      <c r="G3339" s="9">
        <v>8.0</v>
      </c>
      <c r="H3339" s="9" t="s">
        <v>22</v>
      </c>
      <c r="I3339" s="9" t="s">
        <v>20</v>
      </c>
      <c r="J3339" s="10"/>
      <c r="K3339" s="14">
        <v>7.0</v>
      </c>
      <c r="N3339" s="14" t="str">
        <f>IFERROR(__xludf.DUMMYFUNCTION("""COMPUTED_VALUE"""),"")</f>
        <v/>
      </c>
      <c r="O3339" s="14"/>
    </row>
    <row r="3340" ht="22.5" hidden="1" customHeight="1">
      <c r="A3340" s="8">
        <v>46050.39777460648</v>
      </c>
      <c r="B3340" s="14">
        <v>46050.0</v>
      </c>
      <c r="C3340" s="9" t="s">
        <v>15</v>
      </c>
      <c r="D3340" s="9" t="s">
        <v>396</v>
      </c>
      <c r="E3340" s="9" t="s">
        <v>17</v>
      </c>
      <c r="F3340" s="9" t="s">
        <v>17</v>
      </c>
      <c r="G3340" s="9">
        <v>7.0</v>
      </c>
      <c r="H3340" s="9" t="s">
        <v>22</v>
      </c>
      <c r="I3340" s="9" t="s">
        <v>20</v>
      </c>
      <c r="J3340" s="10"/>
      <c r="K3340" s="14">
        <v>4.0</v>
      </c>
      <c r="N3340" s="14" t="str">
        <f>IFERROR(__xludf.DUMMYFUNCTION("""COMPUTED_VALUE"""),"")</f>
        <v/>
      </c>
      <c r="O3340" s="14"/>
    </row>
    <row r="3341" ht="22.5" hidden="1" customHeight="1">
      <c r="A3341" s="8">
        <v>46050.39799466435</v>
      </c>
      <c r="B3341" s="14">
        <v>46050.0</v>
      </c>
      <c r="C3341" s="9" t="s">
        <v>15</v>
      </c>
      <c r="D3341" s="9" t="s">
        <v>396</v>
      </c>
      <c r="E3341" s="9" t="s">
        <v>17</v>
      </c>
      <c r="F3341" s="9" t="s">
        <v>17</v>
      </c>
      <c r="G3341" s="9">
        <v>7.0</v>
      </c>
      <c r="H3341" s="9" t="s">
        <v>22</v>
      </c>
      <c r="I3341" s="9" t="s">
        <v>20</v>
      </c>
      <c r="J3341" s="10"/>
      <c r="K3341" s="14">
        <v>4.0</v>
      </c>
      <c r="N3341" s="14" t="str">
        <f>IFERROR(__xludf.DUMMYFUNCTION("""COMPUTED_VALUE"""),"")</f>
        <v/>
      </c>
      <c r="O3341" s="14"/>
    </row>
    <row r="3342" ht="22.5" hidden="1" customHeight="1">
      <c r="A3342" s="8">
        <v>46050.39839508102</v>
      </c>
      <c r="B3342" s="14">
        <v>46050.0</v>
      </c>
      <c r="C3342" s="9" t="s">
        <v>15</v>
      </c>
      <c r="D3342" s="9" t="s">
        <v>171</v>
      </c>
      <c r="E3342" s="9" t="s">
        <v>17</v>
      </c>
      <c r="F3342" s="9" t="s">
        <v>17</v>
      </c>
      <c r="G3342" s="9">
        <v>8.0</v>
      </c>
      <c r="H3342" s="9" t="s">
        <v>22</v>
      </c>
      <c r="I3342" s="9" t="s">
        <v>20</v>
      </c>
      <c r="J3342" s="10"/>
      <c r="K3342" s="14">
        <v>5.0</v>
      </c>
      <c r="N3342" s="14" t="str">
        <f>IFERROR(__xludf.DUMMYFUNCTION("""COMPUTED_VALUE"""),"")</f>
        <v/>
      </c>
      <c r="O3342" s="14"/>
    </row>
    <row r="3343" ht="22.5" hidden="1" customHeight="1">
      <c r="A3343" s="8">
        <v>46050.39867710648</v>
      </c>
      <c r="B3343" s="14">
        <v>46050.0</v>
      </c>
      <c r="C3343" s="9" t="s">
        <v>15</v>
      </c>
      <c r="D3343" s="9" t="s">
        <v>175</v>
      </c>
      <c r="E3343" s="9" t="s">
        <v>17</v>
      </c>
      <c r="F3343" s="9" t="s">
        <v>17</v>
      </c>
      <c r="G3343" s="9">
        <v>7.0</v>
      </c>
      <c r="H3343" s="9" t="s">
        <v>25</v>
      </c>
      <c r="I3343" s="9" t="s">
        <v>207</v>
      </c>
      <c r="J3343" s="10"/>
      <c r="K3343" s="14">
        <v>7.0</v>
      </c>
      <c r="N3343" s="14" t="str">
        <f>IFERROR(__xludf.DUMMYFUNCTION("""COMPUTED_VALUE"""),"")</f>
        <v/>
      </c>
      <c r="O3343" s="14"/>
    </row>
    <row r="3344" ht="22.5" hidden="1" customHeight="1">
      <c r="A3344" s="8">
        <v>46050.398916805556</v>
      </c>
      <c r="B3344" s="14">
        <v>46050.0</v>
      </c>
      <c r="C3344" s="9" t="s">
        <v>15</v>
      </c>
      <c r="D3344" s="9" t="s">
        <v>105</v>
      </c>
      <c r="E3344" s="9" t="s">
        <v>17</v>
      </c>
      <c r="F3344" s="9" t="s">
        <v>17</v>
      </c>
      <c r="G3344" s="9">
        <v>7.0</v>
      </c>
      <c r="H3344" s="9" t="s">
        <v>22</v>
      </c>
      <c r="I3344" s="9" t="s">
        <v>20</v>
      </c>
      <c r="J3344" s="10"/>
      <c r="K3344" s="14" t="s">
        <v>398</v>
      </c>
      <c r="N3344" s="14" t="str">
        <f>IFERROR(__xludf.DUMMYFUNCTION("""COMPUTED_VALUE"""),"")</f>
        <v/>
      </c>
      <c r="O3344" s="14"/>
    </row>
    <row r="3345" ht="22.5" hidden="1" customHeight="1">
      <c r="A3345" s="8">
        <v>46050.399198125</v>
      </c>
      <c r="B3345" s="14">
        <v>46050.0</v>
      </c>
      <c r="C3345" s="9" t="s">
        <v>15</v>
      </c>
      <c r="D3345" s="9" t="s">
        <v>177</v>
      </c>
      <c r="E3345" s="9" t="s">
        <v>46</v>
      </c>
      <c r="F3345" s="9" t="s">
        <v>17</v>
      </c>
      <c r="G3345" s="9">
        <v>7.0</v>
      </c>
      <c r="H3345" s="9" t="s">
        <v>22</v>
      </c>
      <c r="I3345" s="9" t="s">
        <v>20</v>
      </c>
      <c r="J3345" s="10"/>
      <c r="K3345" s="14">
        <v>4.0</v>
      </c>
      <c r="N3345" s="14" t="str">
        <f>IFERROR(__xludf.DUMMYFUNCTION("""COMPUTED_VALUE"""),"")</f>
        <v/>
      </c>
      <c r="O3345" s="14"/>
    </row>
    <row r="3346" ht="22.5" hidden="1" customHeight="1">
      <c r="A3346" s="8">
        <v>46050.39949207176</v>
      </c>
      <c r="B3346" s="14">
        <v>46050.0</v>
      </c>
      <c r="C3346" s="9" t="s">
        <v>15</v>
      </c>
      <c r="D3346" s="9" t="s">
        <v>168</v>
      </c>
      <c r="E3346" s="9" t="s">
        <v>17</v>
      </c>
      <c r="F3346" s="9" t="s">
        <v>17</v>
      </c>
      <c r="G3346" s="9">
        <v>8.0</v>
      </c>
      <c r="H3346" s="9" t="s">
        <v>22</v>
      </c>
      <c r="I3346" s="9" t="s">
        <v>20</v>
      </c>
      <c r="J3346" s="10"/>
      <c r="K3346" s="14">
        <v>4.0</v>
      </c>
      <c r="N3346" s="14" t="str">
        <f>IFERROR(__xludf.DUMMYFUNCTION("""COMPUTED_VALUE"""),"")</f>
        <v/>
      </c>
      <c r="O3346" s="14"/>
    </row>
    <row r="3347" ht="22.5" hidden="1" customHeight="1">
      <c r="A3347" s="8">
        <v>46050.39970712963</v>
      </c>
      <c r="B3347" s="14">
        <v>46050.0</v>
      </c>
      <c r="C3347" s="9" t="s">
        <v>15</v>
      </c>
      <c r="D3347" s="9" t="s">
        <v>259</v>
      </c>
      <c r="E3347" s="9" t="s">
        <v>30</v>
      </c>
      <c r="F3347" s="9" t="s">
        <v>43</v>
      </c>
      <c r="G3347" s="9" t="s">
        <v>409</v>
      </c>
      <c r="H3347" s="9" t="s">
        <v>22</v>
      </c>
      <c r="I3347" s="9" t="s">
        <v>20</v>
      </c>
      <c r="J3347" s="10"/>
      <c r="K3347" s="14">
        <v>4.0</v>
      </c>
      <c r="N3347" s="14" t="str">
        <f>IFERROR(__xludf.DUMMYFUNCTION("""COMPUTED_VALUE"""),"")</f>
        <v/>
      </c>
      <c r="O3347" s="14"/>
    </row>
    <row r="3348" ht="22.5" hidden="1" customHeight="1">
      <c r="A3348" s="8">
        <v>46050.39994804398</v>
      </c>
      <c r="B3348" s="14">
        <v>46050.0</v>
      </c>
      <c r="C3348" s="9" t="s">
        <v>15</v>
      </c>
      <c r="D3348" s="9" t="s">
        <v>178</v>
      </c>
      <c r="E3348" s="9" t="s">
        <v>17</v>
      </c>
      <c r="F3348" s="9" t="s">
        <v>17</v>
      </c>
      <c r="G3348" s="9">
        <v>7.0</v>
      </c>
      <c r="H3348" s="9" t="s">
        <v>25</v>
      </c>
      <c r="I3348" s="9" t="s">
        <v>273</v>
      </c>
      <c r="J3348" s="10"/>
      <c r="K3348" s="14" t="s">
        <v>398</v>
      </c>
      <c r="N3348" s="14" t="str">
        <f>IFERROR(__xludf.DUMMYFUNCTION("""COMPUTED_VALUE"""),"")</f>
        <v/>
      </c>
      <c r="O3348" s="14"/>
    </row>
    <row r="3349" ht="22.5" hidden="1" customHeight="1">
      <c r="A3349" s="8">
        <v>46050.400147002314</v>
      </c>
      <c r="B3349" s="14">
        <v>46050.0</v>
      </c>
      <c r="C3349" s="9" t="s">
        <v>15</v>
      </c>
      <c r="D3349" s="9" t="s">
        <v>280</v>
      </c>
      <c r="E3349" s="9" t="s">
        <v>17</v>
      </c>
      <c r="F3349" s="9" t="s">
        <v>17</v>
      </c>
      <c r="G3349" s="9">
        <v>7.0</v>
      </c>
      <c r="H3349" s="9" t="s">
        <v>25</v>
      </c>
      <c r="I3349" s="9" t="s">
        <v>211</v>
      </c>
      <c r="J3349" s="10"/>
      <c r="K3349" s="14">
        <v>3.0</v>
      </c>
      <c r="N3349" s="14" t="str">
        <f>IFERROR(__xludf.DUMMYFUNCTION("""COMPUTED_VALUE"""),"")</f>
        <v/>
      </c>
      <c r="O3349" s="14"/>
    </row>
    <row r="3350" ht="22.5" hidden="1" customHeight="1">
      <c r="A3350" s="8">
        <v>46050.40049741898</v>
      </c>
      <c r="B3350" s="14">
        <v>46050.0</v>
      </c>
      <c r="C3350" s="9" t="s">
        <v>15</v>
      </c>
      <c r="D3350" s="9" t="s">
        <v>335</v>
      </c>
      <c r="E3350" s="9" t="s">
        <v>17</v>
      </c>
      <c r="F3350" s="9" t="s">
        <v>17</v>
      </c>
      <c r="G3350" s="9">
        <v>8.0</v>
      </c>
      <c r="H3350" s="9" t="s">
        <v>25</v>
      </c>
      <c r="I3350" s="9" t="s">
        <v>411</v>
      </c>
      <c r="J3350" s="10"/>
      <c r="K3350" s="14">
        <v>4.0</v>
      </c>
      <c r="N3350" s="14" t="str">
        <f>IFERROR(__xludf.DUMMYFUNCTION("""COMPUTED_VALUE"""),"")</f>
        <v/>
      </c>
      <c r="O3350" s="14"/>
    </row>
    <row r="3351" ht="22.5" hidden="1" customHeight="1">
      <c r="A3351" s="8">
        <v>46050.40073349537</v>
      </c>
      <c r="B3351" s="14">
        <v>46050.0</v>
      </c>
      <c r="C3351" s="9" t="s">
        <v>15</v>
      </c>
      <c r="D3351" s="9" t="s">
        <v>394</v>
      </c>
      <c r="E3351" s="9" t="s">
        <v>17</v>
      </c>
      <c r="F3351" s="9" t="s">
        <v>39</v>
      </c>
      <c r="G3351" s="9">
        <v>6.0</v>
      </c>
      <c r="H3351" s="9" t="s">
        <v>25</v>
      </c>
      <c r="I3351" s="9" t="s">
        <v>363</v>
      </c>
      <c r="J3351" s="10"/>
      <c r="K3351" s="14" t="s">
        <v>398</v>
      </c>
      <c r="N3351" s="14" t="str">
        <f>IFERROR(__xludf.DUMMYFUNCTION("""COMPUTED_VALUE"""),"")</f>
        <v/>
      </c>
      <c r="O3351" s="14"/>
    </row>
    <row r="3352" ht="22.5" hidden="1" customHeight="1">
      <c r="A3352" s="8">
        <v>46050.40094784722</v>
      </c>
      <c r="B3352" s="14">
        <v>46050.0</v>
      </c>
      <c r="C3352" s="9" t="s">
        <v>15</v>
      </c>
      <c r="D3352" s="9" t="s">
        <v>174</v>
      </c>
      <c r="E3352" s="9" t="s">
        <v>17</v>
      </c>
      <c r="F3352" s="9" t="s">
        <v>17</v>
      </c>
      <c r="G3352" s="9">
        <v>8.0</v>
      </c>
      <c r="H3352" s="9" t="s">
        <v>22</v>
      </c>
      <c r="I3352" s="9" t="s">
        <v>20</v>
      </c>
      <c r="J3352" s="10"/>
      <c r="K3352" s="14">
        <v>3.0</v>
      </c>
      <c r="N3352" s="14" t="str">
        <f>IFERROR(__xludf.DUMMYFUNCTION("""COMPUTED_VALUE"""),"")</f>
        <v/>
      </c>
      <c r="O3352" s="14"/>
    </row>
    <row r="3353" ht="22.5" hidden="1" customHeight="1">
      <c r="A3353" s="8">
        <v>46050.40114700231</v>
      </c>
      <c r="B3353" s="14">
        <v>46050.0</v>
      </c>
      <c r="C3353" s="9" t="s">
        <v>15</v>
      </c>
      <c r="D3353" s="9" t="s">
        <v>210</v>
      </c>
      <c r="E3353" s="9" t="s">
        <v>17</v>
      </c>
      <c r="F3353" s="9" t="s">
        <v>17</v>
      </c>
      <c r="G3353" s="9">
        <v>7.0</v>
      </c>
      <c r="H3353" s="9" t="s">
        <v>22</v>
      </c>
      <c r="I3353" s="9" t="s">
        <v>20</v>
      </c>
      <c r="J3353" s="10"/>
      <c r="K3353" s="14" t="s">
        <v>398</v>
      </c>
      <c r="N3353" s="14" t="str">
        <f>IFERROR(__xludf.DUMMYFUNCTION("""COMPUTED_VALUE"""),"")</f>
        <v/>
      </c>
      <c r="O3353" s="14"/>
    </row>
    <row r="3354" ht="22.5" hidden="1" customHeight="1">
      <c r="A3354" s="8">
        <v>46050.40136960648</v>
      </c>
      <c r="B3354" s="14">
        <v>46050.0</v>
      </c>
      <c r="C3354" s="9" t="s">
        <v>15</v>
      </c>
      <c r="D3354" s="9" t="s">
        <v>257</v>
      </c>
      <c r="E3354" s="9" t="s">
        <v>17</v>
      </c>
      <c r="F3354" s="9" t="s">
        <v>17</v>
      </c>
      <c r="G3354" s="9">
        <v>7.0</v>
      </c>
      <c r="H3354" s="9" t="s">
        <v>22</v>
      </c>
      <c r="I3354" s="9" t="s">
        <v>20</v>
      </c>
      <c r="J3354" s="10"/>
      <c r="K3354" s="14" t="s">
        <v>398</v>
      </c>
      <c r="N3354" s="14" t="str">
        <f>IFERROR(__xludf.DUMMYFUNCTION("""COMPUTED_VALUE"""),"")</f>
        <v/>
      </c>
      <c r="O3354" s="14"/>
    </row>
    <row r="3355" ht="22.5" hidden="1" customHeight="1">
      <c r="A3355" s="8">
        <v>46050.40155190972</v>
      </c>
      <c r="B3355" s="14">
        <v>46050.0</v>
      </c>
      <c r="C3355" s="9" t="s">
        <v>15</v>
      </c>
      <c r="D3355" s="9" t="s">
        <v>223</v>
      </c>
      <c r="E3355" s="9" t="s">
        <v>17</v>
      </c>
      <c r="F3355" s="9" t="s">
        <v>17</v>
      </c>
      <c r="G3355" s="9">
        <v>7.0</v>
      </c>
      <c r="H3355" s="9" t="s">
        <v>22</v>
      </c>
      <c r="I3355" s="9" t="s">
        <v>20</v>
      </c>
      <c r="J3355" s="10"/>
      <c r="K3355" s="14">
        <v>3.0</v>
      </c>
      <c r="N3355" s="14" t="str">
        <f>IFERROR(__xludf.DUMMYFUNCTION("""COMPUTED_VALUE"""),"")</f>
        <v/>
      </c>
      <c r="O3355" s="14"/>
    </row>
    <row r="3356" ht="22.5" hidden="1" customHeight="1">
      <c r="A3356" s="8">
        <v>46050.401774178245</v>
      </c>
      <c r="B3356" s="14">
        <v>46050.0</v>
      </c>
      <c r="C3356" s="9" t="s">
        <v>15</v>
      </c>
      <c r="D3356" s="9" t="s">
        <v>247</v>
      </c>
      <c r="E3356" s="9" t="s">
        <v>17</v>
      </c>
      <c r="F3356" s="9" t="s">
        <v>17</v>
      </c>
      <c r="G3356" s="9">
        <v>8.0</v>
      </c>
      <c r="H3356" s="9" t="s">
        <v>22</v>
      </c>
      <c r="I3356" s="9" t="s">
        <v>20</v>
      </c>
      <c r="J3356" s="10"/>
      <c r="K3356" s="14">
        <v>6.0</v>
      </c>
      <c r="N3356" s="14" t="str">
        <f>IFERROR(__xludf.DUMMYFUNCTION("""COMPUTED_VALUE"""),"")</f>
        <v/>
      </c>
      <c r="O3356" s="14"/>
    </row>
    <row r="3357" ht="22.5" hidden="1" customHeight="1">
      <c r="A3357" s="8">
        <v>46050.40202543982</v>
      </c>
      <c r="B3357" s="14">
        <v>46050.0</v>
      </c>
      <c r="C3357" s="9" t="s">
        <v>15</v>
      </c>
      <c r="D3357" s="9" t="s">
        <v>367</v>
      </c>
      <c r="E3357" s="9" t="s">
        <v>17</v>
      </c>
      <c r="F3357" s="9" t="s">
        <v>17</v>
      </c>
      <c r="G3357" s="9">
        <v>7.0</v>
      </c>
      <c r="H3357" s="9" t="s">
        <v>22</v>
      </c>
      <c r="I3357" s="9" t="s">
        <v>20</v>
      </c>
      <c r="J3357" s="10"/>
      <c r="K3357" s="14">
        <v>3.0</v>
      </c>
      <c r="N3357" s="14" t="str">
        <f>IFERROR(__xludf.DUMMYFUNCTION("""COMPUTED_VALUE"""),"")</f>
        <v/>
      </c>
      <c r="O3357" s="14"/>
    </row>
    <row r="3358" ht="22.5" hidden="1" customHeight="1">
      <c r="A3358" s="8">
        <v>46050.40224423612</v>
      </c>
      <c r="B3358" s="14">
        <v>46050.0</v>
      </c>
      <c r="C3358" s="9" t="s">
        <v>15</v>
      </c>
      <c r="D3358" s="9" t="s">
        <v>170</v>
      </c>
      <c r="E3358" s="9" t="s">
        <v>17</v>
      </c>
      <c r="F3358" s="9" t="s">
        <v>17</v>
      </c>
      <c r="G3358" s="9">
        <v>8.0</v>
      </c>
      <c r="H3358" s="9" t="s">
        <v>22</v>
      </c>
      <c r="I3358" s="9" t="s">
        <v>20</v>
      </c>
      <c r="J3358" s="10"/>
      <c r="K3358" s="14" t="s">
        <v>398</v>
      </c>
      <c r="N3358" s="14" t="str">
        <f>IFERROR(__xludf.DUMMYFUNCTION("""COMPUTED_VALUE"""),"")</f>
        <v/>
      </c>
      <c r="O3358" s="14"/>
    </row>
    <row r="3359" ht="22.5" hidden="1" customHeight="1">
      <c r="A3359" s="8">
        <v>46050.402457766206</v>
      </c>
      <c r="B3359" s="14">
        <v>46050.0</v>
      </c>
      <c r="C3359" s="9" t="s">
        <v>15</v>
      </c>
      <c r="D3359" s="9" t="s">
        <v>350</v>
      </c>
      <c r="E3359" s="9" t="s">
        <v>17</v>
      </c>
      <c r="F3359" s="9" t="s">
        <v>17</v>
      </c>
      <c r="G3359" s="9">
        <v>8.0</v>
      </c>
      <c r="H3359" s="9" t="s">
        <v>22</v>
      </c>
      <c r="I3359" s="9" t="s">
        <v>20</v>
      </c>
      <c r="J3359" s="10"/>
      <c r="K3359" s="14">
        <v>5.0</v>
      </c>
      <c r="N3359" s="14" t="str">
        <f>IFERROR(__xludf.DUMMYFUNCTION("""COMPUTED_VALUE"""),"")</f>
        <v/>
      </c>
      <c r="O3359" s="14"/>
    </row>
    <row r="3360" ht="22.5" hidden="1" customHeight="1">
      <c r="A3360" s="8">
        <v>46050.402677349535</v>
      </c>
      <c r="B3360" s="14">
        <v>46050.0</v>
      </c>
      <c r="C3360" s="9" t="s">
        <v>15</v>
      </c>
      <c r="D3360" s="9" t="s">
        <v>395</v>
      </c>
      <c r="E3360" s="9" t="s">
        <v>17</v>
      </c>
      <c r="F3360" s="9" t="s">
        <v>17</v>
      </c>
      <c r="G3360" s="9">
        <v>8.0</v>
      </c>
      <c r="H3360" s="9" t="s">
        <v>22</v>
      </c>
      <c r="I3360" s="9" t="s">
        <v>20</v>
      </c>
      <c r="J3360" s="10"/>
      <c r="K3360" s="14" t="s">
        <v>398</v>
      </c>
      <c r="N3360" s="14" t="str">
        <f>IFERROR(__xludf.DUMMYFUNCTION("""COMPUTED_VALUE"""),"")</f>
        <v/>
      </c>
      <c r="O3360" s="14"/>
    </row>
    <row r="3361" ht="22.5" hidden="1" customHeight="1">
      <c r="A3361" s="8">
        <v>46050.402875960644</v>
      </c>
      <c r="B3361" s="14">
        <v>46050.0</v>
      </c>
      <c r="C3361" s="9" t="s">
        <v>15</v>
      </c>
      <c r="D3361" s="9" t="s">
        <v>357</v>
      </c>
      <c r="E3361" s="9" t="s">
        <v>17</v>
      </c>
      <c r="F3361" s="9" t="s">
        <v>17</v>
      </c>
      <c r="G3361" s="9">
        <v>8.0</v>
      </c>
      <c r="H3361" s="9" t="s">
        <v>22</v>
      </c>
      <c r="I3361" s="9" t="s">
        <v>20</v>
      </c>
      <c r="J3361" s="10"/>
      <c r="K3361" s="14">
        <v>6.0</v>
      </c>
      <c r="N3361" s="14" t="str">
        <f>IFERROR(__xludf.DUMMYFUNCTION("""COMPUTED_VALUE"""),"")</f>
        <v/>
      </c>
      <c r="O3361" s="14"/>
    </row>
    <row r="3362" ht="22.5" hidden="1" customHeight="1">
      <c r="A3362" s="8">
        <v>46050.40305715278</v>
      </c>
      <c r="B3362" s="14">
        <v>46050.0</v>
      </c>
      <c r="C3362" s="9" t="s">
        <v>15</v>
      </c>
      <c r="D3362" s="9" t="s">
        <v>393</v>
      </c>
      <c r="E3362" s="9" t="s">
        <v>17</v>
      </c>
      <c r="F3362" s="9" t="s">
        <v>17</v>
      </c>
      <c r="G3362" s="9">
        <v>8.0</v>
      </c>
      <c r="H3362" s="9" t="s">
        <v>22</v>
      </c>
      <c r="I3362" s="9" t="s">
        <v>20</v>
      </c>
      <c r="J3362" s="10"/>
      <c r="K3362" s="14">
        <v>3.0</v>
      </c>
      <c r="N3362" s="14" t="str">
        <f>IFERROR(__xludf.DUMMYFUNCTION("""COMPUTED_VALUE"""),"")</f>
        <v/>
      </c>
      <c r="O3362" s="14"/>
    </row>
    <row r="3363" ht="22.5" hidden="1" customHeight="1">
      <c r="A3363" s="8">
        <v>46050.40336438657</v>
      </c>
      <c r="B3363" s="14">
        <v>46050.0</v>
      </c>
      <c r="C3363" s="9" t="s">
        <v>15</v>
      </c>
      <c r="D3363" s="9" t="s">
        <v>408</v>
      </c>
      <c r="E3363" s="9" t="s">
        <v>17</v>
      </c>
      <c r="F3363" s="9" t="s">
        <v>17</v>
      </c>
      <c r="G3363" s="9">
        <v>8.0</v>
      </c>
      <c r="H3363" s="9" t="s">
        <v>22</v>
      </c>
      <c r="I3363" s="9" t="s">
        <v>20</v>
      </c>
      <c r="J3363" s="10"/>
      <c r="K3363" s="14" t="s">
        <v>398</v>
      </c>
      <c r="N3363" s="14" t="str">
        <f>IFERROR(__xludf.DUMMYFUNCTION("""COMPUTED_VALUE"""),"")</f>
        <v/>
      </c>
      <c r="O3363" s="14"/>
    </row>
    <row r="3364" ht="22.5" hidden="1" customHeight="1">
      <c r="A3364" s="8">
        <v>46050.40358190972</v>
      </c>
      <c r="B3364" s="14">
        <v>46050.0</v>
      </c>
      <c r="C3364" s="9" t="s">
        <v>15</v>
      </c>
      <c r="D3364" s="9" t="s">
        <v>369</v>
      </c>
      <c r="E3364" s="9" t="s">
        <v>17</v>
      </c>
      <c r="F3364" s="9" t="s">
        <v>17</v>
      </c>
      <c r="G3364" s="9">
        <v>8.0</v>
      </c>
      <c r="H3364" s="9" t="s">
        <v>22</v>
      </c>
      <c r="I3364" s="9" t="s">
        <v>20</v>
      </c>
      <c r="J3364" s="10"/>
      <c r="K3364" s="14">
        <v>4.0</v>
      </c>
      <c r="N3364" s="14" t="str">
        <f>IFERROR(__xludf.DUMMYFUNCTION("""COMPUTED_VALUE"""),"")</f>
        <v/>
      </c>
      <c r="O3364" s="14"/>
    </row>
    <row r="3365" ht="22.5" hidden="1" customHeight="1">
      <c r="A3365" s="8">
        <v>46050.40379195602</v>
      </c>
      <c r="B3365" s="14">
        <v>46050.0</v>
      </c>
      <c r="C3365" s="9" t="s">
        <v>15</v>
      </c>
      <c r="D3365" s="9" t="s">
        <v>412</v>
      </c>
      <c r="E3365" s="9" t="s">
        <v>17</v>
      </c>
      <c r="F3365" s="9" t="s">
        <v>17</v>
      </c>
      <c r="G3365" s="9">
        <v>8.0</v>
      </c>
      <c r="H3365" s="9" t="s">
        <v>22</v>
      </c>
      <c r="I3365" s="9" t="s">
        <v>20</v>
      </c>
      <c r="J3365" s="10"/>
      <c r="K3365" s="14">
        <v>3.0</v>
      </c>
      <c r="N3365" s="14" t="str">
        <f>IFERROR(__xludf.DUMMYFUNCTION("""COMPUTED_VALUE"""),"")</f>
        <v/>
      </c>
      <c r="O3365" s="14"/>
    </row>
    <row r="3366" ht="22.5" hidden="1" customHeight="1">
      <c r="A3366" s="8">
        <v>46052.37234965278</v>
      </c>
      <c r="B3366" s="14">
        <v>46052.0</v>
      </c>
      <c r="C3366" s="9" t="s">
        <v>48</v>
      </c>
      <c r="D3366" s="9" t="s">
        <v>396</v>
      </c>
      <c r="E3366" s="9" t="s">
        <v>17</v>
      </c>
      <c r="F3366" s="9" t="s">
        <v>17</v>
      </c>
      <c r="G3366" s="9">
        <v>7.0</v>
      </c>
      <c r="H3366" s="9" t="s">
        <v>22</v>
      </c>
      <c r="I3366" s="9" t="s">
        <v>20</v>
      </c>
      <c r="J3366" s="10"/>
      <c r="K3366" s="14">
        <v>2.0</v>
      </c>
      <c r="N3366" s="14" t="str">
        <f>IFERROR(__xludf.DUMMYFUNCTION("""COMPUTED_VALUE"""),"")</f>
        <v/>
      </c>
      <c r="O3366" s="14"/>
    </row>
    <row r="3367" ht="22.5" hidden="1" customHeight="1">
      <c r="A3367" s="8">
        <v>46052.372651921294</v>
      </c>
      <c r="B3367" s="14">
        <v>46052.0</v>
      </c>
      <c r="C3367" s="9" t="s">
        <v>48</v>
      </c>
      <c r="D3367" s="9" t="s">
        <v>171</v>
      </c>
      <c r="E3367" s="9" t="s">
        <v>17</v>
      </c>
      <c r="F3367" s="9" t="s">
        <v>17</v>
      </c>
      <c r="G3367" s="9">
        <v>8.0</v>
      </c>
      <c r="H3367" s="9" t="s">
        <v>25</v>
      </c>
      <c r="I3367" s="9" t="s">
        <v>37</v>
      </c>
      <c r="J3367" s="10"/>
      <c r="K3367" s="14">
        <v>2.0</v>
      </c>
      <c r="N3367" s="14" t="str">
        <f>IFERROR(__xludf.DUMMYFUNCTION("""COMPUTED_VALUE"""),"")</f>
        <v/>
      </c>
      <c r="O3367" s="14"/>
    </row>
    <row r="3368" ht="22.5" hidden="1" customHeight="1">
      <c r="A3368" s="8">
        <v>46052.372852500004</v>
      </c>
      <c r="B3368" s="14">
        <v>46052.0</v>
      </c>
      <c r="C3368" s="9" t="s">
        <v>48</v>
      </c>
      <c r="D3368" s="9" t="s">
        <v>105</v>
      </c>
      <c r="E3368" s="9" t="s">
        <v>17</v>
      </c>
      <c r="F3368" s="9" t="s">
        <v>17</v>
      </c>
      <c r="G3368" s="9">
        <v>8.0</v>
      </c>
      <c r="H3368" s="9" t="s">
        <v>22</v>
      </c>
      <c r="I3368" s="9" t="s">
        <v>20</v>
      </c>
      <c r="J3368" s="10"/>
      <c r="K3368" s="14">
        <v>2.0</v>
      </c>
      <c r="N3368" s="14" t="str">
        <f>IFERROR(__xludf.DUMMYFUNCTION("""COMPUTED_VALUE"""),"")</f>
        <v/>
      </c>
      <c r="O3368" s="14"/>
    </row>
    <row r="3369" ht="22.5" hidden="1" customHeight="1">
      <c r="A3369" s="8">
        <v>46052.37327163194</v>
      </c>
      <c r="B3369" s="14">
        <v>46052.0</v>
      </c>
      <c r="C3369" s="9" t="s">
        <v>48</v>
      </c>
      <c r="D3369" s="9" t="s">
        <v>335</v>
      </c>
      <c r="E3369" s="9" t="s">
        <v>17</v>
      </c>
      <c r="F3369" s="9" t="s">
        <v>17</v>
      </c>
      <c r="G3369" s="9">
        <v>8.0</v>
      </c>
      <c r="H3369" s="9" t="s">
        <v>25</v>
      </c>
      <c r="I3369" s="9" t="s">
        <v>411</v>
      </c>
      <c r="J3369" s="10"/>
      <c r="K3369" s="14">
        <v>3.0</v>
      </c>
      <c r="N3369" s="14" t="str">
        <f>IFERROR(__xludf.DUMMYFUNCTION("""COMPUTED_VALUE"""),"")</f>
        <v/>
      </c>
      <c r="O3369" s="14"/>
    </row>
    <row r="3370" ht="22.5" hidden="1" customHeight="1">
      <c r="A3370" s="8">
        <v>46052.37355902778</v>
      </c>
      <c r="B3370" s="14">
        <v>46052.0</v>
      </c>
      <c r="C3370" s="9" t="s">
        <v>48</v>
      </c>
      <c r="D3370" s="9" t="s">
        <v>177</v>
      </c>
      <c r="E3370" s="9" t="s">
        <v>17</v>
      </c>
      <c r="F3370" s="9" t="s">
        <v>17</v>
      </c>
      <c r="G3370" s="9">
        <v>8.0</v>
      </c>
      <c r="H3370" s="9" t="s">
        <v>25</v>
      </c>
      <c r="I3370" s="9" t="s">
        <v>28</v>
      </c>
      <c r="J3370" s="10"/>
      <c r="K3370" s="14">
        <v>4.0</v>
      </c>
      <c r="N3370" s="14" t="str">
        <f>IFERROR(__xludf.DUMMYFUNCTION("""COMPUTED_VALUE"""),"")</f>
        <v/>
      </c>
      <c r="O3370" s="14"/>
    </row>
    <row r="3371" ht="22.5" hidden="1" customHeight="1">
      <c r="A3371" s="8">
        <v>46052.37384211806</v>
      </c>
      <c r="B3371" s="14">
        <v>46052.0</v>
      </c>
      <c r="C3371" s="9" t="s">
        <v>48</v>
      </c>
      <c r="D3371" s="9" t="s">
        <v>178</v>
      </c>
      <c r="E3371" s="9" t="s">
        <v>17</v>
      </c>
      <c r="F3371" s="9" t="s">
        <v>17</v>
      </c>
      <c r="G3371" s="9">
        <v>8.0</v>
      </c>
      <c r="H3371" s="9" t="s">
        <v>25</v>
      </c>
      <c r="I3371" s="9" t="s">
        <v>273</v>
      </c>
      <c r="J3371" s="10"/>
      <c r="K3371" s="14" t="s">
        <v>398</v>
      </c>
      <c r="N3371" s="14" t="str">
        <f>IFERROR(__xludf.DUMMYFUNCTION("""COMPUTED_VALUE"""),"")</f>
        <v/>
      </c>
      <c r="O3371" s="14"/>
    </row>
    <row r="3372" ht="22.5" hidden="1" customHeight="1">
      <c r="A3372" s="8">
        <v>46052.37405599537</v>
      </c>
      <c r="B3372" s="14">
        <v>46052.0</v>
      </c>
      <c r="C3372" s="9" t="s">
        <v>48</v>
      </c>
      <c r="D3372" s="9" t="s">
        <v>280</v>
      </c>
      <c r="E3372" s="9" t="s">
        <v>17</v>
      </c>
      <c r="F3372" s="9" t="s">
        <v>17</v>
      </c>
      <c r="G3372" s="9">
        <v>8.0</v>
      </c>
      <c r="H3372" s="9" t="s">
        <v>22</v>
      </c>
      <c r="I3372" s="9" t="s">
        <v>20</v>
      </c>
      <c r="J3372" s="10"/>
      <c r="K3372" s="14">
        <v>2.0</v>
      </c>
      <c r="N3372" s="14" t="str">
        <f>IFERROR(__xludf.DUMMYFUNCTION("""COMPUTED_VALUE"""),"")</f>
        <v/>
      </c>
      <c r="O3372" s="14"/>
    </row>
    <row r="3373" ht="22.5" hidden="1" customHeight="1">
      <c r="A3373" s="8">
        <v>46052.374322627315</v>
      </c>
      <c r="B3373" s="14">
        <v>46052.0</v>
      </c>
      <c r="C3373" s="9" t="s">
        <v>48</v>
      </c>
      <c r="D3373" s="9" t="s">
        <v>394</v>
      </c>
      <c r="E3373" s="9" t="s">
        <v>17</v>
      </c>
      <c r="F3373" s="9" t="s">
        <v>17</v>
      </c>
      <c r="G3373" s="9">
        <v>7.0</v>
      </c>
      <c r="H3373" s="9" t="s">
        <v>22</v>
      </c>
      <c r="I3373" s="9" t="s">
        <v>20</v>
      </c>
      <c r="J3373" s="10"/>
      <c r="K3373" s="14">
        <v>3.0</v>
      </c>
      <c r="N3373" s="14" t="str">
        <f>IFERROR(__xludf.DUMMYFUNCTION("""COMPUTED_VALUE"""),"")</f>
        <v/>
      </c>
      <c r="O3373" s="14"/>
    </row>
    <row r="3374" ht="22.5" hidden="1" customHeight="1">
      <c r="A3374" s="8">
        <v>46052.37453833333</v>
      </c>
      <c r="B3374" s="14">
        <v>46052.0</v>
      </c>
      <c r="C3374" s="9" t="s">
        <v>48</v>
      </c>
      <c r="D3374" s="9" t="s">
        <v>257</v>
      </c>
      <c r="E3374" s="9" t="s">
        <v>17</v>
      </c>
      <c r="F3374" s="9" t="s">
        <v>17</v>
      </c>
      <c r="G3374" s="9">
        <v>7.0</v>
      </c>
      <c r="H3374" s="9" t="s">
        <v>22</v>
      </c>
      <c r="I3374" s="9" t="s">
        <v>20</v>
      </c>
      <c r="J3374" s="10"/>
      <c r="K3374" s="14" t="s">
        <v>398</v>
      </c>
      <c r="N3374" s="14" t="str">
        <f>IFERROR(__xludf.DUMMYFUNCTION("""COMPUTED_VALUE"""),"")</f>
        <v/>
      </c>
      <c r="O3374" s="14"/>
    </row>
    <row r="3375" ht="22.5" hidden="1" customHeight="1">
      <c r="A3375" s="8">
        <v>46052.374759212966</v>
      </c>
      <c r="B3375" s="14">
        <v>46052.0</v>
      </c>
      <c r="C3375" s="9" t="s">
        <v>48</v>
      </c>
      <c r="D3375" s="9" t="s">
        <v>223</v>
      </c>
      <c r="E3375" s="9" t="s">
        <v>17</v>
      </c>
      <c r="F3375" s="9" t="s">
        <v>17</v>
      </c>
      <c r="G3375" s="9">
        <v>8.0</v>
      </c>
      <c r="H3375" s="9" t="s">
        <v>22</v>
      </c>
      <c r="I3375" s="9" t="s">
        <v>20</v>
      </c>
      <c r="J3375" s="10"/>
      <c r="K3375" s="14" t="s">
        <v>398</v>
      </c>
      <c r="N3375" s="14" t="str">
        <f>IFERROR(__xludf.DUMMYFUNCTION("""COMPUTED_VALUE"""),"")</f>
        <v/>
      </c>
      <c r="O3375" s="14"/>
    </row>
    <row r="3376" ht="22.5" hidden="1" customHeight="1">
      <c r="A3376" s="8">
        <v>46052.374970370365</v>
      </c>
      <c r="B3376" s="14">
        <v>46052.0</v>
      </c>
      <c r="C3376" s="9" t="s">
        <v>48</v>
      </c>
      <c r="D3376" s="9" t="s">
        <v>249</v>
      </c>
      <c r="E3376" s="9" t="s">
        <v>17</v>
      </c>
      <c r="F3376" s="9" t="s">
        <v>17</v>
      </c>
      <c r="G3376" s="9">
        <v>8.0</v>
      </c>
      <c r="H3376" s="9" t="s">
        <v>22</v>
      </c>
      <c r="I3376" s="9" t="s">
        <v>20</v>
      </c>
      <c r="J3376" s="10"/>
      <c r="K3376" s="14" t="s">
        <v>398</v>
      </c>
      <c r="N3376" s="14" t="str">
        <f>IFERROR(__xludf.DUMMYFUNCTION("""COMPUTED_VALUE"""),"")</f>
        <v/>
      </c>
      <c r="O3376" s="14"/>
    </row>
    <row r="3377" ht="22.5" hidden="1" customHeight="1">
      <c r="A3377" s="8">
        <v>46052.37522074074</v>
      </c>
      <c r="B3377" s="14">
        <v>46052.0</v>
      </c>
      <c r="C3377" s="9" t="s">
        <v>48</v>
      </c>
      <c r="D3377" s="9" t="s">
        <v>367</v>
      </c>
      <c r="E3377" s="9" t="s">
        <v>17</v>
      </c>
      <c r="F3377" s="9" t="s">
        <v>17</v>
      </c>
      <c r="G3377" s="9">
        <v>7.0</v>
      </c>
      <c r="H3377" s="9" t="s">
        <v>22</v>
      </c>
      <c r="I3377" s="9" t="s">
        <v>20</v>
      </c>
      <c r="J3377" s="10"/>
      <c r="K3377" s="14">
        <v>3.0</v>
      </c>
      <c r="N3377" s="14" t="str">
        <f>IFERROR(__xludf.DUMMYFUNCTION("""COMPUTED_VALUE"""),"")</f>
        <v/>
      </c>
      <c r="O3377" s="14"/>
    </row>
    <row r="3378" ht="22.5" hidden="1" customHeight="1">
      <c r="A3378" s="8">
        <v>46052.37552494213</v>
      </c>
      <c r="B3378" s="14">
        <v>46052.0</v>
      </c>
      <c r="C3378" s="9" t="s">
        <v>48</v>
      </c>
      <c r="D3378" s="9" t="s">
        <v>393</v>
      </c>
      <c r="E3378" s="9" t="s">
        <v>17</v>
      </c>
      <c r="F3378" s="9" t="s">
        <v>17</v>
      </c>
      <c r="G3378" s="9">
        <v>8.0</v>
      </c>
      <c r="H3378" s="9" t="s">
        <v>22</v>
      </c>
      <c r="I3378" s="9" t="s">
        <v>20</v>
      </c>
      <c r="J3378" s="10"/>
      <c r="K3378" s="14">
        <v>3.0</v>
      </c>
      <c r="N3378" s="14" t="str">
        <f>IFERROR(__xludf.DUMMYFUNCTION("""COMPUTED_VALUE"""),"")</f>
        <v/>
      </c>
      <c r="O3378" s="14"/>
    </row>
    <row r="3379" ht="22.5" hidden="1" customHeight="1">
      <c r="A3379" s="8">
        <v>46052.37579693287</v>
      </c>
      <c r="B3379" s="14">
        <v>46052.0</v>
      </c>
      <c r="C3379" s="9" t="s">
        <v>48</v>
      </c>
      <c r="D3379" s="9" t="s">
        <v>408</v>
      </c>
      <c r="E3379" s="9" t="s">
        <v>17</v>
      </c>
      <c r="F3379" s="9" t="s">
        <v>17</v>
      </c>
      <c r="G3379" s="9">
        <v>8.0</v>
      </c>
      <c r="H3379" s="9" t="s">
        <v>22</v>
      </c>
      <c r="I3379" s="9" t="s">
        <v>20</v>
      </c>
      <c r="J3379" s="10"/>
      <c r="K3379" s="14">
        <v>3.0</v>
      </c>
      <c r="N3379" s="14" t="str">
        <f>IFERROR(__xludf.DUMMYFUNCTION("""COMPUTED_VALUE"""),"")</f>
        <v/>
      </c>
      <c r="O3379" s="14"/>
    </row>
    <row r="3380" ht="22.5" hidden="1" customHeight="1">
      <c r="A3380" s="8">
        <v>46052.37605234954</v>
      </c>
      <c r="B3380" s="14">
        <v>46052.0</v>
      </c>
      <c r="C3380" s="9" t="s">
        <v>48</v>
      </c>
      <c r="D3380" s="9" t="s">
        <v>369</v>
      </c>
      <c r="E3380" s="9" t="s">
        <v>17</v>
      </c>
      <c r="F3380" s="9" t="s">
        <v>17</v>
      </c>
      <c r="G3380" s="9">
        <v>8.0</v>
      </c>
      <c r="H3380" s="9" t="s">
        <v>22</v>
      </c>
      <c r="I3380" s="9" t="s">
        <v>20</v>
      </c>
      <c r="J3380" s="10"/>
      <c r="K3380" s="14">
        <v>4.0</v>
      </c>
      <c r="N3380" s="14" t="str">
        <f>IFERROR(__xludf.DUMMYFUNCTION("""COMPUTED_VALUE"""),"")</f>
        <v/>
      </c>
      <c r="O3380" s="14"/>
    </row>
    <row r="3381" ht="22.5" hidden="1" customHeight="1">
      <c r="A3381" s="8">
        <v>46052.37626907407</v>
      </c>
      <c r="B3381" s="14">
        <v>46052.0</v>
      </c>
      <c r="C3381" s="9" t="s">
        <v>48</v>
      </c>
      <c r="D3381" s="9" t="s">
        <v>412</v>
      </c>
      <c r="E3381" s="9" t="s">
        <v>17</v>
      </c>
      <c r="F3381" s="9" t="s">
        <v>17</v>
      </c>
      <c r="G3381" s="9">
        <v>7.0</v>
      </c>
      <c r="H3381" s="9" t="s">
        <v>22</v>
      </c>
      <c r="I3381" s="9" t="s">
        <v>20</v>
      </c>
      <c r="J3381" s="10"/>
      <c r="K3381" s="14">
        <v>4.0</v>
      </c>
      <c r="N3381" s="14" t="str">
        <f>IFERROR(__xludf.DUMMYFUNCTION("""COMPUTED_VALUE"""),"")</f>
        <v/>
      </c>
      <c r="O3381" s="14"/>
    </row>
    <row r="3382" ht="22.5" hidden="1" customHeight="1">
      <c r="A3382" s="8">
        <v>46052.37647564815</v>
      </c>
      <c r="B3382" s="14">
        <v>46052.0</v>
      </c>
      <c r="C3382" s="9" t="s">
        <v>48</v>
      </c>
      <c r="D3382" s="9" t="s">
        <v>413</v>
      </c>
      <c r="E3382" s="9" t="s">
        <v>17</v>
      </c>
      <c r="F3382" s="9" t="s">
        <v>17</v>
      </c>
      <c r="G3382" s="9">
        <v>7.0</v>
      </c>
      <c r="H3382" s="9" t="s">
        <v>22</v>
      </c>
      <c r="I3382" s="9" t="s">
        <v>20</v>
      </c>
      <c r="J3382" s="10"/>
      <c r="K3382" s="14">
        <v>2.0</v>
      </c>
      <c r="N3382" s="14" t="str">
        <f>IFERROR(__xludf.DUMMYFUNCTION("""COMPUTED_VALUE"""),"")</f>
        <v/>
      </c>
      <c r="O3382" s="14"/>
    </row>
    <row r="3383" ht="22.5" hidden="1" customHeight="1">
      <c r="A3383" s="8">
        <v>46052.38658472222</v>
      </c>
      <c r="B3383" s="14">
        <v>46052.0</v>
      </c>
      <c r="C3383" s="9" t="s">
        <v>48</v>
      </c>
      <c r="D3383" s="9" t="s">
        <v>258</v>
      </c>
      <c r="E3383" s="9" t="s">
        <v>17</v>
      </c>
      <c r="F3383" s="9" t="s">
        <v>17</v>
      </c>
      <c r="G3383" s="9">
        <v>8.0</v>
      </c>
      <c r="H3383" s="9" t="s">
        <v>22</v>
      </c>
      <c r="I3383" s="9" t="s">
        <v>20</v>
      </c>
      <c r="J3383" s="10"/>
      <c r="K3383" s="14">
        <v>4.0</v>
      </c>
      <c r="N3383" s="14" t="str">
        <f>IFERROR(__xludf.DUMMYFUNCTION("""COMPUTED_VALUE"""),"")</f>
        <v/>
      </c>
      <c r="O3383" s="14"/>
    </row>
    <row r="3384" ht="22.5" hidden="1" customHeight="1">
      <c r="A3384" s="8">
        <v>46052.38679674768</v>
      </c>
      <c r="B3384" s="14">
        <v>46052.0</v>
      </c>
      <c r="C3384" s="9" t="s">
        <v>48</v>
      </c>
      <c r="D3384" s="9" t="s">
        <v>175</v>
      </c>
      <c r="E3384" s="9" t="s">
        <v>17</v>
      </c>
      <c r="F3384" s="9" t="s">
        <v>17</v>
      </c>
      <c r="G3384" s="9">
        <v>7.0</v>
      </c>
      <c r="H3384" s="9" t="s">
        <v>22</v>
      </c>
      <c r="I3384" s="9" t="s">
        <v>20</v>
      </c>
      <c r="J3384" s="10"/>
      <c r="K3384" s="14" t="s">
        <v>398</v>
      </c>
      <c r="N3384" s="14" t="str">
        <f>IFERROR(__xludf.DUMMYFUNCTION("""COMPUTED_VALUE"""),"")</f>
        <v/>
      </c>
      <c r="O3384" s="14"/>
    </row>
    <row r="3385" ht="22.5" hidden="1" customHeight="1">
      <c r="A3385" s="8">
        <v>46052.38700815973</v>
      </c>
      <c r="B3385" s="14">
        <v>46052.0</v>
      </c>
      <c r="C3385" s="9" t="s">
        <v>48</v>
      </c>
      <c r="D3385" s="9" t="s">
        <v>175</v>
      </c>
      <c r="E3385" s="9" t="s">
        <v>17</v>
      </c>
      <c r="F3385" s="9" t="s">
        <v>17</v>
      </c>
      <c r="G3385" s="9">
        <v>7.0</v>
      </c>
      <c r="H3385" s="9" t="s">
        <v>25</v>
      </c>
      <c r="I3385" s="9" t="s">
        <v>207</v>
      </c>
      <c r="J3385" s="10"/>
      <c r="K3385" s="14" t="s">
        <v>398</v>
      </c>
      <c r="N3385" s="14" t="str">
        <f>IFERROR(__xludf.DUMMYFUNCTION("""COMPUTED_VALUE"""),"")</f>
        <v/>
      </c>
      <c r="O3385" s="14"/>
    </row>
    <row r="3386" ht="22.5" hidden="1" customHeight="1">
      <c r="A3386" s="8">
        <v>46052.387307268524</v>
      </c>
      <c r="B3386" s="14">
        <v>46052.0</v>
      </c>
      <c r="C3386" s="9" t="s">
        <v>48</v>
      </c>
      <c r="D3386" s="9" t="s">
        <v>168</v>
      </c>
      <c r="E3386" s="9" t="s">
        <v>17</v>
      </c>
      <c r="F3386" s="9" t="s">
        <v>17</v>
      </c>
      <c r="G3386" s="9">
        <v>7.0</v>
      </c>
      <c r="H3386" s="9" t="s">
        <v>22</v>
      </c>
      <c r="I3386" s="9" t="s">
        <v>20</v>
      </c>
      <c r="J3386" s="10"/>
      <c r="K3386" s="14">
        <v>3.0</v>
      </c>
      <c r="N3386" s="14" t="str">
        <f>IFERROR(__xludf.DUMMYFUNCTION("""COMPUTED_VALUE"""),"")</f>
        <v/>
      </c>
      <c r="O3386" s="14"/>
    </row>
    <row r="3387" ht="22.5" hidden="1" customHeight="1">
      <c r="A3387" s="8">
        <v>46052.38763516204</v>
      </c>
      <c r="B3387" s="14">
        <v>46052.0</v>
      </c>
      <c r="C3387" s="9" t="s">
        <v>48</v>
      </c>
      <c r="D3387" s="9" t="s">
        <v>395</v>
      </c>
      <c r="E3387" s="9" t="s">
        <v>17</v>
      </c>
      <c r="F3387" s="9" t="s">
        <v>17</v>
      </c>
      <c r="G3387" s="9">
        <v>7.0</v>
      </c>
      <c r="H3387" s="9" t="s">
        <v>22</v>
      </c>
      <c r="I3387" s="9" t="s">
        <v>20</v>
      </c>
      <c r="J3387" s="10"/>
      <c r="K3387" s="14">
        <v>3.0</v>
      </c>
      <c r="N3387" s="14" t="str">
        <f>IFERROR(__xludf.DUMMYFUNCTION("""COMPUTED_VALUE"""),"")</f>
        <v/>
      </c>
      <c r="O3387" s="14"/>
    </row>
    <row r="3388" ht="22.5" hidden="1" customHeight="1">
      <c r="A3388" s="8">
        <v>46052.38790732639</v>
      </c>
      <c r="B3388" s="14">
        <v>46052.0</v>
      </c>
      <c r="C3388" s="9" t="s">
        <v>48</v>
      </c>
      <c r="D3388" s="9" t="s">
        <v>357</v>
      </c>
      <c r="E3388" s="9" t="s">
        <v>17</v>
      </c>
      <c r="F3388" s="9" t="s">
        <v>17</v>
      </c>
      <c r="G3388" s="9">
        <v>8.0</v>
      </c>
      <c r="H3388" s="9" t="s">
        <v>22</v>
      </c>
      <c r="I3388" s="9" t="s">
        <v>20</v>
      </c>
      <c r="J3388" s="10"/>
      <c r="K3388" s="14">
        <v>3.0</v>
      </c>
      <c r="N3388" s="14" t="str">
        <f>IFERROR(__xludf.DUMMYFUNCTION("""COMPUTED_VALUE"""),"")</f>
        <v/>
      </c>
      <c r="O3388" s="14"/>
    </row>
    <row r="3389" ht="22.5" hidden="1" customHeight="1">
      <c r="A3389" s="8">
        <v>46052.40032446759</v>
      </c>
      <c r="B3389" s="14">
        <v>46052.0</v>
      </c>
      <c r="C3389" s="9" t="s">
        <v>48</v>
      </c>
      <c r="D3389" s="9" t="s">
        <v>247</v>
      </c>
      <c r="E3389" s="9" t="s">
        <v>17</v>
      </c>
      <c r="F3389" s="9" t="s">
        <v>17</v>
      </c>
      <c r="G3389" s="9">
        <v>8.0</v>
      </c>
      <c r="H3389" s="9" t="s">
        <v>22</v>
      </c>
      <c r="I3389" s="9" t="s">
        <v>20</v>
      </c>
      <c r="J3389" s="10"/>
      <c r="K3389" s="14">
        <v>6.0</v>
      </c>
      <c r="N3389" s="14" t="str">
        <f>IFERROR(__xludf.DUMMYFUNCTION("""COMPUTED_VALUE"""),"")</f>
        <v/>
      </c>
      <c r="O3389" s="14"/>
    </row>
    <row r="3390" ht="22.5" hidden="1" customHeight="1">
      <c r="A3390" s="8">
        <v>46052.411478553244</v>
      </c>
      <c r="B3390" s="14">
        <v>46052.0</v>
      </c>
      <c r="C3390" s="9" t="s">
        <v>48</v>
      </c>
      <c r="D3390" s="9" t="s">
        <v>259</v>
      </c>
      <c r="E3390" s="9" t="s">
        <v>17</v>
      </c>
      <c r="F3390" s="9" t="s">
        <v>17</v>
      </c>
      <c r="G3390" s="9">
        <v>8.0</v>
      </c>
      <c r="H3390" s="9" t="s">
        <v>22</v>
      </c>
      <c r="I3390" s="9" t="s">
        <v>20</v>
      </c>
      <c r="J3390" s="10"/>
      <c r="K3390" s="14">
        <v>3.0</v>
      </c>
      <c r="N3390" s="14" t="str">
        <f>IFERROR(__xludf.DUMMYFUNCTION("""COMPUTED_VALUE"""),"")</f>
        <v/>
      </c>
      <c r="O3390" s="14"/>
    </row>
    <row r="3391" ht="22.5" hidden="1" customHeight="1">
      <c r="A3391" s="8">
        <v>46052.41161696759</v>
      </c>
      <c r="B3391" s="14">
        <v>46052.0</v>
      </c>
      <c r="C3391" s="9" t="s">
        <v>48</v>
      </c>
      <c r="D3391" s="9" t="s">
        <v>210</v>
      </c>
      <c r="E3391" s="9" t="s">
        <v>17</v>
      </c>
      <c r="F3391" s="9" t="s">
        <v>17</v>
      </c>
      <c r="G3391" s="9">
        <v>7.0</v>
      </c>
      <c r="H3391" s="9" t="s">
        <v>22</v>
      </c>
      <c r="I3391" s="9" t="s">
        <v>20</v>
      </c>
      <c r="J3391" s="10"/>
      <c r="K3391" s="14">
        <v>4.0</v>
      </c>
      <c r="N3391" s="14" t="str">
        <f>IFERROR(__xludf.DUMMYFUNCTION("""COMPUTED_VALUE"""),"")</f>
        <v/>
      </c>
      <c r="O3391" s="14"/>
    </row>
    <row r="3392" ht="22.5" hidden="1" customHeight="1">
      <c r="A3392" s="8">
        <v>46054.355047986115</v>
      </c>
      <c r="B3392" s="14">
        <v>46054.0</v>
      </c>
      <c r="C3392" s="9" t="s">
        <v>58</v>
      </c>
      <c r="D3392" s="9" t="s">
        <v>105</v>
      </c>
      <c r="E3392" s="9" t="s">
        <v>17</v>
      </c>
      <c r="F3392" s="9" t="s">
        <v>17</v>
      </c>
      <c r="G3392" s="9">
        <v>8.0</v>
      </c>
      <c r="H3392" s="9" t="s">
        <v>17</v>
      </c>
      <c r="I3392" s="9" t="s">
        <v>20</v>
      </c>
      <c r="J3392" s="10"/>
      <c r="K3392" s="14" t="s">
        <v>398</v>
      </c>
      <c r="N3392" s="14" t="str">
        <f>IFERROR(__xludf.DUMMYFUNCTION("""COMPUTED_VALUE"""),"")</f>
        <v/>
      </c>
      <c r="O3392" s="14"/>
    </row>
    <row r="3393" ht="22.5" hidden="1" customHeight="1">
      <c r="A3393" s="8">
        <v>46054.355516006945</v>
      </c>
      <c r="B3393" s="14">
        <v>46054.0</v>
      </c>
      <c r="C3393" s="9" t="s">
        <v>58</v>
      </c>
      <c r="D3393" s="9" t="s">
        <v>280</v>
      </c>
      <c r="E3393" s="9" t="s">
        <v>17</v>
      </c>
      <c r="F3393" s="9" t="s">
        <v>17</v>
      </c>
      <c r="G3393" s="9">
        <v>8.0</v>
      </c>
      <c r="H3393" s="9" t="s">
        <v>17</v>
      </c>
      <c r="I3393" s="9" t="s">
        <v>20</v>
      </c>
      <c r="J3393" s="10"/>
      <c r="K3393" s="14" t="s">
        <v>398</v>
      </c>
      <c r="N3393" s="14" t="str">
        <f>IFERROR(__xludf.DUMMYFUNCTION("""COMPUTED_VALUE"""),"")</f>
        <v/>
      </c>
      <c r="O3393" s="14"/>
    </row>
    <row r="3394" ht="22.5" hidden="1" customHeight="1">
      <c r="A3394" s="8">
        <v>46054.356284988426</v>
      </c>
      <c r="B3394" s="14">
        <v>46054.0</v>
      </c>
      <c r="C3394" s="9" t="s">
        <v>58</v>
      </c>
      <c r="D3394" s="9" t="s">
        <v>412</v>
      </c>
      <c r="E3394" s="9" t="s">
        <v>17</v>
      </c>
      <c r="F3394" s="9" t="s">
        <v>17</v>
      </c>
      <c r="G3394" s="9">
        <v>8.0</v>
      </c>
      <c r="H3394" s="9" t="s">
        <v>17</v>
      </c>
      <c r="I3394" s="9" t="s">
        <v>20</v>
      </c>
      <c r="J3394" s="10"/>
      <c r="K3394" s="14" t="s">
        <v>398</v>
      </c>
      <c r="N3394" s="14" t="str">
        <f>IFERROR(__xludf.DUMMYFUNCTION("""COMPUTED_VALUE"""),"")</f>
        <v/>
      </c>
      <c r="O3394" s="14"/>
    </row>
    <row r="3395" ht="22.5" hidden="1" customHeight="1">
      <c r="A3395" s="8">
        <v>46054.35663980324</v>
      </c>
      <c r="B3395" s="14">
        <v>46054.0</v>
      </c>
      <c r="C3395" s="9" t="s">
        <v>58</v>
      </c>
      <c r="D3395" s="9" t="s">
        <v>171</v>
      </c>
      <c r="E3395" s="9" t="s">
        <v>140</v>
      </c>
      <c r="F3395" s="9" t="s">
        <v>17</v>
      </c>
      <c r="G3395" s="9">
        <v>7.0</v>
      </c>
      <c r="H3395" s="9" t="s">
        <v>25</v>
      </c>
      <c r="I3395" s="9" t="s">
        <v>67</v>
      </c>
      <c r="J3395" s="10"/>
      <c r="K3395" s="14" t="s">
        <v>398</v>
      </c>
      <c r="N3395" s="14" t="str">
        <f>IFERROR(__xludf.DUMMYFUNCTION("""COMPUTED_VALUE"""),"")</f>
        <v/>
      </c>
      <c r="O3395" s="14"/>
    </row>
    <row r="3396" ht="22.5" hidden="1" customHeight="1">
      <c r="A3396" s="8">
        <v>46054.357905474535</v>
      </c>
      <c r="B3396" s="14">
        <v>46054.0</v>
      </c>
      <c r="C3396" s="9" t="s">
        <v>58</v>
      </c>
      <c r="D3396" s="9" t="s">
        <v>257</v>
      </c>
      <c r="E3396" s="9" t="s">
        <v>17</v>
      </c>
      <c r="F3396" s="9" t="s">
        <v>17</v>
      </c>
      <c r="G3396" s="9">
        <v>7.0</v>
      </c>
      <c r="H3396" s="9" t="s">
        <v>22</v>
      </c>
      <c r="I3396" s="9" t="s">
        <v>20</v>
      </c>
      <c r="J3396" s="10"/>
      <c r="K3396" s="14" t="s">
        <v>398</v>
      </c>
      <c r="N3396" s="14" t="str">
        <f>IFERROR(__xludf.DUMMYFUNCTION("""COMPUTED_VALUE"""),"")</f>
        <v/>
      </c>
      <c r="O3396" s="14"/>
    </row>
    <row r="3397" ht="22.5" hidden="1" customHeight="1">
      <c r="A3397" s="8">
        <v>46054.35811076389</v>
      </c>
      <c r="B3397" s="14">
        <v>46054.0</v>
      </c>
      <c r="C3397" s="9" t="s">
        <v>58</v>
      </c>
      <c r="D3397" s="9" t="s">
        <v>393</v>
      </c>
      <c r="E3397" s="9" t="s">
        <v>17</v>
      </c>
      <c r="F3397" s="9" t="s">
        <v>17</v>
      </c>
      <c r="G3397" s="9" t="s">
        <v>410</v>
      </c>
      <c r="H3397" s="9" t="s">
        <v>17</v>
      </c>
      <c r="I3397" s="9" t="s">
        <v>20</v>
      </c>
      <c r="J3397" s="10"/>
      <c r="K3397" s="14" t="s">
        <v>398</v>
      </c>
      <c r="N3397" s="14" t="str">
        <f>IFERROR(__xludf.DUMMYFUNCTION("""COMPUTED_VALUE"""),"")</f>
        <v/>
      </c>
      <c r="O3397" s="14"/>
    </row>
    <row r="3398" ht="22.5" hidden="1" customHeight="1">
      <c r="A3398" s="8">
        <v>46054.35872930556</v>
      </c>
      <c r="B3398" s="14">
        <v>46054.0</v>
      </c>
      <c r="C3398" s="9" t="s">
        <v>58</v>
      </c>
      <c r="D3398" s="9" t="s">
        <v>395</v>
      </c>
      <c r="E3398" s="9" t="s">
        <v>17</v>
      </c>
      <c r="F3398" s="9" t="s">
        <v>17</v>
      </c>
      <c r="G3398" s="9">
        <v>6.0</v>
      </c>
      <c r="H3398" s="9" t="s">
        <v>22</v>
      </c>
      <c r="I3398" s="9" t="s">
        <v>20</v>
      </c>
      <c r="J3398" s="10"/>
      <c r="K3398" s="14" t="s">
        <v>398</v>
      </c>
      <c r="N3398" s="14" t="str">
        <f>IFERROR(__xludf.DUMMYFUNCTION("""COMPUTED_VALUE"""),"")</f>
        <v/>
      </c>
      <c r="O3398" s="14"/>
    </row>
    <row r="3399" ht="22.5" hidden="1" customHeight="1">
      <c r="A3399" s="8">
        <v>46054.359605578706</v>
      </c>
      <c r="B3399" s="14">
        <v>46054.0</v>
      </c>
      <c r="C3399" s="9" t="s">
        <v>58</v>
      </c>
      <c r="D3399" s="9" t="s">
        <v>258</v>
      </c>
      <c r="E3399" s="9" t="s">
        <v>17</v>
      </c>
      <c r="F3399" s="9" t="s">
        <v>17</v>
      </c>
      <c r="G3399" s="9">
        <v>7.0</v>
      </c>
      <c r="H3399" s="9" t="s">
        <v>22</v>
      </c>
      <c r="I3399" s="9" t="s">
        <v>20</v>
      </c>
      <c r="J3399" s="10"/>
      <c r="K3399" s="14" t="s">
        <v>398</v>
      </c>
      <c r="N3399" s="14" t="str">
        <f>IFERROR(__xludf.DUMMYFUNCTION("""COMPUTED_VALUE"""),"")</f>
        <v/>
      </c>
      <c r="O3399" s="14"/>
    </row>
    <row r="3400" ht="22.5" hidden="1" customHeight="1">
      <c r="A3400" s="8">
        <v>46054.36028013889</v>
      </c>
      <c r="B3400" s="14">
        <v>46054.0</v>
      </c>
      <c r="C3400" s="9" t="s">
        <v>58</v>
      </c>
      <c r="D3400" s="9" t="s">
        <v>177</v>
      </c>
      <c r="E3400" s="9" t="s">
        <v>17</v>
      </c>
      <c r="F3400" s="9" t="s">
        <v>17</v>
      </c>
      <c r="G3400" s="9">
        <v>7.0</v>
      </c>
      <c r="H3400" s="9" t="s">
        <v>22</v>
      </c>
      <c r="I3400" s="9" t="s">
        <v>20</v>
      </c>
      <c r="J3400" s="10"/>
      <c r="K3400" s="14" t="s">
        <v>398</v>
      </c>
      <c r="N3400" s="14" t="str">
        <f>IFERROR(__xludf.DUMMYFUNCTION("""COMPUTED_VALUE"""),"")</f>
        <v/>
      </c>
      <c r="O3400" s="14"/>
    </row>
    <row r="3401" ht="22.5" hidden="1" customHeight="1">
      <c r="A3401" s="8">
        <v>46054.36233722222</v>
      </c>
      <c r="B3401" s="14">
        <v>46054.0</v>
      </c>
      <c r="C3401" s="9" t="s">
        <v>58</v>
      </c>
      <c r="D3401" s="9" t="s">
        <v>413</v>
      </c>
      <c r="E3401" s="9" t="s">
        <v>17</v>
      </c>
      <c r="F3401" s="9" t="s">
        <v>17</v>
      </c>
      <c r="G3401" s="9">
        <v>7.0</v>
      </c>
      <c r="H3401" s="9" t="s">
        <v>22</v>
      </c>
      <c r="I3401" s="9" t="s">
        <v>20</v>
      </c>
      <c r="J3401" s="10"/>
      <c r="K3401" s="14" t="s">
        <v>398</v>
      </c>
      <c r="N3401" s="14" t="str">
        <f>IFERROR(__xludf.DUMMYFUNCTION("""COMPUTED_VALUE"""),"")</f>
        <v/>
      </c>
      <c r="O3401" s="14"/>
    </row>
    <row r="3402" ht="22.5" hidden="1" customHeight="1">
      <c r="A3402" s="8">
        <v>46054.36521259259</v>
      </c>
      <c r="B3402" s="14">
        <v>46054.0</v>
      </c>
      <c r="C3402" s="9" t="s">
        <v>58</v>
      </c>
      <c r="D3402" s="9" t="s">
        <v>174</v>
      </c>
      <c r="E3402" s="9" t="s">
        <v>17</v>
      </c>
      <c r="F3402" s="9" t="s">
        <v>17</v>
      </c>
      <c r="G3402" s="9">
        <v>8.0</v>
      </c>
      <c r="H3402" s="9" t="s">
        <v>22</v>
      </c>
      <c r="I3402" s="9" t="s">
        <v>20</v>
      </c>
      <c r="J3402" s="10"/>
      <c r="K3402" s="14" t="s">
        <v>398</v>
      </c>
      <c r="N3402" s="14" t="str">
        <f>IFERROR(__xludf.DUMMYFUNCTION("""COMPUTED_VALUE"""),"")</f>
        <v/>
      </c>
      <c r="O3402" s="14"/>
    </row>
    <row r="3403" ht="22.5" hidden="1" customHeight="1">
      <c r="A3403" s="8">
        <v>46054.36637826389</v>
      </c>
      <c r="B3403" s="14">
        <v>46054.0</v>
      </c>
      <c r="C3403" s="9" t="s">
        <v>58</v>
      </c>
      <c r="D3403" s="9" t="s">
        <v>408</v>
      </c>
      <c r="E3403" s="9" t="s">
        <v>46</v>
      </c>
      <c r="F3403" s="9" t="s">
        <v>60</v>
      </c>
      <c r="G3403" s="9" t="s">
        <v>410</v>
      </c>
      <c r="H3403" s="9" t="s">
        <v>22</v>
      </c>
      <c r="I3403" s="9" t="s">
        <v>20</v>
      </c>
      <c r="J3403" s="10"/>
      <c r="K3403" s="14" t="s">
        <v>398</v>
      </c>
      <c r="N3403" s="14" t="str">
        <f>IFERROR(__xludf.DUMMYFUNCTION("""COMPUTED_VALUE"""),"")</f>
        <v/>
      </c>
      <c r="O3403" s="14"/>
    </row>
    <row r="3404" ht="22.5" hidden="1" customHeight="1">
      <c r="A3404" s="8">
        <v>46054.36973349537</v>
      </c>
      <c r="B3404" s="14">
        <v>46054.0</v>
      </c>
      <c r="C3404" s="9" t="s">
        <v>58</v>
      </c>
      <c r="D3404" s="9" t="s">
        <v>394</v>
      </c>
      <c r="E3404" s="9" t="s">
        <v>17</v>
      </c>
      <c r="F3404" s="9" t="s">
        <v>17</v>
      </c>
      <c r="G3404" s="9" t="s">
        <v>410</v>
      </c>
      <c r="H3404" s="9" t="s">
        <v>25</v>
      </c>
      <c r="I3404" s="9" t="s">
        <v>28</v>
      </c>
      <c r="J3404" s="10"/>
      <c r="K3404" s="14" t="s">
        <v>398</v>
      </c>
      <c r="N3404" s="14" t="str">
        <f>IFERROR(__xludf.DUMMYFUNCTION("""COMPUTED_VALUE"""),"")</f>
        <v/>
      </c>
      <c r="O3404" s="14"/>
    </row>
    <row r="3405" ht="22.5" hidden="1" customHeight="1">
      <c r="A3405" s="8">
        <v>46054.37057111111</v>
      </c>
      <c r="B3405" s="14">
        <v>46054.0</v>
      </c>
      <c r="C3405" s="9" t="s">
        <v>58</v>
      </c>
      <c r="D3405" s="9" t="s">
        <v>247</v>
      </c>
      <c r="E3405" s="9" t="s">
        <v>61</v>
      </c>
      <c r="F3405" s="9" t="s">
        <v>60</v>
      </c>
      <c r="G3405" s="9">
        <v>7.0</v>
      </c>
      <c r="H3405" s="9" t="s">
        <v>22</v>
      </c>
      <c r="I3405" s="9" t="s">
        <v>20</v>
      </c>
      <c r="J3405" s="10"/>
      <c r="K3405" s="14" t="s">
        <v>398</v>
      </c>
      <c r="N3405" s="14" t="str">
        <f>IFERROR(__xludf.DUMMYFUNCTION("""COMPUTED_VALUE"""),"")</f>
        <v/>
      </c>
      <c r="O3405" s="14"/>
    </row>
    <row r="3406" ht="22.5" hidden="1" customHeight="1">
      <c r="A3406" s="8">
        <v>46054.37117366898</v>
      </c>
      <c r="B3406" s="14">
        <v>46054.0</v>
      </c>
      <c r="C3406" s="9" t="s">
        <v>58</v>
      </c>
      <c r="D3406" s="9" t="s">
        <v>369</v>
      </c>
      <c r="E3406" s="9" t="s">
        <v>17</v>
      </c>
      <c r="F3406" s="9" t="s">
        <v>17</v>
      </c>
      <c r="G3406" s="9" t="s">
        <v>410</v>
      </c>
      <c r="H3406" s="9" t="s">
        <v>22</v>
      </c>
      <c r="I3406" s="9" t="s">
        <v>20</v>
      </c>
      <c r="J3406" s="10"/>
      <c r="K3406" s="14" t="s">
        <v>398</v>
      </c>
      <c r="N3406" s="14" t="str">
        <f>IFERROR(__xludf.DUMMYFUNCTION("""COMPUTED_VALUE"""),"")</f>
        <v/>
      </c>
      <c r="O3406" s="14"/>
    </row>
    <row r="3407" ht="22.5" hidden="1" customHeight="1">
      <c r="A3407" s="8">
        <v>46054.372774664356</v>
      </c>
      <c r="B3407" s="14">
        <v>46054.0</v>
      </c>
      <c r="C3407" s="9" t="s">
        <v>58</v>
      </c>
      <c r="D3407" s="9" t="s">
        <v>335</v>
      </c>
      <c r="E3407" s="9" t="s">
        <v>46</v>
      </c>
      <c r="F3407" s="9" t="s">
        <v>17</v>
      </c>
      <c r="G3407" s="9">
        <v>7.0</v>
      </c>
      <c r="H3407" s="9" t="s">
        <v>25</v>
      </c>
      <c r="I3407" s="9" t="s">
        <v>411</v>
      </c>
      <c r="J3407" s="10"/>
      <c r="K3407" s="14" t="s">
        <v>398</v>
      </c>
      <c r="N3407" s="14" t="str">
        <f>IFERROR(__xludf.DUMMYFUNCTION("""COMPUTED_VALUE"""),"")</f>
        <v/>
      </c>
      <c r="O3407" s="14"/>
    </row>
    <row r="3408" ht="22.5" hidden="1" customHeight="1">
      <c r="A3408" s="8">
        <v>46054.37514689815</v>
      </c>
      <c r="B3408" s="14">
        <v>46054.0</v>
      </c>
      <c r="C3408" s="9" t="s">
        <v>58</v>
      </c>
      <c r="D3408" s="9" t="s">
        <v>259</v>
      </c>
      <c r="E3408" s="9" t="s">
        <v>46</v>
      </c>
      <c r="F3408" s="9" t="s">
        <v>39</v>
      </c>
      <c r="G3408" s="9">
        <v>6.0</v>
      </c>
      <c r="H3408" s="9" t="s">
        <v>17</v>
      </c>
      <c r="I3408" s="9" t="s">
        <v>20</v>
      </c>
      <c r="J3408" s="10"/>
      <c r="K3408" s="14" t="s">
        <v>398</v>
      </c>
      <c r="N3408" s="14" t="str">
        <f>IFERROR(__xludf.DUMMYFUNCTION("""COMPUTED_VALUE"""),"")</f>
        <v/>
      </c>
      <c r="O3408" s="14"/>
    </row>
    <row r="3409" ht="22.5" hidden="1" customHeight="1">
      <c r="A3409" s="8">
        <v>46054.37558836806</v>
      </c>
      <c r="B3409" s="14">
        <v>46054.0</v>
      </c>
      <c r="C3409" s="9" t="s">
        <v>58</v>
      </c>
      <c r="D3409" s="9" t="s">
        <v>357</v>
      </c>
      <c r="E3409" s="9" t="s">
        <v>17</v>
      </c>
      <c r="F3409" s="9" t="s">
        <v>17</v>
      </c>
      <c r="G3409" s="9">
        <v>7.0</v>
      </c>
      <c r="H3409" s="9" t="s">
        <v>22</v>
      </c>
      <c r="I3409" s="9" t="s">
        <v>20</v>
      </c>
      <c r="J3409" s="10"/>
      <c r="K3409" s="14" t="s">
        <v>398</v>
      </c>
      <c r="N3409" s="14" t="str">
        <f>IFERROR(__xludf.DUMMYFUNCTION("""COMPUTED_VALUE"""),"")</f>
        <v/>
      </c>
      <c r="O3409" s="14"/>
    </row>
    <row r="3410" ht="22.5" hidden="1" customHeight="1">
      <c r="A3410" s="8">
        <v>46054.376239143516</v>
      </c>
      <c r="B3410" s="14">
        <v>46054.0</v>
      </c>
      <c r="C3410" s="9" t="s">
        <v>58</v>
      </c>
      <c r="D3410" s="9" t="s">
        <v>210</v>
      </c>
      <c r="E3410" s="9" t="s">
        <v>46</v>
      </c>
      <c r="F3410" s="9" t="s">
        <v>17</v>
      </c>
      <c r="G3410" s="9">
        <v>7.0</v>
      </c>
      <c r="H3410" s="9" t="s">
        <v>17</v>
      </c>
      <c r="I3410" s="9" t="s">
        <v>20</v>
      </c>
      <c r="J3410" s="10"/>
      <c r="K3410" s="14" t="s">
        <v>398</v>
      </c>
      <c r="N3410" s="14" t="str">
        <f>IFERROR(__xludf.DUMMYFUNCTION("""COMPUTED_VALUE"""),"")</f>
        <v/>
      </c>
      <c r="O3410" s="14"/>
    </row>
    <row r="3411" ht="22.5" hidden="1" customHeight="1">
      <c r="A3411" s="8">
        <v>46054.376835057876</v>
      </c>
      <c r="B3411" s="14">
        <v>46054.0</v>
      </c>
      <c r="C3411" s="9" t="s">
        <v>58</v>
      </c>
      <c r="D3411" s="9" t="s">
        <v>175</v>
      </c>
      <c r="E3411" s="9" t="s">
        <v>17</v>
      </c>
      <c r="F3411" s="9" t="s">
        <v>17</v>
      </c>
      <c r="G3411" s="9">
        <v>7.0</v>
      </c>
      <c r="H3411" s="9" t="s">
        <v>25</v>
      </c>
      <c r="I3411" s="9" t="s">
        <v>207</v>
      </c>
      <c r="J3411" s="10"/>
      <c r="K3411" s="14" t="s">
        <v>398</v>
      </c>
      <c r="N3411" s="14" t="str">
        <f>IFERROR(__xludf.DUMMYFUNCTION("""COMPUTED_VALUE"""),"")</f>
        <v/>
      </c>
      <c r="O3411" s="14"/>
    </row>
    <row r="3412" ht="22.5" hidden="1" customHeight="1">
      <c r="A3412" s="8">
        <v>46054.37743936342</v>
      </c>
      <c r="B3412" s="14">
        <v>46054.0</v>
      </c>
      <c r="C3412" s="9" t="s">
        <v>58</v>
      </c>
      <c r="D3412" s="9" t="s">
        <v>367</v>
      </c>
      <c r="E3412" s="9" t="s">
        <v>17</v>
      </c>
      <c r="F3412" s="9" t="s">
        <v>43</v>
      </c>
      <c r="G3412" s="9">
        <v>7.0</v>
      </c>
      <c r="H3412" s="9" t="s">
        <v>22</v>
      </c>
      <c r="I3412" s="9" t="s">
        <v>20</v>
      </c>
      <c r="J3412" s="10"/>
      <c r="K3412" s="14" t="s">
        <v>398</v>
      </c>
      <c r="N3412" s="14" t="str">
        <f>IFERROR(__xludf.DUMMYFUNCTION("""COMPUTED_VALUE"""),"")</f>
        <v/>
      </c>
      <c r="O3412" s="14"/>
    </row>
    <row r="3413" ht="22.5" hidden="1" customHeight="1">
      <c r="A3413" s="8">
        <v>46054.40406090277</v>
      </c>
      <c r="B3413" s="14">
        <v>46054.0</v>
      </c>
      <c r="C3413" s="9" t="s">
        <v>58</v>
      </c>
      <c r="D3413" s="9" t="s">
        <v>178</v>
      </c>
      <c r="E3413" s="9" t="s">
        <v>17</v>
      </c>
      <c r="F3413" s="9" t="s">
        <v>17</v>
      </c>
      <c r="G3413" s="9">
        <v>6.0</v>
      </c>
      <c r="H3413" s="9" t="s">
        <v>25</v>
      </c>
      <c r="I3413" s="9" t="s">
        <v>273</v>
      </c>
      <c r="J3413" s="10"/>
      <c r="K3413" s="14" t="s">
        <v>398</v>
      </c>
      <c r="N3413" s="14" t="str">
        <f>IFERROR(__xludf.DUMMYFUNCTION("""COMPUTED_VALUE"""),"")</f>
        <v/>
      </c>
      <c r="O3413" s="14"/>
    </row>
    <row r="3414" ht="22.5" hidden="1" customHeight="1">
      <c r="A3414" s="8">
        <v>46054.40426829861</v>
      </c>
      <c r="B3414" s="14">
        <v>46054.0</v>
      </c>
      <c r="C3414" s="9" t="s">
        <v>58</v>
      </c>
      <c r="D3414" s="9" t="s">
        <v>396</v>
      </c>
      <c r="E3414" s="9" t="s">
        <v>140</v>
      </c>
      <c r="F3414" s="9" t="s">
        <v>17</v>
      </c>
      <c r="G3414" s="9">
        <v>8.0</v>
      </c>
      <c r="H3414" s="9" t="s">
        <v>25</v>
      </c>
      <c r="I3414" s="9" t="s">
        <v>218</v>
      </c>
      <c r="J3414" s="10"/>
      <c r="K3414" s="14" t="s">
        <v>398</v>
      </c>
      <c r="N3414" s="14" t="str">
        <f>IFERROR(__xludf.DUMMYFUNCTION("""COMPUTED_VALUE"""),"")</f>
        <v/>
      </c>
      <c r="O3414" s="14"/>
    </row>
    <row r="3415" ht="22.5" hidden="1" customHeight="1">
      <c r="A3415" s="8">
        <v>46057.6506325</v>
      </c>
      <c r="B3415" s="14">
        <v>46057.0</v>
      </c>
      <c r="C3415" s="9" t="s">
        <v>15</v>
      </c>
      <c r="D3415" s="9" t="s">
        <v>105</v>
      </c>
      <c r="E3415" s="9" t="s">
        <v>17</v>
      </c>
      <c r="F3415" s="9" t="s">
        <v>17</v>
      </c>
      <c r="G3415" s="9">
        <v>8.0</v>
      </c>
      <c r="H3415" s="9" t="s">
        <v>22</v>
      </c>
      <c r="I3415" s="9" t="s">
        <v>20</v>
      </c>
      <c r="J3415" s="10"/>
      <c r="K3415" s="14" t="s">
        <v>398</v>
      </c>
      <c r="N3415" s="14" t="str">
        <f>IFERROR(__xludf.DUMMYFUNCTION("""COMPUTED_VALUE"""),"")</f>
        <v/>
      </c>
      <c r="O3415" s="14"/>
    </row>
    <row r="3416" ht="22.5" hidden="1" customHeight="1">
      <c r="A3416" s="8">
        <v>46057.651101875</v>
      </c>
      <c r="B3416" s="14">
        <v>46057.0</v>
      </c>
      <c r="C3416" s="9" t="s">
        <v>15</v>
      </c>
      <c r="D3416" s="9" t="s">
        <v>280</v>
      </c>
      <c r="E3416" s="9" t="s">
        <v>17</v>
      </c>
      <c r="F3416" s="9" t="s">
        <v>17</v>
      </c>
      <c r="G3416" s="9">
        <v>8.0</v>
      </c>
      <c r="H3416" s="9" t="s">
        <v>22</v>
      </c>
      <c r="I3416" s="9" t="s">
        <v>20</v>
      </c>
      <c r="J3416" s="10"/>
      <c r="K3416" s="14" t="s">
        <v>398</v>
      </c>
      <c r="N3416" s="14" t="str">
        <f>IFERROR(__xludf.DUMMYFUNCTION("""COMPUTED_VALUE"""),"")</f>
        <v/>
      </c>
      <c r="O3416" s="14"/>
    </row>
    <row r="3417" ht="22.5" hidden="1" customHeight="1">
      <c r="A3417" s="8">
        <v>46057.6516928125</v>
      </c>
      <c r="B3417" s="14">
        <v>46057.0</v>
      </c>
      <c r="C3417" s="9" t="s">
        <v>15</v>
      </c>
      <c r="D3417" s="9" t="s">
        <v>177</v>
      </c>
      <c r="E3417" s="9" t="s">
        <v>17</v>
      </c>
      <c r="F3417" s="9" t="s">
        <v>77</v>
      </c>
      <c r="G3417" s="9" t="s">
        <v>410</v>
      </c>
      <c r="H3417" s="9" t="s">
        <v>17</v>
      </c>
      <c r="I3417" s="9" t="s">
        <v>20</v>
      </c>
      <c r="J3417" s="10"/>
      <c r="K3417" s="14" t="s">
        <v>398</v>
      </c>
      <c r="N3417" s="14" t="str">
        <f>IFERROR(__xludf.DUMMYFUNCTION("""COMPUTED_VALUE"""),"")</f>
        <v/>
      </c>
      <c r="O3417" s="14"/>
    </row>
    <row r="3418" ht="22.5" hidden="1" customHeight="1">
      <c r="A3418" s="8">
        <v>46057.65209765046</v>
      </c>
      <c r="B3418" s="14">
        <v>46057.0</v>
      </c>
      <c r="C3418" s="9" t="s">
        <v>15</v>
      </c>
      <c r="D3418" s="9" t="s">
        <v>249</v>
      </c>
      <c r="E3418" s="9" t="s">
        <v>17</v>
      </c>
      <c r="F3418" s="9" t="s">
        <v>17</v>
      </c>
      <c r="G3418" s="9">
        <v>8.0</v>
      </c>
      <c r="H3418" s="9" t="s">
        <v>17</v>
      </c>
      <c r="I3418" s="9" t="s">
        <v>20</v>
      </c>
      <c r="J3418" s="10"/>
      <c r="K3418" s="14" t="s">
        <v>398</v>
      </c>
      <c r="N3418" s="14" t="str">
        <f>IFERROR(__xludf.DUMMYFUNCTION("""COMPUTED_VALUE"""),"")</f>
        <v/>
      </c>
      <c r="O3418" s="14"/>
    </row>
    <row r="3419" ht="22.5" hidden="1" customHeight="1">
      <c r="A3419" s="8">
        <v>46057.65277756944</v>
      </c>
      <c r="B3419" s="14">
        <v>46057.0</v>
      </c>
      <c r="C3419" s="9" t="s">
        <v>15</v>
      </c>
      <c r="D3419" s="9" t="s">
        <v>414</v>
      </c>
      <c r="E3419" s="9" t="s">
        <v>17</v>
      </c>
      <c r="F3419" s="9" t="s">
        <v>17</v>
      </c>
      <c r="G3419" s="9">
        <v>7.0</v>
      </c>
      <c r="H3419" s="9" t="s">
        <v>17</v>
      </c>
      <c r="I3419" s="9" t="s">
        <v>20</v>
      </c>
      <c r="J3419" s="10"/>
      <c r="K3419" s="14" t="s">
        <v>398</v>
      </c>
      <c r="N3419" s="14" t="str">
        <f>IFERROR(__xludf.DUMMYFUNCTION("""COMPUTED_VALUE"""),"")</f>
        <v/>
      </c>
      <c r="O3419" s="14"/>
    </row>
    <row r="3420" ht="22.5" hidden="1" customHeight="1">
      <c r="A3420" s="8">
        <v>46057.65344899306</v>
      </c>
      <c r="B3420" s="14">
        <v>46057.0</v>
      </c>
      <c r="C3420" s="9" t="s">
        <v>15</v>
      </c>
      <c r="D3420" s="9" t="s">
        <v>408</v>
      </c>
      <c r="E3420" s="9" t="s">
        <v>140</v>
      </c>
      <c r="F3420" s="9" t="s">
        <v>77</v>
      </c>
      <c r="G3420" s="9" t="s">
        <v>410</v>
      </c>
      <c r="H3420" s="9" t="s">
        <v>17</v>
      </c>
      <c r="I3420" s="9" t="s">
        <v>20</v>
      </c>
      <c r="J3420" s="10"/>
      <c r="K3420" s="14" t="s">
        <v>398</v>
      </c>
      <c r="N3420" s="14" t="str">
        <f>IFERROR(__xludf.DUMMYFUNCTION("""COMPUTED_VALUE"""),"")</f>
        <v/>
      </c>
      <c r="O3420" s="14"/>
    </row>
    <row r="3421" ht="22.5" hidden="1" customHeight="1">
      <c r="A3421" s="8">
        <v>46057.65404001158</v>
      </c>
      <c r="B3421" s="14">
        <v>46057.0</v>
      </c>
      <c r="C3421" s="9" t="s">
        <v>15</v>
      </c>
      <c r="D3421" s="9" t="s">
        <v>369</v>
      </c>
      <c r="E3421" s="9" t="s">
        <v>46</v>
      </c>
      <c r="F3421" s="9" t="s">
        <v>17</v>
      </c>
      <c r="G3421" s="9" t="s">
        <v>410</v>
      </c>
      <c r="H3421" s="9" t="s">
        <v>25</v>
      </c>
      <c r="I3421" s="9" t="s">
        <v>211</v>
      </c>
      <c r="J3421" s="10"/>
      <c r="K3421" s="14" t="s">
        <v>398</v>
      </c>
      <c r="N3421" s="14" t="str">
        <f>IFERROR(__xludf.DUMMYFUNCTION("""COMPUTED_VALUE"""),"")</f>
        <v/>
      </c>
      <c r="O3421" s="14"/>
    </row>
    <row r="3422" ht="22.5" hidden="1" customHeight="1">
      <c r="A3422" s="8">
        <v>46057.65500925926</v>
      </c>
      <c r="B3422" s="14">
        <v>46057.0</v>
      </c>
      <c r="C3422" s="9" t="s">
        <v>15</v>
      </c>
      <c r="D3422" s="9" t="s">
        <v>175</v>
      </c>
      <c r="E3422" s="9" t="s">
        <v>46</v>
      </c>
      <c r="F3422" s="9" t="s">
        <v>17</v>
      </c>
      <c r="G3422" s="9" t="s">
        <v>410</v>
      </c>
      <c r="H3422" s="9" t="s">
        <v>25</v>
      </c>
      <c r="I3422" s="9" t="s">
        <v>207</v>
      </c>
      <c r="J3422" s="10"/>
      <c r="K3422" s="14" t="s">
        <v>398</v>
      </c>
      <c r="N3422" s="14" t="str">
        <f>IFERROR(__xludf.DUMMYFUNCTION("""COMPUTED_VALUE"""),"")</f>
        <v/>
      </c>
      <c r="O3422" s="14"/>
    </row>
    <row r="3423" ht="22.5" hidden="1" customHeight="1">
      <c r="A3423" s="8">
        <v>46057.65582274305</v>
      </c>
      <c r="B3423" s="14">
        <v>46057.0</v>
      </c>
      <c r="C3423" s="9" t="s">
        <v>15</v>
      </c>
      <c r="D3423" s="9" t="s">
        <v>413</v>
      </c>
      <c r="E3423" s="9" t="s">
        <v>17</v>
      </c>
      <c r="F3423" s="9" t="s">
        <v>60</v>
      </c>
      <c r="G3423" s="9">
        <v>6.0</v>
      </c>
      <c r="H3423" s="9" t="s">
        <v>22</v>
      </c>
      <c r="I3423" s="9" t="s">
        <v>20</v>
      </c>
      <c r="J3423" s="10"/>
      <c r="K3423" s="14" t="s">
        <v>398</v>
      </c>
      <c r="N3423" s="14" t="str">
        <f>IFERROR(__xludf.DUMMYFUNCTION("""COMPUTED_VALUE"""),"")</f>
        <v/>
      </c>
      <c r="O3423" s="14"/>
    </row>
    <row r="3424" ht="22.5" hidden="1" customHeight="1">
      <c r="A3424" s="8">
        <v>46057.65660545139</v>
      </c>
      <c r="B3424" s="14">
        <v>46057.0</v>
      </c>
      <c r="C3424" s="9" t="s">
        <v>15</v>
      </c>
      <c r="D3424" s="9" t="s">
        <v>258</v>
      </c>
      <c r="E3424" s="9" t="s">
        <v>46</v>
      </c>
      <c r="F3424" s="9" t="s">
        <v>60</v>
      </c>
      <c r="G3424" s="9" t="s">
        <v>410</v>
      </c>
      <c r="H3424" s="9" t="s">
        <v>22</v>
      </c>
      <c r="I3424" s="9" t="s">
        <v>20</v>
      </c>
      <c r="J3424" s="10"/>
      <c r="K3424" s="14" t="s">
        <v>398</v>
      </c>
      <c r="N3424" s="14" t="str">
        <f>IFERROR(__xludf.DUMMYFUNCTION("""COMPUTED_VALUE"""),"")</f>
        <v/>
      </c>
      <c r="O3424" s="14"/>
    </row>
    <row r="3425" ht="22.5" hidden="1" customHeight="1">
      <c r="A3425" s="8">
        <v>46057.657232997684</v>
      </c>
      <c r="B3425" s="14">
        <v>46057.0</v>
      </c>
      <c r="C3425" s="9" t="s">
        <v>15</v>
      </c>
      <c r="D3425" s="9" t="s">
        <v>412</v>
      </c>
      <c r="E3425" s="9" t="s">
        <v>17</v>
      </c>
      <c r="F3425" s="9" t="s">
        <v>17</v>
      </c>
      <c r="G3425" s="9">
        <v>6.0</v>
      </c>
      <c r="H3425" s="9" t="s">
        <v>22</v>
      </c>
      <c r="I3425" s="9" t="s">
        <v>20</v>
      </c>
      <c r="J3425" s="10"/>
      <c r="K3425" s="14" t="s">
        <v>398</v>
      </c>
      <c r="N3425" s="14" t="str">
        <f>IFERROR(__xludf.DUMMYFUNCTION("""COMPUTED_VALUE"""),"")</f>
        <v/>
      </c>
      <c r="O3425" s="14"/>
    </row>
    <row r="3426" ht="22.5" hidden="1" customHeight="1">
      <c r="A3426" s="8">
        <v>46057.65813083333</v>
      </c>
      <c r="B3426" s="14">
        <v>46057.0</v>
      </c>
      <c r="C3426" s="9" t="s">
        <v>15</v>
      </c>
      <c r="D3426" s="9" t="s">
        <v>367</v>
      </c>
      <c r="E3426" s="9" t="s">
        <v>46</v>
      </c>
      <c r="F3426" s="9" t="s">
        <v>60</v>
      </c>
      <c r="G3426" s="9">
        <v>6.0</v>
      </c>
      <c r="H3426" s="9" t="s">
        <v>22</v>
      </c>
      <c r="I3426" s="9" t="s">
        <v>20</v>
      </c>
      <c r="J3426" s="10"/>
      <c r="K3426" s="14" t="s">
        <v>398</v>
      </c>
      <c r="N3426" s="14" t="str">
        <f>IFERROR(__xludf.DUMMYFUNCTION("""COMPUTED_VALUE"""),"")</f>
        <v/>
      </c>
      <c r="O3426" s="14"/>
    </row>
    <row r="3427" ht="22.5" hidden="1" customHeight="1">
      <c r="A3427" s="8">
        <v>46057.65885599537</v>
      </c>
      <c r="B3427" s="14">
        <v>46057.0</v>
      </c>
      <c r="C3427" s="9" t="s">
        <v>15</v>
      </c>
      <c r="D3427" s="9" t="s">
        <v>395</v>
      </c>
      <c r="E3427" s="9" t="s">
        <v>17</v>
      </c>
      <c r="F3427" s="9" t="s">
        <v>17</v>
      </c>
      <c r="G3427" s="9">
        <v>6.0</v>
      </c>
      <c r="H3427" s="9" t="s">
        <v>17</v>
      </c>
      <c r="I3427" s="9" t="s">
        <v>20</v>
      </c>
      <c r="J3427" s="10"/>
      <c r="K3427" s="14" t="s">
        <v>398</v>
      </c>
      <c r="N3427" s="14" t="str">
        <f>IFERROR(__xludf.DUMMYFUNCTION("""COMPUTED_VALUE"""),"")</f>
        <v/>
      </c>
      <c r="O3427" s="14"/>
    </row>
    <row r="3428" ht="22.5" hidden="1" customHeight="1">
      <c r="A3428" s="8">
        <v>46057.65953493056</v>
      </c>
      <c r="B3428" s="14">
        <v>46057.0</v>
      </c>
      <c r="C3428" s="9" t="s">
        <v>15</v>
      </c>
      <c r="D3428" s="9" t="s">
        <v>178</v>
      </c>
      <c r="E3428" s="9" t="s">
        <v>17</v>
      </c>
      <c r="F3428" s="9" t="s">
        <v>17</v>
      </c>
      <c r="G3428" s="9">
        <v>8.0</v>
      </c>
      <c r="H3428" s="9" t="s">
        <v>25</v>
      </c>
      <c r="I3428" s="9" t="s">
        <v>273</v>
      </c>
      <c r="J3428" s="10"/>
      <c r="K3428" s="14" t="s">
        <v>398</v>
      </c>
      <c r="N3428" s="14" t="str">
        <f>IFERROR(__xludf.DUMMYFUNCTION("""COMPUTED_VALUE"""),"")</f>
        <v/>
      </c>
      <c r="O3428" s="14"/>
    </row>
    <row r="3429" ht="22.5" hidden="1" customHeight="1">
      <c r="A3429" s="8">
        <v>46057.659988831016</v>
      </c>
      <c r="B3429" s="14">
        <v>46057.0</v>
      </c>
      <c r="C3429" s="9" t="s">
        <v>15</v>
      </c>
      <c r="D3429" s="9" t="s">
        <v>393</v>
      </c>
      <c r="E3429" s="9" t="s">
        <v>17</v>
      </c>
      <c r="F3429" s="9" t="s">
        <v>17</v>
      </c>
      <c r="G3429" s="9" t="s">
        <v>410</v>
      </c>
      <c r="H3429" s="9" t="s">
        <v>17</v>
      </c>
      <c r="I3429" s="9" t="s">
        <v>20</v>
      </c>
      <c r="J3429" s="10"/>
      <c r="K3429" s="14" t="s">
        <v>398</v>
      </c>
      <c r="N3429" s="14" t="str">
        <f>IFERROR(__xludf.DUMMYFUNCTION("""COMPUTED_VALUE"""),"")</f>
        <v/>
      </c>
      <c r="O3429" s="14"/>
    </row>
    <row r="3430" ht="22.5" hidden="1" customHeight="1">
      <c r="A3430" s="8">
        <v>46057.660716909726</v>
      </c>
      <c r="B3430" s="14">
        <v>46057.0</v>
      </c>
      <c r="C3430" s="9" t="s">
        <v>15</v>
      </c>
      <c r="D3430" s="9" t="s">
        <v>350</v>
      </c>
      <c r="E3430" s="9" t="s">
        <v>17</v>
      </c>
      <c r="F3430" s="9" t="s">
        <v>17</v>
      </c>
      <c r="G3430" s="9">
        <v>7.0</v>
      </c>
      <c r="H3430" s="9" t="s">
        <v>22</v>
      </c>
      <c r="I3430" s="9" t="s">
        <v>20</v>
      </c>
      <c r="J3430" s="10"/>
      <c r="K3430" s="14" t="s">
        <v>398</v>
      </c>
      <c r="N3430" s="14" t="str">
        <f>IFERROR(__xludf.DUMMYFUNCTION("""COMPUTED_VALUE"""),"")</f>
        <v/>
      </c>
      <c r="O3430" s="14"/>
    </row>
    <row r="3431" ht="22.5" hidden="1" customHeight="1">
      <c r="A3431" s="8">
        <v>46057.66252813657</v>
      </c>
      <c r="B3431" s="14">
        <v>46057.0</v>
      </c>
      <c r="C3431" s="9" t="s">
        <v>15</v>
      </c>
      <c r="D3431" s="9" t="s">
        <v>174</v>
      </c>
      <c r="E3431" s="9" t="s">
        <v>44</v>
      </c>
      <c r="F3431" s="9" t="s">
        <v>17</v>
      </c>
      <c r="G3431" s="9">
        <v>6.0</v>
      </c>
      <c r="H3431" s="9" t="s">
        <v>17</v>
      </c>
      <c r="I3431" s="9" t="s">
        <v>20</v>
      </c>
      <c r="J3431" s="10"/>
      <c r="K3431" s="14" t="s">
        <v>398</v>
      </c>
      <c r="N3431" s="14" t="str">
        <f>IFERROR(__xludf.DUMMYFUNCTION("""COMPUTED_VALUE"""),"")</f>
        <v/>
      </c>
      <c r="O3431" s="14"/>
    </row>
    <row r="3432" ht="22.5" hidden="1" customHeight="1">
      <c r="A3432" s="8">
        <v>46057.66532505787</v>
      </c>
      <c r="B3432" s="14">
        <v>46057.0</v>
      </c>
      <c r="C3432" s="9" t="s">
        <v>15</v>
      </c>
      <c r="D3432" s="9" t="s">
        <v>396</v>
      </c>
      <c r="E3432" s="9" t="s">
        <v>17</v>
      </c>
      <c r="F3432" s="9" t="s">
        <v>17</v>
      </c>
      <c r="G3432" s="9" t="s">
        <v>410</v>
      </c>
      <c r="H3432" s="9" t="s">
        <v>25</v>
      </c>
      <c r="I3432" s="9" t="s">
        <v>173</v>
      </c>
      <c r="J3432" s="10"/>
      <c r="K3432" s="14" t="s">
        <v>398</v>
      </c>
      <c r="N3432" s="14" t="str">
        <f>IFERROR(__xludf.DUMMYFUNCTION("""COMPUTED_VALUE"""),"")</f>
        <v/>
      </c>
      <c r="O3432" s="14"/>
    </row>
    <row r="3433" ht="22.5" hidden="1" customHeight="1">
      <c r="A3433" s="8">
        <v>46057.665966064815</v>
      </c>
      <c r="B3433" s="14">
        <v>46057.0</v>
      </c>
      <c r="C3433" s="9" t="s">
        <v>15</v>
      </c>
      <c r="D3433" s="9" t="s">
        <v>357</v>
      </c>
      <c r="E3433" s="9" t="s">
        <v>46</v>
      </c>
      <c r="F3433" s="9" t="s">
        <v>17</v>
      </c>
      <c r="G3433" s="9">
        <v>7.0</v>
      </c>
      <c r="H3433" s="9" t="s">
        <v>22</v>
      </c>
      <c r="I3433" s="9" t="s">
        <v>20</v>
      </c>
      <c r="J3433" s="10"/>
      <c r="K3433" s="14" t="s">
        <v>398</v>
      </c>
      <c r="N3433" s="14" t="str">
        <f>IFERROR(__xludf.DUMMYFUNCTION("""COMPUTED_VALUE"""),"")</f>
        <v/>
      </c>
      <c r="O3433" s="14"/>
    </row>
    <row r="3434" ht="22.5" hidden="1" customHeight="1">
      <c r="A3434" s="8">
        <v>46057.6680365162</v>
      </c>
      <c r="B3434" s="14">
        <v>46057.0</v>
      </c>
      <c r="C3434" s="9" t="s">
        <v>15</v>
      </c>
      <c r="D3434" s="9" t="s">
        <v>259</v>
      </c>
      <c r="E3434" s="9" t="s">
        <v>46</v>
      </c>
      <c r="F3434" s="9" t="s">
        <v>35</v>
      </c>
      <c r="G3434" s="9">
        <v>6.0</v>
      </c>
      <c r="H3434" s="9" t="s">
        <v>22</v>
      </c>
      <c r="I3434" s="9" t="s">
        <v>20</v>
      </c>
      <c r="J3434" s="10"/>
      <c r="K3434" s="14" t="s">
        <v>398</v>
      </c>
      <c r="N3434" s="14" t="str">
        <f>IFERROR(__xludf.DUMMYFUNCTION("""COMPUTED_VALUE"""),"")</f>
        <v/>
      </c>
      <c r="O3434" s="14"/>
    </row>
    <row r="3435" ht="22.5" hidden="1" customHeight="1">
      <c r="A3435" s="8">
        <v>46057.668853587966</v>
      </c>
      <c r="B3435" s="14">
        <v>46057.0</v>
      </c>
      <c r="C3435" s="9" t="s">
        <v>15</v>
      </c>
      <c r="D3435" s="9" t="s">
        <v>394</v>
      </c>
      <c r="E3435" s="9" t="s">
        <v>17</v>
      </c>
      <c r="F3435" s="9" t="s">
        <v>17</v>
      </c>
      <c r="G3435" s="9">
        <v>6.0</v>
      </c>
      <c r="H3435" s="9" t="s">
        <v>22</v>
      </c>
      <c r="I3435" s="9" t="s">
        <v>20</v>
      </c>
      <c r="J3435" s="10"/>
      <c r="K3435" s="14" t="s">
        <v>398</v>
      </c>
      <c r="N3435" s="14" t="str">
        <f>IFERROR(__xludf.DUMMYFUNCTION("""COMPUTED_VALUE"""),"")</f>
        <v/>
      </c>
      <c r="O3435" s="14"/>
    </row>
    <row r="3436" ht="22.5" hidden="1" customHeight="1">
      <c r="A3436" s="8">
        <v>46057.670007719906</v>
      </c>
      <c r="B3436" s="14">
        <v>46057.0</v>
      </c>
      <c r="C3436" s="9" t="s">
        <v>15</v>
      </c>
      <c r="D3436" s="9" t="s">
        <v>335</v>
      </c>
      <c r="E3436" s="9" t="s">
        <v>140</v>
      </c>
      <c r="F3436" s="9" t="s">
        <v>60</v>
      </c>
      <c r="G3436" s="9" t="s">
        <v>410</v>
      </c>
      <c r="H3436" s="9" t="s">
        <v>25</v>
      </c>
      <c r="I3436" s="9" t="s">
        <v>411</v>
      </c>
      <c r="J3436" s="10"/>
      <c r="K3436" s="14" t="s">
        <v>398</v>
      </c>
      <c r="N3436" s="14" t="str">
        <f>IFERROR(__xludf.DUMMYFUNCTION("""COMPUTED_VALUE"""),"")</f>
        <v/>
      </c>
      <c r="O3436" s="14"/>
    </row>
    <row r="3437" ht="22.5" hidden="1" customHeight="1">
      <c r="A3437" s="8">
        <v>46057.67063512732</v>
      </c>
      <c r="B3437" s="14">
        <v>46057.0</v>
      </c>
      <c r="C3437" s="9" t="s">
        <v>15</v>
      </c>
      <c r="D3437" s="9" t="s">
        <v>210</v>
      </c>
      <c r="E3437" s="9" t="s">
        <v>46</v>
      </c>
      <c r="F3437" s="9" t="s">
        <v>35</v>
      </c>
      <c r="G3437" s="9">
        <v>7.0</v>
      </c>
      <c r="H3437" s="9" t="s">
        <v>25</v>
      </c>
      <c r="I3437" s="9" t="s">
        <v>211</v>
      </c>
      <c r="J3437" s="10"/>
      <c r="K3437" s="14" t="s">
        <v>398</v>
      </c>
      <c r="N3437" s="14" t="str">
        <f>IFERROR(__xludf.DUMMYFUNCTION("""COMPUTED_VALUE"""),"")</f>
        <v/>
      </c>
      <c r="O3437" s="14"/>
    </row>
    <row r="3438" ht="22.5" hidden="1" customHeight="1">
      <c r="A3438" s="8">
        <v>46057.671497881944</v>
      </c>
      <c r="B3438" s="14">
        <v>46057.0</v>
      </c>
      <c r="C3438" s="9" t="s">
        <v>15</v>
      </c>
      <c r="D3438" s="9" t="s">
        <v>247</v>
      </c>
      <c r="E3438" s="9" t="s">
        <v>61</v>
      </c>
      <c r="F3438" s="9" t="s">
        <v>17</v>
      </c>
      <c r="G3438" s="9">
        <v>6.0</v>
      </c>
      <c r="H3438" s="9" t="s">
        <v>22</v>
      </c>
      <c r="I3438" s="9" t="s">
        <v>20</v>
      </c>
      <c r="J3438" s="10"/>
      <c r="K3438" s="14" t="s">
        <v>398</v>
      </c>
      <c r="N3438" s="14" t="str">
        <f>IFERROR(__xludf.DUMMYFUNCTION("""COMPUTED_VALUE"""),"")</f>
        <v/>
      </c>
      <c r="O3438" s="14"/>
    </row>
    <row r="3439" ht="22.5" hidden="1" customHeight="1">
      <c r="A3439" s="8">
        <v>46057.67279409722</v>
      </c>
      <c r="B3439" s="14">
        <v>46057.0</v>
      </c>
      <c r="C3439" s="9" t="s">
        <v>15</v>
      </c>
      <c r="D3439" s="9" t="s">
        <v>257</v>
      </c>
      <c r="E3439" s="9" t="s">
        <v>17</v>
      </c>
      <c r="F3439" s="9" t="s">
        <v>17</v>
      </c>
      <c r="G3439" s="9">
        <v>7.0</v>
      </c>
      <c r="H3439" s="9" t="s">
        <v>22</v>
      </c>
      <c r="I3439" s="9" t="s">
        <v>20</v>
      </c>
      <c r="J3439" s="10"/>
      <c r="K3439" s="14" t="s">
        <v>398</v>
      </c>
      <c r="N3439" s="14" t="str">
        <f>IFERROR(__xludf.DUMMYFUNCTION("""COMPUTED_VALUE"""),"")</f>
        <v/>
      </c>
      <c r="O3439" s="14"/>
    </row>
    <row r="3440" ht="22.5" hidden="1" customHeight="1">
      <c r="A3440" s="8">
        <v>46058.34533048611</v>
      </c>
      <c r="B3440" s="14">
        <v>46058.0</v>
      </c>
      <c r="C3440" s="9" t="s">
        <v>15</v>
      </c>
      <c r="D3440" s="9" t="s">
        <v>249</v>
      </c>
      <c r="E3440" s="9" t="s">
        <v>17</v>
      </c>
      <c r="F3440" s="9" t="s">
        <v>17</v>
      </c>
      <c r="G3440" s="9">
        <v>8.0</v>
      </c>
      <c r="H3440" s="9" t="s">
        <v>22</v>
      </c>
      <c r="I3440" s="9" t="s">
        <v>20</v>
      </c>
      <c r="J3440" s="10"/>
      <c r="K3440" s="14" t="s">
        <v>398</v>
      </c>
      <c r="N3440" s="14" t="str">
        <f>IFERROR(__xludf.DUMMYFUNCTION("""COMPUTED_VALUE"""),"")</f>
        <v/>
      </c>
      <c r="O3440" s="14"/>
    </row>
    <row r="3441" ht="22.5" hidden="1" customHeight="1">
      <c r="A3441" s="8">
        <v>46058.38559431713</v>
      </c>
      <c r="B3441" s="14">
        <v>46058.0</v>
      </c>
      <c r="C3441" s="9" t="s">
        <v>31</v>
      </c>
      <c r="D3441" s="9" t="s">
        <v>258</v>
      </c>
      <c r="E3441" s="9" t="s">
        <v>17</v>
      </c>
      <c r="F3441" s="9" t="s">
        <v>17</v>
      </c>
      <c r="G3441" s="9">
        <v>8.0</v>
      </c>
      <c r="H3441" s="9" t="s">
        <v>22</v>
      </c>
      <c r="I3441" s="9" t="s">
        <v>20</v>
      </c>
      <c r="J3441" s="10"/>
      <c r="K3441" s="14" t="s">
        <v>398</v>
      </c>
      <c r="N3441" s="14" t="str">
        <f>IFERROR(__xludf.DUMMYFUNCTION("""COMPUTED_VALUE"""),"")</f>
        <v/>
      </c>
      <c r="O3441" s="14"/>
    </row>
    <row r="3442" ht="22.5" hidden="1" customHeight="1">
      <c r="A3442" s="8">
        <v>46058.38587672454</v>
      </c>
      <c r="B3442" s="14">
        <v>46058.0</v>
      </c>
      <c r="C3442" s="9" t="s">
        <v>31</v>
      </c>
      <c r="D3442" s="9" t="s">
        <v>171</v>
      </c>
      <c r="E3442" s="9" t="s">
        <v>17</v>
      </c>
      <c r="F3442" s="9" t="s">
        <v>17</v>
      </c>
      <c r="G3442" s="9">
        <v>7.0</v>
      </c>
      <c r="H3442" s="9" t="s">
        <v>25</v>
      </c>
      <c r="I3442" s="9" t="s">
        <v>173</v>
      </c>
      <c r="J3442" s="10"/>
      <c r="K3442" s="14" t="s">
        <v>398</v>
      </c>
      <c r="N3442" s="14" t="str">
        <f>IFERROR(__xludf.DUMMYFUNCTION("""COMPUTED_VALUE"""),"")</f>
        <v/>
      </c>
      <c r="O3442" s="14"/>
    </row>
    <row r="3443" ht="22.5" hidden="1" customHeight="1">
      <c r="A3443" s="8">
        <v>46058.3875508912</v>
      </c>
      <c r="B3443" s="14">
        <v>46058.0</v>
      </c>
      <c r="C3443" s="9" t="s">
        <v>31</v>
      </c>
      <c r="D3443" s="9" t="s">
        <v>175</v>
      </c>
      <c r="E3443" s="9" t="s">
        <v>17</v>
      </c>
      <c r="F3443" s="9" t="s">
        <v>17</v>
      </c>
      <c r="G3443" s="9">
        <v>7.0</v>
      </c>
      <c r="H3443" s="9" t="s">
        <v>25</v>
      </c>
      <c r="I3443" s="9" t="s">
        <v>207</v>
      </c>
      <c r="J3443" s="10"/>
      <c r="K3443" s="14">
        <v>6.0</v>
      </c>
      <c r="N3443" s="14" t="str">
        <f>IFERROR(__xludf.DUMMYFUNCTION("""COMPUTED_VALUE"""),"")</f>
        <v/>
      </c>
      <c r="O3443" s="14"/>
    </row>
    <row r="3444" ht="22.5" hidden="1" customHeight="1">
      <c r="A3444" s="8">
        <v>46058.38945025463</v>
      </c>
      <c r="B3444" s="14">
        <v>46058.0</v>
      </c>
      <c r="C3444" s="9" t="s">
        <v>31</v>
      </c>
      <c r="D3444" s="9" t="s">
        <v>396</v>
      </c>
      <c r="E3444" s="9" t="s">
        <v>17</v>
      </c>
      <c r="F3444" s="9" t="s">
        <v>17</v>
      </c>
      <c r="G3444" s="9">
        <v>7.0</v>
      </c>
      <c r="H3444" s="9" t="s">
        <v>22</v>
      </c>
      <c r="I3444" s="9" t="s">
        <v>20</v>
      </c>
      <c r="J3444" s="10"/>
      <c r="K3444" s="14">
        <v>2.0</v>
      </c>
      <c r="N3444" s="14" t="str">
        <f>IFERROR(__xludf.DUMMYFUNCTION("""COMPUTED_VALUE"""),"")</f>
        <v/>
      </c>
      <c r="O3444" s="14"/>
    </row>
    <row r="3445" ht="22.5" hidden="1" customHeight="1">
      <c r="A3445" s="8">
        <v>46058.389654803235</v>
      </c>
      <c r="B3445" s="14">
        <v>46058.0</v>
      </c>
      <c r="C3445" s="9" t="s">
        <v>31</v>
      </c>
      <c r="D3445" s="9" t="s">
        <v>105</v>
      </c>
      <c r="E3445" s="9" t="s">
        <v>17</v>
      </c>
      <c r="F3445" s="9" t="s">
        <v>17</v>
      </c>
      <c r="G3445" s="9">
        <v>8.0</v>
      </c>
      <c r="H3445" s="9" t="s">
        <v>22</v>
      </c>
      <c r="I3445" s="9" t="s">
        <v>20</v>
      </c>
      <c r="J3445" s="10"/>
      <c r="K3445" s="14" t="s">
        <v>398</v>
      </c>
      <c r="N3445" s="14" t="str">
        <f>IFERROR(__xludf.DUMMYFUNCTION("""COMPUTED_VALUE"""),"")</f>
        <v/>
      </c>
      <c r="O3445" s="14"/>
    </row>
    <row r="3446" ht="22.5" hidden="1" customHeight="1">
      <c r="A3446" s="8">
        <v>46058.38984482639</v>
      </c>
      <c r="B3446" s="14">
        <v>46058.0</v>
      </c>
      <c r="C3446" s="9" t="s">
        <v>31</v>
      </c>
      <c r="D3446" s="9" t="s">
        <v>177</v>
      </c>
      <c r="E3446" s="9" t="s">
        <v>17</v>
      </c>
      <c r="F3446" s="9" t="s">
        <v>17</v>
      </c>
      <c r="G3446" s="9">
        <v>8.0</v>
      </c>
      <c r="H3446" s="9" t="s">
        <v>22</v>
      </c>
      <c r="I3446" s="9" t="s">
        <v>20</v>
      </c>
      <c r="J3446" s="10"/>
      <c r="K3446" s="14" t="s">
        <v>398</v>
      </c>
      <c r="N3446" s="14" t="str">
        <f>IFERROR(__xludf.DUMMYFUNCTION("""COMPUTED_VALUE"""),"")</f>
        <v/>
      </c>
      <c r="O3446" s="14"/>
    </row>
    <row r="3447" ht="22.5" hidden="1" customHeight="1">
      <c r="A3447" s="8">
        <v>46058.39006994213</v>
      </c>
      <c r="B3447" s="14">
        <v>46058.0</v>
      </c>
      <c r="C3447" s="9" t="s">
        <v>31</v>
      </c>
      <c r="D3447" s="9" t="s">
        <v>259</v>
      </c>
      <c r="E3447" s="9" t="s">
        <v>17</v>
      </c>
      <c r="F3447" s="9" t="s">
        <v>17</v>
      </c>
      <c r="G3447" s="9">
        <v>8.0</v>
      </c>
      <c r="H3447" s="9" t="s">
        <v>22</v>
      </c>
      <c r="I3447" s="9" t="s">
        <v>20</v>
      </c>
      <c r="J3447" s="10"/>
      <c r="K3447" s="14">
        <v>4.0</v>
      </c>
      <c r="N3447" s="14" t="str">
        <f>IFERROR(__xludf.DUMMYFUNCTION("""COMPUTED_VALUE"""),"")</f>
        <v/>
      </c>
      <c r="O3447" s="14"/>
    </row>
    <row r="3448" ht="22.5" hidden="1" customHeight="1">
      <c r="A3448" s="8">
        <v>46058.390694664355</v>
      </c>
      <c r="B3448" s="14">
        <v>46058.0</v>
      </c>
      <c r="C3448" s="9" t="s">
        <v>31</v>
      </c>
      <c r="D3448" s="9" t="s">
        <v>178</v>
      </c>
      <c r="E3448" s="9" t="s">
        <v>17</v>
      </c>
      <c r="F3448" s="9" t="s">
        <v>17</v>
      </c>
      <c r="G3448" s="9">
        <v>7.0</v>
      </c>
      <c r="H3448" s="9" t="s">
        <v>25</v>
      </c>
      <c r="I3448" s="9" t="s">
        <v>273</v>
      </c>
      <c r="J3448" s="10"/>
      <c r="K3448" s="14" t="s">
        <v>398</v>
      </c>
      <c r="N3448" s="14" t="str">
        <f>IFERROR(__xludf.DUMMYFUNCTION("""COMPUTED_VALUE"""),"")</f>
        <v/>
      </c>
      <c r="O3448" s="14"/>
    </row>
    <row r="3449" ht="22.5" hidden="1" customHeight="1">
      <c r="A3449" s="8">
        <v>46058.390893749995</v>
      </c>
      <c r="B3449" s="14">
        <v>46058.0</v>
      </c>
      <c r="C3449" s="9" t="s">
        <v>31</v>
      </c>
      <c r="D3449" s="9" t="s">
        <v>280</v>
      </c>
      <c r="E3449" s="9" t="s">
        <v>17</v>
      </c>
      <c r="F3449" s="9" t="s">
        <v>17</v>
      </c>
      <c r="G3449" s="9">
        <v>7.0</v>
      </c>
      <c r="H3449" s="9" t="s">
        <v>22</v>
      </c>
      <c r="I3449" s="9" t="s">
        <v>20</v>
      </c>
      <c r="J3449" s="10"/>
      <c r="K3449" s="14" t="s">
        <v>398</v>
      </c>
      <c r="N3449" s="14" t="str">
        <f>IFERROR(__xludf.DUMMYFUNCTION("""COMPUTED_VALUE"""),"")</f>
        <v/>
      </c>
      <c r="O3449" s="14"/>
    </row>
    <row r="3450" ht="22.5" hidden="1" customHeight="1">
      <c r="A3450" s="8">
        <v>46058.39123365741</v>
      </c>
      <c r="B3450" s="14">
        <v>46058.0</v>
      </c>
      <c r="C3450" s="9" t="s">
        <v>31</v>
      </c>
      <c r="D3450" s="9" t="s">
        <v>335</v>
      </c>
      <c r="E3450" s="9" t="s">
        <v>17</v>
      </c>
      <c r="F3450" s="9" t="s">
        <v>17</v>
      </c>
      <c r="G3450" s="9">
        <v>7.0</v>
      </c>
      <c r="H3450" s="9" t="s">
        <v>25</v>
      </c>
      <c r="I3450" s="9" t="s">
        <v>411</v>
      </c>
      <c r="J3450" s="10"/>
      <c r="K3450" s="14" t="s">
        <v>398</v>
      </c>
      <c r="N3450" s="14" t="str">
        <f>IFERROR(__xludf.DUMMYFUNCTION("""COMPUTED_VALUE"""),"")</f>
        <v/>
      </c>
      <c r="O3450" s="14"/>
    </row>
    <row r="3451" ht="22.5" hidden="1" customHeight="1">
      <c r="A3451" s="8">
        <v>46058.39149736111</v>
      </c>
      <c r="B3451" s="14">
        <v>46058.0</v>
      </c>
      <c r="C3451" s="9" t="s">
        <v>31</v>
      </c>
      <c r="D3451" s="9" t="s">
        <v>394</v>
      </c>
      <c r="E3451" s="9" t="s">
        <v>17</v>
      </c>
      <c r="F3451" s="9" t="s">
        <v>17</v>
      </c>
      <c r="G3451" s="9">
        <v>7.0</v>
      </c>
      <c r="H3451" s="9" t="s">
        <v>22</v>
      </c>
      <c r="I3451" s="9" t="s">
        <v>20</v>
      </c>
      <c r="J3451" s="10"/>
      <c r="K3451" s="14" t="s">
        <v>398</v>
      </c>
      <c r="N3451" s="14" t="str">
        <f>IFERROR(__xludf.DUMMYFUNCTION("""COMPUTED_VALUE"""),"")</f>
        <v/>
      </c>
      <c r="O3451" s="14"/>
    </row>
    <row r="3452" ht="22.5" hidden="1" customHeight="1">
      <c r="A3452" s="8">
        <v>46058.39563770834</v>
      </c>
      <c r="B3452" s="14">
        <v>46058.0</v>
      </c>
      <c r="C3452" s="9" t="s">
        <v>31</v>
      </c>
      <c r="D3452" s="9" t="s">
        <v>280</v>
      </c>
      <c r="E3452" s="9" t="s">
        <v>17</v>
      </c>
      <c r="F3452" s="9" t="s">
        <v>17</v>
      </c>
      <c r="G3452" s="9">
        <v>7.0</v>
      </c>
      <c r="H3452" s="9" t="s">
        <v>25</v>
      </c>
      <c r="I3452" s="9" t="s">
        <v>211</v>
      </c>
      <c r="J3452" s="10"/>
      <c r="K3452" s="14" t="s">
        <v>398</v>
      </c>
      <c r="N3452" s="14" t="str">
        <f>IFERROR(__xludf.DUMMYFUNCTION("""COMPUTED_VALUE"""),"")</f>
        <v/>
      </c>
      <c r="O3452" s="14"/>
    </row>
    <row r="3453" ht="22.5" hidden="1" customHeight="1">
      <c r="A3453" s="8">
        <v>46058.39610773148</v>
      </c>
      <c r="B3453" s="14">
        <v>46058.0</v>
      </c>
      <c r="C3453" s="9" t="s">
        <v>31</v>
      </c>
      <c r="D3453" s="9" t="s">
        <v>178</v>
      </c>
      <c r="E3453" s="9" t="s">
        <v>17</v>
      </c>
      <c r="F3453" s="9" t="s">
        <v>17</v>
      </c>
      <c r="G3453" s="9">
        <v>7.0</v>
      </c>
      <c r="H3453" s="9" t="s">
        <v>25</v>
      </c>
      <c r="I3453" s="9" t="s">
        <v>415</v>
      </c>
      <c r="J3453" s="10"/>
      <c r="K3453" s="14" t="s">
        <v>398</v>
      </c>
      <c r="N3453" s="14" t="str">
        <f>IFERROR(__xludf.DUMMYFUNCTION("""COMPUTED_VALUE"""),"")</f>
        <v/>
      </c>
      <c r="O3453" s="14"/>
    </row>
    <row r="3454" ht="22.5" hidden="1" customHeight="1">
      <c r="A3454" s="8">
        <v>46058.396352337964</v>
      </c>
      <c r="B3454" s="14">
        <v>46058.0</v>
      </c>
      <c r="C3454" s="9" t="s">
        <v>31</v>
      </c>
      <c r="D3454" s="9" t="s">
        <v>394</v>
      </c>
      <c r="E3454" s="9" t="s">
        <v>17</v>
      </c>
      <c r="F3454" s="9" t="s">
        <v>17</v>
      </c>
      <c r="G3454" s="9">
        <v>7.0</v>
      </c>
      <c r="H3454" s="9" t="s">
        <v>22</v>
      </c>
      <c r="I3454" s="9" t="s">
        <v>20</v>
      </c>
      <c r="J3454" s="10"/>
      <c r="K3454" s="14" t="s">
        <v>398</v>
      </c>
      <c r="N3454" s="14" t="str">
        <f>IFERROR(__xludf.DUMMYFUNCTION("""COMPUTED_VALUE"""),"")</f>
        <v/>
      </c>
      <c r="O3454" s="14"/>
    </row>
    <row r="3455" ht="22.5" hidden="1" customHeight="1">
      <c r="A3455" s="8">
        <v>46058.39655922454</v>
      </c>
      <c r="B3455" s="14">
        <v>46058.0</v>
      </c>
      <c r="C3455" s="9" t="s">
        <v>31</v>
      </c>
      <c r="D3455" s="9" t="s">
        <v>174</v>
      </c>
      <c r="E3455" s="9" t="s">
        <v>17</v>
      </c>
      <c r="F3455" s="9" t="s">
        <v>17</v>
      </c>
      <c r="G3455" s="9">
        <v>7.0</v>
      </c>
      <c r="H3455" s="9" t="s">
        <v>22</v>
      </c>
      <c r="I3455" s="9" t="s">
        <v>20</v>
      </c>
      <c r="J3455" s="10"/>
      <c r="K3455" s="14">
        <v>4.0</v>
      </c>
      <c r="N3455" s="14" t="str">
        <f>IFERROR(__xludf.DUMMYFUNCTION("""COMPUTED_VALUE"""),"")</f>
        <v/>
      </c>
      <c r="O3455" s="14"/>
    </row>
    <row r="3456" ht="22.5" hidden="1" customHeight="1">
      <c r="A3456" s="8">
        <v>46058.39705997685</v>
      </c>
      <c r="B3456" s="14">
        <v>46058.0</v>
      </c>
      <c r="C3456" s="9" t="s">
        <v>31</v>
      </c>
      <c r="D3456" s="9" t="s">
        <v>257</v>
      </c>
      <c r="E3456" s="9" t="s">
        <v>17</v>
      </c>
      <c r="F3456" s="9" t="s">
        <v>17</v>
      </c>
      <c r="G3456" s="9">
        <v>7.0</v>
      </c>
      <c r="H3456" s="9" t="s">
        <v>22</v>
      </c>
      <c r="I3456" s="9" t="s">
        <v>20</v>
      </c>
      <c r="J3456" s="10"/>
      <c r="K3456" s="14" t="s">
        <v>398</v>
      </c>
      <c r="N3456" s="14" t="str">
        <f>IFERROR(__xludf.DUMMYFUNCTION("""COMPUTED_VALUE"""),"")</f>
        <v/>
      </c>
      <c r="O3456" s="14"/>
    </row>
    <row r="3457" ht="22.5" hidden="1" customHeight="1">
      <c r="A3457" s="8">
        <v>46058.39723721065</v>
      </c>
      <c r="B3457" s="14">
        <v>46058.0</v>
      </c>
      <c r="C3457" s="9" t="s">
        <v>31</v>
      </c>
      <c r="D3457" s="9" t="s">
        <v>247</v>
      </c>
      <c r="E3457" s="9" t="s">
        <v>17</v>
      </c>
      <c r="F3457" s="9" t="s">
        <v>17</v>
      </c>
      <c r="G3457" s="9">
        <v>7.0</v>
      </c>
      <c r="H3457" s="9" t="s">
        <v>22</v>
      </c>
      <c r="I3457" s="9" t="s">
        <v>20</v>
      </c>
      <c r="J3457" s="10"/>
      <c r="K3457" s="14" t="s">
        <v>398</v>
      </c>
      <c r="N3457" s="14" t="str">
        <f>IFERROR(__xludf.DUMMYFUNCTION("""COMPUTED_VALUE"""),"")</f>
        <v/>
      </c>
      <c r="O3457" s="14"/>
    </row>
    <row r="3458" ht="22.5" hidden="1" customHeight="1">
      <c r="A3458" s="8">
        <v>46058.39745048611</v>
      </c>
      <c r="B3458" s="14">
        <v>46058.0</v>
      </c>
      <c r="C3458" s="9" t="s">
        <v>31</v>
      </c>
      <c r="D3458" s="9" t="s">
        <v>367</v>
      </c>
      <c r="E3458" s="9" t="s">
        <v>17</v>
      </c>
      <c r="F3458" s="9" t="s">
        <v>17</v>
      </c>
      <c r="G3458" s="9">
        <v>7.0</v>
      </c>
      <c r="H3458" s="9" t="s">
        <v>22</v>
      </c>
      <c r="I3458" s="9" t="s">
        <v>20</v>
      </c>
      <c r="J3458" s="10"/>
      <c r="K3458" s="14" t="s">
        <v>398</v>
      </c>
      <c r="N3458" s="14" t="str">
        <f>IFERROR(__xludf.DUMMYFUNCTION("""COMPUTED_VALUE"""),"")</f>
        <v/>
      </c>
      <c r="O3458" s="14"/>
    </row>
    <row r="3459" ht="22.5" hidden="1" customHeight="1">
      <c r="A3459" s="8">
        <v>46058.39768863426</v>
      </c>
      <c r="B3459" s="14">
        <v>46058.0</v>
      </c>
      <c r="C3459" s="9" t="s">
        <v>31</v>
      </c>
      <c r="D3459" s="9" t="s">
        <v>350</v>
      </c>
      <c r="E3459" s="9" t="s">
        <v>17</v>
      </c>
      <c r="F3459" s="9" t="s">
        <v>17</v>
      </c>
      <c r="G3459" s="9">
        <v>7.0</v>
      </c>
      <c r="H3459" s="9" t="s">
        <v>22</v>
      </c>
      <c r="I3459" s="9" t="s">
        <v>20</v>
      </c>
      <c r="J3459" s="10"/>
      <c r="K3459" s="14">
        <v>4.0</v>
      </c>
      <c r="N3459" s="14" t="str">
        <f>IFERROR(__xludf.DUMMYFUNCTION("""COMPUTED_VALUE"""),"")</f>
        <v/>
      </c>
      <c r="O3459" s="14"/>
    </row>
    <row r="3460" ht="22.5" hidden="1" customHeight="1">
      <c r="A3460" s="8">
        <v>46058.398133043986</v>
      </c>
      <c r="B3460" s="14">
        <v>46058.0</v>
      </c>
      <c r="C3460" s="9" t="s">
        <v>31</v>
      </c>
      <c r="D3460" s="9" t="s">
        <v>395</v>
      </c>
      <c r="E3460" s="9" t="s">
        <v>17</v>
      </c>
      <c r="F3460" s="9" t="s">
        <v>17</v>
      </c>
      <c r="G3460" s="9">
        <v>7.0</v>
      </c>
      <c r="H3460" s="9" t="s">
        <v>22</v>
      </c>
      <c r="I3460" s="9" t="s">
        <v>20</v>
      </c>
      <c r="J3460" s="10"/>
      <c r="K3460" s="14" t="s">
        <v>398</v>
      </c>
      <c r="N3460" s="14" t="str">
        <f>IFERROR(__xludf.DUMMYFUNCTION("""COMPUTED_VALUE"""),"")</f>
        <v/>
      </c>
      <c r="O3460" s="14"/>
    </row>
    <row r="3461" ht="22.5" hidden="1" customHeight="1">
      <c r="A3461" s="8">
        <v>46058.398662430554</v>
      </c>
      <c r="B3461" s="14">
        <v>46058.0</v>
      </c>
      <c r="C3461" s="9" t="s">
        <v>31</v>
      </c>
      <c r="D3461" s="9" t="s">
        <v>357</v>
      </c>
      <c r="E3461" s="9" t="s">
        <v>17</v>
      </c>
      <c r="F3461" s="9" t="s">
        <v>17</v>
      </c>
      <c r="G3461" s="9">
        <v>7.0</v>
      </c>
      <c r="H3461" s="9" t="s">
        <v>22</v>
      </c>
      <c r="I3461" s="9" t="s">
        <v>20</v>
      </c>
      <c r="J3461" s="10"/>
      <c r="K3461" s="14">
        <v>5.0</v>
      </c>
      <c r="N3461" s="14" t="str">
        <f>IFERROR(__xludf.DUMMYFUNCTION("""COMPUTED_VALUE"""),"")</f>
        <v/>
      </c>
      <c r="O3461" s="14"/>
    </row>
    <row r="3462" ht="22.5" hidden="1" customHeight="1">
      <c r="A3462" s="8">
        <v>46058.39911673611</v>
      </c>
      <c r="B3462" s="14">
        <v>46058.0</v>
      </c>
      <c r="C3462" s="9" t="s">
        <v>31</v>
      </c>
      <c r="D3462" s="9" t="s">
        <v>393</v>
      </c>
      <c r="E3462" s="9" t="s">
        <v>17</v>
      </c>
      <c r="F3462" s="9" t="s">
        <v>17</v>
      </c>
      <c r="G3462" s="9">
        <v>7.0</v>
      </c>
      <c r="H3462" s="9" t="s">
        <v>17</v>
      </c>
      <c r="I3462" s="9" t="s">
        <v>20</v>
      </c>
      <c r="J3462" s="10"/>
      <c r="K3462" s="14" t="s">
        <v>398</v>
      </c>
      <c r="N3462" s="14" t="str">
        <f>IFERROR(__xludf.DUMMYFUNCTION("""COMPUTED_VALUE"""),"")</f>
        <v/>
      </c>
      <c r="O3462" s="14"/>
    </row>
    <row r="3463" ht="22.5" hidden="1" customHeight="1">
      <c r="A3463" s="8">
        <v>46058.39947152778</v>
      </c>
      <c r="B3463" s="14">
        <v>46058.0</v>
      </c>
      <c r="C3463" s="9" t="s">
        <v>31</v>
      </c>
      <c r="D3463" s="9" t="s">
        <v>408</v>
      </c>
      <c r="E3463" s="9" t="s">
        <v>17</v>
      </c>
      <c r="F3463" s="9" t="s">
        <v>17</v>
      </c>
      <c r="G3463" s="9">
        <v>8.0</v>
      </c>
      <c r="H3463" s="9" t="s">
        <v>22</v>
      </c>
      <c r="I3463" s="9" t="s">
        <v>20</v>
      </c>
      <c r="J3463" s="10"/>
      <c r="K3463" s="14" t="s">
        <v>398</v>
      </c>
      <c r="N3463" s="14" t="str">
        <f>IFERROR(__xludf.DUMMYFUNCTION("""COMPUTED_VALUE"""),"")</f>
        <v/>
      </c>
      <c r="O3463" s="14"/>
    </row>
    <row r="3464" ht="22.5" hidden="1" customHeight="1">
      <c r="A3464" s="8">
        <v>46058.399675243054</v>
      </c>
      <c r="B3464" s="14">
        <v>46058.0</v>
      </c>
      <c r="C3464" s="9" t="s">
        <v>31</v>
      </c>
      <c r="D3464" s="9" t="s">
        <v>369</v>
      </c>
      <c r="E3464" s="9" t="s">
        <v>17</v>
      </c>
      <c r="F3464" s="9" t="s">
        <v>17</v>
      </c>
      <c r="G3464" s="9">
        <v>7.0</v>
      </c>
      <c r="H3464" s="9" t="s">
        <v>22</v>
      </c>
      <c r="I3464" s="9" t="s">
        <v>20</v>
      </c>
      <c r="J3464" s="10"/>
      <c r="K3464" s="14">
        <v>4.0</v>
      </c>
      <c r="N3464" s="14" t="str">
        <f>IFERROR(__xludf.DUMMYFUNCTION("""COMPUTED_VALUE"""),"")</f>
        <v/>
      </c>
      <c r="O3464" s="14"/>
    </row>
    <row r="3465" ht="22.5" hidden="1" customHeight="1">
      <c r="A3465" s="8">
        <v>46058.39986895834</v>
      </c>
      <c r="B3465" s="14">
        <v>46058.0</v>
      </c>
      <c r="C3465" s="9" t="s">
        <v>31</v>
      </c>
      <c r="D3465" s="9" t="s">
        <v>412</v>
      </c>
      <c r="E3465" s="9" t="s">
        <v>17</v>
      </c>
      <c r="F3465" s="9" t="s">
        <v>17</v>
      </c>
      <c r="G3465" s="9">
        <v>7.0</v>
      </c>
      <c r="H3465" s="9" t="s">
        <v>22</v>
      </c>
      <c r="I3465" s="9" t="s">
        <v>20</v>
      </c>
      <c r="J3465" s="10"/>
      <c r="K3465" s="14">
        <v>4.0</v>
      </c>
      <c r="N3465" s="14" t="str">
        <f>IFERROR(__xludf.DUMMYFUNCTION("""COMPUTED_VALUE"""),"")</f>
        <v/>
      </c>
      <c r="O3465" s="14"/>
    </row>
    <row r="3466" ht="22.5" hidden="1" customHeight="1">
      <c r="A3466" s="8">
        <v>46058.40016556713</v>
      </c>
      <c r="B3466" s="14">
        <v>46058.0</v>
      </c>
      <c r="C3466" s="9" t="s">
        <v>31</v>
      </c>
      <c r="D3466" s="9" t="s">
        <v>413</v>
      </c>
      <c r="E3466" s="9" t="s">
        <v>17</v>
      </c>
      <c r="F3466" s="9" t="s">
        <v>17</v>
      </c>
      <c r="G3466" s="9">
        <v>7.0</v>
      </c>
      <c r="H3466" s="9" t="s">
        <v>25</v>
      </c>
      <c r="I3466" s="9" t="s">
        <v>28</v>
      </c>
      <c r="J3466" s="10"/>
      <c r="K3466" s="14" t="s">
        <v>398</v>
      </c>
      <c r="N3466" s="14" t="str">
        <f>IFERROR(__xludf.DUMMYFUNCTION("""COMPUTED_VALUE"""),"")</f>
        <v/>
      </c>
      <c r="O3466" s="14"/>
    </row>
    <row r="3467" ht="22.5" hidden="1" customHeight="1">
      <c r="A3467" s="8">
        <v>46058.40038368056</v>
      </c>
      <c r="B3467" s="14">
        <v>46058.0</v>
      </c>
      <c r="C3467" s="9" t="s">
        <v>31</v>
      </c>
      <c r="D3467" s="9" t="s">
        <v>413</v>
      </c>
      <c r="E3467" s="9" t="s">
        <v>17</v>
      </c>
      <c r="F3467" s="9" t="s">
        <v>17</v>
      </c>
      <c r="G3467" s="9">
        <v>7.0</v>
      </c>
      <c r="H3467" s="9" t="s">
        <v>22</v>
      </c>
      <c r="I3467" s="9" t="s">
        <v>20</v>
      </c>
      <c r="J3467" s="10"/>
      <c r="K3467" s="14" t="s">
        <v>398</v>
      </c>
      <c r="N3467" s="14" t="str">
        <f>IFERROR(__xludf.DUMMYFUNCTION("""COMPUTED_VALUE"""),"")</f>
        <v/>
      </c>
      <c r="O3467" s="14"/>
    </row>
    <row r="3468" ht="22.5" hidden="1" customHeight="1">
      <c r="A3468" s="8">
        <v>46058.40055951389</v>
      </c>
      <c r="B3468" s="14">
        <v>46058.0</v>
      </c>
      <c r="C3468" s="9" t="s">
        <v>31</v>
      </c>
      <c r="D3468" s="9" t="s">
        <v>412</v>
      </c>
      <c r="E3468" s="9" t="s">
        <v>17</v>
      </c>
      <c r="F3468" s="9" t="s">
        <v>17</v>
      </c>
      <c r="G3468" s="9">
        <v>7.0</v>
      </c>
      <c r="H3468" s="9" t="s">
        <v>25</v>
      </c>
      <c r="I3468" s="9" t="s">
        <v>28</v>
      </c>
      <c r="J3468" s="10"/>
      <c r="K3468" s="14">
        <v>4.0</v>
      </c>
      <c r="N3468" s="14" t="str">
        <f>IFERROR(__xludf.DUMMYFUNCTION("""COMPUTED_VALUE"""),"")</f>
        <v/>
      </c>
      <c r="O3468" s="14"/>
    </row>
    <row r="3469" ht="22.5" hidden="1" customHeight="1">
      <c r="A3469" s="8">
        <v>46059.35723137732</v>
      </c>
      <c r="B3469" s="14">
        <v>46059.0</v>
      </c>
      <c r="C3469" s="9" t="s">
        <v>48</v>
      </c>
      <c r="D3469" s="9" t="s">
        <v>258</v>
      </c>
      <c r="E3469" s="9" t="s">
        <v>30</v>
      </c>
      <c r="F3469" s="9" t="s">
        <v>17</v>
      </c>
      <c r="G3469" s="9">
        <v>8.0</v>
      </c>
      <c r="H3469" s="9" t="s">
        <v>22</v>
      </c>
      <c r="I3469" s="9" t="s">
        <v>20</v>
      </c>
      <c r="J3469" s="10"/>
      <c r="K3469" s="14">
        <v>6.0</v>
      </c>
      <c r="N3469" s="14" t="str">
        <f>IFERROR(__xludf.DUMMYFUNCTION("""COMPUTED_VALUE"""),"")</f>
        <v/>
      </c>
      <c r="O3469" s="14"/>
    </row>
    <row r="3470" ht="22.5" hidden="1" customHeight="1">
      <c r="A3470" s="8">
        <v>46059.35757284722</v>
      </c>
      <c r="B3470" s="14">
        <v>46059.0</v>
      </c>
      <c r="C3470" s="9" t="s">
        <v>48</v>
      </c>
      <c r="D3470" s="9" t="s">
        <v>171</v>
      </c>
      <c r="E3470" s="9" t="s">
        <v>17</v>
      </c>
      <c r="F3470" s="9" t="s">
        <v>17</v>
      </c>
      <c r="G3470" s="9">
        <v>8.0</v>
      </c>
      <c r="H3470" s="9" t="s">
        <v>25</v>
      </c>
      <c r="I3470" s="9" t="s">
        <v>173</v>
      </c>
      <c r="J3470" s="10"/>
      <c r="K3470" s="14" t="s">
        <v>398</v>
      </c>
      <c r="N3470" s="14" t="str">
        <f>IFERROR(__xludf.DUMMYFUNCTION("""COMPUTED_VALUE"""),"")</f>
        <v/>
      </c>
      <c r="O3470" s="14"/>
    </row>
    <row r="3471" ht="22.5" hidden="1" customHeight="1">
      <c r="A3471" s="8">
        <v>46059.35778184028</v>
      </c>
      <c r="B3471" s="14">
        <v>46059.0</v>
      </c>
      <c r="C3471" s="9" t="s">
        <v>48</v>
      </c>
      <c r="D3471" s="9" t="s">
        <v>105</v>
      </c>
      <c r="E3471" s="9" t="s">
        <v>17</v>
      </c>
      <c r="F3471" s="9" t="s">
        <v>17</v>
      </c>
      <c r="G3471" s="9">
        <v>7.0</v>
      </c>
      <c r="H3471" s="9" t="s">
        <v>22</v>
      </c>
      <c r="I3471" s="9" t="s">
        <v>20</v>
      </c>
      <c r="J3471" s="10"/>
      <c r="K3471" s="14">
        <v>2.0</v>
      </c>
      <c r="N3471" s="14" t="str">
        <f>IFERROR(__xludf.DUMMYFUNCTION("""COMPUTED_VALUE"""),"")</f>
        <v/>
      </c>
      <c r="O3471" s="14"/>
    </row>
    <row r="3472" ht="22.5" hidden="1" customHeight="1">
      <c r="A3472" s="8">
        <v>46059.35799870371</v>
      </c>
      <c r="B3472" s="14">
        <v>46059.0</v>
      </c>
      <c r="C3472" s="9" t="s">
        <v>48</v>
      </c>
      <c r="D3472" s="9" t="s">
        <v>280</v>
      </c>
      <c r="E3472" s="9" t="s">
        <v>17</v>
      </c>
      <c r="F3472" s="9" t="s">
        <v>17</v>
      </c>
      <c r="G3472" s="9">
        <v>7.0</v>
      </c>
      <c r="H3472" s="9" t="s">
        <v>22</v>
      </c>
      <c r="I3472" s="9" t="s">
        <v>20</v>
      </c>
      <c r="J3472" s="10"/>
      <c r="K3472" s="14" t="s">
        <v>398</v>
      </c>
      <c r="N3472" s="14" t="str">
        <f>IFERROR(__xludf.DUMMYFUNCTION("""COMPUTED_VALUE"""),"")</f>
        <v/>
      </c>
      <c r="O3472" s="14"/>
    </row>
    <row r="3473" ht="22.5" hidden="1" customHeight="1">
      <c r="A3473" s="8">
        <v>46059.358284560185</v>
      </c>
      <c r="B3473" s="14">
        <v>46059.0</v>
      </c>
      <c r="C3473" s="9" t="s">
        <v>48</v>
      </c>
      <c r="D3473" s="9" t="s">
        <v>257</v>
      </c>
      <c r="E3473" s="9" t="s">
        <v>17</v>
      </c>
      <c r="F3473" s="9" t="s">
        <v>17</v>
      </c>
      <c r="G3473" s="9">
        <v>8.0</v>
      </c>
      <c r="H3473" s="9" t="s">
        <v>22</v>
      </c>
      <c r="I3473" s="9" t="s">
        <v>20</v>
      </c>
      <c r="J3473" s="10"/>
      <c r="K3473" s="14" t="s">
        <v>398</v>
      </c>
      <c r="N3473" s="14" t="str">
        <f>IFERROR(__xludf.DUMMYFUNCTION("""COMPUTED_VALUE"""),"")</f>
        <v/>
      </c>
      <c r="O3473" s="14"/>
    </row>
    <row r="3474" ht="22.5" hidden="1" customHeight="1">
      <c r="A3474" s="8">
        <v>46059.358515879634</v>
      </c>
      <c r="B3474" s="14">
        <v>46059.0</v>
      </c>
      <c r="C3474" s="9" t="s">
        <v>48</v>
      </c>
      <c r="D3474" s="9" t="s">
        <v>249</v>
      </c>
      <c r="E3474" s="9" t="s">
        <v>17</v>
      </c>
      <c r="F3474" s="9" t="s">
        <v>17</v>
      </c>
      <c r="G3474" s="9">
        <v>7.0</v>
      </c>
      <c r="H3474" s="9" t="s">
        <v>22</v>
      </c>
      <c r="I3474" s="9" t="s">
        <v>20</v>
      </c>
      <c r="J3474" s="10"/>
      <c r="K3474" s="14" t="s">
        <v>398</v>
      </c>
      <c r="N3474" s="14" t="str">
        <f>IFERROR(__xludf.DUMMYFUNCTION("""COMPUTED_VALUE"""),"")</f>
        <v/>
      </c>
      <c r="O3474" s="14"/>
    </row>
    <row r="3475" ht="22.5" hidden="1" customHeight="1">
      <c r="A3475" s="8">
        <v>46059.35875962963</v>
      </c>
      <c r="B3475" s="14">
        <v>46059.0</v>
      </c>
      <c r="C3475" s="9" t="s">
        <v>48</v>
      </c>
      <c r="D3475" s="9" t="s">
        <v>414</v>
      </c>
      <c r="E3475" s="9" t="s">
        <v>17</v>
      </c>
      <c r="F3475" s="9" t="s">
        <v>17</v>
      </c>
      <c r="G3475" s="9">
        <v>8.0</v>
      </c>
      <c r="H3475" s="9" t="s">
        <v>22</v>
      </c>
      <c r="I3475" s="9" t="s">
        <v>20</v>
      </c>
      <c r="J3475" s="10"/>
      <c r="K3475" s="14">
        <v>3.0</v>
      </c>
      <c r="N3475" s="14" t="str">
        <f>IFERROR(__xludf.DUMMYFUNCTION("""COMPUTED_VALUE"""),"")</f>
        <v/>
      </c>
      <c r="O3475" s="14"/>
    </row>
    <row r="3476" ht="22.5" hidden="1" customHeight="1">
      <c r="A3476" s="8">
        <v>46059.3819403125</v>
      </c>
      <c r="B3476" s="14">
        <v>46059.0</v>
      </c>
      <c r="C3476" s="9" t="s">
        <v>48</v>
      </c>
      <c r="D3476" s="9" t="s">
        <v>175</v>
      </c>
      <c r="E3476" s="9" t="s">
        <v>17</v>
      </c>
      <c r="F3476" s="9" t="s">
        <v>17</v>
      </c>
      <c r="G3476" s="9">
        <v>7.0</v>
      </c>
      <c r="H3476" s="9" t="s">
        <v>25</v>
      </c>
      <c r="I3476" s="9" t="s">
        <v>207</v>
      </c>
      <c r="J3476" s="10"/>
      <c r="K3476" s="14">
        <v>7.0</v>
      </c>
      <c r="N3476" s="14" t="str">
        <f>IFERROR(__xludf.DUMMYFUNCTION("""COMPUTED_VALUE"""),"")</f>
        <v/>
      </c>
      <c r="O3476" s="14"/>
    </row>
    <row r="3477" ht="22.5" hidden="1" customHeight="1">
      <c r="A3477" s="8">
        <v>46059.3821633912</v>
      </c>
      <c r="B3477" s="14">
        <v>46059.0</v>
      </c>
      <c r="C3477" s="9" t="s">
        <v>48</v>
      </c>
      <c r="D3477" s="9" t="s">
        <v>177</v>
      </c>
      <c r="E3477" s="9" t="s">
        <v>17</v>
      </c>
      <c r="F3477" s="9" t="s">
        <v>17</v>
      </c>
      <c r="G3477" s="9">
        <v>7.0</v>
      </c>
      <c r="H3477" s="9" t="s">
        <v>22</v>
      </c>
      <c r="I3477" s="9" t="s">
        <v>20</v>
      </c>
      <c r="J3477" s="10"/>
      <c r="K3477" s="14" t="s">
        <v>398</v>
      </c>
      <c r="N3477" s="14" t="str">
        <f>IFERROR(__xludf.DUMMYFUNCTION("""COMPUTED_VALUE"""),"")</f>
        <v/>
      </c>
      <c r="O3477" s="14"/>
    </row>
    <row r="3478" ht="22.5" hidden="1" customHeight="1">
      <c r="A3478" s="8">
        <v>46059.38238743055</v>
      </c>
      <c r="B3478" s="14">
        <v>46059.0</v>
      </c>
      <c r="C3478" s="9" t="s">
        <v>48</v>
      </c>
      <c r="D3478" s="9" t="s">
        <v>178</v>
      </c>
      <c r="E3478" s="9" t="s">
        <v>17</v>
      </c>
      <c r="F3478" s="9" t="s">
        <v>17</v>
      </c>
      <c r="G3478" s="9">
        <v>8.0</v>
      </c>
      <c r="H3478" s="9" t="s">
        <v>22</v>
      </c>
      <c r="I3478" s="9" t="s">
        <v>20</v>
      </c>
      <c r="J3478" s="10"/>
      <c r="K3478" s="14">
        <v>8.0</v>
      </c>
      <c r="N3478" s="14" t="str">
        <f>IFERROR(__xludf.DUMMYFUNCTION("""COMPUTED_VALUE"""),"")</f>
        <v/>
      </c>
      <c r="O3478" s="14"/>
    </row>
    <row r="3479" ht="22.5" hidden="1" customHeight="1">
      <c r="A3479" s="8">
        <v>46059.38265677083</v>
      </c>
      <c r="B3479" s="14">
        <v>46059.0</v>
      </c>
      <c r="C3479" s="9" t="s">
        <v>48</v>
      </c>
      <c r="D3479" s="9" t="s">
        <v>394</v>
      </c>
      <c r="E3479" s="9" t="s">
        <v>17</v>
      </c>
      <c r="F3479" s="9" t="s">
        <v>17</v>
      </c>
      <c r="G3479" s="9">
        <v>8.0</v>
      </c>
      <c r="H3479" s="9" t="s">
        <v>22</v>
      </c>
      <c r="I3479" s="9" t="s">
        <v>20</v>
      </c>
      <c r="J3479" s="10"/>
      <c r="K3479" s="14">
        <v>4.0</v>
      </c>
      <c r="N3479" s="14" t="str">
        <f>IFERROR(__xludf.DUMMYFUNCTION("""COMPUTED_VALUE"""),"")</f>
        <v/>
      </c>
      <c r="O3479" s="14"/>
    </row>
    <row r="3480" ht="22.5" hidden="1" customHeight="1">
      <c r="A3480" s="8">
        <v>46059.38283585648</v>
      </c>
      <c r="B3480" s="14">
        <v>46059.0</v>
      </c>
      <c r="C3480" s="9" t="s">
        <v>48</v>
      </c>
      <c r="D3480" s="9" t="s">
        <v>174</v>
      </c>
      <c r="E3480" s="9" t="s">
        <v>17</v>
      </c>
      <c r="F3480" s="9" t="s">
        <v>17</v>
      </c>
      <c r="G3480" s="9">
        <v>8.0</v>
      </c>
      <c r="H3480" s="9" t="s">
        <v>22</v>
      </c>
      <c r="I3480" s="9" t="s">
        <v>20</v>
      </c>
      <c r="J3480" s="10"/>
      <c r="K3480" s="14">
        <v>7.0</v>
      </c>
      <c r="N3480" s="14" t="str">
        <f>IFERROR(__xludf.DUMMYFUNCTION("""COMPUTED_VALUE"""),"")</f>
        <v/>
      </c>
      <c r="O3480" s="14"/>
    </row>
    <row r="3481" ht="22.5" hidden="1" customHeight="1">
      <c r="A3481" s="8">
        <v>46059.38318333333</v>
      </c>
      <c r="B3481" s="14">
        <v>46059.0</v>
      </c>
      <c r="C3481" s="9" t="s">
        <v>48</v>
      </c>
      <c r="D3481" s="9" t="s">
        <v>367</v>
      </c>
      <c r="E3481" s="9" t="s">
        <v>17</v>
      </c>
      <c r="F3481" s="9" t="s">
        <v>17</v>
      </c>
      <c r="G3481" s="9">
        <v>8.0</v>
      </c>
      <c r="H3481" s="9" t="s">
        <v>22</v>
      </c>
      <c r="I3481" s="9" t="s">
        <v>20</v>
      </c>
      <c r="J3481" s="10"/>
      <c r="K3481" s="14" t="s">
        <v>398</v>
      </c>
      <c r="N3481" s="14" t="str">
        <f>IFERROR(__xludf.DUMMYFUNCTION("""COMPUTED_VALUE"""),"")</f>
        <v/>
      </c>
      <c r="O3481" s="14"/>
    </row>
    <row r="3482" ht="22.5" hidden="1" customHeight="1">
      <c r="A3482" s="8">
        <v>46059.40702143518</v>
      </c>
      <c r="B3482" s="14">
        <v>46059.0</v>
      </c>
      <c r="C3482" s="9" t="s">
        <v>48</v>
      </c>
      <c r="D3482" s="9" t="s">
        <v>350</v>
      </c>
      <c r="E3482" s="9" t="s">
        <v>17</v>
      </c>
      <c r="F3482" s="9" t="s">
        <v>17</v>
      </c>
      <c r="G3482" s="9">
        <v>7.0</v>
      </c>
      <c r="H3482" s="9" t="s">
        <v>22</v>
      </c>
      <c r="I3482" s="9" t="s">
        <v>20</v>
      </c>
      <c r="J3482" s="10"/>
      <c r="K3482" s="14">
        <v>5.0</v>
      </c>
      <c r="N3482" s="14" t="str">
        <f>IFERROR(__xludf.DUMMYFUNCTION("""COMPUTED_VALUE"""),"")</f>
        <v/>
      </c>
      <c r="O3482" s="14"/>
    </row>
    <row r="3483" ht="22.5" hidden="1" customHeight="1">
      <c r="A3483" s="8">
        <v>46059.40728875</v>
      </c>
      <c r="B3483" s="14">
        <v>46059.0</v>
      </c>
      <c r="C3483" s="9" t="s">
        <v>48</v>
      </c>
      <c r="D3483" s="9" t="s">
        <v>395</v>
      </c>
      <c r="E3483" s="9" t="s">
        <v>17</v>
      </c>
      <c r="F3483" s="9" t="s">
        <v>17</v>
      </c>
      <c r="G3483" s="9">
        <v>7.0</v>
      </c>
      <c r="H3483" s="9" t="s">
        <v>22</v>
      </c>
      <c r="I3483" s="9" t="s">
        <v>20</v>
      </c>
      <c r="J3483" s="10"/>
      <c r="K3483" s="14">
        <v>4.0</v>
      </c>
      <c r="N3483" s="14" t="str">
        <f>IFERROR(__xludf.DUMMYFUNCTION("""COMPUTED_VALUE"""),"")</f>
        <v/>
      </c>
      <c r="O3483" s="14"/>
    </row>
    <row r="3484" ht="22.5" hidden="1" customHeight="1">
      <c r="A3484" s="8">
        <v>46059.407555439815</v>
      </c>
      <c r="B3484" s="14">
        <v>46059.0</v>
      </c>
      <c r="C3484" s="9" t="s">
        <v>48</v>
      </c>
      <c r="D3484" s="9" t="s">
        <v>357</v>
      </c>
      <c r="E3484" s="9" t="s">
        <v>17</v>
      </c>
      <c r="F3484" s="9" t="s">
        <v>17</v>
      </c>
      <c r="G3484" s="9">
        <v>7.0</v>
      </c>
      <c r="H3484" s="9" t="s">
        <v>22</v>
      </c>
      <c r="I3484" s="9" t="s">
        <v>20</v>
      </c>
      <c r="J3484" s="10"/>
      <c r="K3484" s="14">
        <v>4.0</v>
      </c>
      <c r="N3484" s="14" t="str">
        <f>IFERROR(__xludf.DUMMYFUNCTION("""COMPUTED_VALUE"""),"")</f>
        <v/>
      </c>
      <c r="O3484" s="14"/>
    </row>
    <row r="3485" ht="22.5" hidden="1" customHeight="1">
      <c r="A3485" s="8">
        <v>46059.40776295139</v>
      </c>
      <c r="B3485" s="14">
        <v>46059.0</v>
      </c>
      <c r="C3485" s="9" t="s">
        <v>48</v>
      </c>
      <c r="D3485" s="9" t="s">
        <v>393</v>
      </c>
      <c r="E3485" s="9" t="s">
        <v>17</v>
      </c>
      <c r="F3485" s="9" t="s">
        <v>17</v>
      </c>
      <c r="G3485" s="9">
        <v>8.0</v>
      </c>
      <c r="H3485" s="9" t="s">
        <v>22</v>
      </c>
      <c r="I3485" s="9" t="s">
        <v>20</v>
      </c>
      <c r="J3485" s="10"/>
      <c r="K3485" s="14" t="s">
        <v>398</v>
      </c>
      <c r="N3485" s="14" t="str">
        <f>IFERROR(__xludf.DUMMYFUNCTION("""COMPUTED_VALUE"""),"")</f>
        <v/>
      </c>
      <c r="O3485" s="14"/>
    </row>
    <row r="3486" ht="22.5" hidden="1" customHeight="1">
      <c r="A3486" s="8">
        <v>46059.40796591435</v>
      </c>
      <c r="B3486" s="14">
        <v>46059.0</v>
      </c>
      <c r="C3486" s="9" t="s">
        <v>48</v>
      </c>
      <c r="D3486" s="9" t="s">
        <v>408</v>
      </c>
      <c r="E3486" s="9" t="s">
        <v>17</v>
      </c>
      <c r="F3486" s="9" t="s">
        <v>17</v>
      </c>
      <c r="G3486" s="9">
        <v>7.0</v>
      </c>
      <c r="H3486" s="9" t="s">
        <v>22</v>
      </c>
      <c r="I3486" s="9" t="s">
        <v>20</v>
      </c>
      <c r="J3486" s="10"/>
      <c r="K3486" s="14" t="s">
        <v>398</v>
      </c>
      <c r="N3486" s="14" t="str">
        <f>IFERROR(__xludf.DUMMYFUNCTION("""COMPUTED_VALUE"""),"")</f>
        <v/>
      </c>
      <c r="O3486" s="14"/>
    </row>
    <row r="3487" ht="22.5" hidden="1" customHeight="1">
      <c r="A3487" s="8">
        <v>46059.408161747684</v>
      </c>
      <c r="B3487" s="14">
        <v>46059.0</v>
      </c>
      <c r="C3487" s="9" t="s">
        <v>48</v>
      </c>
      <c r="D3487" s="9" t="s">
        <v>369</v>
      </c>
      <c r="E3487" s="9" t="s">
        <v>17</v>
      </c>
      <c r="F3487" s="9" t="s">
        <v>17</v>
      </c>
      <c r="G3487" s="9">
        <v>8.0</v>
      </c>
      <c r="H3487" s="9" t="s">
        <v>22</v>
      </c>
      <c r="I3487" s="9" t="s">
        <v>20</v>
      </c>
      <c r="J3487" s="10"/>
      <c r="K3487" s="14">
        <v>4.0</v>
      </c>
      <c r="N3487" s="14" t="str">
        <f>IFERROR(__xludf.DUMMYFUNCTION("""COMPUTED_VALUE"""),"")</f>
        <v/>
      </c>
      <c r="O3487" s="14"/>
    </row>
    <row r="3488" ht="22.5" hidden="1" customHeight="1">
      <c r="A3488" s="8">
        <v>46059.408370081015</v>
      </c>
      <c r="B3488" s="14">
        <v>46059.0</v>
      </c>
      <c r="C3488" s="9" t="s">
        <v>48</v>
      </c>
      <c r="D3488" s="9" t="s">
        <v>412</v>
      </c>
      <c r="E3488" s="9" t="s">
        <v>17</v>
      </c>
      <c r="F3488" s="9" t="s">
        <v>17</v>
      </c>
      <c r="G3488" s="9">
        <v>7.0</v>
      </c>
      <c r="H3488" s="9" t="s">
        <v>22</v>
      </c>
      <c r="I3488" s="9" t="s">
        <v>20</v>
      </c>
      <c r="J3488" s="10"/>
      <c r="K3488" s="14">
        <v>4.0</v>
      </c>
      <c r="N3488" s="14" t="str">
        <f>IFERROR(__xludf.DUMMYFUNCTION("""COMPUTED_VALUE"""),"")</f>
        <v/>
      </c>
      <c r="O3488" s="14"/>
    </row>
    <row r="3489" ht="22.5" hidden="1" customHeight="1">
      <c r="A3489" s="8">
        <v>46059.41092945602</v>
      </c>
      <c r="B3489" s="14">
        <v>46059.0</v>
      </c>
      <c r="C3489" s="9" t="s">
        <v>48</v>
      </c>
      <c r="D3489" s="9" t="s">
        <v>335</v>
      </c>
      <c r="E3489" s="9" t="s">
        <v>17</v>
      </c>
      <c r="F3489" s="9" t="s">
        <v>17</v>
      </c>
      <c r="G3489" s="9">
        <v>7.0</v>
      </c>
      <c r="H3489" s="9" t="s">
        <v>25</v>
      </c>
      <c r="I3489" s="9" t="s">
        <v>411</v>
      </c>
      <c r="J3489" s="10"/>
      <c r="K3489" s="14" t="s">
        <v>398</v>
      </c>
      <c r="N3489" s="14" t="str">
        <f>IFERROR(__xludf.DUMMYFUNCTION("""COMPUTED_VALUE"""),"")</f>
        <v/>
      </c>
      <c r="O3489" s="14"/>
    </row>
    <row r="3490" ht="22.5" hidden="1" customHeight="1">
      <c r="A3490" s="8">
        <v>46059.41114362268</v>
      </c>
      <c r="B3490" s="14">
        <v>46059.0</v>
      </c>
      <c r="C3490" s="9" t="s">
        <v>48</v>
      </c>
      <c r="D3490" s="9" t="s">
        <v>247</v>
      </c>
      <c r="E3490" s="9" t="s">
        <v>17</v>
      </c>
      <c r="F3490" s="9" t="s">
        <v>17</v>
      </c>
      <c r="G3490" s="9">
        <v>7.0</v>
      </c>
      <c r="H3490" s="9" t="s">
        <v>22</v>
      </c>
      <c r="I3490" s="9" t="s">
        <v>20</v>
      </c>
      <c r="J3490" s="10"/>
      <c r="K3490" s="14" t="s">
        <v>398</v>
      </c>
      <c r="N3490" s="14" t="str">
        <f>IFERROR(__xludf.DUMMYFUNCTION("""COMPUTED_VALUE"""),"")</f>
        <v/>
      </c>
      <c r="O3490" s="14"/>
    </row>
    <row r="3491" ht="22.5" hidden="1" customHeight="1">
      <c r="A3491" s="8">
        <v>46059.41142116898</v>
      </c>
      <c r="B3491" s="14">
        <v>46059.0</v>
      </c>
      <c r="C3491" s="9" t="s">
        <v>48</v>
      </c>
      <c r="D3491" s="9" t="s">
        <v>259</v>
      </c>
      <c r="E3491" s="9" t="s">
        <v>17</v>
      </c>
      <c r="F3491" s="9" t="s">
        <v>17</v>
      </c>
      <c r="G3491" s="9">
        <v>7.0</v>
      </c>
      <c r="H3491" s="9" t="s">
        <v>22</v>
      </c>
      <c r="I3491" s="9" t="s">
        <v>20</v>
      </c>
      <c r="J3491" s="10"/>
      <c r="K3491" s="14">
        <v>4.0</v>
      </c>
      <c r="N3491" s="14" t="str">
        <f>IFERROR(__xludf.DUMMYFUNCTION("""COMPUTED_VALUE"""),"")</f>
        <v/>
      </c>
      <c r="O3491" s="14"/>
    </row>
    <row r="3492" ht="22.5" hidden="1" customHeight="1">
      <c r="A3492" s="8">
        <v>46059.41163969907</v>
      </c>
      <c r="B3492" s="14">
        <v>46059.0</v>
      </c>
      <c r="C3492" s="9" t="s">
        <v>48</v>
      </c>
      <c r="D3492" s="9" t="s">
        <v>210</v>
      </c>
      <c r="E3492" s="9" t="s">
        <v>17</v>
      </c>
      <c r="F3492" s="9" t="s">
        <v>17</v>
      </c>
      <c r="G3492" s="9">
        <v>7.0</v>
      </c>
      <c r="H3492" s="9" t="s">
        <v>22</v>
      </c>
      <c r="I3492" s="9" t="s">
        <v>20</v>
      </c>
      <c r="J3492" s="10"/>
      <c r="K3492" s="14" t="s">
        <v>398</v>
      </c>
      <c r="N3492" s="14" t="str">
        <f>IFERROR(__xludf.DUMMYFUNCTION("""COMPUTED_VALUE"""),"")</f>
        <v/>
      </c>
      <c r="O3492" s="14"/>
    </row>
    <row r="3493" ht="22.5" hidden="1" customHeight="1">
      <c r="A3493" s="8">
        <v>46059.411942453706</v>
      </c>
      <c r="B3493" s="14">
        <v>46059.0</v>
      </c>
      <c r="C3493" s="9" t="s">
        <v>48</v>
      </c>
      <c r="D3493" s="9" t="s">
        <v>413</v>
      </c>
      <c r="E3493" s="9" t="s">
        <v>17</v>
      </c>
      <c r="F3493" s="9" t="s">
        <v>17</v>
      </c>
      <c r="G3493" s="9">
        <v>8.0</v>
      </c>
      <c r="H3493" s="9" t="s">
        <v>22</v>
      </c>
      <c r="I3493" s="9" t="s">
        <v>20</v>
      </c>
      <c r="J3493" s="10"/>
      <c r="K3493" s="14">
        <v>3.0</v>
      </c>
      <c r="N3493" s="14" t="str">
        <f>IFERROR(__xludf.DUMMYFUNCTION("""COMPUTED_VALUE"""),"")</f>
        <v/>
      </c>
      <c r="O3493" s="14"/>
    </row>
    <row r="3494" ht="22.5" hidden="1" customHeight="1">
      <c r="A3494" s="8">
        <v>46062.38390680555</v>
      </c>
      <c r="B3494" s="14">
        <v>46062.0</v>
      </c>
      <c r="C3494" s="9" t="s">
        <v>86</v>
      </c>
      <c r="D3494" s="9" t="s">
        <v>258</v>
      </c>
      <c r="E3494" s="9" t="s">
        <v>17</v>
      </c>
      <c r="F3494" s="9" t="s">
        <v>17</v>
      </c>
      <c r="G3494" s="9">
        <v>8.0</v>
      </c>
      <c r="H3494" s="9" t="s">
        <v>22</v>
      </c>
      <c r="I3494" s="9" t="s">
        <v>20</v>
      </c>
      <c r="J3494" s="10"/>
      <c r="K3494" s="14" t="s">
        <v>398</v>
      </c>
      <c r="N3494" s="14" t="str">
        <f>IFERROR(__xludf.DUMMYFUNCTION("""COMPUTED_VALUE"""),"")</f>
        <v/>
      </c>
      <c r="O3494" s="14"/>
    </row>
    <row r="3495" ht="22.5" hidden="1" customHeight="1">
      <c r="A3495" s="8">
        <v>46062.38431405093</v>
      </c>
      <c r="B3495" s="14">
        <v>46062.0</v>
      </c>
      <c r="C3495" s="9" t="s">
        <v>86</v>
      </c>
      <c r="D3495" s="9" t="s">
        <v>396</v>
      </c>
      <c r="E3495" s="9" t="s">
        <v>17</v>
      </c>
      <c r="F3495" s="9" t="s">
        <v>17</v>
      </c>
      <c r="G3495" s="9">
        <v>7.0</v>
      </c>
      <c r="H3495" s="9" t="s">
        <v>25</v>
      </c>
      <c r="I3495" s="9" t="s">
        <v>211</v>
      </c>
      <c r="J3495" s="10"/>
      <c r="K3495" s="14" t="s">
        <v>398</v>
      </c>
      <c r="N3495" s="14" t="str">
        <f>IFERROR(__xludf.DUMMYFUNCTION("""COMPUTED_VALUE"""),"")</f>
        <v/>
      </c>
      <c r="O3495" s="14"/>
    </row>
    <row r="3496" ht="22.5" hidden="1" customHeight="1">
      <c r="A3496" s="8">
        <v>46062.3846053125</v>
      </c>
      <c r="B3496" s="14">
        <v>46062.0</v>
      </c>
      <c r="C3496" s="9" t="s">
        <v>86</v>
      </c>
      <c r="D3496" s="9" t="s">
        <v>171</v>
      </c>
      <c r="E3496" s="9" t="s">
        <v>17</v>
      </c>
      <c r="F3496" s="9" t="s">
        <v>17</v>
      </c>
      <c r="G3496" s="9">
        <v>8.0</v>
      </c>
      <c r="H3496" s="9" t="s">
        <v>25</v>
      </c>
      <c r="I3496" s="9" t="s">
        <v>416</v>
      </c>
      <c r="J3496" s="10"/>
      <c r="K3496" s="14" t="s">
        <v>398</v>
      </c>
      <c r="N3496" s="14" t="str">
        <f>IFERROR(__xludf.DUMMYFUNCTION("""COMPUTED_VALUE"""),"")</f>
        <v/>
      </c>
      <c r="O3496" s="14"/>
    </row>
    <row r="3497" ht="22.5" hidden="1" customHeight="1">
      <c r="A3497" s="8">
        <v>46062.38485783565</v>
      </c>
      <c r="B3497" s="14">
        <v>46062.0</v>
      </c>
      <c r="C3497" s="9" t="s">
        <v>86</v>
      </c>
      <c r="D3497" s="9" t="s">
        <v>105</v>
      </c>
      <c r="E3497" s="9" t="s">
        <v>17</v>
      </c>
      <c r="F3497" s="9" t="s">
        <v>17</v>
      </c>
      <c r="G3497" s="9">
        <v>7.0</v>
      </c>
      <c r="H3497" s="9" t="s">
        <v>22</v>
      </c>
      <c r="I3497" s="9" t="s">
        <v>20</v>
      </c>
      <c r="J3497" s="10"/>
      <c r="K3497" s="14" t="s">
        <v>398</v>
      </c>
      <c r="N3497" s="14" t="str">
        <f>IFERROR(__xludf.DUMMYFUNCTION("""COMPUTED_VALUE"""),"")</f>
        <v/>
      </c>
      <c r="O3497" s="14"/>
    </row>
    <row r="3498" ht="22.5" hidden="1" customHeight="1">
      <c r="A3498" s="8">
        <v>46062.3851008912</v>
      </c>
      <c r="B3498" s="14">
        <v>46062.0</v>
      </c>
      <c r="C3498" s="9" t="s">
        <v>86</v>
      </c>
      <c r="D3498" s="9" t="s">
        <v>177</v>
      </c>
      <c r="E3498" s="9" t="s">
        <v>17</v>
      </c>
      <c r="F3498" s="9" t="s">
        <v>17</v>
      </c>
      <c r="G3498" s="9">
        <v>8.0</v>
      </c>
      <c r="H3498" s="9" t="s">
        <v>22</v>
      </c>
      <c r="I3498" s="9" t="s">
        <v>20</v>
      </c>
      <c r="J3498" s="10"/>
      <c r="K3498" s="14" t="s">
        <v>398</v>
      </c>
      <c r="N3498" s="14" t="str">
        <f>IFERROR(__xludf.DUMMYFUNCTION("""COMPUTED_VALUE"""),"")</f>
        <v/>
      </c>
      <c r="O3498" s="14"/>
    </row>
    <row r="3499" ht="22.5" hidden="1" customHeight="1">
      <c r="A3499" s="8">
        <v>46062.385402106476</v>
      </c>
      <c r="B3499" s="14">
        <v>46062.0</v>
      </c>
      <c r="C3499" s="9" t="s">
        <v>86</v>
      </c>
      <c r="D3499" s="9" t="s">
        <v>280</v>
      </c>
      <c r="E3499" s="9" t="s">
        <v>17</v>
      </c>
      <c r="F3499" s="9" t="s">
        <v>17</v>
      </c>
      <c r="G3499" s="9">
        <v>8.0</v>
      </c>
      <c r="H3499" s="9" t="s">
        <v>25</v>
      </c>
      <c r="I3499" s="9" t="s">
        <v>173</v>
      </c>
      <c r="J3499" s="10"/>
      <c r="K3499" s="14" t="s">
        <v>398</v>
      </c>
      <c r="N3499" s="14" t="str">
        <f>IFERROR(__xludf.DUMMYFUNCTION("""COMPUTED_VALUE"""),"")</f>
        <v/>
      </c>
      <c r="O3499" s="14"/>
    </row>
    <row r="3500" ht="22.5" hidden="1" customHeight="1">
      <c r="A3500" s="8">
        <v>46062.38560591435</v>
      </c>
      <c r="B3500" s="14">
        <v>46062.0</v>
      </c>
      <c r="C3500" s="9" t="s">
        <v>86</v>
      </c>
      <c r="D3500" s="9" t="s">
        <v>174</v>
      </c>
      <c r="E3500" s="9" t="s">
        <v>17</v>
      </c>
      <c r="F3500" s="9" t="s">
        <v>17</v>
      </c>
      <c r="G3500" s="9">
        <v>7.0</v>
      </c>
      <c r="H3500" s="9" t="s">
        <v>22</v>
      </c>
      <c r="I3500" s="9" t="s">
        <v>20</v>
      </c>
      <c r="J3500" s="10"/>
      <c r="K3500" s="14" t="s">
        <v>398</v>
      </c>
      <c r="N3500" s="14" t="str">
        <f>IFERROR(__xludf.DUMMYFUNCTION("""COMPUTED_VALUE"""),"")</f>
        <v/>
      </c>
      <c r="O3500" s="14"/>
    </row>
    <row r="3501" ht="22.5" hidden="1" customHeight="1">
      <c r="A3501" s="8">
        <v>46062.38580377315</v>
      </c>
      <c r="B3501" s="14">
        <v>46062.0</v>
      </c>
      <c r="C3501" s="9" t="s">
        <v>86</v>
      </c>
      <c r="D3501" s="9" t="s">
        <v>247</v>
      </c>
      <c r="E3501" s="9" t="s">
        <v>17</v>
      </c>
      <c r="F3501" s="9" t="s">
        <v>17</v>
      </c>
      <c r="G3501" s="9">
        <v>7.0</v>
      </c>
      <c r="H3501" s="9" t="s">
        <v>22</v>
      </c>
      <c r="I3501" s="9" t="s">
        <v>20</v>
      </c>
      <c r="J3501" s="10"/>
      <c r="K3501" s="14" t="s">
        <v>398</v>
      </c>
      <c r="N3501" s="14" t="str">
        <f>IFERROR(__xludf.DUMMYFUNCTION("""COMPUTED_VALUE"""),"")</f>
        <v/>
      </c>
      <c r="O3501" s="14"/>
    </row>
    <row r="3502" ht="22.5" hidden="1" customHeight="1">
      <c r="A3502" s="8">
        <v>46062.38628276621</v>
      </c>
      <c r="B3502" s="14">
        <v>46062.0</v>
      </c>
      <c r="C3502" s="9" t="s">
        <v>86</v>
      </c>
      <c r="D3502" s="9" t="s">
        <v>249</v>
      </c>
      <c r="E3502" s="9" t="s">
        <v>17</v>
      </c>
      <c r="F3502" s="9" t="s">
        <v>17</v>
      </c>
      <c r="G3502" s="9">
        <v>7.0</v>
      </c>
      <c r="H3502" s="9" t="s">
        <v>22</v>
      </c>
      <c r="I3502" s="9" t="s">
        <v>20</v>
      </c>
      <c r="J3502" s="10"/>
      <c r="K3502" s="14" t="s">
        <v>398</v>
      </c>
      <c r="N3502" s="14" t="str">
        <f>IFERROR(__xludf.DUMMYFUNCTION("""COMPUTED_VALUE"""),"")</f>
        <v/>
      </c>
      <c r="O3502" s="14"/>
    </row>
    <row r="3503" ht="22.5" hidden="1" customHeight="1">
      <c r="A3503" s="8">
        <v>46062.386546388894</v>
      </c>
      <c r="B3503" s="14">
        <v>46062.0</v>
      </c>
      <c r="C3503" s="9" t="s">
        <v>86</v>
      </c>
      <c r="D3503" s="9" t="s">
        <v>367</v>
      </c>
      <c r="E3503" s="9" t="s">
        <v>17</v>
      </c>
      <c r="F3503" s="9" t="s">
        <v>17</v>
      </c>
      <c r="G3503" s="9">
        <v>7.0</v>
      </c>
      <c r="H3503" s="9" t="s">
        <v>22</v>
      </c>
      <c r="I3503" s="9" t="s">
        <v>20</v>
      </c>
      <c r="J3503" s="10"/>
      <c r="K3503" s="14" t="s">
        <v>398</v>
      </c>
      <c r="N3503" s="14" t="str">
        <f>IFERROR(__xludf.DUMMYFUNCTION("""COMPUTED_VALUE"""),"")</f>
        <v/>
      </c>
      <c r="O3503" s="14"/>
    </row>
    <row r="3504" ht="22.5" hidden="1" customHeight="1">
      <c r="A3504" s="8">
        <v>46062.386861631945</v>
      </c>
      <c r="B3504" s="14">
        <v>46062.0</v>
      </c>
      <c r="C3504" s="9" t="s">
        <v>86</v>
      </c>
      <c r="D3504" s="9" t="s">
        <v>350</v>
      </c>
      <c r="E3504" s="9" t="s">
        <v>17</v>
      </c>
      <c r="F3504" s="9" t="s">
        <v>17</v>
      </c>
      <c r="G3504" s="9">
        <v>8.0</v>
      </c>
      <c r="H3504" s="9" t="s">
        <v>22</v>
      </c>
      <c r="I3504" s="9" t="s">
        <v>20</v>
      </c>
      <c r="J3504" s="10"/>
      <c r="K3504" s="14" t="s">
        <v>398</v>
      </c>
      <c r="N3504" s="14" t="str">
        <f>IFERROR(__xludf.DUMMYFUNCTION("""COMPUTED_VALUE"""),"")</f>
        <v/>
      </c>
      <c r="O3504" s="14"/>
    </row>
    <row r="3505" ht="22.5" hidden="1" customHeight="1">
      <c r="A3505" s="8">
        <v>46062.38730740741</v>
      </c>
      <c r="B3505" s="14">
        <v>46062.0</v>
      </c>
      <c r="C3505" s="9" t="s">
        <v>86</v>
      </c>
      <c r="D3505" s="9" t="s">
        <v>393</v>
      </c>
      <c r="E3505" s="9" t="s">
        <v>17</v>
      </c>
      <c r="F3505" s="9" t="s">
        <v>17</v>
      </c>
      <c r="G3505" s="9">
        <v>7.0</v>
      </c>
      <c r="H3505" s="9" t="s">
        <v>22</v>
      </c>
      <c r="I3505" s="9" t="s">
        <v>20</v>
      </c>
      <c r="J3505" s="10"/>
      <c r="K3505" s="14" t="s">
        <v>398</v>
      </c>
      <c r="N3505" s="14" t="str">
        <f>IFERROR(__xludf.DUMMYFUNCTION("""COMPUTED_VALUE"""),"")</f>
        <v/>
      </c>
      <c r="O3505" s="14"/>
    </row>
    <row r="3506" ht="22.5" hidden="1" customHeight="1">
      <c r="A3506" s="8">
        <v>46062.39247384259</v>
      </c>
      <c r="B3506" s="14">
        <v>46062.0</v>
      </c>
      <c r="C3506" s="9" t="s">
        <v>86</v>
      </c>
      <c r="D3506" s="9" t="s">
        <v>175</v>
      </c>
      <c r="E3506" s="9" t="s">
        <v>17</v>
      </c>
      <c r="F3506" s="9" t="s">
        <v>17</v>
      </c>
      <c r="G3506" s="9">
        <v>7.0</v>
      </c>
      <c r="H3506" s="9" t="s">
        <v>25</v>
      </c>
      <c r="I3506" s="9" t="s">
        <v>417</v>
      </c>
      <c r="J3506" s="10"/>
      <c r="K3506" s="14" t="s">
        <v>398</v>
      </c>
      <c r="N3506" s="14" t="str">
        <f>IFERROR(__xludf.DUMMYFUNCTION("""COMPUTED_VALUE"""),"")</f>
        <v/>
      </c>
      <c r="O3506" s="14"/>
    </row>
    <row r="3507" ht="22.5" hidden="1" customHeight="1">
      <c r="A3507" s="8">
        <v>46062.392693437505</v>
      </c>
      <c r="B3507" s="14">
        <v>46062.0</v>
      </c>
      <c r="C3507" s="9" t="s">
        <v>86</v>
      </c>
      <c r="D3507" s="9" t="s">
        <v>259</v>
      </c>
      <c r="E3507" s="9" t="s">
        <v>17</v>
      </c>
      <c r="F3507" s="9" t="s">
        <v>17</v>
      </c>
      <c r="G3507" s="9">
        <v>7.0</v>
      </c>
      <c r="H3507" s="9" t="s">
        <v>22</v>
      </c>
      <c r="I3507" s="9" t="s">
        <v>20</v>
      </c>
      <c r="J3507" s="10"/>
      <c r="K3507" s="14" t="s">
        <v>398</v>
      </c>
      <c r="N3507" s="14" t="str">
        <f>IFERROR(__xludf.DUMMYFUNCTION("""COMPUTED_VALUE"""),"")</f>
        <v/>
      </c>
      <c r="O3507" s="14"/>
    </row>
    <row r="3508" ht="22.5" hidden="1" customHeight="1">
      <c r="A3508" s="8">
        <v>46062.3929302662</v>
      </c>
      <c r="B3508" s="14">
        <v>46062.0</v>
      </c>
      <c r="C3508" s="9" t="s">
        <v>86</v>
      </c>
      <c r="D3508" s="9" t="s">
        <v>178</v>
      </c>
      <c r="E3508" s="9" t="s">
        <v>17</v>
      </c>
      <c r="F3508" s="9" t="s">
        <v>17</v>
      </c>
      <c r="G3508" s="9">
        <v>7.0</v>
      </c>
      <c r="H3508" s="9" t="s">
        <v>25</v>
      </c>
      <c r="I3508" s="9" t="s">
        <v>316</v>
      </c>
      <c r="J3508" s="10"/>
      <c r="K3508" s="14" t="s">
        <v>398</v>
      </c>
      <c r="N3508" s="14" t="str">
        <f>IFERROR(__xludf.DUMMYFUNCTION("""COMPUTED_VALUE"""),"")</f>
        <v/>
      </c>
      <c r="O3508" s="14"/>
    </row>
    <row r="3509" ht="22.5" hidden="1" customHeight="1">
      <c r="A3509" s="8">
        <v>46062.393158356484</v>
      </c>
      <c r="B3509" s="14">
        <v>46062.0</v>
      </c>
      <c r="C3509" s="9" t="s">
        <v>86</v>
      </c>
      <c r="D3509" s="9" t="s">
        <v>394</v>
      </c>
      <c r="E3509" s="9" t="s">
        <v>17</v>
      </c>
      <c r="F3509" s="9" t="s">
        <v>17</v>
      </c>
      <c r="G3509" s="9">
        <v>7.0</v>
      </c>
      <c r="H3509" s="9" t="s">
        <v>22</v>
      </c>
      <c r="I3509" s="9" t="s">
        <v>20</v>
      </c>
      <c r="J3509" s="10"/>
      <c r="K3509" s="14" t="s">
        <v>398</v>
      </c>
      <c r="N3509" s="14" t="str">
        <f>IFERROR(__xludf.DUMMYFUNCTION("""COMPUTED_VALUE"""),"")</f>
        <v/>
      </c>
      <c r="O3509" s="14"/>
    </row>
    <row r="3510" ht="22.5" hidden="1" customHeight="1">
      <c r="A3510" s="8">
        <v>46062.3937177662</v>
      </c>
      <c r="B3510" s="14">
        <v>46062.0</v>
      </c>
      <c r="C3510" s="9" t="s">
        <v>86</v>
      </c>
      <c r="D3510" s="9" t="s">
        <v>257</v>
      </c>
      <c r="E3510" s="9" t="s">
        <v>17</v>
      </c>
      <c r="F3510" s="9" t="s">
        <v>17</v>
      </c>
      <c r="G3510" s="9">
        <v>7.0</v>
      </c>
      <c r="H3510" s="9" t="s">
        <v>25</v>
      </c>
      <c r="I3510" s="9" t="s">
        <v>240</v>
      </c>
      <c r="J3510" s="10"/>
      <c r="K3510" s="14" t="s">
        <v>398</v>
      </c>
      <c r="N3510" s="14" t="str">
        <f>IFERROR(__xludf.DUMMYFUNCTION("""COMPUTED_VALUE"""),"")</f>
        <v/>
      </c>
      <c r="O3510" s="14"/>
    </row>
    <row r="3511" ht="22.5" hidden="1" customHeight="1">
      <c r="A3511" s="8">
        <v>46062.39395824074</v>
      </c>
      <c r="B3511" s="14">
        <v>46062.0</v>
      </c>
      <c r="C3511" s="9" t="s">
        <v>86</v>
      </c>
      <c r="D3511" s="9" t="s">
        <v>395</v>
      </c>
      <c r="E3511" s="9" t="s">
        <v>17</v>
      </c>
      <c r="F3511" s="9" t="s">
        <v>17</v>
      </c>
      <c r="G3511" s="9">
        <v>8.0</v>
      </c>
      <c r="H3511" s="9" t="s">
        <v>22</v>
      </c>
      <c r="I3511" s="9" t="s">
        <v>20</v>
      </c>
      <c r="J3511" s="10"/>
      <c r="K3511" s="14" t="s">
        <v>398</v>
      </c>
      <c r="N3511" s="14" t="str">
        <f>IFERROR(__xludf.DUMMYFUNCTION("""COMPUTED_VALUE"""),"")</f>
        <v/>
      </c>
      <c r="O3511" s="14"/>
    </row>
    <row r="3512" ht="22.5" hidden="1" customHeight="1">
      <c r="A3512" s="8">
        <v>46062.394174305555</v>
      </c>
      <c r="B3512" s="14">
        <v>46062.0</v>
      </c>
      <c r="C3512" s="9" t="s">
        <v>86</v>
      </c>
      <c r="D3512" s="9" t="s">
        <v>408</v>
      </c>
      <c r="E3512" s="9" t="s">
        <v>17</v>
      </c>
      <c r="F3512" s="9" t="s">
        <v>17</v>
      </c>
      <c r="G3512" s="9">
        <v>7.0</v>
      </c>
      <c r="H3512" s="9" t="s">
        <v>22</v>
      </c>
      <c r="I3512" s="9" t="s">
        <v>20</v>
      </c>
      <c r="J3512" s="10"/>
      <c r="K3512" s="14" t="s">
        <v>398</v>
      </c>
      <c r="N3512" s="14" t="str">
        <f>IFERROR(__xludf.DUMMYFUNCTION("""COMPUTED_VALUE"""),"")</f>
        <v/>
      </c>
      <c r="O3512" s="14"/>
    </row>
    <row r="3513" ht="22.5" hidden="1" customHeight="1">
      <c r="A3513" s="8">
        <v>46062.394384942134</v>
      </c>
      <c r="B3513" s="14">
        <v>46062.0</v>
      </c>
      <c r="C3513" s="9" t="s">
        <v>86</v>
      </c>
      <c r="D3513" s="9" t="s">
        <v>369</v>
      </c>
      <c r="E3513" s="9" t="s">
        <v>17</v>
      </c>
      <c r="F3513" s="9" t="s">
        <v>17</v>
      </c>
      <c r="G3513" s="9">
        <v>8.0</v>
      </c>
      <c r="H3513" s="9" t="s">
        <v>22</v>
      </c>
      <c r="I3513" s="9" t="s">
        <v>20</v>
      </c>
      <c r="J3513" s="10"/>
      <c r="K3513" s="14" t="s">
        <v>398</v>
      </c>
      <c r="N3513" s="14" t="str">
        <f>IFERROR(__xludf.DUMMYFUNCTION("""COMPUTED_VALUE"""),"")</f>
        <v/>
      </c>
      <c r="O3513" s="14"/>
    </row>
    <row r="3514" ht="22.5" hidden="1" customHeight="1">
      <c r="A3514" s="8">
        <v>46062.394599583335</v>
      </c>
      <c r="B3514" s="14">
        <v>46062.0</v>
      </c>
      <c r="C3514" s="9" t="s">
        <v>86</v>
      </c>
      <c r="D3514" s="9" t="s">
        <v>412</v>
      </c>
      <c r="E3514" s="9" t="s">
        <v>17</v>
      </c>
      <c r="F3514" s="9" t="s">
        <v>17</v>
      </c>
      <c r="G3514" s="9">
        <v>8.0</v>
      </c>
      <c r="H3514" s="9" t="s">
        <v>22</v>
      </c>
      <c r="I3514" s="9" t="s">
        <v>20</v>
      </c>
      <c r="J3514" s="10"/>
      <c r="K3514" s="14" t="s">
        <v>398</v>
      </c>
      <c r="N3514" s="14" t="str">
        <f>IFERROR(__xludf.DUMMYFUNCTION("""COMPUTED_VALUE"""),"")</f>
        <v/>
      </c>
      <c r="O3514" s="14"/>
    </row>
    <row r="3515" ht="22.5" hidden="1" customHeight="1">
      <c r="A3515" s="8">
        <v>46062.39488290509</v>
      </c>
      <c r="B3515" s="14">
        <v>46062.0</v>
      </c>
      <c r="C3515" s="9" t="s">
        <v>86</v>
      </c>
      <c r="D3515" s="9" t="s">
        <v>413</v>
      </c>
      <c r="E3515" s="9" t="s">
        <v>17</v>
      </c>
      <c r="F3515" s="9" t="s">
        <v>17</v>
      </c>
      <c r="G3515" s="9">
        <v>8.0</v>
      </c>
      <c r="H3515" s="9" t="s">
        <v>25</v>
      </c>
      <c r="I3515" s="9" t="s">
        <v>273</v>
      </c>
      <c r="J3515" s="10"/>
      <c r="K3515" s="14" t="s">
        <v>398</v>
      </c>
      <c r="N3515" s="14" t="str">
        <f>IFERROR(__xludf.DUMMYFUNCTION("""COMPUTED_VALUE"""),"")</f>
        <v/>
      </c>
      <c r="O3515" s="14"/>
    </row>
    <row r="3516" ht="22.5" hidden="1" customHeight="1">
      <c r="A3516" s="8">
        <v>46062.39507237269</v>
      </c>
      <c r="B3516" s="14">
        <v>46062.0</v>
      </c>
      <c r="C3516" s="9" t="s">
        <v>86</v>
      </c>
      <c r="D3516" s="9" t="s">
        <v>414</v>
      </c>
      <c r="E3516" s="9" t="s">
        <v>17</v>
      </c>
      <c r="F3516" s="9" t="s">
        <v>17</v>
      </c>
      <c r="G3516" s="9">
        <v>8.0</v>
      </c>
      <c r="H3516" s="9" t="s">
        <v>22</v>
      </c>
      <c r="I3516" s="9" t="s">
        <v>20</v>
      </c>
      <c r="J3516" s="10"/>
      <c r="K3516" s="14" t="s">
        <v>398</v>
      </c>
      <c r="N3516" s="14" t="str">
        <f>IFERROR(__xludf.DUMMYFUNCTION("""COMPUTED_VALUE"""),"")</f>
        <v/>
      </c>
      <c r="O3516" s="14"/>
    </row>
    <row r="3517" ht="22.5" hidden="1" customHeight="1">
      <c r="A3517" s="8">
        <v>46062.40223072917</v>
      </c>
      <c r="B3517" s="14">
        <v>46062.0</v>
      </c>
      <c r="C3517" s="9" t="s">
        <v>86</v>
      </c>
      <c r="D3517" s="9" t="s">
        <v>357</v>
      </c>
      <c r="E3517" s="9" t="s">
        <v>17</v>
      </c>
      <c r="F3517" s="9" t="s">
        <v>17</v>
      </c>
      <c r="G3517" s="9">
        <v>7.0</v>
      </c>
      <c r="H3517" s="9" t="s">
        <v>22</v>
      </c>
      <c r="I3517" s="9" t="s">
        <v>20</v>
      </c>
      <c r="J3517" s="10"/>
      <c r="K3517" s="14" t="s">
        <v>398</v>
      </c>
      <c r="N3517" s="14" t="str">
        <f>IFERROR(__xludf.DUMMYFUNCTION("""COMPUTED_VALUE"""),"")</f>
        <v/>
      </c>
      <c r="O3517" s="14"/>
    </row>
    <row r="3518" ht="22.5" hidden="1" customHeight="1">
      <c r="A3518" s="8">
        <v>46062.40471447917</v>
      </c>
      <c r="B3518" s="14">
        <v>46062.0</v>
      </c>
      <c r="C3518" s="9" t="s">
        <v>86</v>
      </c>
      <c r="D3518" s="9" t="s">
        <v>210</v>
      </c>
      <c r="E3518" s="9" t="s">
        <v>17</v>
      </c>
      <c r="F3518" s="9" t="s">
        <v>17</v>
      </c>
      <c r="G3518" s="9">
        <v>8.0</v>
      </c>
      <c r="H3518" s="9" t="s">
        <v>22</v>
      </c>
      <c r="I3518" s="9" t="s">
        <v>20</v>
      </c>
      <c r="J3518" s="10"/>
      <c r="K3518" s="14" t="s">
        <v>398</v>
      </c>
      <c r="N3518" s="14" t="str">
        <f>IFERROR(__xludf.DUMMYFUNCTION("""COMPUTED_VALUE"""),"")</f>
        <v/>
      </c>
      <c r="O3518" s="14"/>
    </row>
    <row r="3519" ht="22.5" hidden="1" customHeight="1">
      <c r="A3519" s="8">
        <v>46062.40494807871</v>
      </c>
      <c r="B3519" s="14">
        <v>46062.0</v>
      </c>
      <c r="C3519" s="9" t="s">
        <v>86</v>
      </c>
      <c r="D3519" s="9" t="s">
        <v>335</v>
      </c>
      <c r="E3519" s="9" t="s">
        <v>17</v>
      </c>
      <c r="F3519" s="9" t="s">
        <v>17</v>
      </c>
      <c r="G3519" s="9">
        <v>7.0</v>
      </c>
      <c r="H3519" s="9" t="s">
        <v>25</v>
      </c>
      <c r="I3519" s="9" t="s">
        <v>211</v>
      </c>
      <c r="J3519" s="10"/>
      <c r="K3519" s="14" t="s">
        <v>398</v>
      </c>
      <c r="N3519" s="14" t="str">
        <f>IFERROR(__xludf.DUMMYFUNCTION("""COMPUTED_VALUE"""),"")</f>
        <v/>
      </c>
      <c r="O3519" s="14"/>
    </row>
    <row r="3520" ht="22.5" hidden="1" customHeight="1">
      <c r="A3520" s="8">
        <v>46063.65301653935</v>
      </c>
      <c r="B3520" s="14">
        <v>46063.0</v>
      </c>
      <c r="C3520" s="9" t="s">
        <v>110</v>
      </c>
      <c r="D3520" s="9" t="s">
        <v>257</v>
      </c>
      <c r="E3520" s="9" t="s">
        <v>17</v>
      </c>
      <c r="F3520" s="9" t="s">
        <v>18</v>
      </c>
      <c r="G3520" s="9" t="s">
        <v>409</v>
      </c>
      <c r="H3520" s="9" t="s">
        <v>25</v>
      </c>
      <c r="I3520" s="9" t="s">
        <v>418</v>
      </c>
      <c r="J3520" s="10"/>
      <c r="K3520" s="14" t="s">
        <v>398</v>
      </c>
      <c r="N3520" s="14" t="str">
        <f>IFERROR(__xludf.DUMMYFUNCTION("""COMPUTED_VALUE"""),"")</f>
        <v/>
      </c>
      <c r="O3520" s="14"/>
    </row>
    <row r="3521" ht="22.5" hidden="1" customHeight="1">
      <c r="A3521" s="8">
        <v>46063.6535497338</v>
      </c>
      <c r="B3521" s="14">
        <v>46063.0</v>
      </c>
      <c r="C3521" s="9" t="s">
        <v>110</v>
      </c>
      <c r="D3521" s="9" t="s">
        <v>178</v>
      </c>
      <c r="E3521" s="9" t="s">
        <v>30</v>
      </c>
      <c r="F3521" s="9" t="s">
        <v>35</v>
      </c>
      <c r="G3521" s="9">
        <v>8.0</v>
      </c>
      <c r="H3521" s="9" t="s">
        <v>22</v>
      </c>
      <c r="I3521" s="9" t="s">
        <v>20</v>
      </c>
      <c r="J3521" s="10"/>
      <c r="K3521" s="14" t="s">
        <v>398</v>
      </c>
      <c r="N3521" s="14" t="str">
        <f>IFERROR(__xludf.DUMMYFUNCTION("""COMPUTED_VALUE"""),"")</f>
        <v/>
      </c>
      <c r="O3521" s="14"/>
    </row>
    <row r="3522" ht="22.5" hidden="1" customHeight="1">
      <c r="A3522" s="8">
        <v>46063.65411503472</v>
      </c>
      <c r="B3522" s="14">
        <v>46063.0</v>
      </c>
      <c r="C3522" s="9" t="s">
        <v>110</v>
      </c>
      <c r="D3522" s="9" t="s">
        <v>174</v>
      </c>
      <c r="E3522" s="9" t="s">
        <v>30</v>
      </c>
      <c r="F3522" s="9" t="s">
        <v>17</v>
      </c>
      <c r="G3522" s="9">
        <v>7.0</v>
      </c>
      <c r="H3522" s="9" t="s">
        <v>22</v>
      </c>
      <c r="I3522" s="9" t="s">
        <v>20</v>
      </c>
      <c r="J3522" s="10"/>
      <c r="K3522" s="14">
        <v>6.0</v>
      </c>
      <c r="N3522" s="14" t="str">
        <f>IFERROR(__xludf.DUMMYFUNCTION("""COMPUTED_VALUE"""),"")</f>
        <v/>
      </c>
      <c r="O3522" s="14"/>
    </row>
    <row r="3523" ht="22.5" hidden="1" customHeight="1">
      <c r="A3523" s="8">
        <v>46063.65561873843</v>
      </c>
      <c r="B3523" s="14">
        <v>46063.0</v>
      </c>
      <c r="C3523" s="9" t="s">
        <v>110</v>
      </c>
      <c r="D3523" s="9" t="s">
        <v>413</v>
      </c>
      <c r="E3523" s="9" t="s">
        <v>57</v>
      </c>
      <c r="F3523" s="9" t="s">
        <v>18</v>
      </c>
      <c r="G3523" s="9">
        <v>8.0</v>
      </c>
      <c r="H3523" s="9" t="s">
        <v>25</v>
      </c>
      <c r="I3523" s="9" t="s">
        <v>273</v>
      </c>
      <c r="J3523" s="10"/>
      <c r="K3523" s="14" t="s">
        <v>398</v>
      </c>
      <c r="N3523" s="14" t="str">
        <f>IFERROR(__xludf.DUMMYFUNCTION("""COMPUTED_VALUE"""),"")</f>
        <v/>
      </c>
      <c r="O3523" s="14"/>
    </row>
    <row r="3524" ht="22.5" hidden="1" customHeight="1">
      <c r="A3524" s="8">
        <v>46063.66868472222</v>
      </c>
      <c r="B3524" s="14">
        <v>46063.0</v>
      </c>
      <c r="C3524" s="9" t="s">
        <v>110</v>
      </c>
      <c r="D3524" s="9" t="s">
        <v>408</v>
      </c>
      <c r="E3524" s="9" t="s">
        <v>17</v>
      </c>
      <c r="F3524" s="9" t="s">
        <v>17</v>
      </c>
      <c r="G3524" s="9">
        <v>8.0</v>
      </c>
      <c r="H3524" s="9" t="s">
        <v>17</v>
      </c>
      <c r="I3524" s="9" t="s">
        <v>20</v>
      </c>
      <c r="J3524" s="10"/>
      <c r="K3524" s="14" t="s">
        <v>398</v>
      </c>
      <c r="N3524" s="14" t="str">
        <f>IFERROR(__xludf.DUMMYFUNCTION("""COMPUTED_VALUE"""),"")</f>
        <v/>
      </c>
      <c r="O3524" s="14"/>
    </row>
    <row r="3525" ht="22.5" hidden="1" customHeight="1">
      <c r="A3525" s="8">
        <v>46065.427798460645</v>
      </c>
      <c r="B3525" s="14">
        <v>46065.0</v>
      </c>
      <c r="C3525" s="9" t="s">
        <v>31</v>
      </c>
      <c r="D3525" s="9" t="s">
        <v>175</v>
      </c>
      <c r="E3525" s="9" t="s">
        <v>17</v>
      </c>
      <c r="F3525" s="9" t="s">
        <v>17</v>
      </c>
      <c r="G3525" s="9">
        <v>8.0</v>
      </c>
      <c r="H3525" s="9" t="s">
        <v>25</v>
      </c>
      <c r="I3525" s="9" t="s">
        <v>384</v>
      </c>
      <c r="J3525" s="10"/>
      <c r="K3525" s="14" t="s">
        <v>398</v>
      </c>
      <c r="N3525" s="14" t="str">
        <f>IFERROR(__xludf.DUMMYFUNCTION("""COMPUTED_VALUE"""),"")</f>
        <v/>
      </c>
      <c r="O3525" s="14"/>
    </row>
    <row r="3526" ht="22.5" hidden="1" customHeight="1">
      <c r="A3526" s="8">
        <v>46065.428119918986</v>
      </c>
      <c r="B3526" s="14">
        <v>46065.0</v>
      </c>
      <c r="C3526" s="9" t="s">
        <v>31</v>
      </c>
      <c r="D3526" s="9" t="s">
        <v>257</v>
      </c>
      <c r="E3526" s="9" t="s">
        <v>17</v>
      </c>
      <c r="F3526" s="9" t="s">
        <v>17</v>
      </c>
      <c r="G3526" s="9">
        <v>7.0</v>
      </c>
      <c r="H3526" s="9" t="s">
        <v>25</v>
      </c>
      <c r="I3526" s="9" t="s">
        <v>117</v>
      </c>
      <c r="J3526" s="10"/>
      <c r="K3526" s="14" t="s">
        <v>398</v>
      </c>
      <c r="N3526" s="14" t="str">
        <f>IFERROR(__xludf.DUMMYFUNCTION("""COMPUTED_VALUE"""),"")</f>
        <v/>
      </c>
      <c r="O3526" s="14"/>
    </row>
    <row r="3527" ht="22.5" hidden="1" customHeight="1">
      <c r="A3527" s="8">
        <v>46065.42855351852</v>
      </c>
      <c r="B3527" s="14">
        <v>46065.0</v>
      </c>
      <c r="C3527" s="9" t="s">
        <v>31</v>
      </c>
      <c r="D3527" s="9" t="s">
        <v>395</v>
      </c>
      <c r="E3527" s="9" t="s">
        <v>17</v>
      </c>
      <c r="F3527" s="9" t="s">
        <v>17</v>
      </c>
      <c r="G3527" s="9">
        <v>6.0</v>
      </c>
      <c r="H3527" s="9" t="s">
        <v>17</v>
      </c>
      <c r="I3527" s="9" t="s">
        <v>20</v>
      </c>
      <c r="J3527" s="10"/>
      <c r="K3527" s="14" t="s">
        <v>398</v>
      </c>
      <c r="N3527" s="14" t="str">
        <f>IFERROR(__xludf.DUMMYFUNCTION("""COMPUTED_VALUE"""),"")</f>
        <v/>
      </c>
      <c r="O3527" s="14"/>
    </row>
    <row r="3528" ht="22.5" hidden="1" customHeight="1">
      <c r="A3528" s="8">
        <v>46065.42876633102</v>
      </c>
      <c r="B3528" s="14">
        <v>46065.0</v>
      </c>
      <c r="C3528" s="9" t="s">
        <v>31</v>
      </c>
      <c r="D3528" s="9" t="s">
        <v>412</v>
      </c>
      <c r="E3528" s="9" t="s">
        <v>17</v>
      </c>
      <c r="F3528" s="9" t="s">
        <v>17</v>
      </c>
      <c r="G3528" s="9">
        <v>8.0</v>
      </c>
      <c r="H3528" s="9" t="s">
        <v>22</v>
      </c>
      <c r="I3528" s="9" t="s">
        <v>20</v>
      </c>
      <c r="J3528" s="10"/>
      <c r="K3528" s="14" t="s">
        <v>398</v>
      </c>
      <c r="N3528" s="14" t="str">
        <f>IFERROR(__xludf.DUMMYFUNCTION("""COMPUTED_VALUE"""),"")</f>
        <v/>
      </c>
      <c r="O3528" s="14"/>
    </row>
    <row r="3529" ht="22.5" hidden="1" customHeight="1">
      <c r="A3529" s="8">
        <v>46065.42901253472</v>
      </c>
      <c r="B3529" s="14">
        <v>46065.0</v>
      </c>
      <c r="C3529" s="9" t="s">
        <v>31</v>
      </c>
      <c r="D3529" s="9" t="s">
        <v>396</v>
      </c>
      <c r="E3529" s="9" t="s">
        <v>17</v>
      </c>
      <c r="F3529" s="9" t="s">
        <v>17</v>
      </c>
      <c r="G3529" s="9">
        <v>7.0</v>
      </c>
      <c r="H3529" s="9" t="s">
        <v>22</v>
      </c>
      <c r="I3529" s="9" t="s">
        <v>20</v>
      </c>
      <c r="J3529" s="10"/>
      <c r="K3529" s="14" t="s">
        <v>398</v>
      </c>
      <c r="N3529" s="14" t="str">
        <f>IFERROR(__xludf.DUMMYFUNCTION("""COMPUTED_VALUE"""),"")</f>
        <v/>
      </c>
      <c r="O3529" s="14"/>
    </row>
    <row r="3530" ht="22.5" hidden="1" customHeight="1">
      <c r="A3530" s="8">
        <v>46065.429356967594</v>
      </c>
      <c r="B3530" s="14">
        <v>46065.0</v>
      </c>
      <c r="C3530" s="9" t="s">
        <v>31</v>
      </c>
      <c r="D3530" s="9" t="s">
        <v>247</v>
      </c>
      <c r="E3530" s="9" t="s">
        <v>61</v>
      </c>
      <c r="F3530" s="9" t="s">
        <v>60</v>
      </c>
      <c r="G3530" s="9">
        <v>6.0</v>
      </c>
      <c r="H3530" s="9" t="s">
        <v>22</v>
      </c>
      <c r="I3530" s="9" t="s">
        <v>20</v>
      </c>
      <c r="J3530" s="10"/>
      <c r="K3530" s="14" t="s">
        <v>398</v>
      </c>
      <c r="N3530" s="14" t="str">
        <f>IFERROR(__xludf.DUMMYFUNCTION("""COMPUTED_VALUE"""),"")</f>
        <v/>
      </c>
      <c r="O3530" s="14"/>
    </row>
    <row r="3531" ht="22.5" hidden="1" customHeight="1">
      <c r="A3531" s="8">
        <v>46065.429658402776</v>
      </c>
      <c r="B3531" s="14">
        <v>46065.0</v>
      </c>
      <c r="C3531" s="9" t="s">
        <v>31</v>
      </c>
      <c r="D3531" s="9" t="s">
        <v>249</v>
      </c>
      <c r="E3531" s="9" t="s">
        <v>17</v>
      </c>
      <c r="F3531" s="9" t="s">
        <v>17</v>
      </c>
      <c r="G3531" s="9">
        <v>8.0</v>
      </c>
      <c r="H3531" s="9" t="s">
        <v>22</v>
      </c>
      <c r="I3531" s="9" t="s">
        <v>20</v>
      </c>
      <c r="J3531" s="10"/>
      <c r="K3531" s="14" t="s">
        <v>398</v>
      </c>
      <c r="N3531" s="14" t="str">
        <f>IFERROR(__xludf.DUMMYFUNCTION("""COMPUTED_VALUE"""),"")</f>
        <v/>
      </c>
      <c r="O3531" s="14"/>
    </row>
    <row r="3532" ht="22.5" hidden="1" customHeight="1">
      <c r="A3532" s="8">
        <v>46065.42987518519</v>
      </c>
      <c r="B3532" s="14">
        <v>46065.0</v>
      </c>
      <c r="C3532" s="9" t="s">
        <v>31</v>
      </c>
      <c r="D3532" s="9" t="s">
        <v>177</v>
      </c>
      <c r="E3532" s="9" t="s">
        <v>17</v>
      </c>
      <c r="F3532" s="9" t="s">
        <v>17</v>
      </c>
      <c r="G3532" s="9">
        <v>6.0</v>
      </c>
      <c r="H3532" s="9" t="s">
        <v>22</v>
      </c>
      <c r="I3532" s="9" t="s">
        <v>20</v>
      </c>
      <c r="J3532" s="10"/>
      <c r="K3532" s="14" t="s">
        <v>398</v>
      </c>
      <c r="N3532" s="14" t="str">
        <f>IFERROR(__xludf.DUMMYFUNCTION("""COMPUTED_VALUE"""),"")</f>
        <v/>
      </c>
      <c r="O3532" s="14"/>
    </row>
    <row r="3533" ht="22.5" hidden="1" customHeight="1">
      <c r="A3533" s="8">
        <v>46065.43010582176</v>
      </c>
      <c r="B3533" s="14">
        <v>46065.0</v>
      </c>
      <c r="C3533" s="9" t="s">
        <v>31</v>
      </c>
      <c r="D3533" s="9" t="s">
        <v>413</v>
      </c>
      <c r="E3533" s="9" t="s">
        <v>17</v>
      </c>
      <c r="F3533" s="9" t="s">
        <v>17</v>
      </c>
      <c r="G3533" s="9">
        <v>8.0</v>
      </c>
      <c r="H3533" s="9" t="s">
        <v>22</v>
      </c>
      <c r="I3533" s="9" t="s">
        <v>20</v>
      </c>
      <c r="J3533" s="10"/>
      <c r="K3533" s="14" t="s">
        <v>398</v>
      </c>
      <c r="N3533" s="14" t="str">
        <f>IFERROR(__xludf.DUMMYFUNCTION("""COMPUTED_VALUE"""),"")</f>
        <v/>
      </c>
      <c r="O3533" s="14"/>
    </row>
    <row r="3534" ht="22.5" hidden="1" customHeight="1">
      <c r="A3534" s="8">
        <v>46065.430886574075</v>
      </c>
      <c r="B3534" s="14">
        <v>46065.0</v>
      </c>
      <c r="C3534" s="9" t="s">
        <v>31</v>
      </c>
      <c r="D3534" s="9" t="s">
        <v>178</v>
      </c>
      <c r="E3534" s="9" t="s">
        <v>140</v>
      </c>
      <c r="F3534" s="9" t="s">
        <v>77</v>
      </c>
      <c r="G3534" s="9" t="s">
        <v>410</v>
      </c>
      <c r="H3534" s="9" t="s">
        <v>25</v>
      </c>
      <c r="I3534" s="9" t="s">
        <v>419</v>
      </c>
      <c r="J3534" s="10"/>
      <c r="K3534" s="14" t="s">
        <v>398</v>
      </c>
      <c r="N3534" s="14" t="str">
        <f>IFERROR(__xludf.DUMMYFUNCTION("""COMPUTED_VALUE"""),"")</f>
        <v/>
      </c>
      <c r="O3534" s="14"/>
    </row>
    <row r="3535" ht="22.5" hidden="1" customHeight="1">
      <c r="A3535" s="8">
        <v>46065.431107916665</v>
      </c>
      <c r="B3535" s="14">
        <v>46065.0</v>
      </c>
      <c r="C3535" s="9" t="s">
        <v>31</v>
      </c>
      <c r="D3535" s="9" t="s">
        <v>280</v>
      </c>
      <c r="E3535" s="9" t="s">
        <v>17</v>
      </c>
      <c r="F3535" s="9" t="s">
        <v>17</v>
      </c>
      <c r="G3535" s="9">
        <v>7.0</v>
      </c>
      <c r="H3535" s="9" t="s">
        <v>22</v>
      </c>
      <c r="I3535" s="9" t="s">
        <v>20</v>
      </c>
      <c r="J3535" s="10"/>
      <c r="K3535" s="14" t="s">
        <v>398</v>
      </c>
      <c r="N3535" s="14" t="str">
        <f>IFERROR(__xludf.DUMMYFUNCTION("""COMPUTED_VALUE"""),"")</f>
        <v/>
      </c>
      <c r="O3535" s="14"/>
    </row>
    <row r="3536" ht="22.5" hidden="1" customHeight="1">
      <c r="A3536" s="8">
        <v>46065.43129170139</v>
      </c>
      <c r="B3536" s="14">
        <v>46065.0</v>
      </c>
      <c r="C3536" s="9" t="s">
        <v>31</v>
      </c>
      <c r="D3536" s="9" t="s">
        <v>357</v>
      </c>
      <c r="E3536" s="9" t="s">
        <v>17</v>
      </c>
      <c r="F3536" s="9" t="s">
        <v>17</v>
      </c>
      <c r="G3536" s="9">
        <v>7.0</v>
      </c>
      <c r="H3536" s="9" t="s">
        <v>22</v>
      </c>
      <c r="I3536" s="9" t="s">
        <v>20</v>
      </c>
      <c r="J3536" s="10"/>
      <c r="K3536" s="14" t="s">
        <v>398</v>
      </c>
      <c r="N3536" s="14" t="str">
        <f>IFERROR(__xludf.DUMMYFUNCTION("""COMPUTED_VALUE"""),"")</f>
        <v/>
      </c>
      <c r="O3536" s="14"/>
    </row>
    <row r="3537" ht="22.5" hidden="1" customHeight="1">
      <c r="A3537" s="8">
        <v>46065.43163688657</v>
      </c>
      <c r="B3537" s="14">
        <v>46065.0</v>
      </c>
      <c r="C3537" s="9" t="s">
        <v>31</v>
      </c>
      <c r="D3537" s="9" t="s">
        <v>393</v>
      </c>
      <c r="E3537" s="9" t="s">
        <v>17</v>
      </c>
      <c r="F3537" s="9" t="s">
        <v>17</v>
      </c>
      <c r="G3537" s="9">
        <v>6.0</v>
      </c>
      <c r="H3537" s="9" t="s">
        <v>22</v>
      </c>
      <c r="I3537" s="9" t="s">
        <v>20</v>
      </c>
      <c r="J3537" s="10"/>
      <c r="K3537" s="14" t="s">
        <v>398</v>
      </c>
      <c r="N3537" s="14" t="str">
        <f>IFERROR(__xludf.DUMMYFUNCTION("""COMPUTED_VALUE"""),"")</f>
        <v/>
      </c>
      <c r="O3537" s="14"/>
    </row>
    <row r="3538" ht="22.5" hidden="1" customHeight="1">
      <c r="A3538" s="8">
        <v>46065.43205109954</v>
      </c>
      <c r="B3538" s="14">
        <v>46065.0</v>
      </c>
      <c r="C3538" s="9" t="s">
        <v>31</v>
      </c>
      <c r="D3538" s="9" t="s">
        <v>369</v>
      </c>
      <c r="E3538" s="9" t="s">
        <v>17</v>
      </c>
      <c r="F3538" s="9" t="s">
        <v>17</v>
      </c>
      <c r="G3538" s="9">
        <v>6.0</v>
      </c>
      <c r="H3538" s="9" t="s">
        <v>25</v>
      </c>
      <c r="I3538" s="9" t="s">
        <v>211</v>
      </c>
      <c r="J3538" s="10"/>
      <c r="K3538" s="14" t="s">
        <v>398</v>
      </c>
      <c r="N3538" s="14" t="str">
        <f>IFERROR(__xludf.DUMMYFUNCTION("""COMPUTED_VALUE"""),"")</f>
        <v/>
      </c>
      <c r="O3538" s="14"/>
    </row>
    <row r="3539" ht="22.5" hidden="1" customHeight="1">
      <c r="A3539" s="8">
        <v>46065.432731168985</v>
      </c>
      <c r="B3539" s="14">
        <v>46065.0</v>
      </c>
      <c r="C3539" s="9" t="s">
        <v>31</v>
      </c>
      <c r="D3539" s="9" t="s">
        <v>335</v>
      </c>
      <c r="E3539" s="9" t="s">
        <v>17</v>
      </c>
      <c r="F3539" s="9" t="s">
        <v>17</v>
      </c>
      <c r="G3539" s="9">
        <v>6.0</v>
      </c>
      <c r="H3539" s="9" t="s">
        <v>25</v>
      </c>
      <c r="I3539" s="9" t="s">
        <v>411</v>
      </c>
      <c r="J3539" s="10"/>
      <c r="K3539" s="14" t="s">
        <v>398</v>
      </c>
      <c r="N3539" s="14" t="str">
        <f>IFERROR(__xludf.DUMMYFUNCTION("""COMPUTED_VALUE"""),"")</f>
        <v/>
      </c>
      <c r="O3539" s="14"/>
    </row>
    <row r="3540" ht="22.5" hidden="1" customHeight="1">
      <c r="A3540" s="8">
        <v>46065.43552292824</v>
      </c>
      <c r="B3540" s="14">
        <v>46065.0</v>
      </c>
      <c r="C3540" s="9" t="s">
        <v>31</v>
      </c>
      <c r="D3540" s="9" t="s">
        <v>394</v>
      </c>
      <c r="E3540" s="9" t="s">
        <v>17</v>
      </c>
      <c r="F3540" s="9" t="s">
        <v>17</v>
      </c>
      <c r="G3540" s="9" t="s">
        <v>410</v>
      </c>
      <c r="H3540" s="9" t="s">
        <v>22</v>
      </c>
      <c r="I3540" s="9" t="s">
        <v>20</v>
      </c>
      <c r="J3540" s="10"/>
      <c r="K3540" s="14" t="s">
        <v>398</v>
      </c>
      <c r="N3540" s="14" t="str">
        <f>IFERROR(__xludf.DUMMYFUNCTION("""COMPUTED_VALUE"""),"")</f>
        <v/>
      </c>
      <c r="O3540" s="14"/>
    </row>
    <row r="3541" ht="22.5" hidden="1" customHeight="1">
      <c r="A3541" s="8">
        <v>46065.43584219908</v>
      </c>
      <c r="B3541" s="14">
        <v>46065.0</v>
      </c>
      <c r="C3541" s="9" t="s">
        <v>31</v>
      </c>
      <c r="D3541" s="9" t="s">
        <v>174</v>
      </c>
      <c r="E3541" s="9" t="s">
        <v>17</v>
      </c>
      <c r="F3541" s="9" t="s">
        <v>17</v>
      </c>
      <c r="G3541" s="9">
        <v>7.0</v>
      </c>
      <c r="H3541" s="9" t="s">
        <v>22</v>
      </c>
      <c r="I3541" s="9" t="s">
        <v>20</v>
      </c>
      <c r="J3541" s="10"/>
      <c r="K3541" s="14" t="s">
        <v>398</v>
      </c>
      <c r="N3541" s="14" t="str">
        <f>IFERROR(__xludf.DUMMYFUNCTION("""COMPUTED_VALUE"""),"")</f>
        <v/>
      </c>
      <c r="O3541" s="14"/>
    </row>
    <row r="3542" ht="22.5" hidden="1" customHeight="1">
      <c r="A3542" s="8">
        <v>46065.43605831018</v>
      </c>
      <c r="B3542" s="14">
        <v>46065.0</v>
      </c>
      <c r="C3542" s="9" t="s">
        <v>31</v>
      </c>
      <c r="D3542" s="9" t="s">
        <v>258</v>
      </c>
      <c r="E3542" s="9" t="s">
        <v>17</v>
      </c>
      <c r="F3542" s="9" t="s">
        <v>17</v>
      </c>
      <c r="G3542" s="9">
        <v>8.0</v>
      </c>
      <c r="H3542" s="9" t="s">
        <v>22</v>
      </c>
      <c r="I3542" s="9" t="s">
        <v>20</v>
      </c>
      <c r="J3542" s="10"/>
      <c r="K3542" s="14" t="s">
        <v>398</v>
      </c>
      <c r="N3542" s="14" t="str">
        <f>IFERROR(__xludf.DUMMYFUNCTION("""COMPUTED_VALUE"""),"")</f>
        <v/>
      </c>
      <c r="O3542" s="14"/>
    </row>
    <row r="3543" ht="22.5" hidden="1" customHeight="1">
      <c r="A3543" s="8">
        <v>46065.436668229166</v>
      </c>
      <c r="B3543" s="14">
        <v>46065.0</v>
      </c>
      <c r="C3543" s="9" t="s">
        <v>31</v>
      </c>
      <c r="D3543" s="9" t="s">
        <v>210</v>
      </c>
      <c r="E3543" s="9" t="s">
        <v>17</v>
      </c>
      <c r="F3543" s="9" t="s">
        <v>17</v>
      </c>
      <c r="G3543" s="9">
        <v>7.0</v>
      </c>
      <c r="H3543" s="9" t="s">
        <v>22</v>
      </c>
      <c r="I3543" s="9" t="s">
        <v>20</v>
      </c>
      <c r="J3543" s="10"/>
      <c r="K3543" s="14" t="s">
        <v>398</v>
      </c>
      <c r="N3543" s="14" t="str">
        <f>IFERROR(__xludf.DUMMYFUNCTION("""COMPUTED_VALUE"""),"")</f>
        <v/>
      </c>
      <c r="O3543" s="14"/>
    </row>
    <row r="3544" ht="22.5" hidden="1" customHeight="1">
      <c r="A3544" s="8">
        <v>46065.437028125</v>
      </c>
      <c r="B3544" s="14">
        <v>46065.0</v>
      </c>
      <c r="C3544" s="9" t="s">
        <v>31</v>
      </c>
      <c r="D3544" s="9" t="s">
        <v>414</v>
      </c>
      <c r="E3544" s="9" t="s">
        <v>17</v>
      </c>
      <c r="F3544" s="9" t="s">
        <v>17</v>
      </c>
      <c r="G3544" s="9">
        <v>6.0</v>
      </c>
      <c r="H3544" s="9" t="s">
        <v>22</v>
      </c>
      <c r="I3544" s="9" t="s">
        <v>20</v>
      </c>
      <c r="J3544" s="10"/>
      <c r="K3544" s="14" t="s">
        <v>398</v>
      </c>
      <c r="N3544" s="14" t="str">
        <f>IFERROR(__xludf.DUMMYFUNCTION("""COMPUTED_VALUE"""),"")</f>
        <v/>
      </c>
      <c r="O3544" s="14"/>
    </row>
    <row r="3545" ht="22.5" hidden="1" customHeight="1">
      <c r="A3545" s="8">
        <v>46065.4373050463</v>
      </c>
      <c r="B3545" s="14">
        <v>46065.0</v>
      </c>
      <c r="C3545" s="9" t="s">
        <v>31</v>
      </c>
      <c r="D3545" s="9" t="s">
        <v>105</v>
      </c>
      <c r="E3545" s="9" t="s">
        <v>17</v>
      </c>
      <c r="F3545" s="9" t="s">
        <v>17</v>
      </c>
      <c r="G3545" s="9">
        <v>7.0</v>
      </c>
      <c r="H3545" s="9" t="s">
        <v>22</v>
      </c>
      <c r="I3545" s="9" t="s">
        <v>20</v>
      </c>
      <c r="J3545" s="10"/>
      <c r="K3545" s="14" t="s">
        <v>398</v>
      </c>
      <c r="N3545" s="14" t="str">
        <f>IFERROR(__xludf.DUMMYFUNCTION("""COMPUTED_VALUE"""),"")</f>
        <v/>
      </c>
      <c r="O3545" s="14"/>
    </row>
    <row r="3546" ht="22.5" hidden="1" customHeight="1">
      <c r="A3546" s="8">
        <v>46065.437659166666</v>
      </c>
      <c r="B3546" s="14">
        <v>46065.0</v>
      </c>
      <c r="C3546" s="9" t="s">
        <v>31</v>
      </c>
      <c r="D3546" s="9" t="s">
        <v>408</v>
      </c>
      <c r="E3546" s="9" t="s">
        <v>61</v>
      </c>
      <c r="F3546" s="9" t="s">
        <v>17</v>
      </c>
      <c r="G3546" s="9" t="s">
        <v>410</v>
      </c>
      <c r="H3546" s="9" t="s">
        <v>22</v>
      </c>
      <c r="I3546" s="9" t="s">
        <v>20</v>
      </c>
      <c r="J3546" s="10"/>
      <c r="K3546" s="14" t="s">
        <v>398</v>
      </c>
      <c r="N3546" s="14" t="str">
        <f>IFERROR(__xludf.DUMMYFUNCTION("""COMPUTED_VALUE"""),"")</f>
        <v/>
      </c>
      <c r="O3546" s="14"/>
    </row>
    <row r="3547" ht="22.5" hidden="1" customHeight="1">
      <c r="A3547" s="8">
        <v>46065.43802371528</v>
      </c>
      <c r="B3547" s="14">
        <v>46065.0</v>
      </c>
      <c r="C3547" s="9" t="s">
        <v>31</v>
      </c>
      <c r="D3547" s="9" t="s">
        <v>350</v>
      </c>
      <c r="E3547" s="9" t="s">
        <v>17</v>
      </c>
      <c r="F3547" s="9" t="s">
        <v>17</v>
      </c>
      <c r="G3547" s="9">
        <v>8.0</v>
      </c>
      <c r="H3547" s="9" t="s">
        <v>22</v>
      </c>
      <c r="I3547" s="9" t="s">
        <v>20</v>
      </c>
      <c r="J3547" s="10"/>
      <c r="K3547" s="14" t="s">
        <v>398</v>
      </c>
      <c r="N3547" s="14" t="str">
        <f>IFERROR(__xludf.DUMMYFUNCTION("""COMPUTED_VALUE"""),"")</f>
        <v/>
      </c>
      <c r="O3547" s="14"/>
    </row>
    <row r="3548" ht="22.5" hidden="1" customHeight="1">
      <c r="A3548" s="8">
        <v>46065.43826260416</v>
      </c>
      <c r="B3548" s="14">
        <v>46065.0</v>
      </c>
      <c r="C3548" s="9" t="s">
        <v>31</v>
      </c>
      <c r="D3548" s="9" t="s">
        <v>367</v>
      </c>
      <c r="E3548" s="9" t="s">
        <v>61</v>
      </c>
      <c r="F3548" s="9" t="s">
        <v>17</v>
      </c>
      <c r="G3548" s="9">
        <v>6.0</v>
      </c>
      <c r="H3548" s="9" t="s">
        <v>22</v>
      </c>
      <c r="I3548" s="9" t="s">
        <v>20</v>
      </c>
      <c r="J3548" s="10"/>
      <c r="K3548" s="14" t="s">
        <v>398</v>
      </c>
      <c r="N3548" s="14" t="str">
        <f>IFERROR(__xludf.DUMMYFUNCTION("""COMPUTED_VALUE"""),"")</f>
        <v/>
      </c>
      <c r="O3548" s="14"/>
    </row>
    <row r="3549" ht="22.5" hidden="1" customHeight="1">
      <c r="A3549" s="8">
        <v>46065.43910109954</v>
      </c>
      <c r="B3549" s="14">
        <v>46065.0</v>
      </c>
      <c r="C3549" s="9" t="s">
        <v>31</v>
      </c>
      <c r="D3549" s="9" t="s">
        <v>259</v>
      </c>
      <c r="E3549" s="9" t="s">
        <v>17</v>
      </c>
      <c r="F3549" s="9" t="s">
        <v>17</v>
      </c>
      <c r="G3549" s="9">
        <v>8.0</v>
      </c>
      <c r="H3549" s="9" t="s">
        <v>22</v>
      </c>
      <c r="I3549" s="9" t="s">
        <v>20</v>
      </c>
      <c r="J3549" s="10"/>
      <c r="K3549" s="14" t="s">
        <v>398</v>
      </c>
      <c r="N3549" s="14" t="str">
        <f>IFERROR(__xludf.DUMMYFUNCTION("""COMPUTED_VALUE"""),"")</f>
        <v/>
      </c>
      <c r="O3549" s="14"/>
    </row>
    <row r="3550" ht="22.5" hidden="1" customHeight="1">
      <c r="A3550" s="8">
        <v>46065.44810459491</v>
      </c>
      <c r="B3550" s="14">
        <v>46065.0</v>
      </c>
      <c r="C3550" s="9" t="s">
        <v>31</v>
      </c>
      <c r="D3550" s="9" t="s">
        <v>171</v>
      </c>
      <c r="E3550" s="9" t="s">
        <v>17</v>
      </c>
      <c r="F3550" s="9" t="s">
        <v>17</v>
      </c>
      <c r="G3550" s="9">
        <v>6.0</v>
      </c>
      <c r="H3550" s="9" t="s">
        <v>22</v>
      </c>
      <c r="I3550" s="9" t="s">
        <v>20</v>
      </c>
      <c r="J3550" s="10"/>
      <c r="K3550" s="14" t="s">
        <v>398</v>
      </c>
      <c r="N3550" s="14" t="str">
        <f>IFERROR(__xludf.DUMMYFUNCTION("""COMPUTED_VALUE"""),"")</f>
        <v/>
      </c>
      <c r="O3550" s="14"/>
    </row>
    <row r="3551" ht="22.5" hidden="1" customHeight="1">
      <c r="A3551" s="8">
        <v>46066.35262377315</v>
      </c>
      <c r="B3551" s="14">
        <v>46066.0</v>
      </c>
      <c r="C3551" s="9" t="s">
        <v>48</v>
      </c>
      <c r="D3551" s="9" t="s">
        <v>175</v>
      </c>
      <c r="E3551" s="9" t="s">
        <v>17</v>
      </c>
      <c r="F3551" s="9" t="s">
        <v>17</v>
      </c>
      <c r="G3551" s="9">
        <v>7.0</v>
      </c>
      <c r="H3551" s="9" t="s">
        <v>25</v>
      </c>
      <c r="I3551" s="9" t="s">
        <v>384</v>
      </c>
      <c r="J3551" s="10"/>
      <c r="K3551" s="14" t="s">
        <v>398</v>
      </c>
      <c r="N3551" s="14" t="str">
        <f>IFERROR(__xludf.DUMMYFUNCTION("""COMPUTED_VALUE"""),"")</f>
        <v/>
      </c>
      <c r="O3551" s="14"/>
    </row>
    <row r="3552" ht="22.5" hidden="1" customHeight="1">
      <c r="A3552" s="8">
        <v>46066.35307</v>
      </c>
      <c r="B3552" s="14">
        <v>46066.0</v>
      </c>
      <c r="C3552" s="9" t="s">
        <v>48</v>
      </c>
      <c r="D3552" s="9" t="s">
        <v>257</v>
      </c>
      <c r="E3552" s="9" t="s">
        <v>17</v>
      </c>
      <c r="F3552" s="9" t="s">
        <v>17</v>
      </c>
      <c r="G3552" s="9">
        <v>8.0</v>
      </c>
      <c r="H3552" s="9" t="s">
        <v>25</v>
      </c>
      <c r="I3552" s="9" t="s">
        <v>117</v>
      </c>
      <c r="J3552" s="10"/>
      <c r="K3552" s="14" t="s">
        <v>398</v>
      </c>
      <c r="N3552" s="14" t="str">
        <f>IFERROR(__xludf.DUMMYFUNCTION("""COMPUTED_VALUE"""),"")</f>
        <v/>
      </c>
      <c r="O3552" s="14"/>
    </row>
    <row r="3553" ht="22.5" hidden="1" customHeight="1">
      <c r="A3553" s="8">
        <v>46066.35330076389</v>
      </c>
      <c r="B3553" s="14">
        <v>46066.0</v>
      </c>
      <c r="C3553" s="9" t="s">
        <v>48</v>
      </c>
      <c r="D3553" s="9" t="s">
        <v>395</v>
      </c>
      <c r="E3553" s="9" t="s">
        <v>17</v>
      </c>
      <c r="F3553" s="9" t="s">
        <v>17</v>
      </c>
      <c r="G3553" s="9">
        <v>8.0</v>
      </c>
      <c r="H3553" s="9" t="s">
        <v>17</v>
      </c>
      <c r="I3553" s="9" t="s">
        <v>20</v>
      </c>
      <c r="J3553" s="10"/>
      <c r="K3553" s="14" t="s">
        <v>398</v>
      </c>
      <c r="N3553" s="14" t="str">
        <f>IFERROR(__xludf.DUMMYFUNCTION("""COMPUTED_VALUE"""),"")</f>
        <v/>
      </c>
      <c r="O3553" s="14"/>
    </row>
    <row r="3554" ht="22.5" hidden="1" customHeight="1">
      <c r="A3554" s="8">
        <v>46066.35355332176</v>
      </c>
      <c r="B3554" s="14">
        <v>46066.0</v>
      </c>
      <c r="C3554" s="9" t="s">
        <v>48</v>
      </c>
      <c r="D3554" s="9" t="s">
        <v>412</v>
      </c>
      <c r="E3554" s="9" t="s">
        <v>17</v>
      </c>
      <c r="F3554" s="9" t="s">
        <v>17</v>
      </c>
      <c r="G3554" s="9">
        <v>8.0</v>
      </c>
      <c r="H3554" s="9" t="s">
        <v>22</v>
      </c>
      <c r="I3554" s="9" t="s">
        <v>20</v>
      </c>
      <c r="J3554" s="10"/>
      <c r="K3554" s="14" t="s">
        <v>398</v>
      </c>
      <c r="N3554" s="14" t="str">
        <f>IFERROR(__xludf.DUMMYFUNCTION("""COMPUTED_VALUE"""),"")</f>
        <v/>
      </c>
      <c r="O3554" s="14"/>
    </row>
    <row r="3555" ht="22.5" hidden="1" customHeight="1">
      <c r="A3555" s="8">
        <v>46066.35378447917</v>
      </c>
      <c r="B3555" s="14">
        <v>46066.0</v>
      </c>
      <c r="C3555" s="9" t="s">
        <v>48</v>
      </c>
      <c r="D3555" s="9" t="s">
        <v>396</v>
      </c>
      <c r="E3555" s="9" t="s">
        <v>17</v>
      </c>
      <c r="F3555" s="9" t="s">
        <v>17</v>
      </c>
      <c r="G3555" s="9">
        <v>8.0</v>
      </c>
      <c r="H3555" s="9" t="s">
        <v>22</v>
      </c>
      <c r="I3555" s="9" t="s">
        <v>20</v>
      </c>
      <c r="J3555" s="10"/>
      <c r="K3555" s="14" t="s">
        <v>398</v>
      </c>
      <c r="N3555" s="14" t="str">
        <f>IFERROR(__xludf.DUMMYFUNCTION("""COMPUTED_VALUE"""),"")</f>
        <v/>
      </c>
      <c r="O3555" s="14"/>
    </row>
    <row r="3556" ht="22.5" hidden="1" customHeight="1">
      <c r="A3556" s="8">
        <v>46066.354004849534</v>
      </c>
      <c r="B3556" s="14">
        <v>46066.0</v>
      </c>
      <c r="C3556" s="9" t="s">
        <v>48</v>
      </c>
      <c r="D3556" s="9" t="s">
        <v>247</v>
      </c>
      <c r="E3556" s="9" t="s">
        <v>61</v>
      </c>
      <c r="F3556" s="9" t="s">
        <v>17</v>
      </c>
      <c r="G3556" s="9">
        <v>7.0</v>
      </c>
      <c r="H3556" s="9" t="s">
        <v>22</v>
      </c>
      <c r="I3556" s="9" t="s">
        <v>20</v>
      </c>
      <c r="J3556" s="10"/>
      <c r="K3556" s="14" t="s">
        <v>398</v>
      </c>
      <c r="N3556" s="14" t="str">
        <f>IFERROR(__xludf.DUMMYFUNCTION("""COMPUTED_VALUE"""),"")</f>
        <v/>
      </c>
      <c r="O3556" s="14"/>
    </row>
    <row r="3557" ht="22.5" hidden="1" customHeight="1">
      <c r="A3557" s="8">
        <v>46066.354283078705</v>
      </c>
      <c r="B3557" s="14">
        <v>46066.0</v>
      </c>
      <c r="C3557" s="9" t="s">
        <v>48</v>
      </c>
      <c r="D3557" s="9" t="s">
        <v>249</v>
      </c>
      <c r="E3557" s="9" t="s">
        <v>17</v>
      </c>
      <c r="F3557" s="9" t="s">
        <v>17</v>
      </c>
      <c r="G3557" s="9">
        <v>7.0</v>
      </c>
      <c r="H3557" s="9" t="s">
        <v>22</v>
      </c>
      <c r="I3557" s="9" t="s">
        <v>20</v>
      </c>
      <c r="J3557" s="10"/>
      <c r="K3557" s="14" t="s">
        <v>398</v>
      </c>
      <c r="N3557" s="14" t="str">
        <f>IFERROR(__xludf.DUMMYFUNCTION("""COMPUTED_VALUE"""),"")</f>
        <v/>
      </c>
      <c r="O3557" s="14"/>
    </row>
    <row r="3558" ht="22.5" hidden="1" customHeight="1">
      <c r="A3558" s="8">
        <v>46066.35461177083</v>
      </c>
      <c r="B3558" s="14">
        <v>46066.0</v>
      </c>
      <c r="C3558" s="9" t="s">
        <v>48</v>
      </c>
      <c r="D3558" s="9" t="s">
        <v>177</v>
      </c>
      <c r="E3558" s="9" t="s">
        <v>17</v>
      </c>
      <c r="F3558" s="9" t="s">
        <v>17</v>
      </c>
      <c r="G3558" s="9">
        <v>8.0</v>
      </c>
      <c r="H3558" s="9" t="s">
        <v>22</v>
      </c>
      <c r="I3558" s="9" t="s">
        <v>20</v>
      </c>
      <c r="J3558" s="10"/>
      <c r="K3558" s="14" t="s">
        <v>398</v>
      </c>
      <c r="N3558" s="14" t="str">
        <f>IFERROR(__xludf.DUMMYFUNCTION("""COMPUTED_VALUE"""),"")</f>
        <v/>
      </c>
      <c r="O3558" s="14"/>
    </row>
    <row r="3559" ht="22.5" hidden="1" customHeight="1">
      <c r="A3559" s="8">
        <v>46066.35497069445</v>
      </c>
      <c r="B3559" s="14">
        <v>46066.0</v>
      </c>
      <c r="C3559" s="9" t="s">
        <v>48</v>
      </c>
      <c r="D3559" s="9" t="s">
        <v>413</v>
      </c>
      <c r="E3559" s="9" t="s">
        <v>17</v>
      </c>
      <c r="F3559" s="9" t="s">
        <v>17</v>
      </c>
      <c r="G3559" s="9">
        <v>8.0</v>
      </c>
      <c r="H3559" s="9" t="s">
        <v>22</v>
      </c>
      <c r="I3559" s="9" t="s">
        <v>20</v>
      </c>
      <c r="J3559" s="10"/>
      <c r="K3559" s="14" t="s">
        <v>398</v>
      </c>
      <c r="N3559" s="14" t="str">
        <f>IFERROR(__xludf.DUMMYFUNCTION("""COMPUTED_VALUE"""),"")</f>
        <v/>
      </c>
      <c r="O3559" s="14"/>
    </row>
    <row r="3560" ht="22.5" hidden="1" customHeight="1">
      <c r="A3560" s="8">
        <v>46066.35570241898</v>
      </c>
      <c r="B3560" s="14">
        <v>46066.0</v>
      </c>
      <c r="C3560" s="9" t="s">
        <v>48</v>
      </c>
      <c r="D3560" s="9" t="s">
        <v>178</v>
      </c>
      <c r="E3560" s="9" t="s">
        <v>61</v>
      </c>
      <c r="F3560" s="9" t="s">
        <v>17</v>
      </c>
      <c r="G3560" s="9">
        <v>8.0</v>
      </c>
      <c r="H3560" s="9" t="s">
        <v>25</v>
      </c>
      <c r="I3560" s="9" t="s">
        <v>420</v>
      </c>
      <c r="J3560" s="10"/>
      <c r="K3560" s="14" t="s">
        <v>398</v>
      </c>
      <c r="N3560" s="14" t="str">
        <f>IFERROR(__xludf.DUMMYFUNCTION("""COMPUTED_VALUE"""),"")</f>
        <v/>
      </c>
      <c r="O3560" s="14"/>
    </row>
    <row r="3561" ht="22.5" hidden="1" customHeight="1">
      <c r="A3561" s="8">
        <v>46066.356046875</v>
      </c>
      <c r="B3561" s="14">
        <v>46066.0</v>
      </c>
      <c r="C3561" s="9" t="s">
        <v>48</v>
      </c>
      <c r="D3561" s="9" t="s">
        <v>357</v>
      </c>
      <c r="E3561" s="9" t="s">
        <v>17</v>
      </c>
      <c r="F3561" s="9" t="s">
        <v>17</v>
      </c>
      <c r="G3561" s="9">
        <v>8.0</v>
      </c>
      <c r="H3561" s="9" t="s">
        <v>22</v>
      </c>
      <c r="I3561" s="9" t="s">
        <v>20</v>
      </c>
      <c r="J3561" s="10"/>
      <c r="K3561" s="14" t="s">
        <v>398</v>
      </c>
      <c r="N3561" s="14" t="str">
        <f>IFERROR(__xludf.DUMMYFUNCTION("""COMPUTED_VALUE"""),"")</f>
        <v/>
      </c>
      <c r="O3561" s="14"/>
    </row>
    <row r="3562" ht="22.5" hidden="1" customHeight="1">
      <c r="A3562" s="8">
        <v>46066.356385844905</v>
      </c>
      <c r="B3562" s="14">
        <v>46066.0</v>
      </c>
      <c r="C3562" s="9" t="s">
        <v>48</v>
      </c>
      <c r="D3562" s="9" t="s">
        <v>280</v>
      </c>
      <c r="E3562" s="9" t="s">
        <v>17</v>
      </c>
      <c r="F3562" s="9" t="s">
        <v>17</v>
      </c>
      <c r="G3562" s="9">
        <v>8.0</v>
      </c>
      <c r="H3562" s="9" t="s">
        <v>22</v>
      </c>
      <c r="I3562" s="9" t="s">
        <v>20</v>
      </c>
      <c r="J3562" s="10"/>
      <c r="K3562" s="14" t="s">
        <v>398</v>
      </c>
      <c r="N3562" s="14" t="str">
        <f>IFERROR(__xludf.DUMMYFUNCTION("""COMPUTED_VALUE"""),"")</f>
        <v/>
      </c>
      <c r="O3562" s="14"/>
    </row>
    <row r="3563" ht="22.5" hidden="1" customHeight="1">
      <c r="A3563" s="8">
        <v>46066.35676258102</v>
      </c>
      <c r="B3563" s="14">
        <v>46066.0</v>
      </c>
      <c r="C3563" s="9" t="s">
        <v>48</v>
      </c>
      <c r="D3563" s="9" t="s">
        <v>393</v>
      </c>
      <c r="E3563" s="9" t="s">
        <v>17</v>
      </c>
      <c r="F3563" s="9" t="s">
        <v>17</v>
      </c>
      <c r="G3563" s="9">
        <v>8.0</v>
      </c>
      <c r="H3563" s="9" t="s">
        <v>22</v>
      </c>
      <c r="I3563" s="9" t="s">
        <v>20</v>
      </c>
      <c r="J3563" s="10"/>
      <c r="K3563" s="14" t="s">
        <v>398</v>
      </c>
      <c r="N3563" s="14" t="str">
        <f>IFERROR(__xludf.DUMMYFUNCTION("""COMPUTED_VALUE"""),"")</f>
        <v/>
      </c>
      <c r="O3563" s="14"/>
    </row>
    <row r="3564" ht="22.5" hidden="1" customHeight="1">
      <c r="A3564" s="8">
        <v>46066.357207152774</v>
      </c>
      <c r="B3564" s="14">
        <v>46066.0</v>
      </c>
      <c r="C3564" s="9" t="s">
        <v>48</v>
      </c>
      <c r="D3564" s="9" t="s">
        <v>394</v>
      </c>
      <c r="E3564" s="9" t="s">
        <v>17</v>
      </c>
      <c r="F3564" s="9" t="s">
        <v>17</v>
      </c>
      <c r="G3564" s="9">
        <v>8.0</v>
      </c>
      <c r="H3564" s="9" t="s">
        <v>22</v>
      </c>
      <c r="I3564" s="9" t="s">
        <v>20</v>
      </c>
      <c r="J3564" s="10"/>
      <c r="K3564" s="14" t="s">
        <v>398</v>
      </c>
      <c r="N3564" s="14" t="str">
        <f>IFERROR(__xludf.DUMMYFUNCTION("""COMPUTED_VALUE"""),"")</f>
        <v/>
      </c>
      <c r="O3564" s="14"/>
    </row>
    <row r="3565" ht="22.5" hidden="1" customHeight="1">
      <c r="A3565" s="8">
        <v>46066.35755055556</v>
      </c>
      <c r="B3565" s="14">
        <v>46066.0</v>
      </c>
      <c r="C3565" s="9" t="s">
        <v>48</v>
      </c>
      <c r="D3565" s="9" t="s">
        <v>174</v>
      </c>
      <c r="E3565" s="9" t="s">
        <v>17</v>
      </c>
      <c r="F3565" s="9" t="s">
        <v>17</v>
      </c>
      <c r="G3565" s="9">
        <v>8.0</v>
      </c>
      <c r="H3565" s="9" t="s">
        <v>22</v>
      </c>
      <c r="I3565" s="9" t="s">
        <v>20</v>
      </c>
      <c r="J3565" s="10"/>
      <c r="K3565" s="14" t="s">
        <v>398</v>
      </c>
      <c r="N3565" s="14" t="str">
        <f>IFERROR(__xludf.DUMMYFUNCTION("""COMPUTED_VALUE"""),"")</f>
        <v/>
      </c>
      <c r="O3565" s="14"/>
    </row>
    <row r="3566" ht="22.5" hidden="1" customHeight="1">
      <c r="A3566" s="8">
        <v>46066.357861944445</v>
      </c>
      <c r="B3566" s="14">
        <v>46066.0</v>
      </c>
      <c r="C3566" s="9" t="s">
        <v>48</v>
      </c>
      <c r="D3566" s="9" t="s">
        <v>258</v>
      </c>
      <c r="E3566" s="9" t="s">
        <v>17</v>
      </c>
      <c r="F3566" s="9" t="s">
        <v>17</v>
      </c>
      <c r="G3566" s="9">
        <v>8.0</v>
      </c>
      <c r="H3566" s="9" t="s">
        <v>22</v>
      </c>
      <c r="I3566" s="9" t="s">
        <v>20</v>
      </c>
      <c r="J3566" s="10"/>
      <c r="K3566" s="14" t="s">
        <v>398</v>
      </c>
      <c r="N3566" s="14" t="str">
        <f>IFERROR(__xludf.DUMMYFUNCTION("""COMPUTED_VALUE"""),"")</f>
        <v/>
      </c>
      <c r="O3566" s="14"/>
    </row>
    <row r="3567" ht="22.5" hidden="1" customHeight="1">
      <c r="A3567" s="8">
        <v>46066.358173182874</v>
      </c>
      <c r="B3567" s="14">
        <v>46066.0</v>
      </c>
      <c r="C3567" s="9" t="s">
        <v>48</v>
      </c>
      <c r="D3567" s="9" t="s">
        <v>369</v>
      </c>
      <c r="E3567" s="9" t="s">
        <v>17</v>
      </c>
      <c r="F3567" s="9" t="s">
        <v>17</v>
      </c>
      <c r="G3567" s="9">
        <v>7.0</v>
      </c>
      <c r="H3567" s="9" t="s">
        <v>22</v>
      </c>
      <c r="I3567" s="9" t="s">
        <v>20</v>
      </c>
      <c r="J3567" s="10"/>
      <c r="K3567" s="14" t="s">
        <v>398</v>
      </c>
      <c r="N3567" s="14" t="str">
        <f>IFERROR(__xludf.DUMMYFUNCTION("""COMPUTED_VALUE"""),"")</f>
        <v/>
      </c>
      <c r="O3567" s="14"/>
    </row>
    <row r="3568" ht="22.5" hidden="1" customHeight="1">
      <c r="A3568" s="8">
        <v>46066.3586809838</v>
      </c>
      <c r="B3568" s="14">
        <v>46066.0</v>
      </c>
      <c r="C3568" s="9" t="s">
        <v>48</v>
      </c>
      <c r="D3568" s="9" t="s">
        <v>210</v>
      </c>
      <c r="E3568" s="9" t="s">
        <v>17</v>
      </c>
      <c r="F3568" s="9" t="s">
        <v>17</v>
      </c>
      <c r="G3568" s="9">
        <v>7.0</v>
      </c>
      <c r="H3568" s="9" t="s">
        <v>22</v>
      </c>
      <c r="I3568" s="9" t="s">
        <v>20</v>
      </c>
      <c r="J3568" s="10"/>
      <c r="K3568" s="14" t="s">
        <v>398</v>
      </c>
      <c r="N3568" s="14" t="str">
        <f>IFERROR(__xludf.DUMMYFUNCTION("""COMPUTED_VALUE"""),"")</f>
        <v/>
      </c>
      <c r="O3568" s="14"/>
    </row>
    <row r="3569" ht="22.5" hidden="1" customHeight="1">
      <c r="A3569" s="8">
        <v>46066.35900689814</v>
      </c>
      <c r="B3569" s="14">
        <v>46066.0</v>
      </c>
      <c r="C3569" s="9" t="s">
        <v>48</v>
      </c>
      <c r="D3569" s="9" t="s">
        <v>414</v>
      </c>
      <c r="E3569" s="9" t="s">
        <v>17</v>
      </c>
      <c r="F3569" s="9" t="s">
        <v>17</v>
      </c>
      <c r="G3569" s="9">
        <v>6.0</v>
      </c>
      <c r="H3569" s="9" t="s">
        <v>22</v>
      </c>
      <c r="I3569" s="9" t="s">
        <v>20</v>
      </c>
      <c r="J3569" s="10"/>
      <c r="K3569" s="14" t="s">
        <v>398</v>
      </c>
      <c r="N3569" s="14" t="str">
        <f>IFERROR(__xludf.DUMMYFUNCTION("""COMPUTED_VALUE"""),"")</f>
        <v/>
      </c>
      <c r="O3569" s="14"/>
    </row>
    <row r="3570" ht="22.5" hidden="1" customHeight="1">
      <c r="A3570" s="8">
        <v>46066.359239930556</v>
      </c>
      <c r="B3570" s="14">
        <v>46066.0</v>
      </c>
      <c r="C3570" s="9" t="s">
        <v>48</v>
      </c>
      <c r="D3570" s="9" t="s">
        <v>105</v>
      </c>
      <c r="E3570" s="9" t="s">
        <v>17</v>
      </c>
      <c r="F3570" s="9" t="s">
        <v>17</v>
      </c>
      <c r="G3570" s="9">
        <v>8.0</v>
      </c>
      <c r="H3570" s="9" t="s">
        <v>22</v>
      </c>
      <c r="I3570" s="9" t="s">
        <v>20</v>
      </c>
      <c r="J3570" s="10"/>
      <c r="K3570" s="14" t="s">
        <v>398</v>
      </c>
      <c r="N3570" s="14" t="str">
        <f>IFERROR(__xludf.DUMMYFUNCTION("""COMPUTED_VALUE"""),"")</f>
        <v/>
      </c>
      <c r="O3570" s="14"/>
    </row>
    <row r="3571" ht="22.5" hidden="1" customHeight="1">
      <c r="A3571" s="8">
        <v>46066.35951888889</v>
      </c>
      <c r="B3571" s="14">
        <v>46066.0</v>
      </c>
      <c r="C3571" s="9" t="s">
        <v>48</v>
      </c>
      <c r="D3571" s="9" t="s">
        <v>408</v>
      </c>
      <c r="E3571" s="9" t="s">
        <v>17</v>
      </c>
      <c r="F3571" s="9" t="s">
        <v>17</v>
      </c>
      <c r="G3571" s="9">
        <v>7.0</v>
      </c>
      <c r="H3571" s="9" t="s">
        <v>22</v>
      </c>
      <c r="I3571" s="9" t="s">
        <v>20</v>
      </c>
      <c r="J3571" s="10"/>
      <c r="K3571" s="14" t="s">
        <v>398</v>
      </c>
      <c r="N3571" s="14" t="str">
        <f>IFERROR(__xludf.DUMMYFUNCTION("""COMPUTED_VALUE"""),"")</f>
        <v/>
      </c>
      <c r="O3571" s="14"/>
    </row>
    <row r="3572" ht="22.5" hidden="1" customHeight="1">
      <c r="A3572" s="8">
        <v>46066.36024003472</v>
      </c>
      <c r="B3572" s="14">
        <v>46066.0</v>
      </c>
      <c r="C3572" s="9" t="s">
        <v>48</v>
      </c>
      <c r="D3572" s="9" t="s">
        <v>171</v>
      </c>
      <c r="E3572" s="9" t="s">
        <v>17</v>
      </c>
      <c r="F3572" s="9" t="s">
        <v>17</v>
      </c>
      <c r="G3572" s="9">
        <v>7.0</v>
      </c>
      <c r="H3572" s="9" t="s">
        <v>25</v>
      </c>
      <c r="I3572" s="9" t="s">
        <v>276</v>
      </c>
      <c r="J3572" s="10"/>
      <c r="K3572" s="14" t="s">
        <v>398</v>
      </c>
      <c r="N3572" s="14" t="str">
        <f>IFERROR(__xludf.DUMMYFUNCTION("""COMPUTED_VALUE"""),"")</f>
        <v/>
      </c>
      <c r="O3572" s="14"/>
    </row>
    <row r="3573" ht="22.5" hidden="1" customHeight="1">
      <c r="A3573" s="8">
        <v>46066.360482627315</v>
      </c>
      <c r="B3573" s="14">
        <v>46066.0</v>
      </c>
      <c r="C3573" s="9" t="s">
        <v>48</v>
      </c>
      <c r="D3573" s="9" t="s">
        <v>350</v>
      </c>
      <c r="E3573" s="9" t="s">
        <v>17</v>
      </c>
      <c r="F3573" s="9" t="s">
        <v>17</v>
      </c>
      <c r="G3573" s="9">
        <v>7.0</v>
      </c>
      <c r="H3573" s="9" t="s">
        <v>22</v>
      </c>
      <c r="I3573" s="9" t="s">
        <v>20</v>
      </c>
      <c r="J3573" s="10"/>
      <c r="K3573" s="14" t="s">
        <v>398</v>
      </c>
      <c r="N3573" s="14" t="str">
        <f>IFERROR(__xludf.DUMMYFUNCTION("""COMPUTED_VALUE"""),"")</f>
        <v/>
      </c>
      <c r="O3573" s="14"/>
    </row>
    <row r="3574" ht="22.5" hidden="1" customHeight="1">
      <c r="A3574" s="8">
        <v>46066.36070074074</v>
      </c>
      <c r="B3574" s="14">
        <v>46066.0</v>
      </c>
      <c r="C3574" s="9" t="s">
        <v>48</v>
      </c>
      <c r="D3574" s="9" t="s">
        <v>367</v>
      </c>
      <c r="E3574" s="9" t="s">
        <v>17</v>
      </c>
      <c r="F3574" s="9" t="s">
        <v>17</v>
      </c>
      <c r="G3574" s="9">
        <v>8.0</v>
      </c>
      <c r="H3574" s="9" t="s">
        <v>22</v>
      </c>
      <c r="I3574" s="9" t="s">
        <v>20</v>
      </c>
      <c r="J3574" s="10"/>
      <c r="K3574" s="14" t="s">
        <v>398</v>
      </c>
      <c r="N3574" s="14" t="str">
        <f>IFERROR(__xludf.DUMMYFUNCTION("""COMPUTED_VALUE"""),"")</f>
        <v/>
      </c>
      <c r="O3574" s="14"/>
    </row>
    <row r="3575" ht="22.5" hidden="1" customHeight="1">
      <c r="A3575" s="8">
        <v>46066.36089806713</v>
      </c>
      <c r="B3575" s="14">
        <v>46066.0</v>
      </c>
      <c r="C3575" s="9" t="s">
        <v>48</v>
      </c>
      <c r="D3575" s="9" t="s">
        <v>421</v>
      </c>
      <c r="E3575" s="9" t="s">
        <v>17</v>
      </c>
      <c r="F3575" s="9" t="s">
        <v>17</v>
      </c>
      <c r="G3575" s="9">
        <v>7.0</v>
      </c>
      <c r="H3575" s="9" t="s">
        <v>22</v>
      </c>
      <c r="I3575" s="9" t="s">
        <v>20</v>
      </c>
      <c r="J3575" s="10"/>
      <c r="K3575" s="14" t="s">
        <v>398</v>
      </c>
      <c r="N3575" s="14" t="str">
        <f>IFERROR(__xludf.DUMMYFUNCTION("""COMPUTED_VALUE"""),"")</f>
        <v/>
      </c>
      <c r="O3575" s="14"/>
    </row>
    <row r="3576" ht="22.5" hidden="1" customHeight="1">
      <c r="A3576" s="8">
        <v>46066.36147246527</v>
      </c>
      <c r="B3576" s="14">
        <v>46066.0</v>
      </c>
      <c r="C3576" s="9" t="s">
        <v>48</v>
      </c>
      <c r="D3576" s="9" t="s">
        <v>335</v>
      </c>
      <c r="E3576" s="9" t="s">
        <v>17</v>
      </c>
      <c r="F3576" s="9" t="s">
        <v>17</v>
      </c>
      <c r="G3576" s="9">
        <v>7.0</v>
      </c>
      <c r="H3576" s="9" t="s">
        <v>25</v>
      </c>
      <c r="I3576" s="9" t="s">
        <v>411</v>
      </c>
      <c r="J3576" s="10"/>
      <c r="K3576" s="14" t="s">
        <v>398</v>
      </c>
      <c r="N3576" s="14" t="str">
        <f>IFERROR(__xludf.DUMMYFUNCTION("""COMPUTED_VALUE"""),"")</f>
        <v/>
      </c>
      <c r="O3576" s="14"/>
    </row>
    <row r="3577" ht="22.5" hidden="1" customHeight="1">
      <c r="A3577" s="8">
        <v>46066.36229762732</v>
      </c>
      <c r="B3577" s="14">
        <v>46066.0</v>
      </c>
      <c r="C3577" s="9" t="s">
        <v>48</v>
      </c>
      <c r="D3577" s="9" t="s">
        <v>259</v>
      </c>
      <c r="E3577" s="9" t="s">
        <v>17</v>
      </c>
      <c r="F3577" s="9" t="s">
        <v>17</v>
      </c>
      <c r="G3577" s="9">
        <v>7.0</v>
      </c>
      <c r="H3577" s="9" t="s">
        <v>22</v>
      </c>
      <c r="I3577" s="9" t="s">
        <v>20</v>
      </c>
      <c r="J3577" s="10"/>
      <c r="K3577" s="14" t="s">
        <v>398</v>
      </c>
      <c r="N3577" s="14" t="str">
        <f>IFERROR(__xludf.DUMMYFUNCTION("""COMPUTED_VALUE"""),"")</f>
        <v/>
      </c>
      <c r="O3577" s="14"/>
    </row>
    <row r="3578" ht="22.5" hidden="1" customHeight="1">
      <c r="A3578" s="8">
        <v>46069.34967277778</v>
      </c>
      <c r="B3578" s="14">
        <v>46069.0</v>
      </c>
      <c r="C3578" s="9" t="s">
        <v>86</v>
      </c>
      <c r="D3578" s="9" t="s">
        <v>413</v>
      </c>
      <c r="E3578" s="9" t="s">
        <v>17</v>
      </c>
      <c r="F3578" s="9" t="s">
        <v>35</v>
      </c>
      <c r="G3578" s="9">
        <v>7.0</v>
      </c>
      <c r="H3578" s="9" t="s">
        <v>25</v>
      </c>
      <c r="I3578" s="9" t="s">
        <v>273</v>
      </c>
      <c r="J3578" s="10"/>
      <c r="K3578" s="14" t="s">
        <v>398</v>
      </c>
      <c r="N3578" s="14" t="str">
        <f>IFERROR(__xludf.DUMMYFUNCTION("""COMPUTED_VALUE"""),"")</f>
        <v/>
      </c>
      <c r="O3578" s="14"/>
    </row>
    <row r="3579" ht="22.5" hidden="1" customHeight="1">
      <c r="A3579" s="8">
        <v>46069.35032146991</v>
      </c>
      <c r="B3579" s="14">
        <v>46069.0</v>
      </c>
      <c r="C3579" s="9" t="s">
        <v>86</v>
      </c>
      <c r="D3579" s="9" t="s">
        <v>249</v>
      </c>
      <c r="E3579" s="9" t="s">
        <v>17</v>
      </c>
      <c r="F3579" s="9" t="s">
        <v>17</v>
      </c>
      <c r="G3579" s="9">
        <v>8.0</v>
      </c>
      <c r="H3579" s="9" t="s">
        <v>22</v>
      </c>
      <c r="I3579" s="9" t="s">
        <v>20</v>
      </c>
      <c r="J3579" s="10"/>
      <c r="K3579" s="14" t="s">
        <v>398</v>
      </c>
      <c r="N3579" s="14" t="str">
        <f>IFERROR(__xludf.DUMMYFUNCTION("""COMPUTED_VALUE"""),"")</f>
        <v/>
      </c>
      <c r="O3579" s="14"/>
    </row>
    <row r="3580" ht="22.5" hidden="1" customHeight="1">
      <c r="A3580" s="8">
        <v>46069.35110998843</v>
      </c>
      <c r="B3580" s="14">
        <v>46069.0</v>
      </c>
      <c r="C3580" s="9" t="s">
        <v>86</v>
      </c>
      <c r="D3580" s="9" t="s">
        <v>280</v>
      </c>
      <c r="E3580" s="9" t="s">
        <v>17</v>
      </c>
      <c r="F3580" s="9" t="s">
        <v>17</v>
      </c>
      <c r="G3580" s="9">
        <v>8.0</v>
      </c>
      <c r="H3580" s="9" t="s">
        <v>22</v>
      </c>
      <c r="I3580" s="9" t="s">
        <v>20</v>
      </c>
      <c r="J3580" s="10"/>
      <c r="K3580" s="14" t="s">
        <v>398</v>
      </c>
      <c r="N3580" s="14" t="str">
        <f>IFERROR(__xludf.DUMMYFUNCTION("""COMPUTED_VALUE"""),"")</f>
        <v/>
      </c>
      <c r="O3580" s="14"/>
    </row>
    <row r="3581" ht="22.5" hidden="1" customHeight="1">
      <c r="A3581" s="8">
        <v>46069.351443356485</v>
      </c>
      <c r="B3581" s="14">
        <v>46069.0</v>
      </c>
      <c r="C3581" s="9" t="s">
        <v>86</v>
      </c>
      <c r="D3581" s="9" t="s">
        <v>421</v>
      </c>
      <c r="E3581" s="9" t="s">
        <v>17</v>
      </c>
      <c r="F3581" s="9" t="s">
        <v>17</v>
      </c>
      <c r="G3581" s="9">
        <v>8.0</v>
      </c>
      <c r="H3581" s="9" t="s">
        <v>22</v>
      </c>
      <c r="I3581" s="9" t="s">
        <v>20</v>
      </c>
      <c r="J3581" s="10"/>
      <c r="K3581" s="14" t="s">
        <v>398</v>
      </c>
      <c r="N3581" s="14" t="str">
        <f>IFERROR(__xludf.DUMMYFUNCTION("""COMPUTED_VALUE"""),"")</f>
        <v/>
      </c>
      <c r="O3581" s="14"/>
    </row>
    <row r="3582" ht="22.5" hidden="1" customHeight="1">
      <c r="A3582" s="8">
        <v>46069.35184747685</v>
      </c>
      <c r="B3582" s="14">
        <v>46069.0</v>
      </c>
      <c r="C3582" s="9" t="s">
        <v>86</v>
      </c>
      <c r="D3582" s="9" t="s">
        <v>408</v>
      </c>
      <c r="E3582" s="9" t="s">
        <v>17</v>
      </c>
      <c r="F3582" s="9" t="s">
        <v>17</v>
      </c>
      <c r="G3582" s="9">
        <v>7.0</v>
      </c>
      <c r="H3582" s="9" t="s">
        <v>22</v>
      </c>
      <c r="I3582" s="9" t="s">
        <v>20</v>
      </c>
      <c r="J3582" s="10"/>
      <c r="K3582" s="14" t="s">
        <v>398</v>
      </c>
      <c r="N3582" s="14" t="str">
        <f>IFERROR(__xludf.DUMMYFUNCTION("""COMPUTED_VALUE"""),"")</f>
        <v/>
      </c>
      <c r="O3582" s="14"/>
    </row>
    <row r="3583" ht="22.5" hidden="1" customHeight="1">
      <c r="A3583" s="8">
        <v>46069.352789236116</v>
      </c>
      <c r="B3583" s="14">
        <v>46069.0</v>
      </c>
      <c r="C3583" s="9" t="s">
        <v>86</v>
      </c>
      <c r="D3583" s="9" t="s">
        <v>171</v>
      </c>
      <c r="E3583" s="9" t="s">
        <v>46</v>
      </c>
      <c r="F3583" s="9" t="s">
        <v>60</v>
      </c>
      <c r="G3583" s="9">
        <v>6.0</v>
      </c>
      <c r="H3583" s="9" t="s">
        <v>22</v>
      </c>
      <c r="I3583" s="9" t="s">
        <v>20</v>
      </c>
      <c r="J3583" s="10"/>
      <c r="K3583" s="14" t="s">
        <v>398</v>
      </c>
      <c r="N3583" s="14" t="str">
        <f>IFERROR(__xludf.DUMMYFUNCTION("""COMPUTED_VALUE"""),"")</f>
        <v/>
      </c>
      <c r="O3583" s="14"/>
    </row>
    <row r="3584" ht="22.5" hidden="1" customHeight="1">
      <c r="A3584" s="8">
        <v>46069.35316309027</v>
      </c>
      <c r="B3584" s="14">
        <v>46069.0</v>
      </c>
      <c r="C3584" s="9" t="s">
        <v>86</v>
      </c>
      <c r="D3584" s="9" t="s">
        <v>105</v>
      </c>
      <c r="E3584" s="9" t="s">
        <v>17</v>
      </c>
      <c r="F3584" s="9" t="s">
        <v>17</v>
      </c>
      <c r="G3584" s="9">
        <v>8.0</v>
      </c>
      <c r="H3584" s="9" t="s">
        <v>22</v>
      </c>
      <c r="I3584" s="9" t="s">
        <v>20</v>
      </c>
      <c r="J3584" s="10"/>
      <c r="K3584" s="14" t="s">
        <v>398</v>
      </c>
      <c r="N3584" s="14" t="str">
        <f>IFERROR(__xludf.DUMMYFUNCTION("""COMPUTED_VALUE"""),"")</f>
        <v/>
      </c>
      <c r="O3584" s="14"/>
    </row>
    <row r="3585" ht="22.5" hidden="1" customHeight="1">
      <c r="A3585" s="8">
        <v>46069.35350427083</v>
      </c>
      <c r="B3585" s="14">
        <v>46069.0</v>
      </c>
      <c r="C3585" s="9" t="s">
        <v>86</v>
      </c>
      <c r="D3585" s="9" t="s">
        <v>393</v>
      </c>
      <c r="E3585" s="9" t="s">
        <v>17</v>
      </c>
      <c r="F3585" s="9" t="s">
        <v>17</v>
      </c>
      <c r="G3585" s="9">
        <v>6.0</v>
      </c>
      <c r="H3585" s="9" t="s">
        <v>22</v>
      </c>
      <c r="I3585" s="9" t="s">
        <v>20</v>
      </c>
      <c r="J3585" s="10"/>
      <c r="K3585" s="14" t="s">
        <v>398</v>
      </c>
      <c r="N3585" s="14" t="str">
        <f>IFERROR(__xludf.DUMMYFUNCTION("""COMPUTED_VALUE"""),"")</f>
        <v/>
      </c>
      <c r="O3585" s="14"/>
    </row>
    <row r="3586" ht="22.5" hidden="1" customHeight="1">
      <c r="A3586" s="8">
        <v>46069.35595680556</v>
      </c>
      <c r="B3586" s="14">
        <v>46069.0</v>
      </c>
      <c r="C3586" s="9" t="s">
        <v>86</v>
      </c>
      <c r="D3586" s="9" t="s">
        <v>412</v>
      </c>
      <c r="E3586" s="9" t="s">
        <v>17</v>
      </c>
      <c r="F3586" s="9" t="s">
        <v>17</v>
      </c>
      <c r="G3586" s="9">
        <v>8.0</v>
      </c>
      <c r="H3586" s="9" t="s">
        <v>22</v>
      </c>
      <c r="I3586" s="9" t="s">
        <v>20</v>
      </c>
      <c r="J3586" s="10"/>
      <c r="K3586" s="14" t="s">
        <v>398</v>
      </c>
      <c r="N3586" s="14" t="str">
        <f>IFERROR(__xludf.DUMMYFUNCTION("""COMPUTED_VALUE"""),"")</f>
        <v/>
      </c>
      <c r="O3586" s="14"/>
    </row>
    <row r="3587" ht="22.5" hidden="1" customHeight="1">
      <c r="A3587" s="8">
        <v>46069.35887778935</v>
      </c>
      <c r="B3587" s="14">
        <v>46069.0</v>
      </c>
      <c r="C3587" s="9" t="s">
        <v>86</v>
      </c>
      <c r="D3587" s="9" t="s">
        <v>177</v>
      </c>
      <c r="E3587" s="9" t="s">
        <v>17</v>
      </c>
      <c r="F3587" s="9" t="s">
        <v>17</v>
      </c>
      <c r="G3587" s="9">
        <v>7.0</v>
      </c>
      <c r="H3587" s="9" t="s">
        <v>22</v>
      </c>
      <c r="I3587" s="9" t="s">
        <v>20</v>
      </c>
      <c r="J3587" s="10"/>
      <c r="K3587" s="14" t="s">
        <v>398</v>
      </c>
      <c r="N3587" s="14" t="str">
        <f>IFERROR(__xludf.DUMMYFUNCTION("""COMPUTED_VALUE"""),"")</f>
        <v/>
      </c>
      <c r="O3587" s="14"/>
    </row>
    <row r="3588" ht="22.5" hidden="1" customHeight="1">
      <c r="A3588" s="8">
        <v>46069.35917084491</v>
      </c>
      <c r="B3588" s="14">
        <v>46069.0</v>
      </c>
      <c r="C3588" s="9" t="s">
        <v>86</v>
      </c>
      <c r="D3588" s="9" t="s">
        <v>258</v>
      </c>
      <c r="E3588" s="9" t="s">
        <v>17</v>
      </c>
      <c r="F3588" s="9" t="s">
        <v>17</v>
      </c>
      <c r="G3588" s="9">
        <v>6.0</v>
      </c>
      <c r="H3588" s="9" t="s">
        <v>22</v>
      </c>
      <c r="I3588" s="9" t="s">
        <v>20</v>
      </c>
      <c r="J3588" s="10"/>
      <c r="K3588" s="14" t="s">
        <v>398</v>
      </c>
      <c r="N3588" s="14" t="str">
        <f>IFERROR(__xludf.DUMMYFUNCTION("""COMPUTED_VALUE"""),"")</f>
        <v/>
      </c>
      <c r="O3588" s="14"/>
    </row>
    <row r="3589" ht="22.5" hidden="1" customHeight="1">
      <c r="A3589" s="8">
        <v>46069.35966353009</v>
      </c>
      <c r="B3589" s="14">
        <v>46069.0</v>
      </c>
      <c r="C3589" s="9" t="s">
        <v>86</v>
      </c>
      <c r="D3589" s="9" t="s">
        <v>257</v>
      </c>
      <c r="E3589" s="9" t="s">
        <v>17</v>
      </c>
      <c r="F3589" s="9" t="s">
        <v>17</v>
      </c>
      <c r="G3589" s="9">
        <v>7.0</v>
      </c>
      <c r="H3589" s="9" t="s">
        <v>25</v>
      </c>
      <c r="I3589" s="9" t="s">
        <v>117</v>
      </c>
      <c r="J3589" s="10"/>
      <c r="K3589" s="14" t="s">
        <v>398</v>
      </c>
      <c r="N3589" s="14" t="str">
        <f>IFERROR(__xludf.DUMMYFUNCTION("""COMPUTED_VALUE"""),"")</f>
        <v/>
      </c>
      <c r="O3589" s="14"/>
    </row>
    <row r="3590" ht="22.5" hidden="1" customHeight="1">
      <c r="A3590" s="8">
        <v>46069.360100034726</v>
      </c>
      <c r="B3590" s="14">
        <v>46069.0</v>
      </c>
      <c r="C3590" s="9" t="s">
        <v>86</v>
      </c>
      <c r="D3590" s="9" t="s">
        <v>350</v>
      </c>
      <c r="E3590" s="9" t="s">
        <v>17</v>
      </c>
      <c r="F3590" s="9" t="s">
        <v>18</v>
      </c>
      <c r="G3590" s="9">
        <v>7.0</v>
      </c>
      <c r="H3590" s="9" t="s">
        <v>22</v>
      </c>
      <c r="I3590" s="9" t="s">
        <v>20</v>
      </c>
      <c r="J3590" s="10"/>
      <c r="K3590" s="14" t="s">
        <v>398</v>
      </c>
      <c r="N3590" s="14" t="str">
        <f>IFERROR(__xludf.DUMMYFUNCTION("""COMPUTED_VALUE"""),"")</f>
        <v/>
      </c>
      <c r="O3590" s="14"/>
    </row>
    <row r="3591" ht="22.5" hidden="1" customHeight="1">
      <c r="A3591" s="8">
        <v>46069.36086137731</v>
      </c>
      <c r="B3591" s="14">
        <v>46069.0</v>
      </c>
      <c r="C3591" s="9" t="s">
        <v>86</v>
      </c>
      <c r="D3591" s="9" t="s">
        <v>395</v>
      </c>
      <c r="E3591" s="9" t="s">
        <v>17</v>
      </c>
      <c r="F3591" s="9" t="s">
        <v>17</v>
      </c>
      <c r="G3591" s="9">
        <v>7.0</v>
      </c>
      <c r="H3591" s="9" t="s">
        <v>22</v>
      </c>
      <c r="I3591" s="9" t="s">
        <v>20</v>
      </c>
      <c r="J3591" s="10"/>
      <c r="K3591" s="14" t="s">
        <v>398</v>
      </c>
      <c r="N3591" s="14" t="str">
        <f>IFERROR(__xludf.DUMMYFUNCTION("""COMPUTED_VALUE"""),"")</f>
        <v/>
      </c>
      <c r="O3591" s="14"/>
    </row>
    <row r="3592" ht="22.5" hidden="1" customHeight="1">
      <c r="A3592" s="8">
        <v>46069.361580578705</v>
      </c>
      <c r="B3592" s="14">
        <v>46069.0</v>
      </c>
      <c r="C3592" s="9" t="s">
        <v>86</v>
      </c>
      <c r="D3592" s="9" t="s">
        <v>174</v>
      </c>
      <c r="E3592" s="9" t="s">
        <v>17</v>
      </c>
      <c r="F3592" s="9" t="s">
        <v>35</v>
      </c>
      <c r="G3592" s="9">
        <v>7.0</v>
      </c>
      <c r="H3592" s="9" t="s">
        <v>22</v>
      </c>
      <c r="I3592" s="9" t="s">
        <v>20</v>
      </c>
      <c r="J3592" s="10"/>
      <c r="K3592" s="14" t="s">
        <v>398</v>
      </c>
      <c r="N3592" s="14" t="str">
        <f>IFERROR(__xludf.DUMMYFUNCTION("""COMPUTED_VALUE"""),"")</f>
        <v/>
      </c>
      <c r="O3592" s="14"/>
    </row>
    <row r="3593" ht="22.5" hidden="1" customHeight="1">
      <c r="A3593" s="8">
        <v>46069.36317372685</v>
      </c>
      <c r="B3593" s="14">
        <v>46069.0</v>
      </c>
      <c r="C3593" s="9" t="s">
        <v>86</v>
      </c>
      <c r="D3593" s="9" t="s">
        <v>414</v>
      </c>
      <c r="E3593" s="9" t="s">
        <v>17</v>
      </c>
      <c r="F3593" s="9" t="s">
        <v>17</v>
      </c>
      <c r="G3593" s="9">
        <v>7.0</v>
      </c>
      <c r="H3593" s="9" t="s">
        <v>22</v>
      </c>
      <c r="I3593" s="9" t="s">
        <v>20</v>
      </c>
      <c r="J3593" s="10"/>
      <c r="K3593" s="14" t="s">
        <v>398</v>
      </c>
      <c r="N3593" s="14" t="str">
        <f>IFERROR(__xludf.DUMMYFUNCTION("""COMPUTED_VALUE"""),"")</f>
        <v/>
      </c>
      <c r="O3593" s="14"/>
    </row>
    <row r="3594" ht="22.5" hidden="1" customHeight="1">
      <c r="A3594" s="8">
        <v>46069.36841015046</v>
      </c>
      <c r="B3594" s="14">
        <v>46069.0</v>
      </c>
      <c r="C3594" s="9" t="s">
        <v>86</v>
      </c>
      <c r="D3594" s="9" t="s">
        <v>394</v>
      </c>
      <c r="E3594" s="9" t="s">
        <v>46</v>
      </c>
      <c r="F3594" s="9" t="s">
        <v>17</v>
      </c>
      <c r="G3594" s="9">
        <v>7.0</v>
      </c>
      <c r="H3594" s="9" t="s">
        <v>22</v>
      </c>
      <c r="I3594" s="9" t="s">
        <v>20</v>
      </c>
      <c r="J3594" s="10"/>
      <c r="K3594" s="14" t="s">
        <v>398</v>
      </c>
      <c r="N3594" s="14" t="str">
        <f>IFERROR(__xludf.DUMMYFUNCTION("""COMPUTED_VALUE"""),"")</f>
        <v/>
      </c>
      <c r="O3594" s="14"/>
    </row>
    <row r="3595" ht="22.5" hidden="1" customHeight="1">
      <c r="A3595" s="8">
        <v>46069.3751665625</v>
      </c>
      <c r="B3595" s="14">
        <v>46069.0</v>
      </c>
      <c r="C3595" s="9" t="s">
        <v>86</v>
      </c>
      <c r="D3595" s="9" t="s">
        <v>178</v>
      </c>
      <c r="E3595" s="9" t="s">
        <v>61</v>
      </c>
      <c r="F3595" s="9" t="s">
        <v>17</v>
      </c>
      <c r="G3595" s="9">
        <v>7.0</v>
      </c>
      <c r="H3595" s="9" t="s">
        <v>62</v>
      </c>
      <c r="I3595" s="9" t="s">
        <v>422</v>
      </c>
      <c r="J3595" s="10"/>
      <c r="K3595" s="14" t="s">
        <v>398</v>
      </c>
      <c r="N3595" s="14" t="str">
        <f>IFERROR(__xludf.DUMMYFUNCTION("""COMPUTED_VALUE"""),"")</f>
        <v/>
      </c>
      <c r="O3595" s="14"/>
    </row>
    <row r="3596" ht="22.5" hidden="1" customHeight="1">
      <c r="A3596" s="8">
        <v>46069.375917627316</v>
      </c>
      <c r="B3596" s="14">
        <v>46069.0</v>
      </c>
      <c r="C3596" s="9" t="s">
        <v>86</v>
      </c>
      <c r="D3596" s="9" t="s">
        <v>357</v>
      </c>
      <c r="E3596" s="9" t="s">
        <v>46</v>
      </c>
      <c r="F3596" s="9" t="s">
        <v>60</v>
      </c>
      <c r="G3596" s="9">
        <v>6.0</v>
      </c>
      <c r="H3596" s="9" t="s">
        <v>25</v>
      </c>
      <c r="I3596" s="9" t="s">
        <v>273</v>
      </c>
      <c r="J3596" s="10"/>
      <c r="K3596" s="14" t="s">
        <v>398</v>
      </c>
      <c r="N3596" s="14" t="str">
        <f>IFERROR(__xludf.DUMMYFUNCTION("""COMPUTED_VALUE"""),"")</f>
        <v/>
      </c>
      <c r="O3596" s="14"/>
    </row>
    <row r="3597" ht="22.5" hidden="1" customHeight="1">
      <c r="A3597" s="8">
        <v>46069.37647711806</v>
      </c>
      <c r="B3597" s="14">
        <v>46069.0</v>
      </c>
      <c r="C3597" s="9" t="s">
        <v>86</v>
      </c>
      <c r="D3597" s="9" t="s">
        <v>210</v>
      </c>
      <c r="E3597" s="9" t="s">
        <v>17</v>
      </c>
      <c r="F3597" s="9" t="s">
        <v>39</v>
      </c>
      <c r="G3597" s="9">
        <v>6.0</v>
      </c>
      <c r="H3597" s="9" t="s">
        <v>22</v>
      </c>
      <c r="I3597" s="9" t="s">
        <v>20</v>
      </c>
      <c r="J3597" s="10"/>
      <c r="K3597" s="14" t="s">
        <v>398</v>
      </c>
      <c r="N3597" s="14" t="str">
        <f>IFERROR(__xludf.DUMMYFUNCTION("""COMPUTED_VALUE"""),"")</f>
        <v/>
      </c>
      <c r="O3597" s="14"/>
    </row>
    <row r="3598" ht="22.5" hidden="1" customHeight="1">
      <c r="A3598" s="8">
        <v>46069.37727722222</v>
      </c>
      <c r="B3598" s="14">
        <v>46069.0</v>
      </c>
      <c r="C3598" s="9" t="s">
        <v>86</v>
      </c>
      <c r="D3598" s="9" t="s">
        <v>367</v>
      </c>
      <c r="E3598" s="9" t="s">
        <v>17</v>
      </c>
      <c r="F3598" s="9" t="s">
        <v>17</v>
      </c>
      <c r="G3598" s="9">
        <v>7.0</v>
      </c>
      <c r="H3598" s="9" t="s">
        <v>17</v>
      </c>
      <c r="I3598" s="9" t="s">
        <v>20</v>
      </c>
      <c r="J3598" s="10"/>
      <c r="K3598" s="14" t="s">
        <v>398</v>
      </c>
      <c r="N3598" s="14" t="str">
        <f>IFERROR(__xludf.DUMMYFUNCTION("""COMPUTED_VALUE"""),"")</f>
        <v/>
      </c>
      <c r="O3598" s="14"/>
    </row>
    <row r="3599" ht="22.5" hidden="1" customHeight="1">
      <c r="A3599" s="8">
        <v>46069.37791738426</v>
      </c>
      <c r="B3599" s="14">
        <v>46069.0</v>
      </c>
      <c r="C3599" s="9" t="s">
        <v>86</v>
      </c>
      <c r="D3599" s="9" t="s">
        <v>175</v>
      </c>
      <c r="E3599" s="9" t="s">
        <v>17</v>
      </c>
      <c r="F3599" s="9" t="s">
        <v>17</v>
      </c>
      <c r="G3599" s="9">
        <v>7.0</v>
      </c>
      <c r="H3599" s="9" t="s">
        <v>22</v>
      </c>
      <c r="I3599" s="9" t="s">
        <v>20</v>
      </c>
      <c r="J3599" s="10"/>
      <c r="K3599" s="14" t="s">
        <v>398</v>
      </c>
      <c r="N3599" s="14" t="str">
        <f>IFERROR(__xludf.DUMMYFUNCTION("""COMPUTED_VALUE"""),"")</f>
        <v/>
      </c>
      <c r="O3599" s="14"/>
    </row>
    <row r="3600" ht="22.5" hidden="1" customHeight="1">
      <c r="A3600" s="8">
        <v>46069.37864599537</v>
      </c>
      <c r="B3600" s="14">
        <v>46069.0</v>
      </c>
      <c r="C3600" s="9" t="s">
        <v>86</v>
      </c>
      <c r="D3600" s="9" t="s">
        <v>259</v>
      </c>
      <c r="E3600" s="9" t="s">
        <v>46</v>
      </c>
      <c r="F3600" s="9" t="s">
        <v>43</v>
      </c>
      <c r="G3600" s="9" t="s">
        <v>409</v>
      </c>
      <c r="H3600" s="9" t="s">
        <v>17</v>
      </c>
      <c r="I3600" s="9" t="s">
        <v>20</v>
      </c>
      <c r="J3600" s="10"/>
      <c r="K3600" s="14" t="s">
        <v>398</v>
      </c>
      <c r="N3600" s="14" t="str">
        <f>IFERROR(__xludf.DUMMYFUNCTION("""COMPUTED_VALUE"""),"")</f>
        <v/>
      </c>
      <c r="O3600" s="14"/>
    </row>
    <row r="3601" ht="22.5" hidden="1" customHeight="1">
      <c r="A3601" s="8">
        <v>46069.379516932866</v>
      </c>
      <c r="B3601" s="14">
        <v>46069.0</v>
      </c>
      <c r="C3601" s="9" t="s">
        <v>86</v>
      </c>
      <c r="D3601" s="9" t="s">
        <v>335</v>
      </c>
      <c r="E3601" s="9" t="s">
        <v>61</v>
      </c>
      <c r="F3601" s="9" t="s">
        <v>17</v>
      </c>
      <c r="G3601" s="9">
        <v>6.0</v>
      </c>
      <c r="H3601" s="9" t="s">
        <v>25</v>
      </c>
      <c r="I3601" s="9" t="s">
        <v>211</v>
      </c>
      <c r="J3601" s="10"/>
      <c r="K3601" s="14" t="s">
        <v>398</v>
      </c>
      <c r="N3601" s="14" t="str">
        <f>IFERROR(__xludf.DUMMYFUNCTION("""COMPUTED_VALUE"""),"")</f>
        <v/>
      </c>
      <c r="O3601" s="14"/>
    </row>
    <row r="3602" ht="22.5" hidden="1" customHeight="1">
      <c r="A3602" s="8">
        <v>46069.38006393518</v>
      </c>
      <c r="B3602" s="14">
        <v>46069.0</v>
      </c>
      <c r="C3602" s="9" t="s">
        <v>86</v>
      </c>
      <c r="D3602" s="9" t="s">
        <v>396</v>
      </c>
      <c r="E3602" s="9" t="s">
        <v>61</v>
      </c>
      <c r="F3602" s="9" t="s">
        <v>17</v>
      </c>
      <c r="G3602" s="9">
        <v>7.0</v>
      </c>
      <c r="H3602" s="9" t="s">
        <v>22</v>
      </c>
      <c r="I3602" s="9" t="s">
        <v>20</v>
      </c>
      <c r="J3602" s="10"/>
      <c r="K3602" s="14" t="s">
        <v>398</v>
      </c>
      <c r="N3602" s="14" t="str">
        <f>IFERROR(__xludf.DUMMYFUNCTION("""COMPUTED_VALUE"""),"")</f>
        <v/>
      </c>
      <c r="O3602" s="14"/>
    </row>
    <row r="3603" ht="22.5" hidden="1" customHeight="1">
      <c r="A3603" s="8">
        <v>46069.38048395833</v>
      </c>
      <c r="B3603" s="14">
        <v>46069.0</v>
      </c>
      <c r="C3603" s="9" t="s">
        <v>86</v>
      </c>
      <c r="D3603" s="9" t="s">
        <v>247</v>
      </c>
      <c r="E3603" s="9" t="s">
        <v>17</v>
      </c>
      <c r="F3603" s="9" t="s">
        <v>17</v>
      </c>
      <c r="G3603" s="9">
        <v>7.0</v>
      </c>
      <c r="H3603" s="9" t="s">
        <v>22</v>
      </c>
      <c r="I3603" s="9" t="s">
        <v>20</v>
      </c>
      <c r="J3603" s="10"/>
      <c r="K3603" s="14" t="s">
        <v>398</v>
      </c>
      <c r="N3603" s="14" t="str">
        <f>IFERROR(__xludf.DUMMYFUNCTION("""COMPUTED_VALUE"""),"")</f>
        <v/>
      </c>
      <c r="O3603" s="14"/>
    </row>
    <row r="3604" ht="22.5" hidden="1" customHeight="1">
      <c r="A3604" s="8">
        <v>46069.38264577546</v>
      </c>
      <c r="B3604" s="14">
        <v>46069.0</v>
      </c>
      <c r="C3604" s="9" t="s">
        <v>86</v>
      </c>
      <c r="D3604" s="9" t="s">
        <v>423</v>
      </c>
      <c r="E3604" s="9" t="s">
        <v>17</v>
      </c>
      <c r="F3604" s="9" t="s">
        <v>35</v>
      </c>
      <c r="G3604" s="9">
        <v>7.0</v>
      </c>
      <c r="H3604" s="9" t="s">
        <v>22</v>
      </c>
      <c r="I3604" s="9" t="s">
        <v>20</v>
      </c>
      <c r="J3604" s="10"/>
      <c r="K3604" s="14" t="s">
        <v>398</v>
      </c>
      <c r="N3604" s="14" t="str">
        <f>IFERROR(__xludf.DUMMYFUNCTION("""COMPUTED_VALUE"""),"")</f>
        <v/>
      </c>
      <c r="O3604" s="14"/>
    </row>
    <row r="3605" ht="22.5" hidden="1" customHeight="1">
      <c r="A3605" s="8">
        <v>46069.39083478009</v>
      </c>
      <c r="B3605" s="14">
        <v>46069.0</v>
      </c>
      <c r="C3605" s="9" t="s">
        <v>86</v>
      </c>
      <c r="D3605" s="9" t="s">
        <v>369</v>
      </c>
      <c r="E3605" s="9" t="s">
        <v>17</v>
      </c>
      <c r="F3605" s="9" t="s">
        <v>17</v>
      </c>
      <c r="G3605" s="9">
        <v>6.0</v>
      </c>
      <c r="H3605" s="9" t="s">
        <v>22</v>
      </c>
      <c r="I3605" s="9" t="s">
        <v>20</v>
      </c>
      <c r="J3605" s="10"/>
      <c r="K3605" s="14" t="s">
        <v>398</v>
      </c>
      <c r="N3605" s="14" t="str">
        <f>IFERROR(__xludf.DUMMYFUNCTION("""COMPUTED_VALUE"""),"")</f>
        <v/>
      </c>
      <c r="O3605" s="14"/>
    </row>
    <row r="3606" ht="22.5" hidden="1" customHeight="1">
      <c r="A3606" s="8">
        <v>46070.33868269676</v>
      </c>
      <c r="B3606" s="14">
        <v>46070.0</v>
      </c>
      <c r="C3606" s="9" t="s">
        <v>86</v>
      </c>
      <c r="D3606" s="9" t="s">
        <v>412</v>
      </c>
      <c r="E3606" s="9" t="s">
        <v>17</v>
      </c>
      <c r="F3606" s="9" t="s">
        <v>17</v>
      </c>
      <c r="G3606" s="9">
        <v>8.0</v>
      </c>
      <c r="H3606" s="9" t="s">
        <v>17</v>
      </c>
      <c r="I3606" s="9" t="s">
        <v>20</v>
      </c>
      <c r="J3606" s="10"/>
      <c r="K3606" s="14">
        <v>3.0</v>
      </c>
      <c r="N3606" s="14" t="str">
        <f>IFERROR(__xludf.DUMMYFUNCTION("""COMPUTED_VALUE"""),"")</f>
        <v/>
      </c>
      <c r="O3606" s="14"/>
    </row>
    <row r="3607" ht="22.5" hidden="1" customHeight="1">
      <c r="A3607" s="8">
        <v>46070.3393980324</v>
      </c>
      <c r="B3607" s="14">
        <v>46070.0</v>
      </c>
      <c r="C3607" s="9" t="s">
        <v>110</v>
      </c>
      <c r="D3607" s="9" t="s">
        <v>249</v>
      </c>
      <c r="E3607" s="9" t="s">
        <v>140</v>
      </c>
      <c r="F3607" s="9" t="s">
        <v>35</v>
      </c>
      <c r="G3607" s="9">
        <v>8.0</v>
      </c>
      <c r="H3607" s="9" t="s">
        <v>25</v>
      </c>
      <c r="I3607" s="9" t="s">
        <v>89</v>
      </c>
      <c r="J3607" s="10"/>
      <c r="K3607" s="14" t="s">
        <v>398</v>
      </c>
      <c r="N3607" s="14" t="str">
        <f>IFERROR(__xludf.DUMMYFUNCTION("""COMPUTED_VALUE"""),"")</f>
        <v/>
      </c>
      <c r="O3607" s="14"/>
    </row>
    <row r="3608" ht="22.5" hidden="1" customHeight="1">
      <c r="A3608" s="8">
        <v>46070.343099363425</v>
      </c>
      <c r="B3608" s="14">
        <v>46070.0</v>
      </c>
      <c r="C3608" s="9" t="s">
        <v>110</v>
      </c>
      <c r="D3608" s="9" t="s">
        <v>177</v>
      </c>
      <c r="E3608" s="9" t="s">
        <v>17</v>
      </c>
      <c r="F3608" s="9" t="s">
        <v>17</v>
      </c>
      <c r="G3608" s="9">
        <v>6.0</v>
      </c>
      <c r="H3608" s="9" t="s">
        <v>22</v>
      </c>
      <c r="I3608" s="9" t="s">
        <v>20</v>
      </c>
      <c r="J3608" s="10"/>
      <c r="K3608" s="14" t="s">
        <v>398</v>
      </c>
      <c r="N3608" s="14" t="str">
        <f>IFERROR(__xludf.DUMMYFUNCTION("""COMPUTED_VALUE"""),"")</f>
        <v/>
      </c>
      <c r="O3608" s="14"/>
    </row>
    <row r="3609" ht="22.5" hidden="1" customHeight="1">
      <c r="A3609" s="8">
        <v>46070.343634432866</v>
      </c>
      <c r="B3609" s="14">
        <v>46070.0</v>
      </c>
      <c r="C3609" s="9" t="s">
        <v>110</v>
      </c>
      <c r="D3609" s="9" t="s">
        <v>413</v>
      </c>
      <c r="E3609" s="9" t="s">
        <v>17</v>
      </c>
      <c r="F3609" s="9" t="s">
        <v>35</v>
      </c>
      <c r="G3609" s="9">
        <v>8.0</v>
      </c>
      <c r="H3609" s="9" t="s">
        <v>25</v>
      </c>
      <c r="I3609" s="9" t="s">
        <v>273</v>
      </c>
      <c r="J3609" s="10"/>
      <c r="K3609" s="14" t="s">
        <v>398</v>
      </c>
      <c r="N3609" s="14" t="str">
        <f>IFERROR(__xludf.DUMMYFUNCTION("""COMPUTED_VALUE"""),"")</f>
        <v/>
      </c>
      <c r="O3609" s="14"/>
    </row>
    <row r="3610" ht="22.5" hidden="1" customHeight="1">
      <c r="A3610" s="8">
        <v>46070.34469827546</v>
      </c>
      <c r="B3610" s="14">
        <v>46070.0</v>
      </c>
      <c r="C3610" s="9" t="s">
        <v>110</v>
      </c>
      <c r="D3610" s="9" t="s">
        <v>280</v>
      </c>
      <c r="E3610" s="9" t="s">
        <v>17</v>
      </c>
      <c r="F3610" s="9" t="s">
        <v>17</v>
      </c>
      <c r="G3610" s="9">
        <v>8.0</v>
      </c>
      <c r="H3610" s="9" t="s">
        <v>17</v>
      </c>
      <c r="I3610" s="9" t="s">
        <v>20</v>
      </c>
      <c r="J3610" s="10"/>
      <c r="K3610" s="14" t="s">
        <v>398</v>
      </c>
      <c r="N3610" s="14" t="str">
        <f>IFERROR(__xludf.DUMMYFUNCTION("""COMPUTED_VALUE"""),"")</f>
        <v/>
      </c>
      <c r="O3610" s="14"/>
    </row>
    <row r="3611" ht="22.5" hidden="1" customHeight="1">
      <c r="A3611" s="8">
        <v>46070.346111875</v>
      </c>
      <c r="B3611" s="14">
        <v>46070.0</v>
      </c>
      <c r="C3611" s="9" t="s">
        <v>110</v>
      </c>
      <c r="D3611" s="9" t="s">
        <v>105</v>
      </c>
      <c r="E3611" s="9" t="s">
        <v>17</v>
      </c>
      <c r="F3611" s="9" t="s">
        <v>17</v>
      </c>
      <c r="G3611" s="9">
        <v>8.0</v>
      </c>
      <c r="H3611" s="9" t="s">
        <v>22</v>
      </c>
      <c r="I3611" s="9" t="s">
        <v>20</v>
      </c>
      <c r="J3611" s="10"/>
      <c r="K3611" s="14" t="s">
        <v>398</v>
      </c>
      <c r="N3611" s="14" t="str">
        <f>IFERROR(__xludf.DUMMYFUNCTION("""COMPUTED_VALUE"""),"")</f>
        <v/>
      </c>
      <c r="O3611" s="14"/>
    </row>
    <row r="3612" ht="22.5" hidden="1" customHeight="1">
      <c r="A3612" s="8">
        <v>46070.34671861111</v>
      </c>
      <c r="B3612" s="14">
        <v>46070.0</v>
      </c>
      <c r="C3612" s="9" t="s">
        <v>110</v>
      </c>
      <c r="D3612" s="9" t="s">
        <v>414</v>
      </c>
      <c r="E3612" s="9" t="s">
        <v>17</v>
      </c>
      <c r="F3612" s="9" t="s">
        <v>18</v>
      </c>
      <c r="G3612" s="9">
        <v>7.0</v>
      </c>
      <c r="H3612" s="9" t="s">
        <v>22</v>
      </c>
      <c r="I3612" s="9" t="s">
        <v>20</v>
      </c>
      <c r="J3612" s="10"/>
      <c r="K3612" s="14" t="s">
        <v>398</v>
      </c>
      <c r="N3612" s="14" t="str">
        <f>IFERROR(__xludf.DUMMYFUNCTION("""COMPUTED_VALUE"""),"")</f>
        <v/>
      </c>
      <c r="O3612" s="14"/>
    </row>
    <row r="3613" ht="22.5" hidden="1" customHeight="1">
      <c r="A3613" s="8">
        <v>46070.347574259256</v>
      </c>
      <c r="B3613" s="14">
        <v>46070.0</v>
      </c>
      <c r="C3613" s="9" t="s">
        <v>110</v>
      </c>
      <c r="D3613" s="9" t="s">
        <v>423</v>
      </c>
      <c r="E3613" s="9" t="s">
        <v>140</v>
      </c>
      <c r="F3613" s="9" t="s">
        <v>39</v>
      </c>
      <c r="G3613" s="9" t="s">
        <v>410</v>
      </c>
      <c r="H3613" s="9" t="s">
        <v>62</v>
      </c>
      <c r="I3613" s="9" t="s">
        <v>20</v>
      </c>
      <c r="J3613" s="10"/>
      <c r="K3613" s="14" t="s">
        <v>398</v>
      </c>
      <c r="N3613" s="14" t="str">
        <f>IFERROR(__xludf.DUMMYFUNCTION("""COMPUTED_VALUE"""),"")</f>
        <v/>
      </c>
      <c r="O3613" s="14"/>
    </row>
    <row r="3614" ht="22.5" hidden="1" customHeight="1">
      <c r="A3614" s="8">
        <v>46070.348268773145</v>
      </c>
      <c r="B3614" s="14">
        <v>46070.0</v>
      </c>
      <c r="C3614" s="9" t="s">
        <v>110</v>
      </c>
      <c r="D3614" s="9" t="s">
        <v>393</v>
      </c>
      <c r="E3614" s="9" t="s">
        <v>17</v>
      </c>
      <c r="F3614" s="9" t="s">
        <v>17</v>
      </c>
      <c r="G3614" s="9">
        <v>7.0</v>
      </c>
      <c r="H3614" s="9" t="s">
        <v>17</v>
      </c>
      <c r="I3614" s="9" t="s">
        <v>20</v>
      </c>
      <c r="J3614" s="10"/>
      <c r="K3614" s="14" t="s">
        <v>398</v>
      </c>
      <c r="N3614" s="14" t="str">
        <f>IFERROR(__xludf.DUMMYFUNCTION("""COMPUTED_VALUE"""),"")</f>
        <v/>
      </c>
      <c r="O3614" s="14"/>
    </row>
    <row r="3615" ht="22.5" hidden="1" customHeight="1">
      <c r="A3615" s="8">
        <v>46070.349870555554</v>
      </c>
      <c r="B3615" s="14">
        <v>46070.0</v>
      </c>
      <c r="C3615" s="9" t="s">
        <v>110</v>
      </c>
      <c r="D3615" s="9" t="s">
        <v>421</v>
      </c>
      <c r="E3615" s="9" t="s">
        <v>17</v>
      </c>
      <c r="F3615" s="9" t="s">
        <v>17</v>
      </c>
      <c r="G3615" s="9">
        <v>8.0</v>
      </c>
      <c r="H3615" s="9" t="s">
        <v>25</v>
      </c>
      <c r="I3615" s="9" t="s">
        <v>159</v>
      </c>
      <c r="J3615" s="10"/>
      <c r="K3615" s="14" t="s">
        <v>398</v>
      </c>
      <c r="N3615" s="14" t="str">
        <f>IFERROR(__xludf.DUMMYFUNCTION("""COMPUTED_VALUE"""),"")</f>
        <v/>
      </c>
      <c r="O3615" s="14"/>
    </row>
    <row r="3616" ht="22.5" hidden="1" customHeight="1">
      <c r="A3616" s="8">
        <v>46070.35030092593</v>
      </c>
      <c r="B3616" s="14">
        <v>46070.0</v>
      </c>
      <c r="C3616" s="9" t="s">
        <v>110</v>
      </c>
      <c r="D3616" s="9" t="s">
        <v>258</v>
      </c>
      <c r="E3616" s="9" t="s">
        <v>17</v>
      </c>
      <c r="F3616" s="9" t="s">
        <v>17</v>
      </c>
      <c r="G3616" s="9">
        <v>8.0</v>
      </c>
      <c r="H3616" s="9" t="s">
        <v>22</v>
      </c>
      <c r="I3616" s="9" t="s">
        <v>20</v>
      </c>
      <c r="J3616" s="10"/>
      <c r="K3616" s="14" t="s">
        <v>398</v>
      </c>
      <c r="N3616" s="14" t="str">
        <f>IFERROR(__xludf.DUMMYFUNCTION("""COMPUTED_VALUE"""),"")</f>
        <v/>
      </c>
      <c r="O3616" s="14"/>
    </row>
    <row r="3617" ht="22.5" hidden="1" customHeight="1">
      <c r="A3617" s="8">
        <v>46070.352375601855</v>
      </c>
      <c r="B3617" s="14">
        <v>46070.0</v>
      </c>
      <c r="C3617" s="9" t="s">
        <v>110</v>
      </c>
      <c r="D3617" s="9" t="s">
        <v>171</v>
      </c>
      <c r="E3617" s="9" t="s">
        <v>61</v>
      </c>
      <c r="F3617" s="9" t="s">
        <v>17</v>
      </c>
      <c r="G3617" s="9">
        <v>8.0</v>
      </c>
      <c r="H3617" s="9" t="s">
        <v>22</v>
      </c>
      <c r="I3617" s="9" t="s">
        <v>20</v>
      </c>
      <c r="J3617" s="10"/>
      <c r="K3617" s="14" t="s">
        <v>398</v>
      </c>
      <c r="N3617" s="14" t="str">
        <f>IFERROR(__xludf.DUMMYFUNCTION("""COMPUTED_VALUE"""),"")</f>
        <v/>
      </c>
      <c r="O3617" s="14"/>
    </row>
    <row r="3618" ht="22.5" hidden="1" customHeight="1">
      <c r="A3618" s="8">
        <v>46070.35312704861</v>
      </c>
      <c r="B3618" s="14">
        <v>46070.0</v>
      </c>
      <c r="C3618" s="9" t="s">
        <v>110</v>
      </c>
      <c r="D3618" s="9" t="s">
        <v>395</v>
      </c>
      <c r="E3618" s="9" t="s">
        <v>17</v>
      </c>
      <c r="F3618" s="9" t="s">
        <v>17</v>
      </c>
      <c r="G3618" s="9">
        <v>8.0</v>
      </c>
      <c r="H3618" s="9" t="s">
        <v>22</v>
      </c>
      <c r="I3618" s="9" t="s">
        <v>20</v>
      </c>
      <c r="J3618" s="10"/>
      <c r="K3618" s="14">
        <v>4.0</v>
      </c>
      <c r="N3618" s="14" t="str">
        <f>IFERROR(__xludf.DUMMYFUNCTION("""COMPUTED_VALUE"""),"")</f>
        <v/>
      </c>
      <c r="O3618" s="14"/>
    </row>
    <row r="3619" ht="22.5" hidden="1" customHeight="1">
      <c r="A3619" s="8">
        <v>46070.35745945602</v>
      </c>
      <c r="B3619" s="14">
        <v>46070.0</v>
      </c>
      <c r="C3619" s="9" t="s">
        <v>110</v>
      </c>
      <c r="D3619" s="9" t="s">
        <v>174</v>
      </c>
      <c r="E3619" s="9" t="s">
        <v>17</v>
      </c>
      <c r="F3619" s="9" t="s">
        <v>17</v>
      </c>
      <c r="G3619" s="9">
        <v>7.0</v>
      </c>
      <c r="H3619" s="9" t="s">
        <v>22</v>
      </c>
      <c r="I3619" s="9" t="s">
        <v>20</v>
      </c>
      <c r="J3619" s="10"/>
      <c r="K3619" s="14">
        <v>4.0</v>
      </c>
      <c r="N3619" s="14" t="str">
        <f>IFERROR(__xludf.DUMMYFUNCTION("""COMPUTED_VALUE"""),"")</f>
        <v/>
      </c>
      <c r="O3619" s="14"/>
    </row>
    <row r="3620" ht="22.5" hidden="1" customHeight="1">
      <c r="A3620" s="8">
        <v>46070.35797082176</v>
      </c>
      <c r="B3620" s="14">
        <v>46070.0</v>
      </c>
      <c r="C3620" s="9" t="s">
        <v>110</v>
      </c>
      <c r="D3620" s="9" t="s">
        <v>178</v>
      </c>
      <c r="E3620" s="9" t="s">
        <v>17</v>
      </c>
      <c r="F3620" s="9" t="s">
        <v>17</v>
      </c>
      <c r="G3620" s="9">
        <v>7.0</v>
      </c>
      <c r="H3620" s="9" t="s">
        <v>25</v>
      </c>
      <c r="I3620" s="9" t="s">
        <v>424</v>
      </c>
      <c r="J3620" s="10"/>
      <c r="K3620" s="14" t="s">
        <v>398</v>
      </c>
      <c r="N3620" s="14" t="str">
        <f>IFERROR(__xludf.DUMMYFUNCTION("""COMPUTED_VALUE"""),"")</f>
        <v/>
      </c>
      <c r="O3620" s="14"/>
    </row>
    <row r="3621" ht="22.5" hidden="1" customHeight="1">
      <c r="A3621" s="8">
        <v>46070.358463125</v>
      </c>
      <c r="B3621" s="14">
        <v>46070.0</v>
      </c>
      <c r="C3621" s="9" t="s">
        <v>110</v>
      </c>
      <c r="D3621" s="9" t="s">
        <v>369</v>
      </c>
      <c r="E3621" s="9" t="s">
        <v>17</v>
      </c>
      <c r="F3621" s="9" t="s">
        <v>17</v>
      </c>
      <c r="G3621" s="9">
        <v>7.0</v>
      </c>
      <c r="H3621" s="9" t="s">
        <v>25</v>
      </c>
      <c r="I3621" s="9" t="s">
        <v>211</v>
      </c>
      <c r="J3621" s="10"/>
      <c r="K3621" s="14">
        <v>3.0</v>
      </c>
      <c r="N3621" s="14" t="str">
        <f>IFERROR(__xludf.DUMMYFUNCTION("""COMPUTED_VALUE"""),"")</f>
        <v/>
      </c>
      <c r="O3621" s="14"/>
    </row>
    <row r="3622" ht="22.5" hidden="1" customHeight="1">
      <c r="A3622" s="8">
        <v>46070.35886554398</v>
      </c>
      <c r="B3622" s="14">
        <v>46070.0</v>
      </c>
      <c r="C3622" s="9" t="s">
        <v>110</v>
      </c>
      <c r="D3622" s="9" t="s">
        <v>350</v>
      </c>
      <c r="E3622" s="9" t="s">
        <v>17</v>
      </c>
      <c r="F3622" s="9" t="s">
        <v>17</v>
      </c>
      <c r="G3622" s="9">
        <v>7.0</v>
      </c>
      <c r="H3622" s="9" t="s">
        <v>22</v>
      </c>
      <c r="I3622" s="9" t="s">
        <v>20</v>
      </c>
      <c r="J3622" s="10"/>
      <c r="K3622" s="14" t="s">
        <v>398</v>
      </c>
      <c r="N3622" s="14" t="str">
        <f>IFERROR(__xludf.DUMMYFUNCTION("""COMPUTED_VALUE"""),"")</f>
        <v/>
      </c>
      <c r="O3622" s="14"/>
    </row>
    <row r="3623" ht="22.5" hidden="1" customHeight="1">
      <c r="A3623" s="8">
        <v>46070.35931162037</v>
      </c>
      <c r="B3623" s="14">
        <v>46070.0</v>
      </c>
      <c r="C3623" s="9" t="s">
        <v>110</v>
      </c>
      <c r="D3623" s="9" t="s">
        <v>408</v>
      </c>
      <c r="E3623" s="9" t="s">
        <v>17</v>
      </c>
      <c r="F3623" s="9" t="s">
        <v>17</v>
      </c>
      <c r="G3623" s="9">
        <v>7.0</v>
      </c>
      <c r="H3623" s="9" t="s">
        <v>22</v>
      </c>
      <c r="I3623" s="9" t="s">
        <v>20</v>
      </c>
      <c r="J3623" s="10"/>
      <c r="K3623" s="14" t="s">
        <v>398</v>
      </c>
      <c r="N3623" s="14" t="str">
        <f>IFERROR(__xludf.DUMMYFUNCTION("""COMPUTED_VALUE"""),"")</f>
        <v/>
      </c>
      <c r="O3623" s="14"/>
    </row>
    <row r="3624" ht="22.5" hidden="1" customHeight="1">
      <c r="A3624" s="8">
        <v>46070.362077337966</v>
      </c>
      <c r="B3624" s="14">
        <v>46070.0</v>
      </c>
      <c r="C3624" s="9" t="s">
        <v>110</v>
      </c>
      <c r="D3624" s="9" t="s">
        <v>394</v>
      </c>
      <c r="E3624" s="9" t="s">
        <v>17</v>
      </c>
      <c r="F3624" s="9" t="s">
        <v>18</v>
      </c>
      <c r="G3624" s="9">
        <v>8.0</v>
      </c>
      <c r="H3624" s="9" t="s">
        <v>22</v>
      </c>
      <c r="I3624" s="9" t="s">
        <v>20</v>
      </c>
      <c r="J3624" s="10"/>
      <c r="K3624" s="14">
        <v>4.0</v>
      </c>
      <c r="N3624" s="14" t="str">
        <f>IFERROR(__xludf.DUMMYFUNCTION("""COMPUTED_VALUE"""),"")</f>
        <v/>
      </c>
      <c r="O3624" s="14"/>
    </row>
    <row r="3625" ht="22.5" hidden="1" customHeight="1">
      <c r="A3625" s="8">
        <v>46070.36898550926</v>
      </c>
      <c r="B3625" s="14">
        <v>46070.0</v>
      </c>
      <c r="C3625" s="9" t="s">
        <v>110</v>
      </c>
      <c r="D3625" s="9" t="s">
        <v>257</v>
      </c>
      <c r="E3625" s="9" t="s">
        <v>17</v>
      </c>
      <c r="F3625" s="9" t="s">
        <v>17</v>
      </c>
      <c r="G3625" s="9">
        <v>7.0</v>
      </c>
      <c r="H3625" s="9" t="s">
        <v>22</v>
      </c>
      <c r="I3625" s="9" t="s">
        <v>20</v>
      </c>
      <c r="J3625" s="10"/>
      <c r="K3625" s="14" t="s">
        <v>398</v>
      </c>
      <c r="N3625" s="14" t="str">
        <f>IFERROR(__xludf.DUMMYFUNCTION("""COMPUTED_VALUE"""),"")</f>
        <v/>
      </c>
      <c r="O3625" s="14"/>
    </row>
    <row r="3626" ht="22.5" hidden="1" customHeight="1">
      <c r="A3626" s="8">
        <v>46070.36936662037</v>
      </c>
      <c r="B3626" s="14">
        <v>46070.0</v>
      </c>
      <c r="C3626" s="9" t="s">
        <v>110</v>
      </c>
      <c r="D3626" s="9" t="s">
        <v>367</v>
      </c>
      <c r="E3626" s="9" t="s">
        <v>17</v>
      </c>
      <c r="F3626" s="9" t="s">
        <v>17</v>
      </c>
      <c r="G3626" s="9">
        <v>8.0</v>
      </c>
      <c r="H3626" s="9" t="s">
        <v>22</v>
      </c>
      <c r="I3626" s="9" t="s">
        <v>20</v>
      </c>
      <c r="J3626" s="10"/>
      <c r="K3626" s="14">
        <v>8.0</v>
      </c>
      <c r="N3626" s="14" t="str">
        <f>IFERROR(__xludf.DUMMYFUNCTION("""COMPUTED_VALUE"""),"")</f>
        <v/>
      </c>
      <c r="O3626" s="14"/>
    </row>
    <row r="3627" ht="22.5" hidden="1" customHeight="1">
      <c r="A3627" s="8">
        <v>46070.37252103009</v>
      </c>
      <c r="B3627" s="14">
        <v>46070.0</v>
      </c>
      <c r="C3627" s="9" t="s">
        <v>110</v>
      </c>
      <c r="D3627" s="9" t="s">
        <v>357</v>
      </c>
      <c r="E3627" s="9" t="s">
        <v>17</v>
      </c>
      <c r="F3627" s="9" t="s">
        <v>17</v>
      </c>
      <c r="G3627" s="9">
        <v>7.0</v>
      </c>
      <c r="H3627" s="9" t="s">
        <v>17</v>
      </c>
      <c r="I3627" s="9" t="s">
        <v>20</v>
      </c>
      <c r="J3627" s="10"/>
      <c r="K3627" s="14" t="s">
        <v>398</v>
      </c>
      <c r="N3627" s="14" t="str">
        <f>IFERROR(__xludf.DUMMYFUNCTION("""COMPUTED_VALUE"""),"")</f>
        <v/>
      </c>
      <c r="O3627" s="14"/>
    </row>
    <row r="3628" ht="22.5" hidden="1" customHeight="1">
      <c r="A3628" s="8">
        <v>46070.37312392361</v>
      </c>
      <c r="B3628" s="14">
        <v>46070.0</v>
      </c>
      <c r="C3628" s="9" t="s">
        <v>110</v>
      </c>
      <c r="D3628" s="9" t="s">
        <v>259</v>
      </c>
      <c r="E3628" s="9" t="s">
        <v>17</v>
      </c>
      <c r="F3628" s="9" t="s">
        <v>17</v>
      </c>
      <c r="G3628" s="9" t="s">
        <v>409</v>
      </c>
      <c r="H3628" s="9" t="s">
        <v>22</v>
      </c>
      <c r="I3628" s="9" t="s">
        <v>20</v>
      </c>
      <c r="J3628" s="10"/>
      <c r="K3628" s="14" t="s">
        <v>398</v>
      </c>
      <c r="N3628" s="14" t="str">
        <f>IFERROR(__xludf.DUMMYFUNCTION("""COMPUTED_VALUE"""),"")</f>
        <v/>
      </c>
      <c r="O3628" s="14"/>
    </row>
    <row r="3629" ht="22.5" hidden="1" customHeight="1">
      <c r="A3629" s="8">
        <v>46070.37369136574</v>
      </c>
      <c r="B3629" s="14">
        <v>46070.0</v>
      </c>
      <c r="C3629" s="9" t="s">
        <v>110</v>
      </c>
      <c r="D3629" s="9" t="s">
        <v>335</v>
      </c>
      <c r="E3629" s="9" t="s">
        <v>17</v>
      </c>
      <c r="F3629" s="9" t="s">
        <v>17</v>
      </c>
      <c r="G3629" s="9">
        <v>6.0</v>
      </c>
      <c r="H3629" s="9" t="s">
        <v>62</v>
      </c>
      <c r="I3629" s="9" t="s">
        <v>425</v>
      </c>
      <c r="J3629" s="10"/>
      <c r="K3629" s="14" t="s">
        <v>398</v>
      </c>
      <c r="N3629" s="14" t="str">
        <f>IFERROR(__xludf.DUMMYFUNCTION("""COMPUTED_VALUE"""),"")</f>
        <v/>
      </c>
      <c r="O3629" s="14"/>
    </row>
    <row r="3630" ht="22.5" hidden="1" customHeight="1">
      <c r="A3630" s="8">
        <v>46070.37439633102</v>
      </c>
      <c r="B3630" s="14">
        <v>46070.0</v>
      </c>
      <c r="C3630" s="9" t="s">
        <v>110</v>
      </c>
      <c r="D3630" s="9" t="s">
        <v>396</v>
      </c>
      <c r="E3630" s="9" t="s">
        <v>17</v>
      </c>
      <c r="F3630" s="9" t="s">
        <v>17</v>
      </c>
      <c r="G3630" s="9">
        <v>8.0</v>
      </c>
      <c r="H3630" s="9" t="s">
        <v>22</v>
      </c>
      <c r="I3630" s="9" t="s">
        <v>20</v>
      </c>
      <c r="J3630" s="10"/>
      <c r="K3630" s="14" t="s">
        <v>398</v>
      </c>
      <c r="N3630" s="14" t="str">
        <f>IFERROR(__xludf.DUMMYFUNCTION("""COMPUTED_VALUE"""),"")</f>
        <v/>
      </c>
      <c r="O3630" s="14"/>
    </row>
    <row r="3631" ht="22.5" hidden="1" customHeight="1">
      <c r="A3631" s="8">
        <v>46070.37528670139</v>
      </c>
      <c r="B3631" s="14">
        <v>46070.0</v>
      </c>
      <c r="C3631" s="9" t="s">
        <v>110</v>
      </c>
      <c r="D3631" s="9" t="s">
        <v>175</v>
      </c>
      <c r="E3631" s="9" t="s">
        <v>17</v>
      </c>
      <c r="F3631" s="9" t="s">
        <v>17</v>
      </c>
      <c r="G3631" s="9">
        <v>8.0</v>
      </c>
      <c r="H3631" s="9" t="s">
        <v>25</v>
      </c>
      <c r="I3631" s="9" t="s">
        <v>355</v>
      </c>
      <c r="J3631" s="10"/>
      <c r="K3631" s="14">
        <v>5.0</v>
      </c>
      <c r="N3631" s="14" t="str">
        <f>IFERROR(__xludf.DUMMYFUNCTION("""COMPUTED_VALUE"""),"")</f>
        <v/>
      </c>
      <c r="O3631" s="14"/>
    </row>
    <row r="3632" ht="22.5" hidden="1" customHeight="1">
      <c r="A3632" s="8">
        <v>46070.380210034724</v>
      </c>
      <c r="B3632" s="14">
        <v>46070.0</v>
      </c>
      <c r="C3632" s="9" t="s">
        <v>110</v>
      </c>
      <c r="D3632" s="9" t="s">
        <v>247</v>
      </c>
      <c r="E3632" s="9" t="s">
        <v>17</v>
      </c>
      <c r="F3632" s="9" t="s">
        <v>60</v>
      </c>
      <c r="G3632" s="9">
        <v>7.0</v>
      </c>
      <c r="H3632" s="9" t="s">
        <v>17</v>
      </c>
      <c r="I3632" s="9" t="s">
        <v>20</v>
      </c>
      <c r="J3632" s="10"/>
      <c r="K3632" s="14" t="s">
        <v>398</v>
      </c>
      <c r="N3632" s="14" t="str">
        <f>IFERROR(__xludf.DUMMYFUNCTION("""COMPUTED_VALUE"""),"")</f>
        <v/>
      </c>
      <c r="O3632" s="14"/>
    </row>
    <row r="3633" ht="22.5" hidden="1" customHeight="1">
      <c r="A3633" s="8">
        <v>46070.38137780092</v>
      </c>
      <c r="B3633" s="14">
        <v>46070.0</v>
      </c>
      <c r="C3633" s="9" t="s">
        <v>110</v>
      </c>
      <c r="D3633" s="9" t="s">
        <v>210</v>
      </c>
      <c r="E3633" s="9" t="s">
        <v>17</v>
      </c>
      <c r="F3633" s="9" t="s">
        <v>35</v>
      </c>
      <c r="G3633" s="9">
        <v>8.0</v>
      </c>
      <c r="H3633" s="9" t="s">
        <v>22</v>
      </c>
      <c r="I3633" s="9" t="s">
        <v>20</v>
      </c>
      <c r="J3633" s="10"/>
      <c r="K3633" s="14">
        <v>7.0</v>
      </c>
      <c r="N3633" s="14" t="str">
        <f>IFERROR(__xludf.DUMMYFUNCTION("""COMPUTED_VALUE"""),"")</f>
        <v/>
      </c>
      <c r="O3633" s="14"/>
    </row>
    <row r="3634" ht="22.5" hidden="1" customHeight="1">
      <c r="A3634" s="8">
        <v>46071.372301006944</v>
      </c>
      <c r="B3634" s="14">
        <v>46071.0</v>
      </c>
      <c r="C3634" s="9" t="s">
        <v>15</v>
      </c>
      <c r="D3634" s="9" t="s">
        <v>395</v>
      </c>
      <c r="E3634" s="9" t="s">
        <v>17</v>
      </c>
      <c r="F3634" s="9" t="s">
        <v>17</v>
      </c>
      <c r="G3634" s="9">
        <v>7.0</v>
      </c>
      <c r="H3634" s="9" t="s">
        <v>17</v>
      </c>
      <c r="I3634" s="9" t="s">
        <v>20</v>
      </c>
      <c r="J3634" s="10"/>
      <c r="K3634" s="14" t="s">
        <v>398</v>
      </c>
      <c r="N3634" s="14" t="str">
        <f>IFERROR(__xludf.DUMMYFUNCTION("""COMPUTED_VALUE"""),"")</f>
        <v/>
      </c>
      <c r="O3634" s="14"/>
    </row>
    <row r="3635" ht="22.5" hidden="1" customHeight="1">
      <c r="A3635" s="8">
        <v>46071.372691655095</v>
      </c>
      <c r="B3635" s="14">
        <v>46071.0</v>
      </c>
      <c r="C3635" s="9" t="s">
        <v>15</v>
      </c>
      <c r="D3635" s="9" t="s">
        <v>412</v>
      </c>
      <c r="E3635" s="9" t="s">
        <v>17</v>
      </c>
      <c r="F3635" s="9" t="s">
        <v>17</v>
      </c>
      <c r="G3635" s="9">
        <v>7.0</v>
      </c>
      <c r="H3635" s="9" t="s">
        <v>22</v>
      </c>
      <c r="I3635" s="9" t="s">
        <v>20</v>
      </c>
      <c r="J3635" s="10"/>
      <c r="K3635" s="14">
        <v>4.0</v>
      </c>
      <c r="N3635" s="14" t="str">
        <f>IFERROR(__xludf.DUMMYFUNCTION("""COMPUTED_VALUE"""),"")</f>
        <v/>
      </c>
      <c r="O3635" s="14"/>
    </row>
    <row r="3636" ht="22.5" hidden="1" customHeight="1">
      <c r="A3636" s="8">
        <v>46071.37304173611</v>
      </c>
      <c r="B3636" s="14">
        <v>46071.0</v>
      </c>
      <c r="C3636" s="9" t="s">
        <v>15</v>
      </c>
      <c r="D3636" s="9" t="s">
        <v>249</v>
      </c>
      <c r="E3636" s="9" t="s">
        <v>46</v>
      </c>
      <c r="F3636" s="9" t="s">
        <v>17</v>
      </c>
      <c r="G3636" s="9">
        <v>8.0</v>
      </c>
      <c r="H3636" s="9" t="s">
        <v>22</v>
      </c>
      <c r="I3636" s="9" t="s">
        <v>20</v>
      </c>
      <c r="J3636" s="10"/>
      <c r="K3636" s="14">
        <v>6.0</v>
      </c>
      <c r="N3636" s="14" t="str">
        <f>IFERROR(__xludf.DUMMYFUNCTION("""COMPUTED_VALUE"""),"")</f>
        <v/>
      </c>
      <c r="O3636" s="14"/>
    </row>
    <row r="3637" ht="22.5" hidden="1" customHeight="1">
      <c r="A3637" s="8">
        <v>46071.373303113425</v>
      </c>
      <c r="B3637" s="14">
        <v>46071.0</v>
      </c>
      <c r="C3637" s="9" t="s">
        <v>15</v>
      </c>
      <c r="D3637" s="9" t="s">
        <v>413</v>
      </c>
      <c r="E3637" s="9" t="s">
        <v>17</v>
      </c>
      <c r="F3637" s="9" t="s">
        <v>17</v>
      </c>
      <c r="G3637" s="9">
        <v>8.0</v>
      </c>
      <c r="H3637" s="9" t="s">
        <v>22</v>
      </c>
      <c r="I3637" s="9" t="s">
        <v>20</v>
      </c>
      <c r="J3637" s="10"/>
      <c r="K3637" s="14" t="s">
        <v>398</v>
      </c>
      <c r="N3637" s="14" t="str">
        <f>IFERROR(__xludf.DUMMYFUNCTION("""COMPUTED_VALUE"""),"")</f>
        <v/>
      </c>
      <c r="O3637" s="14"/>
    </row>
    <row r="3638" ht="22.5" hidden="1" customHeight="1">
      <c r="A3638" s="8">
        <v>46071.373583148146</v>
      </c>
      <c r="B3638" s="14">
        <v>46071.0</v>
      </c>
      <c r="C3638" s="9" t="s">
        <v>15</v>
      </c>
      <c r="D3638" s="9" t="s">
        <v>280</v>
      </c>
      <c r="E3638" s="9" t="s">
        <v>17</v>
      </c>
      <c r="F3638" s="9" t="s">
        <v>17</v>
      </c>
      <c r="G3638" s="9">
        <v>7.0</v>
      </c>
      <c r="H3638" s="9" t="s">
        <v>22</v>
      </c>
      <c r="I3638" s="9" t="s">
        <v>20</v>
      </c>
      <c r="J3638" s="10"/>
      <c r="K3638" s="14">
        <v>5.0</v>
      </c>
      <c r="N3638" s="14" t="str">
        <f>IFERROR(__xludf.DUMMYFUNCTION("""COMPUTED_VALUE"""),"")</f>
        <v/>
      </c>
      <c r="O3638" s="14"/>
    </row>
    <row r="3639" ht="22.5" hidden="1" customHeight="1">
      <c r="A3639" s="8">
        <v>46071.37401760417</v>
      </c>
      <c r="B3639" s="14">
        <v>46071.0</v>
      </c>
      <c r="C3639" s="9" t="s">
        <v>15</v>
      </c>
      <c r="D3639" s="9" t="s">
        <v>393</v>
      </c>
      <c r="E3639" s="9" t="s">
        <v>17</v>
      </c>
      <c r="F3639" s="9" t="s">
        <v>17</v>
      </c>
      <c r="G3639" s="9">
        <v>8.0</v>
      </c>
      <c r="H3639" s="9" t="s">
        <v>22</v>
      </c>
      <c r="I3639" s="9" t="s">
        <v>20</v>
      </c>
      <c r="J3639" s="10"/>
      <c r="K3639" s="14">
        <v>4.0</v>
      </c>
      <c r="N3639" s="14" t="str">
        <f>IFERROR(__xludf.DUMMYFUNCTION("""COMPUTED_VALUE"""),"")</f>
        <v/>
      </c>
      <c r="O3639" s="14"/>
    </row>
    <row r="3640" ht="22.5" hidden="1" customHeight="1">
      <c r="A3640" s="8">
        <v>46071.37441993055</v>
      </c>
      <c r="B3640" s="14">
        <v>46071.0</v>
      </c>
      <c r="C3640" s="9" t="s">
        <v>15</v>
      </c>
      <c r="D3640" s="9" t="s">
        <v>174</v>
      </c>
      <c r="E3640" s="9" t="s">
        <v>17</v>
      </c>
      <c r="F3640" s="9" t="s">
        <v>17</v>
      </c>
      <c r="G3640" s="9">
        <v>7.0</v>
      </c>
      <c r="H3640" s="9" t="s">
        <v>22</v>
      </c>
      <c r="I3640" s="9" t="s">
        <v>20</v>
      </c>
      <c r="J3640" s="10"/>
      <c r="K3640" s="14" t="s">
        <v>398</v>
      </c>
      <c r="N3640" s="14" t="str">
        <f>IFERROR(__xludf.DUMMYFUNCTION("""COMPUTED_VALUE"""),"")</f>
        <v/>
      </c>
      <c r="O3640" s="14"/>
    </row>
    <row r="3641" ht="22.5" hidden="1" customHeight="1">
      <c r="A3641" s="8">
        <v>46071.374814131945</v>
      </c>
      <c r="B3641" s="14">
        <v>46071.0</v>
      </c>
      <c r="C3641" s="9" t="s">
        <v>15</v>
      </c>
      <c r="D3641" s="9" t="s">
        <v>258</v>
      </c>
      <c r="E3641" s="9" t="s">
        <v>17</v>
      </c>
      <c r="F3641" s="9" t="s">
        <v>17</v>
      </c>
      <c r="G3641" s="9">
        <v>7.0</v>
      </c>
      <c r="H3641" s="9" t="s">
        <v>22</v>
      </c>
      <c r="I3641" s="9" t="s">
        <v>20</v>
      </c>
      <c r="J3641" s="10"/>
      <c r="K3641" s="14">
        <v>7.0</v>
      </c>
      <c r="N3641" s="14" t="str">
        <f>IFERROR(__xludf.DUMMYFUNCTION("""COMPUTED_VALUE"""),"")</f>
        <v/>
      </c>
      <c r="O3641" s="14"/>
    </row>
    <row r="3642" ht="22.5" hidden="1" customHeight="1">
      <c r="A3642" s="8">
        <v>46071.37513777778</v>
      </c>
      <c r="B3642" s="14">
        <v>46071.0</v>
      </c>
      <c r="C3642" s="9" t="s">
        <v>15</v>
      </c>
      <c r="D3642" s="9" t="s">
        <v>369</v>
      </c>
      <c r="E3642" s="9" t="s">
        <v>17</v>
      </c>
      <c r="F3642" s="9" t="s">
        <v>17</v>
      </c>
      <c r="G3642" s="9">
        <v>8.0</v>
      </c>
      <c r="H3642" s="9" t="s">
        <v>22</v>
      </c>
      <c r="I3642" s="9" t="s">
        <v>20</v>
      </c>
      <c r="J3642" s="10"/>
      <c r="K3642" s="14">
        <v>6.0</v>
      </c>
      <c r="N3642" s="14" t="str">
        <f>IFERROR(__xludf.DUMMYFUNCTION("""COMPUTED_VALUE"""),"")</f>
        <v/>
      </c>
      <c r="O3642" s="14"/>
    </row>
    <row r="3643" ht="22.5" hidden="1" customHeight="1">
      <c r="A3643" s="8">
        <v>46071.37549471065</v>
      </c>
      <c r="B3643" s="14">
        <v>46071.0</v>
      </c>
      <c r="C3643" s="9" t="s">
        <v>15</v>
      </c>
      <c r="D3643" s="9" t="s">
        <v>423</v>
      </c>
      <c r="E3643" s="9" t="s">
        <v>17</v>
      </c>
      <c r="F3643" s="9" t="s">
        <v>17</v>
      </c>
      <c r="G3643" s="9">
        <v>6.0</v>
      </c>
      <c r="H3643" s="9" t="s">
        <v>22</v>
      </c>
      <c r="I3643" s="9" t="s">
        <v>20</v>
      </c>
      <c r="J3643" s="10"/>
      <c r="K3643" s="14" t="s">
        <v>398</v>
      </c>
      <c r="N3643" s="14" t="str">
        <f>IFERROR(__xludf.DUMMYFUNCTION("""COMPUTED_VALUE"""),"")</f>
        <v/>
      </c>
      <c r="O3643" s="14"/>
    </row>
    <row r="3644" ht="22.5" hidden="1" customHeight="1">
      <c r="A3644" s="8">
        <v>46071.37751670139</v>
      </c>
      <c r="B3644" s="14">
        <v>46071.0</v>
      </c>
      <c r="C3644" s="9" t="s">
        <v>15</v>
      </c>
      <c r="D3644" s="9" t="s">
        <v>394</v>
      </c>
      <c r="E3644" s="9" t="s">
        <v>17</v>
      </c>
      <c r="F3644" s="9" t="s">
        <v>17</v>
      </c>
      <c r="G3644" s="9">
        <v>8.0</v>
      </c>
      <c r="H3644" s="9" t="s">
        <v>22</v>
      </c>
      <c r="I3644" s="9" t="s">
        <v>20</v>
      </c>
      <c r="J3644" s="10"/>
      <c r="K3644" s="14">
        <v>4.0</v>
      </c>
      <c r="N3644" s="14" t="str">
        <f>IFERROR(__xludf.DUMMYFUNCTION("""COMPUTED_VALUE"""),"")</f>
        <v/>
      </c>
      <c r="O3644" s="14"/>
    </row>
    <row r="3645" ht="22.5" hidden="1" customHeight="1">
      <c r="A3645" s="8">
        <v>46071.37808869213</v>
      </c>
      <c r="B3645" s="14">
        <v>46071.0</v>
      </c>
      <c r="C3645" s="9" t="s">
        <v>15</v>
      </c>
      <c r="D3645" s="9" t="s">
        <v>414</v>
      </c>
      <c r="E3645" s="9" t="s">
        <v>46</v>
      </c>
      <c r="F3645" s="9" t="s">
        <v>17</v>
      </c>
      <c r="G3645" s="9">
        <v>7.0</v>
      </c>
      <c r="H3645" s="9" t="s">
        <v>22</v>
      </c>
      <c r="I3645" s="9" t="s">
        <v>20</v>
      </c>
      <c r="J3645" s="10"/>
      <c r="K3645" s="14">
        <v>4.0</v>
      </c>
      <c r="N3645" s="14" t="str">
        <f>IFERROR(__xludf.DUMMYFUNCTION("""COMPUTED_VALUE"""),"")</f>
        <v/>
      </c>
      <c r="O3645" s="14"/>
    </row>
    <row r="3646" ht="22.5" hidden="1" customHeight="1">
      <c r="A3646" s="8">
        <v>46071.37842104166</v>
      </c>
      <c r="B3646" s="14">
        <v>46071.0</v>
      </c>
      <c r="C3646" s="9" t="s">
        <v>15</v>
      </c>
      <c r="D3646" s="9" t="s">
        <v>171</v>
      </c>
      <c r="E3646" s="9" t="s">
        <v>17</v>
      </c>
      <c r="F3646" s="9" t="s">
        <v>17</v>
      </c>
      <c r="G3646" s="9">
        <v>7.0</v>
      </c>
      <c r="H3646" s="9" t="s">
        <v>25</v>
      </c>
      <c r="I3646" s="9" t="s">
        <v>26</v>
      </c>
      <c r="J3646" s="10"/>
      <c r="K3646" s="14">
        <v>8.0</v>
      </c>
      <c r="N3646" s="14" t="str">
        <f>IFERROR(__xludf.DUMMYFUNCTION("""COMPUTED_VALUE"""),"")</f>
        <v/>
      </c>
      <c r="O3646" s="14"/>
    </row>
    <row r="3647" ht="22.5" hidden="1" customHeight="1">
      <c r="A3647" s="8">
        <v>46071.37872435185</v>
      </c>
      <c r="B3647" s="14">
        <v>46071.0</v>
      </c>
      <c r="C3647" s="9" t="s">
        <v>15</v>
      </c>
      <c r="D3647" s="9" t="s">
        <v>105</v>
      </c>
      <c r="E3647" s="9" t="s">
        <v>17</v>
      </c>
      <c r="F3647" s="9" t="s">
        <v>17</v>
      </c>
      <c r="G3647" s="9">
        <v>8.0</v>
      </c>
      <c r="H3647" s="9" t="s">
        <v>22</v>
      </c>
      <c r="I3647" s="9" t="s">
        <v>20</v>
      </c>
      <c r="J3647" s="10"/>
      <c r="K3647" s="14" t="s">
        <v>398</v>
      </c>
      <c r="N3647" s="14" t="str">
        <f>IFERROR(__xludf.DUMMYFUNCTION("""COMPUTED_VALUE"""),"")</f>
        <v/>
      </c>
      <c r="O3647" s="14"/>
    </row>
    <row r="3648" ht="22.5" hidden="1" customHeight="1">
      <c r="A3648" s="8">
        <v>46071.37900444445</v>
      </c>
      <c r="B3648" s="14">
        <v>46071.0</v>
      </c>
      <c r="C3648" s="9" t="s">
        <v>15</v>
      </c>
      <c r="D3648" s="9" t="s">
        <v>350</v>
      </c>
      <c r="E3648" s="9" t="s">
        <v>17</v>
      </c>
      <c r="F3648" s="9" t="s">
        <v>17</v>
      </c>
      <c r="G3648" s="9">
        <v>8.0</v>
      </c>
      <c r="H3648" s="9" t="s">
        <v>22</v>
      </c>
      <c r="I3648" s="9" t="s">
        <v>20</v>
      </c>
      <c r="J3648" s="10"/>
      <c r="K3648" s="14">
        <v>5.0</v>
      </c>
      <c r="N3648" s="14" t="str">
        <f>IFERROR(__xludf.DUMMYFUNCTION("""COMPUTED_VALUE"""),"")</f>
        <v/>
      </c>
      <c r="O3648" s="14"/>
    </row>
    <row r="3649" ht="22.5" hidden="1" customHeight="1">
      <c r="A3649" s="8">
        <v>46071.37928850694</v>
      </c>
      <c r="B3649" s="14">
        <v>46071.0</v>
      </c>
      <c r="C3649" s="9" t="s">
        <v>15</v>
      </c>
      <c r="D3649" s="9" t="s">
        <v>421</v>
      </c>
      <c r="E3649" s="9" t="s">
        <v>46</v>
      </c>
      <c r="F3649" s="9" t="s">
        <v>17</v>
      </c>
      <c r="G3649" s="9">
        <v>8.0</v>
      </c>
      <c r="H3649" s="9" t="s">
        <v>22</v>
      </c>
      <c r="I3649" s="9" t="s">
        <v>20</v>
      </c>
      <c r="J3649" s="10"/>
      <c r="K3649" s="14">
        <v>7.0</v>
      </c>
      <c r="N3649" s="14" t="str">
        <f>IFERROR(__xludf.DUMMYFUNCTION("""COMPUTED_VALUE"""),"")</f>
        <v/>
      </c>
      <c r="O3649" s="14"/>
    </row>
    <row r="3650" ht="22.5" hidden="1" customHeight="1">
      <c r="A3650" s="8">
        <v>46071.38022040509</v>
      </c>
      <c r="B3650" s="14">
        <v>46071.0</v>
      </c>
      <c r="C3650" s="9" t="s">
        <v>15</v>
      </c>
      <c r="D3650" s="9" t="s">
        <v>357</v>
      </c>
      <c r="E3650" s="9" t="s">
        <v>17</v>
      </c>
      <c r="F3650" s="9" t="s">
        <v>17</v>
      </c>
      <c r="G3650" s="9">
        <v>7.0</v>
      </c>
      <c r="H3650" s="9" t="s">
        <v>25</v>
      </c>
      <c r="I3650" s="9" t="s">
        <v>28</v>
      </c>
      <c r="J3650" s="10"/>
      <c r="K3650" s="14">
        <v>5.0</v>
      </c>
      <c r="N3650" s="14" t="str">
        <f>IFERROR(__xludf.DUMMYFUNCTION("""COMPUTED_VALUE"""),"")</f>
        <v/>
      </c>
      <c r="O3650" s="14"/>
    </row>
    <row r="3651" ht="22.5" hidden="1" customHeight="1">
      <c r="A3651" s="8">
        <v>46071.383748865745</v>
      </c>
      <c r="B3651" s="14">
        <v>46071.0</v>
      </c>
      <c r="C3651" s="9" t="s">
        <v>15</v>
      </c>
      <c r="D3651" s="9" t="s">
        <v>177</v>
      </c>
      <c r="E3651" s="9" t="s">
        <v>17</v>
      </c>
      <c r="F3651" s="9" t="s">
        <v>17</v>
      </c>
      <c r="G3651" s="9">
        <v>8.0</v>
      </c>
      <c r="H3651" s="9" t="s">
        <v>25</v>
      </c>
      <c r="I3651" s="9" t="s">
        <v>41</v>
      </c>
      <c r="J3651" s="10"/>
      <c r="K3651" s="14" t="s">
        <v>398</v>
      </c>
      <c r="N3651" s="14" t="str">
        <f>IFERROR(__xludf.DUMMYFUNCTION("""COMPUTED_VALUE"""),"")</f>
        <v/>
      </c>
      <c r="O3651" s="14"/>
    </row>
    <row r="3652" ht="22.5" hidden="1" customHeight="1">
      <c r="A3652" s="8">
        <v>46071.38453185185</v>
      </c>
      <c r="B3652" s="14">
        <v>46071.0</v>
      </c>
      <c r="C3652" s="9" t="s">
        <v>15</v>
      </c>
      <c r="D3652" s="9" t="s">
        <v>178</v>
      </c>
      <c r="E3652" s="9" t="s">
        <v>17</v>
      </c>
      <c r="F3652" s="9" t="s">
        <v>17</v>
      </c>
      <c r="G3652" s="9">
        <v>8.0</v>
      </c>
      <c r="H3652" s="9" t="s">
        <v>25</v>
      </c>
      <c r="I3652" s="9" t="s">
        <v>117</v>
      </c>
      <c r="J3652" s="10"/>
      <c r="K3652" s="14" t="s">
        <v>398</v>
      </c>
      <c r="N3652" s="14" t="str">
        <f>IFERROR(__xludf.DUMMYFUNCTION("""COMPUTED_VALUE"""),"")</f>
        <v/>
      </c>
      <c r="O3652" s="14"/>
    </row>
    <row r="3653" ht="22.5" hidden="1" customHeight="1">
      <c r="A3653" s="8">
        <v>46071.39106981481</v>
      </c>
      <c r="B3653" s="14">
        <v>46071.0</v>
      </c>
      <c r="C3653" s="9" t="s">
        <v>15</v>
      </c>
      <c r="D3653" s="9" t="s">
        <v>247</v>
      </c>
      <c r="E3653" s="9" t="s">
        <v>17</v>
      </c>
      <c r="F3653" s="9" t="s">
        <v>17</v>
      </c>
      <c r="G3653" s="9">
        <v>8.0</v>
      </c>
      <c r="H3653" s="9" t="s">
        <v>22</v>
      </c>
      <c r="I3653" s="9" t="s">
        <v>20</v>
      </c>
      <c r="J3653" s="10"/>
      <c r="K3653" s="14">
        <v>5.0</v>
      </c>
      <c r="N3653" s="14" t="str">
        <f>IFERROR(__xludf.DUMMYFUNCTION("""COMPUTED_VALUE"""),"")</f>
        <v/>
      </c>
      <c r="O3653" s="14"/>
    </row>
    <row r="3654" ht="22.5" hidden="1" customHeight="1">
      <c r="A3654" s="8">
        <v>46071.392809780096</v>
      </c>
      <c r="B3654" s="14">
        <v>46071.0</v>
      </c>
      <c r="C3654" s="9" t="s">
        <v>15</v>
      </c>
      <c r="D3654" s="9" t="s">
        <v>257</v>
      </c>
      <c r="E3654" s="9" t="s">
        <v>17</v>
      </c>
      <c r="F3654" s="9" t="s">
        <v>17</v>
      </c>
      <c r="G3654" s="9">
        <v>8.0</v>
      </c>
      <c r="H3654" s="9" t="s">
        <v>22</v>
      </c>
      <c r="I3654" s="9" t="s">
        <v>20</v>
      </c>
      <c r="J3654" s="10"/>
      <c r="K3654" s="14" t="s">
        <v>398</v>
      </c>
      <c r="N3654" s="14" t="str">
        <f>IFERROR(__xludf.DUMMYFUNCTION("""COMPUTED_VALUE"""),"")</f>
        <v/>
      </c>
      <c r="O3654" s="14"/>
    </row>
    <row r="3655" ht="22.5" hidden="1" customHeight="1">
      <c r="A3655" s="8">
        <v>46071.39316184028</v>
      </c>
      <c r="B3655" s="14">
        <v>46071.0</v>
      </c>
      <c r="C3655" s="9" t="s">
        <v>15</v>
      </c>
      <c r="D3655" s="9" t="s">
        <v>408</v>
      </c>
      <c r="E3655" s="9" t="s">
        <v>17</v>
      </c>
      <c r="F3655" s="9" t="s">
        <v>17</v>
      </c>
      <c r="G3655" s="9">
        <v>7.0</v>
      </c>
      <c r="H3655" s="9" t="s">
        <v>22</v>
      </c>
      <c r="I3655" s="9" t="s">
        <v>20</v>
      </c>
      <c r="J3655" s="10"/>
      <c r="K3655" s="14">
        <v>5.0</v>
      </c>
      <c r="N3655" s="14" t="str">
        <f>IFERROR(__xludf.DUMMYFUNCTION("""COMPUTED_VALUE"""),"")</f>
        <v/>
      </c>
      <c r="O3655" s="14"/>
    </row>
    <row r="3656" ht="22.5" hidden="1" customHeight="1">
      <c r="A3656" s="8">
        <v>46071.400987719906</v>
      </c>
      <c r="B3656" s="14">
        <v>46071.0</v>
      </c>
      <c r="C3656" s="9" t="s">
        <v>15</v>
      </c>
      <c r="D3656" s="9" t="s">
        <v>175</v>
      </c>
      <c r="E3656" s="9" t="s">
        <v>17</v>
      </c>
      <c r="F3656" s="9" t="s">
        <v>17</v>
      </c>
      <c r="G3656" s="9">
        <v>8.0</v>
      </c>
      <c r="H3656" s="9" t="s">
        <v>25</v>
      </c>
      <c r="I3656" s="9" t="s">
        <v>320</v>
      </c>
      <c r="J3656" s="10"/>
      <c r="K3656" s="14" t="s">
        <v>398</v>
      </c>
      <c r="N3656" s="14" t="str">
        <f>IFERROR(__xludf.DUMMYFUNCTION("""COMPUTED_VALUE"""),"")</f>
        <v/>
      </c>
      <c r="O3656" s="14"/>
    </row>
    <row r="3657" ht="22.5" hidden="1" customHeight="1">
      <c r="A3657" s="8">
        <v>46071.401335856484</v>
      </c>
      <c r="B3657" s="14">
        <v>46071.0</v>
      </c>
      <c r="C3657" s="9" t="s">
        <v>15</v>
      </c>
      <c r="D3657" s="9" t="s">
        <v>259</v>
      </c>
      <c r="E3657" s="9" t="s">
        <v>44</v>
      </c>
      <c r="F3657" s="9" t="s">
        <v>17</v>
      </c>
      <c r="G3657" s="9" t="s">
        <v>409</v>
      </c>
      <c r="H3657" s="9" t="s">
        <v>22</v>
      </c>
      <c r="I3657" s="9" t="s">
        <v>20</v>
      </c>
      <c r="J3657" s="10"/>
      <c r="K3657" s="14">
        <v>3.0</v>
      </c>
      <c r="N3657" s="14" t="str">
        <f>IFERROR(__xludf.DUMMYFUNCTION("""COMPUTED_VALUE"""),"")</f>
        <v/>
      </c>
      <c r="O3657" s="14"/>
    </row>
    <row r="3658" ht="22.5" hidden="1" customHeight="1">
      <c r="A3658" s="8">
        <v>46071.401664386576</v>
      </c>
      <c r="B3658" s="14">
        <v>46071.0</v>
      </c>
      <c r="C3658" s="9" t="s">
        <v>15</v>
      </c>
      <c r="D3658" s="9" t="s">
        <v>367</v>
      </c>
      <c r="E3658" s="9" t="s">
        <v>17</v>
      </c>
      <c r="F3658" s="9" t="s">
        <v>17</v>
      </c>
      <c r="G3658" s="9">
        <v>7.0</v>
      </c>
      <c r="H3658" s="9" t="s">
        <v>22</v>
      </c>
      <c r="I3658" s="9" t="s">
        <v>20</v>
      </c>
      <c r="J3658" s="10"/>
      <c r="K3658" s="14" t="s">
        <v>398</v>
      </c>
      <c r="N3658" s="14" t="str">
        <f>IFERROR(__xludf.DUMMYFUNCTION("""COMPUTED_VALUE"""),"")</f>
        <v/>
      </c>
      <c r="O3658" s="14"/>
    </row>
    <row r="3659" ht="22.5" hidden="1" customHeight="1">
      <c r="A3659" s="8">
        <v>46071.41155797454</v>
      </c>
      <c r="B3659" s="14">
        <v>46071.0</v>
      </c>
      <c r="C3659" s="9" t="s">
        <v>15</v>
      </c>
      <c r="D3659" s="9" t="s">
        <v>396</v>
      </c>
      <c r="E3659" s="9" t="s">
        <v>17</v>
      </c>
      <c r="F3659" s="9" t="s">
        <v>17</v>
      </c>
      <c r="G3659" s="9">
        <v>8.0</v>
      </c>
      <c r="H3659" s="9" t="s">
        <v>22</v>
      </c>
      <c r="I3659" s="9" t="s">
        <v>20</v>
      </c>
      <c r="J3659" s="10"/>
      <c r="K3659" s="14" t="s">
        <v>398</v>
      </c>
      <c r="N3659" s="14" t="str">
        <f>IFERROR(__xludf.DUMMYFUNCTION("""COMPUTED_VALUE"""),"")</f>
        <v/>
      </c>
      <c r="O3659" s="14"/>
    </row>
    <row r="3660" ht="22.5" hidden="1" customHeight="1">
      <c r="A3660" s="8">
        <v>46071.41176229167</v>
      </c>
      <c r="B3660" s="14">
        <v>46071.0</v>
      </c>
      <c r="C3660" s="9" t="s">
        <v>15</v>
      </c>
      <c r="D3660" s="9" t="s">
        <v>210</v>
      </c>
      <c r="E3660" s="9" t="s">
        <v>17</v>
      </c>
      <c r="F3660" s="9" t="s">
        <v>17</v>
      </c>
      <c r="G3660" s="9">
        <v>7.0</v>
      </c>
      <c r="H3660" s="9" t="s">
        <v>22</v>
      </c>
      <c r="I3660" s="9" t="s">
        <v>20</v>
      </c>
      <c r="J3660" s="10"/>
      <c r="K3660" s="14">
        <v>6.0</v>
      </c>
      <c r="N3660" s="14" t="str">
        <f>IFERROR(__xludf.DUMMYFUNCTION("""COMPUTED_VALUE"""),"")</f>
        <v/>
      </c>
      <c r="O3660" s="14"/>
    </row>
    <row r="3661" ht="22.5" hidden="1" customHeight="1">
      <c r="A3661" s="8">
        <v>46072.38826245371</v>
      </c>
      <c r="B3661" s="14">
        <v>46072.0</v>
      </c>
      <c r="C3661" s="9" t="s">
        <v>31</v>
      </c>
      <c r="D3661" s="9" t="s">
        <v>395</v>
      </c>
      <c r="E3661" s="9" t="s">
        <v>17</v>
      </c>
      <c r="F3661" s="9" t="s">
        <v>17</v>
      </c>
      <c r="G3661" s="9">
        <v>7.0</v>
      </c>
      <c r="H3661" s="9" t="s">
        <v>22</v>
      </c>
      <c r="I3661" s="9" t="s">
        <v>20</v>
      </c>
      <c r="J3661" s="10"/>
      <c r="K3661" s="14">
        <v>3.0</v>
      </c>
      <c r="N3661" s="14" t="str">
        <f>IFERROR(__xludf.DUMMYFUNCTION("""COMPUTED_VALUE"""),"")</f>
        <v/>
      </c>
      <c r="O3661" s="14"/>
    </row>
    <row r="3662" ht="22.5" hidden="1" customHeight="1">
      <c r="A3662" s="8">
        <v>46072.38851804398</v>
      </c>
      <c r="B3662" s="14">
        <v>46072.0</v>
      </c>
      <c r="C3662" s="9" t="s">
        <v>31</v>
      </c>
      <c r="D3662" s="9" t="s">
        <v>412</v>
      </c>
      <c r="E3662" s="9" t="s">
        <v>17</v>
      </c>
      <c r="F3662" s="9" t="s">
        <v>17</v>
      </c>
      <c r="G3662" s="9">
        <v>7.0</v>
      </c>
      <c r="H3662" s="9" t="s">
        <v>22</v>
      </c>
      <c r="I3662" s="9" t="s">
        <v>20</v>
      </c>
      <c r="J3662" s="10"/>
      <c r="K3662" s="14">
        <v>4.0</v>
      </c>
      <c r="N3662" s="14" t="str">
        <f>IFERROR(__xludf.DUMMYFUNCTION("""COMPUTED_VALUE"""),"")</f>
        <v/>
      </c>
      <c r="O3662" s="14"/>
    </row>
    <row r="3663" ht="22.5" hidden="1" customHeight="1">
      <c r="A3663" s="8">
        <v>46072.388759629626</v>
      </c>
      <c r="B3663" s="14">
        <v>46072.0</v>
      </c>
      <c r="C3663" s="9" t="s">
        <v>31</v>
      </c>
      <c r="D3663" s="9" t="s">
        <v>396</v>
      </c>
      <c r="E3663" s="9" t="s">
        <v>17</v>
      </c>
      <c r="F3663" s="9" t="s">
        <v>17</v>
      </c>
      <c r="G3663" s="9">
        <v>7.0</v>
      </c>
      <c r="H3663" s="9" t="s">
        <v>22</v>
      </c>
      <c r="I3663" s="9" t="s">
        <v>20</v>
      </c>
      <c r="J3663" s="10"/>
      <c r="K3663" s="14">
        <v>2.0</v>
      </c>
      <c r="N3663" s="14" t="str">
        <f>IFERROR(__xludf.DUMMYFUNCTION("""COMPUTED_VALUE"""),"")</f>
        <v/>
      </c>
      <c r="O3663" s="14"/>
    </row>
    <row r="3664" ht="22.5" hidden="1" customHeight="1">
      <c r="A3664" s="8">
        <v>46072.38966396991</v>
      </c>
      <c r="B3664" s="14">
        <v>46072.0</v>
      </c>
      <c r="C3664" s="9" t="s">
        <v>31</v>
      </c>
      <c r="D3664" s="9" t="s">
        <v>247</v>
      </c>
      <c r="E3664" s="9" t="s">
        <v>17</v>
      </c>
      <c r="F3664" s="9" t="s">
        <v>17</v>
      </c>
      <c r="G3664" s="9">
        <v>8.0</v>
      </c>
      <c r="H3664" s="9" t="s">
        <v>22</v>
      </c>
      <c r="I3664" s="9" t="s">
        <v>20</v>
      </c>
      <c r="J3664" s="10"/>
      <c r="K3664" s="14">
        <v>5.0</v>
      </c>
      <c r="N3664" s="14" t="str">
        <f>IFERROR(__xludf.DUMMYFUNCTION("""COMPUTED_VALUE"""),"")</f>
        <v/>
      </c>
      <c r="O3664" s="14"/>
    </row>
    <row r="3665" ht="22.5" hidden="1" customHeight="1">
      <c r="A3665" s="8">
        <v>46072.38995052083</v>
      </c>
      <c r="B3665" s="14">
        <v>46072.0</v>
      </c>
      <c r="C3665" s="9" t="s">
        <v>31</v>
      </c>
      <c r="D3665" s="9" t="s">
        <v>257</v>
      </c>
      <c r="E3665" s="9" t="s">
        <v>17</v>
      </c>
      <c r="F3665" s="9" t="s">
        <v>17</v>
      </c>
      <c r="G3665" s="9">
        <v>7.0</v>
      </c>
      <c r="H3665" s="9" t="s">
        <v>25</v>
      </c>
      <c r="I3665" s="9" t="s">
        <v>26</v>
      </c>
      <c r="J3665" s="10"/>
      <c r="K3665" s="14" t="s">
        <v>398</v>
      </c>
      <c r="N3665" s="14" t="str">
        <f>IFERROR(__xludf.DUMMYFUNCTION("""COMPUTED_VALUE"""),"")</f>
        <v/>
      </c>
      <c r="O3665" s="14"/>
    </row>
    <row r="3666" ht="22.5" hidden="1" customHeight="1">
      <c r="A3666" s="8">
        <v>46072.39038460648</v>
      </c>
      <c r="B3666" s="14">
        <v>46072.0</v>
      </c>
      <c r="C3666" s="9" t="s">
        <v>31</v>
      </c>
      <c r="D3666" s="9" t="s">
        <v>247</v>
      </c>
      <c r="E3666" s="9" t="s">
        <v>17</v>
      </c>
      <c r="F3666" s="9" t="s">
        <v>17</v>
      </c>
      <c r="G3666" s="9">
        <v>8.0</v>
      </c>
      <c r="H3666" s="9" t="s">
        <v>22</v>
      </c>
      <c r="I3666" s="9" t="s">
        <v>20</v>
      </c>
      <c r="J3666" s="10"/>
      <c r="K3666" s="14">
        <v>5.0</v>
      </c>
      <c r="N3666" s="14" t="str">
        <f>IFERROR(__xludf.DUMMYFUNCTION("""COMPUTED_VALUE"""),"")</f>
        <v/>
      </c>
      <c r="O3666" s="14"/>
    </row>
    <row r="3667" ht="22.5" hidden="1" customHeight="1">
      <c r="A3667" s="8">
        <v>46072.39064324074</v>
      </c>
      <c r="B3667" s="14">
        <v>46072.0</v>
      </c>
      <c r="C3667" s="9" t="s">
        <v>31</v>
      </c>
      <c r="D3667" s="9" t="s">
        <v>249</v>
      </c>
      <c r="E3667" s="9" t="s">
        <v>46</v>
      </c>
      <c r="F3667" s="9" t="s">
        <v>17</v>
      </c>
      <c r="G3667" s="9">
        <v>7.0</v>
      </c>
      <c r="H3667" s="9" t="s">
        <v>22</v>
      </c>
      <c r="I3667" s="9" t="s">
        <v>20</v>
      </c>
      <c r="J3667" s="10"/>
      <c r="K3667" s="14" t="s">
        <v>398</v>
      </c>
      <c r="N3667" s="14" t="str">
        <f>IFERROR(__xludf.DUMMYFUNCTION("""COMPUTED_VALUE"""),"")</f>
        <v/>
      </c>
      <c r="O3667" s="14"/>
    </row>
    <row r="3668" ht="22.5" hidden="1" customHeight="1">
      <c r="A3668" s="8">
        <v>46072.39097483797</v>
      </c>
      <c r="B3668" s="14">
        <v>46072.0</v>
      </c>
      <c r="C3668" s="9" t="s">
        <v>31</v>
      </c>
      <c r="D3668" s="9" t="s">
        <v>177</v>
      </c>
      <c r="E3668" s="9" t="s">
        <v>17</v>
      </c>
      <c r="F3668" s="9" t="s">
        <v>17</v>
      </c>
      <c r="G3668" s="9">
        <v>8.0</v>
      </c>
      <c r="H3668" s="9" t="s">
        <v>22</v>
      </c>
      <c r="I3668" s="9" t="s">
        <v>20</v>
      </c>
      <c r="J3668" s="10"/>
      <c r="K3668" s="14">
        <v>4.0</v>
      </c>
      <c r="N3668" s="14" t="str">
        <f>IFERROR(__xludf.DUMMYFUNCTION("""COMPUTED_VALUE"""),"")</f>
        <v/>
      </c>
      <c r="O3668" s="14"/>
    </row>
    <row r="3669" ht="22.5" hidden="1" customHeight="1">
      <c r="A3669" s="8">
        <v>46072.39115258102</v>
      </c>
      <c r="B3669" s="14">
        <v>46072.0</v>
      </c>
      <c r="C3669" s="9" t="s">
        <v>31</v>
      </c>
      <c r="D3669" s="9" t="s">
        <v>413</v>
      </c>
      <c r="E3669" s="9" t="s">
        <v>17</v>
      </c>
      <c r="F3669" s="9" t="s">
        <v>17</v>
      </c>
      <c r="G3669" s="9">
        <v>8.0</v>
      </c>
      <c r="H3669" s="9" t="s">
        <v>22</v>
      </c>
      <c r="I3669" s="9" t="s">
        <v>20</v>
      </c>
      <c r="J3669" s="10"/>
      <c r="K3669" s="14">
        <v>3.0</v>
      </c>
      <c r="N3669" s="14" t="str">
        <f>IFERROR(__xludf.DUMMYFUNCTION("""COMPUTED_VALUE"""),"")</f>
        <v/>
      </c>
      <c r="O3669" s="14"/>
    </row>
    <row r="3670" ht="22.5" hidden="1" customHeight="1">
      <c r="A3670" s="8">
        <v>46072.39145096065</v>
      </c>
      <c r="B3670" s="14">
        <v>46072.0</v>
      </c>
      <c r="C3670" s="9" t="s">
        <v>31</v>
      </c>
      <c r="D3670" s="9" t="s">
        <v>280</v>
      </c>
      <c r="E3670" s="9" t="s">
        <v>17</v>
      </c>
      <c r="F3670" s="9" t="s">
        <v>17</v>
      </c>
      <c r="G3670" s="9">
        <v>7.0</v>
      </c>
      <c r="H3670" s="9" t="s">
        <v>22</v>
      </c>
      <c r="I3670" s="9" t="s">
        <v>20</v>
      </c>
      <c r="J3670" s="10"/>
      <c r="K3670" s="14">
        <v>4.0</v>
      </c>
      <c r="N3670" s="14" t="str">
        <f>IFERROR(__xludf.DUMMYFUNCTION("""COMPUTED_VALUE"""),"")</f>
        <v/>
      </c>
      <c r="O3670" s="14"/>
    </row>
    <row r="3671" ht="22.5" hidden="1" customHeight="1">
      <c r="A3671" s="8">
        <v>46072.39173811342</v>
      </c>
      <c r="B3671" s="14">
        <v>46072.0</v>
      </c>
      <c r="C3671" s="9" t="s">
        <v>31</v>
      </c>
      <c r="D3671" s="9" t="s">
        <v>393</v>
      </c>
      <c r="E3671" s="9" t="s">
        <v>17</v>
      </c>
      <c r="F3671" s="9" t="s">
        <v>17</v>
      </c>
      <c r="G3671" s="9">
        <v>8.0</v>
      </c>
      <c r="H3671" s="9" t="s">
        <v>22</v>
      </c>
      <c r="I3671" s="9" t="s">
        <v>20</v>
      </c>
      <c r="J3671" s="10"/>
      <c r="K3671" s="14">
        <v>3.0</v>
      </c>
      <c r="N3671" s="14" t="str">
        <f>IFERROR(__xludf.DUMMYFUNCTION("""COMPUTED_VALUE"""),"")</f>
        <v/>
      </c>
      <c r="O3671" s="14"/>
    </row>
    <row r="3672" ht="22.5" hidden="1" customHeight="1">
      <c r="A3672" s="8">
        <v>46072.3919834375</v>
      </c>
      <c r="B3672" s="14">
        <v>46072.0</v>
      </c>
      <c r="C3672" s="9" t="s">
        <v>31</v>
      </c>
      <c r="D3672" s="9" t="s">
        <v>335</v>
      </c>
      <c r="E3672" s="9" t="s">
        <v>17</v>
      </c>
      <c r="F3672" s="9" t="s">
        <v>17</v>
      </c>
      <c r="G3672" s="9">
        <v>8.0</v>
      </c>
      <c r="H3672" s="9" t="s">
        <v>25</v>
      </c>
      <c r="I3672" s="9" t="s">
        <v>411</v>
      </c>
      <c r="J3672" s="10"/>
      <c r="K3672" s="14" t="s">
        <v>398</v>
      </c>
      <c r="N3672" s="14" t="str">
        <f>IFERROR(__xludf.DUMMYFUNCTION("""COMPUTED_VALUE"""),"")</f>
        <v/>
      </c>
      <c r="O3672" s="14"/>
    </row>
    <row r="3673" ht="22.5" hidden="1" customHeight="1">
      <c r="A3673" s="8">
        <v>46072.39231896991</v>
      </c>
      <c r="B3673" s="14">
        <v>46072.0</v>
      </c>
      <c r="C3673" s="9" t="s">
        <v>31</v>
      </c>
      <c r="D3673" s="9" t="s">
        <v>394</v>
      </c>
      <c r="E3673" s="9" t="s">
        <v>17</v>
      </c>
      <c r="F3673" s="9" t="s">
        <v>17</v>
      </c>
      <c r="G3673" s="9">
        <v>7.0</v>
      </c>
      <c r="H3673" s="9" t="s">
        <v>22</v>
      </c>
      <c r="I3673" s="9" t="s">
        <v>20</v>
      </c>
      <c r="J3673" s="10"/>
      <c r="K3673" s="14">
        <v>3.0</v>
      </c>
      <c r="N3673" s="14" t="str">
        <f>IFERROR(__xludf.DUMMYFUNCTION("""COMPUTED_VALUE"""),"")</f>
        <v/>
      </c>
      <c r="O3673" s="14"/>
    </row>
    <row r="3674" ht="22.5" hidden="1" customHeight="1">
      <c r="A3674" s="8">
        <v>46072.3925293287</v>
      </c>
      <c r="B3674" s="14">
        <v>46072.0</v>
      </c>
      <c r="C3674" s="9" t="s">
        <v>31</v>
      </c>
      <c r="D3674" s="9" t="s">
        <v>174</v>
      </c>
      <c r="E3674" s="9" t="s">
        <v>17</v>
      </c>
      <c r="F3674" s="9" t="s">
        <v>17</v>
      </c>
      <c r="G3674" s="9">
        <v>8.0</v>
      </c>
      <c r="H3674" s="9" t="s">
        <v>22</v>
      </c>
      <c r="I3674" s="9" t="s">
        <v>20</v>
      </c>
      <c r="J3674" s="10"/>
      <c r="K3674" s="14">
        <v>3.0</v>
      </c>
      <c r="N3674" s="14" t="str">
        <f>IFERROR(__xludf.DUMMYFUNCTION("""COMPUTED_VALUE"""),"")</f>
        <v/>
      </c>
      <c r="O3674" s="14"/>
    </row>
    <row r="3675" ht="22.5" hidden="1" customHeight="1">
      <c r="A3675" s="8">
        <v>46072.39307704861</v>
      </c>
      <c r="B3675" s="14">
        <v>46072.0</v>
      </c>
      <c r="C3675" s="9" t="s">
        <v>31</v>
      </c>
      <c r="D3675" s="9" t="s">
        <v>258</v>
      </c>
      <c r="E3675" s="9" t="s">
        <v>17</v>
      </c>
      <c r="F3675" s="9" t="s">
        <v>17</v>
      </c>
      <c r="G3675" s="9">
        <v>8.0</v>
      </c>
      <c r="H3675" s="9" t="s">
        <v>22</v>
      </c>
      <c r="I3675" s="9" t="s">
        <v>20</v>
      </c>
      <c r="J3675" s="10"/>
      <c r="K3675" s="14">
        <v>5.0</v>
      </c>
      <c r="N3675" s="14" t="str">
        <f>IFERROR(__xludf.DUMMYFUNCTION("""COMPUTED_VALUE"""),"")</f>
        <v/>
      </c>
      <c r="O3675" s="14"/>
    </row>
    <row r="3676" ht="22.5" hidden="1" customHeight="1">
      <c r="A3676" s="8">
        <v>46072.39333815972</v>
      </c>
      <c r="B3676" s="14">
        <v>46072.0</v>
      </c>
      <c r="C3676" s="9" t="s">
        <v>31</v>
      </c>
      <c r="D3676" s="9" t="s">
        <v>369</v>
      </c>
      <c r="E3676" s="9" t="s">
        <v>17</v>
      </c>
      <c r="F3676" s="9" t="s">
        <v>17</v>
      </c>
      <c r="G3676" s="9">
        <v>8.0</v>
      </c>
      <c r="H3676" s="9" t="s">
        <v>25</v>
      </c>
      <c r="I3676" s="9" t="s">
        <v>79</v>
      </c>
      <c r="J3676" s="10"/>
      <c r="K3676" s="14">
        <v>4.0</v>
      </c>
      <c r="N3676" s="14" t="str">
        <f>IFERROR(__xludf.DUMMYFUNCTION("""COMPUTED_VALUE"""),"")</f>
        <v/>
      </c>
      <c r="O3676" s="14"/>
    </row>
    <row r="3677" ht="22.5" hidden="1" customHeight="1">
      <c r="A3677" s="8">
        <v>46072.39369033565</v>
      </c>
      <c r="B3677" s="14">
        <v>46072.0</v>
      </c>
      <c r="C3677" s="9" t="s">
        <v>31</v>
      </c>
      <c r="D3677" s="9" t="s">
        <v>423</v>
      </c>
      <c r="E3677" s="9" t="s">
        <v>17</v>
      </c>
      <c r="F3677" s="9" t="s">
        <v>17</v>
      </c>
      <c r="G3677" s="9">
        <v>8.0</v>
      </c>
      <c r="H3677" s="9" t="s">
        <v>22</v>
      </c>
      <c r="I3677" s="9" t="s">
        <v>20</v>
      </c>
      <c r="J3677" s="10"/>
      <c r="K3677" s="14" t="s">
        <v>398</v>
      </c>
      <c r="N3677" s="14" t="str">
        <f>IFERROR(__xludf.DUMMYFUNCTION("""COMPUTED_VALUE"""),"")</f>
        <v/>
      </c>
      <c r="O3677" s="14"/>
    </row>
    <row r="3678" ht="22.5" hidden="1" customHeight="1">
      <c r="A3678" s="8">
        <v>46072.39393302084</v>
      </c>
      <c r="B3678" s="14">
        <v>46072.0</v>
      </c>
      <c r="C3678" s="9" t="s">
        <v>31</v>
      </c>
      <c r="D3678" s="9" t="s">
        <v>414</v>
      </c>
      <c r="E3678" s="9" t="s">
        <v>17</v>
      </c>
      <c r="F3678" s="9" t="s">
        <v>17</v>
      </c>
      <c r="G3678" s="9">
        <v>7.0</v>
      </c>
      <c r="H3678" s="9" t="s">
        <v>22</v>
      </c>
      <c r="I3678" s="9" t="s">
        <v>20</v>
      </c>
      <c r="J3678" s="10"/>
      <c r="K3678" s="14">
        <v>5.0</v>
      </c>
      <c r="N3678" s="14" t="str">
        <f>IFERROR(__xludf.DUMMYFUNCTION("""COMPUTED_VALUE"""),"")</f>
        <v/>
      </c>
      <c r="O3678" s="14"/>
    </row>
    <row r="3679" ht="22.5" hidden="1" customHeight="1">
      <c r="A3679" s="8">
        <v>46072.3942012037</v>
      </c>
      <c r="B3679" s="14">
        <v>46072.0</v>
      </c>
      <c r="C3679" s="9" t="s">
        <v>31</v>
      </c>
      <c r="D3679" s="9" t="s">
        <v>105</v>
      </c>
      <c r="E3679" s="9" t="s">
        <v>17</v>
      </c>
      <c r="F3679" s="9" t="s">
        <v>17</v>
      </c>
      <c r="G3679" s="9">
        <v>7.0</v>
      </c>
      <c r="H3679" s="9" t="s">
        <v>22</v>
      </c>
      <c r="I3679" s="9" t="s">
        <v>20</v>
      </c>
      <c r="J3679" s="10"/>
      <c r="K3679" s="14">
        <v>2.0</v>
      </c>
      <c r="N3679" s="14" t="str">
        <f>IFERROR(__xludf.DUMMYFUNCTION("""COMPUTED_VALUE"""),"")</f>
        <v/>
      </c>
      <c r="O3679" s="14"/>
    </row>
    <row r="3680" ht="22.5" hidden="1" customHeight="1">
      <c r="A3680" s="8">
        <v>46072.39439920139</v>
      </c>
      <c r="B3680" s="14">
        <v>46072.0</v>
      </c>
      <c r="C3680" s="9" t="s">
        <v>31</v>
      </c>
      <c r="D3680" s="9" t="s">
        <v>408</v>
      </c>
      <c r="E3680" s="9" t="s">
        <v>17</v>
      </c>
      <c r="F3680" s="9" t="s">
        <v>17</v>
      </c>
      <c r="G3680" s="9">
        <v>8.0</v>
      </c>
      <c r="H3680" s="9" t="s">
        <v>22</v>
      </c>
      <c r="I3680" s="9" t="s">
        <v>20</v>
      </c>
      <c r="J3680" s="10"/>
      <c r="K3680" s="14">
        <v>5.0</v>
      </c>
      <c r="N3680" s="14" t="str">
        <f>IFERROR(__xludf.DUMMYFUNCTION("""COMPUTED_VALUE"""),"")</f>
        <v/>
      </c>
      <c r="O3680" s="14"/>
    </row>
    <row r="3681" ht="22.5" hidden="1" customHeight="1">
      <c r="A3681" s="8">
        <v>46072.39466658565</v>
      </c>
      <c r="B3681" s="14">
        <v>46072.0</v>
      </c>
      <c r="C3681" s="9" t="s">
        <v>31</v>
      </c>
      <c r="D3681" s="9" t="s">
        <v>171</v>
      </c>
      <c r="E3681" s="9" t="s">
        <v>17</v>
      </c>
      <c r="F3681" s="9" t="s">
        <v>17</v>
      </c>
      <c r="G3681" s="9">
        <v>7.0</v>
      </c>
      <c r="H3681" s="9" t="s">
        <v>25</v>
      </c>
      <c r="I3681" s="9" t="s">
        <v>26</v>
      </c>
      <c r="J3681" s="10"/>
      <c r="K3681" s="14">
        <v>5.0</v>
      </c>
      <c r="N3681" s="14" t="str">
        <f>IFERROR(__xludf.DUMMYFUNCTION("""COMPUTED_VALUE"""),"")</f>
        <v/>
      </c>
      <c r="O3681" s="14"/>
    </row>
    <row r="3682" ht="22.5" hidden="1" customHeight="1">
      <c r="A3682" s="8">
        <v>46072.39525540509</v>
      </c>
      <c r="B3682" s="14">
        <v>46072.0</v>
      </c>
      <c r="C3682" s="9" t="s">
        <v>31</v>
      </c>
      <c r="D3682" s="9" t="s">
        <v>421</v>
      </c>
      <c r="E3682" s="9" t="s">
        <v>17</v>
      </c>
      <c r="F3682" s="9" t="s">
        <v>17</v>
      </c>
      <c r="G3682" s="9">
        <v>8.0</v>
      </c>
      <c r="H3682" s="9" t="s">
        <v>22</v>
      </c>
      <c r="I3682" s="9" t="s">
        <v>20</v>
      </c>
      <c r="J3682" s="10"/>
      <c r="K3682" s="14">
        <v>4.0</v>
      </c>
      <c r="N3682" s="14" t="str">
        <f>IFERROR(__xludf.DUMMYFUNCTION("""COMPUTED_VALUE"""),"")</f>
        <v/>
      </c>
      <c r="O3682" s="14"/>
    </row>
    <row r="3683" ht="22.5" hidden="1" customHeight="1">
      <c r="A3683" s="8">
        <v>46072.395954837964</v>
      </c>
      <c r="B3683" s="14">
        <v>46072.0</v>
      </c>
      <c r="C3683" s="9" t="s">
        <v>31</v>
      </c>
      <c r="D3683" s="9" t="s">
        <v>175</v>
      </c>
      <c r="E3683" s="9" t="s">
        <v>17</v>
      </c>
      <c r="F3683" s="9" t="s">
        <v>17</v>
      </c>
      <c r="G3683" s="9">
        <v>8.0</v>
      </c>
      <c r="H3683" s="9" t="s">
        <v>25</v>
      </c>
      <c r="I3683" s="9" t="s">
        <v>417</v>
      </c>
      <c r="J3683" s="10"/>
      <c r="K3683" s="14">
        <v>5.0</v>
      </c>
      <c r="N3683" s="14" t="str">
        <f>IFERROR(__xludf.DUMMYFUNCTION("""COMPUTED_VALUE"""),"")</f>
        <v/>
      </c>
      <c r="O3683" s="14"/>
    </row>
    <row r="3684" ht="22.5" hidden="1" customHeight="1">
      <c r="A3684" s="8">
        <v>46072.39617216436</v>
      </c>
      <c r="B3684" s="14">
        <v>46072.0</v>
      </c>
      <c r="C3684" s="9" t="s">
        <v>31</v>
      </c>
      <c r="D3684" s="9" t="s">
        <v>210</v>
      </c>
      <c r="E3684" s="9" t="s">
        <v>17</v>
      </c>
      <c r="F3684" s="9" t="s">
        <v>17</v>
      </c>
      <c r="G3684" s="9">
        <v>7.0</v>
      </c>
      <c r="H3684" s="9" t="s">
        <v>22</v>
      </c>
      <c r="I3684" s="9" t="s">
        <v>20</v>
      </c>
      <c r="J3684" s="10"/>
      <c r="K3684" s="14">
        <v>5.0</v>
      </c>
      <c r="N3684" s="14" t="str">
        <f>IFERROR(__xludf.DUMMYFUNCTION("""COMPUTED_VALUE"""),"")</f>
        <v/>
      </c>
      <c r="O3684" s="14"/>
    </row>
    <row r="3685" ht="22.5" hidden="1" customHeight="1">
      <c r="A3685" s="8">
        <v>46072.39648085648</v>
      </c>
      <c r="B3685" s="14">
        <v>46072.0</v>
      </c>
      <c r="C3685" s="9" t="s">
        <v>31</v>
      </c>
      <c r="D3685" s="9" t="s">
        <v>259</v>
      </c>
      <c r="E3685" s="9" t="s">
        <v>17</v>
      </c>
      <c r="F3685" s="9" t="s">
        <v>17</v>
      </c>
      <c r="G3685" s="9">
        <v>8.0</v>
      </c>
      <c r="H3685" s="9" t="s">
        <v>22</v>
      </c>
      <c r="I3685" s="9" t="s">
        <v>20</v>
      </c>
      <c r="J3685" s="10"/>
      <c r="K3685" s="14">
        <v>5.0</v>
      </c>
      <c r="N3685" s="14" t="str">
        <f>IFERROR(__xludf.DUMMYFUNCTION("""COMPUTED_VALUE"""),"")</f>
        <v/>
      </c>
      <c r="O3685" s="14"/>
    </row>
    <row r="3686" ht="22.5" hidden="1" customHeight="1">
      <c r="A3686" s="8">
        <v>46072.39692673611</v>
      </c>
      <c r="B3686" s="14">
        <v>46072.0</v>
      </c>
      <c r="C3686" s="9" t="s">
        <v>31</v>
      </c>
      <c r="D3686" s="9" t="s">
        <v>178</v>
      </c>
      <c r="E3686" s="9" t="s">
        <v>17</v>
      </c>
      <c r="F3686" s="9" t="s">
        <v>17</v>
      </c>
      <c r="G3686" s="9">
        <v>8.0</v>
      </c>
      <c r="H3686" s="9" t="s">
        <v>25</v>
      </c>
      <c r="I3686" s="9" t="s">
        <v>20</v>
      </c>
      <c r="J3686" s="10"/>
      <c r="K3686" s="14">
        <v>8.0</v>
      </c>
      <c r="N3686" s="14" t="str">
        <f>IFERROR(__xludf.DUMMYFUNCTION("""COMPUTED_VALUE"""),"")</f>
        <v/>
      </c>
      <c r="O3686" s="14"/>
    </row>
    <row r="3687" ht="22.5" hidden="1" customHeight="1">
      <c r="A3687" s="8">
        <v>46072.39725613426</v>
      </c>
      <c r="B3687" s="14">
        <v>46072.0</v>
      </c>
      <c r="C3687" s="9" t="s">
        <v>31</v>
      </c>
      <c r="D3687" s="9" t="s">
        <v>367</v>
      </c>
      <c r="E3687" s="9" t="s">
        <v>17</v>
      </c>
      <c r="F3687" s="9" t="s">
        <v>17</v>
      </c>
      <c r="G3687" s="9">
        <v>8.0</v>
      </c>
      <c r="H3687" s="9" t="s">
        <v>22</v>
      </c>
      <c r="I3687" s="9" t="s">
        <v>20</v>
      </c>
      <c r="J3687" s="10"/>
      <c r="K3687" s="14">
        <v>7.0</v>
      </c>
      <c r="N3687" s="14" t="str">
        <f>IFERROR(__xludf.DUMMYFUNCTION("""COMPUTED_VALUE"""),"")</f>
        <v/>
      </c>
      <c r="O3687" s="14"/>
    </row>
    <row r="3688" ht="22.5" hidden="1" customHeight="1">
      <c r="A3688" s="8">
        <v>46072.397515902776</v>
      </c>
      <c r="B3688" s="14">
        <v>46072.0</v>
      </c>
      <c r="C3688" s="9" t="s">
        <v>31</v>
      </c>
      <c r="D3688" s="9" t="s">
        <v>350</v>
      </c>
      <c r="E3688" s="9" t="s">
        <v>17</v>
      </c>
      <c r="F3688" s="9" t="s">
        <v>17</v>
      </c>
      <c r="G3688" s="9">
        <v>8.0</v>
      </c>
      <c r="H3688" s="9" t="s">
        <v>22</v>
      </c>
      <c r="I3688" s="9" t="s">
        <v>20</v>
      </c>
      <c r="J3688" s="10"/>
      <c r="K3688" s="14">
        <v>5.0</v>
      </c>
      <c r="N3688" s="14" t="str">
        <f>IFERROR(__xludf.DUMMYFUNCTION("""COMPUTED_VALUE"""),"")</f>
        <v/>
      </c>
      <c r="O3688" s="14"/>
    </row>
    <row r="3689" ht="22.5" hidden="1" customHeight="1">
      <c r="A3689" s="8">
        <v>46072.39773707176</v>
      </c>
      <c r="B3689" s="14">
        <v>46072.0</v>
      </c>
      <c r="C3689" s="9" t="s">
        <v>31</v>
      </c>
      <c r="D3689" s="9" t="s">
        <v>357</v>
      </c>
      <c r="E3689" s="9" t="s">
        <v>17</v>
      </c>
      <c r="F3689" s="9" t="s">
        <v>17</v>
      </c>
      <c r="G3689" s="9">
        <v>8.0</v>
      </c>
      <c r="H3689" s="9" t="s">
        <v>22</v>
      </c>
      <c r="I3689" s="9" t="s">
        <v>20</v>
      </c>
      <c r="J3689" s="10"/>
      <c r="K3689" s="14">
        <v>4.0</v>
      </c>
      <c r="N3689" s="14" t="str">
        <f>IFERROR(__xludf.DUMMYFUNCTION("""COMPUTED_VALUE"""),"")</f>
        <v/>
      </c>
      <c r="O3689" s="14"/>
    </row>
    <row r="3690" ht="22.5" hidden="1" customHeight="1">
      <c r="A3690" s="8">
        <v>46076.37077097222</v>
      </c>
      <c r="B3690" s="14">
        <v>46076.0</v>
      </c>
      <c r="C3690" s="9" t="s">
        <v>86</v>
      </c>
      <c r="D3690" s="9" t="s">
        <v>258</v>
      </c>
      <c r="E3690" s="9" t="s">
        <v>17</v>
      </c>
      <c r="F3690" s="9" t="s">
        <v>17</v>
      </c>
      <c r="G3690" s="9">
        <v>8.0</v>
      </c>
      <c r="H3690" s="9" t="s">
        <v>22</v>
      </c>
      <c r="I3690" s="9" t="s">
        <v>20</v>
      </c>
      <c r="J3690" s="10"/>
      <c r="K3690" s="14" t="s">
        <v>398</v>
      </c>
      <c r="N3690" s="14" t="str">
        <f>IFERROR(__xludf.DUMMYFUNCTION("""COMPUTED_VALUE"""),"")</f>
        <v/>
      </c>
      <c r="O3690" s="14"/>
    </row>
    <row r="3691" ht="22.5" hidden="1" customHeight="1">
      <c r="A3691" s="8">
        <v>46076.3710397338</v>
      </c>
      <c r="B3691" s="14">
        <v>46076.0</v>
      </c>
      <c r="C3691" s="9" t="s">
        <v>86</v>
      </c>
      <c r="D3691" s="9" t="s">
        <v>105</v>
      </c>
      <c r="E3691" s="9" t="s">
        <v>17</v>
      </c>
      <c r="F3691" s="9" t="s">
        <v>17</v>
      </c>
      <c r="G3691" s="9">
        <v>8.0</v>
      </c>
      <c r="H3691" s="9" t="s">
        <v>22</v>
      </c>
      <c r="I3691" s="9" t="s">
        <v>20</v>
      </c>
      <c r="J3691" s="10"/>
      <c r="K3691" s="14" t="s">
        <v>398</v>
      </c>
      <c r="N3691" s="14" t="str">
        <f>IFERROR(__xludf.DUMMYFUNCTION("""COMPUTED_VALUE"""),"")</f>
        <v/>
      </c>
      <c r="O3691" s="14"/>
    </row>
    <row r="3692" ht="22.5" hidden="1" customHeight="1">
      <c r="A3692" s="8">
        <v>46076.371291724536</v>
      </c>
      <c r="B3692" s="14">
        <v>46076.0</v>
      </c>
      <c r="C3692" s="9" t="s">
        <v>86</v>
      </c>
      <c r="D3692" s="9" t="s">
        <v>280</v>
      </c>
      <c r="E3692" s="9" t="s">
        <v>17</v>
      </c>
      <c r="F3692" s="9" t="s">
        <v>17</v>
      </c>
      <c r="G3692" s="9">
        <v>8.0</v>
      </c>
      <c r="H3692" s="9" t="s">
        <v>22</v>
      </c>
      <c r="I3692" s="9" t="s">
        <v>20</v>
      </c>
      <c r="J3692" s="10"/>
      <c r="K3692" s="14" t="s">
        <v>398</v>
      </c>
      <c r="N3692" s="14" t="str">
        <f>IFERROR(__xludf.DUMMYFUNCTION("""COMPUTED_VALUE"""),"")</f>
        <v/>
      </c>
      <c r="O3692" s="14"/>
    </row>
    <row r="3693" ht="22.5" hidden="1" customHeight="1">
      <c r="A3693" s="8">
        <v>46076.371543518515</v>
      </c>
      <c r="B3693" s="14">
        <v>46076.0</v>
      </c>
      <c r="C3693" s="9" t="s">
        <v>86</v>
      </c>
      <c r="D3693" s="9" t="s">
        <v>335</v>
      </c>
      <c r="E3693" s="9" t="s">
        <v>17</v>
      </c>
      <c r="F3693" s="9" t="s">
        <v>17</v>
      </c>
      <c r="G3693" s="9">
        <v>8.0</v>
      </c>
      <c r="H3693" s="9" t="s">
        <v>25</v>
      </c>
      <c r="I3693" s="9" t="s">
        <v>411</v>
      </c>
      <c r="J3693" s="10"/>
      <c r="K3693" s="14" t="s">
        <v>398</v>
      </c>
      <c r="N3693" s="14" t="str">
        <f>IFERROR(__xludf.DUMMYFUNCTION("""COMPUTED_VALUE"""),"")</f>
        <v/>
      </c>
      <c r="O3693" s="14"/>
    </row>
    <row r="3694" ht="22.5" hidden="1" customHeight="1">
      <c r="A3694" s="8">
        <v>46076.37185469907</v>
      </c>
      <c r="B3694" s="14">
        <v>46076.0</v>
      </c>
      <c r="C3694" s="9" t="s">
        <v>86</v>
      </c>
      <c r="D3694" s="9" t="s">
        <v>257</v>
      </c>
      <c r="E3694" s="9" t="s">
        <v>17</v>
      </c>
      <c r="F3694" s="9" t="s">
        <v>17</v>
      </c>
      <c r="G3694" s="9">
        <v>8.0</v>
      </c>
      <c r="H3694" s="9" t="s">
        <v>22</v>
      </c>
      <c r="I3694" s="9" t="s">
        <v>20</v>
      </c>
      <c r="J3694" s="10"/>
      <c r="K3694" s="14" t="s">
        <v>398</v>
      </c>
      <c r="N3694" s="14" t="str">
        <f>IFERROR(__xludf.DUMMYFUNCTION("""COMPUTED_VALUE"""),"")</f>
        <v/>
      </c>
      <c r="O3694" s="14"/>
    </row>
    <row r="3695" ht="22.5" hidden="1" customHeight="1">
      <c r="A3695" s="8">
        <v>46076.37212763889</v>
      </c>
      <c r="B3695" s="14">
        <v>46076.0</v>
      </c>
      <c r="C3695" s="9" t="s">
        <v>86</v>
      </c>
      <c r="D3695" s="9" t="s">
        <v>249</v>
      </c>
      <c r="E3695" s="9" t="s">
        <v>17</v>
      </c>
      <c r="F3695" s="9" t="s">
        <v>17</v>
      </c>
      <c r="G3695" s="9">
        <v>8.0</v>
      </c>
      <c r="H3695" s="9" t="s">
        <v>22</v>
      </c>
      <c r="I3695" s="9" t="s">
        <v>20</v>
      </c>
      <c r="J3695" s="10"/>
      <c r="K3695" s="14" t="s">
        <v>398</v>
      </c>
      <c r="N3695" s="14" t="str">
        <f>IFERROR(__xludf.DUMMYFUNCTION("""COMPUTED_VALUE"""),"")</f>
        <v/>
      </c>
      <c r="O3695" s="14"/>
    </row>
    <row r="3696" ht="22.5" hidden="1" customHeight="1">
      <c r="A3696" s="8">
        <v>46076.372400023145</v>
      </c>
      <c r="B3696" s="14">
        <v>46076.0</v>
      </c>
      <c r="C3696" s="9" t="s">
        <v>86</v>
      </c>
      <c r="D3696" s="9" t="s">
        <v>350</v>
      </c>
      <c r="E3696" s="9" t="s">
        <v>17</v>
      </c>
      <c r="F3696" s="9" t="s">
        <v>17</v>
      </c>
      <c r="G3696" s="9">
        <v>7.0</v>
      </c>
      <c r="H3696" s="9" t="s">
        <v>22</v>
      </c>
      <c r="I3696" s="9" t="s">
        <v>20</v>
      </c>
      <c r="J3696" s="10"/>
      <c r="K3696" s="14" t="s">
        <v>398</v>
      </c>
      <c r="N3696" s="14" t="str">
        <f>IFERROR(__xludf.DUMMYFUNCTION("""COMPUTED_VALUE"""),"")</f>
        <v/>
      </c>
      <c r="O3696" s="14"/>
    </row>
    <row r="3697" ht="22.5" hidden="1" customHeight="1">
      <c r="A3697" s="8">
        <v>46076.37263085648</v>
      </c>
      <c r="B3697" s="14">
        <v>46076.0</v>
      </c>
      <c r="C3697" s="9" t="s">
        <v>86</v>
      </c>
      <c r="D3697" s="9" t="s">
        <v>357</v>
      </c>
      <c r="E3697" s="9" t="s">
        <v>17</v>
      </c>
      <c r="F3697" s="9" t="s">
        <v>17</v>
      </c>
      <c r="G3697" s="9">
        <v>7.0</v>
      </c>
      <c r="H3697" s="9" t="s">
        <v>22</v>
      </c>
      <c r="I3697" s="9" t="s">
        <v>20</v>
      </c>
      <c r="J3697" s="10"/>
      <c r="K3697" s="14" t="s">
        <v>398</v>
      </c>
      <c r="N3697" s="14" t="str">
        <f>IFERROR(__xludf.DUMMYFUNCTION("""COMPUTED_VALUE"""),"")</f>
        <v/>
      </c>
      <c r="O3697" s="14"/>
    </row>
    <row r="3698" ht="22.5" hidden="1" customHeight="1">
      <c r="A3698" s="8">
        <v>46076.37293229166</v>
      </c>
      <c r="B3698" s="14">
        <v>46076.0</v>
      </c>
      <c r="C3698" s="9" t="s">
        <v>86</v>
      </c>
      <c r="D3698" s="9" t="s">
        <v>393</v>
      </c>
      <c r="E3698" s="9" t="s">
        <v>17</v>
      </c>
      <c r="F3698" s="9" t="s">
        <v>17</v>
      </c>
      <c r="G3698" s="9">
        <v>7.0</v>
      </c>
      <c r="H3698" s="9" t="s">
        <v>22</v>
      </c>
      <c r="I3698" s="9" t="s">
        <v>20</v>
      </c>
      <c r="J3698" s="10"/>
      <c r="K3698" s="14" t="s">
        <v>398</v>
      </c>
      <c r="N3698" s="14" t="str">
        <f>IFERROR(__xludf.DUMMYFUNCTION("""COMPUTED_VALUE"""),"")</f>
        <v/>
      </c>
      <c r="O3698" s="14"/>
    </row>
    <row r="3699" ht="22.5" hidden="1" customHeight="1">
      <c r="A3699" s="8">
        <v>46076.37315140046</v>
      </c>
      <c r="B3699" s="14">
        <v>46076.0</v>
      </c>
      <c r="C3699" s="9" t="s">
        <v>86</v>
      </c>
      <c r="D3699" s="9" t="s">
        <v>369</v>
      </c>
      <c r="E3699" s="9" t="s">
        <v>17</v>
      </c>
      <c r="F3699" s="9" t="s">
        <v>17</v>
      </c>
      <c r="G3699" s="9">
        <v>8.0</v>
      </c>
      <c r="H3699" s="9" t="s">
        <v>22</v>
      </c>
      <c r="I3699" s="9" t="s">
        <v>20</v>
      </c>
      <c r="J3699" s="10"/>
      <c r="K3699" s="14" t="s">
        <v>398</v>
      </c>
      <c r="N3699" s="14" t="str">
        <f>IFERROR(__xludf.DUMMYFUNCTION("""COMPUTED_VALUE"""),"")</f>
        <v/>
      </c>
      <c r="O3699" s="14"/>
    </row>
    <row r="3700" ht="22.5" hidden="1" customHeight="1">
      <c r="A3700" s="8">
        <v>46076.373417407405</v>
      </c>
      <c r="B3700" s="14">
        <v>46076.0</v>
      </c>
      <c r="C3700" s="9" t="s">
        <v>86</v>
      </c>
      <c r="D3700" s="9" t="s">
        <v>412</v>
      </c>
      <c r="E3700" s="9" t="s">
        <v>17</v>
      </c>
      <c r="F3700" s="9" t="s">
        <v>17</v>
      </c>
      <c r="G3700" s="9" t="s">
        <v>409</v>
      </c>
      <c r="H3700" s="9" t="s">
        <v>22</v>
      </c>
      <c r="I3700" s="9" t="s">
        <v>20</v>
      </c>
      <c r="J3700" s="10"/>
      <c r="K3700" s="14" t="s">
        <v>398</v>
      </c>
      <c r="N3700" s="14" t="str">
        <f>IFERROR(__xludf.DUMMYFUNCTION("""COMPUTED_VALUE"""),"")</f>
        <v/>
      </c>
      <c r="O3700" s="14"/>
    </row>
    <row r="3701" ht="22.5" hidden="1" customHeight="1">
      <c r="A3701" s="8">
        <v>46076.373649155095</v>
      </c>
      <c r="B3701" s="14">
        <v>46076.0</v>
      </c>
      <c r="C3701" s="9" t="s">
        <v>86</v>
      </c>
      <c r="D3701" s="9" t="s">
        <v>421</v>
      </c>
      <c r="E3701" s="9" t="s">
        <v>17</v>
      </c>
      <c r="F3701" s="9" t="s">
        <v>17</v>
      </c>
      <c r="G3701" s="9">
        <v>8.0</v>
      </c>
      <c r="H3701" s="9" t="s">
        <v>22</v>
      </c>
      <c r="I3701" s="9" t="s">
        <v>20</v>
      </c>
      <c r="J3701" s="10"/>
      <c r="K3701" s="14" t="s">
        <v>398</v>
      </c>
      <c r="N3701" s="14" t="str">
        <f>IFERROR(__xludf.DUMMYFUNCTION("""COMPUTED_VALUE"""),"")</f>
        <v/>
      </c>
      <c r="O3701" s="14"/>
    </row>
    <row r="3702" ht="22.5" hidden="1" customHeight="1">
      <c r="A3702" s="8">
        <v>46076.374136388884</v>
      </c>
      <c r="B3702" s="14">
        <v>46076.0</v>
      </c>
      <c r="C3702" s="9" t="s">
        <v>86</v>
      </c>
      <c r="D3702" s="9" t="s">
        <v>423</v>
      </c>
      <c r="E3702" s="9" t="s">
        <v>17</v>
      </c>
      <c r="F3702" s="9" t="s">
        <v>17</v>
      </c>
      <c r="G3702" s="9">
        <v>8.0</v>
      </c>
      <c r="H3702" s="9" t="s">
        <v>25</v>
      </c>
      <c r="I3702" s="9" t="s">
        <v>117</v>
      </c>
      <c r="J3702" s="10"/>
      <c r="K3702" s="14" t="s">
        <v>398</v>
      </c>
      <c r="N3702" s="14" t="str">
        <f>IFERROR(__xludf.DUMMYFUNCTION("""COMPUTED_VALUE"""),"")</f>
        <v/>
      </c>
      <c r="O3702" s="14"/>
    </row>
    <row r="3703" ht="22.5" hidden="1" customHeight="1">
      <c r="A3703" s="8">
        <v>46076.39066133102</v>
      </c>
      <c r="B3703" s="14">
        <v>46076.0</v>
      </c>
      <c r="C3703" s="9" t="s">
        <v>86</v>
      </c>
      <c r="D3703" s="9" t="s">
        <v>396</v>
      </c>
      <c r="E3703" s="9" t="s">
        <v>17</v>
      </c>
      <c r="F3703" s="9" t="s">
        <v>17</v>
      </c>
      <c r="G3703" s="9">
        <v>8.0</v>
      </c>
      <c r="H3703" s="9" t="s">
        <v>25</v>
      </c>
      <c r="I3703" s="9" t="s">
        <v>218</v>
      </c>
      <c r="J3703" s="10"/>
      <c r="K3703" s="14" t="s">
        <v>398</v>
      </c>
      <c r="N3703" s="14" t="str">
        <f>IFERROR(__xludf.DUMMYFUNCTION("""COMPUTED_VALUE"""),"")</f>
        <v/>
      </c>
      <c r="O3703" s="14"/>
    </row>
    <row r="3704" ht="22.5" hidden="1" customHeight="1">
      <c r="A3704" s="8">
        <v>46076.39084516204</v>
      </c>
      <c r="B3704" s="14">
        <v>46076.0</v>
      </c>
      <c r="C3704" s="9" t="s">
        <v>86</v>
      </c>
      <c r="D3704" s="9" t="s">
        <v>171</v>
      </c>
      <c r="E3704" s="9" t="s">
        <v>17</v>
      </c>
      <c r="F3704" s="9" t="s">
        <v>17</v>
      </c>
      <c r="G3704" s="9">
        <v>8.0</v>
      </c>
      <c r="H3704" s="9" t="s">
        <v>22</v>
      </c>
      <c r="I3704" s="9" t="s">
        <v>20</v>
      </c>
      <c r="J3704" s="10"/>
      <c r="K3704" s="14" t="s">
        <v>398</v>
      </c>
      <c r="N3704" s="14" t="str">
        <f>IFERROR(__xludf.DUMMYFUNCTION("""COMPUTED_VALUE"""),"")</f>
        <v/>
      </c>
      <c r="O3704" s="14"/>
    </row>
    <row r="3705" ht="22.5" hidden="1" customHeight="1">
      <c r="A3705" s="8">
        <v>46076.39123400463</v>
      </c>
      <c r="B3705" s="14">
        <v>46076.0</v>
      </c>
      <c r="C3705" s="9" t="s">
        <v>86</v>
      </c>
      <c r="D3705" s="9" t="s">
        <v>175</v>
      </c>
      <c r="E3705" s="9" t="s">
        <v>17</v>
      </c>
      <c r="F3705" s="9" t="s">
        <v>17</v>
      </c>
      <c r="G3705" s="9">
        <v>8.0</v>
      </c>
      <c r="H3705" s="9" t="s">
        <v>25</v>
      </c>
      <c r="I3705" s="9" t="s">
        <v>320</v>
      </c>
      <c r="J3705" s="10"/>
      <c r="K3705" s="14" t="s">
        <v>398</v>
      </c>
      <c r="N3705" s="14" t="str">
        <f>IFERROR(__xludf.DUMMYFUNCTION("""COMPUTED_VALUE"""),"")</f>
        <v/>
      </c>
      <c r="O3705" s="14"/>
    </row>
    <row r="3706" ht="22.5" hidden="1" customHeight="1">
      <c r="A3706" s="8">
        <v>46076.391573113426</v>
      </c>
      <c r="B3706" s="14">
        <v>46076.0</v>
      </c>
      <c r="C3706" s="9" t="s">
        <v>86</v>
      </c>
      <c r="D3706" s="9" t="s">
        <v>259</v>
      </c>
      <c r="E3706" s="9" t="s">
        <v>17</v>
      </c>
      <c r="F3706" s="9" t="s">
        <v>17</v>
      </c>
      <c r="G3706" s="9">
        <v>8.0</v>
      </c>
      <c r="H3706" s="9" t="s">
        <v>22</v>
      </c>
      <c r="I3706" s="9" t="s">
        <v>20</v>
      </c>
      <c r="J3706" s="10"/>
      <c r="K3706" s="14" t="s">
        <v>398</v>
      </c>
      <c r="N3706" s="14" t="str">
        <f>IFERROR(__xludf.DUMMYFUNCTION("""COMPUTED_VALUE"""),"")</f>
        <v/>
      </c>
      <c r="O3706" s="14"/>
    </row>
    <row r="3707" ht="22.5" hidden="1" customHeight="1">
      <c r="A3707" s="8">
        <v>46076.39187597222</v>
      </c>
      <c r="B3707" s="14">
        <v>46076.0</v>
      </c>
      <c r="C3707" s="9" t="s">
        <v>86</v>
      </c>
      <c r="D3707" s="9" t="s">
        <v>174</v>
      </c>
      <c r="E3707" s="9" t="s">
        <v>17</v>
      </c>
      <c r="F3707" s="9" t="s">
        <v>17</v>
      </c>
      <c r="G3707" s="9">
        <v>8.0</v>
      </c>
      <c r="H3707" s="9" t="s">
        <v>22</v>
      </c>
      <c r="I3707" s="9" t="s">
        <v>20</v>
      </c>
      <c r="J3707" s="10"/>
      <c r="K3707" s="14" t="s">
        <v>398</v>
      </c>
      <c r="N3707" s="14" t="str">
        <f>IFERROR(__xludf.DUMMYFUNCTION("""COMPUTED_VALUE"""),"")</f>
        <v/>
      </c>
      <c r="O3707" s="14"/>
    </row>
    <row r="3708" ht="22.5" hidden="1" customHeight="1">
      <c r="A3708" s="8">
        <v>46076.392120034725</v>
      </c>
      <c r="B3708" s="14">
        <v>46076.0</v>
      </c>
      <c r="C3708" s="9" t="s">
        <v>86</v>
      </c>
      <c r="D3708" s="9" t="s">
        <v>210</v>
      </c>
      <c r="E3708" s="9" t="s">
        <v>17</v>
      </c>
      <c r="F3708" s="9" t="s">
        <v>17</v>
      </c>
      <c r="G3708" s="9">
        <v>8.0</v>
      </c>
      <c r="H3708" s="9" t="s">
        <v>22</v>
      </c>
      <c r="I3708" s="9" t="s">
        <v>20</v>
      </c>
      <c r="J3708" s="10"/>
      <c r="K3708" s="14" t="s">
        <v>398</v>
      </c>
      <c r="N3708" s="14" t="str">
        <f>IFERROR(__xludf.DUMMYFUNCTION("""COMPUTED_VALUE"""),"")</f>
        <v/>
      </c>
      <c r="O3708" s="14"/>
    </row>
    <row r="3709" ht="22.5" hidden="1" customHeight="1">
      <c r="A3709" s="8">
        <v>46076.39236346065</v>
      </c>
      <c r="B3709" s="14">
        <v>46076.0</v>
      </c>
      <c r="C3709" s="9" t="s">
        <v>86</v>
      </c>
      <c r="D3709" s="9" t="s">
        <v>408</v>
      </c>
      <c r="E3709" s="9" t="s">
        <v>17</v>
      </c>
      <c r="F3709" s="9" t="s">
        <v>17</v>
      </c>
      <c r="G3709" s="9">
        <v>8.0</v>
      </c>
      <c r="H3709" s="9" t="s">
        <v>22</v>
      </c>
      <c r="I3709" s="9" t="s">
        <v>20</v>
      </c>
      <c r="J3709" s="10"/>
      <c r="K3709" s="14" t="s">
        <v>398</v>
      </c>
      <c r="N3709" s="14" t="str">
        <f>IFERROR(__xludf.DUMMYFUNCTION("""COMPUTED_VALUE"""),"")</f>
        <v/>
      </c>
      <c r="O3709" s="14"/>
    </row>
    <row r="3710" ht="22.5" hidden="1" customHeight="1">
      <c r="A3710" s="8">
        <v>46076.39258331018</v>
      </c>
      <c r="B3710" s="14">
        <v>46076.0</v>
      </c>
      <c r="C3710" s="9" t="s">
        <v>86</v>
      </c>
      <c r="D3710" s="9" t="s">
        <v>414</v>
      </c>
      <c r="E3710" s="9" t="s">
        <v>17</v>
      </c>
      <c r="F3710" s="9" t="s">
        <v>17</v>
      </c>
      <c r="G3710" s="9">
        <v>8.0</v>
      </c>
      <c r="H3710" s="9" t="s">
        <v>22</v>
      </c>
      <c r="I3710" s="9" t="s">
        <v>20</v>
      </c>
      <c r="J3710" s="10"/>
      <c r="K3710" s="14" t="s">
        <v>398</v>
      </c>
      <c r="N3710" s="14" t="str">
        <f>IFERROR(__xludf.DUMMYFUNCTION("""COMPUTED_VALUE"""),"")</f>
        <v/>
      </c>
      <c r="O3710" s="14"/>
    </row>
    <row r="3711" ht="22.5" hidden="1" customHeight="1">
      <c r="A3711" s="8">
        <v>46076.39291094907</v>
      </c>
      <c r="B3711" s="14">
        <v>46076.0</v>
      </c>
      <c r="C3711" s="9" t="s">
        <v>86</v>
      </c>
      <c r="D3711" s="9" t="s">
        <v>367</v>
      </c>
      <c r="E3711" s="9" t="s">
        <v>17</v>
      </c>
      <c r="F3711" s="9" t="s">
        <v>17</v>
      </c>
      <c r="G3711" s="9">
        <v>8.0</v>
      </c>
      <c r="H3711" s="9" t="s">
        <v>22</v>
      </c>
      <c r="I3711" s="9" t="s">
        <v>20</v>
      </c>
      <c r="J3711" s="10"/>
      <c r="K3711" s="14" t="s">
        <v>398</v>
      </c>
      <c r="N3711" s="14" t="str">
        <f>IFERROR(__xludf.DUMMYFUNCTION("""COMPUTED_VALUE"""),"")</f>
        <v/>
      </c>
      <c r="O3711" s="14"/>
    </row>
    <row r="3712" ht="22.5" hidden="1" customHeight="1">
      <c r="A3712" s="8">
        <v>46076.393242418984</v>
      </c>
      <c r="B3712" s="14">
        <v>46076.0</v>
      </c>
      <c r="C3712" s="9" t="s">
        <v>86</v>
      </c>
      <c r="D3712" s="9" t="s">
        <v>247</v>
      </c>
      <c r="E3712" s="9" t="s">
        <v>17</v>
      </c>
      <c r="F3712" s="9" t="s">
        <v>17</v>
      </c>
      <c r="G3712" s="9">
        <v>8.0</v>
      </c>
      <c r="H3712" s="9" t="s">
        <v>22</v>
      </c>
      <c r="I3712" s="9" t="s">
        <v>20</v>
      </c>
      <c r="J3712" s="10"/>
      <c r="K3712" s="14" t="s">
        <v>398</v>
      </c>
      <c r="N3712" s="14" t="str">
        <f>IFERROR(__xludf.DUMMYFUNCTION("""COMPUTED_VALUE"""),"")</f>
        <v/>
      </c>
      <c r="O3712" s="14"/>
    </row>
    <row r="3713" ht="22.5" hidden="1" customHeight="1">
      <c r="A3713" s="8">
        <v>46076.39864320602</v>
      </c>
      <c r="B3713" s="14">
        <v>46076.0</v>
      </c>
      <c r="C3713" s="9" t="s">
        <v>86</v>
      </c>
      <c r="D3713" s="9" t="s">
        <v>413</v>
      </c>
      <c r="E3713" s="9" t="s">
        <v>30</v>
      </c>
      <c r="F3713" s="9" t="s">
        <v>17</v>
      </c>
      <c r="G3713" s="9">
        <v>8.0</v>
      </c>
      <c r="H3713" s="9" t="s">
        <v>22</v>
      </c>
      <c r="I3713" s="9" t="s">
        <v>20</v>
      </c>
      <c r="J3713" s="10"/>
      <c r="K3713" s="14" t="s">
        <v>398</v>
      </c>
      <c r="N3713" s="14" t="str">
        <f>IFERROR(__xludf.DUMMYFUNCTION("""COMPUTED_VALUE"""),"")</f>
        <v/>
      </c>
      <c r="O3713" s="14"/>
    </row>
    <row r="3714" ht="22.5" hidden="1" customHeight="1">
      <c r="A3714" s="8">
        <v>46077.385321469905</v>
      </c>
      <c r="B3714" s="14">
        <v>46077.0</v>
      </c>
      <c r="C3714" s="9" t="s">
        <v>110</v>
      </c>
      <c r="D3714" s="9" t="s">
        <v>175</v>
      </c>
      <c r="E3714" s="9" t="s">
        <v>17</v>
      </c>
      <c r="F3714" s="9" t="s">
        <v>17</v>
      </c>
      <c r="G3714" s="9">
        <v>8.0</v>
      </c>
      <c r="H3714" s="9" t="s">
        <v>25</v>
      </c>
      <c r="I3714" s="9" t="s">
        <v>320</v>
      </c>
      <c r="J3714" s="10"/>
      <c r="K3714" s="14">
        <v>7.0</v>
      </c>
      <c r="N3714" s="14" t="str">
        <f>IFERROR(__xludf.DUMMYFUNCTION("""COMPUTED_VALUE"""),"")</f>
        <v/>
      </c>
      <c r="O3714" s="14"/>
    </row>
    <row r="3715" ht="22.5" hidden="1" customHeight="1">
      <c r="A3715" s="8">
        <v>46077.3858758912</v>
      </c>
      <c r="B3715" s="14">
        <v>46077.0</v>
      </c>
      <c r="C3715" s="9" t="s">
        <v>110</v>
      </c>
      <c r="D3715" s="9" t="s">
        <v>257</v>
      </c>
      <c r="E3715" s="9" t="s">
        <v>17</v>
      </c>
      <c r="F3715" s="9" t="s">
        <v>17</v>
      </c>
      <c r="G3715" s="9">
        <v>8.0</v>
      </c>
      <c r="H3715" s="9" t="s">
        <v>22</v>
      </c>
      <c r="I3715" s="9" t="s">
        <v>20</v>
      </c>
      <c r="J3715" s="10"/>
      <c r="K3715" s="14" t="s">
        <v>398</v>
      </c>
      <c r="N3715" s="14" t="str">
        <f>IFERROR(__xludf.DUMMYFUNCTION("""COMPUTED_VALUE"""),"")</f>
        <v/>
      </c>
      <c r="O3715" s="14"/>
    </row>
    <row r="3716" ht="22.5" hidden="1" customHeight="1">
      <c r="A3716" s="8">
        <v>46077.38616204861</v>
      </c>
      <c r="B3716" s="14">
        <v>46077.0</v>
      </c>
      <c r="C3716" s="9" t="s">
        <v>110</v>
      </c>
      <c r="D3716" s="9" t="s">
        <v>412</v>
      </c>
      <c r="E3716" s="9" t="s">
        <v>17</v>
      </c>
      <c r="F3716" s="9" t="s">
        <v>17</v>
      </c>
      <c r="G3716" s="9">
        <v>7.0</v>
      </c>
      <c r="H3716" s="9" t="s">
        <v>22</v>
      </c>
      <c r="I3716" s="9" t="s">
        <v>20</v>
      </c>
      <c r="J3716" s="10"/>
      <c r="K3716" s="14">
        <v>3.0</v>
      </c>
      <c r="N3716" s="14" t="str">
        <f>IFERROR(__xludf.DUMMYFUNCTION("""COMPUTED_VALUE"""),"")</f>
        <v/>
      </c>
      <c r="O3716" s="14"/>
    </row>
    <row r="3717" ht="22.5" hidden="1" customHeight="1">
      <c r="A3717" s="8">
        <v>46077.386471736114</v>
      </c>
      <c r="B3717" s="14">
        <v>46077.0</v>
      </c>
      <c r="C3717" s="9" t="s">
        <v>110</v>
      </c>
      <c r="D3717" s="9" t="s">
        <v>396</v>
      </c>
      <c r="E3717" s="9" t="s">
        <v>17</v>
      </c>
      <c r="F3717" s="9" t="s">
        <v>17</v>
      </c>
      <c r="G3717" s="9">
        <v>7.0</v>
      </c>
      <c r="H3717" s="9" t="s">
        <v>25</v>
      </c>
      <c r="I3717" s="9" t="s">
        <v>218</v>
      </c>
      <c r="J3717" s="10"/>
      <c r="K3717" s="14">
        <v>3.0</v>
      </c>
      <c r="N3717" s="14" t="str">
        <f>IFERROR(__xludf.DUMMYFUNCTION("""COMPUTED_VALUE"""),"")</f>
        <v/>
      </c>
      <c r="O3717" s="14"/>
    </row>
    <row r="3718" ht="22.5" hidden="1" customHeight="1">
      <c r="A3718" s="8">
        <v>46077.386702662036</v>
      </c>
      <c r="B3718" s="14">
        <v>46077.0</v>
      </c>
      <c r="C3718" s="9" t="s">
        <v>110</v>
      </c>
      <c r="D3718" s="9" t="s">
        <v>247</v>
      </c>
      <c r="E3718" s="9" t="s">
        <v>17</v>
      </c>
      <c r="F3718" s="9" t="s">
        <v>17</v>
      </c>
      <c r="G3718" s="9">
        <v>8.0</v>
      </c>
      <c r="H3718" s="9" t="s">
        <v>22</v>
      </c>
      <c r="I3718" s="9" t="s">
        <v>20</v>
      </c>
      <c r="J3718" s="10"/>
      <c r="K3718" s="14">
        <v>3.0</v>
      </c>
      <c r="N3718" s="14" t="str">
        <f>IFERROR(__xludf.DUMMYFUNCTION("""COMPUTED_VALUE"""),"")</f>
        <v/>
      </c>
      <c r="O3718" s="14"/>
    </row>
    <row r="3719" ht="22.5" hidden="1" customHeight="1">
      <c r="A3719" s="8">
        <v>46077.38701394676</v>
      </c>
      <c r="B3719" s="14">
        <v>46077.0</v>
      </c>
      <c r="C3719" s="9" t="s">
        <v>110</v>
      </c>
      <c r="D3719" s="9" t="s">
        <v>249</v>
      </c>
      <c r="E3719" s="9" t="s">
        <v>17</v>
      </c>
      <c r="F3719" s="9" t="s">
        <v>17</v>
      </c>
      <c r="G3719" s="9">
        <v>8.0</v>
      </c>
      <c r="H3719" s="9" t="s">
        <v>22</v>
      </c>
      <c r="I3719" s="9" t="s">
        <v>20</v>
      </c>
      <c r="J3719" s="10"/>
      <c r="K3719" s="14" t="s">
        <v>398</v>
      </c>
      <c r="N3719" s="14" t="str">
        <f>IFERROR(__xludf.DUMMYFUNCTION("""COMPUTED_VALUE"""),"")</f>
        <v/>
      </c>
      <c r="O3719" s="14"/>
    </row>
    <row r="3720" ht="22.5" hidden="1" customHeight="1">
      <c r="A3720" s="8">
        <v>46077.38726440972</v>
      </c>
      <c r="B3720" s="14">
        <v>46077.0</v>
      </c>
      <c r="C3720" s="9" t="s">
        <v>110</v>
      </c>
      <c r="D3720" s="9" t="s">
        <v>413</v>
      </c>
      <c r="E3720" s="9" t="s">
        <v>17</v>
      </c>
      <c r="F3720" s="9" t="s">
        <v>17</v>
      </c>
      <c r="G3720" s="9">
        <v>8.0</v>
      </c>
      <c r="H3720" s="9" t="s">
        <v>22</v>
      </c>
      <c r="I3720" s="9" t="s">
        <v>20</v>
      </c>
      <c r="J3720" s="10"/>
      <c r="K3720" s="14">
        <v>5.0</v>
      </c>
      <c r="N3720" s="14" t="str">
        <f>IFERROR(__xludf.DUMMYFUNCTION("""COMPUTED_VALUE"""),"")</f>
        <v/>
      </c>
      <c r="O3720" s="14"/>
    </row>
    <row r="3721" ht="22.5" hidden="1" customHeight="1">
      <c r="A3721" s="8">
        <v>46077.38750864583</v>
      </c>
      <c r="B3721" s="14">
        <v>46077.0</v>
      </c>
      <c r="C3721" s="9" t="s">
        <v>110</v>
      </c>
      <c r="D3721" s="9" t="s">
        <v>357</v>
      </c>
      <c r="E3721" s="9" t="s">
        <v>17</v>
      </c>
      <c r="F3721" s="9" t="s">
        <v>17</v>
      </c>
      <c r="G3721" s="9">
        <v>8.0</v>
      </c>
      <c r="H3721" s="9" t="s">
        <v>22</v>
      </c>
      <c r="I3721" s="9" t="s">
        <v>20</v>
      </c>
      <c r="J3721" s="10"/>
      <c r="K3721" s="14">
        <v>4.0</v>
      </c>
      <c r="N3721" s="14" t="str">
        <f>IFERROR(__xludf.DUMMYFUNCTION("""COMPUTED_VALUE"""),"")</f>
        <v/>
      </c>
      <c r="O3721" s="14"/>
    </row>
    <row r="3722" ht="22.5" hidden="1" customHeight="1">
      <c r="A3722" s="8">
        <v>46077.38825616898</v>
      </c>
      <c r="B3722" s="14">
        <v>46077.0</v>
      </c>
      <c r="C3722" s="9" t="s">
        <v>110</v>
      </c>
      <c r="D3722" s="9" t="s">
        <v>280</v>
      </c>
      <c r="E3722" s="9" t="s">
        <v>17</v>
      </c>
      <c r="F3722" s="9" t="s">
        <v>17</v>
      </c>
      <c r="G3722" s="9">
        <v>8.0</v>
      </c>
      <c r="H3722" s="9" t="s">
        <v>22</v>
      </c>
      <c r="I3722" s="9" t="s">
        <v>20</v>
      </c>
      <c r="J3722" s="10"/>
      <c r="K3722" s="14">
        <v>4.0</v>
      </c>
      <c r="N3722" s="14" t="str">
        <f>IFERROR(__xludf.DUMMYFUNCTION("""COMPUTED_VALUE"""),"")</f>
        <v/>
      </c>
      <c r="O3722" s="14"/>
    </row>
    <row r="3723" ht="22.5" hidden="1" customHeight="1">
      <c r="A3723" s="8">
        <v>46077.388613460644</v>
      </c>
      <c r="B3723" s="14">
        <v>46077.0</v>
      </c>
      <c r="C3723" s="9" t="s">
        <v>110</v>
      </c>
      <c r="D3723" s="9" t="s">
        <v>393</v>
      </c>
      <c r="E3723" s="9" t="s">
        <v>17</v>
      </c>
      <c r="F3723" s="9" t="s">
        <v>17</v>
      </c>
      <c r="G3723" s="9">
        <v>8.0</v>
      </c>
      <c r="H3723" s="9" t="s">
        <v>22</v>
      </c>
      <c r="I3723" s="9" t="s">
        <v>20</v>
      </c>
      <c r="J3723" s="10"/>
      <c r="K3723" s="14">
        <v>3.0</v>
      </c>
      <c r="N3723" s="14" t="str">
        <f>IFERROR(__xludf.DUMMYFUNCTION("""COMPUTED_VALUE"""),"")</f>
        <v/>
      </c>
      <c r="O3723" s="14"/>
    </row>
    <row r="3724" ht="22.5" hidden="1" customHeight="1">
      <c r="A3724" s="8">
        <v>46077.388957222225</v>
      </c>
      <c r="B3724" s="14">
        <v>46077.0</v>
      </c>
      <c r="C3724" s="9" t="s">
        <v>110</v>
      </c>
      <c r="D3724" s="9" t="s">
        <v>335</v>
      </c>
      <c r="E3724" s="9" t="s">
        <v>17</v>
      </c>
      <c r="F3724" s="9" t="s">
        <v>17</v>
      </c>
      <c r="G3724" s="9">
        <v>7.0</v>
      </c>
      <c r="H3724" s="9" t="s">
        <v>25</v>
      </c>
      <c r="I3724" s="9" t="s">
        <v>411</v>
      </c>
      <c r="J3724" s="10"/>
      <c r="K3724" s="14">
        <v>4.0</v>
      </c>
      <c r="N3724" s="14" t="str">
        <f>IFERROR(__xludf.DUMMYFUNCTION("""COMPUTED_VALUE"""),"")</f>
        <v/>
      </c>
      <c r="O3724" s="14"/>
    </row>
    <row r="3725" ht="22.5" hidden="1" customHeight="1">
      <c r="A3725" s="8">
        <v>46077.38929578704</v>
      </c>
      <c r="B3725" s="14">
        <v>46077.0</v>
      </c>
      <c r="C3725" s="9" t="s">
        <v>110</v>
      </c>
      <c r="D3725" s="9" t="s">
        <v>174</v>
      </c>
      <c r="E3725" s="9" t="s">
        <v>17</v>
      </c>
      <c r="F3725" s="9" t="s">
        <v>17</v>
      </c>
      <c r="G3725" s="9">
        <v>8.0</v>
      </c>
      <c r="H3725" s="9" t="s">
        <v>22</v>
      </c>
      <c r="I3725" s="9" t="s">
        <v>20</v>
      </c>
      <c r="J3725" s="10"/>
      <c r="K3725" s="14">
        <v>4.0</v>
      </c>
      <c r="N3725" s="14" t="str">
        <f>IFERROR(__xludf.DUMMYFUNCTION("""COMPUTED_VALUE"""),"")</f>
        <v/>
      </c>
      <c r="O3725" s="14"/>
    </row>
    <row r="3726" ht="22.5" hidden="1" customHeight="1">
      <c r="A3726" s="8">
        <v>46077.389605578705</v>
      </c>
      <c r="B3726" s="14">
        <v>46077.0</v>
      </c>
      <c r="C3726" s="9" t="s">
        <v>110</v>
      </c>
      <c r="D3726" s="9" t="s">
        <v>258</v>
      </c>
      <c r="E3726" s="9" t="s">
        <v>17</v>
      </c>
      <c r="F3726" s="9" t="s">
        <v>17</v>
      </c>
      <c r="G3726" s="9">
        <v>8.0</v>
      </c>
      <c r="H3726" s="9" t="s">
        <v>22</v>
      </c>
      <c r="I3726" s="9" t="s">
        <v>20</v>
      </c>
      <c r="J3726" s="10"/>
      <c r="K3726" s="14">
        <v>7.0</v>
      </c>
      <c r="N3726" s="14" t="str">
        <f>IFERROR(__xludf.DUMMYFUNCTION("""COMPUTED_VALUE"""),"")</f>
        <v/>
      </c>
      <c r="O3726" s="14"/>
    </row>
    <row r="3727" ht="22.5" hidden="1" customHeight="1">
      <c r="A3727" s="8">
        <v>46077.390164756944</v>
      </c>
      <c r="B3727" s="14">
        <v>46077.0</v>
      </c>
      <c r="C3727" s="9" t="s">
        <v>110</v>
      </c>
      <c r="D3727" s="9" t="s">
        <v>369</v>
      </c>
      <c r="E3727" s="9" t="s">
        <v>17</v>
      </c>
      <c r="F3727" s="9" t="s">
        <v>17</v>
      </c>
      <c r="G3727" s="9">
        <v>8.0</v>
      </c>
      <c r="H3727" s="9" t="s">
        <v>22</v>
      </c>
      <c r="I3727" s="9" t="s">
        <v>20</v>
      </c>
      <c r="J3727" s="10"/>
      <c r="K3727" s="14">
        <v>5.0</v>
      </c>
      <c r="N3727" s="14" t="str">
        <f>IFERROR(__xludf.DUMMYFUNCTION("""COMPUTED_VALUE"""),"")</f>
        <v/>
      </c>
      <c r="O3727" s="14"/>
    </row>
    <row r="3728" ht="22.5" hidden="1" customHeight="1">
      <c r="A3728" s="8">
        <v>46077.39070967592</v>
      </c>
      <c r="B3728" s="14">
        <v>46077.0</v>
      </c>
      <c r="C3728" s="9" t="s">
        <v>110</v>
      </c>
      <c r="D3728" s="9" t="s">
        <v>423</v>
      </c>
      <c r="E3728" s="9" t="s">
        <v>17</v>
      </c>
      <c r="F3728" s="9" t="s">
        <v>17</v>
      </c>
      <c r="G3728" s="9">
        <v>8.0</v>
      </c>
      <c r="H3728" s="9" t="s">
        <v>22</v>
      </c>
      <c r="I3728" s="9" t="s">
        <v>20</v>
      </c>
      <c r="J3728" s="10"/>
      <c r="K3728" s="14" t="s">
        <v>398</v>
      </c>
      <c r="N3728" s="14" t="str">
        <f>IFERROR(__xludf.DUMMYFUNCTION("""COMPUTED_VALUE"""),"")</f>
        <v/>
      </c>
      <c r="O3728" s="14"/>
    </row>
    <row r="3729" ht="22.5" hidden="1" customHeight="1">
      <c r="A3729" s="8">
        <v>46077.39106863426</v>
      </c>
      <c r="B3729" s="14">
        <v>46077.0</v>
      </c>
      <c r="C3729" s="9" t="s">
        <v>110</v>
      </c>
      <c r="D3729" s="9" t="s">
        <v>414</v>
      </c>
      <c r="E3729" s="9" t="s">
        <v>17</v>
      </c>
      <c r="F3729" s="9" t="s">
        <v>17</v>
      </c>
      <c r="G3729" s="9">
        <v>7.0</v>
      </c>
      <c r="H3729" s="9" t="s">
        <v>22</v>
      </c>
      <c r="I3729" s="9" t="s">
        <v>20</v>
      </c>
      <c r="J3729" s="10"/>
      <c r="K3729" s="14">
        <v>3.0</v>
      </c>
      <c r="N3729" s="14" t="str">
        <f>IFERROR(__xludf.DUMMYFUNCTION("""COMPUTED_VALUE"""),"")</f>
        <v/>
      </c>
      <c r="O3729" s="14"/>
    </row>
    <row r="3730" ht="22.5" hidden="1" customHeight="1">
      <c r="A3730" s="8">
        <v>46077.39129681713</v>
      </c>
      <c r="B3730" s="14">
        <v>46077.0</v>
      </c>
      <c r="C3730" s="9" t="s">
        <v>110</v>
      </c>
      <c r="D3730" s="9" t="s">
        <v>105</v>
      </c>
      <c r="E3730" s="9" t="s">
        <v>17</v>
      </c>
      <c r="F3730" s="9" t="s">
        <v>17</v>
      </c>
      <c r="G3730" s="9">
        <v>8.0</v>
      </c>
      <c r="H3730" s="9" t="s">
        <v>22</v>
      </c>
      <c r="I3730" s="9" t="s">
        <v>20</v>
      </c>
      <c r="J3730" s="10"/>
      <c r="K3730" s="14">
        <v>2.0</v>
      </c>
      <c r="N3730" s="14" t="str">
        <f>IFERROR(__xludf.DUMMYFUNCTION("""COMPUTED_VALUE"""),"")</f>
        <v/>
      </c>
      <c r="O3730" s="14"/>
    </row>
    <row r="3731" ht="22.5" hidden="1" customHeight="1">
      <c r="A3731" s="8">
        <v>46077.3916250926</v>
      </c>
      <c r="B3731" s="14">
        <v>46077.0</v>
      </c>
      <c r="C3731" s="9" t="s">
        <v>110</v>
      </c>
      <c r="D3731" s="9" t="s">
        <v>408</v>
      </c>
      <c r="E3731" s="9" t="s">
        <v>17</v>
      </c>
      <c r="F3731" s="9" t="s">
        <v>17</v>
      </c>
      <c r="G3731" s="9">
        <v>7.0</v>
      </c>
      <c r="H3731" s="9" t="s">
        <v>22</v>
      </c>
      <c r="I3731" s="9" t="s">
        <v>20</v>
      </c>
      <c r="J3731" s="10"/>
      <c r="K3731" s="14">
        <v>4.0</v>
      </c>
      <c r="N3731" s="14" t="str">
        <f>IFERROR(__xludf.DUMMYFUNCTION("""COMPUTED_VALUE"""),"")</f>
        <v/>
      </c>
      <c r="O3731" s="14"/>
    </row>
    <row r="3732" ht="22.5" hidden="1" customHeight="1">
      <c r="A3732" s="8">
        <v>46077.39193402778</v>
      </c>
      <c r="B3732" s="14">
        <v>46077.0</v>
      </c>
      <c r="C3732" s="9" t="s">
        <v>110</v>
      </c>
      <c r="D3732" s="9" t="s">
        <v>171</v>
      </c>
      <c r="E3732" s="9" t="s">
        <v>17</v>
      </c>
      <c r="F3732" s="9" t="s">
        <v>17</v>
      </c>
      <c r="G3732" s="9">
        <v>8.0</v>
      </c>
      <c r="H3732" s="9" t="s">
        <v>25</v>
      </c>
      <c r="I3732" s="9" t="s">
        <v>242</v>
      </c>
      <c r="J3732" s="10"/>
      <c r="K3732" s="14">
        <v>3.0</v>
      </c>
      <c r="N3732" s="14" t="str">
        <f>IFERROR(__xludf.DUMMYFUNCTION("""COMPUTED_VALUE"""),"")</f>
        <v/>
      </c>
      <c r="O3732" s="14"/>
    </row>
    <row r="3733" ht="22.5" hidden="1" customHeight="1">
      <c r="A3733" s="8">
        <v>46077.392219814814</v>
      </c>
      <c r="B3733" s="14">
        <v>46077.0</v>
      </c>
      <c r="C3733" s="9" t="s">
        <v>110</v>
      </c>
      <c r="D3733" s="9" t="s">
        <v>350</v>
      </c>
      <c r="E3733" s="9" t="s">
        <v>17</v>
      </c>
      <c r="F3733" s="9" t="s">
        <v>17</v>
      </c>
      <c r="G3733" s="9">
        <v>8.0</v>
      </c>
      <c r="H3733" s="9" t="s">
        <v>22</v>
      </c>
      <c r="I3733" s="9" t="s">
        <v>20</v>
      </c>
      <c r="J3733" s="10"/>
      <c r="K3733" s="14">
        <v>5.0</v>
      </c>
      <c r="N3733" s="14" t="str">
        <f>IFERROR(__xludf.DUMMYFUNCTION("""COMPUTED_VALUE"""),"")</f>
        <v/>
      </c>
      <c r="O3733" s="14"/>
    </row>
    <row r="3734" ht="22.5" hidden="1" customHeight="1">
      <c r="A3734" s="8">
        <v>46077.39256674769</v>
      </c>
      <c r="B3734" s="14">
        <v>46077.0</v>
      </c>
      <c r="C3734" s="9" t="s">
        <v>110</v>
      </c>
      <c r="D3734" s="9" t="s">
        <v>367</v>
      </c>
      <c r="E3734" s="9" t="s">
        <v>17</v>
      </c>
      <c r="F3734" s="9" t="s">
        <v>17</v>
      </c>
      <c r="G3734" s="9">
        <v>8.0</v>
      </c>
      <c r="H3734" s="9" t="s">
        <v>22</v>
      </c>
      <c r="I3734" s="9" t="s">
        <v>20</v>
      </c>
      <c r="J3734" s="10"/>
      <c r="K3734" s="14">
        <v>8.0</v>
      </c>
      <c r="N3734" s="14" t="str">
        <f>IFERROR(__xludf.DUMMYFUNCTION("""COMPUTED_VALUE"""),"")</f>
        <v/>
      </c>
      <c r="O3734" s="14"/>
    </row>
    <row r="3735" ht="22.5" hidden="1" customHeight="1">
      <c r="A3735" s="8">
        <v>46077.39272923611</v>
      </c>
      <c r="B3735" s="14">
        <v>46077.0</v>
      </c>
      <c r="C3735" s="9" t="s">
        <v>110</v>
      </c>
      <c r="D3735" s="9" t="s">
        <v>421</v>
      </c>
      <c r="E3735" s="9" t="s">
        <v>17</v>
      </c>
      <c r="F3735" s="9" t="s">
        <v>17</v>
      </c>
      <c r="G3735" s="9">
        <v>8.0</v>
      </c>
      <c r="H3735" s="9" t="s">
        <v>22</v>
      </c>
      <c r="I3735" s="9" t="s">
        <v>20</v>
      </c>
      <c r="J3735" s="10"/>
      <c r="K3735" s="14">
        <v>3.0</v>
      </c>
      <c r="N3735" s="14" t="str">
        <f>IFERROR(__xludf.DUMMYFUNCTION("""COMPUTED_VALUE"""),"")</f>
        <v/>
      </c>
      <c r="O3735" s="14"/>
    </row>
    <row r="3736" ht="22.5" hidden="1" customHeight="1">
      <c r="A3736" s="8">
        <v>46077.39332765046</v>
      </c>
      <c r="B3736" s="14">
        <v>46077.0</v>
      </c>
      <c r="C3736" s="9" t="s">
        <v>110</v>
      </c>
      <c r="D3736" s="9" t="s">
        <v>259</v>
      </c>
      <c r="E3736" s="9" t="s">
        <v>17</v>
      </c>
      <c r="F3736" s="9" t="s">
        <v>17</v>
      </c>
      <c r="G3736" s="9">
        <v>8.0</v>
      </c>
      <c r="H3736" s="9" t="s">
        <v>22</v>
      </c>
      <c r="I3736" s="9" t="s">
        <v>20</v>
      </c>
      <c r="J3736" s="10"/>
      <c r="K3736" s="14">
        <v>3.0</v>
      </c>
      <c r="N3736" s="14" t="str">
        <f>IFERROR(__xludf.DUMMYFUNCTION("""COMPUTED_VALUE"""),"")</f>
        <v/>
      </c>
      <c r="O3736" s="14"/>
    </row>
    <row r="3737" ht="22.5" hidden="1" customHeight="1">
      <c r="A3737" s="8">
        <v>46078.373190011574</v>
      </c>
      <c r="B3737" s="14">
        <v>46078.0</v>
      </c>
      <c r="C3737" s="9" t="s">
        <v>15</v>
      </c>
      <c r="D3737" s="9" t="s">
        <v>412</v>
      </c>
      <c r="E3737" s="9" t="s">
        <v>17</v>
      </c>
      <c r="F3737" s="9" t="s">
        <v>17</v>
      </c>
      <c r="G3737" s="9">
        <v>8.0</v>
      </c>
      <c r="H3737" s="9" t="s">
        <v>22</v>
      </c>
      <c r="I3737" s="9" t="s">
        <v>20</v>
      </c>
      <c r="J3737" s="10"/>
      <c r="K3737" s="14">
        <v>3.0</v>
      </c>
      <c r="N3737" s="14" t="str">
        <f>IFERROR(__xludf.DUMMYFUNCTION("""COMPUTED_VALUE"""),"")</f>
        <v/>
      </c>
      <c r="O3737" s="14"/>
    </row>
    <row r="3738" ht="22.5" hidden="1" customHeight="1">
      <c r="A3738" s="8">
        <v>46078.373523518516</v>
      </c>
      <c r="B3738" s="14">
        <v>46078.0</v>
      </c>
      <c r="C3738" s="9" t="s">
        <v>15</v>
      </c>
      <c r="D3738" s="9" t="s">
        <v>249</v>
      </c>
      <c r="E3738" s="9" t="s">
        <v>46</v>
      </c>
      <c r="F3738" s="9" t="s">
        <v>17</v>
      </c>
      <c r="G3738" s="9">
        <v>7.0</v>
      </c>
      <c r="H3738" s="9" t="s">
        <v>22</v>
      </c>
      <c r="I3738" s="9" t="s">
        <v>20</v>
      </c>
      <c r="J3738" s="10"/>
      <c r="K3738" s="14">
        <v>7.0</v>
      </c>
      <c r="N3738" s="14" t="str">
        <f>IFERROR(__xludf.DUMMYFUNCTION("""COMPUTED_VALUE"""),"")</f>
        <v/>
      </c>
      <c r="O3738" s="14"/>
    </row>
    <row r="3739" ht="22.5" hidden="1" customHeight="1">
      <c r="A3739" s="8">
        <v>46078.37380240741</v>
      </c>
      <c r="B3739" s="14">
        <v>46078.0</v>
      </c>
      <c r="C3739" s="9" t="s">
        <v>15</v>
      </c>
      <c r="D3739" s="9" t="s">
        <v>259</v>
      </c>
      <c r="E3739" s="9" t="s">
        <v>46</v>
      </c>
      <c r="F3739" s="9" t="s">
        <v>17</v>
      </c>
      <c r="G3739" s="9">
        <v>8.0</v>
      </c>
      <c r="H3739" s="9" t="s">
        <v>22</v>
      </c>
      <c r="I3739" s="9" t="s">
        <v>20</v>
      </c>
      <c r="J3739" s="10"/>
      <c r="K3739" s="14">
        <v>6.0</v>
      </c>
      <c r="N3739" s="14" t="str">
        <f>IFERROR(__xludf.DUMMYFUNCTION("""COMPUTED_VALUE"""),"")</f>
        <v/>
      </c>
      <c r="O3739" s="14"/>
    </row>
    <row r="3740" ht="22.5" hidden="1" customHeight="1">
      <c r="A3740" s="8">
        <v>46078.3740931713</v>
      </c>
      <c r="B3740" s="14">
        <v>46078.0</v>
      </c>
      <c r="C3740" s="9" t="s">
        <v>15</v>
      </c>
      <c r="D3740" s="9" t="s">
        <v>357</v>
      </c>
      <c r="E3740" s="9" t="s">
        <v>17</v>
      </c>
      <c r="F3740" s="9" t="s">
        <v>17</v>
      </c>
      <c r="G3740" s="9">
        <v>7.0</v>
      </c>
      <c r="H3740" s="9" t="s">
        <v>22</v>
      </c>
      <c r="I3740" s="9" t="s">
        <v>20</v>
      </c>
      <c r="J3740" s="10"/>
      <c r="K3740" s="14">
        <v>5.0</v>
      </c>
      <c r="N3740" s="14" t="str">
        <f>IFERROR(__xludf.DUMMYFUNCTION("""COMPUTED_VALUE"""),"")</f>
        <v/>
      </c>
      <c r="O3740" s="14"/>
    </row>
    <row r="3741" ht="22.5" hidden="1" customHeight="1">
      <c r="A3741" s="8">
        <v>46078.374415300925</v>
      </c>
      <c r="B3741" s="14">
        <v>46078.0</v>
      </c>
      <c r="C3741" s="9" t="s">
        <v>15</v>
      </c>
      <c r="D3741" s="9" t="s">
        <v>280</v>
      </c>
      <c r="E3741" s="9" t="s">
        <v>17</v>
      </c>
      <c r="F3741" s="9" t="s">
        <v>17</v>
      </c>
      <c r="G3741" s="9">
        <v>8.0</v>
      </c>
      <c r="H3741" s="9" t="s">
        <v>22</v>
      </c>
      <c r="I3741" s="9" t="s">
        <v>20</v>
      </c>
      <c r="J3741" s="10"/>
      <c r="K3741" s="14">
        <v>5.0</v>
      </c>
      <c r="N3741" s="14" t="str">
        <f>IFERROR(__xludf.DUMMYFUNCTION("""COMPUTED_VALUE"""),"")</f>
        <v/>
      </c>
      <c r="O3741" s="14"/>
    </row>
    <row r="3742" ht="22.5" hidden="1" customHeight="1">
      <c r="A3742" s="8">
        <v>46078.374733715274</v>
      </c>
      <c r="B3742" s="14">
        <v>46078.0</v>
      </c>
      <c r="C3742" s="9" t="s">
        <v>15</v>
      </c>
      <c r="D3742" s="9" t="s">
        <v>393</v>
      </c>
      <c r="E3742" s="9" t="s">
        <v>17</v>
      </c>
      <c r="F3742" s="9" t="s">
        <v>17</v>
      </c>
      <c r="G3742" s="9">
        <v>8.0</v>
      </c>
      <c r="H3742" s="9" t="s">
        <v>22</v>
      </c>
      <c r="I3742" s="9" t="s">
        <v>20</v>
      </c>
      <c r="J3742" s="10"/>
      <c r="K3742" s="14">
        <v>4.0</v>
      </c>
      <c r="N3742" s="14" t="str">
        <f>IFERROR(__xludf.DUMMYFUNCTION("""COMPUTED_VALUE"""),"")</f>
        <v/>
      </c>
      <c r="O3742" s="14"/>
    </row>
    <row r="3743" ht="22.5" hidden="1" customHeight="1">
      <c r="A3743" s="8">
        <v>46078.375080729165</v>
      </c>
      <c r="B3743" s="14">
        <v>46078.0</v>
      </c>
      <c r="C3743" s="9" t="s">
        <v>15</v>
      </c>
      <c r="D3743" s="9" t="s">
        <v>335</v>
      </c>
      <c r="E3743" s="9" t="s">
        <v>17</v>
      </c>
      <c r="F3743" s="9" t="s">
        <v>17</v>
      </c>
      <c r="G3743" s="9">
        <v>8.0</v>
      </c>
      <c r="H3743" s="9" t="s">
        <v>25</v>
      </c>
      <c r="I3743" s="9" t="s">
        <v>411</v>
      </c>
      <c r="J3743" s="10"/>
      <c r="K3743" s="14">
        <v>4.0</v>
      </c>
      <c r="N3743" s="14" t="str">
        <f>IFERROR(__xludf.DUMMYFUNCTION("""COMPUTED_VALUE"""),"")</f>
        <v/>
      </c>
      <c r="O3743" s="14"/>
    </row>
    <row r="3744" ht="22.5" hidden="1" customHeight="1">
      <c r="A3744" s="8">
        <v>46078.3753922801</v>
      </c>
      <c r="B3744" s="14">
        <v>46078.0</v>
      </c>
      <c r="C3744" s="9" t="s">
        <v>15</v>
      </c>
      <c r="D3744" s="9" t="s">
        <v>174</v>
      </c>
      <c r="E3744" s="9" t="s">
        <v>17</v>
      </c>
      <c r="F3744" s="9" t="s">
        <v>17</v>
      </c>
      <c r="G3744" s="9">
        <v>8.0</v>
      </c>
      <c r="H3744" s="9" t="s">
        <v>22</v>
      </c>
      <c r="I3744" s="9" t="s">
        <v>20</v>
      </c>
      <c r="J3744" s="10"/>
      <c r="K3744" s="14">
        <v>4.0</v>
      </c>
      <c r="N3744" s="14" t="str">
        <f>IFERROR(__xludf.DUMMYFUNCTION("""COMPUTED_VALUE"""),"")</f>
        <v/>
      </c>
      <c r="O3744" s="14"/>
    </row>
    <row r="3745" ht="22.5" hidden="1" customHeight="1">
      <c r="A3745" s="8">
        <v>46078.37565983796</v>
      </c>
      <c r="B3745" s="14">
        <v>46078.0</v>
      </c>
      <c r="C3745" s="9" t="s">
        <v>15</v>
      </c>
      <c r="D3745" s="9" t="s">
        <v>258</v>
      </c>
      <c r="E3745" s="9" t="s">
        <v>17</v>
      </c>
      <c r="F3745" s="9" t="s">
        <v>17</v>
      </c>
      <c r="G3745" s="9">
        <v>8.0</v>
      </c>
      <c r="H3745" s="9" t="s">
        <v>22</v>
      </c>
      <c r="I3745" s="9" t="s">
        <v>20</v>
      </c>
      <c r="J3745" s="10"/>
      <c r="K3745" s="14">
        <v>7.0</v>
      </c>
      <c r="N3745" s="14" t="str">
        <f>IFERROR(__xludf.DUMMYFUNCTION("""COMPUTED_VALUE"""),"")</f>
        <v/>
      </c>
      <c r="O3745" s="14"/>
    </row>
    <row r="3746" ht="22.5" hidden="1" customHeight="1">
      <c r="A3746" s="8">
        <v>46078.375996539355</v>
      </c>
      <c r="B3746" s="14">
        <v>46078.0</v>
      </c>
      <c r="C3746" s="9" t="s">
        <v>15</v>
      </c>
      <c r="D3746" s="9" t="s">
        <v>369</v>
      </c>
      <c r="E3746" s="9" t="s">
        <v>17</v>
      </c>
      <c r="F3746" s="9" t="s">
        <v>17</v>
      </c>
      <c r="G3746" s="9">
        <v>7.0</v>
      </c>
      <c r="H3746" s="9" t="s">
        <v>25</v>
      </c>
      <c r="I3746" s="9" t="s">
        <v>79</v>
      </c>
      <c r="J3746" s="10"/>
      <c r="K3746" s="14">
        <v>6.0</v>
      </c>
      <c r="N3746" s="14" t="str">
        <f>IFERROR(__xludf.DUMMYFUNCTION("""COMPUTED_VALUE"""),"")</f>
        <v/>
      </c>
      <c r="O3746" s="14"/>
    </row>
    <row r="3747" ht="22.5" hidden="1" customHeight="1">
      <c r="A3747" s="8">
        <v>46078.376292754634</v>
      </c>
      <c r="B3747" s="14">
        <v>46078.0</v>
      </c>
      <c r="C3747" s="9" t="s">
        <v>15</v>
      </c>
      <c r="D3747" s="9" t="s">
        <v>105</v>
      </c>
      <c r="E3747" s="9" t="s">
        <v>17</v>
      </c>
      <c r="F3747" s="9" t="s">
        <v>17</v>
      </c>
      <c r="G3747" s="9">
        <v>8.0</v>
      </c>
      <c r="H3747" s="9" t="s">
        <v>22</v>
      </c>
      <c r="I3747" s="9" t="s">
        <v>20</v>
      </c>
      <c r="J3747" s="10"/>
      <c r="K3747" s="14">
        <v>2.0</v>
      </c>
      <c r="N3747" s="14" t="str">
        <f>IFERROR(__xludf.DUMMYFUNCTION("""COMPUTED_VALUE"""),"")</f>
        <v/>
      </c>
      <c r="O3747" s="14"/>
    </row>
    <row r="3748" ht="22.5" hidden="1" customHeight="1">
      <c r="A3748" s="8">
        <v>46078.37666767361</v>
      </c>
      <c r="B3748" s="14">
        <v>46078.0</v>
      </c>
      <c r="C3748" s="9" t="s">
        <v>15</v>
      </c>
      <c r="D3748" s="9" t="s">
        <v>408</v>
      </c>
      <c r="E3748" s="9" t="s">
        <v>17</v>
      </c>
      <c r="F3748" s="9" t="s">
        <v>17</v>
      </c>
      <c r="G3748" s="9">
        <v>7.0</v>
      </c>
      <c r="H3748" s="9" t="s">
        <v>22</v>
      </c>
      <c r="I3748" s="9" t="s">
        <v>20</v>
      </c>
      <c r="J3748" s="10"/>
      <c r="K3748" s="14">
        <v>5.0</v>
      </c>
      <c r="N3748" s="14" t="str">
        <f>IFERROR(__xludf.DUMMYFUNCTION("""COMPUTED_VALUE"""),"")</f>
        <v/>
      </c>
      <c r="O3748" s="14"/>
    </row>
    <row r="3749" ht="22.5" hidden="1" customHeight="1">
      <c r="A3749" s="8">
        <v>46078.37708023148</v>
      </c>
      <c r="B3749" s="14">
        <v>46078.0</v>
      </c>
      <c r="C3749" s="9" t="s">
        <v>15</v>
      </c>
      <c r="D3749" s="9" t="s">
        <v>171</v>
      </c>
      <c r="E3749" s="9" t="s">
        <v>17</v>
      </c>
      <c r="F3749" s="9" t="s">
        <v>17</v>
      </c>
      <c r="G3749" s="9">
        <v>7.0</v>
      </c>
      <c r="H3749" s="9" t="s">
        <v>25</v>
      </c>
      <c r="I3749" s="9" t="s">
        <v>242</v>
      </c>
      <c r="J3749" s="10"/>
      <c r="K3749" s="14" t="s">
        <v>398</v>
      </c>
      <c r="N3749" s="14" t="str">
        <f>IFERROR(__xludf.DUMMYFUNCTION("""COMPUTED_VALUE"""),"")</f>
        <v/>
      </c>
      <c r="O3749" s="14"/>
    </row>
    <row r="3750" ht="22.5" hidden="1" customHeight="1">
      <c r="A3750" s="8">
        <v>46078.37735435185</v>
      </c>
      <c r="B3750" s="14">
        <v>46078.0</v>
      </c>
      <c r="C3750" s="9" t="s">
        <v>15</v>
      </c>
      <c r="D3750" s="9" t="s">
        <v>350</v>
      </c>
      <c r="E3750" s="9" t="s">
        <v>17</v>
      </c>
      <c r="F3750" s="9" t="s">
        <v>17</v>
      </c>
      <c r="G3750" s="9">
        <v>8.0</v>
      </c>
      <c r="H3750" s="9" t="s">
        <v>22</v>
      </c>
      <c r="I3750" s="9" t="s">
        <v>20</v>
      </c>
      <c r="J3750" s="10"/>
      <c r="K3750" s="14">
        <v>6.0</v>
      </c>
      <c r="N3750" s="14" t="str">
        <f>IFERROR(__xludf.DUMMYFUNCTION("""COMPUTED_VALUE"""),"")</f>
        <v/>
      </c>
      <c r="O3750" s="14"/>
    </row>
    <row r="3751" ht="22.5" hidden="1" customHeight="1">
      <c r="A3751" s="8">
        <v>46078.380113287036</v>
      </c>
      <c r="B3751" s="14">
        <v>46078.0</v>
      </c>
      <c r="C3751" s="9" t="s">
        <v>15</v>
      </c>
      <c r="D3751" s="9" t="s">
        <v>257</v>
      </c>
      <c r="E3751" s="9" t="s">
        <v>17</v>
      </c>
      <c r="F3751" s="9" t="s">
        <v>17</v>
      </c>
      <c r="G3751" s="9">
        <v>8.0</v>
      </c>
      <c r="H3751" s="9" t="s">
        <v>22</v>
      </c>
      <c r="I3751" s="9" t="s">
        <v>20</v>
      </c>
      <c r="J3751" s="10"/>
      <c r="K3751" s="14" t="s">
        <v>398</v>
      </c>
      <c r="N3751" s="14" t="str">
        <f>IFERROR(__xludf.DUMMYFUNCTION("""COMPUTED_VALUE"""),"")</f>
        <v/>
      </c>
      <c r="O3751" s="14"/>
    </row>
    <row r="3752" ht="22.5" hidden="1" customHeight="1">
      <c r="A3752" s="8">
        <v>46078.38039680556</v>
      </c>
      <c r="B3752" s="14">
        <v>46078.0</v>
      </c>
      <c r="C3752" s="9" t="s">
        <v>15</v>
      </c>
      <c r="D3752" s="9" t="s">
        <v>210</v>
      </c>
      <c r="E3752" s="9" t="s">
        <v>17</v>
      </c>
      <c r="F3752" s="9" t="s">
        <v>17</v>
      </c>
      <c r="G3752" s="9">
        <v>8.0</v>
      </c>
      <c r="H3752" s="9" t="s">
        <v>22</v>
      </c>
      <c r="I3752" s="9" t="s">
        <v>20</v>
      </c>
      <c r="J3752" s="10"/>
      <c r="K3752" s="14">
        <v>5.0</v>
      </c>
      <c r="N3752" s="14" t="str">
        <f>IFERROR(__xludf.DUMMYFUNCTION("""COMPUTED_VALUE"""),"")</f>
        <v/>
      </c>
      <c r="O3752" s="14"/>
    </row>
    <row r="3753" ht="22.5" hidden="1" customHeight="1">
      <c r="A3753" s="8">
        <v>46078.390954675924</v>
      </c>
      <c r="B3753" s="14">
        <v>46078.0</v>
      </c>
      <c r="C3753" s="9" t="s">
        <v>15</v>
      </c>
      <c r="D3753" s="9" t="s">
        <v>175</v>
      </c>
      <c r="E3753" s="9" t="s">
        <v>17</v>
      </c>
      <c r="F3753" s="9" t="s">
        <v>17</v>
      </c>
      <c r="G3753" s="9">
        <v>7.0</v>
      </c>
      <c r="H3753" s="9" t="s">
        <v>25</v>
      </c>
      <c r="I3753" s="9" t="s">
        <v>207</v>
      </c>
      <c r="J3753" s="10"/>
      <c r="K3753" s="14">
        <v>6.0</v>
      </c>
      <c r="N3753" s="14" t="str">
        <f>IFERROR(__xludf.DUMMYFUNCTION("""COMPUTED_VALUE"""),"")</f>
        <v/>
      </c>
      <c r="O3753" s="14"/>
    </row>
    <row r="3754" ht="22.5" hidden="1" customHeight="1">
      <c r="A3754" s="8">
        <v>46078.391274340276</v>
      </c>
      <c r="B3754" s="14">
        <v>46078.0</v>
      </c>
      <c r="C3754" s="9" t="s">
        <v>15</v>
      </c>
      <c r="D3754" s="9" t="s">
        <v>396</v>
      </c>
      <c r="E3754" s="9" t="s">
        <v>17</v>
      </c>
      <c r="F3754" s="9" t="s">
        <v>17</v>
      </c>
      <c r="G3754" s="9">
        <v>7.0</v>
      </c>
      <c r="H3754" s="9" t="s">
        <v>25</v>
      </c>
      <c r="I3754" s="9" t="s">
        <v>218</v>
      </c>
      <c r="J3754" s="10"/>
      <c r="K3754" s="14">
        <v>3.0</v>
      </c>
      <c r="N3754" s="14" t="str">
        <f>IFERROR(__xludf.DUMMYFUNCTION("""COMPUTED_VALUE"""),"")</f>
        <v/>
      </c>
      <c r="O3754" s="14"/>
    </row>
    <row r="3755" ht="22.5" hidden="1" customHeight="1">
      <c r="A3755" s="8">
        <v>46078.39170609954</v>
      </c>
      <c r="B3755" s="14">
        <v>46078.0</v>
      </c>
      <c r="C3755" s="9" t="s">
        <v>15</v>
      </c>
      <c r="D3755" s="9" t="s">
        <v>414</v>
      </c>
      <c r="E3755" s="9" t="s">
        <v>17</v>
      </c>
      <c r="F3755" s="9" t="s">
        <v>17</v>
      </c>
      <c r="G3755" s="9">
        <v>8.0</v>
      </c>
      <c r="H3755" s="9" t="s">
        <v>22</v>
      </c>
      <c r="I3755" s="9" t="s">
        <v>20</v>
      </c>
      <c r="J3755" s="10"/>
      <c r="K3755" s="14">
        <v>5.0</v>
      </c>
      <c r="N3755" s="14" t="str">
        <f>IFERROR(__xludf.DUMMYFUNCTION("""COMPUTED_VALUE"""),"")</f>
        <v/>
      </c>
      <c r="O3755" s="14"/>
    </row>
    <row r="3756" ht="22.5" hidden="1" customHeight="1">
      <c r="A3756" s="8">
        <v>46078.391897800924</v>
      </c>
      <c r="B3756" s="14">
        <v>46078.0</v>
      </c>
      <c r="C3756" s="9" t="s">
        <v>15</v>
      </c>
      <c r="D3756" s="9" t="s">
        <v>421</v>
      </c>
      <c r="E3756" s="9" t="s">
        <v>17</v>
      </c>
      <c r="F3756" s="9" t="s">
        <v>17</v>
      </c>
      <c r="G3756" s="9">
        <v>8.0</v>
      </c>
      <c r="H3756" s="9" t="s">
        <v>22</v>
      </c>
      <c r="I3756" s="9" t="s">
        <v>20</v>
      </c>
      <c r="J3756" s="10"/>
      <c r="K3756" s="14">
        <v>4.0</v>
      </c>
      <c r="N3756" s="14" t="str">
        <f>IFERROR(__xludf.DUMMYFUNCTION("""COMPUTED_VALUE"""),"")</f>
        <v/>
      </c>
      <c r="O3756" s="14"/>
    </row>
    <row r="3757" ht="22.5" hidden="1" customHeight="1">
      <c r="A3757" s="8">
        <v>46078.39216528935</v>
      </c>
      <c r="B3757" s="14">
        <v>46078.0</v>
      </c>
      <c r="C3757" s="9" t="s">
        <v>15</v>
      </c>
      <c r="D3757" s="9" t="s">
        <v>423</v>
      </c>
      <c r="E3757" s="9" t="s">
        <v>17</v>
      </c>
      <c r="F3757" s="9" t="s">
        <v>17</v>
      </c>
      <c r="G3757" s="9">
        <v>7.0</v>
      </c>
      <c r="H3757" s="9" t="s">
        <v>22</v>
      </c>
      <c r="I3757" s="9" t="s">
        <v>20</v>
      </c>
      <c r="J3757" s="10"/>
      <c r="K3757" s="14">
        <v>6.0</v>
      </c>
      <c r="N3757" s="14" t="str">
        <f>IFERROR(__xludf.DUMMYFUNCTION("""COMPUTED_VALUE"""),"")</f>
        <v/>
      </c>
      <c r="O3757" s="14"/>
    </row>
    <row r="3758" ht="22.5" hidden="1" customHeight="1">
      <c r="A3758" s="8">
        <v>46078.39523277778</v>
      </c>
      <c r="B3758" s="14">
        <v>46078.0</v>
      </c>
      <c r="C3758" s="9" t="s">
        <v>15</v>
      </c>
      <c r="D3758" s="9" t="s">
        <v>247</v>
      </c>
      <c r="E3758" s="9" t="s">
        <v>17</v>
      </c>
      <c r="F3758" s="9" t="s">
        <v>17</v>
      </c>
      <c r="G3758" s="9">
        <v>7.0</v>
      </c>
      <c r="H3758" s="9" t="s">
        <v>22</v>
      </c>
      <c r="I3758" s="9" t="s">
        <v>20</v>
      </c>
      <c r="J3758" s="10"/>
      <c r="K3758" s="14">
        <v>5.0</v>
      </c>
      <c r="N3758" s="14" t="str">
        <f>IFERROR(__xludf.DUMMYFUNCTION("""COMPUTED_VALUE"""),"")</f>
        <v/>
      </c>
      <c r="O3758" s="14"/>
    </row>
    <row r="3759" ht="22.5" hidden="1" customHeight="1">
      <c r="A3759" s="8">
        <v>46078.39592606481</v>
      </c>
      <c r="B3759" s="14">
        <v>46078.0</v>
      </c>
      <c r="C3759" s="9" t="s">
        <v>15</v>
      </c>
      <c r="D3759" s="9" t="s">
        <v>413</v>
      </c>
      <c r="E3759" s="9" t="s">
        <v>17</v>
      </c>
      <c r="F3759" s="9" t="s">
        <v>17</v>
      </c>
      <c r="G3759" s="9">
        <v>8.0</v>
      </c>
      <c r="H3759" s="9" t="s">
        <v>22</v>
      </c>
      <c r="I3759" s="9" t="s">
        <v>20</v>
      </c>
      <c r="J3759" s="10"/>
      <c r="K3759" s="14">
        <v>6.0</v>
      </c>
      <c r="N3759" s="14" t="str">
        <f>IFERROR(__xludf.DUMMYFUNCTION("""COMPUTED_VALUE"""),"")</f>
        <v/>
      </c>
      <c r="O3759" s="14"/>
    </row>
    <row r="3760" ht="22.5" hidden="1" customHeight="1">
      <c r="A3760" s="8">
        <v>46078.39625278935</v>
      </c>
      <c r="B3760" s="14">
        <v>46078.0</v>
      </c>
      <c r="C3760" s="9" t="s">
        <v>15</v>
      </c>
      <c r="D3760" s="9" t="s">
        <v>367</v>
      </c>
      <c r="E3760" s="9" t="s">
        <v>17</v>
      </c>
      <c r="F3760" s="9" t="s">
        <v>17</v>
      </c>
      <c r="G3760" s="9">
        <v>7.0</v>
      </c>
      <c r="H3760" s="9" t="s">
        <v>22</v>
      </c>
      <c r="I3760" s="9" t="s">
        <v>20</v>
      </c>
      <c r="J3760" s="10"/>
      <c r="K3760" s="14">
        <v>6.0</v>
      </c>
      <c r="N3760" s="14" t="str">
        <f>IFERROR(__xludf.DUMMYFUNCTION("""COMPUTED_VALUE"""),"")</f>
        <v/>
      </c>
      <c r="O3760" s="14"/>
    </row>
    <row r="3761" ht="22.5" hidden="1" customHeight="1">
      <c r="A3761" s="8">
        <v>46079.66831709491</v>
      </c>
      <c r="B3761" s="14">
        <v>46079.0</v>
      </c>
      <c r="C3761" s="9" t="s">
        <v>31</v>
      </c>
      <c r="D3761" s="9" t="s">
        <v>171</v>
      </c>
      <c r="E3761" s="9" t="s">
        <v>30</v>
      </c>
      <c r="F3761" s="9" t="s">
        <v>18</v>
      </c>
      <c r="G3761" s="9">
        <v>8.0</v>
      </c>
      <c r="H3761" s="9" t="s">
        <v>25</v>
      </c>
      <c r="I3761" s="9" t="s">
        <v>242</v>
      </c>
      <c r="J3761" s="10"/>
      <c r="K3761" s="14" t="s">
        <v>398</v>
      </c>
      <c r="N3761" s="14" t="str">
        <f>IFERROR(__xludf.DUMMYFUNCTION("""COMPUTED_VALUE"""),"")</f>
        <v/>
      </c>
      <c r="O3761" s="14"/>
    </row>
    <row r="3762" ht="22.5" hidden="1" customHeight="1">
      <c r="A3762" s="8">
        <v>46079.66898878472</v>
      </c>
      <c r="B3762" s="14">
        <v>46079.0</v>
      </c>
      <c r="C3762" s="9" t="s">
        <v>31</v>
      </c>
      <c r="D3762" s="9" t="s">
        <v>350</v>
      </c>
      <c r="E3762" s="9" t="s">
        <v>46</v>
      </c>
      <c r="F3762" s="9" t="s">
        <v>17</v>
      </c>
      <c r="G3762" s="9">
        <v>8.0</v>
      </c>
      <c r="H3762" s="9" t="s">
        <v>25</v>
      </c>
      <c r="I3762" s="9" t="s">
        <v>50</v>
      </c>
      <c r="J3762" s="10"/>
      <c r="K3762" s="14" t="s">
        <v>398</v>
      </c>
      <c r="N3762" s="14" t="str">
        <f>IFERROR(__xludf.DUMMYFUNCTION("""COMPUTED_VALUE"""),"")</f>
        <v/>
      </c>
      <c r="O3762" s="14"/>
    </row>
    <row r="3763" ht="22.5" hidden="1" customHeight="1">
      <c r="A3763" s="8">
        <v>46079.669518877316</v>
      </c>
      <c r="B3763" s="14">
        <v>46079.0</v>
      </c>
      <c r="C3763" s="9" t="s">
        <v>31</v>
      </c>
      <c r="D3763" s="9" t="s">
        <v>357</v>
      </c>
      <c r="E3763" s="9" t="s">
        <v>46</v>
      </c>
      <c r="F3763" s="9" t="s">
        <v>18</v>
      </c>
      <c r="G3763" s="9" t="s">
        <v>409</v>
      </c>
      <c r="H3763" s="9" t="s">
        <v>25</v>
      </c>
      <c r="I3763" s="9" t="s">
        <v>89</v>
      </c>
      <c r="J3763" s="10"/>
      <c r="K3763" s="14" t="s">
        <v>398</v>
      </c>
      <c r="N3763" s="14" t="str">
        <f>IFERROR(__xludf.DUMMYFUNCTION("""COMPUTED_VALUE"""),"")</f>
        <v/>
      </c>
      <c r="O3763" s="14"/>
    </row>
    <row r="3764" ht="22.5" hidden="1" customHeight="1">
      <c r="A3764" s="8">
        <v>46079.67016903935</v>
      </c>
      <c r="B3764" s="14">
        <v>46079.0</v>
      </c>
      <c r="C3764" s="9" t="s">
        <v>31</v>
      </c>
      <c r="D3764" s="9" t="s">
        <v>394</v>
      </c>
      <c r="E3764" s="9" t="s">
        <v>46</v>
      </c>
      <c r="F3764" s="9" t="s">
        <v>60</v>
      </c>
      <c r="G3764" s="9">
        <v>6.0</v>
      </c>
      <c r="H3764" s="9" t="s">
        <v>22</v>
      </c>
      <c r="I3764" s="9" t="s">
        <v>20</v>
      </c>
      <c r="J3764" s="10"/>
      <c r="K3764" s="14" t="s">
        <v>398</v>
      </c>
      <c r="N3764" s="14" t="str">
        <f>IFERROR(__xludf.DUMMYFUNCTION("""COMPUTED_VALUE"""),"")</f>
        <v/>
      </c>
      <c r="O3764" s="14"/>
    </row>
    <row r="3765" ht="22.5" hidden="1" customHeight="1">
      <c r="A3765" s="8">
        <v>46079.67081116898</v>
      </c>
      <c r="B3765" s="14">
        <v>46079.0</v>
      </c>
      <c r="C3765" s="9" t="s">
        <v>31</v>
      </c>
      <c r="D3765" s="9" t="s">
        <v>414</v>
      </c>
      <c r="E3765" s="9" t="s">
        <v>46</v>
      </c>
      <c r="F3765" s="9" t="s">
        <v>17</v>
      </c>
      <c r="G3765" s="9">
        <v>7.0</v>
      </c>
      <c r="H3765" s="9" t="s">
        <v>25</v>
      </c>
      <c r="I3765" s="9" t="s">
        <v>79</v>
      </c>
      <c r="J3765" s="10"/>
      <c r="K3765" s="14" t="s">
        <v>398</v>
      </c>
      <c r="N3765" s="14" t="str">
        <f>IFERROR(__xludf.DUMMYFUNCTION("""COMPUTED_VALUE"""),"")</f>
        <v/>
      </c>
      <c r="O3765" s="14"/>
    </row>
    <row r="3766" ht="22.5" hidden="1" customHeight="1">
      <c r="A3766" s="8">
        <v>46079.6716571875</v>
      </c>
      <c r="B3766" s="14">
        <v>46079.0</v>
      </c>
      <c r="C3766" s="9" t="s">
        <v>31</v>
      </c>
      <c r="D3766" s="9" t="s">
        <v>175</v>
      </c>
      <c r="E3766" s="9" t="s">
        <v>46</v>
      </c>
      <c r="F3766" s="9" t="s">
        <v>17</v>
      </c>
      <c r="G3766" s="9">
        <v>7.0</v>
      </c>
      <c r="H3766" s="9" t="s">
        <v>25</v>
      </c>
      <c r="I3766" s="9" t="s">
        <v>218</v>
      </c>
      <c r="J3766" s="10"/>
      <c r="K3766" s="14" t="s">
        <v>398</v>
      </c>
      <c r="N3766" s="14" t="str">
        <f>IFERROR(__xludf.DUMMYFUNCTION("""COMPUTED_VALUE"""),"")</f>
        <v/>
      </c>
      <c r="O3766" s="14"/>
    </row>
    <row r="3767" ht="22.5" hidden="1" customHeight="1">
      <c r="A3767" s="8">
        <v>46079.672177025466</v>
      </c>
      <c r="B3767" s="14">
        <v>46079.0</v>
      </c>
      <c r="C3767" s="9" t="s">
        <v>31</v>
      </c>
      <c r="D3767" s="9" t="s">
        <v>369</v>
      </c>
      <c r="E3767" s="9" t="s">
        <v>17</v>
      </c>
      <c r="F3767" s="9" t="s">
        <v>18</v>
      </c>
      <c r="G3767" s="9" t="s">
        <v>409</v>
      </c>
      <c r="H3767" s="9" t="s">
        <v>25</v>
      </c>
      <c r="I3767" s="9" t="s">
        <v>79</v>
      </c>
      <c r="J3767" s="10"/>
      <c r="K3767" s="14" t="s">
        <v>398</v>
      </c>
      <c r="N3767" s="14" t="str">
        <f>IFERROR(__xludf.DUMMYFUNCTION("""COMPUTED_VALUE"""),"")</f>
        <v/>
      </c>
      <c r="O3767" s="14"/>
    </row>
    <row r="3768" ht="22.5" hidden="1" customHeight="1">
      <c r="A3768" s="8">
        <v>46079.67279232639</v>
      </c>
      <c r="B3768" s="14">
        <v>46079.0</v>
      </c>
      <c r="C3768" s="9" t="s">
        <v>31</v>
      </c>
      <c r="D3768" s="9" t="s">
        <v>408</v>
      </c>
      <c r="E3768" s="9" t="s">
        <v>17</v>
      </c>
      <c r="F3768" s="9" t="s">
        <v>18</v>
      </c>
      <c r="G3768" s="9">
        <v>7.0</v>
      </c>
      <c r="H3768" s="9" t="s">
        <v>22</v>
      </c>
      <c r="I3768" s="9" t="s">
        <v>20</v>
      </c>
      <c r="J3768" s="10"/>
      <c r="K3768" s="14" t="s">
        <v>398</v>
      </c>
      <c r="N3768" s="14" t="str">
        <f>IFERROR(__xludf.DUMMYFUNCTION("""COMPUTED_VALUE"""),"")</f>
        <v/>
      </c>
      <c r="O3768" s="14"/>
    </row>
    <row r="3769" ht="22.5" hidden="1" customHeight="1">
      <c r="A3769" s="8">
        <v>46079.67322484954</v>
      </c>
      <c r="B3769" s="14">
        <v>46079.0</v>
      </c>
      <c r="C3769" s="9" t="s">
        <v>31</v>
      </c>
      <c r="D3769" s="9" t="s">
        <v>412</v>
      </c>
      <c r="E3769" s="9" t="s">
        <v>30</v>
      </c>
      <c r="F3769" s="9" t="s">
        <v>18</v>
      </c>
      <c r="G3769" s="9" t="s">
        <v>409</v>
      </c>
      <c r="H3769" s="9" t="s">
        <v>22</v>
      </c>
      <c r="I3769" s="9" t="s">
        <v>20</v>
      </c>
      <c r="J3769" s="10"/>
      <c r="K3769" s="14" t="s">
        <v>398</v>
      </c>
      <c r="N3769" s="14" t="str">
        <f>IFERROR(__xludf.DUMMYFUNCTION("""COMPUTED_VALUE"""),"")</f>
        <v/>
      </c>
      <c r="O3769" s="14"/>
    </row>
    <row r="3770" ht="22.5" hidden="1" customHeight="1">
      <c r="A3770" s="8">
        <v>46079.67361474537</v>
      </c>
      <c r="B3770" s="14">
        <v>46079.0</v>
      </c>
      <c r="C3770" s="9" t="s">
        <v>31</v>
      </c>
      <c r="D3770" s="9" t="s">
        <v>423</v>
      </c>
      <c r="E3770" s="9" t="s">
        <v>30</v>
      </c>
      <c r="F3770" s="9" t="s">
        <v>18</v>
      </c>
      <c r="G3770" s="9" t="s">
        <v>409</v>
      </c>
      <c r="H3770" s="9" t="s">
        <v>22</v>
      </c>
      <c r="I3770" s="9" t="s">
        <v>20</v>
      </c>
      <c r="J3770" s="10"/>
      <c r="K3770" s="14" t="s">
        <v>398</v>
      </c>
      <c r="N3770" s="14" t="str">
        <f>IFERROR(__xludf.DUMMYFUNCTION("""COMPUTED_VALUE"""),"")</f>
        <v/>
      </c>
      <c r="O3770" s="14"/>
    </row>
    <row r="3771" ht="22.5" hidden="1" customHeight="1">
      <c r="A3771" s="8">
        <v>46079.67433275463</v>
      </c>
      <c r="B3771" s="14">
        <v>46079.0</v>
      </c>
      <c r="C3771" s="9" t="s">
        <v>31</v>
      </c>
      <c r="D3771" s="9" t="s">
        <v>335</v>
      </c>
      <c r="E3771" s="9" t="s">
        <v>61</v>
      </c>
      <c r="F3771" s="9" t="s">
        <v>18</v>
      </c>
      <c r="G3771" s="9" t="s">
        <v>409</v>
      </c>
      <c r="H3771" s="9" t="s">
        <v>25</v>
      </c>
      <c r="I3771" s="9" t="s">
        <v>411</v>
      </c>
      <c r="J3771" s="10"/>
      <c r="K3771" s="14" t="s">
        <v>398</v>
      </c>
      <c r="N3771" s="14" t="str">
        <f>IFERROR(__xludf.DUMMYFUNCTION("""COMPUTED_VALUE"""),"")</f>
        <v/>
      </c>
      <c r="O3771" s="14"/>
    </row>
    <row r="3772" ht="22.5" hidden="1" customHeight="1">
      <c r="A3772" s="8">
        <v>46079.67470747685</v>
      </c>
      <c r="B3772" s="14">
        <v>46079.0</v>
      </c>
      <c r="C3772" s="9" t="s">
        <v>31</v>
      </c>
      <c r="D3772" s="9" t="s">
        <v>174</v>
      </c>
      <c r="E3772" s="9" t="s">
        <v>57</v>
      </c>
      <c r="F3772" s="9" t="s">
        <v>43</v>
      </c>
      <c r="G3772" s="9" t="s">
        <v>409</v>
      </c>
      <c r="H3772" s="9" t="s">
        <v>22</v>
      </c>
      <c r="I3772" s="9" t="s">
        <v>20</v>
      </c>
      <c r="J3772" s="10"/>
      <c r="K3772" s="14" t="s">
        <v>398</v>
      </c>
      <c r="N3772" s="14" t="str">
        <f>IFERROR(__xludf.DUMMYFUNCTION("""COMPUTED_VALUE"""),"")</f>
        <v/>
      </c>
      <c r="O3772" s="14"/>
    </row>
    <row r="3773" ht="22.5" hidden="1" customHeight="1">
      <c r="A3773" s="8">
        <v>46079.675293368055</v>
      </c>
      <c r="B3773" s="14">
        <v>46079.0</v>
      </c>
      <c r="C3773" s="9" t="s">
        <v>31</v>
      </c>
      <c r="D3773" s="9" t="s">
        <v>177</v>
      </c>
      <c r="E3773" s="9" t="s">
        <v>61</v>
      </c>
      <c r="F3773" s="9" t="s">
        <v>60</v>
      </c>
      <c r="G3773" s="9" t="s">
        <v>410</v>
      </c>
      <c r="H3773" s="9" t="s">
        <v>22</v>
      </c>
      <c r="I3773" s="9" t="s">
        <v>20</v>
      </c>
      <c r="J3773" s="10"/>
      <c r="K3773" s="14" t="s">
        <v>398</v>
      </c>
      <c r="N3773" s="14" t="str">
        <f>IFERROR(__xludf.DUMMYFUNCTION("""COMPUTED_VALUE"""),"")</f>
        <v/>
      </c>
      <c r="O3773" s="14"/>
    </row>
    <row r="3774" ht="22.5" hidden="1" customHeight="1">
      <c r="A3774" s="8">
        <v>46079.675744733795</v>
      </c>
      <c r="B3774" s="14">
        <v>46079.0</v>
      </c>
      <c r="C3774" s="9" t="s">
        <v>31</v>
      </c>
      <c r="D3774" s="9" t="s">
        <v>395</v>
      </c>
      <c r="E3774" s="9" t="s">
        <v>17</v>
      </c>
      <c r="F3774" s="9" t="s">
        <v>17</v>
      </c>
      <c r="G3774" s="9">
        <v>7.0</v>
      </c>
      <c r="H3774" s="9" t="s">
        <v>22</v>
      </c>
      <c r="I3774" s="9" t="s">
        <v>20</v>
      </c>
      <c r="J3774" s="10"/>
      <c r="K3774" s="14" t="s">
        <v>398</v>
      </c>
      <c r="N3774" s="14" t="str">
        <f>IFERROR(__xludf.DUMMYFUNCTION("""COMPUTED_VALUE"""),"")</f>
        <v/>
      </c>
      <c r="O3774" s="14"/>
    </row>
    <row r="3775" ht="22.5" hidden="1" customHeight="1">
      <c r="A3775" s="8">
        <v>46079.67637828704</v>
      </c>
      <c r="B3775" s="14">
        <v>46079.0</v>
      </c>
      <c r="C3775" s="9" t="s">
        <v>31</v>
      </c>
      <c r="D3775" s="9" t="s">
        <v>393</v>
      </c>
      <c r="E3775" s="9" t="s">
        <v>17</v>
      </c>
      <c r="F3775" s="9" t="s">
        <v>18</v>
      </c>
      <c r="G3775" s="9">
        <v>7.0</v>
      </c>
      <c r="H3775" s="9" t="s">
        <v>22</v>
      </c>
      <c r="I3775" s="9" t="s">
        <v>20</v>
      </c>
      <c r="J3775" s="10"/>
      <c r="K3775" s="14" t="s">
        <v>398</v>
      </c>
      <c r="N3775" s="14" t="str">
        <f>IFERROR(__xludf.DUMMYFUNCTION("""COMPUTED_VALUE"""),"")</f>
        <v/>
      </c>
      <c r="O3775" s="14"/>
    </row>
    <row r="3776" ht="22.5" hidden="1" customHeight="1">
      <c r="A3776" s="8">
        <v>46079.67725230324</v>
      </c>
      <c r="B3776" s="14">
        <v>46079.0</v>
      </c>
      <c r="C3776" s="9" t="s">
        <v>31</v>
      </c>
      <c r="D3776" s="9" t="s">
        <v>259</v>
      </c>
      <c r="E3776" s="9" t="s">
        <v>57</v>
      </c>
      <c r="F3776" s="9" t="s">
        <v>43</v>
      </c>
      <c r="G3776" s="9" t="s">
        <v>409</v>
      </c>
      <c r="H3776" s="9" t="s">
        <v>25</v>
      </c>
      <c r="I3776" s="9" t="s">
        <v>67</v>
      </c>
      <c r="J3776" s="10"/>
      <c r="K3776" s="14" t="s">
        <v>398</v>
      </c>
      <c r="N3776" s="14" t="str">
        <f>IFERROR(__xludf.DUMMYFUNCTION("""COMPUTED_VALUE"""),"")</f>
        <v/>
      </c>
      <c r="O3776" s="14"/>
    </row>
    <row r="3777" ht="22.5" hidden="1" customHeight="1">
      <c r="A3777" s="8">
        <v>46079.677571782406</v>
      </c>
      <c r="B3777" s="14">
        <v>46079.0</v>
      </c>
      <c r="C3777" s="9" t="s">
        <v>31</v>
      </c>
      <c r="D3777" s="9" t="s">
        <v>280</v>
      </c>
      <c r="E3777" s="9" t="s">
        <v>30</v>
      </c>
      <c r="F3777" s="9" t="s">
        <v>18</v>
      </c>
      <c r="G3777" s="9">
        <v>8.0</v>
      </c>
      <c r="H3777" s="9" t="s">
        <v>22</v>
      </c>
      <c r="I3777" s="9" t="s">
        <v>20</v>
      </c>
      <c r="J3777" s="10"/>
      <c r="K3777" s="14" t="s">
        <v>398</v>
      </c>
      <c r="N3777" s="14" t="str">
        <f>IFERROR(__xludf.DUMMYFUNCTION("""COMPUTED_VALUE"""),"")</f>
        <v/>
      </c>
      <c r="O3777" s="14"/>
    </row>
    <row r="3778" ht="22.5" hidden="1" customHeight="1">
      <c r="A3778" s="8">
        <v>46079.67862128472</v>
      </c>
      <c r="B3778" s="14">
        <v>46079.0</v>
      </c>
      <c r="C3778" s="9" t="s">
        <v>31</v>
      </c>
      <c r="D3778" s="9" t="s">
        <v>258</v>
      </c>
      <c r="E3778" s="9" t="s">
        <v>46</v>
      </c>
      <c r="F3778" s="9" t="s">
        <v>18</v>
      </c>
      <c r="G3778" s="9">
        <v>8.0</v>
      </c>
      <c r="H3778" s="9" t="s">
        <v>22</v>
      </c>
      <c r="I3778" s="9" t="s">
        <v>20</v>
      </c>
      <c r="J3778" s="10"/>
      <c r="K3778" s="14" t="s">
        <v>398</v>
      </c>
      <c r="N3778" s="14" t="str">
        <f>IFERROR(__xludf.DUMMYFUNCTION("""COMPUTED_VALUE"""),"")</f>
        <v/>
      </c>
      <c r="O3778" s="14"/>
    </row>
    <row r="3779" ht="22.5" hidden="1" customHeight="1">
      <c r="A3779" s="8">
        <v>46079.67910258102</v>
      </c>
      <c r="B3779" s="14">
        <v>46079.0</v>
      </c>
      <c r="C3779" s="9" t="s">
        <v>31</v>
      </c>
      <c r="D3779" s="9" t="s">
        <v>413</v>
      </c>
      <c r="E3779" s="9" t="s">
        <v>17</v>
      </c>
      <c r="F3779" s="9" t="s">
        <v>18</v>
      </c>
      <c r="G3779" s="9" t="s">
        <v>409</v>
      </c>
      <c r="H3779" s="9" t="s">
        <v>22</v>
      </c>
      <c r="I3779" s="9" t="s">
        <v>20</v>
      </c>
      <c r="J3779" s="10"/>
      <c r="K3779" s="14" t="s">
        <v>398</v>
      </c>
      <c r="N3779" s="14" t="str">
        <f>IFERROR(__xludf.DUMMYFUNCTION("""COMPUTED_VALUE"""),"")</f>
        <v/>
      </c>
      <c r="O3779" s="14"/>
    </row>
    <row r="3780" ht="22.5" hidden="1" customHeight="1">
      <c r="A3780" s="8">
        <v>46079.67940364583</v>
      </c>
      <c r="B3780" s="14">
        <v>46079.0</v>
      </c>
      <c r="C3780" s="9" t="s">
        <v>31</v>
      </c>
      <c r="D3780" s="9" t="s">
        <v>105</v>
      </c>
      <c r="E3780" s="9" t="s">
        <v>30</v>
      </c>
      <c r="F3780" s="9" t="s">
        <v>18</v>
      </c>
      <c r="G3780" s="9">
        <v>8.0</v>
      </c>
      <c r="H3780" s="9" t="s">
        <v>22</v>
      </c>
      <c r="I3780" s="9" t="s">
        <v>20</v>
      </c>
      <c r="J3780" s="10"/>
      <c r="K3780" s="14" t="s">
        <v>398</v>
      </c>
      <c r="N3780" s="14" t="str">
        <f>IFERROR(__xludf.DUMMYFUNCTION("""COMPUTED_VALUE"""),"")</f>
        <v/>
      </c>
      <c r="O3780" s="14"/>
    </row>
    <row r="3781" ht="22.5" hidden="1" customHeight="1">
      <c r="A3781" s="8">
        <v>46080.37262952546</v>
      </c>
      <c r="B3781" s="14">
        <v>46080.0</v>
      </c>
      <c r="C3781" s="9" t="s">
        <v>48</v>
      </c>
      <c r="D3781" s="9" t="s">
        <v>412</v>
      </c>
      <c r="E3781" s="9" t="s">
        <v>17</v>
      </c>
      <c r="F3781" s="9" t="s">
        <v>17</v>
      </c>
      <c r="G3781" s="9">
        <v>8.0</v>
      </c>
      <c r="H3781" s="9" t="s">
        <v>22</v>
      </c>
      <c r="I3781" s="9" t="s">
        <v>20</v>
      </c>
      <c r="J3781" s="10"/>
      <c r="K3781" s="14">
        <v>4.0</v>
      </c>
      <c r="N3781" s="14" t="str">
        <f>IFERROR(__xludf.DUMMYFUNCTION("""COMPUTED_VALUE"""),"")</f>
        <v/>
      </c>
      <c r="O3781" s="14"/>
    </row>
    <row r="3782" ht="22.5" hidden="1" customHeight="1">
      <c r="A3782" s="8">
        <v>46080.37318971065</v>
      </c>
      <c r="B3782" s="14">
        <v>46080.0</v>
      </c>
      <c r="C3782" s="9" t="s">
        <v>48</v>
      </c>
      <c r="D3782" s="9" t="s">
        <v>249</v>
      </c>
      <c r="E3782" s="9" t="s">
        <v>17</v>
      </c>
      <c r="F3782" s="9" t="s">
        <v>17</v>
      </c>
      <c r="G3782" s="9">
        <v>7.0</v>
      </c>
      <c r="H3782" s="9" t="s">
        <v>22</v>
      </c>
      <c r="I3782" s="9" t="s">
        <v>20</v>
      </c>
      <c r="J3782" s="10"/>
      <c r="K3782" s="14">
        <v>8.0</v>
      </c>
      <c r="N3782" s="14" t="str">
        <f>IFERROR(__xludf.DUMMYFUNCTION("""COMPUTED_VALUE"""),"")</f>
        <v/>
      </c>
      <c r="O3782" s="14"/>
    </row>
    <row r="3783" ht="22.5" hidden="1" customHeight="1">
      <c r="A3783" s="8">
        <v>46080.37342070602</v>
      </c>
      <c r="B3783" s="14">
        <v>46080.0</v>
      </c>
      <c r="C3783" s="9" t="s">
        <v>48</v>
      </c>
      <c r="D3783" s="9" t="s">
        <v>177</v>
      </c>
      <c r="E3783" s="9" t="s">
        <v>17</v>
      </c>
      <c r="F3783" s="9" t="s">
        <v>17</v>
      </c>
      <c r="G3783" s="9">
        <v>7.0</v>
      </c>
      <c r="H3783" s="9" t="s">
        <v>22</v>
      </c>
      <c r="I3783" s="9" t="s">
        <v>20</v>
      </c>
      <c r="J3783" s="10"/>
      <c r="K3783" s="14">
        <v>3.0</v>
      </c>
      <c r="N3783" s="14" t="str">
        <f>IFERROR(__xludf.DUMMYFUNCTION("""COMPUTED_VALUE"""),"")</f>
        <v/>
      </c>
      <c r="O3783" s="14"/>
    </row>
    <row r="3784" ht="22.5" hidden="1" customHeight="1">
      <c r="A3784" s="8">
        <v>46080.37383309028</v>
      </c>
      <c r="B3784" s="14">
        <v>46080.0</v>
      </c>
      <c r="C3784" s="9" t="s">
        <v>48</v>
      </c>
      <c r="D3784" s="9" t="s">
        <v>357</v>
      </c>
      <c r="E3784" s="9" t="s">
        <v>17</v>
      </c>
      <c r="F3784" s="9" t="s">
        <v>17</v>
      </c>
      <c r="G3784" s="9">
        <v>8.0</v>
      </c>
      <c r="H3784" s="9" t="s">
        <v>25</v>
      </c>
      <c r="I3784" s="9" t="s">
        <v>89</v>
      </c>
      <c r="J3784" s="10"/>
      <c r="K3784" s="14">
        <v>7.0</v>
      </c>
      <c r="N3784" s="14" t="str">
        <f>IFERROR(__xludf.DUMMYFUNCTION("""COMPUTED_VALUE"""),"")</f>
        <v/>
      </c>
      <c r="O3784" s="14"/>
    </row>
    <row r="3785" ht="22.5" hidden="1" customHeight="1">
      <c r="A3785" s="8">
        <v>46080.374028136575</v>
      </c>
      <c r="B3785" s="14">
        <v>46080.0</v>
      </c>
      <c r="C3785" s="9" t="s">
        <v>48</v>
      </c>
      <c r="D3785" s="9" t="s">
        <v>280</v>
      </c>
      <c r="E3785" s="9" t="s">
        <v>17</v>
      </c>
      <c r="F3785" s="9" t="s">
        <v>17</v>
      </c>
      <c r="G3785" s="9">
        <v>8.0</v>
      </c>
      <c r="H3785" s="9" t="s">
        <v>22</v>
      </c>
      <c r="I3785" s="9" t="s">
        <v>20</v>
      </c>
      <c r="J3785" s="10"/>
      <c r="K3785" s="14">
        <v>3.0</v>
      </c>
      <c r="N3785" s="14" t="str">
        <f>IFERROR(__xludf.DUMMYFUNCTION("""COMPUTED_VALUE"""),"")</f>
        <v/>
      </c>
      <c r="O3785" s="14"/>
    </row>
    <row r="3786" ht="22.5" hidden="1" customHeight="1">
      <c r="A3786" s="8">
        <v>46080.37443758102</v>
      </c>
      <c r="B3786" s="14">
        <v>46080.0</v>
      </c>
      <c r="C3786" s="9" t="s">
        <v>48</v>
      </c>
      <c r="D3786" s="9" t="s">
        <v>393</v>
      </c>
      <c r="E3786" s="9" t="s">
        <v>17</v>
      </c>
      <c r="F3786" s="9" t="s">
        <v>17</v>
      </c>
      <c r="G3786" s="9">
        <v>8.0</v>
      </c>
      <c r="H3786" s="9" t="s">
        <v>22</v>
      </c>
      <c r="I3786" s="9" t="s">
        <v>20</v>
      </c>
      <c r="J3786" s="10"/>
      <c r="K3786" s="14">
        <v>3.0</v>
      </c>
      <c r="N3786" s="14" t="str">
        <f>IFERROR(__xludf.DUMMYFUNCTION("""COMPUTED_VALUE"""),"")</f>
        <v/>
      </c>
      <c r="O3786" s="14"/>
    </row>
    <row r="3787" ht="22.5" hidden="1" customHeight="1">
      <c r="A3787" s="8">
        <v>46080.374839641205</v>
      </c>
      <c r="B3787" s="14">
        <v>46080.0</v>
      </c>
      <c r="C3787" s="9" t="s">
        <v>48</v>
      </c>
      <c r="D3787" s="9" t="s">
        <v>174</v>
      </c>
      <c r="E3787" s="9" t="s">
        <v>17</v>
      </c>
      <c r="F3787" s="9" t="s">
        <v>17</v>
      </c>
      <c r="G3787" s="9">
        <v>8.0</v>
      </c>
      <c r="H3787" s="9" t="s">
        <v>22</v>
      </c>
      <c r="I3787" s="9" t="s">
        <v>20</v>
      </c>
      <c r="J3787" s="10"/>
      <c r="K3787" s="14">
        <v>2.0</v>
      </c>
      <c r="N3787" s="14" t="str">
        <f>IFERROR(__xludf.DUMMYFUNCTION("""COMPUTED_VALUE"""),"")</f>
        <v/>
      </c>
      <c r="O3787" s="14"/>
    </row>
    <row r="3788" ht="22.5" hidden="1" customHeight="1">
      <c r="A3788" s="8">
        <v>46080.37506298611</v>
      </c>
      <c r="B3788" s="14">
        <v>46080.0</v>
      </c>
      <c r="C3788" s="9" t="s">
        <v>48</v>
      </c>
      <c r="D3788" s="9" t="s">
        <v>258</v>
      </c>
      <c r="E3788" s="9" t="s">
        <v>17</v>
      </c>
      <c r="F3788" s="9" t="s">
        <v>17</v>
      </c>
      <c r="G3788" s="9">
        <v>8.0</v>
      </c>
      <c r="H3788" s="9" t="s">
        <v>22</v>
      </c>
      <c r="I3788" s="9" t="s">
        <v>20</v>
      </c>
      <c r="J3788" s="10"/>
      <c r="K3788" s="14">
        <v>4.0</v>
      </c>
      <c r="N3788" s="14" t="str">
        <f>IFERROR(__xludf.DUMMYFUNCTION("""COMPUTED_VALUE"""),"")</f>
        <v/>
      </c>
      <c r="O3788" s="14"/>
    </row>
    <row r="3789" ht="22.5" hidden="1" customHeight="1">
      <c r="A3789" s="8">
        <v>46080.37543630787</v>
      </c>
      <c r="B3789" s="14">
        <v>46080.0</v>
      </c>
      <c r="C3789" s="9" t="s">
        <v>48</v>
      </c>
      <c r="D3789" s="9" t="s">
        <v>369</v>
      </c>
      <c r="E3789" s="9" t="s">
        <v>17</v>
      </c>
      <c r="F3789" s="9" t="s">
        <v>17</v>
      </c>
      <c r="G3789" s="9">
        <v>8.0</v>
      </c>
      <c r="H3789" s="9" t="s">
        <v>25</v>
      </c>
      <c r="I3789" s="9" t="s">
        <v>89</v>
      </c>
      <c r="J3789" s="10"/>
      <c r="K3789" s="14">
        <v>3.0</v>
      </c>
      <c r="N3789" s="14" t="str">
        <f>IFERROR(__xludf.DUMMYFUNCTION("""COMPUTED_VALUE"""),"")</f>
        <v/>
      </c>
      <c r="O3789" s="14"/>
    </row>
    <row r="3790" ht="22.5" hidden="1" customHeight="1">
      <c r="A3790" s="8">
        <v>46080.37576034722</v>
      </c>
      <c r="B3790" s="14">
        <v>46080.0</v>
      </c>
      <c r="C3790" s="9" t="s">
        <v>48</v>
      </c>
      <c r="D3790" s="9" t="s">
        <v>105</v>
      </c>
      <c r="E3790" s="9" t="s">
        <v>17</v>
      </c>
      <c r="F3790" s="9" t="s">
        <v>17</v>
      </c>
      <c r="G3790" s="9">
        <v>7.0</v>
      </c>
      <c r="H3790" s="9" t="s">
        <v>22</v>
      </c>
      <c r="I3790" s="9" t="s">
        <v>20</v>
      </c>
      <c r="J3790" s="10"/>
      <c r="K3790" s="14">
        <v>2.0</v>
      </c>
      <c r="N3790" s="14" t="str">
        <f>IFERROR(__xludf.DUMMYFUNCTION("""COMPUTED_VALUE"""),"")</f>
        <v/>
      </c>
      <c r="O3790" s="14"/>
    </row>
    <row r="3791" ht="22.5" hidden="1" customHeight="1">
      <c r="A3791" s="8">
        <v>46080.376117604166</v>
      </c>
      <c r="B3791" s="14">
        <v>46080.0</v>
      </c>
      <c r="C3791" s="9" t="s">
        <v>48</v>
      </c>
      <c r="D3791" s="9" t="s">
        <v>408</v>
      </c>
      <c r="E3791" s="9" t="s">
        <v>17</v>
      </c>
      <c r="F3791" s="9" t="s">
        <v>17</v>
      </c>
      <c r="G3791" s="9">
        <v>8.0</v>
      </c>
      <c r="H3791" s="9" t="s">
        <v>17</v>
      </c>
      <c r="I3791" s="9" t="s">
        <v>20</v>
      </c>
      <c r="J3791" s="10"/>
      <c r="K3791" s="14" t="s">
        <v>398</v>
      </c>
      <c r="N3791" s="14" t="str">
        <f>IFERROR(__xludf.DUMMYFUNCTION("""COMPUTED_VALUE"""),"")</f>
        <v/>
      </c>
      <c r="O3791" s="14"/>
    </row>
    <row r="3792" ht="22.5" hidden="1" customHeight="1">
      <c r="A3792" s="8">
        <v>46080.37633339121</v>
      </c>
      <c r="B3792" s="14">
        <v>46080.0</v>
      </c>
      <c r="C3792" s="9" t="s">
        <v>48</v>
      </c>
      <c r="D3792" s="9" t="s">
        <v>395</v>
      </c>
      <c r="E3792" s="9" t="s">
        <v>17</v>
      </c>
      <c r="F3792" s="9" t="s">
        <v>17</v>
      </c>
      <c r="G3792" s="9">
        <v>8.0</v>
      </c>
      <c r="H3792" s="9" t="s">
        <v>22</v>
      </c>
      <c r="I3792" s="9" t="s">
        <v>20</v>
      </c>
      <c r="J3792" s="10"/>
      <c r="K3792" s="14">
        <v>3.0</v>
      </c>
      <c r="N3792" s="14" t="str">
        <f>IFERROR(__xludf.DUMMYFUNCTION("""COMPUTED_VALUE"""),"")</f>
        <v/>
      </c>
      <c r="O3792" s="14"/>
    </row>
    <row r="3793" ht="22.5" hidden="1" customHeight="1">
      <c r="A3793" s="8">
        <v>46080.37672697917</v>
      </c>
      <c r="B3793" s="14">
        <v>46080.0</v>
      </c>
      <c r="C3793" s="9" t="s">
        <v>48</v>
      </c>
      <c r="D3793" s="9" t="s">
        <v>350</v>
      </c>
      <c r="E3793" s="9" t="s">
        <v>17</v>
      </c>
      <c r="F3793" s="9" t="s">
        <v>17</v>
      </c>
      <c r="G3793" s="9">
        <v>8.0</v>
      </c>
      <c r="H3793" s="9" t="s">
        <v>25</v>
      </c>
      <c r="I3793" s="9" t="s">
        <v>50</v>
      </c>
      <c r="J3793" s="10"/>
      <c r="K3793" s="14">
        <v>3.0</v>
      </c>
      <c r="N3793" s="14" t="str">
        <f>IFERROR(__xludf.DUMMYFUNCTION("""COMPUTED_VALUE"""),"")</f>
        <v/>
      </c>
      <c r="O3793" s="14"/>
    </row>
    <row r="3794" ht="22.5" hidden="1" customHeight="1">
      <c r="A3794" s="8">
        <v>46080.37697699074</v>
      </c>
      <c r="B3794" s="14">
        <v>46080.0</v>
      </c>
      <c r="C3794" s="9" t="s">
        <v>48</v>
      </c>
      <c r="D3794" s="9" t="s">
        <v>257</v>
      </c>
      <c r="E3794" s="9" t="s">
        <v>17</v>
      </c>
      <c r="F3794" s="9" t="s">
        <v>17</v>
      </c>
      <c r="G3794" s="9">
        <v>8.0</v>
      </c>
      <c r="H3794" s="9" t="s">
        <v>22</v>
      </c>
      <c r="I3794" s="9" t="s">
        <v>20</v>
      </c>
      <c r="J3794" s="10"/>
      <c r="K3794" s="14" t="s">
        <v>398</v>
      </c>
      <c r="N3794" s="14" t="str">
        <f>IFERROR(__xludf.DUMMYFUNCTION("""COMPUTED_VALUE"""),"")</f>
        <v/>
      </c>
      <c r="O3794" s="14"/>
    </row>
    <row r="3795" ht="22.5" hidden="1" customHeight="1">
      <c r="A3795" s="8">
        <v>46080.377431747685</v>
      </c>
      <c r="B3795" s="14">
        <v>46080.0</v>
      </c>
      <c r="C3795" s="9" t="s">
        <v>48</v>
      </c>
      <c r="D3795" s="9" t="s">
        <v>171</v>
      </c>
      <c r="E3795" s="9" t="s">
        <v>17</v>
      </c>
      <c r="F3795" s="9" t="s">
        <v>17</v>
      </c>
      <c r="G3795" s="9">
        <v>8.0</v>
      </c>
      <c r="H3795" s="9" t="s">
        <v>25</v>
      </c>
      <c r="I3795" s="9" t="s">
        <v>242</v>
      </c>
      <c r="J3795" s="10"/>
      <c r="K3795" s="14">
        <v>3.0</v>
      </c>
      <c r="N3795" s="14" t="str">
        <f>IFERROR(__xludf.DUMMYFUNCTION("""COMPUTED_VALUE"""),"")</f>
        <v/>
      </c>
      <c r="O3795" s="14"/>
    </row>
    <row r="3796" ht="22.5" hidden="1" customHeight="1">
      <c r="A3796" s="8">
        <v>46080.38598381945</v>
      </c>
      <c r="B3796" s="14">
        <v>46080.0</v>
      </c>
      <c r="C3796" s="9" t="s">
        <v>48</v>
      </c>
      <c r="D3796" s="9" t="s">
        <v>178</v>
      </c>
      <c r="E3796" s="9" t="s">
        <v>61</v>
      </c>
      <c r="F3796" s="9" t="s">
        <v>17</v>
      </c>
      <c r="G3796" s="9">
        <v>6.0</v>
      </c>
      <c r="H3796" s="9" t="s">
        <v>25</v>
      </c>
      <c r="I3796" s="9" t="s">
        <v>291</v>
      </c>
      <c r="J3796" s="10"/>
      <c r="K3796" s="14" t="s">
        <v>398</v>
      </c>
      <c r="N3796" s="14" t="str">
        <f>IFERROR(__xludf.DUMMYFUNCTION("""COMPUTED_VALUE"""),"")</f>
        <v/>
      </c>
      <c r="O3796" s="14"/>
    </row>
    <row r="3797" ht="22.5" hidden="1" customHeight="1">
      <c r="A3797" s="8">
        <v>46080.38923368056</v>
      </c>
      <c r="B3797" s="14">
        <v>46080.0</v>
      </c>
      <c r="C3797" s="9" t="s">
        <v>48</v>
      </c>
      <c r="D3797" s="9" t="s">
        <v>247</v>
      </c>
      <c r="E3797" s="9" t="s">
        <v>46</v>
      </c>
      <c r="F3797" s="9" t="s">
        <v>17</v>
      </c>
      <c r="G3797" s="9">
        <v>8.0</v>
      </c>
      <c r="H3797" s="9" t="s">
        <v>22</v>
      </c>
      <c r="I3797" s="9" t="s">
        <v>20</v>
      </c>
      <c r="J3797" s="10"/>
      <c r="K3797" s="14">
        <v>3.0</v>
      </c>
      <c r="N3797" s="14" t="str">
        <f>IFERROR(__xludf.DUMMYFUNCTION("""COMPUTED_VALUE"""),"")</f>
        <v/>
      </c>
      <c r="O3797" s="14"/>
    </row>
    <row r="3798" ht="22.5" hidden="1" customHeight="1">
      <c r="A3798" s="8">
        <v>46080.38969751158</v>
      </c>
      <c r="B3798" s="14">
        <v>46080.0</v>
      </c>
      <c r="C3798" s="9" t="s">
        <v>48</v>
      </c>
      <c r="D3798" s="9" t="s">
        <v>335</v>
      </c>
      <c r="E3798" s="9" t="s">
        <v>17</v>
      </c>
      <c r="F3798" s="9" t="s">
        <v>17</v>
      </c>
      <c r="G3798" s="9">
        <v>8.0</v>
      </c>
      <c r="H3798" s="9" t="s">
        <v>25</v>
      </c>
      <c r="I3798" s="9" t="s">
        <v>411</v>
      </c>
      <c r="J3798" s="10"/>
      <c r="K3798" s="14" t="s">
        <v>398</v>
      </c>
      <c r="N3798" s="14" t="str">
        <f>IFERROR(__xludf.DUMMYFUNCTION("""COMPUTED_VALUE"""),"")</f>
        <v/>
      </c>
      <c r="O3798" s="14"/>
    </row>
    <row r="3799" ht="22.5" hidden="1" customHeight="1">
      <c r="A3799" s="8">
        <v>46080.390053449075</v>
      </c>
      <c r="B3799" s="14">
        <v>46080.0</v>
      </c>
      <c r="C3799" s="9" t="s">
        <v>48</v>
      </c>
      <c r="D3799" s="9" t="s">
        <v>394</v>
      </c>
      <c r="E3799" s="9" t="s">
        <v>17</v>
      </c>
      <c r="F3799" s="9" t="s">
        <v>17</v>
      </c>
      <c r="G3799" s="9">
        <v>6.0</v>
      </c>
      <c r="H3799" s="9" t="s">
        <v>25</v>
      </c>
      <c r="I3799" s="9" t="s">
        <v>28</v>
      </c>
      <c r="J3799" s="10"/>
      <c r="K3799" s="14">
        <v>4.0</v>
      </c>
      <c r="N3799" s="14" t="str">
        <f>IFERROR(__xludf.DUMMYFUNCTION("""COMPUTED_VALUE"""),"")</f>
        <v/>
      </c>
      <c r="O3799" s="14"/>
    </row>
    <row r="3800" ht="22.5" hidden="1" customHeight="1">
      <c r="A3800" s="8">
        <v>46080.39044243055</v>
      </c>
      <c r="B3800" s="14">
        <v>46080.0</v>
      </c>
      <c r="C3800" s="9" t="s">
        <v>48</v>
      </c>
      <c r="D3800" s="9" t="s">
        <v>175</v>
      </c>
      <c r="E3800" s="9" t="s">
        <v>17</v>
      </c>
      <c r="F3800" s="9" t="s">
        <v>17</v>
      </c>
      <c r="G3800" s="9">
        <v>7.0</v>
      </c>
      <c r="H3800" s="9" t="s">
        <v>25</v>
      </c>
      <c r="I3800" s="9" t="s">
        <v>320</v>
      </c>
      <c r="J3800" s="10"/>
      <c r="K3800" s="14">
        <v>5.0</v>
      </c>
      <c r="N3800" s="14" t="str">
        <f>IFERROR(__xludf.DUMMYFUNCTION("""COMPUTED_VALUE"""),"")</f>
        <v/>
      </c>
      <c r="O3800" s="14"/>
    </row>
    <row r="3801" ht="22.5" hidden="1" customHeight="1">
      <c r="A3801" s="8">
        <v>46080.390975648144</v>
      </c>
      <c r="B3801" s="14">
        <v>46080.0</v>
      </c>
      <c r="C3801" s="9" t="s">
        <v>48</v>
      </c>
      <c r="D3801" s="9" t="s">
        <v>367</v>
      </c>
      <c r="E3801" s="9" t="s">
        <v>17</v>
      </c>
      <c r="F3801" s="9" t="s">
        <v>17</v>
      </c>
      <c r="G3801" s="9">
        <v>8.0</v>
      </c>
      <c r="H3801" s="9" t="s">
        <v>22</v>
      </c>
      <c r="I3801" s="9" t="s">
        <v>20</v>
      </c>
      <c r="J3801" s="10"/>
      <c r="K3801" s="14">
        <v>5.0</v>
      </c>
      <c r="N3801" s="14" t="str">
        <f>IFERROR(__xludf.DUMMYFUNCTION("""COMPUTED_VALUE"""),"")</f>
        <v/>
      </c>
      <c r="O3801" s="14"/>
    </row>
    <row r="3802" ht="22.5" hidden="1" customHeight="1">
      <c r="A3802" s="8">
        <v>46080.39257028935</v>
      </c>
      <c r="B3802" s="14">
        <v>46080.0</v>
      </c>
      <c r="C3802" s="9" t="s">
        <v>48</v>
      </c>
      <c r="D3802" s="9" t="s">
        <v>421</v>
      </c>
      <c r="E3802" s="9" t="s">
        <v>17</v>
      </c>
      <c r="F3802" s="9" t="s">
        <v>17</v>
      </c>
      <c r="G3802" s="9">
        <v>8.0</v>
      </c>
      <c r="H3802" s="9" t="s">
        <v>22</v>
      </c>
      <c r="I3802" s="9" t="s">
        <v>20</v>
      </c>
      <c r="J3802" s="10"/>
      <c r="K3802" s="14">
        <v>2.0</v>
      </c>
      <c r="N3802" s="14" t="str">
        <f>IFERROR(__xludf.DUMMYFUNCTION("""COMPUTED_VALUE"""),"")</f>
        <v/>
      </c>
      <c r="O3802" s="14"/>
    </row>
    <row r="3803" ht="22.5" hidden="1" customHeight="1">
      <c r="A3803" s="8">
        <v>46080.39283972222</v>
      </c>
      <c r="B3803" s="14">
        <v>46080.0</v>
      </c>
      <c r="C3803" s="9" t="s">
        <v>48</v>
      </c>
      <c r="D3803" s="9" t="s">
        <v>414</v>
      </c>
      <c r="E3803" s="9" t="s">
        <v>17</v>
      </c>
      <c r="F3803" s="9" t="s">
        <v>17</v>
      </c>
      <c r="G3803" s="9">
        <v>8.0</v>
      </c>
      <c r="H3803" s="9" t="s">
        <v>25</v>
      </c>
      <c r="I3803" s="9" t="s">
        <v>50</v>
      </c>
      <c r="J3803" s="10"/>
      <c r="K3803" s="14">
        <v>3.0</v>
      </c>
      <c r="N3803" s="14" t="str">
        <f>IFERROR(__xludf.DUMMYFUNCTION("""COMPUTED_VALUE"""),"")</f>
        <v/>
      </c>
      <c r="O3803" s="14"/>
    </row>
    <row r="3804" ht="22.5" hidden="1" customHeight="1">
      <c r="A3804" s="8">
        <v>46080.39315108796</v>
      </c>
      <c r="B3804" s="14">
        <v>46080.0</v>
      </c>
      <c r="C3804" s="9" t="s">
        <v>48</v>
      </c>
      <c r="D3804" s="9" t="s">
        <v>423</v>
      </c>
      <c r="E3804" s="9" t="s">
        <v>17</v>
      </c>
      <c r="F3804" s="9" t="s">
        <v>17</v>
      </c>
      <c r="G3804" s="9">
        <v>8.0</v>
      </c>
      <c r="H3804" s="9" t="s">
        <v>22</v>
      </c>
      <c r="I3804" s="9" t="s">
        <v>20</v>
      </c>
      <c r="J3804" s="10"/>
      <c r="K3804" s="14">
        <v>4.0</v>
      </c>
      <c r="N3804" s="14" t="str">
        <f>IFERROR(__xludf.DUMMYFUNCTION("""COMPUTED_VALUE"""),"")</f>
        <v/>
      </c>
      <c r="O3804" s="14"/>
    </row>
    <row r="3805" ht="22.5" hidden="1" customHeight="1">
      <c r="A3805" s="8">
        <v>46080.39965523148</v>
      </c>
      <c r="B3805" s="14">
        <v>46080.0</v>
      </c>
      <c r="C3805" s="9" t="s">
        <v>48</v>
      </c>
      <c r="D3805" s="9" t="s">
        <v>413</v>
      </c>
      <c r="E3805" s="9" t="s">
        <v>17</v>
      </c>
      <c r="F3805" s="9" t="s">
        <v>17</v>
      </c>
      <c r="G3805" s="9">
        <v>8.0</v>
      </c>
      <c r="H3805" s="9" t="s">
        <v>22</v>
      </c>
      <c r="I3805" s="9" t="s">
        <v>20</v>
      </c>
      <c r="J3805" s="10"/>
      <c r="K3805" s="14">
        <v>3.0</v>
      </c>
      <c r="N3805" s="14" t="str">
        <f>IFERROR(__xludf.DUMMYFUNCTION("""COMPUTED_VALUE"""),"")</f>
        <v/>
      </c>
      <c r="O3805" s="14"/>
    </row>
    <row r="3806" ht="22.5" hidden="1" customHeight="1">
      <c r="A3806" s="8">
        <v>46080.40011184028</v>
      </c>
      <c r="B3806" s="14">
        <v>46080.0</v>
      </c>
      <c r="C3806" s="9" t="s">
        <v>48</v>
      </c>
      <c r="D3806" s="9" t="s">
        <v>210</v>
      </c>
      <c r="E3806" s="9" t="s">
        <v>17</v>
      </c>
      <c r="F3806" s="9" t="s">
        <v>17</v>
      </c>
      <c r="G3806" s="9">
        <v>8.0</v>
      </c>
      <c r="H3806" s="9" t="s">
        <v>22</v>
      </c>
      <c r="I3806" s="9" t="s">
        <v>20</v>
      </c>
      <c r="J3806" s="10"/>
      <c r="K3806" s="14">
        <v>4.0</v>
      </c>
      <c r="N3806" s="14" t="str">
        <f>IFERROR(__xludf.DUMMYFUNCTION("""COMPUTED_VALUE"""),"")</f>
        <v/>
      </c>
      <c r="O3806" s="14"/>
    </row>
    <row r="3807" ht="22.5" hidden="1" customHeight="1">
      <c r="A3807" s="8">
        <v>46080.400456759264</v>
      </c>
      <c r="B3807" s="14">
        <v>46080.0</v>
      </c>
      <c r="C3807" s="9" t="s">
        <v>48</v>
      </c>
      <c r="D3807" s="9" t="s">
        <v>396</v>
      </c>
      <c r="E3807" s="9" t="s">
        <v>17</v>
      </c>
      <c r="F3807" s="9" t="s">
        <v>17</v>
      </c>
      <c r="G3807" s="9">
        <v>8.0</v>
      </c>
      <c r="H3807" s="9" t="s">
        <v>25</v>
      </c>
      <c r="I3807" s="9" t="s">
        <v>218</v>
      </c>
      <c r="J3807" s="10"/>
      <c r="K3807" s="14">
        <v>3.0</v>
      </c>
      <c r="N3807" s="14" t="str">
        <f>IFERROR(__xludf.DUMMYFUNCTION("""COMPUTED_VALUE"""),"")</f>
        <v/>
      </c>
      <c r="O3807" s="14"/>
    </row>
    <row r="3808" ht="22.5" hidden="1" customHeight="1">
      <c r="A3808" s="8">
        <v>46080.40685035879</v>
      </c>
      <c r="B3808" s="14">
        <v>46080.0</v>
      </c>
      <c r="C3808" s="9" t="s">
        <v>48</v>
      </c>
      <c r="D3808" s="9" t="s">
        <v>259</v>
      </c>
      <c r="E3808" s="9" t="s">
        <v>17</v>
      </c>
      <c r="F3808" s="9" t="s">
        <v>17</v>
      </c>
      <c r="G3808" s="9">
        <v>8.0</v>
      </c>
      <c r="H3808" s="9" t="s">
        <v>25</v>
      </c>
      <c r="I3808" s="9" t="s">
        <v>67</v>
      </c>
      <c r="J3808" s="10"/>
      <c r="K3808" s="14" t="s">
        <v>398</v>
      </c>
      <c r="N3808" s="14" t="str">
        <f>IFERROR(__xludf.DUMMYFUNCTION("""COMPUTED_VALUE"""),"")</f>
        <v/>
      </c>
      <c r="O3808" s="14"/>
    </row>
    <row r="3809" ht="22.5" hidden="1" customHeight="1">
      <c r="A3809" s="8">
        <v>46083.34714391203</v>
      </c>
      <c r="B3809" s="14">
        <v>46083.0</v>
      </c>
      <c r="C3809" s="9" t="s">
        <v>86</v>
      </c>
      <c r="D3809" s="9" t="s">
        <v>105</v>
      </c>
      <c r="E3809" s="9" t="s">
        <v>17</v>
      </c>
      <c r="F3809" s="9" t="s">
        <v>17</v>
      </c>
      <c r="G3809" s="9">
        <v>8.0</v>
      </c>
      <c r="H3809" s="9" t="s">
        <v>22</v>
      </c>
      <c r="I3809" s="9" t="s">
        <v>20</v>
      </c>
      <c r="J3809" s="10"/>
      <c r="K3809" s="14" t="s">
        <v>398</v>
      </c>
      <c r="N3809" s="14" t="str">
        <f>IFERROR(__xludf.DUMMYFUNCTION("""COMPUTED_VALUE"""),"")</f>
        <v/>
      </c>
      <c r="O3809" s="14"/>
    </row>
    <row r="3810" ht="22.5" hidden="1" customHeight="1">
      <c r="A3810" s="8">
        <v>46083.347408217596</v>
      </c>
      <c r="B3810" s="14">
        <v>46083.0</v>
      </c>
      <c r="C3810" s="9" t="s">
        <v>86</v>
      </c>
      <c r="D3810" s="9" t="s">
        <v>280</v>
      </c>
      <c r="E3810" s="9" t="s">
        <v>17</v>
      </c>
      <c r="F3810" s="9" t="s">
        <v>17</v>
      </c>
      <c r="G3810" s="9">
        <v>8.0</v>
      </c>
      <c r="H3810" s="9" t="s">
        <v>17</v>
      </c>
      <c r="I3810" s="9" t="s">
        <v>20</v>
      </c>
      <c r="J3810" s="10"/>
      <c r="K3810" s="14" t="s">
        <v>398</v>
      </c>
      <c r="N3810" s="14" t="str">
        <f>IFERROR(__xludf.DUMMYFUNCTION("""COMPUTED_VALUE"""),"")</f>
        <v/>
      </c>
      <c r="O3810" s="14"/>
    </row>
    <row r="3811" ht="22.5" hidden="1" customHeight="1">
      <c r="A3811" s="8">
        <v>46083.34784377315</v>
      </c>
      <c r="B3811" s="14">
        <v>46083.0</v>
      </c>
      <c r="C3811" s="9" t="s">
        <v>86</v>
      </c>
      <c r="D3811" s="9" t="s">
        <v>258</v>
      </c>
      <c r="E3811" s="9" t="s">
        <v>17</v>
      </c>
      <c r="F3811" s="9" t="s">
        <v>17</v>
      </c>
      <c r="G3811" s="9">
        <v>8.0</v>
      </c>
      <c r="H3811" s="9" t="s">
        <v>17</v>
      </c>
      <c r="I3811" s="9" t="s">
        <v>20</v>
      </c>
      <c r="J3811" s="10"/>
      <c r="K3811" s="14" t="s">
        <v>398</v>
      </c>
      <c r="N3811" s="14" t="str">
        <f>IFERROR(__xludf.DUMMYFUNCTION("""COMPUTED_VALUE"""),"")</f>
        <v/>
      </c>
      <c r="O3811" s="14"/>
    </row>
    <row r="3812" ht="22.5" hidden="1" customHeight="1">
      <c r="A3812" s="8">
        <v>46083.3481377662</v>
      </c>
      <c r="B3812" s="14">
        <v>46083.0</v>
      </c>
      <c r="C3812" s="9" t="s">
        <v>86</v>
      </c>
      <c r="D3812" s="9" t="s">
        <v>249</v>
      </c>
      <c r="E3812" s="9" t="s">
        <v>17</v>
      </c>
      <c r="F3812" s="9" t="s">
        <v>17</v>
      </c>
      <c r="G3812" s="9" t="s">
        <v>409</v>
      </c>
      <c r="H3812" s="9" t="s">
        <v>17</v>
      </c>
      <c r="I3812" s="9" t="s">
        <v>20</v>
      </c>
      <c r="J3812" s="10"/>
      <c r="K3812" s="14" t="s">
        <v>398</v>
      </c>
      <c r="N3812" s="14" t="str">
        <f>IFERROR(__xludf.DUMMYFUNCTION("""COMPUTED_VALUE"""),"")</f>
        <v/>
      </c>
      <c r="O3812" s="14"/>
    </row>
    <row r="3813" ht="22.5" hidden="1" customHeight="1">
      <c r="A3813" s="8">
        <v>46083.34860525463</v>
      </c>
      <c r="B3813" s="14">
        <v>46083.0</v>
      </c>
      <c r="C3813" s="9" t="s">
        <v>86</v>
      </c>
      <c r="D3813" s="9" t="s">
        <v>423</v>
      </c>
      <c r="E3813" s="9" t="s">
        <v>61</v>
      </c>
      <c r="F3813" s="9" t="s">
        <v>17</v>
      </c>
      <c r="G3813" s="9">
        <v>8.0</v>
      </c>
      <c r="H3813" s="9" t="s">
        <v>25</v>
      </c>
      <c r="I3813" s="9" t="s">
        <v>41</v>
      </c>
      <c r="J3813" s="10"/>
      <c r="K3813" s="14" t="s">
        <v>398</v>
      </c>
      <c r="N3813" s="14" t="str">
        <f>IFERROR(__xludf.DUMMYFUNCTION("""COMPUTED_VALUE"""),"")</f>
        <v/>
      </c>
      <c r="O3813" s="14"/>
    </row>
    <row r="3814" ht="22.5" hidden="1" customHeight="1">
      <c r="A3814" s="8">
        <v>46083.34919425926</v>
      </c>
      <c r="B3814" s="14">
        <v>46083.0</v>
      </c>
      <c r="C3814" s="9" t="s">
        <v>86</v>
      </c>
      <c r="D3814" s="9" t="s">
        <v>412</v>
      </c>
      <c r="E3814" s="9" t="s">
        <v>46</v>
      </c>
      <c r="F3814" s="9" t="s">
        <v>39</v>
      </c>
      <c r="G3814" s="9" t="s">
        <v>410</v>
      </c>
      <c r="H3814" s="9" t="s">
        <v>22</v>
      </c>
      <c r="I3814" s="9" t="s">
        <v>20</v>
      </c>
      <c r="J3814" s="10"/>
      <c r="K3814" s="14" t="s">
        <v>398</v>
      </c>
      <c r="N3814" s="14" t="str">
        <f>IFERROR(__xludf.DUMMYFUNCTION("""COMPUTED_VALUE"""),"")</f>
        <v/>
      </c>
      <c r="O3814" s="14"/>
    </row>
    <row r="3815" ht="22.5" hidden="1" customHeight="1">
      <c r="A3815" s="8">
        <v>46083.34966263889</v>
      </c>
      <c r="B3815" s="14">
        <v>46083.0</v>
      </c>
      <c r="C3815" s="9" t="s">
        <v>86</v>
      </c>
      <c r="D3815" s="9" t="s">
        <v>413</v>
      </c>
      <c r="E3815" s="9" t="s">
        <v>17</v>
      </c>
      <c r="F3815" s="9" t="s">
        <v>17</v>
      </c>
      <c r="G3815" s="9">
        <v>8.0</v>
      </c>
      <c r="H3815" s="9" t="s">
        <v>22</v>
      </c>
      <c r="I3815" s="9" t="s">
        <v>20</v>
      </c>
      <c r="J3815" s="10"/>
      <c r="K3815" s="14" t="s">
        <v>398</v>
      </c>
      <c r="N3815" s="14" t="str">
        <f>IFERROR(__xludf.DUMMYFUNCTION("""COMPUTED_VALUE"""),"")</f>
        <v/>
      </c>
      <c r="O3815" s="14"/>
    </row>
    <row r="3816" ht="22.5" hidden="1" customHeight="1">
      <c r="A3816" s="8">
        <v>46083.35257366898</v>
      </c>
      <c r="B3816" s="14">
        <v>46083.0</v>
      </c>
      <c r="C3816" s="9" t="s">
        <v>86</v>
      </c>
      <c r="D3816" s="9" t="s">
        <v>177</v>
      </c>
      <c r="E3816" s="9" t="s">
        <v>17</v>
      </c>
      <c r="F3816" s="9" t="s">
        <v>17</v>
      </c>
      <c r="G3816" s="9">
        <v>7.0</v>
      </c>
      <c r="H3816" s="9" t="s">
        <v>17</v>
      </c>
      <c r="I3816" s="9" t="s">
        <v>20</v>
      </c>
      <c r="J3816" s="10"/>
      <c r="K3816" s="14" t="s">
        <v>398</v>
      </c>
      <c r="N3816" s="14" t="str">
        <f>IFERROR(__xludf.DUMMYFUNCTION("""COMPUTED_VALUE"""),"")</f>
        <v/>
      </c>
      <c r="O3816" s="14"/>
    </row>
    <row r="3817" ht="22.5" hidden="1" customHeight="1">
      <c r="A3817" s="8">
        <v>46083.35834402777</v>
      </c>
      <c r="B3817" s="14">
        <v>46083.0</v>
      </c>
      <c r="C3817" s="9" t="s">
        <v>86</v>
      </c>
      <c r="D3817" s="9" t="s">
        <v>171</v>
      </c>
      <c r="E3817" s="9" t="s">
        <v>46</v>
      </c>
      <c r="F3817" s="9" t="s">
        <v>18</v>
      </c>
      <c r="G3817" s="9">
        <v>8.0</v>
      </c>
      <c r="H3817" s="9" t="s">
        <v>25</v>
      </c>
      <c r="I3817" s="9" t="s">
        <v>426</v>
      </c>
      <c r="J3817" s="10"/>
      <c r="K3817" s="14" t="s">
        <v>398</v>
      </c>
      <c r="N3817" s="14" t="str">
        <f>IFERROR(__xludf.DUMMYFUNCTION("""COMPUTED_VALUE"""),"")</f>
        <v/>
      </c>
      <c r="O3817" s="14"/>
    </row>
    <row r="3818" ht="22.5" hidden="1" customHeight="1">
      <c r="A3818" s="8">
        <v>46083.358802627314</v>
      </c>
      <c r="B3818" s="14">
        <v>46083.0</v>
      </c>
      <c r="C3818" s="9" t="s">
        <v>86</v>
      </c>
      <c r="D3818" s="9" t="s">
        <v>421</v>
      </c>
      <c r="E3818" s="9" t="s">
        <v>17</v>
      </c>
      <c r="F3818" s="9" t="s">
        <v>17</v>
      </c>
      <c r="G3818" s="9">
        <v>8.0</v>
      </c>
      <c r="H3818" s="9" t="s">
        <v>22</v>
      </c>
      <c r="I3818" s="9" t="s">
        <v>20</v>
      </c>
      <c r="J3818" s="10"/>
      <c r="K3818" s="14" t="s">
        <v>398</v>
      </c>
      <c r="N3818" s="14" t="str">
        <f>IFERROR(__xludf.DUMMYFUNCTION("""COMPUTED_VALUE"""),"")</f>
        <v/>
      </c>
      <c r="O3818" s="14"/>
    </row>
    <row r="3819" ht="22.5" hidden="1" customHeight="1">
      <c r="A3819" s="8">
        <v>46083.35917471065</v>
      </c>
      <c r="B3819" s="14">
        <v>46083.0</v>
      </c>
      <c r="C3819" s="9" t="s">
        <v>86</v>
      </c>
      <c r="D3819" s="9" t="s">
        <v>408</v>
      </c>
      <c r="E3819" s="9" t="s">
        <v>17</v>
      </c>
      <c r="F3819" s="9" t="s">
        <v>18</v>
      </c>
      <c r="G3819" s="9">
        <v>8.0</v>
      </c>
      <c r="H3819" s="9" t="s">
        <v>22</v>
      </c>
      <c r="I3819" s="9" t="s">
        <v>20</v>
      </c>
      <c r="J3819" s="10"/>
      <c r="K3819" s="14" t="s">
        <v>398</v>
      </c>
      <c r="N3819" s="14" t="str">
        <f>IFERROR(__xludf.DUMMYFUNCTION("""COMPUTED_VALUE"""),"")</f>
        <v/>
      </c>
      <c r="O3819" s="14"/>
    </row>
    <row r="3820" ht="22.5" hidden="1" customHeight="1">
      <c r="A3820" s="8">
        <v>46083.35923274305</v>
      </c>
      <c r="B3820" s="14">
        <v>46083.0</v>
      </c>
      <c r="C3820" s="9" t="s">
        <v>86</v>
      </c>
      <c r="D3820" s="9" t="s">
        <v>414</v>
      </c>
      <c r="E3820" s="9" t="s">
        <v>17</v>
      </c>
      <c r="F3820" s="9" t="s">
        <v>17</v>
      </c>
      <c r="G3820" s="9">
        <v>8.0</v>
      </c>
      <c r="H3820" s="9" t="s">
        <v>22</v>
      </c>
      <c r="I3820" s="9" t="s">
        <v>20</v>
      </c>
      <c r="J3820" s="10"/>
      <c r="K3820" s="14" t="s">
        <v>398</v>
      </c>
      <c r="N3820" s="14" t="str">
        <f>IFERROR(__xludf.DUMMYFUNCTION("""COMPUTED_VALUE"""),"")</f>
        <v/>
      </c>
      <c r="O3820" s="14"/>
    </row>
    <row r="3821" ht="22.5" hidden="1" customHeight="1">
      <c r="A3821" s="8">
        <v>46083.359846770836</v>
      </c>
      <c r="B3821" s="14">
        <v>46083.0</v>
      </c>
      <c r="C3821" s="9" t="s">
        <v>86</v>
      </c>
      <c r="D3821" s="9" t="s">
        <v>393</v>
      </c>
      <c r="E3821" s="9" t="s">
        <v>30</v>
      </c>
      <c r="F3821" s="9" t="s">
        <v>43</v>
      </c>
      <c r="G3821" s="9">
        <v>7.0</v>
      </c>
      <c r="H3821" s="9" t="s">
        <v>22</v>
      </c>
      <c r="I3821" s="9" t="s">
        <v>20</v>
      </c>
      <c r="J3821" s="10"/>
      <c r="K3821" s="14" t="s">
        <v>398</v>
      </c>
      <c r="N3821" s="14" t="str">
        <f>IFERROR(__xludf.DUMMYFUNCTION("""COMPUTED_VALUE"""),"")</f>
        <v/>
      </c>
      <c r="O3821" s="14"/>
    </row>
    <row r="3822" ht="22.5" hidden="1" customHeight="1">
      <c r="A3822" s="8">
        <v>46083.35985009259</v>
      </c>
      <c r="B3822" s="14">
        <v>46083.0</v>
      </c>
      <c r="C3822" s="9" t="s">
        <v>86</v>
      </c>
      <c r="D3822" s="9" t="s">
        <v>395</v>
      </c>
      <c r="E3822" s="9" t="s">
        <v>17</v>
      </c>
      <c r="F3822" s="9" t="s">
        <v>17</v>
      </c>
      <c r="G3822" s="9">
        <v>8.0</v>
      </c>
      <c r="H3822" s="9" t="s">
        <v>22</v>
      </c>
      <c r="I3822" s="9" t="s">
        <v>20</v>
      </c>
      <c r="J3822" s="10"/>
      <c r="K3822" s="14" t="s">
        <v>398</v>
      </c>
      <c r="N3822" s="14" t="str">
        <f>IFERROR(__xludf.DUMMYFUNCTION("""COMPUTED_VALUE"""),"")</f>
        <v/>
      </c>
      <c r="O3822" s="14"/>
    </row>
    <row r="3823" ht="22.5" hidden="1" customHeight="1">
      <c r="A3823" s="8">
        <v>46083.361477997685</v>
      </c>
      <c r="B3823" s="14">
        <v>46083.0</v>
      </c>
      <c r="C3823" s="9" t="s">
        <v>86</v>
      </c>
      <c r="D3823" s="9" t="s">
        <v>350</v>
      </c>
      <c r="E3823" s="9" t="s">
        <v>46</v>
      </c>
      <c r="F3823" s="9" t="s">
        <v>17</v>
      </c>
      <c r="G3823" s="9">
        <v>7.0</v>
      </c>
      <c r="H3823" s="9" t="s">
        <v>25</v>
      </c>
      <c r="I3823" s="9" t="s">
        <v>50</v>
      </c>
      <c r="J3823" s="10"/>
      <c r="K3823" s="14" t="s">
        <v>398</v>
      </c>
      <c r="N3823" s="14" t="str">
        <f>IFERROR(__xludf.DUMMYFUNCTION("""COMPUTED_VALUE"""),"")</f>
        <v/>
      </c>
      <c r="O3823" s="14"/>
    </row>
    <row r="3824" ht="22.5" hidden="1" customHeight="1">
      <c r="A3824" s="8">
        <v>46083.36206627315</v>
      </c>
      <c r="B3824" s="14">
        <v>46083.0</v>
      </c>
      <c r="C3824" s="9" t="s">
        <v>86</v>
      </c>
      <c r="D3824" s="9" t="s">
        <v>257</v>
      </c>
      <c r="E3824" s="9" t="s">
        <v>44</v>
      </c>
      <c r="F3824" s="9" t="s">
        <v>17</v>
      </c>
      <c r="G3824" s="9" t="s">
        <v>409</v>
      </c>
      <c r="H3824" s="9" t="s">
        <v>22</v>
      </c>
      <c r="I3824" s="9" t="s">
        <v>20</v>
      </c>
      <c r="J3824" s="10"/>
      <c r="K3824" s="14" t="s">
        <v>398</v>
      </c>
      <c r="N3824" s="14" t="str">
        <f>IFERROR(__xludf.DUMMYFUNCTION("""COMPUTED_VALUE"""),"")</f>
        <v/>
      </c>
      <c r="O3824" s="14"/>
    </row>
    <row r="3825" ht="22.5" hidden="1" customHeight="1">
      <c r="A3825" s="8">
        <v>46083.36323173611</v>
      </c>
      <c r="B3825" s="14">
        <v>46083.0</v>
      </c>
      <c r="C3825" s="9" t="s">
        <v>86</v>
      </c>
      <c r="D3825" s="9" t="s">
        <v>369</v>
      </c>
      <c r="E3825" s="9" t="s">
        <v>17</v>
      </c>
      <c r="F3825" s="9" t="s">
        <v>17</v>
      </c>
      <c r="G3825" s="9">
        <v>6.0</v>
      </c>
      <c r="H3825" s="9" t="s">
        <v>22</v>
      </c>
      <c r="I3825" s="9" t="s">
        <v>20</v>
      </c>
      <c r="J3825" s="10"/>
      <c r="K3825" s="14" t="s">
        <v>398</v>
      </c>
      <c r="N3825" s="14" t="str">
        <f>IFERROR(__xludf.DUMMYFUNCTION("""COMPUTED_VALUE"""),"")</f>
        <v/>
      </c>
      <c r="O3825" s="14"/>
    </row>
    <row r="3826" ht="22.5" hidden="1" customHeight="1">
      <c r="A3826" s="8">
        <v>46083.36643869213</v>
      </c>
      <c r="B3826" s="14">
        <v>46083.0</v>
      </c>
      <c r="C3826" s="9" t="s">
        <v>86</v>
      </c>
      <c r="D3826" s="9" t="s">
        <v>335</v>
      </c>
      <c r="E3826" s="9" t="s">
        <v>17</v>
      </c>
      <c r="F3826" s="9" t="s">
        <v>17</v>
      </c>
      <c r="G3826" s="9">
        <v>7.0</v>
      </c>
      <c r="H3826" s="9" t="s">
        <v>25</v>
      </c>
      <c r="I3826" s="9" t="s">
        <v>425</v>
      </c>
      <c r="J3826" s="10"/>
      <c r="K3826" s="14" t="s">
        <v>398</v>
      </c>
      <c r="N3826" s="14" t="str">
        <f>IFERROR(__xludf.DUMMYFUNCTION("""COMPUTED_VALUE"""),"")</f>
        <v/>
      </c>
      <c r="O3826" s="14"/>
    </row>
    <row r="3827" ht="22.5" hidden="1" customHeight="1">
      <c r="A3827" s="8">
        <v>46083.37383802084</v>
      </c>
      <c r="B3827" s="14">
        <v>46083.0</v>
      </c>
      <c r="C3827" s="9" t="s">
        <v>86</v>
      </c>
      <c r="D3827" s="9" t="s">
        <v>394</v>
      </c>
      <c r="E3827" s="9" t="s">
        <v>17</v>
      </c>
      <c r="F3827" s="9" t="s">
        <v>17</v>
      </c>
      <c r="G3827" s="9">
        <v>8.0</v>
      </c>
      <c r="H3827" s="9" t="s">
        <v>22</v>
      </c>
      <c r="I3827" s="9" t="s">
        <v>20</v>
      </c>
      <c r="J3827" s="10"/>
      <c r="K3827" s="14" t="s">
        <v>398</v>
      </c>
      <c r="N3827" s="14" t="str">
        <f>IFERROR(__xludf.DUMMYFUNCTION("""COMPUTED_VALUE"""),"")</f>
        <v/>
      </c>
      <c r="O3827" s="14"/>
    </row>
    <row r="3828" ht="22.5" hidden="1" customHeight="1">
      <c r="A3828" s="8">
        <v>46083.374687222225</v>
      </c>
      <c r="B3828" s="14">
        <v>46083.0</v>
      </c>
      <c r="C3828" s="9" t="s">
        <v>86</v>
      </c>
      <c r="D3828" s="9" t="s">
        <v>174</v>
      </c>
      <c r="E3828" s="9" t="s">
        <v>17</v>
      </c>
      <c r="F3828" s="9" t="s">
        <v>17</v>
      </c>
      <c r="G3828" s="9">
        <v>7.0</v>
      </c>
      <c r="H3828" s="9" t="s">
        <v>22</v>
      </c>
      <c r="I3828" s="9" t="s">
        <v>20</v>
      </c>
      <c r="J3828" s="10"/>
      <c r="K3828" s="14" t="s">
        <v>398</v>
      </c>
      <c r="N3828" s="14" t="str">
        <f>IFERROR(__xludf.DUMMYFUNCTION("""COMPUTED_VALUE"""),"")</f>
        <v/>
      </c>
      <c r="O3828" s="14"/>
    </row>
    <row r="3829" ht="22.5" hidden="1" customHeight="1">
      <c r="A3829" s="8">
        <v>46083.37513061342</v>
      </c>
      <c r="B3829" s="14">
        <v>46083.0</v>
      </c>
      <c r="C3829" s="9" t="s">
        <v>86</v>
      </c>
      <c r="D3829" s="9" t="s">
        <v>178</v>
      </c>
      <c r="E3829" s="9" t="s">
        <v>46</v>
      </c>
      <c r="F3829" s="9" t="s">
        <v>60</v>
      </c>
      <c r="G3829" s="9">
        <v>6.0</v>
      </c>
      <c r="H3829" s="9" t="s">
        <v>25</v>
      </c>
      <c r="I3829" s="9" t="s">
        <v>26</v>
      </c>
      <c r="J3829" s="10"/>
      <c r="K3829" s="14" t="s">
        <v>398</v>
      </c>
      <c r="N3829" s="14" t="str">
        <f>IFERROR(__xludf.DUMMYFUNCTION("""COMPUTED_VALUE"""),"")</f>
        <v/>
      </c>
      <c r="O3829" s="14"/>
    </row>
    <row r="3830" ht="22.5" hidden="1" customHeight="1">
      <c r="A3830" s="8">
        <v>46083.3758290625</v>
      </c>
      <c r="B3830" s="14">
        <v>46083.0</v>
      </c>
      <c r="C3830" s="9" t="s">
        <v>86</v>
      </c>
      <c r="D3830" s="9" t="s">
        <v>357</v>
      </c>
      <c r="E3830" s="9" t="s">
        <v>17</v>
      </c>
      <c r="F3830" s="9" t="s">
        <v>17</v>
      </c>
      <c r="G3830" s="9">
        <v>8.0</v>
      </c>
      <c r="H3830" s="9" t="s">
        <v>25</v>
      </c>
      <c r="I3830" s="9" t="s">
        <v>240</v>
      </c>
      <c r="J3830" s="10"/>
      <c r="K3830" s="14" t="s">
        <v>398</v>
      </c>
      <c r="N3830" s="14" t="str">
        <f>IFERROR(__xludf.DUMMYFUNCTION("""COMPUTED_VALUE"""),"")</f>
        <v/>
      </c>
      <c r="O3830" s="14"/>
    </row>
    <row r="3831" ht="22.5" hidden="1" customHeight="1">
      <c r="A3831" s="8">
        <v>46083.3765143287</v>
      </c>
      <c r="B3831" s="14">
        <v>46083.0</v>
      </c>
      <c r="C3831" s="9" t="s">
        <v>86</v>
      </c>
      <c r="D3831" s="9" t="s">
        <v>367</v>
      </c>
      <c r="E3831" s="9" t="s">
        <v>46</v>
      </c>
      <c r="F3831" s="9" t="s">
        <v>17</v>
      </c>
      <c r="G3831" s="9">
        <v>8.0</v>
      </c>
      <c r="H3831" s="9" t="s">
        <v>22</v>
      </c>
      <c r="I3831" s="9" t="s">
        <v>20</v>
      </c>
      <c r="J3831" s="10"/>
      <c r="K3831" s="14" t="s">
        <v>398</v>
      </c>
      <c r="N3831" s="14" t="str">
        <f>IFERROR(__xludf.DUMMYFUNCTION("""COMPUTED_VALUE"""),"")</f>
        <v/>
      </c>
      <c r="O3831" s="14"/>
    </row>
    <row r="3832" ht="22.5" hidden="1" customHeight="1">
      <c r="A3832" s="8">
        <v>46083.37765541667</v>
      </c>
      <c r="B3832" s="14">
        <v>46083.0</v>
      </c>
      <c r="C3832" s="9" t="s">
        <v>86</v>
      </c>
      <c r="D3832" s="9" t="s">
        <v>210</v>
      </c>
      <c r="E3832" s="9" t="s">
        <v>17</v>
      </c>
      <c r="F3832" s="9" t="s">
        <v>17</v>
      </c>
      <c r="G3832" s="9">
        <v>7.0</v>
      </c>
      <c r="H3832" s="9" t="s">
        <v>22</v>
      </c>
      <c r="I3832" s="9" t="s">
        <v>20</v>
      </c>
      <c r="J3832" s="10"/>
      <c r="K3832" s="14" t="s">
        <v>398</v>
      </c>
      <c r="N3832" s="14" t="str">
        <f>IFERROR(__xludf.DUMMYFUNCTION("""COMPUTED_VALUE"""),"")</f>
        <v/>
      </c>
      <c r="O3832" s="14"/>
    </row>
    <row r="3833" ht="22.5" hidden="1" customHeight="1">
      <c r="A3833" s="8">
        <v>46083.37807181713</v>
      </c>
      <c r="B3833" s="14">
        <v>46083.0</v>
      </c>
      <c r="C3833" s="9" t="s">
        <v>86</v>
      </c>
      <c r="D3833" s="9" t="s">
        <v>259</v>
      </c>
      <c r="E3833" s="9" t="s">
        <v>57</v>
      </c>
      <c r="F3833" s="9" t="s">
        <v>43</v>
      </c>
      <c r="G3833" s="9" t="s">
        <v>409</v>
      </c>
      <c r="H3833" s="9" t="s">
        <v>22</v>
      </c>
      <c r="I3833" s="9" t="s">
        <v>20</v>
      </c>
      <c r="J3833" s="10"/>
      <c r="K3833" s="14" t="s">
        <v>398</v>
      </c>
      <c r="N3833" s="14" t="str">
        <f>IFERROR(__xludf.DUMMYFUNCTION("""COMPUTED_VALUE"""),"")</f>
        <v/>
      </c>
      <c r="O3833" s="14"/>
    </row>
    <row r="3834" ht="22.5" hidden="1" customHeight="1">
      <c r="A3834" s="8">
        <v>46083.37851417824</v>
      </c>
      <c r="B3834" s="14">
        <v>46083.0</v>
      </c>
      <c r="C3834" s="9" t="s">
        <v>86</v>
      </c>
      <c r="D3834" s="9" t="s">
        <v>247</v>
      </c>
      <c r="E3834" s="9" t="s">
        <v>17</v>
      </c>
      <c r="F3834" s="9" t="s">
        <v>60</v>
      </c>
      <c r="G3834" s="9" t="s">
        <v>410</v>
      </c>
      <c r="H3834" s="9" t="s">
        <v>25</v>
      </c>
      <c r="I3834" s="9" t="s">
        <v>402</v>
      </c>
      <c r="J3834" s="10"/>
      <c r="K3834" s="14" t="s">
        <v>398</v>
      </c>
      <c r="N3834" s="14" t="str">
        <f>IFERROR(__xludf.DUMMYFUNCTION("""COMPUTED_VALUE"""),"")</f>
        <v/>
      </c>
      <c r="O3834" s="14"/>
    </row>
    <row r="3835" ht="22.5" hidden="1" customHeight="1">
      <c r="A3835" s="8">
        <v>46083.389651157406</v>
      </c>
      <c r="B3835" s="14">
        <v>46083.0</v>
      </c>
      <c r="C3835" s="9" t="s">
        <v>86</v>
      </c>
      <c r="D3835" s="9" t="s">
        <v>175</v>
      </c>
      <c r="E3835" s="9" t="s">
        <v>17</v>
      </c>
      <c r="F3835" s="9" t="s">
        <v>17</v>
      </c>
      <c r="G3835" s="9">
        <v>7.0</v>
      </c>
      <c r="H3835" s="9" t="s">
        <v>25</v>
      </c>
      <c r="I3835" s="9" t="s">
        <v>211</v>
      </c>
      <c r="J3835" s="10"/>
      <c r="K3835" s="14" t="s">
        <v>398</v>
      </c>
      <c r="N3835" s="14" t="str">
        <f>IFERROR(__xludf.DUMMYFUNCTION("""COMPUTED_VALUE"""),"")</f>
        <v/>
      </c>
      <c r="O3835" s="14"/>
    </row>
    <row r="3836" ht="22.5" hidden="1" customHeight="1">
      <c r="A3836" s="8">
        <v>46084.63942952546</v>
      </c>
      <c r="B3836" s="14">
        <v>46084.0</v>
      </c>
      <c r="C3836" s="9" t="s">
        <v>110</v>
      </c>
      <c r="D3836" s="9" t="s">
        <v>249</v>
      </c>
      <c r="E3836" s="9" t="s">
        <v>17</v>
      </c>
      <c r="F3836" s="9" t="s">
        <v>43</v>
      </c>
      <c r="G3836" s="9" t="s">
        <v>409</v>
      </c>
      <c r="H3836" s="9" t="s">
        <v>17</v>
      </c>
      <c r="I3836" s="9" t="s">
        <v>20</v>
      </c>
      <c r="J3836" s="10"/>
      <c r="K3836" s="14">
        <v>5.0</v>
      </c>
      <c r="N3836" s="14" t="str">
        <f>IFERROR(__xludf.DUMMYFUNCTION("""COMPUTED_VALUE"""),"")</f>
        <v/>
      </c>
      <c r="O3836" s="14"/>
    </row>
    <row r="3837" ht="22.5" hidden="1" customHeight="1">
      <c r="A3837" s="8">
        <v>46084.639760543985</v>
      </c>
      <c r="B3837" s="14">
        <v>46084.0</v>
      </c>
      <c r="C3837" s="9" t="s">
        <v>110</v>
      </c>
      <c r="D3837" s="9" t="s">
        <v>258</v>
      </c>
      <c r="E3837" s="9" t="s">
        <v>17</v>
      </c>
      <c r="F3837" s="9" t="s">
        <v>17</v>
      </c>
      <c r="G3837" s="9">
        <v>8.0</v>
      </c>
      <c r="H3837" s="9" t="s">
        <v>22</v>
      </c>
      <c r="I3837" s="9" t="s">
        <v>20</v>
      </c>
      <c r="J3837" s="10"/>
      <c r="K3837" s="14">
        <v>5.0</v>
      </c>
      <c r="N3837" s="14" t="str">
        <f>IFERROR(__xludf.DUMMYFUNCTION("""COMPUTED_VALUE"""),"")</f>
        <v/>
      </c>
      <c r="O3837" s="14"/>
    </row>
    <row r="3838" ht="22.5" hidden="1" customHeight="1">
      <c r="A3838" s="8">
        <v>46084.639984803245</v>
      </c>
      <c r="B3838" s="14">
        <v>46084.0</v>
      </c>
      <c r="C3838" s="9" t="s">
        <v>110</v>
      </c>
      <c r="D3838" s="9" t="s">
        <v>257</v>
      </c>
      <c r="E3838" s="9" t="s">
        <v>17</v>
      </c>
      <c r="F3838" s="9" t="s">
        <v>17</v>
      </c>
      <c r="G3838" s="9" t="s">
        <v>409</v>
      </c>
      <c r="H3838" s="9" t="s">
        <v>22</v>
      </c>
      <c r="I3838" s="9" t="s">
        <v>20</v>
      </c>
      <c r="J3838" s="10"/>
      <c r="K3838" s="14" t="s">
        <v>398</v>
      </c>
      <c r="N3838" s="14" t="str">
        <f>IFERROR(__xludf.DUMMYFUNCTION("""COMPUTED_VALUE"""),"")</f>
        <v/>
      </c>
      <c r="O3838" s="14"/>
    </row>
    <row r="3839" ht="22.5" hidden="1" customHeight="1">
      <c r="A3839" s="8">
        <v>46084.640700601856</v>
      </c>
      <c r="B3839" s="14">
        <v>46084.0</v>
      </c>
      <c r="C3839" s="9" t="s">
        <v>110</v>
      </c>
      <c r="D3839" s="9" t="s">
        <v>396</v>
      </c>
      <c r="E3839" s="9" t="s">
        <v>17</v>
      </c>
      <c r="F3839" s="9" t="s">
        <v>17</v>
      </c>
      <c r="G3839" s="9">
        <v>8.0</v>
      </c>
      <c r="H3839" s="9" t="s">
        <v>25</v>
      </c>
      <c r="I3839" s="9" t="s">
        <v>26</v>
      </c>
      <c r="J3839" s="10"/>
      <c r="K3839" s="14" t="s">
        <v>398</v>
      </c>
      <c r="N3839" s="14" t="str">
        <f>IFERROR(__xludf.DUMMYFUNCTION("""COMPUTED_VALUE"""),"")</f>
        <v/>
      </c>
      <c r="O3839" s="14"/>
    </row>
    <row r="3840" ht="22.5" hidden="1" customHeight="1">
      <c r="A3840" s="8">
        <v>46084.64124369213</v>
      </c>
      <c r="B3840" s="14">
        <v>46084.0</v>
      </c>
      <c r="C3840" s="9" t="s">
        <v>110</v>
      </c>
      <c r="D3840" s="9" t="s">
        <v>177</v>
      </c>
      <c r="E3840" s="9" t="s">
        <v>17</v>
      </c>
      <c r="F3840" s="9" t="s">
        <v>17</v>
      </c>
      <c r="G3840" s="9">
        <v>7.0</v>
      </c>
      <c r="H3840" s="9" t="s">
        <v>17</v>
      </c>
      <c r="I3840" s="9" t="s">
        <v>20</v>
      </c>
      <c r="J3840" s="10"/>
      <c r="K3840" s="14">
        <v>5.0</v>
      </c>
      <c r="N3840" s="14" t="str">
        <f>IFERROR(__xludf.DUMMYFUNCTION("""COMPUTED_VALUE"""),"")</f>
        <v/>
      </c>
      <c r="O3840" s="14"/>
    </row>
    <row r="3841" ht="22.5" hidden="1" customHeight="1">
      <c r="A3841" s="8">
        <v>46084.64165686343</v>
      </c>
      <c r="B3841" s="14">
        <v>46084.0</v>
      </c>
      <c r="C3841" s="9" t="s">
        <v>110</v>
      </c>
      <c r="D3841" s="9" t="s">
        <v>412</v>
      </c>
      <c r="E3841" s="9" t="s">
        <v>17</v>
      </c>
      <c r="F3841" s="9" t="s">
        <v>17</v>
      </c>
      <c r="G3841" s="9" t="s">
        <v>409</v>
      </c>
      <c r="H3841" s="9" t="s">
        <v>22</v>
      </c>
      <c r="I3841" s="9" t="s">
        <v>20</v>
      </c>
      <c r="J3841" s="10"/>
      <c r="K3841" s="14">
        <v>4.0</v>
      </c>
      <c r="N3841" s="14" t="str">
        <f>IFERROR(__xludf.DUMMYFUNCTION("""COMPUTED_VALUE"""),"")</f>
        <v/>
      </c>
      <c r="O3841" s="14"/>
    </row>
    <row r="3842" ht="22.5" hidden="1" customHeight="1">
      <c r="A3842" s="8">
        <v>46084.642469467595</v>
      </c>
      <c r="B3842" s="14">
        <v>46084.0</v>
      </c>
      <c r="C3842" s="9" t="s">
        <v>110</v>
      </c>
      <c r="D3842" s="9" t="s">
        <v>412</v>
      </c>
      <c r="E3842" s="9" t="s">
        <v>17</v>
      </c>
      <c r="F3842" s="9" t="s">
        <v>17</v>
      </c>
      <c r="G3842" s="9">
        <v>8.0</v>
      </c>
      <c r="H3842" s="9" t="s">
        <v>17</v>
      </c>
      <c r="I3842" s="9" t="s">
        <v>20</v>
      </c>
      <c r="J3842" s="10"/>
      <c r="K3842" s="14">
        <v>4.0</v>
      </c>
      <c r="N3842" s="14" t="str">
        <f>IFERROR(__xludf.DUMMYFUNCTION("""COMPUTED_VALUE"""),"")</f>
        <v/>
      </c>
      <c r="O3842" s="14"/>
    </row>
    <row r="3843" ht="22.5" hidden="1" customHeight="1">
      <c r="A3843" s="8">
        <v>46084.64416092593</v>
      </c>
      <c r="B3843" s="14">
        <v>46084.0</v>
      </c>
      <c r="C3843" s="9" t="s">
        <v>110</v>
      </c>
      <c r="D3843" s="9" t="s">
        <v>394</v>
      </c>
      <c r="E3843" s="9" t="s">
        <v>17</v>
      </c>
      <c r="F3843" s="9" t="s">
        <v>17</v>
      </c>
      <c r="G3843" s="9">
        <v>8.0</v>
      </c>
      <c r="H3843" s="9" t="s">
        <v>22</v>
      </c>
      <c r="I3843" s="9" t="s">
        <v>20</v>
      </c>
      <c r="J3843" s="10"/>
      <c r="K3843" s="14">
        <v>3.0</v>
      </c>
      <c r="N3843" s="14" t="str">
        <f>IFERROR(__xludf.DUMMYFUNCTION("""COMPUTED_VALUE"""),"")</f>
        <v/>
      </c>
      <c r="O3843" s="14"/>
    </row>
    <row r="3844" ht="22.5" hidden="1" customHeight="1">
      <c r="A3844" s="8">
        <v>46084.64439003472</v>
      </c>
      <c r="B3844" s="14">
        <v>46084.0</v>
      </c>
      <c r="C3844" s="9" t="s">
        <v>110</v>
      </c>
      <c r="D3844" s="9" t="s">
        <v>280</v>
      </c>
      <c r="E3844" s="9" t="s">
        <v>17</v>
      </c>
      <c r="F3844" s="9" t="s">
        <v>17</v>
      </c>
      <c r="G3844" s="9">
        <v>8.0</v>
      </c>
      <c r="H3844" s="9" t="s">
        <v>17</v>
      </c>
      <c r="I3844" s="9" t="s">
        <v>20</v>
      </c>
      <c r="J3844" s="10"/>
      <c r="K3844" s="14">
        <v>5.0</v>
      </c>
      <c r="N3844" s="14" t="str">
        <f>IFERROR(__xludf.DUMMYFUNCTION("""COMPUTED_VALUE"""),"")</f>
        <v/>
      </c>
      <c r="O3844" s="14"/>
    </row>
    <row r="3845" ht="22.5" hidden="1" customHeight="1">
      <c r="A3845" s="8">
        <v>46084.644841319445</v>
      </c>
      <c r="B3845" s="14">
        <v>46084.0</v>
      </c>
      <c r="C3845" s="9" t="s">
        <v>110</v>
      </c>
      <c r="D3845" s="9" t="s">
        <v>105</v>
      </c>
      <c r="E3845" s="9" t="s">
        <v>17</v>
      </c>
      <c r="F3845" s="9" t="s">
        <v>17</v>
      </c>
      <c r="G3845" s="9">
        <v>8.0</v>
      </c>
      <c r="H3845" s="9" t="s">
        <v>17</v>
      </c>
      <c r="I3845" s="9" t="s">
        <v>20</v>
      </c>
      <c r="J3845" s="10"/>
      <c r="K3845" s="14">
        <v>2.0</v>
      </c>
      <c r="N3845" s="14" t="str">
        <f>IFERROR(__xludf.DUMMYFUNCTION("""COMPUTED_VALUE"""),"")</f>
        <v/>
      </c>
      <c r="O3845" s="14"/>
    </row>
    <row r="3846" ht="22.5" hidden="1" customHeight="1">
      <c r="A3846" s="8">
        <v>46084.64528311342</v>
      </c>
      <c r="B3846" s="14">
        <v>46084.0</v>
      </c>
      <c r="C3846" s="9" t="s">
        <v>110</v>
      </c>
      <c r="D3846" s="9" t="s">
        <v>357</v>
      </c>
      <c r="E3846" s="9" t="s">
        <v>44</v>
      </c>
      <c r="F3846" s="9" t="s">
        <v>35</v>
      </c>
      <c r="G3846" s="9" t="s">
        <v>409</v>
      </c>
      <c r="H3846" s="9" t="s">
        <v>25</v>
      </c>
      <c r="I3846" s="9" t="s">
        <v>240</v>
      </c>
      <c r="J3846" s="10"/>
      <c r="K3846" s="14" t="s">
        <v>398</v>
      </c>
      <c r="N3846" s="14" t="str">
        <f>IFERROR(__xludf.DUMMYFUNCTION("""COMPUTED_VALUE"""),"")</f>
        <v/>
      </c>
      <c r="O3846" s="14"/>
    </row>
    <row r="3847" ht="22.5" hidden="1" customHeight="1">
      <c r="A3847" s="8">
        <v>46084.65366429398</v>
      </c>
      <c r="B3847" s="14">
        <v>46084.0</v>
      </c>
      <c r="C3847" s="9" t="s">
        <v>110</v>
      </c>
      <c r="D3847" s="9" t="s">
        <v>408</v>
      </c>
      <c r="E3847" s="9" t="s">
        <v>17</v>
      </c>
      <c r="F3847" s="9" t="s">
        <v>17</v>
      </c>
      <c r="G3847" s="9">
        <v>8.0</v>
      </c>
      <c r="H3847" s="9" t="s">
        <v>22</v>
      </c>
      <c r="I3847" s="9" t="s">
        <v>20</v>
      </c>
      <c r="J3847" s="10"/>
      <c r="K3847" s="14" t="s">
        <v>398</v>
      </c>
      <c r="N3847" s="14" t="str">
        <f>IFERROR(__xludf.DUMMYFUNCTION("""COMPUTED_VALUE"""),"")</f>
        <v/>
      </c>
      <c r="O3847" s="14"/>
    </row>
    <row r="3848" ht="22.5" hidden="1" customHeight="1">
      <c r="A3848" s="8">
        <v>46084.654165914355</v>
      </c>
      <c r="B3848" s="14">
        <v>46084.0</v>
      </c>
      <c r="C3848" s="9" t="s">
        <v>110</v>
      </c>
      <c r="D3848" s="9" t="s">
        <v>367</v>
      </c>
      <c r="E3848" s="9" t="s">
        <v>17</v>
      </c>
      <c r="F3848" s="9" t="s">
        <v>18</v>
      </c>
      <c r="G3848" s="9">
        <v>8.0</v>
      </c>
      <c r="H3848" s="9" t="s">
        <v>22</v>
      </c>
      <c r="I3848" s="9" t="s">
        <v>20</v>
      </c>
      <c r="J3848" s="10"/>
      <c r="K3848" s="14" t="s">
        <v>398</v>
      </c>
      <c r="N3848" s="14" t="str">
        <f>IFERROR(__xludf.DUMMYFUNCTION("""COMPUTED_VALUE"""),"")</f>
        <v/>
      </c>
      <c r="O3848" s="14"/>
    </row>
    <row r="3849" ht="22.5" hidden="1" customHeight="1">
      <c r="A3849" s="8">
        <v>46084.65449148148</v>
      </c>
      <c r="B3849" s="14">
        <v>46084.0</v>
      </c>
      <c r="C3849" s="9" t="s">
        <v>110</v>
      </c>
      <c r="D3849" s="9" t="s">
        <v>369</v>
      </c>
      <c r="E3849" s="9" t="s">
        <v>17</v>
      </c>
      <c r="F3849" s="9" t="s">
        <v>17</v>
      </c>
      <c r="G3849" s="9">
        <v>8.0</v>
      </c>
      <c r="H3849" s="9" t="s">
        <v>22</v>
      </c>
      <c r="I3849" s="9" t="s">
        <v>20</v>
      </c>
      <c r="J3849" s="10"/>
      <c r="K3849" s="14">
        <v>5.0</v>
      </c>
      <c r="N3849" s="14" t="str">
        <f>IFERROR(__xludf.DUMMYFUNCTION("""COMPUTED_VALUE"""),"")</f>
        <v/>
      </c>
      <c r="O3849" s="14"/>
    </row>
    <row r="3850" ht="22.5" hidden="1" customHeight="1">
      <c r="A3850" s="8">
        <v>46084.656363472226</v>
      </c>
      <c r="B3850" s="14">
        <v>46084.0</v>
      </c>
      <c r="C3850" s="9" t="s">
        <v>110</v>
      </c>
      <c r="D3850" s="9" t="s">
        <v>247</v>
      </c>
      <c r="E3850" s="9" t="s">
        <v>140</v>
      </c>
      <c r="F3850" s="9" t="s">
        <v>17</v>
      </c>
      <c r="G3850" s="9" t="s">
        <v>409</v>
      </c>
      <c r="H3850" s="9" t="s">
        <v>62</v>
      </c>
      <c r="I3850" s="9" t="s">
        <v>402</v>
      </c>
      <c r="J3850" s="10"/>
      <c r="K3850" s="14" t="s">
        <v>398</v>
      </c>
      <c r="N3850" s="14" t="str">
        <f>IFERROR(__xludf.DUMMYFUNCTION("""COMPUTED_VALUE"""),"")</f>
        <v/>
      </c>
      <c r="O3850" s="14"/>
    </row>
    <row r="3851" ht="22.5" hidden="1" customHeight="1">
      <c r="A3851" s="8">
        <v>46084.65722903935</v>
      </c>
      <c r="B3851" s="14">
        <v>46084.0</v>
      </c>
      <c r="C3851" s="9" t="s">
        <v>110</v>
      </c>
      <c r="D3851" s="9" t="s">
        <v>259</v>
      </c>
      <c r="E3851" s="9" t="s">
        <v>30</v>
      </c>
      <c r="F3851" s="9" t="s">
        <v>43</v>
      </c>
      <c r="G3851" s="9" t="s">
        <v>409</v>
      </c>
      <c r="H3851" s="9" t="s">
        <v>17</v>
      </c>
      <c r="I3851" s="9" t="s">
        <v>20</v>
      </c>
      <c r="J3851" s="10"/>
      <c r="K3851" s="14" t="s">
        <v>398</v>
      </c>
      <c r="N3851" s="14" t="str">
        <f>IFERROR(__xludf.DUMMYFUNCTION("""COMPUTED_VALUE"""),"")</f>
        <v/>
      </c>
      <c r="O3851" s="14"/>
    </row>
    <row r="3852" ht="22.5" hidden="1" customHeight="1">
      <c r="A3852" s="8">
        <v>46084.66060028935</v>
      </c>
      <c r="B3852" s="14">
        <v>46084.0</v>
      </c>
      <c r="C3852" s="9" t="s">
        <v>110</v>
      </c>
      <c r="D3852" s="9" t="s">
        <v>175</v>
      </c>
      <c r="E3852" s="9" t="s">
        <v>17</v>
      </c>
      <c r="F3852" s="9" t="s">
        <v>17</v>
      </c>
      <c r="G3852" s="9">
        <v>8.0</v>
      </c>
      <c r="H3852" s="9" t="s">
        <v>25</v>
      </c>
      <c r="I3852" s="9" t="s">
        <v>211</v>
      </c>
      <c r="J3852" s="10"/>
      <c r="K3852" s="14">
        <v>6.0</v>
      </c>
      <c r="N3852" s="14" t="str">
        <f>IFERROR(__xludf.DUMMYFUNCTION("""COMPUTED_VALUE"""),"")</f>
        <v/>
      </c>
      <c r="O3852" s="14"/>
    </row>
    <row r="3853" ht="22.5" hidden="1" customHeight="1">
      <c r="A3853" s="8">
        <v>46084.66101863426</v>
      </c>
      <c r="B3853" s="14">
        <v>46084.0</v>
      </c>
      <c r="C3853" s="9" t="s">
        <v>110</v>
      </c>
      <c r="D3853" s="9" t="s">
        <v>350</v>
      </c>
      <c r="E3853" s="9" t="s">
        <v>17</v>
      </c>
      <c r="F3853" s="9" t="s">
        <v>17</v>
      </c>
      <c r="G3853" s="9">
        <v>6.0</v>
      </c>
      <c r="H3853" s="9" t="s">
        <v>25</v>
      </c>
      <c r="I3853" s="9" t="s">
        <v>50</v>
      </c>
      <c r="J3853" s="10"/>
      <c r="K3853" s="14">
        <v>4.0</v>
      </c>
      <c r="N3853" s="14" t="str">
        <f>IFERROR(__xludf.DUMMYFUNCTION("""COMPUTED_VALUE"""),"")</f>
        <v/>
      </c>
      <c r="O3853" s="14"/>
    </row>
    <row r="3854" ht="22.5" hidden="1" customHeight="1">
      <c r="A3854" s="8">
        <v>46084.66138754629</v>
      </c>
      <c r="B3854" s="14">
        <v>46084.0</v>
      </c>
      <c r="C3854" s="9" t="s">
        <v>110</v>
      </c>
      <c r="D3854" s="9" t="s">
        <v>414</v>
      </c>
      <c r="E3854" s="9" t="s">
        <v>17</v>
      </c>
      <c r="F3854" s="9" t="s">
        <v>35</v>
      </c>
      <c r="G3854" s="9">
        <v>8.0</v>
      </c>
      <c r="H3854" s="9" t="s">
        <v>22</v>
      </c>
      <c r="I3854" s="9" t="s">
        <v>20</v>
      </c>
      <c r="J3854" s="10"/>
      <c r="K3854" s="14" t="s">
        <v>398</v>
      </c>
      <c r="N3854" s="14" t="str">
        <f>IFERROR(__xludf.DUMMYFUNCTION("""COMPUTED_VALUE"""),"")</f>
        <v/>
      </c>
      <c r="O3854" s="14"/>
    </row>
    <row r="3855" ht="22.5" hidden="1" customHeight="1">
      <c r="A3855" s="8">
        <v>46084.66187038194</v>
      </c>
      <c r="B3855" s="14">
        <v>46084.0</v>
      </c>
      <c r="C3855" s="9" t="s">
        <v>110</v>
      </c>
      <c r="D3855" s="9" t="s">
        <v>395</v>
      </c>
      <c r="E3855" s="9" t="s">
        <v>17</v>
      </c>
      <c r="F3855" s="9" t="s">
        <v>17</v>
      </c>
      <c r="G3855" s="9" t="s">
        <v>409</v>
      </c>
      <c r="H3855" s="9" t="s">
        <v>22</v>
      </c>
      <c r="I3855" s="9" t="s">
        <v>20</v>
      </c>
      <c r="J3855" s="10"/>
      <c r="K3855" s="14">
        <v>4.0</v>
      </c>
      <c r="N3855" s="14" t="str">
        <f>IFERROR(__xludf.DUMMYFUNCTION("""COMPUTED_VALUE"""),"")</f>
        <v/>
      </c>
      <c r="O3855" s="14"/>
    </row>
    <row r="3856" ht="22.5" hidden="1" customHeight="1">
      <c r="A3856" s="8">
        <v>46084.66228334491</v>
      </c>
      <c r="B3856" s="14">
        <v>46084.0</v>
      </c>
      <c r="C3856" s="9" t="s">
        <v>110</v>
      </c>
      <c r="D3856" s="9" t="s">
        <v>423</v>
      </c>
      <c r="E3856" s="9" t="s">
        <v>17</v>
      </c>
      <c r="F3856" s="9" t="s">
        <v>35</v>
      </c>
      <c r="G3856" s="9">
        <v>8.0</v>
      </c>
      <c r="H3856" s="9" t="s">
        <v>22</v>
      </c>
      <c r="I3856" s="9" t="s">
        <v>20</v>
      </c>
      <c r="J3856" s="10"/>
      <c r="K3856" s="14">
        <v>6.0</v>
      </c>
      <c r="N3856" s="14" t="str">
        <f>IFERROR(__xludf.DUMMYFUNCTION("""COMPUTED_VALUE"""),"")</f>
        <v/>
      </c>
      <c r="O3856" s="14"/>
    </row>
    <row r="3857" ht="22.5" hidden="1" customHeight="1">
      <c r="A3857" s="8">
        <v>46084.66375636574</v>
      </c>
      <c r="B3857" s="14">
        <v>46084.0</v>
      </c>
      <c r="C3857" s="9" t="s">
        <v>110</v>
      </c>
      <c r="D3857" s="9" t="s">
        <v>393</v>
      </c>
      <c r="E3857" s="9" t="s">
        <v>17</v>
      </c>
      <c r="F3857" s="9" t="s">
        <v>17</v>
      </c>
      <c r="G3857" s="9" t="s">
        <v>409</v>
      </c>
      <c r="H3857" s="9" t="s">
        <v>17</v>
      </c>
      <c r="I3857" s="9" t="s">
        <v>20</v>
      </c>
      <c r="J3857" s="10"/>
      <c r="K3857" s="14">
        <v>4.0</v>
      </c>
      <c r="N3857" s="14" t="str">
        <f>IFERROR(__xludf.DUMMYFUNCTION("""COMPUTED_VALUE"""),"")</f>
        <v/>
      </c>
      <c r="O3857" s="14"/>
    </row>
    <row r="3858" ht="22.5" hidden="1" customHeight="1">
      <c r="A3858" s="8">
        <v>46084.6641600463</v>
      </c>
      <c r="B3858" s="14">
        <v>46084.0</v>
      </c>
      <c r="C3858" s="9" t="s">
        <v>110</v>
      </c>
      <c r="D3858" s="9" t="s">
        <v>174</v>
      </c>
      <c r="E3858" s="9" t="s">
        <v>17</v>
      </c>
      <c r="F3858" s="9" t="s">
        <v>17</v>
      </c>
      <c r="G3858" s="9">
        <v>8.0</v>
      </c>
      <c r="H3858" s="9" t="s">
        <v>22</v>
      </c>
      <c r="I3858" s="9" t="s">
        <v>20</v>
      </c>
      <c r="J3858" s="10"/>
      <c r="K3858" s="14">
        <v>4.0</v>
      </c>
      <c r="N3858" s="14" t="str">
        <f>IFERROR(__xludf.DUMMYFUNCTION("""COMPUTED_VALUE"""),"")</f>
        <v/>
      </c>
      <c r="O3858" s="14"/>
    </row>
    <row r="3859" ht="22.5" hidden="1" customHeight="1">
      <c r="A3859" s="8">
        <v>46084.66640792824</v>
      </c>
      <c r="B3859" s="14">
        <v>46084.0</v>
      </c>
      <c r="C3859" s="9" t="s">
        <v>110</v>
      </c>
      <c r="D3859" s="9" t="s">
        <v>178</v>
      </c>
      <c r="E3859" s="9" t="s">
        <v>17</v>
      </c>
      <c r="F3859" s="9" t="s">
        <v>17</v>
      </c>
      <c r="G3859" s="9">
        <v>8.0</v>
      </c>
      <c r="H3859" s="9" t="s">
        <v>22</v>
      </c>
      <c r="I3859" s="9" t="s">
        <v>20</v>
      </c>
      <c r="J3859" s="10"/>
      <c r="K3859" s="14" t="s">
        <v>398</v>
      </c>
      <c r="N3859" s="14" t="str">
        <f>IFERROR(__xludf.DUMMYFUNCTION("""COMPUTED_VALUE"""),"")</f>
        <v/>
      </c>
      <c r="O3859" s="14"/>
    </row>
    <row r="3860" ht="22.5" hidden="1" customHeight="1">
      <c r="A3860" s="8">
        <v>46084.66779795139</v>
      </c>
      <c r="B3860" s="14">
        <v>46084.0</v>
      </c>
      <c r="C3860" s="9" t="s">
        <v>110</v>
      </c>
      <c r="D3860" s="9" t="s">
        <v>210</v>
      </c>
      <c r="E3860" s="9" t="s">
        <v>17</v>
      </c>
      <c r="F3860" s="9" t="s">
        <v>17</v>
      </c>
      <c r="G3860" s="9">
        <v>8.0</v>
      </c>
      <c r="H3860" s="9" t="s">
        <v>22</v>
      </c>
      <c r="I3860" s="9" t="s">
        <v>20</v>
      </c>
      <c r="J3860" s="10"/>
      <c r="K3860" s="14">
        <v>5.0</v>
      </c>
      <c r="N3860" s="14" t="str">
        <f>IFERROR(__xludf.DUMMYFUNCTION("""COMPUTED_VALUE"""),"")</f>
        <v/>
      </c>
      <c r="O3860" s="14"/>
    </row>
    <row r="3861" ht="22.5" hidden="1" customHeight="1">
      <c r="A3861" s="8">
        <v>46084.670025486106</v>
      </c>
      <c r="B3861" s="14">
        <v>46084.0</v>
      </c>
      <c r="C3861" s="9" t="s">
        <v>110</v>
      </c>
      <c r="D3861" s="9" t="s">
        <v>335</v>
      </c>
      <c r="E3861" s="9" t="s">
        <v>17</v>
      </c>
      <c r="F3861" s="9" t="s">
        <v>17</v>
      </c>
      <c r="G3861" s="9" t="s">
        <v>409</v>
      </c>
      <c r="H3861" s="9" t="s">
        <v>25</v>
      </c>
      <c r="I3861" s="9" t="s">
        <v>411</v>
      </c>
      <c r="J3861" s="10"/>
      <c r="K3861" s="14">
        <v>6.0</v>
      </c>
      <c r="N3861" s="14" t="str">
        <f>IFERROR(__xludf.DUMMYFUNCTION("""COMPUTED_VALUE"""),"")</f>
        <v/>
      </c>
      <c r="O3861" s="14"/>
    </row>
    <row r="3862" ht="22.5" hidden="1" customHeight="1">
      <c r="A3862" s="8">
        <v>46084.67065356481</v>
      </c>
      <c r="B3862" s="14">
        <v>46084.0</v>
      </c>
      <c r="C3862" s="9" t="s">
        <v>110</v>
      </c>
      <c r="D3862" s="9" t="s">
        <v>421</v>
      </c>
      <c r="E3862" s="9" t="s">
        <v>17</v>
      </c>
      <c r="F3862" s="9" t="s">
        <v>17</v>
      </c>
      <c r="G3862" s="9">
        <v>8.0</v>
      </c>
      <c r="H3862" s="9" t="s">
        <v>17</v>
      </c>
      <c r="I3862" s="9" t="s">
        <v>20</v>
      </c>
      <c r="J3862" s="10"/>
      <c r="K3862" s="14">
        <v>4.0</v>
      </c>
      <c r="N3862" s="14" t="str">
        <f>IFERROR(__xludf.DUMMYFUNCTION("""COMPUTED_VALUE"""),"")</f>
        <v/>
      </c>
      <c r="O3862" s="14"/>
    </row>
    <row r="3863" ht="22.5" hidden="1" customHeight="1">
      <c r="A3863" s="8">
        <v>46084.67874942129</v>
      </c>
      <c r="B3863" s="14">
        <v>46084.0</v>
      </c>
      <c r="C3863" s="9" t="s">
        <v>110</v>
      </c>
      <c r="D3863" s="9" t="s">
        <v>171</v>
      </c>
      <c r="E3863" s="9" t="s">
        <v>17</v>
      </c>
      <c r="F3863" s="9" t="s">
        <v>17</v>
      </c>
      <c r="G3863" s="9">
        <v>8.0</v>
      </c>
      <c r="H3863" s="9" t="s">
        <v>22</v>
      </c>
      <c r="I3863" s="9" t="s">
        <v>20</v>
      </c>
      <c r="J3863" s="10"/>
      <c r="K3863" s="14" t="s">
        <v>398</v>
      </c>
      <c r="N3863" s="14" t="str">
        <f>IFERROR(__xludf.DUMMYFUNCTION("""COMPUTED_VALUE"""),"")</f>
        <v/>
      </c>
      <c r="O3863" s="14"/>
    </row>
    <row r="3864" ht="22.5" hidden="1" customHeight="1">
      <c r="A3864" s="8">
        <v>46086.64833322917</v>
      </c>
      <c r="B3864" s="14">
        <v>46086.0</v>
      </c>
      <c r="C3864" s="9" t="s">
        <v>31</v>
      </c>
      <c r="D3864" s="9" t="s">
        <v>247</v>
      </c>
      <c r="E3864" s="9" t="s">
        <v>46</v>
      </c>
      <c r="F3864" s="9" t="s">
        <v>60</v>
      </c>
      <c r="G3864" s="9">
        <v>8.0</v>
      </c>
      <c r="H3864" s="9" t="s">
        <v>25</v>
      </c>
      <c r="I3864" s="9" t="s">
        <v>89</v>
      </c>
      <c r="J3864" s="10"/>
      <c r="K3864" s="14" t="s">
        <v>398</v>
      </c>
      <c r="N3864" s="14" t="str">
        <f>IFERROR(__xludf.DUMMYFUNCTION("""COMPUTED_VALUE"""),"")</f>
        <v/>
      </c>
      <c r="O3864" s="14"/>
    </row>
    <row r="3865" ht="22.5" hidden="1" customHeight="1">
      <c r="A3865" s="8">
        <v>46086.649059143514</v>
      </c>
      <c r="B3865" s="14">
        <v>46086.0</v>
      </c>
      <c r="C3865" s="9" t="s">
        <v>31</v>
      </c>
      <c r="D3865" s="9" t="s">
        <v>249</v>
      </c>
      <c r="E3865" s="9" t="s">
        <v>17</v>
      </c>
      <c r="F3865" s="9" t="s">
        <v>17</v>
      </c>
      <c r="G3865" s="9" t="s">
        <v>409</v>
      </c>
      <c r="H3865" s="9" t="s">
        <v>22</v>
      </c>
      <c r="I3865" s="9" t="s">
        <v>20</v>
      </c>
      <c r="J3865" s="10"/>
      <c r="K3865" s="14" t="s">
        <v>398</v>
      </c>
      <c r="N3865" s="14" t="str">
        <f>IFERROR(__xludf.DUMMYFUNCTION("""COMPUTED_VALUE"""),"")</f>
        <v/>
      </c>
      <c r="O3865" s="14"/>
    </row>
    <row r="3866" ht="22.5" hidden="1" customHeight="1">
      <c r="A3866" s="8">
        <v>46086.64966456019</v>
      </c>
      <c r="B3866" s="14">
        <v>46086.0</v>
      </c>
      <c r="C3866" s="9" t="s">
        <v>31</v>
      </c>
      <c r="D3866" s="9" t="s">
        <v>257</v>
      </c>
      <c r="E3866" s="9" t="s">
        <v>17</v>
      </c>
      <c r="F3866" s="9" t="s">
        <v>17</v>
      </c>
      <c r="G3866" s="9" t="s">
        <v>410</v>
      </c>
      <c r="H3866" s="9" t="s">
        <v>22</v>
      </c>
      <c r="I3866" s="9" t="s">
        <v>20</v>
      </c>
      <c r="J3866" s="10"/>
      <c r="K3866" s="14" t="s">
        <v>398</v>
      </c>
      <c r="N3866" s="14" t="str">
        <f>IFERROR(__xludf.DUMMYFUNCTION("""COMPUTED_VALUE"""),"")</f>
        <v/>
      </c>
      <c r="O3866" s="14"/>
    </row>
    <row r="3867" ht="22.5" hidden="1" customHeight="1">
      <c r="A3867" s="8">
        <v>46086.650772187495</v>
      </c>
      <c r="B3867" s="14">
        <v>46086.0</v>
      </c>
      <c r="C3867" s="9" t="s">
        <v>31</v>
      </c>
      <c r="D3867" s="9" t="s">
        <v>357</v>
      </c>
      <c r="E3867" s="9" t="s">
        <v>17</v>
      </c>
      <c r="F3867" s="9" t="s">
        <v>17</v>
      </c>
      <c r="G3867" s="9" t="s">
        <v>409</v>
      </c>
      <c r="H3867" s="9" t="s">
        <v>25</v>
      </c>
      <c r="I3867" s="9" t="s">
        <v>240</v>
      </c>
      <c r="J3867" s="10"/>
      <c r="K3867" s="14" t="s">
        <v>398</v>
      </c>
      <c r="N3867" s="14" t="str">
        <f>IFERROR(__xludf.DUMMYFUNCTION("""COMPUTED_VALUE"""),"")</f>
        <v/>
      </c>
      <c r="O3867" s="14"/>
    </row>
    <row r="3868" ht="22.5" hidden="1" customHeight="1">
      <c r="A3868" s="8">
        <v>46086.65126237269</v>
      </c>
      <c r="B3868" s="14">
        <v>46086.0</v>
      </c>
      <c r="C3868" s="9" t="s">
        <v>31</v>
      </c>
      <c r="D3868" s="9" t="s">
        <v>258</v>
      </c>
      <c r="E3868" s="9" t="s">
        <v>17</v>
      </c>
      <c r="F3868" s="9" t="s">
        <v>17</v>
      </c>
      <c r="G3868" s="9">
        <v>8.0</v>
      </c>
      <c r="H3868" s="9" t="s">
        <v>22</v>
      </c>
      <c r="I3868" s="9" t="s">
        <v>20</v>
      </c>
      <c r="J3868" s="10"/>
      <c r="K3868" s="14" t="s">
        <v>398</v>
      </c>
      <c r="N3868" s="14" t="str">
        <f>IFERROR(__xludf.DUMMYFUNCTION("""COMPUTED_VALUE"""),"")</f>
        <v/>
      </c>
      <c r="O3868" s="14"/>
    </row>
    <row r="3869" ht="22.5" hidden="1" customHeight="1">
      <c r="A3869" s="8">
        <v>46086.65175936343</v>
      </c>
      <c r="B3869" s="14">
        <v>46086.0</v>
      </c>
      <c r="C3869" s="9" t="s">
        <v>31</v>
      </c>
      <c r="D3869" s="9" t="s">
        <v>412</v>
      </c>
      <c r="E3869" s="9" t="s">
        <v>46</v>
      </c>
      <c r="F3869" s="9" t="s">
        <v>60</v>
      </c>
      <c r="G3869" s="9">
        <v>6.0</v>
      </c>
      <c r="H3869" s="9" t="s">
        <v>22</v>
      </c>
      <c r="I3869" s="9" t="s">
        <v>20</v>
      </c>
      <c r="J3869" s="10"/>
      <c r="K3869" s="14" t="s">
        <v>398</v>
      </c>
      <c r="N3869" s="14" t="str">
        <f>IFERROR(__xludf.DUMMYFUNCTION("""COMPUTED_VALUE"""),"")</f>
        <v/>
      </c>
      <c r="O3869" s="14"/>
    </row>
    <row r="3870" ht="22.5" hidden="1" customHeight="1">
      <c r="A3870" s="8">
        <v>46086.65247702546</v>
      </c>
      <c r="B3870" s="14">
        <v>46086.0</v>
      </c>
      <c r="C3870" s="9" t="s">
        <v>31</v>
      </c>
      <c r="D3870" s="9" t="s">
        <v>350</v>
      </c>
      <c r="E3870" s="9" t="s">
        <v>17</v>
      </c>
      <c r="F3870" s="9" t="s">
        <v>17</v>
      </c>
      <c r="G3870" s="9">
        <v>7.0</v>
      </c>
      <c r="H3870" s="9" t="s">
        <v>22</v>
      </c>
      <c r="I3870" s="9" t="s">
        <v>20</v>
      </c>
      <c r="J3870" s="10"/>
      <c r="K3870" s="14" t="s">
        <v>398</v>
      </c>
      <c r="N3870" s="14" t="str">
        <f>IFERROR(__xludf.DUMMYFUNCTION("""COMPUTED_VALUE"""),"")</f>
        <v/>
      </c>
      <c r="O3870" s="14"/>
    </row>
    <row r="3871" ht="22.5" hidden="1" customHeight="1">
      <c r="A3871" s="8">
        <v>46086.653072581015</v>
      </c>
      <c r="B3871" s="14">
        <v>46086.0</v>
      </c>
      <c r="C3871" s="9" t="s">
        <v>31</v>
      </c>
      <c r="D3871" s="9" t="s">
        <v>280</v>
      </c>
      <c r="E3871" s="9" t="s">
        <v>17</v>
      </c>
      <c r="F3871" s="9" t="s">
        <v>17</v>
      </c>
      <c r="G3871" s="9">
        <v>8.0</v>
      </c>
      <c r="H3871" s="9" t="s">
        <v>22</v>
      </c>
      <c r="I3871" s="9" t="s">
        <v>20</v>
      </c>
      <c r="J3871" s="10"/>
      <c r="K3871" s="14" t="s">
        <v>398</v>
      </c>
      <c r="N3871" s="14" t="str">
        <f>IFERROR(__xludf.DUMMYFUNCTION("""COMPUTED_VALUE"""),"")</f>
        <v/>
      </c>
      <c r="O3871" s="14"/>
    </row>
    <row r="3872" ht="22.5" hidden="1" customHeight="1">
      <c r="A3872" s="8">
        <v>46086.65332143518</v>
      </c>
      <c r="B3872" s="14">
        <v>46086.0</v>
      </c>
      <c r="C3872" s="9" t="s">
        <v>31</v>
      </c>
      <c r="D3872" s="9" t="s">
        <v>105</v>
      </c>
      <c r="E3872" s="9" t="s">
        <v>17</v>
      </c>
      <c r="F3872" s="9" t="s">
        <v>17</v>
      </c>
      <c r="G3872" s="9">
        <v>8.0</v>
      </c>
      <c r="H3872" s="9" t="s">
        <v>22</v>
      </c>
      <c r="I3872" s="9" t="s">
        <v>20</v>
      </c>
      <c r="J3872" s="10"/>
      <c r="K3872" s="14" t="s">
        <v>398</v>
      </c>
      <c r="N3872" s="14" t="str">
        <f>IFERROR(__xludf.DUMMYFUNCTION("""COMPUTED_VALUE"""),"")</f>
        <v/>
      </c>
      <c r="O3872" s="14"/>
    </row>
    <row r="3873" ht="22.5" hidden="1" customHeight="1">
      <c r="A3873" s="8">
        <v>46086.65952357639</v>
      </c>
      <c r="B3873" s="14">
        <v>46086.0</v>
      </c>
      <c r="C3873" s="9" t="s">
        <v>31</v>
      </c>
      <c r="D3873" s="9" t="s">
        <v>395</v>
      </c>
      <c r="E3873" s="9" t="s">
        <v>17</v>
      </c>
      <c r="F3873" s="9" t="s">
        <v>17</v>
      </c>
      <c r="G3873" s="9">
        <v>6.0</v>
      </c>
      <c r="H3873" s="9" t="s">
        <v>22</v>
      </c>
      <c r="I3873" s="9" t="s">
        <v>20</v>
      </c>
      <c r="J3873" s="10"/>
      <c r="K3873" s="14" t="s">
        <v>398</v>
      </c>
      <c r="N3873" s="14" t="str">
        <f>IFERROR(__xludf.DUMMYFUNCTION("""COMPUTED_VALUE"""),"")</f>
        <v/>
      </c>
      <c r="O3873" s="14"/>
    </row>
    <row r="3874" ht="22.5" hidden="1" customHeight="1">
      <c r="A3874" s="8">
        <v>46086.65998325231</v>
      </c>
      <c r="B3874" s="14">
        <v>46086.0</v>
      </c>
      <c r="C3874" s="9" t="s">
        <v>31</v>
      </c>
      <c r="D3874" s="9" t="s">
        <v>210</v>
      </c>
      <c r="E3874" s="9" t="s">
        <v>17</v>
      </c>
      <c r="F3874" s="9" t="s">
        <v>17</v>
      </c>
      <c r="G3874" s="9">
        <v>8.0</v>
      </c>
      <c r="H3874" s="9" t="s">
        <v>22</v>
      </c>
      <c r="I3874" s="9" t="s">
        <v>20</v>
      </c>
      <c r="J3874" s="10"/>
      <c r="K3874" s="14" t="s">
        <v>398</v>
      </c>
      <c r="N3874" s="14" t="str">
        <f>IFERROR(__xludf.DUMMYFUNCTION("""COMPUTED_VALUE"""),"")</f>
        <v/>
      </c>
      <c r="O3874" s="14"/>
    </row>
    <row r="3875" ht="22.5" hidden="1" customHeight="1">
      <c r="A3875" s="8">
        <v>46086.66052174769</v>
      </c>
      <c r="B3875" s="14">
        <v>46086.0</v>
      </c>
      <c r="C3875" s="9" t="s">
        <v>31</v>
      </c>
      <c r="D3875" s="9" t="s">
        <v>393</v>
      </c>
      <c r="E3875" s="9" t="s">
        <v>46</v>
      </c>
      <c r="F3875" s="9" t="s">
        <v>60</v>
      </c>
      <c r="G3875" s="9" t="s">
        <v>410</v>
      </c>
      <c r="H3875" s="9" t="s">
        <v>22</v>
      </c>
      <c r="I3875" s="9" t="s">
        <v>20</v>
      </c>
      <c r="J3875" s="10"/>
      <c r="K3875" s="14" t="s">
        <v>398</v>
      </c>
      <c r="N3875" s="14" t="str">
        <f>IFERROR(__xludf.DUMMYFUNCTION("""COMPUTED_VALUE"""),"")</f>
        <v/>
      </c>
      <c r="O3875" s="14"/>
    </row>
    <row r="3876" ht="22.5" hidden="1" customHeight="1">
      <c r="A3876" s="8">
        <v>46086.660981759254</v>
      </c>
      <c r="B3876" s="14">
        <v>46086.0</v>
      </c>
      <c r="C3876" s="9" t="s">
        <v>31</v>
      </c>
      <c r="D3876" s="9" t="s">
        <v>174</v>
      </c>
      <c r="E3876" s="9" t="s">
        <v>17</v>
      </c>
      <c r="F3876" s="9" t="s">
        <v>17</v>
      </c>
      <c r="G3876" s="9" t="s">
        <v>409</v>
      </c>
      <c r="H3876" s="9" t="s">
        <v>22</v>
      </c>
      <c r="I3876" s="9" t="s">
        <v>20</v>
      </c>
      <c r="J3876" s="10"/>
      <c r="K3876" s="14" t="s">
        <v>398</v>
      </c>
      <c r="N3876" s="14" t="str">
        <f>IFERROR(__xludf.DUMMYFUNCTION("""COMPUTED_VALUE"""),"")</f>
        <v/>
      </c>
      <c r="O3876" s="14"/>
    </row>
    <row r="3877" ht="22.5" hidden="1" customHeight="1">
      <c r="A3877" s="8">
        <v>46086.66149039352</v>
      </c>
      <c r="B3877" s="14">
        <v>46086.0</v>
      </c>
      <c r="C3877" s="9" t="s">
        <v>31</v>
      </c>
      <c r="D3877" s="9" t="s">
        <v>421</v>
      </c>
      <c r="E3877" s="9" t="s">
        <v>17</v>
      </c>
      <c r="F3877" s="9" t="s">
        <v>17</v>
      </c>
      <c r="G3877" s="9">
        <v>8.0</v>
      </c>
      <c r="H3877" s="9" t="s">
        <v>22</v>
      </c>
      <c r="I3877" s="9" t="s">
        <v>20</v>
      </c>
      <c r="J3877" s="10"/>
      <c r="K3877" s="14" t="s">
        <v>398</v>
      </c>
      <c r="N3877" s="14" t="str">
        <f>IFERROR(__xludf.DUMMYFUNCTION("""COMPUTED_VALUE"""),"")</f>
        <v/>
      </c>
      <c r="O3877" s="14"/>
    </row>
    <row r="3878" ht="22.5" hidden="1" customHeight="1">
      <c r="A3878" s="8">
        <v>46086.66499186342</v>
      </c>
      <c r="B3878" s="14">
        <v>46086.0</v>
      </c>
      <c r="C3878" s="9" t="s">
        <v>31</v>
      </c>
      <c r="D3878" s="9" t="s">
        <v>396</v>
      </c>
      <c r="E3878" s="9" t="s">
        <v>17</v>
      </c>
      <c r="F3878" s="9" t="s">
        <v>17</v>
      </c>
      <c r="G3878" s="9">
        <v>8.0</v>
      </c>
      <c r="H3878" s="9" t="s">
        <v>22</v>
      </c>
      <c r="I3878" s="9" t="s">
        <v>20</v>
      </c>
      <c r="J3878" s="10"/>
      <c r="K3878" s="14" t="s">
        <v>398</v>
      </c>
      <c r="N3878" s="14" t="str">
        <f>IFERROR(__xludf.DUMMYFUNCTION("""COMPUTED_VALUE"""),"")</f>
        <v/>
      </c>
      <c r="O3878" s="14"/>
    </row>
    <row r="3879" ht="22.5" hidden="1" customHeight="1">
      <c r="A3879" s="8">
        <v>46086.66553471065</v>
      </c>
      <c r="B3879" s="14">
        <v>46086.0</v>
      </c>
      <c r="C3879" s="9" t="s">
        <v>31</v>
      </c>
      <c r="D3879" s="9" t="s">
        <v>259</v>
      </c>
      <c r="E3879" s="9" t="s">
        <v>17</v>
      </c>
      <c r="F3879" s="9" t="s">
        <v>35</v>
      </c>
      <c r="G3879" s="9" t="s">
        <v>409</v>
      </c>
      <c r="H3879" s="9" t="s">
        <v>22</v>
      </c>
      <c r="I3879" s="9" t="s">
        <v>20</v>
      </c>
      <c r="J3879" s="10"/>
      <c r="K3879" s="14" t="s">
        <v>398</v>
      </c>
      <c r="N3879" s="14" t="str">
        <f>IFERROR(__xludf.DUMMYFUNCTION("""COMPUTED_VALUE"""),"")</f>
        <v/>
      </c>
      <c r="O3879" s="14"/>
    </row>
    <row r="3880" ht="22.5" hidden="1" customHeight="1">
      <c r="A3880" s="8">
        <v>46086.666634305555</v>
      </c>
      <c r="B3880" s="14">
        <v>46086.0</v>
      </c>
      <c r="C3880" s="9" t="s">
        <v>31</v>
      </c>
      <c r="D3880" s="9" t="s">
        <v>171</v>
      </c>
      <c r="E3880" s="9" t="s">
        <v>17</v>
      </c>
      <c r="F3880" s="9" t="s">
        <v>17</v>
      </c>
      <c r="G3880" s="9">
        <v>6.0</v>
      </c>
      <c r="H3880" s="9" t="s">
        <v>25</v>
      </c>
      <c r="I3880" s="9" t="s">
        <v>137</v>
      </c>
      <c r="J3880" s="10"/>
      <c r="K3880" s="14" t="s">
        <v>398</v>
      </c>
      <c r="N3880" s="14" t="str">
        <f>IFERROR(__xludf.DUMMYFUNCTION("""COMPUTED_VALUE"""),"")</f>
        <v/>
      </c>
      <c r="O3880" s="14"/>
    </row>
    <row r="3881" ht="22.5" hidden="1" customHeight="1">
      <c r="A3881" s="8">
        <v>46086.6673153125</v>
      </c>
      <c r="B3881" s="14">
        <v>46086.0</v>
      </c>
      <c r="C3881" s="9" t="s">
        <v>31</v>
      </c>
      <c r="D3881" s="9" t="s">
        <v>369</v>
      </c>
      <c r="E3881" s="9" t="s">
        <v>17</v>
      </c>
      <c r="F3881" s="9" t="s">
        <v>17</v>
      </c>
      <c r="G3881" s="9">
        <v>6.0</v>
      </c>
      <c r="H3881" s="9" t="s">
        <v>25</v>
      </c>
      <c r="I3881" s="9" t="s">
        <v>211</v>
      </c>
      <c r="J3881" s="10"/>
      <c r="K3881" s="14" t="s">
        <v>398</v>
      </c>
      <c r="N3881" s="14" t="str">
        <f>IFERROR(__xludf.DUMMYFUNCTION("""COMPUTED_VALUE"""),"")</f>
        <v/>
      </c>
      <c r="O3881" s="14"/>
    </row>
    <row r="3882" ht="22.5" hidden="1" customHeight="1">
      <c r="A3882" s="8">
        <v>46086.66823954861</v>
      </c>
      <c r="B3882" s="14">
        <v>46086.0</v>
      </c>
      <c r="C3882" s="9" t="s">
        <v>31</v>
      </c>
      <c r="D3882" s="9" t="s">
        <v>175</v>
      </c>
      <c r="E3882" s="9" t="s">
        <v>17</v>
      </c>
      <c r="F3882" s="9" t="s">
        <v>17</v>
      </c>
      <c r="G3882" s="9">
        <v>7.0</v>
      </c>
      <c r="H3882" s="9" t="s">
        <v>25</v>
      </c>
      <c r="I3882" s="9" t="s">
        <v>211</v>
      </c>
      <c r="J3882" s="10"/>
      <c r="K3882" s="14" t="s">
        <v>398</v>
      </c>
      <c r="N3882" s="14" t="str">
        <f>IFERROR(__xludf.DUMMYFUNCTION("""COMPUTED_VALUE"""),"")</f>
        <v/>
      </c>
      <c r="O3882" s="14"/>
    </row>
    <row r="3883" ht="22.5" hidden="1" customHeight="1">
      <c r="A3883" s="8">
        <v>46086.66872299768</v>
      </c>
      <c r="B3883" s="14">
        <v>46086.0</v>
      </c>
      <c r="C3883" s="9" t="s">
        <v>31</v>
      </c>
      <c r="D3883" s="9" t="s">
        <v>423</v>
      </c>
      <c r="E3883" s="9" t="s">
        <v>46</v>
      </c>
      <c r="F3883" s="9" t="s">
        <v>17</v>
      </c>
      <c r="G3883" s="9">
        <v>7.0</v>
      </c>
      <c r="H3883" s="9" t="s">
        <v>25</v>
      </c>
      <c r="I3883" s="9" t="s">
        <v>41</v>
      </c>
      <c r="J3883" s="10"/>
      <c r="K3883" s="14" t="s">
        <v>398</v>
      </c>
      <c r="N3883" s="14" t="str">
        <f>IFERROR(__xludf.DUMMYFUNCTION("""COMPUTED_VALUE"""),"")</f>
        <v/>
      </c>
      <c r="O3883" s="14"/>
    </row>
    <row r="3884" ht="22.5" hidden="1" customHeight="1">
      <c r="A3884" s="8">
        <v>46086.670714050924</v>
      </c>
      <c r="B3884" s="14">
        <v>46086.0</v>
      </c>
      <c r="C3884" s="9" t="s">
        <v>31</v>
      </c>
      <c r="D3884" s="9" t="s">
        <v>178</v>
      </c>
      <c r="E3884" s="9" t="s">
        <v>17</v>
      </c>
      <c r="F3884" s="9" t="s">
        <v>17</v>
      </c>
      <c r="G3884" s="9">
        <v>8.0</v>
      </c>
      <c r="H3884" s="9" t="s">
        <v>22</v>
      </c>
      <c r="I3884" s="9" t="s">
        <v>20</v>
      </c>
      <c r="J3884" s="10"/>
      <c r="K3884" s="14" t="s">
        <v>398</v>
      </c>
      <c r="N3884" s="14" t="str">
        <f>IFERROR(__xludf.DUMMYFUNCTION("""COMPUTED_VALUE"""),"")</f>
        <v/>
      </c>
      <c r="O3884" s="14"/>
    </row>
    <row r="3885" ht="22.5" hidden="1" customHeight="1">
      <c r="A3885" s="8">
        <v>46086.67216957176</v>
      </c>
      <c r="B3885" s="14">
        <v>46086.0</v>
      </c>
      <c r="C3885" s="9" t="s">
        <v>31</v>
      </c>
      <c r="D3885" s="9" t="s">
        <v>177</v>
      </c>
      <c r="E3885" s="9" t="s">
        <v>17</v>
      </c>
      <c r="F3885" s="9" t="s">
        <v>17</v>
      </c>
      <c r="G3885" s="9">
        <v>6.0</v>
      </c>
      <c r="H3885" s="9" t="s">
        <v>22</v>
      </c>
      <c r="I3885" s="9" t="s">
        <v>20</v>
      </c>
      <c r="J3885" s="10"/>
      <c r="K3885" s="14" t="s">
        <v>398</v>
      </c>
      <c r="N3885" s="14" t="str">
        <f>IFERROR(__xludf.DUMMYFUNCTION("""COMPUTED_VALUE"""),"")</f>
        <v/>
      </c>
      <c r="O3885" s="14"/>
    </row>
    <row r="3886" ht="22.5" hidden="1" customHeight="1">
      <c r="A3886" s="8">
        <v>46086.675914328705</v>
      </c>
      <c r="B3886" s="14">
        <v>46086.0</v>
      </c>
      <c r="C3886" s="9" t="s">
        <v>31</v>
      </c>
      <c r="D3886" s="9" t="s">
        <v>414</v>
      </c>
      <c r="E3886" s="9" t="s">
        <v>17</v>
      </c>
      <c r="F3886" s="9" t="s">
        <v>17</v>
      </c>
      <c r="G3886" s="9">
        <v>7.0</v>
      </c>
      <c r="H3886" s="9" t="s">
        <v>22</v>
      </c>
      <c r="I3886" s="9" t="s">
        <v>20</v>
      </c>
      <c r="J3886" s="10"/>
      <c r="K3886" s="14" t="s">
        <v>398</v>
      </c>
      <c r="N3886" s="14" t="str">
        <f>IFERROR(__xludf.DUMMYFUNCTION("""COMPUTED_VALUE"""),"")</f>
        <v/>
      </c>
      <c r="O3886" s="14"/>
    </row>
    <row r="3887" ht="22.5" hidden="1" customHeight="1">
      <c r="A3887" s="8">
        <v>46086.67863003472</v>
      </c>
      <c r="B3887" s="14">
        <v>46086.0</v>
      </c>
      <c r="C3887" s="9" t="s">
        <v>31</v>
      </c>
      <c r="D3887" s="9" t="s">
        <v>413</v>
      </c>
      <c r="E3887" s="9" t="s">
        <v>17</v>
      </c>
      <c r="F3887" s="9" t="s">
        <v>17</v>
      </c>
      <c r="G3887" s="9">
        <v>7.0</v>
      </c>
      <c r="H3887" s="9" t="s">
        <v>22</v>
      </c>
      <c r="I3887" s="9" t="s">
        <v>20</v>
      </c>
      <c r="J3887" s="10"/>
      <c r="K3887" s="14" t="s">
        <v>398</v>
      </c>
      <c r="N3887" s="14" t="str">
        <f>IFERROR(__xludf.DUMMYFUNCTION("""COMPUTED_VALUE"""),"")</f>
        <v/>
      </c>
      <c r="O3887" s="14"/>
    </row>
    <row r="3888" ht="22.5" hidden="1" customHeight="1">
      <c r="A3888" s="8">
        <v>46086.679469305556</v>
      </c>
      <c r="B3888" s="14">
        <v>46086.0</v>
      </c>
      <c r="C3888" s="9" t="s">
        <v>31</v>
      </c>
      <c r="D3888" s="9" t="s">
        <v>394</v>
      </c>
      <c r="E3888" s="9" t="s">
        <v>17</v>
      </c>
      <c r="F3888" s="9" t="s">
        <v>17</v>
      </c>
      <c r="G3888" s="9">
        <v>8.0</v>
      </c>
      <c r="H3888" s="9" t="s">
        <v>22</v>
      </c>
      <c r="I3888" s="9" t="s">
        <v>20</v>
      </c>
      <c r="J3888" s="10"/>
      <c r="K3888" s="14" t="s">
        <v>398</v>
      </c>
      <c r="N3888" s="14" t="str">
        <f>IFERROR(__xludf.DUMMYFUNCTION("""COMPUTED_VALUE"""),"")</f>
        <v/>
      </c>
      <c r="O3888" s="14"/>
    </row>
    <row r="3889" ht="22.5" hidden="1" customHeight="1">
      <c r="A3889" s="8">
        <v>46087.34103244213</v>
      </c>
      <c r="B3889" s="14">
        <v>46087.0</v>
      </c>
      <c r="C3889" s="9" t="s">
        <v>48</v>
      </c>
      <c r="D3889" s="9" t="s">
        <v>249</v>
      </c>
      <c r="E3889" s="9" t="s">
        <v>61</v>
      </c>
      <c r="F3889" s="9" t="s">
        <v>18</v>
      </c>
      <c r="G3889" s="9">
        <v>8.0</v>
      </c>
      <c r="H3889" s="9" t="s">
        <v>22</v>
      </c>
      <c r="I3889" s="9" t="s">
        <v>20</v>
      </c>
      <c r="J3889" s="10"/>
      <c r="K3889" s="14">
        <v>6.0</v>
      </c>
      <c r="N3889" s="14" t="str">
        <f>IFERROR(__xludf.DUMMYFUNCTION("""COMPUTED_VALUE"""),"")</f>
        <v/>
      </c>
      <c r="O3889" s="14"/>
    </row>
    <row r="3890" ht="22.5" hidden="1" customHeight="1">
      <c r="A3890" s="8">
        <v>46087.34224947917</v>
      </c>
      <c r="B3890" s="14">
        <v>46087.0</v>
      </c>
      <c r="C3890" s="9" t="s">
        <v>48</v>
      </c>
      <c r="D3890" s="9" t="s">
        <v>177</v>
      </c>
      <c r="E3890" s="9" t="s">
        <v>17</v>
      </c>
      <c r="F3890" s="9" t="s">
        <v>17</v>
      </c>
      <c r="G3890" s="9">
        <v>7.0</v>
      </c>
      <c r="H3890" s="9" t="s">
        <v>17</v>
      </c>
      <c r="I3890" s="9" t="s">
        <v>20</v>
      </c>
      <c r="J3890" s="10"/>
      <c r="K3890" s="14" t="s">
        <v>398</v>
      </c>
      <c r="N3890" s="14" t="str">
        <f>IFERROR(__xludf.DUMMYFUNCTION("""COMPUTED_VALUE"""),"")</f>
        <v/>
      </c>
      <c r="O3890" s="14"/>
    </row>
    <row r="3891" ht="22.5" hidden="1" customHeight="1">
      <c r="A3891" s="8">
        <v>46087.343434027774</v>
      </c>
      <c r="B3891" s="14">
        <v>46087.0</v>
      </c>
      <c r="C3891" s="9" t="s">
        <v>48</v>
      </c>
      <c r="D3891" s="9" t="s">
        <v>414</v>
      </c>
      <c r="E3891" s="9" t="s">
        <v>61</v>
      </c>
      <c r="F3891" s="9" t="s">
        <v>77</v>
      </c>
      <c r="G3891" s="9" t="s">
        <v>410</v>
      </c>
      <c r="H3891" s="9" t="s">
        <v>22</v>
      </c>
      <c r="I3891" s="9" t="s">
        <v>20</v>
      </c>
      <c r="J3891" s="10"/>
      <c r="K3891" s="14" t="s">
        <v>398</v>
      </c>
      <c r="N3891" s="14" t="str">
        <f>IFERROR(__xludf.DUMMYFUNCTION("""COMPUTED_VALUE"""),"")</f>
        <v/>
      </c>
      <c r="O3891" s="14"/>
    </row>
    <row r="3892" ht="22.5" hidden="1" customHeight="1">
      <c r="A3892" s="8">
        <v>46087.34392274306</v>
      </c>
      <c r="B3892" s="14">
        <v>46087.0</v>
      </c>
      <c r="C3892" s="9" t="s">
        <v>48</v>
      </c>
      <c r="D3892" s="9" t="s">
        <v>280</v>
      </c>
      <c r="E3892" s="9" t="s">
        <v>17</v>
      </c>
      <c r="F3892" s="9" t="s">
        <v>17</v>
      </c>
      <c r="G3892" s="9">
        <v>8.0</v>
      </c>
      <c r="H3892" s="9" t="s">
        <v>22</v>
      </c>
      <c r="I3892" s="9" t="s">
        <v>20</v>
      </c>
      <c r="J3892" s="10"/>
      <c r="K3892" s="14" t="s">
        <v>398</v>
      </c>
      <c r="N3892" s="14" t="str">
        <f>IFERROR(__xludf.DUMMYFUNCTION("""COMPUTED_VALUE"""),"")</f>
        <v/>
      </c>
      <c r="O3892" s="14"/>
    </row>
    <row r="3893" ht="22.5" hidden="1" customHeight="1">
      <c r="A3893" s="8">
        <v>46087.34425056713</v>
      </c>
      <c r="B3893" s="14">
        <v>46087.0</v>
      </c>
      <c r="C3893" s="9" t="s">
        <v>48</v>
      </c>
      <c r="D3893" s="9" t="s">
        <v>105</v>
      </c>
      <c r="E3893" s="9" t="s">
        <v>17</v>
      </c>
      <c r="F3893" s="9" t="s">
        <v>17</v>
      </c>
      <c r="G3893" s="9">
        <v>8.0</v>
      </c>
      <c r="H3893" s="9" t="s">
        <v>22</v>
      </c>
      <c r="I3893" s="9" t="s">
        <v>20</v>
      </c>
      <c r="J3893" s="10"/>
      <c r="K3893" s="14">
        <v>2.0</v>
      </c>
      <c r="N3893" s="14" t="str">
        <f>IFERROR(__xludf.DUMMYFUNCTION("""COMPUTED_VALUE"""),"")</f>
        <v/>
      </c>
      <c r="O3893" s="14"/>
    </row>
    <row r="3894" ht="22.5" hidden="1" customHeight="1">
      <c r="A3894" s="8">
        <v>46087.34451207176</v>
      </c>
      <c r="B3894" s="14">
        <v>46087.0</v>
      </c>
      <c r="C3894" s="9" t="s">
        <v>48</v>
      </c>
      <c r="D3894" s="9" t="s">
        <v>258</v>
      </c>
      <c r="E3894" s="9" t="s">
        <v>17</v>
      </c>
      <c r="F3894" s="9" t="s">
        <v>17</v>
      </c>
      <c r="G3894" s="9">
        <v>8.0</v>
      </c>
      <c r="H3894" s="9" t="s">
        <v>22</v>
      </c>
      <c r="I3894" s="9" t="s">
        <v>20</v>
      </c>
      <c r="J3894" s="10"/>
      <c r="K3894" s="14">
        <v>5.0</v>
      </c>
      <c r="N3894" s="14" t="str">
        <f>IFERROR(__xludf.DUMMYFUNCTION("""COMPUTED_VALUE"""),"")</f>
        <v/>
      </c>
      <c r="O3894" s="14"/>
    </row>
    <row r="3895" ht="22.5" hidden="1" customHeight="1">
      <c r="A3895" s="8">
        <v>46087.34492525463</v>
      </c>
      <c r="B3895" s="14">
        <v>46087.0</v>
      </c>
      <c r="C3895" s="9" t="s">
        <v>48</v>
      </c>
      <c r="D3895" s="9" t="s">
        <v>412</v>
      </c>
      <c r="E3895" s="9" t="s">
        <v>17</v>
      </c>
      <c r="F3895" s="9" t="s">
        <v>17</v>
      </c>
      <c r="G3895" s="9">
        <v>8.0</v>
      </c>
      <c r="H3895" s="9" t="s">
        <v>22</v>
      </c>
      <c r="I3895" s="9" t="s">
        <v>20</v>
      </c>
      <c r="J3895" s="10"/>
      <c r="K3895" s="14" t="s">
        <v>398</v>
      </c>
      <c r="N3895" s="14" t="str">
        <f>IFERROR(__xludf.DUMMYFUNCTION("""COMPUTED_VALUE"""),"")</f>
        <v/>
      </c>
      <c r="O3895" s="14"/>
    </row>
    <row r="3896" ht="22.5" hidden="1" customHeight="1">
      <c r="A3896" s="8">
        <v>46087.345350625</v>
      </c>
      <c r="B3896" s="14">
        <v>46087.0</v>
      </c>
      <c r="C3896" s="9" t="s">
        <v>48</v>
      </c>
      <c r="D3896" s="9" t="s">
        <v>413</v>
      </c>
      <c r="E3896" s="9" t="s">
        <v>17</v>
      </c>
      <c r="F3896" s="9" t="s">
        <v>17</v>
      </c>
      <c r="G3896" s="9">
        <v>7.0</v>
      </c>
      <c r="H3896" s="9" t="s">
        <v>22</v>
      </c>
      <c r="I3896" s="9" t="s">
        <v>20</v>
      </c>
      <c r="J3896" s="10"/>
      <c r="K3896" s="14">
        <v>7.0</v>
      </c>
      <c r="N3896" s="14" t="str">
        <f>IFERROR(__xludf.DUMMYFUNCTION("""COMPUTED_VALUE"""),"")</f>
        <v/>
      </c>
      <c r="O3896" s="14"/>
    </row>
    <row r="3897" ht="22.5" hidden="1" customHeight="1">
      <c r="A3897" s="8">
        <v>46087.35007857639</v>
      </c>
      <c r="B3897" s="14">
        <v>46087.0</v>
      </c>
      <c r="C3897" s="9" t="s">
        <v>48</v>
      </c>
      <c r="D3897" s="9" t="s">
        <v>257</v>
      </c>
      <c r="E3897" s="9" t="s">
        <v>17</v>
      </c>
      <c r="F3897" s="9" t="s">
        <v>17</v>
      </c>
      <c r="G3897" s="9">
        <v>7.0</v>
      </c>
      <c r="H3897" s="9" t="s">
        <v>25</v>
      </c>
      <c r="I3897" s="9" t="s">
        <v>50</v>
      </c>
      <c r="J3897" s="10"/>
      <c r="K3897" s="14" t="s">
        <v>398</v>
      </c>
      <c r="N3897" s="14" t="str">
        <f>IFERROR(__xludf.DUMMYFUNCTION("""COMPUTED_VALUE"""),"")</f>
        <v/>
      </c>
      <c r="O3897" s="14"/>
    </row>
    <row r="3898" ht="22.5" hidden="1" customHeight="1">
      <c r="A3898" s="8">
        <v>46087.3510165162</v>
      </c>
      <c r="B3898" s="14">
        <v>46087.0</v>
      </c>
      <c r="C3898" s="9" t="s">
        <v>48</v>
      </c>
      <c r="D3898" s="9" t="s">
        <v>171</v>
      </c>
      <c r="E3898" s="9" t="s">
        <v>17</v>
      </c>
      <c r="F3898" s="9" t="s">
        <v>60</v>
      </c>
      <c r="G3898" s="9">
        <v>6.0</v>
      </c>
      <c r="H3898" s="9" t="s">
        <v>25</v>
      </c>
      <c r="I3898" s="9" t="s">
        <v>137</v>
      </c>
      <c r="J3898" s="10"/>
      <c r="K3898" s="14" t="s">
        <v>398</v>
      </c>
      <c r="N3898" s="14" t="str">
        <f>IFERROR(__xludf.DUMMYFUNCTION("""COMPUTED_VALUE"""),"")</f>
        <v/>
      </c>
      <c r="O3898" s="14"/>
    </row>
    <row r="3899" ht="22.5" hidden="1" customHeight="1">
      <c r="A3899" s="8">
        <v>46087.351543576384</v>
      </c>
      <c r="B3899" s="14">
        <v>46087.0</v>
      </c>
      <c r="C3899" s="9" t="s">
        <v>48</v>
      </c>
      <c r="D3899" s="9" t="s">
        <v>395</v>
      </c>
      <c r="E3899" s="9" t="s">
        <v>17</v>
      </c>
      <c r="F3899" s="9" t="s">
        <v>17</v>
      </c>
      <c r="G3899" s="9">
        <v>6.0</v>
      </c>
      <c r="H3899" s="9" t="s">
        <v>22</v>
      </c>
      <c r="I3899" s="9" t="s">
        <v>20</v>
      </c>
      <c r="J3899" s="10"/>
      <c r="K3899" s="14">
        <v>4.0</v>
      </c>
      <c r="N3899" s="14" t="str">
        <f>IFERROR(__xludf.DUMMYFUNCTION("""COMPUTED_VALUE"""),"")</f>
        <v/>
      </c>
      <c r="O3899" s="14"/>
    </row>
    <row r="3900" ht="22.5" hidden="1" customHeight="1">
      <c r="A3900" s="8">
        <v>46087.35221333333</v>
      </c>
      <c r="B3900" s="14">
        <v>46087.0</v>
      </c>
      <c r="C3900" s="9" t="s">
        <v>48</v>
      </c>
      <c r="D3900" s="9" t="s">
        <v>423</v>
      </c>
      <c r="E3900" s="9" t="s">
        <v>17</v>
      </c>
      <c r="F3900" s="9" t="s">
        <v>17</v>
      </c>
      <c r="G3900" s="9">
        <v>7.0</v>
      </c>
      <c r="H3900" s="9" t="s">
        <v>17</v>
      </c>
      <c r="I3900" s="9" t="s">
        <v>20</v>
      </c>
      <c r="J3900" s="10"/>
      <c r="K3900" s="14" t="s">
        <v>398</v>
      </c>
      <c r="N3900" s="14" t="str">
        <f>IFERROR(__xludf.DUMMYFUNCTION("""COMPUTED_VALUE"""),"")</f>
        <v/>
      </c>
      <c r="O3900" s="14"/>
    </row>
    <row r="3901" ht="22.5" hidden="1" customHeight="1">
      <c r="A3901" s="8">
        <v>46087.357072858795</v>
      </c>
      <c r="B3901" s="14">
        <v>46087.0</v>
      </c>
      <c r="C3901" s="9" t="s">
        <v>48</v>
      </c>
      <c r="D3901" s="9" t="s">
        <v>174</v>
      </c>
      <c r="E3901" s="9" t="s">
        <v>30</v>
      </c>
      <c r="F3901" s="9" t="s">
        <v>17</v>
      </c>
      <c r="G3901" s="9">
        <v>7.0</v>
      </c>
      <c r="H3901" s="9" t="s">
        <v>22</v>
      </c>
      <c r="I3901" s="9" t="s">
        <v>20</v>
      </c>
      <c r="J3901" s="10"/>
      <c r="K3901" s="14">
        <v>5.0</v>
      </c>
      <c r="N3901" s="14" t="str">
        <f>IFERROR(__xludf.DUMMYFUNCTION("""COMPUTED_VALUE"""),"")</f>
        <v/>
      </c>
      <c r="O3901" s="14"/>
    </row>
    <row r="3902" ht="22.5" hidden="1" customHeight="1">
      <c r="A3902" s="8">
        <v>46087.357315138885</v>
      </c>
      <c r="B3902" s="14">
        <v>46087.0</v>
      </c>
      <c r="C3902" s="9" t="s">
        <v>48</v>
      </c>
      <c r="D3902" s="9" t="s">
        <v>408</v>
      </c>
      <c r="E3902" s="9" t="s">
        <v>30</v>
      </c>
      <c r="F3902" s="9" t="s">
        <v>18</v>
      </c>
      <c r="G3902" s="9">
        <v>7.0</v>
      </c>
      <c r="H3902" s="9" t="s">
        <v>22</v>
      </c>
      <c r="I3902" s="9" t="s">
        <v>20</v>
      </c>
      <c r="J3902" s="10"/>
      <c r="K3902" s="14" t="s">
        <v>398</v>
      </c>
      <c r="N3902" s="14" t="str">
        <f>IFERROR(__xludf.DUMMYFUNCTION("""COMPUTED_VALUE"""),"")</f>
        <v/>
      </c>
      <c r="O3902" s="14"/>
    </row>
    <row r="3903" ht="22.5" hidden="1" customHeight="1">
      <c r="A3903" s="8">
        <v>46087.361894340276</v>
      </c>
      <c r="B3903" s="14">
        <v>46087.0</v>
      </c>
      <c r="C3903" s="9" t="s">
        <v>48</v>
      </c>
      <c r="D3903" s="9" t="s">
        <v>421</v>
      </c>
      <c r="E3903" s="9" t="s">
        <v>30</v>
      </c>
      <c r="F3903" s="9" t="s">
        <v>18</v>
      </c>
      <c r="G3903" s="9">
        <v>8.0</v>
      </c>
      <c r="H3903" s="9" t="s">
        <v>25</v>
      </c>
      <c r="I3903" s="9" t="s">
        <v>89</v>
      </c>
      <c r="J3903" s="10"/>
      <c r="K3903" s="14">
        <v>2.0</v>
      </c>
      <c r="N3903" s="14" t="str">
        <f>IFERROR(__xludf.DUMMYFUNCTION("""COMPUTED_VALUE"""),"")</f>
        <v/>
      </c>
      <c r="O3903" s="14"/>
    </row>
    <row r="3904" ht="22.5" hidden="1" customHeight="1">
      <c r="A3904" s="8">
        <v>46087.365186423616</v>
      </c>
      <c r="B3904" s="14">
        <v>46087.0</v>
      </c>
      <c r="C3904" s="9" t="s">
        <v>48</v>
      </c>
      <c r="D3904" s="9" t="s">
        <v>393</v>
      </c>
      <c r="E3904" s="9" t="s">
        <v>17</v>
      </c>
      <c r="F3904" s="9" t="s">
        <v>17</v>
      </c>
      <c r="G3904" s="9">
        <v>7.0</v>
      </c>
      <c r="H3904" s="9" t="s">
        <v>17</v>
      </c>
      <c r="I3904" s="9" t="s">
        <v>20</v>
      </c>
      <c r="J3904" s="10"/>
      <c r="K3904" s="14" t="s">
        <v>398</v>
      </c>
      <c r="N3904" s="14" t="str">
        <f>IFERROR(__xludf.DUMMYFUNCTION("""COMPUTED_VALUE"""),"")</f>
        <v/>
      </c>
      <c r="O3904" s="14"/>
    </row>
    <row r="3905" ht="22.5" hidden="1" customHeight="1">
      <c r="A3905" s="8">
        <v>46087.369513495374</v>
      </c>
      <c r="B3905" s="14">
        <v>46087.0</v>
      </c>
      <c r="C3905" s="9" t="s">
        <v>48</v>
      </c>
      <c r="D3905" s="9" t="s">
        <v>350</v>
      </c>
      <c r="E3905" s="9" t="s">
        <v>30</v>
      </c>
      <c r="F3905" s="9" t="s">
        <v>18</v>
      </c>
      <c r="G3905" s="9">
        <v>7.0</v>
      </c>
      <c r="H3905" s="9" t="s">
        <v>22</v>
      </c>
      <c r="I3905" s="9" t="s">
        <v>20</v>
      </c>
      <c r="J3905" s="10"/>
      <c r="K3905" s="14">
        <v>5.0</v>
      </c>
      <c r="N3905" s="14" t="str">
        <f>IFERROR(__xludf.DUMMYFUNCTION("""COMPUTED_VALUE"""),"")</f>
        <v/>
      </c>
      <c r="O3905" s="14"/>
    </row>
    <row r="3906" ht="22.5" hidden="1" customHeight="1">
      <c r="A3906" s="8">
        <v>46087.372064386574</v>
      </c>
      <c r="B3906" s="14">
        <v>46087.0</v>
      </c>
      <c r="C3906" s="9" t="s">
        <v>48</v>
      </c>
      <c r="D3906" s="9" t="s">
        <v>335</v>
      </c>
      <c r="E3906" s="9" t="s">
        <v>30</v>
      </c>
      <c r="F3906" s="9" t="s">
        <v>18</v>
      </c>
      <c r="G3906" s="9" t="s">
        <v>409</v>
      </c>
      <c r="H3906" s="9" t="s">
        <v>25</v>
      </c>
      <c r="I3906" s="9" t="s">
        <v>427</v>
      </c>
      <c r="J3906" s="10"/>
      <c r="K3906" s="14">
        <v>5.0</v>
      </c>
      <c r="N3906" s="14" t="str">
        <f>IFERROR(__xludf.DUMMYFUNCTION("""COMPUTED_VALUE"""),"")</f>
        <v/>
      </c>
      <c r="O3906" s="14"/>
    </row>
    <row r="3907" ht="22.5" hidden="1" customHeight="1">
      <c r="A3907" s="8">
        <v>46087.3726537037</v>
      </c>
      <c r="B3907" s="14">
        <v>46087.0</v>
      </c>
      <c r="C3907" s="9" t="s">
        <v>48</v>
      </c>
      <c r="D3907" s="9" t="s">
        <v>394</v>
      </c>
      <c r="E3907" s="9" t="s">
        <v>30</v>
      </c>
      <c r="F3907" s="9" t="s">
        <v>18</v>
      </c>
      <c r="G3907" s="9">
        <v>7.0</v>
      </c>
      <c r="H3907" s="9" t="s">
        <v>22</v>
      </c>
      <c r="I3907" s="9" t="s">
        <v>20</v>
      </c>
      <c r="J3907" s="10"/>
      <c r="K3907" s="14" t="s">
        <v>398</v>
      </c>
      <c r="N3907" s="14" t="str">
        <f>IFERROR(__xludf.DUMMYFUNCTION("""COMPUTED_VALUE"""),"")</f>
        <v/>
      </c>
      <c r="O3907" s="14"/>
    </row>
    <row r="3908" ht="22.5" hidden="1" customHeight="1">
      <c r="A3908" s="8">
        <v>46087.373398055555</v>
      </c>
      <c r="B3908" s="14">
        <v>46087.0</v>
      </c>
      <c r="C3908" s="9" t="s">
        <v>48</v>
      </c>
      <c r="D3908" s="9" t="s">
        <v>178</v>
      </c>
      <c r="E3908" s="9" t="s">
        <v>57</v>
      </c>
      <c r="F3908" s="9" t="s">
        <v>43</v>
      </c>
      <c r="G3908" s="9">
        <v>7.0</v>
      </c>
      <c r="H3908" s="9" t="s">
        <v>22</v>
      </c>
      <c r="I3908" s="9" t="s">
        <v>20</v>
      </c>
      <c r="J3908" s="10"/>
      <c r="K3908" s="14">
        <v>6.0</v>
      </c>
      <c r="N3908" s="14" t="str">
        <f>IFERROR(__xludf.DUMMYFUNCTION("""COMPUTED_VALUE"""),"")</f>
        <v/>
      </c>
      <c r="O3908" s="14"/>
    </row>
    <row r="3909" ht="22.5" hidden="1" customHeight="1">
      <c r="A3909" s="8">
        <v>46087.374972627316</v>
      </c>
      <c r="B3909" s="14">
        <v>46087.0</v>
      </c>
      <c r="C3909" s="9" t="s">
        <v>31</v>
      </c>
      <c r="D3909" s="9" t="s">
        <v>175</v>
      </c>
      <c r="E3909" s="9" t="s">
        <v>46</v>
      </c>
      <c r="F3909" s="9" t="s">
        <v>60</v>
      </c>
      <c r="G3909" s="9">
        <v>7.0</v>
      </c>
      <c r="H3909" s="9" t="s">
        <v>25</v>
      </c>
      <c r="I3909" s="9" t="s">
        <v>211</v>
      </c>
      <c r="J3909" s="10"/>
      <c r="K3909" s="14">
        <v>4.0</v>
      </c>
      <c r="N3909" s="14" t="str">
        <f>IFERROR(__xludf.DUMMYFUNCTION("""COMPUTED_VALUE"""),"")</f>
        <v/>
      </c>
      <c r="O3909" s="14"/>
    </row>
    <row r="3910" ht="22.5" hidden="1" customHeight="1">
      <c r="A3910" s="8">
        <v>46087.37677366898</v>
      </c>
      <c r="B3910" s="14">
        <v>46087.0</v>
      </c>
      <c r="C3910" s="9" t="s">
        <v>31</v>
      </c>
      <c r="D3910" s="9" t="s">
        <v>396</v>
      </c>
      <c r="E3910" s="9" t="s">
        <v>17</v>
      </c>
      <c r="F3910" s="9" t="s">
        <v>17</v>
      </c>
      <c r="G3910" s="9">
        <v>8.0</v>
      </c>
      <c r="H3910" s="9" t="s">
        <v>22</v>
      </c>
      <c r="I3910" s="9" t="s">
        <v>20</v>
      </c>
      <c r="J3910" s="10"/>
      <c r="K3910" s="14">
        <v>2.0</v>
      </c>
      <c r="N3910" s="14" t="str">
        <f>IFERROR(__xludf.DUMMYFUNCTION("""COMPUTED_VALUE"""),"")</f>
        <v/>
      </c>
      <c r="O3910" s="14"/>
    </row>
    <row r="3911" ht="22.5" hidden="1" customHeight="1">
      <c r="A3911" s="8">
        <v>46087.380242280095</v>
      </c>
      <c r="B3911" s="14">
        <v>46087.0</v>
      </c>
      <c r="C3911" s="9" t="s">
        <v>48</v>
      </c>
      <c r="D3911" s="9" t="s">
        <v>210</v>
      </c>
      <c r="E3911" s="9" t="s">
        <v>17</v>
      </c>
      <c r="F3911" s="9" t="s">
        <v>17</v>
      </c>
      <c r="G3911" s="9">
        <v>6.0</v>
      </c>
      <c r="H3911" s="9" t="s">
        <v>22</v>
      </c>
      <c r="I3911" s="9" t="s">
        <v>20</v>
      </c>
      <c r="J3911" s="10"/>
      <c r="K3911" s="14">
        <v>7.0</v>
      </c>
      <c r="N3911" s="14" t="str">
        <f>IFERROR(__xludf.DUMMYFUNCTION("""COMPUTED_VALUE"""),"")</f>
        <v/>
      </c>
      <c r="O3911" s="14"/>
    </row>
    <row r="3912" ht="22.5" hidden="1" customHeight="1">
      <c r="A3912" s="8">
        <v>46087.38058702546</v>
      </c>
      <c r="B3912" s="14">
        <v>46087.0</v>
      </c>
      <c r="C3912" s="9" t="s">
        <v>48</v>
      </c>
      <c r="D3912" s="9" t="s">
        <v>247</v>
      </c>
      <c r="E3912" s="9" t="s">
        <v>46</v>
      </c>
      <c r="F3912" s="9" t="s">
        <v>17</v>
      </c>
      <c r="G3912" s="9">
        <v>7.0</v>
      </c>
      <c r="H3912" s="9" t="s">
        <v>25</v>
      </c>
      <c r="I3912" s="9" t="s">
        <v>89</v>
      </c>
      <c r="J3912" s="10"/>
      <c r="K3912" s="14">
        <v>3.0</v>
      </c>
      <c r="N3912" s="14" t="str">
        <f>IFERROR(__xludf.DUMMYFUNCTION("""COMPUTED_VALUE"""),"")</f>
        <v/>
      </c>
      <c r="O3912" s="14"/>
    </row>
    <row r="3913" ht="22.5" hidden="1" customHeight="1">
      <c r="A3913" s="8">
        <v>46087.380850671296</v>
      </c>
      <c r="B3913" s="14">
        <v>46087.0</v>
      </c>
      <c r="C3913" s="9" t="s">
        <v>48</v>
      </c>
      <c r="D3913" s="9" t="s">
        <v>396</v>
      </c>
      <c r="E3913" s="9" t="s">
        <v>17</v>
      </c>
      <c r="F3913" s="9" t="s">
        <v>17</v>
      </c>
      <c r="G3913" s="9">
        <v>8.0</v>
      </c>
      <c r="H3913" s="9" t="s">
        <v>22</v>
      </c>
      <c r="I3913" s="9" t="s">
        <v>20</v>
      </c>
      <c r="J3913" s="10"/>
      <c r="K3913" s="14">
        <v>2.0</v>
      </c>
      <c r="N3913" s="14" t="str">
        <f>IFERROR(__xludf.DUMMYFUNCTION("""COMPUTED_VALUE"""),"")</f>
        <v/>
      </c>
      <c r="O3913" s="14"/>
    </row>
    <row r="3914" ht="22.5" hidden="1" customHeight="1">
      <c r="A3914" s="8">
        <v>46087.38130173611</v>
      </c>
      <c r="B3914" s="14">
        <v>46087.0</v>
      </c>
      <c r="C3914" s="9" t="s">
        <v>48</v>
      </c>
      <c r="D3914" s="9" t="s">
        <v>175</v>
      </c>
      <c r="E3914" s="9" t="s">
        <v>46</v>
      </c>
      <c r="F3914" s="9" t="s">
        <v>17</v>
      </c>
      <c r="G3914" s="9">
        <v>6.0</v>
      </c>
      <c r="H3914" s="9" t="s">
        <v>25</v>
      </c>
      <c r="I3914" s="9" t="s">
        <v>211</v>
      </c>
      <c r="J3914" s="10"/>
      <c r="K3914" s="14">
        <v>4.0</v>
      </c>
      <c r="N3914" s="14" t="str">
        <f>IFERROR(__xludf.DUMMYFUNCTION("""COMPUTED_VALUE"""),"")</f>
        <v/>
      </c>
      <c r="O3914" s="14"/>
    </row>
    <row r="3915" ht="22.5" hidden="1" customHeight="1">
      <c r="A3915" s="8">
        <v>46087.392874375</v>
      </c>
      <c r="B3915" s="14">
        <v>46087.0</v>
      </c>
      <c r="C3915" s="9" t="s">
        <v>48</v>
      </c>
      <c r="D3915" s="9" t="s">
        <v>259</v>
      </c>
      <c r="E3915" s="9" t="s">
        <v>57</v>
      </c>
      <c r="F3915" s="9" t="s">
        <v>43</v>
      </c>
      <c r="G3915" s="9">
        <v>8.0</v>
      </c>
      <c r="H3915" s="9" t="s">
        <v>22</v>
      </c>
      <c r="I3915" s="9" t="s">
        <v>20</v>
      </c>
      <c r="J3915" s="10"/>
      <c r="K3915" s="14" t="s">
        <v>398</v>
      </c>
      <c r="N3915" s="14" t="str">
        <f>IFERROR(__xludf.DUMMYFUNCTION("""COMPUTED_VALUE"""),"")</f>
        <v/>
      </c>
      <c r="O3915" s="14"/>
    </row>
    <row r="3916" ht="22.5" hidden="1" customHeight="1">
      <c r="A3916" s="8">
        <v>46087.39451041666</v>
      </c>
      <c r="B3916" s="14">
        <v>46087.0</v>
      </c>
      <c r="C3916" s="9" t="s">
        <v>48</v>
      </c>
      <c r="D3916" s="9" t="s">
        <v>369</v>
      </c>
      <c r="E3916" s="9" t="s">
        <v>17</v>
      </c>
      <c r="F3916" s="9" t="s">
        <v>17</v>
      </c>
      <c r="G3916" s="9">
        <v>7.0</v>
      </c>
      <c r="H3916" s="9" t="s">
        <v>22</v>
      </c>
      <c r="I3916" s="9" t="s">
        <v>20</v>
      </c>
      <c r="J3916" s="10"/>
      <c r="K3916" s="14" t="s">
        <v>398</v>
      </c>
      <c r="N3916" s="14" t="str">
        <f>IFERROR(__xludf.DUMMYFUNCTION("""COMPUTED_VALUE"""),"")</f>
        <v/>
      </c>
      <c r="O3916" s="14"/>
    </row>
    <row r="3917" ht="22.5" hidden="1" customHeight="1">
      <c r="A3917" s="8">
        <v>46089.36627326389</v>
      </c>
      <c r="B3917" s="14">
        <v>46089.0</v>
      </c>
      <c r="C3917" s="9" t="s">
        <v>58</v>
      </c>
      <c r="D3917" s="9" t="s">
        <v>395</v>
      </c>
      <c r="E3917" s="9" t="s">
        <v>17</v>
      </c>
      <c r="F3917" s="9" t="s">
        <v>17</v>
      </c>
      <c r="G3917" s="9">
        <v>6.0</v>
      </c>
      <c r="H3917" s="9" t="s">
        <v>22</v>
      </c>
      <c r="I3917" s="9" t="s">
        <v>20</v>
      </c>
      <c r="J3917" s="10"/>
      <c r="K3917" s="14" t="s">
        <v>398</v>
      </c>
      <c r="N3917" s="14" t="str">
        <f>IFERROR(__xludf.DUMMYFUNCTION("""COMPUTED_VALUE"""),"")</f>
        <v/>
      </c>
      <c r="O3917" s="14"/>
    </row>
    <row r="3918" ht="22.5" hidden="1" customHeight="1">
      <c r="A3918" s="8">
        <v>46089.3668359838</v>
      </c>
      <c r="B3918" s="14">
        <v>46089.0</v>
      </c>
      <c r="C3918" s="9" t="s">
        <v>58</v>
      </c>
      <c r="D3918" s="9" t="s">
        <v>414</v>
      </c>
      <c r="E3918" s="9" t="s">
        <v>44</v>
      </c>
      <c r="F3918" s="9" t="s">
        <v>17</v>
      </c>
      <c r="G3918" s="9">
        <v>8.0</v>
      </c>
      <c r="H3918" s="9" t="s">
        <v>22</v>
      </c>
      <c r="I3918" s="9" t="s">
        <v>20</v>
      </c>
      <c r="J3918" s="10"/>
      <c r="K3918" s="14" t="s">
        <v>398</v>
      </c>
      <c r="N3918" s="14" t="str">
        <f>IFERROR(__xludf.DUMMYFUNCTION("""COMPUTED_VALUE"""),"")</f>
        <v/>
      </c>
      <c r="O3918" s="14"/>
    </row>
    <row r="3919" ht="22.5" hidden="1" customHeight="1">
      <c r="A3919" s="8">
        <v>46089.3673965162</v>
      </c>
      <c r="B3919" s="14">
        <v>46089.0</v>
      </c>
      <c r="C3919" s="9" t="s">
        <v>58</v>
      </c>
      <c r="D3919" s="9" t="s">
        <v>393</v>
      </c>
      <c r="E3919" s="9" t="s">
        <v>17</v>
      </c>
      <c r="F3919" s="9" t="s">
        <v>60</v>
      </c>
      <c r="G3919" s="9">
        <v>6.0</v>
      </c>
      <c r="H3919" s="9" t="s">
        <v>22</v>
      </c>
      <c r="I3919" s="9" t="s">
        <v>20</v>
      </c>
      <c r="J3919" s="10"/>
      <c r="K3919" s="14" t="s">
        <v>398</v>
      </c>
      <c r="N3919" s="14" t="str">
        <f>IFERROR(__xludf.DUMMYFUNCTION("""COMPUTED_VALUE"""),"")</f>
        <v/>
      </c>
      <c r="O3919" s="14"/>
    </row>
    <row r="3920" ht="22.5" hidden="1" customHeight="1">
      <c r="A3920" s="8">
        <v>46089.36788063658</v>
      </c>
      <c r="B3920" s="14">
        <v>46089.0</v>
      </c>
      <c r="C3920" s="9" t="s">
        <v>58</v>
      </c>
      <c r="D3920" s="9" t="s">
        <v>408</v>
      </c>
      <c r="E3920" s="9" t="s">
        <v>17</v>
      </c>
      <c r="F3920" s="9" t="s">
        <v>17</v>
      </c>
      <c r="G3920" s="9">
        <v>7.0</v>
      </c>
      <c r="H3920" s="9" t="s">
        <v>22</v>
      </c>
      <c r="I3920" s="9" t="s">
        <v>20</v>
      </c>
      <c r="J3920" s="10"/>
      <c r="K3920" s="14" t="s">
        <v>398</v>
      </c>
      <c r="N3920" s="14" t="str">
        <f>IFERROR(__xludf.DUMMYFUNCTION("""COMPUTED_VALUE"""),"")</f>
        <v/>
      </c>
      <c r="O3920" s="14"/>
    </row>
    <row r="3921" ht="22.5" hidden="1" customHeight="1">
      <c r="A3921" s="8">
        <v>46089.36824778935</v>
      </c>
      <c r="B3921" s="14">
        <v>46089.0</v>
      </c>
      <c r="C3921" s="9" t="s">
        <v>58</v>
      </c>
      <c r="D3921" s="9" t="s">
        <v>413</v>
      </c>
      <c r="E3921" s="9" t="s">
        <v>17</v>
      </c>
      <c r="F3921" s="9" t="s">
        <v>17</v>
      </c>
      <c r="G3921" s="9">
        <v>7.0</v>
      </c>
      <c r="H3921" s="9" t="s">
        <v>22</v>
      </c>
      <c r="I3921" s="9" t="s">
        <v>20</v>
      </c>
      <c r="J3921" s="10"/>
      <c r="K3921" s="14" t="s">
        <v>398</v>
      </c>
      <c r="N3921" s="14" t="str">
        <f>IFERROR(__xludf.DUMMYFUNCTION("""COMPUTED_VALUE"""),"")</f>
        <v/>
      </c>
      <c r="O3921" s="14"/>
    </row>
    <row r="3922" ht="22.5" hidden="1" customHeight="1">
      <c r="A3922" s="8">
        <v>46089.368658437495</v>
      </c>
      <c r="B3922" s="14">
        <v>46089.0</v>
      </c>
      <c r="C3922" s="9" t="s">
        <v>58</v>
      </c>
      <c r="D3922" s="9" t="s">
        <v>350</v>
      </c>
      <c r="E3922" s="9" t="s">
        <v>17</v>
      </c>
      <c r="F3922" s="9" t="s">
        <v>17</v>
      </c>
      <c r="G3922" s="9">
        <v>7.0</v>
      </c>
      <c r="H3922" s="9" t="s">
        <v>22</v>
      </c>
      <c r="I3922" s="9" t="s">
        <v>20</v>
      </c>
      <c r="J3922" s="10"/>
      <c r="K3922" s="14" t="s">
        <v>398</v>
      </c>
      <c r="N3922" s="14" t="str">
        <f>IFERROR(__xludf.DUMMYFUNCTION("""COMPUTED_VALUE"""),"")</f>
        <v/>
      </c>
      <c r="O3922" s="14"/>
    </row>
    <row r="3923" ht="22.5" hidden="1" customHeight="1">
      <c r="A3923" s="8">
        <v>46089.36905612268</v>
      </c>
      <c r="B3923" s="14">
        <v>46089.0</v>
      </c>
      <c r="C3923" s="9" t="s">
        <v>58</v>
      </c>
      <c r="D3923" s="9" t="s">
        <v>171</v>
      </c>
      <c r="E3923" s="9" t="s">
        <v>17</v>
      </c>
      <c r="F3923" s="9" t="s">
        <v>17</v>
      </c>
      <c r="G3923" s="9">
        <v>7.0</v>
      </c>
      <c r="H3923" s="9" t="s">
        <v>22</v>
      </c>
      <c r="I3923" s="9" t="s">
        <v>20</v>
      </c>
      <c r="J3923" s="10"/>
      <c r="K3923" s="14" t="s">
        <v>398</v>
      </c>
      <c r="N3923" s="14" t="str">
        <f>IFERROR(__xludf.DUMMYFUNCTION("""COMPUTED_VALUE"""),"")</f>
        <v/>
      </c>
      <c r="O3923" s="14"/>
    </row>
    <row r="3924" ht="22.5" hidden="1" customHeight="1">
      <c r="A3924" s="8">
        <v>46089.3694115625</v>
      </c>
      <c r="B3924" s="14">
        <v>46089.0</v>
      </c>
      <c r="C3924" s="9" t="s">
        <v>58</v>
      </c>
      <c r="D3924" s="9" t="s">
        <v>423</v>
      </c>
      <c r="E3924" s="9" t="s">
        <v>17</v>
      </c>
      <c r="F3924" s="9" t="s">
        <v>17</v>
      </c>
      <c r="G3924" s="9">
        <v>7.0</v>
      </c>
      <c r="H3924" s="9" t="s">
        <v>22</v>
      </c>
      <c r="I3924" s="9" t="s">
        <v>20</v>
      </c>
      <c r="J3924" s="10"/>
      <c r="K3924" s="14" t="s">
        <v>398</v>
      </c>
      <c r="N3924" s="14" t="str">
        <f>IFERROR(__xludf.DUMMYFUNCTION("""COMPUTED_VALUE"""),"")</f>
        <v/>
      </c>
      <c r="O3924" s="14"/>
    </row>
    <row r="3925" ht="22.5" hidden="1" customHeight="1">
      <c r="A3925" s="8">
        <v>46089.36972181713</v>
      </c>
      <c r="B3925" s="14">
        <v>46089.0</v>
      </c>
      <c r="C3925" s="9" t="s">
        <v>58</v>
      </c>
      <c r="D3925" s="9" t="s">
        <v>258</v>
      </c>
      <c r="E3925" s="9" t="s">
        <v>17</v>
      </c>
      <c r="F3925" s="9" t="s">
        <v>17</v>
      </c>
      <c r="G3925" s="9">
        <v>7.0</v>
      </c>
      <c r="H3925" s="9" t="s">
        <v>22</v>
      </c>
      <c r="I3925" s="9" t="s">
        <v>20</v>
      </c>
      <c r="J3925" s="10"/>
      <c r="K3925" s="14" t="s">
        <v>398</v>
      </c>
      <c r="N3925" s="14" t="str">
        <f>IFERROR(__xludf.DUMMYFUNCTION("""COMPUTED_VALUE"""),"")</f>
        <v/>
      </c>
      <c r="O3925" s="14"/>
    </row>
    <row r="3926" ht="22.5" hidden="1" customHeight="1">
      <c r="A3926" s="8">
        <v>46089.370005833334</v>
      </c>
      <c r="B3926" s="14">
        <v>46089.0</v>
      </c>
      <c r="C3926" s="9" t="s">
        <v>58</v>
      </c>
      <c r="D3926" s="9" t="s">
        <v>412</v>
      </c>
      <c r="E3926" s="9" t="s">
        <v>17</v>
      </c>
      <c r="F3926" s="9" t="s">
        <v>17</v>
      </c>
      <c r="G3926" s="9">
        <v>7.0</v>
      </c>
      <c r="H3926" s="9" t="s">
        <v>22</v>
      </c>
      <c r="I3926" s="9" t="s">
        <v>20</v>
      </c>
      <c r="J3926" s="10"/>
      <c r="K3926" s="14" t="s">
        <v>398</v>
      </c>
      <c r="N3926" s="14" t="str">
        <f>IFERROR(__xludf.DUMMYFUNCTION("""COMPUTED_VALUE"""),"")</f>
        <v/>
      </c>
      <c r="O3926" s="14"/>
    </row>
    <row r="3927" ht="22.5" hidden="1" customHeight="1">
      <c r="A3927" s="8">
        <v>46089.3704969213</v>
      </c>
      <c r="B3927" s="14">
        <v>46089.0</v>
      </c>
      <c r="C3927" s="9" t="s">
        <v>58</v>
      </c>
      <c r="D3927" s="9" t="s">
        <v>394</v>
      </c>
      <c r="E3927" s="9" t="s">
        <v>17</v>
      </c>
      <c r="F3927" s="9" t="s">
        <v>17</v>
      </c>
      <c r="G3927" s="9">
        <v>6.0</v>
      </c>
      <c r="H3927" s="9" t="s">
        <v>17</v>
      </c>
      <c r="I3927" s="9" t="s">
        <v>89</v>
      </c>
      <c r="J3927" s="10"/>
      <c r="K3927" s="14" t="s">
        <v>398</v>
      </c>
      <c r="N3927" s="14" t="str">
        <f>IFERROR(__xludf.DUMMYFUNCTION("""COMPUTED_VALUE"""),"")</f>
        <v/>
      </c>
      <c r="O3927" s="14"/>
    </row>
    <row r="3928" ht="22.5" hidden="1" customHeight="1">
      <c r="A3928" s="8">
        <v>46089.371004201384</v>
      </c>
      <c r="B3928" s="14">
        <v>46089.0</v>
      </c>
      <c r="C3928" s="9" t="s">
        <v>58</v>
      </c>
      <c r="D3928" s="9" t="s">
        <v>210</v>
      </c>
      <c r="E3928" s="9" t="s">
        <v>17</v>
      </c>
      <c r="F3928" s="9" t="s">
        <v>17</v>
      </c>
      <c r="G3928" s="9">
        <v>6.0</v>
      </c>
      <c r="H3928" s="9" t="s">
        <v>25</v>
      </c>
      <c r="I3928" s="9" t="s">
        <v>117</v>
      </c>
      <c r="J3928" s="10"/>
      <c r="K3928" s="14" t="s">
        <v>398</v>
      </c>
      <c r="N3928" s="14" t="str">
        <f>IFERROR(__xludf.DUMMYFUNCTION("""COMPUTED_VALUE"""),"")</f>
        <v/>
      </c>
      <c r="O3928" s="14"/>
    </row>
    <row r="3929" ht="22.5" hidden="1" customHeight="1">
      <c r="A3929" s="8">
        <v>46090.62566987269</v>
      </c>
      <c r="B3929" s="14">
        <v>46090.0</v>
      </c>
      <c r="C3929" s="9" t="s">
        <v>86</v>
      </c>
      <c r="D3929" s="9" t="s">
        <v>178</v>
      </c>
      <c r="E3929" s="9" t="s">
        <v>61</v>
      </c>
      <c r="F3929" s="9" t="s">
        <v>17</v>
      </c>
      <c r="G3929" s="9">
        <v>7.0</v>
      </c>
      <c r="H3929" s="9" t="s">
        <v>25</v>
      </c>
      <c r="I3929" s="9" t="s">
        <v>117</v>
      </c>
      <c r="J3929" s="10"/>
      <c r="K3929" s="14" t="s">
        <v>398</v>
      </c>
      <c r="N3929" s="14" t="str">
        <f>IFERROR(__xludf.DUMMYFUNCTION("""COMPUTED_VALUE"""),"")</f>
        <v/>
      </c>
      <c r="O3929" s="14"/>
    </row>
    <row r="3930" ht="22.5" hidden="1" customHeight="1">
      <c r="A3930" s="8">
        <v>46090.626364375</v>
      </c>
      <c r="B3930" s="14">
        <v>46090.0</v>
      </c>
      <c r="C3930" s="9" t="s">
        <v>86</v>
      </c>
      <c r="D3930" s="9" t="s">
        <v>258</v>
      </c>
      <c r="E3930" s="9" t="s">
        <v>17</v>
      </c>
      <c r="F3930" s="9" t="s">
        <v>17</v>
      </c>
      <c r="G3930" s="9">
        <v>7.0</v>
      </c>
      <c r="H3930" s="9" t="s">
        <v>25</v>
      </c>
      <c r="I3930" s="9" t="s">
        <v>240</v>
      </c>
      <c r="J3930" s="10"/>
      <c r="K3930" s="14">
        <v>6.0</v>
      </c>
      <c r="N3930" s="14" t="str">
        <f>IFERROR(__xludf.DUMMYFUNCTION("""COMPUTED_VALUE"""),"")</f>
        <v/>
      </c>
      <c r="O3930" s="14"/>
    </row>
    <row r="3931" ht="22.5" hidden="1" customHeight="1">
      <c r="A3931" s="8">
        <v>46090.626746249996</v>
      </c>
      <c r="B3931" s="14">
        <v>46090.0</v>
      </c>
      <c r="C3931" s="9" t="s">
        <v>86</v>
      </c>
      <c r="D3931" s="9" t="s">
        <v>350</v>
      </c>
      <c r="E3931" s="9" t="s">
        <v>17</v>
      </c>
      <c r="F3931" s="9" t="s">
        <v>35</v>
      </c>
      <c r="G3931" s="9">
        <v>8.0</v>
      </c>
      <c r="H3931" s="9" t="s">
        <v>17</v>
      </c>
      <c r="I3931" s="9" t="s">
        <v>20</v>
      </c>
      <c r="J3931" s="10"/>
      <c r="K3931" s="14" t="s">
        <v>398</v>
      </c>
      <c r="N3931" s="14" t="str">
        <f>IFERROR(__xludf.DUMMYFUNCTION("""COMPUTED_VALUE"""),"")</f>
        <v/>
      </c>
      <c r="O3931" s="14"/>
    </row>
    <row r="3932" ht="22.5" hidden="1" customHeight="1">
      <c r="A3932" s="8">
        <v>46090.63970706018</v>
      </c>
      <c r="B3932" s="14">
        <v>46090.0</v>
      </c>
      <c r="C3932" s="9" t="s">
        <v>86</v>
      </c>
      <c r="D3932" s="9" t="s">
        <v>421</v>
      </c>
      <c r="E3932" s="9" t="s">
        <v>17</v>
      </c>
      <c r="F3932" s="9" t="s">
        <v>17</v>
      </c>
      <c r="G3932" s="9">
        <v>8.0</v>
      </c>
      <c r="H3932" s="9" t="s">
        <v>22</v>
      </c>
      <c r="I3932" s="9" t="s">
        <v>20</v>
      </c>
      <c r="J3932" s="10"/>
      <c r="K3932" s="14" t="s">
        <v>398</v>
      </c>
      <c r="N3932" s="14" t="str">
        <f>IFERROR(__xludf.DUMMYFUNCTION("""COMPUTED_VALUE"""),"")</f>
        <v/>
      </c>
      <c r="O3932" s="14"/>
    </row>
    <row r="3933" ht="22.5" hidden="1" customHeight="1">
      <c r="A3933" s="8">
        <v>46090.66035648149</v>
      </c>
      <c r="B3933" s="14">
        <v>46090.0</v>
      </c>
      <c r="C3933" s="9" t="s">
        <v>86</v>
      </c>
      <c r="D3933" s="9" t="s">
        <v>257</v>
      </c>
      <c r="E3933" s="9" t="s">
        <v>17</v>
      </c>
      <c r="F3933" s="9" t="s">
        <v>35</v>
      </c>
      <c r="G3933" s="9">
        <v>8.0</v>
      </c>
      <c r="H3933" s="9" t="s">
        <v>17</v>
      </c>
      <c r="I3933" s="9" t="s">
        <v>67</v>
      </c>
      <c r="J3933" s="10"/>
      <c r="K3933" s="14" t="s">
        <v>398</v>
      </c>
      <c r="N3933" s="14" t="str">
        <f>IFERROR(__xludf.DUMMYFUNCTION("""COMPUTED_VALUE"""),"")</f>
        <v/>
      </c>
      <c r="O3933" s="14"/>
    </row>
    <row r="3934" ht="22.5" hidden="1" customHeight="1">
      <c r="A3934" s="8">
        <v>46090.66985373842</v>
      </c>
      <c r="B3934" s="14">
        <v>46090.0</v>
      </c>
      <c r="C3934" s="9" t="s">
        <v>86</v>
      </c>
      <c r="D3934" s="9" t="s">
        <v>369</v>
      </c>
      <c r="E3934" s="9" t="s">
        <v>61</v>
      </c>
      <c r="F3934" s="9" t="s">
        <v>17</v>
      </c>
      <c r="G3934" s="9">
        <v>7.0</v>
      </c>
      <c r="H3934" s="9" t="s">
        <v>17</v>
      </c>
      <c r="I3934" s="9" t="s">
        <v>211</v>
      </c>
      <c r="J3934" s="10"/>
      <c r="K3934" s="14" t="s">
        <v>398</v>
      </c>
      <c r="N3934" s="14" t="str">
        <f>IFERROR(__xludf.DUMMYFUNCTION("""COMPUTED_VALUE"""),"")</f>
        <v/>
      </c>
      <c r="O3934" s="14"/>
    </row>
    <row r="3935" ht="22.5" hidden="1" customHeight="1">
      <c r="A3935" s="8">
        <v>46090.67157519676</v>
      </c>
      <c r="B3935" s="14">
        <v>46090.0</v>
      </c>
      <c r="C3935" s="9" t="s">
        <v>86</v>
      </c>
      <c r="D3935" s="9" t="s">
        <v>177</v>
      </c>
      <c r="E3935" s="9" t="s">
        <v>44</v>
      </c>
      <c r="F3935" s="9" t="s">
        <v>35</v>
      </c>
      <c r="G3935" s="9">
        <v>7.0</v>
      </c>
      <c r="H3935" s="9" t="s">
        <v>22</v>
      </c>
      <c r="I3935" s="9" t="s">
        <v>20</v>
      </c>
      <c r="J3935" s="10"/>
      <c r="K3935" s="14" t="s">
        <v>398</v>
      </c>
      <c r="N3935" s="14" t="str">
        <f>IFERROR(__xludf.DUMMYFUNCTION("""COMPUTED_VALUE"""),"")</f>
        <v/>
      </c>
      <c r="O3935" s="14"/>
    </row>
    <row r="3936" ht="22.5" hidden="1" customHeight="1">
      <c r="A3936" s="8">
        <v>46090.67552456018</v>
      </c>
      <c r="B3936" s="14">
        <v>46090.0</v>
      </c>
      <c r="C3936" s="9" t="s">
        <v>86</v>
      </c>
      <c r="D3936" s="9" t="s">
        <v>396</v>
      </c>
      <c r="E3936" s="9" t="s">
        <v>44</v>
      </c>
      <c r="F3936" s="9" t="s">
        <v>35</v>
      </c>
      <c r="G3936" s="9">
        <v>7.0</v>
      </c>
      <c r="H3936" s="9" t="s">
        <v>17</v>
      </c>
      <c r="I3936" s="9" t="s">
        <v>20</v>
      </c>
      <c r="J3936" s="10"/>
      <c r="K3936" s="14" t="s">
        <v>398</v>
      </c>
      <c r="N3936" s="14" t="str">
        <f>IFERROR(__xludf.DUMMYFUNCTION("""COMPUTED_VALUE"""),"")</f>
        <v/>
      </c>
      <c r="O3936" s="14"/>
    </row>
    <row r="3937" ht="22.5" hidden="1" customHeight="1">
      <c r="A3937" s="8">
        <v>46090.677577766204</v>
      </c>
      <c r="B3937" s="14">
        <v>46090.0</v>
      </c>
      <c r="C3937" s="9" t="s">
        <v>86</v>
      </c>
      <c r="D3937" s="9" t="s">
        <v>280</v>
      </c>
      <c r="E3937" s="9" t="s">
        <v>44</v>
      </c>
      <c r="F3937" s="9" t="s">
        <v>35</v>
      </c>
      <c r="G3937" s="9">
        <v>8.0</v>
      </c>
      <c r="H3937" s="9" t="s">
        <v>22</v>
      </c>
      <c r="I3937" s="9" t="s">
        <v>20</v>
      </c>
      <c r="J3937" s="10"/>
      <c r="K3937" s="14" t="s">
        <v>398</v>
      </c>
      <c r="N3937" s="14" t="str">
        <f>IFERROR(__xludf.DUMMYFUNCTION("""COMPUTED_VALUE"""),"")</f>
        <v/>
      </c>
      <c r="O3937" s="14"/>
    </row>
    <row r="3938" ht="22.5" hidden="1" customHeight="1">
      <c r="A3938" s="8">
        <v>46090.67868898148</v>
      </c>
      <c r="B3938" s="14">
        <v>46090.0</v>
      </c>
      <c r="C3938" s="9" t="s">
        <v>86</v>
      </c>
      <c r="D3938" s="9" t="s">
        <v>247</v>
      </c>
      <c r="E3938" s="9" t="s">
        <v>17</v>
      </c>
      <c r="F3938" s="9" t="s">
        <v>17</v>
      </c>
      <c r="G3938" s="9">
        <v>7.0</v>
      </c>
      <c r="H3938" s="9" t="s">
        <v>17</v>
      </c>
      <c r="I3938" s="9" t="s">
        <v>20</v>
      </c>
      <c r="J3938" s="10"/>
      <c r="K3938" s="14" t="s">
        <v>398</v>
      </c>
      <c r="N3938" s="14" t="str">
        <f>IFERROR(__xludf.DUMMYFUNCTION("""COMPUTED_VALUE"""),"")</f>
        <v/>
      </c>
      <c r="O3938" s="14"/>
    </row>
    <row r="3939" ht="22.5" hidden="1" customHeight="1">
      <c r="A3939" s="8">
        <v>46090.67964798611</v>
      </c>
      <c r="B3939" s="14">
        <v>46090.0</v>
      </c>
      <c r="C3939" s="9" t="s">
        <v>86</v>
      </c>
      <c r="D3939" s="9" t="s">
        <v>335</v>
      </c>
      <c r="E3939" s="9" t="s">
        <v>17</v>
      </c>
      <c r="F3939" s="9" t="s">
        <v>17</v>
      </c>
      <c r="G3939" s="9">
        <v>7.0</v>
      </c>
      <c r="H3939" s="9" t="s">
        <v>62</v>
      </c>
      <c r="I3939" s="9" t="s">
        <v>428</v>
      </c>
      <c r="J3939" s="10"/>
      <c r="K3939" s="14" t="s">
        <v>398</v>
      </c>
      <c r="N3939" s="14" t="str">
        <f>IFERROR(__xludf.DUMMYFUNCTION("""COMPUTED_VALUE"""),"")</f>
        <v/>
      </c>
      <c r="O3939" s="14"/>
    </row>
    <row r="3940" ht="22.5" hidden="1" customHeight="1">
      <c r="A3940" s="8">
        <v>46090.683484733796</v>
      </c>
      <c r="B3940" s="14">
        <v>46090.0</v>
      </c>
      <c r="C3940" s="9" t="s">
        <v>86</v>
      </c>
      <c r="D3940" s="9" t="s">
        <v>408</v>
      </c>
      <c r="E3940" s="9" t="s">
        <v>17</v>
      </c>
      <c r="F3940" s="9" t="s">
        <v>17</v>
      </c>
      <c r="G3940" s="9">
        <v>7.0</v>
      </c>
      <c r="H3940" s="9" t="s">
        <v>25</v>
      </c>
      <c r="I3940" s="9" t="s">
        <v>240</v>
      </c>
      <c r="J3940" s="10"/>
      <c r="K3940" s="14">
        <v>4.0</v>
      </c>
      <c r="N3940" s="14" t="str">
        <f>IFERROR(__xludf.DUMMYFUNCTION("""COMPUTED_VALUE"""),"")</f>
        <v/>
      </c>
      <c r="O3940" s="14"/>
    </row>
    <row r="3941" ht="22.5" hidden="1" customHeight="1">
      <c r="A3941" s="8">
        <v>46090.68548351852</v>
      </c>
      <c r="B3941" s="14">
        <v>46090.0</v>
      </c>
      <c r="C3941" s="9" t="s">
        <v>86</v>
      </c>
      <c r="D3941" s="9" t="s">
        <v>171</v>
      </c>
      <c r="E3941" s="9" t="s">
        <v>17</v>
      </c>
      <c r="F3941" s="9" t="s">
        <v>17</v>
      </c>
      <c r="G3941" s="9">
        <v>7.0</v>
      </c>
      <c r="H3941" s="9" t="s">
        <v>17</v>
      </c>
      <c r="I3941" s="9" t="s">
        <v>20</v>
      </c>
      <c r="J3941" s="10"/>
      <c r="K3941" s="14">
        <v>7.0</v>
      </c>
      <c r="N3941" s="14" t="str">
        <f>IFERROR(__xludf.DUMMYFUNCTION("""COMPUTED_VALUE"""),"")</f>
        <v/>
      </c>
      <c r="O3941" s="14"/>
    </row>
    <row r="3942" ht="22.5" hidden="1" customHeight="1">
      <c r="A3942" s="8">
        <v>46093.37321020833</v>
      </c>
      <c r="B3942" s="14">
        <v>46093.0</v>
      </c>
      <c r="C3942" s="9" t="s">
        <v>31</v>
      </c>
      <c r="D3942" s="9" t="s">
        <v>412</v>
      </c>
      <c r="E3942" s="9" t="s">
        <v>17</v>
      </c>
      <c r="F3942" s="9" t="s">
        <v>17</v>
      </c>
      <c r="G3942" s="9">
        <v>8.0</v>
      </c>
      <c r="H3942" s="9" t="s">
        <v>22</v>
      </c>
      <c r="I3942" s="9" t="s">
        <v>20</v>
      </c>
      <c r="J3942" s="10"/>
      <c r="K3942" s="14" t="s">
        <v>398</v>
      </c>
      <c r="N3942" s="14" t="str">
        <f>IFERROR(__xludf.DUMMYFUNCTION("""COMPUTED_VALUE"""),"")</f>
        <v/>
      </c>
      <c r="O3942" s="14"/>
    </row>
    <row r="3943" ht="22.5" hidden="1" customHeight="1">
      <c r="A3943" s="8">
        <v>46093.37366820602</v>
      </c>
      <c r="B3943" s="14">
        <v>46093.0</v>
      </c>
      <c r="C3943" s="9" t="s">
        <v>31</v>
      </c>
      <c r="D3943" s="9" t="s">
        <v>249</v>
      </c>
      <c r="E3943" s="9" t="s">
        <v>17</v>
      </c>
      <c r="F3943" s="9" t="s">
        <v>17</v>
      </c>
      <c r="G3943" s="9">
        <v>8.0</v>
      </c>
      <c r="H3943" s="9" t="s">
        <v>22</v>
      </c>
      <c r="I3943" s="9" t="s">
        <v>20</v>
      </c>
      <c r="J3943" s="10"/>
      <c r="K3943" s="14" t="s">
        <v>398</v>
      </c>
      <c r="N3943" s="14" t="str">
        <f>IFERROR(__xludf.DUMMYFUNCTION("""COMPUTED_VALUE"""),"")</f>
        <v/>
      </c>
      <c r="O3943" s="14"/>
    </row>
    <row r="3944" ht="22.5" hidden="1" customHeight="1">
      <c r="A3944" s="8">
        <v>46093.373914641204</v>
      </c>
      <c r="B3944" s="14">
        <v>46093.0</v>
      </c>
      <c r="C3944" s="9" t="s">
        <v>31</v>
      </c>
      <c r="D3944" s="9" t="s">
        <v>177</v>
      </c>
      <c r="E3944" s="9" t="s">
        <v>17</v>
      </c>
      <c r="F3944" s="9" t="s">
        <v>17</v>
      </c>
      <c r="G3944" s="9">
        <v>8.0</v>
      </c>
      <c r="H3944" s="9" t="s">
        <v>22</v>
      </c>
      <c r="I3944" s="9" t="s">
        <v>20</v>
      </c>
      <c r="J3944" s="10"/>
      <c r="K3944" s="14" t="s">
        <v>398</v>
      </c>
      <c r="N3944" s="14" t="str">
        <f>IFERROR(__xludf.DUMMYFUNCTION("""COMPUTED_VALUE"""),"")</f>
        <v/>
      </c>
      <c r="O3944" s="14"/>
    </row>
    <row r="3945" ht="22.5" hidden="1" customHeight="1">
      <c r="A3945" s="8">
        <v>46093.374236041665</v>
      </c>
      <c r="B3945" s="14">
        <v>46093.0</v>
      </c>
      <c r="C3945" s="9" t="s">
        <v>31</v>
      </c>
      <c r="D3945" s="9" t="s">
        <v>178</v>
      </c>
      <c r="E3945" s="9" t="s">
        <v>17</v>
      </c>
      <c r="F3945" s="9" t="s">
        <v>17</v>
      </c>
      <c r="G3945" s="9">
        <v>8.0</v>
      </c>
      <c r="H3945" s="9" t="s">
        <v>25</v>
      </c>
      <c r="I3945" s="9" t="s">
        <v>93</v>
      </c>
      <c r="J3945" s="10"/>
      <c r="K3945" s="14" t="s">
        <v>398</v>
      </c>
      <c r="N3945" s="14" t="str">
        <f>IFERROR(__xludf.DUMMYFUNCTION("""COMPUTED_VALUE"""),"")</f>
        <v/>
      </c>
      <c r="O3945" s="14"/>
    </row>
    <row r="3946" ht="22.5" hidden="1" customHeight="1">
      <c r="A3946" s="8">
        <v>46093.37447688657</v>
      </c>
      <c r="B3946" s="14">
        <v>46093.0</v>
      </c>
      <c r="C3946" s="9" t="s">
        <v>31</v>
      </c>
      <c r="D3946" s="9" t="s">
        <v>280</v>
      </c>
      <c r="E3946" s="9" t="s">
        <v>17</v>
      </c>
      <c r="F3946" s="9" t="s">
        <v>17</v>
      </c>
      <c r="G3946" s="9">
        <v>8.0</v>
      </c>
      <c r="H3946" s="9" t="s">
        <v>22</v>
      </c>
      <c r="I3946" s="9" t="s">
        <v>20</v>
      </c>
      <c r="J3946" s="10"/>
      <c r="K3946" s="14" t="s">
        <v>398</v>
      </c>
      <c r="N3946" s="14" t="str">
        <f>IFERROR(__xludf.DUMMYFUNCTION("""COMPUTED_VALUE"""),"")</f>
        <v/>
      </c>
      <c r="O3946" s="14"/>
    </row>
    <row r="3947" ht="22.5" hidden="1" customHeight="1">
      <c r="A3947" s="8">
        <v>46093.375137615745</v>
      </c>
      <c r="B3947" s="14">
        <v>46093.0</v>
      </c>
      <c r="C3947" s="9" t="s">
        <v>31</v>
      </c>
      <c r="D3947" s="9" t="s">
        <v>258</v>
      </c>
      <c r="E3947" s="9" t="s">
        <v>17</v>
      </c>
      <c r="F3947" s="9" t="s">
        <v>17</v>
      </c>
      <c r="G3947" s="9">
        <v>8.0</v>
      </c>
      <c r="H3947" s="9" t="s">
        <v>25</v>
      </c>
      <c r="I3947" s="9" t="s">
        <v>240</v>
      </c>
      <c r="J3947" s="10"/>
      <c r="K3947" s="14" t="s">
        <v>398</v>
      </c>
      <c r="N3947" s="14" t="str">
        <f>IFERROR(__xludf.DUMMYFUNCTION("""COMPUTED_VALUE"""),"")</f>
        <v/>
      </c>
      <c r="O3947" s="14"/>
    </row>
    <row r="3948" ht="22.5" hidden="1" customHeight="1">
      <c r="A3948" s="8">
        <v>46093.37547813657</v>
      </c>
      <c r="B3948" s="14">
        <v>46093.0</v>
      </c>
      <c r="C3948" s="9" t="s">
        <v>31</v>
      </c>
      <c r="D3948" s="9" t="s">
        <v>423</v>
      </c>
      <c r="E3948" s="9" t="s">
        <v>17</v>
      </c>
      <c r="F3948" s="9" t="s">
        <v>17</v>
      </c>
      <c r="G3948" s="9">
        <v>6.0</v>
      </c>
      <c r="H3948" s="9" t="s">
        <v>22</v>
      </c>
      <c r="I3948" s="9" t="s">
        <v>20</v>
      </c>
      <c r="J3948" s="10"/>
      <c r="K3948" s="14" t="s">
        <v>398</v>
      </c>
      <c r="N3948" s="14" t="str">
        <f>IFERROR(__xludf.DUMMYFUNCTION("""COMPUTED_VALUE"""),"")</f>
        <v/>
      </c>
      <c r="O3948" s="14"/>
    </row>
    <row r="3949" ht="22.5" hidden="1" customHeight="1">
      <c r="A3949" s="8">
        <v>46093.37573554398</v>
      </c>
      <c r="B3949" s="14">
        <v>46093.0</v>
      </c>
      <c r="C3949" s="9" t="s">
        <v>31</v>
      </c>
      <c r="D3949" s="9" t="s">
        <v>408</v>
      </c>
      <c r="E3949" s="9" t="s">
        <v>17</v>
      </c>
      <c r="F3949" s="9" t="s">
        <v>17</v>
      </c>
      <c r="G3949" s="9">
        <v>8.0</v>
      </c>
      <c r="H3949" s="9" t="s">
        <v>22</v>
      </c>
      <c r="I3949" s="9" t="s">
        <v>20</v>
      </c>
      <c r="J3949" s="10"/>
      <c r="K3949" s="14" t="s">
        <v>398</v>
      </c>
      <c r="N3949" s="14" t="str">
        <f>IFERROR(__xludf.DUMMYFUNCTION("""COMPUTED_VALUE"""),"")</f>
        <v/>
      </c>
      <c r="O3949" s="14"/>
    </row>
    <row r="3950" ht="22.5" hidden="1" customHeight="1">
      <c r="A3950" s="8">
        <v>46093.37600587963</v>
      </c>
      <c r="B3950" s="14">
        <v>46093.0</v>
      </c>
      <c r="C3950" s="9" t="s">
        <v>31</v>
      </c>
      <c r="D3950" s="9" t="s">
        <v>395</v>
      </c>
      <c r="E3950" s="9" t="s">
        <v>17</v>
      </c>
      <c r="F3950" s="9" t="s">
        <v>17</v>
      </c>
      <c r="G3950" s="9">
        <v>7.0</v>
      </c>
      <c r="H3950" s="9" t="s">
        <v>22</v>
      </c>
      <c r="I3950" s="9" t="s">
        <v>20</v>
      </c>
      <c r="J3950" s="10"/>
      <c r="K3950" s="14" t="s">
        <v>398</v>
      </c>
      <c r="N3950" s="14" t="str">
        <f>IFERROR(__xludf.DUMMYFUNCTION("""COMPUTED_VALUE"""),"")</f>
        <v/>
      </c>
      <c r="O3950" s="14"/>
    </row>
    <row r="3951" ht="22.5" hidden="1" customHeight="1">
      <c r="A3951" s="8">
        <v>46093.37649811343</v>
      </c>
      <c r="B3951" s="14">
        <v>46093.0</v>
      </c>
      <c r="C3951" s="9" t="s">
        <v>31</v>
      </c>
      <c r="D3951" s="9" t="s">
        <v>105</v>
      </c>
      <c r="E3951" s="9" t="s">
        <v>17</v>
      </c>
      <c r="F3951" s="9" t="s">
        <v>17</v>
      </c>
      <c r="G3951" s="9">
        <v>8.0</v>
      </c>
      <c r="H3951" s="9" t="s">
        <v>22</v>
      </c>
      <c r="I3951" s="9" t="s">
        <v>20</v>
      </c>
      <c r="J3951" s="10"/>
      <c r="K3951" s="14" t="s">
        <v>398</v>
      </c>
      <c r="N3951" s="14" t="str">
        <f>IFERROR(__xludf.DUMMYFUNCTION("""COMPUTED_VALUE"""),"")</f>
        <v/>
      </c>
      <c r="O3951" s="14"/>
    </row>
    <row r="3952" ht="22.5" hidden="1" customHeight="1">
      <c r="A3952" s="8">
        <v>46093.39472453704</v>
      </c>
      <c r="B3952" s="14">
        <v>46093.0</v>
      </c>
      <c r="C3952" s="9" t="s">
        <v>31</v>
      </c>
      <c r="D3952" s="9" t="s">
        <v>396</v>
      </c>
      <c r="E3952" s="9" t="s">
        <v>17</v>
      </c>
      <c r="F3952" s="9" t="s">
        <v>17</v>
      </c>
      <c r="G3952" s="9">
        <v>8.0</v>
      </c>
      <c r="H3952" s="9" t="s">
        <v>22</v>
      </c>
      <c r="I3952" s="9" t="s">
        <v>20</v>
      </c>
      <c r="J3952" s="10"/>
      <c r="K3952" s="14" t="s">
        <v>398</v>
      </c>
      <c r="N3952" s="14" t="str">
        <f>IFERROR(__xludf.DUMMYFUNCTION("""COMPUTED_VALUE"""),"")</f>
        <v/>
      </c>
      <c r="O3952" s="14"/>
    </row>
    <row r="3953" ht="22.5" hidden="1" customHeight="1">
      <c r="A3953" s="8">
        <v>46093.395244942134</v>
      </c>
      <c r="B3953" s="14">
        <v>46093.0</v>
      </c>
      <c r="C3953" s="9" t="s">
        <v>31</v>
      </c>
      <c r="D3953" s="9" t="s">
        <v>171</v>
      </c>
      <c r="E3953" s="9" t="s">
        <v>17</v>
      </c>
      <c r="F3953" s="9" t="s">
        <v>17</v>
      </c>
      <c r="G3953" s="9">
        <v>8.0</v>
      </c>
      <c r="H3953" s="9" t="s">
        <v>25</v>
      </c>
      <c r="I3953" s="9" t="s">
        <v>28</v>
      </c>
      <c r="J3953" s="10"/>
      <c r="K3953" s="14" t="s">
        <v>398</v>
      </c>
      <c r="N3953" s="14" t="str">
        <f>IFERROR(__xludf.DUMMYFUNCTION("""COMPUTED_VALUE"""),"")</f>
        <v/>
      </c>
      <c r="O3953" s="14"/>
    </row>
    <row r="3954" ht="22.5" hidden="1" customHeight="1">
      <c r="A3954" s="8">
        <v>46093.395504479166</v>
      </c>
      <c r="B3954" s="14">
        <v>46093.0</v>
      </c>
      <c r="C3954" s="9" t="s">
        <v>31</v>
      </c>
      <c r="D3954" s="9" t="s">
        <v>174</v>
      </c>
      <c r="E3954" s="9" t="s">
        <v>17</v>
      </c>
      <c r="F3954" s="9" t="s">
        <v>17</v>
      </c>
      <c r="G3954" s="9">
        <v>8.0</v>
      </c>
      <c r="H3954" s="9" t="s">
        <v>22</v>
      </c>
      <c r="I3954" s="9" t="s">
        <v>20</v>
      </c>
      <c r="J3954" s="10"/>
      <c r="K3954" s="14" t="s">
        <v>398</v>
      </c>
      <c r="N3954" s="14" t="str">
        <f>IFERROR(__xludf.DUMMYFUNCTION("""COMPUTED_VALUE"""),"")</f>
        <v/>
      </c>
      <c r="O3954" s="14"/>
    </row>
    <row r="3955" ht="22.5" hidden="1" customHeight="1">
      <c r="A3955" s="8">
        <v>46093.39595818287</v>
      </c>
      <c r="B3955" s="14">
        <v>46093.0</v>
      </c>
      <c r="C3955" s="9" t="s">
        <v>31</v>
      </c>
      <c r="D3955" s="9" t="s">
        <v>257</v>
      </c>
      <c r="E3955" s="9" t="s">
        <v>17</v>
      </c>
      <c r="F3955" s="9" t="s">
        <v>17</v>
      </c>
      <c r="G3955" s="9" t="s">
        <v>409</v>
      </c>
      <c r="H3955" s="9" t="s">
        <v>22</v>
      </c>
      <c r="I3955" s="9" t="s">
        <v>20</v>
      </c>
      <c r="J3955" s="10"/>
      <c r="K3955" s="14" t="s">
        <v>398</v>
      </c>
      <c r="N3955" s="14" t="str">
        <f>IFERROR(__xludf.DUMMYFUNCTION("""COMPUTED_VALUE"""),"")</f>
        <v/>
      </c>
      <c r="O3955" s="14"/>
    </row>
    <row r="3956" ht="22.5" hidden="1" customHeight="1">
      <c r="A3956" s="8">
        <v>46093.39625131944</v>
      </c>
      <c r="B3956" s="14">
        <v>46093.0</v>
      </c>
      <c r="C3956" s="9" t="s">
        <v>31</v>
      </c>
      <c r="D3956" s="9" t="s">
        <v>247</v>
      </c>
      <c r="E3956" s="9" t="s">
        <v>17</v>
      </c>
      <c r="F3956" s="9" t="s">
        <v>17</v>
      </c>
      <c r="G3956" s="9">
        <v>8.0</v>
      </c>
      <c r="H3956" s="9" t="s">
        <v>22</v>
      </c>
      <c r="I3956" s="9" t="s">
        <v>20</v>
      </c>
      <c r="J3956" s="10"/>
      <c r="K3956" s="14" t="s">
        <v>398</v>
      </c>
      <c r="N3956" s="14" t="str">
        <f>IFERROR(__xludf.DUMMYFUNCTION("""COMPUTED_VALUE"""),"")</f>
        <v/>
      </c>
      <c r="O3956" s="14"/>
    </row>
    <row r="3957" ht="22.5" hidden="1" customHeight="1">
      <c r="A3957" s="8">
        <v>46093.39665061343</v>
      </c>
      <c r="B3957" s="14">
        <v>46093.0</v>
      </c>
      <c r="C3957" s="9" t="s">
        <v>31</v>
      </c>
      <c r="D3957" s="9" t="s">
        <v>350</v>
      </c>
      <c r="E3957" s="9" t="s">
        <v>17</v>
      </c>
      <c r="F3957" s="9" t="s">
        <v>17</v>
      </c>
      <c r="G3957" s="9">
        <v>6.0</v>
      </c>
      <c r="H3957" s="9" t="s">
        <v>22</v>
      </c>
      <c r="I3957" s="9" t="s">
        <v>20</v>
      </c>
      <c r="J3957" s="10"/>
      <c r="K3957" s="14" t="s">
        <v>398</v>
      </c>
      <c r="N3957" s="14" t="str">
        <f>IFERROR(__xludf.DUMMYFUNCTION("""COMPUTED_VALUE"""),"")</f>
        <v/>
      </c>
      <c r="O3957" s="14"/>
    </row>
    <row r="3958" ht="22.5" hidden="1" customHeight="1">
      <c r="A3958" s="8">
        <v>46093.39703511574</v>
      </c>
      <c r="B3958" s="14">
        <v>46093.0</v>
      </c>
      <c r="C3958" s="9" t="s">
        <v>31</v>
      </c>
      <c r="D3958" s="9" t="s">
        <v>357</v>
      </c>
      <c r="E3958" s="9" t="s">
        <v>17</v>
      </c>
      <c r="F3958" s="9" t="s">
        <v>17</v>
      </c>
      <c r="G3958" s="9">
        <v>8.0</v>
      </c>
      <c r="H3958" s="9" t="s">
        <v>25</v>
      </c>
      <c r="I3958" s="9" t="s">
        <v>240</v>
      </c>
      <c r="J3958" s="10"/>
      <c r="K3958" s="14" t="s">
        <v>398</v>
      </c>
      <c r="N3958" s="14" t="str">
        <f>IFERROR(__xludf.DUMMYFUNCTION("""COMPUTED_VALUE"""),"")</f>
        <v/>
      </c>
      <c r="O3958" s="14"/>
    </row>
    <row r="3959" ht="22.5" hidden="1" customHeight="1">
      <c r="A3959" s="8">
        <v>46093.39729488426</v>
      </c>
      <c r="B3959" s="14">
        <v>46093.0</v>
      </c>
      <c r="C3959" s="9" t="s">
        <v>31</v>
      </c>
      <c r="D3959" s="9" t="s">
        <v>393</v>
      </c>
      <c r="E3959" s="9" t="s">
        <v>17</v>
      </c>
      <c r="F3959" s="9" t="s">
        <v>17</v>
      </c>
      <c r="G3959" s="9">
        <v>6.0</v>
      </c>
      <c r="H3959" s="9" t="s">
        <v>22</v>
      </c>
      <c r="I3959" s="9" t="s">
        <v>20</v>
      </c>
      <c r="J3959" s="10"/>
      <c r="K3959" s="14" t="s">
        <v>398</v>
      </c>
      <c r="N3959" s="14" t="str">
        <f>IFERROR(__xludf.DUMMYFUNCTION("""COMPUTED_VALUE"""),"")</f>
        <v/>
      </c>
      <c r="O3959" s="14"/>
    </row>
    <row r="3960" ht="22.5" hidden="1" customHeight="1">
      <c r="A3960" s="8">
        <v>46093.39754627315</v>
      </c>
      <c r="B3960" s="14">
        <v>46093.0</v>
      </c>
      <c r="C3960" s="9" t="s">
        <v>31</v>
      </c>
      <c r="D3960" s="9" t="s">
        <v>413</v>
      </c>
      <c r="E3960" s="9" t="s">
        <v>17</v>
      </c>
      <c r="F3960" s="9" t="s">
        <v>17</v>
      </c>
      <c r="G3960" s="9">
        <v>8.0</v>
      </c>
      <c r="H3960" s="9" t="s">
        <v>22</v>
      </c>
      <c r="I3960" s="9" t="s">
        <v>20</v>
      </c>
      <c r="J3960" s="10"/>
      <c r="K3960" s="14" t="s">
        <v>398</v>
      </c>
      <c r="N3960" s="14" t="str">
        <f>IFERROR(__xludf.DUMMYFUNCTION("""COMPUTED_VALUE"""),"")</f>
        <v/>
      </c>
      <c r="O3960" s="14"/>
    </row>
    <row r="3961" ht="22.5" hidden="1" customHeight="1">
      <c r="A3961" s="8">
        <v>46093.397875208335</v>
      </c>
      <c r="B3961" s="14">
        <v>46093.0</v>
      </c>
      <c r="C3961" s="9" t="s">
        <v>31</v>
      </c>
      <c r="D3961" s="9" t="s">
        <v>421</v>
      </c>
      <c r="E3961" s="9" t="s">
        <v>17</v>
      </c>
      <c r="F3961" s="9" t="s">
        <v>17</v>
      </c>
      <c r="G3961" s="9">
        <v>8.0</v>
      </c>
      <c r="H3961" s="9" t="s">
        <v>22</v>
      </c>
      <c r="I3961" s="9" t="s">
        <v>20</v>
      </c>
      <c r="J3961" s="10"/>
      <c r="K3961" s="14" t="s">
        <v>398</v>
      </c>
      <c r="N3961" s="14" t="str">
        <f>IFERROR(__xludf.DUMMYFUNCTION("""COMPUTED_VALUE"""),"")</f>
        <v/>
      </c>
      <c r="O3961" s="14"/>
    </row>
    <row r="3962" ht="22.5" hidden="1" customHeight="1">
      <c r="A3962" s="8">
        <v>46093.40256289352</v>
      </c>
      <c r="B3962" s="14">
        <v>46093.0</v>
      </c>
      <c r="C3962" s="9" t="s">
        <v>31</v>
      </c>
      <c r="D3962" s="9" t="s">
        <v>175</v>
      </c>
      <c r="E3962" s="9" t="s">
        <v>17</v>
      </c>
      <c r="F3962" s="9" t="s">
        <v>17</v>
      </c>
      <c r="G3962" s="9">
        <v>8.0</v>
      </c>
      <c r="H3962" s="9" t="s">
        <v>25</v>
      </c>
      <c r="I3962" s="9" t="s">
        <v>207</v>
      </c>
      <c r="J3962" s="10"/>
      <c r="K3962" s="14" t="s">
        <v>398</v>
      </c>
      <c r="N3962" s="14" t="str">
        <f>IFERROR(__xludf.DUMMYFUNCTION("""COMPUTED_VALUE"""),"")</f>
        <v/>
      </c>
      <c r="O3962" s="14"/>
    </row>
    <row r="3963" ht="22.5" hidden="1" customHeight="1">
      <c r="A3963" s="8">
        <v>46093.40281035879</v>
      </c>
      <c r="B3963" s="14">
        <v>46093.0</v>
      </c>
      <c r="C3963" s="9" t="s">
        <v>31</v>
      </c>
      <c r="D3963" s="9" t="s">
        <v>259</v>
      </c>
      <c r="E3963" s="9" t="s">
        <v>17</v>
      </c>
      <c r="F3963" s="9" t="s">
        <v>17</v>
      </c>
      <c r="G3963" s="9">
        <v>8.0</v>
      </c>
      <c r="H3963" s="9" t="s">
        <v>22</v>
      </c>
      <c r="I3963" s="9" t="s">
        <v>20</v>
      </c>
      <c r="J3963" s="10"/>
      <c r="K3963" s="14" t="s">
        <v>398</v>
      </c>
      <c r="N3963" s="14" t="str">
        <f>IFERROR(__xludf.DUMMYFUNCTION("""COMPUTED_VALUE"""),"")</f>
        <v/>
      </c>
      <c r="O3963" s="14"/>
    </row>
    <row r="3964" ht="22.5" hidden="1" customHeight="1">
      <c r="A3964" s="8">
        <v>46093.403380601856</v>
      </c>
      <c r="B3964" s="14">
        <v>46093.0</v>
      </c>
      <c r="C3964" s="9" t="s">
        <v>31</v>
      </c>
      <c r="D3964" s="9" t="s">
        <v>335</v>
      </c>
      <c r="E3964" s="9" t="s">
        <v>17</v>
      </c>
      <c r="F3964" s="9" t="s">
        <v>17</v>
      </c>
      <c r="G3964" s="9">
        <v>8.0</v>
      </c>
      <c r="H3964" s="9" t="s">
        <v>25</v>
      </c>
      <c r="I3964" s="9" t="s">
        <v>411</v>
      </c>
      <c r="J3964" s="10"/>
      <c r="K3964" s="14" t="s">
        <v>398</v>
      </c>
      <c r="N3964" s="14" t="str">
        <f>IFERROR(__xludf.DUMMYFUNCTION("""COMPUTED_VALUE"""),"")</f>
        <v/>
      </c>
      <c r="O3964" s="14"/>
    </row>
    <row r="3965" ht="22.5" hidden="1" customHeight="1">
      <c r="A3965" s="8">
        <v>46093.403632824076</v>
      </c>
      <c r="B3965" s="14">
        <v>46093.0</v>
      </c>
      <c r="C3965" s="9" t="s">
        <v>31</v>
      </c>
      <c r="D3965" s="9" t="s">
        <v>210</v>
      </c>
      <c r="E3965" s="9" t="s">
        <v>17</v>
      </c>
      <c r="F3965" s="9" t="s">
        <v>17</v>
      </c>
      <c r="G3965" s="9">
        <v>8.0</v>
      </c>
      <c r="H3965" s="9" t="s">
        <v>22</v>
      </c>
      <c r="I3965" s="9" t="s">
        <v>20</v>
      </c>
      <c r="J3965" s="10"/>
      <c r="K3965" s="14" t="s">
        <v>398</v>
      </c>
      <c r="N3965" s="14" t="str">
        <f>IFERROR(__xludf.DUMMYFUNCTION("""COMPUTED_VALUE"""),"")</f>
        <v/>
      </c>
      <c r="O3965" s="14"/>
    </row>
    <row r="3966" ht="22.5" hidden="1" customHeight="1">
      <c r="A3966" s="8">
        <v>46093.40400369213</v>
      </c>
      <c r="B3966" s="14">
        <v>46093.0</v>
      </c>
      <c r="C3966" s="9" t="s">
        <v>31</v>
      </c>
      <c r="D3966" s="9" t="s">
        <v>369</v>
      </c>
      <c r="E3966" s="9" t="s">
        <v>17</v>
      </c>
      <c r="F3966" s="9" t="s">
        <v>17</v>
      </c>
      <c r="G3966" s="9">
        <v>8.0</v>
      </c>
      <c r="H3966" s="9" t="s">
        <v>25</v>
      </c>
      <c r="I3966" s="9" t="s">
        <v>41</v>
      </c>
      <c r="J3966" s="10"/>
      <c r="K3966" s="14" t="s">
        <v>398</v>
      </c>
      <c r="N3966" s="14" t="str">
        <f>IFERROR(__xludf.DUMMYFUNCTION("""COMPUTED_VALUE"""),"")</f>
        <v/>
      </c>
      <c r="O3966" s="14"/>
    </row>
    <row r="3967" ht="22.5" hidden="1" customHeight="1">
      <c r="A3967" s="8">
        <v>46093.40421538195</v>
      </c>
      <c r="B3967" s="14">
        <v>46093.0</v>
      </c>
      <c r="C3967" s="9" t="s">
        <v>31</v>
      </c>
      <c r="D3967" s="9" t="s">
        <v>414</v>
      </c>
      <c r="E3967" s="9" t="s">
        <v>17</v>
      </c>
      <c r="F3967" s="9" t="s">
        <v>17</v>
      </c>
      <c r="G3967" s="9">
        <v>8.0</v>
      </c>
      <c r="H3967" s="9" t="s">
        <v>22</v>
      </c>
      <c r="I3967" s="9" t="s">
        <v>20</v>
      </c>
      <c r="J3967" s="10"/>
      <c r="K3967" s="14" t="s">
        <v>398</v>
      </c>
      <c r="N3967" s="14" t="str">
        <f>IFERROR(__xludf.DUMMYFUNCTION("""COMPUTED_VALUE"""),"")</f>
        <v/>
      </c>
      <c r="O3967" s="14"/>
    </row>
    <row r="3968" ht="22.5" hidden="1" customHeight="1">
      <c r="A3968" s="8">
        <v>46094.36922806713</v>
      </c>
      <c r="B3968" s="14">
        <v>46094.0</v>
      </c>
      <c r="C3968" s="9" t="s">
        <v>48</v>
      </c>
      <c r="D3968" s="9" t="s">
        <v>257</v>
      </c>
      <c r="E3968" s="9" t="s">
        <v>17</v>
      </c>
      <c r="F3968" s="9" t="s">
        <v>17</v>
      </c>
      <c r="G3968" s="9">
        <v>8.0</v>
      </c>
      <c r="H3968" s="9" t="s">
        <v>22</v>
      </c>
      <c r="I3968" s="9" t="s">
        <v>20</v>
      </c>
      <c r="J3968" s="10"/>
      <c r="K3968" s="14" t="s">
        <v>398</v>
      </c>
      <c r="N3968" s="14" t="str">
        <f>IFERROR(__xludf.DUMMYFUNCTION("""COMPUTED_VALUE"""),"")</f>
        <v/>
      </c>
      <c r="O3968" s="14"/>
    </row>
    <row r="3969" ht="22.5" hidden="1" customHeight="1">
      <c r="A3969" s="8">
        <v>46094.36957163195</v>
      </c>
      <c r="B3969" s="14">
        <v>46094.0</v>
      </c>
      <c r="C3969" s="9" t="s">
        <v>48</v>
      </c>
      <c r="D3969" s="9" t="s">
        <v>249</v>
      </c>
      <c r="E3969" s="9" t="s">
        <v>17</v>
      </c>
      <c r="F3969" s="9" t="s">
        <v>17</v>
      </c>
      <c r="G3969" s="9">
        <v>7.0</v>
      </c>
      <c r="H3969" s="9" t="s">
        <v>22</v>
      </c>
      <c r="I3969" s="9" t="s">
        <v>20</v>
      </c>
      <c r="J3969" s="10"/>
      <c r="K3969" s="14">
        <v>7.0</v>
      </c>
      <c r="N3969" s="14" t="str">
        <f>IFERROR(__xludf.DUMMYFUNCTION("""COMPUTED_VALUE"""),"")</f>
        <v/>
      </c>
      <c r="O3969" s="14"/>
    </row>
    <row r="3970" ht="22.5" hidden="1" customHeight="1">
      <c r="A3970" s="8">
        <v>46094.37055043981</v>
      </c>
      <c r="B3970" s="14">
        <v>46094.0</v>
      </c>
      <c r="C3970" s="9" t="s">
        <v>48</v>
      </c>
      <c r="D3970" s="9" t="s">
        <v>395</v>
      </c>
      <c r="E3970" s="9" t="s">
        <v>17</v>
      </c>
      <c r="F3970" s="9" t="s">
        <v>17</v>
      </c>
      <c r="G3970" s="9">
        <v>7.0</v>
      </c>
      <c r="H3970" s="9" t="s">
        <v>22</v>
      </c>
      <c r="I3970" s="9" t="s">
        <v>20</v>
      </c>
      <c r="J3970" s="10"/>
      <c r="K3970" s="14">
        <v>5.0</v>
      </c>
      <c r="N3970" s="14" t="str">
        <f>IFERROR(__xludf.DUMMYFUNCTION("""COMPUTED_VALUE"""),"")</f>
        <v/>
      </c>
      <c r="O3970" s="14"/>
    </row>
    <row r="3971" ht="22.5" hidden="1" customHeight="1">
      <c r="A3971" s="8">
        <v>46094.37096130787</v>
      </c>
      <c r="B3971" s="14">
        <v>46094.0</v>
      </c>
      <c r="C3971" s="9" t="s">
        <v>48</v>
      </c>
      <c r="D3971" s="9" t="s">
        <v>357</v>
      </c>
      <c r="E3971" s="9" t="s">
        <v>17</v>
      </c>
      <c r="F3971" s="9" t="s">
        <v>17</v>
      </c>
      <c r="G3971" s="9">
        <v>8.0</v>
      </c>
      <c r="H3971" s="9" t="s">
        <v>22</v>
      </c>
      <c r="I3971" s="9" t="s">
        <v>20</v>
      </c>
      <c r="J3971" s="10"/>
      <c r="K3971" s="14" t="s">
        <v>398</v>
      </c>
      <c r="N3971" s="14" t="str">
        <f>IFERROR(__xludf.DUMMYFUNCTION("""COMPUTED_VALUE"""),"")</f>
        <v/>
      </c>
      <c r="O3971" s="14"/>
    </row>
    <row r="3972" ht="22.5" hidden="1" customHeight="1">
      <c r="A3972" s="8">
        <v>46094.371442627315</v>
      </c>
      <c r="B3972" s="14">
        <v>46094.0</v>
      </c>
      <c r="C3972" s="9" t="s">
        <v>48</v>
      </c>
      <c r="D3972" s="9" t="s">
        <v>393</v>
      </c>
      <c r="E3972" s="9" t="s">
        <v>17</v>
      </c>
      <c r="F3972" s="9" t="s">
        <v>17</v>
      </c>
      <c r="G3972" s="9">
        <v>7.0</v>
      </c>
      <c r="H3972" s="9" t="s">
        <v>22</v>
      </c>
      <c r="I3972" s="9" t="s">
        <v>20</v>
      </c>
      <c r="J3972" s="10"/>
      <c r="K3972" s="14">
        <v>4.0</v>
      </c>
      <c r="N3972" s="14" t="str">
        <f>IFERROR(__xludf.DUMMYFUNCTION("""COMPUTED_VALUE"""),"")</f>
        <v/>
      </c>
      <c r="O3972" s="14"/>
    </row>
    <row r="3973" ht="22.5" hidden="1" customHeight="1">
      <c r="A3973" s="8">
        <v>46094.38499709491</v>
      </c>
      <c r="B3973" s="14">
        <v>46094.0</v>
      </c>
      <c r="C3973" s="9" t="s">
        <v>48</v>
      </c>
      <c r="D3973" s="9" t="s">
        <v>177</v>
      </c>
      <c r="E3973" s="9" t="s">
        <v>17</v>
      </c>
      <c r="F3973" s="9" t="s">
        <v>17</v>
      </c>
      <c r="G3973" s="9">
        <v>8.0</v>
      </c>
      <c r="H3973" s="9" t="s">
        <v>22</v>
      </c>
      <c r="I3973" s="9" t="s">
        <v>20</v>
      </c>
      <c r="J3973" s="10"/>
      <c r="K3973" s="14" t="s">
        <v>398</v>
      </c>
      <c r="N3973" s="14" t="str">
        <f>IFERROR(__xludf.DUMMYFUNCTION("""COMPUTED_VALUE"""),"")</f>
        <v/>
      </c>
      <c r="O3973" s="14"/>
    </row>
    <row r="3974" ht="22.5" hidden="1" customHeight="1">
      <c r="A3974" s="8">
        <v>46094.38531824074</v>
      </c>
      <c r="B3974" s="14">
        <v>46094.0</v>
      </c>
      <c r="C3974" s="9" t="s">
        <v>48</v>
      </c>
      <c r="D3974" s="9" t="s">
        <v>258</v>
      </c>
      <c r="E3974" s="9" t="s">
        <v>17</v>
      </c>
      <c r="F3974" s="9" t="s">
        <v>17</v>
      </c>
      <c r="G3974" s="9">
        <v>8.0</v>
      </c>
      <c r="H3974" s="9" t="s">
        <v>22</v>
      </c>
      <c r="I3974" s="9" t="s">
        <v>20</v>
      </c>
      <c r="J3974" s="10"/>
      <c r="K3974" s="14">
        <v>7.0</v>
      </c>
      <c r="N3974" s="14" t="str">
        <f>IFERROR(__xludf.DUMMYFUNCTION("""COMPUTED_VALUE"""),"")</f>
        <v/>
      </c>
      <c r="O3974" s="14"/>
    </row>
    <row r="3975" ht="22.5" hidden="1" customHeight="1">
      <c r="A3975" s="8">
        <v>46094.38564743055</v>
      </c>
      <c r="B3975" s="14">
        <v>46094.0</v>
      </c>
      <c r="C3975" s="9" t="s">
        <v>48</v>
      </c>
      <c r="D3975" s="9" t="s">
        <v>247</v>
      </c>
      <c r="E3975" s="9" t="s">
        <v>17</v>
      </c>
      <c r="F3975" s="9" t="s">
        <v>17</v>
      </c>
      <c r="G3975" s="9">
        <v>8.0</v>
      </c>
      <c r="H3975" s="9" t="s">
        <v>22</v>
      </c>
      <c r="I3975" s="9" t="s">
        <v>20</v>
      </c>
      <c r="J3975" s="10"/>
      <c r="K3975" s="14" t="s">
        <v>398</v>
      </c>
      <c r="N3975" s="14" t="str">
        <f>IFERROR(__xludf.DUMMYFUNCTION("""COMPUTED_VALUE"""),"")</f>
        <v/>
      </c>
      <c r="O3975" s="14"/>
    </row>
    <row r="3976" ht="22.5" hidden="1" customHeight="1">
      <c r="A3976" s="8">
        <v>46094.385957280094</v>
      </c>
      <c r="B3976" s="14">
        <v>46094.0</v>
      </c>
      <c r="C3976" s="9" t="s">
        <v>48</v>
      </c>
      <c r="D3976" s="9" t="s">
        <v>174</v>
      </c>
      <c r="E3976" s="9" t="s">
        <v>17</v>
      </c>
      <c r="F3976" s="9" t="s">
        <v>17</v>
      </c>
      <c r="G3976" s="9">
        <v>8.0</v>
      </c>
      <c r="H3976" s="9" t="s">
        <v>22</v>
      </c>
      <c r="I3976" s="9" t="s">
        <v>20</v>
      </c>
      <c r="J3976" s="10"/>
      <c r="K3976" s="14">
        <v>7.0</v>
      </c>
      <c r="N3976" s="14" t="str">
        <f>IFERROR(__xludf.DUMMYFUNCTION("""COMPUTED_VALUE"""),"")</f>
        <v/>
      </c>
      <c r="O3976" s="14"/>
    </row>
    <row r="3977" ht="22.5" hidden="1" customHeight="1">
      <c r="A3977" s="8">
        <v>46094.38626652778</v>
      </c>
      <c r="B3977" s="14">
        <v>46094.0</v>
      </c>
      <c r="C3977" s="9" t="s">
        <v>48</v>
      </c>
      <c r="D3977" s="9" t="s">
        <v>105</v>
      </c>
      <c r="E3977" s="9" t="s">
        <v>17</v>
      </c>
      <c r="F3977" s="9" t="s">
        <v>17</v>
      </c>
      <c r="G3977" s="9">
        <v>8.0</v>
      </c>
      <c r="H3977" s="9" t="s">
        <v>22</v>
      </c>
      <c r="I3977" s="9" t="s">
        <v>20</v>
      </c>
      <c r="J3977" s="10"/>
      <c r="K3977" s="14">
        <v>2.0</v>
      </c>
      <c r="N3977" s="14" t="str">
        <f>IFERROR(__xludf.DUMMYFUNCTION("""COMPUTED_VALUE"""),"")</f>
        <v/>
      </c>
      <c r="O3977" s="14"/>
    </row>
    <row r="3978" ht="22.5" hidden="1" customHeight="1">
      <c r="A3978" s="8">
        <v>46094.3883759375</v>
      </c>
      <c r="B3978" s="14">
        <v>46094.0</v>
      </c>
      <c r="C3978" s="9" t="s">
        <v>48</v>
      </c>
      <c r="D3978" s="9" t="s">
        <v>171</v>
      </c>
      <c r="E3978" s="9" t="s">
        <v>17</v>
      </c>
      <c r="F3978" s="9" t="s">
        <v>17</v>
      </c>
      <c r="G3978" s="9">
        <v>7.0</v>
      </c>
      <c r="H3978" s="9" t="s">
        <v>25</v>
      </c>
      <c r="I3978" s="9" t="s">
        <v>67</v>
      </c>
      <c r="J3978" s="10"/>
      <c r="K3978" s="14" t="s">
        <v>398</v>
      </c>
      <c r="N3978" s="14" t="str">
        <f>IFERROR(__xludf.DUMMYFUNCTION("""COMPUTED_VALUE"""),"")</f>
        <v/>
      </c>
      <c r="O3978" s="14"/>
    </row>
    <row r="3979" ht="22.5" hidden="1" customHeight="1">
      <c r="A3979" s="8">
        <v>46094.39573359954</v>
      </c>
      <c r="B3979" s="14">
        <v>46094.0</v>
      </c>
      <c r="C3979" s="9" t="s">
        <v>48</v>
      </c>
      <c r="D3979" s="9" t="s">
        <v>396</v>
      </c>
      <c r="E3979" s="9" t="s">
        <v>17</v>
      </c>
      <c r="F3979" s="9" t="s">
        <v>17</v>
      </c>
      <c r="G3979" s="9">
        <v>8.0</v>
      </c>
      <c r="H3979" s="9" t="s">
        <v>22</v>
      </c>
      <c r="I3979" s="9" t="s">
        <v>20</v>
      </c>
      <c r="J3979" s="10"/>
      <c r="K3979" s="14" t="s">
        <v>398</v>
      </c>
      <c r="N3979" s="14" t="str">
        <f>IFERROR(__xludf.DUMMYFUNCTION("""COMPUTED_VALUE"""),"")</f>
        <v/>
      </c>
      <c r="O3979" s="14"/>
    </row>
    <row r="3980" ht="22.5" hidden="1" customHeight="1">
      <c r="A3980" s="8">
        <v>46094.39603421296</v>
      </c>
      <c r="B3980" s="14">
        <v>46094.0</v>
      </c>
      <c r="C3980" s="9" t="s">
        <v>48</v>
      </c>
      <c r="D3980" s="9" t="s">
        <v>175</v>
      </c>
      <c r="E3980" s="9" t="s">
        <v>17</v>
      </c>
      <c r="F3980" s="9" t="s">
        <v>17</v>
      </c>
      <c r="G3980" s="9">
        <v>7.0</v>
      </c>
      <c r="H3980" s="9" t="s">
        <v>25</v>
      </c>
      <c r="I3980" s="9" t="s">
        <v>207</v>
      </c>
      <c r="J3980" s="10"/>
      <c r="K3980" s="14" t="s">
        <v>398</v>
      </c>
      <c r="N3980" s="14" t="str">
        <f>IFERROR(__xludf.DUMMYFUNCTION("""COMPUTED_VALUE"""),"")</f>
        <v/>
      </c>
      <c r="O3980" s="14"/>
    </row>
    <row r="3981" ht="22.5" hidden="1" customHeight="1">
      <c r="A3981" s="8">
        <v>46094.39642252315</v>
      </c>
      <c r="B3981" s="14">
        <v>46094.0</v>
      </c>
      <c r="C3981" s="9" t="s">
        <v>48</v>
      </c>
      <c r="D3981" s="9" t="s">
        <v>259</v>
      </c>
      <c r="E3981" s="9" t="s">
        <v>17</v>
      </c>
      <c r="F3981" s="9" t="s">
        <v>17</v>
      </c>
      <c r="G3981" s="9">
        <v>8.0</v>
      </c>
      <c r="H3981" s="9" t="s">
        <v>22</v>
      </c>
      <c r="I3981" s="9" t="s">
        <v>20</v>
      </c>
      <c r="J3981" s="10"/>
      <c r="K3981" s="14" t="s">
        <v>398</v>
      </c>
      <c r="N3981" s="14" t="str">
        <f>IFERROR(__xludf.DUMMYFUNCTION("""COMPUTED_VALUE"""),"")</f>
        <v/>
      </c>
      <c r="O3981" s="14"/>
    </row>
    <row r="3982" ht="22.5" hidden="1" customHeight="1">
      <c r="A3982" s="8">
        <v>46094.39690611111</v>
      </c>
      <c r="B3982" s="14">
        <v>46094.0</v>
      </c>
      <c r="C3982" s="9" t="s">
        <v>48</v>
      </c>
      <c r="D3982" s="9" t="s">
        <v>178</v>
      </c>
      <c r="E3982" s="9" t="s">
        <v>17</v>
      </c>
      <c r="F3982" s="9" t="s">
        <v>60</v>
      </c>
      <c r="G3982" s="9">
        <v>6.0</v>
      </c>
      <c r="H3982" s="9" t="s">
        <v>22</v>
      </c>
      <c r="I3982" s="9" t="s">
        <v>20</v>
      </c>
      <c r="J3982" s="10"/>
      <c r="K3982" s="14" t="s">
        <v>398</v>
      </c>
      <c r="N3982" s="14" t="str">
        <f>IFERROR(__xludf.DUMMYFUNCTION("""COMPUTED_VALUE"""),"")</f>
        <v/>
      </c>
      <c r="O3982" s="14"/>
    </row>
    <row r="3983" ht="22.5" hidden="1" customHeight="1">
      <c r="A3983" s="8">
        <v>46094.397120023146</v>
      </c>
      <c r="B3983" s="14">
        <v>46094.0</v>
      </c>
      <c r="C3983" s="9" t="s">
        <v>48</v>
      </c>
      <c r="D3983" s="9" t="s">
        <v>280</v>
      </c>
      <c r="E3983" s="9" t="s">
        <v>17</v>
      </c>
      <c r="F3983" s="9" t="s">
        <v>17</v>
      </c>
      <c r="G3983" s="9">
        <v>8.0</v>
      </c>
      <c r="H3983" s="9" t="s">
        <v>22</v>
      </c>
      <c r="I3983" s="9" t="s">
        <v>20</v>
      </c>
      <c r="J3983" s="10"/>
      <c r="K3983" s="14">
        <v>5.0</v>
      </c>
      <c r="N3983" s="14" t="str">
        <f>IFERROR(__xludf.DUMMYFUNCTION("""COMPUTED_VALUE"""),"")</f>
        <v/>
      </c>
      <c r="O3983" s="14"/>
    </row>
    <row r="3984" ht="22.5" hidden="1" customHeight="1">
      <c r="A3984" s="8">
        <v>46094.39759626157</v>
      </c>
      <c r="B3984" s="14">
        <v>46094.0</v>
      </c>
      <c r="C3984" s="9" t="s">
        <v>48</v>
      </c>
      <c r="D3984" s="9" t="s">
        <v>335</v>
      </c>
      <c r="E3984" s="9" t="s">
        <v>17</v>
      </c>
      <c r="F3984" s="9" t="s">
        <v>17</v>
      </c>
      <c r="G3984" s="9">
        <v>8.0</v>
      </c>
      <c r="H3984" s="9" t="s">
        <v>25</v>
      </c>
      <c r="I3984" s="9" t="s">
        <v>411</v>
      </c>
      <c r="J3984" s="10"/>
      <c r="K3984" s="14">
        <v>5.0</v>
      </c>
      <c r="N3984" s="14" t="str">
        <f>IFERROR(__xludf.DUMMYFUNCTION("""COMPUTED_VALUE"""),"")</f>
        <v/>
      </c>
      <c r="O3984" s="14"/>
    </row>
    <row r="3985" ht="22.5" hidden="1" customHeight="1">
      <c r="A3985" s="8">
        <v>46094.39798349537</v>
      </c>
      <c r="B3985" s="14">
        <v>46094.0</v>
      </c>
      <c r="C3985" s="9" t="s">
        <v>48</v>
      </c>
      <c r="D3985" s="9" t="s">
        <v>350</v>
      </c>
      <c r="E3985" s="9" t="s">
        <v>17</v>
      </c>
      <c r="F3985" s="9" t="s">
        <v>17</v>
      </c>
      <c r="G3985" s="9">
        <v>8.0</v>
      </c>
      <c r="H3985" s="9" t="s">
        <v>22</v>
      </c>
      <c r="I3985" s="9" t="s">
        <v>20</v>
      </c>
      <c r="J3985" s="10"/>
      <c r="K3985" s="14">
        <v>5.0</v>
      </c>
      <c r="N3985" s="14" t="str">
        <f>IFERROR(__xludf.DUMMYFUNCTION("""COMPUTED_VALUE"""),"")</f>
        <v/>
      </c>
      <c r="O3985" s="14"/>
    </row>
    <row r="3986" ht="22.5" hidden="1" customHeight="1">
      <c r="A3986" s="8">
        <v>46094.40504854167</v>
      </c>
      <c r="B3986" s="14">
        <v>46094.0</v>
      </c>
      <c r="C3986" s="9" t="s">
        <v>48</v>
      </c>
      <c r="D3986" s="9" t="s">
        <v>408</v>
      </c>
      <c r="E3986" s="9" t="s">
        <v>17</v>
      </c>
      <c r="F3986" s="9" t="s">
        <v>17</v>
      </c>
      <c r="G3986" s="9">
        <v>7.0</v>
      </c>
      <c r="H3986" s="9" t="s">
        <v>22</v>
      </c>
      <c r="I3986" s="9" t="s">
        <v>20</v>
      </c>
      <c r="J3986" s="10"/>
      <c r="K3986" s="14" t="s">
        <v>398</v>
      </c>
      <c r="N3986" s="14" t="str">
        <f>IFERROR(__xludf.DUMMYFUNCTION("""COMPUTED_VALUE"""),"")</f>
        <v/>
      </c>
      <c r="O3986" s="14"/>
    </row>
    <row r="3987" ht="22.5" hidden="1" customHeight="1">
      <c r="A3987" s="8">
        <v>46094.405554259254</v>
      </c>
      <c r="B3987" s="14">
        <v>46094.0</v>
      </c>
      <c r="C3987" s="9" t="s">
        <v>48</v>
      </c>
      <c r="D3987" s="9" t="s">
        <v>369</v>
      </c>
      <c r="E3987" s="9" t="s">
        <v>17</v>
      </c>
      <c r="F3987" s="9" t="s">
        <v>17</v>
      </c>
      <c r="G3987" s="9">
        <v>7.0</v>
      </c>
      <c r="H3987" s="9" t="s">
        <v>25</v>
      </c>
      <c r="I3987" s="9" t="s">
        <v>41</v>
      </c>
      <c r="J3987" s="10"/>
      <c r="K3987" s="14" t="s">
        <v>398</v>
      </c>
      <c r="N3987" s="14" t="str">
        <f>IFERROR(__xludf.DUMMYFUNCTION("""COMPUTED_VALUE"""),"")</f>
        <v/>
      </c>
      <c r="O3987" s="14"/>
    </row>
    <row r="3988" ht="22.5" hidden="1" customHeight="1">
      <c r="A3988" s="8">
        <v>46094.40590920139</v>
      </c>
      <c r="B3988" s="14">
        <v>46094.0</v>
      </c>
      <c r="C3988" s="9" t="s">
        <v>48</v>
      </c>
      <c r="D3988" s="9" t="s">
        <v>412</v>
      </c>
      <c r="E3988" s="9" t="s">
        <v>17</v>
      </c>
      <c r="F3988" s="9" t="s">
        <v>17</v>
      </c>
      <c r="G3988" s="9">
        <v>8.0</v>
      </c>
      <c r="H3988" s="9" t="s">
        <v>22</v>
      </c>
      <c r="I3988" s="9" t="s">
        <v>20</v>
      </c>
      <c r="J3988" s="10"/>
      <c r="K3988" s="14" t="s">
        <v>398</v>
      </c>
      <c r="N3988" s="14" t="str">
        <f>IFERROR(__xludf.DUMMYFUNCTION("""COMPUTED_VALUE"""),"")</f>
        <v/>
      </c>
      <c r="O3988" s="14"/>
    </row>
    <row r="3989" ht="22.5" hidden="1" customHeight="1">
      <c r="A3989" s="8">
        <v>46094.40648283565</v>
      </c>
      <c r="B3989" s="14">
        <v>46094.0</v>
      </c>
      <c r="C3989" s="9" t="s">
        <v>48</v>
      </c>
      <c r="D3989" s="9" t="s">
        <v>413</v>
      </c>
      <c r="E3989" s="9" t="s">
        <v>17</v>
      </c>
      <c r="F3989" s="9" t="s">
        <v>17</v>
      </c>
      <c r="G3989" s="9">
        <v>8.0</v>
      </c>
      <c r="H3989" s="9" t="s">
        <v>22</v>
      </c>
      <c r="I3989" s="9" t="s">
        <v>20</v>
      </c>
      <c r="J3989" s="10"/>
      <c r="K3989" s="14">
        <v>4.0</v>
      </c>
      <c r="N3989" s="14" t="str">
        <f>IFERROR(__xludf.DUMMYFUNCTION("""COMPUTED_VALUE"""),"")</f>
        <v/>
      </c>
      <c r="O3989" s="14"/>
    </row>
    <row r="3990" ht="22.5" hidden="1" customHeight="1">
      <c r="A3990" s="8">
        <v>46094.40670224537</v>
      </c>
      <c r="B3990" s="14">
        <v>46094.0</v>
      </c>
      <c r="C3990" s="9" t="s">
        <v>48</v>
      </c>
      <c r="D3990" s="9" t="s">
        <v>414</v>
      </c>
      <c r="E3990" s="9" t="s">
        <v>17</v>
      </c>
      <c r="F3990" s="9" t="s">
        <v>17</v>
      </c>
      <c r="G3990" s="9">
        <v>8.0</v>
      </c>
      <c r="H3990" s="9" t="s">
        <v>22</v>
      </c>
      <c r="I3990" s="9" t="s">
        <v>20</v>
      </c>
      <c r="J3990" s="10"/>
      <c r="K3990" s="14" t="s">
        <v>398</v>
      </c>
      <c r="N3990" s="14" t="str">
        <f>IFERROR(__xludf.DUMMYFUNCTION("""COMPUTED_VALUE"""),"")</f>
        <v/>
      </c>
      <c r="O3990" s="14"/>
    </row>
    <row r="3991" ht="22.5" hidden="1" customHeight="1">
      <c r="A3991" s="8">
        <v>46094.40689972222</v>
      </c>
      <c r="B3991" s="14">
        <v>46094.0</v>
      </c>
      <c r="C3991" s="9" t="s">
        <v>48</v>
      </c>
      <c r="D3991" s="9" t="s">
        <v>421</v>
      </c>
      <c r="E3991" s="9" t="s">
        <v>17</v>
      </c>
      <c r="F3991" s="9" t="s">
        <v>17</v>
      </c>
      <c r="G3991" s="9">
        <v>7.0</v>
      </c>
      <c r="H3991" s="9" t="s">
        <v>22</v>
      </c>
      <c r="I3991" s="9" t="s">
        <v>20</v>
      </c>
      <c r="J3991" s="10"/>
      <c r="K3991" s="14">
        <v>3.0</v>
      </c>
      <c r="N3991" s="14" t="str">
        <f>IFERROR(__xludf.DUMMYFUNCTION("""COMPUTED_VALUE"""),"")</f>
        <v/>
      </c>
      <c r="O3991" s="14"/>
    </row>
    <row r="3992" ht="22.5" hidden="1" customHeight="1">
      <c r="A3992" s="8">
        <v>46094.40712210648</v>
      </c>
      <c r="B3992" s="14">
        <v>46094.0</v>
      </c>
      <c r="C3992" s="9" t="s">
        <v>48</v>
      </c>
      <c r="D3992" s="9" t="s">
        <v>423</v>
      </c>
      <c r="E3992" s="9" t="s">
        <v>17</v>
      </c>
      <c r="F3992" s="9" t="s">
        <v>17</v>
      </c>
      <c r="G3992" s="9">
        <v>8.0</v>
      </c>
      <c r="H3992" s="9" t="s">
        <v>22</v>
      </c>
      <c r="I3992" s="9" t="s">
        <v>20</v>
      </c>
      <c r="J3992" s="10"/>
      <c r="K3992" s="14">
        <v>7.0</v>
      </c>
      <c r="N3992" s="14" t="str">
        <f>IFERROR(__xludf.DUMMYFUNCTION("""COMPUTED_VALUE"""),"")</f>
        <v/>
      </c>
      <c r="O3992" s="14"/>
    </row>
    <row r="3993" ht="22.5" hidden="1" customHeight="1">
      <c r="A3993" s="8">
        <v>46095.38864741898</v>
      </c>
      <c r="B3993" s="14">
        <v>46095.0</v>
      </c>
      <c r="C3993" s="9" t="s">
        <v>53</v>
      </c>
      <c r="D3993" s="9" t="s">
        <v>257</v>
      </c>
      <c r="E3993" s="9" t="s">
        <v>17</v>
      </c>
      <c r="F3993" s="9" t="s">
        <v>17</v>
      </c>
      <c r="G3993" s="9">
        <v>8.0</v>
      </c>
      <c r="H3993" s="9" t="s">
        <v>22</v>
      </c>
      <c r="I3993" s="9" t="s">
        <v>20</v>
      </c>
      <c r="J3993" s="10"/>
      <c r="K3993" s="14" t="s">
        <v>398</v>
      </c>
      <c r="N3993" s="14" t="str">
        <f>IFERROR(__xludf.DUMMYFUNCTION("""COMPUTED_VALUE"""),"")</f>
        <v/>
      </c>
      <c r="O3993" s="14"/>
    </row>
    <row r="3994" ht="22.5" hidden="1" customHeight="1">
      <c r="A3994" s="8">
        <v>46095.389010960644</v>
      </c>
      <c r="B3994" s="14">
        <v>46095.0</v>
      </c>
      <c r="C3994" s="9" t="s">
        <v>53</v>
      </c>
      <c r="D3994" s="9" t="s">
        <v>395</v>
      </c>
      <c r="E3994" s="9" t="s">
        <v>17</v>
      </c>
      <c r="F3994" s="9" t="s">
        <v>17</v>
      </c>
      <c r="G3994" s="9">
        <v>8.0</v>
      </c>
      <c r="H3994" s="9" t="s">
        <v>22</v>
      </c>
      <c r="I3994" s="9" t="s">
        <v>20</v>
      </c>
      <c r="J3994" s="10"/>
      <c r="K3994" s="14">
        <v>4.0</v>
      </c>
      <c r="N3994" s="14" t="str">
        <f>IFERROR(__xludf.DUMMYFUNCTION("""COMPUTED_VALUE"""),"")</f>
        <v/>
      </c>
      <c r="O3994" s="14"/>
    </row>
    <row r="3995" ht="22.5" hidden="1" customHeight="1">
      <c r="A3995" s="8">
        <v>46095.389218032404</v>
      </c>
      <c r="B3995" s="14">
        <v>46095.0</v>
      </c>
      <c r="C3995" s="9" t="s">
        <v>53</v>
      </c>
      <c r="D3995" s="9" t="s">
        <v>412</v>
      </c>
      <c r="E3995" s="9" t="s">
        <v>17</v>
      </c>
      <c r="F3995" s="9" t="s">
        <v>17</v>
      </c>
      <c r="G3995" s="9">
        <v>7.0</v>
      </c>
      <c r="H3995" s="9" t="s">
        <v>22</v>
      </c>
      <c r="I3995" s="9" t="s">
        <v>20</v>
      </c>
      <c r="J3995" s="10"/>
      <c r="K3995" s="14">
        <v>5.0</v>
      </c>
      <c r="N3995" s="14" t="str">
        <f>IFERROR(__xludf.DUMMYFUNCTION("""COMPUTED_VALUE"""),"")</f>
        <v/>
      </c>
      <c r="O3995" s="14"/>
    </row>
    <row r="3996" ht="22.5" hidden="1" customHeight="1">
      <c r="A3996" s="8">
        <v>46095.38954696759</v>
      </c>
      <c r="B3996" s="14">
        <v>46095.0</v>
      </c>
      <c r="C3996" s="9" t="s">
        <v>53</v>
      </c>
      <c r="D3996" s="9" t="s">
        <v>249</v>
      </c>
      <c r="E3996" s="9" t="s">
        <v>17</v>
      </c>
      <c r="F3996" s="9" t="s">
        <v>17</v>
      </c>
      <c r="G3996" s="9">
        <v>8.0</v>
      </c>
      <c r="H3996" s="9" t="s">
        <v>22</v>
      </c>
      <c r="I3996" s="9" t="s">
        <v>20</v>
      </c>
      <c r="J3996" s="10"/>
      <c r="K3996" s="14">
        <v>9.0</v>
      </c>
      <c r="N3996" s="14" t="str">
        <f>IFERROR(__xludf.DUMMYFUNCTION("""COMPUTED_VALUE"""),"")</f>
        <v/>
      </c>
      <c r="O3996" s="14"/>
    </row>
    <row r="3997" ht="22.5" hidden="1" customHeight="1">
      <c r="A3997" s="8">
        <v>46095.389786747684</v>
      </c>
      <c r="B3997" s="14">
        <v>46095.0</v>
      </c>
      <c r="C3997" s="9" t="s">
        <v>53</v>
      </c>
      <c r="D3997" s="9" t="s">
        <v>177</v>
      </c>
      <c r="E3997" s="9" t="s">
        <v>17</v>
      </c>
      <c r="F3997" s="9" t="s">
        <v>17</v>
      </c>
      <c r="G3997" s="9">
        <v>7.0</v>
      </c>
      <c r="H3997" s="9" t="s">
        <v>22</v>
      </c>
      <c r="I3997" s="9" t="s">
        <v>20</v>
      </c>
      <c r="J3997" s="10"/>
      <c r="K3997" s="14">
        <v>4.0</v>
      </c>
      <c r="N3997" s="14" t="str">
        <f>IFERROR(__xludf.DUMMYFUNCTION("""COMPUTED_VALUE"""),"")</f>
        <v/>
      </c>
      <c r="O3997" s="14"/>
    </row>
    <row r="3998" ht="22.5" hidden="1" customHeight="1">
      <c r="A3998" s="8">
        <v>46095.38998107639</v>
      </c>
      <c r="B3998" s="14">
        <v>46095.0</v>
      </c>
      <c r="C3998" s="9" t="s">
        <v>53</v>
      </c>
      <c r="D3998" s="9" t="s">
        <v>413</v>
      </c>
      <c r="E3998" s="9" t="s">
        <v>17</v>
      </c>
      <c r="F3998" s="9" t="s">
        <v>17</v>
      </c>
      <c r="G3998" s="9">
        <v>8.0</v>
      </c>
      <c r="H3998" s="9" t="s">
        <v>22</v>
      </c>
      <c r="I3998" s="9" t="s">
        <v>20</v>
      </c>
      <c r="J3998" s="10"/>
      <c r="K3998" s="14">
        <v>4.0</v>
      </c>
      <c r="N3998" s="14" t="str">
        <f>IFERROR(__xludf.DUMMYFUNCTION("""COMPUTED_VALUE"""),"")</f>
        <v/>
      </c>
      <c r="O3998" s="14"/>
    </row>
    <row r="3999" ht="22.5" hidden="1" customHeight="1">
      <c r="A3999" s="8">
        <v>46095.390449212966</v>
      </c>
      <c r="B3999" s="14">
        <v>46095.0</v>
      </c>
      <c r="C3999" s="9" t="s">
        <v>53</v>
      </c>
      <c r="D3999" s="9" t="s">
        <v>357</v>
      </c>
      <c r="E3999" s="9" t="s">
        <v>17</v>
      </c>
      <c r="F3999" s="9" t="s">
        <v>17</v>
      </c>
      <c r="G3999" s="9">
        <v>8.0</v>
      </c>
      <c r="H3999" s="9" t="s">
        <v>17</v>
      </c>
      <c r="I3999" s="9" t="s">
        <v>240</v>
      </c>
      <c r="J3999" s="10"/>
      <c r="K3999" s="14" t="s">
        <v>398</v>
      </c>
      <c r="N3999" s="14" t="str">
        <f>IFERROR(__xludf.DUMMYFUNCTION("""COMPUTED_VALUE"""),"")</f>
        <v/>
      </c>
      <c r="O3999" s="14"/>
    </row>
    <row r="4000" ht="22.5" hidden="1" customHeight="1">
      <c r="A4000" s="8">
        <v>46095.39117899306</v>
      </c>
      <c r="B4000" s="14">
        <v>46095.0</v>
      </c>
      <c r="C4000" s="9" t="s">
        <v>53</v>
      </c>
      <c r="D4000" s="9" t="s">
        <v>178</v>
      </c>
      <c r="E4000" s="9" t="s">
        <v>17</v>
      </c>
      <c r="F4000" s="9" t="s">
        <v>17</v>
      </c>
      <c r="G4000" s="9">
        <v>8.0</v>
      </c>
      <c r="H4000" s="9" t="s">
        <v>22</v>
      </c>
      <c r="I4000" s="9" t="s">
        <v>20</v>
      </c>
      <c r="J4000" s="10"/>
      <c r="K4000" s="14">
        <v>7.0</v>
      </c>
      <c r="N4000" s="14" t="str">
        <f>IFERROR(__xludf.DUMMYFUNCTION("""COMPUTED_VALUE"""),"")</f>
        <v/>
      </c>
      <c r="O4000" s="14"/>
    </row>
    <row r="4001" ht="22.5" hidden="1" customHeight="1">
      <c r="A4001" s="8">
        <v>46095.39145763889</v>
      </c>
      <c r="B4001" s="14">
        <v>46095.0</v>
      </c>
      <c r="C4001" s="9" t="s">
        <v>53</v>
      </c>
      <c r="D4001" s="9" t="s">
        <v>280</v>
      </c>
      <c r="E4001" s="9" t="s">
        <v>17</v>
      </c>
      <c r="F4001" s="9" t="s">
        <v>17</v>
      </c>
      <c r="G4001" s="9">
        <v>8.0</v>
      </c>
      <c r="H4001" s="9" t="s">
        <v>22</v>
      </c>
      <c r="I4001" s="9" t="s">
        <v>20</v>
      </c>
      <c r="J4001" s="10"/>
      <c r="K4001" s="14">
        <v>5.0</v>
      </c>
      <c r="N4001" s="14" t="str">
        <f>IFERROR(__xludf.DUMMYFUNCTION("""COMPUTED_VALUE"""),"")</f>
        <v/>
      </c>
      <c r="O4001" s="14"/>
    </row>
    <row r="4002" ht="22.5" hidden="1" customHeight="1">
      <c r="A4002" s="8">
        <v>46095.39169891203</v>
      </c>
      <c r="B4002" s="14">
        <v>46095.0</v>
      </c>
      <c r="C4002" s="9" t="s">
        <v>53</v>
      </c>
      <c r="D4002" s="9" t="s">
        <v>174</v>
      </c>
      <c r="E4002" s="9" t="s">
        <v>17</v>
      </c>
      <c r="F4002" s="9" t="s">
        <v>17</v>
      </c>
      <c r="G4002" s="9">
        <v>8.0</v>
      </c>
      <c r="H4002" s="9" t="s">
        <v>22</v>
      </c>
      <c r="I4002" s="9" t="s">
        <v>20</v>
      </c>
      <c r="J4002" s="10"/>
      <c r="K4002" s="14">
        <v>3.0</v>
      </c>
      <c r="N4002" s="14" t="str">
        <f>IFERROR(__xludf.DUMMYFUNCTION("""COMPUTED_VALUE"""),"")</f>
        <v/>
      </c>
      <c r="O4002" s="14"/>
    </row>
    <row r="4003" ht="22.5" hidden="1" customHeight="1">
      <c r="A4003" s="8">
        <v>46095.39363628472</v>
      </c>
      <c r="B4003" s="14">
        <v>46095.0</v>
      </c>
      <c r="C4003" s="9" t="s">
        <v>53</v>
      </c>
      <c r="D4003" s="9" t="s">
        <v>335</v>
      </c>
      <c r="E4003" s="9" t="s">
        <v>17</v>
      </c>
      <c r="F4003" s="9" t="s">
        <v>17</v>
      </c>
      <c r="G4003" s="9">
        <v>8.0</v>
      </c>
      <c r="H4003" s="9" t="s">
        <v>25</v>
      </c>
      <c r="I4003" s="9" t="s">
        <v>411</v>
      </c>
      <c r="J4003" s="10"/>
      <c r="K4003" s="14">
        <v>4.0</v>
      </c>
      <c r="N4003" s="14" t="str">
        <f>IFERROR(__xludf.DUMMYFUNCTION("""COMPUTED_VALUE"""),"")</f>
        <v/>
      </c>
      <c r="O4003" s="14"/>
    </row>
    <row r="4004" ht="22.5" hidden="1" customHeight="1">
      <c r="A4004" s="8">
        <v>46095.39403265047</v>
      </c>
      <c r="B4004" s="14">
        <v>46095.0</v>
      </c>
      <c r="C4004" s="9" t="s">
        <v>53</v>
      </c>
      <c r="D4004" s="9" t="s">
        <v>105</v>
      </c>
      <c r="E4004" s="9" t="s">
        <v>17</v>
      </c>
      <c r="F4004" s="9" t="s">
        <v>17</v>
      </c>
      <c r="G4004" s="9">
        <v>7.0</v>
      </c>
      <c r="H4004" s="9" t="s">
        <v>22</v>
      </c>
      <c r="I4004" s="9" t="s">
        <v>20</v>
      </c>
      <c r="J4004" s="10"/>
      <c r="K4004" s="14">
        <v>2.0</v>
      </c>
      <c r="N4004" s="14" t="str">
        <f>IFERROR(__xludf.DUMMYFUNCTION("""COMPUTED_VALUE"""),"")</f>
        <v/>
      </c>
      <c r="O4004" s="14"/>
    </row>
    <row r="4005" ht="22.5" hidden="1" customHeight="1">
      <c r="A4005" s="8">
        <v>46095.39427434027</v>
      </c>
      <c r="B4005" s="14">
        <v>46095.0</v>
      </c>
      <c r="C4005" s="9" t="s">
        <v>53</v>
      </c>
      <c r="D4005" s="9" t="s">
        <v>258</v>
      </c>
      <c r="E4005" s="9" t="s">
        <v>17</v>
      </c>
      <c r="F4005" s="9" t="s">
        <v>17</v>
      </c>
      <c r="G4005" s="9">
        <v>7.0</v>
      </c>
      <c r="H4005" s="9" t="s">
        <v>22</v>
      </c>
      <c r="I4005" s="9" t="s">
        <v>20</v>
      </c>
      <c r="J4005" s="10"/>
      <c r="K4005" s="14">
        <v>7.0</v>
      </c>
      <c r="N4005" s="14" t="str">
        <f>IFERROR(__xludf.DUMMYFUNCTION("""COMPUTED_VALUE"""),"")</f>
        <v/>
      </c>
      <c r="O4005" s="14"/>
    </row>
    <row r="4006" ht="22.5" hidden="1" customHeight="1">
      <c r="A4006" s="8">
        <v>46095.39740273148</v>
      </c>
      <c r="B4006" s="14">
        <v>46095.0</v>
      </c>
      <c r="C4006" s="9" t="s">
        <v>53</v>
      </c>
      <c r="D4006" s="9" t="s">
        <v>259</v>
      </c>
      <c r="E4006" s="9" t="s">
        <v>17</v>
      </c>
      <c r="F4006" s="9" t="s">
        <v>17</v>
      </c>
      <c r="G4006" s="9">
        <v>8.0</v>
      </c>
      <c r="H4006" s="9" t="s">
        <v>22</v>
      </c>
      <c r="I4006" s="9" t="s">
        <v>20</v>
      </c>
      <c r="J4006" s="10"/>
      <c r="K4006" s="14">
        <v>6.0</v>
      </c>
      <c r="N4006" s="14" t="str">
        <f>IFERROR(__xludf.DUMMYFUNCTION("""COMPUTED_VALUE"""),"")</f>
        <v/>
      </c>
      <c r="O4006" s="14"/>
    </row>
    <row r="4007" ht="22.5" hidden="1" customHeight="1">
      <c r="A4007" s="8">
        <v>46095.398138414355</v>
      </c>
      <c r="B4007" s="14">
        <v>46095.0</v>
      </c>
      <c r="C4007" s="9" t="s">
        <v>53</v>
      </c>
      <c r="D4007" s="9" t="s">
        <v>393</v>
      </c>
      <c r="E4007" s="9" t="s">
        <v>17</v>
      </c>
      <c r="F4007" s="9" t="s">
        <v>17</v>
      </c>
      <c r="G4007" s="9">
        <v>7.0</v>
      </c>
      <c r="H4007" s="9" t="s">
        <v>22</v>
      </c>
      <c r="I4007" s="9" t="s">
        <v>20</v>
      </c>
      <c r="J4007" s="10"/>
      <c r="K4007" s="14">
        <v>4.0</v>
      </c>
      <c r="N4007" s="14" t="str">
        <f>IFERROR(__xludf.DUMMYFUNCTION("""COMPUTED_VALUE"""),"")</f>
        <v/>
      </c>
      <c r="O4007" s="14"/>
    </row>
    <row r="4008" ht="22.5" hidden="1" customHeight="1">
      <c r="A4008" s="8">
        <v>46095.40173951389</v>
      </c>
      <c r="B4008" s="14">
        <v>46095.0</v>
      </c>
      <c r="C4008" s="9" t="s">
        <v>53</v>
      </c>
      <c r="D4008" s="9" t="s">
        <v>423</v>
      </c>
      <c r="E4008" s="9" t="s">
        <v>17</v>
      </c>
      <c r="F4008" s="9" t="s">
        <v>17</v>
      </c>
      <c r="G4008" s="9">
        <v>6.0</v>
      </c>
      <c r="H4008" s="9" t="s">
        <v>22</v>
      </c>
      <c r="I4008" s="9" t="s">
        <v>20</v>
      </c>
      <c r="J4008" s="10"/>
      <c r="K4008" s="14">
        <v>7.0</v>
      </c>
      <c r="N4008" s="14" t="str">
        <f>IFERROR(__xludf.DUMMYFUNCTION("""COMPUTED_VALUE"""),"")</f>
        <v/>
      </c>
      <c r="O4008" s="14"/>
    </row>
    <row r="4009" ht="22.5" hidden="1" customHeight="1">
      <c r="A4009" s="8">
        <v>46095.40205996528</v>
      </c>
      <c r="B4009" s="14">
        <v>46095.0</v>
      </c>
      <c r="C4009" s="9" t="s">
        <v>53</v>
      </c>
      <c r="D4009" s="9" t="s">
        <v>369</v>
      </c>
      <c r="E4009" s="9" t="s">
        <v>17</v>
      </c>
      <c r="F4009" s="9" t="s">
        <v>17</v>
      </c>
      <c r="G4009" s="9">
        <v>8.0</v>
      </c>
      <c r="H4009" s="9" t="s">
        <v>25</v>
      </c>
      <c r="I4009" s="9" t="s">
        <v>34</v>
      </c>
      <c r="J4009" s="10"/>
      <c r="K4009" s="14" t="s">
        <v>398</v>
      </c>
      <c r="N4009" s="14" t="str">
        <f>IFERROR(__xludf.DUMMYFUNCTION("""COMPUTED_VALUE"""),"")</f>
        <v/>
      </c>
      <c r="O4009" s="14"/>
    </row>
    <row r="4010" ht="22.5" hidden="1" customHeight="1">
      <c r="A4010" s="8">
        <v>46095.40253668981</v>
      </c>
      <c r="B4010" s="14">
        <v>46095.0</v>
      </c>
      <c r="C4010" s="9" t="s">
        <v>53</v>
      </c>
      <c r="D4010" s="9" t="s">
        <v>171</v>
      </c>
      <c r="E4010" s="9" t="s">
        <v>17</v>
      </c>
      <c r="F4010" s="9" t="s">
        <v>17</v>
      </c>
      <c r="G4010" s="9">
        <v>6.0</v>
      </c>
      <c r="H4010" s="9" t="s">
        <v>22</v>
      </c>
      <c r="I4010" s="9" t="s">
        <v>20</v>
      </c>
      <c r="J4010" s="10"/>
      <c r="K4010" s="14">
        <v>4.0</v>
      </c>
      <c r="N4010" s="14" t="str">
        <f>IFERROR(__xludf.DUMMYFUNCTION("""COMPUTED_VALUE"""),"")</f>
        <v/>
      </c>
      <c r="O4010" s="14"/>
    </row>
    <row r="4011" ht="22.5" hidden="1" customHeight="1">
      <c r="A4011" s="8">
        <v>46095.40299427083</v>
      </c>
      <c r="B4011" s="14">
        <v>46095.0</v>
      </c>
      <c r="C4011" s="9" t="s">
        <v>53</v>
      </c>
      <c r="D4011" s="9" t="s">
        <v>175</v>
      </c>
      <c r="E4011" s="9" t="s">
        <v>17</v>
      </c>
      <c r="F4011" s="9" t="s">
        <v>17</v>
      </c>
      <c r="G4011" s="9">
        <v>8.0</v>
      </c>
      <c r="H4011" s="9" t="s">
        <v>25</v>
      </c>
      <c r="I4011" s="9" t="s">
        <v>417</v>
      </c>
      <c r="J4011" s="10"/>
      <c r="K4011" s="14">
        <v>6.0</v>
      </c>
      <c r="N4011" s="14" t="str">
        <f>IFERROR(__xludf.DUMMYFUNCTION("""COMPUTED_VALUE"""),"")</f>
        <v/>
      </c>
      <c r="O4011" s="14"/>
    </row>
    <row r="4012" ht="22.5" hidden="1" customHeight="1">
      <c r="A4012" s="8">
        <v>46095.40347356482</v>
      </c>
      <c r="B4012" s="14">
        <v>46095.0</v>
      </c>
      <c r="C4012" s="9" t="s">
        <v>53</v>
      </c>
      <c r="D4012" s="9" t="s">
        <v>210</v>
      </c>
      <c r="E4012" s="9" t="s">
        <v>17</v>
      </c>
      <c r="F4012" s="9" t="s">
        <v>17</v>
      </c>
      <c r="G4012" s="9">
        <v>8.0</v>
      </c>
      <c r="H4012" s="9" t="s">
        <v>22</v>
      </c>
      <c r="I4012" s="9" t="s">
        <v>20</v>
      </c>
      <c r="J4012" s="10"/>
      <c r="K4012" s="14">
        <v>7.0</v>
      </c>
      <c r="N4012" s="14" t="str">
        <f>IFERROR(__xludf.DUMMYFUNCTION("""COMPUTED_VALUE"""),"")</f>
        <v/>
      </c>
      <c r="O4012" s="14"/>
    </row>
    <row r="4013" ht="22.5" hidden="1" customHeight="1">
      <c r="A4013" s="8">
        <v>46095.40373549769</v>
      </c>
      <c r="B4013" s="14">
        <v>46095.0</v>
      </c>
      <c r="C4013" s="9" t="s">
        <v>53</v>
      </c>
      <c r="D4013" s="9" t="s">
        <v>408</v>
      </c>
      <c r="E4013" s="9" t="s">
        <v>17</v>
      </c>
      <c r="F4013" s="9" t="s">
        <v>17</v>
      </c>
      <c r="G4013" s="9">
        <v>8.0</v>
      </c>
      <c r="H4013" s="9" t="s">
        <v>22</v>
      </c>
      <c r="I4013" s="9" t="s">
        <v>20</v>
      </c>
      <c r="J4013" s="10"/>
      <c r="K4013" s="14">
        <v>5.0</v>
      </c>
      <c r="N4013" s="14" t="str">
        <f>IFERROR(__xludf.DUMMYFUNCTION("""COMPUTED_VALUE"""),"")</f>
        <v/>
      </c>
      <c r="O4013" s="14"/>
    </row>
    <row r="4014" ht="22.5" hidden="1" customHeight="1">
      <c r="A4014" s="8">
        <v>46095.404018194444</v>
      </c>
      <c r="B4014" s="14">
        <v>46095.0</v>
      </c>
      <c r="C4014" s="9" t="s">
        <v>53</v>
      </c>
      <c r="D4014" s="9" t="s">
        <v>350</v>
      </c>
      <c r="E4014" s="9" t="s">
        <v>17</v>
      </c>
      <c r="F4014" s="9" t="s">
        <v>17</v>
      </c>
      <c r="G4014" s="9">
        <v>7.0</v>
      </c>
      <c r="H4014" s="9" t="s">
        <v>22</v>
      </c>
      <c r="I4014" s="9" t="s">
        <v>20</v>
      </c>
      <c r="J4014" s="10"/>
      <c r="K4014" s="14">
        <v>6.0</v>
      </c>
      <c r="N4014" s="14" t="str">
        <f>IFERROR(__xludf.DUMMYFUNCTION("""COMPUTED_VALUE"""),"")</f>
        <v/>
      </c>
      <c r="O4014" s="14"/>
    </row>
    <row r="4015" ht="22.5" hidden="1" customHeight="1">
      <c r="A4015" s="8">
        <v>46095.40429232639</v>
      </c>
      <c r="B4015" s="14">
        <v>46095.0</v>
      </c>
      <c r="C4015" s="9" t="s">
        <v>53</v>
      </c>
      <c r="D4015" s="9" t="s">
        <v>247</v>
      </c>
      <c r="E4015" s="9" t="s">
        <v>17</v>
      </c>
      <c r="F4015" s="9" t="s">
        <v>17</v>
      </c>
      <c r="G4015" s="9">
        <v>8.0</v>
      </c>
      <c r="H4015" s="9" t="s">
        <v>22</v>
      </c>
      <c r="I4015" s="9" t="s">
        <v>20</v>
      </c>
      <c r="J4015" s="10"/>
      <c r="K4015" s="14" t="s">
        <v>398</v>
      </c>
      <c r="N4015" s="14" t="str">
        <f>IFERROR(__xludf.DUMMYFUNCTION("""COMPUTED_VALUE"""),"")</f>
        <v/>
      </c>
      <c r="O4015" s="14"/>
    </row>
    <row r="4016" ht="22.5" hidden="1" customHeight="1">
      <c r="A4016" s="8">
        <v>46095.40463922454</v>
      </c>
      <c r="B4016" s="14">
        <v>46095.0</v>
      </c>
      <c r="C4016" s="9" t="s">
        <v>53</v>
      </c>
      <c r="D4016" s="9" t="s">
        <v>396</v>
      </c>
      <c r="E4016" s="9" t="s">
        <v>17</v>
      </c>
      <c r="F4016" s="9" t="s">
        <v>17</v>
      </c>
      <c r="G4016" s="9">
        <v>7.0</v>
      </c>
      <c r="H4016" s="9" t="s">
        <v>22</v>
      </c>
      <c r="I4016" s="9" t="s">
        <v>20</v>
      </c>
      <c r="J4016" s="10"/>
      <c r="K4016" s="14" t="s">
        <v>398</v>
      </c>
      <c r="N4016" s="14" t="str">
        <f>IFERROR(__xludf.DUMMYFUNCTION("""COMPUTED_VALUE"""),"")</f>
        <v/>
      </c>
      <c r="O4016" s="14"/>
    </row>
    <row r="4017" ht="22.5" hidden="1" customHeight="1">
      <c r="A4017" s="8">
        <v>46095.40488615741</v>
      </c>
      <c r="B4017" s="14">
        <v>46095.0</v>
      </c>
      <c r="C4017" s="9" t="s">
        <v>53</v>
      </c>
      <c r="D4017" s="9" t="s">
        <v>414</v>
      </c>
      <c r="E4017" s="9" t="s">
        <v>17</v>
      </c>
      <c r="F4017" s="9" t="s">
        <v>17</v>
      </c>
      <c r="G4017" s="9">
        <v>7.0</v>
      </c>
      <c r="H4017" s="9" t="s">
        <v>22</v>
      </c>
      <c r="I4017" s="9" t="s">
        <v>20</v>
      </c>
      <c r="J4017" s="10"/>
      <c r="K4017" s="14">
        <v>4.0</v>
      </c>
      <c r="N4017" s="14" t="str">
        <f>IFERROR(__xludf.DUMMYFUNCTION("""COMPUTED_VALUE"""),"")</f>
        <v/>
      </c>
      <c r="O4017" s="14"/>
    </row>
    <row r="4018" ht="22.5" hidden="1" customHeight="1">
      <c r="A4018" s="8">
        <v>46095.405130625004</v>
      </c>
      <c r="B4018" s="14">
        <v>46095.0</v>
      </c>
      <c r="C4018" s="9" t="s">
        <v>53</v>
      </c>
      <c r="D4018" s="9" t="s">
        <v>421</v>
      </c>
      <c r="E4018" s="9" t="s">
        <v>17</v>
      </c>
      <c r="F4018" s="9" t="s">
        <v>17</v>
      </c>
      <c r="G4018" s="9">
        <v>7.0</v>
      </c>
      <c r="H4018" s="9" t="s">
        <v>22</v>
      </c>
      <c r="I4018" s="9" t="s">
        <v>20</v>
      </c>
      <c r="J4018" s="10"/>
      <c r="K4018" s="14">
        <v>4.0</v>
      </c>
      <c r="N4018" s="14" t="str">
        <f>IFERROR(__xludf.DUMMYFUNCTION("""COMPUTED_VALUE"""),"")</f>
        <v/>
      </c>
      <c r="O4018" s="14"/>
    </row>
    <row r="4019" ht="22.5" hidden="1" customHeight="1">
      <c r="A4019" s="8">
        <v>46097.354903796295</v>
      </c>
      <c r="B4019" s="14">
        <v>46097.0</v>
      </c>
      <c r="C4019" s="9" t="s">
        <v>86</v>
      </c>
      <c r="D4019" s="9" t="s">
        <v>258</v>
      </c>
      <c r="E4019" s="9" t="s">
        <v>17</v>
      </c>
      <c r="F4019" s="9" t="s">
        <v>17</v>
      </c>
      <c r="G4019" s="9">
        <v>8.0</v>
      </c>
      <c r="H4019" s="9" t="s">
        <v>22</v>
      </c>
      <c r="I4019" s="9" t="s">
        <v>20</v>
      </c>
      <c r="J4019" s="10"/>
      <c r="K4019" s="14" t="s">
        <v>398</v>
      </c>
      <c r="N4019" s="14" t="str">
        <f>IFERROR(__xludf.DUMMYFUNCTION("""COMPUTED_VALUE"""),"")</f>
        <v/>
      </c>
      <c r="O4019" s="14"/>
    </row>
    <row r="4020" ht="22.5" hidden="1" customHeight="1">
      <c r="A4020" s="8">
        <v>46097.35532113426</v>
      </c>
      <c r="B4020" s="14">
        <v>46097.0</v>
      </c>
      <c r="C4020" s="9" t="s">
        <v>86</v>
      </c>
      <c r="D4020" s="9" t="s">
        <v>280</v>
      </c>
      <c r="E4020" s="9" t="s">
        <v>17</v>
      </c>
      <c r="F4020" s="9" t="s">
        <v>17</v>
      </c>
      <c r="G4020" s="9">
        <v>7.0</v>
      </c>
      <c r="H4020" s="9" t="s">
        <v>22</v>
      </c>
      <c r="I4020" s="9" t="s">
        <v>20</v>
      </c>
      <c r="J4020" s="10"/>
      <c r="K4020" s="14" t="s">
        <v>398</v>
      </c>
      <c r="N4020" s="14" t="str">
        <f>IFERROR(__xludf.DUMMYFUNCTION("""COMPUTED_VALUE"""),"")</f>
        <v/>
      </c>
      <c r="O4020" s="14"/>
    </row>
    <row r="4021" ht="22.5" hidden="1" customHeight="1">
      <c r="A4021" s="8">
        <v>46097.35556585648</v>
      </c>
      <c r="B4021" s="14">
        <v>46097.0</v>
      </c>
      <c r="C4021" s="9" t="s">
        <v>86</v>
      </c>
      <c r="D4021" s="9" t="s">
        <v>105</v>
      </c>
      <c r="E4021" s="9" t="s">
        <v>17</v>
      </c>
      <c r="F4021" s="9" t="s">
        <v>17</v>
      </c>
      <c r="G4021" s="9">
        <v>7.0</v>
      </c>
      <c r="H4021" s="9" t="s">
        <v>22</v>
      </c>
      <c r="I4021" s="9" t="s">
        <v>20</v>
      </c>
      <c r="J4021" s="10"/>
      <c r="K4021" s="14" t="s">
        <v>398</v>
      </c>
      <c r="N4021" s="14" t="str">
        <f>IFERROR(__xludf.DUMMYFUNCTION("""COMPUTED_VALUE"""),"")</f>
        <v/>
      </c>
      <c r="O4021" s="14"/>
    </row>
    <row r="4022" ht="22.5" hidden="1" customHeight="1">
      <c r="A4022" s="8">
        <v>46097.35618918981</v>
      </c>
      <c r="B4022" s="14">
        <v>46097.0</v>
      </c>
      <c r="C4022" s="9" t="s">
        <v>86</v>
      </c>
      <c r="D4022" s="9" t="s">
        <v>413</v>
      </c>
      <c r="E4022" s="9" t="s">
        <v>17</v>
      </c>
      <c r="F4022" s="9" t="s">
        <v>17</v>
      </c>
      <c r="G4022" s="9">
        <v>8.0</v>
      </c>
      <c r="H4022" s="9" t="s">
        <v>22</v>
      </c>
      <c r="I4022" s="9" t="s">
        <v>20</v>
      </c>
      <c r="J4022" s="10"/>
      <c r="K4022" s="14" t="s">
        <v>398</v>
      </c>
      <c r="N4022" s="14" t="str">
        <f>IFERROR(__xludf.DUMMYFUNCTION("""COMPUTED_VALUE"""),"")</f>
        <v/>
      </c>
      <c r="O4022" s="14"/>
    </row>
    <row r="4023" ht="22.5" hidden="1" customHeight="1">
      <c r="A4023" s="8">
        <v>46097.36224071759</v>
      </c>
      <c r="B4023" s="14">
        <v>46097.0</v>
      </c>
      <c r="C4023" s="9" t="s">
        <v>86</v>
      </c>
      <c r="D4023" s="9" t="s">
        <v>249</v>
      </c>
      <c r="E4023" s="9" t="s">
        <v>17</v>
      </c>
      <c r="F4023" s="9" t="s">
        <v>17</v>
      </c>
      <c r="G4023" s="9" t="s">
        <v>409</v>
      </c>
      <c r="H4023" s="9" t="s">
        <v>25</v>
      </c>
      <c r="I4023" s="9" t="s">
        <v>26</v>
      </c>
      <c r="J4023" s="10"/>
      <c r="K4023" s="14" t="s">
        <v>398</v>
      </c>
      <c r="N4023" s="14" t="str">
        <f>IFERROR(__xludf.DUMMYFUNCTION("""COMPUTED_VALUE"""),"")</f>
        <v/>
      </c>
      <c r="O4023" s="14"/>
    </row>
    <row r="4024" ht="22.5" hidden="1" customHeight="1">
      <c r="A4024" s="8">
        <v>46097.3989509838</v>
      </c>
      <c r="B4024" s="14">
        <v>46097.0</v>
      </c>
      <c r="C4024" s="9" t="s">
        <v>86</v>
      </c>
      <c r="D4024" s="9" t="s">
        <v>175</v>
      </c>
      <c r="E4024" s="9" t="s">
        <v>17</v>
      </c>
      <c r="F4024" s="9" t="s">
        <v>17</v>
      </c>
      <c r="G4024" s="9">
        <v>6.0</v>
      </c>
      <c r="H4024" s="9" t="s">
        <v>25</v>
      </c>
      <c r="I4024" s="9" t="s">
        <v>417</v>
      </c>
      <c r="J4024" s="10"/>
      <c r="K4024" s="14" t="s">
        <v>398</v>
      </c>
      <c r="N4024" s="14" t="str">
        <f>IFERROR(__xludf.DUMMYFUNCTION("""COMPUTED_VALUE"""),"")</f>
        <v/>
      </c>
      <c r="O4024" s="14"/>
    </row>
    <row r="4025" ht="22.5" hidden="1" customHeight="1">
      <c r="A4025" s="8">
        <v>46097.39929782407</v>
      </c>
      <c r="B4025" s="14">
        <v>46097.0</v>
      </c>
      <c r="C4025" s="9" t="s">
        <v>86</v>
      </c>
      <c r="D4025" s="9" t="s">
        <v>257</v>
      </c>
      <c r="E4025" s="9" t="s">
        <v>17</v>
      </c>
      <c r="F4025" s="9" t="s">
        <v>17</v>
      </c>
      <c r="G4025" s="9">
        <v>6.0</v>
      </c>
      <c r="H4025" s="9" t="s">
        <v>22</v>
      </c>
      <c r="I4025" s="9" t="s">
        <v>20</v>
      </c>
      <c r="J4025" s="10"/>
      <c r="K4025" s="14" t="s">
        <v>398</v>
      </c>
      <c r="N4025" s="14" t="str">
        <f>IFERROR(__xludf.DUMMYFUNCTION("""COMPUTED_VALUE"""),"")</f>
        <v/>
      </c>
      <c r="O4025" s="14"/>
    </row>
    <row r="4026" ht="22.5" hidden="1" customHeight="1">
      <c r="A4026" s="8">
        <v>46097.39975131945</v>
      </c>
      <c r="B4026" s="14">
        <v>46097.0</v>
      </c>
      <c r="C4026" s="9" t="s">
        <v>86</v>
      </c>
      <c r="D4026" s="9" t="s">
        <v>395</v>
      </c>
      <c r="E4026" s="9" t="s">
        <v>17</v>
      </c>
      <c r="F4026" s="9" t="s">
        <v>17</v>
      </c>
      <c r="G4026" s="9">
        <v>7.0</v>
      </c>
      <c r="H4026" s="9" t="s">
        <v>22</v>
      </c>
      <c r="I4026" s="9" t="s">
        <v>20</v>
      </c>
      <c r="J4026" s="10"/>
      <c r="K4026" s="14" t="s">
        <v>398</v>
      </c>
      <c r="N4026" s="14" t="str">
        <f>IFERROR(__xludf.DUMMYFUNCTION("""COMPUTED_VALUE"""),"")</f>
        <v/>
      </c>
      <c r="O4026" s="14"/>
    </row>
    <row r="4027" ht="22.5" hidden="1" customHeight="1">
      <c r="A4027" s="8">
        <v>46097.40008556713</v>
      </c>
      <c r="B4027" s="14">
        <v>46097.0</v>
      </c>
      <c r="C4027" s="9" t="s">
        <v>86</v>
      </c>
      <c r="D4027" s="9" t="s">
        <v>412</v>
      </c>
      <c r="E4027" s="9" t="s">
        <v>17</v>
      </c>
      <c r="F4027" s="9" t="s">
        <v>17</v>
      </c>
      <c r="G4027" s="9">
        <v>6.0</v>
      </c>
      <c r="H4027" s="9" t="s">
        <v>22</v>
      </c>
      <c r="I4027" s="9" t="s">
        <v>20</v>
      </c>
      <c r="J4027" s="10"/>
      <c r="K4027" s="14" t="s">
        <v>398</v>
      </c>
      <c r="N4027" s="14" t="str">
        <f>IFERROR(__xludf.DUMMYFUNCTION("""COMPUTED_VALUE"""),"")</f>
        <v/>
      </c>
      <c r="O4027" s="14"/>
    </row>
    <row r="4028" ht="22.5" hidden="1" customHeight="1">
      <c r="A4028" s="8">
        <v>46097.40029074074</v>
      </c>
      <c r="B4028" s="14">
        <v>46097.0</v>
      </c>
      <c r="C4028" s="9" t="s">
        <v>86</v>
      </c>
      <c r="D4028" s="9" t="s">
        <v>396</v>
      </c>
      <c r="E4028" s="9" t="s">
        <v>17</v>
      </c>
      <c r="F4028" s="9" t="s">
        <v>17</v>
      </c>
      <c r="G4028" s="9">
        <v>7.0</v>
      </c>
      <c r="H4028" s="9" t="s">
        <v>22</v>
      </c>
      <c r="I4028" s="9" t="s">
        <v>20</v>
      </c>
      <c r="J4028" s="10"/>
      <c r="K4028" s="14" t="s">
        <v>398</v>
      </c>
      <c r="N4028" s="14" t="str">
        <f>IFERROR(__xludf.DUMMYFUNCTION("""COMPUTED_VALUE"""),"")</f>
        <v/>
      </c>
      <c r="O4028" s="14"/>
    </row>
    <row r="4029" ht="22.5" hidden="1" customHeight="1">
      <c r="A4029" s="8">
        <v>46097.40095831019</v>
      </c>
      <c r="B4029" s="14">
        <v>46097.0</v>
      </c>
      <c r="C4029" s="9" t="s">
        <v>86</v>
      </c>
      <c r="D4029" s="9" t="s">
        <v>247</v>
      </c>
      <c r="E4029" s="9" t="s">
        <v>61</v>
      </c>
      <c r="F4029" s="9" t="s">
        <v>60</v>
      </c>
      <c r="G4029" s="9" t="s">
        <v>410</v>
      </c>
      <c r="H4029" s="9" t="s">
        <v>62</v>
      </c>
      <c r="I4029" s="9" t="s">
        <v>20</v>
      </c>
      <c r="J4029" s="10"/>
      <c r="K4029" s="14" t="s">
        <v>398</v>
      </c>
      <c r="N4029" s="14" t="str">
        <f>IFERROR(__xludf.DUMMYFUNCTION("""COMPUTED_VALUE"""),"")</f>
        <v/>
      </c>
      <c r="O4029" s="14"/>
    </row>
    <row r="4030" ht="22.5" hidden="1" customHeight="1">
      <c r="A4030" s="8">
        <v>46097.4067740162</v>
      </c>
      <c r="B4030" s="14">
        <v>46097.0</v>
      </c>
      <c r="C4030" s="9" t="s">
        <v>86</v>
      </c>
      <c r="D4030" s="9" t="s">
        <v>177</v>
      </c>
      <c r="E4030" s="9" t="s">
        <v>17</v>
      </c>
      <c r="F4030" s="9" t="s">
        <v>17</v>
      </c>
      <c r="G4030" s="9" t="s">
        <v>410</v>
      </c>
      <c r="H4030" s="9" t="s">
        <v>17</v>
      </c>
      <c r="I4030" s="9" t="s">
        <v>20</v>
      </c>
      <c r="J4030" s="10"/>
      <c r="K4030" s="14" t="s">
        <v>398</v>
      </c>
      <c r="N4030" s="14" t="str">
        <f>IFERROR(__xludf.DUMMYFUNCTION("""COMPUTED_VALUE"""),"")</f>
        <v/>
      </c>
      <c r="O4030" s="14"/>
    </row>
    <row r="4031" ht="22.5" hidden="1" customHeight="1">
      <c r="A4031" s="8">
        <v>46097.40762475695</v>
      </c>
      <c r="B4031" s="14">
        <v>46097.0</v>
      </c>
      <c r="C4031" s="9" t="s">
        <v>86</v>
      </c>
      <c r="D4031" s="9" t="s">
        <v>171</v>
      </c>
      <c r="E4031" s="9" t="s">
        <v>17</v>
      </c>
      <c r="F4031" s="9" t="s">
        <v>17</v>
      </c>
      <c r="G4031" s="9">
        <v>7.0</v>
      </c>
      <c r="H4031" s="9" t="s">
        <v>22</v>
      </c>
      <c r="I4031" s="9" t="s">
        <v>20</v>
      </c>
      <c r="J4031" s="10"/>
      <c r="K4031" s="14" t="s">
        <v>398</v>
      </c>
      <c r="N4031" s="14" t="str">
        <f>IFERROR(__xludf.DUMMYFUNCTION("""COMPUTED_VALUE"""),"")</f>
        <v/>
      </c>
      <c r="O4031" s="14"/>
    </row>
    <row r="4032" ht="22.5" hidden="1" customHeight="1">
      <c r="A4032" s="8">
        <v>46097.40828216435</v>
      </c>
      <c r="B4032" s="14">
        <v>46097.0</v>
      </c>
      <c r="C4032" s="9" t="s">
        <v>86</v>
      </c>
      <c r="D4032" s="9" t="s">
        <v>259</v>
      </c>
      <c r="E4032" s="9" t="s">
        <v>17</v>
      </c>
      <c r="F4032" s="9" t="s">
        <v>17</v>
      </c>
      <c r="G4032" s="9">
        <v>8.0</v>
      </c>
      <c r="H4032" s="9" t="s">
        <v>22</v>
      </c>
      <c r="I4032" s="9" t="s">
        <v>20</v>
      </c>
      <c r="J4032" s="10"/>
      <c r="K4032" s="14" t="s">
        <v>398</v>
      </c>
      <c r="N4032" s="14" t="str">
        <f>IFERROR(__xludf.DUMMYFUNCTION("""COMPUTED_VALUE"""),"")</f>
        <v/>
      </c>
      <c r="O4032" s="14"/>
    </row>
    <row r="4033" ht="22.5" hidden="1" customHeight="1">
      <c r="A4033" s="8">
        <v>46097.40853340278</v>
      </c>
      <c r="B4033" s="14">
        <v>46097.0</v>
      </c>
      <c r="C4033" s="9" t="s">
        <v>86</v>
      </c>
      <c r="D4033" s="9" t="s">
        <v>335</v>
      </c>
      <c r="E4033" s="9" t="s">
        <v>17</v>
      </c>
      <c r="F4033" s="9" t="s">
        <v>17</v>
      </c>
      <c r="G4033" s="9">
        <v>7.0</v>
      </c>
      <c r="H4033" s="9" t="s">
        <v>25</v>
      </c>
      <c r="I4033" s="9" t="s">
        <v>411</v>
      </c>
      <c r="J4033" s="10"/>
      <c r="K4033" s="14" t="s">
        <v>398</v>
      </c>
      <c r="N4033" s="14" t="str">
        <f>IFERROR(__xludf.DUMMYFUNCTION("""COMPUTED_VALUE"""),"")</f>
        <v/>
      </c>
      <c r="O4033" s="14"/>
    </row>
    <row r="4034" ht="22.5" hidden="1" customHeight="1">
      <c r="A4034" s="8">
        <v>46097.40875685185</v>
      </c>
      <c r="B4034" s="14">
        <v>46097.0</v>
      </c>
      <c r="C4034" s="9" t="s">
        <v>86</v>
      </c>
      <c r="D4034" s="9" t="s">
        <v>174</v>
      </c>
      <c r="E4034" s="9" t="s">
        <v>17</v>
      </c>
      <c r="F4034" s="9" t="s">
        <v>17</v>
      </c>
      <c r="G4034" s="9">
        <v>8.0</v>
      </c>
      <c r="H4034" s="9" t="s">
        <v>22</v>
      </c>
      <c r="I4034" s="9" t="s">
        <v>20</v>
      </c>
      <c r="J4034" s="10"/>
      <c r="K4034" s="14" t="s">
        <v>398</v>
      </c>
      <c r="N4034" s="14" t="str">
        <f>IFERROR(__xludf.DUMMYFUNCTION("""COMPUTED_VALUE"""),"")</f>
        <v/>
      </c>
      <c r="O4034" s="14"/>
    </row>
    <row r="4035" ht="22.5" hidden="1" customHeight="1">
      <c r="A4035" s="8">
        <v>46097.409025891204</v>
      </c>
      <c r="B4035" s="14">
        <v>46097.0</v>
      </c>
      <c r="C4035" s="9" t="s">
        <v>86</v>
      </c>
      <c r="D4035" s="9" t="s">
        <v>210</v>
      </c>
      <c r="E4035" s="9" t="s">
        <v>17</v>
      </c>
      <c r="F4035" s="9" t="s">
        <v>17</v>
      </c>
      <c r="G4035" s="9">
        <v>7.0</v>
      </c>
      <c r="H4035" s="9" t="s">
        <v>25</v>
      </c>
      <c r="I4035" s="9" t="s">
        <v>67</v>
      </c>
      <c r="J4035" s="10"/>
      <c r="K4035" s="14" t="s">
        <v>398</v>
      </c>
      <c r="N4035" s="14" t="str">
        <f>IFERROR(__xludf.DUMMYFUNCTION("""COMPUTED_VALUE"""),"")</f>
        <v/>
      </c>
      <c r="O4035" s="14"/>
    </row>
    <row r="4036" ht="22.5" hidden="1" customHeight="1">
      <c r="A4036" s="8">
        <v>46097.40935105324</v>
      </c>
      <c r="B4036" s="14">
        <v>46097.0</v>
      </c>
      <c r="C4036" s="9" t="s">
        <v>86</v>
      </c>
      <c r="D4036" s="9" t="s">
        <v>350</v>
      </c>
      <c r="E4036" s="9" t="s">
        <v>17</v>
      </c>
      <c r="F4036" s="9" t="s">
        <v>17</v>
      </c>
      <c r="G4036" s="9">
        <v>7.0</v>
      </c>
      <c r="H4036" s="9" t="s">
        <v>25</v>
      </c>
      <c r="I4036" s="9" t="s">
        <v>173</v>
      </c>
      <c r="J4036" s="10"/>
      <c r="K4036" s="14" t="s">
        <v>398</v>
      </c>
      <c r="N4036" s="14" t="str">
        <f>IFERROR(__xludf.DUMMYFUNCTION("""COMPUTED_VALUE"""),"")</f>
        <v/>
      </c>
      <c r="O4036" s="14"/>
    </row>
    <row r="4037" ht="22.5" hidden="1" customHeight="1">
      <c r="A4037" s="8">
        <v>46097.40959069444</v>
      </c>
      <c r="B4037" s="14">
        <v>46097.0</v>
      </c>
      <c r="C4037" s="9" t="s">
        <v>86</v>
      </c>
      <c r="D4037" s="9" t="s">
        <v>357</v>
      </c>
      <c r="E4037" s="9" t="s">
        <v>17</v>
      </c>
      <c r="F4037" s="9" t="s">
        <v>17</v>
      </c>
      <c r="G4037" s="9">
        <v>7.0</v>
      </c>
      <c r="H4037" s="9" t="s">
        <v>22</v>
      </c>
      <c r="I4037" s="9" t="s">
        <v>20</v>
      </c>
      <c r="J4037" s="10"/>
      <c r="K4037" s="14" t="s">
        <v>398</v>
      </c>
      <c r="N4037" s="14" t="str">
        <f>IFERROR(__xludf.DUMMYFUNCTION("""COMPUTED_VALUE"""),"")</f>
        <v/>
      </c>
      <c r="O4037" s="14"/>
    </row>
    <row r="4038" ht="22.5" hidden="1" customHeight="1">
      <c r="A4038" s="8">
        <v>46097.40989456019</v>
      </c>
      <c r="B4038" s="14">
        <v>46097.0</v>
      </c>
      <c r="C4038" s="9" t="s">
        <v>86</v>
      </c>
      <c r="D4038" s="9" t="s">
        <v>393</v>
      </c>
      <c r="E4038" s="9" t="s">
        <v>17</v>
      </c>
      <c r="F4038" s="9" t="s">
        <v>17</v>
      </c>
      <c r="G4038" s="9">
        <v>7.0</v>
      </c>
      <c r="H4038" s="9" t="s">
        <v>22</v>
      </c>
      <c r="I4038" s="9" t="s">
        <v>20</v>
      </c>
      <c r="J4038" s="10"/>
      <c r="K4038" s="14" t="s">
        <v>398</v>
      </c>
      <c r="N4038" s="14" t="str">
        <f>IFERROR(__xludf.DUMMYFUNCTION("""COMPUTED_VALUE"""),"")</f>
        <v/>
      </c>
      <c r="O4038" s="14"/>
    </row>
    <row r="4039" ht="22.5" hidden="1" customHeight="1">
      <c r="A4039" s="8">
        <v>46097.41026755787</v>
      </c>
      <c r="B4039" s="14">
        <v>46097.0</v>
      </c>
      <c r="C4039" s="9" t="s">
        <v>86</v>
      </c>
      <c r="D4039" s="9" t="s">
        <v>408</v>
      </c>
      <c r="E4039" s="9" t="s">
        <v>17</v>
      </c>
      <c r="F4039" s="9" t="s">
        <v>17</v>
      </c>
      <c r="G4039" s="9">
        <v>7.0</v>
      </c>
      <c r="H4039" s="9" t="s">
        <v>22</v>
      </c>
      <c r="I4039" s="9" t="s">
        <v>20</v>
      </c>
      <c r="J4039" s="10"/>
      <c r="K4039" s="14" t="s">
        <v>398</v>
      </c>
      <c r="N4039" s="14" t="str">
        <f>IFERROR(__xludf.DUMMYFUNCTION("""COMPUTED_VALUE"""),"")</f>
        <v/>
      </c>
      <c r="O4039" s="14"/>
    </row>
    <row r="4040" ht="22.5" hidden="1" customHeight="1">
      <c r="A4040" s="8">
        <v>46097.41057782408</v>
      </c>
      <c r="B4040" s="14">
        <v>46097.0</v>
      </c>
      <c r="C4040" s="9" t="s">
        <v>86</v>
      </c>
      <c r="D4040" s="9" t="s">
        <v>369</v>
      </c>
      <c r="E4040" s="9" t="s">
        <v>17</v>
      </c>
      <c r="F4040" s="9" t="s">
        <v>17</v>
      </c>
      <c r="G4040" s="9">
        <v>7.0</v>
      </c>
      <c r="H4040" s="9" t="s">
        <v>25</v>
      </c>
      <c r="I4040" s="9" t="s">
        <v>41</v>
      </c>
      <c r="J4040" s="10"/>
      <c r="K4040" s="14" t="s">
        <v>398</v>
      </c>
      <c r="N4040" s="14" t="str">
        <f>IFERROR(__xludf.DUMMYFUNCTION("""COMPUTED_VALUE"""),"")</f>
        <v/>
      </c>
      <c r="O4040" s="14"/>
    </row>
    <row r="4041" ht="22.5" hidden="1" customHeight="1">
      <c r="A4041" s="8">
        <v>46097.411074675925</v>
      </c>
      <c r="B4041" s="14">
        <v>46097.0</v>
      </c>
      <c r="C4041" s="9" t="s">
        <v>86</v>
      </c>
      <c r="D4041" s="9" t="s">
        <v>414</v>
      </c>
      <c r="E4041" s="9" t="s">
        <v>46</v>
      </c>
      <c r="F4041" s="9" t="s">
        <v>60</v>
      </c>
      <c r="G4041" s="9">
        <v>7.0</v>
      </c>
      <c r="H4041" s="9" t="s">
        <v>25</v>
      </c>
      <c r="I4041" s="9" t="s">
        <v>429</v>
      </c>
      <c r="J4041" s="10"/>
      <c r="K4041" s="14" t="s">
        <v>398</v>
      </c>
      <c r="N4041" s="14" t="str">
        <f>IFERROR(__xludf.DUMMYFUNCTION("""COMPUTED_VALUE"""),"")</f>
        <v/>
      </c>
      <c r="O4041" s="14"/>
    </row>
    <row r="4042" ht="22.5" hidden="1" customHeight="1">
      <c r="A4042" s="8">
        <v>46097.41133333334</v>
      </c>
      <c r="B4042" s="14">
        <v>46097.0</v>
      </c>
      <c r="C4042" s="9" t="s">
        <v>86</v>
      </c>
      <c r="D4042" s="9" t="s">
        <v>421</v>
      </c>
      <c r="E4042" s="9" t="s">
        <v>17</v>
      </c>
      <c r="F4042" s="9" t="s">
        <v>17</v>
      </c>
      <c r="G4042" s="9">
        <v>7.0</v>
      </c>
      <c r="H4042" s="9" t="s">
        <v>22</v>
      </c>
      <c r="I4042" s="9" t="s">
        <v>20</v>
      </c>
      <c r="J4042" s="10"/>
      <c r="K4042" s="14" t="s">
        <v>398</v>
      </c>
      <c r="N4042" s="14" t="str">
        <f>IFERROR(__xludf.DUMMYFUNCTION("""COMPUTED_VALUE"""),"")</f>
        <v/>
      </c>
      <c r="O4042" s="14"/>
    </row>
    <row r="4043" ht="22.5" hidden="1" customHeight="1">
      <c r="A4043" s="8">
        <v>46097.41155819445</v>
      </c>
      <c r="B4043" s="14">
        <v>46097.0</v>
      </c>
      <c r="C4043" s="9" t="s">
        <v>86</v>
      </c>
      <c r="D4043" s="9" t="s">
        <v>423</v>
      </c>
      <c r="E4043" s="9" t="s">
        <v>17</v>
      </c>
      <c r="F4043" s="9" t="s">
        <v>17</v>
      </c>
      <c r="G4043" s="9">
        <v>7.0</v>
      </c>
      <c r="H4043" s="9" t="s">
        <v>22</v>
      </c>
      <c r="I4043" s="9" t="s">
        <v>20</v>
      </c>
      <c r="J4043" s="10"/>
      <c r="K4043" s="14" t="s">
        <v>398</v>
      </c>
      <c r="N4043" s="14" t="str">
        <f>IFERROR(__xludf.DUMMYFUNCTION("""COMPUTED_VALUE"""),"")</f>
        <v/>
      </c>
      <c r="O4043" s="14"/>
    </row>
    <row r="4044" ht="22.5" hidden="1" customHeight="1">
      <c r="A4044" s="8">
        <v>46097.411772928244</v>
      </c>
      <c r="B4044" s="14">
        <v>46097.0</v>
      </c>
      <c r="C4044" s="9" t="s">
        <v>86</v>
      </c>
      <c r="D4044" s="9" t="s">
        <v>178</v>
      </c>
      <c r="E4044" s="9" t="s">
        <v>17</v>
      </c>
      <c r="F4044" s="9" t="s">
        <v>17</v>
      </c>
      <c r="G4044" s="9">
        <v>7.0</v>
      </c>
      <c r="H4044" s="9" t="s">
        <v>22</v>
      </c>
      <c r="I4044" s="9" t="s">
        <v>20</v>
      </c>
      <c r="J4044" s="10"/>
      <c r="K4044" s="14" t="s">
        <v>398</v>
      </c>
      <c r="N4044" s="14" t="str">
        <f>IFERROR(__xludf.DUMMYFUNCTION("""COMPUTED_VALUE"""),"")</f>
        <v/>
      </c>
      <c r="O4044" s="14"/>
    </row>
    <row r="4045" ht="22.5" hidden="1" customHeight="1">
      <c r="A4045" s="8">
        <v>46098.59189092593</v>
      </c>
      <c r="B4045" s="14">
        <v>46098.0</v>
      </c>
      <c r="C4045" s="9" t="s">
        <v>110</v>
      </c>
      <c r="D4045" s="9" t="s">
        <v>393</v>
      </c>
      <c r="E4045" s="9" t="s">
        <v>17</v>
      </c>
      <c r="F4045" s="9" t="s">
        <v>17</v>
      </c>
      <c r="G4045" s="9">
        <v>8.0</v>
      </c>
      <c r="H4045" s="9" t="s">
        <v>22</v>
      </c>
      <c r="I4045" s="9" t="s">
        <v>20</v>
      </c>
      <c r="J4045" s="10"/>
      <c r="K4045" s="14">
        <v>3.0</v>
      </c>
      <c r="N4045" s="14" t="str">
        <f>IFERROR(__xludf.DUMMYFUNCTION("""COMPUTED_VALUE"""),"")</f>
        <v/>
      </c>
      <c r="O4045" s="14"/>
    </row>
    <row r="4046" ht="22.5" hidden="1" customHeight="1">
      <c r="A4046" s="8">
        <v>46098.59235651621</v>
      </c>
      <c r="B4046" s="14">
        <v>46098.0</v>
      </c>
      <c r="C4046" s="9" t="s">
        <v>110</v>
      </c>
      <c r="D4046" s="9" t="s">
        <v>357</v>
      </c>
      <c r="E4046" s="9" t="s">
        <v>17</v>
      </c>
      <c r="F4046" s="9" t="s">
        <v>17</v>
      </c>
      <c r="G4046" s="9" t="s">
        <v>409</v>
      </c>
      <c r="H4046" s="9" t="s">
        <v>22</v>
      </c>
      <c r="I4046" s="9" t="s">
        <v>20</v>
      </c>
      <c r="J4046" s="10"/>
      <c r="K4046" s="14" t="s">
        <v>398</v>
      </c>
      <c r="N4046" s="14" t="str">
        <f>IFERROR(__xludf.DUMMYFUNCTION("""COMPUTED_VALUE"""),"")</f>
        <v/>
      </c>
      <c r="O4046" s="14"/>
    </row>
    <row r="4047" ht="22.5" hidden="1" customHeight="1">
      <c r="A4047" s="8">
        <v>46098.59286712963</v>
      </c>
      <c r="B4047" s="14">
        <v>46098.0</v>
      </c>
      <c r="C4047" s="9" t="s">
        <v>110</v>
      </c>
      <c r="D4047" s="9" t="s">
        <v>412</v>
      </c>
      <c r="E4047" s="9" t="s">
        <v>17</v>
      </c>
      <c r="F4047" s="9" t="s">
        <v>17</v>
      </c>
      <c r="G4047" s="9" t="s">
        <v>409</v>
      </c>
      <c r="H4047" s="9" t="s">
        <v>22</v>
      </c>
      <c r="I4047" s="9" t="s">
        <v>20</v>
      </c>
      <c r="J4047" s="10"/>
      <c r="K4047" s="14">
        <v>5.0</v>
      </c>
      <c r="N4047" s="14" t="str">
        <f>IFERROR(__xludf.DUMMYFUNCTION("""COMPUTED_VALUE"""),"")</f>
        <v/>
      </c>
      <c r="O4047" s="14"/>
    </row>
    <row r="4048" ht="22.5" hidden="1" customHeight="1">
      <c r="A4048" s="8">
        <v>46098.60542353009</v>
      </c>
      <c r="B4048" s="14">
        <v>46098.0</v>
      </c>
      <c r="C4048" s="9" t="s">
        <v>110</v>
      </c>
      <c r="D4048" s="9" t="s">
        <v>369</v>
      </c>
      <c r="E4048" s="9" t="s">
        <v>17</v>
      </c>
      <c r="F4048" s="9" t="s">
        <v>17</v>
      </c>
      <c r="G4048" s="9" t="s">
        <v>409</v>
      </c>
      <c r="H4048" s="9" t="s">
        <v>25</v>
      </c>
      <c r="I4048" s="9" t="s">
        <v>37</v>
      </c>
      <c r="J4048" s="10"/>
      <c r="K4048" s="14" t="s">
        <v>398</v>
      </c>
      <c r="N4048" s="14" t="str">
        <f>IFERROR(__xludf.DUMMYFUNCTION("""COMPUTED_VALUE"""),"")</f>
        <v/>
      </c>
      <c r="O4048" s="14"/>
    </row>
    <row r="4049" ht="22.5" hidden="1" customHeight="1">
      <c r="A4049" s="8">
        <v>46098.605636064814</v>
      </c>
      <c r="B4049" s="14">
        <v>46098.0</v>
      </c>
      <c r="C4049" s="9" t="s">
        <v>110</v>
      </c>
      <c r="D4049" s="9" t="s">
        <v>105</v>
      </c>
      <c r="E4049" s="9" t="s">
        <v>17</v>
      </c>
      <c r="F4049" s="9" t="s">
        <v>17</v>
      </c>
      <c r="G4049" s="9">
        <v>8.0</v>
      </c>
      <c r="H4049" s="9" t="s">
        <v>22</v>
      </c>
      <c r="I4049" s="9" t="s">
        <v>20</v>
      </c>
      <c r="J4049" s="10"/>
      <c r="K4049" s="14" t="s">
        <v>398</v>
      </c>
      <c r="N4049" s="14" t="str">
        <f>IFERROR(__xludf.DUMMYFUNCTION("""COMPUTED_VALUE"""),"")</f>
        <v/>
      </c>
      <c r="O4049" s="14"/>
    </row>
    <row r="4050" ht="22.5" hidden="1" customHeight="1">
      <c r="A4050" s="8">
        <v>46098.605899016206</v>
      </c>
      <c r="B4050" s="14">
        <v>46098.0</v>
      </c>
      <c r="C4050" s="9" t="s">
        <v>110</v>
      </c>
      <c r="D4050" s="9" t="s">
        <v>258</v>
      </c>
      <c r="E4050" s="9" t="s">
        <v>17</v>
      </c>
      <c r="F4050" s="9" t="s">
        <v>17</v>
      </c>
      <c r="G4050" s="9">
        <v>7.0</v>
      </c>
      <c r="H4050" s="9" t="s">
        <v>17</v>
      </c>
      <c r="I4050" s="9" t="s">
        <v>20</v>
      </c>
      <c r="J4050" s="10"/>
      <c r="K4050" s="14">
        <v>6.0</v>
      </c>
      <c r="N4050" s="14" t="str">
        <f>IFERROR(__xludf.DUMMYFUNCTION("""COMPUTED_VALUE"""),"")</f>
        <v/>
      </c>
      <c r="O4050" s="14"/>
    </row>
    <row r="4051" ht="22.5" hidden="1" customHeight="1">
      <c r="A4051" s="8">
        <v>46098.60601365741</v>
      </c>
      <c r="B4051" s="14">
        <v>46098.0</v>
      </c>
      <c r="C4051" s="9" t="s">
        <v>110</v>
      </c>
      <c r="D4051" s="9" t="s">
        <v>280</v>
      </c>
      <c r="E4051" s="9" t="s">
        <v>17</v>
      </c>
      <c r="F4051" s="9" t="s">
        <v>17</v>
      </c>
      <c r="G4051" s="9">
        <v>8.0</v>
      </c>
      <c r="H4051" s="9" t="s">
        <v>22</v>
      </c>
      <c r="I4051" s="9" t="s">
        <v>20</v>
      </c>
      <c r="J4051" s="10"/>
      <c r="K4051" s="14" t="s">
        <v>398</v>
      </c>
      <c r="N4051" s="14" t="str">
        <f>IFERROR(__xludf.DUMMYFUNCTION("""COMPUTED_VALUE"""),"")</f>
        <v/>
      </c>
      <c r="O4051" s="14"/>
    </row>
    <row r="4052" ht="22.5" hidden="1" customHeight="1">
      <c r="A4052" s="8">
        <v>46098.606379062505</v>
      </c>
      <c r="B4052" s="14">
        <v>46098.0</v>
      </c>
      <c r="C4052" s="9" t="s">
        <v>110</v>
      </c>
      <c r="D4052" s="9" t="s">
        <v>421</v>
      </c>
      <c r="E4052" s="9" t="s">
        <v>17</v>
      </c>
      <c r="F4052" s="9" t="s">
        <v>17</v>
      </c>
      <c r="G4052" s="9">
        <v>8.0</v>
      </c>
      <c r="H4052" s="9" t="s">
        <v>17</v>
      </c>
      <c r="I4052" s="9" t="s">
        <v>20</v>
      </c>
      <c r="J4052" s="10"/>
      <c r="K4052" s="14">
        <v>5.0</v>
      </c>
      <c r="N4052" s="14" t="str">
        <f>IFERROR(__xludf.DUMMYFUNCTION("""COMPUTED_VALUE"""),"")</f>
        <v/>
      </c>
      <c r="O4052" s="14"/>
    </row>
    <row r="4053" ht="22.5" hidden="1" customHeight="1">
      <c r="A4053" s="8">
        <v>46098.60638439815</v>
      </c>
      <c r="B4053" s="14">
        <v>46098.0</v>
      </c>
      <c r="C4053" s="9" t="s">
        <v>110</v>
      </c>
      <c r="D4053" s="9" t="s">
        <v>408</v>
      </c>
      <c r="E4053" s="9" t="s">
        <v>17</v>
      </c>
      <c r="F4053" s="9" t="s">
        <v>17</v>
      </c>
      <c r="G4053" s="9">
        <v>8.0</v>
      </c>
      <c r="H4053" s="9" t="s">
        <v>22</v>
      </c>
      <c r="I4053" s="9" t="s">
        <v>20</v>
      </c>
      <c r="J4053" s="10"/>
      <c r="K4053" s="14" t="s">
        <v>398</v>
      </c>
      <c r="N4053" s="14" t="str">
        <f>IFERROR(__xludf.DUMMYFUNCTION("""COMPUTED_VALUE"""),"")</f>
        <v/>
      </c>
      <c r="O4053" s="14"/>
    </row>
    <row r="4054" ht="22.5" hidden="1" customHeight="1">
      <c r="A4054" s="8">
        <v>46098.607467800924</v>
      </c>
      <c r="B4054" s="14">
        <v>46098.0</v>
      </c>
      <c r="C4054" s="9" t="s">
        <v>110</v>
      </c>
      <c r="D4054" s="9" t="s">
        <v>177</v>
      </c>
      <c r="E4054" s="9" t="s">
        <v>17</v>
      </c>
      <c r="F4054" s="9" t="s">
        <v>17</v>
      </c>
      <c r="G4054" s="9">
        <v>7.0</v>
      </c>
      <c r="H4054" s="9" t="s">
        <v>17</v>
      </c>
      <c r="I4054" s="9" t="s">
        <v>20</v>
      </c>
      <c r="J4054" s="10"/>
      <c r="K4054" s="14" t="s">
        <v>398</v>
      </c>
      <c r="N4054" s="14" t="str">
        <f>IFERROR(__xludf.DUMMYFUNCTION("""COMPUTED_VALUE"""),"")</f>
        <v/>
      </c>
      <c r="O4054" s="14"/>
    </row>
    <row r="4055" ht="22.5" hidden="1" customHeight="1">
      <c r="A4055" s="8">
        <v>46098.60885590278</v>
      </c>
      <c r="B4055" s="14">
        <v>46098.0</v>
      </c>
      <c r="C4055" s="9" t="s">
        <v>110</v>
      </c>
      <c r="D4055" s="9" t="s">
        <v>413</v>
      </c>
      <c r="E4055" s="9" t="s">
        <v>17</v>
      </c>
      <c r="F4055" s="9" t="s">
        <v>17</v>
      </c>
      <c r="G4055" s="9">
        <v>8.0</v>
      </c>
      <c r="H4055" s="9" t="s">
        <v>22</v>
      </c>
      <c r="I4055" s="9" t="s">
        <v>20</v>
      </c>
      <c r="J4055" s="10"/>
      <c r="K4055" s="14">
        <v>5.0</v>
      </c>
      <c r="N4055" s="14" t="str">
        <f>IFERROR(__xludf.DUMMYFUNCTION("""COMPUTED_VALUE"""),"")</f>
        <v/>
      </c>
      <c r="O4055" s="14"/>
    </row>
    <row r="4056" ht="22.5" hidden="1" customHeight="1">
      <c r="A4056" s="8">
        <v>46098.61202803241</v>
      </c>
      <c r="B4056" s="14">
        <v>46098.0</v>
      </c>
      <c r="C4056" s="9" t="s">
        <v>110</v>
      </c>
      <c r="D4056" s="9" t="s">
        <v>395</v>
      </c>
      <c r="E4056" s="9" t="s">
        <v>17</v>
      </c>
      <c r="F4056" s="9" t="s">
        <v>17</v>
      </c>
      <c r="G4056" s="9" t="s">
        <v>409</v>
      </c>
      <c r="H4056" s="9" t="s">
        <v>22</v>
      </c>
      <c r="I4056" s="9" t="s">
        <v>20</v>
      </c>
      <c r="J4056" s="10"/>
      <c r="K4056" s="14">
        <v>3.0</v>
      </c>
      <c r="N4056" s="14" t="str">
        <f>IFERROR(__xludf.DUMMYFUNCTION("""COMPUTED_VALUE"""),"")</f>
        <v/>
      </c>
      <c r="O4056" s="14"/>
    </row>
    <row r="4057" ht="22.5" hidden="1" customHeight="1">
      <c r="A4057" s="8">
        <v>46098.62389673611</v>
      </c>
      <c r="B4057" s="14">
        <v>46098.0</v>
      </c>
      <c r="C4057" s="9" t="s">
        <v>110</v>
      </c>
      <c r="D4057" s="9" t="s">
        <v>174</v>
      </c>
      <c r="E4057" s="9" t="s">
        <v>30</v>
      </c>
      <c r="F4057" s="9" t="s">
        <v>17</v>
      </c>
      <c r="G4057" s="9">
        <v>7.0</v>
      </c>
      <c r="H4057" s="9" t="s">
        <v>25</v>
      </c>
      <c r="I4057" s="9" t="s">
        <v>79</v>
      </c>
      <c r="J4057" s="10"/>
      <c r="K4057" s="14">
        <v>4.0</v>
      </c>
      <c r="N4057" s="14" t="str">
        <f>IFERROR(__xludf.DUMMYFUNCTION("""COMPUTED_VALUE"""),"")</f>
        <v/>
      </c>
      <c r="O4057" s="14"/>
    </row>
    <row r="4058" ht="22.5" hidden="1" customHeight="1">
      <c r="A4058" s="8">
        <v>46098.62809696759</v>
      </c>
      <c r="B4058" s="14">
        <v>46098.0</v>
      </c>
      <c r="C4058" s="9" t="s">
        <v>110</v>
      </c>
      <c r="D4058" s="9" t="s">
        <v>249</v>
      </c>
      <c r="E4058" s="9" t="s">
        <v>17</v>
      </c>
      <c r="F4058" s="9" t="s">
        <v>17</v>
      </c>
      <c r="G4058" s="9">
        <v>8.0</v>
      </c>
      <c r="H4058" s="9" t="s">
        <v>22</v>
      </c>
      <c r="I4058" s="9" t="s">
        <v>20</v>
      </c>
      <c r="J4058" s="10"/>
      <c r="K4058" s="14">
        <v>7.0</v>
      </c>
      <c r="N4058" s="14" t="str">
        <f>IFERROR(__xludf.DUMMYFUNCTION("""COMPUTED_VALUE"""),"")</f>
        <v/>
      </c>
      <c r="O4058" s="14"/>
    </row>
    <row r="4059" ht="22.5" hidden="1" customHeight="1">
      <c r="A4059" s="8">
        <v>46098.62839748843</v>
      </c>
      <c r="B4059" s="14">
        <v>46098.0</v>
      </c>
      <c r="C4059" s="9" t="s">
        <v>110</v>
      </c>
      <c r="D4059" s="9" t="s">
        <v>178</v>
      </c>
      <c r="E4059" s="9" t="s">
        <v>30</v>
      </c>
      <c r="F4059" s="9" t="s">
        <v>18</v>
      </c>
      <c r="G4059" s="9">
        <v>8.0</v>
      </c>
      <c r="H4059" s="9" t="s">
        <v>22</v>
      </c>
      <c r="I4059" s="9" t="s">
        <v>20</v>
      </c>
      <c r="J4059" s="10"/>
      <c r="K4059" s="14" t="s">
        <v>398</v>
      </c>
      <c r="N4059" s="14" t="str">
        <f>IFERROR(__xludf.DUMMYFUNCTION("""COMPUTED_VALUE"""),"")</f>
        <v/>
      </c>
      <c r="O4059" s="14"/>
    </row>
    <row r="4060" ht="22.5" hidden="1" customHeight="1">
      <c r="A4060" s="8">
        <v>46098.62936798611</v>
      </c>
      <c r="B4060" s="14">
        <v>46098.0</v>
      </c>
      <c r="C4060" s="9" t="s">
        <v>110</v>
      </c>
      <c r="D4060" s="9" t="s">
        <v>171</v>
      </c>
      <c r="E4060" s="9" t="s">
        <v>30</v>
      </c>
      <c r="F4060" s="9" t="s">
        <v>18</v>
      </c>
      <c r="G4060" s="9">
        <v>8.0</v>
      </c>
      <c r="H4060" s="9" t="s">
        <v>22</v>
      </c>
      <c r="I4060" s="9" t="s">
        <v>20</v>
      </c>
      <c r="J4060" s="10"/>
      <c r="K4060" s="14">
        <v>4.0</v>
      </c>
      <c r="N4060" s="14" t="str">
        <f>IFERROR(__xludf.DUMMYFUNCTION("""COMPUTED_VALUE"""),"")</f>
        <v/>
      </c>
      <c r="O4060" s="14"/>
    </row>
    <row r="4061" ht="22.5" hidden="1" customHeight="1">
      <c r="A4061" s="8">
        <v>46098.6296875</v>
      </c>
      <c r="B4061" s="14">
        <v>46098.0</v>
      </c>
      <c r="C4061" s="9" t="s">
        <v>110</v>
      </c>
      <c r="D4061" s="9" t="s">
        <v>423</v>
      </c>
      <c r="E4061" s="9" t="s">
        <v>30</v>
      </c>
      <c r="F4061" s="9" t="s">
        <v>18</v>
      </c>
      <c r="G4061" s="9" t="s">
        <v>409</v>
      </c>
      <c r="H4061" s="9" t="s">
        <v>22</v>
      </c>
      <c r="I4061" s="9" t="s">
        <v>20</v>
      </c>
      <c r="J4061" s="10"/>
      <c r="K4061" s="14">
        <v>6.0</v>
      </c>
      <c r="N4061" s="14" t="str">
        <f>IFERROR(__xludf.DUMMYFUNCTION("""COMPUTED_VALUE"""),"")</f>
        <v/>
      </c>
      <c r="O4061" s="14"/>
    </row>
    <row r="4062" ht="22.5" hidden="1" customHeight="1">
      <c r="A4062" s="8">
        <v>46098.630422685186</v>
      </c>
      <c r="B4062" s="14">
        <v>46098.0</v>
      </c>
      <c r="C4062" s="9" t="s">
        <v>110</v>
      </c>
      <c r="D4062" s="9" t="s">
        <v>335</v>
      </c>
      <c r="E4062" s="9" t="s">
        <v>30</v>
      </c>
      <c r="F4062" s="9" t="s">
        <v>18</v>
      </c>
      <c r="G4062" s="9" t="s">
        <v>409</v>
      </c>
      <c r="H4062" s="9" t="s">
        <v>25</v>
      </c>
      <c r="I4062" s="9" t="s">
        <v>411</v>
      </c>
      <c r="J4062" s="10"/>
      <c r="K4062" s="14" t="s">
        <v>398</v>
      </c>
      <c r="N4062" s="14" t="str">
        <f>IFERROR(__xludf.DUMMYFUNCTION("""COMPUTED_VALUE"""),"")</f>
        <v/>
      </c>
      <c r="O4062" s="14"/>
    </row>
    <row r="4063" ht="22.5" hidden="1" customHeight="1">
      <c r="A4063" s="8">
        <v>46098.63089605324</v>
      </c>
      <c r="B4063" s="14">
        <v>46098.0</v>
      </c>
      <c r="C4063" s="9" t="s">
        <v>110</v>
      </c>
      <c r="D4063" s="9" t="s">
        <v>259</v>
      </c>
      <c r="E4063" s="9" t="s">
        <v>30</v>
      </c>
      <c r="F4063" s="9" t="s">
        <v>43</v>
      </c>
      <c r="G4063" s="9" t="s">
        <v>409</v>
      </c>
      <c r="H4063" s="9" t="s">
        <v>22</v>
      </c>
      <c r="I4063" s="9" t="s">
        <v>20</v>
      </c>
      <c r="J4063" s="10"/>
      <c r="K4063" s="14">
        <v>6.0</v>
      </c>
      <c r="N4063" s="14" t="str">
        <f>IFERROR(__xludf.DUMMYFUNCTION("""COMPUTED_VALUE"""),"")</f>
        <v/>
      </c>
      <c r="O4063" s="14"/>
    </row>
    <row r="4064" ht="22.5" hidden="1" customHeight="1">
      <c r="A4064" s="8">
        <v>46098.63150145834</v>
      </c>
      <c r="B4064" s="14">
        <v>46098.0</v>
      </c>
      <c r="C4064" s="9" t="s">
        <v>110</v>
      </c>
      <c r="D4064" s="9" t="s">
        <v>350</v>
      </c>
      <c r="E4064" s="9" t="s">
        <v>30</v>
      </c>
      <c r="F4064" s="9" t="s">
        <v>18</v>
      </c>
      <c r="G4064" s="9">
        <v>7.0</v>
      </c>
      <c r="H4064" s="9" t="s">
        <v>25</v>
      </c>
      <c r="I4064" s="9" t="s">
        <v>173</v>
      </c>
      <c r="J4064" s="10"/>
      <c r="K4064" s="14" t="s">
        <v>398</v>
      </c>
      <c r="N4064" s="14" t="str">
        <f>IFERROR(__xludf.DUMMYFUNCTION("""COMPUTED_VALUE"""),"")</f>
        <v/>
      </c>
      <c r="O4064" s="14"/>
    </row>
    <row r="4065" ht="22.5" hidden="1" customHeight="1">
      <c r="A4065" s="8">
        <v>46098.63222896991</v>
      </c>
      <c r="B4065" s="14">
        <v>46098.0</v>
      </c>
      <c r="C4065" s="9" t="s">
        <v>110</v>
      </c>
      <c r="D4065" s="9" t="s">
        <v>414</v>
      </c>
      <c r="E4065" s="9" t="s">
        <v>30</v>
      </c>
      <c r="F4065" s="9" t="s">
        <v>18</v>
      </c>
      <c r="G4065" s="9">
        <v>7.0</v>
      </c>
      <c r="H4065" s="9" t="s">
        <v>25</v>
      </c>
      <c r="I4065" s="9" t="s">
        <v>67</v>
      </c>
      <c r="J4065" s="10"/>
      <c r="K4065" s="14" t="s">
        <v>398</v>
      </c>
      <c r="N4065" s="14" t="str">
        <f>IFERROR(__xludf.DUMMYFUNCTION("""COMPUTED_VALUE"""),"")</f>
        <v/>
      </c>
      <c r="O4065" s="14"/>
    </row>
    <row r="4066" ht="22.5" hidden="1" customHeight="1">
      <c r="A4066" s="8">
        <v>46098.63311488426</v>
      </c>
      <c r="B4066" s="14">
        <v>46098.0</v>
      </c>
      <c r="C4066" s="9" t="s">
        <v>110</v>
      </c>
      <c r="D4066" s="9" t="s">
        <v>396</v>
      </c>
      <c r="E4066" s="9" t="s">
        <v>30</v>
      </c>
      <c r="F4066" s="9" t="s">
        <v>18</v>
      </c>
      <c r="G4066" s="9" t="s">
        <v>409</v>
      </c>
      <c r="H4066" s="9" t="s">
        <v>22</v>
      </c>
      <c r="I4066" s="9" t="s">
        <v>20</v>
      </c>
      <c r="J4066" s="10"/>
      <c r="K4066" s="14" t="s">
        <v>398</v>
      </c>
      <c r="N4066" s="14" t="str">
        <f>IFERROR(__xludf.DUMMYFUNCTION("""COMPUTED_VALUE"""),"")</f>
        <v/>
      </c>
      <c r="O4066" s="14"/>
    </row>
    <row r="4067" ht="22.5" hidden="1" customHeight="1">
      <c r="A4067" s="8">
        <v>46098.637198125</v>
      </c>
      <c r="B4067" s="14">
        <v>46098.0</v>
      </c>
      <c r="C4067" s="9" t="s">
        <v>110</v>
      </c>
      <c r="D4067" s="9" t="s">
        <v>257</v>
      </c>
      <c r="E4067" s="9" t="s">
        <v>30</v>
      </c>
      <c r="F4067" s="9" t="s">
        <v>18</v>
      </c>
      <c r="G4067" s="9">
        <v>8.0</v>
      </c>
      <c r="H4067" s="9" t="s">
        <v>25</v>
      </c>
      <c r="I4067" s="9" t="s">
        <v>240</v>
      </c>
      <c r="J4067" s="10"/>
      <c r="K4067" s="14" t="s">
        <v>398</v>
      </c>
      <c r="N4067" s="14" t="str">
        <f>IFERROR(__xludf.DUMMYFUNCTION("""COMPUTED_VALUE"""),"")</f>
        <v/>
      </c>
      <c r="O4067" s="14"/>
    </row>
    <row r="4068" ht="22.5" hidden="1" customHeight="1">
      <c r="A4068" s="8">
        <v>46098.63832420138</v>
      </c>
      <c r="B4068" s="14">
        <v>46098.0</v>
      </c>
      <c r="C4068" s="9" t="s">
        <v>110</v>
      </c>
      <c r="D4068" s="9" t="s">
        <v>247</v>
      </c>
      <c r="E4068" s="9" t="s">
        <v>46</v>
      </c>
      <c r="F4068" s="9" t="s">
        <v>18</v>
      </c>
      <c r="G4068" s="9">
        <v>8.0</v>
      </c>
      <c r="H4068" s="9" t="s">
        <v>22</v>
      </c>
      <c r="I4068" s="9" t="s">
        <v>20</v>
      </c>
      <c r="J4068" s="10"/>
      <c r="K4068" s="14" t="s">
        <v>398</v>
      </c>
      <c r="N4068" s="14" t="str">
        <f>IFERROR(__xludf.DUMMYFUNCTION("""COMPUTED_VALUE"""),"")</f>
        <v/>
      </c>
      <c r="O4068" s="14"/>
    </row>
    <row r="4069" ht="22.5" hidden="1" customHeight="1">
      <c r="A4069" s="8">
        <v>46100.34830431713</v>
      </c>
      <c r="B4069" s="14">
        <v>46100.0</v>
      </c>
      <c r="C4069" s="9" t="s">
        <v>31</v>
      </c>
      <c r="D4069" s="9" t="s">
        <v>258</v>
      </c>
      <c r="E4069" s="9" t="s">
        <v>17</v>
      </c>
      <c r="F4069" s="9" t="s">
        <v>17</v>
      </c>
      <c r="G4069" s="9">
        <v>6.0</v>
      </c>
      <c r="H4069" s="9" t="s">
        <v>25</v>
      </c>
      <c r="I4069" s="9" t="s">
        <v>240</v>
      </c>
      <c r="J4069" s="10"/>
      <c r="K4069" s="14" t="s">
        <v>398</v>
      </c>
      <c r="N4069" s="14" t="str">
        <f>IFERROR(__xludf.DUMMYFUNCTION("""COMPUTED_VALUE"""),"")</f>
        <v/>
      </c>
      <c r="O4069" s="14"/>
    </row>
    <row r="4070" ht="22.5" hidden="1" customHeight="1">
      <c r="A4070" s="8">
        <v>46100.349788391206</v>
      </c>
      <c r="B4070" s="14">
        <v>46100.0</v>
      </c>
      <c r="C4070" s="9" t="s">
        <v>31</v>
      </c>
      <c r="D4070" s="9" t="s">
        <v>357</v>
      </c>
      <c r="E4070" s="9" t="s">
        <v>17</v>
      </c>
      <c r="F4070" s="9" t="s">
        <v>17</v>
      </c>
      <c r="G4070" s="9">
        <v>7.0</v>
      </c>
      <c r="H4070" s="9" t="s">
        <v>25</v>
      </c>
      <c r="I4070" s="9" t="s">
        <v>240</v>
      </c>
      <c r="J4070" s="10"/>
      <c r="K4070" s="14" t="s">
        <v>398</v>
      </c>
      <c r="N4070" s="14" t="str">
        <f>IFERROR(__xludf.DUMMYFUNCTION("""COMPUTED_VALUE"""),"")</f>
        <v/>
      </c>
      <c r="O4070" s="14"/>
    </row>
    <row r="4071" ht="22.5" hidden="1" customHeight="1">
      <c r="A4071" s="8">
        <v>46100.350189178236</v>
      </c>
      <c r="B4071" s="14">
        <v>46100.0</v>
      </c>
      <c r="C4071" s="9" t="s">
        <v>31</v>
      </c>
      <c r="D4071" s="9" t="s">
        <v>249</v>
      </c>
      <c r="E4071" s="9" t="s">
        <v>17</v>
      </c>
      <c r="F4071" s="9" t="s">
        <v>17</v>
      </c>
      <c r="G4071" s="9">
        <v>8.0</v>
      </c>
      <c r="H4071" s="9" t="s">
        <v>22</v>
      </c>
      <c r="I4071" s="9" t="s">
        <v>20</v>
      </c>
      <c r="J4071" s="10"/>
      <c r="K4071" s="14">
        <v>5.0</v>
      </c>
      <c r="N4071" s="14" t="str">
        <f>IFERROR(__xludf.DUMMYFUNCTION("""COMPUTED_VALUE"""),"")</f>
        <v/>
      </c>
      <c r="O4071" s="14"/>
    </row>
    <row r="4072" ht="22.5" hidden="1" customHeight="1">
      <c r="A4072" s="8">
        <v>46100.35044892361</v>
      </c>
      <c r="B4072" s="14">
        <v>46100.0</v>
      </c>
      <c r="C4072" s="9" t="s">
        <v>31</v>
      </c>
      <c r="D4072" s="9" t="s">
        <v>280</v>
      </c>
      <c r="E4072" s="9" t="s">
        <v>17</v>
      </c>
      <c r="F4072" s="9" t="s">
        <v>17</v>
      </c>
      <c r="G4072" s="9">
        <v>8.0</v>
      </c>
      <c r="H4072" s="9" t="s">
        <v>17</v>
      </c>
      <c r="I4072" s="9" t="s">
        <v>20</v>
      </c>
      <c r="J4072" s="10"/>
      <c r="K4072" s="14" t="s">
        <v>398</v>
      </c>
      <c r="N4072" s="14" t="str">
        <f>IFERROR(__xludf.DUMMYFUNCTION("""COMPUTED_VALUE"""),"")</f>
        <v/>
      </c>
      <c r="O4072" s="14"/>
    </row>
    <row r="4073" ht="22.5" hidden="1" customHeight="1">
      <c r="A4073" s="8">
        <v>46100.35077423611</v>
      </c>
      <c r="B4073" s="14">
        <v>46100.0</v>
      </c>
      <c r="C4073" s="9" t="s">
        <v>31</v>
      </c>
      <c r="D4073" s="9" t="s">
        <v>105</v>
      </c>
      <c r="E4073" s="9" t="s">
        <v>17</v>
      </c>
      <c r="F4073" s="9" t="s">
        <v>17</v>
      </c>
      <c r="G4073" s="9">
        <v>8.0</v>
      </c>
      <c r="H4073" s="9" t="s">
        <v>17</v>
      </c>
      <c r="I4073" s="9" t="s">
        <v>20</v>
      </c>
      <c r="J4073" s="10"/>
      <c r="K4073" s="14" t="s">
        <v>398</v>
      </c>
      <c r="N4073" s="14" t="str">
        <f>IFERROR(__xludf.DUMMYFUNCTION("""COMPUTED_VALUE"""),"")</f>
        <v/>
      </c>
      <c r="O4073" s="14"/>
    </row>
    <row r="4074" ht="22.5" hidden="1" customHeight="1">
      <c r="A4074" s="8">
        <v>46100.3588030324</v>
      </c>
      <c r="B4074" s="14">
        <v>46100.0</v>
      </c>
      <c r="C4074" s="9" t="s">
        <v>31</v>
      </c>
      <c r="D4074" s="9" t="s">
        <v>395</v>
      </c>
      <c r="E4074" s="9" t="s">
        <v>44</v>
      </c>
      <c r="F4074" s="9" t="s">
        <v>18</v>
      </c>
      <c r="G4074" s="9">
        <v>6.0</v>
      </c>
      <c r="H4074" s="9" t="s">
        <v>22</v>
      </c>
      <c r="I4074" s="9" t="s">
        <v>20</v>
      </c>
      <c r="J4074" s="10"/>
      <c r="K4074" s="14" t="s">
        <v>398</v>
      </c>
      <c r="N4074" s="14" t="str">
        <f>IFERROR(__xludf.DUMMYFUNCTION("""COMPUTED_VALUE"""),"")</f>
        <v/>
      </c>
      <c r="O4074" s="14"/>
    </row>
    <row r="4075" ht="22.5" hidden="1" customHeight="1">
      <c r="A4075" s="8">
        <v>46100.358876921295</v>
      </c>
      <c r="B4075" s="14">
        <v>46100.0</v>
      </c>
      <c r="C4075" s="9" t="s">
        <v>31</v>
      </c>
      <c r="D4075" s="9" t="s">
        <v>177</v>
      </c>
      <c r="E4075" s="9" t="s">
        <v>17</v>
      </c>
      <c r="F4075" s="9" t="s">
        <v>60</v>
      </c>
      <c r="G4075" s="9" t="s">
        <v>410</v>
      </c>
      <c r="H4075" s="9" t="s">
        <v>25</v>
      </c>
      <c r="I4075" s="9" t="s">
        <v>430</v>
      </c>
      <c r="J4075" s="10"/>
      <c r="K4075" s="14" t="s">
        <v>398</v>
      </c>
      <c r="N4075" s="14" t="str">
        <f>IFERROR(__xludf.DUMMYFUNCTION("""COMPUTED_VALUE"""),"")</f>
        <v/>
      </c>
      <c r="O4075" s="14"/>
    </row>
    <row r="4076" ht="22.5" hidden="1" customHeight="1">
      <c r="A4076" s="8">
        <v>46100.35960261574</v>
      </c>
      <c r="B4076" s="14">
        <v>46100.0</v>
      </c>
      <c r="C4076" s="9" t="s">
        <v>31</v>
      </c>
      <c r="D4076" s="9" t="s">
        <v>423</v>
      </c>
      <c r="E4076" s="9" t="s">
        <v>46</v>
      </c>
      <c r="F4076" s="9" t="s">
        <v>60</v>
      </c>
      <c r="G4076" s="9" t="s">
        <v>410</v>
      </c>
      <c r="H4076" s="9" t="s">
        <v>22</v>
      </c>
      <c r="I4076" s="9" t="s">
        <v>20</v>
      </c>
      <c r="J4076" s="10"/>
      <c r="K4076" s="14" t="s">
        <v>398</v>
      </c>
      <c r="N4076" s="14" t="str">
        <f>IFERROR(__xludf.DUMMYFUNCTION("""COMPUTED_VALUE"""),"")</f>
        <v/>
      </c>
      <c r="O4076" s="14"/>
    </row>
    <row r="4077" ht="22.5" hidden="1" customHeight="1">
      <c r="A4077" s="8">
        <v>46100.36008533565</v>
      </c>
      <c r="B4077" s="14">
        <v>46100.0</v>
      </c>
      <c r="C4077" s="9" t="s">
        <v>31</v>
      </c>
      <c r="D4077" s="9" t="s">
        <v>408</v>
      </c>
      <c r="E4077" s="9" t="s">
        <v>61</v>
      </c>
      <c r="F4077" s="9" t="s">
        <v>60</v>
      </c>
      <c r="G4077" s="9" t="s">
        <v>410</v>
      </c>
      <c r="H4077" s="9" t="s">
        <v>22</v>
      </c>
      <c r="I4077" s="9" t="s">
        <v>20</v>
      </c>
      <c r="J4077" s="10"/>
      <c r="K4077" s="14" t="s">
        <v>398</v>
      </c>
      <c r="N4077" s="14" t="str">
        <f>IFERROR(__xludf.DUMMYFUNCTION("""COMPUTED_VALUE"""),"")</f>
        <v/>
      </c>
      <c r="O4077" s="14"/>
    </row>
    <row r="4078" ht="22.5" hidden="1" customHeight="1">
      <c r="A4078" s="8">
        <v>46100.36083320602</v>
      </c>
      <c r="B4078" s="14">
        <v>46100.0</v>
      </c>
      <c r="C4078" s="9" t="s">
        <v>31</v>
      </c>
      <c r="D4078" s="9" t="s">
        <v>413</v>
      </c>
      <c r="E4078" s="9" t="s">
        <v>17</v>
      </c>
      <c r="F4078" s="9" t="s">
        <v>17</v>
      </c>
      <c r="G4078" s="9">
        <v>7.0</v>
      </c>
      <c r="H4078" s="9" t="s">
        <v>22</v>
      </c>
      <c r="I4078" s="9" t="s">
        <v>20</v>
      </c>
      <c r="J4078" s="10"/>
      <c r="K4078" s="14" t="s">
        <v>398</v>
      </c>
      <c r="N4078" s="14" t="str">
        <f>IFERROR(__xludf.DUMMYFUNCTION("""COMPUTED_VALUE"""),"")</f>
        <v/>
      </c>
      <c r="O4078" s="14"/>
    </row>
    <row r="4079" ht="22.5" hidden="1" customHeight="1">
      <c r="A4079" s="8">
        <v>46100.361021770834</v>
      </c>
      <c r="B4079" s="14">
        <v>46100.0</v>
      </c>
      <c r="C4079" s="9" t="s">
        <v>31</v>
      </c>
      <c r="D4079" s="9" t="s">
        <v>393</v>
      </c>
      <c r="E4079" s="9" t="s">
        <v>17</v>
      </c>
      <c r="F4079" s="9" t="s">
        <v>60</v>
      </c>
      <c r="G4079" s="9">
        <v>6.0</v>
      </c>
      <c r="H4079" s="9" t="s">
        <v>22</v>
      </c>
      <c r="I4079" s="9" t="s">
        <v>20</v>
      </c>
      <c r="J4079" s="10"/>
      <c r="K4079" s="14" t="s">
        <v>398</v>
      </c>
      <c r="N4079" s="14" t="str">
        <f>IFERROR(__xludf.DUMMYFUNCTION("""COMPUTED_VALUE"""),"")</f>
        <v/>
      </c>
      <c r="O4079" s="14"/>
    </row>
    <row r="4080" ht="22.5" hidden="1" customHeight="1">
      <c r="A4080" s="8">
        <v>46100.361773854165</v>
      </c>
      <c r="B4080" s="14">
        <v>46100.0</v>
      </c>
      <c r="C4080" s="9" t="s">
        <v>31</v>
      </c>
      <c r="D4080" s="9" t="s">
        <v>171</v>
      </c>
      <c r="E4080" s="9" t="s">
        <v>17</v>
      </c>
      <c r="F4080" s="9" t="s">
        <v>18</v>
      </c>
      <c r="G4080" s="9">
        <v>8.0</v>
      </c>
      <c r="H4080" s="9" t="s">
        <v>22</v>
      </c>
      <c r="I4080" s="9" t="s">
        <v>20</v>
      </c>
      <c r="J4080" s="10"/>
      <c r="K4080" s="14" t="s">
        <v>398</v>
      </c>
      <c r="N4080" s="14" t="str">
        <f>IFERROR(__xludf.DUMMYFUNCTION("""COMPUTED_VALUE"""),"")</f>
        <v/>
      </c>
      <c r="O4080" s="14"/>
    </row>
    <row r="4081" ht="22.5" hidden="1" customHeight="1">
      <c r="A4081" s="8">
        <v>46100.36263974537</v>
      </c>
      <c r="B4081" s="14">
        <v>46100.0</v>
      </c>
      <c r="C4081" s="9" t="s">
        <v>31</v>
      </c>
      <c r="D4081" s="9" t="s">
        <v>412</v>
      </c>
      <c r="E4081" s="9" t="s">
        <v>46</v>
      </c>
      <c r="F4081" s="9" t="s">
        <v>17</v>
      </c>
      <c r="G4081" s="9">
        <v>7.0</v>
      </c>
      <c r="H4081" s="9" t="s">
        <v>25</v>
      </c>
      <c r="I4081" s="9" t="s">
        <v>159</v>
      </c>
      <c r="J4081" s="10"/>
      <c r="K4081" s="14" t="s">
        <v>398</v>
      </c>
      <c r="N4081" s="14" t="str">
        <f>IFERROR(__xludf.DUMMYFUNCTION("""COMPUTED_VALUE"""),"")</f>
        <v/>
      </c>
      <c r="O4081" s="14"/>
    </row>
    <row r="4082" ht="22.5" hidden="1" customHeight="1">
      <c r="A4082" s="8">
        <v>46100.362667685185</v>
      </c>
      <c r="B4082" s="14">
        <v>46100.0</v>
      </c>
      <c r="C4082" s="9" t="s">
        <v>31</v>
      </c>
      <c r="D4082" s="9" t="s">
        <v>174</v>
      </c>
      <c r="E4082" s="9" t="s">
        <v>17</v>
      </c>
      <c r="F4082" s="9" t="s">
        <v>18</v>
      </c>
      <c r="G4082" s="9">
        <v>8.0</v>
      </c>
      <c r="H4082" s="9" t="s">
        <v>22</v>
      </c>
      <c r="I4082" s="9" t="s">
        <v>20</v>
      </c>
      <c r="J4082" s="10"/>
      <c r="K4082" s="14" t="s">
        <v>398</v>
      </c>
      <c r="N4082" s="14" t="str">
        <f>IFERROR(__xludf.DUMMYFUNCTION("""COMPUTED_VALUE"""),"")</f>
        <v/>
      </c>
      <c r="O4082" s="14"/>
    </row>
    <row r="4083" ht="22.5" hidden="1" customHeight="1">
      <c r="A4083" s="8">
        <v>46100.36333710648</v>
      </c>
      <c r="B4083" s="14">
        <v>46100.0</v>
      </c>
      <c r="C4083" s="9" t="s">
        <v>31</v>
      </c>
      <c r="D4083" s="9" t="s">
        <v>257</v>
      </c>
      <c r="E4083" s="9" t="s">
        <v>17</v>
      </c>
      <c r="F4083" s="9" t="s">
        <v>17</v>
      </c>
      <c r="G4083" s="9" t="s">
        <v>410</v>
      </c>
      <c r="H4083" s="9" t="s">
        <v>25</v>
      </c>
      <c r="I4083" s="9" t="s">
        <v>240</v>
      </c>
      <c r="J4083" s="10"/>
      <c r="K4083" s="14" t="s">
        <v>398</v>
      </c>
      <c r="N4083" s="14" t="str">
        <f>IFERROR(__xludf.DUMMYFUNCTION("""COMPUTED_VALUE"""),"")</f>
        <v/>
      </c>
      <c r="O4083" s="14"/>
    </row>
    <row r="4084" ht="22.5" hidden="1" customHeight="1">
      <c r="A4084" s="8">
        <v>46100.36402445602</v>
      </c>
      <c r="B4084" s="14">
        <v>46100.0</v>
      </c>
      <c r="C4084" s="9" t="s">
        <v>31</v>
      </c>
      <c r="D4084" s="9" t="s">
        <v>421</v>
      </c>
      <c r="E4084" s="9" t="s">
        <v>17</v>
      </c>
      <c r="F4084" s="9" t="s">
        <v>17</v>
      </c>
      <c r="G4084" s="9">
        <v>6.0</v>
      </c>
      <c r="H4084" s="9" t="s">
        <v>17</v>
      </c>
      <c r="I4084" s="9" t="s">
        <v>20</v>
      </c>
      <c r="J4084" s="10"/>
      <c r="K4084" s="14" t="s">
        <v>398</v>
      </c>
      <c r="N4084" s="14" t="str">
        <f>IFERROR(__xludf.DUMMYFUNCTION("""COMPUTED_VALUE"""),"")</f>
        <v/>
      </c>
      <c r="O4084" s="14"/>
    </row>
    <row r="4085" ht="22.5" hidden="1" customHeight="1">
      <c r="A4085" s="8">
        <v>46100.365049224536</v>
      </c>
      <c r="B4085" s="14">
        <v>46100.0</v>
      </c>
      <c r="C4085" s="9" t="s">
        <v>31</v>
      </c>
      <c r="D4085" s="9" t="s">
        <v>350</v>
      </c>
      <c r="E4085" s="9" t="s">
        <v>46</v>
      </c>
      <c r="F4085" s="9" t="s">
        <v>17</v>
      </c>
      <c r="G4085" s="9">
        <v>7.0</v>
      </c>
      <c r="H4085" s="9" t="s">
        <v>17</v>
      </c>
      <c r="I4085" s="9" t="s">
        <v>20</v>
      </c>
      <c r="J4085" s="10"/>
      <c r="K4085" s="14">
        <v>4.0</v>
      </c>
      <c r="N4085" s="14" t="str">
        <f>IFERROR(__xludf.DUMMYFUNCTION("""COMPUTED_VALUE"""),"")</f>
        <v/>
      </c>
      <c r="O4085" s="14"/>
    </row>
    <row r="4086" ht="22.5" hidden="1" customHeight="1">
      <c r="A4086" s="8">
        <v>46100.36532707176</v>
      </c>
      <c r="B4086" s="14">
        <v>46100.0</v>
      </c>
      <c r="C4086" s="9" t="s">
        <v>31</v>
      </c>
      <c r="D4086" s="9" t="s">
        <v>369</v>
      </c>
      <c r="E4086" s="9" t="s">
        <v>17</v>
      </c>
      <c r="F4086" s="9" t="s">
        <v>60</v>
      </c>
      <c r="G4086" s="9" t="s">
        <v>410</v>
      </c>
      <c r="H4086" s="9" t="s">
        <v>25</v>
      </c>
      <c r="I4086" s="9" t="s">
        <v>34</v>
      </c>
      <c r="J4086" s="10"/>
      <c r="K4086" s="14" t="s">
        <v>398</v>
      </c>
      <c r="N4086" s="14" t="str">
        <f>IFERROR(__xludf.DUMMYFUNCTION("""COMPUTED_VALUE"""),"")</f>
        <v/>
      </c>
      <c r="O4086" s="14"/>
    </row>
    <row r="4087" ht="22.5" hidden="1" customHeight="1">
      <c r="A4087" s="8">
        <v>46100.367522650464</v>
      </c>
      <c r="B4087" s="14">
        <v>46100.0</v>
      </c>
      <c r="C4087" s="9" t="s">
        <v>31</v>
      </c>
      <c r="D4087" s="9" t="s">
        <v>335</v>
      </c>
      <c r="E4087" s="9" t="s">
        <v>46</v>
      </c>
      <c r="F4087" s="9" t="s">
        <v>17</v>
      </c>
      <c r="G4087" s="9">
        <v>7.0</v>
      </c>
      <c r="H4087" s="9" t="s">
        <v>25</v>
      </c>
      <c r="I4087" s="9" t="s">
        <v>431</v>
      </c>
      <c r="J4087" s="10"/>
      <c r="K4087" s="14" t="s">
        <v>398</v>
      </c>
      <c r="N4087" s="14" t="str">
        <f>IFERROR(__xludf.DUMMYFUNCTION("""COMPUTED_VALUE"""),"")</f>
        <v/>
      </c>
      <c r="O4087" s="14"/>
    </row>
    <row r="4088" ht="22.5" hidden="1" customHeight="1">
      <c r="A4088" s="8">
        <v>46100.36779127315</v>
      </c>
      <c r="B4088" s="14">
        <v>46100.0</v>
      </c>
      <c r="C4088" s="9" t="s">
        <v>31</v>
      </c>
      <c r="D4088" s="9" t="s">
        <v>259</v>
      </c>
      <c r="E4088" s="9" t="s">
        <v>30</v>
      </c>
      <c r="F4088" s="9" t="s">
        <v>18</v>
      </c>
      <c r="G4088" s="9">
        <v>8.0</v>
      </c>
      <c r="H4088" s="9" t="s">
        <v>22</v>
      </c>
      <c r="I4088" s="9" t="s">
        <v>20</v>
      </c>
      <c r="J4088" s="10"/>
      <c r="K4088" s="14">
        <v>4.0</v>
      </c>
      <c r="N4088" s="14" t="str">
        <f>IFERROR(__xludf.DUMMYFUNCTION("""COMPUTED_VALUE"""),"")</f>
        <v/>
      </c>
      <c r="O4088" s="14"/>
    </row>
    <row r="4089" ht="22.5" hidden="1" customHeight="1">
      <c r="A4089" s="8">
        <v>46100.36930950232</v>
      </c>
      <c r="B4089" s="14">
        <v>46100.0</v>
      </c>
      <c r="C4089" s="9" t="s">
        <v>31</v>
      </c>
      <c r="D4089" s="9" t="s">
        <v>414</v>
      </c>
      <c r="E4089" s="9" t="s">
        <v>17</v>
      </c>
      <c r="F4089" s="9" t="s">
        <v>17</v>
      </c>
      <c r="G4089" s="9">
        <v>7.0</v>
      </c>
      <c r="H4089" s="9" t="s">
        <v>25</v>
      </c>
      <c r="I4089" s="9" t="s">
        <v>67</v>
      </c>
      <c r="J4089" s="10"/>
      <c r="K4089" s="14" t="s">
        <v>398</v>
      </c>
      <c r="N4089" s="14" t="str">
        <f>IFERROR(__xludf.DUMMYFUNCTION("""COMPUTED_VALUE"""),"")</f>
        <v/>
      </c>
      <c r="O4089" s="14"/>
    </row>
    <row r="4090" ht="22.5" hidden="1" customHeight="1">
      <c r="A4090" s="8">
        <v>46100.3712796412</v>
      </c>
      <c r="B4090" s="14">
        <v>46100.0</v>
      </c>
      <c r="C4090" s="9" t="s">
        <v>31</v>
      </c>
      <c r="D4090" s="9" t="s">
        <v>178</v>
      </c>
      <c r="E4090" s="9" t="s">
        <v>140</v>
      </c>
      <c r="F4090" s="9" t="s">
        <v>60</v>
      </c>
      <c r="G4090" s="9" t="s">
        <v>410</v>
      </c>
      <c r="H4090" s="9" t="s">
        <v>25</v>
      </c>
      <c r="I4090" s="9" t="s">
        <v>93</v>
      </c>
      <c r="J4090" s="10"/>
      <c r="K4090" s="14" t="s">
        <v>398</v>
      </c>
      <c r="N4090" s="14" t="str">
        <f>IFERROR(__xludf.DUMMYFUNCTION("""COMPUTED_VALUE"""),"")</f>
        <v/>
      </c>
      <c r="O4090" s="14"/>
    </row>
    <row r="4091" ht="22.5" hidden="1" customHeight="1">
      <c r="A4091" s="8">
        <v>46100.37460998843</v>
      </c>
      <c r="B4091" s="14">
        <v>46100.0</v>
      </c>
      <c r="C4091" s="9" t="s">
        <v>31</v>
      </c>
      <c r="D4091" s="9" t="s">
        <v>175</v>
      </c>
      <c r="E4091" s="9" t="s">
        <v>46</v>
      </c>
      <c r="F4091" s="9" t="s">
        <v>77</v>
      </c>
      <c r="G4091" s="9" t="s">
        <v>410</v>
      </c>
      <c r="H4091" s="9" t="s">
        <v>25</v>
      </c>
      <c r="I4091" s="9" t="s">
        <v>211</v>
      </c>
      <c r="J4091" s="10"/>
      <c r="K4091" s="14" t="s">
        <v>398</v>
      </c>
      <c r="N4091" s="14" t="str">
        <f>IFERROR(__xludf.DUMMYFUNCTION("""COMPUTED_VALUE"""),"")</f>
        <v/>
      </c>
      <c r="O4091" s="14"/>
    </row>
    <row r="4092" ht="22.5" hidden="1" customHeight="1">
      <c r="A4092" s="8">
        <v>46100.37744733796</v>
      </c>
      <c r="B4092" s="14">
        <v>46100.0</v>
      </c>
      <c r="C4092" s="9" t="s">
        <v>31</v>
      </c>
      <c r="D4092" s="9" t="s">
        <v>247</v>
      </c>
      <c r="E4092" s="9" t="s">
        <v>140</v>
      </c>
      <c r="F4092" s="9" t="s">
        <v>77</v>
      </c>
      <c r="G4092" s="9" t="s">
        <v>410</v>
      </c>
      <c r="H4092" s="9" t="s">
        <v>25</v>
      </c>
      <c r="I4092" s="9" t="s">
        <v>263</v>
      </c>
      <c r="J4092" s="10"/>
      <c r="K4092" s="14" t="s">
        <v>398</v>
      </c>
      <c r="N4092" s="14" t="str">
        <f>IFERROR(__xludf.DUMMYFUNCTION("""COMPUTED_VALUE"""),"")</f>
        <v/>
      </c>
      <c r="O4092" s="14"/>
    </row>
    <row r="4093" ht="22.5" hidden="1" customHeight="1">
      <c r="A4093" s="8">
        <v>46100.38347773148</v>
      </c>
      <c r="B4093" s="14">
        <v>46100.0</v>
      </c>
      <c r="C4093" s="9" t="s">
        <v>31</v>
      </c>
      <c r="D4093" s="9" t="s">
        <v>396</v>
      </c>
      <c r="E4093" s="9" t="s">
        <v>17</v>
      </c>
      <c r="F4093" s="9" t="s">
        <v>17</v>
      </c>
      <c r="G4093" s="9">
        <v>7.0</v>
      </c>
      <c r="H4093" s="9" t="s">
        <v>22</v>
      </c>
      <c r="I4093" s="9" t="s">
        <v>20</v>
      </c>
      <c r="J4093" s="10"/>
      <c r="K4093" s="14" t="s">
        <v>398</v>
      </c>
      <c r="N4093" s="14" t="str">
        <f>IFERROR(__xludf.DUMMYFUNCTION("""COMPUTED_VALUE"""),"")</f>
        <v/>
      </c>
      <c r="O4093" s="14"/>
    </row>
    <row r="4094" ht="22.5" hidden="1" customHeight="1">
      <c r="A4094" s="8">
        <v>46101.587629699075</v>
      </c>
      <c r="B4094" s="14">
        <v>46101.0</v>
      </c>
      <c r="C4094" s="9" t="s">
        <v>48</v>
      </c>
      <c r="D4094" s="9" t="s">
        <v>174</v>
      </c>
      <c r="E4094" s="9" t="s">
        <v>17</v>
      </c>
      <c r="F4094" s="9" t="s">
        <v>17</v>
      </c>
      <c r="G4094" s="9">
        <v>8.0</v>
      </c>
      <c r="H4094" s="9" t="s">
        <v>22</v>
      </c>
      <c r="I4094" s="9" t="s">
        <v>20</v>
      </c>
      <c r="J4094" s="10"/>
      <c r="K4094" s="14">
        <v>5.0</v>
      </c>
      <c r="N4094" s="14" t="str">
        <f>IFERROR(__xludf.DUMMYFUNCTION("""COMPUTED_VALUE"""),"")</f>
        <v/>
      </c>
      <c r="O4094" s="14"/>
    </row>
    <row r="4095" ht="22.5" hidden="1" customHeight="1">
      <c r="A4095" s="8">
        <v>46101.587953993054</v>
      </c>
      <c r="B4095" s="14">
        <v>46101.0</v>
      </c>
      <c r="C4095" s="9" t="s">
        <v>48</v>
      </c>
      <c r="D4095" s="9" t="s">
        <v>249</v>
      </c>
      <c r="E4095" s="9" t="s">
        <v>17</v>
      </c>
      <c r="F4095" s="9" t="s">
        <v>17</v>
      </c>
      <c r="G4095" s="9">
        <v>8.0</v>
      </c>
      <c r="H4095" s="9" t="s">
        <v>22</v>
      </c>
      <c r="I4095" s="9" t="s">
        <v>20</v>
      </c>
      <c r="J4095" s="10"/>
      <c r="K4095" s="14">
        <v>4.0</v>
      </c>
      <c r="N4095" s="14" t="str">
        <f>IFERROR(__xludf.DUMMYFUNCTION("""COMPUTED_VALUE"""),"")</f>
        <v/>
      </c>
      <c r="O4095" s="14"/>
    </row>
    <row r="4096" ht="22.5" hidden="1" customHeight="1">
      <c r="A4096" s="8">
        <v>46101.58875445602</v>
      </c>
      <c r="B4096" s="14">
        <v>46101.0</v>
      </c>
      <c r="C4096" s="9" t="s">
        <v>48</v>
      </c>
      <c r="D4096" s="9" t="s">
        <v>413</v>
      </c>
      <c r="E4096" s="9" t="s">
        <v>17</v>
      </c>
      <c r="F4096" s="9" t="s">
        <v>17</v>
      </c>
      <c r="G4096" s="9">
        <v>7.0</v>
      </c>
      <c r="H4096" s="9" t="s">
        <v>22</v>
      </c>
      <c r="I4096" s="9" t="s">
        <v>20</v>
      </c>
      <c r="J4096" s="10"/>
      <c r="K4096" s="14" t="s">
        <v>398</v>
      </c>
      <c r="N4096" s="14" t="str">
        <f>IFERROR(__xludf.DUMMYFUNCTION("""COMPUTED_VALUE"""),"")</f>
        <v/>
      </c>
      <c r="O4096" s="14"/>
    </row>
    <row r="4097" ht="22.5" hidden="1" customHeight="1">
      <c r="A4097" s="8">
        <v>46101.591632662035</v>
      </c>
      <c r="B4097" s="14">
        <v>46101.0</v>
      </c>
      <c r="C4097" s="9" t="s">
        <v>48</v>
      </c>
      <c r="D4097" s="9" t="s">
        <v>257</v>
      </c>
      <c r="E4097" s="9" t="s">
        <v>17</v>
      </c>
      <c r="F4097" s="9" t="s">
        <v>17</v>
      </c>
      <c r="G4097" s="9" t="s">
        <v>409</v>
      </c>
      <c r="H4097" s="9" t="s">
        <v>22</v>
      </c>
      <c r="I4097" s="9" t="s">
        <v>20</v>
      </c>
      <c r="J4097" s="10"/>
      <c r="K4097" s="14" t="s">
        <v>398</v>
      </c>
      <c r="N4097" s="14" t="str">
        <f>IFERROR(__xludf.DUMMYFUNCTION("""COMPUTED_VALUE"""),"")</f>
        <v/>
      </c>
      <c r="O4097" s="14"/>
    </row>
    <row r="4098" ht="22.5" hidden="1" customHeight="1">
      <c r="A4098" s="8">
        <v>46101.592198495375</v>
      </c>
      <c r="B4098" s="14">
        <v>46101.0</v>
      </c>
      <c r="C4098" s="9" t="s">
        <v>48</v>
      </c>
      <c r="D4098" s="9" t="s">
        <v>258</v>
      </c>
      <c r="E4098" s="9" t="s">
        <v>17</v>
      </c>
      <c r="F4098" s="9" t="s">
        <v>17</v>
      </c>
      <c r="G4098" s="9">
        <v>7.0</v>
      </c>
      <c r="H4098" s="9" t="s">
        <v>17</v>
      </c>
      <c r="I4098" s="9" t="s">
        <v>20</v>
      </c>
      <c r="J4098" s="10"/>
      <c r="K4098" s="14">
        <v>6.0</v>
      </c>
      <c r="N4098" s="14" t="str">
        <f>IFERROR(__xludf.DUMMYFUNCTION("""COMPUTED_VALUE"""),"")</f>
        <v/>
      </c>
      <c r="O4098" s="14"/>
    </row>
    <row r="4099" ht="22.5" hidden="1" customHeight="1">
      <c r="A4099" s="8">
        <v>46101.593786006946</v>
      </c>
      <c r="B4099" s="14">
        <v>46101.0</v>
      </c>
      <c r="C4099" s="9" t="s">
        <v>48</v>
      </c>
      <c r="D4099" s="9" t="s">
        <v>105</v>
      </c>
      <c r="E4099" s="9" t="s">
        <v>17</v>
      </c>
      <c r="F4099" s="9" t="s">
        <v>17</v>
      </c>
      <c r="G4099" s="9">
        <v>8.0</v>
      </c>
      <c r="H4099" s="9" t="s">
        <v>22</v>
      </c>
      <c r="I4099" s="9" t="s">
        <v>20</v>
      </c>
      <c r="J4099" s="10"/>
      <c r="K4099" s="14">
        <v>2.0</v>
      </c>
      <c r="N4099" s="14" t="str">
        <f>IFERROR(__xludf.DUMMYFUNCTION("""COMPUTED_VALUE"""),"")</f>
        <v/>
      </c>
      <c r="O4099" s="14"/>
    </row>
    <row r="4100" ht="22.5" hidden="1" customHeight="1">
      <c r="A4100" s="8">
        <v>46101.59390064815</v>
      </c>
      <c r="B4100" s="14">
        <v>46101.0</v>
      </c>
      <c r="C4100" s="9" t="s">
        <v>48</v>
      </c>
      <c r="D4100" s="9" t="s">
        <v>280</v>
      </c>
      <c r="E4100" s="9" t="s">
        <v>17</v>
      </c>
      <c r="F4100" s="9" t="s">
        <v>17</v>
      </c>
      <c r="G4100" s="9">
        <v>8.0</v>
      </c>
      <c r="H4100" s="9" t="s">
        <v>22</v>
      </c>
      <c r="I4100" s="9" t="s">
        <v>20</v>
      </c>
      <c r="J4100" s="10"/>
      <c r="K4100" s="14">
        <v>5.0</v>
      </c>
      <c r="N4100" s="14" t="str">
        <f>IFERROR(__xludf.DUMMYFUNCTION("""COMPUTED_VALUE"""),"")</f>
        <v/>
      </c>
      <c r="O4100" s="14"/>
    </row>
    <row r="4101" ht="22.5" hidden="1" customHeight="1">
      <c r="A4101" s="8">
        <v>46101.614252824074</v>
      </c>
      <c r="B4101" s="14">
        <v>46101.0</v>
      </c>
      <c r="C4101" s="9" t="s">
        <v>48</v>
      </c>
      <c r="D4101" s="9" t="s">
        <v>357</v>
      </c>
      <c r="E4101" s="9" t="s">
        <v>17</v>
      </c>
      <c r="F4101" s="9" t="s">
        <v>17</v>
      </c>
      <c r="G4101" s="9">
        <v>8.0</v>
      </c>
      <c r="H4101" s="9" t="s">
        <v>25</v>
      </c>
      <c r="I4101" s="9" t="s">
        <v>240</v>
      </c>
      <c r="J4101" s="10"/>
      <c r="K4101" s="14" t="s">
        <v>398</v>
      </c>
      <c r="N4101" s="14" t="str">
        <f>IFERROR(__xludf.DUMMYFUNCTION("""COMPUTED_VALUE"""),"")</f>
        <v/>
      </c>
      <c r="O4101" s="14"/>
    </row>
    <row r="4102" ht="22.5" hidden="1" customHeight="1">
      <c r="A4102" s="8">
        <v>46101.61500740741</v>
      </c>
      <c r="B4102" s="14">
        <v>46101.0</v>
      </c>
      <c r="C4102" s="9" t="s">
        <v>48</v>
      </c>
      <c r="D4102" s="9" t="s">
        <v>369</v>
      </c>
      <c r="E4102" s="9" t="s">
        <v>17</v>
      </c>
      <c r="F4102" s="9" t="s">
        <v>17</v>
      </c>
      <c r="G4102" s="9">
        <v>8.0</v>
      </c>
      <c r="H4102" s="9" t="s">
        <v>22</v>
      </c>
      <c r="I4102" s="9" t="s">
        <v>20</v>
      </c>
      <c r="J4102" s="10"/>
      <c r="K4102" s="14" t="s">
        <v>398</v>
      </c>
      <c r="N4102" s="14" t="str">
        <f>IFERROR(__xludf.DUMMYFUNCTION("""COMPUTED_VALUE"""),"")</f>
        <v/>
      </c>
      <c r="O4102" s="14"/>
    </row>
    <row r="4103" ht="22.5" hidden="1" customHeight="1">
      <c r="A4103" s="8">
        <v>46101.61534523148</v>
      </c>
      <c r="B4103" s="14">
        <v>46101.0</v>
      </c>
      <c r="C4103" s="9" t="s">
        <v>48</v>
      </c>
      <c r="D4103" s="9" t="s">
        <v>412</v>
      </c>
      <c r="E4103" s="9" t="s">
        <v>17</v>
      </c>
      <c r="F4103" s="9" t="s">
        <v>17</v>
      </c>
      <c r="G4103" s="9" t="s">
        <v>409</v>
      </c>
      <c r="H4103" s="9" t="s">
        <v>22</v>
      </c>
      <c r="I4103" s="9" t="s">
        <v>20</v>
      </c>
      <c r="J4103" s="10"/>
      <c r="K4103" s="14" t="s">
        <v>398</v>
      </c>
      <c r="N4103" s="14" t="str">
        <f>IFERROR(__xludf.DUMMYFUNCTION("""COMPUTED_VALUE"""),"")</f>
        <v/>
      </c>
      <c r="O4103" s="14"/>
    </row>
    <row r="4104" ht="22.5" hidden="1" customHeight="1">
      <c r="A4104" s="8">
        <v>46101.616053125</v>
      </c>
      <c r="B4104" s="14">
        <v>46101.0</v>
      </c>
      <c r="C4104" s="9" t="s">
        <v>48</v>
      </c>
      <c r="D4104" s="9" t="s">
        <v>177</v>
      </c>
      <c r="E4104" s="9" t="s">
        <v>17</v>
      </c>
      <c r="F4104" s="9" t="s">
        <v>17</v>
      </c>
      <c r="G4104" s="9">
        <v>6.0</v>
      </c>
      <c r="H4104" s="9" t="s">
        <v>17</v>
      </c>
      <c r="I4104" s="9" t="s">
        <v>20</v>
      </c>
      <c r="J4104" s="10"/>
      <c r="K4104" s="14" t="s">
        <v>398</v>
      </c>
      <c r="N4104" s="14" t="str">
        <f>IFERROR(__xludf.DUMMYFUNCTION("""COMPUTED_VALUE"""),"")</f>
        <v/>
      </c>
      <c r="O4104" s="14"/>
    </row>
    <row r="4105" ht="22.5" hidden="1" customHeight="1">
      <c r="A4105" s="8">
        <v>46101.61649796296</v>
      </c>
      <c r="B4105" s="14">
        <v>46101.0</v>
      </c>
      <c r="C4105" s="9" t="s">
        <v>48</v>
      </c>
      <c r="D4105" s="9" t="s">
        <v>393</v>
      </c>
      <c r="E4105" s="9" t="s">
        <v>17</v>
      </c>
      <c r="F4105" s="9" t="s">
        <v>17</v>
      </c>
      <c r="G4105" s="9" t="s">
        <v>409</v>
      </c>
      <c r="H4105" s="9" t="s">
        <v>22</v>
      </c>
      <c r="I4105" s="9" t="s">
        <v>20</v>
      </c>
      <c r="J4105" s="10"/>
      <c r="K4105" s="14">
        <v>3.0</v>
      </c>
      <c r="N4105" s="14" t="str">
        <f>IFERROR(__xludf.DUMMYFUNCTION("""COMPUTED_VALUE"""),"")</f>
        <v/>
      </c>
      <c r="O4105" s="14"/>
    </row>
    <row r="4106" ht="22.5" hidden="1" customHeight="1">
      <c r="A4106" s="8">
        <v>46101.61720972222</v>
      </c>
      <c r="B4106" s="14">
        <v>46101.0</v>
      </c>
      <c r="C4106" s="9" t="s">
        <v>48</v>
      </c>
      <c r="D4106" s="9" t="s">
        <v>259</v>
      </c>
      <c r="E4106" s="9" t="s">
        <v>30</v>
      </c>
      <c r="F4106" s="9" t="s">
        <v>43</v>
      </c>
      <c r="G4106" s="9" t="s">
        <v>409</v>
      </c>
      <c r="H4106" s="9" t="s">
        <v>22</v>
      </c>
      <c r="I4106" s="9" t="s">
        <v>20</v>
      </c>
      <c r="J4106" s="10"/>
      <c r="K4106" s="14">
        <v>4.0</v>
      </c>
      <c r="N4106" s="14" t="str">
        <f>IFERROR(__xludf.DUMMYFUNCTION("""COMPUTED_VALUE"""),"")</f>
        <v/>
      </c>
      <c r="O4106" s="14"/>
    </row>
    <row r="4107" ht="22.5" hidden="1" customHeight="1">
      <c r="A4107" s="8">
        <v>46101.61721523148</v>
      </c>
      <c r="B4107" s="14">
        <v>46101.0</v>
      </c>
      <c r="C4107" s="9" t="s">
        <v>48</v>
      </c>
      <c r="D4107" s="9" t="s">
        <v>408</v>
      </c>
      <c r="E4107" s="9" t="s">
        <v>17</v>
      </c>
      <c r="F4107" s="9" t="s">
        <v>17</v>
      </c>
      <c r="G4107" s="9">
        <v>8.0</v>
      </c>
      <c r="H4107" s="9" t="s">
        <v>22</v>
      </c>
      <c r="I4107" s="9" t="s">
        <v>20</v>
      </c>
      <c r="J4107" s="10"/>
      <c r="K4107" s="14" t="s">
        <v>398</v>
      </c>
      <c r="N4107" s="14" t="str">
        <f>IFERROR(__xludf.DUMMYFUNCTION("""COMPUTED_VALUE"""),"")</f>
        <v/>
      </c>
      <c r="O4107" s="14"/>
    </row>
    <row r="4108" ht="22.5" hidden="1" customHeight="1">
      <c r="A4108" s="8">
        <v>46101.61754265046</v>
      </c>
      <c r="B4108" s="14">
        <v>46101.0</v>
      </c>
      <c r="C4108" s="9" t="s">
        <v>48</v>
      </c>
      <c r="D4108" s="9" t="s">
        <v>423</v>
      </c>
      <c r="E4108" s="9" t="s">
        <v>17</v>
      </c>
      <c r="F4108" s="9" t="s">
        <v>17</v>
      </c>
      <c r="G4108" s="9" t="s">
        <v>409</v>
      </c>
      <c r="H4108" s="9" t="s">
        <v>22</v>
      </c>
      <c r="I4108" s="9" t="s">
        <v>20</v>
      </c>
      <c r="J4108" s="10"/>
      <c r="K4108" s="14">
        <v>6.0</v>
      </c>
      <c r="N4108" s="14" t="str">
        <f>IFERROR(__xludf.DUMMYFUNCTION("""COMPUTED_VALUE"""),"")</f>
        <v/>
      </c>
      <c r="O4108" s="14"/>
    </row>
    <row r="4109" ht="22.5" hidden="1" customHeight="1">
      <c r="A4109" s="8">
        <v>46101.61801668981</v>
      </c>
      <c r="B4109" s="14">
        <v>46101.0</v>
      </c>
      <c r="C4109" s="9" t="s">
        <v>48</v>
      </c>
      <c r="D4109" s="9" t="s">
        <v>395</v>
      </c>
      <c r="E4109" s="9" t="s">
        <v>17</v>
      </c>
      <c r="F4109" s="9" t="s">
        <v>17</v>
      </c>
      <c r="G4109" s="9">
        <v>7.0</v>
      </c>
      <c r="H4109" s="9" t="s">
        <v>22</v>
      </c>
      <c r="I4109" s="9" t="s">
        <v>20</v>
      </c>
      <c r="J4109" s="10"/>
      <c r="K4109" s="14" t="s">
        <v>398</v>
      </c>
      <c r="N4109" s="14" t="str">
        <f>IFERROR(__xludf.DUMMYFUNCTION("""COMPUTED_VALUE"""),"")</f>
        <v/>
      </c>
      <c r="O4109" s="14"/>
    </row>
    <row r="4110" ht="22.5" hidden="1" customHeight="1">
      <c r="A4110" s="8">
        <v>46101.622566481485</v>
      </c>
      <c r="B4110" s="14">
        <v>46101.0</v>
      </c>
      <c r="C4110" s="9" t="s">
        <v>48</v>
      </c>
      <c r="D4110" s="9" t="s">
        <v>421</v>
      </c>
      <c r="E4110" s="9" t="s">
        <v>17</v>
      </c>
      <c r="F4110" s="9" t="s">
        <v>17</v>
      </c>
      <c r="G4110" s="9" t="s">
        <v>409</v>
      </c>
      <c r="H4110" s="9" t="s">
        <v>22</v>
      </c>
      <c r="I4110" s="9" t="s">
        <v>20</v>
      </c>
      <c r="J4110" s="10"/>
      <c r="K4110" s="14">
        <v>3.0</v>
      </c>
      <c r="N4110" s="14" t="str">
        <f>IFERROR(__xludf.DUMMYFUNCTION("""COMPUTED_VALUE"""),"")</f>
        <v/>
      </c>
      <c r="O4110" s="14"/>
    </row>
    <row r="4111" ht="22.5" hidden="1" customHeight="1">
      <c r="A4111" s="8">
        <v>46101.62332131944</v>
      </c>
      <c r="B4111" s="14">
        <v>46101.0</v>
      </c>
      <c r="C4111" s="9" t="s">
        <v>48</v>
      </c>
      <c r="D4111" s="9" t="s">
        <v>171</v>
      </c>
      <c r="E4111" s="9" t="s">
        <v>17</v>
      </c>
      <c r="F4111" s="9" t="s">
        <v>17</v>
      </c>
      <c r="G4111" s="9">
        <v>8.0</v>
      </c>
      <c r="H4111" s="9" t="s">
        <v>22</v>
      </c>
      <c r="I4111" s="9" t="s">
        <v>20</v>
      </c>
      <c r="J4111" s="10"/>
      <c r="K4111" s="14" t="s">
        <v>398</v>
      </c>
      <c r="N4111" s="14" t="str">
        <f>IFERROR(__xludf.DUMMYFUNCTION("""COMPUTED_VALUE"""),"")</f>
        <v/>
      </c>
      <c r="O4111" s="14"/>
    </row>
    <row r="4112" ht="22.5" hidden="1" customHeight="1">
      <c r="A4112" s="8">
        <v>46101.62408890046</v>
      </c>
      <c r="B4112" s="14">
        <v>46101.0</v>
      </c>
      <c r="C4112" s="9" t="s">
        <v>48</v>
      </c>
      <c r="D4112" s="9" t="s">
        <v>414</v>
      </c>
      <c r="E4112" s="9" t="s">
        <v>17</v>
      </c>
      <c r="F4112" s="9" t="s">
        <v>17</v>
      </c>
      <c r="G4112" s="9">
        <v>7.0</v>
      </c>
      <c r="H4112" s="9" t="s">
        <v>25</v>
      </c>
      <c r="I4112" s="9" t="s">
        <v>67</v>
      </c>
      <c r="J4112" s="10"/>
      <c r="K4112" s="14" t="s">
        <v>398</v>
      </c>
      <c r="N4112" s="14" t="str">
        <f>IFERROR(__xludf.DUMMYFUNCTION("""COMPUTED_VALUE"""),"")</f>
        <v/>
      </c>
      <c r="O4112" s="14"/>
    </row>
    <row r="4113" ht="22.5" hidden="1" customHeight="1">
      <c r="A4113" s="8">
        <v>46101.62426445602</v>
      </c>
      <c r="B4113" s="14">
        <v>46101.0</v>
      </c>
      <c r="C4113" s="9" t="s">
        <v>48</v>
      </c>
      <c r="D4113" s="9" t="s">
        <v>178</v>
      </c>
      <c r="E4113" s="9" t="s">
        <v>46</v>
      </c>
      <c r="F4113" s="9" t="s">
        <v>18</v>
      </c>
      <c r="G4113" s="9" t="s">
        <v>409</v>
      </c>
      <c r="H4113" s="9" t="s">
        <v>25</v>
      </c>
      <c r="I4113" s="9" t="s">
        <v>402</v>
      </c>
      <c r="J4113" s="10"/>
      <c r="K4113" s="14" t="s">
        <v>398</v>
      </c>
      <c r="N4113" s="14" t="str">
        <f>IFERROR(__xludf.DUMMYFUNCTION("""COMPUTED_VALUE"""),"")</f>
        <v/>
      </c>
      <c r="O4113" s="14"/>
    </row>
    <row r="4114" ht="22.5" hidden="1" customHeight="1">
      <c r="A4114" s="8">
        <v>46101.624469560185</v>
      </c>
      <c r="B4114" s="14">
        <v>46101.0</v>
      </c>
      <c r="C4114" s="9" t="s">
        <v>48</v>
      </c>
      <c r="D4114" s="9" t="s">
        <v>350</v>
      </c>
      <c r="E4114" s="9" t="s">
        <v>17</v>
      </c>
      <c r="F4114" s="9" t="s">
        <v>17</v>
      </c>
      <c r="G4114" s="9">
        <v>7.0</v>
      </c>
      <c r="H4114" s="9" t="s">
        <v>22</v>
      </c>
      <c r="I4114" s="9" t="s">
        <v>20</v>
      </c>
      <c r="J4114" s="10"/>
      <c r="K4114" s="14">
        <v>7.0</v>
      </c>
      <c r="N4114" s="14" t="str">
        <f>IFERROR(__xludf.DUMMYFUNCTION("""COMPUTED_VALUE"""),"")</f>
        <v/>
      </c>
      <c r="O4114" s="14"/>
    </row>
    <row r="4115" ht="22.5" hidden="1" customHeight="1">
      <c r="A4115" s="8">
        <v>46101.625396840274</v>
      </c>
      <c r="B4115" s="14">
        <v>46101.0</v>
      </c>
      <c r="C4115" s="9" t="s">
        <v>48</v>
      </c>
      <c r="D4115" s="9" t="s">
        <v>210</v>
      </c>
      <c r="E4115" s="9" t="s">
        <v>17</v>
      </c>
      <c r="F4115" s="9" t="s">
        <v>17</v>
      </c>
      <c r="G4115" s="9">
        <v>8.0</v>
      </c>
      <c r="H4115" s="9" t="s">
        <v>22</v>
      </c>
      <c r="I4115" s="9" t="s">
        <v>20</v>
      </c>
      <c r="J4115" s="10"/>
      <c r="K4115" s="14">
        <v>5.0</v>
      </c>
      <c r="N4115" s="14" t="str">
        <f>IFERROR(__xludf.DUMMYFUNCTION("""COMPUTED_VALUE"""),"")</f>
        <v/>
      </c>
      <c r="O4115" s="14"/>
    </row>
    <row r="4116" ht="22.5" hidden="1" customHeight="1">
      <c r="A4116" s="8">
        <v>46101.62564255787</v>
      </c>
      <c r="B4116" s="14">
        <v>46101.0</v>
      </c>
      <c r="C4116" s="9" t="s">
        <v>48</v>
      </c>
      <c r="D4116" s="9" t="s">
        <v>247</v>
      </c>
      <c r="E4116" s="9" t="s">
        <v>17</v>
      </c>
      <c r="F4116" s="9" t="s">
        <v>17</v>
      </c>
      <c r="G4116" s="9">
        <v>8.0</v>
      </c>
      <c r="H4116" s="9" t="s">
        <v>22</v>
      </c>
      <c r="I4116" s="9" t="s">
        <v>20</v>
      </c>
      <c r="J4116" s="10"/>
      <c r="K4116" s="14" t="s">
        <v>398</v>
      </c>
      <c r="N4116" s="14" t="str">
        <f>IFERROR(__xludf.DUMMYFUNCTION("""COMPUTED_VALUE"""),"")</f>
        <v/>
      </c>
      <c r="O4116" s="14"/>
    </row>
    <row r="4117" ht="22.5" hidden="1" customHeight="1">
      <c r="A4117" s="8">
        <v>46101.62793164352</v>
      </c>
      <c r="B4117" s="14">
        <v>46101.0</v>
      </c>
      <c r="C4117" s="9" t="s">
        <v>48</v>
      </c>
      <c r="D4117" s="9" t="s">
        <v>396</v>
      </c>
      <c r="E4117" s="9" t="s">
        <v>17</v>
      </c>
      <c r="F4117" s="9" t="s">
        <v>17</v>
      </c>
      <c r="G4117" s="9">
        <v>7.0</v>
      </c>
      <c r="H4117" s="9" t="s">
        <v>22</v>
      </c>
      <c r="I4117" s="9" t="s">
        <v>20</v>
      </c>
      <c r="J4117" s="10"/>
      <c r="K4117" s="14" t="s">
        <v>398</v>
      </c>
      <c r="N4117" s="14" t="str">
        <f>IFERROR(__xludf.DUMMYFUNCTION("""COMPUTED_VALUE"""),"")</f>
        <v/>
      </c>
      <c r="O4117" s="14"/>
    </row>
    <row r="4118" ht="22.5" hidden="1" customHeight="1">
      <c r="A4118" s="8">
        <v>46101.630808587965</v>
      </c>
      <c r="B4118" s="14">
        <v>46101.0</v>
      </c>
      <c r="C4118" s="9" t="s">
        <v>48</v>
      </c>
      <c r="D4118" s="9" t="s">
        <v>335</v>
      </c>
      <c r="E4118" s="9" t="s">
        <v>17</v>
      </c>
      <c r="F4118" s="9" t="s">
        <v>17</v>
      </c>
      <c r="G4118" s="9" t="s">
        <v>409</v>
      </c>
      <c r="H4118" s="9" t="s">
        <v>25</v>
      </c>
      <c r="I4118" s="9" t="s">
        <v>411</v>
      </c>
      <c r="J4118" s="10"/>
      <c r="K4118" s="14">
        <v>5.0</v>
      </c>
      <c r="N4118" s="14" t="str">
        <f>IFERROR(__xludf.DUMMYFUNCTION("""COMPUTED_VALUE"""),"")</f>
        <v/>
      </c>
      <c r="O4118" s="14"/>
    </row>
    <row r="4119" ht="22.5" hidden="1" customHeight="1">
      <c r="A4119" s="8">
        <v>46101.64123162037</v>
      </c>
      <c r="B4119" s="14">
        <v>46101.0</v>
      </c>
      <c r="C4119" s="9" t="s">
        <v>48</v>
      </c>
      <c r="D4119" s="9" t="s">
        <v>175</v>
      </c>
      <c r="E4119" s="9" t="s">
        <v>17</v>
      </c>
      <c r="F4119" s="9" t="s">
        <v>17</v>
      </c>
      <c r="G4119" s="9" t="s">
        <v>409</v>
      </c>
      <c r="H4119" s="9" t="s">
        <v>17</v>
      </c>
      <c r="I4119" s="9" t="s">
        <v>20</v>
      </c>
      <c r="J4119" s="10"/>
      <c r="K4119" s="14" t="s">
        <v>398</v>
      </c>
      <c r="N4119" s="14" t="str">
        <f>IFERROR(__xludf.DUMMYFUNCTION("""COMPUTED_VALUE"""),"")</f>
        <v/>
      </c>
      <c r="O4119" s="14"/>
    </row>
    <row r="4120" ht="22.5" hidden="1" customHeight="1">
      <c r="A4120" s="8">
        <v>46106.62920193287</v>
      </c>
      <c r="B4120" s="14">
        <v>46106.0</v>
      </c>
      <c r="C4120" s="9" t="s">
        <v>15</v>
      </c>
      <c r="D4120" s="9" t="s">
        <v>258</v>
      </c>
      <c r="E4120" s="9" t="s">
        <v>17</v>
      </c>
      <c r="F4120" s="9" t="s">
        <v>17</v>
      </c>
      <c r="G4120" s="9">
        <v>7.0</v>
      </c>
      <c r="H4120" s="9" t="s">
        <v>22</v>
      </c>
      <c r="I4120" s="9" t="s">
        <v>20</v>
      </c>
      <c r="J4120" s="10"/>
      <c r="K4120" s="14" t="s">
        <v>398</v>
      </c>
      <c r="N4120" s="14" t="str">
        <f>IFERROR(__xludf.DUMMYFUNCTION("""COMPUTED_VALUE"""),"")</f>
        <v/>
      </c>
      <c r="O4120" s="14"/>
    </row>
    <row r="4121" ht="22.5" hidden="1" customHeight="1">
      <c r="A4121" s="8">
        <v>46106.632561377315</v>
      </c>
      <c r="B4121" s="14">
        <v>46106.0</v>
      </c>
      <c r="C4121" s="9" t="s">
        <v>15</v>
      </c>
      <c r="D4121" s="9" t="s">
        <v>249</v>
      </c>
      <c r="E4121" s="9" t="s">
        <v>30</v>
      </c>
      <c r="F4121" s="9" t="s">
        <v>18</v>
      </c>
      <c r="G4121" s="9">
        <v>8.0</v>
      </c>
      <c r="H4121" s="9" t="s">
        <v>22</v>
      </c>
      <c r="I4121" s="9" t="s">
        <v>20</v>
      </c>
      <c r="J4121" s="10"/>
      <c r="K4121" s="14" t="s">
        <v>398</v>
      </c>
      <c r="N4121" s="14" t="str">
        <f>IFERROR(__xludf.DUMMYFUNCTION("""COMPUTED_VALUE"""),"")</f>
        <v/>
      </c>
      <c r="O4121" s="14"/>
    </row>
    <row r="4122" ht="22.5" hidden="1" customHeight="1">
      <c r="A4122" s="8">
        <v>46106.63286300926</v>
      </c>
      <c r="B4122" s="14">
        <v>46106.0</v>
      </c>
      <c r="C4122" s="9" t="s">
        <v>15</v>
      </c>
      <c r="D4122" s="9" t="s">
        <v>105</v>
      </c>
      <c r="E4122" s="9" t="s">
        <v>17</v>
      </c>
      <c r="F4122" s="9" t="s">
        <v>17</v>
      </c>
      <c r="G4122" s="9">
        <v>8.0</v>
      </c>
      <c r="H4122" s="9" t="s">
        <v>22</v>
      </c>
      <c r="I4122" s="9" t="s">
        <v>20</v>
      </c>
      <c r="J4122" s="10"/>
      <c r="K4122" s="14" t="s">
        <v>398</v>
      </c>
      <c r="N4122" s="14" t="str">
        <f>IFERROR(__xludf.DUMMYFUNCTION("""COMPUTED_VALUE"""),"")</f>
        <v/>
      </c>
      <c r="O4122" s="14"/>
    </row>
    <row r="4123" ht="22.5" hidden="1" customHeight="1">
      <c r="A4123" s="8">
        <v>46106.63312629629</v>
      </c>
      <c r="B4123" s="14">
        <v>46106.0</v>
      </c>
      <c r="C4123" s="9" t="s">
        <v>15</v>
      </c>
      <c r="D4123" s="9" t="s">
        <v>280</v>
      </c>
      <c r="E4123" s="9" t="s">
        <v>17</v>
      </c>
      <c r="F4123" s="9" t="s">
        <v>17</v>
      </c>
      <c r="G4123" s="9">
        <v>7.0</v>
      </c>
      <c r="H4123" s="9" t="s">
        <v>22</v>
      </c>
      <c r="I4123" s="9" t="s">
        <v>20</v>
      </c>
      <c r="J4123" s="10"/>
      <c r="K4123" s="14" t="s">
        <v>398</v>
      </c>
      <c r="N4123" s="14" t="str">
        <f>IFERROR(__xludf.DUMMYFUNCTION("""COMPUTED_VALUE"""),"")</f>
        <v/>
      </c>
      <c r="O4123" s="14"/>
    </row>
    <row r="4124" ht="22.5" hidden="1" customHeight="1">
      <c r="A4124" s="8">
        <v>46106.67504974537</v>
      </c>
      <c r="B4124" s="14">
        <v>46106.0</v>
      </c>
      <c r="C4124" s="9" t="s">
        <v>15</v>
      </c>
      <c r="D4124" s="9" t="s">
        <v>395</v>
      </c>
      <c r="E4124" s="9" t="s">
        <v>17</v>
      </c>
      <c r="F4124" s="9" t="s">
        <v>17</v>
      </c>
      <c r="G4124" s="9">
        <v>6.0</v>
      </c>
      <c r="H4124" s="9" t="s">
        <v>22</v>
      </c>
      <c r="I4124" s="9" t="s">
        <v>20</v>
      </c>
      <c r="J4124" s="10"/>
      <c r="K4124" s="14" t="s">
        <v>398</v>
      </c>
      <c r="N4124" s="14" t="str">
        <f>IFERROR(__xludf.DUMMYFUNCTION("""COMPUTED_VALUE"""),"")</f>
        <v/>
      </c>
      <c r="O4124" s="14"/>
    </row>
    <row r="4125" ht="22.5" hidden="1" customHeight="1">
      <c r="A4125" s="8">
        <v>46106.67533670139</v>
      </c>
      <c r="B4125" s="14">
        <v>46106.0</v>
      </c>
      <c r="C4125" s="9" t="s">
        <v>15</v>
      </c>
      <c r="D4125" s="9" t="s">
        <v>412</v>
      </c>
      <c r="E4125" s="9" t="s">
        <v>17</v>
      </c>
      <c r="F4125" s="9" t="s">
        <v>17</v>
      </c>
      <c r="G4125" s="9">
        <v>8.0</v>
      </c>
      <c r="H4125" s="9" t="s">
        <v>22</v>
      </c>
      <c r="I4125" s="9" t="s">
        <v>20</v>
      </c>
      <c r="J4125" s="10"/>
      <c r="K4125" s="14" t="s">
        <v>398</v>
      </c>
      <c r="N4125" s="14" t="str">
        <f>IFERROR(__xludf.DUMMYFUNCTION("""COMPUTED_VALUE"""),"")</f>
        <v/>
      </c>
      <c r="O4125" s="14"/>
    </row>
    <row r="4126" ht="22.5" hidden="1" customHeight="1">
      <c r="A4126" s="8">
        <v>46106.6756287037</v>
      </c>
      <c r="B4126" s="14">
        <v>46106.0</v>
      </c>
      <c r="C4126" s="9" t="s">
        <v>15</v>
      </c>
      <c r="D4126" s="9" t="s">
        <v>413</v>
      </c>
      <c r="E4126" s="9" t="s">
        <v>17</v>
      </c>
      <c r="F4126" s="9" t="s">
        <v>17</v>
      </c>
      <c r="G4126" s="9">
        <v>8.0</v>
      </c>
      <c r="H4126" s="9" t="s">
        <v>22</v>
      </c>
      <c r="I4126" s="9" t="s">
        <v>20</v>
      </c>
      <c r="J4126" s="10"/>
      <c r="K4126" s="14" t="s">
        <v>398</v>
      </c>
      <c r="N4126" s="14" t="str">
        <f>IFERROR(__xludf.DUMMYFUNCTION("""COMPUTED_VALUE"""),"")</f>
        <v/>
      </c>
      <c r="O4126" s="14"/>
    </row>
    <row r="4127" ht="22.5" hidden="1" customHeight="1">
      <c r="A4127" s="8">
        <v>46106.675861192125</v>
      </c>
      <c r="B4127" s="14">
        <v>46106.0</v>
      </c>
      <c r="C4127" s="9" t="s">
        <v>15</v>
      </c>
      <c r="D4127" s="9" t="s">
        <v>280</v>
      </c>
      <c r="E4127" s="9" t="s">
        <v>17</v>
      </c>
      <c r="F4127" s="9" t="s">
        <v>17</v>
      </c>
      <c r="G4127" s="9">
        <v>7.0</v>
      </c>
      <c r="H4127" s="9" t="s">
        <v>22</v>
      </c>
      <c r="I4127" s="9" t="s">
        <v>20</v>
      </c>
      <c r="J4127" s="10"/>
      <c r="K4127" s="14" t="s">
        <v>398</v>
      </c>
      <c r="N4127" s="14" t="str">
        <f>IFERROR(__xludf.DUMMYFUNCTION("""COMPUTED_VALUE"""),"")</f>
        <v/>
      </c>
      <c r="O4127" s="14"/>
    </row>
    <row r="4128" ht="22.5" hidden="1" customHeight="1">
      <c r="A4128" s="8">
        <v>46106.67611483796</v>
      </c>
      <c r="B4128" s="14">
        <v>46106.0</v>
      </c>
      <c r="C4128" s="9" t="s">
        <v>15</v>
      </c>
      <c r="D4128" s="9" t="s">
        <v>393</v>
      </c>
      <c r="E4128" s="9" t="s">
        <v>17</v>
      </c>
      <c r="F4128" s="9" t="s">
        <v>17</v>
      </c>
      <c r="G4128" s="9">
        <v>8.0</v>
      </c>
      <c r="H4128" s="9" t="s">
        <v>22</v>
      </c>
      <c r="I4128" s="9" t="s">
        <v>20</v>
      </c>
      <c r="J4128" s="10"/>
      <c r="K4128" s="14" t="s">
        <v>398</v>
      </c>
      <c r="N4128" s="14" t="str">
        <f>IFERROR(__xludf.DUMMYFUNCTION("""COMPUTED_VALUE"""),"")</f>
        <v/>
      </c>
      <c r="O4128" s="14"/>
    </row>
    <row r="4129" ht="22.5" hidden="1" customHeight="1">
      <c r="A4129" s="8">
        <v>46106.676346215274</v>
      </c>
      <c r="B4129" s="14">
        <v>46106.0</v>
      </c>
      <c r="C4129" s="9" t="s">
        <v>15</v>
      </c>
      <c r="D4129" s="9" t="s">
        <v>174</v>
      </c>
      <c r="E4129" s="9" t="s">
        <v>17</v>
      </c>
      <c r="F4129" s="9" t="s">
        <v>17</v>
      </c>
      <c r="G4129" s="9">
        <v>7.0</v>
      </c>
      <c r="H4129" s="9" t="s">
        <v>22</v>
      </c>
      <c r="I4129" s="9" t="s">
        <v>20</v>
      </c>
      <c r="J4129" s="10"/>
      <c r="K4129" s="14" t="s">
        <v>398</v>
      </c>
      <c r="N4129" s="14" t="str">
        <f>IFERROR(__xludf.DUMMYFUNCTION("""COMPUTED_VALUE"""),"")</f>
        <v/>
      </c>
      <c r="O4129" s="14"/>
    </row>
    <row r="4130" ht="22.5" hidden="1" customHeight="1">
      <c r="A4130" s="8">
        <v>46106.67696719908</v>
      </c>
      <c r="B4130" s="14">
        <v>46106.0</v>
      </c>
      <c r="C4130" s="9" t="s">
        <v>15</v>
      </c>
      <c r="D4130" s="9" t="s">
        <v>369</v>
      </c>
      <c r="E4130" s="9" t="s">
        <v>17</v>
      </c>
      <c r="F4130" s="9" t="s">
        <v>17</v>
      </c>
      <c r="G4130" s="9">
        <v>7.0</v>
      </c>
      <c r="H4130" s="9" t="s">
        <v>22</v>
      </c>
      <c r="I4130" s="9" t="s">
        <v>20</v>
      </c>
      <c r="J4130" s="10"/>
      <c r="K4130" s="14" t="s">
        <v>398</v>
      </c>
      <c r="N4130" s="14" t="str">
        <f>IFERROR(__xludf.DUMMYFUNCTION("""COMPUTED_VALUE"""),"")</f>
        <v/>
      </c>
      <c r="O4130" s="14"/>
    </row>
    <row r="4131" ht="22.5" hidden="1" customHeight="1">
      <c r="A4131" s="8">
        <v>46106.677195219905</v>
      </c>
      <c r="B4131" s="14">
        <v>46106.0</v>
      </c>
      <c r="C4131" s="9" t="s">
        <v>15</v>
      </c>
      <c r="D4131" s="9" t="s">
        <v>423</v>
      </c>
      <c r="E4131" s="9" t="s">
        <v>17</v>
      </c>
      <c r="F4131" s="9" t="s">
        <v>17</v>
      </c>
      <c r="G4131" s="9" t="s">
        <v>410</v>
      </c>
      <c r="H4131" s="9" t="s">
        <v>22</v>
      </c>
      <c r="I4131" s="9" t="s">
        <v>20</v>
      </c>
      <c r="J4131" s="10"/>
      <c r="K4131" s="14" t="s">
        <v>398</v>
      </c>
      <c r="N4131" s="14" t="str">
        <f>IFERROR(__xludf.DUMMYFUNCTION("""COMPUTED_VALUE"""),"")</f>
        <v/>
      </c>
      <c r="O4131" s="14"/>
    </row>
    <row r="4132" ht="22.5" hidden="1" customHeight="1">
      <c r="A4132" s="8">
        <v>46106.677455578705</v>
      </c>
      <c r="B4132" s="14">
        <v>46106.0</v>
      </c>
      <c r="C4132" s="9" t="s">
        <v>15</v>
      </c>
      <c r="D4132" s="9" t="s">
        <v>414</v>
      </c>
      <c r="E4132" s="9" t="s">
        <v>17</v>
      </c>
      <c r="F4132" s="9" t="s">
        <v>17</v>
      </c>
      <c r="G4132" s="9">
        <v>6.0</v>
      </c>
      <c r="H4132" s="9" t="s">
        <v>22</v>
      </c>
      <c r="I4132" s="9" t="s">
        <v>20</v>
      </c>
      <c r="J4132" s="10"/>
      <c r="K4132" s="14" t="s">
        <v>398</v>
      </c>
      <c r="N4132" s="14" t="str">
        <f>IFERROR(__xludf.DUMMYFUNCTION("""COMPUTED_VALUE"""),"")</f>
        <v/>
      </c>
      <c r="O4132" s="14"/>
    </row>
    <row r="4133" ht="22.5" hidden="1" customHeight="1">
      <c r="A4133" s="8">
        <v>46106.6778365162</v>
      </c>
      <c r="B4133" s="14">
        <v>46106.0</v>
      </c>
      <c r="C4133" s="9" t="s">
        <v>15</v>
      </c>
      <c r="D4133" s="9" t="s">
        <v>408</v>
      </c>
      <c r="E4133" s="9" t="s">
        <v>17</v>
      </c>
      <c r="F4133" s="9" t="s">
        <v>17</v>
      </c>
      <c r="G4133" s="9" t="s">
        <v>410</v>
      </c>
      <c r="H4133" s="9" t="s">
        <v>22</v>
      </c>
      <c r="I4133" s="9" t="s">
        <v>20</v>
      </c>
      <c r="J4133" s="10"/>
      <c r="K4133" s="14" t="s">
        <v>398</v>
      </c>
      <c r="N4133" s="14" t="str">
        <f>IFERROR(__xludf.DUMMYFUNCTION("""COMPUTED_VALUE"""),"")</f>
        <v/>
      </c>
      <c r="O4133" s="14"/>
    </row>
    <row r="4134" ht="22.5" hidden="1" customHeight="1">
      <c r="A4134" s="8">
        <v>46106.67812216435</v>
      </c>
      <c r="B4134" s="14">
        <v>46106.0</v>
      </c>
      <c r="C4134" s="9" t="s">
        <v>15</v>
      </c>
      <c r="D4134" s="9" t="s">
        <v>350</v>
      </c>
      <c r="E4134" s="9" t="s">
        <v>17</v>
      </c>
      <c r="F4134" s="9" t="s">
        <v>17</v>
      </c>
      <c r="G4134" s="9">
        <v>7.0</v>
      </c>
      <c r="H4134" s="9" t="s">
        <v>22</v>
      </c>
      <c r="I4134" s="9" t="s">
        <v>20</v>
      </c>
      <c r="J4134" s="10"/>
      <c r="K4134" s="14" t="s">
        <v>398</v>
      </c>
      <c r="N4134" s="14" t="str">
        <f>IFERROR(__xludf.DUMMYFUNCTION("""COMPUTED_VALUE"""),"")</f>
        <v/>
      </c>
      <c r="O4134" s="14"/>
    </row>
    <row r="4135" ht="22.5" hidden="1" customHeight="1">
      <c r="A4135" s="8">
        <v>46106.683511006944</v>
      </c>
      <c r="B4135" s="14">
        <v>46106.0</v>
      </c>
      <c r="C4135" s="9" t="s">
        <v>15</v>
      </c>
      <c r="D4135" s="9" t="s">
        <v>175</v>
      </c>
      <c r="E4135" s="9" t="s">
        <v>17</v>
      </c>
      <c r="F4135" s="9" t="s">
        <v>17</v>
      </c>
      <c r="G4135" s="9">
        <v>7.0</v>
      </c>
      <c r="H4135" s="9" t="s">
        <v>25</v>
      </c>
      <c r="I4135" s="9" t="s">
        <v>207</v>
      </c>
      <c r="J4135" s="10"/>
      <c r="K4135" s="14" t="s">
        <v>398</v>
      </c>
      <c r="N4135" s="14" t="str">
        <f>IFERROR(__xludf.DUMMYFUNCTION("""COMPUTED_VALUE"""),"")</f>
        <v/>
      </c>
      <c r="O4135" s="14"/>
    </row>
    <row r="4136" ht="22.5" hidden="1" customHeight="1">
      <c r="A4136" s="8">
        <v>46106.68407945602</v>
      </c>
      <c r="B4136" s="14">
        <v>46106.0</v>
      </c>
      <c r="C4136" s="9" t="s">
        <v>15</v>
      </c>
      <c r="D4136" s="9" t="s">
        <v>357</v>
      </c>
      <c r="E4136" s="9" t="s">
        <v>17</v>
      </c>
      <c r="F4136" s="9" t="s">
        <v>17</v>
      </c>
      <c r="G4136" s="9">
        <v>6.0</v>
      </c>
      <c r="H4136" s="9" t="s">
        <v>22</v>
      </c>
      <c r="I4136" s="9" t="s">
        <v>20</v>
      </c>
      <c r="J4136" s="10"/>
      <c r="K4136" s="14" t="s">
        <v>398</v>
      </c>
      <c r="N4136" s="14" t="str">
        <f>IFERROR(__xludf.DUMMYFUNCTION("""COMPUTED_VALUE"""),"")</f>
        <v/>
      </c>
      <c r="O4136" s="14"/>
    </row>
    <row r="4137" ht="22.5" hidden="1" customHeight="1">
      <c r="A4137" s="8">
        <v>46106.68457479167</v>
      </c>
      <c r="B4137" s="14">
        <v>46106.0</v>
      </c>
      <c r="C4137" s="9" t="s">
        <v>15</v>
      </c>
      <c r="D4137" s="9" t="s">
        <v>421</v>
      </c>
      <c r="E4137" s="9" t="s">
        <v>17</v>
      </c>
      <c r="F4137" s="9" t="s">
        <v>17</v>
      </c>
      <c r="G4137" s="9">
        <v>8.0</v>
      </c>
      <c r="H4137" s="9" t="s">
        <v>22</v>
      </c>
      <c r="I4137" s="9" t="s">
        <v>20</v>
      </c>
      <c r="J4137" s="10"/>
      <c r="K4137" s="14" t="s">
        <v>398</v>
      </c>
      <c r="N4137" s="14" t="str">
        <f>IFERROR(__xludf.DUMMYFUNCTION("""COMPUTED_VALUE"""),"")</f>
        <v/>
      </c>
      <c r="O4137" s="14"/>
    </row>
    <row r="4138" ht="22.5" hidden="1" customHeight="1">
      <c r="A4138" s="8">
        <v>46106.69744081018</v>
      </c>
      <c r="B4138" s="14">
        <v>46106.0</v>
      </c>
      <c r="C4138" s="9" t="s">
        <v>15</v>
      </c>
      <c r="D4138" s="9" t="s">
        <v>259</v>
      </c>
      <c r="E4138" s="9" t="s">
        <v>30</v>
      </c>
      <c r="F4138" s="9" t="s">
        <v>18</v>
      </c>
      <c r="G4138" s="9" t="s">
        <v>409</v>
      </c>
      <c r="H4138" s="9" t="s">
        <v>22</v>
      </c>
      <c r="I4138" s="9" t="s">
        <v>20</v>
      </c>
      <c r="J4138" s="10"/>
      <c r="K4138" s="14" t="s">
        <v>398</v>
      </c>
      <c r="N4138" s="14" t="str">
        <f>IFERROR(__xludf.DUMMYFUNCTION("""COMPUTED_VALUE"""),"")</f>
        <v/>
      </c>
      <c r="O4138" s="14"/>
    </row>
    <row r="4139" ht="22.5" hidden="1" customHeight="1">
      <c r="A4139" s="8">
        <v>46106.698156377315</v>
      </c>
      <c r="B4139" s="14">
        <v>46106.0</v>
      </c>
      <c r="C4139" s="9" t="s">
        <v>15</v>
      </c>
      <c r="D4139" s="9" t="s">
        <v>210</v>
      </c>
      <c r="E4139" s="9" t="s">
        <v>46</v>
      </c>
      <c r="F4139" s="9" t="s">
        <v>60</v>
      </c>
      <c r="G4139" s="9">
        <v>6.0</v>
      </c>
      <c r="H4139" s="9" t="s">
        <v>22</v>
      </c>
      <c r="I4139" s="9" t="s">
        <v>20</v>
      </c>
      <c r="J4139" s="10"/>
      <c r="K4139" s="14" t="s">
        <v>398</v>
      </c>
      <c r="N4139" s="14" t="str">
        <f>IFERROR(__xludf.DUMMYFUNCTION("""COMPUTED_VALUE"""),"")</f>
        <v/>
      </c>
      <c r="O4139" s="14"/>
    </row>
    <row r="4140" ht="22.5" hidden="1" customHeight="1">
      <c r="A4140" s="8">
        <v>46106.69921510416</v>
      </c>
      <c r="B4140" s="14">
        <v>46106.0</v>
      </c>
      <c r="C4140" s="9" t="s">
        <v>15</v>
      </c>
      <c r="D4140" s="9" t="s">
        <v>335</v>
      </c>
      <c r="E4140" s="9" t="s">
        <v>17</v>
      </c>
      <c r="F4140" s="9" t="s">
        <v>17</v>
      </c>
      <c r="G4140" s="9">
        <v>7.0</v>
      </c>
      <c r="H4140" s="9" t="s">
        <v>25</v>
      </c>
      <c r="I4140" s="9" t="s">
        <v>411</v>
      </c>
      <c r="J4140" s="10"/>
      <c r="K4140" s="14" t="s">
        <v>398</v>
      </c>
      <c r="N4140" s="14" t="str">
        <f>IFERROR(__xludf.DUMMYFUNCTION("""COMPUTED_VALUE"""),"")</f>
        <v/>
      </c>
      <c r="O4140" s="14"/>
    </row>
    <row r="4141" ht="22.5" hidden="1" customHeight="1">
      <c r="A4141" s="8">
        <v>46106.70884207176</v>
      </c>
      <c r="B4141" s="14">
        <v>46106.0</v>
      </c>
      <c r="C4141" s="9" t="s">
        <v>15</v>
      </c>
      <c r="D4141" s="9" t="s">
        <v>247</v>
      </c>
      <c r="E4141" s="9" t="s">
        <v>17</v>
      </c>
      <c r="F4141" s="9" t="s">
        <v>17</v>
      </c>
      <c r="G4141" s="9">
        <v>7.0</v>
      </c>
      <c r="H4141" s="9" t="s">
        <v>22</v>
      </c>
      <c r="I4141" s="9" t="s">
        <v>20</v>
      </c>
      <c r="J4141" s="10"/>
      <c r="K4141" s="14" t="s">
        <v>398</v>
      </c>
      <c r="N4141" s="14" t="str">
        <f>IFERROR(__xludf.DUMMYFUNCTION("""COMPUTED_VALUE"""),"")</f>
        <v/>
      </c>
      <c r="O4141" s="14"/>
    </row>
    <row r="4142" ht="22.5" hidden="1" customHeight="1">
      <c r="A4142" s="8">
        <v>46106.70928556713</v>
      </c>
      <c r="B4142" s="14">
        <v>46106.0</v>
      </c>
      <c r="C4142" s="9" t="s">
        <v>15</v>
      </c>
      <c r="D4142" s="9" t="s">
        <v>257</v>
      </c>
      <c r="E4142" s="9" t="s">
        <v>17</v>
      </c>
      <c r="F4142" s="9" t="s">
        <v>17</v>
      </c>
      <c r="G4142" s="9">
        <v>8.0</v>
      </c>
      <c r="H4142" s="9" t="s">
        <v>22</v>
      </c>
      <c r="I4142" s="9" t="s">
        <v>404</v>
      </c>
      <c r="J4142" s="10"/>
      <c r="K4142" s="14" t="s">
        <v>398</v>
      </c>
      <c r="N4142" s="14" t="str">
        <f>IFERROR(__xludf.DUMMYFUNCTION("""COMPUTED_VALUE"""),"")</f>
        <v/>
      </c>
      <c r="O4142" s="14"/>
    </row>
    <row r="4143" ht="22.5" hidden="1" customHeight="1">
      <c r="A4143" s="8">
        <v>46107.3591149537</v>
      </c>
      <c r="B4143" s="14">
        <v>46107.0</v>
      </c>
      <c r="C4143" s="9" t="s">
        <v>31</v>
      </c>
      <c r="D4143" s="9" t="s">
        <v>412</v>
      </c>
      <c r="E4143" s="9" t="s">
        <v>17</v>
      </c>
      <c r="F4143" s="9" t="s">
        <v>17</v>
      </c>
      <c r="G4143" s="9">
        <v>8.0</v>
      </c>
      <c r="H4143" s="9" t="s">
        <v>22</v>
      </c>
      <c r="I4143" s="9" t="s">
        <v>20</v>
      </c>
      <c r="J4143" s="10"/>
      <c r="K4143" s="14" t="s">
        <v>398</v>
      </c>
      <c r="N4143" s="14" t="str">
        <f>IFERROR(__xludf.DUMMYFUNCTION("""COMPUTED_VALUE"""),"")</f>
        <v/>
      </c>
      <c r="O4143" s="14"/>
    </row>
    <row r="4144" ht="22.5" hidden="1" customHeight="1">
      <c r="A4144" s="8">
        <v>46107.359401608795</v>
      </c>
      <c r="B4144" s="14">
        <v>46107.0</v>
      </c>
      <c r="C4144" s="9" t="s">
        <v>31</v>
      </c>
      <c r="D4144" s="9" t="s">
        <v>413</v>
      </c>
      <c r="E4144" s="9" t="s">
        <v>44</v>
      </c>
      <c r="F4144" s="9" t="s">
        <v>17</v>
      </c>
      <c r="G4144" s="9">
        <v>8.0</v>
      </c>
      <c r="H4144" s="9" t="s">
        <v>22</v>
      </c>
      <c r="I4144" s="9" t="s">
        <v>20</v>
      </c>
      <c r="J4144" s="10"/>
      <c r="K4144" s="14" t="s">
        <v>398</v>
      </c>
      <c r="N4144" s="14" t="str">
        <f>IFERROR(__xludf.DUMMYFUNCTION("""COMPUTED_VALUE"""),"")</f>
        <v/>
      </c>
      <c r="O4144" s="14"/>
    </row>
    <row r="4145" ht="22.5" hidden="1" customHeight="1">
      <c r="A4145" s="8">
        <v>46107.359637835645</v>
      </c>
      <c r="B4145" s="14">
        <v>46107.0</v>
      </c>
      <c r="C4145" s="9" t="s">
        <v>31</v>
      </c>
      <c r="D4145" s="9" t="s">
        <v>280</v>
      </c>
      <c r="E4145" s="9" t="s">
        <v>17</v>
      </c>
      <c r="F4145" s="9" t="s">
        <v>17</v>
      </c>
      <c r="G4145" s="9">
        <v>7.0</v>
      </c>
      <c r="H4145" s="9" t="s">
        <v>22</v>
      </c>
      <c r="I4145" s="9" t="s">
        <v>20</v>
      </c>
      <c r="J4145" s="10"/>
      <c r="K4145" s="14" t="s">
        <v>398</v>
      </c>
      <c r="N4145" s="14" t="str">
        <f>IFERROR(__xludf.DUMMYFUNCTION("""COMPUTED_VALUE"""),"")</f>
        <v/>
      </c>
      <c r="O4145" s="14"/>
    </row>
    <row r="4146" ht="22.5" hidden="1" customHeight="1">
      <c r="A4146" s="8">
        <v>46107.35996613426</v>
      </c>
      <c r="B4146" s="14">
        <v>46107.0</v>
      </c>
      <c r="C4146" s="9" t="s">
        <v>31</v>
      </c>
      <c r="D4146" s="9" t="s">
        <v>105</v>
      </c>
      <c r="E4146" s="9" t="s">
        <v>17</v>
      </c>
      <c r="F4146" s="9" t="s">
        <v>17</v>
      </c>
      <c r="G4146" s="9">
        <v>7.0</v>
      </c>
      <c r="H4146" s="9" t="s">
        <v>22</v>
      </c>
      <c r="I4146" s="9" t="s">
        <v>20</v>
      </c>
      <c r="J4146" s="10"/>
      <c r="K4146" s="14" t="s">
        <v>398</v>
      </c>
      <c r="N4146" s="14" t="str">
        <f>IFERROR(__xludf.DUMMYFUNCTION("""COMPUTED_VALUE"""),"")</f>
        <v/>
      </c>
      <c r="O4146" s="14"/>
    </row>
    <row r="4147" ht="22.5" hidden="1" customHeight="1">
      <c r="A4147" s="8">
        <v>46107.36021298611</v>
      </c>
      <c r="B4147" s="14">
        <v>46107.0</v>
      </c>
      <c r="C4147" s="9" t="s">
        <v>31</v>
      </c>
      <c r="D4147" s="9" t="s">
        <v>258</v>
      </c>
      <c r="E4147" s="9" t="s">
        <v>17</v>
      </c>
      <c r="F4147" s="9" t="s">
        <v>17</v>
      </c>
      <c r="G4147" s="9">
        <v>7.0</v>
      </c>
      <c r="H4147" s="9" t="s">
        <v>22</v>
      </c>
      <c r="I4147" s="9" t="s">
        <v>20</v>
      </c>
      <c r="J4147" s="10"/>
      <c r="K4147" s="14" t="s">
        <v>398</v>
      </c>
      <c r="N4147" s="14" t="str">
        <f>IFERROR(__xludf.DUMMYFUNCTION("""COMPUTED_VALUE"""),"")</f>
        <v/>
      </c>
      <c r="O4147" s="14"/>
    </row>
    <row r="4148" ht="22.5" hidden="1" customHeight="1">
      <c r="A4148" s="8">
        <v>46107.360498055554</v>
      </c>
      <c r="B4148" s="14">
        <v>46107.0</v>
      </c>
      <c r="C4148" s="9" t="s">
        <v>31</v>
      </c>
      <c r="D4148" s="9" t="s">
        <v>408</v>
      </c>
      <c r="E4148" s="9" t="s">
        <v>44</v>
      </c>
      <c r="F4148" s="9" t="s">
        <v>35</v>
      </c>
      <c r="G4148" s="9">
        <v>8.0</v>
      </c>
      <c r="H4148" s="9" t="s">
        <v>22</v>
      </c>
      <c r="I4148" s="9" t="s">
        <v>20</v>
      </c>
      <c r="J4148" s="10"/>
      <c r="K4148" s="14" t="s">
        <v>398</v>
      </c>
      <c r="N4148" s="14" t="str">
        <f>IFERROR(__xludf.DUMMYFUNCTION("""COMPUTED_VALUE"""),"")</f>
        <v/>
      </c>
      <c r="O4148" s="14"/>
    </row>
    <row r="4149" ht="22.5" hidden="1" customHeight="1">
      <c r="A4149" s="8">
        <v>46107.36602545139</v>
      </c>
      <c r="B4149" s="14">
        <v>46107.0</v>
      </c>
      <c r="C4149" s="9" t="s">
        <v>31</v>
      </c>
      <c r="D4149" s="9" t="s">
        <v>257</v>
      </c>
      <c r="E4149" s="9" t="s">
        <v>17</v>
      </c>
      <c r="F4149" s="9" t="s">
        <v>17</v>
      </c>
      <c r="G4149" s="9">
        <v>8.0</v>
      </c>
      <c r="H4149" s="9" t="s">
        <v>22</v>
      </c>
      <c r="I4149" s="9" t="s">
        <v>20</v>
      </c>
      <c r="J4149" s="10"/>
      <c r="K4149" s="14" t="s">
        <v>398</v>
      </c>
      <c r="N4149" s="14" t="str">
        <f>IFERROR(__xludf.DUMMYFUNCTION("""COMPUTED_VALUE"""),"")</f>
        <v/>
      </c>
      <c r="O4149" s="14"/>
    </row>
    <row r="4150" ht="22.5" hidden="1" customHeight="1">
      <c r="A4150" s="8">
        <v>46107.38538400463</v>
      </c>
      <c r="B4150" s="14">
        <v>46107.0</v>
      </c>
      <c r="C4150" s="9" t="s">
        <v>31</v>
      </c>
      <c r="D4150" s="9" t="s">
        <v>175</v>
      </c>
      <c r="E4150" s="9" t="s">
        <v>17</v>
      </c>
      <c r="F4150" s="9" t="s">
        <v>17</v>
      </c>
      <c r="G4150" s="9">
        <v>7.0</v>
      </c>
      <c r="H4150" s="9" t="s">
        <v>25</v>
      </c>
      <c r="I4150" s="9" t="s">
        <v>207</v>
      </c>
      <c r="J4150" s="10"/>
      <c r="K4150" s="14" t="s">
        <v>398</v>
      </c>
      <c r="N4150" s="14" t="str">
        <f>IFERROR(__xludf.DUMMYFUNCTION("""COMPUTED_VALUE"""),"")</f>
        <v/>
      </c>
      <c r="O4150" s="14"/>
    </row>
    <row r="4151" ht="22.5" hidden="1" customHeight="1">
      <c r="A4151" s="8">
        <v>46107.38567422454</v>
      </c>
      <c r="B4151" s="14">
        <v>46107.0</v>
      </c>
      <c r="C4151" s="9" t="s">
        <v>31</v>
      </c>
      <c r="D4151" s="9" t="s">
        <v>259</v>
      </c>
      <c r="E4151" s="9" t="s">
        <v>30</v>
      </c>
      <c r="F4151" s="9" t="s">
        <v>35</v>
      </c>
      <c r="G4151" s="9">
        <v>7.0</v>
      </c>
      <c r="H4151" s="9" t="s">
        <v>25</v>
      </c>
      <c r="I4151" s="9" t="s">
        <v>28</v>
      </c>
      <c r="J4151" s="10"/>
      <c r="K4151" s="14" t="s">
        <v>398</v>
      </c>
      <c r="N4151" s="14" t="str">
        <f>IFERROR(__xludf.DUMMYFUNCTION("""COMPUTED_VALUE"""),"")</f>
        <v/>
      </c>
      <c r="O4151" s="14"/>
    </row>
    <row r="4152" ht="22.5" hidden="1" customHeight="1">
      <c r="A4152" s="8">
        <v>46107.38591049769</v>
      </c>
      <c r="B4152" s="14">
        <v>46107.0</v>
      </c>
      <c r="C4152" s="9" t="s">
        <v>31</v>
      </c>
      <c r="D4152" s="9" t="s">
        <v>174</v>
      </c>
      <c r="E4152" s="9" t="s">
        <v>17</v>
      </c>
      <c r="F4152" s="9" t="s">
        <v>17</v>
      </c>
      <c r="G4152" s="9">
        <v>7.0</v>
      </c>
      <c r="H4152" s="9" t="s">
        <v>22</v>
      </c>
      <c r="I4152" s="9" t="s">
        <v>20</v>
      </c>
      <c r="J4152" s="10"/>
      <c r="K4152" s="14" t="s">
        <v>398</v>
      </c>
      <c r="N4152" s="14" t="str">
        <f>IFERROR(__xludf.DUMMYFUNCTION("""COMPUTED_VALUE"""),"")</f>
        <v/>
      </c>
      <c r="O4152" s="14"/>
    </row>
    <row r="4153" ht="22.5" hidden="1" customHeight="1">
      <c r="A4153" s="8">
        <v>46107.38609388889</v>
      </c>
      <c r="B4153" s="14">
        <v>46107.0</v>
      </c>
      <c r="C4153" s="9" t="s">
        <v>31</v>
      </c>
      <c r="D4153" s="9" t="s">
        <v>210</v>
      </c>
      <c r="E4153" s="9" t="s">
        <v>17</v>
      </c>
      <c r="F4153" s="9" t="s">
        <v>17</v>
      </c>
      <c r="G4153" s="9">
        <v>7.0</v>
      </c>
      <c r="H4153" s="9" t="s">
        <v>22</v>
      </c>
      <c r="I4153" s="9" t="s">
        <v>20</v>
      </c>
      <c r="J4153" s="10"/>
      <c r="K4153" s="14" t="s">
        <v>398</v>
      </c>
      <c r="N4153" s="14" t="str">
        <f>IFERROR(__xludf.DUMMYFUNCTION("""COMPUTED_VALUE"""),"")</f>
        <v/>
      </c>
      <c r="O4153" s="14"/>
    </row>
    <row r="4154" ht="22.5" hidden="1" customHeight="1">
      <c r="A4154" s="8">
        <v>46107.386304513886</v>
      </c>
      <c r="B4154" s="14">
        <v>46107.0</v>
      </c>
      <c r="C4154" s="9" t="s">
        <v>31</v>
      </c>
      <c r="D4154" s="9" t="s">
        <v>247</v>
      </c>
      <c r="E4154" s="9" t="s">
        <v>17</v>
      </c>
      <c r="F4154" s="9" t="s">
        <v>17</v>
      </c>
      <c r="G4154" s="9">
        <v>7.0</v>
      </c>
      <c r="H4154" s="9" t="s">
        <v>22</v>
      </c>
      <c r="I4154" s="9" t="s">
        <v>20</v>
      </c>
      <c r="J4154" s="10"/>
      <c r="K4154" s="14" t="s">
        <v>398</v>
      </c>
      <c r="N4154" s="14" t="str">
        <f>IFERROR(__xludf.DUMMYFUNCTION("""COMPUTED_VALUE"""),"")</f>
        <v/>
      </c>
      <c r="O4154" s="14"/>
    </row>
    <row r="4155" ht="22.5" hidden="1" customHeight="1">
      <c r="A4155" s="8">
        <v>46107.38663341435</v>
      </c>
      <c r="B4155" s="14">
        <v>46107.0</v>
      </c>
      <c r="C4155" s="9" t="s">
        <v>31</v>
      </c>
      <c r="D4155" s="9" t="s">
        <v>350</v>
      </c>
      <c r="E4155" s="9" t="s">
        <v>17</v>
      </c>
      <c r="F4155" s="9" t="s">
        <v>17</v>
      </c>
      <c r="G4155" s="9">
        <v>7.0</v>
      </c>
      <c r="H4155" s="9" t="s">
        <v>22</v>
      </c>
      <c r="I4155" s="9" t="s">
        <v>20</v>
      </c>
      <c r="J4155" s="10"/>
      <c r="K4155" s="14" t="s">
        <v>398</v>
      </c>
      <c r="N4155" s="14" t="str">
        <f>IFERROR(__xludf.DUMMYFUNCTION("""COMPUTED_VALUE"""),"")</f>
        <v/>
      </c>
      <c r="O4155" s="14"/>
    </row>
    <row r="4156" ht="22.5" hidden="1" customHeight="1">
      <c r="A4156" s="8">
        <v>46107.38684155092</v>
      </c>
      <c r="B4156" s="14">
        <v>46107.0</v>
      </c>
      <c r="C4156" s="9" t="s">
        <v>31</v>
      </c>
      <c r="D4156" s="9" t="s">
        <v>395</v>
      </c>
      <c r="E4156" s="9" t="s">
        <v>17</v>
      </c>
      <c r="F4156" s="9" t="s">
        <v>17</v>
      </c>
      <c r="G4156" s="9">
        <v>7.0</v>
      </c>
      <c r="H4156" s="9" t="s">
        <v>22</v>
      </c>
      <c r="I4156" s="9" t="s">
        <v>20</v>
      </c>
      <c r="J4156" s="10"/>
      <c r="K4156" s="14" t="s">
        <v>398</v>
      </c>
      <c r="N4156" s="14" t="str">
        <f>IFERROR(__xludf.DUMMYFUNCTION("""COMPUTED_VALUE"""),"")</f>
        <v/>
      </c>
      <c r="O4156" s="14"/>
    </row>
    <row r="4157" ht="22.5" hidden="1" customHeight="1">
      <c r="A4157" s="8">
        <v>46107.38716400463</v>
      </c>
      <c r="B4157" s="14">
        <v>46107.0</v>
      </c>
      <c r="C4157" s="9" t="s">
        <v>31</v>
      </c>
      <c r="D4157" s="9" t="s">
        <v>357</v>
      </c>
      <c r="E4157" s="9" t="s">
        <v>17</v>
      </c>
      <c r="F4157" s="9" t="s">
        <v>17</v>
      </c>
      <c r="G4157" s="9">
        <v>7.0</v>
      </c>
      <c r="H4157" s="9" t="s">
        <v>25</v>
      </c>
      <c r="I4157" s="9" t="s">
        <v>240</v>
      </c>
      <c r="J4157" s="10"/>
      <c r="K4157" s="14" t="s">
        <v>398</v>
      </c>
      <c r="N4157" s="14" t="str">
        <f>IFERROR(__xludf.DUMMYFUNCTION("""COMPUTED_VALUE"""),"")</f>
        <v/>
      </c>
      <c r="O4157" s="14"/>
    </row>
    <row r="4158" ht="22.5" hidden="1" customHeight="1">
      <c r="A4158" s="8">
        <v>46107.38747048611</v>
      </c>
      <c r="B4158" s="14">
        <v>46107.0</v>
      </c>
      <c r="C4158" s="9" t="s">
        <v>31</v>
      </c>
      <c r="D4158" s="9" t="s">
        <v>393</v>
      </c>
      <c r="E4158" s="9" t="s">
        <v>17</v>
      </c>
      <c r="F4158" s="9" t="s">
        <v>17</v>
      </c>
      <c r="G4158" s="9">
        <v>7.0</v>
      </c>
      <c r="H4158" s="9" t="s">
        <v>22</v>
      </c>
      <c r="I4158" s="9" t="s">
        <v>20</v>
      </c>
      <c r="J4158" s="10"/>
      <c r="K4158" s="14" t="s">
        <v>398</v>
      </c>
      <c r="N4158" s="14" t="str">
        <f>IFERROR(__xludf.DUMMYFUNCTION("""COMPUTED_VALUE"""),"")</f>
        <v/>
      </c>
      <c r="O4158" s="14"/>
    </row>
    <row r="4159" ht="22.5" hidden="1" customHeight="1">
      <c r="A4159" s="8">
        <v>46107.38771802084</v>
      </c>
      <c r="B4159" s="14">
        <v>46107.0</v>
      </c>
      <c r="C4159" s="9" t="s">
        <v>31</v>
      </c>
      <c r="D4159" s="9" t="s">
        <v>369</v>
      </c>
      <c r="E4159" s="9" t="s">
        <v>17</v>
      </c>
      <c r="F4159" s="9" t="s">
        <v>17</v>
      </c>
      <c r="G4159" s="9">
        <v>7.0</v>
      </c>
      <c r="H4159" s="9" t="s">
        <v>17</v>
      </c>
      <c r="I4159" s="9" t="s">
        <v>20</v>
      </c>
      <c r="J4159" s="10"/>
      <c r="K4159" s="14" t="s">
        <v>398</v>
      </c>
      <c r="N4159" s="14" t="str">
        <f>IFERROR(__xludf.DUMMYFUNCTION("""COMPUTED_VALUE"""),"")</f>
        <v/>
      </c>
      <c r="O4159" s="14"/>
    </row>
    <row r="4160" ht="22.5" hidden="1" customHeight="1">
      <c r="A4160" s="8">
        <v>46107.38791871528</v>
      </c>
      <c r="B4160" s="14">
        <v>46107.0</v>
      </c>
      <c r="C4160" s="9" t="s">
        <v>31</v>
      </c>
      <c r="D4160" s="9" t="s">
        <v>414</v>
      </c>
      <c r="E4160" s="9" t="s">
        <v>17</v>
      </c>
      <c r="F4160" s="9" t="s">
        <v>17</v>
      </c>
      <c r="G4160" s="9">
        <v>8.0</v>
      </c>
      <c r="H4160" s="9" t="s">
        <v>22</v>
      </c>
      <c r="I4160" s="9" t="s">
        <v>20</v>
      </c>
      <c r="J4160" s="10"/>
      <c r="K4160" s="14" t="s">
        <v>398</v>
      </c>
      <c r="N4160" s="14" t="str">
        <f>IFERROR(__xludf.DUMMYFUNCTION("""COMPUTED_VALUE"""),"")</f>
        <v/>
      </c>
      <c r="O4160" s="14"/>
    </row>
    <row r="4161" ht="22.5" hidden="1" customHeight="1">
      <c r="A4161" s="8">
        <v>46107.38816598379</v>
      </c>
      <c r="B4161" s="14">
        <v>46107.0</v>
      </c>
      <c r="C4161" s="9" t="s">
        <v>31</v>
      </c>
      <c r="D4161" s="9" t="s">
        <v>421</v>
      </c>
      <c r="E4161" s="9" t="s">
        <v>17</v>
      </c>
      <c r="F4161" s="9" t="s">
        <v>17</v>
      </c>
      <c r="G4161" s="9">
        <v>7.0</v>
      </c>
      <c r="H4161" s="9" t="s">
        <v>22</v>
      </c>
      <c r="I4161" s="9" t="s">
        <v>20</v>
      </c>
      <c r="J4161" s="10"/>
      <c r="K4161" s="14" t="s">
        <v>398</v>
      </c>
      <c r="N4161" s="14" t="str">
        <f>IFERROR(__xludf.DUMMYFUNCTION("""COMPUTED_VALUE"""),"")</f>
        <v/>
      </c>
      <c r="O4161" s="14"/>
    </row>
    <row r="4162" ht="22.5" hidden="1" customHeight="1">
      <c r="A4162" s="8">
        <v>46107.38834996527</v>
      </c>
      <c r="B4162" s="14">
        <v>46107.0</v>
      </c>
      <c r="C4162" s="9" t="s">
        <v>31</v>
      </c>
      <c r="D4162" s="9" t="s">
        <v>423</v>
      </c>
      <c r="E4162" s="9" t="s">
        <v>17</v>
      </c>
      <c r="F4162" s="9" t="s">
        <v>17</v>
      </c>
      <c r="G4162" s="9">
        <v>7.0</v>
      </c>
      <c r="H4162" s="9" t="s">
        <v>22</v>
      </c>
      <c r="I4162" s="9" t="s">
        <v>20</v>
      </c>
      <c r="J4162" s="10"/>
      <c r="K4162" s="14" t="s">
        <v>398</v>
      </c>
      <c r="N4162" s="14" t="str">
        <f>IFERROR(__xludf.DUMMYFUNCTION("""COMPUTED_VALUE"""),"")</f>
        <v/>
      </c>
      <c r="O4162" s="14"/>
    </row>
    <row r="4163" ht="22.5" hidden="1" customHeight="1">
      <c r="A4163" s="8">
        <v>46111.337046388886</v>
      </c>
      <c r="B4163" s="14">
        <v>46111.0</v>
      </c>
      <c r="C4163" s="9" t="s">
        <v>86</v>
      </c>
      <c r="D4163" s="9" t="s">
        <v>249</v>
      </c>
      <c r="E4163" s="9" t="s">
        <v>17</v>
      </c>
      <c r="F4163" s="9" t="s">
        <v>17</v>
      </c>
      <c r="G4163" s="9">
        <v>8.0</v>
      </c>
      <c r="H4163" s="9" t="s">
        <v>25</v>
      </c>
      <c r="I4163" s="9" t="s">
        <v>28</v>
      </c>
      <c r="J4163" s="10"/>
      <c r="K4163" s="14" t="s">
        <v>398</v>
      </c>
      <c r="N4163" s="14" t="str">
        <f>IFERROR(__xludf.DUMMYFUNCTION("""COMPUTED_VALUE"""),"")</f>
        <v/>
      </c>
      <c r="O4163" s="14"/>
    </row>
    <row r="4164" ht="22.5" hidden="1" customHeight="1">
      <c r="A4164" s="8">
        <v>46111.33727415509</v>
      </c>
      <c r="B4164" s="14">
        <v>46111.0</v>
      </c>
      <c r="C4164" s="9" t="s">
        <v>86</v>
      </c>
      <c r="D4164" s="9" t="s">
        <v>280</v>
      </c>
      <c r="E4164" s="9" t="s">
        <v>17</v>
      </c>
      <c r="F4164" s="9" t="s">
        <v>17</v>
      </c>
      <c r="G4164" s="9">
        <v>7.0</v>
      </c>
      <c r="H4164" s="9" t="s">
        <v>22</v>
      </c>
      <c r="I4164" s="9" t="s">
        <v>20</v>
      </c>
      <c r="J4164" s="10"/>
      <c r="K4164" s="14" t="s">
        <v>398</v>
      </c>
      <c r="N4164" s="14" t="str">
        <f>IFERROR(__xludf.DUMMYFUNCTION("""COMPUTED_VALUE"""),"")</f>
        <v/>
      </c>
      <c r="O4164" s="14"/>
    </row>
    <row r="4165" ht="22.5" hidden="1" customHeight="1">
      <c r="A4165" s="8">
        <v>46111.33751510417</v>
      </c>
      <c r="B4165" s="14">
        <v>46111.0</v>
      </c>
      <c r="C4165" s="9" t="s">
        <v>86</v>
      </c>
      <c r="D4165" s="9" t="s">
        <v>105</v>
      </c>
      <c r="E4165" s="9" t="s">
        <v>17</v>
      </c>
      <c r="F4165" s="9" t="s">
        <v>17</v>
      </c>
      <c r="G4165" s="9">
        <v>8.0</v>
      </c>
      <c r="H4165" s="9" t="s">
        <v>22</v>
      </c>
      <c r="I4165" s="9" t="s">
        <v>20</v>
      </c>
      <c r="J4165" s="10"/>
      <c r="K4165" s="14" t="s">
        <v>398</v>
      </c>
      <c r="N4165" s="14" t="str">
        <f>IFERROR(__xludf.DUMMYFUNCTION("""COMPUTED_VALUE"""),"")</f>
        <v/>
      </c>
      <c r="O4165" s="14"/>
    </row>
    <row r="4166" ht="22.5" hidden="1" customHeight="1">
      <c r="A4166" s="8">
        <v>46111.37227017361</v>
      </c>
      <c r="B4166" s="14">
        <v>46111.0</v>
      </c>
      <c r="C4166" s="9" t="s">
        <v>86</v>
      </c>
      <c r="D4166" s="9" t="s">
        <v>412</v>
      </c>
      <c r="E4166" s="9" t="s">
        <v>17</v>
      </c>
      <c r="F4166" s="9" t="s">
        <v>17</v>
      </c>
      <c r="G4166" s="9">
        <v>8.0</v>
      </c>
      <c r="H4166" s="9" t="s">
        <v>22</v>
      </c>
      <c r="I4166" s="9" t="s">
        <v>20</v>
      </c>
      <c r="J4166" s="10"/>
      <c r="K4166" s="14" t="s">
        <v>398</v>
      </c>
      <c r="N4166" s="14" t="str">
        <f>IFERROR(__xludf.DUMMYFUNCTION("""COMPUTED_VALUE"""),"")</f>
        <v/>
      </c>
      <c r="O4166" s="14"/>
    </row>
    <row r="4167" ht="22.5" hidden="1" customHeight="1">
      <c r="A4167" s="8">
        <v>46111.37268202547</v>
      </c>
      <c r="B4167" s="14">
        <v>46111.0</v>
      </c>
      <c r="C4167" s="9" t="s">
        <v>86</v>
      </c>
      <c r="D4167" s="9" t="s">
        <v>413</v>
      </c>
      <c r="E4167" s="9" t="s">
        <v>17</v>
      </c>
      <c r="F4167" s="9" t="s">
        <v>17</v>
      </c>
      <c r="G4167" s="9">
        <v>7.0</v>
      </c>
      <c r="H4167" s="9" t="s">
        <v>22</v>
      </c>
      <c r="I4167" s="9" t="s">
        <v>20</v>
      </c>
      <c r="J4167" s="10"/>
      <c r="K4167" s="14" t="s">
        <v>398</v>
      </c>
      <c r="N4167" s="14" t="str">
        <f>IFERROR(__xludf.DUMMYFUNCTION("""COMPUTED_VALUE"""),"")</f>
        <v/>
      </c>
      <c r="O4167" s="14"/>
    </row>
    <row r="4168" ht="22.5" hidden="1" customHeight="1">
      <c r="A4168" s="8">
        <v>46111.37324582176</v>
      </c>
      <c r="B4168" s="14">
        <v>46111.0</v>
      </c>
      <c r="C4168" s="9" t="s">
        <v>86</v>
      </c>
      <c r="D4168" s="9" t="s">
        <v>357</v>
      </c>
      <c r="E4168" s="9" t="s">
        <v>17</v>
      </c>
      <c r="F4168" s="9" t="s">
        <v>17</v>
      </c>
      <c r="G4168" s="9">
        <v>8.0</v>
      </c>
      <c r="H4168" s="9" t="s">
        <v>25</v>
      </c>
      <c r="I4168" s="9" t="s">
        <v>240</v>
      </c>
      <c r="J4168" s="10"/>
      <c r="K4168" s="14" t="s">
        <v>398</v>
      </c>
      <c r="N4168" s="14" t="str">
        <f>IFERROR(__xludf.DUMMYFUNCTION("""COMPUTED_VALUE"""),"")</f>
        <v/>
      </c>
      <c r="O4168" s="14"/>
    </row>
    <row r="4169" ht="22.5" hidden="1" customHeight="1">
      <c r="A4169" s="8">
        <v>46111.373729687504</v>
      </c>
      <c r="B4169" s="14">
        <v>46111.0</v>
      </c>
      <c r="C4169" s="9" t="s">
        <v>86</v>
      </c>
      <c r="D4169" s="9" t="s">
        <v>393</v>
      </c>
      <c r="E4169" s="9" t="s">
        <v>17</v>
      </c>
      <c r="F4169" s="9" t="s">
        <v>17</v>
      </c>
      <c r="G4169" s="9">
        <v>7.0</v>
      </c>
      <c r="H4169" s="9" t="s">
        <v>22</v>
      </c>
      <c r="I4169" s="9" t="s">
        <v>20</v>
      </c>
      <c r="J4169" s="10"/>
      <c r="K4169" s="14" t="s">
        <v>398</v>
      </c>
      <c r="N4169" s="14" t="str">
        <f>IFERROR(__xludf.DUMMYFUNCTION("""COMPUTED_VALUE"""),"")</f>
        <v/>
      </c>
      <c r="O4169" s="14"/>
    </row>
    <row r="4170" ht="22.5" hidden="1" customHeight="1">
      <c r="A4170" s="8">
        <v>46111.37401591435</v>
      </c>
      <c r="B4170" s="14">
        <v>46111.0</v>
      </c>
      <c r="C4170" s="9" t="s">
        <v>86</v>
      </c>
      <c r="D4170" s="9" t="s">
        <v>174</v>
      </c>
      <c r="E4170" s="9" t="s">
        <v>17</v>
      </c>
      <c r="F4170" s="9" t="s">
        <v>17</v>
      </c>
      <c r="G4170" s="9">
        <v>6.0</v>
      </c>
      <c r="H4170" s="9" t="s">
        <v>22</v>
      </c>
      <c r="I4170" s="9" t="s">
        <v>20</v>
      </c>
      <c r="J4170" s="10"/>
      <c r="K4170" s="14" t="s">
        <v>398</v>
      </c>
      <c r="N4170" s="14" t="str">
        <f>IFERROR(__xludf.DUMMYFUNCTION("""COMPUTED_VALUE"""),"")</f>
        <v/>
      </c>
      <c r="O4170" s="14"/>
    </row>
    <row r="4171" ht="22.5" hidden="1" customHeight="1">
      <c r="A4171" s="8">
        <v>46111.37431142361</v>
      </c>
      <c r="B4171" s="14">
        <v>46111.0</v>
      </c>
      <c r="C4171" s="9" t="s">
        <v>86</v>
      </c>
      <c r="D4171" s="9" t="s">
        <v>258</v>
      </c>
      <c r="E4171" s="9" t="s">
        <v>17</v>
      </c>
      <c r="F4171" s="9" t="s">
        <v>17</v>
      </c>
      <c r="G4171" s="9">
        <v>8.0</v>
      </c>
      <c r="H4171" s="9" t="s">
        <v>22</v>
      </c>
      <c r="I4171" s="9" t="s">
        <v>20</v>
      </c>
      <c r="J4171" s="10"/>
      <c r="K4171" s="14" t="s">
        <v>398</v>
      </c>
      <c r="N4171" s="14" t="str">
        <f>IFERROR(__xludf.DUMMYFUNCTION("""COMPUTED_VALUE"""),"")</f>
        <v/>
      </c>
      <c r="O4171" s="14"/>
    </row>
    <row r="4172" ht="22.5" hidden="1" customHeight="1">
      <c r="A4172" s="8">
        <v>46111.37467253472</v>
      </c>
      <c r="B4172" s="14">
        <v>46111.0</v>
      </c>
      <c r="C4172" s="9" t="s">
        <v>86</v>
      </c>
      <c r="D4172" s="9" t="s">
        <v>369</v>
      </c>
      <c r="E4172" s="9" t="s">
        <v>17</v>
      </c>
      <c r="F4172" s="9" t="s">
        <v>17</v>
      </c>
      <c r="G4172" s="9">
        <v>7.0</v>
      </c>
      <c r="H4172" s="9" t="s">
        <v>22</v>
      </c>
      <c r="I4172" s="9" t="s">
        <v>20</v>
      </c>
      <c r="J4172" s="10"/>
      <c r="K4172" s="14" t="s">
        <v>398</v>
      </c>
      <c r="N4172" s="14" t="str">
        <f>IFERROR(__xludf.DUMMYFUNCTION("""COMPUTED_VALUE"""),"")</f>
        <v/>
      </c>
      <c r="O4172" s="14"/>
    </row>
    <row r="4173" ht="22.5" hidden="1" customHeight="1">
      <c r="A4173" s="8">
        <v>46111.374861550925</v>
      </c>
      <c r="B4173" s="14">
        <v>46111.0</v>
      </c>
      <c r="C4173" s="9" t="s">
        <v>86</v>
      </c>
      <c r="D4173" s="9" t="s">
        <v>423</v>
      </c>
      <c r="E4173" s="9" t="s">
        <v>17</v>
      </c>
      <c r="F4173" s="9" t="s">
        <v>17</v>
      </c>
      <c r="G4173" s="9">
        <v>6.0</v>
      </c>
      <c r="H4173" s="9" t="s">
        <v>22</v>
      </c>
      <c r="I4173" s="9" t="s">
        <v>20</v>
      </c>
      <c r="J4173" s="10"/>
      <c r="K4173" s="14" t="s">
        <v>398</v>
      </c>
      <c r="N4173" s="14" t="str">
        <f>IFERROR(__xludf.DUMMYFUNCTION("""COMPUTED_VALUE"""),"")</f>
        <v/>
      </c>
      <c r="O4173" s="14"/>
    </row>
    <row r="4174" ht="22.5" hidden="1" customHeight="1">
      <c r="A4174" s="8">
        <v>46111.37799947917</v>
      </c>
      <c r="B4174" s="14">
        <v>46111.0</v>
      </c>
      <c r="C4174" s="9" t="s">
        <v>86</v>
      </c>
      <c r="D4174" s="9" t="s">
        <v>257</v>
      </c>
      <c r="E4174" s="9" t="s">
        <v>17</v>
      </c>
      <c r="F4174" s="9" t="s">
        <v>17</v>
      </c>
      <c r="G4174" s="9">
        <v>7.0</v>
      </c>
      <c r="H4174" s="9" t="s">
        <v>22</v>
      </c>
      <c r="I4174" s="9" t="s">
        <v>20</v>
      </c>
      <c r="J4174" s="10"/>
      <c r="K4174" s="14" t="s">
        <v>398</v>
      </c>
      <c r="N4174" s="14" t="str">
        <f>IFERROR(__xludf.DUMMYFUNCTION("""COMPUTED_VALUE"""),"")</f>
        <v/>
      </c>
      <c r="O4174" s="14"/>
    </row>
    <row r="4175" ht="22.5" hidden="1" customHeight="1">
      <c r="A4175" s="8">
        <v>46111.378434432874</v>
      </c>
      <c r="B4175" s="14">
        <v>46111.0</v>
      </c>
      <c r="C4175" s="9" t="s">
        <v>86</v>
      </c>
      <c r="D4175" s="9" t="s">
        <v>350</v>
      </c>
      <c r="E4175" s="9" t="s">
        <v>17</v>
      </c>
      <c r="F4175" s="9" t="s">
        <v>17</v>
      </c>
      <c r="G4175" s="9">
        <v>7.0</v>
      </c>
      <c r="H4175" s="9" t="s">
        <v>22</v>
      </c>
      <c r="I4175" s="9" t="s">
        <v>20</v>
      </c>
      <c r="J4175" s="10"/>
      <c r="K4175" s="14" t="s">
        <v>398</v>
      </c>
      <c r="N4175" s="14" t="str">
        <f>IFERROR(__xludf.DUMMYFUNCTION("""COMPUTED_VALUE"""),"")</f>
        <v/>
      </c>
      <c r="O4175" s="14"/>
    </row>
    <row r="4176" ht="22.5" hidden="1" customHeight="1">
      <c r="A4176" s="8">
        <v>46111.37894355324</v>
      </c>
      <c r="B4176" s="14">
        <v>46111.0</v>
      </c>
      <c r="C4176" s="9" t="s">
        <v>86</v>
      </c>
      <c r="D4176" s="9" t="s">
        <v>414</v>
      </c>
      <c r="E4176" s="9" t="s">
        <v>17</v>
      </c>
      <c r="F4176" s="9" t="s">
        <v>17</v>
      </c>
      <c r="G4176" s="9">
        <v>7.0</v>
      </c>
      <c r="H4176" s="9" t="s">
        <v>25</v>
      </c>
      <c r="I4176" s="9" t="s">
        <v>79</v>
      </c>
      <c r="J4176" s="10"/>
      <c r="K4176" s="14" t="s">
        <v>398</v>
      </c>
      <c r="N4176" s="14" t="str">
        <f>IFERROR(__xludf.DUMMYFUNCTION("""COMPUTED_VALUE"""),"")</f>
        <v/>
      </c>
      <c r="O4176" s="14"/>
    </row>
    <row r="4177" ht="22.5" hidden="1" customHeight="1">
      <c r="A4177" s="8">
        <v>46111.379494444445</v>
      </c>
      <c r="B4177" s="14">
        <v>46111.0</v>
      </c>
      <c r="C4177" s="9" t="s">
        <v>86</v>
      </c>
      <c r="D4177" s="9" t="s">
        <v>421</v>
      </c>
      <c r="E4177" s="9" t="s">
        <v>46</v>
      </c>
      <c r="F4177" s="9" t="s">
        <v>17</v>
      </c>
      <c r="G4177" s="9">
        <v>8.0</v>
      </c>
      <c r="H4177" s="9" t="s">
        <v>25</v>
      </c>
      <c r="I4177" s="9" t="s">
        <v>26</v>
      </c>
      <c r="J4177" s="10"/>
      <c r="K4177" s="14" t="s">
        <v>398</v>
      </c>
      <c r="N4177" s="14" t="str">
        <f>IFERROR(__xludf.DUMMYFUNCTION("""COMPUTED_VALUE"""),"")</f>
        <v/>
      </c>
      <c r="O4177" s="14"/>
    </row>
    <row r="4178" ht="22.5" hidden="1" customHeight="1">
      <c r="A4178" s="8">
        <v>46111.379727962965</v>
      </c>
      <c r="B4178" s="14">
        <v>46111.0</v>
      </c>
      <c r="C4178" s="9" t="s">
        <v>86</v>
      </c>
      <c r="D4178" s="9" t="s">
        <v>408</v>
      </c>
      <c r="E4178" s="9" t="s">
        <v>17</v>
      </c>
      <c r="F4178" s="9" t="s">
        <v>17</v>
      </c>
      <c r="G4178" s="9">
        <v>8.0</v>
      </c>
      <c r="H4178" s="9" t="s">
        <v>22</v>
      </c>
      <c r="I4178" s="9" t="s">
        <v>20</v>
      </c>
      <c r="J4178" s="10"/>
      <c r="K4178" s="14" t="s">
        <v>398</v>
      </c>
      <c r="N4178" s="14" t="str">
        <f>IFERROR(__xludf.DUMMYFUNCTION("""COMPUTED_VALUE"""),"")</f>
        <v/>
      </c>
      <c r="O4178" s="14"/>
    </row>
    <row r="4179" ht="22.5" hidden="1" customHeight="1">
      <c r="A4179" s="8">
        <v>46111.38432109954</v>
      </c>
      <c r="B4179" s="14">
        <v>46111.0</v>
      </c>
      <c r="C4179" s="9" t="s">
        <v>86</v>
      </c>
      <c r="D4179" s="9" t="s">
        <v>175</v>
      </c>
      <c r="E4179" s="9" t="s">
        <v>17</v>
      </c>
      <c r="F4179" s="9" t="s">
        <v>17</v>
      </c>
      <c r="G4179" s="9">
        <v>8.0</v>
      </c>
      <c r="H4179" s="9" t="s">
        <v>25</v>
      </c>
      <c r="I4179" s="9" t="s">
        <v>218</v>
      </c>
      <c r="J4179" s="10"/>
      <c r="K4179" s="14" t="s">
        <v>398</v>
      </c>
      <c r="N4179" s="14" t="str">
        <f>IFERROR(__xludf.DUMMYFUNCTION("""COMPUTED_VALUE"""),"")</f>
        <v/>
      </c>
      <c r="O4179" s="14"/>
    </row>
    <row r="4180" ht="22.5" hidden="1" customHeight="1">
      <c r="A4180" s="8">
        <v>46111.38473800926</v>
      </c>
      <c r="B4180" s="14">
        <v>46111.0</v>
      </c>
      <c r="C4180" s="9" t="s">
        <v>86</v>
      </c>
      <c r="D4180" s="9" t="s">
        <v>335</v>
      </c>
      <c r="E4180" s="9" t="s">
        <v>17</v>
      </c>
      <c r="F4180" s="9" t="s">
        <v>17</v>
      </c>
      <c r="G4180" s="9">
        <v>8.0</v>
      </c>
      <c r="H4180" s="9" t="s">
        <v>25</v>
      </c>
      <c r="I4180" s="9" t="s">
        <v>411</v>
      </c>
      <c r="J4180" s="10"/>
      <c r="K4180" s="14" t="s">
        <v>398</v>
      </c>
      <c r="N4180" s="14" t="str">
        <f>IFERROR(__xludf.DUMMYFUNCTION("""COMPUTED_VALUE"""),"")</f>
        <v/>
      </c>
      <c r="O4180" s="14"/>
    </row>
    <row r="4181" ht="22.5" hidden="1" customHeight="1">
      <c r="A4181" s="8">
        <v>46111.38498563657</v>
      </c>
      <c r="B4181" s="14">
        <v>46111.0</v>
      </c>
      <c r="C4181" s="9" t="s">
        <v>86</v>
      </c>
      <c r="D4181" s="9" t="s">
        <v>210</v>
      </c>
      <c r="E4181" s="9" t="s">
        <v>17</v>
      </c>
      <c r="F4181" s="9" t="s">
        <v>17</v>
      </c>
      <c r="G4181" s="9">
        <v>8.0</v>
      </c>
      <c r="H4181" s="9" t="s">
        <v>22</v>
      </c>
      <c r="I4181" s="9" t="s">
        <v>20</v>
      </c>
      <c r="J4181" s="10"/>
      <c r="K4181" s="14" t="s">
        <v>398</v>
      </c>
      <c r="N4181" s="14" t="str">
        <f>IFERROR(__xludf.DUMMYFUNCTION("""COMPUTED_VALUE"""),"")</f>
        <v/>
      </c>
      <c r="O4181" s="14"/>
    </row>
    <row r="4182" ht="22.5" hidden="1" customHeight="1">
      <c r="A4182" s="8">
        <v>46111.38516421296</v>
      </c>
      <c r="B4182" s="14">
        <v>46111.0</v>
      </c>
      <c r="C4182" s="9" t="s">
        <v>86</v>
      </c>
      <c r="D4182" s="9" t="s">
        <v>247</v>
      </c>
      <c r="E4182" s="9" t="s">
        <v>17</v>
      </c>
      <c r="F4182" s="9" t="s">
        <v>17</v>
      </c>
      <c r="G4182" s="9">
        <v>7.0</v>
      </c>
      <c r="H4182" s="9" t="s">
        <v>22</v>
      </c>
      <c r="I4182" s="9" t="s">
        <v>20</v>
      </c>
      <c r="J4182" s="10"/>
      <c r="K4182" s="14" t="s">
        <v>398</v>
      </c>
      <c r="N4182" s="14" t="str">
        <f>IFERROR(__xludf.DUMMYFUNCTION("""COMPUTED_VALUE"""),"")</f>
        <v/>
      </c>
      <c r="O4182" s="14"/>
    </row>
    <row r="4183" ht="22.5" hidden="1" customHeight="1">
      <c r="A4183" s="8">
        <v>46111.385364340276</v>
      </c>
      <c r="B4183" s="14">
        <v>46111.0</v>
      </c>
      <c r="C4183" s="9" t="s">
        <v>86</v>
      </c>
      <c r="D4183" s="9" t="s">
        <v>395</v>
      </c>
      <c r="E4183" s="9" t="s">
        <v>17</v>
      </c>
      <c r="F4183" s="9" t="s">
        <v>17</v>
      </c>
      <c r="G4183" s="9">
        <v>8.0</v>
      </c>
      <c r="H4183" s="9" t="s">
        <v>22</v>
      </c>
      <c r="I4183" s="9" t="s">
        <v>20</v>
      </c>
      <c r="J4183" s="10"/>
      <c r="K4183" s="14" t="s">
        <v>398</v>
      </c>
      <c r="N4183" s="14" t="str">
        <f>IFERROR(__xludf.DUMMYFUNCTION("""COMPUTED_VALUE"""),"")</f>
        <v/>
      </c>
      <c r="O4183" s="14"/>
    </row>
    <row r="4184" ht="22.5" hidden="1" customHeight="1">
      <c r="A4184" s="8">
        <v>46111.392621817125</v>
      </c>
      <c r="B4184" s="14">
        <v>46111.0</v>
      </c>
      <c r="C4184" s="9" t="s">
        <v>86</v>
      </c>
      <c r="D4184" s="9" t="s">
        <v>259</v>
      </c>
      <c r="E4184" s="9" t="s">
        <v>17</v>
      </c>
      <c r="F4184" s="9" t="s">
        <v>17</v>
      </c>
      <c r="G4184" s="9">
        <v>7.0</v>
      </c>
      <c r="H4184" s="9" t="s">
        <v>25</v>
      </c>
      <c r="I4184" s="9" t="s">
        <v>67</v>
      </c>
      <c r="J4184" s="10"/>
      <c r="K4184" s="14" t="s">
        <v>398</v>
      </c>
      <c r="N4184" s="14" t="str">
        <f>IFERROR(__xludf.DUMMYFUNCTION("""COMPUTED_VALUE"""),"")</f>
        <v/>
      </c>
      <c r="O4184" s="14"/>
    </row>
    <row r="4185" ht="22.5" hidden="1" customHeight="1">
      <c r="A4185" s="8">
        <v>46112.350693113425</v>
      </c>
      <c r="B4185" s="14">
        <v>46112.0</v>
      </c>
      <c r="C4185" s="9" t="s">
        <v>110</v>
      </c>
      <c r="D4185" s="9" t="s">
        <v>412</v>
      </c>
      <c r="E4185" s="9" t="s">
        <v>17</v>
      </c>
      <c r="F4185" s="9" t="s">
        <v>17</v>
      </c>
      <c r="G4185" s="9">
        <v>8.0</v>
      </c>
      <c r="H4185" s="9" t="s">
        <v>22</v>
      </c>
      <c r="I4185" s="9" t="s">
        <v>20</v>
      </c>
      <c r="J4185" s="10"/>
      <c r="K4185" s="14">
        <v>3.0</v>
      </c>
      <c r="N4185" s="14" t="str">
        <f>IFERROR(__xludf.DUMMYFUNCTION("""COMPUTED_VALUE"""),"")</f>
        <v/>
      </c>
      <c r="O4185" s="14"/>
    </row>
    <row r="4186" ht="22.5" hidden="1" customHeight="1">
      <c r="A4186" s="8">
        <v>46112.350867534726</v>
      </c>
      <c r="B4186" s="14">
        <v>46112.0</v>
      </c>
      <c r="C4186" s="9" t="s">
        <v>110</v>
      </c>
      <c r="D4186" s="9" t="s">
        <v>249</v>
      </c>
      <c r="E4186" s="9" t="s">
        <v>17</v>
      </c>
      <c r="F4186" s="9" t="s">
        <v>35</v>
      </c>
      <c r="G4186" s="9" t="s">
        <v>409</v>
      </c>
      <c r="H4186" s="9" t="s">
        <v>22</v>
      </c>
      <c r="I4186" s="9" t="s">
        <v>20</v>
      </c>
      <c r="J4186" s="10"/>
      <c r="K4186" s="14" t="s">
        <v>398</v>
      </c>
      <c r="N4186" s="14" t="str">
        <f>IFERROR(__xludf.DUMMYFUNCTION("""COMPUTED_VALUE"""),"")</f>
        <v/>
      </c>
      <c r="O4186" s="14"/>
    </row>
    <row r="4187" ht="22.5" hidden="1" customHeight="1">
      <c r="A4187" s="8">
        <v>46112.3511362037</v>
      </c>
      <c r="B4187" s="14">
        <v>46112.0</v>
      </c>
      <c r="C4187" s="9" t="s">
        <v>110</v>
      </c>
      <c r="D4187" s="9" t="s">
        <v>280</v>
      </c>
      <c r="E4187" s="9" t="s">
        <v>17</v>
      </c>
      <c r="F4187" s="9" t="s">
        <v>17</v>
      </c>
      <c r="G4187" s="9">
        <v>8.0</v>
      </c>
      <c r="H4187" s="9" t="s">
        <v>22</v>
      </c>
      <c r="I4187" s="9" t="s">
        <v>20</v>
      </c>
      <c r="J4187" s="10"/>
      <c r="K4187" s="14">
        <v>5.0</v>
      </c>
      <c r="N4187" s="14" t="str">
        <f>IFERROR(__xludf.DUMMYFUNCTION("""COMPUTED_VALUE"""),"")</f>
        <v/>
      </c>
      <c r="O4187" s="14"/>
    </row>
    <row r="4188" ht="22.5" hidden="1" customHeight="1">
      <c r="A4188" s="8">
        <v>46112.35148331018</v>
      </c>
      <c r="B4188" s="14">
        <v>46112.0</v>
      </c>
      <c r="C4188" s="9" t="s">
        <v>110</v>
      </c>
      <c r="D4188" s="9" t="s">
        <v>258</v>
      </c>
      <c r="E4188" s="9" t="s">
        <v>17</v>
      </c>
      <c r="F4188" s="9" t="s">
        <v>17</v>
      </c>
      <c r="G4188" s="9">
        <v>8.0</v>
      </c>
      <c r="H4188" s="9" t="s">
        <v>22</v>
      </c>
      <c r="I4188" s="9" t="s">
        <v>20</v>
      </c>
      <c r="J4188" s="10"/>
      <c r="K4188" s="14">
        <v>6.0</v>
      </c>
      <c r="N4188" s="14" t="str">
        <f>IFERROR(__xludf.DUMMYFUNCTION("""COMPUTED_VALUE"""),"")</f>
        <v/>
      </c>
      <c r="O4188" s="14"/>
    </row>
    <row r="4189" ht="22.5" hidden="1" customHeight="1">
      <c r="A4189" s="8">
        <v>46112.35179141204</v>
      </c>
      <c r="B4189" s="14">
        <v>46112.0</v>
      </c>
      <c r="C4189" s="9" t="s">
        <v>110</v>
      </c>
      <c r="D4189" s="9" t="s">
        <v>105</v>
      </c>
      <c r="E4189" s="9" t="s">
        <v>17</v>
      </c>
      <c r="F4189" s="9" t="s">
        <v>17</v>
      </c>
      <c r="G4189" s="9">
        <v>7.0</v>
      </c>
      <c r="H4189" s="9" t="s">
        <v>22</v>
      </c>
      <c r="I4189" s="9" t="s">
        <v>20</v>
      </c>
      <c r="J4189" s="10"/>
      <c r="K4189" s="14">
        <v>2.0</v>
      </c>
      <c r="N4189" s="14" t="str">
        <f>IFERROR(__xludf.DUMMYFUNCTION("""COMPUTED_VALUE"""),"")</f>
        <v/>
      </c>
      <c r="O4189" s="14"/>
    </row>
    <row r="4190" ht="22.5" hidden="1" customHeight="1">
      <c r="A4190" s="8">
        <v>46112.35337482639</v>
      </c>
      <c r="B4190" s="14">
        <v>46112.0</v>
      </c>
      <c r="C4190" s="9" t="s">
        <v>110</v>
      </c>
      <c r="D4190" s="9" t="s">
        <v>257</v>
      </c>
      <c r="E4190" s="9" t="s">
        <v>17</v>
      </c>
      <c r="F4190" s="9" t="s">
        <v>17</v>
      </c>
      <c r="G4190" s="9">
        <v>8.0</v>
      </c>
      <c r="H4190" s="9" t="s">
        <v>25</v>
      </c>
      <c r="I4190" s="9" t="s">
        <v>240</v>
      </c>
      <c r="J4190" s="10"/>
      <c r="K4190" s="14" t="s">
        <v>398</v>
      </c>
      <c r="N4190" s="14" t="str">
        <f>IFERROR(__xludf.DUMMYFUNCTION("""COMPUTED_VALUE"""),"")</f>
        <v/>
      </c>
      <c r="O4190" s="14"/>
    </row>
    <row r="4191" ht="22.5" hidden="1" customHeight="1">
      <c r="A4191" s="8">
        <v>46112.358652256946</v>
      </c>
      <c r="B4191" s="14">
        <v>46112.0</v>
      </c>
      <c r="C4191" s="9" t="s">
        <v>110</v>
      </c>
      <c r="D4191" s="9" t="s">
        <v>174</v>
      </c>
      <c r="E4191" s="9" t="s">
        <v>17</v>
      </c>
      <c r="F4191" s="9" t="s">
        <v>17</v>
      </c>
      <c r="G4191" s="9">
        <v>8.0</v>
      </c>
      <c r="H4191" s="9" t="s">
        <v>22</v>
      </c>
      <c r="I4191" s="9" t="s">
        <v>20</v>
      </c>
      <c r="J4191" s="10"/>
      <c r="K4191" s="14">
        <v>3.0</v>
      </c>
      <c r="N4191" s="14" t="str">
        <f>IFERROR(__xludf.DUMMYFUNCTION("""COMPUTED_VALUE"""),"")</f>
        <v/>
      </c>
      <c r="O4191" s="14"/>
    </row>
    <row r="4192" ht="22.5" hidden="1" customHeight="1">
      <c r="A4192" s="8">
        <v>46112.359302627316</v>
      </c>
      <c r="B4192" s="14">
        <v>46112.0</v>
      </c>
      <c r="C4192" s="9" t="s">
        <v>110</v>
      </c>
      <c r="D4192" s="9" t="s">
        <v>357</v>
      </c>
      <c r="E4192" s="9" t="s">
        <v>17</v>
      </c>
      <c r="F4192" s="9" t="s">
        <v>17</v>
      </c>
      <c r="G4192" s="9">
        <v>8.0</v>
      </c>
      <c r="H4192" s="9" t="s">
        <v>25</v>
      </c>
      <c r="I4192" s="9" t="s">
        <v>240</v>
      </c>
      <c r="J4192" s="10"/>
      <c r="K4192" s="14">
        <v>4.0</v>
      </c>
      <c r="N4192" s="14" t="str">
        <f>IFERROR(__xludf.DUMMYFUNCTION("""COMPUTED_VALUE"""),"")</f>
        <v/>
      </c>
      <c r="O4192" s="14"/>
    </row>
    <row r="4193" ht="22.5" hidden="1" customHeight="1">
      <c r="A4193" s="8">
        <v>46112.35951278935</v>
      </c>
      <c r="B4193" s="14">
        <v>46112.0</v>
      </c>
      <c r="C4193" s="9" t="s">
        <v>110</v>
      </c>
      <c r="D4193" s="9" t="s">
        <v>408</v>
      </c>
      <c r="E4193" s="9" t="s">
        <v>17</v>
      </c>
      <c r="F4193" s="9" t="s">
        <v>17</v>
      </c>
      <c r="G4193" s="9">
        <v>8.0</v>
      </c>
      <c r="H4193" s="9" t="s">
        <v>22</v>
      </c>
      <c r="I4193" s="9" t="s">
        <v>20</v>
      </c>
      <c r="J4193" s="10"/>
      <c r="K4193" s="14">
        <v>4.0</v>
      </c>
      <c r="N4193" s="14" t="str">
        <f>IFERROR(__xludf.DUMMYFUNCTION("""COMPUTED_VALUE"""),"")</f>
        <v/>
      </c>
      <c r="O4193" s="14"/>
    </row>
    <row r="4194" ht="22.5" hidden="1" customHeight="1">
      <c r="A4194" s="8">
        <v>46112.36029386574</v>
      </c>
      <c r="B4194" s="14">
        <v>46112.0</v>
      </c>
      <c r="C4194" s="9" t="s">
        <v>110</v>
      </c>
      <c r="D4194" s="9" t="s">
        <v>421</v>
      </c>
      <c r="E4194" s="9" t="s">
        <v>17</v>
      </c>
      <c r="F4194" s="9" t="s">
        <v>17</v>
      </c>
      <c r="G4194" s="9">
        <v>8.0</v>
      </c>
      <c r="H4194" s="9" t="s">
        <v>25</v>
      </c>
      <c r="I4194" s="9" t="s">
        <v>26</v>
      </c>
      <c r="J4194" s="10"/>
      <c r="K4194" s="14">
        <v>2.0</v>
      </c>
      <c r="N4194" s="14" t="str">
        <f>IFERROR(__xludf.DUMMYFUNCTION("""COMPUTED_VALUE"""),"")</f>
        <v/>
      </c>
      <c r="O4194" s="14"/>
    </row>
    <row r="4195" ht="22.5" hidden="1" customHeight="1">
      <c r="A4195" s="8">
        <v>46112.36724883102</v>
      </c>
      <c r="B4195" s="14">
        <v>46112.0</v>
      </c>
      <c r="C4195" s="9" t="s">
        <v>110</v>
      </c>
      <c r="D4195" s="9" t="s">
        <v>395</v>
      </c>
      <c r="E4195" s="9" t="s">
        <v>17</v>
      </c>
      <c r="F4195" s="9" t="s">
        <v>17</v>
      </c>
      <c r="G4195" s="9">
        <v>7.0</v>
      </c>
      <c r="H4195" s="9" t="s">
        <v>22</v>
      </c>
      <c r="I4195" s="9" t="s">
        <v>20</v>
      </c>
      <c r="J4195" s="10"/>
      <c r="K4195" s="14">
        <v>3.0</v>
      </c>
      <c r="N4195" s="14" t="str">
        <f>IFERROR(__xludf.DUMMYFUNCTION("""COMPUTED_VALUE"""),"")</f>
        <v/>
      </c>
      <c r="O4195" s="14"/>
    </row>
    <row r="4196" ht="22.5" hidden="1" customHeight="1">
      <c r="A4196" s="8">
        <v>46112.3674866088</v>
      </c>
      <c r="B4196" s="14">
        <v>46112.0</v>
      </c>
      <c r="C4196" s="9" t="s">
        <v>110</v>
      </c>
      <c r="D4196" s="9" t="s">
        <v>413</v>
      </c>
      <c r="E4196" s="9" t="s">
        <v>44</v>
      </c>
      <c r="F4196" s="9" t="s">
        <v>17</v>
      </c>
      <c r="G4196" s="9">
        <v>8.0</v>
      </c>
      <c r="H4196" s="9" t="s">
        <v>22</v>
      </c>
      <c r="I4196" s="9" t="s">
        <v>20</v>
      </c>
      <c r="J4196" s="10"/>
      <c r="K4196" s="14">
        <v>5.0</v>
      </c>
      <c r="N4196" s="14" t="str">
        <f>IFERROR(__xludf.DUMMYFUNCTION("""COMPUTED_VALUE"""),"")</f>
        <v/>
      </c>
      <c r="O4196" s="14"/>
    </row>
    <row r="4197" ht="22.5" hidden="1" customHeight="1">
      <c r="A4197" s="8">
        <v>46112.36782341435</v>
      </c>
      <c r="B4197" s="14">
        <v>46112.0</v>
      </c>
      <c r="C4197" s="9" t="s">
        <v>110</v>
      </c>
      <c r="D4197" s="9" t="s">
        <v>393</v>
      </c>
      <c r="E4197" s="9" t="s">
        <v>17</v>
      </c>
      <c r="F4197" s="9" t="s">
        <v>17</v>
      </c>
      <c r="G4197" s="9">
        <v>7.0</v>
      </c>
      <c r="H4197" s="9" t="s">
        <v>22</v>
      </c>
      <c r="I4197" s="9" t="s">
        <v>20</v>
      </c>
      <c r="J4197" s="10"/>
      <c r="K4197" s="14">
        <v>3.0</v>
      </c>
      <c r="N4197" s="14" t="str">
        <f>IFERROR(__xludf.DUMMYFUNCTION("""COMPUTED_VALUE"""),"")</f>
        <v/>
      </c>
      <c r="O4197" s="14"/>
    </row>
    <row r="4198" ht="22.5" hidden="1" customHeight="1">
      <c r="A4198" s="8">
        <v>46112.36814518519</v>
      </c>
      <c r="B4198" s="14">
        <v>46112.0</v>
      </c>
      <c r="C4198" s="9" t="s">
        <v>110</v>
      </c>
      <c r="D4198" s="9" t="s">
        <v>369</v>
      </c>
      <c r="E4198" s="9" t="s">
        <v>17</v>
      </c>
      <c r="F4198" s="9" t="s">
        <v>17</v>
      </c>
      <c r="G4198" s="9">
        <v>7.0</v>
      </c>
      <c r="H4198" s="9" t="s">
        <v>22</v>
      </c>
      <c r="I4198" s="9" t="s">
        <v>20</v>
      </c>
      <c r="J4198" s="10"/>
      <c r="K4198" s="14">
        <v>4.0</v>
      </c>
      <c r="N4198" s="14" t="str">
        <f>IFERROR(__xludf.DUMMYFUNCTION("""COMPUTED_VALUE"""),"")</f>
        <v/>
      </c>
      <c r="O4198" s="14"/>
    </row>
    <row r="4199" ht="22.5" hidden="1" customHeight="1">
      <c r="A4199" s="8">
        <v>46112.3684909838</v>
      </c>
      <c r="B4199" s="14">
        <v>46112.0</v>
      </c>
      <c r="C4199" s="9" t="s">
        <v>110</v>
      </c>
      <c r="D4199" s="9" t="s">
        <v>423</v>
      </c>
      <c r="E4199" s="9" t="s">
        <v>17</v>
      </c>
      <c r="F4199" s="9" t="s">
        <v>17</v>
      </c>
      <c r="G4199" s="9">
        <v>7.0</v>
      </c>
      <c r="H4199" s="9" t="s">
        <v>22</v>
      </c>
      <c r="I4199" s="9" t="s">
        <v>20</v>
      </c>
      <c r="J4199" s="10"/>
      <c r="K4199" s="14">
        <v>5.0</v>
      </c>
      <c r="N4199" s="14" t="str">
        <f>IFERROR(__xludf.DUMMYFUNCTION("""COMPUTED_VALUE"""),"")</f>
        <v/>
      </c>
      <c r="O4199" s="14"/>
    </row>
    <row r="4200" ht="22.5" hidden="1" customHeight="1">
      <c r="A4200" s="8">
        <v>46112.368753877316</v>
      </c>
      <c r="B4200" s="14">
        <v>46112.0</v>
      </c>
      <c r="C4200" s="9" t="s">
        <v>110</v>
      </c>
      <c r="D4200" s="9" t="s">
        <v>414</v>
      </c>
      <c r="E4200" s="9" t="s">
        <v>17</v>
      </c>
      <c r="F4200" s="9" t="s">
        <v>17</v>
      </c>
      <c r="G4200" s="9">
        <v>7.0</v>
      </c>
      <c r="H4200" s="9" t="s">
        <v>25</v>
      </c>
      <c r="I4200" s="9" t="s">
        <v>67</v>
      </c>
      <c r="J4200" s="10"/>
      <c r="K4200" s="14">
        <v>4.0</v>
      </c>
      <c r="N4200" s="14" t="str">
        <f>IFERROR(__xludf.DUMMYFUNCTION("""COMPUTED_VALUE"""),"")</f>
        <v/>
      </c>
      <c r="O4200" s="14"/>
    </row>
    <row r="4201" ht="22.5" hidden="1" customHeight="1">
      <c r="A4201" s="8">
        <v>46112.37138798611</v>
      </c>
      <c r="B4201" s="14">
        <v>46112.0</v>
      </c>
      <c r="C4201" s="9" t="s">
        <v>110</v>
      </c>
      <c r="D4201" s="9" t="s">
        <v>259</v>
      </c>
      <c r="E4201" s="9" t="s">
        <v>44</v>
      </c>
      <c r="F4201" s="9" t="s">
        <v>35</v>
      </c>
      <c r="G4201" s="9">
        <v>8.0</v>
      </c>
      <c r="H4201" s="9" t="s">
        <v>25</v>
      </c>
      <c r="I4201" s="9" t="s">
        <v>67</v>
      </c>
      <c r="J4201" s="10"/>
      <c r="K4201" s="14">
        <v>4.0</v>
      </c>
      <c r="N4201" s="14" t="str">
        <f>IFERROR(__xludf.DUMMYFUNCTION("""COMPUTED_VALUE"""),"")</f>
        <v/>
      </c>
      <c r="O4201" s="14"/>
    </row>
    <row r="4202" ht="22.5" hidden="1" customHeight="1">
      <c r="A4202" s="8">
        <v>46112.377365810185</v>
      </c>
      <c r="B4202" s="14">
        <v>46112.0</v>
      </c>
      <c r="C4202" s="9" t="s">
        <v>110</v>
      </c>
      <c r="D4202" s="9" t="s">
        <v>175</v>
      </c>
      <c r="E4202" s="9" t="s">
        <v>17</v>
      </c>
      <c r="F4202" s="9" t="s">
        <v>17</v>
      </c>
      <c r="G4202" s="9">
        <v>8.0</v>
      </c>
      <c r="H4202" s="9" t="s">
        <v>25</v>
      </c>
      <c r="I4202" s="9" t="s">
        <v>218</v>
      </c>
      <c r="J4202" s="10"/>
      <c r="K4202" s="14">
        <v>6.0</v>
      </c>
      <c r="N4202" s="14" t="str">
        <f>IFERROR(__xludf.DUMMYFUNCTION("""COMPUTED_VALUE"""),"")</f>
        <v/>
      </c>
      <c r="O4202" s="14"/>
    </row>
    <row r="4203" ht="22.5" hidden="1" customHeight="1">
      <c r="A4203" s="8">
        <v>46112.37764523148</v>
      </c>
      <c r="B4203" s="14">
        <v>46112.0</v>
      </c>
      <c r="C4203" s="9" t="s">
        <v>110</v>
      </c>
      <c r="D4203" s="9" t="s">
        <v>335</v>
      </c>
      <c r="E4203" s="9" t="s">
        <v>44</v>
      </c>
      <c r="F4203" s="9" t="s">
        <v>18</v>
      </c>
      <c r="G4203" s="9" t="s">
        <v>409</v>
      </c>
      <c r="H4203" s="9" t="s">
        <v>25</v>
      </c>
      <c r="I4203" s="9" t="s">
        <v>411</v>
      </c>
      <c r="J4203" s="10"/>
      <c r="K4203" s="14">
        <v>4.0</v>
      </c>
      <c r="N4203" s="14" t="str">
        <f>IFERROR(__xludf.DUMMYFUNCTION("""COMPUTED_VALUE"""),"")</f>
        <v/>
      </c>
      <c r="O4203" s="14"/>
    </row>
    <row r="4204" ht="22.5" hidden="1" customHeight="1">
      <c r="A4204" s="8">
        <v>46112.37787913195</v>
      </c>
      <c r="B4204" s="14">
        <v>46112.0</v>
      </c>
      <c r="C4204" s="9" t="s">
        <v>110</v>
      </c>
      <c r="D4204" s="9" t="s">
        <v>210</v>
      </c>
      <c r="E4204" s="9" t="s">
        <v>17</v>
      </c>
      <c r="F4204" s="9" t="s">
        <v>17</v>
      </c>
      <c r="G4204" s="9">
        <v>8.0</v>
      </c>
      <c r="H4204" s="9" t="s">
        <v>22</v>
      </c>
      <c r="I4204" s="9" t="s">
        <v>20</v>
      </c>
      <c r="J4204" s="10"/>
      <c r="K4204" s="14">
        <v>4.0</v>
      </c>
      <c r="N4204" s="14" t="str">
        <f>IFERROR(__xludf.DUMMYFUNCTION("""COMPUTED_VALUE"""),"")</f>
        <v/>
      </c>
      <c r="O4204" s="14"/>
    </row>
    <row r="4205" ht="22.5" hidden="1" customHeight="1">
      <c r="A4205" s="8">
        <v>46112.37810282408</v>
      </c>
      <c r="B4205" s="14">
        <v>46112.0</v>
      </c>
      <c r="C4205" s="9" t="s">
        <v>110</v>
      </c>
      <c r="D4205" s="9" t="s">
        <v>247</v>
      </c>
      <c r="E4205" s="9" t="s">
        <v>17</v>
      </c>
      <c r="F4205" s="9" t="s">
        <v>17</v>
      </c>
      <c r="G4205" s="9">
        <v>7.0</v>
      </c>
      <c r="H4205" s="9" t="s">
        <v>22</v>
      </c>
      <c r="I4205" s="9" t="s">
        <v>20</v>
      </c>
      <c r="J4205" s="10"/>
      <c r="K4205" s="14">
        <v>3.0</v>
      </c>
      <c r="N4205" s="14" t="str">
        <f>IFERROR(__xludf.DUMMYFUNCTION("""COMPUTED_VALUE"""),"")</f>
        <v/>
      </c>
      <c r="O4205" s="14"/>
    </row>
    <row r="4206" ht="22.5" hidden="1" customHeight="1">
      <c r="A4206" s="8">
        <v>46112.378299421296</v>
      </c>
      <c r="B4206" s="14">
        <v>46112.0</v>
      </c>
      <c r="C4206" s="9" t="s">
        <v>110</v>
      </c>
      <c r="D4206" s="9" t="s">
        <v>350</v>
      </c>
      <c r="E4206" s="9" t="s">
        <v>17</v>
      </c>
      <c r="F4206" s="9" t="s">
        <v>17</v>
      </c>
      <c r="G4206" s="9">
        <v>7.0</v>
      </c>
      <c r="H4206" s="9" t="s">
        <v>22</v>
      </c>
      <c r="I4206" s="9" t="s">
        <v>20</v>
      </c>
      <c r="J4206" s="10"/>
      <c r="K4206" s="14">
        <v>5.0</v>
      </c>
      <c r="N4206" s="14" t="str">
        <f>IFERROR(__xludf.DUMMYFUNCTION("""COMPUTED_VALUE"""),"")</f>
        <v/>
      </c>
      <c r="O4206" s="14"/>
    </row>
    <row r="4207" ht="22.5" hidden="1" customHeight="1">
      <c r="A4207" s="8">
        <v>46113.63852008102</v>
      </c>
      <c r="B4207" s="14">
        <v>46113.0</v>
      </c>
      <c r="C4207" s="9" t="s">
        <v>15</v>
      </c>
      <c r="D4207" s="9" t="s">
        <v>249</v>
      </c>
      <c r="E4207" s="9" t="s">
        <v>17</v>
      </c>
      <c r="F4207" s="9" t="s">
        <v>17</v>
      </c>
      <c r="G4207" s="9">
        <v>8.0</v>
      </c>
      <c r="H4207" s="9" t="s">
        <v>22</v>
      </c>
      <c r="I4207" s="9" t="s">
        <v>20</v>
      </c>
      <c r="J4207" s="10"/>
      <c r="K4207" s="14" t="s">
        <v>398</v>
      </c>
      <c r="N4207" s="14" t="str">
        <f>IFERROR(__xludf.DUMMYFUNCTION("""COMPUTED_VALUE"""),"")</f>
        <v/>
      </c>
      <c r="O4207" s="14"/>
    </row>
    <row r="4208" ht="22.5" hidden="1" customHeight="1">
      <c r="A4208" s="8">
        <v>46113.63877667824</v>
      </c>
      <c r="B4208" s="14">
        <v>46113.0</v>
      </c>
      <c r="C4208" s="9" t="s">
        <v>110</v>
      </c>
      <c r="D4208" s="9" t="s">
        <v>280</v>
      </c>
      <c r="E4208" s="9" t="s">
        <v>17</v>
      </c>
      <c r="F4208" s="9" t="s">
        <v>17</v>
      </c>
      <c r="G4208" s="9">
        <v>8.0</v>
      </c>
      <c r="H4208" s="9" t="s">
        <v>22</v>
      </c>
      <c r="I4208" s="9" t="s">
        <v>20</v>
      </c>
      <c r="J4208" s="10"/>
      <c r="K4208" s="14" t="s">
        <v>398</v>
      </c>
      <c r="N4208" s="14" t="str">
        <f>IFERROR(__xludf.DUMMYFUNCTION("""COMPUTED_VALUE"""),"")</f>
        <v/>
      </c>
      <c r="O4208" s="14"/>
    </row>
    <row r="4209" ht="22.5" hidden="1" customHeight="1">
      <c r="A4209" s="8">
        <v>46113.63910341435</v>
      </c>
      <c r="B4209" s="14">
        <v>46113.0</v>
      </c>
      <c r="C4209" s="9" t="s">
        <v>15</v>
      </c>
      <c r="D4209" s="9" t="s">
        <v>105</v>
      </c>
      <c r="E4209" s="9" t="s">
        <v>17</v>
      </c>
      <c r="F4209" s="9" t="s">
        <v>17</v>
      </c>
      <c r="G4209" s="9">
        <v>8.0</v>
      </c>
      <c r="H4209" s="9" t="s">
        <v>22</v>
      </c>
      <c r="I4209" s="9" t="s">
        <v>20</v>
      </c>
      <c r="J4209" s="10"/>
      <c r="K4209" s="14" t="s">
        <v>398</v>
      </c>
      <c r="N4209" s="14" t="str">
        <f>IFERROR(__xludf.DUMMYFUNCTION("""COMPUTED_VALUE"""),"")</f>
        <v/>
      </c>
      <c r="O4209" s="14"/>
    </row>
    <row r="4210" ht="22.5" hidden="1" customHeight="1">
      <c r="A4210" s="8">
        <v>46113.63932487268</v>
      </c>
      <c r="B4210" s="14">
        <v>46113.0</v>
      </c>
      <c r="C4210" s="9" t="s">
        <v>15</v>
      </c>
      <c r="D4210" s="9" t="s">
        <v>257</v>
      </c>
      <c r="E4210" s="9" t="s">
        <v>17</v>
      </c>
      <c r="F4210" s="9" t="s">
        <v>17</v>
      </c>
      <c r="G4210" s="9">
        <v>8.0</v>
      </c>
      <c r="H4210" s="9" t="s">
        <v>22</v>
      </c>
      <c r="I4210" s="9" t="s">
        <v>20</v>
      </c>
      <c r="J4210" s="10"/>
      <c r="K4210" s="14" t="s">
        <v>398</v>
      </c>
      <c r="N4210" s="14" t="str">
        <f>IFERROR(__xludf.DUMMYFUNCTION("""COMPUTED_VALUE"""),"")</f>
        <v/>
      </c>
      <c r="O4210" s="14"/>
    </row>
    <row r="4211" ht="22.5" hidden="1" customHeight="1">
      <c r="A4211" s="8">
        <v>46113.64281831018</v>
      </c>
      <c r="B4211" s="14">
        <v>46113.0</v>
      </c>
      <c r="C4211" s="9" t="s">
        <v>15</v>
      </c>
      <c r="D4211" s="9" t="s">
        <v>177</v>
      </c>
      <c r="E4211" s="9" t="s">
        <v>61</v>
      </c>
      <c r="F4211" s="9" t="s">
        <v>77</v>
      </c>
      <c r="G4211" s="9" t="s">
        <v>410</v>
      </c>
      <c r="H4211" s="9" t="s">
        <v>25</v>
      </c>
      <c r="I4211" s="9" t="s">
        <v>266</v>
      </c>
      <c r="J4211" s="10"/>
      <c r="K4211" s="14" t="s">
        <v>398</v>
      </c>
      <c r="N4211" s="14" t="str">
        <f>IFERROR(__xludf.DUMMYFUNCTION("""COMPUTED_VALUE"""),"")</f>
        <v/>
      </c>
      <c r="O4211" s="14"/>
    </row>
    <row r="4212" ht="22.5" hidden="1" customHeight="1">
      <c r="A4212" s="8">
        <v>46113.6458078588</v>
      </c>
      <c r="B4212" s="14">
        <v>46113.0</v>
      </c>
      <c r="C4212" s="9" t="s">
        <v>15</v>
      </c>
      <c r="D4212" s="9" t="s">
        <v>174</v>
      </c>
      <c r="E4212" s="9" t="s">
        <v>17</v>
      </c>
      <c r="F4212" s="9" t="s">
        <v>35</v>
      </c>
      <c r="G4212" s="9">
        <v>8.0</v>
      </c>
      <c r="H4212" s="9" t="s">
        <v>22</v>
      </c>
      <c r="I4212" s="9" t="s">
        <v>20</v>
      </c>
      <c r="J4212" s="10"/>
      <c r="K4212" s="14" t="s">
        <v>398</v>
      </c>
      <c r="N4212" s="14" t="str">
        <f>IFERROR(__xludf.DUMMYFUNCTION("""COMPUTED_VALUE"""),"")</f>
        <v/>
      </c>
      <c r="O4212" s="14"/>
    </row>
    <row r="4213" ht="22.5" hidden="1" customHeight="1">
      <c r="A4213" s="8">
        <v>46113.64605416667</v>
      </c>
      <c r="B4213" s="14">
        <v>46113.0</v>
      </c>
      <c r="C4213" s="9" t="s">
        <v>15</v>
      </c>
      <c r="D4213" s="9" t="s">
        <v>350</v>
      </c>
      <c r="E4213" s="9" t="s">
        <v>17</v>
      </c>
      <c r="F4213" s="9" t="s">
        <v>17</v>
      </c>
      <c r="G4213" s="9">
        <v>8.0</v>
      </c>
      <c r="H4213" s="9" t="s">
        <v>22</v>
      </c>
      <c r="I4213" s="9" t="s">
        <v>20</v>
      </c>
      <c r="J4213" s="10"/>
      <c r="K4213" s="14" t="s">
        <v>398</v>
      </c>
      <c r="N4213" s="14" t="str">
        <f>IFERROR(__xludf.DUMMYFUNCTION("""COMPUTED_VALUE"""),"")</f>
        <v/>
      </c>
      <c r="O4213" s="14"/>
    </row>
    <row r="4214" ht="22.5" hidden="1" customHeight="1">
      <c r="A4214" s="8">
        <v>46113.64627957176</v>
      </c>
      <c r="B4214" s="14">
        <v>46113.0</v>
      </c>
      <c r="C4214" s="9" t="s">
        <v>15</v>
      </c>
      <c r="D4214" s="9" t="s">
        <v>408</v>
      </c>
      <c r="E4214" s="9" t="s">
        <v>17</v>
      </c>
      <c r="F4214" s="9" t="s">
        <v>17</v>
      </c>
      <c r="G4214" s="9">
        <v>8.0</v>
      </c>
      <c r="H4214" s="9" t="s">
        <v>22</v>
      </c>
      <c r="I4214" s="9" t="s">
        <v>20</v>
      </c>
      <c r="J4214" s="10"/>
      <c r="K4214" s="14" t="s">
        <v>398</v>
      </c>
      <c r="N4214" s="14" t="str">
        <f>IFERROR(__xludf.DUMMYFUNCTION("""COMPUTED_VALUE"""),"")</f>
        <v/>
      </c>
      <c r="O4214" s="14"/>
    </row>
    <row r="4215" ht="22.5" hidden="1" customHeight="1">
      <c r="A4215" s="8">
        <v>46113.64652390046</v>
      </c>
      <c r="B4215" s="14">
        <v>46113.0</v>
      </c>
      <c r="C4215" s="9" t="s">
        <v>15</v>
      </c>
      <c r="D4215" s="9" t="s">
        <v>412</v>
      </c>
      <c r="E4215" s="9" t="s">
        <v>17</v>
      </c>
      <c r="F4215" s="9" t="s">
        <v>17</v>
      </c>
      <c r="G4215" s="9">
        <v>8.0</v>
      </c>
      <c r="H4215" s="9" t="s">
        <v>22</v>
      </c>
      <c r="I4215" s="9" t="s">
        <v>20</v>
      </c>
      <c r="J4215" s="10"/>
      <c r="K4215" s="14" t="s">
        <v>398</v>
      </c>
      <c r="N4215" s="14" t="str">
        <f>IFERROR(__xludf.DUMMYFUNCTION("""COMPUTED_VALUE"""),"")</f>
        <v/>
      </c>
      <c r="O4215" s="14"/>
    </row>
    <row r="4216" ht="22.5" hidden="1" customHeight="1">
      <c r="A4216" s="8">
        <v>46113.64674888889</v>
      </c>
      <c r="B4216" s="14">
        <v>46113.0</v>
      </c>
      <c r="C4216" s="9" t="s">
        <v>15</v>
      </c>
      <c r="D4216" s="9" t="s">
        <v>413</v>
      </c>
      <c r="E4216" s="9" t="s">
        <v>17</v>
      </c>
      <c r="F4216" s="9" t="s">
        <v>17</v>
      </c>
      <c r="G4216" s="9">
        <v>7.0</v>
      </c>
      <c r="H4216" s="9" t="s">
        <v>22</v>
      </c>
      <c r="I4216" s="9" t="s">
        <v>20</v>
      </c>
      <c r="J4216" s="10"/>
      <c r="K4216" s="14" t="s">
        <v>398</v>
      </c>
      <c r="N4216" s="14" t="str">
        <f>IFERROR(__xludf.DUMMYFUNCTION("""COMPUTED_VALUE"""),"")</f>
        <v/>
      </c>
      <c r="O4216" s="14"/>
    </row>
    <row r="4217" ht="22.5" hidden="1" customHeight="1">
      <c r="A4217" s="8">
        <v>46113.64715739583</v>
      </c>
      <c r="B4217" s="14">
        <v>46113.0</v>
      </c>
      <c r="C4217" s="9" t="s">
        <v>15</v>
      </c>
      <c r="D4217" s="9" t="s">
        <v>423</v>
      </c>
      <c r="E4217" s="9" t="s">
        <v>44</v>
      </c>
      <c r="F4217" s="9" t="s">
        <v>35</v>
      </c>
      <c r="G4217" s="9" t="s">
        <v>409</v>
      </c>
      <c r="H4217" s="9" t="s">
        <v>22</v>
      </c>
      <c r="I4217" s="9" t="s">
        <v>20</v>
      </c>
      <c r="J4217" s="10"/>
      <c r="K4217" s="14" t="s">
        <v>398</v>
      </c>
      <c r="N4217" s="14" t="str">
        <f>IFERROR(__xludf.DUMMYFUNCTION("""COMPUTED_VALUE"""),"")</f>
        <v/>
      </c>
      <c r="O4217" s="14"/>
    </row>
    <row r="4218" ht="22.5" hidden="1" customHeight="1">
      <c r="A4218" s="8">
        <v>46113.67521377315</v>
      </c>
      <c r="B4218" s="14">
        <v>46113.0</v>
      </c>
      <c r="C4218" s="9" t="s">
        <v>15</v>
      </c>
      <c r="D4218" s="9" t="s">
        <v>175</v>
      </c>
      <c r="E4218" s="9" t="s">
        <v>17</v>
      </c>
      <c r="F4218" s="9" t="s">
        <v>17</v>
      </c>
      <c r="G4218" s="9">
        <v>8.0</v>
      </c>
      <c r="H4218" s="9" t="s">
        <v>22</v>
      </c>
      <c r="I4218" s="9" t="s">
        <v>218</v>
      </c>
      <c r="J4218" s="10"/>
      <c r="K4218" s="14" t="s">
        <v>398</v>
      </c>
      <c r="N4218" s="14" t="str">
        <f>IFERROR(__xludf.DUMMYFUNCTION("""COMPUTED_VALUE"""),"")</f>
        <v/>
      </c>
      <c r="O4218" s="14"/>
    </row>
    <row r="4219" ht="22.5" hidden="1" customHeight="1">
      <c r="A4219" s="8">
        <v>46113.67543553241</v>
      </c>
      <c r="B4219" s="14">
        <v>46113.0</v>
      </c>
      <c r="C4219" s="9" t="s">
        <v>15</v>
      </c>
      <c r="D4219" s="9" t="s">
        <v>258</v>
      </c>
      <c r="E4219" s="9" t="s">
        <v>17</v>
      </c>
      <c r="F4219" s="9" t="s">
        <v>17</v>
      </c>
      <c r="G4219" s="9">
        <v>8.0</v>
      </c>
      <c r="H4219" s="9" t="s">
        <v>22</v>
      </c>
      <c r="I4219" s="9" t="s">
        <v>20</v>
      </c>
      <c r="J4219" s="10"/>
      <c r="K4219" s="14" t="s">
        <v>398</v>
      </c>
      <c r="N4219" s="14" t="str">
        <f>IFERROR(__xludf.DUMMYFUNCTION("""COMPUTED_VALUE"""),"")</f>
        <v/>
      </c>
      <c r="O4219" s="14"/>
    </row>
    <row r="4220" ht="22.5" hidden="1" customHeight="1">
      <c r="A4220" s="8">
        <v>46113.67572078704</v>
      </c>
      <c r="B4220" s="14">
        <v>46113.0</v>
      </c>
      <c r="C4220" s="9" t="s">
        <v>15</v>
      </c>
      <c r="D4220" s="9" t="s">
        <v>178</v>
      </c>
      <c r="E4220" s="9" t="s">
        <v>61</v>
      </c>
      <c r="F4220" s="9" t="s">
        <v>60</v>
      </c>
      <c r="G4220" s="9" t="s">
        <v>410</v>
      </c>
      <c r="H4220" s="9" t="s">
        <v>22</v>
      </c>
      <c r="I4220" s="9" t="s">
        <v>20</v>
      </c>
      <c r="J4220" s="10"/>
      <c r="K4220" s="14" t="s">
        <v>398</v>
      </c>
      <c r="N4220" s="14" t="str">
        <f>IFERROR(__xludf.DUMMYFUNCTION("""COMPUTED_VALUE"""),"")</f>
        <v/>
      </c>
      <c r="O4220" s="14"/>
    </row>
    <row r="4221" ht="22.5" hidden="1" customHeight="1">
      <c r="A4221" s="8">
        <v>46113.676205613425</v>
      </c>
      <c r="B4221" s="14">
        <v>46113.0</v>
      </c>
      <c r="C4221" s="9" t="s">
        <v>15</v>
      </c>
      <c r="D4221" s="9" t="s">
        <v>335</v>
      </c>
      <c r="E4221" s="9" t="s">
        <v>17</v>
      </c>
      <c r="F4221" s="9" t="s">
        <v>17</v>
      </c>
      <c r="G4221" s="9">
        <v>8.0</v>
      </c>
      <c r="H4221" s="9" t="s">
        <v>25</v>
      </c>
      <c r="I4221" s="9" t="s">
        <v>93</v>
      </c>
      <c r="J4221" s="10"/>
      <c r="K4221" s="14" t="s">
        <v>398</v>
      </c>
      <c r="N4221" s="14" t="str">
        <f>IFERROR(__xludf.DUMMYFUNCTION("""COMPUTED_VALUE"""),"")</f>
        <v/>
      </c>
      <c r="O4221" s="14"/>
    </row>
    <row r="4222" ht="22.5" hidden="1" customHeight="1">
      <c r="A4222" s="8">
        <v>46113.676484814816</v>
      </c>
      <c r="B4222" s="14">
        <v>46113.0</v>
      </c>
      <c r="C4222" s="9" t="s">
        <v>15</v>
      </c>
      <c r="D4222" s="9" t="s">
        <v>210</v>
      </c>
      <c r="E4222" s="9" t="s">
        <v>17</v>
      </c>
      <c r="F4222" s="9" t="s">
        <v>17</v>
      </c>
      <c r="G4222" s="9">
        <v>8.0</v>
      </c>
      <c r="H4222" s="9" t="s">
        <v>22</v>
      </c>
      <c r="I4222" s="9" t="s">
        <v>20</v>
      </c>
      <c r="J4222" s="10"/>
      <c r="K4222" s="14" t="s">
        <v>398</v>
      </c>
      <c r="N4222" s="14" t="str">
        <f>IFERROR(__xludf.DUMMYFUNCTION("""COMPUTED_VALUE"""),"")</f>
        <v/>
      </c>
      <c r="O4222" s="14"/>
    </row>
    <row r="4223" ht="22.5" hidden="1" customHeight="1">
      <c r="A4223" s="8">
        <v>46113.67679770834</v>
      </c>
      <c r="B4223" s="14">
        <v>46113.0</v>
      </c>
      <c r="C4223" s="9" t="s">
        <v>15</v>
      </c>
      <c r="D4223" s="9" t="s">
        <v>247</v>
      </c>
      <c r="E4223" s="9" t="s">
        <v>17</v>
      </c>
      <c r="F4223" s="9" t="s">
        <v>17</v>
      </c>
      <c r="G4223" s="9">
        <v>7.0</v>
      </c>
      <c r="H4223" s="9" t="s">
        <v>22</v>
      </c>
      <c r="I4223" s="9" t="s">
        <v>20</v>
      </c>
      <c r="J4223" s="10"/>
      <c r="K4223" s="14" t="s">
        <v>398</v>
      </c>
      <c r="N4223" s="14" t="str">
        <f>IFERROR(__xludf.DUMMYFUNCTION("""COMPUTED_VALUE"""),"")</f>
        <v/>
      </c>
      <c r="O4223" s="14"/>
    </row>
    <row r="4224" ht="22.5" hidden="1" customHeight="1">
      <c r="A4224" s="8">
        <v>46113.67706134259</v>
      </c>
      <c r="B4224" s="14">
        <v>46113.0</v>
      </c>
      <c r="C4224" s="9" t="s">
        <v>15</v>
      </c>
      <c r="D4224" s="9" t="s">
        <v>395</v>
      </c>
      <c r="E4224" s="9" t="s">
        <v>17</v>
      </c>
      <c r="F4224" s="9" t="s">
        <v>17</v>
      </c>
      <c r="G4224" s="9">
        <v>7.0</v>
      </c>
      <c r="H4224" s="9" t="s">
        <v>22</v>
      </c>
      <c r="I4224" s="9" t="s">
        <v>20</v>
      </c>
      <c r="J4224" s="10"/>
      <c r="K4224" s="14" t="s">
        <v>398</v>
      </c>
      <c r="N4224" s="14" t="str">
        <f>IFERROR(__xludf.DUMMYFUNCTION("""COMPUTED_VALUE"""),"")</f>
        <v/>
      </c>
      <c r="O4224" s="14"/>
    </row>
    <row r="4225" ht="22.5" hidden="1" customHeight="1">
      <c r="A4225" s="8">
        <v>46113.677569583335</v>
      </c>
      <c r="B4225" s="14">
        <v>46113.0</v>
      </c>
      <c r="C4225" s="9" t="s">
        <v>15</v>
      </c>
      <c r="D4225" s="9" t="s">
        <v>357</v>
      </c>
      <c r="E4225" s="9" t="s">
        <v>17</v>
      </c>
      <c r="F4225" s="9" t="s">
        <v>17</v>
      </c>
      <c r="G4225" s="9">
        <v>7.0</v>
      </c>
      <c r="H4225" s="9" t="s">
        <v>25</v>
      </c>
      <c r="I4225" s="9" t="s">
        <v>240</v>
      </c>
      <c r="J4225" s="10"/>
      <c r="K4225" s="14" t="s">
        <v>398</v>
      </c>
      <c r="N4225" s="14" t="str">
        <f>IFERROR(__xludf.DUMMYFUNCTION("""COMPUTED_VALUE"""),"")</f>
        <v/>
      </c>
      <c r="O4225" s="14"/>
    </row>
    <row r="4226" ht="22.5" hidden="1" customHeight="1">
      <c r="A4226" s="8">
        <v>46113.677875671296</v>
      </c>
      <c r="B4226" s="14">
        <v>46113.0</v>
      </c>
      <c r="C4226" s="9" t="s">
        <v>15</v>
      </c>
      <c r="D4226" s="9" t="s">
        <v>393</v>
      </c>
      <c r="E4226" s="9" t="s">
        <v>17</v>
      </c>
      <c r="F4226" s="9" t="s">
        <v>17</v>
      </c>
      <c r="G4226" s="9">
        <v>7.0</v>
      </c>
      <c r="H4226" s="9" t="s">
        <v>22</v>
      </c>
      <c r="I4226" s="9" t="s">
        <v>20</v>
      </c>
      <c r="J4226" s="10"/>
      <c r="K4226" s="14" t="s">
        <v>398</v>
      </c>
      <c r="N4226" s="14" t="str">
        <f>IFERROR(__xludf.DUMMYFUNCTION("""COMPUTED_VALUE"""),"")</f>
        <v/>
      </c>
      <c r="O4226" s="14"/>
    </row>
    <row r="4227" ht="22.5" hidden="1" customHeight="1">
      <c r="A4227" s="8">
        <v>46113.6783259375</v>
      </c>
      <c r="B4227" s="14">
        <v>46113.0</v>
      </c>
      <c r="C4227" s="9" t="s">
        <v>15</v>
      </c>
      <c r="D4227" s="9" t="s">
        <v>421</v>
      </c>
      <c r="E4227" s="9" t="s">
        <v>17</v>
      </c>
      <c r="F4227" s="9" t="s">
        <v>17</v>
      </c>
      <c r="G4227" s="9">
        <v>7.0</v>
      </c>
      <c r="H4227" s="9" t="s">
        <v>25</v>
      </c>
      <c r="I4227" s="9" t="s">
        <v>26</v>
      </c>
      <c r="J4227" s="10"/>
      <c r="K4227" s="14" t="s">
        <v>398</v>
      </c>
      <c r="N4227" s="14" t="str">
        <f>IFERROR(__xludf.DUMMYFUNCTION("""COMPUTED_VALUE"""),"")</f>
        <v/>
      </c>
      <c r="O4227" s="14"/>
    </row>
    <row r="4228" ht="22.5" hidden="1" customHeight="1">
      <c r="A4228" s="8">
        <v>46113.678532499995</v>
      </c>
      <c r="B4228" s="14">
        <v>46113.0</v>
      </c>
      <c r="C4228" s="9" t="s">
        <v>15</v>
      </c>
      <c r="D4228" s="9" t="s">
        <v>414</v>
      </c>
      <c r="E4228" s="9" t="s">
        <v>17</v>
      </c>
      <c r="F4228" s="9" t="s">
        <v>17</v>
      </c>
      <c r="G4228" s="9">
        <v>7.0</v>
      </c>
      <c r="H4228" s="9" t="s">
        <v>22</v>
      </c>
      <c r="I4228" s="9" t="s">
        <v>20</v>
      </c>
      <c r="J4228" s="10"/>
      <c r="K4228" s="14" t="s">
        <v>398</v>
      </c>
      <c r="N4228" s="14" t="str">
        <f>IFERROR(__xludf.DUMMYFUNCTION("""COMPUTED_VALUE"""),"")</f>
        <v/>
      </c>
      <c r="O4228" s="14"/>
    </row>
    <row r="4229" ht="22.5" hidden="1" customHeight="1">
      <c r="A4229" s="8">
        <v>46113.67920428241</v>
      </c>
      <c r="B4229" s="14">
        <v>46113.0</v>
      </c>
      <c r="C4229" s="9" t="s">
        <v>15</v>
      </c>
      <c r="D4229" s="9" t="s">
        <v>259</v>
      </c>
      <c r="E4229" s="9" t="s">
        <v>17</v>
      </c>
      <c r="F4229" s="9" t="s">
        <v>17</v>
      </c>
      <c r="G4229" s="9" t="s">
        <v>409</v>
      </c>
      <c r="H4229" s="9" t="s">
        <v>22</v>
      </c>
      <c r="I4229" s="9" t="s">
        <v>20</v>
      </c>
      <c r="J4229" s="10"/>
      <c r="K4229" s="14" t="s">
        <v>398</v>
      </c>
      <c r="N4229" s="14" t="str">
        <f>IFERROR(__xludf.DUMMYFUNCTION("""COMPUTED_VALUE"""),"")</f>
        <v/>
      </c>
      <c r="O4229" s="14"/>
    </row>
    <row r="4230" ht="22.5" hidden="1" customHeight="1">
      <c r="A4230" s="8">
        <v>46114.3498155787</v>
      </c>
      <c r="B4230" s="14">
        <v>46114.0</v>
      </c>
      <c r="C4230" s="9" t="s">
        <v>31</v>
      </c>
      <c r="D4230" s="9" t="s">
        <v>249</v>
      </c>
      <c r="E4230" s="9" t="s">
        <v>46</v>
      </c>
      <c r="F4230" s="9" t="s">
        <v>17</v>
      </c>
      <c r="G4230" s="9">
        <v>8.0</v>
      </c>
      <c r="H4230" s="9" t="s">
        <v>22</v>
      </c>
      <c r="I4230" s="9" t="s">
        <v>20</v>
      </c>
      <c r="J4230" s="10"/>
      <c r="K4230" s="14">
        <v>7.0</v>
      </c>
      <c r="N4230" s="14" t="str">
        <f>IFERROR(__xludf.DUMMYFUNCTION("""COMPUTED_VALUE"""),"")</f>
        <v/>
      </c>
      <c r="O4230" s="14"/>
    </row>
    <row r="4231" ht="22.5" hidden="1" customHeight="1">
      <c r="A4231" s="8">
        <v>46114.350119421295</v>
      </c>
      <c r="B4231" s="14">
        <v>46114.0</v>
      </c>
      <c r="C4231" s="9" t="s">
        <v>31</v>
      </c>
      <c r="D4231" s="9" t="s">
        <v>177</v>
      </c>
      <c r="E4231" s="9" t="s">
        <v>17</v>
      </c>
      <c r="F4231" s="9" t="s">
        <v>17</v>
      </c>
      <c r="G4231" s="9">
        <v>8.0</v>
      </c>
      <c r="H4231" s="9" t="s">
        <v>25</v>
      </c>
      <c r="I4231" s="9" t="s">
        <v>266</v>
      </c>
      <c r="J4231" s="10"/>
      <c r="K4231" s="14">
        <v>5.0</v>
      </c>
      <c r="N4231" s="14" t="str">
        <f>IFERROR(__xludf.DUMMYFUNCTION("""COMPUTED_VALUE"""),"")</f>
        <v/>
      </c>
      <c r="O4231" s="14"/>
    </row>
    <row r="4232" ht="22.5" hidden="1" customHeight="1">
      <c r="A4232" s="8">
        <v>46114.35044148148</v>
      </c>
      <c r="B4232" s="14">
        <v>46114.0</v>
      </c>
      <c r="C4232" s="9" t="s">
        <v>31</v>
      </c>
      <c r="D4232" s="9" t="s">
        <v>280</v>
      </c>
      <c r="E4232" s="9" t="s">
        <v>17</v>
      </c>
      <c r="F4232" s="9" t="s">
        <v>17</v>
      </c>
      <c r="G4232" s="9">
        <v>7.0</v>
      </c>
      <c r="H4232" s="9" t="s">
        <v>22</v>
      </c>
      <c r="I4232" s="9" t="s">
        <v>20</v>
      </c>
      <c r="J4232" s="10"/>
      <c r="K4232" s="14">
        <v>6.0</v>
      </c>
      <c r="N4232" s="14" t="str">
        <f>IFERROR(__xludf.DUMMYFUNCTION("""COMPUTED_VALUE"""),"")</f>
        <v/>
      </c>
      <c r="O4232" s="14"/>
    </row>
    <row r="4233" ht="22.5" hidden="1" customHeight="1">
      <c r="A4233" s="8">
        <v>46114.350649872686</v>
      </c>
      <c r="B4233" s="14">
        <v>46114.0</v>
      </c>
      <c r="C4233" s="9" t="s">
        <v>31</v>
      </c>
      <c r="D4233" s="9" t="s">
        <v>174</v>
      </c>
      <c r="E4233" s="9" t="s">
        <v>17</v>
      </c>
      <c r="F4233" s="9" t="s">
        <v>17</v>
      </c>
      <c r="G4233" s="9">
        <v>8.0</v>
      </c>
      <c r="H4233" s="9" t="s">
        <v>22</v>
      </c>
      <c r="I4233" s="9" t="s">
        <v>20</v>
      </c>
      <c r="J4233" s="10"/>
      <c r="K4233" s="14">
        <v>4.0</v>
      </c>
      <c r="N4233" s="14" t="str">
        <f>IFERROR(__xludf.DUMMYFUNCTION("""COMPUTED_VALUE"""),"")</f>
        <v/>
      </c>
      <c r="O4233" s="14"/>
    </row>
    <row r="4234" ht="22.5" hidden="1" customHeight="1">
      <c r="A4234" s="8">
        <v>46114.35087916667</v>
      </c>
      <c r="B4234" s="14">
        <v>46114.0</v>
      </c>
      <c r="C4234" s="9" t="s">
        <v>31</v>
      </c>
      <c r="D4234" s="9" t="s">
        <v>408</v>
      </c>
      <c r="E4234" s="9" t="s">
        <v>17</v>
      </c>
      <c r="F4234" s="9" t="s">
        <v>17</v>
      </c>
      <c r="G4234" s="9">
        <v>8.0</v>
      </c>
      <c r="H4234" s="9" t="s">
        <v>22</v>
      </c>
      <c r="I4234" s="9" t="s">
        <v>20</v>
      </c>
      <c r="J4234" s="10"/>
      <c r="K4234" s="14">
        <v>5.0</v>
      </c>
      <c r="N4234" s="14" t="str">
        <f>IFERROR(__xludf.DUMMYFUNCTION("""COMPUTED_VALUE"""),"")</f>
        <v/>
      </c>
      <c r="O4234" s="14"/>
    </row>
    <row r="4235" ht="22.5" hidden="1" customHeight="1">
      <c r="A4235" s="8">
        <v>46114.35126924768</v>
      </c>
      <c r="B4235" s="14">
        <v>46114.0</v>
      </c>
      <c r="C4235" s="9" t="s">
        <v>31</v>
      </c>
      <c r="D4235" s="9" t="s">
        <v>258</v>
      </c>
      <c r="E4235" s="9" t="s">
        <v>17</v>
      </c>
      <c r="F4235" s="9" t="s">
        <v>17</v>
      </c>
      <c r="G4235" s="9">
        <v>7.0</v>
      </c>
      <c r="H4235" s="9" t="s">
        <v>22</v>
      </c>
      <c r="I4235" s="9" t="s">
        <v>20</v>
      </c>
      <c r="J4235" s="10"/>
      <c r="K4235" s="14">
        <v>6.0</v>
      </c>
      <c r="N4235" s="14" t="str">
        <f>IFERROR(__xludf.DUMMYFUNCTION("""COMPUTED_VALUE"""),"")</f>
        <v/>
      </c>
      <c r="O4235" s="14"/>
    </row>
    <row r="4236" ht="22.5" hidden="1" customHeight="1">
      <c r="A4236" s="8">
        <v>46114.351583090276</v>
      </c>
      <c r="B4236" s="14">
        <v>46114.0</v>
      </c>
      <c r="C4236" s="9" t="s">
        <v>31</v>
      </c>
      <c r="D4236" s="9" t="s">
        <v>105</v>
      </c>
      <c r="E4236" s="9" t="s">
        <v>17</v>
      </c>
      <c r="F4236" s="9" t="s">
        <v>17</v>
      </c>
      <c r="G4236" s="9">
        <v>8.0</v>
      </c>
      <c r="H4236" s="9" t="s">
        <v>22</v>
      </c>
      <c r="I4236" s="9" t="s">
        <v>20</v>
      </c>
      <c r="J4236" s="10"/>
      <c r="K4236" s="14" t="s">
        <v>398</v>
      </c>
      <c r="N4236" s="14" t="str">
        <f>IFERROR(__xludf.DUMMYFUNCTION("""COMPUTED_VALUE"""),"")</f>
        <v/>
      </c>
      <c r="O4236" s="14"/>
    </row>
    <row r="4237" ht="22.5" hidden="1" customHeight="1">
      <c r="A4237" s="8">
        <v>46114.36062917824</v>
      </c>
      <c r="B4237" s="14">
        <v>46114.0</v>
      </c>
      <c r="C4237" s="9" t="s">
        <v>31</v>
      </c>
      <c r="D4237" s="9" t="s">
        <v>257</v>
      </c>
      <c r="E4237" s="9" t="s">
        <v>17</v>
      </c>
      <c r="F4237" s="9" t="s">
        <v>17</v>
      </c>
      <c r="G4237" s="9">
        <v>7.0</v>
      </c>
      <c r="H4237" s="9" t="s">
        <v>25</v>
      </c>
      <c r="I4237" s="9" t="s">
        <v>240</v>
      </c>
      <c r="J4237" s="10"/>
      <c r="K4237" s="14" t="s">
        <v>398</v>
      </c>
      <c r="N4237" s="14" t="str">
        <f>IFERROR(__xludf.DUMMYFUNCTION("""COMPUTED_VALUE"""),"")</f>
        <v/>
      </c>
      <c r="O4237" s="14"/>
    </row>
    <row r="4238" ht="22.5" hidden="1" customHeight="1">
      <c r="A4238" s="8">
        <v>46114.36099265046</v>
      </c>
      <c r="B4238" s="14">
        <v>46114.0</v>
      </c>
      <c r="C4238" s="9" t="s">
        <v>31</v>
      </c>
      <c r="D4238" s="9" t="s">
        <v>171</v>
      </c>
      <c r="E4238" s="9" t="s">
        <v>61</v>
      </c>
      <c r="F4238" s="9" t="s">
        <v>17</v>
      </c>
      <c r="G4238" s="9">
        <v>7.0</v>
      </c>
      <c r="H4238" s="9" t="s">
        <v>17</v>
      </c>
      <c r="I4238" s="9" t="s">
        <v>20</v>
      </c>
      <c r="J4238" s="10"/>
      <c r="K4238" s="14" t="s">
        <v>398</v>
      </c>
      <c r="N4238" s="14" t="str">
        <f>IFERROR(__xludf.DUMMYFUNCTION("""COMPUTED_VALUE"""),"")</f>
        <v/>
      </c>
      <c r="O4238" s="14"/>
    </row>
    <row r="4239" ht="22.5" hidden="1" customHeight="1">
      <c r="A4239" s="8">
        <v>46114.36121924769</v>
      </c>
      <c r="B4239" s="14">
        <v>46114.0</v>
      </c>
      <c r="C4239" s="9" t="s">
        <v>31</v>
      </c>
      <c r="D4239" s="9" t="s">
        <v>395</v>
      </c>
      <c r="E4239" s="9" t="s">
        <v>17</v>
      </c>
      <c r="F4239" s="9" t="s">
        <v>17</v>
      </c>
      <c r="G4239" s="9">
        <v>7.0</v>
      </c>
      <c r="H4239" s="9" t="s">
        <v>22</v>
      </c>
      <c r="I4239" s="9" t="s">
        <v>20</v>
      </c>
      <c r="J4239" s="10"/>
      <c r="K4239" s="14">
        <v>5.0</v>
      </c>
      <c r="N4239" s="14" t="str">
        <f>IFERROR(__xludf.DUMMYFUNCTION("""COMPUTED_VALUE"""),"")</f>
        <v/>
      </c>
      <c r="O4239" s="14"/>
    </row>
    <row r="4240" ht="22.5" hidden="1" customHeight="1">
      <c r="A4240" s="8">
        <v>46114.36157137732</v>
      </c>
      <c r="B4240" s="14">
        <v>46114.0</v>
      </c>
      <c r="C4240" s="9" t="s">
        <v>31</v>
      </c>
      <c r="D4240" s="9" t="s">
        <v>393</v>
      </c>
      <c r="E4240" s="9" t="s">
        <v>17</v>
      </c>
      <c r="F4240" s="9" t="s">
        <v>17</v>
      </c>
      <c r="G4240" s="9">
        <v>7.0</v>
      </c>
      <c r="H4240" s="9" t="s">
        <v>22</v>
      </c>
      <c r="I4240" s="9" t="s">
        <v>20</v>
      </c>
      <c r="J4240" s="10"/>
      <c r="K4240" s="14">
        <v>3.0</v>
      </c>
      <c r="N4240" s="14" t="str">
        <f>IFERROR(__xludf.DUMMYFUNCTION("""COMPUTED_VALUE"""),"")</f>
        <v/>
      </c>
      <c r="O4240" s="14"/>
    </row>
    <row r="4241" ht="22.5" hidden="1" customHeight="1">
      <c r="A4241" s="8">
        <v>46114.36209403935</v>
      </c>
      <c r="B4241" s="14">
        <v>46114.0</v>
      </c>
      <c r="C4241" s="9" t="s">
        <v>31</v>
      </c>
      <c r="D4241" s="9" t="s">
        <v>414</v>
      </c>
      <c r="E4241" s="9" t="s">
        <v>17</v>
      </c>
      <c r="F4241" s="9" t="s">
        <v>17</v>
      </c>
      <c r="G4241" s="9">
        <v>7.0</v>
      </c>
      <c r="H4241" s="9" t="s">
        <v>25</v>
      </c>
      <c r="I4241" s="9" t="s">
        <v>159</v>
      </c>
      <c r="J4241" s="10"/>
      <c r="K4241" s="14">
        <v>5.0</v>
      </c>
      <c r="N4241" s="14" t="str">
        <f>IFERROR(__xludf.DUMMYFUNCTION("""COMPUTED_VALUE"""),"")</f>
        <v/>
      </c>
      <c r="O4241" s="14"/>
    </row>
    <row r="4242" ht="22.5" hidden="1" customHeight="1">
      <c r="A4242" s="8">
        <v>46114.36274412037</v>
      </c>
      <c r="B4242" s="14">
        <v>46114.0</v>
      </c>
      <c r="C4242" s="9" t="s">
        <v>31</v>
      </c>
      <c r="D4242" s="9" t="s">
        <v>413</v>
      </c>
      <c r="E4242" s="9" t="s">
        <v>17</v>
      </c>
      <c r="F4242" s="9" t="s">
        <v>17</v>
      </c>
      <c r="G4242" s="9">
        <v>7.0</v>
      </c>
      <c r="H4242" s="9" t="s">
        <v>22</v>
      </c>
      <c r="I4242" s="9" t="s">
        <v>20</v>
      </c>
      <c r="J4242" s="10"/>
      <c r="K4242" s="14">
        <v>2.0</v>
      </c>
      <c r="N4242" s="14" t="str">
        <f>IFERROR(__xludf.DUMMYFUNCTION("""COMPUTED_VALUE"""),"")</f>
        <v/>
      </c>
      <c r="O4242" s="14"/>
    </row>
    <row r="4243" ht="22.5" hidden="1" customHeight="1">
      <c r="A4243" s="8">
        <v>46114.370147395835</v>
      </c>
      <c r="B4243" s="14">
        <v>46114.0</v>
      </c>
      <c r="C4243" s="9" t="s">
        <v>31</v>
      </c>
      <c r="D4243" s="9" t="s">
        <v>178</v>
      </c>
      <c r="E4243" s="9" t="s">
        <v>17</v>
      </c>
      <c r="F4243" s="9" t="s">
        <v>17</v>
      </c>
      <c r="G4243" s="9">
        <v>7.0</v>
      </c>
      <c r="H4243" s="9" t="s">
        <v>25</v>
      </c>
      <c r="I4243" s="9" t="s">
        <v>79</v>
      </c>
      <c r="J4243" s="10"/>
      <c r="K4243" s="14" t="s">
        <v>398</v>
      </c>
      <c r="N4243" s="14" t="str">
        <f>IFERROR(__xludf.DUMMYFUNCTION("""COMPUTED_VALUE"""),"")</f>
        <v/>
      </c>
      <c r="O4243" s="14"/>
    </row>
    <row r="4244" ht="22.5" hidden="1" customHeight="1">
      <c r="A4244" s="8">
        <v>46114.37044175926</v>
      </c>
      <c r="B4244" s="14">
        <v>46114.0</v>
      </c>
      <c r="C4244" s="9" t="s">
        <v>31</v>
      </c>
      <c r="D4244" s="9" t="s">
        <v>335</v>
      </c>
      <c r="E4244" s="9" t="s">
        <v>17</v>
      </c>
      <c r="F4244" s="9" t="s">
        <v>17</v>
      </c>
      <c r="G4244" s="9">
        <v>8.0</v>
      </c>
      <c r="H4244" s="9" t="s">
        <v>25</v>
      </c>
      <c r="I4244" s="9" t="s">
        <v>411</v>
      </c>
      <c r="J4244" s="10"/>
      <c r="K4244" s="14" t="s">
        <v>398</v>
      </c>
      <c r="N4244" s="14" t="str">
        <f>IFERROR(__xludf.DUMMYFUNCTION("""COMPUTED_VALUE"""),"")</f>
        <v/>
      </c>
      <c r="O4244" s="14"/>
    </row>
    <row r="4245" ht="22.5" hidden="1" customHeight="1">
      <c r="A4245" s="8">
        <v>46114.37797469908</v>
      </c>
      <c r="B4245" s="14">
        <v>46114.0</v>
      </c>
      <c r="C4245" s="9" t="s">
        <v>31</v>
      </c>
      <c r="D4245" s="9" t="s">
        <v>247</v>
      </c>
      <c r="E4245" s="9" t="s">
        <v>17</v>
      </c>
      <c r="F4245" s="9" t="s">
        <v>17</v>
      </c>
      <c r="G4245" s="9">
        <v>7.0</v>
      </c>
      <c r="H4245" s="9" t="s">
        <v>25</v>
      </c>
      <c r="I4245" s="9" t="s">
        <v>240</v>
      </c>
      <c r="J4245" s="10"/>
      <c r="K4245" s="14">
        <v>3.0</v>
      </c>
      <c r="N4245" s="14" t="str">
        <f>IFERROR(__xludf.DUMMYFUNCTION("""COMPUTED_VALUE"""),"")</f>
        <v/>
      </c>
      <c r="O4245" s="14"/>
    </row>
    <row r="4246" ht="22.5" hidden="1" customHeight="1">
      <c r="A4246" s="8">
        <v>46114.37823768519</v>
      </c>
      <c r="B4246" s="14">
        <v>46114.0</v>
      </c>
      <c r="C4246" s="9" t="s">
        <v>31</v>
      </c>
      <c r="D4246" s="9" t="s">
        <v>350</v>
      </c>
      <c r="E4246" s="9" t="s">
        <v>17</v>
      </c>
      <c r="F4246" s="9" t="s">
        <v>17</v>
      </c>
      <c r="G4246" s="9">
        <v>7.0</v>
      </c>
      <c r="H4246" s="9" t="s">
        <v>22</v>
      </c>
      <c r="I4246" s="9" t="s">
        <v>20</v>
      </c>
      <c r="J4246" s="10"/>
      <c r="K4246" s="14">
        <v>4.0</v>
      </c>
      <c r="N4246" s="14" t="str">
        <f>IFERROR(__xludf.DUMMYFUNCTION("""COMPUTED_VALUE"""),"")</f>
        <v/>
      </c>
      <c r="O4246" s="14"/>
    </row>
    <row r="4247" ht="22.5" hidden="1" customHeight="1">
      <c r="A4247" s="8">
        <v>46114.37860251157</v>
      </c>
      <c r="B4247" s="14">
        <v>46114.0</v>
      </c>
      <c r="C4247" s="9" t="s">
        <v>31</v>
      </c>
      <c r="D4247" s="9" t="s">
        <v>357</v>
      </c>
      <c r="E4247" s="9" t="s">
        <v>17</v>
      </c>
      <c r="F4247" s="9" t="s">
        <v>17</v>
      </c>
      <c r="G4247" s="9">
        <v>7.0</v>
      </c>
      <c r="H4247" s="9" t="s">
        <v>25</v>
      </c>
      <c r="I4247" s="9" t="s">
        <v>240</v>
      </c>
      <c r="J4247" s="10"/>
      <c r="K4247" s="14">
        <v>7.0</v>
      </c>
      <c r="N4247" s="14" t="str">
        <f>IFERROR(__xludf.DUMMYFUNCTION("""COMPUTED_VALUE"""),"")</f>
        <v/>
      </c>
      <c r="O4247" s="14"/>
    </row>
    <row r="4248" ht="22.5" hidden="1" customHeight="1">
      <c r="A4248" s="8">
        <v>46114.37888123843</v>
      </c>
      <c r="B4248" s="14">
        <v>46114.0</v>
      </c>
      <c r="C4248" s="9" t="s">
        <v>31</v>
      </c>
      <c r="D4248" s="9" t="s">
        <v>369</v>
      </c>
      <c r="E4248" s="9" t="s">
        <v>17</v>
      </c>
      <c r="F4248" s="9" t="s">
        <v>17</v>
      </c>
      <c r="G4248" s="9">
        <v>7.0</v>
      </c>
      <c r="H4248" s="9" t="s">
        <v>22</v>
      </c>
      <c r="I4248" s="9" t="s">
        <v>20</v>
      </c>
      <c r="J4248" s="10"/>
      <c r="K4248" s="14">
        <v>5.0</v>
      </c>
      <c r="N4248" s="14" t="str">
        <f>IFERROR(__xludf.DUMMYFUNCTION("""COMPUTED_VALUE"""),"")</f>
        <v/>
      </c>
      <c r="O4248" s="14"/>
    </row>
    <row r="4249" ht="22.5" hidden="1" customHeight="1">
      <c r="A4249" s="8">
        <v>46114.379086099536</v>
      </c>
      <c r="B4249" s="14">
        <v>46114.0</v>
      </c>
      <c r="C4249" s="9" t="s">
        <v>31</v>
      </c>
      <c r="D4249" s="9" t="s">
        <v>412</v>
      </c>
      <c r="E4249" s="9" t="s">
        <v>17</v>
      </c>
      <c r="F4249" s="9" t="s">
        <v>17</v>
      </c>
      <c r="G4249" s="9">
        <v>7.0</v>
      </c>
      <c r="H4249" s="9" t="s">
        <v>22</v>
      </c>
      <c r="I4249" s="9" t="s">
        <v>20</v>
      </c>
      <c r="J4249" s="10"/>
      <c r="K4249" s="14">
        <v>4.0</v>
      </c>
      <c r="N4249" s="14" t="str">
        <f>IFERROR(__xludf.DUMMYFUNCTION("""COMPUTED_VALUE"""),"")</f>
        <v/>
      </c>
      <c r="O4249" s="14"/>
    </row>
    <row r="4250" ht="22.5" hidden="1" customHeight="1">
      <c r="A4250" s="8">
        <v>46114.37933865741</v>
      </c>
      <c r="B4250" s="14">
        <v>46114.0</v>
      </c>
      <c r="C4250" s="9" t="s">
        <v>31</v>
      </c>
      <c r="D4250" s="9" t="s">
        <v>421</v>
      </c>
      <c r="E4250" s="9" t="s">
        <v>17</v>
      </c>
      <c r="F4250" s="9" t="s">
        <v>17</v>
      </c>
      <c r="G4250" s="9">
        <v>7.0</v>
      </c>
      <c r="H4250" s="9" t="s">
        <v>22</v>
      </c>
      <c r="I4250" s="9" t="s">
        <v>20</v>
      </c>
      <c r="J4250" s="10"/>
      <c r="K4250" s="14">
        <v>2.0</v>
      </c>
      <c r="N4250" s="14" t="str">
        <f>IFERROR(__xludf.DUMMYFUNCTION("""COMPUTED_VALUE"""),"")</f>
        <v/>
      </c>
      <c r="O4250" s="14"/>
    </row>
    <row r="4251" ht="22.5" hidden="1" customHeight="1">
      <c r="A4251" s="8">
        <v>46114.37955898148</v>
      </c>
      <c r="B4251" s="14">
        <v>46114.0</v>
      </c>
      <c r="C4251" s="9" t="s">
        <v>31</v>
      </c>
      <c r="D4251" s="9" t="s">
        <v>423</v>
      </c>
      <c r="E4251" s="9" t="s">
        <v>17</v>
      </c>
      <c r="F4251" s="9" t="s">
        <v>17</v>
      </c>
      <c r="G4251" s="9" t="s">
        <v>410</v>
      </c>
      <c r="H4251" s="9" t="s">
        <v>22</v>
      </c>
      <c r="I4251" s="9" t="s">
        <v>20</v>
      </c>
      <c r="J4251" s="10"/>
      <c r="K4251" s="14">
        <v>5.0</v>
      </c>
      <c r="N4251" s="14" t="str">
        <f>IFERROR(__xludf.DUMMYFUNCTION("""COMPUTED_VALUE"""),"")</f>
        <v/>
      </c>
      <c r="O4251" s="14"/>
    </row>
    <row r="4252" ht="22.5" hidden="1" customHeight="1">
      <c r="A4252" s="8">
        <v>46114.37991002315</v>
      </c>
      <c r="B4252" s="14">
        <v>46114.0</v>
      </c>
      <c r="C4252" s="9" t="s">
        <v>31</v>
      </c>
      <c r="D4252" s="9" t="s">
        <v>210</v>
      </c>
      <c r="E4252" s="9" t="s">
        <v>17</v>
      </c>
      <c r="F4252" s="9" t="s">
        <v>17</v>
      </c>
      <c r="G4252" s="9">
        <v>7.0</v>
      </c>
      <c r="H4252" s="9" t="s">
        <v>22</v>
      </c>
      <c r="I4252" s="9" t="s">
        <v>20</v>
      </c>
      <c r="J4252" s="10"/>
      <c r="K4252" s="14">
        <v>7.0</v>
      </c>
      <c r="N4252" s="14" t="str">
        <f>IFERROR(__xludf.DUMMYFUNCTION("""COMPUTED_VALUE"""),"")</f>
        <v/>
      </c>
      <c r="O4252" s="14"/>
    </row>
    <row r="4253" ht="22.5" hidden="1" customHeight="1">
      <c r="A4253" s="8">
        <v>46114.389155902776</v>
      </c>
      <c r="B4253" s="14">
        <v>46114.0</v>
      </c>
      <c r="C4253" s="9" t="s">
        <v>31</v>
      </c>
      <c r="D4253" s="9" t="s">
        <v>175</v>
      </c>
      <c r="E4253" s="9" t="s">
        <v>17</v>
      </c>
      <c r="F4253" s="9" t="s">
        <v>17</v>
      </c>
      <c r="G4253" s="9">
        <v>7.0</v>
      </c>
      <c r="H4253" s="9" t="s">
        <v>22</v>
      </c>
      <c r="I4253" s="9" t="s">
        <v>20</v>
      </c>
      <c r="J4253" s="10"/>
      <c r="K4253" s="14">
        <v>7.0</v>
      </c>
      <c r="N4253" s="14" t="str">
        <f>IFERROR(__xludf.DUMMYFUNCTION("""COMPUTED_VALUE"""),"")</f>
        <v/>
      </c>
      <c r="O4253" s="14"/>
    </row>
    <row r="4254" ht="22.5" hidden="1" customHeight="1">
      <c r="A4254" s="8">
        <v>46115.33158510417</v>
      </c>
      <c r="B4254" s="14">
        <v>46115.0</v>
      </c>
      <c r="C4254" s="9" t="s">
        <v>48</v>
      </c>
      <c r="D4254" s="9" t="s">
        <v>257</v>
      </c>
      <c r="E4254" s="9" t="s">
        <v>17</v>
      </c>
      <c r="F4254" s="9" t="s">
        <v>17</v>
      </c>
      <c r="G4254" s="9">
        <v>7.0</v>
      </c>
      <c r="H4254" s="9" t="s">
        <v>25</v>
      </c>
      <c r="I4254" s="9" t="s">
        <v>240</v>
      </c>
      <c r="J4254" s="10"/>
      <c r="K4254" s="14" t="s">
        <v>398</v>
      </c>
      <c r="N4254" s="14" t="str">
        <f>IFERROR(__xludf.DUMMYFUNCTION("""COMPUTED_VALUE"""),"")</f>
        <v/>
      </c>
      <c r="O4254" s="14"/>
    </row>
    <row r="4255" ht="22.5" hidden="1" customHeight="1">
      <c r="A4255" s="8">
        <v>46115.331749502315</v>
      </c>
      <c r="B4255" s="14">
        <v>46115.0</v>
      </c>
      <c r="C4255" s="9" t="s">
        <v>48</v>
      </c>
      <c r="D4255" s="9" t="s">
        <v>395</v>
      </c>
      <c r="E4255" s="9" t="s">
        <v>17</v>
      </c>
      <c r="F4255" s="9" t="s">
        <v>17</v>
      </c>
      <c r="G4255" s="9">
        <v>7.0</v>
      </c>
      <c r="H4255" s="9" t="s">
        <v>22</v>
      </c>
      <c r="I4255" s="9" t="s">
        <v>20</v>
      </c>
      <c r="J4255" s="10"/>
      <c r="K4255" s="14">
        <v>3.0</v>
      </c>
      <c r="N4255" s="14" t="str">
        <f>IFERROR(__xludf.DUMMYFUNCTION("""COMPUTED_VALUE"""),"")</f>
        <v/>
      </c>
      <c r="O4255" s="14"/>
    </row>
    <row r="4256" ht="22.5" hidden="1" customHeight="1">
      <c r="A4256" s="8">
        <v>46115.332183032406</v>
      </c>
      <c r="B4256" s="14">
        <v>46115.0</v>
      </c>
      <c r="C4256" s="9" t="s">
        <v>48</v>
      </c>
      <c r="D4256" s="9" t="s">
        <v>412</v>
      </c>
      <c r="E4256" s="9" t="s">
        <v>17</v>
      </c>
      <c r="F4256" s="9" t="s">
        <v>60</v>
      </c>
      <c r="G4256" s="9">
        <v>6.0</v>
      </c>
      <c r="H4256" s="9" t="s">
        <v>22</v>
      </c>
      <c r="I4256" s="9" t="s">
        <v>20</v>
      </c>
      <c r="J4256" s="10"/>
      <c r="K4256" s="14">
        <v>4.0</v>
      </c>
      <c r="N4256" s="14" t="str">
        <f>IFERROR(__xludf.DUMMYFUNCTION("""COMPUTED_VALUE"""),"")</f>
        <v/>
      </c>
      <c r="O4256" s="14"/>
    </row>
    <row r="4257" ht="22.5" hidden="1" customHeight="1">
      <c r="A4257" s="8">
        <v>46115.33396398148</v>
      </c>
      <c r="B4257" s="14">
        <v>46115.0</v>
      </c>
      <c r="C4257" s="9" t="s">
        <v>48</v>
      </c>
      <c r="D4257" s="9" t="s">
        <v>247</v>
      </c>
      <c r="E4257" s="9" t="s">
        <v>17</v>
      </c>
      <c r="F4257" s="9" t="s">
        <v>17</v>
      </c>
      <c r="G4257" s="9">
        <v>7.0</v>
      </c>
      <c r="H4257" s="9" t="s">
        <v>25</v>
      </c>
      <c r="I4257" s="9" t="s">
        <v>240</v>
      </c>
      <c r="J4257" s="10"/>
      <c r="K4257" s="14" t="s">
        <v>398</v>
      </c>
      <c r="N4257" s="14" t="str">
        <f>IFERROR(__xludf.DUMMYFUNCTION("""COMPUTED_VALUE"""),"")</f>
        <v/>
      </c>
      <c r="O4257" s="14"/>
    </row>
    <row r="4258" ht="22.5" hidden="1" customHeight="1">
      <c r="A4258" s="8">
        <v>46115.33425666667</v>
      </c>
      <c r="B4258" s="14">
        <v>46115.0</v>
      </c>
      <c r="C4258" s="9" t="s">
        <v>48</v>
      </c>
      <c r="D4258" s="9" t="s">
        <v>249</v>
      </c>
      <c r="E4258" s="9" t="s">
        <v>46</v>
      </c>
      <c r="F4258" s="9" t="s">
        <v>17</v>
      </c>
      <c r="G4258" s="9">
        <v>7.0</v>
      </c>
      <c r="H4258" s="9" t="s">
        <v>22</v>
      </c>
      <c r="I4258" s="9" t="s">
        <v>20</v>
      </c>
      <c r="J4258" s="10"/>
      <c r="K4258" s="14">
        <v>4.0</v>
      </c>
      <c r="N4258" s="14" t="str">
        <f>IFERROR(__xludf.DUMMYFUNCTION("""COMPUTED_VALUE"""),"")</f>
        <v/>
      </c>
      <c r="O4258" s="14"/>
    </row>
    <row r="4259" ht="22.5" hidden="1" customHeight="1">
      <c r="A4259" s="8">
        <v>46115.33447072917</v>
      </c>
      <c r="B4259" s="14">
        <v>46115.0</v>
      </c>
      <c r="C4259" s="9" t="s">
        <v>48</v>
      </c>
      <c r="D4259" s="9" t="s">
        <v>413</v>
      </c>
      <c r="E4259" s="9" t="s">
        <v>17</v>
      </c>
      <c r="F4259" s="9" t="s">
        <v>17</v>
      </c>
      <c r="G4259" s="9">
        <v>7.0</v>
      </c>
      <c r="H4259" s="9" t="s">
        <v>22</v>
      </c>
      <c r="I4259" s="9" t="s">
        <v>20</v>
      </c>
      <c r="J4259" s="10"/>
      <c r="K4259" s="14">
        <v>3.0</v>
      </c>
      <c r="N4259" s="14" t="str">
        <f>IFERROR(__xludf.DUMMYFUNCTION("""COMPUTED_VALUE"""),"")</f>
        <v/>
      </c>
      <c r="O4259" s="14"/>
    </row>
    <row r="4260" ht="22.5" hidden="1" customHeight="1">
      <c r="A4260" s="8">
        <v>46115.33500693287</v>
      </c>
      <c r="B4260" s="14">
        <v>46115.0</v>
      </c>
      <c r="C4260" s="9" t="s">
        <v>48</v>
      </c>
      <c r="D4260" s="9" t="s">
        <v>259</v>
      </c>
      <c r="E4260" s="9" t="s">
        <v>17</v>
      </c>
      <c r="F4260" s="9" t="s">
        <v>39</v>
      </c>
      <c r="G4260" s="9">
        <v>6.0</v>
      </c>
      <c r="H4260" s="9" t="s">
        <v>25</v>
      </c>
      <c r="I4260" s="9" t="s">
        <v>67</v>
      </c>
      <c r="J4260" s="10"/>
      <c r="K4260" s="14" t="s">
        <v>398</v>
      </c>
      <c r="N4260" s="14" t="str">
        <f>IFERROR(__xludf.DUMMYFUNCTION("""COMPUTED_VALUE"""),"")</f>
        <v/>
      </c>
      <c r="O4260" s="14"/>
    </row>
    <row r="4261" ht="22.5" hidden="1" customHeight="1">
      <c r="A4261" s="8">
        <v>46115.3352728125</v>
      </c>
      <c r="B4261" s="14">
        <v>46115.0</v>
      </c>
      <c r="C4261" s="9" t="s">
        <v>48</v>
      </c>
      <c r="D4261" s="9" t="s">
        <v>178</v>
      </c>
      <c r="E4261" s="9" t="s">
        <v>17</v>
      </c>
      <c r="F4261" s="9" t="s">
        <v>39</v>
      </c>
      <c r="G4261" s="9">
        <v>6.0</v>
      </c>
      <c r="H4261" s="9" t="s">
        <v>25</v>
      </c>
      <c r="I4261" s="9" t="s">
        <v>20</v>
      </c>
      <c r="J4261" s="10"/>
      <c r="K4261" s="14" t="s">
        <v>398</v>
      </c>
      <c r="N4261" s="14" t="str">
        <f>IFERROR(__xludf.DUMMYFUNCTION("""COMPUTED_VALUE"""),"")</f>
        <v/>
      </c>
      <c r="O4261" s="14"/>
    </row>
    <row r="4262" ht="22.5" hidden="1" customHeight="1">
      <c r="A4262" s="8">
        <v>46115.33561415509</v>
      </c>
      <c r="B4262" s="14">
        <v>46115.0</v>
      </c>
      <c r="C4262" s="9" t="s">
        <v>48</v>
      </c>
      <c r="D4262" s="9" t="s">
        <v>357</v>
      </c>
      <c r="E4262" s="9" t="s">
        <v>17</v>
      </c>
      <c r="F4262" s="9" t="s">
        <v>17</v>
      </c>
      <c r="G4262" s="9">
        <v>7.0</v>
      </c>
      <c r="H4262" s="9" t="s">
        <v>25</v>
      </c>
      <c r="I4262" s="9" t="s">
        <v>240</v>
      </c>
      <c r="J4262" s="10"/>
      <c r="K4262" s="14">
        <v>3.0</v>
      </c>
      <c r="N4262" s="14" t="str">
        <f>IFERROR(__xludf.DUMMYFUNCTION("""COMPUTED_VALUE"""),"")</f>
        <v/>
      </c>
      <c r="O4262" s="14"/>
    </row>
    <row r="4263" ht="22.5" hidden="1" customHeight="1">
      <c r="A4263" s="8">
        <v>46115.335858136576</v>
      </c>
      <c r="B4263" s="14">
        <v>46115.0</v>
      </c>
      <c r="C4263" s="9" t="s">
        <v>48</v>
      </c>
      <c r="D4263" s="9" t="s">
        <v>280</v>
      </c>
      <c r="E4263" s="9" t="s">
        <v>17</v>
      </c>
      <c r="F4263" s="9" t="s">
        <v>17</v>
      </c>
      <c r="G4263" s="9">
        <v>7.0</v>
      </c>
      <c r="H4263" s="9" t="s">
        <v>22</v>
      </c>
      <c r="I4263" s="9" t="s">
        <v>20</v>
      </c>
      <c r="J4263" s="10"/>
      <c r="K4263" s="14">
        <v>5.0</v>
      </c>
      <c r="N4263" s="14" t="str">
        <f>IFERROR(__xludf.DUMMYFUNCTION("""COMPUTED_VALUE"""),"")</f>
        <v/>
      </c>
      <c r="O4263" s="14"/>
    </row>
    <row r="4264" ht="22.5" hidden="1" customHeight="1">
      <c r="A4264" s="8">
        <v>46115.33631802083</v>
      </c>
      <c r="B4264" s="14">
        <v>46115.0</v>
      </c>
      <c r="C4264" s="9" t="s">
        <v>48</v>
      </c>
      <c r="D4264" s="9" t="s">
        <v>335</v>
      </c>
      <c r="E4264" s="9" t="s">
        <v>17</v>
      </c>
      <c r="F4264" s="9" t="s">
        <v>17</v>
      </c>
      <c r="G4264" s="9">
        <v>8.0</v>
      </c>
      <c r="H4264" s="9" t="s">
        <v>25</v>
      </c>
      <c r="I4264" s="9" t="s">
        <v>411</v>
      </c>
      <c r="J4264" s="10"/>
      <c r="K4264" s="14">
        <v>4.0</v>
      </c>
      <c r="N4264" s="14" t="str">
        <f>IFERROR(__xludf.DUMMYFUNCTION("""COMPUTED_VALUE"""),"")</f>
        <v/>
      </c>
      <c r="O4264" s="14"/>
    </row>
    <row r="4265" ht="22.5" hidden="1" customHeight="1">
      <c r="A4265" s="8">
        <v>46115.33649548611</v>
      </c>
      <c r="B4265" s="14">
        <v>46115.0</v>
      </c>
      <c r="C4265" s="9" t="s">
        <v>48</v>
      </c>
      <c r="D4265" s="9" t="s">
        <v>174</v>
      </c>
      <c r="E4265" s="9" t="s">
        <v>17</v>
      </c>
      <c r="F4265" s="9" t="s">
        <v>17</v>
      </c>
      <c r="G4265" s="9">
        <v>8.0</v>
      </c>
      <c r="H4265" s="9" t="s">
        <v>22</v>
      </c>
      <c r="I4265" s="9" t="s">
        <v>20</v>
      </c>
      <c r="J4265" s="10"/>
      <c r="K4265" s="14">
        <v>3.0</v>
      </c>
      <c r="N4265" s="14" t="str">
        <f>IFERROR(__xludf.DUMMYFUNCTION("""COMPUTED_VALUE"""),"")</f>
        <v/>
      </c>
      <c r="O4265" s="14"/>
    </row>
    <row r="4266" ht="22.5" hidden="1" customHeight="1">
      <c r="A4266" s="8">
        <v>46115.336760694445</v>
      </c>
      <c r="B4266" s="14">
        <v>46115.0</v>
      </c>
      <c r="C4266" s="9" t="s">
        <v>48</v>
      </c>
      <c r="D4266" s="9" t="s">
        <v>369</v>
      </c>
      <c r="E4266" s="9" t="s">
        <v>17</v>
      </c>
      <c r="F4266" s="9" t="s">
        <v>17</v>
      </c>
      <c r="G4266" s="9">
        <v>7.0</v>
      </c>
      <c r="H4266" s="9" t="s">
        <v>22</v>
      </c>
      <c r="I4266" s="9" t="s">
        <v>20</v>
      </c>
      <c r="J4266" s="10"/>
      <c r="K4266" s="14">
        <v>4.0</v>
      </c>
      <c r="N4266" s="14" t="str">
        <f>IFERROR(__xludf.DUMMYFUNCTION("""COMPUTED_VALUE"""),"")</f>
        <v/>
      </c>
      <c r="O4266" s="14"/>
    </row>
    <row r="4267" ht="22.5" hidden="1" customHeight="1">
      <c r="A4267" s="8">
        <v>46115.33705340278</v>
      </c>
      <c r="B4267" s="14">
        <v>46115.0</v>
      </c>
      <c r="C4267" s="9" t="s">
        <v>48</v>
      </c>
      <c r="D4267" s="9" t="s">
        <v>423</v>
      </c>
      <c r="E4267" s="9" t="s">
        <v>17</v>
      </c>
      <c r="F4267" s="9" t="s">
        <v>17</v>
      </c>
      <c r="G4267" s="9">
        <v>6.0</v>
      </c>
      <c r="H4267" s="9" t="s">
        <v>22</v>
      </c>
      <c r="I4267" s="9" t="s">
        <v>20</v>
      </c>
      <c r="J4267" s="10"/>
      <c r="K4267" s="14">
        <v>4.0</v>
      </c>
      <c r="N4267" s="14" t="str">
        <f>IFERROR(__xludf.DUMMYFUNCTION("""COMPUTED_VALUE"""),"")</f>
        <v/>
      </c>
      <c r="O4267" s="14"/>
    </row>
    <row r="4268" ht="22.5" hidden="1" customHeight="1">
      <c r="A4268" s="8">
        <v>46115.33746077547</v>
      </c>
      <c r="B4268" s="14">
        <v>46115.0</v>
      </c>
      <c r="C4268" s="9" t="s">
        <v>48</v>
      </c>
      <c r="D4268" s="9" t="s">
        <v>408</v>
      </c>
      <c r="E4268" s="9" t="s">
        <v>17</v>
      </c>
      <c r="F4268" s="9" t="s">
        <v>17</v>
      </c>
      <c r="G4268" s="9">
        <v>7.0</v>
      </c>
      <c r="H4268" s="9" t="s">
        <v>22</v>
      </c>
      <c r="I4268" s="9" t="s">
        <v>20</v>
      </c>
      <c r="J4268" s="10"/>
      <c r="K4268" s="14">
        <v>3.0</v>
      </c>
      <c r="N4268" s="14" t="str">
        <f>IFERROR(__xludf.DUMMYFUNCTION("""COMPUTED_VALUE"""),"")</f>
        <v/>
      </c>
      <c r="O4268" s="14"/>
    </row>
    <row r="4269" ht="22.5" hidden="1" customHeight="1">
      <c r="A4269" s="8">
        <v>46115.33776484954</v>
      </c>
      <c r="B4269" s="14">
        <v>46115.0</v>
      </c>
      <c r="C4269" s="9" t="s">
        <v>48</v>
      </c>
      <c r="D4269" s="9" t="s">
        <v>350</v>
      </c>
      <c r="E4269" s="9" t="s">
        <v>17</v>
      </c>
      <c r="F4269" s="9" t="s">
        <v>17</v>
      </c>
      <c r="G4269" s="9">
        <v>7.0</v>
      </c>
      <c r="H4269" s="9" t="s">
        <v>22</v>
      </c>
      <c r="I4269" s="9" t="s">
        <v>20</v>
      </c>
      <c r="J4269" s="10"/>
      <c r="K4269" s="14">
        <v>3.0</v>
      </c>
      <c r="N4269" s="14" t="str">
        <f>IFERROR(__xludf.DUMMYFUNCTION("""COMPUTED_VALUE"""),"")</f>
        <v/>
      </c>
      <c r="O4269" s="14"/>
    </row>
    <row r="4270" ht="22.5" hidden="1" customHeight="1">
      <c r="A4270" s="8">
        <v>46115.338056967594</v>
      </c>
      <c r="B4270" s="14">
        <v>46115.0</v>
      </c>
      <c r="C4270" s="9" t="s">
        <v>48</v>
      </c>
      <c r="D4270" s="9" t="s">
        <v>105</v>
      </c>
      <c r="E4270" s="9" t="s">
        <v>17</v>
      </c>
      <c r="F4270" s="9" t="s">
        <v>17</v>
      </c>
      <c r="G4270" s="9">
        <v>7.0</v>
      </c>
      <c r="H4270" s="9" t="s">
        <v>22</v>
      </c>
      <c r="I4270" s="9" t="s">
        <v>20</v>
      </c>
      <c r="J4270" s="10"/>
      <c r="K4270" s="14">
        <v>2.0</v>
      </c>
      <c r="N4270" s="14" t="str">
        <f>IFERROR(__xludf.DUMMYFUNCTION("""COMPUTED_VALUE"""),"")</f>
        <v/>
      </c>
      <c r="O4270" s="14"/>
    </row>
    <row r="4271" ht="22.5" hidden="1" customHeight="1">
      <c r="A4271" s="8">
        <v>46115.33824946759</v>
      </c>
      <c r="B4271" s="14">
        <v>46115.0</v>
      </c>
      <c r="C4271" s="9" t="s">
        <v>48</v>
      </c>
      <c r="D4271" s="9" t="s">
        <v>171</v>
      </c>
      <c r="E4271" s="9" t="s">
        <v>17</v>
      </c>
      <c r="F4271" s="9" t="s">
        <v>17</v>
      </c>
      <c r="G4271" s="9">
        <v>7.0</v>
      </c>
      <c r="H4271" s="9" t="s">
        <v>22</v>
      </c>
      <c r="I4271" s="9" t="s">
        <v>20</v>
      </c>
      <c r="J4271" s="10"/>
      <c r="K4271" s="14">
        <v>4.0</v>
      </c>
      <c r="N4271" s="14" t="str">
        <f>IFERROR(__xludf.DUMMYFUNCTION("""COMPUTED_VALUE"""),"")</f>
        <v/>
      </c>
      <c r="O4271" s="14"/>
    </row>
    <row r="4272" ht="22.5" hidden="1" customHeight="1">
      <c r="A4272" s="8">
        <v>46115.34362509259</v>
      </c>
      <c r="B4272" s="14">
        <v>46115.0</v>
      </c>
      <c r="C4272" s="9" t="s">
        <v>48</v>
      </c>
      <c r="D4272" s="9" t="s">
        <v>175</v>
      </c>
      <c r="E4272" s="9" t="s">
        <v>17</v>
      </c>
      <c r="F4272" s="9" t="s">
        <v>17</v>
      </c>
      <c r="G4272" s="9">
        <v>7.0</v>
      </c>
      <c r="H4272" s="9" t="s">
        <v>25</v>
      </c>
      <c r="I4272" s="9" t="s">
        <v>218</v>
      </c>
      <c r="J4272" s="10"/>
      <c r="K4272" s="14">
        <v>5.0</v>
      </c>
      <c r="N4272" s="14" t="str">
        <f>IFERROR(__xludf.DUMMYFUNCTION("""COMPUTED_VALUE"""),"")</f>
        <v/>
      </c>
      <c r="O4272" s="14"/>
    </row>
    <row r="4273" ht="22.5" hidden="1" customHeight="1">
      <c r="A4273" s="8">
        <v>46115.34534497686</v>
      </c>
      <c r="B4273" s="14">
        <v>46115.0</v>
      </c>
      <c r="C4273" s="9" t="s">
        <v>48</v>
      </c>
      <c r="D4273" s="9" t="s">
        <v>393</v>
      </c>
      <c r="E4273" s="9" t="s">
        <v>17</v>
      </c>
      <c r="F4273" s="9" t="s">
        <v>17</v>
      </c>
      <c r="G4273" s="9">
        <v>7.0</v>
      </c>
      <c r="H4273" s="9" t="s">
        <v>22</v>
      </c>
      <c r="I4273" s="9" t="s">
        <v>20</v>
      </c>
      <c r="J4273" s="10"/>
      <c r="K4273" s="14">
        <v>3.0</v>
      </c>
      <c r="N4273" s="14" t="str">
        <f>IFERROR(__xludf.DUMMYFUNCTION("""COMPUTED_VALUE"""),"")</f>
        <v/>
      </c>
      <c r="O4273" s="14"/>
    </row>
    <row r="4274" ht="22.5" hidden="1" customHeight="1">
      <c r="A4274" s="8">
        <v>46115.345658645834</v>
      </c>
      <c r="B4274" s="14">
        <v>46115.0</v>
      </c>
      <c r="C4274" s="9" t="s">
        <v>48</v>
      </c>
      <c r="D4274" s="9" t="s">
        <v>258</v>
      </c>
      <c r="E4274" s="9" t="s">
        <v>17</v>
      </c>
      <c r="F4274" s="9" t="s">
        <v>17</v>
      </c>
      <c r="G4274" s="9">
        <v>7.0</v>
      </c>
      <c r="H4274" s="9" t="s">
        <v>22</v>
      </c>
      <c r="I4274" s="9" t="s">
        <v>20</v>
      </c>
      <c r="J4274" s="10"/>
      <c r="K4274" s="14">
        <v>3.0</v>
      </c>
      <c r="N4274" s="14" t="str">
        <f>IFERROR(__xludf.DUMMYFUNCTION("""COMPUTED_VALUE"""),"")</f>
        <v/>
      </c>
      <c r="O4274" s="14"/>
    </row>
    <row r="4275" ht="22.5" hidden="1" customHeight="1">
      <c r="A4275" s="8">
        <v>46115.34622232639</v>
      </c>
      <c r="B4275" s="14">
        <v>46115.0</v>
      </c>
      <c r="C4275" s="9" t="s">
        <v>48</v>
      </c>
      <c r="D4275" s="9" t="s">
        <v>177</v>
      </c>
      <c r="E4275" s="9" t="s">
        <v>17</v>
      </c>
      <c r="F4275" s="9" t="s">
        <v>17</v>
      </c>
      <c r="G4275" s="9">
        <v>7.0</v>
      </c>
      <c r="H4275" s="9" t="s">
        <v>25</v>
      </c>
      <c r="I4275" s="9" t="s">
        <v>266</v>
      </c>
      <c r="J4275" s="10"/>
      <c r="K4275" s="14">
        <v>3.0</v>
      </c>
      <c r="N4275" s="14" t="str">
        <f>IFERROR(__xludf.DUMMYFUNCTION("""COMPUTED_VALUE"""),"")</f>
        <v/>
      </c>
      <c r="O4275" s="14"/>
    </row>
    <row r="4276" ht="22.5" hidden="1" customHeight="1">
      <c r="A4276" s="8">
        <v>46115.347234664354</v>
      </c>
      <c r="B4276" s="14">
        <v>46115.0</v>
      </c>
      <c r="C4276" s="9" t="s">
        <v>48</v>
      </c>
      <c r="D4276" s="9" t="s">
        <v>421</v>
      </c>
      <c r="E4276" s="9" t="s">
        <v>17</v>
      </c>
      <c r="F4276" s="9" t="s">
        <v>17</v>
      </c>
      <c r="G4276" s="9">
        <v>7.0</v>
      </c>
      <c r="H4276" s="9" t="s">
        <v>22</v>
      </c>
      <c r="I4276" s="9" t="s">
        <v>20</v>
      </c>
      <c r="J4276" s="10"/>
      <c r="K4276" s="14">
        <v>2.0</v>
      </c>
      <c r="N4276" s="14" t="str">
        <f>IFERROR(__xludf.DUMMYFUNCTION("""COMPUTED_VALUE"""),"")</f>
        <v/>
      </c>
      <c r="O4276" s="14"/>
    </row>
    <row r="4277" ht="22.5" hidden="1" customHeight="1">
      <c r="A4277" s="8">
        <v>46115.348784965274</v>
      </c>
      <c r="B4277" s="14">
        <v>46115.0</v>
      </c>
      <c r="C4277" s="9" t="s">
        <v>48</v>
      </c>
      <c r="D4277" s="9" t="s">
        <v>414</v>
      </c>
      <c r="E4277" s="9" t="s">
        <v>17</v>
      </c>
      <c r="F4277" s="9" t="s">
        <v>17</v>
      </c>
      <c r="G4277" s="9">
        <v>7.0</v>
      </c>
      <c r="H4277" s="9" t="s">
        <v>25</v>
      </c>
      <c r="I4277" s="9" t="s">
        <v>20</v>
      </c>
      <c r="J4277" s="10"/>
      <c r="K4277" s="14">
        <v>5.0</v>
      </c>
      <c r="N4277" s="14" t="str">
        <f>IFERROR(__xludf.DUMMYFUNCTION("""COMPUTED_VALUE"""),"")</f>
        <v/>
      </c>
      <c r="O4277" s="14"/>
    </row>
    <row r="4278" ht="22.5" hidden="1" customHeight="1">
      <c r="A4278" s="8">
        <v>46115.36154788194</v>
      </c>
      <c r="B4278" s="14">
        <v>46115.0</v>
      </c>
      <c r="C4278" s="9" t="s">
        <v>48</v>
      </c>
      <c r="D4278" s="9" t="s">
        <v>396</v>
      </c>
      <c r="E4278" s="9" t="s">
        <v>17</v>
      </c>
      <c r="F4278" s="9" t="s">
        <v>17</v>
      </c>
      <c r="G4278" s="9">
        <v>7.0</v>
      </c>
      <c r="H4278" s="9" t="s">
        <v>22</v>
      </c>
      <c r="I4278" s="9" t="s">
        <v>20</v>
      </c>
      <c r="J4278" s="10"/>
      <c r="K4278" s="14">
        <v>3.0</v>
      </c>
      <c r="N4278" s="14" t="str">
        <f>IFERROR(__xludf.DUMMYFUNCTION("""COMPUTED_VALUE"""),"")</f>
        <v/>
      </c>
      <c r="O4278" s="14"/>
    </row>
    <row r="4279" ht="22.5" hidden="1" customHeight="1">
      <c r="A4279" s="8">
        <v>46115.36174046296</v>
      </c>
      <c r="B4279" s="14">
        <v>46115.0</v>
      </c>
      <c r="C4279" s="9" t="s">
        <v>48</v>
      </c>
      <c r="D4279" s="9" t="s">
        <v>210</v>
      </c>
      <c r="E4279" s="9" t="s">
        <v>17</v>
      </c>
      <c r="F4279" s="9" t="s">
        <v>17</v>
      </c>
      <c r="G4279" s="9">
        <v>7.0</v>
      </c>
      <c r="H4279" s="9" t="s">
        <v>22</v>
      </c>
      <c r="I4279" s="9" t="s">
        <v>20</v>
      </c>
      <c r="J4279" s="10"/>
      <c r="K4279" s="14">
        <v>4.0</v>
      </c>
      <c r="N4279" s="14" t="str">
        <f>IFERROR(__xludf.DUMMYFUNCTION("""COMPUTED_VALUE"""),"")</f>
        <v/>
      </c>
      <c r="O4279" s="14"/>
    </row>
    <row r="4280" ht="22.5" hidden="1" customHeight="1">
      <c r="A4280" s="8">
        <v>46118.66123370371</v>
      </c>
      <c r="B4280" s="14">
        <v>46118.0</v>
      </c>
      <c r="C4280" s="9" t="s">
        <v>86</v>
      </c>
      <c r="D4280" s="9" t="s">
        <v>412</v>
      </c>
      <c r="E4280" s="9" t="s">
        <v>17</v>
      </c>
      <c r="F4280" s="9" t="s">
        <v>17</v>
      </c>
      <c r="G4280" s="9" t="s">
        <v>409</v>
      </c>
      <c r="H4280" s="9" t="s">
        <v>22</v>
      </c>
      <c r="I4280" s="9" t="s">
        <v>20</v>
      </c>
      <c r="J4280" s="10"/>
      <c r="K4280" s="14" t="s">
        <v>398</v>
      </c>
      <c r="N4280" s="14" t="str">
        <f>IFERROR(__xludf.DUMMYFUNCTION("""COMPUTED_VALUE"""),"")</f>
        <v/>
      </c>
      <c r="O4280" s="14"/>
    </row>
    <row r="4281" ht="22.5" hidden="1" customHeight="1">
      <c r="A4281" s="8">
        <v>46118.661789861115</v>
      </c>
      <c r="B4281" s="14">
        <v>46118.0</v>
      </c>
      <c r="C4281" s="9" t="s">
        <v>86</v>
      </c>
      <c r="D4281" s="9" t="s">
        <v>247</v>
      </c>
      <c r="E4281" s="9" t="s">
        <v>17</v>
      </c>
      <c r="F4281" s="9" t="s">
        <v>17</v>
      </c>
      <c r="G4281" s="9">
        <v>7.0</v>
      </c>
      <c r="H4281" s="9" t="s">
        <v>62</v>
      </c>
      <c r="I4281" s="9" t="s">
        <v>240</v>
      </c>
      <c r="J4281" s="10"/>
      <c r="K4281" s="14" t="s">
        <v>398</v>
      </c>
      <c r="N4281" s="14" t="str">
        <f>IFERROR(__xludf.DUMMYFUNCTION("""COMPUTED_VALUE"""),"")</f>
        <v/>
      </c>
      <c r="O4281" s="14"/>
    </row>
    <row r="4282" ht="22.5" hidden="1" customHeight="1">
      <c r="A4282" s="8">
        <v>46118.66227025463</v>
      </c>
      <c r="B4282" s="14">
        <v>46118.0</v>
      </c>
      <c r="C4282" s="9" t="s">
        <v>86</v>
      </c>
      <c r="D4282" s="9" t="s">
        <v>421</v>
      </c>
      <c r="E4282" s="9" t="s">
        <v>46</v>
      </c>
      <c r="F4282" s="9" t="s">
        <v>17</v>
      </c>
      <c r="G4282" s="9">
        <v>7.0</v>
      </c>
      <c r="H4282" s="9" t="s">
        <v>17</v>
      </c>
      <c r="I4282" s="9" t="s">
        <v>20</v>
      </c>
      <c r="J4282" s="10"/>
      <c r="K4282" s="14" t="s">
        <v>398</v>
      </c>
      <c r="N4282" s="14" t="str">
        <f>IFERROR(__xludf.DUMMYFUNCTION("""COMPUTED_VALUE"""),"")</f>
        <v/>
      </c>
      <c r="O4282" s="14"/>
    </row>
    <row r="4283" ht="22.5" hidden="1" customHeight="1">
      <c r="A4283" s="8">
        <v>46118.663041458334</v>
      </c>
      <c r="B4283" s="14">
        <v>46118.0</v>
      </c>
      <c r="C4283" s="9" t="s">
        <v>86</v>
      </c>
      <c r="D4283" s="9" t="s">
        <v>178</v>
      </c>
      <c r="E4283" s="9" t="s">
        <v>140</v>
      </c>
      <c r="F4283" s="9" t="s">
        <v>17</v>
      </c>
      <c r="G4283" s="9">
        <v>7.0</v>
      </c>
      <c r="H4283" s="9" t="s">
        <v>17</v>
      </c>
      <c r="I4283" s="9" t="s">
        <v>432</v>
      </c>
      <c r="J4283" s="10"/>
      <c r="K4283" s="14" t="s">
        <v>398</v>
      </c>
      <c r="N4283" s="14" t="str">
        <f>IFERROR(__xludf.DUMMYFUNCTION("""COMPUTED_VALUE"""),"")</f>
        <v/>
      </c>
      <c r="O4283" s="14"/>
    </row>
    <row r="4284" ht="22.5" hidden="1" customHeight="1">
      <c r="A4284" s="8">
        <v>46118.66368644676</v>
      </c>
      <c r="B4284" s="14">
        <v>46118.0</v>
      </c>
      <c r="C4284" s="9" t="s">
        <v>86</v>
      </c>
      <c r="D4284" s="9" t="s">
        <v>257</v>
      </c>
      <c r="E4284" s="9" t="s">
        <v>17</v>
      </c>
      <c r="F4284" s="9" t="s">
        <v>17</v>
      </c>
      <c r="G4284" s="9">
        <v>8.0</v>
      </c>
      <c r="H4284" s="9" t="s">
        <v>17</v>
      </c>
      <c r="I4284" s="9" t="s">
        <v>26</v>
      </c>
      <c r="J4284" s="10"/>
      <c r="K4284" s="14" t="s">
        <v>398</v>
      </c>
      <c r="N4284" s="14" t="str">
        <f>IFERROR(__xludf.DUMMYFUNCTION("""COMPUTED_VALUE"""),"")</f>
        <v/>
      </c>
      <c r="O4284" s="14"/>
    </row>
    <row r="4285" ht="22.5" hidden="1" customHeight="1">
      <c r="A4285" s="8">
        <v>46118.66404081018</v>
      </c>
      <c r="B4285" s="14">
        <v>46118.0</v>
      </c>
      <c r="C4285" s="9" t="s">
        <v>86</v>
      </c>
      <c r="D4285" s="9" t="s">
        <v>280</v>
      </c>
      <c r="E4285" s="9" t="s">
        <v>17</v>
      </c>
      <c r="F4285" s="9" t="s">
        <v>17</v>
      </c>
      <c r="G4285" s="9">
        <v>7.0</v>
      </c>
      <c r="H4285" s="9" t="s">
        <v>17</v>
      </c>
      <c r="I4285" s="9" t="s">
        <v>20</v>
      </c>
      <c r="J4285" s="10"/>
      <c r="K4285" s="14" t="s">
        <v>398</v>
      </c>
      <c r="N4285" s="14" t="str">
        <f>IFERROR(__xludf.DUMMYFUNCTION("""COMPUTED_VALUE"""),"")</f>
        <v/>
      </c>
      <c r="O4285" s="14"/>
    </row>
    <row r="4286" ht="22.5" hidden="1" customHeight="1">
      <c r="A4286" s="8">
        <v>46118.66460337963</v>
      </c>
      <c r="B4286" s="14">
        <v>46118.0</v>
      </c>
      <c r="C4286" s="9" t="s">
        <v>86</v>
      </c>
      <c r="D4286" s="9" t="s">
        <v>177</v>
      </c>
      <c r="E4286" s="9" t="s">
        <v>17</v>
      </c>
      <c r="F4286" s="9" t="s">
        <v>17</v>
      </c>
      <c r="G4286" s="9">
        <v>6.0</v>
      </c>
      <c r="H4286" s="9" t="s">
        <v>25</v>
      </c>
      <c r="I4286" s="9" t="s">
        <v>207</v>
      </c>
      <c r="J4286" s="10"/>
      <c r="K4286" s="14" t="s">
        <v>398</v>
      </c>
      <c r="N4286" s="14" t="str">
        <f>IFERROR(__xludf.DUMMYFUNCTION("""COMPUTED_VALUE"""),"")</f>
        <v/>
      </c>
      <c r="O4286" s="14"/>
    </row>
    <row r="4287" ht="22.5" hidden="1" customHeight="1">
      <c r="A4287" s="8">
        <v>46118.664943055555</v>
      </c>
      <c r="B4287" s="14">
        <v>46118.0</v>
      </c>
      <c r="C4287" s="9" t="s">
        <v>86</v>
      </c>
      <c r="D4287" s="9" t="s">
        <v>249</v>
      </c>
      <c r="E4287" s="9" t="s">
        <v>17</v>
      </c>
      <c r="F4287" s="9" t="s">
        <v>17</v>
      </c>
      <c r="G4287" s="9">
        <v>8.0</v>
      </c>
      <c r="H4287" s="9" t="s">
        <v>17</v>
      </c>
      <c r="I4287" s="9" t="s">
        <v>20</v>
      </c>
      <c r="J4287" s="10"/>
      <c r="K4287" s="14" t="s">
        <v>398</v>
      </c>
      <c r="N4287" s="14" t="str">
        <f>IFERROR(__xludf.DUMMYFUNCTION("""COMPUTED_VALUE"""),"")</f>
        <v/>
      </c>
      <c r="O4287" s="14"/>
    </row>
    <row r="4288" ht="22.5" hidden="1" customHeight="1">
      <c r="A4288" s="8">
        <v>46118.665407141205</v>
      </c>
      <c r="B4288" s="14">
        <v>46118.0</v>
      </c>
      <c r="C4288" s="9" t="s">
        <v>86</v>
      </c>
      <c r="D4288" s="9" t="s">
        <v>357</v>
      </c>
      <c r="E4288" s="9" t="s">
        <v>61</v>
      </c>
      <c r="F4288" s="9" t="s">
        <v>17</v>
      </c>
      <c r="G4288" s="9">
        <v>8.0</v>
      </c>
      <c r="H4288" s="9" t="s">
        <v>25</v>
      </c>
      <c r="I4288" s="9" t="s">
        <v>240</v>
      </c>
      <c r="J4288" s="10"/>
      <c r="K4288" s="14" t="s">
        <v>398</v>
      </c>
      <c r="N4288" s="14" t="str">
        <f>IFERROR(__xludf.DUMMYFUNCTION("""COMPUTED_VALUE"""),"")</f>
        <v/>
      </c>
      <c r="O4288" s="14"/>
    </row>
    <row r="4289" ht="22.5" hidden="1" customHeight="1">
      <c r="A4289" s="8">
        <v>46118.66583702546</v>
      </c>
      <c r="B4289" s="14">
        <v>46118.0</v>
      </c>
      <c r="C4289" s="9" t="s">
        <v>86</v>
      </c>
      <c r="D4289" s="9" t="s">
        <v>174</v>
      </c>
      <c r="E4289" s="9" t="s">
        <v>17</v>
      </c>
      <c r="F4289" s="9" t="s">
        <v>17</v>
      </c>
      <c r="G4289" s="9">
        <v>8.0</v>
      </c>
      <c r="H4289" s="9" t="s">
        <v>17</v>
      </c>
      <c r="I4289" s="9" t="s">
        <v>20</v>
      </c>
      <c r="J4289" s="10"/>
      <c r="K4289" s="14" t="s">
        <v>398</v>
      </c>
      <c r="N4289" s="14" t="str">
        <f>IFERROR(__xludf.DUMMYFUNCTION("""COMPUTED_VALUE"""),"")</f>
        <v/>
      </c>
      <c r="O4289" s="14"/>
    </row>
    <row r="4290" ht="22.5" hidden="1" customHeight="1">
      <c r="A4290" s="8">
        <v>46118.66637334491</v>
      </c>
      <c r="B4290" s="14">
        <v>46118.0</v>
      </c>
      <c r="C4290" s="9" t="s">
        <v>86</v>
      </c>
      <c r="D4290" s="9" t="s">
        <v>395</v>
      </c>
      <c r="E4290" s="9" t="s">
        <v>61</v>
      </c>
      <c r="F4290" s="9" t="s">
        <v>60</v>
      </c>
      <c r="G4290" s="9">
        <v>7.0</v>
      </c>
      <c r="H4290" s="9" t="s">
        <v>17</v>
      </c>
      <c r="I4290" s="9" t="s">
        <v>20</v>
      </c>
      <c r="J4290" s="10"/>
      <c r="K4290" s="14" t="s">
        <v>398</v>
      </c>
      <c r="N4290" s="14" t="str">
        <f>IFERROR(__xludf.DUMMYFUNCTION("""COMPUTED_VALUE"""),"")</f>
        <v/>
      </c>
      <c r="O4290" s="14"/>
    </row>
    <row r="4291" ht="22.5" hidden="1" customHeight="1">
      <c r="A4291" s="8">
        <v>46118.66705371528</v>
      </c>
      <c r="B4291" s="14">
        <v>46118.0</v>
      </c>
      <c r="C4291" s="9" t="s">
        <v>86</v>
      </c>
      <c r="D4291" s="9" t="s">
        <v>210</v>
      </c>
      <c r="E4291" s="9" t="s">
        <v>17</v>
      </c>
      <c r="F4291" s="9" t="s">
        <v>17</v>
      </c>
      <c r="G4291" s="9" t="s">
        <v>409</v>
      </c>
      <c r="H4291" s="9" t="s">
        <v>22</v>
      </c>
      <c r="I4291" s="9" t="s">
        <v>20</v>
      </c>
      <c r="J4291" s="10"/>
      <c r="K4291" s="14" t="s">
        <v>398</v>
      </c>
      <c r="N4291" s="14" t="str">
        <f>IFERROR(__xludf.DUMMYFUNCTION("""COMPUTED_VALUE"""),"")</f>
        <v/>
      </c>
      <c r="O4291" s="14"/>
    </row>
    <row r="4292" ht="22.5" hidden="1" customHeight="1">
      <c r="A4292" s="8">
        <v>46118.667430636575</v>
      </c>
      <c r="B4292" s="14">
        <v>46118.0</v>
      </c>
      <c r="C4292" s="9" t="s">
        <v>86</v>
      </c>
      <c r="D4292" s="9" t="s">
        <v>369</v>
      </c>
      <c r="E4292" s="9" t="s">
        <v>46</v>
      </c>
      <c r="F4292" s="9" t="s">
        <v>17</v>
      </c>
      <c r="G4292" s="9">
        <v>8.0</v>
      </c>
      <c r="H4292" s="9" t="s">
        <v>17</v>
      </c>
      <c r="I4292" s="9" t="s">
        <v>20</v>
      </c>
      <c r="J4292" s="10"/>
      <c r="K4292" s="14" t="s">
        <v>398</v>
      </c>
      <c r="N4292" s="14" t="str">
        <f>IFERROR(__xludf.DUMMYFUNCTION("""COMPUTED_VALUE"""),"")</f>
        <v/>
      </c>
      <c r="O4292" s="14"/>
    </row>
    <row r="4293" ht="22.5" hidden="1" customHeight="1">
      <c r="A4293" s="8">
        <v>46118.668231724536</v>
      </c>
      <c r="B4293" s="14">
        <v>46118.0</v>
      </c>
      <c r="C4293" s="9" t="s">
        <v>86</v>
      </c>
      <c r="D4293" s="9" t="s">
        <v>350</v>
      </c>
      <c r="E4293" s="9" t="s">
        <v>17</v>
      </c>
      <c r="F4293" s="9" t="s">
        <v>17</v>
      </c>
      <c r="G4293" s="9">
        <v>8.0</v>
      </c>
      <c r="H4293" s="9" t="s">
        <v>22</v>
      </c>
      <c r="I4293" s="9" t="s">
        <v>20</v>
      </c>
      <c r="J4293" s="10"/>
      <c r="K4293" s="14" t="s">
        <v>398</v>
      </c>
      <c r="N4293" s="14" t="str">
        <f>IFERROR(__xludf.DUMMYFUNCTION("""COMPUTED_VALUE"""),"")</f>
        <v/>
      </c>
      <c r="O4293" s="14"/>
    </row>
    <row r="4294" ht="22.5" hidden="1" customHeight="1">
      <c r="A4294" s="8">
        <v>46118.66878424768</v>
      </c>
      <c r="B4294" s="14">
        <v>46118.0</v>
      </c>
      <c r="C4294" s="9" t="s">
        <v>86</v>
      </c>
      <c r="D4294" s="9" t="s">
        <v>396</v>
      </c>
      <c r="E4294" s="9" t="s">
        <v>61</v>
      </c>
      <c r="F4294" s="9" t="s">
        <v>60</v>
      </c>
      <c r="G4294" s="9">
        <v>6.0</v>
      </c>
      <c r="H4294" s="9" t="s">
        <v>17</v>
      </c>
      <c r="I4294" s="9" t="s">
        <v>20</v>
      </c>
      <c r="J4294" s="10"/>
      <c r="K4294" s="14" t="s">
        <v>398</v>
      </c>
      <c r="N4294" s="14" t="str">
        <f>IFERROR(__xludf.DUMMYFUNCTION("""COMPUTED_VALUE"""),"")</f>
        <v/>
      </c>
      <c r="O4294" s="14"/>
    </row>
    <row r="4295" ht="22.5" hidden="1" customHeight="1">
      <c r="A4295" s="8">
        <v>46118.669543067124</v>
      </c>
      <c r="B4295" s="14">
        <v>46118.0</v>
      </c>
      <c r="C4295" s="9" t="s">
        <v>86</v>
      </c>
      <c r="D4295" s="9" t="s">
        <v>335</v>
      </c>
      <c r="E4295" s="9" t="s">
        <v>17</v>
      </c>
      <c r="F4295" s="9" t="s">
        <v>17</v>
      </c>
      <c r="G4295" s="9">
        <v>7.0</v>
      </c>
      <c r="H4295" s="9" t="s">
        <v>25</v>
      </c>
      <c r="I4295" s="9" t="s">
        <v>433</v>
      </c>
      <c r="J4295" s="10"/>
      <c r="K4295" s="14" t="s">
        <v>398</v>
      </c>
      <c r="N4295" s="14" t="str">
        <f>IFERROR(__xludf.DUMMYFUNCTION("""COMPUTED_VALUE"""),"")</f>
        <v/>
      </c>
      <c r="O4295" s="14"/>
    </row>
    <row r="4296" ht="22.5" hidden="1" customHeight="1">
      <c r="A4296" s="8">
        <v>46118.669966875</v>
      </c>
      <c r="B4296" s="14">
        <v>46118.0</v>
      </c>
      <c r="C4296" s="9" t="s">
        <v>86</v>
      </c>
      <c r="D4296" s="9" t="s">
        <v>171</v>
      </c>
      <c r="E4296" s="9" t="s">
        <v>17</v>
      </c>
      <c r="F4296" s="9" t="s">
        <v>17</v>
      </c>
      <c r="G4296" s="9" t="s">
        <v>409</v>
      </c>
      <c r="H4296" s="9" t="s">
        <v>22</v>
      </c>
      <c r="I4296" s="9" t="s">
        <v>20</v>
      </c>
      <c r="J4296" s="10"/>
      <c r="K4296" s="14" t="s">
        <v>398</v>
      </c>
      <c r="N4296" s="14" t="str">
        <f>IFERROR(__xludf.DUMMYFUNCTION("""COMPUTED_VALUE"""),"")</f>
        <v/>
      </c>
      <c r="O4296" s="14"/>
    </row>
    <row r="4297" ht="22.5" hidden="1" customHeight="1">
      <c r="A4297" s="8">
        <v>46118.67026265046</v>
      </c>
      <c r="B4297" s="14">
        <v>46118.0</v>
      </c>
      <c r="C4297" s="9" t="s">
        <v>86</v>
      </c>
      <c r="D4297" s="9" t="s">
        <v>423</v>
      </c>
      <c r="E4297" s="9" t="s">
        <v>17</v>
      </c>
      <c r="F4297" s="9" t="s">
        <v>17</v>
      </c>
      <c r="G4297" s="9">
        <v>8.0</v>
      </c>
      <c r="H4297" s="9" t="s">
        <v>22</v>
      </c>
      <c r="I4297" s="9" t="s">
        <v>20</v>
      </c>
      <c r="J4297" s="10"/>
      <c r="K4297" s="14" t="s">
        <v>398</v>
      </c>
      <c r="N4297" s="14" t="str">
        <f>IFERROR(__xludf.DUMMYFUNCTION("""COMPUTED_VALUE"""),"")</f>
        <v/>
      </c>
      <c r="O4297" s="14"/>
    </row>
    <row r="4298" ht="22.5" hidden="1" customHeight="1">
      <c r="A4298" s="8">
        <v>46121.38621373843</v>
      </c>
      <c r="B4298" s="14">
        <v>46121.0</v>
      </c>
      <c r="C4298" s="9" t="s">
        <v>31</v>
      </c>
      <c r="D4298" s="9" t="s">
        <v>280</v>
      </c>
      <c r="E4298" s="9" t="s">
        <v>17</v>
      </c>
      <c r="F4298" s="9" t="s">
        <v>17</v>
      </c>
      <c r="G4298" s="9">
        <v>7.0</v>
      </c>
      <c r="H4298" s="9" t="s">
        <v>22</v>
      </c>
      <c r="I4298" s="9" t="s">
        <v>20</v>
      </c>
      <c r="J4298" s="10"/>
      <c r="K4298" s="14" t="s">
        <v>398</v>
      </c>
      <c r="N4298" s="14" t="str">
        <f>IFERROR(__xludf.DUMMYFUNCTION("""COMPUTED_VALUE"""),"")</f>
        <v/>
      </c>
      <c r="O4298" s="14"/>
    </row>
    <row r="4299" ht="22.5" hidden="1" customHeight="1">
      <c r="A4299" s="8">
        <v>46121.386394560184</v>
      </c>
      <c r="B4299" s="14">
        <v>46121.0</v>
      </c>
      <c r="C4299" s="9" t="s">
        <v>31</v>
      </c>
      <c r="D4299" s="9" t="s">
        <v>105</v>
      </c>
      <c r="E4299" s="9" t="s">
        <v>17</v>
      </c>
      <c r="F4299" s="9" t="s">
        <v>17</v>
      </c>
      <c r="G4299" s="9">
        <v>7.0</v>
      </c>
      <c r="H4299" s="9" t="s">
        <v>22</v>
      </c>
      <c r="I4299" s="9" t="s">
        <v>20</v>
      </c>
      <c r="J4299" s="10"/>
      <c r="K4299" s="14" t="s">
        <v>398</v>
      </c>
      <c r="N4299" s="14" t="str">
        <f>IFERROR(__xludf.DUMMYFUNCTION("""COMPUTED_VALUE"""),"")</f>
        <v/>
      </c>
      <c r="O4299" s="14"/>
    </row>
    <row r="4300" ht="22.5" hidden="1" customHeight="1">
      <c r="A4300" s="8">
        <v>46121.396523958334</v>
      </c>
      <c r="B4300" s="14">
        <v>46121.0</v>
      </c>
      <c r="C4300" s="9" t="s">
        <v>31</v>
      </c>
      <c r="D4300" s="9" t="s">
        <v>177</v>
      </c>
      <c r="E4300" s="9" t="s">
        <v>46</v>
      </c>
      <c r="F4300" s="9" t="s">
        <v>60</v>
      </c>
      <c r="G4300" s="9" t="s">
        <v>410</v>
      </c>
      <c r="H4300" s="9" t="s">
        <v>25</v>
      </c>
      <c r="I4300" s="9" t="s">
        <v>290</v>
      </c>
      <c r="J4300" s="10"/>
      <c r="K4300" s="14" t="s">
        <v>398</v>
      </c>
      <c r="N4300" s="14" t="str">
        <f>IFERROR(__xludf.DUMMYFUNCTION("""COMPUTED_VALUE"""),"")</f>
        <v/>
      </c>
      <c r="O4300" s="14"/>
    </row>
    <row r="4301" ht="22.5" hidden="1" customHeight="1">
      <c r="A4301" s="8">
        <v>46121.39691512732</v>
      </c>
      <c r="B4301" s="14">
        <v>46121.0</v>
      </c>
      <c r="C4301" s="9" t="s">
        <v>31</v>
      </c>
      <c r="D4301" s="9" t="s">
        <v>249</v>
      </c>
      <c r="E4301" s="9" t="s">
        <v>17</v>
      </c>
      <c r="F4301" s="9" t="s">
        <v>17</v>
      </c>
      <c r="G4301" s="9">
        <v>7.0</v>
      </c>
      <c r="H4301" s="9" t="s">
        <v>22</v>
      </c>
      <c r="I4301" s="9" t="s">
        <v>20</v>
      </c>
      <c r="J4301" s="10"/>
      <c r="K4301" s="14" t="s">
        <v>398</v>
      </c>
      <c r="N4301" s="14" t="str">
        <f>IFERROR(__xludf.DUMMYFUNCTION("""COMPUTED_VALUE"""),"")</f>
        <v/>
      </c>
      <c r="O4301" s="14"/>
    </row>
    <row r="4302" ht="22.5" hidden="1" customHeight="1">
      <c r="A4302" s="8">
        <v>46121.42625628472</v>
      </c>
      <c r="B4302" s="14">
        <v>46121.0</v>
      </c>
      <c r="C4302" s="9" t="s">
        <v>31</v>
      </c>
      <c r="D4302" s="9" t="s">
        <v>175</v>
      </c>
      <c r="E4302" s="9" t="s">
        <v>46</v>
      </c>
      <c r="F4302" s="9" t="s">
        <v>60</v>
      </c>
      <c r="G4302" s="9">
        <v>6.0</v>
      </c>
      <c r="H4302" s="9" t="s">
        <v>25</v>
      </c>
      <c r="I4302" s="9" t="s">
        <v>284</v>
      </c>
      <c r="J4302" s="10"/>
      <c r="K4302" s="14" t="s">
        <v>398</v>
      </c>
      <c r="N4302" s="14" t="str">
        <f>IFERROR(__xludf.DUMMYFUNCTION("""COMPUTED_VALUE"""),"")</f>
        <v/>
      </c>
      <c r="O4302" s="14"/>
    </row>
    <row r="4303" ht="22.5" hidden="1" customHeight="1">
      <c r="A4303" s="8">
        <v>46121.426573275465</v>
      </c>
      <c r="B4303" s="14">
        <v>46121.0</v>
      </c>
      <c r="C4303" s="9" t="s">
        <v>31</v>
      </c>
      <c r="D4303" s="9" t="s">
        <v>395</v>
      </c>
      <c r="E4303" s="9" t="s">
        <v>17</v>
      </c>
      <c r="F4303" s="9" t="s">
        <v>60</v>
      </c>
      <c r="G4303" s="9" t="s">
        <v>410</v>
      </c>
      <c r="H4303" s="9" t="s">
        <v>22</v>
      </c>
      <c r="I4303" s="9" t="s">
        <v>20</v>
      </c>
      <c r="J4303" s="10"/>
      <c r="K4303" s="14" t="s">
        <v>398</v>
      </c>
      <c r="N4303" s="14" t="str">
        <f>IFERROR(__xludf.DUMMYFUNCTION("""COMPUTED_VALUE"""),"")</f>
        <v/>
      </c>
      <c r="O4303" s="14"/>
    </row>
    <row r="4304" ht="22.5" hidden="1" customHeight="1">
      <c r="A4304" s="8">
        <v>46121.42686195602</v>
      </c>
      <c r="B4304" s="14">
        <v>46121.0</v>
      </c>
      <c r="C4304" s="9" t="s">
        <v>31</v>
      </c>
      <c r="D4304" s="9" t="s">
        <v>247</v>
      </c>
      <c r="E4304" s="9" t="s">
        <v>17</v>
      </c>
      <c r="F4304" s="9" t="s">
        <v>60</v>
      </c>
      <c r="G4304" s="9" t="s">
        <v>410</v>
      </c>
      <c r="H4304" s="9" t="s">
        <v>25</v>
      </c>
      <c r="I4304" s="9" t="s">
        <v>34</v>
      </c>
      <c r="J4304" s="10"/>
      <c r="K4304" s="14" t="s">
        <v>398</v>
      </c>
      <c r="N4304" s="14" t="str">
        <f>IFERROR(__xludf.DUMMYFUNCTION("""COMPUTED_VALUE"""),"")</f>
        <v/>
      </c>
      <c r="O4304" s="14"/>
    </row>
    <row r="4305" ht="22.5" hidden="1" customHeight="1">
      <c r="A4305" s="8">
        <v>46121.427327627316</v>
      </c>
      <c r="B4305" s="14">
        <v>46121.0</v>
      </c>
      <c r="C4305" s="9" t="s">
        <v>31</v>
      </c>
      <c r="D4305" s="9" t="s">
        <v>413</v>
      </c>
      <c r="E4305" s="9" t="s">
        <v>17</v>
      </c>
      <c r="F4305" s="9" t="s">
        <v>17</v>
      </c>
      <c r="G4305" s="9" t="s">
        <v>410</v>
      </c>
      <c r="H4305" s="9" t="s">
        <v>22</v>
      </c>
      <c r="I4305" s="9" t="s">
        <v>20</v>
      </c>
      <c r="J4305" s="10"/>
      <c r="K4305" s="14" t="s">
        <v>398</v>
      </c>
      <c r="N4305" s="14" t="str">
        <f>IFERROR(__xludf.DUMMYFUNCTION("""COMPUTED_VALUE"""),"")</f>
        <v/>
      </c>
      <c r="O4305" s="14"/>
    </row>
    <row r="4306" ht="22.5" hidden="1" customHeight="1">
      <c r="A4306" s="8">
        <v>46121.427572256944</v>
      </c>
      <c r="B4306" s="14">
        <v>46121.0</v>
      </c>
      <c r="C4306" s="9" t="s">
        <v>31</v>
      </c>
      <c r="D4306" s="9" t="s">
        <v>259</v>
      </c>
      <c r="E4306" s="9" t="s">
        <v>17</v>
      </c>
      <c r="F4306" s="9" t="s">
        <v>17</v>
      </c>
      <c r="G4306" s="9">
        <v>8.0</v>
      </c>
      <c r="H4306" s="9" t="s">
        <v>22</v>
      </c>
      <c r="I4306" s="9" t="s">
        <v>20</v>
      </c>
      <c r="J4306" s="10"/>
      <c r="K4306" s="14" t="s">
        <v>398</v>
      </c>
      <c r="N4306" s="14" t="str">
        <f>IFERROR(__xludf.DUMMYFUNCTION("""COMPUTED_VALUE"""),"")</f>
        <v/>
      </c>
      <c r="O4306" s="14"/>
    </row>
    <row r="4307" ht="22.5" hidden="1" customHeight="1">
      <c r="A4307" s="8">
        <v>46121.42789615741</v>
      </c>
      <c r="B4307" s="14">
        <v>46121.0</v>
      </c>
      <c r="C4307" s="9" t="s">
        <v>31</v>
      </c>
      <c r="D4307" s="9" t="s">
        <v>357</v>
      </c>
      <c r="E4307" s="9" t="s">
        <v>17</v>
      </c>
      <c r="F4307" s="9" t="s">
        <v>60</v>
      </c>
      <c r="G4307" s="9">
        <v>6.0</v>
      </c>
      <c r="H4307" s="9" t="s">
        <v>22</v>
      </c>
      <c r="I4307" s="9" t="s">
        <v>20</v>
      </c>
      <c r="J4307" s="10"/>
      <c r="K4307" s="14" t="s">
        <v>398</v>
      </c>
      <c r="N4307" s="14" t="str">
        <f>IFERROR(__xludf.DUMMYFUNCTION("""COMPUTED_VALUE"""),"")</f>
        <v/>
      </c>
      <c r="O4307" s="14"/>
    </row>
    <row r="4308" ht="22.5" hidden="1" customHeight="1">
      <c r="A4308" s="8">
        <v>46121.4283890625</v>
      </c>
      <c r="B4308" s="14">
        <v>46121.0</v>
      </c>
      <c r="C4308" s="9" t="s">
        <v>31</v>
      </c>
      <c r="D4308" s="9" t="s">
        <v>335</v>
      </c>
      <c r="E4308" s="9" t="s">
        <v>46</v>
      </c>
      <c r="F4308" s="9" t="s">
        <v>60</v>
      </c>
      <c r="G4308" s="9" t="s">
        <v>410</v>
      </c>
      <c r="H4308" s="9" t="s">
        <v>25</v>
      </c>
      <c r="I4308" s="9" t="s">
        <v>434</v>
      </c>
      <c r="J4308" s="10"/>
      <c r="K4308" s="14" t="s">
        <v>398</v>
      </c>
      <c r="N4308" s="14" t="str">
        <f>IFERROR(__xludf.DUMMYFUNCTION("""COMPUTED_VALUE"""),"")</f>
        <v/>
      </c>
      <c r="O4308" s="14"/>
    </row>
    <row r="4309" ht="22.5" hidden="1" customHeight="1">
      <c r="A4309" s="8">
        <v>46121.428740648145</v>
      </c>
      <c r="B4309" s="14">
        <v>46121.0</v>
      </c>
      <c r="C4309" s="9" t="s">
        <v>31</v>
      </c>
      <c r="D4309" s="9" t="s">
        <v>174</v>
      </c>
      <c r="E4309" s="9" t="s">
        <v>17</v>
      </c>
      <c r="F4309" s="9" t="s">
        <v>17</v>
      </c>
      <c r="G4309" s="9">
        <v>7.0</v>
      </c>
      <c r="H4309" s="9" t="s">
        <v>22</v>
      </c>
      <c r="I4309" s="9" t="s">
        <v>20</v>
      </c>
      <c r="J4309" s="10"/>
      <c r="K4309" s="14" t="s">
        <v>398</v>
      </c>
      <c r="N4309" s="14" t="str">
        <f>IFERROR(__xludf.DUMMYFUNCTION("""COMPUTED_VALUE"""),"")</f>
        <v/>
      </c>
      <c r="O4309" s="14"/>
    </row>
    <row r="4310" ht="22.5" hidden="1" customHeight="1">
      <c r="A4310" s="8">
        <v>46121.42901600694</v>
      </c>
      <c r="B4310" s="14">
        <v>46121.0</v>
      </c>
      <c r="C4310" s="9" t="s">
        <v>31</v>
      </c>
      <c r="D4310" s="9" t="s">
        <v>369</v>
      </c>
      <c r="E4310" s="9" t="s">
        <v>17</v>
      </c>
      <c r="F4310" s="9" t="s">
        <v>60</v>
      </c>
      <c r="G4310" s="9" t="s">
        <v>410</v>
      </c>
      <c r="H4310" s="9" t="s">
        <v>22</v>
      </c>
      <c r="I4310" s="9" t="s">
        <v>20</v>
      </c>
      <c r="J4310" s="10"/>
      <c r="K4310" s="14" t="s">
        <v>398</v>
      </c>
      <c r="N4310" s="14" t="str">
        <f>IFERROR(__xludf.DUMMYFUNCTION("""COMPUTED_VALUE"""),"")</f>
        <v/>
      </c>
      <c r="O4310" s="14"/>
    </row>
    <row r="4311" ht="22.5" hidden="1" customHeight="1">
      <c r="A4311" s="8">
        <v>46121.42934800926</v>
      </c>
      <c r="B4311" s="14">
        <v>46121.0</v>
      </c>
      <c r="C4311" s="9" t="s">
        <v>31</v>
      </c>
      <c r="D4311" s="9" t="s">
        <v>408</v>
      </c>
      <c r="E4311" s="9" t="s">
        <v>17</v>
      </c>
      <c r="F4311" s="9" t="s">
        <v>17</v>
      </c>
      <c r="G4311" s="9">
        <v>6.0</v>
      </c>
      <c r="H4311" s="9" t="s">
        <v>22</v>
      </c>
      <c r="I4311" s="9" t="s">
        <v>20</v>
      </c>
      <c r="J4311" s="10"/>
      <c r="K4311" s="14" t="s">
        <v>398</v>
      </c>
      <c r="N4311" s="14" t="str">
        <f>IFERROR(__xludf.DUMMYFUNCTION("""COMPUTED_VALUE"""),"")</f>
        <v/>
      </c>
      <c r="O4311" s="14"/>
    </row>
    <row r="4312" ht="22.5" hidden="1" customHeight="1">
      <c r="A4312" s="8">
        <v>46121.429606817124</v>
      </c>
      <c r="B4312" s="14">
        <v>46121.0</v>
      </c>
      <c r="C4312" s="9" t="s">
        <v>31</v>
      </c>
      <c r="D4312" s="9" t="s">
        <v>171</v>
      </c>
      <c r="E4312" s="9" t="s">
        <v>46</v>
      </c>
      <c r="F4312" s="9" t="s">
        <v>60</v>
      </c>
      <c r="G4312" s="9">
        <v>6.0</v>
      </c>
      <c r="H4312" s="9" t="s">
        <v>22</v>
      </c>
      <c r="I4312" s="9" t="s">
        <v>20</v>
      </c>
      <c r="J4312" s="10"/>
      <c r="K4312" s="14" t="s">
        <v>398</v>
      </c>
      <c r="N4312" s="14" t="str">
        <f>IFERROR(__xludf.DUMMYFUNCTION("""COMPUTED_VALUE"""),"")</f>
        <v/>
      </c>
      <c r="O4312" s="14"/>
    </row>
    <row r="4313" ht="22.5" hidden="1" customHeight="1">
      <c r="A4313" s="8">
        <v>46121.42991395833</v>
      </c>
      <c r="B4313" s="14">
        <v>46121.0</v>
      </c>
      <c r="C4313" s="9" t="s">
        <v>31</v>
      </c>
      <c r="D4313" s="9" t="s">
        <v>350</v>
      </c>
      <c r="E4313" s="9" t="s">
        <v>17</v>
      </c>
      <c r="F4313" s="9" t="s">
        <v>60</v>
      </c>
      <c r="G4313" s="9">
        <v>6.0</v>
      </c>
      <c r="H4313" s="9" t="s">
        <v>22</v>
      </c>
      <c r="I4313" s="9" t="s">
        <v>20</v>
      </c>
      <c r="J4313" s="10"/>
      <c r="K4313" s="14" t="s">
        <v>398</v>
      </c>
      <c r="N4313" s="14" t="str">
        <f>IFERROR(__xludf.DUMMYFUNCTION("""COMPUTED_VALUE"""),"")</f>
        <v/>
      </c>
      <c r="O4313" s="14"/>
    </row>
    <row r="4314" ht="22.5" hidden="1" customHeight="1">
      <c r="A4314" s="8">
        <v>46121.4426224537</v>
      </c>
      <c r="B4314" s="14">
        <v>46121.0</v>
      </c>
      <c r="C4314" s="9" t="s">
        <v>31</v>
      </c>
      <c r="D4314" s="9" t="s">
        <v>257</v>
      </c>
      <c r="E4314" s="9" t="s">
        <v>17</v>
      </c>
      <c r="F4314" s="9" t="s">
        <v>17</v>
      </c>
      <c r="G4314" s="9">
        <v>7.0</v>
      </c>
      <c r="H4314" s="9" t="s">
        <v>22</v>
      </c>
      <c r="I4314" s="9" t="s">
        <v>20</v>
      </c>
      <c r="J4314" s="10"/>
      <c r="K4314" s="14" t="s">
        <v>398</v>
      </c>
      <c r="N4314" s="14" t="str">
        <f>IFERROR(__xludf.DUMMYFUNCTION("""COMPUTED_VALUE"""),"")</f>
        <v/>
      </c>
      <c r="O4314" s="14"/>
    </row>
    <row r="4315" ht="22.5" hidden="1" customHeight="1">
      <c r="A4315" s="8">
        <v>46121.44295592593</v>
      </c>
      <c r="B4315" s="14">
        <v>46121.0</v>
      </c>
      <c r="C4315" s="9" t="s">
        <v>31</v>
      </c>
      <c r="D4315" s="9" t="s">
        <v>412</v>
      </c>
      <c r="E4315" s="9" t="s">
        <v>17</v>
      </c>
      <c r="F4315" s="9" t="s">
        <v>17</v>
      </c>
      <c r="G4315" s="9" t="s">
        <v>410</v>
      </c>
      <c r="H4315" s="9" t="s">
        <v>22</v>
      </c>
      <c r="I4315" s="9" t="s">
        <v>20</v>
      </c>
      <c r="J4315" s="10"/>
      <c r="K4315" s="14" t="s">
        <v>398</v>
      </c>
      <c r="N4315" s="14" t="str">
        <f>IFERROR(__xludf.DUMMYFUNCTION("""COMPUTED_VALUE"""),"")</f>
        <v/>
      </c>
      <c r="O4315" s="14"/>
    </row>
    <row r="4316" ht="22.5" hidden="1" customHeight="1">
      <c r="A4316" s="8">
        <v>46121.44319297453</v>
      </c>
      <c r="B4316" s="14">
        <v>46121.0</v>
      </c>
      <c r="C4316" s="9" t="s">
        <v>31</v>
      </c>
      <c r="D4316" s="9" t="s">
        <v>396</v>
      </c>
      <c r="E4316" s="9" t="s">
        <v>17</v>
      </c>
      <c r="F4316" s="9" t="s">
        <v>17</v>
      </c>
      <c r="G4316" s="9">
        <v>7.0</v>
      </c>
      <c r="H4316" s="9" t="s">
        <v>22</v>
      </c>
      <c r="I4316" s="9" t="s">
        <v>20</v>
      </c>
      <c r="J4316" s="10"/>
      <c r="K4316" s="14" t="s">
        <v>398</v>
      </c>
      <c r="N4316" s="14" t="str">
        <f>IFERROR(__xludf.DUMMYFUNCTION("""COMPUTED_VALUE"""),"")</f>
        <v/>
      </c>
      <c r="O4316" s="14"/>
    </row>
    <row r="4317" ht="22.5" hidden="1" customHeight="1">
      <c r="A4317" s="8">
        <v>46121.443762870374</v>
      </c>
      <c r="B4317" s="14">
        <v>46121.0</v>
      </c>
      <c r="C4317" s="9" t="s">
        <v>31</v>
      </c>
      <c r="D4317" s="9" t="s">
        <v>258</v>
      </c>
      <c r="E4317" s="9" t="s">
        <v>46</v>
      </c>
      <c r="F4317" s="9" t="s">
        <v>60</v>
      </c>
      <c r="G4317" s="9" t="s">
        <v>410</v>
      </c>
      <c r="H4317" s="9" t="s">
        <v>22</v>
      </c>
      <c r="I4317" s="9" t="s">
        <v>20</v>
      </c>
      <c r="J4317" s="10"/>
      <c r="K4317" s="14" t="s">
        <v>398</v>
      </c>
      <c r="N4317" s="14" t="str">
        <f>IFERROR(__xludf.DUMMYFUNCTION("""COMPUTED_VALUE"""),"")</f>
        <v/>
      </c>
      <c r="O4317" s="14"/>
    </row>
    <row r="4318" ht="22.5" hidden="1" customHeight="1">
      <c r="A4318" s="8">
        <v>46121.444134502315</v>
      </c>
      <c r="B4318" s="14">
        <v>46121.0</v>
      </c>
      <c r="C4318" s="9" t="s">
        <v>31</v>
      </c>
      <c r="D4318" s="9" t="s">
        <v>393</v>
      </c>
      <c r="E4318" s="9" t="s">
        <v>46</v>
      </c>
      <c r="F4318" s="9" t="s">
        <v>60</v>
      </c>
      <c r="G4318" s="9" t="s">
        <v>410</v>
      </c>
      <c r="H4318" s="9" t="s">
        <v>22</v>
      </c>
      <c r="I4318" s="9" t="s">
        <v>20</v>
      </c>
      <c r="J4318" s="10"/>
      <c r="K4318" s="14" t="s">
        <v>398</v>
      </c>
      <c r="N4318" s="14" t="str">
        <f>IFERROR(__xludf.DUMMYFUNCTION("""COMPUTED_VALUE"""),"")</f>
        <v/>
      </c>
      <c r="O4318" s="14"/>
    </row>
    <row r="4319" ht="22.5" hidden="1" customHeight="1">
      <c r="A4319" s="8">
        <v>46121.44437675926</v>
      </c>
      <c r="B4319" s="14">
        <v>46121.0</v>
      </c>
      <c r="C4319" s="9" t="s">
        <v>31</v>
      </c>
      <c r="D4319" s="9" t="s">
        <v>423</v>
      </c>
      <c r="E4319" s="9" t="s">
        <v>17</v>
      </c>
      <c r="F4319" s="9" t="s">
        <v>17</v>
      </c>
      <c r="G4319" s="9" t="s">
        <v>410</v>
      </c>
      <c r="H4319" s="9" t="s">
        <v>22</v>
      </c>
      <c r="I4319" s="9" t="s">
        <v>20</v>
      </c>
      <c r="J4319" s="10"/>
      <c r="K4319" s="14" t="s">
        <v>398</v>
      </c>
      <c r="N4319" s="14" t="str">
        <f>IFERROR(__xludf.DUMMYFUNCTION("""COMPUTED_VALUE"""),"")</f>
        <v/>
      </c>
      <c r="O4319" s="14"/>
    </row>
    <row r="4320" ht="22.5" hidden="1" customHeight="1">
      <c r="A4320" s="8">
        <v>46121.46487809028</v>
      </c>
      <c r="B4320" s="14">
        <v>46121.0</v>
      </c>
      <c r="C4320" s="9" t="s">
        <v>31</v>
      </c>
      <c r="D4320" s="9" t="s">
        <v>178</v>
      </c>
      <c r="E4320" s="9" t="s">
        <v>61</v>
      </c>
      <c r="F4320" s="9" t="s">
        <v>60</v>
      </c>
      <c r="G4320" s="9" t="s">
        <v>410</v>
      </c>
      <c r="H4320" s="9" t="s">
        <v>22</v>
      </c>
      <c r="I4320" s="9" t="s">
        <v>20</v>
      </c>
      <c r="J4320" s="10"/>
      <c r="K4320" s="14" t="s">
        <v>398</v>
      </c>
      <c r="N4320" s="14" t="str">
        <f>IFERROR(__xludf.DUMMYFUNCTION("""COMPUTED_VALUE"""),"")</f>
        <v/>
      </c>
      <c r="O4320" s="14"/>
    </row>
    <row r="4321" ht="22.5" hidden="1" customHeight="1">
      <c r="A4321" s="8">
        <v>46121.46546057871</v>
      </c>
      <c r="B4321" s="14">
        <v>46121.0</v>
      </c>
      <c r="C4321" s="9" t="s">
        <v>31</v>
      </c>
      <c r="D4321" s="9" t="s">
        <v>421</v>
      </c>
      <c r="E4321" s="9" t="s">
        <v>46</v>
      </c>
      <c r="F4321" s="9" t="s">
        <v>60</v>
      </c>
      <c r="G4321" s="9" t="s">
        <v>410</v>
      </c>
      <c r="H4321" s="9" t="s">
        <v>22</v>
      </c>
      <c r="I4321" s="9" t="s">
        <v>20</v>
      </c>
      <c r="J4321" s="10"/>
      <c r="K4321" s="14" t="s">
        <v>398</v>
      </c>
      <c r="N4321" s="14" t="str">
        <f>IFERROR(__xludf.DUMMYFUNCTION("""COMPUTED_VALUE"""),"")</f>
        <v/>
      </c>
      <c r="O4321" s="14"/>
    </row>
    <row r="4322" ht="22.5" hidden="1" customHeight="1">
      <c r="A4322" s="8">
        <v>46121.469093912034</v>
      </c>
      <c r="B4322" s="14">
        <v>46121.0</v>
      </c>
      <c r="C4322" s="9" t="s">
        <v>31</v>
      </c>
      <c r="D4322" s="9" t="s">
        <v>210</v>
      </c>
      <c r="E4322" s="9" t="s">
        <v>17</v>
      </c>
      <c r="F4322" s="9" t="s">
        <v>17</v>
      </c>
      <c r="G4322" s="9" t="s">
        <v>410</v>
      </c>
      <c r="H4322" s="9" t="s">
        <v>22</v>
      </c>
      <c r="I4322" s="9" t="s">
        <v>20</v>
      </c>
      <c r="J4322" s="10"/>
      <c r="K4322" s="14" t="s">
        <v>398</v>
      </c>
      <c r="N4322" s="14" t="str">
        <f>IFERROR(__xludf.DUMMYFUNCTION("""COMPUTED_VALUE"""),"")</f>
        <v/>
      </c>
      <c r="O4322" s="14"/>
    </row>
    <row r="4323" ht="22.5" hidden="1" customHeight="1">
      <c r="A4323" s="8">
        <v>46121.46926893519</v>
      </c>
      <c r="B4323" s="14">
        <v>46121.0</v>
      </c>
      <c r="C4323" s="9" t="s">
        <v>31</v>
      </c>
      <c r="D4323" s="9" t="s">
        <v>414</v>
      </c>
      <c r="E4323" s="9" t="s">
        <v>17</v>
      </c>
      <c r="F4323" s="9" t="s">
        <v>60</v>
      </c>
      <c r="G4323" s="9">
        <v>6.0</v>
      </c>
      <c r="H4323" s="9" t="s">
        <v>22</v>
      </c>
      <c r="I4323" s="9" t="s">
        <v>20</v>
      </c>
      <c r="J4323" s="10"/>
      <c r="K4323" s="14" t="s">
        <v>398</v>
      </c>
      <c r="N4323" s="14" t="str">
        <f>IFERROR(__xludf.DUMMYFUNCTION("""COMPUTED_VALUE"""),"")</f>
        <v/>
      </c>
      <c r="O4323" s="14"/>
    </row>
    <row r="4324" ht="22.5" hidden="1" customHeight="1">
      <c r="A4324" s="8">
        <v>46122.63770475694</v>
      </c>
      <c r="B4324" s="14">
        <v>46122.0</v>
      </c>
      <c r="C4324" s="9" t="s">
        <v>48</v>
      </c>
      <c r="D4324" s="9" t="s">
        <v>177</v>
      </c>
      <c r="E4324" s="9" t="s">
        <v>17</v>
      </c>
      <c r="F4324" s="9" t="s">
        <v>17</v>
      </c>
      <c r="G4324" s="9">
        <v>8.0</v>
      </c>
      <c r="H4324" s="9" t="s">
        <v>17</v>
      </c>
      <c r="I4324" s="9" t="s">
        <v>20</v>
      </c>
      <c r="J4324" s="10"/>
      <c r="K4324" s="14" t="s">
        <v>398</v>
      </c>
      <c r="N4324" s="14" t="str">
        <f>IFERROR(__xludf.DUMMYFUNCTION("""COMPUTED_VALUE"""),"")</f>
        <v/>
      </c>
      <c r="O4324" s="14"/>
    </row>
    <row r="4325" ht="22.5" hidden="1" customHeight="1">
      <c r="A4325" s="8">
        <v>46122.63783253472</v>
      </c>
      <c r="B4325" s="14">
        <v>46122.0</v>
      </c>
      <c r="C4325" s="9" t="s">
        <v>48</v>
      </c>
      <c r="D4325" s="9" t="s">
        <v>257</v>
      </c>
      <c r="E4325" s="9" t="s">
        <v>17</v>
      </c>
      <c r="F4325" s="9" t="s">
        <v>17</v>
      </c>
      <c r="G4325" s="9">
        <v>7.0</v>
      </c>
      <c r="H4325" s="9" t="s">
        <v>22</v>
      </c>
      <c r="I4325" s="9" t="s">
        <v>20</v>
      </c>
      <c r="J4325" s="10"/>
      <c r="K4325" s="14" t="s">
        <v>398</v>
      </c>
      <c r="N4325" s="14" t="str">
        <f>IFERROR(__xludf.DUMMYFUNCTION("""COMPUTED_VALUE"""),"")</f>
        <v/>
      </c>
      <c r="O4325" s="14"/>
    </row>
    <row r="4326" ht="22.5" hidden="1" customHeight="1">
      <c r="A4326" s="8">
        <v>46122.6382693287</v>
      </c>
      <c r="B4326" s="14">
        <v>46122.0</v>
      </c>
      <c r="C4326" s="9" t="s">
        <v>48</v>
      </c>
      <c r="D4326" s="9" t="s">
        <v>249</v>
      </c>
      <c r="E4326" s="9" t="s">
        <v>17</v>
      </c>
      <c r="F4326" s="9" t="s">
        <v>17</v>
      </c>
      <c r="G4326" s="9">
        <v>8.0</v>
      </c>
      <c r="H4326" s="9" t="s">
        <v>17</v>
      </c>
      <c r="I4326" s="9" t="s">
        <v>20</v>
      </c>
      <c r="J4326" s="10"/>
      <c r="K4326" s="14">
        <v>7.0</v>
      </c>
      <c r="N4326" s="14" t="str">
        <f>IFERROR(__xludf.DUMMYFUNCTION("""COMPUTED_VALUE"""),"")</f>
        <v/>
      </c>
      <c r="O4326" s="14"/>
    </row>
    <row r="4327" ht="22.5" hidden="1" customHeight="1">
      <c r="A4327" s="8">
        <v>46122.6385128125</v>
      </c>
      <c r="B4327" s="14">
        <v>46122.0</v>
      </c>
      <c r="C4327" s="9" t="s">
        <v>48</v>
      </c>
      <c r="D4327" s="9" t="s">
        <v>412</v>
      </c>
      <c r="E4327" s="9" t="s">
        <v>17</v>
      </c>
      <c r="F4327" s="9" t="s">
        <v>17</v>
      </c>
      <c r="G4327" s="9" t="s">
        <v>409</v>
      </c>
      <c r="H4327" s="9" t="s">
        <v>22</v>
      </c>
      <c r="I4327" s="9" t="s">
        <v>20</v>
      </c>
      <c r="J4327" s="10"/>
      <c r="K4327" s="14">
        <v>4.0</v>
      </c>
      <c r="N4327" s="14" t="str">
        <f>IFERROR(__xludf.DUMMYFUNCTION("""COMPUTED_VALUE"""),"")</f>
        <v/>
      </c>
      <c r="O4327" s="14"/>
    </row>
    <row r="4328" ht="22.5" hidden="1" customHeight="1">
      <c r="A4328" s="8">
        <v>46122.6451134838</v>
      </c>
      <c r="B4328" s="14">
        <v>46122.0</v>
      </c>
      <c r="C4328" s="9" t="s">
        <v>48</v>
      </c>
      <c r="D4328" s="9" t="s">
        <v>258</v>
      </c>
      <c r="E4328" s="9" t="s">
        <v>17</v>
      </c>
      <c r="F4328" s="9" t="s">
        <v>17</v>
      </c>
      <c r="G4328" s="9">
        <v>8.0</v>
      </c>
      <c r="H4328" s="9" t="s">
        <v>22</v>
      </c>
      <c r="I4328" s="9" t="s">
        <v>20</v>
      </c>
      <c r="J4328" s="10"/>
      <c r="K4328" s="14">
        <v>4.0</v>
      </c>
      <c r="N4328" s="14" t="str">
        <f>IFERROR(__xludf.DUMMYFUNCTION("""COMPUTED_VALUE"""),"")</f>
        <v/>
      </c>
      <c r="O4328" s="14"/>
    </row>
    <row r="4329" ht="22.5" hidden="1" customHeight="1">
      <c r="A4329" s="8">
        <v>46122.64862934028</v>
      </c>
      <c r="B4329" s="14">
        <v>46122.0</v>
      </c>
      <c r="C4329" s="9" t="s">
        <v>48</v>
      </c>
      <c r="D4329" s="9" t="s">
        <v>423</v>
      </c>
      <c r="E4329" s="9" t="s">
        <v>17</v>
      </c>
      <c r="F4329" s="9" t="s">
        <v>17</v>
      </c>
      <c r="G4329" s="9" t="s">
        <v>409</v>
      </c>
      <c r="H4329" s="9" t="s">
        <v>22</v>
      </c>
      <c r="I4329" s="9" t="s">
        <v>20</v>
      </c>
      <c r="J4329" s="10"/>
      <c r="K4329" s="14" t="s">
        <v>398</v>
      </c>
      <c r="N4329" s="14" t="str">
        <f>IFERROR(__xludf.DUMMYFUNCTION("""COMPUTED_VALUE"""),"")</f>
        <v/>
      </c>
      <c r="O4329" s="14"/>
    </row>
    <row r="4330" ht="22.5" hidden="1" customHeight="1">
      <c r="A4330" s="8">
        <v>46122.64922842593</v>
      </c>
      <c r="B4330" s="14">
        <v>46122.0</v>
      </c>
      <c r="C4330" s="9" t="s">
        <v>48</v>
      </c>
      <c r="D4330" s="9" t="s">
        <v>105</v>
      </c>
      <c r="E4330" s="9" t="s">
        <v>17</v>
      </c>
      <c r="F4330" s="9" t="s">
        <v>17</v>
      </c>
      <c r="G4330" s="9">
        <v>8.0</v>
      </c>
      <c r="H4330" s="9" t="s">
        <v>22</v>
      </c>
      <c r="I4330" s="9" t="s">
        <v>20</v>
      </c>
      <c r="J4330" s="10"/>
      <c r="K4330" s="14">
        <v>2.0</v>
      </c>
      <c r="N4330" s="14" t="str">
        <f>IFERROR(__xludf.DUMMYFUNCTION("""COMPUTED_VALUE"""),"")</f>
        <v/>
      </c>
      <c r="O4330" s="14"/>
    </row>
    <row r="4331" ht="22.5" hidden="1" customHeight="1">
      <c r="A4331" s="8">
        <v>46122.649447233794</v>
      </c>
      <c r="B4331" s="14">
        <v>46122.0</v>
      </c>
      <c r="C4331" s="9" t="s">
        <v>48</v>
      </c>
      <c r="D4331" s="9" t="s">
        <v>280</v>
      </c>
      <c r="E4331" s="9" t="s">
        <v>17</v>
      </c>
      <c r="F4331" s="9" t="s">
        <v>17</v>
      </c>
      <c r="G4331" s="9">
        <v>8.0</v>
      </c>
      <c r="H4331" s="9" t="s">
        <v>22</v>
      </c>
      <c r="I4331" s="9" t="s">
        <v>20</v>
      </c>
      <c r="J4331" s="10"/>
      <c r="K4331" s="14">
        <v>6.0</v>
      </c>
      <c r="N4331" s="14" t="str">
        <f>IFERROR(__xludf.DUMMYFUNCTION("""COMPUTED_VALUE"""),"")</f>
        <v/>
      </c>
      <c r="O4331" s="14"/>
    </row>
    <row r="4332" ht="22.5" hidden="1" customHeight="1">
      <c r="A4332" s="8">
        <v>46122.65516818287</v>
      </c>
      <c r="B4332" s="14">
        <v>46122.0</v>
      </c>
      <c r="C4332" s="9" t="s">
        <v>48</v>
      </c>
      <c r="D4332" s="9" t="s">
        <v>174</v>
      </c>
      <c r="E4332" s="9" t="s">
        <v>17</v>
      </c>
      <c r="F4332" s="9" t="s">
        <v>17</v>
      </c>
      <c r="G4332" s="9">
        <v>8.0</v>
      </c>
      <c r="H4332" s="9" t="s">
        <v>22</v>
      </c>
      <c r="I4332" s="9" t="s">
        <v>20</v>
      </c>
      <c r="J4332" s="10"/>
      <c r="K4332" s="14" t="s">
        <v>398</v>
      </c>
      <c r="N4332" s="14" t="str">
        <f>IFERROR(__xludf.DUMMYFUNCTION("""COMPUTED_VALUE"""),"")</f>
        <v/>
      </c>
      <c r="O4332" s="14"/>
    </row>
    <row r="4333" ht="22.5" hidden="1" customHeight="1">
      <c r="A4333" s="8">
        <v>46122.655912118054</v>
      </c>
      <c r="B4333" s="14">
        <v>46122.0</v>
      </c>
      <c r="C4333" s="9" t="s">
        <v>48</v>
      </c>
      <c r="D4333" s="9" t="s">
        <v>408</v>
      </c>
      <c r="E4333" s="9" t="s">
        <v>17</v>
      </c>
      <c r="F4333" s="9" t="s">
        <v>17</v>
      </c>
      <c r="G4333" s="9">
        <v>8.0</v>
      </c>
      <c r="H4333" s="9" t="s">
        <v>17</v>
      </c>
      <c r="I4333" s="9" t="s">
        <v>20</v>
      </c>
      <c r="J4333" s="10"/>
      <c r="K4333" s="14" t="s">
        <v>398</v>
      </c>
      <c r="N4333" s="14" t="str">
        <f>IFERROR(__xludf.DUMMYFUNCTION("""COMPUTED_VALUE"""),"")</f>
        <v/>
      </c>
      <c r="O4333" s="14"/>
    </row>
    <row r="4334" ht="22.5" hidden="1" customHeight="1">
      <c r="A4334" s="8">
        <v>46122.656297187496</v>
      </c>
      <c r="B4334" s="14">
        <v>46122.0</v>
      </c>
      <c r="C4334" s="9" t="s">
        <v>48</v>
      </c>
      <c r="D4334" s="9" t="s">
        <v>393</v>
      </c>
      <c r="E4334" s="9" t="s">
        <v>17</v>
      </c>
      <c r="F4334" s="9" t="s">
        <v>17</v>
      </c>
      <c r="G4334" s="9">
        <v>8.0</v>
      </c>
      <c r="H4334" s="9" t="s">
        <v>25</v>
      </c>
      <c r="I4334" s="9" t="s">
        <v>137</v>
      </c>
      <c r="J4334" s="10"/>
      <c r="K4334" s="14">
        <v>4.0</v>
      </c>
      <c r="N4334" s="14" t="str">
        <f>IFERROR(__xludf.DUMMYFUNCTION("""COMPUTED_VALUE"""),"")</f>
        <v/>
      </c>
      <c r="O4334" s="14"/>
    </row>
    <row r="4335" ht="22.5" hidden="1" customHeight="1">
      <c r="A4335" s="8">
        <v>46122.66107989583</v>
      </c>
      <c r="B4335" s="14">
        <v>46122.0</v>
      </c>
      <c r="C4335" s="9" t="s">
        <v>48</v>
      </c>
      <c r="D4335" s="9" t="s">
        <v>414</v>
      </c>
      <c r="E4335" s="9" t="s">
        <v>17</v>
      </c>
      <c r="F4335" s="9" t="s">
        <v>17</v>
      </c>
      <c r="G4335" s="9">
        <v>8.0</v>
      </c>
      <c r="H4335" s="9" t="s">
        <v>17</v>
      </c>
      <c r="I4335" s="9" t="s">
        <v>20</v>
      </c>
      <c r="J4335" s="10"/>
      <c r="K4335" s="14" t="s">
        <v>398</v>
      </c>
      <c r="N4335" s="14" t="str">
        <f>IFERROR(__xludf.DUMMYFUNCTION("""COMPUTED_VALUE"""),"")</f>
        <v/>
      </c>
      <c r="O4335" s="14"/>
    </row>
    <row r="4336" ht="22.5" hidden="1" customHeight="1">
      <c r="A4336" s="8">
        <v>46122.66431791667</v>
      </c>
      <c r="B4336" s="14">
        <v>46122.0</v>
      </c>
      <c r="C4336" s="9" t="s">
        <v>48</v>
      </c>
      <c r="D4336" s="9" t="s">
        <v>335</v>
      </c>
      <c r="E4336" s="9" t="s">
        <v>17</v>
      </c>
      <c r="F4336" s="9" t="s">
        <v>35</v>
      </c>
      <c r="G4336" s="9" t="s">
        <v>409</v>
      </c>
      <c r="H4336" s="9" t="s">
        <v>25</v>
      </c>
      <c r="I4336" s="9" t="s">
        <v>434</v>
      </c>
      <c r="J4336" s="10"/>
      <c r="K4336" s="14" t="s">
        <v>398</v>
      </c>
      <c r="N4336" s="14" t="str">
        <f>IFERROR(__xludf.DUMMYFUNCTION("""COMPUTED_VALUE"""),"")</f>
        <v/>
      </c>
      <c r="O4336" s="14"/>
    </row>
    <row r="4337" ht="22.5" hidden="1" customHeight="1">
      <c r="A4337" s="8">
        <v>46122.6648725</v>
      </c>
      <c r="B4337" s="14">
        <v>46122.0</v>
      </c>
      <c r="C4337" s="9" t="s">
        <v>48</v>
      </c>
      <c r="D4337" s="9" t="s">
        <v>413</v>
      </c>
      <c r="E4337" s="9" t="s">
        <v>17</v>
      </c>
      <c r="F4337" s="9" t="s">
        <v>17</v>
      </c>
      <c r="G4337" s="9">
        <v>8.0</v>
      </c>
      <c r="H4337" s="9" t="s">
        <v>22</v>
      </c>
      <c r="I4337" s="9" t="s">
        <v>20</v>
      </c>
      <c r="J4337" s="10"/>
      <c r="K4337" s="14">
        <v>3.0</v>
      </c>
      <c r="N4337" s="14" t="str">
        <f>IFERROR(__xludf.DUMMYFUNCTION("""COMPUTED_VALUE"""),"")</f>
        <v/>
      </c>
      <c r="O4337" s="14"/>
    </row>
    <row r="4338" ht="22.5" hidden="1" customHeight="1">
      <c r="A4338" s="8">
        <v>46122.66540909722</v>
      </c>
      <c r="B4338" s="14">
        <v>46122.0</v>
      </c>
      <c r="C4338" s="9" t="s">
        <v>48</v>
      </c>
      <c r="D4338" s="9" t="s">
        <v>350</v>
      </c>
      <c r="E4338" s="9" t="s">
        <v>17</v>
      </c>
      <c r="F4338" s="9" t="s">
        <v>17</v>
      </c>
      <c r="G4338" s="9">
        <v>7.0</v>
      </c>
      <c r="H4338" s="9" t="s">
        <v>17</v>
      </c>
      <c r="I4338" s="9" t="s">
        <v>20</v>
      </c>
      <c r="J4338" s="10"/>
      <c r="K4338" s="14">
        <v>5.0</v>
      </c>
      <c r="N4338" s="14" t="str">
        <f>IFERROR(__xludf.DUMMYFUNCTION("""COMPUTED_VALUE"""),"")</f>
        <v/>
      </c>
      <c r="O4338" s="14"/>
    </row>
    <row r="4339" ht="22.5" hidden="1" customHeight="1">
      <c r="A4339" s="8">
        <v>46122.66602746528</v>
      </c>
      <c r="B4339" s="14">
        <v>46122.0</v>
      </c>
      <c r="C4339" s="9" t="s">
        <v>48</v>
      </c>
      <c r="D4339" s="9" t="s">
        <v>259</v>
      </c>
      <c r="E4339" s="9" t="s">
        <v>17</v>
      </c>
      <c r="F4339" s="9" t="s">
        <v>17</v>
      </c>
      <c r="G4339" s="9" t="s">
        <v>409</v>
      </c>
      <c r="H4339" s="9" t="s">
        <v>17</v>
      </c>
      <c r="I4339" s="9" t="s">
        <v>20</v>
      </c>
      <c r="J4339" s="10"/>
      <c r="K4339" s="14" t="s">
        <v>398</v>
      </c>
      <c r="N4339" s="14" t="str">
        <f>IFERROR(__xludf.DUMMYFUNCTION("""COMPUTED_VALUE"""),"")</f>
        <v/>
      </c>
      <c r="O4339" s="14"/>
    </row>
    <row r="4340" ht="22.5" hidden="1" customHeight="1">
      <c r="A4340" s="8">
        <v>46122.666420787034</v>
      </c>
      <c r="B4340" s="14">
        <v>46122.0</v>
      </c>
      <c r="C4340" s="9" t="s">
        <v>48</v>
      </c>
      <c r="D4340" s="9" t="s">
        <v>395</v>
      </c>
      <c r="E4340" s="9" t="s">
        <v>17</v>
      </c>
      <c r="F4340" s="9" t="s">
        <v>17</v>
      </c>
      <c r="G4340" s="9" t="s">
        <v>409</v>
      </c>
      <c r="H4340" s="9" t="s">
        <v>22</v>
      </c>
      <c r="I4340" s="9" t="s">
        <v>20</v>
      </c>
      <c r="J4340" s="10"/>
      <c r="K4340" s="14">
        <v>5.0</v>
      </c>
      <c r="N4340" s="14" t="str">
        <f>IFERROR(__xludf.DUMMYFUNCTION("""COMPUTED_VALUE"""),"")</f>
        <v/>
      </c>
      <c r="O4340" s="14"/>
    </row>
    <row r="4341" ht="22.5" hidden="1" customHeight="1">
      <c r="A4341" s="8">
        <v>46122.66662246527</v>
      </c>
      <c r="B4341" s="14">
        <v>46122.0</v>
      </c>
      <c r="C4341" s="9" t="s">
        <v>48</v>
      </c>
      <c r="D4341" s="9" t="s">
        <v>421</v>
      </c>
      <c r="E4341" s="9" t="s">
        <v>17</v>
      </c>
      <c r="F4341" s="9" t="s">
        <v>17</v>
      </c>
      <c r="G4341" s="9" t="s">
        <v>409</v>
      </c>
      <c r="H4341" s="9" t="s">
        <v>17</v>
      </c>
      <c r="I4341" s="9" t="s">
        <v>20</v>
      </c>
      <c r="J4341" s="10"/>
      <c r="K4341" s="14">
        <v>3.0</v>
      </c>
      <c r="N4341" s="14" t="str">
        <f>IFERROR(__xludf.DUMMYFUNCTION("""COMPUTED_VALUE"""),"")</f>
        <v/>
      </c>
      <c r="O4341" s="14"/>
    </row>
    <row r="4342" ht="22.5" hidden="1" customHeight="1">
      <c r="A4342" s="8">
        <v>46122.66663315972</v>
      </c>
      <c r="B4342" s="14">
        <v>46122.0</v>
      </c>
      <c r="C4342" s="9" t="s">
        <v>48</v>
      </c>
      <c r="D4342" s="9" t="s">
        <v>171</v>
      </c>
      <c r="E4342" s="9" t="s">
        <v>17</v>
      </c>
      <c r="F4342" s="9" t="s">
        <v>17</v>
      </c>
      <c r="G4342" s="9" t="s">
        <v>409</v>
      </c>
      <c r="H4342" s="9" t="s">
        <v>22</v>
      </c>
      <c r="I4342" s="9" t="s">
        <v>20</v>
      </c>
      <c r="J4342" s="10"/>
      <c r="K4342" s="14" t="s">
        <v>398</v>
      </c>
      <c r="N4342" s="14" t="str">
        <f>IFERROR(__xludf.DUMMYFUNCTION("""COMPUTED_VALUE"""),"")</f>
        <v/>
      </c>
      <c r="O4342" s="14"/>
    </row>
    <row r="4343" ht="22.5" hidden="1" customHeight="1">
      <c r="A4343" s="8">
        <v>46122.66682554398</v>
      </c>
      <c r="B4343" s="14">
        <v>46122.0</v>
      </c>
      <c r="C4343" s="9" t="s">
        <v>48</v>
      </c>
      <c r="D4343" s="9" t="s">
        <v>175</v>
      </c>
      <c r="E4343" s="9" t="s">
        <v>17</v>
      </c>
      <c r="F4343" s="9" t="s">
        <v>17</v>
      </c>
      <c r="G4343" s="9" t="s">
        <v>409</v>
      </c>
      <c r="H4343" s="9" t="s">
        <v>22</v>
      </c>
      <c r="I4343" s="9" t="s">
        <v>20</v>
      </c>
      <c r="J4343" s="10"/>
      <c r="K4343" s="14">
        <v>6.0</v>
      </c>
      <c r="N4343" s="14" t="str">
        <f>IFERROR(__xludf.DUMMYFUNCTION("""COMPUTED_VALUE"""),"")</f>
        <v/>
      </c>
      <c r="O4343" s="14"/>
    </row>
    <row r="4344" ht="22.5" hidden="1" customHeight="1">
      <c r="A4344" s="8">
        <v>46122.67195561343</v>
      </c>
      <c r="B4344" s="14">
        <v>46122.0</v>
      </c>
      <c r="C4344" s="9" t="s">
        <v>48</v>
      </c>
      <c r="D4344" s="9" t="s">
        <v>369</v>
      </c>
      <c r="E4344" s="9" t="s">
        <v>17</v>
      </c>
      <c r="F4344" s="9" t="s">
        <v>17</v>
      </c>
      <c r="G4344" s="9" t="s">
        <v>409</v>
      </c>
      <c r="H4344" s="9" t="s">
        <v>17</v>
      </c>
      <c r="I4344" s="9" t="s">
        <v>20</v>
      </c>
      <c r="J4344" s="10"/>
      <c r="K4344" s="14" t="s">
        <v>398</v>
      </c>
      <c r="N4344" s="14" t="str">
        <f>IFERROR(__xludf.DUMMYFUNCTION("""COMPUTED_VALUE"""),"")</f>
        <v/>
      </c>
      <c r="O4344" s="14"/>
    </row>
    <row r="4345" ht="22.5" hidden="1" customHeight="1">
      <c r="A4345" s="8">
        <v>46122.67257943287</v>
      </c>
      <c r="B4345" s="14">
        <v>46122.0</v>
      </c>
      <c r="C4345" s="9" t="s">
        <v>48</v>
      </c>
      <c r="D4345" s="9" t="s">
        <v>210</v>
      </c>
      <c r="E4345" s="9" t="s">
        <v>17</v>
      </c>
      <c r="F4345" s="9" t="s">
        <v>17</v>
      </c>
      <c r="G4345" s="9" t="s">
        <v>409</v>
      </c>
      <c r="H4345" s="9" t="s">
        <v>17</v>
      </c>
      <c r="I4345" s="9" t="s">
        <v>20</v>
      </c>
      <c r="J4345" s="10"/>
      <c r="K4345" s="14" t="s">
        <v>398</v>
      </c>
      <c r="N4345" s="14" t="str">
        <f>IFERROR(__xludf.DUMMYFUNCTION("""COMPUTED_VALUE"""),"")</f>
        <v/>
      </c>
      <c r="O4345" s="14"/>
    </row>
    <row r="4346" ht="22.5" hidden="1" customHeight="1">
      <c r="A4346" s="8">
        <v>46122.67340726852</v>
      </c>
      <c r="B4346" s="14">
        <v>46122.0</v>
      </c>
      <c r="C4346" s="9" t="s">
        <v>48</v>
      </c>
      <c r="D4346" s="9" t="s">
        <v>357</v>
      </c>
      <c r="E4346" s="9" t="s">
        <v>17</v>
      </c>
      <c r="F4346" s="9" t="s">
        <v>17</v>
      </c>
      <c r="G4346" s="9">
        <v>7.0</v>
      </c>
      <c r="H4346" s="9" t="s">
        <v>22</v>
      </c>
      <c r="I4346" s="9" t="s">
        <v>20</v>
      </c>
      <c r="J4346" s="10"/>
      <c r="K4346" s="14" t="s">
        <v>398</v>
      </c>
      <c r="N4346" s="14" t="str">
        <f>IFERROR(__xludf.DUMMYFUNCTION("""COMPUTED_VALUE"""),"")</f>
        <v/>
      </c>
      <c r="O4346" s="14"/>
    </row>
    <row r="4347" ht="22.5" hidden="1" customHeight="1">
      <c r="A4347" s="8">
        <v>46122.67408866898</v>
      </c>
      <c r="B4347" s="14">
        <v>46122.0</v>
      </c>
      <c r="C4347" s="9" t="s">
        <v>48</v>
      </c>
      <c r="D4347" s="9" t="s">
        <v>396</v>
      </c>
      <c r="E4347" s="9" t="s">
        <v>17</v>
      </c>
      <c r="F4347" s="9" t="s">
        <v>17</v>
      </c>
      <c r="G4347" s="9">
        <v>8.0</v>
      </c>
      <c r="H4347" s="9" t="s">
        <v>17</v>
      </c>
      <c r="I4347" s="9" t="s">
        <v>20</v>
      </c>
      <c r="J4347" s="10"/>
      <c r="K4347" s="14">
        <v>2.0</v>
      </c>
      <c r="N4347" s="14" t="str">
        <f>IFERROR(__xludf.DUMMYFUNCTION("""COMPUTED_VALUE"""),"")</f>
        <v/>
      </c>
      <c r="O4347" s="14"/>
    </row>
    <row r="4348" ht="22.5" hidden="1" customHeight="1">
      <c r="A4348" s="8">
        <v>46124.423787465275</v>
      </c>
      <c r="B4348" s="14">
        <v>46124.0</v>
      </c>
      <c r="C4348" s="9" t="s">
        <v>58</v>
      </c>
      <c r="D4348" s="9" t="s">
        <v>249</v>
      </c>
      <c r="E4348" s="9" t="s">
        <v>17</v>
      </c>
      <c r="F4348" s="9" t="s">
        <v>17</v>
      </c>
      <c r="G4348" s="9">
        <v>7.0</v>
      </c>
      <c r="H4348" s="9" t="s">
        <v>22</v>
      </c>
      <c r="I4348" s="9" t="s">
        <v>20</v>
      </c>
      <c r="J4348" s="10"/>
      <c r="K4348" s="14" t="s">
        <v>398</v>
      </c>
      <c r="N4348" s="14" t="str">
        <f>IFERROR(__xludf.DUMMYFUNCTION("""COMPUTED_VALUE"""),"")</f>
        <v/>
      </c>
      <c r="O4348" s="14"/>
    </row>
    <row r="4349" ht="22.5" hidden="1" customHeight="1">
      <c r="A4349" s="8">
        <v>46124.42411976852</v>
      </c>
      <c r="B4349" s="14">
        <v>46124.0</v>
      </c>
      <c r="C4349" s="9" t="s">
        <v>58</v>
      </c>
      <c r="D4349" s="9" t="s">
        <v>177</v>
      </c>
      <c r="E4349" s="9" t="s">
        <v>17</v>
      </c>
      <c r="F4349" s="9" t="s">
        <v>60</v>
      </c>
      <c r="G4349" s="9">
        <v>6.0</v>
      </c>
      <c r="H4349" s="9" t="s">
        <v>25</v>
      </c>
      <c r="I4349" s="9" t="s">
        <v>266</v>
      </c>
      <c r="J4349" s="10"/>
      <c r="K4349" s="14" t="s">
        <v>398</v>
      </c>
      <c r="N4349" s="14" t="str">
        <f>IFERROR(__xludf.DUMMYFUNCTION("""COMPUTED_VALUE"""),"")</f>
        <v/>
      </c>
      <c r="O4349" s="14"/>
    </row>
    <row r="4350" ht="22.5" hidden="1" customHeight="1">
      <c r="A4350" s="8">
        <v>46124.44470296297</v>
      </c>
      <c r="B4350" s="14">
        <v>46124.0</v>
      </c>
      <c r="C4350" s="9" t="s">
        <v>58</v>
      </c>
      <c r="D4350" s="9" t="s">
        <v>412</v>
      </c>
      <c r="E4350" s="9" t="s">
        <v>17</v>
      </c>
      <c r="F4350" s="9" t="s">
        <v>17</v>
      </c>
      <c r="G4350" s="9">
        <v>7.0</v>
      </c>
      <c r="H4350" s="9" t="s">
        <v>22</v>
      </c>
      <c r="I4350" s="9" t="s">
        <v>20</v>
      </c>
      <c r="J4350" s="10"/>
      <c r="K4350" s="14" t="s">
        <v>398</v>
      </c>
      <c r="N4350" s="14" t="str">
        <f>IFERROR(__xludf.DUMMYFUNCTION("""COMPUTED_VALUE"""),"")</f>
        <v/>
      </c>
      <c r="O4350" s="14"/>
    </row>
    <row r="4351" ht="22.5" hidden="1" customHeight="1">
      <c r="A4351" s="8">
        <v>46124.44505355324</v>
      </c>
      <c r="B4351" s="14">
        <v>46124.0</v>
      </c>
      <c r="C4351" s="9" t="s">
        <v>58</v>
      </c>
      <c r="D4351" s="9" t="s">
        <v>413</v>
      </c>
      <c r="E4351" s="9" t="s">
        <v>17</v>
      </c>
      <c r="F4351" s="9" t="s">
        <v>17</v>
      </c>
      <c r="G4351" s="9">
        <v>7.0</v>
      </c>
      <c r="H4351" s="9" t="s">
        <v>22</v>
      </c>
      <c r="I4351" s="9" t="s">
        <v>20</v>
      </c>
      <c r="J4351" s="10"/>
      <c r="K4351" s="14" t="s">
        <v>398</v>
      </c>
      <c r="N4351" s="14" t="str">
        <f>IFERROR(__xludf.DUMMYFUNCTION("""COMPUTED_VALUE"""),"")</f>
        <v/>
      </c>
      <c r="O4351" s="14"/>
    </row>
    <row r="4352" ht="22.5" hidden="1" customHeight="1">
      <c r="A4352" s="8">
        <v>46124.44548820602</v>
      </c>
      <c r="B4352" s="14">
        <v>46124.0</v>
      </c>
      <c r="C4352" s="9" t="s">
        <v>58</v>
      </c>
      <c r="D4352" s="9" t="s">
        <v>178</v>
      </c>
      <c r="E4352" s="9" t="s">
        <v>17</v>
      </c>
      <c r="F4352" s="9" t="s">
        <v>60</v>
      </c>
      <c r="G4352" s="9" t="s">
        <v>410</v>
      </c>
      <c r="H4352" s="9" t="s">
        <v>22</v>
      </c>
      <c r="I4352" s="9" t="s">
        <v>435</v>
      </c>
      <c r="J4352" s="10"/>
      <c r="K4352" s="14" t="s">
        <v>398</v>
      </c>
      <c r="N4352" s="14" t="str">
        <f>IFERROR(__xludf.DUMMYFUNCTION("""COMPUTED_VALUE"""),"")</f>
        <v/>
      </c>
      <c r="O4352" s="14"/>
    </row>
    <row r="4353" ht="22.5" hidden="1" customHeight="1">
      <c r="A4353" s="8">
        <v>46124.44571510417</v>
      </c>
      <c r="B4353" s="14">
        <v>46124.0</v>
      </c>
      <c r="C4353" s="9" t="s">
        <v>58</v>
      </c>
      <c r="D4353" s="9" t="s">
        <v>280</v>
      </c>
      <c r="E4353" s="9" t="s">
        <v>17</v>
      </c>
      <c r="F4353" s="9" t="s">
        <v>17</v>
      </c>
      <c r="G4353" s="9">
        <v>7.0</v>
      </c>
      <c r="H4353" s="9" t="s">
        <v>22</v>
      </c>
      <c r="I4353" s="9" t="s">
        <v>20</v>
      </c>
      <c r="J4353" s="10"/>
      <c r="K4353" s="14" t="s">
        <v>398</v>
      </c>
      <c r="N4353" s="14" t="str">
        <f>IFERROR(__xludf.DUMMYFUNCTION("""COMPUTED_VALUE"""),"")</f>
        <v/>
      </c>
      <c r="O4353" s="14"/>
    </row>
    <row r="4354" ht="22.5" hidden="1" customHeight="1">
      <c r="A4354" s="8">
        <v>46124.445923437495</v>
      </c>
      <c r="B4354" s="14">
        <v>46124.0</v>
      </c>
      <c r="C4354" s="9" t="s">
        <v>58</v>
      </c>
      <c r="D4354" s="9" t="s">
        <v>105</v>
      </c>
      <c r="E4354" s="9" t="s">
        <v>17</v>
      </c>
      <c r="F4354" s="9" t="s">
        <v>17</v>
      </c>
      <c r="G4354" s="9">
        <v>7.0</v>
      </c>
      <c r="H4354" s="9" t="s">
        <v>22</v>
      </c>
      <c r="I4354" s="9" t="s">
        <v>20</v>
      </c>
      <c r="J4354" s="10"/>
      <c r="K4354" s="14" t="s">
        <v>398</v>
      </c>
      <c r="N4354" s="14" t="str">
        <f>IFERROR(__xludf.DUMMYFUNCTION("""COMPUTED_VALUE"""),"")</f>
        <v/>
      </c>
      <c r="O4354" s="14"/>
    </row>
    <row r="4355" ht="22.5" hidden="1" customHeight="1">
      <c r="A4355" s="8">
        <v>46124.446477488425</v>
      </c>
      <c r="B4355" s="14">
        <v>46124.0</v>
      </c>
      <c r="C4355" s="9" t="s">
        <v>58</v>
      </c>
      <c r="D4355" s="9" t="s">
        <v>257</v>
      </c>
      <c r="E4355" s="9" t="s">
        <v>17</v>
      </c>
      <c r="F4355" s="9" t="s">
        <v>17</v>
      </c>
      <c r="G4355" s="9">
        <v>6.0</v>
      </c>
      <c r="H4355" s="9" t="s">
        <v>25</v>
      </c>
      <c r="I4355" s="9" t="s">
        <v>240</v>
      </c>
      <c r="J4355" s="10"/>
      <c r="K4355" s="14" t="s">
        <v>398</v>
      </c>
      <c r="N4355" s="14" t="str">
        <f>IFERROR(__xludf.DUMMYFUNCTION("""COMPUTED_VALUE"""),"")</f>
        <v/>
      </c>
      <c r="O4355" s="14"/>
    </row>
    <row r="4356" ht="22.5" hidden="1" customHeight="1">
      <c r="A4356" s="8">
        <v>46124.446900324074</v>
      </c>
      <c r="B4356" s="14">
        <v>46124.0</v>
      </c>
      <c r="C4356" s="9" t="s">
        <v>58</v>
      </c>
      <c r="D4356" s="9" t="s">
        <v>357</v>
      </c>
      <c r="E4356" s="9" t="s">
        <v>17</v>
      </c>
      <c r="F4356" s="9" t="s">
        <v>17</v>
      </c>
      <c r="G4356" s="9">
        <v>7.0</v>
      </c>
      <c r="H4356" s="9" t="s">
        <v>25</v>
      </c>
      <c r="I4356" s="9" t="s">
        <v>89</v>
      </c>
      <c r="J4356" s="10"/>
      <c r="K4356" s="14" t="s">
        <v>398</v>
      </c>
      <c r="N4356" s="14" t="str">
        <f>IFERROR(__xludf.DUMMYFUNCTION("""COMPUTED_VALUE"""),"")</f>
        <v/>
      </c>
      <c r="O4356" s="14"/>
    </row>
    <row r="4357" ht="22.5" hidden="1" customHeight="1">
      <c r="A4357" s="8">
        <v>46124.447265208335</v>
      </c>
      <c r="B4357" s="14">
        <v>46124.0</v>
      </c>
      <c r="C4357" s="9" t="s">
        <v>58</v>
      </c>
      <c r="D4357" s="9" t="s">
        <v>393</v>
      </c>
      <c r="E4357" s="9" t="s">
        <v>17</v>
      </c>
      <c r="F4357" s="9" t="s">
        <v>17</v>
      </c>
      <c r="G4357" s="9">
        <v>6.0</v>
      </c>
      <c r="H4357" s="9" t="s">
        <v>25</v>
      </c>
      <c r="I4357" s="9" t="s">
        <v>137</v>
      </c>
      <c r="J4357" s="10"/>
      <c r="K4357" s="14" t="s">
        <v>398</v>
      </c>
      <c r="N4357" s="14" t="str">
        <f>IFERROR(__xludf.DUMMYFUNCTION("""COMPUTED_VALUE"""),"")</f>
        <v/>
      </c>
      <c r="O4357" s="14"/>
    </row>
    <row r="4358" ht="22.5" hidden="1" customHeight="1">
      <c r="A4358" s="8">
        <v>46124.44748949074</v>
      </c>
      <c r="B4358" s="14">
        <v>46124.0</v>
      </c>
      <c r="C4358" s="9" t="s">
        <v>58</v>
      </c>
      <c r="D4358" s="9" t="s">
        <v>408</v>
      </c>
      <c r="E4358" s="9" t="s">
        <v>17</v>
      </c>
      <c r="F4358" s="9" t="s">
        <v>17</v>
      </c>
      <c r="G4358" s="9">
        <v>7.0</v>
      </c>
      <c r="H4358" s="9" t="s">
        <v>22</v>
      </c>
      <c r="I4358" s="9" t="s">
        <v>20</v>
      </c>
      <c r="J4358" s="10"/>
      <c r="K4358" s="14" t="s">
        <v>398</v>
      </c>
      <c r="N4358" s="14" t="str">
        <f>IFERROR(__xludf.DUMMYFUNCTION("""COMPUTED_VALUE"""),"")</f>
        <v/>
      </c>
      <c r="O4358" s="14"/>
    </row>
    <row r="4359" ht="22.5" hidden="1" customHeight="1">
      <c r="A4359" s="8">
        <v>46124.44779101852</v>
      </c>
      <c r="B4359" s="14">
        <v>46124.0</v>
      </c>
      <c r="C4359" s="9" t="s">
        <v>58</v>
      </c>
      <c r="D4359" s="9" t="s">
        <v>369</v>
      </c>
      <c r="E4359" s="9" t="s">
        <v>46</v>
      </c>
      <c r="F4359" s="9" t="s">
        <v>60</v>
      </c>
      <c r="G4359" s="9" t="s">
        <v>410</v>
      </c>
      <c r="H4359" s="9" t="s">
        <v>25</v>
      </c>
      <c r="I4359" s="9" t="s">
        <v>207</v>
      </c>
      <c r="J4359" s="10"/>
      <c r="K4359" s="14" t="s">
        <v>398</v>
      </c>
      <c r="N4359" s="14" t="str">
        <f>IFERROR(__xludf.DUMMYFUNCTION("""COMPUTED_VALUE"""),"")</f>
        <v/>
      </c>
      <c r="O4359" s="14"/>
    </row>
    <row r="4360" ht="22.5" hidden="1" customHeight="1">
      <c r="A4360" s="8">
        <v>46124.44808825231</v>
      </c>
      <c r="B4360" s="14">
        <v>46124.0</v>
      </c>
      <c r="C4360" s="9" t="s">
        <v>58</v>
      </c>
      <c r="D4360" s="9" t="s">
        <v>414</v>
      </c>
      <c r="E4360" s="9" t="s">
        <v>17</v>
      </c>
      <c r="F4360" s="9" t="s">
        <v>17</v>
      </c>
      <c r="G4360" s="9">
        <v>6.0</v>
      </c>
      <c r="H4360" s="9" t="s">
        <v>22</v>
      </c>
      <c r="I4360" s="9" t="s">
        <v>20</v>
      </c>
      <c r="J4360" s="10"/>
      <c r="K4360" s="14" t="s">
        <v>398</v>
      </c>
      <c r="N4360" s="14" t="str">
        <f>IFERROR(__xludf.DUMMYFUNCTION("""COMPUTED_VALUE"""),"")</f>
        <v/>
      </c>
      <c r="O4360" s="14"/>
    </row>
    <row r="4361" ht="22.5" hidden="1" customHeight="1">
      <c r="A4361" s="8">
        <v>46124.4485722338</v>
      </c>
      <c r="B4361" s="14">
        <v>46124.0</v>
      </c>
      <c r="C4361" s="9" t="s">
        <v>58</v>
      </c>
      <c r="D4361" s="9" t="s">
        <v>247</v>
      </c>
      <c r="E4361" s="9" t="s">
        <v>17</v>
      </c>
      <c r="F4361" s="9" t="s">
        <v>17</v>
      </c>
      <c r="G4361" s="9">
        <v>7.0</v>
      </c>
      <c r="H4361" s="9" t="s">
        <v>22</v>
      </c>
      <c r="I4361" s="9" t="s">
        <v>20</v>
      </c>
      <c r="J4361" s="10"/>
      <c r="K4361" s="14" t="s">
        <v>398</v>
      </c>
      <c r="N4361" s="14" t="str">
        <f>IFERROR(__xludf.DUMMYFUNCTION("""COMPUTED_VALUE"""),"")</f>
        <v/>
      </c>
      <c r="O4361" s="14"/>
    </row>
    <row r="4362" ht="22.5" hidden="1" customHeight="1">
      <c r="A4362" s="8">
        <v>46124.44902288195</v>
      </c>
      <c r="B4362" s="14">
        <v>46124.0</v>
      </c>
      <c r="C4362" s="9" t="s">
        <v>58</v>
      </c>
      <c r="D4362" s="9" t="s">
        <v>210</v>
      </c>
      <c r="E4362" s="9" t="s">
        <v>46</v>
      </c>
      <c r="F4362" s="9" t="s">
        <v>17</v>
      </c>
      <c r="G4362" s="9">
        <v>6.0</v>
      </c>
      <c r="H4362" s="9" t="s">
        <v>22</v>
      </c>
      <c r="I4362" s="9" t="s">
        <v>20</v>
      </c>
      <c r="J4362" s="10"/>
      <c r="K4362" s="14" t="s">
        <v>398</v>
      </c>
      <c r="N4362" s="14" t="str">
        <f>IFERROR(__xludf.DUMMYFUNCTION("""COMPUTED_VALUE"""),"")</f>
        <v/>
      </c>
      <c r="O4362" s="14"/>
    </row>
    <row r="4363" ht="22.5" hidden="1" customHeight="1">
      <c r="A4363" s="8">
        <v>46124.4492602199</v>
      </c>
      <c r="B4363" s="14">
        <v>46124.0</v>
      </c>
      <c r="C4363" s="9" t="s">
        <v>58</v>
      </c>
      <c r="D4363" s="9" t="s">
        <v>350</v>
      </c>
      <c r="E4363" s="9" t="s">
        <v>17</v>
      </c>
      <c r="F4363" s="9" t="s">
        <v>17</v>
      </c>
      <c r="G4363" s="9">
        <v>7.0</v>
      </c>
      <c r="H4363" s="9" t="s">
        <v>22</v>
      </c>
      <c r="I4363" s="9" t="s">
        <v>20</v>
      </c>
      <c r="J4363" s="10"/>
      <c r="K4363" s="14" t="s">
        <v>398</v>
      </c>
      <c r="N4363" s="14" t="str">
        <f>IFERROR(__xludf.DUMMYFUNCTION("""COMPUTED_VALUE"""),"")</f>
        <v/>
      </c>
      <c r="O4363" s="14"/>
    </row>
    <row r="4364" ht="22.5" hidden="1" customHeight="1">
      <c r="A4364" s="8">
        <v>46124.44953846065</v>
      </c>
      <c r="B4364" s="14">
        <v>46124.0</v>
      </c>
      <c r="C4364" s="9" t="s">
        <v>58</v>
      </c>
      <c r="D4364" s="9" t="s">
        <v>258</v>
      </c>
      <c r="E4364" s="9" t="s">
        <v>17</v>
      </c>
      <c r="F4364" s="9" t="s">
        <v>17</v>
      </c>
      <c r="G4364" s="9">
        <v>7.0</v>
      </c>
      <c r="H4364" s="9" t="s">
        <v>22</v>
      </c>
      <c r="I4364" s="9" t="s">
        <v>20</v>
      </c>
      <c r="J4364" s="10"/>
      <c r="K4364" s="14" t="s">
        <v>398</v>
      </c>
      <c r="N4364" s="14" t="str">
        <f>IFERROR(__xludf.DUMMYFUNCTION("""COMPUTED_VALUE"""),"")</f>
        <v/>
      </c>
      <c r="O4364" s="14"/>
    </row>
    <row r="4365" ht="22.5" hidden="1" customHeight="1">
      <c r="A4365" s="8">
        <v>46124.44990327547</v>
      </c>
      <c r="B4365" s="14">
        <v>46124.0</v>
      </c>
      <c r="C4365" s="9" t="s">
        <v>58</v>
      </c>
      <c r="D4365" s="9" t="s">
        <v>335</v>
      </c>
      <c r="E4365" s="9" t="s">
        <v>17</v>
      </c>
      <c r="F4365" s="9" t="s">
        <v>17</v>
      </c>
      <c r="G4365" s="9">
        <v>6.0</v>
      </c>
      <c r="H4365" s="9" t="s">
        <v>25</v>
      </c>
      <c r="I4365" s="9" t="s">
        <v>434</v>
      </c>
      <c r="J4365" s="10"/>
      <c r="K4365" s="14" t="s">
        <v>398</v>
      </c>
      <c r="N4365" s="14" t="str">
        <f>IFERROR(__xludf.DUMMYFUNCTION("""COMPUTED_VALUE"""),"")</f>
        <v/>
      </c>
      <c r="O4365" s="14"/>
    </row>
    <row r="4366" ht="22.5" hidden="1" customHeight="1">
      <c r="A4366" s="8">
        <v>46124.4504843287</v>
      </c>
      <c r="B4366" s="14">
        <v>46124.0</v>
      </c>
      <c r="C4366" s="9" t="s">
        <v>58</v>
      </c>
      <c r="D4366" s="9" t="s">
        <v>171</v>
      </c>
      <c r="E4366" s="9" t="s">
        <v>46</v>
      </c>
      <c r="F4366" s="9" t="s">
        <v>17</v>
      </c>
      <c r="G4366" s="9">
        <v>6.0</v>
      </c>
      <c r="H4366" s="9" t="s">
        <v>22</v>
      </c>
      <c r="I4366" s="9" t="s">
        <v>20</v>
      </c>
      <c r="J4366" s="10"/>
      <c r="K4366" s="14" t="s">
        <v>398</v>
      </c>
      <c r="N4366" s="14" t="str">
        <f>IFERROR(__xludf.DUMMYFUNCTION("""COMPUTED_VALUE"""),"")</f>
        <v/>
      </c>
      <c r="O4366" s="14"/>
    </row>
    <row r="4367" ht="22.5" hidden="1" customHeight="1">
      <c r="A4367" s="8">
        <v>46124.451123692124</v>
      </c>
      <c r="B4367" s="14">
        <v>46124.0</v>
      </c>
      <c r="C4367" s="9" t="s">
        <v>58</v>
      </c>
      <c r="D4367" s="9" t="s">
        <v>421</v>
      </c>
      <c r="E4367" s="9" t="s">
        <v>46</v>
      </c>
      <c r="F4367" s="9" t="s">
        <v>17</v>
      </c>
      <c r="G4367" s="9">
        <v>7.0</v>
      </c>
      <c r="H4367" s="9" t="s">
        <v>22</v>
      </c>
      <c r="I4367" s="9" t="s">
        <v>20</v>
      </c>
      <c r="J4367" s="10"/>
      <c r="K4367" s="14" t="s">
        <v>398</v>
      </c>
      <c r="N4367" s="14" t="str">
        <f>IFERROR(__xludf.DUMMYFUNCTION("""COMPUTED_VALUE"""),"")</f>
        <v/>
      </c>
      <c r="O4367" s="14"/>
    </row>
    <row r="4368" ht="22.5" hidden="1" customHeight="1">
      <c r="A4368" s="8">
        <v>46124.465075451386</v>
      </c>
      <c r="B4368" s="14">
        <v>46124.0</v>
      </c>
      <c r="C4368" s="9" t="s">
        <v>58</v>
      </c>
      <c r="D4368" s="9" t="s">
        <v>395</v>
      </c>
      <c r="E4368" s="9" t="s">
        <v>17</v>
      </c>
      <c r="F4368" s="9" t="s">
        <v>17</v>
      </c>
      <c r="G4368" s="9">
        <v>7.0</v>
      </c>
      <c r="H4368" s="9" t="s">
        <v>22</v>
      </c>
      <c r="I4368" s="9" t="s">
        <v>20</v>
      </c>
      <c r="J4368" s="10"/>
      <c r="K4368" s="14" t="s">
        <v>398</v>
      </c>
      <c r="N4368" s="14" t="str">
        <f>IFERROR(__xludf.DUMMYFUNCTION("""COMPUTED_VALUE"""),"")</f>
        <v/>
      </c>
      <c r="O4368" s="14"/>
    </row>
    <row r="4369" ht="22.5" hidden="1" customHeight="1">
      <c r="A4369" s="8">
        <v>46125.63245056713</v>
      </c>
      <c r="B4369" s="14">
        <v>46125.0</v>
      </c>
      <c r="C4369" s="9" t="s">
        <v>86</v>
      </c>
      <c r="D4369" s="9" t="s">
        <v>257</v>
      </c>
      <c r="E4369" s="9" t="s">
        <v>17</v>
      </c>
      <c r="F4369" s="9" t="s">
        <v>17</v>
      </c>
      <c r="G4369" s="9" t="s">
        <v>409</v>
      </c>
      <c r="H4369" s="9" t="s">
        <v>17</v>
      </c>
      <c r="I4369" s="9" t="s">
        <v>20</v>
      </c>
      <c r="J4369" s="10"/>
      <c r="K4369" s="14" t="s">
        <v>398</v>
      </c>
      <c r="N4369" s="14" t="str">
        <f>IFERROR(__xludf.DUMMYFUNCTION("""COMPUTED_VALUE"""),"")</f>
        <v/>
      </c>
      <c r="O4369" s="14"/>
    </row>
    <row r="4370" ht="22.5" hidden="1" customHeight="1">
      <c r="A4370" s="8">
        <v>46125.63355013889</v>
      </c>
      <c r="B4370" s="14">
        <v>46125.0</v>
      </c>
      <c r="C4370" s="9" t="s">
        <v>86</v>
      </c>
      <c r="D4370" s="9" t="s">
        <v>258</v>
      </c>
      <c r="E4370" s="9" t="s">
        <v>17</v>
      </c>
      <c r="F4370" s="9" t="s">
        <v>17</v>
      </c>
      <c r="G4370" s="9">
        <v>8.0</v>
      </c>
      <c r="H4370" s="9" t="s">
        <v>17</v>
      </c>
      <c r="I4370" s="9" t="s">
        <v>20</v>
      </c>
      <c r="J4370" s="10"/>
      <c r="K4370" s="14">
        <v>6.0</v>
      </c>
      <c r="N4370" s="14" t="str">
        <f>IFERROR(__xludf.DUMMYFUNCTION("""COMPUTED_VALUE"""),"")</f>
        <v/>
      </c>
      <c r="O4370" s="14"/>
    </row>
    <row r="4371" ht="22.5" hidden="1" customHeight="1">
      <c r="A4371" s="8">
        <v>46125.63412870371</v>
      </c>
      <c r="B4371" s="14">
        <v>46125.0</v>
      </c>
      <c r="C4371" s="9" t="s">
        <v>86</v>
      </c>
      <c r="D4371" s="9" t="s">
        <v>249</v>
      </c>
      <c r="E4371" s="9" t="s">
        <v>17</v>
      </c>
      <c r="F4371" s="9" t="s">
        <v>17</v>
      </c>
      <c r="G4371" s="9">
        <v>8.0</v>
      </c>
      <c r="H4371" s="9" t="s">
        <v>22</v>
      </c>
      <c r="I4371" s="9" t="s">
        <v>20</v>
      </c>
      <c r="J4371" s="10"/>
      <c r="K4371" s="14">
        <v>10.0</v>
      </c>
      <c r="N4371" s="14" t="str">
        <f>IFERROR(__xludf.DUMMYFUNCTION("""COMPUTED_VALUE"""),"")</f>
        <v/>
      </c>
      <c r="O4371" s="14"/>
    </row>
    <row r="4372" ht="22.5" hidden="1" customHeight="1">
      <c r="A4372" s="8">
        <v>46125.634182037036</v>
      </c>
      <c r="B4372" s="14">
        <v>46125.0</v>
      </c>
      <c r="C4372" s="9" t="s">
        <v>86</v>
      </c>
      <c r="D4372" s="9" t="s">
        <v>280</v>
      </c>
      <c r="E4372" s="9" t="s">
        <v>17</v>
      </c>
      <c r="F4372" s="9" t="s">
        <v>17</v>
      </c>
      <c r="G4372" s="9">
        <v>8.0</v>
      </c>
      <c r="H4372" s="9" t="s">
        <v>22</v>
      </c>
      <c r="I4372" s="9" t="s">
        <v>20</v>
      </c>
      <c r="J4372" s="10"/>
      <c r="K4372" s="14" t="s">
        <v>398</v>
      </c>
      <c r="N4372" s="14" t="str">
        <f>IFERROR(__xludf.DUMMYFUNCTION("""COMPUTED_VALUE"""),"")</f>
        <v/>
      </c>
      <c r="O4372" s="14"/>
    </row>
    <row r="4373" ht="22.5" hidden="1" customHeight="1">
      <c r="A4373" s="8">
        <v>46125.63456361111</v>
      </c>
      <c r="B4373" s="14">
        <v>46125.0</v>
      </c>
      <c r="C4373" s="9" t="s">
        <v>86</v>
      </c>
      <c r="D4373" s="9" t="s">
        <v>257</v>
      </c>
      <c r="E4373" s="9" t="s">
        <v>17</v>
      </c>
      <c r="F4373" s="9" t="s">
        <v>17</v>
      </c>
      <c r="G4373" s="9" t="s">
        <v>409</v>
      </c>
      <c r="H4373" s="9" t="s">
        <v>17</v>
      </c>
      <c r="I4373" s="9" t="s">
        <v>20</v>
      </c>
      <c r="J4373" s="10"/>
      <c r="K4373" s="14" t="s">
        <v>398</v>
      </c>
      <c r="N4373" s="14" t="str">
        <f>IFERROR(__xludf.DUMMYFUNCTION("""COMPUTED_VALUE"""),"")</f>
        <v/>
      </c>
      <c r="O4373" s="14"/>
    </row>
    <row r="4374" ht="22.5" hidden="1" customHeight="1">
      <c r="A4374" s="8">
        <v>46125.63537762732</v>
      </c>
      <c r="B4374" s="14">
        <v>46125.0</v>
      </c>
      <c r="C4374" s="9" t="s">
        <v>86</v>
      </c>
      <c r="D4374" s="9" t="s">
        <v>105</v>
      </c>
      <c r="E4374" s="9" t="s">
        <v>17</v>
      </c>
      <c r="F4374" s="9" t="s">
        <v>17</v>
      </c>
      <c r="G4374" s="9">
        <v>8.0</v>
      </c>
      <c r="H4374" s="9" t="s">
        <v>22</v>
      </c>
      <c r="I4374" s="9" t="s">
        <v>20</v>
      </c>
      <c r="J4374" s="10"/>
      <c r="K4374" s="14" t="s">
        <v>398</v>
      </c>
      <c r="N4374" s="14" t="str">
        <f>IFERROR(__xludf.DUMMYFUNCTION("""COMPUTED_VALUE"""),"")</f>
        <v/>
      </c>
      <c r="O4374" s="14"/>
    </row>
    <row r="4375" ht="22.5" hidden="1" customHeight="1">
      <c r="A4375" s="8">
        <v>46125.63998180555</v>
      </c>
      <c r="B4375" s="14">
        <v>46125.0</v>
      </c>
      <c r="C4375" s="9" t="s">
        <v>86</v>
      </c>
      <c r="D4375" s="9" t="s">
        <v>412</v>
      </c>
      <c r="E4375" s="9" t="s">
        <v>17</v>
      </c>
      <c r="F4375" s="9" t="s">
        <v>17</v>
      </c>
      <c r="G4375" s="9">
        <v>8.0</v>
      </c>
      <c r="H4375" s="9" t="s">
        <v>17</v>
      </c>
      <c r="I4375" s="9" t="s">
        <v>20</v>
      </c>
      <c r="J4375" s="10"/>
      <c r="K4375" s="14">
        <v>4.0</v>
      </c>
      <c r="N4375" s="14" t="str">
        <f>IFERROR(__xludf.DUMMYFUNCTION("""COMPUTED_VALUE"""),"")</f>
        <v/>
      </c>
      <c r="O4375" s="14"/>
    </row>
    <row r="4376" ht="22.5" hidden="1" customHeight="1">
      <c r="A4376" s="8">
        <v>46125.64077832176</v>
      </c>
      <c r="B4376" s="14">
        <v>46125.0</v>
      </c>
      <c r="C4376" s="9" t="s">
        <v>86</v>
      </c>
      <c r="D4376" s="9" t="s">
        <v>335</v>
      </c>
      <c r="E4376" s="9" t="s">
        <v>17</v>
      </c>
      <c r="F4376" s="9" t="s">
        <v>17</v>
      </c>
      <c r="G4376" s="9" t="s">
        <v>409</v>
      </c>
      <c r="H4376" s="9" t="s">
        <v>25</v>
      </c>
      <c r="I4376" s="9" t="s">
        <v>434</v>
      </c>
      <c r="J4376" s="10"/>
      <c r="K4376" s="14">
        <v>6.0</v>
      </c>
      <c r="N4376" s="14" t="str">
        <f>IFERROR(__xludf.DUMMYFUNCTION("""COMPUTED_VALUE"""),"")</f>
        <v/>
      </c>
      <c r="O4376" s="14"/>
    </row>
    <row r="4377" ht="22.5" hidden="1" customHeight="1">
      <c r="A4377" s="8">
        <v>46125.64479892361</v>
      </c>
      <c r="B4377" s="14">
        <v>46125.0</v>
      </c>
      <c r="C4377" s="9" t="s">
        <v>86</v>
      </c>
      <c r="D4377" s="9" t="s">
        <v>423</v>
      </c>
      <c r="E4377" s="9" t="s">
        <v>17</v>
      </c>
      <c r="F4377" s="9" t="s">
        <v>17</v>
      </c>
      <c r="G4377" s="9" t="s">
        <v>409</v>
      </c>
      <c r="H4377" s="9" t="s">
        <v>22</v>
      </c>
      <c r="I4377" s="9" t="s">
        <v>20</v>
      </c>
      <c r="J4377" s="10"/>
      <c r="K4377" s="14">
        <v>7.0</v>
      </c>
      <c r="N4377" s="14" t="str">
        <f>IFERROR(__xludf.DUMMYFUNCTION("""COMPUTED_VALUE"""),"")</f>
        <v/>
      </c>
      <c r="O4377" s="14"/>
    </row>
    <row r="4378" ht="22.5" hidden="1" customHeight="1">
      <c r="A4378" s="8">
        <v>46125.64496975695</v>
      </c>
      <c r="B4378" s="14">
        <v>46125.0</v>
      </c>
      <c r="C4378" s="9" t="s">
        <v>86</v>
      </c>
      <c r="D4378" s="9" t="s">
        <v>395</v>
      </c>
      <c r="E4378" s="9" t="s">
        <v>17</v>
      </c>
      <c r="F4378" s="9" t="s">
        <v>17</v>
      </c>
      <c r="G4378" s="9" t="s">
        <v>409</v>
      </c>
      <c r="H4378" s="9" t="s">
        <v>17</v>
      </c>
      <c r="I4378" s="9" t="s">
        <v>20</v>
      </c>
      <c r="J4378" s="10"/>
      <c r="K4378" s="14">
        <v>5.0</v>
      </c>
      <c r="N4378" s="14" t="str">
        <f>IFERROR(__xludf.DUMMYFUNCTION("""COMPUTED_VALUE"""),"")</f>
        <v/>
      </c>
      <c r="O4378" s="14"/>
    </row>
    <row r="4379" ht="22.5" hidden="1" customHeight="1">
      <c r="A4379" s="8">
        <v>46125.64516685186</v>
      </c>
      <c r="B4379" s="14">
        <v>46125.0</v>
      </c>
      <c r="C4379" s="9" t="s">
        <v>86</v>
      </c>
      <c r="D4379" s="9" t="s">
        <v>408</v>
      </c>
      <c r="E4379" s="9" t="s">
        <v>17</v>
      </c>
      <c r="F4379" s="9" t="s">
        <v>17</v>
      </c>
      <c r="G4379" s="9">
        <v>8.0</v>
      </c>
      <c r="H4379" s="9" t="s">
        <v>22</v>
      </c>
      <c r="I4379" s="9" t="s">
        <v>20</v>
      </c>
      <c r="J4379" s="10"/>
      <c r="K4379" s="14" t="s">
        <v>398</v>
      </c>
      <c r="N4379" s="14" t="str">
        <f>IFERROR(__xludf.DUMMYFUNCTION("""COMPUTED_VALUE"""),"")</f>
        <v/>
      </c>
      <c r="O4379" s="14"/>
    </row>
    <row r="4380" ht="22.5" hidden="1" customHeight="1">
      <c r="A4380" s="8">
        <v>46125.64597615741</v>
      </c>
      <c r="B4380" s="14">
        <v>46125.0</v>
      </c>
      <c r="C4380" s="9" t="s">
        <v>86</v>
      </c>
      <c r="D4380" s="9" t="s">
        <v>177</v>
      </c>
      <c r="E4380" s="9" t="s">
        <v>17</v>
      </c>
      <c r="F4380" s="9" t="s">
        <v>17</v>
      </c>
      <c r="G4380" s="9">
        <v>8.0</v>
      </c>
      <c r="H4380" s="9" t="s">
        <v>25</v>
      </c>
      <c r="I4380" s="9" t="s">
        <v>266</v>
      </c>
      <c r="J4380" s="10"/>
      <c r="K4380" s="14" t="s">
        <v>398</v>
      </c>
      <c r="N4380" s="14" t="str">
        <f>IFERROR(__xludf.DUMMYFUNCTION("""COMPUTED_VALUE"""),"")</f>
        <v/>
      </c>
      <c r="O4380" s="14"/>
    </row>
    <row r="4381" ht="22.5" hidden="1" customHeight="1">
      <c r="A4381" s="8">
        <v>46125.653163738425</v>
      </c>
      <c r="B4381" s="14">
        <v>46125.0</v>
      </c>
      <c r="C4381" s="9" t="s">
        <v>86</v>
      </c>
      <c r="D4381" s="9" t="s">
        <v>369</v>
      </c>
      <c r="E4381" s="9" t="s">
        <v>17</v>
      </c>
      <c r="F4381" s="9" t="s">
        <v>17</v>
      </c>
      <c r="G4381" s="9" t="s">
        <v>409</v>
      </c>
      <c r="H4381" s="9" t="s">
        <v>17</v>
      </c>
      <c r="I4381" s="9" t="s">
        <v>20</v>
      </c>
      <c r="J4381" s="10"/>
      <c r="K4381" s="14" t="s">
        <v>398</v>
      </c>
      <c r="N4381" s="14" t="str">
        <f>IFERROR(__xludf.DUMMYFUNCTION("""COMPUTED_VALUE"""),"")</f>
        <v/>
      </c>
      <c r="O4381" s="14"/>
    </row>
    <row r="4382" ht="22.5" hidden="1" customHeight="1">
      <c r="A4382" s="8">
        <v>46125.65397746528</v>
      </c>
      <c r="B4382" s="14">
        <v>46125.0</v>
      </c>
      <c r="C4382" s="9" t="s">
        <v>86</v>
      </c>
      <c r="D4382" s="9" t="s">
        <v>178</v>
      </c>
      <c r="E4382" s="9" t="s">
        <v>17</v>
      </c>
      <c r="F4382" s="9" t="s">
        <v>17</v>
      </c>
      <c r="G4382" s="9" t="s">
        <v>409</v>
      </c>
      <c r="H4382" s="9" t="s">
        <v>25</v>
      </c>
      <c r="I4382" s="9" t="s">
        <v>79</v>
      </c>
      <c r="J4382" s="10"/>
      <c r="K4382" s="14" t="s">
        <v>398</v>
      </c>
      <c r="N4382" s="14" t="str">
        <f>IFERROR(__xludf.DUMMYFUNCTION("""COMPUTED_VALUE"""),"")</f>
        <v/>
      </c>
      <c r="O4382" s="14"/>
    </row>
    <row r="4383" ht="22.5" hidden="1" customHeight="1">
      <c r="A4383" s="8">
        <v>46125.65498074074</v>
      </c>
      <c r="B4383" s="14">
        <v>46125.0</v>
      </c>
      <c r="C4383" s="9" t="s">
        <v>86</v>
      </c>
      <c r="D4383" s="9" t="s">
        <v>350</v>
      </c>
      <c r="E4383" s="9" t="s">
        <v>17</v>
      </c>
      <c r="F4383" s="9" t="s">
        <v>17</v>
      </c>
      <c r="G4383" s="9">
        <v>7.0</v>
      </c>
      <c r="H4383" s="9" t="s">
        <v>17</v>
      </c>
      <c r="I4383" s="9" t="s">
        <v>20</v>
      </c>
      <c r="J4383" s="10"/>
      <c r="K4383" s="14" t="s">
        <v>398</v>
      </c>
      <c r="N4383" s="14" t="str">
        <f>IFERROR(__xludf.DUMMYFUNCTION("""COMPUTED_VALUE"""),"")</f>
        <v/>
      </c>
      <c r="O4383" s="14"/>
    </row>
    <row r="4384" ht="22.5" hidden="1" customHeight="1">
      <c r="A4384" s="8">
        <v>46125.65668337963</v>
      </c>
      <c r="B4384" s="14">
        <v>46125.0</v>
      </c>
      <c r="C4384" s="9" t="s">
        <v>86</v>
      </c>
      <c r="D4384" s="9" t="s">
        <v>414</v>
      </c>
      <c r="E4384" s="9" t="s">
        <v>17</v>
      </c>
      <c r="F4384" s="9" t="s">
        <v>17</v>
      </c>
      <c r="G4384" s="9">
        <v>7.0</v>
      </c>
      <c r="H4384" s="9" t="s">
        <v>17</v>
      </c>
      <c r="I4384" s="9" t="s">
        <v>20</v>
      </c>
      <c r="J4384" s="10"/>
      <c r="K4384" s="14" t="s">
        <v>398</v>
      </c>
      <c r="N4384" s="14" t="str">
        <f>IFERROR(__xludf.DUMMYFUNCTION("""COMPUTED_VALUE"""),"")</f>
        <v/>
      </c>
      <c r="O4384" s="14"/>
    </row>
    <row r="4385" ht="22.5" hidden="1" customHeight="1">
      <c r="A4385" s="8">
        <v>46125.657261643515</v>
      </c>
      <c r="B4385" s="14">
        <v>46125.0</v>
      </c>
      <c r="C4385" s="9" t="s">
        <v>86</v>
      </c>
      <c r="D4385" s="9" t="s">
        <v>357</v>
      </c>
      <c r="E4385" s="9" t="s">
        <v>17</v>
      </c>
      <c r="F4385" s="9" t="s">
        <v>17</v>
      </c>
      <c r="G4385" s="9">
        <v>7.0</v>
      </c>
      <c r="H4385" s="9" t="s">
        <v>22</v>
      </c>
      <c r="I4385" s="9" t="s">
        <v>20</v>
      </c>
      <c r="J4385" s="10"/>
      <c r="K4385" s="14" t="s">
        <v>398</v>
      </c>
      <c r="N4385" s="14" t="str">
        <f>IFERROR(__xludf.DUMMYFUNCTION("""COMPUTED_VALUE"""),"")</f>
        <v/>
      </c>
      <c r="O4385" s="14"/>
    </row>
    <row r="4386" ht="22.5" hidden="1" customHeight="1">
      <c r="A4386" s="8">
        <v>46125.657541423614</v>
      </c>
      <c r="B4386" s="14">
        <v>46125.0</v>
      </c>
      <c r="C4386" s="9" t="s">
        <v>86</v>
      </c>
      <c r="D4386" s="9" t="s">
        <v>421</v>
      </c>
      <c r="E4386" s="9" t="s">
        <v>17</v>
      </c>
      <c r="F4386" s="9" t="s">
        <v>17</v>
      </c>
      <c r="G4386" s="9">
        <v>8.0</v>
      </c>
      <c r="H4386" s="9" t="s">
        <v>22</v>
      </c>
      <c r="I4386" s="9" t="s">
        <v>20</v>
      </c>
      <c r="J4386" s="10"/>
      <c r="K4386" s="14" t="s">
        <v>398</v>
      </c>
      <c r="N4386" s="14" t="str">
        <f>IFERROR(__xludf.DUMMYFUNCTION("""COMPUTED_VALUE"""),"")</f>
        <v/>
      </c>
      <c r="O4386" s="14"/>
    </row>
    <row r="4387" ht="22.5" hidden="1" customHeight="1">
      <c r="A4387" s="8">
        <v>46125.65779678241</v>
      </c>
      <c r="B4387" s="14">
        <v>46125.0</v>
      </c>
      <c r="C4387" s="9" t="s">
        <v>86</v>
      </c>
      <c r="D4387" s="9" t="s">
        <v>393</v>
      </c>
      <c r="E4387" s="9" t="s">
        <v>17</v>
      </c>
      <c r="F4387" s="9" t="s">
        <v>17</v>
      </c>
      <c r="G4387" s="9">
        <v>8.0</v>
      </c>
      <c r="H4387" s="9" t="s">
        <v>17</v>
      </c>
      <c r="I4387" s="9" t="s">
        <v>20</v>
      </c>
      <c r="J4387" s="10"/>
      <c r="K4387" s="14">
        <v>4.0</v>
      </c>
      <c r="N4387" s="14" t="str">
        <f>IFERROR(__xludf.DUMMYFUNCTION("""COMPUTED_VALUE"""),"")</f>
        <v/>
      </c>
      <c r="O4387" s="14"/>
    </row>
    <row r="4388" ht="22.5" hidden="1" customHeight="1">
      <c r="A4388" s="8">
        <v>46125.66266851852</v>
      </c>
      <c r="B4388" s="14">
        <v>46125.0</v>
      </c>
      <c r="C4388" s="9" t="s">
        <v>86</v>
      </c>
      <c r="D4388" s="9" t="s">
        <v>171</v>
      </c>
      <c r="E4388" s="9" t="s">
        <v>17</v>
      </c>
      <c r="F4388" s="9" t="s">
        <v>17</v>
      </c>
      <c r="G4388" s="9" t="s">
        <v>409</v>
      </c>
      <c r="H4388" s="9" t="s">
        <v>25</v>
      </c>
      <c r="I4388" s="9" t="s">
        <v>242</v>
      </c>
      <c r="J4388" s="10"/>
      <c r="K4388" s="14" t="s">
        <v>398</v>
      </c>
      <c r="N4388" s="14" t="str">
        <f>IFERROR(__xludf.DUMMYFUNCTION("""COMPUTED_VALUE"""),"")</f>
        <v/>
      </c>
      <c r="O4388" s="14"/>
    </row>
    <row r="4389" ht="22.5" hidden="1" customHeight="1">
      <c r="A4389" s="8">
        <v>46125.68437635417</v>
      </c>
      <c r="B4389" s="14">
        <v>46125.0</v>
      </c>
      <c r="C4389" s="9" t="s">
        <v>86</v>
      </c>
      <c r="D4389" s="9" t="s">
        <v>259</v>
      </c>
      <c r="E4389" s="9" t="s">
        <v>17</v>
      </c>
      <c r="F4389" s="9" t="s">
        <v>17</v>
      </c>
      <c r="G4389" s="9" t="s">
        <v>409</v>
      </c>
      <c r="H4389" s="9" t="s">
        <v>22</v>
      </c>
      <c r="I4389" s="9" t="s">
        <v>20</v>
      </c>
      <c r="J4389" s="10"/>
      <c r="K4389" s="14" t="s">
        <v>398</v>
      </c>
      <c r="N4389" s="14" t="str">
        <f>IFERROR(__xludf.DUMMYFUNCTION("""COMPUTED_VALUE"""),"")</f>
        <v/>
      </c>
      <c r="O4389" s="14"/>
    </row>
    <row r="4390" ht="22.5" hidden="1" customHeight="1">
      <c r="A4390" s="8">
        <v>46128.34038303241</v>
      </c>
      <c r="B4390" s="14">
        <v>46128.0</v>
      </c>
      <c r="C4390" s="9" t="s">
        <v>31</v>
      </c>
      <c r="D4390" s="9" t="s">
        <v>280</v>
      </c>
      <c r="E4390" s="9" t="s">
        <v>17</v>
      </c>
      <c r="F4390" s="9" t="s">
        <v>17</v>
      </c>
      <c r="G4390" s="9">
        <v>7.0</v>
      </c>
      <c r="H4390" s="9" t="s">
        <v>22</v>
      </c>
      <c r="I4390" s="9" t="s">
        <v>20</v>
      </c>
      <c r="J4390" s="10"/>
      <c r="K4390" s="14" t="s">
        <v>398</v>
      </c>
      <c r="N4390" s="14" t="str">
        <f>IFERROR(__xludf.DUMMYFUNCTION("""COMPUTED_VALUE"""),"")</f>
        <v/>
      </c>
      <c r="O4390" s="14"/>
    </row>
    <row r="4391" ht="22.5" hidden="1" customHeight="1">
      <c r="A4391" s="8">
        <v>46128.340913692125</v>
      </c>
      <c r="B4391" s="14">
        <v>46128.0</v>
      </c>
      <c r="C4391" s="9" t="s">
        <v>31</v>
      </c>
      <c r="D4391" s="9" t="s">
        <v>105</v>
      </c>
      <c r="E4391" s="9" t="s">
        <v>17</v>
      </c>
      <c r="F4391" s="9" t="s">
        <v>17</v>
      </c>
      <c r="G4391" s="9">
        <v>7.0</v>
      </c>
      <c r="H4391" s="9" t="s">
        <v>22</v>
      </c>
      <c r="I4391" s="9" t="s">
        <v>20</v>
      </c>
      <c r="J4391" s="10"/>
      <c r="K4391" s="14" t="s">
        <v>398</v>
      </c>
      <c r="N4391" s="14" t="str">
        <f>IFERROR(__xludf.DUMMYFUNCTION("""COMPUTED_VALUE"""),"")</f>
        <v/>
      </c>
      <c r="O4391" s="14"/>
    </row>
    <row r="4392" ht="22.5" hidden="1" customHeight="1">
      <c r="A4392" s="8">
        <v>46128.34292710648</v>
      </c>
      <c r="B4392" s="14">
        <v>46128.0</v>
      </c>
      <c r="C4392" s="9" t="s">
        <v>31</v>
      </c>
      <c r="D4392" s="9" t="s">
        <v>249</v>
      </c>
      <c r="E4392" s="9" t="s">
        <v>17</v>
      </c>
      <c r="F4392" s="9" t="s">
        <v>17</v>
      </c>
      <c r="G4392" s="9">
        <v>8.0</v>
      </c>
      <c r="H4392" s="9" t="s">
        <v>25</v>
      </c>
      <c r="I4392" s="9" t="s">
        <v>79</v>
      </c>
      <c r="J4392" s="10"/>
      <c r="K4392" s="14">
        <v>5.0</v>
      </c>
      <c r="N4392" s="14" t="str">
        <f>IFERROR(__xludf.DUMMYFUNCTION("""COMPUTED_VALUE"""),"")</f>
        <v/>
      </c>
      <c r="O4392" s="14"/>
    </row>
    <row r="4393" ht="22.5" hidden="1" customHeight="1">
      <c r="A4393" s="8">
        <v>46128.35693190972</v>
      </c>
      <c r="B4393" s="14">
        <v>46128.0</v>
      </c>
      <c r="C4393" s="9" t="s">
        <v>31</v>
      </c>
      <c r="D4393" s="9" t="s">
        <v>177</v>
      </c>
      <c r="E4393" s="9" t="s">
        <v>17</v>
      </c>
      <c r="F4393" s="9" t="s">
        <v>17</v>
      </c>
      <c r="G4393" s="9">
        <v>8.0</v>
      </c>
      <c r="H4393" s="9" t="s">
        <v>25</v>
      </c>
      <c r="I4393" s="9" t="s">
        <v>290</v>
      </c>
      <c r="J4393" s="10"/>
      <c r="K4393" s="14" t="s">
        <v>398</v>
      </c>
      <c r="N4393" s="14" t="str">
        <f>IFERROR(__xludf.DUMMYFUNCTION("""COMPUTED_VALUE"""),"")</f>
        <v/>
      </c>
      <c r="O4393" s="14"/>
    </row>
    <row r="4394" ht="22.5" hidden="1" customHeight="1">
      <c r="A4394" s="8">
        <v>46128.36859017361</v>
      </c>
      <c r="B4394" s="14">
        <v>46128.0</v>
      </c>
      <c r="C4394" s="9" t="s">
        <v>31</v>
      </c>
      <c r="D4394" s="9" t="s">
        <v>395</v>
      </c>
      <c r="E4394" s="9" t="s">
        <v>17</v>
      </c>
      <c r="F4394" s="9" t="s">
        <v>17</v>
      </c>
      <c r="G4394" s="9">
        <v>7.0</v>
      </c>
      <c r="H4394" s="9" t="s">
        <v>22</v>
      </c>
      <c r="I4394" s="9" t="s">
        <v>20</v>
      </c>
      <c r="J4394" s="10"/>
      <c r="K4394" s="14">
        <v>5.0</v>
      </c>
      <c r="N4394" s="14" t="str">
        <f>IFERROR(__xludf.DUMMYFUNCTION("""COMPUTED_VALUE"""),"")</f>
        <v/>
      </c>
      <c r="O4394" s="14"/>
    </row>
    <row r="4395" ht="22.5" hidden="1" customHeight="1">
      <c r="A4395" s="8">
        <v>46128.36884420139</v>
      </c>
      <c r="B4395" s="14">
        <v>46128.0</v>
      </c>
      <c r="C4395" s="9" t="s">
        <v>31</v>
      </c>
      <c r="D4395" s="9" t="s">
        <v>393</v>
      </c>
      <c r="E4395" s="9" t="s">
        <v>17</v>
      </c>
      <c r="F4395" s="9" t="s">
        <v>17</v>
      </c>
      <c r="G4395" s="9">
        <v>7.0</v>
      </c>
      <c r="H4395" s="9" t="s">
        <v>22</v>
      </c>
      <c r="I4395" s="9" t="s">
        <v>20</v>
      </c>
      <c r="J4395" s="10"/>
      <c r="K4395" s="14">
        <v>4.0</v>
      </c>
      <c r="N4395" s="14" t="str">
        <f>IFERROR(__xludf.DUMMYFUNCTION("""COMPUTED_VALUE"""),"")</f>
        <v/>
      </c>
      <c r="O4395" s="14"/>
    </row>
    <row r="4396" ht="22.5" hidden="1" customHeight="1">
      <c r="A4396" s="8">
        <v>46128.369190625</v>
      </c>
      <c r="B4396" s="14">
        <v>46128.0</v>
      </c>
      <c r="C4396" s="9" t="s">
        <v>31</v>
      </c>
      <c r="D4396" s="9" t="s">
        <v>408</v>
      </c>
      <c r="E4396" s="9" t="s">
        <v>17</v>
      </c>
      <c r="F4396" s="9" t="s">
        <v>17</v>
      </c>
      <c r="G4396" s="9">
        <v>7.0</v>
      </c>
      <c r="H4396" s="9" t="s">
        <v>25</v>
      </c>
      <c r="I4396" s="9" t="s">
        <v>34</v>
      </c>
      <c r="J4396" s="10"/>
      <c r="K4396" s="14">
        <v>5.0</v>
      </c>
      <c r="N4396" s="14" t="str">
        <f>IFERROR(__xludf.DUMMYFUNCTION("""COMPUTED_VALUE"""),"")</f>
        <v/>
      </c>
      <c r="O4396" s="14"/>
    </row>
    <row r="4397" ht="22.5" hidden="1" customHeight="1">
      <c r="A4397" s="8">
        <v>46128.36992769676</v>
      </c>
      <c r="B4397" s="14">
        <v>46128.0</v>
      </c>
      <c r="C4397" s="9" t="s">
        <v>31</v>
      </c>
      <c r="D4397" s="9" t="s">
        <v>413</v>
      </c>
      <c r="E4397" s="9" t="s">
        <v>17</v>
      </c>
      <c r="F4397" s="9" t="s">
        <v>17</v>
      </c>
      <c r="G4397" s="9">
        <v>7.0</v>
      </c>
      <c r="H4397" s="9" t="s">
        <v>22</v>
      </c>
      <c r="I4397" s="9" t="s">
        <v>20</v>
      </c>
      <c r="J4397" s="10"/>
      <c r="K4397" s="14">
        <v>5.0</v>
      </c>
      <c r="N4397" s="14" t="str">
        <f>IFERROR(__xludf.DUMMYFUNCTION("""COMPUTED_VALUE"""),"")</f>
        <v/>
      </c>
      <c r="O4397" s="14"/>
    </row>
    <row r="4398" ht="22.5" hidden="1" customHeight="1">
      <c r="A4398" s="8">
        <v>46128.37567072916</v>
      </c>
      <c r="B4398" s="14">
        <v>46128.0</v>
      </c>
      <c r="C4398" s="9" t="s">
        <v>31</v>
      </c>
      <c r="D4398" s="9" t="s">
        <v>357</v>
      </c>
      <c r="E4398" s="9" t="s">
        <v>17</v>
      </c>
      <c r="F4398" s="9" t="s">
        <v>17</v>
      </c>
      <c r="G4398" s="9">
        <v>7.0</v>
      </c>
      <c r="H4398" s="9" t="s">
        <v>25</v>
      </c>
      <c r="I4398" s="9" t="s">
        <v>240</v>
      </c>
      <c r="J4398" s="10"/>
      <c r="K4398" s="14" t="s">
        <v>398</v>
      </c>
      <c r="N4398" s="14" t="str">
        <f>IFERROR(__xludf.DUMMYFUNCTION("""COMPUTED_VALUE"""),"")</f>
        <v/>
      </c>
      <c r="O4398" s="14"/>
    </row>
    <row r="4399" ht="22.5" hidden="1" customHeight="1">
      <c r="A4399" s="8">
        <v>46128.37640498843</v>
      </c>
      <c r="B4399" s="14">
        <v>46128.0</v>
      </c>
      <c r="C4399" s="9" t="s">
        <v>31</v>
      </c>
      <c r="D4399" s="9" t="s">
        <v>335</v>
      </c>
      <c r="E4399" s="9" t="s">
        <v>17</v>
      </c>
      <c r="F4399" s="9" t="s">
        <v>17</v>
      </c>
      <c r="G4399" s="9">
        <v>7.0</v>
      </c>
      <c r="H4399" s="9" t="s">
        <v>25</v>
      </c>
      <c r="I4399" s="9" t="s">
        <v>434</v>
      </c>
      <c r="J4399" s="10"/>
      <c r="K4399" s="14">
        <v>5.0</v>
      </c>
      <c r="N4399" s="14" t="str">
        <f>IFERROR(__xludf.DUMMYFUNCTION("""COMPUTED_VALUE"""),"")</f>
        <v/>
      </c>
      <c r="O4399" s="14"/>
    </row>
    <row r="4400" ht="22.5" hidden="1" customHeight="1">
      <c r="A4400" s="8">
        <v>46128.37670496528</v>
      </c>
      <c r="B4400" s="14">
        <v>46128.0</v>
      </c>
      <c r="C4400" s="9" t="s">
        <v>31</v>
      </c>
      <c r="D4400" s="9" t="s">
        <v>174</v>
      </c>
      <c r="E4400" s="9" t="s">
        <v>17</v>
      </c>
      <c r="F4400" s="9" t="s">
        <v>17</v>
      </c>
      <c r="G4400" s="9">
        <v>7.0</v>
      </c>
      <c r="H4400" s="9" t="s">
        <v>22</v>
      </c>
      <c r="I4400" s="9" t="s">
        <v>20</v>
      </c>
      <c r="J4400" s="10"/>
      <c r="K4400" s="14">
        <v>4.0</v>
      </c>
      <c r="N4400" s="14" t="str">
        <f>IFERROR(__xludf.DUMMYFUNCTION("""COMPUTED_VALUE"""),"")</f>
        <v/>
      </c>
      <c r="O4400" s="14"/>
    </row>
    <row r="4401" ht="22.5" hidden="1" customHeight="1">
      <c r="A4401" s="8">
        <v>46128.37696962963</v>
      </c>
      <c r="B4401" s="14">
        <v>46128.0</v>
      </c>
      <c r="C4401" s="9" t="s">
        <v>31</v>
      </c>
      <c r="D4401" s="9" t="s">
        <v>350</v>
      </c>
      <c r="E4401" s="9" t="s">
        <v>17</v>
      </c>
      <c r="F4401" s="9" t="s">
        <v>17</v>
      </c>
      <c r="G4401" s="9">
        <v>7.0</v>
      </c>
      <c r="H4401" s="9" t="s">
        <v>22</v>
      </c>
      <c r="I4401" s="9" t="s">
        <v>20</v>
      </c>
      <c r="J4401" s="10"/>
      <c r="K4401" s="14">
        <v>5.0</v>
      </c>
      <c r="N4401" s="14" t="str">
        <f>IFERROR(__xludf.DUMMYFUNCTION("""COMPUTED_VALUE"""),"")</f>
        <v/>
      </c>
      <c r="O4401" s="14"/>
    </row>
    <row r="4402" ht="22.5" hidden="1" customHeight="1">
      <c r="A4402" s="8">
        <v>46128.37733322917</v>
      </c>
      <c r="B4402" s="14">
        <v>46128.0</v>
      </c>
      <c r="C4402" s="9" t="s">
        <v>31</v>
      </c>
      <c r="D4402" s="9" t="s">
        <v>369</v>
      </c>
      <c r="E4402" s="9" t="s">
        <v>17</v>
      </c>
      <c r="F4402" s="9" t="s">
        <v>17</v>
      </c>
      <c r="G4402" s="9">
        <v>7.0</v>
      </c>
      <c r="H4402" s="9" t="s">
        <v>25</v>
      </c>
      <c r="I4402" s="9" t="s">
        <v>381</v>
      </c>
      <c r="J4402" s="10"/>
      <c r="K4402" s="14" t="s">
        <v>398</v>
      </c>
      <c r="N4402" s="14" t="str">
        <f>IFERROR(__xludf.DUMMYFUNCTION("""COMPUTED_VALUE"""),"")</f>
        <v/>
      </c>
      <c r="O4402" s="14"/>
    </row>
    <row r="4403" ht="22.5" hidden="1" customHeight="1">
      <c r="A4403" s="8">
        <v>46128.37756822917</v>
      </c>
      <c r="B4403" s="14">
        <v>46128.0</v>
      </c>
      <c r="C4403" s="9" t="s">
        <v>31</v>
      </c>
      <c r="D4403" s="9" t="s">
        <v>414</v>
      </c>
      <c r="E4403" s="9" t="s">
        <v>46</v>
      </c>
      <c r="F4403" s="9" t="s">
        <v>17</v>
      </c>
      <c r="G4403" s="9">
        <v>7.0</v>
      </c>
      <c r="H4403" s="9" t="s">
        <v>22</v>
      </c>
      <c r="I4403" s="9" t="s">
        <v>20</v>
      </c>
      <c r="J4403" s="10"/>
      <c r="K4403" s="14" t="s">
        <v>398</v>
      </c>
      <c r="N4403" s="14" t="str">
        <f>IFERROR(__xludf.DUMMYFUNCTION("""COMPUTED_VALUE"""),"")</f>
        <v/>
      </c>
      <c r="O4403" s="14"/>
    </row>
    <row r="4404" ht="22.5" hidden="1" customHeight="1">
      <c r="A4404" s="8">
        <v>46128.37779756944</v>
      </c>
      <c r="B4404" s="14">
        <v>46128.0</v>
      </c>
      <c r="C4404" s="9" t="s">
        <v>31</v>
      </c>
      <c r="D4404" s="9" t="s">
        <v>421</v>
      </c>
      <c r="E4404" s="9" t="s">
        <v>46</v>
      </c>
      <c r="F4404" s="9" t="s">
        <v>17</v>
      </c>
      <c r="G4404" s="9">
        <v>7.0</v>
      </c>
      <c r="H4404" s="9" t="s">
        <v>22</v>
      </c>
      <c r="I4404" s="9" t="s">
        <v>20</v>
      </c>
      <c r="J4404" s="10"/>
      <c r="K4404" s="14">
        <v>4.0</v>
      </c>
      <c r="N4404" s="14" t="str">
        <f>IFERROR(__xludf.DUMMYFUNCTION("""COMPUTED_VALUE"""),"")</f>
        <v/>
      </c>
      <c r="O4404" s="14"/>
    </row>
    <row r="4405" ht="22.5" hidden="1" customHeight="1">
      <c r="A4405" s="8">
        <v>46128.37817164352</v>
      </c>
      <c r="B4405" s="14">
        <v>46128.0</v>
      </c>
      <c r="C4405" s="9" t="s">
        <v>31</v>
      </c>
      <c r="D4405" s="9" t="s">
        <v>423</v>
      </c>
      <c r="E4405" s="9" t="s">
        <v>17</v>
      </c>
      <c r="F4405" s="9" t="s">
        <v>17</v>
      </c>
      <c r="G4405" s="9">
        <v>6.0</v>
      </c>
      <c r="H4405" s="9" t="s">
        <v>25</v>
      </c>
      <c r="I4405" s="9" t="s">
        <v>37</v>
      </c>
      <c r="J4405" s="10"/>
      <c r="K4405" s="14">
        <v>7.0</v>
      </c>
      <c r="N4405" s="14" t="str">
        <f>IFERROR(__xludf.DUMMYFUNCTION("""COMPUTED_VALUE"""),"")</f>
        <v/>
      </c>
      <c r="O4405" s="14"/>
    </row>
    <row r="4406" ht="22.5" hidden="1" customHeight="1">
      <c r="A4406" s="8">
        <v>46128.37848291667</v>
      </c>
      <c r="B4406" s="14">
        <v>46128.0</v>
      </c>
      <c r="C4406" s="9" t="s">
        <v>31</v>
      </c>
      <c r="D4406" s="9" t="s">
        <v>258</v>
      </c>
      <c r="E4406" s="9" t="s">
        <v>17</v>
      </c>
      <c r="F4406" s="9" t="s">
        <v>17</v>
      </c>
      <c r="G4406" s="9">
        <v>7.0</v>
      </c>
      <c r="H4406" s="9" t="s">
        <v>22</v>
      </c>
      <c r="I4406" s="9" t="s">
        <v>20</v>
      </c>
      <c r="J4406" s="10"/>
      <c r="K4406" s="14">
        <v>7.0</v>
      </c>
      <c r="N4406" s="14" t="str">
        <f>IFERROR(__xludf.DUMMYFUNCTION("""COMPUTED_VALUE"""),"")</f>
        <v/>
      </c>
      <c r="O4406" s="14"/>
    </row>
    <row r="4407" ht="22.5" hidden="1" customHeight="1">
      <c r="A4407" s="8">
        <v>46128.381427939814</v>
      </c>
      <c r="B4407" s="14">
        <v>46128.0</v>
      </c>
      <c r="C4407" s="9" t="s">
        <v>31</v>
      </c>
      <c r="D4407" s="9" t="s">
        <v>210</v>
      </c>
      <c r="E4407" s="9" t="s">
        <v>17</v>
      </c>
      <c r="F4407" s="9" t="s">
        <v>17</v>
      </c>
      <c r="G4407" s="9">
        <v>7.0</v>
      </c>
      <c r="H4407" s="9" t="s">
        <v>22</v>
      </c>
      <c r="I4407" s="9" t="s">
        <v>20</v>
      </c>
      <c r="J4407" s="10"/>
      <c r="K4407" s="14" t="s">
        <v>398</v>
      </c>
      <c r="N4407" s="14" t="str">
        <f>IFERROR(__xludf.DUMMYFUNCTION("""COMPUTED_VALUE"""),"")</f>
        <v/>
      </c>
      <c r="O4407" s="14"/>
    </row>
    <row r="4408" ht="22.5" hidden="1" customHeight="1">
      <c r="A4408" s="8">
        <v>46128.38233826389</v>
      </c>
      <c r="B4408" s="14">
        <v>46128.0</v>
      </c>
      <c r="C4408" s="9" t="s">
        <v>31</v>
      </c>
      <c r="D4408" s="9" t="s">
        <v>257</v>
      </c>
      <c r="E4408" s="9" t="s">
        <v>17</v>
      </c>
      <c r="F4408" s="9" t="s">
        <v>17</v>
      </c>
      <c r="G4408" s="9">
        <v>7.0</v>
      </c>
      <c r="H4408" s="9" t="s">
        <v>22</v>
      </c>
      <c r="I4408" s="9" t="s">
        <v>20</v>
      </c>
      <c r="J4408" s="10"/>
      <c r="K4408" s="14" t="s">
        <v>398</v>
      </c>
      <c r="N4408" s="14" t="str">
        <f>IFERROR(__xludf.DUMMYFUNCTION("""COMPUTED_VALUE"""),"")</f>
        <v/>
      </c>
      <c r="O4408" s="14"/>
    </row>
    <row r="4409" ht="22.5" hidden="1" customHeight="1">
      <c r="A4409" s="8">
        <v>46128.39375459491</v>
      </c>
      <c r="B4409" s="14">
        <v>46128.0</v>
      </c>
      <c r="C4409" s="9" t="s">
        <v>31</v>
      </c>
      <c r="D4409" s="9" t="s">
        <v>396</v>
      </c>
      <c r="E4409" s="9" t="s">
        <v>17</v>
      </c>
      <c r="F4409" s="9" t="s">
        <v>17</v>
      </c>
      <c r="G4409" s="9">
        <v>7.0</v>
      </c>
      <c r="H4409" s="9" t="s">
        <v>22</v>
      </c>
      <c r="I4409" s="9" t="s">
        <v>20</v>
      </c>
      <c r="J4409" s="10"/>
      <c r="K4409" s="14" t="s">
        <v>398</v>
      </c>
      <c r="N4409" s="14" t="str">
        <f>IFERROR(__xludf.DUMMYFUNCTION("""COMPUTED_VALUE"""),"")</f>
        <v/>
      </c>
      <c r="O4409" s="14"/>
    </row>
    <row r="4410" ht="22.5" hidden="1" customHeight="1">
      <c r="A4410" s="8">
        <v>46128.39437489583</v>
      </c>
      <c r="B4410" s="14">
        <v>46128.0</v>
      </c>
      <c r="C4410" s="9" t="s">
        <v>31</v>
      </c>
      <c r="D4410" s="9" t="s">
        <v>171</v>
      </c>
      <c r="E4410" s="9" t="s">
        <v>17</v>
      </c>
      <c r="F4410" s="9" t="s">
        <v>17</v>
      </c>
      <c r="G4410" s="9">
        <v>7.0</v>
      </c>
      <c r="H4410" s="9" t="s">
        <v>22</v>
      </c>
      <c r="I4410" s="9" t="s">
        <v>20</v>
      </c>
      <c r="J4410" s="10"/>
      <c r="K4410" s="14" t="s">
        <v>398</v>
      </c>
      <c r="N4410" s="14" t="str">
        <f>IFERROR(__xludf.DUMMYFUNCTION("""COMPUTED_VALUE"""),"")</f>
        <v/>
      </c>
      <c r="O4410" s="14"/>
    </row>
    <row r="4411" ht="22.5" hidden="1" customHeight="1">
      <c r="A4411" s="8">
        <v>46128.39655118056</v>
      </c>
      <c r="B4411" s="14">
        <v>46128.0</v>
      </c>
      <c r="C4411" s="9" t="s">
        <v>31</v>
      </c>
      <c r="D4411" s="9" t="s">
        <v>175</v>
      </c>
      <c r="E4411" s="9" t="s">
        <v>17</v>
      </c>
      <c r="F4411" s="9" t="s">
        <v>17</v>
      </c>
      <c r="G4411" s="9">
        <v>7.0</v>
      </c>
      <c r="H4411" s="9" t="s">
        <v>22</v>
      </c>
      <c r="I4411" s="9" t="s">
        <v>20</v>
      </c>
      <c r="J4411" s="10"/>
      <c r="K4411" s="14">
        <v>7.0</v>
      </c>
      <c r="N4411" s="14" t="str">
        <f>IFERROR(__xludf.DUMMYFUNCTION("""COMPUTED_VALUE"""),"")</f>
        <v/>
      </c>
      <c r="O4411" s="14"/>
    </row>
    <row r="4412" ht="22.5" hidden="1" customHeight="1">
      <c r="A4412" s="8">
        <v>46128.39700703704</v>
      </c>
      <c r="B4412" s="14">
        <v>46128.0</v>
      </c>
      <c r="C4412" s="9" t="s">
        <v>31</v>
      </c>
      <c r="D4412" s="9" t="s">
        <v>259</v>
      </c>
      <c r="E4412" s="9" t="s">
        <v>17</v>
      </c>
      <c r="F4412" s="9" t="s">
        <v>17</v>
      </c>
      <c r="G4412" s="9">
        <v>7.0</v>
      </c>
      <c r="H4412" s="9" t="s">
        <v>25</v>
      </c>
      <c r="I4412" s="9" t="s">
        <v>37</v>
      </c>
      <c r="J4412" s="10"/>
      <c r="K4412" s="14" t="s">
        <v>398</v>
      </c>
      <c r="N4412" s="14" t="str">
        <f>IFERROR(__xludf.DUMMYFUNCTION("""COMPUTED_VALUE"""),"")</f>
        <v/>
      </c>
      <c r="O4412" s="14"/>
    </row>
    <row r="4413" ht="22.5" hidden="1" customHeight="1">
      <c r="A4413" s="8">
        <v>46128.39722831019</v>
      </c>
      <c r="B4413" s="14">
        <v>46128.0</v>
      </c>
      <c r="C4413" s="9" t="s">
        <v>31</v>
      </c>
      <c r="D4413" s="9" t="s">
        <v>178</v>
      </c>
      <c r="E4413" s="9" t="s">
        <v>17</v>
      </c>
      <c r="F4413" s="9" t="s">
        <v>17</v>
      </c>
      <c r="G4413" s="9">
        <v>7.0</v>
      </c>
      <c r="H4413" s="9" t="s">
        <v>25</v>
      </c>
      <c r="I4413" s="9" t="s">
        <v>34</v>
      </c>
      <c r="J4413" s="10"/>
      <c r="K4413" s="14" t="s">
        <v>398</v>
      </c>
      <c r="N4413" s="14" t="str">
        <f>IFERROR(__xludf.DUMMYFUNCTION("""COMPUTED_VALUE"""),"")</f>
        <v/>
      </c>
      <c r="O4413" s="14"/>
    </row>
    <row r="4414" ht="22.5" hidden="1" customHeight="1">
      <c r="A4414" s="8">
        <v>46128.397476770835</v>
      </c>
      <c r="B4414" s="14">
        <v>46128.0</v>
      </c>
      <c r="C4414" s="9" t="s">
        <v>31</v>
      </c>
      <c r="D4414" s="9" t="s">
        <v>247</v>
      </c>
      <c r="E4414" s="9" t="s">
        <v>17</v>
      </c>
      <c r="F4414" s="9" t="s">
        <v>17</v>
      </c>
      <c r="G4414" s="9">
        <v>7.0</v>
      </c>
      <c r="H4414" s="9" t="s">
        <v>22</v>
      </c>
      <c r="I4414" s="9" t="s">
        <v>20</v>
      </c>
      <c r="J4414" s="10"/>
      <c r="K4414" s="14" t="s">
        <v>398</v>
      </c>
      <c r="N4414" s="14" t="str">
        <f>IFERROR(__xludf.DUMMYFUNCTION("""COMPUTED_VALUE"""),"")</f>
        <v/>
      </c>
      <c r="O4414" s="14"/>
    </row>
    <row r="4415" ht="22.5" hidden="1" customHeight="1">
      <c r="A4415" s="8">
        <v>46128.39771738426</v>
      </c>
      <c r="B4415" s="14">
        <v>46128.0</v>
      </c>
      <c r="C4415" s="9" t="s">
        <v>31</v>
      </c>
      <c r="D4415" s="9" t="s">
        <v>412</v>
      </c>
      <c r="E4415" s="9" t="s">
        <v>17</v>
      </c>
      <c r="F4415" s="9" t="s">
        <v>17</v>
      </c>
      <c r="G4415" s="9">
        <v>7.0</v>
      </c>
      <c r="H4415" s="9" t="s">
        <v>22</v>
      </c>
      <c r="I4415" s="9" t="s">
        <v>20</v>
      </c>
      <c r="J4415" s="10"/>
      <c r="K4415" s="14">
        <v>4.0</v>
      </c>
      <c r="N4415" s="14" t="str">
        <f>IFERROR(__xludf.DUMMYFUNCTION("""COMPUTED_VALUE"""),"")</f>
        <v/>
      </c>
      <c r="O4415" s="14"/>
    </row>
    <row r="4416" ht="22.5" hidden="1" customHeight="1">
      <c r="A4416" s="8">
        <v>46129.66320052084</v>
      </c>
      <c r="B4416" s="14">
        <v>46129.0</v>
      </c>
      <c r="C4416" s="9" t="s">
        <v>48</v>
      </c>
      <c r="D4416" s="9" t="s">
        <v>257</v>
      </c>
      <c r="E4416" s="9" t="s">
        <v>17</v>
      </c>
      <c r="F4416" s="9" t="s">
        <v>17</v>
      </c>
      <c r="G4416" s="9">
        <v>7.0</v>
      </c>
      <c r="H4416" s="9" t="s">
        <v>22</v>
      </c>
      <c r="I4416" s="9" t="s">
        <v>20</v>
      </c>
      <c r="J4416" s="10"/>
      <c r="K4416" s="14" t="s">
        <v>398</v>
      </c>
      <c r="N4416" s="14" t="str">
        <f>IFERROR(__xludf.DUMMYFUNCTION("""COMPUTED_VALUE"""),"")</f>
        <v/>
      </c>
      <c r="O4416" s="14"/>
    </row>
    <row r="4417" ht="22.5" hidden="1" customHeight="1">
      <c r="A4417" s="8">
        <v>46129.66364145833</v>
      </c>
      <c r="B4417" s="14">
        <v>46129.0</v>
      </c>
      <c r="C4417" s="9" t="s">
        <v>48</v>
      </c>
      <c r="D4417" s="9" t="s">
        <v>412</v>
      </c>
      <c r="E4417" s="9" t="s">
        <v>17</v>
      </c>
      <c r="F4417" s="9" t="s">
        <v>17</v>
      </c>
      <c r="G4417" s="9">
        <v>7.0</v>
      </c>
      <c r="H4417" s="9" t="s">
        <v>22</v>
      </c>
      <c r="I4417" s="9" t="s">
        <v>20</v>
      </c>
      <c r="J4417" s="10"/>
      <c r="K4417" s="14">
        <v>5.0</v>
      </c>
      <c r="N4417" s="14" t="str">
        <f>IFERROR(__xludf.DUMMYFUNCTION("""COMPUTED_VALUE"""),"")</f>
        <v/>
      </c>
      <c r="O4417" s="14"/>
    </row>
    <row r="4418" ht="22.5" hidden="1" customHeight="1">
      <c r="A4418" s="8">
        <v>46129.66388633102</v>
      </c>
      <c r="B4418" s="14">
        <v>46129.0</v>
      </c>
      <c r="C4418" s="9" t="s">
        <v>48</v>
      </c>
      <c r="D4418" s="9" t="s">
        <v>249</v>
      </c>
      <c r="E4418" s="9" t="s">
        <v>17</v>
      </c>
      <c r="F4418" s="9" t="s">
        <v>17</v>
      </c>
      <c r="G4418" s="9">
        <v>7.0</v>
      </c>
      <c r="H4418" s="9" t="s">
        <v>25</v>
      </c>
      <c r="I4418" s="9" t="s">
        <v>79</v>
      </c>
      <c r="J4418" s="10"/>
      <c r="K4418" s="14" t="s">
        <v>398</v>
      </c>
      <c r="N4418" s="14" t="str">
        <f>IFERROR(__xludf.DUMMYFUNCTION("""COMPUTED_VALUE"""),"")</f>
        <v/>
      </c>
      <c r="O4418" s="14"/>
    </row>
    <row r="4419" ht="22.5" hidden="1" customHeight="1">
      <c r="A4419" s="8">
        <v>46129.664465787035</v>
      </c>
      <c r="B4419" s="14">
        <v>46129.0</v>
      </c>
      <c r="C4419" s="9" t="s">
        <v>48</v>
      </c>
      <c r="D4419" s="9" t="s">
        <v>408</v>
      </c>
      <c r="E4419" s="9" t="s">
        <v>17</v>
      </c>
      <c r="F4419" s="9" t="s">
        <v>17</v>
      </c>
      <c r="G4419" s="9">
        <v>8.0</v>
      </c>
      <c r="H4419" s="9" t="s">
        <v>25</v>
      </c>
      <c r="I4419" s="9" t="s">
        <v>436</v>
      </c>
      <c r="J4419" s="10"/>
      <c r="K4419" s="14">
        <v>3.0</v>
      </c>
      <c r="N4419" s="14" t="str">
        <f>IFERROR(__xludf.DUMMYFUNCTION("""COMPUTED_VALUE"""),"")</f>
        <v/>
      </c>
      <c r="O4419" s="14"/>
    </row>
    <row r="4420" ht="22.5" hidden="1" customHeight="1">
      <c r="A4420" s="8">
        <v>46129.66564652778</v>
      </c>
      <c r="B4420" s="14">
        <v>46129.0</v>
      </c>
      <c r="C4420" s="9" t="s">
        <v>48</v>
      </c>
      <c r="D4420" s="9" t="s">
        <v>395</v>
      </c>
      <c r="E4420" s="9" t="s">
        <v>17</v>
      </c>
      <c r="F4420" s="9" t="s">
        <v>17</v>
      </c>
      <c r="G4420" s="9">
        <v>7.0</v>
      </c>
      <c r="H4420" s="9" t="s">
        <v>22</v>
      </c>
      <c r="I4420" s="9" t="s">
        <v>20</v>
      </c>
      <c r="J4420" s="10"/>
      <c r="K4420" s="14">
        <v>3.0</v>
      </c>
      <c r="N4420" s="14" t="str">
        <f>IFERROR(__xludf.DUMMYFUNCTION("""COMPUTED_VALUE"""),"")</f>
        <v/>
      </c>
      <c r="O4420" s="14"/>
    </row>
    <row r="4421" ht="22.5" hidden="1" customHeight="1">
      <c r="A4421" s="8">
        <v>46129.665852164355</v>
      </c>
      <c r="B4421" s="14">
        <v>46129.0</v>
      </c>
      <c r="C4421" s="9" t="s">
        <v>48</v>
      </c>
      <c r="D4421" s="9" t="s">
        <v>177</v>
      </c>
      <c r="E4421" s="9" t="s">
        <v>17</v>
      </c>
      <c r="F4421" s="9" t="s">
        <v>17</v>
      </c>
      <c r="G4421" s="9">
        <v>7.0</v>
      </c>
      <c r="H4421" s="9" t="s">
        <v>22</v>
      </c>
      <c r="I4421" s="9" t="s">
        <v>20</v>
      </c>
      <c r="J4421" s="10"/>
      <c r="K4421" s="14" t="s">
        <v>398</v>
      </c>
      <c r="N4421" s="14" t="str">
        <f>IFERROR(__xludf.DUMMYFUNCTION("""COMPUTED_VALUE"""),"")</f>
        <v/>
      </c>
      <c r="O4421" s="14"/>
    </row>
    <row r="4422" ht="22.5" hidden="1" customHeight="1">
      <c r="A4422" s="8">
        <v>46129.66612583333</v>
      </c>
      <c r="B4422" s="14">
        <v>46129.0</v>
      </c>
      <c r="C4422" s="9" t="s">
        <v>48</v>
      </c>
      <c r="D4422" s="9" t="s">
        <v>105</v>
      </c>
      <c r="E4422" s="9" t="s">
        <v>17</v>
      </c>
      <c r="F4422" s="9" t="s">
        <v>17</v>
      </c>
      <c r="G4422" s="9">
        <v>7.0</v>
      </c>
      <c r="H4422" s="9" t="s">
        <v>22</v>
      </c>
      <c r="I4422" s="9" t="s">
        <v>20</v>
      </c>
      <c r="J4422" s="10"/>
      <c r="K4422" s="14">
        <v>2.0</v>
      </c>
      <c r="N4422" s="14" t="str">
        <f>IFERROR(__xludf.DUMMYFUNCTION("""COMPUTED_VALUE"""),"")</f>
        <v/>
      </c>
      <c r="O4422" s="14"/>
    </row>
    <row r="4423" ht="22.5" hidden="1" customHeight="1">
      <c r="A4423" s="8">
        <v>46129.66629512732</v>
      </c>
      <c r="B4423" s="14">
        <v>46129.0</v>
      </c>
      <c r="C4423" s="9" t="s">
        <v>48</v>
      </c>
      <c r="D4423" s="9" t="s">
        <v>280</v>
      </c>
      <c r="E4423" s="9" t="s">
        <v>17</v>
      </c>
      <c r="F4423" s="9" t="s">
        <v>17</v>
      </c>
      <c r="G4423" s="9">
        <v>7.0</v>
      </c>
      <c r="H4423" s="9" t="s">
        <v>22</v>
      </c>
      <c r="I4423" s="9" t="s">
        <v>20</v>
      </c>
      <c r="J4423" s="10"/>
      <c r="K4423" s="14">
        <v>2.0</v>
      </c>
      <c r="N4423" s="14" t="str">
        <f>IFERROR(__xludf.DUMMYFUNCTION("""COMPUTED_VALUE"""),"")</f>
        <v/>
      </c>
      <c r="O4423" s="14"/>
    </row>
    <row r="4424" ht="22.5" hidden="1" customHeight="1">
      <c r="A4424" s="8">
        <v>46129.66657137731</v>
      </c>
      <c r="B4424" s="14">
        <v>46129.0</v>
      </c>
      <c r="C4424" s="9" t="s">
        <v>48</v>
      </c>
      <c r="D4424" s="9" t="s">
        <v>258</v>
      </c>
      <c r="E4424" s="9" t="s">
        <v>17</v>
      </c>
      <c r="F4424" s="9" t="s">
        <v>17</v>
      </c>
      <c r="G4424" s="9">
        <v>7.0</v>
      </c>
      <c r="H4424" s="9" t="s">
        <v>22</v>
      </c>
      <c r="I4424" s="9" t="s">
        <v>20</v>
      </c>
      <c r="J4424" s="10"/>
      <c r="K4424" s="14">
        <v>7.0</v>
      </c>
      <c r="N4424" s="14" t="str">
        <f>IFERROR(__xludf.DUMMYFUNCTION("""COMPUTED_VALUE"""),"")</f>
        <v/>
      </c>
      <c r="O4424" s="14"/>
    </row>
    <row r="4425" ht="22.5" hidden="1" customHeight="1">
      <c r="A4425" s="8">
        <v>46129.66679278935</v>
      </c>
      <c r="B4425" s="14">
        <v>46129.0</v>
      </c>
      <c r="C4425" s="9" t="s">
        <v>48</v>
      </c>
      <c r="D4425" s="9" t="s">
        <v>174</v>
      </c>
      <c r="E4425" s="9" t="s">
        <v>17</v>
      </c>
      <c r="F4425" s="9" t="s">
        <v>17</v>
      </c>
      <c r="G4425" s="9">
        <v>7.0</v>
      </c>
      <c r="H4425" s="9" t="s">
        <v>22</v>
      </c>
      <c r="I4425" s="9" t="s">
        <v>20</v>
      </c>
      <c r="J4425" s="10"/>
      <c r="K4425" s="14">
        <v>5.0</v>
      </c>
      <c r="N4425" s="14" t="str">
        <f>IFERROR(__xludf.DUMMYFUNCTION("""COMPUTED_VALUE"""),"")</f>
        <v/>
      </c>
      <c r="O4425" s="14"/>
    </row>
    <row r="4426" ht="22.5" hidden="1" customHeight="1">
      <c r="A4426" s="8">
        <v>46129.66703491898</v>
      </c>
      <c r="B4426" s="14">
        <v>46129.0</v>
      </c>
      <c r="C4426" s="9" t="s">
        <v>48</v>
      </c>
      <c r="D4426" s="9" t="s">
        <v>357</v>
      </c>
      <c r="E4426" s="9" t="s">
        <v>17</v>
      </c>
      <c r="F4426" s="9" t="s">
        <v>17</v>
      </c>
      <c r="G4426" s="9">
        <v>7.0</v>
      </c>
      <c r="H4426" s="9" t="s">
        <v>22</v>
      </c>
      <c r="I4426" s="9" t="s">
        <v>20</v>
      </c>
      <c r="J4426" s="10"/>
      <c r="K4426" s="14" t="s">
        <v>398</v>
      </c>
      <c r="N4426" s="14" t="str">
        <f>IFERROR(__xludf.DUMMYFUNCTION("""COMPUTED_VALUE"""),"")</f>
        <v/>
      </c>
      <c r="O4426" s="14"/>
    </row>
    <row r="4427" ht="22.5" hidden="1" customHeight="1">
      <c r="A4427" s="8">
        <v>46129.667240752315</v>
      </c>
      <c r="B4427" s="14">
        <v>46129.0</v>
      </c>
      <c r="C4427" s="9" t="s">
        <v>48</v>
      </c>
      <c r="D4427" s="9" t="s">
        <v>369</v>
      </c>
      <c r="E4427" s="9" t="s">
        <v>17</v>
      </c>
      <c r="F4427" s="9" t="s">
        <v>17</v>
      </c>
      <c r="G4427" s="9">
        <v>7.0</v>
      </c>
      <c r="H4427" s="9" t="s">
        <v>22</v>
      </c>
      <c r="I4427" s="9" t="s">
        <v>20</v>
      </c>
      <c r="J4427" s="10"/>
      <c r="K4427" s="14" t="s">
        <v>398</v>
      </c>
      <c r="N4427" s="14" t="str">
        <f>IFERROR(__xludf.DUMMYFUNCTION("""COMPUTED_VALUE"""),"")</f>
        <v/>
      </c>
      <c r="O4427" s="14"/>
    </row>
    <row r="4428" ht="22.5" hidden="1" customHeight="1">
      <c r="A4428" s="8">
        <v>46129.66747645833</v>
      </c>
      <c r="B4428" s="14">
        <v>46129.0</v>
      </c>
      <c r="C4428" s="9" t="s">
        <v>48</v>
      </c>
      <c r="D4428" s="9" t="s">
        <v>423</v>
      </c>
      <c r="E4428" s="9" t="s">
        <v>17</v>
      </c>
      <c r="F4428" s="9" t="s">
        <v>17</v>
      </c>
      <c r="G4428" s="9">
        <v>7.0</v>
      </c>
      <c r="H4428" s="9" t="s">
        <v>22</v>
      </c>
      <c r="I4428" s="9" t="s">
        <v>20</v>
      </c>
      <c r="J4428" s="10"/>
      <c r="K4428" s="14">
        <v>7.0</v>
      </c>
      <c r="N4428" s="14" t="str">
        <f>IFERROR(__xludf.DUMMYFUNCTION("""COMPUTED_VALUE"""),"")</f>
        <v/>
      </c>
      <c r="O4428" s="14"/>
    </row>
    <row r="4429" ht="22.5" hidden="1" customHeight="1">
      <c r="A4429" s="8">
        <v>46129.67044818287</v>
      </c>
      <c r="B4429" s="14">
        <v>46129.0</v>
      </c>
      <c r="C4429" s="9" t="s">
        <v>48</v>
      </c>
      <c r="D4429" s="9" t="s">
        <v>335</v>
      </c>
      <c r="E4429" s="9" t="s">
        <v>17</v>
      </c>
      <c r="F4429" s="9" t="s">
        <v>17</v>
      </c>
      <c r="G4429" s="9">
        <v>7.0</v>
      </c>
      <c r="H4429" s="9" t="s">
        <v>25</v>
      </c>
      <c r="I4429" s="9" t="s">
        <v>434</v>
      </c>
      <c r="J4429" s="10"/>
      <c r="K4429" s="14" t="s">
        <v>398</v>
      </c>
      <c r="N4429" s="14" t="str">
        <f>IFERROR(__xludf.DUMMYFUNCTION("""COMPUTED_VALUE"""),"")</f>
        <v/>
      </c>
      <c r="O4429" s="14"/>
    </row>
    <row r="4430" ht="22.5" hidden="1" customHeight="1">
      <c r="A4430" s="8">
        <v>46129.67071767361</v>
      </c>
      <c r="B4430" s="14">
        <v>46129.0</v>
      </c>
      <c r="C4430" s="9" t="s">
        <v>48</v>
      </c>
      <c r="D4430" s="9" t="s">
        <v>393</v>
      </c>
      <c r="E4430" s="9" t="s">
        <v>17</v>
      </c>
      <c r="F4430" s="9" t="s">
        <v>17</v>
      </c>
      <c r="G4430" s="9">
        <v>7.0</v>
      </c>
      <c r="H4430" s="9" t="s">
        <v>22</v>
      </c>
      <c r="I4430" s="9" t="s">
        <v>20</v>
      </c>
      <c r="J4430" s="10"/>
      <c r="K4430" s="14">
        <v>4.0</v>
      </c>
      <c r="N4430" s="14" t="str">
        <f>IFERROR(__xludf.DUMMYFUNCTION("""COMPUTED_VALUE"""),"")</f>
        <v/>
      </c>
      <c r="O4430" s="14"/>
    </row>
    <row r="4431" ht="22.5" hidden="1" customHeight="1">
      <c r="A4431" s="8">
        <v>46129.671746886575</v>
      </c>
      <c r="B4431" s="14">
        <v>46129.0</v>
      </c>
      <c r="C4431" s="9" t="s">
        <v>48</v>
      </c>
      <c r="D4431" s="9" t="s">
        <v>178</v>
      </c>
      <c r="E4431" s="9" t="s">
        <v>17</v>
      </c>
      <c r="F4431" s="9" t="s">
        <v>17</v>
      </c>
      <c r="G4431" s="9" t="s">
        <v>409</v>
      </c>
      <c r="H4431" s="9" t="s">
        <v>22</v>
      </c>
      <c r="I4431" s="9" t="s">
        <v>20</v>
      </c>
      <c r="J4431" s="10"/>
      <c r="K4431" s="14" t="s">
        <v>398</v>
      </c>
      <c r="N4431" s="14" t="str">
        <f>IFERROR(__xludf.DUMMYFUNCTION("""COMPUTED_VALUE"""),"")</f>
        <v/>
      </c>
      <c r="O4431" s="14"/>
    </row>
    <row r="4432" ht="22.5" hidden="1" customHeight="1">
      <c r="A4432" s="8">
        <v>46129.67982805555</v>
      </c>
      <c r="B4432" s="14">
        <v>46129.0</v>
      </c>
      <c r="C4432" s="9" t="s">
        <v>48</v>
      </c>
      <c r="D4432" s="9" t="s">
        <v>413</v>
      </c>
      <c r="E4432" s="9" t="s">
        <v>17</v>
      </c>
      <c r="F4432" s="9" t="s">
        <v>17</v>
      </c>
      <c r="G4432" s="9">
        <v>8.0</v>
      </c>
      <c r="H4432" s="9" t="s">
        <v>22</v>
      </c>
      <c r="I4432" s="9" t="s">
        <v>20</v>
      </c>
      <c r="J4432" s="10"/>
      <c r="K4432" s="14">
        <v>4.0</v>
      </c>
      <c r="N4432" s="14" t="str">
        <f>IFERROR(__xludf.DUMMYFUNCTION("""COMPUTED_VALUE"""),"")</f>
        <v/>
      </c>
      <c r="O4432" s="14"/>
    </row>
    <row r="4433" ht="22.5" hidden="1" customHeight="1">
      <c r="A4433" s="8">
        <v>46129.68012701389</v>
      </c>
      <c r="B4433" s="14">
        <v>46129.0</v>
      </c>
      <c r="C4433" s="9" t="s">
        <v>48</v>
      </c>
      <c r="D4433" s="9" t="s">
        <v>171</v>
      </c>
      <c r="E4433" s="9" t="s">
        <v>17</v>
      </c>
      <c r="F4433" s="9" t="s">
        <v>17</v>
      </c>
      <c r="G4433" s="9">
        <v>7.0</v>
      </c>
      <c r="H4433" s="9" t="s">
        <v>22</v>
      </c>
      <c r="I4433" s="9" t="s">
        <v>20</v>
      </c>
      <c r="J4433" s="10"/>
      <c r="K4433" s="14">
        <v>3.0</v>
      </c>
      <c r="N4433" s="14" t="str">
        <f>IFERROR(__xludf.DUMMYFUNCTION("""COMPUTED_VALUE"""),"")</f>
        <v/>
      </c>
      <c r="O4433" s="14"/>
    </row>
    <row r="4434" ht="22.5" hidden="1" customHeight="1">
      <c r="A4434" s="8">
        <v>46129.68333206019</v>
      </c>
      <c r="B4434" s="14">
        <v>46129.0</v>
      </c>
      <c r="C4434" s="9" t="s">
        <v>48</v>
      </c>
      <c r="D4434" s="9" t="s">
        <v>414</v>
      </c>
      <c r="E4434" s="9" t="s">
        <v>17</v>
      </c>
      <c r="F4434" s="9" t="s">
        <v>17</v>
      </c>
      <c r="G4434" s="9">
        <v>7.0</v>
      </c>
      <c r="H4434" s="9" t="s">
        <v>22</v>
      </c>
      <c r="I4434" s="9" t="s">
        <v>20</v>
      </c>
      <c r="J4434" s="10"/>
      <c r="K4434" s="14">
        <v>3.0</v>
      </c>
      <c r="N4434" s="14" t="str">
        <f>IFERROR(__xludf.DUMMYFUNCTION("""COMPUTED_VALUE"""),"")</f>
        <v/>
      </c>
      <c r="O4434" s="14"/>
    </row>
    <row r="4435" ht="22.5" hidden="1" customHeight="1">
      <c r="A4435" s="8">
        <v>46129.68442524306</v>
      </c>
      <c r="B4435" s="14">
        <v>46129.0</v>
      </c>
      <c r="C4435" s="9" t="s">
        <v>48</v>
      </c>
      <c r="D4435" s="9" t="s">
        <v>350</v>
      </c>
      <c r="E4435" s="9" t="s">
        <v>17</v>
      </c>
      <c r="F4435" s="9" t="s">
        <v>17</v>
      </c>
      <c r="G4435" s="9">
        <v>7.0</v>
      </c>
      <c r="H4435" s="9" t="s">
        <v>22</v>
      </c>
      <c r="I4435" s="9" t="s">
        <v>20</v>
      </c>
      <c r="J4435" s="10"/>
      <c r="K4435" s="14" t="s">
        <v>398</v>
      </c>
      <c r="N4435" s="14" t="str">
        <f>IFERROR(__xludf.DUMMYFUNCTION("""COMPUTED_VALUE"""),"")</f>
        <v/>
      </c>
      <c r="O4435" s="14"/>
    </row>
    <row r="4436" ht="22.5" hidden="1" customHeight="1">
      <c r="A4436" s="8">
        <v>46129.68605497685</v>
      </c>
      <c r="B4436" s="14">
        <v>46129.0</v>
      </c>
      <c r="C4436" s="9" t="s">
        <v>48</v>
      </c>
      <c r="D4436" s="9" t="s">
        <v>259</v>
      </c>
      <c r="E4436" s="9" t="s">
        <v>30</v>
      </c>
      <c r="F4436" s="9" t="s">
        <v>17</v>
      </c>
      <c r="G4436" s="9">
        <v>8.0</v>
      </c>
      <c r="H4436" s="9" t="s">
        <v>22</v>
      </c>
      <c r="I4436" s="9" t="s">
        <v>20</v>
      </c>
      <c r="J4436" s="10"/>
      <c r="K4436" s="14" t="s">
        <v>398</v>
      </c>
      <c r="N4436" s="14" t="str">
        <f>IFERROR(__xludf.DUMMYFUNCTION("""COMPUTED_VALUE"""),"")</f>
        <v/>
      </c>
      <c r="O4436" s="14"/>
    </row>
    <row r="4437" ht="22.5" hidden="1" customHeight="1">
      <c r="A4437" s="8">
        <v>46129.6869958912</v>
      </c>
      <c r="B4437" s="14">
        <v>46129.0</v>
      </c>
      <c r="C4437" s="9" t="s">
        <v>48</v>
      </c>
      <c r="D4437" s="9" t="s">
        <v>421</v>
      </c>
      <c r="E4437" s="9" t="s">
        <v>17</v>
      </c>
      <c r="F4437" s="9" t="s">
        <v>17</v>
      </c>
      <c r="G4437" s="9">
        <v>8.0</v>
      </c>
      <c r="H4437" s="9" t="s">
        <v>22</v>
      </c>
      <c r="I4437" s="9" t="s">
        <v>20</v>
      </c>
      <c r="J4437" s="10"/>
      <c r="K4437" s="14" t="s">
        <v>398</v>
      </c>
      <c r="N4437" s="14" t="str">
        <f>IFERROR(__xludf.DUMMYFUNCTION("""COMPUTED_VALUE"""),"")</f>
        <v/>
      </c>
      <c r="O4437" s="14"/>
    </row>
    <row r="4438" ht="22.5" hidden="1" customHeight="1">
      <c r="A4438" s="8">
        <v>46129.687947314815</v>
      </c>
      <c r="B4438" s="14">
        <v>46129.0</v>
      </c>
      <c r="C4438" s="9" t="s">
        <v>48</v>
      </c>
      <c r="D4438" s="9" t="s">
        <v>210</v>
      </c>
      <c r="E4438" s="9" t="s">
        <v>17</v>
      </c>
      <c r="F4438" s="9" t="s">
        <v>35</v>
      </c>
      <c r="G4438" s="9" t="s">
        <v>409</v>
      </c>
      <c r="H4438" s="9" t="s">
        <v>22</v>
      </c>
      <c r="I4438" s="9" t="s">
        <v>20</v>
      </c>
      <c r="J4438" s="10"/>
      <c r="K4438" s="14">
        <v>3.0</v>
      </c>
      <c r="N4438" s="14" t="str">
        <f>IFERROR(__xludf.DUMMYFUNCTION("""COMPUTED_VALUE"""),"")</f>
        <v/>
      </c>
      <c r="O4438" s="14"/>
    </row>
    <row r="4439" ht="22.5" hidden="1" customHeight="1">
      <c r="A4439" s="8">
        <v>46129.69841802084</v>
      </c>
      <c r="B4439" s="14">
        <v>46129.0</v>
      </c>
      <c r="C4439" s="9" t="s">
        <v>48</v>
      </c>
      <c r="D4439" s="9" t="s">
        <v>247</v>
      </c>
      <c r="E4439" s="9" t="s">
        <v>17</v>
      </c>
      <c r="F4439" s="9" t="s">
        <v>17</v>
      </c>
      <c r="G4439" s="9">
        <v>7.0</v>
      </c>
      <c r="H4439" s="9" t="s">
        <v>22</v>
      </c>
      <c r="I4439" s="9" t="s">
        <v>20</v>
      </c>
      <c r="J4439" s="10"/>
      <c r="K4439" s="14">
        <v>2.0</v>
      </c>
      <c r="N4439" s="14" t="str">
        <f>IFERROR(__xludf.DUMMYFUNCTION("""COMPUTED_VALUE"""),"")</f>
        <v/>
      </c>
      <c r="O4439" s="14"/>
    </row>
    <row r="4440" ht="22.5" hidden="1" customHeight="1">
      <c r="A4440" s="8">
        <v>46129.69946858796</v>
      </c>
      <c r="B4440" s="14">
        <v>46129.0</v>
      </c>
      <c r="C4440" s="9" t="s">
        <v>48</v>
      </c>
      <c r="D4440" s="9" t="s">
        <v>396</v>
      </c>
      <c r="E4440" s="9" t="s">
        <v>17</v>
      </c>
      <c r="F4440" s="9" t="s">
        <v>17</v>
      </c>
      <c r="G4440" s="9">
        <v>7.0</v>
      </c>
      <c r="H4440" s="9" t="s">
        <v>22</v>
      </c>
      <c r="I4440" s="9" t="s">
        <v>20</v>
      </c>
      <c r="J4440" s="10"/>
      <c r="K4440" s="14">
        <v>2.0</v>
      </c>
      <c r="N4440" s="14" t="str">
        <f>IFERROR(__xludf.DUMMYFUNCTION("""COMPUTED_VALUE"""),"")</f>
        <v/>
      </c>
      <c r="O4440" s="14"/>
    </row>
    <row r="4441" ht="22.5" hidden="1" customHeight="1">
      <c r="A4441" s="8">
        <v>46131.42363048611</v>
      </c>
      <c r="B4441" s="14">
        <v>46131.0</v>
      </c>
      <c r="C4441" s="9" t="s">
        <v>58</v>
      </c>
      <c r="D4441" s="9" t="s">
        <v>412</v>
      </c>
      <c r="E4441" s="9" t="s">
        <v>17</v>
      </c>
      <c r="F4441" s="9" t="s">
        <v>17</v>
      </c>
      <c r="G4441" s="9">
        <v>7.0</v>
      </c>
      <c r="H4441" s="9" t="s">
        <v>22</v>
      </c>
      <c r="I4441" s="9" t="s">
        <v>20</v>
      </c>
      <c r="J4441" s="10"/>
      <c r="K4441" s="14" t="s">
        <v>398</v>
      </c>
      <c r="N4441" s="14" t="str">
        <f>IFERROR(__xludf.DUMMYFUNCTION("""COMPUTED_VALUE"""),"")</f>
        <v/>
      </c>
      <c r="O4441" s="14"/>
    </row>
    <row r="4442" ht="22.5" hidden="1" customHeight="1">
      <c r="A4442" s="8">
        <v>46131.423882372685</v>
      </c>
      <c r="B4442" s="14">
        <v>46131.0</v>
      </c>
      <c r="C4442" s="9" t="s">
        <v>58</v>
      </c>
      <c r="D4442" s="9" t="s">
        <v>280</v>
      </c>
      <c r="E4442" s="9" t="s">
        <v>17</v>
      </c>
      <c r="F4442" s="9" t="s">
        <v>17</v>
      </c>
      <c r="G4442" s="9">
        <v>8.0</v>
      </c>
      <c r="H4442" s="9" t="s">
        <v>22</v>
      </c>
      <c r="I4442" s="9" t="s">
        <v>20</v>
      </c>
      <c r="J4442" s="10"/>
      <c r="K4442" s="14" t="s">
        <v>398</v>
      </c>
      <c r="N4442" s="14" t="str">
        <f>IFERROR(__xludf.DUMMYFUNCTION("""COMPUTED_VALUE"""),"")</f>
        <v/>
      </c>
      <c r="O4442" s="14"/>
    </row>
    <row r="4443" ht="22.5" hidden="1" customHeight="1">
      <c r="A4443" s="8">
        <v>46131.424200532405</v>
      </c>
      <c r="B4443" s="14">
        <v>46131.0</v>
      </c>
      <c r="C4443" s="9" t="s">
        <v>58</v>
      </c>
      <c r="D4443" s="9" t="s">
        <v>258</v>
      </c>
      <c r="E4443" s="9" t="s">
        <v>17</v>
      </c>
      <c r="F4443" s="9" t="s">
        <v>17</v>
      </c>
      <c r="G4443" s="9">
        <v>7.0</v>
      </c>
      <c r="H4443" s="9" t="s">
        <v>22</v>
      </c>
      <c r="I4443" s="9" t="s">
        <v>20</v>
      </c>
      <c r="J4443" s="10"/>
      <c r="K4443" s="14">
        <v>4.0</v>
      </c>
      <c r="N4443" s="14" t="str">
        <f>IFERROR(__xludf.DUMMYFUNCTION("""COMPUTED_VALUE"""),"")</f>
        <v/>
      </c>
      <c r="O4443" s="14"/>
    </row>
    <row r="4444" ht="22.5" hidden="1" customHeight="1">
      <c r="A4444" s="8">
        <v>46131.42449452546</v>
      </c>
      <c r="B4444" s="14">
        <v>46131.0</v>
      </c>
      <c r="C4444" s="9" t="s">
        <v>58</v>
      </c>
      <c r="D4444" s="9" t="s">
        <v>105</v>
      </c>
      <c r="E4444" s="9" t="s">
        <v>17</v>
      </c>
      <c r="F4444" s="9" t="s">
        <v>17</v>
      </c>
      <c r="G4444" s="9">
        <v>8.0</v>
      </c>
      <c r="H4444" s="9" t="s">
        <v>22</v>
      </c>
      <c r="I4444" s="9" t="s">
        <v>20</v>
      </c>
      <c r="J4444" s="10"/>
      <c r="K4444" s="14" t="s">
        <v>398</v>
      </c>
      <c r="N4444" s="14" t="str">
        <f>IFERROR(__xludf.DUMMYFUNCTION("""COMPUTED_VALUE"""),"")</f>
        <v/>
      </c>
      <c r="O4444" s="14"/>
    </row>
    <row r="4445" ht="22.5" hidden="1" customHeight="1">
      <c r="A4445" s="8">
        <v>46131.424771666665</v>
      </c>
      <c r="B4445" s="14">
        <v>46131.0</v>
      </c>
      <c r="C4445" s="9" t="s">
        <v>58</v>
      </c>
      <c r="D4445" s="9" t="s">
        <v>413</v>
      </c>
      <c r="E4445" s="9" t="s">
        <v>17</v>
      </c>
      <c r="F4445" s="9" t="s">
        <v>17</v>
      </c>
      <c r="G4445" s="9">
        <v>6.0</v>
      </c>
      <c r="H4445" s="9" t="s">
        <v>22</v>
      </c>
      <c r="I4445" s="9" t="s">
        <v>20</v>
      </c>
      <c r="J4445" s="10"/>
      <c r="K4445" s="14" t="s">
        <v>398</v>
      </c>
      <c r="N4445" s="14" t="str">
        <f>IFERROR(__xludf.DUMMYFUNCTION("""COMPUTED_VALUE"""),"")</f>
        <v/>
      </c>
      <c r="O4445" s="14"/>
    </row>
    <row r="4446" ht="22.5" hidden="1" customHeight="1">
      <c r="A4446" s="8">
        <v>46131.4253953125</v>
      </c>
      <c r="B4446" s="14">
        <v>46131.0</v>
      </c>
      <c r="C4446" s="9" t="s">
        <v>58</v>
      </c>
      <c r="D4446" s="9" t="s">
        <v>171</v>
      </c>
      <c r="E4446" s="9" t="s">
        <v>140</v>
      </c>
      <c r="F4446" s="9" t="s">
        <v>60</v>
      </c>
      <c r="G4446" s="9">
        <v>6.0</v>
      </c>
      <c r="H4446" s="9" t="s">
        <v>25</v>
      </c>
      <c r="I4446" s="9" t="s">
        <v>137</v>
      </c>
      <c r="J4446" s="10"/>
      <c r="K4446" s="14" t="s">
        <v>398</v>
      </c>
      <c r="N4446" s="14" t="str">
        <f>IFERROR(__xludf.DUMMYFUNCTION("""COMPUTED_VALUE"""),"")</f>
        <v/>
      </c>
      <c r="O4446" s="14"/>
    </row>
    <row r="4447" ht="22.5" hidden="1" customHeight="1">
      <c r="A4447" s="8">
        <v>46131.42566597222</v>
      </c>
      <c r="B4447" s="14">
        <v>46131.0</v>
      </c>
      <c r="C4447" s="9" t="s">
        <v>58</v>
      </c>
      <c r="D4447" s="9" t="s">
        <v>177</v>
      </c>
      <c r="E4447" s="9" t="s">
        <v>17</v>
      </c>
      <c r="F4447" s="9" t="s">
        <v>17</v>
      </c>
      <c r="G4447" s="9">
        <v>7.0</v>
      </c>
      <c r="H4447" s="9" t="s">
        <v>22</v>
      </c>
      <c r="I4447" s="9" t="s">
        <v>20</v>
      </c>
      <c r="J4447" s="10"/>
      <c r="K4447" s="14" t="s">
        <v>398</v>
      </c>
      <c r="N4447" s="14" t="str">
        <f>IFERROR(__xludf.DUMMYFUNCTION("""COMPUTED_VALUE"""),"")</f>
        <v/>
      </c>
      <c r="O4447" s="14"/>
    </row>
    <row r="4448" ht="22.5" hidden="1" customHeight="1">
      <c r="A4448" s="8">
        <v>46131.42590418982</v>
      </c>
      <c r="B4448" s="14">
        <v>46131.0</v>
      </c>
      <c r="C4448" s="9" t="s">
        <v>58</v>
      </c>
      <c r="D4448" s="9" t="s">
        <v>249</v>
      </c>
      <c r="E4448" s="9" t="s">
        <v>17</v>
      </c>
      <c r="F4448" s="9" t="s">
        <v>17</v>
      </c>
      <c r="G4448" s="9">
        <v>7.0</v>
      </c>
      <c r="H4448" s="9" t="s">
        <v>22</v>
      </c>
      <c r="I4448" s="9" t="s">
        <v>20</v>
      </c>
      <c r="J4448" s="10"/>
      <c r="K4448" s="14">
        <v>4.0</v>
      </c>
      <c r="N4448" s="14" t="str">
        <f>IFERROR(__xludf.DUMMYFUNCTION("""COMPUTED_VALUE"""),"")</f>
        <v/>
      </c>
      <c r="O4448" s="14"/>
    </row>
    <row r="4449" ht="22.5" hidden="1" customHeight="1">
      <c r="A4449" s="8">
        <v>46131.426118668984</v>
      </c>
      <c r="B4449" s="14">
        <v>46131.0</v>
      </c>
      <c r="C4449" s="9" t="s">
        <v>58</v>
      </c>
      <c r="D4449" s="9" t="s">
        <v>350</v>
      </c>
      <c r="E4449" s="9" t="s">
        <v>17</v>
      </c>
      <c r="F4449" s="9" t="s">
        <v>17</v>
      </c>
      <c r="G4449" s="9">
        <v>8.0</v>
      </c>
      <c r="H4449" s="9" t="s">
        <v>22</v>
      </c>
      <c r="I4449" s="9" t="s">
        <v>20</v>
      </c>
      <c r="J4449" s="10"/>
      <c r="K4449" s="14">
        <v>4.0</v>
      </c>
      <c r="N4449" s="14" t="str">
        <f>IFERROR(__xludf.DUMMYFUNCTION("""COMPUTED_VALUE"""),"")</f>
        <v/>
      </c>
      <c r="O4449" s="14"/>
    </row>
    <row r="4450" ht="22.5" hidden="1" customHeight="1">
      <c r="A4450" s="8">
        <v>46131.42639216435</v>
      </c>
      <c r="B4450" s="14">
        <v>46131.0</v>
      </c>
      <c r="C4450" s="9" t="s">
        <v>58</v>
      </c>
      <c r="D4450" s="9" t="s">
        <v>395</v>
      </c>
      <c r="E4450" s="9" t="s">
        <v>17</v>
      </c>
      <c r="F4450" s="9" t="s">
        <v>60</v>
      </c>
      <c r="G4450" s="9" t="s">
        <v>410</v>
      </c>
      <c r="H4450" s="9" t="s">
        <v>22</v>
      </c>
      <c r="I4450" s="9" t="s">
        <v>20</v>
      </c>
      <c r="J4450" s="10"/>
      <c r="K4450" s="14" t="s">
        <v>398</v>
      </c>
      <c r="N4450" s="14" t="str">
        <f>IFERROR(__xludf.DUMMYFUNCTION("""COMPUTED_VALUE"""),"")</f>
        <v/>
      </c>
      <c r="O4450" s="14"/>
    </row>
    <row r="4451" ht="22.5" hidden="1" customHeight="1">
      <c r="A4451" s="8">
        <v>46131.43113246528</v>
      </c>
      <c r="B4451" s="14">
        <v>46131.0</v>
      </c>
      <c r="C4451" s="9" t="s">
        <v>58</v>
      </c>
      <c r="D4451" s="9" t="s">
        <v>259</v>
      </c>
      <c r="E4451" s="9" t="s">
        <v>17</v>
      </c>
      <c r="F4451" s="9" t="s">
        <v>17</v>
      </c>
      <c r="G4451" s="9">
        <v>7.0</v>
      </c>
      <c r="H4451" s="9" t="s">
        <v>22</v>
      </c>
      <c r="I4451" s="9" t="s">
        <v>20</v>
      </c>
      <c r="J4451" s="10"/>
      <c r="K4451" s="14">
        <v>4.0</v>
      </c>
      <c r="N4451" s="14" t="str">
        <f>IFERROR(__xludf.DUMMYFUNCTION("""COMPUTED_VALUE"""),"")</f>
        <v/>
      </c>
      <c r="O4451" s="14"/>
    </row>
    <row r="4452" ht="22.5" hidden="1" customHeight="1">
      <c r="A4452" s="8">
        <v>46131.431425567134</v>
      </c>
      <c r="B4452" s="14">
        <v>46131.0</v>
      </c>
      <c r="C4452" s="9" t="s">
        <v>58</v>
      </c>
      <c r="D4452" s="9" t="s">
        <v>178</v>
      </c>
      <c r="E4452" s="9" t="s">
        <v>140</v>
      </c>
      <c r="F4452" s="9" t="s">
        <v>77</v>
      </c>
      <c r="G4452" s="9" t="s">
        <v>410</v>
      </c>
      <c r="H4452" s="9" t="s">
        <v>22</v>
      </c>
      <c r="I4452" s="9" t="s">
        <v>20</v>
      </c>
      <c r="J4452" s="10"/>
      <c r="K4452" s="14" t="s">
        <v>398</v>
      </c>
      <c r="N4452" s="14" t="str">
        <f>IFERROR(__xludf.DUMMYFUNCTION("""COMPUTED_VALUE"""),"")</f>
        <v/>
      </c>
      <c r="O4452" s="14"/>
    </row>
    <row r="4453" ht="22.5" hidden="1" customHeight="1">
      <c r="A4453" s="8">
        <v>46131.43282728009</v>
      </c>
      <c r="B4453" s="14">
        <v>46131.0</v>
      </c>
      <c r="C4453" s="9" t="s">
        <v>58</v>
      </c>
      <c r="D4453" s="9" t="s">
        <v>174</v>
      </c>
      <c r="E4453" s="9" t="s">
        <v>17</v>
      </c>
      <c r="F4453" s="9" t="s">
        <v>17</v>
      </c>
      <c r="G4453" s="9">
        <v>7.0</v>
      </c>
      <c r="H4453" s="9" t="s">
        <v>22</v>
      </c>
      <c r="I4453" s="9" t="s">
        <v>20</v>
      </c>
      <c r="J4453" s="10"/>
      <c r="K4453" s="14" t="s">
        <v>398</v>
      </c>
      <c r="N4453" s="14" t="str">
        <f>IFERROR(__xludf.DUMMYFUNCTION("""COMPUTED_VALUE"""),"")</f>
        <v/>
      </c>
      <c r="O4453" s="14"/>
    </row>
    <row r="4454" ht="22.5" hidden="1" customHeight="1">
      <c r="A4454" s="8">
        <v>46131.43314703704</v>
      </c>
      <c r="B4454" s="14">
        <v>46131.0</v>
      </c>
      <c r="C4454" s="9" t="s">
        <v>58</v>
      </c>
      <c r="D4454" s="9" t="s">
        <v>408</v>
      </c>
      <c r="E4454" s="9" t="s">
        <v>46</v>
      </c>
      <c r="F4454" s="9" t="s">
        <v>60</v>
      </c>
      <c r="G4454" s="9" t="s">
        <v>410</v>
      </c>
      <c r="H4454" s="9" t="s">
        <v>25</v>
      </c>
      <c r="I4454" s="9" t="s">
        <v>50</v>
      </c>
      <c r="J4454" s="10"/>
      <c r="K4454" s="14" t="s">
        <v>398</v>
      </c>
      <c r="N4454" s="14" t="str">
        <f>IFERROR(__xludf.DUMMYFUNCTION("""COMPUTED_VALUE"""),"")</f>
        <v/>
      </c>
      <c r="O4454" s="14"/>
    </row>
    <row r="4455" ht="22.5" hidden="1" customHeight="1">
      <c r="A4455" s="8">
        <v>46131.43336164352</v>
      </c>
      <c r="B4455" s="14">
        <v>46131.0</v>
      </c>
      <c r="C4455" s="9" t="s">
        <v>58</v>
      </c>
      <c r="D4455" s="9" t="s">
        <v>423</v>
      </c>
      <c r="E4455" s="9" t="s">
        <v>46</v>
      </c>
      <c r="F4455" s="9" t="s">
        <v>60</v>
      </c>
      <c r="G4455" s="9" t="s">
        <v>410</v>
      </c>
      <c r="H4455" s="9" t="s">
        <v>22</v>
      </c>
      <c r="I4455" s="9" t="s">
        <v>20</v>
      </c>
      <c r="J4455" s="10"/>
      <c r="K4455" s="14" t="s">
        <v>398</v>
      </c>
      <c r="N4455" s="14" t="str">
        <f>IFERROR(__xludf.DUMMYFUNCTION("""COMPUTED_VALUE"""),"")</f>
        <v/>
      </c>
      <c r="O4455" s="14"/>
    </row>
    <row r="4456" ht="22.5" hidden="1" customHeight="1">
      <c r="A4456" s="8">
        <v>46131.442748263886</v>
      </c>
      <c r="B4456" s="14">
        <v>46131.0</v>
      </c>
      <c r="C4456" s="9" t="s">
        <v>58</v>
      </c>
      <c r="D4456" s="9" t="s">
        <v>357</v>
      </c>
      <c r="E4456" s="9" t="s">
        <v>46</v>
      </c>
      <c r="F4456" s="9" t="s">
        <v>60</v>
      </c>
      <c r="G4456" s="9" t="s">
        <v>410</v>
      </c>
      <c r="H4456" s="9" t="s">
        <v>22</v>
      </c>
      <c r="I4456" s="9" t="s">
        <v>20</v>
      </c>
      <c r="J4456" s="10"/>
      <c r="K4456" s="14" t="s">
        <v>398</v>
      </c>
      <c r="N4456" s="14" t="str">
        <f>IFERROR(__xludf.DUMMYFUNCTION("""COMPUTED_VALUE"""),"")</f>
        <v/>
      </c>
      <c r="O4456" s="14"/>
    </row>
    <row r="4457" ht="22.5" hidden="1" customHeight="1">
      <c r="A4457" s="8">
        <v>46131.44559209491</v>
      </c>
      <c r="B4457" s="14">
        <v>46131.0</v>
      </c>
      <c r="C4457" s="9" t="s">
        <v>58</v>
      </c>
      <c r="D4457" s="9" t="s">
        <v>210</v>
      </c>
      <c r="E4457" s="9" t="s">
        <v>17</v>
      </c>
      <c r="F4457" s="9" t="s">
        <v>60</v>
      </c>
      <c r="G4457" s="9" t="s">
        <v>410</v>
      </c>
      <c r="H4457" s="9" t="s">
        <v>22</v>
      </c>
      <c r="I4457" s="9" t="s">
        <v>20</v>
      </c>
      <c r="J4457" s="10"/>
      <c r="K4457" s="14" t="s">
        <v>398</v>
      </c>
      <c r="N4457" s="14" t="str">
        <f>IFERROR(__xludf.DUMMYFUNCTION("""COMPUTED_VALUE"""),"")</f>
        <v/>
      </c>
      <c r="O4457" s="14"/>
    </row>
    <row r="4458" ht="22.5" hidden="1" customHeight="1">
      <c r="A4458" s="8">
        <v>46131.447636666664</v>
      </c>
      <c r="B4458" s="14">
        <v>46131.0</v>
      </c>
      <c r="C4458" s="9" t="s">
        <v>58</v>
      </c>
      <c r="D4458" s="9" t="s">
        <v>257</v>
      </c>
      <c r="E4458" s="9" t="s">
        <v>17</v>
      </c>
      <c r="F4458" s="9" t="s">
        <v>17</v>
      </c>
      <c r="G4458" s="9" t="s">
        <v>410</v>
      </c>
      <c r="H4458" s="9" t="s">
        <v>22</v>
      </c>
      <c r="I4458" s="9" t="s">
        <v>20</v>
      </c>
      <c r="J4458" s="10"/>
      <c r="K4458" s="14" t="s">
        <v>398</v>
      </c>
      <c r="N4458" s="14" t="str">
        <f>IFERROR(__xludf.DUMMYFUNCTION("""COMPUTED_VALUE"""),"")</f>
        <v/>
      </c>
      <c r="O4458" s="14"/>
    </row>
    <row r="4459" ht="22.5" hidden="1" customHeight="1">
      <c r="A4459" s="8">
        <v>46131.447882430555</v>
      </c>
      <c r="B4459" s="14">
        <v>46131.0</v>
      </c>
      <c r="C4459" s="9" t="s">
        <v>58</v>
      </c>
      <c r="D4459" s="9" t="s">
        <v>369</v>
      </c>
      <c r="E4459" s="9" t="s">
        <v>17</v>
      </c>
      <c r="F4459" s="9" t="s">
        <v>60</v>
      </c>
      <c r="G4459" s="9" t="s">
        <v>410</v>
      </c>
      <c r="H4459" s="9" t="s">
        <v>22</v>
      </c>
      <c r="I4459" s="9" t="s">
        <v>20</v>
      </c>
      <c r="J4459" s="10"/>
      <c r="K4459" s="14" t="s">
        <v>398</v>
      </c>
      <c r="N4459" s="14" t="str">
        <f>IFERROR(__xludf.DUMMYFUNCTION("""COMPUTED_VALUE"""),"")</f>
        <v/>
      </c>
      <c r="O4459" s="14"/>
    </row>
    <row r="4460" ht="22.5" hidden="1" customHeight="1">
      <c r="A4460" s="8">
        <v>46131.44959708334</v>
      </c>
      <c r="B4460" s="14">
        <v>46131.0</v>
      </c>
      <c r="C4460" s="9" t="s">
        <v>58</v>
      </c>
      <c r="D4460" s="9" t="s">
        <v>247</v>
      </c>
      <c r="E4460" s="9" t="s">
        <v>17</v>
      </c>
      <c r="F4460" s="9" t="s">
        <v>17</v>
      </c>
      <c r="G4460" s="9">
        <v>6.0</v>
      </c>
      <c r="H4460" s="9" t="s">
        <v>22</v>
      </c>
      <c r="I4460" s="9" t="s">
        <v>20</v>
      </c>
      <c r="J4460" s="10"/>
      <c r="K4460" s="14" t="s">
        <v>398</v>
      </c>
      <c r="N4460" s="14" t="str">
        <f>IFERROR(__xludf.DUMMYFUNCTION("""COMPUTED_VALUE"""),"")</f>
        <v/>
      </c>
      <c r="O4460" s="14"/>
    </row>
    <row r="4461" ht="22.5" hidden="1" customHeight="1">
      <c r="A4461" s="8">
        <v>46131.45982488426</v>
      </c>
      <c r="B4461" s="14">
        <v>46131.0</v>
      </c>
      <c r="C4461" s="9" t="s">
        <v>58</v>
      </c>
      <c r="D4461" s="9" t="s">
        <v>396</v>
      </c>
      <c r="E4461" s="9" t="s">
        <v>17</v>
      </c>
      <c r="F4461" s="9" t="s">
        <v>17</v>
      </c>
      <c r="G4461" s="9">
        <v>7.0</v>
      </c>
      <c r="H4461" s="9" t="s">
        <v>25</v>
      </c>
      <c r="I4461" s="9" t="s">
        <v>50</v>
      </c>
      <c r="J4461" s="10"/>
      <c r="K4461" s="14" t="s">
        <v>398</v>
      </c>
      <c r="N4461" s="14" t="str">
        <f>IFERROR(__xludf.DUMMYFUNCTION("""COMPUTED_VALUE"""),"")</f>
        <v/>
      </c>
      <c r="O4461" s="14"/>
    </row>
    <row r="4462" ht="22.5" hidden="1" customHeight="1">
      <c r="A4462" s="8">
        <v>46131.470597858795</v>
      </c>
      <c r="B4462" s="14">
        <v>46131.0</v>
      </c>
      <c r="C4462" s="9" t="s">
        <v>58</v>
      </c>
      <c r="D4462" s="9" t="s">
        <v>335</v>
      </c>
      <c r="E4462" s="9" t="s">
        <v>17</v>
      </c>
      <c r="F4462" s="9" t="s">
        <v>17</v>
      </c>
      <c r="G4462" s="9">
        <v>6.0</v>
      </c>
      <c r="H4462" s="9" t="s">
        <v>25</v>
      </c>
      <c r="I4462" s="9" t="s">
        <v>434</v>
      </c>
      <c r="J4462" s="10"/>
      <c r="K4462" s="14" t="s">
        <v>398</v>
      </c>
      <c r="N4462" s="14" t="str">
        <f>IFERROR(__xludf.DUMMYFUNCTION("""COMPUTED_VALUE"""),"")</f>
        <v/>
      </c>
      <c r="O4462" s="14"/>
    </row>
    <row r="4463" ht="22.5" hidden="1" customHeight="1">
      <c r="A4463" s="8">
        <v>46131.470980474536</v>
      </c>
      <c r="B4463" s="14">
        <v>46131.0</v>
      </c>
      <c r="C4463" s="9" t="s">
        <v>58</v>
      </c>
      <c r="D4463" s="9" t="s">
        <v>414</v>
      </c>
      <c r="E4463" s="9" t="s">
        <v>17</v>
      </c>
      <c r="F4463" s="9" t="s">
        <v>17</v>
      </c>
      <c r="G4463" s="9">
        <v>7.0</v>
      </c>
      <c r="H4463" s="9" t="s">
        <v>22</v>
      </c>
      <c r="I4463" s="9" t="s">
        <v>20</v>
      </c>
      <c r="J4463" s="10"/>
      <c r="K4463" s="14" t="s">
        <v>398</v>
      </c>
      <c r="N4463" s="14" t="str">
        <f>IFERROR(__xludf.DUMMYFUNCTION("""COMPUTED_VALUE"""),"")</f>
        <v/>
      </c>
      <c r="O4463" s="14"/>
    </row>
    <row r="4464" ht="22.5" hidden="1" customHeight="1">
      <c r="A4464" s="8">
        <v>46131.47113337963</v>
      </c>
      <c r="B4464" s="14">
        <v>46131.0</v>
      </c>
      <c r="C4464" s="9" t="s">
        <v>58</v>
      </c>
      <c r="D4464" s="9" t="s">
        <v>421</v>
      </c>
      <c r="E4464" s="9" t="s">
        <v>17</v>
      </c>
      <c r="F4464" s="9" t="s">
        <v>17</v>
      </c>
      <c r="G4464" s="9">
        <v>6.0</v>
      </c>
      <c r="H4464" s="9" t="s">
        <v>22</v>
      </c>
      <c r="I4464" s="9" t="s">
        <v>20</v>
      </c>
      <c r="J4464" s="10"/>
      <c r="K4464" s="14" t="s">
        <v>398</v>
      </c>
      <c r="N4464" s="14" t="str">
        <f>IFERROR(__xludf.DUMMYFUNCTION("""COMPUTED_VALUE"""),"")</f>
        <v/>
      </c>
      <c r="O4464" s="14"/>
    </row>
    <row r="4465" ht="22.5" hidden="1" customHeight="1">
      <c r="A4465" s="8">
        <v>46131.473107060185</v>
      </c>
      <c r="B4465" s="14">
        <v>46131.0</v>
      </c>
      <c r="C4465" s="9" t="s">
        <v>58</v>
      </c>
      <c r="D4465" s="9" t="s">
        <v>257</v>
      </c>
      <c r="E4465" s="9" t="s">
        <v>17</v>
      </c>
      <c r="F4465" s="9" t="s">
        <v>17</v>
      </c>
      <c r="G4465" s="9">
        <v>7.0</v>
      </c>
      <c r="H4465" s="9" t="s">
        <v>22</v>
      </c>
      <c r="I4465" s="9" t="s">
        <v>20</v>
      </c>
      <c r="J4465" s="10"/>
      <c r="K4465" s="14" t="s">
        <v>398</v>
      </c>
      <c r="N4465" s="14" t="str">
        <f>IFERROR(__xludf.DUMMYFUNCTION("""COMPUTED_VALUE"""),"")</f>
        <v/>
      </c>
      <c r="O4465" s="14"/>
    </row>
    <row r="4466" ht="22.5" hidden="1" customHeight="1">
      <c r="A4466" s="8">
        <v>46132.374088854165</v>
      </c>
      <c r="B4466" s="14">
        <v>46132.0</v>
      </c>
      <c r="C4466" s="9" t="s">
        <v>86</v>
      </c>
      <c r="D4466" s="9" t="s">
        <v>249</v>
      </c>
      <c r="E4466" s="9" t="s">
        <v>17</v>
      </c>
      <c r="F4466" s="9" t="s">
        <v>17</v>
      </c>
      <c r="G4466" s="9">
        <v>7.0</v>
      </c>
      <c r="H4466" s="9" t="s">
        <v>22</v>
      </c>
      <c r="I4466" s="9" t="s">
        <v>20</v>
      </c>
      <c r="J4466" s="10"/>
      <c r="K4466" s="14">
        <v>6.0</v>
      </c>
      <c r="N4466" s="14" t="str">
        <f>IFERROR(__xludf.DUMMYFUNCTION("""COMPUTED_VALUE"""),"")</f>
        <v/>
      </c>
      <c r="O4466" s="14"/>
    </row>
    <row r="4467" ht="22.5" hidden="1" customHeight="1">
      <c r="A4467" s="8">
        <v>46132.38824061342</v>
      </c>
      <c r="B4467" s="14">
        <v>46132.0</v>
      </c>
      <c r="C4467" s="9" t="s">
        <v>86</v>
      </c>
      <c r="D4467" s="9" t="s">
        <v>396</v>
      </c>
      <c r="E4467" s="9" t="s">
        <v>17</v>
      </c>
      <c r="F4467" s="9" t="s">
        <v>17</v>
      </c>
      <c r="G4467" s="9">
        <v>7.0</v>
      </c>
      <c r="H4467" s="9" t="s">
        <v>25</v>
      </c>
      <c r="I4467" s="9" t="s">
        <v>50</v>
      </c>
      <c r="J4467" s="10"/>
      <c r="K4467" s="14" t="s">
        <v>398</v>
      </c>
      <c r="N4467" s="14" t="str">
        <f>IFERROR(__xludf.DUMMYFUNCTION("""COMPUTED_VALUE"""),"")</f>
        <v/>
      </c>
      <c r="O4467" s="14"/>
    </row>
    <row r="4468" ht="22.5" hidden="1" customHeight="1">
      <c r="A4468" s="8">
        <v>46132.38872189815</v>
      </c>
      <c r="B4468" s="14">
        <v>46132.0</v>
      </c>
      <c r="C4468" s="9" t="s">
        <v>86</v>
      </c>
      <c r="D4468" s="9" t="s">
        <v>247</v>
      </c>
      <c r="E4468" s="9" t="s">
        <v>17</v>
      </c>
      <c r="F4468" s="9" t="s">
        <v>17</v>
      </c>
      <c r="G4468" s="9">
        <v>7.0</v>
      </c>
      <c r="H4468" s="9" t="s">
        <v>22</v>
      </c>
      <c r="I4468" s="9" t="s">
        <v>20</v>
      </c>
      <c r="J4468" s="10"/>
      <c r="K4468" s="14" t="s">
        <v>398</v>
      </c>
      <c r="N4468" s="14" t="str">
        <f>IFERROR(__xludf.DUMMYFUNCTION("""COMPUTED_VALUE"""),"")</f>
        <v/>
      </c>
      <c r="O4468" s="14"/>
    </row>
    <row r="4469" ht="22.5" hidden="1" customHeight="1">
      <c r="A4469" s="8">
        <v>46132.38962908565</v>
      </c>
      <c r="B4469" s="14">
        <v>46132.0</v>
      </c>
      <c r="C4469" s="9" t="s">
        <v>86</v>
      </c>
      <c r="D4469" s="9" t="s">
        <v>210</v>
      </c>
      <c r="E4469" s="9" t="s">
        <v>17</v>
      </c>
      <c r="F4469" s="9" t="s">
        <v>17</v>
      </c>
      <c r="G4469" s="9">
        <v>7.0</v>
      </c>
      <c r="H4469" s="9" t="s">
        <v>22</v>
      </c>
      <c r="I4469" s="9" t="s">
        <v>20</v>
      </c>
      <c r="J4469" s="10"/>
      <c r="K4469" s="14">
        <v>5.0</v>
      </c>
      <c r="N4469" s="14" t="str">
        <f>IFERROR(__xludf.DUMMYFUNCTION("""COMPUTED_VALUE"""),"")</f>
        <v/>
      </c>
      <c r="O4469" s="14"/>
    </row>
    <row r="4470" ht="22.5" hidden="1" customHeight="1">
      <c r="A4470" s="8">
        <v>46132.389885358796</v>
      </c>
      <c r="B4470" s="14">
        <v>46132.0</v>
      </c>
      <c r="C4470" s="9" t="s">
        <v>86</v>
      </c>
      <c r="D4470" s="9" t="s">
        <v>413</v>
      </c>
      <c r="E4470" s="9" t="s">
        <v>17</v>
      </c>
      <c r="F4470" s="9" t="s">
        <v>17</v>
      </c>
      <c r="G4470" s="9">
        <v>7.0</v>
      </c>
      <c r="H4470" s="9" t="s">
        <v>22</v>
      </c>
      <c r="I4470" s="9" t="s">
        <v>20</v>
      </c>
      <c r="J4470" s="10"/>
      <c r="K4470" s="14">
        <v>3.0</v>
      </c>
      <c r="N4470" s="14" t="str">
        <f>IFERROR(__xludf.DUMMYFUNCTION("""COMPUTED_VALUE"""),"")</f>
        <v/>
      </c>
      <c r="O4470" s="14"/>
    </row>
    <row r="4471" ht="22.5" hidden="1" customHeight="1">
      <c r="A4471" s="8">
        <v>46132.390247777774</v>
      </c>
      <c r="B4471" s="14">
        <v>46132.0</v>
      </c>
      <c r="C4471" s="9" t="s">
        <v>86</v>
      </c>
      <c r="D4471" s="9" t="s">
        <v>177</v>
      </c>
      <c r="E4471" s="9" t="s">
        <v>17</v>
      </c>
      <c r="F4471" s="9" t="s">
        <v>17</v>
      </c>
      <c r="G4471" s="9">
        <v>7.0</v>
      </c>
      <c r="H4471" s="9" t="s">
        <v>25</v>
      </c>
      <c r="I4471" s="9" t="s">
        <v>266</v>
      </c>
      <c r="J4471" s="10"/>
      <c r="K4471" s="14">
        <v>4.0</v>
      </c>
      <c r="N4471" s="14" t="str">
        <f>IFERROR(__xludf.DUMMYFUNCTION("""COMPUTED_VALUE"""),"")</f>
        <v/>
      </c>
      <c r="O4471" s="14"/>
    </row>
    <row r="4472" ht="22.5" hidden="1" customHeight="1">
      <c r="A4472" s="8">
        <v>46132.39058636574</v>
      </c>
      <c r="B4472" s="14">
        <v>46132.0</v>
      </c>
      <c r="C4472" s="9" t="s">
        <v>86</v>
      </c>
      <c r="D4472" s="9" t="s">
        <v>357</v>
      </c>
      <c r="E4472" s="9" t="s">
        <v>17</v>
      </c>
      <c r="F4472" s="9" t="s">
        <v>17</v>
      </c>
      <c r="G4472" s="9">
        <v>7.0</v>
      </c>
      <c r="H4472" s="9" t="s">
        <v>22</v>
      </c>
      <c r="I4472" s="9" t="s">
        <v>20</v>
      </c>
      <c r="J4472" s="10"/>
      <c r="K4472" s="14" t="s">
        <v>398</v>
      </c>
      <c r="N4472" s="14" t="str">
        <f>IFERROR(__xludf.DUMMYFUNCTION("""COMPUTED_VALUE"""),"")</f>
        <v/>
      </c>
      <c r="O4472" s="14"/>
    </row>
    <row r="4473" ht="22.5" hidden="1" customHeight="1">
      <c r="A4473" s="8">
        <v>46132.390891620365</v>
      </c>
      <c r="B4473" s="14">
        <v>46132.0</v>
      </c>
      <c r="C4473" s="9" t="s">
        <v>86</v>
      </c>
      <c r="D4473" s="9" t="s">
        <v>393</v>
      </c>
      <c r="E4473" s="9" t="s">
        <v>17</v>
      </c>
      <c r="F4473" s="9" t="s">
        <v>17</v>
      </c>
      <c r="G4473" s="9">
        <v>7.0</v>
      </c>
      <c r="H4473" s="9" t="s">
        <v>22</v>
      </c>
      <c r="I4473" s="9" t="s">
        <v>20</v>
      </c>
      <c r="J4473" s="10"/>
      <c r="K4473" s="14">
        <v>4.0</v>
      </c>
      <c r="N4473" s="14" t="str">
        <f>IFERROR(__xludf.DUMMYFUNCTION("""COMPUTED_VALUE"""),"")</f>
        <v/>
      </c>
      <c r="O4473" s="14"/>
    </row>
    <row r="4474" ht="22.5" hidden="1" customHeight="1">
      <c r="A4474" s="8">
        <v>46132.391532905094</v>
      </c>
      <c r="B4474" s="14">
        <v>46132.0</v>
      </c>
      <c r="C4474" s="9" t="s">
        <v>86</v>
      </c>
      <c r="D4474" s="9" t="s">
        <v>414</v>
      </c>
      <c r="E4474" s="9" t="s">
        <v>46</v>
      </c>
      <c r="F4474" s="9" t="s">
        <v>17</v>
      </c>
      <c r="G4474" s="9">
        <v>7.0</v>
      </c>
      <c r="H4474" s="9" t="s">
        <v>25</v>
      </c>
      <c r="I4474" s="9" t="s">
        <v>266</v>
      </c>
      <c r="J4474" s="10"/>
      <c r="K4474" s="14" t="s">
        <v>398</v>
      </c>
      <c r="N4474" s="14" t="str">
        <f>IFERROR(__xludf.DUMMYFUNCTION("""COMPUTED_VALUE"""),"")</f>
        <v/>
      </c>
      <c r="O4474" s="14"/>
    </row>
    <row r="4475" ht="22.5" hidden="1" customHeight="1">
      <c r="A4475" s="8">
        <v>46132.397373541666</v>
      </c>
      <c r="B4475" s="14">
        <v>46132.0</v>
      </c>
      <c r="C4475" s="9" t="s">
        <v>86</v>
      </c>
      <c r="D4475" s="9" t="s">
        <v>257</v>
      </c>
      <c r="E4475" s="9" t="s">
        <v>17</v>
      </c>
      <c r="F4475" s="9" t="s">
        <v>17</v>
      </c>
      <c r="G4475" s="9">
        <v>8.0</v>
      </c>
      <c r="H4475" s="9" t="s">
        <v>22</v>
      </c>
      <c r="I4475" s="9" t="s">
        <v>20</v>
      </c>
      <c r="J4475" s="10"/>
      <c r="K4475" s="14" t="s">
        <v>398</v>
      </c>
      <c r="N4475" s="14" t="str">
        <f>IFERROR(__xludf.DUMMYFUNCTION("""COMPUTED_VALUE"""),"")</f>
        <v/>
      </c>
      <c r="O4475" s="14"/>
    </row>
    <row r="4476" ht="22.5" hidden="1" customHeight="1">
      <c r="A4476" s="8">
        <v>46132.397684247684</v>
      </c>
      <c r="B4476" s="14">
        <v>46132.0</v>
      </c>
      <c r="C4476" s="9" t="s">
        <v>86</v>
      </c>
      <c r="D4476" s="9" t="s">
        <v>412</v>
      </c>
      <c r="E4476" s="9" t="s">
        <v>17</v>
      </c>
      <c r="F4476" s="9" t="s">
        <v>17</v>
      </c>
      <c r="G4476" s="9">
        <v>7.0</v>
      </c>
      <c r="H4476" s="9" t="s">
        <v>22</v>
      </c>
      <c r="I4476" s="9" t="s">
        <v>20</v>
      </c>
      <c r="J4476" s="10"/>
      <c r="K4476" s="14" t="s">
        <v>398</v>
      </c>
      <c r="N4476" s="14" t="str">
        <f>IFERROR(__xludf.DUMMYFUNCTION("""COMPUTED_VALUE"""),"")</f>
        <v/>
      </c>
      <c r="O4476" s="14"/>
    </row>
    <row r="4477" ht="22.5" hidden="1" customHeight="1">
      <c r="A4477" s="8">
        <v>46132.398022106485</v>
      </c>
      <c r="B4477" s="14">
        <v>46132.0</v>
      </c>
      <c r="C4477" s="9" t="s">
        <v>86</v>
      </c>
      <c r="D4477" s="9" t="s">
        <v>421</v>
      </c>
      <c r="E4477" s="9" t="s">
        <v>17</v>
      </c>
      <c r="F4477" s="9" t="s">
        <v>17</v>
      </c>
      <c r="G4477" s="9">
        <v>8.0</v>
      </c>
      <c r="H4477" s="9" t="s">
        <v>22</v>
      </c>
      <c r="I4477" s="9" t="s">
        <v>20</v>
      </c>
      <c r="J4477" s="10"/>
      <c r="K4477" s="14" t="s">
        <v>398</v>
      </c>
      <c r="N4477" s="14" t="str">
        <f>IFERROR(__xludf.DUMMYFUNCTION("""COMPUTED_VALUE"""),"")</f>
        <v/>
      </c>
      <c r="O4477" s="14"/>
    </row>
    <row r="4478" ht="22.5" hidden="1" customHeight="1">
      <c r="A4478" s="8">
        <v>46132.39836688657</v>
      </c>
      <c r="B4478" s="14">
        <v>46132.0</v>
      </c>
      <c r="C4478" s="9" t="s">
        <v>86</v>
      </c>
      <c r="D4478" s="9" t="s">
        <v>423</v>
      </c>
      <c r="E4478" s="9" t="s">
        <v>17</v>
      </c>
      <c r="F4478" s="9" t="s">
        <v>17</v>
      </c>
      <c r="G4478" s="9" t="s">
        <v>410</v>
      </c>
      <c r="H4478" s="9" t="s">
        <v>22</v>
      </c>
      <c r="I4478" s="9" t="s">
        <v>20</v>
      </c>
      <c r="J4478" s="10"/>
      <c r="K4478" s="14">
        <v>5.0</v>
      </c>
      <c r="N4478" s="14" t="str">
        <f>IFERROR(__xludf.DUMMYFUNCTION("""COMPUTED_VALUE"""),"")</f>
        <v/>
      </c>
      <c r="O4478" s="14"/>
    </row>
    <row r="4479" ht="22.5" hidden="1" customHeight="1">
      <c r="A4479" s="8">
        <v>46132.398616666665</v>
      </c>
      <c r="B4479" s="14">
        <v>46132.0</v>
      </c>
      <c r="C4479" s="9" t="s">
        <v>86</v>
      </c>
      <c r="D4479" s="9" t="s">
        <v>408</v>
      </c>
      <c r="E4479" s="9" t="s">
        <v>17</v>
      </c>
      <c r="F4479" s="9" t="s">
        <v>17</v>
      </c>
      <c r="G4479" s="9">
        <v>8.0</v>
      </c>
      <c r="H4479" s="9" t="s">
        <v>25</v>
      </c>
      <c r="I4479" s="9" t="s">
        <v>50</v>
      </c>
      <c r="J4479" s="10"/>
      <c r="K4479" s="14" t="s">
        <v>398</v>
      </c>
      <c r="N4479" s="14" t="str">
        <f>IFERROR(__xludf.DUMMYFUNCTION("""COMPUTED_VALUE"""),"")</f>
        <v/>
      </c>
      <c r="O4479" s="14"/>
    </row>
    <row r="4480" ht="22.5" hidden="1" customHeight="1">
      <c r="A4480" s="8">
        <v>46132.39895246528</v>
      </c>
      <c r="B4480" s="14">
        <v>46132.0</v>
      </c>
      <c r="C4480" s="9" t="s">
        <v>86</v>
      </c>
      <c r="D4480" s="9" t="s">
        <v>350</v>
      </c>
      <c r="E4480" s="9" t="s">
        <v>17</v>
      </c>
      <c r="F4480" s="9" t="s">
        <v>17</v>
      </c>
      <c r="G4480" s="9">
        <v>7.0</v>
      </c>
      <c r="H4480" s="9" t="s">
        <v>22</v>
      </c>
      <c r="I4480" s="9" t="s">
        <v>20</v>
      </c>
      <c r="J4480" s="10"/>
      <c r="K4480" s="14">
        <v>5.0</v>
      </c>
      <c r="N4480" s="14" t="str">
        <f>IFERROR(__xludf.DUMMYFUNCTION("""COMPUTED_VALUE"""),"")</f>
        <v/>
      </c>
      <c r="O4480" s="14"/>
    </row>
    <row r="4481" ht="22.5" hidden="1" customHeight="1">
      <c r="A4481" s="8">
        <v>46132.399138506946</v>
      </c>
      <c r="B4481" s="14">
        <v>46132.0</v>
      </c>
      <c r="C4481" s="9" t="s">
        <v>86</v>
      </c>
      <c r="D4481" s="9" t="s">
        <v>395</v>
      </c>
      <c r="E4481" s="9" t="s">
        <v>17</v>
      </c>
      <c r="F4481" s="9" t="s">
        <v>17</v>
      </c>
      <c r="G4481" s="9">
        <v>7.0</v>
      </c>
      <c r="H4481" s="9" t="s">
        <v>22</v>
      </c>
      <c r="I4481" s="9" t="s">
        <v>20</v>
      </c>
      <c r="J4481" s="10"/>
      <c r="K4481" s="14">
        <v>3.0</v>
      </c>
      <c r="N4481" s="14" t="str">
        <f>IFERROR(__xludf.DUMMYFUNCTION("""COMPUTED_VALUE"""),"")</f>
        <v/>
      </c>
      <c r="O4481" s="14"/>
    </row>
    <row r="4482" ht="22.5" hidden="1" customHeight="1">
      <c r="A4482" s="8">
        <v>46132.39961363426</v>
      </c>
      <c r="B4482" s="14">
        <v>46132.0</v>
      </c>
      <c r="C4482" s="9" t="s">
        <v>86</v>
      </c>
      <c r="D4482" s="9" t="s">
        <v>174</v>
      </c>
      <c r="E4482" s="9" t="s">
        <v>17</v>
      </c>
      <c r="F4482" s="9" t="s">
        <v>17</v>
      </c>
      <c r="G4482" s="9">
        <v>7.0</v>
      </c>
      <c r="H4482" s="9" t="s">
        <v>22</v>
      </c>
      <c r="I4482" s="9" t="s">
        <v>20</v>
      </c>
      <c r="J4482" s="10"/>
      <c r="K4482" s="14" t="s">
        <v>398</v>
      </c>
      <c r="N4482" s="14" t="str">
        <f>IFERROR(__xludf.DUMMYFUNCTION("""COMPUTED_VALUE"""),"")</f>
        <v/>
      </c>
      <c r="O4482" s="14"/>
    </row>
    <row r="4483" ht="22.5" hidden="1" customHeight="1">
      <c r="A4483" s="8">
        <v>46132.39982277778</v>
      </c>
      <c r="B4483" s="14">
        <v>46132.0</v>
      </c>
      <c r="C4483" s="9" t="s">
        <v>86</v>
      </c>
      <c r="D4483" s="9" t="s">
        <v>335</v>
      </c>
      <c r="E4483" s="9" t="s">
        <v>17</v>
      </c>
      <c r="F4483" s="9" t="s">
        <v>17</v>
      </c>
      <c r="G4483" s="9">
        <v>8.0</v>
      </c>
      <c r="H4483" s="9" t="s">
        <v>25</v>
      </c>
      <c r="I4483" s="9" t="s">
        <v>434</v>
      </c>
      <c r="J4483" s="10"/>
      <c r="K4483" s="14">
        <v>4.0</v>
      </c>
      <c r="N4483" s="14" t="str">
        <f>IFERROR(__xludf.DUMMYFUNCTION("""COMPUTED_VALUE"""),"")</f>
        <v/>
      </c>
      <c r="O4483" s="14"/>
    </row>
    <row r="4484" ht="22.5" hidden="1" customHeight="1">
      <c r="A4484" s="8">
        <v>46132.40005502314</v>
      </c>
      <c r="B4484" s="14">
        <v>46132.0</v>
      </c>
      <c r="C4484" s="9" t="s">
        <v>86</v>
      </c>
      <c r="D4484" s="9" t="s">
        <v>280</v>
      </c>
      <c r="E4484" s="9" t="s">
        <v>17</v>
      </c>
      <c r="F4484" s="9" t="s">
        <v>17</v>
      </c>
      <c r="G4484" s="9">
        <v>7.0</v>
      </c>
      <c r="H4484" s="9" t="s">
        <v>22</v>
      </c>
      <c r="I4484" s="9" t="s">
        <v>20</v>
      </c>
      <c r="J4484" s="10"/>
      <c r="K4484" s="14" t="s">
        <v>398</v>
      </c>
      <c r="N4484" s="14" t="str">
        <f>IFERROR(__xludf.DUMMYFUNCTION("""COMPUTED_VALUE"""),"")</f>
        <v/>
      </c>
      <c r="O4484" s="14"/>
    </row>
    <row r="4485" ht="22.5" hidden="1" customHeight="1">
      <c r="A4485" s="8">
        <v>46132.40038576389</v>
      </c>
      <c r="B4485" s="14">
        <v>46132.0</v>
      </c>
      <c r="C4485" s="9" t="s">
        <v>86</v>
      </c>
      <c r="D4485" s="9" t="s">
        <v>178</v>
      </c>
      <c r="E4485" s="9" t="s">
        <v>17</v>
      </c>
      <c r="F4485" s="9" t="s">
        <v>17</v>
      </c>
      <c r="G4485" s="9">
        <v>7.0</v>
      </c>
      <c r="H4485" s="9" t="s">
        <v>25</v>
      </c>
      <c r="I4485" s="9" t="s">
        <v>218</v>
      </c>
      <c r="J4485" s="10"/>
      <c r="K4485" s="14" t="s">
        <v>398</v>
      </c>
      <c r="N4485" s="14" t="str">
        <f>IFERROR(__xludf.DUMMYFUNCTION("""COMPUTED_VALUE"""),"")</f>
        <v/>
      </c>
      <c r="O4485" s="14"/>
    </row>
    <row r="4486" ht="22.5" hidden="1" customHeight="1">
      <c r="A4486" s="8">
        <v>46132.40091165509</v>
      </c>
      <c r="B4486" s="14">
        <v>46132.0</v>
      </c>
      <c r="C4486" s="9" t="s">
        <v>86</v>
      </c>
      <c r="D4486" s="9" t="s">
        <v>259</v>
      </c>
      <c r="E4486" s="9" t="s">
        <v>17</v>
      </c>
      <c r="F4486" s="9" t="s">
        <v>17</v>
      </c>
      <c r="G4486" s="9">
        <v>7.0</v>
      </c>
      <c r="H4486" s="9" t="s">
        <v>22</v>
      </c>
      <c r="I4486" s="9" t="s">
        <v>20</v>
      </c>
      <c r="J4486" s="10"/>
      <c r="K4486" s="14">
        <v>5.0</v>
      </c>
      <c r="N4486" s="14" t="str">
        <f>IFERROR(__xludf.DUMMYFUNCTION("""COMPUTED_VALUE"""),"")</f>
        <v/>
      </c>
      <c r="O4486" s="14"/>
    </row>
    <row r="4487" ht="22.5" hidden="1" customHeight="1">
      <c r="A4487" s="8">
        <v>46132.40119373843</v>
      </c>
      <c r="B4487" s="14">
        <v>46132.0</v>
      </c>
      <c r="C4487" s="9" t="s">
        <v>86</v>
      </c>
      <c r="D4487" s="9" t="s">
        <v>105</v>
      </c>
      <c r="E4487" s="9" t="s">
        <v>17</v>
      </c>
      <c r="F4487" s="9" t="s">
        <v>17</v>
      </c>
      <c r="G4487" s="9">
        <v>7.0</v>
      </c>
      <c r="H4487" s="9" t="s">
        <v>22</v>
      </c>
      <c r="I4487" s="9" t="s">
        <v>20</v>
      </c>
      <c r="J4487" s="10"/>
      <c r="K4487" s="14" t="s">
        <v>398</v>
      </c>
      <c r="N4487" s="14" t="str">
        <f>IFERROR(__xludf.DUMMYFUNCTION("""COMPUTED_VALUE"""),"")</f>
        <v/>
      </c>
      <c r="O4487" s="14"/>
    </row>
    <row r="4488" ht="22.5" hidden="1" customHeight="1">
      <c r="A4488" s="8">
        <v>46132.40171150463</v>
      </c>
      <c r="B4488" s="14">
        <v>46132.0</v>
      </c>
      <c r="C4488" s="9" t="s">
        <v>86</v>
      </c>
      <c r="D4488" s="9" t="s">
        <v>171</v>
      </c>
      <c r="E4488" s="9" t="s">
        <v>61</v>
      </c>
      <c r="F4488" s="9" t="s">
        <v>17</v>
      </c>
      <c r="G4488" s="9">
        <v>7.0</v>
      </c>
      <c r="H4488" s="9" t="s">
        <v>25</v>
      </c>
      <c r="I4488" s="9" t="s">
        <v>137</v>
      </c>
      <c r="J4488" s="10"/>
      <c r="K4488" s="14" t="s">
        <v>398</v>
      </c>
      <c r="N4488" s="14" t="str">
        <f>IFERROR(__xludf.DUMMYFUNCTION("""COMPUTED_VALUE"""),"")</f>
        <v/>
      </c>
      <c r="O4488" s="14"/>
    </row>
    <row r="4489" ht="22.5" hidden="1" customHeight="1">
      <c r="A4489" s="8">
        <v>46132.40194898148</v>
      </c>
      <c r="B4489" s="14">
        <v>46132.0</v>
      </c>
      <c r="C4489" s="9" t="s">
        <v>86</v>
      </c>
      <c r="D4489" s="9" t="s">
        <v>258</v>
      </c>
      <c r="E4489" s="9" t="s">
        <v>17</v>
      </c>
      <c r="F4489" s="9" t="s">
        <v>17</v>
      </c>
      <c r="G4489" s="9">
        <v>8.0</v>
      </c>
      <c r="H4489" s="9" t="s">
        <v>22</v>
      </c>
      <c r="I4489" s="9" t="s">
        <v>20</v>
      </c>
      <c r="J4489" s="10"/>
      <c r="K4489" s="14">
        <v>7.0</v>
      </c>
      <c r="N4489" s="14" t="str">
        <f>IFERROR(__xludf.DUMMYFUNCTION("""COMPUTED_VALUE"""),"")</f>
        <v/>
      </c>
      <c r="O4489" s="14"/>
    </row>
    <row r="4490" ht="22.5" hidden="1" customHeight="1">
      <c r="A4490" s="8">
        <v>46132.40307684027</v>
      </c>
      <c r="B4490" s="14">
        <v>46132.0</v>
      </c>
      <c r="C4490" s="9" t="s">
        <v>86</v>
      </c>
      <c r="D4490" s="9" t="s">
        <v>175</v>
      </c>
      <c r="E4490" s="9" t="s">
        <v>17</v>
      </c>
      <c r="F4490" s="9" t="s">
        <v>17</v>
      </c>
      <c r="G4490" s="9">
        <v>7.0</v>
      </c>
      <c r="H4490" s="9" t="s">
        <v>22</v>
      </c>
      <c r="I4490" s="9" t="s">
        <v>20</v>
      </c>
      <c r="J4490" s="10"/>
      <c r="K4490" s="14">
        <v>6.0</v>
      </c>
      <c r="N4490" s="14" t="str">
        <f>IFERROR(__xludf.DUMMYFUNCTION("""COMPUTED_VALUE"""),"")</f>
        <v/>
      </c>
      <c r="O4490" s="14"/>
    </row>
    <row r="4491" ht="22.5" hidden="1" customHeight="1">
      <c r="A4491" s="8">
        <v>46132.40374658565</v>
      </c>
      <c r="B4491" s="14">
        <v>46132.0</v>
      </c>
      <c r="C4491" s="9" t="s">
        <v>86</v>
      </c>
      <c r="D4491" s="9" t="s">
        <v>369</v>
      </c>
      <c r="E4491" s="9" t="s">
        <v>17</v>
      </c>
      <c r="F4491" s="9" t="s">
        <v>17</v>
      </c>
      <c r="G4491" s="9">
        <v>7.0</v>
      </c>
      <c r="H4491" s="9" t="s">
        <v>22</v>
      </c>
      <c r="I4491" s="9" t="s">
        <v>20</v>
      </c>
      <c r="J4491" s="10"/>
      <c r="K4491" s="14">
        <v>6.0</v>
      </c>
      <c r="N4491" s="14" t="str">
        <f>IFERROR(__xludf.DUMMYFUNCTION("""COMPUTED_VALUE"""),"")</f>
        <v/>
      </c>
      <c r="O4491" s="14"/>
    </row>
    <row r="4492" ht="22.5" hidden="1" customHeight="1">
      <c r="A4492" s="8">
        <v>46132.40430646991</v>
      </c>
      <c r="B4492" s="14">
        <v>46132.0</v>
      </c>
      <c r="C4492" s="9" t="s">
        <v>86</v>
      </c>
      <c r="D4492" s="9" t="s">
        <v>394</v>
      </c>
      <c r="E4492" s="9" t="s">
        <v>17</v>
      </c>
      <c r="F4492" s="9" t="s">
        <v>17</v>
      </c>
      <c r="G4492" s="9">
        <v>7.0</v>
      </c>
      <c r="H4492" s="9" t="s">
        <v>22</v>
      </c>
      <c r="I4492" s="9" t="s">
        <v>20</v>
      </c>
      <c r="J4492" s="10"/>
      <c r="K4492" s="14" t="s">
        <v>398</v>
      </c>
      <c r="N4492" s="14" t="str">
        <f>IFERROR(__xludf.DUMMYFUNCTION("""COMPUTED_VALUE"""),"")</f>
        <v/>
      </c>
      <c r="O4492" s="14"/>
    </row>
    <row r="4493" ht="22.5" hidden="1" customHeight="1">
      <c r="A4493" s="8">
        <v>46134.63863429398</v>
      </c>
      <c r="B4493" s="14">
        <v>46134.0</v>
      </c>
      <c r="C4493" s="9" t="s">
        <v>15</v>
      </c>
      <c r="D4493" s="9" t="s">
        <v>171</v>
      </c>
      <c r="E4493" s="9" t="s">
        <v>17</v>
      </c>
      <c r="F4493" s="9" t="s">
        <v>17</v>
      </c>
      <c r="G4493" s="9">
        <v>6.0</v>
      </c>
      <c r="H4493" s="9" t="s">
        <v>17</v>
      </c>
      <c r="I4493" s="9" t="s">
        <v>20</v>
      </c>
      <c r="J4493" s="10"/>
      <c r="K4493" s="14" t="s">
        <v>398</v>
      </c>
      <c r="N4493" s="14" t="str">
        <f>IFERROR(__xludf.DUMMYFUNCTION("""COMPUTED_VALUE"""),"")</f>
        <v/>
      </c>
      <c r="O4493" s="14"/>
    </row>
    <row r="4494" ht="22.5" hidden="1" customHeight="1">
      <c r="A4494" s="8">
        <v>46134.638658564814</v>
      </c>
      <c r="B4494" s="14">
        <v>46134.0</v>
      </c>
      <c r="C4494" s="9" t="s">
        <v>15</v>
      </c>
      <c r="D4494" s="9" t="s">
        <v>350</v>
      </c>
      <c r="E4494" s="9" t="s">
        <v>17</v>
      </c>
      <c r="F4494" s="9" t="s">
        <v>17</v>
      </c>
      <c r="G4494" s="9">
        <v>7.0</v>
      </c>
      <c r="H4494" s="9" t="s">
        <v>22</v>
      </c>
      <c r="I4494" s="9" t="s">
        <v>20</v>
      </c>
      <c r="J4494" s="10"/>
      <c r="K4494" s="14">
        <v>4.0</v>
      </c>
      <c r="N4494" s="14" t="str">
        <f>IFERROR(__xludf.DUMMYFUNCTION("""COMPUTED_VALUE"""),"")</f>
        <v/>
      </c>
      <c r="O4494" s="14"/>
    </row>
    <row r="4495" ht="22.5" hidden="1" customHeight="1">
      <c r="A4495" s="8">
        <v>46134.639033680556</v>
      </c>
      <c r="B4495" s="14">
        <v>46134.0</v>
      </c>
      <c r="C4495" s="9" t="s">
        <v>15</v>
      </c>
      <c r="D4495" s="9" t="s">
        <v>412</v>
      </c>
      <c r="E4495" s="9" t="s">
        <v>17</v>
      </c>
      <c r="F4495" s="9" t="s">
        <v>17</v>
      </c>
      <c r="G4495" s="9">
        <v>8.0</v>
      </c>
      <c r="H4495" s="9" t="s">
        <v>22</v>
      </c>
      <c r="I4495" s="9" t="s">
        <v>20</v>
      </c>
      <c r="J4495" s="10"/>
      <c r="K4495" s="14" t="s">
        <v>398</v>
      </c>
      <c r="N4495" s="14" t="str">
        <f>IFERROR(__xludf.DUMMYFUNCTION("""COMPUTED_VALUE"""),"")</f>
        <v/>
      </c>
      <c r="O4495" s="14"/>
    </row>
    <row r="4496" ht="22.5" hidden="1" customHeight="1">
      <c r="A4496" s="8">
        <v>46134.639304861106</v>
      </c>
      <c r="B4496" s="14">
        <v>46134.0</v>
      </c>
      <c r="C4496" s="9" t="s">
        <v>15</v>
      </c>
      <c r="D4496" s="9" t="s">
        <v>423</v>
      </c>
      <c r="E4496" s="9" t="s">
        <v>46</v>
      </c>
      <c r="F4496" s="9" t="s">
        <v>17</v>
      </c>
      <c r="G4496" s="9">
        <v>6.0</v>
      </c>
      <c r="H4496" s="9" t="s">
        <v>22</v>
      </c>
      <c r="I4496" s="9" t="s">
        <v>20</v>
      </c>
      <c r="J4496" s="10"/>
      <c r="K4496" s="14" t="s">
        <v>398</v>
      </c>
      <c r="N4496" s="14" t="str">
        <f>IFERROR(__xludf.DUMMYFUNCTION("""COMPUTED_VALUE"""),"")</f>
        <v/>
      </c>
      <c r="O4496" s="14"/>
    </row>
    <row r="4497" ht="22.5" hidden="1" customHeight="1">
      <c r="A4497" s="8">
        <v>46134.63976327547</v>
      </c>
      <c r="B4497" s="14">
        <v>46134.0</v>
      </c>
      <c r="C4497" s="9" t="s">
        <v>15</v>
      </c>
      <c r="D4497" s="9" t="s">
        <v>408</v>
      </c>
      <c r="E4497" s="9" t="s">
        <v>17</v>
      </c>
      <c r="F4497" s="9" t="s">
        <v>17</v>
      </c>
      <c r="G4497" s="9">
        <v>6.0</v>
      </c>
      <c r="H4497" s="9" t="s">
        <v>17</v>
      </c>
      <c r="I4497" s="9" t="s">
        <v>20</v>
      </c>
      <c r="J4497" s="10"/>
      <c r="K4497" s="14" t="s">
        <v>398</v>
      </c>
      <c r="N4497" s="14" t="str">
        <f>IFERROR(__xludf.DUMMYFUNCTION("""COMPUTED_VALUE"""),"")</f>
        <v/>
      </c>
      <c r="O4497" s="14"/>
    </row>
    <row r="4498" ht="22.5" hidden="1" customHeight="1">
      <c r="A4498" s="8">
        <v>46134.64013410879</v>
      </c>
      <c r="B4498" s="14">
        <v>46134.0</v>
      </c>
      <c r="C4498" s="9" t="s">
        <v>15</v>
      </c>
      <c r="D4498" s="9" t="s">
        <v>258</v>
      </c>
      <c r="E4498" s="9" t="s">
        <v>17</v>
      </c>
      <c r="F4498" s="9" t="s">
        <v>17</v>
      </c>
      <c r="G4498" s="9">
        <v>8.0</v>
      </c>
      <c r="H4498" s="9" t="s">
        <v>17</v>
      </c>
      <c r="I4498" s="9" t="s">
        <v>20</v>
      </c>
      <c r="J4498" s="10"/>
      <c r="K4498" s="14">
        <v>4.0</v>
      </c>
      <c r="N4498" s="14" t="str">
        <f>IFERROR(__xludf.DUMMYFUNCTION("""COMPUTED_VALUE"""),"")</f>
        <v/>
      </c>
      <c r="O4498" s="14"/>
    </row>
    <row r="4499" ht="22.5" hidden="1" customHeight="1">
      <c r="A4499" s="8">
        <v>46134.64057856481</v>
      </c>
      <c r="B4499" s="14">
        <v>46134.0</v>
      </c>
      <c r="C4499" s="9" t="s">
        <v>15</v>
      </c>
      <c r="D4499" s="9" t="s">
        <v>177</v>
      </c>
      <c r="E4499" s="9" t="s">
        <v>140</v>
      </c>
      <c r="F4499" s="9" t="s">
        <v>77</v>
      </c>
      <c r="G4499" s="9" t="s">
        <v>410</v>
      </c>
      <c r="H4499" s="9" t="s">
        <v>17</v>
      </c>
      <c r="I4499" s="9" t="s">
        <v>20</v>
      </c>
      <c r="J4499" s="10"/>
      <c r="K4499" s="14" t="s">
        <v>398</v>
      </c>
      <c r="N4499" s="14" t="str">
        <f>IFERROR(__xludf.DUMMYFUNCTION("""COMPUTED_VALUE"""),"")</f>
        <v/>
      </c>
      <c r="O4499" s="14"/>
    </row>
    <row r="4500" ht="22.5" hidden="1" customHeight="1">
      <c r="A4500" s="8">
        <v>46134.64071706019</v>
      </c>
      <c r="B4500" s="14">
        <v>46134.0</v>
      </c>
      <c r="C4500" s="9" t="s">
        <v>15</v>
      </c>
      <c r="D4500" s="9" t="s">
        <v>249</v>
      </c>
      <c r="E4500" s="9" t="s">
        <v>17</v>
      </c>
      <c r="F4500" s="9" t="s">
        <v>17</v>
      </c>
      <c r="G4500" s="9" t="s">
        <v>409</v>
      </c>
      <c r="H4500" s="9" t="s">
        <v>22</v>
      </c>
      <c r="I4500" s="9" t="s">
        <v>20</v>
      </c>
      <c r="J4500" s="10"/>
      <c r="K4500" s="14">
        <v>4.0</v>
      </c>
      <c r="N4500" s="14" t="str">
        <f>IFERROR(__xludf.DUMMYFUNCTION("""COMPUTED_VALUE"""),"")</f>
        <v/>
      </c>
      <c r="O4500" s="14"/>
    </row>
    <row r="4501" ht="22.5" hidden="1" customHeight="1">
      <c r="A4501" s="8">
        <v>46134.641598726856</v>
      </c>
      <c r="B4501" s="14">
        <v>46134.0</v>
      </c>
      <c r="C4501" s="9" t="s">
        <v>15</v>
      </c>
      <c r="D4501" s="9" t="s">
        <v>105</v>
      </c>
      <c r="E4501" s="9" t="s">
        <v>17</v>
      </c>
      <c r="F4501" s="9" t="s">
        <v>17</v>
      </c>
      <c r="G4501" s="9">
        <v>8.0</v>
      </c>
      <c r="H4501" s="9" t="s">
        <v>25</v>
      </c>
      <c r="I4501" s="9" t="s">
        <v>173</v>
      </c>
      <c r="J4501" s="10"/>
      <c r="K4501" s="14" t="s">
        <v>398</v>
      </c>
      <c r="N4501" s="14" t="str">
        <f>IFERROR(__xludf.DUMMYFUNCTION("""COMPUTED_VALUE"""),"")</f>
        <v/>
      </c>
      <c r="O4501" s="14"/>
    </row>
    <row r="4502" ht="22.5" hidden="1" customHeight="1">
      <c r="A4502" s="8">
        <v>46134.644826724536</v>
      </c>
      <c r="B4502" s="14">
        <v>46134.0</v>
      </c>
      <c r="C4502" s="9" t="s">
        <v>15</v>
      </c>
      <c r="D4502" s="9" t="s">
        <v>280</v>
      </c>
      <c r="E4502" s="9" t="s">
        <v>17</v>
      </c>
      <c r="F4502" s="9" t="s">
        <v>17</v>
      </c>
      <c r="G4502" s="9">
        <v>8.0</v>
      </c>
      <c r="H4502" s="9" t="s">
        <v>22</v>
      </c>
      <c r="I4502" s="9" t="s">
        <v>20</v>
      </c>
      <c r="J4502" s="10"/>
      <c r="K4502" s="14" t="s">
        <v>398</v>
      </c>
      <c r="N4502" s="14" t="str">
        <f>IFERROR(__xludf.DUMMYFUNCTION("""COMPUTED_VALUE"""),"")</f>
        <v/>
      </c>
      <c r="O4502" s="14"/>
    </row>
    <row r="4503" ht="22.5" hidden="1" customHeight="1">
      <c r="A4503" s="8">
        <v>46134.65209311343</v>
      </c>
      <c r="B4503" s="14">
        <v>46134.0</v>
      </c>
      <c r="C4503" s="9" t="s">
        <v>15</v>
      </c>
      <c r="D4503" s="9" t="s">
        <v>247</v>
      </c>
      <c r="E4503" s="9" t="s">
        <v>140</v>
      </c>
      <c r="F4503" s="9" t="s">
        <v>77</v>
      </c>
      <c r="G4503" s="9" t="s">
        <v>410</v>
      </c>
      <c r="H4503" s="9" t="s">
        <v>22</v>
      </c>
      <c r="I4503" s="9" t="s">
        <v>20</v>
      </c>
      <c r="J4503" s="10"/>
      <c r="K4503" s="14" t="s">
        <v>398</v>
      </c>
      <c r="N4503" s="14" t="str">
        <f>IFERROR(__xludf.DUMMYFUNCTION("""COMPUTED_VALUE"""),"")</f>
        <v/>
      </c>
      <c r="O4503" s="14"/>
    </row>
    <row r="4504" ht="22.5" hidden="1" customHeight="1">
      <c r="A4504" s="8">
        <v>46134.657825752314</v>
      </c>
      <c r="B4504" s="14">
        <v>46134.0</v>
      </c>
      <c r="C4504" s="9" t="s">
        <v>15</v>
      </c>
      <c r="D4504" s="9" t="s">
        <v>413</v>
      </c>
      <c r="E4504" s="9" t="s">
        <v>17</v>
      </c>
      <c r="F4504" s="9" t="s">
        <v>17</v>
      </c>
      <c r="G4504" s="9" t="s">
        <v>410</v>
      </c>
      <c r="H4504" s="9" t="s">
        <v>22</v>
      </c>
      <c r="I4504" s="9" t="s">
        <v>20</v>
      </c>
      <c r="J4504" s="10"/>
      <c r="K4504" s="14" t="s">
        <v>398</v>
      </c>
      <c r="N4504" s="14" t="str">
        <f>IFERROR(__xludf.DUMMYFUNCTION("""COMPUTED_VALUE"""),"")</f>
        <v/>
      </c>
      <c r="O4504" s="14"/>
    </row>
    <row r="4505" ht="22.5" hidden="1" customHeight="1">
      <c r="A4505" s="8">
        <v>46134.65735283565</v>
      </c>
      <c r="B4505" s="14">
        <v>46134.0</v>
      </c>
      <c r="C4505" s="9" t="s">
        <v>15</v>
      </c>
      <c r="D4505" s="9" t="s">
        <v>335</v>
      </c>
      <c r="E4505" s="9" t="s">
        <v>61</v>
      </c>
      <c r="F4505" s="9" t="s">
        <v>60</v>
      </c>
      <c r="G4505" s="9" t="s">
        <v>410</v>
      </c>
      <c r="H4505" s="9" t="s">
        <v>25</v>
      </c>
      <c r="I4505" s="9" t="s">
        <v>434</v>
      </c>
      <c r="J4505" s="10"/>
      <c r="K4505" s="14" t="s">
        <v>398</v>
      </c>
      <c r="N4505" s="14" t="str">
        <f>IFERROR(__xludf.DUMMYFUNCTION("""COMPUTED_VALUE"""),"")</f>
        <v/>
      </c>
      <c r="O4505" s="14"/>
    </row>
    <row r="4506" ht="22.5" hidden="1" customHeight="1">
      <c r="A4506" s="8">
        <v>46134.65837041667</v>
      </c>
      <c r="B4506" s="14">
        <v>46134.0</v>
      </c>
      <c r="C4506" s="9" t="s">
        <v>15</v>
      </c>
      <c r="D4506" s="9" t="s">
        <v>421</v>
      </c>
      <c r="E4506" s="9" t="s">
        <v>17</v>
      </c>
      <c r="F4506" s="9" t="s">
        <v>17</v>
      </c>
      <c r="G4506" s="9">
        <v>7.0</v>
      </c>
      <c r="H4506" s="9" t="s">
        <v>17</v>
      </c>
      <c r="I4506" s="9" t="s">
        <v>20</v>
      </c>
      <c r="J4506" s="10"/>
      <c r="K4506" s="14" t="s">
        <v>398</v>
      </c>
      <c r="N4506" s="14" t="str">
        <f>IFERROR(__xludf.DUMMYFUNCTION("""COMPUTED_VALUE"""),"")</f>
        <v/>
      </c>
      <c r="O4506" s="14"/>
    </row>
    <row r="4507" ht="22.5" hidden="1" customHeight="1">
      <c r="A4507" s="8">
        <v>46134.658662905094</v>
      </c>
      <c r="B4507" s="14">
        <v>46134.0</v>
      </c>
      <c r="C4507" s="9" t="s">
        <v>15</v>
      </c>
      <c r="D4507" s="9" t="s">
        <v>357</v>
      </c>
      <c r="E4507" s="9" t="s">
        <v>17</v>
      </c>
      <c r="F4507" s="9" t="s">
        <v>17</v>
      </c>
      <c r="G4507" s="9" t="s">
        <v>410</v>
      </c>
      <c r="H4507" s="9" t="s">
        <v>17</v>
      </c>
      <c r="I4507" s="9" t="s">
        <v>20</v>
      </c>
      <c r="J4507" s="10"/>
      <c r="K4507" s="14" t="s">
        <v>398</v>
      </c>
      <c r="N4507" s="14" t="str">
        <f>IFERROR(__xludf.DUMMYFUNCTION("""COMPUTED_VALUE"""),"")</f>
        <v/>
      </c>
      <c r="O4507" s="14"/>
    </row>
    <row r="4508" ht="22.5" hidden="1" customHeight="1">
      <c r="A4508" s="8">
        <v>46134.65939581019</v>
      </c>
      <c r="B4508" s="14">
        <v>46134.0</v>
      </c>
      <c r="C4508" s="9" t="s">
        <v>15</v>
      </c>
      <c r="D4508" s="9" t="s">
        <v>369</v>
      </c>
      <c r="E4508" s="9" t="s">
        <v>17</v>
      </c>
      <c r="F4508" s="9" t="s">
        <v>17</v>
      </c>
      <c r="G4508" s="9" t="s">
        <v>410</v>
      </c>
      <c r="H4508" s="9" t="s">
        <v>25</v>
      </c>
      <c r="I4508" s="9" t="s">
        <v>28</v>
      </c>
      <c r="J4508" s="10"/>
      <c r="K4508" s="14" t="s">
        <v>398</v>
      </c>
      <c r="N4508" s="14" t="str">
        <f>IFERROR(__xludf.DUMMYFUNCTION("""COMPUTED_VALUE"""),"")</f>
        <v/>
      </c>
      <c r="O4508" s="14"/>
    </row>
    <row r="4509" ht="22.5" hidden="1" customHeight="1">
      <c r="A4509" s="8">
        <v>46134.659693333335</v>
      </c>
      <c r="B4509" s="14">
        <v>46134.0</v>
      </c>
      <c r="C4509" s="9" t="s">
        <v>15</v>
      </c>
      <c r="D4509" s="9" t="s">
        <v>395</v>
      </c>
      <c r="E4509" s="9" t="s">
        <v>17</v>
      </c>
      <c r="F4509" s="9" t="s">
        <v>17</v>
      </c>
      <c r="G4509" s="9" t="s">
        <v>410</v>
      </c>
      <c r="H4509" s="9" t="s">
        <v>22</v>
      </c>
      <c r="I4509" s="9" t="s">
        <v>20</v>
      </c>
      <c r="J4509" s="10"/>
      <c r="K4509" s="14" t="s">
        <v>398</v>
      </c>
      <c r="N4509" s="14" t="str">
        <f>IFERROR(__xludf.DUMMYFUNCTION("""COMPUTED_VALUE"""),"")</f>
        <v/>
      </c>
      <c r="O4509" s="14"/>
    </row>
    <row r="4510" ht="22.5" hidden="1" customHeight="1">
      <c r="A4510" s="8">
        <v>46134.66004181713</v>
      </c>
      <c r="B4510" s="14">
        <v>46134.0</v>
      </c>
      <c r="C4510" s="9" t="s">
        <v>15</v>
      </c>
      <c r="D4510" s="9" t="s">
        <v>175</v>
      </c>
      <c r="E4510" s="9" t="s">
        <v>17</v>
      </c>
      <c r="F4510" s="9" t="s">
        <v>17</v>
      </c>
      <c r="G4510" s="9">
        <v>6.0</v>
      </c>
      <c r="H4510" s="9" t="s">
        <v>25</v>
      </c>
      <c r="I4510" s="9" t="s">
        <v>211</v>
      </c>
      <c r="J4510" s="10"/>
      <c r="K4510" s="14" t="s">
        <v>398</v>
      </c>
      <c r="N4510" s="14" t="str">
        <f>IFERROR(__xludf.DUMMYFUNCTION("""COMPUTED_VALUE"""),"")</f>
        <v/>
      </c>
      <c r="O4510" s="14"/>
    </row>
    <row r="4511" ht="22.5" hidden="1" customHeight="1">
      <c r="A4511" s="8">
        <v>46134.661924201384</v>
      </c>
      <c r="B4511" s="14">
        <v>46134.0</v>
      </c>
      <c r="C4511" s="9" t="s">
        <v>15</v>
      </c>
      <c r="D4511" s="9" t="s">
        <v>174</v>
      </c>
      <c r="E4511" s="9" t="s">
        <v>17</v>
      </c>
      <c r="F4511" s="9" t="s">
        <v>17</v>
      </c>
      <c r="G4511" s="9">
        <v>7.0</v>
      </c>
      <c r="H4511" s="9" t="s">
        <v>22</v>
      </c>
      <c r="I4511" s="9" t="s">
        <v>20</v>
      </c>
      <c r="J4511" s="10"/>
      <c r="K4511" s="14" t="s">
        <v>398</v>
      </c>
      <c r="N4511" s="14" t="str">
        <f>IFERROR(__xludf.DUMMYFUNCTION("""COMPUTED_VALUE"""),"")</f>
        <v/>
      </c>
      <c r="O4511" s="14"/>
    </row>
    <row r="4512" ht="22.5" hidden="1" customHeight="1">
      <c r="A4512" s="8">
        <v>46134.663168032406</v>
      </c>
      <c r="B4512" s="14">
        <v>46134.0</v>
      </c>
      <c r="C4512" s="9" t="s">
        <v>15</v>
      </c>
      <c r="D4512" s="9" t="s">
        <v>259</v>
      </c>
      <c r="E4512" s="9" t="s">
        <v>17</v>
      </c>
      <c r="F4512" s="9" t="s">
        <v>17</v>
      </c>
      <c r="G4512" s="9">
        <v>8.0</v>
      </c>
      <c r="H4512" s="9" t="s">
        <v>22</v>
      </c>
      <c r="I4512" s="9" t="s">
        <v>20</v>
      </c>
      <c r="J4512" s="10"/>
      <c r="K4512" s="14" t="s">
        <v>398</v>
      </c>
      <c r="N4512" s="14" t="str">
        <f>IFERROR(__xludf.DUMMYFUNCTION("""COMPUTED_VALUE"""),"")</f>
        <v/>
      </c>
      <c r="O4512" s="14"/>
    </row>
    <row r="4513" ht="22.5" hidden="1" customHeight="1">
      <c r="A4513" s="8">
        <v>46134.6640006713</v>
      </c>
      <c r="B4513" s="14">
        <v>46134.0</v>
      </c>
      <c r="C4513" s="9" t="s">
        <v>15</v>
      </c>
      <c r="D4513" s="9" t="s">
        <v>210</v>
      </c>
      <c r="E4513" s="9" t="s">
        <v>61</v>
      </c>
      <c r="F4513" s="9" t="s">
        <v>17</v>
      </c>
      <c r="G4513" s="9" t="s">
        <v>409</v>
      </c>
      <c r="H4513" s="9" t="s">
        <v>25</v>
      </c>
      <c r="I4513" s="9" t="s">
        <v>67</v>
      </c>
      <c r="J4513" s="10"/>
      <c r="K4513" s="14" t="s">
        <v>398</v>
      </c>
      <c r="N4513" s="14" t="str">
        <f>IFERROR(__xludf.DUMMYFUNCTION("""COMPUTED_VALUE"""),"")</f>
        <v/>
      </c>
      <c r="O4513" s="14"/>
    </row>
    <row r="4514" ht="22.5" hidden="1" customHeight="1">
      <c r="A4514" s="8">
        <v>46134.664477094906</v>
      </c>
      <c r="B4514" s="14">
        <v>46134.0</v>
      </c>
      <c r="C4514" s="9" t="s">
        <v>15</v>
      </c>
      <c r="D4514" s="9" t="s">
        <v>393</v>
      </c>
      <c r="E4514" s="9" t="s">
        <v>17</v>
      </c>
      <c r="F4514" s="9" t="s">
        <v>17</v>
      </c>
      <c r="G4514" s="9" t="s">
        <v>410</v>
      </c>
      <c r="H4514" s="9" t="s">
        <v>22</v>
      </c>
      <c r="I4514" s="9" t="s">
        <v>20</v>
      </c>
      <c r="J4514" s="10"/>
      <c r="K4514" s="14" t="s">
        <v>398</v>
      </c>
      <c r="N4514" s="14" t="str">
        <f>IFERROR(__xludf.DUMMYFUNCTION("""COMPUTED_VALUE"""),"")</f>
        <v/>
      </c>
      <c r="O4514" s="14"/>
    </row>
    <row r="4515" ht="22.5" hidden="1" customHeight="1">
      <c r="A4515" s="8">
        <v>46134.66521853009</v>
      </c>
      <c r="B4515" s="14">
        <v>46134.0</v>
      </c>
      <c r="C4515" s="9" t="s">
        <v>15</v>
      </c>
      <c r="D4515" s="9" t="s">
        <v>414</v>
      </c>
      <c r="E4515" s="9" t="s">
        <v>46</v>
      </c>
      <c r="F4515" s="9" t="s">
        <v>17</v>
      </c>
      <c r="G4515" s="9" t="s">
        <v>410</v>
      </c>
      <c r="H4515" s="9" t="s">
        <v>25</v>
      </c>
      <c r="I4515" s="9" t="s">
        <v>173</v>
      </c>
      <c r="J4515" s="10"/>
      <c r="K4515" s="14" t="s">
        <v>398</v>
      </c>
      <c r="N4515" s="14" t="str">
        <f>IFERROR(__xludf.DUMMYFUNCTION("""COMPUTED_VALUE"""),"")</f>
        <v/>
      </c>
      <c r="O4515" s="14"/>
    </row>
    <row r="4516" ht="22.5" hidden="1" customHeight="1">
      <c r="A4516" s="8">
        <v>46135.36415709491</v>
      </c>
      <c r="B4516" s="14">
        <v>46135.0</v>
      </c>
      <c r="C4516" s="9" t="s">
        <v>31</v>
      </c>
      <c r="D4516" s="9" t="s">
        <v>412</v>
      </c>
      <c r="E4516" s="9" t="s">
        <v>44</v>
      </c>
      <c r="F4516" s="9" t="s">
        <v>17</v>
      </c>
      <c r="G4516" s="9">
        <v>7.0</v>
      </c>
      <c r="H4516" s="9" t="s">
        <v>22</v>
      </c>
      <c r="I4516" s="9" t="s">
        <v>20</v>
      </c>
      <c r="J4516" s="10"/>
      <c r="K4516" s="14">
        <v>5.0</v>
      </c>
      <c r="N4516" s="14" t="str">
        <f>IFERROR(__xludf.DUMMYFUNCTION("""COMPUTED_VALUE"""),"")</f>
        <v/>
      </c>
      <c r="O4516" s="14"/>
    </row>
    <row r="4517" ht="22.5" hidden="1" customHeight="1">
      <c r="A4517" s="8">
        <v>46135.36456162037</v>
      </c>
      <c r="B4517" s="14">
        <v>46135.0</v>
      </c>
      <c r="C4517" s="9" t="s">
        <v>31</v>
      </c>
      <c r="D4517" s="9" t="s">
        <v>249</v>
      </c>
      <c r="E4517" s="9" t="s">
        <v>17</v>
      </c>
      <c r="F4517" s="9" t="s">
        <v>17</v>
      </c>
      <c r="G4517" s="9">
        <v>7.0</v>
      </c>
      <c r="H4517" s="9" t="s">
        <v>22</v>
      </c>
      <c r="I4517" s="9" t="s">
        <v>20</v>
      </c>
      <c r="J4517" s="10"/>
      <c r="K4517" s="14">
        <v>7.0</v>
      </c>
      <c r="N4517" s="14" t="str">
        <f>IFERROR(__xludf.DUMMYFUNCTION("""COMPUTED_VALUE"""),"")</f>
        <v/>
      </c>
      <c r="O4517" s="14"/>
    </row>
    <row r="4518" ht="22.5" hidden="1" customHeight="1">
      <c r="A4518" s="8">
        <v>46135.364928043986</v>
      </c>
      <c r="B4518" s="14">
        <v>46135.0</v>
      </c>
      <c r="C4518" s="9" t="s">
        <v>31</v>
      </c>
      <c r="D4518" s="9" t="s">
        <v>177</v>
      </c>
      <c r="E4518" s="9" t="s">
        <v>46</v>
      </c>
      <c r="F4518" s="9" t="s">
        <v>17</v>
      </c>
      <c r="G4518" s="9">
        <v>7.0</v>
      </c>
      <c r="H4518" s="9" t="s">
        <v>22</v>
      </c>
      <c r="I4518" s="9" t="s">
        <v>20</v>
      </c>
      <c r="J4518" s="10"/>
      <c r="K4518" s="14" t="s">
        <v>398</v>
      </c>
      <c r="N4518" s="14" t="str">
        <f>IFERROR(__xludf.DUMMYFUNCTION("""COMPUTED_VALUE"""),"")</f>
        <v/>
      </c>
      <c r="O4518" s="14"/>
    </row>
    <row r="4519" ht="22.5" hidden="1" customHeight="1">
      <c r="A4519" s="8">
        <v>46135.36524175926</v>
      </c>
      <c r="B4519" s="14">
        <v>46135.0</v>
      </c>
      <c r="C4519" s="9" t="s">
        <v>31</v>
      </c>
      <c r="D4519" s="9" t="s">
        <v>105</v>
      </c>
      <c r="E4519" s="9" t="s">
        <v>17</v>
      </c>
      <c r="F4519" s="9" t="s">
        <v>17</v>
      </c>
      <c r="G4519" s="9">
        <v>7.0</v>
      </c>
      <c r="H4519" s="9" t="s">
        <v>22</v>
      </c>
      <c r="I4519" s="9" t="s">
        <v>20</v>
      </c>
      <c r="J4519" s="10"/>
      <c r="K4519" s="14" t="s">
        <v>398</v>
      </c>
      <c r="N4519" s="14" t="str">
        <f>IFERROR(__xludf.DUMMYFUNCTION("""COMPUTED_VALUE"""),"")</f>
        <v/>
      </c>
      <c r="O4519" s="14"/>
    </row>
    <row r="4520" ht="22.5" hidden="1" customHeight="1">
      <c r="A4520" s="8">
        <v>46135.365599675926</v>
      </c>
      <c r="B4520" s="14">
        <v>46135.0</v>
      </c>
      <c r="C4520" s="9" t="s">
        <v>31</v>
      </c>
      <c r="D4520" s="9" t="s">
        <v>280</v>
      </c>
      <c r="E4520" s="9" t="s">
        <v>17</v>
      </c>
      <c r="F4520" s="9" t="s">
        <v>17</v>
      </c>
      <c r="G4520" s="9">
        <v>7.0</v>
      </c>
      <c r="H4520" s="9" t="s">
        <v>25</v>
      </c>
      <c r="I4520" s="9" t="s">
        <v>173</v>
      </c>
      <c r="J4520" s="10"/>
      <c r="K4520" s="14" t="s">
        <v>398</v>
      </c>
      <c r="N4520" s="14" t="str">
        <f>IFERROR(__xludf.DUMMYFUNCTION("""COMPUTED_VALUE"""),"")</f>
        <v/>
      </c>
      <c r="O4520" s="14"/>
    </row>
    <row r="4521" ht="22.5" hidden="1" customHeight="1">
      <c r="A4521" s="8">
        <v>46135.36584240741</v>
      </c>
      <c r="B4521" s="14">
        <v>46135.0</v>
      </c>
      <c r="C4521" s="9" t="s">
        <v>31</v>
      </c>
      <c r="D4521" s="9" t="s">
        <v>174</v>
      </c>
      <c r="E4521" s="9" t="s">
        <v>17</v>
      </c>
      <c r="F4521" s="9" t="s">
        <v>17</v>
      </c>
      <c r="G4521" s="9">
        <v>7.0</v>
      </c>
      <c r="H4521" s="9" t="s">
        <v>22</v>
      </c>
      <c r="I4521" s="9" t="s">
        <v>20</v>
      </c>
      <c r="J4521" s="10"/>
      <c r="K4521" s="14" t="s">
        <v>398</v>
      </c>
      <c r="N4521" s="14" t="str">
        <f>IFERROR(__xludf.DUMMYFUNCTION("""COMPUTED_VALUE"""),"")</f>
        <v/>
      </c>
      <c r="O4521" s="14"/>
    </row>
    <row r="4522" ht="22.5" hidden="1" customHeight="1">
      <c r="A4522" s="8">
        <v>46135.36617523148</v>
      </c>
      <c r="B4522" s="14">
        <v>46135.0</v>
      </c>
      <c r="C4522" s="9" t="s">
        <v>31</v>
      </c>
      <c r="D4522" s="9" t="s">
        <v>350</v>
      </c>
      <c r="E4522" s="9" t="s">
        <v>17</v>
      </c>
      <c r="F4522" s="9" t="s">
        <v>17</v>
      </c>
      <c r="G4522" s="9">
        <v>7.0</v>
      </c>
      <c r="H4522" s="9" t="s">
        <v>22</v>
      </c>
      <c r="I4522" s="9" t="s">
        <v>20</v>
      </c>
      <c r="J4522" s="10"/>
      <c r="K4522" s="14">
        <v>6.0</v>
      </c>
      <c r="N4522" s="14" t="str">
        <f>IFERROR(__xludf.DUMMYFUNCTION("""COMPUTED_VALUE"""),"")</f>
        <v/>
      </c>
      <c r="O4522" s="14"/>
    </row>
    <row r="4523" ht="22.5" hidden="1" customHeight="1">
      <c r="A4523" s="8">
        <v>46135.3666202662</v>
      </c>
      <c r="B4523" s="14">
        <v>46135.0</v>
      </c>
      <c r="C4523" s="9" t="s">
        <v>31</v>
      </c>
      <c r="D4523" s="9" t="s">
        <v>408</v>
      </c>
      <c r="E4523" s="9" t="s">
        <v>46</v>
      </c>
      <c r="F4523" s="9" t="s">
        <v>17</v>
      </c>
      <c r="G4523" s="9">
        <v>7.0</v>
      </c>
      <c r="H4523" s="9" t="s">
        <v>25</v>
      </c>
      <c r="I4523" s="9" t="s">
        <v>50</v>
      </c>
      <c r="J4523" s="10"/>
      <c r="K4523" s="14" t="s">
        <v>398</v>
      </c>
      <c r="N4523" s="14" t="str">
        <f>IFERROR(__xludf.DUMMYFUNCTION("""COMPUTED_VALUE"""),"")</f>
        <v/>
      </c>
      <c r="O4523" s="14"/>
    </row>
    <row r="4524" ht="22.5" hidden="1" customHeight="1">
      <c r="A4524" s="8">
        <v>46135.36703273148</v>
      </c>
      <c r="B4524" s="14">
        <v>46135.0</v>
      </c>
      <c r="C4524" s="9" t="s">
        <v>31</v>
      </c>
      <c r="D4524" s="9" t="s">
        <v>414</v>
      </c>
      <c r="E4524" s="9" t="s">
        <v>17</v>
      </c>
      <c r="F4524" s="9" t="s">
        <v>17</v>
      </c>
      <c r="G4524" s="9">
        <v>7.0</v>
      </c>
      <c r="H4524" s="9" t="s">
        <v>25</v>
      </c>
      <c r="I4524" s="9" t="s">
        <v>173</v>
      </c>
      <c r="J4524" s="10"/>
      <c r="K4524" s="14" t="s">
        <v>398</v>
      </c>
      <c r="N4524" s="14" t="str">
        <f>IFERROR(__xludf.DUMMYFUNCTION("""COMPUTED_VALUE"""),"")</f>
        <v/>
      </c>
      <c r="O4524" s="14"/>
    </row>
    <row r="4525" ht="22.5" hidden="1" customHeight="1">
      <c r="A4525" s="8">
        <v>46135.37894332176</v>
      </c>
      <c r="B4525" s="14">
        <v>46135.0</v>
      </c>
      <c r="C4525" s="9" t="s">
        <v>31</v>
      </c>
      <c r="D4525" s="9" t="s">
        <v>258</v>
      </c>
      <c r="E4525" s="9" t="s">
        <v>17</v>
      </c>
      <c r="F4525" s="9" t="s">
        <v>17</v>
      </c>
      <c r="G4525" s="9">
        <v>7.0</v>
      </c>
      <c r="H4525" s="9" t="s">
        <v>22</v>
      </c>
      <c r="I4525" s="9" t="s">
        <v>20</v>
      </c>
      <c r="J4525" s="10"/>
      <c r="K4525" s="14">
        <v>5.0</v>
      </c>
      <c r="N4525" s="14" t="str">
        <f>IFERROR(__xludf.DUMMYFUNCTION("""COMPUTED_VALUE"""),"")</f>
        <v/>
      </c>
      <c r="O4525" s="14"/>
    </row>
    <row r="4526" ht="22.5" hidden="1" customHeight="1">
      <c r="A4526" s="8">
        <v>46135.37998574074</v>
      </c>
      <c r="B4526" s="14">
        <v>46135.0</v>
      </c>
      <c r="C4526" s="9" t="s">
        <v>31</v>
      </c>
      <c r="D4526" s="9" t="s">
        <v>259</v>
      </c>
      <c r="E4526" s="9" t="s">
        <v>17</v>
      </c>
      <c r="F4526" s="9" t="s">
        <v>17</v>
      </c>
      <c r="G4526" s="9">
        <v>8.0</v>
      </c>
      <c r="H4526" s="9" t="s">
        <v>22</v>
      </c>
      <c r="I4526" s="9" t="s">
        <v>20</v>
      </c>
      <c r="J4526" s="10"/>
      <c r="K4526" s="14">
        <v>4.0</v>
      </c>
      <c r="N4526" s="14" t="str">
        <f>IFERROR(__xludf.DUMMYFUNCTION("""COMPUTED_VALUE"""),"")</f>
        <v/>
      </c>
      <c r="O4526" s="14"/>
    </row>
    <row r="4527" ht="22.5" hidden="1" customHeight="1">
      <c r="A4527" s="8">
        <v>46135.38007679398</v>
      </c>
      <c r="B4527" s="14">
        <v>46135.0</v>
      </c>
      <c r="C4527" s="9" t="s">
        <v>31</v>
      </c>
      <c r="D4527" s="9" t="s">
        <v>210</v>
      </c>
      <c r="E4527" s="9" t="s">
        <v>17</v>
      </c>
      <c r="F4527" s="9" t="s">
        <v>17</v>
      </c>
      <c r="G4527" s="9">
        <v>7.0</v>
      </c>
      <c r="H4527" s="9" t="s">
        <v>22</v>
      </c>
      <c r="I4527" s="9" t="s">
        <v>20</v>
      </c>
      <c r="J4527" s="10"/>
      <c r="K4527" s="14" t="s">
        <v>398</v>
      </c>
      <c r="N4527" s="14" t="str">
        <f>IFERROR(__xludf.DUMMYFUNCTION("""COMPUTED_VALUE"""),"")</f>
        <v/>
      </c>
      <c r="O4527" s="14"/>
    </row>
    <row r="4528" ht="22.5" hidden="1" customHeight="1">
      <c r="A4528" s="8">
        <v>46135.3806297338</v>
      </c>
      <c r="B4528" s="14">
        <v>46135.0</v>
      </c>
      <c r="C4528" s="9" t="s">
        <v>31</v>
      </c>
      <c r="D4528" s="9" t="s">
        <v>421</v>
      </c>
      <c r="E4528" s="9" t="s">
        <v>46</v>
      </c>
      <c r="F4528" s="9" t="s">
        <v>17</v>
      </c>
      <c r="G4528" s="9">
        <v>8.0</v>
      </c>
      <c r="H4528" s="9" t="s">
        <v>17</v>
      </c>
      <c r="I4528" s="9" t="s">
        <v>20</v>
      </c>
      <c r="J4528" s="10"/>
      <c r="K4528" s="14">
        <v>3.0</v>
      </c>
      <c r="N4528" s="14" t="str">
        <f>IFERROR(__xludf.DUMMYFUNCTION("""COMPUTED_VALUE"""),"")</f>
        <v/>
      </c>
      <c r="O4528" s="14"/>
    </row>
    <row r="4529" ht="22.5" hidden="1" customHeight="1">
      <c r="A4529" s="8">
        <v>46135.380867245374</v>
      </c>
      <c r="B4529" s="14">
        <v>46135.0</v>
      </c>
      <c r="C4529" s="9" t="s">
        <v>31</v>
      </c>
      <c r="D4529" s="9" t="s">
        <v>171</v>
      </c>
      <c r="E4529" s="9" t="s">
        <v>17</v>
      </c>
      <c r="F4529" s="9" t="s">
        <v>17</v>
      </c>
      <c r="G4529" s="9">
        <v>6.0</v>
      </c>
      <c r="H4529" s="9" t="s">
        <v>22</v>
      </c>
      <c r="I4529" s="9" t="s">
        <v>20</v>
      </c>
      <c r="J4529" s="10"/>
      <c r="K4529" s="14" t="s">
        <v>398</v>
      </c>
      <c r="N4529" s="14" t="str">
        <f>IFERROR(__xludf.DUMMYFUNCTION("""COMPUTED_VALUE"""),"")</f>
        <v/>
      </c>
      <c r="O4529" s="14"/>
    </row>
    <row r="4530" ht="22.5" hidden="1" customHeight="1">
      <c r="A4530" s="8">
        <v>46135.381054537036</v>
      </c>
      <c r="B4530" s="14">
        <v>46135.0</v>
      </c>
      <c r="C4530" s="9" t="s">
        <v>31</v>
      </c>
      <c r="D4530" s="9" t="s">
        <v>423</v>
      </c>
      <c r="E4530" s="9" t="s">
        <v>17</v>
      </c>
      <c r="F4530" s="9" t="s">
        <v>17</v>
      </c>
      <c r="G4530" s="9">
        <v>6.0</v>
      </c>
      <c r="H4530" s="9" t="s">
        <v>17</v>
      </c>
      <c r="I4530" s="9" t="s">
        <v>20</v>
      </c>
      <c r="J4530" s="10"/>
      <c r="K4530" s="14">
        <v>6.0</v>
      </c>
      <c r="N4530" s="14" t="str">
        <f>IFERROR(__xludf.DUMMYFUNCTION("""COMPUTED_VALUE"""),"")</f>
        <v/>
      </c>
      <c r="O4530" s="14"/>
    </row>
    <row r="4531" ht="22.5" hidden="1" customHeight="1">
      <c r="A4531" s="8">
        <v>46135.382395266206</v>
      </c>
      <c r="B4531" s="14">
        <v>46135.0</v>
      </c>
      <c r="C4531" s="9" t="s">
        <v>31</v>
      </c>
      <c r="D4531" s="9" t="s">
        <v>178</v>
      </c>
      <c r="E4531" s="9" t="s">
        <v>140</v>
      </c>
      <c r="F4531" s="9" t="s">
        <v>17</v>
      </c>
      <c r="G4531" s="9" t="s">
        <v>409</v>
      </c>
      <c r="H4531" s="9" t="s">
        <v>25</v>
      </c>
      <c r="I4531" s="9" t="s">
        <v>368</v>
      </c>
      <c r="J4531" s="10"/>
      <c r="K4531" s="14" t="s">
        <v>398</v>
      </c>
      <c r="N4531" s="14" t="str">
        <f>IFERROR(__xludf.DUMMYFUNCTION("""COMPUTED_VALUE"""),"")</f>
        <v/>
      </c>
      <c r="O4531" s="14"/>
    </row>
    <row r="4532" ht="22.5" hidden="1" customHeight="1">
      <c r="A4532" s="8">
        <v>46135.38349565973</v>
      </c>
      <c r="B4532" s="14">
        <v>46135.0</v>
      </c>
      <c r="C4532" s="9" t="s">
        <v>31</v>
      </c>
      <c r="D4532" s="9" t="s">
        <v>257</v>
      </c>
      <c r="E4532" s="9" t="s">
        <v>17</v>
      </c>
      <c r="F4532" s="9" t="s">
        <v>17</v>
      </c>
      <c r="G4532" s="9">
        <v>7.0</v>
      </c>
      <c r="H4532" s="9" t="s">
        <v>17</v>
      </c>
      <c r="I4532" s="9" t="s">
        <v>20</v>
      </c>
      <c r="J4532" s="10"/>
      <c r="K4532" s="14" t="s">
        <v>398</v>
      </c>
      <c r="N4532" s="14" t="str">
        <f>IFERROR(__xludf.DUMMYFUNCTION("""COMPUTED_VALUE"""),"")</f>
        <v/>
      </c>
      <c r="O4532" s="14"/>
    </row>
    <row r="4533" ht="22.5" hidden="1" customHeight="1">
      <c r="A4533" s="8">
        <v>46135.38459800926</v>
      </c>
      <c r="B4533" s="14">
        <v>46135.0</v>
      </c>
      <c r="C4533" s="9" t="s">
        <v>31</v>
      </c>
      <c r="D4533" s="9" t="s">
        <v>247</v>
      </c>
      <c r="E4533" s="9" t="s">
        <v>61</v>
      </c>
      <c r="F4533" s="9" t="s">
        <v>17</v>
      </c>
      <c r="G4533" s="9">
        <v>7.0</v>
      </c>
      <c r="H4533" s="9" t="s">
        <v>22</v>
      </c>
      <c r="I4533" s="9" t="s">
        <v>20</v>
      </c>
      <c r="J4533" s="10"/>
      <c r="K4533" s="14" t="s">
        <v>398</v>
      </c>
      <c r="N4533" s="14" t="str">
        <f>IFERROR(__xludf.DUMMYFUNCTION("""COMPUTED_VALUE"""),"")</f>
        <v/>
      </c>
      <c r="O4533" s="14"/>
    </row>
    <row r="4534" ht="22.5" hidden="1" customHeight="1">
      <c r="A4534" s="8">
        <v>46135.385877962966</v>
      </c>
      <c r="B4534" s="14">
        <v>46135.0</v>
      </c>
      <c r="C4534" s="9" t="s">
        <v>31</v>
      </c>
      <c r="D4534" s="9" t="s">
        <v>396</v>
      </c>
      <c r="E4534" s="9" t="s">
        <v>17</v>
      </c>
      <c r="F4534" s="9" t="s">
        <v>17</v>
      </c>
      <c r="G4534" s="9">
        <v>7.0</v>
      </c>
      <c r="H4534" s="9" t="s">
        <v>22</v>
      </c>
      <c r="I4534" s="9" t="s">
        <v>20</v>
      </c>
      <c r="J4534" s="10"/>
      <c r="K4534" s="14" t="s">
        <v>398</v>
      </c>
      <c r="N4534" s="14" t="str">
        <f>IFERROR(__xludf.DUMMYFUNCTION("""COMPUTED_VALUE"""),"")</f>
        <v/>
      </c>
      <c r="O4534" s="14"/>
    </row>
    <row r="4535" ht="22.5" hidden="1" customHeight="1">
      <c r="A4535" s="8">
        <v>46135.38989024305</v>
      </c>
      <c r="B4535" s="14">
        <v>46135.0</v>
      </c>
      <c r="C4535" s="9" t="s">
        <v>31</v>
      </c>
      <c r="D4535" s="9" t="s">
        <v>413</v>
      </c>
      <c r="E4535" s="9" t="s">
        <v>17</v>
      </c>
      <c r="F4535" s="9" t="s">
        <v>17</v>
      </c>
      <c r="G4535" s="9">
        <v>8.0</v>
      </c>
      <c r="H4535" s="9" t="s">
        <v>22</v>
      </c>
      <c r="I4535" s="9" t="s">
        <v>20</v>
      </c>
      <c r="J4535" s="10"/>
      <c r="K4535" s="14">
        <v>4.0</v>
      </c>
      <c r="N4535" s="14" t="str">
        <f>IFERROR(__xludf.DUMMYFUNCTION("""COMPUTED_VALUE"""),"")</f>
        <v/>
      </c>
      <c r="O4535" s="14"/>
    </row>
    <row r="4536" ht="22.5" hidden="1" customHeight="1">
      <c r="A4536" s="8">
        <v>46135.38995428241</v>
      </c>
      <c r="B4536" s="14">
        <v>46135.0</v>
      </c>
      <c r="C4536" s="9" t="s">
        <v>31</v>
      </c>
      <c r="D4536" s="9" t="s">
        <v>175</v>
      </c>
      <c r="E4536" s="9" t="s">
        <v>61</v>
      </c>
      <c r="F4536" s="9" t="s">
        <v>17</v>
      </c>
      <c r="G4536" s="9">
        <v>7.0</v>
      </c>
      <c r="H4536" s="9" t="s">
        <v>25</v>
      </c>
      <c r="I4536" s="9" t="s">
        <v>437</v>
      </c>
      <c r="J4536" s="10"/>
      <c r="K4536" s="14">
        <v>7.0</v>
      </c>
      <c r="N4536" s="14" t="str">
        <f>IFERROR(__xludf.DUMMYFUNCTION("""COMPUTED_VALUE"""),"")</f>
        <v/>
      </c>
      <c r="O4536" s="14"/>
    </row>
    <row r="4537" ht="22.5" hidden="1" customHeight="1">
      <c r="A4537" s="8">
        <v>46135.39000915509</v>
      </c>
      <c r="B4537" s="14">
        <v>46135.0</v>
      </c>
      <c r="C4537" s="9" t="s">
        <v>31</v>
      </c>
      <c r="D4537" s="9" t="s">
        <v>395</v>
      </c>
      <c r="E4537" s="9" t="s">
        <v>17</v>
      </c>
      <c r="F4537" s="9" t="s">
        <v>17</v>
      </c>
      <c r="G4537" s="9" t="s">
        <v>409</v>
      </c>
      <c r="H4537" s="9" t="s">
        <v>22</v>
      </c>
      <c r="I4537" s="9" t="s">
        <v>20</v>
      </c>
      <c r="J4537" s="10"/>
      <c r="K4537" s="14">
        <v>6.0</v>
      </c>
      <c r="N4537" s="14" t="str">
        <f>IFERROR(__xludf.DUMMYFUNCTION("""COMPUTED_VALUE"""),"")</f>
        <v/>
      </c>
      <c r="O4537" s="14"/>
    </row>
    <row r="4538" ht="22.5" hidden="1" customHeight="1">
      <c r="A4538" s="8">
        <v>46135.39069545139</v>
      </c>
      <c r="B4538" s="14">
        <v>46135.0</v>
      </c>
      <c r="C4538" s="9" t="s">
        <v>31</v>
      </c>
      <c r="D4538" s="9" t="s">
        <v>335</v>
      </c>
      <c r="E4538" s="9" t="s">
        <v>17</v>
      </c>
      <c r="F4538" s="9" t="s">
        <v>17</v>
      </c>
      <c r="G4538" s="9" t="s">
        <v>409</v>
      </c>
      <c r="H4538" s="9" t="s">
        <v>25</v>
      </c>
      <c r="I4538" s="9" t="s">
        <v>434</v>
      </c>
      <c r="J4538" s="10"/>
      <c r="K4538" s="14" t="s">
        <v>398</v>
      </c>
      <c r="N4538" s="14" t="str">
        <f>IFERROR(__xludf.DUMMYFUNCTION("""COMPUTED_VALUE"""),"")</f>
        <v/>
      </c>
      <c r="O4538" s="14"/>
    </row>
    <row r="4539" ht="22.5" hidden="1" customHeight="1">
      <c r="A4539" s="8">
        <v>46135.400254548615</v>
      </c>
      <c r="B4539" s="14">
        <v>46135.0</v>
      </c>
      <c r="C4539" s="9" t="s">
        <v>31</v>
      </c>
      <c r="D4539" s="9" t="s">
        <v>393</v>
      </c>
      <c r="E4539" s="9" t="s">
        <v>17</v>
      </c>
      <c r="F4539" s="9" t="s">
        <v>17</v>
      </c>
      <c r="G4539" s="9">
        <v>7.0</v>
      </c>
      <c r="H4539" s="9" t="s">
        <v>17</v>
      </c>
      <c r="I4539" s="9" t="s">
        <v>20</v>
      </c>
      <c r="J4539" s="10"/>
      <c r="K4539" s="14">
        <v>4.0</v>
      </c>
      <c r="N4539" s="14" t="str">
        <f>IFERROR(__xludf.DUMMYFUNCTION("""COMPUTED_VALUE"""),"")</f>
        <v/>
      </c>
      <c r="O4539" s="14"/>
    </row>
    <row r="4540" ht="22.5" hidden="1" customHeight="1">
      <c r="A4540" s="8">
        <v>46136.63147890047</v>
      </c>
      <c r="B4540" s="14">
        <v>46136.0</v>
      </c>
      <c r="C4540" s="9" t="s">
        <v>48</v>
      </c>
      <c r="D4540" s="9" t="s">
        <v>257</v>
      </c>
      <c r="E4540" s="9" t="s">
        <v>17</v>
      </c>
      <c r="F4540" s="9" t="s">
        <v>17</v>
      </c>
      <c r="G4540" s="9" t="s">
        <v>409</v>
      </c>
      <c r="H4540" s="9" t="s">
        <v>17</v>
      </c>
      <c r="I4540" s="9" t="s">
        <v>20</v>
      </c>
      <c r="J4540" s="10"/>
      <c r="K4540" s="14" t="s">
        <v>398</v>
      </c>
      <c r="N4540" s="14" t="str">
        <f>IFERROR(__xludf.DUMMYFUNCTION("""COMPUTED_VALUE"""),"")</f>
        <v/>
      </c>
      <c r="O4540" s="14"/>
    </row>
    <row r="4541" ht="22.5" hidden="1" customHeight="1">
      <c r="A4541" s="8">
        <v>46136.64830579861</v>
      </c>
      <c r="B4541" s="14">
        <v>46136.0</v>
      </c>
      <c r="C4541" s="9" t="s">
        <v>48</v>
      </c>
      <c r="D4541" s="9" t="s">
        <v>408</v>
      </c>
      <c r="E4541" s="9" t="s">
        <v>17</v>
      </c>
      <c r="F4541" s="9" t="s">
        <v>17</v>
      </c>
      <c r="G4541" s="9">
        <v>7.0</v>
      </c>
      <c r="H4541" s="9" t="s">
        <v>25</v>
      </c>
      <c r="I4541" s="9" t="s">
        <v>50</v>
      </c>
      <c r="J4541" s="10"/>
      <c r="K4541" s="14">
        <v>3.0</v>
      </c>
      <c r="N4541" s="14" t="str">
        <f>IFERROR(__xludf.DUMMYFUNCTION("""COMPUTED_VALUE"""),"")</f>
        <v/>
      </c>
      <c r="O4541" s="14"/>
    </row>
    <row r="4542" ht="22.5" hidden="1" customHeight="1">
      <c r="A4542" s="8">
        <v>46136.6522146412</v>
      </c>
      <c r="B4542" s="14">
        <v>46136.0</v>
      </c>
      <c r="C4542" s="9" t="s">
        <v>48</v>
      </c>
      <c r="D4542" s="9" t="s">
        <v>105</v>
      </c>
      <c r="E4542" s="9" t="s">
        <v>17</v>
      </c>
      <c r="F4542" s="9" t="s">
        <v>17</v>
      </c>
      <c r="G4542" s="9">
        <v>7.0</v>
      </c>
      <c r="H4542" s="9" t="s">
        <v>22</v>
      </c>
      <c r="I4542" s="9" t="s">
        <v>20</v>
      </c>
      <c r="J4542" s="10"/>
      <c r="K4542" s="14" t="s">
        <v>398</v>
      </c>
      <c r="N4542" s="14" t="str">
        <f>IFERROR(__xludf.DUMMYFUNCTION("""COMPUTED_VALUE"""),"")</f>
        <v/>
      </c>
      <c r="O4542" s="14"/>
    </row>
    <row r="4543" ht="22.5" hidden="1" customHeight="1">
      <c r="A4543" s="8">
        <v>46136.6524978125</v>
      </c>
      <c r="B4543" s="14">
        <v>46136.0</v>
      </c>
      <c r="C4543" s="9" t="s">
        <v>48</v>
      </c>
      <c r="D4543" s="9" t="s">
        <v>280</v>
      </c>
      <c r="E4543" s="9" t="s">
        <v>17</v>
      </c>
      <c r="F4543" s="9" t="s">
        <v>17</v>
      </c>
      <c r="G4543" s="9">
        <v>7.0</v>
      </c>
      <c r="H4543" s="9" t="s">
        <v>25</v>
      </c>
      <c r="I4543" s="9" t="s">
        <v>173</v>
      </c>
      <c r="J4543" s="10"/>
      <c r="K4543" s="14" t="s">
        <v>398</v>
      </c>
      <c r="N4543" s="14" t="str">
        <f>IFERROR(__xludf.DUMMYFUNCTION("""COMPUTED_VALUE"""),"")</f>
        <v/>
      </c>
      <c r="O4543" s="14"/>
    </row>
    <row r="4544" ht="22.5" hidden="1" customHeight="1">
      <c r="A4544" s="8">
        <v>46136.65278276621</v>
      </c>
      <c r="B4544" s="14">
        <v>46136.0</v>
      </c>
      <c r="C4544" s="9" t="s">
        <v>48</v>
      </c>
      <c r="D4544" s="9" t="s">
        <v>174</v>
      </c>
      <c r="E4544" s="9" t="s">
        <v>17</v>
      </c>
      <c r="F4544" s="9" t="s">
        <v>17</v>
      </c>
      <c r="G4544" s="9">
        <v>7.0</v>
      </c>
      <c r="H4544" s="9" t="s">
        <v>22</v>
      </c>
      <c r="I4544" s="9" t="s">
        <v>20</v>
      </c>
      <c r="J4544" s="10"/>
      <c r="K4544" s="14" t="s">
        <v>398</v>
      </c>
      <c r="N4544" s="14" t="str">
        <f>IFERROR(__xludf.DUMMYFUNCTION("""COMPUTED_VALUE"""),"")</f>
        <v/>
      </c>
      <c r="O4544" s="14"/>
    </row>
    <row r="4545" ht="22.5" hidden="1" customHeight="1">
      <c r="A4545" s="8">
        <v>46136.65299123843</v>
      </c>
      <c r="B4545" s="14">
        <v>46136.0</v>
      </c>
      <c r="C4545" s="9" t="s">
        <v>48</v>
      </c>
      <c r="D4545" s="9" t="s">
        <v>210</v>
      </c>
      <c r="E4545" s="9" t="s">
        <v>17</v>
      </c>
      <c r="F4545" s="9" t="s">
        <v>35</v>
      </c>
      <c r="G4545" s="9" t="s">
        <v>409</v>
      </c>
      <c r="H4545" s="9" t="s">
        <v>22</v>
      </c>
      <c r="I4545" s="9" t="s">
        <v>20</v>
      </c>
      <c r="J4545" s="10"/>
      <c r="K4545" s="14" t="s">
        <v>398</v>
      </c>
      <c r="N4545" s="14" t="str">
        <f>IFERROR(__xludf.DUMMYFUNCTION("""COMPUTED_VALUE"""),"")</f>
        <v/>
      </c>
      <c r="O4545" s="14"/>
    </row>
    <row r="4546" ht="22.5" hidden="1" customHeight="1">
      <c r="A4546" s="8">
        <v>46136.6548966088</v>
      </c>
      <c r="B4546" s="14">
        <v>46136.0</v>
      </c>
      <c r="C4546" s="9" t="s">
        <v>48</v>
      </c>
      <c r="D4546" s="9" t="s">
        <v>247</v>
      </c>
      <c r="E4546" s="9" t="s">
        <v>17</v>
      </c>
      <c r="F4546" s="9" t="s">
        <v>17</v>
      </c>
      <c r="G4546" s="9">
        <v>7.0</v>
      </c>
      <c r="H4546" s="9" t="s">
        <v>22</v>
      </c>
      <c r="I4546" s="9" t="s">
        <v>20</v>
      </c>
      <c r="J4546" s="10"/>
      <c r="K4546" s="14" t="s">
        <v>398</v>
      </c>
      <c r="N4546" s="14" t="str">
        <f>IFERROR(__xludf.DUMMYFUNCTION("""COMPUTED_VALUE"""),"")</f>
        <v/>
      </c>
      <c r="O4546" s="14"/>
    </row>
    <row r="4547" ht="22.5" hidden="1" customHeight="1">
      <c r="A4547" s="8">
        <v>46136.65625842592</v>
      </c>
      <c r="B4547" s="14">
        <v>46136.0</v>
      </c>
      <c r="C4547" s="9" t="s">
        <v>48</v>
      </c>
      <c r="D4547" s="9" t="s">
        <v>177</v>
      </c>
      <c r="E4547" s="9" t="s">
        <v>17</v>
      </c>
      <c r="F4547" s="9" t="s">
        <v>17</v>
      </c>
      <c r="G4547" s="9">
        <v>8.0</v>
      </c>
      <c r="H4547" s="9" t="s">
        <v>25</v>
      </c>
      <c r="I4547" s="9" t="s">
        <v>266</v>
      </c>
      <c r="J4547" s="10"/>
      <c r="K4547" s="14" t="s">
        <v>398</v>
      </c>
      <c r="N4547" s="14" t="str">
        <f>IFERROR(__xludf.DUMMYFUNCTION("""COMPUTED_VALUE"""),"")</f>
        <v/>
      </c>
      <c r="O4547" s="14"/>
    </row>
    <row r="4548" ht="22.5" hidden="1" customHeight="1">
      <c r="A4548" s="8">
        <v>46136.65651190972</v>
      </c>
      <c r="B4548" s="14">
        <v>46136.0</v>
      </c>
      <c r="C4548" s="9" t="s">
        <v>48</v>
      </c>
      <c r="D4548" s="9" t="s">
        <v>357</v>
      </c>
      <c r="E4548" s="9" t="s">
        <v>17</v>
      </c>
      <c r="F4548" s="9" t="s">
        <v>17</v>
      </c>
      <c r="G4548" s="9" t="s">
        <v>409</v>
      </c>
      <c r="H4548" s="9" t="s">
        <v>22</v>
      </c>
      <c r="I4548" s="9" t="s">
        <v>20</v>
      </c>
      <c r="J4548" s="10"/>
      <c r="K4548" s="14" t="s">
        <v>398</v>
      </c>
      <c r="N4548" s="14" t="str">
        <f>IFERROR(__xludf.DUMMYFUNCTION("""COMPUTED_VALUE"""),"")</f>
        <v/>
      </c>
      <c r="O4548" s="14"/>
    </row>
    <row r="4549" ht="22.5" hidden="1" customHeight="1">
      <c r="A4549" s="8">
        <v>46136.656820833334</v>
      </c>
      <c r="B4549" s="14">
        <v>46136.0</v>
      </c>
      <c r="C4549" s="9" t="s">
        <v>48</v>
      </c>
      <c r="D4549" s="9" t="s">
        <v>412</v>
      </c>
      <c r="E4549" s="9" t="s">
        <v>17</v>
      </c>
      <c r="F4549" s="9" t="s">
        <v>17</v>
      </c>
      <c r="G4549" s="9">
        <v>8.0</v>
      </c>
      <c r="H4549" s="9" t="s">
        <v>22</v>
      </c>
      <c r="I4549" s="9" t="s">
        <v>20</v>
      </c>
      <c r="J4549" s="10"/>
      <c r="K4549" s="14">
        <v>4.0</v>
      </c>
      <c r="N4549" s="14" t="str">
        <f>IFERROR(__xludf.DUMMYFUNCTION("""COMPUTED_VALUE"""),"")</f>
        <v/>
      </c>
      <c r="O4549" s="14"/>
    </row>
    <row r="4550" ht="22.5" hidden="1" customHeight="1">
      <c r="A4550" s="8">
        <v>46136.657018136575</v>
      </c>
      <c r="B4550" s="14">
        <v>46136.0</v>
      </c>
      <c r="C4550" s="9" t="s">
        <v>48</v>
      </c>
      <c r="D4550" s="9" t="s">
        <v>413</v>
      </c>
      <c r="E4550" s="9" t="s">
        <v>17</v>
      </c>
      <c r="F4550" s="9" t="s">
        <v>17</v>
      </c>
      <c r="G4550" s="9">
        <v>8.0</v>
      </c>
      <c r="H4550" s="9" t="s">
        <v>22</v>
      </c>
      <c r="I4550" s="9" t="s">
        <v>20</v>
      </c>
      <c r="J4550" s="10"/>
      <c r="K4550" s="14">
        <v>3.0</v>
      </c>
      <c r="N4550" s="14" t="str">
        <f>IFERROR(__xludf.DUMMYFUNCTION("""COMPUTED_VALUE"""),"")</f>
        <v/>
      </c>
      <c r="O4550" s="14"/>
    </row>
    <row r="4551" ht="22.5" hidden="1" customHeight="1">
      <c r="A4551" s="8">
        <v>46136.65919210648</v>
      </c>
      <c r="B4551" s="14">
        <v>46136.0</v>
      </c>
      <c r="C4551" s="9" t="s">
        <v>48</v>
      </c>
      <c r="D4551" s="9" t="s">
        <v>413</v>
      </c>
      <c r="E4551" s="9" t="s">
        <v>17</v>
      </c>
      <c r="F4551" s="9" t="s">
        <v>17</v>
      </c>
      <c r="G4551" s="9">
        <v>8.0</v>
      </c>
      <c r="H4551" s="9" t="s">
        <v>22</v>
      </c>
      <c r="I4551" s="9" t="s">
        <v>20</v>
      </c>
      <c r="J4551" s="10"/>
      <c r="K4551" s="14">
        <v>3.0</v>
      </c>
      <c r="N4551" s="14" t="str">
        <f>IFERROR(__xludf.DUMMYFUNCTION("""COMPUTED_VALUE"""),"")</f>
        <v/>
      </c>
      <c r="O4551" s="14"/>
    </row>
    <row r="4552" ht="22.5" hidden="1" customHeight="1">
      <c r="A4552" s="8">
        <v>46136.659376041665</v>
      </c>
      <c r="B4552" s="14">
        <v>46136.0</v>
      </c>
      <c r="C4552" s="9" t="s">
        <v>48</v>
      </c>
      <c r="D4552" s="9" t="s">
        <v>423</v>
      </c>
      <c r="E4552" s="9" t="s">
        <v>17</v>
      </c>
      <c r="F4552" s="9" t="s">
        <v>17</v>
      </c>
      <c r="G4552" s="9">
        <v>8.0</v>
      </c>
      <c r="H4552" s="9" t="s">
        <v>22</v>
      </c>
      <c r="I4552" s="9" t="s">
        <v>20</v>
      </c>
      <c r="J4552" s="10"/>
      <c r="K4552" s="14">
        <v>7.0</v>
      </c>
      <c r="N4552" s="14" t="str">
        <f>IFERROR(__xludf.DUMMYFUNCTION("""COMPUTED_VALUE"""),"")</f>
        <v/>
      </c>
      <c r="O4552" s="14"/>
    </row>
    <row r="4553" ht="22.5" hidden="1" customHeight="1">
      <c r="A4553" s="8">
        <v>46136.66414768518</v>
      </c>
      <c r="B4553" s="14">
        <v>46136.0</v>
      </c>
      <c r="C4553" s="9" t="s">
        <v>48</v>
      </c>
      <c r="D4553" s="9" t="s">
        <v>350</v>
      </c>
      <c r="E4553" s="9" t="s">
        <v>17</v>
      </c>
      <c r="F4553" s="9" t="s">
        <v>17</v>
      </c>
      <c r="G4553" s="9">
        <v>7.0</v>
      </c>
      <c r="H4553" s="9" t="s">
        <v>22</v>
      </c>
      <c r="I4553" s="9" t="s">
        <v>20</v>
      </c>
      <c r="J4553" s="10"/>
      <c r="K4553" s="14">
        <v>6.0</v>
      </c>
      <c r="N4553" s="14" t="str">
        <f>IFERROR(__xludf.DUMMYFUNCTION("""COMPUTED_VALUE"""),"")</f>
        <v/>
      </c>
      <c r="O4553" s="14"/>
    </row>
    <row r="4554" ht="22.5" hidden="1" customHeight="1">
      <c r="A4554" s="8">
        <v>46136.67549505787</v>
      </c>
      <c r="B4554" s="14">
        <v>46136.0</v>
      </c>
      <c r="C4554" s="9" t="s">
        <v>48</v>
      </c>
      <c r="D4554" s="9" t="s">
        <v>369</v>
      </c>
      <c r="E4554" s="9" t="s">
        <v>17</v>
      </c>
      <c r="F4554" s="9" t="s">
        <v>17</v>
      </c>
      <c r="G4554" s="9">
        <v>7.0</v>
      </c>
      <c r="H4554" s="9" t="s">
        <v>25</v>
      </c>
      <c r="I4554" s="9" t="s">
        <v>211</v>
      </c>
      <c r="J4554" s="10"/>
      <c r="K4554" s="14" t="s">
        <v>398</v>
      </c>
      <c r="N4554" s="14" t="str">
        <f>IFERROR(__xludf.DUMMYFUNCTION("""COMPUTED_VALUE"""),"")</f>
        <v/>
      </c>
      <c r="O4554" s="14"/>
    </row>
    <row r="4555" ht="22.5" hidden="1" customHeight="1">
      <c r="A4555" s="8">
        <v>46136.675763645835</v>
      </c>
      <c r="B4555" s="14">
        <v>46136.0</v>
      </c>
      <c r="C4555" s="9" t="s">
        <v>48</v>
      </c>
      <c r="D4555" s="9" t="s">
        <v>395</v>
      </c>
      <c r="E4555" s="9" t="s">
        <v>44</v>
      </c>
      <c r="F4555" s="9" t="s">
        <v>35</v>
      </c>
      <c r="G4555" s="9" t="s">
        <v>409</v>
      </c>
      <c r="H4555" s="9" t="s">
        <v>22</v>
      </c>
      <c r="I4555" s="9" t="s">
        <v>20</v>
      </c>
      <c r="J4555" s="10"/>
      <c r="K4555" s="14">
        <v>5.0</v>
      </c>
      <c r="N4555" s="14" t="str">
        <f>IFERROR(__xludf.DUMMYFUNCTION("""COMPUTED_VALUE"""),"")</f>
        <v/>
      </c>
      <c r="O4555" s="14"/>
    </row>
    <row r="4556" ht="22.5" hidden="1" customHeight="1">
      <c r="A4556" s="8">
        <v>46136.67604795139</v>
      </c>
      <c r="B4556" s="14">
        <v>46136.0</v>
      </c>
      <c r="C4556" s="9" t="s">
        <v>48</v>
      </c>
      <c r="D4556" s="9" t="s">
        <v>258</v>
      </c>
      <c r="E4556" s="9" t="s">
        <v>17</v>
      </c>
      <c r="F4556" s="9" t="s">
        <v>17</v>
      </c>
      <c r="G4556" s="9">
        <v>7.0</v>
      </c>
      <c r="H4556" s="9" t="s">
        <v>22</v>
      </c>
      <c r="I4556" s="9" t="s">
        <v>20</v>
      </c>
      <c r="J4556" s="10"/>
      <c r="K4556" s="14">
        <v>6.0</v>
      </c>
      <c r="N4556" s="14" t="str">
        <f>IFERROR(__xludf.DUMMYFUNCTION("""COMPUTED_VALUE"""),"")</f>
        <v/>
      </c>
      <c r="O4556" s="14"/>
    </row>
    <row r="4557" ht="22.5" hidden="1" customHeight="1">
      <c r="A4557" s="8">
        <v>46136.67619931713</v>
      </c>
      <c r="B4557" s="14">
        <v>46136.0</v>
      </c>
      <c r="C4557" s="9" t="s">
        <v>48</v>
      </c>
      <c r="D4557" s="9" t="s">
        <v>396</v>
      </c>
      <c r="E4557" s="9" t="s">
        <v>17</v>
      </c>
      <c r="F4557" s="9" t="s">
        <v>17</v>
      </c>
      <c r="G4557" s="9">
        <v>8.0</v>
      </c>
      <c r="H4557" s="9" t="s">
        <v>22</v>
      </c>
      <c r="I4557" s="9" t="s">
        <v>20</v>
      </c>
      <c r="J4557" s="10"/>
      <c r="K4557" s="14" t="s">
        <v>398</v>
      </c>
      <c r="N4557" s="14" t="str">
        <f>IFERROR(__xludf.DUMMYFUNCTION("""COMPUTED_VALUE"""),"")</f>
        <v/>
      </c>
      <c r="O4557" s="14"/>
    </row>
    <row r="4558" ht="22.5" hidden="1" customHeight="1">
      <c r="A4558" s="8">
        <v>46136.67770542824</v>
      </c>
      <c r="B4558" s="14">
        <v>46136.0</v>
      </c>
      <c r="C4558" s="9" t="s">
        <v>48</v>
      </c>
      <c r="D4558" s="9" t="s">
        <v>393</v>
      </c>
      <c r="E4558" s="9" t="s">
        <v>17</v>
      </c>
      <c r="F4558" s="9" t="s">
        <v>17</v>
      </c>
      <c r="G4558" s="9">
        <v>8.0</v>
      </c>
      <c r="H4558" s="9" t="s">
        <v>25</v>
      </c>
      <c r="I4558" s="9" t="s">
        <v>211</v>
      </c>
      <c r="J4558" s="10"/>
      <c r="K4558" s="14">
        <v>4.0</v>
      </c>
      <c r="N4558" s="14" t="str">
        <f>IFERROR(__xludf.DUMMYFUNCTION("""COMPUTED_VALUE"""),"")</f>
        <v/>
      </c>
      <c r="O4558" s="14"/>
    </row>
    <row r="4559" ht="22.5" hidden="1" customHeight="1">
      <c r="A4559" s="8">
        <v>46136.67803298611</v>
      </c>
      <c r="B4559" s="14">
        <v>46136.0</v>
      </c>
      <c r="C4559" s="9" t="s">
        <v>48</v>
      </c>
      <c r="D4559" s="9" t="s">
        <v>249</v>
      </c>
      <c r="E4559" s="9" t="s">
        <v>17</v>
      </c>
      <c r="F4559" s="9" t="s">
        <v>17</v>
      </c>
      <c r="G4559" s="9">
        <v>7.0</v>
      </c>
      <c r="H4559" s="9" t="s">
        <v>22</v>
      </c>
      <c r="I4559" s="9" t="s">
        <v>20</v>
      </c>
      <c r="J4559" s="10"/>
      <c r="K4559" s="14">
        <v>4.0</v>
      </c>
      <c r="N4559" s="14" t="str">
        <f>IFERROR(__xludf.DUMMYFUNCTION("""COMPUTED_VALUE"""),"")</f>
        <v/>
      </c>
      <c r="O4559" s="14"/>
    </row>
    <row r="4560" ht="22.5" hidden="1" customHeight="1">
      <c r="A4560" s="8">
        <v>46136.67827777778</v>
      </c>
      <c r="B4560" s="14">
        <v>46136.0</v>
      </c>
      <c r="C4560" s="9" t="s">
        <v>48</v>
      </c>
      <c r="D4560" s="9" t="s">
        <v>421</v>
      </c>
      <c r="E4560" s="9" t="s">
        <v>17</v>
      </c>
      <c r="F4560" s="9" t="s">
        <v>17</v>
      </c>
      <c r="G4560" s="9">
        <v>8.0</v>
      </c>
      <c r="H4560" s="9" t="s">
        <v>22</v>
      </c>
      <c r="I4560" s="9" t="s">
        <v>20</v>
      </c>
      <c r="J4560" s="10"/>
      <c r="K4560" s="14" t="s">
        <v>398</v>
      </c>
      <c r="N4560" s="14" t="str">
        <f>IFERROR(__xludf.DUMMYFUNCTION("""COMPUTED_VALUE"""),"")</f>
        <v/>
      </c>
      <c r="O4560" s="14"/>
    </row>
    <row r="4561" ht="22.5" hidden="1" customHeight="1">
      <c r="A4561" s="8">
        <v>46136.6848368287</v>
      </c>
      <c r="B4561" s="14">
        <v>46136.0</v>
      </c>
      <c r="C4561" s="9" t="s">
        <v>48</v>
      </c>
      <c r="D4561" s="9" t="s">
        <v>259</v>
      </c>
      <c r="E4561" s="9" t="s">
        <v>17</v>
      </c>
      <c r="F4561" s="9" t="s">
        <v>17</v>
      </c>
      <c r="G4561" s="9">
        <v>8.0</v>
      </c>
      <c r="H4561" s="9" t="s">
        <v>22</v>
      </c>
      <c r="I4561" s="9" t="s">
        <v>20</v>
      </c>
      <c r="J4561" s="10"/>
      <c r="K4561" s="14">
        <v>3.0</v>
      </c>
      <c r="N4561" s="14" t="str">
        <f>IFERROR(__xludf.DUMMYFUNCTION("""COMPUTED_VALUE"""),"")</f>
        <v/>
      </c>
      <c r="O4561" s="14"/>
    </row>
    <row r="4562" ht="22.5" hidden="1" customHeight="1">
      <c r="A4562" s="8">
        <v>46136.685070127314</v>
      </c>
      <c r="B4562" s="14">
        <v>46136.0</v>
      </c>
      <c r="C4562" s="9" t="s">
        <v>48</v>
      </c>
      <c r="D4562" s="9" t="s">
        <v>171</v>
      </c>
      <c r="E4562" s="9" t="s">
        <v>17</v>
      </c>
      <c r="F4562" s="9" t="s">
        <v>17</v>
      </c>
      <c r="G4562" s="9">
        <v>7.0</v>
      </c>
      <c r="H4562" s="9" t="s">
        <v>22</v>
      </c>
      <c r="I4562" s="9" t="s">
        <v>20</v>
      </c>
      <c r="J4562" s="10"/>
      <c r="K4562" s="14">
        <v>4.0</v>
      </c>
      <c r="N4562" s="14" t="str">
        <f>IFERROR(__xludf.DUMMYFUNCTION("""COMPUTED_VALUE"""),"")</f>
        <v/>
      </c>
      <c r="O4562" s="14"/>
    </row>
    <row r="4563" ht="22.5" hidden="1" customHeight="1">
      <c r="A4563" s="8">
        <v>46136.685256875004</v>
      </c>
      <c r="B4563" s="14">
        <v>46136.0</v>
      </c>
      <c r="C4563" s="9" t="s">
        <v>48</v>
      </c>
      <c r="D4563" s="9" t="s">
        <v>175</v>
      </c>
      <c r="E4563" s="9" t="s">
        <v>17</v>
      </c>
      <c r="F4563" s="9" t="s">
        <v>17</v>
      </c>
      <c r="G4563" s="9">
        <v>7.0</v>
      </c>
      <c r="H4563" s="9" t="s">
        <v>22</v>
      </c>
      <c r="I4563" s="9" t="s">
        <v>20</v>
      </c>
      <c r="J4563" s="10"/>
      <c r="K4563" s="14">
        <v>7.0</v>
      </c>
      <c r="N4563" s="14" t="str">
        <f>IFERROR(__xludf.DUMMYFUNCTION("""COMPUTED_VALUE"""),"")</f>
        <v/>
      </c>
      <c r="O4563" s="14"/>
    </row>
    <row r="4564" ht="22.5" hidden="1" customHeight="1">
      <c r="A4564" s="8">
        <v>46136.686811631946</v>
      </c>
      <c r="B4564" s="14">
        <v>46136.0</v>
      </c>
      <c r="C4564" s="9" t="s">
        <v>48</v>
      </c>
      <c r="D4564" s="9" t="s">
        <v>178</v>
      </c>
      <c r="E4564" s="9" t="s">
        <v>17</v>
      </c>
      <c r="F4564" s="9" t="s">
        <v>17</v>
      </c>
      <c r="G4564" s="9">
        <v>8.0</v>
      </c>
      <c r="H4564" s="9" t="s">
        <v>22</v>
      </c>
      <c r="I4564" s="9" t="s">
        <v>20</v>
      </c>
      <c r="J4564" s="10"/>
      <c r="K4564" s="14" t="s">
        <v>398</v>
      </c>
      <c r="N4564" s="14" t="str">
        <f>IFERROR(__xludf.DUMMYFUNCTION("""COMPUTED_VALUE"""),"")</f>
        <v/>
      </c>
      <c r="O4564" s="14"/>
    </row>
    <row r="4565" ht="22.5" hidden="1" customHeight="1">
      <c r="A4565" s="8">
        <v>46136.694200474536</v>
      </c>
      <c r="B4565" s="14">
        <v>46136.0</v>
      </c>
      <c r="C4565" s="9" t="s">
        <v>48</v>
      </c>
      <c r="D4565" s="9" t="s">
        <v>414</v>
      </c>
      <c r="E4565" s="9" t="s">
        <v>17</v>
      </c>
      <c r="F4565" s="9" t="s">
        <v>17</v>
      </c>
      <c r="G4565" s="9">
        <v>7.0</v>
      </c>
      <c r="H4565" s="9" t="s">
        <v>22</v>
      </c>
      <c r="I4565" s="9" t="s">
        <v>20</v>
      </c>
      <c r="J4565" s="10"/>
      <c r="K4565" s="14" t="s">
        <v>398</v>
      </c>
      <c r="N4565" s="14" t="str">
        <f>IFERROR(__xludf.DUMMYFUNCTION("""COMPUTED_VALUE"""),"")</f>
        <v/>
      </c>
      <c r="O4565" s="14"/>
    </row>
    <row r="4566" ht="22.5" hidden="1" customHeight="1">
      <c r="A4566" s="8">
        <v>46136.69497456019</v>
      </c>
      <c r="B4566" s="14">
        <v>46136.0</v>
      </c>
      <c r="C4566" s="9" t="s">
        <v>48</v>
      </c>
      <c r="D4566" s="9" t="s">
        <v>335</v>
      </c>
      <c r="E4566" s="9" t="s">
        <v>17</v>
      </c>
      <c r="F4566" s="9" t="s">
        <v>17</v>
      </c>
      <c r="G4566" s="9">
        <v>7.0</v>
      </c>
      <c r="H4566" s="9" t="s">
        <v>25</v>
      </c>
      <c r="I4566" s="9" t="s">
        <v>434</v>
      </c>
      <c r="J4566" s="10"/>
      <c r="K4566" s="14">
        <v>6.0</v>
      </c>
      <c r="N4566" s="14" t="str">
        <f>IFERROR(__xludf.DUMMYFUNCTION("""COMPUTED_VALUE"""),"")</f>
        <v/>
      </c>
      <c r="O4566" s="14"/>
    </row>
    <row r="4567" ht="22.5" hidden="1" customHeight="1">
      <c r="A4567" s="8">
        <v>46136.695185000004</v>
      </c>
      <c r="B4567" s="14">
        <v>46136.0</v>
      </c>
      <c r="C4567" s="9" t="s">
        <v>48</v>
      </c>
      <c r="D4567" s="9" t="s">
        <v>394</v>
      </c>
      <c r="E4567" s="9" t="s">
        <v>17</v>
      </c>
      <c r="F4567" s="9" t="s">
        <v>17</v>
      </c>
      <c r="G4567" s="9">
        <v>7.0</v>
      </c>
      <c r="H4567" s="9" t="s">
        <v>22</v>
      </c>
      <c r="I4567" s="9" t="s">
        <v>20</v>
      </c>
      <c r="J4567" s="10"/>
      <c r="K4567" s="14" t="s">
        <v>398</v>
      </c>
      <c r="N4567" s="14" t="str">
        <f>IFERROR(__xludf.DUMMYFUNCTION("""COMPUTED_VALUE"""),"")</f>
        <v/>
      </c>
      <c r="O4567" s="14"/>
    </row>
    <row r="4568" ht="22.5" hidden="1" customHeight="1">
      <c r="A4568" s="8">
        <v>46139.62560465278</v>
      </c>
      <c r="B4568" s="14">
        <v>46139.0</v>
      </c>
      <c r="C4568" s="9" t="s">
        <v>86</v>
      </c>
      <c r="D4568" s="9" t="s">
        <v>177</v>
      </c>
      <c r="E4568" s="9" t="s">
        <v>46</v>
      </c>
      <c r="F4568" s="9" t="s">
        <v>18</v>
      </c>
      <c r="G4568" s="9">
        <v>8.0</v>
      </c>
      <c r="H4568" s="9" t="s">
        <v>17</v>
      </c>
      <c r="I4568" s="9" t="s">
        <v>266</v>
      </c>
      <c r="J4568" s="10"/>
      <c r="K4568" s="14" t="s">
        <v>398</v>
      </c>
      <c r="N4568" s="14" t="str">
        <f>IFERROR(__xludf.DUMMYFUNCTION("""COMPUTED_VALUE"""),"")</f>
        <v/>
      </c>
      <c r="O4568" s="14"/>
    </row>
    <row r="4569" ht="22.5" hidden="1" customHeight="1">
      <c r="A4569" s="8">
        <v>46139.62819604167</v>
      </c>
      <c r="B4569" s="14">
        <v>46139.0</v>
      </c>
      <c r="C4569" s="9" t="s">
        <v>86</v>
      </c>
      <c r="D4569" s="9" t="s">
        <v>408</v>
      </c>
      <c r="E4569" s="9" t="s">
        <v>17</v>
      </c>
      <c r="F4569" s="9" t="s">
        <v>17</v>
      </c>
      <c r="G4569" s="9">
        <v>8.0</v>
      </c>
      <c r="H4569" s="9" t="s">
        <v>25</v>
      </c>
      <c r="I4569" s="9" t="s">
        <v>50</v>
      </c>
      <c r="J4569" s="10"/>
      <c r="K4569" s="14" t="s">
        <v>398</v>
      </c>
      <c r="N4569" s="14" t="str">
        <f>IFERROR(__xludf.DUMMYFUNCTION("""COMPUTED_VALUE"""),"")</f>
        <v/>
      </c>
      <c r="O4569" s="14"/>
    </row>
    <row r="4570" ht="22.5" hidden="1" customHeight="1">
      <c r="A4570" s="8">
        <v>46139.62851217593</v>
      </c>
      <c r="B4570" s="14">
        <v>46139.0</v>
      </c>
      <c r="C4570" s="9" t="s">
        <v>86</v>
      </c>
      <c r="D4570" s="9" t="s">
        <v>412</v>
      </c>
      <c r="E4570" s="9" t="s">
        <v>17</v>
      </c>
      <c r="F4570" s="9" t="s">
        <v>17</v>
      </c>
      <c r="G4570" s="9">
        <v>8.0</v>
      </c>
      <c r="H4570" s="9" t="s">
        <v>25</v>
      </c>
      <c r="I4570" s="9" t="s">
        <v>20</v>
      </c>
      <c r="J4570" s="10"/>
      <c r="K4570" s="14" t="s">
        <v>398</v>
      </c>
      <c r="N4570" s="14" t="str">
        <f>IFERROR(__xludf.DUMMYFUNCTION("""COMPUTED_VALUE"""),"")</f>
        <v/>
      </c>
      <c r="O4570" s="14"/>
    </row>
    <row r="4571" ht="22.5" hidden="1" customHeight="1">
      <c r="A4571" s="8">
        <v>46139.63836055556</v>
      </c>
      <c r="B4571" s="14">
        <v>46139.0</v>
      </c>
      <c r="C4571" s="9" t="s">
        <v>86</v>
      </c>
      <c r="D4571" s="9" t="s">
        <v>258</v>
      </c>
      <c r="E4571" s="9" t="s">
        <v>17</v>
      </c>
      <c r="F4571" s="9" t="s">
        <v>17</v>
      </c>
      <c r="G4571" s="9">
        <v>8.0</v>
      </c>
      <c r="H4571" s="9" t="s">
        <v>22</v>
      </c>
      <c r="I4571" s="9" t="s">
        <v>20</v>
      </c>
      <c r="J4571" s="10"/>
      <c r="K4571" s="14" t="s">
        <v>398</v>
      </c>
      <c r="N4571" s="14" t="str">
        <f>IFERROR(__xludf.DUMMYFUNCTION("""COMPUTED_VALUE"""),"")</f>
        <v/>
      </c>
      <c r="O4571" s="14"/>
    </row>
    <row r="4572" ht="22.5" hidden="1" customHeight="1">
      <c r="A4572" s="8">
        <v>46139.63877081018</v>
      </c>
      <c r="B4572" s="14">
        <v>46139.0</v>
      </c>
      <c r="C4572" s="9" t="s">
        <v>86</v>
      </c>
      <c r="D4572" s="9" t="s">
        <v>393</v>
      </c>
      <c r="E4572" s="9" t="s">
        <v>17</v>
      </c>
      <c r="F4572" s="9" t="s">
        <v>17</v>
      </c>
      <c r="G4572" s="9">
        <v>7.0</v>
      </c>
      <c r="H4572" s="9" t="s">
        <v>22</v>
      </c>
      <c r="I4572" s="9" t="s">
        <v>20</v>
      </c>
      <c r="J4572" s="10"/>
      <c r="K4572" s="14" t="s">
        <v>398</v>
      </c>
      <c r="N4572" s="14" t="str">
        <f>IFERROR(__xludf.DUMMYFUNCTION("""COMPUTED_VALUE"""),"")</f>
        <v/>
      </c>
      <c r="O4572" s="14"/>
    </row>
    <row r="4573" ht="22.5" hidden="1" customHeight="1">
      <c r="A4573" s="8">
        <v>46139.639465706015</v>
      </c>
      <c r="B4573" s="14">
        <v>46139.0</v>
      </c>
      <c r="C4573" s="9" t="s">
        <v>86</v>
      </c>
      <c r="D4573" s="9" t="s">
        <v>249</v>
      </c>
      <c r="E4573" s="9" t="s">
        <v>17</v>
      </c>
      <c r="F4573" s="9" t="s">
        <v>17</v>
      </c>
      <c r="G4573" s="9">
        <v>8.0</v>
      </c>
      <c r="H4573" s="9" t="s">
        <v>22</v>
      </c>
      <c r="I4573" s="9" t="s">
        <v>20</v>
      </c>
      <c r="J4573" s="10"/>
      <c r="K4573" s="14" t="s">
        <v>398</v>
      </c>
      <c r="N4573" s="14" t="str">
        <f>IFERROR(__xludf.DUMMYFUNCTION("""COMPUTED_VALUE"""),"")</f>
        <v/>
      </c>
      <c r="O4573" s="14"/>
    </row>
    <row r="4574" ht="22.5" hidden="1" customHeight="1">
      <c r="A4574" s="8">
        <v>46139.6396708449</v>
      </c>
      <c r="B4574" s="14">
        <v>46139.0</v>
      </c>
      <c r="C4574" s="9" t="s">
        <v>86</v>
      </c>
      <c r="D4574" s="9" t="s">
        <v>413</v>
      </c>
      <c r="E4574" s="9" t="s">
        <v>17</v>
      </c>
      <c r="F4574" s="9" t="s">
        <v>17</v>
      </c>
      <c r="G4574" s="9">
        <v>8.0</v>
      </c>
      <c r="H4574" s="9" t="s">
        <v>22</v>
      </c>
      <c r="I4574" s="9" t="s">
        <v>20</v>
      </c>
      <c r="J4574" s="10"/>
      <c r="K4574" s="14" t="s">
        <v>398</v>
      </c>
      <c r="N4574" s="14" t="str">
        <f>IFERROR(__xludf.DUMMYFUNCTION("""COMPUTED_VALUE"""),"")</f>
        <v/>
      </c>
      <c r="O4574" s="14"/>
    </row>
    <row r="4575" ht="22.5" hidden="1" customHeight="1">
      <c r="A4575" s="8">
        <v>46139.64032543982</v>
      </c>
      <c r="B4575" s="14">
        <v>46139.0</v>
      </c>
      <c r="C4575" s="9" t="s">
        <v>86</v>
      </c>
      <c r="D4575" s="9" t="s">
        <v>171</v>
      </c>
      <c r="E4575" s="9" t="s">
        <v>17</v>
      </c>
      <c r="F4575" s="9" t="s">
        <v>17</v>
      </c>
      <c r="G4575" s="9" t="s">
        <v>409</v>
      </c>
      <c r="H4575" s="9" t="s">
        <v>22</v>
      </c>
      <c r="I4575" s="9" t="s">
        <v>20</v>
      </c>
      <c r="J4575" s="10"/>
      <c r="K4575" s="14" t="s">
        <v>398</v>
      </c>
      <c r="N4575" s="14" t="str">
        <f>IFERROR(__xludf.DUMMYFUNCTION("""COMPUTED_VALUE"""),"")</f>
        <v/>
      </c>
      <c r="O4575" s="14"/>
    </row>
    <row r="4576" ht="22.5" hidden="1" customHeight="1">
      <c r="A4576" s="8">
        <v>46139.64062449074</v>
      </c>
      <c r="B4576" s="14">
        <v>46139.0</v>
      </c>
      <c r="C4576" s="9" t="s">
        <v>86</v>
      </c>
      <c r="D4576" s="9" t="s">
        <v>423</v>
      </c>
      <c r="E4576" s="9" t="s">
        <v>17</v>
      </c>
      <c r="F4576" s="9" t="s">
        <v>17</v>
      </c>
      <c r="G4576" s="9" t="s">
        <v>409</v>
      </c>
      <c r="H4576" s="9" t="s">
        <v>22</v>
      </c>
      <c r="I4576" s="9" t="s">
        <v>20</v>
      </c>
      <c r="J4576" s="10"/>
      <c r="K4576" s="14" t="s">
        <v>398</v>
      </c>
      <c r="N4576" s="14" t="str">
        <f>IFERROR(__xludf.DUMMYFUNCTION("""COMPUTED_VALUE"""),"")</f>
        <v/>
      </c>
      <c r="O4576" s="14"/>
    </row>
    <row r="4577" ht="22.5" hidden="1" customHeight="1">
      <c r="A4577" s="8">
        <v>46139.641290810185</v>
      </c>
      <c r="B4577" s="14">
        <v>46139.0</v>
      </c>
      <c r="C4577" s="9" t="s">
        <v>86</v>
      </c>
      <c r="D4577" s="9" t="s">
        <v>105</v>
      </c>
      <c r="E4577" s="9" t="s">
        <v>17</v>
      </c>
      <c r="F4577" s="9" t="s">
        <v>17</v>
      </c>
      <c r="G4577" s="9">
        <v>8.0</v>
      </c>
      <c r="H4577" s="9" t="s">
        <v>22</v>
      </c>
      <c r="I4577" s="9" t="s">
        <v>20</v>
      </c>
      <c r="J4577" s="10"/>
      <c r="K4577" s="14" t="s">
        <v>398</v>
      </c>
      <c r="N4577" s="14" t="str">
        <f>IFERROR(__xludf.DUMMYFUNCTION("""COMPUTED_VALUE"""),"")</f>
        <v/>
      </c>
      <c r="O4577" s="14"/>
    </row>
    <row r="4578" ht="22.5" hidden="1" customHeight="1">
      <c r="A4578" s="8">
        <v>46139.64537868055</v>
      </c>
      <c r="B4578" s="14">
        <v>46139.0</v>
      </c>
      <c r="C4578" s="9" t="s">
        <v>86</v>
      </c>
      <c r="D4578" s="9" t="s">
        <v>369</v>
      </c>
      <c r="E4578" s="9" t="s">
        <v>17</v>
      </c>
      <c r="F4578" s="9" t="s">
        <v>17</v>
      </c>
      <c r="G4578" s="9">
        <v>8.0</v>
      </c>
      <c r="H4578" s="9" t="s">
        <v>25</v>
      </c>
      <c r="I4578" s="9" t="s">
        <v>28</v>
      </c>
      <c r="J4578" s="10"/>
      <c r="K4578" s="14" t="s">
        <v>398</v>
      </c>
      <c r="N4578" s="14" t="str">
        <f>IFERROR(__xludf.DUMMYFUNCTION("""COMPUTED_VALUE"""),"")</f>
        <v/>
      </c>
      <c r="O4578" s="14"/>
    </row>
    <row r="4579" ht="22.5" hidden="1" customHeight="1">
      <c r="A4579" s="8">
        <v>46139.64584744213</v>
      </c>
      <c r="B4579" s="14">
        <v>46139.0</v>
      </c>
      <c r="C4579" s="9" t="s">
        <v>86</v>
      </c>
      <c r="D4579" s="9" t="s">
        <v>257</v>
      </c>
      <c r="E4579" s="9" t="s">
        <v>17</v>
      </c>
      <c r="F4579" s="9" t="s">
        <v>17</v>
      </c>
      <c r="G4579" s="9">
        <v>7.0</v>
      </c>
      <c r="H4579" s="9" t="s">
        <v>25</v>
      </c>
      <c r="I4579" s="9" t="s">
        <v>240</v>
      </c>
      <c r="J4579" s="10"/>
      <c r="K4579" s="14" t="s">
        <v>398</v>
      </c>
      <c r="N4579" s="14" t="str">
        <f>IFERROR(__xludf.DUMMYFUNCTION("""COMPUTED_VALUE"""),"")</f>
        <v/>
      </c>
      <c r="O4579" s="14"/>
    </row>
    <row r="4580" ht="22.5" hidden="1" customHeight="1">
      <c r="A4580" s="8">
        <v>46139.64637954861</v>
      </c>
      <c r="B4580" s="14">
        <v>46139.0</v>
      </c>
      <c r="C4580" s="9" t="s">
        <v>86</v>
      </c>
      <c r="D4580" s="9" t="s">
        <v>357</v>
      </c>
      <c r="E4580" s="9" t="s">
        <v>17</v>
      </c>
      <c r="F4580" s="9" t="s">
        <v>17</v>
      </c>
      <c r="G4580" s="9">
        <v>7.0</v>
      </c>
      <c r="H4580" s="9" t="s">
        <v>22</v>
      </c>
      <c r="I4580" s="9" t="s">
        <v>20</v>
      </c>
      <c r="J4580" s="10"/>
      <c r="K4580" s="14" t="s">
        <v>398</v>
      </c>
      <c r="N4580" s="14" t="str">
        <f>IFERROR(__xludf.DUMMYFUNCTION("""COMPUTED_VALUE"""),"")</f>
        <v/>
      </c>
      <c r="O4580" s="14"/>
    </row>
    <row r="4581" ht="22.5" hidden="1" customHeight="1">
      <c r="A4581" s="8">
        <v>46139.6468290162</v>
      </c>
      <c r="B4581" s="14">
        <v>46139.0</v>
      </c>
      <c r="C4581" s="9" t="s">
        <v>86</v>
      </c>
      <c r="D4581" s="9" t="s">
        <v>395</v>
      </c>
      <c r="E4581" s="9" t="s">
        <v>17</v>
      </c>
      <c r="F4581" s="9" t="s">
        <v>17</v>
      </c>
      <c r="G4581" s="9">
        <v>7.0</v>
      </c>
      <c r="H4581" s="9" t="s">
        <v>22</v>
      </c>
      <c r="I4581" s="9" t="s">
        <v>20</v>
      </c>
      <c r="J4581" s="10"/>
      <c r="K4581" s="14" t="s">
        <v>398</v>
      </c>
      <c r="N4581" s="14" t="str">
        <f>IFERROR(__xludf.DUMMYFUNCTION("""COMPUTED_VALUE"""),"")</f>
        <v/>
      </c>
      <c r="O4581" s="14"/>
    </row>
    <row r="4582" ht="22.5" hidden="1" customHeight="1">
      <c r="A4582" s="8">
        <v>46139.647234930555</v>
      </c>
      <c r="B4582" s="14">
        <v>46139.0</v>
      </c>
      <c r="C4582" s="9" t="s">
        <v>86</v>
      </c>
      <c r="D4582" s="9" t="s">
        <v>174</v>
      </c>
      <c r="E4582" s="9" t="s">
        <v>46</v>
      </c>
      <c r="F4582" s="9" t="s">
        <v>17</v>
      </c>
      <c r="G4582" s="9">
        <v>6.0</v>
      </c>
      <c r="H4582" s="9" t="s">
        <v>22</v>
      </c>
      <c r="I4582" s="9" t="s">
        <v>20</v>
      </c>
      <c r="J4582" s="10"/>
      <c r="K4582" s="14" t="s">
        <v>398</v>
      </c>
      <c r="N4582" s="14" t="str">
        <f>IFERROR(__xludf.DUMMYFUNCTION("""COMPUTED_VALUE"""),"")</f>
        <v/>
      </c>
      <c r="O4582" s="14"/>
    </row>
    <row r="4583" ht="22.5" hidden="1" customHeight="1">
      <c r="A4583" s="8">
        <v>46139.64881013889</v>
      </c>
      <c r="B4583" s="14">
        <v>46139.0</v>
      </c>
      <c r="C4583" s="9" t="s">
        <v>86</v>
      </c>
      <c r="D4583" s="9" t="s">
        <v>280</v>
      </c>
      <c r="E4583" s="9" t="s">
        <v>17</v>
      </c>
      <c r="F4583" s="9" t="s">
        <v>17</v>
      </c>
      <c r="G4583" s="9">
        <v>7.0</v>
      </c>
      <c r="H4583" s="9" t="s">
        <v>25</v>
      </c>
      <c r="I4583" s="9" t="s">
        <v>173</v>
      </c>
      <c r="J4583" s="10"/>
      <c r="K4583" s="14" t="s">
        <v>398</v>
      </c>
      <c r="N4583" s="14" t="str">
        <f>IFERROR(__xludf.DUMMYFUNCTION("""COMPUTED_VALUE"""),"")</f>
        <v/>
      </c>
      <c r="O4583" s="14"/>
    </row>
    <row r="4584" ht="22.5" hidden="1" customHeight="1">
      <c r="A4584" s="8">
        <v>46139.65057708333</v>
      </c>
      <c r="B4584" s="14">
        <v>46139.0</v>
      </c>
      <c r="C4584" s="9" t="s">
        <v>86</v>
      </c>
      <c r="D4584" s="9" t="s">
        <v>414</v>
      </c>
      <c r="E4584" s="9" t="s">
        <v>17</v>
      </c>
      <c r="F4584" s="9" t="s">
        <v>17</v>
      </c>
      <c r="G4584" s="9" t="s">
        <v>409</v>
      </c>
      <c r="H4584" s="9" t="s">
        <v>17</v>
      </c>
      <c r="I4584" s="9" t="s">
        <v>20</v>
      </c>
      <c r="J4584" s="10"/>
      <c r="K4584" s="14" t="s">
        <v>398</v>
      </c>
      <c r="N4584" s="14" t="str">
        <f>IFERROR(__xludf.DUMMYFUNCTION("""COMPUTED_VALUE"""),"")</f>
        <v/>
      </c>
      <c r="O4584" s="14"/>
    </row>
    <row r="4585" ht="22.5" hidden="1" customHeight="1">
      <c r="A4585" s="8">
        <v>46139.65126462963</v>
      </c>
      <c r="B4585" s="14">
        <v>46139.0</v>
      </c>
      <c r="C4585" s="9" t="s">
        <v>86</v>
      </c>
      <c r="D4585" s="9" t="s">
        <v>350</v>
      </c>
      <c r="E4585" s="9" t="s">
        <v>17</v>
      </c>
      <c r="F4585" s="9" t="s">
        <v>17</v>
      </c>
      <c r="G4585" s="9">
        <v>7.0</v>
      </c>
      <c r="H4585" s="9" t="s">
        <v>17</v>
      </c>
      <c r="I4585" s="9" t="s">
        <v>20</v>
      </c>
      <c r="J4585" s="10"/>
      <c r="K4585" s="14" t="s">
        <v>398</v>
      </c>
      <c r="N4585" s="14" t="str">
        <f>IFERROR(__xludf.DUMMYFUNCTION("""COMPUTED_VALUE"""),"")</f>
        <v/>
      </c>
      <c r="O4585" s="14"/>
    </row>
    <row r="4586" ht="22.5" hidden="1" customHeight="1">
      <c r="A4586" s="8">
        <v>46139.660970219906</v>
      </c>
      <c r="B4586" s="14">
        <v>46139.0</v>
      </c>
      <c r="C4586" s="9" t="s">
        <v>86</v>
      </c>
      <c r="D4586" s="9" t="s">
        <v>247</v>
      </c>
      <c r="E4586" s="9" t="s">
        <v>44</v>
      </c>
      <c r="F4586" s="9" t="s">
        <v>18</v>
      </c>
      <c r="G4586" s="9">
        <v>8.0</v>
      </c>
      <c r="H4586" s="9" t="s">
        <v>25</v>
      </c>
      <c r="I4586" s="9" t="s">
        <v>218</v>
      </c>
      <c r="J4586" s="10"/>
      <c r="K4586" s="14" t="s">
        <v>398</v>
      </c>
      <c r="N4586" s="14" t="str">
        <f>IFERROR(__xludf.DUMMYFUNCTION("""COMPUTED_VALUE"""),"")</f>
        <v/>
      </c>
      <c r="O4586" s="14"/>
    </row>
    <row r="4587" ht="22.5" hidden="1" customHeight="1">
      <c r="A4587" s="8">
        <v>46139.66394118055</v>
      </c>
      <c r="B4587" s="14">
        <v>46139.0</v>
      </c>
      <c r="C4587" s="9" t="s">
        <v>86</v>
      </c>
      <c r="D4587" s="9" t="s">
        <v>421</v>
      </c>
      <c r="E4587" s="9" t="s">
        <v>17</v>
      </c>
      <c r="F4587" s="9" t="s">
        <v>17</v>
      </c>
      <c r="G4587" s="9" t="s">
        <v>409</v>
      </c>
      <c r="H4587" s="9" t="s">
        <v>25</v>
      </c>
      <c r="I4587" s="9" t="s">
        <v>89</v>
      </c>
      <c r="J4587" s="10"/>
      <c r="K4587" s="14" t="s">
        <v>398</v>
      </c>
      <c r="N4587" s="14" t="str">
        <f>IFERROR(__xludf.DUMMYFUNCTION("""COMPUTED_VALUE"""),"")</f>
        <v/>
      </c>
      <c r="O4587" s="14"/>
    </row>
    <row r="4588" ht="22.5" hidden="1" customHeight="1">
      <c r="A4588" s="8">
        <v>46139.6642305787</v>
      </c>
      <c r="B4588" s="14">
        <v>46139.0</v>
      </c>
      <c r="C4588" s="9" t="s">
        <v>86</v>
      </c>
      <c r="D4588" s="9" t="s">
        <v>259</v>
      </c>
      <c r="E4588" s="9" t="s">
        <v>17</v>
      </c>
      <c r="F4588" s="9" t="s">
        <v>17</v>
      </c>
      <c r="G4588" s="9" t="s">
        <v>409</v>
      </c>
      <c r="H4588" s="9" t="s">
        <v>17</v>
      </c>
      <c r="I4588" s="9" t="s">
        <v>20</v>
      </c>
      <c r="J4588" s="10"/>
      <c r="K4588" s="14" t="s">
        <v>398</v>
      </c>
      <c r="N4588" s="14" t="str">
        <f>IFERROR(__xludf.DUMMYFUNCTION("""COMPUTED_VALUE"""),"")</f>
        <v/>
      </c>
      <c r="O4588" s="14"/>
    </row>
    <row r="4589" ht="22.5" hidden="1" customHeight="1">
      <c r="A4589" s="8">
        <v>46139.6697472338</v>
      </c>
      <c r="B4589" s="14">
        <v>46139.0</v>
      </c>
      <c r="C4589" s="9" t="s">
        <v>86</v>
      </c>
      <c r="D4589" s="9" t="s">
        <v>210</v>
      </c>
      <c r="E4589" s="9" t="s">
        <v>17</v>
      </c>
      <c r="F4589" s="9" t="s">
        <v>17</v>
      </c>
      <c r="G4589" s="9" t="s">
        <v>409</v>
      </c>
      <c r="H4589" s="9" t="s">
        <v>17</v>
      </c>
      <c r="I4589" s="9" t="s">
        <v>20</v>
      </c>
      <c r="J4589" s="10"/>
      <c r="K4589" s="14" t="s">
        <v>398</v>
      </c>
      <c r="N4589" s="14" t="str">
        <f>IFERROR(__xludf.DUMMYFUNCTION("""COMPUTED_VALUE"""),"")</f>
        <v/>
      </c>
      <c r="O4589" s="14"/>
    </row>
    <row r="4590" ht="22.5" hidden="1" customHeight="1">
      <c r="A4590" s="8">
        <v>46139.670667812505</v>
      </c>
      <c r="B4590" s="14">
        <v>46139.0</v>
      </c>
      <c r="C4590" s="9" t="s">
        <v>86</v>
      </c>
      <c r="D4590" s="9" t="s">
        <v>175</v>
      </c>
      <c r="E4590" s="9" t="s">
        <v>17</v>
      </c>
      <c r="F4590" s="9" t="s">
        <v>17</v>
      </c>
      <c r="G4590" s="9" t="s">
        <v>409</v>
      </c>
      <c r="H4590" s="9" t="s">
        <v>25</v>
      </c>
      <c r="I4590" s="9" t="s">
        <v>207</v>
      </c>
      <c r="J4590" s="10"/>
      <c r="K4590" s="14" t="s">
        <v>398</v>
      </c>
      <c r="N4590" s="14" t="str">
        <f>IFERROR(__xludf.DUMMYFUNCTION("""COMPUTED_VALUE"""),"")</f>
        <v/>
      </c>
      <c r="O4590" s="14"/>
    </row>
    <row r="4591" ht="22.5" hidden="1" customHeight="1">
      <c r="A4591" s="8">
        <v>46139.687630092594</v>
      </c>
      <c r="B4591" s="14">
        <v>46139.0</v>
      </c>
      <c r="C4591" s="9" t="s">
        <v>86</v>
      </c>
      <c r="D4591" s="9" t="s">
        <v>335</v>
      </c>
      <c r="E4591" s="9" t="s">
        <v>17</v>
      </c>
      <c r="F4591" s="9" t="s">
        <v>17</v>
      </c>
      <c r="G4591" s="9">
        <v>8.0</v>
      </c>
      <c r="H4591" s="9" t="s">
        <v>25</v>
      </c>
      <c r="I4591" s="9" t="s">
        <v>434</v>
      </c>
      <c r="J4591" s="10"/>
      <c r="K4591" s="14" t="s">
        <v>398</v>
      </c>
      <c r="N4591" s="14" t="str">
        <f>IFERROR(__xludf.DUMMYFUNCTION("""COMPUTED_VALUE"""),"")</f>
        <v/>
      </c>
      <c r="O4591" s="14"/>
    </row>
    <row r="4592" ht="22.5" hidden="1" customHeight="1">
      <c r="A4592" s="8">
        <v>46140.35024380787</v>
      </c>
      <c r="B4592" s="14">
        <v>46140.0</v>
      </c>
      <c r="C4592" s="9" t="s">
        <v>110</v>
      </c>
      <c r="D4592" s="9" t="s">
        <v>177</v>
      </c>
      <c r="E4592" s="9" t="s">
        <v>17</v>
      </c>
      <c r="F4592" s="9" t="s">
        <v>17</v>
      </c>
      <c r="G4592" s="9">
        <v>8.0</v>
      </c>
      <c r="H4592" s="9" t="s">
        <v>22</v>
      </c>
      <c r="I4592" s="9" t="s">
        <v>20</v>
      </c>
      <c r="J4592" s="10"/>
      <c r="K4592" s="14" t="s">
        <v>398</v>
      </c>
      <c r="N4592" s="14" t="str">
        <f>IFERROR(__xludf.DUMMYFUNCTION("""COMPUTED_VALUE"""),"")</f>
        <v/>
      </c>
      <c r="O4592" s="14"/>
    </row>
    <row r="4593" ht="22.5" hidden="1" customHeight="1">
      <c r="A4593" s="8">
        <v>46140.35069077546</v>
      </c>
      <c r="B4593" s="14">
        <v>46140.0</v>
      </c>
      <c r="C4593" s="9" t="s">
        <v>110</v>
      </c>
      <c r="D4593" s="9" t="s">
        <v>413</v>
      </c>
      <c r="E4593" s="9" t="s">
        <v>17</v>
      </c>
      <c r="F4593" s="9" t="s">
        <v>17</v>
      </c>
      <c r="G4593" s="9">
        <v>8.0</v>
      </c>
      <c r="H4593" s="9" t="s">
        <v>22</v>
      </c>
      <c r="I4593" s="9" t="s">
        <v>20</v>
      </c>
      <c r="J4593" s="10"/>
      <c r="K4593" s="14">
        <v>4.0</v>
      </c>
      <c r="N4593" s="14" t="str">
        <f>IFERROR(__xludf.DUMMYFUNCTION("""COMPUTED_VALUE"""),"")</f>
        <v/>
      </c>
      <c r="O4593" s="14"/>
    </row>
    <row r="4594" ht="22.5" hidden="1" customHeight="1">
      <c r="A4594" s="8">
        <v>46140.35107097222</v>
      </c>
      <c r="B4594" s="14">
        <v>46140.0</v>
      </c>
      <c r="C4594" s="9" t="s">
        <v>110</v>
      </c>
      <c r="D4594" s="9" t="s">
        <v>280</v>
      </c>
      <c r="E4594" s="9" t="s">
        <v>17</v>
      </c>
      <c r="F4594" s="9" t="s">
        <v>17</v>
      </c>
      <c r="G4594" s="9">
        <v>7.0</v>
      </c>
      <c r="H4594" s="9" t="s">
        <v>22</v>
      </c>
      <c r="I4594" s="9" t="s">
        <v>20</v>
      </c>
      <c r="J4594" s="10"/>
      <c r="K4594" s="14" t="s">
        <v>398</v>
      </c>
      <c r="N4594" s="14" t="str">
        <f>IFERROR(__xludf.DUMMYFUNCTION("""COMPUTED_VALUE"""),"")</f>
        <v/>
      </c>
      <c r="O4594" s="14"/>
    </row>
    <row r="4595" ht="22.5" hidden="1" customHeight="1">
      <c r="A4595" s="8">
        <v>46140.35128092593</v>
      </c>
      <c r="B4595" s="14">
        <v>46140.0</v>
      </c>
      <c r="C4595" s="9" t="s">
        <v>110</v>
      </c>
      <c r="D4595" s="9" t="s">
        <v>105</v>
      </c>
      <c r="E4595" s="9" t="s">
        <v>17</v>
      </c>
      <c r="F4595" s="9" t="s">
        <v>17</v>
      </c>
      <c r="G4595" s="9">
        <v>7.0</v>
      </c>
      <c r="H4595" s="9" t="s">
        <v>22</v>
      </c>
      <c r="I4595" s="9" t="s">
        <v>20</v>
      </c>
      <c r="J4595" s="10"/>
      <c r="K4595" s="14">
        <v>3.0</v>
      </c>
      <c r="N4595" s="14" t="str">
        <f>IFERROR(__xludf.DUMMYFUNCTION("""COMPUTED_VALUE"""),"")</f>
        <v/>
      </c>
      <c r="O4595" s="14"/>
    </row>
    <row r="4596" ht="22.5" hidden="1" customHeight="1">
      <c r="A4596" s="8">
        <v>46140.35466747685</v>
      </c>
      <c r="B4596" s="14">
        <v>46140.0</v>
      </c>
      <c r="C4596" s="9" t="s">
        <v>110</v>
      </c>
      <c r="D4596" s="9" t="s">
        <v>257</v>
      </c>
      <c r="E4596" s="9" t="s">
        <v>44</v>
      </c>
      <c r="F4596" s="9" t="s">
        <v>35</v>
      </c>
      <c r="G4596" s="9" t="s">
        <v>409</v>
      </c>
      <c r="H4596" s="9" t="s">
        <v>22</v>
      </c>
      <c r="I4596" s="9" t="s">
        <v>20</v>
      </c>
      <c r="J4596" s="10"/>
      <c r="K4596" s="14" t="s">
        <v>398</v>
      </c>
      <c r="N4596" s="14" t="str">
        <f>IFERROR(__xludf.DUMMYFUNCTION("""COMPUTED_VALUE"""),"")</f>
        <v/>
      </c>
      <c r="O4596" s="14"/>
    </row>
    <row r="4597" ht="22.5" hidden="1" customHeight="1">
      <c r="A4597" s="8">
        <v>46140.35580107639</v>
      </c>
      <c r="B4597" s="14">
        <v>46140.0</v>
      </c>
      <c r="C4597" s="9" t="s">
        <v>110</v>
      </c>
      <c r="D4597" s="9" t="s">
        <v>393</v>
      </c>
      <c r="E4597" s="9" t="s">
        <v>17</v>
      </c>
      <c r="F4597" s="9" t="s">
        <v>17</v>
      </c>
      <c r="G4597" s="9">
        <v>7.0</v>
      </c>
      <c r="H4597" s="9" t="s">
        <v>25</v>
      </c>
      <c r="I4597" s="9" t="s">
        <v>137</v>
      </c>
      <c r="J4597" s="10"/>
      <c r="K4597" s="14">
        <v>5.0</v>
      </c>
      <c r="N4597" s="14" t="str">
        <f>IFERROR(__xludf.DUMMYFUNCTION("""COMPUTED_VALUE"""),"")</f>
        <v/>
      </c>
      <c r="O4597" s="14"/>
    </row>
    <row r="4598" ht="22.5" hidden="1" customHeight="1">
      <c r="A4598" s="8">
        <v>46140.35738431713</v>
      </c>
      <c r="B4598" s="14">
        <v>46140.0</v>
      </c>
      <c r="C4598" s="9" t="s">
        <v>110</v>
      </c>
      <c r="D4598" s="9" t="s">
        <v>423</v>
      </c>
      <c r="E4598" s="9" t="s">
        <v>17</v>
      </c>
      <c r="F4598" s="9" t="s">
        <v>17</v>
      </c>
      <c r="G4598" s="9" t="s">
        <v>410</v>
      </c>
      <c r="H4598" s="9" t="s">
        <v>25</v>
      </c>
      <c r="I4598" s="9" t="s">
        <v>67</v>
      </c>
      <c r="J4598" s="10"/>
      <c r="K4598" s="14">
        <v>6.0</v>
      </c>
      <c r="N4598" s="14" t="str">
        <f>IFERROR(__xludf.DUMMYFUNCTION("""COMPUTED_VALUE"""),"")</f>
        <v/>
      </c>
      <c r="O4598" s="14"/>
    </row>
    <row r="4599" ht="22.5" hidden="1" customHeight="1">
      <c r="A4599" s="8">
        <v>46140.36084844907</v>
      </c>
      <c r="B4599" s="14">
        <v>46140.0</v>
      </c>
      <c r="C4599" s="9" t="s">
        <v>110</v>
      </c>
      <c r="D4599" s="9" t="s">
        <v>249</v>
      </c>
      <c r="E4599" s="9" t="s">
        <v>46</v>
      </c>
      <c r="F4599" s="9" t="s">
        <v>17</v>
      </c>
      <c r="G4599" s="9">
        <v>8.0</v>
      </c>
      <c r="H4599" s="9" t="s">
        <v>22</v>
      </c>
      <c r="I4599" s="9" t="s">
        <v>20</v>
      </c>
      <c r="J4599" s="10"/>
      <c r="K4599" s="14">
        <v>4.0</v>
      </c>
      <c r="N4599" s="14" t="str">
        <f>IFERROR(__xludf.DUMMYFUNCTION("""COMPUTED_VALUE"""),"")</f>
        <v/>
      </c>
      <c r="O4599" s="14"/>
    </row>
    <row r="4600" ht="22.5" hidden="1" customHeight="1">
      <c r="A4600" s="8">
        <v>46140.36200664352</v>
      </c>
      <c r="B4600" s="14">
        <v>46140.0</v>
      </c>
      <c r="C4600" s="9" t="s">
        <v>110</v>
      </c>
      <c r="D4600" s="9" t="s">
        <v>412</v>
      </c>
      <c r="E4600" s="9" t="s">
        <v>17</v>
      </c>
      <c r="F4600" s="9" t="s">
        <v>17</v>
      </c>
      <c r="G4600" s="9">
        <v>8.0</v>
      </c>
      <c r="H4600" s="9" t="s">
        <v>22</v>
      </c>
      <c r="I4600" s="9" t="s">
        <v>20</v>
      </c>
      <c r="J4600" s="10"/>
      <c r="K4600" s="14">
        <v>4.0</v>
      </c>
      <c r="N4600" s="14" t="str">
        <f>IFERROR(__xludf.DUMMYFUNCTION("""COMPUTED_VALUE"""),"")</f>
        <v/>
      </c>
      <c r="O4600" s="14"/>
    </row>
    <row r="4601" ht="22.5" hidden="1" customHeight="1">
      <c r="A4601" s="8">
        <v>46140.36237033565</v>
      </c>
      <c r="B4601" s="14">
        <v>46140.0</v>
      </c>
      <c r="C4601" s="9" t="s">
        <v>110</v>
      </c>
      <c r="D4601" s="9" t="s">
        <v>258</v>
      </c>
      <c r="E4601" s="9" t="s">
        <v>17</v>
      </c>
      <c r="F4601" s="9" t="s">
        <v>17</v>
      </c>
      <c r="G4601" s="9">
        <v>8.0</v>
      </c>
      <c r="H4601" s="9" t="s">
        <v>22</v>
      </c>
      <c r="I4601" s="9" t="s">
        <v>20</v>
      </c>
      <c r="J4601" s="10"/>
      <c r="K4601" s="14">
        <v>4.0</v>
      </c>
      <c r="N4601" s="14" t="str">
        <f>IFERROR(__xludf.DUMMYFUNCTION("""COMPUTED_VALUE"""),"")</f>
        <v/>
      </c>
      <c r="O4601" s="14"/>
    </row>
    <row r="4602" ht="22.5" hidden="1" customHeight="1">
      <c r="A4602" s="8">
        <v>46140.367065451384</v>
      </c>
      <c r="B4602" s="14">
        <v>46140.0</v>
      </c>
      <c r="C4602" s="9" t="s">
        <v>110</v>
      </c>
      <c r="D4602" s="9" t="s">
        <v>408</v>
      </c>
      <c r="E4602" s="9" t="s">
        <v>17</v>
      </c>
      <c r="F4602" s="9" t="s">
        <v>17</v>
      </c>
      <c r="G4602" s="9">
        <v>7.0</v>
      </c>
      <c r="H4602" s="9" t="s">
        <v>25</v>
      </c>
      <c r="I4602" s="9" t="s">
        <v>50</v>
      </c>
      <c r="J4602" s="10"/>
      <c r="K4602" s="14" t="s">
        <v>398</v>
      </c>
      <c r="N4602" s="14" t="str">
        <f>IFERROR(__xludf.DUMMYFUNCTION("""COMPUTED_VALUE"""),"")</f>
        <v/>
      </c>
      <c r="O4602" s="14"/>
    </row>
    <row r="4603" ht="22.5" hidden="1" customHeight="1">
      <c r="A4603" s="8">
        <v>46140.36896875</v>
      </c>
      <c r="B4603" s="14">
        <v>46140.0</v>
      </c>
      <c r="C4603" s="9" t="s">
        <v>110</v>
      </c>
      <c r="D4603" s="9" t="s">
        <v>171</v>
      </c>
      <c r="E4603" s="9" t="s">
        <v>17</v>
      </c>
      <c r="F4603" s="9" t="s">
        <v>17</v>
      </c>
      <c r="G4603" s="9">
        <v>7.0</v>
      </c>
      <c r="H4603" s="9" t="s">
        <v>22</v>
      </c>
      <c r="I4603" s="9" t="s">
        <v>20</v>
      </c>
      <c r="J4603" s="10"/>
      <c r="K4603" s="14" t="s">
        <v>398</v>
      </c>
      <c r="N4603" s="14" t="str">
        <f>IFERROR(__xludf.DUMMYFUNCTION("""COMPUTED_VALUE"""),"")</f>
        <v/>
      </c>
      <c r="O4603" s="14"/>
    </row>
    <row r="4604" ht="22.5" hidden="1" customHeight="1">
      <c r="A4604" s="8">
        <v>46140.38569434028</v>
      </c>
      <c r="B4604" s="14">
        <v>46140.0</v>
      </c>
      <c r="C4604" s="9" t="s">
        <v>110</v>
      </c>
      <c r="D4604" s="9" t="s">
        <v>175</v>
      </c>
      <c r="E4604" s="9" t="s">
        <v>17</v>
      </c>
      <c r="F4604" s="9" t="s">
        <v>17</v>
      </c>
      <c r="G4604" s="9">
        <v>7.0</v>
      </c>
      <c r="H4604" s="9" t="s">
        <v>22</v>
      </c>
      <c r="I4604" s="9" t="s">
        <v>20</v>
      </c>
      <c r="J4604" s="10"/>
      <c r="K4604" s="14" t="s">
        <v>398</v>
      </c>
      <c r="N4604" s="14" t="str">
        <f>IFERROR(__xludf.DUMMYFUNCTION("""COMPUTED_VALUE"""),"")</f>
        <v/>
      </c>
      <c r="O4604" s="14"/>
    </row>
    <row r="4605" ht="22.5" hidden="1" customHeight="1">
      <c r="A4605" s="8">
        <v>46140.38590689815</v>
      </c>
      <c r="B4605" s="14">
        <v>46140.0</v>
      </c>
      <c r="C4605" s="9" t="s">
        <v>110</v>
      </c>
      <c r="D4605" s="9" t="s">
        <v>396</v>
      </c>
      <c r="E4605" s="9" t="s">
        <v>17</v>
      </c>
      <c r="F4605" s="9" t="s">
        <v>17</v>
      </c>
      <c r="G4605" s="9">
        <v>7.0</v>
      </c>
      <c r="H4605" s="9" t="s">
        <v>22</v>
      </c>
      <c r="I4605" s="9" t="s">
        <v>20</v>
      </c>
      <c r="J4605" s="10"/>
      <c r="K4605" s="14" t="s">
        <v>398</v>
      </c>
      <c r="N4605" s="14" t="str">
        <f>IFERROR(__xludf.DUMMYFUNCTION("""COMPUTED_VALUE"""),"")</f>
        <v/>
      </c>
      <c r="O4605" s="14"/>
    </row>
    <row r="4606" ht="22.5" hidden="1" customHeight="1">
      <c r="A4606" s="8">
        <v>46140.386095995374</v>
      </c>
      <c r="B4606" s="14">
        <v>46140.0</v>
      </c>
      <c r="C4606" s="9" t="s">
        <v>110</v>
      </c>
      <c r="D4606" s="9" t="s">
        <v>259</v>
      </c>
      <c r="E4606" s="9" t="s">
        <v>17</v>
      </c>
      <c r="F4606" s="9" t="s">
        <v>17</v>
      </c>
      <c r="G4606" s="9">
        <v>8.0</v>
      </c>
      <c r="H4606" s="9" t="s">
        <v>22</v>
      </c>
      <c r="I4606" s="9" t="s">
        <v>20</v>
      </c>
      <c r="J4606" s="10"/>
      <c r="K4606" s="14">
        <v>5.0</v>
      </c>
      <c r="N4606" s="14" t="str">
        <f>IFERROR(__xludf.DUMMYFUNCTION("""COMPUTED_VALUE"""),"")</f>
        <v/>
      </c>
      <c r="O4606" s="14"/>
    </row>
    <row r="4607" ht="22.5" hidden="1" customHeight="1">
      <c r="A4607" s="8">
        <v>46140.38631768519</v>
      </c>
      <c r="B4607" s="14">
        <v>46140.0</v>
      </c>
      <c r="C4607" s="9" t="s">
        <v>110</v>
      </c>
      <c r="D4607" s="9" t="s">
        <v>335</v>
      </c>
      <c r="E4607" s="9" t="s">
        <v>17</v>
      </c>
      <c r="F4607" s="9" t="s">
        <v>17</v>
      </c>
      <c r="G4607" s="9">
        <v>6.0</v>
      </c>
      <c r="H4607" s="9" t="s">
        <v>25</v>
      </c>
      <c r="I4607" s="9" t="s">
        <v>434</v>
      </c>
      <c r="J4607" s="10"/>
      <c r="K4607" s="14" t="s">
        <v>398</v>
      </c>
      <c r="N4607" s="14" t="str">
        <f>IFERROR(__xludf.DUMMYFUNCTION("""COMPUTED_VALUE"""),"")</f>
        <v/>
      </c>
      <c r="O4607" s="14"/>
    </row>
    <row r="4608" ht="22.5" hidden="1" customHeight="1">
      <c r="A4608" s="8">
        <v>46140.386568981485</v>
      </c>
      <c r="B4608" s="14">
        <v>46140.0</v>
      </c>
      <c r="C4608" s="9" t="s">
        <v>110</v>
      </c>
      <c r="D4608" s="9" t="s">
        <v>174</v>
      </c>
      <c r="E4608" s="9" t="s">
        <v>17</v>
      </c>
      <c r="F4608" s="9" t="s">
        <v>17</v>
      </c>
      <c r="G4608" s="9">
        <v>8.0</v>
      </c>
      <c r="H4608" s="9" t="s">
        <v>22</v>
      </c>
      <c r="I4608" s="9" t="s">
        <v>20</v>
      </c>
      <c r="J4608" s="10"/>
      <c r="K4608" s="14" t="s">
        <v>398</v>
      </c>
      <c r="N4608" s="14" t="str">
        <f>IFERROR(__xludf.DUMMYFUNCTION("""COMPUTED_VALUE"""),"")</f>
        <v/>
      </c>
      <c r="O4608" s="14"/>
    </row>
    <row r="4609" ht="22.5" hidden="1" customHeight="1">
      <c r="A4609" s="8">
        <v>46140.3868474537</v>
      </c>
      <c r="B4609" s="14">
        <v>46140.0</v>
      </c>
      <c r="C4609" s="9" t="s">
        <v>110</v>
      </c>
      <c r="D4609" s="9" t="s">
        <v>247</v>
      </c>
      <c r="E4609" s="9" t="s">
        <v>17</v>
      </c>
      <c r="F4609" s="9" t="s">
        <v>17</v>
      </c>
      <c r="G4609" s="9">
        <v>7.0</v>
      </c>
      <c r="H4609" s="9" t="s">
        <v>25</v>
      </c>
      <c r="I4609" s="9" t="s">
        <v>28</v>
      </c>
      <c r="J4609" s="10"/>
      <c r="K4609" s="14" t="s">
        <v>398</v>
      </c>
      <c r="N4609" s="14" t="str">
        <f>IFERROR(__xludf.DUMMYFUNCTION("""COMPUTED_VALUE"""),"")</f>
        <v/>
      </c>
      <c r="O4609" s="14"/>
    </row>
    <row r="4610" ht="22.5" hidden="1" customHeight="1">
      <c r="A4610" s="8">
        <v>46140.387106863425</v>
      </c>
      <c r="B4610" s="14">
        <v>46140.0</v>
      </c>
      <c r="C4610" s="9" t="s">
        <v>110</v>
      </c>
      <c r="D4610" s="9" t="s">
        <v>350</v>
      </c>
      <c r="E4610" s="9" t="s">
        <v>17</v>
      </c>
      <c r="F4610" s="9" t="s">
        <v>17</v>
      </c>
      <c r="G4610" s="9">
        <v>7.0</v>
      </c>
      <c r="H4610" s="9" t="s">
        <v>22</v>
      </c>
      <c r="I4610" s="9" t="s">
        <v>20</v>
      </c>
      <c r="J4610" s="10"/>
      <c r="K4610" s="14">
        <v>5.0</v>
      </c>
      <c r="N4610" s="14" t="str">
        <f>IFERROR(__xludf.DUMMYFUNCTION("""COMPUTED_VALUE"""),"")</f>
        <v/>
      </c>
      <c r="O4610" s="14"/>
    </row>
    <row r="4611" ht="22.5" hidden="1" customHeight="1">
      <c r="A4611" s="8">
        <v>46140.387488506945</v>
      </c>
      <c r="B4611" s="14">
        <v>46140.0</v>
      </c>
      <c r="C4611" s="9" t="s">
        <v>110</v>
      </c>
      <c r="D4611" s="9" t="s">
        <v>357</v>
      </c>
      <c r="E4611" s="9" t="s">
        <v>46</v>
      </c>
      <c r="F4611" s="9" t="s">
        <v>17</v>
      </c>
      <c r="G4611" s="9">
        <v>6.0</v>
      </c>
      <c r="H4611" s="9" t="s">
        <v>25</v>
      </c>
      <c r="I4611" s="9" t="s">
        <v>273</v>
      </c>
      <c r="J4611" s="10"/>
      <c r="K4611" s="14">
        <v>7.0</v>
      </c>
      <c r="N4611" s="14" t="str">
        <f>IFERROR(__xludf.DUMMYFUNCTION("""COMPUTED_VALUE"""),"")</f>
        <v/>
      </c>
      <c r="O4611" s="14"/>
    </row>
    <row r="4612" ht="22.5" hidden="1" customHeight="1">
      <c r="A4612" s="8">
        <v>46140.38778518519</v>
      </c>
      <c r="B4612" s="14">
        <v>46140.0</v>
      </c>
      <c r="C4612" s="9" t="s">
        <v>110</v>
      </c>
      <c r="D4612" s="9" t="s">
        <v>414</v>
      </c>
      <c r="E4612" s="9" t="s">
        <v>17</v>
      </c>
      <c r="F4612" s="9" t="s">
        <v>17</v>
      </c>
      <c r="G4612" s="9">
        <v>7.0</v>
      </c>
      <c r="H4612" s="9" t="s">
        <v>22</v>
      </c>
      <c r="I4612" s="9" t="s">
        <v>20</v>
      </c>
      <c r="J4612" s="10"/>
      <c r="K4612" s="14" t="s">
        <v>398</v>
      </c>
      <c r="N4612" s="14" t="str">
        <f>IFERROR(__xludf.DUMMYFUNCTION("""COMPUTED_VALUE"""),"")</f>
        <v/>
      </c>
      <c r="O4612" s="14"/>
    </row>
    <row r="4613" ht="22.5" hidden="1" customHeight="1">
      <c r="A4613" s="8">
        <v>46140.3881568287</v>
      </c>
      <c r="B4613" s="14">
        <v>46140.0</v>
      </c>
      <c r="C4613" s="9" t="s">
        <v>110</v>
      </c>
      <c r="D4613" s="9" t="s">
        <v>421</v>
      </c>
      <c r="E4613" s="9" t="s">
        <v>17</v>
      </c>
      <c r="F4613" s="9" t="s">
        <v>17</v>
      </c>
      <c r="G4613" s="9">
        <v>8.0</v>
      </c>
      <c r="H4613" s="9" t="s">
        <v>25</v>
      </c>
      <c r="I4613" s="9" t="s">
        <v>438</v>
      </c>
      <c r="J4613" s="10"/>
      <c r="K4613" s="14">
        <v>5.0</v>
      </c>
      <c r="N4613" s="14" t="str">
        <f>IFERROR(__xludf.DUMMYFUNCTION("""COMPUTED_VALUE"""),"")</f>
        <v/>
      </c>
      <c r="O4613" s="14"/>
    </row>
    <row r="4614" ht="22.5" hidden="1" customHeight="1">
      <c r="A4614" s="8">
        <v>46140.38844188658</v>
      </c>
      <c r="B4614" s="14">
        <v>46140.0</v>
      </c>
      <c r="C4614" s="9" t="s">
        <v>110</v>
      </c>
      <c r="D4614" s="9" t="s">
        <v>395</v>
      </c>
      <c r="E4614" s="9" t="s">
        <v>17</v>
      </c>
      <c r="F4614" s="9" t="s">
        <v>17</v>
      </c>
      <c r="G4614" s="9">
        <v>8.0</v>
      </c>
      <c r="H4614" s="9" t="s">
        <v>22</v>
      </c>
      <c r="I4614" s="9" t="s">
        <v>20</v>
      </c>
      <c r="J4614" s="10"/>
      <c r="K4614" s="14">
        <v>4.0</v>
      </c>
      <c r="N4614" s="14" t="str">
        <f>IFERROR(__xludf.DUMMYFUNCTION("""COMPUTED_VALUE"""),"")</f>
        <v/>
      </c>
      <c r="O4614" s="14"/>
    </row>
    <row r="4615" ht="22.5" hidden="1" customHeight="1">
      <c r="A4615" s="8">
        <v>46140.38868315972</v>
      </c>
      <c r="B4615" s="14">
        <v>46140.0</v>
      </c>
      <c r="C4615" s="9" t="s">
        <v>110</v>
      </c>
      <c r="D4615" s="9" t="s">
        <v>210</v>
      </c>
      <c r="E4615" s="9" t="s">
        <v>17</v>
      </c>
      <c r="F4615" s="9" t="s">
        <v>17</v>
      </c>
      <c r="G4615" s="9">
        <v>8.0</v>
      </c>
      <c r="H4615" s="9" t="s">
        <v>22</v>
      </c>
      <c r="I4615" s="9" t="s">
        <v>20</v>
      </c>
      <c r="J4615" s="10"/>
      <c r="K4615" s="14" t="s">
        <v>398</v>
      </c>
      <c r="N4615" s="14" t="str">
        <f>IFERROR(__xludf.DUMMYFUNCTION("""COMPUTED_VALUE"""),"")</f>
        <v/>
      </c>
      <c r="O4615" s="14"/>
    </row>
    <row r="4616" ht="22.5" hidden="1" customHeight="1">
      <c r="A4616" s="8">
        <v>46140.38926416667</v>
      </c>
      <c r="B4616" s="14">
        <v>46140.0</v>
      </c>
      <c r="C4616" s="9" t="s">
        <v>110</v>
      </c>
      <c r="D4616" s="9" t="s">
        <v>369</v>
      </c>
      <c r="E4616" s="9" t="s">
        <v>17</v>
      </c>
      <c r="F4616" s="9" t="s">
        <v>17</v>
      </c>
      <c r="G4616" s="9">
        <v>8.0</v>
      </c>
      <c r="H4616" s="9" t="s">
        <v>22</v>
      </c>
      <c r="I4616" s="9" t="s">
        <v>20</v>
      </c>
      <c r="J4616" s="10"/>
      <c r="K4616" s="14">
        <v>5.0</v>
      </c>
      <c r="N4616" s="14" t="str">
        <f>IFERROR(__xludf.DUMMYFUNCTION("""COMPUTED_VALUE"""),"")</f>
        <v/>
      </c>
      <c r="O4616" s="14"/>
    </row>
    <row r="4617" ht="22.5" hidden="1" customHeight="1">
      <c r="A4617" s="8">
        <v>46141.35312652778</v>
      </c>
      <c r="B4617" s="14">
        <v>46141.0</v>
      </c>
      <c r="C4617" s="9" t="s">
        <v>15</v>
      </c>
      <c r="D4617" s="9" t="s">
        <v>257</v>
      </c>
      <c r="E4617" s="9" t="s">
        <v>17</v>
      </c>
      <c r="F4617" s="9" t="s">
        <v>17</v>
      </c>
      <c r="G4617" s="9">
        <v>8.0</v>
      </c>
      <c r="H4617" s="9" t="s">
        <v>22</v>
      </c>
      <c r="I4617" s="9" t="s">
        <v>20</v>
      </c>
      <c r="J4617" s="10"/>
      <c r="K4617" s="14" t="s">
        <v>398</v>
      </c>
      <c r="N4617" s="14" t="str">
        <f>IFERROR(__xludf.DUMMYFUNCTION("""COMPUTED_VALUE"""),"")</f>
        <v/>
      </c>
      <c r="O4617" s="14"/>
    </row>
    <row r="4618" ht="22.5" hidden="1" customHeight="1">
      <c r="A4618" s="8">
        <v>46141.35351059028</v>
      </c>
      <c r="B4618" s="14">
        <v>46141.0</v>
      </c>
      <c r="C4618" s="9" t="s">
        <v>15</v>
      </c>
      <c r="D4618" s="9" t="s">
        <v>412</v>
      </c>
      <c r="E4618" s="9" t="s">
        <v>17</v>
      </c>
      <c r="F4618" s="9" t="s">
        <v>17</v>
      </c>
      <c r="G4618" s="9">
        <v>8.0</v>
      </c>
      <c r="H4618" s="9" t="s">
        <v>22</v>
      </c>
      <c r="I4618" s="9" t="s">
        <v>20</v>
      </c>
      <c r="J4618" s="10"/>
      <c r="K4618" s="14">
        <v>3.0</v>
      </c>
      <c r="N4618" s="14" t="str">
        <f>IFERROR(__xludf.DUMMYFUNCTION("""COMPUTED_VALUE"""),"")</f>
        <v/>
      </c>
      <c r="O4618" s="14"/>
    </row>
    <row r="4619" ht="22.5" hidden="1" customHeight="1">
      <c r="A4619" s="8">
        <v>46141.35454388889</v>
      </c>
      <c r="B4619" s="14">
        <v>46141.0</v>
      </c>
      <c r="C4619" s="9" t="s">
        <v>15</v>
      </c>
      <c r="D4619" s="9" t="s">
        <v>177</v>
      </c>
      <c r="E4619" s="9" t="s">
        <v>17</v>
      </c>
      <c r="F4619" s="9" t="s">
        <v>17</v>
      </c>
      <c r="G4619" s="9">
        <v>7.0</v>
      </c>
      <c r="H4619" s="9" t="s">
        <v>17</v>
      </c>
      <c r="I4619" s="9" t="s">
        <v>20</v>
      </c>
      <c r="J4619" s="10"/>
      <c r="K4619" s="14">
        <v>4.0</v>
      </c>
      <c r="N4619" s="14" t="str">
        <f>IFERROR(__xludf.DUMMYFUNCTION("""COMPUTED_VALUE"""),"")</f>
        <v/>
      </c>
      <c r="O4619" s="14"/>
    </row>
    <row r="4620" ht="22.5" hidden="1" customHeight="1">
      <c r="A4620" s="8">
        <v>46141.35490210648</v>
      </c>
      <c r="B4620" s="14">
        <v>46141.0</v>
      </c>
      <c r="C4620" s="9" t="s">
        <v>15</v>
      </c>
      <c r="D4620" s="9" t="s">
        <v>408</v>
      </c>
      <c r="E4620" s="9" t="s">
        <v>17</v>
      </c>
      <c r="F4620" s="9" t="s">
        <v>17</v>
      </c>
      <c r="G4620" s="9">
        <v>7.0</v>
      </c>
      <c r="H4620" s="9" t="s">
        <v>25</v>
      </c>
      <c r="I4620" s="9" t="s">
        <v>50</v>
      </c>
      <c r="J4620" s="10"/>
      <c r="K4620" s="14">
        <v>4.0</v>
      </c>
      <c r="N4620" s="14" t="str">
        <f>IFERROR(__xludf.DUMMYFUNCTION("""COMPUTED_VALUE"""),"")</f>
        <v/>
      </c>
      <c r="O4620" s="14"/>
    </row>
    <row r="4621" ht="22.5" hidden="1" customHeight="1">
      <c r="A4621" s="8">
        <v>46141.3552716088</v>
      </c>
      <c r="B4621" s="14">
        <v>46141.0</v>
      </c>
      <c r="C4621" s="9" t="s">
        <v>15</v>
      </c>
      <c r="D4621" s="9" t="s">
        <v>280</v>
      </c>
      <c r="E4621" s="9" t="s">
        <v>17</v>
      </c>
      <c r="F4621" s="9" t="s">
        <v>17</v>
      </c>
      <c r="G4621" s="9">
        <v>7.0</v>
      </c>
      <c r="H4621" s="9" t="s">
        <v>22</v>
      </c>
      <c r="I4621" s="9" t="s">
        <v>20</v>
      </c>
      <c r="J4621" s="10"/>
      <c r="K4621" s="14" t="s">
        <v>398</v>
      </c>
      <c r="N4621" s="14" t="str">
        <f>IFERROR(__xludf.DUMMYFUNCTION("""COMPUTED_VALUE"""),"")</f>
        <v/>
      </c>
      <c r="O4621" s="14"/>
    </row>
    <row r="4622" ht="22.5" hidden="1" customHeight="1">
      <c r="A4622" s="8">
        <v>46141.35563701389</v>
      </c>
      <c r="B4622" s="14">
        <v>46141.0</v>
      </c>
      <c r="C4622" s="9" t="s">
        <v>15</v>
      </c>
      <c r="D4622" s="9" t="s">
        <v>105</v>
      </c>
      <c r="E4622" s="9" t="s">
        <v>17</v>
      </c>
      <c r="F4622" s="9" t="s">
        <v>17</v>
      </c>
      <c r="G4622" s="9">
        <v>7.0</v>
      </c>
      <c r="H4622" s="9" t="s">
        <v>22</v>
      </c>
      <c r="I4622" s="9" t="s">
        <v>20</v>
      </c>
      <c r="J4622" s="10"/>
      <c r="K4622" s="14">
        <v>2.0</v>
      </c>
      <c r="N4622" s="14" t="str">
        <f>IFERROR(__xludf.DUMMYFUNCTION("""COMPUTED_VALUE"""),"")</f>
        <v/>
      </c>
      <c r="O4622" s="14"/>
    </row>
    <row r="4623" ht="22.5" hidden="1" customHeight="1">
      <c r="A4623" s="8">
        <v>46141.3558783912</v>
      </c>
      <c r="B4623" s="14">
        <v>46141.0</v>
      </c>
      <c r="C4623" s="9" t="s">
        <v>15</v>
      </c>
      <c r="D4623" s="9" t="s">
        <v>258</v>
      </c>
      <c r="E4623" s="9" t="s">
        <v>17</v>
      </c>
      <c r="F4623" s="9" t="s">
        <v>17</v>
      </c>
      <c r="G4623" s="9">
        <v>7.0</v>
      </c>
      <c r="H4623" s="9" t="s">
        <v>22</v>
      </c>
      <c r="I4623" s="9" t="s">
        <v>20</v>
      </c>
      <c r="J4623" s="10"/>
      <c r="K4623" s="14">
        <v>4.0</v>
      </c>
      <c r="N4623" s="14" t="str">
        <f>IFERROR(__xludf.DUMMYFUNCTION("""COMPUTED_VALUE"""),"")</f>
        <v/>
      </c>
      <c r="O4623" s="14"/>
    </row>
    <row r="4624" ht="22.5" hidden="1" customHeight="1">
      <c r="A4624" s="8">
        <v>46141.35679469907</v>
      </c>
      <c r="B4624" s="14">
        <v>46141.0</v>
      </c>
      <c r="C4624" s="9" t="s">
        <v>15</v>
      </c>
      <c r="D4624" s="9" t="s">
        <v>423</v>
      </c>
      <c r="E4624" s="9" t="s">
        <v>17</v>
      </c>
      <c r="F4624" s="9" t="s">
        <v>17</v>
      </c>
      <c r="G4624" s="9">
        <v>6.0</v>
      </c>
      <c r="H4624" s="9" t="s">
        <v>25</v>
      </c>
      <c r="I4624" s="9" t="s">
        <v>79</v>
      </c>
      <c r="J4624" s="10"/>
      <c r="K4624" s="14">
        <v>5.0</v>
      </c>
      <c r="N4624" s="14" t="str">
        <f>IFERROR(__xludf.DUMMYFUNCTION("""COMPUTED_VALUE"""),"")</f>
        <v/>
      </c>
      <c r="O4624" s="14"/>
    </row>
    <row r="4625" ht="22.5" hidden="1" customHeight="1">
      <c r="A4625" s="8">
        <v>46141.37306924768</v>
      </c>
      <c r="B4625" s="14">
        <v>46141.0</v>
      </c>
      <c r="C4625" s="9" t="s">
        <v>15</v>
      </c>
      <c r="D4625" s="9" t="s">
        <v>413</v>
      </c>
      <c r="E4625" s="9" t="s">
        <v>17</v>
      </c>
      <c r="F4625" s="9" t="s">
        <v>17</v>
      </c>
      <c r="G4625" s="9">
        <v>7.0</v>
      </c>
      <c r="H4625" s="9" t="s">
        <v>22</v>
      </c>
      <c r="I4625" s="9" t="s">
        <v>20</v>
      </c>
      <c r="J4625" s="10"/>
      <c r="K4625" s="14">
        <v>4.0</v>
      </c>
      <c r="N4625" s="14" t="str">
        <f>IFERROR(__xludf.DUMMYFUNCTION("""COMPUTED_VALUE"""),"")</f>
        <v/>
      </c>
      <c r="O4625" s="14"/>
    </row>
    <row r="4626" ht="22.5" hidden="1" customHeight="1">
      <c r="A4626" s="8">
        <v>46141.37330291666</v>
      </c>
      <c r="B4626" s="14">
        <v>46141.0</v>
      </c>
      <c r="C4626" s="9" t="s">
        <v>15</v>
      </c>
      <c r="D4626" s="9" t="s">
        <v>414</v>
      </c>
      <c r="E4626" s="9" t="s">
        <v>17</v>
      </c>
      <c r="F4626" s="9" t="s">
        <v>17</v>
      </c>
      <c r="G4626" s="9">
        <v>7.0</v>
      </c>
      <c r="H4626" s="9" t="s">
        <v>22</v>
      </c>
      <c r="I4626" s="9" t="s">
        <v>20</v>
      </c>
      <c r="J4626" s="10"/>
      <c r="K4626" s="14">
        <v>3.0</v>
      </c>
      <c r="N4626" s="14" t="str">
        <f>IFERROR(__xludf.DUMMYFUNCTION("""COMPUTED_VALUE"""),"")</f>
        <v/>
      </c>
      <c r="O4626" s="14"/>
    </row>
    <row r="4627" ht="22.5" hidden="1" customHeight="1">
      <c r="A4627" s="8">
        <v>46141.37494819444</v>
      </c>
      <c r="B4627" s="14">
        <v>46141.0</v>
      </c>
      <c r="C4627" s="9" t="s">
        <v>15</v>
      </c>
      <c r="D4627" s="9" t="s">
        <v>395</v>
      </c>
      <c r="E4627" s="9" t="s">
        <v>17</v>
      </c>
      <c r="F4627" s="9" t="s">
        <v>17</v>
      </c>
      <c r="G4627" s="9">
        <v>8.0</v>
      </c>
      <c r="H4627" s="9" t="s">
        <v>22</v>
      </c>
      <c r="I4627" s="9" t="s">
        <v>20</v>
      </c>
      <c r="J4627" s="10"/>
      <c r="K4627" s="14">
        <v>4.0</v>
      </c>
      <c r="N4627" s="14" t="str">
        <f>IFERROR(__xludf.DUMMYFUNCTION("""COMPUTED_VALUE"""),"")</f>
        <v/>
      </c>
      <c r="O4627" s="14"/>
    </row>
    <row r="4628" ht="22.5" hidden="1" customHeight="1">
      <c r="A4628" s="8">
        <v>46141.37515986111</v>
      </c>
      <c r="B4628" s="14">
        <v>46141.0</v>
      </c>
      <c r="C4628" s="9" t="s">
        <v>15</v>
      </c>
      <c r="D4628" s="9" t="s">
        <v>357</v>
      </c>
      <c r="E4628" s="9" t="s">
        <v>17</v>
      </c>
      <c r="F4628" s="9" t="s">
        <v>17</v>
      </c>
      <c r="G4628" s="9">
        <v>7.0</v>
      </c>
      <c r="H4628" s="9" t="s">
        <v>22</v>
      </c>
      <c r="I4628" s="9" t="s">
        <v>20</v>
      </c>
      <c r="J4628" s="10"/>
      <c r="K4628" s="14">
        <v>5.0</v>
      </c>
      <c r="N4628" s="14" t="str">
        <f>IFERROR(__xludf.DUMMYFUNCTION("""COMPUTED_VALUE"""),"")</f>
        <v/>
      </c>
      <c r="O4628" s="14"/>
    </row>
    <row r="4629" ht="22.5" hidden="1" customHeight="1">
      <c r="A4629" s="8">
        <v>46141.37544412037</v>
      </c>
      <c r="B4629" s="14">
        <v>46141.0</v>
      </c>
      <c r="C4629" s="9" t="s">
        <v>15</v>
      </c>
      <c r="D4629" s="9" t="s">
        <v>174</v>
      </c>
      <c r="E4629" s="9" t="s">
        <v>17</v>
      </c>
      <c r="F4629" s="9" t="s">
        <v>17</v>
      </c>
      <c r="G4629" s="9">
        <v>8.0</v>
      </c>
      <c r="H4629" s="9" t="s">
        <v>22</v>
      </c>
      <c r="I4629" s="9" t="s">
        <v>20</v>
      </c>
      <c r="J4629" s="10"/>
      <c r="K4629" s="14">
        <v>2.0</v>
      </c>
      <c r="N4629" s="14" t="str">
        <f>IFERROR(__xludf.DUMMYFUNCTION("""COMPUTED_VALUE"""),"")</f>
        <v/>
      </c>
      <c r="O4629" s="14"/>
    </row>
    <row r="4630" ht="22.5" hidden="1" customHeight="1">
      <c r="A4630" s="8">
        <v>46141.39612210648</v>
      </c>
      <c r="B4630" s="14">
        <v>46141.0</v>
      </c>
      <c r="C4630" s="9" t="s">
        <v>15</v>
      </c>
      <c r="D4630" s="9" t="s">
        <v>259</v>
      </c>
      <c r="E4630" s="9" t="s">
        <v>17</v>
      </c>
      <c r="F4630" s="9" t="s">
        <v>17</v>
      </c>
      <c r="G4630" s="9">
        <v>7.0</v>
      </c>
      <c r="H4630" s="9" t="s">
        <v>22</v>
      </c>
      <c r="I4630" s="9" t="s">
        <v>20</v>
      </c>
      <c r="J4630" s="10"/>
      <c r="K4630" s="14">
        <v>4.0</v>
      </c>
      <c r="N4630" s="14" t="str">
        <f>IFERROR(__xludf.DUMMYFUNCTION("""COMPUTED_VALUE"""),"")</f>
        <v/>
      </c>
      <c r="O4630" s="14"/>
    </row>
    <row r="4631" ht="22.5" hidden="1" customHeight="1">
      <c r="A4631" s="8">
        <v>46141.39757310185</v>
      </c>
      <c r="B4631" s="14">
        <v>46141.0</v>
      </c>
      <c r="C4631" s="9" t="s">
        <v>15</v>
      </c>
      <c r="D4631" s="9" t="s">
        <v>396</v>
      </c>
      <c r="E4631" s="9" t="s">
        <v>17</v>
      </c>
      <c r="F4631" s="9" t="s">
        <v>17</v>
      </c>
      <c r="G4631" s="9">
        <v>7.0</v>
      </c>
      <c r="H4631" s="9" t="s">
        <v>25</v>
      </c>
      <c r="I4631" s="9" t="s">
        <v>173</v>
      </c>
      <c r="J4631" s="10"/>
      <c r="K4631" s="14" t="s">
        <v>398</v>
      </c>
      <c r="N4631" s="14" t="str">
        <f>IFERROR(__xludf.DUMMYFUNCTION("""COMPUTED_VALUE"""),"")</f>
        <v/>
      </c>
      <c r="O4631" s="14"/>
    </row>
    <row r="4632" ht="22.5" hidden="1" customHeight="1">
      <c r="A4632" s="8">
        <v>46141.39783371528</v>
      </c>
      <c r="B4632" s="14">
        <v>46141.0</v>
      </c>
      <c r="C4632" s="9" t="s">
        <v>15</v>
      </c>
      <c r="D4632" s="9" t="s">
        <v>210</v>
      </c>
      <c r="E4632" s="9" t="s">
        <v>17</v>
      </c>
      <c r="F4632" s="9" t="s">
        <v>17</v>
      </c>
      <c r="G4632" s="9">
        <v>7.0</v>
      </c>
      <c r="H4632" s="9" t="s">
        <v>25</v>
      </c>
      <c r="I4632" s="9" t="s">
        <v>89</v>
      </c>
      <c r="J4632" s="10"/>
      <c r="K4632" s="14">
        <v>5.0</v>
      </c>
      <c r="N4632" s="14" t="str">
        <f>IFERROR(__xludf.DUMMYFUNCTION("""COMPUTED_VALUE"""),"")</f>
        <v/>
      </c>
      <c r="O4632" s="14"/>
    </row>
    <row r="4633" ht="22.5" hidden="1" customHeight="1">
      <c r="A4633" s="8">
        <v>46141.39817350694</v>
      </c>
      <c r="B4633" s="14">
        <v>46141.0</v>
      </c>
      <c r="C4633" s="9" t="s">
        <v>15</v>
      </c>
      <c r="D4633" s="9" t="s">
        <v>247</v>
      </c>
      <c r="E4633" s="9" t="s">
        <v>46</v>
      </c>
      <c r="F4633" s="9" t="s">
        <v>17</v>
      </c>
      <c r="G4633" s="9">
        <v>7.0</v>
      </c>
      <c r="H4633" s="9" t="s">
        <v>22</v>
      </c>
      <c r="I4633" s="9" t="s">
        <v>20</v>
      </c>
      <c r="J4633" s="10"/>
      <c r="K4633" s="14">
        <v>7.0</v>
      </c>
      <c r="N4633" s="14" t="str">
        <f>IFERROR(__xludf.DUMMYFUNCTION("""COMPUTED_VALUE"""),"")</f>
        <v/>
      </c>
      <c r="O4633" s="14"/>
    </row>
    <row r="4634" ht="22.5" hidden="1" customHeight="1">
      <c r="A4634" s="8">
        <v>46141.39857306713</v>
      </c>
      <c r="B4634" s="14">
        <v>46141.0</v>
      </c>
      <c r="C4634" s="9" t="s">
        <v>15</v>
      </c>
      <c r="D4634" s="9" t="s">
        <v>393</v>
      </c>
      <c r="E4634" s="9" t="s">
        <v>17</v>
      </c>
      <c r="F4634" s="9" t="s">
        <v>17</v>
      </c>
      <c r="G4634" s="9">
        <v>7.0</v>
      </c>
      <c r="H4634" s="9" t="s">
        <v>25</v>
      </c>
      <c r="I4634" s="9" t="s">
        <v>137</v>
      </c>
      <c r="J4634" s="10"/>
      <c r="K4634" s="14">
        <v>4.0</v>
      </c>
      <c r="N4634" s="14" t="str">
        <f>IFERROR(__xludf.DUMMYFUNCTION("""COMPUTED_VALUE"""),"")</f>
        <v/>
      </c>
      <c r="O4634" s="14"/>
    </row>
    <row r="4635" ht="22.5" hidden="1" customHeight="1">
      <c r="A4635" s="8">
        <v>46141.39911108796</v>
      </c>
      <c r="B4635" s="14">
        <v>46141.0</v>
      </c>
      <c r="C4635" s="9" t="s">
        <v>15</v>
      </c>
      <c r="D4635" s="9" t="s">
        <v>350</v>
      </c>
      <c r="E4635" s="9" t="s">
        <v>17</v>
      </c>
      <c r="F4635" s="9" t="s">
        <v>17</v>
      </c>
      <c r="G4635" s="9">
        <v>7.0</v>
      </c>
      <c r="H4635" s="9" t="s">
        <v>22</v>
      </c>
      <c r="I4635" s="9" t="s">
        <v>20</v>
      </c>
      <c r="J4635" s="10"/>
      <c r="K4635" s="14">
        <v>4.0</v>
      </c>
      <c r="N4635" s="14" t="str">
        <f>IFERROR(__xludf.DUMMYFUNCTION("""COMPUTED_VALUE"""),"")</f>
        <v/>
      </c>
      <c r="O4635" s="14"/>
    </row>
    <row r="4636" ht="22.5" hidden="1" customHeight="1">
      <c r="A4636" s="8">
        <v>46141.400679432874</v>
      </c>
      <c r="B4636" s="14">
        <v>46141.0</v>
      </c>
      <c r="C4636" s="9" t="s">
        <v>15</v>
      </c>
      <c r="D4636" s="9" t="s">
        <v>175</v>
      </c>
      <c r="E4636" s="9" t="s">
        <v>17</v>
      </c>
      <c r="F4636" s="9" t="s">
        <v>17</v>
      </c>
      <c r="G4636" s="9">
        <v>7.0</v>
      </c>
      <c r="H4636" s="9" t="s">
        <v>22</v>
      </c>
      <c r="I4636" s="9" t="s">
        <v>20</v>
      </c>
      <c r="J4636" s="10"/>
      <c r="K4636" s="14">
        <v>5.0</v>
      </c>
      <c r="N4636" s="14" t="str">
        <f>IFERROR(__xludf.DUMMYFUNCTION("""COMPUTED_VALUE"""),"")</f>
        <v/>
      </c>
      <c r="O4636" s="14"/>
    </row>
    <row r="4637" ht="22.5" hidden="1" customHeight="1">
      <c r="A4637" s="8">
        <v>46141.40109271991</v>
      </c>
      <c r="B4637" s="14">
        <v>46141.0</v>
      </c>
      <c r="C4637" s="9" t="s">
        <v>15</v>
      </c>
      <c r="D4637" s="9" t="s">
        <v>369</v>
      </c>
      <c r="E4637" s="9" t="s">
        <v>17</v>
      </c>
      <c r="F4637" s="9" t="s">
        <v>17</v>
      </c>
      <c r="G4637" s="9">
        <v>7.0</v>
      </c>
      <c r="H4637" s="9" t="s">
        <v>22</v>
      </c>
      <c r="I4637" s="9" t="s">
        <v>20</v>
      </c>
      <c r="J4637" s="10"/>
      <c r="K4637" s="14">
        <v>5.0</v>
      </c>
      <c r="N4637" s="14" t="str">
        <f>IFERROR(__xludf.DUMMYFUNCTION("""COMPUTED_VALUE"""),"")</f>
        <v/>
      </c>
      <c r="O4637" s="14"/>
    </row>
    <row r="4638" ht="22.5" hidden="1" customHeight="1">
      <c r="A4638" s="8">
        <v>46141.402969814815</v>
      </c>
      <c r="B4638" s="14">
        <v>46141.0</v>
      </c>
      <c r="C4638" s="9" t="s">
        <v>15</v>
      </c>
      <c r="D4638" s="9" t="s">
        <v>335</v>
      </c>
      <c r="E4638" s="9" t="s">
        <v>17</v>
      </c>
      <c r="F4638" s="9" t="s">
        <v>17</v>
      </c>
      <c r="G4638" s="9">
        <v>8.0</v>
      </c>
      <c r="H4638" s="9" t="s">
        <v>25</v>
      </c>
      <c r="I4638" s="9" t="s">
        <v>434</v>
      </c>
      <c r="J4638" s="10"/>
      <c r="K4638" s="14" t="s">
        <v>398</v>
      </c>
      <c r="N4638" s="14" t="str">
        <f>IFERROR(__xludf.DUMMYFUNCTION("""COMPUTED_VALUE"""),"")</f>
        <v/>
      </c>
      <c r="O4638" s="14"/>
    </row>
    <row r="4639" ht="22.5" hidden="1" customHeight="1">
      <c r="A4639" s="8">
        <v>46142.35344736111</v>
      </c>
      <c r="B4639" s="14">
        <v>46142.0</v>
      </c>
      <c r="C4639" s="9" t="s">
        <v>31</v>
      </c>
      <c r="D4639" s="9" t="s">
        <v>413</v>
      </c>
      <c r="E4639" s="9" t="s">
        <v>17</v>
      </c>
      <c r="F4639" s="9" t="s">
        <v>17</v>
      </c>
      <c r="G4639" s="9">
        <v>7.0</v>
      </c>
      <c r="H4639" s="9" t="s">
        <v>22</v>
      </c>
      <c r="I4639" s="9" t="s">
        <v>20</v>
      </c>
      <c r="J4639" s="10"/>
      <c r="K4639" s="14">
        <v>4.0</v>
      </c>
      <c r="N4639" s="14" t="str">
        <f>IFERROR(__xludf.DUMMYFUNCTION("""COMPUTED_VALUE"""),"")</f>
        <v/>
      </c>
      <c r="O4639" s="14"/>
    </row>
    <row r="4640" ht="22.5" hidden="1" customHeight="1">
      <c r="A4640" s="8">
        <v>46142.35368706018</v>
      </c>
      <c r="B4640" s="14">
        <v>46142.0</v>
      </c>
      <c r="C4640" s="9" t="s">
        <v>31</v>
      </c>
      <c r="D4640" s="9" t="s">
        <v>280</v>
      </c>
      <c r="E4640" s="9" t="s">
        <v>17</v>
      </c>
      <c r="F4640" s="9" t="s">
        <v>17</v>
      </c>
      <c r="G4640" s="9">
        <v>7.0</v>
      </c>
      <c r="H4640" s="9" t="s">
        <v>22</v>
      </c>
      <c r="I4640" s="9" t="s">
        <v>20</v>
      </c>
      <c r="J4640" s="10"/>
      <c r="K4640" s="14" t="s">
        <v>398</v>
      </c>
      <c r="N4640" s="14" t="str">
        <f>IFERROR(__xludf.DUMMYFUNCTION("""COMPUTED_VALUE"""),"")</f>
        <v/>
      </c>
      <c r="O4640" s="14"/>
    </row>
    <row r="4641" ht="22.5" hidden="1" customHeight="1">
      <c r="A4641" s="8">
        <v>46142.3541127662</v>
      </c>
      <c r="B4641" s="14">
        <v>46142.0</v>
      </c>
      <c r="C4641" s="9" t="s">
        <v>31</v>
      </c>
      <c r="D4641" s="9" t="s">
        <v>177</v>
      </c>
      <c r="E4641" s="9" t="s">
        <v>17</v>
      </c>
      <c r="F4641" s="9" t="s">
        <v>17</v>
      </c>
      <c r="G4641" s="9">
        <v>7.0</v>
      </c>
      <c r="H4641" s="9" t="s">
        <v>25</v>
      </c>
      <c r="I4641" s="9" t="s">
        <v>207</v>
      </c>
      <c r="J4641" s="10"/>
      <c r="K4641" s="14" t="s">
        <v>398</v>
      </c>
      <c r="N4641" s="14" t="str">
        <f>IFERROR(__xludf.DUMMYFUNCTION("""COMPUTED_VALUE"""),"")</f>
        <v/>
      </c>
      <c r="O4641" s="14"/>
    </row>
    <row r="4642" ht="22.5" hidden="1" customHeight="1">
      <c r="A4642" s="8">
        <v>46142.354405439815</v>
      </c>
      <c r="B4642" s="14">
        <v>46142.0</v>
      </c>
      <c r="C4642" s="9" t="s">
        <v>31</v>
      </c>
      <c r="D4642" s="9" t="s">
        <v>105</v>
      </c>
      <c r="E4642" s="9" t="s">
        <v>17</v>
      </c>
      <c r="F4642" s="9" t="s">
        <v>17</v>
      </c>
      <c r="G4642" s="9">
        <v>8.0</v>
      </c>
      <c r="H4642" s="9" t="s">
        <v>22</v>
      </c>
      <c r="I4642" s="9" t="s">
        <v>20</v>
      </c>
      <c r="J4642" s="10"/>
      <c r="K4642" s="14">
        <v>2.0</v>
      </c>
      <c r="N4642" s="14" t="str">
        <f>IFERROR(__xludf.DUMMYFUNCTION("""COMPUTED_VALUE"""),"")</f>
        <v/>
      </c>
      <c r="O4642" s="14"/>
    </row>
    <row r="4643" ht="22.5" hidden="1" customHeight="1">
      <c r="A4643" s="8">
        <v>46142.35653603009</v>
      </c>
      <c r="B4643" s="14">
        <v>46142.0</v>
      </c>
      <c r="C4643" s="9" t="s">
        <v>31</v>
      </c>
      <c r="D4643" s="9" t="s">
        <v>423</v>
      </c>
      <c r="E4643" s="9" t="s">
        <v>17</v>
      </c>
      <c r="F4643" s="9" t="s">
        <v>17</v>
      </c>
      <c r="G4643" s="9">
        <v>6.0</v>
      </c>
      <c r="H4643" s="9" t="s">
        <v>25</v>
      </c>
      <c r="I4643" s="9" t="s">
        <v>79</v>
      </c>
      <c r="J4643" s="10"/>
      <c r="K4643" s="14">
        <v>4.0</v>
      </c>
      <c r="N4643" s="14" t="str">
        <f>IFERROR(__xludf.DUMMYFUNCTION("""COMPUTED_VALUE"""),"")</f>
        <v/>
      </c>
      <c r="O4643" s="14"/>
    </row>
    <row r="4644" ht="22.5" hidden="1" customHeight="1">
      <c r="A4644" s="8">
        <v>46142.36484011574</v>
      </c>
      <c r="B4644" s="14">
        <v>46142.0</v>
      </c>
      <c r="C4644" s="9" t="s">
        <v>31</v>
      </c>
      <c r="D4644" s="9" t="s">
        <v>174</v>
      </c>
      <c r="E4644" s="9" t="s">
        <v>17</v>
      </c>
      <c r="F4644" s="9" t="s">
        <v>17</v>
      </c>
      <c r="G4644" s="9">
        <v>7.0</v>
      </c>
      <c r="H4644" s="9" t="s">
        <v>25</v>
      </c>
      <c r="I4644" s="9" t="s">
        <v>67</v>
      </c>
      <c r="J4644" s="10"/>
      <c r="K4644" s="14">
        <v>4.0</v>
      </c>
      <c r="N4644" s="14" t="str">
        <f>IFERROR(__xludf.DUMMYFUNCTION("""COMPUTED_VALUE"""),"")</f>
        <v/>
      </c>
      <c r="O4644" s="14"/>
    </row>
    <row r="4645" ht="22.5" hidden="1" customHeight="1">
      <c r="A4645" s="8">
        <v>46142.36548555555</v>
      </c>
      <c r="B4645" s="14">
        <v>46142.0</v>
      </c>
      <c r="C4645" s="9" t="s">
        <v>31</v>
      </c>
      <c r="D4645" s="9" t="s">
        <v>408</v>
      </c>
      <c r="E4645" s="9" t="s">
        <v>17</v>
      </c>
      <c r="F4645" s="9" t="s">
        <v>17</v>
      </c>
      <c r="G4645" s="9">
        <v>7.0</v>
      </c>
      <c r="H4645" s="9" t="s">
        <v>25</v>
      </c>
      <c r="I4645" s="9" t="s">
        <v>50</v>
      </c>
      <c r="J4645" s="10"/>
      <c r="K4645" s="14">
        <v>4.0</v>
      </c>
      <c r="N4645" s="14" t="str">
        <f>IFERROR(__xludf.DUMMYFUNCTION("""COMPUTED_VALUE"""),"")</f>
        <v/>
      </c>
      <c r="O4645" s="14"/>
    </row>
    <row r="4646" ht="22.5" hidden="1" customHeight="1">
      <c r="A4646" s="8">
        <v>46142.367804594905</v>
      </c>
      <c r="B4646" s="14">
        <v>46142.0</v>
      </c>
      <c r="C4646" s="9" t="s">
        <v>31</v>
      </c>
      <c r="D4646" s="9" t="s">
        <v>357</v>
      </c>
      <c r="E4646" s="9" t="s">
        <v>17</v>
      </c>
      <c r="F4646" s="9" t="s">
        <v>17</v>
      </c>
      <c r="G4646" s="9">
        <v>7.0</v>
      </c>
      <c r="H4646" s="9" t="s">
        <v>25</v>
      </c>
      <c r="I4646" s="9" t="s">
        <v>79</v>
      </c>
      <c r="J4646" s="10"/>
      <c r="K4646" s="14" t="s">
        <v>398</v>
      </c>
      <c r="N4646" s="14" t="str">
        <f>IFERROR(__xludf.DUMMYFUNCTION("""COMPUTED_VALUE"""),"")</f>
        <v/>
      </c>
      <c r="O4646" s="14"/>
    </row>
    <row r="4647" ht="22.5" hidden="1" customHeight="1">
      <c r="A4647" s="8">
        <v>46142.36953454861</v>
      </c>
      <c r="B4647" s="14">
        <v>46142.0</v>
      </c>
      <c r="C4647" s="9" t="s">
        <v>31</v>
      </c>
      <c r="D4647" s="9" t="s">
        <v>414</v>
      </c>
      <c r="E4647" s="9" t="s">
        <v>17</v>
      </c>
      <c r="F4647" s="9" t="s">
        <v>17</v>
      </c>
      <c r="G4647" s="9">
        <v>7.0</v>
      </c>
      <c r="H4647" s="9" t="s">
        <v>22</v>
      </c>
      <c r="I4647" s="9" t="s">
        <v>20</v>
      </c>
      <c r="J4647" s="10"/>
      <c r="K4647" s="14">
        <v>4.0</v>
      </c>
      <c r="N4647" s="14" t="str">
        <f>IFERROR(__xludf.DUMMYFUNCTION("""COMPUTED_VALUE"""),"")</f>
        <v/>
      </c>
      <c r="O4647" s="14"/>
    </row>
    <row r="4648" ht="22.5" hidden="1" customHeight="1">
      <c r="A4648" s="8">
        <v>46142.37172403935</v>
      </c>
      <c r="B4648" s="14">
        <v>46142.0</v>
      </c>
      <c r="C4648" s="9" t="s">
        <v>31</v>
      </c>
      <c r="D4648" s="9" t="s">
        <v>421</v>
      </c>
      <c r="E4648" s="9" t="s">
        <v>17</v>
      </c>
      <c r="F4648" s="9" t="s">
        <v>17</v>
      </c>
      <c r="G4648" s="9">
        <v>8.0</v>
      </c>
      <c r="H4648" s="9" t="s">
        <v>25</v>
      </c>
      <c r="I4648" s="9" t="s">
        <v>79</v>
      </c>
      <c r="J4648" s="10"/>
      <c r="K4648" s="14" t="s">
        <v>398</v>
      </c>
      <c r="N4648" s="14" t="str">
        <f>IFERROR(__xludf.DUMMYFUNCTION("""COMPUTED_VALUE"""),"")</f>
        <v/>
      </c>
      <c r="O4648" s="14"/>
    </row>
    <row r="4649" ht="22.5" hidden="1" customHeight="1">
      <c r="A4649" s="8">
        <v>46142.3720915625</v>
      </c>
      <c r="B4649" s="14">
        <v>46142.0</v>
      </c>
      <c r="C4649" s="9" t="s">
        <v>31</v>
      </c>
      <c r="D4649" s="9" t="s">
        <v>412</v>
      </c>
      <c r="E4649" s="9" t="s">
        <v>17</v>
      </c>
      <c r="F4649" s="9" t="s">
        <v>17</v>
      </c>
      <c r="G4649" s="9">
        <v>7.0</v>
      </c>
      <c r="H4649" s="9" t="s">
        <v>22</v>
      </c>
      <c r="I4649" s="9" t="s">
        <v>20</v>
      </c>
      <c r="J4649" s="10"/>
      <c r="K4649" s="14">
        <v>4.0</v>
      </c>
      <c r="N4649" s="14" t="str">
        <f>IFERROR(__xludf.DUMMYFUNCTION("""COMPUTED_VALUE"""),"")</f>
        <v/>
      </c>
      <c r="O4649" s="14"/>
    </row>
    <row r="4650" ht="22.5" hidden="1" customHeight="1">
      <c r="A4650" s="8">
        <v>46142.37239959491</v>
      </c>
      <c r="B4650" s="14">
        <v>46142.0</v>
      </c>
      <c r="C4650" s="9" t="s">
        <v>31</v>
      </c>
      <c r="D4650" s="9" t="s">
        <v>258</v>
      </c>
      <c r="E4650" s="9" t="s">
        <v>17</v>
      </c>
      <c r="F4650" s="9" t="s">
        <v>17</v>
      </c>
      <c r="G4650" s="9">
        <v>7.0</v>
      </c>
      <c r="H4650" s="9" t="s">
        <v>22</v>
      </c>
      <c r="I4650" s="9" t="s">
        <v>20</v>
      </c>
      <c r="J4650" s="10"/>
      <c r="K4650" s="14">
        <v>5.0</v>
      </c>
      <c r="N4650" s="14" t="str">
        <f>IFERROR(__xludf.DUMMYFUNCTION("""COMPUTED_VALUE"""),"")</f>
        <v/>
      </c>
      <c r="O4650" s="14"/>
    </row>
    <row r="4651" ht="22.5" hidden="1" customHeight="1">
      <c r="A4651" s="8">
        <v>46142.37709920139</v>
      </c>
      <c r="B4651" s="14">
        <v>46142.0</v>
      </c>
      <c r="C4651" s="9" t="s">
        <v>31</v>
      </c>
      <c r="D4651" s="9" t="s">
        <v>258</v>
      </c>
      <c r="E4651" s="9" t="s">
        <v>17</v>
      </c>
      <c r="F4651" s="9" t="s">
        <v>17</v>
      </c>
      <c r="G4651" s="9">
        <v>7.0</v>
      </c>
      <c r="H4651" s="9" t="s">
        <v>22</v>
      </c>
      <c r="I4651" s="9" t="s">
        <v>20</v>
      </c>
      <c r="J4651" s="10"/>
      <c r="K4651" s="14">
        <v>5.0</v>
      </c>
      <c r="N4651" s="14" t="str">
        <f>IFERROR(__xludf.DUMMYFUNCTION("""COMPUTED_VALUE"""),"")</f>
        <v/>
      </c>
      <c r="O4651" s="14"/>
    </row>
    <row r="4652" ht="22.5" hidden="1" customHeight="1">
      <c r="A4652" s="8">
        <v>46142.377829791665</v>
      </c>
      <c r="B4652" s="14">
        <v>46142.0</v>
      </c>
      <c r="C4652" s="9" t="s">
        <v>31</v>
      </c>
      <c r="D4652" s="9" t="s">
        <v>171</v>
      </c>
      <c r="E4652" s="9" t="s">
        <v>46</v>
      </c>
      <c r="F4652" s="9" t="s">
        <v>17</v>
      </c>
      <c r="G4652" s="9">
        <v>7.0</v>
      </c>
      <c r="H4652" s="9" t="s">
        <v>17</v>
      </c>
      <c r="I4652" s="9" t="s">
        <v>20</v>
      </c>
      <c r="J4652" s="10"/>
      <c r="K4652" s="14">
        <v>6.0</v>
      </c>
      <c r="N4652" s="14" t="str">
        <f>IFERROR(__xludf.DUMMYFUNCTION("""COMPUTED_VALUE"""),"")</f>
        <v/>
      </c>
      <c r="O4652" s="14"/>
    </row>
    <row r="4653" ht="22.5" hidden="1" customHeight="1">
      <c r="A4653" s="8">
        <v>46142.37819659722</v>
      </c>
      <c r="B4653" s="14">
        <v>46142.0</v>
      </c>
      <c r="C4653" s="9" t="s">
        <v>31</v>
      </c>
      <c r="D4653" s="9" t="s">
        <v>175</v>
      </c>
      <c r="E4653" s="9" t="s">
        <v>17</v>
      </c>
      <c r="F4653" s="9" t="s">
        <v>17</v>
      </c>
      <c r="G4653" s="9">
        <v>7.0</v>
      </c>
      <c r="H4653" s="9" t="s">
        <v>22</v>
      </c>
      <c r="I4653" s="9" t="s">
        <v>20</v>
      </c>
      <c r="J4653" s="10"/>
      <c r="K4653" s="14">
        <v>6.0</v>
      </c>
      <c r="N4653" s="14" t="str">
        <f>IFERROR(__xludf.DUMMYFUNCTION("""COMPUTED_VALUE"""),"")</f>
        <v/>
      </c>
      <c r="O4653" s="14"/>
    </row>
    <row r="4654" ht="22.5" hidden="1" customHeight="1">
      <c r="A4654" s="8">
        <v>46142.37857693287</v>
      </c>
      <c r="B4654" s="14">
        <v>46142.0</v>
      </c>
      <c r="C4654" s="9" t="s">
        <v>31</v>
      </c>
      <c r="D4654" s="9" t="s">
        <v>259</v>
      </c>
      <c r="E4654" s="9" t="s">
        <v>17</v>
      </c>
      <c r="F4654" s="9" t="s">
        <v>17</v>
      </c>
      <c r="G4654" s="9">
        <v>8.0</v>
      </c>
      <c r="H4654" s="9" t="s">
        <v>22</v>
      </c>
      <c r="I4654" s="9" t="s">
        <v>20</v>
      </c>
      <c r="J4654" s="10"/>
      <c r="K4654" s="14" t="s">
        <v>398</v>
      </c>
      <c r="N4654" s="14" t="str">
        <f>IFERROR(__xludf.DUMMYFUNCTION("""COMPUTED_VALUE"""),"")</f>
        <v/>
      </c>
      <c r="O4654" s="14"/>
    </row>
    <row r="4655" ht="22.5" hidden="1" customHeight="1">
      <c r="A4655" s="8">
        <v>46142.382437928245</v>
      </c>
      <c r="B4655" s="14">
        <v>46142.0</v>
      </c>
      <c r="C4655" s="9" t="s">
        <v>31</v>
      </c>
      <c r="D4655" s="9" t="s">
        <v>247</v>
      </c>
      <c r="E4655" s="9" t="s">
        <v>17</v>
      </c>
      <c r="F4655" s="9" t="s">
        <v>17</v>
      </c>
      <c r="G4655" s="9">
        <v>7.0</v>
      </c>
      <c r="H4655" s="9" t="s">
        <v>25</v>
      </c>
      <c r="I4655" s="9" t="s">
        <v>93</v>
      </c>
      <c r="J4655" s="10"/>
      <c r="K4655" s="14">
        <v>4.0</v>
      </c>
      <c r="N4655" s="14" t="str">
        <f>IFERROR(__xludf.DUMMYFUNCTION("""COMPUTED_VALUE"""),"")</f>
        <v/>
      </c>
      <c r="O4655" s="14"/>
    </row>
    <row r="4656" ht="22.5" hidden="1" customHeight="1">
      <c r="A4656" s="8">
        <v>46142.382727013886</v>
      </c>
      <c r="B4656" s="14">
        <v>46142.0</v>
      </c>
      <c r="C4656" s="9" t="s">
        <v>31</v>
      </c>
      <c r="D4656" s="9" t="s">
        <v>210</v>
      </c>
      <c r="E4656" s="9" t="s">
        <v>17</v>
      </c>
      <c r="F4656" s="9" t="s">
        <v>17</v>
      </c>
      <c r="G4656" s="9" t="s">
        <v>409</v>
      </c>
      <c r="H4656" s="9" t="s">
        <v>22</v>
      </c>
      <c r="I4656" s="9" t="s">
        <v>20</v>
      </c>
      <c r="J4656" s="10"/>
      <c r="K4656" s="14">
        <v>4.0</v>
      </c>
      <c r="N4656" s="14" t="str">
        <f>IFERROR(__xludf.DUMMYFUNCTION("""COMPUTED_VALUE"""),"")</f>
        <v/>
      </c>
      <c r="O4656" s="14"/>
    </row>
    <row r="4657" ht="22.5" hidden="1" customHeight="1">
      <c r="A4657" s="8">
        <v>46142.38298016204</v>
      </c>
      <c r="B4657" s="14">
        <v>46142.0</v>
      </c>
      <c r="C4657" s="9" t="s">
        <v>31</v>
      </c>
      <c r="D4657" s="9" t="s">
        <v>257</v>
      </c>
      <c r="E4657" s="9" t="s">
        <v>17</v>
      </c>
      <c r="F4657" s="9" t="s">
        <v>17</v>
      </c>
      <c r="G4657" s="9">
        <v>8.0</v>
      </c>
      <c r="H4657" s="9" t="s">
        <v>22</v>
      </c>
      <c r="I4657" s="9" t="s">
        <v>20</v>
      </c>
      <c r="J4657" s="10"/>
      <c r="K4657" s="14" t="s">
        <v>398</v>
      </c>
      <c r="N4657" s="14" t="str">
        <f>IFERROR(__xludf.DUMMYFUNCTION("""COMPUTED_VALUE"""),"")</f>
        <v/>
      </c>
      <c r="O4657" s="14"/>
    </row>
    <row r="4658" ht="22.5" hidden="1" customHeight="1">
      <c r="A4658" s="8">
        <v>46142.383223275465</v>
      </c>
      <c r="B4658" s="14">
        <v>46142.0</v>
      </c>
      <c r="C4658" s="9" t="s">
        <v>31</v>
      </c>
      <c r="D4658" s="9" t="s">
        <v>249</v>
      </c>
      <c r="E4658" s="9" t="s">
        <v>46</v>
      </c>
      <c r="F4658" s="9" t="s">
        <v>17</v>
      </c>
      <c r="G4658" s="9">
        <v>8.0</v>
      </c>
      <c r="H4658" s="9" t="s">
        <v>22</v>
      </c>
      <c r="I4658" s="9" t="s">
        <v>20</v>
      </c>
      <c r="J4658" s="10"/>
      <c r="K4658" s="14" t="s">
        <v>398</v>
      </c>
      <c r="N4658" s="14" t="str">
        <f>IFERROR(__xludf.DUMMYFUNCTION("""COMPUTED_VALUE"""),"")</f>
        <v/>
      </c>
      <c r="O4658" s="14"/>
    </row>
    <row r="4659" ht="22.5" hidden="1" customHeight="1">
      <c r="A4659" s="8">
        <v>46142.38344988426</v>
      </c>
      <c r="B4659" s="14">
        <v>46142.0</v>
      </c>
      <c r="C4659" s="9" t="s">
        <v>31</v>
      </c>
      <c r="D4659" s="9" t="s">
        <v>350</v>
      </c>
      <c r="E4659" s="9" t="s">
        <v>17</v>
      </c>
      <c r="F4659" s="9" t="s">
        <v>17</v>
      </c>
      <c r="G4659" s="9">
        <v>7.0</v>
      </c>
      <c r="H4659" s="9" t="s">
        <v>22</v>
      </c>
      <c r="I4659" s="9" t="s">
        <v>20</v>
      </c>
      <c r="J4659" s="10"/>
      <c r="K4659" s="14">
        <v>4.0</v>
      </c>
      <c r="N4659" s="14" t="str">
        <f>IFERROR(__xludf.DUMMYFUNCTION("""COMPUTED_VALUE"""),"")</f>
        <v/>
      </c>
      <c r="O4659" s="14"/>
    </row>
    <row r="4660" ht="22.5" hidden="1" customHeight="1">
      <c r="A4660" s="8">
        <v>46142.38368799769</v>
      </c>
      <c r="B4660" s="14">
        <v>46142.0</v>
      </c>
      <c r="C4660" s="9" t="s">
        <v>31</v>
      </c>
      <c r="D4660" s="9" t="s">
        <v>395</v>
      </c>
      <c r="E4660" s="9" t="s">
        <v>17</v>
      </c>
      <c r="F4660" s="9" t="s">
        <v>17</v>
      </c>
      <c r="G4660" s="9">
        <v>8.0</v>
      </c>
      <c r="H4660" s="9" t="s">
        <v>22</v>
      </c>
      <c r="I4660" s="9" t="s">
        <v>20</v>
      </c>
      <c r="J4660" s="10"/>
      <c r="K4660" s="14">
        <v>4.0</v>
      </c>
      <c r="N4660" s="14" t="str">
        <f>IFERROR(__xludf.DUMMYFUNCTION("""COMPUTED_VALUE"""),"")</f>
        <v/>
      </c>
      <c r="O4660" s="14"/>
    </row>
    <row r="4661" ht="22.5" hidden="1" customHeight="1">
      <c r="A4661" s="8">
        <v>46142.38413568287</v>
      </c>
      <c r="B4661" s="14">
        <v>46142.0</v>
      </c>
      <c r="C4661" s="9" t="s">
        <v>31</v>
      </c>
      <c r="D4661" s="9" t="s">
        <v>393</v>
      </c>
      <c r="E4661" s="9" t="s">
        <v>17</v>
      </c>
      <c r="F4661" s="9" t="s">
        <v>17</v>
      </c>
      <c r="G4661" s="9">
        <v>7.0</v>
      </c>
      <c r="H4661" s="9" t="s">
        <v>25</v>
      </c>
      <c r="I4661" s="9" t="s">
        <v>137</v>
      </c>
      <c r="J4661" s="10"/>
      <c r="K4661" s="14">
        <v>3.0</v>
      </c>
      <c r="N4661" s="14" t="str">
        <f>IFERROR(__xludf.DUMMYFUNCTION("""COMPUTED_VALUE"""),"")</f>
        <v/>
      </c>
      <c r="O4661" s="14"/>
    </row>
    <row r="4662" ht="22.5" hidden="1" customHeight="1">
      <c r="A4662" s="8">
        <v>46142.38441482639</v>
      </c>
      <c r="B4662" s="14">
        <v>46142.0</v>
      </c>
      <c r="C4662" s="9" t="s">
        <v>31</v>
      </c>
      <c r="D4662" s="9" t="s">
        <v>369</v>
      </c>
      <c r="E4662" s="9" t="s">
        <v>17</v>
      </c>
      <c r="F4662" s="9" t="s">
        <v>17</v>
      </c>
      <c r="G4662" s="9">
        <v>8.0</v>
      </c>
      <c r="H4662" s="9" t="s">
        <v>22</v>
      </c>
      <c r="I4662" s="9" t="s">
        <v>20</v>
      </c>
      <c r="J4662" s="10"/>
      <c r="K4662" s="14">
        <v>4.0</v>
      </c>
      <c r="N4662" s="14" t="str">
        <f>IFERROR(__xludf.DUMMYFUNCTION("""COMPUTED_VALUE"""),"")</f>
        <v/>
      </c>
      <c r="O4662" s="14"/>
    </row>
    <row r="4663" ht="22.5" hidden="1" customHeight="1">
      <c r="A4663" s="8">
        <v>46142.39445736111</v>
      </c>
      <c r="B4663" s="14">
        <v>46142.0</v>
      </c>
      <c r="C4663" s="9" t="s">
        <v>31</v>
      </c>
      <c r="D4663" s="9" t="s">
        <v>335</v>
      </c>
      <c r="E4663" s="9" t="s">
        <v>17</v>
      </c>
      <c r="F4663" s="9" t="s">
        <v>17</v>
      </c>
      <c r="G4663" s="9">
        <v>7.0</v>
      </c>
      <c r="H4663" s="9" t="s">
        <v>25</v>
      </c>
      <c r="I4663" s="9" t="s">
        <v>434</v>
      </c>
      <c r="J4663" s="10"/>
      <c r="K4663" s="14">
        <v>4.0</v>
      </c>
      <c r="N4663" s="14" t="str">
        <f>IFERROR(__xludf.DUMMYFUNCTION("""COMPUTED_VALUE"""),"")</f>
        <v/>
      </c>
      <c r="O4663" s="14"/>
    </row>
    <row r="4664" ht="22.5" hidden="1" customHeight="1">
      <c r="A4664" s="8">
        <v>46142.39786849537</v>
      </c>
      <c r="B4664" s="14">
        <v>46142.0</v>
      </c>
      <c r="C4664" s="9" t="s">
        <v>31</v>
      </c>
      <c r="D4664" s="9" t="s">
        <v>396</v>
      </c>
      <c r="E4664" s="9" t="s">
        <v>17</v>
      </c>
      <c r="F4664" s="9" t="s">
        <v>17</v>
      </c>
      <c r="G4664" s="9">
        <v>7.0</v>
      </c>
      <c r="H4664" s="9" t="s">
        <v>25</v>
      </c>
      <c r="I4664" s="9" t="s">
        <v>173</v>
      </c>
      <c r="J4664" s="10"/>
      <c r="K4664" s="14" t="s">
        <v>398</v>
      </c>
      <c r="N4664" s="14" t="str">
        <f>IFERROR(__xludf.DUMMYFUNCTION("""COMPUTED_VALUE"""),"")</f>
        <v/>
      </c>
      <c r="O4664" s="14"/>
    </row>
    <row r="4665" ht="22.5" hidden="1" customHeight="1">
      <c r="A4665" s="8">
        <v>46143.36126582176</v>
      </c>
      <c r="B4665" s="14">
        <v>46143.0</v>
      </c>
      <c r="C4665" s="9" t="s">
        <v>48</v>
      </c>
      <c r="D4665" s="9" t="s">
        <v>412</v>
      </c>
      <c r="E4665" s="9" t="s">
        <v>17</v>
      </c>
      <c r="F4665" s="9" t="s">
        <v>17</v>
      </c>
      <c r="G4665" s="9">
        <v>7.0</v>
      </c>
      <c r="H4665" s="9" t="s">
        <v>22</v>
      </c>
      <c r="I4665" s="9" t="s">
        <v>20</v>
      </c>
      <c r="J4665" s="10"/>
      <c r="K4665" s="14">
        <v>4.0</v>
      </c>
      <c r="N4665" s="14" t="str">
        <f>IFERROR(__xludf.DUMMYFUNCTION("""COMPUTED_VALUE"""),"")</f>
        <v/>
      </c>
      <c r="O4665" s="14"/>
    </row>
    <row r="4666" ht="22.5" hidden="1" customHeight="1">
      <c r="A4666" s="8">
        <v>46143.36157208333</v>
      </c>
      <c r="B4666" s="14">
        <v>46143.0</v>
      </c>
      <c r="C4666" s="9" t="s">
        <v>48</v>
      </c>
      <c r="D4666" s="9" t="s">
        <v>249</v>
      </c>
      <c r="E4666" s="9" t="s">
        <v>17</v>
      </c>
      <c r="F4666" s="9" t="s">
        <v>17</v>
      </c>
      <c r="G4666" s="9">
        <v>7.0</v>
      </c>
      <c r="H4666" s="9" t="s">
        <v>22</v>
      </c>
      <c r="I4666" s="9" t="s">
        <v>20</v>
      </c>
      <c r="J4666" s="10"/>
      <c r="K4666" s="14">
        <v>3.0</v>
      </c>
      <c r="N4666" s="14" t="str">
        <f>IFERROR(__xludf.DUMMYFUNCTION("""COMPUTED_VALUE"""),"")</f>
        <v/>
      </c>
      <c r="O4666" s="14"/>
    </row>
    <row r="4667" ht="22.5" hidden="1" customHeight="1">
      <c r="A4667" s="8">
        <v>46143.36193167824</v>
      </c>
      <c r="B4667" s="14">
        <v>46143.0</v>
      </c>
      <c r="C4667" s="9" t="s">
        <v>48</v>
      </c>
      <c r="D4667" s="9" t="s">
        <v>413</v>
      </c>
      <c r="E4667" s="9" t="s">
        <v>17</v>
      </c>
      <c r="F4667" s="9" t="s">
        <v>17</v>
      </c>
      <c r="G4667" s="9">
        <v>8.0</v>
      </c>
      <c r="H4667" s="9" t="s">
        <v>22</v>
      </c>
      <c r="I4667" s="9" t="s">
        <v>20</v>
      </c>
      <c r="J4667" s="10"/>
      <c r="K4667" s="14">
        <v>4.0</v>
      </c>
      <c r="N4667" s="14" t="str">
        <f>IFERROR(__xludf.DUMMYFUNCTION("""COMPUTED_VALUE"""),"")</f>
        <v/>
      </c>
      <c r="O4667" s="14"/>
    </row>
    <row r="4668" ht="22.5" hidden="1" customHeight="1">
      <c r="A4668" s="8">
        <v>46143.362210694446</v>
      </c>
      <c r="B4668" s="14">
        <v>46143.0</v>
      </c>
      <c r="C4668" s="9" t="s">
        <v>48</v>
      </c>
      <c r="D4668" s="9" t="s">
        <v>280</v>
      </c>
      <c r="E4668" s="9" t="s">
        <v>17</v>
      </c>
      <c r="F4668" s="9" t="s">
        <v>17</v>
      </c>
      <c r="G4668" s="9">
        <v>7.0</v>
      </c>
      <c r="H4668" s="9" t="s">
        <v>22</v>
      </c>
      <c r="I4668" s="9" t="s">
        <v>20</v>
      </c>
      <c r="J4668" s="10"/>
      <c r="K4668" s="14" t="s">
        <v>398</v>
      </c>
      <c r="N4668" s="14" t="str">
        <f>IFERROR(__xludf.DUMMYFUNCTION("""COMPUTED_VALUE"""),"")</f>
        <v/>
      </c>
      <c r="O4668" s="14"/>
    </row>
    <row r="4669" ht="22.5" hidden="1" customHeight="1">
      <c r="A4669" s="8">
        <v>46143.362562581024</v>
      </c>
      <c r="B4669" s="14">
        <v>46143.0</v>
      </c>
      <c r="C4669" s="9" t="s">
        <v>48</v>
      </c>
      <c r="D4669" s="9" t="s">
        <v>174</v>
      </c>
      <c r="E4669" s="9" t="s">
        <v>17</v>
      </c>
      <c r="F4669" s="9" t="s">
        <v>17</v>
      </c>
      <c r="G4669" s="9">
        <v>8.0</v>
      </c>
      <c r="H4669" s="9" t="s">
        <v>22</v>
      </c>
      <c r="I4669" s="9" t="s">
        <v>20</v>
      </c>
      <c r="J4669" s="10"/>
      <c r="K4669" s="14">
        <v>5.0</v>
      </c>
      <c r="N4669" s="14" t="str">
        <f>IFERROR(__xludf.DUMMYFUNCTION("""COMPUTED_VALUE"""),"")</f>
        <v/>
      </c>
      <c r="O4669" s="14"/>
    </row>
    <row r="4670" ht="22.5" hidden="1" customHeight="1">
      <c r="A4670" s="8">
        <v>46143.36280324074</v>
      </c>
      <c r="B4670" s="14">
        <v>46143.0</v>
      </c>
      <c r="C4670" s="9" t="s">
        <v>48</v>
      </c>
      <c r="D4670" s="9" t="s">
        <v>350</v>
      </c>
      <c r="E4670" s="9" t="s">
        <v>17</v>
      </c>
      <c r="F4670" s="9" t="s">
        <v>17</v>
      </c>
      <c r="G4670" s="9">
        <v>7.0</v>
      </c>
      <c r="H4670" s="9" t="s">
        <v>22</v>
      </c>
      <c r="I4670" s="9" t="s">
        <v>20</v>
      </c>
      <c r="J4670" s="10"/>
      <c r="K4670" s="14">
        <v>8.0</v>
      </c>
      <c r="N4670" s="14" t="str">
        <f>IFERROR(__xludf.DUMMYFUNCTION("""COMPUTED_VALUE"""),"")</f>
        <v/>
      </c>
      <c r="O4670" s="14"/>
    </row>
    <row r="4671" ht="22.5" hidden="1" customHeight="1">
      <c r="A4671" s="8">
        <v>46143.36305079861</v>
      </c>
      <c r="B4671" s="14">
        <v>46143.0</v>
      </c>
      <c r="C4671" s="9" t="s">
        <v>48</v>
      </c>
      <c r="D4671" s="9" t="s">
        <v>369</v>
      </c>
      <c r="E4671" s="9" t="s">
        <v>17</v>
      </c>
      <c r="F4671" s="9" t="s">
        <v>17</v>
      </c>
      <c r="G4671" s="9">
        <v>7.0</v>
      </c>
      <c r="H4671" s="9" t="s">
        <v>22</v>
      </c>
      <c r="I4671" s="9" t="s">
        <v>20</v>
      </c>
      <c r="J4671" s="10"/>
      <c r="K4671" s="14">
        <v>5.0</v>
      </c>
      <c r="N4671" s="14" t="str">
        <f>IFERROR(__xludf.DUMMYFUNCTION("""COMPUTED_VALUE"""),"")</f>
        <v/>
      </c>
      <c r="O4671" s="14"/>
    </row>
    <row r="4672" ht="22.5" hidden="1" customHeight="1">
      <c r="A4672" s="8">
        <v>46143.36325921296</v>
      </c>
      <c r="B4672" s="14">
        <v>46143.0</v>
      </c>
      <c r="C4672" s="9" t="s">
        <v>48</v>
      </c>
      <c r="D4672" s="9" t="s">
        <v>423</v>
      </c>
      <c r="E4672" s="9" t="s">
        <v>17</v>
      </c>
      <c r="F4672" s="9" t="s">
        <v>17</v>
      </c>
      <c r="G4672" s="9">
        <v>6.0</v>
      </c>
      <c r="H4672" s="9" t="s">
        <v>22</v>
      </c>
      <c r="I4672" s="9" t="s">
        <v>20</v>
      </c>
      <c r="J4672" s="10"/>
      <c r="K4672" s="14" t="s">
        <v>398</v>
      </c>
      <c r="N4672" s="14" t="str">
        <f>IFERROR(__xludf.DUMMYFUNCTION("""COMPUTED_VALUE"""),"")</f>
        <v/>
      </c>
      <c r="O4672" s="14"/>
    </row>
    <row r="4673" ht="22.5" hidden="1" customHeight="1">
      <c r="A4673" s="8">
        <v>46143.36352395834</v>
      </c>
      <c r="B4673" s="14">
        <v>46143.0</v>
      </c>
      <c r="C4673" s="9" t="s">
        <v>48</v>
      </c>
      <c r="D4673" s="9" t="s">
        <v>105</v>
      </c>
      <c r="E4673" s="9" t="s">
        <v>17</v>
      </c>
      <c r="F4673" s="9" t="s">
        <v>17</v>
      </c>
      <c r="G4673" s="9">
        <v>7.0</v>
      </c>
      <c r="H4673" s="9" t="s">
        <v>22</v>
      </c>
      <c r="I4673" s="9" t="s">
        <v>20</v>
      </c>
      <c r="J4673" s="10"/>
      <c r="K4673" s="14">
        <v>2.0</v>
      </c>
      <c r="N4673" s="14" t="str">
        <f>IFERROR(__xludf.DUMMYFUNCTION("""COMPUTED_VALUE"""),"")</f>
        <v/>
      </c>
      <c r="O4673" s="14"/>
    </row>
    <row r="4674" ht="22.5" hidden="1" customHeight="1">
      <c r="A4674" s="8">
        <v>46143.36406414352</v>
      </c>
      <c r="B4674" s="14">
        <v>46143.0</v>
      </c>
      <c r="C4674" s="9" t="s">
        <v>48</v>
      </c>
      <c r="D4674" s="9" t="s">
        <v>408</v>
      </c>
      <c r="E4674" s="9" t="s">
        <v>17</v>
      </c>
      <c r="F4674" s="9" t="s">
        <v>17</v>
      </c>
      <c r="G4674" s="9">
        <v>7.0</v>
      </c>
      <c r="H4674" s="9" t="s">
        <v>25</v>
      </c>
      <c r="I4674" s="9" t="s">
        <v>50</v>
      </c>
      <c r="J4674" s="10"/>
      <c r="K4674" s="14">
        <v>5.0</v>
      </c>
      <c r="N4674" s="14" t="str">
        <f>IFERROR(__xludf.DUMMYFUNCTION("""COMPUTED_VALUE"""),"")</f>
        <v/>
      </c>
      <c r="O4674" s="14"/>
    </row>
    <row r="4675" ht="22.5" hidden="1" customHeight="1">
      <c r="A4675" s="8">
        <v>46143.36430087963</v>
      </c>
      <c r="B4675" s="14">
        <v>46143.0</v>
      </c>
      <c r="C4675" s="9" t="s">
        <v>48</v>
      </c>
      <c r="D4675" s="9" t="s">
        <v>171</v>
      </c>
      <c r="E4675" s="9" t="s">
        <v>17</v>
      </c>
      <c r="F4675" s="9" t="s">
        <v>17</v>
      </c>
      <c r="G4675" s="9">
        <v>7.0</v>
      </c>
      <c r="H4675" s="9" t="s">
        <v>22</v>
      </c>
      <c r="I4675" s="9" t="s">
        <v>20</v>
      </c>
      <c r="J4675" s="10"/>
      <c r="K4675" s="14">
        <v>5.0</v>
      </c>
      <c r="N4675" s="14" t="str">
        <f>IFERROR(__xludf.DUMMYFUNCTION("""COMPUTED_VALUE"""),"")</f>
        <v/>
      </c>
      <c r="O4675" s="14"/>
    </row>
    <row r="4676" ht="22.5" hidden="1" customHeight="1">
      <c r="A4676" s="8">
        <v>46143.37660287037</v>
      </c>
      <c r="B4676" s="14">
        <v>46143.0</v>
      </c>
      <c r="C4676" s="9" t="s">
        <v>48</v>
      </c>
      <c r="D4676" s="9" t="s">
        <v>258</v>
      </c>
      <c r="E4676" s="9" t="s">
        <v>17</v>
      </c>
      <c r="F4676" s="9" t="s">
        <v>17</v>
      </c>
      <c r="G4676" s="9">
        <v>7.0</v>
      </c>
      <c r="H4676" s="9" t="s">
        <v>22</v>
      </c>
      <c r="I4676" s="9" t="s">
        <v>20</v>
      </c>
      <c r="J4676" s="10"/>
      <c r="K4676" s="14">
        <v>5.0</v>
      </c>
      <c r="N4676" s="14" t="str">
        <f>IFERROR(__xludf.DUMMYFUNCTION("""COMPUTED_VALUE"""),"")</f>
        <v/>
      </c>
      <c r="O4676" s="14"/>
    </row>
    <row r="4677" ht="22.5" hidden="1" customHeight="1">
      <c r="A4677" s="8">
        <v>46143.376946516204</v>
      </c>
      <c r="B4677" s="14">
        <v>46143.0</v>
      </c>
      <c r="C4677" s="9" t="s">
        <v>48</v>
      </c>
      <c r="D4677" s="9" t="s">
        <v>357</v>
      </c>
      <c r="E4677" s="9" t="s">
        <v>17</v>
      </c>
      <c r="F4677" s="9" t="s">
        <v>17</v>
      </c>
      <c r="G4677" s="9">
        <v>7.0</v>
      </c>
      <c r="H4677" s="9" t="s">
        <v>22</v>
      </c>
      <c r="I4677" s="9" t="s">
        <v>20</v>
      </c>
      <c r="J4677" s="10"/>
      <c r="K4677" s="14">
        <v>6.0</v>
      </c>
      <c r="N4677" s="14" t="str">
        <f>IFERROR(__xludf.DUMMYFUNCTION("""COMPUTED_VALUE"""),"")</f>
        <v/>
      </c>
      <c r="O4677" s="14"/>
    </row>
    <row r="4678" ht="22.5" hidden="1" customHeight="1">
      <c r="A4678" s="8">
        <v>46143.38275805555</v>
      </c>
      <c r="B4678" s="14">
        <v>46143.0</v>
      </c>
      <c r="C4678" s="9" t="s">
        <v>48</v>
      </c>
      <c r="D4678" s="9" t="s">
        <v>177</v>
      </c>
      <c r="E4678" s="9" t="s">
        <v>17</v>
      </c>
      <c r="F4678" s="9" t="s">
        <v>17</v>
      </c>
      <c r="G4678" s="9">
        <v>7.0</v>
      </c>
      <c r="H4678" s="9" t="s">
        <v>22</v>
      </c>
      <c r="I4678" s="9" t="s">
        <v>20</v>
      </c>
      <c r="J4678" s="10"/>
      <c r="K4678" s="14">
        <v>5.0</v>
      </c>
      <c r="N4678" s="14" t="str">
        <f>IFERROR(__xludf.DUMMYFUNCTION("""COMPUTED_VALUE"""),"")</f>
        <v/>
      </c>
      <c r="O4678" s="14"/>
    </row>
    <row r="4679" ht="22.5" hidden="1" customHeight="1">
      <c r="A4679" s="8">
        <v>46143.40659619213</v>
      </c>
      <c r="B4679" s="14">
        <v>46143.0</v>
      </c>
      <c r="C4679" s="9" t="s">
        <v>48</v>
      </c>
      <c r="D4679" s="9" t="s">
        <v>396</v>
      </c>
      <c r="E4679" s="9" t="s">
        <v>17</v>
      </c>
      <c r="F4679" s="9" t="s">
        <v>17</v>
      </c>
      <c r="G4679" s="9">
        <v>7.0</v>
      </c>
      <c r="H4679" s="9" t="s">
        <v>25</v>
      </c>
      <c r="I4679" s="9" t="s">
        <v>173</v>
      </c>
      <c r="J4679" s="10"/>
      <c r="K4679" s="14" t="s">
        <v>398</v>
      </c>
      <c r="N4679" s="14" t="str">
        <f>IFERROR(__xludf.DUMMYFUNCTION("""COMPUTED_VALUE"""),"")</f>
        <v/>
      </c>
      <c r="O4679" s="14"/>
    </row>
    <row r="4680" ht="22.5" hidden="1" customHeight="1">
      <c r="A4680" s="8">
        <v>46143.40684888889</v>
      </c>
      <c r="B4680" s="14">
        <v>46143.0</v>
      </c>
      <c r="C4680" s="9" t="s">
        <v>48</v>
      </c>
      <c r="D4680" s="9" t="s">
        <v>259</v>
      </c>
      <c r="E4680" s="9" t="s">
        <v>17</v>
      </c>
      <c r="F4680" s="9" t="s">
        <v>17</v>
      </c>
      <c r="G4680" s="9">
        <v>7.0</v>
      </c>
      <c r="H4680" s="9" t="s">
        <v>22</v>
      </c>
      <c r="I4680" s="9" t="s">
        <v>20</v>
      </c>
      <c r="J4680" s="10"/>
      <c r="K4680" s="14">
        <v>5.0</v>
      </c>
      <c r="N4680" s="14" t="str">
        <f>IFERROR(__xludf.DUMMYFUNCTION("""COMPUTED_VALUE"""),"")</f>
        <v/>
      </c>
      <c r="O4680" s="14"/>
    </row>
    <row r="4681" ht="22.5" hidden="1" customHeight="1">
      <c r="A4681" s="8">
        <v>46143.40707015047</v>
      </c>
      <c r="B4681" s="14">
        <v>46143.0</v>
      </c>
      <c r="C4681" s="9" t="s">
        <v>48</v>
      </c>
      <c r="D4681" s="9" t="s">
        <v>335</v>
      </c>
      <c r="E4681" s="9" t="s">
        <v>17</v>
      </c>
      <c r="F4681" s="9" t="s">
        <v>17</v>
      </c>
      <c r="G4681" s="9">
        <v>7.0</v>
      </c>
      <c r="H4681" s="9" t="s">
        <v>25</v>
      </c>
      <c r="I4681" s="9" t="s">
        <v>434</v>
      </c>
      <c r="J4681" s="10"/>
      <c r="K4681" s="14">
        <v>5.0</v>
      </c>
      <c r="N4681" s="14" t="str">
        <f>IFERROR(__xludf.DUMMYFUNCTION("""COMPUTED_VALUE"""),"")</f>
        <v/>
      </c>
      <c r="O4681" s="14"/>
    </row>
    <row r="4682" ht="22.5" hidden="1" customHeight="1">
      <c r="A4682" s="8">
        <v>46143.40725209491</v>
      </c>
      <c r="B4682" s="14">
        <v>46143.0</v>
      </c>
      <c r="C4682" s="9" t="s">
        <v>48</v>
      </c>
      <c r="D4682" s="9" t="s">
        <v>247</v>
      </c>
      <c r="E4682" s="9" t="s">
        <v>17</v>
      </c>
      <c r="F4682" s="9" t="s">
        <v>17</v>
      </c>
      <c r="G4682" s="9">
        <v>7.0</v>
      </c>
      <c r="H4682" s="9" t="s">
        <v>22</v>
      </c>
      <c r="I4682" s="9" t="s">
        <v>20</v>
      </c>
      <c r="J4682" s="10"/>
      <c r="K4682" s="14">
        <v>3.0</v>
      </c>
      <c r="N4682" s="14" t="str">
        <f>IFERROR(__xludf.DUMMYFUNCTION("""COMPUTED_VALUE"""),"")</f>
        <v/>
      </c>
      <c r="O4682" s="14"/>
    </row>
    <row r="4683" ht="22.5" hidden="1" customHeight="1">
      <c r="A4683" s="8">
        <v>46143.4074444213</v>
      </c>
      <c r="B4683" s="14">
        <v>46143.0</v>
      </c>
      <c r="C4683" s="9" t="s">
        <v>48</v>
      </c>
      <c r="D4683" s="9" t="s">
        <v>210</v>
      </c>
      <c r="E4683" s="9" t="s">
        <v>17</v>
      </c>
      <c r="F4683" s="9" t="s">
        <v>17</v>
      </c>
      <c r="G4683" s="9">
        <v>8.0</v>
      </c>
      <c r="H4683" s="9" t="s">
        <v>22</v>
      </c>
      <c r="I4683" s="9" t="s">
        <v>20</v>
      </c>
      <c r="J4683" s="10"/>
      <c r="K4683" s="14">
        <v>6.0</v>
      </c>
      <c r="N4683" s="14" t="str">
        <f>IFERROR(__xludf.DUMMYFUNCTION("""COMPUTED_VALUE"""),"")</f>
        <v/>
      </c>
      <c r="O4683" s="14"/>
    </row>
    <row r="4684" ht="22.5" hidden="1" customHeight="1">
      <c r="A4684" s="8">
        <v>46143.40772346065</v>
      </c>
      <c r="B4684" s="14">
        <v>46143.0</v>
      </c>
      <c r="C4684" s="9" t="s">
        <v>48</v>
      </c>
      <c r="D4684" s="9" t="s">
        <v>257</v>
      </c>
      <c r="E4684" s="9" t="s">
        <v>17</v>
      </c>
      <c r="F4684" s="9" t="s">
        <v>17</v>
      </c>
      <c r="G4684" s="9">
        <v>8.0</v>
      </c>
      <c r="H4684" s="9" t="s">
        <v>22</v>
      </c>
      <c r="I4684" s="9" t="s">
        <v>20</v>
      </c>
      <c r="J4684" s="10"/>
      <c r="K4684" s="14" t="s">
        <v>398</v>
      </c>
      <c r="N4684" s="14" t="str">
        <f>IFERROR(__xludf.DUMMYFUNCTION("""COMPUTED_VALUE"""),"")</f>
        <v/>
      </c>
      <c r="O4684" s="14"/>
    </row>
    <row r="4685" ht="22.5" hidden="1" customHeight="1">
      <c r="A4685" s="8">
        <v>46143.40797049769</v>
      </c>
      <c r="B4685" s="14">
        <v>46143.0</v>
      </c>
      <c r="C4685" s="9" t="s">
        <v>48</v>
      </c>
      <c r="D4685" s="9" t="s">
        <v>414</v>
      </c>
      <c r="E4685" s="9" t="s">
        <v>17</v>
      </c>
      <c r="F4685" s="9" t="s">
        <v>17</v>
      </c>
      <c r="G4685" s="9">
        <v>7.0</v>
      </c>
      <c r="H4685" s="9" t="s">
        <v>22</v>
      </c>
      <c r="I4685" s="9" t="s">
        <v>20</v>
      </c>
      <c r="J4685" s="10"/>
      <c r="K4685" s="14">
        <v>4.0</v>
      </c>
      <c r="N4685" s="14" t="str">
        <f>IFERROR(__xludf.DUMMYFUNCTION("""COMPUTED_VALUE"""),"")</f>
        <v/>
      </c>
      <c r="O4685" s="14"/>
    </row>
    <row r="4686" ht="22.5" hidden="1" customHeight="1">
      <c r="A4686" s="8">
        <v>46143.4082843287</v>
      </c>
      <c r="B4686" s="14">
        <v>46143.0</v>
      </c>
      <c r="C4686" s="9" t="s">
        <v>48</v>
      </c>
      <c r="D4686" s="9" t="s">
        <v>421</v>
      </c>
      <c r="E4686" s="9" t="s">
        <v>17</v>
      </c>
      <c r="F4686" s="9" t="s">
        <v>17</v>
      </c>
      <c r="G4686" s="9">
        <v>7.0</v>
      </c>
      <c r="H4686" s="9" t="s">
        <v>25</v>
      </c>
      <c r="I4686" s="9" t="s">
        <v>89</v>
      </c>
      <c r="J4686" s="10"/>
      <c r="K4686" s="14">
        <v>3.0</v>
      </c>
      <c r="N4686" s="14" t="str">
        <f>IFERROR(__xludf.DUMMYFUNCTION("""COMPUTED_VALUE"""),"")</f>
        <v/>
      </c>
      <c r="O4686" s="14"/>
    </row>
    <row r="4687" ht="22.5" hidden="1" customHeight="1">
      <c r="A4687" s="8">
        <v>46143.40863346065</v>
      </c>
      <c r="B4687" s="14">
        <v>46143.0</v>
      </c>
      <c r="C4687" s="9" t="s">
        <v>48</v>
      </c>
      <c r="D4687" s="9" t="s">
        <v>175</v>
      </c>
      <c r="E4687" s="9" t="s">
        <v>17</v>
      </c>
      <c r="F4687" s="9" t="s">
        <v>17</v>
      </c>
      <c r="G4687" s="9">
        <v>8.0</v>
      </c>
      <c r="H4687" s="9" t="s">
        <v>22</v>
      </c>
      <c r="I4687" s="9" t="s">
        <v>20</v>
      </c>
      <c r="J4687" s="10"/>
      <c r="K4687" s="14">
        <v>6.0</v>
      </c>
      <c r="N4687" s="14" t="str">
        <f>IFERROR(__xludf.DUMMYFUNCTION("""COMPUTED_VALUE"""),"")</f>
        <v/>
      </c>
      <c r="O4687" s="14"/>
    </row>
    <row r="4688" ht="22.5" hidden="1" customHeight="1">
      <c r="A4688" s="8">
        <v>46143.40886616898</v>
      </c>
      <c r="B4688" s="14">
        <v>46143.0</v>
      </c>
      <c r="C4688" s="9" t="s">
        <v>48</v>
      </c>
      <c r="D4688" s="9" t="s">
        <v>395</v>
      </c>
      <c r="E4688" s="9" t="s">
        <v>17</v>
      </c>
      <c r="F4688" s="9" t="s">
        <v>17</v>
      </c>
      <c r="G4688" s="9">
        <v>8.0</v>
      </c>
      <c r="H4688" s="9" t="s">
        <v>22</v>
      </c>
      <c r="I4688" s="9" t="s">
        <v>20</v>
      </c>
      <c r="J4688" s="10"/>
      <c r="K4688" s="14" t="s">
        <v>398</v>
      </c>
      <c r="N4688" s="14" t="str">
        <f>IFERROR(__xludf.DUMMYFUNCTION("""COMPUTED_VALUE"""),"")</f>
        <v/>
      </c>
      <c r="O4688" s="14"/>
    </row>
    <row r="4689" ht="22.5" hidden="1" customHeight="1">
      <c r="A4689" s="8">
        <v>46144.36082581019</v>
      </c>
      <c r="B4689" s="14">
        <v>46144.0</v>
      </c>
      <c r="C4689" s="9" t="s">
        <v>53</v>
      </c>
      <c r="D4689" s="9" t="s">
        <v>412</v>
      </c>
      <c r="E4689" s="9" t="s">
        <v>17</v>
      </c>
      <c r="F4689" s="9" t="s">
        <v>17</v>
      </c>
      <c r="G4689" s="9">
        <v>7.0</v>
      </c>
      <c r="H4689" s="9" t="s">
        <v>22</v>
      </c>
      <c r="I4689" s="9" t="s">
        <v>20</v>
      </c>
      <c r="J4689" s="10"/>
      <c r="K4689" s="14">
        <v>4.0</v>
      </c>
      <c r="N4689" s="14" t="str">
        <f>IFERROR(__xludf.DUMMYFUNCTION("""COMPUTED_VALUE"""),"")</f>
        <v/>
      </c>
      <c r="O4689" s="14"/>
    </row>
    <row r="4690" ht="22.5" hidden="1" customHeight="1">
      <c r="A4690" s="8">
        <v>46144.36106028935</v>
      </c>
      <c r="B4690" s="14">
        <v>46144.0</v>
      </c>
      <c r="C4690" s="9" t="s">
        <v>53</v>
      </c>
      <c r="D4690" s="9" t="s">
        <v>280</v>
      </c>
      <c r="E4690" s="9" t="s">
        <v>17</v>
      </c>
      <c r="F4690" s="9" t="s">
        <v>17</v>
      </c>
      <c r="G4690" s="9">
        <v>7.0</v>
      </c>
      <c r="H4690" s="9" t="s">
        <v>22</v>
      </c>
      <c r="I4690" s="9" t="s">
        <v>20</v>
      </c>
      <c r="J4690" s="10"/>
      <c r="K4690" s="14">
        <v>3.0</v>
      </c>
      <c r="N4690" s="14" t="str">
        <f>IFERROR(__xludf.DUMMYFUNCTION("""COMPUTED_VALUE"""),"")</f>
        <v/>
      </c>
      <c r="O4690" s="14"/>
    </row>
    <row r="4691" ht="22.5" hidden="1" customHeight="1">
      <c r="A4691" s="8">
        <v>46144.361284502316</v>
      </c>
      <c r="B4691" s="14">
        <v>46144.0</v>
      </c>
      <c r="C4691" s="9" t="s">
        <v>53</v>
      </c>
      <c r="D4691" s="9" t="s">
        <v>105</v>
      </c>
      <c r="E4691" s="9" t="s">
        <v>17</v>
      </c>
      <c r="F4691" s="9" t="s">
        <v>17</v>
      </c>
      <c r="G4691" s="9">
        <v>8.0</v>
      </c>
      <c r="H4691" s="9" t="s">
        <v>22</v>
      </c>
      <c r="I4691" s="9" t="s">
        <v>20</v>
      </c>
      <c r="J4691" s="10"/>
      <c r="K4691" s="14">
        <v>2.0</v>
      </c>
      <c r="N4691" s="14" t="str">
        <f>IFERROR(__xludf.DUMMYFUNCTION("""COMPUTED_VALUE"""),"")</f>
        <v/>
      </c>
      <c r="O4691" s="14"/>
    </row>
    <row r="4692" ht="22.5" hidden="1" customHeight="1">
      <c r="A4692" s="8">
        <v>46144.361652314816</v>
      </c>
      <c r="B4692" s="14">
        <v>46144.0</v>
      </c>
      <c r="C4692" s="9" t="s">
        <v>53</v>
      </c>
      <c r="D4692" s="9" t="s">
        <v>177</v>
      </c>
      <c r="E4692" s="9" t="s">
        <v>17</v>
      </c>
      <c r="F4692" s="9" t="s">
        <v>17</v>
      </c>
      <c r="G4692" s="9">
        <v>7.0</v>
      </c>
      <c r="H4692" s="9" t="s">
        <v>25</v>
      </c>
      <c r="I4692" s="9" t="s">
        <v>207</v>
      </c>
      <c r="J4692" s="10"/>
      <c r="K4692" s="14">
        <v>3.0</v>
      </c>
      <c r="N4692" s="14" t="str">
        <f>IFERROR(__xludf.DUMMYFUNCTION("""COMPUTED_VALUE"""),"")</f>
        <v/>
      </c>
      <c r="O4692" s="14"/>
    </row>
    <row r="4693" ht="22.5" hidden="1" customHeight="1">
      <c r="A4693" s="8">
        <v>46144.36186186342</v>
      </c>
      <c r="B4693" s="14">
        <v>46144.0</v>
      </c>
      <c r="C4693" s="9" t="s">
        <v>53</v>
      </c>
      <c r="D4693" s="9" t="s">
        <v>249</v>
      </c>
      <c r="E4693" s="9" t="s">
        <v>17</v>
      </c>
      <c r="F4693" s="9" t="s">
        <v>17</v>
      </c>
      <c r="G4693" s="9">
        <v>8.0</v>
      </c>
      <c r="H4693" s="9" t="s">
        <v>22</v>
      </c>
      <c r="I4693" s="9" t="s">
        <v>20</v>
      </c>
      <c r="J4693" s="10"/>
      <c r="K4693" s="14">
        <v>5.0</v>
      </c>
      <c r="N4693" s="14" t="str">
        <f>IFERROR(__xludf.DUMMYFUNCTION("""COMPUTED_VALUE"""),"")</f>
        <v/>
      </c>
      <c r="O4693" s="14"/>
    </row>
    <row r="4694" ht="22.5" hidden="1" customHeight="1">
      <c r="A4694" s="8">
        <v>46144.36204605324</v>
      </c>
      <c r="B4694" s="14">
        <v>46144.0</v>
      </c>
      <c r="C4694" s="9" t="s">
        <v>53</v>
      </c>
      <c r="D4694" s="9" t="s">
        <v>395</v>
      </c>
      <c r="E4694" s="9" t="s">
        <v>17</v>
      </c>
      <c r="F4694" s="9" t="s">
        <v>17</v>
      </c>
      <c r="G4694" s="9">
        <v>8.0</v>
      </c>
      <c r="H4694" s="9" t="s">
        <v>22</v>
      </c>
      <c r="I4694" s="9" t="s">
        <v>20</v>
      </c>
      <c r="J4694" s="10"/>
      <c r="K4694" s="14">
        <v>3.0</v>
      </c>
      <c r="N4694" s="14" t="str">
        <f>IFERROR(__xludf.DUMMYFUNCTION("""COMPUTED_VALUE"""),"")</f>
        <v/>
      </c>
      <c r="O4694" s="14"/>
    </row>
    <row r="4695" ht="22.5" hidden="1" customHeight="1">
      <c r="A4695" s="8">
        <v>46144.362465266204</v>
      </c>
      <c r="B4695" s="14">
        <v>46144.0</v>
      </c>
      <c r="C4695" s="9" t="s">
        <v>53</v>
      </c>
      <c r="D4695" s="9" t="s">
        <v>408</v>
      </c>
      <c r="E4695" s="9" t="s">
        <v>17</v>
      </c>
      <c r="F4695" s="9" t="s">
        <v>17</v>
      </c>
      <c r="G4695" s="9">
        <v>7.0</v>
      </c>
      <c r="H4695" s="9" t="s">
        <v>22</v>
      </c>
      <c r="I4695" s="9" t="s">
        <v>50</v>
      </c>
      <c r="J4695" s="10"/>
      <c r="K4695" s="14">
        <v>3.0</v>
      </c>
      <c r="N4695" s="14" t="str">
        <f>IFERROR(__xludf.DUMMYFUNCTION("""COMPUTED_VALUE"""),"")</f>
        <v/>
      </c>
      <c r="O4695" s="14"/>
    </row>
    <row r="4696" ht="22.5" hidden="1" customHeight="1">
      <c r="A4696" s="8">
        <v>46144.36341311343</v>
      </c>
      <c r="B4696" s="14">
        <v>46144.0</v>
      </c>
      <c r="C4696" s="9" t="s">
        <v>53</v>
      </c>
      <c r="D4696" s="9" t="s">
        <v>369</v>
      </c>
      <c r="E4696" s="9" t="s">
        <v>17</v>
      </c>
      <c r="F4696" s="9" t="s">
        <v>17</v>
      </c>
      <c r="G4696" s="9">
        <v>7.0</v>
      </c>
      <c r="H4696" s="9" t="s">
        <v>25</v>
      </c>
      <c r="I4696" s="9" t="s">
        <v>381</v>
      </c>
      <c r="J4696" s="10"/>
      <c r="K4696" s="14">
        <v>4.0</v>
      </c>
      <c r="N4696" s="14" t="str">
        <f>IFERROR(__xludf.DUMMYFUNCTION("""COMPUTED_VALUE"""),"")</f>
        <v/>
      </c>
      <c r="O4696" s="14"/>
    </row>
    <row r="4697" ht="22.5" hidden="1" customHeight="1">
      <c r="A4697" s="8">
        <v>46144.36362513889</v>
      </c>
      <c r="B4697" s="14">
        <v>46144.0</v>
      </c>
      <c r="C4697" s="9" t="s">
        <v>53</v>
      </c>
      <c r="D4697" s="9" t="s">
        <v>423</v>
      </c>
      <c r="E4697" s="9" t="s">
        <v>17</v>
      </c>
      <c r="F4697" s="9" t="s">
        <v>17</v>
      </c>
      <c r="G4697" s="9">
        <v>6.0</v>
      </c>
      <c r="H4697" s="9" t="s">
        <v>22</v>
      </c>
      <c r="I4697" s="9" t="s">
        <v>20</v>
      </c>
      <c r="J4697" s="10"/>
      <c r="K4697" s="14">
        <v>4.0</v>
      </c>
      <c r="N4697" s="14" t="str">
        <f>IFERROR(__xludf.DUMMYFUNCTION("""COMPUTED_VALUE"""),"")</f>
        <v/>
      </c>
      <c r="O4697" s="14"/>
    </row>
    <row r="4698" ht="22.5" hidden="1" customHeight="1">
      <c r="A4698" s="8">
        <v>46144.36387392361</v>
      </c>
      <c r="B4698" s="14">
        <v>46144.0</v>
      </c>
      <c r="C4698" s="9" t="s">
        <v>53</v>
      </c>
      <c r="D4698" s="9" t="s">
        <v>350</v>
      </c>
      <c r="E4698" s="9" t="s">
        <v>17</v>
      </c>
      <c r="F4698" s="9" t="s">
        <v>17</v>
      </c>
      <c r="G4698" s="9">
        <v>8.0</v>
      </c>
      <c r="H4698" s="9" t="s">
        <v>22</v>
      </c>
      <c r="I4698" s="9" t="s">
        <v>20</v>
      </c>
      <c r="J4698" s="10"/>
      <c r="K4698" s="14">
        <v>3.0</v>
      </c>
      <c r="N4698" s="14" t="str">
        <f>IFERROR(__xludf.DUMMYFUNCTION("""COMPUTED_VALUE"""),"")</f>
        <v/>
      </c>
      <c r="O4698" s="14"/>
    </row>
    <row r="4699" ht="22.5" hidden="1" customHeight="1">
      <c r="A4699" s="8">
        <v>46144.366593541665</v>
      </c>
      <c r="B4699" s="14">
        <v>46144.0</v>
      </c>
      <c r="C4699" s="9" t="s">
        <v>53</v>
      </c>
      <c r="D4699" s="9" t="s">
        <v>413</v>
      </c>
      <c r="E4699" s="9" t="s">
        <v>17</v>
      </c>
      <c r="F4699" s="9" t="s">
        <v>17</v>
      </c>
      <c r="G4699" s="9">
        <v>8.0</v>
      </c>
      <c r="H4699" s="9" t="s">
        <v>22</v>
      </c>
      <c r="I4699" s="9" t="s">
        <v>20</v>
      </c>
      <c r="J4699" s="10"/>
      <c r="K4699" s="14">
        <v>4.0</v>
      </c>
      <c r="N4699" s="14" t="str">
        <f>IFERROR(__xludf.DUMMYFUNCTION("""COMPUTED_VALUE"""),"")</f>
        <v/>
      </c>
      <c r="O4699" s="14"/>
    </row>
    <row r="4700" ht="22.5" hidden="1" customHeight="1">
      <c r="A4700" s="8">
        <v>46144.36776685185</v>
      </c>
      <c r="B4700" s="14">
        <v>46144.0</v>
      </c>
      <c r="C4700" s="9" t="s">
        <v>53</v>
      </c>
      <c r="D4700" s="9" t="s">
        <v>413</v>
      </c>
      <c r="E4700" s="9" t="s">
        <v>17</v>
      </c>
      <c r="F4700" s="9" t="s">
        <v>17</v>
      </c>
      <c r="G4700" s="9">
        <v>8.0</v>
      </c>
      <c r="H4700" s="9" t="s">
        <v>22</v>
      </c>
      <c r="I4700" s="9" t="s">
        <v>20</v>
      </c>
      <c r="J4700" s="10"/>
      <c r="K4700" s="14">
        <v>4.0</v>
      </c>
      <c r="N4700" s="14" t="str">
        <f>IFERROR(__xludf.DUMMYFUNCTION("""COMPUTED_VALUE"""),"")</f>
        <v/>
      </c>
      <c r="O4700" s="14"/>
    </row>
    <row r="4701" ht="22.5" hidden="1" customHeight="1">
      <c r="A4701" s="8">
        <v>46144.36800462963</v>
      </c>
      <c r="B4701" s="14">
        <v>46144.0</v>
      </c>
      <c r="C4701" s="9" t="s">
        <v>53</v>
      </c>
      <c r="D4701" s="9" t="s">
        <v>257</v>
      </c>
      <c r="E4701" s="9" t="s">
        <v>17</v>
      </c>
      <c r="F4701" s="9" t="s">
        <v>17</v>
      </c>
      <c r="G4701" s="9" t="s">
        <v>409</v>
      </c>
      <c r="H4701" s="9" t="s">
        <v>22</v>
      </c>
      <c r="I4701" s="9" t="s">
        <v>20</v>
      </c>
      <c r="J4701" s="10"/>
      <c r="K4701" s="14" t="s">
        <v>398</v>
      </c>
      <c r="N4701" s="14" t="str">
        <f>IFERROR(__xludf.DUMMYFUNCTION("""COMPUTED_VALUE"""),"")</f>
        <v/>
      </c>
      <c r="O4701" s="14"/>
    </row>
    <row r="4702" ht="22.5" hidden="1" customHeight="1">
      <c r="A4702" s="8">
        <v>46144.36919482639</v>
      </c>
      <c r="B4702" s="14">
        <v>46144.0</v>
      </c>
      <c r="C4702" s="9" t="s">
        <v>53</v>
      </c>
      <c r="D4702" s="9" t="s">
        <v>171</v>
      </c>
      <c r="E4702" s="9" t="s">
        <v>17</v>
      </c>
      <c r="F4702" s="9" t="s">
        <v>17</v>
      </c>
      <c r="G4702" s="9">
        <v>8.0</v>
      </c>
      <c r="H4702" s="9" t="s">
        <v>22</v>
      </c>
      <c r="I4702" s="9" t="s">
        <v>20</v>
      </c>
      <c r="J4702" s="10"/>
      <c r="K4702" s="14">
        <v>4.0</v>
      </c>
      <c r="N4702" s="14" t="str">
        <f>IFERROR(__xludf.DUMMYFUNCTION("""COMPUTED_VALUE"""),"")</f>
        <v/>
      </c>
      <c r="O4702" s="14"/>
    </row>
    <row r="4703" ht="22.5" hidden="1" customHeight="1">
      <c r="A4703" s="8">
        <v>46144.36951230324</v>
      </c>
      <c r="B4703" s="14">
        <v>46144.0</v>
      </c>
      <c r="C4703" s="9" t="s">
        <v>53</v>
      </c>
      <c r="D4703" s="9" t="s">
        <v>335</v>
      </c>
      <c r="E4703" s="9" t="s">
        <v>17</v>
      </c>
      <c r="F4703" s="9" t="s">
        <v>17</v>
      </c>
      <c r="G4703" s="9">
        <v>8.0</v>
      </c>
      <c r="H4703" s="9" t="s">
        <v>25</v>
      </c>
      <c r="I4703" s="9" t="s">
        <v>434</v>
      </c>
      <c r="J4703" s="10"/>
      <c r="K4703" s="14">
        <v>5.0</v>
      </c>
      <c r="N4703" s="14" t="str">
        <f>IFERROR(__xludf.DUMMYFUNCTION("""COMPUTED_VALUE"""),"")</f>
        <v/>
      </c>
      <c r="O4703" s="14"/>
    </row>
    <row r="4704" ht="22.5" hidden="1" customHeight="1">
      <c r="A4704" s="8">
        <v>46144.37011487268</v>
      </c>
      <c r="B4704" s="14">
        <v>46144.0</v>
      </c>
      <c r="C4704" s="9" t="s">
        <v>53</v>
      </c>
      <c r="D4704" s="9" t="s">
        <v>174</v>
      </c>
      <c r="E4704" s="9" t="s">
        <v>17</v>
      </c>
      <c r="F4704" s="9" t="s">
        <v>17</v>
      </c>
      <c r="G4704" s="9">
        <v>8.0</v>
      </c>
      <c r="H4704" s="9" t="s">
        <v>22</v>
      </c>
      <c r="I4704" s="9" t="s">
        <v>20</v>
      </c>
      <c r="J4704" s="10"/>
      <c r="K4704" s="14">
        <v>3.0</v>
      </c>
      <c r="N4704" s="14" t="str">
        <f>IFERROR(__xludf.DUMMYFUNCTION("""COMPUTED_VALUE"""),"")</f>
        <v/>
      </c>
      <c r="O4704" s="14"/>
    </row>
    <row r="4705" ht="22.5" hidden="1" customHeight="1">
      <c r="A4705" s="8">
        <v>46144.37474190972</v>
      </c>
      <c r="B4705" s="14">
        <v>46144.0</v>
      </c>
      <c r="C4705" s="9" t="s">
        <v>53</v>
      </c>
      <c r="D4705" s="9" t="s">
        <v>414</v>
      </c>
      <c r="E4705" s="9" t="s">
        <v>17</v>
      </c>
      <c r="F4705" s="9" t="s">
        <v>35</v>
      </c>
      <c r="G4705" s="9" t="s">
        <v>409</v>
      </c>
      <c r="H4705" s="9" t="s">
        <v>22</v>
      </c>
      <c r="I4705" s="9" t="s">
        <v>20</v>
      </c>
      <c r="J4705" s="10"/>
      <c r="K4705" s="14">
        <v>4.0</v>
      </c>
      <c r="N4705" s="14" t="str">
        <f>IFERROR(__xludf.DUMMYFUNCTION("""COMPUTED_VALUE"""),"")</f>
        <v/>
      </c>
      <c r="O4705" s="14"/>
    </row>
    <row r="4706" ht="22.5" hidden="1" customHeight="1">
      <c r="A4706" s="8">
        <v>46144.377173773144</v>
      </c>
      <c r="B4706" s="14">
        <v>46144.0</v>
      </c>
      <c r="C4706" s="9" t="s">
        <v>53</v>
      </c>
      <c r="D4706" s="9" t="s">
        <v>247</v>
      </c>
      <c r="E4706" s="9" t="s">
        <v>17</v>
      </c>
      <c r="F4706" s="9" t="s">
        <v>17</v>
      </c>
      <c r="G4706" s="9">
        <v>7.0</v>
      </c>
      <c r="H4706" s="9" t="s">
        <v>22</v>
      </c>
      <c r="I4706" s="9" t="s">
        <v>20</v>
      </c>
      <c r="J4706" s="10"/>
      <c r="K4706" s="14">
        <v>3.0</v>
      </c>
      <c r="N4706" s="14" t="str">
        <f>IFERROR(__xludf.DUMMYFUNCTION("""COMPUTED_VALUE"""),"")</f>
        <v/>
      </c>
      <c r="O4706" s="14"/>
    </row>
    <row r="4707" ht="22.5" hidden="1" customHeight="1">
      <c r="A4707" s="8">
        <v>46144.37749645833</v>
      </c>
      <c r="B4707" s="14">
        <v>46144.0</v>
      </c>
      <c r="C4707" s="9" t="s">
        <v>53</v>
      </c>
      <c r="D4707" s="9" t="s">
        <v>210</v>
      </c>
      <c r="E4707" s="9" t="s">
        <v>17</v>
      </c>
      <c r="F4707" s="9" t="s">
        <v>17</v>
      </c>
      <c r="G4707" s="9">
        <v>8.0</v>
      </c>
      <c r="H4707" s="9" t="s">
        <v>22</v>
      </c>
      <c r="I4707" s="9" t="s">
        <v>20</v>
      </c>
      <c r="J4707" s="10"/>
      <c r="K4707" s="14">
        <v>6.0</v>
      </c>
      <c r="N4707" s="14" t="str">
        <f>IFERROR(__xludf.DUMMYFUNCTION("""COMPUTED_VALUE"""),"")</f>
        <v/>
      </c>
      <c r="O4707" s="14"/>
    </row>
    <row r="4708" ht="22.5" hidden="1" customHeight="1">
      <c r="A4708" s="8">
        <v>46144.37770269676</v>
      </c>
      <c r="B4708" s="14">
        <v>46144.0</v>
      </c>
      <c r="C4708" s="9" t="s">
        <v>53</v>
      </c>
      <c r="D4708" s="9" t="s">
        <v>258</v>
      </c>
      <c r="E4708" s="9" t="s">
        <v>17</v>
      </c>
      <c r="F4708" s="9" t="s">
        <v>17</v>
      </c>
      <c r="G4708" s="9">
        <v>8.0</v>
      </c>
      <c r="H4708" s="9" t="s">
        <v>22</v>
      </c>
      <c r="I4708" s="9" t="s">
        <v>20</v>
      </c>
      <c r="J4708" s="10"/>
      <c r="K4708" s="14">
        <v>5.0</v>
      </c>
      <c r="N4708" s="14" t="str">
        <f>IFERROR(__xludf.DUMMYFUNCTION("""COMPUTED_VALUE"""),"")</f>
        <v/>
      </c>
      <c r="O4708" s="14"/>
    </row>
    <row r="4709" ht="22.5" hidden="1" customHeight="1">
      <c r="A4709" s="8">
        <v>46144.37788060185</v>
      </c>
      <c r="B4709" s="14">
        <v>46144.0</v>
      </c>
      <c r="C4709" s="9" t="s">
        <v>53</v>
      </c>
      <c r="D4709" s="9" t="s">
        <v>175</v>
      </c>
      <c r="E4709" s="9" t="s">
        <v>17</v>
      </c>
      <c r="F4709" s="9" t="s">
        <v>17</v>
      </c>
      <c r="G4709" s="9">
        <v>8.0</v>
      </c>
      <c r="H4709" s="9" t="s">
        <v>22</v>
      </c>
      <c r="I4709" s="9" t="s">
        <v>20</v>
      </c>
      <c r="J4709" s="10"/>
      <c r="K4709" s="14">
        <v>5.0</v>
      </c>
      <c r="N4709" s="14" t="str">
        <f>IFERROR(__xludf.DUMMYFUNCTION("""COMPUTED_VALUE"""),"")</f>
        <v/>
      </c>
      <c r="O4709" s="14"/>
    </row>
    <row r="4710" ht="22.5" hidden="1" customHeight="1">
      <c r="A4710" s="8">
        <v>46144.38659194444</v>
      </c>
      <c r="B4710" s="14">
        <v>46144.0</v>
      </c>
      <c r="C4710" s="9" t="s">
        <v>53</v>
      </c>
      <c r="D4710" s="9" t="s">
        <v>421</v>
      </c>
      <c r="E4710" s="9" t="s">
        <v>17</v>
      </c>
      <c r="F4710" s="9" t="s">
        <v>17</v>
      </c>
      <c r="G4710" s="9">
        <v>8.0</v>
      </c>
      <c r="H4710" s="9" t="s">
        <v>22</v>
      </c>
      <c r="I4710" s="9" t="s">
        <v>20</v>
      </c>
      <c r="J4710" s="10"/>
      <c r="K4710" s="14">
        <v>3.0</v>
      </c>
      <c r="N4710" s="14" t="str">
        <f>IFERROR(__xludf.DUMMYFUNCTION("""COMPUTED_VALUE"""),"")</f>
        <v/>
      </c>
      <c r="O4710" s="14"/>
    </row>
    <row r="4711" ht="22.5" hidden="1" customHeight="1">
      <c r="A4711" s="8">
        <v>46144.39222608796</v>
      </c>
      <c r="B4711" s="14">
        <v>46144.0</v>
      </c>
      <c r="C4711" s="9" t="s">
        <v>53</v>
      </c>
      <c r="D4711" s="9" t="s">
        <v>396</v>
      </c>
      <c r="E4711" s="9" t="s">
        <v>17</v>
      </c>
      <c r="F4711" s="9" t="s">
        <v>17</v>
      </c>
      <c r="G4711" s="9" t="s">
        <v>409</v>
      </c>
      <c r="H4711" s="9" t="s">
        <v>22</v>
      </c>
      <c r="I4711" s="9" t="s">
        <v>20</v>
      </c>
      <c r="J4711" s="10"/>
      <c r="K4711" s="14" t="s">
        <v>398</v>
      </c>
      <c r="N4711" s="14" t="str">
        <f>IFERROR(__xludf.DUMMYFUNCTION("""COMPUTED_VALUE"""),"")</f>
        <v/>
      </c>
      <c r="O4711" s="14"/>
    </row>
    <row r="4712" ht="22.5" hidden="1" customHeight="1">
      <c r="A4712" s="8">
        <v>46144.392590347226</v>
      </c>
      <c r="B4712" s="14">
        <v>46144.0</v>
      </c>
      <c r="C4712" s="9" t="s">
        <v>53</v>
      </c>
      <c r="D4712" s="9" t="s">
        <v>357</v>
      </c>
      <c r="E4712" s="9" t="s">
        <v>17</v>
      </c>
      <c r="F4712" s="9" t="s">
        <v>17</v>
      </c>
      <c r="G4712" s="9">
        <v>8.0</v>
      </c>
      <c r="H4712" s="9" t="s">
        <v>22</v>
      </c>
      <c r="I4712" s="9" t="s">
        <v>20</v>
      </c>
      <c r="J4712" s="10"/>
      <c r="K4712" s="14">
        <v>4.0</v>
      </c>
      <c r="N4712" s="14" t="str">
        <f>IFERROR(__xludf.DUMMYFUNCTION("""COMPUTED_VALUE"""),"")</f>
        <v/>
      </c>
      <c r="O4712" s="14"/>
    </row>
    <row r="4713" ht="22.5" hidden="1" customHeight="1">
      <c r="A4713" s="8">
        <v>46144.405609837966</v>
      </c>
      <c r="B4713" s="14">
        <v>46144.0</v>
      </c>
      <c r="C4713" s="9" t="s">
        <v>53</v>
      </c>
      <c r="D4713" s="9" t="s">
        <v>259</v>
      </c>
      <c r="E4713" s="9" t="s">
        <v>17</v>
      </c>
      <c r="F4713" s="9" t="s">
        <v>17</v>
      </c>
      <c r="G4713" s="9">
        <v>8.0</v>
      </c>
      <c r="H4713" s="9" t="s">
        <v>22</v>
      </c>
      <c r="I4713" s="9" t="s">
        <v>20</v>
      </c>
      <c r="J4713" s="10"/>
      <c r="K4713" s="14">
        <v>5.0</v>
      </c>
      <c r="N4713" s="14" t="str">
        <f>IFERROR(__xludf.DUMMYFUNCTION("""COMPUTED_VALUE"""),"")</f>
        <v/>
      </c>
      <c r="O4713" s="14"/>
    </row>
    <row r="4714" ht="22.5" hidden="1" customHeight="1">
      <c r="A4714" s="8">
        <v>46147.352659537035</v>
      </c>
      <c r="B4714" s="14">
        <v>46147.0</v>
      </c>
      <c r="C4714" s="9" t="s">
        <v>110</v>
      </c>
      <c r="D4714" s="9" t="s">
        <v>177</v>
      </c>
      <c r="E4714" s="9" t="s">
        <v>17</v>
      </c>
      <c r="F4714" s="9" t="s">
        <v>17</v>
      </c>
      <c r="G4714" s="9">
        <v>8.0</v>
      </c>
      <c r="H4714" s="9" t="s">
        <v>22</v>
      </c>
      <c r="I4714" s="9" t="s">
        <v>20</v>
      </c>
      <c r="J4714" s="10"/>
      <c r="K4714" s="14" t="s">
        <v>398</v>
      </c>
      <c r="N4714" s="14" t="str">
        <f>IFERROR(__xludf.DUMMYFUNCTION("""COMPUTED_VALUE"""),"")</f>
        <v/>
      </c>
      <c r="O4714" s="14"/>
    </row>
    <row r="4715" ht="22.5" hidden="1" customHeight="1">
      <c r="A4715" s="8">
        <v>46147.35302920139</v>
      </c>
      <c r="B4715" s="14">
        <v>46147.0</v>
      </c>
      <c r="C4715" s="9" t="s">
        <v>110</v>
      </c>
      <c r="D4715" s="9" t="s">
        <v>105</v>
      </c>
      <c r="E4715" s="9" t="s">
        <v>17</v>
      </c>
      <c r="F4715" s="9" t="s">
        <v>17</v>
      </c>
      <c r="G4715" s="9">
        <v>8.0</v>
      </c>
      <c r="H4715" s="9" t="s">
        <v>22</v>
      </c>
      <c r="I4715" s="9" t="s">
        <v>20</v>
      </c>
      <c r="J4715" s="10"/>
      <c r="K4715" s="14" t="s">
        <v>398</v>
      </c>
      <c r="N4715" s="14" t="str">
        <f>IFERROR(__xludf.DUMMYFUNCTION("""COMPUTED_VALUE"""),"")</f>
        <v/>
      </c>
      <c r="O4715" s="14"/>
    </row>
    <row r="4716" ht="22.5" hidden="1" customHeight="1">
      <c r="A4716" s="8">
        <v>46147.35327054399</v>
      </c>
      <c r="B4716" s="14">
        <v>46147.0</v>
      </c>
      <c r="C4716" s="9" t="s">
        <v>110</v>
      </c>
      <c r="D4716" s="9" t="s">
        <v>413</v>
      </c>
      <c r="E4716" s="9" t="s">
        <v>17</v>
      </c>
      <c r="F4716" s="9" t="s">
        <v>17</v>
      </c>
      <c r="G4716" s="9">
        <v>8.0</v>
      </c>
      <c r="H4716" s="9" t="s">
        <v>22</v>
      </c>
      <c r="I4716" s="9" t="s">
        <v>20</v>
      </c>
      <c r="J4716" s="10"/>
      <c r="K4716" s="14" t="s">
        <v>398</v>
      </c>
      <c r="N4716" s="14" t="str">
        <f>IFERROR(__xludf.DUMMYFUNCTION("""COMPUTED_VALUE"""),"")</f>
        <v/>
      </c>
      <c r="O4716" s="14"/>
    </row>
    <row r="4717" ht="22.5" hidden="1" customHeight="1">
      <c r="A4717" s="8">
        <v>46147.353653680555</v>
      </c>
      <c r="B4717" s="14">
        <v>46147.0</v>
      </c>
      <c r="C4717" s="9" t="s">
        <v>110</v>
      </c>
      <c r="D4717" s="9" t="s">
        <v>395</v>
      </c>
      <c r="E4717" s="9" t="s">
        <v>17</v>
      </c>
      <c r="F4717" s="9" t="s">
        <v>17</v>
      </c>
      <c r="G4717" s="9" t="s">
        <v>409</v>
      </c>
      <c r="H4717" s="9" t="s">
        <v>22</v>
      </c>
      <c r="I4717" s="9" t="s">
        <v>20</v>
      </c>
      <c r="J4717" s="10"/>
      <c r="K4717" s="14" t="s">
        <v>398</v>
      </c>
      <c r="N4717" s="14" t="str">
        <f>IFERROR(__xludf.DUMMYFUNCTION("""COMPUTED_VALUE"""),"")</f>
        <v/>
      </c>
      <c r="O4717" s="14"/>
    </row>
    <row r="4718" ht="22.5" hidden="1" customHeight="1">
      <c r="A4718" s="8">
        <v>46147.35390472222</v>
      </c>
      <c r="B4718" s="14">
        <v>46147.0</v>
      </c>
      <c r="C4718" s="9" t="s">
        <v>110</v>
      </c>
      <c r="D4718" s="9" t="s">
        <v>280</v>
      </c>
      <c r="E4718" s="9" t="s">
        <v>17</v>
      </c>
      <c r="F4718" s="9" t="s">
        <v>17</v>
      </c>
      <c r="G4718" s="9">
        <v>8.0</v>
      </c>
      <c r="H4718" s="9" t="s">
        <v>22</v>
      </c>
      <c r="I4718" s="9" t="s">
        <v>20</v>
      </c>
      <c r="J4718" s="10"/>
      <c r="K4718" s="14" t="s">
        <v>398</v>
      </c>
      <c r="N4718" s="14" t="str">
        <f>IFERROR(__xludf.DUMMYFUNCTION("""COMPUTED_VALUE"""),"")</f>
        <v/>
      </c>
      <c r="O4718" s="14"/>
    </row>
    <row r="4719" ht="22.5" hidden="1" customHeight="1">
      <c r="A4719" s="8">
        <v>46147.3542005787</v>
      </c>
      <c r="B4719" s="14">
        <v>46147.0</v>
      </c>
      <c r="C4719" s="9" t="s">
        <v>110</v>
      </c>
      <c r="D4719" s="9" t="s">
        <v>257</v>
      </c>
      <c r="E4719" s="9" t="s">
        <v>46</v>
      </c>
      <c r="F4719" s="9" t="s">
        <v>17</v>
      </c>
      <c r="G4719" s="9">
        <v>8.0</v>
      </c>
      <c r="H4719" s="9" t="s">
        <v>22</v>
      </c>
      <c r="I4719" s="9" t="s">
        <v>20</v>
      </c>
      <c r="J4719" s="10"/>
      <c r="K4719" s="14" t="s">
        <v>398</v>
      </c>
      <c r="N4719" s="14" t="str">
        <f>IFERROR(__xludf.DUMMYFUNCTION("""COMPUTED_VALUE"""),"")</f>
        <v/>
      </c>
      <c r="O4719" s="14"/>
    </row>
    <row r="4720" ht="22.5" hidden="1" customHeight="1">
      <c r="A4720" s="8">
        <v>46147.357900347226</v>
      </c>
      <c r="B4720" s="14">
        <v>46147.0</v>
      </c>
      <c r="C4720" s="9" t="s">
        <v>110</v>
      </c>
      <c r="D4720" s="9" t="s">
        <v>247</v>
      </c>
      <c r="E4720" s="9" t="s">
        <v>17</v>
      </c>
      <c r="F4720" s="9" t="s">
        <v>17</v>
      </c>
      <c r="G4720" s="9">
        <v>7.0</v>
      </c>
      <c r="H4720" s="9" t="s">
        <v>25</v>
      </c>
      <c r="I4720" s="9" t="s">
        <v>240</v>
      </c>
      <c r="J4720" s="10"/>
      <c r="K4720" s="14" t="s">
        <v>398</v>
      </c>
      <c r="N4720" s="14" t="str">
        <f>IFERROR(__xludf.DUMMYFUNCTION("""COMPUTED_VALUE"""),"")</f>
        <v/>
      </c>
      <c r="O4720" s="14"/>
    </row>
    <row r="4721" ht="22.5" hidden="1" customHeight="1">
      <c r="A4721" s="8">
        <v>46147.3581796412</v>
      </c>
      <c r="B4721" s="14">
        <v>46147.0</v>
      </c>
      <c r="C4721" s="9" t="s">
        <v>110</v>
      </c>
      <c r="D4721" s="9" t="s">
        <v>408</v>
      </c>
      <c r="E4721" s="9" t="s">
        <v>17</v>
      </c>
      <c r="F4721" s="9" t="s">
        <v>17</v>
      </c>
      <c r="G4721" s="9">
        <v>7.0</v>
      </c>
      <c r="H4721" s="9" t="s">
        <v>25</v>
      </c>
      <c r="I4721" s="9" t="s">
        <v>50</v>
      </c>
      <c r="J4721" s="10"/>
      <c r="K4721" s="14" t="s">
        <v>398</v>
      </c>
      <c r="N4721" s="14" t="str">
        <f>IFERROR(__xludf.DUMMYFUNCTION("""COMPUTED_VALUE"""),"")</f>
        <v/>
      </c>
      <c r="O4721" s="14"/>
    </row>
    <row r="4722" ht="22.5" hidden="1" customHeight="1">
      <c r="A4722" s="8">
        <v>46147.35840709491</v>
      </c>
      <c r="B4722" s="14">
        <v>46147.0</v>
      </c>
      <c r="C4722" s="9" t="s">
        <v>110</v>
      </c>
      <c r="D4722" s="9" t="s">
        <v>423</v>
      </c>
      <c r="E4722" s="9" t="s">
        <v>17</v>
      </c>
      <c r="F4722" s="9" t="s">
        <v>17</v>
      </c>
      <c r="G4722" s="9">
        <v>6.0</v>
      </c>
      <c r="H4722" s="9" t="s">
        <v>22</v>
      </c>
      <c r="I4722" s="9" t="s">
        <v>20</v>
      </c>
      <c r="J4722" s="10"/>
      <c r="K4722" s="14" t="s">
        <v>398</v>
      </c>
      <c r="N4722" s="14" t="str">
        <f>IFERROR(__xludf.DUMMYFUNCTION("""COMPUTED_VALUE"""),"")</f>
        <v/>
      </c>
      <c r="O4722" s="14"/>
    </row>
    <row r="4723" ht="22.5" hidden="1" customHeight="1">
      <c r="A4723" s="8">
        <v>46147.362201909724</v>
      </c>
      <c r="B4723" s="14">
        <v>46147.0</v>
      </c>
      <c r="C4723" s="9" t="s">
        <v>110</v>
      </c>
      <c r="D4723" s="9" t="s">
        <v>412</v>
      </c>
      <c r="E4723" s="9" t="s">
        <v>17</v>
      </c>
      <c r="F4723" s="9" t="s">
        <v>17</v>
      </c>
      <c r="G4723" s="9">
        <v>7.0</v>
      </c>
      <c r="H4723" s="9" t="s">
        <v>22</v>
      </c>
      <c r="I4723" s="9" t="s">
        <v>20</v>
      </c>
      <c r="J4723" s="10"/>
      <c r="K4723" s="14" t="s">
        <v>398</v>
      </c>
      <c r="N4723" s="14" t="str">
        <f>IFERROR(__xludf.DUMMYFUNCTION("""COMPUTED_VALUE"""),"")</f>
        <v/>
      </c>
      <c r="O4723" s="14"/>
    </row>
    <row r="4724" ht="22.5" hidden="1" customHeight="1">
      <c r="A4724" s="8">
        <v>46147.36869804398</v>
      </c>
      <c r="B4724" s="14">
        <v>46147.0</v>
      </c>
      <c r="C4724" s="9" t="s">
        <v>110</v>
      </c>
      <c r="D4724" s="9" t="s">
        <v>369</v>
      </c>
      <c r="E4724" s="9" t="s">
        <v>17</v>
      </c>
      <c r="F4724" s="9" t="s">
        <v>17</v>
      </c>
      <c r="G4724" s="9">
        <v>8.0</v>
      </c>
      <c r="H4724" s="9" t="s">
        <v>22</v>
      </c>
      <c r="I4724" s="9" t="s">
        <v>20</v>
      </c>
      <c r="J4724" s="10"/>
      <c r="K4724" s="14" t="s">
        <v>398</v>
      </c>
      <c r="N4724" s="14" t="str">
        <f>IFERROR(__xludf.DUMMYFUNCTION("""COMPUTED_VALUE"""),"")</f>
        <v/>
      </c>
      <c r="O4724" s="14"/>
    </row>
    <row r="4725" ht="22.5" hidden="1" customHeight="1">
      <c r="A4725" s="8">
        <v>46147.36891800926</v>
      </c>
      <c r="B4725" s="14">
        <v>46147.0</v>
      </c>
      <c r="C4725" s="9" t="s">
        <v>110</v>
      </c>
      <c r="D4725" s="9" t="s">
        <v>357</v>
      </c>
      <c r="E4725" s="9" t="s">
        <v>46</v>
      </c>
      <c r="F4725" s="9" t="s">
        <v>17</v>
      </c>
      <c r="G4725" s="9">
        <v>8.0</v>
      </c>
      <c r="H4725" s="9" t="s">
        <v>22</v>
      </c>
      <c r="I4725" s="9" t="s">
        <v>20</v>
      </c>
      <c r="J4725" s="10"/>
      <c r="K4725" s="14" t="s">
        <v>398</v>
      </c>
      <c r="N4725" s="14" t="str">
        <f>IFERROR(__xludf.DUMMYFUNCTION("""COMPUTED_VALUE"""),"")</f>
        <v/>
      </c>
      <c r="O4725" s="14"/>
    </row>
    <row r="4726" ht="22.5" hidden="1" customHeight="1">
      <c r="A4726" s="8">
        <v>46147.36918270834</v>
      </c>
      <c r="B4726" s="14">
        <v>46147.0</v>
      </c>
      <c r="C4726" s="9" t="s">
        <v>110</v>
      </c>
      <c r="D4726" s="9" t="s">
        <v>249</v>
      </c>
      <c r="E4726" s="9" t="s">
        <v>17</v>
      </c>
      <c r="F4726" s="9" t="s">
        <v>17</v>
      </c>
      <c r="G4726" s="9">
        <v>8.0</v>
      </c>
      <c r="H4726" s="9" t="s">
        <v>22</v>
      </c>
      <c r="I4726" s="9" t="s">
        <v>20</v>
      </c>
      <c r="J4726" s="10"/>
      <c r="K4726" s="14" t="s">
        <v>398</v>
      </c>
      <c r="N4726" s="14" t="str">
        <f>IFERROR(__xludf.DUMMYFUNCTION("""COMPUTED_VALUE"""),"")</f>
        <v/>
      </c>
      <c r="O4726" s="14"/>
    </row>
    <row r="4727" ht="22.5" hidden="1" customHeight="1">
      <c r="A4727" s="8">
        <v>46147.380517627316</v>
      </c>
      <c r="B4727" s="14">
        <v>46147.0</v>
      </c>
      <c r="C4727" s="9" t="s">
        <v>110</v>
      </c>
      <c r="D4727" s="9" t="s">
        <v>258</v>
      </c>
      <c r="E4727" s="9" t="s">
        <v>17</v>
      </c>
      <c r="F4727" s="9" t="s">
        <v>17</v>
      </c>
      <c r="G4727" s="9">
        <v>8.0</v>
      </c>
      <c r="H4727" s="9" t="s">
        <v>22</v>
      </c>
      <c r="I4727" s="9" t="s">
        <v>20</v>
      </c>
      <c r="J4727" s="10"/>
      <c r="K4727" s="14" t="s">
        <v>398</v>
      </c>
      <c r="N4727" s="14" t="str">
        <f>IFERROR(__xludf.DUMMYFUNCTION("""COMPUTED_VALUE"""),"")</f>
        <v/>
      </c>
      <c r="O4727" s="14"/>
    </row>
    <row r="4728" ht="22.5" hidden="1" customHeight="1">
      <c r="A4728" s="8">
        <v>46147.38110292824</v>
      </c>
      <c r="B4728" s="14">
        <v>46147.0</v>
      </c>
      <c r="C4728" s="9" t="s">
        <v>110</v>
      </c>
      <c r="D4728" s="9" t="s">
        <v>210</v>
      </c>
      <c r="E4728" s="9" t="s">
        <v>17</v>
      </c>
      <c r="F4728" s="9" t="s">
        <v>17</v>
      </c>
      <c r="G4728" s="9">
        <v>8.0</v>
      </c>
      <c r="H4728" s="9" t="s">
        <v>22</v>
      </c>
      <c r="I4728" s="9" t="s">
        <v>20</v>
      </c>
      <c r="J4728" s="10"/>
      <c r="K4728" s="14" t="s">
        <v>398</v>
      </c>
      <c r="N4728" s="14" t="str">
        <f>IFERROR(__xludf.DUMMYFUNCTION("""COMPUTED_VALUE"""),"")</f>
        <v/>
      </c>
      <c r="O4728" s="14"/>
    </row>
    <row r="4729" ht="22.5" hidden="1" customHeight="1">
      <c r="A4729" s="8">
        <v>46147.38153643519</v>
      </c>
      <c r="B4729" s="14">
        <v>46147.0</v>
      </c>
      <c r="C4729" s="9" t="s">
        <v>110</v>
      </c>
      <c r="D4729" s="9" t="s">
        <v>350</v>
      </c>
      <c r="E4729" s="9" t="s">
        <v>17</v>
      </c>
      <c r="F4729" s="9" t="s">
        <v>17</v>
      </c>
      <c r="G4729" s="9">
        <v>8.0</v>
      </c>
      <c r="H4729" s="9" t="s">
        <v>22</v>
      </c>
      <c r="I4729" s="9" t="s">
        <v>20</v>
      </c>
      <c r="J4729" s="10"/>
      <c r="K4729" s="14" t="s">
        <v>398</v>
      </c>
      <c r="N4729" s="14" t="str">
        <f>IFERROR(__xludf.DUMMYFUNCTION("""COMPUTED_VALUE"""),"")</f>
        <v/>
      </c>
      <c r="O4729" s="14"/>
    </row>
    <row r="4730" ht="22.5" hidden="1" customHeight="1">
      <c r="A4730" s="8">
        <v>46147.38178322917</v>
      </c>
      <c r="B4730" s="14">
        <v>46147.0</v>
      </c>
      <c r="C4730" s="9" t="s">
        <v>110</v>
      </c>
      <c r="D4730" s="9" t="s">
        <v>414</v>
      </c>
      <c r="E4730" s="9" t="s">
        <v>17</v>
      </c>
      <c r="F4730" s="9" t="s">
        <v>17</v>
      </c>
      <c r="G4730" s="9">
        <v>7.0</v>
      </c>
      <c r="H4730" s="9" t="s">
        <v>22</v>
      </c>
      <c r="I4730" s="9" t="s">
        <v>20</v>
      </c>
      <c r="J4730" s="10"/>
      <c r="K4730" s="14" t="s">
        <v>398</v>
      </c>
      <c r="N4730" s="14" t="str">
        <f>IFERROR(__xludf.DUMMYFUNCTION("""COMPUTED_VALUE"""),"")</f>
        <v/>
      </c>
      <c r="O4730" s="14"/>
    </row>
    <row r="4731" ht="22.5" hidden="1" customHeight="1">
      <c r="A4731" s="8">
        <v>46147.38200217593</v>
      </c>
      <c r="B4731" s="14">
        <v>46147.0</v>
      </c>
      <c r="C4731" s="9" t="s">
        <v>110</v>
      </c>
      <c r="D4731" s="9" t="s">
        <v>421</v>
      </c>
      <c r="E4731" s="9" t="s">
        <v>17</v>
      </c>
      <c r="F4731" s="9" t="s">
        <v>17</v>
      </c>
      <c r="G4731" s="9">
        <v>7.0</v>
      </c>
      <c r="H4731" s="9" t="s">
        <v>22</v>
      </c>
      <c r="I4731" s="9" t="s">
        <v>20</v>
      </c>
      <c r="J4731" s="10"/>
      <c r="K4731" s="14" t="s">
        <v>398</v>
      </c>
      <c r="N4731" s="14" t="str">
        <f>IFERROR(__xludf.DUMMYFUNCTION("""COMPUTED_VALUE"""),"")</f>
        <v/>
      </c>
      <c r="O4731" s="14"/>
    </row>
    <row r="4732" ht="22.5" hidden="1" customHeight="1">
      <c r="A4732" s="8">
        <v>46147.38418929398</v>
      </c>
      <c r="B4732" s="14">
        <v>46147.0</v>
      </c>
      <c r="C4732" s="9" t="s">
        <v>110</v>
      </c>
      <c r="D4732" s="9" t="s">
        <v>259</v>
      </c>
      <c r="E4732" s="9" t="s">
        <v>46</v>
      </c>
      <c r="F4732" s="9" t="s">
        <v>17</v>
      </c>
      <c r="G4732" s="9">
        <v>8.0</v>
      </c>
      <c r="H4732" s="9" t="s">
        <v>22</v>
      </c>
      <c r="I4732" s="9" t="s">
        <v>20</v>
      </c>
      <c r="J4732" s="10"/>
      <c r="K4732" s="14" t="s">
        <v>398</v>
      </c>
      <c r="N4732" s="14" t="str">
        <f>IFERROR(__xludf.DUMMYFUNCTION("""COMPUTED_VALUE"""),"")</f>
        <v/>
      </c>
      <c r="O4732" s="14"/>
    </row>
    <row r="4733" ht="22.5" hidden="1" customHeight="1">
      <c r="A4733" s="8">
        <v>46147.39100717593</v>
      </c>
      <c r="B4733" s="14">
        <v>46147.0</v>
      </c>
      <c r="C4733" s="9" t="s">
        <v>110</v>
      </c>
      <c r="D4733" s="9" t="s">
        <v>174</v>
      </c>
      <c r="E4733" s="9" t="s">
        <v>17</v>
      </c>
      <c r="F4733" s="9" t="s">
        <v>17</v>
      </c>
      <c r="G4733" s="9">
        <v>8.0</v>
      </c>
      <c r="H4733" s="9" t="s">
        <v>22</v>
      </c>
      <c r="I4733" s="9" t="s">
        <v>20</v>
      </c>
      <c r="J4733" s="10"/>
      <c r="K4733" s="14" t="s">
        <v>398</v>
      </c>
      <c r="N4733" s="14" t="str">
        <f>IFERROR(__xludf.DUMMYFUNCTION("""COMPUTED_VALUE"""),"")</f>
        <v/>
      </c>
      <c r="O4733" s="14"/>
    </row>
    <row r="4734" ht="22.5" hidden="1" customHeight="1">
      <c r="A4734" s="8">
        <v>46147.391236875</v>
      </c>
      <c r="B4734" s="14">
        <v>46147.0</v>
      </c>
      <c r="C4734" s="9" t="s">
        <v>110</v>
      </c>
      <c r="D4734" s="9" t="s">
        <v>394</v>
      </c>
      <c r="E4734" s="9" t="s">
        <v>17</v>
      </c>
      <c r="F4734" s="9" t="s">
        <v>17</v>
      </c>
      <c r="G4734" s="9">
        <v>8.0</v>
      </c>
      <c r="H4734" s="9" t="s">
        <v>22</v>
      </c>
      <c r="I4734" s="9" t="s">
        <v>20</v>
      </c>
      <c r="J4734" s="10"/>
      <c r="K4734" s="14" t="s">
        <v>398</v>
      </c>
      <c r="N4734" s="14" t="str">
        <f>IFERROR(__xludf.DUMMYFUNCTION("""COMPUTED_VALUE"""),"")</f>
        <v/>
      </c>
      <c r="O4734" s="14"/>
    </row>
    <row r="4735" ht="22.5" hidden="1" customHeight="1">
      <c r="A4735" s="8">
        <v>46147.39177099537</v>
      </c>
      <c r="B4735" s="14">
        <v>46147.0</v>
      </c>
      <c r="C4735" s="9" t="s">
        <v>110</v>
      </c>
      <c r="D4735" s="9" t="s">
        <v>396</v>
      </c>
      <c r="E4735" s="9" t="s">
        <v>17</v>
      </c>
      <c r="F4735" s="9" t="s">
        <v>17</v>
      </c>
      <c r="G4735" s="9">
        <v>7.0</v>
      </c>
      <c r="H4735" s="9" t="s">
        <v>25</v>
      </c>
      <c r="I4735" s="9" t="s">
        <v>173</v>
      </c>
      <c r="J4735" s="10"/>
      <c r="K4735" s="14" t="s">
        <v>398</v>
      </c>
      <c r="N4735" s="14" t="str">
        <f>IFERROR(__xludf.DUMMYFUNCTION("""COMPUTED_VALUE"""),"")</f>
        <v/>
      </c>
      <c r="O4735" s="14"/>
    </row>
    <row r="4736" ht="22.5" hidden="1" customHeight="1">
      <c r="A4736" s="8">
        <v>46147.39958133102</v>
      </c>
      <c r="B4736" s="14">
        <v>46147.0</v>
      </c>
      <c r="C4736" s="9" t="s">
        <v>110</v>
      </c>
      <c r="D4736" s="9" t="s">
        <v>175</v>
      </c>
      <c r="E4736" s="9" t="s">
        <v>17</v>
      </c>
      <c r="F4736" s="9" t="s">
        <v>17</v>
      </c>
      <c r="G4736" s="9">
        <v>7.0</v>
      </c>
      <c r="H4736" s="9" t="s">
        <v>22</v>
      </c>
      <c r="I4736" s="9" t="s">
        <v>20</v>
      </c>
      <c r="J4736" s="10"/>
      <c r="K4736" s="14" t="s">
        <v>398</v>
      </c>
      <c r="N4736" s="14" t="str">
        <f>IFERROR(__xludf.DUMMYFUNCTION("""COMPUTED_VALUE"""),"")</f>
        <v/>
      </c>
      <c r="O4736" s="14"/>
    </row>
    <row r="4737" ht="22.5" hidden="1" customHeight="1">
      <c r="A4737" s="8">
        <v>46147.40769274306</v>
      </c>
      <c r="B4737" s="14">
        <v>46147.0</v>
      </c>
      <c r="C4737" s="9" t="s">
        <v>110</v>
      </c>
      <c r="D4737" s="9" t="s">
        <v>335</v>
      </c>
      <c r="E4737" s="9" t="s">
        <v>17</v>
      </c>
      <c r="F4737" s="9" t="s">
        <v>17</v>
      </c>
      <c r="G4737" s="9">
        <v>7.0</v>
      </c>
      <c r="H4737" s="9" t="s">
        <v>25</v>
      </c>
      <c r="I4737" s="9" t="s">
        <v>434</v>
      </c>
      <c r="J4737" s="10"/>
      <c r="K4737" s="14" t="s">
        <v>398</v>
      </c>
      <c r="N4737" s="14" t="str">
        <f>IFERROR(__xludf.DUMMYFUNCTION("""COMPUTED_VALUE"""),"")</f>
        <v/>
      </c>
      <c r="O4737" s="14"/>
    </row>
    <row r="4738" ht="22.5" hidden="1" customHeight="1">
      <c r="A4738" s="8">
        <v>46148.37056570602</v>
      </c>
      <c r="B4738" s="14">
        <v>46148.0</v>
      </c>
      <c r="C4738" s="9" t="s">
        <v>15</v>
      </c>
      <c r="D4738" s="9" t="s">
        <v>395</v>
      </c>
      <c r="E4738" s="9" t="s">
        <v>30</v>
      </c>
      <c r="F4738" s="9" t="s">
        <v>18</v>
      </c>
      <c r="G4738" s="9">
        <v>8.0</v>
      </c>
      <c r="H4738" s="9" t="s">
        <v>22</v>
      </c>
      <c r="I4738" s="9" t="s">
        <v>20</v>
      </c>
      <c r="J4738" s="10"/>
      <c r="K4738" s="14" t="s">
        <v>398</v>
      </c>
      <c r="N4738" s="14" t="str">
        <f>IFERROR(__xludf.DUMMYFUNCTION("""COMPUTED_VALUE"""),"")</f>
        <v/>
      </c>
      <c r="O4738" s="14"/>
    </row>
    <row r="4739" ht="22.5" hidden="1" customHeight="1">
      <c r="A4739" s="8">
        <v>46148.37062825232</v>
      </c>
      <c r="B4739" s="14">
        <v>46148.0</v>
      </c>
      <c r="C4739" s="9" t="s">
        <v>15</v>
      </c>
      <c r="D4739" s="9" t="s">
        <v>177</v>
      </c>
      <c r="E4739" s="9" t="s">
        <v>17</v>
      </c>
      <c r="F4739" s="9" t="s">
        <v>17</v>
      </c>
      <c r="G4739" s="9">
        <v>7.0</v>
      </c>
      <c r="H4739" s="9" t="s">
        <v>25</v>
      </c>
      <c r="I4739" s="9" t="s">
        <v>207</v>
      </c>
      <c r="J4739" s="10"/>
      <c r="K4739" s="14" t="s">
        <v>398</v>
      </c>
      <c r="N4739" s="14" t="str">
        <f>IFERROR(__xludf.DUMMYFUNCTION("""COMPUTED_VALUE"""),"")</f>
        <v/>
      </c>
      <c r="O4739" s="14"/>
    </row>
    <row r="4740" ht="22.5" hidden="1" customHeight="1">
      <c r="A4740" s="8">
        <v>46148.371127754624</v>
      </c>
      <c r="B4740" s="14">
        <v>46148.0</v>
      </c>
      <c r="C4740" s="9" t="s">
        <v>15</v>
      </c>
      <c r="D4740" s="9" t="s">
        <v>414</v>
      </c>
      <c r="E4740" s="9" t="s">
        <v>17</v>
      </c>
      <c r="F4740" s="9" t="s">
        <v>18</v>
      </c>
      <c r="G4740" s="9">
        <v>8.0</v>
      </c>
      <c r="H4740" s="9" t="s">
        <v>22</v>
      </c>
      <c r="I4740" s="9" t="s">
        <v>20</v>
      </c>
      <c r="J4740" s="10"/>
      <c r="K4740" s="14">
        <v>4.0</v>
      </c>
      <c r="N4740" s="14" t="str">
        <f>IFERROR(__xludf.DUMMYFUNCTION("""COMPUTED_VALUE"""),"")</f>
        <v/>
      </c>
      <c r="O4740" s="14"/>
    </row>
    <row r="4741" ht="22.5" hidden="1" customHeight="1">
      <c r="A4741" s="8">
        <v>46148.371199189816</v>
      </c>
      <c r="B4741" s="14">
        <v>46148.0</v>
      </c>
      <c r="C4741" s="9" t="s">
        <v>15</v>
      </c>
      <c r="D4741" s="9" t="s">
        <v>408</v>
      </c>
      <c r="E4741" s="9" t="s">
        <v>17</v>
      </c>
      <c r="F4741" s="9" t="s">
        <v>17</v>
      </c>
      <c r="G4741" s="9">
        <v>8.0</v>
      </c>
      <c r="H4741" s="9" t="s">
        <v>25</v>
      </c>
      <c r="I4741" s="9" t="s">
        <v>50</v>
      </c>
      <c r="J4741" s="10"/>
      <c r="K4741" s="14" t="s">
        <v>398</v>
      </c>
      <c r="N4741" s="14" t="str">
        <f>IFERROR(__xludf.DUMMYFUNCTION("""COMPUTED_VALUE"""),"")</f>
        <v/>
      </c>
      <c r="O4741" s="14"/>
    </row>
    <row r="4742" ht="22.5" hidden="1" customHeight="1">
      <c r="A4742" s="8">
        <v>46148.371453761574</v>
      </c>
      <c r="B4742" s="14">
        <v>46148.0</v>
      </c>
      <c r="C4742" s="9" t="s">
        <v>15</v>
      </c>
      <c r="D4742" s="9" t="s">
        <v>394</v>
      </c>
      <c r="E4742" s="9" t="s">
        <v>17</v>
      </c>
      <c r="F4742" s="9" t="s">
        <v>17</v>
      </c>
      <c r="G4742" s="9">
        <v>7.0</v>
      </c>
      <c r="H4742" s="9" t="s">
        <v>17</v>
      </c>
      <c r="I4742" s="9" t="s">
        <v>20</v>
      </c>
      <c r="J4742" s="10"/>
      <c r="K4742" s="14" t="s">
        <v>398</v>
      </c>
      <c r="N4742" s="14" t="str">
        <f>IFERROR(__xludf.DUMMYFUNCTION("""COMPUTED_VALUE"""),"")</f>
        <v/>
      </c>
      <c r="O4742" s="14"/>
    </row>
    <row r="4743" ht="22.5" hidden="1" customHeight="1">
      <c r="A4743" s="8">
        <v>46148.37166013889</v>
      </c>
      <c r="B4743" s="14">
        <v>46148.0</v>
      </c>
      <c r="C4743" s="9" t="s">
        <v>15</v>
      </c>
      <c r="D4743" s="9" t="s">
        <v>393</v>
      </c>
      <c r="E4743" s="9" t="s">
        <v>17</v>
      </c>
      <c r="F4743" s="9" t="s">
        <v>17</v>
      </c>
      <c r="G4743" s="9">
        <v>6.0</v>
      </c>
      <c r="H4743" s="9" t="s">
        <v>25</v>
      </c>
      <c r="I4743" s="9" t="s">
        <v>266</v>
      </c>
      <c r="J4743" s="10"/>
      <c r="K4743" s="14" t="s">
        <v>398</v>
      </c>
      <c r="N4743" s="14" t="str">
        <f>IFERROR(__xludf.DUMMYFUNCTION("""COMPUTED_VALUE"""),"")</f>
        <v/>
      </c>
      <c r="O4743" s="14"/>
    </row>
    <row r="4744" ht="22.5" hidden="1" customHeight="1">
      <c r="A4744" s="8">
        <v>46148.37169266204</v>
      </c>
      <c r="B4744" s="14">
        <v>46148.0</v>
      </c>
      <c r="C4744" s="9" t="s">
        <v>15</v>
      </c>
      <c r="D4744" s="9" t="s">
        <v>357</v>
      </c>
      <c r="E4744" s="9" t="s">
        <v>30</v>
      </c>
      <c r="F4744" s="9" t="s">
        <v>18</v>
      </c>
      <c r="G4744" s="9">
        <v>8.0</v>
      </c>
      <c r="H4744" s="9" t="s">
        <v>25</v>
      </c>
      <c r="I4744" s="9" t="s">
        <v>28</v>
      </c>
      <c r="J4744" s="10"/>
      <c r="K4744" s="14" t="s">
        <v>398</v>
      </c>
      <c r="N4744" s="14" t="str">
        <f>IFERROR(__xludf.DUMMYFUNCTION("""COMPUTED_VALUE"""),"")</f>
        <v/>
      </c>
      <c r="O4744" s="14"/>
    </row>
    <row r="4745" ht="22.5" hidden="1" customHeight="1">
      <c r="A4745" s="8">
        <v>46148.37213149306</v>
      </c>
      <c r="B4745" s="14">
        <v>46148.0</v>
      </c>
      <c r="C4745" s="9" t="s">
        <v>15</v>
      </c>
      <c r="D4745" s="9" t="s">
        <v>412</v>
      </c>
      <c r="E4745" s="9" t="s">
        <v>17</v>
      </c>
      <c r="F4745" s="9" t="s">
        <v>17</v>
      </c>
      <c r="G4745" s="9">
        <v>7.0</v>
      </c>
      <c r="H4745" s="9" t="s">
        <v>22</v>
      </c>
      <c r="I4745" s="9" t="s">
        <v>20</v>
      </c>
      <c r="J4745" s="10"/>
      <c r="K4745" s="14">
        <v>4.0</v>
      </c>
      <c r="N4745" s="14" t="str">
        <f>IFERROR(__xludf.DUMMYFUNCTION("""COMPUTED_VALUE"""),"")</f>
        <v/>
      </c>
      <c r="O4745" s="14"/>
    </row>
    <row r="4746" ht="22.5" hidden="1" customHeight="1">
      <c r="A4746" s="8">
        <v>46148.372282013894</v>
      </c>
      <c r="B4746" s="14">
        <v>46148.0</v>
      </c>
      <c r="C4746" s="9" t="s">
        <v>15</v>
      </c>
      <c r="D4746" s="9" t="s">
        <v>369</v>
      </c>
      <c r="E4746" s="9" t="s">
        <v>30</v>
      </c>
      <c r="F4746" s="9" t="s">
        <v>18</v>
      </c>
      <c r="G4746" s="9">
        <v>7.0</v>
      </c>
      <c r="H4746" s="9" t="s">
        <v>22</v>
      </c>
      <c r="I4746" s="9" t="s">
        <v>20</v>
      </c>
      <c r="J4746" s="10"/>
      <c r="K4746" s="14" t="s">
        <v>398</v>
      </c>
      <c r="N4746" s="14" t="str">
        <f>IFERROR(__xludf.DUMMYFUNCTION("""COMPUTED_VALUE"""),"")</f>
        <v/>
      </c>
      <c r="O4746" s="14"/>
    </row>
    <row r="4747" ht="22.5" hidden="1" customHeight="1">
      <c r="A4747" s="8">
        <v>46148.372362662034</v>
      </c>
      <c r="B4747" s="14">
        <v>46148.0</v>
      </c>
      <c r="C4747" s="9" t="s">
        <v>15</v>
      </c>
      <c r="D4747" s="9" t="s">
        <v>258</v>
      </c>
      <c r="E4747" s="9" t="s">
        <v>17</v>
      </c>
      <c r="F4747" s="9" t="s">
        <v>17</v>
      </c>
      <c r="G4747" s="9">
        <v>7.0</v>
      </c>
      <c r="H4747" s="9" t="s">
        <v>22</v>
      </c>
      <c r="I4747" s="9" t="s">
        <v>20</v>
      </c>
      <c r="J4747" s="10"/>
      <c r="K4747" s="14">
        <v>5.0</v>
      </c>
      <c r="N4747" s="14" t="str">
        <f>IFERROR(__xludf.DUMMYFUNCTION("""COMPUTED_VALUE"""),"")</f>
        <v/>
      </c>
      <c r="O4747" s="14"/>
    </row>
    <row r="4748" ht="22.5" hidden="1" customHeight="1">
      <c r="A4748" s="8">
        <v>46148.37276208334</v>
      </c>
      <c r="B4748" s="14">
        <v>46148.0</v>
      </c>
      <c r="C4748" s="9" t="s">
        <v>15</v>
      </c>
      <c r="D4748" s="9" t="s">
        <v>249</v>
      </c>
      <c r="E4748" s="9" t="s">
        <v>17</v>
      </c>
      <c r="F4748" s="9" t="s">
        <v>18</v>
      </c>
      <c r="G4748" s="9">
        <v>8.0</v>
      </c>
      <c r="H4748" s="9" t="s">
        <v>22</v>
      </c>
      <c r="I4748" s="9" t="s">
        <v>20</v>
      </c>
      <c r="J4748" s="10"/>
      <c r="K4748" s="14">
        <v>6.0</v>
      </c>
      <c r="N4748" s="14" t="str">
        <f>IFERROR(__xludf.DUMMYFUNCTION("""COMPUTED_VALUE"""),"")</f>
        <v/>
      </c>
      <c r="O4748" s="14"/>
    </row>
    <row r="4749" ht="22.5" hidden="1" customHeight="1">
      <c r="A4749" s="8">
        <v>46148.372955405095</v>
      </c>
      <c r="B4749" s="14">
        <v>46148.0</v>
      </c>
      <c r="C4749" s="9" t="s">
        <v>15</v>
      </c>
      <c r="D4749" s="9" t="s">
        <v>259</v>
      </c>
      <c r="E4749" s="9" t="s">
        <v>17</v>
      </c>
      <c r="F4749" s="9" t="s">
        <v>17</v>
      </c>
      <c r="G4749" s="9">
        <v>8.0</v>
      </c>
      <c r="H4749" s="9" t="s">
        <v>17</v>
      </c>
      <c r="I4749" s="9" t="s">
        <v>79</v>
      </c>
      <c r="J4749" s="10"/>
      <c r="K4749" s="14">
        <v>5.0</v>
      </c>
      <c r="N4749" s="14" t="str">
        <f>IFERROR(__xludf.DUMMYFUNCTION("""COMPUTED_VALUE"""),"")</f>
        <v/>
      </c>
      <c r="O4749" s="14"/>
    </row>
    <row r="4750" ht="22.5" hidden="1" customHeight="1">
      <c r="A4750" s="8">
        <v>46148.37321751157</v>
      </c>
      <c r="B4750" s="14">
        <v>46148.0</v>
      </c>
      <c r="C4750" s="9" t="s">
        <v>15</v>
      </c>
      <c r="D4750" s="9" t="s">
        <v>423</v>
      </c>
      <c r="E4750" s="9" t="s">
        <v>17</v>
      </c>
      <c r="F4750" s="9" t="s">
        <v>18</v>
      </c>
      <c r="G4750" s="9">
        <v>7.0</v>
      </c>
      <c r="H4750" s="9" t="s">
        <v>22</v>
      </c>
      <c r="I4750" s="9" t="s">
        <v>20</v>
      </c>
      <c r="J4750" s="10"/>
      <c r="K4750" s="14">
        <v>6.0</v>
      </c>
      <c r="N4750" s="14" t="str">
        <f>IFERROR(__xludf.DUMMYFUNCTION("""COMPUTED_VALUE"""),"")</f>
        <v/>
      </c>
      <c r="O4750" s="14"/>
    </row>
    <row r="4751" ht="22.5" hidden="1" customHeight="1">
      <c r="A4751" s="8">
        <v>46148.37346070602</v>
      </c>
      <c r="B4751" s="14">
        <v>46148.0</v>
      </c>
      <c r="C4751" s="9" t="s">
        <v>15</v>
      </c>
      <c r="D4751" s="9" t="s">
        <v>105</v>
      </c>
      <c r="E4751" s="9" t="s">
        <v>17</v>
      </c>
      <c r="F4751" s="9" t="s">
        <v>17</v>
      </c>
      <c r="G4751" s="9">
        <v>8.0</v>
      </c>
      <c r="H4751" s="9" t="s">
        <v>22</v>
      </c>
      <c r="I4751" s="9" t="s">
        <v>20</v>
      </c>
      <c r="J4751" s="10"/>
      <c r="K4751" s="14">
        <v>2.0</v>
      </c>
      <c r="N4751" s="14" t="str">
        <f>IFERROR(__xludf.DUMMYFUNCTION("""COMPUTED_VALUE"""),"")</f>
        <v/>
      </c>
      <c r="O4751" s="14"/>
    </row>
    <row r="4752" ht="22.5" hidden="1" customHeight="1">
      <c r="A4752" s="8">
        <v>46148.37459508102</v>
      </c>
      <c r="B4752" s="14">
        <v>46148.0</v>
      </c>
      <c r="C4752" s="9" t="s">
        <v>15</v>
      </c>
      <c r="D4752" s="9" t="s">
        <v>335</v>
      </c>
      <c r="E4752" s="9" t="s">
        <v>17</v>
      </c>
      <c r="F4752" s="9" t="s">
        <v>18</v>
      </c>
      <c r="G4752" s="9">
        <v>8.0</v>
      </c>
      <c r="H4752" s="9" t="s">
        <v>25</v>
      </c>
      <c r="I4752" s="9" t="s">
        <v>434</v>
      </c>
      <c r="J4752" s="10"/>
      <c r="K4752" s="14" t="s">
        <v>398</v>
      </c>
      <c r="N4752" s="14" t="str">
        <f>IFERROR(__xludf.DUMMYFUNCTION("""COMPUTED_VALUE"""),"")</f>
        <v/>
      </c>
      <c r="O4752" s="14"/>
    </row>
    <row r="4753" ht="22.5" hidden="1" customHeight="1">
      <c r="A4753" s="8">
        <v>46148.374818564815</v>
      </c>
      <c r="B4753" s="14">
        <v>46148.0</v>
      </c>
      <c r="C4753" s="9" t="s">
        <v>15</v>
      </c>
      <c r="D4753" s="9" t="s">
        <v>421</v>
      </c>
      <c r="E4753" s="9" t="s">
        <v>17</v>
      </c>
      <c r="F4753" s="9" t="s">
        <v>17</v>
      </c>
      <c r="G4753" s="9">
        <v>8.0</v>
      </c>
      <c r="H4753" s="9" t="s">
        <v>17</v>
      </c>
      <c r="I4753" s="9" t="s">
        <v>20</v>
      </c>
      <c r="J4753" s="10"/>
      <c r="K4753" s="14">
        <v>5.0</v>
      </c>
      <c r="N4753" s="14" t="str">
        <f>IFERROR(__xludf.DUMMYFUNCTION("""COMPUTED_VALUE"""),"")</f>
        <v/>
      </c>
      <c r="O4753" s="14"/>
    </row>
    <row r="4754" ht="22.5" hidden="1" customHeight="1">
      <c r="A4754" s="8">
        <v>46148.3758672338</v>
      </c>
      <c r="B4754" s="14">
        <v>46148.0</v>
      </c>
      <c r="C4754" s="9" t="s">
        <v>15</v>
      </c>
      <c r="D4754" s="9" t="s">
        <v>175</v>
      </c>
      <c r="E4754" s="9" t="s">
        <v>30</v>
      </c>
      <c r="F4754" s="9" t="s">
        <v>18</v>
      </c>
      <c r="G4754" s="9">
        <v>8.0</v>
      </c>
      <c r="H4754" s="9" t="s">
        <v>22</v>
      </c>
      <c r="I4754" s="9" t="s">
        <v>20</v>
      </c>
      <c r="J4754" s="10"/>
      <c r="K4754" s="14">
        <v>6.0</v>
      </c>
      <c r="N4754" s="14" t="str">
        <f>IFERROR(__xludf.DUMMYFUNCTION("""COMPUTED_VALUE"""),"")</f>
        <v/>
      </c>
      <c r="O4754" s="14"/>
    </row>
    <row r="4755" ht="22.5" hidden="1" customHeight="1">
      <c r="A4755" s="8">
        <v>46148.37621806713</v>
      </c>
      <c r="B4755" s="14">
        <v>46148.0</v>
      </c>
      <c r="C4755" s="9" t="s">
        <v>15</v>
      </c>
      <c r="D4755" s="9" t="s">
        <v>210</v>
      </c>
      <c r="E4755" s="9" t="s">
        <v>30</v>
      </c>
      <c r="F4755" s="9" t="s">
        <v>18</v>
      </c>
      <c r="G4755" s="9">
        <v>8.0</v>
      </c>
      <c r="H4755" s="9" t="s">
        <v>22</v>
      </c>
      <c r="I4755" s="9" t="s">
        <v>20</v>
      </c>
      <c r="J4755" s="10"/>
      <c r="K4755" s="14" t="s">
        <v>398</v>
      </c>
      <c r="N4755" s="14" t="str">
        <f>IFERROR(__xludf.DUMMYFUNCTION("""COMPUTED_VALUE"""),"")</f>
        <v/>
      </c>
      <c r="O4755" s="14"/>
    </row>
    <row r="4756" ht="22.5" hidden="1" customHeight="1">
      <c r="A4756" s="8">
        <v>46148.37691327547</v>
      </c>
      <c r="B4756" s="14">
        <v>46148.0</v>
      </c>
      <c r="C4756" s="9" t="s">
        <v>15</v>
      </c>
      <c r="D4756" s="9" t="s">
        <v>350</v>
      </c>
      <c r="E4756" s="9" t="s">
        <v>17</v>
      </c>
      <c r="F4756" s="9" t="s">
        <v>18</v>
      </c>
      <c r="G4756" s="9">
        <v>6.0</v>
      </c>
      <c r="H4756" s="9" t="s">
        <v>22</v>
      </c>
      <c r="I4756" s="9" t="s">
        <v>79</v>
      </c>
      <c r="J4756" s="10"/>
      <c r="K4756" s="14">
        <v>5.0</v>
      </c>
      <c r="N4756" s="14" t="str">
        <f>IFERROR(__xludf.DUMMYFUNCTION("""COMPUTED_VALUE"""),"")</f>
        <v/>
      </c>
      <c r="O4756" s="14"/>
    </row>
    <row r="4757" ht="22.5" hidden="1" customHeight="1">
      <c r="A4757" s="8">
        <v>46148.3779208912</v>
      </c>
      <c r="B4757" s="14">
        <v>46148.0</v>
      </c>
      <c r="C4757" s="9" t="s">
        <v>15</v>
      </c>
      <c r="D4757" s="9" t="s">
        <v>174</v>
      </c>
      <c r="E4757" s="9" t="s">
        <v>17</v>
      </c>
      <c r="F4757" s="9" t="s">
        <v>17</v>
      </c>
      <c r="G4757" s="9">
        <v>7.0</v>
      </c>
      <c r="H4757" s="9" t="s">
        <v>17</v>
      </c>
      <c r="I4757" s="9" t="s">
        <v>20</v>
      </c>
      <c r="J4757" s="10"/>
      <c r="K4757" s="14" t="s">
        <v>398</v>
      </c>
      <c r="N4757" s="14" t="str">
        <f>IFERROR(__xludf.DUMMYFUNCTION("""COMPUTED_VALUE"""),"")</f>
        <v/>
      </c>
      <c r="O4757" s="14"/>
    </row>
    <row r="4758" ht="22.5" hidden="1" customHeight="1">
      <c r="A4758" s="8">
        <v>46148.38395621528</v>
      </c>
      <c r="B4758" s="14">
        <v>46148.0</v>
      </c>
      <c r="C4758" s="9" t="s">
        <v>15</v>
      </c>
      <c r="D4758" s="9" t="s">
        <v>413</v>
      </c>
      <c r="E4758" s="9" t="s">
        <v>17</v>
      </c>
      <c r="F4758" s="9" t="s">
        <v>17</v>
      </c>
      <c r="G4758" s="9">
        <v>7.0</v>
      </c>
      <c r="H4758" s="9" t="s">
        <v>22</v>
      </c>
      <c r="I4758" s="9" t="s">
        <v>20</v>
      </c>
      <c r="J4758" s="10"/>
      <c r="K4758" s="14">
        <v>4.0</v>
      </c>
      <c r="N4758" s="14" t="str">
        <f>IFERROR(__xludf.DUMMYFUNCTION("""COMPUTED_VALUE"""),"")</f>
        <v/>
      </c>
      <c r="O4758" s="14"/>
    </row>
    <row r="4759" ht="22.5" hidden="1" customHeight="1">
      <c r="A4759" s="8">
        <v>46148.38465574074</v>
      </c>
      <c r="B4759" s="14">
        <v>46148.0</v>
      </c>
      <c r="C4759" s="9" t="s">
        <v>15</v>
      </c>
      <c r="D4759" s="9" t="s">
        <v>280</v>
      </c>
      <c r="E4759" s="9" t="s">
        <v>17</v>
      </c>
      <c r="F4759" s="9" t="s">
        <v>17</v>
      </c>
      <c r="G4759" s="9">
        <v>8.0</v>
      </c>
      <c r="H4759" s="9" t="s">
        <v>22</v>
      </c>
      <c r="I4759" s="9" t="s">
        <v>20</v>
      </c>
      <c r="J4759" s="10"/>
      <c r="K4759" s="14">
        <v>7.0</v>
      </c>
      <c r="N4759" s="14" t="str">
        <f>IFERROR(__xludf.DUMMYFUNCTION("""COMPUTED_VALUE"""),"")</f>
        <v/>
      </c>
      <c r="O4759" s="14"/>
    </row>
    <row r="4760" ht="22.5" hidden="1" customHeight="1">
      <c r="A4760" s="8">
        <v>46149.35157068287</v>
      </c>
      <c r="B4760" s="14">
        <v>46149.0</v>
      </c>
      <c r="C4760" s="9" t="s">
        <v>31</v>
      </c>
      <c r="D4760" s="9" t="s">
        <v>249</v>
      </c>
      <c r="E4760" s="9" t="s">
        <v>17</v>
      </c>
      <c r="F4760" s="9" t="s">
        <v>17</v>
      </c>
      <c r="G4760" s="9">
        <v>8.0</v>
      </c>
      <c r="H4760" s="9" t="s">
        <v>22</v>
      </c>
      <c r="I4760" s="9" t="s">
        <v>20</v>
      </c>
      <c r="J4760" s="10"/>
      <c r="K4760" s="14">
        <v>7.0</v>
      </c>
      <c r="N4760" s="14" t="str">
        <f>IFERROR(__xludf.DUMMYFUNCTION("""COMPUTED_VALUE"""),"")</f>
        <v/>
      </c>
      <c r="O4760" s="14"/>
    </row>
    <row r="4761" ht="22.5" hidden="1" customHeight="1">
      <c r="A4761" s="8">
        <v>46149.35184322917</v>
      </c>
      <c r="B4761" s="14">
        <v>46149.0</v>
      </c>
      <c r="C4761" s="9" t="s">
        <v>31</v>
      </c>
      <c r="D4761" s="9" t="s">
        <v>177</v>
      </c>
      <c r="E4761" s="9" t="s">
        <v>17</v>
      </c>
      <c r="F4761" s="9" t="s">
        <v>17</v>
      </c>
      <c r="G4761" s="9">
        <v>8.0</v>
      </c>
      <c r="H4761" s="9" t="s">
        <v>22</v>
      </c>
      <c r="I4761" s="9" t="s">
        <v>20</v>
      </c>
      <c r="J4761" s="10"/>
      <c r="K4761" s="14">
        <v>4.0</v>
      </c>
      <c r="N4761" s="14" t="str">
        <f>IFERROR(__xludf.DUMMYFUNCTION("""COMPUTED_VALUE"""),"")</f>
        <v/>
      </c>
      <c r="O4761" s="14"/>
    </row>
    <row r="4762" ht="22.5" hidden="1" customHeight="1">
      <c r="A4762" s="8">
        <v>46149.35230513889</v>
      </c>
      <c r="B4762" s="14">
        <v>46149.0</v>
      </c>
      <c r="C4762" s="9" t="s">
        <v>31</v>
      </c>
      <c r="D4762" s="9" t="s">
        <v>280</v>
      </c>
      <c r="E4762" s="9" t="s">
        <v>17</v>
      </c>
      <c r="F4762" s="9" t="s">
        <v>17</v>
      </c>
      <c r="G4762" s="9">
        <v>8.0</v>
      </c>
      <c r="H4762" s="9" t="s">
        <v>22</v>
      </c>
      <c r="I4762" s="9" t="s">
        <v>20</v>
      </c>
      <c r="J4762" s="10"/>
      <c r="K4762" s="14">
        <v>5.0</v>
      </c>
      <c r="N4762" s="14" t="str">
        <f>IFERROR(__xludf.DUMMYFUNCTION("""COMPUTED_VALUE"""),"")</f>
        <v/>
      </c>
      <c r="O4762" s="14"/>
    </row>
    <row r="4763" ht="22.5" hidden="1" customHeight="1">
      <c r="A4763" s="8">
        <v>46149.35253469908</v>
      </c>
      <c r="B4763" s="14">
        <v>46149.0</v>
      </c>
      <c r="C4763" s="9" t="s">
        <v>31</v>
      </c>
      <c r="D4763" s="9" t="s">
        <v>105</v>
      </c>
      <c r="E4763" s="9" t="s">
        <v>17</v>
      </c>
      <c r="F4763" s="9" t="s">
        <v>17</v>
      </c>
      <c r="G4763" s="9">
        <v>8.0</v>
      </c>
      <c r="H4763" s="9" t="s">
        <v>22</v>
      </c>
      <c r="I4763" s="9" t="s">
        <v>20</v>
      </c>
      <c r="J4763" s="10"/>
      <c r="K4763" s="14">
        <v>2.0</v>
      </c>
      <c r="N4763" s="14" t="str">
        <f>IFERROR(__xludf.DUMMYFUNCTION("""COMPUTED_VALUE"""),"")</f>
        <v/>
      </c>
      <c r="O4763" s="14"/>
    </row>
    <row r="4764" ht="22.5" hidden="1" customHeight="1">
      <c r="A4764" s="8">
        <v>46149.35290697917</v>
      </c>
      <c r="B4764" s="14">
        <v>46149.0</v>
      </c>
      <c r="C4764" s="9" t="s">
        <v>31</v>
      </c>
      <c r="D4764" s="9" t="s">
        <v>258</v>
      </c>
      <c r="E4764" s="9" t="s">
        <v>17</v>
      </c>
      <c r="F4764" s="9" t="s">
        <v>17</v>
      </c>
      <c r="G4764" s="9">
        <v>8.0</v>
      </c>
      <c r="H4764" s="9" t="s">
        <v>22</v>
      </c>
      <c r="I4764" s="9" t="s">
        <v>20</v>
      </c>
      <c r="J4764" s="10"/>
      <c r="K4764" s="14">
        <v>5.0</v>
      </c>
      <c r="N4764" s="14" t="str">
        <f>IFERROR(__xludf.DUMMYFUNCTION("""COMPUTED_VALUE"""),"")</f>
        <v/>
      </c>
      <c r="O4764" s="14"/>
    </row>
    <row r="4765" ht="22.5" hidden="1" customHeight="1">
      <c r="A4765" s="8">
        <v>46149.3531278588</v>
      </c>
      <c r="B4765" s="14">
        <v>46149.0</v>
      </c>
      <c r="C4765" s="9" t="s">
        <v>31</v>
      </c>
      <c r="D4765" s="9" t="s">
        <v>257</v>
      </c>
      <c r="E4765" s="9" t="s">
        <v>17</v>
      </c>
      <c r="F4765" s="9" t="s">
        <v>17</v>
      </c>
      <c r="G4765" s="9">
        <v>8.0</v>
      </c>
      <c r="H4765" s="9" t="s">
        <v>22</v>
      </c>
      <c r="I4765" s="9" t="s">
        <v>20</v>
      </c>
      <c r="J4765" s="10"/>
      <c r="K4765" s="14" t="s">
        <v>398</v>
      </c>
      <c r="N4765" s="14" t="str">
        <f>IFERROR(__xludf.DUMMYFUNCTION("""COMPUTED_VALUE"""),"")</f>
        <v/>
      </c>
      <c r="O4765" s="14"/>
    </row>
    <row r="4766" ht="22.5" hidden="1" customHeight="1">
      <c r="A4766" s="8">
        <v>46149.35652234954</v>
      </c>
      <c r="B4766" s="14">
        <v>46149.0</v>
      </c>
      <c r="C4766" s="9" t="s">
        <v>31</v>
      </c>
      <c r="D4766" s="9" t="s">
        <v>174</v>
      </c>
      <c r="E4766" s="9" t="s">
        <v>17</v>
      </c>
      <c r="F4766" s="9" t="s">
        <v>17</v>
      </c>
      <c r="G4766" s="9">
        <v>8.0</v>
      </c>
      <c r="H4766" s="9" t="s">
        <v>22</v>
      </c>
      <c r="I4766" s="9" t="s">
        <v>20</v>
      </c>
      <c r="J4766" s="10"/>
      <c r="K4766" s="14">
        <v>4.0</v>
      </c>
      <c r="N4766" s="14" t="str">
        <f>IFERROR(__xludf.DUMMYFUNCTION("""COMPUTED_VALUE"""),"")</f>
        <v/>
      </c>
      <c r="O4766" s="14"/>
    </row>
    <row r="4767" ht="22.5" hidden="1" customHeight="1">
      <c r="A4767" s="8">
        <v>46149.3687437037</v>
      </c>
      <c r="B4767" s="14">
        <v>46149.0</v>
      </c>
      <c r="C4767" s="9" t="s">
        <v>31</v>
      </c>
      <c r="D4767" s="9" t="s">
        <v>412</v>
      </c>
      <c r="E4767" s="9" t="s">
        <v>17</v>
      </c>
      <c r="F4767" s="9" t="s">
        <v>17</v>
      </c>
      <c r="G4767" s="9">
        <v>8.0</v>
      </c>
      <c r="H4767" s="9" t="s">
        <v>22</v>
      </c>
      <c r="I4767" s="9" t="s">
        <v>20</v>
      </c>
      <c r="J4767" s="10"/>
      <c r="K4767" s="14">
        <v>3.0</v>
      </c>
      <c r="N4767" s="14" t="str">
        <f>IFERROR(__xludf.DUMMYFUNCTION("""COMPUTED_VALUE"""),"")</f>
        <v/>
      </c>
      <c r="O4767" s="14"/>
    </row>
    <row r="4768" ht="22.5" hidden="1" customHeight="1">
      <c r="A4768" s="8">
        <v>46149.36899407407</v>
      </c>
      <c r="B4768" s="14">
        <v>46149.0</v>
      </c>
      <c r="C4768" s="9" t="s">
        <v>31</v>
      </c>
      <c r="D4768" s="9" t="s">
        <v>369</v>
      </c>
      <c r="E4768" s="9" t="s">
        <v>17</v>
      </c>
      <c r="F4768" s="9" t="s">
        <v>17</v>
      </c>
      <c r="G4768" s="9">
        <v>7.0</v>
      </c>
      <c r="H4768" s="9" t="s">
        <v>25</v>
      </c>
      <c r="I4768" s="9" t="s">
        <v>381</v>
      </c>
      <c r="J4768" s="10"/>
      <c r="K4768" s="14">
        <v>5.0</v>
      </c>
      <c r="N4768" s="14" t="str">
        <f>IFERROR(__xludf.DUMMYFUNCTION("""COMPUTED_VALUE"""),"")</f>
        <v/>
      </c>
      <c r="O4768" s="14"/>
    </row>
    <row r="4769" ht="22.5" hidden="1" customHeight="1">
      <c r="A4769" s="8">
        <v>46149.369309131944</v>
      </c>
      <c r="B4769" s="14">
        <v>46149.0</v>
      </c>
      <c r="C4769" s="9" t="s">
        <v>31</v>
      </c>
      <c r="D4769" s="9" t="s">
        <v>393</v>
      </c>
      <c r="E4769" s="9" t="s">
        <v>17</v>
      </c>
      <c r="F4769" s="9" t="s">
        <v>17</v>
      </c>
      <c r="G4769" s="9">
        <v>7.0</v>
      </c>
      <c r="H4769" s="9" t="s">
        <v>25</v>
      </c>
      <c r="I4769" s="9" t="s">
        <v>28</v>
      </c>
      <c r="J4769" s="10"/>
      <c r="K4769" s="14" t="s">
        <v>398</v>
      </c>
      <c r="N4769" s="14" t="str">
        <f>IFERROR(__xludf.DUMMYFUNCTION("""COMPUTED_VALUE"""),"")</f>
        <v/>
      </c>
      <c r="O4769" s="14"/>
    </row>
    <row r="4770" ht="22.5" hidden="1" customHeight="1">
      <c r="A4770" s="8">
        <v>46149.36955113426</v>
      </c>
      <c r="B4770" s="14">
        <v>46149.0</v>
      </c>
      <c r="C4770" s="9" t="s">
        <v>31</v>
      </c>
      <c r="D4770" s="9" t="s">
        <v>413</v>
      </c>
      <c r="E4770" s="9" t="s">
        <v>17</v>
      </c>
      <c r="F4770" s="9" t="s">
        <v>17</v>
      </c>
      <c r="G4770" s="9">
        <v>8.0</v>
      </c>
      <c r="H4770" s="9" t="s">
        <v>22</v>
      </c>
      <c r="I4770" s="9" t="s">
        <v>20</v>
      </c>
      <c r="J4770" s="10"/>
      <c r="K4770" s="14">
        <v>4.0</v>
      </c>
      <c r="N4770" s="14" t="str">
        <f>IFERROR(__xludf.DUMMYFUNCTION("""COMPUTED_VALUE"""),"")</f>
        <v/>
      </c>
      <c r="O4770" s="14"/>
    </row>
    <row r="4771" ht="22.5" hidden="1" customHeight="1">
      <c r="A4771" s="8">
        <v>46149.36989195602</v>
      </c>
      <c r="B4771" s="14">
        <v>46149.0</v>
      </c>
      <c r="C4771" s="9" t="s">
        <v>31</v>
      </c>
      <c r="D4771" s="9" t="s">
        <v>414</v>
      </c>
      <c r="E4771" s="9" t="s">
        <v>17</v>
      </c>
      <c r="F4771" s="9" t="s">
        <v>60</v>
      </c>
      <c r="G4771" s="9">
        <v>6.0</v>
      </c>
      <c r="H4771" s="9" t="s">
        <v>25</v>
      </c>
      <c r="I4771" s="9" t="s">
        <v>79</v>
      </c>
      <c r="J4771" s="10"/>
      <c r="K4771" s="14">
        <v>4.0</v>
      </c>
      <c r="N4771" s="14" t="str">
        <f>IFERROR(__xludf.DUMMYFUNCTION("""COMPUTED_VALUE"""),"")</f>
        <v/>
      </c>
      <c r="O4771" s="14"/>
    </row>
    <row r="4772" ht="22.5" hidden="1" customHeight="1">
      <c r="A4772" s="8">
        <v>46149.37013780093</v>
      </c>
      <c r="B4772" s="14">
        <v>46149.0</v>
      </c>
      <c r="C4772" s="9" t="s">
        <v>31</v>
      </c>
      <c r="D4772" s="9" t="s">
        <v>423</v>
      </c>
      <c r="E4772" s="9" t="s">
        <v>17</v>
      </c>
      <c r="F4772" s="9" t="s">
        <v>17</v>
      </c>
      <c r="G4772" s="9">
        <v>6.0</v>
      </c>
      <c r="H4772" s="9" t="s">
        <v>22</v>
      </c>
      <c r="I4772" s="9" t="s">
        <v>20</v>
      </c>
      <c r="J4772" s="10"/>
      <c r="K4772" s="14">
        <v>5.0</v>
      </c>
      <c r="N4772" s="14" t="str">
        <f>IFERROR(__xludf.DUMMYFUNCTION("""COMPUTED_VALUE"""),"")</f>
        <v/>
      </c>
      <c r="O4772" s="14"/>
    </row>
    <row r="4773" ht="22.5" hidden="1" customHeight="1">
      <c r="A4773" s="8">
        <v>46149.37039711805</v>
      </c>
      <c r="B4773" s="14">
        <v>46149.0</v>
      </c>
      <c r="C4773" s="9" t="s">
        <v>31</v>
      </c>
      <c r="D4773" s="9" t="s">
        <v>350</v>
      </c>
      <c r="E4773" s="9" t="s">
        <v>17</v>
      </c>
      <c r="F4773" s="9" t="s">
        <v>17</v>
      </c>
      <c r="G4773" s="9">
        <v>8.0</v>
      </c>
      <c r="H4773" s="9" t="s">
        <v>25</v>
      </c>
      <c r="I4773" s="9" t="s">
        <v>79</v>
      </c>
      <c r="J4773" s="10"/>
      <c r="K4773" s="14">
        <v>4.0</v>
      </c>
      <c r="N4773" s="14" t="str">
        <f>IFERROR(__xludf.DUMMYFUNCTION("""COMPUTED_VALUE"""),"")</f>
        <v/>
      </c>
      <c r="O4773" s="14"/>
    </row>
    <row r="4774" ht="22.5" hidden="1" customHeight="1">
      <c r="A4774" s="8">
        <v>46149.37069513889</v>
      </c>
      <c r="B4774" s="14">
        <v>46149.0</v>
      </c>
      <c r="C4774" s="9" t="s">
        <v>31</v>
      </c>
      <c r="D4774" s="9" t="s">
        <v>394</v>
      </c>
      <c r="E4774" s="9" t="s">
        <v>17</v>
      </c>
      <c r="F4774" s="9" t="s">
        <v>17</v>
      </c>
      <c r="G4774" s="9">
        <v>7.0</v>
      </c>
      <c r="H4774" s="9" t="s">
        <v>25</v>
      </c>
      <c r="I4774" s="9" t="s">
        <v>28</v>
      </c>
      <c r="J4774" s="10"/>
      <c r="K4774" s="14" t="s">
        <v>398</v>
      </c>
      <c r="N4774" s="14" t="str">
        <f>IFERROR(__xludf.DUMMYFUNCTION("""COMPUTED_VALUE"""),"")</f>
        <v/>
      </c>
      <c r="O4774" s="14"/>
    </row>
    <row r="4775" ht="22.5" hidden="1" customHeight="1">
      <c r="A4775" s="8">
        <v>46149.37172178241</v>
      </c>
      <c r="B4775" s="14">
        <v>46149.0</v>
      </c>
      <c r="C4775" s="9" t="s">
        <v>31</v>
      </c>
      <c r="D4775" s="9" t="s">
        <v>335</v>
      </c>
      <c r="E4775" s="9" t="s">
        <v>17</v>
      </c>
      <c r="F4775" s="9" t="s">
        <v>17</v>
      </c>
      <c r="G4775" s="9">
        <v>8.0</v>
      </c>
      <c r="H4775" s="9" t="s">
        <v>25</v>
      </c>
      <c r="I4775" s="9" t="s">
        <v>434</v>
      </c>
      <c r="J4775" s="10"/>
      <c r="K4775" s="14">
        <v>4.0</v>
      </c>
      <c r="N4775" s="14" t="str">
        <f>IFERROR(__xludf.DUMMYFUNCTION("""COMPUTED_VALUE"""),"")</f>
        <v/>
      </c>
      <c r="O4775" s="14"/>
    </row>
    <row r="4776" ht="22.5" hidden="1" customHeight="1">
      <c r="A4776" s="8">
        <v>46149.38272542824</v>
      </c>
      <c r="B4776" s="14">
        <v>46149.0</v>
      </c>
      <c r="C4776" s="9" t="s">
        <v>31</v>
      </c>
      <c r="D4776" s="9" t="s">
        <v>259</v>
      </c>
      <c r="E4776" s="9" t="s">
        <v>17</v>
      </c>
      <c r="F4776" s="9" t="s">
        <v>17</v>
      </c>
      <c r="G4776" s="9">
        <v>8.0</v>
      </c>
      <c r="H4776" s="9" t="s">
        <v>25</v>
      </c>
      <c r="I4776" s="9" t="s">
        <v>79</v>
      </c>
      <c r="J4776" s="10"/>
      <c r="K4776" s="14" t="s">
        <v>398</v>
      </c>
      <c r="N4776" s="14" t="str">
        <f>IFERROR(__xludf.DUMMYFUNCTION("""COMPUTED_VALUE"""),"")</f>
        <v/>
      </c>
      <c r="O4776" s="14"/>
    </row>
    <row r="4777" ht="22.5" hidden="1" customHeight="1">
      <c r="A4777" s="8">
        <v>46149.383062442124</v>
      </c>
      <c r="B4777" s="14">
        <v>46149.0</v>
      </c>
      <c r="C4777" s="9" t="s">
        <v>31</v>
      </c>
      <c r="D4777" s="9" t="s">
        <v>395</v>
      </c>
      <c r="E4777" s="9" t="s">
        <v>17</v>
      </c>
      <c r="F4777" s="9" t="s">
        <v>17</v>
      </c>
      <c r="G4777" s="9">
        <v>8.0</v>
      </c>
      <c r="H4777" s="9" t="s">
        <v>22</v>
      </c>
      <c r="I4777" s="9" t="s">
        <v>20</v>
      </c>
      <c r="J4777" s="10"/>
      <c r="K4777" s="14">
        <v>4.0</v>
      </c>
      <c r="N4777" s="14" t="str">
        <f>IFERROR(__xludf.DUMMYFUNCTION("""COMPUTED_VALUE"""),"")</f>
        <v/>
      </c>
      <c r="O4777" s="14"/>
    </row>
    <row r="4778" ht="22.5" hidden="1" customHeight="1">
      <c r="A4778" s="8">
        <v>46149.38333491898</v>
      </c>
      <c r="B4778" s="14">
        <v>46149.0</v>
      </c>
      <c r="C4778" s="9" t="s">
        <v>31</v>
      </c>
      <c r="D4778" s="9" t="s">
        <v>357</v>
      </c>
      <c r="E4778" s="9" t="s">
        <v>17</v>
      </c>
      <c r="F4778" s="9" t="s">
        <v>17</v>
      </c>
      <c r="G4778" s="9">
        <v>8.0</v>
      </c>
      <c r="H4778" s="9" t="s">
        <v>25</v>
      </c>
      <c r="I4778" s="9" t="s">
        <v>20</v>
      </c>
      <c r="J4778" s="10"/>
      <c r="K4778" s="14">
        <v>4.0</v>
      </c>
      <c r="N4778" s="14" t="str">
        <f>IFERROR(__xludf.DUMMYFUNCTION("""COMPUTED_VALUE"""),"")</f>
        <v/>
      </c>
      <c r="O4778" s="14"/>
    </row>
    <row r="4779" ht="22.5" hidden="1" customHeight="1">
      <c r="A4779" s="8">
        <v>46149.3835715625</v>
      </c>
      <c r="B4779" s="14">
        <v>46149.0</v>
      </c>
      <c r="C4779" s="9" t="s">
        <v>31</v>
      </c>
      <c r="D4779" s="9" t="s">
        <v>408</v>
      </c>
      <c r="E4779" s="9" t="s">
        <v>17</v>
      </c>
      <c r="F4779" s="9" t="s">
        <v>17</v>
      </c>
      <c r="G4779" s="9">
        <v>8.0</v>
      </c>
      <c r="H4779" s="9" t="s">
        <v>25</v>
      </c>
      <c r="I4779" s="9" t="s">
        <v>50</v>
      </c>
      <c r="J4779" s="10"/>
      <c r="K4779" s="14">
        <v>4.0</v>
      </c>
      <c r="N4779" s="14" t="str">
        <f>IFERROR(__xludf.DUMMYFUNCTION("""COMPUTED_VALUE"""),"")</f>
        <v/>
      </c>
      <c r="O4779" s="14"/>
    </row>
    <row r="4780" ht="22.5" hidden="1" customHeight="1">
      <c r="A4780" s="8">
        <v>46149.38384362269</v>
      </c>
      <c r="B4780" s="14">
        <v>46149.0</v>
      </c>
      <c r="C4780" s="9" t="s">
        <v>31</v>
      </c>
      <c r="D4780" s="9" t="s">
        <v>210</v>
      </c>
      <c r="E4780" s="9" t="s">
        <v>17</v>
      </c>
      <c r="F4780" s="9" t="s">
        <v>17</v>
      </c>
      <c r="G4780" s="9">
        <v>8.0</v>
      </c>
      <c r="H4780" s="9" t="s">
        <v>22</v>
      </c>
      <c r="I4780" s="9" t="s">
        <v>20</v>
      </c>
      <c r="J4780" s="10"/>
      <c r="K4780" s="14">
        <v>4.0</v>
      </c>
      <c r="N4780" s="14" t="str">
        <f>IFERROR(__xludf.DUMMYFUNCTION("""COMPUTED_VALUE"""),"")</f>
        <v/>
      </c>
      <c r="O4780" s="14"/>
    </row>
    <row r="4781" ht="22.5" hidden="1" customHeight="1">
      <c r="A4781" s="8">
        <v>46149.38872188657</v>
      </c>
      <c r="B4781" s="14">
        <v>46149.0</v>
      </c>
      <c r="C4781" s="9" t="s">
        <v>31</v>
      </c>
      <c r="D4781" s="9" t="s">
        <v>247</v>
      </c>
      <c r="E4781" s="9" t="s">
        <v>17</v>
      </c>
      <c r="F4781" s="9" t="s">
        <v>17</v>
      </c>
      <c r="G4781" s="9">
        <v>7.0</v>
      </c>
      <c r="H4781" s="9" t="s">
        <v>25</v>
      </c>
      <c r="I4781" s="9" t="s">
        <v>240</v>
      </c>
      <c r="J4781" s="10"/>
      <c r="K4781" s="14" t="s">
        <v>398</v>
      </c>
      <c r="N4781" s="14" t="str">
        <f>IFERROR(__xludf.DUMMYFUNCTION("""COMPUTED_VALUE"""),"")</f>
        <v/>
      </c>
      <c r="O4781" s="14"/>
    </row>
    <row r="4782" ht="22.5" hidden="1" customHeight="1">
      <c r="A4782" s="8">
        <v>46150.35403980324</v>
      </c>
      <c r="B4782" s="14">
        <v>46150.0</v>
      </c>
      <c r="C4782" s="9" t="s">
        <v>48</v>
      </c>
      <c r="D4782" s="9" t="s">
        <v>257</v>
      </c>
      <c r="E4782" s="9" t="s">
        <v>17</v>
      </c>
      <c r="F4782" s="9" t="s">
        <v>17</v>
      </c>
      <c r="G4782" s="9">
        <v>8.0</v>
      </c>
      <c r="H4782" s="9" t="s">
        <v>22</v>
      </c>
      <c r="I4782" s="9" t="s">
        <v>20</v>
      </c>
      <c r="J4782" s="10"/>
      <c r="K4782" s="14" t="s">
        <v>398</v>
      </c>
      <c r="N4782" s="14" t="str">
        <f>IFERROR(__xludf.DUMMYFUNCTION("""COMPUTED_VALUE"""),"")</f>
        <v/>
      </c>
      <c r="O4782" s="14"/>
    </row>
    <row r="4783" ht="22.5" hidden="1" customHeight="1">
      <c r="A4783" s="8">
        <v>46150.35440149305</v>
      </c>
      <c r="B4783" s="14">
        <v>46150.0</v>
      </c>
      <c r="C4783" s="9" t="s">
        <v>48</v>
      </c>
      <c r="D4783" s="9" t="s">
        <v>412</v>
      </c>
      <c r="E4783" s="9" t="s">
        <v>17</v>
      </c>
      <c r="F4783" s="9" t="s">
        <v>17</v>
      </c>
      <c r="G4783" s="9">
        <v>8.0</v>
      </c>
      <c r="H4783" s="9" t="s">
        <v>22</v>
      </c>
      <c r="I4783" s="9" t="s">
        <v>20</v>
      </c>
      <c r="J4783" s="10"/>
      <c r="K4783" s="14">
        <v>1.0</v>
      </c>
      <c r="N4783" s="14" t="str">
        <f>IFERROR(__xludf.DUMMYFUNCTION("""COMPUTED_VALUE"""),"")</f>
        <v/>
      </c>
      <c r="O4783" s="14"/>
    </row>
    <row r="4784" ht="22.5" hidden="1" customHeight="1">
      <c r="A4784" s="8">
        <v>46150.354671863424</v>
      </c>
      <c r="B4784" s="14">
        <v>46150.0</v>
      </c>
      <c r="C4784" s="9" t="s">
        <v>48</v>
      </c>
      <c r="D4784" s="9" t="s">
        <v>280</v>
      </c>
      <c r="E4784" s="9" t="s">
        <v>17</v>
      </c>
      <c r="F4784" s="9" t="s">
        <v>17</v>
      </c>
      <c r="G4784" s="9">
        <v>8.0</v>
      </c>
      <c r="H4784" s="9" t="s">
        <v>22</v>
      </c>
      <c r="I4784" s="9" t="s">
        <v>20</v>
      </c>
      <c r="J4784" s="10"/>
      <c r="K4784" s="14" t="s">
        <v>398</v>
      </c>
      <c r="N4784" s="14" t="str">
        <f>IFERROR(__xludf.DUMMYFUNCTION("""COMPUTED_VALUE"""),"")</f>
        <v/>
      </c>
      <c r="O4784" s="14"/>
    </row>
    <row r="4785" ht="22.5" hidden="1" customHeight="1">
      <c r="A4785" s="8">
        <v>46150.354922094906</v>
      </c>
      <c r="B4785" s="14">
        <v>46150.0</v>
      </c>
      <c r="C4785" s="9" t="s">
        <v>48</v>
      </c>
      <c r="D4785" s="9" t="s">
        <v>394</v>
      </c>
      <c r="E4785" s="9" t="s">
        <v>17</v>
      </c>
      <c r="F4785" s="9" t="s">
        <v>17</v>
      </c>
      <c r="G4785" s="9">
        <v>8.0</v>
      </c>
      <c r="H4785" s="9" t="s">
        <v>25</v>
      </c>
      <c r="I4785" s="9" t="s">
        <v>28</v>
      </c>
      <c r="J4785" s="10"/>
      <c r="K4785" s="14" t="s">
        <v>398</v>
      </c>
      <c r="N4785" s="14" t="str">
        <f>IFERROR(__xludf.DUMMYFUNCTION("""COMPUTED_VALUE"""),"")</f>
        <v/>
      </c>
      <c r="O4785" s="14"/>
    </row>
    <row r="4786" ht="22.5" hidden="1" customHeight="1">
      <c r="A4786" s="8">
        <v>46150.355174675926</v>
      </c>
      <c r="B4786" s="14">
        <v>46150.0</v>
      </c>
      <c r="C4786" s="9" t="s">
        <v>48</v>
      </c>
      <c r="D4786" s="9" t="s">
        <v>258</v>
      </c>
      <c r="E4786" s="9" t="s">
        <v>17</v>
      </c>
      <c r="F4786" s="9" t="s">
        <v>17</v>
      </c>
      <c r="G4786" s="9">
        <v>8.0</v>
      </c>
      <c r="H4786" s="9" t="s">
        <v>22</v>
      </c>
      <c r="I4786" s="9" t="s">
        <v>20</v>
      </c>
      <c r="J4786" s="10"/>
      <c r="K4786" s="14">
        <v>6.0</v>
      </c>
      <c r="N4786" s="14" t="str">
        <f>IFERROR(__xludf.DUMMYFUNCTION("""COMPUTED_VALUE"""),"")</f>
        <v/>
      </c>
      <c r="O4786" s="14"/>
    </row>
    <row r="4787" ht="22.5" hidden="1" customHeight="1">
      <c r="A4787" s="8">
        <v>46150.35541576389</v>
      </c>
      <c r="B4787" s="14">
        <v>46150.0</v>
      </c>
      <c r="C4787" s="9" t="s">
        <v>48</v>
      </c>
      <c r="D4787" s="9" t="s">
        <v>395</v>
      </c>
      <c r="E4787" s="9" t="s">
        <v>17</v>
      </c>
      <c r="F4787" s="9" t="s">
        <v>17</v>
      </c>
      <c r="G4787" s="9">
        <v>8.0</v>
      </c>
      <c r="H4787" s="9" t="s">
        <v>22</v>
      </c>
      <c r="I4787" s="9" t="s">
        <v>20</v>
      </c>
      <c r="J4787" s="10"/>
      <c r="K4787" s="14">
        <v>5.0</v>
      </c>
      <c r="N4787" s="14" t="str">
        <f>IFERROR(__xludf.DUMMYFUNCTION("""COMPUTED_VALUE"""),"")</f>
        <v/>
      </c>
      <c r="O4787" s="14"/>
    </row>
    <row r="4788" ht="22.5" hidden="1" customHeight="1">
      <c r="A4788" s="8">
        <v>46150.35587300926</v>
      </c>
      <c r="B4788" s="14">
        <v>46150.0</v>
      </c>
      <c r="C4788" s="9" t="s">
        <v>48</v>
      </c>
      <c r="D4788" s="9" t="s">
        <v>413</v>
      </c>
      <c r="E4788" s="9" t="s">
        <v>17</v>
      </c>
      <c r="F4788" s="9" t="s">
        <v>17</v>
      </c>
      <c r="G4788" s="9">
        <v>8.0</v>
      </c>
      <c r="H4788" s="9" t="s">
        <v>22</v>
      </c>
      <c r="I4788" s="9" t="s">
        <v>20</v>
      </c>
      <c r="J4788" s="10"/>
      <c r="K4788" s="14">
        <v>3.0</v>
      </c>
      <c r="N4788" s="14" t="str">
        <f>IFERROR(__xludf.DUMMYFUNCTION("""COMPUTED_VALUE"""),"")</f>
        <v/>
      </c>
      <c r="O4788" s="14"/>
    </row>
    <row r="4789" ht="22.5" hidden="1" customHeight="1">
      <c r="A4789" s="8">
        <v>46150.35909680555</v>
      </c>
      <c r="B4789" s="14">
        <v>46150.0</v>
      </c>
      <c r="C4789" s="9" t="s">
        <v>48</v>
      </c>
      <c r="D4789" s="9" t="s">
        <v>174</v>
      </c>
      <c r="E4789" s="9" t="s">
        <v>17</v>
      </c>
      <c r="F4789" s="9" t="s">
        <v>17</v>
      </c>
      <c r="G4789" s="9">
        <v>8.0</v>
      </c>
      <c r="H4789" s="9" t="s">
        <v>22</v>
      </c>
      <c r="I4789" s="9" t="s">
        <v>20</v>
      </c>
      <c r="J4789" s="10"/>
      <c r="K4789" s="14">
        <v>4.0</v>
      </c>
      <c r="N4789" s="14" t="str">
        <f>IFERROR(__xludf.DUMMYFUNCTION("""COMPUTED_VALUE"""),"")</f>
        <v/>
      </c>
      <c r="O4789" s="14"/>
    </row>
    <row r="4790" ht="22.5" hidden="1" customHeight="1">
      <c r="A4790" s="8">
        <v>46150.35936657408</v>
      </c>
      <c r="B4790" s="14">
        <v>46150.0</v>
      </c>
      <c r="C4790" s="9" t="s">
        <v>48</v>
      </c>
      <c r="D4790" s="9" t="s">
        <v>408</v>
      </c>
      <c r="E4790" s="9" t="s">
        <v>17</v>
      </c>
      <c r="F4790" s="9" t="s">
        <v>17</v>
      </c>
      <c r="G4790" s="9">
        <v>7.0</v>
      </c>
      <c r="H4790" s="9" t="s">
        <v>22</v>
      </c>
      <c r="I4790" s="9" t="s">
        <v>20</v>
      </c>
      <c r="J4790" s="10"/>
      <c r="K4790" s="14">
        <v>4.0</v>
      </c>
      <c r="N4790" s="14" t="str">
        <f>IFERROR(__xludf.DUMMYFUNCTION("""COMPUTED_VALUE"""),"")</f>
        <v/>
      </c>
      <c r="O4790" s="14"/>
    </row>
    <row r="4791" ht="22.5" hidden="1" customHeight="1">
      <c r="A4791" s="8">
        <v>46150.36270032407</v>
      </c>
      <c r="B4791" s="14">
        <v>46150.0</v>
      </c>
      <c r="C4791" s="9" t="s">
        <v>48</v>
      </c>
      <c r="D4791" s="9" t="s">
        <v>369</v>
      </c>
      <c r="E4791" s="9" t="s">
        <v>17</v>
      </c>
      <c r="F4791" s="9" t="s">
        <v>17</v>
      </c>
      <c r="G4791" s="9">
        <v>8.0</v>
      </c>
      <c r="H4791" s="9" t="s">
        <v>25</v>
      </c>
      <c r="I4791" s="9" t="s">
        <v>207</v>
      </c>
      <c r="J4791" s="10"/>
      <c r="K4791" s="14">
        <v>5.0</v>
      </c>
      <c r="N4791" s="14" t="str">
        <f>IFERROR(__xludf.DUMMYFUNCTION("""COMPUTED_VALUE"""),"")</f>
        <v/>
      </c>
      <c r="O4791" s="14"/>
    </row>
    <row r="4792" ht="22.5" hidden="1" customHeight="1">
      <c r="A4792" s="8">
        <v>46150.37695921297</v>
      </c>
      <c r="B4792" s="14">
        <v>46150.0</v>
      </c>
      <c r="C4792" s="9" t="s">
        <v>48</v>
      </c>
      <c r="D4792" s="9" t="s">
        <v>105</v>
      </c>
      <c r="E4792" s="9" t="s">
        <v>17</v>
      </c>
      <c r="F4792" s="9" t="s">
        <v>17</v>
      </c>
      <c r="G4792" s="9">
        <v>8.0</v>
      </c>
      <c r="H4792" s="9" t="s">
        <v>22</v>
      </c>
      <c r="I4792" s="9" t="s">
        <v>20</v>
      </c>
      <c r="J4792" s="10"/>
      <c r="K4792" s="14">
        <v>2.0</v>
      </c>
      <c r="N4792" s="14" t="str">
        <f>IFERROR(__xludf.DUMMYFUNCTION("""COMPUTED_VALUE"""),"")</f>
        <v/>
      </c>
      <c r="O4792" s="14"/>
    </row>
    <row r="4793" ht="22.5" hidden="1" customHeight="1">
      <c r="A4793" s="8">
        <v>46150.37722894676</v>
      </c>
      <c r="B4793" s="14">
        <v>46150.0</v>
      </c>
      <c r="C4793" s="9" t="s">
        <v>48</v>
      </c>
      <c r="D4793" s="9" t="s">
        <v>335</v>
      </c>
      <c r="E4793" s="9" t="s">
        <v>17</v>
      </c>
      <c r="F4793" s="9" t="s">
        <v>17</v>
      </c>
      <c r="G4793" s="9">
        <v>8.0</v>
      </c>
      <c r="H4793" s="9" t="s">
        <v>25</v>
      </c>
      <c r="I4793" s="9" t="s">
        <v>434</v>
      </c>
      <c r="J4793" s="10"/>
      <c r="K4793" s="14">
        <v>5.0</v>
      </c>
      <c r="N4793" s="14" t="str">
        <f>IFERROR(__xludf.DUMMYFUNCTION("""COMPUTED_VALUE"""),"")</f>
        <v/>
      </c>
      <c r="O4793" s="14"/>
    </row>
    <row r="4794" ht="22.5" hidden="1" customHeight="1">
      <c r="A4794" s="8">
        <v>46150.377467592596</v>
      </c>
      <c r="B4794" s="14">
        <v>46150.0</v>
      </c>
      <c r="C4794" s="9" t="s">
        <v>48</v>
      </c>
      <c r="D4794" s="9" t="s">
        <v>249</v>
      </c>
      <c r="E4794" s="9" t="s">
        <v>17</v>
      </c>
      <c r="F4794" s="9" t="s">
        <v>17</v>
      </c>
      <c r="G4794" s="9">
        <v>8.0</v>
      </c>
      <c r="H4794" s="9" t="s">
        <v>22</v>
      </c>
      <c r="I4794" s="9" t="s">
        <v>20</v>
      </c>
      <c r="J4794" s="10"/>
      <c r="K4794" s="14">
        <v>6.0</v>
      </c>
      <c r="N4794" s="14" t="str">
        <f>IFERROR(__xludf.DUMMYFUNCTION("""COMPUTED_VALUE"""),"")</f>
        <v/>
      </c>
      <c r="O4794" s="14"/>
    </row>
    <row r="4795" ht="22.5" hidden="1" customHeight="1">
      <c r="A4795" s="8">
        <v>46150.3778725</v>
      </c>
      <c r="B4795" s="14">
        <v>46150.0</v>
      </c>
      <c r="C4795" s="9" t="s">
        <v>48</v>
      </c>
      <c r="D4795" s="9" t="s">
        <v>357</v>
      </c>
      <c r="E4795" s="9" t="s">
        <v>17</v>
      </c>
      <c r="F4795" s="9" t="s">
        <v>17</v>
      </c>
      <c r="G4795" s="9">
        <v>8.0</v>
      </c>
      <c r="H4795" s="9" t="s">
        <v>22</v>
      </c>
      <c r="I4795" s="9" t="s">
        <v>20</v>
      </c>
      <c r="J4795" s="10"/>
      <c r="K4795" s="14">
        <v>5.0</v>
      </c>
      <c r="N4795" s="14" t="str">
        <f>IFERROR(__xludf.DUMMYFUNCTION("""COMPUTED_VALUE"""),"")</f>
        <v/>
      </c>
      <c r="O4795" s="14"/>
    </row>
    <row r="4796" ht="22.5" hidden="1" customHeight="1">
      <c r="A4796" s="8">
        <v>46150.37806375</v>
      </c>
      <c r="B4796" s="14">
        <v>46150.0</v>
      </c>
      <c r="C4796" s="9" t="s">
        <v>48</v>
      </c>
      <c r="D4796" s="9" t="s">
        <v>393</v>
      </c>
      <c r="E4796" s="9" t="s">
        <v>17</v>
      </c>
      <c r="F4796" s="9" t="s">
        <v>17</v>
      </c>
      <c r="G4796" s="9">
        <v>7.0</v>
      </c>
      <c r="H4796" s="9" t="s">
        <v>22</v>
      </c>
      <c r="I4796" s="9" t="s">
        <v>20</v>
      </c>
      <c r="J4796" s="10"/>
      <c r="K4796" s="14" t="s">
        <v>398</v>
      </c>
      <c r="N4796" s="14" t="str">
        <f>IFERROR(__xludf.DUMMYFUNCTION("""COMPUTED_VALUE"""),"")</f>
        <v/>
      </c>
      <c r="O4796" s="14"/>
    </row>
    <row r="4797" ht="22.5" hidden="1" customHeight="1">
      <c r="A4797" s="8">
        <v>46150.37834164352</v>
      </c>
      <c r="B4797" s="14">
        <v>46150.0</v>
      </c>
      <c r="C4797" s="9" t="s">
        <v>48</v>
      </c>
      <c r="D4797" s="9" t="s">
        <v>414</v>
      </c>
      <c r="E4797" s="9" t="s">
        <v>17</v>
      </c>
      <c r="F4797" s="9" t="s">
        <v>17</v>
      </c>
      <c r="G4797" s="9">
        <v>6.0</v>
      </c>
      <c r="H4797" s="9" t="s">
        <v>22</v>
      </c>
      <c r="I4797" s="9" t="s">
        <v>20</v>
      </c>
      <c r="J4797" s="10"/>
      <c r="K4797" s="14">
        <v>5.0</v>
      </c>
      <c r="N4797" s="14" t="str">
        <f>IFERROR(__xludf.DUMMYFUNCTION("""COMPUTED_VALUE"""),"")</f>
        <v/>
      </c>
      <c r="O4797" s="14"/>
    </row>
    <row r="4798" ht="22.5" hidden="1" customHeight="1">
      <c r="A4798" s="8">
        <v>46150.37860625</v>
      </c>
      <c r="B4798" s="14">
        <v>46150.0</v>
      </c>
      <c r="C4798" s="9" t="s">
        <v>48</v>
      </c>
      <c r="D4798" s="9" t="s">
        <v>421</v>
      </c>
      <c r="E4798" s="9" t="s">
        <v>17</v>
      </c>
      <c r="F4798" s="9" t="s">
        <v>17</v>
      </c>
      <c r="G4798" s="9">
        <v>7.0</v>
      </c>
      <c r="H4798" s="9" t="s">
        <v>22</v>
      </c>
      <c r="I4798" s="9" t="s">
        <v>20</v>
      </c>
      <c r="J4798" s="10"/>
      <c r="K4798" s="14">
        <v>3.0</v>
      </c>
      <c r="N4798" s="14" t="str">
        <f>IFERROR(__xludf.DUMMYFUNCTION("""COMPUTED_VALUE"""),"")</f>
        <v/>
      </c>
      <c r="O4798" s="14"/>
    </row>
    <row r="4799" ht="22.5" hidden="1" customHeight="1">
      <c r="A4799" s="8">
        <v>46150.37885628472</v>
      </c>
      <c r="B4799" s="14">
        <v>46150.0</v>
      </c>
      <c r="C4799" s="9" t="s">
        <v>48</v>
      </c>
      <c r="D4799" s="9" t="s">
        <v>423</v>
      </c>
      <c r="E4799" s="9" t="s">
        <v>17</v>
      </c>
      <c r="F4799" s="9" t="s">
        <v>17</v>
      </c>
      <c r="G4799" s="9">
        <v>6.0</v>
      </c>
      <c r="H4799" s="9" t="s">
        <v>22</v>
      </c>
      <c r="I4799" s="9" t="s">
        <v>20</v>
      </c>
      <c r="J4799" s="10"/>
      <c r="K4799" s="14">
        <v>4.0</v>
      </c>
      <c r="N4799" s="14" t="str">
        <f>IFERROR(__xludf.DUMMYFUNCTION("""COMPUTED_VALUE"""),"")</f>
        <v/>
      </c>
      <c r="O4799" s="14"/>
    </row>
    <row r="4800" ht="22.5" hidden="1" customHeight="1">
      <c r="A4800" s="8">
        <v>46150.381460856486</v>
      </c>
      <c r="B4800" s="14">
        <v>46150.0</v>
      </c>
      <c r="C4800" s="9" t="s">
        <v>48</v>
      </c>
      <c r="D4800" s="9" t="s">
        <v>210</v>
      </c>
      <c r="E4800" s="9" t="s">
        <v>17</v>
      </c>
      <c r="F4800" s="9" t="s">
        <v>17</v>
      </c>
      <c r="G4800" s="9">
        <v>8.0</v>
      </c>
      <c r="H4800" s="9" t="s">
        <v>22</v>
      </c>
      <c r="I4800" s="9" t="s">
        <v>20</v>
      </c>
      <c r="J4800" s="10"/>
      <c r="K4800" s="14">
        <v>5.0</v>
      </c>
      <c r="N4800" s="14" t="str">
        <f>IFERROR(__xludf.DUMMYFUNCTION("""COMPUTED_VALUE"""),"")</f>
        <v/>
      </c>
      <c r="O4800" s="14"/>
    </row>
    <row r="4801" ht="22.5" hidden="1" customHeight="1">
      <c r="A4801" s="8">
        <v>46150.38568761574</v>
      </c>
      <c r="B4801" s="14">
        <v>46150.0</v>
      </c>
      <c r="C4801" s="9" t="s">
        <v>48</v>
      </c>
      <c r="D4801" s="9" t="s">
        <v>259</v>
      </c>
      <c r="E4801" s="9" t="s">
        <v>44</v>
      </c>
      <c r="F4801" s="9" t="s">
        <v>35</v>
      </c>
      <c r="G4801" s="9" t="s">
        <v>409</v>
      </c>
      <c r="H4801" s="9" t="s">
        <v>22</v>
      </c>
      <c r="I4801" s="9" t="s">
        <v>20</v>
      </c>
      <c r="J4801" s="10"/>
      <c r="K4801" s="14" t="s">
        <v>398</v>
      </c>
      <c r="N4801" s="14" t="str">
        <f>IFERROR(__xludf.DUMMYFUNCTION("""COMPUTED_VALUE"""),"")</f>
        <v/>
      </c>
      <c r="O4801" s="14"/>
    </row>
    <row r="4802" ht="22.5" hidden="1" customHeight="1">
      <c r="A4802" s="8">
        <v>46150.38606662037</v>
      </c>
      <c r="B4802" s="14">
        <v>46150.0</v>
      </c>
      <c r="C4802" s="9" t="s">
        <v>48</v>
      </c>
      <c r="D4802" s="9" t="s">
        <v>171</v>
      </c>
      <c r="E4802" s="9" t="s">
        <v>17</v>
      </c>
      <c r="F4802" s="9" t="s">
        <v>17</v>
      </c>
      <c r="G4802" s="9">
        <v>7.0</v>
      </c>
      <c r="H4802" s="9" t="s">
        <v>25</v>
      </c>
      <c r="I4802" s="9" t="s">
        <v>399</v>
      </c>
      <c r="J4802" s="10"/>
      <c r="K4802" s="14" t="s">
        <v>398</v>
      </c>
      <c r="N4802" s="14" t="str">
        <f>IFERROR(__xludf.DUMMYFUNCTION("""COMPUTED_VALUE"""),"")</f>
        <v/>
      </c>
      <c r="O4802" s="14"/>
    </row>
    <row r="4803" ht="22.5" hidden="1" customHeight="1">
      <c r="A4803" s="8">
        <v>46150.394602326385</v>
      </c>
      <c r="B4803" s="14">
        <v>46150.0</v>
      </c>
      <c r="C4803" s="9" t="s">
        <v>48</v>
      </c>
      <c r="D4803" s="9" t="s">
        <v>396</v>
      </c>
      <c r="E4803" s="9" t="s">
        <v>17</v>
      </c>
      <c r="F4803" s="9" t="s">
        <v>17</v>
      </c>
      <c r="G4803" s="9">
        <v>8.0</v>
      </c>
      <c r="H4803" s="9" t="s">
        <v>22</v>
      </c>
      <c r="I4803" s="9" t="s">
        <v>20</v>
      </c>
      <c r="J4803" s="10"/>
      <c r="K4803" s="14">
        <v>3.0</v>
      </c>
      <c r="N4803" s="14" t="str">
        <f>IFERROR(__xludf.DUMMYFUNCTION("""COMPUTED_VALUE"""),"")</f>
        <v/>
      </c>
      <c r="O4803" s="14"/>
    </row>
    <row r="4804" ht="22.5" hidden="1" customHeight="1">
      <c r="A4804" s="8">
        <v>46150.394998240736</v>
      </c>
      <c r="B4804" s="14">
        <v>46150.0</v>
      </c>
      <c r="C4804" s="9" t="s">
        <v>48</v>
      </c>
      <c r="D4804" s="9" t="s">
        <v>177</v>
      </c>
      <c r="E4804" s="9" t="s">
        <v>17</v>
      </c>
      <c r="F4804" s="9" t="s">
        <v>17</v>
      </c>
      <c r="G4804" s="9">
        <v>8.0</v>
      </c>
      <c r="H4804" s="9" t="s">
        <v>25</v>
      </c>
      <c r="I4804" s="9" t="s">
        <v>207</v>
      </c>
      <c r="J4804" s="10"/>
      <c r="K4804" s="14">
        <v>3.0</v>
      </c>
      <c r="N4804" s="14" t="str">
        <f>IFERROR(__xludf.DUMMYFUNCTION("""COMPUTED_VALUE"""),"")</f>
        <v/>
      </c>
      <c r="O4804" s="14"/>
    </row>
    <row r="4805" ht="22.5" hidden="1" customHeight="1">
      <c r="A4805" s="8">
        <v>46150.39913788195</v>
      </c>
      <c r="B4805" s="14">
        <v>46150.0</v>
      </c>
      <c r="C4805" s="9" t="s">
        <v>48</v>
      </c>
      <c r="D4805" s="9" t="s">
        <v>247</v>
      </c>
      <c r="E4805" s="9" t="s">
        <v>17</v>
      </c>
      <c r="F4805" s="9" t="s">
        <v>17</v>
      </c>
      <c r="G4805" s="9">
        <v>8.0</v>
      </c>
      <c r="H4805" s="9" t="s">
        <v>22</v>
      </c>
      <c r="I4805" s="9" t="s">
        <v>20</v>
      </c>
      <c r="J4805" s="10"/>
      <c r="K4805" s="14" t="s">
        <v>398</v>
      </c>
      <c r="N4805" s="14" t="str">
        <f>IFERROR(__xludf.DUMMYFUNCTION("""COMPUTED_VALUE"""),"")</f>
        <v/>
      </c>
      <c r="O4805" s="14"/>
    </row>
    <row r="4806" ht="22.5" hidden="1" customHeight="1">
      <c r="A4806" s="8">
        <v>46151.3690755787</v>
      </c>
      <c r="B4806" s="14">
        <v>46151.0</v>
      </c>
      <c r="C4806" s="9" t="s">
        <v>53</v>
      </c>
      <c r="D4806" s="9" t="s">
        <v>395</v>
      </c>
      <c r="E4806" s="9" t="s">
        <v>17</v>
      </c>
      <c r="F4806" s="9" t="s">
        <v>17</v>
      </c>
      <c r="G4806" s="9">
        <v>7.0</v>
      </c>
      <c r="H4806" s="9" t="s">
        <v>22</v>
      </c>
      <c r="I4806" s="9" t="s">
        <v>20</v>
      </c>
      <c r="J4806" s="10"/>
      <c r="K4806" s="14" t="s">
        <v>398</v>
      </c>
      <c r="N4806" s="14" t="str">
        <f>IFERROR(__xludf.DUMMYFUNCTION("""COMPUTED_VALUE"""),"")</f>
        <v/>
      </c>
      <c r="O4806" s="14"/>
    </row>
    <row r="4807" ht="22.5" hidden="1" customHeight="1">
      <c r="A4807" s="8">
        <v>46151.36950998842</v>
      </c>
      <c r="B4807" s="14">
        <v>46151.0</v>
      </c>
      <c r="C4807" s="9" t="s">
        <v>53</v>
      </c>
      <c r="D4807" s="9" t="s">
        <v>412</v>
      </c>
      <c r="E4807" s="9" t="s">
        <v>17</v>
      </c>
      <c r="F4807" s="9" t="s">
        <v>17</v>
      </c>
      <c r="G4807" s="9">
        <v>8.0</v>
      </c>
      <c r="H4807" s="9" t="s">
        <v>22</v>
      </c>
      <c r="I4807" s="9" t="s">
        <v>20</v>
      </c>
      <c r="J4807" s="10"/>
      <c r="K4807" s="14">
        <v>2.0</v>
      </c>
      <c r="N4807" s="14" t="str">
        <f>IFERROR(__xludf.DUMMYFUNCTION("""COMPUTED_VALUE"""),"")</f>
        <v/>
      </c>
      <c r="O4807" s="14"/>
    </row>
    <row r="4808" ht="22.5" hidden="1" customHeight="1">
      <c r="A4808" s="8">
        <v>46151.369936250005</v>
      </c>
      <c r="B4808" s="14">
        <v>46151.0</v>
      </c>
      <c r="C4808" s="9" t="s">
        <v>53</v>
      </c>
      <c r="D4808" s="9" t="s">
        <v>249</v>
      </c>
      <c r="E4808" s="9" t="s">
        <v>17</v>
      </c>
      <c r="F4808" s="9" t="s">
        <v>17</v>
      </c>
      <c r="G4808" s="9">
        <v>7.0</v>
      </c>
      <c r="H4808" s="9" t="s">
        <v>25</v>
      </c>
      <c r="I4808" s="9" t="s">
        <v>207</v>
      </c>
      <c r="J4808" s="10"/>
      <c r="K4808" s="14">
        <v>6.0</v>
      </c>
      <c r="N4808" s="14" t="str">
        <f>IFERROR(__xludf.DUMMYFUNCTION("""COMPUTED_VALUE"""),"")</f>
        <v/>
      </c>
      <c r="O4808" s="14"/>
    </row>
    <row r="4809" ht="22.5" hidden="1" customHeight="1">
      <c r="A4809" s="8">
        <v>46151.37061337963</v>
      </c>
      <c r="B4809" s="14">
        <v>46151.0</v>
      </c>
      <c r="C4809" s="9" t="s">
        <v>53</v>
      </c>
      <c r="D4809" s="9" t="s">
        <v>177</v>
      </c>
      <c r="E4809" s="9" t="s">
        <v>17</v>
      </c>
      <c r="F4809" s="9" t="s">
        <v>17</v>
      </c>
      <c r="G4809" s="9">
        <v>8.0</v>
      </c>
      <c r="H4809" s="9" t="s">
        <v>17</v>
      </c>
      <c r="I4809" s="9" t="s">
        <v>290</v>
      </c>
      <c r="J4809" s="10"/>
      <c r="K4809" s="14" t="s">
        <v>398</v>
      </c>
      <c r="N4809" s="14" t="str">
        <f>IFERROR(__xludf.DUMMYFUNCTION("""COMPUTED_VALUE"""),"")</f>
        <v/>
      </c>
      <c r="O4809" s="14"/>
    </row>
    <row r="4810" ht="22.5" hidden="1" customHeight="1">
      <c r="A4810" s="8">
        <v>46151.37083298611</v>
      </c>
      <c r="B4810" s="14">
        <v>46151.0</v>
      </c>
      <c r="C4810" s="9" t="s">
        <v>53</v>
      </c>
      <c r="D4810" s="9" t="s">
        <v>413</v>
      </c>
      <c r="E4810" s="9" t="s">
        <v>17</v>
      </c>
      <c r="F4810" s="9" t="s">
        <v>17</v>
      </c>
      <c r="G4810" s="9">
        <v>8.0</v>
      </c>
      <c r="H4810" s="9" t="s">
        <v>22</v>
      </c>
      <c r="I4810" s="9" t="s">
        <v>20</v>
      </c>
      <c r="J4810" s="10"/>
      <c r="K4810" s="14">
        <v>4.0</v>
      </c>
      <c r="N4810" s="14" t="str">
        <f>IFERROR(__xludf.DUMMYFUNCTION("""COMPUTED_VALUE"""),"")</f>
        <v/>
      </c>
      <c r="O4810" s="14"/>
    </row>
    <row r="4811" ht="22.5" hidden="1" customHeight="1">
      <c r="A4811" s="8">
        <v>46151.37110175926</v>
      </c>
      <c r="B4811" s="14">
        <v>46151.0</v>
      </c>
      <c r="C4811" s="9" t="s">
        <v>53</v>
      </c>
      <c r="D4811" s="9" t="s">
        <v>280</v>
      </c>
      <c r="E4811" s="9" t="s">
        <v>17</v>
      </c>
      <c r="F4811" s="9" t="s">
        <v>17</v>
      </c>
      <c r="G4811" s="9">
        <v>8.0</v>
      </c>
      <c r="H4811" s="9" t="s">
        <v>22</v>
      </c>
      <c r="I4811" s="9" t="s">
        <v>20</v>
      </c>
      <c r="J4811" s="10"/>
      <c r="K4811" s="14">
        <v>3.0</v>
      </c>
      <c r="N4811" s="14" t="str">
        <f>IFERROR(__xludf.DUMMYFUNCTION("""COMPUTED_VALUE"""),"")</f>
        <v/>
      </c>
      <c r="O4811" s="14"/>
    </row>
    <row r="4812" ht="22.5" hidden="1" customHeight="1">
      <c r="A4812" s="8">
        <v>46151.37148271991</v>
      </c>
      <c r="B4812" s="14">
        <v>46151.0</v>
      </c>
      <c r="C4812" s="9" t="s">
        <v>53</v>
      </c>
      <c r="D4812" s="9" t="s">
        <v>335</v>
      </c>
      <c r="E4812" s="9" t="s">
        <v>17</v>
      </c>
      <c r="F4812" s="9" t="s">
        <v>17</v>
      </c>
      <c r="G4812" s="9">
        <v>7.0</v>
      </c>
      <c r="H4812" s="9" t="s">
        <v>25</v>
      </c>
      <c r="I4812" s="9" t="s">
        <v>434</v>
      </c>
      <c r="J4812" s="10"/>
      <c r="K4812" s="14">
        <v>4.0</v>
      </c>
      <c r="N4812" s="14" t="str">
        <f>IFERROR(__xludf.DUMMYFUNCTION("""COMPUTED_VALUE"""),"")</f>
        <v/>
      </c>
      <c r="O4812" s="14"/>
    </row>
    <row r="4813" ht="22.5" hidden="1" customHeight="1">
      <c r="A4813" s="8">
        <v>46151.372026805555</v>
      </c>
      <c r="B4813" s="14">
        <v>46151.0</v>
      </c>
      <c r="C4813" s="9" t="s">
        <v>53</v>
      </c>
      <c r="D4813" s="9" t="s">
        <v>174</v>
      </c>
      <c r="E4813" s="9" t="s">
        <v>17</v>
      </c>
      <c r="F4813" s="9" t="s">
        <v>17</v>
      </c>
      <c r="G4813" s="9">
        <v>8.0</v>
      </c>
      <c r="H4813" s="9" t="s">
        <v>22</v>
      </c>
      <c r="I4813" s="9" t="s">
        <v>20</v>
      </c>
      <c r="J4813" s="10"/>
      <c r="K4813" s="14">
        <v>3.0</v>
      </c>
      <c r="N4813" s="14" t="str">
        <f>IFERROR(__xludf.DUMMYFUNCTION("""COMPUTED_VALUE"""),"")</f>
        <v/>
      </c>
      <c r="O4813" s="14"/>
    </row>
    <row r="4814" ht="22.5" hidden="1" customHeight="1">
      <c r="A4814" s="8">
        <v>46151.37249792824</v>
      </c>
      <c r="B4814" s="14">
        <v>46151.0</v>
      </c>
      <c r="C4814" s="9" t="s">
        <v>53</v>
      </c>
      <c r="D4814" s="9" t="s">
        <v>258</v>
      </c>
      <c r="E4814" s="9" t="s">
        <v>17</v>
      </c>
      <c r="F4814" s="9" t="s">
        <v>17</v>
      </c>
      <c r="G4814" s="9">
        <v>8.0</v>
      </c>
      <c r="H4814" s="9" t="s">
        <v>22</v>
      </c>
      <c r="I4814" s="9" t="s">
        <v>20</v>
      </c>
      <c r="J4814" s="10"/>
      <c r="K4814" s="14">
        <v>5.0</v>
      </c>
      <c r="N4814" s="14" t="str">
        <f>IFERROR(__xludf.DUMMYFUNCTION("""COMPUTED_VALUE"""),"")</f>
        <v/>
      </c>
      <c r="O4814" s="14"/>
    </row>
    <row r="4815" ht="22.5" hidden="1" customHeight="1">
      <c r="A4815" s="8">
        <v>46151.37287421296</v>
      </c>
      <c r="B4815" s="14">
        <v>46151.0</v>
      </c>
      <c r="C4815" s="9" t="s">
        <v>53</v>
      </c>
      <c r="D4815" s="9" t="s">
        <v>369</v>
      </c>
      <c r="E4815" s="9" t="s">
        <v>17</v>
      </c>
      <c r="F4815" s="9" t="s">
        <v>17</v>
      </c>
      <c r="G4815" s="9">
        <v>8.0</v>
      </c>
      <c r="H4815" s="9" t="s">
        <v>25</v>
      </c>
      <c r="I4815" s="9" t="s">
        <v>218</v>
      </c>
      <c r="J4815" s="10"/>
      <c r="K4815" s="14" t="s">
        <v>398</v>
      </c>
      <c r="N4815" s="14" t="str">
        <f>IFERROR(__xludf.DUMMYFUNCTION("""COMPUTED_VALUE"""),"")</f>
        <v/>
      </c>
      <c r="O4815" s="14"/>
    </row>
    <row r="4816" ht="22.5" hidden="1" customHeight="1">
      <c r="A4816" s="8">
        <v>46151.37313743056</v>
      </c>
      <c r="B4816" s="14">
        <v>46151.0</v>
      </c>
      <c r="C4816" s="9" t="s">
        <v>53</v>
      </c>
      <c r="D4816" s="9" t="s">
        <v>423</v>
      </c>
      <c r="E4816" s="9" t="s">
        <v>17</v>
      </c>
      <c r="F4816" s="9" t="s">
        <v>17</v>
      </c>
      <c r="G4816" s="9">
        <v>6.0</v>
      </c>
      <c r="H4816" s="9" t="s">
        <v>22</v>
      </c>
      <c r="I4816" s="9" t="s">
        <v>20</v>
      </c>
      <c r="J4816" s="10"/>
      <c r="K4816" s="14">
        <v>5.0</v>
      </c>
      <c r="N4816" s="14" t="str">
        <f>IFERROR(__xludf.DUMMYFUNCTION("""COMPUTED_VALUE"""),"")</f>
        <v/>
      </c>
      <c r="O4816" s="14"/>
    </row>
    <row r="4817" ht="22.5" hidden="1" customHeight="1">
      <c r="A4817" s="8">
        <v>46151.373339004625</v>
      </c>
      <c r="B4817" s="14">
        <v>46151.0</v>
      </c>
      <c r="C4817" s="9" t="s">
        <v>53</v>
      </c>
      <c r="D4817" s="9" t="s">
        <v>105</v>
      </c>
      <c r="E4817" s="9" t="s">
        <v>17</v>
      </c>
      <c r="F4817" s="9" t="s">
        <v>17</v>
      </c>
      <c r="G4817" s="9">
        <v>8.0</v>
      </c>
      <c r="H4817" s="9" t="s">
        <v>22</v>
      </c>
      <c r="I4817" s="9" t="s">
        <v>20</v>
      </c>
      <c r="J4817" s="10"/>
      <c r="K4817" s="14">
        <v>2.0</v>
      </c>
      <c r="N4817" s="14" t="str">
        <f>IFERROR(__xludf.DUMMYFUNCTION("""COMPUTED_VALUE"""),"")</f>
        <v/>
      </c>
      <c r="O4817" s="14"/>
    </row>
    <row r="4818" ht="22.5" hidden="1" customHeight="1">
      <c r="A4818" s="8">
        <v>46151.373712430555</v>
      </c>
      <c r="B4818" s="14">
        <v>46151.0</v>
      </c>
      <c r="C4818" s="9" t="s">
        <v>53</v>
      </c>
      <c r="D4818" s="9" t="s">
        <v>408</v>
      </c>
      <c r="E4818" s="9" t="s">
        <v>17</v>
      </c>
      <c r="F4818" s="9" t="s">
        <v>17</v>
      </c>
      <c r="G4818" s="9">
        <v>8.0</v>
      </c>
      <c r="H4818" s="9" t="s">
        <v>25</v>
      </c>
      <c r="I4818" s="9" t="s">
        <v>50</v>
      </c>
      <c r="J4818" s="10"/>
      <c r="K4818" s="14">
        <v>4.0</v>
      </c>
      <c r="N4818" s="14" t="str">
        <f>IFERROR(__xludf.DUMMYFUNCTION("""COMPUTED_VALUE"""),"")</f>
        <v/>
      </c>
      <c r="O4818" s="14"/>
    </row>
    <row r="4819" ht="22.5" hidden="1" customHeight="1">
      <c r="A4819" s="8">
        <v>46151.37412015046</v>
      </c>
      <c r="B4819" s="14">
        <v>46151.0</v>
      </c>
      <c r="C4819" s="9" t="s">
        <v>53</v>
      </c>
      <c r="D4819" s="9" t="s">
        <v>249</v>
      </c>
      <c r="E4819" s="9" t="s">
        <v>17</v>
      </c>
      <c r="F4819" s="9" t="s">
        <v>17</v>
      </c>
      <c r="G4819" s="9">
        <v>8.0</v>
      </c>
      <c r="H4819" s="9" t="s">
        <v>25</v>
      </c>
      <c r="I4819" s="9" t="s">
        <v>207</v>
      </c>
      <c r="J4819" s="10"/>
      <c r="K4819" s="14">
        <v>6.0</v>
      </c>
      <c r="N4819" s="14" t="str">
        <f>IFERROR(__xludf.DUMMYFUNCTION("""COMPUTED_VALUE"""),"")</f>
        <v/>
      </c>
      <c r="O4819" s="14"/>
    </row>
    <row r="4820" ht="22.5" hidden="1" customHeight="1">
      <c r="A4820" s="8">
        <v>46151.37465591435</v>
      </c>
      <c r="B4820" s="14">
        <v>46151.0</v>
      </c>
      <c r="C4820" s="9" t="s">
        <v>53</v>
      </c>
      <c r="D4820" s="9" t="s">
        <v>171</v>
      </c>
      <c r="E4820" s="9" t="s">
        <v>17</v>
      </c>
      <c r="F4820" s="9" t="s">
        <v>17</v>
      </c>
      <c r="G4820" s="9">
        <v>7.0</v>
      </c>
      <c r="H4820" s="9" t="s">
        <v>25</v>
      </c>
      <c r="I4820" s="9" t="s">
        <v>399</v>
      </c>
      <c r="J4820" s="10"/>
      <c r="K4820" s="14" t="s">
        <v>398</v>
      </c>
      <c r="N4820" s="14" t="str">
        <f>IFERROR(__xludf.DUMMYFUNCTION("""COMPUTED_VALUE"""),"")</f>
        <v/>
      </c>
      <c r="O4820" s="14"/>
    </row>
    <row r="4821" ht="22.5" hidden="1" customHeight="1">
      <c r="A4821" s="8">
        <v>46151.37495943287</v>
      </c>
      <c r="B4821" s="14">
        <v>46151.0</v>
      </c>
      <c r="C4821" s="9" t="s">
        <v>53</v>
      </c>
      <c r="D4821" s="9" t="s">
        <v>350</v>
      </c>
      <c r="E4821" s="9" t="s">
        <v>17</v>
      </c>
      <c r="F4821" s="9" t="s">
        <v>17</v>
      </c>
      <c r="G4821" s="9">
        <v>8.0</v>
      </c>
      <c r="H4821" s="9" t="s">
        <v>22</v>
      </c>
      <c r="I4821" s="9" t="s">
        <v>20</v>
      </c>
      <c r="J4821" s="10"/>
      <c r="K4821" s="14">
        <v>4.0</v>
      </c>
      <c r="N4821" s="14" t="str">
        <f>IFERROR(__xludf.DUMMYFUNCTION("""COMPUTED_VALUE"""),"")</f>
        <v/>
      </c>
      <c r="O4821" s="14"/>
    </row>
    <row r="4822" ht="22.5" hidden="1" customHeight="1">
      <c r="A4822" s="8">
        <v>46151.38251924768</v>
      </c>
      <c r="B4822" s="14">
        <v>46151.0</v>
      </c>
      <c r="C4822" s="9" t="s">
        <v>53</v>
      </c>
      <c r="D4822" s="9" t="s">
        <v>357</v>
      </c>
      <c r="E4822" s="9" t="s">
        <v>17</v>
      </c>
      <c r="F4822" s="9" t="s">
        <v>17</v>
      </c>
      <c r="G4822" s="9">
        <v>8.0</v>
      </c>
      <c r="H4822" s="9" t="s">
        <v>25</v>
      </c>
      <c r="I4822" s="9" t="s">
        <v>381</v>
      </c>
      <c r="J4822" s="10"/>
      <c r="K4822" s="14">
        <v>4.0</v>
      </c>
      <c r="N4822" s="14" t="str">
        <f>IFERROR(__xludf.DUMMYFUNCTION("""COMPUTED_VALUE"""),"")</f>
        <v/>
      </c>
      <c r="O4822" s="14"/>
    </row>
    <row r="4823" ht="22.5" hidden="1" customHeight="1">
      <c r="A4823" s="8">
        <v>46151.3947552662</v>
      </c>
      <c r="B4823" s="14">
        <v>46151.0</v>
      </c>
      <c r="C4823" s="9" t="s">
        <v>53</v>
      </c>
      <c r="D4823" s="9" t="s">
        <v>247</v>
      </c>
      <c r="E4823" s="9" t="s">
        <v>17</v>
      </c>
      <c r="F4823" s="9" t="s">
        <v>17</v>
      </c>
      <c r="G4823" s="9">
        <v>8.0</v>
      </c>
      <c r="H4823" s="9" t="s">
        <v>25</v>
      </c>
      <c r="I4823" s="9" t="s">
        <v>207</v>
      </c>
      <c r="J4823" s="10"/>
      <c r="K4823" s="14" t="s">
        <v>398</v>
      </c>
      <c r="N4823" s="14" t="str">
        <f>IFERROR(__xludf.DUMMYFUNCTION("""COMPUTED_VALUE"""),"")</f>
        <v/>
      </c>
      <c r="O4823" s="14"/>
    </row>
    <row r="4824" ht="22.5" hidden="1" customHeight="1">
      <c r="A4824" s="8">
        <v>46151.42738247685</v>
      </c>
      <c r="B4824" s="14">
        <v>46151.0</v>
      </c>
      <c r="C4824" s="9" t="s">
        <v>53</v>
      </c>
      <c r="D4824" s="9" t="s">
        <v>396</v>
      </c>
      <c r="E4824" s="9" t="s">
        <v>17</v>
      </c>
      <c r="F4824" s="9" t="s">
        <v>17</v>
      </c>
      <c r="G4824" s="9">
        <v>8.0</v>
      </c>
      <c r="H4824" s="9" t="s">
        <v>22</v>
      </c>
      <c r="I4824" s="9" t="s">
        <v>20</v>
      </c>
      <c r="J4824" s="10"/>
      <c r="K4824" s="14">
        <v>4.0</v>
      </c>
      <c r="N4824" s="14" t="str">
        <f>IFERROR(__xludf.DUMMYFUNCTION("""COMPUTED_VALUE"""),"")</f>
        <v/>
      </c>
      <c r="O4824" s="14"/>
    </row>
    <row r="4825" ht="22.5" hidden="1" customHeight="1">
      <c r="A4825" s="8">
        <v>46151.427915775464</v>
      </c>
      <c r="B4825" s="14">
        <v>46151.0</v>
      </c>
      <c r="C4825" s="9" t="s">
        <v>53</v>
      </c>
      <c r="D4825" s="9" t="s">
        <v>257</v>
      </c>
      <c r="E4825" s="9" t="s">
        <v>17</v>
      </c>
      <c r="F4825" s="9" t="s">
        <v>17</v>
      </c>
      <c r="G4825" s="9">
        <v>8.0</v>
      </c>
      <c r="H4825" s="9" t="s">
        <v>22</v>
      </c>
      <c r="I4825" s="9" t="s">
        <v>20</v>
      </c>
      <c r="J4825" s="10"/>
      <c r="K4825" s="14" t="s">
        <v>398</v>
      </c>
      <c r="N4825" s="14" t="str">
        <f>IFERROR(__xludf.DUMMYFUNCTION("""COMPUTED_VALUE"""),"")</f>
        <v/>
      </c>
      <c r="O4825" s="14"/>
    </row>
    <row r="4826" ht="22.5" hidden="1" customHeight="1">
      <c r="A4826" s="8">
        <v>46151.42825521991</v>
      </c>
      <c r="B4826" s="14">
        <v>46151.0</v>
      </c>
      <c r="C4826" s="9" t="s">
        <v>53</v>
      </c>
      <c r="D4826" s="9" t="s">
        <v>414</v>
      </c>
      <c r="E4826" s="9" t="s">
        <v>17</v>
      </c>
      <c r="F4826" s="9" t="s">
        <v>17</v>
      </c>
      <c r="G4826" s="9">
        <v>7.0</v>
      </c>
      <c r="H4826" s="9" t="s">
        <v>22</v>
      </c>
      <c r="I4826" s="9" t="s">
        <v>20</v>
      </c>
      <c r="J4826" s="10"/>
      <c r="K4826" s="14">
        <v>3.0</v>
      </c>
      <c r="N4826" s="14" t="str">
        <f>IFERROR(__xludf.DUMMYFUNCTION("""COMPUTED_VALUE"""),"")</f>
        <v/>
      </c>
      <c r="O4826" s="14"/>
    </row>
    <row r="4827" ht="22.5" hidden="1" customHeight="1">
      <c r="A4827" s="8">
        <v>46151.42847966435</v>
      </c>
      <c r="B4827" s="14">
        <v>46151.0</v>
      </c>
      <c r="C4827" s="9" t="s">
        <v>53</v>
      </c>
      <c r="D4827" s="9" t="s">
        <v>421</v>
      </c>
      <c r="E4827" s="9" t="s">
        <v>17</v>
      </c>
      <c r="F4827" s="9" t="s">
        <v>17</v>
      </c>
      <c r="G4827" s="9">
        <v>7.0</v>
      </c>
      <c r="H4827" s="9" t="s">
        <v>22</v>
      </c>
      <c r="I4827" s="9" t="s">
        <v>20</v>
      </c>
      <c r="J4827" s="10"/>
      <c r="K4827" s="14" t="s">
        <v>398</v>
      </c>
      <c r="N4827" s="14" t="str">
        <f>IFERROR(__xludf.DUMMYFUNCTION("""COMPUTED_VALUE"""),"")</f>
        <v/>
      </c>
      <c r="O4827" s="14"/>
    </row>
    <row r="4828" ht="22.5" hidden="1" customHeight="1">
      <c r="A4828" s="8">
        <v>46151.445933587966</v>
      </c>
      <c r="B4828" s="14">
        <v>46151.0</v>
      </c>
      <c r="C4828" s="9" t="s">
        <v>53</v>
      </c>
      <c r="D4828" s="9" t="s">
        <v>259</v>
      </c>
      <c r="E4828" s="9" t="s">
        <v>30</v>
      </c>
      <c r="F4828" s="9" t="s">
        <v>17</v>
      </c>
      <c r="G4828" s="9">
        <v>8.0</v>
      </c>
      <c r="H4828" s="9" t="s">
        <v>22</v>
      </c>
      <c r="I4828" s="9" t="s">
        <v>20</v>
      </c>
      <c r="J4828" s="10"/>
      <c r="K4828" s="14">
        <v>4.0</v>
      </c>
      <c r="N4828" s="14" t="str">
        <f>IFERROR(__xludf.DUMMYFUNCTION("""COMPUTED_VALUE"""),"")</f>
        <v/>
      </c>
      <c r="O4828" s="14"/>
    </row>
    <row r="4829" ht="22.5" hidden="1" customHeight="1">
      <c r="A4829" s="8">
        <v>46183.29926818287</v>
      </c>
      <c r="B4829" s="14">
        <v>46183.0</v>
      </c>
      <c r="C4829" s="9" t="s">
        <v>15</v>
      </c>
      <c r="D4829" s="9" t="s">
        <v>408</v>
      </c>
      <c r="E4829" s="9" t="s">
        <v>61</v>
      </c>
      <c r="F4829" s="9" t="s">
        <v>17</v>
      </c>
      <c r="G4829" s="9">
        <v>6.0</v>
      </c>
      <c r="H4829" s="9" t="s">
        <v>22</v>
      </c>
      <c r="I4829" s="9" t="s">
        <v>20</v>
      </c>
      <c r="J4829" s="10"/>
      <c r="K4829" s="14">
        <v>5.0</v>
      </c>
      <c r="N4829" s="14" t="str">
        <f>IFERROR(__xludf.DUMMYFUNCTION("""COMPUTED_VALUE"""),"")</f>
        <v/>
      </c>
      <c r="O4829" s="14"/>
    </row>
    <row r="4830" ht="22.5" hidden="1" customHeight="1">
      <c r="A4830" s="8">
        <v>46183.29989268519</v>
      </c>
      <c r="B4830" s="14">
        <v>46183.0</v>
      </c>
      <c r="C4830" s="9" t="s">
        <v>15</v>
      </c>
      <c r="D4830" s="9" t="s">
        <v>423</v>
      </c>
      <c r="E4830" s="9" t="s">
        <v>46</v>
      </c>
      <c r="F4830" s="9" t="s">
        <v>17</v>
      </c>
      <c r="G4830" s="9">
        <v>6.0</v>
      </c>
      <c r="H4830" s="9" t="s">
        <v>25</v>
      </c>
      <c r="I4830" s="9" t="s">
        <v>79</v>
      </c>
      <c r="J4830" s="10"/>
      <c r="K4830" s="14">
        <v>8.0</v>
      </c>
      <c r="N4830" s="14" t="str">
        <f>IFERROR(__xludf.DUMMYFUNCTION("""COMPUTED_VALUE"""),"")</f>
        <v/>
      </c>
      <c r="O4830" s="14"/>
    </row>
    <row r="4831" ht="22.5" hidden="1" customHeight="1">
      <c r="A4831" s="8">
        <v>46183.300067731485</v>
      </c>
      <c r="B4831" s="14">
        <v>46183.0</v>
      </c>
      <c r="C4831" s="9" t="s">
        <v>15</v>
      </c>
      <c r="D4831" s="9" t="s">
        <v>367</v>
      </c>
      <c r="E4831" s="9" t="s">
        <v>61</v>
      </c>
      <c r="F4831" s="9" t="s">
        <v>17</v>
      </c>
      <c r="G4831" s="9">
        <v>7.0</v>
      </c>
      <c r="H4831" s="9" t="s">
        <v>17</v>
      </c>
      <c r="I4831" s="9" t="s">
        <v>401</v>
      </c>
      <c r="J4831" s="10"/>
      <c r="K4831" s="14" t="s">
        <v>398</v>
      </c>
      <c r="N4831" s="14" t="str">
        <f>IFERROR(__xludf.DUMMYFUNCTION("""COMPUTED_VALUE"""),"")</f>
        <v/>
      </c>
      <c r="O4831" s="14"/>
    </row>
    <row r="4832" ht="22.5" hidden="1" customHeight="1">
      <c r="A4832" s="8">
        <v>46183.300732592594</v>
      </c>
      <c r="B4832" s="14">
        <v>46183.0</v>
      </c>
      <c r="C4832" s="9" t="s">
        <v>15</v>
      </c>
      <c r="D4832" s="9" t="s">
        <v>247</v>
      </c>
      <c r="E4832" s="9" t="s">
        <v>61</v>
      </c>
      <c r="F4832" s="9" t="s">
        <v>17</v>
      </c>
      <c r="G4832" s="9">
        <v>6.0</v>
      </c>
      <c r="H4832" s="9" t="s">
        <v>22</v>
      </c>
      <c r="I4832" s="9" t="s">
        <v>20</v>
      </c>
      <c r="J4832" s="10"/>
      <c r="K4832" s="14">
        <v>4.0</v>
      </c>
      <c r="N4832" s="14" t="str">
        <f>IFERROR(__xludf.DUMMYFUNCTION("""COMPUTED_VALUE"""),"")</f>
        <v/>
      </c>
      <c r="O4832" s="14"/>
    </row>
    <row r="4833" ht="22.5" hidden="1" customHeight="1">
      <c r="A4833" s="8">
        <v>46183.30103096065</v>
      </c>
      <c r="B4833" s="14">
        <v>46183.0</v>
      </c>
      <c r="C4833" s="9" t="s">
        <v>15</v>
      </c>
      <c r="D4833" s="9" t="s">
        <v>177</v>
      </c>
      <c r="E4833" s="9" t="s">
        <v>61</v>
      </c>
      <c r="F4833" s="9" t="s">
        <v>17</v>
      </c>
      <c r="G4833" s="9">
        <v>6.0</v>
      </c>
      <c r="H4833" s="9" t="s">
        <v>22</v>
      </c>
      <c r="I4833" s="9" t="s">
        <v>20</v>
      </c>
      <c r="J4833" s="10"/>
      <c r="K4833" s="14">
        <v>8.0</v>
      </c>
      <c r="N4833" s="14" t="str">
        <f>IFERROR(__xludf.DUMMYFUNCTION("""COMPUTED_VALUE"""),"")</f>
        <v/>
      </c>
      <c r="O4833" s="14"/>
    </row>
    <row r="4834" ht="22.5" hidden="1" customHeight="1">
      <c r="A4834" s="8">
        <v>46183.30110350694</v>
      </c>
      <c r="B4834" s="14">
        <v>46183.0</v>
      </c>
      <c r="C4834" s="9" t="s">
        <v>15</v>
      </c>
      <c r="D4834" s="9" t="s">
        <v>259</v>
      </c>
      <c r="E4834" s="9" t="s">
        <v>17</v>
      </c>
      <c r="F4834" s="9" t="s">
        <v>17</v>
      </c>
      <c r="G4834" s="9">
        <v>7.0</v>
      </c>
      <c r="H4834" s="9" t="s">
        <v>17</v>
      </c>
      <c r="I4834" s="9" t="s">
        <v>20</v>
      </c>
      <c r="J4834" s="10"/>
      <c r="K4834" s="14">
        <v>8.0</v>
      </c>
      <c r="N4834" s="14" t="str">
        <f>IFERROR(__xludf.DUMMYFUNCTION("""COMPUTED_VALUE"""),"")</f>
        <v/>
      </c>
      <c r="O4834" s="14"/>
    </row>
    <row r="4835" ht="22.5" hidden="1" customHeight="1">
      <c r="A4835" s="8">
        <v>46183.30206949074</v>
      </c>
      <c r="B4835" s="14">
        <v>46183.0</v>
      </c>
      <c r="C4835" s="9" t="s">
        <v>15</v>
      </c>
      <c r="D4835" s="9" t="s">
        <v>421</v>
      </c>
      <c r="E4835" s="9" t="s">
        <v>61</v>
      </c>
      <c r="F4835" s="9" t="s">
        <v>17</v>
      </c>
      <c r="G4835" s="9">
        <v>8.0</v>
      </c>
      <c r="H4835" s="9" t="s">
        <v>22</v>
      </c>
      <c r="I4835" s="9" t="s">
        <v>20</v>
      </c>
      <c r="J4835" s="10"/>
      <c r="K4835" s="14">
        <v>8.0</v>
      </c>
      <c r="N4835" s="14" t="str">
        <f>IFERROR(__xludf.DUMMYFUNCTION("""COMPUTED_VALUE"""),"")</f>
        <v/>
      </c>
      <c r="O4835" s="14"/>
    </row>
    <row r="4836" ht="22.5" hidden="1" customHeight="1">
      <c r="A4836" s="8">
        <v>46183.30228452546</v>
      </c>
      <c r="B4836" s="14">
        <v>46183.0</v>
      </c>
      <c r="C4836" s="9" t="s">
        <v>15</v>
      </c>
      <c r="D4836" s="9" t="s">
        <v>210</v>
      </c>
      <c r="E4836" s="9" t="s">
        <v>61</v>
      </c>
      <c r="F4836" s="9" t="s">
        <v>43</v>
      </c>
      <c r="G4836" s="9">
        <v>7.0</v>
      </c>
      <c r="H4836" s="9" t="s">
        <v>25</v>
      </c>
      <c r="I4836" s="9" t="s">
        <v>41</v>
      </c>
      <c r="J4836" s="10"/>
      <c r="K4836" s="14">
        <v>7.0</v>
      </c>
      <c r="N4836" s="14" t="str">
        <f>IFERROR(__xludf.DUMMYFUNCTION("""COMPUTED_VALUE"""),"")</f>
        <v/>
      </c>
      <c r="O4836" s="14"/>
    </row>
    <row r="4837" ht="22.5" hidden="1" customHeight="1">
      <c r="A4837" s="8">
        <v>46183.30238523148</v>
      </c>
      <c r="B4837" s="14">
        <v>46183.0</v>
      </c>
      <c r="C4837" s="9" t="s">
        <v>15</v>
      </c>
      <c r="D4837" s="9" t="s">
        <v>174</v>
      </c>
      <c r="E4837" s="9" t="s">
        <v>17</v>
      </c>
      <c r="F4837" s="9" t="s">
        <v>17</v>
      </c>
      <c r="G4837" s="9">
        <v>7.0</v>
      </c>
      <c r="H4837" s="9" t="s">
        <v>22</v>
      </c>
      <c r="I4837" s="9" t="s">
        <v>20</v>
      </c>
      <c r="J4837" s="10"/>
      <c r="K4837" s="14">
        <v>8.0</v>
      </c>
      <c r="N4837" s="14" t="str">
        <f>IFERROR(__xludf.DUMMYFUNCTION("""COMPUTED_VALUE"""),"")</f>
        <v/>
      </c>
      <c r="O4837" s="14"/>
    </row>
    <row r="4838" ht="22.5" hidden="1" customHeight="1">
      <c r="A4838" s="8">
        <v>46183.30271487268</v>
      </c>
      <c r="B4838" s="14">
        <v>46183.0</v>
      </c>
      <c r="C4838" s="9" t="s">
        <v>15</v>
      </c>
      <c r="D4838" s="9" t="s">
        <v>369</v>
      </c>
      <c r="E4838" s="9" t="s">
        <v>61</v>
      </c>
      <c r="F4838" s="9" t="s">
        <v>17</v>
      </c>
      <c r="G4838" s="9">
        <v>7.0</v>
      </c>
      <c r="H4838" s="9" t="s">
        <v>25</v>
      </c>
      <c r="I4838" s="9" t="s">
        <v>211</v>
      </c>
      <c r="J4838" s="10"/>
      <c r="K4838" s="14">
        <v>8.0</v>
      </c>
      <c r="N4838" s="14" t="str">
        <f>IFERROR(__xludf.DUMMYFUNCTION("""COMPUTED_VALUE"""),"")</f>
        <v/>
      </c>
      <c r="O4838" s="14"/>
    </row>
    <row r="4839" ht="22.5" hidden="1" customHeight="1">
      <c r="A4839" s="8">
        <v>46183.3034610301</v>
      </c>
      <c r="B4839" s="14">
        <v>46183.0</v>
      </c>
      <c r="C4839" s="9" t="s">
        <v>15</v>
      </c>
      <c r="D4839" s="9" t="s">
        <v>394</v>
      </c>
      <c r="E4839" s="9" t="s">
        <v>17</v>
      </c>
      <c r="F4839" s="9" t="s">
        <v>60</v>
      </c>
      <c r="G4839" s="9" t="s">
        <v>410</v>
      </c>
      <c r="H4839" s="9" t="s">
        <v>25</v>
      </c>
      <c r="I4839" s="9" t="s">
        <v>28</v>
      </c>
      <c r="J4839" s="10"/>
      <c r="K4839" s="14" t="s">
        <v>398</v>
      </c>
      <c r="N4839" s="14" t="str">
        <f>IFERROR(__xludf.DUMMYFUNCTION("""COMPUTED_VALUE"""),"")</f>
        <v/>
      </c>
      <c r="O4839" s="14"/>
    </row>
    <row r="4840" ht="22.5" hidden="1" customHeight="1">
      <c r="A4840" s="8">
        <v>46183.30368542824</v>
      </c>
      <c r="B4840" s="14">
        <v>46183.0</v>
      </c>
      <c r="C4840" s="9" t="s">
        <v>15</v>
      </c>
      <c r="D4840" s="9" t="s">
        <v>335</v>
      </c>
      <c r="E4840" s="9" t="s">
        <v>61</v>
      </c>
      <c r="F4840" s="9" t="s">
        <v>17</v>
      </c>
      <c r="G4840" s="9">
        <v>8.0</v>
      </c>
      <c r="H4840" s="9" t="s">
        <v>25</v>
      </c>
      <c r="I4840" s="9" t="s">
        <v>381</v>
      </c>
      <c r="J4840" s="10"/>
      <c r="K4840" s="14">
        <v>7.0</v>
      </c>
      <c r="N4840" s="14" t="str">
        <f>IFERROR(__xludf.DUMMYFUNCTION("""COMPUTED_VALUE"""),"")</f>
        <v/>
      </c>
      <c r="O4840" s="14"/>
    </row>
    <row r="4841" ht="22.5" hidden="1" customHeight="1">
      <c r="A4841" s="8">
        <v>46183.304019131945</v>
      </c>
      <c r="B4841" s="14">
        <v>46183.0</v>
      </c>
      <c r="C4841" s="9" t="s">
        <v>15</v>
      </c>
      <c r="D4841" s="9" t="s">
        <v>350</v>
      </c>
      <c r="E4841" s="9" t="s">
        <v>17</v>
      </c>
      <c r="F4841" s="9" t="s">
        <v>17</v>
      </c>
      <c r="G4841" s="9">
        <v>8.0</v>
      </c>
      <c r="H4841" s="9" t="s">
        <v>22</v>
      </c>
      <c r="I4841" s="9" t="s">
        <v>20</v>
      </c>
      <c r="J4841" s="10"/>
      <c r="K4841" s="14">
        <v>6.0</v>
      </c>
      <c r="N4841" s="14" t="str">
        <f>IFERROR(__xludf.DUMMYFUNCTION("""COMPUTED_VALUE"""),"")</f>
        <v/>
      </c>
      <c r="O4841" s="14"/>
    </row>
    <row r="4842" ht="22.5" hidden="1" customHeight="1">
      <c r="A4842" s="8">
        <v>46183.305094236115</v>
      </c>
      <c r="B4842" s="14">
        <v>46183.0</v>
      </c>
      <c r="C4842" s="9" t="s">
        <v>15</v>
      </c>
      <c r="D4842" s="9" t="s">
        <v>175</v>
      </c>
      <c r="E4842" s="9" t="s">
        <v>46</v>
      </c>
      <c r="F4842" s="9" t="s">
        <v>60</v>
      </c>
      <c r="G4842" s="9">
        <v>7.0</v>
      </c>
      <c r="H4842" s="9" t="s">
        <v>25</v>
      </c>
      <c r="I4842" s="9" t="s">
        <v>245</v>
      </c>
      <c r="J4842" s="10"/>
      <c r="K4842" s="14">
        <v>8.0</v>
      </c>
      <c r="N4842" s="14" t="str">
        <f>IFERROR(__xludf.DUMMYFUNCTION("""COMPUTED_VALUE"""),"")</f>
        <v/>
      </c>
      <c r="O4842" s="14"/>
    </row>
    <row r="4843" ht="22.5" hidden="1" customHeight="1">
      <c r="A4843" s="8">
        <v>46183.30746673611</v>
      </c>
      <c r="B4843" s="14">
        <v>46183.0</v>
      </c>
      <c r="C4843" s="9" t="s">
        <v>15</v>
      </c>
      <c r="D4843" s="9" t="s">
        <v>439</v>
      </c>
      <c r="E4843" s="9" t="s">
        <v>46</v>
      </c>
      <c r="F4843" s="9" t="s">
        <v>17</v>
      </c>
      <c r="G4843" s="9">
        <v>8.0</v>
      </c>
      <c r="H4843" s="9" t="s">
        <v>22</v>
      </c>
      <c r="I4843" s="9" t="s">
        <v>20</v>
      </c>
      <c r="J4843" s="10"/>
      <c r="K4843" s="14" t="s">
        <v>398</v>
      </c>
      <c r="N4843" s="14" t="str">
        <f>IFERROR(__xludf.DUMMYFUNCTION("""COMPUTED_VALUE"""),"")</f>
        <v/>
      </c>
      <c r="O4843" s="14"/>
    </row>
    <row r="4844" ht="22.5" hidden="1" customHeight="1">
      <c r="A4844" s="8">
        <v>46183.31278525463</v>
      </c>
      <c r="B4844" s="14">
        <v>46183.0</v>
      </c>
      <c r="C4844" s="9" t="s">
        <v>15</v>
      </c>
      <c r="D4844" s="9" t="s">
        <v>440</v>
      </c>
      <c r="E4844" s="9" t="s">
        <v>61</v>
      </c>
      <c r="F4844" s="9" t="s">
        <v>17</v>
      </c>
      <c r="G4844" s="9">
        <v>8.0</v>
      </c>
      <c r="H4844" s="9" t="s">
        <v>25</v>
      </c>
      <c r="I4844" s="9" t="s">
        <v>79</v>
      </c>
      <c r="J4844" s="10"/>
      <c r="K4844" s="14" t="s">
        <v>398</v>
      </c>
      <c r="N4844" s="14" t="str">
        <f>IFERROR(__xludf.DUMMYFUNCTION("""COMPUTED_VALUE"""),"")</f>
        <v/>
      </c>
      <c r="O4844" s="14"/>
    </row>
    <row r="4845" ht="22.5" hidden="1" customHeight="1">
      <c r="A4845" s="8">
        <v>46183.313763425926</v>
      </c>
      <c r="B4845" s="14">
        <v>46183.0</v>
      </c>
      <c r="C4845" s="9" t="s">
        <v>15</v>
      </c>
      <c r="D4845" s="9" t="s">
        <v>413</v>
      </c>
      <c r="E4845" s="9" t="s">
        <v>17</v>
      </c>
      <c r="F4845" s="9" t="s">
        <v>17</v>
      </c>
      <c r="G4845" s="9">
        <v>6.0</v>
      </c>
      <c r="H4845" s="9" t="s">
        <v>22</v>
      </c>
      <c r="I4845" s="9" t="s">
        <v>20</v>
      </c>
      <c r="J4845" s="10"/>
      <c r="K4845" s="14">
        <v>8.0</v>
      </c>
      <c r="N4845" s="14" t="str">
        <f>IFERROR(__xludf.DUMMYFUNCTION("""COMPUTED_VALUE"""),"")</f>
        <v/>
      </c>
      <c r="O4845" s="14"/>
    </row>
    <row r="4846" ht="22.5" hidden="1" customHeight="1">
      <c r="A4846" s="8">
        <v>46183.31420677083</v>
      </c>
      <c r="B4846" s="14">
        <v>46183.0</v>
      </c>
      <c r="C4846" s="9" t="s">
        <v>15</v>
      </c>
      <c r="D4846" s="9" t="s">
        <v>249</v>
      </c>
      <c r="E4846" s="9" t="s">
        <v>61</v>
      </c>
      <c r="F4846" s="9" t="s">
        <v>17</v>
      </c>
      <c r="G4846" s="9">
        <v>8.0</v>
      </c>
      <c r="H4846" s="9" t="s">
        <v>22</v>
      </c>
      <c r="I4846" s="9" t="s">
        <v>20</v>
      </c>
      <c r="J4846" s="10"/>
      <c r="K4846" s="14">
        <v>8.0</v>
      </c>
      <c r="N4846" s="14" t="str">
        <f>IFERROR(__xludf.DUMMYFUNCTION("""COMPUTED_VALUE"""),"")</f>
        <v/>
      </c>
      <c r="O4846" s="14"/>
    </row>
    <row r="4847" ht="22.5" hidden="1" customHeight="1">
      <c r="A4847" s="8">
        <v>46183.314652326386</v>
      </c>
      <c r="B4847" s="14">
        <v>46183.0</v>
      </c>
      <c r="C4847" s="9" t="s">
        <v>15</v>
      </c>
      <c r="D4847" s="9" t="s">
        <v>441</v>
      </c>
      <c r="E4847" s="9" t="s">
        <v>17</v>
      </c>
      <c r="F4847" s="9" t="s">
        <v>17</v>
      </c>
      <c r="G4847" s="9" t="s">
        <v>410</v>
      </c>
      <c r="H4847" s="9" t="s">
        <v>22</v>
      </c>
      <c r="I4847" s="9" t="s">
        <v>20</v>
      </c>
      <c r="J4847" s="10"/>
      <c r="K4847" s="14" t="s">
        <v>398</v>
      </c>
      <c r="N4847" s="14" t="str">
        <f>IFERROR(__xludf.DUMMYFUNCTION("""COMPUTED_VALUE"""),"")</f>
        <v/>
      </c>
      <c r="O4847" s="14"/>
    </row>
    <row r="4848" ht="22.5" hidden="1" customHeight="1">
      <c r="A4848" s="8">
        <v>46183.31668167824</v>
      </c>
      <c r="B4848" s="14">
        <v>46183.0</v>
      </c>
      <c r="C4848" s="9" t="s">
        <v>15</v>
      </c>
      <c r="D4848" s="9" t="s">
        <v>105</v>
      </c>
      <c r="E4848" s="9" t="s">
        <v>17</v>
      </c>
      <c r="F4848" s="9" t="s">
        <v>17</v>
      </c>
      <c r="G4848" s="9">
        <v>8.0</v>
      </c>
      <c r="H4848" s="9" t="s">
        <v>22</v>
      </c>
      <c r="I4848" s="9" t="s">
        <v>20</v>
      </c>
      <c r="J4848" s="10"/>
      <c r="K4848" s="14">
        <v>4.0</v>
      </c>
      <c r="N4848" s="14" t="str">
        <f>IFERROR(__xludf.DUMMYFUNCTION("""COMPUTED_VALUE"""),"")</f>
        <v/>
      </c>
      <c r="O4848" s="14"/>
    </row>
    <row r="4849" ht="22.5" hidden="1" customHeight="1">
      <c r="A4849" s="8">
        <v>46183.31894945602</v>
      </c>
      <c r="B4849" s="14">
        <v>46183.0</v>
      </c>
      <c r="C4849" s="9" t="s">
        <v>15</v>
      </c>
      <c r="D4849" s="9" t="s">
        <v>442</v>
      </c>
      <c r="E4849" s="9" t="s">
        <v>61</v>
      </c>
      <c r="F4849" s="9" t="s">
        <v>17</v>
      </c>
      <c r="G4849" s="9">
        <v>7.0</v>
      </c>
      <c r="H4849" s="9" t="s">
        <v>17</v>
      </c>
      <c r="I4849" s="9" t="s">
        <v>79</v>
      </c>
      <c r="J4849" s="10"/>
      <c r="K4849" s="14" t="s">
        <v>398</v>
      </c>
      <c r="N4849" s="14" t="str">
        <f>IFERROR(__xludf.DUMMYFUNCTION("""COMPUTED_VALUE"""),"")</f>
        <v/>
      </c>
      <c r="O4849" s="14"/>
    </row>
    <row r="4850" ht="22.5" hidden="1" customHeight="1">
      <c r="A4850" s="8">
        <v>46183.32243273148</v>
      </c>
      <c r="B4850" s="14">
        <v>46183.0</v>
      </c>
      <c r="C4850" s="9" t="s">
        <v>15</v>
      </c>
      <c r="D4850" s="9" t="s">
        <v>395</v>
      </c>
      <c r="E4850" s="9" t="s">
        <v>17</v>
      </c>
      <c r="F4850" s="9" t="s">
        <v>17</v>
      </c>
      <c r="G4850" s="9">
        <v>6.0</v>
      </c>
      <c r="H4850" s="9" t="s">
        <v>22</v>
      </c>
      <c r="I4850" s="9" t="s">
        <v>20</v>
      </c>
      <c r="J4850" s="10"/>
      <c r="K4850" s="14">
        <v>6.0</v>
      </c>
      <c r="N4850" s="14" t="str">
        <f>IFERROR(__xludf.DUMMYFUNCTION("""COMPUTED_VALUE"""),"")</f>
        <v/>
      </c>
      <c r="O4850" s="14"/>
    </row>
    <row r="4851" ht="22.5" hidden="1" customHeight="1">
      <c r="A4851" s="8">
        <v>46183.323263240745</v>
      </c>
      <c r="B4851" s="14">
        <v>46183.0</v>
      </c>
      <c r="C4851" s="9" t="s">
        <v>15</v>
      </c>
      <c r="D4851" s="9" t="s">
        <v>393</v>
      </c>
      <c r="E4851" s="9" t="s">
        <v>61</v>
      </c>
      <c r="F4851" s="9" t="s">
        <v>17</v>
      </c>
      <c r="G4851" s="9">
        <v>6.0</v>
      </c>
      <c r="H4851" s="9" t="s">
        <v>17</v>
      </c>
      <c r="I4851" s="9" t="s">
        <v>20</v>
      </c>
      <c r="J4851" s="10"/>
      <c r="K4851" s="14">
        <v>4.0</v>
      </c>
      <c r="N4851" s="14" t="str">
        <f>IFERROR(__xludf.DUMMYFUNCTION("""COMPUTED_VALUE"""),"")</f>
        <v/>
      </c>
      <c r="O4851" s="14"/>
    </row>
    <row r="4852" ht="22.5" hidden="1" customHeight="1">
      <c r="A4852" s="8">
        <v>46183.32345841435</v>
      </c>
      <c r="B4852" s="14">
        <v>46183.0</v>
      </c>
      <c r="C4852" s="9" t="s">
        <v>15</v>
      </c>
      <c r="D4852" s="9" t="s">
        <v>414</v>
      </c>
      <c r="E4852" s="9" t="s">
        <v>44</v>
      </c>
      <c r="F4852" s="9" t="s">
        <v>17</v>
      </c>
      <c r="G4852" s="9">
        <v>7.0</v>
      </c>
      <c r="H4852" s="9" t="s">
        <v>25</v>
      </c>
      <c r="I4852" s="9" t="s">
        <v>79</v>
      </c>
      <c r="J4852" s="10"/>
      <c r="K4852" s="14">
        <v>8.0</v>
      </c>
      <c r="N4852" s="14" t="str">
        <f>IFERROR(__xludf.DUMMYFUNCTION("""COMPUTED_VALUE"""),"")</f>
        <v/>
      </c>
      <c r="O4852" s="14"/>
    </row>
    <row r="4853" ht="22.5" hidden="1" customHeight="1">
      <c r="A4853" s="8">
        <v>46184.27622288195</v>
      </c>
      <c r="B4853" s="14">
        <v>46184.0</v>
      </c>
      <c r="C4853" s="9" t="s">
        <v>31</v>
      </c>
      <c r="D4853" s="9" t="s">
        <v>175</v>
      </c>
      <c r="E4853" s="9" t="s">
        <v>46</v>
      </c>
      <c r="F4853" s="9" t="s">
        <v>17</v>
      </c>
      <c r="G4853" s="9">
        <v>7.0</v>
      </c>
      <c r="H4853" s="9" t="s">
        <v>25</v>
      </c>
      <c r="I4853" s="9" t="s">
        <v>211</v>
      </c>
      <c r="J4853" s="10"/>
      <c r="K4853" s="14">
        <v>8.0</v>
      </c>
      <c r="N4853" s="14" t="str">
        <f>IFERROR(__xludf.DUMMYFUNCTION("""COMPUTED_VALUE"""),"")</f>
        <v/>
      </c>
      <c r="O4853" s="14"/>
    </row>
    <row r="4854" ht="22.5" hidden="1" customHeight="1">
      <c r="A4854" s="8">
        <v>46184.27662525463</v>
      </c>
      <c r="B4854" s="14">
        <v>46184.0</v>
      </c>
      <c r="C4854" s="9" t="s">
        <v>31</v>
      </c>
      <c r="D4854" s="9" t="s">
        <v>395</v>
      </c>
      <c r="E4854" s="9" t="s">
        <v>46</v>
      </c>
      <c r="F4854" s="9" t="s">
        <v>17</v>
      </c>
      <c r="G4854" s="9">
        <v>7.0</v>
      </c>
      <c r="H4854" s="9" t="s">
        <v>17</v>
      </c>
      <c r="I4854" s="9" t="s">
        <v>20</v>
      </c>
      <c r="J4854" s="10"/>
      <c r="K4854" s="14">
        <v>8.0</v>
      </c>
      <c r="N4854" s="14" t="str">
        <f>IFERROR(__xludf.DUMMYFUNCTION("""COMPUTED_VALUE"""),"")</f>
        <v/>
      </c>
      <c r="O4854" s="14"/>
    </row>
    <row r="4855" ht="22.5" hidden="1" customHeight="1">
      <c r="A4855" s="8">
        <v>46184.27710506944</v>
      </c>
      <c r="B4855" s="14">
        <v>46184.0</v>
      </c>
      <c r="C4855" s="9" t="s">
        <v>31</v>
      </c>
      <c r="D4855" s="9" t="s">
        <v>247</v>
      </c>
      <c r="E4855" s="9" t="s">
        <v>61</v>
      </c>
      <c r="F4855" s="9" t="s">
        <v>60</v>
      </c>
      <c r="G4855" s="9" t="s">
        <v>410</v>
      </c>
      <c r="H4855" s="9" t="s">
        <v>62</v>
      </c>
      <c r="I4855" s="9" t="s">
        <v>20</v>
      </c>
      <c r="J4855" s="10"/>
      <c r="K4855" s="14">
        <v>7.0</v>
      </c>
      <c r="N4855" s="14" t="str">
        <f>IFERROR(__xludf.DUMMYFUNCTION("""COMPUTED_VALUE"""),"")</f>
        <v/>
      </c>
      <c r="O4855" s="14"/>
    </row>
    <row r="4856" ht="22.5" hidden="1" customHeight="1">
      <c r="A4856" s="8">
        <v>46184.277423182866</v>
      </c>
      <c r="B4856" s="14">
        <v>46184.0</v>
      </c>
      <c r="C4856" s="9" t="s">
        <v>31</v>
      </c>
      <c r="D4856" s="9" t="s">
        <v>249</v>
      </c>
      <c r="E4856" s="9" t="s">
        <v>61</v>
      </c>
      <c r="F4856" s="9" t="s">
        <v>17</v>
      </c>
      <c r="G4856" s="9">
        <v>7.0</v>
      </c>
      <c r="H4856" s="9" t="s">
        <v>17</v>
      </c>
      <c r="I4856" s="9" t="s">
        <v>20</v>
      </c>
      <c r="J4856" s="10"/>
      <c r="K4856" s="14">
        <v>8.0</v>
      </c>
      <c r="N4856" s="14" t="str">
        <f>IFERROR(__xludf.DUMMYFUNCTION("""COMPUTED_VALUE"""),"")</f>
        <v/>
      </c>
      <c r="O4856" s="14"/>
    </row>
    <row r="4857" ht="22.5" hidden="1" customHeight="1">
      <c r="A4857" s="8">
        <v>46184.277853900465</v>
      </c>
      <c r="B4857" s="14">
        <v>46184.0</v>
      </c>
      <c r="C4857" s="9" t="s">
        <v>31</v>
      </c>
      <c r="D4857" s="9" t="s">
        <v>177</v>
      </c>
      <c r="E4857" s="9" t="s">
        <v>61</v>
      </c>
      <c r="F4857" s="9" t="s">
        <v>60</v>
      </c>
      <c r="G4857" s="9" t="s">
        <v>410</v>
      </c>
      <c r="H4857" s="9" t="s">
        <v>17</v>
      </c>
      <c r="I4857" s="9" t="s">
        <v>20</v>
      </c>
      <c r="J4857" s="10"/>
      <c r="K4857" s="14">
        <v>7.0</v>
      </c>
      <c r="N4857" s="14" t="str">
        <f>IFERROR(__xludf.DUMMYFUNCTION("""COMPUTED_VALUE"""),"")</f>
        <v/>
      </c>
      <c r="O4857" s="14"/>
    </row>
    <row r="4858" ht="22.5" hidden="1" customHeight="1">
      <c r="A4858" s="8">
        <v>46184.27828320602</v>
      </c>
      <c r="B4858" s="14">
        <v>46184.0</v>
      </c>
      <c r="C4858" s="9" t="s">
        <v>31</v>
      </c>
      <c r="D4858" s="9" t="s">
        <v>413</v>
      </c>
      <c r="E4858" s="9" t="s">
        <v>61</v>
      </c>
      <c r="F4858" s="9" t="s">
        <v>60</v>
      </c>
      <c r="G4858" s="9" t="s">
        <v>410</v>
      </c>
      <c r="H4858" s="9" t="s">
        <v>17</v>
      </c>
      <c r="I4858" s="9" t="s">
        <v>20</v>
      </c>
      <c r="J4858" s="10"/>
      <c r="K4858" s="14">
        <v>7.0</v>
      </c>
      <c r="N4858" s="14" t="str">
        <f>IFERROR(__xludf.DUMMYFUNCTION("""COMPUTED_VALUE"""),"")</f>
        <v/>
      </c>
      <c r="O4858" s="14"/>
    </row>
    <row r="4859" ht="22.5" hidden="1" customHeight="1">
      <c r="A4859" s="8">
        <v>46184.27886068287</v>
      </c>
      <c r="B4859" s="14">
        <v>46184.0</v>
      </c>
      <c r="C4859" s="9" t="s">
        <v>31</v>
      </c>
      <c r="D4859" s="9" t="s">
        <v>259</v>
      </c>
      <c r="E4859" s="9" t="s">
        <v>46</v>
      </c>
      <c r="F4859" s="9" t="s">
        <v>17</v>
      </c>
      <c r="G4859" s="9">
        <v>7.0</v>
      </c>
      <c r="H4859" s="9" t="s">
        <v>22</v>
      </c>
      <c r="I4859" s="9" t="s">
        <v>20</v>
      </c>
      <c r="J4859" s="10"/>
      <c r="K4859" s="14">
        <v>9.0</v>
      </c>
      <c r="N4859" s="14" t="str">
        <f>IFERROR(__xludf.DUMMYFUNCTION("""COMPUTED_VALUE"""),"")</f>
        <v/>
      </c>
      <c r="O4859" s="14"/>
    </row>
    <row r="4860" ht="22.5" hidden="1" customHeight="1">
      <c r="A4860" s="8">
        <v>46184.27934388889</v>
      </c>
      <c r="B4860" s="14">
        <v>46184.0</v>
      </c>
      <c r="C4860" s="9" t="s">
        <v>31</v>
      </c>
      <c r="D4860" s="9" t="s">
        <v>393</v>
      </c>
      <c r="E4860" s="9" t="s">
        <v>46</v>
      </c>
      <c r="F4860" s="9" t="s">
        <v>17</v>
      </c>
      <c r="G4860" s="9">
        <v>6.0</v>
      </c>
      <c r="H4860" s="9" t="s">
        <v>25</v>
      </c>
      <c r="I4860" s="9" t="s">
        <v>41</v>
      </c>
      <c r="J4860" s="10"/>
      <c r="K4860" s="14">
        <v>5.0</v>
      </c>
      <c r="N4860" s="14" t="str">
        <f>IFERROR(__xludf.DUMMYFUNCTION("""COMPUTED_VALUE"""),"")</f>
        <v/>
      </c>
      <c r="O4860" s="14"/>
    </row>
    <row r="4861" ht="22.5" hidden="1" customHeight="1">
      <c r="A4861" s="8">
        <v>46184.28026373843</v>
      </c>
      <c r="B4861" s="14">
        <v>46184.0</v>
      </c>
      <c r="C4861" s="9" t="s">
        <v>31</v>
      </c>
      <c r="D4861" s="9" t="s">
        <v>335</v>
      </c>
      <c r="E4861" s="9" t="s">
        <v>46</v>
      </c>
      <c r="F4861" s="9" t="s">
        <v>17</v>
      </c>
      <c r="G4861" s="9">
        <v>7.0</v>
      </c>
      <c r="H4861" s="9" t="s">
        <v>25</v>
      </c>
      <c r="I4861" s="9" t="s">
        <v>381</v>
      </c>
      <c r="J4861" s="10"/>
      <c r="K4861" s="14">
        <v>8.0</v>
      </c>
      <c r="N4861" s="14" t="str">
        <f>IFERROR(__xludf.DUMMYFUNCTION("""COMPUTED_VALUE"""),"")</f>
        <v/>
      </c>
      <c r="O4861" s="14"/>
    </row>
    <row r="4862" ht="22.5" hidden="1" customHeight="1">
      <c r="A4862" s="8">
        <v>46184.28068222222</v>
      </c>
      <c r="B4862" s="14">
        <v>46184.0</v>
      </c>
      <c r="C4862" s="9" t="s">
        <v>31</v>
      </c>
      <c r="D4862" s="9" t="s">
        <v>394</v>
      </c>
      <c r="E4862" s="9" t="s">
        <v>17</v>
      </c>
      <c r="F4862" s="9" t="s">
        <v>60</v>
      </c>
      <c r="G4862" s="9" t="s">
        <v>410</v>
      </c>
      <c r="H4862" s="9" t="s">
        <v>25</v>
      </c>
      <c r="I4862" s="9" t="s">
        <v>28</v>
      </c>
      <c r="J4862" s="10"/>
      <c r="K4862" s="14" t="s">
        <v>398</v>
      </c>
      <c r="N4862" s="14" t="str">
        <f>IFERROR(__xludf.DUMMYFUNCTION("""COMPUTED_VALUE"""),"")</f>
        <v/>
      </c>
      <c r="O4862" s="14"/>
    </row>
    <row r="4863" ht="22.5" hidden="1" customHeight="1">
      <c r="A4863" s="8">
        <v>46184.28095482639</v>
      </c>
      <c r="B4863" s="14">
        <v>46184.0</v>
      </c>
      <c r="C4863" s="9" t="s">
        <v>31</v>
      </c>
      <c r="D4863" s="9" t="s">
        <v>174</v>
      </c>
      <c r="E4863" s="9" t="s">
        <v>17</v>
      </c>
      <c r="F4863" s="9" t="s">
        <v>17</v>
      </c>
      <c r="G4863" s="9">
        <v>6.0</v>
      </c>
      <c r="H4863" s="9" t="s">
        <v>22</v>
      </c>
      <c r="I4863" s="9" t="s">
        <v>20</v>
      </c>
      <c r="J4863" s="10"/>
      <c r="K4863" s="14">
        <v>6.0</v>
      </c>
      <c r="N4863" s="14" t="str">
        <f>IFERROR(__xludf.DUMMYFUNCTION("""COMPUTED_VALUE"""),"")</f>
        <v/>
      </c>
      <c r="O4863" s="14"/>
    </row>
    <row r="4864" ht="22.5" hidden="1" customHeight="1">
      <c r="A4864" s="8">
        <v>46184.281336898144</v>
      </c>
      <c r="B4864" s="14">
        <v>46184.0</v>
      </c>
      <c r="C4864" s="9" t="s">
        <v>31</v>
      </c>
      <c r="D4864" s="9" t="s">
        <v>210</v>
      </c>
      <c r="E4864" s="9" t="s">
        <v>17</v>
      </c>
      <c r="F4864" s="9" t="s">
        <v>17</v>
      </c>
      <c r="G4864" s="9">
        <v>7.0</v>
      </c>
      <c r="H4864" s="9" t="s">
        <v>25</v>
      </c>
      <c r="I4864" s="9" t="s">
        <v>173</v>
      </c>
      <c r="J4864" s="10"/>
      <c r="K4864" s="14">
        <v>8.0</v>
      </c>
      <c r="N4864" s="14" t="str">
        <f>IFERROR(__xludf.DUMMYFUNCTION("""COMPUTED_VALUE"""),"")</f>
        <v/>
      </c>
      <c r="O4864" s="14"/>
    </row>
    <row r="4865" ht="22.5" hidden="1" customHeight="1">
      <c r="A4865" s="8">
        <v>46184.28177641204</v>
      </c>
      <c r="B4865" s="14">
        <v>46184.0</v>
      </c>
      <c r="C4865" s="9" t="s">
        <v>31</v>
      </c>
      <c r="D4865" s="9" t="s">
        <v>369</v>
      </c>
      <c r="E4865" s="9" t="s">
        <v>46</v>
      </c>
      <c r="F4865" s="9" t="s">
        <v>60</v>
      </c>
      <c r="G4865" s="9">
        <v>6.0</v>
      </c>
      <c r="H4865" s="9" t="s">
        <v>25</v>
      </c>
      <c r="I4865" s="9" t="s">
        <v>211</v>
      </c>
      <c r="J4865" s="10"/>
      <c r="K4865" s="14">
        <v>6.0</v>
      </c>
      <c r="N4865" s="14" t="str">
        <f>IFERROR(__xludf.DUMMYFUNCTION("""COMPUTED_VALUE"""),"")</f>
        <v/>
      </c>
      <c r="O4865" s="14"/>
    </row>
    <row r="4866" ht="22.5" hidden="1" customHeight="1">
      <c r="A4866" s="8">
        <v>46184.28211862269</v>
      </c>
      <c r="B4866" s="14">
        <v>46184.0</v>
      </c>
      <c r="C4866" s="9" t="s">
        <v>31</v>
      </c>
      <c r="D4866" s="9" t="s">
        <v>423</v>
      </c>
      <c r="E4866" s="9" t="s">
        <v>61</v>
      </c>
      <c r="F4866" s="9" t="s">
        <v>60</v>
      </c>
      <c r="G4866" s="9" t="s">
        <v>410</v>
      </c>
      <c r="H4866" s="9" t="s">
        <v>25</v>
      </c>
      <c r="I4866" s="9" t="s">
        <v>89</v>
      </c>
      <c r="J4866" s="10"/>
      <c r="K4866" s="14">
        <v>6.0</v>
      </c>
      <c r="N4866" s="14" t="str">
        <f>IFERROR(__xludf.DUMMYFUNCTION("""COMPUTED_VALUE"""),"")</f>
        <v/>
      </c>
      <c r="O4866" s="14"/>
    </row>
    <row r="4867" ht="22.5" hidden="1" customHeight="1">
      <c r="A4867" s="8">
        <v>46184.28232731481</v>
      </c>
      <c r="B4867" s="14">
        <v>46184.0</v>
      </c>
      <c r="C4867" s="9" t="s">
        <v>31</v>
      </c>
      <c r="D4867" s="9" t="s">
        <v>105</v>
      </c>
      <c r="E4867" s="9" t="s">
        <v>17</v>
      </c>
      <c r="F4867" s="9" t="s">
        <v>17</v>
      </c>
      <c r="G4867" s="9">
        <v>7.0</v>
      </c>
      <c r="H4867" s="9" t="s">
        <v>22</v>
      </c>
      <c r="I4867" s="9" t="s">
        <v>20</v>
      </c>
      <c r="J4867" s="10"/>
      <c r="K4867" s="14">
        <v>3.0</v>
      </c>
      <c r="N4867" s="14" t="str">
        <f>IFERROR(__xludf.DUMMYFUNCTION("""COMPUTED_VALUE"""),"")</f>
        <v/>
      </c>
      <c r="O4867" s="14"/>
    </row>
    <row r="4868" ht="22.5" hidden="1" customHeight="1">
      <c r="A4868" s="8">
        <v>46184.28272482639</v>
      </c>
      <c r="B4868" s="14">
        <v>46184.0</v>
      </c>
      <c r="C4868" s="9" t="s">
        <v>31</v>
      </c>
      <c r="D4868" s="9" t="s">
        <v>408</v>
      </c>
      <c r="E4868" s="9" t="s">
        <v>46</v>
      </c>
      <c r="F4868" s="9" t="s">
        <v>17</v>
      </c>
      <c r="G4868" s="9">
        <v>6.0</v>
      </c>
      <c r="H4868" s="9" t="s">
        <v>22</v>
      </c>
      <c r="I4868" s="9" t="s">
        <v>20</v>
      </c>
      <c r="J4868" s="10"/>
      <c r="K4868" s="14">
        <v>5.0</v>
      </c>
      <c r="N4868" s="14" t="str">
        <f>IFERROR(__xludf.DUMMYFUNCTION("""COMPUTED_VALUE"""),"")</f>
        <v/>
      </c>
      <c r="O4868" s="14"/>
    </row>
    <row r="4869" ht="22.5" hidden="1" customHeight="1">
      <c r="A4869" s="8">
        <v>46184.2830660301</v>
      </c>
      <c r="B4869" s="14">
        <v>46184.0</v>
      </c>
      <c r="C4869" s="9" t="s">
        <v>31</v>
      </c>
      <c r="D4869" s="9" t="s">
        <v>350</v>
      </c>
      <c r="E4869" s="9" t="s">
        <v>17</v>
      </c>
      <c r="F4869" s="9" t="s">
        <v>17</v>
      </c>
      <c r="G4869" s="9">
        <v>7.0</v>
      </c>
      <c r="H4869" s="9" t="s">
        <v>22</v>
      </c>
      <c r="I4869" s="9" t="s">
        <v>20</v>
      </c>
      <c r="J4869" s="10"/>
      <c r="K4869" s="14">
        <v>2.0</v>
      </c>
      <c r="N4869" s="14" t="str">
        <f>IFERROR(__xludf.DUMMYFUNCTION("""COMPUTED_VALUE"""),"")</f>
        <v/>
      </c>
      <c r="O4869" s="14"/>
    </row>
    <row r="4870" ht="22.5" hidden="1" customHeight="1">
      <c r="A4870" s="8">
        <v>46184.28491275463</v>
      </c>
      <c r="B4870" s="14">
        <v>46184.0</v>
      </c>
      <c r="C4870" s="9" t="s">
        <v>31</v>
      </c>
      <c r="D4870" s="9" t="s">
        <v>367</v>
      </c>
      <c r="E4870" s="9" t="s">
        <v>46</v>
      </c>
      <c r="F4870" s="9" t="s">
        <v>17</v>
      </c>
      <c r="G4870" s="9" t="s">
        <v>410</v>
      </c>
      <c r="H4870" s="9" t="s">
        <v>25</v>
      </c>
      <c r="I4870" s="9" t="s">
        <v>93</v>
      </c>
      <c r="J4870" s="10"/>
      <c r="K4870" s="14" t="s">
        <v>398</v>
      </c>
      <c r="N4870" s="14" t="str">
        <f>IFERROR(__xludf.DUMMYFUNCTION("""COMPUTED_VALUE"""),"")</f>
        <v/>
      </c>
      <c r="O4870" s="14"/>
    </row>
    <row r="4871" ht="22.5" hidden="1" customHeight="1">
      <c r="A4871" s="8">
        <v>46184.29017766204</v>
      </c>
      <c r="B4871" s="14">
        <v>46184.0</v>
      </c>
      <c r="C4871" s="9" t="s">
        <v>31</v>
      </c>
      <c r="D4871" s="9" t="s">
        <v>439</v>
      </c>
      <c r="E4871" s="9" t="s">
        <v>61</v>
      </c>
      <c r="F4871" s="9" t="s">
        <v>39</v>
      </c>
      <c r="G4871" s="9" t="s">
        <v>410</v>
      </c>
      <c r="H4871" s="9" t="s">
        <v>22</v>
      </c>
      <c r="I4871" s="9" t="s">
        <v>20</v>
      </c>
      <c r="J4871" s="10"/>
      <c r="K4871" s="14" t="s">
        <v>398</v>
      </c>
      <c r="N4871" s="14" t="str">
        <f>IFERROR(__xludf.DUMMYFUNCTION("""COMPUTED_VALUE"""),"")</f>
        <v/>
      </c>
      <c r="O4871" s="14"/>
    </row>
    <row r="4872" ht="22.5" hidden="1" customHeight="1">
      <c r="A4872" s="8">
        <v>46185.31210708333</v>
      </c>
      <c r="B4872" s="14">
        <v>46185.0</v>
      </c>
      <c r="C4872" s="9" t="s">
        <v>48</v>
      </c>
      <c r="D4872" s="9" t="s">
        <v>247</v>
      </c>
      <c r="E4872" s="9" t="s">
        <v>61</v>
      </c>
      <c r="F4872" s="9" t="s">
        <v>60</v>
      </c>
      <c r="G4872" s="9">
        <v>6.0</v>
      </c>
      <c r="H4872" s="9" t="s">
        <v>25</v>
      </c>
      <c r="I4872" s="9" t="s">
        <v>240</v>
      </c>
      <c r="J4872" s="10"/>
      <c r="K4872" s="14">
        <v>7.0</v>
      </c>
      <c r="N4872" s="14" t="str">
        <f>IFERROR(__xludf.DUMMYFUNCTION("""COMPUTED_VALUE"""),"")</f>
        <v/>
      </c>
      <c r="O4872" s="14"/>
    </row>
    <row r="4873" ht="22.5" hidden="1" customHeight="1">
      <c r="A4873" s="8">
        <v>46185.312655312504</v>
      </c>
      <c r="B4873" s="14">
        <v>46185.0</v>
      </c>
      <c r="C4873" s="9" t="s">
        <v>48</v>
      </c>
      <c r="D4873" s="9" t="s">
        <v>249</v>
      </c>
      <c r="E4873" s="9" t="s">
        <v>61</v>
      </c>
      <c r="F4873" s="9" t="s">
        <v>17</v>
      </c>
      <c r="G4873" s="9">
        <v>8.0</v>
      </c>
      <c r="H4873" s="9" t="s">
        <v>22</v>
      </c>
      <c r="I4873" s="9" t="s">
        <v>20</v>
      </c>
      <c r="J4873" s="10"/>
      <c r="K4873" s="14">
        <v>10.0</v>
      </c>
      <c r="N4873" s="14" t="str">
        <f>IFERROR(__xludf.DUMMYFUNCTION("""COMPUTED_VALUE"""),"")</f>
        <v/>
      </c>
      <c r="O4873" s="14"/>
    </row>
    <row r="4874" ht="22.5" hidden="1" customHeight="1">
      <c r="A4874" s="8">
        <v>46185.313013657404</v>
      </c>
      <c r="B4874" s="14">
        <v>46185.0</v>
      </c>
      <c r="C4874" s="9" t="s">
        <v>48</v>
      </c>
      <c r="D4874" s="9" t="s">
        <v>177</v>
      </c>
      <c r="E4874" s="9" t="s">
        <v>17</v>
      </c>
      <c r="F4874" s="9" t="s">
        <v>17</v>
      </c>
      <c r="G4874" s="9">
        <v>7.0</v>
      </c>
      <c r="H4874" s="9" t="s">
        <v>22</v>
      </c>
      <c r="I4874" s="9" t="s">
        <v>20</v>
      </c>
      <c r="J4874" s="10"/>
      <c r="K4874" s="14">
        <v>7.0</v>
      </c>
      <c r="N4874" s="14" t="str">
        <f>IFERROR(__xludf.DUMMYFUNCTION("""COMPUTED_VALUE"""),"")</f>
        <v/>
      </c>
      <c r="O4874" s="14"/>
    </row>
    <row r="4875" ht="22.5" hidden="1" customHeight="1">
      <c r="A4875" s="8">
        <v>46185.32321821759</v>
      </c>
      <c r="B4875" s="14">
        <v>46185.0</v>
      </c>
      <c r="C4875" s="9" t="s">
        <v>48</v>
      </c>
      <c r="D4875" s="9" t="s">
        <v>175</v>
      </c>
      <c r="E4875" s="9" t="s">
        <v>46</v>
      </c>
      <c r="F4875" s="9" t="s">
        <v>60</v>
      </c>
      <c r="G4875" s="9">
        <v>6.0</v>
      </c>
      <c r="H4875" s="9" t="s">
        <v>22</v>
      </c>
      <c r="I4875" s="9" t="s">
        <v>20</v>
      </c>
      <c r="J4875" s="10"/>
      <c r="K4875" s="14">
        <v>9.0</v>
      </c>
      <c r="N4875" s="14" t="str">
        <f>IFERROR(__xludf.DUMMYFUNCTION("""COMPUTED_VALUE"""),"")</f>
        <v/>
      </c>
      <c r="O4875" s="14"/>
    </row>
    <row r="4876" ht="22.5" hidden="1" customHeight="1">
      <c r="A4876" s="8">
        <v>46185.3233859375</v>
      </c>
      <c r="B4876" s="14">
        <v>46185.0</v>
      </c>
      <c r="C4876" s="9" t="s">
        <v>48</v>
      </c>
      <c r="D4876" s="9" t="s">
        <v>105</v>
      </c>
      <c r="E4876" s="9" t="s">
        <v>17</v>
      </c>
      <c r="F4876" s="9" t="s">
        <v>17</v>
      </c>
      <c r="G4876" s="9">
        <v>7.0</v>
      </c>
      <c r="H4876" s="9" t="s">
        <v>22</v>
      </c>
      <c r="I4876" s="9" t="s">
        <v>20</v>
      </c>
      <c r="J4876" s="10"/>
      <c r="K4876" s="14">
        <v>3.0</v>
      </c>
      <c r="N4876" s="14" t="str">
        <f>IFERROR(__xludf.DUMMYFUNCTION("""COMPUTED_VALUE"""),"")</f>
        <v/>
      </c>
      <c r="O4876" s="14"/>
    </row>
    <row r="4877" ht="22.5" hidden="1" customHeight="1">
      <c r="A4877" s="8">
        <v>46185.32374923611</v>
      </c>
      <c r="B4877" s="14">
        <v>46185.0</v>
      </c>
      <c r="C4877" s="9" t="s">
        <v>48</v>
      </c>
      <c r="D4877" s="9" t="s">
        <v>259</v>
      </c>
      <c r="E4877" s="9" t="s">
        <v>46</v>
      </c>
      <c r="F4877" s="9" t="s">
        <v>17</v>
      </c>
      <c r="G4877" s="9">
        <v>7.0</v>
      </c>
      <c r="H4877" s="9" t="s">
        <v>22</v>
      </c>
      <c r="I4877" s="9" t="s">
        <v>20</v>
      </c>
      <c r="J4877" s="10"/>
      <c r="K4877" s="14">
        <v>8.0</v>
      </c>
      <c r="N4877" s="14" t="str">
        <f>IFERROR(__xludf.DUMMYFUNCTION("""COMPUTED_VALUE"""),"")</f>
        <v/>
      </c>
      <c r="O4877" s="14"/>
    </row>
    <row r="4878" ht="22.5" hidden="1" customHeight="1">
      <c r="A4878" s="8">
        <v>46185.32412045139</v>
      </c>
      <c r="B4878" s="14">
        <v>46185.0</v>
      </c>
      <c r="C4878" s="9" t="s">
        <v>48</v>
      </c>
      <c r="D4878" s="9" t="s">
        <v>440</v>
      </c>
      <c r="E4878" s="9" t="s">
        <v>17</v>
      </c>
      <c r="F4878" s="9" t="s">
        <v>17</v>
      </c>
      <c r="G4878" s="9">
        <v>7.0</v>
      </c>
      <c r="H4878" s="9" t="s">
        <v>25</v>
      </c>
      <c r="I4878" s="9" t="s">
        <v>41</v>
      </c>
      <c r="J4878" s="10"/>
      <c r="K4878" s="14" t="s">
        <v>398</v>
      </c>
      <c r="N4878" s="14" t="str">
        <f>IFERROR(__xludf.DUMMYFUNCTION("""COMPUTED_VALUE"""),"")</f>
        <v/>
      </c>
      <c r="O4878" s="14"/>
    </row>
    <row r="4879" ht="22.5" hidden="1" customHeight="1">
      <c r="A4879" s="8">
        <v>46185.324556770836</v>
      </c>
      <c r="B4879" s="14">
        <v>46185.0</v>
      </c>
      <c r="C4879" s="9" t="s">
        <v>48</v>
      </c>
      <c r="D4879" s="9" t="s">
        <v>413</v>
      </c>
      <c r="E4879" s="9" t="s">
        <v>46</v>
      </c>
      <c r="F4879" s="9" t="s">
        <v>17</v>
      </c>
      <c r="G4879" s="9">
        <v>7.0</v>
      </c>
      <c r="H4879" s="9" t="s">
        <v>22</v>
      </c>
      <c r="I4879" s="9" t="s">
        <v>20</v>
      </c>
      <c r="J4879" s="10"/>
      <c r="K4879" s="14">
        <v>9.0</v>
      </c>
      <c r="N4879" s="14" t="str">
        <f>IFERROR(__xludf.DUMMYFUNCTION("""COMPUTED_VALUE"""),"")</f>
        <v/>
      </c>
      <c r="O4879" s="14"/>
    </row>
    <row r="4880" ht="22.5" hidden="1" customHeight="1">
      <c r="A4880" s="8">
        <v>46185.324926076384</v>
      </c>
      <c r="B4880" s="14">
        <v>46185.0</v>
      </c>
      <c r="C4880" s="9" t="s">
        <v>48</v>
      </c>
      <c r="D4880" s="9" t="s">
        <v>393</v>
      </c>
      <c r="E4880" s="9" t="s">
        <v>46</v>
      </c>
      <c r="F4880" s="9" t="s">
        <v>60</v>
      </c>
      <c r="G4880" s="9" t="s">
        <v>410</v>
      </c>
      <c r="H4880" s="9" t="s">
        <v>22</v>
      </c>
      <c r="I4880" s="9" t="s">
        <v>20</v>
      </c>
      <c r="J4880" s="10"/>
      <c r="K4880" s="14">
        <v>6.0</v>
      </c>
      <c r="N4880" s="14" t="str">
        <f>IFERROR(__xludf.DUMMYFUNCTION("""COMPUTED_VALUE"""),"")</f>
        <v/>
      </c>
      <c r="O4880" s="14"/>
    </row>
    <row r="4881" ht="22.5" hidden="1" customHeight="1">
      <c r="A4881" s="8">
        <v>46185.32533432871</v>
      </c>
      <c r="B4881" s="14">
        <v>46185.0</v>
      </c>
      <c r="C4881" s="9" t="s">
        <v>48</v>
      </c>
      <c r="D4881" s="9" t="s">
        <v>174</v>
      </c>
      <c r="E4881" s="9" t="s">
        <v>17</v>
      </c>
      <c r="F4881" s="9" t="s">
        <v>17</v>
      </c>
      <c r="G4881" s="9">
        <v>7.0</v>
      </c>
      <c r="H4881" s="9" t="s">
        <v>22</v>
      </c>
      <c r="I4881" s="9" t="s">
        <v>20</v>
      </c>
      <c r="J4881" s="10"/>
      <c r="K4881" s="14">
        <v>4.0</v>
      </c>
      <c r="N4881" s="14" t="str">
        <f>IFERROR(__xludf.DUMMYFUNCTION("""COMPUTED_VALUE"""),"")</f>
        <v/>
      </c>
      <c r="O4881" s="14"/>
    </row>
    <row r="4882" ht="22.5" hidden="1" customHeight="1">
      <c r="A4882" s="8">
        <v>46185.32564111111</v>
      </c>
      <c r="B4882" s="14">
        <v>46185.0</v>
      </c>
      <c r="C4882" s="9" t="s">
        <v>48</v>
      </c>
      <c r="D4882" s="9" t="s">
        <v>210</v>
      </c>
      <c r="E4882" s="9" t="s">
        <v>17</v>
      </c>
      <c r="F4882" s="9" t="s">
        <v>17</v>
      </c>
      <c r="G4882" s="9">
        <v>7.0</v>
      </c>
      <c r="H4882" s="9" t="s">
        <v>22</v>
      </c>
      <c r="I4882" s="9" t="s">
        <v>20</v>
      </c>
      <c r="J4882" s="10"/>
      <c r="K4882" s="14">
        <v>8.0</v>
      </c>
      <c r="N4882" s="14" t="str">
        <f>IFERROR(__xludf.DUMMYFUNCTION("""COMPUTED_VALUE"""),"")</f>
        <v/>
      </c>
      <c r="O4882" s="14"/>
    </row>
    <row r="4883" ht="22.5" hidden="1" customHeight="1">
      <c r="A4883" s="8">
        <v>46185.32656109954</v>
      </c>
      <c r="B4883" s="14">
        <v>46185.0</v>
      </c>
      <c r="C4883" s="9" t="s">
        <v>48</v>
      </c>
      <c r="D4883" s="9" t="s">
        <v>367</v>
      </c>
      <c r="E4883" s="9" t="s">
        <v>46</v>
      </c>
      <c r="F4883" s="9" t="s">
        <v>17</v>
      </c>
      <c r="G4883" s="9">
        <v>7.0</v>
      </c>
      <c r="H4883" s="9" t="s">
        <v>17</v>
      </c>
      <c r="I4883" s="9" t="s">
        <v>20</v>
      </c>
      <c r="J4883" s="10"/>
      <c r="K4883" s="14" t="s">
        <v>398</v>
      </c>
      <c r="N4883" s="14" t="str">
        <f>IFERROR(__xludf.DUMMYFUNCTION("""COMPUTED_VALUE"""),"")</f>
        <v/>
      </c>
      <c r="O4883" s="14"/>
    </row>
    <row r="4884" ht="22.5" hidden="1" customHeight="1">
      <c r="A4884" s="8">
        <v>46185.32783743055</v>
      </c>
      <c r="B4884" s="14">
        <v>46185.0</v>
      </c>
      <c r="C4884" s="9" t="s">
        <v>48</v>
      </c>
      <c r="D4884" s="9" t="s">
        <v>350</v>
      </c>
      <c r="E4884" s="9" t="s">
        <v>17</v>
      </c>
      <c r="F4884" s="9" t="s">
        <v>17</v>
      </c>
      <c r="G4884" s="9">
        <v>7.0</v>
      </c>
      <c r="H4884" s="9" t="s">
        <v>22</v>
      </c>
      <c r="I4884" s="9" t="s">
        <v>20</v>
      </c>
      <c r="J4884" s="10"/>
      <c r="K4884" s="14" t="s">
        <v>398</v>
      </c>
      <c r="N4884" s="14" t="str">
        <f>IFERROR(__xludf.DUMMYFUNCTION("""COMPUTED_VALUE"""),"")</f>
        <v/>
      </c>
      <c r="O4884" s="14"/>
    </row>
    <row r="4885" ht="22.5" hidden="1" customHeight="1">
      <c r="A4885" s="8">
        <v>46185.32810462963</v>
      </c>
      <c r="B4885" s="14">
        <v>46185.0</v>
      </c>
      <c r="C4885" s="9" t="s">
        <v>48</v>
      </c>
      <c r="D4885" s="9" t="s">
        <v>395</v>
      </c>
      <c r="E4885" s="9" t="s">
        <v>46</v>
      </c>
      <c r="F4885" s="9" t="s">
        <v>17</v>
      </c>
      <c r="G4885" s="9">
        <v>6.0</v>
      </c>
      <c r="H4885" s="9" t="s">
        <v>17</v>
      </c>
      <c r="I4885" s="9" t="s">
        <v>20</v>
      </c>
      <c r="J4885" s="10"/>
      <c r="K4885" s="14">
        <v>8.0</v>
      </c>
      <c r="N4885" s="14" t="str">
        <f>IFERROR(__xludf.DUMMYFUNCTION("""COMPUTED_VALUE"""),"")</f>
        <v/>
      </c>
      <c r="O4885" s="14"/>
    </row>
    <row r="4886" ht="22.5" hidden="1" customHeight="1">
      <c r="A4886" s="8">
        <v>46185.32840247685</v>
      </c>
      <c r="B4886" s="14">
        <v>46185.0</v>
      </c>
      <c r="C4886" s="9" t="s">
        <v>48</v>
      </c>
      <c r="D4886" s="9" t="s">
        <v>408</v>
      </c>
      <c r="E4886" s="9" t="s">
        <v>17</v>
      </c>
      <c r="F4886" s="9" t="s">
        <v>17</v>
      </c>
      <c r="G4886" s="9">
        <v>6.0</v>
      </c>
      <c r="H4886" s="9" t="s">
        <v>22</v>
      </c>
      <c r="I4886" s="9" t="s">
        <v>20</v>
      </c>
      <c r="J4886" s="10"/>
      <c r="K4886" s="14">
        <v>6.0</v>
      </c>
      <c r="N4886" s="14" t="str">
        <f>IFERROR(__xludf.DUMMYFUNCTION("""COMPUTED_VALUE"""),"")</f>
        <v/>
      </c>
      <c r="O4886" s="14"/>
    </row>
    <row r="4887" ht="22.5" hidden="1" customHeight="1">
      <c r="A4887" s="8">
        <v>46185.3286316088</v>
      </c>
      <c r="B4887" s="14">
        <v>46185.0</v>
      </c>
      <c r="C4887" s="9" t="s">
        <v>48</v>
      </c>
      <c r="D4887" s="9" t="s">
        <v>369</v>
      </c>
      <c r="E4887" s="9" t="s">
        <v>17</v>
      </c>
      <c r="F4887" s="9" t="s">
        <v>17</v>
      </c>
      <c r="G4887" s="9">
        <v>7.0</v>
      </c>
      <c r="H4887" s="9" t="s">
        <v>25</v>
      </c>
      <c r="I4887" s="9" t="s">
        <v>211</v>
      </c>
      <c r="J4887" s="10"/>
      <c r="K4887" s="14">
        <v>7.0</v>
      </c>
      <c r="N4887" s="14" t="str">
        <f>IFERROR(__xludf.DUMMYFUNCTION("""COMPUTED_VALUE"""),"")</f>
        <v/>
      </c>
      <c r="O4887" s="14"/>
    </row>
    <row r="4888" ht="22.5" hidden="1" customHeight="1">
      <c r="A4888" s="8">
        <v>46185.330396261576</v>
      </c>
      <c r="B4888" s="14">
        <v>46185.0</v>
      </c>
      <c r="C4888" s="9" t="s">
        <v>48</v>
      </c>
      <c r="D4888" s="9" t="s">
        <v>414</v>
      </c>
      <c r="E4888" s="9" t="s">
        <v>46</v>
      </c>
      <c r="F4888" s="9" t="s">
        <v>60</v>
      </c>
      <c r="G4888" s="9">
        <v>7.0</v>
      </c>
      <c r="H4888" s="9" t="s">
        <v>25</v>
      </c>
      <c r="I4888" s="9" t="s">
        <v>176</v>
      </c>
      <c r="J4888" s="10"/>
      <c r="K4888" s="14">
        <v>9.0</v>
      </c>
      <c r="N4888" s="14" t="str">
        <f>IFERROR(__xludf.DUMMYFUNCTION("""COMPUTED_VALUE"""),"")</f>
        <v/>
      </c>
      <c r="O4888" s="14"/>
    </row>
    <row r="4889" ht="22.5" hidden="1" customHeight="1">
      <c r="A4889" s="8">
        <v>46185.33094854167</v>
      </c>
      <c r="B4889" s="14">
        <v>46185.0</v>
      </c>
      <c r="C4889" s="9" t="s">
        <v>48</v>
      </c>
      <c r="D4889" s="9" t="s">
        <v>421</v>
      </c>
      <c r="E4889" s="9" t="s">
        <v>46</v>
      </c>
      <c r="F4889" s="9" t="s">
        <v>60</v>
      </c>
      <c r="G4889" s="9">
        <v>7.0</v>
      </c>
      <c r="H4889" s="9" t="s">
        <v>17</v>
      </c>
      <c r="I4889" s="9" t="s">
        <v>20</v>
      </c>
      <c r="J4889" s="10"/>
      <c r="K4889" s="14">
        <v>9.0</v>
      </c>
      <c r="N4889" s="14" t="str">
        <f>IFERROR(__xludf.DUMMYFUNCTION("""COMPUTED_VALUE"""),"")</f>
        <v/>
      </c>
      <c r="O4889" s="14"/>
    </row>
    <row r="4890" ht="22.5" hidden="1" customHeight="1">
      <c r="A4890" s="8">
        <v>46185.33124479167</v>
      </c>
      <c r="B4890" s="14">
        <v>46185.0</v>
      </c>
      <c r="C4890" s="9" t="s">
        <v>48</v>
      </c>
      <c r="D4890" s="9" t="s">
        <v>423</v>
      </c>
      <c r="E4890" s="9" t="s">
        <v>17</v>
      </c>
      <c r="F4890" s="9" t="s">
        <v>17</v>
      </c>
      <c r="G4890" s="9">
        <v>8.0</v>
      </c>
      <c r="H4890" s="9" t="s">
        <v>22</v>
      </c>
      <c r="I4890" s="9" t="s">
        <v>20</v>
      </c>
      <c r="J4890" s="10"/>
      <c r="K4890" s="14">
        <v>9.0</v>
      </c>
      <c r="N4890" s="14" t="str">
        <f>IFERROR(__xludf.DUMMYFUNCTION("""COMPUTED_VALUE"""),"")</f>
        <v/>
      </c>
      <c r="O4890" s="14"/>
    </row>
    <row r="4891" ht="22.5" hidden="1" customHeight="1">
      <c r="A4891" s="8">
        <v>46185.33200576389</v>
      </c>
      <c r="B4891" s="14">
        <v>46185.0</v>
      </c>
      <c r="C4891" s="9" t="s">
        <v>48</v>
      </c>
      <c r="D4891" s="9" t="s">
        <v>394</v>
      </c>
      <c r="E4891" s="9" t="s">
        <v>17</v>
      </c>
      <c r="F4891" s="9" t="s">
        <v>17</v>
      </c>
      <c r="G4891" s="9">
        <v>7.0</v>
      </c>
      <c r="H4891" s="9" t="s">
        <v>17</v>
      </c>
      <c r="I4891" s="9" t="s">
        <v>20</v>
      </c>
      <c r="J4891" s="10"/>
      <c r="K4891" s="14" t="s">
        <v>398</v>
      </c>
      <c r="N4891" s="14" t="str">
        <f>IFERROR(__xludf.DUMMYFUNCTION("""COMPUTED_VALUE"""),"")</f>
        <v/>
      </c>
      <c r="O4891" s="14"/>
    </row>
    <row r="4892" ht="22.5" hidden="1" customHeight="1">
      <c r="A4892" s="8">
        <v>46185.33230991898</v>
      </c>
      <c r="B4892" s="14">
        <v>46185.0</v>
      </c>
      <c r="C4892" s="9" t="s">
        <v>48</v>
      </c>
      <c r="D4892" s="9" t="s">
        <v>335</v>
      </c>
      <c r="E4892" s="9" t="s">
        <v>46</v>
      </c>
      <c r="F4892" s="9" t="s">
        <v>17</v>
      </c>
      <c r="G4892" s="9">
        <v>7.0</v>
      </c>
      <c r="H4892" s="9" t="s">
        <v>25</v>
      </c>
      <c r="I4892" s="9" t="s">
        <v>381</v>
      </c>
      <c r="J4892" s="10"/>
      <c r="K4892" s="14">
        <v>8.0</v>
      </c>
      <c r="N4892" s="14" t="str">
        <f>IFERROR(__xludf.DUMMYFUNCTION("""COMPUTED_VALUE"""),"")</f>
        <v/>
      </c>
      <c r="O4892" s="14"/>
    </row>
    <row r="4893" ht="22.5" hidden="1" customHeight="1">
      <c r="A4893" s="8">
        <v>46185.64324464121</v>
      </c>
      <c r="B4893" s="14">
        <v>46185.0</v>
      </c>
      <c r="C4893" s="9" t="s">
        <v>48</v>
      </c>
      <c r="D4893" s="9" t="s">
        <v>175</v>
      </c>
      <c r="E4893" s="9" t="s">
        <v>46</v>
      </c>
      <c r="F4893" s="9" t="s">
        <v>17</v>
      </c>
      <c r="G4893" s="9">
        <v>6.0</v>
      </c>
      <c r="H4893" s="9" t="s">
        <v>22</v>
      </c>
      <c r="I4893" s="9" t="s">
        <v>20</v>
      </c>
      <c r="J4893" s="10"/>
      <c r="K4893" s="14">
        <v>9.0</v>
      </c>
      <c r="N4893" s="14" t="str">
        <f>IFERROR(__xludf.DUMMYFUNCTION("""COMPUTED_VALUE"""),"")</f>
        <v/>
      </c>
      <c r="O4893" s="14"/>
    </row>
    <row r="4894" ht="22.5" hidden="1" customHeight="1">
      <c r="A4894" s="8">
        <v>46185.64363769676</v>
      </c>
      <c r="B4894" s="14">
        <v>46185.0</v>
      </c>
      <c r="C4894" s="9" t="s">
        <v>48</v>
      </c>
      <c r="D4894" s="9" t="s">
        <v>395</v>
      </c>
      <c r="E4894" s="9" t="s">
        <v>61</v>
      </c>
      <c r="F4894" s="9" t="s">
        <v>60</v>
      </c>
      <c r="G4894" s="9">
        <v>6.0</v>
      </c>
      <c r="H4894" s="9" t="s">
        <v>22</v>
      </c>
      <c r="I4894" s="9" t="s">
        <v>20</v>
      </c>
      <c r="J4894" s="10"/>
      <c r="K4894" s="14">
        <v>8.0</v>
      </c>
      <c r="N4894" s="14" t="str">
        <f>IFERROR(__xludf.DUMMYFUNCTION("""COMPUTED_VALUE"""),"")</f>
        <v/>
      </c>
      <c r="O4894" s="14"/>
    </row>
    <row r="4895" ht="22.5" hidden="1" customHeight="1">
      <c r="A4895" s="8">
        <v>46185.64442946759</v>
      </c>
      <c r="B4895" s="14">
        <v>46185.0</v>
      </c>
      <c r="C4895" s="9" t="s">
        <v>48</v>
      </c>
      <c r="D4895" s="9" t="s">
        <v>247</v>
      </c>
      <c r="E4895" s="9" t="s">
        <v>140</v>
      </c>
      <c r="F4895" s="9" t="s">
        <v>60</v>
      </c>
      <c r="G4895" s="9">
        <v>6.0</v>
      </c>
      <c r="H4895" s="9" t="s">
        <v>25</v>
      </c>
      <c r="I4895" s="9" t="s">
        <v>240</v>
      </c>
      <c r="J4895" s="10"/>
      <c r="K4895" s="14">
        <v>7.0</v>
      </c>
      <c r="N4895" s="14" t="str">
        <f>IFERROR(__xludf.DUMMYFUNCTION("""COMPUTED_VALUE"""),"")</f>
        <v/>
      </c>
      <c r="O4895" s="14"/>
    </row>
    <row r="4896" ht="22.5" hidden="1" customHeight="1">
      <c r="A4896" s="8">
        <v>46185.644769861115</v>
      </c>
      <c r="B4896" s="14">
        <v>46185.0</v>
      </c>
      <c r="C4896" s="9" t="s">
        <v>48</v>
      </c>
      <c r="D4896" s="9" t="s">
        <v>249</v>
      </c>
      <c r="E4896" s="9" t="s">
        <v>61</v>
      </c>
      <c r="F4896" s="9" t="s">
        <v>17</v>
      </c>
      <c r="G4896" s="9">
        <v>8.0</v>
      </c>
      <c r="H4896" s="9" t="s">
        <v>22</v>
      </c>
      <c r="I4896" s="9" t="s">
        <v>20</v>
      </c>
      <c r="J4896" s="10"/>
      <c r="K4896" s="14">
        <v>10.0</v>
      </c>
      <c r="N4896" s="14" t="str">
        <f>IFERROR(__xludf.DUMMYFUNCTION("""COMPUTED_VALUE"""),"")</f>
        <v/>
      </c>
      <c r="O4896" s="14"/>
    </row>
    <row r="4897" ht="22.5" hidden="1" customHeight="1">
      <c r="A4897" s="8">
        <v>46185.64507196759</v>
      </c>
      <c r="B4897" s="14">
        <v>46185.0</v>
      </c>
      <c r="C4897" s="9" t="s">
        <v>48</v>
      </c>
      <c r="D4897" s="9" t="s">
        <v>177</v>
      </c>
      <c r="E4897" s="9" t="s">
        <v>17</v>
      </c>
      <c r="F4897" s="9" t="s">
        <v>17</v>
      </c>
      <c r="G4897" s="9">
        <v>7.0</v>
      </c>
      <c r="H4897" s="9" t="s">
        <v>22</v>
      </c>
      <c r="I4897" s="9" t="s">
        <v>20</v>
      </c>
      <c r="J4897" s="10"/>
      <c r="K4897" s="14">
        <v>7.0</v>
      </c>
      <c r="N4897" s="14" t="str">
        <f>IFERROR(__xludf.DUMMYFUNCTION("""COMPUTED_VALUE"""),"")</f>
        <v/>
      </c>
      <c r="O4897" s="14"/>
    </row>
    <row r="4898" ht="22.5" hidden="1" customHeight="1">
      <c r="A4898" s="8">
        <v>46185.64569445602</v>
      </c>
      <c r="B4898" s="14">
        <v>46185.0</v>
      </c>
      <c r="C4898" s="9" t="s">
        <v>48</v>
      </c>
      <c r="D4898" s="9" t="s">
        <v>440</v>
      </c>
      <c r="E4898" s="9" t="s">
        <v>17</v>
      </c>
      <c r="F4898" s="9" t="s">
        <v>17</v>
      </c>
      <c r="G4898" s="9">
        <v>7.0</v>
      </c>
      <c r="H4898" s="9" t="s">
        <v>25</v>
      </c>
      <c r="I4898" s="9" t="s">
        <v>41</v>
      </c>
      <c r="J4898" s="10"/>
      <c r="K4898" s="14" t="s">
        <v>398</v>
      </c>
      <c r="N4898" s="14" t="str">
        <f>IFERROR(__xludf.DUMMYFUNCTION("""COMPUTED_VALUE"""),"")</f>
        <v/>
      </c>
      <c r="O4898" s="14"/>
    </row>
    <row r="4899" ht="22.5" hidden="1" customHeight="1">
      <c r="A4899" s="8">
        <v>46185.64615584491</v>
      </c>
      <c r="B4899" s="14">
        <v>46185.0</v>
      </c>
      <c r="C4899" s="9" t="s">
        <v>48</v>
      </c>
      <c r="D4899" s="9" t="s">
        <v>441</v>
      </c>
      <c r="E4899" s="9" t="s">
        <v>17</v>
      </c>
      <c r="F4899" s="9" t="s">
        <v>17</v>
      </c>
      <c r="G4899" s="9">
        <v>7.0</v>
      </c>
      <c r="H4899" s="9" t="s">
        <v>25</v>
      </c>
      <c r="I4899" s="9" t="s">
        <v>37</v>
      </c>
      <c r="J4899" s="10"/>
      <c r="K4899" s="14">
        <v>4.0</v>
      </c>
      <c r="N4899" s="14" t="str">
        <f>IFERROR(__xludf.DUMMYFUNCTION("""COMPUTED_VALUE"""),"")</f>
        <v/>
      </c>
      <c r="O4899" s="14"/>
    </row>
    <row r="4900" ht="22.5" hidden="1" customHeight="1">
      <c r="A4900" s="8">
        <v>46185.64644568287</v>
      </c>
      <c r="B4900" s="14">
        <v>46185.0</v>
      </c>
      <c r="C4900" s="9" t="s">
        <v>48</v>
      </c>
      <c r="D4900" s="9" t="s">
        <v>413</v>
      </c>
      <c r="E4900" s="9" t="s">
        <v>46</v>
      </c>
      <c r="F4900" s="9" t="s">
        <v>17</v>
      </c>
      <c r="G4900" s="9">
        <v>7.0</v>
      </c>
      <c r="H4900" s="9" t="s">
        <v>22</v>
      </c>
      <c r="I4900" s="9" t="s">
        <v>20</v>
      </c>
      <c r="J4900" s="10"/>
      <c r="K4900" s="14">
        <v>9.0</v>
      </c>
      <c r="N4900" s="14" t="str">
        <f>IFERROR(__xludf.DUMMYFUNCTION("""COMPUTED_VALUE"""),"")</f>
        <v/>
      </c>
      <c r="O4900" s="14"/>
    </row>
    <row r="4901" ht="22.5" hidden="1" customHeight="1">
      <c r="A4901" s="8">
        <v>46185.64672041667</v>
      </c>
      <c r="B4901" s="14">
        <v>46185.0</v>
      </c>
      <c r="C4901" s="9" t="s">
        <v>48</v>
      </c>
      <c r="D4901" s="9" t="s">
        <v>442</v>
      </c>
      <c r="E4901" s="9" t="s">
        <v>46</v>
      </c>
      <c r="F4901" s="9" t="s">
        <v>60</v>
      </c>
      <c r="G4901" s="9">
        <v>6.0</v>
      </c>
      <c r="H4901" s="9" t="s">
        <v>22</v>
      </c>
      <c r="I4901" s="9" t="s">
        <v>20</v>
      </c>
      <c r="J4901" s="10"/>
      <c r="K4901" s="14">
        <v>5.0</v>
      </c>
      <c r="N4901" s="14" t="str">
        <f>IFERROR(__xludf.DUMMYFUNCTION("""COMPUTED_VALUE"""),"")</f>
        <v/>
      </c>
      <c r="O4901" s="14"/>
    </row>
    <row r="4902" ht="22.5" hidden="1" customHeight="1">
      <c r="A4902" s="8">
        <v>46185.64705734953</v>
      </c>
      <c r="B4902" s="14">
        <v>46185.0</v>
      </c>
      <c r="C4902" s="9" t="s">
        <v>48</v>
      </c>
      <c r="D4902" s="9" t="s">
        <v>357</v>
      </c>
      <c r="E4902" s="9" t="s">
        <v>46</v>
      </c>
      <c r="F4902" s="9" t="s">
        <v>60</v>
      </c>
      <c r="G4902" s="9">
        <v>6.0</v>
      </c>
      <c r="H4902" s="9" t="s">
        <v>22</v>
      </c>
      <c r="I4902" s="9" t="s">
        <v>20</v>
      </c>
      <c r="J4902" s="10"/>
      <c r="K4902" s="14" t="s">
        <v>398</v>
      </c>
      <c r="N4902" s="14" t="str">
        <f>IFERROR(__xludf.DUMMYFUNCTION("""COMPUTED_VALUE"""),"")</f>
        <v/>
      </c>
      <c r="O4902" s="14"/>
    </row>
    <row r="4903" ht="22.5" hidden="1" customHeight="1">
      <c r="A4903" s="8">
        <v>46185.64744212963</v>
      </c>
      <c r="B4903" s="14">
        <v>46185.0</v>
      </c>
      <c r="C4903" s="9" t="s">
        <v>48</v>
      </c>
      <c r="D4903" s="9" t="s">
        <v>393</v>
      </c>
      <c r="E4903" s="9" t="s">
        <v>17</v>
      </c>
      <c r="F4903" s="9" t="s">
        <v>60</v>
      </c>
      <c r="G4903" s="9" t="s">
        <v>410</v>
      </c>
      <c r="H4903" s="9" t="s">
        <v>17</v>
      </c>
      <c r="I4903" s="9" t="s">
        <v>20</v>
      </c>
      <c r="J4903" s="10"/>
      <c r="K4903" s="14">
        <v>6.0</v>
      </c>
      <c r="N4903" s="14" t="str">
        <f>IFERROR(__xludf.DUMMYFUNCTION("""COMPUTED_VALUE"""),"")</f>
        <v/>
      </c>
      <c r="O4903" s="14"/>
    </row>
    <row r="4904" ht="22.5" hidden="1" customHeight="1">
      <c r="A4904" s="8">
        <v>46185.64809965278</v>
      </c>
      <c r="B4904" s="14">
        <v>46185.0</v>
      </c>
      <c r="C4904" s="9" t="s">
        <v>48</v>
      </c>
      <c r="D4904" s="9" t="s">
        <v>259</v>
      </c>
      <c r="E4904" s="9" t="s">
        <v>46</v>
      </c>
      <c r="F4904" s="9" t="s">
        <v>17</v>
      </c>
      <c r="G4904" s="9" t="s">
        <v>410</v>
      </c>
      <c r="H4904" s="9" t="s">
        <v>17</v>
      </c>
      <c r="I4904" s="9" t="s">
        <v>20</v>
      </c>
      <c r="J4904" s="10"/>
      <c r="K4904" s="14">
        <v>8.0</v>
      </c>
      <c r="N4904" s="14" t="str">
        <f>IFERROR(__xludf.DUMMYFUNCTION("""COMPUTED_VALUE"""),"")</f>
        <v/>
      </c>
      <c r="O4904" s="14"/>
    </row>
    <row r="4905" ht="22.5" hidden="1" customHeight="1">
      <c r="A4905" s="8">
        <v>46185.6484525</v>
      </c>
      <c r="B4905" s="14">
        <v>46185.0</v>
      </c>
      <c r="C4905" s="9" t="s">
        <v>48</v>
      </c>
      <c r="D4905" s="9" t="s">
        <v>394</v>
      </c>
      <c r="E4905" s="9" t="s">
        <v>17</v>
      </c>
      <c r="F4905" s="9" t="s">
        <v>17</v>
      </c>
      <c r="G4905" s="9">
        <v>7.0</v>
      </c>
      <c r="H4905" s="9" t="s">
        <v>25</v>
      </c>
      <c r="I4905" s="9" t="s">
        <v>28</v>
      </c>
      <c r="J4905" s="10"/>
      <c r="K4905" s="14" t="s">
        <v>398</v>
      </c>
      <c r="N4905" s="14" t="str">
        <f>IFERROR(__xludf.DUMMYFUNCTION("""COMPUTED_VALUE"""),"")</f>
        <v/>
      </c>
      <c r="O4905" s="14"/>
    </row>
    <row r="4906" ht="22.5" hidden="1" customHeight="1">
      <c r="A4906" s="8">
        <v>46185.64875900463</v>
      </c>
      <c r="B4906" s="14">
        <v>46185.0</v>
      </c>
      <c r="C4906" s="9" t="s">
        <v>48</v>
      </c>
      <c r="D4906" s="9" t="s">
        <v>174</v>
      </c>
      <c r="E4906" s="9" t="s">
        <v>17</v>
      </c>
      <c r="F4906" s="9" t="s">
        <v>17</v>
      </c>
      <c r="G4906" s="9">
        <v>7.0</v>
      </c>
      <c r="H4906" s="9" t="s">
        <v>22</v>
      </c>
      <c r="I4906" s="9" t="s">
        <v>20</v>
      </c>
      <c r="J4906" s="10"/>
      <c r="K4906" s="14">
        <v>4.0</v>
      </c>
      <c r="N4906" s="14" t="str">
        <f>IFERROR(__xludf.DUMMYFUNCTION("""COMPUTED_VALUE"""),"")</f>
        <v/>
      </c>
      <c r="O4906" s="14"/>
    </row>
    <row r="4907" ht="22.5" hidden="1" customHeight="1">
      <c r="A4907" s="8">
        <v>46185.64924579861</v>
      </c>
      <c r="B4907" s="14">
        <v>46185.0</v>
      </c>
      <c r="C4907" s="9" t="s">
        <v>48</v>
      </c>
      <c r="D4907" s="9" t="s">
        <v>210</v>
      </c>
      <c r="E4907" s="9" t="s">
        <v>17</v>
      </c>
      <c r="F4907" s="9" t="s">
        <v>17</v>
      </c>
      <c r="G4907" s="9">
        <v>6.0</v>
      </c>
      <c r="H4907" s="9" t="s">
        <v>22</v>
      </c>
      <c r="I4907" s="9" t="s">
        <v>20</v>
      </c>
      <c r="J4907" s="10"/>
      <c r="K4907" s="14">
        <v>8.0</v>
      </c>
      <c r="N4907" s="14" t="str">
        <f>IFERROR(__xludf.DUMMYFUNCTION("""COMPUTED_VALUE"""),"")</f>
        <v/>
      </c>
      <c r="O4907" s="14"/>
    </row>
    <row r="4908" ht="22.5" hidden="1" customHeight="1">
      <c r="A4908" s="8">
        <v>46185.64958707176</v>
      </c>
      <c r="B4908" s="14">
        <v>46185.0</v>
      </c>
      <c r="C4908" s="9" t="s">
        <v>48</v>
      </c>
      <c r="D4908" s="9" t="s">
        <v>423</v>
      </c>
      <c r="E4908" s="9" t="s">
        <v>17</v>
      </c>
      <c r="F4908" s="9" t="s">
        <v>17</v>
      </c>
      <c r="G4908" s="9">
        <v>8.0</v>
      </c>
      <c r="H4908" s="9" t="s">
        <v>25</v>
      </c>
      <c r="I4908" s="9" t="s">
        <v>41</v>
      </c>
      <c r="J4908" s="10"/>
      <c r="K4908" s="14">
        <v>9.0</v>
      </c>
      <c r="N4908" s="14" t="str">
        <f>IFERROR(__xludf.DUMMYFUNCTION("""COMPUTED_VALUE"""),"")</f>
        <v/>
      </c>
      <c r="O4908" s="14"/>
    </row>
    <row r="4909" ht="22.5" hidden="1" customHeight="1">
      <c r="A4909" s="8">
        <v>46185.64997466435</v>
      </c>
      <c r="B4909" s="14">
        <v>46185.0</v>
      </c>
      <c r="C4909" s="9" t="s">
        <v>48</v>
      </c>
      <c r="D4909" s="9" t="s">
        <v>414</v>
      </c>
      <c r="E4909" s="9" t="s">
        <v>46</v>
      </c>
      <c r="F4909" s="9" t="s">
        <v>17</v>
      </c>
      <c r="G4909" s="9">
        <v>7.0</v>
      </c>
      <c r="H4909" s="9" t="s">
        <v>25</v>
      </c>
      <c r="I4909" s="9" t="s">
        <v>176</v>
      </c>
      <c r="J4909" s="10"/>
      <c r="K4909" s="14">
        <v>9.0</v>
      </c>
      <c r="N4909" s="14" t="str">
        <f>IFERROR(__xludf.DUMMYFUNCTION("""COMPUTED_VALUE"""),"")</f>
        <v/>
      </c>
      <c r="O4909" s="14"/>
    </row>
    <row r="4910" ht="22.5" hidden="1" customHeight="1">
      <c r="A4910" s="8">
        <v>46185.6502080787</v>
      </c>
      <c r="B4910" s="14">
        <v>46185.0</v>
      </c>
      <c r="C4910" s="9" t="s">
        <v>48</v>
      </c>
      <c r="D4910" s="9" t="s">
        <v>105</v>
      </c>
      <c r="E4910" s="9" t="s">
        <v>17</v>
      </c>
      <c r="F4910" s="9" t="s">
        <v>17</v>
      </c>
      <c r="G4910" s="9">
        <v>7.0</v>
      </c>
      <c r="H4910" s="9" t="s">
        <v>22</v>
      </c>
      <c r="I4910" s="9" t="s">
        <v>20</v>
      </c>
      <c r="J4910" s="10"/>
      <c r="K4910" s="14">
        <v>3.0</v>
      </c>
      <c r="N4910" s="14" t="str">
        <f>IFERROR(__xludf.DUMMYFUNCTION("""COMPUTED_VALUE"""),"")</f>
        <v/>
      </c>
      <c r="O4910" s="14"/>
    </row>
    <row r="4911" ht="22.5" hidden="1" customHeight="1">
      <c r="A4911" s="8">
        <v>46185.650746099534</v>
      </c>
      <c r="B4911" s="14">
        <v>46185.0</v>
      </c>
      <c r="C4911" s="9" t="s">
        <v>48</v>
      </c>
      <c r="D4911" s="9" t="s">
        <v>408</v>
      </c>
      <c r="E4911" s="9" t="s">
        <v>17</v>
      </c>
      <c r="F4911" s="9" t="s">
        <v>17</v>
      </c>
      <c r="G4911" s="9">
        <v>6.0</v>
      </c>
      <c r="H4911" s="9" t="s">
        <v>22</v>
      </c>
      <c r="I4911" s="9" t="s">
        <v>20</v>
      </c>
      <c r="J4911" s="10"/>
      <c r="K4911" s="14">
        <v>6.0</v>
      </c>
      <c r="N4911" s="14" t="str">
        <f>IFERROR(__xludf.DUMMYFUNCTION("""COMPUTED_VALUE"""),"")</f>
        <v/>
      </c>
      <c r="O4911" s="14"/>
    </row>
    <row r="4912" ht="22.5" hidden="1" customHeight="1">
      <c r="A4912" s="8">
        <v>46185.651037627315</v>
      </c>
      <c r="B4912" s="14">
        <v>46185.0</v>
      </c>
      <c r="C4912" s="9" t="s">
        <v>48</v>
      </c>
      <c r="D4912" s="9" t="s">
        <v>350</v>
      </c>
      <c r="E4912" s="9" t="s">
        <v>17</v>
      </c>
      <c r="F4912" s="9" t="s">
        <v>17</v>
      </c>
      <c r="G4912" s="9">
        <v>7.0</v>
      </c>
      <c r="H4912" s="9" t="s">
        <v>22</v>
      </c>
      <c r="I4912" s="9" t="s">
        <v>20</v>
      </c>
      <c r="J4912" s="10"/>
      <c r="K4912" s="14" t="s">
        <v>398</v>
      </c>
      <c r="N4912" s="14" t="str">
        <f>IFERROR(__xludf.DUMMYFUNCTION("""COMPUTED_VALUE"""),"")</f>
        <v/>
      </c>
      <c r="O4912" s="14"/>
    </row>
    <row r="4913" ht="22.5" hidden="1" customHeight="1">
      <c r="A4913" s="8">
        <v>46185.65125109954</v>
      </c>
      <c r="B4913" s="14">
        <v>46185.0</v>
      </c>
      <c r="C4913" s="9" t="s">
        <v>48</v>
      </c>
      <c r="D4913" s="9" t="s">
        <v>421</v>
      </c>
      <c r="E4913" s="9" t="s">
        <v>17</v>
      </c>
      <c r="F4913" s="9" t="s">
        <v>17</v>
      </c>
      <c r="G4913" s="9">
        <v>7.0</v>
      </c>
      <c r="H4913" s="9" t="s">
        <v>22</v>
      </c>
      <c r="I4913" s="9" t="s">
        <v>20</v>
      </c>
      <c r="J4913" s="10"/>
      <c r="K4913" s="14">
        <v>9.0</v>
      </c>
      <c r="N4913" s="14" t="str">
        <f>IFERROR(__xludf.DUMMYFUNCTION("""COMPUTED_VALUE"""),"")</f>
        <v/>
      </c>
      <c r="O4913" s="14"/>
    </row>
    <row r="4914" ht="22.5" hidden="1" customHeight="1">
      <c r="A4914" s="8">
        <v>46185.65158194445</v>
      </c>
      <c r="B4914" s="14">
        <v>46185.0</v>
      </c>
      <c r="C4914" s="9" t="s">
        <v>48</v>
      </c>
      <c r="D4914" s="9" t="s">
        <v>439</v>
      </c>
      <c r="E4914" s="9" t="s">
        <v>17</v>
      </c>
      <c r="F4914" s="9" t="s">
        <v>17</v>
      </c>
      <c r="G4914" s="9">
        <v>7.0</v>
      </c>
      <c r="H4914" s="9" t="s">
        <v>22</v>
      </c>
      <c r="I4914" s="9" t="s">
        <v>20</v>
      </c>
      <c r="J4914" s="10"/>
      <c r="K4914" s="14">
        <v>6.0</v>
      </c>
      <c r="N4914" s="14" t="str">
        <f>IFERROR(__xludf.DUMMYFUNCTION("""COMPUTED_VALUE"""),"")</f>
        <v/>
      </c>
      <c r="O4914" s="14"/>
    </row>
    <row r="4915" ht="22.5" hidden="1" customHeight="1">
      <c r="A4915" s="8">
        <v>46185.65446427083</v>
      </c>
      <c r="B4915" s="14">
        <v>46185.0</v>
      </c>
      <c r="C4915" s="9" t="s">
        <v>48</v>
      </c>
      <c r="D4915" s="9" t="s">
        <v>335</v>
      </c>
      <c r="E4915" s="9" t="s">
        <v>46</v>
      </c>
      <c r="F4915" s="9" t="s">
        <v>60</v>
      </c>
      <c r="G4915" s="9">
        <v>6.0</v>
      </c>
      <c r="H4915" s="9" t="s">
        <v>62</v>
      </c>
      <c r="I4915" s="9" t="s">
        <v>20</v>
      </c>
      <c r="J4915" s="10"/>
      <c r="K4915" s="14">
        <v>8.0</v>
      </c>
      <c r="N4915" s="14" t="str">
        <f>IFERROR(__xludf.DUMMYFUNCTION("""COMPUTED_VALUE"""),"")</f>
        <v/>
      </c>
      <c r="O4915" s="14"/>
    </row>
    <row r="4916" ht="22.5" hidden="1" customHeight="1">
      <c r="A4916" s="8">
        <v>46185.65476119213</v>
      </c>
      <c r="B4916" s="14">
        <v>46185.0</v>
      </c>
      <c r="C4916" s="9" t="s">
        <v>48</v>
      </c>
      <c r="D4916" s="9" t="s">
        <v>369</v>
      </c>
      <c r="E4916" s="9" t="s">
        <v>17</v>
      </c>
      <c r="F4916" s="9" t="s">
        <v>17</v>
      </c>
      <c r="G4916" s="9">
        <v>7.0</v>
      </c>
      <c r="H4916" s="9" t="s">
        <v>25</v>
      </c>
      <c r="I4916" s="9" t="s">
        <v>211</v>
      </c>
      <c r="J4916" s="10"/>
      <c r="K4916" s="14">
        <v>7.0</v>
      </c>
      <c r="N4916" s="14" t="str">
        <f>IFERROR(__xludf.DUMMYFUNCTION("""COMPUTED_VALUE"""),"")</f>
        <v/>
      </c>
      <c r="O4916" s="14"/>
    </row>
    <row r="4917" ht="22.5" hidden="1" customHeight="1">
      <c r="A4917" s="8">
        <v>46185.65506123843</v>
      </c>
      <c r="B4917" s="14">
        <v>46185.0</v>
      </c>
      <c r="C4917" s="9" t="s">
        <v>48</v>
      </c>
      <c r="D4917" s="9" t="s">
        <v>367</v>
      </c>
      <c r="E4917" s="9" t="s">
        <v>46</v>
      </c>
      <c r="F4917" s="9" t="s">
        <v>60</v>
      </c>
      <c r="G4917" s="9">
        <v>6.0</v>
      </c>
      <c r="H4917" s="9" t="s">
        <v>22</v>
      </c>
      <c r="I4917" s="9" t="s">
        <v>20</v>
      </c>
      <c r="J4917" s="10"/>
      <c r="K4917" s="14" t="s">
        <v>398</v>
      </c>
      <c r="N4917" s="14" t="str">
        <f>IFERROR(__xludf.DUMMYFUNCTION("""COMPUTED_VALUE"""),"")</f>
        <v/>
      </c>
      <c r="O4917" s="14"/>
    </row>
    <row r="4918" ht="22.5" hidden="1" customHeight="1">
      <c r="A4918" s="8">
        <v>46186.293876446754</v>
      </c>
      <c r="B4918" s="14">
        <v>46186.0</v>
      </c>
      <c r="C4918" s="9" t="s">
        <v>53</v>
      </c>
      <c r="D4918" s="9" t="s">
        <v>413</v>
      </c>
      <c r="E4918" s="9" t="s">
        <v>46</v>
      </c>
      <c r="F4918" s="9" t="s">
        <v>60</v>
      </c>
      <c r="G4918" s="9" t="s">
        <v>410</v>
      </c>
      <c r="H4918" s="9" t="s">
        <v>22</v>
      </c>
      <c r="I4918" s="9" t="s">
        <v>20</v>
      </c>
      <c r="J4918" s="10"/>
      <c r="K4918" s="14">
        <v>7.0</v>
      </c>
      <c r="N4918" s="14" t="str">
        <f>IFERROR(__xludf.DUMMYFUNCTION("""COMPUTED_VALUE"""),"")</f>
        <v/>
      </c>
      <c r="O4918" s="14"/>
    </row>
    <row r="4919" ht="22.5" hidden="1" customHeight="1">
      <c r="A4919" s="8">
        <v>46186.29415714121</v>
      </c>
      <c r="B4919" s="14">
        <v>46186.0</v>
      </c>
      <c r="C4919" s="9" t="s">
        <v>53</v>
      </c>
      <c r="D4919" s="9" t="s">
        <v>369</v>
      </c>
      <c r="E4919" s="9" t="s">
        <v>17</v>
      </c>
      <c r="F4919" s="9" t="s">
        <v>17</v>
      </c>
      <c r="G4919" s="9">
        <v>7.0</v>
      </c>
      <c r="H4919" s="9" t="s">
        <v>22</v>
      </c>
      <c r="I4919" s="9" t="s">
        <v>20</v>
      </c>
      <c r="J4919" s="10"/>
      <c r="K4919" s="14">
        <v>8.0</v>
      </c>
      <c r="N4919" s="14" t="str">
        <f>IFERROR(__xludf.DUMMYFUNCTION("""COMPUTED_VALUE"""),"")</f>
        <v/>
      </c>
      <c r="O4919" s="14"/>
    </row>
    <row r="4920" ht="22.5" hidden="1" customHeight="1">
      <c r="A4920" s="8">
        <v>46186.29444961806</v>
      </c>
      <c r="B4920" s="14">
        <v>46186.0</v>
      </c>
      <c r="C4920" s="9" t="s">
        <v>53</v>
      </c>
      <c r="D4920" s="9" t="s">
        <v>441</v>
      </c>
      <c r="E4920" s="9" t="s">
        <v>17</v>
      </c>
      <c r="F4920" s="9" t="s">
        <v>17</v>
      </c>
      <c r="G4920" s="9">
        <v>6.0</v>
      </c>
      <c r="H4920" s="9" t="s">
        <v>17</v>
      </c>
      <c r="I4920" s="9" t="s">
        <v>20</v>
      </c>
      <c r="J4920" s="10"/>
      <c r="K4920" s="14">
        <v>5.0</v>
      </c>
      <c r="N4920" s="14" t="str">
        <f>IFERROR(__xludf.DUMMYFUNCTION("""COMPUTED_VALUE"""),"")</f>
        <v/>
      </c>
      <c r="O4920" s="14"/>
    </row>
    <row r="4921" ht="22.5" hidden="1" customHeight="1">
      <c r="A4921" s="8">
        <v>46186.29477476852</v>
      </c>
      <c r="B4921" s="14">
        <v>46186.0</v>
      </c>
      <c r="C4921" s="9" t="s">
        <v>53</v>
      </c>
      <c r="D4921" s="9" t="s">
        <v>394</v>
      </c>
      <c r="E4921" s="9" t="s">
        <v>46</v>
      </c>
      <c r="F4921" s="9" t="s">
        <v>60</v>
      </c>
      <c r="G4921" s="9">
        <v>6.0</v>
      </c>
      <c r="H4921" s="9" t="s">
        <v>25</v>
      </c>
      <c r="I4921" s="9" t="s">
        <v>28</v>
      </c>
      <c r="J4921" s="10"/>
      <c r="K4921" s="14" t="s">
        <v>398</v>
      </c>
      <c r="N4921" s="14" t="str">
        <f>IFERROR(__xludf.DUMMYFUNCTION("""COMPUTED_VALUE"""),"")</f>
        <v/>
      </c>
      <c r="O4921" s="14"/>
    </row>
    <row r="4922" ht="22.5" hidden="1" customHeight="1">
      <c r="A4922" s="8">
        <v>46186.295549560185</v>
      </c>
      <c r="B4922" s="14">
        <v>46186.0</v>
      </c>
      <c r="C4922" s="9" t="s">
        <v>53</v>
      </c>
      <c r="D4922" s="9" t="s">
        <v>414</v>
      </c>
      <c r="E4922" s="9" t="s">
        <v>17</v>
      </c>
      <c r="F4922" s="9" t="s">
        <v>17</v>
      </c>
      <c r="G4922" s="9">
        <v>6.0</v>
      </c>
      <c r="H4922" s="9" t="s">
        <v>25</v>
      </c>
      <c r="I4922" s="9" t="s">
        <v>443</v>
      </c>
      <c r="J4922" s="10"/>
      <c r="K4922" s="14">
        <v>7.0</v>
      </c>
      <c r="N4922" s="14" t="str">
        <f>IFERROR(__xludf.DUMMYFUNCTION("""COMPUTED_VALUE"""),"")</f>
        <v/>
      </c>
      <c r="O4922" s="14"/>
    </row>
    <row r="4923" ht="22.5" hidden="1" customHeight="1">
      <c r="A4923" s="8">
        <v>46186.29916270833</v>
      </c>
      <c r="B4923" s="14">
        <v>46186.0</v>
      </c>
      <c r="C4923" s="9" t="s">
        <v>53</v>
      </c>
      <c r="D4923" s="9" t="s">
        <v>175</v>
      </c>
      <c r="E4923" s="9" t="s">
        <v>17</v>
      </c>
      <c r="F4923" s="9" t="s">
        <v>17</v>
      </c>
      <c r="G4923" s="9">
        <v>7.0</v>
      </c>
      <c r="H4923" s="9" t="s">
        <v>22</v>
      </c>
      <c r="I4923" s="9" t="s">
        <v>20</v>
      </c>
      <c r="J4923" s="10"/>
      <c r="K4923" s="14">
        <v>8.0</v>
      </c>
      <c r="N4923" s="14" t="str">
        <f>IFERROR(__xludf.DUMMYFUNCTION("""COMPUTED_VALUE"""),"")</f>
        <v/>
      </c>
      <c r="O4923" s="14"/>
    </row>
    <row r="4924" ht="22.5" hidden="1" customHeight="1">
      <c r="A4924" s="8">
        <v>46186.29942251157</v>
      </c>
      <c r="B4924" s="14">
        <v>46186.0</v>
      </c>
      <c r="C4924" s="9" t="s">
        <v>53</v>
      </c>
      <c r="D4924" s="9" t="s">
        <v>105</v>
      </c>
      <c r="E4924" s="9" t="s">
        <v>17</v>
      </c>
      <c r="F4924" s="9" t="s">
        <v>17</v>
      </c>
      <c r="G4924" s="9">
        <v>7.0</v>
      </c>
      <c r="H4924" s="9" t="s">
        <v>22</v>
      </c>
      <c r="I4924" s="9" t="s">
        <v>20</v>
      </c>
      <c r="J4924" s="10"/>
      <c r="K4924" s="14">
        <v>3.0</v>
      </c>
      <c r="N4924" s="14" t="str">
        <f>IFERROR(__xludf.DUMMYFUNCTION("""COMPUTED_VALUE"""),"")</f>
        <v/>
      </c>
      <c r="O4924" s="14"/>
    </row>
    <row r="4925" ht="22.5" hidden="1" customHeight="1">
      <c r="A4925" s="8">
        <v>46186.29973194444</v>
      </c>
      <c r="B4925" s="14">
        <v>46186.0</v>
      </c>
      <c r="C4925" s="9" t="s">
        <v>53</v>
      </c>
      <c r="D4925" s="9" t="s">
        <v>259</v>
      </c>
      <c r="E4925" s="9" t="s">
        <v>46</v>
      </c>
      <c r="F4925" s="9" t="s">
        <v>17</v>
      </c>
      <c r="G4925" s="9">
        <v>8.0</v>
      </c>
      <c r="H4925" s="9" t="s">
        <v>25</v>
      </c>
      <c r="I4925" s="9" t="s">
        <v>50</v>
      </c>
      <c r="J4925" s="10"/>
      <c r="K4925" s="14">
        <v>7.0</v>
      </c>
      <c r="N4925" s="14" t="str">
        <f>IFERROR(__xludf.DUMMYFUNCTION("""COMPUTED_VALUE"""),"")</f>
        <v/>
      </c>
      <c r="O4925" s="14"/>
    </row>
    <row r="4926" ht="22.5" hidden="1" customHeight="1">
      <c r="A4926" s="8">
        <v>46186.30012921296</v>
      </c>
      <c r="B4926" s="14">
        <v>46186.0</v>
      </c>
      <c r="C4926" s="9" t="s">
        <v>53</v>
      </c>
      <c r="D4926" s="9" t="s">
        <v>174</v>
      </c>
      <c r="E4926" s="9" t="s">
        <v>17</v>
      </c>
      <c r="F4926" s="9" t="s">
        <v>17</v>
      </c>
      <c r="G4926" s="9">
        <v>6.0</v>
      </c>
      <c r="H4926" s="9" t="s">
        <v>22</v>
      </c>
      <c r="I4926" s="9" t="s">
        <v>20</v>
      </c>
      <c r="J4926" s="10"/>
      <c r="K4926" s="14">
        <v>7.0</v>
      </c>
      <c r="N4926" s="14" t="str">
        <f>IFERROR(__xludf.DUMMYFUNCTION("""COMPUTED_VALUE"""),"")</f>
        <v/>
      </c>
      <c r="O4926" s="14"/>
    </row>
    <row r="4927" ht="22.5" hidden="1" customHeight="1">
      <c r="A4927" s="8">
        <v>46186.30042303241</v>
      </c>
      <c r="B4927" s="14">
        <v>46186.0</v>
      </c>
      <c r="C4927" s="9" t="s">
        <v>53</v>
      </c>
      <c r="D4927" s="9" t="s">
        <v>210</v>
      </c>
      <c r="E4927" s="9" t="s">
        <v>17</v>
      </c>
      <c r="F4927" s="9" t="s">
        <v>17</v>
      </c>
      <c r="G4927" s="9">
        <v>7.0</v>
      </c>
      <c r="H4927" s="9" t="s">
        <v>22</v>
      </c>
      <c r="I4927" s="9" t="s">
        <v>20</v>
      </c>
      <c r="J4927" s="10"/>
      <c r="K4927" s="14">
        <v>6.0</v>
      </c>
      <c r="N4927" s="14" t="str">
        <f>IFERROR(__xludf.DUMMYFUNCTION("""COMPUTED_VALUE"""),"")</f>
        <v/>
      </c>
      <c r="O4927" s="14"/>
    </row>
    <row r="4928" ht="22.5" hidden="1" customHeight="1">
      <c r="A4928" s="8">
        <v>46186.30077747685</v>
      </c>
      <c r="B4928" s="14">
        <v>46186.0</v>
      </c>
      <c r="C4928" s="9" t="s">
        <v>53</v>
      </c>
      <c r="D4928" s="9" t="s">
        <v>247</v>
      </c>
      <c r="E4928" s="9" t="s">
        <v>140</v>
      </c>
      <c r="F4928" s="9" t="s">
        <v>60</v>
      </c>
      <c r="G4928" s="9">
        <v>6.0</v>
      </c>
      <c r="H4928" s="9" t="s">
        <v>62</v>
      </c>
      <c r="I4928" s="9" t="s">
        <v>20</v>
      </c>
      <c r="J4928" s="10"/>
      <c r="K4928" s="14">
        <v>8.0</v>
      </c>
      <c r="N4928" s="14" t="str">
        <f>IFERROR(__xludf.DUMMYFUNCTION("""COMPUTED_VALUE"""),"")</f>
        <v/>
      </c>
      <c r="O4928" s="14"/>
    </row>
    <row r="4929" ht="22.5" hidden="1" customHeight="1">
      <c r="A4929" s="8">
        <v>46186.30113328704</v>
      </c>
      <c r="B4929" s="14">
        <v>46186.0</v>
      </c>
      <c r="C4929" s="9" t="s">
        <v>53</v>
      </c>
      <c r="D4929" s="9" t="s">
        <v>367</v>
      </c>
      <c r="E4929" s="9" t="s">
        <v>17</v>
      </c>
      <c r="F4929" s="9" t="s">
        <v>17</v>
      </c>
      <c r="G4929" s="9">
        <v>7.0</v>
      </c>
      <c r="H4929" s="9" t="s">
        <v>22</v>
      </c>
      <c r="I4929" s="9" t="s">
        <v>20</v>
      </c>
      <c r="J4929" s="10"/>
      <c r="K4929" s="14" t="s">
        <v>398</v>
      </c>
      <c r="N4929" s="14" t="str">
        <f>IFERROR(__xludf.DUMMYFUNCTION("""COMPUTED_VALUE"""),"")</f>
        <v/>
      </c>
      <c r="O4929" s="14"/>
    </row>
    <row r="4930" ht="22.5" hidden="1" customHeight="1">
      <c r="A4930" s="8">
        <v>46186.30154173611</v>
      </c>
      <c r="B4930" s="14">
        <v>46186.0</v>
      </c>
      <c r="C4930" s="9" t="s">
        <v>53</v>
      </c>
      <c r="D4930" s="9" t="s">
        <v>357</v>
      </c>
      <c r="E4930" s="9" t="s">
        <v>17</v>
      </c>
      <c r="F4930" s="9" t="s">
        <v>17</v>
      </c>
      <c r="G4930" s="9">
        <v>8.0</v>
      </c>
      <c r="H4930" s="9" t="s">
        <v>22</v>
      </c>
      <c r="I4930" s="9" t="s">
        <v>79</v>
      </c>
      <c r="J4930" s="10"/>
      <c r="K4930" s="14">
        <v>6.0</v>
      </c>
      <c r="N4930" s="14" t="str">
        <f>IFERROR(__xludf.DUMMYFUNCTION("""COMPUTED_VALUE"""),"")</f>
        <v/>
      </c>
      <c r="O4930" s="14"/>
    </row>
    <row r="4931" ht="22.5" hidden="1" customHeight="1">
      <c r="A4931" s="8">
        <v>46186.30187934027</v>
      </c>
      <c r="B4931" s="14">
        <v>46186.0</v>
      </c>
      <c r="C4931" s="9" t="s">
        <v>53</v>
      </c>
      <c r="D4931" s="9" t="s">
        <v>423</v>
      </c>
      <c r="E4931" s="9" t="s">
        <v>17</v>
      </c>
      <c r="F4931" s="9" t="s">
        <v>17</v>
      </c>
      <c r="G4931" s="9">
        <v>6.0</v>
      </c>
      <c r="H4931" s="9" t="s">
        <v>25</v>
      </c>
      <c r="I4931" s="9" t="s">
        <v>89</v>
      </c>
      <c r="J4931" s="10"/>
      <c r="K4931" s="14">
        <v>8.0</v>
      </c>
      <c r="N4931" s="14" t="str">
        <f>IFERROR(__xludf.DUMMYFUNCTION("""COMPUTED_VALUE"""),"")</f>
        <v/>
      </c>
      <c r="O4931" s="14"/>
    </row>
    <row r="4932" ht="22.5" hidden="1" customHeight="1">
      <c r="A4932" s="8">
        <v>46186.30939829861</v>
      </c>
      <c r="B4932" s="14">
        <v>46186.0</v>
      </c>
      <c r="C4932" s="9" t="s">
        <v>53</v>
      </c>
      <c r="D4932" s="9" t="s">
        <v>177</v>
      </c>
      <c r="E4932" s="9" t="s">
        <v>17</v>
      </c>
      <c r="F4932" s="9" t="s">
        <v>60</v>
      </c>
      <c r="G4932" s="9" t="s">
        <v>410</v>
      </c>
      <c r="H4932" s="9" t="s">
        <v>17</v>
      </c>
      <c r="I4932" s="9" t="s">
        <v>20</v>
      </c>
      <c r="J4932" s="10"/>
      <c r="K4932" s="14">
        <v>7.0</v>
      </c>
      <c r="N4932" s="14" t="str">
        <f>IFERROR(__xludf.DUMMYFUNCTION("""COMPUTED_VALUE"""),"")</f>
        <v/>
      </c>
      <c r="O4932" s="14"/>
    </row>
    <row r="4933" ht="22.5" hidden="1" customHeight="1">
      <c r="A4933" s="8">
        <v>46186.30981023148</v>
      </c>
      <c r="B4933" s="14">
        <v>46186.0</v>
      </c>
      <c r="C4933" s="9" t="s">
        <v>53</v>
      </c>
      <c r="D4933" s="9" t="s">
        <v>335</v>
      </c>
      <c r="E4933" s="9" t="s">
        <v>46</v>
      </c>
      <c r="F4933" s="9" t="s">
        <v>17</v>
      </c>
      <c r="G4933" s="9">
        <v>8.0</v>
      </c>
      <c r="H4933" s="9" t="s">
        <v>25</v>
      </c>
      <c r="I4933" s="9" t="s">
        <v>381</v>
      </c>
      <c r="J4933" s="10"/>
      <c r="K4933" s="14">
        <v>7.0</v>
      </c>
      <c r="N4933" s="14" t="str">
        <f>IFERROR(__xludf.DUMMYFUNCTION("""COMPUTED_VALUE"""),"")</f>
        <v/>
      </c>
      <c r="O4933" s="14"/>
    </row>
    <row r="4934" ht="22.5" hidden="1" customHeight="1">
      <c r="A4934" s="8">
        <v>46186.31135851852</v>
      </c>
      <c r="B4934" s="14">
        <v>46186.0</v>
      </c>
      <c r="C4934" s="9" t="s">
        <v>53</v>
      </c>
      <c r="D4934" s="9" t="s">
        <v>395</v>
      </c>
      <c r="E4934" s="9" t="s">
        <v>17</v>
      </c>
      <c r="F4934" s="9" t="s">
        <v>17</v>
      </c>
      <c r="G4934" s="9">
        <v>7.0</v>
      </c>
      <c r="H4934" s="9" t="s">
        <v>17</v>
      </c>
      <c r="I4934" s="9" t="s">
        <v>20</v>
      </c>
      <c r="J4934" s="10"/>
      <c r="K4934" s="14">
        <v>6.0</v>
      </c>
      <c r="N4934" s="14" t="str">
        <f>IFERROR(__xludf.DUMMYFUNCTION("""COMPUTED_VALUE"""),"")</f>
        <v/>
      </c>
      <c r="O4934" s="14"/>
    </row>
    <row r="4935" ht="22.5" hidden="1" customHeight="1">
      <c r="A4935" s="8">
        <v>46186.31277480324</v>
      </c>
      <c r="B4935" s="14">
        <v>46186.0</v>
      </c>
      <c r="C4935" s="9" t="s">
        <v>53</v>
      </c>
      <c r="D4935" s="9" t="s">
        <v>393</v>
      </c>
      <c r="E4935" s="9" t="s">
        <v>17</v>
      </c>
      <c r="F4935" s="9" t="s">
        <v>17</v>
      </c>
      <c r="G4935" s="9">
        <v>6.0</v>
      </c>
      <c r="H4935" s="9" t="s">
        <v>22</v>
      </c>
      <c r="I4935" s="9" t="s">
        <v>20</v>
      </c>
      <c r="J4935" s="10"/>
      <c r="K4935" s="14">
        <v>5.0</v>
      </c>
      <c r="N4935" s="14" t="str">
        <f>IFERROR(__xludf.DUMMYFUNCTION("""COMPUTED_VALUE"""),"")</f>
        <v/>
      </c>
      <c r="O4935" s="14"/>
    </row>
    <row r="4936" ht="22.5" hidden="1" customHeight="1">
      <c r="A4936" s="8">
        <v>46188.339023657405</v>
      </c>
      <c r="B4936" s="14">
        <v>46188.0</v>
      </c>
      <c r="C4936" s="9" t="s">
        <v>86</v>
      </c>
      <c r="D4936" s="9" t="s">
        <v>440</v>
      </c>
      <c r="E4936" s="9" t="s">
        <v>140</v>
      </c>
      <c r="F4936" s="9" t="s">
        <v>77</v>
      </c>
      <c r="G4936" s="9">
        <v>7.0</v>
      </c>
      <c r="H4936" s="9" t="s">
        <v>62</v>
      </c>
      <c r="I4936" s="9" t="s">
        <v>242</v>
      </c>
      <c r="K4936" s="14" t="s">
        <v>398</v>
      </c>
      <c r="N4936" s="14" t="str">
        <f>IFERROR(__xludf.DUMMYFUNCTION("""COMPUTED_VALUE"""),"")</f>
        <v/>
      </c>
      <c r="O4936" s="14"/>
    </row>
    <row r="4937" ht="22.5" hidden="1" customHeight="1">
      <c r="A4937" s="8">
        <v>46188.33925510416</v>
      </c>
      <c r="B4937" s="14">
        <v>46188.0</v>
      </c>
      <c r="C4937" s="9" t="s">
        <v>86</v>
      </c>
      <c r="D4937" s="9" t="s">
        <v>280</v>
      </c>
      <c r="E4937" s="9" t="s">
        <v>46</v>
      </c>
      <c r="F4937" s="9" t="s">
        <v>60</v>
      </c>
      <c r="G4937" s="9">
        <v>6.0</v>
      </c>
      <c r="H4937" s="9" t="s">
        <v>62</v>
      </c>
      <c r="I4937" s="9" t="s">
        <v>218</v>
      </c>
      <c r="J4937" s="16">
        <v>1.0</v>
      </c>
      <c r="K4937" s="14" t="s">
        <v>398</v>
      </c>
      <c r="N4937" s="14" t="str">
        <f>IFERROR(__xludf.DUMMYFUNCTION("""COMPUTED_VALUE"""),"")</f>
        <v/>
      </c>
      <c r="O4937" s="14"/>
    </row>
    <row r="4938" ht="22.5" hidden="1" customHeight="1">
      <c r="A4938" s="8">
        <v>46188.9623149074</v>
      </c>
      <c r="B4938" s="14">
        <v>46188.0</v>
      </c>
      <c r="C4938" s="9" t="s">
        <v>110</v>
      </c>
      <c r="D4938" s="9" t="s">
        <v>249</v>
      </c>
      <c r="E4938" s="9" t="s">
        <v>61</v>
      </c>
      <c r="F4938" s="9" t="s">
        <v>17</v>
      </c>
      <c r="G4938" s="9" t="s">
        <v>410</v>
      </c>
      <c r="H4938" s="9" t="s">
        <v>22</v>
      </c>
      <c r="I4938" s="9" t="s">
        <v>20</v>
      </c>
      <c r="K4938" s="14" t="s">
        <v>398</v>
      </c>
      <c r="N4938" s="14" t="str">
        <f>IFERROR(__xludf.DUMMYFUNCTION("""COMPUTED_VALUE"""),"")</f>
        <v/>
      </c>
      <c r="O4938" s="14"/>
    </row>
    <row r="4939" ht="22.5" hidden="1" customHeight="1">
      <c r="A4939" s="8">
        <v>46188.96266752315</v>
      </c>
      <c r="B4939" s="14">
        <v>46188.0</v>
      </c>
      <c r="C4939" s="9" t="s">
        <v>110</v>
      </c>
      <c r="D4939" s="9" t="s">
        <v>174</v>
      </c>
      <c r="E4939" s="9" t="s">
        <v>46</v>
      </c>
      <c r="F4939" s="9" t="s">
        <v>17</v>
      </c>
      <c r="G4939" s="9" t="s">
        <v>410</v>
      </c>
      <c r="H4939" s="9" t="s">
        <v>22</v>
      </c>
      <c r="I4939" s="9" t="s">
        <v>20</v>
      </c>
      <c r="K4939" s="14" t="s">
        <v>398</v>
      </c>
      <c r="N4939" s="14" t="str">
        <f>IFERROR(__xludf.DUMMYFUNCTION("""COMPUTED_VALUE"""),"")</f>
        <v/>
      </c>
      <c r="O4939" s="14"/>
    </row>
    <row r="4940" ht="22.5" hidden="1" customHeight="1">
      <c r="A4940" s="8">
        <v>46188.963201782404</v>
      </c>
      <c r="B4940" s="14">
        <v>46188.0</v>
      </c>
      <c r="C4940" s="9" t="s">
        <v>110</v>
      </c>
      <c r="D4940" s="9" t="s">
        <v>247</v>
      </c>
      <c r="E4940" s="9" t="s">
        <v>140</v>
      </c>
      <c r="F4940" s="9" t="s">
        <v>39</v>
      </c>
      <c r="G4940" s="9" t="s">
        <v>410</v>
      </c>
      <c r="H4940" s="9" t="s">
        <v>22</v>
      </c>
      <c r="I4940" s="9" t="s">
        <v>20</v>
      </c>
      <c r="K4940" s="14" t="s">
        <v>398</v>
      </c>
      <c r="N4940" s="14" t="str">
        <f>IFERROR(__xludf.DUMMYFUNCTION("""COMPUTED_VALUE"""),"")</f>
        <v/>
      </c>
      <c r="O4940" s="14"/>
    </row>
    <row r="4941" ht="22.5" hidden="1" customHeight="1">
      <c r="A4941" s="8">
        <v>46188.963499722224</v>
      </c>
      <c r="B4941" s="14">
        <v>46188.0</v>
      </c>
      <c r="C4941" s="9" t="s">
        <v>110</v>
      </c>
      <c r="D4941" s="9" t="s">
        <v>393</v>
      </c>
      <c r="E4941" s="9" t="s">
        <v>17</v>
      </c>
      <c r="F4941" s="9" t="s">
        <v>17</v>
      </c>
      <c r="G4941" s="9">
        <v>6.0</v>
      </c>
      <c r="H4941" s="9" t="s">
        <v>25</v>
      </c>
      <c r="I4941" s="9" t="s">
        <v>242</v>
      </c>
      <c r="K4941" s="14" t="s">
        <v>398</v>
      </c>
      <c r="N4941" s="14" t="str">
        <f>IFERROR(__xludf.DUMMYFUNCTION("""COMPUTED_VALUE"""),"")</f>
        <v/>
      </c>
      <c r="O4941" s="14"/>
    </row>
    <row r="4942" ht="22.5" hidden="1" customHeight="1">
      <c r="A4942" s="8">
        <v>46188.96430723379</v>
      </c>
      <c r="B4942" s="14">
        <v>46188.0</v>
      </c>
      <c r="C4942" s="9" t="s">
        <v>110</v>
      </c>
      <c r="D4942" s="9" t="s">
        <v>444</v>
      </c>
      <c r="E4942" s="9" t="s">
        <v>61</v>
      </c>
      <c r="F4942" s="9" t="s">
        <v>17</v>
      </c>
      <c r="G4942" s="9">
        <v>6.0</v>
      </c>
      <c r="H4942" s="9" t="s">
        <v>22</v>
      </c>
      <c r="I4942" s="9" t="s">
        <v>20</v>
      </c>
      <c r="K4942" s="14" t="s">
        <v>398</v>
      </c>
      <c r="N4942" s="14" t="str">
        <f>IFERROR(__xludf.DUMMYFUNCTION("""COMPUTED_VALUE"""),"")</f>
        <v/>
      </c>
      <c r="O4942" s="14"/>
    </row>
    <row r="4943" ht="22.5" hidden="1" customHeight="1">
      <c r="A4943" s="8">
        <v>46188.96514303241</v>
      </c>
      <c r="B4943" s="14">
        <v>46188.0</v>
      </c>
      <c r="C4943" s="9" t="s">
        <v>110</v>
      </c>
      <c r="D4943" s="9" t="s">
        <v>445</v>
      </c>
      <c r="E4943" s="9" t="s">
        <v>17</v>
      </c>
      <c r="F4943" s="9" t="s">
        <v>17</v>
      </c>
      <c r="G4943" s="9">
        <v>6.0</v>
      </c>
      <c r="H4943" s="9" t="s">
        <v>22</v>
      </c>
      <c r="I4943" s="9" t="s">
        <v>20</v>
      </c>
      <c r="K4943" s="14" t="s">
        <v>398</v>
      </c>
      <c r="N4943" s="14" t="str">
        <f>IFERROR(__xludf.DUMMYFUNCTION("""COMPUTED_VALUE"""),"")</f>
        <v/>
      </c>
      <c r="O4943" s="14"/>
    </row>
    <row r="4944" ht="22.5" hidden="1" customHeight="1">
      <c r="A4944" s="8">
        <v>46188.96594616898</v>
      </c>
      <c r="B4944" s="14">
        <v>46188.0</v>
      </c>
      <c r="C4944" s="9" t="s">
        <v>110</v>
      </c>
      <c r="D4944" s="9" t="s">
        <v>446</v>
      </c>
      <c r="E4944" s="9" t="s">
        <v>46</v>
      </c>
      <c r="F4944" s="9" t="s">
        <v>17</v>
      </c>
      <c r="G4944" s="9">
        <v>6.0</v>
      </c>
      <c r="H4944" s="9" t="s">
        <v>22</v>
      </c>
      <c r="I4944" s="9" t="s">
        <v>20</v>
      </c>
      <c r="K4944" s="14" t="s">
        <v>398</v>
      </c>
      <c r="N4944" s="14" t="str">
        <f>IFERROR(__xludf.DUMMYFUNCTION("""COMPUTED_VALUE"""),"")</f>
        <v/>
      </c>
      <c r="O4944" s="14"/>
    </row>
    <row r="4945" ht="22.5" hidden="1" customHeight="1">
      <c r="A4945" s="8">
        <v>46188.96661416667</v>
      </c>
      <c r="B4945" s="14">
        <v>46188.0</v>
      </c>
      <c r="C4945" s="9" t="s">
        <v>110</v>
      </c>
      <c r="D4945" s="9" t="s">
        <v>423</v>
      </c>
      <c r="E4945" s="9" t="s">
        <v>17</v>
      </c>
      <c r="F4945" s="9" t="s">
        <v>17</v>
      </c>
      <c r="G4945" s="9" t="s">
        <v>410</v>
      </c>
      <c r="H4945" s="9" t="s">
        <v>25</v>
      </c>
      <c r="I4945" s="9" t="s">
        <v>89</v>
      </c>
      <c r="K4945" s="14" t="s">
        <v>398</v>
      </c>
      <c r="N4945" s="14" t="str">
        <f>IFERROR(__xludf.DUMMYFUNCTION("""COMPUTED_VALUE"""),"")</f>
        <v/>
      </c>
      <c r="O4945" s="14"/>
    </row>
    <row r="4946" ht="22.5" hidden="1" customHeight="1">
      <c r="A4946" s="8">
        <v>46188.96714298611</v>
      </c>
      <c r="B4946" s="14">
        <v>46188.0</v>
      </c>
      <c r="C4946" s="9" t="s">
        <v>110</v>
      </c>
      <c r="D4946" s="9" t="s">
        <v>414</v>
      </c>
      <c r="E4946" s="9" t="s">
        <v>46</v>
      </c>
      <c r="F4946" s="9" t="s">
        <v>17</v>
      </c>
      <c r="G4946" s="9" t="s">
        <v>410</v>
      </c>
      <c r="H4946" s="9" t="s">
        <v>22</v>
      </c>
      <c r="I4946" s="9" t="s">
        <v>20</v>
      </c>
      <c r="K4946" s="14" t="s">
        <v>398</v>
      </c>
      <c r="N4946" s="14" t="str">
        <f>IFERROR(__xludf.DUMMYFUNCTION("""COMPUTED_VALUE"""),"")</f>
        <v/>
      </c>
      <c r="O4946" s="14"/>
    </row>
    <row r="4947" ht="22.5" hidden="1" customHeight="1">
      <c r="A4947" s="8">
        <v>46188.96798168981</v>
      </c>
      <c r="B4947" s="14">
        <v>46188.0</v>
      </c>
      <c r="C4947" s="9" t="s">
        <v>110</v>
      </c>
      <c r="D4947" s="9" t="s">
        <v>177</v>
      </c>
      <c r="E4947" s="9" t="s">
        <v>17</v>
      </c>
      <c r="F4947" s="9" t="s">
        <v>17</v>
      </c>
      <c r="G4947" s="9" t="s">
        <v>410</v>
      </c>
      <c r="H4947" s="9" t="s">
        <v>22</v>
      </c>
      <c r="I4947" s="9" t="s">
        <v>20</v>
      </c>
      <c r="K4947" s="14" t="s">
        <v>398</v>
      </c>
      <c r="N4947" s="14" t="str">
        <f>IFERROR(__xludf.DUMMYFUNCTION("""COMPUTED_VALUE"""),"")</f>
        <v/>
      </c>
      <c r="O4947" s="14"/>
    </row>
    <row r="4948" ht="22.5" hidden="1" customHeight="1">
      <c r="A4948" s="8">
        <v>46188.968295081024</v>
      </c>
      <c r="B4948" s="14">
        <v>46188.0</v>
      </c>
      <c r="C4948" s="9" t="s">
        <v>110</v>
      </c>
      <c r="D4948" s="9" t="s">
        <v>357</v>
      </c>
      <c r="E4948" s="9" t="s">
        <v>46</v>
      </c>
      <c r="F4948" s="9" t="s">
        <v>60</v>
      </c>
      <c r="G4948" s="9" t="s">
        <v>410</v>
      </c>
      <c r="H4948" s="9" t="s">
        <v>22</v>
      </c>
      <c r="I4948" s="9" t="s">
        <v>20</v>
      </c>
      <c r="K4948" s="14" t="s">
        <v>398</v>
      </c>
      <c r="N4948" s="14" t="str">
        <f>IFERROR(__xludf.DUMMYFUNCTION("""COMPUTED_VALUE"""),"")</f>
        <v/>
      </c>
      <c r="O4948" s="14"/>
    </row>
    <row r="4949" ht="22.5" hidden="1" customHeight="1">
      <c r="A4949" s="8">
        <v>46188.9687907176</v>
      </c>
      <c r="B4949" s="14">
        <v>46188.0</v>
      </c>
      <c r="C4949" s="9" t="s">
        <v>110</v>
      </c>
      <c r="D4949" s="9" t="s">
        <v>369</v>
      </c>
      <c r="E4949" s="9" t="s">
        <v>17</v>
      </c>
      <c r="F4949" s="9" t="s">
        <v>17</v>
      </c>
      <c r="G4949" s="9" t="s">
        <v>410</v>
      </c>
      <c r="H4949" s="9" t="s">
        <v>22</v>
      </c>
      <c r="I4949" s="9" t="s">
        <v>20</v>
      </c>
      <c r="K4949" s="14" t="s">
        <v>398</v>
      </c>
      <c r="N4949" s="14" t="str">
        <f>IFERROR(__xludf.DUMMYFUNCTION("""COMPUTED_VALUE"""),"")</f>
        <v/>
      </c>
      <c r="O4949" s="14"/>
    </row>
    <row r="4950" ht="22.5" hidden="1" customHeight="1">
      <c r="A4950" s="8">
        <v>46188.969286817126</v>
      </c>
      <c r="B4950" s="14">
        <v>46188.0</v>
      </c>
      <c r="C4950" s="9" t="s">
        <v>110</v>
      </c>
      <c r="D4950" s="9" t="s">
        <v>413</v>
      </c>
      <c r="E4950" s="9" t="s">
        <v>17</v>
      </c>
      <c r="F4950" s="9" t="s">
        <v>60</v>
      </c>
      <c r="G4950" s="9" t="s">
        <v>410</v>
      </c>
      <c r="H4950" s="9" t="s">
        <v>22</v>
      </c>
      <c r="I4950" s="9" t="s">
        <v>20</v>
      </c>
      <c r="K4950" s="14" t="s">
        <v>398</v>
      </c>
      <c r="N4950" s="14" t="str">
        <f>IFERROR(__xludf.DUMMYFUNCTION("""COMPUTED_VALUE"""),"")</f>
        <v/>
      </c>
      <c r="O4950" s="14"/>
    </row>
    <row r="4951" ht="22.5" hidden="1" customHeight="1">
      <c r="A4951" s="8">
        <v>46188.96989501157</v>
      </c>
      <c r="B4951" s="14">
        <v>46188.0</v>
      </c>
      <c r="C4951" s="9" t="s">
        <v>110</v>
      </c>
      <c r="D4951" s="9" t="s">
        <v>441</v>
      </c>
      <c r="E4951" s="9" t="s">
        <v>17</v>
      </c>
      <c r="F4951" s="9" t="s">
        <v>17</v>
      </c>
      <c r="G4951" s="9">
        <v>7.0</v>
      </c>
      <c r="H4951" s="9" t="s">
        <v>22</v>
      </c>
      <c r="I4951" s="9" t="s">
        <v>20</v>
      </c>
      <c r="K4951" s="14" t="s">
        <v>398</v>
      </c>
      <c r="N4951" s="14" t="str">
        <f>IFERROR(__xludf.DUMMYFUNCTION("""COMPUTED_VALUE"""),"")</f>
        <v/>
      </c>
      <c r="O4951" s="14"/>
    </row>
    <row r="4952" ht="22.5" hidden="1" customHeight="1">
      <c r="A4952" s="8">
        <v>46188.970418784724</v>
      </c>
      <c r="B4952" s="14">
        <v>46188.0</v>
      </c>
      <c r="C4952" s="9" t="s">
        <v>110</v>
      </c>
      <c r="D4952" s="9" t="s">
        <v>442</v>
      </c>
      <c r="E4952" s="9" t="s">
        <v>17</v>
      </c>
      <c r="F4952" s="9" t="s">
        <v>17</v>
      </c>
      <c r="G4952" s="9" t="s">
        <v>410</v>
      </c>
      <c r="H4952" s="9" t="s">
        <v>22</v>
      </c>
      <c r="I4952" s="9" t="s">
        <v>20</v>
      </c>
      <c r="K4952" s="14" t="s">
        <v>398</v>
      </c>
      <c r="N4952" s="14" t="str">
        <f>IFERROR(__xludf.DUMMYFUNCTION("""COMPUTED_VALUE"""),"")</f>
        <v/>
      </c>
      <c r="O4952" s="14"/>
    </row>
    <row r="4953" ht="22.5" hidden="1" customHeight="1">
      <c r="A4953" s="8">
        <v>46188.97134923611</v>
      </c>
      <c r="B4953" s="14">
        <v>46188.0</v>
      </c>
      <c r="C4953" s="9" t="s">
        <v>110</v>
      </c>
      <c r="D4953" s="9" t="s">
        <v>340</v>
      </c>
      <c r="E4953" s="9" t="s">
        <v>46</v>
      </c>
      <c r="F4953" s="9" t="s">
        <v>39</v>
      </c>
      <c r="G4953" s="9" t="s">
        <v>410</v>
      </c>
      <c r="H4953" s="9" t="s">
        <v>22</v>
      </c>
      <c r="I4953" s="9" t="s">
        <v>20</v>
      </c>
      <c r="K4953" s="14" t="s">
        <v>398</v>
      </c>
      <c r="N4953" s="14" t="str">
        <f>IFERROR(__xludf.DUMMYFUNCTION("""COMPUTED_VALUE"""),"")</f>
        <v/>
      </c>
      <c r="O4953" s="14"/>
    </row>
    <row r="4954" ht="22.5" hidden="1" customHeight="1">
      <c r="A4954" s="8">
        <v>46188.971886562504</v>
      </c>
      <c r="B4954" s="14">
        <v>46188.0</v>
      </c>
      <c r="C4954" s="9" t="s">
        <v>110</v>
      </c>
      <c r="D4954" s="9" t="s">
        <v>447</v>
      </c>
      <c r="E4954" s="9" t="s">
        <v>17</v>
      </c>
      <c r="F4954" s="9" t="s">
        <v>17</v>
      </c>
      <c r="G4954" s="9">
        <v>6.0</v>
      </c>
      <c r="H4954" s="9" t="s">
        <v>22</v>
      </c>
      <c r="I4954" s="9" t="s">
        <v>20</v>
      </c>
      <c r="K4954" s="14" t="s">
        <v>398</v>
      </c>
      <c r="N4954" s="14" t="str">
        <f>IFERROR(__xludf.DUMMYFUNCTION("""COMPUTED_VALUE"""),"")</f>
        <v/>
      </c>
      <c r="O4954" s="14"/>
    </row>
    <row r="4955" ht="22.5" hidden="1" customHeight="1">
      <c r="A4955" s="8">
        <v>46188.9731460301</v>
      </c>
      <c r="B4955" s="14">
        <v>46188.0</v>
      </c>
      <c r="C4955" s="9" t="s">
        <v>110</v>
      </c>
      <c r="D4955" s="9" t="s">
        <v>210</v>
      </c>
      <c r="E4955" s="9" t="s">
        <v>17</v>
      </c>
      <c r="F4955" s="9" t="s">
        <v>17</v>
      </c>
      <c r="G4955" s="9">
        <v>6.0</v>
      </c>
      <c r="H4955" s="9" t="s">
        <v>25</v>
      </c>
      <c r="I4955" s="9" t="s">
        <v>41</v>
      </c>
      <c r="K4955" s="14" t="s">
        <v>398</v>
      </c>
      <c r="N4955" s="14" t="str">
        <f>IFERROR(__xludf.DUMMYFUNCTION("""COMPUTED_VALUE"""),"")</f>
        <v/>
      </c>
      <c r="O4955" s="14"/>
    </row>
    <row r="4956" ht="22.5" hidden="1" customHeight="1">
      <c r="A4956" s="8">
        <v>46188.97335188657</v>
      </c>
      <c r="B4956" s="14">
        <v>46188.0</v>
      </c>
      <c r="C4956" s="9" t="s">
        <v>110</v>
      </c>
      <c r="D4956" s="9" t="s">
        <v>395</v>
      </c>
      <c r="E4956" s="9" t="s">
        <v>17</v>
      </c>
      <c r="F4956" s="9" t="s">
        <v>17</v>
      </c>
      <c r="G4956" s="9">
        <v>7.0</v>
      </c>
      <c r="H4956" s="9" t="s">
        <v>22</v>
      </c>
      <c r="I4956" s="9" t="s">
        <v>20</v>
      </c>
      <c r="K4956" s="14" t="s">
        <v>398</v>
      </c>
      <c r="N4956" s="14" t="str">
        <f>IFERROR(__xludf.DUMMYFUNCTION("""COMPUTED_VALUE"""),"")</f>
        <v/>
      </c>
      <c r="O4956" s="14"/>
    </row>
    <row r="4957" ht="22.5" hidden="1" customHeight="1">
      <c r="A4957" s="8">
        <v>46188.975131203704</v>
      </c>
      <c r="B4957" s="14">
        <v>46188.0</v>
      </c>
      <c r="C4957" s="9" t="s">
        <v>110</v>
      </c>
      <c r="D4957" s="9" t="s">
        <v>448</v>
      </c>
      <c r="E4957" s="9" t="s">
        <v>17</v>
      </c>
      <c r="F4957" s="9" t="s">
        <v>17</v>
      </c>
      <c r="G4957" s="9">
        <v>6.0</v>
      </c>
      <c r="H4957" s="9" t="s">
        <v>22</v>
      </c>
      <c r="I4957" s="9" t="s">
        <v>20</v>
      </c>
      <c r="K4957" s="14" t="s">
        <v>398</v>
      </c>
      <c r="N4957" s="14" t="str">
        <f>IFERROR(__xludf.DUMMYFUNCTION("""COMPUTED_VALUE"""),"")</f>
        <v/>
      </c>
      <c r="O4957" s="14"/>
    </row>
    <row r="4958" ht="22.5" hidden="1" customHeight="1">
      <c r="A4958" s="8">
        <v>46188.976812361114</v>
      </c>
      <c r="B4958" s="14">
        <v>46188.0</v>
      </c>
      <c r="C4958" s="9" t="s">
        <v>110</v>
      </c>
      <c r="D4958" s="9" t="s">
        <v>259</v>
      </c>
      <c r="E4958" s="9" t="s">
        <v>17</v>
      </c>
      <c r="F4958" s="9" t="s">
        <v>39</v>
      </c>
      <c r="G4958" s="9">
        <v>6.0</v>
      </c>
      <c r="H4958" s="9" t="s">
        <v>22</v>
      </c>
      <c r="I4958" s="9" t="s">
        <v>20</v>
      </c>
      <c r="K4958" s="14" t="s">
        <v>398</v>
      </c>
      <c r="N4958" s="14" t="str">
        <f>IFERROR(__xludf.DUMMYFUNCTION("""COMPUTED_VALUE"""),"")</f>
        <v/>
      </c>
      <c r="O4958" s="14"/>
    </row>
    <row r="4959" ht="22.5" hidden="1" customHeight="1">
      <c r="A4959" s="8">
        <v>46188.97768924768</v>
      </c>
      <c r="B4959" s="14">
        <v>46188.0</v>
      </c>
      <c r="C4959" s="9" t="s">
        <v>110</v>
      </c>
      <c r="D4959" s="9" t="s">
        <v>105</v>
      </c>
      <c r="E4959" s="9" t="s">
        <v>61</v>
      </c>
      <c r="F4959" s="9" t="s">
        <v>60</v>
      </c>
      <c r="G4959" s="9" t="s">
        <v>410</v>
      </c>
      <c r="H4959" s="9" t="s">
        <v>22</v>
      </c>
      <c r="I4959" s="9" t="s">
        <v>20</v>
      </c>
      <c r="K4959" s="14" t="s">
        <v>398</v>
      </c>
      <c r="N4959" s="14" t="str">
        <f>IFERROR(__xludf.DUMMYFUNCTION("""COMPUTED_VALUE"""),"")</f>
        <v/>
      </c>
      <c r="O4959" s="14"/>
    </row>
    <row r="4960" ht="22.5" hidden="1" customHeight="1">
      <c r="A4960" s="8">
        <v>46188.97799810185</v>
      </c>
      <c r="B4960" s="14">
        <v>46188.0</v>
      </c>
      <c r="C4960" s="9" t="s">
        <v>110</v>
      </c>
      <c r="D4960" s="9" t="s">
        <v>394</v>
      </c>
      <c r="E4960" s="9" t="s">
        <v>17</v>
      </c>
      <c r="F4960" s="9" t="s">
        <v>17</v>
      </c>
      <c r="G4960" s="9">
        <v>6.0</v>
      </c>
      <c r="H4960" s="9" t="s">
        <v>22</v>
      </c>
      <c r="I4960" s="9" t="s">
        <v>20</v>
      </c>
      <c r="K4960" s="14" t="s">
        <v>398</v>
      </c>
      <c r="N4960" s="14" t="str">
        <f>IFERROR(__xludf.DUMMYFUNCTION("""COMPUTED_VALUE"""),"")</f>
        <v/>
      </c>
      <c r="O4960" s="14"/>
    </row>
    <row r="4961" ht="22.5" hidden="1" customHeight="1">
      <c r="A4961" s="8">
        <v>46188.97968398148</v>
      </c>
      <c r="B4961" s="14">
        <v>46188.0</v>
      </c>
      <c r="C4961" s="9" t="s">
        <v>110</v>
      </c>
      <c r="D4961" s="9" t="s">
        <v>175</v>
      </c>
      <c r="E4961" s="9" t="s">
        <v>17</v>
      </c>
      <c r="F4961" s="9" t="s">
        <v>39</v>
      </c>
      <c r="G4961" s="9" t="s">
        <v>410</v>
      </c>
      <c r="H4961" s="9" t="s">
        <v>22</v>
      </c>
      <c r="I4961" s="9" t="s">
        <v>20</v>
      </c>
      <c r="K4961" s="14" t="s">
        <v>398</v>
      </c>
      <c r="N4961" s="14" t="str">
        <f>IFERROR(__xludf.DUMMYFUNCTION("""COMPUTED_VALUE"""),"")</f>
        <v/>
      </c>
      <c r="O4961" s="14"/>
    </row>
    <row r="4962" ht="22.5" hidden="1" customHeight="1">
      <c r="A4962" s="8">
        <v>46188.98012649306</v>
      </c>
      <c r="B4962" s="14">
        <v>46188.0</v>
      </c>
      <c r="C4962" s="9" t="s">
        <v>110</v>
      </c>
      <c r="D4962" s="9" t="s">
        <v>335</v>
      </c>
      <c r="E4962" s="9" t="s">
        <v>17</v>
      </c>
      <c r="F4962" s="9" t="s">
        <v>17</v>
      </c>
      <c r="G4962" s="9" t="s">
        <v>410</v>
      </c>
      <c r="H4962" s="9" t="s">
        <v>25</v>
      </c>
      <c r="I4962" s="9" t="s">
        <v>402</v>
      </c>
      <c r="K4962" s="14" t="s">
        <v>398</v>
      </c>
      <c r="N4962" s="14" t="str">
        <f>IFERROR(__xludf.DUMMYFUNCTION("""COMPUTED_VALUE"""),"")</f>
        <v/>
      </c>
      <c r="O4962" s="14"/>
    </row>
    <row r="4963" ht="22.5" hidden="1" customHeight="1">
      <c r="A4963" s="8">
        <v>46188.983345879635</v>
      </c>
      <c r="B4963" s="14">
        <v>46188.0</v>
      </c>
      <c r="C4963" s="9" t="s">
        <v>110</v>
      </c>
      <c r="D4963" s="9" t="s">
        <v>367</v>
      </c>
      <c r="E4963" s="9" t="s">
        <v>17</v>
      </c>
      <c r="F4963" s="9" t="s">
        <v>17</v>
      </c>
      <c r="G4963" s="9">
        <v>7.0</v>
      </c>
      <c r="H4963" s="9" t="s">
        <v>22</v>
      </c>
      <c r="I4963" s="9" t="s">
        <v>20</v>
      </c>
      <c r="K4963" s="14" t="s">
        <v>398</v>
      </c>
      <c r="N4963" s="14" t="str">
        <f>IFERROR(__xludf.DUMMYFUNCTION("""COMPUTED_VALUE"""),"")</f>
        <v/>
      </c>
      <c r="O4963" s="14"/>
    </row>
    <row r="4964" ht="22.5" hidden="1" customHeight="1">
      <c r="A4964" s="8">
        <v>46189.96588959491</v>
      </c>
      <c r="B4964" s="14">
        <v>46189.0</v>
      </c>
      <c r="C4964" s="9" t="s">
        <v>15</v>
      </c>
      <c r="D4964" s="9" t="s">
        <v>445</v>
      </c>
      <c r="E4964" s="9" t="s">
        <v>61</v>
      </c>
      <c r="F4964" s="9" t="s">
        <v>60</v>
      </c>
      <c r="G4964" s="9" t="s">
        <v>410</v>
      </c>
      <c r="H4964" s="9" t="s">
        <v>25</v>
      </c>
      <c r="I4964" s="9" t="s">
        <v>176</v>
      </c>
      <c r="K4964" s="14" t="s">
        <v>398</v>
      </c>
      <c r="N4964" s="14" t="str">
        <f>IFERROR(__xludf.DUMMYFUNCTION("""COMPUTED_VALUE"""),"")</f>
        <v/>
      </c>
      <c r="O4964" s="14"/>
    </row>
    <row r="4965" ht="22.5" hidden="1" customHeight="1">
      <c r="A4965" s="8">
        <v>46189.96629621528</v>
      </c>
      <c r="B4965" s="14">
        <v>46189.0</v>
      </c>
      <c r="C4965" s="9" t="s">
        <v>15</v>
      </c>
      <c r="D4965" s="9" t="s">
        <v>423</v>
      </c>
      <c r="E4965" s="9" t="s">
        <v>17</v>
      </c>
      <c r="F4965" s="9" t="s">
        <v>17</v>
      </c>
      <c r="G4965" s="9">
        <v>6.0</v>
      </c>
      <c r="H4965" s="9" t="s">
        <v>25</v>
      </c>
      <c r="I4965" s="9" t="s">
        <v>89</v>
      </c>
      <c r="K4965" s="14" t="s">
        <v>398</v>
      </c>
      <c r="N4965" s="14" t="str">
        <f>IFERROR(__xludf.DUMMYFUNCTION("""COMPUTED_VALUE"""),"")</f>
        <v/>
      </c>
      <c r="O4965" s="14"/>
    </row>
    <row r="4966" ht="22.5" hidden="1" customHeight="1">
      <c r="A4966" s="8">
        <v>46189.96675893519</v>
      </c>
      <c r="B4966" s="14">
        <v>46189.0</v>
      </c>
      <c r="C4966" s="9" t="s">
        <v>15</v>
      </c>
      <c r="D4966" s="9" t="s">
        <v>414</v>
      </c>
      <c r="E4966" s="9" t="s">
        <v>61</v>
      </c>
      <c r="F4966" s="9" t="s">
        <v>17</v>
      </c>
      <c r="G4966" s="9">
        <v>6.0</v>
      </c>
      <c r="H4966" s="9" t="s">
        <v>17</v>
      </c>
      <c r="I4966" s="9" t="s">
        <v>20</v>
      </c>
      <c r="K4966" s="14" t="s">
        <v>398</v>
      </c>
      <c r="N4966" s="14" t="str">
        <f>IFERROR(__xludf.DUMMYFUNCTION("""COMPUTED_VALUE"""),"")</f>
        <v/>
      </c>
      <c r="O4966" s="14"/>
    </row>
    <row r="4967" ht="22.5" hidden="1" customHeight="1">
      <c r="A4967" s="8">
        <v>46189.96728886574</v>
      </c>
      <c r="B4967" s="14">
        <v>46189.0</v>
      </c>
      <c r="C4967" s="9" t="s">
        <v>15</v>
      </c>
      <c r="D4967" s="9" t="s">
        <v>413</v>
      </c>
      <c r="E4967" s="9" t="s">
        <v>17</v>
      </c>
      <c r="F4967" s="9" t="s">
        <v>17</v>
      </c>
      <c r="G4967" s="9">
        <v>6.0</v>
      </c>
      <c r="H4967" s="9" t="s">
        <v>17</v>
      </c>
      <c r="I4967" s="9" t="s">
        <v>20</v>
      </c>
      <c r="K4967" s="14" t="s">
        <v>398</v>
      </c>
      <c r="N4967" s="14" t="str">
        <f>IFERROR(__xludf.DUMMYFUNCTION("""COMPUTED_VALUE"""),"")</f>
        <v/>
      </c>
      <c r="O4967" s="14"/>
    </row>
    <row r="4968" ht="22.5" hidden="1" customHeight="1">
      <c r="A4968" s="8">
        <v>46189.96780186343</v>
      </c>
      <c r="B4968" s="14">
        <v>46189.0</v>
      </c>
      <c r="C4968" s="9" t="s">
        <v>15</v>
      </c>
      <c r="D4968" s="9" t="s">
        <v>446</v>
      </c>
      <c r="E4968" s="9" t="s">
        <v>61</v>
      </c>
      <c r="F4968" s="9" t="s">
        <v>17</v>
      </c>
      <c r="G4968" s="9">
        <v>7.0</v>
      </c>
      <c r="H4968" s="9" t="s">
        <v>17</v>
      </c>
      <c r="I4968" s="9" t="s">
        <v>159</v>
      </c>
      <c r="K4968" s="14" t="s">
        <v>398</v>
      </c>
      <c r="N4968" s="14" t="str">
        <f>IFERROR(__xludf.DUMMYFUNCTION("""COMPUTED_VALUE"""),"")</f>
        <v/>
      </c>
      <c r="O4968" s="14"/>
    </row>
    <row r="4969" ht="22.5" hidden="1" customHeight="1">
      <c r="A4969" s="8">
        <v>46189.96848085648</v>
      </c>
      <c r="B4969" s="14">
        <v>46189.0</v>
      </c>
      <c r="C4969" s="9" t="s">
        <v>15</v>
      </c>
      <c r="D4969" s="9" t="s">
        <v>449</v>
      </c>
      <c r="E4969" s="9" t="s">
        <v>61</v>
      </c>
      <c r="F4969" s="9" t="s">
        <v>17</v>
      </c>
      <c r="G4969" s="9">
        <v>6.0</v>
      </c>
      <c r="H4969" s="9" t="s">
        <v>25</v>
      </c>
      <c r="I4969" s="9" t="s">
        <v>79</v>
      </c>
      <c r="K4969" s="14" t="s">
        <v>398</v>
      </c>
      <c r="N4969" s="14" t="str">
        <f>IFERROR(__xludf.DUMMYFUNCTION("""COMPUTED_VALUE"""),"")</f>
        <v/>
      </c>
      <c r="O4969" s="14"/>
    </row>
    <row r="4970" ht="22.5" hidden="1" customHeight="1">
      <c r="A4970" s="8">
        <v>46189.968957951394</v>
      </c>
      <c r="B4970" s="14">
        <v>46189.0</v>
      </c>
      <c r="C4970" s="9" t="s">
        <v>15</v>
      </c>
      <c r="D4970" s="9" t="s">
        <v>444</v>
      </c>
      <c r="E4970" s="9" t="s">
        <v>61</v>
      </c>
      <c r="F4970" s="9" t="s">
        <v>17</v>
      </c>
      <c r="G4970" s="9">
        <v>6.0</v>
      </c>
      <c r="H4970" s="9" t="s">
        <v>25</v>
      </c>
      <c r="I4970" s="9" t="s">
        <v>79</v>
      </c>
      <c r="K4970" s="14" t="s">
        <v>398</v>
      </c>
      <c r="N4970" s="14" t="str">
        <f>IFERROR(__xludf.DUMMYFUNCTION("""COMPUTED_VALUE"""),"")</f>
        <v/>
      </c>
      <c r="O4970" s="14"/>
    </row>
    <row r="4971" ht="22.5" hidden="1" customHeight="1">
      <c r="A4971" s="8">
        <v>46189.96992122685</v>
      </c>
      <c r="B4971" s="14">
        <v>46189.0</v>
      </c>
      <c r="C4971" s="9" t="s">
        <v>15</v>
      </c>
      <c r="D4971" s="9" t="s">
        <v>249</v>
      </c>
      <c r="E4971" s="9" t="s">
        <v>61</v>
      </c>
      <c r="F4971" s="9" t="s">
        <v>17</v>
      </c>
      <c r="G4971" s="9" t="s">
        <v>410</v>
      </c>
      <c r="H4971" s="9" t="s">
        <v>62</v>
      </c>
      <c r="I4971" s="9" t="s">
        <v>20</v>
      </c>
      <c r="K4971" s="14" t="s">
        <v>398</v>
      </c>
      <c r="N4971" s="14" t="str">
        <f>IFERROR(__xludf.DUMMYFUNCTION("""COMPUTED_VALUE"""),"")</f>
        <v/>
      </c>
      <c r="O4971" s="14"/>
    </row>
    <row r="4972" ht="22.5" hidden="1" customHeight="1">
      <c r="A4972" s="8">
        <v>46189.97029378472</v>
      </c>
      <c r="B4972" s="14">
        <v>46189.0</v>
      </c>
      <c r="C4972" s="9" t="s">
        <v>15</v>
      </c>
      <c r="D4972" s="9" t="s">
        <v>395</v>
      </c>
      <c r="E4972" s="9" t="s">
        <v>61</v>
      </c>
      <c r="F4972" s="9" t="s">
        <v>17</v>
      </c>
      <c r="G4972" s="9" t="s">
        <v>410</v>
      </c>
      <c r="H4972" s="9" t="s">
        <v>62</v>
      </c>
      <c r="I4972" s="9" t="s">
        <v>20</v>
      </c>
      <c r="K4972" s="14" t="s">
        <v>398</v>
      </c>
      <c r="N4972" s="14" t="str">
        <f>IFERROR(__xludf.DUMMYFUNCTION("""COMPUTED_VALUE"""),"")</f>
        <v/>
      </c>
      <c r="O4972" s="14"/>
    </row>
    <row r="4973" ht="22.5" hidden="1" customHeight="1">
      <c r="A4973" s="8">
        <v>46189.97094690972</v>
      </c>
      <c r="B4973" s="14">
        <v>46189.0</v>
      </c>
      <c r="C4973" s="9" t="s">
        <v>15</v>
      </c>
      <c r="D4973" s="9" t="s">
        <v>174</v>
      </c>
      <c r="E4973" s="9" t="s">
        <v>61</v>
      </c>
      <c r="F4973" s="9" t="s">
        <v>17</v>
      </c>
      <c r="G4973" s="9">
        <v>7.0</v>
      </c>
      <c r="H4973" s="9" t="s">
        <v>62</v>
      </c>
      <c r="I4973" s="9" t="s">
        <v>20</v>
      </c>
      <c r="K4973" s="14" t="s">
        <v>398</v>
      </c>
      <c r="N4973" s="14" t="str">
        <f>IFERROR(__xludf.DUMMYFUNCTION("""COMPUTED_VALUE"""),"")</f>
        <v/>
      </c>
      <c r="O4973" s="14"/>
    </row>
    <row r="4974" ht="22.5" hidden="1" customHeight="1">
      <c r="A4974" s="8">
        <v>46189.97320050926</v>
      </c>
      <c r="B4974" s="14">
        <v>46189.0</v>
      </c>
      <c r="C4974" s="9" t="s">
        <v>15</v>
      </c>
      <c r="D4974" s="9" t="s">
        <v>441</v>
      </c>
      <c r="E4974" s="9" t="s">
        <v>46</v>
      </c>
      <c r="F4974" s="9" t="s">
        <v>17</v>
      </c>
      <c r="G4974" s="9">
        <v>7.0</v>
      </c>
      <c r="H4974" s="9" t="s">
        <v>17</v>
      </c>
      <c r="I4974" s="9" t="s">
        <v>20</v>
      </c>
      <c r="K4974" s="14" t="s">
        <v>398</v>
      </c>
      <c r="N4974" s="14" t="str">
        <f>IFERROR(__xludf.DUMMYFUNCTION("""COMPUTED_VALUE"""),"")</f>
        <v/>
      </c>
      <c r="O4974" s="14"/>
    </row>
    <row r="4975" ht="22.5" hidden="1" customHeight="1">
      <c r="A4975" s="8">
        <v>46189.97355079861</v>
      </c>
      <c r="B4975" s="14">
        <v>46189.0</v>
      </c>
      <c r="C4975" s="9" t="s">
        <v>15</v>
      </c>
      <c r="D4975" s="9" t="s">
        <v>442</v>
      </c>
      <c r="E4975" s="9" t="s">
        <v>17</v>
      </c>
      <c r="F4975" s="9" t="s">
        <v>17</v>
      </c>
      <c r="G4975" s="9">
        <v>6.0</v>
      </c>
      <c r="H4975" s="9" t="s">
        <v>17</v>
      </c>
      <c r="I4975" s="9" t="s">
        <v>20</v>
      </c>
      <c r="K4975" s="14" t="s">
        <v>398</v>
      </c>
      <c r="N4975" s="14" t="str">
        <f>IFERROR(__xludf.DUMMYFUNCTION("""COMPUTED_VALUE"""),"")</f>
        <v/>
      </c>
      <c r="O4975" s="14"/>
    </row>
    <row r="4976" ht="22.5" hidden="1" customHeight="1">
      <c r="A4976" s="8">
        <v>46189.97446253472</v>
      </c>
      <c r="B4976" s="14">
        <v>46189.0</v>
      </c>
      <c r="C4976" s="9" t="s">
        <v>15</v>
      </c>
      <c r="D4976" s="9" t="s">
        <v>340</v>
      </c>
      <c r="E4976" s="9" t="s">
        <v>17</v>
      </c>
      <c r="F4976" s="9" t="s">
        <v>17</v>
      </c>
      <c r="G4976" s="9">
        <v>6.0</v>
      </c>
      <c r="H4976" s="9" t="s">
        <v>17</v>
      </c>
      <c r="I4976" s="9" t="s">
        <v>20</v>
      </c>
      <c r="K4976" s="14" t="s">
        <v>398</v>
      </c>
      <c r="N4976" s="14" t="str">
        <f>IFERROR(__xludf.DUMMYFUNCTION("""COMPUTED_VALUE"""),"")</f>
        <v/>
      </c>
      <c r="O4976" s="14"/>
    </row>
    <row r="4977" ht="22.5" hidden="1" customHeight="1">
      <c r="A4977" s="8">
        <v>46189.97518472222</v>
      </c>
      <c r="B4977" s="14">
        <v>46189.0</v>
      </c>
      <c r="C4977" s="9" t="s">
        <v>15</v>
      </c>
      <c r="D4977" s="9" t="s">
        <v>447</v>
      </c>
      <c r="E4977" s="9" t="s">
        <v>17</v>
      </c>
      <c r="F4977" s="9" t="s">
        <v>17</v>
      </c>
      <c r="G4977" s="9">
        <v>6.0</v>
      </c>
      <c r="H4977" s="9" t="s">
        <v>17</v>
      </c>
      <c r="I4977" s="9" t="s">
        <v>20</v>
      </c>
      <c r="K4977" s="14" t="s">
        <v>398</v>
      </c>
      <c r="N4977" s="14" t="str">
        <f>IFERROR(__xludf.DUMMYFUNCTION("""COMPUTED_VALUE"""),"")</f>
        <v/>
      </c>
      <c r="O4977" s="14"/>
    </row>
    <row r="4978" ht="22.5" hidden="1" customHeight="1">
      <c r="A4978" s="8">
        <v>46189.976493379625</v>
      </c>
      <c r="B4978" s="14">
        <v>46189.0</v>
      </c>
      <c r="C4978" s="9" t="s">
        <v>15</v>
      </c>
      <c r="D4978" s="9" t="s">
        <v>177</v>
      </c>
      <c r="E4978" s="9" t="s">
        <v>46</v>
      </c>
      <c r="F4978" s="9" t="s">
        <v>17</v>
      </c>
      <c r="G4978" s="9">
        <v>6.0</v>
      </c>
      <c r="H4978" s="9" t="s">
        <v>25</v>
      </c>
      <c r="I4978" s="9" t="s">
        <v>37</v>
      </c>
      <c r="K4978" s="14" t="s">
        <v>398</v>
      </c>
      <c r="N4978" s="14" t="str">
        <f>IFERROR(__xludf.DUMMYFUNCTION("""COMPUTED_VALUE"""),"")</f>
        <v/>
      </c>
      <c r="O4978" s="14"/>
    </row>
    <row r="4979" ht="22.5" hidden="1" customHeight="1">
      <c r="A4979" s="8">
        <v>46189.97676456018</v>
      </c>
      <c r="B4979" s="14">
        <v>46189.0</v>
      </c>
      <c r="C4979" s="9" t="s">
        <v>15</v>
      </c>
      <c r="D4979" s="9" t="s">
        <v>357</v>
      </c>
      <c r="E4979" s="9" t="s">
        <v>61</v>
      </c>
      <c r="F4979" s="9" t="s">
        <v>17</v>
      </c>
      <c r="G4979" s="9">
        <v>6.0</v>
      </c>
      <c r="H4979" s="9" t="s">
        <v>25</v>
      </c>
      <c r="I4979" s="9" t="s">
        <v>159</v>
      </c>
      <c r="K4979" s="14" t="s">
        <v>398</v>
      </c>
      <c r="N4979" s="14" t="str">
        <f>IFERROR(__xludf.DUMMYFUNCTION("""COMPUTED_VALUE"""),"")</f>
        <v/>
      </c>
      <c r="O4979" s="14"/>
    </row>
    <row r="4980" ht="22.5" hidden="1" customHeight="1">
      <c r="A4980" s="8">
        <v>46189.978689317126</v>
      </c>
      <c r="B4980" s="14">
        <v>46189.0</v>
      </c>
      <c r="C4980" s="9" t="s">
        <v>15</v>
      </c>
      <c r="D4980" s="9" t="s">
        <v>259</v>
      </c>
      <c r="E4980" s="9" t="s">
        <v>61</v>
      </c>
      <c r="F4980" s="9" t="s">
        <v>17</v>
      </c>
      <c r="G4980" s="9">
        <v>6.0</v>
      </c>
      <c r="H4980" s="9" t="s">
        <v>62</v>
      </c>
      <c r="I4980" s="9" t="s">
        <v>20</v>
      </c>
      <c r="K4980" s="14" t="s">
        <v>398</v>
      </c>
      <c r="N4980" s="14" t="str">
        <f>IFERROR(__xludf.DUMMYFUNCTION("""COMPUTED_VALUE"""),"")</f>
        <v/>
      </c>
      <c r="O4980" s="14"/>
    </row>
    <row r="4981" ht="22.5" hidden="1" customHeight="1">
      <c r="A4981" s="8">
        <v>46189.97922230324</v>
      </c>
      <c r="B4981" s="14">
        <v>46189.0</v>
      </c>
      <c r="C4981" s="9" t="s">
        <v>15</v>
      </c>
      <c r="D4981" s="9" t="s">
        <v>394</v>
      </c>
      <c r="E4981" s="9" t="s">
        <v>140</v>
      </c>
      <c r="F4981" s="9" t="s">
        <v>60</v>
      </c>
      <c r="G4981" s="9" t="s">
        <v>410</v>
      </c>
      <c r="H4981" s="9" t="s">
        <v>17</v>
      </c>
      <c r="I4981" s="9" t="s">
        <v>20</v>
      </c>
      <c r="K4981" s="14" t="s">
        <v>398</v>
      </c>
      <c r="N4981" s="14" t="str">
        <f>IFERROR(__xludf.DUMMYFUNCTION("""COMPUTED_VALUE"""),"")</f>
        <v/>
      </c>
      <c r="O4981" s="14"/>
    </row>
    <row r="4982" ht="22.5" hidden="1" customHeight="1">
      <c r="A4982" s="8">
        <v>46189.97946377315</v>
      </c>
      <c r="B4982" s="14">
        <v>46189.0</v>
      </c>
      <c r="C4982" s="9" t="s">
        <v>15</v>
      </c>
      <c r="D4982" s="9" t="s">
        <v>335</v>
      </c>
      <c r="E4982" s="9" t="s">
        <v>61</v>
      </c>
      <c r="F4982" s="9" t="s">
        <v>17</v>
      </c>
      <c r="G4982" s="9">
        <v>6.0</v>
      </c>
      <c r="H4982" s="9" t="s">
        <v>62</v>
      </c>
      <c r="I4982" s="9" t="s">
        <v>20</v>
      </c>
      <c r="K4982" s="14" t="s">
        <v>398</v>
      </c>
      <c r="N4982" s="14" t="str">
        <f>IFERROR(__xludf.DUMMYFUNCTION("""COMPUTED_VALUE"""),"")</f>
        <v/>
      </c>
      <c r="O4982" s="14"/>
    </row>
    <row r="4983" ht="22.5" hidden="1" customHeight="1">
      <c r="A4983" s="8">
        <v>46189.98121641204</v>
      </c>
      <c r="B4983" s="14">
        <v>46189.0</v>
      </c>
      <c r="C4983" s="9" t="s">
        <v>15</v>
      </c>
      <c r="D4983" s="9" t="s">
        <v>247</v>
      </c>
      <c r="E4983" s="9" t="s">
        <v>17</v>
      </c>
      <c r="F4983" s="9" t="s">
        <v>17</v>
      </c>
      <c r="G4983" s="9">
        <v>6.0</v>
      </c>
      <c r="H4983" s="9" t="s">
        <v>62</v>
      </c>
      <c r="I4983" s="9" t="s">
        <v>20</v>
      </c>
      <c r="K4983" s="14" t="s">
        <v>398</v>
      </c>
      <c r="N4983" s="14" t="str">
        <f>IFERROR(__xludf.DUMMYFUNCTION("""COMPUTED_VALUE"""),"")</f>
        <v/>
      </c>
      <c r="O4983" s="14"/>
    </row>
    <row r="4984" ht="22.5" hidden="1" customHeight="1">
      <c r="A4984" s="8">
        <v>46189.9815433912</v>
      </c>
      <c r="B4984" s="14">
        <v>46189.0</v>
      </c>
      <c r="C4984" s="9" t="s">
        <v>15</v>
      </c>
      <c r="D4984" s="9" t="s">
        <v>210</v>
      </c>
      <c r="E4984" s="9" t="s">
        <v>61</v>
      </c>
      <c r="F4984" s="9" t="s">
        <v>17</v>
      </c>
      <c r="G4984" s="9">
        <v>6.0</v>
      </c>
      <c r="H4984" s="9" t="s">
        <v>25</v>
      </c>
      <c r="I4984" s="9" t="s">
        <v>37</v>
      </c>
      <c r="K4984" s="14" t="s">
        <v>398</v>
      </c>
      <c r="N4984" s="14" t="str">
        <f>IFERROR(__xludf.DUMMYFUNCTION("""COMPUTED_VALUE"""),"")</f>
        <v/>
      </c>
      <c r="O4984" s="14"/>
    </row>
    <row r="4985" ht="22.5" hidden="1" customHeight="1">
      <c r="A4985" s="8">
        <v>46189.98209148148</v>
      </c>
      <c r="B4985" s="14">
        <v>46189.0</v>
      </c>
      <c r="C4985" s="9" t="s">
        <v>15</v>
      </c>
      <c r="D4985" s="9" t="s">
        <v>175</v>
      </c>
      <c r="E4985" s="9" t="s">
        <v>61</v>
      </c>
      <c r="F4985" s="9" t="s">
        <v>17</v>
      </c>
      <c r="G4985" s="9">
        <v>6.0</v>
      </c>
      <c r="H4985" s="9" t="s">
        <v>62</v>
      </c>
      <c r="I4985" s="9" t="s">
        <v>20</v>
      </c>
      <c r="K4985" s="14" t="s">
        <v>398</v>
      </c>
      <c r="N4985" s="14" t="str">
        <f>IFERROR(__xludf.DUMMYFUNCTION("""COMPUTED_VALUE"""),"")</f>
        <v/>
      </c>
      <c r="O4985" s="14"/>
    </row>
    <row r="4986" ht="22.5" hidden="1" customHeight="1">
      <c r="A4986" s="8">
        <v>46189.982331666666</v>
      </c>
      <c r="B4986" s="14">
        <v>46189.0</v>
      </c>
      <c r="C4986" s="9" t="s">
        <v>15</v>
      </c>
      <c r="D4986" s="9" t="s">
        <v>369</v>
      </c>
      <c r="E4986" s="9" t="s">
        <v>61</v>
      </c>
      <c r="F4986" s="9" t="s">
        <v>17</v>
      </c>
      <c r="G4986" s="9">
        <v>7.0</v>
      </c>
      <c r="H4986" s="9" t="s">
        <v>62</v>
      </c>
      <c r="I4986" s="9" t="s">
        <v>20</v>
      </c>
      <c r="K4986" s="14" t="s">
        <v>398</v>
      </c>
      <c r="N4986" s="14" t="str">
        <f>IFERROR(__xludf.DUMMYFUNCTION("""COMPUTED_VALUE"""),"")</f>
        <v/>
      </c>
      <c r="O4986" s="14"/>
    </row>
    <row r="4987" ht="22.5" hidden="1" customHeight="1">
      <c r="A4987" s="8">
        <v>46189.98281209491</v>
      </c>
      <c r="B4987" s="14">
        <v>46189.0</v>
      </c>
      <c r="C4987" s="9" t="s">
        <v>15</v>
      </c>
      <c r="D4987" s="9" t="s">
        <v>393</v>
      </c>
      <c r="E4987" s="9" t="s">
        <v>17</v>
      </c>
      <c r="F4987" s="9" t="s">
        <v>17</v>
      </c>
      <c r="G4987" s="9">
        <v>6.0</v>
      </c>
      <c r="H4987" s="9" t="s">
        <v>25</v>
      </c>
      <c r="I4987" s="9" t="s">
        <v>242</v>
      </c>
      <c r="K4987" s="14" t="s">
        <v>398</v>
      </c>
      <c r="N4987" s="14" t="str">
        <f>IFERROR(__xludf.DUMMYFUNCTION("""COMPUTED_VALUE"""),"")</f>
        <v/>
      </c>
      <c r="O4987" s="14"/>
    </row>
    <row r="4988" ht="22.5" hidden="1" customHeight="1">
      <c r="A4988" s="8">
        <v>46191.97153293982</v>
      </c>
      <c r="B4988" s="14">
        <v>46191.0</v>
      </c>
      <c r="C4988" s="9" t="s">
        <v>48</v>
      </c>
      <c r="D4988" s="9" t="s">
        <v>442</v>
      </c>
      <c r="E4988" s="9" t="s">
        <v>61</v>
      </c>
      <c r="F4988" s="9" t="s">
        <v>60</v>
      </c>
      <c r="G4988" s="9" t="s">
        <v>410</v>
      </c>
      <c r="H4988" s="9" t="s">
        <v>62</v>
      </c>
      <c r="I4988" s="9" t="s">
        <v>176</v>
      </c>
      <c r="K4988" s="14" t="s">
        <v>398</v>
      </c>
      <c r="N4988" s="14" t="str">
        <f>IFERROR(__xludf.DUMMYFUNCTION("""COMPUTED_VALUE"""),"")</f>
        <v/>
      </c>
      <c r="O4988" s="14"/>
    </row>
    <row r="4989" ht="22.5" hidden="1" customHeight="1">
      <c r="A4989" s="8">
        <v>46191.971903391204</v>
      </c>
      <c r="B4989" s="14">
        <v>46191.0</v>
      </c>
      <c r="C4989" s="9" t="s">
        <v>48</v>
      </c>
      <c r="D4989" s="9" t="s">
        <v>340</v>
      </c>
      <c r="E4989" s="9" t="s">
        <v>17</v>
      </c>
      <c r="F4989" s="9" t="s">
        <v>17</v>
      </c>
      <c r="G4989" s="9">
        <v>6.0</v>
      </c>
      <c r="H4989" s="9" t="s">
        <v>25</v>
      </c>
      <c r="I4989" s="9" t="s">
        <v>399</v>
      </c>
      <c r="K4989" s="14" t="s">
        <v>398</v>
      </c>
      <c r="N4989" s="14" t="str">
        <f>IFERROR(__xludf.DUMMYFUNCTION("""COMPUTED_VALUE"""),"")</f>
        <v/>
      </c>
      <c r="O4989" s="14"/>
    </row>
    <row r="4990" ht="22.5" hidden="1" customHeight="1">
      <c r="A4990" s="8">
        <v>46191.9722796412</v>
      </c>
      <c r="B4990" s="14">
        <v>46191.0</v>
      </c>
      <c r="C4990" s="9" t="s">
        <v>48</v>
      </c>
      <c r="D4990" s="9" t="s">
        <v>413</v>
      </c>
      <c r="E4990" s="9" t="s">
        <v>61</v>
      </c>
      <c r="F4990" s="9" t="s">
        <v>17</v>
      </c>
      <c r="G4990" s="9">
        <v>6.0</v>
      </c>
      <c r="H4990" s="9" t="s">
        <v>17</v>
      </c>
      <c r="I4990" s="9" t="s">
        <v>20</v>
      </c>
      <c r="K4990" s="14" t="s">
        <v>398</v>
      </c>
      <c r="N4990" s="14" t="str">
        <f>IFERROR(__xludf.DUMMYFUNCTION("""COMPUTED_VALUE"""),"")</f>
        <v/>
      </c>
      <c r="O4990" s="14"/>
    </row>
    <row r="4991" ht="22.5" hidden="1" customHeight="1">
      <c r="A4991" s="8">
        <v>46191.97261236111</v>
      </c>
      <c r="B4991" s="14">
        <v>46191.0</v>
      </c>
      <c r="C4991" s="9" t="s">
        <v>48</v>
      </c>
      <c r="D4991" s="9" t="s">
        <v>105</v>
      </c>
      <c r="E4991" s="9" t="s">
        <v>17</v>
      </c>
      <c r="F4991" s="9" t="s">
        <v>17</v>
      </c>
      <c r="G4991" s="9">
        <v>6.0</v>
      </c>
      <c r="H4991" s="9" t="s">
        <v>17</v>
      </c>
      <c r="I4991" s="9" t="s">
        <v>20</v>
      </c>
      <c r="K4991" s="14" t="s">
        <v>398</v>
      </c>
      <c r="N4991" s="14" t="str">
        <f>IFERROR(__xludf.DUMMYFUNCTION("""COMPUTED_VALUE"""),"")</f>
        <v/>
      </c>
      <c r="O4991" s="14"/>
    </row>
    <row r="4992" ht="22.5" hidden="1" customHeight="1">
      <c r="A4992" s="8">
        <v>46191.97305946759</v>
      </c>
      <c r="B4992" s="14">
        <v>46191.0</v>
      </c>
      <c r="C4992" s="9" t="s">
        <v>48</v>
      </c>
      <c r="D4992" s="9" t="s">
        <v>395</v>
      </c>
      <c r="E4992" s="9" t="s">
        <v>17</v>
      </c>
      <c r="F4992" s="9" t="s">
        <v>17</v>
      </c>
      <c r="G4992" s="9">
        <v>6.0</v>
      </c>
      <c r="H4992" s="9" t="s">
        <v>25</v>
      </c>
      <c r="I4992" s="9" t="s">
        <v>218</v>
      </c>
      <c r="K4992" s="14" t="s">
        <v>398</v>
      </c>
      <c r="N4992" s="14" t="str">
        <f>IFERROR(__xludf.DUMMYFUNCTION("""COMPUTED_VALUE"""),"")</f>
        <v/>
      </c>
      <c r="O4992" s="14"/>
    </row>
    <row r="4993" ht="22.5" hidden="1" customHeight="1">
      <c r="A4993" s="8">
        <v>46191.97344834491</v>
      </c>
      <c r="B4993" s="14">
        <v>46191.0</v>
      </c>
      <c r="C4993" s="9" t="s">
        <v>48</v>
      </c>
      <c r="D4993" s="9" t="s">
        <v>450</v>
      </c>
      <c r="E4993" s="9" t="s">
        <v>61</v>
      </c>
      <c r="F4993" s="9" t="s">
        <v>17</v>
      </c>
      <c r="G4993" s="9">
        <v>6.0</v>
      </c>
      <c r="H4993" s="9" t="s">
        <v>62</v>
      </c>
      <c r="I4993" s="9" t="s">
        <v>20</v>
      </c>
      <c r="K4993" s="14" t="s">
        <v>398</v>
      </c>
      <c r="N4993" s="14" t="str">
        <f>IFERROR(__xludf.DUMMYFUNCTION("""COMPUTED_VALUE"""),"")</f>
        <v/>
      </c>
      <c r="O4993" s="14"/>
    </row>
    <row r="4994" ht="22.5" hidden="1" customHeight="1">
      <c r="A4994" s="8">
        <v>46191.97397363426</v>
      </c>
      <c r="B4994" s="14">
        <v>46191.0</v>
      </c>
      <c r="C4994" s="9" t="s">
        <v>48</v>
      </c>
      <c r="D4994" s="9" t="s">
        <v>441</v>
      </c>
      <c r="E4994" s="9" t="s">
        <v>17</v>
      </c>
      <c r="F4994" s="9" t="s">
        <v>17</v>
      </c>
      <c r="G4994" s="9">
        <v>6.0</v>
      </c>
      <c r="H4994" s="9" t="s">
        <v>17</v>
      </c>
      <c r="I4994" s="9" t="s">
        <v>20</v>
      </c>
      <c r="K4994" s="14" t="s">
        <v>398</v>
      </c>
      <c r="N4994" s="14" t="str">
        <f>IFERROR(__xludf.DUMMYFUNCTION("""COMPUTED_VALUE"""),"")</f>
        <v/>
      </c>
      <c r="O4994" s="14"/>
    </row>
    <row r="4995" ht="22.5" hidden="1" customHeight="1">
      <c r="A4995" s="8">
        <v>46191.97434393519</v>
      </c>
      <c r="B4995" s="14">
        <v>46191.0</v>
      </c>
      <c r="C4995" s="9" t="s">
        <v>48</v>
      </c>
      <c r="D4995" s="9" t="s">
        <v>367</v>
      </c>
      <c r="E4995" s="9" t="s">
        <v>17</v>
      </c>
      <c r="F4995" s="9" t="s">
        <v>17</v>
      </c>
      <c r="G4995" s="9">
        <v>6.0</v>
      </c>
      <c r="H4995" s="9" t="s">
        <v>17</v>
      </c>
      <c r="I4995" s="9" t="s">
        <v>20</v>
      </c>
      <c r="K4995" s="14" t="s">
        <v>398</v>
      </c>
      <c r="N4995" s="14" t="str">
        <f>IFERROR(__xludf.DUMMYFUNCTION("""COMPUTED_VALUE"""),"")</f>
        <v/>
      </c>
      <c r="O4995" s="14"/>
    </row>
    <row r="4996" ht="22.5" hidden="1" customHeight="1">
      <c r="A4996" s="8">
        <v>46191.97478960648</v>
      </c>
      <c r="B4996" s="14">
        <v>46191.0</v>
      </c>
      <c r="C4996" s="9" t="s">
        <v>48</v>
      </c>
      <c r="D4996" s="9" t="s">
        <v>247</v>
      </c>
      <c r="E4996" s="9" t="s">
        <v>46</v>
      </c>
      <c r="F4996" s="9" t="s">
        <v>17</v>
      </c>
      <c r="G4996" s="9">
        <v>6.0</v>
      </c>
      <c r="H4996" s="9" t="s">
        <v>25</v>
      </c>
      <c r="I4996" s="9" t="s">
        <v>159</v>
      </c>
      <c r="K4996" s="14" t="s">
        <v>398</v>
      </c>
      <c r="N4996" s="14" t="str">
        <f>IFERROR(__xludf.DUMMYFUNCTION("""COMPUTED_VALUE"""),"")</f>
        <v/>
      </c>
      <c r="O4996" s="14"/>
    </row>
    <row r="4997" ht="22.5" hidden="1" customHeight="1">
      <c r="A4997" s="8">
        <v>46191.9751546412</v>
      </c>
      <c r="B4997" s="14">
        <v>46191.0</v>
      </c>
      <c r="C4997" s="9" t="s">
        <v>48</v>
      </c>
      <c r="D4997" s="9" t="s">
        <v>414</v>
      </c>
      <c r="E4997" s="9" t="s">
        <v>61</v>
      </c>
      <c r="F4997" s="9" t="s">
        <v>17</v>
      </c>
      <c r="G4997" s="9">
        <v>6.0</v>
      </c>
      <c r="H4997" s="9" t="s">
        <v>62</v>
      </c>
      <c r="I4997" s="9" t="s">
        <v>50</v>
      </c>
      <c r="K4997" s="14" t="s">
        <v>398</v>
      </c>
      <c r="N4997" s="14" t="str">
        <f>IFERROR(__xludf.DUMMYFUNCTION("""COMPUTED_VALUE"""),"")</f>
        <v/>
      </c>
      <c r="O4997" s="14"/>
    </row>
    <row r="4998" ht="22.5" hidden="1" customHeight="1">
      <c r="A4998" s="8">
        <v>46191.975614571755</v>
      </c>
      <c r="B4998" s="14">
        <v>46191.0</v>
      </c>
      <c r="C4998" s="9" t="s">
        <v>48</v>
      </c>
      <c r="D4998" s="9" t="s">
        <v>177</v>
      </c>
      <c r="E4998" s="9" t="s">
        <v>17</v>
      </c>
      <c r="F4998" s="9" t="s">
        <v>17</v>
      </c>
      <c r="G4998" s="9">
        <v>6.0</v>
      </c>
      <c r="H4998" s="9" t="s">
        <v>25</v>
      </c>
      <c r="I4998" s="9" t="s">
        <v>89</v>
      </c>
      <c r="K4998" s="14" t="s">
        <v>398</v>
      </c>
      <c r="N4998" s="14" t="str">
        <f>IFERROR(__xludf.DUMMYFUNCTION("""COMPUTED_VALUE"""),"")</f>
        <v/>
      </c>
      <c r="O4998" s="14"/>
    </row>
    <row r="4999" ht="22.5" hidden="1" customHeight="1">
      <c r="A4999" s="8">
        <v>46191.97880943287</v>
      </c>
      <c r="B4999" s="14">
        <v>46191.0</v>
      </c>
      <c r="C4999" s="9" t="s">
        <v>48</v>
      </c>
      <c r="D4999" s="9" t="s">
        <v>174</v>
      </c>
      <c r="E4999" s="9" t="s">
        <v>61</v>
      </c>
      <c r="F4999" s="9" t="s">
        <v>17</v>
      </c>
      <c r="G4999" s="9">
        <v>6.0</v>
      </c>
      <c r="H4999" s="9" t="s">
        <v>62</v>
      </c>
      <c r="I4999" s="9" t="s">
        <v>20</v>
      </c>
      <c r="K4999" s="14" t="s">
        <v>398</v>
      </c>
      <c r="N4999" s="14" t="str">
        <f>IFERROR(__xludf.DUMMYFUNCTION("""COMPUTED_VALUE"""),"")</f>
        <v/>
      </c>
      <c r="O4999" s="14"/>
    </row>
    <row r="5000" ht="22.5" hidden="1" customHeight="1">
      <c r="A5000" s="8">
        <v>46191.979590393516</v>
      </c>
      <c r="B5000" s="14">
        <v>46191.0</v>
      </c>
      <c r="C5000" s="9" t="s">
        <v>48</v>
      </c>
      <c r="D5000" s="9" t="s">
        <v>259</v>
      </c>
      <c r="E5000" s="9" t="s">
        <v>61</v>
      </c>
      <c r="F5000" s="9" t="s">
        <v>17</v>
      </c>
      <c r="G5000" s="9">
        <v>6.0</v>
      </c>
      <c r="H5000" s="9" t="s">
        <v>25</v>
      </c>
      <c r="I5000" s="9" t="s">
        <v>79</v>
      </c>
      <c r="K5000" s="14" t="s">
        <v>398</v>
      </c>
      <c r="N5000" s="14" t="str">
        <f>IFERROR(__xludf.DUMMYFUNCTION("""COMPUTED_VALUE"""),"")</f>
        <v/>
      </c>
      <c r="O5000" s="14"/>
    </row>
    <row r="5001" ht="22.5" hidden="1" customHeight="1">
      <c r="A5001" s="8">
        <v>46191.98104827546</v>
      </c>
      <c r="B5001" s="14">
        <v>46191.0</v>
      </c>
      <c r="C5001" s="9" t="s">
        <v>48</v>
      </c>
      <c r="D5001" s="9" t="s">
        <v>249</v>
      </c>
      <c r="E5001" s="9" t="s">
        <v>61</v>
      </c>
      <c r="F5001" s="9" t="s">
        <v>17</v>
      </c>
      <c r="G5001" s="9">
        <v>6.0</v>
      </c>
      <c r="H5001" s="9" t="s">
        <v>17</v>
      </c>
      <c r="I5001" s="9" t="s">
        <v>20</v>
      </c>
      <c r="K5001" s="14" t="s">
        <v>398</v>
      </c>
      <c r="N5001" s="14" t="str">
        <f>IFERROR(__xludf.DUMMYFUNCTION("""COMPUTED_VALUE"""),"")</f>
        <v/>
      </c>
      <c r="O5001" s="14"/>
    </row>
    <row r="5002" ht="22.5" hidden="1" customHeight="1">
      <c r="A5002" s="8">
        <v>46191.98208233796</v>
      </c>
      <c r="B5002" s="14">
        <v>46191.0</v>
      </c>
      <c r="C5002" s="9" t="s">
        <v>48</v>
      </c>
      <c r="D5002" s="9" t="s">
        <v>394</v>
      </c>
      <c r="E5002" s="9" t="s">
        <v>17</v>
      </c>
      <c r="F5002" s="9" t="s">
        <v>17</v>
      </c>
      <c r="G5002" s="9">
        <v>6.0</v>
      </c>
      <c r="H5002" s="9" t="s">
        <v>17</v>
      </c>
      <c r="I5002" s="9" t="s">
        <v>20</v>
      </c>
      <c r="K5002" s="14" t="s">
        <v>398</v>
      </c>
      <c r="N5002" s="14" t="str">
        <f>IFERROR(__xludf.DUMMYFUNCTION("""COMPUTED_VALUE"""),"")</f>
        <v/>
      </c>
      <c r="O5002" s="14"/>
    </row>
    <row r="5003" ht="22.5" hidden="1" customHeight="1">
      <c r="A5003" s="8">
        <v>46191.98327981481</v>
      </c>
      <c r="B5003" s="14">
        <v>46191.0</v>
      </c>
      <c r="C5003" s="9" t="s">
        <v>48</v>
      </c>
      <c r="D5003" s="9" t="s">
        <v>423</v>
      </c>
      <c r="E5003" s="9" t="s">
        <v>17</v>
      </c>
      <c r="F5003" s="9" t="s">
        <v>17</v>
      </c>
      <c r="G5003" s="9">
        <v>6.0</v>
      </c>
      <c r="H5003" s="9" t="s">
        <v>17</v>
      </c>
      <c r="I5003" s="9" t="s">
        <v>20</v>
      </c>
      <c r="K5003" s="14" t="s">
        <v>398</v>
      </c>
      <c r="N5003" s="14" t="str">
        <f>IFERROR(__xludf.DUMMYFUNCTION("""COMPUTED_VALUE"""),"")</f>
        <v/>
      </c>
      <c r="O5003" s="14"/>
    </row>
    <row r="5004" ht="22.5" hidden="1" customHeight="1">
      <c r="A5004" s="8">
        <v>46191.984112199076</v>
      </c>
      <c r="B5004" s="14">
        <v>46191.0</v>
      </c>
      <c r="C5004" s="9" t="s">
        <v>48</v>
      </c>
      <c r="D5004" s="9" t="s">
        <v>369</v>
      </c>
      <c r="E5004" s="9" t="s">
        <v>17</v>
      </c>
      <c r="F5004" s="9" t="s">
        <v>17</v>
      </c>
      <c r="G5004" s="9">
        <v>6.0</v>
      </c>
      <c r="H5004" s="9" t="s">
        <v>17</v>
      </c>
      <c r="I5004" s="9" t="s">
        <v>20</v>
      </c>
      <c r="K5004" s="14" t="s">
        <v>398</v>
      </c>
      <c r="N5004" s="14" t="str">
        <f>IFERROR(__xludf.DUMMYFUNCTION("""COMPUTED_VALUE"""),"")</f>
        <v/>
      </c>
      <c r="O5004" s="14"/>
    </row>
    <row r="5005" ht="22.5" hidden="1" customHeight="1">
      <c r="A5005" s="8">
        <v>46191.9856181713</v>
      </c>
      <c r="B5005" s="14">
        <v>46191.0</v>
      </c>
      <c r="C5005" s="9" t="s">
        <v>48</v>
      </c>
      <c r="D5005" s="9" t="s">
        <v>335</v>
      </c>
      <c r="E5005" s="9" t="s">
        <v>17</v>
      </c>
      <c r="F5005" s="9" t="s">
        <v>17</v>
      </c>
      <c r="G5005" s="9">
        <v>6.0</v>
      </c>
      <c r="H5005" s="9" t="s">
        <v>17</v>
      </c>
      <c r="I5005" s="9" t="s">
        <v>20</v>
      </c>
      <c r="K5005" s="14" t="s">
        <v>398</v>
      </c>
      <c r="N5005" s="14" t="str">
        <f>IFERROR(__xludf.DUMMYFUNCTION("""COMPUTED_VALUE"""),"")</f>
        <v/>
      </c>
      <c r="O5005" s="14"/>
    </row>
    <row r="5006" ht="22.5" hidden="1" customHeight="1">
      <c r="A5006" s="8">
        <v>46191.98599069445</v>
      </c>
      <c r="B5006" s="14">
        <v>46191.0</v>
      </c>
      <c r="C5006" s="9" t="s">
        <v>48</v>
      </c>
      <c r="D5006" s="9" t="s">
        <v>210</v>
      </c>
      <c r="E5006" s="9" t="s">
        <v>17</v>
      </c>
      <c r="F5006" s="9" t="s">
        <v>17</v>
      </c>
      <c r="G5006" s="9">
        <v>6.0</v>
      </c>
      <c r="H5006" s="9" t="s">
        <v>17</v>
      </c>
      <c r="I5006" s="9" t="s">
        <v>20</v>
      </c>
      <c r="K5006" s="14" t="s">
        <v>398</v>
      </c>
      <c r="N5006" s="14" t="str">
        <f>IFERROR(__xludf.DUMMYFUNCTION("""COMPUTED_VALUE"""),"")</f>
        <v/>
      </c>
      <c r="O5006" s="14"/>
    </row>
    <row r="5007" ht="22.5" hidden="1" customHeight="1">
      <c r="A5007" s="8">
        <v>46191.98732429398</v>
      </c>
      <c r="B5007" s="14">
        <v>46191.0</v>
      </c>
      <c r="C5007" s="9" t="s">
        <v>48</v>
      </c>
      <c r="D5007" s="9" t="s">
        <v>175</v>
      </c>
      <c r="E5007" s="9" t="s">
        <v>61</v>
      </c>
      <c r="F5007" s="9" t="s">
        <v>17</v>
      </c>
      <c r="G5007" s="9">
        <v>6.0</v>
      </c>
      <c r="H5007" s="9" t="s">
        <v>25</v>
      </c>
      <c r="I5007" s="9" t="s">
        <v>207</v>
      </c>
      <c r="K5007" s="14" t="s">
        <v>398</v>
      </c>
      <c r="N5007" s="14" t="str">
        <f>IFERROR(__xludf.DUMMYFUNCTION("""COMPUTED_VALUE"""),"")</f>
        <v/>
      </c>
      <c r="O5007" s="14"/>
    </row>
    <row r="5008" ht="22.5" hidden="1" customHeight="1">
      <c r="A5008" s="8">
        <v>46191.99112917824</v>
      </c>
      <c r="B5008" s="14">
        <v>46191.0</v>
      </c>
      <c r="C5008" s="9" t="s">
        <v>48</v>
      </c>
      <c r="D5008" s="9" t="s">
        <v>444</v>
      </c>
      <c r="E5008" s="9" t="s">
        <v>17</v>
      </c>
      <c r="F5008" s="9" t="s">
        <v>17</v>
      </c>
      <c r="G5008" s="9">
        <v>6.0</v>
      </c>
      <c r="H5008" s="9" t="s">
        <v>17</v>
      </c>
      <c r="I5008" s="9" t="s">
        <v>20</v>
      </c>
      <c r="K5008" s="14" t="s">
        <v>398</v>
      </c>
      <c r="N5008" s="14" t="str">
        <f>IFERROR(__xludf.DUMMYFUNCTION("""COMPUTED_VALUE"""),"")</f>
        <v/>
      </c>
      <c r="O5008" s="14"/>
    </row>
    <row r="5009" ht="22.5" hidden="1" customHeight="1">
      <c r="A5009" s="8">
        <v>46191.99145179398</v>
      </c>
      <c r="B5009" s="14">
        <v>46191.0</v>
      </c>
      <c r="C5009" s="9" t="s">
        <v>48</v>
      </c>
      <c r="D5009" s="9" t="s">
        <v>446</v>
      </c>
      <c r="E5009" s="9" t="s">
        <v>61</v>
      </c>
      <c r="F5009" s="9" t="s">
        <v>17</v>
      </c>
      <c r="G5009" s="9">
        <v>6.0</v>
      </c>
      <c r="H5009" s="9" t="s">
        <v>17</v>
      </c>
      <c r="I5009" s="9" t="s">
        <v>20</v>
      </c>
      <c r="K5009" s="14" t="s">
        <v>398</v>
      </c>
      <c r="N5009" s="14" t="str">
        <f>IFERROR(__xludf.DUMMYFUNCTION("""COMPUTED_VALUE"""),"")</f>
        <v/>
      </c>
      <c r="O5009" s="14"/>
    </row>
    <row r="5010" ht="22.5" hidden="1" customHeight="1">
      <c r="A5010" s="8">
        <v>46191.99188086805</v>
      </c>
      <c r="B5010" s="14">
        <v>46191.0</v>
      </c>
      <c r="C5010" s="9" t="s">
        <v>48</v>
      </c>
      <c r="D5010" s="9" t="s">
        <v>445</v>
      </c>
      <c r="E5010" s="9" t="s">
        <v>61</v>
      </c>
      <c r="F5010" s="9" t="s">
        <v>17</v>
      </c>
      <c r="G5010" s="9">
        <v>6.0</v>
      </c>
      <c r="H5010" s="9" t="s">
        <v>17</v>
      </c>
      <c r="I5010" s="9" t="s">
        <v>20</v>
      </c>
      <c r="K5010" s="14" t="s">
        <v>398</v>
      </c>
      <c r="N5010" s="14" t="str">
        <f>IFERROR(__xludf.DUMMYFUNCTION("""COMPUTED_VALUE"""),"")</f>
        <v/>
      </c>
      <c r="O5010" s="14"/>
    </row>
    <row r="5011" ht="22.5" hidden="1" customHeight="1">
      <c r="A5011" s="8">
        <v>46191.992393946755</v>
      </c>
      <c r="B5011" s="14">
        <v>46191.0</v>
      </c>
      <c r="C5011" s="9" t="s">
        <v>48</v>
      </c>
      <c r="D5011" s="9" t="s">
        <v>448</v>
      </c>
      <c r="E5011" s="9" t="s">
        <v>17</v>
      </c>
      <c r="F5011" s="9" t="s">
        <v>17</v>
      </c>
      <c r="G5011" s="9">
        <v>6.0</v>
      </c>
      <c r="H5011" s="9" t="s">
        <v>17</v>
      </c>
      <c r="I5011" s="9" t="s">
        <v>20</v>
      </c>
      <c r="K5011" s="14" t="s">
        <v>398</v>
      </c>
      <c r="N5011" s="14" t="str">
        <f>IFERROR(__xludf.DUMMYFUNCTION("""COMPUTED_VALUE"""),"")</f>
        <v/>
      </c>
      <c r="O5011" s="14"/>
    </row>
    <row r="5012" ht="22.5" hidden="1" customHeight="1">
      <c r="A5012" s="8">
        <v>46191.99275089121</v>
      </c>
      <c r="B5012" s="14">
        <v>46191.0</v>
      </c>
      <c r="C5012" s="9" t="s">
        <v>48</v>
      </c>
      <c r="D5012" s="9" t="s">
        <v>447</v>
      </c>
      <c r="E5012" s="9" t="s">
        <v>17</v>
      </c>
      <c r="F5012" s="9" t="s">
        <v>17</v>
      </c>
      <c r="G5012" s="9">
        <v>6.0</v>
      </c>
      <c r="H5012" s="9" t="s">
        <v>17</v>
      </c>
      <c r="I5012" s="9" t="s">
        <v>20</v>
      </c>
      <c r="K5012" s="14" t="s">
        <v>398</v>
      </c>
      <c r="N5012" s="14" t="str">
        <f>IFERROR(__xludf.DUMMYFUNCTION("""COMPUTED_VALUE"""),"")</f>
        <v/>
      </c>
      <c r="O5012" s="14"/>
    </row>
    <row r="5013" ht="22.5" hidden="1" customHeight="1">
      <c r="A5013" s="8">
        <v>46194.980017071764</v>
      </c>
      <c r="B5013" s="14">
        <v>46194.0</v>
      </c>
      <c r="C5013" s="9" t="s">
        <v>86</v>
      </c>
      <c r="D5013" s="9" t="s">
        <v>441</v>
      </c>
      <c r="E5013" s="9" t="s">
        <v>17</v>
      </c>
      <c r="F5013" s="9" t="s">
        <v>17</v>
      </c>
      <c r="G5013" s="9">
        <v>6.0</v>
      </c>
      <c r="H5013" s="9" t="s">
        <v>25</v>
      </c>
      <c r="I5013" s="9" t="s">
        <v>137</v>
      </c>
      <c r="K5013" s="14" t="s">
        <v>398</v>
      </c>
      <c r="N5013" s="14" t="str">
        <f>IFERROR(__xludf.DUMMYFUNCTION("""COMPUTED_VALUE"""),"")</f>
        <v/>
      </c>
      <c r="O5013" s="14"/>
    </row>
    <row r="5014" ht="22.5" hidden="1" customHeight="1">
      <c r="A5014" s="8">
        <v>46194.980317002315</v>
      </c>
      <c r="B5014" s="14">
        <v>46194.0</v>
      </c>
      <c r="C5014" s="9" t="s">
        <v>86</v>
      </c>
      <c r="D5014" s="9" t="s">
        <v>442</v>
      </c>
      <c r="E5014" s="9" t="s">
        <v>17</v>
      </c>
      <c r="F5014" s="9" t="s">
        <v>17</v>
      </c>
      <c r="G5014" s="9">
        <v>6.0</v>
      </c>
      <c r="H5014" s="9" t="s">
        <v>17</v>
      </c>
      <c r="I5014" s="9" t="s">
        <v>20</v>
      </c>
      <c r="K5014" s="14" t="s">
        <v>398</v>
      </c>
      <c r="N5014" s="14" t="str">
        <f>IFERROR(__xludf.DUMMYFUNCTION("""COMPUTED_VALUE"""),"")</f>
        <v/>
      </c>
      <c r="O5014" s="14"/>
    </row>
    <row r="5015" ht="22.5" hidden="1" customHeight="1">
      <c r="A5015" s="8">
        <v>46194.98061615741</v>
      </c>
      <c r="B5015" s="14">
        <v>46194.0</v>
      </c>
      <c r="C5015" s="9" t="s">
        <v>86</v>
      </c>
      <c r="D5015" s="9" t="s">
        <v>445</v>
      </c>
      <c r="E5015" s="9" t="s">
        <v>17</v>
      </c>
      <c r="F5015" s="9" t="s">
        <v>17</v>
      </c>
      <c r="G5015" s="9">
        <v>6.0</v>
      </c>
      <c r="H5015" s="9" t="s">
        <v>17</v>
      </c>
      <c r="I5015" s="9" t="s">
        <v>20</v>
      </c>
      <c r="K5015" s="14" t="s">
        <v>398</v>
      </c>
      <c r="N5015" s="14" t="str">
        <f>IFERROR(__xludf.DUMMYFUNCTION("""COMPUTED_VALUE"""),"")</f>
        <v/>
      </c>
      <c r="O5015" s="14"/>
    </row>
    <row r="5016" ht="22.5" hidden="1" customHeight="1">
      <c r="A5016" s="8">
        <v>46194.98134189815</v>
      </c>
      <c r="B5016" s="14">
        <v>46194.0</v>
      </c>
      <c r="C5016" s="9" t="s">
        <v>86</v>
      </c>
      <c r="D5016" s="9" t="s">
        <v>413</v>
      </c>
      <c r="E5016" s="9" t="s">
        <v>17</v>
      </c>
      <c r="F5016" s="9" t="s">
        <v>17</v>
      </c>
      <c r="G5016" s="9">
        <v>6.0</v>
      </c>
      <c r="H5016" s="9" t="s">
        <v>17</v>
      </c>
      <c r="I5016" s="9" t="s">
        <v>20</v>
      </c>
      <c r="K5016" s="14" t="s">
        <v>398</v>
      </c>
      <c r="N5016" s="14" t="str">
        <f>IFERROR(__xludf.DUMMYFUNCTION("""COMPUTED_VALUE"""),"")</f>
        <v/>
      </c>
      <c r="O5016" s="14"/>
    </row>
    <row r="5017" ht="22.5" hidden="1" customHeight="1">
      <c r="A5017" s="8">
        <v>46194.98162145833</v>
      </c>
      <c r="B5017" s="14">
        <v>46194.0</v>
      </c>
      <c r="C5017" s="9" t="s">
        <v>86</v>
      </c>
      <c r="D5017" s="9" t="s">
        <v>247</v>
      </c>
      <c r="E5017" s="9" t="s">
        <v>17</v>
      </c>
      <c r="F5017" s="9" t="s">
        <v>17</v>
      </c>
      <c r="G5017" s="9">
        <v>7.0</v>
      </c>
      <c r="H5017" s="9" t="s">
        <v>25</v>
      </c>
      <c r="I5017" s="9" t="s">
        <v>159</v>
      </c>
      <c r="K5017" s="14" t="s">
        <v>398</v>
      </c>
      <c r="N5017" s="14" t="str">
        <f>IFERROR(__xludf.DUMMYFUNCTION("""COMPUTED_VALUE"""),"")</f>
        <v/>
      </c>
      <c r="O5017" s="14"/>
    </row>
    <row r="5018" ht="22.5" hidden="1" customHeight="1">
      <c r="A5018" s="8">
        <v>46194.98265247685</v>
      </c>
      <c r="B5018" s="14">
        <v>46194.0</v>
      </c>
      <c r="C5018" s="9" t="s">
        <v>86</v>
      </c>
      <c r="D5018" s="9" t="s">
        <v>446</v>
      </c>
      <c r="E5018" s="9" t="s">
        <v>17</v>
      </c>
      <c r="F5018" s="9" t="s">
        <v>17</v>
      </c>
      <c r="G5018" s="9">
        <v>6.0</v>
      </c>
      <c r="H5018" s="9" t="s">
        <v>17</v>
      </c>
      <c r="I5018" s="9" t="s">
        <v>20</v>
      </c>
      <c r="K5018" s="14" t="s">
        <v>398</v>
      </c>
      <c r="N5018" s="14" t="str">
        <f>IFERROR(__xludf.DUMMYFUNCTION("""COMPUTED_VALUE"""),"")</f>
        <v/>
      </c>
      <c r="O5018" s="14"/>
    </row>
    <row r="5019" ht="22.5" hidden="1" customHeight="1">
      <c r="A5019" s="8">
        <v>46194.985367870366</v>
      </c>
      <c r="B5019" s="14">
        <v>46194.0</v>
      </c>
      <c r="C5019" s="9" t="s">
        <v>86</v>
      </c>
      <c r="D5019" s="9" t="s">
        <v>369</v>
      </c>
      <c r="E5019" s="9" t="s">
        <v>17</v>
      </c>
      <c r="F5019" s="9" t="s">
        <v>17</v>
      </c>
      <c r="G5019" s="9">
        <v>6.0</v>
      </c>
      <c r="H5019" s="9" t="s">
        <v>25</v>
      </c>
      <c r="I5019" s="9" t="s">
        <v>137</v>
      </c>
      <c r="K5019" s="14" t="s">
        <v>398</v>
      </c>
      <c r="N5019" s="14" t="str">
        <f>IFERROR(__xludf.DUMMYFUNCTION("""COMPUTED_VALUE"""),"")</f>
        <v/>
      </c>
      <c r="O5019" s="14"/>
    </row>
    <row r="5020" ht="22.5" hidden="1" customHeight="1">
      <c r="A5020" s="8">
        <v>46194.98572855324</v>
      </c>
      <c r="B5020" s="14">
        <v>46194.0</v>
      </c>
      <c r="C5020" s="9" t="s">
        <v>86</v>
      </c>
      <c r="D5020" s="9" t="s">
        <v>394</v>
      </c>
      <c r="E5020" s="9" t="s">
        <v>17</v>
      </c>
      <c r="F5020" s="9" t="s">
        <v>17</v>
      </c>
      <c r="G5020" s="9">
        <v>6.0</v>
      </c>
      <c r="H5020" s="9" t="s">
        <v>25</v>
      </c>
      <c r="I5020" s="9" t="s">
        <v>137</v>
      </c>
      <c r="K5020" s="14" t="s">
        <v>398</v>
      </c>
      <c r="N5020" s="14" t="str">
        <f>IFERROR(__xludf.DUMMYFUNCTION("""COMPUTED_VALUE"""),"")</f>
        <v/>
      </c>
      <c r="O5020" s="14"/>
    </row>
    <row r="5021" ht="22.5" hidden="1" customHeight="1">
      <c r="A5021" s="8">
        <v>46194.986112094906</v>
      </c>
      <c r="B5021" s="14">
        <v>46194.0</v>
      </c>
      <c r="C5021" s="9" t="s">
        <v>86</v>
      </c>
      <c r="D5021" s="9" t="s">
        <v>259</v>
      </c>
      <c r="E5021" s="9" t="s">
        <v>140</v>
      </c>
      <c r="F5021" s="9" t="s">
        <v>17</v>
      </c>
      <c r="G5021" s="9" t="s">
        <v>410</v>
      </c>
      <c r="H5021" s="9" t="s">
        <v>17</v>
      </c>
      <c r="I5021" s="9" t="s">
        <v>20</v>
      </c>
      <c r="K5021" s="14" t="s">
        <v>398</v>
      </c>
      <c r="N5021" s="14" t="str">
        <f>IFERROR(__xludf.DUMMYFUNCTION("""COMPUTED_VALUE"""),"")</f>
        <v/>
      </c>
      <c r="O5021" s="14"/>
    </row>
    <row r="5022" ht="22.5" hidden="1" customHeight="1">
      <c r="A5022" s="8">
        <v>46194.986369108796</v>
      </c>
      <c r="B5022" s="14">
        <v>46194.0</v>
      </c>
      <c r="C5022" s="9" t="s">
        <v>86</v>
      </c>
      <c r="D5022" s="9" t="s">
        <v>249</v>
      </c>
      <c r="E5022" s="9" t="s">
        <v>17</v>
      </c>
      <c r="F5022" s="9" t="s">
        <v>17</v>
      </c>
      <c r="G5022" s="9">
        <v>6.0</v>
      </c>
      <c r="H5022" s="9" t="s">
        <v>17</v>
      </c>
      <c r="I5022" s="9" t="s">
        <v>20</v>
      </c>
      <c r="K5022" s="14" t="s">
        <v>398</v>
      </c>
      <c r="N5022" s="14" t="str">
        <f>IFERROR(__xludf.DUMMYFUNCTION("""COMPUTED_VALUE"""),"")</f>
        <v/>
      </c>
      <c r="O5022" s="14"/>
    </row>
    <row r="5023" ht="22.5" hidden="1" customHeight="1">
      <c r="A5023" s="8">
        <v>46194.98658813657</v>
      </c>
      <c r="B5023" s="14">
        <v>46194.0</v>
      </c>
      <c r="C5023" s="9" t="s">
        <v>86</v>
      </c>
      <c r="D5023" s="9" t="s">
        <v>395</v>
      </c>
      <c r="E5023" s="9" t="s">
        <v>17</v>
      </c>
      <c r="F5023" s="9" t="s">
        <v>17</v>
      </c>
      <c r="G5023" s="9">
        <v>6.0</v>
      </c>
      <c r="H5023" s="9" t="s">
        <v>17</v>
      </c>
      <c r="I5023" s="9" t="s">
        <v>20</v>
      </c>
      <c r="K5023" s="14" t="s">
        <v>398</v>
      </c>
      <c r="N5023" s="14" t="str">
        <f>IFERROR(__xludf.DUMMYFUNCTION("""COMPUTED_VALUE"""),"")</f>
        <v/>
      </c>
      <c r="O5023" s="14"/>
    </row>
    <row r="5024" ht="22.5" hidden="1" customHeight="1">
      <c r="A5024" s="8">
        <v>46194.98751665509</v>
      </c>
      <c r="B5024" s="14">
        <v>46194.0</v>
      </c>
      <c r="C5024" s="9" t="s">
        <v>86</v>
      </c>
      <c r="D5024" s="9" t="s">
        <v>177</v>
      </c>
      <c r="E5024" s="9" t="s">
        <v>17</v>
      </c>
      <c r="F5024" s="9" t="s">
        <v>17</v>
      </c>
      <c r="G5024" s="9">
        <v>6.0</v>
      </c>
      <c r="H5024" s="9" t="s">
        <v>17</v>
      </c>
      <c r="I5024" s="9" t="s">
        <v>20</v>
      </c>
      <c r="K5024" s="14" t="s">
        <v>398</v>
      </c>
      <c r="N5024" s="14" t="str">
        <f>IFERROR(__xludf.DUMMYFUNCTION("""COMPUTED_VALUE"""),"")</f>
        <v/>
      </c>
      <c r="O5024" s="14"/>
    </row>
    <row r="5025" ht="22.5" hidden="1" customHeight="1">
      <c r="A5025" s="8">
        <v>46194.98803758102</v>
      </c>
      <c r="B5025" s="14">
        <v>46194.0</v>
      </c>
      <c r="C5025" s="9" t="s">
        <v>86</v>
      </c>
      <c r="D5025" s="9" t="s">
        <v>393</v>
      </c>
      <c r="E5025" s="9" t="s">
        <v>17</v>
      </c>
      <c r="F5025" s="9" t="s">
        <v>17</v>
      </c>
      <c r="G5025" s="9">
        <v>6.0</v>
      </c>
      <c r="H5025" s="9" t="s">
        <v>25</v>
      </c>
      <c r="I5025" s="9" t="s">
        <v>50</v>
      </c>
      <c r="K5025" s="14" t="s">
        <v>398</v>
      </c>
      <c r="N5025" s="14" t="str">
        <f>IFERROR(__xludf.DUMMYFUNCTION("""COMPUTED_VALUE"""),"")</f>
        <v/>
      </c>
      <c r="O5025" s="14"/>
    </row>
    <row r="5026" ht="22.5" hidden="1" customHeight="1">
      <c r="A5026" s="8">
        <v>46194.99046527778</v>
      </c>
      <c r="B5026" s="14">
        <v>46194.0</v>
      </c>
      <c r="C5026" s="9" t="s">
        <v>86</v>
      </c>
      <c r="D5026" s="9" t="s">
        <v>414</v>
      </c>
      <c r="E5026" s="9" t="s">
        <v>17</v>
      </c>
      <c r="F5026" s="9" t="s">
        <v>17</v>
      </c>
      <c r="G5026" s="9">
        <v>6.0</v>
      </c>
      <c r="H5026" s="9" t="s">
        <v>17</v>
      </c>
      <c r="I5026" s="9" t="s">
        <v>20</v>
      </c>
      <c r="K5026" s="14" t="s">
        <v>398</v>
      </c>
      <c r="N5026" s="14" t="str">
        <f>IFERROR(__xludf.DUMMYFUNCTION("""COMPUTED_VALUE"""),"")</f>
        <v/>
      </c>
      <c r="O5026" s="14"/>
    </row>
    <row r="5027" ht="22.5" hidden="1" customHeight="1">
      <c r="A5027" s="8">
        <v>46194.990789386575</v>
      </c>
      <c r="B5027" s="14">
        <v>46194.0</v>
      </c>
      <c r="C5027" s="9" t="s">
        <v>86</v>
      </c>
      <c r="D5027" s="9" t="s">
        <v>175</v>
      </c>
      <c r="E5027" s="9" t="s">
        <v>61</v>
      </c>
      <c r="F5027" s="9" t="s">
        <v>17</v>
      </c>
      <c r="G5027" s="9">
        <v>6.0</v>
      </c>
      <c r="H5027" s="9" t="s">
        <v>17</v>
      </c>
      <c r="I5027" s="9" t="s">
        <v>20</v>
      </c>
      <c r="K5027" s="14" t="s">
        <v>398</v>
      </c>
      <c r="N5027" s="14" t="str">
        <f>IFERROR(__xludf.DUMMYFUNCTION("""COMPUTED_VALUE"""),"")</f>
        <v/>
      </c>
      <c r="O5027" s="14"/>
    </row>
    <row r="5028" ht="22.5" hidden="1" customHeight="1">
      <c r="A5028" s="8">
        <v>46194.99108716435</v>
      </c>
      <c r="B5028" s="14">
        <v>46194.0</v>
      </c>
      <c r="C5028" s="9" t="s">
        <v>86</v>
      </c>
      <c r="D5028" s="9" t="s">
        <v>423</v>
      </c>
      <c r="E5028" s="9" t="s">
        <v>17</v>
      </c>
      <c r="F5028" s="9" t="s">
        <v>17</v>
      </c>
      <c r="G5028" s="9">
        <v>6.0</v>
      </c>
      <c r="H5028" s="9" t="s">
        <v>17</v>
      </c>
      <c r="I5028" s="9" t="s">
        <v>20</v>
      </c>
      <c r="K5028" s="14" t="s">
        <v>398</v>
      </c>
      <c r="N5028" s="14" t="str">
        <f>IFERROR(__xludf.DUMMYFUNCTION("""COMPUTED_VALUE"""),"")</f>
        <v/>
      </c>
      <c r="O5028" s="14"/>
    </row>
    <row r="5029" ht="22.5" hidden="1" customHeight="1">
      <c r="A5029" s="8">
        <v>46194.99210287037</v>
      </c>
      <c r="B5029" s="14">
        <v>46194.0</v>
      </c>
      <c r="C5029" s="9" t="s">
        <v>86</v>
      </c>
      <c r="D5029" s="9" t="s">
        <v>449</v>
      </c>
      <c r="E5029" s="9" t="s">
        <v>17</v>
      </c>
      <c r="F5029" s="9" t="s">
        <v>17</v>
      </c>
      <c r="G5029" s="9">
        <v>6.0</v>
      </c>
      <c r="H5029" s="9" t="s">
        <v>17</v>
      </c>
      <c r="I5029" s="9" t="s">
        <v>20</v>
      </c>
      <c r="K5029" s="14" t="s">
        <v>398</v>
      </c>
      <c r="N5029" s="14" t="str">
        <f>IFERROR(__xludf.DUMMYFUNCTION("""COMPUTED_VALUE"""),"")</f>
        <v/>
      </c>
      <c r="O5029" s="14"/>
    </row>
    <row r="5030" ht="22.5" hidden="1" customHeight="1">
      <c r="A5030" s="8">
        <v>46194.992501967594</v>
      </c>
      <c r="B5030" s="14">
        <v>46194.0</v>
      </c>
      <c r="C5030" s="9" t="s">
        <v>86</v>
      </c>
      <c r="D5030" s="9" t="s">
        <v>174</v>
      </c>
      <c r="E5030" s="9" t="s">
        <v>17</v>
      </c>
      <c r="F5030" s="9" t="s">
        <v>17</v>
      </c>
      <c r="G5030" s="9">
        <v>6.0</v>
      </c>
      <c r="H5030" s="9" t="s">
        <v>17</v>
      </c>
      <c r="I5030" s="9" t="s">
        <v>20</v>
      </c>
      <c r="K5030" s="14" t="s">
        <v>398</v>
      </c>
      <c r="N5030" s="14" t="str">
        <f>IFERROR(__xludf.DUMMYFUNCTION("""COMPUTED_VALUE"""),"")</f>
        <v/>
      </c>
      <c r="O5030" s="14"/>
    </row>
    <row r="5031" ht="22.5" hidden="1" customHeight="1">
      <c r="A5031" s="8">
        <v>46194.992842569445</v>
      </c>
      <c r="B5031" s="14">
        <v>46194.0</v>
      </c>
      <c r="C5031" s="9" t="s">
        <v>86</v>
      </c>
      <c r="D5031" s="9" t="s">
        <v>450</v>
      </c>
      <c r="E5031" s="9" t="s">
        <v>17</v>
      </c>
      <c r="F5031" s="9" t="s">
        <v>17</v>
      </c>
      <c r="G5031" s="9">
        <v>6.0</v>
      </c>
      <c r="H5031" s="9" t="s">
        <v>17</v>
      </c>
      <c r="I5031" s="9" t="s">
        <v>20</v>
      </c>
      <c r="K5031" s="14" t="s">
        <v>398</v>
      </c>
      <c r="N5031" s="14" t="str">
        <f>IFERROR(__xludf.DUMMYFUNCTION("""COMPUTED_VALUE"""),"")</f>
        <v/>
      </c>
      <c r="O5031" s="14"/>
    </row>
    <row r="5032" ht="22.5" hidden="1" customHeight="1">
      <c r="A5032" s="8">
        <v>46194.99333652778</v>
      </c>
      <c r="B5032" s="14">
        <v>46194.0</v>
      </c>
      <c r="C5032" s="9" t="s">
        <v>86</v>
      </c>
      <c r="D5032" s="9" t="s">
        <v>367</v>
      </c>
      <c r="E5032" s="9" t="s">
        <v>17</v>
      </c>
      <c r="F5032" s="9" t="s">
        <v>17</v>
      </c>
      <c r="G5032" s="9">
        <v>6.0</v>
      </c>
      <c r="H5032" s="9" t="s">
        <v>17</v>
      </c>
      <c r="I5032" s="9" t="s">
        <v>20</v>
      </c>
      <c r="K5032" s="14" t="s">
        <v>398</v>
      </c>
      <c r="N5032" s="14" t="str">
        <f>IFERROR(__xludf.DUMMYFUNCTION("""COMPUTED_VALUE"""),"")</f>
        <v/>
      </c>
      <c r="O5032" s="14"/>
    </row>
    <row r="5033" ht="22.5" hidden="1" customHeight="1">
      <c r="A5033" s="8">
        <v>46194.99401579861</v>
      </c>
      <c r="B5033" s="14">
        <v>46194.0</v>
      </c>
      <c r="C5033" s="9" t="s">
        <v>86</v>
      </c>
      <c r="D5033" s="9" t="s">
        <v>340</v>
      </c>
      <c r="E5033" s="9" t="s">
        <v>17</v>
      </c>
      <c r="F5033" s="9" t="s">
        <v>17</v>
      </c>
      <c r="G5033" s="9">
        <v>6.0</v>
      </c>
      <c r="H5033" s="9" t="s">
        <v>17</v>
      </c>
      <c r="I5033" s="9" t="s">
        <v>20</v>
      </c>
      <c r="K5033" s="14" t="s">
        <v>398</v>
      </c>
      <c r="N5033" s="14" t="str">
        <f>IFERROR(__xludf.DUMMYFUNCTION("""COMPUTED_VALUE"""),"")</f>
        <v/>
      </c>
      <c r="O5033" s="14"/>
    </row>
    <row r="5034" ht="22.5" hidden="1" customHeight="1">
      <c r="A5034" s="8">
        <v>46194.99434280093</v>
      </c>
      <c r="B5034" s="14">
        <v>46194.0</v>
      </c>
      <c r="C5034" s="9" t="s">
        <v>86</v>
      </c>
      <c r="D5034" s="9" t="s">
        <v>444</v>
      </c>
      <c r="E5034" s="9" t="s">
        <v>17</v>
      </c>
      <c r="F5034" s="9" t="s">
        <v>17</v>
      </c>
      <c r="G5034" s="9">
        <v>6.0</v>
      </c>
      <c r="H5034" s="9" t="s">
        <v>17</v>
      </c>
      <c r="I5034" s="9" t="s">
        <v>20</v>
      </c>
      <c r="K5034" s="14" t="s">
        <v>398</v>
      </c>
      <c r="N5034" s="14" t="str">
        <f>IFERROR(__xludf.DUMMYFUNCTION("""COMPUTED_VALUE"""),"")</f>
        <v/>
      </c>
      <c r="O5034" s="14"/>
    </row>
    <row r="5035" ht="22.5" hidden="1" customHeight="1">
      <c r="A5035" s="8">
        <v>46205.324705300925</v>
      </c>
      <c r="B5035" s="14">
        <v>46205.0</v>
      </c>
      <c r="C5035" s="9" t="s">
        <v>31</v>
      </c>
      <c r="D5035" s="9" t="s">
        <v>423</v>
      </c>
      <c r="E5035" s="9" t="s">
        <v>17</v>
      </c>
      <c r="F5035" s="9" t="s">
        <v>17</v>
      </c>
      <c r="G5035" s="9">
        <v>8.0</v>
      </c>
      <c r="H5035" s="9" t="s">
        <v>22</v>
      </c>
      <c r="I5035" s="9" t="s">
        <v>20</v>
      </c>
      <c r="J5035" s="16">
        <v>1.0</v>
      </c>
      <c r="K5035" s="14" t="s">
        <v>398</v>
      </c>
      <c r="N5035" s="14" t="str">
        <f>IFERROR(__xludf.DUMMYFUNCTION("""COMPUTED_VALUE"""),"")</f>
        <v/>
      </c>
      <c r="O5035" s="14"/>
    </row>
    <row r="5036" ht="22.5" hidden="1" customHeight="1">
      <c r="A5036" s="8">
        <v>46205.32530972222</v>
      </c>
      <c r="B5036" s="14">
        <v>46205.0</v>
      </c>
      <c r="C5036" s="9" t="s">
        <v>31</v>
      </c>
      <c r="D5036" s="9" t="s">
        <v>177</v>
      </c>
      <c r="E5036" s="9" t="s">
        <v>17</v>
      </c>
      <c r="F5036" s="9" t="s">
        <v>18</v>
      </c>
      <c r="G5036" s="9">
        <v>7.0</v>
      </c>
      <c r="H5036" s="9" t="s">
        <v>22</v>
      </c>
      <c r="I5036" s="9" t="s">
        <v>20</v>
      </c>
      <c r="J5036" s="16">
        <v>1.0</v>
      </c>
      <c r="K5036" s="14" t="s">
        <v>398</v>
      </c>
      <c r="N5036" s="14" t="str">
        <f>IFERROR(__xludf.DUMMYFUNCTION("""COMPUTED_VALUE"""),"")</f>
        <v/>
      </c>
      <c r="O5036" s="14"/>
    </row>
    <row r="5037" ht="22.5" hidden="1" customHeight="1">
      <c r="A5037" s="8">
        <v>46205.32923883102</v>
      </c>
      <c r="B5037" s="14">
        <v>46205.0</v>
      </c>
      <c r="C5037" s="9" t="s">
        <v>31</v>
      </c>
      <c r="D5037" s="9" t="s">
        <v>249</v>
      </c>
      <c r="E5037" s="9" t="s">
        <v>46</v>
      </c>
      <c r="F5037" s="9" t="s">
        <v>17</v>
      </c>
      <c r="G5037" s="9">
        <v>8.0</v>
      </c>
      <c r="H5037" s="9" t="s">
        <v>22</v>
      </c>
      <c r="I5037" s="9" t="s">
        <v>20</v>
      </c>
      <c r="J5037" s="16">
        <v>0.6</v>
      </c>
      <c r="K5037" s="14" t="s">
        <v>398</v>
      </c>
      <c r="N5037" s="14" t="str">
        <f>IFERROR(__xludf.DUMMYFUNCTION("""COMPUTED_VALUE"""),"")</f>
        <v/>
      </c>
      <c r="O5037" s="14"/>
    </row>
    <row r="5038" ht="22.5" hidden="1" customHeight="1">
      <c r="A5038" s="8">
        <v>46205.32966716435</v>
      </c>
      <c r="B5038" s="14">
        <v>46205.0</v>
      </c>
      <c r="C5038" s="9" t="s">
        <v>31</v>
      </c>
      <c r="D5038" s="9" t="s">
        <v>335</v>
      </c>
      <c r="E5038" s="9" t="s">
        <v>17</v>
      </c>
      <c r="F5038" s="9" t="s">
        <v>43</v>
      </c>
      <c r="G5038" s="9" t="s">
        <v>409</v>
      </c>
      <c r="H5038" s="9" t="s">
        <v>22</v>
      </c>
      <c r="I5038" s="9" t="s">
        <v>20</v>
      </c>
      <c r="J5038" s="16">
        <v>1.0</v>
      </c>
      <c r="K5038" s="14" t="s">
        <v>398</v>
      </c>
      <c r="N5038" s="14" t="str">
        <f>IFERROR(__xludf.DUMMYFUNCTION("""COMPUTED_VALUE"""),"")</f>
        <v/>
      </c>
      <c r="O5038" s="14"/>
    </row>
    <row r="5039" ht="22.5" hidden="1" customHeight="1">
      <c r="A5039" s="8">
        <v>46205.33289276621</v>
      </c>
      <c r="B5039" s="14">
        <v>46205.0</v>
      </c>
      <c r="C5039" s="9" t="s">
        <v>31</v>
      </c>
      <c r="D5039" s="9" t="s">
        <v>413</v>
      </c>
      <c r="E5039" s="9" t="s">
        <v>17</v>
      </c>
      <c r="F5039" s="9" t="s">
        <v>17</v>
      </c>
      <c r="G5039" s="9">
        <v>8.0</v>
      </c>
      <c r="H5039" s="9" t="s">
        <v>22</v>
      </c>
      <c r="I5039" s="9" t="s">
        <v>20</v>
      </c>
      <c r="J5039" s="16">
        <v>1.0</v>
      </c>
      <c r="K5039" s="14" t="s">
        <v>398</v>
      </c>
      <c r="N5039" s="14" t="str">
        <f>IFERROR(__xludf.DUMMYFUNCTION("""COMPUTED_VALUE"""),"")</f>
        <v/>
      </c>
      <c r="O5039" s="14"/>
    </row>
    <row r="5040" ht="22.5" hidden="1" customHeight="1">
      <c r="A5040" s="8">
        <v>46205.334735763885</v>
      </c>
      <c r="B5040" s="14">
        <v>46205.0</v>
      </c>
      <c r="C5040" s="9" t="s">
        <v>31</v>
      </c>
      <c r="D5040" s="9" t="s">
        <v>450</v>
      </c>
      <c r="E5040" s="9" t="s">
        <v>46</v>
      </c>
      <c r="F5040" s="9" t="s">
        <v>17</v>
      </c>
      <c r="G5040" s="9" t="s">
        <v>409</v>
      </c>
      <c r="H5040" s="9" t="s">
        <v>22</v>
      </c>
      <c r="I5040" s="9" t="s">
        <v>20</v>
      </c>
      <c r="J5040" s="16">
        <v>0.6</v>
      </c>
      <c r="K5040" s="14" t="s">
        <v>398</v>
      </c>
      <c r="N5040" s="14" t="str">
        <f>IFERROR(__xludf.DUMMYFUNCTION("""COMPUTED_VALUE"""),"")</f>
        <v/>
      </c>
      <c r="O5040" s="14"/>
    </row>
    <row r="5041" ht="22.5" hidden="1" customHeight="1">
      <c r="A5041" s="8">
        <v>46205.33571378472</v>
      </c>
      <c r="B5041" s="14">
        <v>46205.0</v>
      </c>
      <c r="C5041" s="9" t="s">
        <v>31</v>
      </c>
      <c r="D5041" s="9" t="s">
        <v>448</v>
      </c>
      <c r="E5041" s="9" t="s">
        <v>17</v>
      </c>
      <c r="F5041" s="9" t="s">
        <v>17</v>
      </c>
      <c r="G5041" s="9" t="s">
        <v>409</v>
      </c>
      <c r="H5041" s="9" t="s">
        <v>22</v>
      </c>
      <c r="I5041" s="9" t="s">
        <v>20</v>
      </c>
      <c r="J5041" s="16">
        <v>0.8</v>
      </c>
      <c r="K5041" s="14" t="s">
        <v>398</v>
      </c>
      <c r="N5041" s="14" t="str">
        <f>IFERROR(__xludf.DUMMYFUNCTION("""COMPUTED_VALUE"""),"")</f>
        <v/>
      </c>
      <c r="O5041" s="14"/>
    </row>
    <row r="5042" ht="22.5" hidden="1" customHeight="1">
      <c r="A5042" s="8">
        <v>46205.338628240745</v>
      </c>
      <c r="B5042" s="14">
        <v>46205.0</v>
      </c>
      <c r="C5042" s="9" t="s">
        <v>31</v>
      </c>
      <c r="D5042" s="9" t="s">
        <v>393</v>
      </c>
      <c r="E5042" s="9" t="s">
        <v>17</v>
      </c>
      <c r="F5042" s="9" t="s">
        <v>17</v>
      </c>
      <c r="G5042" s="9">
        <v>7.0</v>
      </c>
      <c r="H5042" s="9" t="s">
        <v>22</v>
      </c>
      <c r="I5042" s="9" t="s">
        <v>20</v>
      </c>
      <c r="J5042" s="16">
        <v>0.8</v>
      </c>
      <c r="K5042" s="14" t="s">
        <v>398</v>
      </c>
      <c r="N5042" s="14" t="str">
        <f>IFERROR(__xludf.DUMMYFUNCTION("""COMPUTED_VALUE"""),"")</f>
        <v/>
      </c>
      <c r="O5042" s="14"/>
    </row>
    <row r="5043" ht="22.5" hidden="1" customHeight="1">
      <c r="A5043" s="8">
        <v>46205.33901275463</v>
      </c>
      <c r="B5043" s="14">
        <v>46205.0</v>
      </c>
      <c r="C5043" s="9" t="s">
        <v>31</v>
      </c>
      <c r="D5043" s="9" t="s">
        <v>367</v>
      </c>
      <c r="E5043" s="9" t="s">
        <v>17</v>
      </c>
      <c r="F5043" s="9" t="s">
        <v>17</v>
      </c>
      <c r="G5043" s="9">
        <v>6.0</v>
      </c>
      <c r="H5043" s="9" t="s">
        <v>17</v>
      </c>
      <c r="I5043" s="9" t="s">
        <v>207</v>
      </c>
      <c r="J5043" s="16">
        <v>0.8</v>
      </c>
      <c r="K5043" s="14" t="s">
        <v>398</v>
      </c>
      <c r="N5043" s="14" t="str">
        <f>IFERROR(__xludf.DUMMYFUNCTION("""COMPUTED_VALUE"""),"")</f>
        <v/>
      </c>
      <c r="O5043" s="14"/>
    </row>
    <row r="5044" ht="22.5" hidden="1" customHeight="1">
      <c r="A5044" s="8">
        <v>46205.33969850694</v>
      </c>
      <c r="B5044" s="14">
        <v>46205.0</v>
      </c>
      <c r="C5044" s="9" t="s">
        <v>31</v>
      </c>
      <c r="D5044" s="9" t="s">
        <v>395</v>
      </c>
      <c r="E5044" s="9" t="s">
        <v>17</v>
      </c>
      <c r="F5044" s="9" t="s">
        <v>60</v>
      </c>
      <c r="G5044" s="9">
        <v>6.0</v>
      </c>
      <c r="H5044" s="9" t="s">
        <v>17</v>
      </c>
      <c r="I5044" s="9" t="s">
        <v>240</v>
      </c>
      <c r="J5044" s="16">
        <v>0.6</v>
      </c>
      <c r="K5044" s="14" t="s">
        <v>398</v>
      </c>
      <c r="N5044" s="14" t="str">
        <f>IFERROR(__xludf.DUMMYFUNCTION("""COMPUTED_VALUE"""),"")</f>
        <v/>
      </c>
      <c r="O5044" s="14"/>
    </row>
    <row r="5045" ht="22.5" hidden="1" customHeight="1">
      <c r="A5045" s="8">
        <v>46205.34213290509</v>
      </c>
      <c r="B5045" s="14">
        <v>46205.0</v>
      </c>
      <c r="C5045" s="9" t="s">
        <v>31</v>
      </c>
      <c r="D5045" s="9" t="s">
        <v>105</v>
      </c>
      <c r="E5045" s="9" t="s">
        <v>17</v>
      </c>
      <c r="F5045" s="9" t="s">
        <v>17</v>
      </c>
      <c r="G5045" s="9">
        <v>8.0</v>
      </c>
      <c r="H5045" s="9" t="s">
        <v>22</v>
      </c>
      <c r="I5045" s="9" t="s">
        <v>20</v>
      </c>
      <c r="J5045" s="16">
        <v>1.0</v>
      </c>
      <c r="K5045" s="14" t="s">
        <v>398</v>
      </c>
      <c r="N5045" s="14" t="str">
        <f>IFERROR(__xludf.DUMMYFUNCTION("""COMPUTED_VALUE"""),"")</f>
        <v/>
      </c>
      <c r="O5045" s="14"/>
    </row>
    <row r="5046" ht="22.5" hidden="1" customHeight="1">
      <c r="A5046" s="8">
        <v>46205.34277884259</v>
      </c>
      <c r="B5046" s="14">
        <v>46205.0</v>
      </c>
      <c r="C5046" s="9" t="s">
        <v>31</v>
      </c>
      <c r="D5046" s="9" t="s">
        <v>442</v>
      </c>
      <c r="E5046" s="9" t="s">
        <v>17</v>
      </c>
      <c r="F5046" s="9" t="s">
        <v>17</v>
      </c>
      <c r="G5046" s="9">
        <v>6.0</v>
      </c>
      <c r="H5046" s="9" t="s">
        <v>22</v>
      </c>
      <c r="I5046" s="9" t="s">
        <v>20</v>
      </c>
      <c r="J5046" s="16">
        <v>0.6</v>
      </c>
      <c r="K5046" s="14" t="s">
        <v>398</v>
      </c>
      <c r="N5046" s="14" t="str">
        <f>IFERROR(__xludf.DUMMYFUNCTION("""COMPUTED_VALUE"""),"")</f>
        <v/>
      </c>
      <c r="O5046" s="14"/>
    </row>
    <row r="5047" ht="22.5" hidden="1" customHeight="1">
      <c r="A5047" s="8">
        <v>46205.34312239583</v>
      </c>
      <c r="B5047" s="14">
        <v>46205.0</v>
      </c>
      <c r="C5047" s="9" t="s">
        <v>31</v>
      </c>
      <c r="D5047" s="9" t="s">
        <v>394</v>
      </c>
      <c r="E5047" s="9" t="s">
        <v>61</v>
      </c>
      <c r="F5047" s="9" t="s">
        <v>60</v>
      </c>
      <c r="G5047" s="9" t="s">
        <v>410</v>
      </c>
      <c r="H5047" s="9" t="s">
        <v>22</v>
      </c>
      <c r="I5047" s="9" t="s">
        <v>20</v>
      </c>
      <c r="J5047" s="16">
        <v>0.8</v>
      </c>
      <c r="K5047" s="14" t="s">
        <v>398</v>
      </c>
      <c r="N5047" s="14" t="str">
        <f>IFERROR(__xludf.DUMMYFUNCTION("""COMPUTED_VALUE"""),"")</f>
        <v/>
      </c>
      <c r="O5047" s="14"/>
    </row>
    <row r="5048" ht="22.5" hidden="1" customHeight="1">
      <c r="A5048" s="8">
        <v>46205.34681314815</v>
      </c>
      <c r="B5048" s="14">
        <v>46205.0</v>
      </c>
      <c r="C5048" s="9" t="s">
        <v>31</v>
      </c>
      <c r="D5048" s="9" t="s">
        <v>414</v>
      </c>
      <c r="E5048" s="9" t="s">
        <v>61</v>
      </c>
      <c r="F5048" s="9" t="s">
        <v>60</v>
      </c>
      <c r="G5048" s="9">
        <v>6.0</v>
      </c>
      <c r="H5048" s="9" t="s">
        <v>22</v>
      </c>
      <c r="I5048" s="9" t="s">
        <v>20</v>
      </c>
      <c r="J5048" s="16">
        <v>0.8</v>
      </c>
      <c r="K5048" s="14" t="s">
        <v>398</v>
      </c>
      <c r="N5048" s="14" t="str">
        <f>IFERROR(__xludf.DUMMYFUNCTION("""COMPUTED_VALUE"""),"")</f>
        <v/>
      </c>
      <c r="O5048" s="14"/>
    </row>
    <row r="5049" ht="22.5" hidden="1" customHeight="1">
      <c r="A5049" s="8">
        <v>46205.34763072917</v>
      </c>
      <c r="B5049" s="14">
        <v>46205.0</v>
      </c>
      <c r="C5049" s="9" t="s">
        <v>31</v>
      </c>
      <c r="D5049" s="9" t="s">
        <v>441</v>
      </c>
      <c r="E5049" s="9" t="s">
        <v>17</v>
      </c>
      <c r="F5049" s="9" t="s">
        <v>18</v>
      </c>
      <c r="G5049" s="9" t="s">
        <v>409</v>
      </c>
      <c r="H5049" s="9" t="s">
        <v>22</v>
      </c>
      <c r="I5049" s="9" t="s">
        <v>20</v>
      </c>
      <c r="J5049" s="16">
        <v>0.8</v>
      </c>
      <c r="K5049" s="14" t="s">
        <v>398</v>
      </c>
      <c r="N5049" s="14" t="str">
        <f>IFERROR(__xludf.DUMMYFUNCTION("""COMPUTED_VALUE"""),"")</f>
        <v/>
      </c>
      <c r="O5049" s="14"/>
    </row>
    <row r="5050" ht="22.5" hidden="1" customHeight="1">
      <c r="A5050" s="8">
        <v>46205.3504378125</v>
      </c>
      <c r="B5050" s="14">
        <v>46205.0</v>
      </c>
      <c r="C5050" s="9" t="s">
        <v>31</v>
      </c>
      <c r="D5050" s="9" t="s">
        <v>259</v>
      </c>
      <c r="E5050" s="9" t="s">
        <v>61</v>
      </c>
      <c r="F5050" s="9" t="s">
        <v>17</v>
      </c>
      <c r="G5050" s="9">
        <v>6.0</v>
      </c>
      <c r="H5050" s="9" t="s">
        <v>22</v>
      </c>
      <c r="I5050" s="9" t="s">
        <v>20</v>
      </c>
      <c r="J5050" s="16">
        <v>0.6</v>
      </c>
      <c r="K5050" s="14" t="s">
        <v>398</v>
      </c>
      <c r="N5050" s="14" t="str">
        <f>IFERROR(__xludf.DUMMYFUNCTION("""COMPUTED_VALUE"""),"")</f>
        <v/>
      </c>
      <c r="O5050" s="14"/>
    </row>
    <row r="5051" ht="22.5" hidden="1" customHeight="1">
      <c r="A5051" s="8">
        <v>46205.3515987963</v>
      </c>
      <c r="B5051" s="14">
        <v>46205.0</v>
      </c>
      <c r="C5051" s="9" t="s">
        <v>31</v>
      </c>
      <c r="D5051" s="9" t="s">
        <v>357</v>
      </c>
      <c r="E5051" s="9" t="s">
        <v>17</v>
      </c>
      <c r="F5051" s="9" t="s">
        <v>18</v>
      </c>
      <c r="G5051" s="9">
        <v>7.0</v>
      </c>
      <c r="H5051" s="9" t="s">
        <v>22</v>
      </c>
      <c r="I5051" s="9" t="s">
        <v>20</v>
      </c>
      <c r="J5051" s="16">
        <v>0.6</v>
      </c>
      <c r="K5051" s="14" t="s">
        <v>398</v>
      </c>
      <c r="N5051" s="14" t="str">
        <f>IFERROR(__xludf.DUMMYFUNCTION("""COMPUTED_VALUE"""),"")</f>
        <v/>
      </c>
      <c r="O5051" s="14"/>
    </row>
    <row r="5052" ht="22.5" hidden="1" customHeight="1">
      <c r="A5052" s="8">
        <v>46205.352340868056</v>
      </c>
      <c r="B5052" s="14">
        <v>46205.0</v>
      </c>
      <c r="C5052" s="9" t="s">
        <v>31</v>
      </c>
      <c r="D5052" s="9" t="s">
        <v>369</v>
      </c>
      <c r="E5052" s="9" t="s">
        <v>17</v>
      </c>
      <c r="F5052" s="9" t="s">
        <v>17</v>
      </c>
      <c r="G5052" s="9">
        <v>6.0</v>
      </c>
      <c r="H5052" s="9" t="s">
        <v>25</v>
      </c>
      <c r="I5052" s="9" t="s">
        <v>67</v>
      </c>
      <c r="J5052" s="16">
        <v>0.8</v>
      </c>
      <c r="K5052" s="14" t="s">
        <v>398</v>
      </c>
      <c r="N5052" s="14" t="str">
        <f>IFERROR(__xludf.DUMMYFUNCTION("""COMPUTED_VALUE"""),"")</f>
        <v/>
      </c>
      <c r="O5052" s="14"/>
    </row>
    <row r="5053" ht="22.5" hidden="1" customHeight="1">
      <c r="A5053" s="8">
        <v>46205.353185300926</v>
      </c>
      <c r="B5053" s="14">
        <v>46205.0</v>
      </c>
      <c r="C5053" s="9" t="s">
        <v>31</v>
      </c>
      <c r="D5053" s="9" t="s">
        <v>174</v>
      </c>
      <c r="E5053" s="9" t="s">
        <v>17</v>
      </c>
      <c r="F5053" s="9" t="s">
        <v>17</v>
      </c>
      <c r="G5053" s="9" t="s">
        <v>410</v>
      </c>
      <c r="H5053" s="9" t="s">
        <v>17</v>
      </c>
      <c r="I5053" s="9" t="s">
        <v>20</v>
      </c>
      <c r="J5053" s="16">
        <v>0.8</v>
      </c>
      <c r="K5053" s="14" t="s">
        <v>398</v>
      </c>
      <c r="N5053" s="14" t="str">
        <f>IFERROR(__xludf.DUMMYFUNCTION("""COMPUTED_VALUE"""),"")</f>
        <v/>
      </c>
      <c r="O5053" s="14"/>
    </row>
    <row r="5054" ht="22.5" hidden="1" customHeight="1">
      <c r="A5054" s="8">
        <v>46205.354118483796</v>
      </c>
      <c r="B5054" s="14">
        <v>46205.0</v>
      </c>
      <c r="C5054" s="9" t="s">
        <v>31</v>
      </c>
      <c r="D5054" s="9" t="s">
        <v>247</v>
      </c>
      <c r="E5054" s="9" t="s">
        <v>61</v>
      </c>
      <c r="F5054" s="9" t="s">
        <v>17</v>
      </c>
      <c r="G5054" s="9">
        <v>8.0</v>
      </c>
      <c r="H5054" s="9" t="s">
        <v>25</v>
      </c>
      <c r="I5054" s="9" t="s">
        <v>240</v>
      </c>
      <c r="J5054" s="16">
        <v>0.8</v>
      </c>
      <c r="K5054" s="14" t="s">
        <v>398</v>
      </c>
      <c r="N5054" s="14" t="str">
        <f>IFERROR(__xludf.DUMMYFUNCTION("""COMPUTED_VALUE"""),"")</f>
        <v/>
      </c>
      <c r="O5054" s="14"/>
    </row>
    <row r="5055" ht="22.5" hidden="1" customHeight="1">
      <c r="A5055" s="8">
        <v>46205.35475615741</v>
      </c>
      <c r="B5055" s="14">
        <v>46205.0</v>
      </c>
      <c r="C5055" s="9" t="s">
        <v>31</v>
      </c>
      <c r="D5055" s="9" t="s">
        <v>210</v>
      </c>
      <c r="E5055" s="9" t="s">
        <v>30</v>
      </c>
      <c r="F5055" s="9" t="s">
        <v>60</v>
      </c>
      <c r="G5055" s="9" t="s">
        <v>410</v>
      </c>
      <c r="H5055" s="9" t="s">
        <v>22</v>
      </c>
      <c r="I5055" s="9" t="s">
        <v>20</v>
      </c>
      <c r="J5055" s="16">
        <v>0.6</v>
      </c>
      <c r="K5055" s="14" t="s">
        <v>398</v>
      </c>
      <c r="N5055" s="14" t="str">
        <f>IFERROR(__xludf.DUMMYFUNCTION("""COMPUTED_VALUE"""),"")</f>
        <v/>
      </c>
      <c r="O5055" s="14"/>
    </row>
    <row r="5056" ht="22.5" hidden="1" customHeight="1">
      <c r="A5056" s="8">
        <v>46205.37518282408</v>
      </c>
      <c r="B5056" s="14">
        <v>46205.0</v>
      </c>
      <c r="C5056" s="9" t="s">
        <v>31</v>
      </c>
      <c r="D5056" s="9" t="s">
        <v>175</v>
      </c>
      <c r="E5056" s="9" t="s">
        <v>17</v>
      </c>
      <c r="F5056" s="9" t="s">
        <v>17</v>
      </c>
      <c r="G5056" s="9">
        <v>7.0</v>
      </c>
      <c r="H5056" s="9" t="s">
        <v>25</v>
      </c>
      <c r="I5056" s="9" t="s">
        <v>207</v>
      </c>
      <c r="J5056" s="16">
        <v>0.8</v>
      </c>
      <c r="K5056" s="14" t="s">
        <v>398</v>
      </c>
      <c r="N5056" s="14" t="str">
        <f>IFERROR(__xludf.DUMMYFUNCTION("""COMPUTED_VALUE"""),"")</f>
        <v/>
      </c>
      <c r="O5056" s="14"/>
    </row>
    <row r="5057" ht="22.5" hidden="1" customHeight="1">
      <c r="A5057" s="8">
        <v>46206.31684675926</v>
      </c>
      <c r="B5057" s="14">
        <v>46206.0</v>
      </c>
      <c r="C5057" s="9" t="s">
        <v>48</v>
      </c>
      <c r="D5057" s="9" t="s">
        <v>177</v>
      </c>
      <c r="E5057" s="9" t="s">
        <v>61</v>
      </c>
      <c r="F5057" s="9" t="s">
        <v>17</v>
      </c>
      <c r="G5057" s="9">
        <v>7.0</v>
      </c>
      <c r="H5057" s="9" t="s">
        <v>22</v>
      </c>
      <c r="I5057" s="9" t="s">
        <v>20</v>
      </c>
      <c r="J5057" s="16">
        <v>0.8</v>
      </c>
      <c r="K5057" s="14">
        <v>4.0</v>
      </c>
      <c r="N5057" s="14" t="str">
        <f>IFERROR(__xludf.DUMMYFUNCTION("""COMPUTED_VALUE"""),"")</f>
        <v/>
      </c>
      <c r="O5057" s="14"/>
    </row>
    <row r="5058" ht="22.5" hidden="1" customHeight="1">
      <c r="A5058" s="8">
        <v>46206.32833454861</v>
      </c>
      <c r="B5058" s="14">
        <v>46206.0</v>
      </c>
      <c r="C5058" s="9" t="s">
        <v>48</v>
      </c>
      <c r="D5058" s="9" t="s">
        <v>249</v>
      </c>
      <c r="E5058" s="9" t="s">
        <v>17</v>
      </c>
      <c r="F5058" s="9" t="s">
        <v>18</v>
      </c>
      <c r="G5058" s="9">
        <v>7.0</v>
      </c>
      <c r="H5058" s="9" t="s">
        <v>22</v>
      </c>
      <c r="I5058" s="9" t="s">
        <v>20</v>
      </c>
      <c r="J5058" s="16">
        <v>0.8</v>
      </c>
      <c r="K5058" s="14">
        <v>4.0</v>
      </c>
      <c r="N5058" s="14" t="str">
        <f>IFERROR(__xludf.DUMMYFUNCTION("""COMPUTED_VALUE"""),"")</f>
        <v/>
      </c>
      <c r="O5058" s="14"/>
    </row>
    <row r="5059" ht="22.5" hidden="1" customHeight="1">
      <c r="A5059" s="8">
        <v>46206.34007372685</v>
      </c>
      <c r="B5059" s="14">
        <v>46206.0</v>
      </c>
      <c r="C5059" s="9" t="s">
        <v>48</v>
      </c>
      <c r="D5059" s="9" t="s">
        <v>105</v>
      </c>
      <c r="E5059" s="9" t="s">
        <v>17</v>
      </c>
      <c r="F5059" s="9" t="s">
        <v>17</v>
      </c>
      <c r="G5059" s="9">
        <v>8.0</v>
      </c>
      <c r="H5059" s="9" t="s">
        <v>22</v>
      </c>
      <c r="I5059" s="9" t="s">
        <v>20</v>
      </c>
      <c r="J5059" s="16">
        <v>1.0</v>
      </c>
      <c r="K5059" s="14">
        <v>3.0</v>
      </c>
      <c r="N5059" s="14" t="str">
        <f>IFERROR(__xludf.DUMMYFUNCTION("""COMPUTED_VALUE"""),"")</f>
        <v/>
      </c>
      <c r="O5059" s="14"/>
    </row>
    <row r="5060" ht="22.5" hidden="1" customHeight="1">
      <c r="A5060" s="8">
        <v>46206.34059784722</v>
      </c>
      <c r="B5060" s="14">
        <v>46206.0</v>
      </c>
      <c r="C5060" s="9" t="s">
        <v>15</v>
      </c>
      <c r="D5060" s="9" t="s">
        <v>394</v>
      </c>
      <c r="E5060" s="9" t="s">
        <v>17</v>
      </c>
      <c r="F5060" s="9" t="s">
        <v>17</v>
      </c>
      <c r="G5060" s="9">
        <v>6.0</v>
      </c>
      <c r="H5060" s="9" t="s">
        <v>22</v>
      </c>
      <c r="I5060" s="9" t="s">
        <v>20</v>
      </c>
      <c r="J5060" s="16">
        <v>0.8</v>
      </c>
      <c r="K5060" s="14" t="s">
        <v>398</v>
      </c>
      <c r="N5060" s="14" t="str">
        <f>IFERROR(__xludf.DUMMYFUNCTION("""COMPUTED_VALUE"""),"")</f>
        <v/>
      </c>
      <c r="O5060" s="14"/>
    </row>
    <row r="5061" ht="22.5" hidden="1" customHeight="1">
      <c r="A5061" s="8">
        <v>46206.34071614583</v>
      </c>
      <c r="B5061" s="14">
        <v>46206.0</v>
      </c>
      <c r="C5061" s="9" t="s">
        <v>48</v>
      </c>
      <c r="D5061" s="9" t="s">
        <v>441</v>
      </c>
      <c r="E5061" s="9" t="s">
        <v>17</v>
      </c>
      <c r="F5061" s="9" t="s">
        <v>18</v>
      </c>
      <c r="G5061" s="9" t="s">
        <v>409</v>
      </c>
      <c r="H5061" s="9" t="s">
        <v>22</v>
      </c>
      <c r="I5061" s="9" t="s">
        <v>20</v>
      </c>
      <c r="J5061" s="16">
        <v>0.4</v>
      </c>
      <c r="K5061" s="14">
        <v>3.0</v>
      </c>
      <c r="N5061" s="14" t="str">
        <f>IFERROR(__xludf.DUMMYFUNCTION("""COMPUTED_VALUE"""),"")</f>
        <v/>
      </c>
      <c r="O5061" s="14"/>
    </row>
    <row r="5062" ht="22.5" hidden="1" customHeight="1">
      <c r="A5062" s="8">
        <v>46206.34160605324</v>
      </c>
      <c r="B5062" s="14">
        <v>46206.0</v>
      </c>
      <c r="C5062" s="9" t="s">
        <v>15</v>
      </c>
      <c r="D5062" s="9" t="s">
        <v>423</v>
      </c>
      <c r="E5062" s="9" t="s">
        <v>17</v>
      </c>
      <c r="F5062" s="9" t="s">
        <v>18</v>
      </c>
      <c r="G5062" s="9">
        <v>8.0</v>
      </c>
      <c r="H5062" s="9" t="s">
        <v>22</v>
      </c>
      <c r="I5062" s="9" t="s">
        <v>20</v>
      </c>
      <c r="J5062" s="16">
        <v>0.8</v>
      </c>
      <c r="K5062" s="14">
        <v>5.0</v>
      </c>
      <c r="N5062" s="14" t="str">
        <f>IFERROR(__xludf.DUMMYFUNCTION("""COMPUTED_VALUE"""),"")</f>
        <v/>
      </c>
      <c r="O5062" s="14"/>
    </row>
    <row r="5063" ht="22.5" hidden="1" customHeight="1">
      <c r="A5063" s="8">
        <v>46206.34169255787</v>
      </c>
      <c r="B5063" s="14">
        <v>46206.0</v>
      </c>
      <c r="C5063" s="9" t="s">
        <v>48</v>
      </c>
      <c r="D5063" s="9" t="s">
        <v>393</v>
      </c>
      <c r="E5063" s="9" t="s">
        <v>61</v>
      </c>
      <c r="F5063" s="9" t="s">
        <v>17</v>
      </c>
      <c r="G5063" s="9">
        <v>7.0</v>
      </c>
      <c r="H5063" s="9" t="s">
        <v>22</v>
      </c>
      <c r="I5063" s="9" t="s">
        <v>20</v>
      </c>
      <c r="J5063" s="16">
        <v>0.8</v>
      </c>
      <c r="K5063" s="14">
        <v>4.0</v>
      </c>
      <c r="N5063" s="14" t="str">
        <f>IFERROR(__xludf.DUMMYFUNCTION("""COMPUTED_VALUE"""),"")</f>
        <v/>
      </c>
      <c r="O5063" s="14"/>
    </row>
    <row r="5064" ht="22.5" hidden="1" customHeight="1">
      <c r="A5064" s="8">
        <v>46206.34231083334</v>
      </c>
      <c r="B5064" s="14">
        <v>46206.0</v>
      </c>
      <c r="C5064" s="9" t="s">
        <v>48</v>
      </c>
      <c r="D5064" s="9" t="s">
        <v>395</v>
      </c>
      <c r="E5064" s="9" t="s">
        <v>17</v>
      </c>
      <c r="F5064" s="9" t="s">
        <v>17</v>
      </c>
      <c r="G5064" s="9">
        <v>7.0</v>
      </c>
      <c r="H5064" s="9" t="s">
        <v>22</v>
      </c>
      <c r="I5064" s="9" t="s">
        <v>240</v>
      </c>
      <c r="J5064" s="16">
        <v>0.6</v>
      </c>
      <c r="K5064" s="14">
        <v>4.0</v>
      </c>
      <c r="N5064" s="14" t="str">
        <f>IFERROR(__xludf.DUMMYFUNCTION("""COMPUTED_VALUE"""),"")</f>
        <v/>
      </c>
      <c r="O5064" s="14"/>
    </row>
    <row r="5065" ht="22.5" hidden="1" customHeight="1">
      <c r="A5065" s="8">
        <v>46206.34250501158</v>
      </c>
      <c r="B5065" s="14">
        <v>46206.0</v>
      </c>
      <c r="C5065" s="9" t="s">
        <v>48</v>
      </c>
      <c r="D5065" s="9" t="s">
        <v>335</v>
      </c>
      <c r="E5065" s="9" t="s">
        <v>17</v>
      </c>
      <c r="F5065" s="9" t="s">
        <v>18</v>
      </c>
      <c r="G5065" s="9" t="s">
        <v>409</v>
      </c>
      <c r="H5065" s="9" t="s">
        <v>22</v>
      </c>
      <c r="I5065" s="9" t="s">
        <v>20</v>
      </c>
      <c r="J5065" s="16">
        <v>0.8</v>
      </c>
      <c r="K5065" s="14">
        <v>5.0</v>
      </c>
      <c r="N5065" s="14" t="str">
        <f>IFERROR(__xludf.DUMMYFUNCTION("""COMPUTED_VALUE"""),"")</f>
        <v/>
      </c>
      <c r="O5065" s="14"/>
    </row>
    <row r="5066" ht="22.5" hidden="1" customHeight="1">
      <c r="A5066" s="8">
        <v>46206.34303614583</v>
      </c>
      <c r="B5066" s="14">
        <v>46206.0</v>
      </c>
      <c r="C5066" s="9" t="s">
        <v>48</v>
      </c>
      <c r="D5066" s="9" t="s">
        <v>174</v>
      </c>
      <c r="E5066" s="9" t="s">
        <v>17</v>
      </c>
      <c r="F5066" s="9" t="s">
        <v>17</v>
      </c>
      <c r="G5066" s="9">
        <v>8.0</v>
      </c>
      <c r="H5066" s="9" t="s">
        <v>22</v>
      </c>
      <c r="I5066" s="9" t="s">
        <v>20</v>
      </c>
      <c r="J5066" s="16">
        <v>0.8</v>
      </c>
      <c r="K5066" s="14">
        <v>4.0</v>
      </c>
      <c r="N5066" s="14" t="str">
        <f>IFERROR(__xludf.DUMMYFUNCTION("""COMPUTED_VALUE"""),"")</f>
        <v/>
      </c>
      <c r="O5066" s="14"/>
    </row>
    <row r="5067" ht="22.5" hidden="1" customHeight="1">
      <c r="A5067" s="8">
        <v>46206.343438993055</v>
      </c>
      <c r="B5067" s="14">
        <v>46206.0</v>
      </c>
      <c r="C5067" s="9" t="s">
        <v>48</v>
      </c>
      <c r="D5067" s="9" t="s">
        <v>413</v>
      </c>
      <c r="E5067" s="9" t="s">
        <v>17</v>
      </c>
      <c r="F5067" s="9" t="s">
        <v>17</v>
      </c>
      <c r="G5067" s="9">
        <v>8.0</v>
      </c>
      <c r="H5067" s="9" t="s">
        <v>22</v>
      </c>
      <c r="I5067" s="9" t="s">
        <v>20</v>
      </c>
      <c r="J5067" s="16">
        <v>1.0</v>
      </c>
      <c r="K5067" s="14">
        <v>3.0</v>
      </c>
      <c r="N5067" s="14" t="str">
        <f>IFERROR(__xludf.DUMMYFUNCTION("""COMPUTED_VALUE"""),"")</f>
        <v/>
      </c>
      <c r="O5067" s="14"/>
    </row>
    <row r="5068" ht="22.5" hidden="1" customHeight="1">
      <c r="A5068" s="8">
        <v>46206.34415347222</v>
      </c>
      <c r="B5068" s="14">
        <v>46206.0</v>
      </c>
      <c r="C5068" s="9" t="s">
        <v>48</v>
      </c>
      <c r="D5068" s="9" t="s">
        <v>442</v>
      </c>
      <c r="E5068" s="9" t="s">
        <v>17</v>
      </c>
      <c r="F5068" s="9" t="s">
        <v>60</v>
      </c>
      <c r="G5068" s="9">
        <v>6.0</v>
      </c>
      <c r="H5068" s="9" t="s">
        <v>25</v>
      </c>
      <c r="I5068" s="9" t="s">
        <v>20</v>
      </c>
      <c r="J5068" s="16">
        <v>0.8</v>
      </c>
      <c r="K5068" s="14">
        <v>5.0</v>
      </c>
      <c r="N5068" s="14" t="str">
        <f>IFERROR(__xludf.DUMMYFUNCTION("""COMPUTED_VALUE"""),"")</f>
        <v/>
      </c>
      <c r="O5068" s="14"/>
    </row>
    <row r="5069" ht="22.5" hidden="1" customHeight="1">
      <c r="A5069" s="8">
        <v>46206.35209484954</v>
      </c>
      <c r="B5069" s="14">
        <v>46206.0</v>
      </c>
      <c r="C5069" s="9" t="s">
        <v>48</v>
      </c>
      <c r="D5069" s="9" t="s">
        <v>367</v>
      </c>
      <c r="E5069" s="9" t="s">
        <v>46</v>
      </c>
      <c r="F5069" s="9" t="s">
        <v>18</v>
      </c>
      <c r="G5069" s="9">
        <v>8.0</v>
      </c>
      <c r="H5069" s="9" t="s">
        <v>22</v>
      </c>
      <c r="I5069" s="9" t="s">
        <v>20</v>
      </c>
      <c r="J5069" s="16">
        <v>0.8</v>
      </c>
      <c r="K5069" s="14" t="s">
        <v>398</v>
      </c>
      <c r="N5069" s="14" t="str">
        <f>IFERROR(__xludf.DUMMYFUNCTION("""COMPUTED_VALUE"""),"")</f>
        <v/>
      </c>
      <c r="O5069" s="14"/>
    </row>
    <row r="5070" ht="22.5" hidden="1" customHeight="1">
      <c r="A5070" s="8">
        <v>46206.35219880787</v>
      </c>
      <c r="B5070" s="14">
        <v>46206.0</v>
      </c>
      <c r="C5070" s="9" t="s">
        <v>48</v>
      </c>
      <c r="D5070" s="9" t="s">
        <v>175</v>
      </c>
      <c r="E5070" s="9" t="s">
        <v>61</v>
      </c>
      <c r="F5070" s="9" t="s">
        <v>17</v>
      </c>
      <c r="G5070" s="9">
        <v>7.0</v>
      </c>
      <c r="H5070" s="9" t="s">
        <v>22</v>
      </c>
      <c r="I5070" s="9" t="s">
        <v>20</v>
      </c>
      <c r="J5070" s="16">
        <v>0.8</v>
      </c>
      <c r="K5070" s="14">
        <v>8.0</v>
      </c>
      <c r="N5070" s="14" t="str">
        <f>IFERROR(__xludf.DUMMYFUNCTION("""COMPUTED_VALUE"""),"")</f>
        <v/>
      </c>
      <c r="O5070" s="14"/>
    </row>
    <row r="5071" ht="22.5" hidden="1" customHeight="1">
      <c r="A5071" s="8">
        <v>46206.35289699074</v>
      </c>
      <c r="B5071" s="14">
        <v>46206.0</v>
      </c>
      <c r="C5071" s="9" t="s">
        <v>48</v>
      </c>
      <c r="D5071" s="9" t="s">
        <v>247</v>
      </c>
      <c r="E5071" s="9" t="s">
        <v>17</v>
      </c>
      <c r="F5071" s="9" t="s">
        <v>17</v>
      </c>
      <c r="G5071" s="9">
        <v>8.0</v>
      </c>
      <c r="H5071" s="9" t="s">
        <v>17</v>
      </c>
      <c r="I5071" s="9" t="s">
        <v>240</v>
      </c>
      <c r="J5071" s="16">
        <v>1.0</v>
      </c>
      <c r="K5071" s="14">
        <v>3.0</v>
      </c>
      <c r="N5071" s="14" t="str">
        <f>IFERROR(__xludf.DUMMYFUNCTION("""COMPUTED_VALUE"""),"")</f>
        <v/>
      </c>
      <c r="O5071" s="14"/>
    </row>
    <row r="5072" ht="22.5" hidden="1" customHeight="1">
      <c r="A5072" s="8">
        <v>46206.353299062495</v>
      </c>
      <c r="B5072" s="14">
        <v>46206.0</v>
      </c>
      <c r="C5072" s="9" t="s">
        <v>48</v>
      </c>
      <c r="D5072" s="9" t="s">
        <v>414</v>
      </c>
      <c r="E5072" s="9" t="s">
        <v>17</v>
      </c>
      <c r="F5072" s="9" t="s">
        <v>17</v>
      </c>
      <c r="G5072" s="9">
        <v>6.0</v>
      </c>
      <c r="H5072" s="9" t="s">
        <v>22</v>
      </c>
      <c r="I5072" s="9" t="s">
        <v>20</v>
      </c>
      <c r="J5072" s="16">
        <v>0.8</v>
      </c>
      <c r="K5072" s="14">
        <v>6.0</v>
      </c>
      <c r="N5072" s="14" t="str">
        <f>IFERROR(__xludf.DUMMYFUNCTION("""COMPUTED_VALUE"""),"")</f>
        <v/>
      </c>
      <c r="O5072" s="14"/>
    </row>
    <row r="5073" ht="22.5" hidden="1" customHeight="1">
      <c r="A5073" s="8">
        <v>46206.353961875</v>
      </c>
      <c r="B5073" s="14">
        <v>46206.0</v>
      </c>
      <c r="C5073" s="9" t="s">
        <v>48</v>
      </c>
      <c r="D5073" s="9" t="s">
        <v>210</v>
      </c>
      <c r="E5073" s="9" t="s">
        <v>17</v>
      </c>
      <c r="F5073" s="9" t="s">
        <v>17</v>
      </c>
      <c r="G5073" s="9" t="s">
        <v>409</v>
      </c>
      <c r="H5073" s="9" t="s">
        <v>22</v>
      </c>
      <c r="I5073" s="9" t="s">
        <v>20</v>
      </c>
      <c r="J5073" s="16">
        <v>0.8</v>
      </c>
      <c r="K5073" s="14">
        <v>6.0</v>
      </c>
      <c r="N5073" s="14" t="str">
        <f>IFERROR(__xludf.DUMMYFUNCTION("""COMPUTED_VALUE"""),"")</f>
        <v/>
      </c>
      <c r="O5073" s="14"/>
    </row>
    <row r="5074" ht="22.5" hidden="1" customHeight="1">
      <c r="A5074" s="8">
        <v>46206.35454180556</v>
      </c>
      <c r="B5074" s="14">
        <v>46206.0</v>
      </c>
      <c r="C5074" s="9" t="s">
        <v>48</v>
      </c>
      <c r="D5074" s="9" t="s">
        <v>357</v>
      </c>
      <c r="E5074" s="9" t="s">
        <v>30</v>
      </c>
      <c r="F5074" s="9" t="s">
        <v>17</v>
      </c>
      <c r="G5074" s="9">
        <v>8.0</v>
      </c>
      <c r="H5074" s="9" t="s">
        <v>22</v>
      </c>
      <c r="I5074" s="9" t="s">
        <v>20</v>
      </c>
      <c r="J5074" s="16">
        <v>0.8</v>
      </c>
      <c r="K5074" s="14">
        <v>7.0</v>
      </c>
      <c r="N5074" s="14" t="str">
        <f>IFERROR(__xludf.DUMMYFUNCTION("""COMPUTED_VALUE"""),"")</f>
        <v/>
      </c>
      <c r="O5074" s="14"/>
    </row>
    <row r="5075" ht="22.5" hidden="1" customHeight="1">
      <c r="A5075" s="8">
        <v>46206.35526134259</v>
      </c>
      <c r="B5075" s="14">
        <v>46206.0</v>
      </c>
      <c r="C5075" s="9" t="s">
        <v>48</v>
      </c>
      <c r="D5075" s="9" t="s">
        <v>369</v>
      </c>
      <c r="E5075" s="9" t="s">
        <v>17</v>
      </c>
      <c r="F5075" s="9" t="s">
        <v>35</v>
      </c>
      <c r="G5075" s="9">
        <v>8.0</v>
      </c>
      <c r="H5075" s="9" t="s">
        <v>22</v>
      </c>
      <c r="I5075" s="9" t="s">
        <v>20</v>
      </c>
      <c r="J5075" s="16">
        <v>0.8</v>
      </c>
      <c r="K5075" s="14">
        <v>6.0</v>
      </c>
      <c r="N5075" s="14" t="str">
        <f>IFERROR(__xludf.DUMMYFUNCTION("""COMPUTED_VALUE"""),"")</f>
        <v/>
      </c>
      <c r="O5075" s="14"/>
    </row>
    <row r="5076" ht="22.5" hidden="1" customHeight="1">
      <c r="A5076" s="8">
        <v>46206.3552853125</v>
      </c>
      <c r="B5076" s="14">
        <v>46206.0</v>
      </c>
      <c r="C5076" s="9" t="s">
        <v>48</v>
      </c>
      <c r="D5076" s="9" t="s">
        <v>259</v>
      </c>
      <c r="E5076" s="9" t="s">
        <v>44</v>
      </c>
      <c r="F5076" s="9" t="s">
        <v>17</v>
      </c>
      <c r="G5076" s="9">
        <v>8.0</v>
      </c>
      <c r="H5076" s="9" t="s">
        <v>17</v>
      </c>
      <c r="I5076" s="9" t="s">
        <v>20</v>
      </c>
      <c r="J5076" s="16">
        <v>0.8</v>
      </c>
      <c r="K5076" s="14">
        <v>5.0</v>
      </c>
      <c r="N5076" s="14" t="str">
        <f>IFERROR(__xludf.DUMMYFUNCTION("""COMPUTED_VALUE"""),"")</f>
        <v/>
      </c>
      <c r="O5076" s="14"/>
    </row>
    <row r="5077" ht="22.5" hidden="1" customHeight="1">
      <c r="A5077" s="8">
        <v>46209.335645914354</v>
      </c>
      <c r="B5077" s="14">
        <v>46209.0</v>
      </c>
      <c r="C5077" s="9" t="s">
        <v>86</v>
      </c>
      <c r="D5077" s="9" t="s">
        <v>249</v>
      </c>
      <c r="E5077" s="9" t="s">
        <v>17</v>
      </c>
      <c r="F5077" s="9" t="s">
        <v>18</v>
      </c>
      <c r="G5077" s="9">
        <v>7.0</v>
      </c>
      <c r="H5077" s="9" t="s">
        <v>22</v>
      </c>
      <c r="I5077" s="9" t="s">
        <v>20</v>
      </c>
      <c r="J5077" s="16">
        <v>0.8</v>
      </c>
      <c r="K5077" s="14" t="s">
        <v>398</v>
      </c>
      <c r="N5077" s="14" t="str">
        <f>IFERROR(__xludf.DUMMYFUNCTION("""COMPUTED_VALUE"""),"")</f>
        <v/>
      </c>
      <c r="O5077" s="14"/>
    </row>
    <row r="5078" ht="22.5" hidden="1" customHeight="1">
      <c r="A5078" s="8">
        <v>46209.33637984954</v>
      </c>
      <c r="B5078" s="14">
        <v>46209.0</v>
      </c>
      <c r="C5078" s="9" t="s">
        <v>86</v>
      </c>
      <c r="D5078" s="9" t="s">
        <v>393</v>
      </c>
      <c r="E5078" s="9" t="s">
        <v>46</v>
      </c>
      <c r="F5078" s="9" t="s">
        <v>17</v>
      </c>
      <c r="G5078" s="9">
        <v>7.0</v>
      </c>
      <c r="H5078" s="9" t="s">
        <v>25</v>
      </c>
      <c r="I5078" s="9" t="s">
        <v>93</v>
      </c>
      <c r="J5078" s="16">
        <v>0.6</v>
      </c>
      <c r="K5078" s="14" t="s">
        <v>398</v>
      </c>
      <c r="N5078" s="14" t="str">
        <f>IFERROR(__xludf.DUMMYFUNCTION("""COMPUTED_VALUE"""),"")</f>
        <v/>
      </c>
      <c r="O5078" s="14"/>
    </row>
    <row r="5079" ht="22.5" hidden="1" customHeight="1">
      <c r="A5079" s="8">
        <v>46209.33726835648</v>
      </c>
      <c r="B5079" s="14">
        <v>46209.0</v>
      </c>
      <c r="C5079" s="9" t="s">
        <v>86</v>
      </c>
      <c r="D5079" s="9" t="s">
        <v>177</v>
      </c>
      <c r="E5079" s="9" t="s">
        <v>46</v>
      </c>
      <c r="F5079" s="9" t="s">
        <v>17</v>
      </c>
      <c r="G5079" s="9">
        <v>7.0</v>
      </c>
      <c r="H5079" s="9" t="s">
        <v>17</v>
      </c>
      <c r="I5079" s="9" t="s">
        <v>263</v>
      </c>
      <c r="J5079" s="16">
        <v>0.6</v>
      </c>
      <c r="K5079" s="14" t="s">
        <v>398</v>
      </c>
      <c r="N5079" s="14" t="str">
        <f>IFERROR(__xludf.DUMMYFUNCTION("""COMPUTED_VALUE"""),"")</f>
        <v/>
      </c>
      <c r="O5079" s="14"/>
    </row>
    <row r="5080" ht="22.5" hidden="1" customHeight="1">
      <c r="A5080" s="8">
        <v>46209.33765583333</v>
      </c>
      <c r="B5080" s="14">
        <v>46209.0</v>
      </c>
      <c r="C5080" s="9" t="s">
        <v>86</v>
      </c>
      <c r="D5080" s="9" t="s">
        <v>249</v>
      </c>
      <c r="E5080" s="9" t="s">
        <v>17</v>
      </c>
      <c r="F5080" s="9" t="s">
        <v>17</v>
      </c>
      <c r="G5080" s="9">
        <v>8.0</v>
      </c>
      <c r="H5080" s="9" t="s">
        <v>22</v>
      </c>
      <c r="I5080" s="9" t="s">
        <v>20</v>
      </c>
      <c r="J5080" s="16">
        <v>0.8</v>
      </c>
      <c r="K5080" s="14" t="s">
        <v>398</v>
      </c>
      <c r="N5080" s="14" t="str">
        <f>IFERROR(__xludf.DUMMYFUNCTION("""COMPUTED_VALUE"""),"")</f>
        <v/>
      </c>
      <c r="O5080" s="14"/>
    </row>
    <row r="5081" ht="22.5" hidden="1" customHeight="1">
      <c r="A5081" s="8">
        <v>46209.34459083334</v>
      </c>
      <c r="B5081" s="14">
        <v>46209.0</v>
      </c>
      <c r="C5081" s="9" t="s">
        <v>86</v>
      </c>
      <c r="D5081" s="9" t="s">
        <v>335</v>
      </c>
      <c r="E5081" s="9" t="s">
        <v>17</v>
      </c>
      <c r="F5081" s="9" t="s">
        <v>17</v>
      </c>
      <c r="G5081" s="9">
        <v>6.0</v>
      </c>
      <c r="H5081" s="9" t="s">
        <v>22</v>
      </c>
      <c r="I5081" s="9" t="s">
        <v>20</v>
      </c>
      <c r="J5081" s="16">
        <v>0.8</v>
      </c>
      <c r="K5081" s="14" t="s">
        <v>398</v>
      </c>
      <c r="N5081" s="14" t="str">
        <f>IFERROR(__xludf.DUMMYFUNCTION("""COMPUTED_VALUE"""),"")</f>
        <v/>
      </c>
      <c r="O5081" s="14"/>
    </row>
    <row r="5082" ht="22.5" hidden="1" customHeight="1">
      <c r="A5082" s="8">
        <v>46209.34513778935</v>
      </c>
      <c r="B5082" s="14">
        <v>46209.0</v>
      </c>
      <c r="C5082" s="9" t="s">
        <v>86</v>
      </c>
      <c r="D5082" s="9" t="s">
        <v>105</v>
      </c>
      <c r="E5082" s="9" t="s">
        <v>17</v>
      </c>
      <c r="F5082" s="9" t="s">
        <v>17</v>
      </c>
      <c r="G5082" s="9">
        <v>7.0</v>
      </c>
      <c r="H5082" s="9" t="s">
        <v>17</v>
      </c>
      <c r="I5082" s="9" t="s">
        <v>20</v>
      </c>
      <c r="J5082" s="16">
        <v>0.6</v>
      </c>
      <c r="K5082" s="14" t="s">
        <v>398</v>
      </c>
      <c r="N5082" s="14" t="str">
        <f>IFERROR(__xludf.DUMMYFUNCTION("""COMPUTED_VALUE"""),"")</f>
        <v/>
      </c>
      <c r="O5082" s="14"/>
    </row>
    <row r="5083" ht="22.5" hidden="1" customHeight="1">
      <c r="A5083" s="8">
        <v>46209.3477894213</v>
      </c>
      <c r="B5083" s="14">
        <v>46209.0</v>
      </c>
      <c r="C5083" s="9" t="s">
        <v>86</v>
      </c>
      <c r="D5083" s="9" t="s">
        <v>412</v>
      </c>
      <c r="E5083" s="9" t="s">
        <v>17</v>
      </c>
      <c r="F5083" s="9" t="s">
        <v>17</v>
      </c>
      <c r="G5083" s="9">
        <v>8.0</v>
      </c>
      <c r="H5083" s="9" t="s">
        <v>17</v>
      </c>
      <c r="I5083" s="9" t="s">
        <v>20</v>
      </c>
      <c r="J5083" s="16">
        <v>0.6</v>
      </c>
      <c r="K5083" s="14" t="s">
        <v>398</v>
      </c>
      <c r="N5083" s="14" t="str">
        <f>IFERROR(__xludf.DUMMYFUNCTION("""COMPUTED_VALUE"""),"")</f>
        <v/>
      </c>
      <c r="O5083" s="14"/>
    </row>
    <row r="5084" ht="22.5" hidden="1" customHeight="1">
      <c r="A5084" s="8">
        <v>46209.34880415509</v>
      </c>
      <c r="B5084" s="14">
        <v>46209.0</v>
      </c>
      <c r="C5084" s="9" t="s">
        <v>86</v>
      </c>
      <c r="D5084" s="9" t="s">
        <v>441</v>
      </c>
      <c r="E5084" s="9" t="s">
        <v>17</v>
      </c>
      <c r="F5084" s="9" t="s">
        <v>17</v>
      </c>
      <c r="G5084" s="9">
        <v>6.0</v>
      </c>
      <c r="H5084" s="9" t="s">
        <v>17</v>
      </c>
      <c r="I5084" s="9" t="s">
        <v>41</v>
      </c>
      <c r="J5084" s="16">
        <v>0.8</v>
      </c>
      <c r="K5084" s="14" t="s">
        <v>398</v>
      </c>
      <c r="N5084" s="14" t="str">
        <f>IFERROR(__xludf.DUMMYFUNCTION("""COMPUTED_VALUE"""),"")</f>
        <v/>
      </c>
      <c r="O5084" s="14"/>
    </row>
    <row r="5085" ht="22.5" hidden="1" customHeight="1">
      <c r="A5085" s="8">
        <v>46209.3489078125</v>
      </c>
      <c r="B5085" s="14">
        <v>46209.0</v>
      </c>
      <c r="C5085" s="9" t="s">
        <v>86</v>
      </c>
      <c r="D5085" s="9" t="s">
        <v>174</v>
      </c>
      <c r="E5085" s="9" t="s">
        <v>140</v>
      </c>
      <c r="F5085" s="9" t="s">
        <v>77</v>
      </c>
      <c r="G5085" s="9" t="s">
        <v>410</v>
      </c>
      <c r="H5085" s="9" t="s">
        <v>17</v>
      </c>
      <c r="I5085" s="9" t="s">
        <v>20</v>
      </c>
      <c r="J5085" s="16">
        <v>0.4</v>
      </c>
      <c r="K5085" s="14" t="s">
        <v>398</v>
      </c>
      <c r="N5085" s="14" t="str">
        <f>IFERROR(__xludf.DUMMYFUNCTION("""COMPUTED_VALUE"""),"")</f>
        <v/>
      </c>
      <c r="O5085" s="14"/>
    </row>
    <row r="5086" ht="22.5" hidden="1" customHeight="1">
      <c r="A5086" s="8">
        <v>46209.34943695602</v>
      </c>
      <c r="B5086" s="14">
        <v>46209.0</v>
      </c>
      <c r="C5086" s="9" t="s">
        <v>86</v>
      </c>
      <c r="D5086" s="9" t="s">
        <v>423</v>
      </c>
      <c r="E5086" s="9" t="s">
        <v>17</v>
      </c>
      <c r="F5086" s="9" t="s">
        <v>17</v>
      </c>
      <c r="G5086" s="9">
        <v>7.0</v>
      </c>
      <c r="H5086" s="9" t="s">
        <v>22</v>
      </c>
      <c r="I5086" s="9" t="s">
        <v>20</v>
      </c>
      <c r="J5086" s="16">
        <v>0.6</v>
      </c>
      <c r="K5086" s="14" t="s">
        <v>398</v>
      </c>
      <c r="N5086" s="14" t="str">
        <f>IFERROR(__xludf.DUMMYFUNCTION("""COMPUTED_VALUE"""),"")</f>
        <v/>
      </c>
      <c r="O5086" s="14"/>
    </row>
    <row r="5087" ht="22.5" hidden="1" customHeight="1">
      <c r="A5087" s="8">
        <v>46209.350177858796</v>
      </c>
      <c r="B5087" s="14">
        <v>46209.0</v>
      </c>
      <c r="C5087" s="9" t="s">
        <v>86</v>
      </c>
      <c r="D5087" s="9" t="s">
        <v>357</v>
      </c>
      <c r="E5087" s="9" t="s">
        <v>17</v>
      </c>
      <c r="F5087" s="9" t="s">
        <v>60</v>
      </c>
      <c r="G5087" s="9">
        <v>6.0</v>
      </c>
      <c r="H5087" s="9" t="s">
        <v>22</v>
      </c>
      <c r="I5087" s="9" t="s">
        <v>20</v>
      </c>
      <c r="J5087" s="16">
        <v>0.6</v>
      </c>
      <c r="K5087" s="14" t="s">
        <v>398</v>
      </c>
      <c r="N5087" s="14" t="str">
        <f>IFERROR(__xludf.DUMMYFUNCTION("""COMPUTED_VALUE"""),"")</f>
        <v/>
      </c>
      <c r="O5087" s="14"/>
    </row>
    <row r="5088" ht="22.5" hidden="1" customHeight="1">
      <c r="A5088" s="8">
        <v>46209.35056074074</v>
      </c>
      <c r="B5088" s="14">
        <v>46209.0</v>
      </c>
      <c r="C5088" s="9" t="s">
        <v>86</v>
      </c>
      <c r="D5088" s="9" t="s">
        <v>413</v>
      </c>
      <c r="E5088" s="9" t="s">
        <v>17</v>
      </c>
      <c r="F5088" s="9" t="s">
        <v>17</v>
      </c>
      <c r="G5088" s="9">
        <v>8.0</v>
      </c>
      <c r="H5088" s="9" t="s">
        <v>17</v>
      </c>
      <c r="I5088" s="9" t="s">
        <v>20</v>
      </c>
      <c r="J5088" s="16">
        <v>0.6</v>
      </c>
      <c r="K5088" s="14" t="s">
        <v>398</v>
      </c>
      <c r="N5088" s="14" t="str">
        <f>IFERROR(__xludf.DUMMYFUNCTION("""COMPUTED_VALUE"""),"")</f>
        <v/>
      </c>
      <c r="O5088" s="14"/>
    </row>
    <row r="5089" ht="22.5" hidden="1" customHeight="1">
      <c r="A5089" s="8">
        <v>46209.350673587964</v>
      </c>
      <c r="B5089" s="14">
        <v>46209.0</v>
      </c>
      <c r="C5089" s="9" t="s">
        <v>86</v>
      </c>
      <c r="D5089" s="9" t="s">
        <v>395</v>
      </c>
      <c r="E5089" s="9" t="s">
        <v>17</v>
      </c>
      <c r="F5089" s="9" t="s">
        <v>17</v>
      </c>
      <c r="G5089" s="9">
        <v>6.0</v>
      </c>
      <c r="H5089" s="9" t="s">
        <v>22</v>
      </c>
      <c r="I5089" s="9" t="s">
        <v>20</v>
      </c>
      <c r="J5089" s="16">
        <v>0.6</v>
      </c>
      <c r="K5089" s="14" t="s">
        <v>398</v>
      </c>
      <c r="N5089" s="14" t="str">
        <f>IFERROR(__xludf.DUMMYFUNCTION("""COMPUTED_VALUE"""),"")</f>
        <v/>
      </c>
      <c r="O5089" s="14"/>
    </row>
    <row r="5090" ht="22.5" hidden="1" customHeight="1">
      <c r="A5090" s="8">
        <v>46209.35173196759</v>
      </c>
      <c r="B5090" s="14">
        <v>46209.0</v>
      </c>
      <c r="C5090" s="9" t="s">
        <v>86</v>
      </c>
      <c r="D5090" s="9" t="s">
        <v>414</v>
      </c>
      <c r="E5090" s="9" t="s">
        <v>17</v>
      </c>
      <c r="F5090" s="9" t="s">
        <v>17</v>
      </c>
      <c r="G5090" s="9">
        <v>6.0</v>
      </c>
      <c r="H5090" s="9" t="s">
        <v>22</v>
      </c>
      <c r="I5090" s="9" t="s">
        <v>20</v>
      </c>
      <c r="J5090" s="16">
        <v>0.6</v>
      </c>
      <c r="K5090" s="14" t="s">
        <v>398</v>
      </c>
      <c r="N5090" s="14" t="str">
        <f>IFERROR(__xludf.DUMMYFUNCTION("""COMPUTED_VALUE"""),"")</f>
        <v/>
      </c>
      <c r="O5090" s="14"/>
    </row>
    <row r="5091" ht="22.5" hidden="1" customHeight="1">
      <c r="A5091" s="8">
        <v>46209.35198355324</v>
      </c>
      <c r="B5091" s="14">
        <v>46209.0</v>
      </c>
      <c r="C5091" s="9" t="s">
        <v>86</v>
      </c>
      <c r="D5091" s="9" t="s">
        <v>369</v>
      </c>
      <c r="E5091" s="9" t="s">
        <v>17</v>
      </c>
      <c r="F5091" s="9" t="s">
        <v>17</v>
      </c>
      <c r="G5091" s="9">
        <v>7.0</v>
      </c>
      <c r="H5091" s="9" t="s">
        <v>17</v>
      </c>
      <c r="I5091" s="9" t="s">
        <v>137</v>
      </c>
      <c r="J5091" s="16">
        <v>0.6</v>
      </c>
      <c r="K5091" s="14" t="s">
        <v>398</v>
      </c>
      <c r="N5091" s="14" t="str">
        <f>IFERROR(__xludf.DUMMYFUNCTION("""COMPUTED_VALUE"""),"")</f>
        <v/>
      </c>
      <c r="O5091" s="14"/>
    </row>
    <row r="5092" ht="22.5" hidden="1" customHeight="1">
      <c r="A5092" s="8">
        <v>46209.35236929398</v>
      </c>
      <c r="B5092" s="14">
        <v>46209.0</v>
      </c>
      <c r="C5092" s="9" t="s">
        <v>86</v>
      </c>
      <c r="D5092" s="9" t="s">
        <v>247</v>
      </c>
      <c r="E5092" s="9" t="s">
        <v>140</v>
      </c>
      <c r="F5092" s="9" t="s">
        <v>60</v>
      </c>
      <c r="G5092" s="9">
        <v>7.0</v>
      </c>
      <c r="H5092" s="9" t="s">
        <v>17</v>
      </c>
      <c r="I5092" s="9" t="s">
        <v>240</v>
      </c>
      <c r="J5092" s="16">
        <v>0.6</v>
      </c>
      <c r="K5092" s="14" t="s">
        <v>398</v>
      </c>
      <c r="N5092" s="14" t="str">
        <f>IFERROR(__xludf.DUMMYFUNCTION("""COMPUTED_VALUE"""),"")</f>
        <v/>
      </c>
      <c r="O5092" s="14"/>
    </row>
    <row r="5093" ht="22.5" hidden="1" customHeight="1">
      <c r="A5093" s="8">
        <v>46209.353280243056</v>
      </c>
      <c r="B5093" s="14">
        <v>46209.0</v>
      </c>
      <c r="C5093" s="9" t="s">
        <v>86</v>
      </c>
      <c r="D5093" s="9" t="s">
        <v>175</v>
      </c>
      <c r="E5093" s="9" t="s">
        <v>46</v>
      </c>
      <c r="F5093" s="9" t="s">
        <v>17</v>
      </c>
      <c r="G5093" s="9">
        <v>7.0</v>
      </c>
      <c r="H5093" s="9" t="s">
        <v>17</v>
      </c>
      <c r="I5093" s="9" t="s">
        <v>20</v>
      </c>
      <c r="J5093" s="16">
        <v>0.8</v>
      </c>
      <c r="K5093" s="14" t="s">
        <v>398</v>
      </c>
      <c r="N5093" s="14" t="str">
        <f>IFERROR(__xludf.DUMMYFUNCTION("""COMPUTED_VALUE"""),"")</f>
        <v/>
      </c>
      <c r="O5093" s="14"/>
    </row>
    <row r="5094" ht="22.5" hidden="1" customHeight="1">
      <c r="A5094" s="8">
        <v>46209.35377052083</v>
      </c>
      <c r="B5094" s="14">
        <v>46209.0</v>
      </c>
      <c r="C5094" s="9" t="s">
        <v>86</v>
      </c>
      <c r="D5094" s="9" t="s">
        <v>259</v>
      </c>
      <c r="E5094" s="9" t="s">
        <v>61</v>
      </c>
      <c r="F5094" s="9" t="s">
        <v>17</v>
      </c>
      <c r="G5094" s="9">
        <v>7.0</v>
      </c>
      <c r="H5094" s="9" t="s">
        <v>22</v>
      </c>
      <c r="I5094" s="9" t="s">
        <v>20</v>
      </c>
      <c r="J5094" s="16">
        <v>0.6</v>
      </c>
      <c r="K5094" s="14" t="s">
        <v>398</v>
      </c>
      <c r="N5094" s="14" t="str">
        <f>IFERROR(__xludf.DUMMYFUNCTION("""COMPUTED_VALUE"""),"")</f>
        <v/>
      </c>
      <c r="O5094" s="14"/>
    </row>
    <row r="5095" ht="22.5" hidden="1" customHeight="1">
      <c r="A5095" s="8">
        <v>46209.35640466435</v>
      </c>
      <c r="B5095" s="14">
        <v>46209.0</v>
      </c>
      <c r="C5095" s="9" t="s">
        <v>86</v>
      </c>
      <c r="D5095" s="9" t="s">
        <v>210</v>
      </c>
      <c r="E5095" s="9" t="s">
        <v>17</v>
      </c>
      <c r="F5095" s="9" t="s">
        <v>60</v>
      </c>
      <c r="G5095" s="9" t="s">
        <v>410</v>
      </c>
      <c r="H5095" s="9" t="s">
        <v>22</v>
      </c>
      <c r="I5095" s="9" t="s">
        <v>20</v>
      </c>
      <c r="J5095" s="16">
        <v>0.4</v>
      </c>
      <c r="K5095" s="14" t="s">
        <v>398</v>
      </c>
      <c r="N5095" s="14" t="str">
        <f>IFERROR(__xludf.DUMMYFUNCTION("""COMPUTED_VALUE"""),"")</f>
        <v/>
      </c>
      <c r="O5095" s="14"/>
    </row>
    <row r="5096" ht="22.5" hidden="1" customHeight="1">
      <c r="A5096" s="8">
        <v>46210.34347799768</v>
      </c>
      <c r="B5096" s="14">
        <v>46210.0</v>
      </c>
      <c r="C5096" s="9" t="s">
        <v>110</v>
      </c>
      <c r="D5096" s="9" t="s">
        <v>394</v>
      </c>
      <c r="E5096" s="9" t="s">
        <v>17</v>
      </c>
      <c r="F5096" s="9" t="s">
        <v>35</v>
      </c>
      <c r="G5096" s="9">
        <v>8.0</v>
      </c>
      <c r="H5096" s="9" t="s">
        <v>22</v>
      </c>
      <c r="I5096" s="9" t="s">
        <v>20</v>
      </c>
      <c r="J5096" s="16">
        <v>0.8</v>
      </c>
      <c r="K5096" s="14" t="s">
        <v>398</v>
      </c>
      <c r="N5096" s="14" t="str">
        <f>IFERROR(__xludf.DUMMYFUNCTION("""COMPUTED_VALUE"""),"")</f>
        <v/>
      </c>
      <c r="O5096" s="14"/>
    </row>
    <row r="5097" ht="22.5" hidden="1" customHeight="1">
      <c r="A5097" s="8">
        <v>46210.34403537037</v>
      </c>
      <c r="B5097" s="14">
        <v>46210.0</v>
      </c>
      <c r="C5097" s="9" t="s">
        <v>110</v>
      </c>
      <c r="D5097" s="9" t="s">
        <v>177</v>
      </c>
      <c r="E5097" s="9" t="s">
        <v>17</v>
      </c>
      <c r="F5097" s="9" t="s">
        <v>35</v>
      </c>
      <c r="G5097" s="9">
        <v>7.0</v>
      </c>
      <c r="H5097" s="9" t="s">
        <v>22</v>
      </c>
      <c r="I5097" s="9" t="s">
        <v>20</v>
      </c>
      <c r="J5097" s="16">
        <v>0.8</v>
      </c>
      <c r="K5097" s="14">
        <v>4.0</v>
      </c>
      <c r="N5097" s="14" t="str">
        <f>IFERROR(__xludf.DUMMYFUNCTION("""COMPUTED_VALUE"""),"")</f>
        <v/>
      </c>
      <c r="O5097" s="14"/>
    </row>
    <row r="5098" ht="22.5" hidden="1" customHeight="1">
      <c r="A5098" s="8">
        <v>46210.344153287035</v>
      </c>
      <c r="B5098" s="14">
        <v>46210.0</v>
      </c>
      <c r="C5098" s="9" t="s">
        <v>110</v>
      </c>
      <c r="D5098" s="9" t="s">
        <v>105</v>
      </c>
      <c r="E5098" s="9" t="s">
        <v>17</v>
      </c>
      <c r="F5098" s="9" t="s">
        <v>17</v>
      </c>
      <c r="G5098" s="9">
        <v>6.0</v>
      </c>
      <c r="H5098" s="9" t="s">
        <v>22</v>
      </c>
      <c r="I5098" s="9" t="s">
        <v>20</v>
      </c>
      <c r="J5098" s="16">
        <v>0.6</v>
      </c>
      <c r="K5098" s="14">
        <v>2.0</v>
      </c>
      <c r="N5098" s="14" t="str">
        <f>IFERROR(__xludf.DUMMYFUNCTION("""COMPUTED_VALUE"""),"")</f>
        <v/>
      </c>
      <c r="O5098" s="14"/>
    </row>
    <row r="5099" ht="22.5" hidden="1" customHeight="1">
      <c r="A5099" s="8">
        <v>46210.344606597224</v>
      </c>
      <c r="B5099" s="14">
        <v>46210.0</v>
      </c>
      <c r="C5099" s="9" t="s">
        <v>110</v>
      </c>
      <c r="D5099" s="9" t="s">
        <v>393</v>
      </c>
      <c r="E5099" s="9" t="s">
        <v>61</v>
      </c>
      <c r="F5099" s="9" t="s">
        <v>17</v>
      </c>
      <c r="G5099" s="9" t="s">
        <v>409</v>
      </c>
      <c r="H5099" s="9" t="s">
        <v>17</v>
      </c>
      <c r="I5099" s="9" t="s">
        <v>20</v>
      </c>
      <c r="J5099" s="16">
        <v>0.6</v>
      </c>
      <c r="K5099" s="14">
        <v>4.0</v>
      </c>
      <c r="N5099" s="14" t="str">
        <f>IFERROR(__xludf.DUMMYFUNCTION("""COMPUTED_VALUE"""),"")</f>
        <v/>
      </c>
      <c r="O5099" s="14"/>
    </row>
    <row r="5100" ht="22.5" hidden="1" customHeight="1">
      <c r="A5100" s="8">
        <v>46210.34500594907</v>
      </c>
      <c r="B5100" s="14">
        <v>46210.0</v>
      </c>
      <c r="C5100" s="9" t="s">
        <v>110</v>
      </c>
      <c r="D5100" s="9" t="s">
        <v>335</v>
      </c>
      <c r="E5100" s="9" t="s">
        <v>17</v>
      </c>
      <c r="F5100" s="9" t="s">
        <v>35</v>
      </c>
      <c r="G5100" s="9" t="s">
        <v>409</v>
      </c>
      <c r="H5100" s="9" t="s">
        <v>22</v>
      </c>
      <c r="I5100" s="9" t="s">
        <v>20</v>
      </c>
      <c r="J5100" s="16">
        <v>0.8</v>
      </c>
      <c r="K5100" s="14">
        <v>5.0</v>
      </c>
      <c r="N5100" s="14" t="str">
        <f>IFERROR(__xludf.DUMMYFUNCTION("""COMPUTED_VALUE"""),"")</f>
        <v/>
      </c>
      <c r="O5100" s="14"/>
    </row>
    <row r="5101" ht="22.5" hidden="1" customHeight="1">
      <c r="A5101" s="8">
        <v>46210.34552645833</v>
      </c>
      <c r="B5101" s="14">
        <v>46210.0</v>
      </c>
      <c r="C5101" s="9" t="s">
        <v>110</v>
      </c>
      <c r="D5101" s="9" t="s">
        <v>395</v>
      </c>
      <c r="E5101" s="9" t="s">
        <v>61</v>
      </c>
      <c r="F5101" s="9" t="s">
        <v>17</v>
      </c>
      <c r="G5101" s="9">
        <v>8.0</v>
      </c>
      <c r="H5101" s="9" t="s">
        <v>17</v>
      </c>
      <c r="I5101" s="9" t="s">
        <v>20</v>
      </c>
      <c r="J5101" s="16">
        <v>0.8</v>
      </c>
      <c r="K5101" s="14">
        <v>4.0</v>
      </c>
      <c r="N5101" s="14" t="str">
        <f>IFERROR(__xludf.DUMMYFUNCTION("""COMPUTED_VALUE"""),"")</f>
        <v/>
      </c>
      <c r="O5101" s="14"/>
    </row>
    <row r="5102" ht="22.5" hidden="1" customHeight="1">
      <c r="A5102" s="8">
        <v>46210.34570502315</v>
      </c>
      <c r="B5102" s="14">
        <v>46210.0</v>
      </c>
      <c r="C5102" s="9" t="s">
        <v>110</v>
      </c>
      <c r="D5102" s="9" t="s">
        <v>367</v>
      </c>
      <c r="E5102" s="9" t="s">
        <v>46</v>
      </c>
      <c r="F5102" s="9" t="s">
        <v>17</v>
      </c>
      <c r="G5102" s="9">
        <v>8.0</v>
      </c>
      <c r="H5102" s="9" t="s">
        <v>17</v>
      </c>
      <c r="I5102" s="9" t="s">
        <v>20</v>
      </c>
      <c r="J5102" s="16">
        <v>0.6</v>
      </c>
      <c r="K5102" s="14" t="s">
        <v>398</v>
      </c>
      <c r="N5102" s="14" t="str">
        <f>IFERROR(__xludf.DUMMYFUNCTION("""COMPUTED_VALUE"""),"")</f>
        <v/>
      </c>
      <c r="O5102" s="14"/>
    </row>
    <row r="5103" ht="22.5" hidden="1" customHeight="1">
      <c r="A5103" s="8">
        <v>46210.34596045139</v>
      </c>
      <c r="B5103" s="14">
        <v>46210.0</v>
      </c>
      <c r="C5103" s="9" t="s">
        <v>110</v>
      </c>
      <c r="D5103" s="9" t="s">
        <v>413</v>
      </c>
      <c r="E5103" s="9" t="s">
        <v>17</v>
      </c>
      <c r="F5103" s="9" t="s">
        <v>17</v>
      </c>
      <c r="G5103" s="9">
        <v>8.0</v>
      </c>
      <c r="H5103" s="9" t="s">
        <v>22</v>
      </c>
      <c r="I5103" s="9" t="s">
        <v>20</v>
      </c>
      <c r="J5103" s="16">
        <v>1.0</v>
      </c>
      <c r="K5103" s="14">
        <v>3.0</v>
      </c>
      <c r="N5103" s="14" t="str">
        <f>IFERROR(__xludf.DUMMYFUNCTION("""COMPUTED_VALUE"""),"")</f>
        <v/>
      </c>
      <c r="O5103" s="14"/>
    </row>
    <row r="5104" ht="22.5" hidden="1" customHeight="1">
      <c r="A5104" s="8">
        <v>46210.34671884259</v>
      </c>
      <c r="B5104" s="14">
        <v>46210.0</v>
      </c>
      <c r="C5104" s="9" t="s">
        <v>110</v>
      </c>
      <c r="D5104" s="9" t="s">
        <v>442</v>
      </c>
      <c r="E5104" s="9" t="s">
        <v>17</v>
      </c>
      <c r="F5104" s="9" t="s">
        <v>17</v>
      </c>
      <c r="G5104" s="9">
        <v>7.0</v>
      </c>
      <c r="H5104" s="9" t="s">
        <v>22</v>
      </c>
      <c r="I5104" s="9" t="s">
        <v>20</v>
      </c>
      <c r="J5104" s="16">
        <v>0.6</v>
      </c>
      <c r="K5104" s="14">
        <v>6.0</v>
      </c>
      <c r="N5104" s="14" t="str">
        <f>IFERROR(__xludf.DUMMYFUNCTION("""COMPUTED_VALUE"""),"")</f>
        <v/>
      </c>
      <c r="O5104" s="14"/>
    </row>
    <row r="5105" ht="22.5" hidden="1" customHeight="1">
      <c r="A5105" s="8">
        <v>46210.348105682875</v>
      </c>
      <c r="B5105" s="14">
        <v>46210.0</v>
      </c>
      <c r="C5105" s="9" t="s">
        <v>110</v>
      </c>
      <c r="D5105" s="9" t="s">
        <v>357</v>
      </c>
      <c r="E5105" s="9" t="s">
        <v>17</v>
      </c>
      <c r="F5105" s="9" t="s">
        <v>17</v>
      </c>
      <c r="G5105" s="9">
        <v>7.0</v>
      </c>
      <c r="H5105" s="9" t="s">
        <v>17</v>
      </c>
      <c r="I5105" s="9" t="s">
        <v>159</v>
      </c>
      <c r="J5105" s="16">
        <v>0.8</v>
      </c>
      <c r="K5105" s="14">
        <v>7.0</v>
      </c>
      <c r="N5105" s="14" t="str">
        <f>IFERROR(__xludf.DUMMYFUNCTION("""COMPUTED_VALUE"""),"")</f>
        <v/>
      </c>
      <c r="O5105" s="14"/>
    </row>
    <row r="5106" ht="22.5" hidden="1" customHeight="1">
      <c r="A5106" s="8">
        <v>46210.34875982639</v>
      </c>
      <c r="B5106" s="14">
        <v>46210.0</v>
      </c>
      <c r="C5106" s="9" t="s">
        <v>110</v>
      </c>
      <c r="D5106" s="9" t="s">
        <v>441</v>
      </c>
      <c r="E5106" s="9" t="s">
        <v>17</v>
      </c>
      <c r="F5106" s="9" t="s">
        <v>17</v>
      </c>
      <c r="G5106" s="9">
        <v>7.0</v>
      </c>
      <c r="H5106" s="9" t="s">
        <v>22</v>
      </c>
      <c r="I5106" s="9" t="s">
        <v>20</v>
      </c>
      <c r="J5106" s="16">
        <v>0.6</v>
      </c>
      <c r="K5106" s="14">
        <v>5.0</v>
      </c>
      <c r="N5106" s="14" t="str">
        <f>IFERROR(__xludf.DUMMYFUNCTION("""COMPUTED_VALUE"""),"")</f>
        <v/>
      </c>
      <c r="O5106" s="14"/>
    </row>
    <row r="5107" ht="22.5" hidden="1" customHeight="1">
      <c r="A5107" s="8">
        <v>46210.353171400464</v>
      </c>
      <c r="B5107" s="14">
        <v>46210.0</v>
      </c>
      <c r="C5107" s="9" t="s">
        <v>110</v>
      </c>
      <c r="D5107" s="9" t="s">
        <v>247</v>
      </c>
      <c r="E5107" s="9" t="s">
        <v>61</v>
      </c>
      <c r="F5107" s="9" t="s">
        <v>17</v>
      </c>
      <c r="G5107" s="9">
        <v>7.0</v>
      </c>
      <c r="H5107" s="9" t="s">
        <v>17</v>
      </c>
      <c r="I5107" s="9" t="s">
        <v>20</v>
      </c>
      <c r="J5107" s="16">
        <v>0.8</v>
      </c>
      <c r="K5107" s="14">
        <v>6.0</v>
      </c>
      <c r="N5107" s="14" t="str">
        <f>IFERROR(__xludf.DUMMYFUNCTION("""COMPUTED_VALUE"""),"")</f>
        <v/>
      </c>
      <c r="O5107" s="14"/>
    </row>
    <row r="5108" ht="22.5" hidden="1" customHeight="1">
      <c r="A5108" s="8">
        <v>46210.35394638889</v>
      </c>
      <c r="B5108" s="14">
        <v>46210.0</v>
      </c>
      <c r="C5108" s="9" t="s">
        <v>110</v>
      </c>
      <c r="D5108" s="9" t="s">
        <v>369</v>
      </c>
      <c r="E5108" s="9" t="s">
        <v>61</v>
      </c>
      <c r="F5108" s="9" t="s">
        <v>17</v>
      </c>
      <c r="G5108" s="9">
        <v>7.0</v>
      </c>
      <c r="H5108" s="9" t="s">
        <v>25</v>
      </c>
      <c r="I5108" s="9" t="s">
        <v>355</v>
      </c>
      <c r="J5108" s="16">
        <v>0.8</v>
      </c>
      <c r="K5108" s="14">
        <v>5.0</v>
      </c>
      <c r="N5108" s="14" t="str">
        <f>IFERROR(__xludf.DUMMYFUNCTION("""COMPUTED_VALUE"""),"")</f>
        <v/>
      </c>
      <c r="O5108" s="14"/>
    </row>
    <row r="5109" ht="22.5" hidden="1" customHeight="1">
      <c r="A5109" s="8">
        <v>46210.354941840276</v>
      </c>
      <c r="B5109" s="14">
        <v>46210.0</v>
      </c>
      <c r="C5109" s="9" t="s">
        <v>110</v>
      </c>
      <c r="D5109" s="9" t="s">
        <v>175</v>
      </c>
      <c r="E5109" s="9" t="s">
        <v>17</v>
      </c>
      <c r="F5109" s="9" t="s">
        <v>60</v>
      </c>
      <c r="G5109" s="9">
        <v>8.0</v>
      </c>
      <c r="H5109" s="9" t="s">
        <v>17</v>
      </c>
      <c r="I5109" s="9" t="s">
        <v>79</v>
      </c>
      <c r="J5109" s="16">
        <v>0.8</v>
      </c>
      <c r="K5109" s="14">
        <v>7.0</v>
      </c>
      <c r="N5109" s="14" t="str">
        <f>IFERROR(__xludf.DUMMYFUNCTION("""COMPUTED_VALUE"""),"")</f>
        <v/>
      </c>
      <c r="O5109" s="14"/>
    </row>
    <row r="5110" ht="22.5" hidden="1" customHeight="1">
      <c r="A5110" s="8">
        <v>46210.355974791666</v>
      </c>
      <c r="B5110" s="14">
        <v>46210.0</v>
      </c>
      <c r="C5110" s="9" t="s">
        <v>110</v>
      </c>
      <c r="D5110" s="9" t="s">
        <v>259</v>
      </c>
      <c r="E5110" s="9" t="s">
        <v>17</v>
      </c>
      <c r="F5110" s="9" t="s">
        <v>43</v>
      </c>
      <c r="G5110" s="9">
        <v>8.0</v>
      </c>
      <c r="H5110" s="9" t="s">
        <v>25</v>
      </c>
      <c r="I5110" s="9" t="s">
        <v>273</v>
      </c>
      <c r="J5110" s="16">
        <v>0.8</v>
      </c>
      <c r="K5110" s="14">
        <v>5.0</v>
      </c>
      <c r="N5110" s="14" t="str">
        <f>IFERROR(__xludf.DUMMYFUNCTION("""COMPUTED_VALUE"""),"")</f>
        <v/>
      </c>
      <c r="O5110" s="14"/>
    </row>
    <row r="5111" ht="22.5" hidden="1" customHeight="1">
      <c r="A5111" s="8">
        <v>46210.35736299769</v>
      </c>
      <c r="B5111" s="14">
        <v>46210.0</v>
      </c>
      <c r="C5111" s="9" t="s">
        <v>110</v>
      </c>
      <c r="D5111" s="9" t="s">
        <v>210</v>
      </c>
      <c r="E5111" s="9" t="s">
        <v>17</v>
      </c>
      <c r="F5111" s="9" t="s">
        <v>18</v>
      </c>
      <c r="G5111" s="9">
        <v>8.0</v>
      </c>
      <c r="H5111" s="9" t="s">
        <v>22</v>
      </c>
      <c r="I5111" s="9" t="s">
        <v>20</v>
      </c>
      <c r="J5111" s="16">
        <v>0.8</v>
      </c>
      <c r="K5111" s="14">
        <v>7.0</v>
      </c>
      <c r="N5111" s="14" t="str">
        <f>IFERROR(__xludf.DUMMYFUNCTION("""COMPUTED_VALUE"""),"")</f>
        <v/>
      </c>
      <c r="O5111" s="14"/>
    </row>
    <row r="5112" ht="22.5" hidden="1" customHeight="1">
      <c r="A5112" s="8">
        <v>46210.35778667824</v>
      </c>
      <c r="B5112" s="14">
        <v>46210.0</v>
      </c>
      <c r="C5112" s="9" t="s">
        <v>110</v>
      </c>
      <c r="D5112" s="9" t="s">
        <v>174</v>
      </c>
      <c r="E5112" s="9" t="s">
        <v>17</v>
      </c>
      <c r="F5112" s="9" t="s">
        <v>60</v>
      </c>
      <c r="G5112" s="9" t="s">
        <v>410</v>
      </c>
      <c r="H5112" s="9" t="s">
        <v>22</v>
      </c>
      <c r="I5112" s="9" t="s">
        <v>20</v>
      </c>
      <c r="J5112" s="16">
        <v>0.8</v>
      </c>
      <c r="K5112" s="14">
        <v>5.0</v>
      </c>
      <c r="N5112" s="14" t="str">
        <f>IFERROR(__xludf.DUMMYFUNCTION("""COMPUTED_VALUE"""),"")</f>
        <v/>
      </c>
      <c r="O5112" s="14"/>
    </row>
    <row r="5113" ht="22.5" hidden="1" customHeight="1">
      <c r="A5113" s="8">
        <v>46210.35817994213</v>
      </c>
      <c r="B5113" s="14">
        <v>46210.0</v>
      </c>
      <c r="C5113" s="9" t="s">
        <v>110</v>
      </c>
      <c r="D5113" s="9" t="s">
        <v>414</v>
      </c>
      <c r="E5113" s="9" t="s">
        <v>44</v>
      </c>
      <c r="F5113" s="9" t="s">
        <v>35</v>
      </c>
      <c r="G5113" s="9">
        <v>8.0</v>
      </c>
      <c r="H5113" s="9" t="s">
        <v>22</v>
      </c>
      <c r="I5113" s="9" t="s">
        <v>20</v>
      </c>
      <c r="J5113" s="16">
        <v>0.8</v>
      </c>
      <c r="K5113" s="14">
        <v>5.0</v>
      </c>
      <c r="N5113" s="14" t="str">
        <f>IFERROR(__xludf.DUMMYFUNCTION("""COMPUTED_VALUE"""),"")</f>
        <v/>
      </c>
      <c r="O5113" s="14"/>
    </row>
    <row r="5114" ht="22.5" hidden="1" customHeight="1">
      <c r="A5114" s="8">
        <v>46210.358484490745</v>
      </c>
      <c r="B5114" s="14">
        <v>46210.0</v>
      </c>
      <c r="C5114" s="9" t="s">
        <v>110</v>
      </c>
      <c r="D5114" s="9" t="s">
        <v>105</v>
      </c>
      <c r="E5114" s="9" t="s">
        <v>17</v>
      </c>
      <c r="F5114" s="9" t="s">
        <v>17</v>
      </c>
      <c r="G5114" s="9">
        <v>8.0</v>
      </c>
      <c r="H5114" s="9" t="s">
        <v>22</v>
      </c>
      <c r="I5114" s="9" t="s">
        <v>20</v>
      </c>
      <c r="J5114" s="16">
        <v>0.8</v>
      </c>
      <c r="K5114" s="14">
        <v>2.0</v>
      </c>
      <c r="N5114" s="14" t="str">
        <f>IFERROR(__xludf.DUMMYFUNCTION("""COMPUTED_VALUE"""),"")</f>
        <v/>
      </c>
      <c r="O5114" s="14"/>
    </row>
    <row r="5115" ht="22.5" hidden="1" customHeight="1">
      <c r="A5115" s="8">
        <v>46210.362330648146</v>
      </c>
      <c r="B5115" s="14">
        <v>46210.0</v>
      </c>
      <c r="C5115" s="9" t="s">
        <v>110</v>
      </c>
      <c r="D5115" s="9" t="s">
        <v>249</v>
      </c>
      <c r="E5115" s="9" t="s">
        <v>17</v>
      </c>
      <c r="F5115" s="9" t="s">
        <v>17</v>
      </c>
      <c r="G5115" s="9">
        <v>7.0</v>
      </c>
      <c r="H5115" s="9" t="s">
        <v>22</v>
      </c>
      <c r="I5115" s="9" t="s">
        <v>20</v>
      </c>
      <c r="J5115" s="16">
        <v>0.8</v>
      </c>
      <c r="K5115" s="14">
        <v>7.0</v>
      </c>
      <c r="N5115" s="14" t="str">
        <f>IFERROR(__xludf.DUMMYFUNCTION("""COMPUTED_VALUE"""),"")</f>
        <v/>
      </c>
      <c r="O5115" s="14"/>
    </row>
    <row r="5116" ht="22.5" hidden="1" customHeight="1">
      <c r="A5116" s="8">
        <v>46211.33330684028</v>
      </c>
      <c r="B5116" s="14">
        <v>46211.0</v>
      </c>
      <c r="C5116" s="9" t="s">
        <v>15</v>
      </c>
      <c r="D5116" s="9" t="s">
        <v>177</v>
      </c>
      <c r="E5116" s="9" t="s">
        <v>61</v>
      </c>
      <c r="F5116" s="9" t="s">
        <v>17</v>
      </c>
      <c r="G5116" s="9">
        <v>7.0</v>
      </c>
      <c r="H5116" s="9" t="s">
        <v>22</v>
      </c>
      <c r="I5116" s="9" t="s">
        <v>20</v>
      </c>
      <c r="J5116" s="16">
        <v>0.6</v>
      </c>
      <c r="K5116" s="14">
        <v>7.0</v>
      </c>
      <c r="N5116" s="14" t="str">
        <f>IFERROR(__xludf.DUMMYFUNCTION("""COMPUTED_VALUE"""),"")</f>
        <v/>
      </c>
      <c r="O5116" s="14"/>
    </row>
    <row r="5117" ht="22.5" hidden="1" customHeight="1">
      <c r="A5117" s="8">
        <v>46211.33384439815</v>
      </c>
      <c r="B5117" s="14">
        <v>46211.0</v>
      </c>
      <c r="C5117" s="9" t="s">
        <v>15</v>
      </c>
      <c r="D5117" s="9" t="s">
        <v>393</v>
      </c>
      <c r="E5117" s="9" t="s">
        <v>61</v>
      </c>
      <c r="F5117" s="9" t="s">
        <v>17</v>
      </c>
      <c r="G5117" s="9">
        <v>6.0</v>
      </c>
      <c r="H5117" s="9" t="s">
        <v>22</v>
      </c>
      <c r="I5117" s="9" t="s">
        <v>20</v>
      </c>
      <c r="J5117" s="16">
        <v>0.6</v>
      </c>
      <c r="K5117" s="14">
        <v>4.0</v>
      </c>
      <c r="N5117" s="14" t="str">
        <f>IFERROR(__xludf.DUMMYFUNCTION("""COMPUTED_VALUE"""),"")</f>
        <v/>
      </c>
      <c r="O5117" s="14"/>
    </row>
    <row r="5118" ht="22.5" hidden="1" customHeight="1">
      <c r="A5118" s="8">
        <v>46211.33450833333</v>
      </c>
      <c r="B5118" s="14">
        <v>46211.0</v>
      </c>
      <c r="C5118" s="9" t="s">
        <v>15</v>
      </c>
      <c r="D5118" s="9" t="s">
        <v>105</v>
      </c>
      <c r="E5118" s="9" t="s">
        <v>17</v>
      </c>
      <c r="F5118" s="9" t="s">
        <v>17</v>
      </c>
      <c r="G5118" s="9">
        <v>8.0</v>
      </c>
      <c r="H5118" s="9" t="s">
        <v>22</v>
      </c>
      <c r="I5118" s="9" t="s">
        <v>20</v>
      </c>
      <c r="J5118" s="16">
        <v>1.0</v>
      </c>
      <c r="K5118" s="14">
        <v>5.0</v>
      </c>
      <c r="N5118" s="14" t="str">
        <f>IFERROR(__xludf.DUMMYFUNCTION("""COMPUTED_VALUE"""),"")</f>
        <v/>
      </c>
      <c r="O5118" s="14"/>
    </row>
    <row r="5119" ht="22.5" hidden="1" customHeight="1">
      <c r="A5119" s="8">
        <v>46211.341274039354</v>
      </c>
      <c r="B5119" s="14">
        <v>46211.0</v>
      </c>
      <c r="C5119" s="9" t="s">
        <v>15</v>
      </c>
      <c r="D5119" s="9" t="s">
        <v>395</v>
      </c>
      <c r="E5119" s="9" t="s">
        <v>17</v>
      </c>
      <c r="F5119" s="9" t="s">
        <v>18</v>
      </c>
      <c r="G5119" s="9" t="s">
        <v>409</v>
      </c>
      <c r="H5119" s="9" t="s">
        <v>17</v>
      </c>
      <c r="I5119" s="9" t="s">
        <v>20</v>
      </c>
      <c r="J5119" s="16">
        <v>0.8</v>
      </c>
      <c r="K5119" s="14">
        <v>7.0</v>
      </c>
      <c r="N5119" s="14" t="str">
        <f>IFERROR(__xludf.DUMMYFUNCTION("""COMPUTED_VALUE"""),"")</f>
        <v/>
      </c>
      <c r="O5119" s="14"/>
    </row>
    <row r="5120" ht="22.5" hidden="1" customHeight="1">
      <c r="A5120" s="8">
        <v>46211.34169797454</v>
      </c>
      <c r="B5120" s="14">
        <v>46211.0</v>
      </c>
      <c r="C5120" s="9" t="s">
        <v>15</v>
      </c>
      <c r="D5120" s="9" t="s">
        <v>442</v>
      </c>
      <c r="E5120" s="9" t="s">
        <v>17</v>
      </c>
      <c r="F5120" s="9" t="s">
        <v>17</v>
      </c>
      <c r="G5120" s="9">
        <v>7.0</v>
      </c>
      <c r="H5120" s="9" t="s">
        <v>22</v>
      </c>
      <c r="I5120" s="9" t="s">
        <v>20</v>
      </c>
      <c r="J5120" s="16">
        <v>0.6</v>
      </c>
      <c r="K5120" s="14">
        <v>6.0</v>
      </c>
      <c r="N5120" s="14" t="str">
        <f>IFERROR(__xludf.DUMMYFUNCTION("""COMPUTED_VALUE"""),"")</f>
        <v/>
      </c>
      <c r="O5120" s="14"/>
    </row>
    <row r="5121" ht="22.5" hidden="1" customHeight="1">
      <c r="A5121" s="8">
        <v>46211.34197796296</v>
      </c>
      <c r="B5121" s="14">
        <v>46211.0</v>
      </c>
      <c r="C5121" s="9" t="s">
        <v>15</v>
      </c>
      <c r="D5121" s="9" t="s">
        <v>413</v>
      </c>
      <c r="E5121" s="9" t="s">
        <v>17</v>
      </c>
      <c r="F5121" s="9" t="s">
        <v>17</v>
      </c>
      <c r="G5121" s="9">
        <v>8.0</v>
      </c>
      <c r="H5121" s="9" t="s">
        <v>22</v>
      </c>
      <c r="I5121" s="9" t="s">
        <v>20</v>
      </c>
      <c r="J5121" s="16">
        <v>0.8</v>
      </c>
      <c r="K5121" s="14" t="s">
        <v>398</v>
      </c>
      <c r="N5121" s="14" t="str">
        <f>IFERROR(__xludf.DUMMYFUNCTION("""COMPUTED_VALUE"""),"")</f>
        <v/>
      </c>
      <c r="O5121" s="14"/>
    </row>
    <row r="5122" ht="22.5" hidden="1" customHeight="1">
      <c r="A5122" s="8">
        <v>46211.3422250463</v>
      </c>
      <c r="B5122" s="14">
        <v>46211.0</v>
      </c>
      <c r="C5122" s="9" t="s">
        <v>15</v>
      </c>
      <c r="D5122" s="9" t="s">
        <v>423</v>
      </c>
      <c r="E5122" s="9" t="s">
        <v>17</v>
      </c>
      <c r="F5122" s="9" t="s">
        <v>17</v>
      </c>
      <c r="G5122" s="9">
        <v>6.0</v>
      </c>
      <c r="H5122" s="9" t="s">
        <v>22</v>
      </c>
      <c r="I5122" s="9" t="s">
        <v>20</v>
      </c>
      <c r="J5122" s="16">
        <v>0.6</v>
      </c>
      <c r="K5122" s="14">
        <v>7.0</v>
      </c>
      <c r="N5122" s="14" t="str">
        <f>IFERROR(__xludf.DUMMYFUNCTION("""COMPUTED_VALUE"""),"")</f>
        <v/>
      </c>
      <c r="O5122" s="14"/>
    </row>
    <row r="5123" ht="22.5" hidden="1" customHeight="1">
      <c r="A5123" s="8">
        <v>46211.342412997685</v>
      </c>
      <c r="B5123" s="14">
        <v>46211.0</v>
      </c>
      <c r="C5123" s="9" t="s">
        <v>15</v>
      </c>
      <c r="D5123" s="9" t="s">
        <v>249</v>
      </c>
      <c r="E5123" s="9" t="s">
        <v>46</v>
      </c>
      <c r="F5123" s="9" t="s">
        <v>17</v>
      </c>
      <c r="G5123" s="9">
        <v>8.0</v>
      </c>
      <c r="H5123" s="9" t="s">
        <v>22</v>
      </c>
      <c r="I5123" s="9" t="s">
        <v>20</v>
      </c>
      <c r="J5123" s="16">
        <v>0.6</v>
      </c>
      <c r="K5123" s="14">
        <v>7.0</v>
      </c>
      <c r="N5123" s="14" t="str">
        <f>IFERROR(__xludf.DUMMYFUNCTION("""COMPUTED_VALUE"""),"")</f>
        <v/>
      </c>
      <c r="O5123" s="14"/>
    </row>
    <row r="5124" ht="22.5" hidden="1" customHeight="1">
      <c r="A5124" s="8">
        <v>46211.34290224537</v>
      </c>
      <c r="B5124" s="14">
        <v>46211.0</v>
      </c>
      <c r="C5124" s="9" t="s">
        <v>15</v>
      </c>
      <c r="D5124" s="9" t="s">
        <v>394</v>
      </c>
      <c r="E5124" s="9" t="s">
        <v>17</v>
      </c>
      <c r="F5124" s="9" t="s">
        <v>17</v>
      </c>
      <c r="G5124" s="9">
        <v>7.0</v>
      </c>
      <c r="H5124" s="9" t="s">
        <v>22</v>
      </c>
      <c r="I5124" s="9" t="s">
        <v>20</v>
      </c>
      <c r="J5124" s="16">
        <v>0.6</v>
      </c>
      <c r="K5124" s="14" t="s">
        <v>398</v>
      </c>
      <c r="N5124" s="14" t="str">
        <f>IFERROR(__xludf.DUMMYFUNCTION("""COMPUTED_VALUE"""),"")</f>
        <v/>
      </c>
      <c r="O5124" s="14"/>
    </row>
    <row r="5125" ht="22.5" hidden="1" customHeight="1">
      <c r="A5125" s="8">
        <v>46211.343259664354</v>
      </c>
      <c r="B5125" s="14">
        <v>46211.0</v>
      </c>
      <c r="C5125" s="9" t="s">
        <v>15</v>
      </c>
      <c r="D5125" s="9" t="s">
        <v>369</v>
      </c>
      <c r="E5125" s="9" t="s">
        <v>17</v>
      </c>
      <c r="F5125" s="9" t="s">
        <v>17</v>
      </c>
      <c r="G5125" s="9">
        <v>8.0</v>
      </c>
      <c r="H5125" s="9" t="s">
        <v>25</v>
      </c>
      <c r="I5125" s="9" t="s">
        <v>355</v>
      </c>
      <c r="J5125" s="16">
        <v>0.8</v>
      </c>
      <c r="K5125" s="14">
        <v>4.0</v>
      </c>
      <c r="N5125" s="14" t="str">
        <f>IFERROR(__xludf.DUMMYFUNCTION("""COMPUTED_VALUE"""),"")</f>
        <v/>
      </c>
      <c r="O5125" s="14"/>
    </row>
    <row r="5126" ht="22.5" hidden="1" customHeight="1">
      <c r="A5126" s="8">
        <v>46211.354258217594</v>
      </c>
      <c r="B5126" s="14">
        <v>46211.0</v>
      </c>
      <c r="C5126" s="9" t="s">
        <v>15</v>
      </c>
      <c r="D5126" s="9" t="s">
        <v>441</v>
      </c>
      <c r="E5126" s="9" t="s">
        <v>46</v>
      </c>
      <c r="F5126" s="9" t="s">
        <v>60</v>
      </c>
      <c r="G5126" s="9">
        <v>8.0</v>
      </c>
      <c r="H5126" s="9" t="s">
        <v>25</v>
      </c>
      <c r="I5126" s="9" t="s">
        <v>79</v>
      </c>
      <c r="J5126" s="16">
        <v>0.4</v>
      </c>
      <c r="K5126" s="14">
        <v>6.0</v>
      </c>
      <c r="N5126" s="14" t="str">
        <f>IFERROR(__xludf.DUMMYFUNCTION("""COMPUTED_VALUE"""),"")</f>
        <v/>
      </c>
      <c r="O5126" s="14"/>
    </row>
    <row r="5127" ht="22.5" hidden="1" customHeight="1">
      <c r="A5127" s="8">
        <v>46211.35504880787</v>
      </c>
      <c r="B5127" s="14">
        <v>46211.0</v>
      </c>
      <c r="C5127" s="9" t="s">
        <v>15</v>
      </c>
      <c r="D5127" s="9" t="s">
        <v>247</v>
      </c>
      <c r="E5127" s="9" t="s">
        <v>17</v>
      </c>
      <c r="F5127" s="9" t="s">
        <v>17</v>
      </c>
      <c r="G5127" s="9">
        <v>7.0</v>
      </c>
      <c r="H5127" s="9" t="s">
        <v>25</v>
      </c>
      <c r="I5127" s="9" t="s">
        <v>240</v>
      </c>
      <c r="J5127" s="16">
        <v>0.6</v>
      </c>
      <c r="K5127" s="14">
        <v>8.0</v>
      </c>
      <c r="N5127" s="14" t="str">
        <f>IFERROR(__xludf.DUMMYFUNCTION("""COMPUTED_VALUE"""),"")</f>
        <v/>
      </c>
      <c r="O5127" s="14"/>
    </row>
    <row r="5128" ht="22.5" hidden="1" customHeight="1">
      <c r="A5128" s="8">
        <v>46211.35557788194</v>
      </c>
      <c r="B5128" s="14">
        <v>46211.0</v>
      </c>
      <c r="C5128" s="9" t="s">
        <v>15</v>
      </c>
      <c r="D5128" s="9" t="s">
        <v>259</v>
      </c>
      <c r="E5128" s="9" t="s">
        <v>17</v>
      </c>
      <c r="F5128" s="9" t="s">
        <v>35</v>
      </c>
      <c r="G5128" s="9">
        <v>8.0</v>
      </c>
      <c r="H5128" s="9" t="s">
        <v>25</v>
      </c>
      <c r="I5128" s="9" t="s">
        <v>28</v>
      </c>
      <c r="J5128" s="16">
        <v>0.6</v>
      </c>
      <c r="K5128" s="14">
        <v>8.0</v>
      </c>
      <c r="N5128" s="14" t="str">
        <f>IFERROR(__xludf.DUMMYFUNCTION("""COMPUTED_VALUE"""),"")</f>
        <v/>
      </c>
      <c r="O5128" s="14"/>
    </row>
    <row r="5129" ht="22.5" hidden="1" customHeight="1">
      <c r="A5129" s="8">
        <v>46211.355977326384</v>
      </c>
      <c r="B5129" s="14">
        <v>46211.0</v>
      </c>
      <c r="C5129" s="9" t="s">
        <v>15</v>
      </c>
      <c r="D5129" s="9" t="s">
        <v>210</v>
      </c>
      <c r="E5129" s="9" t="s">
        <v>17</v>
      </c>
      <c r="F5129" s="9" t="s">
        <v>35</v>
      </c>
      <c r="G5129" s="9">
        <v>7.0</v>
      </c>
      <c r="H5129" s="9" t="s">
        <v>22</v>
      </c>
      <c r="I5129" s="9" t="s">
        <v>20</v>
      </c>
      <c r="J5129" s="16">
        <v>0.8</v>
      </c>
      <c r="K5129" s="14">
        <v>6.0</v>
      </c>
      <c r="N5129" s="14" t="str">
        <f>IFERROR(__xludf.DUMMYFUNCTION("""COMPUTED_VALUE"""),"")</f>
        <v/>
      </c>
      <c r="O5129" s="14"/>
    </row>
    <row r="5130" ht="22.5" hidden="1" customHeight="1">
      <c r="A5130" s="8">
        <v>46211.356630254624</v>
      </c>
      <c r="B5130" s="14">
        <v>46211.0</v>
      </c>
      <c r="C5130" s="9" t="s">
        <v>15</v>
      </c>
      <c r="D5130" s="9" t="s">
        <v>357</v>
      </c>
      <c r="E5130" s="9" t="s">
        <v>46</v>
      </c>
      <c r="F5130" s="9" t="s">
        <v>17</v>
      </c>
      <c r="G5130" s="9">
        <v>7.0</v>
      </c>
      <c r="H5130" s="9" t="s">
        <v>25</v>
      </c>
      <c r="I5130" s="9" t="s">
        <v>159</v>
      </c>
      <c r="J5130" s="16">
        <v>0.8</v>
      </c>
      <c r="K5130" s="14">
        <v>8.0</v>
      </c>
      <c r="N5130" s="14" t="str">
        <f>IFERROR(__xludf.DUMMYFUNCTION("""COMPUTED_VALUE"""),"")</f>
        <v/>
      </c>
      <c r="O5130" s="14"/>
    </row>
    <row r="5131" ht="22.5" hidden="1" customHeight="1">
      <c r="A5131" s="8">
        <v>46211.357095416664</v>
      </c>
      <c r="B5131" s="14">
        <v>46211.0</v>
      </c>
      <c r="C5131" s="9" t="s">
        <v>15</v>
      </c>
      <c r="D5131" s="9" t="s">
        <v>414</v>
      </c>
      <c r="E5131" s="9" t="s">
        <v>44</v>
      </c>
      <c r="F5131" s="9" t="s">
        <v>17</v>
      </c>
      <c r="G5131" s="9">
        <v>7.0</v>
      </c>
      <c r="H5131" s="9" t="s">
        <v>22</v>
      </c>
      <c r="I5131" s="9" t="s">
        <v>20</v>
      </c>
      <c r="J5131" s="16">
        <v>0.8</v>
      </c>
      <c r="K5131" s="14">
        <v>6.0</v>
      </c>
      <c r="N5131" s="14" t="str">
        <f>IFERROR(__xludf.DUMMYFUNCTION("""COMPUTED_VALUE"""),"")</f>
        <v/>
      </c>
      <c r="O5131" s="14"/>
    </row>
    <row r="5132" ht="22.5" hidden="1" customHeight="1">
      <c r="A5132" s="8">
        <v>46211.357886956015</v>
      </c>
      <c r="B5132" s="14">
        <v>46211.0</v>
      </c>
      <c r="C5132" s="9" t="s">
        <v>15</v>
      </c>
      <c r="D5132" s="9" t="s">
        <v>175</v>
      </c>
      <c r="E5132" s="9" t="s">
        <v>46</v>
      </c>
      <c r="F5132" s="9" t="s">
        <v>17</v>
      </c>
      <c r="G5132" s="9">
        <v>8.0</v>
      </c>
      <c r="H5132" s="9" t="s">
        <v>25</v>
      </c>
      <c r="I5132" s="9" t="s">
        <v>34</v>
      </c>
      <c r="J5132" s="16">
        <v>0.8</v>
      </c>
      <c r="K5132" s="14">
        <v>7.0</v>
      </c>
      <c r="N5132" s="14" t="str">
        <f>IFERROR(__xludf.DUMMYFUNCTION("""COMPUTED_VALUE"""),"")</f>
        <v/>
      </c>
      <c r="O5132" s="14"/>
    </row>
    <row r="5133" ht="22.5" hidden="1" customHeight="1">
      <c r="A5133" s="8">
        <v>46211.35863502315</v>
      </c>
      <c r="B5133" s="14">
        <v>46211.0</v>
      </c>
      <c r="C5133" s="9" t="s">
        <v>15</v>
      </c>
      <c r="D5133" s="9" t="s">
        <v>367</v>
      </c>
      <c r="E5133" s="9" t="s">
        <v>17</v>
      </c>
      <c r="F5133" s="9" t="s">
        <v>17</v>
      </c>
      <c r="G5133" s="9" t="s">
        <v>409</v>
      </c>
      <c r="H5133" s="9" t="s">
        <v>25</v>
      </c>
      <c r="I5133" s="9" t="s">
        <v>26</v>
      </c>
      <c r="J5133" s="16">
        <v>0.6</v>
      </c>
      <c r="K5133" s="14">
        <v>7.0</v>
      </c>
      <c r="N5133" s="14" t="str">
        <f>IFERROR(__xludf.DUMMYFUNCTION("""COMPUTED_VALUE"""),"")</f>
        <v/>
      </c>
      <c r="O5133" s="14"/>
    </row>
    <row r="5134" ht="22.5" hidden="1" customHeight="1">
      <c r="A5134" s="8">
        <v>46211.35949766204</v>
      </c>
      <c r="B5134" s="14">
        <v>46211.0</v>
      </c>
      <c r="C5134" s="9" t="s">
        <v>15</v>
      </c>
      <c r="D5134" s="9" t="s">
        <v>335</v>
      </c>
      <c r="E5134" s="9" t="s">
        <v>17</v>
      </c>
      <c r="F5134" s="9" t="s">
        <v>35</v>
      </c>
      <c r="G5134" s="9">
        <v>8.0</v>
      </c>
      <c r="H5134" s="9" t="s">
        <v>22</v>
      </c>
      <c r="I5134" s="9" t="s">
        <v>20</v>
      </c>
      <c r="J5134" s="16">
        <v>0.8</v>
      </c>
      <c r="K5134" s="14">
        <v>6.0</v>
      </c>
      <c r="N5134" s="14" t="str">
        <f>IFERROR(__xludf.DUMMYFUNCTION("""COMPUTED_VALUE"""),"")</f>
        <v/>
      </c>
      <c r="O5134" s="14"/>
    </row>
    <row r="5135" ht="22.5" hidden="1" customHeight="1">
      <c r="A5135" s="8">
        <v>46212.32737811343</v>
      </c>
      <c r="B5135" s="14">
        <v>46212.0</v>
      </c>
      <c r="C5135" s="9" t="s">
        <v>31</v>
      </c>
      <c r="D5135" s="9" t="s">
        <v>177</v>
      </c>
      <c r="E5135" s="9" t="s">
        <v>17</v>
      </c>
      <c r="F5135" s="9" t="s">
        <v>17</v>
      </c>
      <c r="G5135" s="9">
        <v>7.0</v>
      </c>
      <c r="H5135" s="9" t="s">
        <v>22</v>
      </c>
      <c r="I5135" s="9" t="s">
        <v>20</v>
      </c>
      <c r="J5135" s="16">
        <v>0.6</v>
      </c>
      <c r="K5135" s="14">
        <v>8.0</v>
      </c>
      <c r="N5135" s="14" t="str">
        <f>IFERROR(__xludf.DUMMYFUNCTION("""COMPUTED_VALUE"""),"")</f>
        <v/>
      </c>
      <c r="O5135" s="14"/>
    </row>
    <row r="5136" ht="22.5" hidden="1" customHeight="1">
      <c r="A5136" s="8">
        <v>46212.33323744213</v>
      </c>
      <c r="B5136" s="14">
        <v>46212.0</v>
      </c>
      <c r="C5136" s="9" t="s">
        <v>31</v>
      </c>
      <c r="D5136" s="9" t="s">
        <v>393</v>
      </c>
      <c r="E5136" s="9" t="s">
        <v>17</v>
      </c>
      <c r="F5136" s="9" t="s">
        <v>17</v>
      </c>
      <c r="G5136" s="9">
        <v>7.0</v>
      </c>
      <c r="H5136" s="9" t="s">
        <v>22</v>
      </c>
      <c r="I5136" s="9" t="s">
        <v>20</v>
      </c>
      <c r="J5136" s="16">
        <v>0.6</v>
      </c>
      <c r="K5136" s="14">
        <v>3.0</v>
      </c>
      <c r="N5136" s="14" t="str">
        <f>IFERROR(__xludf.DUMMYFUNCTION("""COMPUTED_VALUE"""),"")</f>
        <v/>
      </c>
      <c r="O5136" s="14"/>
    </row>
    <row r="5137" ht="22.5" hidden="1" customHeight="1">
      <c r="A5137" s="8">
        <v>46212.33497186343</v>
      </c>
      <c r="B5137" s="14">
        <v>46212.0</v>
      </c>
      <c r="C5137" s="9" t="s">
        <v>31</v>
      </c>
      <c r="D5137" s="9" t="s">
        <v>395</v>
      </c>
      <c r="E5137" s="9" t="s">
        <v>46</v>
      </c>
      <c r="F5137" s="9" t="s">
        <v>18</v>
      </c>
      <c r="G5137" s="9">
        <v>8.0</v>
      </c>
      <c r="H5137" s="9" t="s">
        <v>17</v>
      </c>
      <c r="I5137" s="9" t="s">
        <v>20</v>
      </c>
      <c r="J5137" s="16">
        <v>0.6</v>
      </c>
      <c r="K5137" s="14">
        <v>8.0</v>
      </c>
      <c r="N5137" s="14" t="str">
        <f>IFERROR(__xludf.DUMMYFUNCTION("""COMPUTED_VALUE"""),"")</f>
        <v/>
      </c>
      <c r="O5137" s="14"/>
    </row>
    <row r="5138" ht="22.5" hidden="1" customHeight="1">
      <c r="A5138" s="8">
        <v>46212.344883136575</v>
      </c>
      <c r="B5138" s="14">
        <v>46212.0</v>
      </c>
      <c r="C5138" s="9" t="s">
        <v>31</v>
      </c>
      <c r="D5138" s="9" t="s">
        <v>394</v>
      </c>
      <c r="E5138" s="9" t="s">
        <v>17</v>
      </c>
      <c r="F5138" s="9" t="s">
        <v>18</v>
      </c>
      <c r="G5138" s="9">
        <v>7.0</v>
      </c>
      <c r="H5138" s="9" t="s">
        <v>22</v>
      </c>
      <c r="I5138" s="9" t="s">
        <v>20</v>
      </c>
      <c r="J5138" s="16">
        <v>0.8</v>
      </c>
      <c r="K5138" s="14">
        <v>6.0</v>
      </c>
      <c r="N5138" s="14" t="str">
        <f>IFERROR(__xludf.DUMMYFUNCTION("""COMPUTED_VALUE"""),"")</f>
        <v/>
      </c>
      <c r="O5138" s="14"/>
    </row>
    <row r="5139" ht="22.5" hidden="1" customHeight="1">
      <c r="A5139" s="8">
        <v>46212.34514553241</v>
      </c>
      <c r="B5139" s="14">
        <v>46212.0</v>
      </c>
      <c r="C5139" s="9" t="s">
        <v>31</v>
      </c>
      <c r="D5139" s="9" t="s">
        <v>174</v>
      </c>
      <c r="E5139" s="9" t="s">
        <v>17</v>
      </c>
      <c r="F5139" s="9" t="s">
        <v>35</v>
      </c>
      <c r="G5139" s="9">
        <v>8.0</v>
      </c>
      <c r="H5139" s="9" t="s">
        <v>25</v>
      </c>
      <c r="I5139" s="9" t="s">
        <v>355</v>
      </c>
      <c r="J5139" s="16">
        <v>0.8</v>
      </c>
      <c r="K5139" s="14">
        <v>5.0</v>
      </c>
      <c r="N5139" s="14" t="str">
        <f>IFERROR(__xludf.DUMMYFUNCTION("""COMPUTED_VALUE"""),"")</f>
        <v/>
      </c>
      <c r="O5139" s="14"/>
    </row>
    <row r="5140" ht="22.5" hidden="1" customHeight="1">
      <c r="A5140" s="8">
        <v>46212.34555267361</v>
      </c>
      <c r="B5140" s="14">
        <v>46212.0</v>
      </c>
      <c r="C5140" s="9" t="s">
        <v>31</v>
      </c>
      <c r="D5140" s="9" t="s">
        <v>249</v>
      </c>
      <c r="E5140" s="9" t="s">
        <v>17</v>
      </c>
      <c r="F5140" s="9" t="s">
        <v>18</v>
      </c>
      <c r="G5140" s="9">
        <v>7.0</v>
      </c>
      <c r="H5140" s="9" t="s">
        <v>22</v>
      </c>
      <c r="I5140" s="9" t="s">
        <v>20</v>
      </c>
      <c r="J5140" s="16">
        <v>0.6</v>
      </c>
      <c r="K5140" s="14">
        <v>6.0</v>
      </c>
      <c r="N5140" s="14" t="str">
        <f>IFERROR(__xludf.DUMMYFUNCTION("""COMPUTED_VALUE"""),"")</f>
        <v/>
      </c>
      <c r="O5140" s="14"/>
    </row>
    <row r="5141" ht="22.5" hidden="1" customHeight="1">
      <c r="A5141" s="8">
        <v>46212.34609038194</v>
      </c>
      <c r="B5141" s="14">
        <v>46212.0</v>
      </c>
      <c r="C5141" s="9" t="s">
        <v>31</v>
      </c>
      <c r="D5141" s="9" t="s">
        <v>335</v>
      </c>
      <c r="E5141" s="9" t="s">
        <v>46</v>
      </c>
      <c r="F5141" s="9" t="s">
        <v>39</v>
      </c>
      <c r="G5141" s="9" t="s">
        <v>409</v>
      </c>
      <c r="H5141" s="9" t="s">
        <v>22</v>
      </c>
      <c r="I5141" s="9" t="s">
        <v>20</v>
      </c>
      <c r="J5141" s="16">
        <v>0.6</v>
      </c>
      <c r="K5141" s="14">
        <v>7.0</v>
      </c>
      <c r="N5141" s="14" t="str">
        <f>IFERROR(__xludf.DUMMYFUNCTION("""COMPUTED_VALUE"""),"")</f>
        <v/>
      </c>
      <c r="O5141" s="14"/>
    </row>
    <row r="5142" ht="22.5" hidden="1" customHeight="1">
      <c r="A5142" s="8">
        <v>46212.346329085645</v>
      </c>
      <c r="B5142" s="14">
        <v>46212.0</v>
      </c>
      <c r="C5142" s="9" t="s">
        <v>31</v>
      </c>
      <c r="D5142" s="9" t="s">
        <v>413</v>
      </c>
      <c r="E5142" s="9" t="s">
        <v>17</v>
      </c>
      <c r="F5142" s="9" t="s">
        <v>17</v>
      </c>
      <c r="G5142" s="9">
        <v>8.0</v>
      </c>
      <c r="H5142" s="9" t="s">
        <v>22</v>
      </c>
      <c r="I5142" s="9" t="s">
        <v>20</v>
      </c>
      <c r="J5142" s="16">
        <v>0.8</v>
      </c>
      <c r="K5142" s="14">
        <v>6.0</v>
      </c>
      <c r="N5142" s="14" t="str">
        <f>IFERROR(__xludf.DUMMYFUNCTION("""COMPUTED_VALUE"""),"")</f>
        <v/>
      </c>
      <c r="O5142" s="14"/>
    </row>
    <row r="5143" ht="22.5" hidden="1" customHeight="1">
      <c r="A5143" s="8">
        <v>46212.34700378472</v>
      </c>
      <c r="B5143" s="14">
        <v>46212.0</v>
      </c>
      <c r="C5143" s="9" t="s">
        <v>31</v>
      </c>
      <c r="D5143" s="9" t="s">
        <v>423</v>
      </c>
      <c r="E5143" s="9" t="s">
        <v>17</v>
      </c>
      <c r="F5143" s="9" t="s">
        <v>17</v>
      </c>
      <c r="G5143" s="9">
        <v>6.0</v>
      </c>
      <c r="H5143" s="9" t="s">
        <v>17</v>
      </c>
      <c r="I5143" s="9" t="s">
        <v>20</v>
      </c>
      <c r="J5143" s="16">
        <v>0.8</v>
      </c>
      <c r="K5143" s="14">
        <v>3.0</v>
      </c>
      <c r="N5143" s="14" t="str">
        <f>IFERROR(__xludf.DUMMYFUNCTION("""COMPUTED_VALUE"""),"")</f>
        <v/>
      </c>
      <c r="O5143" s="14"/>
    </row>
    <row r="5144" ht="22.5" hidden="1" customHeight="1">
      <c r="A5144" s="8">
        <v>46212.34775543981</v>
      </c>
      <c r="B5144" s="14">
        <v>46212.0</v>
      </c>
      <c r="C5144" s="9" t="s">
        <v>31</v>
      </c>
      <c r="D5144" s="9" t="s">
        <v>369</v>
      </c>
      <c r="E5144" s="9" t="s">
        <v>17</v>
      </c>
      <c r="F5144" s="9" t="s">
        <v>17</v>
      </c>
      <c r="G5144" s="9">
        <v>7.0</v>
      </c>
      <c r="H5144" s="9" t="s">
        <v>22</v>
      </c>
      <c r="I5144" s="9" t="s">
        <v>20</v>
      </c>
      <c r="J5144" s="16">
        <v>0.6</v>
      </c>
      <c r="K5144" s="14">
        <v>6.0</v>
      </c>
      <c r="N5144" s="14" t="str">
        <f>IFERROR(__xludf.DUMMYFUNCTION("""COMPUTED_VALUE"""),"")</f>
        <v/>
      </c>
      <c r="O5144" s="14"/>
    </row>
    <row r="5145" ht="22.5" hidden="1" customHeight="1">
      <c r="A5145" s="8">
        <v>46212.34810229167</v>
      </c>
      <c r="B5145" s="14">
        <v>46212.0</v>
      </c>
      <c r="C5145" s="9" t="s">
        <v>31</v>
      </c>
      <c r="D5145" s="9" t="s">
        <v>367</v>
      </c>
      <c r="E5145" s="9" t="s">
        <v>17</v>
      </c>
      <c r="F5145" s="9" t="s">
        <v>43</v>
      </c>
      <c r="G5145" s="9" t="s">
        <v>409</v>
      </c>
      <c r="H5145" s="9" t="s">
        <v>22</v>
      </c>
      <c r="I5145" s="9" t="s">
        <v>20</v>
      </c>
      <c r="J5145" s="16">
        <v>0.8</v>
      </c>
      <c r="K5145" s="14">
        <v>2.0</v>
      </c>
      <c r="N5145" s="14" t="str">
        <f>IFERROR(__xludf.DUMMYFUNCTION("""COMPUTED_VALUE"""),"")</f>
        <v/>
      </c>
      <c r="O5145" s="14"/>
    </row>
    <row r="5146" ht="22.5" hidden="1" customHeight="1">
      <c r="A5146" s="8">
        <v>46212.34853430555</v>
      </c>
      <c r="B5146" s="14">
        <v>46212.0</v>
      </c>
      <c r="C5146" s="9" t="s">
        <v>31</v>
      </c>
      <c r="D5146" s="9" t="s">
        <v>414</v>
      </c>
      <c r="E5146" s="9" t="s">
        <v>17</v>
      </c>
      <c r="F5146" s="9" t="s">
        <v>17</v>
      </c>
      <c r="G5146" s="9">
        <v>7.0</v>
      </c>
      <c r="H5146" s="9" t="s">
        <v>22</v>
      </c>
      <c r="I5146" s="9" t="s">
        <v>20</v>
      </c>
      <c r="J5146" s="16">
        <v>0.8</v>
      </c>
      <c r="K5146" s="14">
        <v>6.0</v>
      </c>
      <c r="N5146" s="14" t="str">
        <f>IFERROR(__xludf.DUMMYFUNCTION("""COMPUTED_VALUE"""),"")</f>
        <v/>
      </c>
      <c r="O5146" s="14"/>
    </row>
    <row r="5147" ht="22.5" hidden="1" customHeight="1">
      <c r="A5147" s="8">
        <v>46212.35012902778</v>
      </c>
      <c r="B5147" s="14">
        <v>46212.0</v>
      </c>
      <c r="C5147" s="9" t="s">
        <v>31</v>
      </c>
      <c r="D5147" s="9" t="s">
        <v>105</v>
      </c>
      <c r="E5147" s="9" t="s">
        <v>17</v>
      </c>
      <c r="F5147" s="9" t="s">
        <v>17</v>
      </c>
      <c r="G5147" s="9">
        <v>8.0</v>
      </c>
      <c r="H5147" s="9" t="s">
        <v>22</v>
      </c>
      <c r="I5147" s="9" t="s">
        <v>20</v>
      </c>
      <c r="J5147" s="16">
        <v>0.8</v>
      </c>
      <c r="K5147" s="14">
        <v>3.0</v>
      </c>
      <c r="N5147" s="14" t="str">
        <f>IFERROR(__xludf.DUMMYFUNCTION("""COMPUTED_VALUE"""),"")</f>
        <v/>
      </c>
      <c r="O5147" s="14"/>
    </row>
    <row r="5148" ht="22.5" hidden="1" customHeight="1">
      <c r="A5148" s="8">
        <v>46212.358502013885</v>
      </c>
      <c r="B5148" s="14">
        <v>46212.0</v>
      </c>
      <c r="C5148" s="9" t="s">
        <v>31</v>
      </c>
      <c r="D5148" s="9" t="s">
        <v>247</v>
      </c>
      <c r="E5148" s="9" t="s">
        <v>61</v>
      </c>
      <c r="F5148" s="9" t="s">
        <v>17</v>
      </c>
      <c r="G5148" s="9">
        <v>8.0</v>
      </c>
      <c r="H5148" s="9" t="s">
        <v>62</v>
      </c>
      <c r="I5148" s="9" t="s">
        <v>20</v>
      </c>
      <c r="J5148" s="16">
        <v>0.6</v>
      </c>
      <c r="K5148" s="14">
        <v>8.0</v>
      </c>
      <c r="N5148" s="14" t="str">
        <f>IFERROR(__xludf.DUMMYFUNCTION("""COMPUTED_VALUE"""),"")</f>
        <v/>
      </c>
      <c r="O5148" s="14"/>
    </row>
    <row r="5149" ht="22.5" hidden="1" customHeight="1">
      <c r="A5149" s="8">
        <v>46212.358980185185</v>
      </c>
      <c r="B5149" s="14">
        <v>46212.0</v>
      </c>
      <c r="C5149" s="9" t="s">
        <v>31</v>
      </c>
      <c r="D5149" s="9" t="s">
        <v>175</v>
      </c>
      <c r="E5149" s="9" t="s">
        <v>46</v>
      </c>
      <c r="F5149" s="9" t="s">
        <v>60</v>
      </c>
      <c r="G5149" s="9">
        <v>8.0</v>
      </c>
      <c r="H5149" s="9" t="s">
        <v>22</v>
      </c>
      <c r="I5149" s="9" t="s">
        <v>20</v>
      </c>
      <c r="J5149" s="16">
        <v>0.6</v>
      </c>
      <c r="K5149" s="14">
        <v>9.0</v>
      </c>
      <c r="N5149" s="14" t="str">
        <f>IFERROR(__xludf.DUMMYFUNCTION("""COMPUTED_VALUE"""),"")</f>
        <v/>
      </c>
      <c r="O5149" s="14"/>
    </row>
    <row r="5150" ht="22.5" hidden="1" customHeight="1">
      <c r="A5150" s="8">
        <v>46212.36216896991</v>
      </c>
      <c r="B5150" s="14">
        <v>46212.0</v>
      </c>
      <c r="C5150" s="9" t="s">
        <v>31</v>
      </c>
      <c r="D5150" s="9" t="s">
        <v>357</v>
      </c>
      <c r="E5150" s="9" t="s">
        <v>46</v>
      </c>
      <c r="F5150" s="9" t="s">
        <v>60</v>
      </c>
      <c r="G5150" s="9">
        <v>6.0</v>
      </c>
      <c r="H5150" s="9" t="s">
        <v>25</v>
      </c>
      <c r="I5150" s="9" t="s">
        <v>159</v>
      </c>
      <c r="J5150" s="16">
        <v>0.6</v>
      </c>
      <c r="K5150" s="14">
        <v>9.0</v>
      </c>
      <c r="N5150" s="14" t="str">
        <f>IFERROR(__xludf.DUMMYFUNCTION("""COMPUTED_VALUE"""),"")</f>
        <v/>
      </c>
      <c r="O5150" s="14"/>
    </row>
    <row r="5151" ht="22.5" hidden="1" customHeight="1">
      <c r="A5151" s="8">
        <v>46212.364926435184</v>
      </c>
      <c r="B5151" s="14">
        <v>46212.0</v>
      </c>
      <c r="C5151" s="9" t="s">
        <v>31</v>
      </c>
      <c r="D5151" s="9" t="s">
        <v>441</v>
      </c>
      <c r="E5151" s="9" t="s">
        <v>46</v>
      </c>
      <c r="F5151" s="9" t="s">
        <v>39</v>
      </c>
      <c r="G5151" s="9">
        <v>6.0</v>
      </c>
      <c r="H5151" s="9" t="s">
        <v>25</v>
      </c>
      <c r="I5151" s="9" t="s">
        <v>79</v>
      </c>
      <c r="J5151" s="16">
        <v>0.6</v>
      </c>
      <c r="K5151" s="14">
        <v>4.0</v>
      </c>
      <c r="N5151" s="14" t="str">
        <f>IFERROR(__xludf.DUMMYFUNCTION("""COMPUTED_VALUE"""),"")</f>
        <v/>
      </c>
      <c r="O5151" s="14"/>
    </row>
    <row r="5152" ht="22.5" hidden="1" customHeight="1">
      <c r="A5152" s="8">
        <v>46212.36760758102</v>
      </c>
      <c r="B5152" s="14">
        <v>46212.0</v>
      </c>
      <c r="C5152" s="9" t="s">
        <v>31</v>
      </c>
      <c r="D5152" s="9" t="s">
        <v>259</v>
      </c>
      <c r="E5152" s="9" t="s">
        <v>17</v>
      </c>
      <c r="F5152" s="9" t="s">
        <v>35</v>
      </c>
      <c r="G5152" s="9">
        <v>8.0</v>
      </c>
      <c r="H5152" s="9" t="s">
        <v>25</v>
      </c>
      <c r="I5152" s="9" t="s">
        <v>28</v>
      </c>
      <c r="J5152" s="16">
        <v>0.6</v>
      </c>
      <c r="K5152" s="14">
        <v>7.0</v>
      </c>
      <c r="N5152" s="14" t="str">
        <f>IFERROR(__xludf.DUMMYFUNCTION("""COMPUTED_VALUE"""),"")</f>
        <v/>
      </c>
      <c r="O5152" s="14"/>
    </row>
    <row r="5153" ht="22.5" hidden="1" customHeight="1">
      <c r="A5153" s="8">
        <v>46212.38240527778</v>
      </c>
      <c r="B5153" s="14">
        <v>46212.0</v>
      </c>
      <c r="C5153" s="9" t="s">
        <v>31</v>
      </c>
      <c r="D5153" s="9" t="s">
        <v>210</v>
      </c>
      <c r="E5153" s="9" t="s">
        <v>17</v>
      </c>
      <c r="F5153" s="9" t="s">
        <v>18</v>
      </c>
      <c r="G5153" s="9">
        <v>8.0</v>
      </c>
      <c r="H5153" s="9" t="s">
        <v>22</v>
      </c>
      <c r="I5153" s="9" t="s">
        <v>20</v>
      </c>
      <c r="J5153" s="16">
        <v>0.8</v>
      </c>
      <c r="K5153" s="14">
        <v>7.0</v>
      </c>
      <c r="N5153" s="14" t="str">
        <f>IFERROR(__xludf.DUMMYFUNCTION("""COMPUTED_VALUE"""),"")</f>
        <v/>
      </c>
      <c r="O5153" s="14"/>
    </row>
    <row r="5154" ht="17.25" hidden="1" customHeight="1">
      <c r="A5154" s="8">
        <v>46213.31868653935</v>
      </c>
      <c r="B5154" s="14">
        <v>46213.0</v>
      </c>
      <c r="C5154" s="9" t="s">
        <v>48</v>
      </c>
      <c r="D5154" s="9" t="s">
        <v>177</v>
      </c>
      <c r="E5154" s="9" t="s">
        <v>17</v>
      </c>
      <c r="F5154" s="9" t="s">
        <v>17</v>
      </c>
      <c r="G5154" s="9">
        <v>7.0</v>
      </c>
      <c r="H5154" s="9" t="s">
        <v>22</v>
      </c>
      <c r="I5154" s="9" t="s">
        <v>20</v>
      </c>
      <c r="J5154" s="16">
        <v>0.8</v>
      </c>
      <c r="K5154" s="14">
        <v>4.0</v>
      </c>
      <c r="N5154" s="14" t="str">
        <f>IFERROR(__xludf.DUMMYFUNCTION("""COMPUTED_VALUE"""),"")</f>
        <v/>
      </c>
      <c r="O5154" s="14"/>
    </row>
    <row r="5155" ht="22.5" hidden="1" customHeight="1">
      <c r="A5155" s="8">
        <v>46213.332591909726</v>
      </c>
      <c r="B5155" s="14">
        <v>46213.0</v>
      </c>
      <c r="C5155" s="9" t="s">
        <v>48</v>
      </c>
      <c r="D5155" s="9" t="s">
        <v>393</v>
      </c>
      <c r="E5155" s="9" t="s">
        <v>61</v>
      </c>
      <c r="F5155" s="9" t="s">
        <v>17</v>
      </c>
      <c r="G5155" s="9">
        <v>7.0</v>
      </c>
      <c r="H5155" s="9" t="s">
        <v>17</v>
      </c>
      <c r="I5155" s="9" t="s">
        <v>93</v>
      </c>
      <c r="J5155" s="16">
        <v>0.6</v>
      </c>
      <c r="K5155" s="14">
        <v>4.0</v>
      </c>
      <c r="N5155" s="14" t="str">
        <f>IFERROR(__xludf.DUMMYFUNCTION("""COMPUTED_VALUE"""),"")</f>
        <v/>
      </c>
      <c r="O5155" s="14"/>
    </row>
    <row r="5156" ht="22.5" hidden="1" customHeight="1">
      <c r="A5156" s="8">
        <v>46213.334321539354</v>
      </c>
      <c r="B5156" s="14">
        <v>46213.0</v>
      </c>
      <c r="C5156" s="9" t="s">
        <v>48</v>
      </c>
      <c r="D5156" s="9" t="s">
        <v>105</v>
      </c>
      <c r="E5156" s="9" t="s">
        <v>17</v>
      </c>
      <c r="F5156" s="9" t="s">
        <v>17</v>
      </c>
      <c r="G5156" s="9">
        <v>7.0</v>
      </c>
      <c r="H5156" s="9" t="s">
        <v>22</v>
      </c>
      <c r="I5156" s="9" t="s">
        <v>20</v>
      </c>
      <c r="J5156" s="16">
        <v>0.8</v>
      </c>
      <c r="K5156" s="14">
        <v>2.0</v>
      </c>
      <c r="N5156" s="14" t="str">
        <f>IFERROR(__xludf.DUMMYFUNCTION("""COMPUTED_VALUE"""),"")</f>
        <v/>
      </c>
      <c r="O5156" s="14"/>
    </row>
    <row r="5157" ht="22.5" hidden="1" customHeight="1">
      <c r="A5157" s="8">
        <v>46213.33701243055</v>
      </c>
      <c r="B5157" s="14">
        <v>46213.0</v>
      </c>
      <c r="C5157" s="9" t="s">
        <v>48</v>
      </c>
      <c r="D5157" s="9" t="s">
        <v>442</v>
      </c>
      <c r="E5157" s="9" t="s">
        <v>17</v>
      </c>
      <c r="F5157" s="9" t="s">
        <v>17</v>
      </c>
      <c r="G5157" s="9">
        <v>7.0</v>
      </c>
      <c r="H5157" s="9" t="s">
        <v>22</v>
      </c>
      <c r="I5157" s="9" t="s">
        <v>20</v>
      </c>
      <c r="J5157" s="16">
        <v>0.8</v>
      </c>
      <c r="K5157" s="14">
        <v>5.0</v>
      </c>
      <c r="N5157" s="14" t="str">
        <f>IFERROR(__xludf.DUMMYFUNCTION("""COMPUTED_VALUE"""),"")</f>
        <v/>
      </c>
      <c r="O5157" s="14"/>
    </row>
    <row r="5158" ht="22.5" hidden="1" customHeight="1">
      <c r="A5158" s="8">
        <v>46213.33770174769</v>
      </c>
      <c r="B5158" s="14">
        <v>46213.0</v>
      </c>
      <c r="C5158" s="9" t="s">
        <v>48</v>
      </c>
      <c r="D5158" s="9" t="s">
        <v>442</v>
      </c>
      <c r="E5158" s="9" t="s">
        <v>17</v>
      </c>
      <c r="F5158" s="9" t="s">
        <v>17</v>
      </c>
      <c r="G5158" s="9">
        <v>7.0</v>
      </c>
      <c r="H5158" s="9" t="s">
        <v>22</v>
      </c>
      <c r="I5158" s="9" t="s">
        <v>20</v>
      </c>
      <c r="J5158" s="16">
        <v>0.8</v>
      </c>
      <c r="K5158" s="14">
        <v>5.0</v>
      </c>
      <c r="N5158" s="14" t="str">
        <f>IFERROR(__xludf.DUMMYFUNCTION("""COMPUTED_VALUE"""),"")</f>
        <v/>
      </c>
      <c r="O5158" s="14"/>
    </row>
    <row r="5159" ht="22.5" hidden="1" customHeight="1">
      <c r="A5159" s="8">
        <v>46213.341000810186</v>
      </c>
      <c r="B5159" s="14">
        <v>46213.0</v>
      </c>
      <c r="C5159" s="9" t="s">
        <v>48</v>
      </c>
      <c r="D5159" s="9" t="s">
        <v>395</v>
      </c>
      <c r="E5159" s="9" t="s">
        <v>17</v>
      </c>
      <c r="F5159" s="9" t="s">
        <v>17</v>
      </c>
      <c r="G5159" s="9">
        <v>7.0</v>
      </c>
      <c r="H5159" s="9" t="s">
        <v>25</v>
      </c>
      <c r="I5159" s="9" t="s">
        <v>355</v>
      </c>
      <c r="J5159" s="16">
        <v>0.8</v>
      </c>
      <c r="K5159" s="14">
        <v>4.0</v>
      </c>
      <c r="N5159" s="14" t="str">
        <f>IFERROR(__xludf.DUMMYFUNCTION("""COMPUTED_VALUE"""),"")</f>
        <v/>
      </c>
      <c r="O5159" s="14"/>
    </row>
    <row r="5160" ht="22.5" hidden="1" customHeight="1">
      <c r="A5160" s="8">
        <v>46213.34625931713</v>
      </c>
      <c r="B5160" s="14">
        <v>46213.0</v>
      </c>
      <c r="C5160" s="9" t="s">
        <v>48</v>
      </c>
      <c r="D5160" s="9" t="s">
        <v>394</v>
      </c>
      <c r="E5160" s="9" t="s">
        <v>17</v>
      </c>
      <c r="F5160" s="9" t="s">
        <v>17</v>
      </c>
      <c r="G5160" s="9">
        <v>8.0</v>
      </c>
      <c r="H5160" s="9" t="s">
        <v>25</v>
      </c>
      <c r="I5160" s="9" t="s">
        <v>28</v>
      </c>
      <c r="J5160" s="16">
        <v>0.6</v>
      </c>
      <c r="K5160" s="14">
        <v>6.0</v>
      </c>
      <c r="N5160" s="14" t="str">
        <f>IFERROR(__xludf.DUMMYFUNCTION("""COMPUTED_VALUE"""),"")</f>
        <v/>
      </c>
      <c r="O5160" s="14"/>
    </row>
    <row r="5161" ht="22.5" hidden="1" customHeight="1">
      <c r="A5161" s="8">
        <v>46213.34660605324</v>
      </c>
      <c r="B5161" s="14">
        <v>46213.0</v>
      </c>
      <c r="C5161" s="9" t="s">
        <v>48</v>
      </c>
      <c r="D5161" s="9" t="s">
        <v>369</v>
      </c>
      <c r="E5161" s="9" t="s">
        <v>17</v>
      </c>
      <c r="F5161" s="9" t="s">
        <v>17</v>
      </c>
      <c r="G5161" s="9">
        <v>6.0</v>
      </c>
      <c r="H5161" s="9" t="s">
        <v>25</v>
      </c>
      <c r="I5161" s="9" t="s">
        <v>173</v>
      </c>
      <c r="J5161" s="16">
        <v>0.8</v>
      </c>
      <c r="K5161" s="14">
        <v>6.0</v>
      </c>
      <c r="N5161" s="14" t="str">
        <f>IFERROR(__xludf.DUMMYFUNCTION("""COMPUTED_VALUE"""),"")</f>
        <v/>
      </c>
      <c r="O5161" s="14"/>
    </row>
    <row r="5162" ht="22.5" hidden="1" customHeight="1">
      <c r="A5162" s="8">
        <v>46213.34709152778</v>
      </c>
      <c r="B5162" s="14">
        <v>46213.0</v>
      </c>
      <c r="C5162" s="9" t="s">
        <v>48</v>
      </c>
      <c r="D5162" s="9" t="s">
        <v>174</v>
      </c>
      <c r="E5162" s="9" t="s">
        <v>17</v>
      </c>
      <c r="F5162" s="9" t="s">
        <v>17</v>
      </c>
      <c r="G5162" s="9">
        <v>8.0</v>
      </c>
      <c r="H5162" s="9" t="s">
        <v>25</v>
      </c>
      <c r="I5162" s="9" t="s">
        <v>355</v>
      </c>
      <c r="J5162" s="16">
        <v>0.8</v>
      </c>
      <c r="K5162" s="14">
        <v>3.0</v>
      </c>
      <c r="N5162" s="14" t="str">
        <f>IFERROR(__xludf.DUMMYFUNCTION("""COMPUTED_VALUE"""),"")</f>
        <v/>
      </c>
      <c r="O5162" s="14"/>
    </row>
    <row r="5163" ht="22.5" hidden="1" customHeight="1">
      <c r="A5163" s="8">
        <v>46213.34750546297</v>
      </c>
      <c r="B5163" s="14">
        <v>46213.0</v>
      </c>
      <c r="C5163" s="9" t="s">
        <v>48</v>
      </c>
      <c r="D5163" s="9" t="s">
        <v>249</v>
      </c>
      <c r="E5163" s="9" t="s">
        <v>17</v>
      </c>
      <c r="F5163" s="9" t="s">
        <v>18</v>
      </c>
      <c r="G5163" s="9">
        <v>8.0</v>
      </c>
      <c r="H5163" s="9" t="s">
        <v>22</v>
      </c>
      <c r="I5163" s="9" t="s">
        <v>20</v>
      </c>
      <c r="J5163" s="16">
        <v>0.8</v>
      </c>
      <c r="K5163" s="14">
        <v>5.0</v>
      </c>
      <c r="N5163" s="14" t="str">
        <f>IFERROR(__xludf.DUMMYFUNCTION("""COMPUTED_VALUE"""),"")</f>
        <v/>
      </c>
      <c r="O5163" s="14"/>
    </row>
    <row r="5164" ht="22.5" hidden="1" customHeight="1">
      <c r="A5164" s="8">
        <v>46213.3478880787</v>
      </c>
      <c r="B5164" s="14">
        <v>46213.0</v>
      </c>
      <c r="C5164" s="9" t="s">
        <v>48</v>
      </c>
      <c r="D5164" s="9" t="s">
        <v>413</v>
      </c>
      <c r="E5164" s="9" t="s">
        <v>17</v>
      </c>
      <c r="F5164" s="9" t="s">
        <v>17</v>
      </c>
      <c r="G5164" s="9">
        <v>8.0</v>
      </c>
      <c r="H5164" s="9" t="s">
        <v>22</v>
      </c>
      <c r="I5164" s="9" t="s">
        <v>20</v>
      </c>
      <c r="J5164" s="16">
        <v>1.0</v>
      </c>
      <c r="K5164" s="14">
        <v>5.0</v>
      </c>
      <c r="N5164" s="14" t="str">
        <f>IFERROR(__xludf.DUMMYFUNCTION("""COMPUTED_VALUE"""),"")</f>
        <v/>
      </c>
      <c r="O5164" s="14"/>
    </row>
    <row r="5165" ht="22.5" hidden="1" customHeight="1">
      <c r="A5165" s="8">
        <v>46213.348361365744</v>
      </c>
      <c r="B5165" s="14">
        <v>46213.0</v>
      </c>
      <c r="C5165" s="9" t="s">
        <v>48</v>
      </c>
      <c r="D5165" s="9" t="s">
        <v>423</v>
      </c>
      <c r="E5165" s="9" t="s">
        <v>17</v>
      </c>
      <c r="F5165" s="9" t="s">
        <v>17</v>
      </c>
      <c r="G5165" s="9">
        <v>8.0</v>
      </c>
      <c r="H5165" s="9" t="s">
        <v>22</v>
      </c>
      <c r="I5165" s="9" t="s">
        <v>20</v>
      </c>
      <c r="J5165" s="16">
        <v>0.8</v>
      </c>
      <c r="K5165" s="14">
        <v>5.0</v>
      </c>
      <c r="N5165" s="14" t="str">
        <f>IFERROR(__xludf.DUMMYFUNCTION("""COMPUTED_VALUE"""),"")</f>
        <v/>
      </c>
      <c r="O5165" s="14"/>
    </row>
    <row r="5166" ht="22.5" hidden="1" customHeight="1">
      <c r="A5166" s="8">
        <v>46213.35737831019</v>
      </c>
      <c r="B5166" s="14">
        <v>46213.0</v>
      </c>
      <c r="C5166" s="9" t="s">
        <v>48</v>
      </c>
      <c r="D5166" s="9" t="s">
        <v>414</v>
      </c>
      <c r="E5166" s="9" t="s">
        <v>17</v>
      </c>
      <c r="F5166" s="9" t="s">
        <v>35</v>
      </c>
      <c r="G5166" s="9">
        <v>8.0</v>
      </c>
      <c r="H5166" s="9" t="s">
        <v>17</v>
      </c>
      <c r="I5166" s="9" t="s">
        <v>20</v>
      </c>
      <c r="J5166" s="16">
        <v>0.8</v>
      </c>
      <c r="K5166" s="14">
        <v>4.0</v>
      </c>
      <c r="N5166" s="14" t="str">
        <f>IFERROR(__xludf.DUMMYFUNCTION("""COMPUTED_VALUE"""),"")</f>
        <v/>
      </c>
      <c r="O5166" s="14"/>
    </row>
    <row r="5167" ht="22.5" hidden="1" customHeight="1">
      <c r="A5167" s="8">
        <v>46213.35832914352</v>
      </c>
      <c r="B5167" s="14">
        <v>46213.0</v>
      </c>
      <c r="C5167" s="9" t="s">
        <v>48</v>
      </c>
      <c r="D5167" s="9" t="s">
        <v>367</v>
      </c>
      <c r="E5167" s="9" t="s">
        <v>46</v>
      </c>
      <c r="F5167" s="9" t="s">
        <v>43</v>
      </c>
      <c r="G5167" s="9" t="s">
        <v>409</v>
      </c>
      <c r="H5167" s="9" t="s">
        <v>17</v>
      </c>
      <c r="I5167" s="9" t="s">
        <v>20</v>
      </c>
      <c r="J5167" s="16">
        <v>0.8</v>
      </c>
      <c r="K5167" s="14">
        <v>10.0</v>
      </c>
      <c r="N5167" s="14" t="str">
        <f>IFERROR(__xludf.DUMMYFUNCTION("""COMPUTED_VALUE"""),"")</f>
        <v/>
      </c>
      <c r="O5167" s="14"/>
    </row>
    <row r="5168" ht="22.5" hidden="1" customHeight="1">
      <c r="A5168" s="8">
        <v>46213.35863318287</v>
      </c>
      <c r="B5168" s="14">
        <v>46213.0</v>
      </c>
      <c r="C5168" s="9" t="s">
        <v>48</v>
      </c>
      <c r="D5168" s="9" t="s">
        <v>247</v>
      </c>
      <c r="E5168" s="9" t="s">
        <v>61</v>
      </c>
      <c r="F5168" s="9" t="s">
        <v>17</v>
      </c>
      <c r="G5168" s="9">
        <v>7.0</v>
      </c>
      <c r="H5168" s="9" t="s">
        <v>17</v>
      </c>
      <c r="I5168" s="9" t="s">
        <v>20</v>
      </c>
      <c r="J5168" s="16">
        <v>0.6</v>
      </c>
      <c r="K5168" s="14">
        <v>4.0</v>
      </c>
      <c r="N5168" s="14" t="str">
        <f>IFERROR(__xludf.DUMMYFUNCTION("""COMPUTED_VALUE"""),"")</f>
        <v/>
      </c>
      <c r="O5168" s="14"/>
    </row>
    <row r="5169" ht="22.5" hidden="1" customHeight="1">
      <c r="A5169" s="8">
        <v>46213.359804479165</v>
      </c>
      <c r="B5169" s="14">
        <v>46213.0</v>
      </c>
      <c r="C5169" s="9" t="s">
        <v>48</v>
      </c>
      <c r="D5169" s="9" t="s">
        <v>259</v>
      </c>
      <c r="E5169" s="9" t="s">
        <v>17</v>
      </c>
      <c r="F5169" s="9" t="s">
        <v>17</v>
      </c>
      <c r="G5169" s="9">
        <v>7.0</v>
      </c>
      <c r="H5169" s="9" t="s">
        <v>25</v>
      </c>
      <c r="I5169" s="9" t="s">
        <v>28</v>
      </c>
      <c r="J5169" s="16">
        <v>0.6</v>
      </c>
      <c r="K5169" s="14">
        <v>6.0</v>
      </c>
      <c r="N5169" s="14" t="str">
        <f>IFERROR(__xludf.DUMMYFUNCTION("""COMPUTED_VALUE"""),"")</f>
        <v/>
      </c>
      <c r="O5169" s="14"/>
    </row>
    <row r="5170" ht="22.5" hidden="1" customHeight="1">
      <c r="A5170" s="8">
        <v>46213.36099890046</v>
      </c>
      <c r="B5170" s="14">
        <v>46213.0</v>
      </c>
      <c r="C5170" s="9" t="s">
        <v>48</v>
      </c>
      <c r="D5170" s="9" t="s">
        <v>335</v>
      </c>
      <c r="E5170" s="9" t="s">
        <v>17</v>
      </c>
      <c r="F5170" s="9" t="s">
        <v>17</v>
      </c>
      <c r="G5170" s="9">
        <v>7.0</v>
      </c>
      <c r="H5170" s="9" t="s">
        <v>22</v>
      </c>
      <c r="I5170" s="9" t="s">
        <v>20</v>
      </c>
      <c r="J5170" s="16">
        <v>1.0</v>
      </c>
      <c r="K5170" s="14" t="s">
        <v>398</v>
      </c>
      <c r="N5170" s="14" t="str">
        <f>IFERROR(__xludf.DUMMYFUNCTION("""COMPUTED_VALUE"""),"")</f>
        <v/>
      </c>
      <c r="O5170" s="14"/>
    </row>
    <row r="5171" ht="22.5" hidden="1" customHeight="1">
      <c r="A5171" s="8">
        <v>46213.36324769676</v>
      </c>
      <c r="B5171" s="14">
        <v>46213.0</v>
      </c>
      <c r="C5171" s="9" t="s">
        <v>48</v>
      </c>
      <c r="D5171" s="9" t="s">
        <v>210</v>
      </c>
      <c r="E5171" s="9" t="s">
        <v>46</v>
      </c>
      <c r="F5171" s="9" t="s">
        <v>17</v>
      </c>
      <c r="G5171" s="9">
        <v>6.0</v>
      </c>
      <c r="H5171" s="9" t="s">
        <v>22</v>
      </c>
      <c r="I5171" s="9" t="s">
        <v>20</v>
      </c>
      <c r="J5171" s="16">
        <v>0.6</v>
      </c>
      <c r="K5171" s="14">
        <v>6.0</v>
      </c>
      <c r="N5171" s="14" t="str">
        <f>IFERROR(__xludf.DUMMYFUNCTION("""COMPUTED_VALUE"""),"")</f>
        <v/>
      </c>
      <c r="O5171" s="14"/>
    </row>
    <row r="5172" ht="22.5" hidden="1" customHeight="1">
      <c r="A5172" s="8">
        <v>46213.36533059028</v>
      </c>
      <c r="B5172" s="14">
        <v>46213.0</v>
      </c>
      <c r="C5172" s="9" t="s">
        <v>48</v>
      </c>
      <c r="D5172" s="9" t="s">
        <v>175</v>
      </c>
      <c r="E5172" s="9" t="s">
        <v>61</v>
      </c>
      <c r="F5172" s="9" t="s">
        <v>60</v>
      </c>
      <c r="G5172" s="9">
        <v>7.0</v>
      </c>
      <c r="H5172" s="9" t="s">
        <v>25</v>
      </c>
      <c r="I5172" s="9" t="s">
        <v>79</v>
      </c>
      <c r="J5172" s="16">
        <v>0.6</v>
      </c>
      <c r="K5172" s="14">
        <v>8.0</v>
      </c>
      <c r="N5172" s="14" t="str">
        <f>IFERROR(__xludf.DUMMYFUNCTION("""COMPUTED_VALUE"""),"")</f>
        <v/>
      </c>
      <c r="O5172" s="14"/>
    </row>
    <row r="5173" ht="22.5" hidden="1" customHeight="1">
      <c r="A5173" s="8">
        <v>46213.366485949075</v>
      </c>
      <c r="B5173" s="14">
        <v>46213.0</v>
      </c>
      <c r="C5173" s="9" t="s">
        <v>48</v>
      </c>
      <c r="D5173" s="9" t="s">
        <v>441</v>
      </c>
      <c r="E5173" s="9" t="s">
        <v>46</v>
      </c>
      <c r="F5173" s="9" t="s">
        <v>39</v>
      </c>
      <c r="G5173" s="9">
        <v>6.0</v>
      </c>
      <c r="H5173" s="9" t="s">
        <v>17</v>
      </c>
      <c r="I5173" s="9" t="s">
        <v>451</v>
      </c>
      <c r="J5173" s="16">
        <v>0.4</v>
      </c>
      <c r="K5173" s="14">
        <v>3.0</v>
      </c>
      <c r="N5173" s="14" t="str">
        <f>IFERROR(__xludf.DUMMYFUNCTION("""COMPUTED_VALUE"""),"")</f>
        <v/>
      </c>
      <c r="O5173" s="14"/>
    </row>
    <row r="5174" ht="22.5" hidden="1" customHeight="1">
      <c r="A5174" s="8">
        <v>46213.37276377315</v>
      </c>
      <c r="B5174" s="14">
        <v>46213.0</v>
      </c>
      <c r="C5174" s="9" t="s">
        <v>48</v>
      </c>
      <c r="D5174" s="9" t="s">
        <v>357</v>
      </c>
      <c r="E5174" s="9" t="s">
        <v>17</v>
      </c>
      <c r="F5174" s="9" t="s">
        <v>17</v>
      </c>
      <c r="G5174" s="9">
        <v>6.0</v>
      </c>
      <c r="H5174" s="9" t="s">
        <v>22</v>
      </c>
      <c r="I5174" s="9" t="s">
        <v>20</v>
      </c>
      <c r="J5174" s="16">
        <v>0.8</v>
      </c>
      <c r="K5174" s="14">
        <v>7.0</v>
      </c>
      <c r="N5174" s="14" t="str">
        <f>IFERROR(__xludf.DUMMYFUNCTION("""COMPUTED_VALUE"""),"")</f>
        <v/>
      </c>
      <c r="O5174" s="14"/>
    </row>
    <row r="5175" ht="22.5" hidden="1" customHeight="1">
      <c r="A5175" s="8">
        <v>46214.43745099537</v>
      </c>
      <c r="B5175" s="14">
        <v>46214.0</v>
      </c>
      <c r="C5175" s="9" t="s">
        <v>53</v>
      </c>
      <c r="D5175" s="9" t="s">
        <v>177</v>
      </c>
      <c r="E5175" s="9" t="s">
        <v>30</v>
      </c>
      <c r="F5175" s="9" t="s">
        <v>35</v>
      </c>
      <c r="G5175" s="9">
        <v>7.0</v>
      </c>
      <c r="H5175" s="9" t="s">
        <v>22</v>
      </c>
      <c r="I5175" s="9" t="s">
        <v>20</v>
      </c>
      <c r="J5175" s="16">
        <v>0.8</v>
      </c>
      <c r="K5175" s="14">
        <v>3.0</v>
      </c>
      <c r="N5175" s="14" t="str">
        <f>IFERROR(__xludf.DUMMYFUNCTION("""COMPUTED_VALUE"""),"")</f>
        <v/>
      </c>
      <c r="O5175" s="14"/>
    </row>
    <row r="5176" ht="22.5" hidden="1" customHeight="1">
      <c r="A5176" s="8">
        <v>46214.4646133912</v>
      </c>
      <c r="B5176" s="14">
        <v>46214.0</v>
      </c>
      <c r="C5176" s="9" t="s">
        <v>53</v>
      </c>
      <c r="D5176" s="9" t="s">
        <v>414</v>
      </c>
      <c r="E5176" s="9" t="s">
        <v>30</v>
      </c>
      <c r="F5176" s="9" t="s">
        <v>18</v>
      </c>
      <c r="G5176" s="9">
        <v>8.0</v>
      </c>
      <c r="H5176" s="9" t="s">
        <v>22</v>
      </c>
      <c r="I5176" s="9" t="s">
        <v>20</v>
      </c>
      <c r="J5176" s="16">
        <v>0.8</v>
      </c>
      <c r="K5176" s="14">
        <v>3.0</v>
      </c>
      <c r="N5176" s="14" t="str">
        <f>IFERROR(__xludf.DUMMYFUNCTION("""COMPUTED_VALUE"""),"")</f>
        <v/>
      </c>
      <c r="O5176" s="14"/>
    </row>
    <row r="5177" ht="22.5" hidden="1" customHeight="1">
      <c r="A5177" s="8">
        <v>46214.47538873843</v>
      </c>
      <c r="B5177" s="14">
        <v>46214.0</v>
      </c>
      <c r="C5177" s="9" t="s">
        <v>53</v>
      </c>
      <c r="D5177" s="9" t="s">
        <v>335</v>
      </c>
      <c r="E5177" s="9" t="s">
        <v>30</v>
      </c>
      <c r="F5177" s="9" t="s">
        <v>18</v>
      </c>
      <c r="G5177" s="9" t="s">
        <v>409</v>
      </c>
      <c r="H5177" s="9" t="s">
        <v>22</v>
      </c>
      <c r="I5177" s="9" t="s">
        <v>20</v>
      </c>
      <c r="J5177" s="16">
        <v>1.0</v>
      </c>
      <c r="K5177" s="14">
        <v>3.0</v>
      </c>
      <c r="N5177" s="14" t="str">
        <f>IFERROR(__xludf.DUMMYFUNCTION("""COMPUTED_VALUE"""),"")</f>
        <v/>
      </c>
      <c r="O5177" s="14"/>
    </row>
    <row r="5178" ht="22.5" hidden="1" customHeight="1">
      <c r="A5178" s="8">
        <v>46214.47886076389</v>
      </c>
      <c r="B5178" s="14">
        <v>46214.0</v>
      </c>
      <c r="C5178" s="9" t="s">
        <v>53</v>
      </c>
      <c r="D5178" s="9" t="s">
        <v>105</v>
      </c>
      <c r="E5178" s="9" t="s">
        <v>30</v>
      </c>
      <c r="F5178" s="9" t="s">
        <v>18</v>
      </c>
      <c r="G5178" s="9" t="s">
        <v>409</v>
      </c>
      <c r="H5178" s="9" t="s">
        <v>22</v>
      </c>
      <c r="I5178" s="9" t="s">
        <v>20</v>
      </c>
      <c r="J5178" s="16">
        <v>1.0</v>
      </c>
      <c r="K5178" s="14">
        <v>2.0</v>
      </c>
      <c r="N5178" s="14" t="str">
        <f>IFERROR(__xludf.DUMMYFUNCTION("""COMPUTED_VALUE"""),"")</f>
        <v/>
      </c>
      <c r="O5178" s="14"/>
    </row>
    <row r="5179" ht="22.5" hidden="1" customHeight="1">
      <c r="A5179" s="8">
        <v>46214.480028935184</v>
      </c>
      <c r="B5179" s="14">
        <v>46214.0</v>
      </c>
      <c r="C5179" s="9" t="s">
        <v>53</v>
      </c>
      <c r="D5179" s="9" t="s">
        <v>395</v>
      </c>
      <c r="E5179" s="9" t="s">
        <v>17</v>
      </c>
      <c r="F5179" s="9" t="s">
        <v>18</v>
      </c>
      <c r="G5179" s="9" t="s">
        <v>409</v>
      </c>
      <c r="H5179" s="9" t="s">
        <v>25</v>
      </c>
      <c r="I5179" s="9" t="s">
        <v>211</v>
      </c>
      <c r="J5179" s="16">
        <v>0.8</v>
      </c>
      <c r="K5179" s="14">
        <v>2.0</v>
      </c>
      <c r="N5179" s="14" t="str">
        <f>IFERROR(__xludf.DUMMYFUNCTION("""COMPUTED_VALUE"""),"")</f>
        <v/>
      </c>
      <c r="O5179" s="14"/>
    </row>
    <row r="5180" ht="22.5" hidden="1" customHeight="1">
      <c r="A5180" s="8">
        <v>46214.49582888889</v>
      </c>
      <c r="B5180" s="14">
        <v>46214.0</v>
      </c>
      <c r="C5180" s="9" t="s">
        <v>53</v>
      </c>
      <c r="D5180" s="9" t="s">
        <v>357</v>
      </c>
      <c r="E5180" s="9" t="s">
        <v>17</v>
      </c>
      <c r="F5180" s="9" t="s">
        <v>35</v>
      </c>
      <c r="G5180" s="9" t="s">
        <v>409</v>
      </c>
      <c r="H5180" s="9" t="s">
        <v>17</v>
      </c>
      <c r="I5180" s="9" t="s">
        <v>20</v>
      </c>
      <c r="J5180" s="16">
        <v>0.8</v>
      </c>
      <c r="K5180" s="14" t="s">
        <v>398</v>
      </c>
      <c r="N5180" s="14" t="str">
        <f>IFERROR(__xludf.DUMMYFUNCTION("""COMPUTED_VALUE"""),"")</f>
        <v/>
      </c>
      <c r="O5180" s="14"/>
    </row>
    <row r="5181" ht="22.5" hidden="1" customHeight="1">
      <c r="A5181" s="8">
        <v>46214.50031940972</v>
      </c>
      <c r="B5181" s="14">
        <v>46214.0</v>
      </c>
      <c r="C5181" s="9" t="s">
        <v>53</v>
      </c>
      <c r="D5181" s="9" t="s">
        <v>210</v>
      </c>
      <c r="E5181" s="9" t="s">
        <v>17</v>
      </c>
      <c r="F5181" s="9" t="s">
        <v>43</v>
      </c>
      <c r="G5181" s="9" t="s">
        <v>409</v>
      </c>
      <c r="H5181" s="9" t="s">
        <v>22</v>
      </c>
      <c r="I5181" s="9" t="s">
        <v>20</v>
      </c>
      <c r="J5181" s="16">
        <v>0.8</v>
      </c>
      <c r="K5181" s="14">
        <v>4.0</v>
      </c>
      <c r="N5181" s="14" t="str">
        <f>IFERROR(__xludf.DUMMYFUNCTION("""COMPUTED_VALUE"""),"")</f>
        <v/>
      </c>
      <c r="O5181" s="14"/>
    </row>
    <row r="5182" ht="22.5" hidden="1" customHeight="1">
      <c r="A5182" s="8">
        <v>46214.50362625</v>
      </c>
      <c r="B5182" s="14">
        <v>46214.0</v>
      </c>
      <c r="C5182" s="9" t="s">
        <v>53</v>
      </c>
      <c r="D5182" s="9" t="s">
        <v>259</v>
      </c>
      <c r="E5182" s="9" t="s">
        <v>30</v>
      </c>
      <c r="F5182" s="9" t="s">
        <v>43</v>
      </c>
      <c r="G5182" s="9" t="s">
        <v>409</v>
      </c>
      <c r="H5182" s="9" t="s">
        <v>17</v>
      </c>
      <c r="I5182" s="9" t="s">
        <v>28</v>
      </c>
      <c r="J5182" s="16">
        <v>1.0</v>
      </c>
      <c r="K5182" s="14">
        <v>3.0</v>
      </c>
      <c r="N5182" s="14" t="str">
        <f>IFERROR(__xludf.DUMMYFUNCTION("""COMPUTED_VALUE"""),"")</f>
        <v/>
      </c>
      <c r="O5182" s="14"/>
    </row>
    <row r="5183" ht="22.5" hidden="1" customHeight="1">
      <c r="A5183" s="8">
        <v>46214.52160523148</v>
      </c>
      <c r="B5183" s="14">
        <v>46214.0</v>
      </c>
      <c r="C5183" s="9" t="s">
        <v>53</v>
      </c>
      <c r="D5183" s="9" t="s">
        <v>174</v>
      </c>
      <c r="E5183" s="9" t="s">
        <v>17</v>
      </c>
      <c r="F5183" s="9" t="s">
        <v>35</v>
      </c>
      <c r="G5183" s="9">
        <v>8.0</v>
      </c>
      <c r="H5183" s="9" t="s">
        <v>22</v>
      </c>
      <c r="I5183" s="9" t="s">
        <v>20</v>
      </c>
      <c r="J5183" s="16">
        <v>0.8</v>
      </c>
      <c r="K5183" s="14">
        <v>2.0</v>
      </c>
      <c r="N5183" s="14" t="str">
        <f>IFERROR(__xludf.DUMMYFUNCTION("""COMPUTED_VALUE"""),"")</f>
        <v/>
      </c>
      <c r="O5183" s="14"/>
    </row>
    <row r="5184" ht="22.5" hidden="1" customHeight="1">
      <c r="A5184" s="8">
        <v>46214.522948935184</v>
      </c>
      <c r="B5184" s="14">
        <v>46214.0</v>
      </c>
      <c r="C5184" s="9" t="s">
        <v>53</v>
      </c>
      <c r="D5184" s="9" t="s">
        <v>247</v>
      </c>
      <c r="E5184" s="9" t="s">
        <v>17</v>
      </c>
      <c r="F5184" s="9" t="s">
        <v>17</v>
      </c>
      <c r="G5184" s="9">
        <v>8.0</v>
      </c>
      <c r="H5184" s="9" t="s">
        <v>17</v>
      </c>
      <c r="I5184" s="9" t="s">
        <v>300</v>
      </c>
      <c r="J5184" s="16">
        <v>0.8</v>
      </c>
      <c r="K5184" s="14">
        <v>3.0</v>
      </c>
      <c r="N5184" s="14" t="str">
        <f>IFERROR(__xludf.DUMMYFUNCTION("""COMPUTED_VALUE"""),"")</f>
        <v/>
      </c>
      <c r="O5184" s="14"/>
    </row>
    <row r="5185" ht="22.5" hidden="1" customHeight="1">
      <c r="A5185" s="8">
        <v>46214.52394356481</v>
      </c>
      <c r="B5185" s="14">
        <v>46214.0</v>
      </c>
      <c r="C5185" s="9" t="s">
        <v>53</v>
      </c>
      <c r="D5185" s="9" t="s">
        <v>175</v>
      </c>
      <c r="E5185" s="9" t="s">
        <v>46</v>
      </c>
      <c r="F5185" s="9" t="s">
        <v>60</v>
      </c>
      <c r="G5185" s="9" t="s">
        <v>409</v>
      </c>
      <c r="H5185" s="9" t="s">
        <v>17</v>
      </c>
      <c r="I5185" s="9" t="s">
        <v>20</v>
      </c>
      <c r="J5185" s="16">
        <v>0.8</v>
      </c>
      <c r="K5185" s="14">
        <v>6.0</v>
      </c>
      <c r="N5185" s="14" t="str">
        <f>IFERROR(__xludf.DUMMYFUNCTION("""COMPUTED_VALUE"""),"")</f>
        <v/>
      </c>
      <c r="O5185" s="14"/>
    </row>
    <row r="5186" ht="22.5" hidden="1" customHeight="1">
      <c r="A5186" s="8">
        <v>46214.55042702546</v>
      </c>
      <c r="B5186" s="14">
        <v>46214.0</v>
      </c>
      <c r="C5186" s="9" t="s">
        <v>53</v>
      </c>
      <c r="D5186" s="9" t="s">
        <v>369</v>
      </c>
      <c r="E5186" s="9" t="s">
        <v>17</v>
      </c>
      <c r="F5186" s="9" t="s">
        <v>17</v>
      </c>
      <c r="G5186" s="9">
        <v>8.0</v>
      </c>
      <c r="H5186" s="9" t="s">
        <v>25</v>
      </c>
      <c r="I5186" s="9" t="s">
        <v>173</v>
      </c>
      <c r="K5186" s="14">
        <v>3.0</v>
      </c>
      <c r="N5186" s="14" t="str">
        <f>IFERROR(__xludf.DUMMYFUNCTION("""COMPUTED_VALUE"""),"")</f>
        <v/>
      </c>
      <c r="O5186" s="14"/>
    </row>
    <row r="5187" ht="22.5" hidden="1" customHeight="1">
      <c r="A5187" s="8">
        <v>46216.3025871412</v>
      </c>
      <c r="B5187" s="14">
        <v>46216.0</v>
      </c>
      <c r="C5187" s="9" t="s">
        <v>86</v>
      </c>
      <c r="D5187" s="9" t="s">
        <v>445</v>
      </c>
      <c r="E5187" s="9" t="s">
        <v>17</v>
      </c>
      <c r="F5187" s="9" t="s">
        <v>39</v>
      </c>
      <c r="G5187" s="9">
        <v>8.0</v>
      </c>
      <c r="H5187" s="9" t="s">
        <v>25</v>
      </c>
      <c r="I5187" s="9" t="s">
        <v>137</v>
      </c>
      <c r="J5187" s="16">
        <v>0.8</v>
      </c>
      <c r="K5187" s="14" t="s">
        <v>398</v>
      </c>
      <c r="N5187" s="14" t="str">
        <f>IFERROR(__xludf.DUMMYFUNCTION("""COMPUTED_VALUE"""),"")</f>
        <v/>
      </c>
      <c r="O5187" s="14"/>
    </row>
    <row r="5188" ht="22.5" hidden="1" customHeight="1">
      <c r="A5188" s="8">
        <v>46216.305798726855</v>
      </c>
      <c r="B5188" s="14">
        <v>46216.0</v>
      </c>
      <c r="C5188" s="9" t="s">
        <v>86</v>
      </c>
      <c r="D5188" s="9" t="s">
        <v>394</v>
      </c>
      <c r="E5188" s="9" t="s">
        <v>17</v>
      </c>
      <c r="F5188" s="9" t="s">
        <v>17</v>
      </c>
      <c r="G5188" s="9">
        <v>6.0</v>
      </c>
      <c r="H5188" s="9" t="s">
        <v>22</v>
      </c>
      <c r="I5188" s="9" t="s">
        <v>20</v>
      </c>
      <c r="J5188" s="16">
        <v>0.8</v>
      </c>
      <c r="K5188" s="14" t="s">
        <v>398</v>
      </c>
      <c r="N5188" s="14" t="str">
        <f>IFERROR(__xludf.DUMMYFUNCTION("""COMPUTED_VALUE"""),"")</f>
        <v/>
      </c>
      <c r="O5188" s="14"/>
    </row>
    <row r="5189" ht="22.5" hidden="1" customHeight="1">
      <c r="A5189" s="8">
        <v>46216.306529988426</v>
      </c>
      <c r="B5189" s="14">
        <v>46216.0</v>
      </c>
      <c r="C5189" s="9" t="s">
        <v>86</v>
      </c>
      <c r="D5189" s="9" t="s">
        <v>393</v>
      </c>
      <c r="E5189" s="9" t="s">
        <v>46</v>
      </c>
      <c r="F5189" s="9" t="s">
        <v>17</v>
      </c>
      <c r="G5189" s="9">
        <v>6.0</v>
      </c>
      <c r="H5189" s="9" t="s">
        <v>62</v>
      </c>
      <c r="I5189" s="9" t="s">
        <v>20</v>
      </c>
      <c r="J5189" s="16">
        <v>0.6</v>
      </c>
      <c r="K5189" s="14" t="s">
        <v>398</v>
      </c>
      <c r="N5189" s="14" t="str">
        <f>IFERROR(__xludf.DUMMYFUNCTION("""COMPUTED_VALUE"""),"")</f>
        <v/>
      </c>
      <c r="O5189" s="14"/>
    </row>
    <row r="5190" ht="22.5" hidden="1" customHeight="1">
      <c r="A5190" s="8">
        <v>46216.309364409724</v>
      </c>
      <c r="B5190" s="14">
        <v>46216.0</v>
      </c>
      <c r="C5190" s="9" t="s">
        <v>86</v>
      </c>
      <c r="D5190" s="9" t="s">
        <v>442</v>
      </c>
      <c r="E5190" s="9" t="s">
        <v>61</v>
      </c>
      <c r="F5190" s="9" t="s">
        <v>60</v>
      </c>
      <c r="G5190" s="9" t="s">
        <v>410</v>
      </c>
      <c r="H5190" s="9" t="s">
        <v>25</v>
      </c>
      <c r="I5190" s="9" t="s">
        <v>399</v>
      </c>
      <c r="J5190" s="16">
        <v>0.6</v>
      </c>
      <c r="K5190" s="14" t="s">
        <v>398</v>
      </c>
      <c r="N5190" s="14" t="str">
        <f>IFERROR(__xludf.DUMMYFUNCTION("""COMPUTED_VALUE"""),"")</f>
        <v/>
      </c>
      <c r="O5190" s="14"/>
    </row>
    <row r="5191" ht="22.5" hidden="1" customHeight="1">
      <c r="A5191" s="8">
        <v>46216.31003940973</v>
      </c>
      <c r="B5191" s="14">
        <v>46216.0</v>
      </c>
      <c r="C5191" s="9" t="s">
        <v>86</v>
      </c>
      <c r="D5191" s="9" t="s">
        <v>413</v>
      </c>
      <c r="E5191" s="9" t="s">
        <v>17</v>
      </c>
      <c r="F5191" s="9" t="s">
        <v>17</v>
      </c>
      <c r="G5191" s="9">
        <v>7.0</v>
      </c>
      <c r="H5191" s="9" t="s">
        <v>22</v>
      </c>
      <c r="I5191" s="9" t="s">
        <v>20</v>
      </c>
      <c r="J5191" s="16">
        <v>0.8</v>
      </c>
      <c r="K5191" s="14" t="s">
        <v>398</v>
      </c>
      <c r="N5191" s="14" t="str">
        <f>IFERROR(__xludf.DUMMYFUNCTION("""COMPUTED_VALUE"""),"")</f>
        <v/>
      </c>
      <c r="O5191" s="14"/>
    </row>
    <row r="5192" ht="22.5" hidden="1" customHeight="1">
      <c r="A5192" s="8">
        <v>46216.31064952546</v>
      </c>
      <c r="B5192" s="14">
        <v>46216.0</v>
      </c>
      <c r="C5192" s="9" t="s">
        <v>86</v>
      </c>
      <c r="D5192" s="9" t="s">
        <v>441</v>
      </c>
      <c r="E5192" s="9" t="s">
        <v>46</v>
      </c>
      <c r="F5192" s="9" t="s">
        <v>60</v>
      </c>
      <c r="G5192" s="9" t="s">
        <v>410</v>
      </c>
      <c r="H5192" s="9" t="s">
        <v>22</v>
      </c>
      <c r="I5192" s="9" t="s">
        <v>20</v>
      </c>
      <c r="J5192" s="16">
        <v>0.8</v>
      </c>
      <c r="K5192" s="14" t="s">
        <v>398</v>
      </c>
      <c r="N5192" s="14" t="str">
        <f>IFERROR(__xludf.DUMMYFUNCTION("""COMPUTED_VALUE"""),"")</f>
        <v/>
      </c>
      <c r="O5192" s="14"/>
    </row>
    <row r="5193" ht="22.5" hidden="1" customHeight="1">
      <c r="A5193" s="8">
        <v>46216.31167708333</v>
      </c>
      <c r="B5193" s="14">
        <v>46216.0</v>
      </c>
      <c r="C5193" s="9" t="s">
        <v>86</v>
      </c>
      <c r="D5193" s="9" t="s">
        <v>393</v>
      </c>
      <c r="E5193" s="9" t="s">
        <v>46</v>
      </c>
      <c r="F5193" s="9" t="s">
        <v>60</v>
      </c>
      <c r="G5193" s="9">
        <v>6.0</v>
      </c>
      <c r="H5193" s="9" t="s">
        <v>62</v>
      </c>
      <c r="I5193" s="9" t="s">
        <v>20</v>
      </c>
      <c r="J5193" s="16">
        <v>0.6</v>
      </c>
      <c r="K5193" s="14" t="s">
        <v>398</v>
      </c>
      <c r="N5193" s="14" t="str">
        <f>IFERROR(__xludf.DUMMYFUNCTION("""COMPUTED_VALUE"""),"")</f>
        <v/>
      </c>
      <c r="O5193" s="14"/>
    </row>
    <row r="5194" ht="22.5" hidden="1" customHeight="1">
      <c r="A5194" s="8">
        <v>46216.31327623843</v>
      </c>
      <c r="B5194" s="14">
        <v>46216.0</v>
      </c>
      <c r="C5194" s="9" t="s">
        <v>86</v>
      </c>
      <c r="D5194" s="9" t="s">
        <v>396</v>
      </c>
      <c r="E5194" s="9" t="s">
        <v>17</v>
      </c>
      <c r="F5194" s="9" t="s">
        <v>60</v>
      </c>
      <c r="G5194" s="9" t="s">
        <v>410</v>
      </c>
      <c r="H5194" s="9" t="s">
        <v>22</v>
      </c>
      <c r="I5194" s="9" t="s">
        <v>20</v>
      </c>
      <c r="J5194" s="16">
        <v>0.6</v>
      </c>
      <c r="K5194" s="14" t="s">
        <v>398</v>
      </c>
      <c r="N5194" s="14" t="str">
        <f>IFERROR(__xludf.DUMMYFUNCTION("""COMPUTED_VALUE"""),"")</f>
        <v/>
      </c>
      <c r="O5194" s="14"/>
    </row>
    <row r="5195" ht="22.5" hidden="1" customHeight="1">
      <c r="A5195" s="8">
        <v>46216.3137828125</v>
      </c>
      <c r="B5195" s="14">
        <v>46216.0</v>
      </c>
      <c r="C5195" s="9" t="s">
        <v>86</v>
      </c>
      <c r="D5195" s="9" t="s">
        <v>423</v>
      </c>
      <c r="E5195" s="9" t="s">
        <v>17</v>
      </c>
      <c r="F5195" s="9" t="s">
        <v>60</v>
      </c>
      <c r="G5195" s="9">
        <v>7.0</v>
      </c>
      <c r="H5195" s="9" t="s">
        <v>25</v>
      </c>
      <c r="I5195" s="9" t="s">
        <v>89</v>
      </c>
      <c r="J5195" s="16">
        <v>0.6</v>
      </c>
      <c r="K5195" s="14" t="s">
        <v>398</v>
      </c>
      <c r="N5195" s="14" t="str">
        <f>IFERROR(__xludf.DUMMYFUNCTION("""COMPUTED_VALUE"""),"")</f>
        <v/>
      </c>
      <c r="O5195" s="14"/>
    </row>
    <row r="5196" ht="22.5" hidden="1" customHeight="1">
      <c r="A5196" s="8">
        <v>46216.31654998843</v>
      </c>
      <c r="B5196" s="14">
        <v>46216.0</v>
      </c>
      <c r="C5196" s="9" t="s">
        <v>86</v>
      </c>
      <c r="D5196" s="9" t="s">
        <v>178</v>
      </c>
      <c r="E5196" s="9" t="s">
        <v>17</v>
      </c>
      <c r="F5196" s="9" t="s">
        <v>17</v>
      </c>
      <c r="G5196" s="9">
        <v>8.0</v>
      </c>
      <c r="H5196" s="9" t="s">
        <v>22</v>
      </c>
      <c r="I5196" s="9" t="s">
        <v>20</v>
      </c>
      <c r="J5196" s="16">
        <v>0.8</v>
      </c>
      <c r="K5196" s="14" t="s">
        <v>398</v>
      </c>
      <c r="N5196" s="14" t="str">
        <f>IFERROR(__xludf.DUMMYFUNCTION("""COMPUTED_VALUE"""),"")</f>
        <v/>
      </c>
      <c r="O5196" s="14"/>
    </row>
    <row r="5197" ht="22.5" hidden="1" customHeight="1">
      <c r="A5197" s="8">
        <v>46216.32159045139</v>
      </c>
      <c r="B5197" s="14">
        <v>46216.0</v>
      </c>
      <c r="C5197" s="9" t="s">
        <v>86</v>
      </c>
      <c r="D5197" s="9" t="s">
        <v>449</v>
      </c>
      <c r="E5197" s="9" t="s">
        <v>17</v>
      </c>
      <c r="F5197" s="9" t="s">
        <v>17</v>
      </c>
      <c r="G5197" s="9" t="s">
        <v>410</v>
      </c>
      <c r="H5197" s="9" t="s">
        <v>17</v>
      </c>
      <c r="I5197" s="9" t="s">
        <v>20</v>
      </c>
      <c r="J5197" s="16">
        <v>0.6</v>
      </c>
      <c r="K5197" s="14" t="s">
        <v>398</v>
      </c>
      <c r="N5197" s="14" t="str">
        <f>IFERROR(__xludf.DUMMYFUNCTION("""COMPUTED_VALUE"""),"")</f>
        <v/>
      </c>
      <c r="O5197" s="14"/>
    </row>
    <row r="5198" ht="22.5" hidden="1" customHeight="1">
      <c r="A5198" s="8">
        <v>46216.32364585648</v>
      </c>
      <c r="B5198" s="14">
        <v>46216.0</v>
      </c>
      <c r="C5198" s="9" t="s">
        <v>86</v>
      </c>
      <c r="D5198" s="9" t="s">
        <v>450</v>
      </c>
      <c r="E5198" s="9" t="s">
        <v>17</v>
      </c>
      <c r="F5198" s="9" t="s">
        <v>17</v>
      </c>
      <c r="G5198" s="9" t="s">
        <v>410</v>
      </c>
      <c r="H5198" s="9" t="s">
        <v>17</v>
      </c>
      <c r="I5198" s="9" t="s">
        <v>20</v>
      </c>
      <c r="J5198" s="16">
        <v>0.8</v>
      </c>
      <c r="K5198" s="14" t="s">
        <v>398</v>
      </c>
      <c r="N5198" s="14" t="str">
        <f>IFERROR(__xludf.DUMMYFUNCTION("""COMPUTED_VALUE"""),"")</f>
        <v/>
      </c>
      <c r="O5198" s="14"/>
    </row>
    <row r="5199" ht="22.5" hidden="1" customHeight="1">
      <c r="A5199" s="8">
        <v>46216.32512140046</v>
      </c>
      <c r="B5199" s="14">
        <v>46216.0</v>
      </c>
      <c r="C5199" s="9" t="s">
        <v>86</v>
      </c>
      <c r="D5199" s="9" t="s">
        <v>448</v>
      </c>
      <c r="E5199" s="9" t="s">
        <v>17</v>
      </c>
      <c r="F5199" s="9" t="s">
        <v>17</v>
      </c>
      <c r="G5199" s="9">
        <v>8.0</v>
      </c>
      <c r="H5199" s="9" t="s">
        <v>17</v>
      </c>
      <c r="I5199" s="9" t="s">
        <v>20</v>
      </c>
      <c r="J5199" s="16">
        <v>0.8</v>
      </c>
      <c r="K5199" s="14" t="s">
        <v>398</v>
      </c>
      <c r="N5199" s="14" t="str">
        <f>IFERROR(__xludf.DUMMYFUNCTION("""COMPUTED_VALUE"""),"")</f>
        <v/>
      </c>
      <c r="O5199" s="14"/>
    </row>
    <row r="5200" ht="22.5" hidden="1" customHeight="1">
      <c r="A5200" s="8">
        <v>46216.32553628473</v>
      </c>
      <c r="B5200" s="14">
        <v>46216.0</v>
      </c>
      <c r="C5200" s="9" t="s">
        <v>86</v>
      </c>
      <c r="D5200" s="9" t="s">
        <v>446</v>
      </c>
      <c r="E5200" s="9" t="s">
        <v>61</v>
      </c>
      <c r="F5200" s="9" t="s">
        <v>17</v>
      </c>
      <c r="G5200" s="9">
        <v>8.0</v>
      </c>
      <c r="H5200" s="9" t="s">
        <v>17</v>
      </c>
      <c r="I5200" s="9" t="s">
        <v>20</v>
      </c>
      <c r="J5200" s="16">
        <v>0.8</v>
      </c>
      <c r="K5200" s="14" t="s">
        <v>398</v>
      </c>
      <c r="N5200" s="14" t="str">
        <f>IFERROR(__xludf.DUMMYFUNCTION("""COMPUTED_VALUE"""),"")</f>
        <v/>
      </c>
      <c r="O5200" s="14"/>
    </row>
    <row r="5201" ht="22.5" hidden="1" customHeight="1">
      <c r="A5201" s="8">
        <v>46216.327436631946</v>
      </c>
      <c r="B5201" s="14">
        <v>46216.0</v>
      </c>
      <c r="C5201" s="9" t="s">
        <v>86</v>
      </c>
      <c r="D5201" s="9" t="s">
        <v>444</v>
      </c>
      <c r="E5201" s="9" t="s">
        <v>17</v>
      </c>
      <c r="F5201" s="9" t="s">
        <v>17</v>
      </c>
      <c r="G5201" s="9">
        <v>7.0</v>
      </c>
      <c r="H5201" s="9" t="s">
        <v>17</v>
      </c>
      <c r="I5201" s="9" t="s">
        <v>20</v>
      </c>
      <c r="J5201" s="16">
        <v>1.0</v>
      </c>
      <c r="K5201" s="14" t="s">
        <v>398</v>
      </c>
      <c r="N5201" s="14" t="str">
        <f>IFERROR(__xludf.DUMMYFUNCTION("""COMPUTED_VALUE"""),"")</f>
        <v/>
      </c>
      <c r="O5201" s="14"/>
    </row>
    <row r="5202" ht="22.5" hidden="1" customHeight="1">
      <c r="A5202" s="8">
        <v>46216.37765552083</v>
      </c>
      <c r="B5202" s="14">
        <v>46216.0</v>
      </c>
      <c r="C5202" s="9" t="s">
        <v>86</v>
      </c>
      <c r="D5202" s="9" t="s">
        <v>249</v>
      </c>
      <c r="E5202" s="9" t="s">
        <v>61</v>
      </c>
      <c r="F5202" s="9" t="s">
        <v>43</v>
      </c>
      <c r="G5202" s="9">
        <v>8.0</v>
      </c>
      <c r="H5202" s="9" t="s">
        <v>17</v>
      </c>
      <c r="I5202" s="9" t="s">
        <v>20</v>
      </c>
      <c r="J5202" s="16">
        <v>0.6</v>
      </c>
      <c r="K5202" s="14" t="s">
        <v>398</v>
      </c>
      <c r="N5202" s="14" t="str">
        <f>IFERROR(__xludf.DUMMYFUNCTION("""COMPUTED_VALUE"""),"")</f>
        <v/>
      </c>
      <c r="O5202" s="14"/>
    </row>
    <row r="5203" ht="22.5" hidden="1" customHeight="1">
      <c r="A5203" s="8">
        <v>46216.381345243055</v>
      </c>
      <c r="B5203" s="14">
        <v>46216.0</v>
      </c>
      <c r="C5203" s="9" t="s">
        <v>86</v>
      </c>
      <c r="D5203" s="9" t="s">
        <v>395</v>
      </c>
      <c r="E5203" s="9" t="s">
        <v>17</v>
      </c>
      <c r="F5203" s="9" t="s">
        <v>17</v>
      </c>
      <c r="G5203" s="9">
        <v>7.0</v>
      </c>
      <c r="H5203" s="9" t="s">
        <v>25</v>
      </c>
      <c r="I5203" s="9" t="s">
        <v>211</v>
      </c>
      <c r="J5203" s="16">
        <v>0.6</v>
      </c>
      <c r="K5203" s="14" t="s">
        <v>398</v>
      </c>
      <c r="N5203" s="14" t="str">
        <f>IFERROR(__xludf.DUMMYFUNCTION("""COMPUTED_VALUE"""),"")</f>
        <v/>
      </c>
      <c r="O5203" s="14"/>
    </row>
    <row r="5204" ht="22.5" hidden="1" customHeight="1">
      <c r="A5204" s="8">
        <v>46216.38186060185</v>
      </c>
      <c r="B5204" s="14">
        <v>46216.0</v>
      </c>
      <c r="C5204" s="9" t="s">
        <v>86</v>
      </c>
      <c r="D5204" s="9" t="s">
        <v>357</v>
      </c>
      <c r="E5204" s="9" t="s">
        <v>46</v>
      </c>
      <c r="F5204" s="9" t="s">
        <v>17</v>
      </c>
      <c r="G5204" s="9">
        <v>6.0</v>
      </c>
      <c r="H5204" s="9" t="s">
        <v>22</v>
      </c>
      <c r="I5204" s="9" t="s">
        <v>20</v>
      </c>
      <c r="J5204" s="16">
        <v>0.6</v>
      </c>
      <c r="K5204" s="14" t="s">
        <v>398</v>
      </c>
      <c r="N5204" s="14" t="str">
        <f>IFERROR(__xludf.DUMMYFUNCTION("""COMPUTED_VALUE"""),"")</f>
        <v/>
      </c>
      <c r="O5204" s="14"/>
    </row>
    <row r="5205" ht="22.5" hidden="1" customHeight="1">
      <c r="A5205" s="8">
        <v>46216.38240775463</v>
      </c>
      <c r="B5205" s="14">
        <v>46216.0</v>
      </c>
      <c r="C5205" s="9" t="s">
        <v>86</v>
      </c>
      <c r="D5205" s="9" t="s">
        <v>177</v>
      </c>
      <c r="E5205" s="9" t="s">
        <v>46</v>
      </c>
      <c r="F5205" s="9" t="s">
        <v>60</v>
      </c>
      <c r="G5205" s="9">
        <v>7.0</v>
      </c>
      <c r="H5205" s="9" t="s">
        <v>22</v>
      </c>
      <c r="I5205" s="9" t="s">
        <v>20</v>
      </c>
      <c r="J5205" s="16">
        <v>0.6</v>
      </c>
      <c r="K5205" s="14" t="s">
        <v>398</v>
      </c>
      <c r="N5205" s="14" t="str">
        <f>IFERROR(__xludf.DUMMYFUNCTION("""COMPUTED_VALUE"""),"")</f>
        <v/>
      </c>
      <c r="O5205" s="14"/>
    </row>
    <row r="5206" ht="22.5" hidden="1" customHeight="1">
      <c r="A5206" s="8">
        <v>46216.38291289352</v>
      </c>
      <c r="B5206" s="14">
        <v>46216.0</v>
      </c>
      <c r="C5206" s="9" t="s">
        <v>86</v>
      </c>
      <c r="D5206" s="9" t="s">
        <v>174</v>
      </c>
      <c r="E5206" s="9" t="s">
        <v>17</v>
      </c>
      <c r="F5206" s="9" t="s">
        <v>17</v>
      </c>
      <c r="G5206" s="9">
        <v>7.0</v>
      </c>
      <c r="H5206" s="9" t="s">
        <v>25</v>
      </c>
      <c r="I5206" s="9" t="s">
        <v>218</v>
      </c>
      <c r="J5206" s="16">
        <v>0.8</v>
      </c>
      <c r="K5206" s="14" t="s">
        <v>398</v>
      </c>
      <c r="N5206" s="14" t="str">
        <f>IFERROR(__xludf.DUMMYFUNCTION("""COMPUTED_VALUE"""),"")</f>
        <v/>
      </c>
      <c r="O5206" s="14"/>
    </row>
    <row r="5207" ht="22.5" hidden="1" customHeight="1">
      <c r="A5207" s="8">
        <v>46216.3833642824</v>
      </c>
      <c r="B5207" s="14">
        <v>46216.0</v>
      </c>
      <c r="C5207" s="9" t="s">
        <v>86</v>
      </c>
      <c r="D5207" s="9" t="s">
        <v>210</v>
      </c>
      <c r="E5207" s="9" t="s">
        <v>46</v>
      </c>
      <c r="F5207" s="9" t="s">
        <v>60</v>
      </c>
      <c r="G5207" s="9">
        <v>7.0</v>
      </c>
      <c r="H5207" s="9" t="s">
        <v>22</v>
      </c>
      <c r="I5207" s="9" t="s">
        <v>20</v>
      </c>
      <c r="J5207" s="16">
        <v>0.6</v>
      </c>
      <c r="K5207" s="14" t="s">
        <v>398</v>
      </c>
      <c r="N5207" s="14" t="str">
        <f>IFERROR(__xludf.DUMMYFUNCTION("""COMPUTED_VALUE"""),"")</f>
        <v/>
      </c>
      <c r="O5207" s="14"/>
    </row>
    <row r="5208" ht="22.5" hidden="1" customHeight="1">
      <c r="A5208" s="8">
        <v>46216.383791134256</v>
      </c>
      <c r="B5208" s="14">
        <v>46216.0</v>
      </c>
      <c r="C5208" s="9" t="s">
        <v>86</v>
      </c>
      <c r="D5208" s="9" t="s">
        <v>247</v>
      </c>
      <c r="E5208" s="9" t="s">
        <v>140</v>
      </c>
      <c r="F5208" s="9" t="s">
        <v>60</v>
      </c>
      <c r="G5208" s="9">
        <v>7.0</v>
      </c>
      <c r="H5208" s="9" t="s">
        <v>62</v>
      </c>
      <c r="I5208" s="9" t="s">
        <v>20</v>
      </c>
      <c r="J5208" s="16">
        <v>0.4</v>
      </c>
      <c r="K5208" s="14" t="s">
        <v>398</v>
      </c>
      <c r="N5208" s="14" t="str">
        <f>IFERROR(__xludf.DUMMYFUNCTION("""COMPUTED_VALUE"""),"")</f>
        <v/>
      </c>
      <c r="O5208" s="14"/>
    </row>
    <row r="5209" ht="22.5" hidden="1" customHeight="1">
      <c r="A5209" s="8">
        <v>46216.38417829861</v>
      </c>
      <c r="B5209" s="14">
        <v>46216.0</v>
      </c>
      <c r="C5209" s="9" t="s">
        <v>86</v>
      </c>
      <c r="D5209" s="9" t="s">
        <v>367</v>
      </c>
      <c r="E5209" s="9" t="s">
        <v>44</v>
      </c>
      <c r="F5209" s="9" t="s">
        <v>35</v>
      </c>
      <c r="G5209" s="9" t="s">
        <v>409</v>
      </c>
      <c r="H5209" s="9" t="s">
        <v>22</v>
      </c>
      <c r="I5209" s="9" t="s">
        <v>20</v>
      </c>
      <c r="J5209" s="16">
        <v>0.8</v>
      </c>
      <c r="K5209" s="14" t="s">
        <v>398</v>
      </c>
      <c r="N5209" s="14" t="str">
        <f>IFERROR(__xludf.DUMMYFUNCTION("""COMPUTED_VALUE"""),"")</f>
        <v/>
      </c>
      <c r="O5209" s="14"/>
    </row>
    <row r="5210" ht="22.5" hidden="1" customHeight="1">
      <c r="A5210" s="8">
        <v>46216.38443556713</v>
      </c>
      <c r="B5210" s="14">
        <v>46216.0</v>
      </c>
      <c r="C5210" s="9" t="s">
        <v>86</v>
      </c>
      <c r="D5210" s="9" t="s">
        <v>421</v>
      </c>
      <c r="E5210" s="9" t="s">
        <v>17</v>
      </c>
      <c r="F5210" s="9" t="s">
        <v>17</v>
      </c>
      <c r="G5210" s="9">
        <v>7.0</v>
      </c>
      <c r="H5210" s="9" t="s">
        <v>22</v>
      </c>
      <c r="I5210" s="9" t="s">
        <v>20</v>
      </c>
      <c r="J5210" s="16">
        <v>0.8</v>
      </c>
      <c r="K5210" s="14" t="s">
        <v>398</v>
      </c>
      <c r="N5210" s="14" t="str">
        <f>IFERROR(__xludf.DUMMYFUNCTION("""COMPUTED_VALUE"""),"")</f>
        <v/>
      </c>
      <c r="O5210" s="14"/>
    </row>
    <row r="5211" ht="22.5" hidden="1" customHeight="1">
      <c r="A5211" s="8">
        <v>46216.38478649306</v>
      </c>
      <c r="B5211" s="14">
        <v>46216.0</v>
      </c>
      <c r="C5211" s="9" t="s">
        <v>86</v>
      </c>
      <c r="D5211" s="9" t="s">
        <v>408</v>
      </c>
      <c r="E5211" s="9" t="s">
        <v>17</v>
      </c>
      <c r="F5211" s="9" t="s">
        <v>17</v>
      </c>
      <c r="G5211" s="9">
        <v>7.0</v>
      </c>
      <c r="H5211" s="9" t="s">
        <v>22</v>
      </c>
      <c r="I5211" s="9" t="s">
        <v>20</v>
      </c>
      <c r="J5211" s="16">
        <v>0.8</v>
      </c>
      <c r="K5211" s="14" t="s">
        <v>398</v>
      </c>
      <c r="N5211" s="14" t="str">
        <f>IFERROR(__xludf.DUMMYFUNCTION("""COMPUTED_VALUE"""),"")</f>
        <v/>
      </c>
      <c r="O5211" s="14"/>
    </row>
    <row r="5212" ht="22.5" hidden="1" customHeight="1">
      <c r="A5212" s="8">
        <v>46216.385376192135</v>
      </c>
      <c r="B5212" s="14">
        <v>46216.0</v>
      </c>
      <c r="C5212" s="9" t="s">
        <v>86</v>
      </c>
      <c r="D5212" s="9" t="s">
        <v>414</v>
      </c>
      <c r="E5212" s="9" t="s">
        <v>140</v>
      </c>
      <c r="F5212" s="9" t="s">
        <v>17</v>
      </c>
      <c r="G5212" s="9">
        <v>8.0</v>
      </c>
      <c r="H5212" s="9" t="s">
        <v>25</v>
      </c>
      <c r="I5212" s="9" t="s">
        <v>452</v>
      </c>
      <c r="J5212" s="16">
        <v>0.4</v>
      </c>
      <c r="K5212" s="14" t="s">
        <v>398</v>
      </c>
      <c r="N5212" s="14" t="str">
        <f>IFERROR(__xludf.DUMMYFUNCTION("""COMPUTED_VALUE"""),"")</f>
        <v/>
      </c>
      <c r="O5212" s="14"/>
    </row>
    <row r="5213" ht="22.5" hidden="1" customHeight="1">
      <c r="A5213" s="8">
        <v>46216.38576704861</v>
      </c>
      <c r="B5213" s="14">
        <v>46216.0</v>
      </c>
      <c r="C5213" s="9" t="s">
        <v>86</v>
      </c>
      <c r="D5213" s="9" t="s">
        <v>105</v>
      </c>
      <c r="E5213" s="9" t="s">
        <v>17</v>
      </c>
      <c r="F5213" s="9" t="s">
        <v>17</v>
      </c>
      <c r="G5213" s="9">
        <v>7.0</v>
      </c>
      <c r="H5213" s="9" t="s">
        <v>22</v>
      </c>
      <c r="I5213" s="9" t="s">
        <v>20</v>
      </c>
      <c r="J5213" s="16">
        <v>0.8</v>
      </c>
      <c r="K5213" s="14" t="s">
        <v>398</v>
      </c>
      <c r="N5213" s="14" t="str">
        <f>IFERROR(__xludf.DUMMYFUNCTION("""COMPUTED_VALUE"""),"")</f>
        <v/>
      </c>
      <c r="O5213" s="14"/>
    </row>
    <row r="5214" ht="22.5" hidden="1" customHeight="1">
      <c r="A5214" s="8">
        <v>46216.39107571759</v>
      </c>
      <c r="B5214" s="14">
        <v>46216.0</v>
      </c>
      <c r="C5214" s="9" t="s">
        <v>86</v>
      </c>
      <c r="D5214" s="9" t="s">
        <v>259</v>
      </c>
      <c r="E5214" s="9" t="s">
        <v>46</v>
      </c>
      <c r="F5214" s="9" t="s">
        <v>60</v>
      </c>
      <c r="G5214" s="9">
        <v>7.0</v>
      </c>
      <c r="H5214" s="9" t="s">
        <v>22</v>
      </c>
      <c r="I5214" s="9" t="s">
        <v>20</v>
      </c>
      <c r="J5214" s="16">
        <v>0.4</v>
      </c>
      <c r="K5214" s="14" t="s">
        <v>398</v>
      </c>
      <c r="N5214" s="14" t="str">
        <f>IFERROR(__xludf.DUMMYFUNCTION("""COMPUTED_VALUE"""),"")</f>
        <v/>
      </c>
      <c r="O5214" s="14"/>
    </row>
    <row r="5215" ht="22.5" hidden="1" customHeight="1">
      <c r="A5215" s="8">
        <v>46216.39397644676</v>
      </c>
      <c r="B5215" s="14">
        <v>46216.0</v>
      </c>
      <c r="C5215" s="9" t="s">
        <v>86</v>
      </c>
      <c r="D5215" s="9" t="s">
        <v>175</v>
      </c>
      <c r="E5215" s="9" t="s">
        <v>46</v>
      </c>
      <c r="F5215" s="9" t="s">
        <v>60</v>
      </c>
      <c r="G5215" s="9">
        <v>8.0</v>
      </c>
      <c r="H5215" s="9" t="s">
        <v>25</v>
      </c>
      <c r="I5215" s="9" t="s">
        <v>207</v>
      </c>
      <c r="J5215" s="16">
        <v>0.8</v>
      </c>
      <c r="K5215" s="14" t="s">
        <v>398</v>
      </c>
      <c r="N5215" s="14" t="str">
        <f>IFERROR(__xludf.DUMMYFUNCTION("""COMPUTED_VALUE"""),"")</f>
        <v/>
      </c>
      <c r="O5215" s="14"/>
    </row>
    <row r="5216" ht="22.5" hidden="1" customHeight="1">
      <c r="A5216" s="8">
        <v>46216.3966396412</v>
      </c>
      <c r="B5216" s="14">
        <v>46216.0</v>
      </c>
      <c r="C5216" s="9" t="s">
        <v>86</v>
      </c>
      <c r="D5216" s="9" t="s">
        <v>335</v>
      </c>
      <c r="E5216" s="9" t="s">
        <v>61</v>
      </c>
      <c r="F5216" s="9" t="s">
        <v>17</v>
      </c>
      <c r="G5216" s="9">
        <v>6.0</v>
      </c>
      <c r="H5216" s="9" t="s">
        <v>22</v>
      </c>
      <c r="I5216" s="9" t="s">
        <v>20</v>
      </c>
      <c r="J5216" s="16">
        <v>0.6</v>
      </c>
      <c r="K5216" s="14" t="s">
        <v>398</v>
      </c>
      <c r="N5216" s="14" t="str">
        <f>IFERROR(__xludf.DUMMYFUNCTION("""COMPUTED_VALUE"""),"")</f>
        <v/>
      </c>
      <c r="O5216" s="14"/>
    </row>
    <row r="5217" ht="22.5" hidden="1" customHeight="1">
      <c r="A5217" s="8">
        <v>46217.34927584491</v>
      </c>
      <c r="B5217" s="14">
        <v>46217.0</v>
      </c>
      <c r="C5217" s="9" t="s">
        <v>110</v>
      </c>
      <c r="D5217" s="9" t="s">
        <v>445</v>
      </c>
      <c r="E5217" s="9" t="s">
        <v>17</v>
      </c>
      <c r="F5217" s="9" t="s">
        <v>17</v>
      </c>
      <c r="G5217" s="9">
        <v>8.0</v>
      </c>
      <c r="H5217" s="9" t="s">
        <v>25</v>
      </c>
      <c r="I5217" s="9" t="s">
        <v>137</v>
      </c>
      <c r="J5217" s="16">
        <v>0.6</v>
      </c>
      <c r="K5217" s="14" t="s">
        <v>398</v>
      </c>
      <c r="N5217" s="14" t="str">
        <f>IFERROR(__xludf.DUMMYFUNCTION("""COMPUTED_VALUE"""),"")</f>
        <v/>
      </c>
      <c r="O5217" s="14"/>
    </row>
    <row r="5218" ht="22.5" hidden="1" customHeight="1">
      <c r="A5218" s="8">
        <v>46217.35777903935</v>
      </c>
      <c r="B5218" s="14">
        <v>46217.0</v>
      </c>
      <c r="C5218" s="9" t="s">
        <v>110</v>
      </c>
      <c r="D5218" s="9" t="s">
        <v>369</v>
      </c>
      <c r="E5218" s="9" t="s">
        <v>46</v>
      </c>
      <c r="F5218" s="9" t="s">
        <v>17</v>
      </c>
      <c r="G5218" s="9">
        <v>7.0</v>
      </c>
      <c r="H5218" s="9" t="s">
        <v>25</v>
      </c>
      <c r="I5218" s="9" t="s">
        <v>137</v>
      </c>
      <c r="J5218" s="16">
        <v>0.8</v>
      </c>
      <c r="K5218" s="14" t="s">
        <v>398</v>
      </c>
      <c r="N5218" s="14" t="str">
        <f>IFERROR(__xludf.DUMMYFUNCTION("""COMPUTED_VALUE"""),"")</f>
        <v/>
      </c>
      <c r="O5218" s="14"/>
    </row>
    <row r="5219" ht="22.5" hidden="1" customHeight="1">
      <c r="A5219" s="8">
        <v>46217.358597743056</v>
      </c>
      <c r="B5219" s="14">
        <v>46217.0</v>
      </c>
      <c r="C5219" s="9" t="s">
        <v>110</v>
      </c>
      <c r="D5219" s="9" t="s">
        <v>174</v>
      </c>
      <c r="E5219" s="9" t="s">
        <v>17</v>
      </c>
      <c r="F5219" s="9" t="s">
        <v>17</v>
      </c>
      <c r="G5219" s="9">
        <v>8.0</v>
      </c>
      <c r="H5219" s="9" t="s">
        <v>25</v>
      </c>
      <c r="I5219" s="9" t="s">
        <v>218</v>
      </c>
      <c r="J5219" s="16">
        <v>0.8</v>
      </c>
      <c r="K5219" s="14" t="s">
        <v>398</v>
      </c>
      <c r="N5219" s="14" t="str">
        <f>IFERROR(__xludf.DUMMYFUNCTION("""COMPUTED_VALUE"""),"")</f>
        <v/>
      </c>
      <c r="O5219" s="14"/>
    </row>
    <row r="5220" ht="22.5" hidden="1" customHeight="1">
      <c r="A5220" s="8">
        <v>46217.362404479165</v>
      </c>
      <c r="B5220" s="14">
        <v>46217.0</v>
      </c>
      <c r="C5220" s="9" t="s">
        <v>110</v>
      </c>
      <c r="D5220" s="9" t="s">
        <v>423</v>
      </c>
      <c r="E5220" s="9" t="s">
        <v>17</v>
      </c>
      <c r="F5220" s="9" t="s">
        <v>77</v>
      </c>
      <c r="G5220" s="9" t="s">
        <v>410</v>
      </c>
      <c r="H5220" s="9" t="s">
        <v>25</v>
      </c>
      <c r="I5220" s="9" t="s">
        <v>453</v>
      </c>
      <c r="J5220" s="16">
        <v>0.4</v>
      </c>
      <c r="K5220" s="14" t="s">
        <v>398</v>
      </c>
      <c r="N5220" s="14" t="str">
        <f>IFERROR(__xludf.DUMMYFUNCTION("""COMPUTED_VALUE"""),"")</f>
        <v/>
      </c>
      <c r="O5220" s="14"/>
    </row>
    <row r="5221" ht="22.5" hidden="1" customHeight="1">
      <c r="A5221" s="8">
        <v>46217.36880589121</v>
      </c>
      <c r="B5221" s="14">
        <v>46217.0</v>
      </c>
      <c r="C5221" s="9" t="s">
        <v>110</v>
      </c>
      <c r="D5221" s="9" t="s">
        <v>444</v>
      </c>
      <c r="E5221" s="9" t="s">
        <v>61</v>
      </c>
      <c r="F5221" s="9" t="s">
        <v>17</v>
      </c>
      <c r="G5221" s="9">
        <v>8.0</v>
      </c>
      <c r="H5221" s="9" t="s">
        <v>17</v>
      </c>
      <c r="I5221" s="9" t="s">
        <v>20</v>
      </c>
      <c r="J5221" s="16">
        <v>0.6</v>
      </c>
      <c r="K5221" s="14" t="s">
        <v>398</v>
      </c>
      <c r="N5221" s="14" t="str">
        <f>IFERROR(__xludf.DUMMYFUNCTION("""COMPUTED_VALUE"""),"")</f>
        <v/>
      </c>
      <c r="O5221" s="14"/>
    </row>
    <row r="5222" ht="22.5" hidden="1" customHeight="1">
      <c r="A5222" s="8">
        <v>46217.369688935185</v>
      </c>
      <c r="B5222" s="14">
        <v>46217.0</v>
      </c>
      <c r="C5222" s="9" t="s">
        <v>110</v>
      </c>
      <c r="D5222" s="9" t="s">
        <v>450</v>
      </c>
      <c r="E5222" s="9" t="s">
        <v>30</v>
      </c>
      <c r="F5222" s="9" t="s">
        <v>17</v>
      </c>
      <c r="G5222" s="9">
        <v>7.0</v>
      </c>
      <c r="H5222" s="9" t="s">
        <v>17</v>
      </c>
      <c r="I5222" s="9" t="s">
        <v>20</v>
      </c>
      <c r="J5222" s="16">
        <v>0.8</v>
      </c>
      <c r="K5222" s="14" t="s">
        <v>398</v>
      </c>
      <c r="N5222" s="14" t="str">
        <f>IFERROR(__xludf.DUMMYFUNCTION("""COMPUTED_VALUE"""),"")</f>
        <v/>
      </c>
      <c r="O5222" s="14"/>
    </row>
    <row r="5223" ht="22.5" hidden="1" customHeight="1">
      <c r="A5223" s="8">
        <v>46217.37015671296</v>
      </c>
      <c r="B5223" s="14">
        <v>46217.0</v>
      </c>
      <c r="C5223" s="9" t="s">
        <v>110</v>
      </c>
      <c r="D5223" s="9" t="s">
        <v>449</v>
      </c>
      <c r="E5223" s="9" t="s">
        <v>17</v>
      </c>
      <c r="F5223" s="9" t="s">
        <v>17</v>
      </c>
      <c r="G5223" s="9">
        <v>8.0</v>
      </c>
      <c r="H5223" s="9" t="s">
        <v>17</v>
      </c>
      <c r="I5223" s="9" t="s">
        <v>20</v>
      </c>
      <c r="J5223" s="16">
        <v>1.0</v>
      </c>
      <c r="K5223" s="14" t="s">
        <v>398</v>
      </c>
      <c r="N5223" s="14" t="str">
        <f>IFERROR(__xludf.DUMMYFUNCTION("""COMPUTED_VALUE"""),"")</f>
        <v/>
      </c>
      <c r="O5223" s="14"/>
    </row>
    <row r="5224" ht="22.5" hidden="1" customHeight="1">
      <c r="A5224" s="8">
        <v>46217.37227137732</v>
      </c>
      <c r="B5224" s="14">
        <v>46217.0</v>
      </c>
      <c r="C5224" s="9" t="s">
        <v>110</v>
      </c>
      <c r="D5224" s="9" t="s">
        <v>175</v>
      </c>
      <c r="E5224" s="9" t="s">
        <v>17</v>
      </c>
      <c r="F5224" s="9" t="s">
        <v>17</v>
      </c>
      <c r="G5224" s="9">
        <v>7.0</v>
      </c>
      <c r="H5224" s="9" t="s">
        <v>25</v>
      </c>
      <c r="I5224" s="9" t="s">
        <v>207</v>
      </c>
      <c r="J5224" s="16">
        <v>0.8</v>
      </c>
      <c r="K5224" s="14" t="s">
        <v>398</v>
      </c>
      <c r="N5224" s="14" t="str">
        <f>IFERROR(__xludf.DUMMYFUNCTION("""COMPUTED_VALUE"""),"")</f>
        <v/>
      </c>
      <c r="O5224" s="14"/>
    </row>
    <row r="5225" ht="22.5" hidden="1" customHeight="1">
      <c r="A5225" s="8">
        <v>46217.37281020833</v>
      </c>
      <c r="B5225" s="14">
        <v>46217.0</v>
      </c>
      <c r="C5225" s="9" t="s">
        <v>110</v>
      </c>
      <c r="D5225" s="9" t="s">
        <v>105</v>
      </c>
      <c r="E5225" s="9" t="s">
        <v>17</v>
      </c>
      <c r="F5225" s="9" t="s">
        <v>17</v>
      </c>
      <c r="G5225" s="9">
        <v>8.0</v>
      </c>
      <c r="H5225" s="9" t="s">
        <v>22</v>
      </c>
      <c r="I5225" s="9" t="s">
        <v>20</v>
      </c>
      <c r="J5225" s="16">
        <v>0.8</v>
      </c>
      <c r="K5225" s="14" t="s">
        <v>398</v>
      </c>
      <c r="N5225" s="14" t="str">
        <f>IFERROR(__xludf.DUMMYFUNCTION("""COMPUTED_VALUE"""),"")</f>
        <v/>
      </c>
      <c r="O5225" s="14"/>
    </row>
    <row r="5226" ht="22.5" hidden="1" customHeight="1">
      <c r="A5226" s="8">
        <v>46217.37349534722</v>
      </c>
      <c r="B5226" s="14">
        <v>46217.0</v>
      </c>
      <c r="C5226" s="9" t="s">
        <v>110</v>
      </c>
      <c r="D5226" s="9" t="s">
        <v>177</v>
      </c>
      <c r="E5226" s="9" t="s">
        <v>17</v>
      </c>
      <c r="F5226" s="9" t="s">
        <v>17</v>
      </c>
      <c r="G5226" s="9">
        <v>7.0</v>
      </c>
      <c r="H5226" s="9" t="s">
        <v>22</v>
      </c>
      <c r="I5226" s="9" t="s">
        <v>20</v>
      </c>
      <c r="J5226" s="16">
        <v>0.8</v>
      </c>
      <c r="K5226" s="14" t="s">
        <v>398</v>
      </c>
      <c r="N5226" s="14" t="str">
        <f>IFERROR(__xludf.DUMMYFUNCTION("""COMPUTED_VALUE"""),"")</f>
        <v/>
      </c>
      <c r="O5226" s="14"/>
    </row>
    <row r="5227" ht="22.5" hidden="1" customHeight="1">
      <c r="A5227" s="8">
        <v>46217.37458762732</v>
      </c>
      <c r="B5227" s="14">
        <v>46217.0</v>
      </c>
      <c r="C5227" s="9" t="s">
        <v>110</v>
      </c>
      <c r="D5227" s="9" t="s">
        <v>259</v>
      </c>
      <c r="E5227" s="9" t="s">
        <v>46</v>
      </c>
      <c r="F5227" s="9" t="s">
        <v>17</v>
      </c>
      <c r="G5227" s="9">
        <v>7.0</v>
      </c>
      <c r="H5227" s="9" t="s">
        <v>22</v>
      </c>
      <c r="I5227" s="9" t="s">
        <v>20</v>
      </c>
      <c r="J5227" s="16">
        <v>0.8</v>
      </c>
      <c r="K5227" s="14" t="s">
        <v>398</v>
      </c>
      <c r="N5227" s="14" t="str">
        <f>IFERROR(__xludf.DUMMYFUNCTION("""COMPUTED_VALUE"""),"")</f>
        <v/>
      </c>
      <c r="O5227" s="14"/>
    </row>
    <row r="5228" ht="22.5" hidden="1" customHeight="1">
      <c r="A5228" s="8">
        <v>46217.3751743287</v>
      </c>
      <c r="B5228" s="14">
        <v>46217.0</v>
      </c>
      <c r="C5228" s="9" t="s">
        <v>110</v>
      </c>
      <c r="D5228" s="9" t="s">
        <v>394</v>
      </c>
      <c r="E5228" s="9" t="s">
        <v>17</v>
      </c>
      <c r="F5228" s="9" t="s">
        <v>17</v>
      </c>
      <c r="G5228" s="9">
        <v>7.0</v>
      </c>
      <c r="H5228" s="9" t="s">
        <v>22</v>
      </c>
      <c r="I5228" s="9" t="s">
        <v>20</v>
      </c>
      <c r="J5228" s="16">
        <v>1.0</v>
      </c>
      <c r="K5228" s="14" t="s">
        <v>398</v>
      </c>
      <c r="N5228" s="14" t="str">
        <f>IFERROR(__xludf.DUMMYFUNCTION("""COMPUTED_VALUE"""),"")</f>
        <v/>
      </c>
      <c r="O5228" s="14"/>
    </row>
    <row r="5229" ht="22.5" hidden="1" customHeight="1">
      <c r="A5229" s="8">
        <v>46217.3755262037</v>
      </c>
      <c r="B5229" s="14">
        <v>46217.0</v>
      </c>
      <c r="C5229" s="9" t="s">
        <v>110</v>
      </c>
      <c r="D5229" s="9" t="s">
        <v>210</v>
      </c>
      <c r="E5229" s="9" t="s">
        <v>17</v>
      </c>
      <c r="F5229" s="9" t="s">
        <v>17</v>
      </c>
      <c r="G5229" s="9">
        <v>7.0</v>
      </c>
      <c r="H5229" s="9" t="s">
        <v>22</v>
      </c>
      <c r="I5229" s="9" t="s">
        <v>20</v>
      </c>
      <c r="J5229" s="16">
        <v>0.8</v>
      </c>
      <c r="K5229" s="14" t="s">
        <v>398</v>
      </c>
      <c r="N5229" s="14" t="str">
        <f>IFERROR(__xludf.DUMMYFUNCTION("""COMPUTED_VALUE"""),"")</f>
        <v/>
      </c>
      <c r="O5229" s="14"/>
    </row>
    <row r="5230" ht="22.5" hidden="1" customHeight="1">
      <c r="A5230" s="8">
        <v>46217.375974675924</v>
      </c>
      <c r="B5230" s="14">
        <v>46217.0</v>
      </c>
      <c r="C5230" s="9" t="s">
        <v>110</v>
      </c>
      <c r="D5230" s="9" t="s">
        <v>247</v>
      </c>
      <c r="E5230" s="9" t="s">
        <v>61</v>
      </c>
      <c r="F5230" s="9" t="s">
        <v>17</v>
      </c>
      <c r="G5230" s="9">
        <v>7.0</v>
      </c>
      <c r="H5230" s="9" t="s">
        <v>22</v>
      </c>
      <c r="I5230" s="9" t="s">
        <v>20</v>
      </c>
      <c r="J5230" s="16">
        <v>0.6</v>
      </c>
      <c r="K5230" s="14" t="s">
        <v>398</v>
      </c>
      <c r="N5230" s="14" t="str">
        <f>IFERROR(__xludf.DUMMYFUNCTION("""COMPUTED_VALUE"""),"")</f>
        <v/>
      </c>
      <c r="O5230" s="14"/>
    </row>
    <row r="5231" ht="22.5" hidden="1" customHeight="1">
      <c r="A5231" s="8">
        <v>46217.37625246528</v>
      </c>
      <c r="B5231" s="14">
        <v>46217.0</v>
      </c>
      <c r="C5231" s="9" t="s">
        <v>110</v>
      </c>
      <c r="D5231" s="9" t="s">
        <v>249</v>
      </c>
      <c r="E5231" s="9" t="s">
        <v>17</v>
      </c>
      <c r="F5231" s="9" t="s">
        <v>17</v>
      </c>
      <c r="G5231" s="9" t="s">
        <v>409</v>
      </c>
      <c r="H5231" s="9" t="s">
        <v>22</v>
      </c>
      <c r="I5231" s="9" t="s">
        <v>20</v>
      </c>
      <c r="J5231" s="16">
        <v>0.8</v>
      </c>
      <c r="K5231" s="14" t="s">
        <v>398</v>
      </c>
      <c r="N5231" s="14" t="str">
        <f>IFERROR(__xludf.DUMMYFUNCTION("""COMPUTED_VALUE"""),"")</f>
        <v/>
      </c>
      <c r="O5231" s="14"/>
    </row>
    <row r="5232" ht="22.5" hidden="1" customHeight="1">
      <c r="A5232" s="8">
        <v>46217.376632175925</v>
      </c>
      <c r="B5232" s="14">
        <v>46217.0</v>
      </c>
      <c r="C5232" s="9" t="s">
        <v>110</v>
      </c>
      <c r="D5232" s="9" t="s">
        <v>367</v>
      </c>
      <c r="E5232" s="9" t="s">
        <v>17</v>
      </c>
      <c r="F5232" s="9" t="s">
        <v>17</v>
      </c>
      <c r="G5232" s="9" t="s">
        <v>409</v>
      </c>
      <c r="H5232" s="9" t="s">
        <v>25</v>
      </c>
      <c r="I5232" s="9" t="s">
        <v>41</v>
      </c>
      <c r="J5232" s="16">
        <v>0.8</v>
      </c>
      <c r="K5232" s="14" t="s">
        <v>398</v>
      </c>
      <c r="N5232" s="14" t="str">
        <f>IFERROR(__xludf.DUMMYFUNCTION("""COMPUTED_VALUE"""),"")</f>
        <v/>
      </c>
      <c r="O5232" s="14"/>
    </row>
    <row r="5233" ht="22.5" hidden="1" customHeight="1">
      <c r="A5233" s="8">
        <v>46217.37716800926</v>
      </c>
      <c r="B5233" s="14">
        <v>46217.0</v>
      </c>
      <c r="C5233" s="9" t="s">
        <v>110</v>
      </c>
      <c r="D5233" s="9" t="s">
        <v>395</v>
      </c>
      <c r="E5233" s="9" t="s">
        <v>17</v>
      </c>
      <c r="F5233" s="9" t="s">
        <v>17</v>
      </c>
      <c r="G5233" s="9">
        <v>7.0</v>
      </c>
      <c r="H5233" s="9" t="s">
        <v>25</v>
      </c>
      <c r="I5233" s="9" t="s">
        <v>137</v>
      </c>
      <c r="J5233" s="16">
        <v>0.8</v>
      </c>
      <c r="K5233" s="14" t="s">
        <v>398</v>
      </c>
      <c r="N5233" s="14" t="str">
        <f>IFERROR(__xludf.DUMMYFUNCTION("""COMPUTED_VALUE"""),"")</f>
        <v/>
      </c>
      <c r="O5233" s="14"/>
    </row>
    <row r="5234" ht="22.5" hidden="1" customHeight="1">
      <c r="A5234" s="8">
        <v>46217.37764844907</v>
      </c>
      <c r="B5234" s="14">
        <v>46217.0</v>
      </c>
      <c r="C5234" s="9" t="s">
        <v>110</v>
      </c>
      <c r="D5234" s="9" t="s">
        <v>393</v>
      </c>
      <c r="E5234" s="9" t="s">
        <v>61</v>
      </c>
      <c r="F5234" s="9" t="s">
        <v>60</v>
      </c>
      <c r="G5234" s="9">
        <v>6.0</v>
      </c>
      <c r="H5234" s="9" t="s">
        <v>25</v>
      </c>
      <c r="I5234" s="9" t="s">
        <v>93</v>
      </c>
      <c r="J5234" s="16">
        <v>0.6</v>
      </c>
      <c r="K5234" s="14" t="s">
        <v>398</v>
      </c>
      <c r="N5234" s="14" t="str">
        <f>IFERROR(__xludf.DUMMYFUNCTION("""COMPUTED_VALUE"""),"")</f>
        <v/>
      </c>
      <c r="O5234" s="14"/>
    </row>
    <row r="5235" ht="22.5" hidden="1" customHeight="1">
      <c r="A5235" s="8">
        <v>46217.378137175925</v>
      </c>
      <c r="B5235" s="14">
        <v>46217.0</v>
      </c>
      <c r="C5235" s="9" t="s">
        <v>110</v>
      </c>
      <c r="D5235" s="9" t="s">
        <v>413</v>
      </c>
      <c r="E5235" s="9" t="s">
        <v>17</v>
      </c>
      <c r="F5235" s="9" t="s">
        <v>17</v>
      </c>
      <c r="G5235" s="9">
        <v>8.0</v>
      </c>
      <c r="H5235" s="9" t="s">
        <v>22</v>
      </c>
      <c r="I5235" s="9" t="s">
        <v>20</v>
      </c>
      <c r="J5235" s="16">
        <v>0.8</v>
      </c>
      <c r="K5235" s="14" t="s">
        <v>398</v>
      </c>
      <c r="N5235" s="14" t="str">
        <f>IFERROR(__xludf.DUMMYFUNCTION("""COMPUTED_VALUE"""),"")</f>
        <v/>
      </c>
      <c r="O5235" s="14"/>
    </row>
    <row r="5236" ht="22.5" hidden="1" customHeight="1">
      <c r="A5236" s="8">
        <v>46217.37835642361</v>
      </c>
      <c r="B5236" s="14">
        <v>46217.0</v>
      </c>
      <c r="C5236" s="9" t="s">
        <v>110</v>
      </c>
      <c r="D5236" s="9" t="s">
        <v>414</v>
      </c>
      <c r="E5236" s="9" t="s">
        <v>17</v>
      </c>
      <c r="F5236" s="9" t="s">
        <v>17</v>
      </c>
      <c r="G5236" s="9">
        <v>7.0</v>
      </c>
      <c r="H5236" s="9" t="s">
        <v>22</v>
      </c>
      <c r="I5236" s="9" t="s">
        <v>20</v>
      </c>
      <c r="J5236" s="16">
        <v>0.8</v>
      </c>
      <c r="K5236" s="14" t="s">
        <v>398</v>
      </c>
      <c r="N5236" s="14" t="str">
        <f>IFERROR(__xludf.DUMMYFUNCTION("""COMPUTED_VALUE"""),"")</f>
        <v/>
      </c>
      <c r="O5236" s="14"/>
    </row>
    <row r="5237" ht="22.5" hidden="1" customHeight="1">
      <c r="A5237" s="8">
        <v>46217.378753819445</v>
      </c>
      <c r="B5237" s="14">
        <v>46217.0</v>
      </c>
      <c r="C5237" s="9" t="s">
        <v>110</v>
      </c>
      <c r="D5237" s="9" t="s">
        <v>441</v>
      </c>
      <c r="E5237" s="9" t="s">
        <v>46</v>
      </c>
      <c r="F5237" s="9" t="s">
        <v>39</v>
      </c>
      <c r="G5237" s="9">
        <v>6.0</v>
      </c>
      <c r="H5237" s="9" t="s">
        <v>25</v>
      </c>
      <c r="I5237" s="9" t="s">
        <v>67</v>
      </c>
      <c r="J5237" s="16">
        <v>0.8</v>
      </c>
      <c r="K5237" s="14" t="s">
        <v>398</v>
      </c>
      <c r="N5237" s="14" t="str">
        <f>IFERROR(__xludf.DUMMYFUNCTION("""COMPUTED_VALUE"""),"")</f>
        <v/>
      </c>
      <c r="O5237" s="14"/>
    </row>
    <row r="5238" ht="22.5" hidden="1" customHeight="1">
      <c r="A5238" s="8">
        <v>46217.37895109954</v>
      </c>
      <c r="B5238" s="14">
        <v>46217.0</v>
      </c>
      <c r="C5238" s="9" t="s">
        <v>110</v>
      </c>
      <c r="D5238" s="9" t="s">
        <v>421</v>
      </c>
      <c r="E5238" s="9" t="s">
        <v>17</v>
      </c>
      <c r="F5238" s="9" t="s">
        <v>17</v>
      </c>
      <c r="G5238" s="9">
        <v>7.0</v>
      </c>
      <c r="H5238" s="9" t="s">
        <v>22</v>
      </c>
      <c r="I5238" s="9" t="s">
        <v>20</v>
      </c>
      <c r="J5238" s="16">
        <v>0.8</v>
      </c>
      <c r="K5238" s="14" t="s">
        <v>398</v>
      </c>
      <c r="N5238" s="14" t="str">
        <f>IFERROR(__xludf.DUMMYFUNCTION("""COMPUTED_VALUE"""),"")</f>
        <v/>
      </c>
      <c r="O5238" s="14"/>
    </row>
    <row r="5239" ht="22.5" hidden="1" customHeight="1">
      <c r="A5239" s="8">
        <v>46217.37918989583</v>
      </c>
      <c r="B5239" s="14">
        <v>46217.0</v>
      </c>
      <c r="C5239" s="9" t="s">
        <v>110</v>
      </c>
      <c r="D5239" s="9" t="s">
        <v>442</v>
      </c>
      <c r="E5239" s="9" t="s">
        <v>17</v>
      </c>
      <c r="F5239" s="9" t="s">
        <v>17</v>
      </c>
      <c r="G5239" s="9">
        <v>7.0</v>
      </c>
      <c r="H5239" s="9" t="s">
        <v>22</v>
      </c>
      <c r="I5239" s="9" t="s">
        <v>20</v>
      </c>
      <c r="J5239" s="16">
        <v>0.8</v>
      </c>
      <c r="K5239" s="14" t="s">
        <v>398</v>
      </c>
      <c r="N5239" s="14" t="str">
        <f>IFERROR(__xludf.DUMMYFUNCTION("""COMPUTED_VALUE"""),"")</f>
        <v/>
      </c>
      <c r="O5239" s="14"/>
    </row>
    <row r="5240" ht="22.5" hidden="1" customHeight="1">
      <c r="A5240" s="8">
        <v>46217.379451319444</v>
      </c>
      <c r="B5240" s="14">
        <v>46217.0</v>
      </c>
      <c r="C5240" s="9" t="s">
        <v>110</v>
      </c>
      <c r="D5240" s="9" t="s">
        <v>357</v>
      </c>
      <c r="E5240" s="9" t="s">
        <v>17</v>
      </c>
      <c r="F5240" s="9" t="s">
        <v>17</v>
      </c>
      <c r="G5240" s="9">
        <v>7.0</v>
      </c>
      <c r="H5240" s="9" t="s">
        <v>22</v>
      </c>
      <c r="I5240" s="9" t="s">
        <v>20</v>
      </c>
      <c r="J5240" s="16">
        <v>0.8</v>
      </c>
      <c r="K5240" s="14" t="s">
        <v>398</v>
      </c>
      <c r="N5240" s="14" t="str">
        <f>IFERROR(__xludf.DUMMYFUNCTION("""COMPUTED_VALUE"""),"")</f>
        <v/>
      </c>
      <c r="O5240" s="14"/>
    </row>
    <row r="5241" ht="22.5" hidden="1" customHeight="1">
      <c r="A5241" s="8">
        <v>46217.37970689815</v>
      </c>
      <c r="B5241" s="14">
        <v>46217.0</v>
      </c>
      <c r="C5241" s="9" t="s">
        <v>110</v>
      </c>
      <c r="D5241" s="9" t="s">
        <v>408</v>
      </c>
      <c r="E5241" s="9" t="s">
        <v>17</v>
      </c>
      <c r="F5241" s="9" t="s">
        <v>17</v>
      </c>
      <c r="G5241" s="9">
        <v>7.0</v>
      </c>
      <c r="H5241" s="9" t="s">
        <v>22</v>
      </c>
      <c r="I5241" s="9" t="s">
        <v>20</v>
      </c>
      <c r="J5241" s="16">
        <v>0.8</v>
      </c>
      <c r="K5241" s="14" t="s">
        <v>398</v>
      </c>
      <c r="N5241" s="14" t="str">
        <f>IFERROR(__xludf.DUMMYFUNCTION("""COMPUTED_VALUE"""),"")</f>
        <v/>
      </c>
      <c r="O5241" s="14"/>
    </row>
    <row r="5242" ht="22.5" hidden="1" customHeight="1">
      <c r="A5242" s="8">
        <v>46217.38002672454</v>
      </c>
      <c r="B5242" s="14">
        <v>46217.0</v>
      </c>
      <c r="C5242" s="9" t="s">
        <v>110</v>
      </c>
      <c r="D5242" s="9" t="s">
        <v>335</v>
      </c>
      <c r="E5242" s="9" t="s">
        <v>17</v>
      </c>
      <c r="F5242" s="9" t="s">
        <v>17</v>
      </c>
      <c r="G5242" s="9">
        <v>8.0</v>
      </c>
      <c r="H5242" s="9" t="s">
        <v>22</v>
      </c>
      <c r="I5242" s="9" t="s">
        <v>20</v>
      </c>
      <c r="J5242" s="16">
        <v>0.8</v>
      </c>
      <c r="K5242" s="14" t="s">
        <v>398</v>
      </c>
      <c r="N5242" s="14" t="str">
        <f>IFERROR(__xludf.DUMMYFUNCTION("""COMPUTED_VALUE"""),"")</f>
        <v/>
      </c>
      <c r="O5242" s="14"/>
    </row>
    <row r="5243" ht="22.5" hidden="1" customHeight="1">
      <c r="A5243" s="8">
        <v>46217.38033219907</v>
      </c>
      <c r="B5243" s="14">
        <v>46217.0</v>
      </c>
      <c r="C5243" s="9" t="s">
        <v>110</v>
      </c>
      <c r="D5243" s="9" t="s">
        <v>178</v>
      </c>
      <c r="E5243" s="9" t="s">
        <v>17</v>
      </c>
      <c r="F5243" s="9" t="s">
        <v>17</v>
      </c>
      <c r="G5243" s="9">
        <v>7.0</v>
      </c>
      <c r="H5243" s="9" t="s">
        <v>22</v>
      </c>
      <c r="I5243" s="9" t="s">
        <v>20</v>
      </c>
      <c r="J5243" s="16">
        <v>0.8</v>
      </c>
      <c r="K5243" s="14" t="s">
        <v>398</v>
      </c>
      <c r="N5243" s="14" t="str">
        <f>IFERROR(__xludf.DUMMYFUNCTION("""COMPUTED_VALUE"""),"")</f>
        <v/>
      </c>
      <c r="O5243" s="14"/>
    </row>
    <row r="5244" ht="22.5" hidden="1" customHeight="1">
      <c r="A5244" s="8">
        <v>46217.3806193287</v>
      </c>
      <c r="B5244" s="14">
        <v>46217.0</v>
      </c>
      <c r="C5244" s="9" t="s">
        <v>110</v>
      </c>
      <c r="D5244" s="9" t="s">
        <v>171</v>
      </c>
      <c r="E5244" s="9" t="s">
        <v>17</v>
      </c>
      <c r="F5244" s="9" t="s">
        <v>17</v>
      </c>
      <c r="G5244" s="9">
        <v>7.0</v>
      </c>
      <c r="H5244" s="9" t="s">
        <v>22</v>
      </c>
      <c r="I5244" s="9" t="s">
        <v>20</v>
      </c>
      <c r="J5244" s="16">
        <v>0.8</v>
      </c>
      <c r="K5244" s="14" t="s">
        <v>398</v>
      </c>
      <c r="N5244" s="14" t="str">
        <f>IFERROR(__xludf.DUMMYFUNCTION("""COMPUTED_VALUE"""),"")</f>
        <v/>
      </c>
      <c r="O5244" s="14"/>
    </row>
    <row r="5245" ht="22.5" hidden="1" customHeight="1">
      <c r="A5245" s="8">
        <v>46217.3808309375</v>
      </c>
      <c r="B5245" s="14">
        <v>46217.0</v>
      </c>
      <c r="C5245" s="9" t="s">
        <v>110</v>
      </c>
      <c r="D5245" s="9" t="s">
        <v>396</v>
      </c>
      <c r="E5245" s="9" t="s">
        <v>17</v>
      </c>
      <c r="F5245" s="9" t="s">
        <v>17</v>
      </c>
      <c r="G5245" s="9">
        <v>7.0</v>
      </c>
      <c r="H5245" s="9" t="s">
        <v>22</v>
      </c>
      <c r="I5245" s="9" t="s">
        <v>20</v>
      </c>
      <c r="J5245" s="16">
        <v>0.8</v>
      </c>
      <c r="K5245" s="14" t="s">
        <v>398</v>
      </c>
      <c r="N5245" s="14" t="str">
        <f>IFERROR(__xludf.DUMMYFUNCTION("""COMPUTED_VALUE"""),"")</f>
        <v/>
      </c>
      <c r="O5245" s="14"/>
    </row>
    <row r="5246" ht="22.5" hidden="1" customHeight="1">
      <c r="A5246" s="8">
        <v>46218.66719703704</v>
      </c>
      <c r="B5246" s="14">
        <v>46218.0</v>
      </c>
      <c r="C5246" s="9" t="s">
        <v>15</v>
      </c>
      <c r="D5246" s="9" t="s">
        <v>448</v>
      </c>
      <c r="E5246" s="9" t="s">
        <v>44</v>
      </c>
      <c r="F5246" s="9" t="s">
        <v>17</v>
      </c>
      <c r="G5246" s="9">
        <v>8.0</v>
      </c>
      <c r="H5246" s="9" t="s">
        <v>17</v>
      </c>
      <c r="I5246" s="9" t="s">
        <v>20</v>
      </c>
      <c r="J5246" s="16">
        <v>0.8</v>
      </c>
      <c r="K5246" s="14" t="s">
        <v>398</v>
      </c>
      <c r="N5246" s="14" t="str">
        <f>IFERROR(__xludf.DUMMYFUNCTION("""COMPUTED_VALUE"""),"")</f>
        <v/>
      </c>
      <c r="O5246" s="14"/>
    </row>
    <row r="5247" ht="22.5" hidden="1" customHeight="1">
      <c r="A5247" s="8">
        <v>46218.68691092593</v>
      </c>
      <c r="B5247" s="14">
        <v>46218.0</v>
      </c>
      <c r="C5247" s="9" t="s">
        <v>15</v>
      </c>
      <c r="D5247" s="9" t="s">
        <v>105</v>
      </c>
      <c r="E5247" s="9" t="s">
        <v>17</v>
      </c>
      <c r="F5247" s="9" t="s">
        <v>17</v>
      </c>
      <c r="G5247" s="9">
        <v>7.0</v>
      </c>
      <c r="H5247" s="9" t="s">
        <v>22</v>
      </c>
      <c r="I5247" s="9" t="s">
        <v>20</v>
      </c>
      <c r="J5247" s="16">
        <v>0.8</v>
      </c>
      <c r="K5247" s="14">
        <v>2.0</v>
      </c>
      <c r="N5247" s="14" t="str">
        <f>IFERROR(__xludf.DUMMYFUNCTION("""COMPUTED_VALUE"""),"")</f>
        <v/>
      </c>
      <c r="O5247" s="14"/>
    </row>
    <row r="5248" ht="22.5" hidden="1" customHeight="1">
      <c r="A5248" s="8">
        <v>46218.68831986111</v>
      </c>
      <c r="B5248" s="14">
        <v>46218.0</v>
      </c>
      <c r="C5248" s="9" t="s">
        <v>15</v>
      </c>
      <c r="D5248" s="9" t="s">
        <v>177</v>
      </c>
      <c r="E5248" s="9" t="s">
        <v>17</v>
      </c>
      <c r="F5248" s="9" t="s">
        <v>17</v>
      </c>
      <c r="G5248" s="9">
        <v>7.0</v>
      </c>
      <c r="H5248" s="9" t="s">
        <v>22</v>
      </c>
      <c r="I5248" s="9" t="s">
        <v>20</v>
      </c>
      <c r="J5248" s="16">
        <v>0.8</v>
      </c>
      <c r="K5248" s="14">
        <v>4.0</v>
      </c>
      <c r="N5248" s="14" t="str">
        <f>IFERROR(__xludf.DUMMYFUNCTION("""COMPUTED_VALUE"""),"")</f>
        <v/>
      </c>
      <c r="O5248" s="14"/>
    </row>
    <row r="5249" ht="22.5" hidden="1" customHeight="1">
      <c r="A5249" s="8">
        <v>46218.68972574074</v>
      </c>
      <c r="B5249" s="14">
        <v>46218.0</v>
      </c>
      <c r="C5249" s="9" t="s">
        <v>15</v>
      </c>
      <c r="D5249" s="9" t="s">
        <v>396</v>
      </c>
      <c r="E5249" s="9" t="s">
        <v>17</v>
      </c>
      <c r="F5249" s="9" t="s">
        <v>17</v>
      </c>
      <c r="G5249" s="9">
        <v>7.0</v>
      </c>
      <c r="H5249" s="9" t="s">
        <v>22</v>
      </c>
      <c r="I5249" s="9" t="s">
        <v>20</v>
      </c>
      <c r="J5249" s="16">
        <v>0.8</v>
      </c>
      <c r="K5249" s="14">
        <v>5.0</v>
      </c>
      <c r="N5249" s="14" t="str">
        <f>IFERROR(__xludf.DUMMYFUNCTION("""COMPUTED_VALUE"""),"")</f>
        <v/>
      </c>
      <c r="O5249" s="14"/>
    </row>
    <row r="5250" ht="22.5" hidden="1" customHeight="1">
      <c r="A5250" s="8">
        <v>46218.69548012731</v>
      </c>
      <c r="B5250" s="14">
        <v>46218.0</v>
      </c>
      <c r="C5250" s="9" t="s">
        <v>15</v>
      </c>
      <c r="D5250" s="9" t="s">
        <v>249</v>
      </c>
      <c r="E5250" s="9" t="s">
        <v>30</v>
      </c>
      <c r="F5250" s="9" t="s">
        <v>35</v>
      </c>
      <c r="G5250" s="9">
        <v>8.0</v>
      </c>
      <c r="H5250" s="9" t="s">
        <v>22</v>
      </c>
      <c r="I5250" s="9" t="s">
        <v>20</v>
      </c>
      <c r="J5250" s="16">
        <v>1.0</v>
      </c>
      <c r="K5250" s="14">
        <v>6.0</v>
      </c>
      <c r="N5250" s="14" t="str">
        <f>IFERROR(__xludf.DUMMYFUNCTION("""COMPUTED_VALUE"""),"")</f>
        <v/>
      </c>
      <c r="O5250" s="14"/>
    </row>
    <row r="5251" ht="22.5" hidden="1" customHeight="1">
      <c r="A5251" s="8">
        <v>46218.71297114583</v>
      </c>
      <c r="B5251" s="14">
        <v>46218.0</v>
      </c>
      <c r="C5251" s="9" t="s">
        <v>15</v>
      </c>
      <c r="D5251" s="9" t="s">
        <v>423</v>
      </c>
      <c r="E5251" s="9" t="s">
        <v>46</v>
      </c>
      <c r="F5251" s="9" t="s">
        <v>60</v>
      </c>
      <c r="G5251" s="9" t="s">
        <v>410</v>
      </c>
      <c r="H5251" s="9" t="s">
        <v>17</v>
      </c>
      <c r="I5251" s="9" t="s">
        <v>20</v>
      </c>
      <c r="J5251" s="16">
        <v>0.6</v>
      </c>
      <c r="K5251" s="14" t="s">
        <v>398</v>
      </c>
      <c r="N5251" s="14" t="str">
        <f>IFERROR(__xludf.DUMMYFUNCTION("""COMPUTED_VALUE"""),"")</f>
        <v/>
      </c>
      <c r="O5251" s="14"/>
    </row>
    <row r="5252" ht="22.5" hidden="1" customHeight="1">
      <c r="A5252" s="8">
        <v>46218.71607228009</v>
      </c>
      <c r="B5252" s="14">
        <v>46218.0</v>
      </c>
      <c r="C5252" s="9" t="s">
        <v>15</v>
      </c>
      <c r="D5252" s="9" t="s">
        <v>171</v>
      </c>
      <c r="E5252" s="9" t="s">
        <v>46</v>
      </c>
      <c r="F5252" s="9" t="s">
        <v>43</v>
      </c>
      <c r="G5252" s="9">
        <v>8.0</v>
      </c>
      <c r="H5252" s="9" t="s">
        <v>25</v>
      </c>
      <c r="I5252" s="9" t="s">
        <v>34</v>
      </c>
      <c r="J5252" s="16">
        <v>0.6</v>
      </c>
      <c r="K5252" s="14">
        <v>7.0</v>
      </c>
      <c r="N5252" s="14" t="str">
        <f>IFERROR(__xludf.DUMMYFUNCTION("""COMPUTED_VALUE"""),"")</f>
        <v/>
      </c>
      <c r="O5252" s="14"/>
    </row>
    <row r="5253" ht="22.5" hidden="1" customHeight="1">
      <c r="A5253" s="8">
        <v>46218.71999809028</v>
      </c>
      <c r="B5253" s="14">
        <v>46218.0</v>
      </c>
      <c r="C5253" s="9" t="s">
        <v>15</v>
      </c>
      <c r="D5253" s="9" t="s">
        <v>395</v>
      </c>
      <c r="E5253" s="9" t="s">
        <v>17</v>
      </c>
      <c r="F5253" s="9" t="s">
        <v>35</v>
      </c>
      <c r="G5253" s="9" t="s">
        <v>409</v>
      </c>
      <c r="H5253" s="9" t="s">
        <v>25</v>
      </c>
      <c r="I5253" s="9" t="s">
        <v>137</v>
      </c>
      <c r="J5253" s="16">
        <v>0.8</v>
      </c>
      <c r="K5253" s="14">
        <v>4.0</v>
      </c>
      <c r="N5253" s="14" t="str">
        <f>IFERROR(__xludf.DUMMYFUNCTION("""COMPUTED_VALUE"""),"")</f>
        <v/>
      </c>
      <c r="O5253" s="14"/>
    </row>
    <row r="5254" ht="22.5" hidden="1" customHeight="1">
      <c r="A5254" s="8">
        <v>46218.72063005787</v>
      </c>
      <c r="B5254" s="14">
        <v>46218.0</v>
      </c>
      <c r="C5254" s="9" t="s">
        <v>15</v>
      </c>
      <c r="D5254" s="9" t="s">
        <v>247</v>
      </c>
      <c r="E5254" s="9" t="s">
        <v>44</v>
      </c>
      <c r="F5254" s="9" t="s">
        <v>35</v>
      </c>
      <c r="G5254" s="9" t="s">
        <v>409</v>
      </c>
      <c r="H5254" s="9" t="s">
        <v>22</v>
      </c>
      <c r="I5254" s="9" t="s">
        <v>20</v>
      </c>
      <c r="J5254" s="16">
        <v>0.8</v>
      </c>
      <c r="K5254" s="14">
        <v>7.0</v>
      </c>
      <c r="N5254" s="14" t="str">
        <f>IFERROR(__xludf.DUMMYFUNCTION("""COMPUTED_VALUE"""),"")</f>
        <v/>
      </c>
      <c r="O5254" s="14"/>
    </row>
    <row r="5255" ht="22.5" hidden="1" customHeight="1">
      <c r="A5255" s="8">
        <v>46218.72113982639</v>
      </c>
      <c r="B5255" s="14">
        <v>46218.0</v>
      </c>
      <c r="C5255" s="9" t="s">
        <v>15</v>
      </c>
      <c r="D5255" s="9" t="s">
        <v>441</v>
      </c>
      <c r="E5255" s="9" t="s">
        <v>44</v>
      </c>
      <c r="F5255" s="9" t="s">
        <v>35</v>
      </c>
      <c r="G5255" s="9" t="s">
        <v>409</v>
      </c>
      <c r="H5255" s="9" t="s">
        <v>22</v>
      </c>
      <c r="I5255" s="9" t="s">
        <v>20</v>
      </c>
      <c r="J5255" s="16">
        <v>0.8</v>
      </c>
      <c r="K5255" s="14">
        <v>4.0</v>
      </c>
      <c r="N5255" s="14" t="str">
        <f>IFERROR(__xludf.DUMMYFUNCTION("""COMPUTED_VALUE"""),"")</f>
        <v/>
      </c>
      <c r="O5255" s="14"/>
    </row>
    <row r="5256" ht="22.5" hidden="1" customHeight="1">
      <c r="A5256" s="8">
        <v>46218.72210438657</v>
      </c>
      <c r="B5256" s="14">
        <v>46218.0</v>
      </c>
      <c r="C5256" s="9" t="s">
        <v>15</v>
      </c>
      <c r="D5256" s="9" t="s">
        <v>413</v>
      </c>
      <c r="E5256" s="9" t="s">
        <v>30</v>
      </c>
      <c r="F5256" s="9" t="s">
        <v>18</v>
      </c>
      <c r="G5256" s="9">
        <v>8.0</v>
      </c>
      <c r="H5256" s="9" t="s">
        <v>22</v>
      </c>
      <c r="I5256" s="9" t="s">
        <v>20</v>
      </c>
      <c r="J5256" s="16">
        <v>0.8</v>
      </c>
      <c r="K5256" s="14">
        <v>4.0</v>
      </c>
      <c r="N5256" s="14" t="str">
        <f>IFERROR(__xludf.DUMMYFUNCTION("""COMPUTED_VALUE"""),"")</f>
        <v/>
      </c>
      <c r="O5256" s="14"/>
    </row>
    <row r="5257" ht="22.5" hidden="1" customHeight="1">
      <c r="A5257" s="8">
        <v>46218.72323565972</v>
      </c>
      <c r="B5257" s="14">
        <v>46218.0</v>
      </c>
      <c r="C5257" s="9" t="s">
        <v>15</v>
      </c>
      <c r="D5257" s="9" t="s">
        <v>175</v>
      </c>
      <c r="E5257" s="9" t="s">
        <v>46</v>
      </c>
      <c r="F5257" s="9" t="s">
        <v>17</v>
      </c>
      <c r="G5257" s="9">
        <v>8.0</v>
      </c>
      <c r="H5257" s="9" t="s">
        <v>25</v>
      </c>
      <c r="I5257" s="9" t="s">
        <v>207</v>
      </c>
      <c r="J5257" s="16">
        <v>0.8</v>
      </c>
      <c r="K5257" s="14">
        <v>7.0</v>
      </c>
      <c r="N5257" s="14" t="str">
        <f>IFERROR(__xludf.DUMMYFUNCTION("""COMPUTED_VALUE"""),"")</f>
        <v/>
      </c>
      <c r="O5257" s="14"/>
    </row>
    <row r="5258" ht="22.5" hidden="1" customHeight="1">
      <c r="A5258" s="8">
        <v>46218.72360025463</v>
      </c>
      <c r="B5258" s="14">
        <v>46218.0</v>
      </c>
      <c r="C5258" s="9" t="s">
        <v>15</v>
      </c>
      <c r="D5258" s="9" t="s">
        <v>335</v>
      </c>
      <c r="E5258" s="9" t="s">
        <v>17</v>
      </c>
      <c r="F5258" s="9" t="s">
        <v>17</v>
      </c>
      <c r="G5258" s="9">
        <v>8.0</v>
      </c>
      <c r="H5258" s="9" t="s">
        <v>22</v>
      </c>
      <c r="I5258" s="9" t="s">
        <v>20</v>
      </c>
      <c r="J5258" s="16">
        <v>0.8</v>
      </c>
      <c r="K5258" s="14" t="s">
        <v>398</v>
      </c>
      <c r="N5258" s="14" t="str">
        <f>IFERROR(__xludf.DUMMYFUNCTION("""COMPUTED_VALUE"""),"")</f>
        <v/>
      </c>
      <c r="O5258" s="14"/>
    </row>
    <row r="5259" ht="22.5" hidden="1" customHeight="1">
      <c r="A5259" s="8">
        <v>46218.7241655324</v>
      </c>
      <c r="B5259" s="14">
        <v>46218.0</v>
      </c>
      <c r="C5259" s="9" t="s">
        <v>15</v>
      </c>
      <c r="D5259" s="9" t="s">
        <v>178</v>
      </c>
      <c r="E5259" s="9" t="s">
        <v>46</v>
      </c>
      <c r="F5259" s="9" t="s">
        <v>60</v>
      </c>
      <c r="G5259" s="9">
        <v>8.0</v>
      </c>
      <c r="H5259" s="9" t="s">
        <v>25</v>
      </c>
      <c r="I5259" s="9" t="s">
        <v>37</v>
      </c>
      <c r="J5259" s="16">
        <v>0.4</v>
      </c>
      <c r="K5259" s="14">
        <v>6.0</v>
      </c>
      <c r="N5259" s="14" t="str">
        <f>IFERROR(__xludf.DUMMYFUNCTION("""COMPUTED_VALUE"""),"")</f>
        <v/>
      </c>
      <c r="O5259" s="14"/>
    </row>
    <row r="5260" ht="22.5" hidden="1" customHeight="1">
      <c r="A5260" s="8">
        <v>46218.72462143518</v>
      </c>
      <c r="B5260" s="14">
        <v>46218.0</v>
      </c>
      <c r="C5260" s="9" t="s">
        <v>15</v>
      </c>
      <c r="D5260" s="9" t="s">
        <v>174</v>
      </c>
      <c r="E5260" s="9" t="s">
        <v>44</v>
      </c>
      <c r="F5260" s="9" t="s">
        <v>35</v>
      </c>
      <c r="G5260" s="9" t="s">
        <v>409</v>
      </c>
      <c r="H5260" s="9" t="s">
        <v>25</v>
      </c>
      <c r="I5260" s="9" t="s">
        <v>218</v>
      </c>
      <c r="J5260" s="16">
        <v>0.8</v>
      </c>
      <c r="K5260" s="14">
        <v>3.0</v>
      </c>
      <c r="N5260" s="14" t="str">
        <f>IFERROR(__xludf.DUMMYFUNCTION("""COMPUTED_VALUE"""),"")</f>
        <v/>
      </c>
      <c r="O5260" s="14"/>
    </row>
    <row r="5261" ht="22.5" hidden="1" customHeight="1">
      <c r="A5261" s="8">
        <v>46218.72759427084</v>
      </c>
      <c r="B5261" s="14">
        <v>46218.0</v>
      </c>
      <c r="C5261" s="9" t="s">
        <v>15</v>
      </c>
      <c r="D5261" s="9" t="s">
        <v>210</v>
      </c>
      <c r="E5261" s="9" t="s">
        <v>44</v>
      </c>
      <c r="F5261" s="9" t="s">
        <v>35</v>
      </c>
      <c r="G5261" s="9" t="s">
        <v>409</v>
      </c>
      <c r="H5261" s="9" t="s">
        <v>22</v>
      </c>
      <c r="I5261" s="9" t="s">
        <v>20</v>
      </c>
      <c r="J5261" s="16">
        <v>0.8</v>
      </c>
      <c r="K5261" s="14">
        <v>6.0</v>
      </c>
      <c r="N5261" s="14" t="str">
        <f>IFERROR(__xludf.DUMMYFUNCTION("""COMPUTED_VALUE"""),"")</f>
        <v/>
      </c>
      <c r="O5261" s="14"/>
    </row>
    <row r="5262" ht="22.5" hidden="1" customHeight="1">
      <c r="A5262" s="8">
        <v>46218.72805609954</v>
      </c>
      <c r="B5262" s="14">
        <v>46218.0</v>
      </c>
      <c r="C5262" s="9" t="s">
        <v>15</v>
      </c>
      <c r="D5262" s="9" t="s">
        <v>259</v>
      </c>
      <c r="E5262" s="9" t="s">
        <v>46</v>
      </c>
      <c r="F5262" s="9" t="s">
        <v>18</v>
      </c>
      <c r="G5262" s="9" t="s">
        <v>409</v>
      </c>
      <c r="H5262" s="9" t="s">
        <v>22</v>
      </c>
      <c r="I5262" s="9" t="s">
        <v>20</v>
      </c>
      <c r="J5262" s="16">
        <v>0.6</v>
      </c>
      <c r="K5262" s="14">
        <v>4.0</v>
      </c>
      <c r="N5262" s="14" t="str">
        <f>IFERROR(__xludf.DUMMYFUNCTION("""COMPUTED_VALUE"""),"")</f>
        <v/>
      </c>
      <c r="O5262" s="14"/>
    </row>
    <row r="5263" ht="22.5" hidden="1" customHeight="1">
      <c r="A5263" s="8">
        <v>46218.72884747685</v>
      </c>
      <c r="B5263" s="14">
        <v>46218.0</v>
      </c>
      <c r="C5263" s="9" t="s">
        <v>15</v>
      </c>
      <c r="D5263" s="9" t="s">
        <v>357</v>
      </c>
      <c r="E5263" s="9" t="s">
        <v>17</v>
      </c>
      <c r="F5263" s="9" t="s">
        <v>18</v>
      </c>
      <c r="G5263" s="9" t="s">
        <v>409</v>
      </c>
      <c r="H5263" s="9" t="s">
        <v>22</v>
      </c>
      <c r="I5263" s="9" t="s">
        <v>20</v>
      </c>
      <c r="J5263" s="16">
        <v>0.8</v>
      </c>
      <c r="K5263" s="14">
        <v>4.0</v>
      </c>
      <c r="N5263" s="14" t="str">
        <f>IFERROR(__xludf.DUMMYFUNCTION("""COMPUTED_VALUE"""),"")</f>
        <v/>
      </c>
      <c r="O5263" s="14"/>
    </row>
    <row r="5264" ht="22.5" hidden="1" customHeight="1">
      <c r="A5264" s="8">
        <v>46218.729327256944</v>
      </c>
      <c r="B5264" s="14">
        <v>46218.0</v>
      </c>
      <c r="C5264" s="9" t="s">
        <v>15</v>
      </c>
      <c r="D5264" s="9" t="s">
        <v>393</v>
      </c>
      <c r="E5264" s="9" t="s">
        <v>17</v>
      </c>
      <c r="F5264" s="9" t="s">
        <v>17</v>
      </c>
      <c r="G5264" s="9">
        <v>7.0</v>
      </c>
      <c r="H5264" s="9" t="s">
        <v>22</v>
      </c>
      <c r="I5264" s="9" t="s">
        <v>20</v>
      </c>
      <c r="J5264" s="16">
        <v>0.8</v>
      </c>
      <c r="K5264" s="14">
        <v>3.0</v>
      </c>
      <c r="N5264" s="14" t="str">
        <f>IFERROR(__xludf.DUMMYFUNCTION("""COMPUTED_VALUE"""),"")</f>
        <v/>
      </c>
      <c r="O5264" s="14"/>
    </row>
    <row r="5265" ht="22.5" hidden="1" customHeight="1">
      <c r="A5265" s="8">
        <v>46218.72961077547</v>
      </c>
      <c r="B5265" s="14">
        <v>46218.0</v>
      </c>
      <c r="C5265" s="9" t="s">
        <v>15</v>
      </c>
      <c r="D5265" s="9" t="s">
        <v>369</v>
      </c>
      <c r="E5265" s="9" t="s">
        <v>17</v>
      </c>
      <c r="F5265" s="9" t="s">
        <v>17</v>
      </c>
      <c r="G5265" s="9">
        <v>8.0</v>
      </c>
      <c r="H5265" s="9" t="s">
        <v>22</v>
      </c>
      <c r="I5265" s="9" t="s">
        <v>20</v>
      </c>
      <c r="J5265" s="16">
        <v>0.8</v>
      </c>
      <c r="K5265" s="14">
        <v>4.0</v>
      </c>
      <c r="N5265" s="14" t="str">
        <f>IFERROR(__xludf.DUMMYFUNCTION("""COMPUTED_VALUE"""),"")</f>
        <v/>
      </c>
      <c r="O5265" s="14"/>
    </row>
    <row r="5266" ht="22.5" hidden="1" customHeight="1">
      <c r="A5266" s="8">
        <v>46218.73034040509</v>
      </c>
      <c r="B5266" s="14">
        <v>46218.0</v>
      </c>
      <c r="C5266" s="9" t="s">
        <v>15</v>
      </c>
      <c r="D5266" s="9" t="s">
        <v>442</v>
      </c>
      <c r="E5266" s="9" t="s">
        <v>30</v>
      </c>
      <c r="F5266" s="9" t="s">
        <v>17</v>
      </c>
      <c r="G5266" s="9" t="s">
        <v>409</v>
      </c>
      <c r="H5266" s="9" t="s">
        <v>22</v>
      </c>
      <c r="I5266" s="9" t="s">
        <v>20</v>
      </c>
      <c r="J5266" s="16">
        <v>0.8</v>
      </c>
      <c r="K5266" s="14">
        <v>5.0</v>
      </c>
      <c r="N5266" s="14" t="str">
        <f>IFERROR(__xludf.DUMMYFUNCTION("""COMPUTED_VALUE"""),"")</f>
        <v/>
      </c>
      <c r="O5266" s="14"/>
    </row>
    <row r="5267" ht="22.5" hidden="1" customHeight="1">
      <c r="A5267" s="8">
        <v>46218.73077702546</v>
      </c>
      <c r="B5267" s="14">
        <v>46218.0</v>
      </c>
      <c r="C5267" s="9" t="s">
        <v>15</v>
      </c>
      <c r="D5267" s="9" t="s">
        <v>413</v>
      </c>
      <c r="E5267" s="9" t="s">
        <v>30</v>
      </c>
      <c r="F5267" s="9" t="s">
        <v>35</v>
      </c>
      <c r="G5267" s="9">
        <v>8.0</v>
      </c>
      <c r="H5267" s="9" t="s">
        <v>22</v>
      </c>
      <c r="I5267" s="9" t="s">
        <v>20</v>
      </c>
      <c r="J5267" s="16">
        <v>0.8</v>
      </c>
      <c r="K5267" s="14">
        <v>4.0</v>
      </c>
      <c r="N5267" s="14" t="str">
        <f>IFERROR(__xludf.DUMMYFUNCTION("""COMPUTED_VALUE"""),"")</f>
        <v/>
      </c>
      <c r="O5267" s="14"/>
    </row>
    <row r="5268" ht="22.5" hidden="1" customHeight="1">
      <c r="A5268" s="8">
        <v>46218.731111597226</v>
      </c>
      <c r="B5268" s="14">
        <v>46218.0</v>
      </c>
      <c r="C5268" s="9" t="s">
        <v>15</v>
      </c>
      <c r="D5268" s="9" t="s">
        <v>414</v>
      </c>
      <c r="E5268" s="9" t="s">
        <v>17</v>
      </c>
      <c r="F5268" s="9" t="s">
        <v>17</v>
      </c>
      <c r="G5268" s="9">
        <v>7.0</v>
      </c>
      <c r="H5268" s="9" t="s">
        <v>22</v>
      </c>
      <c r="I5268" s="9" t="s">
        <v>20</v>
      </c>
      <c r="J5268" s="16">
        <v>0.8</v>
      </c>
      <c r="K5268" s="14">
        <v>2.0</v>
      </c>
      <c r="N5268" s="14" t="str">
        <f>IFERROR(__xludf.DUMMYFUNCTION("""COMPUTED_VALUE"""),"")</f>
        <v/>
      </c>
      <c r="O5268" s="14"/>
    </row>
    <row r="5269" ht="22.5" hidden="1" customHeight="1">
      <c r="A5269" s="8">
        <v>46218.73266219907</v>
      </c>
      <c r="B5269" s="14">
        <v>46218.0</v>
      </c>
      <c r="C5269" s="9" t="s">
        <v>15</v>
      </c>
      <c r="D5269" s="9" t="s">
        <v>367</v>
      </c>
      <c r="E5269" s="9" t="s">
        <v>140</v>
      </c>
      <c r="F5269" s="9" t="s">
        <v>60</v>
      </c>
      <c r="G5269" s="9" t="s">
        <v>410</v>
      </c>
      <c r="H5269" s="9" t="s">
        <v>25</v>
      </c>
      <c r="I5269" s="9" t="s">
        <v>368</v>
      </c>
      <c r="J5269" s="16">
        <v>0.2</v>
      </c>
      <c r="K5269" s="14">
        <v>6.0</v>
      </c>
      <c r="N5269" s="14" t="str">
        <f>IFERROR(__xludf.DUMMYFUNCTION("""COMPUTED_VALUE"""),"")</f>
        <v/>
      </c>
      <c r="O5269" s="14"/>
    </row>
    <row r="5270" ht="22.5" hidden="1" customHeight="1">
      <c r="A5270" s="8">
        <v>46219.344679953705</v>
      </c>
      <c r="B5270" s="14">
        <v>46219.0</v>
      </c>
      <c r="C5270" s="9" t="s">
        <v>31</v>
      </c>
      <c r="D5270" s="9" t="s">
        <v>394</v>
      </c>
      <c r="E5270" s="9" t="s">
        <v>17</v>
      </c>
      <c r="F5270" s="9" t="s">
        <v>17</v>
      </c>
      <c r="G5270" s="9">
        <v>7.0</v>
      </c>
      <c r="H5270" s="9" t="s">
        <v>17</v>
      </c>
      <c r="I5270" s="9" t="s">
        <v>20</v>
      </c>
      <c r="J5270" s="16">
        <v>0.8</v>
      </c>
      <c r="K5270" s="14" t="s">
        <v>398</v>
      </c>
      <c r="N5270" s="14" t="str">
        <f>IFERROR(__xludf.DUMMYFUNCTION("""COMPUTED_VALUE"""),"")</f>
        <v/>
      </c>
      <c r="O5270" s="14"/>
    </row>
    <row r="5271" ht="22.5" hidden="1" customHeight="1">
      <c r="A5271" s="8">
        <v>46219.345678576385</v>
      </c>
      <c r="B5271" s="14">
        <v>46219.0</v>
      </c>
      <c r="C5271" s="9" t="s">
        <v>31</v>
      </c>
      <c r="D5271" s="9" t="s">
        <v>174</v>
      </c>
      <c r="E5271" s="9" t="s">
        <v>17</v>
      </c>
      <c r="F5271" s="9" t="s">
        <v>17</v>
      </c>
      <c r="G5271" s="9">
        <v>7.0</v>
      </c>
      <c r="H5271" s="9" t="s">
        <v>25</v>
      </c>
      <c r="I5271" s="9" t="s">
        <v>240</v>
      </c>
      <c r="J5271" s="16">
        <v>0.8</v>
      </c>
      <c r="K5271" s="14">
        <v>5.0</v>
      </c>
      <c r="N5271" s="14" t="str">
        <f>IFERROR(__xludf.DUMMYFUNCTION("""COMPUTED_VALUE"""),"")</f>
        <v/>
      </c>
      <c r="O5271" s="14"/>
    </row>
    <row r="5272" ht="22.5" hidden="1" customHeight="1">
      <c r="A5272" s="8">
        <v>46219.34762353009</v>
      </c>
      <c r="B5272" s="14">
        <v>46219.0</v>
      </c>
      <c r="C5272" s="9" t="s">
        <v>31</v>
      </c>
      <c r="D5272" s="9" t="s">
        <v>171</v>
      </c>
      <c r="E5272" s="9" t="s">
        <v>17</v>
      </c>
      <c r="F5272" s="9" t="s">
        <v>77</v>
      </c>
      <c r="G5272" s="9">
        <v>8.0</v>
      </c>
      <c r="H5272" s="9" t="s">
        <v>25</v>
      </c>
      <c r="I5272" s="9" t="s">
        <v>240</v>
      </c>
      <c r="J5272" s="16">
        <v>0.4</v>
      </c>
      <c r="K5272" s="14">
        <v>6.0</v>
      </c>
      <c r="N5272" s="14" t="str">
        <f>IFERROR(__xludf.DUMMYFUNCTION("""COMPUTED_VALUE"""),"")</f>
        <v/>
      </c>
      <c r="O5272" s="14"/>
    </row>
    <row r="5273" ht="22.5" hidden="1" customHeight="1">
      <c r="A5273" s="8">
        <v>46219.35306260417</v>
      </c>
      <c r="B5273" s="14">
        <v>46219.0</v>
      </c>
      <c r="C5273" s="9" t="s">
        <v>31</v>
      </c>
      <c r="D5273" s="9" t="s">
        <v>178</v>
      </c>
      <c r="E5273" s="9" t="s">
        <v>140</v>
      </c>
      <c r="F5273" s="9" t="s">
        <v>17</v>
      </c>
      <c r="G5273" s="9">
        <v>7.0</v>
      </c>
      <c r="H5273" s="9" t="s">
        <v>25</v>
      </c>
      <c r="I5273" s="9" t="s">
        <v>37</v>
      </c>
      <c r="J5273" s="16">
        <v>0.4</v>
      </c>
      <c r="K5273" s="14">
        <v>9.0</v>
      </c>
      <c r="N5273" s="14" t="str">
        <f>IFERROR(__xludf.DUMMYFUNCTION("""COMPUTED_VALUE"""),"")</f>
        <v/>
      </c>
      <c r="O5273" s="14"/>
    </row>
    <row r="5274" ht="22.5" hidden="1" customHeight="1">
      <c r="A5274" s="8">
        <v>46219.4079941088</v>
      </c>
      <c r="B5274" s="14">
        <v>46219.0</v>
      </c>
      <c r="C5274" s="9" t="s">
        <v>31</v>
      </c>
      <c r="D5274" s="9" t="s">
        <v>445</v>
      </c>
      <c r="E5274" s="9" t="s">
        <v>17</v>
      </c>
      <c r="F5274" s="9" t="s">
        <v>17</v>
      </c>
      <c r="G5274" s="9">
        <v>7.0</v>
      </c>
      <c r="H5274" s="9" t="s">
        <v>17</v>
      </c>
      <c r="I5274" s="9" t="s">
        <v>20</v>
      </c>
      <c r="J5274" s="16">
        <v>0.6</v>
      </c>
      <c r="K5274" s="14" t="s">
        <v>398</v>
      </c>
      <c r="N5274" s="14" t="str">
        <f>IFERROR(__xludf.DUMMYFUNCTION("""COMPUTED_VALUE"""),"")</f>
        <v/>
      </c>
      <c r="O5274" s="14"/>
    </row>
    <row r="5275" ht="22.5" hidden="1" customHeight="1">
      <c r="A5275" s="8">
        <v>46219.408287928236</v>
      </c>
      <c r="B5275" s="14">
        <v>46219.0</v>
      </c>
      <c r="C5275" s="9" t="s">
        <v>31</v>
      </c>
      <c r="D5275" s="9" t="s">
        <v>413</v>
      </c>
      <c r="E5275" s="9" t="s">
        <v>17</v>
      </c>
      <c r="F5275" s="9" t="s">
        <v>17</v>
      </c>
      <c r="G5275" s="9">
        <v>7.0</v>
      </c>
      <c r="H5275" s="9" t="s">
        <v>22</v>
      </c>
      <c r="I5275" s="9" t="s">
        <v>20</v>
      </c>
      <c r="J5275" s="16">
        <v>0.8</v>
      </c>
      <c r="K5275" s="14">
        <v>5.0</v>
      </c>
      <c r="N5275" s="14" t="str">
        <f>IFERROR(__xludf.DUMMYFUNCTION("""COMPUTED_VALUE"""),"")</f>
        <v/>
      </c>
      <c r="O5275" s="14"/>
    </row>
    <row r="5276" ht="22.5" hidden="1" customHeight="1">
      <c r="A5276" s="8">
        <v>46219.40850533565</v>
      </c>
      <c r="B5276" s="14">
        <v>46219.0</v>
      </c>
      <c r="C5276" s="9" t="s">
        <v>31</v>
      </c>
      <c r="D5276" s="9" t="s">
        <v>367</v>
      </c>
      <c r="E5276" s="9" t="s">
        <v>46</v>
      </c>
      <c r="F5276" s="9" t="s">
        <v>43</v>
      </c>
      <c r="G5276" s="9">
        <v>8.0</v>
      </c>
      <c r="H5276" s="9" t="s">
        <v>25</v>
      </c>
      <c r="I5276" s="9" t="s">
        <v>454</v>
      </c>
      <c r="J5276" s="16">
        <v>0.6</v>
      </c>
      <c r="K5276" s="14" t="s">
        <v>398</v>
      </c>
      <c r="N5276" s="14" t="str">
        <f>IFERROR(__xludf.DUMMYFUNCTION("""COMPUTED_VALUE"""),"")</f>
        <v/>
      </c>
      <c r="O5276" s="14"/>
    </row>
    <row r="5277" ht="22.5" hidden="1" customHeight="1">
      <c r="A5277" s="8">
        <v>46219.40897616898</v>
      </c>
      <c r="B5277" s="14">
        <v>46219.0</v>
      </c>
      <c r="C5277" s="9" t="s">
        <v>31</v>
      </c>
      <c r="D5277" s="9" t="s">
        <v>177</v>
      </c>
      <c r="E5277" s="9" t="s">
        <v>46</v>
      </c>
      <c r="F5277" s="9" t="s">
        <v>17</v>
      </c>
      <c r="G5277" s="9">
        <v>6.0</v>
      </c>
      <c r="H5277" s="9" t="s">
        <v>22</v>
      </c>
      <c r="I5277" s="9" t="s">
        <v>20</v>
      </c>
      <c r="J5277" s="16">
        <v>0.6</v>
      </c>
      <c r="K5277" s="14">
        <v>7.0</v>
      </c>
      <c r="N5277" s="14" t="str">
        <f>IFERROR(__xludf.DUMMYFUNCTION("""COMPUTED_VALUE"""),"")</f>
        <v/>
      </c>
      <c r="O5277" s="14"/>
    </row>
    <row r="5278" ht="22.5" hidden="1" customHeight="1">
      <c r="A5278" s="8">
        <v>46219.409320949075</v>
      </c>
      <c r="B5278" s="14">
        <v>46219.0</v>
      </c>
      <c r="C5278" s="9" t="s">
        <v>31</v>
      </c>
      <c r="D5278" s="9" t="s">
        <v>423</v>
      </c>
      <c r="E5278" s="9" t="s">
        <v>17</v>
      </c>
      <c r="F5278" s="9" t="s">
        <v>17</v>
      </c>
      <c r="G5278" s="9">
        <v>6.0</v>
      </c>
      <c r="H5278" s="9" t="s">
        <v>22</v>
      </c>
      <c r="I5278" s="9" t="s">
        <v>20</v>
      </c>
      <c r="J5278" s="16">
        <v>0.8</v>
      </c>
      <c r="K5278" s="14" t="s">
        <v>398</v>
      </c>
      <c r="N5278" s="14" t="str">
        <f>IFERROR(__xludf.DUMMYFUNCTION("""COMPUTED_VALUE"""),"")</f>
        <v/>
      </c>
      <c r="O5278" s="14"/>
    </row>
    <row r="5279" ht="22.5" hidden="1" customHeight="1">
      <c r="A5279" s="8">
        <v>46219.40938877314</v>
      </c>
      <c r="B5279" s="14">
        <v>46219.0</v>
      </c>
      <c r="C5279" s="9" t="s">
        <v>31</v>
      </c>
      <c r="D5279" s="9" t="s">
        <v>396</v>
      </c>
      <c r="E5279" s="9" t="s">
        <v>61</v>
      </c>
      <c r="F5279" s="9" t="s">
        <v>17</v>
      </c>
      <c r="G5279" s="9">
        <v>8.0</v>
      </c>
      <c r="H5279" s="9" t="s">
        <v>62</v>
      </c>
      <c r="I5279" s="9" t="s">
        <v>20</v>
      </c>
      <c r="J5279" s="16">
        <v>0.2</v>
      </c>
      <c r="K5279" s="14">
        <v>3.0</v>
      </c>
      <c r="N5279" s="14" t="str">
        <f>IFERROR(__xludf.DUMMYFUNCTION("""COMPUTED_VALUE"""),"")</f>
        <v/>
      </c>
      <c r="O5279" s="14"/>
    </row>
    <row r="5280" ht="22.5" hidden="1" customHeight="1">
      <c r="A5280" s="8">
        <v>46219.40989726852</v>
      </c>
      <c r="B5280" s="14">
        <v>46219.0</v>
      </c>
      <c r="C5280" s="9" t="s">
        <v>31</v>
      </c>
      <c r="D5280" s="9" t="s">
        <v>441</v>
      </c>
      <c r="E5280" s="9" t="s">
        <v>61</v>
      </c>
      <c r="F5280" s="9" t="s">
        <v>60</v>
      </c>
      <c r="G5280" s="9" t="s">
        <v>410</v>
      </c>
      <c r="H5280" s="9" t="s">
        <v>25</v>
      </c>
      <c r="I5280" s="9" t="s">
        <v>34</v>
      </c>
      <c r="J5280" s="16">
        <v>0.6</v>
      </c>
      <c r="K5280" s="14">
        <v>4.0</v>
      </c>
      <c r="N5280" s="14" t="str">
        <f>IFERROR(__xludf.DUMMYFUNCTION("""COMPUTED_VALUE"""),"")</f>
        <v/>
      </c>
      <c r="O5280" s="14"/>
    </row>
    <row r="5281" ht="22.5" hidden="1" customHeight="1">
      <c r="A5281" s="8">
        <v>46219.41008405093</v>
      </c>
      <c r="B5281" s="14">
        <v>46219.0</v>
      </c>
      <c r="C5281" s="9" t="s">
        <v>31</v>
      </c>
      <c r="D5281" s="9" t="s">
        <v>335</v>
      </c>
      <c r="E5281" s="9" t="s">
        <v>61</v>
      </c>
      <c r="F5281" s="9" t="s">
        <v>17</v>
      </c>
      <c r="G5281" s="9">
        <v>6.0</v>
      </c>
      <c r="H5281" s="9" t="s">
        <v>17</v>
      </c>
      <c r="I5281" s="9" t="s">
        <v>20</v>
      </c>
      <c r="J5281" s="16">
        <v>0.6</v>
      </c>
      <c r="K5281" s="14" t="s">
        <v>398</v>
      </c>
      <c r="N5281" s="14" t="str">
        <f>IFERROR(__xludf.DUMMYFUNCTION("""COMPUTED_VALUE"""),"")</f>
        <v/>
      </c>
      <c r="O5281" s="14"/>
    </row>
    <row r="5282" ht="22.5" hidden="1" customHeight="1">
      <c r="A5282" s="8">
        <v>46219.41040046296</v>
      </c>
      <c r="B5282" s="14">
        <v>46219.0</v>
      </c>
      <c r="C5282" s="9" t="s">
        <v>31</v>
      </c>
      <c r="D5282" s="9" t="s">
        <v>249</v>
      </c>
      <c r="E5282" s="9" t="s">
        <v>61</v>
      </c>
      <c r="F5282" s="9" t="s">
        <v>43</v>
      </c>
      <c r="G5282" s="9">
        <v>8.0</v>
      </c>
      <c r="H5282" s="9" t="s">
        <v>22</v>
      </c>
      <c r="I5282" s="9" t="s">
        <v>20</v>
      </c>
      <c r="J5282" s="16">
        <v>0.4</v>
      </c>
      <c r="K5282" s="14">
        <v>6.0</v>
      </c>
      <c r="N5282" s="14" t="str">
        <f>IFERROR(__xludf.DUMMYFUNCTION("""COMPUTED_VALUE"""),"")</f>
        <v/>
      </c>
      <c r="O5282" s="14"/>
    </row>
    <row r="5283" ht="22.5" hidden="1" customHeight="1">
      <c r="A5283" s="8">
        <v>46219.41043355324</v>
      </c>
      <c r="B5283" s="14">
        <v>46219.0</v>
      </c>
      <c r="C5283" s="9" t="s">
        <v>31</v>
      </c>
      <c r="D5283" s="9" t="s">
        <v>175</v>
      </c>
      <c r="E5283" s="9" t="s">
        <v>46</v>
      </c>
      <c r="F5283" s="9" t="s">
        <v>60</v>
      </c>
      <c r="G5283" s="9">
        <v>7.0</v>
      </c>
      <c r="H5283" s="9" t="s">
        <v>25</v>
      </c>
      <c r="I5283" s="9" t="s">
        <v>207</v>
      </c>
      <c r="J5283" s="16">
        <v>0.8</v>
      </c>
      <c r="K5283" s="14">
        <v>9.0</v>
      </c>
      <c r="N5283" s="14" t="str">
        <f>IFERROR(__xludf.DUMMYFUNCTION("""COMPUTED_VALUE"""),"")</f>
        <v/>
      </c>
      <c r="O5283" s="14"/>
    </row>
    <row r="5284" ht="22.5" hidden="1" customHeight="1">
      <c r="A5284" s="8">
        <v>46219.411151504624</v>
      </c>
      <c r="B5284" s="14">
        <v>46219.0</v>
      </c>
      <c r="C5284" s="9" t="s">
        <v>31</v>
      </c>
      <c r="D5284" s="9" t="s">
        <v>357</v>
      </c>
      <c r="E5284" s="9" t="s">
        <v>17</v>
      </c>
      <c r="F5284" s="9" t="s">
        <v>17</v>
      </c>
      <c r="G5284" s="9">
        <v>6.0</v>
      </c>
      <c r="H5284" s="9" t="s">
        <v>22</v>
      </c>
      <c r="I5284" s="9" t="s">
        <v>20</v>
      </c>
      <c r="J5284" s="16">
        <v>0.6</v>
      </c>
      <c r="K5284" s="14">
        <v>8.0</v>
      </c>
      <c r="N5284" s="14" t="str">
        <f>IFERROR(__xludf.DUMMYFUNCTION("""COMPUTED_VALUE"""),"")</f>
        <v/>
      </c>
      <c r="O5284" s="14"/>
    </row>
    <row r="5285" ht="22.5" hidden="1" customHeight="1">
      <c r="A5285" s="8">
        <v>46219.411288483796</v>
      </c>
      <c r="B5285" s="14">
        <v>46219.0</v>
      </c>
      <c r="C5285" s="9" t="s">
        <v>31</v>
      </c>
      <c r="D5285" s="9" t="s">
        <v>393</v>
      </c>
      <c r="E5285" s="9" t="s">
        <v>61</v>
      </c>
      <c r="F5285" s="9" t="s">
        <v>60</v>
      </c>
      <c r="G5285" s="9">
        <v>7.0</v>
      </c>
      <c r="H5285" s="9" t="s">
        <v>22</v>
      </c>
      <c r="I5285" s="9" t="s">
        <v>20</v>
      </c>
      <c r="J5285" s="16">
        <v>0.6</v>
      </c>
      <c r="K5285" s="14">
        <v>4.0</v>
      </c>
      <c r="N5285" s="14" t="str">
        <f>IFERROR(__xludf.DUMMYFUNCTION("""COMPUTED_VALUE"""),"")</f>
        <v/>
      </c>
      <c r="O5285" s="14"/>
    </row>
    <row r="5286" ht="22.5" hidden="1" customHeight="1">
      <c r="A5286" s="8">
        <v>46219.411699178236</v>
      </c>
      <c r="B5286" s="14">
        <v>46219.0</v>
      </c>
      <c r="C5286" s="9" t="s">
        <v>31</v>
      </c>
      <c r="D5286" s="9" t="s">
        <v>395</v>
      </c>
      <c r="E5286" s="9" t="s">
        <v>17</v>
      </c>
      <c r="F5286" s="9" t="s">
        <v>17</v>
      </c>
      <c r="G5286" s="9">
        <v>7.0</v>
      </c>
      <c r="H5286" s="9" t="s">
        <v>17</v>
      </c>
      <c r="I5286" s="9" t="s">
        <v>137</v>
      </c>
      <c r="J5286" s="16">
        <v>0.8</v>
      </c>
      <c r="K5286" s="14">
        <v>6.0</v>
      </c>
      <c r="N5286" s="14" t="str">
        <f>IFERROR(__xludf.DUMMYFUNCTION("""COMPUTED_VALUE"""),"")</f>
        <v/>
      </c>
      <c r="O5286" s="14"/>
    </row>
    <row r="5287" ht="22.5" hidden="1" customHeight="1">
      <c r="A5287" s="8">
        <v>46219.41225525463</v>
      </c>
      <c r="B5287" s="14">
        <v>46219.0</v>
      </c>
      <c r="C5287" s="9" t="s">
        <v>31</v>
      </c>
      <c r="D5287" s="9" t="s">
        <v>210</v>
      </c>
      <c r="E5287" s="9" t="s">
        <v>17</v>
      </c>
      <c r="F5287" s="9" t="s">
        <v>18</v>
      </c>
      <c r="G5287" s="9">
        <v>6.0</v>
      </c>
      <c r="H5287" s="9" t="s">
        <v>22</v>
      </c>
      <c r="I5287" s="9" t="s">
        <v>20</v>
      </c>
      <c r="J5287" s="16">
        <v>0.8</v>
      </c>
      <c r="K5287" s="14">
        <v>6.0</v>
      </c>
      <c r="N5287" s="14" t="str">
        <f>IFERROR(__xludf.DUMMYFUNCTION("""COMPUTED_VALUE"""),"")</f>
        <v/>
      </c>
      <c r="O5287" s="14"/>
    </row>
    <row r="5288" ht="22.5" hidden="1" customHeight="1">
      <c r="A5288" s="8">
        <v>46219.41249577547</v>
      </c>
      <c r="B5288" s="14">
        <v>46219.0</v>
      </c>
      <c r="C5288" s="9" t="s">
        <v>31</v>
      </c>
      <c r="D5288" s="9" t="s">
        <v>247</v>
      </c>
      <c r="E5288" s="9" t="s">
        <v>61</v>
      </c>
      <c r="F5288" s="9" t="s">
        <v>77</v>
      </c>
      <c r="G5288" s="9" t="s">
        <v>410</v>
      </c>
      <c r="H5288" s="9" t="s">
        <v>17</v>
      </c>
      <c r="I5288" s="9" t="s">
        <v>20</v>
      </c>
      <c r="J5288" s="16">
        <v>0.6</v>
      </c>
      <c r="K5288" s="14">
        <v>6.0</v>
      </c>
      <c r="N5288" s="14" t="str">
        <f>IFERROR(__xludf.DUMMYFUNCTION("""COMPUTED_VALUE"""),"")</f>
        <v/>
      </c>
      <c r="O5288" s="14"/>
    </row>
    <row r="5289" ht="22.5" hidden="1" customHeight="1">
      <c r="A5289" s="8">
        <v>46219.41269861111</v>
      </c>
      <c r="B5289" s="14">
        <v>46219.0</v>
      </c>
      <c r="C5289" s="9" t="s">
        <v>31</v>
      </c>
      <c r="D5289" s="9" t="s">
        <v>442</v>
      </c>
      <c r="E5289" s="9" t="s">
        <v>17</v>
      </c>
      <c r="F5289" s="9" t="s">
        <v>17</v>
      </c>
      <c r="G5289" s="9">
        <v>8.0</v>
      </c>
      <c r="H5289" s="9" t="s">
        <v>22</v>
      </c>
      <c r="I5289" s="9" t="s">
        <v>20</v>
      </c>
      <c r="J5289" s="16">
        <v>0.8</v>
      </c>
      <c r="K5289" s="14">
        <v>8.0</v>
      </c>
      <c r="N5289" s="14" t="str">
        <f>IFERROR(__xludf.DUMMYFUNCTION("""COMPUTED_VALUE"""),"")</f>
        <v/>
      </c>
      <c r="O5289" s="14"/>
    </row>
    <row r="5290" ht="22.5" hidden="1" customHeight="1">
      <c r="A5290" s="8">
        <v>46219.41317503472</v>
      </c>
      <c r="B5290" s="14">
        <v>46219.0</v>
      </c>
      <c r="C5290" s="9" t="s">
        <v>31</v>
      </c>
      <c r="D5290" s="9" t="s">
        <v>369</v>
      </c>
      <c r="E5290" s="9" t="s">
        <v>61</v>
      </c>
      <c r="F5290" s="9" t="s">
        <v>17</v>
      </c>
      <c r="G5290" s="9">
        <v>7.0</v>
      </c>
      <c r="H5290" s="9" t="s">
        <v>25</v>
      </c>
      <c r="I5290" s="9" t="s">
        <v>137</v>
      </c>
      <c r="J5290" s="16">
        <v>0.8</v>
      </c>
      <c r="K5290" s="14">
        <v>7.0</v>
      </c>
      <c r="N5290" s="14" t="str">
        <f>IFERROR(__xludf.DUMMYFUNCTION("""COMPUTED_VALUE"""),"")</f>
        <v/>
      </c>
      <c r="O5290" s="14"/>
    </row>
    <row r="5291" ht="22.5" hidden="1" customHeight="1">
      <c r="A5291" s="8">
        <v>46219.41393724537</v>
      </c>
      <c r="B5291" s="14">
        <v>46219.0</v>
      </c>
      <c r="C5291" s="9" t="s">
        <v>31</v>
      </c>
      <c r="D5291" s="9" t="s">
        <v>259</v>
      </c>
      <c r="E5291" s="9" t="s">
        <v>17</v>
      </c>
      <c r="F5291" s="9" t="s">
        <v>18</v>
      </c>
      <c r="G5291" s="9">
        <v>8.0</v>
      </c>
      <c r="H5291" s="9" t="s">
        <v>22</v>
      </c>
      <c r="I5291" s="9" t="s">
        <v>20</v>
      </c>
      <c r="J5291" s="16">
        <v>0.8</v>
      </c>
      <c r="K5291" s="14">
        <v>6.0</v>
      </c>
      <c r="N5291" s="14" t="str">
        <f>IFERROR(__xludf.DUMMYFUNCTION("""COMPUTED_VALUE"""),"")</f>
        <v/>
      </c>
      <c r="O5291" s="14"/>
    </row>
    <row r="5292" ht="22.5" hidden="1" customHeight="1">
      <c r="A5292" s="8">
        <v>46220.377166805556</v>
      </c>
      <c r="B5292" s="14">
        <v>46220.0</v>
      </c>
      <c r="C5292" s="9" t="s">
        <v>48</v>
      </c>
      <c r="D5292" s="9" t="s">
        <v>445</v>
      </c>
      <c r="E5292" s="9" t="s">
        <v>17</v>
      </c>
      <c r="F5292" s="9" t="s">
        <v>35</v>
      </c>
      <c r="G5292" s="9">
        <v>8.0</v>
      </c>
      <c r="H5292" s="9" t="s">
        <v>17</v>
      </c>
      <c r="I5292" s="9" t="s">
        <v>20</v>
      </c>
      <c r="J5292" s="16">
        <v>0.6</v>
      </c>
      <c r="K5292" s="14" t="s">
        <v>398</v>
      </c>
      <c r="N5292" s="14" t="str">
        <f>IFERROR(__xludf.DUMMYFUNCTION("""COMPUTED_VALUE"""),"")</f>
        <v/>
      </c>
      <c r="O5292" s="14"/>
    </row>
    <row r="5293" ht="22.5" hidden="1" customHeight="1">
      <c r="A5293" s="8">
        <v>46220.37856627315</v>
      </c>
      <c r="B5293" s="14">
        <v>46220.0</v>
      </c>
      <c r="C5293" s="9" t="s">
        <v>48</v>
      </c>
      <c r="D5293" s="9" t="s">
        <v>394</v>
      </c>
      <c r="E5293" s="9" t="s">
        <v>17</v>
      </c>
      <c r="F5293" s="9" t="s">
        <v>17</v>
      </c>
      <c r="G5293" s="9">
        <v>6.0</v>
      </c>
      <c r="H5293" s="9" t="s">
        <v>25</v>
      </c>
      <c r="I5293" s="9" t="s">
        <v>28</v>
      </c>
      <c r="J5293" s="16">
        <v>1.0</v>
      </c>
      <c r="K5293" s="14" t="s">
        <v>398</v>
      </c>
      <c r="N5293" s="14" t="str">
        <f>IFERROR(__xludf.DUMMYFUNCTION("""COMPUTED_VALUE"""),"")</f>
        <v/>
      </c>
      <c r="O5293" s="14"/>
    </row>
    <row r="5294" ht="22.5" hidden="1" customHeight="1">
      <c r="A5294" s="8">
        <v>46220.381185509264</v>
      </c>
      <c r="B5294" s="14">
        <v>46220.0</v>
      </c>
      <c r="C5294" s="9" t="s">
        <v>48</v>
      </c>
      <c r="D5294" s="9" t="s">
        <v>369</v>
      </c>
      <c r="E5294" s="9" t="s">
        <v>17</v>
      </c>
      <c r="F5294" s="9" t="s">
        <v>17</v>
      </c>
      <c r="G5294" s="9">
        <v>7.0</v>
      </c>
      <c r="H5294" s="9" t="s">
        <v>25</v>
      </c>
      <c r="I5294" s="9" t="s">
        <v>137</v>
      </c>
      <c r="J5294" s="16">
        <v>0.8</v>
      </c>
      <c r="K5294" s="14">
        <v>3.0</v>
      </c>
      <c r="N5294" s="14" t="str">
        <f>IFERROR(__xludf.DUMMYFUNCTION("""COMPUTED_VALUE"""),"")</f>
        <v/>
      </c>
      <c r="O5294" s="14"/>
    </row>
    <row r="5295" ht="22.5" hidden="1" customHeight="1">
      <c r="A5295" s="8">
        <v>46220.38756055555</v>
      </c>
      <c r="B5295" s="14">
        <v>46220.0</v>
      </c>
      <c r="C5295" s="9" t="s">
        <v>48</v>
      </c>
      <c r="D5295" s="9" t="s">
        <v>175</v>
      </c>
      <c r="E5295" s="9" t="s">
        <v>46</v>
      </c>
      <c r="F5295" s="9" t="s">
        <v>17</v>
      </c>
      <c r="G5295" s="9">
        <v>7.0</v>
      </c>
      <c r="H5295" s="9" t="s">
        <v>25</v>
      </c>
      <c r="I5295" s="9" t="s">
        <v>207</v>
      </c>
      <c r="J5295" s="16">
        <v>0.8</v>
      </c>
      <c r="K5295" s="14">
        <v>7.0</v>
      </c>
      <c r="N5295" s="14" t="str">
        <f>IFERROR(__xludf.DUMMYFUNCTION("""COMPUTED_VALUE"""),"")</f>
        <v/>
      </c>
      <c r="O5295" s="14"/>
    </row>
    <row r="5296" ht="22.5" hidden="1" customHeight="1">
      <c r="A5296" s="8">
        <v>46220.38775563658</v>
      </c>
      <c r="B5296" s="14">
        <v>46220.0</v>
      </c>
      <c r="C5296" s="9" t="s">
        <v>48</v>
      </c>
      <c r="D5296" s="9" t="s">
        <v>105</v>
      </c>
      <c r="E5296" s="9" t="s">
        <v>17</v>
      </c>
      <c r="F5296" s="9" t="s">
        <v>17</v>
      </c>
      <c r="G5296" s="9">
        <v>7.0</v>
      </c>
      <c r="H5296" s="9" t="s">
        <v>22</v>
      </c>
      <c r="I5296" s="9" t="s">
        <v>20</v>
      </c>
      <c r="J5296" s="16">
        <v>0.8</v>
      </c>
      <c r="K5296" s="14" t="s">
        <v>398</v>
      </c>
      <c r="N5296" s="14" t="str">
        <f>IFERROR(__xludf.DUMMYFUNCTION("""COMPUTED_VALUE"""),"")</f>
        <v/>
      </c>
      <c r="O5296" s="14"/>
    </row>
    <row r="5297" ht="22.5" hidden="1" customHeight="1">
      <c r="A5297" s="8">
        <v>46220.389394363425</v>
      </c>
      <c r="B5297" s="14">
        <v>46220.0</v>
      </c>
      <c r="C5297" s="9" t="s">
        <v>48</v>
      </c>
      <c r="D5297" s="9" t="s">
        <v>177</v>
      </c>
      <c r="E5297" s="9" t="s">
        <v>46</v>
      </c>
      <c r="F5297" s="9" t="s">
        <v>60</v>
      </c>
      <c r="G5297" s="9">
        <v>6.0</v>
      </c>
      <c r="H5297" s="9" t="s">
        <v>22</v>
      </c>
      <c r="I5297" s="9" t="s">
        <v>20</v>
      </c>
      <c r="J5297" s="16">
        <v>0.8</v>
      </c>
      <c r="K5297" s="14">
        <v>4.0</v>
      </c>
      <c r="N5297" s="14" t="str">
        <f>IFERROR(__xludf.DUMMYFUNCTION("""COMPUTED_VALUE"""),"")</f>
        <v/>
      </c>
      <c r="O5297" s="14"/>
    </row>
    <row r="5298" ht="22.5" hidden="1" customHeight="1">
      <c r="A5298" s="8">
        <v>46220.39091702546</v>
      </c>
      <c r="B5298" s="14">
        <v>46220.0</v>
      </c>
      <c r="C5298" s="9" t="s">
        <v>48</v>
      </c>
      <c r="D5298" s="9" t="s">
        <v>335</v>
      </c>
      <c r="E5298" s="9" t="s">
        <v>17</v>
      </c>
      <c r="F5298" s="9" t="s">
        <v>17</v>
      </c>
      <c r="G5298" s="9">
        <v>7.0</v>
      </c>
      <c r="H5298" s="9" t="s">
        <v>22</v>
      </c>
      <c r="I5298" s="9" t="s">
        <v>20</v>
      </c>
      <c r="J5298" s="16">
        <v>1.0</v>
      </c>
      <c r="K5298" s="14">
        <v>2.0</v>
      </c>
      <c r="N5298" s="14" t="str">
        <f>IFERROR(__xludf.DUMMYFUNCTION("""COMPUTED_VALUE"""),"")</f>
        <v/>
      </c>
      <c r="O5298" s="14"/>
    </row>
    <row r="5299" ht="22.5" hidden="1" customHeight="1">
      <c r="A5299" s="8">
        <v>46220.39134851852</v>
      </c>
      <c r="B5299" s="14">
        <v>46220.0</v>
      </c>
      <c r="C5299" s="9" t="s">
        <v>48</v>
      </c>
      <c r="D5299" s="9" t="s">
        <v>174</v>
      </c>
      <c r="E5299" s="9" t="s">
        <v>30</v>
      </c>
      <c r="F5299" s="9" t="s">
        <v>35</v>
      </c>
      <c r="G5299" s="9">
        <v>8.0</v>
      </c>
      <c r="H5299" s="9" t="s">
        <v>25</v>
      </c>
      <c r="I5299" s="9" t="s">
        <v>218</v>
      </c>
      <c r="J5299" s="16">
        <v>0.8</v>
      </c>
      <c r="K5299" s="14">
        <v>3.0</v>
      </c>
      <c r="N5299" s="14" t="str">
        <f>IFERROR(__xludf.DUMMYFUNCTION("""COMPUTED_VALUE"""),"")</f>
        <v/>
      </c>
      <c r="O5299" s="14"/>
    </row>
    <row r="5300" ht="22.5" hidden="1" customHeight="1">
      <c r="A5300" s="8">
        <v>46220.39171365741</v>
      </c>
      <c r="B5300" s="14">
        <v>46220.0</v>
      </c>
      <c r="C5300" s="9" t="s">
        <v>48</v>
      </c>
      <c r="D5300" s="9" t="s">
        <v>247</v>
      </c>
      <c r="E5300" s="9" t="s">
        <v>17</v>
      </c>
      <c r="F5300" s="9" t="s">
        <v>17</v>
      </c>
      <c r="G5300" s="9">
        <v>6.0</v>
      </c>
      <c r="H5300" s="9" t="s">
        <v>22</v>
      </c>
      <c r="I5300" s="9" t="s">
        <v>20</v>
      </c>
      <c r="J5300" s="16">
        <v>0.8</v>
      </c>
      <c r="K5300" s="14">
        <v>8.0</v>
      </c>
      <c r="N5300" s="14" t="str">
        <f>IFERROR(__xludf.DUMMYFUNCTION("""COMPUTED_VALUE"""),"")</f>
        <v/>
      </c>
      <c r="O5300" s="14"/>
    </row>
    <row r="5301" ht="22.5" hidden="1" customHeight="1">
      <c r="A5301" s="8">
        <v>46220.391993310186</v>
      </c>
      <c r="B5301" s="14">
        <v>46220.0</v>
      </c>
      <c r="C5301" s="9" t="s">
        <v>48</v>
      </c>
      <c r="D5301" s="9" t="s">
        <v>249</v>
      </c>
      <c r="E5301" s="9" t="s">
        <v>30</v>
      </c>
      <c r="F5301" s="9" t="s">
        <v>17</v>
      </c>
      <c r="G5301" s="9">
        <v>8.0</v>
      </c>
      <c r="H5301" s="9" t="s">
        <v>22</v>
      </c>
      <c r="I5301" s="9" t="s">
        <v>20</v>
      </c>
      <c r="J5301" s="16">
        <v>1.0</v>
      </c>
      <c r="K5301" s="14">
        <v>5.0</v>
      </c>
      <c r="N5301" s="14" t="str">
        <f>IFERROR(__xludf.DUMMYFUNCTION("""COMPUTED_VALUE"""),"")</f>
        <v/>
      </c>
      <c r="O5301" s="14"/>
    </row>
    <row r="5302" ht="22.5" hidden="1" customHeight="1">
      <c r="A5302" s="8">
        <v>46220.39294497685</v>
      </c>
      <c r="B5302" s="14">
        <v>46220.0</v>
      </c>
      <c r="C5302" s="9" t="s">
        <v>48</v>
      </c>
      <c r="D5302" s="9" t="s">
        <v>395</v>
      </c>
      <c r="E5302" s="9" t="s">
        <v>17</v>
      </c>
      <c r="F5302" s="9" t="s">
        <v>17</v>
      </c>
      <c r="G5302" s="9">
        <v>7.0</v>
      </c>
      <c r="H5302" s="9" t="s">
        <v>25</v>
      </c>
      <c r="I5302" s="9" t="s">
        <v>137</v>
      </c>
      <c r="J5302" s="16">
        <v>0.8</v>
      </c>
      <c r="K5302" s="14">
        <v>5.0</v>
      </c>
      <c r="N5302" s="14" t="str">
        <f>IFERROR(__xludf.DUMMYFUNCTION("""COMPUTED_VALUE"""),"")</f>
        <v/>
      </c>
      <c r="O5302" s="14"/>
    </row>
    <row r="5303" ht="22.5" hidden="1" customHeight="1">
      <c r="A5303" s="8">
        <v>46220.3934162963</v>
      </c>
      <c r="B5303" s="14">
        <v>46220.0</v>
      </c>
      <c r="C5303" s="9" t="s">
        <v>48</v>
      </c>
      <c r="D5303" s="9" t="s">
        <v>357</v>
      </c>
      <c r="E5303" s="9" t="s">
        <v>17</v>
      </c>
      <c r="F5303" s="9" t="s">
        <v>17</v>
      </c>
      <c r="G5303" s="9">
        <v>7.0</v>
      </c>
      <c r="H5303" s="9" t="s">
        <v>25</v>
      </c>
      <c r="I5303" s="9" t="s">
        <v>28</v>
      </c>
      <c r="J5303" s="16">
        <v>0.8</v>
      </c>
      <c r="K5303" s="14">
        <v>6.0</v>
      </c>
      <c r="N5303" s="14" t="str">
        <f>IFERROR(__xludf.DUMMYFUNCTION("""COMPUTED_VALUE"""),"")</f>
        <v/>
      </c>
      <c r="O5303" s="14"/>
    </row>
    <row r="5304" ht="22.5" hidden="1" customHeight="1">
      <c r="A5304" s="8">
        <v>46220.39382753472</v>
      </c>
      <c r="B5304" s="14">
        <v>46220.0</v>
      </c>
      <c r="C5304" s="9" t="s">
        <v>48</v>
      </c>
      <c r="D5304" s="9" t="s">
        <v>393</v>
      </c>
      <c r="E5304" s="9" t="s">
        <v>17</v>
      </c>
      <c r="F5304" s="9" t="s">
        <v>17</v>
      </c>
      <c r="G5304" s="9">
        <v>7.0</v>
      </c>
      <c r="H5304" s="9" t="s">
        <v>22</v>
      </c>
      <c r="I5304" s="9" t="s">
        <v>20</v>
      </c>
      <c r="J5304" s="16">
        <v>0.8</v>
      </c>
      <c r="K5304" s="14">
        <v>3.0</v>
      </c>
      <c r="N5304" s="14" t="str">
        <f>IFERROR(__xludf.DUMMYFUNCTION("""COMPUTED_VALUE"""),"")</f>
        <v/>
      </c>
      <c r="O5304" s="14"/>
    </row>
    <row r="5305" ht="22.5" hidden="1" customHeight="1">
      <c r="A5305" s="8">
        <v>46220.39487953704</v>
      </c>
      <c r="B5305" s="14">
        <v>46220.0</v>
      </c>
      <c r="C5305" s="9" t="s">
        <v>48</v>
      </c>
      <c r="D5305" s="9" t="s">
        <v>413</v>
      </c>
      <c r="E5305" s="9" t="s">
        <v>17</v>
      </c>
      <c r="F5305" s="9" t="s">
        <v>17</v>
      </c>
      <c r="G5305" s="9">
        <v>7.0</v>
      </c>
      <c r="H5305" s="9" t="s">
        <v>22</v>
      </c>
      <c r="I5305" s="9" t="s">
        <v>20</v>
      </c>
      <c r="J5305" s="16">
        <v>0.8</v>
      </c>
      <c r="K5305" s="14">
        <v>4.0</v>
      </c>
      <c r="N5305" s="14" t="str">
        <f>IFERROR(__xludf.DUMMYFUNCTION("""COMPUTED_VALUE"""),"")</f>
        <v/>
      </c>
      <c r="O5305" s="14"/>
    </row>
    <row r="5306" ht="22.5" hidden="1" customHeight="1">
      <c r="A5306" s="8">
        <v>46220.40769342592</v>
      </c>
      <c r="B5306" s="14">
        <v>46220.0</v>
      </c>
      <c r="C5306" s="9" t="s">
        <v>48</v>
      </c>
      <c r="D5306" s="9" t="s">
        <v>393</v>
      </c>
      <c r="E5306" s="9" t="s">
        <v>17</v>
      </c>
      <c r="F5306" s="9" t="s">
        <v>17</v>
      </c>
      <c r="G5306" s="9">
        <v>7.0</v>
      </c>
      <c r="H5306" s="9" t="s">
        <v>22</v>
      </c>
      <c r="I5306" s="9" t="s">
        <v>20</v>
      </c>
      <c r="J5306" s="16">
        <v>0.8</v>
      </c>
      <c r="K5306" s="14">
        <v>3.0</v>
      </c>
      <c r="N5306" s="14" t="str">
        <f>IFERROR(__xludf.DUMMYFUNCTION("""COMPUTED_VALUE"""),"")</f>
        <v/>
      </c>
      <c r="O5306" s="14"/>
    </row>
    <row r="5307" ht="22.5" hidden="1" customHeight="1">
      <c r="A5307" s="8">
        <v>46220.408028935184</v>
      </c>
      <c r="B5307" s="14">
        <v>46220.0</v>
      </c>
      <c r="C5307" s="9" t="s">
        <v>48</v>
      </c>
      <c r="D5307" s="9" t="s">
        <v>408</v>
      </c>
      <c r="E5307" s="9" t="s">
        <v>17</v>
      </c>
      <c r="F5307" s="9" t="s">
        <v>17</v>
      </c>
      <c r="G5307" s="9">
        <v>8.0</v>
      </c>
      <c r="H5307" s="9" t="s">
        <v>22</v>
      </c>
      <c r="I5307" s="9" t="s">
        <v>20</v>
      </c>
      <c r="J5307" s="16">
        <v>0.8</v>
      </c>
      <c r="K5307" s="14" t="s">
        <v>398</v>
      </c>
      <c r="N5307" s="14" t="str">
        <f>IFERROR(__xludf.DUMMYFUNCTION("""COMPUTED_VALUE"""),"")</f>
        <v/>
      </c>
      <c r="O5307" s="14"/>
    </row>
    <row r="5308" ht="22.5" hidden="1" customHeight="1">
      <c r="A5308" s="8">
        <v>46220.40834333333</v>
      </c>
      <c r="B5308" s="14">
        <v>46220.0</v>
      </c>
      <c r="C5308" s="9" t="s">
        <v>48</v>
      </c>
      <c r="D5308" s="9" t="s">
        <v>414</v>
      </c>
      <c r="E5308" s="9" t="s">
        <v>17</v>
      </c>
      <c r="F5308" s="9" t="s">
        <v>17</v>
      </c>
      <c r="G5308" s="9">
        <v>7.0</v>
      </c>
      <c r="H5308" s="9" t="s">
        <v>22</v>
      </c>
      <c r="I5308" s="9" t="s">
        <v>20</v>
      </c>
      <c r="J5308" s="16">
        <v>1.0</v>
      </c>
      <c r="K5308" s="14">
        <v>5.0</v>
      </c>
      <c r="N5308" s="14" t="str">
        <f>IFERROR(__xludf.DUMMYFUNCTION("""COMPUTED_VALUE"""),"")</f>
        <v/>
      </c>
      <c r="O5308" s="14"/>
    </row>
    <row r="5309" ht="22.5" hidden="1" customHeight="1">
      <c r="A5309" s="8">
        <v>46223.350315324074</v>
      </c>
      <c r="B5309" s="14">
        <v>46223.0</v>
      </c>
      <c r="C5309" s="9" t="s">
        <v>86</v>
      </c>
      <c r="D5309" s="9" t="s">
        <v>171</v>
      </c>
      <c r="E5309" s="9" t="s">
        <v>30</v>
      </c>
      <c r="F5309" s="9" t="s">
        <v>17</v>
      </c>
      <c r="G5309" s="9">
        <v>7.0</v>
      </c>
      <c r="H5309" s="9" t="s">
        <v>17</v>
      </c>
      <c r="I5309" s="9" t="s">
        <v>20</v>
      </c>
      <c r="J5309" s="16">
        <v>0.8</v>
      </c>
      <c r="K5309" s="14" t="s">
        <v>398</v>
      </c>
      <c r="N5309" s="14" t="str">
        <f>IFERROR(__xludf.DUMMYFUNCTION("""COMPUTED_VALUE"""),"")</f>
        <v/>
      </c>
      <c r="O5309" s="14"/>
    </row>
    <row r="5310" ht="22.5" hidden="1" customHeight="1">
      <c r="A5310" s="8">
        <v>46223.361278530094</v>
      </c>
      <c r="B5310" s="14">
        <v>46223.0</v>
      </c>
      <c r="C5310" s="9" t="s">
        <v>86</v>
      </c>
      <c r="D5310" s="9" t="s">
        <v>445</v>
      </c>
      <c r="E5310" s="9" t="s">
        <v>17</v>
      </c>
      <c r="F5310" s="9" t="s">
        <v>17</v>
      </c>
      <c r="G5310" s="9">
        <v>8.0</v>
      </c>
      <c r="H5310" s="9" t="s">
        <v>17</v>
      </c>
      <c r="I5310" s="9" t="s">
        <v>20</v>
      </c>
      <c r="J5310" s="16">
        <v>0.6</v>
      </c>
      <c r="K5310" s="14" t="s">
        <v>398</v>
      </c>
      <c r="N5310" s="14" t="str">
        <f>IFERROR(__xludf.DUMMYFUNCTION("""COMPUTED_VALUE"""),"")</f>
        <v/>
      </c>
      <c r="O5310" s="14"/>
    </row>
    <row r="5311" ht="22.5" hidden="1" customHeight="1">
      <c r="A5311" s="8">
        <v>46223.361583645834</v>
      </c>
      <c r="B5311" s="14">
        <v>46223.0</v>
      </c>
      <c r="C5311" s="9" t="s">
        <v>86</v>
      </c>
      <c r="D5311" s="9" t="s">
        <v>357</v>
      </c>
      <c r="E5311" s="9" t="s">
        <v>17</v>
      </c>
      <c r="F5311" s="9" t="s">
        <v>17</v>
      </c>
      <c r="G5311" s="9">
        <v>7.0</v>
      </c>
      <c r="H5311" s="9" t="s">
        <v>25</v>
      </c>
      <c r="I5311" s="9" t="s">
        <v>211</v>
      </c>
      <c r="J5311" s="16">
        <v>0.6</v>
      </c>
      <c r="K5311" s="14" t="s">
        <v>398</v>
      </c>
      <c r="N5311" s="14" t="str">
        <f>IFERROR(__xludf.DUMMYFUNCTION("""COMPUTED_VALUE"""),"")</f>
        <v/>
      </c>
      <c r="O5311" s="14"/>
    </row>
    <row r="5312" ht="22.5" hidden="1" customHeight="1">
      <c r="A5312" s="8">
        <v>46223.362123009254</v>
      </c>
      <c r="B5312" s="14">
        <v>46223.0</v>
      </c>
      <c r="C5312" s="9" t="s">
        <v>86</v>
      </c>
      <c r="D5312" s="9" t="s">
        <v>105</v>
      </c>
      <c r="E5312" s="9" t="s">
        <v>17</v>
      </c>
      <c r="F5312" s="9" t="s">
        <v>17</v>
      </c>
      <c r="G5312" s="9">
        <v>7.0</v>
      </c>
      <c r="H5312" s="9" t="s">
        <v>17</v>
      </c>
      <c r="I5312" s="9" t="s">
        <v>20</v>
      </c>
      <c r="J5312" s="16">
        <v>0.8</v>
      </c>
      <c r="K5312" s="14" t="s">
        <v>398</v>
      </c>
      <c r="N5312" s="14" t="str">
        <f>IFERROR(__xludf.DUMMYFUNCTION("""COMPUTED_VALUE"""),"")</f>
        <v/>
      </c>
      <c r="O5312" s="14"/>
    </row>
    <row r="5313" ht="22.5" hidden="1" customHeight="1">
      <c r="A5313" s="8">
        <v>46223.365415520835</v>
      </c>
      <c r="B5313" s="14">
        <v>46223.0</v>
      </c>
      <c r="C5313" s="9" t="s">
        <v>86</v>
      </c>
      <c r="D5313" s="9" t="s">
        <v>177</v>
      </c>
      <c r="E5313" s="9" t="s">
        <v>61</v>
      </c>
      <c r="F5313" s="9" t="s">
        <v>60</v>
      </c>
      <c r="G5313" s="9" t="s">
        <v>410</v>
      </c>
      <c r="H5313" s="9" t="s">
        <v>25</v>
      </c>
      <c r="I5313" s="9" t="s">
        <v>41</v>
      </c>
      <c r="J5313" s="16">
        <v>0.6</v>
      </c>
      <c r="K5313" s="14" t="s">
        <v>398</v>
      </c>
      <c r="N5313" s="14" t="str">
        <f>IFERROR(__xludf.DUMMYFUNCTION("""COMPUTED_VALUE"""),"")</f>
        <v/>
      </c>
      <c r="O5313" s="14"/>
    </row>
    <row r="5314" ht="22.5" hidden="1" customHeight="1">
      <c r="A5314" s="8">
        <v>46223.36611928241</v>
      </c>
      <c r="B5314" s="14">
        <v>46223.0</v>
      </c>
      <c r="C5314" s="9" t="s">
        <v>86</v>
      </c>
      <c r="D5314" s="9" t="s">
        <v>395</v>
      </c>
      <c r="E5314" s="9" t="s">
        <v>17</v>
      </c>
      <c r="F5314" s="9" t="s">
        <v>17</v>
      </c>
      <c r="G5314" s="9">
        <v>7.0</v>
      </c>
      <c r="H5314" s="9" t="s">
        <v>25</v>
      </c>
      <c r="I5314" s="9" t="s">
        <v>137</v>
      </c>
      <c r="J5314" s="16">
        <v>0.8</v>
      </c>
      <c r="K5314" s="14" t="s">
        <v>398</v>
      </c>
      <c r="N5314" s="14" t="str">
        <f>IFERROR(__xludf.DUMMYFUNCTION("""COMPUTED_VALUE"""),"")</f>
        <v/>
      </c>
      <c r="O5314" s="14"/>
    </row>
    <row r="5315" ht="22.5" hidden="1" customHeight="1">
      <c r="A5315" s="8">
        <v>46223.36674857639</v>
      </c>
      <c r="B5315" s="14">
        <v>46223.0</v>
      </c>
      <c r="C5315" s="9" t="s">
        <v>86</v>
      </c>
      <c r="D5315" s="9" t="s">
        <v>178</v>
      </c>
      <c r="E5315" s="9" t="s">
        <v>17</v>
      </c>
      <c r="F5315" s="9" t="s">
        <v>17</v>
      </c>
      <c r="G5315" s="9">
        <v>7.0</v>
      </c>
      <c r="H5315" s="9" t="s">
        <v>17</v>
      </c>
      <c r="I5315" s="9" t="s">
        <v>20</v>
      </c>
      <c r="J5315" s="16">
        <v>1.0</v>
      </c>
      <c r="K5315" s="14" t="s">
        <v>398</v>
      </c>
      <c r="N5315" s="14" t="str">
        <f>IFERROR(__xludf.DUMMYFUNCTION("""COMPUTED_VALUE"""),"")</f>
        <v/>
      </c>
      <c r="O5315" s="14"/>
    </row>
    <row r="5316" ht="22.5" hidden="1" customHeight="1">
      <c r="A5316" s="8">
        <v>46223.37092398148</v>
      </c>
      <c r="B5316" s="14">
        <v>46223.0</v>
      </c>
      <c r="C5316" s="9" t="s">
        <v>86</v>
      </c>
      <c r="D5316" s="9" t="s">
        <v>396</v>
      </c>
      <c r="E5316" s="9" t="s">
        <v>17</v>
      </c>
      <c r="F5316" s="9" t="s">
        <v>17</v>
      </c>
      <c r="G5316" s="9">
        <v>7.0</v>
      </c>
      <c r="H5316" s="9" t="s">
        <v>22</v>
      </c>
      <c r="I5316" s="9" t="s">
        <v>20</v>
      </c>
      <c r="J5316" s="16">
        <v>0.6</v>
      </c>
      <c r="K5316" s="14" t="s">
        <v>398</v>
      </c>
      <c r="N5316" s="14" t="str">
        <f>IFERROR(__xludf.DUMMYFUNCTION("""COMPUTED_VALUE"""),"")</f>
        <v/>
      </c>
      <c r="O5316" s="14"/>
    </row>
    <row r="5317" ht="22.5" hidden="1" customHeight="1">
      <c r="A5317" s="8">
        <v>46223.37134138889</v>
      </c>
      <c r="B5317" s="14">
        <v>46223.0</v>
      </c>
      <c r="C5317" s="9" t="s">
        <v>86</v>
      </c>
      <c r="D5317" s="9" t="s">
        <v>259</v>
      </c>
      <c r="E5317" s="9" t="s">
        <v>46</v>
      </c>
      <c r="F5317" s="9" t="s">
        <v>17</v>
      </c>
      <c r="G5317" s="9">
        <v>7.0</v>
      </c>
      <c r="H5317" s="9" t="s">
        <v>22</v>
      </c>
      <c r="I5317" s="9" t="s">
        <v>20</v>
      </c>
      <c r="J5317" s="16">
        <v>0.6</v>
      </c>
      <c r="K5317" s="14" t="s">
        <v>398</v>
      </c>
      <c r="N5317" s="14" t="str">
        <f>IFERROR(__xludf.DUMMYFUNCTION("""COMPUTED_VALUE"""),"")</f>
        <v/>
      </c>
      <c r="O5317" s="14"/>
    </row>
    <row r="5318" ht="22.5" hidden="1" customHeight="1">
      <c r="A5318" s="8">
        <v>46223.37181333333</v>
      </c>
      <c r="B5318" s="14">
        <v>46223.0</v>
      </c>
      <c r="C5318" s="9" t="s">
        <v>86</v>
      </c>
      <c r="D5318" s="9" t="s">
        <v>394</v>
      </c>
      <c r="E5318" s="9" t="s">
        <v>30</v>
      </c>
      <c r="F5318" s="9" t="s">
        <v>17</v>
      </c>
      <c r="G5318" s="9">
        <v>7.0</v>
      </c>
      <c r="H5318" s="9" t="s">
        <v>22</v>
      </c>
      <c r="I5318" s="9" t="s">
        <v>20</v>
      </c>
      <c r="J5318" s="16">
        <v>1.0</v>
      </c>
      <c r="K5318" s="14" t="s">
        <v>398</v>
      </c>
      <c r="N5318" s="14" t="str">
        <f>IFERROR(__xludf.DUMMYFUNCTION("""COMPUTED_VALUE"""),"")</f>
        <v/>
      </c>
      <c r="O5318" s="14"/>
    </row>
    <row r="5319" ht="22.5" hidden="1" customHeight="1">
      <c r="A5319" s="8">
        <v>46223.373615856486</v>
      </c>
      <c r="B5319" s="14">
        <v>46223.0</v>
      </c>
      <c r="C5319" s="9" t="s">
        <v>86</v>
      </c>
      <c r="D5319" s="9" t="s">
        <v>247</v>
      </c>
      <c r="E5319" s="9" t="s">
        <v>61</v>
      </c>
      <c r="F5319" s="9" t="s">
        <v>60</v>
      </c>
      <c r="G5319" s="9">
        <v>6.0</v>
      </c>
      <c r="H5319" s="9" t="s">
        <v>22</v>
      </c>
      <c r="I5319" s="9" t="s">
        <v>402</v>
      </c>
      <c r="J5319" s="16">
        <v>0.6</v>
      </c>
      <c r="K5319" s="14" t="s">
        <v>398</v>
      </c>
      <c r="N5319" s="14" t="str">
        <f>IFERROR(__xludf.DUMMYFUNCTION("""COMPUTED_VALUE"""),"")</f>
        <v/>
      </c>
      <c r="O5319" s="14"/>
    </row>
    <row r="5320" ht="22.5" hidden="1" customHeight="1">
      <c r="A5320" s="8">
        <v>46223.37466263889</v>
      </c>
      <c r="B5320" s="14">
        <v>46223.0</v>
      </c>
      <c r="C5320" s="9" t="s">
        <v>86</v>
      </c>
      <c r="D5320" s="9" t="s">
        <v>249</v>
      </c>
      <c r="E5320" s="9" t="s">
        <v>46</v>
      </c>
      <c r="F5320" s="9" t="s">
        <v>18</v>
      </c>
      <c r="G5320" s="9">
        <v>7.0</v>
      </c>
      <c r="H5320" s="9" t="s">
        <v>22</v>
      </c>
      <c r="I5320" s="9" t="s">
        <v>20</v>
      </c>
      <c r="J5320" s="16">
        <v>0.4</v>
      </c>
      <c r="K5320" s="14" t="s">
        <v>398</v>
      </c>
      <c r="N5320" s="14" t="str">
        <f>IFERROR(__xludf.DUMMYFUNCTION("""COMPUTED_VALUE"""),"")</f>
        <v/>
      </c>
      <c r="O5320" s="14"/>
    </row>
    <row r="5321" ht="22.5" hidden="1" customHeight="1">
      <c r="A5321" s="8">
        <v>46223.37473365741</v>
      </c>
      <c r="B5321" s="14">
        <v>46223.0</v>
      </c>
      <c r="C5321" s="9" t="s">
        <v>86</v>
      </c>
      <c r="D5321" s="9" t="s">
        <v>446</v>
      </c>
      <c r="E5321" s="9" t="s">
        <v>17</v>
      </c>
      <c r="F5321" s="9" t="s">
        <v>17</v>
      </c>
      <c r="G5321" s="9">
        <v>8.0</v>
      </c>
      <c r="H5321" s="9" t="s">
        <v>17</v>
      </c>
      <c r="I5321" s="9" t="s">
        <v>20</v>
      </c>
      <c r="J5321" s="16">
        <v>0.8</v>
      </c>
      <c r="K5321" s="14" t="s">
        <v>398</v>
      </c>
      <c r="N5321" s="14" t="str">
        <f>IFERROR(__xludf.DUMMYFUNCTION("""COMPUTED_VALUE"""),"")</f>
        <v/>
      </c>
      <c r="O5321" s="14"/>
    </row>
    <row r="5322" ht="22.5" hidden="1" customHeight="1">
      <c r="A5322" s="8">
        <v>46223.37531099537</v>
      </c>
      <c r="B5322" s="14">
        <v>46223.0</v>
      </c>
      <c r="C5322" s="9" t="s">
        <v>86</v>
      </c>
      <c r="D5322" s="9" t="s">
        <v>449</v>
      </c>
      <c r="E5322" s="9" t="s">
        <v>61</v>
      </c>
      <c r="F5322" s="9" t="s">
        <v>17</v>
      </c>
      <c r="G5322" s="9">
        <v>6.0</v>
      </c>
      <c r="H5322" s="9" t="s">
        <v>17</v>
      </c>
      <c r="I5322" s="9" t="s">
        <v>20</v>
      </c>
      <c r="J5322" s="16">
        <v>0.6</v>
      </c>
      <c r="K5322" s="14" t="s">
        <v>398</v>
      </c>
      <c r="N5322" s="14" t="str">
        <f>IFERROR(__xludf.DUMMYFUNCTION("""COMPUTED_VALUE"""),"")</f>
        <v/>
      </c>
      <c r="O5322" s="14"/>
    </row>
    <row r="5323" ht="22.5" hidden="1" customHeight="1">
      <c r="A5323" s="8">
        <v>46223.375426342594</v>
      </c>
      <c r="B5323" s="14">
        <v>46223.0</v>
      </c>
      <c r="C5323" s="9" t="s">
        <v>86</v>
      </c>
      <c r="D5323" s="9" t="s">
        <v>413</v>
      </c>
      <c r="E5323" s="9" t="s">
        <v>17</v>
      </c>
      <c r="F5323" s="9" t="s">
        <v>17</v>
      </c>
      <c r="G5323" s="9">
        <v>7.0</v>
      </c>
      <c r="H5323" s="9" t="s">
        <v>22</v>
      </c>
      <c r="I5323" s="9" t="s">
        <v>20</v>
      </c>
      <c r="J5323" s="16">
        <v>0.8</v>
      </c>
      <c r="K5323" s="14" t="s">
        <v>398</v>
      </c>
      <c r="N5323" s="14" t="str">
        <f>IFERROR(__xludf.DUMMYFUNCTION("""COMPUTED_VALUE"""),"")</f>
        <v/>
      </c>
      <c r="O5323" s="14"/>
    </row>
    <row r="5324" ht="22.5" hidden="1" customHeight="1">
      <c r="A5324" s="8">
        <v>46223.375748182865</v>
      </c>
      <c r="B5324" s="14">
        <v>46223.0</v>
      </c>
      <c r="C5324" s="9" t="s">
        <v>86</v>
      </c>
      <c r="D5324" s="9" t="s">
        <v>414</v>
      </c>
      <c r="E5324" s="9" t="s">
        <v>61</v>
      </c>
      <c r="F5324" s="9" t="s">
        <v>17</v>
      </c>
      <c r="G5324" s="9">
        <v>7.0</v>
      </c>
      <c r="H5324" s="9" t="s">
        <v>22</v>
      </c>
      <c r="I5324" s="9" t="s">
        <v>20</v>
      </c>
      <c r="J5324" s="16">
        <v>0.6</v>
      </c>
      <c r="K5324" s="14" t="s">
        <v>398</v>
      </c>
      <c r="N5324" s="14" t="str">
        <f>IFERROR(__xludf.DUMMYFUNCTION("""COMPUTED_VALUE"""),"")</f>
        <v/>
      </c>
      <c r="O5324" s="14"/>
    </row>
    <row r="5325" ht="22.5" hidden="1" customHeight="1">
      <c r="A5325" s="8">
        <v>46223.37890962963</v>
      </c>
      <c r="B5325" s="14">
        <v>46223.0</v>
      </c>
      <c r="C5325" s="9" t="s">
        <v>86</v>
      </c>
      <c r="D5325" s="9" t="s">
        <v>175</v>
      </c>
      <c r="E5325" s="9" t="s">
        <v>46</v>
      </c>
      <c r="F5325" s="9" t="s">
        <v>17</v>
      </c>
      <c r="G5325" s="9">
        <v>8.0</v>
      </c>
      <c r="H5325" s="9" t="s">
        <v>25</v>
      </c>
      <c r="I5325" s="9" t="s">
        <v>207</v>
      </c>
      <c r="J5325" s="16">
        <v>0.8</v>
      </c>
      <c r="K5325" s="14" t="s">
        <v>398</v>
      </c>
      <c r="N5325" s="14" t="str">
        <f>IFERROR(__xludf.DUMMYFUNCTION("""COMPUTED_VALUE"""),"")</f>
        <v/>
      </c>
      <c r="O5325" s="14"/>
    </row>
    <row r="5326" ht="22.5" hidden="1" customHeight="1">
      <c r="A5326" s="8">
        <v>46223.379331874996</v>
      </c>
      <c r="B5326" s="14">
        <v>46223.0</v>
      </c>
      <c r="C5326" s="9" t="s">
        <v>86</v>
      </c>
      <c r="D5326" s="9" t="s">
        <v>393</v>
      </c>
      <c r="E5326" s="9" t="s">
        <v>46</v>
      </c>
      <c r="F5326" s="9" t="s">
        <v>17</v>
      </c>
      <c r="G5326" s="9">
        <v>8.0</v>
      </c>
      <c r="H5326" s="9" t="s">
        <v>22</v>
      </c>
      <c r="I5326" s="9" t="s">
        <v>20</v>
      </c>
      <c r="J5326" s="16">
        <v>0.8</v>
      </c>
      <c r="K5326" s="14" t="s">
        <v>398</v>
      </c>
      <c r="N5326" s="14" t="str">
        <f>IFERROR(__xludf.DUMMYFUNCTION("""COMPUTED_VALUE"""),"")</f>
        <v/>
      </c>
      <c r="O5326" s="14"/>
    </row>
    <row r="5327" ht="22.5" hidden="1" customHeight="1">
      <c r="A5327" s="8">
        <v>46223.380853888884</v>
      </c>
      <c r="B5327" s="14">
        <v>46223.0</v>
      </c>
      <c r="C5327" s="9" t="s">
        <v>86</v>
      </c>
      <c r="D5327" s="9" t="s">
        <v>369</v>
      </c>
      <c r="E5327" s="9" t="s">
        <v>46</v>
      </c>
      <c r="F5327" s="9" t="s">
        <v>60</v>
      </c>
      <c r="G5327" s="9">
        <v>6.0</v>
      </c>
      <c r="H5327" s="9" t="s">
        <v>25</v>
      </c>
      <c r="I5327" s="9" t="s">
        <v>137</v>
      </c>
      <c r="J5327" s="16">
        <v>0.6</v>
      </c>
      <c r="K5327" s="14" t="s">
        <v>398</v>
      </c>
      <c r="N5327" s="14" t="str">
        <f>IFERROR(__xludf.DUMMYFUNCTION("""COMPUTED_VALUE"""),"")</f>
        <v/>
      </c>
      <c r="O5327" s="14"/>
    </row>
    <row r="5328" ht="22.5" hidden="1" customHeight="1">
      <c r="A5328" s="8">
        <v>46223.3836577662</v>
      </c>
      <c r="B5328" s="14">
        <v>46223.0</v>
      </c>
      <c r="C5328" s="9" t="s">
        <v>86</v>
      </c>
      <c r="D5328" s="9" t="s">
        <v>450</v>
      </c>
      <c r="E5328" s="9" t="s">
        <v>17</v>
      </c>
      <c r="F5328" s="9" t="s">
        <v>17</v>
      </c>
      <c r="G5328" s="9">
        <v>6.0</v>
      </c>
      <c r="H5328" s="9" t="s">
        <v>17</v>
      </c>
      <c r="I5328" s="9" t="s">
        <v>20</v>
      </c>
      <c r="J5328" s="16">
        <v>0.8</v>
      </c>
      <c r="K5328" s="14" t="s">
        <v>398</v>
      </c>
      <c r="N5328" s="14" t="str">
        <f>IFERROR(__xludf.DUMMYFUNCTION("""COMPUTED_VALUE"""),"")</f>
        <v/>
      </c>
      <c r="O5328" s="14"/>
    </row>
    <row r="5329" ht="22.5" hidden="1" customHeight="1">
      <c r="A5329" s="8">
        <v>46223.38441255787</v>
      </c>
      <c r="B5329" s="14">
        <v>46223.0</v>
      </c>
      <c r="C5329" s="9" t="s">
        <v>86</v>
      </c>
      <c r="D5329" s="9" t="s">
        <v>447</v>
      </c>
      <c r="E5329" s="9" t="s">
        <v>17</v>
      </c>
      <c r="F5329" s="9" t="s">
        <v>17</v>
      </c>
      <c r="G5329" s="9">
        <v>8.0</v>
      </c>
      <c r="H5329" s="9" t="s">
        <v>17</v>
      </c>
      <c r="I5329" s="9" t="s">
        <v>20</v>
      </c>
      <c r="J5329" s="16">
        <v>0.8</v>
      </c>
      <c r="K5329" s="14" t="s">
        <v>398</v>
      </c>
      <c r="N5329" s="14" t="str">
        <f>IFERROR(__xludf.DUMMYFUNCTION("""COMPUTED_VALUE"""),"")</f>
        <v/>
      </c>
      <c r="O5329" s="14"/>
    </row>
    <row r="5330" ht="22.5" hidden="1" customHeight="1">
      <c r="A5330" s="8">
        <v>46223.38794721065</v>
      </c>
      <c r="B5330" s="14">
        <v>46223.0</v>
      </c>
      <c r="C5330" s="9" t="s">
        <v>86</v>
      </c>
      <c r="D5330" s="9" t="s">
        <v>444</v>
      </c>
      <c r="E5330" s="9" t="s">
        <v>17</v>
      </c>
      <c r="F5330" s="9" t="s">
        <v>60</v>
      </c>
      <c r="G5330" s="9">
        <v>7.0</v>
      </c>
      <c r="H5330" s="9" t="s">
        <v>17</v>
      </c>
      <c r="I5330" s="9" t="s">
        <v>20</v>
      </c>
      <c r="J5330" s="16">
        <v>0.8</v>
      </c>
      <c r="K5330" s="14" t="s">
        <v>398</v>
      </c>
      <c r="N5330" s="14" t="str">
        <f>IFERROR(__xludf.DUMMYFUNCTION("""COMPUTED_VALUE"""),"")</f>
        <v/>
      </c>
      <c r="O5330" s="14"/>
    </row>
    <row r="5331" ht="22.5" hidden="1" customHeight="1">
      <c r="A5331" s="8">
        <v>46223.38869479166</v>
      </c>
      <c r="B5331" s="14">
        <v>46223.0</v>
      </c>
      <c r="C5331" s="9" t="s">
        <v>86</v>
      </c>
      <c r="D5331" s="9" t="s">
        <v>448</v>
      </c>
      <c r="E5331" s="9" t="s">
        <v>17</v>
      </c>
      <c r="F5331" s="9" t="s">
        <v>17</v>
      </c>
      <c r="G5331" s="9">
        <v>8.0</v>
      </c>
      <c r="H5331" s="9" t="s">
        <v>17</v>
      </c>
      <c r="I5331" s="9" t="s">
        <v>20</v>
      </c>
      <c r="J5331" s="16">
        <v>0.8</v>
      </c>
      <c r="K5331" s="14" t="s">
        <v>398</v>
      </c>
      <c r="N5331" s="14" t="str">
        <f>IFERROR(__xludf.DUMMYFUNCTION("""COMPUTED_VALUE"""),"")</f>
        <v/>
      </c>
      <c r="O5331" s="14"/>
    </row>
    <row r="5332" ht="22.5" hidden="1" customHeight="1">
      <c r="A5332" s="8">
        <v>46223.391883275464</v>
      </c>
      <c r="B5332" s="14">
        <v>46223.0</v>
      </c>
      <c r="C5332" s="9" t="s">
        <v>86</v>
      </c>
      <c r="D5332" s="9" t="s">
        <v>335</v>
      </c>
      <c r="E5332" s="9" t="s">
        <v>61</v>
      </c>
      <c r="F5332" s="9" t="s">
        <v>17</v>
      </c>
      <c r="G5332" s="9">
        <v>6.0</v>
      </c>
      <c r="H5332" s="9" t="s">
        <v>22</v>
      </c>
      <c r="I5332" s="9" t="s">
        <v>20</v>
      </c>
      <c r="J5332" s="16">
        <v>0.6</v>
      </c>
      <c r="K5332" s="14" t="s">
        <v>398</v>
      </c>
      <c r="N5332" s="14" t="str">
        <f>IFERROR(__xludf.DUMMYFUNCTION("""COMPUTED_VALUE"""),"")</f>
        <v/>
      </c>
      <c r="O5332" s="14"/>
    </row>
    <row r="5333" ht="22.5" hidden="1" customHeight="1">
      <c r="A5333" s="8">
        <v>46223.39228273148</v>
      </c>
      <c r="B5333" s="14">
        <v>46223.0</v>
      </c>
      <c r="C5333" s="9" t="s">
        <v>86</v>
      </c>
      <c r="D5333" s="9" t="s">
        <v>174</v>
      </c>
      <c r="E5333" s="9" t="s">
        <v>61</v>
      </c>
      <c r="F5333" s="9" t="s">
        <v>17</v>
      </c>
      <c r="G5333" s="9">
        <v>6.0</v>
      </c>
      <c r="H5333" s="9" t="s">
        <v>22</v>
      </c>
      <c r="I5333" s="9" t="s">
        <v>218</v>
      </c>
      <c r="J5333" s="16">
        <v>0.6</v>
      </c>
      <c r="K5333" s="14" t="s">
        <v>398</v>
      </c>
      <c r="N5333" s="14" t="str">
        <f>IFERROR(__xludf.DUMMYFUNCTION("""COMPUTED_VALUE"""),"")</f>
        <v/>
      </c>
      <c r="O5333" s="14"/>
    </row>
    <row r="5334" ht="22.5" hidden="1" customHeight="1">
      <c r="A5334" s="8">
        <v>46223.39259649305</v>
      </c>
      <c r="B5334" s="14">
        <v>46223.0</v>
      </c>
      <c r="C5334" s="9" t="s">
        <v>86</v>
      </c>
      <c r="D5334" s="9" t="s">
        <v>442</v>
      </c>
      <c r="E5334" s="9" t="s">
        <v>17</v>
      </c>
      <c r="F5334" s="9" t="s">
        <v>17</v>
      </c>
      <c r="G5334" s="9">
        <v>7.0</v>
      </c>
      <c r="H5334" s="9" t="s">
        <v>17</v>
      </c>
      <c r="I5334" s="9" t="s">
        <v>20</v>
      </c>
      <c r="J5334" s="16">
        <v>0.6</v>
      </c>
      <c r="K5334" s="14" t="s">
        <v>398</v>
      </c>
      <c r="N5334" s="14" t="str">
        <f>IFERROR(__xludf.DUMMYFUNCTION("""COMPUTED_VALUE"""),"")</f>
        <v/>
      </c>
      <c r="O5334" s="14"/>
    </row>
    <row r="5335" ht="22.5" hidden="1" customHeight="1">
      <c r="A5335" s="8">
        <v>46223.392726921295</v>
      </c>
      <c r="B5335" s="14">
        <v>46223.0</v>
      </c>
      <c r="C5335" s="9" t="s">
        <v>86</v>
      </c>
      <c r="D5335" s="9" t="s">
        <v>442</v>
      </c>
      <c r="E5335" s="9" t="s">
        <v>17</v>
      </c>
      <c r="F5335" s="9" t="s">
        <v>17</v>
      </c>
      <c r="G5335" s="9">
        <v>6.0</v>
      </c>
      <c r="H5335" s="9" t="s">
        <v>22</v>
      </c>
      <c r="I5335" s="9" t="s">
        <v>20</v>
      </c>
      <c r="J5335" s="16">
        <v>0.8</v>
      </c>
      <c r="K5335" s="14" t="s">
        <v>398</v>
      </c>
      <c r="N5335" s="14" t="str">
        <f>IFERROR(__xludf.DUMMYFUNCTION("""COMPUTED_VALUE"""),"")</f>
        <v/>
      </c>
      <c r="O5335" s="14"/>
    </row>
    <row r="5336" ht="22.5" hidden="1" customHeight="1">
      <c r="A5336" s="8">
        <v>46223.39305445601</v>
      </c>
      <c r="B5336" s="14">
        <v>46223.0</v>
      </c>
      <c r="C5336" s="9" t="s">
        <v>86</v>
      </c>
      <c r="D5336" s="9" t="s">
        <v>441</v>
      </c>
      <c r="E5336" s="9" t="s">
        <v>46</v>
      </c>
      <c r="F5336" s="9" t="s">
        <v>17</v>
      </c>
      <c r="G5336" s="9">
        <v>7.0</v>
      </c>
      <c r="H5336" s="9" t="s">
        <v>22</v>
      </c>
      <c r="I5336" s="9" t="s">
        <v>20</v>
      </c>
      <c r="J5336" s="16">
        <v>0.8</v>
      </c>
      <c r="K5336" s="14" t="s">
        <v>398</v>
      </c>
      <c r="N5336" s="14" t="str">
        <f>IFERROR(__xludf.DUMMYFUNCTION("""COMPUTED_VALUE"""),"")</f>
        <v/>
      </c>
      <c r="O5336" s="14"/>
    </row>
    <row r="5337" ht="22.5" hidden="1" customHeight="1">
      <c r="A5337" s="8">
        <v>46224.35588253472</v>
      </c>
      <c r="B5337" s="14">
        <v>46224.0</v>
      </c>
      <c r="C5337" s="9" t="s">
        <v>110</v>
      </c>
      <c r="D5337" s="9" t="s">
        <v>445</v>
      </c>
      <c r="E5337" s="9" t="s">
        <v>17</v>
      </c>
      <c r="F5337" s="9" t="s">
        <v>17</v>
      </c>
      <c r="G5337" s="9">
        <v>8.0</v>
      </c>
      <c r="H5337" s="9" t="s">
        <v>17</v>
      </c>
      <c r="I5337" s="9" t="s">
        <v>20</v>
      </c>
      <c r="J5337" s="16">
        <v>0.6</v>
      </c>
      <c r="K5337" s="14" t="s">
        <v>398</v>
      </c>
      <c r="N5337" s="14" t="str">
        <f>IFERROR(__xludf.DUMMYFUNCTION("""COMPUTED_VALUE"""),"")</f>
        <v/>
      </c>
      <c r="O5337" s="14"/>
    </row>
    <row r="5338" ht="22.5" hidden="1" customHeight="1">
      <c r="A5338" s="8">
        <v>46224.35662747685</v>
      </c>
      <c r="B5338" s="14">
        <v>46224.0</v>
      </c>
      <c r="C5338" s="9" t="s">
        <v>110</v>
      </c>
      <c r="D5338" s="9" t="s">
        <v>171</v>
      </c>
      <c r="E5338" s="9" t="s">
        <v>46</v>
      </c>
      <c r="F5338" s="9" t="s">
        <v>60</v>
      </c>
      <c r="G5338" s="9">
        <v>6.0</v>
      </c>
      <c r="H5338" s="9" t="s">
        <v>25</v>
      </c>
      <c r="I5338" s="9" t="s">
        <v>207</v>
      </c>
      <c r="J5338" s="16">
        <v>0.6</v>
      </c>
      <c r="K5338" s="14">
        <v>7.0</v>
      </c>
      <c r="N5338" s="14" t="str">
        <f>IFERROR(__xludf.DUMMYFUNCTION("""COMPUTED_VALUE"""),"")</f>
        <v/>
      </c>
      <c r="O5338" s="14"/>
    </row>
    <row r="5339" ht="22.5" hidden="1" customHeight="1">
      <c r="A5339" s="8">
        <v>46224.35746306713</v>
      </c>
      <c r="B5339" s="14">
        <v>46224.0</v>
      </c>
      <c r="C5339" s="9" t="s">
        <v>110</v>
      </c>
      <c r="D5339" s="9" t="s">
        <v>178</v>
      </c>
      <c r="E5339" s="9" t="s">
        <v>61</v>
      </c>
      <c r="F5339" s="9" t="s">
        <v>60</v>
      </c>
      <c r="G5339" s="9">
        <v>6.0</v>
      </c>
      <c r="H5339" s="9" t="s">
        <v>25</v>
      </c>
      <c r="I5339" s="9" t="s">
        <v>207</v>
      </c>
      <c r="J5339" s="16">
        <v>0.8</v>
      </c>
      <c r="K5339" s="14">
        <v>9.0</v>
      </c>
      <c r="N5339" s="14" t="str">
        <f>IFERROR(__xludf.DUMMYFUNCTION("""COMPUTED_VALUE"""),"")</f>
        <v/>
      </c>
      <c r="O5339" s="14"/>
    </row>
    <row r="5340" ht="22.5" hidden="1" customHeight="1">
      <c r="A5340" s="8">
        <v>46224.35813956019</v>
      </c>
      <c r="B5340" s="14">
        <v>46224.0</v>
      </c>
      <c r="C5340" s="9" t="s">
        <v>110</v>
      </c>
      <c r="D5340" s="9" t="s">
        <v>439</v>
      </c>
      <c r="E5340" s="9" t="s">
        <v>17</v>
      </c>
      <c r="F5340" s="9" t="s">
        <v>17</v>
      </c>
      <c r="G5340" s="9">
        <v>7.0</v>
      </c>
      <c r="H5340" s="9" t="s">
        <v>25</v>
      </c>
      <c r="I5340" s="9" t="s">
        <v>218</v>
      </c>
      <c r="J5340" s="16">
        <v>0.8</v>
      </c>
      <c r="K5340" s="14" t="s">
        <v>398</v>
      </c>
      <c r="N5340" s="14" t="str">
        <f>IFERROR(__xludf.DUMMYFUNCTION("""COMPUTED_VALUE"""),"")</f>
        <v/>
      </c>
      <c r="O5340" s="14"/>
    </row>
    <row r="5341" ht="22.5" hidden="1" customHeight="1">
      <c r="A5341" s="8">
        <v>46224.35916685185</v>
      </c>
      <c r="B5341" s="14">
        <v>46224.0</v>
      </c>
      <c r="C5341" s="9" t="s">
        <v>110</v>
      </c>
      <c r="D5341" s="9" t="s">
        <v>367</v>
      </c>
      <c r="E5341" s="9" t="s">
        <v>46</v>
      </c>
      <c r="F5341" s="9" t="s">
        <v>43</v>
      </c>
      <c r="G5341" s="9">
        <v>8.0</v>
      </c>
      <c r="H5341" s="9" t="s">
        <v>25</v>
      </c>
      <c r="I5341" s="9" t="s">
        <v>41</v>
      </c>
      <c r="J5341" s="16">
        <v>0.8</v>
      </c>
      <c r="K5341" s="14">
        <v>6.0</v>
      </c>
      <c r="N5341" s="14" t="str">
        <f>IFERROR(__xludf.DUMMYFUNCTION("""COMPUTED_VALUE"""),"")</f>
        <v/>
      </c>
      <c r="O5341" s="14"/>
    </row>
    <row r="5342" ht="22.5" hidden="1" customHeight="1">
      <c r="A5342" s="8">
        <v>46224.359845011575</v>
      </c>
      <c r="B5342" s="14">
        <v>46224.0</v>
      </c>
      <c r="C5342" s="9" t="s">
        <v>110</v>
      </c>
      <c r="D5342" s="9" t="s">
        <v>393</v>
      </c>
      <c r="E5342" s="9" t="s">
        <v>17</v>
      </c>
      <c r="F5342" s="9" t="s">
        <v>17</v>
      </c>
      <c r="G5342" s="9">
        <v>7.0</v>
      </c>
      <c r="H5342" s="9" t="s">
        <v>25</v>
      </c>
      <c r="I5342" s="9" t="s">
        <v>240</v>
      </c>
      <c r="J5342" s="16">
        <v>0.8</v>
      </c>
      <c r="K5342" s="14" t="s">
        <v>398</v>
      </c>
      <c r="N5342" s="14" t="str">
        <f>IFERROR(__xludf.DUMMYFUNCTION("""COMPUTED_VALUE"""),"")</f>
        <v/>
      </c>
      <c r="O5342" s="14"/>
    </row>
    <row r="5343" ht="22.5" hidden="1" customHeight="1">
      <c r="A5343" s="8">
        <v>46224.3613824537</v>
      </c>
      <c r="B5343" s="14">
        <v>46224.0</v>
      </c>
      <c r="C5343" s="9" t="s">
        <v>110</v>
      </c>
      <c r="D5343" s="9" t="s">
        <v>369</v>
      </c>
      <c r="E5343" s="9" t="s">
        <v>61</v>
      </c>
      <c r="F5343" s="9" t="s">
        <v>17</v>
      </c>
      <c r="G5343" s="9">
        <v>8.0</v>
      </c>
      <c r="H5343" s="9" t="s">
        <v>25</v>
      </c>
      <c r="I5343" s="9" t="s">
        <v>325</v>
      </c>
      <c r="J5343" s="16">
        <v>0.8</v>
      </c>
      <c r="K5343" s="14">
        <v>8.0</v>
      </c>
      <c r="N5343" s="14" t="str">
        <f>IFERROR(__xludf.DUMMYFUNCTION("""COMPUTED_VALUE"""),"")</f>
        <v/>
      </c>
      <c r="O5343" s="14"/>
    </row>
    <row r="5344" ht="22.5" hidden="1" customHeight="1">
      <c r="A5344" s="8">
        <v>46224.36359878472</v>
      </c>
      <c r="B5344" s="14">
        <v>46224.0</v>
      </c>
      <c r="C5344" s="9" t="s">
        <v>110</v>
      </c>
      <c r="D5344" s="9" t="s">
        <v>357</v>
      </c>
      <c r="E5344" s="9" t="s">
        <v>46</v>
      </c>
      <c r="F5344" s="9" t="s">
        <v>17</v>
      </c>
      <c r="G5344" s="9">
        <v>7.0</v>
      </c>
      <c r="H5344" s="9" t="s">
        <v>25</v>
      </c>
      <c r="I5344" s="9" t="s">
        <v>20</v>
      </c>
      <c r="J5344" s="16">
        <v>0.6</v>
      </c>
      <c r="K5344" s="14">
        <v>2.0</v>
      </c>
      <c r="N5344" s="14" t="str">
        <f>IFERROR(__xludf.DUMMYFUNCTION("""COMPUTED_VALUE"""),"")</f>
        <v/>
      </c>
      <c r="O5344" s="14"/>
    </row>
    <row r="5345" ht="22.5" hidden="1" customHeight="1">
      <c r="A5345" s="8">
        <v>46224.36563804398</v>
      </c>
      <c r="B5345" s="14">
        <v>46224.0</v>
      </c>
      <c r="C5345" s="9" t="s">
        <v>110</v>
      </c>
      <c r="D5345" s="9" t="s">
        <v>259</v>
      </c>
      <c r="E5345" s="9" t="s">
        <v>17</v>
      </c>
      <c r="F5345" s="9" t="s">
        <v>43</v>
      </c>
      <c r="G5345" s="9">
        <v>8.0</v>
      </c>
      <c r="H5345" s="9" t="s">
        <v>17</v>
      </c>
      <c r="I5345" s="9" t="s">
        <v>20</v>
      </c>
      <c r="J5345" s="16">
        <v>0.6</v>
      </c>
      <c r="K5345" s="14">
        <v>1.0</v>
      </c>
      <c r="N5345" s="14" t="str">
        <f>IFERROR(__xludf.DUMMYFUNCTION("""COMPUTED_VALUE"""),"")</f>
        <v/>
      </c>
      <c r="O5345" s="14"/>
    </row>
    <row r="5346" ht="22.5" hidden="1" customHeight="1">
      <c r="A5346" s="8">
        <v>46224.3779974537</v>
      </c>
      <c r="B5346" s="14">
        <v>46224.0</v>
      </c>
      <c r="C5346" s="9" t="s">
        <v>110</v>
      </c>
      <c r="D5346" s="9" t="s">
        <v>249</v>
      </c>
      <c r="E5346" s="9" t="s">
        <v>17</v>
      </c>
      <c r="F5346" s="9" t="s">
        <v>17</v>
      </c>
      <c r="G5346" s="9">
        <v>7.0</v>
      </c>
      <c r="H5346" s="9" t="s">
        <v>22</v>
      </c>
      <c r="I5346" s="9" t="s">
        <v>20</v>
      </c>
      <c r="J5346" s="16">
        <v>0.8</v>
      </c>
      <c r="K5346" s="14">
        <v>2.0</v>
      </c>
      <c r="N5346" s="14" t="str">
        <f>IFERROR(__xludf.DUMMYFUNCTION("""COMPUTED_VALUE"""),"")</f>
        <v/>
      </c>
      <c r="O5346" s="14"/>
    </row>
    <row r="5347" ht="22.5" hidden="1" customHeight="1">
      <c r="A5347" s="8">
        <v>46224.38119446759</v>
      </c>
      <c r="B5347" s="14">
        <v>46224.0</v>
      </c>
      <c r="C5347" s="9" t="s">
        <v>110</v>
      </c>
      <c r="D5347" s="9" t="s">
        <v>394</v>
      </c>
      <c r="E5347" s="9" t="s">
        <v>30</v>
      </c>
      <c r="F5347" s="9" t="s">
        <v>35</v>
      </c>
      <c r="G5347" s="9">
        <v>7.0</v>
      </c>
      <c r="H5347" s="9" t="s">
        <v>22</v>
      </c>
      <c r="I5347" s="9" t="s">
        <v>20</v>
      </c>
      <c r="J5347" s="16">
        <v>1.0</v>
      </c>
      <c r="K5347" s="14" t="s">
        <v>398</v>
      </c>
      <c r="N5347" s="14" t="str">
        <f>IFERROR(__xludf.DUMMYFUNCTION("""COMPUTED_VALUE"""),"")</f>
        <v/>
      </c>
      <c r="O5347" s="14"/>
    </row>
    <row r="5348" ht="22.5" hidden="1" customHeight="1">
      <c r="A5348" s="8">
        <v>46224.381696956014</v>
      </c>
      <c r="B5348" s="14">
        <v>46224.0</v>
      </c>
      <c r="C5348" s="9" t="s">
        <v>110</v>
      </c>
      <c r="D5348" s="9" t="s">
        <v>413</v>
      </c>
      <c r="E5348" s="9" t="s">
        <v>17</v>
      </c>
      <c r="F5348" s="9" t="s">
        <v>17</v>
      </c>
      <c r="G5348" s="9">
        <v>7.0</v>
      </c>
      <c r="H5348" s="9" t="s">
        <v>22</v>
      </c>
      <c r="I5348" s="9" t="s">
        <v>20</v>
      </c>
      <c r="J5348" s="16">
        <v>0.8</v>
      </c>
      <c r="K5348" s="14">
        <v>6.0</v>
      </c>
      <c r="N5348" s="14" t="str">
        <f>IFERROR(__xludf.DUMMYFUNCTION("""COMPUTED_VALUE"""),"")</f>
        <v/>
      </c>
      <c r="O5348" s="14"/>
    </row>
    <row r="5349" ht="22.5" hidden="1" customHeight="1">
      <c r="A5349" s="8">
        <v>46224.381989456015</v>
      </c>
      <c r="B5349" s="14">
        <v>46224.0</v>
      </c>
      <c r="C5349" s="9" t="s">
        <v>110</v>
      </c>
      <c r="D5349" s="9" t="s">
        <v>414</v>
      </c>
      <c r="E5349" s="9" t="s">
        <v>17</v>
      </c>
      <c r="F5349" s="9" t="s">
        <v>17</v>
      </c>
      <c r="G5349" s="9">
        <v>7.0</v>
      </c>
      <c r="H5349" s="9" t="s">
        <v>22</v>
      </c>
      <c r="I5349" s="9" t="s">
        <v>20</v>
      </c>
      <c r="J5349" s="16">
        <v>0.8</v>
      </c>
      <c r="K5349" s="14">
        <v>2.0</v>
      </c>
      <c r="N5349" s="14" t="str">
        <f>IFERROR(__xludf.DUMMYFUNCTION("""COMPUTED_VALUE"""),"")</f>
        <v/>
      </c>
      <c r="O5349" s="14"/>
    </row>
    <row r="5350" ht="22.5" hidden="1" customHeight="1">
      <c r="A5350" s="8">
        <v>46224.383882291666</v>
      </c>
      <c r="B5350" s="14">
        <v>46224.0</v>
      </c>
      <c r="C5350" s="9" t="s">
        <v>110</v>
      </c>
      <c r="D5350" s="9" t="s">
        <v>395</v>
      </c>
      <c r="E5350" s="9" t="s">
        <v>17</v>
      </c>
      <c r="F5350" s="9" t="s">
        <v>17</v>
      </c>
      <c r="G5350" s="9">
        <v>7.0</v>
      </c>
      <c r="H5350" s="9" t="s">
        <v>25</v>
      </c>
      <c r="I5350" s="9" t="s">
        <v>137</v>
      </c>
      <c r="J5350" s="16">
        <v>0.8</v>
      </c>
      <c r="K5350" s="14">
        <v>8.0</v>
      </c>
      <c r="N5350" s="14" t="str">
        <f>IFERROR(__xludf.DUMMYFUNCTION("""COMPUTED_VALUE"""),"")</f>
        <v/>
      </c>
      <c r="O5350" s="14"/>
    </row>
    <row r="5351" ht="22.5" hidden="1" customHeight="1">
      <c r="A5351" s="8">
        <v>46224.385205625</v>
      </c>
      <c r="B5351" s="14">
        <v>46224.0</v>
      </c>
      <c r="C5351" s="9" t="s">
        <v>110</v>
      </c>
      <c r="D5351" s="9" t="s">
        <v>247</v>
      </c>
      <c r="E5351" s="9" t="s">
        <v>46</v>
      </c>
      <c r="F5351" s="9" t="s">
        <v>60</v>
      </c>
      <c r="G5351" s="9">
        <v>7.0</v>
      </c>
      <c r="H5351" s="9" t="s">
        <v>17</v>
      </c>
      <c r="I5351" s="9" t="s">
        <v>93</v>
      </c>
      <c r="J5351" s="16">
        <v>0.4</v>
      </c>
      <c r="K5351" s="14">
        <v>2.0</v>
      </c>
      <c r="N5351" s="14" t="str">
        <f>IFERROR(__xludf.DUMMYFUNCTION("""COMPUTED_VALUE"""),"")</f>
        <v/>
      </c>
      <c r="O5351" s="14"/>
    </row>
    <row r="5352" ht="22.5" hidden="1" customHeight="1">
      <c r="A5352" s="8">
        <v>46224.38556145833</v>
      </c>
      <c r="B5352" s="14">
        <v>46224.0</v>
      </c>
      <c r="C5352" s="9" t="s">
        <v>110</v>
      </c>
      <c r="D5352" s="9" t="s">
        <v>177</v>
      </c>
      <c r="E5352" s="9" t="s">
        <v>17</v>
      </c>
      <c r="F5352" s="9" t="s">
        <v>17</v>
      </c>
      <c r="G5352" s="9">
        <v>6.0</v>
      </c>
      <c r="H5352" s="9" t="s">
        <v>22</v>
      </c>
      <c r="I5352" s="9" t="s">
        <v>20</v>
      </c>
      <c r="J5352" s="16">
        <v>0.8</v>
      </c>
      <c r="K5352" s="14">
        <v>2.0</v>
      </c>
      <c r="N5352" s="14" t="str">
        <f>IFERROR(__xludf.DUMMYFUNCTION("""COMPUTED_VALUE"""),"")</f>
        <v/>
      </c>
      <c r="O5352" s="14"/>
    </row>
    <row r="5353" ht="22.5" hidden="1" customHeight="1">
      <c r="A5353" s="8">
        <v>46224.38579046296</v>
      </c>
      <c r="B5353" s="14">
        <v>46224.0</v>
      </c>
      <c r="C5353" s="9" t="s">
        <v>110</v>
      </c>
      <c r="D5353" s="9" t="s">
        <v>105</v>
      </c>
      <c r="E5353" s="9" t="s">
        <v>17</v>
      </c>
      <c r="F5353" s="9" t="s">
        <v>17</v>
      </c>
      <c r="G5353" s="9">
        <v>7.0</v>
      </c>
      <c r="H5353" s="9" t="s">
        <v>22</v>
      </c>
      <c r="I5353" s="9" t="s">
        <v>20</v>
      </c>
      <c r="J5353" s="16">
        <v>0.8</v>
      </c>
      <c r="K5353" s="14">
        <v>1.0</v>
      </c>
      <c r="N5353" s="14" t="str">
        <f>IFERROR(__xludf.DUMMYFUNCTION("""COMPUTED_VALUE"""),"")</f>
        <v/>
      </c>
      <c r="O5353" s="14"/>
    </row>
    <row r="5354" ht="22.5" hidden="1" customHeight="1">
      <c r="A5354" s="8">
        <v>46224.70327972222</v>
      </c>
      <c r="B5354" s="14">
        <v>46224.0</v>
      </c>
      <c r="C5354" s="9" t="s">
        <v>110</v>
      </c>
      <c r="D5354" s="9" t="s">
        <v>396</v>
      </c>
      <c r="E5354" s="9" t="s">
        <v>46</v>
      </c>
      <c r="F5354" s="9" t="s">
        <v>17</v>
      </c>
      <c r="G5354" s="9">
        <v>7.0</v>
      </c>
      <c r="H5354" s="9" t="s">
        <v>22</v>
      </c>
      <c r="I5354" s="9" t="s">
        <v>20</v>
      </c>
      <c r="J5354" s="16">
        <v>0.4</v>
      </c>
      <c r="K5354" s="14">
        <v>7.0</v>
      </c>
      <c r="N5354" s="14" t="str">
        <f>IFERROR(__xludf.DUMMYFUNCTION("""COMPUTED_VALUE"""),"")</f>
        <v/>
      </c>
      <c r="O5354" s="14"/>
    </row>
    <row r="5355" ht="22.5" hidden="1" customHeight="1">
      <c r="A5355" s="8">
        <v>46224.70388262732</v>
      </c>
      <c r="B5355" s="14">
        <v>46224.0</v>
      </c>
      <c r="C5355" s="9" t="s">
        <v>110</v>
      </c>
      <c r="D5355" s="9" t="s">
        <v>367</v>
      </c>
      <c r="E5355" s="9" t="s">
        <v>61</v>
      </c>
      <c r="F5355" s="9" t="s">
        <v>35</v>
      </c>
      <c r="G5355" s="9">
        <v>7.0</v>
      </c>
      <c r="H5355" s="9" t="s">
        <v>22</v>
      </c>
      <c r="I5355" s="9" t="s">
        <v>20</v>
      </c>
      <c r="J5355" s="16">
        <v>0.6</v>
      </c>
      <c r="K5355" s="14">
        <v>6.0</v>
      </c>
      <c r="N5355" s="14" t="str">
        <f>IFERROR(__xludf.DUMMYFUNCTION("""COMPUTED_VALUE"""),"")</f>
        <v/>
      </c>
      <c r="O5355" s="14"/>
    </row>
    <row r="5356" ht="22.5" hidden="1" customHeight="1">
      <c r="A5356" s="8">
        <v>46225.34021483797</v>
      </c>
      <c r="B5356" s="14">
        <v>46225.0</v>
      </c>
      <c r="C5356" s="9" t="s">
        <v>15</v>
      </c>
      <c r="D5356" s="9" t="s">
        <v>367</v>
      </c>
      <c r="E5356" s="9" t="s">
        <v>61</v>
      </c>
      <c r="F5356" s="9" t="s">
        <v>18</v>
      </c>
      <c r="G5356" s="9">
        <v>7.0</v>
      </c>
      <c r="H5356" s="9" t="s">
        <v>17</v>
      </c>
      <c r="I5356" s="9" t="s">
        <v>20</v>
      </c>
      <c r="J5356" s="16">
        <v>0.8</v>
      </c>
      <c r="K5356" s="14">
        <v>10.0</v>
      </c>
      <c r="N5356" s="14" t="str">
        <f>IFERROR(__xludf.DUMMYFUNCTION("""COMPUTED_VALUE"""),"")</f>
        <v/>
      </c>
      <c r="O5356" s="14"/>
    </row>
    <row r="5357" ht="22.5" hidden="1" customHeight="1">
      <c r="A5357" s="8">
        <v>46225.34988895833</v>
      </c>
      <c r="B5357" s="14">
        <v>46225.0</v>
      </c>
      <c r="C5357" s="9" t="s">
        <v>15</v>
      </c>
      <c r="D5357" s="9" t="s">
        <v>171</v>
      </c>
      <c r="E5357" s="9" t="s">
        <v>61</v>
      </c>
      <c r="F5357" s="9" t="s">
        <v>18</v>
      </c>
      <c r="G5357" s="9">
        <v>8.0</v>
      </c>
      <c r="H5357" s="9" t="s">
        <v>25</v>
      </c>
      <c r="I5357" s="9" t="s">
        <v>207</v>
      </c>
      <c r="J5357" s="16">
        <v>0.4</v>
      </c>
      <c r="K5357" s="14">
        <v>4.0</v>
      </c>
      <c r="N5357" s="14" t="str">
        <f>IFERROR(__xludf.DUMMYFUNCTION("""COMPUTED_VALUE"""),"")</f>
        <v/>
      </c>
      <c r="O5357" s="14"/>
    </row>
    <row r="5358" ht="22.5" hidden="1" customHeight="1">
      <c r="A5358" s="8">
        <v>46225.352266851856</v>
      </c>
      <c r="B5358" s="14">
        <v>46225.0</v>
      </c>
      <c r="C5358" s="9" t="s">
        <v>15</v>
      </c>
      <c r="D5358" s="9" t="s">
        <v>174</v>
      </c>
      <c r="E5358" s="9" t="s">
        <v>17</v>
      </c>
      <c r="F5358" s="9" t="s">
        <v>17</v>
      </c>
      <c r="G5358" s="9">
        <v>7.0</v>
      </c>
      <c r="H5358" s="9" t="s">
        <v>25</v>
      </c>
      <c r="I5358" s="9" t="s">
        <v>218</v>
      </c>
      <c r="J5358" s="16">
        <v>0.8</v>
      </c>
      <c r="K5358" s="14">
        <v>3.0</v>
      </c>
      <c r="N5358" s="14" t="str">
        <f>IFERROR(__xludf.DUMMYFUNCTION("""COMPUTED_VALUE"""),"")</f>
        <v/>
      </c>
      <c r="O5358" s="14"/>
    </row>
    <row r="5359" ht="22.5" hidden="1" customHeight="1">
      <c r="A5359" s="8">
        <v>46225.354457361114</v>
      </c>
      <c r="B5359" s="14">
        <v>46225.0</v>
      </c>
      <c r="C5359" s="9" t="s">
        <v>15</v>
      </c>
      <c r="D5359" s="9" t="s">
        <v>105</v>
      </c>
      <c r="E5359" s="9" t="s">
        <v>17</v>
      </c>
      <c r="F5359" s="9" t="s">
        <v>17</v>
      </c>
      <c r="G5359" s="9">
        <v>7.0</v>
      </c>
      <c r="H5359" s="9" t="s">
        <v>22</v>
      </c>
      <c r="I5359" s="9" t="s">
        <v>20</v>
      </c>
      <c r="J5359" s="16">
        <v>0.8</v>
      </c>
      <c r="K5359" s="14">
        <v>2.0</v>
      </c>
      <c r="N5359" s="14" t="str">
        <f>IFERROR(__xludf.DUMMYFUNCTION("""COMPUTED_VALUE"""),"")</f>
        <v/>
      </c>
      <c r="O5359" s="14"/>
    </row>
    <row r="5360" ht="22.5" hidden="1" customHeight="1">
      <c r="A5360" s="8">
        <v>46225.35484017361</v>
      </c>
      <c r="B5360" s="14">
        <v>46225.0</v>
      </c>
      <c r="C5360" s="9" t="s">
        <v>15</v>
      </c>
      <c r="D5360" s="9" t="s">
        <v>335</v>
      </c>
      <c r="E5360" s="9" t="s">
        <v>17</v>
      </c>
      <c r="F5360" s="9" t="s">
        <v>17</v>
      </c>
      <c r="G5360" s="9">
        <v>7.0</v>
      </c>
      <c r="H5360" s="9" t="s">
        <v>22</v>
      </c>
      <c r="I5360" s="9" t="s">
        <v>20</v>
      </c>
      <c r="J5360" s="16">
        <v>0.8</v>
      </c>
      <c r="K5360" s="14">
        <v>5.0</v>
      </c>
      <c r="N5360" s="14" t="str">
        <f>IFERROR(__xludf.DUMMYFUNCTION("""COMPUTED_VALUE"""),"")</f>
        <v/>
      </c>
      <c r="O5360" s="14"/>
    </row>
    <row r="5361" ht="22.5" hidden="1" customHeight="1">
      <c r="A5361" s="8">
        <v>46225.35548248843</v>
      </c>
      <c r="B5361" s="14">
        <v>46225.0</v>
      </c>
      <c r="C5361" s="9" t="s">
        <v>15</v>
      </c>
      <c r="D5361" s="9" t="s">
        <v>393</v>
      </c>
      <c r="E5361" s="9" t="s">
        <v>17</v>
      </c>
      <c r="F5361" s="9" t="s">
        <v>17</v>
      </c>
      <c r="G5361" s="9">
        <v>7.0</v>
      </c>
      <c r="H5361" s="9" t="s">
        <v>25</v>
      </c>
      <c r="I5361" s="9" t="s">
        <v>240</v>
      </c>
      <c r="J5361" s="16">
        <v>0.8</v>
      </c>
      <c r="K5361" s="14" t="s">
        <v>398</v>
      </c>
      <c r="N5361" s="14" t="str">
        <f>IFERROR(__xludf.DUMMYFUNCTION("""COMPUTED_VALUE"""),"")</f>
        <v/>
      </c>
      <c r="O5361" s="14"/>
    </row>
    <row r="5362" ht="22.5" hidden="1" customHeight="1">
      <c r="A5362" s="8">
        <v>46225.356177442125</v>
      </c>
      <c r="B5362" s="14">
        <v>46225.0</v>
      </c>
      <c r="C5362" s="9" t="s">
        <v>15</v>
      </c>
      <c r="D5362" s="9" t="s">
        <v>395</v>
      </c>
      <c r="E5362" s="9" t="s">
        <v>17</v>
      </c>
      <c r="F5362" s="9" t="s">
        <v>17</v>
      </c>
      <c r="G5362" s="9">
        <v>7.0</v>
      </c>
      <c r="H5362" s="9" t="s">
        <v>25</v>
      </c>
      <c r="I5362" s="9" t="s">
        <v>137</v>
      </c>
      <c r="J5362" s="16">
        <v>0.6</v>
      </c>
      <c r="K5362" s="14">
        <v>4.0</v>
      </c>
      <c r="N5362" s="14" t="str">
        <f>IFERROR(__xludf.DUMMYFUNCTION("""COMPUTED_VALUE"""),"")</f>
        <v/>
      </c>
      <c r="O5362" s="14"/>
    </row>
    <row r="5363" ht="22.5" hidden="1" customHeight="1">
      <c r="A5363" s="8">
        <v>46225.35657467593</v>
      </c>
      <c r="B5363" s="14">
        <v>46225.0</v>
      </c>
      <c r="C5363" s="9" t="s">
        <v>15</v>
      </c>
      <c r="D5363" s="9" t="s">
        <v>445</v>
      </c>
      <c r="E5363" s="9" t="s">
        <v>17</v>
      </c>
      <c r="F5363" s="9" t="s">
        <v>17</v>
      </c>
      <c r="G5363" s="9">
        <v>8.0</v>
      </c>
      <c r="H5363" s="9" t="s">
        <v>17</v>
      </c>
      <c r="I5363" s="9" t="s">
        <v>20</v>
      </c>
      <c r="J5363" s="16">
        <v>0.6</v>
      </c>
      <c r="K5363" s="14" t="s">
        <v>398</v>
      </c>
      <c r="N5363" s="14" t="str">
        <f>IFERROR(__xludf.DUMMYFUNCTION("""COMPUTED_VALUE"""),"")</f>
        <v/>
      </c>
      <c r="O5363" s="14"/>
    </row>
    <row r="5364" ht="22.5" hidden="1" customHeight="1">
      <c r="A5364" s="8">
        <v>46225.35664863426</v>
      </c>
      <c r="B5364" s="14">
        <v>46225.0</v>
      </c>
      <c r="C5364" s="9" t="s">
        <v>15</v>
      </c>
      <c r="D5364" s="9" t="s">
        <v>414</v>
      </c>
      <c r="E5364" s="9" t="s">
        <v>30</v>
      </c>
      <c r="F5364" s="9" t="s">
        <v>17</v>
      </c>
      <c r="G5364" s="9">
        <v>8.0</v>
      </c>
      <c r="H5364" s="9" t="s">
        <v>22</v>
      </c>
      <c r="I5364" s="9" t="s">
        <v>266</v>
      </c>
      <c r="J5364" s="16">
        <v>0.8</v>
      </c>
      <c r="K5364" s="14">
        <v>4.0</v>
      </c>
      <c r="N5364" s="14" t="str">
        <f>IFERROR(__xludf.DUMMYFUNCTION("""COMPUTED_VALUE"""),"")</f>
        <v/>
      </c>
      <c r="O5364" s="14"/>
    </row>
    <row r="5365" ht="22.5" hidden="1" customHeight="1">
      <c r="A5365" s="8">
        <v>46225.35749515046</v>
      </c>
      <c r="B5365" s="14">
        <v>46225.0</v>
      </c>
      <c r="C5365" s="9" t="s">
        <v>15</v>
      </c>
      <c r="D5365" s="9" t="s">
        <v>396</v>
      </c>
      <c r="E5365" s="9" t="s">
        <v>17</v>
      </c>
      <c r="F5365" s="9" t="s">
        <v>17</v>
      </c>
      <c r="G5365" s="9">
        <v>8.0</v>
      </c>
      <c r="H5365" s="9" t="s">
        <v>25</v>
      </c>
      <c r="I5365" s="9" t="s">
        <v>41</v>
      </c>
      <c r="J5365" s="16">
        <v>0.8</v>
      </c>
      <c r="K5365" s="14">
        <v>8.0</v>
      </c>
      <c r="N5365" s="14" t="str">
        <f>IFERROR(__xludf.DUMMYFUNCTION("""COMPUTED_VALUE"""),"")</f>
        <v/>
      </c>
      <c r="O5365" s="14"/>
    </row>
    <row r="5366" ht="22.5" hidden="1" customHeight="1">
      <c r="A5366" s="8">
        <v>46225.358569097225</v>
      </c>
      <c r="B5366" s="14">
        <v>46225.0</v>
      </c>
      <c r="C5366" s="9" t="s">
        <v>15</v>
      </c>
      <c r="D5366" s="9" t="s">
        <v>178</v>
      </c>
      <c r="E5366" s="9" t="s">
        <v>61</v>
      </c>
      <c r="F5366" s="9" t="s">
        <v>17</v>
      </c>
      <c r="G5366" s="9">
        <v>8.0</v>
      </c>
      <c r="H5366" s="9" t="s">
        <v>25</v>
      </c>
      <c r="I5366" s="9" t="s">
        <v>455</v>
      </c>
      <c r="J5366" s="16">
        <v>0.2</v>
      </c>
      <c r="K5366" s="14">
        <v>5.0</v>
      </c>
      <c r="N5366" s="14" t="str">
        <f>IFERROR(__xludf.DUMMYFUNCTION("""COMPUTED_VALUE"""),"")</f>
        <v/>
      </c>
      <c r="O5366" s="14"/>
    </row>
    <row r="5367" ht="22.5" hidden="1" customHeight="1">
      <c r="A5367" s="8">
        <v>46225.35943739583</v>
      </c>
      <c r="B5367" s="14">
        <v>46225.0</v>
      </c>
      <c r="C5367" s="9" t="s">
        <v>15</v>
      </c>
      <c r="D5367" s="9" t="s">
        <v>367</v>
      </c>
      <c r="E5367" s="9" t="s">
        <v>61</v>
      </c>
      <c r="F5367" s="9" t="s">
        <v>17</v>
      </c>
      <c r="G5367" s="9">
        <v>7.0</v>
      </c>
      <c r="H5367" s="9" t="s">
        <v>17</v>
      </c>
      <c r="I5367" s="9" t="s">
        <v>20</v>
      </c>
      <c r="J5367" s="16">
        <v>0.8</v>
      </c>
      <c r="K5367" s="14">
        <v>10.0</v>
      </c>
      <c r="N5367" s="14" t="str">
        <f>IFERROR(__xludf.DUMMYFUNCTION("""COMPUTED_VALUE"""),"")</f>
        <v/>
      </c>
      <c r="O5367" s="14"/>
    </row>
    <row r="5368" ht="22.5" hidden="1" customHeight="1">
      <c r="A5368" s="8">
        <v>46225.36105490741</v>
      </c>
      <c r="B5368" s="14">
        <v>46225.0</v>
      </c>
      <c r="C5368" s="9" t="s">
        <v>15</v>
      </c>
      <c r="D5368" s="9" t="s">
        <v>357</v>
      </c>
      <c r="E5368" s="9" t="s">
        <v>46</v>
      </c>
      <c r="F5368" s="9" t="s">
        <v>17</v>
      </c>
      <c r="G5368" s="9">
        <v>6.0</v>
      </c>
      <c r="H5368" s="9" t="s">
        <v>25</v>
      </c>
      <c r="I5368" s="9" t="s">
        <v>20</v>
      </c>
      <c r="J5368" s="16">
        <v>0.6</v>
      </c>
      <c r="K5368" s="14">
        <v>7.0</v>
      </c>
      <c r="N5368" s="14" t="str">
        <f>IFERROR(__xludf.DUMMYFUNCTION("""COMPUTED_VALUE"""),"")</f>
        <v/>
      </c>
      <c r="O5368" s="14"/>
    </row>
    <row r="5369" ht="22.5" hidden="1" customHeight="1">
      <c r="A5369" s="8">
        <v>46225.362322789355</v>
      </c>
      <c r="B5369" s="14">
        <v>46225.0</v>
      </c>
      <c r="C5369" s="9" t="s">
        <v>15</v>
      </c>
      <c r="D5369" s="9" t="s">
        <v>394</v>
      </c>
      <c r="E5369" s="9" t="s">
        <v>57</v>
      </c>
      <c r="F5369" s="9" t="s">
        <v>43</v>
      </c>
      <c r="G5369" s="9">
        <v>8.0</v>
      </c>
      <c r="H5369" s="9" t="s">
        <v>25</v>
      </c>
      <c r="I5369" s="9" t="s">
        <v>137</v>
      </c>
      <c r="J5369" s="16">
        <v>1.0</v>
      </c>
      <c r="K5369" s="14">
        <v>6.0</v>
      </c>
      <c r="N5369" s="14" t="str">
        <f>IFERROR(__xludf.DUMMYFUNCTION("""COMPUTED_VALUE"""),"")</f>
        <v/>
      </c>
      <c r="O5369" s="14"/>
    </row>
    <row r="5370" ht="22.5" hidden="1" customHeight="1">
      <c r="A5370" s="8">
        <v>46225.367119525465</v>
      </c>
      <c r="B5370" s="14">
        <v>46225.0</v>
      </c>
      <c r="C5370" s="9" t="s">
        <v>15</v>
      </c>
      <c r="D5370" s="9" t="s">
        <v>249</v>
      </c>
      <c r="E5370" s="9" t="s">
        <v>17</v>
      </c>
      <c r="F5370" s="9" t="s">
        <v>18</v>
      </c>
      <c r="G5370" s="9">
        <v>7.0</v>
      </c>
      <c r="H5370" s="9" t="s">
        <v>22</v>
      </c>
      <c r="I5370" s="9" t="s">
        <v>20</v>
      </c>
      <c r="J5370" s="16">
        <v>1.0</v>
      </c>
      <c r="K5370" s="14" t="s">
        <v>398</v>
      </c>
      <c r="N5370" s="14" t="str">
        <f>IFERROR(__xludf.DUMMYFUNCTION("""COMPUTED_VALUE"""),"")</f>
        <v/>
      </c>
      <c r="O5370" s="14"/>
    </row>
    <row r="5371" ht="22.5" hidden="1" customHeight="1">
      <c r="A5371" s="8">
        <v>46225.37220479167</v>
      </c>
      <c r="B5371" s="14">
        <v>46225.0</v>
      </c>
      <c r="C5371" s="9" t="s">
        <v>15</v>
      </c>
      <c r="D5371" s="9" t="s">
        <v>177</v>
      </c>
      <c r="E5371" s="9" t="s">
        <v>17</v>
      </c>
      <c r="F5371" s="9" t="s">
        <v>17</v>
      </c>
      <c r="G5371" s="9">
        <v>6.0</v>
      </c>
      <c r="H5371" s="9" t="s">
        <v>22</v>
      </c>
      <c r="I5371" s="9" t="s">
        <v>20</v>
      </c>
      <c r="J5371" s="16">
        <v>0.8</v>
      </c>
      <c r="K5371" s="14">
        <v>5.0</v>
      </c>
      <c r="N5371" s="14" t="str">
        <f>IFERROR(__xludf.DUMMYFUNCTION("""COMPUTED_VALUE"""),"")</f>
        <v/>
      </c>
      <c r="O5371" s="14"/>
    </row>
    <row r="5372" ht="22.5" hidden="1" customHeight="1">
      <c r="A5372" s="8">
        <v>46225.372556539354</v>
      </c>
      <c r="B5372" s="14">
        <v>46225.0</v>
      </c>
      <c r="C5372" s="9" t="s">
        <v>15</v>
      </c>
      <c r="D5372" s="9" t="s">
        <v>442</v>
      </c>
      <c r="E5372" s="9" t="s">
        <v>17</v>
      </c>
      <c r="F5372" s="9" t="s">
        <v>17</v>
      </c>
      <c r="G5372" s="9">
        <v>7.0</v>
      </c>
      <c r="H5372" s="9" t="s">
        <v>22</v>
      </c>
      <c r="I5372" s="9" t="s">
        <v>20</v>
      </c>
      <c r="J5372" s="16">
        <v>0.8</v>
      </c>
      <c r="K5372" s="14">
        <v>5.0</v>
      </c>
      <c r="N5372" s="14" t="str">
        <f>IFERROR(__xludf.DUMMYFUNCTION("""COMPUTED_VALUE"""),"")</f>
        <v/>
      </c>
      <c r="O5372" s="14"/>
    </row>
    <row r="5373" ht="22.5" hidden="1" customHeight="1">
      <c r="A5373" s="8">
        <v>46225.372839814816</v>
      </c>
      <c r="B5373" s="14">
        <v>46225.0</v>
      </c>
      <c r="C5373" s="9" t="s">
        <v>15</v>
      </c>
      <c r="D5373" s="9" t="s">
        <v>413</v>
      </c>
      <c r="E5373" s="9" t="s">
        <v>17</v>
      </c>
      <c r="F5373" s="9" t="s">
        <v>17</v>
      </c>
      <c r="G5373" s="9">
        <v>7.0</v>
      </c>
      <c r="H5373" s="9" t="s">
        <v>22</v>
      </c>
      <c r="I5373" s="9" t="s">
        <v>20</v>
      </c>
      <c r="J5373" s="16">
        <v>0.8</v>
      </c>
      <c r="K5373" s="14">
        <v>4.0</v>
      </c>
      <c r="N5373" s="14" t="str">
        <f>IFERROR(__xludf.DUMMYFUNCTION("""COMPUTED_VALUE"""),"")</f>
        <v/>
      </c>
      <c r="O5373" s="14"/>
    </row>
    <row r="5374" ht="22.5" hidden="1" customHeight="1">
      <c r="A5374" s="8">
        <v>46225.37444528935</v>
      </c>
      <c r="B5374" s="14">
        <v>46225.0</v>
      </c>
      <c r="C5374" s="9" t="s">
        <v>15</v>
      </c>
      <c r="D5374" s="9" t="s">
        <v>259</v>
      </c>
      <c r="E5374" s="9" t="s">
        <v>17</v>
      </c>
      <c r="F5374" s="9" t="s">
        <v>43</v>
      </c>
      <c r="G5374" s="9">
        <v>8.0</v>
      </c>
      <c r="H5374" s="9" t="s">
        <v>17</v>
      </c>
      <c r="I5374" s="9" t="s">
        <v>20</v>
      </c>
      <c r="J5374" s="16">
        <v>0.8</v>
      </c>
      <c r="K5374" s="14" t="s">
        <v>398</v>
      </c>
      <c r="N5374" s="14" t="str">
        <f>IFERROR(__xludf.DUMMYFUNCTION("""COMPUTED_VALUE"""),"")</f>
        <v/>
      </c>
      <c r="O5374" s="14"/>
    </row>
    <row r="5375" ht="22.5" hidden="1" customHeight="1">
      <c r="A5375" s="8">
        <v>46225.375765324075</v>
      </c>
      <c r="B5375" s="14">
        <v>46225.0</v>
      </c>
      <c r="C5375" s="9" t="s">
        <v>15</v>
      </c>
      <c r="D5375" s="9" t="s">
        <v>369</v>
      </c>
      <c r="E5375" s="9" t="s">
        <v>17</v>
      </c>
      <c r="F5375" s="9" t="s">
        <v>17</v>
      </c>
      <c r="G5375" s="9">
        <v>7.0</v>
      </c>
      <c r="H5375" s="9" t="s">
        <v>25</v>
      </c>
      <c r="I5375" s="9" t="s">
        <v>325</v>
      </c>
      <c r="J5375" s="16">
        <v>0.8</v>
      </c>
      <c r="K5375" s="14">
        <v>5.0</v>
      </c>
      <c r="N5375" s="14" t="str">
        <f>IFERROR(__xludf.DUMMYFUNCTION("""COMPUTED_VALUE"""),"")</f>
        <v/>
      </c>
      <c r="O5375" s="14"/>
    </row>
    <row r="5376" ht="22.5" hidden="1" customHeight="1">
      <c r="A5376" s="8">
        <v>46225.376121759255</v>
      </c>
      <c r="B5376" s="14">
        <v>46225.0</v>
      </c>
      <c r="C5376" s="9" t="s">
        <v>15</v>
      </c>
      <c r="D5376" s="9" t="s">
        <v>441</v>
      </c>
      <c r="E5376" s="9" t="s">
        <v>17</v>
      </c>
      <c r="F5376" s="9" t="s">
        <v>17</v>
      </c>
      <c r="G5376" s="9">
        <v>7.0</v>
      </c>
      <c r="H5376" s="9" t="s">
        <v>25</v>
      </c>
      <c r="I5376" s="9" t="s">
        <v>89</v>
      </c>
      <c r="J5376" s="16">
        <v>0.8</v>
      </c>
      <c r="K5376" s="14">
        <v>3.0</v>
      </c>
      <c r="N5376" s="14" t="str">
        <f>IFERROR(__xludf.DUMMYFUNCTION("""COMPUTED_VALUE"""),"")</f>
        <v/>
      </c>
      <c r="O5376" s="14"/>
    </row>
    <row r="5377" ht="22.5" hidden="1" customHeight="1">
      <c r="A5377" s="8">
        <v>46225.37674856481</v>
      </c>
      <c r="B5377" s="14">
        <v>46225.0</v>
      </c>
      <c r="C5377" s="9" t="s">
        <v>15</v>
      </c>
      <c r="D5377" s="9" t="s">
        <v>247</v>
      </c>
      <c r="E5377" s="9" t="s">
        <v>17</v>
      </c>
      <c r="F5377" s="9" t="s">
        <v>17</v>
      </c>
      <c r="G5377" s="9">
        <v>7.0</v>
      </c>
      <c r="H5377" s="9" t="s">
        <v>22</v>
      </c>
      <c r="I5377" s="9" t="s">
        <v>20</v>
      </c>
      <c r="J5377" s="16">
        <v>0.8</v>
      </c>
      <c r="K5377" s="14">
        <v>5.0</v>
      </c>
      <c r="N5377" s="14" t="str">
        <f>IFERROR(__xludf.DUMMYFUNCTION("""COMPUTED_VALUE"""),"")</f>
        <v/>
      </c>
      <c r="O5377" s="14"/>
    </row>
    <row r="5378" ht="22.5" hidden="1" customHeight="1">
      <c r="A5378" s="8">
        <v>46225.37939949074</v>
      </c>
      <c r="B5378" s="14">
        <v>46225.0</v>
      </c>
      <c r="C5378" s="9" t="s">
        <v>15</v>
      </c>
      <c r="D5378" s="9" t="s">
        <v>175</v>
      </c>
      <c r="E5378" s="9" t="s">
        <v>140</v>
      </c>
      <c r="F5378" s="9" t="s">
        <v>17</v>
      </c>
      <c r="G5378" s="9">
        <v>7.0</v>
      </c>
      <c r="H5378" s="9" t="s">
        <v>25</v>
      </c>
      <c r="I5378" s="9" t="s">
        <v>207</v>
      </c>
      <c r="J5378" s="16">
        <v>0.6</v>
      </c>
      <c r="K5378" s="14">
        <v>6.0</v>
      </c>
      <c r="N5378" s="14" t="str">
        <f>IFERROR(__xludf.DUMMYFUNCTION("""COMPUTED_VALUE"""),"")</f>
        <v/>
      </c>
      <c r="O5378" s="14"/>
    </row>
    <row r="5379" ht="22.5" hidden="1" customHeight="1">
      <c r="A5379" s="8">
        <v>46225.69245609954</v>
      </c>
      <c r="B5379" s="14">
        <v>46225.0</v>
      </c>
      <c r="C5379" s="9" t="s">
        <v>15</v>
      </c>
      <c r="D5379" s="9" t="s">
        <v>396</v>
      </c>
      <c r="E5379" s="9" t="s">
        <v>61</v>
      </c>
      <c r="F5379" s="9" t="s">
        <v>17</v>
      </c>
      <c r="G5379" s="9">
        <v>8.0</v>
      </c>
      <c r="H5379" s="9" t="s">
        <v>25</v>
      </c>
      <c r="I5379" s="9" t="s">
        <v>41</v>
      </c>
      <c r="J5379" s="16">
        <v>0.6</v>
      </c>
      <c r="K5379" s="14">
        <v>8.0</v>
      </c>
      <c r="N5379" s="14" t="str">
        <f>IFERROR(__xludf.DUMMYFUNCTION("""COMPUTED_VALUE"""),"")</f>
        <v/>
      </c>
      <c r="O5379" s="14"/>
    </row>
    <row r="5380" ht="22.5" hidden="1" customHeight="1">
      <c r="A5380" s="8">
        <v>46225.70025618056</v>
      </c>
      <c r="B5380" s="14">
        <v>46225.0</v>
      </c>
      <c r="C5380" s="9" t="s">
        <v>15</v>
      </c>
      <c r="D5380" s="9" t="s">
        <v>393</v>
      </c>
      <c r="E5380" s="9" t="s">
        <v>17</v>
      </c>
      <c r="F5380" s="9" t="s">
        <v>43</v>
      </c>
      <c r="G5380" s="9">
        <v>7.0</v>
      </c>
      <c r="H5380" s="9" t="s">
        <v>25</v>
      </c>
      <c r="I5380" s="9" t="s">
        <v>240</v>
      </c>
      <c r="J5380" s="16">
        <v>0.8</v>
      </c>
      <c r="K5380" s="14" t="s">
        <v>398</v>
      </c>
      <c r="N5380" s="14" t="str">
        <f>IFERROR(__xludf.DUMMYFUNCTION("""COMPUTED_VALUE"""),"")</f>
        <v/>
      </c>
      <c r="O5380" s="14"/>
    </row>
    <row r="5381" ht="22.5" hidden="1" customHeight="1">
      <c r="A5381" s="8">
        <v>46225.70106278935</v>
      </c>
      <c r="B5381" s="14">
        <v>46225.0</v>
      </c>
      <c r="C5381" s="9" t="s">
        <v>15</v>
      </c>
      <c r="D5381" s="9" t="s">
        <v>171</v>
      </c>
      <c r="E5381" s="9" t="s">
        <v>46</v>
      </c>
      <c r="F5381" s="9" t="s">
        <v>43</v>
      </c>
      <c r="G5381" s="9">
        <v>8.0</v>
      </c>
      <c r="H5381" s="9" t="s">
        <v>25</v>
      </c>
      <c r="I5381" s="9" t="s">
        <v>207</v>
      </c>
      <c r="J5381" s="16">
        <v>0.4</v>
      </c>
      <c r="K5381" s="14">
        <v>4.0</v>
      </c>
      <c r="N5381" s="14" t="str">
        <f>IFERROR(__xludf.DUMMYFUNCTION("""COMPUTED_VALUE"""),"")</f>
        <v/>
      </c>
      <c r="O5381" s="14"/>
    </row>
    <row r="5382" ht="22.5" hidden="1" customHeight="1">
      <c r="A5382" s="8">
        <v>46225.70248219908</v>
      </c>
      <c r="B5382" s="14">
        <v>46225.0</v>
      </c>
      <c r="C5382" s="9" t="s">
        <v>15</v>
      </c>
      <c r="D5382" s="9" t="s">
        <v>178</v>
      </c>
      <c r="E5382" s="9" t="s">
        <v>140</v>
      </c>
      <c r="F5382" s="9" t="s">
        <v>17</v>
      </c>
      <c r="G5382" s="9">
        <v>8.0</v>
      </c>
      <c r="H5382" s="9" t="s">
        <v>17</v>
      </c>
      <c r="I5382" s="9" t="s">
        <v>20</v>
      </c>
      <c r="J5382" s="16">
        <v>0.2</v>
      </c>
      <c r="K5382" s="14">
        <v>5.0</v>
      </c>
      <c r="N5382" s="14" t="str">
        <f>IFERROR(__xludf.DUMMYFUNCTION("""COMPUTED_VALUE"""),"")</f>
        <v/>
      </c>
      <c r="O5382" s="14"/>
    </row>
    <row r="5383" ht="22.5" hidden="1" customHeight="1">
      <c r="A5383" s="8">
        <v>46226.378768993054</v>
      </c>
      <c r="B5383" s="14">
        <v>46226.0</v>
      </c>
      <c r="C5383" s="9" t="s">
        <v>31</v>
      </c>
      <c r="D5383" s="9" t="s">
        <v>393</v>
      </c>
      <c r="E5383" s="9" t="s">
        <v>30</v>
      </c>
      <c r="F5383" s="9" t="s">
        <v>17</v>
      </c>
      <c r="G5383" s="9">
        <v>7.0</v>
      </c>
      <c r="H5383" s="9" t="s">
        <v>25</v>
      </c>
      <c r="I5383" s="9" t="s">
        <v>240</v>
      </c>
      <c r="J5383" s="16">
        <v>1.0</v>
      </c>
      <c r="K5383" s="14" t="s">
        <v>398</v>
      </c>
      <c r="N5383" s="14" t="str">
        <f>IFERROR(__xludf.DUMMYFUNCTION("""COMPUTED_VALUE"""),"")</f>
        <v/>
      </c>
      <c r="O5383" s="14"/>
    </row>
    <row r="5384" ht="22.5" hidden="1" customHeight="1">
      <c r="A5384" s="8">
        <v>46226.38208298611</v>
      </c>
      <c r="B5384" s="14">
        <v>46226.0</v>
      </c>
      <c r="C5384" s="9" t="s">
        <v>31</v>
      </c>
      <c r="D5384" s="9" t="s">
        <v>178</v>
      </c>
      <c r="E5384" s="9" t="s">
        <v>140</v>
      </c>
      <c r="F5384" s="9" t="s">
        <v>39</v>
      </c>
      <c r="G5384" s="9" t="s">
        <v>410</v>
      </c>
      <c r="H5384" s="9" t="s">
        <v>25</v>
      </c>
      <c r="I5384" s="9" t="s">
        <v>137</v>
      </c>
      <c r="J5384" s="16">
        <v>0.2</v>
      </c>
      <c r="K5384" s="14">
        <v>10.0</v>
      </c>
      <c r="N5384" s="14" t="str">
        <f>IFERROR(__xludf.DUMMYFUNCTION("""COMPUTED_VALUE"""),"")</f>
        <v/>
      </c>
      <c r="O5384" s="14"/>
    </row>
    <row r="5385" ht="22.5" hidden="1" customHeight="1">
      <c r="A5385" s="8">
        <v>46226.384906736115</v>
      </c>
      <c r="B5385" s="14">
        <v>46226.0</v>
      </c>
      <c r="C5385" s="9" t="s">
        <v>31</v>
      </c>
      <c r="D5385" s="9" t="s">
        <v>394</v>
      </c>
      <c r="E5385" s="9" t="s">
        <v>61</v>
      </c>
      <c r="F5385" s="9" t="s">
        <v>77</v>
      </c>
      <c r="G5385" s="9" t="s">
        <v>410</v>
      </c>
      <c r="H5385" s="9" t="s">
        <v>25</v>
      </c>
      <c r="I5385" s="9" t="s">
        <v>293</v>
      </c>
      <c r="J5385" s="16">
        <v>0.8</v>
      </c>
      <c r="K5385" s="14">
        <v>6.0</v>
      </c>
      <c r="N5385" s="14" t="str">
        <f>IFERROR(__xludf.DUMMYFUNCTION("""COMPUTED_VALUE"""),"")</f>
        <v/>
      </c>
      <c r="O5385" s="14"/>
    </row>
    <row r="5386" ht="22.5" hidden="1" customHeight="1">
      <c r="A5386" s="8">
        <v>46226.38502574074</v>
      </c>
      <c r="B5386" s="14">
        <v>46226.0</v>
      </c>
      <c r="C5386" s="9" t="s">
        <v>31</v>
      </c>
      <c r="D5386" s="9" t="s">
        <v>171</v>
      </c>
      <c r="E5386" s="9" t="s">
        <v>46</v>
      </c>
      <c r="F5386" s="9" t="s">
        <v>17</v>
      </c>
      <c r="G5386" s="9">
        <v>7.0</v>
      </c>
      <c r="H5386" s="9" t="s">
        <v>25</v>
      </c>
      <c r="I5386" s="9" t="s">
        <v>207</v>
      </c>
      <c r="J5386" s="16">
        <v>0.4</v>
      </c>
      <c r="K5386" s="14">
        <v>10.0</v>
      </c>
      <c r="N5386" s="14" t="str">
        <f>IFERROR(__xludf.DUMMYFUNCTION("""COMPUTED_VALUE"""),"")</f>
        <v/>
      </c>
      <c r="O5386" s="14"/>
    </row>
    <row r="5387" ht="22.5" hidden="1" customHeight="1">
      <c r="A5387" s="8">
        <v>46226.38554290509</v>
      </c>
      <c r="B5387" s="14">
        <v>46226.0</v>
      </c>
      <c r="C5387" s="9" t="s">
        <v>31</v>
      </c>
      <c r="D5387" s="9" t="s">
        <v>393</v>
      </c>
      <c r="E5387" s="9" t="s">
        <v>17</v>
      </c>
      <c r="F5387" s="9" t="s">
        <v>17</v>
      </c>
      <c r="G5387" s="9">
        <v>7.0</v>
      </c>
      <c r="H5387" s="9" t="s">
        <v>25</v>
      </c>
      <c r="I5387" s="9" t="s">
        <v>240</v>
      </c>
      <c r="J5387" s="16">
        <v>0.8</v>
      </c>
      <c r="K5387" s="14" t="s">
        <v>398</v>
      </c>
      <c r="N5387" s="14" t="str">
        <f>IFERROR(__xludf.DUMMYFUNCTION("""COMPUTED_VALUE"""),"")</f>
        <v/>
      </c>
      <c r="O5387" s="14"/>
    </row>
    <row r="5388" ht="22.5" hidden="1" customHeight="1">
      <c r="A5388" s="8">
        <v>46226.38609429398</v>
      </c>
      <c r="B5388" s="14">
        <v>46226.0</v>
      </c>
      <c r="C5388" s="9" t="s">
        <v>31</v>
      </c>
      <c r="D5388" s="9" t="s">
        <v>175</v>
      </c>
      <c r="E5388" s="9" t="s">
        <v>140</v>
      </c>
      <c r="F5388" s="9" t="s">
        <v>17</v>
      </c>
      <c r="G5388" s="9">
        <v>7.0</v>
      </c>
      <c r="H5388" s="9" t="s">
        <v>25</v>
      </c>
      <c r="I5388" s="9" t="s">
        <v>207</v>
      </c>
      <c r="J5388" s="16">
        <v>0.8</v>
      </c>
      <c r="K5388" s="14">
        <v>10.0</v>
      </c>
      <c r="N5388" s="14" t="str">
        <f>IFERROR(__xludf.DUMMYFUNCTION("""COMPUTED_VALUE"""),"")</f>
        <v/>
      </c>
      <c r="O5388" s="14"/>
    </row>
    <row r="5389" ht="22.5" hidden="1" customHeight="1">
      <c r="A5389" s="8">
        <v>46226.38640938657</v>
      </c>
      <c r="B5389" s="14">
        <v>46226.0</v>
      </c>
      <c r="C5389" s="9" t="s">
        <v>31</v>
      </c>
      <c r="D5389" s="9" t="s">
        <v>445</v>
      </c>
      <c r="E5389" s="9" t="s">
        <v>17</v>
      </c>
      <c r="F5389" s="9" t="s">
        <v>17</v>
      </c>
      <c r="G5389" s="9">
        <v>7.0</v>
      </c>
      <c r="H5389" s="9" t="s">
        <v>17</v>
      </c>
      <c r="I5389" s="9" t="s">
        <v>20</v>
      </c>
      <c r="J5389" s="16">
        <v>0.6</v>
      </c>
      <c r="K5389" s="14" t="s">
        <v>398</v>
      </c>
      <c r="N5389" s="14" t="str">
        <f>IFERROR(__xludf.DUMMYFUNCTION("""COMPUTED_VALUE"""),"")</f>
        <v/>
      </c>
      <c r="O5389" s="14"/>
    </row>
    <row r="5390" ht="22.5" hidden="1" customHeight="1">
      <c r="A5390" s="8">
        <v>46226.69670983797</v>
      </c>
      <c r="B5390" s="14">
        <v>46226.0</v>
      </c>
      <c r="C5390" s="9" t="s">
        <v>31</v>
      </c>
      <c r="D5390" s="9" t="s">
        <v>414</v>
      </c>
      <c r="E5390" s="9" t="s">
        <v>17</v>
      </c>
      <c r="F5390" s="9" t="s">
        <v>17</v>
      </c>
      <c r="G5390" s="9">
        <v>8.0</v>
      </c>
      <c r="H5390" s="9" t="s">
        <v>17</v>
      </c>
      <c r="I5390" s="9" t="s">
        <v>20</v>
      </c>
      <c r="J5390" s="16">
        <v>1.0</v>
      </c>
      <c r="K5390" s="14">
        <v>2.0</v>
      </c>
      <c r="N5390" s="14" t="str">
        <f>IFERROR(__xludf.DUMMYFUNCTION("""COMPUTED_VALUE"""),"")</f>
        <v/>
      </c>
      <c r="O5390" s="14"/>
    </row>
    <row r="5391" ht="22.5" hidden="1" customHeight="1">
      <c r="A5391" s="8">
        <v>46226.697733692126</v>
      </c>
      <c r="B5391" s="14">
        <v>46226.0</v>
      </c>
      <c r="C5391" s="9" t="s">
        <v>31</v>
      </c>
      <c r="D5391" s="9" t="s">
        <v>335</v>
      </c>
      <c r="E5391" s="9" t="s">
        <v>17</v>
      </c>
      <c r="F5391" s="9" t="s">
        <v>17</v>
      </c>
      <c r="G5391" s="9">
        <v>7.0</v>
      </c>
      <c r="H5391" s="9" t="s">
        <v>25</v>
      </c>
      <c r="I5391" s="9" t="s">
        <v>456</v>
      </c>
      <c r="J5391" s="16">
        <v>0.8</v>
      </c>
      <c r="K5391" s="14">
        <v>3.0</v>
      </c>
      <c r="N5391" s="14" t="str">
        <f>IFERROR(__xludf.DUMMYFUNCTION("""COMPUTED_VALUE"""),"")</f>
        <v/>
      </c>
      <c r="O5391" s="14"/>
    </row>
    <row r="5392" ht="22.5" hidden="1" customHeight="1">
      <c r="A5392" s="8">
        <v>46226.69791178241</v>
      </c>
      <c r="B5392" s="14">
        <v>46226.0</v>
      </c>
      <c r="C5392" s="9" t="s">
        <v>31</v>
      </c>
      <c r="D5392" s="9" t="s">
        <v>413</v>
      </c>
      <c r="E5392" s="9" t="s">
        <v>17</v>
      </c>
      <c r="F5392" s="9" t="s">
        <v>35</v>
      </c>
      <c r="G5392" s="9" t="s">
        <v>409</v>
      </c>
      <c r="H5392" s="9" t="s">
        <v>22</v>
      </c>
      <c r="I5392" s="9" t="s">
        <v>20</v>
      </c>
      <c r="J5392" s="16">
        <v>0.8</v>
      </c>
      <c r="K5392" s="14">
        <v>4.0</v>
      </c>
      <c r="N5392" s="14" t="str">
        <f>IFERROR(__xludf.DUMMYFUNCTION("""COMPUTED_VALUE"""),"")</f>
        <v/>
      </c>
      <c r="O5392" s="14"/>
    </row>
    <row r="5393" ht="22.5" hidden="1" customHeight="1">
      <c r="A5393" s="8">
        <v>46226.69839554398</v>
      </c>
      <c r="B5393" s="14">
        <v>46226.0</v>
      </c>
      <c r="C5393" s="9" t="s">
        <v>31</v>
      </c>
      <c r="D5393" s="9" t="s">
        <v>367</v>
      </c>
      <c r="E5393" s="9" t="s">
        <v>30</v>
      </c>
      <c r="F5393" s="9" t="s">
        <v>17</v>
      </c>
      <c r="G5393" s="9" t="s">
        <v>409</v>
      </c>
      <c r="H5393" s="9" t="s">
        <v>22</v>
      </c>
      <c r="I5393" s="9" t="s">
        <v>20</v>
      </c>
      <c r="J5393" s="16">
        <v>0.8</v>
      </c>
      <c r="K5393" s="14">
        <v>3.0</v>
      </c>
      <c r="N5393" s="14" t="str">
        <f>IFERROR(__xludf.DUMMYFUNCTION("""COMPUTED_VALUE"""),"")</f>
        <v/>
      </c>
      <c r="O5393" s="14"/>
    </row>
    <row r="5394" ht="22.5" hidden="1" customHeight="1">
      <c r="A5394" s="8">
        <v>46226.69872075232</v>
      </c>
      <c r="B5394" s="14">
        <v>46226.0</v>
      </c>
      <c r="C5394" s="9" t="s">
        <v>31</v>
      </c>
      <c r="D5394" s="9" t="s">
        <v>174</v>
      </c>
      <c r="E5394" s="9" t="s">
        <v>30</v>
      </c>
      <c r="F5394" s="9" t="s">
        <v>17</v>
      </c>
      <c r="G5394" s="9">
        <v>8.0</v>
      </c>
      <c r="H5394" s="9" t="s">
        <v>25</v>
      </c>
      <c r="I5394" s="9" t="s">
        <v>218</v>
      </c>
      <c r="J5394" s="16">
        <v>1.0</v>
      </c>
      <c r="K5394" s="14">
        <v>3.0</v>
      </c>
      <c r="N5394" s="14" t="str">
        <f>IFERROR(__xludf.DUMMYFUNCTION("""COMPUTED_VALUE"""),"")</f>
        <v/>
      </c>
      <c r="O5394" s="14"/>
    </row>
    <row r="5395" ht="22.5" hidden="1" customHeight="1">
      <c r="A5395" s="8">
        <v>46226.703791921296</v>
      </c>
      <c r="B5395" s="14">
        <v>46226.0</v>
      </c>
      <c r="C5395" s="9" t="s">
        <v>31</v>
      </c>
      <c r="D5395" s="9" t="s">
        <v>105</v>
      </c>
      <c r="E5395" s="9" t="s">
        <v>17</v>
      </c>
      <c r="F5395" s="9" t="s">
        <v>17</v>
      </c>
      <c r="G5395" s="9">
        <v>7.0</v>
      </c>
      <c r="H5395" s="9" t="s">
        <v>22</v>
      </c>
      <c r="I5395" s="9" t="s">
        <v>20</v>
      </c>
      <c r="J5395" s="16">
        <v>0.8</v>
      </c>
      <c r="K5395" s="14">
        <v>2.0</v>
      </c>
      <c r="N5395" s="14" t="str">
        <f>IFERROR(__xludf.DUMMYFUNCTION("""COMPUTED_VALUE"""),"")</f>
        <v/>
      </c>
      <c r="O5395" s="14"/>
    </row>
    <row r="5396" ht="22.5" hidden="1" customHeight="1">
      <c r="A5396" s="8">
        <v>46226.70440429398</v>
      </c>
      <c r="B5396" s="14">
        <v>46226.0</v>
      </c>
      <c r="C5396" s="9" t="s">
        <v>31</v>
      </c>
      <c r="D5396" s="9" t="s">
        <v>177</v>
      </c>
      <c r="E5396" s="9" t="s">
        <v>17</v>
      </c>
      <c r="F5396" s="9" t="s">
        <v>17</v>
      </c>
      <c r="G5396" s="9">
        <v>7.0</v>
      </c>
      <c r="H5396" s="9" t="s">
        <v>22</v>
      </c>
      <c r="I5396" s="9" t="s">
        <v>20</v>
      </c>
      <c r="J5396" s="16">
        <v>0.8</v>
      </c>
      <c r="K5396" s="14">
        <v>3.0</v>
      </c>
      <c r="N5396" s="14" t="str">
        <f>IFERROR(__xludf.DUMMYFUNCTION("""COMPUTED_VALUE"""),"")</f>
        <v/>
      </c>
      <c r="O5396" s="14"/>
    </row>
    <row r="5397" ht="22.5" hidden="1" customHeight="1">
      <c r="A5397" s="8">
        <v>46226.70484185185</v>
      </c>
      <c r="B5397" s="14">
        <v>46226.0</v>
      </c>
      <c r="C5397" s="9" t="s">
        <v>31</v>
      </c>
      <c r="D5397" s="9" t="s">
        <v>259</v>
      </c>
      <c r="E5397" s="9" t="s">
        <v>17</v>
      </c>
      <c r="F5397" s="9" t="s">
        <v>35</v>
      </c>
      <c r="G5397" s="9" t="s">
        <v>409</v>
      </c>
      <c r="H5397" s="9" t="s">
        <v>22</v>
      </c>
      <c r="I5397" s="9" t="s">
        <v>20</v>
      </c>
      <c r="J5397" s="16">
        <v>0.8</v>
      </c>
      <c r="K5397" s="14">
        <v>4.0</v>
      </c>
      <c r="N5397" s="14" t="str">
        <f>IFERROR(__xludf.DUMMYFUNCTION("""COMPUTED_VALUE"""),"")</f>
        <v/>
      </c>
      <c r="O5397" s="14"/>
    </row>
    <row r="5398" ht="22.5" hidden="1" customHeight="1">
      <c r="A5398" s="8">
        <v>46226.71104425926</v>
      </c>
      <c r="B5398" s="14">
        <v>46226.0</v>
      </c>
      <c r="C5398" s="9" t="s">
        <v>31</v>
      </c>
      <c r="D5398" s="9" t="s">
        <v>395</v>
      </c>
      <c r="E5398" s="9" t="s">
        <v>17</v>
      </c>
      <c r="F5398" s="9" t="s">
        <v>17</v>
      </c>
      <c r="G5398" s="9" t="s">
        <v>409</v>
      </c>
      <c r="H5398" s="9" t="s">
        <v>25</v>
      </c>
      <c r="I5398" s="9" t="s">
        <v>137</v>
      </c>
      <c r="J5398" s="16">
        <v>0.8</v>
      </c>
      <c r="K5398" s="14">
        <v>3.0</v>
      </c>
      <c r="N5398" s="14" t="str">
        <f>IFERROR(__xludf.DUMMYFUNCTION("""COMPUTED_VALUE"""),"")</f>
        <v/>
      </c>
      <c r="O5398" s="14"/>
    </row>
    <row r="5399" ht="22.5" hidden="1" customHeight="1">
      <c r="A5399" s="8">
        <v>46226.7174019213</v>
      </c>
      <c r="B5399" s="14">
        <v>46226.0</v>
      </c>
      <c r="C5399" s="9" t="s">
        <v>31</v>
      </c>
      <c r="D5399" s="9" t="s">
        <v>171</v>
      </c>
      <c r="E5399" s="9" t="s">
        <v>46</v>
      </c>
      <c r="F5399" s="9" t="s">
        <v>17</v>
      </c>
      <c r="G5399" s="9">
        <v>7.0</v>
      </c>
      <c r="H5399" s="9" t="s">
        <v>25</v>
      </c>
      <c r="I5399" s="9" t="s">
        <v>207</v>
      </c>
      <c r="J5399" s="16">
        <v>0.2</v>
      </c>
      <c r="K5399" s="14">
        <v>10.0</v>
      </c>
      <c r="N5399" s="14" t="str">
        <f>IFERROR(__xludf.DUMMYFUNCTION("""COMPUTED_VALUE"""),"")</f>
        <v/>
      </c>
      <c r="O5399" s="14"/>
    </row>
    <row r="5400" ht="22.5" hidden="1" customHeight="1">
      <c r="A5400" s="8">
        <v>46226.71805643519</v>
      </c>
      <c r="B5400" s="14">
        <v>46226.0</v>
      </c>
      <c r="C5400" s="9" t="s">
        <v>31</v>
      </c>
      <c r="D5400" s="9" t="s">
        <v>249</v>
      </c>
      <c r="E5400" s="9" t="s">
        <v>30</v>
      </c>
      <c r="F5400" s="9" t="s">
        <v>17</v>
      </c>
      <c r="G5400" s="9">
        <v>7.0</v>
      </c>
      <c r="H5400" s="9" t="s">
        <v>22</v>
      </c>
      <c r="I5400" s="9" t="s">
        <v>20</v>
      </c>
      <c r="J5400" s="16">
        <v>1.0</v>
      </c>
      <c r="K5400" s="14" t="s">
        <v>398</v>
      </c>
      <c r="N5400" s="14" t="str">
        <f>IFERROR(__xludf.DUMMYFUNCTION("""COMPUTED_VALUE"""),"")</f>
        <v/>
      </c>
      <c r="O5400" s="14"/>
    </row>
    <row r="5401" ht="22.5" hidden="1" customHeight="1">
      <c r="A5401" s="8">
        <v>46226.72267743056</v>
      </c>
      <c r="B5401" s="14">
        <v>46226.0</v>
      </c>
      <c r="C5401" s="9" t="s">
        <v>31</v>
      </c>
      <c r="D5401" s="9" t="s">
        <v>442</v>
      </c>
      <c r="E5401" s="9" t="s">
        <v>17</v>
      </c>
      <c r="F5401" s="9" t="s">
        <v>17</v>
      </c>
      <c r="G5401" s="9">
        <v>7.0</v>
      </c>
      <c r="H5401" s="9" t="s">
        <v>22</v>
      </c>
      <c r="I5401" s="9" t="s">
        <v>20</v>
      </c>
      <c r="J5401" s="16">
        <v>0.8</v>
      </c>
      <c r="K5401" s="14">
        <v>4.0</v>
      </c>
      <c r="N5401" s="14" t="str">
        <f>IFERROR(__xludf.DUMMYFUNCTION("""COMPUTED_VALUE"""),"")</f>
        <v/>
      </c>
      <c r="O5401" s="14"/>
    </row>
    <row r="5402" ht="22.5" hidden="1" customHeight="1">
      <c r="A5402" s="8">
        <v>46226.723070127315</v>
      </c>
      <c r="B5402" s="14">
        <v>46226.0</v>
      </c>
      <c r="C5402" s="9" t="s">
        <v>31</v>
      </c>
      <c r="D5402" s="9" t="s">
        <v>369</v>
      </c>
      <c r="E5402" s="9" t="s">
        <v>17</v>
      </c>
      <c r="F5402" s="9" t="s">
        <v>17</v>
      </c>
      <c r="G5402" s="9" t="s">
        <v>409</v>
      </c>
      <c r="H5402" s="9" t="s">
        <v>25</v>
      </c>
      <c r="I5402" s="9" t="s">
        <v>137</v>
      </c>
      <c r="J5402" s="16">
        <v>0.8</v>
      </c>
      <c r="K5402" s="14">
        <v>3.0</v>
      </c>
      <c r="N5402" s="14" t="str">
        <f>IFERROR(__xludf.DUMMYFUNCTION("""COMPUTED_VALUE"""),"")</f>
        <v/>
      </c>
      <c r="O5402" s="14"/>
    </row>
    <row r="5403" ht="22.5" hidden="1" customHeight="1">
      <c r="A5403" s="8">
        <v>46226.72401878472</v>
      </c>
      <c r="B5403" s="14">
        <v>46226.0</v>
      </c>
      <c r="C5403" s="9" t="s">
        <v>31</v>
      </c>
      <c r="D5403" s="9" t="s">
        <v>357</v>
      </c>
      <c r="E5403" s="9" t="s">
        <v>17</v>
      </c>
      <c r="F5403" s="9" t="s">
        <v>17</v>
      </c>
      <c r="G5403" s="9">
        <v>8.0</v>
      </c>
      <c r="H5403" s="9" t="s">
        <v>25</v>
      </c>
      <c r="I5403" s="9" t="s">
        <v>211</v>
      </c>
      <c r="J5403" s="16">
        <v>0.8</v>
      </c>
      <c r="K5403" s="14">
        <v>3.0</v>
      </c>
      <c r="N5403" s="14" t="str">
        <f>IFERROR(__xludf.DUMMYFUNCTION("""COMPUTED_VALUE"""),"")</f>
        <v/>
      </c>
      <c r="O5403" s="14"/>
    </row>
    <row r="5404" ht="22.5" hidden="1" customHeight="1">
      <c r="A5404" s="8">
        <v>46226.72506326389</v>
      </c>
      <c r="B5404" s="14">
        <v>46226.0</v>
      </c>
      <c r="C5404" s="9" t="s">
        <v>31</v>
      </c>
      <c r="D5404" s="9" t="s">
        <v>210</v>
      </c>
      <c r="E5404" s="9" t="s">
        <v>17</v>
      </c>
      <c r="F5404" s="9" t="s">
        <v>18</v>
      </c>
      <c r="G5404" s="9" t="s">
        <v>409</v>
      </c>
      <c r="H5404" s="9" t="s">
        <v>25</v>
      </c>
      <c r="I5404" s="9" t="s">
        <v>402</v>
      </c>
      <c r="J5404" s="16">
        <v>0.8</v>
      </c>
      <c r="K5404" s="14">
        <v>4.0</v>
      </c>
      <c r="N5404" s="14" t="str">
        <f>IFERROR(__xludf.DUMMYFUNCTION("""COMPUTED_VALUE"""),"")</f>
        <v/>
      </c>
      <c r="O5404" s="14"/>
    </row>
    <row r="5405" ht="22.5" hidden="1" customHeight="1">
      <c r="A5405" s="8">
        <v>46226.72595097222</v>
      </c>
      <c r="B5405" s="14">
        <v>46226.0</v>
      </c>
      <c r="C5405" s="9" t="s">
        <v>31</v>
      </c>
      <c r="D5405" s="9" t="s">
        <v>210</v>
      </c>
      <c r="E5405" s="9" t="s">
        <v>17</v>
      </c>
      <c r="F5405" s="9" t="s">
        <v>18</v>
      </c>
      <c r="G5405" s="9" t="s">
        <v>409</v>
      </c>
      <c r="H5405" s="9" t="s">
        <v>25</v>
      </c>
      <c r="I5405" s="9" t="s">
        <v>402</v>
      </c>
      <c r="J5405" s="16">
        <v>0.8</v>
      </c>
      <c r="K5405" s="14">
        <v>4.0</v>
      </c>
      <c r="N5405" s="14" t="str">
        <f>IFERROR(__xludf.DUMMYFUNCTION("""COMPUTED_VALUE"""),"")</f>
        <v/>
      </c>
      <c r="O5405" s="14"/>
    </row>
    <row r="5406" ht="22.5" hidden="1" customHeight="1">
      <c r="A5406" s="8">
        <v>46226.74875018519</v>
      </c>
      <c r="B5406" s="14">
        <v>46226.0</v>
      </c>
      <c r="C5406" s="9" t="s">
        <v>31</v>
      </c>
      <c r="D5406" s="9" t="s">
        <v>441</v>
      </c>
      <c r="E5406" s="9" t="s">
        <v>17</v>
      </c>
      <c r="F5406" s="9" t="s">
        <v>17</v>
      </c>
      <c r="G5406" s="9">
        <v>8.0</v>
      </c>
      <c r="H5406" s="9" t="s">
        <v>17</v>
      </c>
      <c r="I5406" s="9" t="s">
        <v>20</v>
      </c>
      <c r="J5406" s="16">
        <v>1.0</v>
      </c>
      <c r="K5406" s="14">
        <v>2.0</v>
      </c>
      <c r="N5406" s="14" t="str">
        <f>IFERROR(__xludf.DUMMYFUNCTION("""COMPUTED_VALUE"""),"")</f>
        <v/>
      </c>
      <c r="O5406" s="14"/>
    </row>
    <row r="5407" ht="22.5" hidden="1" customHeight="1">
      <c r="A5407" s="8">
        <v>46226.74997472222</v>
      </c>
      <c r="B5407" s="14">
        <v>46226.0</v>
      </c>
      <c r="C5407" s="9" t="s">
        <v>31</v>
      </c>
      <c r="D5407" s="9" t="s">
        <v>446</v>
      </c>
      <c r="E5407" s="9" t="s">
        <v>17</v>
      </c>
      <c r="F5407" s="9" t="s">
        <v>17</v>
      </c>
      <c r="G5407" s="9">
        <v>8.0</v>
      </c>
      <c r="H5407" s="9" t="s">
        <v>17</v>
      </c>
      <c r="I5407" s="9" t="s">
        <v>20</v>
      </c>
      <c r="J5407" s="16">
        <v>0.8</v>
      </c>
      <c r="K5407" s="14">
        <v>4.0</v>
      </c>
      <c r="N5407" s="14" t="str">
        <f>IFERROR(__xludf.DUMMYFUNCTION("""COMPUTED_VALUE"""),"")</f>
        <v/>
      </c>
      <c r="O5407" s="14"/>
    </row>
    <row r="5408" ht="22.5" hidden="1" customHeight="1">
      <c r="A5408" s="8">
        <v>46226.75060105324</v>
      </c>
      <c r="B5408" s="14">
        <v>46226.0</v>
      </c>
      <c r="C5408" s="9" t="s">
        <v>31</v>
      </c>
      <c r="D5408" s="9" t="s">
        <v>449</v>
      </c>
      <c r="E5408" s="9" t="s">
        <v>17</v>
      </c>
      <c r="F5408" s="9" t="s">
        <v>17</v>
      </c>
      <c r="G5408" s="9">
        <v>7.0</v>
      </c>
      <c r="H5408" s="9" t="s">
        <v>17</v>
      </c>
      <c r="I5408" s="9" t="s">
        <v>20</v>
      </c>
      <c r="J5408" s="16">
        <v>0.8</v>
      </c>
      <c r="K5408" s="14">
        <v>3.0</v>
      </c>
      <c r="N5408" s="14" t="str">
        <f>IFERROR(__xludf.DUMMYFUNCTION("""COMPUTED_VALUE"""),"")</f>
        <v/>
      </c>
      <c r="O5408" s="14"/>
    </row>
    <row r="5409" ht="22.5" hidden="1" customHeight="1">
      <c r="A5409" s="8">
        <v>46227.36982306713</v>
      </c>
      <c r="B5409" s="14">
        <v>46227.0</v>
      </c>
      <c r="C5409" s="9" t="s">
        <v>48</v>
      </c>
      <c r="D5409" s="9" t="s">
        <v>445</v>
      </c>
      <c r="E5409" s="9" t="s">
        <v>61</v>
      </c>
      <c r="F5409" s="9" t="s">
        <v>60</v>
      </c>
      <c r="G5409" s="9">
        <v>6.0</v>
      </c>
      <c r="H5409" s="9" t="s">
        <v>17</v>
      </c>
      <c r="I5409" s="9" t="s">
        <v>20</v>
      </c>
      <c r="J5409" s="16">
        <v>0.4</v>
      </c>
      <c r="K5409" s="14" t="s">
        <v>398</v>
      </c>
      <c r="N5409" s="14" t="str">
        <f>IFERROR(__xludf.DUMMYFUNCTION("""COMPUTED_VALUE"""),"")</f>
        <v/>
      </c>
      <c r="O5409" s="14"/>
    </row>
    <row r="5410" ht="22.5" hidden="1" customHeight="1">
      <c r="A5410" s="8">
        <v>46227.37729899306</v>
      </c>
      <c r="B5410" s="14">
        <v>46227.0</v>
      </c>
      <c r="C5410" s="9" t="s">
        <v>48</v>
      </c>
      <c r="D5410" s="9" t="s">
        <v>393</v>
      </c>
      <c r="E5410" s="9" t="s">
        <v>17</v>
      </c>
      <c r="F5410" s="9" t="s">
        <v>35</v>
      </c>
      <c r="G5410" s="9">
        <v>7.0</v>
      </c>
      <c r="H5410" s="9" t="s">
        <v>25</v>
      </c>
      <c r="I5410" s="9" t="s">
        <v>207</v>
      </c>
      <c r="J5410" s="16">
        <v>0.8</v>
      </c>
      <c r="K5410" s="14" t="s">
        <v>398</v>
      </c>
      <c r="N5410" s="14" t="str">
        <f>IFERROR(__xludf.DUMMYFUNCTION("""COMPUTED_VALUE"""),"")</f>
        <v/>
      </c>
      <c r="O5410" s="14"/>
    </row>
    <row r="5411" ht="22.5" hidden="1" customHeight="1">
      <c r="A5411" s="8">
        <v>46227.37874915509</v>
      </c>
      <c r="B5411" s="14">
        <v>46227.0</v>
      </c>
      <c r="C5411" s="9" t="s">
        <v>48</v>
      </c>
      <c r="D5411" s="9" t="s">
        <v>171</v>
      </c>
      <c r="E5411" s="9" t="s">
        <v>46</v>
      </c>
      <c r="F5411" s="9" t="s">
        <v>17</v>
      </c>
      <c r="G5411" s="9">
        <v>7.0</v>
      </c>
      <c r="H5411" s="9" t="s">
        <v>25</v>
      </c>
      <c r="I5411" s="9" t="s">
        <v>117</v>
      </c>
      <c r="J5411" s="16">
        <v>0.4</v>
      </c>
      <c r="K5411" s="14">
        <v>7.0</v>
      </c>
      <c r="N5411" s="14" t="str">
        <f>IFERROR(__xludf.DUMMYFUNCTION("""COMPUTED_VALUE"""),"")</f>
        <v/>
      </c>
      <c r="O5411" s="14"/>
    </row>
    <row r="5412" ht="22.5" hidden="1" customHeight="1">
      <c r="A5412" s="8">
        <v>46227.38066775463</v>
      </c>
      <c r="B5412" s="14">
        <v>46227.0</v>
      </c>
      <c r="C5412" s="9" t="s">
        <v>48</v>
      </c>
      <c r="D5412" s="9" t="s">
        <v>175</v>
      </c>
      <c r="E5412" s="9" t="s">
        <v>140</v>
      </c>
      <c r="F5412" s="9" t="s">
        <v>60</v>
      </c>
      <c r="G5412" s="9">
        <v>7.0</v>
      </c>
      <c r="H5412" s="9" t="s">
        <v>25</v>
      </c>
      <c r="I5412" s="9" t="s">
        <v>207</v>
      </c>
      <c r="J5412" s="16">
        <v>0.6</v>
      </c>
      <c r="K5412" s="14">
        <v>9.0</v>
      </c>
      <c r="N5412" s="14" t="str">
        <f>IFERROR(__xludf.DUMMYFUNCTION("""COMPUTED_VALUE"""),"")</f>
        <v/>
      </c>
      <c r="O5412" s="14"/>
    </row>
    <row r="5413" ht="22.5" hidden="1" customHeight="1">
      <c r="A5413" s="8">
        <v>46227.38305870371</v>
      </c>
      <c r="B5413" s="14">
        <v>46227.0</v>
      </c>
      <c r="C5413" s="9" t="s">
        <v>48</v>
      </c>
      <c r="D5413" s="9" t="s">
        <v>178</v>
      </c>
      <c r="E5413" s="9" t="s">
        <v>61</v>
      </c>
      <c r="F5413" s="9" t="s">
        <v>17</v>
      </c>
      <c r="G5413" s="9">
        <v>7.0</v>
      </c>
      <c r="H5413" s="9" t="s">
        <v>25</v>
      </c>
      <c r="I5413" s="9" t="s">
        <v>50</v>
      </c>
      <c r="J5413" s="16">
        <v>0.6</v>
      </c>
      <c r="K5413" s="14">
        <v>10.0</v>
      </c>
      <c r="N5413" s="14" t="str">
        <f>IFERROR(__xludf.DUMMYFUNCTION("""COMPUTED_VALUE"""),"")</f>
        <v/>
      </c>
      <c r="O5413" s="14"/>
    </row>
    <row r="5414" ht="22.5" hidden="1" customHeight="1">
      <c r="A5414" s="8">
        <v>46227.383926678245</v>
      </c>
      <c r="B5414" s="14">
        <v>46227.0</v>
      </c>
      <c r="C5414" s="9" t="s">
        <v>48</v>
      </c>
      <c r="D5414" s="9" t="s">
        <v>394</v>
      </c>
      <c r="E5414" s="9" t="s">
        <v>57</v>
      </c>
      <c r="F5414" s="9" t="s">
        <v>35</v>
      </c>
      <c r="G5414" s="9">
        <v>8.0</v>
      </c>
      <c r="H5414" s="9" t="s">
        <v>25</v>
      </c>
      <c r="I5414" s="9" t="s">
        <v>293</v>
      </c>
      <c r="J5414" s="16">
        <v>1.0</v>
      </c>
      <c r="K5414" s="14" t="s">
        <v>398</v>
      </c>
      <c r="N5414" s="14" t="str">
        <f>IFERROR(__xludf.DUMMYFUNCTION("""COMPUTED_VALUE"""),"")</f>
        <v/>
      </c>
      <c r="O5414" s="14"/>
    </row>
    <row r="5415" ht="22.5" hidden="1" customHeight="1">
      <c r="A5415" s="8">
        <v>46227.385888425924</v>
      </c>
      <c r="B5415" s="14">
        <v>46227.0</v>
      </c>
      <c r="C5415" s="9" t="s">
        <v>48</v>
      </c>
      <c r="D5415" s="9" t="s">
        <v>396</v>
      </c>
      <c r="E5415" s="9" t="s">
        <v>140</v>
      </c>
      <c r="F5415" s="9" t="s">
        <v>17</v>
      </c>
      <c r="G5415" s="9">
        <v>8.0</v>
      </c>
      <c r="H5415" s="9" t="s">
        <v>17</v>
      </c>
      <c r="I5415" s="9" t="s">
        <v>20</v>
      </c>
      <c r="J5415" s="16">
        <v>0.4</v>
      </c>
      <c r="K5415" s="14">
        <v>10.0</v>
      </c>
      <c r="N5415" s="14" t="str">
        <f>IFERROR(__xludf.DUMMYFUNCTION("""COMPUTED_VALUE"""),"")</f>
        <v/>
      </c>
      <c r="O5415" s="14"/>
    </row>
    <row r="5416" ht="22.5" hidden="1" customHeight="1">
      <c r="A5416" s="8">
        <v>46227.38975751157</v>
      </c>
      <c r="B5416" s="14">
        <v>46227.0</v>
      </c>
      <c r="C5416" s="9" t="s">
        <v>48</v>
      </c>
      <c r="D5416" s="9" t="s">
        <v>367</v>
      </c>
      <c r="E5416" s="9" t="s">
        <v>17</v>
      </c>
      <c r="F5416" s="9" t="s">
        <v>17</v>
      </c>
      <c r="G5416" s="9">
        <v>7.0</v>
      </c>
      <c r="H5416" s="9" t="s">
        <v>17</v>
      </c>
      <c r="I5416" s="9" t="s">
        <v>20</v>
      </c>
      <c r="J5416" s="16">
        <v>0.8</v>
      </c>
      <c r="K5416" s="14" t="s">
        <v>398</v>
      </c>
      <c r="N5416" s="14" t="str">
        <f>IFERROR(__xludf.DUMMYFUNCTION("""COMPUTED_VALUE"""),"")</f>
        <v/>
      </c>
      <c r="O5416" s="14"/>
    </row>
    <row r="5417" ht="22.5" hidden="1" customHeight="1">
      <c r="A5417" s="8">
        <v>46227.405913877315</v>
      </c>
      <c r="B5417" s="14">
        <v>46227.0</v>
      </c>
      <c r="C5417" s="9" t="s">
        <v>48</v>
      </c>
      <c r="D5417" s="9" t="s">
        <v>177</v>
      </c>
      <c r="E5417" s="9" t="s">
        <v>17</v>
      </c>
      <c r="F5417" s="9" t="s">
        <v>18</v>
      </c>
      <c r="G5417" s="9">
        <v>8.0</v>
      </c>
      <c r="H5417" s="9" t="s">
        <v>22</v>
      </c>
      <c r="I5417" s="9" t="s">
        <v>20</v>
      </c>
      <c r="J5417" s="16">
        <v>0.8</v>
      </c>
      <c r="K5417" s="14" t="s">
        <v>398</v>
      </c>
      <c r="N5417" s="14" t="str">
        <f>IFERROR(__xludf.DUMMYFUNCTION("""COMPUTED_VALUE"""),"")</f>
        <v/>
      </c>
      <c r="O5417" s="14"/>
    </row>
    <row r="5418" ht="22.5" hidden="1" customHeight="1">
      <c r="A5418" s="8">
        <v>46227.41908175926</v>
      </c>
      <c r="B5418" s="14">
        <v>46227.0</v>
      </c>
      <c r="C5418" s="9" t="s">
        <v>48</v>
      </c>
      <c r="D5418" s="9" t="s">
        <v>413</v>
      </c>
      <c r="E5418" s="9" t="s">
        <v>17</v>
      </c>
      <c r="F5418" s="9" t="s">
        <v>17</v>
      </c>
      <c r="G5418" s="9" t="s">
        <v>409</v>
      </c>
      <c r="H5418" s="9" t="s">
        <v>22</v>
      </c>
      <c r="I5418" s="9" t="s">
        <v>20</v>
      </c>
      <c r="J5418" s="16">
        <v>0.8</v>
      </c>
      <c r="K5418" s="14" t="s">
        <v>398</v>
      </c>
      <c r="N5418" s="14" t="str">
        <f>IFERROR(__xludf.DUMMYFUNCTION("""COMPUTED_VALUE"""),"")</f>
        <v/>
      </c>
      <c r="O5418" s="14"/>
    </row>
    <row r="5419" ht="22.5" hidden="1" customHeight="1">
      <c r="A5419" s="8">
        <v>46227.42379042824</v>
      </c>
      <c r="B5419" s="14">
        <v>46227.0</v>
      </c>
      <c r="C5419" s="9" t="s">
        <v>48</v>
      </c>
      <c r="D5419" s="9" t="s">
        <v>249</v>
      </c>
      <c r="E5419" s="9" t="s">
        <v>30</v>
      </c>
      <c r="F5419" s="9" t="s">
        <v>18</v>
      </c>
      <c r="G5419" s="9">
        <v>8.0</v>
      </c>
      <c r="H5419" s="9" t="s">
        <v>22</v>
      </c>
      <c r="I5419" s="9" t="s">
        <v>20</v>
      </c>
      <c r="J5419" s="16">
        <v>0.8</v>
      </c>
      <c r="K5419" s="14" t="s">
        <v>398</v>
      </c>
      <c r="N5419" s="14" t="str">
        <f>IFERROR(__xludf.DUMMYFUNCTION("""COMPUTED_VALUE"""),"")</f>
        <v/>
      </c>
      <c r="O5419" s="14"/>
    </row>
    <row r="5420" ht="22.5" hidden="1" customHeight="1">
      <c r="A5420" s="8">
        <v>46227.43862697917</v>
      </c>
      <c r="B5420" s="14">
        <v>46227.0</v>
      </c>
      <c r="C5420" s="9" t="s">
        <v>48</v>
      </c>
      <c r="D5420" s="9" t="s">
        <v>444</v>
      </c>
      <c r="E5420" s="9" t="s">
        <v>57</v>
      </c>
      <c r="F5420" s="9" t="s">
        <v>18</v>
      </c>
      <c r="G5420" s="9" t="s">
        <v>409</v>
      </c>
      <c r="H5420" s="9" t="s">
        <v>22</v>
      </c>
      <c r="I5420" s="9" t="s">
        <v>20</v>
      </c>
      <c r="J5420" s="16">
        <v>0.8</v>
      </c>
      <c r="K5420" s="14" t="s">
        <v>398</v>
      </c>
      <c r="N5420" s="14" t="str">
        <f>IFERROR(__xludf.DUMMYFUNCTION("""COMPUTED_VALUE"""),"")</f>
        <v/>
      </c>
      <c r="O5420" s="14"/>
    </row>
    <row r="5421" ht="22.5" hidden="1" customHeight="1">
      <c r="A5421" s="8">
        <v>46227.440928055556</v>
      </c>
      <c r="B5421" s="14">
        <v>46227.0</v>
      </c>
      <c r="C5421" s="9" t="s">
        <v>48</v>
      </c>
      <c r="D5421" s="9" t="s">
        <v>414</v>
      </c>
      <c r="E5421" s="9" t="s">
        <v>30</v>
      </c>
      <c r="F5421" s="9" t="s">
        <v>18</v>
      </c>
      <c r="G5421" s="9">
        <v>8.0</v>
      </c>
      <c r="H5421" s="9" t="s">
        <v>22</v>
      </c>
      <c r="I5421" s="9" t="s">
        <v>20</v>
      </c>
      <c r="J5421" s="16">
        <v>0.8</v>
      </c>
      <c r="K5421" s="14" t="s">
        <v>398</v>
      </c>
      <c r="N5421" s="14" t="str">
        <f>IFERROR(__xludf.DUMMYFUNCTION("""COMPUTED_VALUE"""),"")</f>
        <v/>
      </c>
      <c r="O5421" s="14"/>
    </row>
    <row r="5422" ht="22.5" hidden="1" customHeight="1">
      <c r="A5422" s="8">
        <v>46227.448355671295</v>
      </c>
      <c r="B5422" s="14">
        <v>46227.0</v>
      </c>
      <c r="C5422" s="9" t="s">
        <v>48</v>
      </c>
      <c r="D5422" s="9" t="s">
        <v>449</v>
      </c>
      <c r="E5422" s="9" t="s">
        <v>57</v>
      </c>
      <c r="F5422" s="9" t="s">
        <v>43</v>
      </c>
      <c r="G5422" s="9" t="s">
        <v>409</v>
      </c>
      <c r="H5422" s="9" t="s">
        <v>22</v>
      </c>
      <c r="I5422" s="9" t="s">
        <v>20</v>
      </c>
      <c r="J5422" s="16">
        <v>0.8</v>
      </c>
      <c r="K5422" s="14" t="s">
        <v>398</v>
      </c>
      <c r="N5422" s="14" t="str">
        <f>IFERROR(__xludf.DUMMYFUNCTION("""COMPUTED_VALUE"""),"")</f>
        <v/>
      </c>
      <c r="O5422" s="14"/>
    </row>
    <row r="5423" ht="22.5" hidden="1" customHeight="1">
      <c r="A5423" s="8">
        <v>46227.44873650463</v>
      </c>
      <c r="B5423" s="14">
        <v>46227.0</v>
      </c>
      <c r="C5423" s="9" t="s">
        <v>48</v>
      </c>
      <c r="D5423" s="9" t="s">
        <v>448</v>
      </c>
      <c r="E5423" s="9" t="s">
        <v>57</v>
      </c>
      <c r="F5423" s="9" t="s">
        <v>43</v>
      </c>
      <c r="G5423" s="9" t="s">
        <v>409</v>
      </c>
      <c r="H5423" s="9" t="s">
        <v>22</v>
      </c>
      <c r="I5423" s="9" t="s">
        <v>20</v>
      </c>
      <c r="J5423" s="16">
        <v>0.8</v>
      </c>
      <c r="K5423" s="14" t="s">
        <v>398</v>
      </c>
      <c r="N5423" s="14" t="str">
        <f>IFERROR(__xludf.DUMMYFUNCTION("""COMPUTED_VALUE"""),"")</f>
        <v/>
      </c>
      <c r="O5423" s="14"/>
    </row>
    <row r="5424" ht="22.5" hidden="1" customHeight="1">
      <c r="A5424" s="8">
        <v>46227.4491003125</v>
      </c>
      <c r="B5424" s="14">
        <v>46227.0</v>
      </c>
      <c r="C5424" s="9" t="s">
        <v>48</v>
      </c>
      <c r="D5424" s="9" t="s">
        <v>441</v>
      </c>
      <c r="E5424" s="9" t="s">
        <v>57</v>
      </c>
      <c r="F5424" s="9" t="s">
        <v>43</v>
      </c>
      <c r="G5424" s="9" t="s">
        <v>409</v>
      </c>
      <c r="H5424" s="9" t="s">
        <v>22</v>
      </c>
      <c r="I5424" s="9" t="s">
        <v>20</v>
      </c>
      <c r="J5424" s="16">
        <v>1.0</v>
      </c>
      <c r="K5424" s="14" t="s">
        <v>398</v>
      </c>
      <c r="N5424" s="14" t="str">
        <f>IFERROR(__xludf.DUMMYFUNCTION("""COMPUTED_VALUE"""),"")</f>
        <v/>
      </c>
      <c r="O5424" s="14"/>
    </row>
    <row r="5425" ht="22.5" hidden="1" customHeight="1">
      <c r="A5425" s="8">
        <v>46227.45354002315</v>
      </c>
      <c r="B5425" s="14">
        <v>46227.0</v>
      </c>
      <c r="C5425" s="9" t="s">
        <v>48</v>
      </c>
      <c r="D5425" s="9" t="s">
        <v>395</v>
      </c>
      <c r="E5425" s="9" t="s">
        <v>17</v>
      </c>
      <c r="F5425" s="9" t="s">
        <v>35</v>
      </c>
      <c r="G5425" s="9" t="s">
        <v>409</v>
      </c>
      <c r="H5425" s="9" t="s">
        <v>17</v>
      </c>
      <c r="I5425" s="9" t="s">
        <v>137</v>
      </c>
      <c r="J5425" s="16">
        <v>0.8</v>
      </c>
      <c r="K5425" s="14" t="s">
        <v>398</v>
      </c>
      <c r="N5425" s="14" t="str">
        <f>IFERROR(__xludf.DUMMYFUNCTION("""COMPUTED_VALUE"""),"")</f>
        <v/>
      </c>
      <c r="O5425" s="14"/>
    </row>
    <row r="5426" ht="22.5" hidden="1" customHeight="1">
      <c r="A5426" s="8">
        <v>46227.45803525463</v>
      </c>
      <c r="B5426" s="14">
        <v>46227.0</v>
      </c>
      <c r="C5426" s="9" t="s">
        <v>48</v>
      </c>
      <c r="D5426" s="9" t="s">
        <v>105</v>
      </c>
      <c r="E5426" s="9" t="s">
        <v>30</v>
      </c>
      <c r="F5426" s="9" t="s">
        <v>18</v>
      </c>
      <c r="G5426" s="9" t="s">
        <v>409</v>
      </c>
      <c r="H5426" s="9" t="s">
        <v>22</v>
      </c>
      <c r="I5426" s="9" t="s">
        <v>20</v>
      </c>
      <c r="J5426" s="16">
        <v>1.0</v>
      </c>
      <c r="K5426" s="14" t="s">
        <v>398</v>
      </c>
      <c r="N5426" s="14" t="str">
        <f>IFERROR(__xludf.DUMMYFUNCTION("""COMPUTED_VALUE"""),"")</f>
        <v/>
      </c>
      <c r="O5426" s="14"/>
    </row>
    <row r="5427" ht="22.5" hidden="1" customHeight="1">
      <c r="A5427" s="8">
        <v>46227.4716337963</v>
      </c>
      <c r="B5427" s="14">
        <v>46227.0</v>
      </c>
      <c r="C5427" s="9" t="s">
        <v>48</v>
      </c>
      <c r="D5427" s="9" t="s">
        <v>442</v>
      </c>
      <c r="E5427" s="9" t="s">
        <v>17</v>
      </c>
      <c r="F5427" s="9" t="s">
        <v>18</v>
      </c>
      <c r="G5427" s="9">
        <v>8.0</v>
      </c>
      <c r="H5427" s="9" t="s">
        <v>22</v>
      </c>
      <c r="I5427" s="9" t="s">
        <v>20</v>
      </c>
      <c r="J5427" s="16">
        <v>0.8</v>
      </c>
      <c r="K5427" s="14" t="s">
        <v>398</v>
      </c>
      <c r="N5427" s="14" t="str">
        <f>IFERROR(__xludf.DUMMYFUNCTION("""COMPUTED_VALUE"""),"")</f>
        <v/>
      </c>
      <c r="O5427" s="14"/>
    </row>
    <row r="5428" ht="22.5" hidden="1" customHeight="1">
      <c r="A5428" s="8">
        <v>46227.47255333333</v>
      </c>
      <c r="B5428" s="14">
        <v>46227.0</v>
      </c>
      <c r="C5428" s="9" t="s">
        <v>48</v>
      </c>
      <c r="D5428" s="9" t="s">
        <v>210</v>
      </c>
      <c r="E5428" s="9" t="s">
        <v>44</v>
      </c>
      <c r="F5428" s="9" t="s">
        <v>18</v>
      </c>
      <c r="G5428" s="9" t="s">
        <v>409</v>
      </c>
      <c r="H5428" s="9" t="s">
        <v>22</v>
      </c>
      <c r="I5428" s="9" t="s">
        <v>20</v>
      </c>
      <c r="J5428" s="16">
        <v>0.8</v>
      </c>
      <c r="K5428" s="14" t="s">
        <v>398</v>
      </c>
      <c r="N5428" s="14" t="str">
        <f>IFERROR(__xludf.DUMMYFUNCTION("""COMPUTED_VALUE"""),"")</f>
        <v/>
      </c>
      <c r="O5428" s="14"/>
    </row>
    <row r="5429" ht="22.5" hidden="1" customHeight="1">
      <c r="A5429" s="8">
        <v>46227.473076967595</v>
      </c>
      <c r="B5429" s="14">
        <v>46227.0</v>
      </c>
      <c r="C5429" s="9" t="s">
        <v>48</v>
      </c>
      <c r="D5429" s="9" t="s">
        <v>357</v>
      </c>
      <c r="E5429" s="9" t="s">
        <v>30</v>
      </c>
      <c r="F5429" s="9" t="s">
        <v>18</v>
      </c>
      <c r="G5429" s="9" t="s">
        <v>409</v>
      </c>
      <c r="H5429" s="9" t="s">
        <v>22</v>
      </c>
      <c r="I5429" s="9" t="s">
        <v>20</v>
      </c>
      <c r="J5429" s="16">
        <v>1.0</v>
      </c>
      <c r="K5429" s="14" t="s">
        <v>398</v>
      </c>
      <c r="N5429" s="14" t="str">
        <f>IFERROR(__xludf.DUMMYFUNCTION("""COMPUTED_VALUE"""),"")</f>
        <v/>
      </c>
      <c r="O5429" s="14"/>
    </row>
    <row r="5430" ht="22.5" hidden="1" customHeight="1">
      <c r="A5430" s="8">
        <v>46227.47714097222</v>
      </c>
      <c r="B5430" s="14">
        <v>46227.0</v>
      </c>
      <c r="C5430" s="9" t="s">
        <v>48</v>
      </c>
      <c r="D5430" s="9" t="s">
        <v>335</v>
      </c>
      <c r="E5430" s="9" t="s">
        <v>30</v>
      </c>
      <c r="F5430" s="9" t="s">
        <v>18</v>
      </c>
      <c r="G5430" s="9">
        <v>8.0</v>
      </c>
      <c r="H5430" s="9" t="s">
        <v>22</v>
      </c>
      <c r="I5430" s="9" t="s">
        <v>20</v>
      </c>
      <c r="J5430" s="16">
        <v>1.0</v>
      </c>
      <c r="K5430" s="14" t="s">
        <v>398</v>
      </c>
      <c r="N5430" s="14" t="str">
        <f>IFERROR(__xludf.DUMMYFUNCTION("""COMPUTED_VALUE"""),"")</f>
        <v/>
      </c>
      <c r="O5430" s="14"/>
    </row>
    <row r="5431" ht="22.5" hidden="1" customHeight="1">
      <c r="A5431" s="8">
        <v>46227.47760569444</v>
      </c>
      <c r="B5431" s="14">
        <v>46227.0</v>
      </c>
      <c r="C5431" s="9" t="s">
        <v>48</v>
      </c>
      <c r="D5431" s="9" t="s">
        <v>446</v>
      </c>
      <c r="E5431" s="9" t="s">
        <v>30</v>
      </c>
      <c r="F5431" s="9" t="s">
        <v>18</v>
      </c>
      <c r="G5431" s="9" t="s">
        <v>409</v>
      </c>
      <c r="H5431" s="9" t="s">
        <v>22</v>
      </c>
      <c r="I5431" s="9" t="s">
        <v>20</v>
      </c>
      <c r="J5431" s="16">
        <v>0.8</v>
      </c>
      <c r="K5431" s="14" t="s">
        <v>398</v>
      </c>
      <c r="N5431" s="14" t="str">
        <f>IFERROR(__xludf.DUMMYFUNCTION("""COMPUTED_VALUE"""),"")</f>
        <v/>
      </c>
      <c r="O5431" s="14"/>
    </row>
    <row r="5432" ht="22.5" hidden="1" customHeight="1">
      <c r="A5432" s="8">
        <v>46227.4787093287</v>
      </c>
      <c r="B5432" s="14">
        <v>46227.0</v>
      </c>
      <c r="C5432" s="9" t="s">
        <v>48</v>
      </c>
      <c r="D5432" s="9" t="s">
        <v>174</v>
      </c>
      <c r="E5432" s="9" t="s">
        <v>30</v>
      </c>
      <c r="F5432" s="9" t="s">
        <v>18</v>
      </c>
      <c r="G5432" s="9">
        <v>8.0</v>
      </c>
      <c r="H5432" s="9" t="s">
        <v>25</v>
      </c>
      <c r="I5432" s="9" t="s">
        <v>218</v>
      </c>
      <c r="J5432" s="16">
        <v>0.8</v>
      </c>
      <c r="K5432" s="14" t="s">
        <v>398</v>
      </c>
      <c r="N5432" s="14" t="str">
        <f>IFERROR(__xludf.DUMMYFUNCTION("""COMPUTED_VALUE"""),"")</f>
        <v/>
      </c>
      <c r="O5432" s="14"/>
    </row>
    <row r="5433" ht="22.5" hidden="1" customHeight="1">
      <c r="A5433" s="8">
        <v>46227.47920997685</v>
      </c>
      <c r="B5433" s="14">
        <v>46227.0</v>
      </c>
      <c r="C5433" s="9" t="s">
        <v>48</v>
      </c>
      <c r="D5433" s="9" t="s">
        <v>369</v>
      </c>
      <c r="E5433" s="9" t="s">
        <v>30</v>
      </c>
      <c r="F5433" s="9" t="s">
        <v>17</v>
      </c>
      <c r="G5433" s="9">
        <v>7.0</v>
      </c>
      <c r="H5433" s="9" t="s">
        <v>25</v>
      </c>
      <c r="I5433" s="9" t="s">
        <v>137</v>
      </c>
      <c r="J5433" s="16">
        <v>0.8</v>
      </c>
      <c r="K5433" s="14" t="s">
        <v>398</v>
      </c>
      <c r="N5433" s="14" t="str">
        <f>IFERROR(__xludf.DUMMYFUNCTION("""COMPUTED_VALUE"""),"")</f>
        <v/>
      </c>
      <c r="O5433" s="14"/>
    </row>
    <row r="5434" ht="22.5" hidden="1" customHeight="1">
      <c r="A5434" s="8">
        <v>46227.48149925926</v>
      </c>
      <c r="B5434" s="14">
        <v>46227.0</v>
      </c>
      <c r="C5434" s="9" t="s">
        <v>48</v>
      </c>
      <c r="D5434" s="9" t="s">
        <v>247</v>
      </c>
      <c r="E5434" s="9" t="s">
        <v>17</v>
      </c>
      <c r="F5434" s="9" t="s">
        <v>17</v>
      </c>
      <c r="G5434" s="9">
        <v>8.0</v>
      </c>
      <c r="H5434" s="9" t="s">
        <v>22</v>
      </c>
      <c r="I5434" s="9" t="s">
        <v>20</v>
      </c>
      <c r="J5434" s="16">
        <v>0.8</v>
      </c>
      <c r="K5434" s="14" t="s">
        <v>398</v>
      </c>
      <c r="N5434" s="14" t="str">
        <f>IFERROR(__xludf.DUMMYFUNCTION("""COMPUTED_VALUE"""),"")</f>
        <v/>
      </c>
      <c r="O5434" s="14"/>
    </row>
    <row r="5435" ht="22.5" hidden="1" customHeight="1">
      <c r="A5435" s="8">
        <v>46227.48194827547</v>
      </c>
      <c r="B5435" s="14">
        <v>46227.0</v>
      </c>
      <c r="C5435" s="9" t="s">
        <v>48</v>
      </c>
      <c r="D5435" s="9" t="s">
        <v>259</v>
      </c>
      <c r="E5435" s="9" t="s">
        <v>30</v>
      </c>
      <c r="F5435" s="9" t="s">
        <v>43</v>
      </c>
      <c r="G5435" s="9" t="s">
        <v>409</v>
      </c>
      <c r="H5435" s="9" t="s">
        <v>22</v>
      </c>
      <c r="I5435" s="9" t="s">
        <v>20</v>
      </c>
      <c r="J5435" s="16">
        <v>1.0</v>
      </c>
      <c r="K5435" s="14" t="s">
        <v>398</v>
      </c>
      <c r="N5435" s="14" t="str">
        <f>IFERROR(__xludf.DUMMYFUNCTION("""COMPUTED_VALUE"""),"")</f>
        <v/>
      </c>
      <c r="O5435" s="14"/>
    </row>
    <row r="5436" ht="22.5" hidden="1" customHeight="1">
      <c r="A5436" s="8">
        <v>46227.501487013884</v>
      </c>
      <c r="B5436" s="14">
        <v>46227.0</v>
      </c>
      <c r="C5436" s="9" t="s">
        <v>48</v>
      </c>
      <c r="D5436" s="9" t="s">
        <v>457</v>
      </c>
      <c r="E5436" s="9" t="s">
        <v>30</v>
      </c>
      <c r="F5436" s="9" t="s">
        <v>18</v>
      </c>
      <c r="G5436" s="9" t="s">
        <v>409</v>
      </c>
      <c r="H5436" s="9" t="s">
        <v>22</v>
      </c>
      <c r="I5436" s="9" t="s">
        <v>20</v>
      </c>
      <c r="J5436" s="16">
        <v>0.8</v>
      </c>
      <c r="K5436" s="14" t="s">
        <v>398</v>
      </c>
      <c r="N5436" s="14" t="str">
        <f>IFERROR(__xludf.DUMMYFUNCTION("""COMPUTED_VALUE"""),"")</f>
        <v/>
      </c>
      <c r="O5436" s="14"/>
    </row>
    <row r="5437" ht="22.5" hidden="1" customHeight="1">
      <c r="A5437" s="8">
        <v>46227.501917534726</v>
      </c>
      <c r="B5437" s="14">
        <v>46227.0</v>
      </c>
      <c r="C5437" s="9" t="s">
        <v>48</v>
      </c>
      <c r="D5437" s="9" t="s">
        <v>458</v>
      </c>
      <c r="E5437" s="9" t="s">
        <v>30</v>
      </c>
      <c r="F5437" s="9" t="s">
        <v>18</v>
      </c>
      <c r="G5437" s="9">
        <v>8.0</v>
      </c>
      <c r="H5437" s="9" t="s">
        <v>22</v>
      </c>
      <c r="I5437" s="9" t="s">
        <v>20</v>
      </c>
      <c r="J5437" s="16">
        <v>1.0</v>
      </c>
      <c r="K5437" s="14" t="s">
        <v>398</v>
      </c>
      <c r="N5437" s="14" t="str">
        <f>IFERROR(__xludf.DUMMYFUNCTION("""COMPUTED_VALUE"""),"")</f>
        <v/>
      </c>
      <c r="O5437" s="14"/>
    </row>
    <row r="5438" ht="22.5" hidden="1" customHeight="1">
      <c r="A5438" s="8">
        <v>46228.38209478009</v>
      </c>
      <c r="B5438" s="14">
        <v>46228.0</v>
      </c>
      <c r="C5438" s="9" t="s">
        <v>53</v>
      </c>
      <c r="D5438" s="9" t="s">
        <v>249</v>
      </c>
      <c r="E5438" s="9" t="s">
        <v>140</v>
      </c>
      <c r="F5438" s="9" t="s">
        <v>60</v>
      </c>
      <c r="G5438" s="9" t="s">
        <v>410</v>
      </c>
      <c r="H5438" s="9" t="s">
        <v>17</v>
      </c>
      <c r="I5438" s="9" t="s">
        <v>20</v>
      </c>
      <c r="J5438" s="16">
        <v>0.2</v>
      </c>
      <c r="K5438" s="14" t="s">
        <v>398</v>
      </c>
      <c r="N5438" s="14" t="str">
        <f>IFERROR(__xludf.DUMMYFUNCTION("""COMPUTED_VALUE"""),"")</f>
        <v/>
      </c>
      <c r="O5438" s="14"/>
    </row>
    <row r="5439" ht="22.5" hidden="1" customHeight="1">
      <c r="A5439" s="8">
        <v>46228.382378888884</v>
      </c>
      <c r="B5439" s="14">
        <v>46228.0</v>
      </c>
      <c r="C5439" s="9" t="s">
        <v>53</v>
      </c>
      <c r="D5439" s="9" t="s">
        <v>249</v>
      </c>
      <c r="E5439" s="9" t="s">
        <v>140</v>
      </c>
      <c r="F5439" s="9" t="s">
        <v>60</v>
      </c>
      <c r="G5439" s="9" t="s">
        <v>410</v>
      </c>
      <c r="H5439" s="9" t="s">
        <v>17</v>
      </c>
      <c r="I5439" s="9" t="s">
        <v>20</v>
      </c>
      <c r="J5439" s="16">
        <v>0.2</v>
      </c>
      <c r="K5439" s="14" t="s">
        <v>398</v>
      </c>
      <c r="N5439" s="14" t="str">
        <f>IFERROR(__xludf.DUMMYFUNCTION("""COMPUTED_VALUE"""),"")</f>
        <v/>
      </c>
      <c r="O5439" s="14"/>
    </row>
    <row r="5440" ht="22.5" hidden="1" customHeight="1">
      <c r="A5440" s="8">
        <v>46228.3831496875</v>
      </c>
      <c r="B5440" s="14">
        <v>46228.0</v>
      </c>
      <c r="C5440" s="9" t="s">
        <v>53</v>
      </c>
      <c r="D5440" s="9" t="s">
        <v>394</v>
      </c>
      <c r="E5440" s="9" t="s">
        <v>44</v>
      </c>
      <c r="F5440" s="9" t="s">
        <v>17</v>
      </c>
      <c r="G5440" s="9">
        <v>7.0</v>
      </c>
      <c r="H5440" s="9" t="s">
        <v>25</v>
      </c>
      <c r="I5440" s="9" t="s">
        <v>20</v>
      </c>
      <c r="J5440" s="16">
        <v>1.0</v>
      </c>
      <c r="K5440" s="14" t="s">
        <v>398</v>
      </c>
      <c r="N5440" s="14" t="str">
        <f>IFERROR(__xludf.DUMMYFUNCTION("""COMPUTED_VALUE"""),"")</f>
        <v/>
      </c>
      <c r="O5440" s="14"/>
    </row>
    <row r="5441" ht="22.5" hidden="1" customHeight="1">
      <c r="A5441" s="8">
        <v>46228.38385574074</v>
      </c>
      <c r="B5441" s="14">
        <v>46228.0</v>
      </c>
      <c r="C5441" s="9" t="s">
        <v>53</v>
      </c>
      <c r="D5441" s="9" t="s">
        <v>393</v>
      </c>
      <c r="E5441" s="9" t="s">
        <v>17</v>
      </c>
      <c r="F5441" s="9" t="s">
        <v>17</v>
      </c>
      <c r="G5441" s="9">
        <v>7.0</v>
      </c>
      <c r="H5441" s="9" t="s">
        <v>25</v>
      </c>
      <c r="I5441" s="9" t="s">
        <v>240</v>
      </c>
      <c r="J5441" s="16">
        <v>0.8</v>
      </c>
      <c r="K5441" s="14" t="s">
        <v>398</v>
      </c>
      <c r="N5441" s="14" t="str">
        <f>IFERROR(__xludf.DUMMYFUNCTION("""COMPUTED_VALUE"""),"")</f>
        <v/>
      </c>
      <c r="O5441" s="14"/>
    </row>
    <row r="5442" ht="22.5" hidden="1" customHeight="1">
      <c r="A5442" s="8">
        <v>46228.38437581019</v>
      </c>
      <c r="B5442" s="14">
        <v>46228.0</v>
      </c>
      <c r="C5442" s="9" t="s">
        <v>53</v>
      </c>
      <c r="D5442" s="9" t="s">
        <v>459</v>
      </c>
      <c r="E5442" s="9" t="s">
        <v>17</v>
      </c>
      <c r="F5442" s="9" t="s">
        <v>17</v>
      </c>
      <c r="G5442" s="9">
        <v>8.0</v>
      </c>
      <c r="H5442" s="9" t="s">
        <v>17</v>
      </c>
      <c r="I5442" s="9" t="s">
        <v>20</v>
      </c>
      <c r="J5442" s="16">
        <v>0.6</v>
      </c>
      <c r="K5442" s="14" t="s">
        <v>398</v>
      </c>
      <c r="N5442" s="14" t="str">
        <f>IFERROR(__xludf.DUMMYFUNCTION("""COMPUTED_VALUE"""),"")</f>
        <v/>
      </c>
      <c r="O5442" s="14"/>
    </row>
    <row r="5443" ht="22.5" hidden="1" customHeight="1">
      <c r="A5443" s="8">
        <v>46228.38488533565</v>
      </c>
      <c r="B5443" s="14">
        <v>46228.0</v>
      </c>
      <c r="C5443" s="9" t="s">
        <v>53</v>
      </c>
      <c r="D5443" s="9" t="s">
        <v>357</v>
      </c>
      <c r="E5443" s="9" t="s">
        <v>140</v>
      </c>
      <c r="F5443" s="9" t="s">
        <v>77</v>
      </c>
      <c r="G5443" s="9" t="s">
        <v>410</v>
      </c>
      <c r="H5443" s="9" t="s">
        <v>25</v>
      </c>
      <c r="I5443" s="9" t="s">
        <v>20</v>
      </c>
      <c r="J5443" s="16">
        <v>0.2</v>
      </c>
      <c r="K5443" s="14" t="s">
        <v>398</v>
      </c>
      <c r="N5443" s="14" t="str">
        <f>IFERROR(__xludf.DUMMYFUNCTION("""COMPUTED_VALUE"""),"")</f>
        <v/>
      </c>
      <c r="O5443" s="14"/>
    </row>
    <row r="5444" ht="22.5" hidden="1" customHeight="1">
      <c r="A5444" s="8">
        <v>46228.38619113426</v>
      </c>
      <c r="B5444" s="14">
        <v>46228.0</v>
      </c>
      <c r="C5444" s="9" t="s">
        <v>53</v>
      </c>
      <c r="D5444" s="9" t="s">
        <v>396</v>
      </c>
      <c r="E5444" s="9" t="s">
        <v>140</v>
      </c>
      <c r="F5444" s="9" t="s">
        <v>39</v>
      </c>
      <c r="G5444" s="9">
        <v>8.0</v>
      </c>
      <c r="H5444" s="9" t="s">
        <v>25</v>
      </c>
      <c r="I5444" s="9" t="s">
        <v>207</v>
      </c>
      <c r="J5444" s="16">
        <v>1.0</v>
      </c>
      <c r="K5444" s="14" t="s">
        <v>398</v>
      </c>
      <c r="N5444" s="14" t="str">
        <f>IFERROR(__xludf.DUMMYFUNCTION("""COMPUTED_VALUE"""),"")</f>
        <v/>
      </c>
      <c r="O5444" s="14"/>
    </row>
    <row r="5445" ht="22.5" hidden="1" customHeight="1">
      <c r="A5445" s="8">
        <v>46228.387323981486</v>
      </c>
      <c r="B5445" s="14">
        <v>46228.0</v>
      </c>
      <c r="C5445" s="9" t="s">
        <v>53</v>
      </c>
      <c r="D5445" s="9" t="s">
        <v>171</v>
      </c>
      <c r="E5445" s="9" t="s">
        <v>46</v>
      </c>
      <c r="F5445" s="9" t="s">
        <v>17</v>
      </c>
      <c r="G5445" s="9">
        <v>7.0</v>
      </c>
      <c r="H5445" s="9" t="s">
        <v>25</v>
      </c>
      <c r="I5445" s="9" t="s">
        <v>34</v>
      </c>
      <c r="J5445" s="16">
        <v>0.6</v>
      </c>
      <c r="K5445" s="14" t="s">
        <v>398</v>
      </c>
      <c r="N5445" s="14" t="str">
        <f>IFERROR(__xludf.DUMMYFUNCTION("""COMPUTED_VALUE"""),"")</f>
        <v/>
      </c>
      <c r="O5445" s="14"/>
    </row>
    <row r="5446" ht="22.5" hidden="1" customHeight="1">
      <c r="A5446" s="8">
        <v>46228.39009721065</v>
      </c>
      <c r="B5446" s="14">
        <v>46228.0</v>
      </c>
      <c r="C5446" s="9" t="s">
        <v>53</v>
      </c>
      <c r="D5446" s="9" t="s">
        <v>395</v>
      </c>
      <c r="E5446" s="9" t="s">
        <v>17</v>
      </c>
      <c r="F5446" s="9" t="s">
        <v>60</v>
      </c>
      <c r="G5446" s="9" t="s">
        <v>410</v>
      </c>
      <c r="H5446" s="9" t="s">
        <v>25</v>
      </c>
      <c r="I5446" s="9" t="s">
        <v>211</v>
      </c>
      <c r="J5446" s="16">
        <v>0.6</v>
      </c>
      <c r="K5446" s="14" t="s">
        <v>398</v>
      </c>
      <c r="N5446" s="14" t="str">
        <f>IFERROR(__xludf.DUMMYFUNCTION("""COMPUTED_VALUE"""),"")</f>
        <v/>
      </c>
      <c r="O5446" s="14"/>
    </row>
    <row r="5447" ht="22.5" hidden="1" customHeight="1">
      <c r="A5447" s="8">
        <v>46228.390679097225</v>
      </c>
      <c r="B5447" s="14">
        <v>46228.0</v>
      </c>
      <c r="C5447" s="9" t="s">
        <v>53</v>
      </c>
      <c r="D5447" s="9" t="s">
        <v>257</v>
      </c>
      <c r="E5447" s="9" t="s">
        <v>17</v>
      </c>
      <c r="F5447" s="9" t="s">
        <v>17</v>
      </c>
      <c r="G5447" s="9">
        <v>8.0</v>
      </c>
      <c r="H5447" s="9" t="s">
        <v>17</v>
      </c>
      <c r="I5447" s="9" t="s">
        <v>20</v>
      </c>
      <c r="J5447" s="16">
        <v>0.8</v>
      </c>
      <c r="K5447" s="14" t="s">
        <v>398</v>
      </c>
      <c r="N5447" s="14" t="str">
        <f>IFERROR(__xludf.DUMMYFUNCTION("""COMPUTED_VALUE"""),"")</f>
        <v/>
      </c>
      <c r="O5447" s="14"/>
    </row>
    <row r="5448" ht="22.5" hidden="1" customHeight="1">
      <c r="A5448" s="8">
        <v>46228.391658506946</v>
      </c>
      <c r="B5448" s="14">
        <v>46228.0</v>
      </c>
      <c r="C5448" s="9" t="s">
        <v>53</v>
      </c>
      <c r="D5448" s="9" t="s">
        <v>177</v>
      </c>
      <c r="E5448" s="9" t="s">
        <v>46</v>
      </c>
      <c r="F5448" s="9" t="s">
        <v>60</v>
      </c>
      <c r="G5448" s="9" t="s">
        <v>410</v>
      </c>
      <c r="H5448" s="9" t="s">
        <v>25</v>
      </c>
      <c r="I5448" s="9" t="s">
        <v>37</v>
      </c>
      <c r="J5448" s="16">
        <v>0.4</v>
      </c>
      <c r="K5448" s="14" t="s">
        <v>398</v>
      </c>
      <c r="N5448" s="14" t="str">
        <f>IFERROR(__xludf.DUMMYFUNCTION("""COMPUTED_VALUE"""),"")</f>
        <v/>
      </c>
      <c r="O5448" s="14"/>
    </row>
    <row r="5449" ht="22.5" hidden="1" customHeight="1">
      <c r="A5449" s="8">
        <v>46228.40183011574</v>
      </c>
      <c r="B5449" s="14">
        <v>46228.0</v>
      </c>
      <c r="C5449" s="9" t="s">
        <v>53</v>
      </c>
      <c r="D5449" s="9" t="s">
        <v>105</v>
      </c>
      <c r="E5449" s="9" t="s">
        <v>17</v>
      </c>
      <c r="F5449" s="9" t="s">
        <v>17</v>
      </c>
      <c r="G5449" s="9">
        <v>7.0</v>
      </c>
      <c r="H5449" s="9" t="s">
        <v>22</v>
      </c>
      <c r="I5449" s="9" t="s">
        <v>20</v>
      </c>
      <c r="J5449" s="16">
        <v>0.8</v>
      </c>
      <c r="K5449" s="14" t="s">
        <v>398</v>
      </c>
      <c r="N5449" s="14" t="str">
        <f>IFERROR(__xludf.DUMMYFUNCTION("""COMPUTED_VALUE"""),"")</f>
        <v/>
      </c>
      <c r="O5449" s="14"/>
    </row>
    <row r="5450" ht="22.5" hidden="1" customHeight="1">
      <c r="A5450" s="8">
        <v>46228.402146215274</v>
      </c>
      <c r="B5450" s="14">
        <v>46228.0</v>
      </c>
      <c r="C5450" s="9" t="s">
        <v>53</v>
      </c>
      <c r="D5450" s="9" t="s">
        <v>335</v>
      </c>
      <c r="E5450" s="9" t="s">
        <v>61</v>
      </c>
      <c r="F5450" s="9" t="s">
        <v>60</v>
      </c>
      <c r="G5450" s="9" t="s">
        <v>410</v>
      </c>
      <c r="H5450" s="9" t="s">
        <v>22</v>
      </c>
      <c r="I5450" s="9" t="s">
        <v>20</v>
      </c>
      <c r="J5450" s="16">
        <v>0.4</v>
      </c>
      <c r="K5450" s="14" t="s">
        <v>398</v>
      </c>
      <c r="N5450" s="14" t="str">
        <f>IFERROR(__xludf.DUMMYFUNCTION("""COMPUTED_VALUE"""),"")</f>
        <v/>
      </c>
      <c r="O5450" s="14"/>
    </row>
    <row r="5451" ht="22.5" hidden="1" customHeight="1">
      <c r="A5451" s="8">
        <v>46228.40256604167</v>
      </c>
      <c r="B5451" s="14">
        <v>46228.0</v>
      </c>
      <c r="C5451" s="9" t="s">
        <v>53</v>
      </c>
      <c r="D5451" s="9" t="s">
        <v>247</v>
      </c>
      <c r="E5451" s="9" t="s">
        <v>140</v>
      </c>
      <c r="F5451" s="9" t="s">
        <v>77</v>
      </c>
      <c r="G5451" s="9" t="s">
        <v>410</v>
      </c>
      <c r="H5451" s="9" t="s">
        <v>62</v>
      </c>
      <c r="I5451" s="9" t="s">
        <v>20</v>
      </c>
      <c r="J5451" s="16">
        <v>0.2</v>
      </c>
      <c r="K5451" s="14" t="s">
        <v>398</v>
      </c>
      <c r="N5451" s="14" t="str">
        <f>IFERROR(__xludf.DUMMYFUNCTION("""COMPUTED_VALUE"""),"")</f>
        <v/>
      </c>
      <c r="O5451" s="14"/>
    </row>
    <row r="5452" ht="22.5" hidden="1" customHeight="1">
      <c r="A5452" s="8">
        <v>46228.40336460648</v>
      </c>
      <c r="B5452" s="14">
        <v>46228.0</v>
      </c>
      <c r="C5452" s="9" t="s">
        <v>53</v>
      </c>
      <c r="D5452" s="9" t="s">
        <v>350</v>
      </c>
      <c r="E5452" s="9" t="s">
        <v>17</v>
      </c>
      <c r="F5452" s="9" t="s">
        <v>17</v>
      </c>
      <c r="G5452" s="9">
        <v>8.0</v>
      </c>
      <c r="H5452" s="9" t="s">
        <v>25</v>
      </c>
      <c r="I5452" s="9" t="s">
        <v>137</v>
      </c>
      <c r="J5452" s="16">
        <v>1.0</v>
      </c>
      <c r="K5452" s="14" t="s">
        <v>398</v>
      </c>
      <c r="N5452" s="14" t="str">
        <f>IFERROR(__xludf.DUMMYFUNCTION("""COMPUTED_VALUE"""),"")</f>
        <v/>
      </c>
      <c r="O5452" s="14"/>
    </row>
    <row r="5453" ht="22.5" hidden="1" customHeight="1">
      <c r="A5453" s="8">
        <v>46228.40471822917</v>
      </c>
      <c r="B5453" s="14">
        <v>46228.0</v>
      </c>
      <c r="C5453" s="9" t="s">
        <v>53</v>
      </c>
      <c r="D5453" s="9" t="s">
        <v>369</v>
      </c>
      <c r="E5453" s="9" t="s">
        <v>61</v>
      </c>
      <c r="F5453" s="9" t="s">
        <v>60</v>
      </c>
      <c r="G5453" s="9" t="s">
        <v>410</v>
      </c>
      <c r="H5453" s="9" t="s">
        <v>25</v>
      </c>
      <c r="I5453" s="9" t="s">
        <v>218</v>
      </c>
      <c r="J5453" s="16">
        <v>0.6</v>
      </c>
      <c r="K5453" s="14" t="s">
        <v>398</v>
      </c>
      <c r="N5453" s="14" t="str">
        <f>IFERROR(__xludf.DUMMYFUNCTION("""COMPUTED_VALUE"""),"")</f>
        <v/>
      </c>
      <c r="O5453" s="14"/>
    </row>
    <row r="5454" ht="22.5" hidden="1" customHeight="1">
      <c r="A5454" s="8">
        <v>46228.405360335644</v>
      </c>
      <c r="B5454" s="14">
        <v>46228.0</v>
      </c>
      <c r="C5454" s="9" t="s">
        <v>53</v>
      </c>
      <c r="D5454" s="9" t="s">
        <v>442</v>
      </c>
      <c r="E5454" s="9" t="s">
        <v>46</v>
      </c>
      <c r="F5454" s="9" t="s">
        <v>60</v>
      </c>
      <c r="G5454" s="9" t="s">
        <v>410</v>
      </c>
      <c r="H5454" s="9" t="s">
        <v>22</v>
      </c>
      <c r="I5454" s="9" t="s">
        <v>20</v>
      </c>
      <c r="J5454" s="16">
        <v>0.8</v>
      </c>
      <c r="K5454" s="14" t="s">
        <v>398</v>
      </c>
      <c r="N5454" s="14" t="str">
        <f>IFERROR(__xludf.DUMMYFUNCTION("""COMPUTED_VALUE"""),"")</f>
        <v/>
      </c>
      <c r="O5454" s="14"/>
    </row>
    <row r="5455" ht="22.5" hidden="1" customHeight="1">
      <c r="A5455" s="8">
        <v>46228.405827905095</v>
      </c>
      <c r="B5455" s="14">
        <v>46228.0</v>
      </c>
      <c r="C5455" s="9" t="s">
        <v>53</v>
      </c>
      <c r="D5455" s="9" t="s">
        <v>413</v>
      </c>
      <c r="E5455" s="9" t="s">
        <v>46</v>
      </c>
      <c r="F5455" s="9" t="s">
        <v>60</v>
      </c>
      <c r="G5455" s="9" t="s">
        <v>410</v>
      </c>
      <c r="H5455" s="9" t="s">
        <v>22</v>
      </c>
      <c r="I5455" s="9" t="s">
        <v>20</v>
      </c>
      <c r="J5455" s="16">
        <v>0.8</v>
      </c>
      <c r="K5455" s="14" t="s">
        <v>398</v>
      </c>
      <c r="N5455" s="14" t="str">
        <f>IFERROR(__xludf.DUMMYFUNCTION("""COMPUTED_VALUE"""),"")</f>
        <v/>
      </c>
      <c r="O5455" s="14"/>
    </row>
    <row r="5456" ht="22.5" hidden="1" customHeight="1">
      <c r="A5456" s="8">
        <v>46230.65041966435</v>
      </c>
      <c r="B5456" s="14">
        <v>46230.0</v>
      </c>
      <c r="C5456" s="9" t="s">
        <v>86</v>
      </c>
      <c r="D5456" s="9" t="s">
        <v>395</v>
      </c>
      <c r="E5456" s="9" t="s">
        <v>30</v>
      </c>
      <c r="F5456" s="9" t="s">
        <v>35</v>
      </c>
      <c r="G5456" s="9" t="s">
        <v>409</v>
      </c>
      <c r="H5456" s="9" t="s">
        <v>25</v>
      </c>
      <c r="I5456" s="9" t="s">
        <v>137</v>
      </c>
      <c r="J5456" s="16">
        <v>0.8</v>
      </c>
      <c r="K5456" s="14" t="s">
        <v>398</v>
      </c>
      <c r="N5456" s="14" t="str">
        <f>IFERROR(__xludf.DUMMYFUNCTION("""COMPUTED_VALUE"""),"")</f>
        <v/>
      </c>
      <c r="O5456" s="14"/>
    </row>
    <row r="5457" ht="22.5" hidden="1" customHeight="1">
      <c r="A5457" s="8">
        <v>46230.65069003472</v>
      </c>
      <c r="B5457" s="14">
        <v>46230.0</v>
      </c>
      <c r="C5457" s="9" t="s">
        <v>86</v>
      </c>
      <c r="D5457" s="9" t="s">
        <v>105</v>
      </c>
      <c r="E5457" s="9" t="s">
        <v>17</v>
      </c>
      <c r="F5457" s="9" t="s">
        <v>17</v>
      </c>
      <c r="G5457" s="9">
        <v>7.0</v>
      </c>
      <c r="H5457" s="9" t="s">
        <v>22</v>
      </c>
      <c r="I5457" s="9" t="s">
        <v>20</v>
      </c>
      <c r="J5457" s="16">
        <v>0.8</v>
      </c>
      <c r="K5457" s="14" t="s">
        <v>398</v>
      </c>
      <c r="N5457" s="14" t="str">
        <f>IFERROR(__xludf.DUMMYFUNCTION("""COMPUTED_VALUE"""),"")</f>
        <v/>
      </c>
      <c r="O5457" s="14"/>
    </row>
    <row r="5458" ht="22.5" hidden="1" customHeight="1">
      <c r="A5458" s="8">
        <v>46230.65098240741</v>
      </c>
      <c r="B5458" s="14">
        <v>46230.0</v>
      </c>
      <c r="C5458" s="9" t="s">
        <v>86</v>
      </c>
      <c r="D5458" s="9" t="s">
        <v>247</v>
      </c>
      <c r="E5458" s="9" t="s">
        <v>17</v>
      </c>
      <c r="F5458" s="9" t="s">
        <v>17</v>
      </c>
      <c r="G5458" s="9">
        <v>8.0</v>
      </c>
      <c r="H5458" s="9" t="s">
        <v>22</v>
      </c>
      <c r="I5458" s="9" t="s">
        <v>20</v>
      </c>
      <c r="J5458" s="16">
        <v>0.8</v>
      </c>
      <c r="K5458" s="14" t="s">
        <v>398</v>
      </c>
      <c r="N5458" s="14" t="str">
        <f>IFERROR(__xludf.DUMMYFUNCTION("""COMPUTED_VALUE"""),"")</f>
        <v/>
      </c>
      <c r="O5458" s="14"/>
    </row>
    <row r="5459" ht="22.5" hidden="1" customHeight="1">
      <c r="A5459" s="8">
        <v>46230.6542708912</v>
      </c>
      <c r="B5459" s="14">
        <v>46230.0</v>
      </c>
      <c r="C5459" s="9" t="s">
        <v>86</v>
      </c>
      <c r="D5459" s="9" t="s">
        <v>171</v>
      </c>
      <c r="E5459" s="9" t="s">
        <v>44</v>
      </c>
      <c r="F5459" s="9" t="s">
        <v>35</v>
      </c>
      <c r="G5459" s="9">
        <v>8.0</v>
      </c>
      <c r="H5459" s="9" t="s">
        <v>25</v>
      </c>
      <c r="I5459" s="9" t="s">
        <v>117</v>
      </c>
      <c r="J5459" s="16">
        <v>1.0</v>
      </c>
      <c r="K5459" s="14" t="s">
        <v>398</v>
      </c>
      <c r="N5459" s="14" t="str">
        <f>IFERROR(__xludf.DUMMYFUNCTION("""COMPUTED_VALUE"""),"")</f>
        <v/>
      </c>
      <c r="O5459" s="14"/>
    </row>
    <row r="5460" ht="22.5" hidden="1" customHeight="1">
      <c r="A5460" s="8">
        <v>46230.65658083333</v>
      </c>
      <c r="B5460" s="14">
        <v>46230.0</v>
      </c>
      <c r="C5460" s="9" t="s">
        <v>86</v>
      </c>
      <c r="D5460" s="9" t="s">
        <v>353</v>
      </c>
      <c r="E5460" s="9" t="s">
        <v>17</v>
      </c>
      <c r="F5460" s="9" t="s">
        <v>17</v>
      </c>
      <c r="G5460" s="9">
        <v>7.0</v>
      </c>
      <c r="H5460" s="9" t="s">
        <v>17</v>
      </c>
      <c r="I5460" s="9" t="s">
        <v>20</v>
      </c>
      <c r="J5460" s="16">
        <v>0.8</v>
      </c>
      <c r="K5460" s="14" t="s">
        <v>398</v>
      </c>
      <c r="N5460" s="14" t="str">
        <f>IFERROR(__xludf.DUMMYFUNCTION("""COMPUTED_VALUE"""),"")</f>
        <v/>
      </c>
      <c r="O5460" s="14"/>
    </row>
    <row r="5461" ht="22.5" hidden="1" customHeight="1">
      <c r="A5461" s="8">
        <v>46230.65732961806</v>
      </c>
      <c r="B5461" s="14">
        <v>46230.0</v>
      </c>
      <c r="C5461" s="9" t="s">
        <v>86</v>
      </c>
      <c r="D5461" s="9" t="s">
        <v>460</v>
      </c>
      <c r="E5461" s="9" t="s">
        <v>17</v>
      </c>
      <c r="F5461" s="9" t="s">
        <v>35</v>
      </c>
      <c r="G5461" s="9" t="s">
        <v>409</v>
      </c>
      <c r="H5461" s="9" t="s">
        <v>17</v>
      </c>
      <c r="I5461" s="9" t="s">
        <v>20</v>
      </c>
      <c r="J5461" s="16">
        <v>1.0</v>
      </c>
      <c r="K5461" s="14" t="s">
        <v>398</v>
      </c>
      <c r="N5461" s="14" t="str">
        <f>IFERROR(__xludf.DUMMYFUNCTION("""COMPUTED_VALUE"""),"")</f>
        <v/>
      </c>
      <c r="O5461" s="14"/>
    </row>
    <row r="5462" ht="22.5" hidden="1" customHeight="1">
      <c r="A5462" s="8">
        <v>46230.65791159723</v>
      </c>
      <c r="B5462" s="14">
        <v>46230.0</v>
      </c>
      <c r="C5462" s="9" t="s">
        <v>86</v>
      </c>
      <c r="D5462" s="9" t="s">
        <v>249</v>
      </c>
      <c r="E5462" s="9" t="s">
        <v>17</v>
      </c>
      <c r="F5462" s="9" t="s">
        <v>17</v>
      </c>
      <c r="G5462" s="9">
        <v>8.0</v>
      </c>
      <c r="H5462" s="9" t="s">
        <v>22</v>
      </c>
      <c r="I5462" s="9" t="s">
        <v>20</v>
      </c>
      <c r="J5462" s="16">
        <v>0.8</v>
      </c>
      <c r="K5462" s="14" t="s">
        <v>398</v>
      </c>
      <c r="N5462" s="14" t="str">
        <f>IFERROR(__xludf.DUMMYFUNCTION("""COMPUTED_VALUE"""),"")</f>
        <v/>
      </c>
      <c r="O5462" s="14"/>
    </row>
    <row r="5463" ht="22.5" hidden="1" customHeight="1">
      <c r="A5463" s="8">
        <v>46230.658273043984</v>
      </c>
      <c r="B5463" s="14">
        <v>46230.0</v>
      </c>
      <c r="C5463" s="9" t="s">
        <v>86</v>
      </c>
      <c r="D5463" s="9" t="s">
        <v>413</v>
      </c>
      <c r="E5463" s="9" t="s">
        <v>17</v>
      </c>
      <c r="F5463" s="9" t="s">
        <v>17</v>
      </c>
      <c r="G5463" s="9">
        <v>7.0</v>
      </c>
      <c r="H5463" s="9" t="s">
        <v>22</v>
      </c>
      <c r="I5463" s="9" t="s">
        <v>20</v>
      </c>
      <c r="J5463" s="16">
        <v>0.8</v>
      </c>
      <c r="K5463" s="14" t="s">
        <v>398</v>
      </c>
      <c r="N5463" s="14" t="str">
        <f>IFERROR(__xludf.DUMMYFUNCTION("""COMPUTED_VALUE"""),"")</f>
        <v/>
      </c>
      <c r="O5463" s="14"/>
    </row>
    <row r="5464" ht="22.5" hidden="1" customHeight="1">
      <c r="A5464" s="8">
        <v>46230.6582991551</v>
      </c>
      <c r="B5464" s="14">
        <v>46230.0</v>
      </c>
      <c r="C5464" s="9" t="s">
        <v>86</v>
      </c>
      <c r="D5464" s="9" t="s">
        <v>350</v>
      </c>
      <c r="E5464" s="9" t="s">
        <v>17</v>
      </c>
      <c r="F5464" s="9" t="s">
        <v>43</v>
      </c>
      <c r="G5464" s="9">
        <v>8.0</v>
      </c>
      <c r="H5464" s="9" t="s">
        <v>25</v>
      </c>
      <c r="I5464" s="9" t="s">
        <v>137</v>
      </c>
      <c r="J5464" s="16">
        <v>0.8</v>
      </c>
      <c r="K5464" s="14" t="s">
        <v>398</v>
      </c>
      <c r="N5464" s="14" t="str">
        <f>IFERROR(__xludf.DUMMYFUNCTION("""COMPUTED_VALUE"""),"")</f>
        <v/>
      </c>
      <c r="O5464" s="14"/>
    </row>
    <row r="5465" ht="22.5" hidden="1" customHeight="1">
      <c r="A5465" s="8">
        <v>46230.65857728009</v>
      </c>
      <c r="B5465" s="14">
        <v>46230.0</v>
      </c>
      <c r="C5465" s="9" t="s">
        <v>86</v>
      </c>
      <c r="D5465" s="9" t="s">
        <v>414</v>
      </c>
      <c r="E5465" s="9" t="s">
        <v>30</v>
      </c>
      <c r="F5465" s="9" t="s">
        <v>17</v>
      </c>
      <c r="G5465" s="9">
        <v>8.0</v>
      </c>
      <c r="H5465" s="9" t="s">
        <v>22</v>
      </c>
      <c r="I5465" s="9" t="s">
        <v>20</v>
      </c>
      <c r="J5465" s="16">
        <v>1.0</v>
      </c>
      <c r="K5465" s="14" t="s">
        <v>398</v>
      </c>
      <c r="N5465" s="14" t="str">
        <f>IFERROR(__xludf.DUMMYFUNCTION("""COMPUTED_VALUE"""),"")</f>
        <v/>
      </c>
      <c r="O5465" s="14"/>
    </row>
    <row r="5466" ht="22.5" hidden="1" customHeight="1">
      <c r="A5466" s="8">
        <v>46230.65897420139</v>
      </c>
      <c r="B5466" s="14">
        <v>46230.0</v>
      </c>
      <c r="C5466" s="9" t="s">
        <v>86</v>
      </c>
      <c r="D5466" s="9" t="s">
        <v>174</v>
      </c>
      <c r="E5466" s="9" t="s">
        <v>17</v>
      </c>
      <c r="F5466" s="9" t="s">
        <v>17</v>
      </c>
      <c r="G5466" s="9">
        <v>8.0</v>
      </c>
      <c r="H5466" s="9" t="s">
        <v>25</v>
      </c>
      <c r="I5466" s="9" t="s">
        <v>218</v>
      </c>
      <c r="J5466" s="16">
        <v>0.6</v>
      </c>
      <c r="K5466" s="14" t="s">
        <v>398</v>
      </c>
      <c r="N5466" s="14" t="str">
        <f>IFERROR(__xludf.DUMMYFUNCTION("""COMPUTED_VALUE"""),"")</f>
        <v/>
      </c>
      <c r="O5466" s="14"/>
    </row>
    <row r="5467" ht="22.5" hidden="1" customHeight="1">
      <c r="A5467" s="8">
        <v>46230.662246782405</v>
      </c>
      <c r="B5467" s="14">
        <v>46230.0</v>
      </c>
      <c r="C5467" s="9" t="s">
        <v>86</v>
      </c>
      <c r="D5467" s="9" t="s">
        <v>459</v>
      </c>
      <c r="E5467" s="9" t="s">
        <v>17</v>
      </c>
      <c r="F5467" s="9" t="s">
        <v>35</v>
      </c>
      <c r="G5467" s="9" t="s">
        <v>409</v>
      </c>
      <c r="H5467" s="9" t="s">
        <v>17</v>
      </c>
      <c r="I5467" s="9" t="s">
        <v>20</v>
      </c>
      <c r="J5467" s="16">
        <v>0.8</v>
      </c>
      <c r="K5467" s="14" t="s">
        <v>398</v>
      </c>
      <c r="N5467" s="14" t="str">
        <f>IFERROR(__xludf.DUMMYFUNCTION("""COMPUTED_VALUE"""),"")</f>
        <v/>
      </c>
      <c r="O5467" s="14"/>
    </row>
    <row r="5468" ht="22.5" hidden="1" customHeight="1">
      <c r="A5468" s="8">
        <v>46230.663708611115</v>
      </c>
      <c r="B5468" s="14">
        <v>46230.0</v>
      </c>
      <c r="C5468" s="9" t="s">
        <v>86</v>
      </c>
      <c r="D5468" s="9" t="s">
        <v>441</v>
      </c>
      <c r="E5468" s="9" t="s">
        <v>30</v>
      </c>
      <c r="F5468" s="9" t="s">
        <v>35</v>
      </c>
      <c r="G5468" s="9" t="s">
        <v>409</v>
      </c>
      <c r="H5468" s="9" t="s">
        <v>22</v>
      </c>
      <c r="I5468" s="9" t="s">
        <v>20</v>
      </c>
      <c r="J5468" s="16">
        <v>1.0</v>
      </c>
      <c r="K5468" s="14" t="s">
        <v>398</v>
      </c>
      <c r="N5468" s="14" t="str">
        <f>IFERROR(__xludf.DUMMYFUNCTION("""COMPUTED_VALUE"""),"")</f>
        <v/>
      </c>
      <c r="O5468" s="14"/>
    </row>
    <row r="5469" ht="22.5" hidden="1" customHeight="1">
      <c r="A5469" s="8">
        <v>46230.66404456018</v>
      </c>
      <c r="B5469" s="14">
        <v>46230.0</v>
      </c>
      <c r="C5469" s="9" t="s">
        <v>86</v>
      </c>
      <c r="D5469" s="9" t="s">
        <v>357</v>
      </c>
      <c r="E5469" s="9" t="s">
        <v>17</v>
      </c>
      <c r="F5469" s="9" t="s">
        <v>35</v>
      </c>
      <c r="G5469" s="9" t="s">
        <v>409</v>
      </c>
      <c r="H5469" s="9" t="s">
        <v>25</v>
      </c>
      <c r="I5469" s="9" t="s">
        <v>137</v>
      </c>
      <c r="J5469" s="16">
        <v>0.8</v>
      </c>
      <c r="K5469" s="14" t="s">
        <v>398</v>
      </c>
      <c r="N5469" s="14" t="str">
        <f>IFERROR(__xludf.DUMMYFUNCTION("""COMPUTED_VALUE"""),"")</f>
        <v/>
      </c>
      <c r="O5469" s="14"/>
    </row>
    <row r="5470" ht="22.5" hidden="1" customHeight="1">
      <c r="A5470" s="8">
        <v>46230.67302318287</v>
      </c>
      <c r="B5470" s="14">
        <v>46230.0</v>
      </c>
      <c r="C5470" s="9" t="s">
        <v>86</v>
      </c>
      <c r="D5470" s="9" t="s">
        <v>394</v>
      </c>
      <c r="E5470" s="9" t="s">
        <v>17</v>
      </c>
      <c r="F5470" s="9" t="s">
        <v>35</v>
      </c>
      <c r="G5470" s="9">
        <v>6.0</v>
      </c>
      <c r="H5470" s="9" t="s">
        <v>17</v>
      </c>
      <c r="I5470" s="9" t="s">
        <v>20</v>
      </c>
      <c r="J5470" s="16">
        <v>1.0</v>
      </c>
      <c r="K5470" s="14" t="s">
        <v>398</v>
      </c>
      <c r="N5470" s="14" t="str">
        <f>IFERROR(__xludf.DUMMYFUNCTION("""COMPUTED_VALUE"""),"")</f>
        <v/>
      </c>
      <c r="O5470" s="14"/>
    </row>
    <row r="5471" ht="22.5" hidden="1" customHeight="1">
      <c r="A5471" s="8">
        <v>46230.68175293981</v>
      </c>
      <c r="B5471" s="14">
        <v>46230.0</v>
      </c>
      <c r="C5471" s="9" t="s">
        <v>86</v>
      </c>
      <c r="D5471" s="9" t="s">
        <v>177</v>
      </c>
      <c r="E5471" s="9" t="s">
        <v>17</v>
      </c>
      <c r="F5471" s="9" t="s">
        <v>17</v>
      </c>
      <c r="G5471" s="9">
        <v>7.0</v>
      </c>
      <c r="H5471" s="9" t="s">
        <v>22</v>
      </c>
      <c r="I5471" s="9" t="s">
        <v>20</v>
      </c>
      <c r="J5471" s="16">
        <v>0.8</v>
      </c>
      <c r="K5471" s="14" t="s">
        <v>398</v>
      </c>
      <c r="N5471" s="14" t="str">
        <f>IFERROR(__xludf.DUMMYFUNCTION("""COMPUTED_VALUE"""),"")</f>
        <v/>
      </c>
      <c r="O5471" s="14"/>
    </row>
    <row r="5472" ht="22.5" hidden="1" customHeight="1">
      <c r="A5472" s="8">
        <v>46230.68216268519</v>
      </c>
      <c r="B5472" s="14">
        <v>46230.0</v>
      </c>
      <c r="C5472" s="9" t="s">
        <v>86</v>
      </c>
      <c r="D5472" s="9" t="s">
        <v>335</v>
      </c>
      <c r="E5472" s="9" t="s">
        <v>30</v>
      </c>
      <c r="F5472" s="9" t="s">
        <v>17</v>
      </c>
      <c r="G5472" s="9">
        <v>8.0</v>
      </c>
      <c r="H5472" s="9" t="s">
        <v>25</v>
      </c>
      <c r="I5472" s="9" t="s">
        <v>211</v>
      </c>
      <c r="J5472" s="16">
        <v>0.8</v>
      </c>
      <c r="K5472" s="14" t="s">
        <v>398</v>
      </c>
      <c r="N5472" s="14" t="str">
        <f>IFERROR(__xludf.DUMMYFUNCTION("""COMPUTED_VALUE"""),"")</f>
        <v/>
      </c>
      <c r="O5472" s="14"/>
    </row>
    <row r="5473" ht="22.5" hidden="1" customHeight="1">
      <c r="A5473" s="8">
        <v>46230.682512581014</v>
      </c>
      <c r="B5473" s="14">
        <v>46230.0</v>
      </c>
      <c r="C5473" s="9" t="s">
        <v>86</v>
      </c>
      <c r="D5473" s="9" t="s">
        <v>210</v>
      </c>
      <c r="E5473" s="9" t="s">
        <v>17</v>
      </c>
      <c r="F5473" s="9" t="s">
        <v>35</v>
      </c>
      <c r="G5473" s="9" t="s">
        <v>409</v>
      </c>
      <c r="H5473" s="9" t="s">
        <v>25</v>
      </c>
      <c r="I5473" s="9" t="s">
        <v>363</v>
      </c>
      <c r="J5473" s="16">
        <v>0.6</v>
      </c>
      <c r="K5473" s="14" t="s">
        <v>398</v>
      </c>
      <c r="N5473" s="14" t="str">
        <f>IFERROR(__xludf.DUMMYFUNCTION("""COMPUTED_VALUE"""),"")</f>
        <v/>
      </c>
      <c r="O5473" s="14"/>
    </row>
    <row r="5474" ht="22.5" hidden="1" customHeight="1">
      <c r="A5474" s="8">
        <v>46230.68301875</v>
      </c>
      <c r="B5474" s="14">
        <v>46230.0</v>
      </c>
      <c r="C5474" s="9" t="s">
        <v>86</v>
      </c>
      <c r="D5474" s="9" t="s">
        <v>461</v>
      </c>
      <c r="E5474" s="9" t="s">
        <v>61</v>
      </c>
      <c r="F5474" s="9" t="s">
        <v>17</v>
      </c>
      <c r="G5474" s="9">
        <v>7.0</v>
      </c>
      <c r="H5474" s="9" t="s">
        <v>25</v>
      </c>
      <c r="I5474" s="9" t="s">
        <v>20</v>
      </c>
      <c r="J5474" s="16">
        <v>0.6</v>
      </c>
      <c r="K5474" s="14" t="s">
        <v>398</v>
      </c>
      <c r="N5474" s="14" t="str">
        <f>IFERROR(__xludf.DUMMYFUNCTION("""COMPUTED_VALUE"""),"")</f>
        <v/>
      </c>
      <c r="O5474" s="14"/>
    </row>
    <row r="5475" ht="22.5" hidden="1" customHeight="1">
      <c r="A5475" s="8">
        <v>46230.683102986106</v>
      </c>
      <c r="B5475" s="14">
        <v>46230.0</v>
      </c>
      <c r="C5475" s="9" t="s">
        <v>86</v>
      </c>
      <c r="D5475" s="9" t="s">
        <v>369</v>
      </c>
      <c r="E5475" s="9" t="s">
        <v>17</v>
      </c>
      <c r="F5475" s="9" t="s">
        <v>17</v>
      </c>
      <c r="G5475" s="9">
        <v>7.0</v>
      </c>
      <c r="H5475" s="9" t="s">
        <v>25</v>
      </c>
      <c r="I5475" s="9" t="s">
        <v>462</v>
      </c>
      <c r="J5475" s="16">
        <v>0.8</v>
      </c>
      <c r="K5475" s="14" t="s">
        <v>398</v>
      </c>
      <c r="N5475" s="14" t="str">
        <f>IFERROR(__xludf.DUMMYFUNCTION("""COMPUTED_VALUE"""),"")</f>
        <v/>
      </c>
      <c r="O5475" s="14"/>
    </row>
    <row r="5476" ht="22.5" hidden="1" customHeight="1">
      <c r="A5476" s="8">
        <v>46230.683405891206</v>
      </c>
      <c r="B5476" s="14">
        <v>46230.0</v>
      </c>
      <c r="C5476" s="9" t="s">
        <v>86</v>
      </c>
      <c r="D5476" s="9" t="s">
        <v>463</v>
      </c>
      <c r="E5476" s="9" t="s">
        <v>61</v>
      </c>
      <c r="F5476" s="9" t="s">
        <v>35</v>
      </c>
      <c r="G5476" s="9" t="s">
        <v>409</v>
      </c>
      <c r="H5476" s="9" t="s">
        <v>17</v>
      </c>
      <c r="I5476" s="9" t="s">
        <v>20</v>
      </c>
      <c r="J5476" s="16">
        <v>0.6</v>
      </c>
      <c r="K5476" s="14" t="s">
        <v>398</v>
      </c>
      <c r="N5476" s="14" t="str">
        <f>IFERROR(__xludf.DUMMYFUNCTION("""COMPUTED_VALUE"""),"")</f>
        <v/>
      </c>
      <c r="O5476" s="14"/>
    </row>
    <row r="5477" ht="22.5" hidden="1" customHeight="1">
      <c r="A5477" s="8">
        <v>46230.68341233797</v>
      </c>
      <c r="B5477" s="14">
        <v>46230.0</v>
      </c>
      <c r="C5477" s="9" t="s">
        <v>86</v>
      </c>
      <c r="D5477" s="9" t="s">
        <v>442</v>
      </c>
      <c r="E5477" s="9" t="s">
        <v>17</v>
      </c>
      <c r="F5477" s="9" t="s">
        <v>17</v>
      </c>
      <c r="G5477" s="9">
        <v>7.0</v>
      </c>
      <c r="H5477" s="9" t="s">
        <v>22</v>
      </c>
      <c r="I5477" s="9" t="s">
        <v>20</v>
      </c>
      <c r="J5477" s="16">
        <v>0.8</v>
      </c>
      <c r="K5477" s="14" t="s">
        <v>398</v>
      </c>
      <c r="N5477" s="14" t="str">
        <f>IFERROR(__xludf.DUMMYFUNCTION("""COMPUTED_VALUE"""),"")</f>
        <v/>
      </c>
      <c r="O5477" s="14"/>
    </row>
    <row r="5478" ht="22.5" hidden="1" customHeight="1">
      <c r="A5478" s="8">
        <v>46230.684017997686</v>
      </c>
      <c r="B5478" s="14">
        <v>46230.0</v>
      </c>
      <c r="C5478" s="9" t="s">
        <v>86</v>
      </c>
      <c r="D5478" s="9" t="s">
        <v>458</v>
      </c>
      <c r="E5478" s="9" t="s">
        <v>17</v>
      </c>
      <c r="F5478" s="9" t="s">
        <v>17</v>
      </c>
      <c r="G5478" s="9">
        <v>8.0</v>
      </c>
      <c r="H5478" s="9" t="s">
        <v>17</v>
      </c>
      <c r="I5478" s="9" t="s">
        <v>20</v>
      </c>
      <c r="J5478" s="16">
        <v>0.8</v>
      </c>
      <c r="K5478" s="14" t="s">
        <v>398</v>
      </c>
      <c r="N5478" s="14" t="str">
        <f>IFERROR(__xludf.DUMMYFUNCTION("""COMPUTED_VALUE"""),"")</f>
        <v/>
      </c>
      <c r="O5478" s="14"/>
    </row>
    <row r="5479" ht="22.5" hidden="1" customHeight="1">
      <c r="A5479" s="8">
        <v>46230.68506758102</v>
      </c>
      <c r="B5479" s="14">
        <v>46230.0</v>
      </c>
      <c r="C5479" s="9" t="s">
        <v>86</v>
      </c>
      <c r="D5479" s="9" t="s">
        <v>367</v>
      </c>
      <c r="E5479" s="9" t="s">
        <v>17</v>
      </c>
      <c r="F5479" s="9" t="s">
        <v>60</v>
      </c>
      <c r="G5479" s="9">
        <v>8.0</v>
      </c>
      <c r="H5479" s="9" t="s">
        <v>17</v>
      </c>
      <c r="I5479" s="9" t="s">
        <v>20</v>
      </c>
      <c r="J5479" s="16">
        <v>0.8</v>
      </c>
      <c r="K5479" s="14" t="s">
        <v>398</v>
      </c>
      <c r="N5479" s="14" t="str">
        <f>IFERROR(__xludf.DUMMYFUNCTION("""COMPUTED_VALUE"""),"")</f>
        <v/>
      </c>
      <c r="O5479" s="14"/>
    </row>
    <row r="5480" ht="22.5" hidden="1" customHeight="1">
      <c r="A5480" s="8">
        <v>46230.69223340278</v>
      </c>
      <c r="B5480" s="14">
        <v>46230.0</v>
      </c>
      <c r="C5480" s="9" t="s">
        <v>86</v>
      </c>
      <c r="D5480" s="9" t="s">
        <v>257</v>
      </c>
      <c r="E5480" s="9" t="s">
        <v>30</v>
      </c>
      <c r="F5480" s="9" t="s">
        <v>17</v>
      </c>
      <c r="G5480" s="9">
        <v>8.0</v>
      </c>
      <c r="H5480" s="9" t="s">
        <v>22</v>
      </c>
      <c r="I5480" s="9" t="s">
        <v>20</v>
      </c>
      <c r="J5480" s="16">
        <v>1.0</v>
      </c>
      <c r="K5480" s="14" t="s">
        <v>398</v>
      </c>
      <c r="N5480" s="14" t="str">
        <f>IFERROR(__xludf.DUMMYFUNCTION("""COMPUTED_VALUE"""),"")</f>
        <v/>
      </c>
      <c r="O5480" s="14"/>
    </row>
    <row r="5481" ht="22.5" hidden="1" customHeight="1">
      <c r="A5481" s="8">
        <v>46230.69273152778</v>
      </c>
      <c r="B5481" s="14">
        <v>46230.0</v>
      </c>
      <c r="C5481" s="9" t="s">
        <v>86</v>
      </c>
      <c r="D5481" s="9" t="s">
        <v>259</v>
      </c>
      <c r="E5481" s="9" t="s">
        <v>30</v>
      </c>
      <c r="F5481" s="9" t="s">
        <v>18</v>
      </c>
      <c r="G5481" s="9" t="s">
        <v>409</v>
      </c>
      <c r="H5481" s="9" t="s">
        <v>22</v>
      </c>
      <c r="I5481" s="9" t="s">
        <v>20</v>
      </c>
      <c r="J5481" s="16">
        <v>0.6</v>
      </c>
      <c r="K5481" s="14" t="s">
        <v>398</v>
      </c>
      <c r="N5481" s="14" t="str">
        <f>IFERROR(__xludf.DUMMYFUNCTION("""COMPUTED_VALUE"""),"")</f>
        <v/>
      </c>
      <c r="O5481" s="14"/>
    </row>
    <row r="5482" ht="22.5" hidden="1" customHeight="1">
      <c r="A5482" s="8">
        <v>46230.708203726856</v>
      </c>
      <c r="B5482" s="14">
        <v>46230.0</v>
      </c>
      <c r="C5482" s="9" t="s">
        <v>86</v>
      </c>
      <c r="D5482" s="9" t="s">
        <v>457</v>
      </c>
      <c r="E5482" s="9" t="s">
        <v>17</v>
      </c>
      <c r="F5482" s="9" t="s">
        <v>17</v>
      </c>
      <c r="G5482" s="9">
        <v>8.0</v>
      </c>
      <c r="H5482" s="9" t="s">
        <v>17</v>
      </c>
      <c r="I5482" s="9" t="s">
        <v>20</v>
      </c>
      <c r="J5482" s="16">
        <v>1.0</v>
      </c>
      <c r="K5482" s="14" t="s">
        <v>398</v>
      </c>
      <c r="N5482" s="14" t="str">
        <f>IFERROR(__xludf.DUMMYFUNCTION("""COMPUTED_VALUE"""),"")</f>
        <v/>
      </c>
      <c r="O5482" s="14"/>
    </row>
    <row r="5483" ht="22.5" hidden="1" customHeight="1">
      <c r="A5483" s="8">
        <v>46230.70948377315</v>
      </c>
      <c r="B5483" s="14">
        <v>46230.0</v>
      </c>
      <c r="C5483" s="9" t="s">
        <v>86</v>
      </c>
      <c r="D5483" s="9" t="s">
        <v>464</v>
      </c>
      <c r="E5483" s="9" t="s">
        <v>17</v>
      </c>
      <c r="F5483" s="9" t="s">
        <v>17</v>
      </c>
      <c r="G5483" s="9">
        <v>8.0</v>
      </c>
      <c r="H5483" s="9" t="s">
        <v>17</v>
      </c>
      <c r="I5483" s="9" t="s">
        <v>20</v>
      </c>
      <c r="J5483" s="16">
        <v>0.8</v>
      </c>
      <c r="K5483" s="14" t="s">
        <v>398</v>
      </c>
      <c r="N5483" s="14" t="str">
        <f>IFERROR(__xludf.DUMMYFUNCTION("""COMPUTED_VALUE"""),"")</f>
        <v/>
      </c>
      <c r="O5483" s="14"/>
    </row>
    <row r="5484" ht="22.5" hidden="1" customHeight="1">
      <c r="A5484" s="8">
        <v>46230.71005891204</v>
      </c>
      <c r="B5484" s="14">
        <v>46230.0</v>
      </c>
      <c r="C5484" s="9" t="s">
        <v>86</v>
      </c>
      <c r="D5484" s="9" t="s">
        <v>465</v>
      </c>
      <c r="E5484" s="9" t="s">
        <v>17</v>
      </c>
      <c r="F5484" s="9" t="s">
        <v>17</v>
      </c>
      <c r="G5484" s="9">
        <v>8.0</v>
      </c>
      <c r="H5484" s="9" t="s">
        <v>17</v>
      </c>
      <c r="I5484" s="9" t="s">
        <v>20</v>
      </c>
      <c r="J5484" s="16">
        <v>0.8</v>
      </c>
      <c r="K5484" s="14" t="s">
        <v>398</v>
      </c>
      <c r="N5484" s="14" t="str">
        <f>IFERROR(__xludf.DUMMYFUNCTION("""COMPUTED_VALUE"""),"")</f>
        <v/>
      </c>
      <c r="O5484" s="14"/>
    </row>
    <row r="5485" ht="22.5" hidden="1" customHeight="1">
      <c r="A5485" s="8">
        <v>46231.338598738424</v>
      </c>
      <c r="B5485" s="14">
        <v>46231.0</v>
      </c>
      <c r="C5485" s="9" t="s">
        <v>110</v>
      </c>
      <c r="D5485" s="9" t="s">
        <v>105</v>
      </c>
      <c r="E5485" s="9" t="s">
        <v>17</v>
      </c>
      <c r="F5485" s="9" t="s">
        <v>17</v>
      </c>
      <c r="G5485" s="9">
        <v>7.0</v>
      </c>
      <c r="H5485" s="9" t="s">
        <v>22</v>
      </c>
      <c r="I5485" s="9" t="s">
        <v>20</v>
      </c>
      <c r="J5485" s="16">
        <v>0.8</v>
      </c>
      <c r="K5485" s="14" t="s">
        <v>398</v>
      </c>
      <c r="N5485" s="14" t="str">
        <f>IFERROR(__xludf.DUMMYFUNCTION("""COMPUTED_VALUE"""),"")</f>
        <v/>
      </c>
      <c r="O5485" s="14"/>
    </row>
    <row r="5486" ht="22.5" hidden="1" customHeight="1">
      <c r="A5486" s="8">
        <v>46231.33888328704</v>
      </c>
      <c r="B5486" s="14">
        <v>46231.0</v>
      </c>
      <c r="C5486" s="9" t="s">
        <v>110</v>
      </c>
      <c r="D5486" s="9" t="s">
        <v>393</v>
      </c>
      <c r="E5486" s="9" t="s">
        <v>61</v>
      </c>
      <c r="F5486" s="9" t="s">
        <v>17</v>
      </c>
      <c r="G5486" s="9">
        <v>7.0</v>
      </c>
      <c r="H5486" s="9" t="s">
        <v>25</v>
      </c>
      <c r="I5486" s="9" t="s">
        <v>240</v>
      </c>
      <c r="J5486" s="16">
        <v>0.8</v>
      </c>
      <c r="K5486" s="14" t="s">
        <v>398</v>
      </c>
      <c r="N5486" s="14" t="str">
        <f>IFERROR(__xludf.DUMMYFUNCTION("""COMPUTED_VALUE"""),"")</f>
        <v/>
      </c>
      <c r="O5486" s="14"/>
    </row>
    <row r="5487" ht="22.5" hidden="1" customHeight="1">
      <c r="A5487" s="8">
        <v>46231.34091626157</v>
      </c>
      <c r="B5487" s="14">
        <v>46231.0</v>
      </c>
      <c r="C5487" s="9" t="s">
        <v>110</v>
      </c>
      <c r="D5487" s="9" t="s">
        <v>395</v>
      </c>
      <c r="E5487" s="9" t="s">
        <v>17</v>
      </c>
      <c r="F5487" s="9" t="s">
        <v>17</v>
      </c>
      <c r="G5487" s="9">
        <v>7.0</v>
      </c>
      <c r="H5487" s="9" t="s">
        <v>25</v>
      </c>
      <c r="I5487" s="9" t="s">
        <v>137</v>
      </c>
      <c r="J5487" s="16">
        <v>0.8</v>
      </c>
      <c r="K5487" s="14" t="s">
        <v>398</v>
      </c>
      <c r="N5487" s="14" t="str">
        <f>IFERROR(__xludf.DUMMYFUNCTION("""COMPUTED_VALUE"""),"")</f>
        <v/>
      </c>
      <c r="O5487" s="14"/>
    </row>
    <row r="5488" ht="22.5" hidden="1" customHeight="1">
      <c r="A5488" s="8">
        <v>46231.34460174768</v>
      </c>
      <c r="B5488" s="14">
        <v>46231.0</v>
      </c>
      <c r="C5488" s="9" t="s">
        <v>110</v>
      </c>
      <c r="D5488" s="9" t="s">
        <v>174</v>
      </c>
      <c r="E5488" s="9" t="s">
        <v>17</v>
      </c>
      <c r="F5488" s="9" t="s">
        <v>17</v>
      </c>
      <c r="G5488" s="9">
        <v>7.0</v>
      </c>
      <c r="H5488" s="9" t="s">
        <v>25</v>
      </c>
      <c r="I5488" s="9" t="s">
        <v>218</v>
      </c>
      <c r="J5488" s="16">
        <v>0.6</v>
      </c>
      <c r="K5488" s="14" t="s">
        <v>398</v>
      </c>
      <c r="N5488" s="14" t="str">
        <f>IFERROR(__xludf.DUMMYFUNCTION("""COMPUTED_VALUE"""),"")</f>
        <v/>
      </c>
      <c r="O5488" s="14"/>
    </row>
    <row r="5489" ht="22.5" hidden="1" customHeight="1">
      <c r="A5489" s="8">
        <v>46231.34529386574</v>
      </c>
      <c r="B5489" s="14">
        <v>46231.0</v>
      </c>
      <c r="C5489" s="9" t="s">
        <v>110</v>
      </c>
      <c r="D5489" s="9" t="s">
        <v>249</v>
      </c>
      <c r="E5489" s="9" t="s">
        <v>17</v>
      </c>
      <c r="F5489" s="9" t="s">
        <v>17</v>
      </c>
      <c r="G5489" s="9">
        <v>7.0</v>
      </c>
      <c r="H5489" s="9" t="s">
        <v>22</v>
      </c>
      <c r="I5489" s="9" t="s">
        <v>20</v>
      </c>
      <c r="J5489" s="16">
        <v>0.8</v>
      </c>
      <c r="K5489" s="14" t="s">
        <v>398</v>
      </c>
      <c r="N5489" s="14" t="str">
        <f>IFERROR(__xludf.DUMMYFUNCTION("""COMPUTED_VALUE"""),"")</f>
        <v/>
      </c>
      <c r="O5489" s="14"/>
    </row>
    <row r="5490" ht="22.5" hidden="1" customHeight="1">
      <c r="A5490" s="8">
        <v>46231.34580456019</v>
      </c>
      <c r="B5490" s="14">
        <v>46231.0</v>
      </c>
      <c r="C5490" s="9" t="s">
        <v>110</v>
      </c>
      <c r="D5490" s="9" t="s">
        <v>442</v>
      </c>
      <c r="E5490" s="9" t="s">
        <v>17</v>
      </c>
      <c r="F5490" s="9" t="s">
        <v>17</v>
      </c>
      <c r="G5490" s="9">
        <v>6.0</v>
      </c>
      <c r="H5490" s="9" t="s">
        <v>22</v>
      </c>
      <c r="I5490" s="9" t="s">
        <v>20</v>
      </c>
      <c r="J5490" s="16">
        <v>0.6</v>
      </c>
      <c r="K5490" s="14" t="s">
        <v>398</v>
      </c>
      <c r="N5490" s="14" t="str">
        <f>IFERROR(__xludf.DUMMYFUNCTION("""COMPUTED_VALUE"""),"")</f>
        <v/>
      </c>
      <c r="O5490" s="14"/>
    </row>
    <row r="5491" ht="22.5" hidden="1" customHeight="1">
      <c r="A5491" s="8">
        <v>46231.346247071764</v>
      </c>
      <c r="B5491" s="14">
        <v>46231.0</v>
      </c>
      <c r="C5491" s="9" t="s">
        <v>110</v>
      </c>
      <c r="D5491" s="9" t="s">
        <v>459</v>
      </c>
      <c r="E5491" s="9" t="s">
        <v>17</v>
      </c>
      <c r="F5491" s="9" t="s">
        <v>17</v>
      </c>
      <c r="G5491" s="9" t="s">
        <v>409</v>
      </c>
      <c r="H5491" s="9" t="s">
        <v>17</v>
      </c>
      <c r="I5491" s="9" t="s">
        <v>20</v>
      </c>
      <c r="J5491" s="16">
        <v>0.8</v>
      </c>
      <c r="K5491" s="14" t="s">
        <v>398</v>
      </c>
      <c r="N5491" s="14" t="str">
        <f>IFERROR(__xludf.DUMMYFUNCTION("""COMPUTED_VALUE"""),"")</f>
        <v/>
      </c>
      <c r="O5491" s="14"/>
    </row>
    <row r="5492" ht="22.5" hidden="1" customHeight="1">
      <c r="A5492" s="8">
        <v>46231.35334059028</v>
      </c>
      <c r="B5492" s="14">
        <v>46231.0</v>
      </c>
      <c r="C5492" s="9" t="s">
        <v>110</v>
      </c>
      <c r="D5492" s="9" t="s">
        <v>171</v>
      </c>
      <c r="E5492" s="9" t="s">
        <v>46</v>
      </c>
      <c r="F5492" s="9" t="s">
        <v>60</v>
      </c>
      <c r="G5492" s="9">
        <v>6.0</v>
      </c>
      <c r="H5492" s="9" t="s">
        <v>25</v>
      </c>
      <c r="I5492" s="9" t="s">
        <v>117</v>
      </c>
      <c r="J5492" s="16">
        <v>0.4</v>
      </c>
      <c r="K5492" s="14" t="s">
        <v>398</v>
      </c>
      <c r="N5492" s="14" t="str">
        <f>IFERROR(__xludf.DUMMYFUNCTION("""COMPUTED_VALUE"""),"")</f>
        <v/>
      </c>
      <c r="O5492" s="14"/>
    </row>
    <row r="5493" ht="22.5" hidden="1" customHeight="1">
      <c r="A5493" s="8">
        <v>46231.35408158565</v>
      </c>
      <c r="B5493" s="14">
        <v>46231.0</v>
      </c>
      <c r="C5493" s="9" t="s">
        <v>110</v>
      </c>
      <c r="D5493" s="9" t="s">
        <v>257</v>
      </c>
      <c r="E5493" s="9" t="s">
        <v>17</v>
      </c>
      <c r="F5493" s="9" t="s">
        <v>17</v>
      </c>
      <c r="G5493" s="9">
        <v>8.0</v>
      </c>
      <c r="H5493" s="9" t="s">
        <v>17</v>
      </c>
      <c r="I5493" s="9" t="s">
        <v>20</v>
      </c>
      <c r="J5493" s="16">
        <v>1.0</v>
      </c>
      <c r="K5493" s="14" t="s">
        <v>398</v>
      </c>
      <c r="N5493" s="14" t="str">
        <f>IFERROR(__xludf.DUMMYFUNCTION("""COMPUTED_VALUE"""),"")</f>
        <v/>
      </c>
      <c r="O5493" s="14"/>
    </row>
    <row r="5494" ht="22.5" hidden="1" customHeight="1">
      <c r="A5494" s="8">
        <v>46231.354196712964</v>
      </c>
      <c r="B5494" s="14">
        <v>46231.0</v>
      </c>
      <c r="C5494" s="9" t="s">
        <v>110</v>
      </c>
      <c r="D5494" s="9" t="s">
        <v>335</v>
      </c>
      <c r="E5494" s="9" t="s">
        <v>17</v>
      </c>
      <c r="F5494" s="9" t="s">
        <v>17</v>
      </c>
      <c r="G5494" s="9">
        <v>8.0</v>
      </c>
      <c r="H5494" s="9" t="s">
        <v>25</v>
      </c>
      <c r="I5494" s="9" t="s">
        <v>211</v>
      </c>
      <c r="J5494" s="16">
        <v>0.8</v>
      </c>
      <c r="K5494" s="14" t="s">
        <v>398</v>
      </c>
      <c r="N5494" s="14" t="str">
        <f>IFERROR(__xludf.DUMMYFUNCTION("""COMPUTED_VALUE"""),"")</f>
        <v/>
      </c>
      <c r="O5494" s="14"/>
    </row>
    <row r="5495" ht="22.5" hidden="1" customHeight="1">
      <c r="A5495" s="8">
        <v>46231.356425555554</v>
      </c>
      <c r="B5495" s="14">
        <v>46231.0</v>
      </c>
      <c r="C5495" s="9" t="s">
        <v>110</v>
      </c>
      <c r="D5495" s="9" t="s">
        <v>394</v>
      </c>
      <c r="E5495" s="9" t="s">
        <v>17</v>
      </c>
      <c r="F5495" s="9" t="s">
        <v>17</v>
      </c>
      <c r="G5495" s="9">
        <v>7.0</v>
      </c>
      <c r="H5495" s="9" t="s">
        <v>22</v>
      </c>
      <c r="I5495" s="9" t="s">
        <v>20</v>
      </c>
      <c r="J5495" s="16">
        <v>1.0</v>
      </c>
      <c r="K5495" s="14" t="s">
        <v>398</v>
      </c>
      <c r="N5495" s="14" t="str">
        <f>IFERROR(__xludf.DUMMYFUNCTION("""COMPUTED_VALUE"""),"")</f>
        <v/>
      </c>
      <c r="O5495" s="14"/>
    </row>
    <row r="5496" ht="22.5" hidden="1" customHeight="1">
      <c r="A5496" s="8">
        <v>46231.356991215274</v>
      </c>
      <c r="B5496" s="14">
        <v>46231.0</v>
      </c>
      <c r="C5496" s="9" t="s">
        <v>110</v>
      </c>
      <c r="D5496" s="9" t="s">
        <v>413</v>
      </c>
      <c r="E5496" s="9" t="s">
        <v>17</v>
      </c>
      <c r="F5496" s="9" t="s">
        <v>17</v>
      </c>
      <c r="G5496" s="9">
        <v>8.0</v>
      </c>
      <c r="H5496" s="9" t="s">
        <v>22</v>
      </c>
      <c r="I5496" s="9" t="s">
        <v>20</v>
      </c>
      <c r="J5496" s="16">
        <v>0.8</v>
      </c>
      <c r="K5496" s="14" t="s">
        <v>398</v>
      </c>
      <c r="N5496" s="14" t="str">
        <f>IFERROR(__xludf.DUMMYFUNCTION("""COMPUTED_VALUE"""),"")</f>
        <v/>
      </c>
      <c r="O5496" s="14"/>
    </row>
    <row r="5497" ht="22.5" hidden="1" customHeight="1">
      <c r="A5497" s="8">
        <v>46231.35732466435</v>
      </c>
      <c r="B5497" s="14">
        <v>46231.0</v>
      </c>
      <c r="C5497" s="9" t="s">
        <v>110</v>
      </c>
      <c r="D5497" s="9" t="s">
        <v>441</v>
      </c>
      <c r="E5497" s="9" t="s">
        <v>17</v>
      </c>
      <c r="F5497" s="9" t="s">
        <v>17</v>
      </c>
      <c r="G5497" s="9">
        <v>8.0</v>
      </c>
      <c r="H5497" s="9" t="s">
        <v>22</v>
      </c>
      <c r="I5497" s="9" t="s">
        <v>20</v>
      </c>
      <c r="J5497" s="16">
        <v>1.0</v>
      </c>
      <c r="K5497" s="14" t="s">
        <v>398</v>
      </c>
      <c r="N5497" s="14" t="str">
        <f>IFERROR(__xludf.DUMMYFUNCTION("""COMPUTED_VALUE"""),"")</f>
        <v/>
      </c>
      <c r="O5497" s="14"/>
    </row>
    <row r="5498" ht="22.5" hidden="1" customHeight="1">
      <c r="A5498" s="8">
        <v>46231.357782164356</v>
      </c>
      <c r="B5498" s="14">
        <v>46231.0</v>
      </c>
      <c r="C5498" s="9" t="s">
        <v>110</v>
      </c>
      <c r="D5498" s="9" t="s">
        <v>247</v>
      </c>
      <c r="E5498" s="9" t="s">
        <v>17</v>
      </c>
      <c r="F5498" s="9" t="s">
        <v>17</v>
      </c>
      <c r="G5498" s="9">
        <v>7.0</v>
      </c>
      <c r="H5498" s="9" t="s">
        <v>22</v>
      </c>
      <c r="I5498" s="9" t="s">
        <v>20</v>
      </c>
      <c r="J5498" s="16">
        <v>0.6</v>
      </c>
      <c r="K5498" s="14" t="s">
        <v>398</v>
      </c>
      <c r="N5498" s="14" t="str">
        <f>IFERROR(__xludf.DUMMYFUNCTION("""COMPUTED_VALUE"""),"")</f>
        <v/>
      </c>
      <c r="O5498" s="14"/>
    </row>
    <row r="5499" ht="22.5" hidden="1" customHeight="1">
      <c r="A5499" s="8">
        <v>46231.368991435185</v>
      </c>
      <c r="B5499" s="14">
        <v>46231.0</v>
      </c>
      <c r="C5499" s="9" t="s">
        <v>110</v>
      </c>
      <c r="D5499" s="9" t="s">
        <v>463</v>
      </c>
      <c r="E5499" s="9" t="s">
        <v>61</v>
      </c>
      <c r="F5499" s="9" t="s">
        <v>17</v>
      </c>
      <c r="G5499" s="9">
        <v>8.0</v>
      </c>
      <c r="H5499" s="9" t="s">
        <v>17</v>
      </c>
      <c r="I5499" s="9" t="s">
        <v>20</v>
      </c>
      <c r="J5499" s="16">
        <v>0.8</v>
      </c>
      <c r="K5499" s="14" t="s">
        <v>398</v>
      </c>
      <c r="N5499" s="14" t="str">
        <f>IFERROR(__xludf.DUMMYFUNCTION("""COMPUTED_VALUE"""),"")</f>
        <v/>
      </c>
      <c r="O5499" s="14"/>
    </row>
    <row r="5500" ht="22.5" hidden="1" customHeight="1">
      <c r="A5500" s="8">
        <v>46231.369977372684</v>
      </c>
      <c r="B5500" s="14">
        <v>46231.0</v>
      </c>
      <c r="C5500" s="9" t="s">
        <v>110</v>
      </c>
      <c r="D5500" s="9" t="s">
        <v>357</v>
      </c>
      <c r="E5500" s="9" t="s">
        <v>17</v>
      </c>
      <c r="F5500" s="9" t="s">
        <v>17</v>
      </c>
      <c r="G5500" s="9">
        <v>6.0</v>
      </c>
      <c r="H5500" s="9" t="s">
        <v>25</v>
      </c>
      <c r="I5500" s="9" t="s">
        <v>466</v>
      </c>
      <c r="J5500" s="16">
        <v>0.6</v>
      </c>
      <c r="K5500" s="14" t="s">
        <v>398</v>
      </c>
      <c r="N5500" s="14" t="str">
        <f>IFERROR(__xludf.DUMMYFUNCTION("""COMPUTED_VALUE"""),"")</f>
        <v/>
      </c>
      <c r="O5500" s="14"/>
    </row>
    <row r="5501" ht="22.5" hidden="1" customHeight="1">
      <c r="A5501" s="8">
        <v>46231.37511252315</v>
      </c>
      <c r="B5501" s="14">
        <v>46231.0</v>
      </c>
      <c r="C5501" s="9" t="s">
        <v>110</v>
      </c>
      <c r="D5501" s="9" t="s">
        <v>259</v>
      </c>
      <c r="E5501" s="9" t="s">
        <v>17</v>
      </c>
      <c r="F5501" s="9" t="s">
        <v>17</v>
      </c>
      <c r="G5501" s="9">
        <v>7.0</v>
      </c>
      <c r="H5501" s="9" t="s">
        <v>22</v>
      </c>
      <c r="I5501" s="9" t="s">
        <v>20</v>
      </c>
      <c r="J5501" s="16">
        <v>0.6</v>
      </c>
      <c r="K5501" s="14" t="s">
        <v>398</v>
      </c>
      <c r="N5501" s="14" t="str">
        <f>IFERROR(__xludf.DUMMYFUNCTION("""COMPUTED_VALUE"""),"")</f>
        <v/>
      </c>
      <c r="O5501" s="14"/>
    </row>
    <row r="5502" ht="22.5" hidden="1" customHeight="1">
      <c r="A5502" s="8">
        <v>46231.37609016204</v>
      </c>
      <c r="B5502" s="14">
        <v>46231.0</v>
      </c>
      <c r="C5502" s="9" t="s">
        <v>110</v>
      </c>
      <c r="D5502" s="9" t="s">
        <v>175</v>
      </c>
      <c r="E5502" s="9" t="s">
        <v>46</v>
      </c>
      <c r="F5502" s="9" t="s">
        <v>17</v>
      </c>
      <c r="G5502" s="9">
        <v>7.0</v>
      </c>
      <c r="H5502" s="9" t="s">
        <v>25</v>
      </c>
      <c r="I5502" s="9" t="s">
        <v>207</v>
      </c>
      <c r="J5502" s="16">
        <v>0.8</v>
      </c>
      <c r="K5502" s="14" t="s">
        <v>398</v>
      </c>
      <c r="N5502" s="14" t="str">
        <f>IFERROR(__xludf.DUMMYFUNCTION("""COMPUTED_VALUE"""),"")</f>
        <v/>
      </c>
      <c r="O5502" s="14"/>
    </row>
    <row r="5503" ht="22.5" hidden="1" customHeight="1">
      <c r="A5503" s="8">
        <v>46231.376805555556</v>
      </c>
      <c r="B5503" s="14">
        <v>46231.0</v>
      </c>
      <c r="C5503" s="9" t="s">
        <v>110</v>
      </c>
      <c r="D5503" s="9" t="s">
        <v>414</v>
      </c>
      <c r="E5503" s="9" t="s">
        <v>44</v>
      </c>
      <c r="F5503" s="9" t="s">
        <v>17</v>
      </c>
      <c r="G5503" s="9">
        <v>7.0</v>
      </c>
      <c r="H5503" s="9" t="s">
        <v>22</v>
      </c>
      <c r="I5503" s="9" t="s">
        <v>20</v>
      </c>
      <c r="J5503" s="16">
        <v>0.8</v>
      </c>
      <c r="K5503" s="14" t="s">
        <v>398</v>
      </c>
      <c r="N5503" s="14" t="str">
        <f>IFERROR(__xludf.DUMMYFUNCTION("""COMPUTED_VALUE"""),"")</f>
        <v/>
      </c>
      <c r="O5503" s="14"/>
    </row>
    <row r="5504" ht="22.5" hidden="1" customHeight="1">
      <c r="A5504" s="8">
        <v>46231.37792356481</v>
      </c>
      <c r="B5504" s="14">
        <v>46231.0</v>
      </c>
      <c r="C5504" s="9" t="s">
        <v>110</v>
      </c>
      <c r="D5504" s="9" t="s">
        <v>367</v>
      </c>
      <c r="E5504" s="9" t="s">
        <v>61</v>
      </c>
      <c r="F5504" s="9" t="s">
        <v>43</v>
      </c>
      <c r="G5504" s="9">
        <v>8.0</v>
      </c>
      <c r="H5504" s="9" t="s">
        <v>25</v>
      </c>
      <c r="I5504" s="9" t="s">
        <v>245</v>
      </c>
      <c r="J5504" s="16">
        <v>0.6</v>
      </c>
      <c r="K5504" s="14" t="s">
        <v>398</v>
      </c>
      <c r="N5504" s="14" t="str">
        <f>IFERROR(__xludf.DUMMYFUNCTION("""COMPUTED_VALUE"""),"")</f>
        <v/>
      </c>
      <c r="O5504" s="14"/>
    </row>
    <row r="5505" ht="22.5" hidden="1" customHeight="1">
      <c r="A5505" s="8">
        <v>46231.378887175924</v>
      </c>
      <c r="B5505" s="14">
        <v>46231.0</v>
      </c>
      <c r="C5505" s="9" t="s">
        <v>110</v>
      </c>
      <c r="D5505" s="9" t="s">
        <v>396</v>
      </c>
      <c r="E5505" s="9" t="s">
        <v>17</v>
      </c>
      <c r="F5505" s="9" t="s">
        <v>17</v>
      </c>
      <c r="G5505" s="9">
        <v>8.0</v>
      </c>
      <c r="H5505" s="9" t="s">
        <v>25</v>
      </c>
      <c r="I5505" s="9" t="s">
        <v>207</v>
      </c>
      <c r="J5505" s="16">
        <v>1.0</v>
      </c>
      <c r="K5505" s="14" t="s">
        <v>398</v>
      </c>
      <c r="N5505" s="14" t="str">
        <f>IFERROR(__xludf.DUMMYFUNCTION("""COMPUTED_VALUE"""),"")</f>
        <v/>
      </c>
      <c r="O5505" s="14"/>
    </row>
    <row r="5506" ht="22.5" hidden="1" customHeight="1">
      <c r="A5506" s="8">
        <v>46231.38004319444</v>
      </c>
      <c r="B5506" s="14">
        <v>46231.0</v>
      </c>
      <c r="C5506" s="9" t="s">
        <v>110</v>
      </c>
      <c r="D5506" s="9" t="s">
        <v>369</v>
      </c>
      <c r="E5506" s="9" t="s">
        <v>17</v>
      </c>
      <c r="F5506" s="9" t="s">
        <v>17</v>
      </c>
      <c r="G5506" s="9">
        <v>7.0</v>
      </c>
      <c r="H5506" s="9" t="s">
        <v>25</v>
      </c>
      <c r="I5506" s="9" t="s">
        <v>467</v>
      </c>
      <c r="J5506" s="16">
        <v>0.8</v>
      </c>
      <c r="K5506" s="14" t="s">
        <v>398</v>
      </c>
      <c r="N5506" s="14" t="str">
        <f>IFERROR(__xludf.DUMMYFUNCTION("""COMPUTED_VALUE"""),"")</f>
        <v/>
      </c>
      <c r="O5506" s="14"/>
    </row>
    <row r="5507" ht="22.5" hidden="1" customHeight="1">
      <c r="A5507" s="8">
        <v>46232.341984502316</v>
      </c>
      <c r="B5507" s="14">
        <v>46232.0</v>
      </c>
      <c r="C5507" s="9" t="s">
        <v>15</v>
      </c>
      <c r="D5507" s="9" t="s">
        <v>171</v>
      </c>
      <c r="E5507" s="9" t="s">
        <v>17</v>
      </c>
      <c r="F5507" s="9" t="s">
        <v>60</v>
      </c>
      <c r="G5507" s="9">
        <v>6.0</v>
      </c>
      <c r="H5507" s="9" t="s">
        <v>25</v>
      </c>
      <c r="I5507" s="9" t="s">
        <v>28</v>
      </c>
      <c r="J5507" s="16">
        <v>0.6</v>
      </c>
      <c r="K5507" s="14" t="s">
        <v>398</v>
      </c>
      <c r="N5507" s="14" t="str">
        <f>IFERROR(__xludf.DUMMYFUNCTION("""COMPUTED_VALUE"""),"")</f>
        <v/>
      </c>
      <c r="O5507" s="14"/>
    </row>
    <row r="5508" ht="22.5" hidden="1" customHeight="1">
      <c r="A5508" s="8">
        <v>46232.34457940972</v>
      </c>
      <c r="B5508" s="14">
        <v>46232.0</v>
      </c>
      <c r="C5508" s="9" t="s">
        <v>15</v>
      </c>
      <c r="D5508" s="9" t="s">
        <v>174</v>
      </c>
      <c r="E5508" s="9" t="s">
        <v>17</v>
      </c>
      <c r="F5508" s="9" t="s">
        <v>17</v>
      </c>
      <c r="G5508" s="9">
        <v>8.0</v>
      </c>
      <c r="H5508" s="9" t="s">
        <v>25</v>
      </c>
      <c r="I5508" s="9" t="s">
        <v>218</v>
      </c>
      <c r="J5508" s="16">
        <v>0.8</v>
      </c>
      <c r="K5508" s="14" t="s">
        <v>398</v>
      </c>
      <c r="N5508" s="14" t="str">
        <f>IFERROR(__xludf.DUMMYFUNCTION("""COMPUTED_VALUE"""),"")</f>
        <v/>
      </c>
      <c r="O5508" s="14"/>
    </row>
    <row r="5509" ht="22.5" hidden="1" customHeight="1">
      <c r="A5509" s="8">
        <v>46232.34526350694</v>
      </c>
      <c r="B5509" s="14">
        <v>46232.0</v>
      </c>
      <c r="C5509" s="9" t="s">
        <v>15</v>
      </c>
      <c r="D5509" s="9" t="s">
        <v>335</v>
      </c>
      <c r="E5509" s="9" t="s">
        <v>17</v>
      </c>
      <c r="F5509" s="9" t="s">
        <v>17</v>
      </c>
      <c r="G5509" s="9">
        <v>8.0</v>
      </c>
      <c r="H5509" s="9" t="s">
        <v>25</v>
      </c>
      <c r="I5509" s="9" t="s">
        <v>211</v>
      </c>
      <c r="J5509" s="16">
        <v>0.8</v>
      </c>
      <c r="K5509" s="14" t="s">
        <v>398</v>
      </c>
      <c r="N5509" s="14" t="str">
        <f>IFERROR(__xludf.DUMMYFUNCTION("""COMPUTED_VALUE"""),"")</f>
        <v/>
      </c>
      <c r="O5509" s="14"/>
    </row>
    <row r="5510" ht="22.5" hidden="1" customHeight="1">
      <c r="A5510" s="8">
        <v>46232.3454225</v>
      </c>
      <c r="B5510" s="14">
        <v>46232.0</v>
      </c>
      <c r="C5510" s="9" t="s">
        <v>15</v>
      </c>
      <c r="D5510" s="9" t="s">
        <v>459</v>
      </c>
      <c r="E5510" s="9" t="s">
        <v>17</v>
      </c>
      <c r="F5510" s="9" t="s">
        <v>17</v>
      </c>
      <c r="G5510" s="9">
        <v>8.0</v>
      </c>
      <c r="H5510" s="9" t="s">
        <v>17</v>
      </c>
      <c r="I5510" s="9" t="s">
        <v>20</v>
      </c>
      <c r="J5510" s="16">
        <v>0.6</v>
      </c>
      <c r="K5510" s="14" t="s">
        <v>398</v>
      </c>
      <c r="N5510" s="14" t="str">
        <f>IFERROR(__xludf.DUMMYFUNCTION("""COMPUTED_VALUE"""),"")</f>
        <v/>
      </c>
      <c r="O5510" s="14"/>
    </row>
    <row r="5511" ht="22.5" hidden="1" customHeight="1">
      <c r="A5511" s="8">
        <v>46232.345690312504</v>
      </c>
      <c r="B5511" s="14">
        <v>46232.0</v>
      </c>
      <c r="C5511" s="9" t="s">
        <v>15</v>
      </c>
      <c r="D5511" s="9" t="s">
        <v>177</v>
      </c>
      <c r="E5511" s="9" t="s">
        <v>17</v>
      </c>
      <c r="F5511" s="9" t="s">
        <v>17</v>
      </c>
      <c r="G5511" s="9">
        <v>7.0</v>
      </c>
      <c r="H5511" s="9" t="s">
        <v>22</v>
      </c>
      <c r="I5511" s="9" t="s">
        <v>20</v>
      </c>
      <c r="J5511" s="16">
        <v>0.8</v>
      </c>
      <c r="K5511" s="14" t="s">
        <v>398</v>
      </c>
      <c r="N5511" s="14" t="str">
        <f>IFERROR(__xludf.DUMMYFUNCTION("""COMPUTED_VALUE"""),"")</f>
        <v/>
      </c>
      <c r="O5511" s="14"/>
    </row>
    <row r="5512" ht="22.5" hidden="1" customHeight="1">
      <c r="A5512" s="8">
        <v>46232.34569231482</v>
      </c>
      <c r="B5512" s="14">
        <v>46232.0</v>
      </c>
      <c r="C5512" s="9" t="s">
        <v>15</v>
      </c>
      <c r="D5512" s="9" t="s">
        <v>369</v>
      </c>
      <c r="E5512" s="9" t="s">
        <v>61</v>
      </c>
      <c r="F5512" s="9" t="s">
        <v>17</v>
      </c>
      <c r="G5512" s="9">
        <v>7.0</v>
      </c>
      <c r="H5512" s="9" t="s">
        <v>25</v>
      </c>
      <c r="I5512" s="9" t="s">
        <v>34</v>
      </c>
      <c r="J5512" s="16">
        <v>0.8</v>
      </c>
      <c r="K5512" s="14" t="s">
        <v>398</v>
      </c>
      <c r="N5512" s="14" t="str">
        <f>IFERROR(__xludf.DUMMYFUNCTION("""COMPUTED_VALUE"""),"")</f>
        <v/>
      </c>
      <c r="O5512" s="14"/>
    </row>
    <row r="5513" ht="22.5" hidden="1" customHeight="1">
      <c r="A5513" s="8">
        <v>46232.34641024306</v>
      </c>
      <c r="B5513" s="14">
        <v>46232.0</v>
      </c>
      <c r="C5513" s="9" t="s">
        <v>15</v>
      </c>
      <c r="D5513" s="9" t="s">
        <v>395</v>
      </c>
      <c r="E5513" s="9" t="s">
        <v>17</v>
      </c>
      <c r="F5513" s="9" t="s">
        <v>17</v>
      </c>
      <c r="G5513" s="9">
        <v>7.0</v>
      </c>
      <c r="H5513" s="9" t="s">
        <v>17</v>
      </c>
      <c r="I5513" s="9" t="s">
        <v>468</v>
      </c>
      <c r="J5513" s="16">
        <v>0.8</v>
      </c>
      <c r="K5513" s="14" t="s">
        <v>398</v>
      </c>
      <c r="N5513" s="14" t="str">
        <f>IFERROR(__xludf.DUMMYFUNCTION("""COMPUTED_VALUE"""),"")</f>
        <v/>
      </c>
      <c r="O5513" s="14"/>
    </row>
    <row r="5514" ht="22.5" hidden="1" customHeight="1">
      <c r="A5514" s="8">
        <v>46232.34670429398</v>
      </c>
      <c r="B5514" s="14">
        <v>46232.0</v>
      </c>
      <c r="C5514" s="9" t="s">
        <v>15</v>
      </c>
      <c r="D5514" s="9" t="s">
        <v>393</v>
      </c>
      <c r="E5514" s="9" t="s">
        <v>17</v>
      </c>
      <c r="F5514" s="9" t="s">
        <v>17</v>
      </c>
      <c r="G5514" s="9">
        <v>7.0</v>
      </c>
      <c r="H5514" s="9" t="s">
        <v>25</v>
      </c>
      <c r="I5514" s="9" t="s">
        <v>240</v>
      </c>
      <c r="J5514" s="16">
        <v>0.8</v>
      </c>
      <c r="K5514" s="14" t="s">
        <v>398</v>
      </c>
      <c r="N5514" s="14" t="str">
        <f>IFERROR(__xludf.DUMMYFUNCTION("""COMPUTED_VALUE"""),"")</f>
        <v/>
      </c>
      <c r="O5514" s="14"/>
    </row>
    <row r="5515" ht="22.5" hidden="1" customHeight="1">
      <c r="A5515" s="8">
        <v>46232.34715288194</v>
      </c>
      <c r="B5515" s="14">
        <v>46232.0</v>
      </c>
      <c r="C5515" s="9" t="s">
        <v>15</v>
      </c>
      <c r="D5515" s="9" t="s">
        <v>413</v>
      </c>
      <c r="E5515" s="9" t="s">
        <v>17</v>
      </c>
      <c r="F5515" s="9" t="s">
        <v>35</v>
      </c>
      <c r="G5515" s="9">
        <v>7.0</v>
      </c>
      <c r="H5515" s="9" t="s">
        <v>22</v>
      </c>
      <c r="I5515" s="9" t="s">
        <v>20</v>
      </c>
      <c r="J5515" s="16">
        <v>0.8</v>
      </c>
      <c r="K5515" s="14" t="s">
        <v>398</v>
      </c>
      <c r="N5515" s="14" t="str">
        <f>IFERROR(__xludf.DUMMYFUNCTION("""COMPUTED_VALUE"""),"")</f>
        <v/>
      </c>
      <c r="O5515" s="14"/>
    </row>
    <row r="5516" ht="22.5" hidden="1" customHeight="1">
      <c r="A5516" s="8">
        <v>46232.348750324076</v>
      </c>
      <c r="B5516" s="14">
        <v>46232.0</v>
      </c>
      <c r="C5516" s="9" t="s">
        <v>15</v>
      </c>
      <c r="D5516" s="9" t="s">
        <v>105</v>
      </c>
      <c r="E5516" s="9" t="s">
        <v>17</v>
      </c>
      <c r="F5516" s="9" t="s">
        <v>17</v>
      </c>
      <c r="G5516" s="9" t="s">
        <v>410</v>
      </c>
      <c r="H5516" s="9" t="s">
        <v>22</v>
      </c>
      <c r="I5516" s="9" t="s">
        <v>20</v>
      </c>
      <c r="J5516" s="16">
        <v>0.8</v>
      </c>
      <c r="K5516" s="14" t="s">
        <v>398</v>
      </c>
      <c r="N5516" s="14" t="str">
        <f>IFERROR(__xludf.DUMMYFUNCTION("""COMPUTED_VALUE"""),"")</f>
        <v/>
      </c>
      <c r="O5516" s="14"/>
    </row>
    <row r="5517" ht="22.5" hidden="1" customHeight="1">
      <c r="A5517" s="8">
        <v>46232.35595099537</v>
      </c>
      <c r="B5517" s="14">
        <v>46232.0</v>
      </c>
      <c r="C5517" s="9" t="s">
        <v>15</v>
      </c>
      <c r="D5517" s="9" t="s">
        <v>350</v>
      </c>
      <c r="E5517" s="9" t="s">
        <v>17</v>
      </c>
      <c r="F5517" s="9" t="s">
        <v>43</v>
      </c>
      <c r="G5517" s="9">
        <v>8.0</v>
      </c>
      <c r="H5517" s="9" t="s">
        <v>25</v>
      </c>
      <c r="I5517" s="9" t="s">
        <v>137</v>
      </c>
      <c r="J5517" s="16">
        <v>0.8</v>
      </c>
      <c r="K5517" s="14" t="s">
        <v>398</v>
      </c>
      <c r="N5517" s="14" t="str">
        <f>IFERROR(__xludf.DUMMYFUNCTION("""COMPUTED_VALUE"""),"")</f>
        <v/>
      </c>
      <c r="O5517" s="14"/>
    </row>
    <row r="5518" ht="22.5" hidden="1" customHeight="1">
      <c r="A5518" s="8">
        <v>46232.3569474074</v>
      </c>
      <c r="B5518" s="14">
        <v>46232.0</v>
      </c>
      <c r="C5518" s="9" t="s">
        <v>15</v>
      </c>
      <c r="D5518" s="9" t="s">
        <v>396</v>
      </c>
      <c r="E5518" s="9" t="s">
        <v>17</v>
      </c>
      <c r="F5518" s="9" t="s">
        <v>17</v>
      </c>
      <c r="G5518" s="9" t="s">
        <v>409</v>
      </c>
      <c r="H5518" s="9" t="s">
        <v>25</v>
      </c>
      <c r="I5518" s="9" t="s">
        <v>207</v>
      </c>
      <c r="J5518" s="16">
        <v>0.2</v>
      </c>
      <c r="K5518" s="14" t="s">
        <v>398</v>
      </c>
      <c r="N5518" s="14" t="str">
        <f>IFERROR(__xludf.DUMMYFUNCTION("""COMPUTED_VALUE"""),"")</f>
        <v/>
      </c>
      <c r="O5518" s="14"/>
    </row>
    <row r="5519" ht="22.5" hidden="1" customHeight="1">
      <c r="A5519" s="8">
        <v>46232.35768770833</v>
      </c>
      <c r="B5519" s="14">
        <v>46232.0</v>
      </c>
      <c r="C5519" s="9" t="s">
        <v>15</v>
      </c>
      <c r="D5519" s="9" t="s">
        <v>394</v>
      </c>
      <c r="E5519" s="9" t="s">
        <v>17</v>
      </c>
      <c r="F5519" s="9" t="s">
        <v>17</v>
      </c>
      <c r="G5519" s="9">
        <v>7.0</v>
      </c>
      <c r="H5519" s="9" t="s">
        <v>22</v>
      </c>
      <c r="I5519" s="9" t="s">
        <v>20</v>
      </c>
      <c r="J5519" s="16">
        <v>1.0</v>
      </c>
      <c r="K5519" s="14" t="s">
        <v>398</v>
      </c>
      <c r="N5519" s="14" t="str">
        <f>IFERROR(__xludf.DUMMYFUNCTION("""COMPUTED_VALUE"""),"")</f>
        <v/>
      </c>
      <c r="O5519" s="14"/>
    </row>
    <row r="5520" ht="22.5" hidden="1" customHeight="1">
      <c r="A5520" s="8">
        <v>46232.35835096065</v>
      </c>
      <c r="B5520" s="14">
        <v>46232.0</v>
      </c>
      <c r="C5520" s="9" t="s">
        <v>15</v>
      </c>
      <c r="D5520" s="9" t="s">
        <v>441</v>
      </c>
      <c r="E5520" s="9" t="s">
        <v>17</v>
      </c>
      <c r="F5520" s="9" t="s">
        <v>60</v>
      </c>
      <c r="G5520" s="9">
        <v>7.0</v>
      </c>
      <c r="H5520" s="9" t="s">
        <v>22</v>
      </c>
      <c r="I5520" s="9" t="s">
        <v>20</v>
      </c>
      <c r="J5520" s="16">
        <v>0.8</v>
      </c>
      <c r="K5520" s="14" t="s">
        <v>398</v>
      </c>
      <c r="N5520" s="14" t="str">
        <f>IFERROR(__xludf.DUMMYFUNCTION("""COMPUTED_VALUE"""),"")</f>
        <v/>
      </c>
      <c r="O5520" s="14"/>
    </row>
    <row r="5521" ht="22.5" hidden="1" customHeight="1">
      <c r="A5521" s="8">
        <v>46232.35896140046</v>
      </c>
      <c r="B5521" s="14">
        <v>46232.0</v>
      </c>
      <c r="C5521" s="9" t="s">
        <v>15</v>
      </c>
      <c r="D5521" s="9" t="s">
        <v>259</v>
      </c>
      <c r="E5521" s="9" t="s">
        <v>46</v>
      </c>
      <c r="F5521" s="9" t="s">
        <v>18</v>
      </c>
      <c r="G5521" s="9">
        <v>8.0</v>
      </c>
      <c r="H5521" s="9" t="s">
        <v>22</v>
      </c>
      <c r="I5521" s="9" t="s">
        <v>20</v>
      </c>
      <c r="J5521" s="16">
        <v>0.6</v>
      </c>
      <c r="K5521" s="14" t="s">
        <v>398</v>
      </c>
      <c r="N5521" s="14" t="str">
        <f>IFERROR(__xludf.DUMMYFUNCTION("""COMPUTED_VALUE"""),"")</f>
        <v/>
      </c>
      <c r="O5521" s="14"/>
    </row>
    <row r="5522" ht="22.5" hidden="1" customHeight="1">
      <c r="A5522" s="8">
        <v>46232.35935157408</v>
      </c>
      <c r="B5522" s="14">
        <v>46232.0</v>
      </c>
      <c r="C5522" s="9" t="s">
        <v>15</v>
      </c>
      <c r="D5522" s="9" t="s">
        <v>257</v>
      </c>
      <c r="E5522" s="9" t="s">
        <v>17</v>
      </c>
      <c r="F5522" s="9" t="s">
        <v>17</v>
      </c>
      <c r="G5522" s="9">
        <v>8.0</v>
      </c>
      <c r="H5522" s="9" t="s">
        <v>17</v>
      </c>
      <c r="I5522" s="9" t="s">
        <v>20</v>
      </c>
      <c r="J5522" s="16">
        <v>1.0</v>
      </c>
      <c r="K5522" s="14" t="s">
        <v>398</v>
      </c>
      <c r="N5522" s="14" t="str">
        <f>IFERROR(__xludf.DUMMYFUNCTION("""COMPUTED_VALUE"""),"")</f>
        <v/>
      </c>
      <c r="O5522" s="14"/>
    </row>
    <row r="5523" ht="22.5" hidden="1" customHeight="1">
      <c r="A5523" s="8">
        <v>46232.359816296295</v>
      </c>
      <c r="B5523" s="14">
        <v>46232.0</v>
      </c>
      <c r="C5523" s="9" t="s">
        <v>15</v>
      </c>
      <c r="D5523" s="9" t="s">
        <v>175</v>
      </c>
      <c r="E5523" s="9" t="s">
        <v>17</v>
      </c>
      <c r="F5523" s="9" t="s">
        <v>17</v>
      </c>
      <c r="G5523" s="9">
        <v>7.0</v>
      </c>
      <c r="H5523" s="9" t="s">
        <v>25</v>
      </c>
      <c r="I5523" s="9" t="s">
        <v>207</v>
      </c>
      <c r="J5523" s="16">
        <v>0.6</v>
      </c>
      <c r="K5523" s="14" t="s">
        <v>398</v>
      </c>
      <c r="N5523" s="14" t="str">
        <f>IFERROR(__xludf.DUMMYFUNCTION("""COMPUTED_VALUE"""),"")</f>
        <v/>
      </c>
      <c r="O5523" s="14"/>
    </row>
    <row r="5524" ht="22.5" hidden="1" customHeight="1">
      <c r="A5524" s="8">
        <v>46232.360487673606</v>
      </c>
      <c r="B5524" s="14">
        <v>46232.0</v>
      </c>
      <c r="C5524" s="9" t="s">
        <v>15</v>
      </c>
      <c r="D5524" s="9" t="s">
        <v>247</v>
      </c>
      <c r="E5524" s="9" t="s">
        <v>17</v>
      </c>
      <c r="F5524" s="9" t="s">
        <v>17</v>
      </c>
      <c r="G5524" s="9">
        <v>7.0</v>
      </c>
      <c r="H5524" s="9" t="s">
        <v>22</v>
      </c>
      <c r="I5524" s="9" t="s">
        <v>20</v>
      </c>
      <c r="J5524" s="16">
        <v>0.6</v>
      </c>
      <c r="K5524" s="14" t="s">
        <v>398</v>
      </c>
      <c r="N5524" s="14" t="str">
        <f>IFERROR(__xludf.DUMMYFUNCTION("""COMPUTED_VALUE"""),"")</f>
        <v/>
      </c>
      <c r="O5524" s="14"/>
    </row>
    <row r="5525" ht="22.5" hidden="1" customHeight="1">
      <c r="A5525" s="8">
        <v>46232.36507788194</v>
      </c>
      <c r="B5525" s="14">
        <v>46232.0</v>
      </c>
      <c r="C5525" s="9" t="s">
        <v>15</v>
      </c>
      <c r="D5525" s="9" t="s">
        <v>367</v>
      </c>
      <c r="E5525" s="9" t="s">
        <v>61</v>
      </c>
      <c r="F5525" s="9" t="s">
        <v>43</v>
      </c>
      <c r="G5525" s="9">
        <v>8.0</v>
      </c>
      <c r="H5525" s="9" t="s">
        <v>25</v>
      </c>
      <c r="I5525" s="9" t="s">
        <v>245</v>
      </c>
      <c r="J5525" s="16">
        <v>0.6</v>
      </c>
      <c r="K5525" s="14" t="s">
        <v>398</v>
      </c>
      <c r="N5525" s="14" t="str">
        <f>IFERROR(__xludf.DUMMYFUNCTION("""COMPUTED_VALUE"""),"")</f>
        <v/>
      </c>
      <c r="O5525" s="14"/>
    </row>
    <row r="5526" ht="22.5" hidden="1" customHeight="1">
      <c r="A5526" s="8">
        <v>46232.37488858796</v>
      </c>
      <c r="B5526" s="14">
        <v>46232.0</v>
      </c>
      <c r="C5526" s="9" t="s">
        <v>15</v>
      </c>
      <c r="D5526" s="9" t="s">
        <v>357</v>
      </c>
      <c r="E5526" s="9" t="s">
        <v>17</v>
      </c>
      <c r="F5526" s="9" t="s">
        <v>17</v>
      </c>
      <c r="G5526" s="9">
        <v>7.0</v>
      </c>
      <c r="H5526" s="9" t="s">
        <v>25</v>
      </c>
      <c r="I5526" s="9" t="s">
        <v>20</v>
      </c>
      <c r="J5526" s="16">
        <v>0.6</v>
      </c>
      <c r="K5526" s="14" t="s">
        <v>398</v>
      </c>
      <c r="N5526" s="14" t="str">
        <f>IFERROR(__xludf.DUMMYFUNCTION("""COMPUTED_VALUE"""),"")</f>
        <v/>
      </c>
      <c r="O5526" s="14"/>
    </row>
    <row r="5527" ht="22.5" hidden="1" customHeight="1">
      <c r="A5527" s="8">
        <v>46232.397355787034</v>
      </c>
      <c r="B5527" s="14">
        <v>46232.0</v>
      </c>
      <c r="C5527" s="9" t="s">
        <v>15</v>
      </c>
      <c r="D5527" s="9" t="s">
        <v>249</v>
      </c>
      <c r="E5527" s="9" t="s">
        <v>17</v>
      </c>
      <c r="F5527" s="9" t="s">
        <v>17</v>
      </c>
      <c r="G5527" s="9">
        <v>7.0</v>
      </c>
      <c r="H5527" s="9" t="s">
        <v>17</v>
      </c>
      <c r="I5527" s="9" t="s">
        <v>20</v>
      </c>
      <c r="J5527" s="16">
        <v>0.8</v>
      </c>
      <c r="K5527" s="14" t="s">
        <v>398</v>
      </c>
      <c r="N5527" s="14" t="str">
        <f>IFERROR(__xludf.DUMMYFUNCTION("""COMPUTED_VALUE"""),"")</f>
        <v/>
      </c>
      <c r="O5527" s="14"/>
    </row>
    <row r="5528" ht="22.5" hidden="1" customHeight="1">
      <c r="A5528" s="8">
        <v>46232.39768472222</v>
      </c>
      <c r="B5528" s="14">
        <v>46232.0</v>
      </c>
      <c r="C5528" s="9" t="s">
        <v>15</v>
      </c>
      <c r="D5528" s="9" t="s">
        <v>461</v>
      </c>
      <c r="E5528" s="9" t="s">
        <v>17</v>
      </c>
      <c r="F5528" s="9" t="s">
        <v>17</v>
      </c>
      <c r="G5528" s="9">
        <v>7.0</v>
      </c>
      <c r="H5528" s="9" t="s">
        <v>17</v>
      </c>
      <c r="I5528" s="9" t="s">
        <v>20</v>
      </c>
      <c r="J5528" s="16">
        <v>0.8</v>
      </c>
      <c r="K5528" s="14" t="s">
        <v>398</v>
      </c>
      <c r="N5528" s="14" t="str">
        <f>IFERROR(__xludf.DUMMYFUNCTION("""COMPUTED_VALUE"""),"")</f>
        <v/>
      </c>
      <c r="O5528" s="14"/>
    </row>
    <row r="5529" ht="22.5" hidden="1" customHeight="1">
      <c r="A5529" s="8">
        <v>46232.39833074074</v>
      </c>
      <c r="B5529" s="14">
        <v>46232.0</v>
      </c>
      <c r="C5529" s="9" t="s">
        <v>15</v>
      </c>
      <c r="D5529" s="9" t="s">
        <v>463</v>
      </c>
      <c r="E5529" s="9" t="s">
        <v>17</v>
      </c>
      <c r="F5529" s="9" t="s">
        <v>17</v>
      </c>
      <c r="G5529" s="9">
        <v>7.0</v>
      </c>
      <c r="H5529" s="9" t="s">
        <v>17</v>
      </c>
      <c r="I5529" s="9" t="s">
        <v>20</v>
      </c>
      <c r="J5529" s="16">
        <v>0.8</v>
      </c>
      <c r="K5529" s="14" t="s">
        <v>398</v>
      </c>
      <c r="N5529" s="14" t="str">
        <f>IFERROR(__xludf.DUMMYFUNCTION("""COMPUTED_VALUE"""),"")</f>
        <v/>
      </c>
      <c r="O5529" s="14"/>
    </row>
    <row r="5530" ht="22.5" hidden="1" customHeight="1">
      <c r="A5530" s="8">
        <v>46232.39864543981</v>
      </c>
      <c r="B5530" s="14">
        <v>46232.0</v>
      </c>
      <c r="C5530" s="9" t="s">
        <v>15</v>
      </c>
      <c r="D5530" s="9" t="s">
        <v>465</v>
      </c>
      <c r="E5530" s="9" t="s">
        <v>17</v>
      </c>
      <c r="F5530" s="9" t="s">
        <v>17</v>
      </c>
      <c r="G5530" s="9">
        <v>7.0</v>
      </c>
      <c r="H5530" s="9" t="s">
        <v>17</v>
      </c>
      <c r="I5530" s="9" t="s">
        <v>20</v>
      </c>
      <c r="J5530" s="16">
        <v>0.8</v>
      </c>
      <c r="K5530" s="14" t="s">
        <v>398</v>
      </c>
      <c r="N5530" s="14" t="str">
        <f>IFERROR(__xludf.DUMMYFUNCTION("""COMPUTED_VALUE"""),"")</f>
        <v/>
      </c>
      <c r="O5530" s="14"/>
    </row>
    <row r="5531" ht="22.5" hidden="1" customHeight="1">
      <c r="A5531" s="8">
        <v>46232.39895451389</v>
      </c>
      <c r="B5531" s="14">
        <v>46232.0</v>
      </c>
      <c r="C5531" s="9" t="s">
        <v>15</v>
      </c>
      <c r="D5531" s="9" t="s">
        <v>460</v>
      </c>
      <c r="E5531" s="9" t="s">
        <v>17</v>
      </c>
      <c r="F5531" s="9" t="s">
        <v>17</v>
      </c>
      <c r="G5531" s="9">
        <v>7.0</v>
      </c>
      <c r="H5531" s="9" t="s">
        <v>17</v>
      </c>
      <c r="I5531" s="9" t="s">
        <v>20</v>
      </c>
      <c r="J5531" s="16">
        <v>0.8</v>
      </c>
      <c r="K5531" s="14" t="s">
        <v>398</v>
      </c>
      <c r="N5531" s="14" t="str">
        <f>IFERROR(__xludf.DUMMYFUNCTION("""COMPUTED_VALUE"""),"")</f>
        <v/>
      </c>
      <c r="O5531" s="14"/>
    </row>
    <row r="5532" ht="22.5" hidden="1" customHeight="1">
      <c r="A5532" s="8">
        <v>46232.39937646991</v>
      </c>
      <c r="B5532" s="14">
        <v>46232.0</v>
      </c>
      <c r="C5532" s="9" t="s">
        <v>15</v>
      </c>
      <c r="D5532" s="9" t="s">
        <v>457</v>
      </c>
      <c r="E5532" s="9" t="s">
        <v>61</v>
      </c>
      <c r="F5532" s="9" t="s">
        <v>17</v>
      </c>
      <c r="G5532" s="9">
        <v>7.0</v>
      </c>
      <c r="H5532" s="9" t="s">
        <v>17</v>
      </c>
      <c r="I5532" s="9" t="s">
        <v>20</v>
      </c>
      <c r="J5532" s="16">
        <v>0.6</v>
      </c>
      <c r="K5532" s="14" t="s">
        <v>398</v>
      </c>
      <c r="N5532" s="14" t="str">
        <f>IFERROR(__xludf.DUMMYFUNCTION("""COMPUTED_VALUE"""),"")</f>
        <v/>
      </c>
      <c r="O5532" s="14"/>
    </row>
    <row r="5533" ht="22.5" hidden="1" customHeight="1">
      <c r="A5533" s="8">
        <v>46232.400012569444</v>
      </c>
      <c r="B5533" s="14">
        <v>46232.0</v>
      </c>
      <c r="C5533" s="9" t="s">
        <v>15</v>
      </c>
      <c r="D5533" s="9" t="s">
        <v>464</v>
      </c>
      <c r="E5533" s="9" t="s">
        <v>17</v>
      </c>
      <c r="F5533" s="9" t="s">
        <v>17</v>
      </c>
      <c r="G5533" s="9">
        <v>7.0</v>
      </c>
      <c r="H5533" s="9" t="s">
        <v>17</v>
      </c>
      <c r="I5533" s="9" t="s">
        <v>20</v>
      </c>
      <c r="J5533" s="16">
        <v>0.8</v>
      </c>
      <c r="K5533" s="14" t="s">
        <v>398</v>
      </c>
      <c r="N5533" s="14" t="str">
        <f>IFERROR(__xludf.DUMMYFUNCTION("""COMPUTED_VALUE"""),"")</f>
        <v/>
      </c>
      <c r="O5533" s="14"/>
    </row>
    <row r="5534" ht="22.5" hidden="1" customHeight="1">
      <c r="A5534" s="8">
        <v>46232.400254699074</v>
      </c>
      <c r="B5534" s="14">
        <v>46232.0</v>
      </c>
      <c r="C5534" s="9" t="s">
        <v>15</v>
      </c>
      <c r="D5534" s="9" t="s">
        <v>458</v>
      </c>
      <c r="E5534" s="9" t="s">
        <v>17</v>
      </c>
      <c r="F5534" s="9" t="s">
        <v>17</v>
      </c>
      <c r="G5534" s="9">
        <v>7.0</v>
      </c>
      <c r="H5534" s="9" t="s">
        <v>17</v>
      </c>
      <c r="I5534" s="9" t="s">
        <v>20</v>
      </c>
      <c r="J5534" s="16">
        <v>0.8</v>
      </c>
      <c r="K5534" s="14" t="s">
        <v>398</v>
      </c>
      <c r="N5534" s="14" t="str">
        <f>IFERROR(__xludf.DUMMYFUNCTION("""COMPUTED_VALUE"""),"")</f>
        <v/>
      </c>
      <c r="O5534" s="14"/>
    </row>
    <row r="5535" ht="22.5" hidden="1" customHeight="1">
      <c r="A5535" s="8">
        <v>46233.39982854167</v>
      </c>
      <c r="B5535" s="14">
        <v>46233.0</v>
      </c>
      <c r="C5535" s="9" t="s">
        <v>31</v>
      </c>
      <c r="D5535" s="9" t="s">
        <v>469</v>
      </c>
      <c r="E5535" s="9" t="s">
        <v>30</v>
      </c>
      <c r="F5535" s="9" t="s">
        <v>17</v>
      </c>
      <c r="G5535" s="9">
        <v>7.0</v>
      </c>
      <c r="H5535" s="9" t="s">
        <v>17</v>
      </c>
      <c r="I5535" s="9" t="s">
        <v>20</v>
      </c>
      <c r="J5535" s="16">
        <v>1.0</v>
      </c>
      <c r="K5535" s="14" t="s">
        <v>398</v>
      </c>
      <c r="N5535" s="14" t="str">
        <f>IFERROR(__xludf.DUMMYFUNCTION("""COMPUTED_VALUE"""),"")</f>
        <v/>
      </c>
      <c r="O5535" s="14"/>
    </row>
    <row r="5536" ht="22.5" hidden="1" customHeight="1">
      <c r="A5536" s="8">
        <v>46233.63393513889</v>
      </c>
      <c r="B5536" s="14">
        <v>46233.0</v>
      </c>
      <c r="C5536" s="9" t="s">
        <v>31</v>
      </c>
      <c r="D5536" s="9" t="s">
        <v>459</v>
      </c>
      <c r="E5536" s="9" t="s">
        <v>17</v>
      </c>
      <c r="F5536" s="9" t="s">
        <v>17</v>
      </c>
      <c r="G5536" s="9" t="s">
        <v>409</v>
      </c>
      <c r="H5536" s="9" t="s">
        <v>17</v>
      </c>
      <c r="I5536" s="9" t="s">
        <v>20</v>
      </c>
      <c r="J5536" s="16">
        <v>0.6</v>
      </c>
      <c r="K5536" s="14" t="s">
        <v>398</v>
      </c>
      <c r="N5536" s="14" t="str">
        <f>IFERROR(__xludf.DUMMYFUNCTION("""COMPUTED_VALUE"""),"")</f>
        <v/>
      </c>
      <c r="O5536" s="14"/>
    </row>
    <row r="5537" ht="22.5" hidden="1" customHeight="1">
      <c r="A5537" s="8">
        <v>46233.65774241898</v>
      </c>
      <c r="B5537" s="14">
        <v>46233.0</v>
      </c>
      <c r="C5537" s="9" t="s">
        <v>31</v>
      </c>
      <c r="D5537" s="9" t="s">
        <v>335</v>
      </c>
      <c r="E5537" s="9" t="s">
        <v>17</v>
      </c>
      <c r="F5537" s="9" t="s">
        <v>17</v>
      </c>
      <c r="G5537" s="9">
        <v>8.0</v>
      </c>
      <c r="H5537" s="9" t="s">
        <v>25</v>
      </c>
      <c r="I5537" s="9" t="s">
        <v>20</v>
      </c>
      <c r="J5537" s="16">
        <v>1.0</v>
      </c>
      <c r="K5537" s="14" t="s">
        <v>398</v>
      </c>
      <c r="N5537" s="14" t="str">
        <f>IFERROR(__xludf.DUMMYFUNCTION("""COMPUTED_VALUE"""),"")</f>
        <v/>
      </c>
      <c r="O5537" s="14"/>
    </row>
    <row r="5538" ht="22.5" hidden="1" customHeight="1">
      <c r="A5538" s="8">
        <v>46233.66106966435</v>
      </c>
      <c r="B5538" s="14">
        <v>46233.0</v>
      </c>
      <c r="C5538" s="9" t="s">
        <v>31</v>
      </c>
      <c r="D5538" s="9" t="s">
        <v>393</v>
      </c>
      <c r="E5538" s="9" t="s">
        <v>17</v>
      </c>
      <c r="F5538" s="9" t="s">
        <v>17</v>
      </c>
      <c r="G5538" s="9">
        <v>8.0</v>
      </c>
      <c r="H5538" s="9" t="s">
        <v>25</v>
      </c>
      <c r="I5538" s="9" t="s">
        <v>207</v>
      </c>
      <c r="J5538" s="16">
        <v>0.8</v>
      </c>
      <c r="K5538" s="14" t="s">
        <v>398</v>
      </c>
      <c r="N5538" s="14" t="str">
        <f>IFERROR(__xludf.DUMMYFUNCTION("""COMPUTED_VALUE"""),"")</f>
        <v/>
      </c>
      <c r="O5538" s="14"/>
    </row>
    <row r="5539" ht="22.5" hidden="1" customHeight="1">
      <c r="A5539" s="8">
        <v>46233.66177921296</v>
      </c>
      <c r="B5539" s="14">
        <v>46233.0</v>
      </c>
      <c r="C5539" s="9" t="s">
        <v>31</v>
      </c>
      <c r="D5539" s="9" t="s">
        <v>357</v>
      </c>
      <c r="E5539" s="9" t="s">
        <v>17</v>
      </c>
      <c r="F5539" s="9" t="s">
        <v>17</v>
      </c>
      <c r="G5539" s="9" t="s">
        <v>409</v>
      </c>
      <c r="H5539" s="9" t="s">
        <v>25</v>
      </c>
      <c r="I5539" s="9" t="s">
        <v>20</v>
      </c>
      <c r="J5539" s="16">
        <v>0.8</v>
      </c>
      <c r="K5539" s="14" t="s">
        <v>398</v>
      </c>
      <c r="N5539" s="14" t="str">
        <f>IFERROR(__xludf.DUMMYFUNCTION("""COMPUTED_VALUE"""),"")</f>
        <v/>
      </c>
      <c r="O5539" s="14"/>
    </row>
    <row r="5540" ht="22.5" hidden="1" customHeight="1">
      <c r="A5540" s="8">
        <v>46233.66214219907</v>
      </c>
      <c r="B5540" s="14">
        <v>46233.0</v>
      </c>
      <c r="C5540" s="9" t="s">
        <v>31</v>
      </c>
      <c r="D5540" s="9" t="s">
        <v>350</v>
      </c>
      <c r="E5540" s="9" t="s">
        <v>17</v>
      </c>
      <c r="F5540" s="9" t="s">
        <v>17</v>
      </c>
      <c r="G5540" s="9">
        <v>8.0</v>
      </c>
      <c r="H5540" s="9" t="s">
        <v>25</v>
      </c>
      <c r="I5540" s="9" t="s">
        <v>20</v>
      </c>
      <c r="J5540" s="16">
        <v>0.8</v>
      </c>
      <c r="K5540" s="14" t="s">
        <v>398</v>
      </c>
      <c r="N5540" s="14" t="str">
        <f>IFERROR(__xludf.DUMMYFUNCTION("""COMPUTED_VALUE"""),"")</f>
        <v/>
      </c>
      <c r="O5540" s="14"/>
    </row>
    <row r="5541" ht="22.5" hidden="1" customHeight="1">
      <c r="A5541" s="8">
        <v>46233.662442835644</v>
      </c>
      <c r="B5541" s="14">
        <v>46233.0</v>
      </c>
      <c r="C5541" s="9" t="s">
        <v>31</v>
      </c>
      <c r="D5541" s="9" t="s">
        <v>394</v>
      </c>
      <c r="E5541" s="9" t="s">
        <v>17</v>
      </c>
      <c r="F5541" s="9" t="s">
        <v>17</v>
      </c>
      <c r="G5541" s="9">
        <v>7.0</v>
      </c>
      <c r="H5541" s="9" t="s">
        <v>17</v>
      </c>
      <c r="I5541" s="9" t="s">
        <v>20</v>
      </c>
      <c r="J5541" s="16">
        <v>1.0</v>
      </c>
      <c r="K5541" s="14" t="s">
        <v>398</v>
      </c>
      <c r="N5541" s="14" t="str">
        <f>IFERROR(__xludf.DUMMYFUNCTION("""COMPUTED_VALUE"""),"")</f>
        <v/>
      </c>
      <c r="O5541" s="14"/>
    </row>
    <row r="5542" ht="22.5" hidden="1" customHeight="1">
      <c r="A5542" s="8">
        <v>46233.66307902778</v>
      </c>
      <c r="B5542" s="14">
        <v>46233.0</v>
      </c>
      <c r="C5542" s="9" t="s">
        <v>31</v>
      </c>
      <c r="D5542" s="9" t="s">
        <v>174</v>
      </c>
      <c r="E5542" s="9" t="s">
        <v>17</v>
      </c>
      <c r="F5542" s="9" t="s">
        <v>18</v>
      </c>
      <c r="G5542" s="9">
        <v>7.0</v>
      </c>
      <c r="H5542" s="9" t="s">
        <v>25</v>
      </c>
      <c r="I5542" s="9" t="s">
        <v>20</v>
      </c>
      <c r="J5542" s="16">
        <v>1.0</v>
      </c>
      <c r="K5542" s="14" t="s">
        <v>398</v>
      </c>
      <c r="N5542" s="14" t="str">
        <f>IFERROR(__xludf.DUMMYFUNCTION("""COMPUTED_VALUE"""),"")</f>
        <v/>
      </c>
      <c r="O5542" s="14"/>
    </row>
    <row r="5543" ht="22.5" hidden="1" customHeight="1">
      <c r="A5543" s="8">
        <v>46233.663876736115</v>
      </c>
      <c r="B5543" s="14">
        <v>46233.0</v>
      </c>
      <c r="C5543" s="9" t="s">
        <v>31</v>
      </c>
      <c r="D5543" s="9" t="s">
        <v>369</v>
      </c>
      <c r="E5543" s="9" t="s">
        <v>17</v>
      </c>
      <c r="F5543" s="9" t="s">
        <v>17</v>
      </c>
      <c r="G5543" s="9">
        <v>7.0</v>
      </c>
      <c r="H5543" s="9" t="s">
        <v>25</v>
      </c>
      <c r="I5543" s="9" t="s">
        <v>218</v>
      </c>
      <c r="J5543" s="16">
        <v>0.8</v>
      </c>
      <c r="K5543" s="14" t="s">
        <v>398</v>
      </c>
      <c r="N5543" s="14" t="str">
        <f>IFERROR(__xludf.DUMMYFUNCTION("""COMPUTED_VALUE"""),"")</f>
        <v/>
      </c>
      <c r="O5543" s="14"/>
    </row>
    <row r="5544" ht="22.5" hidden="1" customHeight="1">
      <c r="A5544" s="8">
        <v>46233.66550307871</v>
      </c>
      <c r="B5544" s="14">
        <v>46233.0</v>
      </c>
      <c r="C5544" s="9" t="s">
        <v>31</v>
      </c>
      <c r="D5544" s="9" t="s">
        <v>177</v>
      </c>
      <c r="E5544" s="9" t="s">
        <v>17</v>
      </c>
      <c r="F5544" s="9" t="s">
        <v>17</v>
      </c>
      <c r="G5544" s="9">
        <v>7.0</v>
      </c>
      <c r="H5544" s="9" t="s">
        <v>17</v>
      </c>
      <c r="I5544" s="9" t="s">
        <v>20</v>
      </c>
      <c r="J5544" s="16">
        <v>0.8</v>
      </c>
      <c r="K5544" s="14" t="s">
        <v>398</v>
      </c>
      <c r="N5544" s="14" t="str">
        <f>IFERROR(__xludf.DUMMYFUNCTION("""COMPUTED_VALUE"""),"")</f>
        <v/>
      </c>
      <c r="O5544" s="14"/>
    </row>
    <row r="5545" ht="22.5" hidden="1" customHeight="1">
      <c r="A5545" s="8">
        <v>46233.66671689815</v>
      </c>
      <c r="B5545" s="14">
        <v>46233.0</v>
      </c>
      <c r="C5545" s="9" t="s">
        <v>31</v>
      </c>
      <c r="D5545" s="9" t="s">
        <v>171</v>
      </c>
      <c r="E5545" s="9" t="s">
        <v>17</v>
      </c>
      <c r="F5545" s="9" t="s">
        <v>17</v>
      </c>
      <c r="G5545" s="9">
        <v>8.0</v>
      </c>
      <c r="H5545" s="9" t="s">
        <v>17</v>
      </c>
      <c r="I5545" s="9" t="s">
        <v>20</v>
      </c>
      <c r="J5545" s="16">
        <v>0.6</v>
      </c>
      <c r="K5545" s="14" t="s">
        <v>398</v>
      </c>
      <c r="N5545" s="14" t="str">
        <f>IFERROR(__xludf.DUMMYFUNCTION("""COMPUTED_VALUE"""),"")</f>
        <v/>
      </c>
      <c r="O5545" s="14"/>
    </row>
    <row r="5546" ht="22.5" hidden="1" customHeight="1">
      <c r="A5546" s="8">
        <v>46233.66803835648</v>
      </c>
      <c r="B5546" s="14">
        <v>46233.0</v>
      </c>
      <c r="C5546" s="9" t="s">
        <v>31</v>
      </c>
      <c r="D5546" s="9" t="s">
        <v>413</v>
      </c>
      <c r="E5546" s="9" t="s">
        <v>17</v>
      </c>
      <c r="F5546" s="9" t="s">
        <v>17</v>
      </c>
      <c r="G5546" s="9" t="s">
        <v>409</v>
      </c>
      <c r="H5546" s="9" t="s">
        <v>22</v>
      </c>
      <c r="I5546" s="9" t="s">
        <v>20</v>
      </c>
      <c r="J5546" s="16">
        <v>0.8</v>
      </c>
      <c r="K5546" s="14" t="s">
        <v>398</v>
      </c>
      <c r="N5546" s="14" t="str">
        <f>IFERROR(__xludf.DUMMYFUNCTION("""COMPUTED_VALUE"""),"")</f>
        <v/>
      </c>
      <c r="O5546" s="14"/>
    </row>
    <row r="5547" ht="22.5" hidden="1" customHeight="1">
      <c r="A5547" s="8">
        <v>46233.66901849537</v>
      </c>
      <c r="B5547" s="14">
        <v>46233.0</v>
      </c>
      <c r="C5547" s="9" t="s">
        <v>31</v>
      </c>
      <c r="D5547" s="9" t="s">
        <v>259</v>
      </c>
      <c r="E5547" s="9" t="s">
        <v>61</v>
      </c>
      <c r="F5547" s="9" t="s">
        <v>43</v>
      </c>
      <c r="G5547" s="9" t="s">
        <v>409</v>
      </c>
      <c r="H5547" s="9" t="s">
        <v>25</v>
      </c>
      <c r="I5547" s="9" t="s">
        <v>26</v>
      </c>
      <c r="J5547" s="16">
        <v>0.6</v>
      </c>
      <c r="K5547" s="14" t="s">
        <v>398</v>
      </c>
      <c r="N5547" s="14" t="str">
        <f>IFERROR(__xludf.DUMMYFUNCTION("""COMPUTED_VALUE"""),"")</f>
        <v/>
      </c>
      <c r="O5547" s="14"/>
    </row>
    <row r="5548" ht="22.5" hidden="1" customHeight="1">
      <c r="A5548" s="8">
        <v>46233.67138005787</v>
      </c>
      <c r="B5548" s="14">
        <v>46233.0</v>
      </c>
      <c r="C5548" s="9" t="s">
        <v>31</v>
      </c>
      <c r="D5548" s="9" t="s">
        <v>461</v>
      </c>
      <c r="E5548" s="9" t="s">
        <v>17</v>
      </c>
      <c r="F5548" s="9" t="s">
        <v>17</v>
      </c>
      <c r="G5548" s="9">
        <v>7.0</v>
      </c>
      <c r="H5548" s="9" t="s">
        <v>17</v>
      </c>
      <c r="I5548" s="9" t="s">
        <v>20</v>
      </c>
      <c r="J5548" s="16">
        <v>0.8</v>
      </c>
      <c r="K5548" s="14" t="s">
        <v>398</v>
      </c>
      <c r="N5548" s="14" t="str">
        <f>IFERROR(__xludf.DUMMYFUNCTION("""COMPUTED_VALUE"""),"")</f>
        <v/>
      </c>
      <c r="O5548" s="14"/>
    </row>
    <row r="5549" ht="22.5" hidden="1" customHeight="1">
      <c r="A5549" s="8">
        <v>46233.67166921296</v>
      </c>
      <c r="B5549" s="14">
        <v>46233.0</v>
      </c>
      <c r="C5549" s="9" t="s">
        <v>31</v>
      </c>
      <c r="D5549" s="9" t="s">
        <v>463</v>
      </c>
      <c r="E5549" s="9" t="s">
        <v>17</v>
      </c>
      <c r="F5549" s="9" t="s">
        <v>17</v>
      </c>
      <c r="G5549" s="9">
        <v>7.0</v>
      </c>
      <c r="H5549" s="9" t="s">
        <v>17</v>
      </c>
      <c r="I5549" s="9" t="s">
        <v>20</v>
      </c>
      <c r="J5549" s="16">
        <v>0.8</v>
      </c>
      <c r="K5549" s="14" t="s">
        <v>398</v>
      </c>
      <c r="N5549" s="14" t="str">
        <f>IFERROR(__xludf.DUMMYFUNCTION("""COMPUTED_VALUE"""),"")</f>
        <v/>
      </c>
      <c r="O5549" s="14"/>
    </row>
    <row r="5550" ht="22.5" hidden="1" customHeight="1">
      <c r="A5550" s="8">
        <v>46233.67212017361</v>
      </c>
      <c r="B5550" s="14">
        <v>46233.0</v>
      </c>
      <c r="C5550" s="9" t="s">
        <v>31</v>
      </c>
      <c r="D5550" s="9" t="s">
        <v>465</v>
      </c>
      <c r="E5550" s="9" t="s">
        <v>17</v>
      </c>
      <c r="F5550" s="9" t="s">
        <v>17</v>
      </c>
      <c r="G5550" s="9">
        <v>7.0</v>
      </c>
      <c r="H5550" s="9" t="s">
        <v>17</v>
      </c>
      <c r="I5550" s="9" t="s">
        <v>20</v>
      </c>
      <c r="J5550" s="16">
        <v>0.8</v>
      </c>
      <c r="K5550" s="14" t="s">
        <v>398</v>
      </c>
      <c r="N5550" s="14" t="str">
        <f>IFERROR(__xludf.DUMMYFUNCTION("""COMPUTED_VALUE"""),"")</f>
        <v/>
      </c>
      <c r="O5550" s="14"/>
    </row>
    <row r="5551" ht="22.5" hidden="1" customHeight="1">
      <c r="A5551" s="8">
        <v>46233.67249960648</v>
      </c>
      <c r="B5551" s="14">
        <v>46233.0</v>
      </c>
      <c r="C5551" s="9" t="s">
        <v>31</v>
      </c>
      <c r="D5551" s="9" t="s">
        <v>460</v>
      </c>
      <c r="E5551" s="9" t="s">
        <v>17</v>
      </c>
      <c r="F5551" s="9" t="s">
        <v>17</v>
      </c>
      <c r="G5551" s="9">
        <v>7.0</v>
      </c>
      <c r="H5551" s="9" t="s">
        <v>17</v>
      </c>
      <c r="I5551" s="9" t="s">
        <v>20</v>
      </c>
      <c r="J5551" s="16">
        <v>0.8</v>
      </c>
      <c r="K5551" s="14" t="s">
        <v>398</v>
      </c>
      <c r="N5551" s="14" t="str">
        <f>IFERROR(__xludf.DUMMYFUNCTION("""COMPUTED_VALUE"""),"")</f>
        <v/>
      </c>
      <c r="O5551" s="14"/>
    </row>
    <row r="5552" ht="22.5" hidden="1" customHeight="1">
      <c r="A5552" s="8">
        <v>46233.6729746875</v>
      </c>
      <c r="B5552" s="14">
        <v>46233.0</v>
      </c>
      <c r="C5552" s="9" t="s">
        <v>31</v>
      </c>
      <c r="D5552" s="9" t="s">
        <v>457</v>
      </c>
      <c r="E5552" s="9" t="s">
        <v>17</v>
      </c>
      <c r="F5552" s="9" t="s">
        <v>17</v>
      </c>
      <c r="G5552" s="9">
        <v>7.0</v>
      </c>
      <c r="H5552" s="9" t="s">
        <v>17</v>
      </c>
      <c r="I5552" s="9" t="s">
        <v>20</v>
      </c>
      <c r="J5552" s="16">
        <v>0.8</v>
      </c>
      <c r="K5552" s="14" t="s">
        <v>398</v>
      </c>
      <c r="N5552" s="14" t="str">
        <f>IFERROR(__xludf.DUMMYFUNCTION("""COMPUTED_VALUE"""),"")</f>
        <v/>
      </c>
      <c r="O5552" s="14"/>
    </row>
    <row r="5553" ht="22.5" hidden="1" customHeight="1">
      <c r="A5553" s="8">
        <v>46233.67403336806</v>
      </c>
      <c r="B5553" s="14">
        <v>46233.0</v>
      </c>
      <c r="C5553" s="9" t="s">
        <v>31</v>
      </c>
      <c r="D5553" s="9" t="s">
        <v>178</v>
      </c>
      <c r="E5553" s="9" t="s">
        <v>140</v>
      </c>
      <c r="F5553" s="9" t="s">
        <v>60</v>
      </c>
      <c r="G5553" s="9" t="s">
        <v>410</v>
      </c>
      <c r="H5553" s="9" t="s">
        <v>25</v>
      </c>
      <c r="I5553" s="9" t="s">
        <v>470</v>
      </c>
      <c r="J5553" s="16">
        <v>0.2</v>
      </c>
      <c r="K5553" s="14" t="s">
        <v>398</v>
      </c>
      <c r="N5553" s="14" t="str">
        <f>IFERROR(__xludf.DUMMYFUNCTION("""COMPUTED_VALUE"""),"")</f>
        <v/>
      </c>
      <c r="O5553" s="14"/>
    </row>
    <row r="5554" ht="22.5" hidden="1" customHeight="1">
      <c r="A5554" s="8">
        <v>46233.67449185185</v>
      </c>
      <c r="B5554" s="14">
        <v>46233.0</v>
      </c>
      <c r="C5554" s="9" t="s">
        <v>31</v>
      </c>
      <c r="D5554" s="9" t="s">
        <v>471</v>
      </c>
      <c r="E5554" s="9" t="s">
        <v>17</v>
      </c>
      <c r="F5554" s="9" t="s">
        <v>17</v>
      </c>
      <c r="G5554" s="9">
        <v>7.0</v>
      </c>
      <c r="H5554" s="9" t="s">
        <v>17</v>
      </c>
      <c r="I5554" s="9" t="s">
        <v>20</v>
      </c>
      <c r="J5554" s="16">
        <v>0.8</v>
      </c>
      <c r="K5554" s="14" t="s">
        <v>398</v>
      </c>
      <c r="N5554" s="14" t="str">
        <f>IFERROR(__xludf.DUMMYFUNCTION("""COMPUTED_VALUE"""),"")</f>
        <v/>
      </c>
      <c r="O5554" s="14"/>
    </row>
    <row r="5555" ht="22.5" hidden="1" customHeight="1">
      <c r="A5555" s="8">
        <v>46233.67564810185</v>
      </c>
      <c r="B5555" s="14">
        <v>46233.0</v>
      </c>
      <c r="C5555" s="9" t="s">
        <v>31</v>
      </c>
      <c r="D5555" s="9" t="s">
        <v>249</v>
      </c>
      <c r="E5555" s="9" t="s">
        <v>17</v>
      </c>
      <c r="F5555" s="9" t="s">
        <v>18</v>
      </c>
      <c r="G5555" s="9">
        <v>8.0</v>
      </c>
      <c r="H5555" s="9" t="s">
        <v>25</v>
      </c>
      <c r="I5555" s="9" t="s">
        <v>207</v>
      </c>
      <c r="J5555" s="16">
        <v>0.8</v>
      </c>
      <c r="K5555" s="14" t="s">
        <v>398</v>
      </c>
      <c r="N5555" s="14" t="str">
        <f>IFERROR(__xludf.DUMMYFUNCTION("""COMPUTED_VALUE"""),"")</f>
        <v/>
      </c>
      <c r="O5555" s="14"/>
    </row>
    <row r="5556" ht="22.5" hidden="1" customHeight="1">
      <c r="A5556" s="8">
        <v>46233.676931354166</v>
      </c>
      <c r="B5556" s="14">
        <v>46233.0</v>
      </c>
      <c r="C5556" s="9" t="s">
        <v>31</v>
      </c>
      <c r="D5556" s="9" t="s">
        <v>175</v>
      </c>
      <c r="E5556" s="9" t="s">
        <v>17</v>
      </c>
      <c r="F5556" s="9" t="s">
        <v>17</v>
      </c>
      <c r="G5556" s="9">
        <v>7.0</v>
      </c>
      <c r="H5556" s="9" t="s">
        <v>25</v>
      </c>
      <c r="I5556" s="9" t="s">
        <v>207</v>
      </c>
      <c r="J5556" s="16">
        <v>0.8</v>
      </c>
      <c r="K5556" s="14" t="s">
        <v>398</v>
      </c>
      <c r="N5556" s="14" t="str">
        <f>IFERROR(__xludf.DUMMYFUNCTION("""COMPUTED_VALUE"""),"")</f>
        <v/>
      </c>
      <c r="O5556" s="14"/>
    </row>
    <row r="5557" ht="22.5" hidden="1" customHeight="1">
      <c r="A5557" s="8">
        <v>46233.67994962963</v>
      </c>
      <c r="B5557" s="14">
        <v>46233.0</v>
      </c>
      <c r="C5557" s="9" t="s">
        <v>31</v>
      </c>
      <c r="D5557" s="9" t="s">
        <v>353</v>
      </c>
      <c r="E5557" s="9" t="s">
        <v>17</v>
      </c>
      <c r="F5557" s="9" t="s">
        <v>17</v>
      </c>
      <c r="G5557" s="9">
        <v>7.0</v>
      </c>
      <c r="H5557" s="9" t="s">
        <v>17</v>
      </c>
      <c r="I5557" s="9" t="s">
        <v>20</v>
      </c>
      <c r="J5557" s="16">
        <v>0.8</v>
      </c>
      <c r="K5557" s="14" t="s">
        <v>398</v>
      </c>
      <c r="N5557" s="14" t="str">
        <f>IFERROR(__xludf.DUMMYFUNCTION("""COMPUTED_VALUE"""),"")</f>
        <v/>
      </c>
      <c r="O5557" s="14"/>
    </row>
    <row r="5558" ht="22.5" hidden="1" customHeight="1">
      <c r="A5558" s="8">
        <v>46233.71083328704</v>
      </c>
      <c r="B5558" s="14">
        <v>46233.0</v>
      </c>
      <c r="C5558" s="9" t="s">
        <v>31</v>
      </c>
      <c r="D5558" s="9" t="s">
        <v>442</v>
      </c>
      <c r="E5558" s="9" t="s">
        <v>46</v>
      </c>
      <c r="F5558" s="9" t="s">
        <v>60</v>
      </c>
      <c r="G5558" s="9">
        <v>6.0</v>
      </c>
      <c r="H5558" s="9" t="s">
        <v>17</v>
      </c>
      <c r="I5558" s="9" t="s">
        <v>20</v>
      </c>
      <c r="J5558" s="16">
        <v>0.6</v>
      </c>
      <c r="K5558" s="14" t="s">
        <v>398</v>
      </c>
      <c r="N5558" s="14" t="str">
        <f>IFERROR(__xludf.DUMMYFUNCTION("""COMPUTED_VALUE"""),"")</f>
        <v/>
      </c>
      <c r="O5558" s="14"/>
    </row>
    <row r="5559" ht="22.5" hidden="1" customHeight="1">
      <c r="A5559" s="8">
        <v>46233.71107528935</v>
      </c>
      <c r="B5559" s="14">
        <v>46233.0</v>
      </c>
      <c r="C5559" s="9" t="s">
        <v>31</v>
      </c>
      <c r="D5559" s="9" t="s">
        <v>441</v>
      </c>
      <c r="E5559" s="9" t="s">
        <v>17</v>
      </c>
      <c r="F5559" s="9" t="s">
        <v>17</v>
      </c>
      <c r="G5559" s="9">
        <v>7.0</v>
      </c>
      <c r="H5559" s="9" t="s">
        <v>17</v>
      </c>
      <c r="I5559" s="9" t="s">
        <v>20</v>
      </c>
      <c r="J5559" s="16">
        <v>0.8</v>
      </c>
      <c r="K5559" s="14" t="s">
        <v>398</v>
      </c>
      <c r="N5559" s="14" t="str">
        <f>IFERROR(__xludf.DUMMYFUNCTION("""COMPUTED_VALUE"""),"")</f>
        <v/>
      </c>
      <c r="O5559" s="14"/>
    </row>
    <row r="5560" ht="22.5" hidden="1" customHeight="1">
      <c r="A5560" s="8">
        <v>46233.71176276621</v>
      </c>
      <c r="B5560" s="14">
        <v>46233.0</v>
      </c>
      <c r="C5560" s="9" t="s">
        <v>31</v>
      </c>
      <c r="D5560" s="9" t="s">
        <v>464</v>
      </c>
      <c r="E5560" s="9" t="s">
        <v>17</v>
      </c>
      <c r="F5560" s="9" t="s">
        <v>17</v>
      </c>
      <c r="G5560" s="9">
        <v>7.0</v>
      </c>
      <c r="H5560" s="9" t="s">
        <v>17</v>
      </c>
      <c r="I5560" s="9" t="s">
        <v>20</v>
      </c>
      <c r="J5560" s="16">
        <v>0.8</v>
      </c>
      <c r="K5560" s="14" t="s">
        <v>398</v>
      </c>
      <c r="N5560" s="14" t="str">
        <f>IFERROR(__xludf.DUMMYFUNCTION("""COMPUTED_VALUE"""),"")</f>
        <v/>
      </c>
      <c r="O5560" s="14"/>
    </row>
    <row r="5561" ht="22.5" hidden="1" customHeight="1">
      <c r="A5561" s="8">
        <v>46233.71202290509</v>
      </c>
      <c r="B5561" s="14">
        <v>46233.0</v>
      </c>
      <c r="C5561" s="9" t="s">
        <v>31</v>
      </c>
      <c r="D5561" s="9" t="s">
        <v>458</v>
      </c>
      <c r="E5561" s="9" t="s">
        <v>17</v>
      </c>
      <c r="F5561" s="9" t="s">
        <v>17</v>
      </c>
      <c r="G5561" s="9">
        <v>7.0</v>
      </c>
      <c r="H5561" s="9" t="s">
        <v>17</v>
      </c>
      <c r="I5561" s="9" t="s">
        <v>20</v>
      </c>
      <c r="J5561" s="16">
        <v>0.8</v>
      </c>
      <c r="K5561" s="14" t="s">
        <v>398</v>
      </c>
      <c r="N5561" s="14" t="str">
        <f>IFERROR(__xludf.DUMMYFUNCTION("""COMPUTED_VALUE"""),"")</f>
        <v/>
      </c>
      <c r="O5561" s="14"/>
    </row>
    <row r="5562" ht="22.5" hidden="1" customHeight="1">
      <c r="A5562" s="8">
        <v>46233.71396129629</v>
      </c>
      <c r="B5562" s="14">
        <v>46233.0</v>
      </c>
      <c r="C5562" s="9" t="s">
        <v>31</v>
      </c>
      <c r="D5562" s="9" t="s">
        <v>210</v>
      </c>
      <c r="E5562" s="9" t="s">
        <v>17</v>
      </c>
      <c r="F5562" s="9" t="s">
        <v>17</v>
      </c>
      <c r="G5562" s="9">
        <v>7.0</v>
      </c>
      <c r="H5562" s="9" t="s">
        <v>17</v>
      </c>
      <c r="I5562" s="9" t="s">
        <v>20</v>
      </c>
      <c r="J5562" s="16">
        <v>0.8</v>
      </c>
      <c r="K5562" s="14" t="s">
        <v>398</v>
      </c>
      <c r="N5562" s="14" t="str">
        <f>IFERROR(__xludf.DUMMYFUNCTION("""COMPUTED_VALUE"""),"")</f>
        <v/>
      </c>
      <c r="O5562" s="14"/>
    </row>
    <row r="5563" ht="22.5" hidden="1" customHeight="1">
      <c r="A5563" s="8">
        <v>46233.7142271412</v>
      </c>
      <c r="B5563" s="14">
        <v>46233.0</v>
      </c>
      <c r="C5563" s="9" t="s">
        <v>31</v>
      </c>
      <c r="D5563" s="9" t="s">
        <v>414</v>
      </c>
      <c r="E5563" s="9" t="s">
        <v>17</v>
      </c>
      <c r="F5563" s="9" t="s">
        <v>17</v>
      </c>
      <c r="G5563" s="9">
        <v>8.0</v>
      </c>
      <c r="H5563" s="9" t="s">
        <v>17</v>
      </c>
      <c r="I5563" s="9" t="s">
        <v>20</v>
      </c>
      <c r="J5563" s="16">
        <v>0.8</v>
      </c>
      <c r="K5563" s="14" t="s">
        <v>398</v>
      </c>
      <c r="N5563" s="14" t="str">
        <f>IFERROR(__xludf.DUMMYFUNCTION("""COMPUTED_VALUE"""),"")</f>
        <v/>
      </c>
      <c r="O5563" s="14"/>
    </row>
    <row r="5564" ht="22.5" hidden="1" customHeight="1">
      <c r="A5564" s="8">
        <v>46233.714513576386</v>
      </c>
      <c r="B5564" s="14">
        <v>46233.0</v>
      </c>
      <c r="C5564" s="9" t="s">
        <v>31</v>
      </c>
      <c r="D5564" s="9" t="s">
        <v>105</v>
      </c>
      <c r="E5564" s="9" t="s">
        <v>17</v>
      </c>
      <c r="F5564" s="9" t="s">
        <v>17</v>
      </c>
      <c r="G5564" s="9">
        <v>7.0</v>
      </c>
      <c r="H5564" s="9" t="s">
        <v>17</v>
      </c>
      <c r="I5564" s="9" t="s">
        <v>20</v>
      </c>
      <c r="J5564" s="16">
        <v>1.0</v>
      </c>
      <c r="K5564" s="14" t="s">
        <v>398</v>
      </c>
      <c r="N5564" s="14" t="str">
        <f>IFERROR(__xludf.DUMMYFUNCTION("""COMPUTED_VALUE"""),"")</f>
        <v/>
      </c>
      <c r="O5564" s="14"/>
    </row>
    <row r="5565" ht="22.5" hidden="1" customHeight="1">
      <c r="A5565" s="8">
        <v>46234.33846643519</v>
      </c>
      <c r="B5565" s="14">
        <v>46234.0</v>
      </c>
      <c r="C5565" s="9" t="s">
        <v>48</v>
      </c>
      <c r="D5565" s="9" t="s">
        <v>459</v>
      </c>
      <c r="E5565" s="9" t="s">
        <v>17</v>
      </c>
      <c r="F5565" s="9" t="s">
        <v>17</v>
      </c>
      <c r="G5565" s="9">
        <v>8.0</v>
      </c>
      <c r="H5565" s="9" t="s">
        <v>17</v>
      </c>
      <c r="I5565" s="9" t="s">
        <v>20</v>
      </c>
      <c r="J5565" s="16">
        <v>0.6</v>
      </c>
      <c r="K5565" s="14" t="s">
        <v>398</v>
      </c>
      <c r="N5565" s="14" t="str">
        <f>IFERROR(__xludf.DUMMYFUNCTION("""COMPUTED_VALUE"""),"")</f>
        <v/>
      </c>
      <c r="O5565" s="14"/>
    </row>
    <row r="5566" ht="22.5" hidden="1" customHeight="1">
      <c r="A5566" s="8">
        <v>46234.34896070602</v>
      </c>
      <c r="B5566" s="14">
        <v>46234.0</v>
      </c>
      <c r="C5566" s="9" t="s">
        <v>48</v>
      </c>
      <c r="D5566" s="9" t="s">
        <v>174</v>
      </c>
      <c r="E5566" s="9" t="s">
        <v>17</v>
      </c>
      <c r="F5566" s="9" t="s">
        <v>17</v>
      </c>
      <c r="G5566" s="9">
        <v>8.0</v>
      </c>
      <c r="H5566" s="9" t="s">
        <v>25</v>
      </c>
      <c r="I5566" s="9" t="s">
        <v>218</v>
      </c>
      <c r="J5566" s="16">
        <v>1.0</v>
      </c>
      <c r="K5566" s="14">
        <v>4.0</v>
      </c>
      <c r="N5566" s="14" t="str">
        <f>IFERROR(__xludf.DUMMYFUNCTION("""COMPUTED_VALUE"""),"")</f>
        <v/>
      </c>
      <c r="O5566" s="14"/>
    </row>
    <row r="5567" ht="22.5" hidden="1" customHeight="1">
      <c r="A5567" s="8">
        <v>46234.35614549769</v>
      </c>
      <c r="B5567" s="14">
        <v>46234.0</v>
      </c>
      <c r="C5567" s="9" t="s">
        <v>48</v>
      </c>
      <c r="D5567" s="9" t="s">
        <v>461</v>
      </c>
      <c r="E5567" s="9" t="s">
        <v>17</v>
      </c>
      <c r="F5567" s="9" t="s">
        <v>17</v>
      </c>
      <c r="G5567" s="9">
        <v>7.0</v>
      </c>
      <c r="H5567" s="9" t="s">
        <v>17</v>
      </c>
      <c r="I5567" s="9" t="s">
        <v>20</v>
      </c>
      <c r="J5567" s="16">
        <v>0.8</v>
      </c>
      <c r="K5567" s="14" t="s">
        <v>398</v>
      </c>
      <c r="N5567" s="14" t="str">
        <f>IFERROR(__xludf.DUMMYFUNCTION("""COMPUTED_VALUE"""),"")</f>
        <v/>
      </c>
      <c r="O5567" s="14"/>
    </row>
    <row r="5568" ht="22.5" hidden="1" customHeight="1">
      <c r="A5568" s="8">
        <v>46234.357022303244</v>
      </c>
      <c r="B5568" s="14">
        <v>46234.0</v>
      </c>
      <c r="C5568" s="9" t="s">
        <v>48</v>
      </c>
      <c r="D5568" s="9" t="s">
        <v>357</v>
      </c>
      <c r="E5568" s="9" t="s">
        <v>17</v>
      </c>
      <c r="F5568" s="9" t="s">
        <v>35</v>
      </c>
      <c r="G5568" s="9">
        <v>7.0</v>
      </c>
      <c r="H5568" s="9" t="s">
        <v>25</v>
      </c>
      <c r="I5568" s="9" t="s">
        <v>211</v>
      </c>
      <c r="J5568" s="16">
        <v>0.8</v>
      </c>
      <c r="K5568" s="14">
        <v>7.0</v>
      </c>
      <c r="N5568" s="14" t="str">
        <f>IFERROR(__xludf.DUMMYFUNCTION("""COMPUTED_VALUE"""),"")</f>
        <v/>
      </c>
      <c r="O5568" s="14"/>
    </row>
    <row r="5569" ht="22.5" hidden="1" customHeight="1">
      <c r="A5569" s="8">
        <v>46234.3575765625</v>
      </c>
      <c r="B5569" s="14">
        <v>46234.0</v>
      </c>
      <c r="C5569" s="9" t="s">
        <v>48</v>
      </c>
      <c r="D5569" s="9" t="s">
        <v>177</v>
      </c>
      <c r="E5569" s="9" t="s">
        <v>46</v>
      </c>
      <c r="F5569" s="9" t="s">
        <v>17</v>
      </c>
      <c r="G5569" s="9">
        <v>7.0</v>
      </c>
      <c r="H5569" s="9" t="s">
        <v>22</v>
      </c>
      <c r="I5569" s="9" t="s">
        <v>20</v>
      </c>
      <c r="J5569" s="16">
        <v>0.6</v>
      </c>
      <c r="K5569" s="14">
        <v>7.0</v>
      </c>
      <c r="N5569" s="14" t="str">
        <f>IFERROR(__xludf.DUMMYFUNCTION("""COMPUTED_VALUE"""),"")</f>
        <v/>
      </c>
      <c r="O5569" s="14"/>
    </row>
    <row r="5570" ht="22.5" hidden="1" customHeight="1">
      <c r="A5570" s="8">
        <v>46234.35764591435</v>
      </c>
      <c r="B5570" s="14">
        <v>46234.0</v>
      </c>
      <c r="C5570" s="9" t="s">
        <v>48</v>
      </c>
      <c r="D5570" s="9" t="s">
        <v>257</v>
      </c>
      <c r="E5570" s="9" t="s">
        <v>17</v>
      </c>
      <c r="F5570" s="9" t="s">
        <v>17</v>
      </c>
      <c r="G5570" s="9">
        <v>8.0</v>
      </c>
      <c r="H5570" s="9" t="s">
        <v>17</v>
      </c>
      <c r="I5570" s="9" t="s">
        <v>20</v>
      </c>
      <c r="J5570" s="16">
        <v>1.0</v>
      </c>
      <c r="K5570" s="14" t="s">
        <v>398</v>
      </c>
      <c r="N5570" s="14" t="str">
        <f>IFERROR(__xludf.DUMMYFUNCTION("""COMPUTED_VALUE"""),"")</f>
        <v/>
      </c>
      <c r="O5570" s="14"/>
    </row>
    <row r="5571" ht="22.5" hidden="1" customHeight="1">
      <c r="A5571" s="8">
        <v>46234.35802586806</v>
      </c>
      <c r="B5571" s="14">
        <v>46234.0</v>
      </c>
      <c r="C5571" s="9" t="s">
        <v>48</v>
      </c>
      <c r="D5571" s="9" t="s">
        <v>171</v>
      </c>
      <c r="E5571" s="9" t="s">
        <v>61</v>
      </c>
      <c r="F5571" s="9" t="s">
        <v>17</v>
      </c>
      <c r="G5571" s="9">
        <v>7.0</v>
      </c>
      <c r="H5571" s="9" t="s">
        <v>22</v>
      </c>
      <c r="I5571" s="9" t="s">
        <v>20</v>
      </c>
      <c r="J5571" s="16">
        <v>0.4</v>
      </c>
      <c r="K5571" s="14">
        <v>4.0</v>
      </c>
      <c r="N5571" s="14" t="str">
        <f>IFERROR(__xludf.DUMMYFUNCTION("""COMPUTED_VALUE"""),"")</f>
        <v/>
      </c>
      <c r="O5571" s="14"/>
    </row>
    <row r="5572" ht="22.5" hidden="1" customHeight="1">
      <c r="A5572" s="8">
        <v>46234.35808759259</v>
      </c>
      <c r="B5572" s="14">
        <v>46234.0</v>
      </c>
      <c r="C5572" s="9" t="s">
        <v>48</v>
      </c>
      <c r="D5572" s="9" t="s">
        <v>396</v>
      </c>
      <c r="E5572" s="9" t="s">
        <v>17</v>
      </c>
      <c r="F5572" s="9" t="s">
        <v>18</v>
      </c>
      <c r="G5572" s="9">
        <v>7.0</v>
      </c>
      <c r="H5572" s="9" t="s">
        <v>17</v>
      </c>
      <c r="I5572" s="9" t="s">
        <v>20</v>
      </c>
      <c r="J5572" s="16">
        <v>1.0</v>
      </c>
      <c r="K5572" s="14" t="s">
        <v>398</v>
      </c>
      <c r="N5572" s="14" t="str">
        <f>IFERROR(__xludf.DUMMYFUNCTION("""COMPUTED_VALUE"""),"")</f>
        <v/>
      </c>
      <c r="O5572" s="14"/>
    </row>
    <row r="5573" ht="22.5" hidden="1" customHeight="1">
      <c r="A5573" s="8">
        <v>46234.35865466435</v>
      </c>
      <c r="B5573" s="14">
        <v>46234.0</v>
      </c>
      <c r="C5573" s="9" t="s">
        <v>48</v>
      </c>
      <c r="D5573" s="9" t="s">
        <v>441</v>
      </c>
      <c r="E5573" s="9" t="s">
        <v>17</v>
      </c>
      <c r="F5573" s="9" t="s">
        <v>39</v>
      </c>
      <c r="G5573" s="9">
        <v>6.0</v>
      </c>
      <c r="H5573" s="9" t="s">
        <v>22</v>
      </c>
      <c r="I5573" s="9" t="s">
        <v>20</v>
      </c>
      <c r="J5573" s="16">
        <v>0.8</v>
      </c>
      <c r="K5573" s="14">
        <v>4.0</v>
      </c>
      <c r="N5573" s="14" t="str">
        <f>IFERROR(__xludf.DUMMYFUNCTION("""COMPUTED_VALUE"""),"")</f>
        <v/>
      </c>
      <c r="O5573" s="14"/>
    </row>
    <row r="5574" ht="22.5" hidden="1" customHeight="1">
      <c r="A5574" s="8">
        <v>46234.35875118055</v>
      </c>
      <c r="B5574" s="14">
        <v>46234.0</v>
      </c>
      <c r="C5574" s="9" t="s">
        <v>48</v>
      </c>
      <c r="D5574" s="9" t="s">
        <v>249</v>
      </c>
      <c r="E5574" s="9" t="s">
        <v>17</v>
      </c>
      <c r="F5574" s="9" t="s">
        <v>43</v>
      </c>
      <c r="G5574" s="9">
        <v>8.0</v>
      </c>
      <c r="H5574" s="9" t="s">
        <v>17</v>
      </c>
      <c r="I5574" s="9" t="s">
        <v>20</v>
      </c>
      <c r="J5574" s="16">
        <v>0.8</v>
      </c>
      <c r="K5574" s="14">
        <v>5.0</v>
      </c>
      <c r="N5574" s="14" t="str">
        <f>IFERROR(__xludf.DUMMYFUNCTION("""COMPUTED_VALUE"""),"")</f>
        <v/>
      </c>
      <c r="O5574" s="14"/>
    </row>
    <row r="5575" ht="22.5" hidden="1" customHeight="1">
      <c r="A5575" s="8">
        <v>46234.35917704861</v>
      </c>
      <c r="B5575" s="14">
        <v>46234.0</v>
      </c>
      <c r="C5575" s="9" t="s">
        <v>48</v>
      </c>
      <c r="D5575" s="9" t="s">
        <v>105</v>
      </c>
      <c r="E5575" s="9" t="s">
        <v>17</v>
      </c>
      <c r="F5575" s="9" t="s">
        <v>17</v>
      </c>
      <c r="G5575" s="9">
        <v>7.0</v>
      </c>
      <c r="H5575" s="9" t="s">
        <v>17</v>
      </c>
      <c r="I5575" s="9" t="s">
        <v>20</v>
      </c>
      <c r="J5575" s="16">
        <v>1.0</v>
      </c>
      <c r="K5575" s="14">
        <v>3.0</v>
      </c>
      <c r="N5575" s="14" t="str">
        <f>IFERROR(__xludf.DUMMYFUNCTION("""COMPUTED_VALUE"""),"")</f>
        <v/>
      </c>
      <c r="O5575" s="14"/>
    </row>
    <row r="5576" ht="22.5" hidden="1" customHeight="1">
      <c r="A5576" s="8">
        <v>46234.359296979164</v>
      </c>
      <c r="B5576" s="14">
        <v>46234.0</v>
      </c>
      <c r="C5576" s="9" t="s">
        <v>48</v>
      </c>
      <c r="D5576" s="9" t="s">
        <v>442</v>
      </c>
      <c r="E5576" s="9" t="s">
        <v>17</v>
      </c>
      <c r="F5576" s="9" t="s">
        <v>17</v>
      </c>
      <c r="G5576" s="9">
        <v>6.0</v>
      </c>
      <c r="H5576" s="9" t="s">
        <v>22</v>
      </c>
      <c r="I5576" s="9" t="s">
        <v>20</v>
      </c>
      <c r="J5576" s="16">
        <v>0.6</v>
      </c>
      <c r="K5576" s="14">
        <v>7.0</v>
      </c>
      <c r="N5576" s="14" t="str">
        <f>IFERROR(__xludf.DUMMYFUNCTION("""COMPUTED_VALUE"""),"")</f>
        <v/>
      </c>
      <c r="O5576" s="14"/>
    </row>
    <row r="5577" ht="22.5" hidden="1" customHeight="1">
      <c r="A5577" s="8">
        <v>46234.35993211805</v>
      </c>
      <c r="B5577" s="14">
        <v>46234.0</v>
      </c>
      <c r="C5577" s="9" t="s">
        <v>48</v>
      </c>
      <c r="D5577" s="9" t="s">
        <v>395</v>
      </c>
      <c r="E5577" s="9" t="s">
        <v>17</v>
      </c>
      <c r="F5577" s="9" t="s">
        <v>17</v>
      </c>
      <c r="G5577" s="9">
        <v>7.0</v>
      </c>
      <c r="H5577" s="9" t="s">
        <v>25</v>
      </c>
      <c r="I5577" s="9" t="s">
        <v>211</v>
      </c>
      <c r="J5577" s="16">
        <v>0.6</v>
      </c>
      <c r="K5577" s="14" t="s">
        <v>398</v>
      </c>
      <c r="N5577" s="14" t="str">
        <f>IFERROR(__xludf.DUMMYFUNCTION("""COMPUTED_VALUE"""),"")</f>
        <v/>
      </c>
      <c r="O5577" s="14"/>
    </row>
    <row r="5578" ht="22.5" hidden="1" customHeight="1">
      <c r="A5578" s="8">
        <v>46234.360403321756</v>
      </c>
      <c r="B5578" s="14">
        <v>46234.0</v>
      </c>
      <c r="C5578" s="9" t="s">
        <v>48</v>
      </c>
      <c r="D5578" s="9" t="s">
        <v>247</v>
      </c>
      <c r="E5578" s="9" t="s">
        <v>17</v>
      </c>
      <c r="F5578" s="9" t="s">
        <v>17</v>
      </c>
      <c r="G5578" s="9">
        <v>6.0</v>
      </c>
      <c r="H5578" s="9" t="s">
        <v>22</v>
      </c>
      <c r="I5578" s="9" t="s">
        <v>20</v>
      </c>
      <c r="J5578" s="16">
        <v>0.8</v>
      </c>
      <c r="K5578" s="14">
        <v>7.0</v>
      </c>
      <c r="N5578" s="14" t="str">
        <f>IFERROR(__xludf.DUMMYFUNCTION("""COMPUTED_VALUE"""),"")</f>
        <v/>
      </c>
      <c r="O5578" s="14"/>
    </row>
    <row r="5579" ht="22.5" hidden="1" customHeight="1">
      <c r="A5579" s="8">
        <v>46234.36100150463</v>
      </c>
      <c r="B5579" s="14">
        <v>46234.0</v>
      </c>
      <c r="C5579" s="9" t="s">
        <v>48</v>
      </c>
      <c r="D5579" s="9" t="s">
        <v>463</v>
      </c>
      <c r="E5579" s="9" t="s">
        <v>17</v>
      </c>
      <c r="F5579" s="9" t="s">
        <v>17</v>
      </c>
      <c r="G5579" s="9">
        <v>7.0</v>
      </c>
      <c r="H5579" s="9" t="s">
        <v>17</v>
      </c>
      <c r="I5579" s="9" t="s">
        <v>20</v>
      </c>
      <c r="J5579" s="16">
        <v>0.8</v>
      </c>
      <c r="K5579" s="14" t="s">
        <v>398</v>
      </c>
      <c r="N5579" s="14" t="str">
        <f>IFERROR(__xludf.DUMMYFUNCTION("""COMPUTED_VALUE"""),"")</f>
        <v/>
      </c>
      <c r="O5579" s="14"/>
    </row>
    <row r="5580" ht="22.5" hidden="1" customHeight="1">
      <c r="A5580" s="8">
        <v>46234.36107131944</v>
      </c>
      <c r="B5580" s="14">
        <v>46234.0</v>
      </c>
      <c r="C5580" s="9" t="s">
        <v>48</v>
      </c>
      <c r="D5580" s="9" t="s">
        <v>369</v>
      </c>
      <c r="E5580" s="9" t="s">
        <v>17</v>
      </c>
      <c r="F5580" s="9" t="s">
        <v>17</v>
      </c>
      <c r="G5580" s="9">
        <v>7.0</v>
      </c>
      <c r="H5580" s="9" t="s">
        <v>22</v>
      </c>
      <c r="I5580" s="9" t="s">
        <v>20</v>
      </c>
      <c r="J5580" s="16">
        <v>0.8</v>
      </c>
      <c r="K5580" s="14">
        <v>6.0</v>
      </c>
      <c r="N5580" s="14" t="str">
        <f>IFERROR(__xludf.DUMMYFUNCTION("""COMPUTED_VALUE"""),"")</f>
        <v/>
      </c>
      <c r="O5580" s="14"/>
    </row>
    <row r="5581" ht="22.5" hidden="1" customHeight="1">
      <c r="A5581" s="8">
        <v>46234.361264907406</v>
      </c>
      <c r="B5581" s="14">
        <v>46234.0</v>
      </c>
      <c r="C5581" s="9" t="s">
        <v>48</v>
      </c>
      <c r="D5581" s="9" t="s">
        <v>465</v>
      </c>
      <c r="E5581" s="9" t="s">
        <v>17</v>
      </c>
      <c r="F5581" s="9" t="s">
        <v>17</v>
      </c>
      <c r="G5581" s="9">
        <v>8.0</v>
      </c>
      <c r="H5581" s="9" t="s">
        <v>17</v>
      </c>
      <c r="I5581" s="9" t="s">
        <v>20</v>
      </c>
      <c r="J5581" s="16">
        <v>0.8</v>
      </c>
      <c r="K5581" s="14" t="s">
        <v>398</v>
      </c>
      <c r="N5581" s="14" t="str">
        <f>IFERROR(__xludf.DUMMYFUNCTION("""COMPUTED_VALUE"""),"")</f>
        <v/>
      </c>
      <c r="O5581" s="14"/>
    </row>
    <row r="5582" ht="22.5" hidden="1" customHeight="1">
      <c r="A5582" s="8">
        <v>46234.36156099537</v>
      </c>
      <c r="B5582" s="14">
        <v>46234.0</v>
      </c>
      <c r="C5582" s="9" t="s">
        <v>48</v>
      </c>
      <c r="D5582" s="9" t="s">
        <v>460</v>
      </c>
      <c r="E5582" s="9" t="s">
        <v>17</v>
      </c>
      <c r="F5582" s="9" t="s">
        <v>17</v>
      </c>
      <c r="G5582" s="9">
        <v>8.0</v>
      </c>
      <c r="H5582" s="9" t="s">
        <v>17</v>
      </c>
      <c r="I5582" s="9" t="s">
        <v>20</v>
      </c>
      <c r="J5582" s="16">
        <v>0.8</v>
      </c>
      <c r="K5582" s="14" t="s">
        <v>398</v>
      </c>
      <c r="N5582" s="14" t="str">
        <f>IFERROR(__xludf.DUMMYFUNCTION("""COMPUTED_VALUE"""),"")</f>
        <v/>
      </c>
      <c r="O5582" s="14"/>
    </row>
    <row r="5583" ht="22.5" hidden="1" customHeight="1">
      <c r="A5583" s="8">
        <v>46234.36171082176</v>
      </c>
      <c r="B5583" s="14">
        <v>46234.0</v>
      </c>
      <c r="C5583" s="9" t="s">
        <v>48</v>
      </c>
      <c r="D5583" s="9" t="s">
        <v>393</v>
      </c>
      <c r="E5583" s="9" t="s">
        <v>17</v>
      </c>
      <c r="F5583" s="9" t="s">
        <v>17</v>
      </c>
      <c r="G5583" s="9">
        <v>7.0</v>
      </c>
      <c r="H5583" s="9" t="s">
        <v>25</v>
      </c>
      <c r="I5583" s="9" t="s">
        <v>240</v>
      </c>
      <c r="J5583" s="16">
        <v>0.8</v>
      </c>
      <c r="K5583" s="14">
        <v>5.0</v>
      </c>
      <c r="N5583" s="14" t="str">
        <f>IFERROR(__xludf.DUMMYFUNCTION("""COMPUTED_VALUE"""),"")</f>
        <v/>
      </c>
      <c r="O5583" s="14"/>
    </row>
    <row r="5584" ht="22.5" hidden="1" customHeight="1">
      <c r="A5584" s="8">
        <v>46234.36192443287</v>
      </c>
      <c r="B5584" s="14">
        <v>46234.0</v>
      </c>
      <c r="C5584" s="9" t="s">
        <v>48</v>
      </c>
      <c r="D5584" s="9" t="s">
        <v>457</v>
      </c>
      <c r="E5584" s="9" t="s">
        <v>17</v>
      </c>
      <c r="F5584" s="9" t="s">
        <v>17</v>
      </c>
      <c r="G5584" s="9">
        <v>8.0</v>
      </c>
      <c r="H5584" s="9" t="s">
        <v>17</v>
      </c>
      <c r="I5584" s="9" t="s">
        <v>20</v>
      </c>
      <c r="J5584" s="16">
        <v>0.8</v>
      </c>
      <c r="K5584" s="14" t="s">
        <v>398</v>
      </c>
      <c r="N5584" s="14" t="str">
        <f>IFERROR(__xludf.DUMMYFUNCTION("""COMPUTED_VALUE"""),"")</f>
        <v/>
      </c>
      <c r="O5584" s="14"/>
    </row>
    <row r="5585" ht="22.5" hidden="1" customHeight="1">
      <c r="A5585" s="8">
        <v>46234.362276238426</v>
      </c>
      <c r="B5585" s="14">
        <v>46234.0</v>
      </c>
      <c r="C5585" s="9" t="s">
        <v>48</v>
      </c>
      <c r="D5585" s="9" t="s">
        <v>175</v>
      </c>
      <c r="E5585" s="9" t="s">
        <v>46</v>
      </c>
      <c r="F5585" s="9" t="s">
        <v>60</v>
      </c>
      <c r="G5585" s="9">
        <v>7.0</v>
      </c>
      <c r="H5585" s="9" t="s">
        <v>25</v>
      </c>
      <c r="I5585" s="9" t="s">
        <v>207</v>
      </c>
      <c r="J5585" s="16">
        <v>0.8</v>
      </c>
      <c r="K5585" s="14">
        <v>8.0</v>
      </c>
      <c r="N5585" s="14" t="str">
        <f>IFERROR(__xludf.DUMMYFUNCTION("""COMPUTED_VALUE"""),"")</f>
        <v/>
      </c>
      <c r="O5585" s="14"/>
    </row>
    <row r="5586" ht="22.5" hidden="1" customHeight="1">
      <c r="A5586" s="8">
        <v>46234.363683460644</v>
      </c>
      <c r="B5586" s="14">
        <v>46234.0</v>
      </c>
      <c r="C5586" s="9" t="s">
        <v>48</v>
      </c>
      <c r="D5586" s="9" t="s">
        <v>464</v>
      </c>
      <c r="E5586" s="9" t="s">
        <v>17</v>
      </c>
      <c r="F5586" s="9" t="s">
        <v>17</v>
      </c>
      <c r="G5586" s="9">
        <v>7.0</v>
      </c>
      <c r="H5586" s="9" t="s">
        <v>17</v>
      </c>
      <c r="I5586" s="9" t="s">
        <v>20</v>
      </c>
      <c r="J5586" s="16">
        <v>0.8</v>
      </c>
      <c r="K5586" s="14" t="s">
        <v>398</v>
      </c>
      <c r="N5586" s="14" t="str">
        <f>IFERROR(__xludf.DUMMYFUNCTION("""COMPUTED_VALUE"""),"")</f>
        <v/>
      </c>
      <c r="O5586" s="14"/>
    </row>
    <row r="5587" ht="22.5" hidden="1" customHeight="1">
      <c r="A5587" s="8">
        <v>46234.36435063658</v>
      </c>
      <c r="B5587" s="14">
        <v>46234.0</v>
      </c>
      <c r="C5587" s="9" t="s">
        <v>48</v>
      </c>
      <c r="D5587" s="9" t="s">
        <v>471</v>
      </c>
      <c r="E5587" s="9" t="s">
        <v>17</v>
      </c>
      <c r="F5587" s="9" t="s">
        <v>17</v>
      </c>
      <c r="G5587" s="9">
        <v>7.0</v>
      </c>
      <c r="H5587" s="9" t="s">
        <v>17</v>
      </c>
      <c r="I5587" s="9" t="s">
        <v>20</v>
      </c>
      <c r="J5587" s="16">
        <v>0.8</v>
      </c>
      <c r="K5587" s="14" t="s">
        <v>398</v>
      </c>
      <c r="N5587" s="14" t="str">
        <f>IFERROR(__xludf.DUMMYFUNCTION("""COMPUTED_VALUE"""),"")</f>
        <v/>
      </c>
      <c r="O5587" s="14"/>
    </row>
    <row r="5588" ht="22.5" hidden="1" customHeight="1">
      <c r="A5588" s="8">
        <v>46234.36467023148</v>
      </c>
      <c r="B5588" s="14">
        <v>46234.0</v>
      </c>
      <c r="C5588" s="9" t="s">
        <v>48</v>
      </c>
      <c r="D5588" s="9" t="s">
        <v>353</v>
      </c>
      <c r="E5588" s="9" t="s">
        <v>17</v>
      </c>
      <c r="F5588" s="9" t="s">
        <v>17</v>
      </c>
      <c r="G5588" s="9">
        <v>8.0</v>
      </c>
      <c r="H5588" s="9" t="s">
        <v>17</v>
      </c>
      <c r="I5588" s="9" t="s">
        <v>20</v>
      </c>
      <c r="J5588" s="16">
        <v>1.0</v>
      </c>
      <c r="K5588" s="14" t="s">
        <v>398</v>
      </c>
      <c r="N5588" s="14" t="str">
        <f>IFERROR(__xludf.DUMMYFUNCTION("""COMPUTED_VALUE"""),"")</f>
        <v/>
      </c>
      <c r="O5588" s="14"/>
    </row>
    <row r="5589" ht="22.5" hidden="1" customHeight="1">
      <c r="A5589" s="8">
        <v>46234.365326921295</v>
      </c>
      <c r="B5589" s="14">
        <v>46234.0</v>
      </c>
      <c r="C5589" s="9" t="s">
        <v>48</v>
      </c>
      <c r="D5589" s="9" t="s">
        <v>458</v>
      </c>
      <c r="E5589" s="9" t="s">
        <v>17</v>
      </c>
      <c r="F5589" s="9" t="s">
        <v>17</v>
      </c>
      <c r="G5589" s="9">
        <v>7.0</v>
      </c>
      <c r="H5589" s="9" t="s">
        <v>17</v>
      </c>
      <c r="I5589" s="9" t="s">
        <v>20</v>
      </c>
      <c r="J5589" s="16">
        <v>0.8</v>
      </c>
      <c r="K5589" s="14" t="s">
        <v>398</v>
      </c>
      <c r="N5589" s="14" t="str">
        <f>IFERROR(__xludf.DUMMYFUNCTION("""COMPUTED_VALUE"""),"")</f>
        <v/>
      </c>
      <c r="O5589" s="14"/>
    </row>
    <row r="5590" ht="22.5" hidden="1" customHeight="1">
      <c r="A5590" s="8">
        <v>46234.36636884259</v>
      </c>
      <c r="B5590" s="14">
        <v>46234.0</v>
      </c>
      <c r="C5590" s="9" t="s">
        <v>48</v>
      </c>
      <c r="D5590" s="9" t="s">
        <v>394</v>
      </c>
      <c r="E5590" s="9" t="s">
        <v>17</v>
      </c>
      <c r="F5590" s="9" t="s">
        <v>17</v>
      </c>
      <c r="G5590" s="9">
        <v>7.0</v>
      </c>
      <c r="H5590" s="9" t="s">
        <v>22</v>
      </c>
      <c r="I5590" s="9" t="s">
        <v>20</v>
      </c>
      <c r="J5590" s="16">
        <v>1.0</v>
      </c>
      <c r="K5590" s="14">
        <v>6.0</v>
      </c>
      <c r="N5590" s="14" t="str">
        <f>IFERROR(__xludf.DUMMYFUNCTION("""COMPUTED_VALUE"""),"")</f>
        <v/>
      </c>
      <c r="O5590" s="14"/>
    </row>
    <row r="5591" ht="22.5" hidden="1" customHeight="1">
      <c r="A5591" s="8">
        <v>46234.366601539354</v>
      </c>
      <c r="B5591" s="14">
        <v>46234.0</v>
      </c>
      <c r="C5591" s="9" t="s">
        <v>48</v>
      </c>
      <c r="D5591" s="9" t="s">
        <v>414</v>
      </c>
      <c r="E5591" s="9" t="s">
        <v>17</v>
      </c>
      <c r="F5591" s="9" t="s">
        <v>17</v>
      </c>
      <c r="G5591" s="9">
        <v>7.0</v>
      </c>
      <c r="H5591" s="9" t="s">
        <v>17</v>
      </c>
      <c r="I5591" s="9" t="s">
        <v>20</v>
      </c>
      <c r="J5591" s="16">
        <v>0.8</v>
      </c>
      <c r="K5591" s="14">
        <v>6.0</v>
      </c>
      <c r="N5591" s="14" t="str">
        <f>IFERROR(__xludf.DUMMYFUNCTION("""COMPUTED_VALUE"""),"")</f>
        <v/>
      </c>
      <c r="O5591" s="14"/>
    </row>
    <row r="5592" ht="22.5" hidden="1" customHeight="1">
      <c r="A5592" s="8">
        <v>46234.36695930555</v>
      </c>
      <c r="B5592" s="14">
        <v>46234.0</v>
      </c>
      <c r="C5592" s="9" t="s">
        <v>48</v>
      </c>
      <c r="D5592" s="9" t="s">
        <v>469</v>
      </c>
      <c r="E5592" s="9" t="s">
        <v>61</v>
      </c>
      <c r="F5592" s="9" t="s">
        <v>17</v>
      </c>
      <c r="G5592" s="9">
        <v>8.0</v>
      </c>
      <c r="H5592" s="9" t="s">
        <v>17</v>
      </c>
      <c r="I5592" s="9" t="s">
        <v>20</v>
      </c>
      <c r="J5592" s="16">
        <v>0.8</v>
      </c>
      <c r="K5592" s="14" t="s">
        <v>398</v>
      </c>
      <c r="N5592" s="14" t="str">
        <f>IFERROR(__xludf.DUMMYFUNCTION("""COMPUTED_VALUE"""),"")</f>
        <v/>
      </c>
      <c r="O5592" s="14"/>
    </row>
    <row r="5593" ht="22.5" hidden="1" customHeight="1">
      <c r="A5593" s="8">
        <v>46234.36927686342</v>
      </c>
      <c r="B5593" s="14">
        <v>46234.0</v>
      </c>
      <c r="C5593" s="9" t="s">
        <v>48</v>
      </c>
      <c r="D5593" s="9" t="s">
        <v>413</v>
      </c>
      <c r="E5593" s="9" t="s">
        <v>17</v>
      </c>
      <c r="F5593" s="9" t="s">
        <v>17</v>
      </c>
      <c r="G5593" s="9">
        <v>8.0</v>
      </c>
      <c r="H5593" s="9" t="s">
        <v>22</v>
      </c>
      <c r="I5593" s="9" t="s">
        <v>20</v>
      </c>
      <c r="J5593" s="16">
        <v>1.0</v>
      </c>
      <c r="K5593" s="14">
        <v>5.0</v>
      </c>
      <c r="N5593" s="14" t="str">
        <f>IFERROR(__xludf.DUMMYFUNCTION("""COMPUTED_VALUE"""),"")</f>
        <v/>
      </c>
      <c r="O5593" s="14"/>
    </row>
    <row r="5594" ht="22.5" hidden="1" customHeight="1">
      <c r="A5594" s="8">
        <v>46234.37002428241</v>
      </c>
      <c r="B5594" s="14">
        <v>46234.0</v>
      </c>
      <c r="C5594" s="9" t="s">
        <v>48</v>
      </c>
      <c r="D5594" s="9" t="s">
        <v>413</v>
      </c>
      <c r="E5594" s="9" t="s">
        <v>17</v>
      </c>
      <c r="F5594" s="9" t="s">
        <v>17</v>
      </c>
      <c r="G5594" s="9">
        <v>7.0</v>
      </c>
      <c r="H5594" s="9" t="s">
        <v>22</v>
      </c>
      <c r="I5594" s="9" t="s">
        <v>20</v>
      </c>
      <c r="J5594" s="16">
        <v>0.8</v>
      </c>
      <c r="K5594" s="14">
        <v>5.0</v>
      </c>
      <c r="N5594" s="14" t="str">
        <f>IFERROR(__xludf.DUMMYFUNCTION("""COMPUTED_VALUE"""),"")</f>
        <v/>
      </c>
      <c r="O5594" s="14"/>
    </row>
    <row r="5595" ht="22.5" hidden="1" customHeight="1">
      <c r="A5595" s="8">
        <v>46234.37169972222</v>
      </c>
      <c r="B5595" s="14">
        <v>46234.0</v>
      </c>
      <c r="C5595" s="9" t="s">
        <v>48</v>
      </c>
      <c r="D5595" s="9" t="s">
        <v>178</v>
      </c>
      <c r="E5595" s="9" t="s">
        <v>44</v>
      </c>
      <c r="F5595" s="9" t="s">
        <v>35</v>
      </c>
      <c r="G5595" s="9">
        <v>7.0</v>
      </c>
      <c r="H5595" s="9" t="s">
        <v>17</v>
      </c>
      <c r="I5595" s="9" t="s">
        <v>20</v>
      </c>
      <c r="J5595" s="16">
        <v>0.6</v>
      </c>
      <c r="K5595" s="14">
        <v>7.0</v>
      </c>
      <c r="N5595" s="14" t="str">
        <f>IFERROR(__xludf.DUMMYFUNCTION("""COMPUTED_VALUE"""),"")</f>
        <v/>
      </c>
      <c r="O5595" s="14"/>
    </row>
    <row r="5596" ht="22.5" hidden="1" customHeight="1">
      <c r="A5596" s="8">
        <v>46235.33786050926</v>
      </c>
      <c r="B5596" s="14">
        <v>46235.0</v>
      </c>
      <c r="C5596" s="9" t="s">
        <v>53</v>
      </c>
      <c r="D5596" s="9" t="s">
        <v>459</v>
      </c>
      <c r="E5596" s="9" t="s">
        <v>17</v>
      </c>
      <c r="F5596" s="9" t="s">
        <v>43</v>
      </c>
      <c r="G5596" s="9" t="s">
        <v>409</v>
      </c>
      <c r="H5596" s="9" t="s">
        <v>17</v>
      </c>
      <c r="I5596" s="9" t="s">
        <v>20</v>
      </c>
      <c r="J5596" s="16">
        <v>0.8</v>
      </c>
      <c r="K5596" s="14" t="s">
        <v>398</v>
      </c>
      <c r="N5596" s="14" t="str">
        <f>IFERROR(__xludf.DUMMYFUNCTION("""COMPUTED_VALUE"""),"")</f>
        <v/>
      </c>
      <c r="O5596" s="14"/>
    </row>
    <row r="5597" ht="22.5" hidden="1" customHeight="1">
      <c r="A5597" s="8">
        <v>46235.33998797454</v>
      </c>
      <c r="B5597" s="14">
        <v>46235.0</v>
      </c>
      <c r="C5597" s="9" t="s">
        <v>53</v>
      </c>
      <c r="D5597" s="9" t="s">
        <v>396</v>
      </c>
      <c r="E5597" s="9" t="s">
        <v>17</v>
      </c>
      <c r="F5597" s="9" t="s">
        <v>17</v>
      </c>
      <c r="G5597" s="9">
        <v>7.0</v>
      </c>
      <c r="H5597" s="9" t="s">
        <v>17</v>
      </c>
      <c r="I5597" s="9" t="s">
        <v>20</v>
      </c>
      <c r="J5597" s="16">
        <v>1.0</v>
      </c>
      <c r="K5597" s="14" t="s">
        <v>398</v>
      </c>
      <c r="N5597" s="14" t="str">
        <f>IFERROR(__xludf.DUMMYFUNCTION("""COMPUTED_VALUE"""),"")</f>
        <v/>
      </c>
      <c r="O5597" s="14"/>
    </row>
    <row r="5598" ht="22.5" hidden="1" customHeight="1">
      <c r="A5598" s="8">
        <v>46235.34036805556</v>
      </c>
      <c r="B5598" s="14">
        <v>46235.0</v>
      </c>
      <c r="C5598" s="9" t="s">
        <v>53</v>
      </c>
      <c r="D5598" s="9" t="s">
        <v>257</v>
      </c>
      <c r="E5598" s="9" t="s">
        <v>17</v>
      </c>
      <c r="F5598" s="9" t="s">
        <v>17</v>
      </c>
      <c r="G5598" s="9">
        <v>8.0</v>
      </c>
      <c r="H5598" s="9" t="s">
        <v>17</v>
      </c>
      <c r="I5598" s="9" t="s">
        <v>20</v>
      </c>
      <c r="J5598" s="16">
        <v>1.0</v>
      </c>
      <c r="K5598" s="14" t="s">
        <v>398</v>
      </c>
      <c r="N5598" s="14" t="str">
        <f>IFERROR(__xludf.DUMMYFUNCTION("""COMPUTED_VALUE"""),"")</f>
        <v/>
      </c>
      <c r="O5598" s="14"/>
    </row>
    <row r="5599" ht="22.5" hidden="1" customHeight="1">
      <c r="A5599" s="8">
        <v>46235.34100428241</v>
      </c>
      <c r="B5599" s="14">
        <v>46235.0</v>
      </c>
      <c r="C5599" s="9" t="s">
        <v>53</v>
      </c>
      <c r="D5599" s="9" t="s">
        <v>393</v>
      </c>
      <c r="E5599" s="9" t="s">
        <v>17</v>
      </c>
      <c r="F5599" s="9" t="s">
        <v>17</v>
      </c>
      <c r="G5599" s="9">
        <v>7.0</v>
      </c>
      <c r="H5599" s="9" t="s">
        <v>25</v>
      </c>
      <c r="I5599" s="9" t="s">
        <v>240</v>
      </c>
      <c r="J5599" s="16">
        <v>1.0</v>
      </c>
      <c r="K5599" s="14" t="s">
        <v>398</v>
      </c>
      <c r="N5599" s="14" t="str">
        <f>IFERROR(__xludf.DUMMYFUNCTION("""COMPUTED_VALUE"""),"")</f>
        <v/>
      </c>
      <c r="O5599" s="14"/>
    </row>
    <row r="5600" ht="22.5" hidden="1" customHeight="1">
      <c r="A5600" s="8">
        <v>46235.66589283565</v>
      </c>
      <c r="B5600" s="14">
        <v>46235.0</v>
      </c>
      <c r="C5600" s="9" t="s">
        <v>53</v>
      </c>
      <c r="D5600" s="9" t="s">
        <v>171</v>
      </c>
      <c r="E5600" s="9" t="s">
        <v>44</v>
      </c>
      <c r="F5600" s="9" t="s">
        <v>39</v>
      </c>
      <c r="G5600" s="9" t="s">
        <v>409</v>
      </c>
      <c r="H5600" s="9" t="s">
        <v>25</v>
      </c>
      <c r="I5600" s="9" t="s">
        <v>20</v>
      </c>
      <c r="J5600" s="16">
        <v>0.8</v>
      </c>
      <c r="K5600" s="14">
        <v>3.0</v>
      </c>
      <c r="N5600" s="14" t="str">
        <f>IFERROR(__xludf.DUMMYFUNCTION("""COMPUTED_VALUE"""),"")</f>
        <v/>
      </c>
      <c r="O5600" s="14"/>
    </row>
    <row r="5601" ht="22.5" hidden="1" customHeight="1">
      <c r="A5601" s="8">
        <v>46235.66605853009</v>
      </c>
      <c r="B5601" s="14">
        <v>46235.0</v>
      </c>
      <c r="C5601" s="9" t="s">
        <v>53</v>
      </c>
      <c r="D5601" s="9" t="s">
        <v>394</v>
      </c>
      <c r="E5601" s="9" t="s">
        <v>30</v>
      </c>
      <c r="F5601" s="9" t="s">
        <v>35</v>
      </c>
      <c r="G5601" s="9">
        <v>8.0</v>
      </c>
      <c r="H5601" s="9" t="s">
        <v>22</v>
      </c>
      <c r="I5601" s="9" t="s">
        <v>20</v>
      </c>
      <c r="J5601" s="16">
        <v>1.0</v>
      </c>
      <c r="K5601" s="14">
        <v>3.0</v>
      </c>
      <c r="N5601" s="14" t="str">
        <f>IFERROR(__xludf.DUMMYFUNCTION("""COMPUTED_VALUE"""),"")</f>
        <v/>
      </c>
      <c r="O5601" s="14"/>
    </row>
    <row r="5602" ht="22.5" hidden="1" customHeight="1">
      <c r="A5602" s="8">
        <v>46235.67054545139</v>
      </c>
      <c r="B5602" s="14">
        <v>46235.0</v>
      </c>
      <c r="C5602" s="9" t="s">
        <v>53</v>
      </c>
      <c r="D5602" s="9" t="s">
        <v>471</v>
      </c>
      <c r="E5602" s="9" t="s">
        <v>30</v>
      </c>
      <c r="F5602" s="9" t="s">
        <v>60</v>
      </c>
      <c r="G5602" s="9">
        <v>7.0</v>
      </c>
      <c r="H5602" s="9" t="s">
        <v>25</v>
      </c>
      <c r="I5602" s="9" t="s">
        <v>28</v>
      </c>
      <c r="J5602" s="16">
        <v>0.2</v>
      </c>
      <c r="K5602" s="14" t="s">
        <v>398</v>
      </c>
      <c r="N5602" s="14" t="str">
        <f>IFERROR(__xludf.DUMMYFUNCTION("""COMPUTED_VALUE"""),"")</f>
        <v/>
      </c>
      <c r="O5602" s="14"/>
    </row>
    <row r="5603" ht="22.5" hidden="1" customHeight="1">
      <c r="A5603" s="8">
        <v>46235.67571966435</v>
      </c>
      <c r="B5603" s="14">
        <v>46235.0</v>
      </c>
      <c r="C5603" s="9" t="s">
        <v>53</v>
      </c>
      <c r="D5603" s="9" t="s">
        <v>458</v>
      </c>
      <c r="E5603" s="9" t="s">
        <v>57</v>
      </c>
      <c r="F5603" s="9" t="s">
        <v>18</v>
      </c>
      <c r="G5603" s="9">
        <v>8.0</v>
      </c>
      <c r="H5603" s="9" t="s">
        <v>17</v>
      </c>
      <c r="I5603" s="9" t="s">
        <v>20</v>
      </c>
      <c r="J5603" s="16">
        <v>1.0</v>
      </c>
      <c r="K5603" s="14" t="s">
        <v>398</v>
      </c>
      <c r="N5603" s="14" t="str">
        <f>IFERROR(__xludf.DUMMYFUNCTION("""COMPUTED_VALUE"""),"")</f>
        <v/>
      </c>
      <c r="O5603" s="14"/>
    </row>
    <row r="5604" ht="22.5" hidden="1" customHeight="1">
      <c r="A5604" s="8">
        <v>46235.67658629629</v>
      </c>
      <c r="B5604" s="14">
        <v>46235.0</v>
      </c>
      <c r="C5604" s="9" t="s">
        <v>53</v>
      </c>
      <c r="D5604" s="9" t="s">
        <v>457</v>
      </c>
      <c r="E5604" s="9" t="s">
        <v>57</v>
      </c>
      <c r="F5604" s="9" t="s">
        <v>18</v>
      </c>
      <c r="G5604" s="9" t="s">
        <v>409</v>
      </c>
      <c r="H5604" s="9" t="s">
        <v>17</v>
      </c>
      <c r="I5604" s="9" t="s">
        <v>20</v>
      </c>
      <c r="J5604" s="16">
        <v>1.0</v>
      </c>
      <c r="K5604" s="14" t="s">
        <v>398</v>
      </c>
      <c r="N5604" s="14" t="str">
        <f>IFERROR(__xludf.DUMMYFUNCTION("""COMPUTED_VALUE"""),"")</f>
        <v/>
      </c>
      <c r="O5604" s="14"/>
    </row>
    <row r="5605" ht="22.5" hidden="1" customHeight="1">
      <c r="A5605" s="8">
        <v>46235.6859150463</v>
      </c>
      <c r="B5605" s="14">
        <v>46235.0</v>
      </c>
      <c r="C5605" s="9" t="s">
        <v>53</v>
      </c>
      <c r="D5605" s="9" t="s">
        <v>105</v>
      </c>
      <c r="E5605" s="9" t="s">
        <v>17</v>
      </c>
      <c r="F5605" s="9" t="s">
        <v>17</v>
      </c>
      <c r="G5605" s="9">
        <v>8.0</v>
      </c>
      <c r="H5605" s="9" t="s">
        <v>22</v>
      </c>
      <c r="I5605" s="9" t="s">
        <v>20</v>
      </c>
      <c r="J5605" s="16">
        <v>0.8</v>
      </c>
      <c r="K5605" s="14">
        <v>2.0</v>
      </c>
      <c r="N5605" s="14" t="str">
        <f>IFERROR(__xludf.DUMMYFUNCTION("""COMPUTED_VALUE"""),"")</f>
        <v/>
      </c>
      <c r="O5605" s="14"/>
    </row>
    <row r="5606" ht="22.5" hidden="1" customHeight="1">
      <c r="A5606" s="8">
        <v>46235.68626295139</v>
      </c>
      <c r="B5606" s="14">
        <v>46235.0</v>
      </c>
      <c r="C5606" s="9" t="s">
        <v>53</v>
      </c>
      <c r="D5606" s="9" t="s">
        <v>177</v>
      </c>
      <c r="E5606" s="9" t="s">
        <v>17</v>
      </c>
      <c r="F5606" s="9" t="s">
        <v>17</v>
      </c>
      <c r="G5606" s="9">
        <v>7.0</v>
      </c>
      <c r="H5606" s="9" t="s">
        <v>22</v>
      </c>
      <c r="I5606" s="9" t="s">
        <v>20</v>
      </c>
      <c r="J5606" s="16">
        <v>0.8</v>
      </c>
      <c r="K5606" s="14">
        <v>3.0</v>
      </c>
      <c r="N5606" s="14" t="str">
        <f>IFERROR(__xludf.DUMMYFUNCTION("""COMPUTED_VALUE"""),"")</f>
        <v/>
      </c>
      <c r="O5606" s="14"/>
    </row>
    <row r="5607" ht="22.5" hidden="1" customHeight="1">
      <c r="A5607" s="8">
        <v>46235.68662168982</v>
      </c>
      <c r="B5607" s="14">
        <v>46235.0</v>
      </c>
      <c r="C5607" s="9" t="s">
        <v>53</v>
      </c>
      <c r="D5607" s="9" t="s">
        <v>259</v>
      </c>
      <c r="E5607" s="9" t="s">
        <v>17</v>
      </c>
      <c r="F5607" s="9" t="s">
        <v>18</v>
      </c>
      <c r="G5607" s="9" t="s">
        <v>409</v>
      </c>
      <c r="H5607" s="9" t="s">
        <v>25</v>
      </c>
      <c r="I5607" s="9" t="s">
        <v>240</v>
      </c>
      <c r="J5607" s="16">
        <v>0.8</v>
      </c>
      <c r="K5607" s="14">
        <v>6.0</v>
      </c>
      <c r="N5607" s="14" t="str">
        <f>IFERROR(__xludf.DUMMYFUNCTION("""COMPUTED_VALUE"""),"")</f>
        <v/>
      </c>
      <c r="O5607" s="14"/>
    </row>
    <row r="5608" ht="22.5" hidden="1" customHeight="1">
      <c r="A5608" s="8">
        <v>46235.686911944445</v>
      </c>
      <c r="B5608" s="14">
        <v>46235.0</v>
      </c>
      <c r="C5608" s="9" t="s">
        <v>53</v>
      </c>
      <c r="D5608" s="9" t="s">
        <v>178</v>
      </c>
      <c r="E5608" s="9" t="s">
        <v>17</v>
      </c>
      <c r="F5608" s="9" t="s">
        <v>17</v>
      </c>
      <c r="G5608" s="9">
        <v>6.0</v>
      </c>
      <c r="H5608" s="9" t="s">
        <v>22</v>
      </c>
      <c r="I5608" s="9" t="s">
        <v>20</v>
      </c>
      <c r="J5608" s="16">
        <v>0.6</v>
      </c>
      <c r="K5608" s="14" t="s">
        <v>398</v>
      </c>
      <c r="N5608" s="14" t="str">
        <f>IFERROR(__xludf.DUMMYFUNCTION("""COMPUTED_VALUE"""),"")</f>
        <v/>
      </c>
      <c r="O5608" s="14"/>
    </row>
    <row r="5609" ht="22.5" hidden="1" customHeight="1">
      <c r="A5609" s="8">
        <v>46235.68722998843</v>
      </c>
      <c r="B5609" s="14">
        <v>46235.0</v>
      </c>
      <c r="C5609" s="9" t="s">
        <v>53</v>
      </c>
      <c r="D5609" s="9" t="s">
        <v>174</v>
      </c>
      <c r="E5609" s="9" t="s">
        <v>17</v>
      </c>
      <c r="F5609" s="9" t="s">
        <v>17</v>
      </c>
      <c r="G5609" s="9">
        <v>7.0</v>
      </c>
      <c r="H5609" s="9" t="s">
        <v>25</v>
      </c>
      <c r="I5609" s="9" t="s">
        <v>218</v>
      </c>
      <c r="J5609" s="16">
        <v>1.0</v>
      </c>
      <c r="K5609" s="14">
        <v>3.0</v>
      </c>
      <c r="N5609" s="14" t="str">
        <f>IFERROR(__xludf.DUMMYFUNCTION("""COMPUTED_VALUE"""),"")</f>
        <v/>
      </c>
      <c r="O5609" s="14"/>
    </row>
    <row r="5610" ht="22.5" hidden="1" customHeight="1">
      <c r="A5610" s="8">
        <v>46235.687505231486</v>
      </c>
      <c r="B5610" s="14">
        <v>46235.0</v>
      </c>
      <c r="C5610" s="9" t="s">
        <v>53</v>
      </c>
      <c r="D5610" s="9" t="s">
        <v>210</v>
      </c>
      <c r="E5610" s="9" t="s">
        <v>30</v>
      </c>
      <c r="F5610" s="9" t="s">
        <v>18</v>
      </c>
      <c r="G5610" s="9" t="s">
        <v>409</v>
      </c>
      <c r="H5610" s="9" t="s">
        <v>22</v>
      </c>
      <c r="I5610" s="9" t="s">
        <v>20</v>
      </c>
      <c r="J5610" s="16">
        <v>0.8</v>
      </c>
      <c r="K5610" s="14">
        <v>4.0</v>
      </c>
      <c r="N5610" s="14" t="str">
        <f>IFERROR(__xludf.DUMMYFUNCTION("""COMPUTED_VALUE"""),"")</f>
        <v/>
      </c>
      <c r="O5610" s="14"/>
    </row>
    <row r="5611" ht="22.5" hidden="1" customHeight="1">
      <c r="A5611" s="8">
        <v>46235.68779964121</v>
      </c>
      <c r="B5611" s="14">
        <v>46235.0</v>
      </c>
      <c r="C5611" s="9" t="s">
        <v>53</v>
      </c>
      <c r="D5611" s="9" t="s">
        <v>249</v>
      </c>
      <c r="E5611" s="9" t="s">
        <v>17</v>
      </c>
      <c r="F5611" s="9" t="s">
        <v>17</v>
      </c>
      <c r="G5611" s="9">
        <v>8.0</v>
      </c>
      <c r="H5611" s="9" t="s">
        <v>22</v>
      </c>
      <c r="I5611" s="9" t="s">
        <v>20</v>
      </c>
      <c r="J5611" s="16">
        <v>1.0</v>
      </c>
      <c r="K5611" s="14">
        <v>4.0</v>
      </c>
      <c r="N5611" s="14" t="str">
        <f>IFERROR(__xludf.DUMMYFUNCTION("""COMPUTED_VALUE"""),"")</f>
        <v/>
      </c>
      <c r="O5611" s="14"/>
    </row>
    <row r="5612" ht="22.5" hidden="1" customHeight="1">
      <c r="A5612" s="8">
        <v>46235.68889677084</v>
      </c>
      <c r="B5612" s="14">
        <v>46235.0</v>
      </c>
      <c r="C5612" s="9" t="s">
        <v>53</v>
      </c>
      <c r="D5612" s="9" t="s">
        <v>395</v>
      </c>
      <c r="E5612" s="9" t="s">
        <v>17</v>
      </c>
      <c r="F5612" s="9" t="s">
        <v>17</v>
      </c>
      <c r="G5612" s="9">
        <v>8.0</v>
      </c>
      <c r="H5612" s="9" t="s">
        <v>25</v>
      </c>
      <c r="I5612" s="9" t="s">
        <v>211</v>
      </c>
      <c r="J5612" s="16">
        <v>0.8</v>
      </c>
      <c r="K5612" s="14">
        <v>5.0</v>
      </c>
      <c r="N5612" s="14" t="str">
        <f>IFERROR(__xludf.DUMMYFUNCTION("""COMPUTED_VALUE"""),"")</f>
        <v/>
      </c>
      <c r="O5612" s="14"/>
    </row>
    <row r="5613" ht="22.5" hidden="1" customHeight="1">
      <c r="A5613" s="8">
        <v>46235.68938177083</v>
      </c>
      <c r="B5613" s="14">
        <v>46235.0</v>
      </c>
      <c r="C5613" s="9" t="s">
        <v>53</v>
      </c>
      <c r="D5613" s="9" t="s">
        <v>357</v>
      </c>
      <c r="E5613" s="9" t="s">
        <v>17</v>
      </c>
      <c r="F5613" s="9" t="s">
        <v>17</v>
      </c>
      <c r="G5613" s="9" t="s">
        <v>409</v>
      </c>
      <c r="H5613" s="9" t="s">
        <v>25</v>
      </c>
      <c r="I5613" s="9" t="s">
        <v>211</v>
      </c>
      <c r="J5613" s="16">
        <v>0.8</v>
      </c>
      <c r="K5613" s="14">
        <v>3.0</v>
      </c>
      <c r="N5613" s="14" t="str">
        <f>IFERROR(__xludf.DUMMYFUNCTION("""COMPUTED_VALUE"""),"")</f>
        <v/>
      </c>
      <c r="O5613" s="14"/>
    </row>
    <row r="5614" ht="22.5" hidden="1" customHeight="1">
      <c r="A5614" s="8">
        <v>46235.68978511574</v>
      </c>
      <c r="B5614" s="14">
        <v>46235.0</v>
      </c>
      <c r="C5614" s="9" t="s">
        <v>53</v>
      </c>
      <c r="D5614" s="9" t="s">
        <v>369</v>
      </c>
      <c r="E5614" s="9" t="s">
        <v>46</v>
      </c>
      <c r="F5614" s="9" t="s">
        <v>17</v>
      </c>
      <c r="G5614" s="9">
        <v>8.0</v>
      </c>
      <c r="H5614" s="9" t="s">
        <v>25</v>
      </c>
      <c r="I5614" s="9" t="s">
        <v>137</v>
      </c>
      <c r="J5614" s="16">
        <v>0.8</v>
      </c>
      <c r="K5614" s="14">
        <v>4.0</v>
      </c>
      <c r="N5614" s="14" t="str">
        <f>IFERROR(__xludf.DUMMYFUNCTION("""COMPUTED_VALUE"""),"")</f>
        <v/>
      </c>
      <c r="O5614" s="14"/>
    </row>
    <row r="5615" ht="22.5" hidden="1" customHeight="1">
      <c r="A5615" s="8">
        <v>46235.69009891203</v>
      </c>
      <c r="B5615" s="14">
        <v>46235.0</v>
      </c>
      <c r="C5615" s="9" t="s">
        <v>53</v>
      </c>
      <c r="D5615" s="9" t="s">
        <v>413</v>
      </c>
      <c r="E5615" s="9" t="s">
        <v>17</v>
      </c>
      <c r="F5615" s="9" t="s">
        <v>17</v>
      </c>
      <c r="G5615" s="9">
        <v>8.0</v>
      </c>
      <c r="H5615" s="9" t="s">
        <v>22</v>
      </c>
      <c r="I5615" s="9" t="s">
        <v>20</v>
      </c>
      <c r="J5615" s="16">
        <v>0.8</v>
      </c>
      <c r="K5615" s="14" t="s">
        <v>398</v>
      </c>
      <c r="N5615" s="14" t="str">
        <f>IFERROR(__xludf.DUMMYFUNCTION("""COMPUTED_VALUE"""),"")</f>
        <v/>
      </c>
      <c r="O5615" s="14"/>
    </row>
    <row r="5616" ht="22.5" hidden="1" customHeight="1">
      <c r="A5616" s="8">
        <v>46235.69178770833</v>
      </c>
      <c r="B5616" s="14">
        <v>46235.0</v>
      </c>
      <c r="C5616" s="9" t="s">
        <v>53</v>
      </c>
      <c r="D5616" s="9" t="s">
        <v>247</v>
      </c>
      <c r="E5616" s="9" t="s">
        <v>61</v>
      </c>
      <c r="F5616" s="9" t="s">
        <v>17</v>
      </c>
      <c r="G5616" s="9">
        <v>8.0</v>
      </c>
      <c r="H5616" s="9" t="s">
        <v>25</v>
      </c>
      <c r="I5616" s="9" t="s">
        <v>218</v>
      </c>
      <c r="J5616" s="16">
        <v>0.8</v>
      </c>
      <c r="K5616" s="14">
        <v>5.0</v>
      </c>
      <c r="N5616" s="14" t="str">
        <f>IFERROR(__xludf.DUMMYFUNCTION("""COMPUTED_VALUE"""),"")</f>
        <v/>
      </c>
      <c r="O5616" s="14"/>
    </row>
    <row r="5617" ht="22.5" hidden="1" customHeight="1">
      <c r="A5617" s="8">
        <v>46235.69210554398</v>
      </c>
      <c r="B5617" s="14">
        <v>46235.0</v>
      </c>
      <c r="C5617" s="9" t="s">
        <v>53</v>
      </c>
      <c r="D5617" s="9" t="s">
        <v>441</v>
      </c>
      <c r="E5617" s="9" t="s">
        <v>44</v>
      </c>
      <c r="F5617" s="9" t="s">
        <v>35</v>
      </c>
      <c r="G5617" s="9" t="s">
        <v>409</v>
      </c>
      <c r="H5617" s="9" t="s">
        <v>22</v>
      </c>
      <c r="I5617" s="9" t="s">
        <v>20</v>
      </c>
      <c r="J5617" s="16">
        <v>0.8</v>
      </c>
      <c r="K5617" s="14">
        <v>4.0</v>
      </c>
      <c r="N5617" s="14" t="str">
        <f>IFERROR(__xludf.DUMMYFUNCTION("""COMPUTED_VALUE"""),"")</f>
        <v/>
      </c>
      <c r="O5617" s="14"/>
    </row>
    <row r="5618" ht="22.5" hidden="1" customHeight="1">
      <c r="A5618" s="8">
        <v>46235.69480866898</v>
      </c>
      <c r="B5618" s="14">
        <v>46235.0</v>
      </c>
      <c r="C5618" s="9" t="s">
        <v>53</v>
      </c>
      <c r="D5618" s="9" t="s">
        <v>460</v>
      </c>
      <c r="E5618" s="9" t="s">
        <v>30</v>
      </c>
      <c r="F5618" s="9" t="s">
        <v>18</v>
      </c>
      <c r="G5618" s="9" t="s">
        <v>409</v>
      </c>
      <c r="H5618" s="9" t="s">
        <v>17</v>
      </c>
      <c r="I5618" s="9" t="s">
        <v>20</v>
      </c>
      <c r="J5618" s="16">
        <v>1.0</v>
      </c>
      <c r="K5618" s="14" t="s">
        <v>398</v>
      </c>
      <c r="N5618" s="14" t="str">
        <f>IFERROR(__xludf.DUMMYFUNCTION("""COMPUTED_VALUE"""),"")</f>
        <v/>
      </c>
      <c r="O5618" s="14"/>
    </row>
    <row r="5619" ht="22.5" hidden="1" customHeight="1">
      <c r="A5619" s="8">
        <v>46235.69782888889</v>
      </c>
      <c r="B5619" s="14">
        <v>46235.0</v>
      </c>
      <c r="C5619" s="9" t="s">
        <v>53</v>
      </c>
      <c r="D5619" s="9" t="s">
        <v>414</v>
      </c>
      <c r="E5619" s="9" t="s">
        <v>17</v>
      </c>
      <c r="F5619" s="9" t="s">
        <v>17</v>
      </c>
      <c r="G5619" s="9">
        <v>8.0</v>
      </c>
      <c r="H5619" s="9" t="s">
        <v>22</v>
      </c>
      <c r="I5619" s="9" t="s">
        <v>20</v>
      </c>
      <c r="J5619" s="16">
        <v>0.8</v>
      </c>
      <c r="K5619" s="14">
        <v>3.0</v>
      </c>
      <c r="N5619" s="14" t="str">
        <f>IFERROR(__xludf.DUMMYFUNCTION("""COMPUTED_VALUE"""),"")</f>
        <v/>
      </c>
      <c r="O5619" s="14"/>
    </row>
    <row r="5620" ht="22.5" hidden="1" customHeight="1">
      <c r="A5620" s="8">
        <v>46235.70149056713</v>
      </c>
      <c r="B5620" s="14">
        <v>46235.0</v>
      </c>
      <c r="C5620" s="9" t="s">
        <v>53</v>
      </c>
      <c r="D5620" s="9" t="s">
        <v>335</v>
      </c>
      <c r="E5620" s="9" t="s">
        <v>17</v>
      </c>
      <c r="F5620" s="9" t="s">
        <v>17</v>
      </c>
      <c r="G5620" s="9">
        <v>8.0</v>
      </c>
      <c r="H5620" s="9" t="s">
        <v>25</v>
      </c>
      <c r="I5620" s="9" t="s">
        <v>211</v>
      </c>
      <c r="J5620" s="16">
        <v>1.0</v>
      </c>
      <c r="K5620" s="14">
        <v>3.0</v>
      </c>
      <c r="N5620" s="14" t="str">
        <f>IFERROR(__xludf.DUMMYFUNCTION("""COMPUTED_VALUE"""),"")</f>
        <v/>
      </c>
      <c r="O5620" s="14"/>
    </row>
    <row r="5621" ht="22.5" hidden="1" customHeight="1">
      <c r="A5621" s="8">
        <v>46235.70209517361</v>
      </c>
      <c r="B5621" s="14">
        <v>46235.0</v>
      </c>
      <c r="C5621" s="9" t="s">
        <v>53</v>
      </c>
      <c r="D5621" s="9" t="s">
        <v>463</v>
      </c>
      <c r="E5621" s="9" t="s">
        <v>30</v>
      </c>
      <c r="F5621" s="9" t="s">
        <v>43</v>
      </c>
      <c r="G5621" s="9" t="s">
        <v>409</v>
      </c>
      <c r="H5621" s="9" t="s">
        <v>17</v>
      </c>
      <c r="I5621" s="9" t="s">
        <v>20</v>
      </c>
      <c r="J5621" s="16">
        <v>1.0</v>
      </c>
      <c r="K5621" s="14" t="s">
        <v>398</v>
      </c>
      <c r="N5621" s="14" t="str">
        <f>IFERROR(__xludf.DUMMYFUNCTION("""COMPUTED_VALUE"""),"")</f>
        <v/>
      </c>
      <c r="O5621" s="14"/>
    </row>
    <row r="5622" ht="22.5" hidden="1" customHeight="1">
      <c r="A5622" s="8">
        <v>46235.702758831016</v>
      </c>
      <c r="B5622" s="14">
        <v>46235.0</v>
      </c>
      <c r="C5622" s="9" t="s">
        <v>53</v>
      </c>
      <c r="D5622" s="9" t="s">
        <v>461</v>
      </c>
      <c r="E5622" s="9" t="s">
        <v>30</v>
      </c>
      <c r="F5622" s="9" t="s">
        <v>18</v>
      </c>
      <c r="G5622" s="9">
        <v>7.0</v>
      </c>
      <c r="H5622" s="9" t="s">
        <v>17</v>
      </c>
      <c r="I5622" s="9" t="s">
        <v>20</v>
      </c>
      <c r="J5622" s="16">
        <v>1.0</v>
      </c>
      <c r="K5622" s="14" t="s">
        <v>398</v>
      </c>
      <c r="N5622" s="14" t="str">
        <f>IFERROR(__xludf.DUMMYFUNCTION("""COMPUTED_VALUE"""),"")</f>
        <v/>
      </c>
      <c r="O5622" s="14"/>
    </row>
    <row r="5623" ht="22.5" hidden="1" customHeight="1">
      <c r="A5623" s="8">
        <v>46235.703490127315</v>
      </c>
      <c r="B5623" s="14">
        <v>46235.0</v>
      </c>
      <c r="C5623" s="9" t="s">
        <v>53</v>
      </c>
      <c r="D5623" s="9" t="s">
        <v>465</v>
      </c>
      <c r="E5623" s="9" t="s">
        <v>30</v>
      </c>
      <c r="F5623" s="9" t="s">
        <v>18</v>
      </c>
      <c r="G5623" s="9">
        <v>6.0</v>
      </c>
      <c r="H5623" s="9" t="s">
        <v>17</v>
      </c>
      <c r="I5623" s="9" t="s">
        <v>20</v>
      </c>
      <c r="J5623" s="16">
        <v>1.0</v>
      </c>
      <c r="K5623" s="14" t="s">
        <v>398</v>
      </c>
      <c r="N5623" s="14" t="str">
        <f>IFERROR(__xludf.DUMMYFUNCTION("""COMPUTED_VALUE"""),"")</f>
        <v/>
      </c>
      <c r="O5623" s="14"/>
    </row>
    <row r="5624" ht="22.5" hidden="1" customHeight="1">
      <c r="A5624" s="8">
        <v>46236.37723761574</v>
      </c>
      <c r="B5624" s="14">
        <v>46236.0</v>
      </c>
      <c r="C5624" s="9" t="s">
        <v>58</v>
      </c>
      <c r="D5624" s="9" t="s">
        <v>463</v>
      </c>
      <c r="E5624" s="9" t="s">
        <v>57</v>
      </c>
      <c r="F5624" s="9" t="s">
        <v>18</v>
      </c>
      <c r="G5624" s="9" t="s">
        <v>409</v>
      </c>
      <c r="H5624" s="9" t="s">
        <v>22</v>
      </c>
      <c r="I5624" s="9" t="s">
        <v>20</v>
      </c>
      <c r="J5624" s="16">
        <v>0.8</v>
      </c>
      <c r="K5624" s="14" t="s">
        <v>398</v>
      </c>
      <c r="N5624" s="14" t="str">
        <f>IFERROR(__xludf.DUMMYFUNCTION("""COMPUTED_VALUE"""),"")</f>
        <v/>
      </c>
      <c r="O5624" s="14"/>
    </row>
    <row r="5625" ht="22.5" hidden="1" customHeight="1">
      <c r="A5625" s="8">
        <v>46236.37780989583</v>
      </c>
      <c r="B5625" s="14">
        <v>46236.0</v>
      </c>
      <c r="C5625" s="9" t="s">
        <v>58</v>
      </c>
      <c r="D5625" s="9" t="s">
        <v>171</v>
      </c>
      <c r="E5625" s="9" t="s">
        <v>30</v>
      </c>
      <c r="F5625" s="9" t="s">
        <v>18</v>
      </c>
      <c r="G5625" s="9">
        <v>8.0</v>
      </c>
      <c r="H5625" s="9" t="s">
        <v>22</v>
      </c>
      <c r="I5625" s="9" t="s">
        <v>20</v>
      </c>
      <c r="J5625" s="16">
        <v>0.8</v>
      </c>
      <c r="K5625" s="14" t="s">
        <v>398</v>
      </c>
      <c r="N5625" s="14" t="str">
        <f>IFERROR(__xludf.DUMMYFUNCTION("""COMPUTED_VALUE"""),"")</f>
        <v/>
      </c>
      <c r="O5625" s="14"/>
    </row>
    <row r="5626" ht="22.5" hidden="1" customHeight="1">
      <c r="A5626" s="8">
        <v>46236.396204861114</v>
      </c>
      <c r="B5626" s="14">
        <v>46236.0</v>
      </c>
      <c r="C5626" s="9" t="s">
        <v>58</v>
      </c>
      <c r="D5626" s="9" t="s">
        <v>441</v>
      </c>
      <c r="E5626" s="9" t="s">
        <v>17</v>
      </c>
      <c r="F5626" s="9" t="s">
        <v>17</v>
      </c>
      <c r="G5626" s="9">
        <v>7.0</v>
      </c>
      <c r="H5626" s="9" t="s">
        <v>22</v>
      </c>
      <c r="I5626" s="9" t="s">
        <v>20</v>
      </c>
      <c r="J5626" s="16">
        <v>0.8</v>
      </c>
      <c r="K5626" s="14" t="s">
        <v>398</v>
      </c>
      <c r="N5626" s="14" t="str">
        <f>IFERROR(__xludf.DUMMYFUNCTION("""COMPUTED_VALUE"""),"")</f>
        <v/>
      </c>
      <c r="O5626" s="14"/>
    </row>
    <row r="5627" ht="22.5" hidden="1" customHeight="1">
      <c r="A5627" s="8">
        <v>46236.49699965278</v>
      </c>
      <c r="B5627" s="14">
        <v>46236.0</v>
      </c>
      <c r="C5627" s="9" t="s">
        <v>58</v>
      </c>
      <c r="D5627" s="9" t="s">
        <v>105</v>
      </c>
      <c r="E5627" s="9" t="s">
        <v>57</v>
      </c>
      <c r="F5627" s="9" t="s">
        <v>43</v>
      </c>
      <c r="G5627" s="9" t="s">
        <v>409</v>
      </c>
      <c r="H5627" s="9" t="s">
        <v>22</v>
      </c>
      <c r="I5627" s="9" t="s">
        <v>20</v>
      </c>
      <c r="J5627" s="16">
        <v>1.0</v>
      </c>
      <c r="K5627" s="14" t="s">
        <v>398</v>
      </c>
      <c r="N5627" s="14" t="str">
        <f>IFERROR(__xludf.DUMMYFUNCTION("""COMPUTED_VALUE"""),"")</f>
        <v/>
      </c>
      <c r="O5627" s="14"/>
    </row>
    <row r="5628" ht="22.5" hidden="1" customHeight="1">
      <c r="A5628" s="8">
        <v>46236.49758759259</v>
      </c>
      <c r="B5628" s="14">
        <v>46236.0</v>
      </c>
      <c r="C5628" s="9" t="s">
        <v>58</v>
      </c>
      <c r="D5628" s="9" t="s">
        <v>457</v>
      </c>
      <c r="E5628" s="9" t="s">
        <v>30</v>
      </c>
      <c r="F5628" s="9" t="s">
        <v>18</v>
      </c>
      <c r="G5628" s="9" t="s">
        <v>409</v>
      </c>
      <c r="H5628" s="9" t="s">
        <v>22</v>
      </c>
      <c r="I5628" s="9" t="s">
        <v>20</v>
      </c>
      <c r="J5628" s="16">
        <v>1.0</v>
      </c>
      <c r="K5628" s="14" t="s">
        <v>398</v>
      </c>
      <c r="N5628" s="14" t="str">
        <f>IFERROR(__xludf.DUMMYFUNCTION("""COMPUTED_VALUE"""),"")</f>
        <v/>
      </c>
      <c r="O5628" s="14"/>
    </row>
    <row r="5629" ht="22.5" hidden="1" customHeight="1">
      <c r="A5629" s="8">
        <v>46236.49817331019</v>
      </c>
      <c r="B5629" s="14">
        <v>46236.0</v>
      </c>
      <c r="C5629" s="9" t="s">
        <v>58</v>
      </c>
      <c r="D5629" s="9" t="s">
        <v>396</v>
      </c>
      <c r="E5629" s="9" t="s">
        <v>30</v>
      </c>
      <c r="F5629" s="9" t="s">
        <v>18</v>
      </c>
      <c r="G5629" s="9" t="s">
        <v>409</v>
      </c>
      <c r="H5629" s="9" t="s">
        <v>25</v>
      </c>
      <c r="I5629" s="9" t="s">
        <v>207</v>
      </c>
      <c r="J5629" s="16">
        <v>0.8</v>
      </c>
      <c r="K5629" s="14" t="s">
        <v>398</v>
      </c>
      <c r="N5629" s="14" t="str">
        <f>IFERROR(__xludf.DUMMYFUNCTION("""COMPUTED_VALUE"""),"")</f>
        <v/>
      </c>
      <c r="O5629" s="14"/>
    </row>
    <row r="5630" ht="22.5" hidden="1" customHeight="1">
      <c r="A5630" s="8">
        <v>46236.49883848379</v>
      </c>
      <c r="B5630" s="14">
        <v>46236.0</v>
      </c>
      <c r="C5630" s="9" t="s">
        <v>58</v>
      </c>
      <c r="D5630" s="9" t="s">
        <v>414</v>
      </c>
      <c r="E5630" s="9" t="s">
        <v>30</v>
      </c>
      <c r="F5630" s="9" t="s">
        <v>17</v>
      </c>
      <c r="G5630" s="9">
        <v>8.0</v>
      </c>
      <c r="H5630" s="9" t="s">
        <v>22</v>
      </c>
      <c r="I5630" s="9" t="s">
        <v>20</v>
      </c>
      <c r="J5630" s="16">
        <v>0.8</v>
      </c>
      <c r="K5630" s="14" t="s">
        <v>398</v>
      </c>
      <c r="N5630" s="14" t="str">
        <f>IFERROR(__xludf.DUMMYFUNCTION("""COMPUTED_VALUE"""),"")</f>
        <v/>
      </c>
      <c r="O5630" s="14"/>
    </row>
    <row r="5631" ht="22.5" hidden="1" customHeight="1">
      <c r="A5631" s="8">
        <v>46236.499336319444</v>
      </c>
      <c r="B5631" s="14">
        <v>46236.0</v>
      </c>
      <c r="C5631" s="9" t="s">
        <v>58</v>
      </c>
      <c r="D5631" s="9" t="s">
        <v>174</v>
      </c>
      <c r="E5631" s="9" t="s">
        <v>30</v>
      </c>
      <c r="F5631" s="9" t="s">
        <v>18</v>
      </c>
      <c r="G5631" s="9" t="s">
        <v>409</v>
      </c>
      <c r="H5631" s="9" t="s">
        <v>22</v>
      </c>
      <c r="I5631" s="9" t="s">
        <v>20</v>
      </c>
      <c r="J5631" s="16">
        <v>0.8</v>
      </c>
      <c r="K5631" s="14" t="s">
        <v>398</v>
      </c>
      <c r="N5631" s="14" t="str">
        <f>IFERROR(__xludf.DUMMYFUNCTION("""COMPUTED_VALUE"""),"")</f>
        <v/>
      </c>
      <c r="O5631" s="14"/>
    </row>
    <row r="5632" ht="22.5" hidden="1" customHeight="1">
      <c r="A5632" s="8">
        <v>46236.49964768518</v>
      </c>
      <c r="B5632" s="14">
        <v>46236.0</v>
      </c>
      <c r="C5632" s="9" t="s">
        <v>58</v>
      </c>
      <c r="D5632" s="9" t="s">
        <v>249</v>
      </c>
      <c r="E5632" s="9" t="s">
        <v>30</v>
      </c>
      <c r="F5632" s="9" t="s">
        <v>43</v>
      </c>
      <c r="G5632" s="9">
        <v>8.0</v>
      </c>
      <c r="H5632" s="9" t="s">
        <v>22</v>
      </c>
      <c r="I5632" s="9" t="s">
        <v>20</v>
      </c>
      <c r="J5632" s="16">
        <v>1.0</v>
      </c>
      <c r="K5632" s="14" t="s">
        <v>398</v>
      </c>
      <c r="N5632" s="14" t="str">
        <f>IFERROR(__xludf.DUMMYFUNCTION("""COMPUTED_VALUE"""),"")</f>
        <v/>
      </c>
      <c r="O5632" s="14"/>
    </row>
    <row r="5633" ht="22.5" hidden="1" customHeight="1">
      <c r="A5633" s="8">
        <v>46236.50007462963</v>
      </c>
      <c r="B5633" s="14">
        <v>46236.0</v>
      </c>
      <c r="C5633" s="9" t="s">
        <v>58</v>
      </c>
      <c r="D5633" s="9" t="s">
        <v>395</v>
      </c>
      <c r="E5633" s="9" t="s">
        <v>17</v>
      </c>
      <c r="F5633" s="9" t="s">
        <v>18</v>
      </c>
      <c r="G5633" s="9" t="s">
        <v>409</v>
      </c>
      <c r="H5633" s="9" t="s">
        <v>22</v>
      </c>
      <c r="I5633" s="9" t="s">
        <v>20</v>
      </c>
      <c r="J5633" s="16">
        <v>0.8</v>
      </c>
      <c r="K5633" s="14" t="s">
        <v>398</v>
      </c>
      <c r="N5633" s="14" t="str">
        <f>IFERROR(__xludf.DUMMYFUNCTION("""COMPUTED_VALUE"""),"")</f>
        <v/>
      </c>
      <c r="O5633" s="14"/>
    </row>
    <row r="5634" ht="22.5" hidden="1" customHeight="1">
      <c r="A5634" s="8">
        <v>46236.500991678244</v>
      </c>
      <c r="B5634" s="14">
        <v>46236.0</v>
      </c>
      <c r="C5634" s="9" t="s">
        <v>58</v>
      </c>
      <c r="D5634" s="9" t="s">
        <v>357</v>
      </c>
      <c r="E5634" s="9" t="s">
        <v>30</v>
      </c>
      <c r="F5634" s="9" t="s">
        <v>18</v>
      </c>
      <c r="G5634" s="9" t="s">
        <v>409</v>
      </c>
      <c r="H5634" s="9" t="s">
        <v>25</v>
      </c>
      <c r="I5634" s="9" t="s">
        <v>211</v>
      </c>
      <c r="J5634" s="16">
        <v>0.8</v>
      </c>
      <c r="K5634" s="14" t="s">
        <v>398</v>
      </c>
      <c r="N5634" s="14" t="str">
        <f>IFERROR(__xludf.DUMMYFUNCTION("""COMPUTED_VALUE"""),"")</f>
        <v/>
      </c>
      <c r="O5634" s="14"/>
    </row>
    <row r="5635" ht="22.5" hidden="1" customHeight="1">
      <c r="A5635" s="8">
        <v>46236.501350810184</v>
      </c>
      <c r="B5635" s="14">
        <v>46236.0</v>
      </c>
      <c r="C5635" s="9" t="s">
        <v>58</v>
      </c>
      <c r="D5635" s="9" t="s">
        <v>177</v>
      </c>
      <c r="E5635" s="9" t="s">
        <v>17</v>
      </c>
      <c r="F5635" s="9" t="s">
        <v>18</v>
      </c>
      <c r="G5635" s="9">
        <v>8.0</v>
      </c>
      <c r="H5635" s="9" t="s">
        <v>22</v>
      </c>
      <c r="I5635" s="9" t="s">
        <v>20</v>
      </c>
      <c r="J5635" s="16">
        <v>0.8</v>
      </c>
      <c r="K5635" s="14" t="s">
        <v>398</v>
      </c>
      <c r="N5635" s="14" t="str">
        <f>IFERROR(__xludf.DUMMYFUNCTION("""COMPUTED_VALUE"""),"")</f>
        <v/>
      </c>
      <c r="O5635" s="14"/>
    </row>
    <row r="5636" ht="22.5" hidden="1" customHeight="1">
      <c r="A5636" s="8">
        <v>46236.50199275463</v>
      </c>
      <c r="B5636" s="14">
        <v>46236.0</v>
      </c>
      <c r="C5636" s="9" t="s">
        <v>58</v>
      </c>
      <c r="D5636" s="9" t="s">
        <v>259</v>
      </c>
      <c r="E5636" s="9" t="s">
        <v>30</v>
      </c>
      <c r="F5636" s="9" t="s">
        <v>43</v>
      </c>
      <c r="G5636" s="9" t="s">
        <v>409</v>
      </c>
      <c r="H5636" s="9" t="s">
        <v>22</v>
      </c>
      <c r="I5636" s="9" t="s">
        <v>20</v>
      </c>
      <c r="J5636" s="16">
        <v>0.8</v>
      </c>
      <c r="K5636" s="14" t="s">
        <v>398</v>
      </c>
      <c r="N5636" s="14" t="str">
        <f>IFERROR(__xludf.DUMMYFUNCTION("""COMPUTED_VALUE"""),"")</f>
        <v/>
      </c>
      <c r="O5636" s="14"/>
    </row>
    <row r="5637" ht="22.5" hidden="1" customHeight="1">
      <c r="A5637" s="8">
        <v>46236.50240182871</v>
      </c>
      <c r="B5637" s="14">
        <v>46236.0</v>
      </c>
      <c r="C5637" s="9" t="s">
        <v>58</v>
      </c>
      <c r="D5637" s="9" t="s">
        <v>460</v>
      </c>
      <c r="E5637" s="9" t="s">
        <v>17</v>
      </c>
      <c r="F5637" s="9" t="s">
        <v>18</v>
      </c>
      <c r="G5637" s="9">
        <v>8.0</v>
      </c>
      <c r="H5637" s="9" t="s">
        <v>22</v>
      </c>
      <c r="I5637" s="9" t="s">
        <v>20</v>
      </c>
      <c r="J5637" s="16">
        <v>0.8</v>
      </c>
      <c r="K5637" s="14" t="s">
        <v>398</v>
      </c>
      <c r="N5637" s="14" t="str">
        <f>IFERROR(__xludf.DUMMYFUNCTION("""COMPUTED_VALUE"""),"")</f>
        <v/>
      </c>
      <c r="O5637" s="14"/>
    </row>
    <row r="5638" ht="22.5" hidden="1" customHeight="1">
      <c r="A5638" s="8">
        <v>46236.50293559028</v>
      </c>
      <c r="B5638" s="14">
        <v>46236.0</v>
      </c>
      <c r="C5638" s="9" t="s">
        <v>58</v>
      </c>
      <c r="D5638" s="9" t="s">
        <v>247</v>
      </c>
      <c r="E5638" s="9" t="s">
        <v>17</v>
      </c>
      <c r="F5638" s="9" t="s">
        <v>18</v>
      </c>
      <c r="G5638" s="9" t="s">
        <v>409</v>
      </c>
      <c r="H5638" s="9" t="s">
        <v>25</v>
      </c>
      <c r="I5638" s="9" t="s">
        <v>137</v>
      </c>
      <c r="J5638" s="16">
        <v>0.8</v>
      </c>
      <c r="K5638" s="14" t="s">
        <v>398</v>
      </c>
      <c r="N5638" s="14" t="str">
        <f>IFERROR(__xludf.DUMMYFUNCTION("""COMPUTED_VALUE"""),"")</f>
        <v/>
      </c>
      <c r="O5638" s="14"/>
    </row>
    <row r="5639" ht="22.5" hidden="1" customHeight="1">
      <c r="A5639" s="8">
        <v>46236.503390405094</v>
      </c>
      <c r="B5639" s="14">
        <v>46236.0</v>
      </c>
      <c r="C5639" s="9" t="s">
        <v>58</v>
      </c>
      <c r="D5639" s="9" t="s">
        <v>178</v>
      </c>
      <c r="E5639" s="9" t="s">
        <v>30</v>
      </c>
      <c r="F5639" s="9" t="s">
        <v>18</v>
      </c>
      <c r="G5639" s="9" t="s">
        <v>409</v>
      </c>
      <c r="H5639" s="9" t="s">
        <v>22</v>
      </c>
      <c r="I5639" s="9" t="s">
        <v>20</v>
      </c>
      <c r="J5639" s="16">
        <v>0.8</v>
      </c>
      <c r="K5639" s="14" t="s">
        <v>398</v>
      </c>
      <c r="N5639" s="14" t="str">
        <f>IFERROR(__xludf.DUMMYFUNCTION("""COMPUTED_VALUE"""),"")</f>
        <v/>
      </c>
      <c r="O5639" s="14"/>
    </row>
    <row r="5640" ht="22.5" hidden="1" customHeight="1">
      <c r="A5640" s="8">
        <v>46236.50381541667</v>
      </c>
      <c r="B5640" s="14">
        <v>46236.0</v>
      </c>
      <c r="C5640" s="9" t="s">
        <v>58</v>
      </c>
      <c r="D5640" s="9" t="s">
        <v>210</v>
      </c>
      <c r="E5640" s="9" t="s">
        <v>30</v>
      </c>
      <c r="F5640" s="9" t="s">
        <v>18</v>
      </c>
      <c r="G5640" s="9" t="s">
        <v>409</v>
      </c>
      <c r="H5640" s="9" t="s">
        <v>22</v>
      </c>
      <c r="I5640" s="9" t="s">
        <v>20</v>
      </c>
      <c r="J5640" s="16">
        <v>0.8</v>
      </c>
      <c r="K5640" s="14" t="s">
        <v>398</v>
      </c>
      <c r="N5640" s="14" t="str">
        <f>IFERROR(__xludf.DUMMYFUNCTION("""COMPUTED_VALUE"""),"")</f>
        <v/>
      </c>
      <c r="O5640" s="14"/>
    </row>
    <row r="5641" ht="22.5" hidden="1" customHeight="1">
      <c r="A5641" s="8">
        <v>46236.523502083335</v>
      </c>
      <c r="B5641" s="14">
        <v>46236.0</v>
      </c>
      <c r="C5641" s="9" t="s">
        <v>58</v>
      </c>
      <c r="D5641" s="9" t="s">
        <v>175</v>
      </c>
      <c r="E5641" s="9" t="s">
        <v>17</v>
      </c>
      <c r="F5641" s="9" t="s">
        <v>35</v>
      </c>
      <c r="G5641" s="9" t="s">
        <v>409</v>
      </c>
      <c r="H5641" s="9" t="s">
        <v>25</v>
      </c>
      <c r="I5641" s="9" t="s">
        <v>207</v>
      </c>
      <c r="J5641" s="16">
        <v>0.8</v>
      </c>
      <c r="K5641" s="14" t="s">
        <v>398</v>
      </c>
      <c r="N5641" s="14" t="str">
        <f>IFERROR(__xludf.DUMMYFUNCTION("""COMPUTED_VALUE"""),"")</f>
        <v/>
      </c>
      <c r="O5641" s="14"/>
    </row>
    <row r="5642" ht="22.5" hidden="1" customHeight="1">
      <c r="A5642" s="8">
        <v>46236.52391491898</v>
      </c>
      <c r="B5642" s="14">
        <v>46236.0</v>
      </c>
      <c r="C5642" s="9" t="s">
        <v>58</v>
      </c>
      <c r="D5642" s="9" t="s">
        <v>369</v>
      </c>
      <c r="E5642" s="9" t="s">
        <v>17</v>
      </c>
      <c r="F5642" s="9" t="s">
        <v>18</v>
      </c>
      <c r="G5642" s="9">
        <v>8.0</v>
      </c>
      <c r="H5642" s="9" t="s">
        <v>22</v>
      </c>
      <c r="I5642" s="9" t="s">
        <v>20</v>
      </c>
      <c r="J5642" s="16">
        <v>0.8</v>
      </c>
      <c r="K5642" s="14" t="s">
        <v>398</v>
      </c>
      <c r="N5642" s="14" t="str">
        <f>IFERROR(__xludf.DUMMYFUNCTION("""COMPUTED_VALUE"""),"")</f>
        <v/>
      </c>
      <c r="O5642" s="14"/>
    </row>
    <row r="5643" ht="22.5" hidden="1" customHeight="1">
      <c r="A5643" s="8">
        <v>46236.52443806713</v>
      </c>
      <c r="B5643" s="14">
        <v>46236.0</v>
      </c>
      <c r="C5643" s="9" t="s">
        <v>58</v>
      </c>
      <c r="D5643" s="9" t="s">
        <v>335</v>
      </c>
      <c r="E5643" s="9" t="s">
        <v>30</v>
      </c>
      <c r="F5643" s="9" t="s">
        <v>18</v>
      </c>
      <c r="G5643" s="9" t="s">
        <v>409</v>
      </c>
      <c r="H5643" s="9" t="s">
        <v>22</v>
      </c>
      <c r="I5643" s="9" t="s">
        <v>20</v>
      </c>
      <c r="J5643" s="16">
        <v>0.8</v>
      </c>
      <c r="K5643" s="14" t="s">
        <v>398</v>
      </c>
      <c r="N5643" s="14" t="str">
        <f>IFERROR(__xludf.DUMMYFUNCTION("""COMPUTED_VALUE"""),"")</f>
        <v/>
      </c>
      <c r="O5643" s="14"/>
    </row>
    <row r="5644" ht="22.5" hidden="1" customHeight="1">
      <c r="A5644" s="8">
        <v>46237.33537568287</v>
      </c>
      <c r="B5644" s="14">
        <v>46237.0</v>
      </c>
      <c r="C5644" s="9" t="s">
        <v>86</v>
      </c>
      <c r="D5644" s="9" t="s">
        <v>393</v>
      </c>
      <c r="E5644" s="9" t="s">
        <v>44</v>
      </c>
      <c r="F5644" s="9" t="s">
        <v>17</v>
      </c>
      <c r="G5644" s="9">
        <v>7.0</v>
      </c>
      <c r="H5644" s="9" t="s">
        <v>25</v>
      </c>
      <c r="I5644" s="9" t="s">
        <v>240</v>
      </c>
      <c r="J5644" s="16">
        <v>1.0</v>
      </c>
      <c r="K5644" s="14" t="s">
        <v>398</v>
      </c>
      <c r="N5644" s="14" t="str">
        <f>IFERROR(__xludf.DUMMYFUNCTION("""COMPUTED_VALUE"""),"")</f>
        <v/>
      </c>
      <c r="O5644" s="14"/>
    </row>
    <row r="5645" ht="22.5" hidden="1" customHeight="1">
      <c r="A5645" s="8">
        <v>46237.351317395834</v>
      </c>
      <c r="B5645" s="14">
        <v>46237.0</v>
      </c>
      <c r="C5645" s="9" t="s">
        <v>86</v>
      </c>
      <c r="D5645" s="9" t="s">
        <v>171</v>
      </c>
      <c r="E5645" s="9" t="s">
        <v>140</v>
      </c>
      <c r="F5645" s="9" t="s">
        <v>17</v>
      </c>
      <c r="G5645" s="9">
        <v>7.0</v>
      </c>
      <c r="H5645" s="9" t="s">
        <v>25</v>
      </c>
      <c r="I5645" s="9" t="s">
        <v>173</v>
      </c>
      <c r="J5645" s="16">
        <v>0.2</v>
      </c>
      <c r="K5645" s="14" t="s">
        <v>398</v>
      </c>
      <c r="N5645" s="14" t="str">
        <f>IFERROR(__xludf.DUMMYFUNCTION("""COMPUTED_VALUE"""),"")</f>
        <v/>
      </c>
      <c r="O5645" s="14"/>
    </row>
    <row r="5646" ht="22.5" hidden="1" customHeight="1">
      <c r="A5646" s="8">
        <v>46237.351630150464</v>
      </c>
      <c r="B5646" s="14">
        <v>46237.0</v>
      </c>
      <c r="C5646" s="9" t="s">
        <v>86</v>
      </c>
      <c r="D5646" s="9" t="s">
        <v>177</v>
      </c>
      <c r="E5646" s="9" t="s">
        <v>140</v>
      </c>
      <c r="F5646" s="9" t="s">
        <v>60</v>
      </c>
      <c r="G5646" s="9" t="s">
        <v>410</v>
      </c>
      <c r="H5646" s="9" t="s">
        <v>25</v>
      </c>
      <c r="I5646" s="9" t="s">
        <v>41</v>
      </c>
      <c r="J5646" s="16">
        <v>0.6</v>
      </c>
      <c r="K5646" s="14" t="s">
        <v>398</v>
      </c>
      <c r="N5646" s="14" t="str">
        <f>IFERROR(__xludf.DUMMYFUNCTION("""COMPUTED_VALUE"""),"")</f>
        <v/>
      </c>
      <c r="O5646" s="14"/>
    </row>
    <row r="5647" ht="22.5" hidden="1" customHeight="1">
      <c r="A5647" s="8">
        <v>46237.35243021991</v>
      </c>
      <c r="B5647" s="14">
        <v>46237.0</v>
      </c>
      <c r="C5647" s="9" t="s">
        <v>86</v>
      </c>
      <c r="D5647" s="9" t="s">
        <v>459</v>
      </c>
      <c r="E5647" s="9" t="s">
        <v>17</v>
      </c>
      <c r="F5647" s="9" t="s">
        <v>39</v>
      </c>
      <c r="G5647" s="9">
        <v>8.0</v>
      </c>
      <c r="H5647" s="9" t="s">
        <v>22</v>
      </c>
      <c r="I5647" s="9" t="s">
        <v>20</v>
      </c>
      <c r="J5647" s="16">
        <v>0.6</v>
      </c>
      <c r="K5647" s="14" t="s">
        <v>398</v>
      </c>
      <c r="N5647" s="14" t="str">
        <f>IFERROR(__xludf.DUMMYFUNCTION("""COMPUTED_VALUE"""),"")</f>
        <v/>
      </c>
      <c r="O5647" s="14"/>
    </row>
    <row r="5648" ht="22.5" hidden="1" customHeight="1">
      <c r="A5648" s="8">
        <v>46237.353241018514</v>
      </c>
      <c r="B5648" s="14">
        <v>46237.0</v>
      </c>
      <c r="C5648" s="9" t="s">
        <v>86</v>
      </c>
      <c r="D5648" s="9" t="s">
        <v>463</v>
      </c>
      <c r="E5648" s="9" t="s">
        <v>17</v>
      </c>
      <c r="F5648" s="9" t="s">
        <v>17</v>
      </c>
      <c r="G5648" s="9">
        <v>6.0</v>
      </c>
      <c r="H5648" s="9" t="s">
        <v>17</v>
      </c>
      <c r="I5648" s="9" t="s">
        <v>20</v>
      </c>
      <c r="J5648" s="16">
        <v>0.8</v>
      </c>
      <c r="K5648" s="14" t="s">
        <v>398</v>
      </c>
      <c r="N5648" s="14" t="str">
        <f>IFERROR(__xludf.DUMMYFUNCTION("""COMPUTED_VALUE"""),"")</f>
        <v/>
      </c>
      <c r="O5648" s="14"/>
    </row>
    <row r="5649" ht="22.5" hidden="1" customHeight="1">
      <c r="A5649" s="8">
        <v>46237.36575125</v>
      </c>
      <c r="B5649" s="14">
        <v>46237.0</v>
      </c>
      <c r="C5649" s="9" t="s">
        <v>86</v>
      </c>
      <c r="D5649" s="9" t="s">
        <v>396</v>
      </c>
      <c r="E5649" s="9" t="s">
        <v>140</v>
      </c>
      <c r="F5649" s="9" t="s">
        <v>17</v>
      </c>
      <c r="G5649" s="9">
        <v>7.0</v>
      </c>
      <c r="H5649" s="9" t="s">
        <v>25</v>
      </c>
      <c r="I5649" s="9" t="s">
        <v>128</v>
      </c>
      <c r="J5649" s="16">
        <v>0.4</v>
      </c>
      <c r="K5649" s="14" t="s">
        <v>398</v>
      </c>
      <c r="N5649" s="14" t="str">
        <f>IFERROR(__xludf.DUMMYFUNCTION("""COMPUTED_VALUE"""),"")</f>
        <v/>
      </c>
      <c r="O5649" s="14"/>
    </row>
    <row r="5650" ht="22.5" hidden="1" customHeight="1">
      <c r="A5650" s="8">
        <v>46237.369590937495</v>
      </c>
      <c r="B5650" s="14">
        <v>46237.0</v>
      </c>
      <c r="C5650" s="9" t="s">
        <v>86</v>
      </c>
      <c r="D5650" s="9" t="s">
        <v>394</v>
      </c>
      <c r="E5650" s="9" t="s">
        <v>30</v>
      </c>
      <c r="F5650" s="9" t="s">
        <v>17</v>
      </c>
      <c r="G5650" s="9">
        <v>7.0</v>
      </c>
      <c r="H5650" s="9" t="s">
        <v>22</v>
      </c>
      <c r="I5650" s="9" t="s">
        <v>20</v>
      </c>
      <c r="J5650" s="16">
        <v>1.0</v>
      </c>
      <c r="K5650" s="14" t="s">
        <v>398</v>
      </c>
      <c r="N5650" s="14" t="str">
        <f>IFERROR(__xludf.DUMMYFUNCTION("""COMPUTED_VALUE"""),"")</f>
        <v/>
      </c>
      <c r="O5650" s="14"/>
    </row>
    <row r="5651" ht="22.5" hidden="1" customHeight="1">
      <c r="A5651" s="8">
        <v>46237.37102604167</v>
      </c>
      <c r="B5651" s="14">
        <v>46237.0</v>
      </c>
      <c r="C5651" s="9" t="s">
        <v>86</v>
      </c>
      <c r="D5651" s="9" t="s">
        <v>249</v>
      </c>
      <c r="E5651" s="9" t="s">
        <v>61</v>
      </c>
      <c r="F5651" s="9" t="s">
        <v>18</v>
      </c>
      <c r="G5651" s="9">
        <v>6.0</v>
      </c>
      <c r="H5651" s="9" t="s">
        <v>22</v>
      </c>
      <c r="I5651" s="9" t="s">
        <v>20</v>
      </c>
      <c r="J5651" s="16">
        <v>0.4</v>
      </c>
      <c r="K5651" s="14" t="s">
        <v>398</v>
      </c>
      <c r="N5651" s="14" t="str">
        <f>IFERROR(__xludf.DUMMYFUNCTION("""COMPUTED_VALUE"""),"")</f>
        <v/>
      </c>
      <c r="O5651" s="14"/>
    </row>
    <row r="5652" ht="22.5" hidden="1" customHeight="1">
      <c r="A5652" s="8">
        <v>46237.37205226852</v>
      </c>
      <c r="B5652" s="14">
        <v>46237.0</v>
      </c>
      <c r="C5652" s="9" t="s">
        <v>86</v>
      </c>
      <c r="D5652" s="9" t="s">
        <v>178</v>
      </c>
      <c r="E5652" s="9" t="s">
        <v>61</v>
      </c>
      <c r="F5652" s="9" t="s">
        <v>60</v>
      </c>
      <c r="G5652" s="9" t="s">
        <v>410</v>
      </c>
      <c r="H5652" s="9" t="s">
        <v>22</v>
      </c>
      <c r="I5652" s="9" t="s">
        <v>20</v>
      </c>
      <c r="J5652" s="16">
        <v>0.6</v>
      </c>
      <c r="K5652" s="14" t="s">
        <v>398</v>
      </c>
      <c r="N5652" s="14" t="str">
        <f>IFERROR(__xludf.DUMMYFUNCTION("""COMPUTED_VALUE"""),"")</f>
        <v/>
      </c>
      <c r="O5652" s="14"/>
    </row>
    <row r="5653" ht="22.5" hidden="1" customHeight="1">
      <c r="A5653" s="8">
        <v>46237.37248446759</v>
      </c>
      <c r="B5653" s="14">
        <v>46237.0</v>
      </c>
      <c r="C5653" s="9" t="s">
        <v>86</v>
      </c>
      <c r="D5653" s="9" t="s">
        <v>247</v>
      </c>
      <c r="E5653" s="9" t="s">
        <v>140</v>
      </c>
      <c r="F5653" s="9" t="s">
        <v>77</v>
      </c>
      <c r="G5653" s="9" t="s">
        <v>410</v>
      </c>
      <c r="H5653" s="9" t="s">
        <v>25</v>
      </c>
      <c r="I5653" s="9" t="s">
        <v>211</v>
      </c>
      <c r="J5653" s="16">
        <v>0.2</v>
      </c>
      <c r="K5653" s="14" t="s">
        <v>398</v>
      </c>
      <c r="N5653" s="14" t="str">
        <f>IFERROR(__xludf.DUMMYFUNCTION("""COMPUTED_VALUE"""),"")</f>
        <v/>
      </c>
      <c r="O5653" s="14"/>
    </row>
    <row r="5654" ht="22.5" hidden="1" customHeight="1">
      <c r="A5654" s="8">
        <v>46237.37318332176</v>
      </c>
      <c r="B5654" s="14">
        <v>46237.0</v>
      </c>
      <c r="C5654" s="9" t="s">
        <v>86</v>
      </c>
      <c r="D5654" s="9" t="s">
        <v>350</v>
      </c>
      <c r="E5654" s="9" t="s">
        <v>17</v>
      </c>
      <c r="F5654" s="9" t="s">
        <v>17</v>
      </c>
      <c r="G5654" s="9">
        <v>8.0</v>
      </c>
      <c r="H5654" s="9" t="s">
        <v>25</v>
      </c>
      <c r="I5654" s="9" t="s">
        <v>137</v>
      </c>
      <c r="J5654" s="16">
        <v>0.8</v>
      </c>
      <c r="K5654" s="14" t="s">
        <v>398</v>
      </c>
      <c r="N5654" s="14" t="str">
        <f>IFERROR(__xludf.DUMMYFUNCTION("""COMPUTED_VALUE"""),"")</f>
        <v/>
      </c>
      <c r="O5654" s="14"/>
    </row>
    <row r="5655" ht="22.5" hidden="1" customHeight="1">
      <c r="A5655" s="8">
        <v>46237.37387189815</v>
      </c>
      <c r="B5655" s="14">
        <v>46237.0</v>
      </c>
      <c r="C5655" s="9" t="s">
        <v>86</v>
      </c>
      <c r="D5655" s="9" t="s">
        <v>367</v>
      </c>
      <c r="E5655" s="9" t="s">
        <v>17</v>
      </c>
      <c r="F5655" s="9" t="s">
        <v>39</v>
      </c>
      <c r="G5655" s="9" t="s">
        <v>409</v>
      </c>
      <c r="H5655" s="9" t="s">
        <v>22</v>
      </c>
      <c r="I5655" s="9" t="s">
        <v>20</v>
      </c>
      <c r="J5655" s="16">
        <v>0.6</v>
      </c>
      <c r="K5655" s="14" t="s">
        <v>398</v>
      </c>
      <c r="N5655" s="14" t="str">
        <f>IFERROR(__xludf.DUMMYFUNCTION("""COMPUTED_VALUE"""),"")</f>
        <v/>
      </c>
      <c r="O5655" s="14"/>
    </row>
    <row r="5656" ht="22.5" hidden="1" customHeight="1">
      <c r="A5656" s="8">
        <v>46237.37482633102</v>
      </c>
      <c r="B5656" s="14">
        <v>46237.0</v>
      </c>
      <c r="C5656" s="9" t="s">
        <v>86</v>
      </c>
      <c r="D5656" s="9" t="s">
        <v>395</v>
      </c>
      <c r="E5656" s="9" t="s">
        <v>46</v>
      </c>
      <c r="F5656" s="9" t="s">
        <v>17</v>
      </c>
      <c r="G5656" s="9">
        <v>7.0</v>
      </c>
      <c r="H5656" s="9" t="s">
        <v>25</v>
      </c>
      <c r="I5656" s="9" t="s">
        <v>211</v>
      </c>
      <c r="J5656" s="16">
        <v>0.6</v>
      </c>
      <c r="K5656" s="14" t="s">
        <v>398</v>
      </c>
      <c r="N5656" s="14" t="str">
        <f>IFERROR(__xludf.DUMMYFUNCTION("""COMPUTED_VALUE"""),"")</f>
        <v/>
      </c>
      <c r="O5656" s="14"/>
    </row>
    <row r="5657" ht="22.5" hidden="1" customHeight="1">
      <c r="A5657" s="8">
        <v>46237.37538402778</v>
      </c>
      <c r="B5657" s="14">
        <v>46237.0</v>
      </c>
      <c r="C5657" s="9" t="s">
        <v>86</v>
      </c>
      <c r="D5657" s="9" t="s">
        <v>357</v>
      </c>
      <c r="E5657" s="9" t="s">
        <v>140</v>
      </c>
      <c r="F5657" s="9" t="s">
        <v>60</v>
      </c>
      <c r="G5657" s="9" t="s">
        <v>410</v>
      </c>
      <c r="H5657" s="9" t="s">
        <v>25</v>
      </c>
      <c r="I5657" s="9" t="s">
        <v>85</v>
      </c>
      <c r="J5657" s="16">
        <v>0.2</v>
      </c>
      <c r="K5657" s="14" t="s">
        <v>398</v>
      </c>
      <c r="N5657" s="14" t="str">
        <f>IFERROR(__xludf.DUMMYFUNCTION("""COMPUTED_VALUE"""),"")</f>
        <v/>
      </c>
      <c r="O5657" s="14"/>
    </row>
    <row r="5658" ht="22.5" hidden="1" customHeight="1">
      <c r="A5658" s="8">
        <v>46237.376205312496</v>
      </c>
      <c r="B5658" s="14">
        <v>46237.0</v>
      </c>
      <c r="C5658" s="9" t="s">
        <v>86</v>
      </c>
      <c r="D5658" s="9" t="s">
        <v>369</v>
      </c>
      <c r="E5658" s="9" t="s">
        <v>17</v>
      </c>
      <c r="F5658" s="9" t="s">
        <v>17</v>
      </c>
      <c r="G5658" s="9">
        <v>7.0</v>
      </c>
      <c r="H5658" s="9" t="s">
        <v>25</v>
      </c>
      <c r="I5658" s="9" t="s">
        <v>137</v>
      </c>
      <c r="J5658" s="16">
        <v>0.8</v>
      </c>
      <c r="K5658" s="14" t="s">
        <v>398</v>
      </c>
      <c r="N5658" s="14" t="str">
        <f>IFERROR(__xludf.DUMMYFUNCTION("""COMPUTED_VALUE"""),"")</f>
        <v/>
      </c>
      <c r="O5658" s="14"/>
    </row>
    <row r="5659" ht="22.5" hidden="1" customHeight="1">
      <c r="A5659" s="8">
        <v>46237.37651203704</v>
      </c>
      <c r="B5659" s="14">
        <v>46237.0</v>
      </c>
      <c r="C5659" s="9" t="s">
        <v>86</v>
      </c>
      <c r="D5659" s="9" t="s">
        <v>463</v>
      </c>
      <c r="E5659" s="9" t="s">
        <v>17</v>
      </c>
      <c r="F5659" s="9" t="s">
        <v>17</v>
      </c>
      <c r="G5659" s="9">
        <v>6.0</v>
      </c>
      <c r="H5659" s="9" t="s">
        <v>17</v>
      </c>
      <c r="I5659" s="9" t="s">
        <v>20</v>
      </c>
      <c r="J5659" s="16">
        <v>0.8</v>
      </c>
      <c r="K5659" s="14" t="s">
        <v>398</v>
      </c>
      <c r="N5659" s="14" t="str">
        <f>IFERROR(__xludf.DUMMYFUNCTION("""COMPUTED_VALUE"""),"")</f>
        <v/>
      </c>
      <c r="O5659" s="14"/>
    </row>
    <row r="5660" ht="22.5" hidden="1" customHeight="1">
      <c r="A5660" s="8">
        <v>46237.37655789352</v>
      </c>
      <c r="B5660" s="14">
        <v>46237.0</v>
      </c>
      <c r="C5660" s="9" t="s">
        <v>86</v>
      </c>
      <c r="D5660" s="9" t="s">
        <v>413</v>
      </c>
      <c r="E5660" s="9" t="s">
        <v>46</v>
      </c>
      <c r="F5660" s="9" t="s">
        <v>60</v>
      </c>
      <c r="G5660" s="9">
        <v>6.0</v>
      </c>
      <c r="H5660" s="9" t="s">
        <v>22</v>
      </c>
      <c r="I5660" s="9" t="s">
        <v>20</v>
      </c>
      <c r="J5660" s="16">
        <v>0.6</v>
      </c>
      <c r="K5660" s="14" t="s">
        <v>398</v>
      </c>
      <c r="N5660" s="14" t="str">
        <f>IFERROR(__xludf.DUMMYFUNCTION("""COMPUTED_VALUE"""),"")</f>
        <v/>
      </c>
      <c r="O5660" s="14"/>
    </row>
    <row r="5661" ht="22.5" hidden="1" customHeight="1">
      <c r="A5661" s="8">
        <v>46237.377502337964</v>
      </c>
      <c r="B5661" s="14">
        <v>46237.0</v>
      </c>
      <c r="C5661" s="9" t="s">
        <v>86</v>
      </c>
      <c r="D5661" s="9" t="s">
        <v>441</v>
      </c>
      <c r="E5661" s="9" t="s">
        <v>61</v>
      </c>
      <c r="F5661" s="9" t="s">
        <v>60</v>
      </c>
      <c r="G5661" s="9">
        <v>6.0</v>
      </c>
      <c r="H5661" s="9" t="s">
        <v>22</v>
      </c>
      <c r="I5661" s="9" t="s">
        <v>20</v>
      </c>
      <c r="J5661" s="16">
        <v>0.8</v>
      </c>
      <c r="K5661" s="14" t="s">
        <v>398</v>
      </c>
      <c r="N5661" s="14" t="str">
        <f>IFERROR(__xludf.DUMMYFUNCTION("""COMPUTED_VALUE"""),"")</f>
        <v/>
      </c>
      <c r="O5661" s="14"/>
    </row>
    <row r="5662" ht="22.5" hidden="1" customHeight="1">
      <c r="A5662" s="8">
        <v>46237.377884155096</v>
      </c>
      <c r="B5662" s="14">
        <v>46237.0</v>
      </c>
      <c r="C5662" s="9" t="s">
        <v>86</v>
      </c>
      <c r="D5662" s="9" t="s">
        <v>465</v>
      </c>
      <c r="E5662" s="9" t="s">
        <v>30</v>
      </c>
      <c r="F5662" s="9" t="s">
        <v>17</v>
      </c>
      <c r="G5662" s="9">
        <v>7.0</v>
      </c>
      <c r="H5662" s="9" t="s">
        <v>17</v>
      </c>
      <c r="I5662" s="9" t="s">
        <v>20</v>
      </c>
      <c r="J5662" s="16">
        <v>0.6</v>
      </c>
      <c r="K5662" s="14" t="s">
        <v>398</v>
      </c>
      <c r="N5662" s="14" t="str">
        <f>IFERROR(__xludf.DUMMYFUNCTION("""COMPUTED_VALUE"""),"")</f>
        <v/>
      </c>
      <c r="O5662" s="14"/>
    </row>
    <row r="5663" ht="22.5" hidden="1" customHeight="1">
      <c r="A5663" s="8">
        <v>46237.37853405093</v>
      </c>
      <c r="B5663" s="14">
        <v>46237.0</v>
      </c>
      <c r="C5663" s="9" t="s">
        <v>86</v>
      </c>
      <c r="D5663" s="9" t="s">
        <v>460</v>
      </c>
      <c r="E5663" s="9" t="s">
        <v>30</v>
      </c>
      <c r="F5663" s="9" t="s">
        <v>17</v>
      </c>
      <c r="G5663" s="9">
        <v>8.0</v>
      </c>
      <c r="H5663" s="9" t="s">
        <v>17</v>
      </c>
      <c r="I5663" s="9" t="s">
        <v>20</v>
      </c>
      <c r="J5663" s="16">
        <v>0.8</v>
      </c>
      <c r="K5663" s="14" t="s">
        <v>398</v>
      </c>
      <c r="N5663" s="14" t="str">
        <f>IFERROR(__xludf.DUMMYFUNCTION("""COMPUTED_VALUE"""),"")</f>
        <v/>
      </c>
      <c r="O5663" s="14"/>
    </row>
    <row r="5664" ht="22.5" hidden="1" customHeight="1">
      <c r="A5664" s="8">
        <v>46237.37940658565</v>
      </c>
      <c r="B5664" s="14">
        <v>46237.0</v>
      </c>
      <c r="C5664" s="9" t="s">
        <v>86</v>
      </c>
      <c r="D5664" s="9" t="s">
        <v>259</v>
      </c>
      <c r="E5664" s="9" t="s">
        <v>17</v>
      </c>
      <c r="F5664" s="9" t="s">
        <v>60</v>
      </c>
      <c r="G5664" s="9">
        <v>6.0</v>
      </c>
      <c r="H5664" s="9" t="s">
        <v>25</v>
      </c>
      <c r="I5664" s="9" t="s">
        <v>26</v>
      </c>
      <c r="J5664" s="16">
        <v>0.6</v>
      </c>
      <c r="K5664" s="14" t="s">
        <v>398</v>
      </c>
      <c r="N5664" s="14" t="str">
        <f>IFERROR(__xludf.DUMMYFUNCTION("""COMPUTED_VALUE"""),"")</f>
        <v/>
      </c>
      <c r="O5664" s="14"/>
    </row>
    <row r="5665" ht="22.5" hidden="1" customHeight="1">
      <c r="A5665" s="8">
        <v>46237.38105038194</v>
      </c>
      <c r="B5665" s="14">
        <v>46237.0</v>
      </c>
      <c r="C5665" s="9" t="s">
        <v>86</v>
      </c>
      <c r="D5665" s="9" t="s">
        <v>457</v>
      </c>
      <c r="E5665" s="9" t="s">
        <v>30</v>
      </c>
      <c r="F5665" s="9" t="s">
        <v>18</v>
      </c>
      <c r="G5665" s="9">
        <v>7.0</v>
      </c>
      <c r="H5665" s="9" t="s">
        <v>17</v>
      </c>
      <c r="I5665" s="9" t="s">
        <v>20</v>
      </c>
      <c r="J5665" s="16">
        <v>1.0</v>
      </c>
      <c r="K5665" s="14" t="s">
        <v>398</v>
      </c>
      <c r="N5665" s="14" t="str">
        <f>IFERROR(__xludf.DUMMYFUNCTION("""COMPUTED_VALUE"""),"")</f>
        <v/>
      </c>
      <c r="O5665" s="14"/>
    </row>
    <row r="5666" ht="22.5" hidden="1" customHeight="1">
      <c r="A5666" s="8">
        <v>46237.38124423611</v>
      </c>
      <c r="B5666" s="14">
        <v>46237.0</v>
      </c>
      <c r="C5666" s="9" t="s">
        <v>86</v>
      </c>
      <c r="D5666" s="9" t="s">
        <v>414</v>
      </c>
      <c r="E5666" s="9" t="s">
        <v>17</v>
      </c>
      <c r="F5666" s="9" t="s">
        <v>17</v>
      </c>
      <c r="G5666" s="9">
        <v>6.0</v>
      </c>
      <c r="H5666" s="9" t="s">
        <v>22</v>
      </c>
      <c r="I5666" s="9" t="s">
        <v>20</v>
      </c>
      <c r="J5666" s="16">
        <v>0.6</v>
      </c>
      <c r="K5666" s="14" t="s">
        <v>398</v>
      </c>
      <c r="N5666" s="14" t="str">
        <f>IFERROR(__xludf.DUMMYFUNCTION("""COMPUTED_VALUE"""),"")</f>
        <v/>
      </c>
      <c r="O5666" s="14"/>
    </row>
    <row r="5667" ht="22.5" hidden="1" customHeight="1">
      <c r="A5667" s="8">
        <v>46237.381779675925</v>
      </c>
      <c r="B5667" s="14">
        <v>46237.0</v>
      </c>
      <c r="C5667" s="9" t="s">
        <v>86</v>
      </c>
      <c r="D5667" s="9" t="s">
        <v>257</v>
      </c>
      <c r="E5667" s="9" t="s">
        <v>17</v>
      </c>
      <c r="F5667" s="9" t="s">
        <v>17</v>
      </c>
      <c r="G5667" s="9">
        <v>8.0</v>
      </c>
      <c r="H5667" s="9" t="s">
        <v>17</v>
      </c>
      <c r="I5667" s="9" t="s">
        <v>20</v>
      </c>
      <c r="J5667" s="16">
        <v>1.0</v>
      </c>
      <c r="K5667" s="14" t="s">
        <v>398</v>
      </c>
      <c r="N5667" s="14" t="str">
        <f>IFERROR(__xludf.DUMMYFUNCTION("""COMPUTED_VALUE"""),"")</f>
        <v/>
      </c>
      <c r="O5667" s="14"/>
    </row>
    <row r="5668" ht="22.5" hidden="1" customHeight="1">
      <c r="A5668" s="8">
        <v>46237.382818252314</v>
      </c>
      <c r="B5668" s="14">
        <v>46237.0</v>
      </c>
      <c r="C5668" s="9" t="s">
        <v>86</v>
      </c>
      <c r="D5668" s="9" t="s">
        <v>464</v>
      </c>
      <c r="E5668" s="9" t="s">
        <v>30</v>
      </c>
      <c r="F5668" s="9" t="s">
        <v>18</v>
      </c>
      <c r="G5668" s="9">
        <v>7.0</v>
      </c>
      <c r="H5668" s="9" t="s">
        <v>17</v>
      </c>
      <c r="I5668" s="9" t="s">
        <v>20</v>
      </c>
      <c r="J5668" s="16">
        <v>0.8</v>
      </c>
      <c r="K5668" s="14" t="s">
        <v>398</v>
      </c>
      <c r="N5668" s="14" t="str">
        <f>IFERROR(__xludf.DUMMYFUNCTION("""COMPUTED_VALUE"""),"")</f>
        <v/>
      </c>
      <c r="O5668" s="14"/>
    </row>
    <row r="5669" ht="22.5" hidden="1" customHeight="1">
      <c r="A5669" s="8">
        <v>46237.38441532408</v>
      </c>
      <c r="B5669" s="14">
        <v>46237.0</v>
      </c>
      <c r="C5669" s="9" t="s">
        <v>86</v>
      </c>
      <c r="D5669" s="9" t="s">
        <v>458</v>
      </c>
      <c r="E5669" s="9" t="s">
        <v>57</v>
      </c>
      <c r="F5669" s="9" t="s">
        <v>18</v>
      </c>
      <c r="G5669" s="9">
        <v>7.0</v>
      </c>
      <c r="H5669" s="9" t="s">
        <v>17</v>
      </c>
      <c r="I5669" s="9" t="s">
        <v>20</v>
      </c>
      <c r="J5669" s="16">
        <v>0.8</v>
      </c>
      <c r="K5669" s="14" t="s">
        <v>398</v>
      </c>
      <c r="N5669" s="14" t="str">
        <f>IFERROR(__xludf.DUMMYFUNCTION("""COMPUTED_VALUE"""),"")</f>
        <v/>
      </c>
      <c r="O5669" s="14"/>
    </row>
    <row r="5670" ht="22.5" hidden="1" customHeight="1">
      <c r="A5670" s="8">
        <v>46237.39539554398</v>
      </c>
      <c r="B5670" s="14">
        <v>46237.0</v>
      </c>
      <c r="C5670" s="9" t="s">
        <v>86</v>
      </c>
      <c r="D5670" s="9" t="s">
        <v>210</v>
      </c>
      <c r="E5670" s="9" t="s">
        <v>61</v>
      </c>
      <c r="F5670" s="9" t="s">
        <v>60</v>
      </c>
      <c r="G5670" s="9" t="s">
        <v>410</v>
      </c>
      <c r="H5670" s="9" t="s">
        <v>22</v>
      </c>
      <c r="I5670" s="9" t="s">
        <v>20</v>
      </c>
      <c r="J5670" s="16">
        <v>0.4</v>
      </c>
      <c r="K5670" s="14" t="s">
        <v>398</v>
      </c>
      <c r="N5670" s="14" t="str">
        <f>IFERROR(__xludf.DUMMYFUNCTION("""COMPUTED_VALUE"""),"")</f>
        <v/>
      </c>
      <c r="O5670" s="14"/>
    </row>
    <row r="5671" ht="22.5" hidden="1" customHeight="1">
      <c r="A5671" s="8">
        <v>46237.39563271991</v>
      </c>
      <c r="B5671" s="14">
        <v>46237.0</v>
      </c>
      <c r="C5671" s="9" t="s">
        <v>86</v>
      </c>
      <c r="D5671" s="9" t="s">
        <v>174</v>
      </c>
      <c r="E5671" s="9" t="s">
        <v>30</v>
      </c>
      <c r="F5671" s="9" t="s">
        <v>18</v>
      </c>
      <c r="G5671" s="9">
        <v>7.0</v>
      </c>
      <c r="H5671" s="9" t="s">
        <v>22</v>
      </c>
      <c r="I5671" s="9" t="s">
        <v>20</v>
      </c>
      <c r="J5671" s="16">
        <v>1.0</v>
      </c>
      <c r="K5671" s="14" t="s">
        <v>398</v>
      </c>
      <c r="N5671" s="14" t="str">
        <f>IFERROR(__xludf.DUMMYFUNCTION("""COMPUTED_VALUE"""),"")</f>
        <v/>
      </c>
      <c r="O5671" s="14"/>
    </row>
    <row r="5672" ht="22.5" hidden="1" customHeight="1">
      <c r="A5672" s="8">
        <v>46237.39596925926</v>
      </c>
      <c r="B5672" s="14">
        <v>46237.0</v>
      </c>
      <c r="C5672" s="9" t="s">
        <v>86</v>
      </c>
      <c r="D5672" s="9" t="s">
        <v>335</v>
      </c>
      <c r="E5672" s="9" t="s">
        <v>17</v>
      </c>
      <c r="F5672" s="9" t="s">
        <v>17</v>
      </c>
      <c r="G5672" s="9">
        <v>6.0</v>
      </c>
      <c r="H5672" s="9" t="s">
        <v>25</v>
      </c>
      <c r="I5672" s="9" t="s">
        <v>211</v>
      </c>
      <c r="J5672" s="16">
        <v>0.8</v>
      </c>
      <c r="K5672" s="14" t="s">
        <v>398</v>
      </c>
      <c r="N5672" s="14" t="str">
        <f>IFERROR(__xludf.DUMMYFUNCTION("""COMPUTED_VALUE"""),"")</f>
        <v/>
      </c>
      <c r="O5672" s="14"/>
    </row>
    <row r="5673" ht="22.5" hidden="1" customHeight="1">
      <c r="A5673" s="8">
        <v>46237.396600231485</v>
      </c>
      <c r="B5673" s="14">
        <v>46237.0</v>
      </c>
      <c r="C5673" s="9" t="s">
        <v>86</v>
      </c>
      <c r="D5673" s="9" t="s">
        <v>259</v>
      </c>
      <c r="E5673" s="9" t="s">
        <v>17</v>
      </c>
      <c r="F5673" s="9" t="s">
        <v>17</v>
      </c>
      <c r="G5673" s="9">
        <v>6.0</v>
      </c>
      <c r="H5673" s="9" t="s">
        <v>25</v>
      </c>
      <c r="I5673" s="9" t="s">
        <v>26</v>
      </c>
      <c r="J5673" s="16">
        <v>0.6</v>
      </c>
      <c r="K5673" s="14" t="s">
        <v>398</v>
      </c>
      <c r="N5673" s="14" t="str">
        <f>IFERROR(__xludf.DUMMYFUNCTION("""COMPUTED_VALUE"""),"")</f>
        <v/>
      </c>
      <c r="O5673" s="14"/>
    </row>
    <row r="5674" ht="22.5" hidden="1" customHeight="1">
      <c r="A5674" s="8">
        <v>46238.321919305556</v>
      </c>
      <c r="B5674" s="14">
        <v>46238.0</v>
      </c>
      <c r="C5674" s="9" t="s">
        <v>110</v>
      </c>
      <c r="D5674" s="9" t="s">
        <v>105</v>
      </c>
      <c r="E5674" s="9" t="s">
        <v>17</v>
      </c>
      <c r="F5674" s="9" t="s">
        <v>17</v>
      </c>
      <c r="G5674" s="9">
        <v>7.0</v>
      </c>
      <c r="H5674" s="9" t="s">
        <v>22</v>
      </c>
      <c r="I5674" s="9" t="s">
        <v>20</v>
      </c>
      <c r="J5674" s="16">
        <v>0.8</v>
      </c>
      <c r="K5674" s="14" t="s">
        <v>398</v>
      </c>
      <c r="N5674" s="14" t="str">
        <f>IFERROR(__xludf.DUMMYFUNCTION("""COMPUTED_VALUE"""),"")</f>
        <v/>
      </c>
      <c r="O5674" s="14"/>
    </row>
    <row r="5675" ht="22.5" hidden="1" customHeight="1">
      <c r="A5675" s="8">
        <v>46238.342365543984</v>
      </c>
      <c r="B5675" s="14">
        <v>46238.0</v>
      </c>
      <c r="C5675" s="9" t="s">
        <v>110</v>
      </c>
      <c r="D5675" s="9" t="s">
        <v>459</v>
      </c>
      <c r="E5675" s="9" t="s">
        <v>17</v>
      </c>
      <c r="F5675" s="9" t="s">
        <v>17</v>
      </c>
      <c r="G5675" s="9">
        <v>8.0</v>
      </c>
      <c r="H5675" s="9" t="s">
        <v>17</v>
      </c>
      <c r="I5675" s="9" t="s">
        <v>20</v>
      </c>
      <c r="J5675" s="16">
        <v>0.6</v>
      </c>
      <c r="K5675" s="14" t="s">
        <v>398</v>
      </c>
      <c r="N5675" s="14" t="str">
        <f>IFERROR(__xludf.DUMMYFUNCTION("""COMPUTED_VALUE"""),"")</f>
        <v/>
      </c>
      <c r="O5675" s="14"/>
    </row>
    <row r="5676" ht="22.5" hidden="1" customHeight="1">
      <c r="A5676" s="8">
        <v>46238.346103055555</v>
      </c>
      <c r="B5676" s="14">
        <v>46238.0</v>
      </c>
      <c r="C5676" s="9" t="s">
        <v>110</v>
      </c>
      <c r="D5676" s="9" t="s">
        <v>395</v>
      </c>
      <c r="E5676" s="9" t="s">
        <v>17</v>
      </c>
      <c r="F5676" s="9" t="s">
        <v>18</v>
      </c>
      <c r="G5676" s="9">
        <v>7.0</v>
      </c>
      <c r="H5676" s="9" t="s">
        <v>25</v>
      </c>
      <c r="I5676" s="9" t="s">
        <v>211</v>
      </c>
      <c r="J5676" s="16">
        <v>0.8</v>
      </c>
      <c r="K5676" s="14" t="s">
        <v>398</v>
      </c>
      <c r="N5676" s="14" t="str">
        <f>IFERROR(__xludf.DUMMYFUNCTION("""COMPUTED_VALUE"""),"")</f>
        <v/>
      </c>
      <c r="O5676" s="14"/>
    </row>
    <row r="5677" ht="22.5" hidden="1" customHeight="1">
      <c r="A5677" s="8">
        <v>46238.34668065972</v>
      </c>
      <c r="B5677" s="14">
        <v>46238.0</v>
      </c>
      <c r="C5677" s="9" t="s">
        <v>110</v>
      </c>
      <c r="D5677" s="9" t="s">
        <v>249</v>
      </c>
      <c r="E5677" s="9" t="s">
        <v>17</v>
      </c>
      <c r="F5677" s="9" t="s">
        <v>17</v>
      </c>
      <c r="G5677" s="9">
        <v>6.0</v>
      </c>
      <c r="H5677" s="9" t="s">
        <v>22</v>
      </c>
      <c r="I5677" s="9" t="s">
        <v>20</v>
      </c>
      <c r="J5677" s="16">
        <v>0.6</v>
      </c>
      <c r="K5677" s="14">
        <v>5.0</v>
      </c>
      <c r="N5677" s="14" t="str">
        <f>IFERROR(__xludf.DUMMYFUNCTION("""COMPUTED_VALUE"""),"")</f>
        <v/>
      </c>
      <c r="O5677" s="14"/>
    </row>
    <row r="5678" ht="22.5" hidden="1" customHeight="1">
      <c r="A5678" s="8">
        <v>46238.34797025463</v>
      </c>
      <c r="B5678" s="14">
        <v>46238.0</v>
      </c>
      <c r="C5678" s="9" t="s">
        <v>110</v>
      </c>
      <c r="D5678" s="9" t="s">
        <v>177</v>
      </c>
      <c r="E5678" s="9" t="s">
        <v>44</v>
      </c>
      <c r="F5678" s="9" t="s">
        <v>35</v>
      </c>
      <c r="G5678" s="9">
        <v>7.0</v>
      </c>
      <c r="H5678" s="9" t="s">
        <v>22</v>
      </c>
      <c r="I5678" s="9" t="s">
        <v>20</v>
      </c>
      <c r="J5678" s="16">
        <v>0.6</v>
      </c>
      <c r="K5678" s="14" t="s">
        <v>398</v>
      </c>
      <c r="N5678" s="14" t="str">
        <f>IFERROR(__xludf.DUMMYFUNCTION("""COMPUTED_VALUE"""),"")</f>
        <v/>
      </c>
      <c r="O5678" s="14"/>
    </row>
    <row r="5679" ht="22.5" hidden="1" customHeight="1">
      <c r="A5679" s="8">
        <v>46238.34847622685</v>
      </c>
      <c r="B5679" s="14">
        <v>46238.0</v>
      </c>
      <c r="C5679" s="9" t="s">
        <v>110</v>
      </c>
      <c r="D5679" s="9" t="s">
        <v>335</v>
      </c>
      <c r="E5679" s="9" t="s">
        <v>17</v>
      </c>
      <c r="F5679" s="9" t="s">
        <v>17</v>
      </c>
      <c r="G5679" s="9">
        <v>7.0</v>
      </c>
      <c r="H5679" s="9" t="s">
        <v>25</v>
      </c>
      <c r="I5679" s="9" t="s">
        <v>472</v>
      </c>
      <c r="J5679" s="16">
        <v>0.8</v>
      </c>
      <c r="K5679" s="14">
        <v>5.0</v>
      </c>
      <c r="N5679" s="14" t="str">
        <f>IFERROR(__xludf.DUMMYFUNCTION("""COMPUTED_VALUE"""),"")</f>
        <v/>
      </c>
      <c r="O5679" s="14"/>
    </row>
    <row r="5680" ht="22.5" hidden="1" customHeight="1">
      <c r="A5680" s="8">
        <v>46238.350674456015</v>
      </c>
      <c r="B5680" s="14">
        <v>46238.0</v>
      </c>
      <c r="C5680" s="9" t="s">
        <v>110</v>
      </c>
      <c r="D5680" s="9" t="s">
        <v>350</v>
      </c>
      <c r="E5680" s="9" t="s">
        <v>17</v>
      </c>
      <c r="F5680" s="9" t="s">
        <v>17</v>
      </c>
      <c r="G5680" s="9">
        <v>7.0</v>
      </c>
      <c r="H5680" s="9" t="s">
        <v>25</v>
      </c>
      <c r="I5680" s="9" t="s">
        <v>218</v>
      </c>
      <c r="J5680" s="16">
        <v>0.8</v>
      </c>
      <c r="K5680" s="14" t="s">
        <v>398</v>
      </c>
      <c r="N5680" s="14" t="str">
        <f>IFERROR(__xludf.DUMMYFUNCTION("""COMPUTED_VALUE"""),"")</f>
        <v/>
      </c>
      <c r="O5680" s="14"/>
    </row>
    <row r="5681" ht="22.5" hidden="1" customHeight="1">
      <c r="A5681" s="8">
        <v>46238.351150104165</v>
      </c>
      <c r="B5681" s="14">
        <v>46238.0</v>
      </c>
      <c r="C5681" s="9" t="s">
        <v>110</v>
      </c>
      <c r="D5681" s="9" t="s">
        <v>393</v>
      </c>
      <c r="E5681" s="9" t="s">
        <v>30</v>
      </c>
      <c r="F5681" s="9" t="s">
        <v>17</v>
      </c>
      <c r="G5681" s="9">
        <v>7.0</v>
      </c>
      <c r="H5681" s="9" t="s">
        <v>25</v>
      </c>
      <c r="I5681" s="9" t="s">
        <v>240</v>
      </c>
      <c r="J5681" s="16">
        <v>1.0</v>
      </c>
      <c r="K5681" s="14" t="s">
        <v>398</v>
      </c>
      <c r="N5681" s="14" t="str">
        <f>IFERROR(__xludf.DUMMYFUNCTION("""COMPUTED_VALUE"""),"")</f>
        <v/>
      </c>
      <c r="O5681" s="14"/>
    </row>
    <row r="5682" ht="22.5" hidden="1" customHeight="1">
      <c r="A5682" s="8">
        <v>46238.35149880787</v>
      </c>
      <c r="B5682" s="14">
        <v>46238.0</v>
      </c>
      <c r="C5682" s="9" t="s">
        <v>110</v>
      </c>
      <c r="D5682" s="9" t="s">
        <v>469</v>
      </c>
      <c r="E5682" s="9" t="s">
        <v>17</v>
      </c>
      <c r="F5682" s="9" t="s">
        <v>18</v>
      </c>
      <c r="G5682" s="9">
        <v>7.0</v>
      </c>
      <c r="H5682" s="9" t="s">
        <v>22</v>
      </c>
      <c r="I5682" s="9" t="s">
        <v>20</v>
      </c>
      <c r="J5682" s="16">
        <v>1.0</v>
      </c>
      <c r="K5682" s="14" t="s">
        <v>398</v>
      </c>
      <c r="N5682" s="14" t="str">
        <f>IFERROR(__xludf.DUMMYFUNCTION("""COMPUTED_VALUE"""),"")</f>
        <v/>
      </c>
      <c r="O5682" s="14"/>
    </row>
    <row r="5683" ht="22.5" hidden="1" customHeight="1">
      <c r="A5683" s="8">
        <v>46238.35899541667</v>
      </c>
      <c r="B5683" s="14">
        <v>46238.0</v>
      </c>
      <c r="C5683" s="9" t="s">
        <v>110</v>
      </c>
      <c r="D5683" s="9" t="s">
        <v>396</v>
      </c>
      <c r="E5683" s="9" t="s">
        <v>17</v>
      </c>
      <c r="F5683" s="9" t="s">
        <v>17</v>
      </c>
      <c r="G5683" s="9">
        <v>8.0</v>
      </c>
      <c r="H5683" s="9" t="s">
        <v>22</v>
      </c>
      <c r="I5683" s="9" t="s">
        <v>20</v>
      </c>
      <c r="J5683" s="16">
        <v>0.8</v>
      </c>
      <c r="K5683" s="14">
        <v>6.0</v>
      </c>
      <c r="N5683" s="14" t="str">
        <f>IFERROR(__xludf.DUMMYFUNCTION("""COMPUTED_VALUE"""),"")</f>
        <v/>
      </c>
      <c r="O5683" s="14"/>
    </row>
    <row r="5684" ht="22.5" hidden="1" customHeight="1">
      <c r="A5684" s="8">
        <v>46238.35978590278</v>
      </c>
      <c r="B5684" s="14">
        <v>46238.0</v>
      </c>
      <c r="C5684" s="9" t="s">
        <v>110</v>
      </c>
      <c r="D5684" s="9" t="s">
        <v>396</v>
      </c>
      <c r="E5684" s="9" t="s">
        <v>61</v>
      </c>
      <c r="F5684" s="9" t="s">
        <v>17</v>
      </c>
      <c r="G5684" s="9">
        <v>7.0</v>
      </c>
      <c r="H5684" s="9" t="s">
        <v>25</v>
      </c>
      <c r="I5684" s="9" t="s">
        <v>128</v>
      </c>
      <c r="J5684" s="16">
        <v>0.6</v>
      </c>
      <c r="K5684" s="14">
        <v>6.0</v>
      </c>
      <c r="N5684" s="14" t="str">
        <f>IFERROR(__xludf.DUMMYFUNCTION("""COMPUTED_VALUE"""),"")</f>
        <v/>
      </c>
      <c r="O5684" s="14"/>
    </row>
    <row r="5685" ht="22.5" hidden="1" customHeight="1">
      <c r="A5685" s="8">
        <v>46238.36182651621</v>
      </c>
      <c r="B5685" s="14">
        <v>46238.0</v>
      </c>
      <c r="C5685" s="9" t="s">
        <v>110</v>
      </c>
      <c r="D5685" s="9" t="s">
        <v>367</v>
      </c>
      <c r="E5685" s="9" t="s">
        <v>17</v>
      </c>
      <c r="F5685" s="9" t="s">
        <v>43</v>
      </c>
      <c r="G5685" s="9">
        <v>7.0</v>
      </c>
      <c r="H5685" s="9" t="s">
        <v>17</v>
      </c>
      <c r="I5685" s="9" t="s">
        <v>20</v>
      </c>
      <c r="J5685" s="16">
        <v>0.8</v>
      </c>
      <c r="K5685" s="14">
        <v>10.0</v>
      </c>
      <c r="N5685" s="14" t="str">
        <f>IFERROR(__xludf.DUMMYFUNCTION("""COMPUTED_VALUE"""),"")</f>
        <v/>
      </c>
      <c r="O5685" s="14"/>
    </row>
    <row r="5686" ht="22.5" hidden="1" customHeight="1">
      <c r="A5686" s="8">
        <v>46238.36259070602</v>
      </c>
      <c r="B5686" s="14">
        <v>46238.0</v>
      </c>
      <c r="C5686" s="9" t="s">
        <v>110</v>
      </c>
      <c r="D5686" s="9" t="s">
        <v>357</v>
      </c>
      <c r="E5686" s="9" t="s">
        <v>46</v>
      </c>
      <c r="F5686" s="9" t="s">
        <v>60</v>
      </c>
      <c r="G5686" s="9">
        <v>6.0</v>
      </c>
      <c r="H5686" s="9" t="s">
        <v>25</v>
      </c>
      <c r="I5686" s="9" t="s">
        <v>20</v>
      </c>
      <c r="J5686" s="16">
        <v>0.6</v>
      </c>
      <c r="K5686" s="14" t="s">
        <v>398</v>
      </c>
      <c r="N5686" s="14" t="str">
        <f>IFERROR(__xludf.DUMMYFUNCTION("""COMPUTED_VALUE"""),"")</f>
        <v/>
      </c>
      <c r="O5686" s="14"/>
    </row>
    <row r="5687" ht="22.5" hidden="1" customHeight="1">
      <c r="A5687" s="8">
        <v>46238.36315092593</v>
      </c>
      <c r="B5687" s="14">
        <v>46238.0</v>
      </c>
      <c r="C5687" s="9" t="s">
        <v>110</v>
      </c>
      <c r="D5687" s="9" t="s">
        <v>171</v>
      </c>
      <c r="E5687" s="9" t="s">
        <v>46</v>
      </c>
      <c r="F5687" s="9" t="s">
        <v>60</v>
      </c>
      <c r="G5687" s="9">
        <v>7.0</v>
      </c>
      <c r="H5687" s="9" t="s">
        <v>25</v>
      </c>
      <c r="I5687" s="9" t="s">
        <v>302</v>
      </c>
      <c r="J5687" s="16">
        <v>0.4</v>
      </c>
      <c r="K5687" s="14" t="s">
        <v>398</v>
      </c>
      <c r="N5687" s="14" t="str">
        <f>IFERROR(__xludf.DUMMYFUNCTION("""COMPUTED_VALUE"""),"")</f>
        <v/>
      </c>
      <c r="O5687" s="14"/>
    </row>
    <row r="5688" ht="22.5" hidden="1" customHeight="1">
      <c r="A5688" s="8">
        <v>46238.36370927084</v>
      </c>
      <c r="B5688" s="14">
        <v>46238.0</v>
      </c>
      <c r="C5688" s="9" t="s">
        <v>110</v>
      </c>
      <c r="D5688" s="9" t="s">
        <v>178</v>
      </c>
      <c r="E5688" s="9" t="s">
        <v>17</v>
      </c>
      <c r="F5688" s="9" t="s">
        <v>17</v>
      </c>
      <c r="G5688" s="9">
        <v>7.0</v>
      </c>
      <c r="H5688" s="9" t="s">
        <v>17</v>
      </c>
      <c r="I5688" s="9" t="s">
        <v>20</v>
      </c>
      <c r="J5688" s="16">
        <v>0.6</v>
      </c>
      <c r="K5688" s="14">
        <v>3.0</v>
      </c>
      <c r="N5688" s="14" t="str">
        <f>IFERROR(__xludf.DUMMYFUNCTION("""COMPUTED_VALUE"""),"")</f>
        <v/>
      </c>
      <c r="O5688" s="14"/>
    </row>
    <row r="5689" ht="22.5" hidden="1" customHeight="1">
      <c r="A5689" s="8">
        <v>46238.36428383102</v>
      </c>
      <c r="B5689" s="14">
        <v>46238.0</v>
      </c>
      <c r="C5689" s="9" t="s">
        <v>110</v>
      </c>
      <c r="D5689" s="9" t="s">
        <v>175</v>
      </c>
      <c r="E5689" s="9" t="s">
        <v>61</v>
      </c>
      <c r="F5689" s="9" t="s">
        <v>60</v>
      </c>
      <c r="G5689" s="9">
        <v>7.0</v>
      </c>
      <c r="H5689" s="9" t="s">
        <v>25</v>
      </c>
      <c r="I5689" s="9" t="s">
        <v>207</v>
      </c>
      <c r="J5689" s="16">
        <v>0.6</v>
      </c>
      <c r="K5689" s="14" t="s">
        <v>398</v>
      </c>
      <c r="N5689" s="14" t="str">
        <f>IFERROR(__xludf.DUMMYFUNCTION("""COMPUTED_VALUE"""),"")</f>
        <v/>
      </c>
      <c r="O5689" s="14"/>
    </row>
    <row r="5690" ht="22.5" hidden="1" customHeight="1">
      <c r="A5690" s="8">
        <v>46238.36464372685</v>
      </c>
      <c r="B5690" s="14">
        <v>46238.0</v>
      </c>
      <c r="C5690" s="9" t="s">
        <v>110</v>
      </c>
      <c r="D5690" s="9" t="s">
        <v>394</v>
      </c>
      <c r="E5690" s="9" t="s">
        <v>17</v>
      </c>
      <c r="F5690" s="9" t="s">
        <v>17</v>
      </c>
      <c r="G5690" s="9">
        <v>7.0</v>
      </c>
      <c r="H5690" s="9" t="s">
        <v>22</v>
      </c>
      <c r="I5690" s="9" t="s">
        <v>20</v>
      </c>
      <c r="J5690" s="16">
        <v>1.0</v>
      </c>
      <c r="K5690" s="14" t="s">
        <v>398</v>
      </c>
      <c r="N5690" s="14" t="str">
        <f>IFERROR(__xludf.DUMMYFUNCTION("""COMPUTED_VALUE"""),"")</f>
        <v/>
      </c>
      <c r="O5690" s="14"/>
    </row>
    <row r="5691" ht="22.5" hidden="1" customHeight="1">
      <c r="A5691" s="8">
        <v>46238.36507260417</v>
      </c>
      <c r="B5691" s="14">
        <v>46238.0</v>
      </c>
      <c r="C5691" s="9" t="s">
        <v>110</v>
      </c>
      <c r="D5691" s="9" t="s">
        <v>259</v>
      </c>
      <c r="E5691" s="9" t="s">
        <v>17</v>
      </c>
      <c r="F5691" s="9" t="s">
        <v>39</v>
      </c>
      <c r="G5691" s="9">
        <v>8.0</v>
      </c>
      <c r="H5691" s="9" t="s">
        <v>25</v>
      </c>
      <c r="I5691" s="9" t="s">
        <v>26</v>
      </c>
      <c r="J5691" s="16">
        <v>0.6</v>
      </c>
      <c r="K5691" s="14" t="s">
        <v>398</v>
      </c>
      <c r="N5691" s="14" t="str">
        <f>IFERROR(__xludf.DUMMYFUNCTION("""COMPUTED_VALUE"""),"")</f>
        <v/>
      </c>
      <c r="O5691" s="14"/>
    </row>
    <row r="5692" ht="22.5" hidden="1" customHeight="1">
      <c r="A5692" s="8">
        <v>46238.365551759256</v>
      </c>
      <c r="B5692" s="14">
        <v>46238.0</v>
      </c>
      <c r="C5692" s="9" t="s">
        <v>110</v>
      </c>
      <c r="D5692" s="9" t="s">
        <v>210</v>
      </c>
      <c r="E5692" s="9" t="s">
        <v>17</v>
      </c>
      <c r="F5692" s="9" t="s">
        <v>17</v>
      </c>
      <c r="G5692" s="9">
        <v>6.0</v>
      </c>
      <c r="H5692" s="9" t="s">
        <v>25</v>
      </c>
      <c r="I5692" s="9" t="s">
        <v>34</v>
      </c>
      <c r="J5692" s="16">
        <v>0.6</v>
      </c>
      <c r="K5692" s="14" t="s">
        <v>398</v>
      </c>
      <c r="N5692" s="14" t="str">
        <f>IFERROR(__xludf.DUMMYFUNCTION("""COMPUTED_VALUE"""),"")</f>
        <v/>
      </c>
      <c r="O5692" s="14"/>
    </row>
    <row r="5693" ht="22.5" hidden="1" customHeight="1">
      <c r="A5693" s="8">
        <v>46238.36672680556</v>
      </c>
      <c r="B5693" s="14">
        <v>46238.0</v>
      </c>
      <c r="C5693" s="9" t="s">
        <v>110</v>
      </c>
      <c r="D5693" s="9" t="s">
        <v>247</v>
      </c>
      <c r="E5693" s="9" t="s">
        <v>140</v>
      </c>
      <c r="F5693" s="9" t="s">
        <v>60</v>
      </c>
      <c r="G5693" s="9">
        <v>6.0</v>
      </c>
      <c r="H5693" s="9" t="s">
        <v>25</v>
      </c>
      <c r="I5693" s="9" t="s">
        <v>211</v>
      </c>
      <c r="J5693" s="16">
        <v>0.2</v>
      </c>
      <c r="K5693" s="14" t="s">
        <v>398</v>
      </c>
      <c r="N5693" s="14" t="str">
        <f>IFERROR(__xludf.DUMMYFUNCTION("""COMPUTED_VALUE"""),"")</f>
        <v/>
      </c>
      <c r="O5693" s="14"/>
    </row>
    <row r="5694" ht="22.5" hidden="1" customHeight="1">
      <c r="A5694" s="8">
        <v>46238.36813971065</v>
      </c>
      <c r="B5694" s="14">
        <v>46238.0</v>
      </c>
      <c r="C5694" s="9" t="s">
        <v>110</v>
      </c>
      <c r="D5694" s="9" t="s">
        <v>457</v>
      </c>
      <c r="E5694" s="9" t="s">
        <v>17</v>
      </c>
      <c r="F5694" s="9" t="s">
        <v>17</v>
      </c>
      <c r="G5694" s="9">
        <v>7.0</v>
      </c>
      <c r="H5694" s="9" t="s">
        <v>17</v>
      </c>
      <c r="I5694" s="9" t="s">
        <v>20</v>
      </c>
      <c r="J5694" s="16">
        <v>0.8</v>
      </c>
      <c r="K5694" s="14" t="s">
        <v>398</v>
      </c>
      <c r="N5694" s="14" t="str">
        <f>IFERROR(__xludf.DUMMYFUNCTION("""COMPUTED_VALUE"""),"")</f>
        <v/>
      </c>
      <c r="O5694" s="14"/>
    </row>
    <row r="5695" ht="22.5" hidden="1" customHeight="1">
      <c r="A5695" s="8">
        <v>46238.36861527778</v>
      </c>
      <c r="B5695" s="14">
        <v>46238.0</v>
      </c>
      <c r="C5695" s="9" t="s">
        <v>110</v>
      </c>
      <c r="D5695" s="9" t="s">
        <v>464</v>
      </c>
      <c r="E5695" s="9" t="s">
        <v>17</v>
      </c>
      <c r="F5695" s="9" t="s">
        <v>18</v>
      </c>
      <c r="G5695" s="9" t="s">
        <v>409</v>
      </c>
      <c r="H5695" s="9" t="s">
        <v>17</v>
      </c>
      <c r="I5695" s="9" t="s">
        <v>20</v>
      </c>
      <c r="J5695" s="16">
        <v>1.0</v>
      </c>
      <c r="K5695" s="14" t="s">
        <v>398</v>
      </c>
      <c r="N5695" s="14" t="str">
        <f>IFERROR(__xludf.DUMMYFUNCTION("""COMPUTED_VALUE"""),"")</f>
        <v/>
      </c>
      <c r="O5695" s="14"/>
    </row>
    <row r="5696" ht="22.5" hidden="1" customHeight="1">
      <c r="A5696" s="8">
        <v>46238.37218314815</v>
      </c>
      <c r="B5696" s="14">
        <v>46238.0</v>
      </c>
      <c r="C5696" s="9" t="s">
        <v>110</v>
      </c>
      <c r="D5696" s="9" t="s">
        <v>441</v>
      </c>
      <c r="E5696" s="9" t="s">
        <v>30</v>
      </c>
      <c r="F5696" s="9" t="s">
        <v>17</v>
      </c>
      <c r="G5696" s="9" t="s">
        <v>410</v>
      </c>
      <c r="H5696" s="9" t="s">
        <v>22</v>
      </c>
      <c r="I5696" s="9" t="s">
        <v>20</v>
      </c>
      <c r="J5696" s="16">
        <v>1.0</v>
      </c>
      <c r="K5696" s="14">
        <v>3.0</v>
      </c>
      <c r="N5696" s="14" t="str">
        <f>IFERROR(__xludf.DUMMYFUNCTION("""COMPUTED_VALUE"""),"")</f>
        <v/>
      </c>
      <c r="O5696" s="14"/>
    </row>
    <row r="5697" ht="22.5" hidden="1" customHeight="1">
      <c r="A5697" s="8">
        <v>46238.37262875</v>
      </c>
      <c r="B5697" s="14">
        <v>46238.0</v>
      </c>
      <c r="C5697" s="9" t="s">
        <v>110</v>
      </c>
      <c r="D5697" s="9" t="s">
        <v>174</v>
      </c>
      <c r="E5697" s="9" t="s">
        <v>17</v>
      </c>
      <c r="F5697" s="9" t="s">
        <v>17</v>
      </c>
      <c r="G5697" s="9">
        <v>7.0</v>
      </c>
      <c r="H5697" s="9" t="s">
        <v>22</v>
      </c>
      <c r="I5697" s="9" t="s">
        <v>20</v>
      </c>
      <c r="J5697" s="16">
        <v>1.0</v>
      </c>
      <c r="K5697" s="14">
        <v>4.0</v>
      </c>
      <c r="N5697" s="14" t="str">
        <f>IFERROR(__xludf.DUMMYFUNCTION("""COMPUTED_VALUE"""),"")</f>
        <v/>
      </c>
      <c r="O5697" s="14"/>
    </row>
    <row r="5698" ht="22.5" hidden="1" customHeight="1">
      <c r="A5698" s="8">
        <v>46238.374843831014</v>
      </c>
      <c r="B5698" s="14">
        <v>46238.0</v>
      </c>
      <c r="C5698" s="9" t="s">
        <v>110</v>
      </c>
      <c r="D5698" s="9" t="s">
        <v>463</v>
      </c>
      <c r="E5698" s="9" t="s">
        <v>17</v>
      </c>
      <c r="F5698" s="9" t="s">
        <v>17</v>
      </c>
      <c r="G5698" s="9">
        <v>8.0</v>
      </c>
      <c r="H5698" s="9" t="s">
        <v>17</v>
      </c>
      <c r="I5698" s="9" t="s">
        <v>20</v>
      </c>
      <c r="J5698" s="16">
        <v>0.8</v>
      </c>
      <c r="K5698" s="14" t="s">
        <v>398</v>
      </c>
      <c r="N5698" s="14" t="str">
        <f>IFERROR(__xludf.DUMMYFUNCTION("""COMPUTED_VALUE"""),"")</f>
        <v/>
      </c>
      <c r="O5698" s="14"/>
    </row>
    <row r="5699" ht="22.5" hidden="1" customHeight="1">
      <c r="A5699" s="8">
        <v>46238.37542467593</v>
      </c>
      <c r="B5699" s="14">
        <v>46238.0</v>
      </c>
      <c r="C5699" s="9" t="s">
        <v>110</v>
      </c>
      <c r="D5699" s="9" t="s">
        <v>461</v>
      </c>
      <c r="E5699" s="9" t="s">
        <v>17</v>
      </c>
      <c r="F5699" s="9" t="s">
        <v>17</v>
      </c>
      <c r="G5699" s="9">
        <v>8.0</v>
      </c>
      <c r="H5699" s="9" t="s">
        <v>17</v>
      </c>
      <c r="I5699" s="9" t="s">
        <v>20</v>
      </c>
      <c r="J5699" s="16">
        <v>0.8</v>
      </c>
      <c r="K5699" s="14" t="s">
        <v>398</v>
      </c>
      <c r="N5699" s="14" t="str">
        <f>IFERROR(__xludf.DUMMYFUNCTION("""COMPUTED_VALUE"""),"")</f>
        <v/>
      </c>
      <c r="O5699" s="14"/>
    </row>
    <row r="5700" ht="22.5" hidden="1" customHeight="1">
      <c r="A5700" s="8">
        <v>46238.37593008102</v>
      </c>
      <c r="B5700" s="14">
        <v>46238.0</v>
      </c>
      <c r="C5700" s="9" t="s">
        <v>110</v>
      </c>
      <c r="D5700" s="9" t="s">
        <v>460</v>
      </c>
      <c r="E5700" s="9" t="s">
        <v>17</v>
      </c>
      <c r="F5700" s="9" t="s">
        <v>17</v>
      </c>
      <c r="G5700" s="9">
        <v>8.0</v>
      </c>
      <c r="H5700" s="9" t="s">
        <v>17</v>
      </c>
      <c r="I5700" s="9" t="s">
        <v>20</v>
      </c>
      <c r="J5700" s="16">
        <v>0.8</v>
      </c>
      <c r="K5700" s="14" t="s">
        <v>398</v>
      </c>
      <c r="N5700" s="14" t="str">
        <f>IFERROR(__xludf.DUMMYFUNCTION("""COMPUTED_VALUE"""),"")</f>
        <v/>
      </c>
      <c r="O5700" s="14"/>
    </row>
    <row r="5701" ht="22.5" hidden="1" customHeight="1">
      <c r="A5701" s="8">
        <v>46238.37609827546</v>
      </c>
      <c r="B5701" s="14">
        <v>46238.0</v>
      </c>
      <c r="C5701" s="9" t="s">
        <v>110</v>
      </c>
      <c r="D5701" s="9" t="s">
        <v>257</v>
      </c>
      <c r="E5701" s="9" t="s">
        <v>30</v>
      </c>
      <c r="F5701" s="9" t="s">
        <v>18</v>
      </c>
      <c r="G5701" s="9">
        <v>8.0</v>
      </c>
      <c r="H5701" s="9" t="s">
        <v>22</v>
      </c>
      <c r="I5701" s="9" t="s">
        <v>20</v>
      </c>
      <c r="J5701" s="16">
        <v>1.0</v>
      </c>
      <c r="K5701" s="14" t="s">
        <v>398</v>
      </c>
      <c r="N5701" s="14" t="str">
        <f>IFERROR(__xludf.DUMMYFUNCTION("""COMPUTED_VALUE"""),"")</f>
        <v/>
      </c>
      <c r="O5701" s="14"/>
    </row>
    <row r="5702" ht="22.5" hidden="1" customHeight="1">
      <c r="A5702" s="8">
        <v>46239.653288125</v>
      </c>
      <c r="B5702" s="14">
        <v>46239.0</v>
      </c>
      <c r="C5702" s="9" t="s">
        <v>15</v>
      </c>
      <c r="D5702" s="9" t="s">
        <v>259</v>
      </c>
      <c r="E5702" s="9" t="s">
        <v>44</v>
      </c>
      <c r="F5702" s="9" t="s">
        <v>35</v>
      </c>
      <c r="G5702" s="9" t="s">
        <v>409</v>
      </c>
      <c r="H5702" s="9" t="s">
        <v>22</v>
      </c>
      <c r="I5702" s="9" t="s">
        <v>20</v>
      </c>
      <c r="J5702" s="16">
        <v>0.8</v>
      </c>
      <c r="K5702" s="14">
        <v>3.0</v>
      </c>
      <c r="N5702" s="14" t="str">
        <f>IFERROR(__xludf.DUMMYFUNCTION("""COMPUTED_VALUE"""),"")</f>
        <v/>
      </c>
      <c r="O5702" s="14"/>
    </row>
    <row r="5703" ht="22.5" hidden="1" customHeight="1">
      <c r="A5703" s="8">
        <v>46239.65364420139</v>
      </c>
      <c r="B5703" s="14">
        <v>46239.0</v>
      </c>
      <c r="C5703" s="9" t="s">
        <v>15</v>
      </c>
      <c r="D5703" s="9" t="s">
        <v>105</v>
      </c>
      <c r="E5703" s="9" t="s">
        <v>17</v>
      </c>
      <c r="F5703" s="9" t="s">
        <v>17</v>
      </c>
      <c r="G5703" s="9">
        <v>7.0</v>
      </c>
      <c r="H5703" s="9" t="s">
        <v>22</v>
      </c>
      <c r="I5703" s="9" t="s">
        <v>20</v>
      </c>
      <c r="J5703" s="16">
        <v>0.8</v>
      </c>
      <c r="K5703" s="14">
        <v>3.0</v>
      </c>
      <c r="N5703" s="14" t="str">
        <f>IFERROR(__xludf.DUMMYFUNCTION("""COMPUTED_VALUE"""),"")</f>
        <v/>
      </c>
      <c r="O5703" s="14"/>
    </row>
    <row r="5704" ht="22.5" hidden="1" customHeight="1">
      <c r="A5704" s="8">
        <v>46239.65421289352</v>
      </c>
      <c r="B5704" s="14">
        <v>46239.0</v>
      </c>
      <c r="C5704" s="9" t="s">
        <v>15</v>
      </c>
      <c r="D5704" s="9" t="s">
        <v>249</v>
      </c>
      <c r="E5704" s="9" t="s">
        <v>17</v>
      </c>
      <c r="F5704" s="9" t="s">
        <v>18</v>
      </c>
      <c r="G5704" s="9">
        <v>8.0</v>
      </c>
      <c r="H5704" s="9" t="s">
        <v>22</v>
      </c>
      <c r="I5704" s="9" t="s">
        <v>20</v>
      </c>
      <c r="J5704" s="16">
        <v>0.8</v>
      </c>
      <c r="K5704" s="14">
        <v>3.0</v>
      </c>
      <c r="N5704" s="14" t="str">
        <f>IFERROR(__xludf.DUMMYFUNCTION("""COMPUTED_VALUE"""),"")</f>
        <v/>
      </c>
      <c r="O5704" s="14"/>
    </row>
    <row r="5705" ht="22.5" hidden="1" customHeight="1">
      <c r="A5705" s="8">
        <v>46239.6563243287</v>
      </c>
      <c r="B5705" s="14">
        <v>46239.0</v>
      </c>
      <c r="C5705" s="9" t="s">
        <v>15</v>
      </c>
      <c r="D5705" s="9" t="s">
        <v>367</v>
      </c>
      <c r="E5705" s="9" t="s">
        <v>46</v>
      </c>
      <c r="F5705" s="9" t="s">
        <v>17</v>
      </c>
      <c r="G5705" s="9" t="s">
        <v>409</v>
      </c>
      <c r="H5705" s="9" t="s">
        <v>25</v>
      </c>
      <c r="I5705" s="9" t="s">
        <v>473</v>
      </c>
      <c r="J5705" s="16">
        <v>0.8</v>
      </c>
      <c r="K5705" s="14">
        <v>7.0</v>
      </c>
      <c r="N5705" s="14" t="str">
        <f>IFERROR(__xludf.DUMMYFUNCTION("""COMPUTED_VALUE"""),"")</f>
        <v/>
      </c>
      <c r="O5705" s="14"/>
    </row>
    <row r="5706" ht="22.5" hidden="1" customHeight="1">
      <c r="A5706" s="8">
        <v>46239.656658101856</v>
      </c>
      <c r="B5706" s="14">
        <v>46239.0</v>
      </c>
      <c r="C5706" s="9" t="s">
        <v>15</v>
      </c>
      <c r="D5706" s="9" t="s">
        <v>394</v>
      </c>
      <c r="E5706" s="9" t="s">
        <v>44</v>
      </c>
      <c r="F5706" s="9" t="s">
        <v>17</v>
      </c>
      <c r="G5706" s="9">
        <v>8.0</v>
      </c>
      <c r="H5706" s="9" t="s">
        <v>22</v>
      </c>
      <c r="I5706" s="9" t="s">
        <v>20</v>
      </c>
      <c r="J5706" s="16">
        <v>1.0</v>
      </c>
      <c r="K5706" s="14" t="s">
        <v>398</v>
      </c>
      <c r="N5706" s="14" t="str">
        <f>IFERROR(__xludf.DUMMYFUNCTION("""COMPUTED_VALUE"""),"")</f>
        <v/>
      </c>
      <c r="O5706" s="14"/>
    </row>
    <row r="5707" ht="22.5" hidden="1" customHeight="1">
      <c r="A5707" s="8">
        <v>46239.657552199074</v>
      </c>
      <c r="B5707" s="14">
        <v>46239.0</v>
      </c>
      <c r="C5707" s="9" t="s">
        <v>15</v>
      </c>
      <c r="D5707" s="9" t="s">
        <v>174</v>
      </c>
      <c r="E5707" s="9" t="s">
        <v>30</v>
      </c>
      <c r="F5707" s="9" t="s">
        <v>17</v>
      </c>
      <c r="G5707" s="9">
        <v>8.0</v>
      </c>
      <c r="H5707" s="9" t="s">
        <v>25</v>
      </c>
      <c r="I5707" s="9" t="s">
        <v>67</v>
      </c>
      <c r="J5707" s="16">
        <v>1.0</v>
      </c>
      <c r="K5707" s="14">
        <v>4.0</v>
      </c>
      <c r="N5707" s="14" t="str">
        <f>IFERROR(__xludf.DUMMYFUNCTION("""COMPUTED_VALUE"""),"")</f>
        <v/>
      </c>
      <c r="O5707" s="14"/>
    </row>
    <row r="5708" ht="22.5" hidden="1" customHeight="1">
      <c r="A5708" s="8">
        <v>46239.67482240741</v>
      </c>
      <c r="B5708" s="14">
        <v>46239.0</v>
      </c>
      <c r="C5708" s="9" t="s">
        <v>15</v>
      </c>
      <c r="D5708" s="9" t="s">
        <v>396</v>
      </c>
      <c r="E5708" s="9" t="s">
        <v>17</v>
      </c>
      <c r="F5708" s="9" t="s">
        <v>43</v>
      </c>
      <c r="G5708" s="9">
        <v>6.0</v>
      </c>
      <c r="H5708" s="9" t="s">
        <v>17</v>
      </c>
      <c r="I5708" s="9" t="s">
        <v>20</v>
      </c>
      <c r="J5708" s="16">
        <v>1.0</v>
      </c>
      <c r="K5708" s="14">
        <v>3.0</v>
      </c>
      <c r="N5708" s="14" t="str">
        <f>IFERROR(__xludf.DUMMYFUNCTION("""COMPUTED_VALUE"""),"")</f>
        <v/>
      </c>
      <c r="O5708" s="14"/>
    </row>
    <row r="5709" ht="22.5" hidden="1" customHeight="1">
      <c r="A5709" s="8">
        <v>46239.6766755787</v>
      </c>
      <c r="B5709" s="14">
        <v>46239.0</v>
      </c>
      <c r="C5709" s="9" t="s">
        <v>15</v>
      </c>
      <c r="D5709" s="9" t="s">
        <v>171</v>
      </c>
      <c r="E5709" s="9" t="s">
        <v>17</v>
      </c>
      <c r="F5709" s="9" t="s">
        <v>43</v>
      </c>
      <c r="G5709" s="9">
        <v>8.0</v>
      </c>
      <c r="H5709" s="9" t="s">
        <v>25</v>
      </c>
      <c r="I5709" s="9" t="s">
        <v>173</v>
      </c>
      <c r="J5709" s="16">
        <v>0.6</v>
      </c>
      <c r="K5709" s="14">
        <v>3.0</v>
      </c>
      <c r="N5709" s="14" t="str">
        <f>IFERROR(__xludf.DUMMYFUNCTION("""COMPUTED_VALUE"""),"")</f>
        <v/>
      </c>
      <c r="O5709" s="14"/>
    </row>
    <row r="5710" ht="22.5" hidden="1" customHeight="1">
      <c r="A5710" s="8">
        <v>46239.6773502662</v>
      </c>
      <c r="B5710" s="14">
        <v>46239.0</v>
      </c>
      <c r="C5710" s="9" t="s">
        <v>15</v>
      </c>
      <c r="D5710" s="9" t="s">
        <v>257</v>
      </c>
      <c r="E5710" s="9" t="s">
        <v>44</v>
      </c>
      <c r="F5710" s="9" t="s">
        <v>18</v>
      </c>
      <c r="G5710" s="9" t="s">
        <v>409</v>
      </c>
      <c r="H5710" s="9" t="s">
        <v>22</v>
      </c>
      <c r="I5710" s="9" t="s">
        <v>20</v>
      </c>
      <c r="J5710" s="16">
        <v>1.0</v>
      </c>
      <c r="K5710" s="14" t="s">
        <v>398</v>
      </c>
      <c r="N5710" s="14" t="str">
        <f>IFERROR(__xludf.DUMMYFUNCTION("""COMPUTED_VALUE"""),"")</f>
        <v/>
      </c>
      <c r="O5710" s="14"/>
    </row>
    <row r="5711" ht="22.5" hidden="1" customHeight="1">
      <c r="A5711" s="8">
        <v>46239.677654479165</v>
      </c>
      <c r="B5711" s="14">
        <v>46239.0</v>
      </c>
      <c r="C5711" s="9" t="s">
        <v>15</v>
      </c>
      <c r="D5711" s="9" t="s">
        <v>414</v>
      </c>
      <c r="E5711" s="9" t="s">
        <v>17</v>
      </c>
      <c r="F5711" s="9" t="s">
        <v>17</v>
      </c>
      <c r="G5711" s="9">
        <v>8.0</v>
      </c>
      <c r="H5711" s="9" t="s">
        <v>17</v>
      </c>
      <c r="I5711" s="9" t="s">
        <v>20</v>
      </c>
      <c r="J5711" s="16">
        <v>1.0</v>
      </c>
      <c r="K5711" s="14">
        <v>2.0</v>
      </c>
      <c r="N5711" s="14" t="str">
        <f>IFERROR(__xludf.DUMMYFUNCTION("""COMPUTED_VALUE"""),"")</f>
        <v/>
      </c>
      <c r="O5711" s="14"/>
    </row>
    <row r="5712" ht="22.5" hidden="1" customHeight="1">
      <c r="A5712" s="8">
        <v>46239.67795380787</v>
      </c>
      <c r="B5712" s="14">
        <v>46239.0</v>
      </c>
      <c r="C5712" s="9" t="s">
        <v>15</v>
      </c>
      <c r="D5712" s="9" t="s">
        <v>393</v>
      </c>
      <c r="E5712" s="9" t="s">
        <v>44</v>
      </c>
      <c r="F5712" s="9" t="s">
        <v>17</v>
      </c>
      <c r="G5712" s="9">
        <v>8.0</v>
      </c>
      <c r="H5712" s="9" t="s">
        <v>22</v>
      </c>
      <c r="I5712" s="9" t="s">
        <v>20</v>
      </c>
      <c r="J5712" s="16">
        <v>0.8</v>
      </c>
      <c r="K5712" s="14">
        <v>3.0</v>
      </c>
      <c r="N5712" s="14" t="str">
        <f>IFERROR(__xludf.DUMMYFUNCTION("""COMPUTED_VALUE"""),"")</f>
        <v/>
      </c>
      <c r="O5712" s="14"/>
    </row>
    <row r="5713" ht="22.5" hidden="1" customHeight="1">
      <c r="A5713" s="8">
        <v>46239.68116766204</v>
      </c>
      <c r="B5713" s="14">
        <v>46239.0</v>
      </c>
      <c r="C5713" s="9" t="s">
        <v>15</v>
      </c>
      <c r="D5713" s="9" t="s">
        <v>357</v>
      </c>
      <c r="E5713" s="9" t="s">
        <v>17</v>
      </c>
      <c r="F5713" s="9" t="s">
        <v>43</v>
      </c>
      <c r="G5713" s="9" t="s">
        <v>409</v>
      </c>
      <c r="H5713" s="9" t="s">
        <v>17</v>
      </c>
      <c r="I5713" s="9" t="s">
        <v>20</v>
      </c>
      <c r="J5713" s="16">
        <v>0.6</v>
      </c>
      <c r="K5713" s="14">
        <v>3.0</v>
      </c>
      <c r="N5713" s="14" t="str">
        <f>IFERROR(__xludf.DUMMYFUNCTION("""COMPUTED_VALUE"""),"")</f>
        <v/>
      </c>
      <c r="O5713" s="14"/>
    </row>
    <row r="5714" ht="22.5" hidden="1" customHeight="1">
      <c r="A5714" s="8">
        <v>46239.68360510417</v>
      </c>
      <c r="B5714" s="14">
        <v>46239.0</v>
      </c>
      <c r="C5714" s="9" t="s">
        <v>15</v>
      </c>
      <c r="D5714" s="9" t="s">
        <v>441</v>
      </c>
      <c r="E5714" s="9" t="s">
        <v>30</v>
      </c>
      <c r="F5714" s="9" t="s">
        <v>18</v>
      </c>
      <c r="G5714" s="9" t="s">
        <v>409</v>
      </c>
      <c r="H5714" s="9" t="s">
        <v>22</v>
      </c>
      <c r="I5714" s="9" t="s">
        <v>20</v>
      </c>
      <c r="J5714" s="16">
        <v>1.0</v>
      </c>
      <c r="K5714" s="14">
        <v>3.0</v>
      </c>
      <c r="N5714" s="14" t="str">
        <f>IFERROR(__xludf.DUMMYFUNCTION("""COMPUTED_VALUE"""),"")</f>
        <v/>
      </c>
      <c r="O5714" s="14"/>
    </row>
    <row r="5715" ht="22.5" hidden="1" customHeight="1">
      <c r="A5715" s="8">
        <v>46239.684049930554</v>
      </c>
      <c r="B5715" s="14">
        <v>46239.0</v>
      </c>
      <c r="C5715" s="9" t="s">
        <v>15</v>
      </c>
      <c r="D5715" s="9" t="s">
        <v>413</v>
      </c>
      <c r="E5715" s="9" t="s">
        <v>17</v>
      </c>
      <c r="F5715" s="9" t="s">
        <v>17</v>
      </c>
      <c r="G5715" s="9">
        <v>8.0</v>
      </c>
      <c r="H5715" s="9" t="s">
        <v>22</v>
      </c>
      <c r="I5715" s="9" t="s">
        <v>20</v>
      </c>
      <c r="J5715" s="16">
        <v>0.8</v>
      </c>
      <c r="K5715" s="14">
        <v>4.0</v>
      </c>
      <c r="N5715" s="14" t="str">
        <f>IFERROR(__xludf.DUMMYFUNCTION("""COMPUTED_VALUE"""),"")</f>
        <v/>
      </c>
      <c r="O5715" s="14"/>
    </row>
    <row r="5716" ht="22.5" hidden="1" customHeight="1">
      <c r="A5716" s="8">
        <v>46239.6866591088</v>
      </c>
      <c r="B5716" s="14">
        <v>46239.0</v>
      </c>
      <c r="C5716" s="9" t="s">
        <v>15</v>
      </c>
      <c r="D5716" s="9" t="s">
        <v>178</v>
      </c>
      <c r="E5716" s="9" t="s">
        <v>17</v>
      </c>
      <c r="F5716" s="9" t="s">
        <v>17</v>
      </c>
      <c r="G5716" s="9">
        <v>7.0</v>
      </c>
      <c r="H5716" s="9" t="s">
        <v>17</v>
      </c>
      <c r="I5716" s="9" t="s">
        <v>20</v>
      </c>
      <c r="J5716" s="16">
        <v>0.8</v>
      </c>
      <c r="K5716" s="14">
        <v>4.0</v>
      </c>
      <c r="N5716" s="14" t="str">
        <f>IFERROR(__xludf.DUMMYFUNCTION("""COMPUTED_VALUE"""),"")</f>
        <v/>
      </c>
      <c r="O5716" s="14"/>
    </row>
    <row r="5717" ht="22.5" hidden="1" customHeight="1">
      <c r="A5717" s="8">
        <v>46239.69028509259</v>
      </c>
      <c r="B5717" s="14">
        <v>46239.0</v>
      </c>
      <c r="C5717" s="9" t="s">
        <v>15</v>
      </c>
      <c r="D5717" s="9" t="s">
        <v>460</v>
      </c>
      <c r="E5717" s="9" t="s">
        <v>17</v>
      </c>
      <c r="F5717" s="9" t="s">
        <v>17</v>
      </c>
      <c r="G5717" s="9" t="s">
        <v>409</v>
      </c>
      <c r="H5717" s="9" t="s">
        <v>17</v>
      </c>
      <c r="I5717" s="9" t="s">
        <v>20</v>
      </c>
      <c r="J5717" s="16">
        <v>0.8</v>
      </c>
      <c r="K5717" s="14">
        <v>3.0</v>
      </c>
      <c r="N5717" s="14" t="str">
        <f>IFERROR(__xludf.DUMMYFUNCTION("""COMPUTED_VALUE"""),"")</f>
        <v/>
      </c>
      <c r="O5717" s="14"/>
    </row>
    <row r="5718" ht="22.5" hidden="1" customHeight="1">
      <c r="A5718" s="8">
        <v>46239.690810949076</v>
      </c>
      <c r="B5718" s="14">
        <v>46239.0</v>
      </c>
      <c r="C5718" s="9" t="s">
        <v>15</v>
      </c>
      <c r="D5718" s="9" t="s">
        <v>457</v>
      </c>
      <c r="E5718" s="9" t="s">
        <v>17</v>
      </c>
      <c r="F5718" s="9" t="s">
        <v>18</v>
      </c>
      <c r="G5718" s="9" t="s">
        <v>409</v>
      </c>
      <c r="H5718" s="9" t="s">
        <v>17</v>
      </c>
      <c r="I5718" s="9" t="s">
        <v>20</v>
      </c>
      <c r="J5718" s="16">
        <v>0.8</v>
      </c>
      <c r="K5718" s="14" t="s">
        <v>398</v>
      </c>
      <c r="N5718" s="14" t="str">
        <f>IFERROR(__xludf.DUMMYFUNCTION("""COMPUTED_VALUE"""),"")</f>
        <v/>
      </c>
      <c r="O5718" s="14"/>
    </row>
    <row r="5719" ht="22.5" hidden="1" customHeight="1">
      <c r="A5719" s="8">
        <v>46239.69127905092</v>
      </c>
      <c r="B5719" s="14">
        <v>46239.0</v>
      </c>
      <c r="C5719" s="9" t="s">
        <v>15</v>
      </c>
      <c r="D5719" s="9" t="s">
        <v>464</v>
      </c>
      <c r="E5719" s="9" t="s">
        <v>17</v>
      </c>
      <c r="F5719" s="9" t="s">
        <v>18</v>
      </c>
      <c r="G5719" s="9" t="s">
        <v>409</v>
      </c>
      <c r="H5719" s="9" t="s">
        <v>17</v>
      </c>
      <c r="I5719" s="9" t="s">
        <v>20</v>
      </c>
      <c r="J5719" s="16">
        <v>0.8</v>
      </c>
      <c r="K5719" s="14" t="s">
        <v>398</v>
      </c>
      <c r="N5719" s="14" t="str">
        <f>IFERROR(__xludf.DUMMYFUNCTION("""COMPUTED_VALUE"""),"")</f>
        <v/>
      </c>
      <c r="O5719" s="14"/>
    </row>
    <row r="5720" ht="22.5" hidden="1" customHeight="1">
      <c r="A5720" s="8">
        <v>46239.69380479166</v>
      </c>
      <c r="B5720" s="14">
        <v>46239.0</v>
      </c>
      <c r="C5720" s="9" t="s">
        <v>15</v>
      </c>
      <c r="D5720" s="9" t="s">
        <v>175</v>
      </c>
      <c r="E5720" s="9" t="s">
        <v>17</v>
      </c>
      <c r="F5720" s="9" t="s">
        <v>17</v>
      </c>
      <c r="G5720" s="9" t="s">
        <v>409</v>
      </c>
      <c r="H5720" s="9" t="s">
        <v>25</v>
      </c>
      <c r="I5720" s="9" t="s">
        <v>207</v>
      </c>
      <c r="J5720" s="16">
        <v>0.8</v>
      </c>
      <c r="K5720" s="14">
        <v>3.0</v>
      </c>
      <c r="N5720" s="14" t="str">
        <f>IFERROR(__xludf.DUMMYFUNCTION("""COMPUTED_VALUE"""),"")</f>
        <v/>
      </c>
      <c r="O5720" s="14"/>
    </row>
    <row r="5721" ht="22.5" hidden="1" customHeight="1">
      <c r="A5721" s="8">
        <v>46239.695030636576</v>
      </c>
      <c r="B5721" s="14">
        <v>46239.0</v>
      </c>
      <c r="C5721" s="9" t="s">
        <v>15</v>
      </c>
      <c r="D5721" s="9" t="s">
        <v>177</v>
      </c>
      <c r="E5721" s="9" t="s">
        <v>17</v>
      </c>
      <c r="F5721" s="9" t="s">
        <v>17</v>
      </c>
      <c r="G5721" s="9">
        <v>7.0</v>
      </c>
      <c r="H5721" s="9" t="s">
        <v>22</v>
      </c>
      <c r="I5721" s="9" t="s">
        <v>20</v>
      </c>
      <c r="J5721" s="16">
        <v>0.8</v>
      </c>
      <c r="K5721" s="14">
        <v>2.0</v>
      </c>
      <c r="N5721" s="14" t="str">
        <f>IFERROR(__xludf.DUMMYFUNCTION("""COMPUTED_VALUE"""),"")</f>
        <v/>
      </c>
      <c r="O5721" s="14"/>
    </row>
    <row r="5722" ht="22.5" hidden="1" customHeight="1">
      <c r="A5722" s="8">
        <v>46239.69564868056</v>
      </c>
      <c r="B5722" s="14">
        <v>46239.0</v>
      </c>
      <c r="C5722" s="9" t="s">
        <v>15</v>
      </c>
      <c r="D5722" s="9" t="s">
        <v>369</v>
      </c>
      <c r="E5722" s="9" t="s">
        <v>17</v>
      </c>
      <c r="F5722" s="9" t="s">
        <v>17</v>
      </c>
      <c r="G5722" s="9">
        <v>8.0</v>
      </c>
      <c r="H5722" s="9" t="s">
        <v>25</v>
      </c>
      <c r="I5722" s="9" t="s">
        <v>20</v>
      </c>
      <c r="J5722" s="16">
        <v>0.8</v>
      </c>
      <c r="K5722" s="14">
        <v>3.0</v>
      </c>
      <c r="N5722" s="14" t="str">
        <f>IFERROR(__xludf.DUMMYFUNCTION("""COMPUTED_VALUE"""),"")</f>
        <v/>
      </c>
      <c r="O5722" s="14"/>
    </row>
    <row r="5723" ht="22.5" hidden="1" customHeight="1">
      <c r="A5723" s="8">
        <v>46239.70502616898</v>
      </c>
      <c r="B5723" s="14">
        <v>46239.0</v>
      </c>
      <c r="C5723" s="9" t="s">
        <v>15</v>
      </c>
      <c r="D5723" s="9" t="s">
        <v>210</v>
      </c>
      <c r="E5723" s="9" t="s">
        <v>17</v>
      </c>
      <c r="F5723" s="9" t="s">
        <v>35</v>
      </c>
      <c r="G5723" s="9" t="s">
        <v>409</v>
      </c>
      <c r="H5723" s="9" t="s">
        <v>22</v>
      </c>
      <c r="I5723" s="9" t="s">
        <v>20</v>
      </c>
      <c r="J5723" s="16">
        <v>0.8</v>
      </c>
      <c r="K5723" s="14">
        <v>3.0</v>
      </c>
      <c r="N5723" s="14" t="str">
        <f>IFERROR(__xludf.DUMMYFUNCTION("""COMPUTED_VALUE"""),"")</f>
        <v/>
      </c>
      <c r="O5723" s="14"/>
    </row>
    <row r="5724" ht="22.5" hidden="1" customHeight="1">
      <c r="A5724" s="8">
        <v>46239.70536306713</v>
      </c>
      <c r="B5724" s="14">
        <v>46239.0</v>
      </c>
      <c r="C5724" s="9" t="s">
        <v>15</v>
      </c>
      <c r="D5724" s="9" t="s">
        <v>247</v>
      </c>
      <c r="E5724" s="9" t="s">
        <v>17</v>
      </c>
      <c r="F5724" s="9" t="s">
        <v>17</v>
      </c>
      <c r="G5724" s="9" t="s">
        <v>409</v>
      </c>
      <c r="H5724" s="9" t="s">
        <v>25</v>
      </c>
      <c r="I5724" s="9" t="s">
        <v>211</v>
      </c>
      <c r="J5724" s="16">
        <v>0.6</v>
      </c>
      <c r="K5724" s="14">
        <v>4.0</v>
      </c>
      <c r="N5724" s="14" t="str">
        <f>IFERROR(__xludf.DUMMYFUNCTION("""COMPUTED_VALUE"""),"")</f>
        <v/>
      </c>
      <c r="O5724" s="14"/>
    </row>
    <row r="5725" ht="22.5" hidden="1" customHeight="1">
      <c r="A5725" s="8">
        <v>46239.70579422454</v>
      </c>
      <c r="B5725" s="14">
        <v>46239.0</v>
      </c>
      <c r="C5725" s="9" t="s">
        <v>15</v>
      </c>
      <c r="D5725" s="9" t="s">
        <v>395</v>
      </c>
      <c r="E5725" s="9" t="s">
        <v>17</v>
      </c>
      <c r="F5725" s="9" t="s">
        <v>35</v>
      </c>
      <c r="G5725" s="9" t="s">
        <v>409</v>
      </c>
      <c r="H5725" s="9" t="s">
        <v>25</v>
      </c>
      <c r="I5725" s="9" t="s">
        <v>137</v>
      </c>
      <c r="J5725" s="16">
        <v>0.8</v>
      </c>
      <c r="K5725" s="14">
        <v>3.0</v>
      </c>
      <c r="N5725" s="14" t="str">
        <f>IFERROR(__xludf.DUMMYFUNCTION("""COMPUTED_VALUE"""),"")</f>
        <v/>
      </c>
      <c r="O5725" s="14"/>
    </row>
    <row r="5726" ht="22.5" hidden="1" customHeight="1">
      <c r="A5726" s="8">
        <v>46240.35342856482</v>
      </c>
      <c r="B5726" s="14">
        <v>46240.0</v>
      </c>
      <c r="C5726" s="9" t="s">
        <v>31</v>
      </c>
      <c r="D5726" s="9" t="s">
        <v>367</v>
      </c>
      <c r="E5726" s="9" t="s">
        <v>17</v>
      </c>
      <c r="F5726" s="9" t="s">
        <v>17</v>
      </c>
      <c r="G5726" s="9">
        <v>7.0</v>
      </c>
      <c r="H5726" s="9" t="s">
        <v>17</v>
      </c>
      <c r="I5726" s="9" t="s">
        <v>20</v>
      </c>
      <c r="J5726" s="16">
        <v>0.6</v>
      </c>
      <c r="K5726" s="14" t="s">
        <v>398</v>
      </c>
      <c r="N5726" s="14" t="str">
        <f>IFERROR(__xludf.DUMMYFUNCTION("""COMPUTED_VALUE"""),"")</f>
        <v/>
      </c>
      <c r="O5726" s="14"/>
    </row>
    <row r="5727" ht="22.5" hidden="1" customHeight="1">
      <c r="A5727" s="8">
        <v>46240.35461850694</v>
      </c>
      <c r="B5727" s="14">
        <v>46240.0</v>
      </c>
      <c r="C5727" s="9" t="s">
        <v>31</v>
      </c>
      <c r="D5727" s="9" t="s">
        <v>257</v>
      </c>
      <c r="E5727" s="9" t="s">
        <v>17</v>
      </c>
      <c r="F5727" s="9" t="s">
        <v>60</v>
      </c>
      <c r="G5727" s="9">
        <v>8.0</v>
      </c>
      <c r="H5727" s="9" t="s">
        <v>17</v>
      </c>
      <c r="I5727" s="9" t="s">
        <v>20</v>
      </c>
      <c r="J5727" s="16">
        <v>0.8</v>
      </c>
      <c r="K5727" s="14" t="s">
        <v>398</v>
      </c>
      <c r="N5727" s="14" t="str">
        <f>IFERROR(__xludf.DUMMYFUNCTION("""COMPUTED_VALUE"""),"")</f>
        <v/>
      </c>
      <c r="O5727" s="14"/>
    </row>
    <row r="5728" ht="22.5" hidden="1" customHeight="1">
      <c r="A5728" s="8">
        <v>46240.37464734954</v>
      </c>
      <c r="B5728" s="14">
        <v>46240.0</v>
      </c>
      <c r="C5728" s="9" t="s">
        <v>31</v>
      </c>
      <c r="D5728" s="9" t="s">
        <v>394</v>
      </c>
      <c r="E5728" s="9" t="s">
        <v>17</v>
      </c>
      <c r="F5728" s="9" t="s">
        <v>17</v>
      </c>
      <c r="G5728" s="9">
        <v>8.0</v>
      </c>
      <c r="H5728" s="9" t="s">
        <v>17</v>
      </c>
      <c r="I5728" s="9" t="s">
        <v>20</v>
      </c>
      <c r="J5728" s="16">
        <v>0.8</v>
      </c>
      <c r="K5728" s="14" t="s">
        <v>398</v>
      </c>
      <c r="N5728" s="14" t="str">
        <f>IFERROR(__xludf.DUMMYFUNCTION("""COMPUTED_VALUE"""),"")</f>
        <v/>
      </c>
      <c r="O5728" s="14"/>
    </row>
    <row r="5729" ht="22.5" hidden="1" customHeight="1">
      <c r="A5729" s="8">
        <v>46240.40368570602</v>
      </c>
      <c r="B5729" s="14">
        <v>46240.0</v>
      </c>
      <c r="C5729" s="9" t="s">
        <v>31</v>
      </c>
      <c r="D5729" s="9" t="s">
        <v>171</v>
      </c>
      <c r="E5729" s="9" t="s">
        <v>44</v>
      </c>
      <c r="F5729" s="9" t="s">
        <v>18</v>
      </c>
      <c r="G5729" s="9" t="s">
        <v>409</v>
      </c>
      <c r="H5729" s="9" t="s">
        <v>22</v>
      </c>
      <c r="I5729" s="9" t="s">
        <v>20</v>
      </c>
      <c r="J5729" s="16">
        <v>1.0</v>
      </c>
      <c r="K5729" s="14" t="s">
        <v>398</v>
      </c>
      <c r="N5729" s="14" t="str">
        <f>IFERROR(__xludf.DUMMYFUNCTION("""COMPUTED_VALUE"""),"")</f>
        <v/>
      </c>
      <c r="O5729" s="14"/>
    </row>
    <row r="5730" ht="22.5" hidden="1" customHeight="1">
      <c r="A5730" s="8">
        <v>46240.409378888886</v>
      </c>
      <c r="B5730" s="14">
        <v>46240.0</v>
      </c>
      <c r="C5730" s="9" t="s">
        <v>31</v>
      </c>
      <c r="D5730" s="9" t="s">
        <v>210</v>
      </c>
      <c r="E5730" s="9" t="s">
        <v>17</v>
      </c>
      <c r="F5730" s="9" t="s">
        <v>18</v>
      </c>
      <c r="G5730" s="9">
        <v>8.0</v>
      </c>
      <c r="H5730" s="9" t="s">
        <v>22</v>
      </c>
      <c r="I5730" s="9" t="s">
        <v>20</v>
      </c>
      <c r="J5730" s="16">
        <v>0.8</v>
      </c>
      <c r="K5730" s="14" t="s">
        <v>398</v>
      </c>
      <c r="N5730" s="14" t="str">
        <f>IFERROR(__xludf.DUMMYFUNCTION("""COMPUTED_VALUE"""),"")</f>
        <v/>
      </c>
      <c r="O5730" s="14"/>
    </row>
    <row r="5731" ht="22.5" hidden="1" customHeight="1">
      <c r="A5731" s="8">
        <v>46240.411894282406</v>
      </c>
      <c r="B5731" s="14">
        <v>46240.0</v>
      </c>
      <c r="C5731" s="9" t="s">
        <v>31</v>
      </c>
      <c r="D5731" s="9" t="s">
        <v>463</v>
      </c>
      <c r="E5731" s="9" t="s">
        <v>57</v>
      </c>
      <c r="F5731" s="9" t="s">
        <v>18</v>
      </c>
      <c r="G5731" s="9" t="s">
        <v>409</v>
      </c>
      <c r="H5731" s="9" t="s">
        <v>22</v>
      </c>
      <c r="I5731" s="9" t="s">
        <v>20</v>
      </c>
      <c r="J5731" s="16">
        <v>0.8</v>
      </c>
      <c r="K5731" s="14" t="s">
        <v>398</v>
      </c>
      <c r="N5731" s="14" t="str">
        <f>IFERROR(__xludf.DUMMYFUNCTION("""COMPUTED_VALUE"""),"")</f>
        <v/>
      </c>
      <c r="O5731" s="14"/>
    </row>
    <row r="5732" ht="22.5" hidden="1" customHeight="1">
      <c r="A5732" s="8">
        <v>46240.43419260417</v>
      </c>
      <c r="B5732" s="14">
        <v>46240.0</v>
      </c>
      <c r="C5732" s="9" t="s">
        <v>31</v>
      </c>
      <c r="D5732" s="9" t="s">
        <v>457</v>
      </c>
      <c r="E5732" s="9" t="s">
        <v>30</v>
      </c>
      <c r="F5732" s="9" t="s">
        <v>18</v>
      </c>
      <c r="G5732" s="9">
        <v>8.0</v>
      </c>
      <c r="H5732" s="9" t="s">
        <v>22</v>
      </c>
      <c r="I5732" s="9" t="s">
        <v>20</v>
      </c>
      <c r="J5732" s="16">
        <v>0.8</v>
      </c>
      <c r="K5732" s="14" t="s">
        <v>398</v>
      </c>
      <c r="N5732" s="14" t="str">
        <f>IFERROR(__xludf.DUMMYFUNCTION("""COMPUTED_VALUE"""),"")</f>
        <v/>
      </c>
      <c r="O5732" s="14"/>
    </row>
    <row r="5733" ht="22.5" hidden="1" customHeight="1">
      <c r="A5733" s="8">
        <v>46240.434589675926</v>
      </c>
      <c r="B5733" s="14">
        <v>46240.0</v>
      </c>
      <c r="C5733" s="9" t="s">
        <v>31</v>
      </c>
      <c r="D5733" s="9" t="s">
        <v>396</v>
      </c>
      <c r="E5733" s="9" t="s">
        <v>30</v>
      </c>
      <c r="F5733" s="9" t="s">
        <v>18</v>
      </c>
      <c r="G5733" s="9" t="s">
        <v>409</v>
      </c>
      <c r="H5733" s="9" t="s">
        <v>22</v>
      </c>
      <c r="I5733" s="9" t="s">
        <v>20</v>
      </c>
      <c r="J5733" s="16">
        <v>0.8</v>
      </c>
      <c r="K5733" s="14" t="s">
        <v>398</v>
      </c>
      <c r="N5733" s="14" t="str">
        <f>IFERROR(__xludf.DUMMYFUNCTION("""COMPUTED_VALUE"""),"")</f>
        <v/>
      </c>
      <c r="O5733" s="14"/>
    </row>
    <row r="5734" ht="22.5" hidden="1" customHeight="1">
      <c r="A5734" s="8">
        <v>46240.43523984954</v>
      </c>
      <c r="B5734" s="14">
        <v>46240.0</v>
      </c>
      <c r="C5734" s="9" t="s">
        <v>31</v>
      </c>
      <c r="D5734" s="9" t="s">
        <v>414</v>
      </c>
      <c r="E5734" s="9" t="s">
        <v>61</v>
      </c>
      <c r="F5734" s="9" t="s">
        <v>17</v>
      </c>
      <c r="G5734" s="9">
        <v>8.0</v>
      </c>
      <c r="H5734" s="9" t="s">
        <v>22</v>
      </c>
      <c r="I5734" s="9" t="s">
        <v>20</v>
      </c>
      <c r="J5734" s="16">
        <v>0.8</v>
      </c>
      <c r="K5734" s="14" t="s">
        <v>398</v>
      </c>
      <c r="N5734" s="14" t="str">
        <f>IFERROR(__xludf.DUMMYFUNCTION("""COMPUTED_VALUE"""),"")</f>
        <v/>
      </c>
      <c r="O5734" s="14"/>
    </row>
    <row r="5735" ht="22.5" hidden="1" customHeight="1">
      <c r="A5735" s="8">
        <v>46240.43586400463</v>
      </c>
      <c r="B5735" s="14">
        <v>46240.0</v>
      </c>
      <c r="C5735" s="9" t="s">
        <v>31</v>
      </c>
      <c r="D5735" s="9" t="s">
        <v>335</v>
      </c>
      <c r="E5735" s="9" t="s">
        <v>30</v>
      </c>
      <c r="F5735" s="9" t="s">
        <v>18</v>
      </c>
      <c r="G5735" s="9" t="s">
        <v>409</v>
      </c>
      <c r="H5735" s="9" t="s">
        <v>25</v>
      </c>
      <c r="I5735" s="9" t="s">
        <v>211</v>
      </c>
      <c r="J5735" s="16">
        <v>0.8</v>
      </c>
      <c r="K5735" s="14" t="s">
        <v>398</v>
      </c>
      <c r="N5735" s="14" t="str">
        <f>IFERROR(__xludf.DUMMYFUNCTION("""COMPUTED_VALUE"""),"")</f>
        <v/>
      </c>
      <c r="O5735" s="14"/>
    </row>
    <row r="5736" ht="22.5" hidden="1" customHeight="1">
      <c r="A5736" s="8">
        <v>46240.436534050925</v>
      </c>
      <c r="B5736" s="14">
        <v>46240.0</v>
      </c>
      <c r="C5736" s="9" t="s">
        <v>31</v>
      </c>
      <c r="D5736" s="9" t="s">
        <v>460</v>
      </c>
      <c r="E5736" s="9" t="s">
        <v>17</v>
      </c>
      <c r="F5736" s="9" t="s">
        <v>18</v>
      </c>
      <c r="G5736" s="9">
        <v>8.0</v>
      </c>
      <c r="H5736" s="9" t="s">
        <v>25</v>
      </c>
      <c r="I5736" s="9" t="s">
        <v>34</v>
      </c>
      <c r="J5736" s="16">
        <v>0.8</v>
      </c>
      <c r="K5736" s="14" t="s">
        <v>398</v>
      </c>
      <c r="N5736" s="14" t="str">
        <f>IFERROR(__xludf.DUMMYFUNCTION("""COMPUTED_VALUE"""),"")</f>
        <v/>
      </c>
      <c r="O5736" s="14"/>
    </row>
    <row r="5737" ht="22.5" hidden="1" customHeight="1">
      <c r="A5737" s="8">
        <v>46240.437029699075</v>
      </c>
      <c r="B5737" s="14">
        <v>46240.0</v>
      </c>
      <c r="C5737" s="9" t="s">
        <v>31</v>
      </c>
      <c r="D5737" s="9" t="s">
        <v>464</v>
      </c>
      <c r="E5737" s="9" t="s">
        <v>17</v>
      </c>
      <c r="F5737" s="9" t="s">
        <v>18</v>
      </c>
      <c r="G5737" s="9">
        <v>8.0</v>
      </c>
      <c r="H5737" s="9" t="s">
        <v>22</v>
      </c>
      <c r="I5737" s="9" t="s">
        <v>20</v>
      </c>
      <c r="J5737" s="16">
        <v>0.8</v>
      </c>
      <c r="K5737" s="14" t="s">
        <v>398</v>
      </c>
      <c r="N5737" s="14" t="str">
        <f>IFERROR(__xludf.DUMMYFUNCTION("""COMPUTED_VALUE"""),"")</f>
        <v/>
      </c>
      <c r="O5737" s="14"/>
    </row>
    <row r="5738" ht="22.5" hidden="1" customHeight="1">
      <c r="A5738" s="8">
        <v>46240.43736210648</v>
      </c>
      <c r="B5738" s="14">
        <v>46240.0</v>
      </c>
      <c r="C5738" s="9" t="s">
        <v>31</v>
      </c>
      <c r="D5738" s="9" t="s">
        <v>441</v>
      </c>
      <c r="E5738" s="9" t="s">
        <v>17</v>
      </c>
      <c r="F5738" s="9" t="s">
        <v>18</v>
      </c>
      <c r="G5738" s="9" t="s">
        <v>409</v>
      </c>
      <c r="H5738" s="9" t="s">
        <v>22</v>
      </c>
      <c r="I5738" s="9" t="s">
        <v>20</v>
      </c>
      <c r="J5738" s="16">
        <v>0.8</v>
      </c>
      <c r="K5738" s="14" t="s">
        <v>398</v>
      </c>
      <c r="N5738" s="14" t="str">
        <f>IFERROR(__xludf.DUMMYFUNCTION("""COMPUTED_VALUE"""),"")</f>
        <v/>
      </c>
      <c r="O5738" s="14"/>
    </row>
    <row r="5739" ht="22.5" hidden="1" customHeight="1">
      <c r="A5739" s="8">
        <v>46240.43767046296</v>
      </c>
      <c r="B5739" s="14">
        <v>46240.0</v>
      </c>
      <c r="C5739" s="9" t="s">
        <v>31</v>
      </c>
      <c r="D5739" s="9" t="s">
        <v>249</v>
      </c>
      <c r="E5739" s="9" t="s">
        <v>17</v>
      </c>
      <c r="F5739" s="9" t="s">
        <v>18</v>
      </c>
      <c r="G5739" s="9">
        <v>8.0</v>
      </c>
      <c r="H5739" s="9" t="s">
        <v>22</v>
      </c>
      <c r="I5739" s="9" t="s">
        <v>20</v>
      </c>
      <c r="J5739" s="16">
        <v>0.8</v>
      </c>
      <c r="K5739" s="14" t="s">
        <v>398</v>
      </c>
      <c r="N5739" s="14" t="str">
        <f>IFERROR(__xludf.DUMMYFUNCTION("""COMPUTED_VALUE"""),"")</f>
        <v/>
      </c>
      <c r="O5739" s="14"/>
    </row>
    <row r="5740" ht="22.5" hidden="1" customHeight="1">
      <c r="A5740" s="8">
        <v>46240.43800844907</v>
      </c>
      <c r="B5740" s="14">
        <v>46240.0</v>
      </c>
      <c r="C5740" s="9" t="s">
        <v>31</v>
      </c>
      <c r="D5740" s="9" t="s">
        <v>174</v>
      </c>
      <c r="E5740" s="9" t="s">
        <v>30</v>
      </c>
      <c r="F5740" s="9" t="s">
        <v>18</v>
      </c>
      <c r="G5740" s="9" t="s">
        <v>409</v>
      </c>
      <c r="H5740" s="9" t="s">
        <v>22</v>
      </c>
      <c r="I5740" s="9" t="s">
        <v>20</v>
      </c>
      <c r="J5740" s="16">
        <v>1.0</v>
      </c>
      <c r="K5740" s="14" t="s">
        <v>398</v>
      </c>
      <c r="N5740" s="14" t="str">
        <f>IFERROR(__xludf.DUMMYFUNCTION("""COMPUTED_VALUE"""),"")</f>
        <v/>
      </c>
      <c r="O5740" s="14"/>
    </row>
    <row r="5741" ht="22.5" hidden="1" customHeight="1">
      <c r="A5741" s="8">
        <v>46240.43873335648</v>
      </c>
      <c r="B5741" s="14">
        <v>46240.0</v>
      </c>
      <c r="C5741" s="9" t="s">
        <v>31</v>
      </c>
      <c r="D5741" s="9" t="s">
        <v>247</v>
      </c>
      <c r="E5741" s="9" t="s">
        <v>61</v>
      </c>
      <c r="F5741" s="9" t="s">
        <v>39</v>
      </c>
      <c r="G5741" s="9">
        <v>6.0</v>
      </c>
      <c r="H5741" s="9" t="s">
        <v>22</v>
      </c>
      <c r="I5741" s="9" t="s">
        <v>20</v>
      </c>
      <c r="J5741" s="16">
        <v>0.6</v>
      </c>
      <c r="K5741" s="14" t="s">
        <v>398</v>
      </c>
      <c r="N5741" s="14" t="str">
        <f>IFERROR(__xludf.DUMMYFUNCTION("""COMPUTED_VALUE"""),"")</f>
        <v/>
      </c>
      <c r="O5741" s="14"/>
    </row>
    <row r="5742" ht="22.5" hidden="1" customHeight="1">
      <c r="A5742" s="8">
        <v>46240.439117974536</v>
      </c>
      <c r="B5742" s="14">
        <v>46240.0</v>
      </c>
      <c r="C5742" s="9" t="s">
        <v>31</v>
      </c>
      <c r="D5742" s="9" t="s">
        <v>395</v>
      </c>
      <c r="E5742" s="9" t="s">
        <v>17</v>
      </c>
      <c r="F5742" s="9" t="s">
        <v>18</v>
      </c>
      <c r="G5742" s="9">
        <v>8.0</v>
      </c>
      <c r="H5742" s="9" t="s">
        <v>25</v>
      </c>
      <c r="I5742" s="9" t="s">
        <v>211</v>
      </c>
      <c r="J5742" s="16">
        <v>0.8</v>
      </c>
      <c r="K5742" s="14" t="s">
        <v>398</v>
      </c>
      <c r="N5742" s="14" t="str">
        <f>IFERROR(__xludf.DUMMYFUNCTION("""COMPUTED_VALUE"""),"")</f>
        <v/>
      </c>
      <c r="O5742" s="14"/>
    </row>
    <row r="5743" ht="22.5" hidden="1" customHeight="1">
      <c r="A5743" s="8">
        <v>46240.439627280095</v>
      </c>
      <c r="B5743" s="14">
        <v>46240.0</v>
      </c>
      <c r="C5743" s="9" t="s">
        <v>31</v>
      </c>
      <c r="D5743" s="9" t="s">
        <v>413</v>
      </c>
      <c r="E5743" s="9" t="s">
        <v>17</v>
      </c>
      <c r="F5743" s="9" t="s">
        <v>43</v>
      </c>
      <c r="G5743" s="9" t="s">
        <v>409</v>
      </c>
      <c r="H5743" s="9" t="s">
        <v>22</v>
      </c>
      <c r="I5743" s="9" t="s">
        <v>20</v>
      </c>
      <c r="J5743" s="16">
        <v>0.8</v>
      </c>
      <c r="K5743" s="14" t="s">
        <v>398</v>
      </c>
      <c r="N5743" s="14" t="str">
        <f>IFERROR(__xludf.DUMMYFUNCTION("""COMPUTED_VALUE"""),"")</f>
        <v/>
      </c>
      <c r="O5743" s="14"/>
    </row>
    <row r="5744" ht="22.5" hidden="1" customHeight="1">
      <c r="A5744" s="8">
        <v>46240.44001265046</v>
      </c>
      <c r="B5744" s="14">
        <v>46240.0</v>
      </c>
      <c r="C5744" s="9" t="s">
        <v>31</v>
      </c>
      <c r="D5744" s="9" t="s">
        <v>177</v>
      </c>
      <c r="E5744" s="9" t="s">
        <v>17</v>
      </c>
      <c r="F5744" s="9" t="s">
        <v>18</v>
      </c>
      <c r="G5744" s="9">
        <v>8.0</v>
      </c>
      <c r="H5744" s="9" t="s">
        <v>22</v>
      </c>
      <c r="I5744" s="9" t="s">
        <v>20</v>
      </c>
      <c r="J5744" s="16">
        <v>0.8</v>
      </c>
      <c r="K5744" s="14" t="s">
        <v>398</v>
      </c>
      <c r="N5744" s="14" t="str">
        <f>IFERROR(__xludf.DUMMYFUNCTION("""COMPUTED_VALUE"""),"")</f>
        <v/>
      </c>
      <c r="O5744" s="14"/>
    </row>
    <row r="5745" ht="22.5" hidden="1" customHeight="1">
      <c r="A5745" s="8">
        <v>46240.4405434838</v>
      </c>
      <c r="B5745" s="14">
        <v>46240.0</v>
      </c>
      <c r="C5745" s="9" t="s">
        <v>31</v>
      </c>
      <c r="D5745" s="9" t="s">
        <v>357</v>
      </c>
      <c r="E5745" s="9" t="s">
        <v>44</v>
      </c>
      <c r="F5745" s="9" t="s">
        <v>43</v>
      </c>
      <c r="G5745" s="9" t="s">
        <v>409</v>
      </c>
      <c r="H5745" s="9" t="s">
        <v>25</v>
      </c>
      <c r="I5745" s="9" t="s">
        <v>211</v>
      </c>
      <c r="J5745" s="16">
        <v>0.8</v>
      </c>
      <c r="K5745" s="14" t="s">
        <v>398</v>
      </c>
      <c r="N5745" s="14" t="str">
        <f>IFERROR(__xludf.DUMMYFUNCTION("""COMPUTED_VALUE"""),"")</f>
        <v/>
      </c>
      <c r="O5745" s="14"/>
    </row>
    <row r="5746" ht="22.5" hidden="1" customHeight="1">
      <c r="A5746" s="8">
        <v>46240.44096806713</v>
      </c>
      <c r="B5746" s="14">
        <v>46240.0</v>
      </c>
      <c r="C5746" s="9" t="s">
        <v>31</v>
      </c>
      <c r="D5746" s="9" t="s">
        <v>105</v>
      </c>
      <c r="E5746" s="9" t="s">
        <v>17</v>
      </c>
      <c r="F5746" s="9" t="s">
        <v>18</v>
      </c>
      <c r="G5746" s="9" t="s">
        <v>409</v>
      </c>
      <c r="H5746" s="9" t="s">
        <v>22</v>
      </c>
      <c r="I5746" s="9" t="s">
        <v>20</v>
      </c>
      <c r="J5746" s="16">
        <v>0.8</v>
      </c>
      <c r="K5746" s="14" t="s">
        <v>398</v>
      </c>
      <c r="N5746" s="14" t="str">
        <f>IFERROR(__xludf.DUMMYFUNCTION("""COMPUTED_VALUE"""),"")</f>
        <v/>
      </c>
      <c r="O5746" s="14"/>
    </row>
    <row r="5747" ht="22.5" hidden="1" customHeight="1">
      <c r="A5747" s="8">
        <v>46240.4413593287</v>
      </c>
      <c r="B5747" s="14">
        <v>46240.0</v>
      </c>
      <c r="C5747" s="9" t="s">
        <v>31</v>
      </c>
      <c r="D5747" s="9" t="s">
        <v>259</v>
      </c>
      <c r="E5747" s="9" t="s">
        <v>30</v>
      </c>
      <c r="F5747" s="9" t="s">
        <v>35</v>
      </c>
      <c r="G5747" s="9" t="s">
        <v>409</v>
      </c>
      <c r="H5747" s="9" t="s">
        <v>22</v>
      </c>
      <c r="I5747" s="9" t="s">
        <v>20</v>
      </c>
      <c r="J5747" s="16">
        <v>0.8</v>
      </c>
      <c r="K5747" s="14" t="s">
        <v>398</v>
      </c>
      <c r="N5747" s="14" t="str">
        <f>IFERROR(__xludf.DUMMYFUNCTION("""COMPUTED_VALUE"""),"")</f>
        <v/>
      </c>
      <c r="O5747" s="14"/>
    </row>
    <row r="5748" ht="22.5" hidden="1" customHeight="1">
      <c r="A5748" s="8">
        <v>46240.441921736114</v>
      </c>
      <c r="B5748" s="14">
        <v>46240.0</v>
      </c>
      <c r="C5748" s="9" t="s">
        <v>31</v>
      </c>
      <c r="D5748" s="9" t="s">
        <v>175</v>
      </c>
      <c r="E5748" s="9" t="s">
        <v>17</v>
      </c>
      <c r="F5748" s="9" t="s">
        <v>18</v>
      </c>
      <c r="G5748" s="9" t="s">
        <v>409</v>
      </c>
      <c r="H5748" s="9" t="s">
        <v>22</v>
      </c>
      <c r="I5748" s="9" t="s">
        <v>20</v>
      </c>
      <c r="J5748" s="16">
        <v>0.8</v>
      </c>
      <c r="K5748" s="14" t="s">
        <v>398</v>
      </c>
      <c r="N5748" s="14" t="str">
        <f>IFERROR(__xludf.DUMMYFUNCTION("""COMPUTED_VALUE"""),"")</f>
        <v/>
      </c>
      <c r="O5748" s="14"/>
    </row>
    <row r="5749" ht="22.5" hidden="1" customHeight="1">
      <c r="A5749" s="8">
        <v>46240.44226873842</v>
      </c>
      <c r="B5749" s="14">
        <v>46240.0</v>
      </c>
      <c r="C5749" s="9" t="s">
        <v>31</v>
      </c>
      <c r="D5749" s="9" t="s">
        <v>369</v>
      </c>
      <c r="E5749" s="9" t="s">
        <v>30</v>
      </c>
      <c r="F5749" s="9" t="s">
        <v>18</v>
      </c>
      <c r="G5749" s="9">
        <v>8.0</v>
      </c>
      <c r="H5749" s="9" t="s">
        <v>22</v>
      </c>
      <c r="I5749" s="9" t="s">
        <v>20</v>
      </c>
      <c r="J5749" s="16">
        <v>0.8</v>
      </c>
      <c r="K5749" s="14" t="s">
        <v>398</v>
      </c>
      <c r="N5749" s="14" t="str">
        <f>IFERROR(__xludf.DUMMYFUNCTION("""COMPUTED_VALUE"""),"")</f>
        <v/>
      </c>
      <c r="O5749" s="14"/>
    </row>
    <row r="5750" ht="22.5" hidden="1" customHeight="1">
      <c r="A5750" s="8">
        <v>46240.442808287036</v>
      </c>
      <c r="B5750" s="14">
        <v>46240.0</v>
      </c>
      <c r="C5750" s="9" t="s">
        <v>31</v>
      </c>
      <c r="D5750" s="9" t="s">
        <v>178</v>
      </c>
      <c r="E5750" s="9" t="s">
        <v>30</v>
      </c>
      <c r="F5750" s="9" t="s">
        <v>18</v>
      </c>
      <c r="G5750" s="9" t="s">
        <v>409</v>
      </c>
      <c r="H5750" s="9" t="s">
        <v>22</v>
      </c>
      <c r="I5750" s="9" t="s">
        <v>20</v>
      </c>
      <c r="J5750" s="16">
        <v>0.8</v>
      </c>
      <c r="K5750" s="14" t="s">
        <v>398</v>
      </c>
      <c r="N5750" s="14" t="str">
        <f>IFERROR(__xludf.DUMMYFUNCTION("""COMPUTED_VALUE"""),"")</f>
        <v/>
      </c>
      <c r="O5750" s="14"/>
    </row>
    <row r="5751" ht="22.5" hidden="1" customHeight="1">
      <c r="A5751" s="8">
        <v>46241.32679832176</v>
      </c>
      <c r="B5751" s="14">
        <v>46241.0</v>
      </c>
      <c r="C5751" s="9" t="s">
        <v>48</v>
      </c>
      <c r="D5751" s="9" t="s">
        <v>394</v>
      </c>
      <c r="E5751" s="9" t="s">
        <v>17</v>
      </c>
      <c r="F5751" s="9" t="s">
        <v>17</v>
      </c>
      <c r="G5751" s="9">
        <v>6.0</v>
      </c>
      <c r="H5751" s="9" t="s">
        <v>22</v>
      </c>
      <c r="I5751" s="9" t="s">
        <v>20</v>
      </c>
      <c r="J5751" s="16">
        <v>1.0</v>
      </c>
      <c r="K5751" s="14" t="s">
        <v>398</v>
      </c>
      <c r="N5751" s="14" t="str">
        <f>IFERROR(__xludf.DUMMYFUNCTION("""COMPUTED_VALUE"""),"")</f>
        <v/>
      </c>
      <c r="O5751" s="14"/>
    </row>
    <row r="5752" ht="22.5" hidden="1" customHeight="1">
      <c r="A5752" s="8">
        <v>46241.33016701389</v>
      </c>
      <c r="B5752" s="14">
        <v>46241.0</v>
      </c>
      <c r="C5752" s="9" t="s">
        <v>48</v>
      </c>
      <c r="D5752" s="9" t="s">
        <v>257</v>
      </c>
      <c r="E5752" s="9" t="s">
        <v>17</v>
      </c>
      <c r="F5752" s="9" t="s">
        <v>17</v>
      </c>
      <c r="G5752" s="9">
        <v>6.0</v>
      </c>
      <c r="H5752" s="9" t="s">
        <v>22</v>
      </c>
      <c r="I5752" s="9" t="s">
        <v>20</v>
      </c>
      <c r="J5752" s="16">
        <v>1.0</v>
      </c>
      <c r="K5752" s="14" t="s">
        <v>398</v>
      </c>
      <c r="N5752" s="14" t="str">
        <f>IFERROR(__xludf.DUMMYFUNCTION("""COMPUTED_VALUE"""),"")</f>
        <v/>
      </c>
      <c r="O5752" s="14"/>
    </row>
    <row r="5753" ht="22.5" hidden="1" customHeight="1">
      <c r="A5753" s="8">
        <v>46241.33053195602</v>
      </c>
      <c r="B5753" s="14">
        <v>46241.0</v>
      </c>
      <c r="C5753" s="9" t="s">
        <v>48</v>
      </c>
      <c r="D5753" s="9" t="s">
        <v>105</v>
      </c>
      <c r="E5753" s="9" t="s">
        <v>17</v>
      </c>
      <c r="F5753" s="9" t="s">
        <v>17</v>
      </c>
      <c r="G5753" s="9">
        <v>7.0</v>
      </c>
      <c r="H5753" s="9" t="s">
        <v>22</v>
      </c>
      <c r="I5753" s="9" t="s">
        <v>20</v>
      </c>
      <c r="J5753" s="16">
        <v>0.8</v>
      </c>
      <c r="K5753" s="14" t="s">
        <v>398</v>
      </c>
      <c r="N5753" s="14" t="str">
        <f>IFERROR(__xludf.DUMMYFUNCTION("""COMPUTED_VALUE"""),"")</f>
        <v/>
      </c>
      <c r="O5753" s="14"/>
    </row>
    <row r="5754" ht="22.5" hidden="1" customHeight="1">
      <c r="A5754" s="8">
        <v>46241.33301103009</v>
      </c>
      <c r="B5754" s="14">
        <v>46241.0</v>
      </c>
      <c r="C5754" s="9" t="s">
        <v>48</v>
      </c>
      <c r="D5754" s="9" t="s">
        <v>396</v>
      </c>
      <c r="E5754" s="9" t="s">
        <v>140</v>
      </c>
      <c r="F5754" s="9" t="s">
        <v>77</v>
      </c>
      <c r="G5754" s="9" t="s">
        <v>410</v>
      </c>
      <c r="H5754" s="9" t="s">
        <v>62</v>
      </c>
      <c r="I5754" s="9" t="s">
        <v>20</v>
      </c>
      <c r="J5754" s="16">
        <v>0.2</v>
      </c>
      <c r="K5754" s="14" t="s">
        <v>398</v>
      </c>
      <c r="N5754" s="14" t="str">
        <f>IFERROR(__xludf.DUMMYFUNCTION("""COMPUTED_VALUE"""),"")</f>
        <v/>
      </c>
      <c r="O5754" s="14"/>
    </row>
    <row r="5755" ht="22.5" hidden="1" customHeight="1">
      <c r="A5755" s="8">
        <v>46241.3339909375</v>
      </c>
      <c r="B5755" s="14">
        <v>46241.0</v>
      </c>
      <c r="C5755" s="9" t="s">
        <v>48</v>
      </c>
      <c r="D5755" s="9" t="s">
        <v>395</v>
      </c>
      <c r="E5755" s="9" t="s">
        <v>17</v>
      </c>
      <c r="F5755" s="9" t="s">
        <v>60</v>
      </c>
      <c r="G5755" s="9" t="s">
        <v>410</v>
      </c>
      <c r="H5755" s="9" t="s">
        <v>25</v>
      </c>
      <c r="I5755" s="9" t="s">
        <v>137</v>
      </c>
      <c r="J5755" s="16">
        <v>0.8</v>
      </c>
      <c r="K5755" s="14" t="s">
        <v>398</v>
      </c>
      <c r="N5755" s="14" t="str">
        <f>IFERROR(__xludf.DUMMYFUNCTION("""COMPUTED_VALUE"""),"")</f>
        <v/>
      </c>
      <c r="O5755" s="14"/>
    </row>
    <row r="5756" ht="22.5" hidden="1" customHeight="1">
      <c r="A5756" s="8">
        <v>46241.33446621528</v>
      </c>
      <c r="B5756" s="14">
        <v>46241.0</v>
      </c>
      <c r="C5756" s="9" t="s">
        <v>48</v>
      </c>
      <c r="D5756" s="9" t="s">
        <v>350</v>
      </c>
      <c r="E5756" s="9" t="s">
        <v>17</v>
      </c>
      <c r="F5756" s="9" t="s">
        <v>17</v>
      </c>
      <c r="G5756" s="9">
        <v>8.0</v>
      </c>
      <c r="H5756" s="9" t="s">
        <v>25</v>
      </c>
      <c r="I5756" s="9" t="s">
        <v>218</v>
      </c>
      <c r="J5756" s="16">
        <v>0.8</v>
      </c>
      <c r="K5756" s="14" t="s">
        <v>398</v>
      </c>
      <c r="N5756" s="14" t="str">
        <f>IFERROR(__xludf.DUMMYFUNCTION("""COMPUTED_VALUE"""),"")</f>
        <v/>
      </c>
      <c r="O5756" s="14"/>
    </row>
    <row r="5757" ht="22.5" hidden="1" customHeight="1">
      <c r="A5757" s="8">
        <v>46241.33475285879</v>
      </c>
      <c r="B5757" s="14">
        <v>46241.0</v>
      </c>
      <c r="C5757" s="9" t="s">
        <v>48</v>
      </c>
      <c r="D5757" s="9" t="s">
        <v>413</v>
      </c>
      <c r="E5757" s="9" t="s">
        <v>17</v>
      </c>
      <c r="F5757" s="9" t="s">
        <v>60</v>
      </c>
      <c r="G5757" s="9" t="s">
        <v>410</v>
      </c>
      <c r="H5757" s="9" t="s">
        <v>22</v>
      </c>
      <c r="I5757" s="9" t="s">
        <v>20</v>
      </c>
      <c r="J5757" s="16">
        <v>0.8</v>
      </c>
      <c r="K5757" s="14" t="s">
        <v>398</v>
      </c>
      <c r="N5757" s="14" t="str">
        <f>IFERROR(__xludf.DUMMYFUNCTION("""COMPUTED_VALUE"""),"")</f>
        <v/>
      </c>
      <c r="O5757" s="14"/>
    </row>
    <row r="5758" ht="22.5" hidden="1" customHeight="1">
      <c r="A5758" s="8">
        <v>46241.33571211806</v>
      </c>
      <c r="B5758" s="14">
        <v>46241.0</v>
      </c>
      <c r="C5758" s="9" t="s">
        <v>48</v>
      </c>
      <c r="D5758" s="9" t="s">
        <v>178</v>
      </c>
      <c r="E5758" s="9" t="s">
        <v>61</v>
      </c>
      <c r="F5758" s="9" t="s">
        <v>39</v>
      </c>
      <c r="G5758" s="9" t="s">
        <v>410</v>
      </c>
      <c r="H5758" s="9" t="s">
        <v>62</v>
      </c>
      <c r="I5758" s="9" t="s">
        <v>20</v>
      </c>
      <c r="J5758" s="16">
        <v>0.4</v>
      </c>
      <c r="K5758" s="14" t="s">
        <v>398</v>
      </c>
      <c r="N5758" s="14" t="str">
        <f>IFERROR(__xludf.DUMMYFUNCTION("""COMPUTED_VALUE"""),"")</f>
        <v/>
      </c>
      <c r="O5758" s="14"/>
    </row>
    <row r="5759" ht="22.5" hidden="1" customHeight="1">
      <c r="A5759" s="8">
        <v>46241.34468837963</v>
      </c>
      <c r="B5759" s="14">
        <v>46241.0</v>
      </c>
      <c r="C5759" s="9" t="s">
        <v>48</v>
      </c>
      <c r="D5759" s="9" t="s">
        <v>357</v>
      </c>
      <c r="E5759" s="9" t="s">
        <v>61</v>
      </c>
      <c r="F5759" s="9" t="s">
        <v>17</v>
      </c>
      <c r="G5759" s="9" t="s">
        <v>410</v>
      </c>
      <c r="H5759" s="9" t="s">
        <v>25</v>
      </c>
      <c r="I5759" s="9" t="s">
        <v>79</v>
      </c>
      <c r="J5759" s="16">
        <v>0.4</v>
      </c>
      <c r="K5759" s="14" t="s">
        <v>398</v>
      </c>
      <c r="N5759" s="14" t="str">
        <f>IFERROR(__xludf.DUMMYFUNCTION("""COMPUTED_VALUE"""),"")</f>
        <v/>
      </c>
      <c r="O5759" s="14"/>
    </row>
    <row r="5760" ht="22.5" hidden="1" customHeight="1">
      <c r="A5760" s="8">
        <v>46241.34626136574</v>
      </c>
      <c r="B5760" s="14">
        <v>46241.0</v>
      </c>
      <c r="C5760" s="9" t="s">
        <v>48</v>
      </c>
      <c r="D5760" s="9" t="s">
        <v>367</v>
      </c>
      <c r="E5760" s="9" t="s">
        <v>140</v>
      </c>
      <c r="F5760" s="9" t="s">
        <v>17</v>
      </c>
      <c r="G5760" s="9">
        <v>6.0</v>
      </c>
      <c r="H5760" s="9" t="s">
        <v>17</v>
      </c>
      <c r="I5760" s="9" t="s">
        <v>20</v>
      </c>
      <c r="J5760" s="16">
        <v>0.6</v>
      </c>
      <c r="K5760" s="14" t="s">
        <v>398</v>
      </c>
      <c r="N5760" s="14" t="str">
        <f>IFERROR(__xludf.DUMMYFUNCTION("""COMPUTED_VALUE"""),"")</f>
        <v/>
      </c>
      <c r="O5760" s="14"/>
    </row>
    <row r="5761" ht="22.5" hidden="1" customHeight="1">
      <c r="A5761" s="8">
        <v>46241.34744346065</v>
      </c>
      <c r="B5761" s="14">
        <v>46241.0</v>
      </c>
      <c r="C5761" s="9" t="s">
        <v>48</v>
      </c>
      <c r="D5761" s="9" t="s">
        <v>394</v>
      </c>
      <c r="E5761" s="9" t="s">
        <v>17</v>
      </c>
      <c r="F5761" s="9" t="s">
        <v>17</v>
      </c>
      <c r="G5761" s="9" t="s">
        <v>409</v>
      </c>
      <c r="H5761" s="9" t="s">
        <v>17</v>
      </c>
      <c r="I5761" s="9" t="s">
        <v>20</v>
      </c>
      <c r="J5761" s="16">
        <v>1.0</v>
      </c>
      <c r="K5761" s="14" t="s">
        <v>398</v>
      </c>
      <c r="N5761" s="14" t="str">
        <f>IFERROR(__xludf.DUMMYFUNCTION("""COMPUTED_VALUE"""),"")</f>
        <v/>
      </c>
      <c r="O5761" s="14"/>
    </row>
    <row r="5762" ht="22.5" hidden="1" customHeight="1">
      <c r="A5762" s="8">
        <v>46241.34953818287</v>
      </c>
      <c r="B5762" s="14">
        <v>46241.0</v>
      </c>
      <c r="C5762" s="9" t="s">
        <v>48</v>
      </c>
      <c r="D5762" s="9" t="s">
        <v>175</v>
      </c>
      <c r="E5762" s="9" t="s">
        <v>61</v>
      </c>
      <c r="F5762" s="9" t="s">
        <v>60</v>
      </c>
      <c r="G5762" s="9" t="s">
        <v>410</v>
      </c>
      <c r="H5762" s="9" t="s">
        <v>22</v>
      </c>
      <c r="I5762" s="9" t="s">
        <v>20</v>
      </c>
      <c r="J5762" s="16">
        <v>0.6</v>
      </c>
      <c r="K5762" s="14" t="s">
        <v>398</v>
      </c>
      <c r="N5762" s="14" t="str">
        <f>IFERROR(__xludf.DUMMYFUNCTION("""COMPUTED_VALUE"""),"")</f>
        <v/>
      </c>
      <c r="O5762" s="14"/>
    </row>
    <row r="5763" ht="22.5" hidden="1" customHeight="1">
      <c r="A5763" s="8">
        <v>46241.34959478009</v>
      </c>
      <c r="B5763" s="14">
        <v>46241.0</v>
      </c>
      <c r="C5763" s="9" t="s">
        <v>48</v>
      </c>
      <c r="D5763" s="9" t="s">
        <v>171</v>
      </c>
      <c r="E5763" s="9" t="s">
        <v>140</v>
      </c>
      <c r="F5763" s="9" t="s">
        <v>60</v>
      </c>
      <c r="G5763" s="9" t="s">
        <v>410</v>
      </c>
      <c r="H5763" s="9" t="s">
        <v>25</v>
      </c>
      <c r="I5763" s="9" t="s">
        <v>240</v>
      </c>
      <c r="J5763" s="16">
        <v>0.2</v>
      </c>
      <c r="K5763" s="14" t="s">
        <v>398</v>
      </c>
      <c r="N5763" s="14" t="str">
        <f>IFERROR(__xludf.DUMMYFUNCTION("""COMPUTED_VALUE"""),"")</f>
        <v/>
      </c>
      <c r="O5763" s="14"/>
    </row>
    <row r="5764" ht="22.5" hidden="1" customHeight="1">
      <c r="A5764" s="8">
        <v>46241.34988165509</v>
      </c>
      <c r="B5764" s="14">
        <v>46241.0</v>
      </c>
      <c r="C5764" s="9" t="s">
        <v>48</v>
      </c>
      <c r="D5764" s="9" t="s">
        <v>177</v>
      </c>
      <c r="E5764" s="9" t="s">
        <v>140</v>
      </c>
      <c r="F5764" s="9" t="s">
        <v>77</v>
      </c>
      <c r="G5764" s="9" t="s">
        <v>410</v>
      </c>
      <c r="H5764" s="9" t="s">
        <v>22</v>
      </c>
      <c r="I5764" s="9" t="s">
        <v>20</v>
      </c>
      <c r="J5764" s="16">
        <v>0.4</v>
      </c>
      <c r="K5764" s="14" t="s">
        <v>398</v>
      </c>
      <c r="N5764" s="14" t="str">
        <f>IFERROR(__xludf.DUMMYFUNCTION("""COMPUTED_VALUE"""),"")</f>
        <v/>
      </c>
      <c r="O5764" s="14"/>
    </row>
    <row r="5765" ht="22.5" hidden="1" customHeight="1">
      <c r="A5765" s="8">
        <v>46241.35052416667</v>
      </c>
      <c r="B5765" s="14">
        <v>46241.0</v>
      </c>
      <c r="C5765" s="9" t="s">
        <v>48</v>
      </c>
      <c r="D5765" s="9" t="s">
        <v>357</v>
      </c>
      <c r="E5765" s="9" t="s">
        <v>61</v>
      </c>
      <c r="F5765" s="9" t="s">
        <v>17</v>
      </c>
      <c r="G5765" s="9" t="s">
        <v>410</v>
      </c>
      <c r="H5765" s="9" t="s">
        <v>25</v>
      </c>
      <c r="I5765" s="9" t="s">
        <v>79</v>
      </c>
      <c r="J5765" s="16">
        <v>0.4</v>
      </c>
      <c r="K5765" s="14" t="s">
        <v>398</v>
      </c>
      <c r="N5765" s="14" t="str">
        <f>IFERROR(__xludf.DUMMYFUNCTION("""COMPUTED_VALUE"""),"")</f>
        <v/>
      </c>
      <c r="O5765" s="14"/>
    </row>
    <row r="5766" ht="22.5" hidden="1" customHeight="1">
      <c r="A5766" s="8">
        <v>46241.350551041665</v>
      </c>
      <c r="B5766" s="14">
        <v>46241.0</v>
      </c>
      <c r="C5766" s="9" t="s">
        <v>48</v>
      </c>
      <c r="D5766" s="9" t="s">
        <v>335</v>
      </c>
      <c r="E5766" s="9" t="s">
        <v>17</v>
      </c>
      <c r="F5766" s="9" t="s">
        <v>60</v>
      </c>
      <c r="G5766" s="9">
        <v>6.0</v>
      </c>
      <c r="H5766" s="9" t="s">
        <v>25</v>
      </c>
      <c r="I5766" s="9" t="s">
        <v>437</v>
      </c>
      <c r="J5766" s="16">
        <v>0.6</v>
      </c>
      <c r="K5766" s="14" t="s">
        <v>398</v>
      </c>
      <c r="N5766" s="14" t="str">
        <f>IFERROR(__xludf.DUMMYFUNCTION("""COMPUTED_VALUE"""),"")</f>
        <v/>
      </c>
      <c r="O5766" s="14"/>
    </row>
    <row r="5767" ht="22.5" hidden="1" customHeight="1">
      <c r="A5767" s="8">
        <v>46241.351013472224</v>
      </c>
      <c r="B5767" s="14">
        <v>46241.0</v>
      </c>
      <c r="C5767" s="9" t="s">
        <v>48</v>
      </c>
      <c r="D5767" s="9" t="s">
        <v>174</v>
      </c>
      <c r="E5767" s="9" t="s">
        <v>17</v>
      </c>
      <c r="F5767" s="9" t="s">
        <v>60</v>
      </c>
      <c r="G5767" s="9" t="s">
        <v>410</v>
      </c>
      <c r="H5767" s="9" t="s">
        <v>22</v>
      </c>
      <c r="I5767" s="9" t="s">
        <v>20</v>
      </c>
      <c r="J5767" s="16">
        <v>1.0</v>
      </c>
      <c r="K5767" s="14" t="s">
        <v>398</v>
      </c>
      <c r="N5767" s="14" t="str">
        <f>IFERROR(__xludf.DUMMYFUNCTION("""COMPUTED_VALUE"""),"")</f>
        <v/>
      </c>
      <c r="O5767" s="14"/>
    </row>
    <row r="5768" ht="22.5" hidden="1" customHeight="1">
      <c r="A5768" s="8">
        <v>46241.35175681713</v>
      </c>
      <c r="B5768" s="14">
        <v>46241.0</v>
      </c>
      <c r="C5768" s="9" t="s">
        <v>48</v>
      </c>
      <c r="D5768" s="9" t="s">
        <v>210</v>
      </c>
      <c r="E5768" s="9" t="s">
        <v>61</v>
      </c>
      <c r="F5768" s="9" t="s">
        <v>60</v>
      </c>
      <c r="G5768" s="9">
        <v>6.0</v>
      </c>
      <c r="H5768" s="9" t="s">
        <v>22</v>
      </c>
      <c r="I5768" s="9" t="s">
        <v>20</v>
      </c>
      <c r="J5768" s="16">
        <v>0.6</v>
      </c>
      <c r="K5768" s="14" t="s">
        <v>398</v>
      </c>
      <c r="N5768" s="14" t="str">
        <f>IFERROR(__xludf.DUMMYFUNCTION("""COMPUTED_VALUE"""),"")</f>
        <v/>
      </c>
      <c r="O5768" s="14"/>
    </row>
    <row r="5769" ht="22.5" hidden="1" customHeight="1">
      <c r="A5769" s="8">
        <v>46241.35207365741</v>
      </c>
      <c r="B5769" s="14">
        <v>46241.0</v>
      </c>
      <c r="C5769" s="9" t="s">
        <v>48</v>
      </c>
      <c r="D5769" s="9" t="s">
        <v>249</v>
      </c>
      <c r="E5769" s="9" t="s">
        <v>17</v>
      </c>
      <c r="F5769" s="9" t="s">
        <v>60</v>
      </c>
      <c r="G5769" s="9" t="s">
        <v>410</v>
      </c>
      <c r="H5769" s="9" t="s">
        <v>22</v>
      </c>
      <c r="I5769" s="9" t="s">
        <v>20</v>
      </c>
      <c r="J5769" s="16">
        <v>0.8</v>
      </c>
      <c r="K5769" s="14" t="s">
        <v>398</v>
      </c>
      <c r="N5769" s="14" t="str">
        <f>IFERROR(__xludf.DUMMYFUNCTION("""COMPUTED_VALUE"""),"")</f>
        <v/>
      </c>
      <c r="O5769" s="14"/>
    </row>
    <row r="5770" ht="22.5" hidden="1" customHeight="1">
      <c r="A5770" s="8">
        <v>46241.35250155092</v>
      </c>
      <c r="B5770" s="14">
        <v>46241.0</v>
      </c>
      <c r="C5770" s="9" t="s">
        <v>48</v>
      </c>
      <c r="D5770" s="9" t="s">
        <v>393</v>
      </c>
      <c r="E5770" s="9" t="s">
        <v>30</v>
      </c>
      <c r="F5770" s="9" t="s">
        <v>17</v>
      </c>
      <c r="G5770" s="9">
        <v>7.0</v>
      </c>
      <c r="H5770" s="9" t="s">
        <v>25</v>
      </c>
      <c r="I5770" s="9" t="s">
        <v>240</v>
      </c>
      <c r="J5770" s="16">
        <v>1.0</v>
      </c>
      <c r="K5770" s="14" t="s">
        <v>398</v>
      </c>
      <c r="N5770" s="14" t="str">
        <f>IFERROR(__xludf.DUMMYFUNCTION("""COMPUTED_VALUE"""),"")</f>
        <v/>
      </c>
      <c r="O5770" s="14"/>
    </row>
    <row r="5771" ht="22.5" hidden="1" customHeight="1">
      <c r="A5771" s="8">
        <v>46241.35265576389</v>
      </c>
      <c r="B5771" s="14">
        <v>46241.0</v>
      </c>
      <c r="C5771" s="9" t="s">
        <v>48</v>
      </c>
      <c r="D5771" s="9" t="s">
        <v>463</v>
      </c>
      <c r="E5771" s="9" t="s">
        <v>46</v>
      </c>
      <c r="F5771" s="9" t="s">
        <v>17</v>
      </c>
      <c r="G5771" s="9" t="s">
        <v>410</v>
      </c>
      <c r="H5771" s="9" t="s">
        <v>17</v>
      </c>
      <c r="I5771" s="9" t="s">
        <v>20</v>
      </c>
      <c r="J5771" s="16">
        <v>0.6</v>
      </c>
      <c r="K5771" s="14" t="s">
        <v>398</v>
      </c>
      <c r="N5771" s="14" t="str">
        <f>IFERROR(__xludf.DUMMYFUNCTION("""COMPUTED_VALUE"""),"")</f>
        <v/>
      </c>
      <c r="O5771" s="14"/>
    </row>
    <row r="5772" ht="22.5" hidden="1" customHeight="1">
      <c r="A5772" s="8">
        <v>46241.35310303241</v>
      </c>
      <c r="B5772" s="14">
        <v>46241.0</v>
      </c>
      <c r="C5772" s="9" t="s">
        <v>48</v>
      </c>
      <c r="D5772" s="9" t="s">
        <v>369</v>
      </c>
      <c r="E5772" s="9" t="s">
        <v>46</v>
      </c>
      <c r="F5772" s="9" t="s">
        <v>60</v>
      </c>
      <c r="G5772" s="9" t="s">
        <v>410</v>
      </c>
      <c r="H5772" s="9" t="s">
        <v>22</v>
      </c>
      <c r="I5772" s="9" t="s">
        <v>20</v>
      </c>
      <c r="J5772" s="16">
        <v>0.8</v>
      </c>
      <c r="K5772" s="14" t="s">
        <v>398</v>
      </c>
      <c r="N5772" s="14" t="str">
        <f>IFERROR(__xludf.DUMMYFUNCTION("""COMPUTED_VALUE"""),"")</f>
        <v/>
      </c>
      <c r="O5772" s="14"/>
    </row>
    <row r="5773" ht="22.5" hidden="1" customHeight="1">
      <c r="A5773" s="8">
        <v>46241.3534231713</v>
      </c>
      <c r="B5773" s="14">
        <v>46241.0</v>
      </c>
      <c r="C5773" s="9" t="s">
        <v>48</v>
      </c>
      <c r="D5773" s="9" t="s">
        <v>414</v>
      </c>
      <c r="E5773" s="9" t="s">
        <v>46</v>
      </c>
      <c r="F5773" s="9" t="s">
        <v>60</v>
      </c>
      <c r="G5773" s="9" t="s">
        <v>410</v>
      </c>
      <c r="H5773" s="9" t="s">
        <v>22</v>
      </c>
      <c r="I5773" s="9" t="s">
        <v>20</v>
      </c>
      <c r="J5773" s="16">
        <v>0.6</v>
      </c>
      <c r="K5773" s="14" t="s">
        <v>398</v>
      </c>
      <c r="N5773" s="14" t="str">
        <f>IFERROR(__xludf.DUMMYFUNCTION("""COMPUTED_VALUE"""),"")</f>
        <v/>
      </c>
      <c r="O5773" s="14"/>
    </row>
    <row r="5774" ht="22.5" hidden="1" customHeight="1">
      <c r="A5774" s="8">
        <v>46241.35349405093</v>
      </c>
      <c r="B5774" s="14">
        <v>46241.0</v>
      </c>
      <c r="C5774" s="9" t="s">
        <v>48</v>
      </c>
      <c r="D5774" s="9" t="s">
        <v>460</v>
      </c>
      <c r="E5774" s="9" t="s">
        <v>17</v>
      </c>
      <c r="F5774" s="9" t="s">
        <v>17</v>
      </c>
      <c r="G5774" s="9" t="s">
        <v>410</v>
      </c>
      <c r="H5774" s="9" t="s">
        <v>17</v>
      </c>
      <c r="I5774" s="9" t="s">
        <v>20</v>
      </c>
      <c r="J5774" s="16">
        <v>0.6</v>
      </c>
      <c r="K5774" s="14" t="s">
        <v>398</v>
      </c>
      <c r="N5774" s="14" t="str">
        <f>IFERROR(__xludf.DUMMYFUNCTION("""COMPUTED_VALUE"""),"")</f>
        <v/>
      </c>
      <c r="O5774" s="14"/>
    </row>
    <row r="5775" ht="22.5" hidden="1" customHeight="1">
      <c r="A5775" s="8">
        <v>46241.35371413194</v>
      </c>
      <c r="B5775" s="14">
        <v>46241.0</v>
      </c>
      <c r="C5775" s="9" t="s">
        <v>48</v>
      </c>
      <c r="D5775" s="9" t="s">
        <v>441</v>
      </c>
      <c r="E5775" s="9" t="s">
        <v>17</v>
      </c>
      <c r="F5775" s="9" t="s">
        <v>17</v>
      </c>
      <c r="G5775" s="9" t="s">
        <v>410</v>
      </c>
      <c r="H5775" s="9" t="s">
        <v>22</v>
      </c>
      <c r="I5775" s="9" t="s">
        <v>20</v>
      </c>
      <c r="J5775" s="16">
        <v>1.0</v>
      </c>
      <c r="K5775" s="14" t="s">
        <v>398</v>
      </c>
      <c r="N5775" s="14" t="str">
        <f>IFERROR(__xludf.DUMMYFUNCTION("""COMPUTED_VALUE"""),"")</f>
        <v/>
      </c>
      <c r="O5775" s="14"/>
    </row>
    <row r="5776" ht="22.5" hidden="1" customHeight="1">
      <c r="A5776" s="8">
        <v>46241.354529178236</v>
      </c>
      <c r="B5776" s="14">
        <v>46241.0</v>
      </c>
      <c r="C5776" s="9" t="s">
        <v>48</v>
      </c>
      <c r="D5776" s="9" t="s">
        <v>457</v>
      </c>
      <c r="E5776" s="9" t="s">
        <v>61</v>
      </c>
      <c r="F5776" s="9" t="s">
        <v>60</v>
      </c>
      <c r="G5776" s="9" t="s">
        <v>410</v>
      </c>
      <c r="H5776" s="9" t="s">
        <v>17</v>
      </c>
      <c r="I5776" s="9" t="s">
        <v>20</v>
      </c>
      <c r="J5776" s="16">
        <v>0.2</v>
      </c>
      <c r="K5776" s="14" t="s">
        <v>398</v>
      </c>
      <c r="N5776" s="14" t="str">
        <f>IFERROR(__xludf.DUMMYFUNCTION("""COMPUTED_VALUE"""),"")</f>
        <v/>
      </c>
      <c r="O5776" s="14"/>
    </row>
    <row r="5777" ht="22.5" hidden="1" customHeight="1">
      <c r="A5777" s="8">
        <v>46241.354914826385</v>
      </c>
      <c r="B5777" s="14">
        <v>46241.0</v>
      </c>
      <c r="C5777" s="9" t="s">
        <v>48</v>
      </c>
      <c r="D5777" s="9" t="s">
        <v>464</v>
      </c>
      <c r="E5777" s="9" t="s">
        <v>17</v>
      </c>
      <c r="F5777" s="9" t="s">
        <v>60</v>
      </c>
      <c r="G5777" s="9" t="s">
        <v>410</v>
      </c>
      <c r="H5777" s="9" t="s">
        <v>17</v>
      </c>
      <c r="I5777" s="9" t="s">
        <v>20</v>
      </c>
      <c r="J5777" s="16">
        <v>0.6</v>
      </c>
      <c r="K5777" s="14" t="s">
        <v>398</v>
      </c>
      <c r="N5777" s="14" t="str">
        <f>IFERROR(__xludf.DUMMYFUNCTION("""COMPUTED_VALUE"""),"")</f>
        <v/>
      </c>
      <c r="O5777" s="14"/>
    </row>
    <row r="5778" ht="22.5" hidden="1" customHeight="1">
      <c r="A5778" s="8">
        <v>46241.356779131944</v>
      </c>
      <c r="B5778" s="14">
        <v>46241.0</v>
      </c>
      <c r="C5778" s="9" t="s">
        <v>48</v>
      </c>
      <c r="D5778" s="9" t="s">
        <v>458</v>
      </c>
      <c r="E5778" s="9" t="s">
        <v>57</v>
      </c>
      <c r="F5778" s="9" t="s">
        <v>18</v>
      </c>
      <c r="G5778" s="9">
        <v>7.0</v>
      </c>
      <c r="H5778" s="9" t="s">
        <v>17</v>
      </c>
      <c r="I5778" s="9" t="s">
        <v>20</v>
      </c>
      <c r="J5778" s="16">
        <v>0.8</v>
      </c>
      <c r="K5778" s="14" t="s">
        <v>398</v>
      </c>
      <c r="N5778" s="14" t="str">
        <f>IFERROR(__xludf.DUMMYFUNCTION("""COMPUTED_VALUE"""),"")</f>
        <v/>
      </c>
      <c r="O5778" s="14"/>
    </row>
    <row r="5779" ht="22.5" hidden="1" customHeight="1">
      <c r="A5779" s="8">
        <v>46242.504133043985</v>
      </c>
      <c r="B5779" s="14">
        <v>46242.0</v>
      </c>
      <c r="C5779" s="9" t="s">
        <v>53</v>
      </c>
      <c r="D5779" s="9" t="s">
        <v>367</v>
      </c>
      <c r="E5779" s="9" t="s">
        <v>17</v>
      </c>
      <c r="F5779" s="9" t="s">
        <v>35</v>
      </c>
      <c r="G5779" s="9">
        <v>8.0</v>
      </c>
      <c r="H5779" s="9" t="s">
        <v>25</v>
      </c>
      <c r="I5779" s="9" t="s">
        <v>37</v>
      </c>
      <c r="J5779" s="16">
        <v>0.8</v>
      </c>
      <c r="K5779" s="14" t="s">
        <v>398</v>
      </c>
      <c r="N5779" s="14" t="str">
        <f>IFERROR(__xludf.DUMMYFUNCTION("""COMPUTED_VALUE"""),"")</f>
        <v/>
      </c>
      <c r="O5779" s="14"/>
    </row>
    <row r="5780" ht="22.5" hidden="1" customHeight="1">
      <c r="A5780" s="8">
        <v>46242.6135559838</v>
      </c>
      <c r="B5780" s="14">
        <v>46242.0</v>
      </c>
      <c r="C5780" s="9" t="s">
        <v>53</v>
      </c>
      <c r="D5780" s="9" t="s">
        <v>259</v>
      </c>
      <c r="E5780" s="9" t="s">
        <v>17</v>
      </c>
      <c r="F5780" s="9" t="s">
        <v>17</v>
      </c>
      <c r="G5780" s="9">
        <v>6.0</v>
      </c>
      <c r="H5780" s="9" t="s">
        <v>25</v>
      </c>
      <c r="I5780" s="9" t="s">
        <v>34</v>
      </c>
      <c r="J5780" s="16">
        <v>0.8</v>
      </c>
      <c r="K5780" s="14" t="s">
        <v>398</v>
      </c>
      <c r="N5780" s="14" t="str">
        <f>IFERROR(__xludf.DUMMYFUNCTION("""COMPUTED_VALUE"""),"")</f>
        <v/>
      </c>
      <c r="O5780" s="14"/>
    </row>
    <row r="5781" ht="22.5" hidden="1" customHeight="1">
      <c r="A5781" s="8">
        <v>46242.61399233797</v>
      </c>
      <c r="B5781" s="14">
        <v>46242.0</v>
      </c>
      <c r="C5781" s="9" t="s">
        <v>53</v>
      </c>
      <c r="D5781" s="9" t="s">
        <v>396</v>
      </c>
      <c r="E5781" s="9" t="s">
        <v>17</v>
      </c>
      <c r="F5781" s="9" t="s">
        <v>17</v>
      </c>
      <c r="G5781" s="9">
        <v>7.0</v>
      </c>
      <c r="H5781" s="9" t="s">
        <v>25</v>
      </c>
      <c r="I5781" s="9" t="s">
        <v>128</v>
      </c>
      <c r="J5781" s="16">
        <v>0.6</v>
      </c>
      <c r="K5781" s="14" t="s">
        <v>398</v>
      </c>
      <c r="N5781" s="14" t="str">
        <f>IFERROR(__xludf.DUMMYFUNCTION("""COMPUTED_VALUE"""),"")</f>
        <v/>
      </c>
      <c r="O5781" s="14"/>
    </row>
    <row r="5782" ht="22.5" hidden="1" customHeight="1">
      <c r="A5782" s="8">
        <v>46242.61441905092</v>
      </c>
      <c r="B5782" s="14">
        <v>46242.0</v>
      </c>
      <c r="C5782" s="9" t="s">
        <v>53</v>
      </c>
      <c r="D5782" s="9" t="s">
        <v>335</v>
      </c>
      <c r="E5782" s="9" t="s">
        <v>17</v>
      </c>
      <c r="F5782" s="9" t="s">
        <v>17</v>
      </c>
      <c r="G5782" s="9">
        <v>6.0</v>
      </c>
      <c r="H5782" s="9" t="s">
        <v>25</v>
      </c>
      <c r="I5782" s="9" t="s">
        <v>437</v>
      </c>
      <c r="J5782" s="16">
        <v>0.8</v>
      </c>
      <c r="K5782" s="14" t="s">
        <v>398</v>
      </c>
      <c r="N5782" s="14" t="str">
        <f>IFERROR(__xludf.DUMMYFUNCTION("""COMPUTED_VALUE"""),"")</f>
        <v/>
      </c>
      <c r="O5782" s="14"/>
    </row>
    <row r="5783" ht="22.5" hidden="1" customHeight="1">
      <c r="A5783" s="8">
        <v>46242.61505796296</v>
      </c>
      <c r="B5783" s="14">
        <v>46242.0</v>
      </c>
      <c r="C5783" s="9" t="s">
        <v>53</v>
      </c>
      <c r="D5783" s="9" t="s">
        <v>171</v>
      </c>
      <c r="E5783" s="9" t="s">
        <v>17</v>
      </c>
      <c r="F5783" s="9" t="s">
        <v>17</v>
      </c>
      <c r="G5783" s="9">
        <v>7.0</v>
      </c>
      <c r="H5783" s="9" t="s">
        <v>25</v>
      </c>
      <c r="I5783" s="9" t="s">
        <v>474</v>
      </c>
      <c r="J5783" s="16">
        <v>0.6</v>
      </c>
      <c r="K5783" s="14" t="s">
        <v>398</v>
      </c>
      <c r="N5783" s="14" t="str">
        <f>IFERROR(__xludf.DUMMYFUNCTION("""COMPUTED_VALUE"""),"")</f>
        <v/>
      </c>
      <c r="O5783" s="14"/>
    </row>
    <row r="5784" ht="22.5" hidden="1" customHeight="1">
      <c r="A5784" s="8">
        <v>46242.61560751157</v>
      </c>
      <c r="B5784" s="14">
        <v>46242.0</v>
      </c>
      <c r="C5784" s="9" t="s">
        <v>53</v>
      </c>
      <c r="D5784" s="9" t="s">
        <v>178</v>
      </c>
      <c r="E5784" s="9" t="s">
        <v>61</v>
      </c>
      <c r="F5784" s="9" t="s">
        <v>17</v>
      </c>
      <c r="G5784" s="9">
        <v>6.0</v>
      </c>
      <c r="H5784" s="9" t="s">
        <v>22</v>
      </c>
      <c r="I5784" s="9" t="s">
        <v>20</v>
      </c>
      <c r="J5784" s="16">
        <v>0.6</v>
      </c>
      <c r="K5784" s="14" t="s">
        <v>398</v>
      </c>
      <c r="N5784" s="14" t="str">
        <f>IFERROR(__xludf.DUMMYFUNCTION("""COMPUTED_VALUE"""),"")</f>
        <v/>
      </c>
      <c r="O5784" s="14"/>
    </row>
    <row r="5785" ht="22.5" hidden="1" customHeight="1">
      <c r="A5785" s="8">
        <v>46242.61583981481</v>
      </c>
      <c r="B5785" s="14">
        <v>46242.0</v>
      </c>
      <c r="C5785" s="9" t="s">
        <v>53</v>
      </c>
      <c r="D5785" s="9" t="s">
        <v>175</v>
      </c>
      <c r="E5785" s="9" t="s">
        <v>17</v>
      </c>
      <c r="F5785" s="9" t="s">
        <v>17</v>
      </c>
      <c r="G5785" s="9">
        <v>6.0</v>
      </c>
      <c r="H5785" s="9" t="s">
        <v>22</v>
      </c>
      <c r="I5785" s="9" t="s">
        <v>20</v>
      </c>
      <c r="J5785" s="16">
        <v>0.6</v>
      </c>
      <c r="K5785" s="14" t="s">
        <v>398</v>
      </c>
      <c r="N5785" s="14" t="str">
        <f>IFERROR(__xludf.DUMMYFUNCTION("""COMPUTED_VALUE"""),"")</f>
        <v/>
      </c>
      <c r="O5785" s="14"/>
    </row>
    <row r="5786" ht="22.5" hidden="1" customHeight="1">
      <c r="A5786" s="8">
        <v>46242.61610596065</v>
      </c>
      <c r="B5786" s="14">
        <v>46242.0</v>
      </c>
      <c r="C5786" s="9" t="s">
        <v>53</v>
      </c>
      <c r="D5786" s="9" t="s">
        <v>257</v>
      </c>
      <c r="E5786" s="9" t="s">
        <v>17</v>
      </c>
      <c r="F5786" s="9" t="s">
        <v>17</v>
      </c>
      <c r="G5786" s="9">
        <v>7.0</v>
      </c>
      <c r="H5786" s="9" t="s">
        <v>22</v>
      </c>
      <c r="I5786" s="9" t="s">
        <v>20</v>
      </c>
      <c r="J5786" s="16">
        <v>0.8</v>
      </c>
      <c r="K5786" s="14" t="s">
        <v>398</v>
      </c>
      <c r="N5786" s="14" t="str">
        <f>IFERROR(__xludf.DUMMYFUNCTION("""COMPUTED_VALUE"""),"")</f>
        <v/>
      </c>
      <c r="O5786" s="14"/>
    </row>
    <row r="5787" ht="22.5" hidden="1" customHeight="1">
      <c r="A5787" s="8">
        <v>46242.61632339121</v>
      </c>
      <c r="B5787" s="14">
        <v>46242.0</v>
      </c>
      <c r="C5787" s="9" t="s">
        <v>53</v>
      </c>
      <c r="D5787" s="9" t="s">
        <v>463</v>
      </c>
      <c r="E5787" s="9" t="s">
        <v>17</v>
      </c>
      <c r="F5787" s="9" t="s">
        <v>17</v>
      </c>
      <c r="G5787" s="9">
        <v>7.0</v>
      </c>
      <c r="H5787" s="9" t="s">
        <v>17</v>
      </c>
      <c r="I5787" s="9" t="s">
        <v>20</v>
      </c>
      <c r="J5787" s="16">
        <v>0.8</v>
      </c>
      <c r="K5787" s="14" t="s">
        <v>398</v>
      </c>
      <c r="N5787" s="14" t="str">
        <f>IFERROR(__xludf.DUMMYFUNCTION("""COMPUTED_VALUE"""),"")</f>
        <v/>
      </c>
      <c r="O5787" s="14"/>
    </row>
    <row r="5788" ht="22.5" hidden="1" customHeight="1">
      <c r="A5788" s="8">
        <v>46242.61662579861</v>
      </c>
      <c r="B5788" s="14">
        <v>46242.0</v>
      </c>
      <c r="C5788" s="9" t="s">
        <v>53</v>
      </c>
      <c r="D5788" s="9" t="s">
        <v>395</v>
      </c>
      <c r="E5788" s="9" t="s">
        <v>17</v>
      </c>
      <c r="F5788" s="9" t="s">
        <v>17</v>
      </c>
      <c r="G5788" s="9">
        <v>7.0</v>
      </c>
      <c r="H5788" s="9" t="s">
        <v>17</v>
      </c>
      <c r="I5788" s="9" t="s">
        <v>20</v>
      </c>
      <c r="J5788" s="16">
        <v>0.8</v>
      </c>
      <c r="K5788" s="14" t="s">
        <v>398</v>
      </c>
      <c r="N5788" s="14" t="str">
        <f>IFERROR(__xludf.DUMMYFUNCTION("""COMPUTED_VALUE"""),"")</f>
        <v/>
      </c>
      <c r="O5788" s="14"/>
    </row>
    <row r="5789" ht="22.5" hidden="1" customHeight="1">
      <c r="A5789" s="8">
        <v>46242.61699704861</v>
      </c>
      <c r="B5789" s="14">
        <v>46242.0</v>
      </c>
      <c r="C5789" s="9" t="s">
        <v>53</v>
      </c>
      <c r="D5789" s="9" t="s">
        <v>247</v>
      </c>
      <c r="E5789" s="9" t="s">
        <v>17</v>
      </c>
      <c r="F5789" s="9" t="s">
        <v>17</v>
      </c>
      <c r="G5789" s="9">
        <v>7.0</v>
      </c>
      <c r="H5789" s="9" t="s">
        <v>17</v>
      </c>
      <c r="I5789" s="9" t="s">
        <v>20</v>
      </c>
      <c r="J5789" s="16">
        <v>0.8</v>
      </c>
      <c r="K5789" s="14" t="s">
        <v>398</v>
      </c>
      <c r="N5789" s="14" t="str">
        <f>IFERROR(__xludf.DUMMYFUNCTION("""COMPUTED_VALUE"""),"")</f>
        <v/>
      </c>
      <c r="O5789" s="14"/>
    </row>
    <row r="5790" ht="22.5" hidden="1" customHeight="1">
      <c r="A5790" s="8">
        <v>46242.61728230324</v>
      </c>
      <c r="B5790" s="14">
        <v>46242.0</v>
      </c>
      <c r="C5790" s="9" t="s">
        <v>53</v>
      </c>
      <c r="D5790" s="9" t="s">
        <v>249</v>
      </c>
      <c r="E5790" s="9" t="s">
        <v>17</v>
      </c>
      <c r="F5790" s="9" t="s">
        <v>17</v>
      </c>
      <c r="G5790" s="9">
        <v>7.0</v>
      </c>
      <c r="H5790" s="9" t="s">
        <v>17</v>
      </c>
      <c r="I5790" s="9" t="s">
        <v>20</v>
      </c>
      <c r="J5790" s="16">
        <v>0.8</v>
      </c>
      <c r="K5790" s="14" t="s">
        <v>398</v>
      </c>
      <c r="N5790" s="14" t="str">
        <f>IFERROR(__xludf.DUMMYFUNCTION("""COMPUTED_VALUE"""),"")</f>
        <v/>
      </c>
      <c r="O5790" s="14"/>
    </row>
    <row r="5791" ht="22.5" hidden="1" customHeight="1">
      <c r="A5791" s="8">
        <v>46242.617894282404</v>
      </c>
      <c r="B5791" s="14">
        <v>46242.0</v>
      </c>
      <c r="C5791" s="9" t="s">
        <v>53</v>
      </c>
      <c r="D5791" s="9" t="s">
        <v>177</v>
      </c>
      <c r="E5791" s="9" t="s">
        <v>17</v>
      </c>
      <c r="F5791" s="9" t="s">
        <v>17</v>
      </c>
      <c r="G5791" s="9">
        <v>6.0</v>
      </c>
      <c r="H5791" s="9" t="s">
        <v>17</v>
      </c>
      <c r="I5791" s="9" t="s">
        <v>20</v>
      </c>
      <c r="J5791" s="16">
        <v>0.8</v>
      </c>
      <c r="K5791" s="14" t="s">
        <v>398</v>
      </c>
      <c r="N5791" s="14" t="str">
        <f>IFERROR(__xludf.DUMMYFUNCTION("""COMPUTED_VALUE"""),"")</f>
        <v/>
      </c>
      <c r="O5791" s="14"/>
    </row>
    <row r="5792" ht="22.5" hidden="1" customHeight="1">
      <c r="A5792" s="8">
        <v>46242.61823091435</v>
      </c>
      <c r="B5792" s="14">
        <v>46242.0</v>
      </c>
      <c r="C5792" s="9" t="s">
        <v>53</v>
      </c>
      <c r="D5792" s="9" t="s">
        <v>441</v>
      </c>
      <c r="E5792" s="9" t="s">
        <v>17</v>
      </c>
      <c r="F5792" s="9" t="s">
        <v>17</v>
      </c>
      <c r="G5792" s="9">
        <v>7.0</v>
      </c>
      <c r="H5792" s="9" t="s">
        <v>17</v>
      </c>
      <c r="I5792" s="9" t="s">
        <v>20</v>
      </c>
      <c r="J5792" s="16">
        <v>0.6</v>
      </c>
      <c r="K5792" s="14" t="s">
        <v>398</v>
      </c>
      <c r="N5792" s="14" t="str">
        <f>IFERROR(__xludf.DUMMYFUNCTION("""COMPUTED_VALUE"""),"")</f>
        <v/>
      </c>
      <c r="O5792" s="14"/>
    </row>
    <row r="5793" ht="22.5" hidden="1" customHeight="1">
      <c r="A5793" s="8">
        <v>46242.618545868056</v>
      </c>
      <c r="B5793" s="14">
        <v>46242.0</v>
      </c>
      <c r="C5793" s="9" t="s">
        <v>53</v>
      </c>
      <c r="D5793" s="9" t="s">
        <v>357</v>
      </c>
      <c r="E5793" s="9" t="s">
        <v>17</v>
      </c>
      <c r="F5793" s="9" t="s">
        <v>17</v>
      </c>
      <c r="G5793" s="9">
        <v>6.0</v>
      </c>
      <c r="H5793" s="9" t="s">
        <v>17</v>
      </c>
      <c r="I5793" s="9" t="s">
        <v>20</v>
      </c>
      <c r="J5793" s="16">
        <v>0.6</v>
      </c>
      <c r="K5793" s="14" t="s">
        <v>398</v>
      </c>
      <c r="N5793" s="14" t="str">
        <f>IFERROR(__xludf.DUMMYFUNCTION("""COMPUTED_VALUE"""),"")</f>
        <v/>
      </c>
      <c r="O5793" s="14"/>
    </row>
    <row r="5794" ht="22.5" hidden="1" customHeight="1">
      <c r="A5794" s="8">
        <v>46242.61877765047</v>
      </c>
      <c r="B5794" s="14">
        <v>46242.0</v>
      </c>
      <c r="C5794" s="9" t="s">
        <v>53</v>
      </c>
      <c r="D5794" s="9" t="s">
        <v>457</v>
      </c>
      <c r="E5794" s="9" t="s">
        <v>17</v>
      </c>
      <c r="F5794" s="9" t="s">
        <v>17</v>
      </c>
      <c r="G5794" s="9">
        <v>8.0</v>
      </c>
      <c r="H5794" s="9" t="s">
        <v>17</v>
      </c>
      <c r="I5794" s="9" t="s">
        <v>20</v>
      </c>
      <c r="J5794" s="16">
        <v>0.6</v>
      </c>
      <c r="K5794" s="14" t="s">
        <v>398</v>
      </c>
      <c r="N5794" s="14" t="str">
        <f>IFERROR(__xludf.DUMMYFUNCTION("""COMPUTED_VALUE"""),"")</f>
        <v/>
      </c>
      <c r="O5794" s="14"/>
    </row>
    <row r="5795" ht="22.5" hidden="1" customHeight="1">
      <c r="A5795" s="8">
        <v>46242.619191053236</v>
      </c>
      <c r="B5795" s="14">
        <v>46242.0</v>
      </c>
      <c r="C5795" s="9" t="s">
        <v>53</v>
      </c>
      <c r="D5795" s="9" t="s">
        <v>174</v>
      </c>
      <c r="E5795" s="9" t="s">
        <v>17</v>
      </c>
      <c r="F5795" s="9" t="s">
        <v>17</v>
      </c>
      <c r="G5795" s="9">
        <v>7.0</v>
      </c>
      <c r="H5795" s="9" t="s">
        <v>17</v>
      </c>
      <c r="I5795" s="9" t="s">
        <v>20</v>
      </c>
      <c r="J5795" s="16">
        <v>0.8</v>
      </c>
      <c r="K5795" s="14" t="s">
        <v>398</v>
      </c>
      <c r="N5795" s="14" t="str">
        <f>IFERROR(__xludf.DUMMYFUNCTION("""COMPUTED_VALUE"""),"")</f>
        <v/>
      </c>
      <c r="O5795" s="14"/>
    </row>
    <row r="5796" ht="22.5" hidden="1" customHeight="1">
      <c r="A5796" s="8">
        <v>46242.61954609954</v>
      </c>
      <c r="B5796" s="14">
        <v>46242.0</v>
      </c>
      <c r="C5796" s="9" t="s">
        <v>53</v>
      </c>
      <c r="D5796" s="9" t="s">
        <v>369</v>
      </c>
      <c r="E5796" s="9" t="s">
        <v>17</v>
      </c>
      <c r="F5796" s="9" t="s">
        <v>17</v>
      </c>
      <c r="G5796" s="9">
        <v>7.0</v>
      </c>
      <c r="H5796" s="9" t="s">
        <v>22</v>
      </c>
      <c r="I5796" s="9" t="s">
        <v>20</v>
      </c>
      <c r="J5796" s="16">
        <v>1.0</v>
      </c>
      <c r="K5796" s="14" t="s">
        <v>398</v>
      </c>
      <c r="N5796" s="14" t="str">
        <f>IFERROR(__xludf.DUMMYFUNCTION("""COMPUTED_VALUE"""),"")</f>
        <v/>
      </c>
      <c r="O5796" s="14"/>
    </row>
    <row r="5797" ht="22.5" hidden="1" customHeight="1">
      <c r="A5797" s="8">
        <v>46242.61983430556</v>
      </c>
      <c r="B5797" s="14">
        <v>46242.0</v>
      </c>
      <c r="C5797" s="9" t="s">
        <v>53</v>
      </c>
      <c r="D5797" s="9" t="s">
        <v>210</v>
      </c>
      <c r="E5797" s="9" t="s">
        <v>17</v>
      </c>
      <c r="F5797" s="9" t="s">
        <v>17</v>
      </c>
      <c r="G5797" s="9">
        <v>8.0</v>
      </c>
      <c r="H5797" s="9" t="s">
        <v>22</v>
      </c>
      <c r="I5797" s="9" t="s">
        <v>20</v>
      </c>
      <c r="J5797" s="16">
        <v>1.0</v>
      </c>
      <c r="K5797" s="14" t="s">
        <v>398</v>
      </c>
      <c r="N5797" s="14" t="str">
        <f>IFERROR(__xludf.DUMMYFUNCTION("""COMPUTED_VALUE"""),"")</f>
        <v/>
      </c>
      <c r="O5797" s="14"/>
    </row>
    <row r="5798" ht="22.5" hidden="1" customHeight="1">
      <c r="A5798" s="8">
        <v>46242.620137453705</v>
      </c>
      <c r="B5798" s="14">
        <v>46242.0</v>
      </c>
      <c r="C5798" s="9" t="s">
        <v>53</v>
      </c>
      <c r="D5798" s="9" t="s">
        <v>469</v>
      </c>
      <c r="E5798" s="9" t="s">
        <v>17</v>
      </c>
      <c r="F5798" s="9" t="s">
        <v>17</v>
      </c>
      <c r="G5798" s="9">
        <v>7.0</v>
      </c>
      <c r="H5798" s="9" t="s">
        <v>22</v>
      </c>
      <c r="I5798" s="9" t="s">
        <v>20</v>
      </c>
      <c r="J5798" s="16">
        <v>0.8</v>
      </c>
      <c r="K5798" s="14" t="s">
        <v>398</v>
      </c>
      <c r="N5798" s="14" t="str">
        <f>IFERROR(__xludf.DUMMYFUNCTION("""COMPUTED_VALUE"""),"")</f>
        <v/>
      </c>
      <c r="O5798" s="14"/>
    </row>
    <row r="5799" ht="22.5" hidden="1" customHeight="1">
      <c r="A5799" s="8">
        <v>46242.620629756944</v>
      </c>
      <c r="B5799" s="14">
        <v>46242.0</v>
      </c>
      <c r="C5799" s="9" t="s">
        <v>53</v>
      </c>
      <c r="D5799" s="9" t="s">
        <v>414</v>
      </c>
      <c r="E5799" s="9" t="s">
        <v>44</v>
      </c>
      <c r="F5799" s="9" t="s">
        <v>17</v>
      </c>
      <c r="G5799" s="9">
        <v>7.0</v>
      </c>
      <c r="H5799" s="9" t="s">
        <v>22</v>
      </c>
      <c r="I5799" s="9" t="s">
        <v>20</v>
      </c>
      <c r="J5799" s="16">
        <v>0.8</v>
      </c>
      <c r="K5799" s="14" t="s">
        <v>398</v>
      </c>
      <c r="N5799" s="14" t="str">
        <f>IFERROR(__xludf.DUMMYFUNCTION("""COMPUTED_VALUE"""),"")</f>
        <v/>
      </c>
      <c r="O5799" s="14"/>
    </row>
    <row r="5800" ht="22.5" hidden="1" customHeight="1">
      <c r="A5800" s="8">
        <v>46243.444289444444</v>
      </c>
      <c r="B5800" s="14">
        <v>46243.0</v>
      </c>
      <c r="C5800" s="9" t="s">
        <v>58</v>
      </c>
      <c r="D5800" s="9" t="s">
        <v>469</v>
      </c>
      <c r="E5800" s="9" t="s">
        <v>30</v>
      </c>
      <c r="F5800" s="9" t="s">
        <v>18</v>
      </c>
      <c r="G5800" s="9" t="s">
        <v>409</v>
      </c>
      <c r="H5800" s="9" t="s">
        <v>22</v>
      </c>
      <c r="I5800" s="9" t="s">
        <v>20</v>
      </c>
      <c r="J5800" s="16">
        <v>1.0</v>
      </c>
      <c r="K5800" s="14" t="s">
        <v>398</v>
      </c>
      <c r="N5800" s="14" t="str">
        <f>IFERROR(__xludf.DUMMYFUNCTION("""COMPUTED_VALUE"""),"")</f>
        <v/>
      </c>
      <c r="O5800" s="14"/>
    </row>
    <row r="5801" ht="22.5" hidden="1" customHeight="1">
      <c r="A5801" s="8">
        <v>46243.450886782404</v>
      </c>
      <c r="B5801" s="14">
        <v>46243.0</v>
      </c>
      <c r="C5801" s="9" t="s">
        <v>58</v>
      </c>
      <c r="D5801" s="9" t="s">
        <v>171</v>
      </c>
      <c r="E5801" s="9" t="s">
        <v>30</v>
      </c>
      <c r="F5801" s="9" t="s">
        <v>18</v>
      </c>
      <c r="G5801" s="9" t="s">
        <v>409</v>
      </c>
      <c r="H5801" s="9" t="s">
        <v>22</v>
      </c>
      <c r="I5801" s="9" t="s">
        <v>20</v>
      </c>
      <c r="J5801" s="16">
        <v>0.8</v>
      </c>
      <c r="K5801" s="14" t="s">
        <v>398</v>
      </c>
      <c r="N5801" s="14" t="str">
        <f>IFERROR(__xludf.DUMMYFUNCTION("""COMPUTED_VALUE"""),"")</f>
        <v/>
      </c>
      <c r="O5801" s="14"/>
    </row>
    <row r="5802" ht="22.5" hidden="1" customHeight="1">
      <c r="A5802" s="8">
        <v>46243.45120094907</v>
      </c>
      <c r="B5802" s="14">
        <v>46243.0</v>
      </c>
      <c r="C5802" s="9" t="s">
        <v>58</v>
      </c>
      <c r="D5802" s="9" t="s">
        <v>460</v>
      </c>
      <c r="E5802" s="9" t="s">
        <v>30</v>
      </c>
      <c r="F5802" s="9" t="s">
        <v>18</v>
      </c>
      <c r="G5802" s="9">
        <v>8.0</v>
      </c>
      <c r="H5802" s="9" t="s">
        <v>22</v>
      </c>
      <c r="I5802" s="9" t="s">
        <v>20</v>
      </c>
      <c r="J5802" s="16">
        <v>1.0</v>
      </c>
      <c r="K5802" s="14" t="s">
        <v>398</v>
      </c>
      <c r="N5802" s="14" t="str">
        <f>IFERROR(__xludf.DUMMYFUNCTION("""COMPUTED_VALUE"""),"")</f>
        <v/>
      </c>
      <c r="O5802" s="14"/>
    </row>
    <row r="5803" ht="22.5" hidden="1" customHeight="1">
      <c r="A5803" s="8">
        <v>46243.45159106482</v>
      </c>
      <c r="B5803" s="14">
        <v>46243.0</v>
      </c>
      <c r="C5803" s="9" t="s">
        <v>58</v>
      </c>
      <c r="D5803" s="9" t="s">
        <v>441</v>
      </c>
      <c r="E5803" s="9" t="s">
        <v>17</v>
      </c>
      <c r="F5803" s="9" t="s">
        <v>18</v>
      </c>
      <c r="G5803" s="9">
        <v>7.0</v>
      </c>
      <c r="H5803" s="9" t="s">
        <v>22</v>
      </c>
      <c r="I5803" s="9" t="s">
        <v>20</v>
      </c>
      <c r="J5803" s="16">
        <v>1.0</v>
      </c>
      <c r="K5803" s="14" t="s">
        <v>398</v>
      </c>
      <c r="N5803" s="14" t="str">
        <f>IFERROR(__xludf.DUMMYFUNCTION("""COMPUTED_VALUE"""),"")</f>
        <v/>
      </c>
      <c r="O5803" s="14"/>
    </row>
    <row r="5804" ht="22.5" hidden="1" customHeight="1">
      <c r="A5804" s="8">
        <v>46243.45191417824</v>
      </c>
      <c r="B5804" s="14">
        <v>46243.0</v>
      </c>
      <c r="C5804" s="9" t="s">
        <v>58</v>
      </c>
      <c r="D5804" s="9" t="s">
        <v>463</v>
      </c>
      <c r="E5804" s="9" t="s">
        <v>30</v>
      </c>
      <c r="F5804" s="9" t="s">
        <v>43</v>
      </c>
      <c r="G5804" s="9" t="s">
        <v>409</v>
      </c>
      <c r="H5804" s="9" t="s">
        <v>22</v>
      </c>
      <c r="I5804" s="9" t="s">
        <v>20</v>
      </c>
      <c r="J5804" s="16">
        <v>1.0</v>
      </c>
      <c r="K5804" s="14" t="s">
        <v>398</v>
      </c>
      <c r="N5804" s="14" t="str">
        <f>IFERROR(__xludf.DUMMYFUNCTION("""COMPUTED_VALUE"""),"")</f>
        <v/>
      </c>
      <c r="O5804" s="14"/>
    </row>
    <row r="5805" ht="22.5" hidden="1" customHeight="1">
      <c r="A5805" s="8">
        <v>46243.45848059028</v>
      </c>
      <c r="B5805" s="14">
        <v>46243.0</v>
      </c>
      <c r="C5805" s="9" t="s">
        <v>58</v>
      </c>
      <c r="D5805" s="9" t="s">
        <v>177</v>
      </c>
      <c r="E5805" s="9" t="s">
        <v>30</v>
      </c>
      <c r="F5805" s="9" t="s">
        <v>17</v>
      </c>
      <c r="G5805" s="9">
        <v>7.0</v>
      </c>
      <c r="H5805" s="9" t="s">
        <v>22</v>
      </c>
      <c r="I5805" s="9" t="s">
        <v>20</v>
      </c>
      <c r="J5805" s="16">
        <v>0.8</v>
      </c>
      <c r="K5805" s="14" t="s">
        <v>398</v>
      </c>
      <c r="N5805" s="14" t="str">
        <f>IFERROR(__xludf.DUMMYFUNCTION("""COMPUTED_VALUE"""),"")</f>
        <v/>
      </c>
      <c r="O5805" s="14"/>
    </row>
    <row r="5806" ht="22.5" hidden="1" customHeight="1">
      <c r="A5806" s="8">
        <v>46243.45908954861</v>
      </c>
      <c r="B5806" s="14">
        <v>46243.0</v>
      </c>
      <c r="C5806" s="9" t="s">
        <v>58</v>
      </c>
      <c r="D5806" s="9" t="s">
        <v>357</v>
      </c>
      <c r="E5806" s="9" t="s">
        <v>17</v>
      </c>
      <c r="F5806" s="9" t="s">
        <v>18</v>
      </c>
      <c r="G5806" s="9" t="s">
        <v>409</v>
      </c>
      <c r="H5806" s="9" t="s">
        <v>25</v>
      </c>
      <c r="I5806" s="9" t="s">
        <v>211</v>
      </c>
      <c r="J5806" s="16">
        <v>0.8</v>
      </c>
      <c r="K5806" s="14" t="s">
        <v>398</v>
      </c>
      <c r="N5806" s="14" t="str">
        <f>IFERROR(__xludf.DUMMYFUNCTION("""COMPUTED_VALUE"""),"")</f>
        <v/>
      </c>
      <c r="O5806" s="14"/>
    </row>
    <row r="5807" ht="22.5" hidden="1" customHeight="1">
      <c r="A5807" s="8">
        <v>46243.45939199074</v>
      </c>
      <c r="B5807" s="14">
        <v>46243.0</v>
      </c>
      <c r="C5807" s="9" t="s">
        <v>58</v>
      </c>
      <c r="D5807" s="9" t="s">
        <v>413</v>
      </c>
      <c r="E5807" s="9" t="s">
        <v>17</v>
      </c>
      <c r="F5807" s="9" t="s">
        <v>18</v>
      </c>
      <c r="G5807" s="9" t="s">
        <v>409</v>
      </c>
      <c r="H5807" s="9" t="s">
        <v>22</v>
      </c>
      <c r="I5807" s="9" t="s">
        <v>20</v>
      </c>
      <c r="J5807" s="16">
        <v>1.0</v>
      </c>
      <c r="K5807" s="14" t="s">
        <v>398</v>
      </c>
      <c r="N5807" s="14" t="str">
        <f>IFERROR(__xludf.DUMMYFUNCTION("""COMPUTED_VALUE"""),"")</f>
        <v/>
      </c>
      <c r="O5807" s="14"/>
    </row>
    <row r="5808" ht="22.5" hidden="1" customHeight="1">
      <c r="A5808" s="8">
        <v>46243.45975513889</v>
      </c>
      <c r="B5808" s="14">
        <v>46243.0</v>
      </c>
      <c r="C5808" s="9" t="s">
        <v>58</v>
      </c>
      <c r="D5808" s="9" t="s">
        <v>174</v>
      </c>
      <c r="E5808" s="9" t="s">
        <v>30</v>
      </c>
      <c r="F5808" s="9" t="s">
        <v>18</v>
      </c>
      <c r="G5808" s="9">
        <v>8.0</v>
      </c>
      <c r="H5808" s="9" t="s">
        <v>22</v>
      </c>
      <c r="I5808" s="9" t="s">
        <v>20</v>
      </c>
      <c r="J5808" s="16">
        <v>0.8</v>
      </c>
      <c r="K5808" s="14" t="s">
        <v>398</v>
      </c>
      <c r="N5808" s="14" t="str">
        <f>IFERROR(__xludf.DUMMYFUNCTION("""COMPUTED_VALUE"""),"")</f>
        <v/>
      </c>
      <c r="O5808" s="14"/>
    </row>
    <row r="5809" ht="22.5" hidden="1" customHeight="1">
      <c r="A5809" s="8">
        <v>46243.460123425924</v>
      </c>
      <c r="B5809" s="14">
        <v>46243.0</v>
      </c>
      <c r="C5809" s="9" t="s">
        <v>58</v>
      </c>
      <c r="D5809" s="9" t="s">
        <v>369</v>
      </c>
      <c r="E5809" s="9" t="s">
        <v>30</v>
      </c>
      <c r="F5809" s="9" t="s">
        <v>18</v>
      </c>
      <c r="G5809" s="9">
        <v>8.0</v>
      </c>
      <c r="H5809" s="9" t="s">
        <v>22</v>
      </c>
      <c r="I5809" s="9" t="s">
        <v>20</v>
      </c>
      <c r="J5809" s="16">
        <v>0.8</v>
      </c>
      <c r="K5809" s="14" t="s">
        <v>398</v>
      </c>
      <c r="N5809" s="14" t="str">
        <f>IFERROR(__xludf.DUMMYFUNCTION("""COMPUTED_VALUE"""),"")</f>
        <v/>
      </c>
      <c r="O5809" s="14"/>
    </row>
    <row r="5810" ht="22.5" hidden="1" customHeight="1">
      <c r="A5810" s="8">
        <v>46243.46055521991</v>
      </c>
      <c r="B5810" s="14">
        <v>46243.0</v>
      </c>
      <c r="C5810" s="9" t="s">
        <v>58</v>
      </c>
      <c r="D5810" s="9" t="s">
        <v>464</v>
      </c>
      <c r="E5810" s="9" t="s">
        <v>30</v>
      </c>
      <c r="F5810" s="9" t="s">
        <v>18</v>
      </c>
      <c r="G5810" s="9" t="s">
        <v>409</v>
      </c>
      <c r="H5810" s="9" t="s">
        <v>22</v>
      </c>
      <c r="I5810" s="9" t="s">
        <v>20</v>
      </c>
      <c r="J5810" s="16">
        <v>1.0</v>
      </c>
      <c r="K5810" s="14" t="s">
        <v>398</v>
      </c>
      <c r="N5810" s="14" t="str">
        <f>IFERROR(__xludf.DUMMYFUNCTION("""COMPUTED_VALUE"""),"")</f>
        <v/>
      </c>
      <c r="O5810" s="14"/>
    </row>
    <row r="5811" ht="22.5" hidden="1" customHeight="1">
      <c r="A5811" s="8">
        <v>46243.461155983794</v>
      </c>
      <c r="B5811" s="14">
        <v>46243.0</v>
      </c>
      <c r="C5811" s="9" t="s">
        <v>58</v>
      </c>
      <c r="D5811" s="9" t="s">
        <v>395</v>
      </c>
      <c r="E5811" s="9" t="s">
        <v>17</v>
      </c>
      <c r="F5811" s="9" t="s">
        <v>18</v>
      </c>
      <c r="G5811" s="9">
        <v>8.0</v>
      </c>
      <c r="H5811" s="9" t="s">
        <v>25</v>
      </c>
      <c r="I5811" s="9" t="s">
        <v>211</v>
      </c>
      <c r="J5811" s="16">
        <v>0.8</v>
      </c>
      <c r="K5811" s="14" t="s">
        <v>398</v>
      </c>
      <c r="N5811" s="14" t="str">
        <f>IFERROR(__xludf.DUMMYFUNCTION("""COMPUTED_VALUE"""),"")</f>
        <v/>
      </c>
      <c r="O5811" s="14"/>
    </row>
    <row r="5812" ht="22.5" hidden="1" customHeight="1">
      <c r="A5812" s="8">
        <v>46243.461863449076</v>
      </c>
      <c r="B5812" s="14">
        <v>46243.0</v>
      </c>
      <c r="C5812" s="9" t="s">
        <v>58</v>
      </c>
      <c r="D5812" s="9" t="s">
        <v>394</v>
      </c>
      <c r="E5812" s="9" t="s">
        <v>30</v>
      </c>
      <c r="F5812" s="9" t="s">
        <v>18</v>
      </c>
      <c r="G5812" s="9">
        <v>8.0</v>
      </c>
      <c r="H5812" s="9" t="s">
        <v>22</v>
      </c>
      <c r="I5812" s="9" t="s">
        <v>20</v>
      </c>
      <c r="J5812" s="16">
        <v>0.8</v>
      </c>
      <c r="K5812" s="14" t="s">
        <v>398</v>
      </c>
      <c r="N5812" s="14" t="str">
        <f>IFERROR(__xludf.DUMMYFUNCTION("""COMPUTED_VALUE"""),"")</f>
        <v/>
      </c>
      <c r="O5812" s="14"/>
    </row>
    <row r="5813" ht="22.5" hidden="1" customHeight="1">
      <c r="A5813" s="8">
        <v>46243.46245554398</v>
      </c>
      <c r="B5813" s="14">
        <v>46243.0</v>
      </c>
      <c r="C5813" s="9" t="s">
        <v>58</v>
      </c>
      <c r="D5813" s="9" t="s">
        <v>247</v>
      </c>
      <c r="E5813" s="9" t="s">
        <v>17</v>
      </c>
      <c r="F5813" s="9" t="s">
        <v>18</v>
      </c>
      <c r="G5813" s="9" t="s">
        <v>409</v>
      </c>
      <c r="H5813" s="9" t="s">
        <v>22</v>
      </c>
      <c r="I5813" s="9" t="s">
        <v>20</v>
      </c>
      <c r="J5813" s="16">
        <v>0.8</v>
      </c>
      <c r="K5813" s="14" t="s">
        <v>398</v>
      </c>
      <c r="N5813" s="14" t="str">
        <f>IFERROR(__xludf.DUMMYFUNCTION("""COMPUTED_VALUE"""),"")</f>
        <v/>
      </c>
      <c r="O5813" s="14"/>
    </row>
    <row r="5814" ht="22.5" hidden="1" customHeight="1">
      <c r="A5814" s="8">
        <v>46243.46313953704</v>
      </c>
      <c r="B5814" s="14">
        <v>46243.0</v>
      </c>
      <c r="C5814" s="9" t="s">
        <v>58</v>
      </c>
      <c r="D5814" s="9" t="s">
        <v>414</v>
      </c>
      <c r="E5814" s="9" t="s">
        <v>30</v>
      </c>
      <c r="F5814" s="9" t="s">
        <v>18</v>
      </c>
      <c r="G5814" s="9">
        <v>8.0</v>
      </c>
      <c r="H5814" s="9" t="s">
        <v>22</v>
      </c>
      <c r="I5814" s="9" t="s">
        <v>20</v>
      </c>
      <c r="J5814" s="16">
        <v>0.8</v>
      </c>
      <c r="K5814" s="14" t="s">
        <v>398</v>
      </c>
      <c r="N5814" s="14" t="str">
        <f>IFERROR(__xludf.DUMMYFUNCTION("""COMPUTED_VALUE"""),"")</f>
        <v/>
      </c>
      <c r="O5814" s="14"/>
    </row>
    <row r="5815" ht="22.5" hidden="1" customHeight="1">
      <c r="A5815" s="8">
        <v>46243.46348769676</v>
      </c>
      <c r="B5815" s="14">
        <v>46243.0</v>
      </c>
      <c r="C5815" s="9" t="s">
        <v>58</v>
      </c>
      <c r="D5815" s="9" t="s">
        <v>257</v>
      </c>
      <c r="E5815" s="9" t="s">
        <v>57</v>
      </c>
      <c r="F5815" s="9" t="s">
        <v>43</v>
      </c>
      <c r="G5815" s="9">
        <v>8.0</v>
      </c>
      <c r="H5815" s="9" t="s">
        <v>22</v>
      </c>
      <c r="I5815" s="9" t="s">
        <v>20</v>
      </c>
      <c r="J5815" s="16">
        <v>1.0</v>
      </c>
      <c r="K5815" s="14" t="s">
        <v>398</v>
      </c>
      <c r="N5815" s="14" t="str">
        <f>IFERROR(__xludf.DUMMYFUNCTION("""COMPUTED_VALUE"""),"")</f>
        <v/>
      </c>
      <c r="O5815" s="14"/>
    </row>
    <row r="5816" ht="22.5" hidden="1" customHeight="1">
      <c r="A5816" s="8">
        <v>46243.46394627314</v>
      </c>
      <c r="B5816" s="14">
        <v>46243.0</v>
      </c>
      <c r="C5816" s="9" t="s">
        <v>58</v>
      </c>
      <c r="D5816" s="9" t="s">
        <v>175</v>
      </c>
      <c r="E5816" s="9" t="s">
        <v>17</v>
      </c>
      <c r="F5816" s="9" t="s">
        <v>35</v>
      </c>
      <c r="G5816" s="9">
        <v>8.0</v>
      </c>
      <c r="H5816" s="9" t="s">
        <v>22</v>
      </c>
      <c r="I5816" s="9" t="s">
        <v>20</v>
      </c>
      <c r="J5816" s="16">
        <v>0.8</v>
      </c>
      <c r="K5816" s="14" t="s">
        <v>398</v>
      </c>
      <c r="N5816" s="14" t="str">
        <f>IFERROR(__xludf.DUMMYFUNCTION("""COMPUTED_VALUE"""),"")</f>
        <v/>
      </c>
      <c r="O5816" s="14"/>
    </row>
    <row r="5817" ht="22.5" hidden="1" customHeight="1">
      <c r="A5817" s="8">
        <v>46243.46448607639</v>
      </c>
      <c r="B5817" s="14">
        <v>46243.0</v>
      </c>
      <c r="C5817" s="9" t="s">
        <v>58</v>
      </c>
      <c r="D5817" s="9" t="s">
        <v>178</v>
      </c>
      <c r="E5817" s="9" t="s">
        <v>44</v>
      </c>
      <c r="F5817" s="9" t="s">
        <v>35</v>
      </c>
      <c r="G5817" s="9">
        <v>7.0</v>
      </c>
      <c r="H5817" s="9" t="s">
        <v>22</v>
      </c>
      <c r="I5817" s="9" t="s">
        <v>20</v>
      </c>
      <c r="J5817" s="16">
        <v>0.8</v>
      </c>
      <c r="K5817" s="14" t="s">
        <v>398</v>
      </c>
      <c r="N5817" s="14" t="str">
        <f>IFERROR(__xludf.DUMMYFUNCTION("""COMPUTED_VALUE"""),"")</f>
        <v/>
      </c>
      <c r="O5817" s="14"/>
    </row>
    <row r="5818" ht="22.5" hidden="1" customHeight="1">
      <c r="A5818" s="8">
        <v>46243.46528846065</v>
      </c>
      <c r="B5818" s="14">
        <v>46243.0</v>
      </c>
      <c r="C5818" s="9" t="s">
        <v>58</v>
      </c>
      <c r="D5818" s="9" t="s">
        <v>393</v>
      </c>
      <c r="E5818" s="9" t="s">
        <v>30</v>
      </c>
      <c r="F5818" s="9" t="s">
        <v>18</v>
      </c>
      <c r="G5818" s="9">
        <v>8.0</v>
      </c>
      <c r="H5818" s="9" t="s">
        <v>25</v>
      </c>
      <c r="I5818" s="9" t="s">
        <v>240</v>
      </c>
      <c r="J5818" s="16">
        <v>0.8</v>
      </c>
      <c r="K5818" s="14" t="s">
        <v>398</v>
      </c>
      <c r="N5818" s="14" t="str">
        <f>IFERROR(__xludf.DUMMYFUNCTION("""COMPUTED_VALUE"""),"")</f>
        <v/>
      </c>
      <c r="O5818" s="14"/>
    </row>
    <row r="5819" ht="22.5" hidden="1" customHeight="1">
      <c r="A5819" s="8">
        <v>46243.46565922454</v>
      </c>
      <c r="B5819" s="14">
        <v>46243.0</v>
      </c>
      <c r="C5819" s="9" t="s">
        <v>58</v>
      </c>
      <c r="D5819" s="9" t="s">
        <v>249</v>
      </c>
      <c r="E5819" s="9" t="s">
        <v>30</v>
      </c>
      <c r="F5819" s="9" t="s">
        <v>18</v>
      </c>
      <c r="G5819" s="9" t="s">
        <v>409</v>
      </c>
      <c r="H5819" s="9" t="s">
        <v>22</v>
      </c>
      <c r="I5819" s="9" t="s">
        <v>20</v>
      </c>
      <c r="J5819" s="16">
        <v>0.8</v>
      </c>
      <c r="K5819" s="14" t="s">
        <v>398</v>
      </c>
      <c r="N5819" s="14" t="str">
        <f>IFERROR(__xludf.DUMMYFUNCTION("""COMPUTED_VALUE"""),"")</f>
        <v/>
      </c>
      <c r="O5819" s="14"/>
    </row>
    <row r="5820" ht="22.5" hidden="1" customHeight="1">
      <c r="A5820" s="8">
        <v>46243.46620556713</v>
      </c>
      <c r="B5820" s="14">
        <v>46243.0</v>
      </c>
      <c r="C5820" s="9" t="s">
        <v>58</v>
      </c>
      <c r="D5820" s="9" t="s">
        <v>259</v>
      </c>
      <c r="E5820" s="9" t="s">
        <v>30</v>
      </c>
      <c r="F5820" s="9" t="s">
        <v>18</v>
      </c>
      <c r="G5820" s="9" t="s">
        <v>409</v>
      </c>
      <c r="H5820" s="9" t="s">
        <v>22</v>
      </c>
      <c r="I5820" s="9" t="s">
        <v>20</v>
      </c>
      <c r="J5820" s="16">
        <v>0.8</v>
      </c>
      <c r="K5820" s="14" t="s">
        <v>398</v>
      </c>
      <c r="N5820" s="14" t="str">
        <f>IFERROR(__xludf.DUMMYFUNCTION("""COMPUTED_VALUE"""),"")</f>
        <v/>
      </c>
      <c r="O5820" s="14"/>
    </row>
    <row r="5821" ht="22.5" hidden="1" customHeight="1">
      <c r="A5821" s="8">
        <v>46243.46863855324</v>
      </c>
      <c r="B5821" s="14">
        <v>46243.0</v>
      </c>
      <c r="C5821" s="9" t="s">
        <v>58</v>
      </c>
      <c r="D5821" s="9" t="s">
        <v>335</v>
      </c>
      <c r="E5821" s="9" t="s">
        <v>30</v>
      </c>
      <c r="F5821" s="9" t="s">
        <v>18</v>
      </c>
      <c r="G5821" s="9">
        <v>7.0</v>
      </c>
      <c r="H5821" s="9" t="s">
        <v>22</v>
      </c>
      <c r="I5821" s="9" t="s">
        <v>20</v>
      </c>
      <c r="J5821" s="16">
        <v>0.8</v>
      </c>
      <c r="K5821" s="14" t="s">
        <v>398</v>
      </c>
      <c r="N5821" s="14" t="str">
        <f>IFERROR(__xludf.DUMMYFUNCTION("""COMPUTED_VALUE"""),"")</f>
        <v/>
      </c>
      <c r="O5821" s="14"/>
    </row>
    <row r="5822" ht="22.5" hidden="1" customHeight="1">
      <c r="A5822" s="8">
        <v>46243.47279728009</v>
      </c>
      <c r="B5822" s="14">
        <v>46243.0</v>
      </c>
      <c r="C5822" s="9" t="s">
        <v>58</v>
      </c>
      <c r="D5822" s="9" t="s">
        <v>210</v>
      </c>
      <c r="E5822" s="9" t="s">
        <v>30</v>
      </c>
      <c r="F5822" s="9" t="s">
        <v>18</v>
      </c>
      <c r="G5822" s="9" t="s">
        <v>409</v>
      </c>
      <c r="H5822" s="9" t="s">
        <v>22</v>
      </c>
      <c r="I5822" s="9" t="s">
        <v>20</v>
      </c>
      <c r="J5822" s="16">
        <v>0.8</v>
      </c>
      <c r="K5822" s="14" t="s">
        <v>398</v>
      </c>
      <c r="N5822" s="14" t="str">
        <f>IFERROR(__xludf.DUMMYFUNCTION("""COMPUTED_VALUE"""),"")</f>
        <v/>
      </c>
      <c r="O5822" s="14"/>
    </row>
    <row r="5823" ht="22.5" hidden="1" customHeight="1">
      <c r="A5823" s="8">
        <v>46243.47814908565</v>
      </c>
      <c r="B5823" s="14">
        <v>46243.0</v>
      </c>
      <c r="C5823" s="9" t="s">
        <v>58</v>
      </c>
      <c r="D5823" s="9" t="s">
        <v>396</v>
      </c>
      <c r="E5823" s="9" t="s">
        <v>30</v>
      </c>
      <c r="F5823" s="9" t="s">
        <v>18</v>
      </c>
      <c r="G5823" s="9">
        <v>8.0</v>
      </c>
      <c r="H5823" s="9" t="s">
        <v>22</v>
      </c>
      <c r="I5823" s="9" t="s">
        <v>20</v>
      </c>
      <c r="J5823" s="16">
        <v>0.8</v>
      </c>
      <c r="K5823" s="14" t="s">
        <v>398</v>
      </c>
      <c r="N5823" s="14" t="str">
        <f>IFERROR(__xludf.DUMMYFUNCTION("""COMPUTED_VALUE"""),"")</f>
        <v/>
      </c>
      <c r="O5823" s="14"/>
    </row>
    <row r="5824" ht="22.5" hidden="1" customHeight="1">
      <c r="A5824" s="8">
        <v>46243.50935665509</v>
      </c>
      <c r="B5824" s="14">
        <v>46243.0</v>
      </c>
      <c r="C5824" s="9" t="s">
        <v>58</v>
      </c>
      <c r="D5824" s="9" t="s">
        <v>475</v>
      </c>
      <c r="E5824" s="9" t="s">
        <v>17</v>
      </c>
      <c r="F5824" s="9" t="s">
        <v>17</v>
      </c>
      <c r="G5824" s="9">
        <v>8.0</v>
      </c>
      <c r="H5824" s="9" t="s">
        <v>22</v>
      </c>
      <c r="I5824" s="9" t="s">
        <v>20</v>
      </c>
      <c r="J5824" s="16">
        <v>1.0</v>
      </c>
      <c r="K5824" s="14" t="s">
        <v>398</v>
      </c>
      <c r="N5824" s="14" t="str">
        <f>IFERROR(__xludf.DUMMYFUNCTION("""COMPUTED_VALUE"""),"")</f>
        <v/>
      </c>
      <c r="O5824" s="14"/>
    </row>
    <row r="5825" ht="22.5" hidden="1" customHeight="1">
      <c r="A5825" s="8">
        <v>46244.67257332176</v>
      </c>
      <c r="B5825" s="14">
        <v>46244.0</v>
      </c>
      <c r="C5825" s="9" t="s">
        <v>86</v>
      </c>
      <c r="D5825" s="9" t="s">
        <v>367</v>
      </c>
      <c r="E5825" s="9" t="s">
        <v>17</v>
      </c>
      <c r="F5825" s="9" t="s">
        <v>17</v>
      </c>
      <c r="G5825" s="9" t="s">
        <v>409</v>
      </c>
      <c r="H5825" s="9" t="s">
        <v>25</v>
      </c>
      <c r="I5825" s="9" t="s">
        <v>291</v>
      </c>
      <c r="J5825" s="16">
        <v>0.8</v>
      </c>
      <c r="K5825" s="14" t="s">
        <v>398</v>
      </c>
      <c r="N5825" s="14" t="str">
        <f>IFERROR(__xludf.DUMMYFUNCTION("""COMPUTED_VALUE"""),"")</f>
        <v/>
      </c>
      <c r="O5825" s="14"/>
    </row>
    <row r="5826" ht="22.5" hidden="1" customHeight="1">
      <c r="A5826" s="8">
        <v>46246.3950346412</v>
      </c>
      <c r="B5826" s="14">
        <v>46246.0</v>
      </c>
      <c r="C5826" s="9" t="s">
        <v>15</v>
      </c>
      <c r="D5826" s="9" t="s">
        <v>367</v>
      </c>
      <c r="E5826" s="9" t="s">
        <v>17</v>
      </c>
      <c r="F5826" s="9" t="s">
        <v>17</v>
      </c>
      <c r="G5826" s="9">
        <v>8.0</v>
      </c>
      <c r="H5826" s="9" t="s">
        <v>25</v>
      </c>
      <c r="I5826" s="9" t="s">
        <v>79</v>
      </c>
      <c r="J5826" s="16">
        <v>0.8</v>
      </c>
      <c r="K5826" s="14" t="s">
        <v>398</v>
      </c>
      <c r="N5826" s="14" t="str">
        <f>IFERROR(__xludf.DUMMYFUNCTION("""COMPUTED_VALUE"""),"")</f>
        <v/>
      </c>
      <c r="O5826" s="14"/>
    </row>
    <row r="5827" ht="22.5" hidden="1" customHeight="1">
      <c r="A5827" s="8">
        <v>46247.36159048611</v>
      </c>
      <c r="B5827" s="14">
        <v>46247.0</v>
      </c>
      <c r="C5827" s="9" t="s">
        <v>31</v>
      </c>
      <c r="D5827" s="9" t="s">
        <v>257</v>
      </c>
      <c r="E5827" s="9" t="s">
        <v>30</v>
      </c>
      <c r="F5827" s="9" t="s">
        <v>18</v>
      </c>
      <c r="G5827" s="9">
        <v>7.0</v>
      </c>
      <c r="H5827" s="9" t="s">
        <v>22</v>
      </c>
      <c r="I5827" s="9" t="s">
        <v>20</v>
      </c>
      <c r="J5827" s="16">
        <v>0.8</v>
      </c>
      <c r="K5827" s="14" t="s">
        <v>398</v>
      </c>
      <c r="N5827" s="14" t="str">
        <f>IFERROR(__xludf.DUMMYFUNCTION("""COMPUTED_VALUE"""),"")</f>
        <v/>
      </c>
      <c r="O5827" s="14"/>
    </row>
    <row r="5828" ht="22.5" hidden="1" customHeight="1">
      <c r="A5828" s="8">
        <v>46247.37900828704</v>
      </c>
      <c r="B5828" s="14">
        <v>46247.0</v>
      </c>
      <c r="C5828" s="9" t="s">
        <v>31</v>
      </c>
      <c r="D5828" s="9" t="s">
        <v>475</v>
      </c>
      <c r="E5828" s="9" t="s">
        <v>57</v>
      </c>
      <c r="F5828" s="9" t="s">
        <v>43</v>
      </c>
      <c r="G5828" s="9" t="s">
        <v>409</v>
      </c>
      <c r="H5828" s="9" t="s">
        <v>22</v>
      </c>
      <c r="I5828" s="9" t="s">
        <v>20</v>
      </c>
      <c r="J5828" s="16">
        <v>1.0</v>
      </c>
      <c r="K5828" s="14" t="s">
        <v>398</v>
      </c>
      <c r="N5828" s="14" t="str">
        <f>IFERROR(__xludf.DUMMYFUNCTION("""COMPUTED_VALUE"""),"")</f>
        <v/>
      </c>
      <c r="O5828" s="14"/>
    </row>
    <row r="5829" ht="22.5" hidden="1" customHeight="1">
      <c r="A5829" s="8">
        <v>46247.39802145833</v>
      </c>
      <c r="B5829" s="14">
        <v>46247.0</v>
      </c>
      <c r="C5829" s="9" t="s">
        <v>31</v>
      </c>
      <c r="D5829" s="9" t="s">
        <v>469</v>
      </c>
      <c r="E5829" s="9" t="s">
        <v>30</v>
      </c>
      <c r="F5829" s="9" t="s">
        <v>18</v>
      </c>
      <c r="G5829" s="9">
        <v>8.0</v>
      </c>
      <c r="H5829" s="9" t="s">
        <v>22</v>
      </c>
      <c r="I5829" s="9" t="s">
        <v>20</v>
      </c>
      <c r="J5829" s="16">
        <v>0.8</v>
      </c>
      <c r="K5829" s="14" t="s">
        <v>398</v>
      </c>
      <c r="N5829" s="14" t="str">
        <f>IFERROR(__xludf.DUMMYFUNCTION("""COMPUTED_VALUE"""),"")</f>
        <v/>
      </c>
      <c r="O5829" s="14"/>
    </row>
    <row r="5830" ht="22.5" hidden="1" customHeight="1">
      <c r="A5830" s="8">
        <v>46247.39834681713</v>
      </c>
      <c r="B5830" s="14">
        <v>46247.0</v>
      </c>
      <c r="C5830" s="9" t="s">
        <v>31</v>
      </c>
      <c r="D5830" s="9" t="s">
        <v>463</v>
      </c>
      <c r="E5830" s="9" t="s">
        <v>57</v>
      </c>
      <c r="F5830" s="9" t="s">
        <v>18</v>
      </c>
      <c r="G5830" s="9" t="s">
        <v>409</v>
      </c>
      <c r="H5830" s="9" t="s">
        <v>22</v>
      </c>
      <c r="I5830" s="9" t="s">
        <v>20</v>
      </c>
      <c r="J5830" s="16">
        <v>0.8</v>
      </c>
      <c r="K5830" s="14" t="s">
        <v>398</v>
      </c>
      <c r="N5830" s="14" t="str">
        <f>IFERROR(__xludf.DUMMYFUNCTION("""COMPUTED_VALUE"""),"")</f>
        <v/>
      </c>
      <c r="O5830" s="14"/>
    </row>
    <row r="5831" ht="22.5" hidden="1" customHeight="1">
      <c r="A5831" s="8">
        <v>46247.39876350695</v>
      </c>
      <c r="B5831" s="14">
        <v>46247.0</v>
      </c>
      <c r="C5831" s="9" t="s">
        <v>31</v>
      </c>
      <c r="D5831" s="9" t="s">
        <v>171</v>
      </c>
      <c r="E5831" s="9" t="s">
        <v>44</v>
      </c>
      <c r="F5831" s="9" t="s">
        <v>39</v>
      </c>
      <c r="G5831" s="9">
        <v>6.0</v>
      </c>
      <c r="H5831" s="9" t="s">
        <v>22</v>
      </c>
      <c r="I5831" s="9" t="s">
        <v>20</v>
      </c>
      <c r="J5831" s="16">
        <v>0.8</v>
      </c>
      <c r="K5831" s="14" t="s">
        <v>398</v>
      </c>
      <c r="N5831" s="14" t="str">
        <f>IFERROR(__xludf.DUMMYFUNCTION("""COMPUTED_VALUE"""),"")</f>
        <v/>
      </c>
      <c r="O5831" s="14"/>
    </row>
    <row r="5832" ht="22.5" hidden="1" customHeight="1">
      <c r="A5832" s="8">
        <v>46247.403576956014</v>
      </c>
      <c r="B5832" s="14">
        <v>46247.0</v>
      </c>
      <c r="C5832" s="9" t="s">
        <v>31</v>
      </c>
      <c r="D5832" s="9" t="s">
        <v>414</v>
      </c>
      <c r="E5832" s="9" t="s">
        <v>30</v>
      </c>
      <c r="F5832" s="9" t="s">
        <v>18</v>
      </c>
      <c r="G5832" s="9" t="s">
        <v>409</v>
      </c>
      <c r="H5832" s="9" t="s">
        <v>22</v>
      </c>
      <c r="I5832" s="9" t="s">
        <v>20</v>
      </c>
      <c r="J5832" s="16">
        <v>0.8</v>
      </c>
      <c r="K5832" s="14" t="s">
        <v>398</v>
      </c>
      <c r="N5832" s="14" t="str">
        <f>IFERROR(__xludf.DUMMYFUNCTION("""COMPUTED_VALUE"""),"")</f>
        <v/>
      </c>
      <c r="O5832" s="14"/>
    </row>
    <row r="5833" ht="22.5" hidden="1" customHeight="1">
      <c r="A5833" s="8">
        <v>46247.4077484838</v>
      </c>
      <c r="B5833" s="14">
        <v>46247.0</v>
      </c>
      <c r="C5833" s="9" t="s">
        <v>31</v>
      </c>
      <c r="D5833" s="9" t="s">
        <v>105</v>
      </c>
      <c r="E5833" s="9" t="s">
        <v>44</v>
      </c>
      <c r="F5833" s="9" t="s">
        <v>18</v>
      </c>
      <c r="G5833" s="9" t="s">
        <v>409</v>
      </c>
      <c r="H5833" s="9" t="s">
        <v>22</v>
      </c>
      <c r="I5833" s="9" t="s">
        <v>20</v>
      </c>
      <c r="J5833" s="16">
        <v>0.8</v>
      </c>
      <c r="K5833" s="14" t="s">
        <v>398</v>
      </c>
      <c r="N5833" s="14" t="str">
        <f>IFERROR(__xludf.DUMMYFUNCTION("""COMPUTED_VALUE"""),"")</f>
        <v/>
      </c>
      <c r="O5833" s="14"/>
    </row>
    <row r="5834" ht="22.5" hidden="1" customHeight="1">
      <c r="A5834" s="8">
        <v>46247.408099872686</v>
      </c>
      <c r="B5834" s="14">
        <v>46247.0</v>
      </c>
      <c r="C5834" s="9" t="s">
        <v>31</v>
      </c>
      <c r="D5834" s="9" t="s">
        <v>457</v>
      </c>
      <c r="E5834" s="9" t="s">
        <v>30</v>
      </c>
      <c r="F5834" s="9" t="s">
        <v>18</v>
      </c>
      <c r="G5834" s="9">
        <v>8.0</v>
      </c>
      <c r="H5834" s="9" t="s">
        <v>22</v>
      </c>
      <c r="I5834" s="9" t="s">
        <v>20</v>
      </c>
      <c r="J5834" s="16">
        <v>0.8</v>
      </c>
      <c r="K5834" s="14" t="s">
        <v>398</v>
      </c>
      <c r="N5834" s="14" t="str">
        <f>IFERROR(__xludf.DUMMYFUNCTION("""COMPUTED_VALUE"""),"")</f>
        <v/>
      </c>
      <c r="O5834" s="14"/>
    </row>
    <row r="5835" ht="22.5" hidden="1" customHeight="1">
      <c r="A5835" s="8">
        <v>46247.410501018516</v>
      </c>
      <c r="B5835" s="14">
        <v>46247.0</v>
      </c>
      <c r="C5835" s="9" t="s">
        <v>31</v>
      </c>
      <c r="D5835" s="9" t="s">
        <v>393</v>
      </c>
      <c r="E5835" s="9" t="s">
        <v>30</v>
      </c>
      <c r="F5835" s="9" t="s">
        <v>18</v>
      </c>
      <c r="G5835" s="9">
        <v>8.0</v>
      </c>
      <c r="H5835" s="9" t="s">
        <v>25</v>
      </c>
      <c r="I5835" s="9" t="s">
        <v>34</v>
      </c>
      <c r="J5835" s="16">
        <v>0.8</v>
      </c>
      <c r="K5835" s="14" t="s">
        <v>398</v>
      </c>
      <c r="N5835" s="14" t="str">
        <f>IFERROR(__xludf.DUMMYFUNCTION("""COMPUTED_VALUE"""),"")</f>
        <v/>
      </c>
      <c r="O5835" s="14"/>
    </row>
    <row r="5836" ht="22.5" hidden="1" customHeight="1">
      <c r="A5836" s="8">
        <v>46247.410868437495</v>
      </c>
      <c r="B5836" s="14">
        <v>46247.0</v>
      </c>
      <c r="C5836" s="9" t="s">
        <v>31</v>
      </c>
      <c r="D5836" s="9" t="s">
        <v>460</v>
      </c>
      <c r="E5836" s="9" t="s">
        <v>17</v>
      </c>
      <c r="F5836" s="9" t="s">
        <v>18</v>
      </c>
      <c r="G5836" s="9">
        <v>8.0</v>
      </c>
      <c r="H5836" s="9" t="s">
        <v>22</v>
      </c>
      <c r="I5836" s="9" t="s">
        <v>20</v>
      </c>
      <c r="J5836" s="16">
        <v>0.8</v>
      </c>
      <c r="K5836" s="14" t="s">
        <v>398</v>
      </c>
      <c r="N5836" s="14" t="str">
        <f>IFERROR(__xludf.DUMMYFUNCTION("""COMPUTED_VALUE"""),"")</f>
        <v/>
      </c>
      <c r="O5836" s="14"/>
    </row>
    <row r="5837" ht="22.5" hidden="1" customHeight="1">
      <c r="A5837" s="8">
        <v>46247.41123435185</v>
      </c>
      <c r="B5837" s="14">
        <v>46247.0</v>
      </c>
      <c r="C5837" s="9" t="s">
        <v>31</v>
      </c>
      <c r="D5837" s="9" t="s">
        <v>441</v>
      </c>
      <c r="E5837" s="9" t="s">
        <v>17</v>
      </c>
      <c r="F5837" s="9" t="s">
        <v>17</v>
      </c>
      <c r="G5837" s="9">
        <v>6.0</v>
      </c>
      <c r="H5837" s="9" t="s">
        <v>22</v>
      </c>
      <c r="I5837" s="9" t="s">
        <v>20</v>
      </c>
      <c r="J5837" s="16">
        <v>1.0</v>
      </c>
      <c r="K5837" s="14" t="s">
        <v>398</v>
      </c>
      <c r="N5837" s="14" t="str">
        <f>IFERROR(__xludf.DUMMYFUNCTION("""COMPUTED_VALUE"""),"")</f>
        <v/>
      </c>
      <c r="O5837" s="14"/>
    </row>
    <row r="5838" ht="22.5" hidden="1" customHeight="1">
      <c r="A5838" s="8">
        <v>46247.41702467593</v>
      </c>
      <c r="B5838" s="14">
        <v>46247.0</v>
      </c>
      <c r="C5838" s="9" t="s">
        <v>31</v>
      </c>
      <c r="D5838" s="9" t="s">
        <v>177</v>
      </c>
      <c r="E5838" s="9" t="s">
        <v>30</v>
      </c>
      <c r="F5838" s="9" t="s">
        <v>17</v>
      </c>
      <c r="G5838" s="9">
        <v>8.0</v>
      </c>
      <c r="H5838" s="9" t="s">
        <v>22</v>
      </c>
      <c r="I5838" s="9" t="s">
        <v>20</v>
      </c>
      <c r="J5838" s="16">
        <v>0.8</v>
      </c>
      <c r="K5838" s="14" t="s">
        <v>398</v>
      </c>
      <c r="N5838" s="14" t="str">
        <f>IFERROR(__xludf.DUMMYFUNCTION("""COMPUTED_VALUE"""),"")</f>
        <v/>
      </c>
      <c r="O5838" s="14"/>
    </row>
    <row r="5839" ht="22.5" hidden="1" customHeight="1">
      <c r="A5839" s="8">
        <v>46247.417496793976</v>
      </c>
      <c r="B5839" s="14">
        <v>46247.0</v>
      </c>
      <c r="C5839" s="9" t="s">
        <v>31</v>
      </c>
      <c r="D5839" s="9" t="s">
        <v>357</v>
      </c>
      <c r="E5839" s="9" t="s">
        <v>17</v>
      </c>
      <c r="F5839" s="9" t="s">
        <v>17</v>
      </c>
      <c r="G5839" s="9" t="s">
        <v>409</v>
      </c>
      <c r="H5839" s="9" t="s">
        <v>25</v>
      </c>
      <c r="I5839" s="9" t="s">
        <v>211</v>
      </c>
      <c r="J5839" s="16">
        <v>0.8</v>
      </c>
      <c r="K5839" s="14" t="s">
        <v>398</v>
      </c>
      <c r="N5839" s="14" t="str">
        <f>IFERROR(__xludf.DUMMYFUNCTION("""COMPUTED_VALUE"""),"")</f>
        <v/>
      </c>
      <c r="O5839" s="14"/>
    </row>
    <row r="5840" ht="22.5" hidden="1" customHeight="1">
      <c r="A5840" s="8">
        <v>46247.41789369213</v>
      </c>
      <c r="B5840" s="14">
        <v>46247.0</v>
      </c>
      <c r="C5840" s="9" t="s">
        <v>31</v>
      </c>
      <c r="D5840" s="9" t="s">
        <v>395</v>
      </c>
      <c r="E5840" s="9" t="s">
        <v>17</v>
      </c>
      <c r="F5840" s="9" t="s">
        <v>35</v>
      </c>
      <c r="G5840" s="9">
        <v>8.0</v>
      </c>
      <c r="H5840" s="9" t="s">
        <v>25</v>
      </c>
      <c r="I5840" s="9" t="s">
        <v>211</v>
      </c>
      <c r="J5840" s="16">
        <v>0.8</v>
      </c>
      <c r="K5840" s="14" t="s">
        <v>398</v>
      </c>
      <c r="N5840" s="14" t="str">
        <f>IFERROR(__xludf.DUMMYFUNCTION("""COMPUTED_VALUE"""),"")</f>
        <v/>
      </c>
      <c r="O5840" s="14"/>
    </row>
    <row r="5841" ht="22.5" hidden="1" customHeight="1">
      <c r="A5841" s="8">
        <v>46247.418296874996</v>
      </c>
      <c r="B5841" s="14">
        <v>46247.0</v>
      </c>
      <c r="C5841" s="9" t="s">
        <v>31</v>
      </c>
      <c r="D5841" s="9" t="s">
        <v>464</v>
      </c>
      <c r="E5841" s="9" t="s">
        <v>30</v>
      </c>
      <c r="F5841" s="9" t="s">
        <v>18</v>
      </c>
      <c r="G5841" s="9" t="s">
        <v>409</v>
      </c>
      <c r="H5841" s="9" t="s">
        <v>22</v>
      </c>
      <c r="I5841" s="9" t="s">
        <v>20</v>
      </c>
      <c r="J5841" s="16">
        <v>1.0</v>
      </c>
      <c r="K5841" s="14" t="s">
        <v>398</v>
      </c>
      <c r="N5841" s="14" t="str">
        <f>IFERROR(__xludf.DUMMYFUNCTION("""COMPUTED_VALUE"""),"")</f>
        <v/>
      </c>
      <c r="O5841" s="14"/>
    </row>
    <row r="5842" ht="22.5" hidden="1" customHeight="1">
      <c r="A5842" s="8">
        <v>46247.418739479166</v>
      </c>
      <c r="B5842" s="14">
        <v>46247.0</v>
      </c>
      <c r="C5842" s="9" t="s">
        <v>31</v>
      </c>
      <c r="D5842" s="9" t="s">
        <v>413</v>
      </c>
      <c r="E5842" s="9" t="s">
        <v>17</v>
      </c>
      <c r="F5842" s="9" t="s">
        <v>18</v>
      </c>
      <c r="G5842" s="9" t="s">
        <v>409</v>
      </c>
      <c r="H5842" s="9" t="s">
        <v>22</v>
      </c>
      <c r="I5842" s="9" t="s">
        <v>20</v>
      </c>
      <c r="J5842" s="16">
        <v>1.0</v>
      </c>
      <c r="K5842" s="14" t="s">
        <v>398</v>
      </c>
      <c r="N5842" s="14" t="str">
        <f>IFERROR(__xludf.DUMMYFUNCTION("""COMPUTED_VALUE"""),"")</f>
        <v/>
      </c>
      <c r="O5842" s="14"/>
    </row>
    <row r="5843" ht="22.5" hidden="1" customHeight="1">
      <c r="A5843" s="8">
        <v>46247.41907440972</v>
      </c>
      <c r="B5843" s="14">
        <v>46247.0</v>
      </c>
      <c r="C5843" s="9" t="s">
        <v>31</v>
      </c>
      <c r="D5843" s="9" t="s">
        <v>178</v>
      </c>
      <c r="E5843" s="9" t="s">
        <v>30</v>
      </c>
      <c r="F5843" s="9" t="s">
        <v>18</v>
      </c>
      <c r="G5843" s="9">
        <v>8.0</v>
      </c>
      <c r="H5843" s="9" t="s">
        <v>22</v>
      </c>
      <c r="I5843" s="9" t="s">
        <v>20</v>
      </c>
      <c r="J5843" s="16">
        <v>0.8</v>
      </c>
      <c r="K5843" s="14" t="s">
        <v>398</v>
      </c>
      <c r="N5843" s="14" t="str">
        <f>IFERROR(__xludf.DUMMYFUNCTION("""COMPUTED_VALUE"""),"")</f>
        <v/>
      </c>
      <c r="O5843" s="14"/>
    </row>
    <row r="5844" ht="22.5" hidden="1" customHeight="1">
      <c r="A5844" s="8">
        <v>46247.42006626158</v>
      </c>
      <c r="B5844" s="14">
        <v>46247.0</v>
      </c>
      <c r="C5844" s="9" t="s">
        <v>31</v>
      </c>
      <c r="D5844" s="9" t="s">
        <v>369</v>
      </c>
      <c r="E5844" s="9" t="s">
        <v>17</v>
      </c>
      <c r="F5844" s="9" t="s">
        <v>18</v>
      </c>
      <c r="G5844" s="9">
        <v>8.0</v>
      </c>
      <c r="H5844" s="9" t="s">
        <v>22</v>
      </c>
      <c r="I5844" s="9" t="s">
        <v>20</v>
      </c>
      <c r="J5844" s="16">
        <v>0.8</v>
      </c>
      <c r="K5844" s="14" t="s">
        <v>398</v>
      </c>
      <c r="N5844" s="14" t="str">
        <f>IFERROR(__xludf.DUMMYFUNCTION("""COMPUTED_VALUE"""),"")</f>
        <v/>
      </c>
      <c r="O5844" s="14"/>
    </row>
    <row r="5845" ht="22.5" hidden="1" customHeight="1">
      <c r="A5845" s="8">
        <v>46247.420891828704</v>
      </c>
      <c r="B5845" s="14">
        <v>46247.0</v>
      </c>
      <c r="C5845" s="9" t="s">
        <v>31</v>
      </c>
      <c r="D5845" s="9" t="s">
        <v>259</v>
      </c>
      <c r="E5845" s="9" t="s">
        <v>30</v>
      </c>
      <c r="F5845" s="9" t="s">
        <v>43</v>
      </c>
      <c r="G5845" s="9" t="s">
        <v>409</v>
      </c>
      <c r="H5845" s="9" t="s">
        <v>22</v>
      </c>
      <c r="I5845" s="9" t="s">
        <v>20</v>
      </c>
      <c r="J5845" s="16">
        <v>0.8</v>
      </c>
      <c r="K5845" s="14" t="s">
        <v>398</v>
      </c>
      <c r="N5845" s="14" t="str">
        <f>IFERROR(__xludf.DUMMYFUNCTION("""COMPUTED_VALUE"""),"")</f>
        <v/>
      </c>
      <c r="O5845" s="14"/>
    </row>
    <row r="5846" ht="22.5" hidden="1" customHeight="1">
      <c r="A5846" s="8">
        <v>46247.42184589121</v>
      </c>
      <c r="B5846" s="14">
        <v>46247.0</v>
      </c>
      <c r="C5846" s="9" t="s">
        <v>31</v>
      </c>
      <c r="D5846" s="9" t="s">
        <v>247</v>
      </c>
      <c r="E5846" s="9" t="s">
        <v>17</v>
      </c>
      <c r="F5846" s="9" t="s">
        <v>17</v>
      </c>
      <c r="G5846" s="9" t="s">
        <v>409</v>
      </c>
      <c r="H5846" s="9" t="s">
        <v>25</v>
      </c>
      <c r="I5846" s="9" t="s">
        <v>137</v>
      </c>
      <c r="J5846" s="16">
        <v>0.8</v>
      </c>
      <c r="K5846" s="14" t="s">
        <v>398</v>
      </c>
      <c r="N5846" s="14" t="str">
        <f>IFERROR(__xludf.DUMMYFUNCTION("""COMPUTED_VALUE"""),"")</f>
        <v/>
      </c>
      <c r="O5846" s="14"/>
    </row>
    <row r="5847" ht="22.5" hidden="1" customHeight="1">
      <c r="A5847" s="8">
        <v>46247.422131597225</v>
      </c>
      <c r="B5847" s="14">
        <v>46247.0</v>
      </c>
      <c r="C5847" s="9" t="s">
        <v>31</v>
      </c>
      <c r="D5847" s="9" t="s">
        <v>249</v>
      </c>
      <c r="E5847" s="9" t="s">
        <v>17</v>
      </c>
      <c r="F5847" s="9" t="s">
        <v>18</v>
      </c>
      <c r="G5847" s="9">
        <v>8.0</v>
      </c>
      <c r="H5847" s="9" t="s">
        <v>22</v>
      </c>
      <c r="I5847" s="9" t="s">
        <v>20</v>
      </c>
      <c r="J5847" s="16">
        <v>0.8</v>
      </c>
      <c r="K5847" s="14" t="s">
        <v>398</v>
      </c>
      <c r="N5847" s="14" t="str">
        <f>IFERROR(__xludf.DUMMYFUNCTION("""COMPUTED_VALUE"""),"")</f>
        <v/>
      </c>
      <c r="O5847" s="14"/>
    </row>
    <row r="5848" ht="22.5" hidden="1" customHeight="1">
      <c r="A5848" s="8">
        <v>46247.422788854165</v>
      </c>
      <c r="B5848" s="14">
        <v>46247.0</v>
      </c>
      <c r="C5848" s="9" t="s">
        <v>31</v>
      </c>
      <c r="D5848" s="9" t="s">
        <v>174</v>
      </c>
      <c r="E5848" s="9" t="s">
        <v>30</v>
      </c>
      <c r="F5848" s="9" t="s">
        <v>18</v>
      </c>
      <c r="G5848" s="9">
        <v>8.0</v>
      </c>
      <c r="H5848" s="9" t="s">
        <v>22</v>
      </c>
      <c r="I5848" s="9" t="s">
        <v>20</v>
      </c>
      <c r="J5848" s="16">
        <v>0.8</v>
      </c>
      <c r="K5848" s="14" t="s">
        <v>398</v>
      </c>
      <c r="N5848" s="14" t="str">
        <f>IFERROR(__xludf.DUMMYFUNCTION("""COMPUTED_VALUE"""),"")</f>
        <v/>
      </c>
      <c r="O5848" s="14"/>
    </row>
    <row r="5849" ht="22.5" hidden="1" customHeight="1">
      <c r="A5849" s="8">
        <v>46247.43468756945</v>
      </c>
      <c r="B5849" s="14">
        <v>46247.0</v>
      </c>
      <c r="C5849" s="9" t="s">
        <v>31</v>
      </c>
      <c r="D5849" s="9" t="s">
        <v>175</v>
      </c>
      <c r="E5849" s="9" t="s">
        <v>17</v>
      </c>
      <c r="F5849" s="9" t="s">
        <v>18</v>
      </c>
      <c r="G5849" s="9" t="s">
        <v>409</v>
      </c>
      <c r="H5849" s="9" t="s">
        <v>22</v>
      </c>
      <c r="I5849" s="9" t="s">
        <v>20</v>
      </c>
      <c r="J5849" s="16">
        <v>0.8</v>
      </c>
      <c r="K5849" s="14" t="s">
        <v>398</v>
      </c>
      <c r="N5849" s="14" t="str">
        <f>IFERROR(__xludf.DUMMYFUNCTION("""COMPUTED_VALUE"""),"")</f>
        <v/>
      </c>
      <c r="O5849" s="14"/>
    </row>
    <row r="5850" ht="22.5" hidden="1" customHeight="1">
      <c r="A5850" s="8">
        <v>46248.402457627315</v>
      </c>
      <c r="B5850" s="14">
        <v>46248.0</v>
      </c>
      <c r="C5850" s="9" t="s">
        <v>48</v>
      </c>
      <c r="D5850" s="9" t="s">
        <v>367</v>
      </c>
      <c r="E5850" s="9" t="s">
        <v>17</v>
      </c>
      <c r="F5850" s="9" t="s">
        <v>17</v>
      </c>
      <c r="G5850" s="9">
        <v>7.0</v>
      </c>
      <c r="H5850" s="9" t="s">
        <v>25</v>
      </c>
      <c r="I5850" s="9" t="s">
        <v>79</v>
      </c>
      <c r="J5850" s="16">
        <v>0.8</v>
      </c>
      <c r="K5850" s="14" t="s">
        <v>398</v>
      </c>
      <c r="N5850" s="14" t="str">
        <f>IFERROR(__xludf.DUMMYFUNCTION("""COMPUTED_VALUE"""),"")</f>
        <v/>
      </c>
      <c r="O5850" s="14"/>
    </row>
    <row r="5851" ht="22.5" hidden="1" customHeight="1">
      <c r="A5851" s="8">
        <v>46249.6475447338</v>
      </c>
      <c r="B5851" s="14">
        <v>46249.0</v>
      </c>
      <c r="C5851" s="9" t="s">
        <v>53</v>
      </c>
      <c r="D5851" s="9" t="s">
        <v>357</v>
      </c>
      <c r="E5851" s="9" t="s">
        <v>17</v>
      </c>
      <c r="F5851" s="9" t="s">
        <v>18</v>
      </c>
      <c r="G5851" s="9" t="s">
        <v>409</v>
      </c>
      <c r="H5851" s="9" t="s">
        <v>22</v>
      </c>
      <c r="I5851" s="9" t="s">
        <v>20</v>
      </c>
      <c r="J5851" s="16">
        <v>0.6</v>
      </c>
      <c r="K5851" s="14" t="s">
        <v>398</v>
      </c>
      <c r="N5851" s="14" t="str">
        <f>IFERROR(__xludf.DUMMYFUNCTION("""COMPUTED_VALUE"""),"")</f>
        <v/>
      </c>
      <c r="O5851" s="14"/>
    </row>
    <row r="5852" ht="22.5" hidden="1" customHeight="1">
      <c r="A5852" s="8">
        <v>46249.648151319445</v>
      </c>
      <c r="B5852" s="14">
        <v>46249.0</v>
      </c>
      <c r="C5852" s="9" t="s">
        <v>53</v>
      </c>
      <c r="D5852" s="9" t="s">
        <v>396</v>
      </c>
      <c r="E5852" s="9" t="s">
        <v>61</v>
      </c>
      <c r="F5852" s="9" t="s">
        <v>18</v>
      </c>
      <c r="G5852" s="9">
        <v>8.0</v>
      </c>
      <c r="H5852" s="9" t="s">
        <v>62</v>
      </c>
      <c r="I5852" s="9" t="s">
        <v>273</v>
      </c>
      <c r="J5852" s="16">
        <v>0.6</v>
      </c>
      <c r="K5852" s="14" t="s">
        <v>398</v>
      </c>
      <c r="N5852" s="14" t="str">
        <f>IFERROR(__xludf.DUMMYFUNCTION("""COMPUTED_VALUE"""),"")</f>
        <v/>
      </c>
      <c r="O5852" s="14"/>
    </row>
    <row r="5853" ht="22.5" hidden="1" customHeight="1">
      <c r="A5853" s="8">
        <v>46249.64865445602</v>
      </c>
      <c r="B5853" s="14">
        <v>46249.0</v>
      </c>
      <c r="C5853" s="9" t="s">
        <v>53</v>
      </c>
      <c r="D5853" s="9" t="s">
        <v>178</v>
      </c>
      <c r="E5853" s="9" t="s">
        <v>61</v>
      </c>
      <c r="F5853" s="9" t="s">
        <v>17</v>
      </c>
      <c r="G5853" s="9">
        <v>7.0</v>
      </c>
      <c r="H5853" s="9" t="s">
        <v>22</v>
      </c>
      <c r="I5853" s="9" t="s">
        <v>20</v>
      </c>
      <c r="J5853" s="16">
        <v>0.6</v>
      </c>
      <c r="K5853" s="14" t="s">
        <v>398</v>
      </c>
      <c r="N5853" s="14" t="str">
        <f>IFERROR(__xludf.DUMMYFUNCTION("""COMPUTED_VALUE"""),"")</f>
        <v/>
      </c>
      <c r="O5853" s="14"/>
    </row>
    <row r="5854" ht="22.5" hidden="1" customHeight="1">
      <c r="A5854" s="8">
        <v>46249.64964001157</v>
      </c>
      <c r="B5854" s="14">
        <v>46249.0</v>
      </c>
      <c r="C5854" s="9" t="s">
        <v>53</v>
      </c>
      <c r="D5854" s="9" t="s">
        <v>177</v>
      </c>
      <c r="E5854" s="9" t="s">
        <v>17</v>
      </c>
      <c r="F5854" s="9" t="s">
        <v>18</v>
      </c>
      <c r="G5854" s="9">
        <v>8.0</v>
      </c>
      <c r="H5854" s="9" t="s">
        <v>62</v>
      </c>
      <c r="I5854" s="9" t="s">
        <v>20</v>
      </c>
      <c r="J5854" s="16">
        <v>0.8</v>
      </c>
      <c r="K5854" s="14" t="s">
        <v>398</v>
      </c>
      <c r="N5854" s="14" t="str">
        <f>IFERROR(__xludf.DUMMYFUNCTION("""COMPUTED_VALUE"""),"")</f>
        <v/>
      </c>
      <c r="O5854" s="14"/>
    </row>
    <row r="5855" ht="22.5" hidden="1" customHeight="1">
      <c r="A5855" s="8">
        <v>46249.6555372338</v>
      </c>
      <c r="B5855" s="14">
        <v>46249.0</v>
      </c>
      <c r="C5855" s="9" t="s">
        <v>53</v>
      </c>
      <c r="D5855" s="9" t="s">
        <v>413</v>
      </c>
      <c r="E5855" s="9" t="s">
        <v>17</v>
      </c>
      <c r="F5855" s="9" t="s">
        <v>17</v>
      </c>
      <c r="G5855" s="9">
        <v>8.0</v>
      </c>
      <c r="H5855" s="9" t="s">
        <v>22</v>
      </c>
      <c r="I5855" s="9" t="s">
        <v>20</v>
      </c>
      <c r="J5855" s="16">
        <v>0.8</v>
      </c>
      <c r="K5855" s="14" t="s">
        <v>398</v>
      </c>
      <c r="N5855" s="14" t="str">
        <f>IFERROR(__xludf.DUMMYFUNCTION("""COMPUTED_VALUE"""),"")</f>
        <v/>
      </c>
      <c r="O5855" s="14"/>
    </row>
    <row r="5856" ht="22.5" hidden="1" customHeight="1">
      <c r="A5856" s="8">
        <v>46249.656307083336</v>
      </c>
      <c r="B5856" s="14">
        <v>46249.0</v>
      </c>
      <c r="C5856" s="9" t="s">
        <v>53</v>
      </c>
      <c r="D5856" s="9" t="s">
        <v>395</v>
      </c>
      <c r="E5856" s="9" t="s">
        <v>17</v>
      </c>
      <c r="F5856" s="9" t="s">
        <v>17</v>
      </c>
      <c r="G5856" s="9" t="s">
        <v>409</v>
      </c>
      <c r="H5856" s="9" t="s">
        <v>25</v>
      </c>
      <c r="I5856" s="9" t="s">
        <v>52</v>
      </c>
      <c r="J5856" s="16">
        <v>0.8</v>
      </c>
      <c r="K5856" s="14" t="s">
        <v>398</v>
      </c>
      <c r="N5856" s="14" t="str">
        <f>IFERROR(__xludf.DUMMYFUNCTION("""COMPUTED_VALUE"""),"")</f>
        <v/>
      </c>
      <c r="O5856" s="14"/>
    </row>
    <row r="5857" ht="22.5" hidden="1" customHeight="1">
      <c r="A5857" s="8">
        <v>46249.65694813657</v>
      </c>
      <c r="B5857" s="14">
        <v>46249.0</v>
      </c>
      <c r="C5857" s="9" t="s">
        <v>53</v>
      </c>
      <c r="D5857" s="9" t="s">
        <v>171</v>
      </c>
      <c r="E5857" s="9" t="s">
        <v>46</v>
      </c>
      <c r="F5857" s="9" t="s">
        <v>60</v>
      </c>
      <c r="G5857" s="9">
        <v>7.0</v>
      </c>
      <c r="H5857" s="9" t="s">
        <v>22</v>
      </c>
      <c r="I5857" s="9" t="s">
        <v>20</v>
      </c>
      <c r="J5857" s="16">
        <v>0.4</v>
      </c>
      <c r="K5857" s="14" t="s">
        <v>398</v>
      </c>
      <c r="N5857" s="14" t="str">
        <f>IFERROR(__xludf.DUMMYFUNCTION("""COMPUTED_VALUE"""),"")</f>
        <v/>
      </c>
      <c r="O5857" s="14"/>
    </row>
    <row r="5858" ht="22.5" hidden="1" customHeight="1">
      <c r="A5858" s="8">
        <v>46249.65752332176</v>
      </c>
      <c r="B5858" s="14">
        <v>46249.0</v>
      </c>
      <c r="C5858" s="9" t="s">
        <v>53</v>
      </c>
      <c r="D5858" s="9" t="s">
        <v>175</v>
      </c>
      <c r="E5858" s="9" t="s">
        <v>17</v>
      </c>
      <c r="F5858" s="9" t="s">
        <v>17</v>
      </c>
      <c r="G5858" s="9" t="s">
        <v>409</v>
      </c>
      <c r="H5858" s="9" t="s">
        <v>25</v>
      </c>
      <c r="I5858" s="9" t="s">
        <v>79</v>
      </c>
      <c r="J5858" s="16">
        <v>0.8</v>
      </c>
      <c r="K5858" s="14" t="s">
        <v>398</v>
      </c>
      <c r="N5858" s="14" t="str">
        <f>IFERROR(__xludf.DUMMYFUNCTION("""COMPUTED_VALUE"""),"")</f>
        <v/>
      </c>
      <c r="O5858" s="14"/>
    </row>
    <row r="5859" ht="22.5" hidden="1" customHeight="1">
      <c r="A5859" s="8">
        <v>46249.65849664352</v>
      </c>
      <c r="B5859" s="14">
        <v>46249.0</v>
      </c>
      <c r="C5859" s="9" t="s">
        <v>53</v>
      </c>
      <c r="D5859" s="9" t="s">
        <v>469</v>
      </c>
      <c r="E5859" s="9" t="s">
        <v>17</v>
      </c>
      <c r="F5859" s="9" t="s">
        <v>17</v>
      </c>
      <c r="G5859" s="9" t="s">
        <v>409</v>
      </c>
      <c r="H5859" s="9" t="s">
        <v>25</v>
      </c>
      <c r="I5859" s="9" t="s">
        <v>211</v>
      </c>
      <c r="J5859" s="16">
        <v>1.0</v>
      </c>
      <c r="K5859" s="14" t="s">
        <v>398</v>
      </c>
      <c r="N5859" s="14" t="str">
        <f>IFERROR(__xludf.DUMMYFUNCTION("""COMPUTED_VALUE"""),"")</f>
        <v/>
      </c>
      <c r="O5859" s="14"/>
    </row>
    <row r="5860" ht="22.5" hidden="1" customHeight="1">
      <c r="A5860" s="8">
        <v>46249.659824710645</v>
      </c>
      <c r="B5860" s="14">
        <v>46249.0</v>
      </c>
      <c r="C5860" s="9" t="s">
        <v>53</v>
      </c>
      <c r="D5860" s="9" t="s">
        <v>335</v>
      </c>
      <c r="E5860" s="9" t="s">
        <v>61</v>
      </c>
      <c r="F5860" s="9" t="s">
        <v>17</v>
      </c>
      <c r="G5860" s="9">
        <v>7.0</v>
      </c>
      <c r="H5860" s="9" t="s">
        <v>25</v>
      </c>
      <c r="I5860" s="9" t="s">
        <v>240</v>
      </c>
      <c r="J5860" s="16">
        <v>0.8</v>
      </c>
      <c r="K5860" s="14" t="s">
        <v>398</v>
      </c>
      <c r="N5860" s="14" t="str">
        <f>IFERROR(__xludf.DUMMYFUNCTION("""COMPUTED_VALUE"""),"")</f>
        <v/>
      </c>
      <c r="O5860" s="14"/>
    </row>
    <row r="5861" ht="22.5" hidden="1" customHeight="1">
      <c r="A5861" s="8">
        <v>46249.66052734954</v>
      </c>
      <c r="B5861" s="14">
        <v>46249.0</v>
      </c>
      <c r="C5861" s="9" t="s">
        <v>53</v>
      </c>
      <c r="D5861" s="9" t="s">
        <v>393</v>
      </c>
      <c r="E5861" s="9" t="s">
        <v>17</v>
      </c>
      <c r="F5861" s="9" t="s">
        <v>17</v>
      </c>
      <c r="G5861" s="9">
        <v>8.0</v>
      </c>
      <c r="H5861" s="9" t="s">
        <v>25</v>
      </c>
      <c r="I5861" s="9" t="s">
        <v>240</v>
      </c>
      <c r="J5861" s="16">
        <v>1.0</v>
      </c>
      <c r="K5861" s="14" t="s">
        <v>398</v>
      </c>
      <c r="N5861" s="14" t="str">
        <f>IFERROR(__xludf.DUMMYFUNCTION("""COMPUTED_VALUE"""),"")</f>
        <v/>
      </c>
      <c r="O5861" s="14"/>
    </row>
    <row r="5862" ht="22.5" hidden="1" customHeight="1">
      <c r="A5862" s="8">
        <v>46249.66157373843</v>
      </c>
      <c r="B5862" s="14">
        <v>46249.0</v>
      </c>
      <c r="C5862" s="9" t="s">
        <v>53</v>
      </c>
      <c r="D5862" s="9" t="s">
        <v>210</v>
      </c>
      <c r="E5862" s="9" t="s">
        <v>17</v>
      </c>
      <c r="F5862" s="9" t="s">
        <v>43</v>
      </c>
      <c r="G5862" s="9">
        <v>8.0</v>
      </c>
      <c r="H5862" s="9" t="s">
        <v>22</v>
      </c>
      <c r="I5862" s="9" t="s">
        <v>20</v>
      </c>
      <c r="J5862" s="16">
        <v>1.0</v>
      </c>
      <c r="K5862" s="14" t="s">
        <v>398</v>
      </c>
      <c r="N5862" s="14" t="str">
        <f>IFERROR(__xludf.DUMMYFUNCTION("""COMPUTED_VALUE"""),"")</f>
        <v/>
      </c>
      <c r="O5862" s="14"/>
    </row>
    <row r="5863" ht="22.5" hidden="1" customHeight="1">
      <c r="A5863" s="8">
        <v>46249.66259527778</v>
      </c>
      <c r="B5863" s="14">
        <v>46249.0</v>
      </c>
      <c r="C5863" s="9" t="s">
        <v>53</v>
      </c>
      <c r="D5863" s="9" t="s">
        <v>367</v>
      </c>
      <c r="E5863" s="9" t="s">
        <v>17</v>
      </c>
      <c r="F5863" s="9" t="s">
        <v>17</v>
      </c>
      <c r="G5863" s="9" t="s">
        <v>409</v>
      </c>
      <c r="H5863" s="9" t="s">
        <v>62</v>
      </c>
      <c r="I5863" s="9" t="s">
        <v>291</v>
      </c>
      <c r="J5863" s="16">
        <v>0.8</v>
      </c>
      <c r="K5863" s="14" t="s">
        <v>398</v>
      </c>
      <c r="N5863" s="14" t="str">
        <f>IFERROR(__xludf.DUMMYFUNCTION("""COMPUTED_VALUE"""),"")</f>
        <v/>
      </c>
      <c r="O5863" s="14"/>
    </row>
    <row r="5864" ht="22.5" hidden="1" customHeight="1">
      <c r="A5864" s="8">
        <v>46249.66364165509</v>
      </c>
      <c r="B5864" s="14">
        <v>46249.0</v>
      </c>
      <c r="C5864" s="9" t="s">
        <v>53</v>
      </c>
      <c r="D5864" s="9" t="s">
        <v>369</v>
      </c>
      <c r="E5864" s="9" t="s">
        <v>17</v>
      </c>
      <c r="F5864" s="9" t="s">
        <v>18</v>
      </c>
      <c r="G5864" s="9" t="s">
        <v>409</v>
      </c>
      <c r="H5864" s="9" t="s">
        <v>25</v>
      </c>
      <c r="I5864" s="9" t="s">
        <v>28</v>
      </c>
      <c r="J5864" s="16">
        <v>0.8</v>
      </c>
      <c r="K5864" s="14" t="s">
        <v>398</v>
      </c>
      <c r="N5864" s="14" t="str">
        <f>IFERROR(__xludf.DUMMYFUNCTION("""COMPUTED_VALUE"""),"")</f>
        <v/>
      </c>
      <c r="O5864" s="14"/>
    </row>
    <row r="5865" ht="22.5" hidden="1" customHeight="1">
      <c r="A5865" s="8">
        <v>46249.66445056713</v>
      </c>
      <c r="B5865" s="14">
        <v>46249.0</v>
      </c>
      <c r="C5865" s="9" t="s">
        <v>53</v>
      </c>
      <c r="D5865" s="9" t="s">
        <v>174</v>
      </c>
      <c r="E5865" s="9" t="s">
        <v>44</v>
      </c>
      <c r="F5865" s="9" t="s">
        <v>18</v>
      </c>
      <c r="G5865" s="9">
        <v>8.0</v>
      </c>
      <c r="H5865" s="9" t="s">
        <v>22</v>
      </c>
      <c r="I5865" s="9" t="s">
        <v>20</v>
      </c>
      <c r="J5865" s="16">
        <v>1.0</v>
      </c>
      <c r="K5865" s="14" t="s">
        <v>398</v>
      </c>
      <c r="N5865" s="14" t="str">
        <f>IFERROR(__xludf.DUMMYFUNCTION("""COMPUTED_VALUE"""),"")</f>
        <v/>
      </c>
      <c r="O5865" s="14"/>
    </row>
    <row r="5866" ht="22.5" hidden="1" customHeight="1">
      <c r="A5866" s="8">
        <v>46249.66481851852</v>
      </c>
      <c r="B5866" s="14">
        <v>46249.0</v>
      </c>
      <c r="C5866" s="9" t="s">
        <v>53</v>
      </c>
      <c r="D5866" s="9" t="s">
        <v>259</v>
      </c>
      <c r="E5866" s="9" t="s">
        <v>44</v>
      </c>
      <c r="F5866" s="9" t="s">
        <v>43</v>
      </c>
      <c r="G5866" s="9" t="s">
        <v>409</v>
      </c>
      <c r="H5866" s="9" t="s">
        <v>22</v>
      </c>
      <c r="I5866" s="9" t="s">
        <v>20</v>
      </c>
      <c r="J5866" s="16">
        <v>0.8</v>
      </c>
      <c r="K5866" s="14" t="s">
        <v>398</v>
      </c>
      <c r="N5866" s="14" t="str">
        <f>IFERROR(__xludf.DUMMYFUNCTION("""COMPUTED_VALUE"""),"")</f>
        <v/>
      </c>
      <c r="O5866" s="14"/>
    </row>
    <row r="5867" ht="22.5" hidden="1" customHeight="1">
      <c r="A5867" s="8">
        <v>46249.665421956015</v>
      </c>
      <c r="B5867" s="14">
        <v>46249.0</v>
      </c>
      <c r="C5867" s="9" t="s">
        <v>53</v>
      </c>
      <c r="D5867" s="9" t="s">
        <v>441</v>
      </c>
      <c r="E5867" s="9" t="s">
        <v>17</v>
      </c>
      <c r="F5867" s="9" t="s">
        <v>17</v>
      </c>
      <c r="G5867" s="9" t="s">
        <v>409</v>
      </c>
      <c r="H5867" s="9" t="s">
        <v>22</v>
      </c>
      <c r="I5867" s="9" t="s">
        <v>20</v>
      </c>
      <c r="J5867" s="16">
        <v>1.0</v>
      </c>
      <c r="K5867" s="14" t="s">
        <v>398</v>
      </c>
      <c r="N5867" s="14" t="str">
        <f>IFERROR(__xludf.DUMMYFUNCTION("""COMPUTED_VALUE"""),"")</f>
        <v/>
      </c>
      <c r="O5867" s="14"/>
    </row>
    <row r="5868" ht="22.5" hidden="1" customHeight="1">
      <c r="A5868" s="8">
        <v>46249.66684413195</v>
      </c>
      <c r="B5868" s="14">
        <v>46249.0</v>
      </c>
      <c r="C5868" s="9" t="s">
        <v>53</v>
      </c>
      <c r="D5868" s="9" t="s">
        <v>414</v>
      </c>
      <c r="E5868" s="9" t="s">
        <v>17</v>
      </c>
      <c r="F5868" s="9" t="s">
        <v>17</v>
      </c>
      <c r="G5868" s="9">
        <v>8.0</v>
      </c>
      <c r="H5868" s="9" t="s">
        <v>22</v>
      </c>
      <c r="I5868" s="9" t="s">
        <v>20</v>
      </c>
      <c r="J5868" s="16">
        <v>0.8</v>
      </c>
      <c r="K5868" s="14" t="s">
        <v>398</v>
      </c>
      <c r="N5868" s="14" t="str">
        <f>IFERROR(__xludf.DUMMYFUNCTION("""COMPUTED_VALUE"""),"")</f>
        <v/>
      </c>
      <c r="O5868" s="14"/>
    </row>
    <row r="5869" ht="22.5" hidden="1" customHeight="1">
      <c r="A5869" s="8">
        <v>46249.667317326384</v>
      </c>
      <c r="B5869" s="14">
        <v>46249.0</v>
      </c>
      <c r="C5869" s="9" t="s">
        <v>53</v>
      </c>
      <c r="D5869" s="9" t="s">
        <v>394</v>
      </c>
      <c r="E5869" s="9" t="s">
        <v>17</v>
      </c>
      <c r="F5869" s="9" t="s">
        <v>17</v>
      </c>
      <c r="G5869" s="9">
        <v>8.0</v>
      </c>
      <c r="H5869" s="9" t="s">
        <v>22</v>
      </c>
      <c r="I5869" s="9" t="s">
        <v>20</v>
      </c>
      <c r="J5869" s="16">
        <v>1.0</v>
      </c>
      <c r="K5869" s="14" t="s">
        <v>398</v>
      </c>
      <c r="N5869" s="14" t="str">
        <f>IFERROR(__xludf.DUMMYFUNCTION("""COMPUTED_VALUE"""),"")</f>
        <v/>
      </c>
      <c r="O5869" s="14"/>
    </row>
    <row r="5870" ht="22.5" hidden="1" customHeight="1">
      <c r="A5870" s="8">
        <v>46249.669780509255</v>
      </c>
      <c r="B5870" s="14">
        <v>46249.0</v>
      </c>
      <c r="C5870" s="9" t="s">
        <v>53</v>
      </c>
      <c r="D5870" s="9" t="s">
        <v>247</v>
      </c>
      <c r="E5870" s="9" t="s">
        <v>46</v>
      </c>
      <c r="F5870" s="9" t="s">
        <v>18</v>
      </c>
      <c r="G5870" s="9" t="s">
        <v>409</v>
      </c>
      <c r="H5870" s="9" t="s">
        <v>22</v>
      </c>
      <c r="I5870" s="9" t="s">
        <v>20</v>
      </c>
      <c r="J5870" s="16">
        <v>0.4</v>
      </c>
      <c r="K5870" s="14" t="s">
        <v>398</v>
      </c>
      <c r="N5870" s="14" t="str">
        <f>IFERROR(__xludf.DUMMYFUNCTION("""COMPUTED_VALUE"""),"")</f>
        <v/>
      </c>
      <c r="O5870" s="14"/>
    </row>
    <row r="5871" ht="22.5" hidden="1" customHeight="1">
      <c r="A5871" s="8">
        <v>46249.67206162037</v>
      </c>
      <c r="B5871" s="14">
        <v>46249.0</v>
      </c>
      <c r="C5871" s="9" t="s">
        <v>53</v>
      </c>
      <c r="D5871" s="9" t="s">
        <v>475</v>
      </c>
      <c r="E5871" s="9" t="s">
        <v>30</v>
      </c>
      <c r="F5871" s="9" t="s">
        <v>18</v>
      </c>
      <c r="G5871" s="9">
        <v>8.0</v>
      </c>
      <c r="H5871" s="9" t="s">
        <v>22</v>
      </c>
      <c r="I5871" s="9" t="s">
        <v>20</v>
      </c>
      <c r="J5871" s="16">
        <v>0.8</v>
      </c>
      <c r="K5871" s="14" t="s">
        <v>398</v>
      </c>
      <c r="N5871" s="14" t="str">
        <f>IFERROR(__xludf.DUMMYFUNCTION("""COMPUTED_VALUE"""),"")</f>
        <v/>
      </c>
      <c r="O5871" s="14"/>
    </row>
    <row r="5872" ht="22.5" hidden="1" customHeight="1">
      <c r="A5872" s="8">
        <v>46249.69280118056</v>
      </c>
      <c r="B5872" s="14">
        <v>46249.0</v>
      </c>
      <c r="C5872" s="9" t="s">
        <v>53</v>
      </c>
      <c r="D5872" s="9" t="s">
        <v>463</v>
      </c>
      <c r="E5872" s="9" t="s">
        <v>46</v>
      </c>
      <c r="F5872" s="9" t="s">
        <v>17</v>
      </c>
      <c r="G5872" s="9">
        <v>8.0</v>
      </c>
      <c r="H5872" s="9" t="s">
        <v>22</v>
      </c>
      <c r="I5872" s="9" t="s">
        <v>20</v>
      </c>
      <c r="J5872" s="16">
        <v>0.6</v>
      </c>
      <c r="K5872" s="14" t="s">
        <v>398</v>
      </c>
      <c r="N5872" s="14" t="str">
        <f>IFERROR(__xludf.DUMMYFUNCTION("""COMPUTED_VALUE"""),"")</f>
        <v/>
      </c>
      <c r="O5872" s="14"/>
    </row>
    <row r="5873" ht="22.5" hidden="1" customHeight="1">
      <c r="A5873" s="8">
        <v>46250.35148695602</v>
      </c>
      <c r="B5873" s="14">
        <v>46250.0</v>
      </c>
      <c r="C5873" s="9" t="s">
        <v>58</v>
      </c>
      <c r="D5873" s="9" t="s">
        <v>367</v>
      </c>
      <c r="E5873" s="9" t="s">
        <v>17</v>
      </c>
      <c r="F5873" s="9" t="s">
        <v>17</v>
      </c>
      <c r="G5873" s="9">
        <v>8.0</v>
      </c>
      <c r="H5873" s="9" t="s">
        <v>22</v>
      </c>
      <c r="I5873" s="9" t="s">
        <v>20</v>
      </c>
      <c r="J5873" s="16">
        <v>0.8</v>
      </c>
      <c r="K5873" s="14" t="s">
        <v>398</v>
      </c>
      <c r="N5873" s="14" t="str">
        <f>IFERROR(__xludf.DUMMYFUNCTION("""COMPUTED_VALUE"""),"")</f>
        <v/>
      </c>
      <c r="O5873" s="14"/>
    </row>
    <row r="5874" ht="22.5" hidden="1" customHeight="1">
      <c r="A5874" s="8">
        <v>46250.36711668981</v>
      </c>
      <c r="B5874" s="14">
        <v>46250.0</v>
      </c>
      <c r="C5874" s="9" t="s">
        <v>58</v>
      </c>
      <c r="D5874" s="9" t="s">
        <v>393</v>
      </c>
      <c r="E5874" s="9" t="s">
        <v>30</v>
      </c>
      <c r="F5874" s="9" t="s">
        <v>18</v>
      </c>
      <c r="G5874" s="9">
        <v>7.0</v>
      </c>
      <c r="H5874" s="9" t="s">
        <v>25</v>
      </c>
      <c r="I5874" s="9" t="s">
        <v>240</v>
      </c>
      <c r="J5874" s="16">
        <v>0.8</v>
      </c>
      <c r="K5874" s="14" t="s">
        <v>398</v>
      </c>
      <c r="N5874" s="14" t="str">
        <f>IFERROR(__xludf.DUMMYFUNCTION("""COMPUTED_VALUE"""),"")</f>
        <v/>
      </c>
      <c r="O5874" s="14"/>
    </row>
    <row r="5875" ht="22.5" hidden="1" customHeight="1">
      <c r="A5875" s="8">
        <v>46250.38759344908</v>
      </c>
      <c r="B5875" s="14">
        <v>46250.0</v>
      </c>
      <c r="C5875" s="9" t="s">
        <v>58</v>
      </c>
      <c r="D5875" s="9" t="s">
        <v>457</v>
      </c>
      <c r="E5875" s="9" t="s">
        <v>30</v>
      </c>
      <c r="F5875" s="9" t="s">
        <v>18</v>
      </c>
      <c r="G5875" s="9">
        <v>8.0</v>
      </c>
      <c r="H5875" s="9" t="s">
        <v>22</v>
      </c>
      <c r="I5875" s="9" t="s">
        <v>20</v>
      </c>
      <c r="J5875" s="16">
        <v>0.8</v>
      </c>
      <c r="K5875" s="14" t="s">
        <v>398</v>
      </c>
      <c r="N5875" s="14" t="str">
        <f>IFERROR(__xludf.DUMMYFUNCTION("""COMPUTED_VALUE"""),"")</f>
        <v/>
      </c>
      <c r="O5875" s="14"/>
    </row>
    <row r="5876" ht="22.5" hidden="1" customHeight="1">
      <c r="A5876" s="8">
        <v>46250.3881153588</v>
      </c>
      <c r="B5876" s="14">
        <v>46250.0</v>
      </c>
      <c r="C5876" s="9" t="s">
        <v>58</v>
      </c>
      <c r="D5876" s="9" t="s">
        <v>105</v>
      </c>
      <c r="E5876" s="9" t="s">
        <v>30</v>
      </c>
      <c r="F5876" s="9" t="s">
        <v>17</v>
      </c>
      <c r="G5876" s="9">
        <v>7.0</v>
      </c>
      <c r="H5876" s="9" t="s">
        <v>22</v>
      </c>
      <c r="I5876" s="9" t="s">
        <v>20</v>
      </c>
      <c r="J5876" s="16">
        <v>0.8</v>
      </c>
      <c r="K5876" s="14" t="s">
        <v>398</v>
      </c>
      <c r="N5876" s="14" t="str">
        <f>IFERROR(__xludf.DUMMYFUNCTION("""COMPUTED_VALUE"""),"")</f>
        <v/>
      </c>
      <c r="O5876" s="14"/>
    </row>
    <row r="5877" ht="22.5" hidden="1" customHeight="1">
      <c r="A5877" s="8">
        <v>46250.39063648148</v>
      </c>
      <c r="B5877" s="14">
        <v>46250.0</v>
      </c>
      <c r="C5877" s="9" t="s">
        <v>58</v>
      </c>
      <c r="D5877" s="9" t="s">
        <v>259</v>
      </c>
      <c r="E5877" s="9" t="s">
        <v>30</v>
      </c>
      <c r="F5877" s="9" t="s">
        <v>18</v>
      </c>
      <c r="G5877" s="9" t="s">
        <v>409</v>
      </c>
      <c r="H5877" s="9" t="s">
        <v>22</v>
      </c>
      <c r="I5877" s="9" t="s">
        <v>20</v>
      </c>
      <c r="J5877" s="16">
        <v>0.8</v>
      </c>
      <c r="K5877" s="14" t="s">
        <v>398</v>
      </c>
      <c r="N5877" s="14" t="str">
        <f>IFERROR(__xludf.DUMMYFUNCTION("""COMPUTED_VALUE"""),"")</f>
        <v/>
      </c>
      <c r="O5877" s="14"/>
    </row>
    <row r="5878" ht="22.5" hidden="1" customHeight="1">
      <c r="A5878" s="8">
        <v>46250.391466562505</v>
      </c>
      <c r="B5878" s="14">
        <v>46250.0</v>
      </c>
      <c r="C5878" s="9" t="s">
        <v>58</v>
      </c>
      <c r="D5878" s="9" t="s">
        <v>177</v>
      </c>
      <c r="E5878" s="9" t="s">
        <v>30</v>
      </c>
      <c r="F5878" s="9" t="s">
        <v>18</v>
      </c>
      <c r="G5878" s="9">
        <v>7.0</v>
      </c>
      <c r="H5878" s="9" t="s">
        <v>22</v>
      </c>
      <c r="I5878" s="9" t="s">
        <v>20</v>
      </c>
      <c r="J5878" s="16">
        <v>0.8</v>
      </c>
      <c r="K5878" s="14" t="s">
        <v>398</v>
      </c>
      <c r="N5878" s="14" t="str">
        <f>IFERROR(__xludf.DUMMYFUNCTION("""COMPUTED_VALUE"""),"")</f>
        <v/>
      </c>
      <c r="O5878" s="14"/>
    </row>
    <row r="5879" ht="22.5" hidden="1" customHeight="1">
      <c r="A5879" s="8">
        <v>46250.39192349537</v>
      </c>
      <c r="B5879" s="14">
        <v>46250.0</v>
      </c>
      <c r="C5879" s="9" t="s">
        <v>58</v>
      </c>
      <c r="D5879" s="9" t="s">
        <v>357</v>
      </c>
      <c r="E5879" s="9" t="s">
        <v>17</v>
      </c>
      <c r="F5879" s="9" t="s">
        <v>60</v>
      </c>
      <c r="G5879" s="9">
        <v>8.0</v>
      </c>
      <c r="H5879" s="9" t="s">
        <v>22</v>
      </c>
      <c r="I5879" s="9" t="s">
        <v>20</v>
      </c>
      <c r="J5879" s="16">
        <v>0.8</v>
      </c>
      <c r="K5879" s="14" t="s">
        <v>398</v>
      </c>
      <c r="N5879" s="14" t="str">
        <f>IFERROR(__xludf.DUMMYFUNCTION("""COMPUTED_VALUE"""),"")</f>
        <v/>
      </c>
      <c r="O5879" s="14"/>
    </row>
    <row r="5880" ht="22.5" hidden="1" customHeight="1">
      <c r="A5880" s="8">
        <v>46250.39229063658</v>
      </c>
      <c r="B5880" s="14">
        <v>46250.0</v>
      </c>
      <c r="C5880" s="9" t="s">
        <v>58</v>
      </c>
      <c r="D5880" s="9" t="s">
        <v>369</v>
      </c>
      <c r="E5880" s="9" t="s">
        <v>17</v>
      </c>
      <c r="F5880" s="9" t="s">
        <v>18</v>
      </c>
      <c r="G5880" s="9">
        <v>8.0</v>
      </c>
      <c r="H5880" s="9" t="s">
        <v>22</v>
      </c>
      <c r="I5880" s="9" t="s">
        <v>20</v>
      </c>
      <c r="J5880" s="16">
        <v>0.8</v>
      </c>
      <c r="K5880" s="14" t="s">
        <v>398</v>
      </c>
      <c r="N5880" s="14" t="str">
        <f>IFERROR(__xludf.DUMMYFUNCTION("""COMPUTED_VALUE"""),"")</f>
        <v/>
      </c>
      <c r="O5880" s="14"/>
    </row>
    <row r="5881" ht="22.5" hidden="1" customHeight="1">
      <c r="A5881" s="8">
        <v>46250.39272387732</v>
      </c>
      <c r="B5881" s="14">
        <v>46250.0</v>
      </c>
      <c r="C5881" s="9" t="s">
        <v>58</v>
      </c>
      <c r="D5881" s="9" t="s">
        <v>463</v>
      </c>
      <c r="E5881" s="9" t="s">
        <v>17</v>
      </c>
      <c r="F5881" s="9" t="s">
        <v>18</v>
      </c>
      <c r="G5881" s="9">
        <v>8.0</v>
      </c>
      <c r="H5881" s="9" t="s">
        <v>22</v>
      </c>
      <c r="I5881" s="9" t="s">
        <v>20</v>
      </c>
      <c r="J5881" s="16">
        <v>0.8</v>
      </c>
      <c r="K5881" s="14" t="s">
        <v>398</v>
      </c>
      <c r="N5881" s="14" t="str">
        <f>IFERROR(__xludf.DUMMYFUNCTION("""COMPUTED_VALUE"""),"")</f>
        <v/>
      </c>
      <c r="O5881" s="14"/>
    </row>
    <row r="5882" ht="22.5" hidden="1" customHeight="1">
      <c r="A5882" s="8">
        <v>46250.39320121528</v>
      </c>
      <c r="B5882" s="14">
        <v>46250.0</v>
      </c>
      <c r="C5882" s="9" t="s">
        <v>58</v>
      </c>
      <c r="D5882" s="9" t="s">
        <v>395</v>
      </c>
      <c r="E5882" s="9" t="s">
        <v>17</v>
      </c>
      <c r="F5882" s="9" t="s">
        <v>17</v>
      </c>
      <c r="G5882" s="9">
        <v>8.0</v>
      </c>
      <c r="H5882" s="9" t="s">
        <v>25</v>
      </c>
      <c r="I5882" s="9" t="s">
        <v>211</v>
      </c>
      <c r="J5882" s="16">
        <v>0.8</v>
      </c>
      <c r="K5882" s="14" t="s">
        <v>398</v>
      </c>
      <c r="N5882" s="14" t="str">
        <f>IFERROR(__xludf.DUMMYFUNCTION("""COMPUTED_VALUE"""),"")</f>
        <v/>
      </c>
      <c r="O5882" s="14"/>
    </row>
    <row r="5883" ht="22.5" hidden="1" customHeight="1">
      <c r="A5883" s="8">
        <v>46250.39464366898</v>
      </c>
      <c r="B5883" s="14">
        <v>46250.0</v>
      </c>
      <c r="C5883" s="9" t="s">
        <v>58</v>
      </c>
      <c r="D5883" s="9" t="s">
        <v>249</v>
      </c>
      <c r="E5883" s="9" t="s">
        <v>30</v>
      </c>
      <c r="F5883" s="9" t="s">
        <v>18</v>
      </c>
      <c r="G5883" s="9">
        <v>8.0</v>
      </c>
      <c r="H5883" s="9" t="s">
        <v>22</v>
      </c>
      <c r="I5883" s="9" t="s">
        <v>20</v>
      </c>
      <c r="J5883" s="16">
        <v>1.0</v>
      </c>
      <c r="K5883" s="14" t="s">
        <v>398</v>
      </c>
      <c r="N5883" s="14" t="str">
        <f>IFERROR(__xludf.DUMMYFUNCTION("""COMPUTED_VALUE"""),"")</f>
        <v/>
      </c>
      <c r="O5883" s="14"/>
    </row>
    <row r="5884" ht="22.5" hidden="1" customHeight="1">
      <c r="A5884" s="8">
        <v>46250.39581902778</v>
      </c>
      <c r="B5884" s="14">
        <v>46250.0</v>
      </c>
      <c r="C5884" s="9" t="s">
        <v>58</v>
      </c>
      <c r="D5884" s="9" t="s">
        <v>174</v>
      </c>
      <c r="E5884" s="9" t="s">
        <v>57</v>
      </c>
      <c r="F5884" s="9" t="s">
        <v>18</v>
      </c>
      <c r="G5884" s="9">
        <v>8.0</v>
      </c>
      <c r="H5884" s="9" t="s">
        <v>22</v>
      </c>
      <c r="I5884" s="9" t="s">
        <v>20</v>
      </c>
      <c r="J5884" s="16">
        <v>1.0</v>
      </c>
      <c r="K5884" s="14" t="s">
        <v>398</v>
      </c>
      <c r="N5884" s="14" t="str">
        <f>IFERROR(__xludf.DUMMYFUNCTION("""COMPUTED_VALUE"""),"")</f>
        <v/>
      </c>
      <c r="O5884" s="14"/>
    </row>
    <row r="5885" ht="22.5" hidden="1" customHeight="1">
      <c r="A5885" s="8">
        <v>46250.39620379629</v>
      </c>
      <c r="B5885" s="14">
        <v>46250.0</v>
      </c>
      <c r="C5885" s="9" t="s">
        <v>58</v>
      </c>
      <c r="D5885" s="9" t="s">
        <v>413</v>
      </c>
      <c r="E5885" s="9" t="s">
        <v>17</v>
      </c>
      <c r="F5885" s="9" t="s">
        <v>43</v>
      </c>
      <c r="G5885" s="9" t="s">
        <v>409</v>
      </c>
      <c r="H5885" s="9" t="s">
        <v>22</v>
      </c>
      <c r="I5885" s="9" t="s">
        <v>20</v>
      </c>
      <c r="J5885" s="16">
        <v>0.8</v>
      </c>
      <c r="K5885" s="14" t="s">
        <v>398</v>
      </c>
      <c r="N5885" s="14" t="str">
        <f>IFERROR(__xludf.DUMMYFUNCTION("""COMPUTED_VALUE"""),"")</f>
        <v/>
      </c>
      <c r="O5885" s="14"/>
    </row>
    <row r="5886" ht="22.5" hidden="1" customHeight="1">
      <c r="A5886" s="8">
        <v>46250.39656671297</v>
      </c>
      <c r="B5886" s="14">
        <v>46250.0</v>
      </c>
      <c r="C5886" s="9" t="s">
        <v>58</v>
      </c>
      <c r="D5886" s="9" t="s">
        <v>441</v>
      </c>
      <c r="E5886" s="9" t="s">
        <v>17</v>
      </c>
      <c r="F5886" s="9" t="s">
        <v>18</v>
      </c>
      <c r="G5886" s="9">
        <v>7.0</v>
      </c>
      <c r="H5886" s="9" t="s">
        <v>22</v>
      </c>
      <c r="I5886" s="9" t="s">
        <v>20</v>
      </c>
      <c r="J5886" s="16">
        <v>1.0</v>
      </c>
      <c r="K5886" s="14" t="s">
        <v>398</v>
      </c>
      <c r="N5886" s="14" t="str">
        <f>IFERROR(__xludf.DUMMYFUNCTION("""COMPUTED_VALUE"""),"")</f>
        <v/>
      </c>
      <c r="O5886" s="14"/>
    </row>
    <row r="5887" ht="22.5" hidden="1" customHeight="1">
      <c r="A5887" s="8">
        <v>46250.39691848379</v>
      </c>
      <c r="B5887" s="14">
        <v>46250.0</v>
      </c>
      <c r="C5887" s="9" t="s">
        <v>58</v>
      </c>
      <c r="D5887" s="9" t="s">
        <v>460</v>
      </c>
      <c r="E5887" s="9" t="s">
        <v>44</v>
      </c>
      <c r="F5887" s="9" t="s">
        <v>43</v>
      </c>
      <c r="G5887" s="9" t="s">
        <v>409</v>
      </c>
      <c r="H5887" s="9" t="s">
        <v>22</v>
      </c>
      <c r="I5887" s="9" t="s">
        <v>20</v>
      </c>
      <c r="J5887" s="16">
        <v>1.0</v>
      </c>
      <c r="K5887" s="14" t="s">
        <v>398</v>
      </c>
      <c r="N5887" s="14" t="str">
        <f>IFERROR(__xludf.DUMMYFUNCTION("""COMPUTED_VALUE"""),"")</f>
        <v/>
      </c>
      <c r="O5887" s="14"/>
    </row>
    <row r="5888" ht="22.5" hidden="1" customHeight="1">
      <c r="A5888" s="8">
        <v>46250.39741784723</v>
      </c>
      <c r="B5888" s="14">
        <v>46250.0</v>
      </c>
      <c r="C5888" s="9" t="s">
        <v>58</v>
      </c>
      <c r="D5888" s="9" t="s">
        <v>171</v>
      </c>
      <c r="E5888" s="9" t="s">
        <v>17</v>
      </c>
      <c r="F5888" s="9" t="s">
        <v>18</v>
      </c>
      <c r="G5888" s="9" t="s">
        <v>409</v>
      </c>
      <c r="H5888" s="9" t="s">
        <v>22</v>
      </c>
      <c r="I5888" s="9" t="s">
        <v>20</v>
      </c>
      <c r="J5888" s="16">
        <v>0.6</v>
      </c>
      <c r="K5888" s="14" t="s">
        <v>398</v>
      </c>
      <c r="N5888" s="14" t="str">
        <f>IFERROR(__xludf.DUMMYFUNCTION("""COMPUTED_VALUE"""),"")</f>
        <v/>
      </c>
      <c r="O5888" s="14"/>
    </row>
    <row r="5889" ht="22.5" hidden="1" customHeight="1">
      <c r="A5889" s="8">
        <v>46250.39840258102</v>
      </c>
      <c r="B5889" s="14">
        <v>46250.0</v>
      </c>
      <c r="C5889" s="9" t="s">
        <v>58</v>
      </c>
      <c r="D5889" s="9" t="s">
        <v>178</v>
      </c>
      <c r="E5889" s="9" t="s">
        <v>17</v>
      </c>
      <c r="F5889" s="9" t="s">
        <v>18</v>
      </c>
      <c r="G5889" s="9">
        <v>8.0</v>
      </c>
      <c r="H5889" s="9" t="s">
        <v>22</v>
      </c>
      <c r="I5889" s="9" t="s">
        <v>20</v>
      </c>
      <c r="J5889" s="16">
        <v>0.8</v>
      </c>
      <c r="K5889" s="14" t="s">
        <v>398</v>
      </c>
      <c r="N5889" s="14" t="str">
        <f>IFERROR(__xludf.DUMMYFUNCTION("""COMPUTED_VALUE"""),"")</f>
        <v/>
      </c>
      <c r="O5889" s="14"/>
    </row>
    <row r="5890" ht="22.5" hidden="1" customHeight="1">
      <c r="A5890" s="8">
        <v>46250.399094328706</v>
      </c>
      <c r="B5890" s="14">
        <v>46250.0</v>
      </c>
      <c r="C5890" s="9" t="s">
        <v>58</v>
      </c>
      <c r="D5890" s="9" t="s">
        <v>175</v>
      </c>
      <c r="E5890" s="9" t="s">
        <v>17</v>
      </c>
      <c r="F5890" s="9" t="s">
        <v>17</v>
      </c>
      <c r="G5890" s="9">
        <v>8.0</v>
      </c>
      <c r="H5890" s="9" t="s">
        <v>25</v>
      </c>
      <c r="I5890" s="9" t="s">
        <v>89</v>
      </c>
      <c r="J5890" s="16">
        <v>0.8</v>
      </c>
      <c r="K5890" s="14" t="s">
        <v>398</v>
      </c>
      <c r="N5890" s="14" t="str">
        <f>IFERROR(__xludf.DUMMYFUNCTION("""COMPUTED_VALUE"""),"")</f>
        <v/>
      </c>
      <c r="O5890" s="14"/>
    </row>
    <row r="5891" ht="22.5" hidden="1" customHeight="1">
      <c r="A5891" s="8">
        <v>46250.400852210645</v>
      </c>
      <c r="B5891" s="14">
        <v>46250.0</v>
      </c>
      <c r="C5891" s="9" t="s">
        <v>58</v>
      </c>
      <c r="D5891" s="9" t="s">
        <v>210</v>
      </c>
      <c r="E5891" s="9" t="s">
        <v>30</v>
      </c>
      <c r="F5891" s="9" t="s">
        <v>43</v>
      </c>
      <c r="G5891" s="9">
        <v>7.0</v>
      </c>
      <c r="H5891" s="9" t="s">
        <v>22</v>
      </c>
      <c r="I5891" s="9" t="s">
        <v>20</v>
      </c>
      <c r="J5891" s="16">
        <v>1.0</v>
      </c>
      <c r="K5891" s="14" t="s">
        <v>398</v>
      </c>
      <c r="N5891" s="14" t="str">
        <f>IFERROR(__xludf.DUMMYFUNCTION("""COMPUTED_VALUE"""),"")</f>
        <v/>
      </c>
      <c r="O5891" s="14"/>
    </row>
    <row r="5892" ht="22.5" hidden="1" customHeight="1">
      <c r="A5892" s="8">
        <v>46250.492441678245</v>
      </c>
      <c r="B5892" s="14">
        <v>46250.0</v>
      </c>
      <c r="C5892" s="9" t="s">
        <v>58</v>
      </c>
      <c r="D5892" s="9" t="s">
        <v>335</v>
      </c>
      <c r="E5892" s="9" t="s">
        <v>30</v>
      </c>
      <c r="F5892" s="9" t="s">
        <v>18</v>
      </c>
      <c r="G5892" s="9" t="s">
        <v>409</v>
      </c>
      <c r="H5892" s="9" t="s">
        <v>22</v>
      </c>
      <c r="I5892" s="9" t="s">
        <v>20</v>
      </c>
      <c r="J5892" s="16">
        <v>0.8</v>
      </c>
      <c r="K5892" s="14" t="s">
        <v>398</v>
      </c>
      <c r="N5892" s="14" t="str">
        <f>IFERROR(__xludf.DUMMYFUNCTION("""COMPUTED_VALUE"""),"")</f>
        <v/>
      </c>
      <c r="O5892" s="14"/>
    </row>
    <row r="5893" ht="22.5" hidden="1" customHeight="1">
      <c r="A5893" s="8">
        <v>46250.49330800926</v>
      </c>
      <c r="B5893" s="14">
        <v>46250.0</v>
      </c>
      <c r="C5893" s="9" t="s">
        <v>58</v>
      </c>
      <c r="D5893" s="9" t="s">
        <v>414</v>
      </c>
      <c r="E5893" s="9" t="s">
        <v>30</v>
      </c>
      <c r="F5893" s="9" t="s">
        <v>35</v>
      </c>
      <c r="G5893" s="9" t="s">
        <v>409</v>
      </c>
      <c r="H5893" s="9" t="s">
        <v>22</v>
      </c>
      <c r="I5893" s="9" t="s">
        <v>20</v>
      </c>
      <c r="J5893" s="16">
        <v>0.8</v>
      </c>
      <c r="K5893" s="14" t="s">
        <v>398</v>
      </c>
      <c r="N5893" s="14" t="str">
        <f>IFERROR(__xludf.DUMMYFUNCTION("""COMPUTED_VALUE"""),"")</f>
        <v/>
      </c>
      <c r="O5893" s="14"/>
    </row>
    <row r="5894" ht="22.5" hidden="1" customHeight="1">
      <c r="A5894" s="8">
        <v>46252.345375613426</v>
      </c>
      <c r="B5894" s="14">
        <v>46252.0</v>
      </c>
      <c r="C5894" s="9" t="s">
        <v>110</v>
      </c>
      <c r="D5894" s="9" t="s">
        <v>105</v>
      </c>
      <c r="E5894" s="9" t="s">
        <v>17</v>
      </c>
      <c r="F5894" s="9" t="s">
        <v>17</v>
      </c>
      <c r="G5894" s="9">
        <v>8.0</v>
      </c>
      <c r="H5894" s="9" t="s">
        <v>22</v>
      </c>
      <c r="I5894" s="9" t="s">
        <v>20</v>
      </c>
      <c r="J5894" s="16">
        <v>0.8</v>
      </c>
      <c r="K5894" s="14" t="s">
        <v>398</v>
      </c>
      <c r="N5894" s="14" t="str">
        <f>IFERROR(__xludf.DUMMYFUNCTION("""COMPUTED_VALUE"""),"")</f>
        <v/>
      </c>
      <c r="O5894" s="14"/>
    </row>
    <row r="5895" ht="22.5" hidden="1" customHeight="1">
      <c r="A5895" s="8">
        <v>46252.34602575231</v>
      </c>
      <c r="B5895" s="14">
        <v>46252.0</v>
      </c>
      <c r="C5895" s="9" t="s">
        <v>110</v>
      </c>
      <c r="D5895" s="9" t="s">
        <v>177</v>
      </c>
      <c r="E5895" s="9" t="s">
        <v>17</v>
      </c>
      <c r="F5895" s="9" t="s">
        <v>17</v>
      </c>
      <c r="G5895" s="9">
        <v>7.0</v>
      </c>
      <c r="H5895" s="9" t="s">
        <v>22</v>
      </c>
      <c r="I5895" s="9" t="s">
        <v>20</v>
      </c>
      <c r="J5895" s="16">
        <v>0.8</v>
      </c>
      <c r="K5895" s="14" t="s">
        <v>398</v>
      </c>
      <c r="N5895" s="14" t="str">
        <f>IFERROR(__xludf.DUMMYFUNCTION("""COMPUTED_VALUE"""),"")</f>
        <v/>
      </c>
      <c r="O5895" s="14"/>
    </row>
    <row r="5896" ht="22.5" hidden="1" customHeight="1">
      <c r="A5896" s="8">
        <v>46252.34730898148</v>
      </c>
      <c r="B5896" s="14">
        <v>46252.0</v>
      </c>
      <c r="C5896" s="9" t="s">
        <v>110</v>
      </c>
      <c r="D5896" s="9" t="s">
        <v>350</v>
      </c>
      <c r="E5896" s="9" t="s">
        <v>17</v>
      </c>
      <c r="F5896" s="9" t="s">
        <v>17</v>
      </c>
      <c r="G5896" s="9">
        <v>8.0</v>
      </c>
      <c r="H5896" s="9" t="s">
        <v>22</v>
      </c>
      <c r="I5896" s="9" t="s">
        <v>20</v>
      </c>
      <c r="J5896" s="16">
        <v>1.0</v>
      </c>
      <c r="K5896" s="14" t="s">
        <v>398</v>
      </c>
      <c r="N5896" s="14" t="str">
        <f>IFERROR(__xludf.DUMMYFUNCTION("""COMPUTED_VALUE"""),"")</f>
        <v/>
      </c>
      <c r="O5896" s="14"/>
    </row>
    <row r="5897" ht="22.5" hidden="1" customHeight="1">
      <c r="A5897" s="8">
        <v>46252.34904465278</v>
      </c>
      <c r="B5897" s="14">
        <v>46252.0</v>
      </c>
      <c r="C5897" s="9" t="s">
        <v>110</v>
      </c>
      <c r="D5897" s="9" t="s">
        <v>171</v>
      </c>
      <c r="E5897" s="9" t="s">
        <v>17</v>
      </c>
      <c r="F5897" s="9" t="s">
        <v>43</v>
      </c>
      <c r="G5897" s="9">
        <v>8.0</v>
      </c>
      <c r="H5897" s="9" t="s">
        <v>17</v>
      </c>
      <c r="I5897" s="9" t="s">
        <v>20</v>
      </c>
      <c r="J5897" s="16">
        <v>1.0</v>
      </c>
      <c r="K5897" s="14" t="s">
        <v>398</v>
      </c>
      <c r="N5897" s="14" t="str">
        <f>IFERROR(__xludf.DUMMYFUNCTION("""COMPUTED_VALUE"""),"")</f>
        <v/>
      </c>
      <c r="O5897" s="14"/>
    </row>
    <row r="5898" ht="22.5" hidden="1" customHeight="1">
      <c r="A5898" s="8">
        <v>46252.35340288194</v>
      </c>
      <c r="B5898" s="14">
        <v>46252.0</v>
      </c>
      <c r="C5898" s="9" t="s">
        <v>110</v>
      </c>
      <c r="D5898" s="9" t="s">
        <v>469</v>
      </c>
      <c r="E5898" s="9" t="s">
        <v>61</v>
      </c>
      <c r="F5898" s="9" t="s">
        <v>60</v>
      </c>
      <c r="G5898" s="9">
        <v>7.0</v>
      </c>
      <c r="H5898" s="9" t="s">
        <v>25</v>
      </c>
      <c r="I5898" s="9" t="s">
        <v>218</v>
      </c>
      <c r="J5898" s="16">
        <v>0.8</v>
      </c>
      <c r="K5898" s="14" t="s">
        <v>398</v>
      </c>
      <c r="N5898" s="14" t="str">
        <f>IFERROR(__xludf.DUMMYFUNCTION("""COMPUTED_VALUE"""),"")</f>
        <v/>
      </c>
      <c r="O5898" s="14"/>
    </row>
    <row r="5899" ht="22.5" hidden="1" customHeight="1">
      <c r="A5899" s="8">
        <v>46252.35468230324</v>
      </c>
      <c r="B5899" s="14">
        <v>46252.0</v>
      </c>
      <c r="C5899" s="9" t="s">
        <v>110</v>
      </c>
      <c r="D5899" s="9" t="s">
        <v>257</v>
      </c>
      <c r="E5899" s="9" t="s">
        <v>30</v>
      </c>
      <c r="F5899" s="9" t="s">
        <v>17</v>
      </c>
      <c r="G5899" s="9">
        <v>7.0</v>
      </c>
      <c r="H5899" s="9" t="s">
        <v>22</v>
      </c>
      <c r="I5899" s="9" t="s">
        <v>20</v>
      </c>
      <c r="J5899" s="16">
        <v>1.0</v>
      </c>
      <c r="K5899" s="14" t="s">
        <v>398</v>
      </c>
      <c r="N5899" s="14" t="str">
        <f>IFERROR(__xludf.DUMMYFUNCTION("""COMPUTED_VALUE"""),"")</f>
        <v/>
      </c>
      <c r="O5899" s="14"/>
    </row>
    <row r="5900" ht="22.5" hidden="1" customHeight="1">
      <c r="A5900" s="8">
        <v>46252.35498886574</v>
      </c>
      <c r="B5900" s="14">
        <v>46252.0</v>
      </c>
      <c r="C5900" s="9" t="s">
        <v>110</v>
      </c>
      <c r="D5900" s="9" t="s">
        <v>395</v>
      </c>
      <c r="E5900" s="9" t="s">
        <v>17</v>
      </c>
      <c r="F5900" s="9" t="s">
        <v>17</v>
      </c>
      <c r="G5900" s="9">
        <v>7.0</v>
      </c>
      <c r="H5900" s="9" t="s">
        <v>22</v>
      </c>
      <c r="I5900" s="9" t="s">
        <v>20</v>
      </c>
      <c r="J5900" s="16">
        <v>0.8</v>
      </c>
      <c r="K5900" s="14" t="s">
        <v>398</v>
      </c>
      <c r="N5900" s="14" t="str">
        <f>IFERROR(__xludf.DUMMYFUNCTION("""COMPUTED_VALUE"""),"")</f>
        <v/>
      </c>
      <c r="O5900" s="14"/>
    </row>
    <row r="5901" ht="22.5" hidden="1" customHeight="1">
      <c r="A5901" s="8">
        <v>46252.355346296295</v>
      </c>
      <c r="B5901" s="14">
        <v>46252.0</v>
      </c>
      <c r="C5901" s="9" t="s">
        <v>110</v>
      </c>
      <c r="D5901" s="9" t="s">
        <v>441</v>
      </c>
      <c r="E5901" s="9" t="s">
        <v>17</v>
      </c>
      <c r="F5901" s="9" t="s">
        <v>17</v>
      </c>
      <c r="G5901" s="9" t="s">
        <v>410</v>
      </c>
      <c r="H5901" s="9" t="s">
        <v>22</v>
      </c>
      <c r="I5901" s="9" t="s">
        <v>20</v>
      </c>
      <c r="J5901" s="16">
        <v>1.0</v>
      </c>
      <c r="K5901" s="14" t="s">
        <v>398</v>
      </c>
      <c r="N5901" s="14" t="str">
        <f>IFERROR(__xludf.DUMMYFUNCTION("""COMPUTED_VALUE"""),"")</f>
        <v/>
      </c>
      <c r="O5901" s="14"/>
    </row>
    <row r="5902" ht="22.5" hidden="1" customHeight="1">
      <c r="A5902" s="8">
        <v>46252.356395462964</v>
      </c>
      <c r="B5902" s="14">
        <v>46252.0</v>
      </c>
      <c r="C5902" s="9" t="s">
        <v>110</v>
      </c>
      <c r="D5902" s="9" t="s">
        <v>414</v>
      </c>
      <c r="E5902" s="9" t="s">
        <v>17</v>
      </c>
      <c r="F5902" s="9" t="s">
        <v>17</v>
      </c>
      <c r="G5902" s="9">
        <v>7.0</v>
      </c>
      <c r="H5902" s="9" t="s">
        <v>22</v>
      </c>
      <c r="I5902" s="9" t="s">
        <v>20</v>
      </c>
      <c r="J5902" s="16">
        <v>0.8</v>
      </c>
      <c r="K5902" s="14" t="s">
        <v>398</v>
      </c>
      <c r="N5902" s="14" t="str">
        <f>IFERROR(__xludf.DUMMYFUNCTION("""COMPUTED_VALUE"""),"")</f>
        <v/>
      </c>
      <c r="O5902" s="14"/>
    </row>
    <row r="5903" ht="22.5" hidden="1" customHeight="1">
      <c r="A5903" s="8">
        <v>46252.35849074074</v>
      </c>
      <c r="B5903" s="14">
        <v>46252.0</v>
      </c>
      <c r="C5903" s="9" t="s">
        <v>110</v>
      </c>
      <c r="D5903" s="9" t="s">
        <v>367</v>
      </c>
      <c r="E5903" s="9" t="s">
        <v>46</v>
      </c>
      <c r="F5903" s="9" t="s">
        <v>17</v>
      </c>
      <c r="G5903" s="9">
        <v>7.0</v>
      </c>
      <c r="H5903" s="9" t="s">
        <v>17</v>
      </c>
      <c r="I5903" s="9" t="s">
        <v>20</v>
      </c>
      <c r="J5903" s="16">
        <v>0.6</v>
      </c>
      <c r="K5903" s="14" t="s">
        <v>398</v>
      </c>
      <c r="N5903" s="14" t="str">
        <f>IFERROR(__xludf.DUMMYFUNCTION("""COMPUTED_VALUE"""),"")</f>
        <v/>
      </c>
      <c r="O5903" s="14"/>
    </row>
    <row r="5904" ht="22.5" hidden="1" customHeight="1">
      <c r="A5904" s="8">
        <v>46252.36267002315</v>
      </c>
      <c r="B5904" s="14">
        <v>46252.0</v>
      </c>
      <c r="C5904" s="9" t="s">
        <v>110</v>
      </c>
      <c r="D5904" s="9" t="s">
        <v>259</v>
      </c>
      <c r="E5904" s="9" t="s">
        <v>17</v>
      </c>
      <c r="F5904" s="9" t="s">
        <v>17</v>
      </c>
      <c r="G5904" s="9">
        <v>8.0</v>
      </c>
      <c r="H5904" s="9" t="s">
        <v>17</v>
      </c>
      <c r="I5904" s="9" t="s">
        <v>20</v>
      </c>
      <c r="J5904" s="16">
        <v>0.8</v>
      </c>
      <c r="K5904" s="14" t="s">
        <v>398</v>
      </c>
      <c r="N5904" s="14" t="str">
        <f>IFERROR(__xludf.DUMMYFUNCTION("""COMPUTED_VALUE"""),"")</f>
        <v/>
      </c>
      <c r="O5904" s="14"/>
    </row>
    <row r="5905" ht="22.5" hidden="1" customHeight="1">
      <c r="A5905" s="8">
        <v>46252.36436537037</v>
      </c>
      <c r="B5905" s="14">
        <v>46252.0</v>
      </c>
      <c r="C5905" s="9" t="s">
        <v>110</v>
      </c>
      <c r="D5905" s="9" t="s">
        <v>393</v>
      </c>
      <c r="E5905" s="9" t="s">
        <v>17</v>
      </c>
      <c r="F5905" s="9" t="s">
        <v>17</v>
      </c>
      <c r="G5905" s="9">
        <v>7.0</v>
      </c>
      <c r="H5905" s="9" t="s">
        <v>25</v>
      </c>
      <c r="I5905" s="9" t="s">
        <v>240</v>
      </c>
      <c r="J5905" s="16">
        <v>0.8</v>
      </c>
      <c r="K5905" s="14" t="s">
        <v>398</v>
      </c>
      <c r="N5905" s="14" t="str">
        <f>IFERROR(__xludf.DUMMYFUNCTION("""COMPUTED_VALUE"""),"")</f>
        <v/>
      </c>
      <c r="O5905" s="14"/>
    </row>
    <row r="5906" ht="22.5" hidden="1" customHeight="1">
      <c r="A5906" s="8">
        <v>46252.36779071759</v>
      </c>
      <c r="B5906" s="14">
        <v>46252.0</v>
      </c>
      <c r="C5906" s="9" t="s">
        <v>110</v>
      </c>
      <c r="D5906" s="9" t="s">
        <v>475</v>
      </c>
      <c r="E5906" s="9" t="s">
        <v>17</v>
      </c>
      <c r="F5906" s="9" t="s">
        <v>17</v>
      </c>
      <c r="G5906" s="9">
        <v>8.0</v>
      </c>
      <c r="H5906" s="9" t="s">
        <v>22</v>
      </c>
      <c r="I5906" s="9" t="s">
        <v>20</v>
      </c>
      <c r="J5906" s="16">
        <v>0.8</v>
      </c>
      <c r="K5906" s="14" t="s">
        <v>398</v>
      </c>
      <c r="N5906" s="14" t="str">
        <f>IFERROR(__xludf.DUMMYFUNCTION("""COMPUTED_VALUE"""),"")</f>
        <v/>
      </c>
      <c r="O5906" s="14"/>
    </row>
    <row r="5907" ht="22.5" hidden="1" customHeight="1">
      <c r="A5907" s="8">
        <v>46252.3782246412</v>
      </c>
      <c r="B5907" s="14">
        <v>46252.0</v>
      </c>
      <c r="C5907" s="9" t="s">
        <v>110</v>
      </c>
      <c r="D5907" s="9" t="s">
        <v>442</v>
      </c>
      <c r="E5907" s="9" t="s">
        <v>17</v>
      </c>
      <c r="F5907" s="9" t="s">
        <v>17</v>
      </c>
      <c r="G5907" s="9">
        <v>8.0</v>
      </c>
      <c r="H5907" s="9" t="s">
        <v>22</v>
      </c>
      <c r="I5907" s="9" t="s">
        <v>20</v>
      </c>
      <c r="J5907" s="16">
        <v>0.8</v>
      </c>
      <c r="K5907" s="14" t="s">
        <v>398</v>
      </c>
      <c r="N5907" s="14" t="str">
        <f>IFERROR(__xludf.DUMMYFUNCTION("""COMPUTED_VALUE"""),"")</f>
        <v/>
      </c>
      <c r="O5907" s="14"/>
    </row>
    <row r="5908" ht="22.5" hidden="1" customHeight="1">
      <c r="A5908" s="8">
        <v>46252.37849322917</v>
      </c>
      <c r="B5908" s="14">
        <v>46252.0</v>
      </c>
      <c r="C5908" s="9" t="s">
        <v>110</v>
      </c>
      <c r="D5908" s="9" t="s">
        <v>413</v>
      </c>
      <c r="E5908" s="9" t="s">
        <v>17</v>
      </c>
      <c r="F5908" s="9" t="s">
        <v>17</v>
      </c>
      <c r="G5908" s="9">
        <v>8.0</v>
      </c>
      <c r="H5908" s="9" t="s">
        <v>22</v>
      </c>
      <c r="I5908" s="9" t="s">
        <v>20</v>
      </c>
      <c r="J5908" s="16">
        <v>0.8</v>
      </c>
      <c r="K5908" s="14" t="s">
        <v>398</v>
      </c>
      <c r="N5908" s="14" t="str">
        <f>IFERROR(__xludf.DUMMYFUNCTION("""COMPUTED_VALUE"""),"")</f>
        <v/>
      </c>
      <c r="O5908" s="14"/>
    </row>
    <row r="5909" ht="22.5" hidden="1" customHeight="1">
      <c r="A5909" s="8">
        <v>46252.378890949076</v>
      </c>
      <c r="B5909" s="14">
        <v>46252.0</v>
      </c>
      <c r="C5909" s="9" t="s">
        <v>110</v>
      </c>
      <c r="D5909" s="9" t="s">
        <v>174</v>
      </c>
      <c r="E5909" s="9" t="s">
        <v>44</v>
      </c>
      <c r="F5909" s="9" t="s">
        <v>35</v>
      </c>
      <c r="G5909" s="9">
        <v>7.0</v>
      </c>
      <c r="H5909" s="9" t="s">
        <v>22</v>
      </c>
      <c r="I5909" s="9" t="s">
        <v>20</v>
      </c>
      <c r="J5909" s="16">
        <v>0.8</v>
      </c>
      <c r="K5909" s="14" t="s">
        <v>398</v>
      </c>
      <c r="N5909" s="14" t="str">
        <f>IFERROR(__xludf.DUMMYFUNCTION("""COMPUTED_VALUE"""),"")</f>
        <v/>
      </c>
      <c r="O5909" s="14"/>
    </row>
    <row r="5910" ht="22.5" hidden="1" customHeight="1">
      <c r="A5910" s="8">
        <v>46252.379374131946</v>
      </c>
      <c r="B5910" s="14">
        <v>46252.0</v>
      </c>
      <c r="C5910" s="9" t="s">
        <v>110</v>
      </c>
      <c r="D5910" s="9" t="s">
        <v>394</v>
      </c>
      <c r="E5910" s="9" t="s">
        <v>44</v>
      </c>
      <c r="F5910" s="9" t="s">
        <v>17</v>
      </c>
      <c r="G5910" s="9">
        <v>7.0</v>
      </c>
      <c r="H5910" s="9" t="s">
        <v>22</v>
      </c>
      <c r="I5910" s="9" t="s">
        <v>20</v>
      </c>
      <c r="J5910" s="16">
        <v>1.0</v>
      </c>
      <c r="K5910" s="14" t="s">
        <v>398</v>
      </c>
      <c r="N5910" s="14" t="str">
        <f>IFERROR(__xludf.DUMMYFUNCTION("""COMPUTED_VALUE"""),"")</f>
        <v/>
      </c>
      <c r="O5910" s="14"/>
    </row>
    <row r="5911" ht="22.5" hidden="1" customHeight="1">
      <c r="A5911" s="8">
        <v>46252.381348055555</v>
      </c>
      <c r="B5911" s="14">
        <v>46252.0</v>
      </c>
      <c r="C5911" s="9" t="s">
        <v>110</v>
      </c>
      <c r="D5911" s="9" t="s">
        <v>396</v>
      </c>
      <c r="E5911" s="9" t="s">
        <v>17</v>
      </c>
      <c r="F5911" s="9" t="s">
        <v>17</v>
      </c>
      <c r="G5911" s="9">
        <v>8.0</v>
      </c>
      <c r="H5911" s="9" t="s">
        <v>17</v>
      </c>
      <c r="I5911" s="9" t="s">
        <v>20</v>
      </c>
      <c r="J5911" s="16">
        <v>0.8</v>
      </c>
      <c r="K5911" s="14" t="s">
        <v>398</v>
      </c>
      <c r="N5911" s="14" t="str">
        <f>IFERROR(__xludf.DUMMYFUNCTION("""COMPUTED_VALUE"""),"")</f>
        <v/>
      </c>
      <c r="O5911" s="14"/>
    </row>
    <row r="5912" ht="22.5" hidden="1" customHeight="1">
      <c r="A5912" s="8">
        <v>46252.382122407405</v>
      </c>
      <c r="B5912" s="14">
        <v>46252.0</v>
      </c>
      <c r="C5912" s="9" t="s">
        <v>110</v>
      </c>
      <c r="D5912" s="9" t="s">
        <v>335</v>
      </c>
      <c r="E5912" s="9" t="s">
        <v>17</v>
      </c>
      <c r="F5912" s="9" t="s">
        <v>17</v>
      </c>
      <c r="G5912" s="9">
        <v>7.0</v>
      </c>
      <c r="H5912" s="9" t="s">
        <v>22</v>
      </c>
      <c r="I5912" s="9" t="s">
        <v>20</v>
      </c>
      <c r="J5912" s="16">
        <v>1.0</v>
      </c>
      <c r="K5912" s="14" t="s">
        <v>398</v>
      </c>
      <c r="N5912" s="14" t="str">
        <f>IFERROR(__xludf.DUMMYFUNCTION("""COMPUTED_VALUE"""),"")</f>
        <v/>
      </c>
      <c r="O5912" s="14"/>
    </row>
    <row r="5913" ht="22.5" hidden="1" customHeight="1">
      <c r="A5913" s="8">
        <v>46252.38265652778</v>
      </c>
      <c r="B5913" s="14">
        <v>46252.0</v>
      </c>
      <c r="C5913" s="9" t="s">
        <v>110</v>
      </c>
      <c r="D5913" s="9" t="s">
        <v>247</v>
      </c>
      <c r="E5913" s="9" t="s">
        <v>17</v>
      </c>
      <c r="F5913" s="9" t="s">
        <v>17</v>
      </c>
      <c r="G5913" s="9" t="s">
        <v>410</v>
      </c>
      <c r="H5913" s="9" t="s">
        <v>22</v>
      </c>
      <c r="I5913" s="9" t="s">
        <v>20</v>
      </c>
      <c r="J5913" s="16">
        <v>0.8</v>
      </c>
      <c r="K5913" s="14" t="s">
        <v>398</v>
      </c>
      <c r="N5913" s="14" t="str">
        <f>IFERROR(__xludf.DUMMYFUNCTION("""COMPUTED_VALUE"""),"")</f>
        <v/>
      </c>
      <c r="O5913" s="14"/>
    </row>
    <row r="5914" ht="22.5" hidden="1" customHeight="1">
      <c r="A5914" s="8">
        <v>46252.38296445602</v>
      </c>
      <c r="B5914" s="14">
        <v>46252.0</v>
      </c>
      <c r="C5914" s="9" t="s">
        <v>110</v>
      </c>
      <c r="D5914" s="9" t="s">
        <v>249</v>
      </c>
      <c r="E5914" s="9" t="s">
        <v>140</v>
      </c>
      <c r="F5914" s="9" t="s">
        <v>17</v>
      </c>
      <c r="G5914" s="9">
        <v>7.0</v>
      </c>
      <c r="H5914" s="9" t="s">
        <v>22</v>
      </c>
      <c r="I5914" s="9" t="s">
        <v>20</v>
      </c>
      <c r="J5914" s="16">
        <v>0.4</v>
      </c>
      <c r="K5914" s="14" t="s">
        <v>398</v>
      </c>
      <c r="N5914" s="14" t="str">
        <f>IFERROR(__xludf.DUMMYFUNCTION("""COMPUTED_VALUE"""),"")</f>
        <v/>
      </c>
      <c r="O5914" s="14"/>
    </row>
    <row r="5915" ht="22.5" hidden="1" customHeight="1">
      <c r="A5915" s="8">
        <v>46252.38590920139</v>
      </c>
      <c r="B5915" s="14">
        <v>46252.0</v>
      </c>
      <c r="C5915" s="9" t="s">
        <v>110</v>
      </c>
      <c r="D5915" s="9" t="s">
        <v>463</v>
      </c>
      <c r="E5915" s="9" t="s">
        <v>17</v>
      </c>
      <c r="F5915" s="9" t="s">
        <v>60</v>
      </c>
      <c r="G5915" s="9">
        <v>6.0</v>
      </c>
      <c r="H5915" s="9" t="s">
        <v>17</v>
      </c>
      <c r="I5915" s="9" t="s">
        <v>20</v>
      </c>
      <c r="J5915" s="16">
        <v>0.8</v>
      </c>
      <c r="K5915" s="14" t="s">
        <v>398</v>
      </c>
      <c r="N5915" s="14" t="str">
        <f>IFERROR(__xludf.DUMMYFUNCTION("""COMPUTED_VALUE"""),"")</f>
        <v/>
      </c>
      <c r="O5915" s="14"/>
    </row>
    <row r="5916" ht="22.5" hidden="1" customHeight="1">
      <c r="A5916" s="8">
        <v>46252.38666366898</v>
      </c>
      <c r="B5916" s="14">
        <v>46252.0</v>
      </c>
      <c r="C5916" s="9" t="s">
        <v>110</v>
      </c>
      <c r="D5916" s="9" t="s">
        <v>464</v>
      </c>
      <c r="E5916" s="9" t="s">
        <v>17</v>
      </c>
      <c r="F5916" s="9" t="s">
        <v>18</v>
      </c>
      <c r="G5916" s="9">
        <v>8.0</v>
      </c>
      <c r="H5916" s="9" t="s">
        <v>17</v>
      </c>
      <c r="I5916" s="9" t="s">
        <v>20</v>
      </c>
      <c r="J5916" s="16">
        <v>0.8</v>
      </c>
      <c r="K5916" s="14" t="s">
        <v>398</v>
      </c>
      <c r="N5916" s="14" t="str">
        <f>IFERROR(__xludf.DUMMYFUNCTION("""COMPUTED_VALUE"""),"")</f>
        <v/>
      </c>
      <c r="O5916" s="14"/>
    </row>
    <row r="5917" ht="22.5" hidden="1" customHeight="1">
      <c r="A5917" s="8">
        <v>46252.387375046295</v>
      </c>
      <c r="B5917" s="14">
        <v>46252.0</v>
      </c>
      <c r="C5917" s="9" t="s">
        <v>110</v>
      </c>
      <c r="D5917" s="9" t="s">
        <v>457</v>
      </c>
      <c r="E5917" s="9" t="s">
        <v>17</v>
      </c>
      <c r="F5917" s="9" t="s">
        <v>77</v>
      </c>
      <c r="G5917" s="9">
        <v>7.0</v>
      </c>
      <c r="H5917" s="9" t="s">
        <v>17</v>
      </c>
      <c r="I5917" s="9" t="s">
        <v>20</v>
      </c>
      <c r="J5917" s="16">
        <v>0.8</v>
      </c>
      <c r="K5917" s="14" t="s">
        <v>398</v>
      </c>
      <c r="N5917" s="14" t="str">
        <f>IFERROR(__xludf.DUMMYFUNCTION("""COMPUTED_VALUE"""),"")</f>
        <v/>
      </c>
      <c r="O5917" s="14"/>
    </row>
    <row r="5918" ht="22.5" hidden="1" customHeight="1">
      <c r="A5918" s="8">
        <v>46252.389456006946</v>
      </c>
      <c r="B5918" s="14">
        <v>46252.0</v>
      </c>
      <c r="C5918" s="9" t="s">
        <v>110</v>
      </c>
      <c r="D5918" s="9" t="s">
        <v>357</v>
      </c>
      <c r="E5918" s="9" t="s">
        <v>17</v>
      </c>
      <c r="F5918" s="9" t="s">
        <v>17</v>
      </c>
      <c r="G5918" s="9">
        <v>7.0</v>
      </c>
      <c r="H5918" s="9" t="s">
        <v>22</v>
      </c>
      <c r="I5918" s="9" t="s">
        <v>20</v>
      </c>
      <c r="J5918" s="16">
        <v>0.6</v>
      </c>
      <c r="K5918" s="14" t="s">
        <v>398</v>
      </c>
      <c r="N5918" s="14" t="str">
        <f>IFERROR(__xludf.DUMMYFUNCTION("""COMPUTED_VALUE"""),"")</f>
        <v/>
      </c>
      <c r="O5918" s="14"/>
    </row>
    <row r="5919" ht="22.5" hidden="1" customHeight="1">
      <c r="A5919" s="8">
        <v>46252.390001481486</v>
      </c>
      <c r="B5919" s="14">
        <v>46252.0</v>
      </c>
      <c r="C5919" s="9" t="s">
        <v>110</v>
      </c>
      <c r="D5919" s="9" t="s">
        <v>178</v>
      </c>
      <c r="E5919" s="9" t="s">
        <v>30</v>
      </c>
      <c r="F5919" s="9" t="s">
        <v>43</v>
      </c>
      <c r="G5919" s="9">
        <v>7.0</v>
      </c>
      <c r="H5919" s="9" t="s">
        <v>22</v>
      </c>
      <c r="I5919" s="9" t="s">
        <v>20</v>
      </c>
      <c r="J5919" s="16">
        <v>1.0</v>
      </c>
      <c r="K5919" s="14" t="s">
        <v>398</v>
      </c>
      <c r="N5919" s="14" t="str">
        <f>IFERROR(__xludf.DUMMYFUNCTION("""COMPUTED_VALUE"""),"")</f>
        <v/>
      </c>
      <c r="O5919" s="14"/>
    </row>
    <row r="5920" ht="22.5" hidden="1" customHeight="1">
      <c r="A5920" s="8">
        <v>46252.39021466435</v>
      </c>
      <c r="B5920" s="14">
        <v>46252.0</v>
      </c>
      <c r="C5920" s="9" t="s">
        <v>110</v>
      </c>
      <c r="D5920" s="9" t="s">
        <v>460</v>
      </c>
      <c r="E5920" s="9" t="s">
        <v>17</v>
      </c>
      <c r="F5920" s="9" t="s">
        <v>18</v>
      </c>
      <c r="G5920" s="9">
        <v>7.0</v>
      </c>
      <c r="H5920" s="9" t="s">
        <v>25</v>
      </c>
      <c r="I5920" s="9" t="s">
        <v>26</v>
      </c>
      <c r="J5920" s="16">
        <v>0.8</v>
      </c>
      <c r="K5920" s="14" t="s">
        <v>398</v>
      </c>
      <c r="N5920" s="14" t="str">
        <f>IFERROR(__xludf.DUMMYFUNCTION("""COMPUTED_VALUE"""),"")</f>
        <v/>
      </c>
      <c r="O5920" s="14"/>
    </row>
    <row r="5921" ht="22.5" hidden="1" customHeight="1">
      <c r="A5921" s="8">
        <v>46252.393423692134</v>
      </c>
      <c r="B5921" s="14">
        <v>46252.0</v>
      </c>
      <c r="C5921" s="9" t="s">
        <v>110</v>
      </c>
      <c r="D5921" s="9" t="s">
        <v>369</v>
      </c>
      <c r="E5921" s="9" t="s">
        <v>17</v>
      </c>
      <c r="F5921" s="9" t="s">
        <v>17</v>
      </c>
      <c r="G5921" s="9">
        <v>7.0</v>
      </c>
      <c r="H5921" s="9" t="s">
        <v>22</v>
      </c>
      <c r="I5921" s="9" t="s">
        <v>20</v>
      </c>
      <c r="J5921" s="16">
        <v>0.8</v>
      </c>
      <c r="K5921" s="14" t="s">
        <v>398</v>
      </c>
      <c r="N5921" s="14" t="str">
        <f>IFERROR(__xludf.DUMMYFUNCTION("""COMPUTED_VALUE"""),"")</f>
        <v/>
      </c>
      <c r="O5921" s="14"/>
    </row>
    <row r="5922" ht="22.5" hidden="1" customHeight="1">
      <c r="A5922" s="8">
        <v>46252.395244803236</v>
      </c>
      <c r="B5922" s="14">
        <v>46252.0</v>
      </c>
      <c r="C5922" s="9" t="s">
        <v>110</v>
      </c>
      <c r="D5922" s="9" t="s">
        <v>210</v>
      </c>
      <c r="E5922" s="9" t="s">
        <v>17</v>
      </c>
      <c r="F5922" s="9" t="s">
        <v>17</v>
      </c>
      <c r="G5922" s="9">
        <v>6.0</v>
      </c>
      <c r="H5922" s="9" t="s">
        <v>22</v>
      </c>
      <c r="I5922" s="9" t="s">
        <v>20</v>
      </c>
      <c r="J5922" s="16">
        <v>0.6</v>
      </c>
      <c r="K5922" s="14" t="s">
        <v>398</v>
      </c>
      <c r="N5922" s="14" t="str">
        <f>IFERROR(__xludf.DUMMYFUNCTION("""COMPUTED_VALUE"""),"")</f>
        <v/>
      </c>
      <c r="O5922" s="14"/>
    </row>
    <row r="5923" ht="22.5" hidden="1" customHeight="1">
      <c r="A5923" s="8">
        <v>46253.34836546297</v>
      </c>
      <c r="B5923" s="14">
        <v>46253.0</v>
      </c>
      <c r="C5923" s="9" t="s">
        <v>15</v>
      </c>
      <c r="D5923" s="9" t="s">
        <v>395</v>
      </c>
      <c r="E5923" s="9" t="s">
        <v>17</v>
      </c>
      <c r="F5923" s="9" t="s">
        <v>17</v>
      </c>
      <c r="G5923" s="9">
        <v>7.0</v>
      </c>
      <c r="H5923" s="9" t="s">
        <v>22</v>
      </c>
      <c r="I5923" s="9" t="s">
        <v>20</v>
      </c>
      <c r="J5923" s="16">
        <v>0.8</v>
      </c>
      <c r="K5923" s="14" t="s">
        <v>398</v>
      </c>
      <c r="N5923" s="14" t="str">
        <f>IFERROR(__xludf.DUMMYFUNCTION("""COMPUTED_VALUE"""),"")</f>
        <v/>
      </c>
      <c r="O5923" s="14"/>
    </row>
    <row r="5924" ht="22.5" hidden="1" customHeight="1">
      <c r="A5924" s="8">
        <v>46253.348983171294</v>
      </c>
      <c r="B5924" s="14">
        <v>46253.0</v>
      </c>
      <c r="C5924" s="9" t="s">
        <v>15</v>
      </c>
      <c r="D5924" s="9" t="s">
        <v>249</v>
      </c>
      <c r="E5924" s="9" t="s">
        <v>44</v>
      </c>
      <c r="F5924" s="9" t="s">
        <v>18</v>
      </c>
      <c r="G5924" s="9">
        <v>7.0</v>
      </c>
      <c r="H5924" s="9" t="s">
        <v>22</v>
      </c>
      <c r="I5924" s="9" t="s">
        <v>20</v>
      </c>
      <c r="J5924" s="16">
        <v>0.8</v>
      </c>
      <c r="K5924" s="14" t="s">
        <v>398</v>
      </c>
      <c r="N5924" s="14" t="str">
        <f>IFERROR(__xludf.DUMMYFUNCTION("""COMPUTED_VALUE"""),"")</f>
        <v/>
      </c>
      <c r="O5924" s="14"/>
    </row>
    <row r="5925" ht="22.5" hidden="1" customHeight="1">
      <c r="A5925" s="8">
        <v>46253.34929571759</v>
      </c>
      <c r="B5925" s="14">
        <v>46253.0</v>
      </c>
      <c r="C5925" s="9" t="s">
        <v>15</v>
      </c>
      <c r="D5925" s="9" t="s">
        <v>174</v>
      </c>
      <c r="E5925" s="9" t="s">
        <v>17</v>
      </c>
      <c r="F5925" s="9" t="s">
        <v>17</v>
      </c>
      <c r="G5925" s="9">
        <v>7.0</v>
      </c>
      <c r="H5925" s="9" t="s">
        <v>22</v>
      </c>
      <c r="I5925" s="9" t="s">
        <v>20</v>
      </c>
      <c r="J5925" s="16">
        <v>0.8</v>
      </c>
      <c r="K5925" s="14" t="s">
        <v>398</v>
      </c>
      <c r="N5925" s="14" t="str">
        <f>IFERROR(__xludf.DUMMYFUNCTION("""COMPUTED_VALUE"""),"")</f>
        <v/>
      </c>
      <c r="O5925" s="14"/>
    </row>
    <row r="5926" ht="22.5" hidden="1" customHeight="1">
      <c r="A5926" s="8">
        <v>46253.349695902776</v>
      </c>
      <c r="B5926" s="14">
        <v>46253.0</v>
      </c>
      <c r="C5926" s="9" t="s">
        <v>15</v>
      </c>
      <c r="D5926" s="9" t="s">
        <v>105</v>
      </c>
      <c r="E5926" s="9" t="s">
        <v>17</v>
      </c>
      <c r="F5926" s="9" t="s">
        <v>17</v>
      </c>
      <c r="G5926" s="9">
        <v>7.0</v>
      </c>
      <c r="H5926" s="9" t="s">
        <v>22</v>
      </c>
      <c r="I5926" s="9" t="s">
        <v>20</v>
      </c>
      <c r="J5926" s="16">
        <v>0.8</v>
      </c>
      <c r="K5926" s="14" t="s">
        <v>398</v>
      </c>
      <c r="N5926" s="14" t="str">
        <f>IFERROR(__xludf.DUMMYFUNCTION("""COMPUTED_VALUE"""),"")</f>
        <v/>
      </c>
      <c r="O5926" s="14"/>
    </row>
    <row r="5927" ht="22.5" hidden="1" customHeight="1">
      <c r="A5927" s="8">
        <v>46253.365255509256</v>
      </c>
      <c r="B5927" s="14">
        <v>46253.0</v>
      </c>
      <c r="C5927" s="9" t="s">
        <v>15</v>
      </c>
      <c r="D5927" s="9" t="s">
        <v>463</v>
      </c>
      <c r="E5927" s="9" t="s">
        <v>46</v>
      </c>
      <c r="F5927" s="9" t="s">
        <v>17</v>
      </c>
      <c r="G5927" s="9">
        <v>7.0</v>
      </c>
      <c r="H5927" s="9" t="s">
        <v>17</v>
      </c>
      <c r="I5927" s="9" t="s">
        <v>20</v>
      </c>
      <c r="J5927" s="16">
        <v>0.8</v>
      </c>
      <c r="K5927" s="14" t="s">
        <v>398</v>
      </c>
      <c r="N5927" s="14" t="str">
        <f>IFERROR(__xludf.DUMMYFUNCTION("""COMPUTED_VALUE"""),"")</f>
        <v/>
      </c>
      <c r="O5927" s="14"/>
    </row>
    <row r="5928" ht="22.5" hidden="1" customHeight="1">
      <c r="A5928" s="8">
        <v>46253.36590991898</v>
      </c>
      <c r="B5928" s="14">
        <v>46253.0</v>
      </c>
      <c r="C5928" s="9" t="s">
        <v>15</v>
      </c>
      <c r="D5928" s="9" t="s">
        <v>457</v>
      </c>
      <c r="E5928" s="9" t="s">
        <v>17</v>
      </c>
      <c r="F5928" s="9" t="s">
        <v>17</v>
      </c>
      <c r="G5928" s="9">
        <v>7.0</v>
      </c>
      <c r="H5928" s="9" t="s">
        <v>17</v>
      </c>
      <c r="I5928" s="9" t="s">
        <v>20</v>
      </c>
      <c r="J5928" s="16">
        <v>0.8</v>
      </c>
      <c r="K5928" s="14" t="s">
        <v>398</v>
      </c>
      <c r="N5928" s="14" t="str">
        <f>IFERROR(__xludf.DUMMYFUNCTION("""COMPUTED_VALUE"""),"")</f>
        <v/>
      </c>
      <c r="O5928" s="14"/>
    </row>
    <row r="5929" ht="22.5" hidden="1" customHeight="1">
      <c r="A5929" s="8">
        <v>46253.366501979166</v>
      </c>
      <c r="B5929" s="14">
        <v>46253.0</v>
      </c>
      <c r="C5929" s="9" t="s">
        <v>15</v>
      </c>
      <c r="D5929" s="9" t="s">
        <v>460</v>
      </c>
      <c r="E5929" s="9" t="s">
        <v>17</v>
      </c>
      <c r="F5929" s="9" t="s">
        <v>17</v>
      </c>
      <c r="G5929" s="9">
        <v>7.0</v>
      </c>
      <c r="H5929" s="9" t="s">
        <v>25</v>
      </c>
      <c r="I5929" s="9" t="s">
        <v>67</v>
      </c>
      <c r="J5929" s="16">
        <v>0.8</v>
      </c>
      <c r="K5929" s="14" t="s">
        <v>398</v>
      </c>
      <c r="N5929" s="14" t="str">
        <f>IFERROR(__xludf.DUMMYFUNCTION("""COMPUTED_VALUE"""),"")</f>
        <v/>
      </c>
      <c r="O5929" s="14"/>
    </row>
    <row r="5930" ht="22.5" hidden="1" customHeight="1">
      <c r="A5930" s="8">
        <v>46253.36684458333</v>
      </c>
      <c r="B5930" s="14">
        <v>46253.0</v>
      </c>
      <c r="C5930" s="9" t="s">
        <v>15</v>
      </c>
      <c r="D5930" s="9" t="s">
        <v>464</v>
      </c>
      <c r="E5930" s="9" t="s">
        <v>17</v>
      </c>
      <c r="F5930" s="9" t="s">
        <v>17</v>
      </c>
      <c r="G5930" s="9">
        <v>8.0</v>
      </c>
      <c r="H5930" s="9" t="s">
        <v>17</v>
      </c>
      <c r="I5930" s="9" t="s">
        <v>20</v>
      </c>
      <c r="J5930" s="16">
        <v>0.8</v>
      </c>
      <c r="K5930" s="14" t="s">
        <v>398</v>
      </c>
      <c r="N5930" s="14" t="str">
        <f>IFERROR(__xludf.DUMMYFUNCTION("""COMPUTED_VALUE"""),"")</f>
        <v/>
      </c>
      <c r="O5930" s="14"/>
    </row>
    <row r="5931" ht="22.5" hidden="1" customHeight="1">
      <c r="A5931" s="8">
        <v>46253.36833693287</v>
      </c>
      <c r="B5931" s="14">
        <v>46253.0</v>
      </c>
      <c r="C5931" s="9" t="s">
        <v>15</v>
      </c>
      <c r="D5931" s="9" t="s">
        <v>257</v>
      </c>
      <c r="E5931" s="9" t="s">
        <v>17</v>
      </c>
      <c r="F5931" s="9" t="s">
        <v>17</v>
      </c>
      <c r="G5931" s="9">
        <v>7.0</v>
      </c>
      <c r="H5931" s="9" t="s">
        <v>17</v>
      </c>
      <c r="I5931" s="9" t="s">
        <v>20</v>
      </c>
      <c r="J5931" s="16">
        <v>0.8</v>
      </c>
      <c r="K5931" s="14" t="s">
        <v>398</v>
      </c>
      <c r="N5931" s="14" t="str">
        <f>IFERROR(__xludf.DUMMYFUNCTION("""COMPUTED_VALUE"""),"")</f>
        <v/>
      </c>
      <c r="O5931" s="14"/>
    </row>
    <row r="5932" ht="22.5" hidden="1" customHeight="1">
      <c r="A5932" s="8">
        <v>46253.373522152775</v>
      </c>
      <c r="B5932" s="14">
        <v>46253.0</v>
      </c>
      <c r="C5932" s="9" t="s">
        <v>15</v>
      </c>
      <c r="D5932" s="9" t="s">
        <v>394</v>
      </c>
      <c r="E5932" s="9" t="s">
        <v>57</v>
      </c>
      <c r="F5932" s="9" t="s">
        <v>17</v>
      </c>
      <c r="G5932" s="9">
        <v>8.0</v>
      </c>
      <c r="H5932" s="9" t="s">
        <v>17</v>
      </c>
      <c r="I5932" s="9" t="s">
        <v>20</v>
      </c>
      <c r="J5932" s="16">
        <v>1.0</v>
      </c>
      <c r="K5932" s="14" t="s">
        <v>398</v>
      </c>
      <c r="N5932" s="14" t="str">
        <f>IFERROR(__xludf.DUMMYFUNCTION("""COMPUTED_VALUE"""),"")</f>
        <v/>
      </c>
      <c r="O5932" s="14"/>
    </row>
    <row r="5933" ht="22.5" hidden="1" customHeight="1">
      <c r="A5933" s="8">
        <v>46253.37467585648</v>
      </c>
      <c r="B5933" s="14">
        <v>46253.0</v>
      </c>
      <c r="C5933" s="9" t="s">
        <v>15</v>
      </c>
      <c r="D5933" s="9" t="s">
        <v>367</v>
      </c>
      <c r="E5933" s="9" t="s">
        <v>46</v>
      </c>
      <c r="F5933" s="9" t="s">
        <v>17</v>
      </c>
      <c r="G5933" s="9">
        <v>7.0</v>
      </c>
      <c r="H5933" s="9" t="s">
        <v>17</v>
      </c>
      <c r="I5933" s="9" t="s">
        <v>20</v>
      </c>
      <c r="J5933" s="16">
        <v>0.8</v>
      </c>
      <c r="K5933" s="14" t="s">
        <v>398</v>
      </c>
      <c r="N5933" s="14" t="str">
        <f>IFERROR(__xludf.DUMMYFUNCTION("""COMPUTED_VALUE"""),"")</f>
        <v/>
      </c>
      <c r="O5933" s="14"/>
    </row>
    <row r="5934" ht="22.5" hidden="1" customHeight="1">
      <c r="A5934" s="8">
        <v>46253.375922175925</v>
      </c>
      <c r="B5934" s="14">
        <v>46253.0</v>
      </c>
      <c r="C5934" s="9" t="s">
        <v>15</v>
      </c>
      <c r="D5934" s="9" t="s">
        <v>175</v>
      </c>
      <c r="E5934" s="9" t="s">
        <v>17</v>
      </c>
      <c r="F5934" s="9" t="s">
        <v>17</v>
      </c>
      <c r="G5934" s="9">
        <v>7.0</v>
      </c>
      <c r="H5934" s="9" t="s">
        <v>25</v>
      </c>
      <c r="I5934" s="9" t="s">
        <v>89</v>
      </c>
      <c r="J5934" s="16">
        <v>0.8</v>
      </c>
      <c r="K5934" s="14" t="s">
        <v>398</v>
      </c>
      <c r="N5934" s="14" t="str">
        <f>IFERROR(__xludf.DUMMYFUNCTION("""COMPUTED_VALUE"""),"")</f>
        <v/>
      </c>
      <c r="O5934" s="14"/>
    </row>
    <row r="5935" ht="22.5" hidden="1" customHeight="1">
      <c r="A5935" s="8">
        <v>46253.376544432875</v>
      </c>
      <c r="B5935" s="14">
        <v>46253.0</v>
      </c>
      <c r="C5935" s="9" t="s">
        <v>15</v>
      </c>
      <c r="D5935" s="9" t="s">
        <v>475</v>
      </c>
      <c r="E5935" s="9" t="s">
        <v>17</v>
      </c>
      <c r="F5935" s="9" t="s">
        <v>17</v>
      </c>
      <c r="G5935" s="9">
        <v>8.0</v>
      </c>
      <c r="H5935" s="9" t="s">
        <v>22</v>
      </c>
      <c r="I5935" s="9" t="s">
        <v>20</v>
      </c>
      <c r="J5935" s="16">
        <v>0.8</v>
      </c>
      <c r="K5935" s="14" t="s">
        <v>398</v>
      </c>
      <c r="N5935" s="14" t="str">
        <f>IFERROR(__xludf.DUMMYFUNCTION("""COMPUTED_VALUE"""),"")</f>
        <v/>
      </c>
      <c r="O5935" s="14"/>
    </row>
    <row r="5936" ht="22.5" hidden="1" customHeight="1">
      <c r="A5936" s="8">
        <v>46253.37686744213</v>
      </c>
      <c r="B5936" s="14">
        <v>46253.0</v>
      </c>
      <c r="C5936" s="9" t="s">
        <v>15</v>
      </c>
      <c r="D5936" s="9" t="s">
        <v>177</v>
      </c>
      <c r="E5936" s="9" t="s">
        <v>17</v>
      </c>
      <c r="F5936" s="9" t="s">
        <v>17</v>
      </c>
      <c r="G5936" s="9">
        <v>7.0</v>
      </c>
      <c r="H5936" s="9" t="s">
        <v>22</v>
      </c>
      <c r="I5936" s="9" t="s">
        <v>20</v>
      </c>
      <c r="J5936" s="16">
        <v>0.8</v>
      </c>
      <c r="K5936" s="14" t="s">
        <v>398</v>
      </c>
      <c r="N5936" s="14" t="str">
        <f>IFERROR(__xludf.DUMMYFUNCTION("""COMPUTED_VALUE"""),"")</f>
        <v/>
      </c>
      <c r="O5936" s="14"/>
    </row>
    <row r="5937" ht="22.5" hidden="1" customHeight="1">
      <c r="A5937" s="8">
        <v>46253.37764715278</v>
      </c>
      <c r="B5937" s="14">
        <v>46253.0</v>
      </c>
      <c r="C5937" s="9" t="s">
        <v>15</v>
      </c>
      <c r="D5937" s="9" t="s">
        <v>247</v>
      </c>
      <c r="E5937" s="9" t="s">
        <v>17</v>
      </c>
      <c r="F5937" s="9" t="s">
        <v>17</v>
      </c>
      <c r="G5937" s="9">
        <v>7.0</v>
      </c>
      <c r="H5937" s="9" t="s">
        <v>22</v>
      </c>
      <c r="I5937" s="9" t="s">
        <v>20</v>
      </c>
      <c r="J5937" s="16">
        <v>0.6</v>
      </c>
      <c r="K5937" s="14" t="s">
        <v>398</v>
      </c>
      <c r="N5937" s="14" t="str">
        <f>IFERROR(__xludf.DUMMYFUNCTION("""COMPUTED_VALUE"""),"")</f>
        <v/>
      </c>
      <c r="O5937" s="14"/>
    </row>
    <row r="5938" ht="22.5" hidden="1" customHeight="1">
      <c r="A5938" s="8">
        <v>46253.37840292824</v>
      </c>
      <c r="B5938" s="14">
        <v>46253.0</v>
      </c>
      <c r="C5938" s="9" t="s">
        <v>15</v>
      </c>
      <c r="D5938" s="9" t="s">
        <v>357</v>
      </c>
      <c r="E5938" s="9" t="s">
        <v>46</v>
      </c>
      <c r="F5938" s="9" t="s">
        <v>17</v>
      </c>
      <c r="G5938" s="9">
        <v>7.0</v>
      </c>
      <c r="H5938" s="9" t="s">
        <v>25</v>
      </c>
      <c r="I5938" s="9" t="s">
        <v>248</v>
      </c>
      <c r="J5938" s="16">
        <v>0.6</v>
      </c>
      <c r="K5938" s="14" t="s">
        <v>398</v>
      </c>
      <c r="N5938" s="14" t="str">
        <f>IFERROR(__xludf.DUMMYFUNCTION("""COMPUTED_VALUE"""),"")</f>
        <v/>
      </c>
      <c r="O5938" s="14"/>
    </row>
    <row r="5939" ht="22.5" hidden="1" customHeight="1">
      <c r="A5939" s="8">
        <v>46253.379490543986</v>
      </c>
      <c r="B5939" s="14">
        <v>46253.0</v>
      </c>
      <c r="C5939" s="9" t="s">
        <v>15</v>
      </c>
      <c r="D5939" s="9" t="s">
        <v>369</v>
      </c>
      <c r="E5939" s="9" t="s">
        <v>17</v>
      </c>
      <c r="F5939" s="9" t="s">
        <v>17</v>
      </c>
      <c r="G5939" s="9">
        <v>7.0</v>
      </c>
      <c r="H5939" s="9" t="s">
        <v>22</v>
      </c>
      <c r="I5939" s="9" t="s">
        <v>20</v>
      </c>
      <c r="J5939" s="16">
        <v>0.8</v>
      </c>
      <c r="K5939" s="14" t="s">
        <v>398</v>
      </c>
      <c r="N5939" s="14" t="str">
        <f>IFERROR(__xludf.DUMMYFUNCTION("""COMPUTED_VALUE"""),"")</f>
        <v/>
      </c>
      <c r="O5939" s="14"/>
    </row>
    <row r="5940" ht="22.5" hidden="1" customHeight="1">
      <c r="A5940" s="8">
        <v>46253.379796504625</v>
      </c>
      <c r="B5940" s="14">
        <v>46253.0</v>
      </c>
      <c r="C5940" s="9" t="s">
        <v>15</v>
      </c>
      <c r="D5940" s="9" t="s">
        <v>442</v>
      </c>
      <c r="E5940" s="9" t="s">
        <v>17</v>
      </c>
      <c r="F5940" s="9" t="s">
        <v>17</v>
      </c>
      <c r="G5940" s="9">
        <v>7.0</v>
      </c>
      <c r="H5940" s="9" t="s">
        <v>22</v>
      </c>
      <c r="I5940" s="9" t="s">
        <v>20</v>
      </c>
      <c r="J5940" s="16">
        <v>0.8</v>
      </c>
      <c r="K5940" s="14" t="s">
        <v>398</v>
      </c>
      <c r="N5940" s="14" t="str">
        <f>IFERROR(__xludf.DUMMYFUNCTION("""COMPUTED_VALUE"""),"")</f>
        <v/>
      </c>
      <c r="O5940" s="14"/>
    </row>
    <row r="5941" ht="22.5" hidden="1" customHeight="1">
      <c r="A5941" s="8">
        <v>46253.380075023146</v>
      </c>
      <c r="B5941" s="14">
        <v>46253.0</v>
      </c>
      <c r="C5941" s="9" t="s">
        <v>15</v>
      </c>
      <c r="D5941" s="9" t="s">
        <v>413</v>
      </c>
      <c r="E5941" s="9" t="s">
        <v>17</v>
      </c>
      <c r="F5941" s="9" t="s">
        <v>17</v>
      </c>
      <c r="G5941" s="9">
        <v>7.0</v>
      </c>
      <c r="H5941" s="9" t="s">
        <v>22</v>
      </c>
      <c r="I5941" s="9" t="s">
        <v>20</v>
      </c>
      <c r="J5941" s="16">
        <v>0.8</v>
      </c>
      <c r="K5941" s="14" t="s">
        <v>398</v>
      </c>
      <c r="N5941" s="14" t="str">
        <f>IFERROR(__xludf.DUMMYFUNCTION("""COMPUTED_VALUE"""),"")</f>
        <v/>
      </c>
      <c r="O5941" s="14"/>
    </row>
    <row r="5942" ht="22.5" hidden="1" customHeight="1">
      <c r="A5942" s="8">
        <v>46253.380415231484</v>
      </c>
      <c r="B5942" s="14">
        <v>46253.0</v>
      </c>
      <c r="C5942" s="9" t="s">
        <v>15</v>
      </c>
      <c r="D5942" s="9" t="s">
        <v>469</v>
      </c>
      <c r="E5942" s="9" t="s">
        <v>17</v>
      </c>
      <c r="F5942" s="9" t="s">
        <v>17</v>
      </c>
      <c r="G5942" s="9">
        <v>8.0</v>
      </c>
      <c r="H5942" s="9" t="s">
        <v>22</v>
      </c>
      <c r="I5942" s="9" t="s">
        <v>20</v>
      </c>
      <c r="J5942" s="16">
        <v>1.0</v>
      </c>
      <c r="K5942" s="14" t="s">
        <v>398</v>
      </c>
      <c r="N5942" s="14" t="str">
        <f>IFERROR(__xludf.DUMMYFUNCTION("""COMPUTED_VALUE"""),"")</f>
        <v/>
      </c>
      <c r="O5942" s="14"/>
    </row>
    <row r="5943" ht="22.5" hidden="1" customHeight="1">
      <c r="A5943" s="8">
        <v>46254.34108748843</v>
      </c>
      <c r="B5943" s="14">
        <v>46254.0</v>
      </c>
      <c r="C5943" s="9" t="s">
        <v>31</v>
      </c>
      <c r="D5943" s="9" t="s">
        <v>171</v>
      </c>
      <c r="E5943" s="9" t="s">
        <v>44</v>
      </c>
      <c r="F5943" s="9" t="s">
        <v>43</v>
      </c>
      <c r="G5943" s="9">
        <v>8.0</v>
      </c>
      <c r="H5943" s="9" t="s">
        <v>17</v>
      </c>
      <c r="I5943" s="9" t="s">
        <v>20</v>
      </c>
      <c r="J5943" s="16">
        <v>1.0</v>
      </c>
      <c r="K5943" s="14" t="s">
        <v>398</v>
      </c>
      <c r="N5943" s="14" t="str">
        <f>IFERROR(__xludf.DUMMYFUNCTION("""COMPUTED_VALUE"""),"")</f>
        <v/>
      </c>
      <c r="O5943" s="14"/>
    </row>
    <row r="5944" ht="22.5" hidden="1" customHeight="1">
      <c r="A5944" s="8">
        <v>46254.342366805555</v>
      </c>
      <c r="B5944" s="14">
        <v>46254.0</v>
      </c>
      <c r="C5944" s="9" t="s">
        <v>31</v>
      </c>
      <c r="D5944" s="9" t="s">
        <v>357</v>
      </c>
      <c r="E5944" s="9" t="s">
        <v>17</v>
      </c>
      <c r="F5944" s="9" t="s">
        <v>17</v>
      </c>
      <c r="G5944" s="9">
        <v>7.0</v>
      </c>
      <c r="H5944" s="9" t="s">
        <v>17</v>
      </c>
      <c r="I5944" s="9" t="s">
        <v>20</v>
      </c>
      <c r="J5944" s="16">
        <v>0.8</v>
      </c>
      <c r="K5944" s="14" t="s">
        <v>398</v>
      </c>
      <c r="N5944" s="14" t="str">
        <f>IFERROR(__xludf.DUMMYFUNCTION("""COMPUTED_VALUE"""),"")</f>
        <v/>
      </c>
      <c r="O5944" s="14"/>
    </row>
    <row r="5945" ht="22.5" hidden="1" customHeight="1">
      <c r="A5945" s="8">
        <v>46254.34278880787</v>
      </c>
      <c r="B5945" s="14">
        <v>46254.0</v>
      </c>
      <c r="C5945" s="9" t="s">
        <v>31</v>
      </c>
      <c r="D5945" s="9" t="s">
        <v>257</v>
      </c>
      <c r="E5945" s="9" t="s">
        <v>17</v>
      </c>
      <c r="F5945" s="9" t="s">
        <v>17</v>
      </c>
      <c r="G5945" s="9">
        <v>8.0</v>
      </c>
      <c r="H5945" s="9" t="s">
        <v>17</v>
      </c>
      <c r="I5945" s="9" t="s">
        <v>20</v>
      </c>
      <c r="J5945" s="16">
        <v>1.0</v>
      </c>
      <c r="K5945" s="14" t="s">
        <v>398</v>
      </c>
      <c r="N5945" s="14" t="str">
        <f>IFERROR(__xludf.DUMMYFUNCTION("""COMPUTED_VALUE"""),"")</f>
        <v/>
      </c>
      <c r="O5945" s="14"/>
    </row>
    <row r="5946" ht="22.5" hidden="1" customHeight="1">
      <c r="A5946" s="8">
        <v>46254.34790331019</v>
      </c>
      <c r="B5946" s="14">
        <v>46254.0</v>
      </c>
      <c r="C5946" s="9" t="s">
        <v>31</v>
      </c>
      <c r="D5946" s="9" t="s">
        <v>247</v>
      </c>
      <c r="E5946" s="9" t="s">
        <v>17</v>
      </c>
      <c r="F5946" s="9" t="s">
        <v>17</v>
      </c>
      <c r="G5946" s="9">
        <v>7.0</v>
      </c>
      <c r="H5946" s="9" t="s">
        <v>22</v>
      </c>
      <c r="I5946" s="9" t="s">
        <v>20</v>
      </c>
      <c r="J5946" s="16">
        <v>0.6</v>
      </c>
      <c r="K5946" s="14" t="s">
        <v>398</v>
      </c>
      <c r="N5946" s="14" t="str">
        <f>IFERROR(__xludf.DUMMYFUNCTION("""COMPUTED_VALUE"""),"")</f>
        <v/>
      </c>
      <c r="O5946" s="14"/>
    </row>
    <row r="5947" ht="22.5" hidden="1" customHeight="1">
      <c r="A5947" s="8">
        <v>46254.348366527774</v>
      </c>
      <c r="B5947" s="14">
        <v>46254.0</v>
      </c>
      <c r="C5947" s="9" t="s">
        <v>31</v>
      </c>
      <c r="D5947" s="9" t="s">
        <v>394</v>
      </c>
      <c r="E5947" s="9" t="s">
        <v>17</v>
      </c>
      <c r="F5947" s="9" t="s">
        <v>17</v>
      </c>
      <c r="G5947" s="9">
        <v>7.0</v>
      </c>
      <c r="H5947" s="9" t="s">
        <v>22</v>
      </c>
      <c r="I5947" s="9" t="s">
        <v>20</v>
      </c>
      <c r="J5947" s="16">
        <v>1.0</v>
      </c>
      <c r="K5947" s="14" t="s">
        <v>398</v>
      </c>
      <c r="N5947" s="14" t="str">
        <f>IFERROR(__xludf.DUMMYFUNCTION("""COMPUTED_VALUE"""),"")</f>
        <v/>
      </c>
      <c r="O5947" s="14"/>
    </row>
    <row r="5948" ht="22.5" hidden="1" customHeight="1">
      <c r="A5948" s="8">
        <v>46254.34885628472</v>
      </c>
      <c r="B5948" s="14">
        <v>46254.0</v>
      </c>
      <c r="C5948" s="9" t="s">
        <v>31</v>
      </c>
      <c r="D5948" s="9" t="s">
        <v>469</v>
      </c>
      <c r="E5948" s="9" t="s">
        <v>17</v>
      </c>
      <c r="F5948" s="9" t="s">
        <v>18</v>
      </c>
      <c r="G5948" s="9">
        <v>8.0</v>
      </c>
      <c r="H5948" s="9" t="s">
        <v>22</v>
      </c>
      <c r="I5948" s="9" t="s">
        <v>20</v>
      </c>
      <c r="J5948" s="16">
        <v>1.0</v>
      </c>
      <c r="K5948" s="14" t="s">
        <v>398</v>
      </c>
      <c r="N5948" s="14" t="str">
        <f>IFERROR(__xludf.DUMMYFUNCTION("""COMPUTED_VALUE"""),"")</f>
        <v/>
      </c>
      <c r="O5948" s="14"/>
    </row>
    <row r="5949" ht="22.5" hidden="1" customHeight="1">
      <c r="A5949" s="8">
        <v>46254.34925550926</v>
      </c>
      <c r="B5949" s="14">
        <v>46254.0</v>
      </c>
      <c r="C5949" s="9" t="s">
        <v>31</v>
      </c>
      <c r="D5949" s="9" t="s">
        <v>178</v>
      </c>
      <c r="E5949" s="9" t="s">
        <v>46</v>
      </c>
      <c r="F5949" s="9" t="s">
        <v>17</v>
      </c>
      <c r="G5949" s="9">
        <v>6.0</v>
      </c>
      <c r="H5949" s="9" t="s">
        <v>25</v>
      </c>
      <c r="I5949" s="9" t="s">
        <v>93</v>
      </c>
      <c r="J5949" s="16">
        <v>0.8</v>
      </c>
      <c r="K5949" s="14" t="s">
        <v>398</v>
      </c>
      <c r="N5949" s="14" t="str">
        <f>IFERROR(__xludf.DUMMYFUNCTION("""COMPUTED_VALUE"""),"")</f>
        <v/>
      </c>
      <c r="O5949" s="14"/>
    </row>
    <row r="5950" ht="22.5" hidden="1" customHeight="1">
      <c r="A5950" s="8">
        <v>46254.35005263889</v>
      </c>
      <c r="B5950" s="14">
        <v>46254.0</v>
      </c>
      <c r="C5950" s="9" t="s">
        <v>31</v>
      </c>
      <c r="D5950" s="9" t="s">
        <v>441</v>
      </c>
      <c r="E5950" s="9" t="s">
        <v>61</v>
      </c>
      <c r="F5950" s="9" t="s">
        <v>17</v>
      </c>
      <c r="G5950" s="9" t="s">
        <v>410</v>
      </c>
      <c r="H5950" s="9" t="s">
        <v>25</v>
      </c>
      <c r="I5950" s="9" t="s">
        <v>20</v>
      </c>
      <c r="J5950" s="16">
        <v>0.4</v>
      </c>
      <c r="K5950" s="14" t="s">
        <v>398</v>
      </c>
      <c r="N5950" s="14" t="str">
        <f>IFERROR(__xludf.DUMMYFUNCTION("""COMPUTED_VALUE"""),"")</f>
        <v/>
      </c>
      <c r="O5950" s="14"/>
    </row>
    <row r="5951" ht="22.5" hidden="1" customHeight="1">
      <c r="A5951" s="8">
        <v>46254.35049545139</v>
      </c>
      <c r="B5951" s="14">
        <v>46254.0</v>
      </c>
      <c r="C5951" s="9" t="s">
        <v>31</v>
      </c>
      <c r="D5951" s="9" t="s">
        <v>174</v>
      </c>
      <c r="E5951" s="9" t="s">
        <v>17</v>
      </c>
      <c r="F5951" s="9" t="s">
        <v>17</v>
      </c>
      <c r="G5951" s="9">
        <v>7.0</v>
      </c>
      <c r="H5951" s="9" t="s">
        <v>22</v>
      </c>
      <c r="I5951" s="9" t="s">
        <v>20</v>
      </c>
      <c r="J5951" s="16">
        <v>1.0</v>
      </c>
      <c r="K5951" s="14" t="s">
        <v>398</v>
      </c>
      <c r="N5951" s="14" t="str">
        <f>IFERROR(__xludf.DUMMYFUNCTION("""COMPUTED_VALUE"""),"")</f>
        <v/>
      </c>
      <c r="O5951" s="14"/>
    </row>
    <row r="5952" ht="22.5" hidden="1" customHeight="1">
      <c r="A5952" s="8">
        <v>46254.35094775463</v>
      </c>
      <c r="B5952" s="14">
        <v>46254.0</v>
      </c>
      <c r="C5952" s="9" t="s">
        <v>31</v>
      </c>
      <c r="D5952" s="9" t="s">
        <v>475</v>
      </c>
      <c r="E5952" s="9" t="s">
        <v>17</v>
      </c>
      <c r="F5952" s="9" t="s">
        <v>17</v>
      </c>
      <c r="G5952" s="9">
        <v>8.0</v>
      </c>
      <c r="H5952" s="9" t="s">
        <v>22</v>
      </c>
      <c r="I5952" s="9" t="s">
        <v>20</v>
      </c>
      <c r="J5952" s="16">
        <v>0.8</v>
      </c>
      <c r="K5952" s="14" t="s">
        <v>398</v>
      </c>
      <c r="N5952" s="14" t="str">
        <f>IFERROR(__xludf.DUMMYFUNCTION("""COMPUTED_VALUE"""),"")</f>
        <v/>
      </c>
      <c r="O5952" s="14"/>
    </row>
    <row r="5953" ht="22.5" hidden="1" customHeight="1">
      <c r="A5953" s="8">
        <v>46254.35116597222</v>
      </c>
      <c r="B5953" s="14">
        <v>46254.0</v>
      </c>
      <c r="C5953" s="9" t="s">
        <v>31</v>
      </c>
      <c r="D5953" s="9" t="s">
        <v>105</v>
      </c>
      <c r="E5953" s="9" t="s">
        <v>17</v>
      </c>
      <c r="F5953" s="9" t="s">
        <v>17</v>
      </c>
      <c r="G5953" s="9">
        <v>8.0</v>
      </c>
      <c r="H5953" s="9" t="s">
        <v>22</v>
      </c>
      <c r="I5953" s="9" t="s">
        <v>20</v>
      </c>
      <c r="J5953" s="16">
        <v>0.8</v>
      </c>
      <c r="K5953" s="14" t="s">
        <v>398</v>
      </c>
      <c r="N5953" s="14" t="str">
        <f>IFERROR(__xludf.DUMMYFUNCTION("""COMPUTED_VALUE"""),"")</f>
        <v/>
      </c>
      <c r="O5953" s="14"/>
    </row>
    <row r="5954" ht="22.5" hidden="1" customHeight="1">
      <c r="A5954" s="8">
        <v>46254.35302972222</v>
      </c>
      <c r="B5954" s="14">
        <v>46254.0</v>
      </c>
      <c r="C5954" s="9" t="s">
        <v>31</v>
      </c>
      <c r="D5954" s="9" t="s">
        <v>367</v>
      </c>
      <c r="E5954" s="9" t="s">
        <v>140</v>
      </c>
      <c r="F5954" s="9" t="s">
        <v>60</v>
      </c>
      <c r="G5954" s="9">
        <v>6.0</v>
      </c>
      <c r="H5954" s="9" t="s">
        <v>62</v>
      </c>
      <c r="I5954" s="9" t="s">
        <v>20</v>
      </c>
      <c r="J5954" s="16">
        <v>0.6</v>
      </c>
      <c r="K5954" s="14" t="s">
        <v>398</v>
      </c>
      <c r="N5954" s="14" t="str">
        <f>IFERROR(__xludf.DUMMYFUNCTION("""COMPUTED_VALUE"""),"")</f>
        <v/>
      </c>
      <c r="O5954" s="14"/>
    </row>
    <row r="5955" ht="22.5" hidden="1" customHeight="1">
      <c r="A5955" s="8">
        <v>46254.35420584491</v>
      </c>
      <c r="B5955" s="14">
        <v>46254.0</v>
      </c>
      <c r="C5955" s="9" t="s">
        <v>31</v>
      </c>
      <c r="D5955" s="9" t="s">
        <v>464</v>
      </c>
      <c r="E5955" s="9" t="s">
        <v>17</v>
      </c>
      <c r="F5955" s="9" t="s">
        <v>17</v>
      </c>
      <c r="G5955" s="9">
        <v>8.0</v>
      </c>
      <c r="H5955" s="9" t="s">
        <v>17</v>
      </c>
      <c r="I5955" s="9" t="s">
        <v>20</v>
      </c>
      <c r="J5955" s="16">
        <v>0.8</v>
      </c>
      <c r="K5955" s="14" t="s">
        <v>398</v>
      </c>
      <c r="N5955" s="14" t="str">
        <f>IFERROR(__xludf.DUMMYFUNCTION("""COMPUTED_VALUE"""),"")</f>
        <v/>
      </c>
      <c r="O5955" s="14"/>
    </row>
    <row r="5956" ht="22.5" hidden="1" customHeight="1">
      <c r="A5956" s="8">
        <v>46254.35495429398</v>
      </c>
      <c r="B5956" s="14">
        <v>46254.0</v>
      </c>
      <c r="C5956" s="9" t="s">
        <v>31</v>
      </c>
      <c r="D5956" s="9" t="s">
        <v>460</v>
      </c>
      <c r="E5956" s="9" t="s">
        <v>17</v>
      </c>
      <c r="F5956" s="9" t="s">
        <v>17</v>
      </c>
      <c r="G5956" s="9">
        <v>6.0</v>
      </c>
      <c r="H5956" s="9" t="s">
        <v>17</v>
      </c>
      <c r="I5956" s="9" t="s">
        <v>67</v>
      </c>
      <c r="J5956" s="16">
        <v>0.8</v>
      </c>
      <c r="K5956" s="14" t="s">
        <v>398</v>
      </c>
      <c r="N5956" s="14" t="str">
        <f>IFERROR(__xludf.DUMMYFUNCTION("""COMPUTED_VALUE"""),"")</f>
        <v/>
      </c>
      <c r="O5956" s="14"/>
    </row>
    <row r="5957" ht="22.5" hidden="1" customHeight="1">
      <c r="A5957" s="8">
        <v>46254.355500034726</v>
      </c>
      <c r="B5957" s="14">
        <v>46254.0</v>
      </c>
      <c r="C5957" s="9" t="s">
        <v>31</v>
      </c>
      <c r="D5957" s="9" t="s">
        <v>177</v>
      </c>
      <c r="E5957" s="9" t="s">
        <v>17</v>
      </c>
      <c r="F5957" s="9" t="s">
        <v>35</v>
      </c>
      <c r="G5957" s="9">
        <v>7.0</v>
      </c>
      <c r="H5957" s="9" t="s">
        <v>22</v>
      </c>
      <c r="I5957" s="9" t="s">
        <v>20</v>
      </c>
      <c r="J5957" s="16">
        <v>0.8</v>
      </c>
      <c r="K5957" s="14" t="s">
        <v>398</v>
      </c>
      <c r="N5957" s="14" t="str">
        <f>IFERROR(__xludf.DUMMYFUNCTION("""COMPUTED_VALUE"""),"")</f>
        <v/>
      </c>
      <c r="O5957" s="14"/>
    </row>
    <row r="5958" ht="22.5" hidden="1" customHeight="1">
      <c r="A5958" s="8">
        <v>46254.35594851852</v>
      </c>
      <c r="B5958" s="14">
        <v>46254.0</v>
      </c>
      <c r="C5958" s="9" t="s">
        <v>31</v>
      </c>
      <c r="D5958" s="9" t="s">
        <v>463</v>
      </c>
      <c r="E5958" s="9" t="s">
        <v>17</v>
      </c>
      <c r="F5958" s="9" t="s">
        <v>17</v>
      </c>
      <c r="G5958" s="9">
        <v>7.0</v>
      </c>
      <c r="H5958" s="9" t="s">
        <v>17</v>
      </c>
      <c r="I5958" s="9" t="s">
        <v>20</v>
      </c>
      <c r="J5958" s="16">
        <v>0.8</v>
      </c>
      <c r="K5958" s="14" t="s">
        <v>398</v>
      </c>
      <c r="N5958" s="14" t="str">
        <f>IFERROR(__xludf.DUMMYFUNCTION("""COMPUTED_VALUE"""),"")</f>
        <v/>
      </c>
      <c r="O5958" s="14"/>
    </row>
    <row r="5959" ht="22.5" hidden="1" customHeight="1">
      <c r="A5959" s="8">
        <v>46254.35601751157</v>
      </c>
      <c r="B5959" s="14">
        <v>46254.0</v>
      </c>
      <c r="C5959" s="9" t="s">
        <v>31</v>
      </c>
      <c r="D5959" s="9" t="s">
        <v>259</v>
      </c>
      <c r="E5959" s="9" t="s">
        <v>44</v>
      </c>
      <c r="F5959" s="9" t="s">
        <v>35</v>
      </c>
      <c r="G5959" s="9">
        <v>8.0</v>
      </c>
      <c r="H5959" s="9" t="s">
        <v>22</v>
      </c>
      <c r="I5959" s="9" t="s">
        <v>20</v>
      </c>
      <c r="J5959" s="16">
        <v>0.8</v>
      </c>
      <c r="K5959" s="14" t="s">
        <v>398</v>
      </c>
      <c r="N5959" s="14" t="str">
        <f>IFERROR(__xludf.DUMMYFUNCTION("""COMPUTED_VALUE"""),"")</f>
        <v/>
      </c>
      <c r="O5959" s="14"/>
    </row>
    <row r="5960" ht="22.5" hidden="1" customHeight="1">
      <c r="A5960" s="8">
        <v>46254.35650350695</v>
      </c>
      <c r="B5960" s="14">
        <v>46254.0</v>
      </c>
      <c r="C5960" s="9" t="s">
        <v>31</v>
      </c>
      <c r="D5960" s="9" t="s">
        <v>457</v>
      </c>
      <c r="E5960" s="9" t="s">
        <v>17</v>
      </c>
      <c r="F5960" s="9" t="s">
        <v>17</v>
      </c>
      <c r="G5960" s="9">
        <v>8.0</v>
      </c>
      <c r="H5960" s="9" t="s">
        <v>17</v>
      </c>
      <c r="I5960" s="9" t="s">
        <v>20</v>
      </c>
      <c r="J5960" s="16">
        <v>0.8</v>
      </c>
      <c r="K5960" s="14" t="s">
        <v>398</v>
      </c>
      <c r="N5960" s="14" t="str">
        <f>IFERROR(__xludf.DUMMYFUNCTION("""COMPUTED_VALUE"""),"")</f>
        <v/>
      </c>
      <c r="O5960" s="14"/>
    </row>
    <row r="5961" ht="22.5" hidden="1" customHeight="1">
      <c r="A5961" s="8">
        <v>46254.35656954861</v>
      </c>
      <c r="B5961" s="14">
        <v>46254.0</v>
      </c>
      <c r="C5961" s="9" t="s">
        <v>31</v>
      </c>
      <c r="D5961" s="9" t="s">
        <v>210</v>
      </c>
      <c r="E5961" s="9" t="s">
        <v>46</v>
      </c>
      <c r="F5961" s="9" t="s">
        <v>17</v>
      </c>
      <c r="G5961" s="9">
        <v>7.0</v>
      </c>
      <c r="H5961" s="9" t="s">
        <v>22</v>
      </c>
      <c r="I5961" s="9" t="s">
        <v>20</v>
      </c>
      <c r="J5961" s="16">
        <v>0.8</v>
      </c>
      <c r="K5961" s="14" t="s">
        <v>398</v>
      </c>
      <c r="N5961" s="14" t="str">
        <f>IFERROR(__xludf.DUMMYFUNCTION("""COMPUTED_VALUE"""),"")</f>
        <v/>
      </c>
      <c r="O5961" s="14"/>
    </row>
    <row r="5962" ht="22.5" hidden="1" customHeight="1">
      <c r="A5962" s="8">
        <v>46254.35699847223</v>
      </c>
      <c r="B5962" s="14">
        <v>46254.0</v>
      </c>
      <c r="C5962" s="9" t="s">
        <v>31</v>
      </c>
      <c r="D5962" s="9" t="s">
        <v>395</v>
      </c>
      <c r="E5962" s="9" t="s">
        <v>17</v>
      </c>
      <c r="F5962" s="9" t="s">
        <v>17</v>
      </c>
      <c r="G5962" s="9">
        <v>7.0</v>
      </c>
      <c r="H5962" s="9" t="s">
        <v>22</v>
      </c>
      <c r="I5962" s="9" t="s">
        <v>20</v>
      </c>
      <c r="J5962" s="16">
        <v>0.8</v>
      </c>
      <c r="K5962" s="14" t="s">
        <v>398</v>
      </c>
      <c r="N5962" s="14" t="str">
        <f>IFERROR(__xludf.DUMMYFUNCTION("""COMPUTED_VALUE"""),"")</f>
        <v/>
      </c>
      <c r="O5962" s="14"/>
    </row>
    <row r="5963" ht="22.5" hidden="1" customHeight="1">
      <c r="A5963" s="8">
        <v>46254.357501666665</v>
      </c>
      <c r="B5963" s="14">
        <v>46254.0</v>
      </c>
      <c r="C5963" s="9" t="s">
        <v>31</v>
      </c>
      <c r="D5963" s="9" t="s">
        <v>393</v>
      </c>
      <c r="E5963" s="9" t="s">
        <v>17</v>
      </c>
      <c r="F5963" s="9" t="s">
        <v>17</v>
      </c>
      <c r="G5963" s="9">
        <v>7.0</v>
      </c>
      <c r="H5963" s="9" t="s">
        <v>25</v>
      </c>
      <c r="I5963" s="9" t="s">
        <v>240</v>
      </c>
      <c r="J5963" s="16">
        <v>1.0</v>
      </c>
      <c r="K5963" s="14" t="s">
        <v>398</v>
      </c>
      <c r="N5963" s="14" t="str">
        <f>IFERROR(__xludf.DUMMYFUNCTION("""COMPUTED_VALUE"""),"")</f>
        <v/>
      </c>
      <c r="O5963" s="14"/>
    </row>
    <row r="5964" ht="22.5" hidden="1" customHeight="1">
      <c r="A5964" s="8">
        <v>46254.35815212963</v>
      </c>
      <c r="B5964" s="14">
        <v>46254.0</v>
      </c>
      <c r="C5964" s="9" t="s">
        <v>31</v>
      </c>
      <c r="D5964" s="9" t="s">
        <v>369</v>
      </c>
      <c r="E5964" s="9" t="s">
        <v>17</v>
      </c>
      <c r="F5964" s="9" t="s">
        <v>17</v>
      </c>
      <c r="G5964" s="9">
        <v>7.0</v>
      </c>
      <c r="H5964" s="9" t="s">
        <v>22</v>
      </c>
      <c r="I5964" s="9" t="s">
        <v>20</v>
      </c>
      <c r="J5964" s="16">
        <v>0.8</v>
      </c>
      <c r="K5964" s="14" t="s">
        <v>398</v>
      </c>
      <c r="N5964" s="14" t="str">
        <f>IFERROR(__xludf.DUMMYFUNCTION("""COMPUTED_VALUE"""),"")</f>
        <v/>
      </c>
      <c r="O5964" s="14"/>
    </row>
    <row r="5965" ht="22.5" hidden="1" customHeight="1">
      <c r="A5965" s="8">
        <v>46254.362561041664</v>
      </c>
      <c r="B5965" s="14">
        <v>46254.0</v>
      </c>
      <c r="C5965" s="9" t="s">
        <v>31</v>
      </c>
      <c r="D5965" s="9" t="s">
        <v>413</v>
      </c>
      <c r="E5965" s="9" t="s">
        <v>17</v>
      </c>
      <c r="F5965" s="9" t="s">
        <v>17</v>
      </c>
      <c r="G5965" s="9">
        <v>7.0</v>
      </c>
      <c r="H5965" s="9" t="s">
        <v>22</v>
      </c>
      <c r="I5965" s="9" t="s">
        <v>20</v>
      </c>
      <c r="J5965" s="16">
        <v>0.8</v>
      </c>
      <c r="K5965" s="14" t="s">
        <v>398</v>
      </c>
      <c r="N5965" s="14" t="str">
        <f>IFERROR(__xludf.DUMMYFUNCTION("""COMPUTED_VALUE"""),"")</f>
        <v/>
      </c>
      <c r="O5965" s="14"/>
    </row>
    <row r="5966" ht="22.5" hidden="1" customHeight="1">
      <c r="A5966" s="8">
        <v>46254.36519892361</v>
      </c>
      <c r="B5966" s="14">
        <v>46254.0</v>
      </c>
      <c r="C5966" s="9" t="s">
        <v>31</v>
      </c>
      <c r="D5966" s="9" t="s">
        <v>442</v>
      </c>
      <c r="E5966" s="9" t="s">
        <v>17</v>
      </c>
      <c r="F5966" s="9" t="s">
        <v>17</v>
      </c>
      <c r="G5966" s="9">
        <v>7.0</v>
      </c>
      <c r="H5966" s="9" t="s">
        <v>22</v>
      </c>
      <c r="I5966" s="9" t="s">
        <v>20</v>
      </c>
      <c r="J5966" s="16">
        <v>0.8</v>
      </c>
      <c r="K5966" s="14" t="s">
        <v>398</v>
      </c>
      <c r="N5966" s="14" t="str">
        <f>IFERROR(__xludf.DUMMYFUNCTION("""COMPUTED_VALUE"""),"")</f>
        <v/>
      </c>
      <c r="O5966" s="14"/>
    </row>
    <row r="5967" ht="22.5" hidden="1" customHeight="1">
      <c r="A5967" s="8">
        <v>46255.35192332176</v>
      </c>
      <c r="B5967" s="14">
        <v>46255.0</v>
      </c>
      <c r="C5967" s="9" t="s">
        <v>48</v>
      </c>
      <c r="D5967" s="9" t="s">
        <v>367</v>
      </c>
      <c r="E5967" s="9" t="s">
        <v>140</v>
      </c>
      <c r="F5967" s="9" t="s">
        <v>39</v>
      </c>
      <c r="G5967" s="9" t="s">
        <v>410</v>
      </c>
      <c r="H5967" s="9" t="s">
        <v>62</v>
      </c>
      <c r="I5967" s="9" t="s">
        <v>20</v>
      </c>
      <c r="J5967" s="16">
        <v>0.4</v>
      </c>
      <c r="K5967" s="14" t="s">
        <v>398</v>
      </c>
      <c r="N5967" s="14" t="str">
        <f>IFERROR(__xludf.DUMMYFUNCTION("""COMPUTED_VALUE"""),"")</f>
        <v/>
      </c>
      <c r="O5967" s="14"/>
    </row>
    <row r="5968" ht="22.5" hidden="1" customHeight="1">
      <c r="A5968" s="8">
        <v>46255.352676863426</v>
      </c>
      <c r="B5968" s="14">
        <v>46255.0</v>
      </c>
      <c r="C5968" s="9" t="s">
        <v>48</v>
      </c>
      <c r="D5968" s="9" t="s">
        <v>393</v>
      </c>
      <c r="E5968" s="9" t="s">
        <v>17</v>
      </c>
      <c r="F5968" s="9" t="s">
        <v>17</v>
      </c>
      <c r="G5968" s="9">
        <v>7.0</v>
      </c>
      <c r="H5968" s="9" t="s">
        <v>25</v>
      </c>
      <c r="I5968" s="9" t="s">
        <v>240</v>
      </c>
      <c r="J5968" s="16">
        <v>1.0</v>
      </c>
      <c r="K5968" s="14" t="s">
        <v>398</v>
      </c>
      <c r="N5968" s="14" t="str">
        <f>IFERROR(__xludf.DUMMYFUNCTION("""COMPUTED_VALUE"""),"")</f>
        <v/>
      </c>
      <c r="O5968" s="14"/>
    </row>
    <row r="5969" ht="22.5" hidden="1" customHeight="1">
      <c r="A5969" s="8">
        <v>46255.405957986106</v>
      </c>
      <c r="B5969" s="14">
        <v>46255.0</v>
      </c>
      <c r="C5969" s="9" t="s">
        <v>48</v>
      </c>
      <c r="D5969" s="9" t="s">
        <v>259</v>
      </c>
      <c r="E5969" s="9" t="s">
        <v>30</v>
      </c>
      <c r="F5969" s="9" t="s">
        <v>43</v>
      </c>
      <c r="G5969" s="9" t="s">
        <v>409</v>
      </c>
      <c r="H5969" s="9" t="s">
        <v>22</v>
      </c>
      <c r="I5969" s="9" t="s">
        <v>20</v>
      </c>
      <c r="J5969" s="16">
        <v>0.8</v>
      </c>
      <c r="K5969" s="14" t="s">
        <v>398</v>
      </c>
      <c r="N5969" s="14" t="str">
        <f>IFERROR(__xludf.DUMMYFUNCTION("""COMPUTED_VALUE"""),"")</f>
        <v/>
      </c>
      <c r="O5969" s="14"/>
    </row>
    <row r="5970" ht="22.5" hidden="1" customHeight="1">
      <c r="A5970" s="8">
        <v>46255.42245604166</v>
      </c>
      <c r="B5970" s="14">
        <v>46255.0</v>
      </c>
      <c r="C5970" s="9" t="s">
        <v>48</v>
      </c>
      <c r="D5970" s="9" t="s">
        <v>414</v>
      </c>
      <c r="E5970" s="9" t="s">
        <v>30</v>
      </c>
      <c r="F5970" s="9" t="s">
        <v>18</v>
      </c>
      <c r="G5970" s="9" t="s">
        <v>409</v>
      </c>
      <c r="H5970" s="9" t="s">
        <v>22</v>
      </c>
      <c r="I5970" s="9" t="s">
        <v>20</v>
      </c>
      <c r="J5970" s="16">
        <v>0.8</v>
      </c>
      <c r="K5970" s="14" t="s">
        <v>398</v>
      </c>
      <c r="N5970" s="14" t="str">
        <f>IFERROR(__xludf.DUMMYFUNCTION("""COMPUTED_VALUE"""),"")</f>
        <v/>
      </c>
      <c r="O5970" s="14"/>
    </row>
    <row r="5971" ht="22.5" hidden="1" customHeight="1">
      <c r="A5971" s="8">
        <v>46255.42365790509</v>
      </c>
      <c r="B5971" s="14">
        <v>46255.0</v>
      </c>
      <c r="C5971" s="9" t="s">
        <v>48</v>
      </c>
      <c r="D5971" s="9" t="s">
        <v>396</v>
      </c>
      <c r="E5971" s="9" t="s">
        <v>30</v>
      </c>
      <c r="F5971" s="9" t="s">
        <v>18</v>
      </c>
      <c r="G5971" s="9" t="s">
        <v>409</v>
      </c>
      <c r="H5971" s="9" t="s">
        <v>22</v>
      </c>
      <c r="I5971" s="9" t="s">
        <v>20</v>
      </c>
      <c r="J5971" s="16">
        <v>0.8</v>
      </c>
      <c r="K5971" s="14" t="s">
        <v>398</v>
      </c>
      <c r="N5971" s="14" t="str">
        <f>IFERROR(__xludf.DUMMYFUNCTION("""COMPUTED_VALUE"""),"")</f>
        <v/>
      </c>
      <c r="O5971" s="14"/>
    </row>
    <row r="5972" ht="22.5" hidden="1" customHeight="1">
      <c r="A5972" s="8">
        <v>46255.42441421296</v>
      </c>
      <c r="B5972" s="14">
        <v>46255.0</v>
      </c>
      <c r="C5972" s="9" t="s">
        <v>48</v>
      </c>
      <c r="D5972" s="9" t="s">
        <v>475</v>
      </c>
      <c r="E5972" s="9" t="s">
        <v>30</v>
      </c>
      <c r="F5972" s="9" t="s">
        <v>43</v>
      </c>
      <c r="G5972" s="9" t="s">
        <v>409</v>
      </c>
      <c r="H5972" s="9" t="s">
        <v>22</v>
      </c>
      <c r="I5972" s="9" t="s">
        <v>20</v>
      </c>
      <c r="J5972" s="16">
        <v>0.8</v>
      </c>
      <c r="K5972" s="14" t="s">
        <v>398</v>
      </c>
      <c r="N5972" s="14" t="str">
        <f>IFERROR(__xludf.DUMMYFUNCTION("""COMPUTED_VALUE"""),"")</f>
        <v/>
      </c>
      <c r="O5972" s="14"/>
    </row>
    <row r="5973" ht="22.5" hidden="1" customHeight="1">
      <c r="A5973" s="8">
        <v>46255.42479643518</v>
      </c>
      <c r="B5973" s="14">
        <v>46255.0</v>
      </c>
      <c r="C5973" s="9" t="s">
        <v>48</v>
      </c>
      <c r="D5973" s="9" t="s">
        <v>463</v>
      </c>
      <c r="E5973" s="9" t="s">
        <v>30</v>
      </c>
      <c r="F5973" s="9" t="s">
        <v>43</v>
      </c>
      <c r="G5973" s="9" t="s">
        <v>409</v>
      </c>
      <c r="H5973" s="9" t="s">
        <v>22</v>
      </c>
      <c r="I5973" s="9" t="s">
        <v>20</v>
      </c>
      <c r="J5973" s="16">
        <v>0.8</v>
      </c>
      <c r="K5973" s="14" t="s">
        <v>398</v>
      </c>
      <c r="N5973" s="14" t="str">
        <f>IFERROR(__xludf.DUMMYFUNCTION("""COMPUTED_VALUE"""),"")</f>
        <v/>
      </c>
      <c r="O5973" s="14"/>
    </row>
    <row r="5974" ht="22.5" hidden="1" customHeight="1">
      <c r="A5974" s="8">
        <v>46255.42523738426</v>
      </c>
      <c r="B5974" s="14">
        <v>46255.0</v>
      </c>
      <c r="C5974" s="9" t="s">
        <v>48</v>
      </c>
      <c r="D5974" s="9" t="s">
        <v>171</v>
      </c>
      <c r="E5974" s="9" t="s">
        <v>44</v>
      </c>
      <c r="F5974" s="9" t="s">
        <v>18</v>
      </c>
      <c r="G5974" s="9">
        <v>8.0</v>
      </c>
      <c r="H5974" s="9" t="s">
        <v>22</v>
      </c>
      <c r="I5974" s="9" t="s">
        <v>20</v>
      </c>
      <c r="J5974" s="16">
        <v>1.0</v>
      </c>
      <c r="K5974" s="14" t="s">
        <v>398</v>
      </c>
      <c r="N5974" s="14" t="str">
        <f>IFERROR(__xludf.DUMMYFUNCTION("""COMPUTED_VALUE"""),"")</f>
        <v/>
      </c>
      <c r="O5974" s="14"/>
    </row>
    <row r="5975" ht="22.5" hidden="1" customHeight="1">
      <c r="A5975" s="8">
        <v>46255.43044283565</v>
      </c>
      <c r="B5975" s="14">
        <v>46255.0</v>
      </c>
      <c r="C5975" s="9" t="s">
        <v>48</v>
      </c>
      <c r="D5975" s="9" t="s">
        <v>105</v>
      </c>
      <c r="E5975" s="9" t="s">
        <v>57</v>
      </c>
      <c r="F5975" s="9" t="s">
        <v>18</v>
      </c>
      <c r="G5975" s="9" t="s">
        <v>409</v>
      </c>
      <c r="H5975" s="9" t="s">
        <v>22</v>
      </c>
      <c r="I5975" s="9" t="s">
        <v>20</v>
      </c>
      <c r="J5975" s="16">
        <v>1.0</v>
      </c>
      <c r="K5975" s="14" t="s">
        <v>398</v>
      </c>
      <c r="N5975" s="14" t="str">
        <f>IFERROR(__xludf.DUMMYFUNCTION("""COMPUTED_VALUE"""),"")</f>
        <v/>
      </c>
      <c r="O5975" s="14"/>
    </row>
    <row r="5976" ht="22.5" hidden="1" customHeight="1">
      <c r="A5976" s="8">
        <v>46255.43620763889</v>
      </c>
      <c r="B5976" s="14">
        <v>46255.0</v>
      </c>
      <c r="C5976" s="9" t="s">
        <v>48</v>
      </c>
      <c r="D5976" s="9" t="s">
        <v>457</v>
      </c>
      <c r="E5976" s="9" t="s">
        <v>17</v>
      </c>
      <c r="F5976" s="9" t="s">
        <v>18</v>
      </c>
      <c r="G5976" s="9" t="s">
        <v>409</v>
      </c>
      <c r="H5976" s="9" t="s">
        <v>22</v>
      </c>
      <c r="I5976" s="9" t="s">
        <v>20</v>
      </c>
      <c r="J5976" s="16">
        <v>1.0</v>
      </c>
      <c r="K5976" s="14" t="s">
        <v>398</v>
      </c>
      <c r="N5976" s="14" t="str">
        <f>IFERROR(__xludf.DUMMYFUNCTION("""COMPUTED_VALUE"""),"")</f>
        <v/>
      </c>
      <c r="O5976" s="14"/>
    </row>
    <row r="5977" ht="22.5" hidden="1" customHeight="1">
      <c r="A5977" s="8">
        <v>46255.446173599536</v>
      </c>
      <c r="B5977" s="14">
        <v>46255.0</v>
      </c>
      <c r="C5977" s="9" t="s">
        <v>48</v>
      </c>
      <c r="D5977" s="9" t="s">
        <v>441</v>
      </c>
      <c r="E5977" s="9" t="s">
        <v>17</v>
      </c>
      <c r="F5977" s="9" t="s">
        <v>43</v>
      </c>
      <c r="G5977" s="9">
        <v>6.0</v>
      </c>
      <c r="H5977" s="9" t="s">
        <v>22</v>
      </c>
      <c r="I5977" s="9" t="s">
        <v>20</v>
      </c>
      <c r="J5977" s="16">
        <v>1.0</v>
      </c>
      <c r="K5977" s="14" t="s">
        <v>398</v>
      </c>
      <c r="N5977" s="14" t="str">
        <f>IFERROR(__xludf.DUMMYFUNCTION("""COMPUTED_VALUE"""),"")</f>
        <v/>
      </c>
      <c r="O5977" s="14"/>
    </row>
    <row r="5978" ht="22.5" hidden="1" customHeight="1">
      <c r="A5978" s="8">
        <v>46255.446455150464</v>
      </c>
      <c r="B5978" s="14">
        <v>46255.0</v>
      </c>
      <c r="C5978" s="9" t="s">
        <v>48</v>
      </c>
      <c r="D5978" s="9" t="s">
        <v>460</v>
      </c>
      <c r="E5978" s="9" t="s">
        <v>17</v>
      </c>
      <c r="F5978" s="9" t="s">
        <v>43</v>
      </c>
      <c r="G5978" s="9" t="s">
        <v>409</v>
      </c>
      <c r="H5978" s="9" t="s">
        <v>22</v>
      </c>
      <c r="I5978" s="9" t="s">
        <v>20</v>
      </c>
      <c r="J5978" s="16">
        <v>1.0</v>
      </c>
      <c r="K5978" s="14" t="s">
        <v>398</v>
      </c>
      <c r="N5978" s="14" t="str">
        <f>IFERROR(__xludf.DUMMYFUNCTION("""COMPUTED_VALUE"""),"")</f>
        <v/>
      </c>
      <c r="O5978" s="14"/>
    </row>
    <row r="5979" ht="22.5" hidden="1" customHeight="1">
      <c r="A5979" s="8">
        <v>46255.45067696759</v>
      </c>
      <c r="B5979" s="14">
        <v>46255.0</v>
      </c>
      <c r="C5979" s="9" t="s">
        <v>48</v>
      </c>
      <c r="D5979" s="9" t="s">
        <v>413</v>
      </c>
      <c r="E5979" s="9" t="s">
        <v>17</v>
      </c>
      <c r="F5979" s="9" t="s">
        <v>43</v>
      </c>
      <c r="G5979" s="9" t="s">
        <v>409</v>
      </c>
      <c r="H5979" s="9" t="s">
        <v>22</v>
      </c>
      <c r="I5979" s="9" t="s">
        <v>20</v>
      </c>
      <c r="J5979" s="16">
        <v>1.0</v>
      </c>
      <c r="K5979" s="14" t="s">
        <v>398</v>
      </c>
      <c r="N5979" s="14" t="str">
        <f>IFERROR(__xludf.DUMMYFUNCTION("""COMPUTED_VALUE"""),"")</f>
        <v/>
      </c>
      <c r="O5979" s="14"/>
    </row>
    <row r="5980" ht="22.5" hidden="1" customHeight="1">
      <c r="A5980" s="8">
        <v>46255.452401284725</v>
      </c>
      <c r="B5980" s="14">
        <v>46255.0</v>
      </c>
      <c r="C5980" s="9" t="s">
        <v>48</v>
      </c>
      <c r="D5980" s="9" t="s">
        <v>177</v>
      </c>
      <c r="E5980" s="9" t="s">
        <v>17</v>
      </c>
      <c r="F5980" s="9" t="s">
        <v>18</v>
      </c>
      <c r="G5980" s="9">
        <v>8.0</v>
      </c>
      <c r="H5980" s="9" t="s">
        <v>22</v>
      </c>
      <c r="I5980" s="9" t="s">
        <v>20</v>
      </c>
      <c r="J5980" s="16">
        <v>0.8</v>
      </c>
      <c r="K5980" s="14" t="s">
        <v>398</v>
      </c>
      <c r="N5980" s="14" t="str">
        <f>IFERROR(__xludf.DUMMYFUNCTION("""COMPUTED_VALUE"""),"")</f>
        <v/>
      </c>
      <c r="O5980" s="14"/>
    </row>
    <row r="5981" ht="22.5" hidden="1" customHeight="1">
      <c r="A5981" s="8">
        <v>46255.452800625004</v>
      </c>
      <c r="B5981" s="14">
        <v>46255.0</v>
      </c>
      <c r="C5981" s="9" t="s">
        <v>48</v>
      </c>
      <c r="D5981" s="9" t="s">
        <v>357</v>
      </c>
      <c r="E5981" s="9" t="s">
        <v>17</v>
      </c>
      <c r="F5981" s="9" t="s">
        <v>43</v>
      </c>
      <c r="G5981" s="9" t="s">
        <v>409</v>
      </c>
      <c r="H5981" s="9" t="s">
        <v>22</v>
      </c>
      <c r="I5981" s="9" t="s">
        <v>20</v>
      </c>
      <c r="J5981" s="16">
        <v>1.0</v>
      </c>
      <c r="K5981" s="14" t="s">
        <v>398</v>
      </c>
      <c r="N5981" s="14" t="str">
        <f>IFERROR(__xludf.DUMMYFUNCTION("""COMPUTED_VALUE"""),"")</f>
        <v/>
      </c>
      <c r="O5981" s="14"/>
    </row>
    <row r="5982" ht="22.5" hidden="1" customHeight="1">
      <c r="A5982" s="8">
        <v>46255.45364694444</v>
      </c>
      <c r="B5982" s="14">
        <v>46255.0</v>
      </c>
      <c r="C5982" s="9" t="s">
        <v>48</v>
      </c>
      <c r="D5982" s="9" t="s">
        <v>395</v>
      </c>
      <c r="E5982" s="9" t="s">
        <v>17</v>
      </c>
      <c r="F5982" s="9" t="s">
        <v>18</v>
      </c>
      <c r="G5982" s="9" t="s">
        <v>409</v>
      </c>
      <c r="H5982" s="9" t="s">
        <v>22</v>
      </c>
      <c r="I5982" s="9" t="s">
        <v>20</v>
      </c>
      <c r="J5982" s="16">
        <v>0.8</v>
      </c>
      <c r="K5982" s="14" t="s">
        <v>398</v>
      </c>
      <c r="N5982" s="14" t="str">
        <f>IFERROR(__xludf.DUMMYFUNCTION("""COMPUTED_VALUE"""),"")</f>
        <v/>
      </c>
      <c r="O5982" s="14"/>
    </row>
    <row r="5983" ht="22.5" hidden="1" customHeight="1">
      <c r="A5983" s="8">
        <v>46255.4540940625</v>
      </c>
      <c r="B5983" s="14">
        <v>46255.0</v>
      </c>
      <c r="C5983" s="9" t="s">
        <v>48</v>
      </c>
      <c r="D5983" s="9" t="s">
        <v>247</v>
      </c>
      <c r="E5983" s="9" t="s">
        <v>30</v>
      </c>
      <c r="F5983" s="9" t="s">
        <v>18</v>
      </c>
      <c r="G5983" s="9" t="s">
        <v>409</v>
      </c>
      <c r="H5983" s="9" t="s">
        <v>22</v>
      </c>
      <c r="I5983" s="9" t="s">
        <v>20</v>
      </c>
      <c r="J5983" s="16">
        <v>0.8</v>
      </c>
      <c r="K5983" s="14" t="s">
        <v>398</v>
      </c>
      <c r="N5983" s="14" t="str">
        <f>IFERROR(__xludf.DUMMYFUNCTION("""COMPUTED_VALUE"""),"")</f>
        <v/>
      </c>
      <c r="O5983" s="14"/>
    </row>
    <row r="5984" ht="22.5" hidden="1" customHeight="1">
      <c r="A5984" s="8">
        <v>46255.45557244213</v>
      </c>
      <c r="B5984" s="14">
        <v>46255.0</v>
      </c>
      <c r="C5984" s="9" t="s">
        <v>48</v>
      </c>
      <c r="D5984" s="9" t="s">
        <v>257</v>
      </c>
      <c r="E5984" s="9" t="s">
        <v>30</v>
      </c>
      <c r="F5984" s="9" t="s">
        <v>43</v>
      </c>
      <c r="G5984" s="9" t="s">
        <v>409</v>
      </c>
      <c r="H5984" s="9" t="s">
        <v>22</v>
      </c>
      <c r="I5984" s="9" t="s">
        <v>20</v>
      </c>
      <c r="J5984" s="16">
        <v>0.8</v>
      </c>
      <c r="K5984" s="14" t="s">
        <v>398</v>
      </c>
      <c r="N5984" s="14" t="str">
        <f>IFERROR(__xludf.DUMMYFUNCTION("""COMPUTED_VALUE"""),"")</f>
        <v/>
      </c>
      <c r="O5984" s="14"/>
    </row>
    <row r="5985" ht="22.5" hidden="1" customHeight="1">
      <c r="A5985" s="8">
        <v>46255.456120902774</v>
      </c>
      <c r="B5985" s="14">
        <v>46255.0</v>
      </c>
      <c r="C5985" s="9" t="s">
        <v>48</v>
      </c>
      <c r="D5985" s="9" t="s">
        <v>394</v>
      </c>
      <c r="E5985" s="9" t="s">
        <v>30</v>
      </c>
      <c r="F5985" s="9" t="s">
        <v>43</v>
      </c>
      <c r="G5985" s="9" t="s">
        <v>409</v>
      </c>
      <c r="H5985" s="9" t="s">
        <v>22</v>
      </c>
      <c r="I5985" s="9" t="s">
        <v>20</v>
      </c>
      <c r="J5985" s="16">
        <v>1.0</v>
      </c>
      <c r="K5985" s="14" t="s">
        <v>398</v>
      </c>
      <c r="N5985" s="14" t="str">
        <f>IFERROR(__xludf.DUMMYFUNCTION("""COMPUTED_VALUE"""),"")</f>
        <v/>
      </c>
      <c r="O5985" s="14"/>
    </row>
    <row r="5986" ht="22.5" hidden="1" customHeight="1">
      <c r="A5986" s="8">
        <v>46255.45704809028</v>
      </c>
      <c r="B5986" s="14">
        <v>46255.0</v>
      </c>
      <c r="C5986" s="9" t="s">
        <v>48</v>
      </c>
      <c r="D5986" s="9" t="s">
        <v>369</v>
      </c>
      <c r="E5986" s="9" t="s">
        <v>17</v>
      </c>
      <c r="F5986" s="9" t="s">
        <v>18</v>
      </c>
      <c r="G5986" s="9">
        <v>8.0</v>
      </c>
      <c r="H5986" s="9" t="s">
        <v>22</v>
      </c>
      <c r="I5986" s="9" t="s">
        <v>20</v>
      </c>
      <c r="J5986" s="16">
        <v>0.8</v>
      </c>
      <c r="K5986" s="14" t="s">
        <v>398</v>
      </c>
      <c r="N5986" s="14" t="str">
        <f>IFERROR(__xludf.DUMMYFUNCTION("""COMPUTED_VALUE"""),"")</f>
        <v/>
      </c>
      <c r="O5986" s="14"/>
    </row>
    <row r="5987" ht="22.5" hidden="1" customHeight="1">
      <c r="A5987" s="8">
        <v>46255.46307899305</v>
      </c>
      <c r="B5987" s="14">
        <v>46255.0</v>
      </c>
      <c r="C5987" s="9" t="s">
        <v>48</v>
      </c>
      <c r="D5987" s="9" t="s">
        <v>249</v>
      </c>
      <c r="E5987" s="9" t="s">
        <v>30</v>
      </c>
      <c r="F5987" s="9" t="s">
        <v>18</v>
      </c>
      <c r="G5987" s="9">
        <v>8.0</v>
      </c>
      <c r="H5987" s="9" t="s">
        <v>22</v>
      </c>
      <c r="I5987" s="9" t="s">
        <v>20</v>
      </c>
      <c r="J5987" s="16">
        <v>1.0</v>
      </c>
      <c r="K5987" s="14" t="s">
        <v>398</v>
      </c>
      <c r="N5987" s="14" t="str">
        <f>IFERROR(__xludf.DUMMYFUNCTION("""COMPUTED_VALUE"""),"")</f>
        <v/>
      </c>
      <c r="O5987" s="14"/>
    </row>
    <row r="5988" ht="22.5" hidden="1" customHeight="1">
      <c r="A5988" s="8">
        <v>46255.46334631945</v>
      </c>
      <c r="B5988" s="14">
        <v>46255.0</v>
      </c>
      <c r="C5988" s="9" t="s">
        <v>48</v>
      </c>
      <c r="D5988" s="9" t="s">
        <v>174</v>
      </c>
      <c r="E5988" s="9" t="s">
        <v>30</v>
      </c>
      <c r="F5988" s="9" t="s">
        <v>18</v>
      </c>
      <c r="G5988" s="9">
        <v>8.0</v>
      </c>
      <c r="H5988" s="9" t="s">
        <v>22</v>
      </c>
      <c r="I5988" s="9" t="s">
        <v>20</v>
      </c>
      <c r="J5988" s="16">
        <v>1.0</v>
      </c>
      <c r="K5988" s="14" t="s">
        <v>398</v>
      </c>
      <c r="N5988" s="14" t="str">
        <f>IFERROR(__xludf.DUMMYFUNCTION("""COMPUTED_VALUE"""),"")</f>
        <v/>
      </c>
      <c r="O5988" s="14"/>
    </row>
    <row r="5989" ht="22.5" hidden="1" customHeight="1">
      <c r="A5989" s="8">
        <v>46255.463875393514</v>
      </c>
      <c r="B5989" s="14">
        <v>46255.0</v>
      </c>
      <c r="C5989" s="9" t="s">
        <v>48</v>
      </c>
      <c r="D5989" s="9" t="s">
        <v>178</v>
      </c>
      <c r="E5989" s="9" t="s">
        <v>30</v>
      </c>
      <c r="F5989" s="9" t="s">
        <v>18</v>
      </c>
      <c r="G5989" s="9" t="s">
        <v>409</v>
      </c>
      <c r="H5989" s="9" t="s">
        <v>22</v>
      </c>
      <c r="I5989" s="9" t="s">
        <v>20</v>
      </c>
      <c r="J5989" s="16">
        <v>0.8</v>
      </c>
      <c r="K5989" s="14" t="s">
        <v>398</v>
      </c>
      <c r="N5989" s="14" t="str">
        <f>IFERROR(__xludf.DUMMYFUNCTION("""COMPUTED_VALUE"""),"")</f>
        <v/>
      </c>
      <c r="O5989" s="14"/>
    </row>
    <row r="5990" ht="22.5" hidden="1" customHeight="1">
      <c r="A5990" s="8">
        <v>46255.46438810186</v>
      </c>
      <c r="B5990" s="14">
        <v>46255.0</v>
      </c>
      <c r="C5990" s="9" t="s">
        <v>48</v>
      </c>
      <c r="D5990" s="9" t="s">
        <v>175</v>
      </c>
      <c r="E5990" s="9" t="s">
        <v>30</v>
      </c>
      <c r="F5990" s="9" t="s">
        <v>18</v>
      </c>
      <c r="G5990" s="9" t="s">
        <v>409</v>
      </c>
      <c r="H5990" s="9" t="s">
        <v>22</v>
      </c>
      <c r="I5990" s="9" t="s">
        <v>20</v>
      </c>
      <c r="J5990" s="16">
        <v>0.8</v>
      </c>
      <c r="K5990" s="14" t="s">
        <v>398</v>
      </c>
      <c r="N5990" s="14" t="str">
        <f>IFERROR(__xludf.DUMMYFUNCTION("""COMPUTED_VALUE"""),"")</f>
        <v/>
      </c>
      <c r="O5990" s="14"/>
    </row>
    <row r="5991" ht="22.5" hidden="1" customHeight="1">
      <c r="A5991" s="8">
        <v>46255.477643182865</v>
      </c>
      <c r="B5991" s="14">
        <v>46255.0</v>
      </c>
      <c r="C5991" s="9" t="s">
        <v>48</v>
      </c>
      <c r="D5991" s="9" t="s">
        <v>210</v>
      </c>
      <c r="E5991" s="9" t="s">
        <v>17</v>
      </c>
      <c r="F5991" s="9" t="s">
        <v>43</v>
      </c>
      <c r="G5991" s="9" t="s">
        <v>409</v>
      </c>
      <c r="H5991" s="9" t="s">
        <v>22</v>
      </c>
      <c r="I5991" s="9" t="s">
        <v>20</v>
      </c>
      <c r="J5991" s="16">
        <v>0.8</v>
      </c>
      <c r="K5991" s="14" t="s">
        <v>398</v>
      </c>
      <c r="N5991" s="14" t="str">
        <f>IFERROR(__xludf.DUMMYFUNCTION("""COMPUTED_VALUE"""),"")</f>
        <v/>
      </c>
      <c r="O5991" s="14"/>
    </row>
    <row r="5992" ht="22.5" hidden="1" customHeight="1">
      <c r="A5992" s="8">
        <v>46255.501560856486</v>
      </c>
      <c r="B5992" s="14">
        <v>46255.0</v>
      </c>
      <c r="C5992" s="9" t="s">
        <v>48</v>
      </c>
      <c r="D5992" s="9" t="s">
        <v>335</v>
      </c>
      <c r="E5992" s="9" t="s">
        <v>30</v>
      </c>
      <c r="F5992" s="9" t="s">
        <v>18</v>
      </c>
      <c r="G5992" s="9" t="s">
        <v>409</v>
      </c>
      <c r="H5992" s="9" t="s">
        <v>22</v>
      </c>
      <c r="I5992" s="9" t="s">
        <v>20</v>
      </c>
      <c r="J5992" s="16">
        <v>0.8</v>
      </c>
      <c r="K5992" s="14" t="s">
        <v>398</v>
      </c>
      <c r="N5992" s="14" t="str">
        <f>IFERROR(__xludf.DUMMYFUNCTION("""COMPUTED_VALUE"""),"")</f>
        <v/>
      </c>
      <c r="O5992" s="14"/>
    </row>
    <row r="5993" ht="22.5" hidden="1" customHeight="1">
      <c r="A5993" s="8">
        <v>46255.50223248843</v>
      </c>
      <c r="B5993" s="14">
        <v>46255.0</v>
      </c>
      <c r="C5993" s="9" t="s">
        <v>48</v>
      </c>
      <c r="D5993" s="9" t="s">
        <v>469</v>
      </c>
      <c r="E5993" s="9" t="s">
        <v>17</v>
      </c>
      <c r="F5993" s="9" t="s">
        <v>17</v>
      </c>
      <c r="G5993" s="9" t="s">
        <v>409</v>
      </c>
      <c r="H5993" s="9" t="s">
        <v>22</v>
      </c>
      <c r="I5993" s="9" t="s">
        <v>20</v>
      </c>
      <c r="J5993" s="16">
        <v>1.0</v>
      </c>
      <c r="K5993" s="14" t="s">
        <v>398</v>
      </c>
      <c r="N5993" s="14" t="str">
        <f>IFERROR(__xludf.DUMMYFUNCTION("""COMPUTED_VALUE"""),"")</f>
        <v/>
      </c>
      <c r="O5993" s="14"/>
    </row>
    <row r="5994" ht="22.5" hidden="1" customHeight="1">
      <c r="A5994" s="8">
        <v>46258.362528287034</v>
      </c>
      <c r="B5994" s="14">
        <v>46258.0</v>
      </c>
      <c r="C5994" s="9" t="s">
        <v>86</v>
      </c>
      <c r="D5994" s="9" t="s">
        <v>393</v>
      </c>
      <c r="E5994" s="9" t="s">
        <v>17</v>
      </c>
      <c r="F5994" s="9" t="s">
        <v>17</v>
      </c>
      <c r="G5994" s="9">
        <v>7.0</v>
      </c>
      <c r="H5994" s="9" t="s">
        <v>25</v>
      </c>
      <c r="I5994" s="9" t="s">
        <v>240</v>
      </c>
      <c r="J5994" s="16">
        <v>1.0</v>
      </c>
      <c r="K5994" s="14" t="s">
        <v>398</v>
      </c>
      <c r="N5994" s="14" t="str">
        <f>IFERROR(__xludf.DUMMYFUNCTION("""COMPUTED_VALUE"""),"")</f>
        <v/>
      </c>
      <c r="O5994" s="14"/>
    </row>
    <row r="5995" ht="22.5" hidden="1" customHeight="1">
      <c r="A5995" s="8">
        <v>46260.44893225694</v>
      </c>
      <c r="B5995" s="14">
        <v>46260.0</v>
      </c>
      <c r="C5995" s="9" t="s">
        <v>15</v>
      </c>
      <c r="D5995" s="9" t="s">
        <v>413</v>
      </c>
      <c r="E5995" s="9" t="s">
        <v>30</v>
      </c>
      <c r="F5995" s="9" t="s">
        <v>18</v>
      </c>
      <c r="G5995" s="9">
        <v>8.0</v>
      </c>
      <c r="H5995" s="9" t="s">
        <v>22</v>
      </c>
      <c r="I5995" s="9" t="s">
        <v>20</v>
      </c>
      <c r="J5995" s="16">
        <v>1.0</v>
      </c>
      <c r="K5995" s="14" t="s">
        <v>398</v>
      </c>
      <c r="N5995" s="14" t="str">
        <f>IFERROR(__xludf.DUMMYFUNCTION("""COMPUTED_VALUE"""),"")</f>
        <v/>
      </c>
      <c r="O5995" s="14"/>
    </row>
    <row r="5996" ht="22.5" hidden="1" customHeight="1">
      <c r="A5996" s="8">
        <v>46260.46023402778</v>
      </c>
      <c r="B5996" s="14">
        <v>46260.0</v>
      </c>
      <c r="C5996" s="9" t="s">
        <v>15</v>
      </c>
      <c r="D5996" s="9" t="s">
        <v>469</v>
      </c>
      <c r="E5996" s="9" t="s">
        <v>30</v>
      </c>
      <c r="F5996" s="9" t="s">
        <v>18</v>
      </c>
      <c r="G5996" s="9">
        <v>8.0</v>
      </c>
      <c r="H5996" s="9" t="s">
        <v>22</v>
      </c>
      <c r="I5996" s="9" t="s">
        <v>20</v>
      </c>
      <c r="J5996" s="16">
        <v>0.8</v>
      </c>
      <c r="K5996" s="14" t="s">
        <v>398</v>
      </c>
      <c r="N5996" s="14" t="str">
        <f>IFERROR(__xludf.DUMMYFUNCTION("""COMPUTED_VALUE"""),"")</f>
        <v/>
      </c>
      <c r="O5996" s="14"/>
    </row>
    <row r="5997" ht="22.5" hidden="1" customHeight="1">
      <c r="A5997" s="8">
        <v>46260.46548559028</v>
      </c>
      <c r="B5997" s="14">
        <v>46260.0</v>
      </c>
      <c r="C5997" s="9" t="s">
        <v>15</v>
      </c>
      <c r="D5997" s="9" t="s">
        <v>171</v>
      </c>
      <c r="E5997" s="9" t="s">
        <v>17</v>
      </c>
      <c r="F5997" s="9" t="s">
        <v>17</v>
      </c>
      <c r="G5997" s="9">
        <v>6.0</v>
      </c>
      <c r="H5997" s="9" t="s">
        <v>22</v>
      </c>
      <c r="I5997" s="9" t="s">
        <v>20</v>
      </c>
      <c r="J5997" s="16">
        <v>0.6</v>
      </c>
      <c r="K5997" s="14" t="s">
        <v>398</v>
      </c>
      <c r="N5997" s="14" t="str">
        <f>IFERROR(__xludf.DUMMYFUNCTION("""COMPUTED_VALUE"""),"")</f>
        <v/>
      </c>
      <c r="O5997" s="14"/>
    </row>
    <row r="5998" ht="22.5" hidden="1" customHeight="1">
      <c r="A5998" s="8">
        <v>46260.467613877314</v>
      </c>
      <c r="B5998" s="14">
        <v>46260.0</v>
      </c>
      <c r="C5998" s="9" t="s">
        <v>15</v>
      </c>
      <c r="D5998" s="9" t="s">
        <v>414</v>
      </c>
      <c r="E5998" s="9" t="s">
        <v>17</v>
      </c>
      <c r="F5998" s="9" t="s">
        <v>18</v>
      </c>
      <c r="G5998" s="9">
        <v>8.0</v>
      </c>
      <c r="H5998" s="9" t="s">
        <v>22</v>
      </c>
      <c r="I5998" s="9" t="s">
        <v>20</v>
      </c>
      <c r="J5998" s="16">
        <v>0.8</v>
      </c>
      <c r="K5998" s="14" t="s">
        <v>398</v>
      </c>
      <c r="N5998" s="14" t="str">
        <f>IFERROR(__xludf.DUMMYFUNCTION("""COMPUTED_VALUE"""),"")</f>
        <v/>
      </c>
      <c r="O5998" s="14"/>
    </row>
    <row r="5999" ht="22.5" hidden="1" customHeight="1">
      <c r="A5999" s="8">
        <v>46260.471400254624</v>
      </c>
      <c r="B5999" s="14">
        <v>46260.0</v>
      </c>
      <c r="C5999" s="9" t="s">
        <v>15</v>
      </c>
      <c r="D5999" s="9" t="s">
        <v>463</v>
      </c>
      <c r="E5999" s="9" t="s">
        <v>30</v>
      </c>
      <c r="F5999" s="9" t="s">
        <v>43</v>
      </c>
      <c r="G5999" s="9" t="s">
        <v>409</v>
      </c>
      <c r="H5999" s="9" t="s">
        <v>22</v>
      </c>
      <c r="I5999" s="9" t="s">
        <v>20</v>
      </c>
      <c r="J5999" s="16">
        <v>0.8</v>
      </c>
      <c r="K5999" s="14" t="s">
        <v>398</v>
      </c>
      <c r="N5999" s="14" t="str">
        <f>IFERROR(__xludf.DUMMYFUNCTION("""COMPUTED_VALUE"""),"")</f>
        <v/>
      </c>
      <c r="O5999" s="14"/>
    </row>
    <row r="6000" ht="22.5" hidden="1" customHeight="1">
      <c r="A6000" s="8">
        <v>46260.47173958333</v>
      </c>
      <c r="B6000" s="14">
        <v>46260.0</v>
      </c>
      <c r="C6000" s="9" t="s">
        <v>15</v>
      </c>
      <c r="D6000" s="9" t="s">
        <v>105</v>
      </c>
      <c r="E6000" s="9" t="s">
        <v>30</v>
      </c>
      <c r="F6000" s="9" t="s">
        <v>18</v>
      </c>
      <c r="G6000" s="9" t="s">
        <v>409</v>
      </c>
      <c r="H6000" s="9" t="s">
        <v>22</v>
      </c>
      <c r="I6000" s="9" t="s">
        <v>20</v>
      </c>
      <c r="J6000" s="16">
        <v>0.8</v>
      </c>
      <c r="K6000" s="14" t="s">
        <v>398</v>
      </c>
      <c r="N6000" s="14" t="str">
        <f>IFERROR(__xludf.DUMMYFUNCTION("""COMPUTED_VALUE"""),"")</f>
        <v/>
      </c>
      <c r="O6000" s="14"/>
    </row>
    <row r="6001" ht="22.5" hidden="1" customHeight="1">
      <c r="A6001" s="8">
        <v>46260.47281572917</v>
      </c>
      <c r="B6001" s="14">
        <v>46260.0</v>
      </c>
      <c r="C6001" s="9" t="s">
        <v>15</v>
      </c>
      <c r="D6001" s="9" t="s">
        <v>460</v>
      </c>
      <c r="E6001" s="9" t="s">
        <v>17</v>
      </c>
      <c r="F6001" s="9" t="s">
        <v>43</v>
      </c>
      <c r="G6001" s="9">
        <v>8.0</v>
      </c>
      <c r="H6001" s="9" t="s">
        <v>22</v>
      </c>
      <c r="I6001" s="9" t="s">
        <v>20</v>
      </c>
      <c r="J6001" s="16">
        <v>1.0</v>
      </c>
      <c r="K6001" s="14" t="s">
        <v>398</v>
      </c>
      <c r="N6001" s="14" t="str">
        <f>IFERROR(__xludf.DUMMYFUNCTION("""COMPUTED_VALUE"""),"")</f>
        <v/>
      </c>
      <c r="O6001" s="14"/>
    </row>
    <row r="6002" ht="22.5" hidden="1" customHeight="1">
      <c r="A6002" s="8">
        <v>46260.4730566088</v>
      </c>
      <c r="B6002" s="14">
        <v>46260.0</v>
      </c>
      <c r="C6002" s="9" t="s">
        <v>15</v>
      </c>
      <c r="D6002" s="9" t="s">
        <v>441</v>
      </c>
      <c r="E6002" s="9" t="s">
        <v>17</v>
      </c>
      <c r="F6002" s="9" t="s">
        <v>18</v>
      </c>
      <c r="G6002" s="9">
        <v>7.0</v>
      </c>
      <c r="H6002" s="9" t="s">
        <v>22</v>
      </c>
      <c r="I6002" s="9" t="s">
        <v>20</v>
      </c>
      <c r="J6002" s="16">
        <v>1.0</v>
      </c>
      <c r="K6002" s="14" t="s">
        <v>398</v>
      </c>
      <c r="N6002" s="14" t="str">
        <f>IFERROR(__xludf.DUMMYFUNCTION("""COMPUTED_VALUE"""),"")</f>
        <v/>
      </c>
      <c r="O6002" s="14"/>
    </row>
    <row r="6003" ht="22.5" hidden="1" customHeight="1">
      <c r="A6003" s="8">
        <v>46260.477324548614</v>
      </c>
      <c r="B6003" s="14">
        <v>46260.0</v>
      </c>
      <c r="C6003" s="9" t="s">
        <v>15</v>
      </c>
      <c r="D6003" s="9" t="s">
        <v>395</v>
      </c>
      <c r="E6003" s="9" t="s">
        <v>17</v>
      </c>
      <c r="F6003" s="9" t="s">
        <v>35</v>
      </c>
      <c r="G6003" s="9" t="s">
        <v>409</v>
      </c>
      <c r="H6003" s="9" t="s">
        <v>22</v>
      </c>
      <c r="I6003" s="9" t="s">
        <v>20</v>
      </c>
      <c r="J6003" s="16">
        <v>0.8</v>
      </c>
      <c r="K6003" s="14" t="s">
        <v>398</v>
      </c>
      <c r="N6003" s="14" t="str">
        <f>IFERROR(__xludf.DUMMYFUNCTION("""COMPUTED_VALUE"""),"")</f>
        <v/>
      </c>
      <c r="O6003" s="14"/>
    </row>
    <row r="6004" ht="22.5" hidden="1" customHeight="1">
      <c r="A6004" s="8">
        <v>46260.477560046296</v>
      </c>
      <c r="B6004" s="14">
        <v>46260.0</v>
      </c>
      <c r="C6004" s="9" t="s">
        <v>15</v>
      </c>
      <c r="D6004" s="9" t="s">
        <v>177</v>
      </c>
      <c r="E6004" s="9" t="s">
        <v>17</v>
      </c>
      <c r="F6004" s="9" t="s">
        <v>18</v>
      </c>
      <c r="G6004" s="9">
        <v>8.0</v>
      </c>
      <c r="H6004" s="9" t="s">
        <v>22</v>
      </c>
      <c r="I6004" s="9" t="s">
        <v>20</v>
      </c>
      <c r="J6004" s="16">
        <v>0.8</v>
      </c>
      <c r="K6004" s="14" t="s">
        <v>398</v>
      </c>
      <c r="N6004" s="14" t="str">
        <f>IFERROR(__xludf.DUMMYFUNCTION("""COMPUTED_VALUE"""),"")</f>
        <v/>
      </c>
      <c r="O6004" s="14"/>
    </row>
    <row r="6005" ht="22.5" hidden="1" customHeight="1">
      <c r="A6005" s="8">
        <v>46260.47799315972</v>
      </c>
      <c r="B6005" s="14">
        <v>46260.0</v>
      </c>
      <c r="C6005" s="9" t="s">
        <v>15</v>
      </c>
      <c r="D6005" s="9" t="s">
        <v>357</v>
      </c>
      <c r="E6005" s="9" t="s">
        <v>44</v>
      </c>
      <c r="F6005" s="9" t="s">
        <v>35</v>
      </c>
      <c r="G6005" s="9" t="s">
        <v>409</v>
      </c>
      <c r="H6005" s="9" t="s">
        <v>22</v>
      </c>
      <c r="I6005" s="9" t="s">
        <v>20</v>
      </c>
      <c r="J6005" s="16">
        <v>0.8</v>
      </c>
      <c r="K6005" s="14" t="s">
        <v>398</v>
      </c>
      <c r="N6005" s="14" t="str">
        <f>IFERROR(__xludf.DUMMYFUNCTION("""COMPUTED_VALUE"""),"")</f>
        <v/>
      </c>
      <c r="O6005" s="14"/>
    </row>
    <row r="6006" ht="22.5" hidden="1" customHeight="1">
      <c r="A6006" s="8">
        <v>46260.478385787035</v>
      </c>
      <c r="B6006" s="14">
        <v>46260.0</v>
      </c>
      <c r="C6006" s="9" t="s">
        <v>15</v>
      </c>
      <c r="D6006" s="9" t="s">
        <v>457</v>
      </c>
      <c r="E6006" s="9" t="s">
        <v>17</v>
      </c>
      <c r="F6006" s="9" t="s">
        <v>18</v>
      </c>
      <c r="G6006" s="9" t="s">
        <v>409</v>
      </c>
      <c r="H6006" s="9" t="s">
        <v>22</v>
      </c>
      <c r="I6006" s="9" t="s">
        <v>20</v>
      </c>
      <c r="J6006" s="16">
        <v>0.8</v>
      </c>
      <c r="K6006" s="14" t="s">
        <v>398</v>
      </c>
      <c r="N6006" s="14" t="str">
        <f>IFERROR(__xludf.DUMMYFUNCTION("""COMPUTED_VALUE"""),"")</f>
        <v/>
      </c>
      <c r="O6006" s="14"/>
    </row>
    <row r="6007" ht="22.5" hidden="1" customHeight="1">
      <c r="A6007" s="8">
        <v>46260.479765625</v>
      </c>
      <c r="B6007" s="14">
        <v>46260.0</v>
      </c>
      <c r="C6007" s="9" t="s">
        <v>15</v>
      </c>
      <c r="D6007" s="9" t="s">
        <v>369</v>
      </c>
      <c r="E6007" s="9" t="s">
        <v>17</v>
      </c>
      <c r="F6007" s="9" t="s">
        <v>18</v>
      </c>
      <c r="G6007" s="9">
        <v>8.0</v>
      </c>
      <c r="H6007" s="9" t="s">
        <v>22</v>
      </c>
      <c r="I6007" s="9" t="s">
        <v>20</v>
      </c>
      <c r="J6007" s="16">
        <v>0.8</v>
      </c>
      <c r="K6007" s="14" t="s">
        <v>398</v>
      </c>
      <c r="N6007" s="14" t="str">
        <f>IFERROR(__xludf.DUMMYFUNCTION("""COMPUTED_VALUE"""),"")</f>
        <v/>
      </c>
      <c r="O6007" s="14"/>
    </row>
    <row r="6008" ht="22.5" hidden="1" customHeight="1">
      <c r="A6008" s="8">
        <v>46260.48044204861</v>
      </c>
      <c r="B6008" s="14">
        <v>46260.0</v>
      </c>
      <c r="C6008" s="9" t="s">
        <v>15</v>
      </c>
      <c r="D6008" s="9" t="s">
        <v>249</v>
      </c>
      <c r="E6008" s="9" t="s">
        <v>30</v>
      </c>
      <c r="F6008" s="9" t="s">
        <v>18</v>
      </c>
      <c r="G6008" s="9">
        <v>8.0</v>
      </c>
      <c r="H6008" s="9" t="s">
        <v>22</v>
      </c>
      <c r="I6008" s="9" t="s">
        <v>20</v>
      </c>
      <c r="J6008" s="16">
        <v>0.8</v>
      </c>
      <c r="K6008" s="14" t="s">
        <v>398</v>
      </c>
      <c r="N6008" s="14" t="str">
        <f>IFERROR(__xludf.DUMMYFUNCTION("""COMPUTED_VALUE"""),"")</f>
        <v/>
      </c>
      <c r="O6008" s="14"/>
    </row>
    <row r="6009" ht="22.5" hidden="1" customHeight="1">
      <c r="A6009" s="8">
        <v>46260.480870810185</v>
      </c>
      <c r="B6009" s="14">
        <v>46260.0</v>
      </c>
      <c r="C6009" s="9" t="s">
        <v>15</v>
      </c>
      <c r="D6009" s="9" t="s">
        <v>475</v>
      </c>
      <c r="E6009" s="9" t="s">
        <v>30</v>
      </c>
      <c r="F6009" s="9" t="s">
        <v>43</v>
      </c>
      <c r="G6009" s="9" t="s">
        <v>409</v>
      </c>
      <c r="H6009" s="9" t="s">
        <v>22</v>
      </c>
      <c r="I6009" s="9" t="s">
        <v>20</v>
      </c>
      <c r="J6009" s="16">
        <v>1.0</v>
      </c>
      <c r="K6009" s="14" t="s">
        <v>398</v>
      </c>
      <c r="N6009" s="14" t="str">
        <f>IFERROR(__xludf.DUMMYFUNCTION("""COMPUTED_VALUE"""),"")</f>
        <v/>
      </c>
      <c r="O6009" s="14"/>
    </row>
    <row r="6010" ht="22.5" hidden="1" customHeight="1">
      <c r="A6010" s="8">
        <v>46260.4812793287</v>
      </c>
      <c r="B6010" s="14">
        <v>46260.0</v>
      </c>
      <c r="C6010" s="9" t="s">
        <v>15</v>
      </c>
      <c r="D6010" s="9" t="s">
        <v>178</v>
      </c>
      <c r="E6010" s="9" t="s">
        <v>30</v>
      </c>
      <c r="F6010" s="9" t="s">
        <v>18</v>
      </c>
      <c r="G6010" s="9" t="s">
        <v>409</v>
      </c>
      <c r="H6010" s="9" t="s">
        <v>22</v>
      </c>
      <c r="I6010" s="9" t="s">
        <v>20</v>
      </c>
      <c r="J6010" s="16">
        <v>0.8</v>
      </c>
      <c r="K6010" s="14" t="s">
        <v>398</v>
      </c>
      <c r="N6010" s="14" t="str">
        <f>IFERROR(__xludf.DUMMYFUNCTION("""COMPUTED_VALUE"""),"")</f>
        <v/>
      </c>
      <c r="O6010" s="14"/>
    </row>
    <row r="6011" ht="22.5" hidden="1" customHeight="1">
      <c r="A6011" s="8">
        <v>46260.48243506944</v>
      </c>
      <c r="B6011" s="14">
        <v>46260.0</v>
      </c>
      <c r="C6011" s="9" t="s">
        <v>15</v>
      </c>
      <c r="D6011" s="9" t="s">
        <v>247</v>
      </c>
      <c r="E6011" s="9" t="s">
        <v>30</v>
      </c>
      <c r="F6011" s="9" t="s">
        <v>18</v>
      </c>
      <c r="G6011" s="9">
        <v>8.0</v>
      </c>
      <c r="H6011" s="9" t="s">
        <v>22</v>
      </c>
      <c r="I6011" s="9" t="s">
        <v>20</v>
      </c>
      <c r="J6011" s="16">
        <v>0.8</v>
      </c>
      <c r="K6011" s="14" t="s">
        <v>398</v>
      </c>
      <c r="N6011" s="14" t="str">
        <f>IFERROR(__xludf.DUMMYFUNCTION("""COMPUTED_VALUE"""),"")</f>
        <v/>
      </c>
      <c r="O6011" s="14"/>
    </row>
    <row r="6012" ht="22.5" hidden="1" customHeight="1">
      <c r="A6012" s="8">
        <v>46260.482924791664</v>
      </c>
      <c r="B6012" s="14">
        <v>46260.0</v>
      </c>
      <c r="C6012" s="9" t="s">
        <v>15</v>
      </c>
      <c r="D6012" s="9" t="s">
        <v>175</v>
      </c>
      <c r="E6012" s="9" t="s">
        <v>17</v>
      </c>
      <c r="F6012" s="9" t="s">
        <v>18</v>
      </c>
      <c r="G6012" s="9" t="s">
        <v>409</v>
      </c>
      <c r="H6012" s="9" t="s">
        <v>22</v>
      </c>
      <c r="I6012" s="9" t="s">
        <v>20</v>
      </c>
      <c r="J6012" s="16">
        <v>0.8</v>
      </c>
      <c r="K6012" s="14" t="s">
        <v>398</v>
      </c>
      <c r="N6012" s="14" t="str">
        <f>IFERROR(__xludf.DUMMYFUNCTION("""COMPUTED_VALUE"""),"")</f>
        <v/>
      </c>
      <c r="O6012" s="14"/>
    </row>
    <row r="6013" ht="22.5" hidden="1" customHeight="1">
      <c r="A6013" s="8">
        <v>46260.48450153935</v>
      </c>
      <c r="B6013" s="14">
        <v>46260.0</v>
      </c>
      <c r="C6013" s="9" t="s">
        <v>15</v>
      </c>
      <c r="D6013" s="9" t="s">
        <v>259</v>
      </c>
      <c r="E6013" s="9" t="s">
        <v>30</v>
      </c>
      <c r="F6013" s="9" t="s">
        <v>43</v>
      </c>
      <c r="G6013" s="9" t="s">
        <v>409</v>
      </c>
      <c r="H6013" s="9" t="s">
        <v>22</v>
      </c>
      <c r="I6013" s="9" t="s">
        <v>20</v>
      </c>
      <c r="J6013" s="16">
        <v>0.8</v>
      </c>
      <c r="K6013" s="14" t="s">
        <v>398</v>
      </c>
      <c r="N6013" s="14" t="str">
        <f>IFERROR(__xludf.DUMMYFUNCTION("""COMPUTED_VALUE"""),"")</f>
        <v/>
      </c>
      <c r="O6013" s="14"/>
    </row>
    <row r="6014" ht="22.5" hidden="1" customHeight="1">
      <c r="A6014" s="8">
        <v>46260.49186770833</v>
      </c>
      <c r="B6014" s="14">
        <v>46260.0</v>
      </c>
      <c r="C6014" s="9" t="s">
        <v>15</v>
      </c>
      <c r="D6014" s="9" t="s">
        <v>210</v>
      </c>
      <c r="E6014" s="9" t="s">
        <v>30</v>
      </c>
      <c r="F6014" s="9" t="s">
        <v>43</v>
      </c>
      <c r="G6014" s="9">
        <v>8.0</v>
      </c>
      <c r="H6014" s="9" t="s">
        <v>22</v>
      </c>
      <c r="I6014" s="9" t="s">
        <v>20</v>
      </c>
      <c r="J6014" s="16">
        <v>1.0</v>
      </c>
      <c r="K6014" s="14" t="s">
        <v>398</v>
      </c>
      <c r="N6014" s="14" t="str">
        <f>IFERROR(__xludf.DUMMYFUNCTION("""COMPUTED_VALUE"""),"")</f>
        <v/>
      </c>
      <c r="O6014" s="14"/>
    </row>
    <row r="6015" ht="22.5" hidden="1" customHeight="1">
      <c r="A6015" s="8">
        <v>46260.50311118056</v>
      </c>
      <c r="B6015" s="14">
        <v>46260.0</v>
      </c>
      <c r="C6015" s="9" t="s">
        <v>15</v>
      </c>
      <c r="D6015" s="9" t="s">
        <v>396</v>
      </c>
      <c r="E6015" s="9" t="s">
        <v>30</v>
      </c>
      <c r="F6015" s="9" t="s">
        <v>18</v>
      </c>
      <c r="G6015" s="9" t="s">
        <v>409</v>
      </c>
      <c r="H6015" s="9" t="s">
        <v>22</v>
      </c>
      <c r="I6015" s="9" t="s">
        <v>20</v>
      </c>
      <c r="J6015" s="16">
        <v>0.8</v>
      </c>
      <c r="K6015" s="14" t="s">
        <v>398</v>
      </c>
      <c r="N6015" s="14" t="str">
        <f>IFERROR(__xludf.DUMMYFUNCTION("""COMPUTED_VALUE"""),"")</f>
        <v/>
      </c>
      <c r="O6015" s="14"/>
    </row>
    <row r="6016" ht="22.5" hidden="1" customHeight="1">
      <c r="A6016" s="8">
        <v>46260.51902061343</v>
      </c>
      <c r="B6016" s="14">
        <v>46260.0</v>
      </c>
      <c r="C6016" s="9" t="s">
        <v>15</v>
      </c>
      <c r="D6016" s="9" t="s">
        <v>335</v>
      </c>
      <c r="E6016" s="9" t="s">
        <v>30</v>
      </c>
      <c r="F6016" s="9" t="s">
        <v>18</v>
      </c>
      <c r="G6016" s="9" t="s">
        <v>409</v>
      </c>
      <c r="H6016" s="9" t="s">
        <v>22</v>
      </c>
      <c r="I6016" s="9" t="s">
        <v>20</v>
      </c>
      <c r="J6016" s="16">
        <v>1.0</v>
      </c>
      <c r="K6016" s="14" t="s">
        <v>398</v>
      </c>
      <c r="N6016" s="14" t="str">
        <f>IFERROR(__xludf.DUMMYFUNCTION("""COMPUTED_VALUE"""),"")</f>
        <v/>
      </c>
      <c r="O6016" s="14"/>
    </row>
    <row r="6017" ht="22.5" hidden="1" customHeight="1">
      <c r="A6017" s="8">
        <v>46262.62539891204</v>
      </c>
      <c r="B6017" s="14">
        <v>46262.0</v>
      </c>
      <c r="C6017" s="9" t="s">
        <v>48</v>
      </c>
      <c r="D6017" s="9" t="s">
        <v>177</v>
      </c>
      <c r="E6017" s="9" t="s">
        <v>46</v>
      </c>
      <c r="F6017" s="9" t="s">
        <v>17</v>
      </c>
      <c r="G6017" s="9">
        <v>7.0</v>
      </c>
      <c r="H6017" s="9" t="s">
        <v>22</v>
      </c>
      <c r="I6017" s="9" t="s">
        <v>20</v>
      </c>
      <c r="J6017" s="16">
        <v>0.8</v>
      </c>
      <c r="K6017" s="14" t="s">
        <v>398</v>
      </c>
      <c r="N6017" s="14" t="str">
        <f>IFERROR(__xludf.DUMMYFUNCTION("""COMPUTED_VALUE"""),"")</f>
        <v/>
      </c>
      <c r="O6017" s="14"/>
    </row>
    <row r="6018" ht="22.5" hidden="1" customHeight="1">
      <c r="A6018" s="8">
        <v>46262.625498194444</v>
      </c>
      <c r="B6018" s="14">
        <v>46262.0</v>
      </c>
      <c r="C6018" s="9" t="s">
        <v>48</v>
      </c>
      <c r="D6018" s="9" t="s">
        <v>259</v>
      </c>
      <c r="E6018" s="9" t="s">
        <v>17</v>
      </c>
      <c r="F6018" s="9" t="s">
        <v>18</v>
      </c>
      <c r="G6018" s="9" t="s">
        <v>409</v>
      </c>
      <c r="H6018" s="9" t="s">
        <v>25</v>
      </c>
      <c r="I6018" s="9" t="s">
        <v>211</v>
      </c>
      <c r="J6018" s="16">
        <v>0.8</v>
      </c>
      <c r="K6018" s="14" t="s">
        <v>398</v>
      </c>
      <c r="N6018" s="14" t="str">
        <f>IFERROR(__xludf.DUMMYFUNCTION("""COMPUTED_VALUE"""),"")</f>
        <v/>
      </c>
      <c r="O6018" s="14"/>
    </row>
    <row r="6019" ht="22.5" hidden="1" customHeight="1">
      <c r="A6019" s="8">
        <v>46262.62648795139</v>
      </c>
      <c r="B6019" s="14">
        <v>46262.0</v>
      </c>
      <c r="C6019" s="9" t="s">
        <v>48</v>
      </c>
      <c r="D6019" s="9" t="s">
        <v>171</v>
      </c>
      <c r="E6019" s="9" t="s">
        <v>61</v>
      </c>
      <c r="F6019" s="9" t="s">
        <v>39</v>
      </c>
      <c r="G6019" s="9" t="s">
        <v>410</v>
      </c>
      <c r="H6019" s="9" t="s">
        <v>25</v>
      </c>
      <c r="I6019" s="9" t="s">
        <v>34</v>
      </c>
      <c r="J6019" s="16">
        <v>0.4</v>
      </c>
      <c r="K6019" s="14" t="s">
        <v>398</v>
      </c>
      <c r="N6019" s="14" t="str">
        <f>IFERROR(__xludf.DUMMYFUNCTION("""COMPUTED_VALUE"""),"")</f>
        <v/>
      </c>
      <c r="O6019" s="14"/>
    </row>
    <row r="6020" ht="22.5" hidden="1" customHeight="1">
      <c r="A6020" s="8">
        <v>46262.63719675926</v>
      </c>
      <c r="B6020" s="14">
        <v>46262.0</v>
      </c>
      <c r="C6020" s="9" t="s">
        <v>48</v>
      </c>
      <c r="D6020" s="9" t="s">
        <v>247</v>
      </c>
      <c r="E6020" s="9" t="s">
        <v>61</v>
      </c>
      <c r="F6020" s="9" t="s">
        <v>17</v>
      </c>
      <c r="G6020" s="9" t="s">
        <v>409</v>
      </c>
      <c r="H6020" s="9" t="s">
        <v>17</v>
      </c>
      <c r="I6020" s="9" t="s">
        <v>20</v>
      </c>
      <c r="J6020" s="16">
        <v>0.6</v>
      </c>
      <c r="K6020" s="14" t="s">
        <v>398</v>
      </c>
      <c r="N6020" s="14" t="str">
        <f>IFERROR(__xludf.DUMMYFUNCTION("""COMPUTED_VALUE"""),"")</f>
        <v/>
      </c>
      <c r="O6020" s="14"/>
    </row>
    <row r="6021" ht="22.5" hidden="1" customHeight="1">
      <c r="A6021" s="8">
        <v>46262.643772766205</v>
      </c>
      <c r="B6021" s="14">
        <v>46262.0</v>
      </c>
      <c r="C6021" s="9" t="s">
        <v>48</v>
      </c>
      <c r="D6021" s="9" t="s">
        <v>178</v>
      </c>
      <c r="E6021" s="9" t="s">
        <v>17</v>
      </c>
      <c r="F6021" s="9" t="s">
        <v>35</v>
      </c>
      <c r="G6021" s="9">
        <v>7.0</v>
      </c>
      <c r="H6021" s="9" t="s">
        <v>22</v>
      </c>
      <c r="I6021" s="9" t="s">
        <v>20</v>
      </c>
      <c r="J6021" s="16">
        <v>0.6</v>
      </c>
      <c r="K6021" s="14" t="s">
        <v>398</v>
      </c>
      <c r="N6021" s="14" t="str">
        <f>IFERROR(__xludf.DUMMYFUNCTION("""COMPUTED_VALUE"""),"")</f>
        <v/>
      </c>
      <c r="O6021" s="14"/>
    </row>
    <row r="6022" ht="22.5" hidden="1" customHeight="1">
      <c r="A6022" s="8">
        <v>46262.72263586806</v>
      </c>
      <c r="B6022" s="14">
        <v>46262.0</v>
      </c>
      <c r="C6022" s="9" t="s">
        <v>48</v>
      </c>
      <c r="D6022" s="9" t="s">
        <v>257</v>
      </c>
      <c r="E6022" s="9" t="s">
        <v>30</v>
      </c>
      <c r="F6022" s="9" t="s">
        <v>43</v>
      </c>
      <c r="G6022" s="9" t="s">
        <v>409</v>
      </c>
      <c r="H6022" s="9" t="s">
        <v>22</v>
      </c>
      <c r="I6022" s="9" t="s">
        <v>20</v>
      </c>
      <c r="J6022" s="16">
        <v>1.0</v>
      </c>
      <c r="K6022" s="14" t="s">
        <v>398</v>
      </c>
      <c r="N6022" s="14" t="str">
        <f>IFERROR(__xludf.DUMMYFUNCTION("""COMPUTED_VALUE"""),"")</f>
        <v/>
      </c>
      <c r="O6022" s="14"/>
    </row>
    <row r="6023" ht="22.5" hidden="1" customHeight="1">
      <c r="A6023" s="8">
        <v>46262.72293297454</v>
      </c>
      <c r="B6023" s="14">
        <v>46262.0</v>
      </c>
      <c r="C6023" s="9" t="s">
        <v>48</v>
      </c>
      <c r="D6023" s="9" t="s">
        <v>249</v>
      </c>
      <c r="E6023" s="9" t="s">
        <v>17</v>
      </c>
      <c r="F6023" s="9" t="s">
        <v>17</v>
      </c>
      <c r="G6023" s="9" t="s">
        <v>409</v>
      </c>
      <c r="H6023" s="9" t="s">
        <v>22</v>
      </c>
      <c r="I6023" s="9" t="s">
        <v>20</v>
      </c>
      <c r="J6023" s="16">
        <v>0.8</v>
      </c>
      <c r="K6023" s="14" t="s">
        <v>398</v>
      </c>
      <c r="N6023" s="14" t="str">
        <f>IFERROR(__xludf.DUMMYFUNCTION("""COMPUTED_VALUE"""),"")</f>
        <v/>
      </c>
      <c r="O6023" s="14"/>
    </row>
    <row r="6024" ht="22.5" hidden="1" customHeight="1">
      <c r="A6024" s="8">
        <v>46262.72334344908</v>
      </c>
      <c r="B6024" s="14">
        <v>46262.0</v>
      </c>
      <c r="C6024" s="9" t="s">
        <v>48</v>
      </c>
      <c r="D6024" s="9" t="s">
        <v>357</v>
      </c>
      <c r="E6024" s="9" t="s">
        <v>17</v>
      </c>
      <c r="F6024" s="9" t="s">
        <v>17</v>
      </c>
      <c r="G6024" s="9">
        <v>8.0</v>
      </c>
      <c r="H6024" s="9" t="s">
        <v>25</v>
      </c>
      <c r="I6024" s="9" t="s">
        <v>41</v>
      </c>
      <c r="J6024" s="16">
        <v>0.6</v>
      </c>
      <c r="K6024" s="14" t="s">
        <v>398</v>
      </c>
      <c r="N6024" s="14" t="str">
        <f>IFERROR(__xludf.DUMMYFUNCTION("""COMPUTED_VALUE"""),"")</f>
        <v/>
      </c>
      <c r="O6024" s="14"/>
    </row>
    <row r="6025" ht="22.5" hidden="1" customHeight="1">
      <c r="A6025" s="8">
        <v>46262.72372618056</v>
      </c>
      <c r="B6025" s="14">
        <v>46262.0</v>
      </c>
      <c r="C6025" s="9" t="s">
        <v>48</v>
      </c>
      <c r="D6025" s="9" t="s">
        <v>442</v>
      </c>
      <c r="E6025" s="9" t="s">
        <v>17</v>
      </c>
      <c r="F6025" s="9" t="s">
        <v>17</v>
      </c>
      <c r="G6025" s="9">
        <v>8.0</v>
      </c>
      <c r="H6025" s="9" t="s">
        <v>22</v>
      </c>
      <c r="I6025" s="9" t="s">
        <v>20</v>
      </c>
      <c r="J6025" s="16">
        <v>0.8</v>
      </c>
      <c r="K6025" s="14" t="s">
        <v>398</v>
      </c>
      <c r="N6025" s="14" t="str">
        <f>IFERROR(__xludf.DUMMYFUNCTION("""COMPUTED_VALUE"""),"")</f>
        <v/>
      </c>
      <c r="O6025" s="14"/>
    </row>
    <row r="6026" ht="22.5" hidden="1" customHeight="1">
      <c r="A6026" s="8">
        <v>46262.72440049768</v>
      </c>
      <c r="B6026" s="14">
        <v>46262.0</v>
      </c>
      <c r="C6026" s="9" t="s">
        <v>48</v>
      </c>
      <c r="D6026" s="9" t="s">
        <v>413</v>
      </c>
      <c r="E6026" s="9" t="s">
        <v>17</v>
      </c>
      <c r="F6026" s="9" t="s">
        <v>17</v>
      </c>
      <c r="G6026" s="9">
        <v>8.0</v>
      </c>
      <c r="H6026" s="9" t="s">
        <v>22</v>
      </c>
      <c r="I6026" s="9" t="s">
        <v>20</v>
      </c>
      <c r="J6026" s="16">
        <v>0.8</v>
      </c>
      <c r="K6026" s="14" t="s">
        <v>398</v>
      </c>
      <c r="N6026" s="14" t="str">
        <f>IFERROR(__xludf.DUMMYFUNCTION("""COMPUTED_VALUE"""),"")</f>
        <v/>
      </c>
      <c r="O6026" s="14"/>
    </row>
    <row r="6027" ht="22.5" hidden="1" customHeight="1">
      <c r="A6027" s="8">
        <v>46262.72528806713</v>
      </c>
      <c r="B6027" s="14">
        <v>46262.0</v>
      </c>
      <c r="C6027" s="9" t="s">
        <v>48</v>
      </c>
      <c r="D6027" s="9" t="s">
        <v>394</v>
      </c>
      <c r="E6027" s="9" t="s">
        <v>17</v>
      </c>
      <c r="F6027" s="9" t="s">
        <v>17</v>
      </c>
      <c r="G6027" s="9">
        <v>8.0</v>
      </c>
      <c r="H6027" s="9" t="s">
        <v>25</v>
      </c>
      <c r="I6027" s="9" t="s">
        <v>28</v>
      </c>
      <c r="J6027" s="16">
        <v>1.0</v>
      </c>
      <c r="K6027" s="14" t="s">
        <v>398</v>
      </c>
      <c r="N6027" s="14" t="str">
        <f>IFERROR(__xludf.DUMMYFUNCTION("""COMPUTED_VALUE"""),"")</f>
        <v/>
      </c>
      <c r="O6027" s="14"/>
    </row>
    <row r="6028" ht="22.5" hidden="1" customHeight="1">
      <c r="A6028" s="8">
        <v>46262.72562814815</v>
      </c>
      <c r="B6028" s="14">
        <v>46262.0</v>
      </c>
      <c r="C6028" s="9" t="s">
        <v>48</v>
      </c>
      <c r="D6028" s="9" t="s">
        <v>174</v>
      </c>
      <c r="E6028" s="9" t="s">
        <v>30</v>
      </c>
      <c r="F6028" s="9" t="s">
        <v>17</v>
      </c>
      <c r="G6028" s="9">
        <v>8.0</v>
      </c>
      <c r="H6028" s="9" t="s">
        <v>22</v>
      </c>
      <c r="I6028" s="9" t="s">
        <v>20</v>
      </c>
      <c r="J6028" s="16">
        <v>1.0</v>
      </c>
      <c r="K6028" s="14" t="s">
        <v>398</v>
      </c>
      <c r="N6028" s="14" t="str">
        <f>IFERROR(__xludf.DUMMYFUNCTION("""COMPUTED_VALUE"""),"")</f>
        <v/>
      </c>
      <c r="O6028" s="14"/>
    </row>
    <row r="6029" ht="22.5" hidden="1" customHeight="1">
      <c r="A6029" s="8">
        <v>46262.72801762732</v>
      </c>
      <c r="B6029" s="14">
        <v>46262.0</v>
      </c>
      <c r="C6029" s="9" t="s">
        <v>48</v>
      </c>
      <c r="D6029" s="9" t="s">
        <v>469</v>
      </c>
      <c r="E6029" s="9" t="s">
        <v>17</v>
      </c>
      <c r="F6029" s="9" t="s">
        <v>17</v>
      </c>
      <c r="G6029" s="9">
        <v>6.0</v>
      </c>
      <c r="H6029" s="9" t="s">
        <v>22</v>
      </c>
      <c r="I6029" s="9" t="s">
        <v>20</v>
      </c>
      <c r="J6029" s="16">
        <v>1.0</v>
      </c>
      <c r="K6029" s="14" t="s">
        <v>398</v>
      </c>
      <c r="N6029" s="14" t="str">
        <f>IFERROR(__xludf.DUMMYFUNCTION("""COMPUTED_VALUE"""),"")</f>
        <v/>
      </c>
      <c r="O6029" s="14"/>
    </row>
    <row r="6030" ht="22.5" hidden="1" customHeight="1">
      <c r="A6030" s="8">
        <v>46262.72830674768</v>
      </c>
      <c r="B6030" s="14">
        <v>46262.0</v>
      </c>
      <c r="C6030" s="9" t="s">
        <v>48</v>
      </c>
      <c r="D6030" s="9" t="s">
        <v>105</v>
      </c>
      <c r="E6030" s="9" t="s">
        <v>17</v>
      </c>
      <c r="F6030" s="9" t="s">
        <v>17</v>
      </c>
      <c r="G6030" s="9">
        <v>8.0</v>
      </c>
      <c r="H6030" s="9" t="s">
        <v>22</v>
      </c>
      <c r="I6030" s="9" t="s">
        <v>20</v>
      </c>
      <c r="J6030" s="16">
        <v>0.8</v>
      </c>
      <c r="K6030" s="14" t="s">
        <v>398</v>
      </c>
      <c r="N6030" s="14" t="str">
        <f>IFERROR(__xludf.DUMMYFUNCTION("""COMPUTED_VALUE"""),"")</f>
        <v/>
      </c>
      <c r="O6030" s="14"/>
    </row>
    <row r="6031" ht="22.5" hidden="1" customHeight="1">
      <c r="A6031" s="8">
        <v>46262.731939375</v>
      </c>
      <c r="B6031" s="14">
        <v>46262.0</v>
      </c>
      <c r="C6031" s="9" t="s">
        <v>48</v>
      </c>
      <c r="D6031" s="9" t="s">
        <v>460</v>
      </c>
      <c r="E6031" s="9" t="s">
        <v>17</v>
      </c>
      <c r="F6031" s="9" t="s">
        <v>17</v>
      </c>
      <c r="G6031" s="9" t="s">
        <v>409</v>
      </c>
      <c r="H6031" s="9" t="s">
        <v>17</v>
      </c>
      <c r="I6031" s="9" t="s">
        <v>20</v>
      </c>
      <c r="J6031" s="16">
        <v>1.0</v>
      </c>
      <c r="K6031" s="14" t="s">
        <v>398</v>
      </c>
      <c r="N6031" s="14" t="str">
        <f>IFERROR(__xludf.DUMMYFUNCTION("""COMPUTED_VALUE"""),"")</f>
        <v/>
      </c>
      <c r="O6031" s="14"/>
    </row>
    <row r="6032" ht="22.5" hidden="1" customHeight="1">
      <c r="A6032" s="8">
        <v>46262.73289853009</v>
      </c>
      <c r="B6032" s="14">
        <v>46262.0</v>
      </c>
      <c r="C6032" s="9" t="s">
        <v>48</v>
      </c>
      <c r="D6032" s="9" t="s">
        <v>457</v>
      </c>
      <c r="E6032" s="9" t="s">
        <v>17</v>
      </c>
      <c r="F6032" s="9" t="s">
        <v>18</v>
      </c>
      <c r="G6032" s="9" t="s">
        <v>409</v>
      </c>
      <c r="H6032" s="9" t="s">
        <v>17</v>
      </c>
      <c r="I6032" s="9" t="s">
        <v>20</v>
      </c>
      <c r="J6032" s="16">
        <v>1.0</v>
      </c>
      <c r="K6032" s="14" t="s">
        <v>398</v>
      </c>
      <c r="N6032" s="14" t="str">
        <f>IFERROR(__xludf.DUMMYFUNCTION("""COMPUTED_VALUE"""),"")</f>
        <v/>
      </c>
      <c r="O6032" s="14"/>
    </row>
    <row r="6033" ht="22.5" hidden="1" customHeight="1">
      <c r="A6033" s="8">
        <v>46262.73332153935</v>
      </c>
      <c r="B6033" s="14">
        <v>46262.0</v>
      </c>
      <c r="C6033" s="9" t="s">
        <v>48</v>
      </c>
      <c r="D6033" s="9" t="s">
        <v>463</v>
      </c>
      <c r="E6033" s="9" t="s">
        <v>30</v>
      </c>
      <c r="F6033" s="9" t="s">
        <v>18</v>
      </c>
      <c r="G6033" s="9">
        <v>8.0</v>
      </c>
      <c r="H6033" s="9" t="s">
        <v>17</v>
      </c>
      <c r="I6033" s="9" t="s">
        <v>20</v>
      </c>
      <c r="J6033" s="16">
        <v>0.8</v>
      </c>
      <c r="K6033" s="14" t="s">
        <v>398</v>
      </c>
      <c r="N6033" s="14" t="str">
        <f>IFERROR(__xludf.DUMMYFUNCTION("""COMPUTED_VALUE"""),"")</f>
        <v/>
      </c>
      <c r="O6033" s="14"/>
    </row>
    <row r="6034" ht="22.5" hidden="1" customHeight="1">
      <c r="A6034" s="8">
        <v>46262.73507005787</v>
      </c>
      <c r="B6034" s="14">
        <v>46262.0</v>
      </c>
      <c r="C6034" s="9" t="s">
        <v>48</v>
      </c>
      <c r="D6034" s="9" t="s">
        <v>367</v>
      </c>
      <c r="E6034" s="9" t="s">
        <v>46</v>
      </c>
      <c r="F6034" s="9" t="s">
        <v>17</v>
      </c>
      <c r="G6034" s="9" t="s">
        <v>409</v>
      </c>
      <c r="H6034" s="9" t="s">
        <v>62</v>
      </c>
      <c r="I6034" s="9" t="s">
        <v>20</v>
      </c>
      <c r="J6034" s="16">
        <v>0.8</v>
      </c>
      <c r="K6034" s="14" t="s">
        <v>398</v>
      </c>
      <c r="N6034" s="14" t="str">
        <f>IFERROR(__xludf.DUMMYFUNCTION("""COMPUTED_VALUE"""),"")</f>
        <v/>
      </c>
      <c r="O6034" s="14"/>
    </row>
    <row r="6035" ht="22.5" hidden="1" customHeight="1">
      <c r="A6035" s="8">
        <v>46262.73586076389</v>
      </c>
      <c r="B6035" s="14">
        <v>46262.0</v>
      </c>
      <c r="C6035" s="9" t="s">
        <v>48</v>
      </c>
      <c r="D6035" s="9" t="s">
        <v>335</v>
      </c>
      <c r="E6035" s="9" t="s">
        <v>17</v>
      </c>
      <c r="F6035" s="9" t="s">
        <v>18</v>
      </c>
      <c r="G6035" s="9" t="s">
        <v>409</v>
      </c>
      <c r="H6035" s="9" t="s">
        <v>22</v>
      </c>
      <c r="I6035" s="9" t="s">
        <v>20</v>
      </c>
      <c r="J6035" s="16">
        <v>0.8</v>
      </c>
      <c r="K6035" s="14" t="s">
        <v>398</v>
      </c>
      <c r="N6035" s="14" t="str">
        <f>IFERROR(__xludf.DUMMYFUNCTION("""COMPUTED_VALUE"""),"")</f>
        <v/>
      </c>
      <c r="O6035" s="14"/>
    </row>
    <row r="6036" ht="22.5" hidden="1" customHeight="1">
      <c r="A6036" s="8">
        <v>46262.737710914356</v>
      </c>
      <c r="B6036" s="14">
        <v>46262.0</v>
      </c>
      <c r="C6036" s="9" t="s">
        <v>48</v>
      </c>
      <c r="D6036" s="9" t="s">
        <v>350</v>
      </c>
      <c r="E6036" s="9" t="s">
        <v>17</v>
      </c>
      <c r="F6036" s="9" t="s">
        <v>17</v>
      </c>
      <c r="G6036" s="9">
        <v>8.0</v>
      </c>
      <c r="H6036" s="9" t="s">
        <v>22</v>
      </c>
      <c r="I6036" s="9" t="s">
        <v>20</v>
      </c>
      <c r="J6036" s="16">
        <v>0.8</v>
      </c>
      <c r="K6036" s="14" t="s">
        <v>398</v>
      </c>
      <c r="N6036" s="14" t="str">
        <f>IFERROR(__xludf.DUMMYFUNCTION("""COMPUTED_VALUE"""),"")</f>
        <v/>
      </c>
      <c r="O6036" s="14"/>
    </row>
    <row r="6037" ht="22.5" hidden="1" customHeight="1">
      <c r="A6037" s="8">
        <v>46262.73919440972</v>
      </c>
      <c r="B6037" s="14">
        <v>46262.0</v>
      </c>
      <c r="C6037" s="9" t="s">
        <v>48</v>
      </c>
      <c r="D6037" s="9" t="s">
        <v>175</v>
      </c>
      <c r="E6037" s="9" t="s">
        <v>61</v>
      </c>
      <c r="F6037" s="9" t="s">
        <v>17</v>
      </c>
      <c r="G6037" s="9">
        <v>7.0</v>
      </c>
      <c r="H6037" s="9" t="s">
        <v>62</v>
      </c>
      <c r="I6037" s="9" t="s">
        <v>20</v>
      </c>
      <c r="J6037" s="16">
        <v>0.8</v>
      </c>
      <c r="K6037" s="14" t="s">
        <v>398</v>
      </c>
      <c r="N6037" s="14" t="str">
        <f>IFERROR(__xludf.DUMMYFUNCTION("""COMPUTED_VALUE"""),"")</f>
        <v/>
      </c>
      <c r="O6037" s="14"/>
    </row>
    <row r="6038" ht="22.5" hidden="1" customHeight="1">
      <c r="A6038" s="8">
        <v>46263.38275259259</v>
      </c>
      <c r="B6038" s="14">
        <v>46263.0</v>
      </c>
      <c r="C6038" s="9" t="s">
        <v>53</v>
      </c>
      <c r="D6038" s="9" t="s">
        <v>367</v>
      </c>
      <c r="E6038" s="9" t="s">
        <v>46</v>
      </c>
      <c r="F6038" s="9" t="s">
        <v>43</v>
      </c>
      <c r="G6038" s="9">
        <v>8.0</v>
      </c>
      <c r="H6038" s="9" t="s">
        <v>62</v>
      </c>
      <c r="I6038" s="9" t="s">
        <v>20</v>
      </c>
      <c r="J6038" s="16">
        <v>0.6</v>
      </c>
      <c r="K6038" s="14" t="s">
        <v>398</v>
      </c>
      <c r="N6038" s="14" t="str">
        <f>IFERROR(__xludf.DUMMYFUNCTION("""COMPUTED_VALUE"""),"")</f>
        <v/>
      </c>
      <c r="O6038" s="14"/>
    </row>
    <row r="6039" ht="22.5" hidden="1" customHeight="1">
      <c r="A6039" s="8">
        <v>46263.38673900463</v>
      </c>
      <c r="B6039" s="14">
        <v>46263.0</v>
      </c>
      <c r="C6039" s="9" t="s">
        <v>53</v>
      </c>
      <c r="D6039" s="9" t="s">
        <v>175</v>
      </c>
      <c r="E6039" s="9" t="s">
        <v>17</v>
      </c>
      <c r="F6039" s="9" t="s">
        <v>60</v>
      </c>
      <c r="G6039" s="9">
        <v>8.0</v>
      </c>
      <c r="H6039" s="9" t="s">
        <v>25</v>
      </c>
      <c r="I6039" s="9" t="s">
        <v>266</v>
      </c>
      <c r="J6039" s="16">
        <v>0.8</v>
      </c>
      <c r="K6039" s="14" t="s">
        <v>398</v>
      </c>
      <c r="N6039" s="14" t="str">
        <f>IFERROR(__xludf.DUMMYFUNCTION("""COMPUTED_VALUE"""),"")</f>
        <v/>
      </c>
      <c r="O6039" s="14"/>
    </row>
    <row r="6040" ht="22.5" hidden="1" customHeight="1">
      <c r="A6040" s="8">
        <v>46263.40296572917</v>
      </c>
      <c r="B6040" s="14">
        <v>46263.0</v>
      </c>
      <c r="C6040" s="9" t="s">
        <v>53</v>
      </c>
      <c r="D6040" s="9" t="s">
        <v>259</v>
      </c>
      <c r="E6040" s="9" t="s">
        <v>17</v>
      </c>
      <c r="F6040" s="9" t="s">
        <v>18</v>
      </c>
      <c r="G6040" s="9" t="s">
        <v>409</v>
      </c>
      <c r="H6040" s="9" t="s">
        <v>22</v>
      </c>
      <c r="I6040" s="9" t="s">
        <v>20</v>
      </c>
      <c r="J6040" s="16">
        <v>0.8</v>
      </c>
      <c r="K6040" s="14" t="s">
        <v>398</v>
      </c>
      <c r="N6040" s="14" t="str">
        <f>IFERROR(__xludf.DUMMYFUNCTION("""COMPUTED_VALUE"""),"")</f>
        <v/>
      </c>
      <c r="O6040" s="14"/>
    </row>
    <row r="6041" ht="22.5" hidden="1" customHeight="1">
      <c r="A6041" s="8">
        <v>46263.403335717594</v>
      </c>
      <c r="B6041" s="14">
        <v>46263.0</v>
      </c>
      <c r="C6041" s="9" t="s">
        <v>53</v>
      </c>
      <c r="D6041" s="9" t="s">
        <v>414</v>
      </c>
      <c r="E6041" s="9" t="s">
        <v>30</v>
      </c>
      <c r="F6041" s="9" t="s">
        <v>18</v>
      </c>
      <c r="G6041" s="9">
        <v>8.0</v>
      </c>
      <c r="H6041" s="9" t="s">
        <v>22</v>
      </c>
      <c r="I6041" s="9" t="s">
        <v>20</v>
      </c>
      <c r="J6041" s="16">
        <v>0.8</v>
      </c>
      <c r="K6041" s="14" t="s">
        <v>398</v>
      </c>
      <c r="N6041" s="14" t="str">
        <f>IFERROR(__xludf.DUMMYFUNCTION("""COMPUTED_VALUE"""),"")</f>
        <v/>
      </c>
      <c r="O6041" s="14"/>
    </row>
    <row r="6042" ht="22.5" hidden="1" customHeight="1">
      <c r="A6042" s="8">
        <v>46263.40913378472</v>
      </c>
      <c r="B6042" s="14">
        <v>46263.0</v>
      </c>
      <c r="C6042" s="9" t="s">
        <v>53</v>
      </c>
      <c r="D6042" s="9" t="s">
        <v>463</v>
      </c>
      <c r="E6042" s="9" t="s">
        <v>57</v>
      </c>
      <c r="F6042" s="9" t="s">
        <v>18</v>
      </c>
      <c r="G6042" s="9" t="s">
        <v>409</v>
      </c>
      <c r="H6042" s="9" t="s">
        <v>22</v>
      </c>
      <c r="I6042" s="9" t="s">
        <v>20</v>
      </c>
      <c r="J6042" s="16">
        <v>1.0</v>
      </c>
      <c r="K6042" s="14" t="s">
        <v>398</v>
      </c>
      <c r="N6042" s="14" t="str">
        <f>IFERROR(__xludf.DUMMYFUNCTION("""COMPUTED_VALUE"""),"")</f>
        <v/>
      </c>
      <c r="O6042" s="14"/>
    </row>
    <row r="6043" ht="22.5" hidden="1" customHeight="1">
      <c r="A6043" s="8">
        <v>46263.41087356482</v>
      </c>
      <c r="B6043" s="14">
        <v>46263.0</v>
      </c>
      <c r="C6043" s="9" t="s">
        <v>53</v>
      </c>
      <c r="D6043" s="9" t="s">
        <v>395</v>
      </c>
      <c r="E6043" s="9" t="s">
        <v>17</v>
      </c>
      <c r="F6043" s="9" t="s">
        <v>18</v>
      </c>
      <c r="G6043" s="9" t="s">
        <v>409</v>
      </c>
      <c r="H6043" s="9" t="s">
        <v>22</v>
      </c>
      <c r="I6043" s="9" t="s">
        <v>20</v>
      </c>
      <c r="J6043" s="16">
        <v>0.8</v>
      </c>
      <c r="K6043" s="14" t="s">
        <v>398</v>
      </c>
      <c r="N6043" s="14" t="str">
        <f>IFERROR(__xludf.DUMMYFUNCTION("""COMPUTED_VALUE"""),"")</f>
        <v/>
      </c>
      <c r="O6043" s="14"/>
    </row>
    <row r="6044" ht="22.5" hidden="1" customHeight="1">
      <c r="A6044" s="8">
        <v>46263.41381791666</v>
      </c>
      <c r="B6044" s="14">
        <v>46263.0</v>
      </c>
      <c r="C6044" s="9" t="s">
        <v>53</v>
      </c>
      <c r="D6044" s="9" t="s">
        <v>457</v>
      </c>
      <c r="E6044" s="9" t="s">
        <v>30</v>
      </c>
      <c r="F6044" s="9" t="s">
        <v>18</v>
      </c>
      <c r="G6044" s="9" t="s">
        <v>409</v>
      </c>
      <c r="H6044" s="9" t="s">
        <v>22</v>
      </c>
      <c r="I6044" s="9" t="s">
        <v>20</v>
      </c>
      <c r="J6044" s="16">
        <v>0.8</v>
      </c>
      <c r="K6044" s="14" t="s">
        <v>398</v>
      </c>
      <c r="N6044" s="14" t="str">
        <f>IFERROR(__xludf.DUMMYFUNCTION("""COMPUTED_VALUE"""),"")</f>
        <v/>
      </c>
      <c r="O6044" s="14"/>
    </row>
    <row r="6045" ht="22.5" hidden="1" customHeight="1">
      <c r="A6045" s="8">
        <v>46263.41714331019</v>
      </c>
      <c r="B6045" s="14">
        <v>46263.0</v>
      </c>
      <c r="C6045" s="9" t="s">
        <v>53</v>
      </c>
      <c r="D6045" s="9" t="s">
        <v>105</v>
      </c>
      <c r="E6045" s="9" t="s">
        <v>17</v>
      </c>
      <c r="F6045" s="9" t="s">
        <v>18</v>
      </c>
      <c r="G6045" s="9">
        <v>7.0</v>
      </c>
      <c r="H6045" s="9" t="s">
        <v>22</v>
      </c>
      <c r="I6045" s="9" t="s">
        <v>20</v>
      </c>
      <c r="J6045" s="16">
        <v>0.8</v>
      </c>
      <c r="K6045" s="14" t="s">
        <v>398</v>
      </c>
      <c r="N6045" s="14" t="str">
        <f>IFERROR(__xludf.DUMMYFUNCTION("""COMPUTED_VALUE"""),"")</f>
        <v/>
      </c>
      <c r="O6045" s="14"/>
    </row>
    <row r="6046" ht="22.5" hidden="1" customHeight="1">
      <c r="A6046" s="8">
        <v>46263.41867421297</v>
      </c>
      <c r="B6046" s="14">
        <v>46263.0</v>
      </c>
      <c r="C6046" s="9" t="s">
        <v>53</v>
      </c>
      <c r="D6046" s="9" t="s">
        <v>177</v>
      </c>
      <c r="E6046" s="9" t="s">
        <v>17</v>
      </c>
      <c r="F6046" s="9" t="s">
        <v>17</v>
      </c>
      <c r="G6046" s="9">
        <v>7.0</v>
      </c>
      <c r="H6046" s="9" t="s">
        <v>22</v>
      </c>
      <c r="I6046" s="9" t="s">
        <v>20</v>
      </c>
      <c r="J6046" s="16">
        <v>0.8</v>
      </c>
      <c r="K6046" s="14" t="s">
        <v>398</v>
      </c>
      <c r="N6046" s="14" t="str">
        <f>IFERROR(__xludf.DUMMYFUNCTION("""COMPUTED_VALUE"""),"")</f>
        <v/>
      </c>
      <c r="O6046" s="14"/>
    </row>
    <row r="6047" ht="22.5" hidden="1" customHeight="1">
      <c r="A6047" s="8">
        <v>46263.41946754629</v>
      </c>
      <c r="B6047" s="14">
        <v>46263.0</v>
      </c>
      <c r="C6047" s="9" t="s">
        <v>53</v>
      </c>
      <c r="D6047" s="9" t="s">
        <v>441</v>
      </c>
      <c r="E6047" s="9" t="s">
        <v>17</v>
      </c>
      <c r="F6047" s="9" t="s">
        <v>43</v>
      </c>
      <c r="G6047" s="9">
        <v>7.0</v>
      </c>
      <c r="H6047" s="9" t="s">
        <v>22</v>
      </c>
      <c r="I6047" s="9" t="s">
        <v>20</v>
      </c>
      <c r="J6047" s="16">
        <v>1.0</v>
      </c>
      <c r="K6047" s="14" t="s">
        <v>398</v>
      </c>
      <c r="N6047" s="14" t="str">
        <f>IFERROR(__xludf.DUMMYFUNCTION("""COMPUTED_VALUE"""),"")</f>
        <v/>
      </c>
      <c r="O6047" s="14"/>
    </row>
    <row r="6048" ht="22.5" hidden="1" customHeight="1">
      <c r="A6048" s="8">
        <v>46263.41982115741</v>
      </c>
      <c r="B6048" s="14">
        <v>46263.0</v>
      </c>
      <c r="C6048" s="9" t="s">
        <v>53</v>
      </c>
      <c r="D6048" s="9" t="s">
        <v>174</v>
      </c>
      <c r="E6048" s="9" t="s">
        <v>30</v>
      </c>
      <c r="F6048" s="9" t="s">
        <v>18</v>
      </c>
      <c r="G6048" s="9">
        <v>8.0</v>
      </c>
      <c r="H6048" s="9" t="s">
        <v>22</v>
      </c>
      <c r="I6048" s="9" t="s">
        <v>20</v>
      </c>
      <c r="J6048" s="16">
        <v>1.0</v>
      </c>
      <c r="K6048" s="14" t="s">
        <v>398</v>
      </c>
      <c r="N6048" s="14" t="str">
        <f>IFERROR(__xludf.DUMMYFUNCTION("""COMPUTED_VALUE"""),"")</f>
        <v/>
      </c>
      <c r="O6048" s="14"/>
    </row>
    <row r="6049" ht="22.5" hidden="1" customHeight="1">
      <c r="A6049" s="8">
        <v>46263.42023567129</v>
      </c>
      <c r="B6049" s="14">
        <v>46263.0</v>
      </c>
      <c r="C6049" s="9" t="s">
        <v>53</v>
      </c>
      <c r="D6049" s="9" t="s">
        <v>460</v>
      </c>
      <c r="E6049" s="9" t="s">
        <v>44</v>
      </c>
      <c r="F6049" s="9" t="s">
        <v>43</v>
      </c>
      <c r="G6049" s="9">
        <v>8.0</v>
      </c>
      <c r="H6049" s="9" t="s">
        <v>22</v>
      </c>
      <c r="I6049" s="9" t="s">
        <v>20</v>
      </c>
      <c r="J6049" s="16">
        <v>1.0</v>
      </c>
      <c r="K6049" s="14" t="s">
        <v>398</v>
      </c>
      <c r="N6049" s="14" t="str">
        <f>IFERROR(__xludf.DUMMYFUNCTION("""COMPUTED_VALUE"""),"")</f>
        <v/>
      </c>
      <c r="O6049" s="14"/>
    </row>
    <row r="6050" ht="22.5" hidden="1" customHeight="1">
      <c r="A6050" s="8">
        <v>46263.42049553241</v>
      </c>
      <c r="B6050" s="14">
        <v>46263.0</v>
      </c>
      <c r="C6050" s="9" t="s">
        <v>53</v>
      </c>
      <c r="D6050" s="9" t="s">
        <v>413</v>
      </c>
      <c r="E6050" s="9" t="s">
        <v>17</v>
      </c>
      <c r="F6050" s="9" t="s">
        <v>43</v>
      </c>
      <c r="G6050" s="9" t="s">
        <v>409</v>
      </c>
      <c r="H6050" s="9" t="s">
        <v>22</v>
      </c>
      <c r="I6050" s="9" t="s">
        <v>20</v>
      </c>
      <c r="J6050" s="16">
        <v>0.8</v>
      </c>
      <c r="K6050" s="14" t="s">
        <v>398</v>
      </c>
      <c r="N6050" s="14" t="str">
        <f>IFERROR(__xludf.DUMMYFUNCTION("""COMPUTED_VALUE"""),"")</f>
        <v/>
      </c>
      <c r="O6050" s="14"/>
    </row>
    <row r="6051" ht="22.5" hidden="1" customHeight="1">
      <c r="A6051" s="8">
        <v>46263.4208896875</v>
      </c>
      <c r="B6051" s="14">
        <v>46263.0</v>
      </c>
      <c r="C6051" s="9" t="s">
        <v>53</v>
      </c>
      <c r="D6051" s="9" t="s">
        <v>249</v>
      </c>
      <c r="E6051" s="9" t="s">
        <v>30</v>
      </c>
      <c r="F6051" s="9" t="s">
        <v>43</v>
      </c>
      <c r="G6051" s="9">
        <v>8.0</v>
      </c>
      <c r="H6051" s="9" t="s">
        <v>22</v>
      </c>
      <c r="I6051" s="9" t="s">
        <v>20</v>
      </c>
      <c r="J6051" s="16">
        <v>0.8</v>
      </c>
      <c r="K6051" s="14" t="s">
        <v>398</v>
      </c>
      <c r="N6051" s="14" t="str">
        <f>IFERROR(__xludf.DUMMYFUNCTION("""COMPUTED_VALUE"""),"")</f>
        <v/>
      </c>
      <c r="O6051" s="14"/>
    </row>
    <row r="6052" ht="22.5" hidden="1" customHeight="1">
      <c r="A6052" s="8">
        <v>46263.42126613426</v>
      </c>
      <c r="B6052" s="14">
        <v>46263.0</v>
      </c>
      <c r="C6052" s="9" t="s">
        <v>53</v>
      </c>
      <c r="D6052" s="9" t="s">
        <v>475</v>
      </c>
      <c r="E6052" s="9" t="s">
        <v>57</v>
      </c>
      <c r="F6052" s="9" t="s">
        <v>43</v>
      </c>
      <c r="G6052" s="9" t="s">
        <v>409</v>
      </c>
      <c r="H6052" s="9" t="s">
        <v>22</v>
      </c>
      <c r="I6052" s="9" t="s">
        <v>20</v>
      </c>
      <c r="J6052" s="16">
        <v>1.0</v>
      </c>
      <c r="K6052" s="14" t="s">
        <v>398</v>
      </c>
      <c r="N6052" s="14" t="str">
        <f>IFERROR(__xludf.DUMMYFUNCTION("""COMPUTED_VALUE"""),"")</f>
        <v/>
      </c>
      <c r="O6052" s="14"/>
    </row>
    <row r="6053" ht="22.5" hidden="1" customHeight="1">
      <c r="A6053" s="8">
        <v>46263.42222033565</v>
      </c>
      <c r="B6053" s="14">
        <v>46263.0</v>
      </c>
      <c r="C6053" s="9" t="s">
        <v>53</v>
      </c>
      <c r="D6053" s="9" t="s">
        <v>357</v>
      </c>
      <c r="E6053" s="9" t="s">
        <v>17</v>
      </c>
      <c r="F6053" s="9" t="s">
        <v>18</v>
      </c>
      <c r="G6053" s="9">
        <v>8.0</v>
      </c>
      <c r="H6053" s="9" t="s">
        <v>22</v>
      </c>
      <c r="I6053" s="9" t="s">
        <v>20</v>
      </c>
      <c r="J6053" s="16">
        <v>0.8</v>
      </c>
      <c r="K6053" s="14" t="s">
        <v>398</v>
      </c>
      <c r="N6053" s="14" t="str">
        <f>IFERROR(__xludf.DUMMYFUNCTION("""COMPUTED_VALUE"""),"")</f>
        <v/>
      </c>
      <c r="O6053" s="14"/>
    </row>
    <row r="6054" ht="22.5" hidden="1" customHeight="1">
      <c r="A6054" s="8">
        <v>46263.42262254629</v>
      </c>
      <c r="B6054" s="14">
        <v>46263.0</v>
      </c>
      <c r="C6054" s="9" t="s">
        <v>53</v>
      </c>
      <c r="D6054" s="9" t="s">
        <v>178</v>
      </c>
      <c r="E6054" s="9" t="s">
        <v>30</v>
      </c>
      <c r="F6054" s="9" t="s">
        <v>18</v>
      </c>
      <c r="G6054" s="9">
        <v>8.0</v>
      </c>
      <c r="H6054" s="9" t="s">
        <v>22</v>
      </c>
      <c r="I6054" s="9" t="s">
        <v>20</v>
      </c>
      <c r="J6054" s="16">
        <v>0.8</v>
      </c>
      <c r="K6054" s="14" t="s">
        <v>398</v>
      </c>
      <c r="N6054" s="14" t="str">
        <f>IFERROR(__xludf.DUMMYFUNCTION("""COMPUTED_VALUE"""),"")</f>
        <v/>
      </c>
      <c r="O6054" s="14"/>
    </row>
    <row r="6055" ht="22.5" hidden="1" customHeight="1">
      <c r="A6055" s="8">
        <v>46263.42358420139</v>
      </c>
      <c r="B6055" s="14">
        <v>46263.0</v>
      </c>
      <c r="C6055" s="9" t="s">
        <v>53</v>
      </c>
      <c r="D6055" s="9" t="s">
        <v>247</v>
      </c>
      <c r="E6055" s="9" t="s">
        <v>17</v>
      </c>
      <c r="F6055" s="9" t="s">
        <v>18</v>
      </c>
      <c r="G6055" s="9">
        <v>7.0</v>
      </c>
      <c r="H6055" s="9" t="s">
        <v>25</v>
      </c>
      <c r="I6055" s="9" t="s">
        <v>50</v>
      </c>
      <c r="J6055" s="16">
        <v>0.6</v>
      </c>
      <c r="K6055" s="14" t="s">
        <v>398</v>
      </c>
      <c r="N6055" s="14" t="str">
        <f>IFERROR(__xludf.DUMMYFUNCTION("""COMPUTED_VALUE"""),"")</f>
        <v/>
      </c>
      <c r="O6055" s="14"/>
    </row>
    <row r="6056" ht="22.5" hidden="1" customHeight="1">
      <c r="A6056" s="8">
        <v>46263.425063703704</v>
      </c>
      <c r="B6056" s="14">
        <v>46263.0</v>
      </c>
      <c r="C6056" s="9" t="s">
        <v>53</v>
      </c>
      <c r="D6056" s="9" t="s">
        <v>210</v>
      </c>
      <c r="E6056" s="9" t="s">
        <v>44</v>
      </c>
      <c r="F6056" s="9" t="s">
        <v>17</v>
      </c>
      <c r="G6056" s="9">
        <v>8.0</v>
      </c>
      <c r="H6056" s="9" t="s">
        <v>22</v>
      </c>
      <c r="I6056" s="9" t="s">
        <v>20</v>
      </c>
      <c r="J6056" s="16">
        <v>0.8</v>
      </c>
      <c r="K6056" s="14" t="s">
        <v>398</v>
      </c>
      <c r="N6056" s="14" t="str">
        <f>IFERROR(__xludf.DUMMYFUNCTION("""COMPUTED_VALUE"""),"")</f>
        <v/>
      </c>
      <c r="O6056" s="14"/>
    </row>
    <row r="6057" ht="22.5" hidden="1" customHeight="1">
      <c r="A6057" s="8">
        <v>46264.36315309028</v>
      </c>
      <c r="B6057" s="14">
        <v>46264.0</v>
      </c>
      <c r="C6057" s="9" t="s">
        <v>58</v>
      </c>
      <c r="D6057" s="9" t="s">
        <v>257</v>
      </c>
      <c r="E6057" s="9" t="s">
        <v>17</v>
      </c>
      <c r="F6057" s="9" t="s">
        <v>17</v>
      </c>
      <c r="G6057" s="9">
        <v>6.0</v>
      </c>
      <c r="H6057" s="9" t="s">
        <v>17</v>
      </c>
      <c r="I6057" s="9" t="s">
        <v>20</v>
      </c>
      <c r="J6057" s="16">
        <v>1.0</v>
      </c>
      <c r="K6057" s="14" t="s">
        <v>398</v>
      </c>
      <c r="N6057" s="14" t="str">
        <f>IFERROR(__xludf.DUMMYFUNCTION("""COMPUTED_VALUE"""),"")</f>
        <v/>
      </c>
      <c r="O6057" s="14"/>
    </row>
    <row r="6058" ht="22.5" hidden="1" customHeight="1">
      <c r="A6058" s="8">
        <v>46264.36366175926</v>
      </c>
      <c r="B6058" s="14">
        <v>46264.0</v>
      </c>
      <c r="C6058" s="9" t="s">
        <v>58</v>
      </c>
      <c r="D6058" s="9" t="s">
        <v>171</v>
      </c>
      <c r="E6058" s="9" t="s">
        <v>17</v>
      </c>
      <c r="F6058" s="9" t="s">
        <v>17</v>
      </c>
      <c r="G6058" s="9">
        <v>7.0</v>
      </c>
      <c r="H6058" s="9" t="s">
        <v>17</v>
      </c>
      <c r="I6058" s="9" t="s">
        <v>20</v>
      </c>
      <c r="J6058" s="16">
        <v>0.8</v>
      </c>
      <c r="K6058" s="14" t="s">
        <v>398</v>
      </c>
      <c r="N6058" s="14" t="str">
        <f>IFERROR(__xludf.DUMMYFUNCTION("""COMPUTED_VALUE"""),"")</f>
        <v/>
      </c>
      <c r="O6058" s="14"/>
    </row>
    <row r="6059" ht="22.5" hidden="1" customHeight="1">
      <c r="A6059" s="8">
        <v>46264.364338495376</v>
      </c>
      <c r="B6059" s="14">
        <v>46264.0</v>
      </c>
      <c r="C6059" s="9" t="s">
        <v>58</v>
      </c>
      <c r="D6059" s="9" t="s">
        <v>177</v>
      </c>
      <c r="E6059" s="9" t="s">
        <v>17</v>
      </c>
      <c r="F6059" s="9" t="s">
        <v>17</v>
      </c>
      <c r="G6059" s="9" t="s">
        <v>410</v>
      </c>
      <c r="H6059" s="9" t="s">
        <v>17</v>
      </c>
      <c r="I6059" s="9" t="s">
        <v>20</v>
      </c>
      <c r="J6059" s="16">
        <v>0.6</v>
      </c>
      <c r="K6059" s="14" t="s">
        <v>398</v>
      </c>
      <c r="N6059" s="14" t="str">
        <f>IFERROR(__xludf.DUMMYFUNCTION("""COMPUTED_VALUE"""),"")</f>
        <v/>
      </c>
      <c r="O6059" s="14"/>
    </row>
    <row r="6060" ht="22.5" hidden="1" customHeight="1">
      <c r="A6060" s="8">
        <v>46264.36585538194</v>
      </c>
      <c r="B6060" s="14">
        <v>46264.0</v>
      </c>
      <c r="C6060" s="9" t="s">
        <v>58</v>
      </c>
      <c r="D6060" s="9" t="s">
        <v>414</v>
      </c>
      <c r="E6060" s="9" t="s">
        <v>17</v>
      </c>
      <c r="F6060" s="9" t="s">
        <v>17</v>
      </c>
      <c r="G6060" s="9">
        <v>7.0</v>
      </c>
      <c r="H6060" s="9" t="s">
        <v>25</v>
      </c>
      <c r="I6060" s="9" t="s">
        <v>79</v>
      </c>
      <c r="J6060" s="16">
        <v>0.8</v>
      </c>
      <c r="K6060" s="14" t="s">
        <v>398</v>
      </c>
      <c r="N6060" s="14" t="str">
        <f>IFERROR(__xludf.DUMMYFUNCTION("""COMPUTED_VALUE"""),"")</f>
        <v/>
      </c>
      <c r="O6060" s="14"/>
    </row>
    <row r="6061" ht="22.5" hidden="1" customHeight="1">
      <c r="A6061" s="8">
        <v>46264.36635258102</v>
      </c>
      <c r="B6061" s="14">
        <v>46264.0</v>
      </c>
      <c r="C6061" s="9" t="s">
        <v>58</v>
      </c>
      <c r="D6061" s="9" t="s">
        <v>174</v>
      </c>
      <c r="E6061" s="9" t="s">
        <v>17</v>
      </c>
      <c r="F6061" s="9" t="s">
        <v>17</v>
      </c>
      <c r="G6061" s="9">
        <v>6.0</v>
      </c>
      <c r="H6061" s="9" t="s">
        <v>17</v>
      </c>
      <c r="I6061" s="9" t="s">
        <v>20</v>
      </c>
      <c r="J6061" s="16">
        <v>0.6</v>
      </c>
      <c r="K6061" s="14" t="s">
        <v>398</v>
      </c>
      <c r="N6061" s="14" t="str">
        <f>IFERROR(__xludf.DUMMYFUNCTION("""COMPUTED_VALUE"""),"")</f>
        <v/>
      </c>
      <c r="O6061" s="14"/>
    </row>
    <row r="6062" ht="22.5" hidden="1" customHeight="1">
      <c r="A6062" s="8">
        <v>46264.370407361115</v>
      </c>
      <c r="B6062" s="14">
        <v>46264.0</v>
      </c>
      <c r="C6062" s="9" t="s">
        <v>58</v>
      </c>
      <c r="D6062" s="9" t="s">
        <v>357</v>
      </c>
      <c r="E6062" s="9" t="s">
        <v>46</v>
      </c>
      <c r="F6062" s="9" t="s">
        <v>60</v>
      </c>
      <c r="G6062" s="9" t="s">
        <v>410</v>
      </c>
      <c r="H6062" s="9" t="s">
        <v>25</v>
      </c>
      <c r="I6062" s="9" t="s">
        <v>41</v>
      </c>
      <c r="J6062" s="16">
        <v>0.6</v>
      </c>
      <c r="K6062" s="14" t="s">
        <v>398</v>
      </c>
      <c r="N6062" s="14" t="str">
        <f>IFERROR(__xludf.DUMMYFUNCTION("""COMPUTED_VALUE"""),"")</f>
        <v/>
      </c>
      <c r="O6062" s="14"/>
    </row>
    <row r="6063" ht="22.5" hidden="1" customHeight="1">
      <c r="A6063" s="8">
        <v>46264.372686828705</v>
      </c>
      <c r="B6063" s="14">
        <v>46264.0</v>
      </c>
      <c r="C6063" s="9" t="s">
        <v>58</v>
      </c>
      <c r="D6063" s="9" t="s">
        <v>457</v>
      </c>
      <c r="E6063" s="9" t="s">
        <v>61</v>
      </c>
      <c r="F6063" s="9" t="s">
        <v>60</v>
      </c>
      <c r="G6063" s="9" t="s">
        <v>410</v>
      </c>
      <c r="H6063" s="9" t="s">
        <v>17</v>
      </c>
      <c r="I6063" s="9" t="s">
        <v>20</v>
      </c>
      <c r="J6063" s="16">
        <v>0.2</v>
      </c>
      <c r="K6063" s="14" t="s">
        <v>398</v>
      </c>
      <c r="N6063" s="14" t="str">
        <f>IFERROR(__xludf.DUMMYFUNCTION("""COMPUTED_VALUE"""),"")</f>
        <v/>
      </c>
      <c r="O6063" s="14"/>
    </row>
    <row r="6064" ht="22.5" hidden="1" customHeight="1">
      <c r="A6064" s="8">
        <v>46264.37426329861</v>
      </c>
      <c r="B6064" s="14">
        <v>46264.0</v>
      </c>
      <c r="C6064" s="9" t="s">
        <v>58</v>
      </c>
      <c r="D6064" s="9" t="s">
        <v>395</v>
      </c>
      <c r="E6064" s="9" t="s">
        <v>46</v>
      </c>
      <c r="F6064" s="9" t="s">
        <v>60</v>
      </c>
      <c r="G6064" s="9" t="s">
        <v>410</v>
      </c>
      <c r="H6064" s="9" t="s">
        <v>25</v>
      </c>
      <c r="I6064" s="9" t="s">
        <v>218</v>
      </c>
      <c r="J6064" s="16">
        <v>0.6</v>
      </c>
      <c r="K6064" s="14" t="s">
        <v>398</v>
      </c>
      <c r="N6064" s="14" t="str">
        <f>IFERROR(__xludf.DUMMYFUNCTION("""COMPUTED_VALUE"""),"")</f>
        <v/>
      </c>
      <c r="O6064" s="14"/>
    </row>
    <row r="6065" ht="22.5" hidden="1" customHeight="1">
      <c r="A6065" s="8">
        <v>46264.37595234954</v>
      </c>
      <c r="B6065" s="14">
        <v>46264.0</v>
      </c>
      <c r="C6065" s="9" t="s">
        <v>58</v>
      </c>
      <c r="D6065" s="9" t="s">
        <v>175</v>
      </c>
      <c r="E6065" s="9" t="s">
        <v>17</v>
      </c>
      <c r="F6065" s="9" t="s">
        <v>17</v>
      </c>
      <c r="G6065" s="9">
        <v>7.0</v>
      </c>
      <c r="H6065" s="9" t="s">
        <v>25</v>
      </c>
      <c r="I6065" s="9" t="s">
        <v>266</v>
      </c>
      <c r="J6065" s="16">
        <v>0.8</v>
      </c>
      <c r="K6065" s="14" t="s">
        <v>398</v>
      </c>
      <c r="N6065" s="14" t="str">
        <f>IFERROR(__xludf.DUMMYFUNCTION("""COMPUTED_VALUE"""),"")</f>
        <v/>
      </c>
      <c r="O6065" s="14"/>
    </row>
    <row r="6066" ht="22.5" hidden="1" customHeight="1">
      <c r="A6066" s="8">
        <v>46264.37710203703</v>
      </c>
      <c r="B6066" s="14">
        <v>46264.0</v>
      </c>
      <c r="C6066" s="9" t="s">
        <v>58</v>
      </c>
      <c r="D6066" s="9" t="s">
        <v>475</v>
      </c>
      <c r="E6066" s="9" t="s">
        <v>61</v>
      </c>
      <c r="F6066" s="9" t="s">
        <v>60</v>
      </c>
      <c r="G6066" s="9">
        <v>6.0</v>
      </c>
      <c r="H6066" s="9" t="s">
        <v>25</v>
      </c>
      <c r="I6066" s="9" t="s">
        <v>20</v>
      </c>
      <c r="J6066" s="16">
        <v>0.6</v>
      </c>
      <c r="K6066" s="14" t="s">
        <v>398</v>
      </c>
      <c r="N6066" s="14" t="str">
        <f>IFERROR(__xludf.DUMMYFUNCTION("""COMPUTED_VALUE"""),"")</f>
        <v/>
      </c>
      <c r="O6066" s="14"/>
    </row>
    <row r="6067" ht="22.5" hidden="1" customHeight="1">
      <c r="A6067" s="8">
        <v>46264.3776265162</v>
      </c>
      <c r="B6067" s="14">
        <v>46264.0</v>
      </c>
      <c r="C6067" s="9" t="s">
        <v>58</v>
      </c>
      <c r="D6067" s="9" t="s">
        <v>249</v>
      </c>
      <c r="E6067" s="9" t="s">
        <v>140</v>
      </c>
      <c r="F6067" s="9" t="s">
        <v>77</v>
      </c>
      <c r="G6067" s="9" t="s">
        <v>410</v>
      </c>
      <c r="H6067" s="9" t="s">
        <v>22</v>
      </c>
      <c r="I6067" s="9" t="s">
        <v>20</v>
      </c>
      <c r="J6067" s="16">
        <v>0.2</v>
      </c>
      <c r="K6067" s="14" t="s">
        <v>398</v>
      </c>
      <c r="N6067" s="14" t="str">
        <f>IFERROR(__xludf.DUMMYFUNCTION("""COMPUTED_VALUE"""),"")</f>
        <v/>
      </c>
      <c r="O6067" s="14"/>
    </row>
    <row r="6068" ht="22.5" hidden="1" customHeight="1">
      <c r="A6068" s="8">
        <v>46264.3817799074</v>
      </c>
      <c r="B6068" s="14">
        <v>46264.0</v>
      </c>
      <c r="C6068" s="9" t="s">
        <v>58</v>
      </c>
      <c r="D6068" s="9" t="s">
        <v>442</v>
      </c>
      <c r="E6068" s="9" t="s">
        <v>17</v>
      </c>
      <c r="F6068" s="9" t="s">
        <v>17</v>
      </c>
      <c r="G6068" s="9">
        <v>7.0</v>
      </c>
      <c r="H6068" s="9" t="s">
        <v>22</v>
      </c>
      <c r="I6068" s="9" t="s">
        <v>20</v>
      </c>
      <c r="J6068" s="16">
        <v>0.8</v>
      </c>
      <c r="K6068" s="14" t="s">
        <v>398</v>
      </c>
      <c r="N6068" s="14" t="str">
        <f>IFERROR(__xludf.DUMMYFUNCTION("""COMPUTED_VALUE"""),"")</f>
        <v/>
      </c>
      <c r="O6068" s="14"/>
    </row>
    <row r="6069" ht="22.5" hidden="1" customHeight="1">
      <c r="A6069" s="8">
        <v>46264.382334814814</v>
      </c>
      <c r="B6069" s="14">
        <v>46264.0</v>
      </c>
      <c r="C6069" s="9" t="s">
        <v>58</v>
      </c>
      <c r="D6069" s="9" t="s">
        <v>178</v>
      </c>
      <c r="E6069" s="9" t="s">
        <v>17</v>
      </c>
      <c r="F6069" s="9" t="s">
        <v>17</v>
      </c>
      <c r="G6069" s="9">
        <v>7.0</v>
      </c>
      <c r="H6069" s="9" t="s">
        <v>17</v>
      </c>
      <c r="I6069" s="9" t="s">
        <v>20</v>
      </c>
      <c r="J6069" s="16">
        <v>1.0</v>
      </c>
      <c r="K6069" s="14" t="s">
        <v>398</v>
      </c>
      <c r="N6069" s="14" t="str">
        <f>IFERROR(__xludf.DUMMYFUNCTION("""COMPUTED_VALUE"""),"")</f>
        <v/>
      </c>
      <c r="O6069" s="14"/>
    </row>
    <row r="6070" ht="22.5" hidden="1" customHeight="1">
      <c r="A6070" s="8">
        <v>46264.384424606484</v>
      </c>
      <c r="B6070" s="14">
        <v>46264.0</v>
      </c>
      <c r="C6070" s="9" t="s">
        <v>58</v>
      </c>
      <c r="D6070" s="9" t="s">
        <v>178</v>
      </c>
      <c r="E6070" s="9" t="s">
        <v>17</v>
      </c>
      <c r="F6070" s="9" t="s">
        <v>17</v>
      </c>
      <c r="G6070" s="9">
        <v>7.0</v>
      </c>
      <c r="H6070" s="9" t="s">
        <v>17</v>
      </c>
      <c r="I6070" s="9" t="s">
        <v>20</v>
      </c>
      <c r="J6070" s="16">
        <v>1.0</v>
      </c>
      <c r="K6070" s="14" t="s">
        <v>398</v>
      </c>
      <c r="N6070" s="14" t="str">
        <f>IFERROR(__xludf.DUMMYFUNCTION("""COMPUTED_VALUE"""),"")</f>
        <v/>
      </c>
      <c r="O6070" s="14"/>
    </row>
    <row r="6071" ht="22.5" hidden="1" customHeight="1">
      <c r="A6071" s="8">
        <v>46264.384523622684</v>
      </c>
      <c r="B6071" s="14">
        <v>46264.0</v>
      </c>
      <c r="C6071" s="9" t="s">
        <v>58</v>
      </c>
      <c r="D6071" s="9" t="s">
        <v>247</v>
      </c>
      <c r="E6071" s="9" t="s">
        <v>17</v>
      </c>
      <c r="F6071" s="9" t="s">
        <v>17</v>
      </c>
      <c r="G6071" s="9">
        <v>7.0</v>
      </c>
      <c r="H6071" s="9" t="s">
        <v>22</v>
      </c>
      <c r="I6071" s="9" t="s">
        <v>20</v>
      </c>
      <c r="J6071" s="16">
        <v>0.6</v>
      </c>
      <c r="K6071" s="14" t="s">
        <v>398</v>
      </c>
      <c r="N6071" s="14" t="str">
        <f>IFERROR(__xludf.DUMMYFUNCTION("""COMPUTED_VALUE"""),"")</f>
        <v/>
      </c>
      <c r="O6071" s="14"/>
    </row>
    <row r="6072" ht="22.5" hidden="1" customHeight="1">
      <c r="A6072" s="8">
        <v>46264.384863287036</v>
      </c>
      <c r="B6072" s="14">
        <v>46264.0</v>
      </c>
      <c r="C6072" s="9" t="s">
        <v>58</v>
      </c>
      <c r="D6072" s="9" t="s">
        <v>413</v>
      </c>
      <c r="E6072" s="9" t="s">
        <v>61</v>
      </c>
      <c r="F6072" s="9" t="s">
        <v>60</v>
      </c>
      <c r="G6072" s="9" t="s">
        <v>410</v>
      </c>
      <c r="H6072" s="9" t="s">
        <v>22</v>
      </c>
      <c r="I6072" s="9" t="s">
        <v>20</v>
      </c>
      <c r="J6072" s="16">
        <v>0.6</v>
      </c>
      <c r="K6072" s="14" t="s">
        <v>398</v>
      </c>
      <c r="N6072" s="14" t="str">
        <f>IFERROR(__xludf.DUMMYFUNCTION("""COMPUTED_VALUE"""),"")</f>
        <v/>
      </c>
      <c r="O6072" s="14"/>
    </row>
    <row r="6073" ht="22.5" hidden="1" customHeight="1">
      <c r="A6073" s="8">
        <v>46264.38541563657</v>
      </c>
      <c r="B6073" s="14">
        <v>46264.0</v>
      </c>
      <c r="C6073" s="9" t="s">
        <v>58</v>
      </c>
      <c r="D6073" s="9" t="s">
        <v>469</v>
      </c>
      <c r="E6073" s="9" t="s">
        <v>61</v>
      </c>
      <c r="F6073" s="9" t="s">
        <v>60</v>
      </c>
      <c r="G6073" s="9" t="s">
        <v>410</v>
      </c>
      <c r="H6073" s="9" t="s">
        <v>22</v>
      </c>
      <c r="I6073" s="9" t="s">
        <v>20</v>
      </c>
      <c r="J6073" s="16">
        <v>0.6</v>
      </c>
      <c r="K6073" s="14" t="s">
        <v>398</v>
      </c>
      <c r="N6073" s="14" t="str">
        <f>IFERROR(__xludf.DUMMYFUNCTION("""COMPUTED_VALUE"""),"")</f>
        <v/>
      </c>
      <c r="O6073" s="14"/>
    </row>
    <row r="6074" ht="22.5" hidden="1" customHeight="1">
      <c r="A6074" s="8">
        <v>46264.38580099537</v>
      </c>
      <c r="B6074" s="14">
        <v>46264.0</v>
      </c>
      <c r="C6074" s="9" t="s">
        <v>58</v>
      </c>
      <c r="D6074" s="9" t="s">
        <v>476</v>
      </c>
      <c r="E6074" s="9" t="s">
        <v>17</v>
      </c>
      <c r="F6074" s="9" t="s">
        <v>17</v>
      </c>
      <c r="G6074" s="9">
        <v>7.0</v>
      </c>
      <c r="H6074" s="9" t="s">
        <v>22</v>
      </c>
      <c r="I6074" s="9" t="s">
        <v>20</v>
      </c>
      <c r="J6074" s="16">
        <v>0.8</v>
      </c>
      <c r="K6074" s="14" t="s">
        <v>398</v>
      </c>
      <c r="N6074" s="14" t="str">
        <f>IFERROR(__xludf.DUMMYFUNCTION("""COMPUTED_VALUE"""),"")</f>
        <v/>
      </c>
      <c r="O6074" s="14"/>
    </row>
    <row r="6075" ht="22.5" hidden="1" customHeight="1">
      <c r="A6075" s="8">
        <v>46264.38633844907</v>
      </c>
      <c r="B6075" s="14">
        <v>46264.0</v>
      </c>
      <c r="C6075" s="9" t="s">
        <v>58</v>
      </c>
      <c r="D6075" s="9" t="s">
        <v>210</v>
      </c>
      <c r="E6075" s="9" t="s">
        <v>61</v>
      </c>
      <c r="F6075" s="9" t="s">
        <v>60</v>
      </c>
      <c r="G6075" s="9" t="s">
        <v>410</v>
      </c>
      <c r="H6075" s="9" t="s">
        <v>22</v>
      </c>
      <c r="I6075" s="9" t="s">
        <v>20</v>
      </c>
      <c r="J6075" s="16">
        <v>0.6</v>
      </c>
      <c r="K6075" s="14" t="s">
        <v>398</v>
      </c>
      <c r="N6075" s="14" t="str">
        <f>IFERROR(__xludf.DUMMYFUNCTION("""COMPUTED_VALUE"""),"")</f>
        <v/>
      </c>
      <c r="O6075" s="14"/>
    </row>
    <row r="6076" ht="22.5" hidden="1" customHeight="1">
      <c r="A6076" s="8">
        <v>46264.386624120365</v>
      </c>
      <c r="B6076" s="14">
        <v>46264.0</v>
      </c>
      <c r="C6076" s="9" t="s">
        <v>58</v>
      </c>
      <c r="D6076" s="9" t="s">
        <v>394</v>
      </c>
      <c r="E6076" s="9" t="s">
        <v>17</v>
      </c>
      <c r="F6076" s="9" t="s">
        <v>17</v>
      </c>
      <c r="G6076" s="9">
        <v>7.0</v>
      </c>
      <c r="H6076" s="9" t="s">
        <v>22</v>
      </c>
      <c r="I6076" s="9" t="s">
        <v>20</v>
      </c>
      <c r="J6076" s="16">
        <v>1.0</v>
      </c>
      <c r="K6076" s="14" t="s">
        <v>398</v>
      </c>
      <c r="N6076" s="14" t="str">
        <f>IFERROR(__xludf.DUMMYFUNCTION("""COMPUTED_VALUE"""),"")</f>
        <v/>
      </c>
      <c r="O6076" s="14"/>
    </row>
    <row r="6077" ht="22.5" hidden="1" customHeight="1">
      <c r="A6077" s="8">
        <v>46264.39102538195</v>
      </c>
      <c r="B6077" s="14">
        <v>46264.0</v>
      </c>
      <c r="C6077" s="9" t="s">
        <v>58</v>
      </c>
      <c r="D6077" s="9" t="s">
        <v>367</v>
      </c>
      <c r="E6077" s="9" t="s">
        <v>17</v>
      </c>
      <c r="F6077" s="9" t="s">
        <v>17</v>
      </c>
      <c r="G6077" s="9">
        <v>7.0</v>
      </c>
      <c r="H6077" s="9" t="s">
        <v>17</v>
      </c>
      <c r="I6077" s="9" t="s">
        <v>20</v>
      </c>
      <c r="J6077" s="16">
        <v>0.8</v>
      </c>
      <c r="K6077" s="14" t="s">
        <v>398</v>
      </c>
      <c r="N6077" s="14" t="str">
        <f>IFERROR(__xludf.DUMMYFUNCTION("""COMPUTED_VALUE"""),"")</f>
        <v/>
      </c>
      <c r="O6077" s="14"/>
    </row>
    <row r="6078" ht="22.5" hidden="1" customHeight="1">
      <c r="A6078" s="8">
        <v>46264.391611886575</v>
      </c>
      <c r="B6078" s="14">
        <v>46264.0</v>
      </c>
      <c r="C6078" s="9" t="s">
        <v>58</v>
      </c>
      <c r="D6078" s="9" t="s">
        <v>396</v>
      </c>
      <c r="E6078" s="9" t="s">
        <v>17</v>
      </c>
      <c r="F6078" s="9" t="s">
        <v>17</v>
      </c>
      <c r="G6078" s="9">
        <v>6.0</v>
      </c>
      <c r="H6078" s="9" t="s">
        <v>17</v>
      </c>
      <c r="I6078" s="9" t="s">
        <v>20</v>
      </c>
      <c r="J6078" s="16">
        <v>0.8</v>
      </c>
      <c r="K6078" s="14" t="s">
        <v>398</v>
      </c>
      <c r="N6078" s="14" t="str">
        <f>IFERROR(__xludf.DUMMYFUNCTION("""COMPUTED_VALUE"""),"")</f>
        <v/>
      </c>
      <c r="O6078" s="14"/>
    </row>
    <row r="6079" ht="22.5" hidden="1" customHeight="1">
      <c r="A6079" s="8">
        <v>46264.39217063657</v>
      </c>
      <c r="B6079" s="14">
        <v>46264.0</v>
      </c>
      <c r="C6079" s="9" t="s">
        <v>58</v>
      </c>
      <c r="D6079" s="9" t="s">
        <v>463</v>
      </c>
      <c r="E6079" s="9" t="s">
        <v>140</v>
      </c>
      <c r="F6079" s="9" t="s">
        <v>60</v>
      </c>
      <c r="G6079" s="9">
        <v>6.0</v>
      </c>
      <c r="H6079" s="9" t="s">
        <v>25</v>
      </c>
      <c r="I6079" s="9" t="s">
        <v>240</v>
      </c>
      <c r="J6079" s="16">
        <v>0.4</v>
      </c>
      <c r="K6079" s="14" t="s">
        <v>398</v>
      </c>
      <c r="N6079" s="14" t="str">
        <f>IFERROR(__xludf.DUMMYFUNCTION("""COMPUTED_VALUE"""),"")</f>
        <v/>
      </c>
      <c r="O6079" s="14"/>
    </row>
    <row r="6080" ht="22.5" hidden="1" customHeight="1">
      <c r="A6080" s="8">
        <v>46264.392768171296</v>
      </c>
      <c r="B6080" s="14">
        <v>46264.0</v>
      </c>
      <c r="C6080" s="9" t="s">
        <v>58</v>
      </c>
      <c r="D6080" s="9" t="s">
        <v>460</v>
      </c>
      <c r="E6080" s="9" t="s">
        <v>61</v>
      </c>
      <c r="F6080" s="9" t="s">
        <v>60</v>
      </c>
      <c r="G6080" s="9" t="s">
        <v>410</v>
      </c>
      <c r="H6080" s="9" t="s">
        <v>17</v>
      </c>
      <c r="I6080" s="9" t="s">
        <v>20</v>
      </c>
      <c r="J6080" s="16">
        <v>0.4</v>
      </c>
      <c r="K6080" s="14" t="s">
        <v>398</v>
      </c>
      <c r="N6080" s="14" t="str">
        <f>IFERROR(__xludf.DUMMYFUNCTION("""COMPUTED_VALUE"""),"")</f>
        <v/>
      </c>
      <c r="O6080" s="14"/>
    </row>
    <row r="6081" ht="22.5" customHeight="1">
      <c r="A6081" s="8">
        <v>46265.368807129635</v>
      </c>
      <c r="B6081" s="14">
        <v>46265.0</v>
      </c>
      <c r="C6081" s="9" t="s">
        <v>86</v>
      </c>
      <c r="D6081" s="9" t="s">
        <v>257</v>
      </c>
      <c r="E6081" s="9" t="s">
        <v>17</v>
      </c>
      <c r="F6081" s="9" t="s">
        <v>17</v>
      </c>
      <c r="G6081" s="9">
        <v>7.0</v>
      </c>
      <c r="H6081" s="9" t="s">
        <v>17</v>
      </c>
      <c r="I6081" s="9" t="s">
        <v>20</v>
      </c>
      <c r="J6081" s="16">
        <v>1.0</v>
      </c>
      <c r="K6081" s="14" t="s">
        <v>398</v>
      </c>
      <c r="N6081" s="14" t="str">
        <f>IFERROR(__xludf.DUMMYFUNCTION("""COMPUTED_VALUE"""),"")</f>
        <v/>
      </c>
      <c r="O6081" s="14"/>
    </row>
    <row r="6082" ht="22.5" customHeight="1">
      <c r="A6082" s="8">
        <v>46265.3696253588</v>
      </c>
      <c r="B6082" s="14">
        <v>46265.0</v>
      </c>
      <c r="C6082" s="9" t="s">
        <v>86</v>
      </c>
      <c r="D6082" s="9" t="s">
        <v>171</v>
      </c>
      <c r="E6082" s="9" t="s">
        <v>17</v>
      </c>
      <c r="F6082" s="9" t="s">
        <v>60</v>
      </c>
      <c r="G6082" s="9">
        <v>6.0</v>
      </c>
      <c r="H6082" s="9" t="s">
        <v>17</v>
      </c>
      <c r="I6082" s="9" t="s">
        <v>20</v>
      </c>
      <c r="J6082" s="16">
        <v>0.6</v>
      </c>
      <c r="K6082" s="14" t="s">
        <v>398</v>
      </c>
      <c r="N6082" s="14" t="str">
        <f>IFERROR(__xludf.DUMMYFUNCTION("""COMPUTED_VALUE"""),"")</f>
        <v/>
      </c>
      <c r="O6082" s="14"/>
    </row>
    <row r="6083" ht="22.5" customHeight="1">
      <c r="A6083" s="8">
        <v>46265.370301689814</v>
      </c>
      <c r="B6083" s="14">
        <v>46265.0</v>
      </c>
      <c r="C6083" s="9" t="s">
        <v>86</v>
      </c>
      <c r="D6083" s="9" t="s">
        <v>475</v>
      </c>
      <c r="E6083" s="9" t="s">
        <v>17</v>
      </c>
      <c r="F6083" s="9" t="s">
        <v>17</v>
      </c>
      <c r="G6083" s="9">
        <v>8.0</v>
      </c>
      <c r="H6083" s="9" t="s">
        <v>22</v>
      </c>
      <c r="I6083" s="9" t="s">
        <v>20</v>
      </c>
      <c r="J6083" s="16">
        <v>0.8</v>
      </c>
      <c r="K6083" s="14" t="s">
        <v>398</v>
      </c>
      <c r="N6083" s="14" t="str">
        <f>IFERROR(__xludf.DUMMYFUNCTION("""COMPUTED_VALUE"""),"")</f>
        <v/>
      </c>
      <c r="O6083" s="14"/>
    </row>
    <row r="6084" ht="22.5" customHeight="1">
      <c r="A6084" s="8">
        <v>46265.37045952547</v>
      </c>
      <c r="B6084" s="14">
        <v>46265.0</v>
      </c>
      <c r="C6084" s="9" t="s">
        <v>86</v>
      </c>
      <c r="D6084" s="9" t="s">
        <v>367</v>
      </c>
      <c r="E6084" s="9" t="s">
        <v>17</v>
      </c>
      <c r="F6084" s="9" t="s">
        <v>60</v>
      </c>
      <c r="G6084" s="9">
        <v>7.0</v>
      </c>
      <c r="H6084" s="9" t="s">
        <v>17</v>
      </c>
      <c r="I6084" s="9" t="s">
        <v>20</v>
      </c>
      <c r="J6084" s="16">
        <v>0.8</v>
      </c>
      <c r="K6084" s="14" t="s">
        <v>398</v>
      </c>
      <c r="N6084" s="14" t="str">
        <f>IFERROR(__xludf.DUMMYFUNCTION("""COMPUTED_VALUE"""),"")</f>
        <v/>
      </c>
      <c r="O6084" s="14"/>
    </row>
    <row r="6085" ht="22.5" customHeight="1">
      <c r="A6085" s="8">
        <v>46265.370609618054</v>
      </c>
      <c r="B6085" s="14">
        <v>46265.0</v>
      </c>
      <c r="C6085" s="9" t="s">
        <v>86</v>
      </c>
      <c r="D6085" s="9" t="s">
        <v>105</v>
      </c>
      <c r="E6085" s="9" t="s">
        <v>17</v>
      </c>
      <c r="F6085" s="9" t="s">
        <v>17</v>
      </c>
      <c r="G6085" s="9">
        <v>7.0</v>
      </c>
      <c r="H6085" s="9" t="s">
        <v>22</v>
      </c>
      <c r="I6085" s="9" t="s">
        <v>20</v>
      </c>
      <c r="J6085" s="16">
        <v>0.8</v>
      </c>
      <c r="K6085" s="14" t="s">
        <v>398</v>
      </c>
      <c r="N6085" s="14" t="str">
        <f>IFERROR(__xludf.DUMMYFUNCTION("""COMPUTED_VALUE"""),"")</f>
        <v/>
      </c>
      <c r="O6085" s="14"/>
    </row>
    <row r="6086" ht="22.5" customHeight="1">
      <c r="A6086" s="8">
        <v>46265.371127465274</v>
      </c>
      <c r="B6086" s="14">
        <v>46265.0</v>
      </c>
      <c r="C6086" s="9" t="s">
        <v>86</v>
      </c>
      <c r="D6086" s="9" t="s">
        <v>395</v>
      </c>
      <c r="E6086" s="9" t="s">
        <v>17</v>
      </c>
      <c r="F6086" s="9" t="s">
        <v>17</v>
      </c>
      <c r="G6086" s="9" t="s">
        <v>409</v>
      </c>
      <c r="H6086" s="9" t="s">
        <v>25</v>
      </c>
      <c r="I6086" s="9" t="s">
        <v>218</v>
      </c>
      <c r="J6086" s="16">
        <v>0.8</v>
      </c>
      <c r="K6086" s="14" t="s">
        <v>398</v>
      </c>
      <c r="N6086" s="14" t="str">
        <f>IFERROR(__xludf.DUMMYFUNCTION("""COMPUTED_VALUE"""),"")</f>
        <v/>
      </c>
      <c r="O6086" s="14"/>
    </row>
    <row r="6087" ht="22.5" customHeight="1">
      <c r="A6087" s="8">
        <v>46265.371909444446</v>
      </c>
      <c r="B6087" s="14">
        <v>46265.0</v>
      </c>
      <c r="C6087" s="9" t="s">
        <v>86</v>
      </c>
      <c r="D6087" s="9" t="s">
        <v>393</v>
      </c>
      <c r="E6087" s="9" t="s">
        <v>17</v>
      </c>
      <c r="F6087" s="9" t="s">
        <v>17</v>
      </c>
      <c r="G6087" s="9">
        <v>7.0</v>
      </c>
      <c r="H6087" s="9" t="s">
        <v>17</v>
      </c>
      <c r="I6087" s="9" t="s">
        <v>20</v>
      </c>
      <c r="J6087" s="16">
        <v>1.0</v>
      </c>
      <c r="K6087" s="14" t="s">
        <v>398</v>
      </c>
      <c r="N6087" s="14" t="str">
        <f>IFERROR(__xludf.DUMMYFUNCTION("""COMPUTED_VALUE"""),"")</f>
        <v/>
      </c>
      <c r="O6087" s="14"/>
    </row>
    <row r="6088" ht="22.5" customHeight="1">
      <c r="A6088" s="8">
        <v>46265.37308978009</v>
      </c>
      <c r="B6088" s="14">
        <v>46265.0</v>
      </c>
      <c r="C6088" s="9" t="s">
        <v>86</v>
      </c>
      <c r="D6088" s="9" t="s">
        <v>463</v>
      </c>
      <c r="E6088" s="9" t="s">
        <v>17</v>
      </c>
      <c r="F6088" s="9" t="s">
        <v>17</v>
      </c>
      <c r="G6088" s="9">
        <v>8.0</v>
      </c>
      <c r="H6088" s="9" t="s">
        <v>17</v>
      </c>
      <c r="I6088" s="9" t="s">
        <v>20</v>
      </c>
      <c r="J6088" s="16">
        <v>0.6</v>
      </c>
      <c r="K6088" s="14" t="s">
        <v>398</v>
      </c>
      <c r="N6088" s="14" t="str">
        <f>IFERROR(__xludf.DUMMYFUNCTION("""COMPUTED_VALUE"""),"")</f>
        <v/>
      </c>
      <c r="O6088" s="14"/>
    </row>
    <row r="6089" ht="22.5" customHeight="1">
      <c r="A6089" s="8">
        <v>46265.37429170139</v>
      </c>
      <c r="B6089" s="14">
        <v>46265.0</v>
      </c>
      <c r="C6089" s="9" t="s">
        <v>86</v>
      </c>
      <c r="D6089" s="9" t="s">
        <v>175</v>
      </c>
      <c r="E6089" s="9" t="s">
        <v>17</v>
      </c>
      <c r="F6089" s="9" t="s">
        <v>17</v>
      </c>
      <c r="G6089" s="9">
        <v>7.0</v>
      </c>
      <c r="H6089" s="9" t="s">
        <v>25</v>
      </c>
      <c r="I6089" s="9" t="s">
        <v>20</v>
      </c>
      <c r="J6089" s="16">
        <v>0.8</v>
      </c>
      <c r="K6089" s="14" t="s">
        <v>398</v>
      </c>
      <c r="N6089" s="14" t="str">
        <f>IFERROR(__xludf.DUMMYFUNCTION("""COMPUTED_VALUE"""),"")</f>
        <v/>
      </c>
      <c r="O6089" s="14"/>
    </row>
    <row r="6090" ht="22.5" customHeight="1">
      <c r="A6090" s="8">
        <v>46265.375944722226</v>
      </c>
      <c r="B6090" s="14">
        <v>46265.0</v>
      </c>
      <c r="C6090" s="9" t="s">
        <v>86</v>
      </c>
      <c r="D6090" s="9" t="s">
        <v>476</v>
      </c>
      <c r="E6090" s="9" t="s">
        <v>44</v>
      </c>
      <c r="F6090" s="9" t="s">
        <v>17</v>
      </c>
      <c r="G6090" s="9">
        <v>7.0</v>
      </c>
      <c r="H6090" s="9" t="s">
        <v>25</v>
      </c>
      <c r="I6090" s="9" t="s">
        <v>20</v>
      </c>
      <c r="J6090" s="16">
        <v>0.8</v>
      </c>
      <c r="K6090" s="14" t="s">
        <v>398</v>
      </c>
      <c r="N6090" s="14" t="str">
        <f>IFERROR(__xludf.DUMMYFUNCTION("""COMPUTED_VALUE"""),"")</f>
        <v/>
      </c>
      <c r="O6090" s="14"/>
    </row>
    <row r="6091" ht="22.5" customHeight="1">
      <c r="A6091" s="8">
        <v>46265.37975108797</v>
      </c>
      <c r="B6091" s="14">
        <v>46265.0</v>
      </c>
      <c r="C6091" s="9" t="s">
        <v>86</v>
      </c>
      <c r="D6091" s="9" t="s">
        <v>394</v>
      </c>
      <c r="E6091" s="9" t="s">
        <v>30</v>
      </c>
      <c r="F6091" s="9" t="s">
        <v>17</v>
      </c>
      <c r="G6091" s="9">
        <v>7.0</v>
      </c>
      <c r="H6091" s="9" t="s">
        <v>22</v>
      </c>
      <c r="I6091" s="9" t="s">
        <v>20</v>
      </c>
      <c r="J6091" s="16">
        <v>1.0</v>
      </c>
      <c r="K6091" s="14" t="s">
        <v>398</v>
      </c>
      <c r="N6091" s="14" t="str">
        <f>IFERROR(__xludf.DUMMYFUNCTION("""COMPUTED_VALUE"""),"")</f>
        <v/>
      </c>
      <c r="O6091" s="14"/>
    </row>
    <row r="6092" ht="22.5" customHeight="1">
      <c r="A6092" s="8">
        <v>46265.380350520834</v>
      </c>
      <c r="B6092" s="14">
        <v>46265.0</v>
      </c>
      <c r="C6092" s="9" t="s">
        <v>86</v>
      </c>
      <c r="D6092" s="9" t="s">
        <v>177</v>
      </c>
      <c r="E6092" s="9" t="s">
        <v>17</v>
      </c>
      <c r="F6092" s="9" t="s">
        <v>17</v>
      </c>
      <c r="G6092" s="9">
        <v>7.0</v>
      </c>
      <c r="H6092" s="9" t="s">
        <v>22</v>
      </c>
      <c r="I6092" s="9" t="s">
        <v>20</v>
      </c>
      <c r="J6092" s="16">
        <v>0.8</v>
      </c>
      <c r="K6092" s="14" t="s">
        <v>398</v>
      </c>
      <c r="N6092" s="14" t="str">
        <f>IFERROR(__xludf.DUMMYFUNCTION("""COMPUTED_VALUE"""),"")</f>
        <v/>
      </c>
      <c r="O6092" s="14"/>
    </row>
    <row r="6093" ht="22.5" customHeight="1">
      <c r="A6093" s="8">
        <v>46265.380909907406</v>
      </c>
      <c r="B6093" s="14">
        <v>46265.0</v>
      </c>
      <c r="C6093" s="9" t="s">
        <v>86</v>
      </c>
      <c r="D6093" s="9" t="s">
        <v>335</v>
      </c>
      <c r="E6093" s="9" t="s">
        <v>17</v>
      </c>
      <c r="F6093" s="9" t="s">
        <v>17</v>
      </c>
      <c r="G6093" s="9">
        <v>7.0</v>
      </c>
      <c r="H6093" s="9" t="s">
        <v>22</v>
      </c>
      <c r="I6093" s="9" t="s">
        <v>20</v>
      </c>
      <c r="J6093" s="16">
        <v>0.8</v>
      </c>
      <c r="K6093" s="14" t="s">
        <v>398</v>
      </c>
      <c r="N6093" s="14" t="str">
        <f>IFERROR(__xludf.DUMMYFUNCTION("""COMPUTED_VALUE"""),"")</f>
        <v/>
      </c>
      <c r="O6093" s="14"/>
    </row>
    <row r="6094" ht="22.5" customHeight="1">
      <c r="A6094" s="8">
        <v>46265.38142921297</v>
      </c>
      <c r="B6094" s="14">
        <v>46265.0</v>
      </c>
      <c r="C6094" s="9" t="s">
        <v>86</v>
      </c>
      <c r="D6094" s="9" t="s">
        <v>177</v>
      </c>
      <c r="E6094" s="9" t="s">
        <v>17</v>
      </c>
      <c r="F6094" s="9" t="s">
        <v>17</v>
      </c>
      <c r="G6094" s="9">
        <v>7.0</v>
      </c>
      <c r="H6094" s="9" t="s">
        <v>22</v>
      </c>
      <c r="I6094" s="9" t="s">
        <v>20</v>
      </c>
      <c r="J6094" s="16">
        <v>0.8</v>
      </c>
      <c r="K6094" s="14" t="s">
        <v>398</v>
      </c>
      <c r="N6094" s="14" t="str">
        <f>IFERROR(__xludf.DUMMYFUNCTION("""COMPUTED_VALUE"""),"")</f>
        <v/>
      </c>
      <c r="O6094" s="14"/>
    </row>
    <row r="6095" ht="22.5" customHeight="1">
      <c r="A6095" s="8">
        <v>46265.38195091435</v>
      </c>
      <c r="B6095" s="14">
        <v>46265.0</v>
      </c>
      <c r="C6095" s="9" t="s">
        <v>86</v>
      </c>
      <c r="D6095" s="9" t="s">
        <v>174</v>
      </c>
      <c r="E6095" s="9" t="s">
        <v>17</v>
      </c>
      <c r="F6095" s="9" t="s">
        <v>17</v>
      </c>
      <c r="G6095" s="9">
        <v>7.0</v>
      </c>
      <c r="H6095" s="9" t="s">
        <v>22</v>
      </c>
      <c r="I6095" s="9" t="s">
        <v>20</v>
      </c>
      <c r="J6095" s="16">
        <v>0.8</v>
      </c>
      <c r="K6095" s="14" t="s">
        <v>398</v>
      </c>
      <c r="N6095" s="14" t="str">
        <f>IFERROR(__xludf.DUMMYFUNCTION("""COMPUTED_VALUE"""),"")</f>
        <v/>
      </c>
      <c r="O6095" s="14"/>
    </row>
    <row r="6096" ht="22.5" customHeight="1">
      <c r="A6096" s="8">
        <v>46265.38250342592</v>
      </c>
      <c r="B6096" s="14">
        <v>46265.0</v>
      </c>
      <c r="C6096" s="9" t="s">
        <v>86</v>
      </c>
      <c r="D6096" s="9" t="s">
        <v>247</v>
      </c>
      <c r="E6096" s="9" t="s">
        <v>17</v>
      </c>
      <c r="F6096" s="9" t="s">
        <v>17</v>
      </c>
      <c r="G6096" s="9">
        <v>7.0</v>
      </c>
      <c r="H6096" s="9" t="s">
        <v>22</v>
      </c>
      <c r="I6096" s="9" t="s">
        <v>20</v>
      </c>
      <c r="J6096" s="16">
        <v>0.6</v>
      </c>
      <c r="K6096" s="14" t="s">
        <v>398</v>
      </c>
      <c r="N6096" s="14" t="str">
        <f>IFERROR(__xludf.DUMMYFUNCTION("""COMPUTED_VALUE"""),"")</f>
        <v/>
      </c>
      <c r="O6096" s="14"/>
    </row>
    <row r="6097" ht="22.5" customHeight="1">
      <c r="A6097" s="8">
        <v>46265.38365971065</v>
      </c>
      <c r="B6097" s="14">
        <v>46265.0</v>
      </c>
      <c r="C6097" s="9" t="s">
        <v>86</v>
      </c>
      <c r="D6097" s="9" t="s">
        <v>357</v>
      </c>
      <c r="E6097" s="9" t="s">
        <v>17</v>
      </c>
      <c r="F6097" s="9" t="s">
        <v>17</v>
      </c>
      <c r="G6097" s="9">
        <v>7.0</v>
      </c>
      <c r="H6097" s="9" t="s">
        <v>25</v>
      </c>
      <c r="I6097" s="9" t="s">
        <v>420</v>
      </c>
      <c r="J6097" s="16">
        <v>0.6</v>
      </c>
      <c r="K6097" s="14" t="s">
        <v>398</v>
      </c>
      <c r="N6097" s="14" t="str">
        <f>IFERROR(__xludf.DUMMYFUNCTION("""COMPUTED_VALUE"""),"")</f>
        <v/>
      </c>
      <c r="O6097" s="14"/>
    </row>
    <row r="6098" ht="22.5" customHeight="1">
      <c r="A6098" s="8">
        <v>46265.38395206019</v>
      </c>
      <c r="B6098" s="14">
        <v>46265.0</v>
      </c>
      <c r="C6098" s="9" t="s">
        <v>86</v>
      </c>
      <c r="D6098" s="9" t="s">
        <v>413</v>
      </c>
      <c r="E6098" s="9" t="s">
        <v>17</v>
      </c>
      <c r="F6098" s="9" t="s">
        <v>17</v>
      </c>
      <c r="G6098" s="9">
        <v>8.0</v>
      </c>
      <c r="H6098" s="9" t="s">
        <v>22</v>
      </c>
      <c r="I6098" s="9" t="s">
        <v>20</v>
      </c>
      <c r="J6098" s="16">
        <v>0.8</v>
      </c>
      <c r="K6098" s="14" t="s">
        <v>398</v>
      </c>
      <c r="N6098" s="14" t="str">
        <f>IFERROR(__xludf.DUMMYFUNCTION("""COMPUTED_VALUE"""),"")</f>
        <v/>
      </c>
      <c r="O6098" s="14"/>
    </row>
    <row r="6099" ht="22.5" customHeight="1">
      <c r="A6099" s="8">
        <v>46265.38428795139</v>
      </c>
      <c r="B6099" s="14">
        <v>46265.0</v>
      </c>
      <c r="C6099" s="9" t="s">
        <v>86</v>
      </c>
      <c r="D6099" s="9" t="s">
        <v>414</v>
      </c>
      <c r="E6099" s="9" t="s">
        <v>17</v>
      </c>
      <c r="F6099" s="9" t="s">
        <v>17</v>
      </c>
      <c r="G6099" s="9">
        <v>7.0</v>
      </c>
      <c r="H6099" s="9" t="s">
        <v>22</v>
      </c>
      <c r="I6099" s="9" t="s">
        <v>20</v>
      </c>
      <c r="J6099" s="16">
        <v>0.6</v>
      </c>
      <c r="K6099" s="14" t="s">
        <v>398</v>
      </c>
      <c r="N6099" s="14" t="str">
        <f>IFERROR(__xludf.DUMMYFUNCTION("""COMPUTED_VALUE"""),"")</f>
        <v/>
      </c>
      <c r="O6099" s="14"/>
    </row>
    <row r="6100" ht="22.5" customHeight="1">
      <c r="A6100" s="8">
        <v>46265.384732210645</v>
      </c>
      <c r="B6100" s="14">
        <v>46265.0</v>
      </c>
      <c r="C6100" s="9" t="s">
        <v>86</v>
      </c>
      <c r="D6100" s="9" t="s">
        <v>469</v>
      </c>
      <c r="E6100" s="9" t="s">
        <v>17</v>
      </c>
      <c r="F6100" s="9" t="s">
        <v>17</v>
      </c>
      <c r="G6100" s="9">
        <v>8.0</v>
      </c>
      <c r="H6100" s="9" t="s">
        <v>22</v>
      </c>
      <c r="I6100" s="9" t="s">
        <v>20</v>
      </c>
      <c r="J6100" s="16">
        <v>0.6</v>
      </c>
      <c r="K6100" s="14" t="s">
        <v>398</v>
      </c>
      <c r="N6100" s="14" t="str">
        <f>IFERROR(__xludf.DUMMYFUNCTION("""COMPUTED_VALUE"""),"")</f>
        <v/>
      </c>
      <c r="O6100" s="14"/>
    </row>
    <row r="6101" ht="22.5" customHeight="1">
      <c r="A6101" s="8">
        <v>46265.39180716436</v>
      </c>
      <c r="B6101" s="14">
        <v>46265.0</v>
      </c>
      <c r="C6101" s="9" t="s">
        <v>86</v>
      </c>
      <c r="D6101" s="9" t="s">
        <v>396</v>
      </c>
      <c r="E6101" s="9" t="s">
        <v>46</v>
      </c>
      <c r="F6101" s="9" t="s">
        <v>17</v>
      </c>
      <c r="G6101" s="9">
        <v>7.0</v>
      </c>
      <c r="H6101" s="9" t="s">
        <v>25</v>
      </c>
      <c r="I6101" s="9" t="s">
        <v>159</v>
      </c>
      <c r="J6101" s="16">
        <v>0.4</v>
      </c>
      <c r="K6101" s="14" t="s">
        <v>398</v>
      </c>
      <c r="N6101" s="14" t="str">
        <f>IFERROR(__xludf.DUMMYFUNCTION("""COMPUTED_VALUE"""),"")</f>
        <v/>
      </c>
      <c r="O6101" s="14"/>
    </row>
    <row r="6102" ht="22.5" customHeight="1">
      <c r="A6102" s="8">
        <v>46265.39244589121</v>
      </c>
      <c r="B6102" s="14">
        <v>46265.0</v>
      </c>
      <c r="C6102" s="9" t="s">
        <v>86</v>
      </c>
      <c r="D6102" s="9" t="s">
        <v>457</v>
      </c>
      <c r="E6102" s="9" t="s">
        <v>17</v>
      </c>
      <c r="F6102" s="9" t="s">
        <v>18</v>
      </c>
      <c r="G6102" s="9">
        <v>8.0</v>
      </c>
      <c r="H6102" s="9" t="s">
        <v>17</v>
      </c>
      <c r="I6102" s="9" t="s">
        <v>20</v>
      </c>
      <c r="J6102" s="16">
        <v>0.6</v>
      </c>
      <c r="K6102" s="14" t="s">
        <v>398</v>
      </c>
      <c r="N6102" s="14" t="str">
        <f>IFERROR(__xludf.DUMMYFUNCTION("""COMPUTED_VALUE"""),"")</f>
        <v/>
      </c>
      <c r="O6102" s="14"/>
    </row>
    <row r="6103" ht="22.5" customHeight="1">
      <c r="A6103" s="8">
        <v>46265.392895833334</v>
      </c>
      <c r="B6103" s="14">
        <v>46265.0</v>
      </c>
      <c r="C6103" s="9" t="s">
        <v>86</v>
      </c>
      <c r="D6103" s="9" t="s">
        <v>464</v>
      </c>
      <c r="E6103" s="9" t="s">
        <v>17</v>
      </c>
      <c r="F6103" s="9" t="s">
        <v>17</v>
      </c>
      <c r="G6103" s="9">
        <v>8.0</v>
      </c>
      <c r="H6103" s="9" t="s">
        <v>17</v>
      </c>
      <c r="I6103" s="9" t="s">
        <v>20</v>
      </c>
      <c r="J6103" s="16">
        <v>0.8</v>
      </c>
      <c r="K6103" s="14" t="s">
        <v>398</v>
      </c>
      <c r="N6103" s="14" t="str">
        <f>IFERROR(__xludf.DUMMYFUNCTION("""COMPUTED_VALUE"""),"")</f>
        <v/>
      </c>
      <c r="O6103" s="14"/>
    </row>
    <row r="6104" ht="22.5" customHeight="1">
      <c r="A6104" s="8">
        <v>46265.39379369213</v>
      </c>
      <c r="B6104" s="14">
        <v>46265.0</v>
      </c>
      <c r="C6104" s="9" t="s">
        <v>86</v>
      </c>
      <c r="D6104" s="9" t="s">
        <v>460</v>
      </c>
      <c r="E6104" s="9" t="s">
        <v>17</v>
      </c>
      <c r="F6104" s="9" t="s">
        <v>17</v>
      </c>
      <c r="G6104" s="9">
        <v>6.0</v>
      </c>
      <c r="H6104" s="9" t="s">
        <v>17</v>
      </c>
      <c r="I6104" s="9" t="s">
        <v>20</v>
      </c>
      <c r="J6104" s="16">
        <v>0.6</v>
      </c>
      <c r="K6104" s="14" t="s">
        <v>398</v>
      </c>
      <c r="N6104" s="14" t="str">
        <f>IFERROR(__xludf.DUMMYFUNCTION("""COMPUTED_VALUE"""),"")</f>
        <v/>
      </c>
      <c r="O6104" s="14"/>
    </row>
    <row r="6105">
      <c r="B6105" s="17" t="s">
        <v>477</v>
      </c>
      <c r="K6105" s="18" t="s">
        <v>477</v>
      </c>
      <c r="N6105" s="17" t="str">
        <f>IFERROR(__xludf.DUMMYFUNCTION("""COMPUTED_VALUE"""),"")</f>
        <v/>
      </c>
      <c r="O6105" s="17"/>
    </row>
    <row r="6106">
      <c r="B6106" s="17" t="s">
        <v>477</v>
      </c>
      <c r="K6106" s="18" t="s">
        <v>477</v>
      </c>
      <c r="N6106" s="17" t="str">
        <f>IFERROR(__xludf.DUMMYFUNCTION("""COMPUTED_VALUE"""),"")</f>
        <v/>
      </c>
      <c r="O6106" s="17"/>
    </row>
    <row r="6107">
      <c r="B6107" s="17" t="s">
        <v>477</v>
      </c>
      <c r="K6107" s="18" t="s">
        <v>477</v>
      </c>
      <c r="N6107" s="17" t="str">
        <f>IFERROR(__xludf.DUMMYFUNCTION("""COMPUTED_VALUE"""),"")</f>
        <v/>
      </c>
      <c r="O6107" s="17"/>
    </row>
    <row r="6108">
      <c r="B6108" s="17" t="s">
        <v>477</v>
      </c>
      <c r="K6108" s="18" t="s">
        <v>477</v>
      </c>
      <c r="N6108" s="17" t="str">
        <f>IFERROR(__xludf.DUMMYFUNCTION("""COMPUTED_VALUE"""),"")</f>
        <v/>
      </c>
      <c r="O6108" s="17"/>
    </row>
    <row r="6109">
      <c r="B6109" s="17" t="s">
        <v>477</v>
      </c>
      <c r="K6109" s="18" t="s">
        <v>477</v>
      </c>
      <c r="N6109" s="17" t="str">
        <f>IFERROR(__xludf.DUMMYFUNCTION("""COMPUTED_VALUE"""),"")</f>
        <v/>
      </c>
      <c r="O6109" s="17"/>
    </row>
    <row r="6110">
      <c r="B6110" s="17" t="s">
        <v>477</v>
      </c>
      <c r="K6110" s="18" t="s">
        <v>477</v>
      </c>
      <c r="N6110" s="17" t="str">
        <f>IFERROR(__xludf.DUMMYFUNCTION("""COMPUTED_VALUE"""),"")</f>
        <v/>
      </c>
      <c r="O6110" s="17"/>
    </row>
    <row r="6111">
      <c r="B6111" s="17" t="s">
        <v>477</v>
      </c>
      <c r="K6111" s="18" t="s">
        <v>477</v>
      </c>
      <c r="N6111" s="17" t="str">
        <f>IFERROR(__xludf.DUMMYFUNCTION("""COMPUTED_VALUE"""),"")</f>
        <v/>
      </c>
      <c r="O6111" s="17"/>
    </row>
    <row r="6112">
      <c r="B6112" s="17" t="s">
        <v>477</v>
      </c>
      <c r="K6112" s="18" t="s">
        <v>477</v>
      </c>
      <c r="N6112" s="17" t="str">
        <f>IFERROR(__xludf.DUMMYFUNCTION("""COMPUTED_VALUE"""),"")</f>
        <v/>
      </c>
      <c r="O6112" s="17"/>
    </row>
    <row r="6113">
      <c r="B6113" s="17" t="s">
        <v>477</v>
      </c>
      <c r="K6113" s="18" t="s">
        <v>477</v>
      </c>
      <c r="N6113" s="17" t="str">
        <f>IFERROR(__xludf.DUMMYFUNCTION("""COMPUTED_VALUE"""),"")</f>
        <v/>
      </c>
      <c r="O6113" s="17"/>
    </row>
    <row r="6114">
      <c r="B6114" s="17" t="s">
        <v>477</v>
      </c>
      <c r="K6114" s="18" t="s">
        <v>477</v>
      </c>
      <c r="N6114" s="17" t="str">
        <f>IFERROR(__xludf.DUMMYFUNCTION("""COMPUTED_VALUE"""),"")</f>
        <v/>
      </c>
      <c r="O6114" s="17"/>
    </row>
    <row r="6115">
      <c r="B6115" s="17" t="s">
        <v>477</v>
      </c>
      <c r="K6115" s="18" t="s">
        <v>477</v>
      </c>
      <c r="N6115" s="17" t="str">
        <f>IFERROR(__xludf.DUMMYFUNCTION("""COMPUTED_VALUE"""),"")</f>
        <v/>
      </c>
      <c r="O6115" s="17"/>
    </row>
    <row r="6116">
      <c r="B6116" s="17" t="s">
        <v>477</v>
      </c>
      <c r="K6116" s="18" t="s">
        <v>477</v>
      </c>
      <c r="N6116" s="17" t="str">
        <f>IFERROR(__xludf.DUMMYFUNCTION("""COMPUTED_VALUE"""),"")</f>
        <v/>
      </c>
      <c r="O6116" s="17"/>
    </row>
    <row r="6117">
      <c r="B6117" s="17" t="s">
        <v>477</v>
      </c>
      <c r="K6117" s="18" t="s">
        <v>477</v>
      </c>
      <c r="N6117" s="17" t="str">
        <f>IFERROR(__xludf.DUMMYFUNCTION("""COMPUTED_VALUE"""),"")</f>
        <v/>
      </c>
      <c r="O6117" s="17"/>
    </row>
    <row r="6118">
      <c r="B6118" s="17" t="s">
        <v>477</v>
      </c>
      <c r="K6118" s="18" t="s">
        <v>477</v>
      </c>
      <c r="N6118" s="17" t="str">
        <f>IFERROR(__xludf.DUMMYFUNCTION("""COMPUTED_VALUE"""),"")</f>
        <v/>
      </c>
      <c r="O6118" s="17"/>
    </row>
    <row r="6119">
      <c r="B6119" s="17" t="s">
        <v>477</v>
      </c>
      <c r="K6119" s="18" t="s">
        <v>477</v>
      </c>
      <c r="N6119" s="17" t="str">
        <f>IFERROR(__xludf.DUMMYFUNCTION("""COMPUTED_VALUE"""),"")</f>
        <v/>
      </c>
      <c r="O6119" s="17"/>
    </row>
    <row r="6120">
      <c r="B6120" s="17" t="s">
        <v>477</v>
      </c>
      <c r="K6120" s="18" t="s">
        <v>477</v>
      </c>
      <c r="N6120" s="17" t="str">
        <f>IFERROR(__xludf.DUMMYFUNCTION("""COMPUTED_VALUE"""),"")</f>
        <v/>
      </c>
      <c r="O6120" s="17"/>
    </row>
    <row r="6121">
      <c r="B6121" s="17" t="s">
        <v>477</v>
      </c>
      <c r="K6121" s="18" t="s">
        <v>477</v>
      </c>
      <c r="N6121" s="17" t="str">
        <f>IFERROR(__xludf.DUMMYFUNCTION("""COMPUTED_VALUE"""),"")</f>
        <v/>
      </c>
      <c r="O6121" s="17"/>
    </row>
    <row r="6122">
      <c r="B6122" s="17" t="s">
        <v>477</v>
      </c>
      <c r="K6122" s="18" t="s">
        <v>477</v>
      </c>
      <c r="N6122" s="17" t="str">
        <f>IFERROR(__xludf.DUMMYFUNCTION("""COMPUTED_VALUE"""),"")</f>
        <v/>
      </c>
      <c r="O6122" s="17"/>
    </row>
    <row r="6123">
      <c r="B6123" s="17" t="s">
        <v>477</v>
      </c>
      <c r="K6123" s="18" t="s">
        <v>477</v>
      </c>
      <c r="N6123" s="17" t="str">
        <f>IFERROR(__xludf.DUMMYFUNCTION("""COMPUTED_VALUE"""),"")</f>
        <v/>
      </c>
      <c r="O6123" s="17"/>
    </row>
    <row r="6124">
      <c r="B6124" s="17" t="s">
        <v>477</v>
      </c>
      <c r="K6124" s="18" t="s">
        <v>477</v>
      </c>
      <c r="N6124" s="17" t="str">
        <f>IFERROR(__xludf.DUMMYFUNCTION("""COMPUTED_VALUE"""),"")</f>
        <v/>
      </c>
      <c r="O6124" s="17"/>
    </row>
    <row r="6125">
      <c r="B6125" s="17" t="s">
        <v>477</v>
      </c>
      <c r="K6125" s="18" t="s">
        <v>477</v>
      </c>
      <c r="N6125" s="17" t="str">
        <f>IFERROR(__xludf.DUMMYFUNCTION("""COMPUTED_VALUE"""),"")</f>
        <v/>
      </c>
      <c r="O6125" s="17"/>
    </row>
    <row r="6126">
      <c r="B6126" s="17" t="s">
        <v>477</v>
      </c>
      <c r="K6126" s="18" t="s">
        <v>477</v>
      </c>
      <c r="N6126" s="17" t="str">
        <f>IFERROR(__xludf.DUMMYFUNCTION("""COMPUTED_VALUE"""),"")</f>
        <v/>
      </c>
      <c r="O6126" s="17"/>
    </row>
    <row r="6127">
      <c r="B6127" s="17" t="s">
        <v>477</v>
      </c>
      <c r="K6127" s="18" t="s">
        <v>477</v>
      </c>
      <c r="N6127" s="17" t="str">
        <f>IFERROR(__xludf.DUMMYFUNCTION("""COMPUTED_VALUE"""),"")</f>
        <v/>
      </c>
      <c r="O6127" s="17"/>
    </row>
    <row r="6128">
      <c r="B6128" s="17" t="s">
        <v>477</v>
      </c>
      <c r="K6128" s="18" t="s">
        <v>477</v>
      </c>
      <c r="N6128" s="17" t="str">
        <f>IFERROR(__xludf.DUMMYFUNCTION("""COMPUTED_VALUE"""),"")</f>
        <v/>
      </c>
      <c r="O6128" s="17"/>
    </row>
    <row r="6129">
      <c r="B6129" s="17" t="s">
        <v>477</v>
      </c>
      <c r="K6129" s="18" t="s">
        <v>477</v>
      </c>
      <c r="N6129" s="17" t="str">
        <f>IFERROR(__xludf.DUMMYFUNCTION("""COMPUTED_VALUE"""),"")</f>
        <v/>
      </c>
      <c r="O6129" s="17"/>
    </row>
    <row r="6130">
      <c r="B6130" s="17" t="s">
        <v>477</v>
      </c>
      <c r="K6130" s="18" t="s">
        <v>477</v>
      </c>
      <c r="N6130" s="17" t="str">
        <f>IFERROR(__xludf.DUMMYFUNCTION("""COMPUTED_VALUE"""),"")</f>
        <v/>
      </c>
      <c r="O6130" s="17"/>
    </row>
    <row r="6131">
      <c r="B6131" s="17" t="s">
        <v>477</v>
      </c>
      <c r="K6131" s="18" t="s">
        <v>477</v>
      </c>
      <c r="N6131" s="17" t="str">
        <f>IFERROR(__xludf.DUMMYFUNCTION("""COMPUTED_VALUE"""),"")</f>
        <v/>
      </c>
      <c r="O6131" s="17"/>
    </row>
    <row r="6132">
      <c r="B6132" s="17" t="s">
        <v>477</v>
      </c>
      <c r="K6132" s="18" t="s">
        <v>477</v>
      </c>
      <c r="N6132" s="17" t="str">
        <f>IFERROR(__xludf.DUMMYFUNCTION("""COMPUTED_VALUE"""),"")</f>
        <v/>
      </c>
      <c r="O6132" s="17"/>
    </row>
    <row r="6133">
      <c r="B6133" s="17" t="s">
        <v>477</v>
      </c>
      <c r="K6133" s="18" t="s">
        <v>477</v>
      </c>
      <c r="N6133" s="17" t="str">
        <f>IFERROR(__xludf.DUMMYFUNCTION("""COMPUTED_VALUE"""),"")</f>
        <v/>
      </c>
      <c r="O6133" s="17"/>
    </row>
    <row r="6134">
      <c r="B6134" s="17" t="s">
        <v>477</v>
      </c>
      <c r="K6134" s="18" t="s">
        <v>477</v>
      </c>
      <c r="N6134" s="17" t="str">
        <f>IFERROR(__xludf.DUMMYFUNCTION("""COMPUTED_VALUE"""),"")</f>
        <v/>
      </c>
      <c r="O6134" s="17"/>
    </row>
    <row r="6135">
      <c r="B6135" s="17" t="s">
        <v>477</v>
      </c>
      <c r="K6135" s="18" t="s">
        <v>477</v>
      </c>
      <c r="N6135" s="17" t="str">
        <f>IFERROR(__xludf.DUMMYFUNCTION("""COMPUTED_VALUE"""),"")</f>
        <v/>
      </c>
      <c r="O6135" s="17"/>
    </row>
    <row r="6136">
      <c r="B6136" s="17" t="s">
        <v>477</v>
      </c>
      <c r="K6136" s="18" t="s">
        <v>477</v>
      </c>
      <c r="N6136" s="17" t="str">
        <f>IFERROR(__xludf.DUMMYFUNCTION("""COMPUTED_VALUE"""),"")</f>
        <v/>
      </c>
      <c r="O6136" s="17"/>
    </row>
    <row r="6137">
      <c r="B6137" s="17" t="s">
        <v>477</v>
      </c>
      <c r="K6137" s="18" t="s">
        <v>477</v>
      </c>
      <c r="N6137" s="17" t="str">
        <f>IFERROR(__xludf.DUMMYFUNCTION("""COMPUTED_VALUE"""),"")</f>
        <v/>
      </c>
      <c r="O6137" s="17"/>
    </row>
    <row r="6138">
      <c r="B6138" s="17" t="s">
        <v>477</v>
      </c>
      <c r="K6138" s="18" t="s">
        <v>477</v>
      </c>
      <c r="N6138" s="17" t="str">
        <f>IFERROR(__xludf.DUMMYFUNCTION("""COMPUTED_VALUE"""),"")</f>
        <v/>
      </c>
      <c r="O6138" s="17"/>
    </row>
    <row r="6139">
      <c r="B6139" s="17" t="s">
        <v>477</v>
      </c>
      <c r="K6139" s="18" t="s">
        <v>477</v>
      </c>
      <c r="N6139" s="17" t="str">
        <f>IFERROR(__xludf.DUMMYFUNCTION("""COMPUTED_VALUE"""),"")</f>
        <v/>
      </c>
      <c r="O6139" s="17"/>
    </row>
    <row r="6140">
      <c r="B6140" s="17" t="s">
        <v>477</v>
      </c>
      <c r="K6140" s="18" t="s">
        <v>477</v>
      </c>
      <c r="N6140" s="17" t="str">
        <f>IFERROR(__xludf.DUMMYFUNCTION("""COMPUTED_VALUE"""),"")</f>
        <v/>
      </c>
      <c r="O6140" s="17"/>
    </row>
    <row r="6141">
      <c r="B6141" s="17" t="s">
        <v>477</v>
      </c>
      <c r="K6141" s="18" t="s">
        <v>477</v>
      </c>
      <c r="N6141" s="17" t="str">
        <f>IFERROR(__xludf.DUMMYFUNCTION("""COMPUTED_VALUE"""),"")</f>
        <v/>
      </c>
      <c r="O6141" s="17"/>
    </row>
    <row r="6142">
      <c r="B6142" s="17" t="s">
        <v>477</v>
      </c>
      <c r="K6142" s="18" t="s">
        <v>477</v>
      </c>
      <c r="N6142" s="17" t="str">
        <f>IFERROR(__xludf.DUMMYFUNCTION("""COMPUTED_VALUE"""),"")</f>
        <v/>
      </c>
      <c r="O6142" s="17"/>
    </row>
    <row r="6143">
      <c r="B6143" s="17" t="s">
        <v>477</v>
      </c>
      <c r="K6143" s="18" t="s">
        <v>477</v>
      </c>
      <c r="N6143" s="17" t="str">
        <f>IFERROR(__xludf.DUMMYFUNCTION("""COMPUTED_VALUE"""),"")</f>
        <v/>
      </c>
      <c r="O6143" s="17"/>
    </row>
    <row r="6144">
      <c r="B6144" s="17" t="s">
        <v>477</v>
      </c>
      <c r="K6144" s="18" t="s">
        <v>477</v>
      </c>
      <c r="N6144" s="17" t="str">
        <f>IFERROR(__xludf.DUMMYFUNCTION("""COMPUTED_VALUE"""),"")</f>
        <v/>
      </c>
      <c r="O6144" s="17"/>
    </row>
    <row r="6145">
      <c r="B6145" s="17" t="s">
        <v>477</v>
      </c>
      <c r="K6145" s="18" t="s">
        <v>477</v>
      </c>
      <c r="N6145" s="17" t="str">
        <f>IFERROR(__xludf.DUMMYFUNCTION("""COMPUTED_VALUE"""),"")</f>
        <v/>
      </c>
      <c r="O6145" s="17"/>
    </row>
    <row r="6146">
      <c r="B6146" s="17" t="s">
        <v>477</v>
      </c>
      <c r="K6146" s="18" t="s">
        <v>477</v>
      </c>
      <c r="N6146" s="17" t="str">
        <f>IFERROR(__xludf.DUMMYFUNCTION("""COMPUTED_VALUE"""),"")</f>
        <v/>
      </c>
      <c r="O6146" s="17"/>
    </row>
    <row r="6147">
      <c r="B6147" s="17" t="s">
        <v>477</v>
      </c>
      <c r="K6147" s="18" t="s">
        <v>477</v>
      </c>
      <c r="N6147" s="17" t="str">
        <f>IFERROR(__xludf.DUMMYFUNCTION("""COMPUTED_VALUE"""),"")</f>
        <v/>
      </c>
      <c r="O6147" s="17"/>
    </row>
    <row r="6148">
      <c r="B6148" s="17" t="s">
        <v>477</v>
      </c>
      <c r="K6148" s="18" t="s">
        <v>477</v>
      </c>
      <c r="N6148" s="17" t="str">
        <f>IFERROR(__xludf.DUMMYFUNCTION("""COMPUTED_VALUE"""),"")</f>
        <v/>
      </c>
      <c r="O6148" s="17"/>
    </row>
    <row r="6149">
      <c r="B6149" s="17" t="s">
        <v>477</v>
      </c>
      <c r="K6149" s="18" t="s">
        <v>477</v>
      </c>
      <c r="N6149" s="17" t="str">
        <f>IFERROR(__xludf.DUMMYFUNCTION("""COMPUTED_VALUE"""),"")</f>
        <v/>
      </c>
      <c r="O6149" s="17"/>
    </row>
    <row r="6150">
      <c r="B6150" s="17" t="s">
        <v>477</v>
      </c>
      <c r="K6150" s="18" t="s">
        <v>477</v>
      </c>
      <c r="N6150" s="17" t="str">
        <f>IFERROR(__xludf.DUMMYFUNCTION("""COMPUTED_VALUE"""),"")</f>
        <v/>
      </c>
      <c r="O6150" s="17"/>
    </row>
    <row r="6151">
      <c r="B6151" s="17" t="s">
        <v>477</v>
      </c>
      <c r="K6151" s="18" t="s">
        <v>477</v>
      </c>
      <c r="N6151" s="17" t="str">
        <f>IFERROR(__xludf.DUMMYFUNCTION("""COMPUTED_VALUE"""),"")</f>
        <v/>
      </c>
      <c r="O6151" s="17"/>
    </row>
    <row r="6152">
      <c r="B6152" s="17" t="s">
        <v>477</v>
      </c>
      <c r="K6152" s="18" t="s">
        <v>477</v>
      </c>
      <c r="N6152" s="17" t="str">
        <f>IFERROR(__xludf.DUMMYFUNCTION("""COMPUTED_VALUE"""),"")</f>
        <v/>
      </c>
      <c r="O6152" s="17"/>
    </row>
    <row r="6153">
      <c r="B6153" s="17" t="s">
        <v>477</v>
      </c>
      <c r="K6153" s="18" t="s">
        <v>477</v>
      </c>
      <c r="N6153" s="17" t="str">
        <f>IFERROR(__xludf.DUMMYFUNCTION("""COMPUTED_VALUE"""),"")</f>
        <v/>
      </c>
      <c r="O6153" s="17"/>
    </row>
    <row r="6154">
      <c r="B6154" s="17" t="s">
        <v>477</v>
      </c>
      <c r="K6154" s="18" t="s">
        <v>477</v>
      </c>
      <c r="N6154" s="17" t="str">
        <f>IFERROR(__xludf.DUMMYFUNCTION("""COMPUTED_VALUE"""),"")</f>
        <v/>
      </c>
      <c r="O6154" s="17"/>
    </row>
    <row r="6155">
      <c r="B6155" s="17" t="s">
        <v>477</v>
      </c>
      <c r="K6155" s="18" t="s">
        <v>477</v>
      </c>
      <c r="N6155" s="17" t="str">
        <f>IFERROR(__xludf.DUMMYFUNCTION("""COMPUTED_VALUE"""),"")</f>
        <v/>
      </c>
      <c r="O6155" s="17"/>
    </row>
    <row r="6156">
      <c r="B6156" s="17" t="s">
        <v>477</v>
      </c>
      <c r="K6156" s="18" t="s">
        <v>477</v>
      </c>
      <c r="N6156" s="17" t="str">
        <f>IFERROR(__xludf.DUMMYFUNCTION("""COMPUTED_VALUE"""),"")</f>
        <v/>
      </c>
      <c r="O6156" s="17"/>
    </row>
    <row r="6157">
      <c r="B6157" s="17" t="s">
        <v>477</v>
      </c>
      <c r="K6157" s="18" t="s">
        <v>477</v>
      </c>
      <c r="N6157" s="17" t="str">
        <f>IFERROR(__xludf.DUMMYFUNCTION("""COMPUTED_VALUE"""),"")</f>
        <v/>
      </c>
      <c r="O6157" s="17"/>
    </row>
    <row r="6158">
      <c r="B6158" s="17" t="s">
        <v>477</v>
      </c>
      <c r="K6158" s="18" t="s">
        <v>477</v>
      </c>
      <c r="N6158" s="17" t="str">
        <f>IFERROR(__xludf.DUMMYFUNCTION("""COMPUTED_VALUE"""),"")</f>
        <v/>
      </c>
      <c r="O6158" s="17"/>
    </row>
    <row r="6159">
      <c r="B6159" s="17" t="s">
        <v>477</v>
      </c>
      <c r="K6159" s="18" t="s">
        <v>477</v>
      </c>
      <c r="N6159" s="17" t="str">
        <f>IFERROR(__xludf.DUMMYFUNCTION("""COMPUTED_VALUE"""),"")</f>
        <v/>
      </c>
      <c r="O6159" s="17"/>
    </row>
    <row r="6160">
      <c r="B6160" s="17" t="s">
        <v>477</v>
      </c>
      <c r="K6160" s="18" t="s">
        <v>477</v>
      </c>
      <c r="N6160" s="17" t="str">
        <f>IFERROR(__xludf.DUMMYFUNCTION("""COMPUTED_VALUE"""),"")</f>
        <v/>
      </c>
      <c r="O6160" s="17"/>
    </row>
    <row r="6161">
      <c r="B6161" s="17" t="s">
        <v>477</v>
      </c>
      <c r="K6161" s="18" t="s">
        <v>477</v>
      </c>
      <c r="N6161" s="17" t="str">
        <f>IFERROR(__xludf.DUMMYFUNCTION("""COMPUTED_VALUE"""),"")</f>
        <v/>
      </c>
      <c r="O6161" s="17"/>
    </row>
    <row r="6162">
      <c r="B6162" s="17" t="s">
        <v>477</v>
      </c>
      <c r="K6162" s="18" t="s">
        <v>477</v>
      </c>
      <c r="N6162" s="17" t="str">
        <f>IFERROR(__xludf.DUMMYFUNCTION("""COMPUTED_VALUE"""),"")</f>
        <v/>
      </c>
      <c r="O6162" s="17"/>
    </row>
    <row r="6163">
      <c r="B6163" s="17" t="s">
        <v>477</v>
      </c>
      <c r="K6163" s="18" t="s">
        <v>477</v>
      </c>
      <c r="N6163" s="17" t="str">
        <f>IFERROR(__xludf.DUMMYFUNCTION("""COMPUTED_VALUE"""),"")</f>
        <v/>
      </c>
      <c r="O6163" s="17"/>
    </row>
    <row r="6164">
      <c r="B6164" s="17" t="s">
        <v>477</v>
      </c>
      <c r="K6164" s="18" t="s">
        <v>477</v>
      </c>
      <c r="N6164" s="17" t="str">
        <f>IFERROR(__xludf.DUMMYFUNCTION("""COMPUTED_VALUE"""),"")</f>
        <v/>
      </c>
      <c r="O6164" s="17"/>
    </row>
    <row r="6165">
      <c r="B6165" s="17" t="s">
        <v>477</v>
      </c>
      <c r="K6165" s="18" t="s">
        <v>477</v>
      </c>
      <c r="N6165" s="17" t="str">
        <f>IFERROR(__xludf.DUMMYFUNCTION("""COMPUTED_VALUE"""),"")</f>
        <v/>
      </c>
      <c r="O6165" s="17"/>
    </row>
    <row r="6166">
      <c r="B6166" s="17" t="s">
        <v>477</v>
      </c>
      <c r="K6166" s="18" t="s">
        <v>477</v>
      </c>
      <c r="N6166" s="17" t="str">
        <f>IFERROR(__xludf.DUMMYFUNCTION("""COMPUTED_VALUE"""),"")</f>
        <v/>
      </c>
      <c r="O6166" s="17"/>
    </row>
    <row r="6167">
      <c r="B6167" s="17" t="s">
        <v>477</v>
      </c>
      <c r="K6167" s="18" t="s">
        <v>477</v>
      </c>
      <c r="N6167" s="17" t="str">
        <f>IFERROR(__xludf.DUMMYFUNCTION("""COMPUTED_VALUE"""),"")</f>
        <v/>
      </c>
      <c r="O6167" s="17"/>
    </row>
    <row r="6168">
      <c r="B6168" s="17" t="s">
        <v>477</v>
      </c>
      <c r="K6168" s="18" t="s">
        <v>477</v>
      </c>
      <c r="N6168" s="17" t="str">
        <f>IFERROR(__xludf.DUMMYFUNCTION("""COMPUTED_VALUE"""),"")</f>
        <v/>
      </c>
      <c r="O6168" s="17"/>
    </row>
    <row r="6169">
      <c r="B6169" s="17" t="s">
        <v>477</v>
      </c>
      <c r="K6169" s="18" t="s">
        <v>477</v>
      </c>
      <c r="N6169" s="17" t="str">
        <f>IFERROR(__xludf.DUMMYFUNCTION("""COMPUTED_VALUE"""),"")</f>
        <v/>
      </c>
      <c r="O6169" s="17"/>
    </row>
    <row r="6170">
      <c r="B6170" s="17" t="s">
        <v>477</v>
      </c>
      <c r="K6170" s="18" t="s">
        <v>477</v>
      </c>
      <c r="N6170" s="17" t="str">
        <f>IFERROR(__xludf.DUMMYFUNCTION("""COMPUTED_VALUE"""),"")</f>
        <v/>
      </c>
      <c r="O6170" s="17"/>
    </row>
    <row r="6171">
      <c r="B6171" s="17" t="s">
        <v>477</v>
      </c>
      <c r="K6171" s="18" t="s">
        <v>477</v>
      </c>
      <c r="N6171" s="17" t="str">
        <f>IFERROR(__xludf.DUMMYFUNCTION("""COMPUTED_VALUE"""),"")</f>
        <v/>
      </c>
      <c r="O6171" s="17"/>
    </row>
    <row r="6172">
      <c r="B6172" s="17" t="s">
        <v>477</v>
      </c>
      <c r="K6172" s="18" t="s">
        <v>477</v>
      </c>
      <c r="N6172" s="17" t="str">
        <f>IFERROR(__xludf.DUMMYFUNCTION("""COMPUTED_VALUE"""),"")</f>
        <v/>
      </c>
      <c r="O6172" s="17"/>
    </row>
    <row r="6173">
      <c r="B6173" s="17" t="s">
        <v>477</v>
      </c>
      <c r="K6173" s="18" t="s">
        <v>477</v>
      </c>
      <c r="N6173" s="17" t="str">
        <f>IFERROR(__xludf.DUMMYFUNCTION("""COMPUTED_VALUE"""),"")</f>
        <v/>
      </c>
      <c r="O6173" s="17"/>
    </row>
    <row r="6174">
      <c r="B6174" s="17" t="s">
        <v>477</v>
      </c>
      <c r="K6174" s="18" t="s">
        <v>477</v>
      </c>
      <c r="N6174" s="17" t="str">
        <f>IFERROR(__xludf.DUMMYFUNCTION("""COMPUTED_VALUE"""),"")</f>
        <v/>
      </c>
      <c r="O6174" s="17"/>
    </row>
    <row r="6175">
      <c r="B6175" s="17" t="s">
        <v>477</v>
      </c>
      <c r="K6175" s="18" t="s">
        <v>477</v>
      </c>
      <c r="N6175" s="17" t="str">
        <f>IFERROR(__xludf.DUMMYFUNCTION("""COMPUTED_VALUE"""),"")</f>
        <v/>
      </c>
      <c r="O6175" s="17"/>
    </row>
    <row r="6176">
      <c r="B6176" s="17" t="s">
        <v>477</v>
      </c>
      <c r="K6176" s="18" t="s">
        <v>477</v>
      </c>
      <c r="N6176" s="17" t="str">
        <f>IFERROR(__xludf.DUMMYFUNCTION("""COMPUTED_VALUE"""),"")</f>
        <v/>
      </c>
      <c r="O6176" s="17"/>
    </row>
    <row r="6177">
      <c r="B6177" s="17" t="s">
        <v>477</v>
      </c>
      <c r="K6177" s="18" t="s">
        <v>477</v>
      </c>
      <c r="N6177" s="17" t="str">
        <f>IFERROR(__xludf.DUMMYFUNCTION("""COMPUTED_VALUE"""),"")</f>
        <v/>
      </c>
      <c r="O6177" s="17"/>
    </row>
    <row r="6178">
      <c r="B6178" s="17" t="s">
        <v>477</v>
      </c>
      <c r="K6178" s="18" t="s">
        <v>477</v>
      </c>
      <c r="N6178" s="17" t="str">
        <f>IFERROR(__xludf.DUMMYFUNCTION("""COMPUTED_VALUE"""),"")</f>
        <v/>
      </c>
      <c r="O6178" s="17"/>
    </row>
    <row r="6179">
      <c r="B6179" s="17" t="s">
        <v>477</v>
      </c>
      <c r="K6179" s="18" t="s">
        <v>477</v>
      </c>
      <c r="N6179" s="17" t="str">
        <f>IFERROR(__xludf.DUMMYFUNCTION("""COMPUTED_VALUE"""),"")</f>
        <v/>
      </c>
      <c r="O6179" s="17"/>
    </row>
    <row r="6180">
      <c r="B6180" s="17" t="s">
        <v>477</v>
      </c>
      <c r="K6180" s="18" t="s">
        <v>477</v>
      </c>
      <c r="N6180" s="17" t="str">
        <f>IFERROR(__xludf.DUMMYFUNCTION("""COMPUTED_VALUE"""),"")</f>
        <v/>
      </c>
      <c r="O6180" s="17"/>
    </row>
    <row r="6181">
      <c r="B6181" s="17" t="s">
        <v>477</v>
      </c>
      <c r="K6181" s="18" t="s">
        <v>477</v>
      </c>
      <c r="N6181" s="17" t="str">
        <f>IFERROR(__xludf.DUMMYFUNCTION("""COMPUTED_VALUE"""),"")</f>
        <v/>
      </c>
      <c r="O6181" s="17"/>
    </row>
    <row r="6182">
      <c r="B6182" s="17" t="s">
        <v>477</v>
      </c>
      <c r="K6182" s="18" t="s">
        <v>477</v>
      </c>
      <c r="N6182" s="17" t="str">
        <f>IFERROR(__xludf.DUMMYFUNCTION("""COMPUTED_VALUE"""),"")</f>
        <v/>
      </c>
      <c r="O6182" s="17"/>
    </row>
    <row r="6183">
      <c r="B6183" s="17" t="s">
        <v>477</v>
      </c>
      <c r="K6183" s="18" t="s">
        <v>477</v>
      </c>
      <c r="N6183" s="17" t="str">
        <f>IFERROR(__xludf.DUMMYFUNCTION("""COMPUTED_VALUE"""),"")</f>
        <v/>
      </c>
      <c r="O6183" s="17"/>
    </row>
    <row r="6184">
      <c r="B6184" s="17" t="s">
        <v>477</v>
      </c>
      <c r="K6184" s="18" t="s">
        <v>477</v>
      </c>
      <c r="N6184" s="17" t="str">
        <f>IFERROR(__xludf.DUMMYFUNCTION("""COMPUTED_VALUE"""),"")</f>
        <v/>
      </c>
      <c r="O6184" s="17"/>
    </row>
    <row r="6185">
      <c r="B6185" s="17" t="s">
        <v>477</v>
      </c>
      <c r="K6185" s="18" t="s">
        <v>477</v>
      </c>
      <c r="N6185" s="17" t="str">
        <f>IFERROR(__xludf.DUMMYFUNCTION("""COMPUTED_VALUE"""),"")</f>
        <v/>
      </c>
      <c r="O6185" s="17"/>
    </row>
    <row r="6186">
      <c r="B6186" s="17" t="s">
        <v>477</v>
      </c>
      <c r="K6186" s="18" t="s">
        <v>477</v>
      </c>
      <c r="N6186" s="17" t="str">
        <f>IFERROR(__xludf.DUMMYFUNCTION("""COMPUTED_VALUE"""),"")</f>
        <v/>
      </c>
      <c r="O6186" s="17"/>
    </row>
    <row r="6187">
      <c r="B6187" s="17" t="s">
        <v>477</v>
      </c>
      <c r="K6187" s="18" t="s">
        <v>477</v>
      </c>
      <c r="N6187" s="17" t="str">
        <f>IFERROR(__xludf.DUMMYFUNCTION("""COMPUTED_VALUE"""),"")</f>
        <v/>
      </c>
      <c r="O6187" s="17"/>
    </row>
    <row r="6188">
      <c r="B6188" s="17" t="s">
        <v>477</v>
      </c>
      <c r="K6188" s="18" t="s">
        <v>477</v>
      </c>
      <c r="N6188" s="17" t="str">
        <f>IFERROR(__xludf.DUMMYFUNCTION("""COMPUTED_VALUE"""),"")</f>
        <v/>
      </c>
      <c r="O6188" s="17"/>
    </row>
    <row r="6189">
      <c r="B6189" s="17" t="s">
        <v>477</v>
      </c>
      <c r="K6189" s="18" t="s">
        <v>477</v>
      </c>
      <c r="N6189" s="17" t="str">
        <f>IFERROR(__xludf.DUMMYFUNCTION("""COMPUTED_VALUE"""),"")</f>
        <v/>
      </c>
      <c r="O6189" s="17"/>
    </row>
    <row r="6190">
      <c r="B6190" s="17" t="s">
        <v>477</v>
      </c>
      <c r="K6190" s="18" t="s">
        <v>477</v>
      </c>
      <c r="N6190" s="17" t="str">
        <f>IFERROR(__xludf.DUMMYFUNCTION("""COMPUTED_VALUE"""),"")</f>
        <v/>
      </c>
      <c r="O6190" s="17"/>
    </row>
    <row r="6191">
      <c r="B6191" s="17" t="s">
        <v>477</v>
      </c>
      <c r="K6191" s="18" t="s">
        <v>477</v>
      </c>
      <c r="N6191" s="17" t="str">
        <f>IFERROR(__xludf.DUMMYFUNCTION("""COMPUTED_VALUE"""),"")</f>
        <v/>
      </c>
      <c r="O6191" s="17"/>
    </row>
    <row r="6192">
      <c r="B6192" s="17" t="s">
        <v>477</v>
      </c>
      <c r="K6192" s="18" t="s">
        <v>477</v>
      </c>
      <c r="N6192" s="17" t="str">
        <f>IFERROR(__xludf.DUMMYFUNCTION("""COMPUTED_VALUE"""),"")</f>
        <v/>
      </c>
      <c r="O6192" s="17"/>
    </row>
    <row r="6193">
      <c r="B6193" s="17" t="s">
        <v>477</v>
      </c>
      <c r="K6193" s="18" t="s">
        <v>477</v>
      </c>
      <c r="N6193" s="17" t="str">
        <f>IFERROR(__xludf.DUMMYFUNCTION("""COMPUTED_VALUE"""),"")</f>
        <v/>
      </c>
      <c r="O6193" s="17"/>
    </row>
    <row r="6194">
      <c r="B6194" s="17" t="s">
        <v>477</v>
      </c>
      <c r="K6194" s="18" t="s">
        <v>477</v>
      </c>
      <c r="N6194" s="17" t="str">
        <f>IFERROR(__xludf.DUMMYFUNCTION("""COMPUTED_VALUE"""),"")</f>
        <v/>
      </c>
      <c r="O6194" s="17"/>
    </row>
    <row r="6195">
      <c r="B6195" s="17" t="s">
        <v>477</v>
      </c>
      <c r="K6195" s="18" t="s">
        <v>477</v>
      </c>
      <c r="N6195" s="17" t="str">
        <f>IFERROR(__xludf.DUMMYFUNCTION("""COMPUTED_VALUE"""),"")</f>
        <v/>
      </c>
      <c r="O6195" s="17"/>
    </row>
    <row r="6196">
      <c r="B6196" s="17" t="s">
        <v>477</v>
      </c>
      <c r="K6196" s="18" t="s">
        <v>477</v>
      </c>
      <c r="N6196" s="17" t="str">
        <f>IFERROR(__xludf.DUMMYFUNCTION("""COMPUTED_VALUE"""),"")</f>
        <v/>
      </c>
      <c r="O6196" s="17"/>
    </row>
    <row r="6197">
      <c r="B6197" s="17" t="s">
        <v>477</v>
      </c>
      <c r="K6197" s="18" t="s">
        <v>477</v>
      </c>
      <c r="N6197" s="17" t="str">
        <f>IFERROR(__xludf.DUMMYFUNCTION("""COMPUTED_VALUE"""),"")</f>
        <v/>
      </c>
      <c r="O6197" s="17"/>
    </row>
    <row r="6198">
      <c r="B6198" s="17" t="s">
        <v>477</v>
      </c>
      <c r="K6198" s="18" t="s">
        <v>477</v>
      </c>
      <c r="N6198" s="17" t="str">
        <f>IFERROR(__xludf.DUMMYFUNCTION("""COMPUTED_VALUE"""),"")</f>
        <v/>
      </c>
      <c r="O6198" s="17"/>
    </row>
    <row r="6199">
      <c r="B6199" s="17" t="s">
        <v>477</v>
      </c>
      <c r="K6199" s="18" t="s">
        <v>477</v>
      </c>
      <c r="N6199" s="17" t="str">
        <f>IFERROR(__xludf.DUMMYFUNCTION("""COMPUTED_VALUE"""),"")</f>
        <v/>
      </c>
      <c r="O6199" s="17"/>
    </row>
    <row r="6200">
      <c r="B6200" s="17" t="s">
        <v>477</v>
      </c>
      <c r="K6200" s="18" t="s">
        <v>477</v>
      </c>
      <c r="N6200" s="17" t="str">
        <f>IFERROR(__xludf.DUMMYFUNCTION("""COMPUTED_VALUE"""),"")</f>
        <v/>
      </c>
      <c r="O6200" s="17"/>
    </row>
    <row r="6201">
      <c r="B6201" s="17" t="s">
        <v>477</v>
      </c>
      <c r="K6201" s="18" t="s">
        <v>477</v>
      </c>
      <c r="N6201" s="17" t="str">
        <f>IFERROR(__xludf.DUMMYFUNCTION("""COMPUTED_VALUE"""),"")</f>
        <v/>
      </c>
      <c r="O6201" s="17"/>
    </row>
    <row r="6202">
      <c r="B6202" s="17" t="s">
        <v>477</v>
      </c>
      <c r="K6202" s="18" t="s">
        <v>477</v>
      </c>
      <c r="N6202" s="17" t="str">
        <f>IFERROR(__xludf.DUMMYFUNCTION("""COMPUTED_VALUE"""),"")</f>
        <v/>
      </c>
      <c r="O6202" s="17"/>
    </row>
    <row r="6203">
      <c r="B6203" s="17" t="s">
        <v>477</v>
      </c>
      <c r="K6203" s="18" t="s">
        <v>477</v>
      </c>
      <c r="N6203" s="17" t="str">
        <f>IFERROR(__xludf.DUMMYFUNCTION("""COMPUTED_VALUE"""),"")</f>
        <v/>
      </c>
      <c r="O6203" s="17"/>
    </row>
    <row r="6204">
      <c r="B6204" s="17" t="s">
        <v>477</v>
      </c>
      <c r="K6204" s="18" t="s">
        <v>477</v>
      </c>
      <c r="N6204" s="17" t="str">
        <f>IFERROR(__xludf.DUMMYFUNCTION("""COMPUTED_VALUE"""),"")</f>
        <v/>
      </c>
      <c r="O6204" s="17"/>
    </row>
    <row r="6205">
      <c r="B6205" s="17" t="s">
        <v>477</v>
      </c>
      <c r="K6205" s="18" t="s">
        <v>477</v>
      </c>
      <c r="N6205" s="17" t="str">
        <f>IFERROR(__xludf.DUMMYFUNCTION("""COMPUTED_VALUE"""),"")</f>
        <v/>
      </c>
      <c r="O6205" s="17"/>
    </row>
    <row r="6206">
      <c r="B6206" s="17" t="s">
        <v>477</v>
      </c>
      <c r="K6206" s="18" t="s">
        <v>477</v>
      </c>
      <c r="N6206" s="17" t="str">
        <f>IFERROR(__xludf.DUMMYFUNCTION("""COMPUTED_VALUE"""),"")</f>
        <v/>
      </c>
      <c r="O6206" s="17"/>
    </row>
    <row r="6207">
      <c r="B6207" s="17" t="s">
        <v>477</v>
      </c>
      <c r="K6207" s="18" t="s">
        <v>477</v>
      </c>
      <c r="N6207" s="17" t="str">
        <f>IFERROR(__xludf.DUMMYFUNCTION("""COMPUTED_VALUE"""),"")</f>
        <v/>
      </c>
      <c r="O6207" s="17"/>
    </row>
    <row r="6208">
      <c r="B6208" s="17" t="s">
        <v>477</v>
      </c>
      <c r="K6208" s="18" t="s">
        <v>477</v>
      </c>
      <c r="N6208" s="17" t="str">
        <f>IFERROR(__xludf.DUMMYFUNCTION("""COMPUTED_VALUE"""),"")</f>
        <v/>
      </c>
      <c r="O6208" s="17"/>
    </row>
    <row r="6209">
      <c r="B6209" s="17" t="s">
        <v>477</v>
      </c>
      <c r="K6209" s="18" t="s">
        <v>477</v>
      </c>
      <c r="N6209" s="17" t="str">
        <f>IFERROR(__xludf.DUMMYFUNCTION("""COMPUTED_VALUE"""),"")</f>
        <v/>
      </c>
      <c r="O6209" s="17"/>
    </row>
    <row r="6210">
      <c r="B6210" s="17" t="s">
        <v>477</v>
      </c>
      <c r="K6210" s="18" t="s">
        <v>477</v>
      </c>
      <c r="N6210" s="17" t="str">
        <f>IFERROR(__xludf.DUMMYFUNCTION("""COMPUTED_VALUE"""),"")</f>
        <v/>
      </c>
      <c r="O6210" s="17"/>
    </row>
    <row r="6211">
      <c r="B6211" s="17" t="s">
        <v>477</v>
      </c>
      <c r="K6211" s="18" t="s">
        <v>477</v>
      </c>
      <c r="N6211" s="17" t="str">
        <f>IFERROR(__xludf.DUMMYFUNCTION("""COMPUTED_VALUE"""),"")</f>
        <v/>
      </c>
      <c r="O6211" s="17"/>
    </row>
    <row r="6212">
      <c r="B6212" s="17" t="s">
        <v>477</v>
      </c>
      <c r="K6212" s="18" t="s">
        <v>477</v>
      </c>
      <c r="N6212" s="17" t="str">
        <f>IFERROR(__xludf.DUMMYFUNCTION("""COMPUTED_VALUE"""),"")</f>
        <v/>
      </c>
      <c r="O6212" s="17"/>
    </row>
    <row r="6213">
      <c r="B6213" s="17" t="s">
        <v>477</v>
      </c>
      <c r="K6213" s="18" t="s">
        <v>477</v>
      </c>
      <c r="N6213" s="17" t="str">
        <f>IFERROR(__xludf.DUMMYFUNCTION("""COMPUTED_VALUE"""),"")</f>
        <v/>
      </c>
      <c r="O6213" s="17"/>
    </row>
    <row r="6214">
      <c r="B6214" s="17" t="s">
        <v>477</v>
      </c>
      <c r="K6214" s="18" t="s">
        <v>477</v>
      </c>
      <c r="N6214" s="17" t="str">
        <f>IFERROR(__xludf.DUMMYFUNCTION("""COMPUTED_VALUE"""),"")</f>
        <v/>
      </c>
      <c r="O6214" s="17"/>
    </row>
    <row r="6215">
      <c r="B6215" s="17" t="s">
        <v>477</v>
      </c>
      <c r="K6215" s="18" t="s">
        <v>477</v>
      </c>
      <c r="N6215" s="17" t="str">
        <f>IFERROR(__xludf.DUMMYFUNCTION("""COMPUTED_VALUE"""),"")</f>
        <v/>
      </c>
      <c r="O6215" s="17"/>
    </row>
    <row r="6216">
      <c r="B6216" s="17" t="s">
        <v>477</v>
      </c>
      <c r="K6216" s="18" t="s">
        <v>477</v>
      </c>
      <c r="N6216" s="17" t="str">
        <f>IFERROR(__xludf.DUMMYFUNCTION("""COMPUTED_VALUE"""),"")</f>
        <v/>
      </c>
      <c r="O6216" s="17"/>
    </row>
    <row r="6217">
      <c r="B6217" s="17" t="s">
        <v>477</v>
      </c>
      <c r="K6217" s="18" t="s">
        <v>477</v>
      </c>
      <c r="N6217" s="17" t="str">
        <f>IFERROR(__xludf.DUMMYFUNCTION("""COMPUTED_VALUE"""),"")</f>
        <v/>
      </c>
      <c r="O6217" s="17"/>
    </row>
    <row r="6218">
      <c r="B6218" s="17" t="s">
        <v>477</v>
      </c>
      <c r="K6218" s="18" t="s">
        <v>477</v>
      </c>
      <c r="N6218" s="17" t="str">
        <f>IFERROR(__xludf.DUMMYFUNCTION("""COMPUTED_VALUE"""),"")</f>
        <v/>
      </c>
      <c r="O6218" s="17"/>
    </row>
    <row r="6219">
      <c r="B6219" s="17" t="s">
        <v>477</v>
      </c>
      <c r="K6219" s="18" t="s">
        <v>477</v>
      </c>
      <c r="N6219" s="17" t="str">
        <f>IFERROR(__xludf.DUMMYFUNCTION("""COMPUTED_VALUE"""),"")</f>
        <v/>
      </c>
      <c r="O6219" s="17"/>
    </row>
    <row r="6220">
      <c r="B6220" s="17" t="s">
        <v>477</v>
      </c>
      <c r="K6220" s="18" t="s">
        <v>477</v>
      </c>
      <c r="N6220" s="17" t="str">
        <f>IFERROR(__xludf.DUMMYFUNCTION("""COMPUTED_VALUE"""),"")</f>
        <v/>
      </c>
      <c r="O6220" s="17"/>
    </row>
    <row r="6221">
      <c r="B6221" s="17" t="s">
        <v>477</v>
      </c>
      <c r="K6221" s="18" t="s">
        <v>477</v>
      </c>
      <c r="N6221" s="17" t="str">
        <f>IFERROR(__xludf.DUMMYFUNCTION("""COMPUTED_VALUE"""),"")</f>
        <v/>
      </c>
      <c r="O6221" s="17"/>
    </row>
    <row r="6222">
      <c r="B6222" s="17" t="s">
        <v>477</v>
      </c>
      <c r="K6222" s="18" t="s">
        <v>477</v>
      </c>
      <c r="N6222" s="17" t="str">
        <f>IFERROR(__xludf.DUMMYFUNCTION("""COMPUTED_VALUE"""),"")</f>
        <v/>
      </c>
      <c r="O6222" s="17"/>
    </row>
    <row r="6223">
      <c r="B6223" s="17" t="s">
        <v>477</v>
      </c>
      <c r="K6223" s="18" t="s">
        <v>477</v>
      </c>
      <c r="N6223" s="17" t="str">
        <f>IFERROR(__xludf.DUMMYFUNCTION("""COMPUTED_VALUE"""),"")</f>
        <v/>
      </c>
      <c r="O6223" s="17"/>
    </row>
    <row r="6224">
      <c r="B6224" s="17" t="s">
        <v>477</v>
      </c>
      <c r="K6224" s="18" t="s">
        <v>477</v>
      </c>
      <c r="N6224" s="17" t="str">
        <f>IFERROR(__xludf.DUMMYFUNCTION("""COMPUTED_VALUE"""),"")</f>
        <v/>
      </c>
      <c r="O6224" s="17"/>
    </row>
    <row r="6225">
      <c r="B6225" s="17" t="s">
        <v>477</v>
      </c>
      <c r="K6225" s="18" t="s">
        <v>477</v>
      </c>
      <c r="N6225" s="17" t="str">
        <f>IFERROR(__xludf.DUMMYFUNCTION("""COMPUTED_VALUE"""),"")</f>
        <v/>
      </c>
      <c r="O6225" s="17"/>
    </row>
    <row r="6226">
      <c r="B6226" s="17" t="s">
        <v>477</v>
      </c>
      <c r="K6226" s="18" t="s">
        <v>477</v>
      </c>
      <c r="N6226" s="17" t="str">
        <f>IFERROR(__xludf.DUMMYFUNCTION("""COMPUTED_VALUE"""),"")</f>
        <v/>
      </c>
      <c r="O6226" s="17"/>
    </row>
    <row r="6227">
      <c r="B6227" s="17" t="s">
        <v>477</v>
      </c>
      <c r="K6227" s="18" t="s">
        <v>477</v>
      </c>
      <c r="N6227" s="17" t="str">
        <f>IFERROR(__xludf.DUMMYFUNCTION("""COMPUTED_VALUE"""),"")</f>
        <v/>
      </c>
      <c r="O6227" s="17"/>
    </row>
    <row r="6228">
      <c r="B6228" s="17" t="s">
        <v>477</v>
      </c>
      <c r="K6228" s="18" t="s">
        <v>477</v>
      </c>
      <c r="N6228" s="17" t="str">
        <f>IFERROR(__xludf.DUMMYFUNCTION("""COMPUTED_VALUE"""),"")</f>
        <v/>
      </c>
      <c r="O6228" s="17"/>
    </row>
    <row r="6229">
      <c r="B6229" s="17" t="s">
        <v>477</v>
      </c>
      <c r="K6229" s="18" t="s">
        <v>477</v>
      </c>
      <c r="N6229" s="17" t="str">
        <f>IFERROR(__xludf.DUMMYFUNCTION("""COMPUTED_VALUE"""),"")</f>
        <v/>
      </c>
      <c r="O6229" s="17"/>
    </row>
    <row r="6230">
      <c r="B6230" s="17" t="s">
        <v>477</v>
      </c>
      <c r="K6230" s="18" t="s">
        <v>477</v>
      </c>
      <c r="N6230" s="17" t="str">
        <f>IFERROR(__xludf.DUMMYFUNCTION("""COMPUTED_VALUE"""),"")</f>
        <v/>
      </c>
      <c r="O6230" s="17"/>
    </row>
    <row r="6231">
      <c r="B6231" s="17" t="s">
        <v>477</v>
      </c>
      <c r="K6231" s="18" t="s">
        <v>477</v>
      </c>
      <c r="N6231" s="17" t="str">
        <f>IFERROR(__xludf.DUMMYFUNCTION("""COMPUTED_VALUE"""),"")</f>
        <v/>
      </c>
      <c r="O6231" s="17"/>
    </row>
    <row r="6232">
      <c r="B6232" s="17" t="s">
        <v>477</v>
      </c>
      <c r="K6232" s="18" t="s">
        <v>477</v>
      </c>
      <c r="N6232" s="17" t="str">
        <f>IFERROR(__xludf.DUMMYFUNCTION("""COMPUTED_VALUE"""),"")</f>
        <v/>
      </c>
      <c r="O6232" s="17"/>
    </row>
    <row r="6233">
      <c r="B6233" s="17" t="s">
        <v>477</v>
      </c>
      <c r="K6233" s="18" t="s">
        <v>477</v>
      </c>
      <c r="N6233" s="17" t="str">
        <f>IFERROR(__xludf.DUMMYFUNCTION("""COMPUTED_VALUE"""),"")</f>
        <v/>
      </c>
      <c r="O6233" s="17"/>
    </row>
    <row r="6234">
      <c r="B6234" s="17" t="s">
        <v>477</v>
      </c>
      <c r="K6234" s="18" t="s">
        <v>477</v>
      </c>
      <c r="N6234" s="17" t="str">
        <f>IFERROR(__xludf.DUMMYFUNCTION("""COMPUTED_VALUE"""),"")</f>
        <v/>
      </c>
      <c r="O6234" s="17"/>
    </row>
    <row r="6235">
      <c r="B6235" s="17" t="s">
        <v>477</v>
      </c>
      <c r="K6235" s="18" t="s">
        <v>477</v>
      </c>
      <c r="N6235" s="17" t="str">
        <f>IFERROR(__xludf.DUMMYFUNCTION("""COMPUTED_VALUE"""),"")</f>
        <v/>
      </c>
      <c r="O6235" s="17"/>
    </row>
    <row r="6236">
      <c r="B6236" s="17" t="s">
        <v>477</v>
      </c>
      <c r="K6236" s="18" t="s">
        <v>477</v>
      </c>
      <c r="N6236" s="17" t="str">
        <f>IFERROR(__xludf.DUMMYFUNCTION("""COMPUTED_VALUE"""),"")</f>
        <v/>
      </c>
      <c r="O6236" s="17"/>
    </row>
    <row r="6237">
      <c r="B6237" s="17" t="s">
        <v>477</v>
      </c>
      <c r="K6237" s="18" t="s">
        <v>477</v>
      </c>
      <c r="N6237" s="17" t="str">
        <f>IFERROR(__xludf.DUMMYFUNCTION("""COMPUTED_VALUE"""),"")</f>
        <v/>
      </c>
      <c r="O6237" s="17"/>
    </row>
    <row r="6238">
      <c r="B6238" s="17" t="s">
        <v>477</v>
      </c>
      <c r="K6238" s="18" t="s">
        <v>477</v>
      </c>
      <c r="N6238" s="17" t="str">
        <f>IFERROR(__xludf.DUMMYFUNCTION("""COMPUTED_VALUE"""),"")</f>
        <v/>
      </c>
      <c r="O6238" s="17"/>
    </row>
    <row r="6239">
      <c r="B6239" s="17" t="s">
        <v>477</v>
      </c>
      <c r="K6239" s="18" t="s">
        <v>477</v>
      </c>
      <c r="N6239" s="17" t="str">
        <f>IFERROR(__xludf.DUMMYFUNCTION("""COMPUTED_VALUE"""),"")</f>
        <v/>
      </c>
      <c r="O6239" s="17"/>
    </row>
    <row r="6240">
      <c r="B6240" s="17" t="s">
        <v>477</v>
      </c>
      <c r="K6240" s="18" t="s">
        <v>477</v>
      </c>
      <c r="N6240" s="17" t="str">
        <f>IFERROR(__xludf.DUMMYFUNCTION("""COMPUTED_VALUE"""),"")</f>
        <v/>
      </c>
      <c r="O6240" s="17"/>
    </row>
    <row r="6241">
      <c r="B6241" s="17" t="s">
        <v>477</v>
      </c>
      <c r="K6241" s="18" t="s">
        <v>477</v>
      </c>
      <c r="N6241" s="17" t="str">
        <f>IFERROR(__xludf.DUMMYFUNCTION("""COMPUTED_VALUE"""),"")</f>
        <v/>
      </c>
      <c r="O6241" s="17"/>
    </row>
    <row r="6242">
      <c r="B6242" s="17" t="s">
        <v>477</v>
      </c>
      <c r="K6242" s="18" t="s">
        <v>477</v>
      </c>
      <c r="N6242" s="17" t="str">
        <f>IFERROR(__xludf.DUMMYFUNCTION("""COMPUTED_VALUE"""),"")</f>
        <v/>
      </c>
      <c r="O6242" s="17"/>
    </row>
    <row r="6243">
      <c r="B6243" s="17" t="s">
        <v>477</v>
      </c>
      <c r="K6243" s="18" t="s">
        <v>477</v>
      </c>
      <c r="N6243" s="17" t="str">
        <f>IFERROR(__xludf.DUMMYFUNCTION("""COMPUTED_VALUE"""),"")</f>
        <v/>
      </c>
      <c r="O6243" s="17"/>
    </row>
    <row r="6244">
      <c r="B6244" s="17" t="s">
        <v>477</v>
      </c>
      <c r="K6244" s="18" t="s">
        <v>477</v>
      </c>
      <c r="N6244" s="17" t="str">
        <f>IFERROR(__xludf.DUMMYFUNCTION("""COMPUTED_VALUE"""),"")</f>
        <v/>
      </c>
      <c r="O6244" s="17"/>
    </row>
    <row r="6245">
      <c r="B6245" s="17" t="s">
        <v>477</v>
      </c>
      <c r="K6245" s="18" t="s">
        <v>477</v>
      </c>
      <c r="N6245" s="17" t="str">
        <f>IFERROR(__xludf.DUMMYFUNCTION("""COMPUTED_VALUE"""),"")</f>
        <v/>
      </c>
      <c r="O6245" s="17"/>
    </row>
    <row r="6246">
      <c r="B6246" s="17" t="s">
        <v>477</v>
      </c>
      <c r="K6246" s="18" t="s">
        <v>477</v>
      </c>
      <c r="N6246" s="17" t="str">
        <f>IFERROR(__xludf.DUMMYFUNCTION("""COMPUTED_VALUE"""),"")</f>
        <v/>
      </c>
      <c r="O6246" s="17"/>
    </row>
    <row r="6247">
      <c r="B6247" s="17" t="s">
        <v>477</v>
      </c>
      <c r="K6247" s="18" t="s">
        <v>477</v>
      </c>
      <c r="N6247" s="17" t="str">
        <f>IFERROR(__xludf.DUMMYFUNCTION("""COMPUTED_VALUE"""),"")</f>
        <v/>
      </c>
      <c r="O6247" s="17"/>
    </row>
    <row r="6248">
      <c r="B6248" s="17" t="s">
        <v>477</v>
      </c>
      <c r="K6248" s="18" t="s">
        <v>477</v>
      </c>
      <c r="N6248" s="17" t="str">
        <f>IFERROR(__xludf.DUMMYFUNCTION("""COMPUTED_VALUE"""),"")</f>
        <v/>
      </c>
      <c r="O6248" s="17"/>
    </row>
    <row r="6249">
      <c r="B6249" s="17" t="s">
        <v>477</v>
      </c>
      <c r="K6249" s="18" t="s">
        <v>477</v>
      </c>
      <c r="N6249" s="17" t="str">
        <f>IFERROR(__xludf.DUMMYFUNCTION("""COMPUTED_VALUE"""),"")</f>
        <v/>
      </c>
      <c r="O6249" s="17"/>
    </row>
    <row r="6250">
      <c r="B6250" s="17" t="s">
        <v>477</v>
      </c>
      <c r="K6250" s="18" t="s">
        <v>477</v>
      </c>
      <c r="N6250" s="17" t="str">
        <f>IFERROR(__xludf.DUMMYFUNCTION("""COMPUTED_VALUE"""),"")</f>
        <v/>
      </c>
      <c r="O6250" s="17"/>
    </row>
    <row r="6251">
      <c r="B6251" s="17" t="s">
        <v>477</v>
      </c>
      <c r="K6251" s="18" t="s">
        <v>477</v>
      </c>
      <c r="N6251" s="17" t="str">
        <f>IFERROR(__xludf.DUMMYFUNCTION("""COMPUTED_VALUE"""),"")</f>
        <v/>
      </c>
      <c r="O6251" s="17"/>
    </row>
    <row r="6252">
      <c r="B6252" s="17" t="s">
        <v>477</v>
      </c>
      <c r="K6252" s="18" t="s">
        <v>477</v>
      </c>
      <c r="N6252" s="17" t="str">
        <f>IFERROR(__xludf.DUMMYFUNCTION("""COMPUTED_VALUE"""),"")</f>
        <v/>
      </c>
      <c r="O6252" s="17"/>
    </row>
    <row r="6253">
      <c r="B6253" s="17" t="s">
        <v>477</v>
      </c>
      <c r="K6253" s="18" t="s">
        <v>477</v>
      </c>
      <c r="N6253" s="17" t="str">
        <f>IFERROR(__xludf.DUMMYFUNCTION("""COMPUTED_VALUE"""),"")</f>
        <v/>
      </c>
      <c r="O6253" s="17"/>
    </row>
    <row r="6254">
      <c r="B6254" s="17" t="s">
        <v>477</v>
      </c>
      <c r="K6254" s="18" t="s">
        <v>477</v>
      </c>
      <c r="N6254" s="17" t="str">
        <f>IFERROR(__xludf.DUMMYFUNCTION("""COMPUTED_VALUE"""),"")</f>
        <v/>
      </c>
      <c r="O6254" s="17"/>
    </row>
    <row r="6255">
      <c r="B6255" s="17" t="s">
        <v>477</v>
      </c>
      <c r="K6255" s="18" t="s">
        <v>477</v>
      </c>
      <c r="N6255" s="17" t="str">
        <f>IFERROR(__xludf.DUMMYFUNCTION("""COMPUTED_VALUE"""),"")</f>
        <v/>
      </c>
      <c r="O6255" s="17"/>
    </row>
    <row r="6256">
      <c r="B6256" s="17" t="s">
        <v>477</v>
      </c>
      <c r="K6256" s="18" t="s">
        <v>477</v>
      </c>
      <c r="N6256" s="17" t="str">
        <f>IFERROR(__xludf.DUMMYFUNCTION("""COMPUTED_VALUE"""),"")</f>
        <v/>
      </c>
      <c r="O6256" s="17"/>
    </row>
    <row r="6257">
      <c r="B6257" s="17" t="s">
        <v>477</v>
      </c>
      <c r="K6257" s="18" t="s">
        <v>477</v>
      </c>
      <c r="N6257" s="17" t="str">
        <f>IFERROR(__xludf.DUMMYFUNCTION("""COMPUTED_VALUE"""),"")</f>
        <v/>
      </c>
      <c r="O6257" s="17"/>
    </row>
    <row r="6258">
      <c r="B6258" s="17" t="s">
        <v>477</v>
      </c>
      <c r="K6258" s="18" t="s">
        <v>477</v>
      </c>
      <c r="N6258" s="17" t="str">
        <f>IFERROR(__xludf.DUMMYFUNCTION("""COMPUTED_VALUE"""),"")</f>
        <v/>
      </c>
      <c r="O6258" s="17"/>
    </row>
    <row r="6259">
      <c r="B6259" s="17" t="s">
        <v>477</v>
      </c>
      <c r="K6259" s="18" t="s">
        <v>477</v>
      </c>
      <c r="N6259" s="17" t="str">
        <f>IFERROR(__xludf.DUMMYFUNCTION("""COMPUTED_VALUE"""),"")</f>
        <v/>
      </c>
      <c r="O6259" s="17"/>
    </row>
    <row r="6260">
      <c r="B6260" s="17" t="s">
        <v>477</v>
      </c>
      <c r="K6260" s="18" t="s">
        <v>477</v>
      </c>
      <c r="N6260" s="17" t="str">
        <f>IFERROR(__xludf.DUMMYFUNCTION("""COMPUTED_VALUE"""),"")</f>
        <v/>
      </c>
      <c r="O6260" s="17"/>
    </row>
    <row r="6261">
      <c r="B6261" s="17" t="s">
        <v>477</v>
      </c>
      <c r="K6261" s="18" t="s">
        <v>477</v>
      </c>
      <c r="N6261" s="17" t="str">
        <f>IFERROR(__xludf.DUMMYFUNCTION("""COMPUTED_VALUE"""),"")</f>
        <v/>
      </c>
      <c r="O6261" s="17"/>
    </row>
    <row r="6262">
      <c r="B6262" s="17" t="s">
        <v>477</v>
      </c>
      <c r="K6262" s="18" t="s">
        <v>477</v>
      </c>
      <c r="N6262" s="17" t="str">
        <f>IFERROR(__xludf.DUMMYFUNCTION("""COMPUTED_VALUE"""),"")</f>
        <v/>
      </c>
      <c r="O6262" s="17"/>
    </row>
    <row r="6263">
      <c r="B6263" s="17" t="s">
        <v>477</v>
      </c>
      <c r="K6263" s="18" t="s">
        <v>477</v>
      </c>
      <c r="N6263" s="17" t="str">
        <f>IFERROR(__xludf.DUMMYFUNCTION("""COMPUTED_VALUE"""),"")</f>
        <v/>
      </c>
      <c r="O6263" s="17"/>
    </row>
    <row r="6264">
      <c r="B6264" s="17" t="s">
        <v>477</v>
      </c>
      <c r="K6264" s="18" t="s">
        <v>477</v>
      </c>
      <c r="N6264" s="17" t="str">
        <f>IFERROR(__xludf.DUMMYFUNCTION("""COMPUTED_VALUE"""),"")</f>
        <v/>
      </c>
      <c r="O6264" s="17"/>
    </row>
    <row r="6265">
      <c r="B6265" s="17" t="s">
        <v>477</v>
      </c>
      <c r="K6265" s="18" t="s">
        <v>477</v>
      </c>
      <c r="N6265" s="17" t="str">
        <f>IFERROR(__xludf.DUMMYFUNCTION("""COMPUTED_VALUE"""),"")</f>
        <v/>
      </c>
      <c r="O6265" s="17"/>
    </row>
    <row r="6266">
      <c r="B6266" s="17" t="s">
        <v>477</v>
      </c>
      <c r="K6266" s="18" t="s">
        <v>477</v>
      </c>
      <c r="N6266" s="17" t="str">
        <f>IFERROR(__xludf.DUMMYFUNCTION("""COMPUTED_VALUE"""),"")</f>
        <v/>
      </c>
      <c r="O6266" s="17"/>
    </row>
    <row r="6267">
      <c r="B6267" s="17" t="s">
        <v>477</v>
      </c>
      <c r="K6267" s="18" t="s">
        <v>477</v>
      </c>
      <c r="N6267" s="17" t="str">
        <f>IFERROR(__xludf.DUMMYFUNCTION("""COMPUTED_VALUE"""),"")</f>
        <v/>
      </c>
      <c r="O6267" s="17"/>
    </row>
    <row r="6268">
      <c r="B6268" s="17" t="s">
        <v>477</v>
      </c>
      <c r="K6268" s="18" t="s">
        <v>477</v>
      </c>
      <c r="N6268" s="17" t="str">
        <f>IFERROR(__xludf.DUMMYFUNCTION("""COMPUTED_VALUE"""),"")</f>
        <v/>
      </c>
      <c r="O6268" s="17"/>
    </row>
    <row r="6269">
      <c r="B6269" s="17" t="s">
        <v>477</v>
      </c>
      <c r="K6269" s="18" t="s">
        <v>477</v>
      </c>
      <c r="N6269" s="17" t="str">
        <f>IFERROR(__xludf.DUMMYFUNCTION("""COMPUTED_VALUE"""),"")</f>
        <v/>
      </c>
      <c r="O6269" s="17"/>
    </row>
    <row r="6270">
      <c r="B6270" s="17" t="s">
        <v>477</v>
      </c>
      <c r="K6270" s="18" t="s">
        <v>477</v>
      </c>
      <c r="N6270" s="17" t="str">
        <f>IFERROR(__xludf.DUMMYFUNCTION("""COMPUTED_VALUE"""),"")</f>
        <v/>
      </c>
      <c r="O6270" s="17"/>
    </row>
    <row r="6271">
      <c r="B6271" s="17" t="s">
        <v>477</v>
      </c>
      <c r="K6271" s="18" t="s">
        <v>477</v>
      </c>
      <c r="N6271" s="17" t="str">
        <f>IFERROR(__xludf.DUMMYFUNCTION("""COMPUTED_VALUE"""),"")</f>
        <v/>
      </c>
      <c r="O6271" s="17"/>
    </row>
    <row r="6272">
      <c r="B6272" s="17" t="s">
        <v>477</v>
      </c>
      <c r="K6272" s="18" t="s">
        <v>477</v>
      </c>
      <c r="N6272" s="17" t="str">
        <f>IFERROR(__xludf.DUMMYFUNCTION("""COMPUTED_VALUE"""),"")</f>
        <v/>
      </c>
      <c r="O6272" s="17"/>
    </row>
    <row r="6273">
      <c r="B6273" s="17" t="s">
        <v>477</v>
      </c>
      <c r="K6273" s="18" t="s">
        <v>477</v>
      </c>
      <c r="N6273" s="17" t="str">
        <f>IFERROR(__xludf.DUMMYFUNCTION("""COMPUTED_VALUE"""),"")</f>
        <v/>
      </c>
      <c r="O6273" s="17"/>
    </row>
    <row r="6274">
      <c r="B6274" s="17" t="s">
        <v>477</v>
      </c>
      <c r="K6274" s="18" t="s">
        <v>477</v>
      </c>
      <c r="N6274" s="17" t="str">
        <f>IFERROR(__xludf.DUMMYFUNCTION("""COMPUTED_VALUE"""),"")</f>
        <v/>
      </c>
      <c r="O6274" s="17"/>
    </row>
    <row r="6275">
      <c r="B6275" s="17" t="s">
        <v>477</v>
      </c>
      <c r="K6275" s="18" t="s">
        <v>477</v>
      </c>
      <c r="N6275" s="17" t="str">
        <f>IFERROR(__xludf.DUMMYFUNCTION("""COMPUTED_VALUE"""),"")</f>
        <v/>
      </c>
      <c r="O6275" s="17"/>
    </row>
    <row r="6276">
      <c r="B6276" s="17" t="s">
        <v>477</v>
      </c>
      <c r="K6276" s="18" t="s">
        <v>477</v>
      </c>
      <c r="N6276" s="17" t="str">
        <f>IFERROR(__xludf.DUMMYFUNCTION("""COMPUTED_VALUE"""),"")</f>
        <v/>
      </c>
      <c r="O6276" s="17"/>
    </row>
    <row r="6277">
      <c r="B6277" s="17" t="s">
        <v>477</v>
      </c>
      <c r="K6277" s="18" t="s">
        <v>477</v>
      </c>
      <c r="N6277" s="17" t="str">
        <f>IFERROR(__xludf.DUMMYFUNCTION("""COMPUTED_VALUE"""),"")</f>
        <v/>
      </c>
      <c r="O6277" s="17"/>
    </row>
    <row r="6278">
      <c r="B6278" s="17" t="s">
        <v>477</v>
      </c>
      <c r="K6278" s="18" t="s">
        <v>477</v>
      </c>
      <c r="N6278" s="17" t="str">
        <f>IFERROR(__xludf.DUMMYFUNCTION("""COMPUTED_VALUE"""),"")</f>
        <v/>
      </c>
      <c r="O6278" s="17"/>
    </row>
    <row r="6279">
      <c r="B6279" s="17" t="s">
        <v>477</v>
      </c>
      <c r="K6279" s="18" t="s">
        <v>477</v>
      </c>
      <c r="N6279" s="17" t="str">
        <f>IFERROR(__xludf.DUMMYFUNCTION("""COMPUTED_VALUE"""),"")</f>
        <v/>
      </c>
      <c r="O6279" s="17"/>
    </row>
    <row r="6280">
      <c r="B6280" s="17" t="s">
        <v>477</v>
      </c>
      <c r="K6280" s="18" t="s">
        <v>477</v>
      </c>
      <c r="N6280" s="17" t="str">
        <f>IFERROR(__xludf.DUMMYFUNCTION("""COMPUTED_VALUE"""),"")</f>
        <v/>
      </c>
      <c r="O6280" s="17"/>
    </row>
    <row r="6281">
      <c r="B6281" s="17" t="s">
        <v>477</v>
      </c>
      <c r="K6281" s="18" t="s">
        <v>477</v>
      </c>
      <c r="N6281" s="17" t="str">
        <f>IFERROR(__xludf.DUMMYFUNCTION("""COMPUTED_VALUE"""),"")</f>
        <v/>
      </c>
      <c r="O6281" s="17"/>
    </row>
    <row r="6282">
      <c r="B6282" s="17" t="s">
        <v>477</v>
      </c>
      <c r="K6282" s="18" t="s">
        <v>477</v>
      </c>
      <c r="N6282" s="17" t="str">
        <f>IFERROR(__xludf.DUMMYFUNCTION("""COMPUTED_VALUE"""),"")</f>
        <v/>
      </c>
      <c r="O6282" s="17"/>
    </row>
    <row r="6283">
      <c r="B6283" s="17" t="s">
        <v>477</v>
      </c>
      <c r="K6283" s="18" t="s">
        <v>477</v>
      </c>
      <c r="N6283" s="17" t="str">
        <f>IFERROR(__xludf.DUMMYFUNCTION("""COMPUTED_VALUE"""),"")</f>
        <v/>
      </c>
      <c r="O6283" s="17"/>
    </row>
    <row r="6284">
      <c r="B6284" s="17" t="s">
        <v>477</v>
      </c>
      <c r="K6284" s="18" t="s">
        <v>477</v>
      </c>
      <c r="N6284" s="17" t="str">
        <f>IFERROR(__xludf.DUMMYFUNCTION("""COMPUTED_VALUE"""),"")</f>
        <v/>
      </c>
      <c r="O6284" s="17"/>
    </row>
    <row r="6285">
      <c r="B6285" s="17" t="s">
        <v>477</v>
      </c>
      <c r="K6285" s="18" t="s">
        <v>477</v>
      </c>
      <c r="N6285" s="17" t="str">
        <f>IFERROR(__xludf.DUMMYFUNCTION("""COMPUTED_VALUE"""),"")</f>
        <v/>
      </c>
      <c r="O6285" s="17"/>
    </row>
    <row r="6286">
      <c r="B6286" s="17" t="s">
        <v>477</v>
      </c>
      <c r="K6286" s="18" t="s">
        <v>477</v>
      </c>
      <c r="N6286" s="17" t="str">
        <f>IFERROR(__xludf.DUMMYFUNCTION("""COMPUTED_VALUE"""),"")</f>
        <v/>
      </c>
      <c r="O6286" s="17"/>
    </row>
    <row r="6287">
      <c r="B6287" s="17" t="s">
        <v>477</v>
      </c>
      <c r="K6287" s="18" t="s">
        <v>477</v>
      </c>
      <c r="N6287" s="17" t="str">
        <f>IFERROR(__xludf.DUMMYFUNCTION("""COMPUTED_VALUE"""),"")</f>
        <v/>
      </c>
      <c r="O6287" s="17"/>
    </row>
    <row r="6288">
      <c r="B6288" s="17" t="s">
        <v>477</v>
      </c>
      <c r="K6288" s="18" t="s">
        <v>477</v>
      </c>
      <c r="N6288" s="17" t="str">
        <f>IFERROR(__xludf.DUMMYFUNCTION("""COMPUTED_VALUE"""),"")</f>
        <v/>
      </c>
      <c r="O6288" s="17"/>
    </row>
    <row r="6289">
      <c r="B6289" s="17" t="s">
        <v>477</v>
      </c>
      <c r="K6289" s="18" t="s">
        <v>477</v>
      </c>
      <c r="N6289" s="17" t="str">
        <f>IFERROR(__xludf.DUMMYFUNCTION("""COMPUTED_VALUE"""),"")</f>
        <v/>
      </c>
      <c r="O6289" s="17"/>
    </row>
    <row r="6290">
      <c r="B6290" s="17" t="s">
        <v>477</v>
      </c>
      <c r="K6290" s="18" t="s">
        <v>477</v>
      </c>
      <c r="N6290" s="17" t="str">
        <f>IFERROR(__xludf.DUMMYFUNCTION("""COMPUTED_VALUE"""),"")</f>
        <v/>
      </c>
      <c r="O6290" s="17"/>
    </row>
    <row r="6291">
      <c r="B6291" s="17" t="s">
        <v>477</v>
      </c>
      <c r="K6291" s="18" t="s">
        <v>477</v>
      </c>
      <c r="N6291" s="17" t="str">
        <f>IFERROR(__xludf.DUMMYFUNCTION("""COMPUTED_VALUE"""),"")</f>
        <v/>
      </c>
      <c r="O6291" s="17"/>
    </row>
    <row r="6292">
      <c r="B6292" s="17" t="s">
        <v>477</v>
      </c>
      <c r="K6292" s="18" t="s">
        <v>477</v>
      </c>
      <c r="N6292" s="17" t="str">
        <f>IFERROR(__xludf.DUMMYFUNCTION("""COMPUTED_VALUE"""),"")</f>
        <v/>
      </c>
      <c r="O6292" s="17"/>
    </row>
    <row r="6293">
      <c r="B6293" s="17" t="s">
        <v>477</v>
      </c>
      <c r="K6293" s="18" t="s">
        <v>477</v>
      </c>
      <c r="N6293" s="17" t="str">
        <f>IFERROR(__xludf.DUMMYFUNCTION("""COMPUTED_VALUE"""),"")</f>
        <v/>
      </c>
      <c r="O6293" s="17"/>
    </row>
    <row r="6294">
      <c r="B6294" s="17" t="s">
        <v>477</v>
      </c>
      <c r="K6294" s="18" t="s">
        <v>477</v>
      </c>
      <c r="N6294" s="17" t="str">
        <f>IFERROR(__xludf.DUMMYFUNCTION("""COMPUTED_VALUE"""),"")</f>
        <v/>
      </c>
      <c r="O6294" s="17"/>
    </row>
    <row r="6295">
      <c r="B6295" s="17" t="s">
        <v>477</v>
      </c>
      <c r="K6295" s="18" t="s">
        <v>477</v>
      </c>
      <c r="N6295" s="17" t="str">
        <f>IFERROR(__xludf.DUMMYFUNCTION("""COMPUTED_VALUE"""),"")</f>
        <v/>
      </c>
      <c r="O6295" s="17"/>
    </row>
    <row r="6296">
      <c r="B6296" s="17" t="s">
        <v>477</v>
      </c>
      <c r="K6296" s="18" t="s">
        <v>477</v>
      </c>
      <c r="N6296" s="17" t="str">
        <f>IFERROR(__xludf.DUMMYFUNCTION("""COMPUTED_VALUE"""),"")</f>
        <v/>
      </c>
      <c r="O6296" s="17"/>
    </row>
    <row r="6297">
      <c r="B6297" s="17" t="s">
        <v>477</v>
      </c>
      <c r="K6297" s="18" t="s">
        <v>477</v>
      </c>
      <c r="N6297" s="17" t="str">
        <f>IFERROR(__xludf.DUMMYFUNCTION("""COMPUTED_VALUE"""),"")</f>
        <v/>
      </c>
      <c r="O6297" s="17"/>
    </row>
    <row r="6298">
      <c r="B6298" s="17" t="s">
        <v>477</v>
      </c>
      <c r="K6298" s="18" t="s">
        <v>477</v>
      </c>
      <c r="N6298" s="17" t="str">
        <f>IFERROR(__xludf.DUMMYFUNCTION("""COMPUTED_VALUE"""),"")</f>
        <v/>
      </c>
      <c r="O6298" s="17"/>
    </row>
    <row r="6299">
      <c r="B6299" s="17" t="s">
        <v>477</v>
      </c>
      <c r="K6299" s="18" t="s">
        <v>477</v>
      </c>
      <c r="N6299" s="17" t="str">
        <f>IFERROR(__xludf.DUMMYFUNCTION("""COMPUTED_VALUE"""),"")</f>
        <v/>
      </c>
      <c r="O6299" s="17"/>
    </row>
    <row r="6300">
      <c r="B6300" s="17" t="s">
        <v>477</v>
      </c>
      <c r="K6300" s="18" t="s">
        <v>477</v>
      </c>
      <c r="N6300" s="17" t="str">
        <f>IFERROR(__xludf.DUMMYFUNCTION("""COMPUTED_VALUE"""),"")</f>
        <v/>
      </c>
      <c r="O6300" s="17"/>
    </row>
    <row r="6301">
      <c r="B6301" s="17" t="s">
        <v>477</v>
      </c>
      <c r="K6301" s="18" t="s">
        <v>477</v>
      </c>
      <c r="N6301" s="17" t="str">
        <f>IFERROR(__xludf.DUMMYFUNCTION("""COMPUTED_VALUE"""),"")</f>
        <v/>
      </c>
      <c r="O6301" s="17"/>
    </row>
    <row r="6302">
      <c r="B6302" s="17" t="s">
        <v>477</v>
      </c>
      <c r="K6302" s="18" t="s">
        <v>477</v>
      </c>
      <c r="N6302" s="17" t="str">
        <f>IFERROR(__xludf.DUMMYFUNCTION("""COMPUTED_VALUE"""),"")</f>
        <v/>
      </c>
      <c r="O6302" s="17"/>
    </row>
    <row r="6303">
      <c r="B6303" s="17" t="s">
        <v>477</v>
      </c>
      <c r="K6303" s="18" t="s">
        <v>477</v>
      </c>
      <c r="N6303" s="17" t="str">
        <f>IFERROR(__xludf.DUMMYFUNCTION("""COMPUTED_VALUE"""),"")</f>
        <v/>
      </c>
      <c r="O6303" s="17"/>
    </row>
    <row r="6304">
      <c r="B6304" s="17" t="s">
        <v>477</v>
      </c>
      <c r="K6304" s="18" t="s">
        <v>477</v>
      </c>
      <c r="N6304" s="17" t="str">
        <f>IFERROR(__xludf.DUMMYFUNCTION("""COMPUTED_VALUE"""),"")</f>
        <v/>
      </c>
      <c r="O6304" s="17"/>
    </row>
    <row r="6305">
      <c r="B6305" s="17" t="s">
        <v>477</v>
      </c>
      <c r="K6305" s="18" t="s">
        <v>477</v>
      </c>
      <c r="N6305" s="17" t="str">
        <f>IFERROR(__xludf.DUMMYFUNCTION("""COMPUTED_VALUE"""),"")</f>
        <v/>
      </c>
      <c r="O6305" s="17"/>
    </row>
    <row r="6306">
      <c r="B6306" s="17" t="s">
        <v>477</v>
      </c>
      <c r="K6306" s="18" t="s">
        <v>477</v>
      </c>
      <c r="N6306" s="17" t="str">
        <f>IFERROR(__xludf.DUMMYFUNCTION("""COMPUTED_VALUE"""),"")</f>
        <v/>
      </c>
      <c r="O6306" s="17"/>
    </row>
    <row r="6307">
      <c r="B6307" s="17" t="s">
        <v>477</v>
      </c>
      <c r="K6307" s="18" t="s">
        <v>477</v>
      </c>
      <c r="N6307" s="17" t="str">
        <f>IFERROR(__xludf.DUMMYFUNCTION("""COMPUTED_VALUE"""),"")</f>
        <v/>
      </c>
      <c r="O6307" s="17"/>
    </row>
    <row r="6308">
      <c r="B6308" s="17" t="s">
        <v>477</v>
      </c>
      <c r="K6308" s="18" t="s">
        <v>477</v>
      </c>
      <c r="N6308" s="17" t="str">
        <f>IFERROR(__xludf.DUMMYFUNCTION("""COMPUTED_VALUE"""),"")</f>
        <v/>
      </c>
      <c r="O6308" s="17"/>
    </row>
    <row r="6309">
      <c r="B6309" s="17" t="s">
        <v>477</v>
      </c>
      <c r="K6309" s="18" t="s">
        <v>477</v>
      </c>
      <c r="N6309" s="17" t="str">
        <f>IFERROR(__xludf.DUMMYFUNCTION("""COMPUTED_VALUE"""),"")</f>
        <v/>
      </c>
      <c r="O6309" s="17"/>
    </row>
    <row r="6310">
      <c r="B6310" s="17" t="s">
        <v>477</v>
      </c>
      <c r="K6310" s="18" t="s">
        <v>477</v>
      </c>
      <c r="N6310" s="17" t="str">
        <f>IFERROR(__xludf.DUMMYFUNCTION("""COMPUTED_VALUE"""),"")</f>
        <v/>
      </c>
      <c r="O6310" s="17"/>
    </row>
    <row r="6311">
      <c r="B6311" s="17" t="s">
        <v>477</v>
      </c>
      <c r="K6311" s="18" t="s">
        <v>477</v>
      </c>
      <c r="N6311" s="17" t="str">
        <f>IFERROR(__xludf.DUMMYFUNCTION("""COMPUTED_VALUE"""),"")</f>
        <v/>
      </c>
      <c r="O6311" s="17"/>
    </row>
    <row r="6312">
      <c r="B6312" s="17" t="s">
        <v>477</v>
      </c>
      <c r="K6312" s="18" t="s">
        <v>477</v>
      </c>
      <c r="N6312" s="17" t="str">
        <f>IFERROR(__xludf.DUMMYFUNCTION("""COMPUTED_VALUE"""),"")</f>
        <v/>
      </c>
      <c r="O6312" s="17"/>
    </row>
    <row r="6313">
      <c r="B6313" s="17" t="s">
        <v>477</v>
      </c>
      <c r="K6313" s="18" t="s">
        <v>477</v>
      </c>
      <c r="N6313" s="17" t="str">
        <f>IFERROR(__xludf.DUMMYFUNCTION("""COMPUTED_VALUE"""),"")</f>
        <v/>
      </c>
      <c r="O6313" s="17"/>
    </row>
    <row r="6314">
      <c r="B6314" s="17" t="s">
        <v>477</v>
      </c>
      <c r="K6314" s="18" t="s">
        <v>477</v>
      </c>
      <c r="N6314" s="17" t="str">
        <f>IFERROR(__xludf.DUMMYFUNCTION("""COMPUTED_VALUE"""),"")</f>
        <v/>
      </c>
      <c r="O6314" s="17"/>
    </row>
    <row r="6315">
      <c r="B6315" s="17" t="s">
        <v>477</v>
      </c>
      <c r="K6315" s="18" t="s">
        <v>477</v>
      </c>
      <c r="N6315" s="17" t="str">
        <f>IFERROR(__xludf.DUMMYFUNCTION("""COMPUTED_VALUE"""),"")</f>
        <v/>
      </c>
      <c r="O6315" s="17"/>
    </row>
    <row r="6316">
      <c r="B6316" s="17" t="s">
        <v>477</v>
      </c>
      <c r="K6316" s="18" t="s">
        <v>477</v>
      </c>
      <c r="N6316" s="17" t="str">
        <f>IFERROR(__xludf.DUMMYFUNCTION("""COMPUTED_VALUE"""),"")</f>
        <v/>
      </c>
      <c r="O6316" s="17"/>
    </row>
    <row r="6317">
      <c r="B6317" s="17" t="s">
        <v>477</v>
      </c>
      <c r="K6317" s="18" t="s">
        <v>477</v>
      </c>
      <c r="N6317" s="17" t="str">
        <f>IFERROR(__xludf.DUMMYFUNCTION("""COMPUTED_VALUE"""),"")</f>
        <v/>
      </c>
      <c r="O6317" s="17"/>
    </row>
    <row r="6318">
      <c r="B6318" s="17" t="s">
        <v>477</v>
      </c>
      <c r="K6318" s="18" t="s">
        <v>477</v>
      </c>
      <c r="N6318" s="17" t="str">
        <f>IFERROR(__xludf.DUMMYFUNCTION("""COMPUTED_VALUE"""),"")</f>
        <v/>
      </c>
      <c r="O6318" s="17"/>
    </row>
    <row r="6319">
      <c r="B6319" s="17" t="s">
        <v>477</v>
      </c>
      <c r="K6319" s="18" t="s">
        <v>477</v>
      </c>
      <c r="N6319" s="17" t="str">
        <f>IFERROR(__xludf.DUMMYFUNCTION("""COMPUTED_VALUE"""),"")</f>
        <v/>
      </c>
      <c r="O6319" s="17"/>
    </row>
    <row r="6320">
      <c r="B6320" s="17" t="s">
        <v>477</v>
      </c>
      <c r="K6320" s="18" t="s">
        <v>477</v>
      </c>
      <c r="N6320" s="17" t="str">
        <f>IFERROR(__xludf.DUMMYFUNCTION("""COMPUTED_VALUE"""),"")</f>
        <v/>
      </c>
      <c r="O6320" s="17"/>
    </row>
    <row r="6321">
      <c r="B6321" s="17" t="s">
        <v>477</v>
      </c>
      <c r="K6321" s="18" t="s">
        <v>477</v>
      </c>
      <c r="N6321" s="17" t="str">
        <f>IFERROR(__xludf.DUMMYFUNCTION("""COMPUTED_VALUE"""),"")</f>
        <v/>
      </c>
      <c r="O6321" s="17"/>
    </row>
    <row r="6322">
      <c r="B6322" s="17" t="s">
        <v>477</v>
      </c>
      <c r="K6322" s="18" t="s">
        <v>477</v>
      </c>
      <c r="N6322" s="17" t="str">
        <f>IFERROR(__xludf.DUMMYFUNCTION("""COMPUTED_VALUE"""),"")</f>
        <v/>
      </c>
      <c r="O6322" s="17"/>
    </row>
    <row r="6323">
      <c r="B6323" s="17" t="s">
        <v>477</v>
      </c>
      <c r="K6323" s="18" t="s">
        <v>477</v>
      </c>
      <c r="N6323" s="17" t="str">
        <f>IFERROR(__xludf.DUMMYFUNCTION("""COMPUTED_VALUE"""),"")</f>
        <v/>
      </c>
      <c r="O6323" s="17"/>
    </row>
    <row r="6324">
      <c r="B6324" s="17" t="s">
        <v>477</v>
      </c>
      <c r="K6324" s="18" t="s">
        <v>477</v>
      </c>
      <c r="N6324" s="17" t="str">
        <f>IFERROR(__xludf.DUMMYFUNCTION("""COMPUTED_VALUE"""),"")</f>
        <v/>
      </c>
      <c r="O6324" s="17"/>
    </row>
    <row r="6325">
      <c r="B6325" s="17" t="s">
        <v>477</v>
      </c>
      <c r="K6325" s="18" t="s">
        <v>477</v>
      </c>
      <c r="N6325" s="17" t="str">
        <f>IFERROR(__xludf.DUMMYFUNCTION("""COMPUTED_VALUE"""),"")</f>
        <v/>
      </c>
      <c r="O6325" s="17"/>
    </row>
    <row r="6326">
      <c r="B6326" s="17" t="s">
        <v>477</v>
      </c>
      <c r="K6326" s="18" t="s">
        <v>477</v>
      </c>
      <c r="N6326" s="17" t="str">
        <f>IFERROR(__xludf.DUMMYFUNCTION("""COMPUTED_VALUE"""),"")</f>
        <v/>
      </c>
      <c r="O6326" s="17"/>
    </row>
    <row r="6327">
      <c r="B6327" s="17" t="s">
        <v>477</v>
      </c>
      <c r="K6327" s="18" t="s">
        <v>477</v>
      </c>
      <c r="N6327" s="17" t="str">
        <f>IFERROR(__xludf.DUMMYFUNCTION("""COMPUTED_VALUE"""),"")</f>
        <v/>
      </c>
      <c r="O6327" s="17"/>
    </row>
    <row r="6328">
      <c r="B6328" s="17" t="s">
        <v>477</v>
      </c>
      <c r="K6328" s="18" t="s">
        <v>477</v>
      </c>
      <c r="N6328" s="17" t="str">
        <f>IFERROR(__xludf.DUMMYFUNCTION("""COMPUTED_VALUE"""),"")</f>
        <v/>
      </c>
      <c r="O6328" s="17"/>
    </row>
    <row r="6329">
      <c r="B6329" s="17" t="s">
        <v>477</v>
      </c>
      <c r="K6329" s="18" t="s">
        <v>477</v>
      </c>
      <c r="N6329" s="17" t="str">
        <f>IFERROR(__xludf.DUMMYFUNCTION("""COMPUTED_VALUE"""),"")</f>
        <v/>
      </c>
      <c r="O6329" s="17"/>
    </row>
    <row r="6330">
      <c r="B6330" s="17" t="s">
        <v>477</v>
      </c>
      <c r="K6330" s="18" t="s">
        <v>477</v>
      </c>
      <c r="N6330" s="17" t="str">
        <f>IFERROR(__xludf.DUMMYFUNCTION("""COMPUTED_VALUE"""),"")</f>
        <v/>
      </c>
      <c r="O6330" s="17"/>
    </row>
    <row r="6331">
      <c r="B6331" s="17" t="s">
        <v>477</v>
      </c>
      <c r="K6331" s="18" t="s">
        <v>477</v>
      </c>
      <c r="N6331" s="17" t="str">
        <f>IFERROR(__xludf.DUMMYFUNCTION("""COMPUTED_VALUE"""),"")</f>
        <v/>
      </c>
      <c r="O6331" s="17"/>
    </row>
    <row r="6332">
      <c r="B6332" s="17" t="s">
        <v>477</v>
      </c>
      <c r="K6332" s="18" t="s">
        <v>477</v>
      </c>
      <c r="N6332" s="17" t="str">
        <f>IFERROR(__xludf.DUMMYFUNCTION("""COMPUTED_VALUE"""),"")</f>
        <v/>
      </c>
      <c r="O6332" s="17"/>
    </row>
    <row r="6333">
      <c r="B6333" s="17" t="s">
        <v>477</v>
      </c>
      <c r="K6333" s="18" t="s">
        <v>477</v>
      </c>
      <c r="N6333" s="17" t="str">
        <f>IFERROR(__xludf.DUMMYFUNCTION("""COMPUTED_VALUE"""),"")</f>
        <v/>
      </c>
      <c r="O6333" s="17"/>
    </row>
    <row r="6334">
      <c r="B6334" s="17" t="s">
        <v>477</v>
      </c>
      <c r="K6334" s="18" t="s">
        <v>477</v>
      </c>
      <c r="N6334" s="17" t="str">
        <f>IFERROR(__xludf.DUMMYFUNCTION("""COMPUTED_VALUE"""),"")</f>
        <v/>
      </c>
      <c r="O6334" s="17"/>
    </row>
    <row r="6335">
      <c r="B6335" s="17" t="s">
        <v>477</v>
      </c>
      <c r="K6335" s="18" t="s">
        <v>477</v>
      </c>
      <c r="N6335" s="17" t="str">
        <f>IFERROR(__xludf.DUMMYFUNCTION("""COMPUTED_VALUE"""),"")</f>
        <v/>
      </c>
      <c r="O6335" s="17"/>
    </row>
    <row r="6336">
      <c r="B6336" s="17" t="s">
        <v>477</v>
      </c>
      <c r="K6336" s="18" t="s">
        <v>477</v>
      </c>
      <c r="N6336" s="17" t="str">
        <f>IFERROR(__xludf.DUMMYFUNCTION("""COMPUTED_VALUE"""),"")</f>
        <v/>
      </c>
      <c r="O6336" s="17"/>
    </row>
    <row r="6337">
      <c r="B6337" s="17" t="s">
        <v>477</v>
      </c>
      <c r="K6337" s="18" t="s">
        <v>477</v>
      </c>
      <c r="N6337" s="17" t="str">
        <f>IFERROR(__xludf.DUMMYFUNCTION("""COMPUTED_VALUE"""),"")</f>
        <v/>
      </c>
      <c r="O6337" s="17"/>
    </row>
    <row r="6338">
      <c r="B6338" s="17" t="s">
        <v>477</v>
      </c>
      <c r="K6338" s="18" t="s">
        <v>477</v>
      </c>
      <c r="N6338" s="17" t="str">
        <f>IFERROR(__xludf.DUMMYFUNCTION("""COMPUTED_VALUE"""),"")</f>
        <v/>
      </c>
      <c r="O6338" s="17"/>
    </row>
    <row r="6339">
      <c r="B6339" s="17" t="s">
        <v>477</v>
      </c>
      <c r="K6339" s="18" t="s">
        <v>477</v>
      </c>
      <c r="N6339" s="17" t="str">
        <f>IFERROR(__xludf.DUMMYFUNCTION("""COMPUTED_VALUE"""),"")</f>
        <v/>
      </c>
      <c r="O6339" s="17"/>
    </row>
    <row r="6340">
      <c r="B6340" s="17" t="s">
        <v>477</v>
      </c>
      <c r="K6340" s="18" t="s">
        <v>477</v>
      </c>
      <c r="N6340" s="17" t="str">
        <f>IFERROR(__xludf.DUMMYFUNCTION("""COMPUTED_VALUE"""),"")</f>
        <v/>
      </c>
      <c r="O6340" s="17"/>
    </row>
    <row r="6341">
      <c r="B6341" s="17" t="s">
        <v>477</v>
      </c>
      <c r="K6341" s="18" t="s">
        <v>477</v>
      </c>
      <c r="N6341" s="17" t="str">
        <f>IFERROR(__xludf.DUMMYFUNCTION("""COMPUTED_VALUE"""),"")</f>
        <v/>
      </c>
      <c r="O6341" s="17"/>
    </row>
    <row r="6342">
      <c r="B6342" s="17" t="s">
        <v>477</v>
      </c>
      <c r="K6342" s="18" t="s">
        <v>477</v>
      </c>
      <c r="N6342" s="17" t="str">
        <f>IFERROR(__xludf.DUMMYFUNCTION("""COMPUTED_VALUE"""),"")</f>
        <v/>
      </c>
      <c r="O6342" s="17"/>
    </row>
    <row r="6343">
      <c r="B6343" s="17" t="s">
        <v>477</v>
      </c>
      <c r="K6343" s="18" t="s">
        <v>477</v>
      </c>
      <c r="N6343" s="17" t="str">
        <f>IFERROR(__xludf.DUMMYFUNCTION("""COMPUTED_VALUE"""),"")</f>
        <v/>
      </c>
      <c r="O6343" s="17"/>
    </row>
    <row r="6344">
      <c r="B6344" s="17" t="s">
        <v>477</v>
      </c>
      <c r="K6344" s="18" t="s">
        <v>477</v>
      </c>
      <c r="N6344" s="17" t="str">
        <f>IFERROR(__xludf.DUMMYFUNCTION("""COMPUTED_VALUE"""),"")</f>
        <v/>
      </c>
      <c r="O6344" s="17"/>
    </row>
    <row r="6345">
      <c r="B6345" s="17" t="s">
        <v>477</v>
      </c>
      <c r="K6345" s="18" t="s">
        <v>477</v>
      </c>
      <c r="N6345" s="17" t="str">
        <f>IFERROR(__xludf.DUMMYFUNCTION("""COMPUTED_VALUE"""),"")</f>
        <v/>
      </c>
      <c r="O6345" s="17"/>
    </row>
    <row r="6346">
      <c r="B6346" s="17" t="s">
        <v>477</v>
      </c>
      <c r="K6346" s="18" t="s">
        <v>477</v>
      </c>
      <c r="N6346" s="17" t="str">
        <f>IFERROR(__xludf.DUMMYFUNCTION("""COMPUTED_VALUE"""),"")</f>
        <v/>
      </c>
      <c r="O6346" s="17"/>
    </row>
    <row r="6347">
      <c r="B6347" s="17" t="s">
        <v>477</v>
      </c>
      <c r="K6347" s="18" t="s">
        <v>477</v>
      </c>
      <c r="N6347" s="17" t="str">
        <f>IFERROR(__xludf.DUMMYFUNCTION("""COMPUTED_VALUE"""),"")</f>
        <v/>
      </c>
      <c r="O6347" s="17"/>
    </row>
    <row r="6348">
      <c r="B6348" s="17" t="s">
        <v>477</v>
      </c>
      <c r="K6348" s="18" t="s">
        <v>477</v>
      </c>
      <c r="N6348" s="17" t="str">
        <f>IFERROR(__xludf.DUMMYFUNCTION("""COMPUTED_VALUE"""),"")</f>
        <v/>
      </c>
      <c r="O6348" s="17"/>
    </row>
    <row r="6349">
      <c r="B6349" s="17" t="s">
        <v>477</v>
      </c>
      <c r="K6349" s="18" t="s">
        <v>477</v>
      </c>
      <c r="N6349" s="17" t="str">
        <f>IFERROR(__xludf.DUMMYFUNCTION("""COMPUTED_VALUE"""),"")</f>
        <v/>
      </c>
      <c r="O6349" s="17"/>
    </row>
    <row r="6350">
      <c r="B6350" s="17" t="s">
        <v>477</v>
      </c>
      <c r="K6350" s="18" t="s">
        <v>477</v>
      </c>
      <c r="N6350" s="17" t="str">
        <f>IFERROR(__xludf.DUMMYFUNCTION("""COMPUTED_VALUE"""),"")</f>
        <v/>
      </c>
      <c r="O6350" s="17"/>
    </row>
    <row r="6351">
      <c r="B6351" s="17" t="s">
        <v>477</v>
      </c>
      <c r="K6351" s="18" t="s">
        <v>477</v>
      </c>
      <c r="N6351" s="17" t="str">
        <f>IFERROR(__xludf.DUMMYFUNCTION("""COMPUTED_VALUE"""),"")</f>
        <v/>
      </c>
      <c r="O6351" s="17"/>
    </row>
    <row r="6352">
      <c r="B6352" s="17" t="s">
        <v>477</v>
      </c>
      <c r="K6352" s="18" t="s">
        <v>477</v>
      </c>
      <c r="N6352" s="17" t="str">
        <f>IFERROR(__xludf.DUMMYFUNCTION("""COMPUTED_VALUE"""),"")</f>
        <v/>
      </c>
      <c r="O6352" s="17"/>
    </row>
    <row r="6353">
      <c r="B6353" s="17" t="s">
        <v>477</v>
      </c>
      <c r="K6353" s="18" t="s">
        <v>477</v>
      </c>
      <c r="N6353" s="17" t="str">
        <f>IFERROR(__xludf.DUMMYFUNCTION("""COMPUTED_VALUE"""),"")</f>
        <v/>
      </c>
      <c r="O6353" s="17"/>
    </row>
    <row r="6354">
      <c r="B6354" s="17" t="s">
        <v>477</v>
      </c>
      <c r="K6354" s="18" t="s">
        <v>477</v>
      </c>
      <c r="N6354" s="17" t="str">
        <f>IFERROR(__xludf.DUMMYFUNCTION("""COMPUTED_VALUE"""),"")</f>
        <v/>
      </c>
      <c r="O6354" s="17"/>
    </row>
    <row r="6355">
      <c r="B6355" s="17" t="s">
        <v>477</v>
      </c>
      <c r="K6355" s="18" t="s">
        <v>477</v>
      </c>
      <c r="N6355" s="17" t="str">
        <f>IFERROR(__xludf.DUMMYFUNCTION("""COMPUTED_VALUE"""),"")</f>
        <v/>
      </c>
      <c r="O6355" s="17"/>
    </row>
    <row r="6356">
      <c r="B6356" s="17" t="s">
        <v>477</v>
      </c>
      <c r="K6356" s="18" t="s">
        <v>477</v>
      </c>
      <c r="N6356" s="17" t="str">
        <f>IFERROR(__xludf.DUMMYFUNCTION("""COMPUTED_VALUE"""),"")</f>
        <v/>
      </c>
      <c r="O6356" s="17"/>
    </row>
    <row r="6357">
      <c r="B6357" s="17" t="s">
        <v>477</v>
      </c>
      <c r="K6357" s="18" t="s">
        <v>477</v>
      </c>
      <c r="N6357" s="17" t="str">
        <f>IFERROR(__xludf.DUMMYFUNCTION("""COMPUTED_VALUE"""),"")</f>
        <v/>
      </c>
      <c r="O6357" s="17"/>
    </row>
    <row r="6358">
      <c r="B6358" s="17" t="s">
        <v>477</v>
      </c>
      <c r="K6358" s="18" t="s">
        <v>477</v>
      </c>
      <c r="N6358" s="17" t="str">
        <f>IFERROR(__xludf.DUMMYFUNCTION("""COMPUTED_VALUE"""),"")</f>
        <v/>
      </c>
      <c r="O6358" s="17"/>
    </row>
    <row r="6359">
      <c r="B6359" s="17" t="s">
        <v>477</v>
      </c>
      <c r="K6359" s="18" t="s">
        <v>477</v>
      </c>
      <c r="N6359" s="17" t="str">
        <f>IFERROR(__xludf.DUMMYFUNCTION("""COMPUTED_VALUE"""),"")</f>
        <v/>
      </c>
      <c r="O6359" s="17"/>
    </row>
    <row r="6360">
      <c r="B6360" s="17" t="s">
        <v>477</v>
      </c>
      <c r="K6360" s="18" t="s">
        <v>477</v>
      </c>
      <c r="N6360" s="17" t="str">
        <f>IFERROR(__xludf.DUMMYFUNCTION("""COMPUTED_VALUE"""),"")</f>
        <v/>
      </c>
      <c r="O6360" s="17"/>
    </row>
    <row r="6361">
      <c r="B6361" s="17" t="s">
        <v>477</v>
      </c>
      <c r="K6361" s="18" t="s">
        <v>477</v>
      </c>
      <c r="N6361" s="17" t="str">
        <f>IFERROR(__xludf.DUMMYFUNCTION("""COMPUTED_VALUE"""),"")</f>
        <v/>
      </c>
      <c r="O6361" s="17"/>
    </row>
    <row r="6362">
      <c r="B6362" s="17" t="s">
        <v>477</v>
      </c>
      <c r="K6362" s="18" t="s">
        <v>477</v>
      </c>
      <c r="N6362" s="17" t="str">
        <f>IFERROR(__xludf.DUMMYFUNCTION("""COMPUTED_VALUE"""),"")</f>
        <v/>
      </c>
      <c r="O6362" s="17"/>
    </row>
    <row r="6363">
      <c r="B6363" s="17" t="s">
        <v>477</v>
      </c>
      <c r="K6363" s="18" t="s">
        <v>477</v>
      </c>
      <c r="N6363" s="17" t="str">
        <f>IFERROR(__xludf.DUMMYFUNCTION("""COMPUTED_VALUE"""),"")</f>
        <v/>
      </c>
      <c r="O6363" s="17"/>
    </row>
    <row r="6364">
      <c r="B6364" s="17" t="s">
        <v>477</v>
      </c>
      <c r="K6364" s="18" t="s">
        <v>477</v>
      </c>
      <c r="N6364" s="17" t="str">
        <f>IFERROR(__xludf.DUMMYFUNCTION("""COMPUTED_VALUE"""),"")</f>
        <v/>
      </c>
      <c r="O6364" s="17"/>
    </row>
    <row r="6365">
      <c r="B6365" s="17" t="s">
        <v>477</v>
      </c>
      <c r="K6365" s="18" t="s">
        <v>477</v>
      </c>
      <c r="N6365" s="17" t="str">
        <f>IFERROR(__xludf.DUMMYFUNCTION("""COMPUTED_VALUE"""),"")</f>
        <v/>
      </c>
      <c r="O6365" s="17"/>
    </row>
    <row r="6366">
      <c r="B6366" s="17" t="s">
        <v>477</v>
      </c>
      <c r="K6366" s="18" t="s">
        <v>477</v>
      </c>
      <c r="N6366" s="17" t="str">
        <f>IFERROR(__xludf.DUMMYFUNCTION("""COMPUTED_VALUE"""),"")</f>
        <v/>
      </c>
      <c r="O6366" s="17"/>
    </row>
    <row r="6367">
      <c r="B6367" s="17" t="s">
        <v>477</v>
      </c>
      <c r="K6367" s="18" t="s">
        <v>477</v>
      </c>
      <c r="N6367" s="17" t="str">
        <f>IFERROR(__xludf.DUMMYFUNCTION("""COMPUTED_VALUE"""),"")</f>
        <v/>
      </c>
      <c r="O6367" s="17"/>
    </row>
    <row r="6368">
      <c r="B6368" s="17" t="s">
        <v>477</v>
      </c>
      <c r="K6368" s="18" t="s">
        <v>477</v>
      </c>
      <c r="N6368" s="17" t="str">
        <f>IFERROR(__xludf.DUMMYFUNCTION("""COMPUTED_VALUE"""),"")</f>
        <v/>
      </c>
      <c r="O6368" s="17"/>
    </row>
    <row r="6369">
      <c r="B6369" s="17" t="s">
        <v>477</v>
      </c>
      <c r="K6369" s="18" t="s">
        <v>477</v>
      </c>
      <c r="N6369" s="17" t="str">
        <f>IFERROR(__xludf.DUMMYFUNCTION("""COMPUTED_VALUE"""),"")</f>
        <v/>
      </c>
      <c r="O6369" s="17"/>
    </row>
    <row r="6370">
      <c r="B6370" s="17" t="s">
        <v>477</v>
      </c>
      <c r="K6370" s="18" t="s">
        <v>477</v>
      </c>
      <c r="N6370" s="17" t="str">
        <f>IFERROR(__xludf.DUMMYFUNCTION("""COMPUTED_VALUE"""),"")</f>
        <v/>
      </c>
      <c r="O6370" s="17"/>
    </row>
    <row r="6371">
      <c r="B6371" s="17" t="s">
        <v>477</v>
      </c>
      <c r="K6371" s="18" t="s">
        <v>477</v>
      </c>
      <c r="N6371" s="17" t="str">
        <f>IFERROR(__xludf.DUMMYFUNCTION("""COMPUTED_VALUE"""),"")</f>
        <v/>
      </c>
      <c r="O6371" s="17"/>
    </row>
    <row r="6372">
      <c r="B6372" s="17" t="s">
        <v>477</v>
      </c>
      <c r="K6372" s="18" t="s">
        <v>477</v>
      </c>
      <c r="N6372" s="17" t="str">
        <f>IFERROR(__xludf.DUMMYFUNCTION("""COMPUTED_VALUE"""),"")</f>
        <v/>
      </c>
      <c r="O6372" s="17"/>
    </row>
    <row r="6373">
      <c r="B6373" s="17" t="s">
        <v>477</v>
      </c>
      <c r="K6373" s="18" t="s">
        <v>477</v>
      </c>
      <c r="N6373" s="17" t="str">
        <f>IFERROR(__xludf.DUMMYFUNCTION("""COMPUTED_VALUE"""),"")</f>
        <v/>
      </c>
      <c r="O6373" s="17"/>
    </row>
    <row r="6374">
      <c r="B6374" s="17" t="s">
        <v>477</v>
      </c>
      <c r="K6374" s="18" t="s">
        <v>477</v>
      </c>
      <c r="N6374" s="17" t="str">
        <f>IFERROR(__xludf.DUMMYFUNCTION("""COMPUTED_VALUE"""),"")</f>
        <v/>
      </c>
      <c r="O6374" s="17"/>
    </row>
    <row r="6375">
      <c r="B6375" s="17" t="s">
        <v>477</v>
      </c>
      <c r="K6375" s="18" t="s">
        <v>477</v>
      </c>
      <c r="N6375" s="17" t="str">
        <f>IFERROR(__xludf.DUMMYFUNCTION("""COMPUTED_VALUE"""),"")</f>
        <v/>
      </c>
      <c r="O6375" s="17"/>
    </row>
    <row r="6376">
      <c r="B6376" s="17" t="s">
        <v>477</v>
      </c>
      <c r="K6376" s="18" t="s">
        <v>477</v>
      </c>
      <c r="N6376" s="17" t="str">
        <f>IFERROR(__xludf.DUMMYFUNCTION("""COMPUTED_VALUE"""),"")</f>
        <v/>
      </c>
      <c r="O6376" s="17"/>
    </row>
    <row r="6377">
      <c r="B6377" s="17" t="s">
        <v>477</v>
      </c>
      <c r="K6377" s="18" t="s">
        <v>477</v>
      </c>
      <c r="N6377" s="17" t="str">
        <f>IFERROR(__xludf.DUMMYFUNCTION("""COMPUTED_VALUE"""),"")</f>
        <v/>
      </c>
      <c r="O6377" s="17"/>
    </row>
    <row r="6378">
      <c r="B6378" s="17" t="s">
        <v>477</v>
      </c>
      <c r="K6378" s="18" t="s">
        <v>477</v>
      </c>
      <c r="N6378" s="17" t="str">
        <f>IFERROR(__xludf.DUMMYFUNCTION("""COMPUTED_VALUE"""),"")</f>
        <v/>
      </c>
      <c r="O6378" s="17"/>
    </row>
    <row r="6379">
      <c r="B6379" s="17" t="s">
        <v>477</v>
      </c>
      <c r="K6379" s="18" t="s">
        <v>477</v>
      </c>
      <c r="N6379" s="17" t="str">
        <f>IFERROR(__xludf.DUMMYFUNCTION("""COMPUTED_VALUE"""),"")</f>
        <v/>
      </c>
      <c r="O6379" s="17"/>
    </row>
    <row r="6380">
      <c r="B6380" s="17" t="s">
        <v>477</v>
      </c>
      <c r="K6380" s="18" t="s">
        <v>477</v>
      </c>
      <c r="N6380" s="17" t="str">
        <f>IFERROR(__xludf.DUMMYFUNCTION("""COMPUTED_VALUE"""),"")</f>
        <v/>
      </c>
      <c r="O6380" s="17"/>
    </row>
    <row r="6381">
      <c r="B6381" s="17" t="s">
        <v>477</v>
      </c>
      <c r="K6381" s="18" t="s">
        <v>477</v>
      </c>
      <c r="N6381" s="17" t="str">
        <f>IFERROR(__xludf.DUMMYFUNCTION("""COMPUTED_VALUE"""),"")</f>
        <v/>
      </c>
      <c r="O6381" s="17"/>
    </row>
    <row r="6382">
      <c r="B6382" s="17" t="s">
        <v>477</v>
      </c>
      <c r="K6382" s="18" t="s">
        <v>477</v>
      </c>
      <c r="N6382" s="17" t="str">
        <f>IFERROR(__xludf.DUMMYFUNCTION("""COMPUTED_VALUE"""),"")</f>
        <v/>
      </c>
      <c r="O6382" s="17"/>
    </row>
    <row r="6383">
      <c r="B6383" s="17" t="s">
        <v>477</v>
      </c>
      <c r="K6383" s="18" t="s">
        <v>477</v>
      </c>
      <c r="N6383" s="17" t="str">
        <f>IFERROR(__xludf.DUMMYFUNCTION("""COMPUTED_VALUE"""),"")</f>
        <v/>
      </c>
      <c r="O6383" s="17"/>
    </row>
    <row r="6384">
      <c r="B6384" s="17" t="s">
        <v>477</v>
      </c>
      <c r="K6384" s="18" t="s">
        <v>477</v>
      </c>
      <c r="N6384" s="17" t="str">
        <f>IFERROR(__xludf.DUMMYFUNCTION("""COMPUTED_VALUE"""),"")</f>
        <v/>
      </c>
      <c r="O6384" s="17"/>
    </row>
    <row r="6385">
      <c r="B6385" s="17" t="s">
        <v>477</v>
      </c>
      <c r="K6385" s="18" t="s">
        <v>477</v>
      </c>
      <c r="N6385" s="17" t="str">
        <f>IFERROR(__xludf.DUMMYFUNCTION("""COMPUTED_VALUE"""),"")</f>
        <v/>
      </c>
      <c r="O6385" s="17"/>
    </row>
    <row r="6386">
      <c r="B6386" s="17" t="s">
        <v>477</v>
      </c>
      <c r="K6386" s="18" t="s">
        <v>477</v>
      </c>
      <c r="N6386" s="17" t="str">
        <f>IFERROR(__xludf.DUMMYFUNCTION("""COMPUTED_VALUE"""),"")</f>
        <v/>
      </c>
      <c r="O6386" s="17"/>
    </row>
    <row r="6387">
      <c r="B6387" s="17" t="s">
        <v>477</v>
      </c>
      <c r="K6387" s="18" t="s">
        <v>477</v>
      </c>
      <c r="N6387" s="17" t="str">
        <f>IFERROR(__xludf.DUMMYFUNCTION("""COMPUTED_VALUE"""),"")</f>
        <v/>
      </c>
      <c r="O6387" s="17"/>
    </row>
    <row r="6388">
      <c r="B6388" s="17" t="s">
        <v>477</v>
      </c>
      <c r="K6388" s="18" t="s">
        <v>477</v>
      </c>
      <c r="N6388" s="17" t="str">
        <f>IFERROR(__xludf.DUMMYFUNCTION("""COMPUTED_VALUE"""),"")</f>
        <v/>
      </c>
      <c r="O6388" s="17"/>
    </row>
    <row r="6389">
      <c r="B6389" s="17" t="s">
        <v>477</v>
      </c>
      <c r="K6389" s="18" t="s">
        <v>477</v>
      </c>
      <c r="N6389" s="17" t="str">
        <f>IFERROR(__xludf.DUMMYFUNCTION("""COMPUTED_VALUE"""),"")</f>
        <v/>
      </c>
      <c r="O6389" s="17"/>
    </row>
    <row r="6390">
      <c r="B6390" s="17" t="s">
        <v>477</v>
      </c>
      <c r="K6390" s="18" t="s">
        <v>477</v>
      </c>
      <c r="N6390" s="17" t="str">
        <f>IFERROR(__xludf.DUMMYFUNCTION("""COMPUTED_VALUE"""),"")</f>
        <v/>
      </c>
      <c r="O6390" s="17"/>
    </row>
    <row r="6391">
      <c r="B6391" s="17" t="s">
        <v>477</v>
      </c>
      <c r="K6391" s="18" t="s">
        <v>477</v>
      </c>
      <c r="N6391" s="17" t="str">
        <f>IFERROR(__xludf.DUMMYFUNCTION("""COMPUTED_VALUE"""),"")</f>
        <v/>
      </c>
      <c r="O6391" s="17"/>
    </row>
    <row r="6392">
      <c r="B6392" s="17" t="s">
        <v>477</v>
      </c>
      <c r="K6392" s="18" t="s">
        <v>477</v>
      </c>
      <c r="N6392" s="17" t="str">
        <f>IFERROR(__xludf.DUMMYFUNCTION("""COMPUTED_VALUE"""),"")</f>
        <v/>
      </c>
      <c r="O6392" s="17"/>
    </row>
    <row r="6393">
      <c r="B6393" s="17" t="s">
        <v>477</v>
      </c>
      <c r="K6393" s="18" t="s">
        <v>477</v>
      </c>
      <c r="N6393" s="17" t="str">
        <f>IFERROR(__xludf.DUMMYFUNCTION("""COMPUTED_VALUE"""),"")</f>
        <v/>
      </c>
      <c r="O6393" s="17"/>
    </row>
    <row r="6394">
      <c r="B6394" s="17" t="s">
        <v>477</v>
      </c>
      <c r="K6394" s="18" t="s">
        <v>477</v>
      </c>
      <c r="N6394" s="17" t="str">
        <f>IFERROR(__xludf.DUMMYFUNCTION("""COMPUTED_VALUE"""),"")</f>
        <v/>
      </c>
      <c r="O6394" s="17"/>
    </row>
    <row r="6395">
      <c r="B6395" s="17" t="s">
        <v>477</v>
      </c>
      <c r="K6395" s="18" t="s">
        <v>477</v>
      </c>
      <c r="N6395" s="17" t="str">
        <f>IFERROR(__xludf.DUMMYFUNCTION("""COMPUTED_VALUE"""),"")</f>
        <v/>
      </c>
      <c r="O6395" s="17"/>
    </row>
    <row r="6396">
      <c r="B6396" s="17" t="s">
        <v>477</v>
      </c>
      <c r="K6396" s="18" t="s">
        <v>477</v>
      </c>
      <c r="N6396" s="17" t="str">
        <f>IFERROR(__xludf.DUMMYFUNCTION("""COMPUTED_VALUE"""),"")</f>
        <v/>
      </c>
      <c r="O6396" s="17"/>
    </row>
    <row r="6397">
      <c r="B6397" s="17" t="s">
        <v>477</v>
      </c>
      <c r="K6397" s="18" t="s">
        <v>477</v>
      </c>
      <c r="N6397" s="17" t="str">
        <f>IFERROR(__xludf.DUMMYFUNCTION("""COMPUTED_VALUE"""),"")</f>
        <v/>
      </c>
      <c r="O6397" s="17"/>
    </row>
    <row r="6398">
      <c r="B6398" s="17" t="s">
        <v>477</v>
      </c>
      <c r="K6398" s="18" t="s">
        <v>477</v>
      </c>
      <c r="N6398" s="17" t="str">
        <f>IFERROR(__xludf.DUMMYFUNCTION("""COMPUTED_VALUE"""),"")</f>
        <v/>
      </c>
      <c r="O6398" s="17"/>
    </row>
    <row r="6399">
      <c r="B6399" s="17" t="s">
        <v>477</v>
      </c>
      <c r="K6399" s="18" t="s">
        <v>477</v>
      </c>
      <c r="N6399" s="17" t="str">
        <f>IFERROR(__xludf.DUMMYFUNCTION("""COMPUTED_VALUE"""),"")</f>
        <v/>
      </c>
      <c r="O6399" s="17"/>
    </row>
    <row r="6400">
      <c r="B6400" s="17" t="s">
        <v>477</v>
      </c>
      <c r="K6400" s="18" t="s">
        <v>477</v>
      </c>
      <c r="N6400" s="17" t="str">
        <f>IFERROR(__xludf.DUMMYFUNCTION("""COMPUTED_VALUE"""),"")</f>
        <v/>
      </c>
      <c r="O6400" s="17"/>
    </row>
    <row r="6401">
      <c r="B6401" s="17" t="s">
        <v>477</v>
      </c>
      <c r="K6401" s="18" t="s">
        <v>477</v>
      </c>
      <c r="N6401" s="17" t="str">
        <f>IFERROR(__xludf.DUMMYFUNCTION("""COMPUTED_VALUE"""),"")</f>
        <v/>
      </c>
      <c r="O6401" s="17"/>
    </row>
    <row r="6402">
      <c r="B6402" s="17" t="s">
        <v>477</v>
      </c>
      <c r="K6402" s="18" t="s">
        <v>477</v>
      </c>
      <c r="N6402" s="17" t="str">
        <f>IFERROR(__xludf.DUMMYFUNCTION("""COMPUTED_VALUE"""),"")</f>
        <v/>
      </c>
      <c r="O6402" s="17"/>
    </row>
    <row r="6403">
      <c r="B6403" s="17" t="s">
        <v>477</v>
      </c>
      <c r="K6403" s="18" t="s">
        <v>477</v>
      </c>
      <c r="N6403" s="17" t="str">
        <f>IFERROR(__xludf.DUMMYFUNCTION("""COMPUTED_VALUE"""),"")</f>
        <v/>
      </c>
      <c r="O6403" s="17"/>
    </row>
    <row r="6404">
      <c r="B6404" s="17" t="s">
        <v>477</v>
      </c>
      <c r="K6404" s="18" t="s">
        <v>477</v>
      </c>
      <c r="N6404" s="17" t="str">
        <f>IFERROR(__xludf.DUMMYFUNCTION("""COMPUTED_VALUE"""),"")</f>
        <v/>
      </c>
      <c r="O6404" s="17"/>
    </row>
    <row r="6405">
      <c r="B6405" s="17" t="s">
        <v>477</v>
      </c>
      <c r="K6405" s="18" t="s">
        <v>477</v>
      </c>
      <c r="N6405" s="17" t="str">
        <f>IFERROR(__xludf.DUMMYFUNCTION("""COMPUTED_VALUE"""),"")</f>
        <v/>
      </c>
      <c r="O6405" s="17"/>
    </row>
    <row r="6406">
      <c r="B6406" s="17" t="s">
        <v>477</v>
      </c>
      <c r="K6406" s="18" t="s">
        <v>477</v>
      </c>
      <c r="N6406" s="17" t="str">
        <f>IFERROR(__xludf.DUMMYFUNCTION("""COMPUTED_VALUE"""),"")</f>
        <v/>
      </c>
      <c r="O6406" s="17"/>
    </row>
    <row r="6407">
      <c r="B6407" s="17" t="s">
        <v>477</v>
      </c>
      <c r="K6407" s="18" t="s">
        <v>477</v>
      </c>
      <c r="N6407" s="17" t="str">
        <f>IFERROR(__xludf.DUMMYFUNCTION("""COMPUTED_VALUE"""),"")</f>
        <v/>
      </c>
      <c r="O6407" s="17"/>
    </row>
    <row r="6408">
      <c r="B6408" s="17" t="s">
        <v>477</v>
      </c>
      <c r="K6408" s="18" t="s">
        <v>477</v>
      </c>
      <c r="N6408" s="17" t="str">
        <f>IFERROR(__xludf.DUMMYFUNCTION("""COMPUTED_VALUE"""),"")</f>
        <v/>
      </c>
      <c r="O6408" s="17"/>
    </row>
    <row r="6409">
      <c r="B6409" s="17" t="s">
        <v>477</v>
      </c>
      <c r="K6409" s="18" t="s">
        <v>477</v>
      </c>
      <c r="N6409" s="17" t="str">
        <f>IFERROR(__xludf.DUMMYFUNCTION("""COMPUTED_VALUE"""),"")</f>
        <v/>
      </c>
      <c r="O6409" s="17"/>
    </row>
    <row r="6410">
      <c r="B6410" s="17" t="s">
        <v>477</v>
      </c>
      <c r="K6410" s="18" t="s">
        <v>477</v>
      </c>
      <c r="N6410" s="17" t="str">
        <f>IFERROR(__xludf.DUMMYFUNCTION("""COMPUTED_VALUE"""),"")</f>
        <v/>
      </c>
      <c r="O6410" s="17"/>
    </row>
    <row r="6411">
      <c r="B6411" s="17" t="s">
        <v>477</v>
      </c>
      <c r="K6411" s="18" t="s">
        <v>477</v>
      </c>
      <c r="N6411" s="17" t="str">
        <f>IFERROR(__xludf.DUMMYFUNCTION("""COMPUTED_VALUE"""),"")</f>
        <v/>
      </c>
      <c r="O6411" s="17"/>
    </row>
    <row r="6412">
      <c r="B6412" s="17" t="s">
        <v>477</v>
      </c>
      <c r="K6412" s="18" t="s">
        <v>477</v>
      </c>
      <c r="N6412" s="17" t="str">
        <f>IFERROR(__xludf.DUMMYFUNCTION("""COMPUTED_VALUE"""),"")</f>
        <v/>
      </c>
      <c r="O6412" s="17"/>
    </row>
    <row r="6413">
      <c r="B6413" s="17" t="s">
        <v>477</v>
      </c>
      <c r="K6413" s="18" t="s">
        <v>477</v>
      </c>
      <c r="N6413" s="17" t="str">
        <f>IFERROR(__xludf.DUMMYFUNCTION("""COMPUTED_VALUE"""),"")</f>
        <v/>
      </c>
      <c r="O6413" s="17"/>
    </row>
    <row r="6414">
      <c r="B6414" s="17" t="s">
        <v>477</v>
      </c>
      <c r="K6414" s="18" t="s">
        <v>477</v>
      </c>
      <c r="N6414" s="17" t="str">
        <f>IFERROR(__xludf.DUMMYFUNCTION("""COMPUTED_VALUE"""),"")</f>
        <v/>
      </c>
      <c r="O6414" s="17"/>
    </row>
    <row r="6415">
      <c r="B6415" s="17" t="s">
        <v>477</v>
      </c>
      <c r="K6415" s="18" t="s">
        <v>477</v>
      </c>
      <c r="N6415" s="17" t="str">
        <f>IFERROR(__xludf.DUMMYFUNCTION("""COMPUTED_VALUE"""),"")</f>
        <v/>
      </c>
      <c r="O6415" s="17"/>
    </row>
    <row r="6416">
      <c r="B6416" s="17" t="s">
        <v>477</v>
      </c>
      <c r="K6416" s="18" t="s">
        <v>477</v>
      </c>
      <c r="N6416" s="17" t="str">
        <f>IFERROR(__xludf.DUMMYFUNCTION("""COMPUTED_VALUE"""),"")</f>
        <v/>
      </c>
      <c r="O6416" s="17"/>
    </row>
    <row r="6417">
      <c r="B6417" s="17" t="s">
        <v>477</v>
      </c>
      <c r="K6417" s="18" t="s">
        <v>477</v>
      </c>
      <c r="N6417" s="17" t="str">
        <f>IFERROR(__xludf.DUMMYFUNCTION("""COMPUTED_VALUE"""),"")</f>
        <v/>
      </c>
      <c r="O6417" s="17"/>
    </row>
    <row r="6418">
      <c r="B6418" s="17" t="s">
        <v>477</v>
      </c>
      <c r="K6418" s="18" t="s">
        <v>477</v>
      </c>
      <c r="N6418" s="17" t="str">
        <f>IFERROR(__xludf.DUMMYFUNCTION("""COMPUTED_VALUE"""),"")</f>
        <v/>
      </c>
      <c r="O6418" s="17"/>
    </row>
    <row r="6419">
      <c r="B6419" s="17" t="s">
        <v>477</v>
      </c>
      <c r="K6419" s="18" t="s">
        <v>477</v>
      </c>
      <c r="N6419" s="17" t="str">
        <f>IFERROR(__xludf.DUMMYFUNCTION("""COMPUTED_VALUE"""),"")</f>
        <v/>
      </c>
      <c r="O6419" s="17"/>
    </row>
    <row r="6420">
      <c r="B6420" s="17" t="s">
        <v>477</v>
      </c>
      <c r="K6420" s="18" t="s">
        <v>477</v>
      </c>
      <c r="N6420" s="17" t="str">
        <f>IFERROR(__xludf.DUMMYFUNCTION("""COMPUTED_VALUE"""),"")</f>
        <v/>
      </c>
      <c r="O6420" s="17"/>
    </row>
    <row r="6421">
      <c r="B6421" s="17" t="s">
        <v>477</v>
      </c>
      <c r="K6421" s="18" t="s">
        <v>477</v>
      </c>
      <c r="N6421" s="17" t="str">
        <f>IFERROR(__xludf.DUMMYFUNCTION("""COMPUTED_VALUE"""),"")</f>
        <v/>
      </c>
      <c r="O6421" s="17"/>
    </row>
    <row r="6422">
      <c r="B6422" s="17" t="s">
        <v>477</v>
      </c>
      <c r="K6422" s="18" t="s">
        <v>477</v>
      </c>
      <c r="N6422" s="17" t="str">
        <f>IFERROR(__xludf.DUMMYFUNCTION("""COMPUTED_VALUE"""),"")</f>
        <v/>
      </c>
      <c r="O6422" s="17"/>
    </row>
    <row r="6423">
      <c r="B6423" s="17" t="s">
        <v>477</v>
      </c>
      <c r="K6423" s="18" t="s">
        <v>477</v>
      </c>
      <c r="N6423" s="17" t="str">
        <f>IFERROR(__xludf.DUMMYFUNCTION("""COMPUTED_VALUE"""),"")</f>
        <v/>
      </c>
      <c r="O6423" s="17"/>
    </row>
    <row r="6424">
      <c r="B6424" s="17" t="s">
        <v>477</v>
      </c>
      <c r="K6424" s="18" t="s">
        <v>477</v>
      </c>
      <c r="N6424" s="17" t="str">
        <f>IFERROR(__xludf.DUMMYFUNCTION("""COMPUTED_VALUE"""),"")</f>
        <v/>
      </c>
      <c r="O6424" s="17"/>
    </row>
    <row r="6425">
      <c r="B6425" s="17" t="s">
        <v>477</v>
      </c>
      <c r="K6425" s="18" t="s">
        <v>477</v>
      </c>
      <c r="N6425" s="17" t="str">
        <f>IFERROR(__xludf.DUMMYFUNCTION("""COMPUTED_VALUE"""),"")</f>
        <v/>
      </c>
      <c r="O6425" s="17"/>
    </row>
    <row r="6426">
      <c r="B6426" s="17" t="s">
        <v>477</v>
      </c>
      <c r="K6426" s="18" t="s">
        <v>477</v>
      </c>
      <c r="N6426" s="17" t="str">
        <f>IFERROR(__xludf.DUMMYFUNCTION("""COMPUTED_VALUE"""),"")</f>
        <v/>
      </c>
      <c r="O6426" s="17"/>
    </row>
    <row r="6427">
      <c r="B6427" s="17" t="s">
        <v>477</v>
      </c>
      <c r="K6427" s="18" t="s">
        <v>477</v>
      </c>
      <c r="N6427" s="17" t="str">
        <f>IFERROR(__xludf.DUMMYFUNCTION("""COMPUTED_VALUE"""),"")</f>
        <v/>
      </c>
      <c r="O6427" s="17"/>
    </row>
    <row r="6428">
      <c r="B6428" s="17" t="s">
        <v>477</v>
      </c>
      <c r="K6428" s="18" t="s">
        <v>477</v>
      </c>
      <c r="N6428" s="17" t="str">
        <f>IFERROR(__xludf.DUMMYFUNCTION("""COMPUTED_VALUE"""),"")</f>
        <v/>
      </c>
      <c r="O6428" s="17"/>
    </row>
    <row r="6429">
      <c r="B6429" s="17" t="s">
        <v>477</v>
      </c>
      <c r="K6429" s="18" t="s">
        <v>477</v>
      </c>
      <c r="N6429" s="17" t="str">
        <f>IFERROR(__xludf.DUMMYFUNCTION("""COMPUTED_VALUE"""),"")</f>
        <v/>
      </c>
      <c r="O6429" s="17"/>
    </row>
    <row r="6430">
      <c r="B6430" s="17" t="s">
        <v>477</v>
      </c>
      <c r="K6430" s="18" t="s">
        <v>477</v>
      </c>
      <c r="N6430" s="17" t="str">
        <f>IFERROR(__xludf.DUMMYFUNCTION("""COMPUTED_VALUE"""),"")</f>
        <v/>
      </c>
      <c r="O6430" s="17"/>
    </row>
    <row r="6431">
      <c r="B6431" s="17" t="s">
        <v>477</v>
      </c>
      <c r="K6431" s="18" t="s">
        <v>477</v>
      </c>
      <c r="N6431" s="17" t="str">
        <f>IFERROR(__xludf.DUMMYFUNCTION("""COMPUTED_VALUE"""),"")</f>
        <v/>
      </c>
      <c r="O6431" s="17"/>
    </row>
    <row r="6432">
      <c r="B6432" s="17" t="s">
        <v>477</v>
      </c>
      <c r="K6432" s="18" t="s">
        <v>477</v>
      </c>
      <c r="N6432" s="17" t="str">
        <f>IFERROR(__xludf.DUMMYFUNCTION("""COMPUTED_VALUE"""),"")</f>
        <v/>
      </c>
      <c r="O6432" s="17"/>
    </row>
    <row r="6433">
      <c r="B6433" s="17" t="s">
        <v>477</v>
      </c>
      <c r="K6433" s="18" t="s">
        <v>477</v>
      </c>
      <c r="N6433" s="17" t="str">
        <f>IFERROR(__xludf.DUMMYFUNCTION("""COMPUTED_VALUE"""),"")</f>
        <v/>
      </c>
      <c r="O6433" s="17"/>
    </row>
    <row r="6434">
      <c r="B6434" s="17" t="s">
        <v>477</v>
      </c>
      <c r="K6434" s="18" t="s">
        <v>477</v>
      </c>
      <c r="N6434" s="17" t="str">
        <f>IFERROR(__xludf.DUMMYFUNCTION("""COMPUTED_VALUE"""),"")</f>
        <v/>
      </c>
      <c r="O6434" s="17"/>
    </row>
    <row r="6435">
      <c r="B6435" s="17" t="s">
        <v>477</v>
      </c>
      <c r="K6435" s="18" t="s">
        <v>477</v>
      </c>
      <c r="N6435" s="17" t="str">
        <f>IFERROR(__xludf.DUMMYFUNCTION("""COMPUTED_VALUE"""),"")</f>
        <v/>
      </c>
      <c r="O6435" s="17"/>
    </row>
    <row r="6436">
      <c r="B6436" s="17" t="s">
        <v>477</v>
      </c>
      <c r="K6436" s="18" t="s">
        <v>477</v>
      </c>
      <c r="N6436" s="17" t="str">
        <f>IFERROR(__xludf.DUMMYFUNCTION("""COMPUTED_VALUE"""),"")</f>
        <v/>
      </c>
      <c r="O6436" s="17"/>
    </row>
    <row r="6437">
      <c r="B6437" s="17" t="s">
        <v>477</v>
      </c>
      <c r="K6437" s="18" t="s">
        <v>477</v>
      </c>
      <c r="N6437" s="17" t="str">
        <f>IFERROR(__xludf.DUMMYFUNCTION("""COMPUTED_VALUE"""),"")</f>
        <v/>
      </c>
      <c r="O6437" s="17"/>
    </row>
    <row r="6438">
      <c r="B6438" s="17" t="s">
        <v>477</v>
      </c>
      <c r="K6438" s="18" t="s">
        <v>477</v>
      </c>
      <c r="N6438" s="17" t="str">
        <f>IFERROR(__xludf.DUMMYFUNCTION("""COMPUTED_VALUE"""),"")</f>
        <v/>
      </c>
      <c r="O6438" s="17"/>
    </row>
    <row r="6439">
      <c r="B6439" s="17" t="s">
        <v>477</v>
      </c>
      <c r="K6439" s="18" t="s">
        <v>477</v>
      </c>
      <c r="N6439" s="17" t="str">
        <f>IFERROR(__xludf.DUMMYFUNCTION("""COMPUTED_VALUE"""),"")</f>
        <v/>
      </c>
      <c r="O6439" s="17"/>
    </row>
    <row r="6440">
      <c r="B6440" s="17" t="s">
        <v>477</v>
      </c>
      <c r="K6440" s="18" t="s">
        <v>477</v>
      </c>
      <c r="N6440" s="17" t="str">
        <f>IFERROR(__xludf.DUMMYFUNCTION("""COMPUTED_VALUE"""),"")</f>
        <v/>
      </c>
      <c r="O6440" s="17"/>
    </row>
    <row r="6441">
      <c r="B6441" s="17" t="s">
        <v>477</v>
      </c>
      <c r="K6441" s="18" t="s">
        <v>477</v>
      </c>
      <c r="N6441" s="17" t="str">
        <f>IFERROR(__xludf.DUMMYFUNCTION("""COMPUTED_VALUE"""),"")</f>
        <v/>
      </c>
      <c r="O6441" s="17"/>
    </row>
    <row r="6442">
      <c r="B6442" s="17" t="s">
        <v>477</v>
      </c>
      <c r="K6442" s="18" t="s">
        <v>477</v>
      </c>
      <c r="N6442" s="17" t="str">
        <f>IFERROR(__xludf.DUMMYFUNCTION("""COMPUTED_VALUE"""),"")</f>
        <v/>
      </c>
      <c r="O6442" s="17"/>
    </row>
    <row r="6443">
      <c r="B6443" s="17" t="s">
        <v>477</v>
      </c>
      <c r="K6443" s="18" t="s">
        <v>477</v>
      </c>
      <c r="N6443" s="17" t="str">
        <f>IFERROR(__xludf.DUMMYFUNCTION("""COMPUTED_VALUE"""),"")</f>
        <v/>
      </c>
      <c r="O6443" s="17"/>
    </row>
    <row r="6444">
      <c r="B6444" s="17" t="s">
        <v>477</v>
      </c>
      <c r="K6444" s="18" t="s">
        <v>477</v>
      </c>
      <c r="N6444" s="17" t="str">
        <f>IFERROR(__xludf.DUMMYFUNCTION("""COMPUTED_VALUE"""),"")</f>
        <v/>
      </c>
      <c r="O6444" s="17"/>
    </row>
    <row r="6445">
      <c r="B6445" s="17" t="s">
        <v>477</v>
      </c>
      <c r="K6445" s="18" t="s">
        <v>477</v>
      </c>
      <c r="N6445" s="17" t="str">
        <f>IFERROR(__xludf.DUMMYFUNCTION("""COMPUTED_VALUE"""),"")</f>
        <v/>
      </c>
      <c r="O6445" s="17"/>
    </row>
    <row r="6446">
      <c r="B6446" s="17" t="s">
        <v>477</v>
      </c>
      <c r="K6446" s="18" t="s">
        <v>477</v>
      </c>
      <c r="N6446" s="17" t="str">
        <f>IFERROR(__xludf.DUMMYFUNCTION("""COMPUTED_VALUE"""),"")</f>
        <v/>
      </c>
      <c r="O6446" s="17"/>
    </row>
    <row r="6447">
      <c r="B6447" s="17" t="s">
        <v>477</v>
      </c>
      <c r="K6447" s="18" t="s">
        <v>477</v>
      </c>
      <c r="N6447" s="17" t="str">
        <f>IFERROR(__xludf.DUMMYFUNCTION("""COMPUTED_VALUE"""),"")</f>
        <v/>
      </c>
      <c r="O6447" s="17"/>
    </row>
    <row r="6448">
      <c r="B6448" s="17" t="s">
        <v>477</v>
      </c>
      <c r="K6448" s="18" t="s">
        <v>477</v>
      </c>
      <c r="N6448" s="17" t="str">
        <f>IFERROR(__xludf.DUMMYFUNCTION("""COMPUTED_VALUE"""),"")</f>
        <v/>
      </c>
      <c r="O6448" s="17"/>
    </row>
    <row r="6449">
      <c r="B6449" s="17" t="s">
        <v>477</v>
      </c>
      <c r="K6449" s="18" t="s">
        <v>477</v>
      </c>
      <c r="N6449" s="17" t="str">
        <f>IFERROR(__xludf.DUMMYFUNCTION("""COMPUTED_VALUE"""),"")</f>
        <v/>
      </c>
      <c r="O6449" s="17"/>
    </row>
    <row r="6450">
      <c r="B6450" s="17" t="s">
        <v>477</v>
      </c>
      <c r="K6450" s="18" t="s">
        <v>477</v>
      </c>
      <c r="N6450" s="17" t="str">
        <f>IFERROR(__xludf.DUMMYFUNCTION("""COMPUTED_VALUE"""),"")</f>
        <v/>
      </c>
      <c r="O6450" s="17"/>
    </row>
    <row r="6451">
      <c r="B6451" s="17" t="s">
        <v>477</v>
      </c>
      <c r="K6451" s="18" t="s">
        <v>477</v>
      </c>
      <c r="N6451" s="17" t="str">
        <f>IFERROR(__xludf.DUMMYFUNCTION("""COMPUTED_VALUE"""),"")</f>
        <v/>
      </c>
      <c r="O6451" s="17"/>
    </row>
    <row r="6452">
      <c r="B6452" s="17" t="s">
        <v>477</v>
      </c>
      <c r="K6452" s="18" t="s">
        <v>477</v>
      </c>
      <c r="N6452" s="17" t="str">
        <f>IFERROR(__xludf.DUMMYFUNCTION("""COMPUTED_VALUE"""),"")</f>
        <v/>
      </c>
      <c r="O6452" s="17"/>
    </row>
    <row r="6453">
      <c r="B6453" s="17" t="s">
        <v>477</v>
      </c>
      <c r="K6453" s="18" t="s">
        <v>477</v>
      </c>
      <c r="N6453" s="17" t="str">
        <f>IFERROR(__xludf.DUMMYFUNCTION("""COMPUTED_VALUE"""),"")</f>
        <v/>
      </c>
      <c r="O6453" s="17"/>
    </row>
    <row r="6454">
      <c r="B6454" s="17" t="s">
        <v>477</v>
      </c>
      <c r="K6454" s="18" t="s">
        <v>477</v>
      </c>
      <c r="N6454" s="17" t="str">
        <f>IFERROR(__xludf.DUMMYFUNCTION("""COMPUTED_VALUE"""),"")</f>
        <v/>
      </c>
      <c r="O6454" s="17"/>
    </row>
    <row r="6455">
      <c r="B6455" s="17" t="s">
        <v>477</v>
      </c>
      <c r="K6455" s="18" t="s">
        <v>477</v>
      </c>
      <c r="N6455" s="17" t="str">
        <f>IFERROR(__xludf.DUMMYFUNCTION("""COMPUTED_VALUE"""),"")</f>
        <v/>
      </c>
      <c r="O6455" s="17"/>
    </row>
    <row r="6456">
      <c r="B6456" s="17" t="s">
        <v>477</v>
      </c>
      <c r="K6456" s="18" t="s">
        <v>477</v>
      </c>
      <c r="N6456" s="17" t="str">
        <f>IFERROR(__xludf.DUMMYFUNCTION("""COMPUTED_VALUE"""),"")</f>
        <v/>
      </c>
      <c r="O6456" s="17"/>
    </row>
    <row r="6457">
      <c r="B6457" s="17" t="s">
        <v>477</v>
      </c>
      <c r="K6457" s="18" t="s">
        <v>477</v>
      </c>
      <c r="N6457" s="17" t="str">
        <f>IFERROR(__xludf.DUMMYFUNCTION("""COMPUTED_VALUE"""),"")</f>
        <v/>
      </c>
      <c r="O6457" s="17"/>
    </row>
    <row r="6458">
      <c r="B6458" s="17" t="s">
        <v>477</v>
      </c>
      <c r="K6458" s="18" t="s">
        <v>477</v>
      </c>
      <c r="N6458" s="17" t="str">
        <f>IFERROR(__xludf.DUMMYFUNCTION("""COMPUTED_VALUE"""),"")</f>
        <v/>
      </c>
      <c r="O6458" s="17"/>
    </row>
    <row r="6459">
      <c r="B6459" s="17" t="s">
        <v>477</v>
      </c>
      <c r="K6459" s="18" t="s">
        <v>477</v>
      </c>
      <c r="N6459" s="17" t="str">
        <f>IFERROR(__xludf.DUMMYFUNCTION("""COMPUTED_VALUE"""),"")</f>
        <v/>
      </c>
      <c r="O6459" s="17"/>
    </row>
    <row r="6460">
      <c r="B6460" s="17" t="s">
        <v>477</v>
      </c>
      <c r="K6460" s="18" t="s">
        <v>477</v>
      </c>
      <c r="N6460" s="17" t="str">
        <f>IFERROR(__xludf.DUMMYFUNCTION("""COMPUTED_VALUE"""),"")</f>
        <v/>
      </c>
      <c r="O6460" s="17"/>
    </row>
    <row r="6461">
      <c r="B6461" s="17" t="s">
        <v>477</v>
      </c>
      <c r="K6461" s="18" t="s">
        <v>477</v>
      </c>
      <c r="N6461" s="17" t="str">
        <f>IFERROR(__xludf.DUMMYFUNCTION("""COMPUTED_VALUE"""),"")</f>
        <v/>
      </c>
      <c r="O6461" s="17"/>
    </row>
    <row r="6462">
      <c r="B6462" s="17" t="s">
        <v>477</v>
      </c>
      <c r="K6462" s="18" t="s">
        <v>477</v>
      </c>
      <c r="N6462" s="17" t="str">
        <f>IFERROR(__xludf.DUMMYFUNCTION("""COMPUTED_VALUE"""),"")</f>
        <v/>
      </c>
      <c r="O6462" s="17"/>
    </row>
    <row r="6463">
      <c r="B6463" s="17" t="s">
        <v>477</v>
      </c>
      <c r="K6463" s="18" t="s">
        <v>477</v>
      </c>
      <c r="N6463" s="17" t="str">
        <f>IFERROR(__xludf.DUMMYFUNCTION("""COMPUTED_VALUE"""),"")</f>
        <v/>
      </c>
      <c r="O6463" s="17"/>
    </row>
    <row r="6464">
      <c r="B6464" s="17" t="s">
        <v>477</v>
      </c>
      <c r="K6464" s="18" t="s">
        <v>477</v>
      </c>
      <c r="N6464" s="17" t="str">
        <f>IFERROR(__xludf.DUMMYFUNCTION("""COMPUTED_VALUE"""),"")</f>
        <v/>
      </c>
      <c r="O6464" s="17"/>
    </row>
    <row r="6465">
      <c r="B6465" s="17" t="s">
        <v>477</v>
      </c>
      <c r="K6465" s="18" t="s">
        <v>477</v>
      </c>
      <c r="N6465" s="17" t="str">
        <f>IFERROR(__xludf.DUMMYFUNCTION("""COMPUTED_VALUE"""),"")</f>
        <v/>
      </c>
      <c r="O6465" s="17"/>
    </row>
    <row r="6466">
      <c r="B6466" s="17" t="s">
        <v>477</v>
      </c>
      <c r="K6466" s="18" t="s">
        <v>477</v>
      </c>
      <c r="N6466" s="17" t="str">
        <f>IFERROR(__xludf.DUMMYFUNCTION("""COMPUTED_VALUE"""),"")</f>
        <v/>
      </c>
      <c r="O6466" s="17"/>
    </row>
    <row r="6467">
      <c r="B6467" s="17" t="s">
        <v>477</v>
      </c>
      <c r="K6467" s="18" t="s">
        <v>477</v>
      </c>
      <c r="N6467" s="17" t="str">
        <f>IFERROR(__xludf.DUMMYFUNCTION("""COMPUTED_VALUE"""),"")</f>
        <v/>
      </c>
      <c r="O6467" s="17"/>
    </row>
    <row r="6468">
      <c r="B6468" s="17" t="s">
        <v>477</v>
      </c>
      <c r="K6468" s="18" t="s">
        <v>477</v>
      </c>
      <c r="N6468" s="17" t="str">
        <f>IFERROR(__xludf.DUMMYFUNCTION("""COMPUTED_VALUE"""),"")</f>
        <v/>
      </c>
      <c r="O6468" s="17"/>
    </row>
    <row r="6469">
      <c r="B6469" s="17" t="s">
        <v>477</v>
      </c>
      <c r="K6469" s="18" t="s">
        <v>477</v>
      </c>
      <c r="N6469" s="17" t="str">
        <f>IFERROR(__xludf.DUMMYFUNCTION("""COMPUTED_VALUE"""),"")</f>
        <v/>
      </c>
      <c r="O6469" s="17"/>
    </row>
    <row r="6470">
      <c r="B6470" s="17" t="s">
        <v>477</v>
      </c>
      <c r="K6470" s="18" t="s">
        <v>477</v>
      </c>
      <c r="N6470" s="17" t="str">
        <f>IFERROR(__xludf.DUMMYFUNCTION("""COMPUTED_VALUE"""),"")</f>
        <v/>
      </c>
      <c r="O6470" s="17"/>
    </row>
    <row r="6471">
      <c r="B6471" s="17" t="s">
        <v>477</v>
      </c>
      <c r="K6471" s="18" t="s">
        <v>477</v>
      </c>
      <c r="N6471" s="17" t="str">
        <f>IFERROR(__xludf.DUMMYFUNCTION("""COMPUTED_VALUE"""),"")</f>
        <v/>
      </c>
      <c r="O6471" s="17"/>
    </row>
    <row r="6472">
      <c r="B6472" s="17" t="s">
        <v>477</v>
      </c>
      <c r="K6472" s="18" t="s">
        <v>477</v>
      </c>
      <c r="N6472" s="17" t="str">
        <f>IFERROR(__xludf.DUMMYFUNCTION("""COMPUTED_VALUE"""),"")</f>
        <v/>
      </c>
      <c r="O6472" s="17"/>
    </row>
    <row r="6473">
      <c r="B6473" s="17" t="s">
        <v>477</v>
      </c>
      <c r="K6473" s="18" t="s">
        <v>477</v>
      </c>
      <c r="N6473" s="17" t="str">
        <f>IFERROR(__xludf.DUMMYFUNCTION("""COMPUTED_VALUE"""),"")</f>
        <v/>
      </c>
      <c r="O6473" s="17"/>
    </row>
    <row r="6474">
      <c r="B6474" s="17" t="s">
        <v>477</v>
      </c>
      <c r="K6474" s="18" t="s">
        <v>477</v>
      </c>
      <c r="N6474" s="17" t="str">
        <f>IFERROR(__xludf.DUMMYFUNCTION("""COMPUTED_VALUE"""),"")</f>
        <v/>
      </c>
      <c r="O6474" s="17"/>
    </row>
    <row r="6475">
      <c r="B6475" s="17" t="s">
        <v>477</v>
      </c>
      <c r="K6475" s="18" t="s">
        <v>477</v>
      </c>
      <c r="N6475" s="17" t="str">
        <f>IFERROR(__xludf.DUMMYFUNCTION("""COMPUTED_VALUE"""),"")</f>
        <v/>
      </c>
      <c r="O6475" s="17"/>
    </row>
    <row r="6476">
      <c r="B6476" s="17" t="s">
        <v>477</v>
      </c>
      <c r="K6476" s="18" t="s">
        <v>477</v>
      </c>
      <c r="N6476" s="17" t="str">
        <f>IFERROR(__xludf.DUMMYFUNCTION("""COMPUTED_VALUE"""),"")</f>
        <v/>
      </c>
      <c r="O6476" s="17"/>
    </row>
    <row r="6477">
      <c r="B6477" s="17" t="s">
        <v>477</v>
      </c>
      <c r="K6477" s="18" t="s">
        <v>477</v>
      </c>
      <c r="N6477" s="17" t="str">
        <f>IFERROR(__xludf.DUMMYFUNCTION("""COMPUTED_VALUE"""),"")</f>
        <v/>
      </c>
      <c r="O6477" s="17"/>
    </row>
    <row r="6478">
      <c r="B6478" s="17" t="s">
        <v>477</v>
      </c>
      <c r="K6478" s="18" t="s">
        <v>477</v>
      </c>
      <c r="N6478" s="17" t="str">
        <f>IFERROR(__xludf.DUMMYFUNCTION("""COMPUTED_VALUE"""),"")</f>
        <v/>
      </c>
      <c r="O6478" s="17"/>
    </row>
    <row r="6479">
      <c r="B6479" s="17" t="s">
        <v>477</v>
      </c>
      <c r="K6479" s="18" t="s">
        <v>477</v>
      </c>
      <c r="N6479" s="17" t="str">
        <f>IFERROR(__xludf.DUMMYFUNCTION("""COMPUTED_VALUE"""),"")</f>
        <v/>
      </c>
      <c r="O6479" s="17"/>
    </row>
    <row r="6480">
      <c r="B6480" s="17" t="s">
        <v>477</v>
      </c>
      <c r="K6480" s="18" t="s">
        <v>477</v>
      </c>
      <c r="N6480" s="17" t="str">
        <f>IFERROR(__xludf.DUMMYFUNCTION("""COMPUTED_VALUE"""),"")</f>
        <v/>
      </c>
      <c r="O6480" s="17"/>
    </row>
    <row r="6481">
      <c r="B6481" s="17" t="s">
        <v>477</v>
      </c>
      <c r="K6481" s="18" t="s">
        <v>477</v>
      </c>
      <c r="N6481" s="17" t="str">
        <f>IFERROR(__xludf.DUMMYFUNCTION("""COMPUTED_VALUE"""),"")</f>
        <v/>
      </c>
      <c r="O6481" s="17"/>
    </row>
    <row r="6482">
      <c r="B6482" s="17" t="s">
        <v>477</v>
      </c>
      <c r="K6482" s="18" t="s">
        <v>477</v>
      </c>
      <c r="N6482" s="17" t="str">
        <f>IFERROR(__xludf.DUMMYFUNCTION("""COMPUTED_VALUE"""),"")</f>
        <v/>
      </c>
      <c r="O6482" s="17"/>
    </row>
    <row r="6483">
      <c r="B6483" s="17" t="s">
        <v>477</v>
      </c>
      <c r="K6483" s="18" t="s">
        <v>477</v>
      </c>
      <c r="N6483" s="17" t="str">
        <f>IFERROR(__xludf.DUMMYFUNCTION("""COMPUTED_VALUE"""),"")</f>
        <v/>
      </c>
      <c r="O6483" s="17"/>
    </row>
    <row r="6484">
      <c r="B6484" s="17" t="s">
        <v>477</v>
      </c>
      <c r="K6484" s="18" t="s">
        <v>477</v>
      </c>
      <c r="N6484" s="17" t="str">
        <f>IFERROR(__xludf.DUMMYFUNCTION("""COMPUTED_VALUE"""),"")</f>
        <v/>
      </c>
      <c r="O6484" s="17"/>
    </row>
    <row r="6485">
      <c r="B6485" s="17" t="s">
        <v>477</v>
      </c>
      <c r="K6485" s="18" t="s">
        <v>477</v>
      </c>
      <c r="N6485" s="17" t="str">
        <f>IFERROR(__xludf.DUMMYFUNCTION("""COMPUTED_VALUE"""),"")</f>
        <v/>
      </c>
      <c r="O6485" s="17"/>
    </row>
    <row r="6486">
      <c r="B6486" s="17" t="s">
        <v>477</v>
      </c>
      <c r="K6486" s="18" t="s">
        <v>477</v>
      </c>
      <c r="N6486" s="17" t="str">
        <f>IFERROR(__xludf.DUMMYFUNCTION("""COMPUTED_VALUE"""),"")</f>
        <v/>
      </c>
      <c r="O6486" s="17"/>
    </row>
    <row r="6487">
      <c r="B6487" s="17" t="s">
        <v>477</v>
      </c>
      <c r="K6487" s="18" t="s">
        <v>477</v>
      </c>
      <c r="N6487" s="17" t="str">
        <f>IFERROR(__xludf.DUMMYFUNCTION("""COMPUTED_VALUE"""),"")</f>
        <v/>
      </c>
      <c r="O6487" s="17"/>
    </row>
    <row r="6488">
      <c r="B6488" s="17" t="s">
        <v>477</v>
      </c>
      <c r="K6488" s="18" t="s">
        <v>477</v>
      </c>
      <c r="N6488" s="17" t="str">
        <f>IFERROR(__xludf.DUMMYFUNCTION("""COMPUTED_VALUE"""),"")</f>
        <v/>
      </c>
      <c r="O6488" s="17"/>
    </row>
    <row r="6489">
      <c r="B6489" s="17" t="s">
        <v>477</v>
      </c>
      <c r="K6489" s="18" t="s">
        <v>477</v>
      </c>
      <c r="N6489" s="17" t="str">
        <f>IFERROR(__xludf.DUMMYFUNCTION("""COMPUTED_VALUE"""),"")</f>
        <v/>
      </c>
      <c r="O6489" s="17"/>
    </row>
    <row r="6490">
      <c r="B6490" s="17" t="s">
        <v>477</v>
      </c>
      <c r="K6490" s="18" t="s">
        <v>477</v>
      </c>
      <c r="N6490" s="17" t="str">
        <f>IFERROR(__xludf.DUMMYFUNCTION("""COMPUTED_VALUE"""),"")</f>
        <v/>
      </c>
      <c r="O6490" s="17"/>
    </row>
    <row r="6491">
      <c r="B6491" s="17" t="s">
        <v>477</v>
      </c>
      <c r="K6491" s="18" t="s">
        <v>477</v>
      </c>
      <c r="N6491" s="17" t="str">
        <f>IFERROR(__xludf.DUMMYFUNCTION("""COMPUTED_VALUE"""),"")</f>
        <v/>
      </c>
      <c r="O6491" s="17"/>
    </row>
    <row r="6492">
      <c r="B6492" s="17" t="s">
        <v>477</v>
      </c>
      <c r="K6492" s="18" t="s">
        <v>477</v>
      </c>
      <c r="N6492" s="17" t="str">
        <f>IFERROR(__xludf.DUMMYFUNCTION("""COMPUTED_VALUE"""),"")</f>
        <v/>
      </c>
      <c r="O6492" s="17"/>
    </row>
    <row r="6493">
      <c r="B6493" s="17" t="s">
        <v>477</v>
      </c>
      <c r="K6493" s="18" t="s">
        <v>477</v>
      </c>
      <c r="N6493" s="17" t="str">
        <f>IFERROR(__xludf.DUMMYFUNCTION("""COMPUTED_VALUE"""),"")</f>
        <v/>
      </c>
      <c r="O6493" s="17"/>
    </row>
    <row r="6494">
      <c r="B6494" s="17" t="s">
        <v>477</v>
      </c>
      <c r="K6494" s="18" t="s">
        <v>477</v>
      </c>
      <c r="N6494" s="17" t="str">
        <f>IFERROR(__xludf.DUMMYFUNCTION("""COMPUTED_VALUE"""),"")</f>
        <v/>
      </c>
      <c r="O6494" s="17"/>
    </row>
    <row r="6495">
      <c r="B6495" s="17" t="s">
        <v>477</v>
      </c>
      <c r="K6495" s="18" t="s">
        <v>477</v>
      </c>
      <c r="N6495" s="17" t="str">
        <f>IFERROR(__xludf.DUMMYFUNCTION("""COMPUTED_VALUE"""),"")</f>
        <v/>
      </c>
      <c r="O6495" s="17"/>
    </row>
    <row r="6496">
      <c r="B6496" s="17" t="s">
        <v>477</v>
      </c>
      <c r="K6496" s="18" t="s">
        <v>477</v>
      </c>
      <c r="N6496" s="17" t="str">
        <f>IFERROR(__xludf.DUMMYFUNCTION("""COMPUTED_VALUE"""),"")</f>
        <v/>
      </c>
      <c r="O6496" s="17"/>
    </row>
    <row r="6497">
      <c r="B6497" s="17" t="s">
        <v>477</v>
      </c>
      <c r="K6497" s="18" t="s">
        <v>477</v>
      </c>
      <c r="N6497" s="17" t="str">
        <f>IFERROR(__xludf.DUMMYFUNCTION("""COMPUTED_VALUE"""),"")</f>
        <v/>
      </c>
      <c r="O6497" s="17"/>
    </row>
    <row r="6498">
      <c r="B6498" s="17" t="s">
        <v>477</v>
      </c>
      <c r="K6498" s="18" t="s">
        <v>477</v>
      </c>
      <c r="N6498" s="17" t="str">
        <f>IFERROR(__xludf.DUMMYFUNCTION("""COMPUTED_VALUE"""),"")</f>
        <v/>
      </c>
      <c r="O6498" s="17"/>
    </row>
    <row r="6499">
      <c r="B6499" s="17" t="s">
        <v>477</v>
      </c>
      <c r="K6499" s="18" t="s">
        <v>477</v>
      </c>
      <c r="N6499" s="17" t="str">
        <f>IFERROR(__xludf.DUMMYFUNCTION("""COMPUTED_VALUE"""),"")</f>
        <v/>
      </c>
      <c r="O6499" s="17"/>
    </row>
    <row r="6500">
      <c r="B6500" s="17" t="s">
        <v>477</v>
      </c>
      <c r="K6500" s="18" t="s">
        <v>477</v>
      </c>
      <c r="N6500" s="17" t="str">
        <f>IFERROR(__xludf.DUMMYFUNCTION("""COMPUTED_VALUE"""),"")</f>
        <v/>
      </c>
      <c r="O6500" s="17"/>
    </row>
    <row r="6501">
      <c r="B6501" s="17" t="s">
        <v>477</v>
      </c>
      <c r="K6501" s="18" t="s">
        <v>477</v>
      </c>
      <c r="N6501" s="17" t="str">
        <f>IFERROR(__xludf.DUMMYFUNCTION("""COMPUTED_VALUE"""),"")</f>
        <v/>
      </c>
      <c r="O6501" s="17"/>
    </row>
    <row r="6502">
      <c r="B6502" s="17" t="s">
        <v>477</v>
      </c>
      <c r="K6502" s="18" t="s">
        <v>477</v>
      </c>
      <c r="N6502" s="17" t="str">
        <f>IFERROR(__xludf.DUMMYFUNCTION("""COMPUTED_VALUE"""),"")</f>
        <v/>
      </c>
      <c r="O6502" s="17"/>
    </row>
    <row r="6503">
      <c r="B6503" s="17" t="s">
        <v>477</v>
      </c>
      <c r="K6503" s="18" t="s">
        <v>477</v>
      </c>
      <c r="N6503" s="17" t="str">
        <f>IFERROR(__xludf.DUMMYFUNCTION("""COMPUTED_VALUE"""),"")</f>
        <v/>
      </c>
      <c r="O6503" s="17"/>
    </row>
    <row r="6504">
      <c r="B6504" s="17" t="s">
        <v>477</v>
      </c>
      <c r="K6504" s="18" t="s">
        <v>477</v>
      </c>
      <c r="N6504" s="17" t="str">
        <f>IFERROR(__xludf.DUMMYFUNCTION("""COMPUTED_VALUE"""),"")</f>
        <v/>
      </c>
      <c r="O6504" s="17"/>
    </row>
    <row r="6505">
      <c r="B6505" s="17" t="s">
        <v>477</v>
      </c>
      <c r="K6505" s="18" t="s">
        <v>477</v>
      </c>
      <c r="N6505" s="17" t="str">
        <f>IFERROR(__xludf.DUMMYFUNCTION("""COMPUTED_VALUE"""),"")</f>
        <v/>
      </c>
      <c r="O6505" s="17"/>
    </row>
    <row r="6506">
      <c r="B6506" s="17" t="s">
        <v>477</v>
      </c>
      <c r="K6506" s="18" t="s">
        <v>477</v>
      </c>
      <c r="N6506" s="17" t="str">
        <f>IFERROR(__xludf.DUMMYFUNCTION("""COMPUTED_VALUE"""),"")</f>
        <v/>
      </c>
      <c r="O6506" s="17"/>
    </row>
    <row r="6507">
      <c r="B6507" s="17" t="s">
        <v>477</v>
      </c>
      <c r="K6507" s="18" t="s">
        <v>477</v>
      </c>
      <c r="N6507" s="17" t="str">
        <f>IFERROR(__xludf.DUMMYFUNCTION("""COMPUTED_VALUE"""),"")</f>
        <v/>
      </c>
      <c r="O6507" s="17"/>
    </row>
    <row r="6508">
      <c r="B6508" s="17" t="s">
        <v>477</v>
      </c>
      <c r="K6508" s="18" t="s">
        <v>477</v>
      </c>
      <c r="N6508" s="17" t="str">
        <f>IFERROR(__xludf.DUMMYFUNCTION("""COMPUTED_VALUE"""),"")</f>
        <v/>
      </c>
      <c r="O6508" s="17"/>
    </row>
    <row r="6509">
      <c r="B6509" s="17" t="s">
        <v>477</v>
      </c>
      <c r="K6509" s="18" t="s">
        <v>477</v>
      </c>
      <c r="N6509" s="17" t="str">
        <f>IFERROR(__xludf.DUMMYFUNCTION("""COMPUTED_VALUE"""),"")</f>
        <v/>
      </c>
      <c r="O6509" s="17"/>
    </row>
    <row r="6510">
      <c r="B6510" s="17" t="s">
        <v>477</v>
      </c>
      <c r="K6510" s="18" t="s">
        <v>477</v>
      </c>
      <c r="N6510" s="17" t="str">
        <f>IFERROR(__xludf.DUMMYFUNCTION("""COMPUTED_VALUE"""),"")</f>
        <v/>
      </c>
      <c r="O6510" s="17"/>
    </row>
    <row r="6511">
      <c r="B6511" s="17" t="s">
        <v>477</v>
      </c>
      <c r="K6511" s="18" t="s">
        <v>477</v>
      </c>
      <c r="N6511" s="17" t="str">
        <f>IFERROR(__xludf.DUMMYFUNCTION("""COMPUTED_VALUE"""),"")</f>
        <v/>
      </c>
      <c r="O6511" s="17"/>
    </row>
    <row r="6512">
      <c r="B6512" s="17" t="s">
        <v>477</v>
      </c>
      <c r="K6512" s="18" t="s">
        <v>477</v>
      </c>
      <c r="N6512" s="17" t="str">
        <f>IFERROR(__xludf.DUMMYFUNCTION("""COMPUTED_VALUE"""),"")</f>
        <v/>
      </c>
      <c r="O6512" s="17"/>
    </row>
    <row r="6513">
      <c r="B6513" s="17" t="s">
        <v>477</v>
      </c>
      <c r="K6513" s="18" t="s">
        <v>477</v>
      </c>
      <c r="N6513" s="17" t="str">
        <f>IFERROR(__xludf.DUMMYFUNCTION("""COMPUTED_VALUE"""),"")</f>
        <v/>
      </c>
      <c r="O6513" s="17"/>
    </row>
    <row r="6514">
      <c r="B6514" s="17" t="s">
        <v>477</v>
      </c>
      <c r="K6514" s="18" t="s">
        <v>477</v>
      </c>
      <c r="N6514" s="17" t="str">
        <f>IFERROR(__xludf.DUMMYFUNCTION("""COMPUTED_VALUE"""),"")</f>
        <v/>
      </c>
      <c r="O6514" s="17"/>
    </row>
    <row r="6515">
      <c r="B6515" s="17" t="s">
        <v>477</v>
      </c>
      <c r="K6515" s="18" t="s">
        <v>477</v>
      </c>
      <c r="N6515" s="17" t="str">
        <f>IFERROR(__xludf.DUMMYFUNCTION("""COMPUTED_VALUE"""),"")</f>
        <v/>
      </c>
      <c r="O6515" s="17"/>
    </row>
    <row r="6516">
      <c r="B6516" s="17" t="s">
        <v>477</v>
      </c>
      <c r="K6516" s="18" t="s">
        <v>477</v>
      </c>
      <c r="N6516" s="17" t="str">
        <f>IFERROR(__xludf.DUMMYFUNCTION("""COMPUTED_VALUE"""),"")</f>
        <v/>
      </c>
      <c r="O6516" s="17"/>
    </row>
    <row r="6517">
      <c r="B6517" s="17" t="s">
        <v>477</v>
      </c>
      <c r="K6517" s="18" t="s">
        <v>477</v>
      </c>
      <c r="N6517" s="17" t="str">
        <f>IFERROR(__xludf.DUMMYFUNCTION("""COMPUTED_VALUE"""),"")</f>
        <v/>
      </c>
      <c r="O6517" s="17"/>
    </row>
    <row r="6518">
      <c r="B6518" s="17" t="s">
        <v>477</v>
      </c>
      <c r="K6518" s="18" t="s">
        <v>477</v>
      </c>
      <c r="N6518" s="17" t="str">
        <f>IFERROR(__xludf.DUMMYFUNCTION("""COMPUTED_VALUE"""),"")</f>
        <v/>
      </c>
      <c r="O6518" s="17"/>
    </row>
    <row r="6519">
      <c r="B6519" s="17" t="s">
        <v>477</v>
      </c>
      <c r="K6519" s="18" t="s">
        <v>477</v>
      </c>
      <c r="N6519" s="17" t="str">
        <f>IFERROR(__xludf.DUMMYFUNCTION("""COMPUTED_VALUE"""),"")</f>
        <v/>
      </c>
      <c r="O6519" s="17"/>
    </row>
    <row r="6520">
      <c r="B6520" s="17" t="s">
        <v>477</v>
      </c>
      <c r="K6520" s="18" t="s">
        <v>477</v>
      </c>
      <c r="N6520" s="17" t="str">
        <f>IFERROR(__xludf.DUMMYFUNCTION("""COMPUTED_VALUE"""),"")</f>
        <v/>
      </c>
      <c r="O6520" s="17"/>
    </row>
    <row r="6521">
      <c r="B6521" s="17" t="s">
        <v>477</v>
      </c>
      <c r="K6521" s="18" t="s">
        <v>477</v>
      </c>
      <c r="N6521" s="17" t="str">
        <f>IFERROR(__xludf.DUMMYFUNCTION("""COMPUTED_VALUE"""),"")</f>
        <v/>
      </c>
      <c r="O6521" s="17"/>
    </row>
    <row r="6522">
      <c r="B6522" s="17" t="s">
        <v>477</v>
      </c>
      <c r="K6522" s="18" t="s">
        <v>477</v>
      </c>
      <c r="N6522" s="17" t="str">
        <f>IFERROR(__xludf.DUMMYFUNCTION("""COMPUTED_VALUE"""),"")</f>
        <v/>
      </c>
      <c r="O6522" s="17"/>
    </row>
    <row r="6523">
      <c r="B6523" s="17" t="s">
        <v>477</v>
      </c>
      <c r="K6523" s="18" t="s">
        <v>477</v>
      </c>
      <c r="N6523" s="17" t="str">
        <f>IFERROR(__xludf.DUMMYFUNCTION("""COMPUTED_VALUE"""),"")</f>
        <v/>
      </c>
      <c r="O6523" s="17"/>
    </row>
    <row r="6524">
      <c r="B6524" s="17" t="s">
        <v>477</v>
      </c>
      <c r="K6524" s="18" t="s">
        <v>477</v>
      </c>
      <c r="N6524" s="17" t="str">
        <f>IFERROR(__xludf.DUMMYFUNCTION("""COMPUTED_VALUE"""),"")</f>
        <v/>
      </c>
      <c r="O6524" s="17"/>
    </row>
    <row r="6525">
      <c r="B6525" s="17" t="s">
        <v>477</v>
      </c>
      <c r="K6525" s="18" t="s">
        <v>477</v>
      </c>
      <c r="N6525" s="17" t="str">
        <f>IFERROR(__xludf.DUMMYFUNCTION("""COMPUTED_VALUE"""),"")</f>
        <v/>
      </c>
      <c r="O6525" s="17"/>
    </row>
    <row r="6526">
      <c r="B6526" s="17" t="s">
        <v>477</v>
      </c>
      <c r="K6526" s="18" t="s">
        <v>477</v>
      </c>
      <c r="N6526" s="17" t="str">
        <f>IFERROR(__xludf.DUMMYFUNCTION("""COMPUTED_VALUE"""),"")</f>
        <v/>
      </c>
      <c r="O6526" s="17"/>
    </row>
    <row r="6527">
      <c r="B6527" s="17" t="s">
        <v>477</v>
      </c>
      <c r="K6527" s="18" t="s">
        <v>477</v>
      </c>
      <c r="N6527" s="17" t="str">
        <f>IFERROR(__xludf.DUMMYFUNCTION("""COMPUTED_VALUE"""),"")</f>
        <v/>
      </c>
      <c r="O6527" s="17"/>
    </row>
    <row r="6528">
      <c r="B6528" s="17" t="s">
        <v>477</v>
      </c>
      <c r="K6528" s="18" t="s">
        <v>477</v>
      </c>
      <c r="N6528" s="17" t="str">
        <f>IFERROR(__xludf.DUMMYFUNCTION("""COMPUTED_VALUE"""),"")</f>
        <v/>
      </c>
      <c r="O6528" s="17"/>
    </row>
    <row r="6529">
      <c r="B6529" s="17" t="s">
        <v>477</v>
      </c>
      <c r="K6529" s="18" t="s">
        <v>477</v>
      </c>
      <c r="N6529" s="17" t="str">
        <f>IFERROR(__xludf.DUMMYFUNCTION("""COMPUTED_VALUE"""),"")</f>
        <v/>
      </c>
      <c r="O6529" s="17"/>
    </row>
    <row r="6530">
      <c r="B6530" s="17" t="s">
        <v>477</v>
      </c>
      <c r="K6530" s="18" t="s">
        <v>477</v>
      </c>
      <c r="N6530" s="17" t="str">
        <f>IFERROR(__xludf.DUMMYFUNCTION("""COMPUTED_VALUE"""),"")</f>
        <v/>
      </c>
      <c r="O6530" s="17"/>
    </row>
    <row r="6531">
      <c r="B6531" s="17" t="s">
        <v>477</v>
      </c>
      <c r="K6531" s="18" t="s">
        <v>477</v>
      </c>
      <c r="N6531" s="17" t="str">
        <f>IFERROR(__xludf.DUMMYFUNCTION("""COMPUTED_VALUE"""),"")</f>
        <v/>
      </c>
      <c r="O6531" s="17"/>
    </row>
    <row r="6532">
      <c r="B6532" s="17" t="s">
        <v>477</v>
      </c>
      <c r="K6532" s="18" t="s">
        <v>477</v>
      </c>
      <c r="N6532" s="17" t="str">
        <f>IFERROR(__xludf.DUMMYFUNCTION("""COMPUTED_VALUE"""),"")</f>
        <v/>
      </c>
      <c r="O6532" s="17"/>
    </row>
    <row r="6533">
      <c r="B6533" s="17" t="s">
        <v>477</v>
      </c>
      <c r="K6533" s="18" t="s">
        <v>477</v>
      </c>
      <c r="N6533" s="17" t="str">
        <f>IFERROR(__xludf.DUMMYFUNCTION("""COMPUTED_VALUE"""),"")</f>
        <v/>
      </c>
      <c r="O6533" s="17"/>
    </row>
    <row r="6534">
      <c r="B6534" s="17" t="s">
        <v>477</v>
      </c>
      <c r="K6534" s="18" t="s">
        <v>477</v>
      </c>
      <c r="N6534" s="17" t="str">
        <f>IFERROR(__xludf.DUMMYFUNCTION("""COMPUTED_VALUE"""),"")</f>
        <v/>
      </c>
      <c r="O6534" s="17"/>
    </row>
    <row r="6535">
      <c r="B6535" s="17" t="s">
        <v>477</v>
      </c>
      <c r="K6535" s="18" t="s">
        <v>477</v>
      </c>
      <c r="N6535" s="17" t="str">
        <f>IFERROR(__xludf.DUMMYFUNCTION("""COMPUTED_VALUE"""),"")</f>
        <v/>
      </c>
      <c r="O6535" s="17"/>
    </row>
    <row r="6536">
      <c r="B6536" s="17" t="s">
        <v>477</v>
      </c>
      <c r="K6536" s="18" t="s">
        <v>477</v>
      </c>
      <c r="N6536" s="17" t="str">
        <f>IFERROR(__xludf.DUMMYFUNCTION("""COMPUTED_VALUE"""),"")</f>
        <v/>
      </c>
      <c r="O6536" s="17"/>
    </row>
    <row r="6537">
      <c r="B6537" s="17" t="s">
        <v>477</v>
      </c>
      <c r="K6537" s="18" t="s">
        <v>477</v>
      </c>
      <c r="N6537" s="17" t="str">
        <f>IFERROR(__xludf.DUMMYFUNCTION("""COMPUTED_VALUE"""),"")</f>
        <v/>
      </c>
      <c r="O6537" s="17"/>
    </row>
    <row r="6538">
      <c r="B6538" s="17" t="s">
        <v>477</v>
      </c>
      <c r="K6538" s="18" t="s">
        <v>477</v>
      </c>
      <c r="N6538" s="17" t="str">
        <f>IFERROR(__xludf.DUMMYFUNCTION("""COMPUTED_VALUE"""),"")</f>
        <v/>
      </c>
      <c r="O6538" s="17"/>
    </row>
    <row r="6539">
      <c r="B6539" s="17" t="s">
        <v>477</v>
      </c>
      <c r="K6539" s="18" t="s">
        <v>477</v>
      </c>
      <c r="N6539" s="17" t="str">
        <f>IFERROR(__xludf.DUMMYFUNCTION("""COMPUTED_VALUE"""),"")</f>
        <v/>
      </c>
      <c r="O6539" s="17"/>
    </row>
    <row r="6540">
      <c r="B6540" s="17" t="s">
        <v>477</v>
      </c>
      <c r="K6540" s="18" t="s">
        <v>477</v>
      </c>
      <c r="N6540" s="17" t="str">
        <f>IFERROR(__xludf.DUMMYFUNCTION("""COMPUTED_VALUE"""),"")</f>
        <v/>
      </c>
      <c r="O6540" s="17"/>
    </row>
    <row r="6541">
      <c r="B6541" s="17" t="s">
        <v>477</v>
      </c>
      <c r="K6541" s="18" t="s">
        <v>477</v>
      </c>
      <c r="N6541" s="17" t="str">
        <f>IFERROR(__xludf.DUMMYFUNCTION("""COMPUTED_VALUE"""),"")</f>
        <v/>
      </c>
      <c r="O6541" s="17"/>
    </row>
    <row r="6542">
      <c r="B6542" s="17" t="s">
        <v>477</v>
      </c>
      <c r="K6542" s="18" t="s">
        <v>477</v>
      </c>
      <c r="N6542" s="17" t="str">
        <f>IFERROR(__xludf.DUMMYFUNCTION("""COMPUTED_VALUE"""),"")</f>
        <v/>
      </c>
      <c r="O6542" s="17"/>
    </row>
    <row r="6543">
      <c r="B6543" s="17" t="s">
        <v>477</v>
      </c>
      <c r="K6543" s="18" t="s">
        <v>477</v>
      </c>
      <c r="N6543" s="17" t="str">
        <f>IFERROR(__xludf.DUMMYFUNCTION("""COMPUTED_VALUE"""),"")</f>
        <v/>
      </c>
      <c r="O6543" s="17"/>
    </row>
    <row r="6544">
      <c r="B6544" s="17" t="s">
        <v>477</v>
      </c>
      <c r="K6544" s="18" t="s">
        <v>477</v>
      </c>
      <c r="N6544" s="17" t="str">
        <f>IFERROR(__xludf.DUMMYFUNCTION("""COMPUTED_VALUE"""),"")</f>
        <v/>
      </c>
      <c r="O6544" s="17"/>
    </row>
    <row r="6545">
      <c r="B6545" s="17" t="s">
        <v>477</v>
      </c>
      <c r="K6545" s="18" t="s">
        <v>477</v>
      </c>
      <c r="N6545" s="17" t="str">
        <f>IFERROR(__xludf.DUMMYFUNCTION("""COMPUTED_VALUE"""),"")</f>
        <v/>
      </c>
      <c r="O6545" s="17"/>
    </row>
    <row r="6546">
      <c r="B6546" s="17" t="s">
        <v>477</v>
      </c>
      <c r="K6546" s="18" t="s">
        <v>477</v>
      </c>
      <c r="N6546" s="17" t="str">
        <f>IFERROR(__xludf.DUMMYFUNCTION("""COMPUTED_VALUE"""),"")</f>
        <v/>
      </c>
      <c r="O6546" s="17"/>
    </row>
    <row r="6547">
      <c r="B6547" s="17" t="s">
        <v>477</v>
      </c>
      <c r="K6547" s="18" t="s">
        <v>477</v>
      </c>
      <c r="N6547" s="17" t="str">
        <f>IFERROR(__xludf.DUMMYFUNCTION("""COMPUTED_VALUE"""),"")</f>
        <v/>
      </c>
      <c r="O6547" s="17"/>
    </row>
    <row r="6548">
      <c r="B6548" s="17" t="s">
        <v>477</v>
      </c>
      <c r="K6548" s="18" t="s">
        <v>477</v>
      </c>
      <c r="N6548" s="17" t="str">
        <f>IFERROR(__xludf.DUMMYFUNCTION("""COMPUTED_VALUE"""),"")</f>
        <v/>
      </c>
      <c r="O6548" s="17"/>
    </row>
    <row r="6549">
      <c r="B6549" s="17" t="s">
        <v>477</v>
      </c>
      <c r="K6549" s="18" t="s">
        <v>477</v>
      </c>
      <c r="N6549" s="17" t="str">
        <f>IFERROR(__xludf.DUMMYFUNCTION("""COMPUTED_VALUE"""),"")</f>
        <v/>
      </c>
      <c r="O6549" s="17"/>
    </row>
    <row r="6550">
      <c r="B6550" s="17" t="s">
        <v>477</v>
      </c>
      <c r="K6550" s="18" t="s">
        <v>477</v>
      </c>
      <c r="N6550" s="17" t="str">
        <f>IFERROR(__xludf.DUMMYFUNCTION("""COMPUTED_VALUE"""),"")</f>
        <v/>
      </c>
      <c r="O6550" s="17"/>
    </row>
    <row r="6551">
      <c r="B6551" s="17" t="s">
        <v>477</v>
      </c>
      <c r="K6551" s="18" t="s">
        <v>477</v>
      </c>
      <c r="N6551" s="17" t="str">
        <f>IFERROR(__xludf.DUMMYFUNCTION("""COMPUTED_VALUE"""),"")</f>
        <v/>
      </c>
      <c r="O6551" s="17"/>
    </row>
    <row r="6552">
      <c r="B6552" s="17" t="s">
        <v>477</v>
      </c>
      <c r="K6552" s="18" t="s">
        <v>477</v>
      </c>
      <c r="N6552" s="17" t="str">
        <f>IFERROR(__xludf.DUMMYFUNCTION("""COMPUTED_VALUE"""),"")</f>
        <v/>
      </c>
      <c r="O6552" s="17"/>
    </row>
    <row r="6553">
      <c r="B6553" s="17" t="s">
        <v>477</v>
      </c>
      <c r="K6553" s="18" t="s">
        <v>477</v>
      </c>
      <c r="N6553" s="17" t="str">
        <f>IFERROR(__xludf.DUMMYFUNCTION("""COMPUTED_VALUE"""),"")</f>
        <v/>
      </c>
      <c r="O6553" s="17"/>
    </row>
    <row r="6554">
      <c r="B6554" s="17" t="s">
        <v>477</v>
      </c>
      <c r="K6554" s="18" t="s">
        <v>477</v>
      </c>
      <c r="N6554" s="17" t="str">
        <f>IFERROR(__xludf.DUMMYFUNCTION("""COMPUTED_VALUE"""),"")</f>
        <v/>
      </c>
      <c r="O6554" s="17"/>
    </row>
    <row r="6555">
      <c r="B6555" s="17" t="s">
        <v>477</v>
      </c>
      <c r="K6555" s="18" t="s">
        <v>477</v>
      </c>
      <c r="N6555" s="17" t="str">
        <f>IFERROR(__xludf.DUMMYFUNCTION("""COMPUTED_VALUE"""),"")</f>
        <v/>
      </c>
      <c r="O6555" s="17"/>
    </row>
    <row r="6556">
      <c r="B6556" s="17" t="s">
        <v>477</v>
      </c>
      <c r="K6556" s="18" t="s">
        <v>477</v>
      </c>
      <c r="N6556" s="17" t="str">
        <f>IFERROR(__xludf.DUMMYFUNCTION("""COMPUTED_VALUE"""),"")</f>
        <v/>
      </c>
      <c r="O6556" s="17"/>
    </row>
    <row r="6557">
      <c r="B6557" s="17" t="s">
        <v>477</v>
      </c>
      <c r="K6557" s="18" t="s">
        <v>477</v>
      </c>
      <c r="N6557" s="17" t="str">
        <f>IFERROR(__xludf.DUMMYFUNCTION("""COMPUTED_VALUE"""),"")</f>
        <v/>
      </c>
      <c r="O6557" s="17"/>
    </row>
    <row r="6558">
      <c r="B6558" s="17" t="s">
        <v>477</v>
      </c>
      <c r="K6558" s="18" t="s">
        <v>477</v>
      </c>
      <c r="N6558" s="17" t="str">
        <f>IFERROR(__xludf.DUMMYFUNCTION("""COMPUTED_VALUE"""),"")</f>
        <v/>
      </c>
      <c r="O6558" s="17"/>
    </row>
    <row r="6559">
      <c r="B6559" s="17" t="s">
        <v>477</v>
      </c>
      <c r="K6559" s="18" t="s">
        <v>477</v>
      </c>
      <c r="N6559" s="17" t="str">
        <f>IFERROR(__xludf.DUMMYFUNCTION("""COMPUTED_VALUE"""),"")</f>
        <v/>
      </c>
      <c r="O6559" s="17"/>
    </row>
    <row r="6560">
      <c r="B6560" s="17" t="s">
        <v>477</v>
      </c>
      <c r="K6560" s="18" t="s">
        <v>477</v>
      </c>
      <c r="N6560" s="17" t="str">
        <f>IFERROR(__xludf.DUMMYFUNCTION("""COMPUTED_VALUE"""),"")</f>
        <v/>
      </c>
      <c r="O6560" s="17"/>
    </row>
    <row r="6561">
      <c r="B6561" s="17" t="s">
        <v>477</v>
      </c>
      <c r="K6561" s="18" t="s">
        <v>477</v>
      </c>
      <c r="N6561" s="17" t="str">
        <f>IFERROR(__xludf.DUMMYFUNCTION("""COMPUTED_VALUE"""),"")</f>
        <v/>
      </c>
      <c r="O6561" s="17"/>
    </row>
    <row r="6562">
      <c r="B6562" s="17" t="s">
        <v>477</v>
      </c>
      <c r="K6562" s="18" t="s">
        <v>477</v>
      </c>
      <c r="N6562" s="17" t="str">
        <f>IFERROR(__xludf.DUMMYFUNCTION("""COMPUTED_VALUE"""),"")</f>
        <v/>
      </c>
      <c r="O6562" s="17"/>
    </row>
    <row r="6563">
      <c r="B6563" s="17" t="s">
        <v>477</v>
      </c>
      <c r="K6563" s="18" t="s">
        <v>477</v>
      </c>
      <c r="N6563" s="17" t="str">
        <f>IFERROR(__xludf.DUMMYFUNCTION("""COMPUTED_VALUE"""),"")</f>
        <v/>
      </c>
      <c r="O6563" s="17"/>
    </row>
    <row r="6564">
      <c r="B6564" s="17" t="s">
        <v>477</v>
      </c>
      <c r="K6564" s="18" t="s">
        <v>477</v>
      </c>
      <c r="N6564" s="17" t="str">
        <f>IFERROR(__xludf.DUMMYFUNCTION("""COMPUTED_VALUE"""),"")</f>
        <v/>
      </c>
      <c r="O6564" s="17"/>
    </row>
    <row r="6565">
      <c r="B6565" s="17" t="s">
        <v>477</v>
      </c>
      <c r="K6565" s="18" t="s">
        <v>477</v>
      </c>
      <c r="N6565" s="17" t="str">
        <f>IFERROR(__xludf.DUMMYFUNCTION("""COMPUTED_VALUE"""),"")</f>
        <v/>
      </c>
      <c r="O6565" s="17"/>
    </row>
    <row r="6566">
      <c r="B6566" s="17" t="s">
        <v>477</v>
      </c>
      <c r="K6566" s="18" t="s">
        <v>477</v>
      </c>
      <c r="N6566" s="17" t="str">
        <f>IFERROR(__xludf.DUMMYFUNCTION("""COMPUTED_VALUE"""),"")</f>
        <v/>
      </c>
      <c r="O6566" s="17"/>
    </row>
    <row r="6567">
      <c r="B6567" s="17" t="s">
        <v>477</v>
      </c>
      <c r="K6567" s="18" t="s">
        <v>477</v>
      </c>
      <c r="N6567" s="17" t="str">
        <f>IFERROR(__xludf.DUMMYFUNCTION("""COMPUTED_VALUE"""),"")</f>
        <v/>
      </c>
      <c r="O6567" s="17"/>
    </row>
    <row r="6568">
      <c r="B6568" s="17" t="s">
        <v>477</v>
      </c>
      <c r="K6568" s="18" t="s">
        <v>477</v>
      </c>
      <c r="N6568" s="17" t="str">
        <f>IFERROR(__xludf.DUMMYFUNCTION("""COMPUTED_VALUE"""),"")</f>
        <v/>
      </c>
      <c r="O6568" s="17"/>
    </row>
    <row r="6569">
      <c r="B6569" s="17" t="s">
        <v>477</v>
      </c>
      <c r="K6569" s="18" t="s">
        <v>477</v>
      </c>
      <c r="N6569" s="17" t="str">
        <f>IFERROR(__xludf.DUMMYFUNCTION("""COMPUTED_VALUE"""),"")</f>
        <v/>
      </c>
      <c r="O6569" s="17"/>
    </row>
    <row r="6570">
      <c r="B6570" s="17" t="s">
        <v>477</v>
      </c>
      <c r="K6570" s="18" t="s">
        <v>477</v>
      </c>
      <c r="N6570" s="17" t="str">
        <f>IFERROR(__xludf.DUMMYFUNCTION("""COMPUTED_VALUE"""),"")</f>
        <v/>
      </c>
      <c r="O6570" s="17"/>
    </row>
    <row r="6571">
      <c r="B6571" s="17" t="s">
        <v>477</v>
      </c>
      <c r="K6571" s="18" t="s">
        <v>477</v>
      </c>
      <c r="N6571" s="17" t="str">
        <f>IFERROR(__xludf.DUMMYFUNCTION("""COMPUTED_VALUE"""),"")</f>
        <v/>
      </c>
      <c r="O6571" s="17"/>
    </row>
    <row r="6572">
      <c r="B6572" s="17" t="s">
        <v>477</v>
      </c>
      <c r="K6572" s="18" t="s">
        <v>477</v>
      </c>
      <c r="N6572" s="17" t="str">
        <f>IFERROR(__xludf.DUMMYFUNCTION("""COMPUTED_VALUE"""),"")</f>
        <v/>
      </c>
      <c r="O6572" s="17"/>
    </row>
    <row r="6573">
      <c r="B6573" s="17" t="s">
        <v>477</v>
      </c>
      <c r="K6573" s="18" t="s">
        <v>477</v>
      </c>
      <c r="N6573" s="17" t="str">
        <f>IFERROR(__xludf.DUMMYFUNCTION("""COMPUTED_VALUE"""),"")</f>
        <v/>
      </c>
      <c r="O6573" s="17"/>
    </row>
    <row r="6574">
      <c r="B6574" s="17" t="s">
        <v>477</v>
      </c>
      <c r="K6574" s="18" t="s">
        <v>477</v>
      </c>
      <c r="N6574" s="17" t="str">
        <f>IFERROR(__xludf.DUMMYFUNCTION("""COMPUTED_VALUE"""),"")</f>
        <v/>
      </c>
      <c r="O6574" s="17"/>
    </row>
    <row r="6575">
      <c r="B6575" s="17" t="s">
        <v>477</v>
      </c>
      <c r="K6575" s="18" t="s">
        <v>477</v>
      </c>
      <c r="N6575" s="17" t="str">
        <f>IFERROR(__xludf.DUMMYFUNCTION("""COMPUTED_VALUE"""),"")</f>
        <v/>
      </c>
      <c r="O6575" s="17"/>
    </row>
    <row r="6576">
      <c r="B6576" s="17" t="s">
        <v>477</v>
      </c>
      <c r="K6576" s="18" t="s">
        <v>477</v>
      </c>
      <c r="N6576" s="17" t="str">
        <f>IFERROR(__xludf.DUMMYFUNCTION("""COMPUTED_VALUE"""),"")</f>
        <v/>
      </c>
      <c r="O6576" s="17"/>
    </row>
    <row r="6577">
      <c r="B6577" s="17" t="s">
        <v>477</v>
      </c>
      <c r="K6577" s="18" t="s">
        <v>477</v>
      </c>
      <c r="N6577" s="17" t="str">
        <f>IFERROR(__xludf.DUMMYFUNCTION("""COMPUTED_VALUE"""),"")</f>
        <v/>
      </c>
      <c r="O6577" s="17"/>
    </row>
    <row r="6578">
      <c r="B6578" s="17" t="s">
        <v>477</v>
      </c>
      <c r="K6578" s="18" t="s">
        <v>477</v>
      </c>
      <c r="N6578" s="17" t="str">
        <f>IFERROR(__xludf.DUMMYFUNCTION("""COMPUTED_VALUE"""),"")</f>
        <v/>
      </c>
      <c r="O6578" s="17"/>
    </row>
    <row r="6579">
      <c r="B6579" s="17" t="s">
        <v>477</v>
      </c>
      <c r="K6579" s="18" t="s">
        <v>477</v>
      </c>
      <c r="N6579" s="17" t="str">
        <f>IFERROR(__xludf.DUMMYFUNCTION("""COMPUTED_VALUE"""),"")</f>
        <v/>
      </c>
      <c r="O6579" s="17"/>
    </row>
    <row r="6580">
      <c r="B6580" s="17" t="s">
        <v>477</v>
      </c>
      <c r="K6580" s="18" t="s">
        <v>477</v>
      </c>
      <c r="N6580" s="17" t="str">
        <f>IFERROR(__xludf.DUMMYFUNCTION("""COMPUTED_VALUE"""),"")</f>
        <v/>
      </c>
      <c r="O6580" s="17"/>
    </row>
    <row r="6581">
      <c r="B6581" s="17" t="s">
        <v>477</v>
      </c>
      <c r="K6581" s="18" t="s">
        <v>477</v>
      </c>
      <c r="N6581" s="17" t="str">
        <f>IFERROR(__xludf.DUMMYFUNCTION("""COMPUTED_VALUE"""),"")</f>
        <v/>
      </c>
      <c r="O6581" s="17"/>
    </row>
    <row r="6582">
      <c r="B6582" s="17" t="s">
        <v>477</v>
      </c>
      <c r="K6582" s="18" t="s">
        <v>477</v>
      </c>
      <c r="N6582" s="17" t="str">
        <f>IFERROR(__xludf.DUMMYFUNCTION("""COMPUTED_VALUE"""),"")</f>
        <v/>
      </c>
      <c r="O6582" s="17"/>
    </row>
    <row r="6583">
      <c r="B6583" s="17" t="s">
        <v>477</v>
      </c>
      <c r="K6583" s="18" t="s">
        <v>477</v>
      </c>
      <c r="N6583" s="17" t="str">
        <f>IFERROR(__xludf.DUMMYFUNCTION("""COMPUTED_VALUE"""),"")</f>
        <v/>
      </c>
      <c r="O6583" s="17"/>
    </row>
    <row r="6584">
      <c r="B6584" s="17" t="s">
        <v>477</v>
      </c>
      <c r="K6584" s="18" t="s">
        <v>477</v>
      </c>
      <c r="N6584" s="17" t="str">
        <f>IFERROR(__xludf.DUMMYFUNCTION("""COMPUTED_VALUE"""),"")</f>
        <v/>
      </c>
      <c r="O6584" s="17"/>
    </row>
    <row r="6585">
      <c r="B6585" s="17" t="s">
        <v>477</v>
      </c>
      <c r="K6585" s="18" t="s">
        <v>477</v>
      </c>
      <c r="N6585" s="17" t="str">
        <f>IFERROR(__xludf.DUMMYFUNCTION("""COMPUTED_VALUE"""),"")</f>
        <v/>
      </c>
      <c r="O6585" s="17"/>
    </row>
    <row r="6586">
      <c r="B6586" s="17" t="s">
        <v>477</v>
      </c>
      <c r="K6586" s="18" t="s">
        <v>477</v>
      </c>
      <c r="N6586" s="17" t="str">
        <f>IFERROR(__xludf.DUMMYFUNCTION("""COMPUTED_VALUE"""),"")</f>
        <v/>
      </c>
      <c r="O6586" s="17"/>
    </row>
    <row r="6587">
      <c r="B6587" s="17" t="s">
        <v>477</v>
      </c>
      <c r="K6587" s="18" t="s">
        <v>477</v>
      </c>
      <c r="N6587" s="17" t="str">
        <f>IFERROR(__xludf.DUMMYFUNCTION("""COMPUTED_VALUE"""),"")</f>
        <v/>
      </c>
      <c r="O6587" s="17"/>
    </row>
    <row r="6588">
      <c r="B6588" s="17" t="s">
        <v>477</v>
      </c>
      <c r="K6588" s="18" t="s">
        <v>477</v>
      </c>
      <c r="N6588" s="17" t="str">
        <f>IFERROR(__xludf.DUMMYFUNCTION("""COMPUTED_VALUE"""),"")</f>
        <v/>
      </c>
      <c r="O6588" s="17"/>
    </row>
    <row r="6589">
      <c r="B6589" s="17" t="s">
        <v>477</v>
      </c>
      <c r="K6589" s="18" t="s">
        <v>477</v>
      </c>
      <c r="N6589" s="17" t="str">
        <f>IFERROR(__xludf.DUMMYFUNCTION("""COMPUTED_VALUE"""),"")</f>
        <v/>
      </c>
      <c r="O6589" s="17"/>
    </row>
    <row r="6590">
      <c r="B6590" s="17" t="s">
        <v>477</v>
      </c>
      <c r="K6590" s="18" t="s">
        <v>477</v>
      </c>
      <c r="N6590" s="17" t="str">
        <f>IFERROR(__xludf.DUMMYFUNCTION("""COMPUTED_VALUE"""),"")</f>
        <v/>
      </c>
      <c r="O6590" s="17"/>
    </row>
    <row r="6591">
      <c r="B6591" s="17" t="s">
        <v>477</v>
      </c>
      <c r="K6591" s="18" t="s">
        <v>477</v>
      </c>
      <c r="N6591" s="17" t="str">
        <f>IFERROR(__xludf.DUMMYFUNCTION("""COMPUTED_VALUE"""),"")</f>
        <v/>
      </c>
      <c r="O6591" s="17"/>
    </row>
    <row r="6592">
      <c r="B6592" s="17" t="s">
        <v>477</v>
      </c>
      <c r="K6592" s="18" t="s">
        <v>477</v>
      </c>
      <c r="N6592" s="17" t="str">
        <f>IFERROR(__xludf.DUMMYFUNCTION("""COMPUTED_VALUE"""),"")</f>
        <v/>
      </c>
      <c r="O6592" s="17"/>
    </row>
    <row r="6593">
      <c r="B6593" s="17" t="s">
        <v>477</v>
      </c>
      <c r="K6593" s="18" t="s">
        <v>477</v>
      </c>
      <c r="N6593" s="17" t="str">
        <f>IFERROR(__xludf.DUMMYFUNCTION("""COMPUTED_VALUE"""),"")</f>
        <v/>
      </c>
      <c r="O6593" s="17"/>
    </row>
    <row r="6594">
      <c r="B6594" s="17" t="s">
        <v>477</v>
      </c>
      <c r="K6594" s="18" t="s">
        <v>477</v>
      </c>
      <c r="N6594" s="17" t="str">
        <f>IFERROR(__xludf.DUMMYFUNCTION("""COMPUTED_VALUE"""),"")</f>
        <v/>
      </c>
      <c r="O6594" s="17"/>
    </row>
    <row r="6595">
      <c r="B6595" s="17" t="s">
        <v>477</v>
      </c>
      <c r="K6595" s="18" t="s">
        <v>477</v>
      </c>
      <c r="N6595" s="17" t="str">
        <f>IFERROR(__xludf.DUMMYFUNCTION("""COMPUTED_VALUE"""),"")</f>
        <v/>
      </c>
      <c r="O6595" s="17"/>
    </row>
    <row r="6596">
      <c r="B6596" s="17" t="s">
        <v>477</v>
      </c>
      <c r="K6596" s="18" t="s">
        <v>477</v>
      </c>
      <c r="N6596" s="17" t="str">
        <f>IFERROR(__xludf.DUMMYFUNCTION("""COMPUTED_VALUE"""),"")</f>
        <v/>
      </c>
      <c r="O6596" s="17"/>
    </row>
    <row r="6597">
      <c r="B6597" s="17" t="s">
        <v>477</v>
      </c>
      <c r="K6597" s="18" t="s">
        <v>477</v>
      </c>
      <c r="N6597" s="17" t="str">
        <f>IFERROR(__xludf.DUMMYFUNCTION("""COMPUTED_VALUE"""),"")</f>
        <v/>
      </c>
      <c r="O6597" s="17"/>
    </row>
    <row r="6598">
      <c r="B6598" s="17" t="s">
        <v>477</v>
      </c>
      <c r="K6598" s="18" t="s">
        <v>477</v>
      </c>
      <c r="N6598" s="17" t="str">
        <f>IFERROR(__xludf.DUMMYFUNCTION("""COMPUTED_VALUE"""),"")</f>
        <v/>
      </c>
      <c r="O6598" s="17"/>
    </row>
    <row r="6599">
      <c r="B6599" s="17" t="s">
        <v>477</v>
      </c>
      <c r="K6599" s="18" t="s">
        <v>477</v>
      </c>
      <c r="N6599" s="17" t="str">
        <f>IFERROR(__xludf.DUMMYFUNCTION("""COMPUTED_VALUE"""),"")</f>
        <v/>
      </c>
      <c r="O6599" s="17"/>
    </row>
    <row r="6600">
      <c r="B6600" s="17" t="s">
        <v>477</v>
      </c>
      <c r="K6600" s="18" t="s">
        <v>477</v>
      </c>
      <c r="N6600" s="17" t="str">
        <f>IFERROR(__xludf.DUMMYFUNCTION("""COMPUTED_VALUE"""),"")</f>
        <v/>
      </c>
      <c r="O6600" s="17"/>
    </row>
    <row r="6601">
      <c r="B6601" s="17" t="s">
        <v>477</v>
      </c>
      <c r="K6601" s="18" t="s">
        <v>477</v>
      </c>
      <c r="N6601" s="17" t="str">
        <f>IFERROR(__xludf.DUMMYFUNCTION("""COMPUTED_VALUE"""),"")</f>
        <v/>
      </c>
      <c r="O6601" s="17"/>
    </row>
    <row r="6602">
      <c r="B6602" s="17" t="s">
        <v>477</v>
      </c>
      <c r="K6602" s="18" t="s">
        <v>477</v>
      </c>
      <c r="N6602" s="17" t="str">
        <f>IFERROR(__xludf.DUMMYFUNCTION("""COMPUTED_VALUE"""),"")</f>
        <v/>
      </c>
      <c r="O6602" s="17"/>
    </row>
    <row r="6603">
      <c r="B6603" s="17" t="s">
        <v>477</v>
      </c>
      <c r="K6603" s="18" t="s">
        <v>477</v>
      </c>
      <c r="N6603" s="17" t="str">
        <f>IFERROR(__xludf.DUMMYFUNCTION("""COMPUTED_VALUE"""),"")</f>
        <v/>
      </c>
      <c r="O6603" s="17"/>
    </row>
    <row r="6604">
      <c r="B6604" s="17" t="s">
        <v>477</v>
      </c>
      <c r="K6604" s="18" t="s">
        <v>477</v>
      </c>
      <c r="N6604" s="17" t="str">
        <f>IFERROR(__xludf.DUMMYFUNCTION("""COMPUTED_VALUE"""),"")</f>
        <v/>
      </c>
      <c r="O6604" s="17"/>
    </row>
    <row r="6605">
      <c r="B6605" s="17" t="s">
        <v>477</v>
      </c>
      <c r="K6605" s="18" t="s">
        <v>477</v>
      </c>
      <c r="N6605" s="17" t="str">
        <f>IFERROR(__xludf.DUMMYFUNCTION("""COMPUTED_VALUE"""),"")</f>
        <v/>
      </c>
      <c r="O6605" s="17"/>
    </row>
    <row r="6606">
      <c r="B6606" s="17" t="s">
        <v>477</v>
      </c>
      <c r="K6606" s="18" t="s">
        <v>477</v>
      </c>
      <c r="N6606" s="17" t="str">
        <f>IFERROR(__xludf.DUMMYFUNCTION("""COMPUTED_VALUE"""),"")</f>
        <v/>
      </c>
      <c r="O6606" s="17"/>
    </row>
    <row r="6607">
      <c r="B6607" s="17" t="s">
        <v>477</v>
      </c>
      <c r="K6607" s="18" t="s">
        <v>477</v>
      </c>
      <c r="N6607" s="17" t="str">
        <f>IFERROR(__xludf.DUMMYFUNCTION("""COMPUTED_VALUE"""),"")</f>
        <v/>
      </c>
      <c r="O6607" s="17"/>
    </row>
    <row r="6608">
      <c r="B6608" s="17" t="s">
        <v>477</v>
      </c>
      <c r="K6608" s="18" t="s">
        <v>477</v>
      </c>
      <c r="N6608" s="17" t="str">
        <f>IFERROR(__xludf.DUMMYFUNCTION("""COMPUTED_VALUE"""),"")</f>
        <v/>
      </c>
      <c r="O6608" s="17"/>
    </row>
    <row r="6609">
      <c r="B6609" s="17" t="s">
        <v>477</v>
      </c>
      <c r="K6609" s="18" t="s">
        <v>477</v>
      </c>
      <c r="N6609" s="17" t="str">
        <f>IFERROR(__xludf.DUMMYFUNCTION("""COMPUTED_VALUE"""),"")</f>
        <v/>
      </c>
      <c r="O6609" s="17"/>
    </row>
    <row r="6610">
      <c r="B6610" s="17" t="s">
        <v>477</v>
      </c>
      <c r="K6610" s="18" t="s">
        <v>477</v>
      </c>
      <c r="N6610" s="17" t="str">
        <f>IFERROR(__xludf.DUMMYFUNCTION("""COMPUTED_VALUE"""),"")</f>
        <v/>
      </c>
      <c r="O6610" s="17"/>
    </row>
    <row r="6611">
      <c r="B6611" s="17" t="s">
        <v>477</v>
      </c>
      <c r="K6611" s="18" t="s">
        <v>477</v>
      </c>
      <c r="N6611" s="17" t="str">
        <f>IFERROR(__xludf.DUMMYFUNCTION("""COMPUTED_VALUE"""),"")</f>
        <v/>
      </c>
      <c r="O6611" s="17"/>
    </row>
    <row r="6612">
      <c r="B6612" s="17" t="s">
        <v>477</v>
      </c>
      <c r="K6612" s="18" t="s">
        <v>477</v>
      </c>
      <c r="N6612" s="17" t="str">
        <f>IFERROR(__xludf.DUMMYFUNCTION("""COMPUTED_VALUE"""),"")</f>
        <v/>
      </c>
      <c r="O6612" s="17"/>
    </row>
    <row r="6613">
      <c r="B6613" s="17" t="s">
        <v>477</v>
      </c>
      <c r="K6613" s="18" t="s">
        <v>477</v>
      </c>
      <c r="N6613" s="17" t="str">
        <f>IFERROR(__xludf.DUMMYFUNCTION("""COMPUTED_VALUE"""),"")</f>
        <v/>
      </c>
      <c r="O6613" s="17"/>
    </row>
    <row r="6614">
      <c r="B6614" s="17" t="s">
        <v>477</v>
      </c>
      <c r="K6614" s="18" t="s">
        <v>477</v>
      </c>
      <c r="N6614" s="17" t="str">
        <f>IFERROR(__xludf.DUMMYFUNCTION("""COMPUTED_VALUE"""),"")</f>
        <v/>
      </c>
      <c r="O6614" s="17"/>
    </row>
    <row r="6615">
      <c r="B6615" s="17" t="s">
        <v>477</v>
      </c>
      <c r="K6615" s="18" t="s">
        <v>477</v>
      </c>
      <c r="N6615" s="17" t="str">
        <f>IFERROR(__xludf.DUMMYFUNCTION("""COMPUTED_VALUE"""),"")</f>
        <v/>
      </c>
      <c r="O6615" s="17"/>
    </row>
    <row r="6616">
      <c r="B6616" s="17" t="s">
        <v>477</v>
      </c>
      <c r="K6616" s="18" t="s">
        <v>477</v>
      </c>
      <c r="N6616" s="17" t="str">
        <f>IFERROR(__xludf.DUMMYFUNCTION("""COMPUTED_VALUE"""),"")</f>
        <v/>
      </c>
      <c r="O6616" s="17"/>
    </row>
    <row r="6617">
      <c r="B6617" s="17" t="s">
        <v>477</v>
      </c>
      <c r="K6617" s="18" t="s">
        <v>477</v>
      </c>
      <c r="N6617" s="17" t="str">
        <f>IFERROR(__xludf.DUMMYFUNCTION("""COMPUTED_VALUE"""),"")</f>
        <v/>
      </c>
      <c r="O6617" s="17"/>
    </row>
    <row r="6618">
      <c r="B6618" s="17" t="s">
        <v>477</v>
      </c>
      <c r="K6618" s="18" t="s">
        <v>477</v>
      </c>
      <c r="N6618" s="17" t="str">
        <f>IFERROR(__xludf.DUMMYFUNCTION("""COMPUTED_VALUE"""),"")</f>
        <v/>
      </c>
      <c r="O6618" s="17"/>
    </row>
    <row r="6619">
      <c r="B6619" s="17" t="s">
        <v>477</v>
      </c>
      <c r="K6619" s="18" t="s">
        <v>477</v>
      </c>
      <c r="N6619" s="17" t="str">
        <f>IFERROR(__xludf.DUMMYFUNCTION("""COMPUTED_VALUE"""),"")</f>
        <v/>
      </c>
      <c r="O6619" s="17"/>
    </row>
    <row r="6620">
      <c r="B6620" s="17" t="s">
        <v>477</v>
      </c>
      <c r="K6620" s="18" t="s">
        <v>477</v>
      </c>
      <c r="N6620" s="17" t="str">
        <f>IFERROR(__xludf.DUMMYFUNCTION("""COMPUTED_VALUE"""),"")</f>
        <v/>
      </c>
      <c r="O6620" s="17"/>
    </row>
    <row r="6621">
      <c r="B6621" s="17" t="s">
        <v>477</v>
      </c>
      <c r="K6621" s="18" t="s">
        <v>477</v>
      </c>
      <c r="N6621" s="17" t="str">
        <f>IFERROR(__xludf.DUMMYFUNCTION("""COMPUTED_VALUE"""),"")</f>
        <v/>
      </c>
      <c r="O6621" s="17"/>
    </row>
    <row r="6622">
      <c r="B6622" s="17" t="s">
        <v>477</v>
      </c>
      <c r="K6622" s="18" t="s">
        <v>477</v>
      </c>
      <c r="N6622" s="17" t="str">
        <f>IFERROR(__xludf.DUMMYFUNCTION("""COMPUTED_VALUE"""),"")</f>
        <v/>
      </c>
      <c r="O6622" s="17"/>
    </row>
    <row r="6623">
      <c r="B6623" s="17" t="s">
        <v>477</v>
      </c>
      <c r="K6623" s="18" t="s">
        <v>477</v>
      </c>
      <c r="N6623" s="17" t="str">
        <f>IFERROR(__xludf.DUMMYFUNCTION("""COMPUTED_VALUE"""),"")</f>
        <v/>
      </c>
      <c r="O6623" s="17"/>
    </row>
    <row r="6624">
      <c r="B6624" s="17" t="s">
        <v>477</v>
      </c>
      <c r="K6624" s="18" t="s">
        <v>477</v>
      </c>
      <c r="N6624" s="17" t="str">
        <f>IFERROR(__xludf.DUMMYFUNCTION("""COMPUTED_VALUE"""),"")</f>
        <v/>
      </c>
      <c r="O6624" s="17"/>
    </row>
    <row r="6625">
      <c r="B6625" s="17" t="s">
        <v>477</v>
      </c>
      <c r="K6625" s="18" t="s">
        <v>477</v>
      </c>
      <c r="N6625" s="17" t="str">
        <f>IFERROR(__xludf.DUMMYFUNCTION("""COMPUTED_VALUE"""),"")</f>
        <v/>
      </c>
      <c r="O6625" s="17"/>
    </row>
    <row r="6626">
      <c r="B6626" s="17" t="s">
        <v>477</v>
      </c>
      <c r="K6626" s="18" t="s">
        <v>477</v>
      </c>
      <c r="N6626" s="17" t="str">
        <f>IFERROR(__xludf.DUMMYFUNCTION("""COMPUTED_VALUE"""),"")</f>
        <v/>
      </c>
      <c r="O6626" s="17"/>
    </row>
    <row r="6627">
      <c r="B6627" s="17" t="s">
        <v>477</v>
      </c>
      <c r="K6627" s="18" t="s">
        <v>477</v>
      </c>
      <c r="N6627" s="17" t="str">
        <f>IFERROR(__xludf.DUMMYFUNCTION("""COMPUTED_VALUE"""),"")</f>
        <v/>
      </c>
      <c r="O6627" s="17"/>
    </row>
    <row r="6628">
      <c r="B6628" s="17" t="s">
        <v>477</v>
      </c>
      <c r="K6628" s="18" t="s">
        <v>477</v>
      </c>
      <c r="N6628" s="17" t="str">
        <f>IFERROR(__xludf.DUMMYFUNCTION("""COMPUTED_VALUE"""),"")</f>
        <v/>
      </c>
      <c r="O6628" s="17"/>
    </row>
    <row r="6629">
      <c r="B6629" s="17" t="s">
        <v>477</v>
      </c>
      <c r="K6629" s="18" t="s">
        <v>477</v>
      </c>
      <c r="N6629" s="17" t="str">
        <f>IFERROR(__xludf.DUMMYFUNCTION("""COMPUTED_VALUE"""),"")</f>
        <v/>
      </c>
      <c r="O6629" s="17"/>
    </row>
    <row r="6630">
      <c r="B6630" s="17" t="s">
        <v>477</v>
      </c>
      <c r="K6630" s="18" t="s">
        <v>477</v>
      </c>
      <c r="N6630" s="17" t="str">
        <f>IFERROR(__xludf.DUMMYFUNCTION("""COMPUTED_VALUE"""),"")</f>
        <v/>
      </c>
      <c r="O6630" s="17"/>
    </row>
    <row r="6631">
      <c r="B6631" s="17" t="s">
        <v>477</v>
      </c>
      <c r="K6631" s="18" t="s">
        <v>477</v>
      </c>
      <c r="N6631" s="17" t="str">
        <f>IFERROR(__xludf.DUMMYFUNCTION("""COMPUTED_VALUE"""),"")</f>
        <v/>
      </c>
      <c r="O6631" s="17"/>
    </row>
    <row r="6632">
      <c r="B6632" s="17" t="s">
        <v>477</v>
      </c>
      <c r="K6632" s="18" t="s">
        <v>477</v>
      </c>
      <c r="N6632" s="17" t="str">
        <f>IFERROR(__xludf.DUMMYFUNCTION("""COMPUTED_VALUE"""),"")</f>
        <v/>
      </c>
      <c r="O6632" s="17"/>
    </row>
    <row r="6633">
      <c r="B6633" s="17" t="s">
        <v>477</v>
      </c>
      <c r="K6633" s="18" t="s">
        <v>477</v>
      </c>
      <c r="N6633" s="17" t="str">
        <f>IFERROR(__xludf.DUMMYFUNCTION("""COMPUTED_VALUE"""),"")</f>
        <v/>
      </c>
      <c r="O6633" s="17"/>
    </row>
    <row r="6634">
      <c r="B6634" s="17" t="s">
        <v>477</v>
      </c>
      <c r="K6634" s="18" t="s">
        <v>477</v>
      </c>
      <c r="N6634" s="17" t="str">
        <f>IFERROR(__xludf.DUMMYFUNCTION("""COMPUTED_VALUE"""),"")</f>
        <v/>
      </c>
      <c r="O6634" s="17"/>
    </row>
    <row r="6635">
      <c r="B6635" s="17" t="s">
        <v>477</v>
      </c>
      <c r="K6635" s="18" t="s">
        <v>477</v>
      </c>
      <c r="N6635" s="17" t="str">
        <f>IFERROR(__xludf.DUMMYFUNCTION("""COMPUTED_VALUE"""),"")</f>
        <v/>
      </c>
      <c r="O6635" s="17"/>
    </row>
    <row r="6636">
      <c r="B6636" s="17" t="s">
        <v>477</v>
      </c>
      <c r="K6636" s="18" t="s">
        <v>477</v>
      </c>
      <c r="N6636" s="17" t="str">
        <f>IFERROR(__xludf.DUMMYFUNCTION("""COMPUTED_VALUE"""),"")</f>
        <v/>
      </c>
      <c r="O6636" s="17"/>
    </row>
    <row r="6637">
      <c r="B6637" s="17" t="s">
        <v>477</v>
      </c>
      <c r="K6637" s="18" t="s">
        <v>477</v>
      </c>
      <c r="N6637" s="17" t="str">
        <f>IFERROR(__xludf.DUMMYFUNCTION("""COMPUTED_VALUE"""),"")</f>
        <v/>
      </c>
      <c r="O6637" s="17"/>
    </row>
    <row r="6638">
      <c r="B6638" s="17" t="s">
        <v>477</v>
      </c>
      <c r="K6638" s="18" t="s">
        <v>477</v>
      </c>
      <c r="N6638" s="17" t="str">
        <f>IFERROR(__xludf.DUMMYFUNCTION("""COMPUTED_VALUE"""),"")</f>
        <v/>
      </c>
      <c r="O6638" s="17"/>
    </row>
    <row r="6639">
      <c r="B6639" s="17" t="s">
        <v>477</v>
      </c>
      <c r="K6639" s="18" t="s">
        <v>477</v>
      </c>
      <c r="N6639" s="17" t="str">
        <f>IFERROR(__xludf.DUMMYFUNCTION("""COMPUTED_VALUE"""),"")</f>
        <v/>
      </c>
      <c r="O6639" s="17"/>
    </row>
    <row r="6640">
      <c r="B6640" s="17" t="s">
        <v>477</v>
      </c>
      <c r="K6640" s="18" t="s">
        <v>477</v>
      </c>
      <c r="N6640" s="17" t="str">
        <f>IFERROR(__xludf.DUMMYFUNCTION("""COMPUTED_VALUE"""),"")</f>
        <v/>
      </c>
      <c r="O6640" s="17"/>
    </row>
    <row r="6641">
      <c r="B6641" s="17" t="s">
        <v>477</v>
      </c>
      <c r="K6641" s="18" t="s">
        <v>477</v>
      </c>
      <c r="N6641" s="17" t="str">
        <f>IFERROR(__xludf.DUMMYFUNCTION("""COMPUTED_VALUE"""),"")</f>
        <v/>
      </c>
      <c r="O6641" s="17"/>
    </row>
    <row r="6642">
      <c r="B6642" s="17" t="s">
        <v>477</v>
      </c>
      <c r="K6642" s="18" t="s">
        <v>477</v>
      </c>
      <c r="N6642" s="17" t="str">
        <f>IFERROR(__xludf.DUMMYFUNCTION("""COMPUTED_VALUE"""),"")</f>
        <v/>
      </c>
      <c r="O6642" s="17"/>
    </row>
    <row r="6643">
      <c r="B6643" s="17" t="s">
        <v>477</v>
      </c>
      <c r="K6643" s="18" t="s">
        <v>477</v>
      </c>
      <c r="N6643" s="17" t="str">
        <f>IFERROR(__xludf.DUMMYFUNCTION("""COMPUTED_VALUE"""),"")</f>
        <v/>
      </c>
      <c r="O6643" s="17"/>
    </row>
    <row r="6644">
      <c r="B6644" s="17" t="s">
        <v>477</v>
      </c>
      <c r="K6644" s="18" t="s">
        <v>477</v>
      </c>
      <c r="N6644" s="17" t="str">
        <f>IFERROR(__xludf.DUMMYFUNCTION("""COMPUTED_VALUE"""),"")</f>
        <v/>
      </c>
      <c r="O6644" s="17"/>
    </row>
    <row r="6645">
      <c r="B6645" s="17" t="s">
        <v>477</v>
      </c>
      <c r="K6645" s="18" t="s">
        <v>477</v>
      </c>
      <c r="N6645" s="17" t="str">
        <f>IFERROR(__xludf.DUMMYFUNCTION("""COMPUTED_VALUE"""),"")</f>
        <v/>
      </c>
      <c r="O6645" s="17"/>
    </row>
    <row r="6646">
      <c r="B6646" s="17" t="s">
        <v>477</v>
      </c>
      <c r="K6646" s="18" t="s">
        <v>477</v>
      </c>
      <c r="N6646" s="17" t="str">
        <f>IFERROR(__xludf.DUMMYFUNCTION("""COMPUTED_VALUE"""),"")</f>
        <v/>
      </c>
      <c r="O6646" s="17"/>
    </row>
    <row r="6647">
      <c r="B6647" s="17" t="s">
        <v>477</v>
      </c>
      <c r="K6647" s="18" t="s">
        <v>477</v>
      </c>
      <c r="N6647" s="17" t="str">
        <f>IFERROR(__xludf.DUMMYFUNCTION("""COMPUTED_VALUE"""),"")</f>
        <v/>
      </c>
      <c r="O6647" s="17"/>
    </row>
    <row r="6648">
      <c r="B6648" s="17" t="s">
        <v>477</v>
      </c>
      <c r="K6648" s="18" t="s">
        <v>477</v>
      </c>
      <c r="N6648" s="17" t="str">
        <f>IFERROR(__xludf.DUMMYFUNCTION("""COMPUTED_VALUE"""),"")</f>
        <v/>
      </c>
      <c r="O6648" s="17"/>
    </row>
    <row r="6649">
      <c r="B6649" s="17" t="s">
        <v>477</v>
      </c>
      <c r="K6649" s="18" t="s">
        <v>477</v>
      </c>
      <c r="N6649" s="17" t="str">
        <f>IFERROR(__xludf.DUMMYFUNCTION("""COMPUTED_VALUE"""),"")</f>
        <v/>
      </c>
      <c r="O6649" s="17"/>
    </row>
    <row r="6650">
      <c r="B6650" s="17" t="s">
        <v>477</v>
      </c>
      <c r="K6650" s="18" t="s">
        <v>477</v>
      </c>
      <c r="N6650" s="17" t="str">
        <f>IFERROR(__xludf.DUMMYFUNCTION("""COMPUTED_VALUE"""),"")</f>
        <v/>
      </c>
      <c r="O6650" s="17"/>
    </row>
    <row r="6651">
      <c r="B6651" s="17" t="s">
        <v>477</v>
      </c>
      <c r="K6651" s="18" t="s">
        <v>477</v>
      </c>
      <c r="N6651" s="17" t="str">
        <f>IFERROR(__xludf.DUMMYFUNCTION("""COMPUTED_VALUE"""),"")</f>
        <v/>
      </c>
      <c r="O6651" s="17"/>
    </row>
    <row r="6652">
      <c r="B6652" s="17" t="s">
        <v>477</v>
      </c>
      <c r="K6652" s="18" t="s">
        <v>477</v>
      </c>
      <c r="N6652" s="17" t="str">
        <f>IFERROR(__xludf.DUMMYFUNCTION("""COMPUTED_VALUE"""),"")</f>
        <v/>
      </c>
      <c r="O6652" s="17"/>
    </row>
    <row r="6653">
      <c r="B6653" s="17" t="s">
        <v>477</v>
      </c>
      <c r="K6653" s="18" t="s">
        <v>477</v>
      </c>
      <c r="N6653" s="17" t="str">
        <f>IFERROR(__xludf.DUMMYFUNCTION("""COMPUTED_VALUE"""),"")</f>
        <v/>
      </c>
      <c r="O6653" s="17"/>
    </row>
    <row r="6654">
      <c r="B6654" s="17" t="s">
        <v>477</v>
      </c>
      <c r="K6654" s="18" t="s">
        <v>477</v>
      </c>
      <c r="N6654" s="17" t="str">
        <f>IFERROR(__xludf.DUMMYFUNCTION("""COMPUTED_VALUE"""),"")</f>
        <v/>
      </c>
      <c r="O6654" s="17"/>
    </row>
    <row r="6655">
      <c r="B6655" s="17" t="s">
        <v>477</v>
      </c>
      <c r="K6655" s="18" t="s">
        <v>477</v>
      </c>
      <c r="N6655" s="17" t="str">
        <f>IFERROR(__xludf.DUMMYFUNCTION("""COMPUTED_VALUE"""),"")</f>
        <v/>
      </c>
      <c r="O6655" s="17"/>
    </row>
    <row r="6656">
      <c r="B6656" s="17" t="s">
        <v>477</v>
      </c>
      <c r="K6656" s="18" t="s">
        <v>477</v>
      </c>
      <c r="N6656" s="17" t="str">
        <f>IFERROR(__xludf.DUMMYFUNCTION("""COMPUTED_VALUE"""),"")</f>
        <v/>
      </c>
      <c r="O6656" s="17"/>
    </row>
    <row r="6657">
      <c r="B6657" s="17" t="s">
        <v>477</v>
      </c>
      <c r="K6657" s="18" t="s">
        <v>477</v>
      </c>
      <c r="N6657" s="17" t="str">
        <f>IFERROR(__xludf.DUMMYFUNCTION("""COMPUTED_VALUE"""),"")</f>
        <v/>
      </c>
      <c r="O6657" s="17"/>
    </row>
    <row r="6658">
      <c r="B6658" s="17" t="s">
        <v>477</v>
      </c>
      <c r="K6658" s="18" t="s">
        <v>477</v>
      </c>
      <c r="N6658" s="17" t="str">
        <f>IFERROR(__xludf.DUMMYFUNCTION("""COMPUTED_VALUE"""),"")</f>
        <v/>
      </c>
      <c r="O6658" s="17"/>
    </row>
    <row r="6659">
      <c r="B6659" s="17" t="s">
        <v>477</v>
      </c>
      <c r="K6659" s="18" t="s">
        <v>477</v>
      </c>
      <c r="N6659" s="17" t="str">
        <f>IFERROR(__xludf.DUMMYFUNCTION("""COMPUTED_VALUE"""),"")</f>
        <v/>
      </c>
      <c r="O6659" s="17"/>
    </row>
    <row r="6660">
      <c r="B6660" s="17" t="s">
        <v>477</v>
      </c>
      <c r="K6660" s="18" t="s">
        <v>477</v>
      </c>
      <c r="N6660" s="17" t="str">
        <f>IFERROR(__xludf.DUMMYFUNCTION("""COMPUTED_VALUE"""),"")</f>
        <v/>
      </c>
      <c r="O6660" s="17"/>
    </row>
    <row r="6661">
      <c r="B6661" s="17" t="s">
        <v>477</v>
      </c>
      <c r="K6661" s="18" t="s">
        <v>477</v>
      </c>
      <c r="N6661" s="17" t="str">
        <f>IFERROR(__xludf.DUMMYFUNCTION("""COMPUTED_VALUE"""),"")</f>
        <v/>
      </c>
      <c r="O6661" s="17"/>
    </row>
    <row r="6662">
      <c r="B6662" s="17" t="s">
        <v>477</v>
      </c>
      <c r="K6662" s="18" t="s">
        <v>477</v>
      </c>
      <c r="N6662" s="17" t="str">
        <f>IFERROR(__xludf.DUMMYFUNCTION("""COMPUTED_VALUE"""),"")</f>
        <v/>
      </c>
      <c r="O6662" s="17"/>
    </row>
    <row r="6663">
      <c r="B6663" s="17" t="s">
        <v>477</v>
      </c>
      <c r="K6663" s="18" t="s">
        <v>477</v>
      </c>
      <c r="N6663" s="17" t="str">
        <f>IFERROR(__xludf.DUMMYFUNCTION("""COMPUTED_VALUE"""),"")</f>
        <v/>
      </c>
      <c r="O6663" s="17"/>
    </row>
    <row r="6664">
      <c r="B6664" s="17" t="s">
        <v>477</v>
      </c>
      <c r="K6664" s="18" t="s">
        <v>477</v>
      </c>
      <c r="N6664" s="17" t="str">
        <f>IFERROR(__xludf.DUMMYFUNCTION("""COMPUTED_VALUE"""),"")</f>
        <v/>
      </c>
      <c r="O6664" s="17"/>
    </row>
    <row r="6665">
      <c r="B6665" s="17" t="s">
        <v>477</v>
      </c>
      <c r="K6665" s="18" t="s">
        <v>477</v>
      </c>
      <c r="N6665" s="17" t="str">
        <f>IFERROR(__xludf.DUMMYFUNCTION("""COMPUTED_VALUE"""),"")</f>
        <v/>
      </c>
      <c r="O6665" s="17"/>
    </row>
    <row r="6666">
      <c r="B6666" s="17" t="s">
        <v>477</v>
      </c>
      <c r="K6666" s="18" t="s">
        <v>477</v>
      </c>
      <c r="N6666" s="17" t="str">
        <f>IFERROR(__xludf.DUMMYFUNCTION("""COMPUTED_VALUE"""),"")</f>
        <v/>
      </c>
      <c r="O6666" s="17"/>
    </row>
    <row r="6667">
      <c r="B6667" s="17" t="s">
        <v>477</v>
      </c>
      <c r="K6667" s="18" t="s">
        <v>477</v>
      </c>
      <c r="N6667" s="17" t="str">
        <f>IFERROR(__xludf.DUMMYFUNCTION("""COMPUTED_VALUE"""),"")</f>
        <v/>
      </c>
      <c r="O6667" s="17"/>
    </row>
    <row r="6668">
      <c r="B6668" s="17" t="s">
        <v>477</v>
      </c>
      <c r="K6668" s="18" t="s">
        <v>477</v>
      </c>
      <c r="N6668" s="17" t="str">
        <f>IFERROR(__xludf.DUMMYFUNCTION("""COMPUTED_VALUE"""),"")</f>
        <v/>
      </c>
      <c r="O6668" s="17"/>
    </row>
    <row r="6669">
      <c r="B6669" s="17" t="s">
        <v>477</v>
      </c>
      <c r="K6669" s="18" t="s">
        <v>477</v>
      </c>
      <c r="N6669" s="17" t="str">
        <f>IFERROR(__xludf.DUMMYFUNCTION("""COMPUTED_VALUE"""),"")</f>
        <v/>
      </c>
      <c r="O6669" s="17"/>
    </row>
    <row r="6670">
      <c r="B6670" s="17" t="s">
        <v>477</v>
      </c>
      <c r="K6670" s="18" t="s">
        <v>477</v>
      </c>
      <c r="N6670" s="17" t="str">
        <f>IFERROR(__xludf.DUMMYFUNCTION("""COMPUTED_VALUE"""),"")</f>
        <v/>
      </c>
      <c r="O6670" s="17"/>
    </row>
    <row r="6671">
      <c r="B6671" s="17" t="s">
        <v>477</v>
      </c>
      <c r="K6671" s="18" t="s">
        <v>477</v>
      </c>
      <c r="N6671" s="17" t="str">
        <f>IFERROR(__xludf.DUMMYFUNCTION("""COMPUTED_VALUE"""),"")</f>
        <v/>
      </c>
      <c r="O6671" s="17"/>
    </row>
    <row r="6672">
      <c r="B6672" s="17" t="s">
        <v>477</v>
      </c>
      <c r="K6672" s="18" t="s">
        <v>477</v>
      </c>
      <c r="N6672" s="17" t="str">
        <f>IFERROR(__xludf.DUMMYFUNCTION("""COMPUTED_VALUE"""),"")</f>
        <v/>
      </c>
      <c r="O6672" s="17"/>
    </row>
    <row r="6673">
      <c r="B6673" s="17" t="s">
        <v>477</v>
      </c>
      <c r="K6673" s="18" t="s">
        <v>477</v>
      </c>
      <c r="N6673" s="17" t="str">
        <f>IFERROR(__xludf.DUMMYFUNCTION("""COMPUTED_VALUE"""),"")</f>
        <v/>
      </c>
      <c r="O6673" s="17"/>
    </row>
    <row r="6674">
      <c r="B6674" s="17" t="s">
        <v>477</v>
      </c>
      <c r="K6674" s="18" t="s">
        <v>477</v>
      </c>
      <c r="N6674" s="17" t="str">
        <f>IFERROR(__xludf.DUMMYFUNCTION("""COMPUTED_VALUE"""),"")</f>
        <v/>
      </c>
      <c r="O6674" s="17"/>
    </row>
    <row r="6675">
      <c r="B6675" s="17" t="s">
        <v>477</v>
      </c>
      <c r="K6675" s="18" t="s">
        <v>477</v>
      </c>
      <c r="N6675" s="17" t="str">
        <f>IFERROR(__xludf.DUMMYFUNCTION("""COMPUTED_VALUE"""),"")</f>
        <v/>
      </c>
      <c r="O6675" s="17"/>
    </row>
    <row r="6676">
      <c r="B6676" s="17" t="s">
        <v>477</v>
      </c>
      <c r="K6676" s="18" t="s">
        <v>477</v>
      </c>
      <c r="N6676" s="17" t="str">
        <f>IFERROR(__xludf.DUMMYFUNCTION("""COMPUTED_VALUE"""),"")</f>
        <v/>
      </c>
      <c r="O6676" s="17"/>
    </row>
    <row r="6677">
      <c r="B6677" s="17" t="s">
        <v>477</v>
      </c>
      <c r="K6677" s="18" t="s">
        <v>477</v>
      </c>
      <c r="N6677" s="17" t="str">
        <f>IFERROR(__xludf.DUMMYFUNCTION("""COMPUTED_VALUE"""),"")</f>
        <v/>
      </c>
      <c r="O6677" s="17"/>
    </row>
    <row r="6678">
      <c r="B6678" s="17" t="s">
        <v>477</v>
      </c>
      <c r="K6678" s="18" t="s">
        <v>477</v>
      </c>
      <c r="N6678" s="17" t="str">
        <f>IFERROR(__xludf.DUMMYFUNCTION("""COMPUTED_VALUE"""),"")</f>
        <v/>
      </c>
      <c r="O6678" s="17"/>
    </row>
    <row r="6679">
      <c r="B6679" s="17" t="s">
        <v>477</v>
      </c>
      <c r="K6679" s="18" t="s">
        <v>477</v>
      </c>
      <c r="N6679" s="17" t="str">
        <f>IFERROR(__xludf.DUMMYFUNCTION("""COMPUTED_VALUE"""),"")</f>
        <v/>
      </c>
      <c r="O6679" s="17"/>
    </row>
    <row r="6680">
      <c r="B6680" s="17" t="s">
        <v>477</v>
      </c>
      <c r="K6680" s="18" t="s">
        <v>477</v>
      </c>
      <c r="N6680" s="17" t="str">
        <f>IFERROR(__xludf.DUMMYFUNCTION("""COMPUTED_VALUE"""),"")</f>
        <v/>
      </c>
      <c r="O6680" s="17"/>
    </row>
    <row r="6681">
      <c r="B6681" s="17" t="s">
        <v>477</v>
      </c>
      <c r="K6681" s="18" t="s">
        <v>477</v>
      </c>
      <c r="N6681" s="17" t="str">
        <f>IFERROR(__xludf.DUMMYFUNCTION("""COMPUTED_VALUE"""),"")</f>
        <v/>
      </c>
      <c r="O6681" s="17"/>
    </row>
    <row r="6682">
      <c r="B6682" s="17" t="s">
        <v>477</v>
      </c>
      <c r="K6682" s="18" t="s">
        <v>477</v>
      </c>
      <c r="N6682" s="17" t="str">
        <f>IFERROR(__xludf.DUMMYFUNCTION("""COMPUTED_VALUE"""),"")</f>
        <v/>
      </c>
      <c r="O6682" s="17"/>
    </row>
    <row r="6683">
      <c r="B6683" s="17" t="s">
        <v>477</v>
      </c>
      <c r="K6683" s="18" t="s">
        <v>477</v>
      </c>
      <c r="N6683" s="17" t="str">
        <f>IFERROR(__xludf.DUMMYFUNCTION("""COMPUTED_VALUE"""),"")</f>
        <v/>
      </c>
      <c r="O6683" s="17"/>
    </row>
    <row r="6684">
      <c r="B6684" s="17" t="s">
        <v>477</v>
      </c>
      <c r="K6684" s="18" t="s">
        <v>477</v>
      </c>
      <c r="N6684" s="17" t="str">
        <f>IFERROR(__xludf.DUMMYFUNCTION("""COMPUTED_VALUE"""),"")</f>
        <v/>
      </c>
      <c r="O6684" s="17"/>
    </row>
    <row r="6685">
      <c r="B6685" s="17" t="s">
        <v>477</v>
      </c>
      <c r="K6685" s="18" t="s">
        <v>477</v>
      </c>
      <c r="N6685" s="17" t="str">
        <f>IFERROR(__xludf.DUMMYFUNCTION("""COMPUTED_VALUE"""),"")</f>
        <v/>
      </c>
      <c r="O6685" s="17"/>
    </row>
    <row r="6686">
      <c r="B6686" s="17" t="s">
        <v>477</v>
      </c>
      <c r="K6686" s="18" t="s">
        <v>477</v>
      </c>
      <c r="N6686" s="17" t="str">
        <f>IFERROR(__xludf.DUMMYFUNCTION("""COMPUTED_VALUE"""),"")</f>
        <v/>
      </c>
      <c r="O6686" s="17"/>
    </row>
    <row r="6687">
      <c r="B6687" s="17" t="s">
        <v>477</v>
      </c>
      <c r="K6687" s="18" t="s">
        <v>477</v>
      </c>
      <c r="N6687" s="17" t="str">
        <f>IFERROR(__xludf.DUMMYFUNCTION("""COMPUTED_VALUE"""),"")</f>
        <v/>
      </c>
      <c r="O6687" s="17"/>
    </row>
    <row r="6688">
      <c r="B6688" s="17" t="s">
        <v>477</v>
      </c>
      <c r="K6688" s="18" t="s">
        <v>477</v>
      </c>
      <c r="N6688" s="17" t="str">
        <f>IFERROR(__xludf.DUMMYFUNCTION("""COMPUTED_VALUE"""),"")</f>
        <v/>
      </c>
      <c r="O6688" s="17"/>
    </row>
    <row r="6689">
      <c r="B6689" s="17" t="s">
        <v>477</v>
      </c>
      <c r="K6689" s="18" t="s">
        <v>477</v>
      </c>
      <c r="N6689" s="17" t="str">
        <f>IFERROR(__xludf.DUMMYFUNCTION("""COMPUTED_VALUE"""),"")</f>
        <v/>
      </c>
      <c r="O6689" s="17"/>
    </row>
    <row r="6690">
      <c r="B6690" s="17" t="s">
        <v>477</v>
      </c>
      <c r="K6690" s="18" t="s">
        <v>477</v>
      </c>
      <c r="N6690" s="17" t="str">
        <f>IFERROR(__xludf.DUMMYFUNCTION("""COMPUTED_VALUE"""),"")</f>
        <v/>
      </c>
      <c r="O6690" s="17"/>
    </row>
    <row r="6691">
      <c r="B6691" s="17" t="s">
        <v>477</v>
      </c>
      <c r="K6691" s="18" t="s">
        <v>477</v>
      </c>
      <c r="N6691" s="17" t="str">
        <f>IFERROR(__xludf.DUMMYFUNCTION("""COMPUTED_VALUE"""),"")</f>
        <v/>
      </c>
      <c r="O6691" s="17"/>
    </row>
    <row r="6692">
      <c r="B6692" s="17" t="s">
        <v>477</v>
      </c>
      <c r="K6692" s="18" t="s">
        <v>477</v>
      </c>
      <c r="N6692" s="17" t="str">
        <f>IFERROR(__xludf.DUMMYFUNCTION("""COMPUTED_VALUE"""),"")</f>
        <v/>
      </c>
      <c r="O6692" s="17"/>
    </row>
    <row r="6693">
      <c r="B6693" s="17" t="s">
        <v>477</v>
      </c>
      <c r="K6693" s="18" t="s">
        <v>477</v>
      </c>
      <c r="N6693" s="17" t="str">
        <f>IFERROR(__xludf.DUMMYFUNCTION("""COMPUTED_VALUE"""),"")</f>
        <v/>
      </c>
      <c r="O6693" s="17"/>
    </row>
    <row r="6694">
      <c r="B6694" s="17" t="s">
        <v>477</v>
      </c>
      <c r="K6694" s="18" t="s">
        <v>477</v>
      </c>
      <c r="N6694" s="17" t="str">
        <f>IFERROR(__xludf.DUMMYFUNCTION("""COMPUTED_VALUE"""),"")</f>
        <v/>
      </c>
      <c r="O6694" s="17"/>
    </row>
    <row r="6695">
      <c r="B6695" s="17" t="s">
        <v>477</v>
      </c>
      <c r="K6695" s="18" t="s">
        <v>477</v>
      </c>
      <c r="N6695" s="17" t="str">
        <f>IFERROR(__xludf.DUMMYFUNCTION("""COMPUTED_VALUE"""),"")</f>
        <v/>
      </c>
      <c r="O6695" s="17"/>
    </row>
    <row r="6696">
      <c r="B6696" s="17" t="s">
        <v>477</v>
      </c>
      <c r="K6696" s="18" t="s">
        <v>477</v>
      </c>
      <c r="N6696" s="17" t="str">
        <f>IFERROR(__xludf.DUMMYFUNCTION("""COMPUTED_VALUE"""),"")</f>
        <v/>
      </c>
      <c r="O6696" s="17"/>
    </row>
    <row r="6697">
      <c r="B6697" s="17" t="s">
        <v>477</v>
      </c>
      <c r="K6697" s="18" t="s">
        <v>477</v>
      </c>
      <c r="N6697" s="17" t="str">
        <f>IFERROR(__xludf.DUMMYFUNCTION("""COMPUTED_VALUE"""),"")</f>
        <v/>
      </c>
      <c r="O6697" s="17"/>
    </row>
    <row r="6698">
      <c r="B6698" s="17" t="s">
        <v>477</v>
      </c>
      <c r="K6698" s="18" t="s">
        <v>477</v>
      </c>
      <c r="N6698" s="17" t="str">
        <f>IFERROR(__xludf.DUMMYFUNCTION("""COMPUTED_VALUE"""),"")</f>
        <v/>
      </c>
      <c r="O6698" s="17"/>
    </row>
    <row r="6699">
      <c r="B6699" s="17" t="s">
        <v>477</v>
      </c>
      <c r="K6699" s="18" t="s">
        <v>477</v>
      </c>
      <c r="N6699" s="17" t="str">
        <f>IFERROR(__xludf.DUMMYFUNCTION("""COMPUTED_VALUE"""),"")</f>
        <v/>
      </c>
      <c r="O6699" s="17"/>
    </row>
    <row r="6700">
      <c r="B6700" s="17" t="s">
        <v>477</v>
      </c>
      <c r="K6700" s="18" t="s">
        <v>477</v>
      </c>
      <c r="N6700" s="17" t="str">
        <f>IFERROR(__xludf.DUMMYFUNCTION("""COMPUTED_VALUE"""),"")</f>
        <v/>
      </c>
      <c r="O6700" s="17"/>
    </row>
    <row r="6701">
      <c r="B6701" s="17" t="s">
        <v>477</v>
      </c>
      <c r="K6701" s="18" t="s">
        <v>477</v>
      </c>
      <c r="N6701" s="17" t="str">
        <f>IFERROR(__xludf.DUMMYFUNCTION("""COMPUTED_VALUE"""),"")</f>
        <v/>
      </c>
      <c r="O6701" s="17"/>
    </row>
    <row r="6702">
      <c r="B6702" s="17" t="s">
        <v>477</v>
      </c>
      <c r="K6702" s="18" t="s">
        <v>477</v>
      </c>
      <c r="N6702" s="17" t="str">
        <f>IFERROR(__xludf.DUMMYFUNCTION("""COMPUTED_VALUE"""),"")</f>
        <v/>
      </c>
      <c r="O6702" s="17"/>
    </row>
    <row r="6703">
      <c r="B6703" s="17" t="s">
        <v>477</v>
      </c>
      <c r="K6703" s="18" t="s">
        <v>477</v>
      </c>
      <c r="N6703" s="17" t="str">
        <f>IFERROR(__xludf.DUMMYFUNCTION("""COMPUTED_VALUE"""),"")</f>
        <v/>
      </c>
      <c r="O6703" s="17"/>
    </row>
    <row r="6704">
      <c r="B6704" s="17" t="s">
        <v>477</v>
      </c>
      <c r="K6704" s="18" t="s">
        <v>477</v>
      </c>
      <c r="N6704" s="17" t="str">
        <f>IFERROR(__xludf.DUMMYFUNCTION("""COMPUTED_VALUE"""),"")</f>
        <v/>
      </c>
      <c r="O6704" s="17"/>
    </row>
    <row r="6705">
      <c r="B6705" s="17" t="s">
        <v>477</v>
      </c>
      <c r="K6705" s="18" t="s">
        <v>477</v>
      </c>
      <c r="N6705" s="17" t="str">
        <f>IFERROR(__xludf.DUMMYFUNCTION("""COMPUTED_VALUE"""),"")</f>
        <v/>
      </c>
      <c r="O6705" s="17"/>
    </row>
    <row r="6706">
      <c r="B6706" s="17" t="s">
        <v>477</v>
      </c>
      <c r="K6706" s="18" t="s">
        <v>477</v>
      </c>
      <c r="N6706" s="17" t="str">
        <f>IFERROR(__xludf.DUMMYFUNCTION("""COMPUTED_VALUE"""),"")</f>
        <v/>
      </c>
      <c r="O6706" s="17"/>
    </row>
    <row r="6707">
      <c r="B6707" s="17" t="s">
        <v>477</v>
      </c>
      <c r="K6707" s="18" t="s">
        <v>477</v>
      </c>
      <c r="N6707" s="17" t="str">
        <f>IFERROR(__xludf.DUMMYFUNCTION("""COMPUTED_VALUE"""),"")</f>
        <v/>
      </c>
      <c r="O6707" s="17"/>
    </row>
    <row r="6708">
      <c r="B6708" s="17" t="s">
        <v>477</v>
      </c>
      <c r="K6708" s="18" t="s">
        <v>477</v>
      </c>
      <c r="N6708" s="17" t="str">
        <f>IFERROR(__xludf.DUMMYFUNCTION("""COMPUTED_VALUE"""),"")</f>
        <v/>
      </c>
      <c r="O6708" s="17"/>
    </row>
    <row r="6709">
      <c r="B6709" s="17" t="s">
        <v>477</v>
      </c>
      <c r="K6709" s="18" t="s">
        <v>477</v>
      </c>
      <c r="N6709" s="17" t="str">
        <f>IFERROR(__xludf.DUMMYFUNCTION("""COMPUTED_VALUE"""),"")</f>
        <v/>
      </c>
      <c r="O6709" s="17"/>
    </row>
    <row r="6710">
      <c r="B6710" s="17" t="s">
        <v>477</v>
      </c>
      <c r="K6710" s="18" t="s">
        <v>477</v>
      </c>
      <c r="N6710" s="17" t="str">
        <f>IFERROR(__xludf.DUMMYFUNCTION("""COMPUTED_VALUE"""),"")</f>
        <v/>
      </c>
      <c r="O6710" s="17"/>
    </row>
    <row r="6711">
      <c r="B6711" s="17" t="s">
        <v>477</v>
      </c>
      <c r="K6711" s="18" t="s">
        <v>477</v>
      </c>
      <c r="N6711" s="17" t="str">
        <f>IFERROR(__xludf.DUMMYFUNCTION("""COMPUTED_VALUE"""),"")</f>
        <v/>
      </c>
      <c r="O6711" s="17"/>
    </row>
    <row r="6712">
      <c r="B6712" s="17" t="s">
        <v>477</v>
      </c>
      <c r="K6712" s="18" t="s">
        <v>477</v>
      </c>
      <c r="N6712" s="17" t="str">
        <f>IFERROR(__xludf.DUMMYFUNCTION("""COMPUTED_VALUE"""),"")</f>
        <v/>
      </c>
      <c r="O6712" s="17"/>
    </row>
    <row r="6713">
      <c r="B6713" s="17" t="s">
        <v>477</v>
      </c>
      <c r="K6713" s="18" t="s">
        <v>477</v>
      </c>
      <c r="N6713" s="17" t="str">
        <f>IFERROR(__xludf.DUMMYFUNCTION("""COMPUTED_VALUE"""),"")</f>
        <v/>
      </c>
      <c r="O6713" s="17"/>
    </row>
    <row r="6714">
      <c r="B6714" s="17" t="s">
        <v>477</v>
      </c>
      <c r="K6714" s="18" t="s">
        <v>477</v>
      </c>
      <c r="N6714" s="17" t="str">
        <f>IFERROR(__xludf.DUMMYFUNCTION("""COMPUTED_VALUE"""),"")</f>
        <v/>
      </c>
      <c r="O6714" s="17"/>
    </row>
    <row r="6715">
      <c r="B6715" s="17" t="s">
        <v>477</v>
      </c>
      <c r="K6715" s="18" t="s">
        <v>477</v>
      </c>
      <c r="N6715" s="17" t="str">
        <f>IFERROR(__xludf.DUMMYFUNCTION("""COMPUTED_VALUE"""),"")</f>
        <v/>
      </c>
      <c r="O6715" s="17"/>
    </row>
    <row r="6716">
      <c r="B6716" s="17" t="s">
        <v>477</v>
      </c>
      <c r="K6716" s="18" t="s">
        <v>477</v>
      </c>
      <c r="N6716" s="17" t="str">
        <f>IFERROR(__xludf.DUMMYFUNCTION("""COMPUTED_VALUE"""),"")</f>
        <v/>
      </c>
      <c r="O6716" s="17"/>
    </row>
    <row r="6717">
      <c r="B6717" s="17" t="s">
        <v>477</v>
      </c>
      <c r="K6717" s="18" t="s">
        <v>477</v>
      </c>
      <c r="N6717" s="17" t="str">
        <f>IFERROR(__xludf.DUMMYFUNCTION("""COMPUTED_VALUE"""),"")</f>
        <v/>
      </c>
      <c r="O6717" s="17"/>
    </row>
    <row r="6718">
      <c r="B6718" s="17" t="s">
        <v>477</v>
      </c>
      <c r="K6718" s="18" t="s">
        <v>477</v>
      </c>
      <c r="N6718" s="17" t="str">
        <f>IFERROR(__xludf.DUMMYFUNCTION("""COMPUTED_VALUE"""),"")</f>
        <v/>
      </c>
      <c r="O6718" s="17"/>
    </row>
    <row r="6719">
      <c r="B6719" s="17" t="s">
        <v>477</v>
      </c>
      <c r="K6719" s="18" t="s">
        <v>477</v>
      </c>
      <c r="N6719" s="17" t="str">
        <f>IFERROR(__xludf.DUMMYFUNCTION("""COMPUTED_VALUE"""),"")</f>
        <v/>
      </c>
      <c r="O6719" s="17"/>
    </row>
    <row r="6720">
      <c r="B6720" s="17" t="s">
        <v>477</v>
      </c>
      <c r="K6720" s="18" t="s">
        <v>477</v>
      </c>
      <c r="N6720" s="17" t="str">
        <f>IFERROR(__xludf.DUMMYFUNCTION("""COMPUTED_VALUE"""),"")</f>
        <v/>
      </c>
      <c r="O6720" s="17"/>
    </row>
    <row r="6721">
      <c r="B6721" s="17" t="s">
        <v>477</v>
      </c>
      <c r="K6721" s="18" t="s">
        <v>477</v>
      </c>
      <c r="N6721" s="17" t="str">
        <f>IFERROR(__xludf.DUMMYFUNCTION("""COMPUTED_VALUE"""),"")</f>
        <v/>
      </c>
      <c r="O6721" s="17"/>
    </row>
    <row r="6722">
      <c r="B6722" s="17" t="s">
        <v>477</v>
      </c>
      <c r="K6722" s="18" t="s">
        <v>477</v>
      </c>
      <c r="N6722" s="17" t="str">
        <f>IFERROR(__xludf.DUMMYFUNCTION("""COMPUTED_VALUE"""),"")</f>
        <v/>
      </c>
      <c r="O6722" s="17"/>
    </row>
    <row r="6723">
      <c r="B6723" s="17" t="s">
        <v>477</v>
      </c>
      <c r="K6723" s="18" t="s">
        <v>477</v>
      </c>
      <c r="N6723" s="17" t="str">
        <f>IFERROR(__xludf.DUMMYFUNCTION("""COMPUTED_VALUE"""),"")</f>
        <v/>
      </c>
      <c r="O6723" s="17"/>
    </row>
    <row r="6724">
      <c r="B6724" s="17" t="s">
        <v>477</v>
      </c>
      <c r="K6724" s="18" t="s">
        <v>477</v>
      </c>
      <c r="N6724" s="17" t="str">
        <f>IFERROR(__xludf.DUMMYFUNCTION("""COMPUTED_VALUE"""),"")</f>
        <v/>
      </c>
      <c r="O6724" s="17"/>
    </row>
    <row r="6725">
      <c r="B6725" s="17" t="s">
        <v>477</v>
      </c>
      <c r="K6725" s="18" t="s">
        <v>477</v>
      </c>
      <c r="N6725" s="17" t="str">
        <f>IFERROR(__xludf.DUMMYFUNCTION("""COMPUTED_VALUE"""),"")</f>
        <v/>
      </c>
      <c r="O6725" s="17"/>
    </row>
    <row r="6726">
      <c r="B6726" s="17" t="s">
        <v>477</v>
      </c>
      <c r="K6726" s="18" t="s">
        <v>477</v>
      </c>
      <c r="N6726" s="17" t="str">
        <f>IFERROR(__xludf.DUMMYFUNCTION("""COMPUTED_VALUE"""),"")</f>
        <v/>
      </c>
      <c r="O6726" s="17"/>
    </row>
    <row r="6727">
      <c r="B6727" s="17" t="s">
        <v>477</v>
      </c>
      <c r="K6727" s="18" t="s">
        <v>477</v>
      </c>
      <c r="N6727" s="17" t="str">
        <f>IFERROR(__xludf.DUMMYFUNCTION("""COMPUTED_VALUE"""),"")</f>
        <v/>
      </c>
      <c r="O6727" s="17"/>
    </row>
    <row r="6728">
      <c r="B6728" s="17" t="s">
        <v>477</v>
      </c>
      <c r="K6728" s="18" t="s">
        <v>477</v>
      </c>
      <c r="N6728" s="17" t="str">
        <f>IFERROR(__xludf.DUMMYFUNCTION("""COMPUTED_VALUE"""),"")</f>
        <v/>
      </c>
      <c r="O6728" s="17"/>
    </row>
    <row r="6729">
      <c r="B6729" s="17" t="s">
        <v>477</v>
      </c>
      <c r="K6729" s="18" t="s">
        <v>477</v>
      </c>
      <c r="N6729" s="17" t="str">
        <f>IFERROR(__xludf.DUMMYFUNCTION("""COMPUTED_VALUE"""),"")</f>
        <v/>
      </c>
      <c r="O6729" s="17"/>
    </row>
    <row r="6730">
      <c r="B6730" s="17" t="s">
        <v>477</v>
      </c>
      <c r="K6730" s="18" t="s">
        <v>477</v>
      </c>
      <c r="N6730" s="17" t="str">
        <f>IFERROR(__xludf.DUMMYFUNCTION("""COMPUTED_VALUE"""),"")</f>
        <v/>
      </c>
      <c r="O6730" s="17"/>
    </row>
    <row r="6731">
      <c r="B6731" s="17" t="s">
        <v>477</v>
      </c>
      <c r="K6731" s="18" t="s">
        <v>477</v>
      </c>
      <c r="N6731" s="17" t="str">
        <f>IFERROR(__xludf.DUMMYFUNCTION("""COMPUTED_VALUE"""),"")</f>
        <v/>
      </c>
      <c r="O6731" s="17"/>
    </row>
    <row r="6732">
      <c r="B6732" s="17" t="s">
        <v>477</v>
      </c>
      <c r="K6732" s="18" t="s">
        <v>477</v>
      </c>
      <c r="N6732" s="17" t="str">
        <f>IFERROR(__xludf.DUMMYFUNCTION("""COMPUTED_VALUE"""),"")</f>
        <v/>
      </c>
      <c r="O6732" s="17"/>
    </row>
    <row r="6733">
      <c r="B6733" s="17" t="s">
        <v>477</v>
      </c>
      <c r="K6733" s="18" t="s">
        <v>477</v>
      </c>
      <c r="N6733" s="17" t="str">
        <f>IFERROR(__xludf.DUMMYFUNCTION("""COMPUTED_VALUE"""),"")</f>
        <v/>
      </c>
      <c r="O6733" s="17"/>
    </row>
    <row r="6734">
      <c r="B6734" s="17" t="s">
        <v>477</v>
      </c>
      <c r="K6734" s="18" t="s">
        <v>477</v>
      </c>
      <c r="N6734" s="17" t="str">
        <f>IFERROR(__xludf.DUMMYFUNCTION("""COMPUTED_VALUE"""),"")</f>
        <v/>
      </c>
      <c r="O6734" s="17"/>
    </row>
    <row r="6735">
      <c r="B6735" s="17" t="s">
        <v>477</v>
      </c>
      <c r="K6735" s="18" t="s">
        <v>477</v>
      </c>
      <c r="N6735" s="17" t="str">
        <f>IFERROR(__xludf.DUMMYFUNCTION("""COMPUTED_VALUE"""),"")</f>
        <v/>
      </c>
      <c r="O6735" s="17"/>
    </row>
    <row r="6736">
      <c r="B6736" s="17" t="s">
        <v>477</v>
      </c>
      <c r="K6736" s="18" t="s">
        <v>477</v>
      </c>
      <c r="N6736" s="17" t="str">
        <f>IFERROR(__xludf.DUMMYFUNCTION("""COMPUTED_VALUE"""),"")</f>
        <v/>
      </c>
      <c r="O6736" s="17"/>
    </row>
    <row r="6737">
      <c r="B6737" s="17" t="s">
        <v>477</v>
      </c>
      <c r="K6737" s="18" t="s">
        <v>477</v>
      </c>
      <c r="N6737" s="17" t="str">
        <f>IFERROR(__xludf.DUMMYFUNCTION("""COMPUTED_VALUE"""),"")</f>
        <v/>
      </c>
      <c r="O6737" s="17"/>
    </row>
    <row r="6738">
      <c r="B6738" s="17" t="s">
        <v>477</v>
      </c>
      <c r="K6738" s="18" t="s">
        <v>477</v>
      </c>
      <c r="N6738" s="17" t="str">
        <f>IFERROR(__xludf.DUMMYFUNCTION("""COMPUTED_VALUE"""),"")</f>
        <v/>
      </c>
      <c r="O6738" s="17"/>
    </row>
    <row r="6739">
      <c r="B6739" s="17" t="s">
        <v>477</v>
      </c>
      <c r="K6739" s="18" t="s">
        <v>477</v>
      </c>
      <c r="N6739" s="17" t="str">
        <f>IFERROR(__xludf.DUMMYFUNCTION("""COMPUTED_VALUE"""),"")</f>
        <v/>
      </c>
      <c r="O6739" s="17"/>
    </row>
    <row r="6740">
      <c r="B6740" s="17" t="s">
        <v>477</v>
      </c>
      <c r="K6740" s="18" t="s">
        <v>477</v>
      </c>
      <c r="N6740" s="17" t="str">
        <f>IFERROR(__xludf.DUMMYFUNCTION("""COMPUTED_VALUE"""),"")</f>
        <v/>
      </c>
      <c r="O6740" s="17"/>
    </row>
    <row r="6741">
      <c r="B6741" s="17" t="s">
        <v>477</v>
      </c>
      <c r="K6741" s="18" t="s">
        <v>477</v>
      </c>
      <c r="N6741" s="17" t="str">
        <f>IFERROR(__xludf.DUMMYFUNCTION("""COMPUTED_VALUE"""),"")</f>
        <v/>
      </c>
      <c r="O6741" s="17"/>
    </row>
    <row r="6742">
      <c r="B6742" s="17" t="s">
        <v>477</v>
      </c>
      <c r="K6742" s="18" t="s">
        <v>477</v>
      </c>
      <c r="N6742" s="17" t="str">
        <f>IFERROR(__xludf.DUMMYFUNCTION("""COMPUTED_VALUE"""),"")</f>
        <v/>
      </c>
      <c r="O6742" s="17"/>
    </row>
    <row r="6743">
      <c r="B6743" s="17" t="s">
        <v>477</v>
      </c>
      <c r="K6743" s="18" t="s">
        <v>477</v>
      </c>
      <c r="N6743" s="17" t="str">
        <f>IFERROR(__xludf.DUMMYFUNCTION("""COMPUTED_VALUE"""),"")</f>
        <v/>
      </c>
      <c r="O6743" s="17"/>
    </row>
    <row r="6744">
      <c r="B6744" s="17" t="s">
        <v>477</v>
      </c>
      <c r="K6744" s="18" t="s">
        <v>477</v>
      </c>
      <c r="N6744" s="17" t="str">
        <f>IFERROR(__xludf.DUMMYFUNCTION("""COMPUTED_VALUE"""),"")</f>
        <v/>
      </c>
      <c r="O6744" s="17"/>
    </row>
    <row r="6745">
      <c r="B6745" s="17" t="s">
        <v>477</v>
      </c>
      <c r="K6745" s="18" t="s">
        <v>477</v>
      </c>
      <c r="N6745" s="17" t="str">
        <f>IFERROR(__xludf.DUMMYFUNCTION("""COMPUTED_VALUE"""),"")</f>
        <v/>
      </c>
      <c r="O6745" s="17"/>
    </row>
    <row r="6746">
      <c r="B6746" s="17" t="s">
        <v>477</v>
      </c>
      <c r="K6746" s="18" t="s">
        <v>477</v>
      </c>
      <c r="N6746" s="17" t="str">
        <f>IFERROR(__xludf.DUMMYFUNCTION("""COMPUTED_VALUE"""),"")</f>
        <v/>
      </c>
      <c r="O6746" s="17"/>
    </row>
    <row r="6747">
      <c r="B6747" s="17" t="s">
        <v>477</v>
      </c>
      <c r="K6747" s="18" t="s">
        <v>477</v>
      </c>
      <c r="N6747" s="17" t="str">
        <f>IFERROR(__xludf.DUMMYFUNCTION("""COMPUTED_VALUE"""),"")</f>
        <v/>
      </c>
      <c r="O6747" s="17"/>
    </row>
    <row r="6748">
      <c r="B6748" s="17" t="s">
        <v>477</v>
      </c>
      <c r="K6748" s="18" t="s">
        <v>477</v>
      </c>
      <c r="N6748" s="17" t="str">
        <f>IFERROR(__xludf.DUMMYFUNCTION("""COMPUTED_VALUE"""),"")</f>
        <v/>
      </c>
      <c r="O6748" s="17"/>
    </row>
    <row r="6749">
      <c r="B6749" s="17" t="s">
        <v>477</v>
      </c>
      <c r="K6749" s="18" t="s">
        <v>477</v>
      </c>
      <c r="N6749" s="17" t="str">
        <f>IFERROR(__xludf.DUMMYFUNCTION("""COMPUTED_VALUE"""),"")</f>
        <v/>
      </c>
      <c r="O6749" s="17"/>
    </row>
    <row r="6750">
      <c r="B6750" s="17" t="s">
        <v>477</v>
      </c>
      <c r="K6750" s="18" t="s">
        <v>477</v>
      </c>
      <c r="N6750" s="17" t="str">
        <f>IFERROR(__xludf.DUMMYFUNCTION("""COMPUTED_VALUE"""),"")</f>
        <v/>
      </c>
      <c r="O6750" s="17"/>
    </row>
    <row r="6751">
      <c r="B6751" s="17" t="s">
        <v>477</v>
      </c>
      <c r="K6751" s="18" t="s">
        <v>477</v>
      </c>
      <c r="N6751" s="17" t="str">
        <f>IFERROR(__xludf.DUMMYFUNCTION("""COMPUTED_VALUE"""),"")</f>
        <v/>
      </c>
      <c r="O6751" s="17"/>
    </row>
    <row r="6752">
      <c r="B6752" s="17" t="s">
        <v>477</v>
      </c>
      <c r="K6752" s="18" t="s">
        <v>477</v>
      </c>
      <c r="N6752" s="17" t="str">
        <f>IFERROR(__xludf.DUMMYFUNCTION("""COMPUTED_VALUE"""),"")</f>
        <v/>
      </c>
      <c r="O6752" s="17"/>
    </row>
    <row r="6753">
      <c r="B6753" s="17" t="s">
        <v>477</v>
      </c>
      <c r="K6753" s="18" t="s">
        <v>477</v>
      </c>
      <c r="N6753" s="17" t="str">
        <f>IFERROR(__xludf.DUMMYFUNCTION("""COMPUTED_VALUE"""),"")</f>
        <v/>
      </c>
      <c r="O6753" s="17"/>
    </row>
    <row r="6754">
      <c r="B6754" s="17" t="s">
        <v>477</v>
      </c>
      <c r="K6754" s="18" t="s">
        <v>477</v>
      </c>
      <c r="N6754" s="17" t="str">
        <f>IFERROR(__xludf.DUMMYFUNCTION("""COMPUTED_VALUE"""),"")</f>
        <v/>
      </c>
      <c r="O6754" s="17"/>
    </row>
    <row r="6755">
      <c r="B6755" s="17" t="s">
        <v>477</v>
      </c>
      <c r="K6755" s="18" t="s">
        <v>477</v>
      </c>
      <c r="N6755" s="17" t="str">
        <f>IFERROR(__xludf.DUMMYFUNCTION("""COMPUTED_VALUE"""),"")</f>
        <v/>
      </c>
      <c r="O6755" s="17"/>
    </row>
    <row r="6756">
      <c r="B6756" s="17" t="s">
        <v>477</v>
      </c>
      <c r="K6756" s="18" t="s">
        <v>477</v>
      </c>
      <c r="N6756" s="17" t="str">
        <f>IFERROR(__xludf.DUMMYFUNCTION("""COMPUTED_VALUE"""),"")</f>
        <v/>
      </c>
      <c r="O6756" s="17"/>
    </row>
    <row r="6757">
      <c r="B6757" s="17" t="s">
        <v>477</v>
      </c>
      <c r="K6757" s="18" t="s">
        <v>477</v>
      </c>
      <c r="N6757" s="17" t="str">
        <f>IFERROR(__xludf.DUMMYFUNCTION("""COMPUTED_VALUE"""),"")</f>
        <v/>
      </c>
      <c r="O6757" s="17"/>
    </row>
    <row r="6758">
      <c r="B6758" s="17" t="s">
        <v>477</v>
      </c>
      <c r="K6758" s="18" t="s">
        <v>477</v>
      </c>
      <c r="N6758" s="17" t="str">
        <f>IFERROR(__xludf.DUMMYFUNCTION("""COMPUTED_VALUE"""),"")</f>
        <v/>
      </c>
      <c r="O6758" s="17"/>
    </row>
    <row r="6759">
      <c r="B6759" s="17" t="s">
        <v>477</v>
      </c>
      <c r="K6759" s="18" t="s">
        <v>477</v>
      </c>
      <c r="N6759" s="17" t="str">
        <f>IFERROR(__xludf.DUMMYFUNCTION("""COMPUTED_VALUE"""),"")</f>
        <v/>
      </c>
      <c r="O6759" s="17"/>
    </row>
    <row r="6760">
      <c r="B6760" s="17" t="s">
        <v>477</v>
      </c>
      <c r="K6760" s="18" t="s">
        <v>477</v>
      </c>
      <c r="N6760" s="17" t="str">
        <f>IFERROR(__xludf.DUMMYFUNCTION("""COMPUTED_VALUE"""),"")</f>
        <v/>
      </c>
      <c r="O6760" s="17"/>
    </row>
    <row r="6761">
      <c r="B6761" s="17" t="s">
        <v>477</v>
      </c>
      <c r="K6761" s="18" t="s">
        <v>477</v>
      </c>
      <c r="N6761" s="17" t="str">
        <f>IFERROR(__xludf.DUMMYFUNCTION("""COMPUTED_VALUE"""),"")</f>
        <v/>
      </c>
      <c r="O6761" s="17"/>
    </row>
    <row r="6762">
      <c r="B6762" s="17" t="s">
        <v>477</v>
      </c>
      <c r="K6762" s="18" t="s">
        <v>477</v>
      </c>
      <c r="N6762" s="17" t="str">
        <f>IFERROR(__xludf.DUMMYFUNCTION("""COMPUTED_VALUE"""),"")</f>
        <v/>
      </c>
      <c r="O6762" s="17"/>
    </row>
    <row r="6763">
      <c r="B6763" s="17" t="s">
        <v>477</v>
      </c>
      <c r="K6763" s="18" t="s">
        <v>477</v>
      </c>
      <c r="N6763" s="17" t="str">
        <f>IFERROR(__xludf.DUMMYFUNCTION("""COMPUTED_VALUE"""),"")</f>
        <v/>
      </c>
      <c r="O6763" s="17"/>
    </row>
    <row r="6764">
      <c r="B6764" s="17" t="s">
        <v>477</v>
      </c>
      <c r="K6764" s="18" t="s">
        <v>477</v>
      </c>
      <c r="N6764" s="17" t="str">
        <f>IFERROR(__xludf.DUMMYFUNCTION("""COMPUTED_VALUE"""),"")</f>
        <v/>
      </c>
      <c r="O6764" s="17"/>
    </row>
    <row r="6765">
      <c r="B6765" s="17" t="s">
        <v>477</v>
      </c>
      <c r="K6765" s="18" t="s">
        <v>477</v>
      </c>
      <c r="N6765" s="17" t="str">
        <f>IFERROR(__xludf.DUMMYFUNCTION("""COMPUTED_VALUE"""),"")</f>
        <v/>
      </c>
      <c r="O6765" s="17"/>
    </row>
    <row r="6766">
      <c r="B6766" s="17" t="s">
        <v>477</v>
      </c>
      <c r="K6766" s="18" t="s">
        <v>477</v>
      </c>
      <c r="N6766" s="17" t="str">
        <f>IFERROR(__xludf.DUMMYFUNCTION("""COMPUTED_VALUE"""),"")</f>
        <v/>
      </c>
      <c r="O6766" s="17"/>
    </row>
    <row r="6767">
      <c r="B6767" s="17" t="s">
        <v>477</v>
      </c>
      <c r="K6767" s="18" t="s">
        <v>477</v>
      </c>
      <c r="N6767" s="17" t="str">
        <f>IFERROR(__xludf.DUMMYFUNCTION("""COMPUTED_VALUE"""),"")</f>
        <v/>
      </c>
      <c r="O6767" s="17"/>
    </row>
    <row r="6768">
      <c r="B6768" s="17" t="s">
        <v>477</v>
      </c>
      <c r="K6768" s="18" t="s">
        <v>477</v>
      </c>
      <c r="N6768" s="17" t="str">
        <f>IFERROR(__xludf.DUMMYFUNCTION("""COMPUTED_VALUE"""),"")</f>
        <v/>
      </c>
      <c r="O6768" s="17"/>
    </row>
    <row r="6769">
      <c r="B6769" s="17" t="s">
        <v>477</v>
      </c>
      <c r="K6769" s="18" t="s">
        <v>477</v>
      </c>
      <c r="N6769" s="17" t="str">
        <f>IFERROR(__xludf.DUMMYFUNCTION("""COMPUTED_VALUE"""),"")</f>
        <v/>
      </c>
      <c r="O6769" s="17"/>
    </row>
    <row r="6770">
      <c r="B6770" s="17" t="s">
        <v>477</v>
      </c>
      <c r="K6770" s="18" t="s">
        <v>477</v>
      </c>
      <c r="N6770" s="17" t="str">
        <f>IFERROR(__xludf.DUMMYFUNCTION("""COMPUTED_VALUE"""),"")</f>
        <v/>
      </c>
      <c r="O6770" s="17"/>
    </row>
    <row r="6771">
      <c r="B6771" s="17" t="s">
        <v>477</v>
      </c>
      <c r="K6771" s="18" t="s">
        <v>477</v>
      </c>
      <c r="N6771" s="17" t="str">
        <f>IFERROR(__xludf.DUMMYFUNCTION("""COMPUTED_VALUE"""),"")</f>
        <v/>
      </c>
      <c r="O6771" s="17"/>
    </row>
    <row r="6772">
      <c r="B6772" s="17" t="s">
        <v>477</v>
      </c>
      <c r="K6772" s="18" t="s">
        <v>477</v>
      </c>
      <c r="N6772" s="17" t="str">
        <f>IFERROR(__xludf.DUMMYFUNCTION("""COMPUTED_VALUE"""),"")</f>
        <v/>
      </c>
      <c r="O6772" s="17"/>
    </row>
    <row r="6773">
      <c r="B6773" s="17" t="s">
        <v>477</v>
      </c>
      <c r="K6773" s="18" t="s">
        <v>477</v>
      </c>
      <c r="N6773" s="17" t="str">
        <f>IFERROR(__xludf.DUMMYFUNCTION("""COMPUTED_VALUE"""),"")</f>
        <v/>
      </c>
      <c r="O6773" s="17"/>
    </row>
    <row r="6774">
      <c r="B6774" s="17" t="s">
        <v>477</v>
      </c>
      <c r="K6774" s="18" t="s">
        <v>477</v>
      </c>
      <c r="N6774" s="17" t="str">
        <f>IFERROR(__xludf.DUMMYFUNCTION("""COMPUTED_VALUE"""),"")</f>
        <v/>
      </c>
      <c r="O6774" s="17"/>
    </row>
    <row r="6775">
      <c r="B6775" s="17" t="s">
        <v>477</v>
      </c>
      <c r="K6775" s="18" t="s">
        <v>477</v>
      </c>
      <c r="N6775" s="17" t="str">
        <f>IFERROR(__xludf.DUMMYFUNCTION("""COMPUTED_VALUE"""),"")</f>
        <v/>
      </c>
      <c r="O6775" s="17"/>
    </row>
    <row r="6776">
      <c r="B6776" s="17" t="s">
        <v>477</v>
      </c>
      <c r="K6776" s="18" t="s">
        <v>477</v>
      </c>
      <c r="N6776" s="17" t="str">
        <f>IFERROR(__xludf.DUMMYFUNCTION("""COMPUTED_VALUE"""),"")</f>
        <v/>
      </c>
      <c r="O6776" s="17"/>
    </row>
    <row r="6777">
      <c r="B6777" s="17" t="s">
        <v>477</v>
      </c>
      <c r="K6777" s="18" t="s">
        <v>477</v>
      </c>
      <c r="N6777" s="17" t="str">
        <f>IFERROR(__xludf.DUMMYFUNCTION("""COMPUTED_VALUE"""),"")</f>
        <v/>
      </c>
      <c r="O6777" s="17"/>
    </row>
    <row r="6778">
      <c r="B6778" s="17" t="s">
        <v>477</v>
      </c>
      <c r="K6778" s="18" t="s">
        <v>477</v>
      </c>
      <c r="N6778" s="17" t="str">
        <f>IFERROR(__xludf.DUMMYFUNCTION("""COMPUTED_VALUE"""),"")</f>
        <v/>
      </c>
      <c r="O6778" s="17"/>
    </row>
    <row r="6779">
      <c r="B6779" s="17" t="s">
        <v>477</v>
      </c>
      <c r="K6779" s="18" t="s">
        <v>477</v>
      </c>
      <c r="N6779" s="17" t="str">
        <f>IFERROR(__xludf.DUMMYFUNCTION("""COMPUTED_VALUE"""),"")</f>
        <v/>
      </c>
      <c r="O6779" s="17"/>
    </row>
    <row r="6780">
      <c r="B6780" s="17" t="s">
        <v>477</v>
      </c>
      <c r="K6780" s="18" t="s">
        <v>477</v>
      </c>
      <c r="N6780" s="17" t="str">
        <f>IFERROR(__xludf.DUMMYFUNCTION("""COMPUTED_VALUE"""),"")</f>
        <v/>
      </c>
      <c r="O6780" s="17"/>
    </row>
    <row r="6781">
      <c r="B6781" s="17" t="s">
        <v>477</v>
      </c>
      <c r="K6781" s="18" t="s">
        <v>477</v>
      </c>
      <c r="N6781" s="17" t="str">
        <f>IFERROR(__xludf.DUMMYFUNCTION("""COMPUTED_VALUE"""),"")</f>
        <v/>
      </c>
      <c r="O6781" s="17"/>
    </row>
    <row r="6782">
      <c r="B6782" s="17" t="s">
        <v>477</v>
      </c>
      <c r="K6782" s="18" t="s">
        <v>477</v>
      </c>
      <c r="N6782" s="17" t="str">
        <f>IFERROR(__xludf.DUMMYFUNCTION("""COMPUTED_VALUE"""),"")</f>
        <v/>
      </c>
      <c r="O6782" s="17"/>
    </row>
    <row r="6783">
      <c r="B6783" s="17" t="s">
        <v>477</v>
      </c>
      <c r="K6783" s="18" t="s">
        <v>477</v>
      </c>
      <c r="N6783" s="17" t="str">
        <f>IFERROR(__xludf.DUMMYFUNCTION("""COMPUTED_VALUE"""),"")</f>
        <v/>
      </c>
      <c r="O6783" s="17"/>
    </row>
    <row r="6784">
      <c r="B6784" s="17" t="s">
        <v>477</v>
      </c>
      <c r="K6784" s="18" t="s">
        <v>477</v>
      </c>
      <c r="N6784" s="17" t="str">
        <f>IFERROR(__xludf.DUMMYFUNCTION("""COMPUTED_VALUE"""),"")</f>
        <v/>
      </c>
      <c r="O6784" s="17"/>
    </row>
    <row r="6785">
      <c r="B6785" s="17" t="s">
        <v>477</v>
      </c>
      <c r="K6785" s="18" t="s">
        <v>477</v>
      </c>
      <c r="N6785" s="17" t="str">
        <f>IFERROR(__xludf.DUMMYFUNCTION("""COMPUTED_VALUE"""),"")</f>
        <v/>
      </c>
      <c r="O6785" s="17"/>
    </row>
    <row r="6786">
      <c r="B6786" s="17" t="s">
        <v>477</v>
      </c>
      <c r="K6786" s="18" t="s">
        <v>477</v>
      </c>
      <c r="N6786" s="17" t="str">
        <f>IFERROR(__xludf.DUMMYFUNCTION("""COMPUTED_VALUE"""),"")</f>
        <v/>
      </c>
      <c r="O6786" s="17"/>
    </row>
    <row r="6787">
      <c r="B6787" s="17" t="s">
        <v>477</v>
      </c>
      <c r="K6787" s="18" t="s">
        <v>477</v>
      </c>
      <c r="N6787" s="17" t="str">
        <f>IFERROR(__xludf.DUMMYFUNCTION("""COMPUTED_VALUE"""),"")</f>
        <v/>
      </c>
      <c r="O6787" s="17"/>
    </row>
    <row r="6788">
      <c r="B6788" s="17" t="s">
        <v>477</v>
      </c>
      <c r="K6788" s="18" t="s">
        <v>477</v>
      </c>
      <c r="N6788" s="17" t="str">
        <f>IFERROR(__xludf.DUMMYFUNCTION("""COMPUTED_VALUE"""),"")</f>
        <v/>
      </c>
      <c r="O6788" s="17"/>
    </row>
    <row r="6789">
      <c r="B6789" s="17" t="s">
        <v>477</v>
      </c>
      <c r="K6789" s="18" t="s">
        <v>477</v>
      </c>
      <c r="N6789" s="17" t="str">
        <f>IFERROR(__xludf.DUMMYFUNCTION("""COMPUTED_VALUE"""),"")</f>
        <v/>
      </c>
      <c r="O6789" s="17"/>
    </row>
    <row r="6790">
      <c r="B6790" s="17" t="s">
        <v>477</v>
      </c>
      <c r="K6790" s="18" t="s">
        <v>477</v>
      </c>
      <c r="N6790" s="17" t="str">
        <f>IFERROR(__xludf.DUMMYFUNCTION("""COMPUTED_VALUE"""),"")</f>
        <v/>
      </c>
      <c r="O6790" s="17"/>
    </row>
    <row r="6791">
      <c r="B6791" s="17" t="s">
        <v>477</v>
      </c>
      <c r="K6791" s="18" t="s">
        <v>477</v>
      </c>
      <c r="N6791" s="17" t="str">
        <f>IFERROR(__xludf.DUMMYFUNCTION("""COMPUTED_VALUE"""),"")</f>
        <v/>
      </c>
      <c r="O6791" s="17"/>
    </row>
    <row r="6792">
      <c r="B6792" s="17" t="s">
        <v>477</v>
      </c>
      <c r="K6792" s="18" t="s">
        <v>477</v>
      </c>
      <c r="N6792" s="17" t="str">
        <f>IFERROR(__xludf.DUMMYFUNCTION("""COMPUTED_VALUE"""),"")</f>
        <v/>
      </c>
      <c r="O6792" s="17"/>
    </row>
    <row r="6793">
      <c r="B6793" s="17" t="s">
        <v>477</v>
      </c>
      <c r="K6793" s="18" t="s">
        <v>477</v>
      </c>
      <c r="N6793" s="17" t="str">
        <f>IFERROR(__xludf.DUMMYFUNCTION("""COMPUTED_VALUE"""),"")</f>
        <v/>
      </c>
      <c r="O6793" s="17"/>
    </row>
    <row r="6794">
      <c r="B6794" s="17" t="s">
        <v>477</v>
      </c>
      <c r="K6794" s="18" t="s">
        <v>477</v>
      </c>
      <c r="N6794" s="17" t="str">
        <f>IFERROR(__xludf.DUMMYFUNCTION("""COMPUTED_VALUE"""),"")</f>
        <v/>
      </c>
      <c r="O6794" s="17"/>
    </row>
    <row r="6795">
      <c r="B6795" s="17" t="s">
        <v>477</v>
      </c>
      <c r="K6795" s="18" t="s">
        <v>477</v>
      </c>
      <c r="N6795" s="17" t="str">
        <f>IFERROR(__xludf.DUMMYFUNCTION("""COMPUTED_VALUE"""),"")</f>
        <v/>
      </c>
      <c r="O6795" s="17"/>
    </row>
    <row r="6796">
      <c r="B6796" s="17" t="s">
        <v>477</v>
      </c>
      <c r="K6796" s="18" t="s">
        <v>477</v>
      </c>
      <c r="N6796" s="17" t="str">
        <f>IFERROR(__xludf.DUMMYFUNCTION("""COMPUTED_VALUE"""),"")</f>
        <v/>
      </c>
      <c r="O6796" s="17"/>
    </row>
    <row r="6797">
      <c r="B6797" s="17" t="s">
        <v>477</v>
      </c>
      <c r="K6797" s="18" t="s">
        <v>477</v>
      </c>
      <c r="N6797" s="17" t="str">
        <f>IFERROR(__xludf.DUMMYFUNCTION("""COMPUTED_VALUE"""),"")</f>
        <v/>
      </c>
      <c r="O6797" s="17"/>
    </row>
    <row r="6798">
      <c r="B6798" s="17" t="s">
        <v>477</v>
      </c>
      <c r="K6798" s="18" t="s">
        <v>477</v>
      </c>
      <c r="N6798" s="17" t="str">
        <f>IFERROR(__xludf.DUMMYFUNCTION("""COMPUTED_VALUE"""),"")</f>
        <v/>
      </c>
      <c r="O6798" s="17"/>
    </row>
    <row r="6799">
      <c r="B6799" s="17" t="s">
        <v>477</v>
      </c>
      <c r="K6799" s="18" t="s">
        <v>477</v>
      </c>
      <c r="N6799" s="17" t="str">
        <f>IFERROR(__xludf.DUMMYFUNCTION("""COMPUTED_VALUE"""),"")</f>
        <v/>
      </c>
      <c r="O6799" s="17"/>
    </row>
    <row r="6800">
      <c r="B6800" s="17" t="s">
        <v>477</v>
      </c>
      <c r="K6800" s="18" t="s">
        <v>477</v>
      </c>
      <c r="N6800" s="17" t="str">
        <f>IFERROR(__xludf.DUMMYFUNCTION("""COMPUTED_VALUE"""),"")</f>
        <v/>
      </c>
      <c r="O6800" s="17"/>
    </row>
    <row r="6801">
      <c r="B6801" s="17" t="s">
        <v>477</v>
      </c>
      <c r="K6801" s="18" t="s">
        <v>477</v>
      </c>
      <c r="N6801" s="17" t="str">
        <f>IFERROR(__xludf.DUMMYFUNCTION("""COMPUTED_VALUE"""),"")</f>
        <v/>
      </c>
      <c r="O6801" s="17"/>
    </row>
    <row r="6802">
      <c r="B6802" s="17" t="s">
        <v>477</v>
      </c>
      <c r="K6802" s="18" t="s">
        <v>477</v>
      </c>
      <c r="N6802" s="17" t="str">
        <f>IFERROR(__xludf.DUMMYFUNCTION("""COMPUTED_VALUE"""),"")</f>
        <v/>
      </c>
      <c r="O6802" s="17"/>
    </row>
    <row r="6803">
      <c r="B6803" s="17" t="s">
        <v>477</v>
      </c>
      <c r="K6803" s="18" t="s">
        <v>477</v>
      </c>
      <c r="N6803" s="17" t="str">
        <f>IFERROR(__xludf.DUMMYFUNCTION("""COMPUTED_VALUE"""),"")</f>
        <v/>
      </c>
      <c r="O6803" s="17"/>
    </row>
    <row r="6804">
      <c r="B6804" s="17" t="s">
        <v>477</v>
      </c>
      <c r="K6804" s="18" t="s">
        <v>477</v>
      </c>
      <c r="N6804" s="17" t="str">
        <f>IFERROR(__xludf.DUMMYFUNCTION("""COMPUTED_VALUE"""),"")</f>
        <v/>
      </c>
      <c r="O6804" s="17"/>
    </row>
    <row r="6805">
      <c r="B6805" s="17" t="s">
        <v>477</v>
      </c>
      <c r="K6805" s="18" t="s">
        <v>477</v>
      </c>
      <c r="N6805" s="17" t="str">
        <f>IFERROR(__xludf.DUMMYFUNCTION("""COMPUTED_VALUE"""),"")</f>
        <v/>
      </c>
      <c r="O6805" s="17"/>
    </row>
    <row r="6806">
      <c r="B6806" s="17" t="s">
        <v>477</v>
      </c>
      <c r="K6806" s="18" t="s">
        <v>477</v>
      </c>
      <c r="N6806" s="17" t="str">
        <f>IFERROR(__xludf.DUMMYFUNCTION("""COMPUTED_VALUE"""),"")</f>
        <v/>
      </c>
      <c r="O6806" s="17"/>
    </row>
    <row r="6807">
      <c r="B6807" s="17" t="s">
        <v>477</v>
      </c>
      <c r="K6807" s="18" t="s">
        <v>477</v>
      </c>
      <c r="N6807" s="17" t="str">
        <f>IFERROR(__xludf.DUMMYFUNCTION("""COMPUTED_VALUE"""),"")</f>
        <v/>
      </c>
      <c r="O6807" s="17"/>
    </row>
    <row r="6808">
      <c r="B6808" s="17" t="s">
        <v>477</v>
      </c>
      <c r="K6808" s="18" t="s">
        <v>477</v>
      </c>
      <c r="N6808" s="17" t="str">
        <f>IFERROR(__xludf.DUMMYFUNCTION("""COMPUTED_VALUE"""),"")</f>
        <v/>
      </c>
      <c r="O6808" s="17"/>
    </row>
    <row r="6809">
      <c r="B6809" s="17" t="s">
        <v>477</v>
      </c>
      <c r="K6809" s="18" t="s">
        <v>477</v>
      </c>
      <c r="N6809" s="17" t="str">
        <f>IFERROR(__xludf.DUMMYFUNCTION("""COMPUTED_VALUE"""),"")</f>
        <v/>
      </c>
      <c r="O6809" s="17"/>
    </row>
    <row r="6810">
      <c r="B6810" s="17" t="s">
        <v>477</v>
      </c>
      <c r="K6810" s="18" t="s">
        <v>477</v>
      </c>
      <c r="N6810" s="17" t="str">
        <f>IFERROR(__xludf.DUMMYFUNCTION("""COMPUTED_VALUE"""),"")</f>
        <v/>
      </c>
      <c r="O6810" s="17"/>
    </row>
    <row r="6811">
      <c r="B6811" s="17" t="s">
        <v>477</v>
      </c>
      <c r="K6811" s="18" t="s">
        <v>477</v>
      </c>
      <c r="N6811" s="17" t="str">
        <f>IFERROR(__xludf.DUMMYFUNCTION("""COMPUTED_VALUE"""),"")</f>
        <v/>
      </c>
      <c r="O6811" s="17"/>
    </row>
    <row r="6812">
      <c r="B6812" s="17" t="s">
        <v>477</v>
      </c>
      <c r="K6812" s="18" t="s">
        <v>477</v>
      </c>
      <c r="N6812" s="17" t="str">
        <f>IFERROR(__xludf.DUMMYFUNCTION("""COMPUTED_VALUE"""),"")</f>
        <v/>
      </c>
      <c r="O6812" s="17"/>
    </row>
    <row r="6813">
      <c r="B6813" s="17" t="s">
        <v>477</v>
      </c>
      <c r="K6813" s="18" t="s">
        <v>477</v>
      </c>
      <c r="N6813" s="17" t="str">
        <f>IFERROR(__xludf.DUMMYFUNCTION("""COMPUTED_VALUE"""),"")</f>
        <v/>
      </c>
      <c r="O6813" s="17"/>
    </row>
    <row r="6814">
      <c r="B6814" s="17" t="s">
        <v>477</v>
      </c>
      <c r="K6814" s="18" t="s">
        <v>477</v>
      </c>
      <c r="N6814" s="17" t="str">
        <f>IFERROR(__xludf.DUMMYFUNCTION("""COMPUTED_VALUE"""),"")</f>
        <v/>
      </c>
      <c r="O6814" s="17"/>
    </row>
    <row r="6815">
      <c r="B6815" s="17" t="s">
        <v>477</v>
      </c>
      <c r="K6815" s="18" t="s">
        <v>477</v>
      </c>
      <c r="N6815" s="17" t="str">
        <f>IFERROR(__xludf.DUMMYFUNCTION("""COMPUTED_VALUE"""),"")</f>
        <v/>
      </c>
      <c r="O6815" s="17"/>
    </row>
    <row r="6816">
      <c r="B6816" s="17" t="s">
        <v>477</v>
      </c>
      <c r="K6816" s="18" t="s">
        <v>477</v>
      </c>
      <c r="N6816" s="17" t="str">
        <f>IFERROR(__xludf.DUMMYFUNCTION("""COMPUTED_VALUE"""),"")</f>
        <v/>
      </c>
      <c r="O6816" s="17"/>
    </row>
    <row r="6817">
      <c r="B6817" s="17" t="s">
        <v>477</v>
      </c>
      <c r="K6817" s="18" t="s">
        <v>477</v>
      </c>
      <c r="N6817" s="17" t="str">
        <f>IFERROR(__xludf.DUMMYFUNCTION("""COMPUTED_VALUE"""),"")</f>
        <v/>
      </c>
      <c r="O6817" s="17"/>
    </row>
    <row r="6818">
      <c r="B6818" s="17" t="s">
        <v>477</v>
      </c>
      <c r="K6818" s="18" t="s">
        <v>477</v>
      </c>
      <c r="N6818" s="17" t="str">
        <f>IFERROR(__xludf.DUMMYFUNCTION("""COMPUTED_VALUE"""),"")</f>
        <v/>
      </c>
      <c r="O6818" s="17"/>
    </row>
    <row r="6819">
      <c r="B6819" s="17" t="s">
        <v>477</v>
      </c>
      <c r="K6819" s="18" t="s">
        <v>477</v>
      </c>
      <c r="N6819" s="17" t="str">
        <f>IFERROR(__xludf.DUMMYFUNCTION("""COMPUTED_VALUE"""),"")</f>
        <v/>
      </c>
      <c r="O6819" s="17"/>
    </row>
    <row r="6820">
      <c r="B6820" s="17" t="s">
        <v>477</v>
      </c>
      <c r="K6820" s="18" t="s">
        <v>477</v>
      </c>
      <c r="N6820" s="17" t="str">
        <f>IFERROR(__xludf.DUMMYFUNCTION("""COMPUTED_VALUE"""),"")</f>
        <v/>
      </c>
      <c r="O6820" s="17"/>
    </row>
    <row r="6821">
      <c r="B6821" s="17" t="s">
        <v>477</v>
      </c>
      <c r="K6821" s="18" t="s">
        <v>477</v>
      </c>
      <c r="N6821" s="17" t="str">
        <f>IFERROR(__xludf.DUMMYFUNCTION("""COMPUTED_VALUE"""),"")</f>
        <v/>
      </c>
      <c r="O6821" s="17"/>
    </row>
    <row r="6822">
      <c r="B6822" s="17" t="s">
        <v>477</v>
      </c>
      <c r="K6822" s="18" t="s">
        <v>477</v>
      </c>
      <c r="N6822" s="17" t="str">
        <f>IFERROR(__xludf.DUMMYFUNCTION("""COMPUTED_VALUE"""),"")</f>
        <v/>
      </c>
      <c r="O6822" s="17"/>
    </row>
    <row r="6823">
      <c r="B6823" s="17" t="s">
        <v>477</v>
      </c>
      <c r="K6823" s="18" t="s">
        <v>477</v>
      </c>
      <c r="N6823" s="17" t="str">
        <f>IFERROR(__xludf.DUMMYFUNCTION("""COMPUTED_VALUE"""),"")</f>
        <v/>
      </c>
      <c r="O6823" s="17"/>
    </row>
    <row r="6824">
      <c r="B6824" s="17" t="s">
        <v>477</v>
      </c>
      <c r="K6824" s="18" t="s">
        <v>477</v>
      </c>
      <c r="N6824" s="17" t="str">
        <f>IFERROR(__xludf.DUMMYFUNCTION("""COMPUTED_VALUE"""),"")</f>
        <v/>
      </c>
      <c r="O6824" s="17"/>
    </row>
    <row r="6825">
      <c r="B6825" s="17" t="s">
        <v>477</v>
      </c>
      <c r="K6825" s="18" t="s">
        <v>477</v>
      </c>
      <c r="N6825" s="17" t="str">
        <f>IFERROR(__xludf.DUMMYFUNCTION("""COMPUTED_VALUE"""),"")</f>
        <v/>
      </c>
      <c r="O6825" s="17"/>
    </row>
    <row r="6826">
      <c r="B6826" s="17" t="s">
        <v>477</v>
      </c>
      <c r="K6826" s="18" t="s">
        <v>477</v>
      </c>
      <c r="N6826" s="17" t="str">
        <f>IFERROR(__xludf.DUMMYFUNCTION("""COMPUTED_VALUE"""),"")</f>
        <v/>
      </c>
      <c r="O6826" s="17"/>
    </row>
    <row r="6827">
      <c r="B6827" s="17" t="s">
        <v>477</v>
      </c>
      <c r="K6827" s="18" t="s">
        <v>477</v>
      </c>
      <c r="N6827" s="17" t="str">
        <f>IFERROR(__xludf.DUMMYFUNCTION("""COMPUTED_VALUE"""),"")</f>
        <v/>
      </c>
      <c r="O6827" s="17"/>
    </row>
    <row r="6828">
      <c r="B6828" s="17" t="s">
        <v>477</v>
      </c>
      <c r="K6828" s="18" t="s">
        <v>477</v>
      </c>
      <c r="N6828" s="17" t="str">
        <f>IFERROR(__xludf.DUMMYFUNCTION("""COMPUTED_VALUE"""),"")</f>
        <v/>
      </c>
      <c r="O6828" s="17"/>
    </row>
    <row r="6829">
      <c r="B6829" s="17" t="s">
        <v>477</v>
      </c>
      <c r="K6829" s="18" t="s">
        <v>477</v>
      </c>
      <c r="N6829" s="17" t="str">
        <f>IFERROR(__xludf.DUMMYFUNCTION("""COMPUTED_VALUE"""),"")</f>
        <v/>
      </c>
      <c r="O6829" s="17"/>
    </row>
    <row r="6830">
      <c r="B6830" s="17" t="s">
        <v>477</v>
      </c>
      <c r="K6830" s="18" t="s">
        <v>477</v>
      </c>
      <c r="N6830" s="17" t="str">
        <f>IFERROR(__xludf.DUMMYFUNCTION("""COMPUTED_VALUE"""),"")</f>
        <v/>
      </c>
      <c r="O6830" s="17"/>
    </row>
    <row r="6831">
      <c r="B6831" s="17" t="s">
        <v>477</v>
      </c>
      <c r="K6831" s="18" t="s">
        <v>477</v>
      </c>
      <c r="N6831" s="17" t="str">
        <f>IFERROR(__xludf.DUMMYFUNCTION("""COMPUTED_VALUE"""),"")</f>
        <v/>
      </c>
      <c r="O6831" s="17"/>
    </row>
    <row r="6832">
      <c r="B6832" s="17" t="s">
        <v>477</v>
      </c>
      <c r="K6832" s="18" t="s">
        <v>477</v>
      </c>
      <c r="N6832" s="17" t="str">
        <f>IFERROR(__xludf.DUMMYFUNCTION("""COMPUTED_VALUE"""),"")</f>
        <v/>
      </c>
      <c r="O6832" s="17"/>
    </row>
    <row r="6833">
      <c r="B6833" s="17" t="s">
        <v>477</v>
      </c>
      <c r="K6833" s="18" t="s">
        <v>477</v>
      </c>
      <c r="N6833" s="17" t="str">
        <f>IFERROR(__xludf.DUMMYFUNCTION("""COMPUTED_VALUE"""),"")</f>
        <v/>
      </c>
      <c r="O6833" s="17"/>
    </row>
    <row r="6834">
      <c r="B6834" s="17" t="s">
        <v>477</v>
      </c>
      <c r="K6834" s="18" t="s">
        <v>477</v>
      </c>
      <c r="N6834" s="17" t="str">
        <f>IFERROR(__xludf.DUMMYFUNCTION("""COMPUTED_VALUE"""),"")</f>
        <v/>
      </c>
      <c r="O6834" s="17"/>
    </row>
    <row r="6835">
      <c r="B6835" s="17" t="s">
        <v>477</v>
      </c>
      <c r="K6835" s="18" t="s">
        <v>477</v>
      </c>
      <c r="N6835" s="17" t="str">
        <f>IFERROR(__xludf.DUMMYFUNCTION("""COMPUTED_VALUE"""),"")</f>
        <v/>
      </c>
      <c r="O6835" s="17"/>
    </row>
    <row r="6836">
      <c r="B6836" s="17" t="s">
        <v>477</v>
      </c>
      <c r="K6836" s="18" t="s">
        <v>477</v>
      </c>
      <c r="N6836" s="17" t="str">
        <f>IFERROR(__xludf.DUMMYFUNCTION("""COMPUTED_VALUE"""),"")</f>
        <v/>
      </c>
      <c r="O6836" s="17"/>
    </row>
    <row r="6837">
      <c r="B6837" s="17" t="s">
        <v>477</v>
      </c>
      <c r="K6837" s="18" t="s">
        <v>477</v>
      </c>
      <c r="N6837" s="17" t="str">
        <f>IFERROR(__xludf.DUMMYFUNCTION("""COMPUTED_VALUE"""),"")</f>
        <v/>
      </c>
      <c r="O6837" s="17"/>
    </row>
    <row r="6838">
      <c r="B6838" s="17" t="s">
        <v>477</v>
      </c>
      <c r="K6838" s="18" t="s">
        <v>477</v>
      </c>
      <c r="N6838" s="17" t="str">
        <f>IFERROR(__xludf.DUMMYFUNCTION("""COMPUTED_VALUE"""),"")</f>
        <v/>
      </c>
      <c r="O6838" s="17"/>
    </row>
    <row r="6839">
      <c r="B6839" s="17" t="s">
        <v>477</v>
      </c>
      <c r="K6839" s="18" t="s">
        <v>477</v>
      </c>
      <c r="N6839" s="17" t="str">
        <f>IFERROR(__xludf.DUMMYFUNCTION("""COMPUTED_VALUE"""),"")</f>
        <v/>
      </c>
      <c r="O6839" s="17"/>
    </row>
    <row r="6840">
      <c r="B6840" s="17" t="s">
        <v>477</v>
      </c>
      <c r="K6840" s="18" t="s">
        <v>477</v>
      </c>
      <c r="N6840" s="17" t="str">
        <f>IFERROR(__xludf.DUMMYFUNCTION("""COMPUTED_VALUE"""),"")</f>
        <v/>
      </c>
      <c r="O6840" s="17"/>
    </row>
    <row r="6841">
      <c r="B6841" s="17" t="s">
        <v>477</v>
      </c>
      <c r="K6841" s="18" t="s">
        <v>477</v>
      </c>
      <c r="N6841" s="17" t="str">
        <f>IFERROR(__xludf.DUMMYFUNCTION("""COMPUTED_VALUE"""),"")</f>
        <v/>
      </c>
      <c r="O6841" s="17"/>
    </row>
    <row r="6842">
      <c r="B6842" s="17" t="s">
        <v>477</v>
      </c>
      <c r="K6842" s="18" t="s">
        <v>477</v>
      </c>
      <c r="N6842" s="17" t="str">
        <f>IFERROR(__xludf.DUMMYFUNCTION("""COMPUTED_VALUE"""),"")</f>
        <v/>
      </c>
      <c r="O6842" s="17"/>
    </row>
    <row r="6843">
      <c r="B6843" s="17" t="s">
        <v>477</v>
      </c>
      <c r="K6843" s="18" t="s">
        <v>477</v>
      </c>
      <c r="N6843" s="17" t="str">
        <f>IFERROR(__xludf.DUMMYFUNCTION("""COMPUTED_VALUE"""),"")</f>
        <v/>
      </c>
      <c r="O6843" s="17"/>
    </row>
    <row r="6844">
      <c r="B6844" s="17" t="s">
        <v>477</v>
      </c>
      <c r="K6844" s="18" t="s">
        <v>477</v>
      </c>
      <c r="N6844" s="17" t="str">
        <f>IFERROR(__xludf.DUMMYFUNCTION("""COMPUTED_VALUE"""),"")</f>
        <v/>
      </c>
      <c r="O6844" s="17"/>
    </row>
    <row r="6845">
      <c r="B6845" s="17" t="s">
        <v>477</v>
      </c>
      <c r="K6845" s="18" t="s">
        <v>477</v>
      </c>
      <c r="N6845" s="17" t="str">
        <f>IFERROR(__xludf.DUMMYFUNCTION("""COMPUTED_VALUE"""),"")</f>
        <v/>
      </c>
      <c r="O6845" s="17"/>
    </row>
    <row r="6846">
      <c r="B6846" s="17" t="s">
        <v>477</v>
      </c>
      <c r="K6846" s="18" t="s">
        <v>477</v>
      </c>
      <c r="N6846" s="17" t="str">
        <f>IFERROR(__xludf.DUMMYFUNCTION("""COMPUTED_VALUE"""),"")</f>
        <v/>
      </c>
      <c r="O6846" s="17"/>
    </row>
    <row r="6847">
      <c r="B6847" s="17" t="s">
        <v>477</v>
      </c>
      <c r="K6847" s="18" t="s">
        <v>477</v>
      </c>
      <c r="N6847" s="17" t="str">
        <f>IFERROR(__xludf.DUMMYFUNCTION("""COMPUTED_VALUE"""),"")</f>
        <v/>
      </c>
      <c r="O6847" s="17"/>
    </row>
    <row r="6848">
      <c r="B6848" s="17" t="s">
        <v>477</v>
      </c>
      <c r="K6848" s="18" t="s">
        <v>477</v>
      </c>
      <c r="N6848" s="17" t="str">
        <f>IFERROR(__xludf.DUMMYFUNCTION("""COMPUTED_VALUE"""),"")</f>
        <v/>
      </c>
      <c r="O6848" s="17"/>
    </row>
    <row r="6849">
      <c r="B6849" s="17" t="s">
        <v>477</v>
      </c>
      <c r="K6849" s="18" t="s">
        <v>477</v>
      </c>
      <c r="N6849" s="17" t="str">
        <f>IFERROR(__xludf.DUMMYFUNCTION("""COMPUTED_VALUE"""),"")</f>
        <v/>
      </c>
      <c r="O6849" s="17"/>
    </row>
    <row r="6850">
      <c r="B6850" s="17" t="s">
        <v>477</v>
      </c>
      <c r="K6850" s="18" t="s">
        <v>477</v>
      </c>
      <c r="N6850" s="17" t="str">
        <f>IFERROR(__xludf.DUMMYFUNCTION("""COMPUTED_VALUE"""),"")</f>
        <v/>
      </c>
      <c r="O6850" s="17"/>
    </row>
    <row r="6851">
      <c r="B6851" s="17" t="s">
        <v>477</v>
      </c>
      <c r="K6851" s="18" t="s">
        <v>477</v>
      </c>
      <c r="N6851" s="17" t="str">
        <f>IFERROR(__xludf.DUMMYFUNCTION("""COMPUTED_VALUE"""),"")</f>
        <v/>
      </c>
      <c r="O6851" s="17"/>
    </row>
    <row r="6852">
      <c r="B6852" s="17" t="s">
        <v>477</v>
      </c>
      <c r="K6852" s="18" t="s">
        <v>477</v>
      </c>
      <c r="N6852" s="17" t="str">
        <f>IFERROR(__xludf.DUMMYFUNCTION("""COMPUTED_VALUE"""),"")</f>
        <v/>
      </c>
      <c r="O6852" s="17"/>
    </row>
    <row r="6853">
      <c r="B6853" s="17" t="s">
        <v>477</v>
      </c>
      <c r="K6853" s="18" t="s">
        <v>477</v>
      </c>
      <c r="N6853" s="17" t="str">
        <f>IFERROR(__xludf.DUMMYFUNCTION("""COMPUTED_VALUE"""),"")</f>
        <v/>
      </c>
      <c r="O6853" s="17"/>
    </row>
    <row r="6854">
      <c r="B6854" s="17" t="s">
        <v>477</v>
      </c>
      <c r="K6854" s="18" t="s">
        <v>477</v>
      </c>
      <c r="N6854" s="17" t="str">
        <f>IFERROR(__xludf.DUMMYFUNCTION("""COMPUTED_VALUE"""),"")</f>
        <v/>
      </c>
      <c r="O6854" s="17"/>
    </row>
    <row r="6855">
      <c r="B6855" s="17" t="s">
        <v>477</v>
      </c>
      <c r="K6855" s="18" t="s">
        <v>477</v>
      </c>
      <c r="N6855" s="17" t="str">
        <f>IFERROR(__xludf.DUMMYFUNCTION("""COMPUTED_VALUE"""),"")</f>
        <v/>
      </c>
      <c r="O6855" s="17"/>
    </row>
    <row r="6856">
      <c r="B6856" s="17" t="s">
        <v>477</v>
      </c>
      <c r="K6856" s="18" t="s">
        <v>477</v>
      </c>
      <c r="N6856" s="17" t="str">
        <f>IFERROR(__xludf.DUMMYFUNCTION("""COMPUTED_VALUE"""),"")</f>
        <v/>
      </c>
      <c r="O6856" s="17"/>
    </row>
    <row r="6857">
      <c r="B6857" s="17" t="s">
        <v>477</v>
      </c>
      <c r="K6857" s="18" t="s">
        <v>477</v>
      </c>
      <c r="N6857" s="17" t="str">
        <f>IFERROR(__xludf.DUMMYFUNCTION("""COMPUTED_VALUE"""),"")</f>
        <v/>
      </c>
      <c r="O6857" s="17"/>
    </row>
    <row r="6858">
      <c r="B6858" s="17" t="s">
        <v>477</v>
      </c>
      <c r="K6858" s="18" t="s">
        <v>477</v>
      </c>
      <c r="N6858" s="17" t="str">
        <f>IFERROR(__xludf.DUMMYFUNCTION("""COMPUTED_VALUE"""),"")</f>
        <v/>
      </c>
      <c r="O6858" s="17"/>
    </row>
    <row r="6859">
      <c r="B6859" s="17" t="s">
        <v>477</v>
      </c>
      <c r="K6859" s="18" t="s">
        <v>477</v>
      </c>
      <c r="N6859" s="17" t="str">
        <f>IFERROR(__xludf.DUMMYFUNCTION("""COMPUTED_VALUE"""),"")</f>
        <v/>
      </c>
      <c r="O6859" s="17"/>
    </row>
    <row r="6860">
      <c r="B6860" s="17" t="s">
        <v>477</v>
      </c>
      <c r="K6860" s="18" t="s">
        <v>477</v>
      </c>
      <c r="N6860" s="17" t="str">
        <f>IFERROR(__xludf.DUMMYFUNCTION("""COMPUTED_VALUE"""),"")</f>
        <v/>
      </c>
      <c r="O6860" s="17"/>
    </row>
    <row r="6861">
      <c r="B6861" s="17" t="s">
        <v>477</v>
      </c>
      <c r="K6861" s="18" t="s">
        <v>477</v>
      </c>
      <c r="N6861" s="17" t="str">
        <f>IFERROR(__xludf.DUMMYFUNCTION("""COMPUTED_VALUE"""),"")</f>
        <v/>
      </c>
      <c r="O6861" s="17"/>
    </row>
    <row r="6862">
      <c r="B6862" s="17" t="s">
        <v>477</v>
      </c>
      <c r="K6862" s="18" t="s">
        <v>477</v>
      </c>
      <c r="N6862" s="17" t="str">
        <f>IFERROR(__xludf.DUMMYFUNCTION("""COMPUTED_VALUE"""),"")</f>
        <v/>
      </c>
      <c r="O6862" s="17"/>
    </row>
    <row r="6863">
      <c r="B6863" s="17" t="s">
        <v>477</v>
      </c>
      <c r="K6863" s="18" t="s">
        <v>477</v>
      </c>
      <c r="N6863" s="17" t="str">
        <f>IFERROR(__xludf.DUMMYFUNCTION("""COMPUTED_VALUE"""),"")</f>
        <v/>
      </c>
      <c r="O6863" s="17"/>
    </row>
    <row r="6864">
      <c r="B6864" s="17" t="s">
        <v>477</v>
      </c>
      <c r="K6864" s="18" t="s">
        <v>477</v>
      </c>
      <c r="N6864" s="17" t="str">
        <f>IFERROR(__xludf.DUMMYFUNCTION("""COMPUTED_VALUE"""),"")</f>
        <v/>
      </c>
      <c r="O6864" s="17"/>
    </row>
    <row r="6865">
      <c r="B6865" s="17" t="s">
        <v>477</v>
      </c>
      <c r="K6865" s="18" t="s">
        <v>477</v>
      </c>
      <c r="N6865" s="17" t="str">
        <f>IFERROR(__xludf.DUMMYFUNCTION("""COMPUTED_VALUE"""),"")</f>
        <v/>
      </c>
      <c r="O6865" s="17"/>
    </row>
    <row r="6866">
      <c r="B6866" s="17" t="s">
        <v>477</v>
      </c>
      <c r="K6866" s="18" t="s">
        <v>477</v>
      </c>
      <c r="N6866" s="17" t="str">
        <f>IFERROR(__xludf.DUMMYFUNCTION("""COMPUTED_VALUE"""),"")</f>
        <v/>
      </c>
      <c r="O6866" s="17"/>
    </row>
    <row r="6867">
      <c r="B6867" s="17" t="s">
        <v>477</v>
      </c>
      <c r="K6867" s="18" t="s">
        <v>477</v>
      </c>
      <c r="N6867" s="17" t="str">
        <f>IFERROR(__xludf.DUMMYFUNCTION("""COMPUTED_VALUE"""),"")</f>
        <v/>
      </c>
      <c r="O6867" s="17"/>
    </row>
    <row r="6868">
      <c r="B6868" s="17" t="s">
        <v>477</v>
      </c>
      <c r="K6868" s="18" t="s">
        <v>477</v>
      </c>
      <c r="N6868" s="17" t="str">
        <f>IFERROR(__xludf.DUMMYFUNCTION("""COMPUTED_VALUE"""),"")</f>
        <v/>
      </c>
      <c r="O6868" s="17"/>
    </row>
    <row r="6869">
      <c r="B6869" s="17" t="s">
        <v>477</v>
      </c>
      <c r="K6869" s="18" t="s">
        <v>477</v>
      </c>
      <c r="N6869" s="17" t="str">
        <f>IFERROR(__xludf.DUMMYFUNCTION("""COMPUTED_VALUE"""),"")</f>
        <v/>
      </c>
      <c r="O6869" s="17"/>
    </row>
    <row r="6870">
      <c r="B6870" s="17" t="s">
        <v>477</v>
      </c>
      <c r="K6870" s="18" t="s">
        <v>477</v>
      </c>
      <c r="N6870" s="17" t="str">
        <f>IFERROR(__xludf.DUMMYFUNCTION("""COMPUTED_VALUE"""),"")</f>
        <v/>
      </c>
      <c r="O6870" s="17"/>
    </row>
    <row r="6871">
      <c r="B6871" s="17" t="s">
        <v>477</v>
      </c>
      <c r="K6871" s="18" t="s">
        <v>477</v>
      </c>
      <c r="N6871" s="17" t="str">
        <f>IFERROR(__xludf.DUMMYFUNCTION("""COMPUTED_VALUE"""),"")</f>
        <v/>
      </c>
      <c r="O6871" s="17"/>
    </row>
    <row r="6872">
      <c r="B6872" s="17" t="s">
        <v>477</v>
      </c>
      <c r="K6872" s="18" t="s">
        <v>477</v>
      </c>
      <c r="N6872" s="17" t="str">
        <f>IFERROR(__xludf.DUMMYFUNCTION("""COMPUTED_VALUE"""),"")</f>
        <v/>
      </c>
      <c r="O6872" s="17"/>
    </row>
    <row r="6873">
      <c r="B6873" s="17" t="s">
        <v>477</v>
      </c>
      <c r="K6873" s="18" t="s">
        <v>477</v>
      </c>
      <c r="N6873" s="17" t="str">
        <f>IFERROR(__xludf.DUMMYFUNCTION("""COMPUTED_VALUE"""),"")</f>
        <v/>
      </c>
      <c r="O6873" s="17"/>
    </row>
    <row r="6874">
      <c r="B6874" s="17" t="s">
        <v>477</v>
      </c>
      <c r="K6874" s="18" t="s">
        <v>477</v>
      </c>
      <c r="N6874" s="17" t="str">
        <f>IFERROR(__xludf.DUMMYFUNCTION("""COMPUTED_VALUE"""),"")</f>
        <v/>
      </c>
      <c r="O6874" s="17"/>
    </row>
    <row r="6875">
      <c r="B6875" s="17" t="s">
        <v>477</v>
      </c>
      <c r="K6875" s="18" t="s">
        <v>477</v>
      </c>
      <c r="N6875" s="17" t="str">
        <f>IFERROR(__xludf.DUMMYFUNCTION("""COMPUTED_VALUE"""),"")</f>
        <v/>
      </c>
      <c r="O6875" s="17"/>
    </row>
    <row r="6876">
      <c r="B6876" s="17" t="s">
        <v>477</v>
      </c>
      <c r="K6876" s="18" t="s">
        <v>477</v>
      </c>
      <c r="N6876" s="17" t="str">
        <f>IFERROR(__xludf.DUMMYFUNCTION("""COMPUTED_VALUE"""),"")</f>
        <v/>
      </c>
      <c r="O6876" s="17"/>
    </row>
    <row r="6877">
      <c r="B6877" s="17" t="s">
        <v>477</v>
      </c>
      <c r="K6877" s="18" t="s">
        <v>477</v>
      </c>
      <c r="N6877" s="17" t="str">
        <f>IFERROR(__xludf.DUMMYFUNCTION("""COMPUTED_VALUE"""),"")</f>
        <v/>
      </c>
      <c r="O6877" s="17"/>
    </row>
    <row r="6878">
      <c r="B6878" s="17" t="s">
        <v>477</v>
      </c>
      <c r="K6878" s="18" t="s">
        <v>477</v>
      </c>
      <c r="N6878" s="17" t="str">
        <f>IFERROR(__xludf.DUMMYFUNCTION("""COMPUTED_VALUE"""),"")</f>
        <v/>
      </c>
      <c r="O6878" s="17"/>
    </row>
    <row r="6879">
      <c r="B6879" s="17" t="s">
        <v>477</v>
      </c>
      <c r="K6879" s="18" t="s">
        <v>477</v>
      </c>
      <c r="N6879" s="17" t="str">
        <f>IFERROR(__xludf.DUMMYFUNCTION("""COMPUTED_VALUE"""),"")</f>
        <v/>
      </c>
      <c r="O6879" s="17"/>
    </row>
    <row r="6880">
      <c r="B6880" s="17" t="s">
        <v>477</v>
      </c>
      <c r="K6880" s="18" t="s">
        <v>477</v>
      </c>
      <c r="N6880" s="17" t="str">
        <f>IFERROR(__xludf.DUMMYFUNCTION("""COMPUTED_VALUE"""),"")</f>
        <v/>
      </c>
      <c r="O6880" s="17"/>
    </row>
    <row r="6881">
      <c r="B6881" s="17" t="s">
        <v>477</v>
      </c>
      <c r="K6881" s="18" t="s">
        <v>477</v>
      </c>
      <c r="N6881" s="17" t="str">
        <f>IFERROR(__xludf.DUMMYFUNCTION("""COMPUTED_VALUE"""),"")</f>
        <v/>
      </c>
      <c r="O6881" s="17"/>
    </row>
    <row r="6882">
      <c r="B6882" s="17" t="s">
        <v>477</v>
      </c>
      <c r="K6882" s="18" t="s">
        <v>477</v>
      </c>
      <c r="N6882" s="17" t="str">
        <f>IFERROR(__xludf.DUMMYFUNCTION("""COMPUTED_VALUE"""),"")</f>
        <v/>
      </c>
      <c r="O6882" s="17"/>
    </row>
    <row r="6883">
      <c r="B6883" s="17" t="s">
        <v>477</v>
      </c>
      <c r="K6883" s="18" t="s">
        <v>477</v>
      </c>
      <c r="N6883" s="17" t="str">
        <f>IFERROR(__xludf.DUMMYFUNCTION("""COMPUTED_VALUE"""),"")</f>
        <v/>
      </c>
      <c r="O6883" s="17"/>
    </row>
    <row r="6884">
      <c r="B6884" s="17" t="s">
        <v>477</v>
      </c>
      <c r="K6884" s="18" t="s">
        <v>477</v>
      </c>
      <c r="N6884" s="17" t="str">
        <f>IFERROR(__xludf.DUMMYFUNCTION("""COMPUTED_VALUE"""),"")</f>
        <v/>
      </c>
      <c r="O6884" s="17"/>
    </row>
    <row r="6885">
      <c r="B6885" s="17" t="s">
        <v>477</v>
      </c>
      <c r="K6885" s="18" t="s">
        <v>477</v>
      </c>
      <c r="N6885" s="17" t="str">
        <f>IFERROR(__xludf.DUMMYFUNCTION("""COMPUTED_VALUE"""),"")</f>
        <v/>
      </c>
      <c r="O6885" s="17"/>
    </row>
    <row r="6886">
      <c r="B6886" s="17" t="s">
        <v>477</v>
      </c>
      <c r="K6886" s="18" t="s">
        <v>477</v>
      </c>
      <c r="N6886" s="17" t="str">
        <f>IFERROR(__xludf.DUMMYFUNCTION("""COMPUTED_VALUE"""),"")</f>
        <v/>
      </c>
      <c r="O6886" s="17"/>
    </row>
    <row r="6887">
      <c r="B6887" s="17" t="s">
        <v>477</v>
      </c>
      <c r="K6887" s="18" t="s">
        <v>477</v>
      </c>
      <c r="N6887" s="17" t="str">
        <f>IFERROR(__xludf.DUMMYFUNCTION("""COMPUTED_VALUE"""),"")</f>
        <v/>
      </c>
      <c r="O6887" s="17"/>
    </row>
    <row r="6888">
      <c r="B6888" s="17" t="s">
        <v>477</v>
      </c>
      <c r="K6888" s="18" t="s">
        <v>477</v>
      </c>
      <c r="N6888" s="17" t="str">
        <f>IFERROR(__xludf.DUMMYFUNCTION("""COMPUTED_VALUE"""),"")</f>
        <v/>
      </c>
      <c r="O6888" s="17"/>
    </row>
    <row r="6889">
      <c r="B6889" s="17" t="s">
        <v>477</v>
      </c>
      <c r="K6889" s="18" t="s">
        <v>477</v>
      </c>
      <c r="N6889" s="17" t="str">
        <f>IFERROR(__xludf.DUMMYFUNCTION("""COMPUTED_VALUE"""),"")</f>
        <v/>
      </c>
      <c r="O6889" s="17"/>
    </row>
    <row r="6890">
      <c r="B6890" s="17" t="s">
        <v>477</v>
      </c>
      <c r="K6890" s="18" t="s">
        <v>477</v>
      </c>
      <c r="N6890" s="17" t="str">
        <f>IFERROR(__xludf.DUMMYFUNCTION("""COMPUTED_VALUE"""),"")</f>
        <v/>
      </c>
      <c r="O6890" s="17"/>
    </row>
    <row r="6891">
      <c r="B6891" s="17" t="s">
        <v>477</v>
      </c>
      <c r="K6891" s="18" t="s">
        <v>477</v>
      </c>
      <c r="N6891" s="17" t="str">
        <f>IFERROR(__xludf.DUMMYFUNCTION("""COMPUTED_VALUE"""),"")</f>
        <v/>
      </c>
      <c r="O6891" s="17"/>
    </row>
    <row r="6892">
      <c r="B6892" s="17" t="s">
        <v>477</v>
      </c>
      <c r="K6892" s="18" t="s">
        <v>477</v>
      </c>
      <c r="N6892" s="17" t="str">
        <f>IFERROR(__xludf.DUMMYFUNCTION("""COMPUTED_VALUE"""),"")</f>
        <v/>
      </c>
      <c r="O6892" s="17"/>
    </row>
    <row r="6893">
      <c r="B6893" s="17" t="s">
        <v>477</v>
      </c>
      <c r="K6893" s="18" t="s">
        <v>477</v>
      </c>
      <c r="N6893" s="17" t="str">
        <f>IFERROR(__xludf.DUMMYFUNCTION("""COMPUTED_VALUE"""),"")</f>
        <v/>
      </c>
      <c r="O6893" s="17"/>
    </row>
    <row r="6894">
      <c r="B6894" s="17" t="s">
        <v>477</v>
      </c>
      <c r="K6894" s="18" t="s">
        <v>477</v>
      </c>
      <c r="N6894" s="17" t="str">
        <f>IFERROR(__xludf.DUMMYFUNCTION("""COMPUTED_VALUE"""),"")</f>
        <v/>
      </c>
      <c r="O6894" s="17"/>
    </row>
    <row r="6895">
      <c r="B6895" s="17" t="s">
        <v>477</v>
      </c>
      <c r="K6895" s="18" t="s">
        <v>477</v>
      </c>
      <c r="N6895" s="17" t="str">
        <f>IFERROR(__xludf.DUMMYFUNCTION("""COMPUTED_VALUE"""),"")</f>
        <v/>
      </c>
      <c r="O6895" s="17"/>
    </row>
    <row r="6896">
      <c r="B6896" s="17" t="s">
        <v>477</v>
      </c>
      <c r="K6896" s="18" t="s">
        <v>477</v>
      </c>
      <c r="N6896" s="17" t="str">
        <f>IFERROR(__xludf.DUMMYFUNCTION("""COMPUTED_VALUE"""),"")</f>
        <v/>
      </c>
      <c r="O6896" s="17"/>
    </row>
    <row r="6897">
      <c r="B6897" s="17" t="s">
        <v>477</v>
      </c>
      <c r="K6897" s="18" t="s">
        <v>477</v>
      </c>
      <c r="N6897" s="17" t="str">
        <f>IFERROR(__xludf.DUMMYFUNCTION("""COMPUTED_VALUE"""),"")</f>
        <v/>
      </c>
      <c r="O6897" s="17"/>
    </row>
    <row r="6898">
      <c r="B6898" s="17" t="s">
        <v>477</v>
      </c>
      <c r="K6898" s="18" t="s">
        <v>477</v>
      </c>
      <c r="N6898" s="17" t="str">
        <f>IFERROR(__xludf.DUMMYFUNCTION("""COMPUTED_VALUE"""),"")</f>
        <v/>
      </c>
      <c r="O6898" s="17"/>
    </row>
    <row r="6899">
      <c r="B6899" s="17" t="s">
        <v>477</v>
      </c>
      <c r="K6899" s="18" t="s">
        <v>477</v>
      </c>
      <c r="N6899" s="17" t="str">
        <f>IFERROR(__xludf.DUMMYFUNCTION("""COMPUTED_VALUE"""),"")</f>
        <v/>
      </c>
      <c r="O6899" s="17"/>
    </row>
    <row r="6900">
      <c r="B6900" s="17" t="s">
        <v>477</v>
      </c>
      <c r="K6900" s="18" t="s">
        <v>477</v>
      </c>
      <c r="N6900" s="17" t="str">
        <f>IFERROR(__xludf.DUMMYFUNCTION("""COMPUTED_VALUE"""),"")</f>
        <v/>
      </c>
      <c r="O6900" s="17"/>
    </row>
    <row r="6901">
      <c r="B6901" s="17" t="s">
        <v>477</v>
      </c>
      <c r="K6901" s="18" t="s">
        <v>477</v>
      </c>
      <c r="N6901" s="17" t="str">
        <f>IFERROR(__xludf.DUMMYFUNCTION("""COMPUTED_VALUE"""),"")</f>
        <v/>
      </c>
      <c r="O6901" s="17"/>
    </row>
    <row r="6902">
      <c r="B6902" s="17" t="s">
        <v>477</v>
      </c>
      <c r="K6902" s="18" t="s">
        <v>477</v>
      </c>
      <c r="N6902" s="17" t="str">
        <f>IFERROR(__xludf.DUMMYFUNCTION("""COMPUTED_VALUE"""),"")</f>
        <v/>
      </c>
      <c r="O6902" s="17"/>
    </row>
    <row r="6903">
      <c r="B6903" s="17" t="s">
        <v>477</v>
      </c>
      <c r="K6903" s="18" t="s">
        <v>477</v>
      </c>
      <c r="N6903" s="17" t="str">
        <f>IFERROR(__xludf.DUMMYFUNCTION("""COMPUTED_VALUE"""),"")</f>
        <v/>
      </c>
      <c r="O6903" s="17"/>
    </row>
    <row r="6904">
      <c r="B6904" s="17" t="s">
        <v>477</v>
      </c>
      <c r="K6904" s="18" t="s">
        <v>477</v>
      </c>
      <c r="N6904" s="17" t="str">
        <f>IFERROR(__xludf.DUMMYFUNCTION("""COMPUTED_VALUE"""),"")</f>
        <v/>
      </c>
      <c r="O6904" s="17"/>
    </row>
    <row r="6905">
      <c r="B6905" s="17" t="s">
        <v>477</v>
      </c>
      <c r="K6905" s="18" t="s">
        <v>477</v>
      </c>
      <c r="N6905" s="17" t="str">
        <f>IFERROR(__xludf.DUMMYFUNCTION("""COMPUTED_VALUE"""),"")</f>
        <v/>
      </c>
      <c r="O6905" s="17"/>
    </row>
    <row r="6906">
      <c r="B6906" s="17" t="s">
        <v>477</v>
      </c>
      <c r="K6906" s="18" t="s">
        <v>477</v>
      </c>
      <c r="N6906" s="17" t="str">
        <f>IFERROR(__xludf.DUMMYFUNCTION("""COMPUTED_VALUE"""),"")</f>
        <v/>
      </c>
      <c r="O6906" s="17"/>
    </row>
    <row r="6907">
      <c r="B6907" s="17" t="s">
        <v>477</v>
      </c>
      <c r="K6907" s="18" t="s">
        <v>477</v>
      </c>
      <c r="N6907" s="17" t="str">
        <f>IFERROR(__xludf.DUMMYFUNCTION("""COMPUTED_VALUE"""),"")</f>
        <v/>
      </c>
      <c r="O6907" s="17"/>
    </row>
    <row r="6908">
      <c r="B6908" s="17" t="s">
        <v>477</v>
      </c>
      <c r="K6908" s="18" t="s">
        <v>477</v>
      </c>
      <c r="N6908" s="17" t="str">
        <f>IFERROR(__xludf.DUMMYFUNCTION("""COMPUTED_VALUE"""),"")</f>
        <v/>
      </c>
      <c r="O6908" s="17"/>
    </row>
    <row r="6909">
      <c r="B6909" s="17" t="s">
        <v>477</v>
      </c>
      <c r="K6909" s="18" t="s">
        <v>477</v>
      </c>
      <c r="N6909" s="17" t="str">
        <f>IFERROR(__xludf.DUMMYFUNCTION("""COMPUTED_VALUE"""),"")</f>
        <v/>
      </c>
      <c r="O6909" s="17"/>
    </row>
    <row r="6910">
      <c r="B6910" s="17" t="s">
        <v>477</v>
      </c>
      <c r="K6910" s="18" t="s">
        <v>477</v>
      </c>
      <c r="N6910" s="17" t="str">
        <f>IFERROR(__xludf.DUMMYFUNCTION("""COMPUTED_VALUE"""),"")</f>
        <v/>
      </c>
      <c r="O6910" s="17"/>
    </row>
    <row r="6911">
      <c r="B6911" s="17" t="s">
        <v>477</v>
      </c>
      <c r="K6911" s="18" t="s">
        <v>477</v>
      </c>
      <c r="N6911" s="17" t="str">
        <f>IFERROR(__xludf.DUMMYFUNCTION("""COMPUTED_VALUE"""),"")</f>
        <v/>
      </c>
      <c r="O6911" s="17"/>
    </row>
    <row r="6912">
      <c r="B6912" s="17" t="s">
        <v>477</v>
      </c>
      <c r="K6912" s="18" t="s">
        <v>477</v>
      </c>
      <c r="N6912" s="17" t="str">
        <f>IFERROR(__xludf.DUMMYFUNCTION("""COMPUTED_VALUE"""),"")</f>
        <v/>
      </c>
      <c r="O6912" s="17"/>
    </row>
    <row r="6913">
      <c r="B6913" s="17" t="s">
        <v>477</v>
      </c>
      <c r="K6913" s="18" t="s">
        <v>477</v>
      </c>
      <c r="N6913" s="17" t="str">
        <f>IFERROR(__xludf.DUMMYFUNCTION("""COMPUTED_VALUE"""),"")</f>
        <v/>
      </c>
      <c r="O6913" s="17"/>
    </row>
    <row r="6914">
      <c r="B6914" s="17" t="s">
        <v>477</v>
      </c>
      <c r="K6914" s="18" t="s">
        <v>477</v>
      </c>
      <c r="N6914" s="17" t="str">
        <f>IFERROR(__xludf.DUMMYFUNCTION("""COMPUTED_VALUE"""),"")</f>
        <v/>
      </c>
      <c r="O6914" s="17"/>
    </row>
    <row r="6915">
      <c r="B6915" s="17" t="s">
        <v>477</v>
      </c>
      <c r="K6915" s="18" t="s">
        <v>477</v>
      </c>
      <c r="N6915" s="17" t="str">
        <f>IFERROR(__xludf.DUMMYFUNCTION("""COMPUTED_VALUE"""),"")</f>
        <v/>
      </c>
      <c r="O6915" s="17"/>
    </row>
    <row r="6916">
      <c r="B6916" s="17" t="s">
        <v>477</v>
      </c>
      <c r="K6916" s="18" t="s">
        <v>477</v>
      </c>
      <c r="N6916" s="17" t="str">
        <f>IFERROR(__xludf.DUMMYFUNCTION("""COMPUTED_VALUE"""),"")</f>
        <v/>
      </c>
      <c r="O6916" s="17"/>
    </row>
    <row r="6917">
      <c r="B6917" s="17" t="s">
        <v>477</v>
      </c>
      <c r="K6917" s="18" t="s">
        <v>477</v>
      </c>
      <c r="N6917" s="17" t="str">
        <f>IFERROR(__xludf.DUMMYFUNCTION("""COMPUTED_VALUE"""),"")</f>
        <v/>
      </c>
      <c r="O6917" s="17"/>
    </row>
    <row r="6918">
      <c r="B6918" s="17" t="s">
        <v>477</v>
      </c>
      <c r="K6918" s="18" t="s">
        <v>477</v>
      </c>
      <c r="N6918" s="17" t="str">
        <f>IFERROR(__xludf.DUMMYFUNCTION("""COMPUTED_VALUE"""),"")</f>
        <v/>
      </c>
      <c r="O6918" s="17"/>
    </row>
    <row r="6919">
      <c r="B6919" s="17" t="s">
        <v>477</v>
      </c>
      <c r="K6919" s="18" t="s">
        <v>477</v>
      </c>
      <c r="N6919" s="17" t="str">
        <f>IFERROR(__xludf.DUMMYFUNCTION("""COMPUTED_VALUE"""),"")</f>
        <v/>
      </c>
      <c r="O6919" s="17"/>
    </row>
    <row r="6920">
      <c r="B6920" s="17" t="s">
        <v>477</v>
      </c>
      <c r="K6920" s="18" t="s">
        <v>477</v>
      </c>
      <c r="N6920" s="17" t="str">
        <f>IFERROR(__xludf.DUMMYFUNCTION("""COMPUTED_VALUE"""),"")</f>
        <v/>
      </c>
      <c r="O6920" s="17"/>
    </row>
    <row r="6921">
      <c r="B6921" s="17" t="s">
        <v>477</v>
      </c>
      <c r="K6921" s="18" t="s">
        <v>477</v>
      </c>
      <c r="N6921" s="17" t="str">
        <f>IFERROR(__xludf.DUMMYFUNCTION("""COMPUTED_VALUE"""),"")</f>
        <v/>
      </c>
      <c r="O6921" s="17"/>
    </row>
    <row r="6922">
      <c r="B6922" s="17" t="s">
        <v>477</v>
      </c>
      <c r="K6922" s="18" t="s">
        <v>477</v>
      </c>
      <c r="N6922" s="17" t="str">
        <f>IFERROR(__xludf.DUMMYFUNCTION("""COMPUTED_VALUE"""),"")</f>
        <v/>
      </c>
      <c r="O6922" s="17"/>
    </row>
    <row r="6923">
      <c r="B6923" s="17" t="s">
        <v>477</v>
      </c>
      <c r="K6923" s="18" t="s">
        <v>477</v>
      </c>
      <c r="N6923" s="17" t="str">
        <f>IFERROR(__xludf.DUMMYFUNCTION("""COMPUTED_VALUE"""),"")</f>
        <v/>
      </c>
      <c r="O6923" s="17"/>
    </row>
    <row r="6924">
      <c r="B6924" s="17" t="s">
        <v>477</v>
      </c>
      <c r="K6924" s="18" t="s">
        <v>477</v>
      </c>
      <c r="N6924" s="17" t="str">
        <f>IFERROR(__xludf.DUMMYFUNCTION("""COMPUTED_VALUE"""),"")</f>
        <v/>
      </c>
      <c r="O6924" s="17"/>
    </row>
    <row r="6925">
      <c r="B6925" s="17" t="s">
        <v>477</v>
      </c>
      <c r="K6925" s="18" t="s">
        <v>477</v>
      </c>
      <c r="N6925" s="17" t="str">
        <f>IFERROR(__xludf.DUMMYFUNCTION("""COMPUTED_VALUE"""),"")</f>
        <v/>
      </c>
      <c r="O6925" s="17"/>
    </row>
    <row r="6926">
      <c r="B6926" s="17" t="s">
        <v>477</v>
      </c>
      <c r="K6926" s="18" t="s">
        <v>477</v>
      </c>
      <c r="N6926" s="17" t="str">
        <f>IFERROR(__xludf.DUMMYFUNCTION("""COMPUTED_VALUE"""),"")</f>
        <v/>
      </c>
      <c r="O6926" s="17"/>
    </row>
    <row r="6927">
      <c r="B6927" s="17" t="s">
        <v>477</v>
      </c>
      <c r="K6927" s="18" t="s">
        <v>477</v>
      </c>
      <c r="N6927" s="17" t="str">
        <f>IFERROR(__xludf.DUMMYFUNCTION("""COMPUTED_VALUE"""),"")</f>
        <v/>
      </c>
      <c r="O6927" s="17"/>
    </row>
    <row r="6928">
      <c r="B6928" s="17" t="s">
        <v>477</v>
      </c>
      <c r="K6928" s="18" t="s">
        <v>477</v>
      </c>
      <c r="N6928" s="17" t="str">
        <f>IFERROR(__xludf.DUMMYFUNCTION("""COMPUTED_VALUE"""),"")</f>
        <v/>
      </c>
      <c r="O6928" s="17"/>
    </row>
    <row r="6929">
      <c r="B6929" s="17" t="s">
        <v>477</v>
      </c>
      <c r="K6929" s="18" t="s">
        <v>477</v>
      </c>
      <c r="N6929" s="17" t="str">
        <f>IFERROR(__xludf.DUMMYFUNCTION("""COMPUTED_VALUE"""),"")</f>
        <v/>
      </c>
      <c r="O6929" s="17"/>
    </row>
    <row r="6930">
      <c r="B6930" s="17" t="s">
        <v>477</v>
      </c>
      <c r="K6930" s="18" t="s">
        <v>477</v>
      </c>
      <c r="N6930" s="17" t="str">
        <f>IFERROR(__xludf.DUMMYFUNCTION("""COMPUTED_VALUE"""),"")</f>
        <v/>
      </c>
      <c r="O6930" s="17"/>
    </row>
    <row r="6931">
      <c r="B6931" s="17" t="s">
        <v>477</v>
      </c>
      <c r="K6931" s="18" t="s">
        <v>477</v>
      </c>
      <c r="N6931" s="17" t="str">
        <f>IFERROR(__xludf.DUMMYFUNCTION("""COMPUTED_VALUE"""),"")</f>
        <v/>
      </c>
      <c r="O6931" s="17"/>
    </row>
    <row r="6932">
      <c r="B6932" s="17" t="s">
        <v>477</v>
      </c>
      <c r="K6932" s="18" t="s">
        <v>477</v>
      </c>
      <c r="N6932" s="17" t="str">
        <f>IFERROR(__xludf.DUMMYFUNCTION("""COMPUTED_VALUE"""),"")</f>
        <v/>
      </c>
      <c r="O6932" s="17"/>
    </row>
    <row r="6933">
      <c r="B6933" s="17" t="s">
        <v>477</v>
      </c>
      <c r="K6933" s="18" t="s">
        <v>477</v>
      </c>
      <c r="N6933" s="17" t="str">
        <f>IFERROR(__xludf.DUMMYFUNCTION("""COMPUTED_VALUE"""),"")</f>
        <v/>
      </c>
      <c r="O6933" s="17"/>
    </row>
    <row r="6934">
      <c r="B6934" s="17" t="s">
        <v>477</v>
      </c>
      <c r="K6934" s="18" t="s">
        <v>477</v>
      </c>
      <c r="N6934" s="17" t="str">
        <f>IFERROR(__xludf.DUMMYFUNCTION("""COMPUTED_VALUE"""),"")</f>
        <v/>
      </c>
      <c r="O6934" s="17"/>
    </row>
    <row r="6935">
      <c r="B6935" s="17" t="s">
        <v>477</v>
      </c>
      <c r="K6935" s="18" t="s">
        <v>477</v>
      </c>
      <c r="N6935" s="17" t="str">
        <f>IFERROR(__xludf.DUMMYFUNCTION("""COMPUTED_VALUE"""),"")</f>
        <v/>
      </c>
      <c r="O6935" s="17"/>
    </row>
    <row r="6936">
      <c r="B6936" s="17" t="s">
        <v>477</v>
      </c>
      <c r="K6936" s="18" t="s">
        <v>477</v>
      </c>
      <c r="N6936" s="17" t="str">
        <f>IFERROR(__xludf.DUMMYFUNCTION("""COMPUTED_VALUE"""),"")</f>
        <v/>
      </c>
      <c r="O6936" s="17"/>
    </row>
    <row r="6937">
      <c r="B6937" s="17" t="s">
        <v>477</v>
      </c>
      <c r="K6937" s="18" t="s">
        <v>477</v>
      </c>
      <c r="N6937" s="17" t="str">
        <f>IFERROR(__xludf.DUMMYFUNCTION("""COMPUTED_VALUE"""),"")</f>
        <v/>
      </c>
      <c r="O6937" s="17"/>
    </row>
    <row r="6938">
      <c r="B6938" s="17" t="s">
        <v>477</v>
      </c>
      <c r="K6938" s="18" t="s">
        <v>477</v>
      </c>
      <c r="N6938" s="17" t="str">
        <f>IFERROR(__xludf.DUMMYFUNCTION("""COMPUTED_VALUE"""),"")</f>
        <v/>
      </c>
      <c r="O6938" s="17"/>
    </row>
    <row r="6939">
      <c r="B6939" s="17" t="s">
        <v>477</v>
      </c>
      <c r="K6939" s="18" t="s">
        <v>477</v>
      </c>
      <c r="N6939" s="17" t="str">
        <f>IFERROR(__xludf.DUMMYFUNCTION("""COMPUTED_VALUE"""),"")</f>
        <v/>
      </c>
      <c r="O6939" s="17"/>
    </row>
    <row r="6940">
      <c r="B6940" s="17" t="s">
        <v>477</v>
      </c>
      <c r="K6940" s="18" t="s">
        <v>477</v>
      </c>
      <c r="N6940" s="17" t="str">
        <f>IFERROR(__xludf.DUMMYFUNCTION("""COMPUTED_VALUE"""),"")</f>
        <v/>
      </c>
      <c r="O6940" s="17"/>
    </row>
    <row r="6941">
      <c r="B6941" s="17" t="s">
        <v>477</v>
      </c>
      <c r="K6941" s="18" t="s">
        <v>477</v>
      </c>
      <c r="N6941" s="17" t="str">
        <f>IFERROR(__xludf.DUMMYFUNCTION("""COMPUTED_VALUE"""),"")</f>
        <v/>
      </c>
      <c r="O6941" s="17"/>
    </row>
    <row r="6942">
      <c r="B6942" s="17" t="s">
        <v>477</v>
      </c>
      <c r="K6942" s="18" t="s">
        <v>477</v>
      </c>
      <c r="N6942" s="17" t="str">
        <f>IFERROR(__xludf.DUMMYFUNCTION("""COMPUTED_VALUE"""),"")</f>
        <v/>
      </c>
      <c r="O6942" s="17"/>
    </row>
    <row r="6943">
      <c r="B6943" s="17" t="s">
        <v>477</v>
      </c>
      <c r="K6943" s="18" t="s">
        <v>477</v>
      </c>
      <c r="N6943" s="17" t="str">
        <f>IFERROR(__xludf.DUMMYFUNCTION("""COMPUTED_VALUE"""),"")</f>
        <v/>
      </c>
      <c r="O6943" s="17"/>
    </row>
    <row r="6944">
      <c r="B6944" s="17" t="s">
        <v>477</v>
      </c>
      <c r="K6944" s="18" t="s">
        <v>477</v>
      </c>
      <c r="N6944" s="17" t="str">
        <f>IFERROR(__xludf.DUMMYFUNCTION("""COMPUTED_VALUE"""),"")</f>
        <v/>
      </c>
      <c r="O6944" s="17"/>
    </row>
    <row r="6945">
      <c r="B6945" s="17" t="s">
        <v>477</v>
      </c>
      <c r="K6945" s="18" t="s">
        <v>477</v>
      </c>
      <c r="N6945" s="17" t="str">
        <f>IFERROR(__xludf.DUMMYFUNCTION("""COMPUTED_VALUE"""),"")</f>
        <v/>
      </c>
      <c r="O6945" s="17"/>
    </row>
    <row r="6946">
      <c r="B6946" s="17" t="s">
        <v>477</v>
      </c>
      <c r="K6946" s="18" t="s">
        <v>477</v>
      </c>
      <c r="N6946" s="17" t="str">
        <f>IFERROR(__xludf.DUMMYFUNCTION("""COMPUTED_VALUE"""),"")</f>
        <v/>
      </c>
      <c r="O6946" s="17"/>
    </row>
    <row r="6947">
      <c r="B6947" s="17" t="s">
        <v>477</v>
      </c>
      <c r="K6947" s="18" t="s">
        <v>477</v>
      </c>
      <c r="N6947" s="17" t="str">
        <f>IFERROR(__xludf.DUMMYFUNCTION("""COMPUTED_VALUE"""),"")</f>
        <v/>
      </c>
      <c r="O6947" s="17"/>
    </row>
    <row r="6948">
      <c r="B6948" s="17" t="s">
        <v>477</v>
      </c>
      <c r="K6948" s="18" t="s">
        <v>477</v>
      </c>
      <c r="N6948" s="17" t="str">
        <f>IFERROR(__xludf.DUMMYFUNCTION("""COMPUTED_VALUE"""),"")</f>
        <v/>
      </c>
      <c r="O6948" s="17"/>
    </row>
    <row r="6949">
      <c r="B6949" s="17" t="s">
        <v>477</v>
      </c>
      <c r="K6949" s="18" t="s">
        <v>477</v>
      </c>
      <c r="N6949" s="17" t="str">
        <f>IFERROR(__xludf.DUMMYFUNCTION("""COMPUTED_VALUE"""),"")</f>
        <v/>
      </c>
      <c r="O6949" s="17"/>
    </row>
    <row r="6950">
      <c r="B6950" s="17" t="s">
        <v>477</v>
      </c>
      <c r="K6950" s="18" t="s">
        <v>477</v>
      </c>
      <c r="N6950" s="17" t="str">
        <f>IFERROR(__xludf.DUMMYFUNCTION("""COMPUTED_VALUE"""),"")</f>
        <v/>
      </c>
      <c r="O6950" s="17"/>
    </row>
    <row r="6951">
      <c r="B6951" s="17" t="s">
        <v>477</v>
      </c>
      <c r="K6951" s="18" t="s">
        <v>477</v>
      </c>
      <c r="N6951" s="17" t="str">
        <f>IFERROR(__xludf.DUMMYFUNCTION("""COMPUTED_VALUE"""),"")</f>
        <v/>
      </c>
      <c r="O6951" s="17"/>
    </row>
    <row r="6952">
      <c r="B6952" s="17" t="s">
        <v>477</v>
      </c>
      <c r="K6952" s="18" t="s">
        <v>477</v>
      </c>
      <c r="N6952" s="17" t="str">
        <f>IFERROR(__xludf.DUMMYFUNCTION("""COMPUTED_VALUE"""),"")</f>
        <v/>
      </c>
      <c r="O6952" s="17"/>
    </row>
    <row r="6953">
      <c r="B6953" s="17" t="s">
        <v>477</v>
      </c>
      <c r="K6953" s="18" t="s">
        <v>477</v>
      </c>
      <c r="N6953" s="17" t="str">
        <f>IFERROR(__xludf.DUMMYFUNCTION("""COMPUTED_VALUE"""),"")</f>
        <v/>
      </c>
      <c r="O6953" s="17"/>
    </row>
    <row r="6954">
      <c r="B6954" s="17" t="s">
        <v>477</v>
      </c>
      <c r="K6954" s="18" t="s">
        <v>477</v>
      </c>
      <c r="N6954" s="17" t="str">
        <f>IFERROR(__xludf.DUMMYFUNCTION("""COMPUTED_VALUE"""),"")</f>
        <v/>
      </c>
      <c r="O6954" s="17"/>
    </row>
    <row r="6955">
      <c r="B6955" s="17" t="s">
        <v>477</v>
      </c>
      <c r="K6955" s="18" t="s">
        <v>477</v>
      </c>
      <c r="N6955" s="17" t="str">
        <f>IFERROR(__xludf.DUMMYFUNCTION("""COMPUTED_VALUE"""),"")</f>
        <v/>
      </c>
      <c r="O6955" s="17"/>
    </row>
    <row r="6956">
      <c r="B6956" s="17" t="s">
        <v>477</v>
      </c>
      <c r="K6956" s="18" t="s">
        <v>477</v>
      </c>
      <c r="N6956" s="17" t="str">
        <f>IFERROR(__xludf.DUMMYFUNCTION("""COMPUTED_VALUE"""),"")</f>
        <v/>
      </c>
      <c r="O6956" s="17"/>
    </row>
    <row r="6957">
      <c r="B6957" s="17" t="s">
        <v>477</v>
      </c>
      <c r="K6957" s="18" t="s">
        <v>477</v>
      </c>
      <c r="N6957" s="17" t="str">
        <f>IFERROR(__xludf.DUMMYFUNCTION("""COMPUTED_VALUE"""),"")</f>
        <v/>
      </c>
      <c r="O6957" s="17"/>
    </row>
    <row r="6958">
      <c r="B6958" s="17" t="s">
        <v>477</v>
      </c>
      <c r="K6958" s="18" t="s">
        <v>477</v>
      </c>
      <c r="N6958" s="17" t="str">
        <f>IFERROR(__xludf.DUMMYFUNCTION("""COMPUTED_VALUE"""),"")</f>
        <v/>
      </c>
      <c r="O6958" s="17"/>
    </row>
    <row r="6959">
      <c r="B6959" s="17" t="s">
        <v>477</v>
      </c>
      <c r="K6959" s="18" t="s">
        <v>477</v>
      </c>
      <c r="N6959" s="17" t="str">
        <f>IFERROR(__xludf.DUMMYFUNCTION("""COMPUTED_VALUE"""),"")</f>
        <v/>
      </c>
      <c r="O6959" s="17"/>
    </row>
    <row r="6960">
      <c r="B6960" s="17" t="s">
        <v>477</v>
      </c>
      <c r="K6960" s="18" t="s">
        <v>477</v>
      </c>
      <c r="N6960" s="17" t="str">
        <f>IFERROR(__xludf.DUMMYFUNCTION("""COMPUTED_VALUE"""),"")</f>
        <v/>
      </c>
      <c r="O6960" s="17"/>
    </row>
    <row r="6961">
      <c r="B6961" s="17" t="s">
        <v>477</v>
      </c>
      <c r="K6961" s="18" t="s">
        <v>477</v>
      </c>
      <c r="N6961" s="17" t="str">
        <f>IFERROR(__xludf.DUMMYFUNCTION("""COMPUTED_VALUE"""),"")</f>
        <v/>
      </c>
      <c r="O6961" s="17"/>
    </row>
    <row r="6962">
      <c r="B6962" s="17" t="s">
        <v>477</v>
      </c>
      <c r="K6962" s="18" t="s">
        <v>477</v>
      </c>
      <c r="N6962" s="17" t="str">
        <f>IFERROR(__xludf.DUMMYFUNCTION("""COMPUTED_VALUE"""),"")</f>
        <v/>
      </c>
      <c r="O6962" s="17"/>
    </row>
    <row r="6963">
      <c r="B6963" s="17" t="s">
        <v>477</v>
      </c>
      <c r="K6963" s="18" t="s">
        <v>477</v>
      </c>
      <c r="N6963" s="17" t="str">
        <f>IFERROR(__xludf.DUMMYFUNCTION("""COMPUTED_VALUE"""),"")</f>
        <v/>
      </c>
      <c r="O6963" s="17"/>
    </row>
    <row r="6964">
      <c r="B6964" s="17" t="s">
        <v>477</v>
      </c>
      <c r="K6964" s="18" t="s">
        <v>477</v>
      </c>
      <c r="N6964" s="17" t="str">
        <f>IFERROR(__xludf.DUMMYFUNCTION("""COMPUTED_VALUE"""),"")</f>
        <v/>
      </c>
      <c r="O6964" s="17"/>
    </row>
    <row r="6965">
      <c r="B6965" s="17" t="s">
        <v>477</v>
      </c>
      <c r="K6965" s="18" t="s">
        <v>477</v>
      </c>
      <c r="N6965" s="17" t="str">
        <f>IFERROR(__xludf.DUMMYFUNCTION("""COMPUTED_VALUE"""),"")</f>
        <v/>
      </c>
      <c r="O6965" s="17"/>
    </row>
    <row r="6966">
      <c r="B6966" s="17" t="s">
        <v>477</v>
      </c>
      <c r="K6966" s="18" t="s">
        <v>477</v>
      </c>
      <c r="N6966" s="17" t="str">
        <f>IFERROR(__xludf.DUMMYFUNCTION("""COMPUTED_VALUE"""),"")</f>
        <v/>
      </c>
      <c r="O6966" s="17"/>
    </row>
    <row r="6967">
      <c r="B6967" s="17" t="s">
        <v>477</v>
      </c>
      <c r="K6967" s="18" t="s">
        <v>477</v>
      </c>
      <c r="N6967" s="17" t="str">
        <f>IFERROR(__xludf.DUMMYFUNCTION("""COMPUTED_VALUE"""),"")</f>
        <v/>
      </c>
      <c r="O6967" s="17"/>
    </row>
    <row r="6968">
      <c r="B6968" s="17" t="s">
        <v>477</v>
      </c>
      <c r="K6968" s="18" t="s">
        <v>477</v>
      </c>
      <c r="N6968" s="17" t="str">
        <f>IFERROR(__xludf.DUMMYFUNCTION("""COMPUTED_VALUE"""),"")</f>
        <v/>
      </c>
      <c r="O6968" s="17"/>
    </row>
    <row r="6969">
      <c r="B6969" s="17" t="s">
        <v>477</v>
      </c>
      <c r="K6969" s="18" t="s">
        <v>477</v>
      </c>
      <c r="N6969" s="17" t="str">
        <f>IFERROR(__xludf.DUMMYFUNCTION("""COMPUTED_VALUE"""),"")</f>
        <v/>
      </c>
      <c r="O6969" s="17"/>
    </row>
    <row r="6970">
      <c r="B6970" s="17" t="s">
        <v>477</v>
      </c>
      <c r="K6970" s="18" t="s">
        <v>477</v>
      </c>
      <c r="N6970" s="17" t="str">
        <f>IFERROR(__xludf.DUMMYFUNCTION("""COMPUTED_VALUE"""),"")</f>
        <v/>
      </c>
      <c r="O6970" s="17"/>
    </row>
    <row r="6971">
      <c r="B6971" s="17" t="s">
        <v>477</v>
      </c>
      <c r="K6971" s="18" t="s">
        <v>477</v>
      </c>
      <c r="N6971" s="17" t="str">
        <f>IFERROR(__xludf.DUMMYFUNCTION("""COMPUTED_VALUE"""),"")</f>
        <v/>
      </c>
      <c r="O6971" s="17"/>
    </row>
    <row r="6972">
      <c r="B6972" s="17" t="s">
        <v>477</v>
      </c>
      <c r="K6972" s="18" t="s">
        <v>477</v>
      </c>
      <c r="N6972" s="17" t="str">
        <f>IFERROR(__xludf.DUMMYFUNCTION("""COMPUTED_VALUE"""),"")</f>
        <v/>
      </c>
      <c r="O6972" s="17"/>
    </row>
    <row r="6973">
      <c r="B6973" s="17" t="s">
        <v>477</v>
      </c>
      <c r="K6973" s="18" t="s">
        <v>477</v>
      </c>
      <c r="N6973" s="17" t="str">
        <f>IFERROR(__xludf.DUMMYFUNCTION("""COMPUTED_VALUE"""),"")</f>
        <v/>
      </c>
      <c r="O6973" s="17"/>
    </row>
    <row r="6974">
      <c r="B6974" s="17" t="s">
        <v>477</v>
      </c>
      <c r="K6974" s="18" t="s">
        <v>477</v>
      </c>
      <c r="N6974" s="17" t="str">
        <f>IFERROR(__xludf.DUMMYFUNCTION("""COMPUTED_VALUE"""),"")</f>
        <v/>
      </c>
      <c r="O6974" s="17"/>
    </row>
    <row r="6975">
      <c r="B6975" s="17" t="s">
        <v>477</v>
      </c>
      <c r="K6975" s="18" t="s">
        <v>477</v>
      </c>
      <c r="N6975" s="17" t="str">
        <f>IFERROR(__xludf.DUMMYFUNCTION("""COMPUTED_VALUE"""),"")</f>
        <v/>
      </c>
      <c r="O6975" s="17"/>
    </row>
    <row r="6976">
      <c r="B6976" s="17" t="s">
        <v>477</v>
      </c>
      <c r="K6976" s="18" t="s">
        <v>477</v>
      </c>
      <c r="N6976" s="17" t="str">
        <f>IFERROR(__xludf.DUMMYFUNCTION("""COMPUTED_VALUE"""),"")</f>
        <v/>
      </c>
      <c r="O6976" s="17"/>
    </row>
    <row r="6977">
      <c r="B6977" s="17" t="s">
        <v>477</v>
      </c>
      <c r="K6977" s="18" t="s">
        <v>477</v>
      </c>
      <c r="N6977" s="17" t="str">
        <f>IFERROR(__xludf.DUMMYFUNCTION("""COMPUTED_VALUE"""),"")</f>
        <v/>
      </c>
      <c r="O6977" s="17"/>
    </row>
    <row r="6978">
      <c r="B6978" s="17" t="s">
        <v>477</v>
      </c>
      <c r="K6978" s="18" t="s">
        <v>477</v>
      </c>
      <c r="N6978" s="17" t="str">
        <f>IFERROR(__xludf.DUMMYFUNCTION("""COMPUTED_VALUE"""),"")</f>
        <v/>
      </c>
      <c r="O6978" s="17"/>
    </row>
    <row r="6979">
      <c r="B6979" s="17" t="s">
        <v>477</v>
      </c>
      <c r="K6979" s="18" t="s">
        <v>477</v>
      </c>
      <c r="N6979" s="17" t="str">
        <f>IFERROR(__xludf.DUMMYFUNCTION("""COMPUTED_VALUE"""),"")</f>
        <v/>
      </c>
      <c r="O6979" s="17"/>
    </row>
    <row r="6980">
      <c r="B6980" s="17" t="s">
        <v>477</v>
      </c>
      <c r="K6980" s="18" t="s">
        <v>477</v>
      </c>
      <c r="N6980" s="17" t="str">
        <f>IFERROR(__xludf.DUMMYFUNCTION("""COMPUTED_VALUE"""),"")</f>
        <v/>
      </c>
      <c r="O6980" s="17"/>
    </row>
    <row r="6981">
      <c r="B6981" s="17" t="s">
        <v>477</v>
      </c>
      <c r="K6981" s="18" t="s">
        <v>477</v>
      </c>
      <c r="N6981" s="17" t="str">
        <f>IFERROR(__xludf.DUMMYFUNCTION("""COMPUTED_VALUE"""),"")</f>
        <v/>
      </c>
      <c r="O6981" s="17"/>
    </row>
    <row r="6982">
      <c r="B6982" s="17" t="s">
        <v>477</v>
      </c>
      <c r="K6982" s="18" t="s">
        <v>477</v>
      </c>
      <c r="N6982" s="17" t="str">
        <f>IFERROR(__xludf.DUMMYFUNCTION("""COMPUTED_VALUE"""),"")</f>
        <v/>
      </c>
      <c r="O6982" s="17"/>
    </row>
    <row r="6983">
      <c r="B6983" s="17" t="s">
        <v>477</v>
      </c>
      <c r="K6983" s="18" t="s">
        <v>477</v>
      </c>
      <c r="N6983" s="17" t="str">
        <f>IFERROR(__xludf.DUMMYFUNCTION("""COMPUTED_VALUE"""),"")</f>
        <v/>
      </c>
      <c r="O6983" s="17"/>
    </row>
    <row r="6984">
      <c r="B6984" s="17" t="s">
        <v>477</v>
      </c>
      <c r="K6984" s="18" t="s">
        <v>477</v>
      </c>
      <c r="N6984" s="17" t="str">
        <f>IFERROR(__xludf.DUMMYFUNCTION("""COMPUTED_VALUE"""),"")</f>
        <v/>
      </c>
      <c r="O6984" s="17"/>
    </row>
    <row r="6985">
      <c r="B6985" s="17" t="s">
        <v>477</v>
      </c>
      <c r="K6985" s="18" t="s">
        <v>477</v>
      </c>
      <c r="N6985" s="17" t="str">
        <f>IFERROR(__xludf.DUMMYFUNCTION("""COMPUTED_VALUE"""),"")</f>
        <v/>
      </c>
      <c r="O6985" s="17"/>
    </row>
    <row r="6986">
      <c r="B6986" s="17" t="s">
        <v>477</v>
      </c>
      <c r="K6986" s="18" t="s">
        <v>477</v>
      </c>
      <c r="N6986" s="17" t="str">
        <f>IFERROR(__xludf.DUMMYFUNCTION("""COMPUTED_VALUE"""),"")</f>
        <v/>
      </c>
      <c r="O6986" s="17"/>
    </row>
    <row r="6987">
      <c r="B6987" s="17" t="s">
        <v>477</v>
      </c>
      <c r="K6987" s="18" t="s">
        <v>477</v>
      </c>
      <c r="N6987" s="17" t="str">
        <f>IFERROR(__xludf.DUMMYFUNCTION("""COMPUTED_VALUE"""),"")</f>
        <v/>
      </c>
      <c r="O6987" s="17"/>
    </row>
    <row r="6988">
      <c r="B6988" s="17" t="s">
        <v>477</v>
      </c>
      <c r="K6988" s="18" t="s">
        <v>477</v>
      </c>
      <c r="N6988" s="17" t="str">
        <f>IFERROR(__xludf.DUMMYFUNCTION("""COMPUTED_VALUE"""),"")</f>
        <v/>
      </c>
      <c r="O6988" s="17"/>
    </row>
    <row r="6989">
      <c r="B6989" s="17" t="s">
        <v>477</v>
      </c>
      <c r="K6989" s="18" t="s">
        <v>477</v>
      </c>
      <c r="N6989" s="17" t="str">
        <f>IFERROR(__xludf.DUMMYFUNCTION("""COMPUTED_VALUE"""),"")</f>
        <v/>
      </c>
      <c r="O6989" s="17"/>
    </row>
    <row r="6990">
      <c r="B6990" s="17" t="s">
        <v>477</v>
      </c>
      <c r="K6990" s="18" t="s">
        <v>477</v>
      </c>
      <c r="N6990" s="17" t="str">
        <f>IFERROR(__xludf.DUMMYFUNCTION("""COMPUTED_VALUE"""),"")</f>
        <v/>
      </c>
      <c r="O6990" s="17"/>
    </row>
    <row r="6991">
      <c r="B6991" s="17" t="s">
        <v>477</v>
      </c>
      <c r="K6991" s="18" t="s">
        <v>477</v>
      </c>
      <c r="N6991" s="17" t="str">
        <f>IFERROR(__xludf.DUMMYFUNCTION("""COMPUTED_VALUE"""),"")</f>
        <v/>
      </c>
      <c r="O6991" s="17"/>
    </row>
    <row r="6992">
      <c r="B6992" s="17" t="s">
        <v>477</v>
      </c>
      <c r="K6992" s="18" t="s">
        <v>477</v>
      </c>
      <c r="N6992" s="17" t="str">
        <f>IFERROR(__xludf.DUMMYFUNCTION("""COMPUTED_VALUE"""),"")</f>
        <v/>
      </c>
      <c r="O6992" s="17"/>
    </row>
    <row r="6993">
      <c r="B6993" s="17" t="s">
        <v>477</v>
      </c>
      <c r="K6993" s="18" t="s">
        <v>477</v>
      </c>
      <c r="N6993" s="17" t="str">
        <f>IFERROR(__xludf.DUMMYFUNCTION("""COMPUTED_VALUE"""),"")</f>
        <v/>
      </c>
      <c r="O6993" s="17"/>
    </row>
    <row r="6994">
      <c r="B6994" s="17" t="s">
        <v>477</v>
      </c>
      <c r="K6994" s="18" t="s">
        <v>477</v>
      </c>
      <c r="N6994" s="17" t="str">
        <f>IFERROR(__xludf.DUMMYFUNCTION("""COMPUTED_VALUE"""),"")</f>
        <v/>
      </c>
      <c r="O6994" s="17"/>
    </row>
    <row r="6995">
      <c r="B6995" s="17" t="s">
        <v>477</v>
      </c>
      <c r="K6995" s="18" t="s">
        <v>477</v>
      </c>
      <c r="N6995" s="17" t="str">
        <f>IFERROR(__xludf.DUMMYFUNCTION("""COMPUTED_VALUE"""),"")</f>
        <v/>
      </c>
      <c r="O6995" s="17"/>
    </row>
    <row r="6996">
      <c r="B6996" s="17" t="s">
        <v>477</v>
      </c>
      <c r="K6996" s="18" t="s">
        <v>477</v>
      </c>
      <c r="N6996" s="17" t="str">
        <f>IFERROR(__xludf.DUMMYFUNCTION("""COMPUTED_VALUE"""),"")</f>
        <v/>
      </c>
      <c r="O6996" s="17"/>
    </row>
    <row r="6997">
      <c r="B6997" s="17" t="s">
        <v>477</v>
      </c>
      <c r="K6997" s="18" t="s">
        <v>477</v>
      </c>
      <c r="N6997" s="17" t="str">
        <f>IFERROR(__xludf.DUMMYFUNCTION("""COMPUTED_VALUE"""),"")</f>
        <v/>
      </c>
      <c r="O6997" s="17"/>
    </row>
    <row r="6998">
      <c r="B6998" s="17" t="s">
        <v>477</v>
      </c>
      <c r="K6998" s="18" t="s">
        <v>477</v>
      </c>
      <c r="N6998" s="17" t="str">
        <f>IFERROR(__xludf.DUMMYFUNCTION("""COMPUTED_VALUE"""),"")</f>
        <v/>
      </c>
      <c r="O6998" s="17"/>
    </row>
    <row r="6999">
      <c r="B6999" s="17" t="s">
        <v>477</v>
      </c>
      <c r="K6999" s="18" t="s">
        <v>477</v>
      </c>
      <c r="N6999" s="17" t="str">
        <f>IFERROR(__xludf.DUMMYFUNCTION("""COMPUTED_VALUE"""),"")</f>
        <v/>
      </c>
      <c r="O6999" s="17"/>
    </row>
    <row r="7000">
      <c r="B7000" s="17" t="s">
        <v>477</v>
      </c>
      <c r="K7000" s="18" t="s">
        <v>477</v>
      </c>
      <c r="N7000" s="17" t="str">
        <f>IFERROR(__xludf.DUMMYFUNCTION("""COMPUTED_VALUE"""),"")</f>
        <v/>
      </c>
      <c r="O7000" s="17"/>
    </row>
    <row r="7001">
      <c r="B7001" s="17" t="s">
        <v>477</v>
      </c>
      <c r="K7001" s="18" t="s">
        <v>477</v>
      </c>
      <c r="N7001" s="17" t="str">
        <f>IFERROR(__xludf.DUMMYFUNCTION("""COMPUTED_VALUE"""),"")</f>
        <v/>
      </c>
      <c r="O7001" s="17"/>
    </row>
    <row r="7002">
      <c r="B7002" s="17" t="s">
        <v>477</v>
      </c>
      <c r="K7002" s="18" t="s">
        <v>477</v>
      </c>
      <c r="N7002" s="17" t="str">
        <f>IFERROR(__xludf.DUMMYFUNCTION("""COMPUTED_VALUE"""),"")</f>
        <v/>
      </c>
      <c r="O7002" s="17"/>
    </row>
    <row r="7003">
      <c r="B7003" s="17" t="s">
        <v>477</v>
      </c>
      <c r="K7003" s="18" t="s">
        <v>477</v>
      </c>
      <c r="N7003" s="17" t="str">
        <f>IFERROR(__xludf.DUMMYFUNCTION("""COMPUTED_VALUE"""),"")</f>
        <v/>
      </c>
      <c r="O7003" s="17"/>
    </row>
    <row r="7004">
      <c r="B7004" s="17" t="s">
        <v>477</v>
      </c>
      <c r="K7004" s="18" t="s">
        <v>477</v>
      </c>
      <c r="N7004" s="17" t="str">
        <f>IFERROR(__xludf.DUMMYFUNCTION("""COMPUTED_VALUE"""),"")</f>
        <v/>
      </c>
      <c r="O7004" s="17"/>
    </row>
    <row r="7005">
      <c r="B7005" s="17" t="s">
        <v>477</v>
      </c>
      <c r="K7005" s="18" t="s">
        <v>477</v>
      </c>
      <c r="N7005" s="17" t="str">
        <f>IFERROR(__xludf.DUMMYFUNCTION("""COMPUTED_VALUE"""),"")</f>
        <v/>
      </c>
      <c r="O7005" s="17"/>
    </row>
    <row r="7006">
      <c r="B7006" s="17" t="s">
        <v>477</v>
      </c>
      <c r="K7006" s="18" t="s">
        <v>477</v>
      </c>
      <c r="N7006" s="17" t="str">
        <f>IFERROR(__xludf.DUMMYFUNCTION("""COMPUTED_VALUE"""),"")</f>
        <v/>
      </c>
      <c r="O7006" s="17"/>
    </row>
    <row r="7007">
      <c r="B7007" s="17" t="s">
        <v>477</v>
      </c>
      <c r="K7007" s="18" t="s">
        <v>477</v>
      </c>
      <c r="N7007" s="17" t="str">
        <f>IFERROR(__xludf.DUMMYFUNCTION("""COMPUTED_VALUE"""),"")</f>
        <v/>
      </c>
      <c r="O7007" s="17"/>
    </row>
    <row r="7008">
      <c r="B7008" s="17" t="s">
        <v>477</v>
      </c>
      <c r="K7008" s="18" t="s">
        <v>477</v>
      </c>
      <c r="N7008" s="17" t="str">
        <f>IFERROR(__xludf.DUMMYFUNCTION("""COMPUTED_VALUE"""),"")</f>
        <v/>
      </c>
      <c r="O7008" s="17"/>
    </row>
    <row r="7009">
      <c r="B7009" s="17" t="s">
        <v>477</v>
      </c>
      <c r="K7009" s="18" t="s">
        <v>477</v>
      </c>
      <c r="N7009" s="17" t="str">
        <f>IFERROR(__xludf.DUMMYFUNCTION("""COMPUTED_VALUE"""),"")</f>
        <v/>
      </c>
      <c r="O7009" s="17"/>
    </row>
    <row r="7010">
      <c r="B7010" s="17" t="s">
        <v>477</v>
      </c>
      <c r="K7010" s="18" t="s">
        <v>477</v>
      </c>
      <c r="N7010" s="17" t="str">
        <f>IFERROR(__xludf.DUMMYFUNCTION("""COMPUTED_VALUE"""),"")</f>
        <v/>
      </c>
      <c r="O7010" s="17"/>
    </row>
    <row r="7011">
      <c r="B7011" s="17" t="s">
        <v>477</v>
      </c>
      <c r="K7011" s="18" t="s">
        <v>477</v>
      </c>
      <c r="N7011" s="17" t="str">
        <f>IFERROR(__xludf.DUMMYFUNCTION("""COMPUTED_VALUE"""),"")</f>
        <v/>
      </c>
      <c r="O7011" s="17"/>
    </row>
    <row r="7012">
      <c r="B7012" s="17" t="s">
        <v>477</v>
      </c>
      <c r="K7012" s="18" t="s">
        <v>477</v>
      </c>
      <c r="N7012" s="17" t="str">
        <f>IFERROR(__xludf.DUMMYFUNCTION("""COMPUTED_VALUE"""),"")</f>
        <v/>
      </c>
      <c r="O7012" s="17"/>
    </row>
    <row r="7013">
      <c r="B7013" s="17" t="s">
        <v>477</v>
      </c>
      <c r="K7013" s="18" t="s">
        <v>477</v>
      </c>
      <c r="N7013" s="17" t="str">
        <f>IFERROR(__xludf.DUMMYFUNCTION("""COMPUTED_VALUE"""),"")</f>
        <v/>
      </c>
      <c r="O7013" s="17"/>
    </row>
    <row r="7014">
      <c r="B7014" s="17" t="s">
        <v>477</v>
      </c>
      <c r="K7014" s="18" t="s">
        <v>477</v>
      </c>
      <c r="N7014" s="17" t="str">
        <f>IFERROR(__xludf.DUMMYFUNCTION("""COMPUTED_VALUE"""),"")</f>
        <v/>
      </c>
      <c r="O7014" s="17"/>
    </row>
    <row r="7015">
      <c r="B7015" s="17" t="s">
        <v>477</v>
      </c>
      <c r="K7015" s="18" t="s">
        <v>477</v>
      </c>
      <c r="N7015" s="17" t="str">
        <f>IFERROR(__xludf.DUMMYFUNCTION("""COMPUTED_VALUE"""),"")</f>
        <v/>
      </c>
      <c r="O7015" s="17"/>
    </row>
    <row r="7016">
      <c r="B7016" s="17" t="s">
        <v>477</v>
      </c>
      <c r="K7016" s="18" t="s">
        <v>477</v>
      </c>
      <c r="N7016" s="17" t="str">
        <f>IFERROR(__xludf.DUMMYFUNCTION("""COMPUTED_VALUE"""),"")</f>
        <v/>
      </c>
      <c r="O7016" s="17"/>
    </row>
    <row r="7017">
      <c r="B7017" s="17" t="s">
        <v>477</v>
      </c>
      <c r="K7017" s="18" t="s">
        <v>477</v>
      </c>
      <c r="N7017" s="17" t="str">
        <f>IFERROR(__xludf.DUMMYFUNCTION("""COMPUTED_VALUE"""),"")</f>
        <v/>
      </c>
      <c r="O7017" s="17"/>
    </row>
    <row r="7018">
      <c r="B7018" s="17" t="s">
        <v>477</v>
      </c>
      <c r="K7018" s="18" t="s">
        <v>477</v>
      </c>
      <c r="N7018" s="17" t="str">
        <f>IFERROR(__xludf.DUMMYFUNCTION("""COMPUTED_VALUE"""),"")</f>
        <v/>
      </c>
      <c r="O7018" s="17"/>
    </row>
    <row r="7019">
      <c r="B7019" s="17" t="s">
        <v>477</v>
      </c>
      <c r="K7019" s="18" t="s">
        <v>477</v>
      </c>
      <c r="N7019" s="17" t="str">
        <f>IFERROR(__xludf.DUMMYFUNCTION("""COMPUTED_VALUE"""),"")</f>
        <v/>
      </c>
      <c r="O7019" s="17"/>
    </row>
    <row r="7020">
      <c r="B7020" s="17" t="s">
        <v>477</v>
      </c>
      <c r="K7020" s="18" t="s">
        <v>477</v>
      </c>
      <c r="N7020" s="17" t="str">
        <f>IFERROR(__xludf.DUMMYFUNCTION("""COMPUTED_VALUE"""),"")</f>
        <v/>
      </c>
      <c r="O7020" s="17"/>
    </row>
    <row r="7021">
      <c r="B7021" s="17" t="s">
        <v>477</v>
      </c>
      <c r="K7021" s="18" t="s">
        <v>477</v>
      </c>
      <c r="N7021" s="17" t="str">
        <f>IFERROR(__xludf.DUMMYFUNCTION("""COMPUTED_VALUE"""),"")</f>
        <v/>
      </c>
      <c r="O7021" s="17"/>
    </row>
    <row r="7022">
      <c r="B7022" s="17" t="s">
        <v>477</v>
      </c>
      <c r="K7022" s="18" t="s">
        <v>477</v>
      </c>
      <c r="N7022" s="17" t="str">
        <f>IFERROR(__xludf.DUMMYFUNCTION("""COMPUTED_VALUE"""),"")</f>
        <v/>
      </c>
      <c r="O7022" s="17"/>
    </row>
    <row r="7023">
      <c r="B7023" s="17" t="s">
        <v>477</v>
      </c>
      <c r="K7023" s="18" t="s">
        <v>477</v>
      </c>
      <c r="N7023" s="17" t="str">
        <f>IFERROR(__xludf.DUMMYFUNCTION("""COMPUTED_VALUE"""),"")</f>
        <v/>
      </c>
      <c r="O7023" s="17"/>
    </row>
    <row r="7024">
      <c r="B7024" s="17" t="s">
        <v>477</v>
      </c>
      <c r="K7024" s="18" t="s">
        <v>477</v>
      </c>
      <c r="N7024" s="17" t="str">
        <f>IFERROR(__xludf.DUMMYFUNCTION("""COMPUTED_VALUE"""),"")</f>
        <v/>
      </c>
      <c r="O7024" s="17"/>
    </row>
    <row r="7025">
      <c r="B7025" s="17" t="s">
        <v>477</v>
      </c>
      <c r="K7025" s="18" t="s">
        <v>477</v>
      </c>
      <c r="N7025" s="17" t="str">
        <f>IFERROR(__xludf.DUMMYFUNCTION("""COMPUTED_VALUE"""),"")</f>
        <v/>
      </c>
      <c r="O7025" s="17"/>
    </row>
    <row r="7026">
      <c r="B7026" s="17" t="s">
        <v>477</v>
      </c>
      <c r="K7026" s="18" t="s">
        <v>477</v>
      </c>
      <c r="N7026" s="17" t="str">
        <f>IFERROR(__xludf.DUMMYFUNCTION("""COMPUTED_VALUE"""),"")</f>
        <v/>
      </c>
      <c r="O7026" s="17"/>
    </row>
    <row r="7027">
      <c r="B7027" s="17" t="s">
        <v>477</v>
      </c>
      <c r="K7027" s="18" t="s">
        <v>477</v>
      </c>
      <c r="N7027" s="17" t="str">
        <f>IFERROR(__xludf.DUMMYFUNCTION("""COMPUTED_VALUE"""),"")</f>
        <v/>
      </c>
      <c r="O7027" s="17"/>
    </row>
    <row r="7028">
      <c r="B7028" s="17" t="s">
        <v>477</v>
      </c>
      <c r="K7028" s="18" t="s">
        <v>477</v>
      </c>
      <c r="N7028" s="17" t="str">
        <f>IFERROR(__xludf.DUMMYFUNCTION("""COMPUTED_VALUE"""),"")</f>
        <v/>
      </c>
      <c r="O7028" s="17"/>
    </row>
    <row r="7029">
      <c r="B7029" s="17" t="s">
        <v>477</v>
      </c>
      <c r="K7029" s="18" t="s">
        <v>477</v>
      </c>
      <c r="N7029" s="17" t="str">
        <f>IFERROR(__xludf.DUMMYFUNCTION("""COMPUTED_VALUE"""),"")</f>
        <v/>
      </c>
      <c r="O7029" s="17"/>
    </row>
    <row r="7030">
      <c r="B7030" s="17" t="s">
        <v>477</v>
      </c>
      <c r="K7030" s="18" t="s">
        <v>477</v>
      </c>
      <c r="N7030" s="17" t="str">
        <f>IFERROR(__xludf.DUMMYFUNCTION("""COMPUTED_VALUE"""),"")</f>
        <v/>
      </c>
      <c r="O7030" s="17"/>
    </row>
    <row r="7031">
      <c r="B7031" s="17" t="s">
        <v>477</v>
      </c>
      <c r="K7031" s="18" t="s">
        <v>477</v>
      </c>
      <c r="N7031" s="17" t="str">
        <f>IFERROR(__xludf.DUMMYFUNCTION("""COMPUTED_VALUE"""),"")</f>
        <v/>
      </c>
      <c r="O7031" s="17"/>
    </row>
    <row r="7032">
      <c r="B7032" s="17" t="s">
        <v>477</v>
      </c>
      <c r="K7032" s="18" t="s">
        <v>477</v>
      </c>
      <c r="N7032" s="17" t="str">
        <f>IFERROR(__xludf.DUMMYFUNCTION("""COMPUTED_VALUE"""),"")</f>
        <v/>
      </c>
      <c r="O7032" s="17"/>
    </row>
    <row r="7033">
      <c r="B7033" s="17" t="s">
        <v>477</v>
      </c>
      <c r="K7033" s="18" t="s">
        <v>477</v>
      </c>
      <c r="N7033" s="17" t="str">
        <f>IFERROR(__xludf.DUMMYFUNCTION("""COMPUTED_VALUE"""),"")</f>
        <v/>
      </c>
      <c r="O7033" s="17"/>
    </row>
    <row r="7034">
      <c r="B7034" s="17" t="s">
        <v>477</v>
      </c>
      <c r="K7034" s="18" t="s">
        <v>477</v>
      </c>
      <c r="N7034" s="17" t="str">
        <f>IFERROR(__xludf.DUMMYFUNCTION("""COMPUTED_VALUE"""),"")</f>
        <v/>
      </c>
      <c r="O7034" s="17"/>
    </row>
    <row r="7035">
      <c r="B7035" s="17" t="s">
        <v>477</v>
      </c>
      <c r="K7035" s="18" t="s">
        <v>477</v>
      </c>
      <c r="N7035" s="17" t="str">
        <f>IFERROR(__xludf.DUMMYFUNCTION("""COMPUTED_VALUE"""),"")</f>
        <v/>
      </c>
      <c r="O7035" s="17"/>
    </row>
    <row r="7036">
      <c r="B7036" s="17" t="s">
        <v>477</v>
      </c>
      <c r="K7036" s="18" t="s">
        <v>477</v>
      </c>
      <c r="N7036" s="17" t="str">
        <f>IFERROR(__xludf.DUMMYFUNCTION("""COMPUTED_VALUE"""),"")</f>
        <v/>
      </c>
      <c r="O7036" s="17"/>
    </row>
    <row r="7037">
      <c r="B7037" s="17" t="s">
        <v>477</v>
      </c>
      <c r="K7037" s="18" t="s">
        <v>477</v>
      </c>
      <c r="N7037" s="17" t="str">
        <f>IFERROR(__xludf.DUMMYFUNCTION("""COMPUTED_VALUE"""),"")</f>
        <v/>
      </c>
      <c r="O7037" s="17"/>
    </row>
    <row r="7038">
      <c r="B7038" s="17" t="s">
        <v>477</v>
      </c>
      <c r="K7038" s="18" t="s">
        <v>477</v>
      </c>
      <c r="N7038" s="17" t="str">
        <f>IFERROR(__xludf.DUMMYFUNCTION("""COMPUTED_VALUE"""),"")</f>
        <v/>
      </c>
      <c r="O7038" s="17"/>
    </row>
    <row r="7039">
      <c r="B7039" s="17" t="s">
        <v>477</v>
      </c>
      <c r="K7039" s="18" t="s">
        <v>477</v>
      </c>
      <c r="N7039" s="17" t="str">
        <f>IFERROR(__xludf.DUMMYFUNCTION("""COMPUTED_VALUE"""),"")</f>
        <v/>
      </c>
      <c r="O7039" s="17"/>
    </row>
    <row r="7040">
      <c r="B7040" s="17" t="s">
        <v>477</v>
      </c>
      <c r="K7040" s="18" t="s">
        <v>477</v>
      </c>
      <c r="N7040" s="17" t="str">
        <f>IFERROR(__xludf.DUMMYFUNCTION("""COMPUTED_VALUE"""),"")</f>
        <v/>
      </c>
      <c r="O7040" s="17"/>
    </row>
    <row r="7041">
      <c r="B7041" s="17" t="s">
        <v>477</v>
      </c>
      <c r="K7041" s="18" t="s">
        <v>477</v>
      </c>
      <c r="N7041" s="17" t="str">
        <f>IFERROR(__xludf.DUMMYFUNCTION("""COMPUTED_VALUE"""),"")</f>
        <v/>
      </c>
      <c r="O7041" s="17"/>
    </row>
    <row r="7042">
      <c r="B7042" s="17" t="s">
        <v>477</v>
      </c>
      <c r="K7042" s="18" t="s">
        <v>477</v>
      </c>
      <c r="N7042" s="17" t="str">
        <f>IFERROR(__xludf.DUMMYFUNCTION("""COMPUTED_VALUE"""),"")</f>
        <v/>
      </c>
      <c r="O7042" s="17"/>
    </row>
    <row r="7043">
      <c r="B7043" s="17" t="s">
        <v>477</v>
      </c>
      <c r="K7043" s="18" t="s">
        <v>477</v>
      </c>
      <c r="N7043" s="17" t="str">
        <f>IFERROR(__xludf.DUMMYFUNCTION("""COMPUTED_VALUE"""),"")</f>
        <v/>
      </c>
      <c r="O7043" s="17"/>
    </row>
    <row r="7044">
      <c r="B7044" s="17" t="s">
        <v>477</v>
      </c>
      <c r="K7044" s="18" t="s">
        <v>477</v>
      </c>
      <c r="N7044" s="17" t="str">
        <f>IFERROR(__xludf.DUMMYFUNCTION("""COMPUTED_VALUE"""),"")</f>
        <v/>
      </c>
      <c r="O7044" s="17"/>
    </row>
    <row r="7045">
      <c r="B7045" s="17" t="s">
        <v>477</v>
      </c>
      <c r="K7045" s="18" t="s">
        <v>477</v>
      </c>
      <c r="N7045" s="17" t="str">
        <f>IFERROR(__xludf.DUMMYFUNCTION("""COMPUTED_VALUE"""),"")</f>
        <v/>
      </c>
      <c r="O7045" s="17"/>
    </row>
    <row r="7046">
      <c r="B7046" s="17" t="s">
        <v>477</v>
      </c>
      <c r="K7046" s="18" t="s">
        <v>477</v>
      </c>
      <c r="N7046" s="17" t="str">
        <f>IFERROR(__xludf.DUMMYFUNCTION("""COMPUTED_VALUE"""),"")</f>
        <v/>
      </c>
      <c r="O7046" s="17"/>
    </row>
    <row r="7047">
      <c r="B7047" s="17" t="s">
        <v>477</v>
      </c>
      <c r="K7047" s="18" t="s">
        <v>477</v>
      </c>
      <c r="N7047" s="17" t="str">
        <f>IFERROR(__xludf.DUMMYFUNCTION("""COMPUTED_VALUE"""),"")</f>
        <v/>
      </c>
      <c r="O7047" s="17"/>
    </row>
    <row r="7048">
      <c r="B7048" s="17" t="s">
        <v>477</v>
      </c>
      <c r="K7048" s="18" t="s">
        <v>477</v>
      </c>
      <c r="N7048" s="17" t="str">
        <f>IFERROR(__xludf.DUMMYFUNCTION("""COMPUTED_VALUE"""),"")</f>
        <v/>
      </c>
      <c r="O7048" s="17"/>
    </row>
    <row r="7049">
      <c r="B7049" s="17" t="s">
        <v>477</v>
      </c>
      <c r="K7049" s="18" t="s">
        <v>477</v>
      </c>
      <c r="N7049" s="17" t="str">
        <f>IFERROR(__xludf.DUMMYFUNCTION("""COMPUTED_VALUE"""),"")</f>
        <v/>
      </c>
      <c r="O7049" s="17"/>
    </row>
    <row r="7050">
      <c r="B7050" s="17" t="s">
        <v>477</v>
      </c>
      <c r="K7050" s="18" t="s">
        <v>477</v>
      </c>
      <c r="N7050" s="17" t="str">
        <f>IFERROR(__xludf.DUMMYFUNCTION("""COMPUTED_VALUE"""),"")</f>
        <v/>
      </c>
      <c r="O7050" s="17"/>
    </row>
    <row r="7051">
      <c r="B7051" s="17" t="s">
        <v>477</v>
      </c>
      <c r="K7051" s="18" t="s">
        <v>477</v>
      </c>
      <c r="N7051" s="17" t="str">
        <f>IFERROR(__xludf.DUMMYFUNCTION("""COMPUTED_VALUE"""),"")</f>
        <v/>
      </c>
      <c r="O7051" s="17"/>
    </row>
    <row r="7052">
      <c r="B7052" s="17" t="s">
        <v>477</v>
      </c>
      <c r="K7052" s="18" t="s">
        <v>477</v>
      </c>
      <c r="N7052" s="17" t="str">
        <f>IFERROR(__xludf.DUMMYFUNCTION("""COMPUTED_VALUE"""),"")</f>
        <v/>
      </c>
      <c r="O7052" s="17"/>
    </row>
    <row r="7053">
      <c r="B7053" s="17" t="s">
        <v>477</v>
      </c>
      <c r="K7053" s="18" t="s">
        <v>477</v>
      </c>
      <c r="N7053" s="17" t="str">
        <f>IFERROR(__xludf.DUMMYFUNCTION("""COMPUTED_VALUE"""),"")</f>
        <v/>
      </c>
      <c r="O7053" s="17"/>
    </row>
    <row r="7054">
      <c r="B7054" s="17" t="s">
        <v>477</v>
      </c>
      <c r="K7054" s="18" t="s">
        <v>477</v>
      </c>
      <c r="N7054" s="17" t="str">
        <f>IFERROR(__xludf.DUMMYFUNCTION("""COMPUTED_VALUE"""),"")</f>
        <v/>
      </c>
      <c r="O7054" s="17"/>
    </row>
    <row r="7055">
      <c r="B7055" s="17" t="s">
        <v>477</v>
      </c>
      <c r="K7055" s="18" t="s">
        <v>477</v>
      </c>
      <c r="N7055" s="17" t="str">
        <f>IFERROR(__xludf.DUMMYFUNCTION("""COMPUTED_VALUE"""),"")</f>
        <v/>
      </c>
      <c r="O7055" s="17"/>
    </row>
    <row r="7056">
      <c r="B7056" s="17" t="s">
        <v>477</v>
      </c>
      <c r="K7056" s="18" t="s">
        <v>477</v>
      </c>
      <c r="N7056" s="17" t="str">
        <f>IFERROR(__xludf.DUMMYFUNCTION("""COMPUTED_VALUE"""),"")</f>
        <v/>
      </c>
      <c r="O7056" s="17"/>
    </row>
    <row r="7057">
      <c r="B7057" s="17" t="s">
        <v>477</v>
      </c>
      <c r="K7057" s="18" t="s">
        <v>477</v>
      </c>
      <c r="N7057" s="17" t="str">
        <f>IFERROR(__xludf.DUMMYFUNCTION("""COMPUTED_VALUE"""),"")</f>
        <v/>
      </c>
      <c r="O7057" s="17"/>
    </row>
    <row r="7058">
      <c r="B7058" s="17" t="s">
        <v>477</v>
      </c>
      <c r="K7058" s="18" t="s">
        <v>477</v>
      </c>
      <c r="N7058" s="17" t="str">
        <f>IFERROR(__xludf.DUMMYFUNCTION("""COMPUTED_VALUE"""),"")</f>
        <v/>
      </c>
      <c r="O7058" s="17"/>
    </row>
    <row r="7059">
      <c r="B7059" s="17" t="s">
        <v>477</v>
      </c>
      <c r="K7059" s="18" t="s">
        <v>477</v>
      </c>
      <c r="N7059" s="17" t="str">
        <f>IFERROR(__xludf.DUMMYFUNCTION("""COMPUTED_VALUE"""),"")</f>
        <v/>
      </c>
      <c r="O7059" s="17"/>
    </row>
    <row r="7060">
      <c r="B7060" s="17" t="s">
        <v>477</v>
      </c>
      <c r="K7060" s="18" t="s">
        <v>477</v>
      </c>
      <c r="N7060" s="17" t="str">
        <f>IFERROR(__xludf.DUMMYFUNCTION("""COMPUTED_VALUE"""),"")</f>
        <v/>
      </c>
      <c r="O7060" s="17"/>
    </row>
    <row r="7061">
      <c r="B7061" s="17" t="s">
        <v>477</v>
      </c>
      <c r="K7061" s="18" t="s">
        <v>477</v>
      </c>
      <c r="N7061" s="17" t="str">
        <f>IFERROR(__xludf.DUMMYFUNCTION("""COMPUTED_VALUE"""),"")</f>
        <v/>
      </c>
      <c r="O7061" s="17"/>
    </row>
    <row r="7062">
      <c r="B7062" s="17" t="s">
        <v>477</v>
      </c>
      <c r="K7062" s="18" t="s">
        <v>477</v>
      </c>
      <c r="N7062" s="17" t="str">
        <f>IFERROR(__xludf.DUMMYFUNCTION("""COMPUTED_VALUE"""),"")</f>
        <v/>
      </c>
      <c r="O7062" s="17"/>
    </row>
    <row r="7063">
      <c r="B7063" s="17" t="s">
        <v>477</v>
      </c>
      <c r="K7063" s="18" t="s">
        <v>477</v>
      </c>
      <c r="N7063" s="17" t="str">
        <f>IFERROR(__xludf.DUMMYFUNCTION("""COMPUTED_VALUE"""),"")</f>
        <v/>
      </c>
      <c r="O7063" s="17"/>
    </row>
    <row r="7064">
      <c r="B7064" s="17" t="s">
        <v>477</v>
      </c>
      <c r="K7064" s="18" t="s">
        <v>477</v>
      </c>
      <c r="N7064" s="17" t="str">
        <f>IFERROR(__xludf.DUMMYFUNCTION("""COMPUTED_VALUE"""),"")</f>
        <v/>
      </c>
      <c r="O7064" s="17"/>
    </row>
    <row r="7065">
      <c r="B7065" s="17" t="s">
        <v>477</v>
      </c>
      <c r="K7065" s="18" t="s">
        <v>477</v>
      </c>
      <c r="N7065" s="17" t="str">
        <f>IFERROR(__xludf.DUMMYFUNCTION("""COMPUTED_VALUE"""),"")</f>
        <v/>
      </c>
      <c r="O7065" s="17"/>
    </row>
    <row r="7066">
      <c r="B7066" s="17" t="s">
        <v>477</v>
      </c>
      <c r="K7066" s="18" t="s">
        <v>477</v>
      </c>
      <c r="N7066" s="17" t="str">
        <f>IFERROR(__xludf.DUMMYFUNCTION("""COMPUTED_VALUE"""),"")</f>
        <v/>
      </c>
      <c r="O7066" s="17"/>
    </row>
    <row r="7067">
      <c r="B7067" s="17" t="s">
        <v>477</v>
      </c>
      <c r="K7067" s="18" t="s">
        <v>477</v>
      </c>
      <c r="N7067" s="17" t="str">
        <f>IFERROR(__xludf.DUMMYFUNCTION("""COMPUTED_VALUE"""),"")</f>
        <v/>
      </c>
      <c r="O7067" s="17"/>
    </row>
    <row r="7068">
      <c r="B7068" s="17" t="s">
        <v>477</v>
      </c>
      <c r="K7068" s="18" t="s">
        <v>477</v>
      </c>
      <c r="N7068" s="17" t="str">
        <f>IFERROR(__xludf.DUMMYFUNCTION("""COMPUTED_VALUE"""),"")</f>
        <v/>
      </c>
      <c r="O7068" s="17"/>
    </row>
    <row r="7069">
      <c r="B7069" s="17" t="s">
        <v>477</v>
      </c>
      <c r="K7069" s="18" t="s">
        <v>477</v>
      </c>
      <c r="N7069" s="17" t="str">
        <f>IFERROR(__xludf.DUMMYFUNCTION("""COMPUTED_VALUE"""),"")</f>
        <v/>
      </c>
      <c r="O7069" s="17"/>
    </row>
    <row r="7070">
      <c r="B7070" s="17" t="s">
        <v>477</v>
      </c>
      <c r="K7070" s="18" t="s">
        <v>477</v>
      </c>
      <c r="N7070" s="17" t="str">
        <f>IFERROR(__xludf.DUMMYFUNCTION("""COMPUTED_VALUE"""),"")</f>
        <v/>
      </c>
      <c r="O7070" s="17"/>
    </row>
    <row r="7071">
      <c r="B7071" s="17" t="s">
        <v>477</v>
      </c>
      <c r="K7071" s="18" t="s">
        <v>477</v>
      </c>
      <c r="N7071" s="17" t="str">
        <f>IFERROR(__xludf.DUMMYFUNCTION("""COMPUTED_VALUE"""),"")</f>
        <v/>
      </c>
      <c r="O7071" s="17"/>
    </row>
    <row r="7072">
      <c r="B7072" s="17" t="s">
        <v>477</v>
      </c>
      <c r="K7072" s="18" t="s">
        <v>477</v>
      </c>
      <c r="N7072" s="17" t="str">
        <f>IFERROR(__xludf.DUMMYFUNCTION("""COMPUTED_VALUE"""),"")</f>
        <v/>
      </c>
      <c r="O7072" s="17"/>
    </row>
    <row r="7073">
      <c r="B7073" s="17" t="s">
        <v>477</v>
      </c>
      <c r="K7073" s="18" t="s">
        <v>477</v>
      </c>
      <c r="N7073" s="17" t="str">
        <f>IFERROR(__xludf.DUMMYFUNCTION("""COMPUTED_VALUE"""),"")</f>
        <v/>
      </c>
      <c r="O7073" s="17"/>
    </row>
    <row r="7074">
      <c r="B7074" s="17" t="s">
        <v>477</v>
      </c>
      <c r="K7074" s="18" t="s">
        <v>477</v>
      </c>
      <c r="N7074" s="17" t="str">
        <f>IFERROR(__xludf.DUMMYFUNCTION("""COMPUTED_VALUE"""),"")</f>
        <v/>
      </c>
      <c r="O7074" s="17"/>
    </row>
    <row r="7075">
      <c r="B7075" s="17" t="s">
        <v>477</v>
      </c>
      <c r="K7075" s="18" t="s">
        <v>477</v>
      </c>
      <c r="N7075" s="17" t="str">
        <f>IFERROR(__xludf.DUMMYFUNCTION("""COMPUTED_VALUE"""),"")</f>
        <v/>
      </c>
      <c r="O7075" s="17"/>
    </row>
    <row r="7076">
      <c r="B7076" s="17" t="s">
        <v>477</v>
      </c>
      <c r="K7076" s="18" t="s">
        <v>477</v>
      </c>
      <c r="N7076" s="17" t="str">
        <f>IFERROR(__xludf.DUMMYFUNCTION("""COMPUTED_VALUE"""),"")</f>
        <v/>
      </c>
      <c r="O7076" s="17"/>
    </row>
    <row r="7077">
      <c r="B7077" s="17" t="s">
        <v>477</v>
      </c>
      <c r="K7077" s="18" t="s">
        <v>477</v>
      </c>
      <c r="N7077" s="17" t="str">
        <f>IFERROR(__xludf.DUMMYFUNCTION("""COMPUTED_VALUE"""),"")</f>
        <v/>
      </c>
      <c r="O7077" s="17"/>
    </row>
    <row r="7078">
      <c r="B7078" s="17" t="s">
        <v>477</v>
      </c>
      <c r="K7078" s="18" t="s">
        <v>477</v>
      </c>
      <c r="N7078" s="17" t="str">
        <f>IFERROR(__xludf.DUMMYFUNCTION("""COMPUTED_VALUE"""),"")</f>
        <v/>
      </c>
      <c r="O7078" s="17"/>
    </row>
    <row r="7079">
      <c r="B7079" s="17" t="s">
        <v>477</v>
      </c>
      <c r="K7079" s="18" t="s">
        <v>477</v>
      </c>
      <c r="N7079" s="17" t="str">
        <f>IFERROR(__xludf.DUMMYFUNCTION("""COMPUTED_VALUE"""),"")</f>
        <v/>
      </c>
      <c r="O7079" s="17"/>
    </row>
    <row r="7080">
      <c r="B7080" s="17" t="s">
        <v>477</v>
      </c>
      <c r="K7080" s="18" t="s">
        <v>477</v>
      </c>
      <c r="N7080" s="17" t="str">
        <f>IFERROR(__xludf.DUMMYFUNCTION("""COMPUTED_VALUE"""),"")</f>
        <v/>
      </c>
      <c r="O7080" s="17"/>
    </row>
    <row r="7081">
      <c r="B7081" s="17" t="s">
        <v>477</v>
      </c>
      <c r="K7081" s="18" t="s">
        <v>477</v>
      </c>
      <c r="N7081" s="17" t="str">
        <f>IFERROR(__xludf.DUMMYFUNCTION("""COMPUTED_VALUE"""),"")</f>
        <v/>
      </c>
      <c r="O7081" s="17"/>
    </row>
    <row r="7082">
      <c r="B7082" s="17" t="s">
        <v>477</v>
      </c>
      <c r="K7082" s="18" t="s">
        <v>477</v>
      </c>
      <c r="N7082" s="17" t="str">
        <f>IFERROR(__xludf.DUMMYFUNCTION("""COMPUTED_VALUE"""),"")</f>
        <v/>
      </c>
      <c r="O7082" s="17"/>
    </row>
    <row r="7083">
      <c r="B7083" s="17" t="s">
        <v>477</v>
      </c>
      <c r="K7083" s="18" t="s">
        <v>477</v>
      </c>
      <c r="N7083" s="17" t="str">
        <f>IFERROR(__xludf.DUMMYFUNCTION("""COMPUTED_VALUE"""),"")</f>
        <v/>
      </c>
      <c r="O7083" s="17"/>
    </row>
    <row r="7084">
      <c r="B7084" s="17" t="s">
        <v>477</v>
      </c>
      <c r="K7084" s="18" t="s">
        <v>477</v>
      </c>
      <c r="N7084" s="17" t="str">
        <f>IFERROR(__xludf.DUMMYFUNCTION("""COMPUTED_VALUE"""),"")</f>
        <v/>
      </c>
      <c r="O7084" s="17"/>
    </row>
    <row r="7085">
      <c r="B7085" s="17" t="s">
        <v>477</v>
      </c>
      <c r="K7085" s="18" t="s">
        <v>477</v>
      </c>
      <c r="N7085" s="17" t="str">
        <f>IFERROR(__xludf.DUMMYFUNCTION("""COMPUTED_VALUE"""),"")</f>
        <v/>
      </c>
      <c r="O7085" s="17"/>
    </row>
    <row r="7086">
      <c r="B7086" s="17" t="s">
        <v>477</v>
      </c>
      <c r="K7086" s="18" t="s">
        <v>477</v>
      </c>
      <c r="N7086" s="17" t="str">
        <f>IFERROR(__xludf.DUMMYFUNCTION("""COMPUTED_VALUE"""),"")</f>
        <v/>
      </c>
      <c r="O7086" s="17"/>
    </row>
    <row r="7087">
      <c r="B7087" s="17" t="s">
        <v>477</v>
      </c>
      <c r="K7087" s="18" t="s">
        <v>477</v>
      </c>
      <c r="N7087" s="17" t="str">
        <f>IFERROR(__xludf.DUMMYFUNCTION("""COMPUTED_VALUE"""),"")</f>
        <v/>
      </c>
      <c r="O7087" s="17"/>
    </row>
    <row r="7088">
      <c r="B7088" s="17" t="s">
        <v>477</v>
      </c>
      <c r="K7088" s="18" t="s">
        <v>477</v>
      </c>
      <c r="N7088" s="17" t="str">
        <f>IFERROR(__xludf.DUMMYFUNCTION("""COMPUTED_VALUE"""),"")</f>
        <v/>
      </c>
      <c r="O7088" s="17"/>
    </row>
    <row r="7089">
      <c r="B7089" s="17" t="s">
        <v>477</v>
      </c>
      <c r="K7089" s="18" t="s">
        <v>477</v>
      </c>
      <c r="N7089" s="17" t="str">
        <f>IFERROR(__xludf.DUMMYFUNCTION("""COMPUTED_VALUE"""),"")</f>
        <v/>
      </c>
      <c r="O7089" s="17"/>
    </row>
    <row r="7090">
      <c r="B7090" s="17" t="s">
        <v>477</v>
      </c>
      <c r="K7090" s="18" t="s">
        <v>477</v>
      </c>
      <c r="N7090" s="17" t="str">
        <f>IFERROR(__xludf.DUMMYFUNCTION("""COMPUTED_VALUE"""),"")</f>
        <v/>
      </c>
      <c r="O7090" s="17"/>
    </row>
    <row r="7091">
      <c r="B7091" s="17" t="s">
        <v>477</v>
      </c>
      <c r="K7091" s="18" t="s">
        <v>477</v>
      </c>
      <c r="N7091" s="17" t="str">
        <f>IFERROR(__xludf.DUMMYFUNCTION("""COMPUTED_VALUE"""),"")</f>
        <v/>
      </c>
      <c r="O7091" s="17"/>
    </row>
    <row r="7092">
      <c r="B7092" s="17" t="s">
        <v>477</v>
      </c>
      <c r="K7092" s="18" t="s">
        <v>477</v>
      </c>
      <c r="N7092" s="17" t="str">
        <f>IFERROR(__xludf.DUMMYFUNCTION("""COMPUTED_VALUE"""),"")</f>
        <v/>
      </c>
      <c r="O7092" s="17"/>
    </row>
    <row r="7093">
      <c r="B7093" s="17" t="s">
        <v>477</v>
      </c>
      <c r="K7093" s="18" t="s">
        <v>477</v>
      </c>
      <c r="N7093" s="17" t="str">
        <f>IFERROR(__xludf.DUMMYFUNCTION("""COMPUTED_VALUE"""),"")</f>
        <v/>
      </c>
      <c r="O7093" s="17"/>
    </row>
    <row r="7094">
      <c r="B7094" s="17" t="s">
        <v>477</v>
      </c>
      <c r="K7094" s="18" t="s">
        <v>477</v>
      </c>
      <c r="N7094" s="17" t="str">
        <f>IFERROR(__xludf.DUMMYFUNCTION("""COMPUTED_VALUE"""),"")</f>
        <v/>
      </c>
      <c r="O7094" s="17"/>
    </row>
    <row r="7095">
      <c r="B7095" s="17" t="s">
        <v>477</v>
      </c>
      <c r="K7095" s="18" t="s">
        <v>477</v>
      </c>
      <c r="N7095" s="17" t="str">
        <f>IFERROR(__xludf.DUMMYFUNCTION("""COMPUTED_VALUE"""),"")</f>
        <v/>
      </c>
      <c r="O7095" s="17"/>
    </row>
    <row r="7096">
      <c r="B7096" s="17" t="s">
        <v>477</v>
      </c>
      <c r="K7096" s="18" t="s">
        <v>477</v>
      </c>
      <c r="N7096" s="17" t="str">
        <f>IFERROR(__xludf.DUMMYFUNCTION("""COMPUTED_VALUE"""),"")</f>
        <v/>
      </c>
      <c r="O7096" s="17"/>
    </row>
    <row r="7097">
      <c r="B7097" s="17" t="s">
        <v>477</v>
      </c>
      <c r="K7097" s="18" t="s">
        <v>477</v>
      </c>
      <c r="N7097" s="17" t="str">
        <f>IFERROR(__xludf.DUMMYFUNCTION("""COMPUTED_VALUE"""),"")</f>
        <v/>
      </c>
      <c r="O7097" s="17"/>
    </row>
    <row r="7098">
      <c r="B7098" s="17" t="s">
        <v>477</v>
      </c>
      <c r="K7098" s="18" t="s">
        <v>477</v>
      </c>
      <c r="N7098" s="17" t="str">
        <f>IFERROR(__xludf.DUMMYFUNCTION("""COMPUTED_VALUE"""),"")</f>
        <v/>
      </c>
      <c r="O7098" s="17"/>
    </row>
    <row r="7099">
      <c r="B7099" s="17" t="s">
        <v>477</v>
      </c>
      <c r="K7099" s="18" t="s">
        <v>477</v>
      </c>
      <c r="N7099" s="17" t="str">
        <f>IFERROR(__xludf.DUMMYFUNCTION("""COMPUTED_VALUE"""),"")</f>
        <v/>
      </c>
      <c r="O7099" s="17"/>
    </row>
    <row r="7100">
      <c r="B7100" s="17" t="s">
        <v>477</v>
      </c>
      <c r="K7100" s="18" t="s">
        <v>477</v>
      </c>
      <c r="N7100" s="17" t="str">
        <f>IFERROR(__xludf.DUMMYFUNCTION("""COMPUTED_VALUE"""),"")</f>
        <v/>
      </c>
      <c r="O7100" s="17"/>
    </row>
    <row r="7101">
      <c r="B7101" s="17" t="s">
        <v>477</v>
      </c>
      <c r="K7101" s="18" t="s">
        <v>477</v>
      </c>
      <c r="N7101" s="17" t="str">
        <f>IFERROR(__xludf.DUMMYFUNCTION("""COMPUTED_VALUE"""),"")</f>
        <v/>
      </c>
      <c r="O7101" s="17"/>
    </row>
    <row r="7102">
      <c r="B7102" s="17" t="s">
        <v>477</v>
      </c>
      <c r="K7102" s="18" t="s">
        <v>477</v>
      </c>
      <c r="N7102" s="17" t="str">
        <f>IFERROR(__xludf.DUMMYFUNCTION("""COMPUTED_VALUE"""),"")</f>
        <v/>
      </c>
      <c r="O7102" s="17"/>
    </row>
    <row r="7103">
      <c r="B7103" s="17" t="s">
        <v>477</v>
      </c>
      <c r="K7103" s="18" t="s">
        <v>477</v>
      </c>
      <c r="N7103" s="17" t="str">
        <f>IFERROR(__xludf.DUMMYFUNCTION("""COMPUTED_VALUE"""),"")</f>
        <v/>
      </c>
      <c r="O7103" s="17"/>
    </row>
    <row r="7104">
      <c r="B7104" s="17" t="s">
        <v>477</v>
      </c>
      <c r="K7104" s="18" t="s">
        <v>477</v>
      </c>
      <c r="N7104" s="17" t="str">
        <f>IFERROR(__xludf.DUMMYFUNCTION("""COMPUTED_VALUE"""),"")</f>
        <v/>
      </c>
      <c r="O7104" s="17"/>
    </row>
    <row r="7105">
      <c r="B7105" s="17" t="s">
        <v>477</v>
      </c>
      <c r="K7105" s="18" t="s">
        <v>477</v>
      </c>
      <c r="N7105" s="17" t="str">
        <f>IFERROR(__xludf.DUMMYFUNCTION("""COMPUTED_VALUE"""),"")</f>
        <v/>
      </c>
      <c r="O7105" s="17"/>
    </row>
    <row r="7106">
      <c r="B7106" s="17" t="s">
        <v>477</v>
      </c>
      <c r="K7106" s="18" t="s">
        <v>477</v>
      </c>
      <c r="N7106" s="17" t="str">
        <f>IFERROR(__xludf.DUMMYFUNCTION("""COMPUTED_VALUE"""),"")</f>
        <v/>
      </c>
      <c r="O7106" s="17"/>
    </row>
    <row r="7107">
      <c r="B7107" s="17" t="s">
        <v>477</v>
      </c>
      <c r="K7107" s="18" t="s">
        <v>477</v>
      </c>
      <c r="N7107" s="17" t="str">
        <f>IFERROR(__xludf.DUMMYFUNCTION("""COMPUTED_VALUE"""),"")</f>
        <v/>
      </c>
      <c r="O7107" s="17"/>
    </row>
    <row r="7108">
      <c r="B7108" s="17" t="s">
        <v>477</v>
      </c>
      <c r="K7108" s="18" t="s">
        <v>477</v>
      </c>
      <c r="N7108" s="17" t="str">
        <f>IFERROR(__xludf.DUMMYFUNCTION("""COMPUTED_VALUE"""),"")</f>
        <v/>
      </c>
      <c r="O7108" s="17"/>
    </row>
    <row r="7109">
      <c r="B7109" s="17" t="s">
        <v>477</v>
      </c>
      <c r="K7109" s="18" t="s">
        <v>477</v>
      </c>
      <c r="N7109" s="17" t="str">
        <f>IFERROR(__xludf.DUMMYFUNCTION("""COMPUTED_VALUE"""),"")</f>
        <v/>
      </c>
      <c r="O7109" s="17"/>
    </row>
    <row r="7110">
      <c r="B7110" s="17" t="s">
        <v>477</v>
      </c>
      <c r="K7110" s="18" t="s">
        <v>477</v>
      </c>
      <c r="N7110" s="17" t="str">
        <f>IFERROR(__xludf.DUMMYFUNCTION("""COMPUTED_VALUE"""),"")</f>
        <v/>
      </c>
      <c r="O7110" s="17"/>
    </row>
    <row r="7111">
      <c r="B7111" s="17" t="s">
        <v>477</v>
      </c>
      <c r="K7111" s="18" t="s">
        <v>477</v>
      </c>
      <c r="N7111" s="17" t="str">
        <f>IFERROR(__xludf.DUMMYFUNCTION("""COMPUTED_VALUE"""),"")</f>
        <v/>
      </c>
      <c r="O7111" s="17"/>
    </row>
    <row r="7112">
      <c r="B7112" s="17" t="s">
        <v>477</v>
      </c>
      <c r="K7112" s="18" t="s">
        <v>477</v>
      </c>
      <c r="N7112" s="17" t="str">
        <f>IFERROR(__xludf.DUMMYFUNCTION("""COMPUTED_VALUE"""),"")</f>
        <v/>
      </c>
      <c r="O7112" s="17"/>
    </row>
    <row r="7113">
      <c r="B7113" s="17" t="s">
        <v>477</v>
      </c>
      <c r="K7113" s="18" t="s">
        <v>477</v>
      </c>
      <c r="N7113" s="17" t="str">
        <f>IFERROR(__xludf.DUMMYFUNCTION("""COMPUTED_VALUE"""),"")</f>
        <v/>
      </c>
      <c r="O7113" s="17"/>
    </row>
    <row r="7114">
      <c r="B7114" s="17" t="s">
        <v>477</v>
      </c>
      <c r="K7114" s="18" t="s">
        <v>477</v>
      </c>
      <c r="N7114" s="17" t="str">
        <f>IFERROR(__xludf.DUMMYFUNCTION("""COMPUTED_VALUE"""),"")</f>
        <v/>
      </c>
      <c r="O7114" s="17"/>
    </row>
    <row r="7115">
      <c r="B7115" s="17" t="s">
        <v>477</v>
      </c>
      <c r="K7115" s="18" t="s">
        <v>477</v>
      </c>
      <c r="N7115" s="17" t="str">
        <f>IFERROR(__xludf.DUMMYFUNCTION("""COMPUTED_VALUE"""),"")</f>
        <v/>
      </c>
      <c r="O7115" s="17"/>
    </row>
    <row r="7116">
      <c r="B7116" s="17" t="s">
        <v>477</v>
      </c>
      <c r="K7116" s="18" t="s">
        <v>477</v>
      </c>
      <c r="N7116" s="17" t="str">
        <f>IFERROR(__xludf.DUMMYFUNCTION("""COMPUTED_VALUE"""),"")</f>
        <v/>
      </c>
      <c r="O7116" s="17"/>
    </row>
    <row r="7117">
      <c r="B7117" s="17" t="s">
        <v>477</v>
      </c>
      <c r="K7117" s="18" t="s">
        <v>477</v>
      </c>
      <c r="N7117" s="17" t="str">
        <f>IFERROR(__xludf.DUMMYFUNCTION("""COMPUTED_VALUE"""),"")</f>
        <v/>
      </c>
      <c r="O7117" s="17"/>
    </row>
    <row r="7118">
      <c r="B7118" s="17" t="s">
        <v>477</v>
      </c>
      <c r="K7118" s="18" t="s">
        <v>477</v>
      </c>
      <c r="N7118" s="17" t="str">
        <f>IFERROR(__xludf.DUMMYFUNCTION("""COMPUTED_VALUE"""),"")</f>
        <v/>
      </c>
      <c r="O7118" s="17"/>
    </row>
    <row r="7119">
      <c r="B7119" s="17" t="s">
        <v>477</v>
      </c>
      <c r="K7119" s="18" t="s">
        <v>477</v>
      </c>
      <c r="N7119" s="17" t="str">
        <f>IFERROR(__xludf.DUMMYFUNCTION("""COMPUTED_VALUE"""),"")</f>
        <v/>
      </c>
      <c r="O7119" s="17"/>
    </row>
    <row r="7120">
      <c r="B7120" s="17" t="s">
        <v>477</v>
      </c>
      <c r="K7120" s="18" t="s">
        <v>477</v>
      </c>
      <c r="N7120" s="17" t="str">
        <f>IFERROR(__xludf.DUMMYFUNCTION("""COMPUTED_VALUE"""),"")</f>
        <v/>
      </c>
      <c r="O7120" s="17"/>
    </row>
    <row r="7121">
      <c r="B7121" s="17" t="s">
        <v>477</v>
      </c>
      <c r="K7121" s="18" t="s">
        <v>477</v>
      </c>
      <c r="N7121" s="17" t="str">
        <f>IFERROR(__xludf.DUMMYFUNCTION("""COMPUTED_VALUE"""),"")</f>
        <v/>
      </c>
      <c r="O7121" s="17"/>
    </row>
    <row r="7122">
      <c r="B7122" s="17" t="s">
        <v>477</v>
      </c>
      <c r="K7122" s="18" t="s">
        <v>477</v>
      </c>
      <c r="N7122" s="17" t="str">
        <f>IFERROR(__xludf.DUMMYFUNCTION("""COMPUTED_VALUE"""),"")</f>
        <v/>
      </c>
      <c r="O7122" s="17"/>
    </row>
    <row r="7123">
      <c r="B7123" s="17" t="s">
        <v>477</v>
      </c>
      <c r="K7123" s="18" t="s">
        <v>477</v>
      </c>
      <c r="N7123" s="17" t="str">
        <f>IFERROR(__xludf.DUMMYFUNCTION("""COMPUTED_VALUE"""),"")</f>
        <v/>
      </c>
      <c r="O7123" s="17"/>
    </row>
    <row r="7124">
      <c r="B7124" s="17" t="s">
        <v>477</v>
      </c>
      <c r="K7124" s="18" t="s">
        <v>477</v>
      </c>
      <c r="N7124" s="17" t="str">
        <f>IFERROR(__xludf.DUMMYFUNCTION("""COMPUTED_VALUE"""),"")</f>
        <v/>
      </c>
      <c r="O7124" s="17"/>
    </row>
    <row r="7125">
      <c r="B7125" s="17" t="s">
        <v>477</v>
      </c>
      <c r="K7125" s="18" t="s">
        <v>477</v>
      </c>
      <c r="N7125" s="17" t="str">
        <f>IFERROR(__xludf.DUMMYFUNCTION("""COMPUTED_VALUE"""),"")</f>
        <v/>
      </c>
      <c r="O7125" s="17"/>
    </row>
    <row r="7126">
      <c r="B7126" s="17" t="s">
        <v>477</v>
      </c>
      <c r="K7126" s="18" t="s">
        <v>477</v>
      </c>
      <c r="N7126" s="17" t="str">
        <f>IFERROR(__xludf.DUMMYFUNCTION("""COMPUTED_VALUE"""),"")</f>
        <v/>
      </c>
      <c r="O7126" s="17"/>
    </row>
    <row r="7127">
      <c r="B7127" s="17" t="s">
        <v>477</v>
      </c>
      <c r="K7127" s="18" t="s">
        <v>477</v>
      </c>
      <c r="N7127" s="17" t="str">
        <f>IFERROR(__xludf.DUMMYFUNCTION("""COMPUTED_VALUE"""),"")</f>
        <v/>
      </c>
      <c r="O7127" s="17"/>
    </row>
    <row r="7128">
      <c r="B7128" s="17" t="s">
        <v>477</v>
      </c>
      <c r="K7128" s="18" t="s">
        <v>477</v>
      </c>
      <c r="N7128" s="17" t="str">
        <f>IFERROR(__xludf.DUMMYFUNCTION("""COMPUTED_VALUE"""),"")</f>
        <v/>
      </c>
      <c r="O7128" s="17"/>
    </row>
    <row r="7129">
      <c r="B7129" s="17" t="s">
        <v>477</v>
      </c>
      <c r="K7129" s="18" t="s">
        <v>477</v>
      </c>
      <c r="N7129" s="17" t="str">
        <f>IFERROR(__xludf.DUMMYFUNCTION("""COMPUTED_VALUE"""),"")</f>
        <v/>
      </c>
      <c r="O7129" s="17"/>
    </row>
    <row r="7130">
      <c r="B7130" s="17" t="s">
        <v>477</v>
      </c>
      <c r="K7130" s="18" t="s">
        <v>477</v>
      </c>
      <c r="N7130" s="17" t="str">
        <f>IFERROR(__xludf.DUMMYFUNCTION("""COMPUTED_VALUE"""),"")</f>
        <v/>
      </c>
      <c r="O7130" s="17"/>
    </row>
    <row r="7131">
      <c r="B7131" s="17" t="s">
        <v>477</v>
      </c>
      <c r="K7131" s="18" t="s">
        <v>477</v>
      </c>
      <c r="N7131" s="17" t="str">
        <f>IFERROR(__xludf.DUMMYFUNCTION("""COMPUTED_VALUE"""),"")</f>
        <v/>
      </c>
      <c r="O7131" s="17"/>
    </row>
    <row r="7132">
      <c r="B7132" s="17" t="s">
        <v>477</v>
      </c>
      <c r="K7132" s="18" t="s">
        <v>477</v>
      </c>
      <c r="N7132" s="17" t="str">
        <f>IFERROR(__xludf.DUMMYFUNCTION("""COMPUTED_VALUE"""),"")</f>
        <v/>
      </c>
      <c r="O7132" s="17"/>
    </row>
    <row r="7133">
      <c r="B7133" s="17" t="s">
        <v>477</v>
      </c>
      <c r="K7133" s="18" t="s">
        <v>477</v>
      </c>
      <c r="N7133" s="17" t="str">
        <f>IFERROR(__xludf.DUMMYFUNCTION("""COMPUTED_VALUE"""),"")</f>
        <v/>
      </c>
      <c r="O7133" s="17"/>
    </row>
    <row r="7134">
      <c r="B7134" s="17" t="s">
        <v>477</v>
      </c>
      <c r="K7134" s="18" t="s">
        <v>477</v>
      </c>
      <c r="N7134" s="17" t="str">
        <f>IFERROR(__xludf.DUMMYFUNCTION("""COMPUTED_VALUE"""),"")</f>
        <v/>
      </c>
      <c r="O7134" s="17"/>
    </row>
    <row r="7135">
      <c r="B7135" s="17" t="s">
        <v>477</v>
      </c>
      <c r="K7135" s="18" t="s">
        <v>477</v>
      </c>
      <c r="N7135" s="17" t="str">
        <f>IFERROR(__xludf.DUMMYFUNCTION("""COMPUTED_VALUE"""),"")</f>
        <v/>
      </c>
      <c r="O7135" s="17"/>
    </row>
    <row r="7136">
      <c r="B7136" s="17" t="s">
        <v>477</v>
      </c>
      <c r="K7136" s="18" t="s">
        <v>477</v>
      </c>
      <c r="N7136" s="17" t="str">
        <f>IFERROR(__xludf.DUMMYFUNCTION("""COMPUTED_VALUE"""),"")</f>
        <v/>
      </c>
      <c r="O7136" s="17"/>
    </row>
    <row r="7137">
      <c r="B7137" s="17" t="s">
        <v>477</v>
      </c>
      <c r="K7137" s="18" t="s">
        <v>477</v>
      </c>
      <c r="N7137" s="17" t="str">
        <f>IFERROR(__xludf.DUMMYFUNCTION("""COMPUTED_VALUE"""),"")</f>
        <v/>
      </c>
      <c r="O7137" s="17"/>
    </row>
    <row r="7138">
      <c r="B7138" s="17" t="s">
        <v>477</v>
      </c>
      <c r="K7138" s="18" t="s">
        <v>477</v>
      </c>
      <c r="N7138" s="17" t="str">
        <f>IFERROR(__xludf.DUMMYFUNCTION("""COMPUTED_VALUE"""),"")</f>
        <v/>
      </c>
      <c r="O7138" s="17"/>
    </row>
    <row r="7139">
      <c r="B7139" s="17" t="s">
        <v>477</v>
      </c>
      <c r="K7139" s="18" t="s">
        <v>477</v>
      </c>
      <c r="N7139" s="17" t="str">
        <f>IFERROR(__xludf.DUMMYFUNCTION("""COMPUTED_VALUE"""),"")</f>
        <v/>
      </c>
      <c r="O7139" s="17"/>
    </row>
    <row r="7140">
      <c r="B7140" s="17" t="s">
        <v>477</v>
      </c>
      <c r="K7140" s="18" t="s">
        <v>477</v>
      </c>
      <c r="N7140" s="17" t="str">
        <f>IFERROR(__xludf.DUMMYFUNCTION("""COMPUTED_VALUE"""),"")</f>
        <v/>
      </c>
      <c r="O7140" s="17"/>
    </row>
    <row r="7141">
      <c r="B7141" s="17" t="s">
        <v>477</v>
      </c>
      <c r="K7141" s="18" t="s">
        <v>477</v>
      </c>
      <c r="N7141" s="17" t="str">
        <f>IFERROR(__xludf.DUMMYFUNCTION("""COMPUTED_VALUE"""),"")</f>
        <v/>
      </c>
      <c r="O7141" s="17"/>
    </row>
    <row r="7142">
      <c r="B7142" s="17" t="s">
        <v>477</v>
      </c>
      <c r="K7142" s="18" t="s">
        <v>477</v>
      </c>
      <c r="N7142" s="17" t="str">
        <f>IFERROR(__xludf.DUMMYFUNCTION("""COMPUTED_VALUE"""),"")</f>
        <v/>
      </c>
      <c r="O7142" s="17"/>
    </row>
    <row r="7143">
      <c r="B7143" s="17" t="s">
        <v>477</v>
      </c>
      <c r="K7143" s="18" t="s">
        <v>477</v>
      </c>
      <c r="N7143" s="17" t="str">
        <f>IFERROR(__xludf.DUMMYFUNCTION("""COMPUTED_VALUE"""),"")</f>
        <v/>
      </c>
      <c r="O7143" s="17"/>
    </row>
    <row r="7144">
      <c r="B7144" s="17" t="s">
        <v>477</v>
      </c>
      <c r="K7144" s="18" t="s">
        <v>477</v>
      </c>
      <c r="N7144" s="17" t="str">
        <f>IFERROR(__xludf.DUMMYFUNCTION("""COMPUTED_VALUE"""),"")</f>
        <v/>
      </c>
      <c r="O7144" s="17"/>
    </row>
    <row r="7145">
      <c r="B7145" s="17" t="s">
        <v>477</v>
      </c>
      <c r="K7145" s="18" t="s">
        <v>477</v>
      </c>
      <c r="N7145" s="17" t="str">
        <f>IFERROR(__xludf.DUMMYFUNCTION("""COMPUTED_VALUE"""),"")</f>
        <v/>
      </c>
      <c r="O7145" s="17"/>
    </row>
    <row r="7146">
      <c r="B7146" s="17" t="s">
        <v>477</v>
      </c>
      <c r="K7146" s="18" t="s">
        <v>477</v>
      </c>
      <c r="N7146" s="17" t="str">
        <f>IFERROR(__xludf.DUMMYFUNCTION("""COMPUTED_VALUE"""),"")</f>
        <v/>
      </c>
      <c r="O7146" s="17"/>
    </row>
    <row r="7147">
      <c r="B7147" s="17" t="s">
        <v>477</v>
      </c>
      <c r="K7147" s="18" t="s">
        <v>477</v>
      </c>
      <c r="N7147" s="17" t="str">
        <f>IFERROR(__xludf.DUMMYFUNCTION("""COMPUTED_VALUE"""),"")</f>
        <v/>
      </c>
      <c r="O7147" s="17"/>
    </row>
    <row r="7148">
      <c r="B7148" s="17" t="s">
        <v>477</v>
      </c>
      <c r="K7148" s="18" t="s">
        <v>477</v>
      </c>
      <c r="N7148" s="17" t="str">
        <f>IFERROR(__xludf.DUMMYFUNCTION("""COMPUTED_VALUE"""),"")</f>
        <v/>
      </c>
      <c r="O7148" s="17"/>
    </row>
    <row r="7149">
      <c r="B7149" s="17" t="s">
        <v>477</v>
      </c>
      <c r="K7149" s="18" t="s">
        <v>477</v>
      </c>
      <c r="N7149" s="17" t="str">
        <f>IFERROR(__xludf.DUMMYFUNCTION("""COMPUTED_VALUE"""),"")</f>
        <v/>
      </c>
      <c r="O7149" s="17"/>
    </row>
    <row r="7150">
      <c r="B7150" s="17" t="s">
        <v>477</v>
      </c>
      <c r="K7150" s="18" t="s">
        <v>477</v>
      </c>
      <c r="N7150" s="17" t="str">
        <f>IFERROR(__xludf.DUMMYFUNCTION("""COMPUTED_VALUE"""),"")</f>
        <v/>
      </c>
      <c r="O7150" s="17"/>
    </row>
    <row r="7151">
      <c r="B7151" s="17" t="s">
        <v>477</v>
      </c>
      <c r="K7151" s="18" t="s">
        <v>477</v>
      </c>
      <c r="N7151" s="17" t="str">
        <f>IFERROR(__xludf.DUMMYFUNCTION("""COMPUTED_VALUE"""),"")</f>
        <v/>
      </c>
      <c r="O7151" s="17"/>
    </row>
    <row r="7152">
      <c r="B7152" s="17" t="s">
        <v>477</v>
      </c>
      <c r="K7152" s="18" t="s">
        <v>477</v>
      </c>
      <c r="N7152" s="17" t="str">
        <f>IFERROR(__xludf.DUMMYFUNCTION("""COMPUTED_VALUE"""),"")</f>
        <v/>
      </c>
      <c r="O7152" s="17"/>
    </row>
    <row r="7153">
      <c r="B7153" s="17" t="s">
        <v>477</v>
      </c>
      <c r="K7153" s="18" t="s">
        <v>477</v>
      </c>
      <c r="N7153" s="17" t="str">
        <f>IFERROR(__xludf.DUMMYFUNCTION("""COMPUTED_VALUE"""),"")</f>
        <v/>
      </c>
      <c r="O7153" s="17"/>
    </row>
    <row r="7154">
      <c r="B7154" s="17" t="s">
        <v>477</v>
      </c>
      <c r="K7154" s="18" t="s">
        <v>477</v>
      </c>
      <c r="N7154" s="17" t="str">
        <f>IFERROR(__xludf.DUMMYFUNCTION("""COMPUTED_VALUE"""),"")</f>
        <v/>
      </c>
      <c r="O7154" s="17"/>
    </row>
    <row r="7155">
      <c r="B7155" s="17" t="s">
        <v>477</v>
      </c>
      <c r="K7155" s="18" t="s">
        <v>477</v>
      </c>
      <c r="N7155" s="17" t="str">
        <f>IFERROR(__xludf.DUMMYFUNCTION("""COMPUTED_VALUE"""),"")</f>
        <v/>
      </c>
      <c r="O7155" s="17"/>
    </row>
    <row r="7156">
      <c r="B7156" s="17" t="s">
        <v>477</v>
      </c>
      <c r="K7156" s="18" t="s">
        <v>477</v>
      </c>
      <c r="N7156" s="17" t="str">
        <f>IFERROR(__xludf.DUMMYFUNCTION("""COMPUTED_VALUE"""),"")</f>
        <v/>
      </c>
      <c r="O7156" s="17"/>
    </row>
    <row r="7157">
      <c r="B7157" s="17" t="s">
        <v>477</v>
      </c>
      <c r="K7157" s="18" t="s">
        <v>477</v>
      </c>
      <c r="N7157" s="17" t="str">
        <f>IFERROR(__xludf.DUMMYFUNCTION("""COMPUTED_VALUE"""),"")</f>
        <v/>
      </c>
      <c r="O7157" s="17"/>
    </row>
    <row r="7158">
      <c r="B7158" s="17" t="s">
        <v>477</v>
      </c>
      <c r="K7158" s="18" t="s">
        <v>477</v>
      </c>
      <c r="N7158" s="17" t="str">
        <f>IFERROR(__xludf.DUMMYFUNCTION("""COMPUTED_VALUE"""),"")</f>
        <v/>
      </c>
      <c r="O7158" s="17"/>
    </row>
    <row r="7159">
      <c r="B7159" s="17" t="s">
        <v>477</v>
      </c>
      <c r="K7159" s="18" t="s">
        <v>477</v>
      </c>
      <c r="N7159" s="17" t="str">
        <f>IFERROR(__xludf.DUMMYFUNCTION("""COMPUTED_VALUE"""),"")</f>
        <v/>
      </c>
      <c r="O7159" s="17"/>
    </row>
    <row r="7160">
      <c r="B7160" s="17" t="s">
        <v>477</v>
      </c>
      <c r="K7160" s="18" t="s">
        <v>477</v>
      </c>
      <c r="N7160" s="17" t="str">
        <f>IFERROR(__xludf.DUMMYFUNCTION("""COMPUTED_VALUE"""),"")</f>
        <v/>
      </c>
      <c r="O7160" s="17"/>
    </row>
    <row r="7161">
      <c r="B7161" s="17" t="s">
        <v>477</v>
      </c>
      <c r="K7161" s="18" t="s">
        <v>477</v>
      </c>
      <c r="N7161" s="17" t="str">
        <f>IFERROR(__xludf.DUMMYFUNCTION("""COMPUTED_VALUE"""),"")</f>
        <v/>
      </c>
      <c r="O7161" s="17"/>
    </row>
    <row r="7162">
      <c r="B7162" s="17" t="s">
        <v>477</v>
      </c>
      <c r="K7162" s="18" t="s">
        <v>477</v>
      </c>
      <c r="N7162" s="17" t="str">
        <f>IFERROR(__xludf.DUMMYFUNCTION("""COMPUTED_VALUE"""),"")</f>
        <v/>
      </c>
      <c r="O7162" s="17"/>
    </row>
    <row r="7163">
      <c r="B7163" s="17" t="s">
        <v>477</v>
      </c>
      <c r="K7163" s="18" t="s">
        <v>477</v>
      </c>
      <c r="N7163" s="17" t="str">
        <f>IFERROR(__xludf.DUMMYFUNCTION("""COMPUTED_VALUE"""),"")</f>
        <v/>
      </c>
      <c r="O7163" s="17"/>
    </row>
    <row r="7164">
      <c r="B7164" s="17" t="s">
        <v>477</v>
      </c>
      <c r="K7164" s="18" t="s">
        <v>477</v>
      </c>
      <c r="N7164" s="17" t="str">
        <f>IFERROR(__xludf.DUMMYFUNCTION("""COMPUTED_VALUE"""),"")</f>
        <v/>
      </c>
      <c r="O7164" s="17"/>
    </row>
    <row r="7165">
      <c r="B7165" s="17" t="s">
        <v>477</v>
      </c>
      <c r="K7165" s="18" t="s">
        <v>477</v>
      </c>
      <c r="N7165" s="17" t="str">
        <f>IFERROR(__xludf.DUMMYFUNCTION("""COMPUTED_VALUE"""),"")</f>
        <v/>
      </c>
      <c r="O7165" s="17"/>
    </row>
    <row r="7166">
      <c r="B7166" s="17" t="s">
        <v>477</v>
      </c>
      <c r="K7166" s="18" t="s">
        <v>477</v>
      </c>
      <c r="N7166" s="17" t="str">
        <f>IFERROR(__xludf.DUMMYFUNCTION("""COMPUTED_VALUE"""),"")</f>
        <v/>
      </c>
      <c r="O7166" s="17"/>
    </row>
    <row r="7167">
      <c r="B7167" s="17" t="s">
        <v>477</v>
      </c>
      <c r="K7167" s="18" t="s">
        <v>477</v>
      </c>
      <c r="N7167" s="17" t="str">
        <f>IFERROR(__xludf.DUMMYFUNCTION("""COMPUTED_VALUE"""),"")</f>
        <v/>
      </c>
      <c r="O7167" s="17"/>
    </row>
    <row r="7168">
      <c r="B7168" s="17" t="s">
        <v>477</v>
      </c>
      <c r="K7168" s="18" t="s">
        <v>477</v>
      </c>
      <c r="N7168" s="17" t="str">
        <f>IFERROR(__xludf.DUMMYFUNCTION("""COMPUTED_VALUE"""),"")</f>
        <v/>
      </c>
      <c r="O7168" s="17"/>
    </row>
    <row r="7169">
      <c r="B7169" s="17" t="s">
        <v>477</v>
      </c>
      <c r="K7169" s="18" t="s">
        <v>477</v>
      </c>
      <c r="N7169" s="17" t="str">
        <f>IFERROR(__xludf.DUMMYFUNCTION("""COMPUTED_VALUE"""),"")</f>
        <v/>
      </c>
      <c r="O7169" s="17"/>
    </row>
    <row r="7170">
      <c r="B7170" s="17" t="s">
        <v>477</v>
      </c>
      <c r="K7170" s="18" t="s">
        <v>477</v>
      </c>
      <c r="N7170" s="17" t="str">
        <f>IFERROR(__xludf.DUMMYFUNCTION("""COMPUTED_VALUE"""),"")</f>
        <v/>
      </c>
      <c r="O7170" s="17"/>
    </row>
    <row r="7171">
      <c r="B7171" s="17" t="s">
        <v>477</v>
      </c>
      <c r="K7171" s="18" t="s">
        <v>477</v>
      </c>
      <c r="N7171" s="17" t="str">
        <f>IFERROR(__xludf.DUMMYFUNCTION("""COMPUTED_VALUE"""),"")</f>
        <v/>
      </c>
      <c r="O7171" s="17"/>
    </row>
    <row r="7172">
      <c r="B7172" s="17" t="s">
        <v>477</v>
      </c>
      <c r="K7172" s="18" t="s">
        <v>477</v>
      </c>
      <c r="N7172" s="17" t="str">
        <f>IFERROR(__xludf.DUMMYFUNCTION("""COMPUTED_VALUE"""),"")</f>
        <v/>
      </c>
      <c r="O7172" s="17"/>
    </row>
    <row r="7173">
      <c r="B7173" s="17" t="s">
        <v>477</v>
      </c>
      <c r="K7173" s="18" t="s">
        <v>477</v>
      </c>
      <c r="N7173" s="17" t="str">
        <f>IFERROR(__xludf.DUMMYFUNCTION("""COMPUTED_VALUE"""),"")</f>
        <v/>
      </c>
      <c r="O7173" s="17"/>
    </row>
    <row r="7174">
      <c r="B7174" s="17" t="s">
        <v>477</v>
      </c>
      <c r="K7174" s="18" t="s">
        <v>477</v>
      </c>
      <c r="N7174" s="17" t="str">
        <f>IFERROR(__xludf.DUMMYFUNCTION("""COMPUTED_VALUE"""),"")</f>
        <v/>
      </c>
      <c r="O7174" s="17"/>
    </row>
    <row r="7175">
      <c r="B7175" s="17" t="s">
        <v>477</v>
      </c>
      <c r="K7175" s="18" t="s">
        <v>477</v>
      </c>
      <c r="N7175" s="17" t="str">
        <f>IFERROR(__xludf.DUMMYFUNCTION("""COMPUTED_VALUE"""),"")</f>
        <v/>
      </c>
      <c r="O7175" s="17"/>
    </row>
    <row r="7176">
      <c r="B7176" s="17" t="s">
        <v>477</v>
      </c>
      <c r="K7176" s="18" t="s">
        <v>477</v>
      </c>
      <c r="N7176" s="17" t="str">
        <f>IFERROR(__xludf.DUMMYFUNCTION("""COMPUTED_VALUE"""),"")</f>
        <v/>
      </c>
      <c r="O7176" s="17"/>
    </row>
    <row r="7177">
      <c r="B7177" s="17" t="s">
        <v>477</v>
      </c>
      <c r="K7177" s="18" t="s">
        <v>477</v>
      </c>
      <c r="N7177" s="17" t="str">
        <f>IFERROR(__xludf.DUMMYFUNCTION("""COMPUTED_VALUE"""),"")</f>
        <v/>
      </c>
      <c r="O7177" s="17"/>
    </row>
    <row r="7178">
      <c r="B7178" s="17" t="s">
        <v>477</v>
      </c>
      <c r="K7178" s="18" t="s">
        <v>477</v>
      </c>
      <c r="N7178" s="17" t="str">
        <f>IFERROR(__xludf.DUMMYFUNCTION("""COMPUTED_VALUE"""),"")</f>
        <v/>
      </c>
      <c r="O7178" s="17"/>
    </row>
    <row r="7179">
      <c r="B7179" s="17" t="s">
        <v>477</v>
      </c>
      <c r="K7179" s="18" t="s">
        <v>477</v>
      </c>
      <c r="N7179" s="17" t="str">
        <f>IFERROR(__xludf.DUMMYFUNCTION("""COMPUTED_VALUE"""),"")</f>
        <v/>
      </c>
      <c r="O7179" s="17"/>
    </row>
    <row r="7180">
      <c r="B7180" s="17" t="s">
        <v>477</v>
      </c>
      <c r="K7180" s="18" t="s">
        <v>477</v>
      </c>
      <c r="N7180" s="17" t="str">
        <f>IFERROR(__xludf.DUMMYFUNCTION("""COMPUTED_VALUE"""),"")</f>
        <v/>
      </c>
      <c r="O7180" s="17"/>
    </row>
    <row r="7181">
      <c r="B7181" s="17" t="s">
        <v>477</v>
      </c>
      <c r="K7181" s="18" t="s">
        <v>477</v>
      </c>
      <c r="N7181" s="17" t="str">
        <f>IFERROR(__xludf.DUMMYFUNCTION("""COMPUTED_VALUE"""),"")</f>
        <v/>
      </c>
      <c r="O7181" s="17"/>
    </row>
    <row r="7182">
      <c r="B7182" s="17" t="s">
        <v>477</v>
      </c>
      <c r="K7182" s="18" t="s">
        <v>477</v>
      </c>
      <c r="N7182" s="17" t="str">
        <f>IFERROR(__xludf.DUMMYFUNCTION("""COMPUTED_VALUE"""),"")</f>
        <v/>
      </c>
      <c r="O7182" s="17"/>
    </row>
    <row r="7183">
      <c r="B7183" s="17" t="s">
        <v>477</v>
      </c>
      <c r="K7183" s="18" t="s">
        <v>477</v>
      </c>
      <c r="N7183" s="17" t="str">
        <f>IFERROR(__xludf.DUMMYFUNCTION("""COMPUTED_VALUE"""),"")</f>
        <v/>
      </c>
      <c r="O7183" s="17"/>
    </row>
    <row r="7184">
      <c r="B7184" s="17" t="s">
        <v>477</v>
      </c>
      <c r="K7184" s="18" t="s">
        <v>477</v>
      </c>
      <c r="N7184" s="17" t="str">
        <f>IFERROR(__xludf.DUMMYFUNCTION("""COMPUTED_VALUE"""),"")</f>
        <v/>
      </c>
      <c r="O7184" s="17"/>
    </row>
    <row r="7185">
      <c r="B7185" s="17" t="s">
        <v>477</v>
      </c>
      <c r="K7185" s="18" t="s">
        <v>477</v>
      </c>
      <c r="N7185" s="17" t="str">
        <f>IFERROR(__xludf.DUMMYFUNCTION("""COMPUTED_VALUE"""),"")</f>
        <v/>
      </c>
      <c r="O7185" s="17"/>
    </row>
    <row r="7186">
      <c r="B7186" s="17" t="s">
        <v>477</v>
      </c>
      <c r="K7186" s="18" t="s">
        <v>477</v>
      </c>
      <c r="N7186" s="17" t="str">
        <f>IFERROR(__xludf.DUMMYFUNCTION("""COMPUTED_VALUE"""),"")</f>
        <v/>
      </c>
      <c r="O7186" s="17"/>
    </row>
    <row r="7187">
      <c r="B7187" s="17" t="s">
        <v>477</v>
      </c>
      <c r="K7187" s="18" t="s">
        <v>477</v>
      </c>
      <c r="N7187" s="17" t="str">
        <f>IFERROR(__xludf.DUMMYFUNCTION("""COMPUTED_VALUE"""),"")</f>
        <v/>
      </c>
      <c r="O7187" s="17"/>
    </row>
    <row r="7188">
      <c r="B7188" s="17" t="s">
        <v>477</v>
      </c>
      <c r="K7188" s="18" t="s">
        <v>477</v>
      </c>
      <c r="N7188" s="17" t="str">
        <f>IFERROR(__xludf.DUMMYFUNCTION("""COMPUTED_VALUE"""),"")</f>
        <v/>
      </c>
      <c r="O7188" s="17"/>
    </row>
    <row r="7189">
      <c r="B7189" s="17" t="s">
        <v>477</v>
      </c>
      <c r="K7189" s="18" t="s">
        <v>477</v>
      </c>
      <c r="N7189" s="17" t="str">
        <f>IFERROR(__xludf.DUMMYFUNCTION("""COMPUTED_VALUE"""),"")</f>
        <v/>
      </c>
      <c r="O7189" s="17"/>
    </row>
    <row r="7190">
      <c r="B7190" s="17" t="s">
        <v>477</v>
      </c>
      <c r="K7190" s="18" t="s">
        <v>477</v>
      </c>
      <c r="N7190" s="17" t="str">
        <f>IFERROR(__xludf.DUMMYFUNCTION("""COMPUTED_VALUE"""),"")</f>
        <v/>
      </c>
      <c r="O7190" s="17"/>
    </row>
    <row r="7191">
      <c r="B7191" s="17" t="s">
        <v>477</v>
      </c>
      <c r="K7191" s="18" t="s">
        <v>477</v>
      </c>
      <c r="N7191" s="17" t="str">
        <f>IFERROR(__xludf.DUMMYFUNCTION("""COMPUTED_VALUE"""),"")</f>
        <v/>
      </c>
      <c r="O7191" s="17"/>
    </row>
    <row r="7192">
      <c r="B7192" s="17" t="s">
        <v>477</v>
      </c>
      <c r="K7192" s="18" t="s">
        <v>477</v>
      </c>
      <c r="N7192" s="17" t="str">
        <f>IFERROR(__xludf.DUMMYFUNCTION("""COMPUTED_VALUE"""),"")</f>
        <v/>
      </c>
      <c r="O7192" s="17"/>
    </row>
    <row r="7193">
      <c r="B7193" s="17" t="s">
        <v>477</v>
      </c>
      <c r="K7193" s="18" t="s">
        <v>477</v>
      </c>
      <c r="N7193" s="17" t="str">
        <f>IFERROR(__xludf.DUMMYFUNCTION("""COMPUTED_VALUE"""),"")</f>
        <v/>
      </c>
      <c r="O7193" s="17"/>
    </row>
    <row r="7194">
      <c r="B7194" s="17" t="s">
        <v>477</v>
      </c>
      <c r="K7194" s="18" t="s">
        <v>477</v>
      </c>
      <c r="N7194" s="17" t="str">
        <f>IFERROR(__xludf.DUMMYFUNCTION("""COMPUTED_VALUE"""),"")</f>
        <v/>
      </c>
      <c r="O7194" s="17"/>
    </row>
    <row r="7195">
      <c r="B7195" s="17" t="s">
        <v>477</v>
      </c>
      <c r="K7195" s="18" t="s">
        <v>477</v>
      </c>
      <c r="N7195" s="17" t="str">
        <f>IFERROR(__xludf.DUMMYFUNCTION("""COMPUTED_VALUE"""),"")</f>
        <v/>
      </c>
      <c r="O7195" s="17"/>
    </row>
    <row r="7196">
      <c r="B7196" s="17" t="s">
        <v>477</v>
      </c>
      <c r="K7196" s="18" t="s">
        <v>477</v>
      </c>
      <c r="N7196" s="17" t="str">
        <f>IFERROR(__xludf.DUMMYFUNCTION("""COMPUTED_VALUE"""),"")</f>
        <v/>
      </c>
      <c r="O7196" s="17"/>
    </row>
    <row r="7197">
      <c r="B7197" s="17" t="s">
        <v>477</v>
      </c>
      <c r="K7197" s="18" t="s">
        <v>477</v>
      </c>
      <c r="N7197" s="17" t="str">
        <f>IFERROR(__xludf.DUMMYFUNCTION("""COMPUTED_VALUE"""),"")</f>
        <v/>
      </c>
      <c r="O7197" s="17"/>
    </row>
    <row r="7198">
      <c r="B7198" s="17" t="s">
        <v>477</v>
      </c>
      <c r="K7198" s="18" t="s">
        <v>477</v>
      </c>
      <c r="N7198" s="17" t="str">
        <f>IFERROR(__xludf.DUMMYFUNCTION("""COMPUTED_VALUE"""),"")</f>
        <v/>
      </c>
      <c r="O7198" s="17"/>
    </row>
    <row r="7199">
      <c r="B7199" s="17" t="s">
        <v>477</v>
      </c>
      <c r="K7199" s="18" t="s">
        <v>477</v>
      </c>
      <c r="N7199" s="17" t="str">
        <f>IFERROR(__xludf.DUMMYFUNCTION("""COMPUTED_VALUE"""),"")</f>
        <v/>
      </c>
      <c r="O7199" s="17"/>
    </row>
    <row r="7200">
      <c r="B7200" s="17" t="s">
        <v>477</v>
      </c>
      <c r="K7200" s="18" t="s">
        <v>477</v>
      </c>
      <c r="N7200" s="17" t="str">
        <f>IFERROR(__xludf.DUMMYFUNCTION("""COMPUTED_VALUE"""),"")</f>
        <v/>
      </c>
      <c r="O7200" s="17"/>
    </row>
    <row r="7201">
      <c r="B7201" s="17" t="s">
        <v>477</v>
      </c>
      <c r="K7201" s="18" t="s">
        <v>477</v>
      </c>
      <c r="N7201" s="17" t="str">
        <f>IFERROR(__xludf.DUMMYFUNCTION("""COMPUTED_VALUE"""),"")</f>
        <v/>
      </c>
      <c r="O7201" s="17"/>
    </row>
    <row r="7202">
      <c r="B7202" s="17" t="s">
        <v>477</v>
      </c>
      <c r="K7202" s="18" t="s">
        <v>477</v>
      </c>
      <c r="N7202" s="17" t="str">
        <f>IFERROR(__xludf.DUMMYFUNCTION("""COMPUTED_VALUE"""),"")</f>
        <v/>
      </c>
      <c r="O7202" s="17"/>
    </row>
    <row r="7203">
      <c r="B7203" s="17" t="s">
        <v>477</v>
      </c>
      <c r="K7203" s="18" t="s">
        <v>477</v>
      </c>
      <c r="N7203" s="17" t="str">
        <f>IFERROR(__xludf.DUMMYFUNCTION("""COMPUTED_VALUE"""),"")</f>
        <v/>
      </c>
      <c r="O7203" s="17"/>
    </row>
    <row r="7204">
      <c r="B7204" s="17" t="s">
        <v>477</v>
      </c>
      <c r="K7204" s="18" t="s">
        <v>477</v>
      </c>
      <c r="N7204" s="17" t="str">
        <f>IFERROR(__xludf.DUMMYFUNCTION("""COMPUTED_VALUE"""),"")</f>
        <v/>
      </c>
      <c r="O7204" s="17"/>
    </row>
    <row r="7205">
      <c r="B7205" s="17" t="s">
        <v>477</v>
      </c>
      <c r="K7205" s="18" t="s">
        <v>477</v>
      </c>
      <c r="N7205" s="17" t="str">
        <f>IFERROR(__xludf.DUMMYFUNCTION("""COMPUTED_VALUE"""),"")</f>
        <v/>
      </c>
      <c r="O7205" s="17"/>
    </row>
    <row r="7206">
      <c r="B7206" s="17" t="s">
        <v>477</v>
      </c>
      <c r="K7206" s="18" t="s">
        <v>477</v>
      </c>
      <c r="N7206" s="17" t="str">
        <f>IFERROR(__xludf.DUMMYFUNCTION("""COMPUTED_VALUE"""),"")</f>
        <v/>
      </c>
      <c r="O7206" s="17"/>
    </row>
    <row r="7207">
      <c r="B7207" s="17" t="s">
        <v>477</v>
      </c>
      <c r="K7207" s="18" t="s">
        <v>477</v>
      </c>
      <c r="N7207" s="17" t="str">
        <f>IFERROR(__xludf.DUMMYFUNCTION("""COMPUTED_VALUE"""),"")</f>
        <v/>
      </c>
      <c r="O7207" s="17"/>
    </row>
    <row r="7208">
      <c r="B7208" s="17" t="s">
        <v>477</v>
      </c>
      <c r="K7208" s="18" t="s">
        <v>477</v>
      </c>
      <c r="N7208" s="17" t="str">
        <f>IFERROR(__xludf.DUMMYFUNCTION("""COMPUTED_VALUE"""),"")</f>
        <v/>
      </c>
      <c r="O7208" s="17"/>
    </row>
    <row r="7209">
      <c r="B7209" s="17" t="s">
        <v>477</v>
      </c>
      <c r="K7209" s="18" t="s">
        <v>477</v>
      </c>
      <c r="N7209" s="17" t="str">
        <f>IFERROR(__xludf.DUMMYFUNCTION("""COMPUTED_VALUE"""),"")</f>
        <v/>
      </c>
      <c r="O7209" s="17"/>
    </row>
    <row r="7210">
      <c r="B7210" s="17" t="s">
        <v>477</v>
      </c>
      <c r="K7210" s="18" t="s">
        <v>477</v>
      </c>
      <c r="N7210" s="17" t="str">
        <f>IFERROR(__xludf.DUMMYFUNCTION("""COMPUTED_VALUE"""),"")</f>
        <v/>
      </c>
      <c r="O7210" s="17"/>
    </row>
    <row r="7211">
      <c r="B7211" s="17" t="s">
        <v>477</v>
      </c>
      <c r="K7211" s="18" t="s">
        <v>477</v>
      </c>
      <c r="N7211" s="17" t="str">
        <f>IFERROR(__xludf.DUMMYFUNCTION("""COMPUTED_VALUE"""),"")</f>
        <v/>
      </c>
      <c r="O7211" s="17"/>
    </row>
    <row r="7212">
      <c r="B7212" s="17" t="s">
        <v>477</v>
      </c>
      <c r="K7212" s="18" t="s">
        <v>477</v>
      </c>
      <c r="N7212" s="17" t="str">
        <f>IFERROR(__xludf.DUMMYFUNCTION("""COMPUTED_VALUE"""),"")</f>
        <v/>
      </c>
      <c r="O7212" s="17"/>
    </row>
    <row r="7213">
      <c r="B7213" s="17" t="s">
        <v>477</v>
      </c>
      <c r="K7213" s="18" t="s">
        <v>477</v>
      </c>
      <c r="N7213" s="17" t="str">
        <f>IFERROR(__xludf.DUMMYFUNCTION("""COMPUTED_VALUE"""),"")</f>
        <v/>
      </c>
      <c r="O7213" s="17"/>
    </row>
    <row r="7214">
      <c r="B7214" s="17" t="s">
        <v>477</v>
      </c>
      <c r="K7214" s="18" t="s">
        <v>477</v>
      </c>
      <c r="N7214" s="17" t="str">
        <f>IFERROR(__xludf.DUMMYFUNCTION("""COMPUTED_VALUE"""),"")</f>
        <v/>
      </c>
      <c r="O7214" s="17"/>
    </row>
    <row r="7215">
      <c r="B7215" s="17" t="s">
        <v>477</v>
      </c>
      <c r="K7215" s="18" t="s">
        <v>477</v>
      </c>
      <c r="N7215" s="17" t="str">
        <f>IFERROR(__xludf.DUMMYFUNCTION("""COMPUTED_VALUE"""),"")</f>
        <v/>
      </c>
      <c r="O7215" s="17"/>
    </row>
    <row r="7216">
      <c r="B7216" s="17" t="s">
        <v>477</v>
      </c>
      <c r="K7216" s="18" t="s">
        <v>477</v>
      </c>
      <c r="N7216" s="17" t="str">
        <f>IFERROR(__xludf.DUMMYFUNCTION("""COMPUTED_VALUE"""),"")</f>
        <v/>
      </c>
      <c r="O7216" s="17"/>
    </row>
    <row r="7217">
      <c r="B7217" s="17" t="s">
        <v>477</v>
      </c>
      <c r="K7217" s="18" t="s">
        <v>477</v>
      </c>
      <c r="N7217" s="17" t="str">
        <f>IFERROR(__xludf.DUMMYFUNCTION("""COMPUTED_VALUE"""),"")</f>
        <v/>
      </c>
      <c r="O7217" s="17"/>
    </row>
    <row r="7218">
      <c r="B7218" s="17" t="s">
        <v>477</v>
      </c>
      <c r="K7218" s="18" t="s">
        <v>477</v>
      </c>
      <c r="N7218" s="17" t="str">
        <f>IFERROR(__xludf.DUMMYFUNCTION("""COMPUTED_VALUE"""),"")</f>
        <v/>
      </c>
      <c r="O7218" s="17"/>
    </row>
    <row r="7219">
      <c r="B7219" s="17" t="s">
        <v>477</v>
      </c>
      <c r="K7219" s="18" t="s">
        <v>477</v>
      </c>
      <c r="N7219" s="17" t="str">
        <f>IFERROR(__xludf.DUMMYFUNCTION("""COMPUTED_VALUE"""),"")</f>
        <v/>
      </c>
      <c r="O7219" s="17"/>
    </row>
    <row r="7220">
      <c r="B7220" s="17" t="s">
        <v>477</v>
      </c>
      <c r="K7220" s="18" t="s">
        <v>477</v>
      </c>
      <c r="N7220" s="17" t="str">
        <f>IFERROR(__xludf.DUMMYFUNCTION("""COMPUTED_VALUE"""),"")</f>
        <v/>
      </c>
      <c r="O7220" s="17"/>
    </row>
    <row r="7221">
      <c r="B7221" s="17" t="s">
        <v>477</v>
      </c>
      <c r="K7221" s="18" t="s">
        <v>477</v>
      </c>
      <c r="N7221" s="17" t="str">
        <f>IFERROR(__xludf.DUMMYFUNCTION("""COMPUTED_VALUE"""),"")</f>
        <v/>
      </c>
      <c r="O7221" s="17"/>
    </row>
    <row r="7222">
      <c r="B7222" s="17" t="s">
        <v>477</v>
      </c>
      <c r="K7222" s="18" t="s">
        <v>477</v>
      </c>
      <c r="N7222" s="17" t="str">
        <f>IFERROR(__xludf.DUMMYFUNCTION("""COMPUTED_VALUE"""),"")</f>
        <v/>
      </c>
      <c r="O7222" s="17"/>
    </row>
    <row r="7223">
      <c r="B7223" s="17" t="s">
        <v>477</v>
      </c>
      <c r="K7223" s="18" t="s">
        <v>477</v>
      </c>
      <c r="N7223" s="17" t="str">
        <f>IFERROR(__xludf.DUMMYFUNCTION("""COMPUTED_VALUE"""),"")</f>
        <v/>
      </c>
      <c r="O7223" s="17"/>
    </row>
    <row r="7224">
      <c r="B7224" s="17" t="s">
        <v>477</v>
      </c>
      <c r="K7224" s="18" t="s">
        <v>477</v>
      </c>
      <c r="N7224" s="17" t="str">
        <f>IFERROR(__xludf.DUMMYFUNCTION("""COMPUTED_VALUE"""),"")</f>
        <v/>
      </c>
      <c r="O7224" s="17"/>
    </row>
    <row r="7225">
      <c r="B7225" s="17" t="s">
        <v>477</v>
      </c>
      <c r="K7225" s="18" t="s">
        <v>477</v>
      </c>
      <c r="N7225" s="17" t="str">
        <f>IFERROR(__xludf.DUMMYFUNCTION("""COMPUTED_VALUE"""),"")</f>
        <v/>
      </c>
      <c r="O7225" s="17"/>
    </row>
    <row r="7226">
      <c r="B7226" s="17" t="s">
        <v>477</v>
      </c>
      <c r="K7226" s="18" t="s">
        <v>477</v>
      </c>
      <c r="N7226" s="17" t="str">
        <f>IFERROR(__xludf.DUMMYFUNCTION("""COMPUTED_VALUE"""),"")</f>
        <v/>
      </c>
      <c r="O7226" s="17"/>
    </row>
    <row r="7227">
      <c r="B7227" s="17" t="s">
        <v>477</v>
      </c>
      <c r="K7227" s="18" t="s">
        <v>477</v>
      </c>
      <c r="N7227" s="17" t="str">
        <f>IFERROR(__xludf.DUMMYFUNCTION("""COMPUTED_VALUE"""),"")</f>
        <v/>
      </c>
      <c r="O7227" s="17"/>
    </row>
    <row r="7228">
      <c r="B7228" s="17" t="s">
        <v>477</v>
      </c>
      <c r="K7228" s="18" t="s">
        <v>477</v>
      </c>
      <c r="N7228" s="17" t="str">
        <f>IFERROR(__xludf.DUMMYFUNCTION("""COMPUTED_VALUE"""),"")</f>
        <v/>
      </c>
      <c r="O7228" s="17"/>
    </row>
    <row r="7229">
      <c r="B7229" s="17" t="s">
        <v>477</v>
      </c>
      <c r="K7229" s="18" t="s">
        <v>477</v>
      </c>
      <c r="N7229" s="17" t="str">
        <f>IFERROR(__xludf.DUMMYFUNCTION("""COMPUTED_VALUE"""),"")</f>
        <v/>
      </c>
      <c r="O7229" s="17"/>
    </row>
    <row r="7230">
      <c r="B7230" s="17" t="s">
        <v>477</v>
      </c>
      <c r="K7230" s="18" t="s">
        <v>477</v>
      </c>
      <c r="N7230" s="17" t="str">
        <f>IFERROR(__xludf.DUMMYFUNCTION("""COMPUTED_VALUE"""),"")</f>
        <v/>
      </c>
      <c r="O7230" s="17"/>
    </row>
    <row r="7231">
      <c r="B7231" s="17" t="s">
        <v>477</v>
      </c>
      <c r="K7231" s="18" t="s">
        <v>477</v>
      </c>
      <c r="N7231" s="17" t="str">
        <f>IFERROR(__xludf.DUMMYFUNCTION("""COMPUTED_VALUE"""),"")</f>
        <v/>
      </c>
      <c r="O7231" s="17"/>
    </row>
    <row r="7232">
      <c r="B7232" s="17" t="s">
        <v>477</v>
      </c>
      <c r="K7232" s="18" t="s">
        <v>477</v>
      </c>
      <c r="N7232" s="17" t="str">
        <f>IFERROR(__xludf.DUMMYFUNCTION("""COMPUTED_VALUE"""),"")</f>
        <v/>
      </c>
      <c r="O7232" s="17"/>
    </row>
    <row r="7233">
      <c r="B7233" s="17" t="s">
        <v>477</v>
      </c>
      <c r="K7233" s="18" t="s">
        <v>477</v>
      </c>
      <c r="N7233" s="17" t="str">
        <f>IFERROR(__xludf.DUMMYFUNCTION("""COMPUTED_VALUE"""),"")</f>
        <v/>
      </c>
      <c r="O7233" s="17"/>
    </row>
    <row r="7234">
      <c r="B7234" s="17" t="s">
        <v>477</v>
      </c>
      <c r="K7234" s="18" t="s">
        <v>477</v>
      </c>
      <c r="N7234" s="17" t="str">
        <f>IFERROR(__xludf.DUMMYFUNCTION("""COMPUTED_VALUE"""),"")</f>
        <v/>
      </c>
      <c r="O7234" s="17"/>
    </row>
    <row r="7235">
      <c r="B7235" s="17" t="s">
        <v>477</v>
      </c>
      <c r="K7235" s="18" t="s">
        <v>477</v>
      </c>
      <c r="N7235" s="17" t="str">
        <f>IFERROR(__xludf.DUMMYFUNCTION("""COMPUTED_VALUE"""),"")</f>
        <v/>
      </c>
      <c r="O7235" s="17"/>
    </row>
    <row r="7236">
      <c r="B7236" s="17" t="s">
        <v>477</v>
      </c>
      <c r="K7236" s="18" t="s">
        <v>477</v>
      </c>
      <c r="N7236" s="17" t="str">
        <f>IFERROR(__xludf.DUMMYFUNCTION("""COMPUTED_VALUE"""),"")</f>
        <v/>
      </c>
      <c r="O7236" s="17"/>
    </row>
    <row r="7237">
      <c r="B7237" s="17" t="s">
        <v>477</v>
      </c>
      <c r="K7237" s="18" t="s">
        <v>477</v>
      </c>
      <c r="N7237" s="17" t="str">
        <f>IFERROR(__xludf.DUMMYFUNCTION("""COMPUTED_VALUE"""),"")</f>
        <v/>
      </c>
      <c r="O7237" s="17"/>
    </row>
    <row r="7238">
      <c r="B7238" s="17" t="s">
        <v>477</v>
      </c>
      <c r="K7238" s="18" t="s">
        <v>477</v>
      </c>
      <c r="N7238" s="17" t="str">
        <f>IFERROR(__xludf.DUMMYFUNCTION("""COMPUTED_VALUE"""),"")</f>
        <v/>
      </c>
      <c r="O7238" s="17"/>
    </row>
    <row r="7239">
      <c r="B7239" s="17" t="s">
        <v>477</v>
      </c>
      <c r="K7239" s="18" t="s">
        <v>477</v>
      </c>
      <c r="N7239" s="17" t="str">
        <f>IFERROR(__xludf.DUMMYFUNCTION("""COMPUTED_VALUE"""),"")</f>
        <v/>
      </c>
      <c r="O7239" s="17"/>
    </row>
    <row r="7240">
      <c r="B7240" s="17" t="s">
        <v>477</v>
      </c>
      <c r="K7240" s="18" t="s">
        <v>477</v>
      </c>
      <c r="N7240" s="17" t="str">
        <f>IFERROR(__xludf.DUMMYFUNCTION("""COMPUTED_VALUE"""),"")</f>
        <v/>
      </c>
      <c r="O7240" s="17"/>
    </row>
    <row r="7241">
      <c r="B7241" s="17" t="s">
        <v>477</v>
      </c>
      <c r="K7241" s="18" t="s">
        <v>477</v>
      </c>
      <c r="N7241" s="17" t="str">
        <f>IFERROR(__xludf.DUMMYFUNCTION("""COMPUTED_VALUE"""),"")</f>
        <v/>
      </c>
      <c r="O7241" s="17"/>
    </row>
    <row r="7242">
      <c r="B7242" s="17" t="s">
        <v>477</v>
      </c>
      <c r="K7242" s="18" t="s">
        <v>477</v>
      </c>
      <c r="N7242" s="17" t="str">
        <f>IFERROR(__xludf.DUMMYFUNCTION("""COMPUTED_VALUE"""),"")</f>
        <v/>
      </c>
      <c r="O7242" s="17"/>
    </row>
    <row r="7243">
      <c r="B7243" s="17" t="s">
        <v>477</v>
      </c>
      <c r="K7243" s="18" t="s">
        <v>477</v>
      </c>
      <c r="N7243" s="17" t="str">
        <f>IFERROR(__xludf.DUMMYFUNCTION("""COMPUTED_VALUE"""),"")</f>
        <v/>
      </c>
      <c r="O7243" s="17"/>
    </row>
    <row r="7244">
      <c r="B7244" s="17" t="s">
        <v>477</v>
      </c>
      <c r="K7244" s="18" t="s">
        <v>477</v>
      </c>
      <c r="N7244" s="17" t="str">
        <f>IFERROR(__xludf.DUMMYFUNCTION("""COMPUTED_VALUE"""),"")</f>
        <v/>
      </c>
      <c r="O7244" s="17"/>
    </row>
    <row r="7245">
      <c r="B7245" s="17" t="s">
        <v>477</v>
      </c>
      <c r="K7245" s="18" t="s">
        <v>477</v>
      </c>
      <c r="N7245" s="17" t="str">
        <f>IFERROR(__xludf.DUMMYFUNCTION("""COMPUTED_VALUE"""),"")</f>
        <v/>
      </c>
      <c r="O7245" s="17"/>
    </row>
    <row r="7246">
      <c r="B7246" s="17" t="s">
        <v>477</v>
      </c>
      <c r="K7246" s="18" t="s">
        <v>477</v>
      </c>
      <c r="N7246" s="17" t="str">
        <f>IFERROR(__xludf.DUMMYFUNCTION("""COMPUTED_VALUE"""),"")</f>
        <v/>
      </c>
      <c r="O7246" s="17"/>
    </row>
    <row r="7247">
      <c r="B7247" s="17" t="s">
        <v>477</v>
      </c>
      <c r="K7247" s="18" t="s">
        <v>477</v>
      </c>
      <c r="N7247" s="17" t="str">
        <f>IFERROR(__xludf.DUMMYFUNCTION("""COMPUTED_VALUE"""),"")</f>
        <v/>
      </c>
      <c r="O7247" s="17"/>
    </row>
    <row r="7248">
      <c r="B7248" s="17" t="s">
        <v>477</v>
      </c>
      <c r="K7248" s="18" t="s">
        <v>477</v>
      </c>
      <c r="N7248" s="17" t="str">
        <f>IFERROR(__xludf.DUMMYFUNCTION("""COMPUTED_VALUE"""),"")</f>
        <v/>
      </c>
      <c r="O7248" s="17"/>
    </row>
    <row r="7249">
      <c r="B7249" s="17" t="s">
        <v>477</v>
      </c>
      <c r="K7249" s="18" t="s">
        <v>477</v>
      </c>
      <c r="N7249" s="17" t="str">
        <f>IFERROR(__xludf.DUMMYFUNCTION("""COMPUTED_VALUE"""),"")</f>
        <v/>
      </c>
      <c r="O7249" s="17"/>
    </row>
    <row r="7250">
      <c r="B7250" s="17" t="s">
        <v>477</v>
      </c>
      <c r="K7250" s="18" t="s">
        <v>477</v>
      </c>
      <c r="N7250" s="17" t="str">
        <f>IFERROR(__xludf.DUMMYFUNCTION("""COMPUTED_VALUE"""),"")</f>
        <v/>
      </c>
      <c r="O7250" s="17"/>
    </row>
    <row r="7251">
      <c r="B7251" s="17" t="s">
        <v>477</v>
      </c>
      <c r="K7251" s="18" t="s">
        <v>477</v>
      </c>
      <c r="N7251" s="17" t="str">
        <f>IFERROR(__xludf.DUMMYFUNCTION("""COMPUTED_VALUE"""),"")</f>
        <v/>
      </c>
      <c r="O7251" s="17"/>
    </row>
    <row r="7252">
      <c r="B7252" s="17" t="s">
        <v>477</v>
      </c>
      <c r="K7252" s="18" t="s">
        <v>477</v>
      </c>
      <c r="N7252" s="17" t="str">
        <f>IFERROR(__xludf.DUMMYFUNCTION("""COMPUTED_VALUE"""),"")</f>
        <v/>
      </c>
      <c r="O7252" s="17"/>
    </row>
    <row r="7253">
      <c r="B7253" s="17" t="s">
        <v>477</v>
      </c>
      <c r="K7253" s="18" t="s">
        <v>477</v>
      </c>
      <c r="N7253" s="17" t="str">
        <f>IFERROR(__xludf.DUMMYFUNCTION("""COMPUTED_VALUE"""),"")</f>
        <v/>
      </c>
      <c r="O7253" s="17"/>
    </row>
    <row r="7254">
      <c r="B7254" s="17" t="s">
        <v>477</v>
      </c>
      <c r="K7254" s="18" t="s">
        <v>477</v>
      </c>
      <c r="N7254" s="17" t="str">
        <f>IFERROR(__xludf.DUMMYFUNCTION("""COMPUTED_VALUE"""),"")</f>
        <v/>
      </c>
      <c r="O7254" s="17"/>
    </row>
    <row r="7255">
      <c r="B7255" s="17" t="s">
        <v>477</v>
      </c>
      <c r="K7255" s="18" t="s">
        <v>477</v>
      </c>
      <c r="N7255" s="17" t="str">
        <f>IFERROR(__xludf.DUMMYFUNCTION("""COMPUTED_VALUE"""),"")</f>
        <v/>
      </c>
      <c r="O7255" s="17"/>
    </row>
    <row r="7256">
      <c r="B7256" s="17" t="s">
        <v>477</v>
      </c>
      <c r="K7256" s="18" t="s">
        <v>477</v>
      </c>
      <c r="N7256" s="17" t="str">
        <f>IFERROR(__xludf.DUMMYFUNCTION("""COMPUTED_VALUE"""),"")</f>
        <v/>
      </c>
      <c r="O7256" s="17"/>
    </row>
    <row r="7257">
      <c r="B7257" s="17" t="s">
        <v>477</v>
      </c>
      <c r="K7257" s="18" t="s">
        <v>477</v>
      </c>
      <c r="N7257" s="17" t="str">
        <f>IFERROR(__xludf.DUMMYFUNCTION("""COMPUTED_VALUE"""),"")</f>
        <v/>
      </c>
      <c r="O7257" s="17"/>
    </row>
    <row r="7258">
      <c r="B7258" s="17" t="s">
        <v>477</v>
      </c>
      <c r="K7258" s="18" t="s">
        <v>477</v>
      </c>
      <c r="N7258" s="17" t="str">
        <f>IFERROR(__xludf.DUMMYFUNCTION("""COMPUTED_VALUE"""),"")</f>
        <v/>
      </c>
      <c r="O7258" s="17"/>
    </row>
    <row r="7259">
      <c r="B7259" s="17" t="s">
        <v>477</v>
      </c>
      <c r="K7259" s="18" t="s">
        <v>477</v>
      </c>
      <c r="N7259" s="17" t="str">
        <f>IFERROR(__xludf.DUMMYFUNCTION("""COMPUTED_VALUE"""),"")</f>
        <v/>
      </c>
      <c r="O7259" s="17"/>
    </row>
    <row r="7260">
      <c r="B7260" s="17" t="s">
        <v>477</v>
      </c>
      <c r="K7260" s="18" t="s">
        <v>477</v>
      </c>
      <c r="N7260" s="17" t="str">
        <f>IFERROR(__xludf.DUMMYFUNCTION("""COMPUTED_VALUE"""),"")</f>
        <v/>
      </c>
      <c r="O7260" s="17"/>
    </row>
    <row r="7261">
      <c r="B7261" s="17" t="s">
        <v>477</v>
      </c>
      <c r="K7261" s="18" t="s">
        <v>477</v>
      </c>
      <c r="N7261" s="17" t="str">
        <f>IFERROR(__xludf.DUMMYFUNCTION("""COMPUTED_VALUE"""),"")</f>
        <v/>
      </c>
      <c r="O7261" s="17"/>
    </row>
    <row r="7262">
      <c r="B7262" s="17" t="s">
        <v>477</v>
      </c>
      <c r="K7262" s="18" t="s">
        <v>477</v>
      </c>
      <c r="N7262" s="17" t="str">
        <f>IFERROR(__xludf.DUMMYFUNCTION("""COMPUTED_VALUE"""),"")</f>
        <v/>
      </c>
      <c r="O7262" s="17"/>
    </row>
    <row r="7263">
      <c r="B7263" s="17" t="s">
        <v>477</v>
      </c>
      <c r="K7263" s="18" t="s">
        <v>477</v>
      </c>
      <c r="N7263" s="17" t="str">
        <f>IFERROR(__xludf.DUMMYFUNCTION("""COMPUTED_VALUE"""),"")</f>
        <v/>
      </c>
      <c r="O7263" s="17"/>
    </row>
    <row r="7264">
      <c r="B7264" s="17" t="s">
        <v>477</v>
      </c>
      <c r="K7264" s="18" t="s">
        <v>477</v>
      </c>
      <c r="N7264" s="17" t="str">
        <f>IFERROR(__xludf.DUMMYFUNCTION("""COMPUTED_VALUE"""),"")</f>
        <v/>
      </c>
      <c r="O7264" s="17"/>
    </row>
    <row r="7265">
      <c r="B7265" s="17" t="s">
        <v>477</v>
      </c>
      <c r="K7265" s="18" t="s">
        <v>477</v>
      </c>
      <c r="N7265" s="17" t="str">
        <f>IFERROR(__xludf.DUMMYFUNCTION("""COMPUTED_VALUE"""),"")</f>
        <v/>
      </c>
      <c r="O7265" s="17"/>
    </row>
    <row r="7266">
      <c r="B7266" s="17" t="s">
        <v>477</v>
      </c>
      <c r="K7266" s="18" t="s">
        <v>477</v>
      </c>
      <c r="N7266" s="17" t="str">
        <f>IFERROR(__xludf.DUMMYFUNCTION("""COMPUTED_VALUE"""),"")</f>
        <v/>
      </c>
      <c r="O7266" s="17"/>
    </row>
    <row r="7267">
      <c r="B7267" s="17" t="s">
        <v>477</v>
      </c>
      <c r="K7267" s="18" t="s">
        <v>477</v>
      </c>
      <c r="N7267" s="17" t="str">
        <f>IFERROR(__xludf.DUMMYFUNCTION("""COMPUTED_VALUE"""),"")</f>
        <v/>
      </c>
      <c r="O7267" s="17"/>
    </row>
    <row r="7268">
      <c r="B7268" s="17" t="s">
        <v>477</v>
      </c>
      <c r="K7268" s="18" t="s">
        <v>477</v>
      </c>
      <c r="N7268" s="17" t="str">
        <f>IFERROR(__xludf.DUMMYFUNCTION("""COMPUTED_VALUE"""),"")</f>
        <v/>
      </c>
      <c r="O7268" s="17"/>
    </row>
    <row r="7269">
      <c r="B7269" s="17" t="s">
        <v>477</v>
      </c>
      <c r="K7269" s="18" t="s">
        <v>477</v>
      </c>
      <c r="N7269" s="17" t="str">
        <f>IFERROR(__xludf.DUMMYFUNCTION("""COMPUTED_VALUE"""),"")</f>
        <v/>
      </c>
      <c r="O7269" s="17"/>
    </row>
    <row r="7270">
      <c r="B7270" s="17" t="s">
        <v>477</v>
      </c>
      <c r="K7270" s="18" t="s">
        <v>477</v>
      </c>
      <c r="N7270" s="17" t="str">
        <f>IFERROR(__xludf.DUMMYFUNCTION("""COMPUTED_VALUE"""),"")</f>
        <v/>
      </c>
      <c r="O7270" s="17"/>
    </row>
    <row r="7271">
      <c r="B7271" s="17" t="s">
        <v>477</v>
      </c>
      <c r="K7271" s="18" t="s">
        <v>477</v>
      </c>
      <c r="N7271" s="17" t="str">
        <f>IFERROR(__xludf.DUMMYFUNCTION("""COMPUTED_VALUE"""),"")</f>
        <v/>
      </c>
      <c r="O7271" s="17"/>
    </row>
    <row r="7272">
      <c r="B7272" s="17" t="s">
        <v>477</v>
      </c>
      <c r="K7272" s="18" t="s">
        <v>477</v>
      </c>
      <c r="N7272" s="17" t="str">
        <f>IFERROR(__xludf.DUMMYFUNCTION("""COMPUTED_VALUE"""),"")</f>
        <v/>
      </c>
      <c r="O7272" s="17"/>
    </row>
    <row r="7273">
      <c r="B7273" s="17" t="s">
        <v>477</v>
      </c>
      <c r="K7273" s="18" t="s">
        <v>477</v>
      </c>
      <c r="N7273" s="17" t="str">
        <f>IFERROR(__xludf.DUMMYFUNCTION("""COMPUTED_VALUE"""),"")</f>
        <v/>
      </c>
      <c r="O7273" s="17"/>
    </row>
    <row r="7274">
      <c r="B7274" s="17" t="s">
        <v>477</v>
      </c>
      <c r="K7274" s="18" t="s">
        <v>477</v>
      </c>
      <c r="N7274" s="17" t="str">
        <f>IFERROR(__xludf.DUMMYFUNCTION("""COMPUTED_VALUE"""),"")</f>
        <v/>
      </c>
      <c r="O7274" s="17"/>
    </row>
    <row r="7275">
      <c r="B7275" s="17" t="s">
        <v>477</v>
      </c>
      <c r="K7275" s="18" t="s">
        <v>477</v>
      </c>
      <c r="N7275" s="17" t="str">
        <f>IFERROR(__xludf.DUMMYFUNCTION("""COMPUTED_VALUE"""),"")</f>
        <v/>
      </c>
      <c r="O7275" s="17"/>
    </row>
    <row r="7276">
      <c r="B7276" s="17" t="s">
        <v>477</v>
      </c>
      <c r="K7276" s="18" t="s">
        <v>477</v>
      </c>
      <c r="N7276" s="17" t="str">
        <f>IFERROR(__xludf.DUMMYFUNCTION("""COMPUTED_VALUE"""),"")</f>
        <v/>
      </c>
      <c r="O7276" s="17"/>
    </row>
    <row r="7277">
      <c r="B7277" s="17" t="s">
        <v>477</v>
      </c>
      <c r="K7277" s="18" t="s">
        <v>477</v>
      </c>
      <c r="N7277" s="17" t="str">
        <f>IFERROR(__xludf.DUMMYFUNCTION("""COMPUTED_VALUE"""),"")</f>
        <v/>
      </c>
      <c r="O7277" s="17"/>
    </row>
    <row r="7278">
      <c r="B7278" s="17" t="s">
        <v>477</v>
      </c>
      <c r="K7278" s="18" t="s">
        <v>477</v>
      </c>
      <c r="N7278" s="17" t="str">
        <f>IFERROR(__xludf.DUMMYFUNCTION("""COMPUTED_VALUE"""),"")</f>
        <v/>
      </c>
      <c r="O7278" s="17"/>
    </row>
    <row r="7279">
      <c r="B7279" s="17" t="s">
        <v>477</v>
      </c>
      <c r="K7279" s="18" t="s">
        <v>477</v>
      </c>
      <c r="N7279" s="17" t="str">
        <f>IFERROR(__xludf.DUMMYFUNCTION("""COMPUTED_VALUE"""),"")</f>
        <v/>
      </c>
      <c r="O7279" s="17"/>
    </row>
    <row r="7280">
      <c r="B7280" s="17" t="s">
        <v>477</v>
      </c>
      <c r="K7280" s="18" t="s">
        <v>477</v>
      </c>
      <c r="N7280" s="17" t="str">
        <f>IFERROR(__xludf.DUMMYFUNCTION("""COMPUTED_VALUE"""),"")</f>
        <v/>
      </c>
      <c r="O7280" s="17"/>
    </row>
    <row r="7281">
      <c r="B7281" s="17" t="s">
        <v>477</v>
      </c>
      <c r="K7281" s="18" t="s">
        <v>477</v>
      </c>
      <c r="N7281" s="17" t="str">
        <f>IFERROR(__xludf.DUMMYFUNCTION("""COMPUTED_VALUE"""),"")</f>
        <v/>
      </c>
      <c r="O7281" s="17"/>
    </row>
    <row r="7282">
      <c r="B7282" s="17" t="s">
        <v>477</v>
      </c>
      <c r="K7282" s="18" t="s">
        <v>477</v>
      </c>
      <c r="N7282" s="17" t="str">
        <f>IFERROR(__xludf.DUMMYFUNCTION("""COMPUTED_VALUE"""),"")</f>
        <v/>
      </c>
      <c r="O7282" s="17"/>
    </row>
    <row r="7283">
      <c r="B7283" s="17" t="s">
        <v>477</v>
      </c>
      <c r="K7283" s="18" t="s">
        <v>477</v>
      </c>
      <c r="N7283" s="17" t="str">
        <f>IFERROR(__xludf.DUMMYFUNCTION("""COMPUTED_VALUE"""),"")</f>
        <v/>
      </c>
      <c r="O7283" s="17"/>
    </row>
    <row r="7284">
      <c r="B7284" s="17" t="s">
        <v>477</v>
      </c>
      <c r="K7284" s="18" t="s">
        <v>477</v>
      </c>
      <c r="N7284" s="17" t="str">
        <f>IFERROR(__xludf.DUMMYFUNCTION("""COMPUTED_VALUE"""),"")</f>
        <v/>
      </c>
      <c r="O7284" s="17"/>
    </row>
    <row r="7285">
      <c r="B7285" s="17" t="s">
        <v>477</v>
      </c>
      <c r="K7285" s="18" t="s">
        <v>477</v>
      </c>
      <c r="N7285" s="17" t="str">
        <f>IFERROR(__xludf.DUMMYFUNCTION("""COMPUTED_VALUE"""),"")</f>
        <v/>
      </c>
      <c r="O7285" s="17"/>
    </row>
    <row r="7286">
      <c r="B7286" s="17" t="s">
        <v>477</v>
      </c>
      <c r="K7286" s="18" t="s">
        <v>477</v>
      </c>
      <c r="N7286" s="17" t="str">
        <f>IFERROR(__xludf.DUMMYFUNCTION("""COMPUTED_VALUE"""),"")</f>
        <v/>
      </c>
      <c r="O7286" s="17"/>
    </row>
    <row r="7287">
      <c r="B7287" s="17" t="s">
        <v>477</v>
      </c>
      <c r="K7287" s="18" t="s">
        <v>477</v>
      </c>
      <c r="N7287" s="17" t="str">
        <f>IFERROR(__xludf.DUMMYFUNCTION("""COMPUTED_VALUE"""),"")</f>
        <v/>
      </c>
      <c r="O7287" s="17"/>
    </row>
    <row r="7288">
      <c r="B7288" s="17" t="s">
        <v>477</v>
      </c>
      <c r="K7288" s="18" t="s">
        <v>477</v>
      </c>
      <c r="N7288" s="17" t="str">
        <f>IFERROR(__xludf.DUMMYFUNCTION("""COMPUTED_VALUE"""),"")</f>
        <v/>
      </c>
      <c r="O7288" s="17"/>
    </row>
    <row r="7289">
      <c r="B7289" s="17" t="s">
        <v>477</v>
      </c>
      <c r="K7289" s="18" t="s">
        <v>477</v>
      </c>
      <c r="N7289" s="17" t="str">
        <f>IFERROR(__xludf.DUMMYFUNCTION("""COMPUTED_VALUE"""),"")</f>
        <v/>
      </c>
      <c r="O7289" s="17"/>
    </row>
    <row r="7290">
      <c r="B7290" s="17" t="s">
        <v>477</v>
      </c>
      <c r="K7290" s="18" t="s">
        <v>477</v>
      </c>
      <c r="N7290" s="17" t="str">
        <f>IFERROR(__xludf.DUMMYFUNCTION("""COMPUTED_VALUE"""),"")</f>
        <v/>
      </c>
      <c r="O7290" s="17"/>
    </row>
    <row r="7291">
      <c r="B7291" s="17" t="s">
        <v>477</v>
      </c>
      <c r="K7291" s="18" t="s">
        <v>477</v>
      </c>
      <c r="N7291" s="17" t="str">
        <f>IFERROR(__xludf.DUMMYFUNCTION("""COMPUTED_VALUE"""),"")</f>
        <v/>
      </c>
      <c r="O7291" s="17"/>
    </row>
    <row r="7292">
      <c r="B7292" s="17" t="s">
        <v>477</v>
      </c>
      <c r="K7292" s="18" t="s">
        <v>477</v>
      </c>
      <c r="N7292" s="17" t="str">
        <f>IFERROR(__xludf.DUMMYFUNCTION("""COMPUTED_VALUE"""),"")</f>
        <v/>
      </c>
      <c r="O7292" s="17"/>
    </row>
    <row r="7293">
      <c r="B7293" s="17" t="s">
        <v>477</v>
      </c>
      <c r="K7293" s="18" t="s">
        <v>477</v>
      </c>
      <c r="N7293" s="17" t="str">
        <f>IFERROR(__xludf.DUMMYFUNCTION("""COMPUTED_VALUE"""),"")</f>
        <v/>
      </c>
      <c r="O7293" s="17"/>
    </row>
    <row r="7294">
      <c r="B7294" s="17" t="s">
        <v>477</v>
      </c>
      <c r="K7294" s="18" t="s">
        <v>477</v>
      </c>
      <c r="N7294" s="17" t="str">
        <f>IFERROR(__xludf.DUMMYFUNCTION("""COMPUTED_VALUE"""),"")</f>
        <v/>
      </c>
      <c r="O7294" s="17"/>
    </row>
    <row r="7295">
      <c r="B7295" s="17" t="s">
        <v>477</v>
      </c>
      <c r="K7295" s="18" t="s">
        <v>477</v>
      </c>
      <c r="N7295" s="17" t="str">
        <f>IFERROR(__xludf.DUMMYFUNCTION("""COMPUTED_VALUE"""),"")</f>
        <v/>
      </c>
      <c r="O7295" s="17"/>
    </row>
    <row r="7296">
      <c r="B7296" s="17" t="s">
        <v>477</v>
      </c>
      <c r="K7296" s="18" t="s">
        <v>477</v>
      </c>
      <c r="N7296" s="17" t="str">
        <f>IFERROR(__xludf.DUMMYFUNCTION("""COMPUTED_VALUE"""),"")</f>
        <v/>
      </c>
      <c r="O7296" s="17"/>
    </row>
    <row r="7297">
      <c r="B7297" s="17" t="s">
        <v>477</v>
      </c>
      <c r="K7297" s="18" t="s">
        <v>477</v>
      </c>
      <c r="N7297" s="17" t="str">
        <f>IFERROR(__xludf.DUMMYFUNCTION("""COMPUTED_VALUE"""),"")</f>
        <v/>
      </c>
      <c r="O7297" s="17"/>
    </row>
    <row r="7298">
      <c r="B7298" s="17" t="s">
        <v>477</v>
      </c>
      <c r="K7298" s="18" t="s">
        <v>477</v>
      </c>
      <c r="N7298" s="17" t="str">
        <f>IFERROR(__xludf.DUMMYFUNCTION("""COMPUTED_VALUE"""),"")</f>
        <v/>
      </c>
      <c r="O7298" s="17"/>
    </row>
    <row r="7299">
      <c r="B7299" s="17" t="s">
        <v>477</v>
      </c>
      <c r="K7299" s="18" t="s">
        <v>477</v>
      </c>
      <c r="N7299" s="17" t="str">
        <f>IFERROR(__xludf.DUMMYFUNCTION("""COMPUTED_VALUE"""),"")</f>
        <v/>
      </c>
      <c r="O7299" s="17"/>
    </row>
    <row r="7300">
      <c r="B7300" s="17" t="s">
        <v>477</v>
      </c>
      <c r="K7300" s="18" t="s">
        <v>477</v>
      </c>
      <c r="N7300" s="17" t="str">
        <f>IFERROR(__xludf.DUMMYFUNCTION("""COMPUTED_VALUE"""),"")</f>
        <v/>
      </c>
      <c r="O7300" s="17"/>
    </row>
    <row r="7301">
      <c r="B7301" s="17" t="s">
        <v>477</v>
      </c>
      <c r="K7301" s="18" t="s">
        <v>477</v>
      </c>
      <c r="N7301" s="17" t="str">
        <f>IFERROR(__xludf.DUMMYFUNCTION("""COMPUTED_VALUE"""),"")</f>
        <v/>
      </c>
      <c r="O7301" s="17"/>
    </row>
    <row r="7302">
      <c r="B7302" s="17" t="s">
        <v>477</v>
      </c>
      <c r="K7302" s="18" t="s">
        <v>477</v>
      </c>
      <c r="N7302" s="17" t="str">
        <f>IFERROR(__xludf.DUMMYFUNCTION("""COMPUTED_VALUE"""),"")</f>
        <v/>
      </c>
      <c r="O7302" s="17"/>
    </row>
    <row r="7303">
      <c r="B7303" s="17" t="s">
        <v>477</v>
      </c>
      <c r="K7303" s="18" t="s">
        <v>477</v>
      </c>
      <c r="N7303" s="17" t="str">
        <f>IFERROR(__xludf.DUMMYFUNCTION("""COMPUTED_VALUE"""),"")</f>
        <v/>
      </c>
      <c r="O7303" s="17"/>
    </row>
    <row r="7304">
      <c r="B7304" s="17" t="s">
        <v>477</v>
      </c>
      <c r="K7304" s="18" t="s">
        <v>477</v>
      </c>
      <c r="N7304" s="17" t="str">
        <f>IFERROR(__xludf.DUMMYFUNCTION("""COMPUTED_VALUE"""),"")</f>
        <v/>
      </c>
      <c r="O7304" s="17"/>
    </row>
    <row r="7305">
      <c r="B7305" s="17" t="s">
        <v>477</v>
      </c>
      <c r="K7305" s="18" t="s">
        <v>477</v>
      </c>
      <c r="N7305" s="17" t="str">
        <f>IFERROR(__xludf.DUMMYFUNCTION("""COMPUTED_VALUE"""),"")</f>
        <v/>
      </c>
      <c r="O7305" s="17"/>
    </row>
    <row r="7306">
      <c r="B7306" s="17" t="s">
        <v>477</v>
      </c>
      <c r="K7306" s="18" t="s">
        <v>477</v>
      </c>
      <c r="N7306" s="17" t="str">
        <f>IFERROR(__xludf.DUMMYFUNCTION("""COMPUTED_VALUE"""),"")</f>
        <v/>
      </c>
      <c r="O7306" s="17"/>
    </row>
    <row r="7307">
      <c r="B7307" s="17" t="s">
        <v>477</v>
      </c>
      <c r="K7307" s="18" t="s">
        <v>477</v>
      </c>
      <c r="N7307" s="17" t="str">
        <f>IFERROR(__xludf.DUMMYFUNCTION("""COMPUTED_VALUE"""),"")</f>
        <v/>
      </c>
      <c r="O7307" s="17"/>
    </row>
    <row r="7308">
      <c r="B7308" s="17" t="s">
        <v>477</v>
      </c>
      <c r="K7308" s="18" t="s">
        <v>477</v>
      </c>
      <c r="N7308" s="17" t="str">
        <f>IFERROR(__xludf.DUMMYFUNCTION("""COMPUTED_VALUE"""),"")</f>
        <v/>
      </c>
      <c r="O7308" s="17"/>
    </row>
    <row r="7309">
      <c r="B7309" s="17" t="s">
        <v>477</v>
      </c>
      <c r="K7309" s="18" t="s">
        <v>477</v>
      </c>
      <c r="N7309" s="17" t="str">
        <f>IFERROR(__xludf.DUMMYFUNCTION("""COMPUTED_VALUE"""),"")</f>
        <v/>
      </c>
      <c r="O7309" s="17"/>
    </row>
    <row r="7310">
      <c r="B7310" s="17" t="s">
        <v>477</v>
      </c>
      <c r="K7310" s="18" t="s">
        <v>477</v>
      </c>
      <c r="N7310" s="17" t="str">
        <f>IFERROR(__xludf.DUMMYFUNCTION("""COMPUTED_VALUE"""),"")</f>
        <v/>
      </c>
      <c r="O7310" s="17"/>
    </row>
    <row r="7311">
      <c r="B7311" s="17" t="s">
        <v>477</v>
      </c>
      <c r="K7311" s="18" t="s">
        <v>477</v>
      </c>
      <c r="N7311" s="17" t="str">
        <f>IFERROR(__xludf.DUMMYFUNCTION("""COMPUTED_VALUE"""),"")</f>
        <v/>
      </c>
      <c r="O7311" s="17"/>
    </row>
    <row r="7312">
      <c r="B7312" s="17" t="s">
        <v>477</v>
      </c>
      <c r="K7312" s="18" t="s">
        <v>477</v>
      </c>
      <c r="N7312" s="17" t="str">
        <f>IFERROR(__xludf.DUMMYFUNCTION("""COMPUTED_VALUE"""),"")</f>
        <v/>
      </c>
      <c r="O7312" s="17"/>
    </row>
    <row r="7313">
      <c r="B7313" s="17" t="s">
        <v>477</v>
      </c>
      <c r="K7313" s="18" t="s">
        <v>477</v>
      </c>
      <c r="N7313" s="17" t="str">
        <f>IFERROR(__xludf.DUMMYFUNCTION("""COMPUTED_VALUE"""),"")</f>
        <v/>
      </c>
      <c r="O7313" s="17"/>
    </row>
    <row r="7314">
      <c r="B7314" s="17" t="s">
        <v>477</v>
      </c>
      <c r="K7314" s="18" t="s">
        <v>477</v>
      </c>
      <c r="N7314" s="17" t="str">
        <f>IFERROR(__xludf.DUMMYFUNCTION("""COMPUTED_VALUE"""),"")</f>
        <v/>
      </c>
      <c r="O7314" s="17"/>
    </row>
    <row r="7315">
      <c r="B7315" s="17" t="s">
        <v>477</v>
      </c>
      <c r="K7315" s="18" t="s">
        <v>477</v>
      </c>
      <c r="N7315" s="17" t="str">
        <f>IFERROR(__xludf.DUMMYFUNCTION("""COMPUTED_VALUE"""),"")</f>
        <v/>
      </c>
      <c r="O7315" s="17"/>
    </row>
    <row r="7316">
      <c r="B7316" s="17" t="s">
        <v>477</v>
      </c>
      <c r="K7316" s="18" t="s">
        <v>477</v>
      </c>
      <c r="N7316" s="17" t="str">
        <f>IFERROR(__xludf.DUMMYFUNCTION("""COMPUTED_VALUE"""),"")</f>
        <v/>
      </c>
      <c r="O7316" s="17"/>
    </row>
    <row r="7317">
      <c r="B7317" s="17" t="s">
        <v>477</v>
      </c>
      <c r="K7317" s="18" t="s">
        <v>477</v>
      </c>
      <c r="N7317" s="17" t="str">
        <f>IFERROR(__xludf.DUMMYFUNCTION("""COMPUTED_VALUE"""),"")</f>
        <v/>
      </c>
      <c r="O7317" s="17"/>
    </row>
    <row r="7318">
      <c r="B7318" s="17" t="s">
        <v>477</v>
      </c>
      <c r="K7318" s="18" t="s">
        <v>477</v>
      </c>
      <c r="N7318" s="17" t="str">
        <f>IFERROR(__xludf.DUMMYFUNCTION("""COMPUTED_VALUE"""),"")</f>
        <v/>
      </c>
      <c r="O7318" s="17"/>
    </row>
    <row r="7319">
      <c r="B7319" s="17" t="s">
        <v>477</v>
      </c>
      <c r="K7319" s="18" t="s">
        <v>477</v>
      </c>
      <c r="N7319" s="17" t="str">
        <f>IFERROR(__xludf.DUMMYFUNCTION("""COMPUTED_VALUE"""),"")</f>
        <v/>
      </c>
      <c r="O7319" s="17"/>
    </row>
    <row r="7320">
      <c r="B7320" s="17" t="s">
        <v>477</v>
      </c>
      <c r="K7320" s="18" t="s">
        <v>477</v>
      </c>
      <c r="N7320" s="17" t="str">
        <f>IFERROR(__xludf.DUMMYFUNCTION("""COMPUTED_VALUE"""),"")</f>
        <v/>
      </c>
      <c r="O7320" s="17"/>
    </row>
    <row r="7321">
      <c r="B7321" s="17" t="s">
        <v>477</v>
      </c>
      <c r="K7321" s="18" t="s">
        <v>477</v>
      </c>
      <c r="N7321" s="17" t="str">
        <f>IFERROR(__xludf.DUMMYFUNCTION("""COMPUTED_VALUE"""),"")</f>
        <v/>
      </c>
      <c r="O7321" s="17"/>
    </row>
    <row r="7322">
      <c r="B7322" s="17" t="s">
        <v>477</v>
      </c>
      <c r="K7322" s="18" t="s">
        <v>477</v>
      </c>
      <c r="N7322" s="17" t="str">
        <f>IFERROR(__xludf.DUMMYFUNCTION("""COMPUTED_VALUE"""),"")</f>
        <v/>
      </c>
      <c r="O7322" s="17"/>
    </row>
    <row r="7323">
      <c r="B7323" s="17" t="s">
        <v>477</v>
      </c>
      <c r="K7323" s="18" t="s">
        <v>477</v>
      </c>
      <c r="N7323" s="17" t="str">
        <f>IFERROR(__xludf.DUMMYFUNCTION("""COMPUTED_VALUE"""),"")</f>
        <v/>
      </c>
      <c r="O7323" s="17"/>
    </row>
    <row r="7324">
      <c r="B7324" s="17" t="s">
        <v>477</v>
      </c>
      <c r="K7324" s="18" t="s">
        <v>477</v>
      </c>
      <c r="N7324" s="17" t="str">
        <f>IFERROR(__xludf.DUMMYFUNCTION("""COMPUTED_VALUE"""),"")</f>
        <v/>
      </c>
      <c r="O7324" s="17"/>
    </row>
    <row r="7325">
      <c r="B7325" s="17" t="s">
        <v>477</v>
      </c>
      <c r="K7325" s="18" t="s">
        <v>477</v>
      </c>
      <c r="N7325" s="17" t="str">
        <f>IFERROR(__xludf.DUMMYFUNCTION("""COMPUTED_VALUE"""),"")</f>
        <v/>
      </c>
      <c r="O7325" s="17"/>
    </row>
    <row r="7326">
      <c r="B7326" s="17" t="s">
        <v>477</v>
      </c>
      <c r="K7326" s="18" t="s">
        <v>477</v>
      </c>
      <c r="N7326" s="17" t="str">
        <f>IFERROR(__xludf.DUMMYFUNCTION("""COMPUTED_VALUE"""),"")</f>
        <v/>
      </c>
      <c r="O7326" s="17"/>
    </row>
    <row r="7327">
      <c r="B7327" s="17" t="s">
        <v>477</v>
      </c>
      <c r="K7327" s="18" t="s">
        <v>477</v>
      </c>
      <c r="N7327" s="17" t="str">
        <f>IFERROR(__xludf.DUMMYFUNCTION("""COMPUTED_VALUE"""),"")</f>
        <v/>
      </c>
      <c r="O7327" s="17"/>
    </row>
    <row r="7328">
      <c r="B7328" s="17" t="s">
        <v>477</v>
      </c>
      <c r="K7328" s="18" t="s">
        <v>477</v>
      </c>
      <c r="N7328" s="17" t="str">
        <f>IFERROR(__xludf.DUMMYFUNCTION("""COMPUTED_VALUE"""),"")</f>
        <v/>
      </c>
      <c r="O7328" s="17"/>
    </row>
    <row r="7329">
      <c r="B7329" s="17" t="s">
        <v>477</v>
      </c>
      <c r="K7329" s="18" t="s">
        <v>477</v>
      </c>
      <c r="N7329" s="17" t="str">
        <f>IFERROR(__xludf.DUMMYFUNCTION("""COMPUTED_VALUE"""),"")</f>
        <v/>
      </c>
      <c r="O7329" s="17"/>
    </row>
    <row r="7330">
      <c r="B7330" s="17" t="s">
        <v>477</v>
      </c>
      <c r="K7330" s="18" t="s">
        <v>477</v>
      </c>
      <c r="N7330" s="17" t="str">
        <f>IFERROR(__xludf.DUMMYFUNCTION("""COMPUTED_VALUE"""),"")</f>
        <v/>
      </c>
      <c r="O7330" s="17"/>
    </row>
    <row r="7331">
      <c r="B7331" s="17" t="s">
        <v>477</v>
      </c>
      <c r="K7331" s="18" t="s">
        <v>477</v>
      </c>
      <c r="N7331" s="17" t="str">
        <f>IFERROR(__xludf.DUMMYFUNCTION("""COMPUTED_VALUE"""),"")</f>
        <v/>
      </c>
      <c r="O7331" s="17"/>
    </row>
    <row r="7332">
      <c r="B7332" s="17" t="s">
        <v>477</v>
      </c>
      <c r="K7332" s="18" t="s">
        <v>477</v>
      </c>
      <c r="N7332" s="17" t="str">
        <f>IFERROR(__xludf.DUMMYFUNCTION("""COMPUTED_VALUE"""),"")</f>
        <v/>
      </c>
      <c r="O7332" s="17"/>
    </row>
    <row r="7333">
      <c r="B7333" s="17" t="s">
        <v>477</v>
      </c>
      <c r="K7333" s="18" t="s">
        <v>477</v>
      </c>
      <c r="N7333" s="17" t="str">
        <f>IFERROR(__xludf.DUMMYFUNCTION("""COMPUTED_VALUE"""),"")</f>
        <v/>
      </c>
      <c r="O7333" s="17"/>
    </row>
    <row r="7334">
      <c r="B7334" s="17" t="s">
        <v>477</v>
      </c>
      <c r="K7334" s="18" t="s">
        <v>477</v>
      </c>
      <c r="N7334" s="17" t="str">
        <f>IFERROR(__xludf.DUMMYFUNCTION("""COMPUTED_VALUE"""),"")</f>
        <v/>
      </c>
      <c r="O7334" s="17"/>
    </row>
    <row r="7335">
      <c r="B7335" s="17" t="s">
        <v>477</v>
      </c>
      <c r="K7335" s="18" t="s">
        <v>477</v>
      </c>
      <c r="N7335" s="17" t="str">
        <f>IFERROR(__xludf.DUMMYFUNCTION("""COMPUTED_VALUE"""),"")</f>
        <v/>
      </c>
      <c r="O7335" s="17"/>
    </row>
    <row r="7336">
      <c r="B7336" s="17" t="s">
        <v>477</v>
      </c>
      <c r="K7336" s="18" t="s">
        <v>477</v>
      </c>
      <c r="N7336" s="17" t="str">
        <f>IFERROR(__xludf.DUMMYFUNCTION("""COMPUTED_VALUE"""),"")</f>
        <v/>
      </c>
      <c r="O7336" s="17"/>
    </row>
    <row r="7337">
      <c r="B7337" s="17" t="s">
        <v>477</v>
      </c>
      <c r="K7337" s="18" t="s">
        <v>477</v>
      </c>
      <c r="N7337" s="17" t="str">
        <f>IFERROR(__xludf.DUMMYFUNCTION("""COMPUTED_VALUE"""),"")</f>
        <v/>
      </c>
      <c r="O7337" s="17"/>
    </row>
    <row r="7338">
      <c r="B7338" s="17" t="s">
        <v>477</v>
      </c>
      <c r="K7338" s="18" t="s">
        <v>477</v>
      </c>
      <c r="N7338" s="17" t="str">
        <f>IFERROR(__xludf.DUMMYFUNCTION("""COMPUTED_VALUE"""),"")</f>
        <v/>
      </c>
      <c r="O7338" s="17"/>
    </row>
    <row r="7339">
      <c r="B7339" s="17" t="s">
        <v>477</v>
      </c>
      <c r="K7339" s="18" t="s">
        <v>477</v>
      </c>
      <c r="N7339" s="17" t="str">
        <f>IFERROR(__xludf.DUMMYFUNCTION("""COMPUTED_VALUE"""),"")</f>
        <v/>
      </c>
      <c r="O7339" s="17"/>
    </row>
    <row r="7340">
      <c r="B7340" s="17" t="s">
        <v>477</v>
      </c>
      <c r="K7340" s="18" t="s">
        <v>477</v>
      </c>
      <c r="N7340" s="17" t="str">
        <f>IFERROR(__xludf.DUMMYFUNCTION("""COMPUTED_VALUE"""),"")</f>
        <v/>
      </c>
      <c r="O7340" s="17"/>
    </row>
    <row r="7341">
      <c r="B7341" s="17" t="s">
        <v>477</v>
      </c>
      <c r="K7341" s="18" t="s">
        <v>477</v>
      </c>
      <c r="N7341" s="17" t="str">
        <f>IFERROR(__xludf.DUMMYFUNCTION("""COMPUTED_VALUE"""),"")</f>
        <v/>
      </c>
      <c r="O7341" s="17"/>
    </row>
    <row r="7342">
      <c r="B7342" s="17" t="s">
        <v>477</v>
      </c>
      <c r="K7342" s="18" t="s">
        <v>477</v>
      </c>
      <c r="N7342" s="17" t="str">
        <f>IFERROR(__xludf.DUMMYFUNCTION("""COMPUTED_VALUE"""),"")</f>
        <v/>
      </c>
      <c r="O7342" s="17"/>
    </row>
    <row r="7343">
      <c r="B7343" s="17" t="s">
        <v>477</v>
      </c>
      <c r="K7343" s="18" t="s">
        <v>477</v>
      </c>
      <c r="N7343" s="17" t="str">
        <f>IFERROR(__xludf.DUMMYFUNCTION("""COMPUTED_VALUE"""),"")</f>
        <v/>
      </c>
      <c r="O7343" s="17"/>
    </row>
    <row r="7344">
      <c r="B7344" s="17" t="s">
        <v>477</v>
      </c>
      <c r="K7344" s="18" t="s">
        <v>477</v>
      </c>
      <c r="N7344" s="17" t="str">
        <f>IFERROR(__xludf.DUMMYFUNCTION("""COMPUTED_VALUE"""),"")</f>
        <v/>
      </c>
      <c r="O7344" s="17"/>
    </row>
    <row r="7345">
      <c r="B7345" s="17" t="s">
        <v>477</v>
      </c>
      <c r="K7345" s="18" t="s">
        <v>477</v>
      </c>
      <c r="N7345" s="17" t="str">
        <f>IFERROR(__xludf.DUMMYFUNCTION("""COMPUTED_VALUE"""),"")</f>
        <v/>
      </c>
      <c r="O7345" s="17"/>
    </row>
    <row r="7346">
      <c r="B7346" s="17" t="s">
        <v>477</v>
      </c>
      <c r="K7346" s="18" t="s">
        <v>477</v>
      </c>
      <c r="N7346" s="17" t="str">
        <f>IFERROR(__xludf.DUMMYFUNCTION("""COMPUTED_VALUE"""),"")</f>
        <v/>
      </c>
      <c r="O7346" s="17"/>
    </row>
    <row r="7347">
      <c r="B7347" s="17" t="s">
        <v>477</v>
      </c>
      <c r="K7347" s="18" t="s">
        <v>477</v>
      </c>
      <c r="N7347" s="17" t="str">
        <f>IFERROR(__xludf.DUMMYFUNCTION("""COMPUTED_VALUE"""),"")</f>
        <v/>
      </c>
      <c r="O7347" s="17"/>
    </row>
    <row r="7348">
      <c r="B7348" s="17" t="s">
        <v>477</v>
      </c>
      <c r="K7348" s="18" t="s">
        <v>477</v>
      </c>
      <c r="N7348" s="17" t="str">
        <f>IFERROR(__xludf.DUMMYFUNCTION("""COMPUTED_VALUE"""),"")</f>
        <v/>
      </c>
      <c r="O7348" s="17"/>
    </row>
    <row r="7349">
      <c r="B7349" s="17" t="s">
        <v>477</v>
      </c>
      <c r="K7349" s="18" t="s">
        <v>477</v>
      </c>
      <c r="N7349" s="17" t="str">
        <f>IFERROR(__xludf.DUMMYFUNCTION("""COMPUTED_VALUE"""),"")</f>
        <v/>
      </c>
      <c r="O7349" s="17"/>
    </row>
    <row r="7350">
      <c r="B7350" s="17" t="s">
        <v>477</v>
      </c>
      <c r="K7350" s="18" t="s">
        <v>477</v>
      </c>
      <c r="N7350" s="17" t="str">
        <f>IFERROR(__xludf.DUMMYFUNCTION("""COMPUTED_VALUE"""),"")</f>
        <v/>
      </c>
      <c r="O7350" s="17"/>
    </row>
    <row r="7351">
      <c r="B7351" s="17" t="s">
        <v>477</v>
      </c>
      <c r="K7351" s="18" t="s">
        <v>477</v>
      </c>
      <c r="N7351" s="17" t="str">
        <f>IFERROR(__xludf.DUMMYFUNCTION("""COMPUTED_VALUE"""),"")</f>
        <v/>
      </c>
      <c r="O7351" s="17"/>
    </row>
    <row r="7352">
      <c r="B7352" s="17" t="s">
        <v>477</v>
      </c>
      <c r="K7352" s="18" t="s">
        <v>477</v>
      </c>
      <c r="N7352" s="17" t="str">
        <f>IFERROR(__xludf.DUMMYFUNCTION("""COMPUTED_VALUE"""),"")</f>
        <v/>
      </c>
      <c r="O7352" s="17"/>
    </row>
    <row r="7353">
      <c r="B7353" s="17" t="s">
        <v>477</v>
      </c>
      <c r="K7353" s="18" t="s">
        <v>477</v>
      </c>
      <c r="N7353" s="17" t="str">
        <f>IFERROR(__xludf.DUMMYFUNCTION("""COMPUTED_VALUE"""),"")</f>
        <v/>
      </c>
      <c r="O7353" s="17"/>
    </row>
    <row r="7354">
      <c r="B7354" s="17" t="s">
        <v>477</v>
      </c>
      <c r="K7354" s="18" t="s">
        <v>477</v>
      </c>
      <c r="N7354" s="17" t="str">
        <f>IFERROR(__xludf.DUMMYFUNCTION("""COMPUTED_VALUE"""),"")</f>
        <v/>
      </c>
      <c r="O7354" s="17"/>
    </row>
    <row r="7355">
      <c r="B7355" s="17" t="s">
        <v>477</v>
      </c>
      <c r="K7355" s="18" t="s">
        <v>477</v>
      </c>
      <c r="N7355" s="17" t="str">
        <f>IFERROR(__xludf.DUMMYFUNCTION("""COMPUTED_VALUE"""),"")</f>
        <v/>
      </c>
      <c r="O7355" s="17"/>
    </row>
    <row r="7356">
      <c r="B7356" s="17" t="s">
        <v>477</v>
      </c>
      <c r="K7356" s="18" t="s">
        <v>477</v>
      </c>
      <c r="N7356" s="17" t="str">
        <f>IFERROR(__xludf.DUMMYFUNCTION("""COMPUTED_VALUE"""),"")</f>
        <v/>
      </c>
      <c r="O7356" s="17"/>
    </row>
    <row r="7357">
      <c r="B7357" s="17" t="s">
        <v>477</v>
      </c>
      <c r="K7357" s="18" t="s">
        <v>477</v>
      </c>
      <c r="N7357" s="17" t="str">
        <f>IFERROR(__xludf.DUMMYFUNCTION("""COMPUTED_VALUE"""),"")</f>
        <v/>
      </c>
      <c r="O7357" s="17"/>
    </row>
    <row r="7358">
      <c r="B7358" s="17" t="s">
        <v>477</v>
      </c>
      <c r="K7358" s="18" t="s">
        <v>477</v>
      </c>
      <c r="N7358" s="17" t="str">
        <f>IFERROR(__xludf.DUMMYFUNCTION("""COMPUTED_VALUE"""),"")</f>
        <v/>
      </c>
      <c r="O7358" s="17"/>
    </row>
    <row r="7359">
      <c r="B7359" s="17" t="s">
        <v>477</v>
      </c>
      <c r="K7359" s="18" t="s">
        <v>477</v>
      </c>
      <c r="N7359" s="17" t="str">
        <f>IFERROR(__xludf.DUMMYFUNCTION("""COMPUTED_VALUE"""),"")</f>
        <v/>
      </c>
      <c r="O7359" s="17"/>
    </row>
    <row r="7360">
      <c r="B7360" s="17" t="s">
        <v>477</v>
      </c>
      <c r="K7360" s="18" t="s">
        <v>477</v>
      </c>
      <c r="N7360" s="17" t="str">
        <f>IFERROR(__xludf.DUMMYFUNCTION("""COMPUTED_VALUE"""),"")</f>
        <v/>
      </c>
      <c r="O7360" s="17"/>
    </row>
    <row r="7361">
      <c r="B7361" s="17" t="s">
        <v>477</v>
      </c>
      <c r="K7361" s="18" t="s">
        <v>477</v>
      </c>
      <c r="N7361" s="17" t="str">
        <f>IFERROR(__xludf.DUMMYFUNCTION("""COMPUTED_VALUE"""),"")</f>
        <v/>
      </c>
      <c r="O7361" s="17"/>
    </row>
    <row r="7362">
      <c r="B7362" s="17" t="s">
        <v>477</v>
      </c>
      <c r="K7362" s="18" t="s">
        <v>477</v>
      </c>
      <c r="N7362" s="17" t="str">
        <f>IFERROR(__xludf.DUMMYFUNCTION("""COMPUTED_VALUE"""),"")</f>
        <v/>
      </c>
      <c r="O7362" s="17"/>
    </row>
    <row r="7363">
      <c r="B7363" s="17" t="s">
        <v>477</v>
      </c>
      <c r="K7363" s="18" t="s">
        <v>477</v>
      </c>
      <c r="N7363" s="17" t="str">
        <f>IFERROR(__xludf.DUMMYFUNCTION("""COMPUTED_VALUE"""),"")</f>
        <v/>
      </c>
      <c r="O7363" s="17"/>
    </row>
    <row r="7364">
      <c r="B7364" s="17" t="s">
        <v>477</v>
      </c>
      <c r="K7364" s="18" t="s">
        <v>477</v>
      </c>
      <c r="N7364" s="17" t="str">
        <f>IFERROR(__xludf.DUMMYFUNCTION("""COMPUTED_VALUE"""),"")</f>
        <v/>
      </c>
      <c r="O7364" s="17"/>
    </row>
    <row r="7365">
      <c r="B7365" s="17" t="s">
        <v>477</v>
      </c>
      <c r="K7365" s="18" t="s">
        <v>477</v>
      </c>
      <c r="N7365" s="17" t="str">
        <f>IFERROR(__xludf.DUMMYFUNCTION("""COMPUTED_VALUE"""),"")</f>
        <v/>
      </c>
      <c r="O7365" s="17"/>
    </row>
    <row r="7366">
      <c r="B7366" s="17" t="s">
        <v>477</v>
      </c>
      <c r="K7366" s="18" t="s">
        <v>477</v>
      </c>
      <c r="N7366" s="17" t="str">
        <f>IFERROR(__xludf.DUMMYFUNCTION("""COMPUTED_VALUE"""),"")</f>
        <v/>
      </c>
      <c r="O7366" s="17"/>
    </row>
    <row r="7367">
      <c r="B7367" s="17" t="s">
        <v>477</v>
      </c>
      <c r="K7367" s="18" t="s">
        <v>477</v>
      </c>
      <c r="N7367" s="17" t="str">
        <f>IFERROR(__xludf.DUMMYFUNCTION("""COMPUTED_VALUE"""),"")</f>
        <v/>
      </c>
      <c r="O7367" s="17"/>
    </row>
    <row r="7368">
      <c r="B7368" s="17" t="s">
        <v>477</v>
      </c>
      <c r="K7368" s="18" t="s">
        <v>477</v>
      </c>
      <c r="N7368" s="17" t="str">
        <f>IFERROR(__xludf.DUMMYFUNCTION("""COMPUTED_VALUE"""),"")</f>
        <v/>
      </c>
      <c r="O7368" s="17"/>
    </row>
    <row r="7369">
      <c r="B7369" s="17" t="s">
        <v>477</v>
      </c>
      <c r="K7369" s="18" t="s">
        <v>477</v>
      </c>
      <c r="N7369" s="17" t="str">
        <f>IFERROR(__xludf.DUMMYFUNCTION("""COMPUTED_VALUE"""),"")</f>
        <v/>
      </c>
      <c r="O7369" s="17"/>
    </row>
    <row r="7370">
      <c r="B7370" s="17" t="s">
        <v>477</v>
      </c>
      <c r="K7370" s="18" t="s">
        <v>477</v>
      </c>
      <c r="N7370" s="17" t="str">
        <f>IFERROR(__xludf.DUMMYFUNCTION("""COMPUTED_VALUE"""),"")</f>
        <v/>
      </c>
      <c r="O7370" s="17"/>
    </row>
    <row r="7371">
      <c r="B7371" s="17" t="s">
        <v>477</v>
      </c>
      <c r="K7371" s="18" t="s">
        <v>477</v>
      </c>
      <c r="N7371" s="17" t="str">
        <f>IFERROR(__xludf.DUMMYFUNCTION("""COMPUTED_VALUE"""),"")</f>
        <v/>
      </c>
      <c r="O7371" s="17"/>
    </row>
    <row r="7372">
      <c r="B7372" s="17" t="s">
        <v>477</v>
      </c>
      <c r="K7372" s="18" t="s">
        <v>477</v>
      </c>
      <c r="N7372" s="17" t="str">
        <f>IFERROR(__xludf.DUMMYFUNCTION("""COMPUTED_VALUE"""),"")</f>
        <v/>
      </c>
      <c r="O7372" s="17"/>
    </row>
    <row r="7373">
      <c r="B7373" s="17" t="s">
        <v>477</v>
      </c>
      <c r="K7373" s="18" t="s">
        <v>477</v>
      </c>
      <c r="N7373" s="17" t="str">
        <f>IFERROR(__xludf.DUMMYFUNCTION("""COMPUTED_VALUE"""),"")</f>
        <v/>
      </c>
      <c r="O7373" s="17"/>
    </row>
    <row r="7374">
      <c r="B7374" s="17" t="s">
        <v>477</v>
      </c>
      <c r="K7374" s="18" t="s">
        <v>477</v>
      </c>
      <c r="N7374" s="17" t="str">
        <f>IFERROR(__xludf.DUMMYFUNCTION("""COMPUTED_VALUE"""),"")</f>
        <v/>
      </c>
      <c r="O7374" s="17"/>
    </row>
    <row r="7375">
      <c r="B7375" s="17" t="s">
        <v>477</v>
      </c>
      <c r="K7375" s="18" t="s">
        <v>477</v>
      </c>
      <c r="N7375" s="17" t="str">
        <f>IFERROR(__xludf.DUMMYFUNCTION("""COMPUTED_VALUE"""),"")</f>
        <v/>
      </c>
      <c r="O7375" s="17"/>
    </row>
    <row r="7376">
      <c r="B7376" s="17" t="s">
        <v>477</v>
      </c>
      <c r="K7376" s="18" t="s">
        <v>477</v>
      </c>
      <c r="N7376" s="17" t="str">
        <f>IFERROR(__xludf.DUMMYFUNCTION("""COMPUTED_VALUE"""),"")</f>
        <v/>
      </c>
      <c r="O7376" s="17"/>
    </row>
    <row r="7377">
      <c r="B7377" s="17" t="s">
        <v>477</v>
      </c>
      <c r="K7377" s="18" t="s">
        <v>477</v>
      </c>
      <c r="N7377" s="17" t="str">
        <f>IFERROR(__xludf.DUMMYFUNCTION("""COMPUTED_VALUE"""),"")</f>
        <v/>
      </c>
      <c r="O7377" s="17"/>
    </row>
    <row r="7378">
      <c r="B7378" s="17" t="s">
        <v>477</v>
      </c>
      <c r="K7378" s="18" t="s">
        <v>477</v>
      </c>
      <c r="N7378" s="17" t="str">
        <f>IFERROR(__xludf.DUMMYFUNCTION("""COMPUTED_VALUE"""),"")</f>
        <v/>
      </c>
      <c r="O7378" s="17"/>
    </row>
    <row r="7379">
      <c r="B7379" s="17" t="s">
        <v>477</v>
      </c>
      <c r="K7379" s="18" t="s">
        <v>477</v>
      </c>
      <c r="N7379" s="17" t="str">
        <f>IFERROR(__xludf.DUMMYFUNCTION("""COMPUTED_VALUE"""),"")</f>
        <v/>
      </c>
      <c r="O7379" s="17"/>
    </row>
    <row r="7380">
      <c r="B7380" s="17" t="s">
        <v>477</v>
      </c>
      <c r="K7380" s="18" t="s">
        <v>477</v>
      </c>
      <c r="N7380" s="17" t="str">
        <f>IFERROR(__xludf.DUMMYFUNCTION("""COMPUTED_VALUE"""),"")</f>
        <v/>
      </c>
      <c r="O7380" s="17"/>
    </row>
    <row r="7381">
      <c r="B7381" s="17" t="s">
        <v>477</v>
      </c>
      <c r="K7381" s="18" t="s">
        <v>477</v>
      </c>
      <c r="N7381" s="17" t="str">
        <f>IFERROR(__xludf.DUMMYFUNCTION("""COMPUTED_VALUE"""),"")</f>
        <v/>
      </c>
      <c r="O7381" s="17"/>
    </row>
    <row r="7382">
      <c r="B7382" s="17" t="s">
        <v>477</v>
      </c>
      <c r="K7382" s="18" t="s">
        <v>477</v>
      </c>
      <c r="N7382" s="17" t="str">
        <f>IFERROR(__xludf.DUMMYFUNCTION("""COMPUTED_VALUE"""),"")</f>
        <v/>
      </c>
      <c r="O7382" s="17"/>
    </row>
    <row r="7383">
      <c r="B7383" s="17" t="s">
        <v>477</v>
      </c>
      <c r="K7383" s="18" t="s">
        <v>477</v>
      </c>
      <c r="N7383" s="17" t="str">
        <f>IFERROR(__xludf.DUMMYFUNCTION("""COMPUTED_VALUE"""),"")</f>
        <v/>
      </c>
      <c r="O7383" s="17"/>
    </row>
    <row r="7384">
      <c r="B7384" s="17" t="s">
        <v>477</v>
      </c>
      <c r="K7384" s="18" t="s">
        <v>477</v>
      </c>
      <c r="N7384" s="17" t="str">
        <f>IFERROR(__xludf.DUMMYFUNCTION("""COMPUTED_VALUE"""),"")</f>
        <v/>
      </c>
      <c r="O7384" s="17"/>
    </row>
    <row r="7385">
      <c r="B7385" s="17" t="s">
        <v>477</v>
      </c>
      <c r="K7385" s="18" t="s">
        <v>477</v>
      </c>
      <c r="N7385" s="17" t="str">
        <f>IFERROR(__xludf.DUMMYFUNCTION("""COMPUTED_VALUE"""),"")</f>
        <v/>
      </c>
      <c r="O7385" s="17"/>
    </row>
    <row r="7386">
      <c r="B7386" s="17" t="s">
        <v>477</v>
      </c>
      <c r="K7386" s="18" t="s">
        <v>477</v>
      </c>
      <c r="N7386" s="17" t="str">
        <f>IFERROR(__xludf.DUMMYFUNCTION("""COMPUTED_VALUE"""),"")</f>
        <v/>
      </c>
      <c r="O7386" s="17"/>
    </row>
    <row r="7387">
      <c r="B7387" s="17" t="s">
        <v>477</v>
      </c>
      <c r="K7387" s="18" t="s">
        <v>477</v>
      </c>
      <c r="N7387" s="17" t="str">
        <f>IFERROR(__xludf.DUMMYFUNCTION("""COMPUTED_VALUE"""),"")</f>
        <v/>
      </c>
      <c r="O7387" s="17"/>
    </row>
    <row r="7388">
      <c r="B7388" s="17" t="s">
        <v>477</v>
      </c>
      <c r="K7388" s="18" t="s">
        <v>477</v>
      </c>
      <c r="N7388" s="17" t="str">
        <f>IFERROR(__xludf.DUMMYFUNCTION("""COMPUTED_VALUE"""),"")</f>
        <v/>
      </c>
      <c r="O7388" s="17"/>
    </row>
    <row r="7389">
      <c r="B7389" s="17" t="s">
        <v>477</v>
      </c>
      <c r="K7389" s="18" t="s">
        <v>477</v>
      </c>
      <c r="N7389" s="17" t="str">
        <f>IFERROR(__xludf.DUMMYFUNCTION("""COMPUTED_VALUE"""),"")</f>
        <v/>
      </c>
      <c r="O7389" s="17"/>
    </row>
    <row r="7390">
      <c r="B7390" s="17" t="s">
        <v>477</v>
      </c>
      <c r="K7390" s="18" t="s">
        <v>477</v>
      </c>
      <c r="N7390" s="17" t="str">
        <f>IFERROR(__xludf.DUMMYFUNCTION("""COMPUTED_VALUE"""),"")</f>
        <v/>
      </c>
      <c r="O7390" s="17"/>
    </row>
    <row r="7391">
      <c r="B7391" s="17" t="s">
        <v>477</v>
      </c>
      <c r="K7391" s="18" t="s">
        <v>477</v>
      </c>
      <c r="N7391" s="17" t="str">
        <f>IFERROR(__xludf.DUMMYFUNCTION("""COMPUTED_VALUE"""),"")</f>
        <v/>
      </c>
      <c r="O7391" s="17"/>
    </row>
    <row r="7392">
      <c r="B7392" s="17" t="s">
        <v>477</v>
      </c>
      <c r="K7392" s="18" t="s">
        <v>477</v>
      </c>
      <c r="N7392" s="17" t="str">
        <f>IFERROR(__xludf.DUMMYFUNCTION("""COMPUTED_VALUE"""),"")</f>
        <v/>
      </c>
      <c r="O7392" s="17"/>
    </row>
    <row r="7393">
      <c r="B7393" s="17" t="s">
        <v>477</v>
      </c>
      <c r="K7393" s="18" t="s">
        <v>477</v>
      </c>
      <c r="N7393" s="17" t="str">
        <f>IFERROR(__xludf.DUMMYFUNCTION("""COMPUTED_VALUE"""),"")</f>
        <v/>
      </c>
      <c r="O7393" s="17"/>
    </row>
    <row r="7394">
      <c r="B7394" s="17" t="s">
        <v>477</v>
      </c>
      <c r="K7394" s="18" t="s">
        <v>477</v>
      </c>
      <c r="N7394" s="17" t="str">
        <f>IFERROR(__xludf.DUMMYFUNCTION("""COMPUTED_VALUE"""),"")</f>
        <v/>
      </c>
      <c r="O7394" s="17"/>
    </row>
    <row r="7395">
      <c r="B7395" s="17" t="s">
        <v>477</v>
      </c>
      <c r="K7395" s="18" t="s">
        <v>477</v>
      </c>
      <c r="N7395" s="17" t="str">
        <f>IFERROR(__xludf.DUMMYFUNCTION("""COMPUTED_VALUE"""),"")</f>
        <v/>
      </c>
      <c r="O7395" s="17"/>
    </row>
    <row r="7396">
      <c r="B7396" s="17" t="s">
        <v>477</v>
      </c>
      <c r="K7396" s="18" t="s">
        <v>477</v>
      </c>
      <c r="N7396" s="17" t="str">
        <f>IFERROR(__xludf.DUMMYFUNCTION("""COMPUTED_VALUE"""),"")</f>
        <v/>
      </c>
      <c r="O7396" s="17"/>
    </row>
    <row r="7397">
      <c r="B7397" s="17" t="s">
        <v>477</v>
      </c>
      <c r="K7397" s="18" t="s">
        <v>477</v>
      </c>
      <c r="N7397" s="17" t="str">
        <f>IFERROR(__xludf.DUMMYFUNCTION("""COMPUTED_VALUE"""),"")</f>
        <v/>
      </c>
      <c r="O7397" s="17"/>
    </row>
    <row r="7398">
      <c r="B7398" s="17" t="s">
        <v>477</v>
      </c>
      <c r="K7398" s="18" t="s">
        <v>477</v>
      </c>
      <c r="N7398" s="17" t="str">
        <f>IFERROR(__xludf.DUMMYFUNCTION("""COMPUTED_VALUE"""),"")</f>
        <v/>
      </c>
      <c r="O7398" s="17"/>
    </row>
    <row r="7399">
      <c r="B7399" s="17" t="s">
        <v>477</v>
      </c>
      <c r="K7399" s="18" t="s">
        <v>477</v>
      </c>
      <c r="N7399" s="17" t="str">
        <f>IFERROR(__xludf.DUMMYFUNCTION("""COMPUTED_VALUE"""),"")</f>
        <v/>
      </c>
      <c r="O7399" s="17"/>
    </row>
    <row r="7400">
      <c r="B7400" s="17" t="s">
        <v>477</v>
      </c>
      <c r="K7400" s="18" t="s">
        <v>477</v>
      </c>
      <c r="N7400" s="17" t="str">
        <f>IFERROR(__xludf.DUMMYFUNCTION("""COMPUTED_VALUE"""),"")</f>
        <v/>
      </c>
      <c r="O7400" s="17"/>
    </row>
    <row r="7401">
      <c r="B7401" s="17" t="s">
        <v>477</v>
      </c>
      <c r="K7401" s="18" t="s">
        <v>477</v>
      </c>
      <c r="N7401" s="17" t="str">
        <f>IFERROR(__xludf.DUMMYFUNCTION("""COMPUTED_VALUE"""),"")</f>
        <v/>
      </c>
      <c r="O7401" s="17"/>
    </row>
    <row r="7402">
      <c r="B7402" s="17" t="s">
        <v>477</v>
      </c>
      <c r="K7402" s="18" t="s">
        <v>477</v>
      </c>
      <c r="N7402" s="17" t="str">
        <f>IFERROR(__xludf.DUMMYFUNCTION("""COMPUTED_VALUE"""),"")</f>
        <v/>
      </c>
      <c r="O7402" s="17"/>
    </row>
    <row r="7403">
      <c r="B7403" s="17" t="s">
        <v>477</v>
      </c>
      <c r="K7403" s="18" t="s">
        <v>477</v>
      </c>
      <c r="N7403" s="17" t="str">
        <f>IFERROR(__xludf.DUMMYFUNCTION("""COMPUTED_VALUE"""),"")</f>
        <v/>
      </c>
      <c r="O7403" s="17"/>
    </row>
    <row r="7404">
      <c r="B7404" s="17" t="s">
        <v>477</v>
      </c>
      <c r="K7404" s="18" t="s">
        <v>477</v>
      </c>
      <c r="N7404" s="17" t="str">
        <f>IFERROR(__xludf.DUMMYFUNCTION("""COMPUTED_VALUE"""),"")</f>
        <v/>
      </c>
      <c r="O7404" s="17"/>
    </row>
    <row r="7405">
      <c r="B7405" s="17" t="s">
        <v>477</v>
      </c>
      <c r="K7405" s="18" t="s">
        <v>477</v>
      </c>
      <c r="N7405" s="17" t="str">
        <f>IFERROR(__xludf.DUMMYFUNCTION("""COMPUTED_VALUE"""),"")</f>
        <v/>
      </c>
      <c r="O7405" s="17"/>
    </row>
    <row r="7406">
      <c r="B7406" s="17" t="s">
        <v>477</v>
      </c>
      <c r="K7406" s="18" t="s">
        <v>477</v>
      </c>
      <c r="N7406" s="17" t="str">
        <f>IFERROR(__xludf.DUMMYFUNCTION("""COMPUTED_VALUE"""),"")</f>
        <v/>
      </c>
      <c r="O7406" s="17"/>
    </row>
    <row r="7407">
      <c r="B7407" s="17" t="s">
        <v>477</v>
      </c>
      <c r="K7407" s="18" t="s">
        <v>477</v>
      </c>
      <c r="N7407" s="17" t="str">
        <f>IFERROR(__xludf.DUMMYFUNCTION("""COMPUTED_VALUE"""),"")</f>
        <v/>
      </c>
      <c r="O7407" s="17"/>
    </row>
    <row r="7408">
      <c r="B7408" s="17" t="s">
        <v>477</v>
      </c>
      <c r="K7408" s="18" t="s">
        <v>477</v>
      </c>
      <c r="N7408" s="17" t="str">
        <f>IFERROR(__xludf.DUMMYFUNCTION("""COMPUTED_VALUE"""),"")</f>
        <v/>
      </c>
      <c r="O7408" s="17"/>
    </row>
    <row r="7409">
      <c r="B7409" s="17" t="s">
        <v>477</v>
      </c>
      <c r="K7409" s="18" t="s">
        <v>477</v>
      </c>
      <c r="N7409" s="17" t="str">
        <f>IFERROR(__xludf.DUMMYFUNCTION("""COMPUTED_VALUE"""),"")</f>
        <v/>
      </c>
      <c r="O7409" s="17"/>
    </row>
    <row r="7410">
      <c r="B7410" s="17" t="s">
        <v>477</v>
      </c>
      <c r="K7410" s="18" t="s">
        <v>477</v>
      </c>
      <c r="N7410" s="17" t="str">
        <f>IFERROR(__xludf.DUMMYFUNCTION("""COMPUTED_VALUE"""),"")</f>
        <v/>
      </c>
      <c r="O7410" s="17"/>
    </row>
    <row r="7411">
      <c r="B7411" s="17" t="s">
        <v>477</v>
      </c>
      <c r="K7411" s="18" t="s">
        <v>477</v>
      </c>
      <c r="N7411" s="17" t="str">
        <f>IFERROR(__xludf.DUMMYFUNCTION("""COMPUTED_VALUE"""),"")</f>
        <v/>
      </c>
      <c r="O7411" s="17"/>
    </row>
    <row r="7412">
      <c r="B7412" s="17" t="s">
        <v>477</v>
      </c>
      <c r="K7412" s="18" t="s">
        <v>477</v>
      </c>
      <c r="N7412" s="17" t="str">
        <f>IFERROR(__xludf.DUMMYFUNCTION("""COMPUTED_VALUE"""),"")</f>
        <v/>
      </c>
      <c r="O7412" s="17"/>
    </row>
    <row r="7413">
      <c r="B7413" s="17" t="s">
        <v>477</v>
      </c>
      <c r="K7413" s="18" t="s">
        <v>477</v>
      </c>
      <c r="N7413" s="17" t="str">
        <f>IFERROR(__xludf.DUMMYFUNCTION("""COMPUTED_VALUE"""),"")</f>
        <v/>
      </c>
      <c r="O7413" s="17"/>
    </row>
    <row r="7414">
      <c r="B7414" s="17" t="s">
        <v>477</v>
      </c>
      <c r="K7414" s="18" t="s">
        <v>477</v>
      </c>
      <c r="N7414" s="17" t="str">
        <f>IFERROR(__xludf.DUMMYFUNCTION("""COMPUTED_VALUE"""),"")</f>
        <v/>
      </c>
      <c r="O7414" s="17"/>
    </row>
    <row r="7415">
      <c r="B7415" s="17" t="s">
        <v>477</v>
      </c>
      <c r="K7415" s="18" t="s">
        <v>477</v>
      </c>
      <c r="N7415" s="17" t="str">
        <f>IFERROR(__xludf.DUMMYFUNCTION("""COMPUTED_VALUE"""),"")</f>
        <v/>
      </c>
      <c r="O7415" s="17"/>
    </row>
    <row r="7416">
      <c r="B7416" s="17" t="s">
        <v>477</v>
      </c>
      <c r="K7416" s="18" t="s">
        <v>477</v>
      </c>
      <c r="N7416" s="17" t="str">
        <f>IFERROR(__xludf.DUMMYFUNCTION("""COMPUTED_VALUE"""),"")</f>
        <v/>
      </c>
      <c r="O7416" s="17"/>
    </row>
    <row r="7417">
      <c r="B7417" s="17" t="s">
        <v>477</v>
      </c>
      <c r="K7417" s="18" t="s">
        <v>477</v>
      </c>
      <c r="N7417" s="17" t="str">
        <f>IFERROR(__xludf.DUMMYFUNCTION("""COMPUTED_VALUE"""),"")</f>
        <v/>
      </c>
      <c r="O7417" s="17"/>
    </row>
    <row r="7418">
      <c r="B7418" s="17" t="s">
        <v>477</v>
      </c>
      <c r="K7418" s="18" t="s">
        <v>477</v>
      </c>
      <c r="N7418" s="17" t="str">
        <f>IFERROR(__xludf.DUMMYFUNCTION("""COMPUTED_VALUE"""),"")</f>
        <v/>
      </c>
      <c r="O7418" s="17"/>
    </row>
    <row r="7419">
      <c r="B7419" s="17" t="s">
        <v>477</v>
      </c>
      <c r="K7419" s="18" t="s">
        <v>477</v>
      </c>
      <c r="N7419" s="17" t="str">
        <f>IFERROR(__xludf.DUMMYFUNCTION("""COMPUTED_VALUE"""),"")</f>
        <v/>
      </c>
      <c r="O7419" s="17"/>
    </row>
    <row r="7420">
      <c r="B7420" s="17" t="s">
        <v>477</v>
      </c>
      <c r="K7420" s="18" t="s">
        <v>477</v>
      </c>
      <c r="N7420" s="17" t="str">
        <f>IFERROR(__xludf.DUMMYFUNCTION("""COMPUTED_VALUE"""),"")</f>
        <v/>
      </c>
      <c r="O7420" s="17"/>
    </row>
    <row r="7421">
      <c r="B7421" s="17" t="s">
        <v>477</v>
      </c>
      <c r="K7421" s="18" t="s">
        <v>477</v>
      </c>
      <c r="N7421" s="17" t="str">
        <f>IFERROR(__xludf.DUMMYFUNCTION("""COMPUTED_VALUE"""),"")</f>
        <v/>
      </c>
      <c r="O7421" s="17"/>
    </row>
    <row r="7422">
      <c r="B7422" s="17" t="s">
        <v>477</v>
      </c>
      <c r="K7422" s="18" t="s">
        <v>477</v>
      </c>
      <c r="N7422" s="17" t="str">
        <f>IFERROR(__xludf.DUMMYFUNCTION("""COMPUTED_VALUE"""),"")</f>
        <v/>
      </c>
      <c r="O7422" s="17"/>
    </row>
    <row r="7423">
      <c r="B7423" s="17" t="s">
        <v>477</v>
      </c>
      <c r="K7423" s="18" t="s">
        <v>477</v>
      </c>
      <c r="N7423" s="17" t="str">
        <f>IFERROR(__xludf.DUMMYFUNCTION("""COMPUTED_VALUE"""),"")</f>
        <v/>
      </c>
      <c r="O7423" s="17"/>
    </row>
    <row r="7424">
      <c r="B7424" s="17" t="s">
        <v>477</v>
      </c>
      <c r="K7424" s="18" t="s">
        <v>477</v>
      </c>
      <c r="N7424" s="17" t="str">
        <f>IFERROR(__xludf.DUMMYFUNCTION("""COMPUTED_VALUE"""),"")</f>
        <v/>
      </c>
      <c r="O7424" s="17"/>
    </row>
    <row r="7425">
      <c r="B7425" s="17" t="s">
        <v>477</v>
      </c>
      <c r="K7425" s="18" t="s">
        <v>477</v>
      </c>
      <c r="N7425" s="17" t="str">
        <f>IFERROR(__xludf.DUMMYFUNCTION("""COMPUTED_VALUE"""),"")</f>
        <v/>
      </c>
      <c r="O7425" s="17"/>
    </row>
    <row r="7426">
      <c r="B7426" s="17" t="s">
        <v>477</v>
      </c>
      <c r="K7426" s="18" t="s">
        <v>477</v>
      </c>
      <c r="N7426" s="17" t="str">
        <f>IFERROR(__xludf.DUMMYFUNCTION("""COMPUTED_VALUE"""),"")</f>
        <v/>
      </c>
      <c r="O7426" s="17"/>
    </row>
    <row r="7427">
      <c r="B7427" s="17" t="s">
        <v>477</v>
      </c>
      <c r="K7427" s="18" t="s">
        <v>477</v>
      </c>
      <c r="N7427" s="17" t="str">
        <f>IFERROR(__xludf.DUMMYFUNCTION("""COMPUTED_VALUE"""),"")</f>
        <v/>
      </c>
      <c r="O7427" s="17"/>
    </row>
    <row r="7428">
      <c r="B7428" s="17" t="s">
        <v>477</v>
      </c>
      <c r="K7428" s="18" t="s">
        <v>477</v>
      </c>
      <c r="N7428" s="17" t="str">
        <f>IFERROR(__xludf.DUMMYFUNCTION("""COMPUTED_VALUE"""),"")</f>
        <v/>
      </c>
      <c r="O7428" s="17"/>
    </row>
    <row r="7429">
      <c r="B7429" s="17" t="s">
        <v>477</v>
      </c>
      <c r="K7429" s="18" t="s">
        <v>477</v>
      </c>
      <c r="N7429" s="17" t="str">
        <f>IFERROR(__xludf.DUMMYFUNCTION("""COMPUTED_VALUE"""),"")</f>
        <v/>
      </c>
      <c r="O7429" s="17"/>
    </row>
    <row r="7430">
      <c r="B7430" s="17" t="s">
        <v>477</v>
      </c>
      <c r="K7430" s="18" t="s">
        <v>477</v>
      </c>
      <c r="N7430" s="17" t="str">
        <f>IFERROR(__xludf.DUMMYFUNCTION("""COMPUTED_VALUE"""),"")</f>
        <v/>
      </c>
      <c r="O7430" s="17"/>
    </row>
    <row r="7431">
      <c r="B7431" s="17" t="s">
        <v>477</v>
      </c>
      <c r="K7431" s="18" t="s">
        <v>477</v>
      </c>
      <c r="N7431" s="17" t="str">
        <f>IFERROR(__xludf.DUMMYFUNCTION("""COMPUTED_VALUE"""),"")</f>
        <v/>
      </c>
      <c r="O7431" s="17"/>
    </row>
    <row r="7432">
      <c r="B7432" s="17" t="s">
        <v>477</v>
      </c>
      <c r="K7432" s="18" t="s">
        <v>477</v>
      </c>
      <c r="N7432" s="17" t="str">
        <f>IFERROR(__xludf.DUMMYFUNCTION("""COMPUTED_VALUE"""),"")</f>
        <v/>
      </c>
      <c r="O7432" s="17"/>
    </row>
    <row r="7433">
      <c r="B7433" s="17" t="s">
        <v>477</v>
      </c>
      <c r="K7433" s="18" t="s">
        <v>477</v>
      </c>
      <c r="N7433" s="17" t="str">
        <f>IFERROR(__xludf.DUMMYFUNCTION("""COMPUTED_VALUE"""),"")</f>
        <v/>
      </c>
      <c r="O7433" s="17"/>
    </row>
    <row r="7434">
      <c r="B7434" s="17" t="s">
        <v>477</v>
      </c>
      <c r="K7434" s="18" t="s">
        <v>477</v>
      </c>
      <c r="N7434" s="17" t="str">
        <f>IFERROR(__xludf.DUMMYFUNCTION("""COMPUTED_VALUE"""),"")</f>
        <v/>
      </c>
      <c r="O7434" s="17"/>
    </row>
    <row r="7435">
      <c r="B7435" s="17" t="s">
        <v>477</v>
      </c>
      <c r="K7435" s="18" t="s">
        <v>477</v>
      </c>
      <c r="N7435" s="17" t="str">
        <f>IFERROR(__xludf.DUMMYFUNCTION("""COMPUTED_VALUE"""),"")</f>
        <v/>
      </c>
      <c r="O7435" s="17"/>
    </row>
    <row r="7436">
      <c r="B7436" s="17" t="s">
        <v>477</v>
      </c>
      <c r="K7436" s="18" t="s">
        <v>477</v>
      </c>
      <c r="N7436" s="17" t="str">
        <f>IFERROR(__xludf.DUMMYFUNCTION("""COMPUTED_VALUE"""),"")</f>
        <v/>
      </c>
      <c r="O7436" s="17"/>
    </row>
    <row r="7437">
      <c r="B7437" s="17" t="s">
        <v>477</v>
      </c>
      <c r="K7437" s="18" t="s">
        <v>477</v>
      </c>
      <c r="N7437" s="17" t="str">
        <f>IFERROR(__xludf.DUMMYFUNCTION("""COMPUTED_VALUE"""),"")</f>
        <v/>
      </c>
      <c r="O7437" s="17"/>
    </row>
    <row r="7438">
      <c r="B7438" s="17" t="s">
        <v>477</v>
      </c>
      <c r="K7438" s="18" t="s">
        <v>477</v>
      </c>
      <c r="N7438" s="17" t="str">
        <f>IFERROR(__xludf.DUMMYFUNCTION("""COMPUTED_VALUE"""),"")</f>
        <v/>
      </c>
      <c r="O7438" s="17"/>
    </row>
    <row r="7439">
      <c r="B7439" s="17" t="s">
        <v>477</v>
      </c>
      <c r="K7439" s="18" t="s">
        <v>477</v>
      </c>
      <c r="N7439" s="17" t="str">
        <f>IFERROR(__xludf.DUMMYFUNCTION("""COMPUTED_VALUE"""),"")</f>
        <v/>
      </c>
      <c r="O7439" s="17"/>
    </row>
    <row r="7440">
      <c r="B7440" s="17" t="s">
        <v>477</v>
      </c>
      <c r="K7440" s="18" t="s">
        <v>477</v>
      </c>
      <c r="N7440" s="17" t="str">
        <f>IFERROR(__xludf.DUMMYFUNCTION("""COMPUTED_VALUE"""),"")</f>
        <v/>
      </c>
      <c r="O7440" s="17"/>
    </row>
    <row r="7441">
      <c r="B7441" s="17" t="s">
        <v>477</v>
      </c>
      <c r="K7441" s="18" t="s">
        <v>477</v>
      </c>
      <c r="N7441" s="17" t="str">
        <f>IFERROR(__xludf.DUMMYFUNCTION("""COMPUTED_VALUE"""),"")</f>
        <v/>
      </c>
      <c r="O7441" s="17"/>
    </row>
    <row r="7442">
      <c r="B7442" s="17" t="s">
        <v>477</v>
      </c>
      <c r="K7442" s="18" t="s">
        <v>477</v>
      </c>
      <c r="N7442" s="17" t="str">
        <f>IFERROR(__xludf.DUMMYFUNCTION("""COMPUTED_VALUE"""),"")</f>
        <v/>
      </c>
      <c r="O7442" s="17"/>
    </row>
    <row r="7443">
      <c r="B7443" s="17" t="s">
        <v>477</v>
      </c>
      <c r="K7443" s="18" t="s">
        <v>477</v>
      </c>
      <c r="N7443" s="17" t="str">
        <f>IFERROR(__xludf.DUMMYFUNCTION("""COMPUTED_VALUE"""),"")</f>
        <v/>
      </c>
      <c r="O7443" s="17"/>
    </row>
    <row r="7444">
      <c r="B7444" s="17" t="s">
        <v>477</v>
      </c>
      <c r="K7444" s="18" t="s">
        <v>477</v>
      </c>
      <c r="N7444" s="17" t="str">
        <f>IFERROR(__xludf.DUMMYFUNCTION("""COMPUTED_VALUE"""),"")</f>
        <v/>
      </c>
      <c r="O7444" s="17"/>
    </row>
    <row r="7445">
      <c r="B7445" s="17" t="s">
        <v>477</v>
      </c>
      <c r="K7445" s="18" t="s">
        <v>477</v>
      </c>
      <c r="N7445" s="17" t="str">
        <f>IFERROR(__xludf.DUMMYFUNCTION("""COMPUTED_VALUE"""),"")</f>
        <v/>
      </c>
      <c r="O7445" s="17"/>
    </row>
    <row r="7446">
      <c r="B7446" s="17" t="s">
        <v>477</v>
      </c>
      <c r="K7446" s="18" t="s">
        <v>477</v>
      </c>
      <c r="N7446" s="17" t="str">
        <f>IFERROR(__xludf.DUMMYFUNCTION("""COMPUTED_VALUE"""),"")</f>
        <v/>
      </c>
      <c r="O7446" s="17"/>
    </row>
    <row r="7447">
      <c r="B7447" s="17" t="s">
        <v>477</v>
      </c>
      <c r="K7447" s="18" t="s">
        <v>477</v>
      </c>
      <c r="N7447" s="17" t="str">
        <f>IFERROR(__xludf.DUMMYFUNCTION("""COMPUTED_VALUE"""),"")</f>
        <v/>
      </c>
      <c r="O7447" s="17"/>
    </row>
    <row r="7448">
      <c r="B7448" s="17" t="s">
        <v>477</v>
      </c>
      <c r="K7448" s="18" t="s">
        <v>477</v>
      </c>
      <c r="N7448" s="17" t="str">
        <f>IFERROR(__xludf.DUMMYFUNCTION("""COMPUTED_VALUE"""),"")</f>
        <v/>
      </c>
      <c r="O7448" s="17"/>
    </row>
    <row r="7449">
      <c r="B7449" s="17" t="s">
        <v>477</v>
      </c>
      <c r="K7449" s="18" t="s">
        <v>477</v>
      </c>
      <c r="N7449" s="17" t="str">
        <f>IFERROR(__xludf.DUMMYFUNCTION("""COMPUTED_VALUE"""),"")</f>
        <v/>
      </c>
      <c r="O7449" s="17"/>
    </row>
    <row r="7450">
      <c r="B7450" s="17" t="s">
        <v>477</v>
      </c>
      <c r="K7450" s="18" t="s">
        <v>477</v>
      </c>
      <c r="N7450" s="17" t="str">
        <f>IFERROR(__xludf.DUMMYFUNCTION("""COMPUTED_VALUE"""),"")</f>
        <v/>
      </c>
      <c r="O7450" s="17"/>
    </row>
    <row r="7451">
      <c r="B7451" s="17" t="s">
        <v>477</v>
      </c>
      <c r="K7451" s="18" t="s">
        <v>477</v>
      </c>
      <c r="N7451" s="17" t="str">
        <f>IFERROR(__xludf.DUMMYFUNCTION("""COMPUTED_VALUE"""),"")</f>
        <v/>
      </c>
      <c r="O7451" s="17"/>
    </row>
    <row r="7452">
      <c r="B7452" s="17" t="s">
        <v>477</v>
      </c>
      <c r="K7452" s="18" t="s">
        <v>477</v>
      </c>
      <c r="N7452" s="17" t="str">
        <f>IFERROR(__xludf.DUMMYFUNCTION("""COMPUTED_VALUE"""),"")</f>
        <v/>
      </c>
      <c r="O7452" s="17"/>
    </row>
    <row r="7453">
      <c r="B7453" s="17" t="s">
        <v>477</v>
      </c>
      <c r="K7453" s="18" t="s">
        <v>477</v>
      </c>
      <c r="N7453" s="17" t="str">
        <f>IFERROR(__xludf.DUMMYFUNCTION("""COMPUTED_VALUE"""),"")</f>
        <v/>
      </c>
      <c r="O7453" s="17"/>
    </row>
    <row r="7454">
      <c r="B7454" s="17" t="s">
        <v>477</v>
      </c>
      <c r="K7454" s="18" t="s">
        <v>477</v>
      </c>
      <c r="N7454" s="17" t="str">
        <f>IFERROR(__xludf.DUMMYFUNCTION("""COMPUTED_VALUE"""),"")</f>
        <v/>
      </c>
      <c r="O7454" s="17"/>
    </row>
    <row r="7455">
      <c r="B7455" s="17" t="s">
        <v>477</v>
      </c>
      <c r="K7455" s="18" t="s">
        <v>477</v>
      </c>
      <c r="N7455" s="17" t="str">
        <f>IFERROR(__xludf.DUMMYFUNCTION("""COMPUTED_VALUE"""),"")</f>
        <v/>
      </c>
      <c r="O7455" s="17"/>
    </row>
    <row r="7456">
      <c r="B7456" s="17" t="s">
        <v>477</v>
      </c>
      <c r="K7456" s="18" t="s">
        <v>477</v>
      </c>
      <c r="N7456" s="17" t="str">
        <f>IFERROR(__xludf.DUMMYFUNCTION("""COMPUTED_VALUE"""),"")</f>
        <v/>
      </c>
      <c r="O7456" s="17"/>
    </row>
    <row r="7457">
      <c r="B7457" s="17" t="s">
        <v>477</v>
      </c>
      <c r="K7457" s="18" t="s">
        <v>477</v>
      </c>
      <c r="N7457" s="17" t="str">
        <f>IFERROR(__xludf.DUMMYFUNCTION("""COMPUTED_VALUE"""),"")</f>
        <v/>
      </c>
      <c r="O7457" s="17"/>
    </row>
    <row r="7458">
      <c r="B7458" s="17" t="s">
        <v>477</v>
      </c>
      <c r="K7458" s="18" t="s">
        <v>477</v>
      </c>
      <c r="N7458" s="17" t="str">
        <f>IFERROR(__xludf.DUMMYFUNCTION("""COMPUTED_VALUE"""),"")</f>
        <v/>
      </c>
      <c r="O7458" s="17"/>
    </row>
    <row r="7459">
      <c r="B7459" s="17" t="s">
        <v>477</v>
      </c>
      <c r="K7459" s="18" t="s">
        <v>477</v>
      </c>
      <c r="N7459" s="17" t="str">
        <f>IFERROR(__xludf.DUMMYFUNCTION("""COMPUTED_VALUE"""),"")</f>
        <v/>
      </c>
      <c r="O7459" s="17"/>
    </row>
    <row r="7460">
      <c r="B7460" s="17" t="s">
        <v>477</v>
      </c>
      <c r="K7460" s="18" t="s">
        <v>477</v>
      </c>
      <c r="N7460" s="17" t="str">
        <f>IFERROR(__xludf.DUMMYFUNCTION("""COMPUTED_VALUE"""),"")</f>
        <v/>
      </c>
      <c r="O7460" s="17"/>
    </row>
    <row r="7461">
      <c r="B7461" s="17" t="s">
        <v>477</v>
      </c>
      <c r="K7461" s="18" t="s">
        <v>477</v>
      </c>
      <c r="N7461" s="17" t="str">
        <f>IFERROR(__xludf.DUMMYFUNCTION("""COMPUTED_VALUE"""),"")</f>
        <v/>
      </c>
      <c r="O7461" s="17"/>
    </row>
    <row r="7462">
      <c r="B7462" s="17" t="s">
        <v>477</v>
      </c>
      <c r="K7462" s="18" t="s">
        <v>477</v>
      </c>
      <c r="N7462" s="17" t="str">
        <f>IFERROR(__xludf.DUMMYFUNCTION("""COMPUTED_VALUE"""),"")</f>
        <v/>
      </c>
      <c r="O7462" s="17"/>
    </row>
    <row r="7463">
      <c r="B7463" s="17" t="s">
        <v>477</v>
      </c>
      <c r="K7463" s="18" t="s">
        <v>477</v>
      </c>
      <c r="N7463" s="17" t="str">
        <f>IFERROR(__xludf.DUMMYFUNCTION("""COMPUTED_VALUE"""),"")</f>
        <v/>
      </c>
      <c r="O7463" s="17"/>
    </row>
    <row r="7464">
      <c r="B7464" s="17" t="s">
        <v>477</v>
      </c>
      <c r="K7464" s="18" t="s">
        <v>477</v>
      </c>
      <c r="N7464" s="17" t="str">
        <f>IFERROR(__xludf.DUMMYFUNCTION("""COMPUTED_VALUE"""),"")</f>
        <v/>
      </c>
      <c r="O7464" s="17"/>
    </row>
    <row r="7465">
      <c r="B7465" s="17" t="s">
        <v>477</v>
      </c>
      <c r="K7465" s="18" t="s">
        <v>477</v>
      </c>
      <c r="N7465" s="17" t="str">
        <f>IFERROR(__xludf.DUMMYFUNCTION("""COMPUTED_VALUE"""),"")</f>
        <v/>
      </c>
      <c r="O7465" s="17"/>
    </row>
    <row r="7466">
      <c r="B7466" s="17" t="s">
        <v>477</v>
      </c>
      <c r="K7466" s="18" t="s">
        <v>477</v>
      </c>
      <c r="N7466" s="17" t="str">
        <f>IFERROR(__xludf.DUMMYFUNCTION("""COMPUTED_VALUE"""),"")</f>
        <v/>
      </c>
      <c r="O7466" s="17"/>
    </row>
    <row r="7467">
      <c r="B7467" s="17" t="s">
        <v>477</v>
      </c>
      <c r="K7467" s="18" t="s">
        <v>477</v>
      </c>
      <c r="N7467" s="17" t="str">
        <f>IFERROR(__xludf.DUMMYFUNCTION("""COMPUTED_VALUE"""),"")</f>
        <v/>
      </c>
      <c r="O7467" s="17"/>
    </row>
    <row r="7468">
      <c r="B7468" s="17" t="s">
        <v>477</v>
      </c>
      <c r="K7468" s="18" t="s">
        <v>477</v>
      </c>
      <c r="N7468" s="17" t="str">
        <f>IFERROR(__xludf.DUMMYFUNCTION("""COMPUTED_VALUE"""),"")</f>
        <v/>
      </c>
      <c r="O7468" s="17"/>
    </row>
    <row r="7469">
      <c r="B7469" s="17" t="s">
        <v>477</v>
      </c>
      <c r="K7469" s="18" t="s">
        <v>477</v>
      </c>
      <c r="N7469" s="17" t="str">
        <f>IFERROR(__xludf.DUMMYFUNCTION("""COMPUTED_VALUE"""),"")</f>
        <v/>
      </c>
      <c r="O7469" s="17"/>
    </row>
    <row r="7470">
      <c r="B7470" s="17" t="s">
        <v>477</v>
      </c>
      <c r="K7470" s="18" t="s">
        <v>477</v>
      </c>
      <c r="N7470" s="17" t="str">
        <f>IFERROR(__xludf.DUMMYFUNCTION("""COMPUTED_VALUE"""),"")</f>
        <v/>
      </c>
      <c r="O7470" s="17"/>
    </row>
    <row r="7471">
      <c r="B7471" s="17" t="s">
        <v>477</v>
      </c>
      <c r="K7471" s="18" t="s">
        <v>477</v>
      </c>
      <c r="N7471" s="17" t="str">
        <f>IFERROR(__xludf.DUMMYFUNCTION("""COMPUTED_VALUE"""),"")</f>
        <v/>
      </c>
      <c r="O7471" s="17"/>
    </row>
    <row r="7472">
      <c r="B7472" s="17" t="s">
        <v>477</v>
      </c>
      <c r="K7472" s="18" t="s">
        <v>477</v>
      </c>
      <c r="N7472" s="17" t="str">
        <f>IFERROR(__xludf.DUMMYFUNCTION("""COMPUTED_VALUE"""),"")</f>
        <v/>
      </c>
      <c r="O7472" s="17"/>
    </row>
    <row r="7473">
      <c r="B7473" s="17" t="s">
        <v>477</v>
      </c>
      <c r="K7473" s="18" t="s">
        <v>477</v>
      </c>
      <c r="N7473" s="17" t="str">
        <f>IFERROR(__xludf.DUMMYFUNCTION("""COMPUTED_VALUE"""),"")</f>
        <v/>
      </c>
      <c r="O7473" s="17"/>
    </row>
    <row r="7474">
      <c r="B7474" s="17" t="s">
        <v>477</v>
      </c>
      <c r="K7474" s="18" t="s">
        <v>477</v>
      </c>
      <c r="N7474" s="17" t="str">
        <f>IFERROR(__xludf.DUMMYFUNCTION("""COMPUTED_VALUE"""),"")</f>
        <v/>
      </c>
      <c r="O7474" s="17"/>
    </row>
    <row r="7475">
      <c r="B7475" s="17" t="s">
        <v>477</v>
      </c>
      <c r="K7475" s="18" t="s">
        <v>477</v>
      </c>
      <c r="N7475" s="17" t="str">
        <f>IFERROR(__xludf.DUMMYFUNCTION("""COMPUTED_VALUE"""),"")</f>
        <v/>
      </c>
      <c r="O7475" s="17"/>
    </row>
    <row r="7476">
      <c r="B7476" s="17" t="s">
        <v>477</v>
      </c>
      <c r="K7476" s="18" t="s">
        <v>477</v>
      </c>
      <c r="N7476" s="17" t="str">
        <f>IFERROR(__xludf.DUMMYFUNCTION("""COMPUTED_VALUE"""),"")</f>
        <v/>
      </c>
      <c r="O7476" s="17"/>
    </row>
    <row r="7477">
      <c r="B7477" s="17" t="s">
        <v>477</v>
      </c>
      <c r="K7477" s="18" t="s">
        <v>477</v>
      </c>
      <c r="N7477" s="17" t="str">
        <f>IFERROR(__xludf.DUMMYFUNCTION("""COMPUTED_VALUE"""),"")</f>
        <v/>
      </c>
      <c r="O7477" s="17"/>
    </row>
    <row r="7478">
      <c r="B7478" s="17" t="s">
        <v>477</v>
      </c>
      <c r="K7478" s="18" t="s">
        <v>477</v>
      </c>
      <c r="N7478" s="17" t="str">
        <f>IFERROR(__xludf.DUMMYFUNCTION("""COMPUTED_VALUE"""),"")</f>
        <v/>
      </c>
      <c r="O7478" s="17"/>
    </row>
    <row r="7479">
      <c r="B7479" s="17" t="s">
        <v>477</v>
      </c>
      <c r="K7479" s="18" t="s">
        <v>477</v>
      </c>
      <c r="N7479" s="17" t="str">
        <f>IFERROR(__xludf.DUMMYFUNCTION("""COMPUTED_VALUE"""),"")</f>
        <v/>
      </c>
      <c r="O7479" s="17"/>
    </row>
    <row r="7480">
      <c r="B7480" s="17" t="s">
        <v>477</v>
      </c>
      <c r="K7480" s="18" t="s">
        <v>477</v>
      </c>
      <c r="N7480" s="17" t="str">
        <f>IFERROR(__xludf.DUMMYFUNCTION("""COMPUTED_VALUE"""),"")</f>
        <v/>
      </c>
      <c r="O7480" s="17"/>
    </row>
    <row r="7481">
      <c r="B7481" s="17" t="s">
        <v>477</v>
      </c>
      <c r="K7481" s="18" t="s">
        <v>477</v>
      </c>
      <c r="N7481" s="17" t="str">
        <f>IFERROR(__xludf.DUMMYFUNCTION("""COMPUTED_VALUE"""),"")</f>
        <v/>
      </c>
      <c r="O7481" s="17"/>
    </row>
    <row r="7482">
      <c r="B7482" s="17" t="s">
        <v>477</v>
      </c>
      <c r="K7482" s="18" t="s">
        <v>477</v>
      </c>
      <c r="N7482" s="17" t="str">
        <f>IFERROR(__xludf.DUMMYFUNCTION("""COMPUTED_VALUE"""),"")</f>
        <v/>
      </c>
      <c r="O7482" s="17"/>
    </row>
    <row r="7483">
      <c r="B7483" s="17" t="s">
        <v>477</v>
      </c>
      <c r="K7483" s="18" t="s">
        <v>477</v>
      </c>
      <c r="N7483" s="17" t="str">
        <f>IFERROR(__xludf.DUMMYFUNCTION("""COMPUTED_VALUE"""),"")</f>
        <v/>
      </c>
      <c r="O7483" s="17"/>
    </row>
    <row r="7484">
      <c r="B7484" s="17" t="s">
        <v>477</v>
      </c>
      <c r="K7484" s="18" t="s">
        <v>477</v>
      </c>
      <c r="N7484" s="17" t="str">
        <f>IFERROR(__xludf.DUMMYFUNCTION("""COMPUTED_VALUE"""),"")</f>
        <v/>
      </c>
      <c r="O7484" s="17"/>
    </row>
    <row r="7485">
      <c r="B7485" s="17" t="s">
        <v>477</v>
      </c>
      <c r="K7485" s="18" t="s">
        <v>477</v>
      </c>
      <c r="N7485" s="17" t="str">
        <f>IFERROR(__xludf.DUMMYFUNCTION("""COMPUTED_VALUE"""),"")</f>
        <v/>
      </c>
      <c r="O7485" s="17"/>
    </row>
    <row r="7486">
      <c r="B7486" s="17" t="s">
        <v>477</v>
      </c>
      <c r="K7486" s="18" t="s">
        <v>477</v>
      </c>
      <c r="N7486" s="17" t="str">
        <f>IFERROR(__xludf.DUMMYFUNCTION("""COMPUTED_VALUE"""),"")</f>
        <v/>
      </c>
      <c r="O7486" s="17"/>
    </row>
    <row r="7487">
      <c r="B7487" s="17" t="s">
        <v>477</v>
      </c>
      <c r="K7487" s="18" t="s">
        <v>477</v>
      </c>
      <c r="N7487" s="17" t="str">
        <f>IFERROR(__xludf.DUMMYFUNCTION("""COMPUTED_VALUE"""),"")</f>
        <v/>
      </c>
      <c r="O7487" s="17"/>
    </row>
    <row r="7488">
      <c r="B7488" s="17" t="s">
        <v>477</v>
      </c>
      <c r="K7488" s="18" t="s">
        <v>477</v>
      </c>
      <c r="N7488" s="17" t="str">
        <f>IFERROR(__xludf.DUMMYFUNCTION("""COMPUTED_VALUE"""),"")</f>
        <v/>
      </c>
      <c r="O7488" s="17"/>
    </row>
    <row r="7489">
      <c r="B7489" s="17" t="s">
        <v>477</v>
      </c>
      <c r="K7489" s="18" t="s">
        <v>477</v>
      </c>
      <c r="N7489" s="17" t="str">
        <f>IFERROR(__xludf.DUMMYFUNCTION("""COMPUTED_VALUE"""),"")</f>
        <v/>
      </c>
      <c r="O7489" s="17"/>
    </row>
    <row r="7490">
      <c r="B7490" s="17" t="s">
        <v>477</v>
      </c>
      <c r="K7490" s="18" t="s">
        <v>477</v>
      </c>
      <c r="N7490" s="17" t="str">
        <f>IFERROR(__xludf.DUMMYFUNCTION("""COMPUTED_VALUE"""),"")</f>
        <v/>
      </c>
      <c r="O7490" s="17"/>
    </row>
    <row r="7491">
      <c r="B7491" s="17" t="s">
        <v>477</v>
      </c>
      <c r="K7491" s="18" t="s">
        <v>477</v>
      </c>
      <c r="N7491" s="17" t="str">
        <f>IFERROR(__xludf.DUMMYFUNCTION("""COMPUTED_VALUE"""),"")</f>
        <v/>
      </c>
      <c r="O7491" s="17"/>
    </row>
    <row r="7492">
      <c r="B7492" s="17" t="s">
        <v>477</v>
      </c>
      <c r="K7492" s="18" t="s">
        <v>477</v>
      </c>
      <c r="N7492" s="17" t="str">
        <f>IFERROR(__xludf.DUMMYFUNCTION("""COMPUTED_VALUE"""),"")</f>
        <v/>
      </c>
      <c r="O7492" s="17"/>
    </row>
    <row r="7493">
      <c r="B7493" s="17" t="s">
        <v>477</v>
      </c>
      <c r="K7493" s="18" t="s">
        <v>477</v>
      </c>
      <c r="N7493" s="17" t="str">
        <f>IFERROR(__xludf.DUMMYFUNCTION("""COMPUTED_VALUE"""),"")</f>
        <v/>
      </c>
      <c r="O7493" s="17"/>
    </row>
    <row r="7494">
      <c r="B7494" s="17" t="s">
        <v>477</v>
      </c>
      <c r="K7494" s="18" t="s">
        <v>477</v>
      </c>
      <c r="N7494" s="17" t="str">
        <f>IFERROR(__xludf.DUMMYFUNCTION("""COMPUTED_VALUE"""),"")</f>
        <v/>
      </c>
      <c r="O7494" s="17"/>
    </row>
    <row r="7495">
      <c r="B7495" s="17" t="s">
        <v>477</v>
      </c>
      <c r="K7495" s="18" t="s">
        <v>477</v>
      </c>
      <c r="N7495" s="17" t="str">
        <f>IFERROR(__xludf.DUMMYFUNCTION("""COMPUTED_VALUE"""),"")</f>
        <v/>
      </c>
      <c r="O7495" s="17"/>
    </row>
    <row r="7496">
      <c r="B7496" s="17" t="s">
        <v>477</v>
      </c>
      <c r="K7496" s="18" t="s">
        <v>477</v>
      </c>
      <c r="N7496" s="17" t="str">
        <f>IFERROR(__xludf.DUMMYFUNCTION("""COMPUTED_VALUE"""),"")</f>
        <v/>
      </c>
      <c r="O7496" s="17"/>
    </row>
    <row r="7497">
      <c r="B7497" s="17" t="s">
        <v>477</v>
      </c>
      <c r="K7497" s="18" t="s">
        <v>477</v>
      </c>
      <c r="N7497" s="17" t="str">
        <f>IFERROR(__xludf.DUMMYFUNCTION("""COMPUTED_VALUE"""),"")</f>
        <v/>
      </c>
      <c r="O7497" s="17"/>
    </row>
    <row r="7498">
      <c r="B7498" s="17" t="s">
        <v>477</v>
      </c>
      <c r="K7498" s="18" t="s">
        <v>477</v>
      </c>
      <c r="N7498" s="17" t="str">
        <f>IFERROR(__xludf.DUMMYFUNCTION("""COMPUTED_VALUE"""),"")</f>
        <v/>
      </c>
      <c r="O7498" s="17"/>
    </row>
    <row r="7499">
      <c r="B7499" s="17" t="s">
        <v>477</v>
      </c>
      <c r="K7499" s="18" t="s">
        <v>477</v>
      </c>
      <c r="N7499" s="17" t="str">
        <f>IFERROR(__xludf.DUMMYFUNCTION("""COMPUTED_VALUE"""),"")</f>
        <v/>
      </c>
      <c r="O7499" s="17"/>
    </row>
    <row r="7500">
      <c r="B7500" s="17" t="s">
        <v>477</v>
      </c>
      <c r="K7500" s="18" t="s">
        <v>477</v>
      </c>
      <c r="N7500" s="17" t="str">
        <f>IFERROR(__xludf.DUMMYFUNCTION("""COMPUTED_VALUE"""),"")</f>
        <v/>
      </c>
      <c r="O7500" s="17"/>
    </row>
    <row r="7501">
      <c r="B7501" s="17" t="s">
        <v>477</v>
      </c>
      <c r="K7501" s="18" t="s">
        <v>477</v>
      </c>
      <c r="N7501" s="17" t="str">
        <f>IFERROR(__xludf.DUMMYFUNCTION("""COMPUTED_VALUE"""),"")</f>
        <v/>
      </c>
      <c r="O7501" s="17"/>
    </row>
    <row r="7502">
      <c r="B7502" s="17" t="s">
        <v>477</v>
      </c>
      <c r="K7502" s="18" t="s">
        <v>477</v>
      </c>
      <c r="N7502" s="17" t="str">
        <f>IFERROR(__xludf.DUMMYFUNCTION("""COMPUTED_VALUE"""),"")</f>
        <v/>
      </c>
      <c r="O7502" s="17"/>
    </row>
    <row r="7503">
      <c r="B7503" s="17" t="s">
        <v>477</v>
      </c>
      <c r="K7503" s="18" t="s">
        <v>477</v>
      </c>
      <c r="N7503" s="17" t="str">
        <f>IFERROR(__xludf.DUMMYFUNCTION("""COMPUTED_VALUE"""),"")</f>
        <v/>
      </c>
      <c r="O7503" s="17"/>
    </row>
    <row r="7504">
      <c r="B7504" s="17" t="s">
        <v>477</v>
      </c>
      <c r="K7504" s="18" t="s">
        <v>477</v>
      </c>
      <c r="N7504" s="17" t="str">
        <f>IFERROR(__xludf.DUMMYFUNCTION("""COMPUTED_VALUE"""),"")</f>
        <v/>
      </c>
      <c r="O7504" s="17"/>
    </row>
    <row r="7505">
      <c r="B7505" s="17" t="s">
        <v>477</v>
      </c>
      <c r="K7505" s="18" t="s">
        <v>477</v>
      </c>
      <c r="N7505" s="17" t="str">
        <f>IFERROR(__xludf.DUMMYFUNCTION("""COMPUTED_VALUE"""),"")</f>
        <v/>
      </c>
      <c r="O7505" s="17"/>
    </row>
    <row r="7506">
      <c r="B7506" s="17" t="s">
        <v>477</v>
      </c>
      <c r="K7506" s="18" t="s">
        <v>477</v>
      </c>
      <c r="N7506" s="17" t="str">
        <f>IFERROR(__xludf.DUMMYFUNCTION("""COMPUTED_VALUE"""),"")</f>
        <v/>
      </c>
      <c r="O7506" s="17"/>
    </row>
    <row r="7507">
      <c r="B7507" s="17" t="s">
        <v>477</v>
      </c>
      <c r="K7507" s="18" t="s">
        <v>477</v>
      </c>
      <c r="N7507" s="17" t="str">
        <f>IFERROR(__xludf.DUMMYFUNCTION("""COMPUTED_VALUE"""),"")</f>
        <v/>
      </c>
      <c r="O7507" s="17"/>
    </row>
    <row r="7508">
      <c r="B7508" s="17" t="s">
        <v>477</v>
      </c>
      <c r="K7508" s="18" t="s">
        <v>477</v>
      </c>
      <c r="N7508" s="17" t="str">
        <f>IFERROR(__xludf.DUMMYFUNCTION("""COMPUTED_VALUE"""),"")</f>
        <v/>
      </c>
      <c r="O7508" s="17"/>
    </row>
    <row r="7509">
      <c r="B7509" s="17" t="s">
        <v>477</v>
      </c>
      <c r="K7509" s="18" t="s">
        <v>477</v>
      </c>
      <c r="N7509" s="17" t="str">
        <f>IFERROR(__xludf.DUMMYFUNCTION("""COMPUTED_VALUE"""),"")</f>
        <v/>
      </c>
      <c r="O7509" s="17"/>
    </row>
    <row r="7510">
      <c r="B7510" s="17" t="s">
        <v>477</v>
      </c>
      <c r="K7510" s="18" t="s">
        <v>477</v>
      </c>
      <c r="N7510" s="17" t="str">
        <f>IFERROR(__xludf.DUMMYFUNCTION("""COMPUTED_VALUE"""),"")</f>
        <v/>
      </c>
      <c r="O7510" s="17"/>
    </row>
    <row r="7511">
      <c r="B7511" s="17" t="s">
        <v>477</v>
      </c>
      <c r="K7511" s="18" t="s">
        <v>477</v>
      </c>
      <c r="N7511" s="17" t="str">
        <f>IFERROR(__xludf.DUMMYFUNCTION("""COMPUTED_VALUE"""),"")</f>
        <v/>
      </c>
      <c r="O7511" s="17"/>
    </row>
    <row r="7512">
      <c r="B7512" s="17" t="s">
        <v>477</v>
      </c>
      <c r="K7512" s="18" t="s">
        <v>477</v>
      </c>
      <c r="N7512" s="17" t="str">
        <f>IFERROR(__xludf.DUMMYFUNCTION("""COMPUTED_VALUE"""),"")</f>
        <v/>
      </c>
      <c r="O7512" s="17"/>
    </row>
    <row r="7513">
      <c r="B7513" s="17" t="s">
        <v>477</v>
      </c>
      <c r="K7513" s="18" t="s">
        <v>477</v>
      </c>
      <c r="N7513" s="17" t="str">
        <f>IFERROR(__xludf.DUMMYFUNCTION("""COMPUTED_VALUE"""),"")</f>
        <v/>
      </c>
      <c r="O7513" s="17"/>
    </row>
    <row r="7514">
      <c r="B7514" s="17" t="s">
        <v>477</v>
      </c>
      <c r="K7514" s="18" t="s">
        <v>477</v>
      </c>
      <c r="N7514" s="17" t="str">
        <f>IFERROR(__xludf.DUMMYFUNCTION("""COMPUTED_VALUE"""),"")</f>
        <v/>
      </c>
      <c r="O7514" s="17"/>
    </row>
    <row r="7515">
      <c r="B7515" s="17" t="s">
        <v>477</v>
      </c>
      <c r="K7515" s="18" t="s">
        <v>477</v>
      </c>
      <c r="N7515" s="17" t="str">
        <f>IFERROR(__xludf.DUMMYFUNCTION("""COMPUTED_VALUE"""),"")</f>
        <v/>
      </c>
      <c r="O7515" s="17"/>
    </row>
    <row r="7516">
      <c r="B7516" s="17" t="s">
        <v>477</v>
      </c>
      <c r="K7516" s="18" t="s">
        <v>477</v>
      </c>
      <c r="N7516" s="17" t="str">
        <f>IFERROR(__xludf.DUMMYFUNCTION("""COMPUTED_VALUE"""),"")</f>
        <v/>
      </c>
      <c r="O7516" s="17"/>
    </row>
    <row r="7517">
      <c r="B7517" s="17" t="s">
        <v>477</v>
      </c>
      <c r="K7517" s="18" t="s">
        <v>477</v>
      </c>
      <c r="N7517" s="17" t="str">
        <f>IFERROR(__xludf.DUMMYFUNCTION("""COMPUTED_VALUE"""),"")</f>
        <v/>
      </c>
      <c r="O7517" s="17"/>
    </row>
    <row r="7518">
      <c r="B7518" s="17" t="s">
        <v>477</v>
      </c>
      <c r="K7518" s="18" t="s">
        <v>477</v>
      </c>
      <c r="N7518" s="17" t="str">
        <f>IFERROR(__xludf.DUMMYFUNCTION("""COMPUTED_VALUE"""),"")</f>
        <v/>
      </c>
      <c r="O7518" s="17"/>
    </row>
    <row r="7519">
      <c r="B7519" s="17" t="s">
        <v>477</v>
      </c>
      <c r="K7519" s="18" t="s">
        <v>477</v>
      </c>
      <c r="N7519" s="17" t="str">
        <f>IFERROR(__xludf.DUMMYFUNCTION("""COMPUTED_VALUE"""),"")</f>
        <v/>
      </c>
      <c r="O7519" s="17"/>
    </row>
    <row r="7520">
      <c r="B7520" s="17" t="s">
        <v>477</v>
      </c>
      <c r="K7520" s="18" t="s">
        <v>477</v>
      </c>
      <c r="N7520" s="17" t="str">
        <f>IFERROR(__xludf.DUMMYFUNCTION("""COMPUTED_VALUE"""),"")</f>
        <v/>
      </c>
      <c r="O7520" s="17"/>
    </row>
    <row r="7521">
      <c r="B7521" s="17" t="s">
        <v>477</v>
      </c>
      <c r="K7521" s="18" t="s">
        <v>477</v>
      </c>
      <c r="N7521" s="17" t="str">
        <f>IFERROR(__xludf.DUMMYFUNCTION("""COMPUTED_VALUE"""),"")</f>
        <v/>
      </c>
      <c r="O7521" s="17"/>
    </row>
    <row r="7522">
      <c r="B7522" s="17" t="s">
        <v>477</v>
      </c>
      <c r="K7522" s="18" t="s">
        <v>477</v>
      </c>
      <c r="N7522" s="17" t="str">
        <f>IFERROR(__xludf.DUMMYFUNCTION("""COMPUTED_VALUE"""),"")</f>
        <v/>
      </c>
      <c r="O7522" s="17"/>
    </row>
    <row r="7523">
      <c r="B7523" s="17" t="s">
        <v>477</v>
      </c>
      <c r="K7523" s="18" t="s">
        <v>477</v>
      </c>
      <c r="N7523" s="17" t="str">
        <f>IFERROR(__xludf.DUMMYFUNCTION("""COMPUTED_VALUE"""),"")</f>
        <v/>
      </c>
      <c r="O7523" s="17"/>
    </row>
    <row r="7524">
      <c r="B7524" s="17" t="s">
        <v>477</v>
      </c>
      <c r="K7524" s="18" t="s">
        <v>477</v>
      </c>
      <c r="N7524" s="17" t="str">
        <f>IFERROR(__xludf.DUMMYFUNCTION("""COMPUTED_VALUE"""),"")</f>
        <v/>
      </c>
      <c r="O7524" s="17"/>
    </row>
    <row r="7525">
      <c r="B7525" s="17" t="s">
        <v>477</v>
      </c>
      <c r="K7525" s="18" t="s">
        <v>477</v>
      </c>
      <c r="N7525" s="17" t="str">
        <f>IFERROR(__xludf.DUMMYFUNCTION("""COMPUTED_VALUE"""),"")</f>
        <v/>
      </c>
      <c r="O7525" s="17"/>
    </row>
    <row r="7526">
      <c r="B7526" s="17" t="s">
        <v>477</v>
      </c>
      <c r="K7526" s="18" t="s">
        <v>477</v>
      </c>
      <c r="N7526" s="17" t="str">
        <f>IFERROR(__xludf.DUMMYFUNCTION("""COMPUTED_VALUE"""),"")</f>
        <v/>
      </c>
      <c r="O7526" s="17"/>
    </row>
    <row r="7527">
      <c r="B7527" s="17" t="s">
        <v>477</v>
      </c>
      <c r="K7527" s="18" t="s">
        <v>477</v>
      </c>
      <c r="N7527" s="17" t="str">
        <f>IFERROR(__xludf.DUMMYFUNCTION("""COMPUTED_VALUE"""),"")</f>
        <v/>
      </c>
      <c r="O7527" s="17"/>
    </row>
    <row r="7528">
      <c r="B7528" s="17" t="s">
        <v>477</v>
      </c>
      <c r="K7528" s="18" t="s">
        <v>477</v>
      </c>
      <c r="N7528" s="17" t="str">
        <f>IFERROR(__xludf.DUMMYFUNCTION("""COMPUTED_VALUE"""),"")</f>
        <v/>
      </c>
      <c r="O7528" s="17"/>
    </row>
    <row r="7529">
      <c r="B7529" s="17" t="s">
        <v>477</v>
      </c>
      <c r="K7529" s="18" t="s">
        <v>477</v>
      </c>
      <c r="N7529" s="17" t="str">
        <f>IFERROR(__xludf.DUMMYFUNCTION("""COMPUTED_VALUE"""),"")</f>
        <v/>
      </c>
      <c r="O7529" s="17"/>
    </row>
    <row r="7530">
      <c r="B7530" s="17" t="s">
        <v>477</v>
      </c>
      <c r="K7530" s="18" t="s">
        <v>477</v>
      </c>
      <c r="N7530" s="17" t="str">
        <f>IFERROR(__xludf.DUMMYFUNCTION("""COMPUTED_VALUE"""),"")</f>
        <v/>
      </c>
      <c r="O7530" s="17"/>
    </row>
    <row r="7531">
      <c r="B7531" s="17" t="s">
        <v>477</v>
      </c>
      <c r="K7531" s="18" t="s">
        <v>477</v>
      </c>
      <c r="N7531" s="17" t="str">
        <f>IFERROR(__xludf.DUMMYFUNCTION("""COMPUTED_VALUE"""),"")</f>
        <v/>
      </c>
      <c r="O7531" s="17"/>
    </row>
    <row r="7532">
      <c r="B7532" s="17" t="s">
        <v>477</v>
      </c>
      <c r="K7532" s="18" t="s">
        <v>477</v>
      </c>
      <c r="N7532" s="17" t="str">
        <f>IFERROR(__xludf.DUMMYFUNCTION("""COMPUTED_VALUE"""),"")</f>
        <v/>
      </c>
      <c r="O7532" s="17"/>
    </row>
    <row r="7533">
      <c r="B7533" s="17" t="s">
        <v>477</v>
      </c>
      <c r="K7533" s="18" t="s">
        <v>477</v>
      </c>
      <c r="N7533" s="17" t="str">
        <f>IFERROR(__xludf.DUMMYFUNCTION("""COMPUTED_VALUE"""),"")</f>
        <v/>
      </c>
      <c r="O7533" s="17"/>
    </row>
    <row r="7534">
      <c r="B7534" s="17" t="s">
        <v>477</v>
      </c>
      <c r="K7534" s="18" t="s">
        <v>477</v>
      </c>
      <c r="N7534" s="17" t="str">
        <f>IFERROR(__xludf.DUMMYFUNCTION("""COMPUTED_VALUE"""),"")</f>
        <v/>
      </c>
      <c r="O7534" s="17"/>
    </row>
    <row r="7535">
      <c r="B7535" s="17" t="s">
        <v>477</v>
      </c>
      <c r="K7535" s="18" t="s">
        <v>477</v>
      </c>
      <c r="N7535" s="17" t="str">
        <f>IFERROR(__xludf.DUMMYFUNCTION("""COMPUTED_VALUE"""),"")</f>
        <v/>
      </c>
      <c r="O7535" s="17"/>
    </row>
    <row r="7536">
      <c r="B7536" s="17" t="s">
        <v>477</v>
      </c>
      <c r="K7536" s="18" t="s">
        <v>477</v>
      </c>
      <c r="N7536" s="17" t="str">
        <f>IFERROR(__xludf.DUMMYFUNCTION("""COMPUTED_VALUE"""),"")</f>
        <v/>
      </c>
      <c r="O7536" s="17"/>
    </row>
    <row r="7537">
      <c r="B7537" s="17" t="s">
        <v>477</v>
      </c>
      <c r="K7537" s="18" t="s">
        <v>477</v>
      </c>
      <c r="N7537" s="17" t="str">
        <f>IFERROR(__xludf.DUMMYFUNCTION("""COMPUTED_VALUE"""),"")</f>
        <v/>
      </c>
      <c r="O7537" s="17"/>
    </row>
    <row r="7538">
      <c r="B7538" s="17" t="s">
        <v>477</v>
      </c>
      <c r="K7538" s="18" t="s">
        <v>477</v>
      </c>
      <c r="N7538" s="17" t="str">
        <f>IFERROR(__xludf.DUMMYFUNCTION("""COMPUTED_VALUE"""),"")</f>
        <v/>
      </c>
      <c r="O7538" s="17"/>
    </row>
    <row r="7539">
      <c r="B7539" s="17" t="s">
        <v>477</v>
      </c>
      <c r="K7539" s="18" t="s">
        <v>477</v>
      </c>
      <c r="N7539" s="17" t="str">
        <f>IFERROR(__xludf.DUMMYFUNCTION("""COMPUTED_VALUE"""),"")</f>
        <v/>
      </c>
      <c r="O7539" s="17"/>
    </row>
    <row r="7540">
      <c r="B7540" s="17" t="s">
        <v>477</v>
      </c>
      <c r="K7540" s="18" t="s">
        <v>477</v>
      </c>
      <c r="N7540" s="17" t="str">
        <f>IFERROR(__xludf.DUMMYFUNCTION("""COMPUTED_VALUE"""),"")</f>
        <v/>
      </c>
      <c r="O7540" s="17"/>
    </row>
    <row r="7541">
      <c r="B7541" s="17" t="s">
        <v>477</v>
      </c>
      <c r="K7541" s="18" t="s">
        <v>477</v>
      </c>
      <c r="N7541" s="17" t="str">
        <f>IFERROR(__xludf.DUMMYFUNCTION("""COMPUTED_VALUE"""),"")</f>
        <v/>
      </c>
      <c r="O7541" s="17"/>
    </row>
    <row r="7542">
      <c r="B7542" s="17" t="s">
        <v>477</v>
      </c>
      <c r="K7542" s="18" t="s">
        <v>477</v>
      </c>
      <c r="N7542" s="17" t="str">
        <f>IFERROR(__xludf.DUMMYFUNCTION("""COMPUTED_VALUE"""),"")</f>
        <v/>
      </c>
      <c r="O7542" s="17"/>
    </row>
    <row r="7543">
      <c r="B7543" s="17" t="s">
        <v>477</v>
      </c>
      <c r="K7543" s="18" t="s">
        <v>477</v>
      </c>
      <c r="N7543" s="17" t="str">
        <f>IFERROR(__xludf.DUMMYFUNCTION("""COMPUTED_VALUE"""),"")</f>
        <v/>
      </c>
      <c r="O7543" s="17"/>
    </row>
    <row r="7544">
      <c r="B7544" s="17" t="s">
        <v>477</v>
      </c>
      <c r="K7544" s="18" t="s">
        <v>477</v>
      </c>
      <c r="N7544" s="17" t="str">
        <f>IFERROR(__xludf.DUMMYFUNCTION("""COMPUTED_VALUE"""),"")</f>
        <v/>
      </c>
      <c r="O7544" s="17"/>
    </row>
    <row r="7545">
      <c r="B7545" s="17" t="s">
        <v>477</v>
      </c>
      <c r="K7545" s="18" t="s">
        <v>477</v>
      </c>
      <c r="N7545" s="17" t="str">
        <f>IFERROR(__xludf.DUMMYFUNCTION("""COMPUTED_VALUE"""),"")</f>
        <v/>
      </c>
      <c r="O7545" s="17"/>
    </row>
    <row r="7546">
      <c r="B7546" s="17" t="s">
        <v>477</v>
      </c>
      <c r="K7546" s="18" t="s">
        <v>477</v>
      </c>
      <c r="N7546" s="17" t="str">
        <f>IFERROR(__xludf.DUMMYFUNCTION("""COMPUTED_VALUE"""),"")</f>
        <v/>
      </c>
      <c r="O7546" s="17"/>
    </row>
    <row r="7547">
      <c r="B7547" s="17" t="s">
        <v>477</v>
      </c>
      <c r="K7547" s="18" t="s">
        <v>477</v>
      </c>
      <c r="N7547" s="17" t="str">
        <f>IFERROR(__xludf.DUMMYFUNCTION("""COMPUTED_VALUE"""),"")</f>
        <v/>
      </c>
      <c r="O7547" s="17"/>
    </row>
    <row r="7548">
      <c r="B7548" s="17" t="s">
        <v>477</v>
      </c>
      <c r="K7548" s="18" t="s">
        <v>477</v>
      </c>
      <c r="N7548" s="17" t="str">
        <f>IFERROR(__xludf.DUMMYFUNCTION("""COMPUTED_VALUE"""),"")</f>
        <v/>
      </c>
      <c r="O7548" s="17"/>
    </row>
    <row r="7549">
      <c r="B7549" s="17" t="s">
        <v>477</v>
      </c>
      <c r="K7549" s="18" t="s">
        <v>477</v>
      </c>
      <c r="N7549" s="17" t="str">
        <f>IFERROR(__xludf.DUMMYFUNCTION("""COMPUTED_VALUE"""),"")</f>
        <v/>
      </c>
      <c r="O7549" s="17"/>
    </row>
    <row r="7550">
      <c r="B7550" s="17" t="s">
        <v>477</v>
      </c>
      <c r="K7550" s="18" t="s">
        <v>477</v>
      </c>
      <c r="N7550" s="17" t="str">
        <f>IFERROR(__xludf.DUMMYFUNCTION("""COMPUTED_VALUE"""),"")</f>
        <v/>
      </c>
      <c r="O7550" s="17"/>
    </row>
    <row r="7551">
      <c r="B7551" s="17" t="s">
        <v>477</v>
      </c>
      <c r="K7551" s="18" t="s">
        <v>477</v>
      </c>
      <c r="N7551" s="17" t="str">
        <f>IFERROR(__xludf.DUMMYFUNCTION("""COMPUTED_VALUE"""),"")</f>
        <v/>
      </c>
      <c r="O7551" s="17"/>
    </row>
    <row r="7552">
      <c r="B7552" s="17" t="s">
        <v>477</v>
      </c>
      <c r="K7552" s="18" t="s">
        <v>477</v>
      </c>
      <c r="N7552" s="17" t="str">
        <f>IFERROR(__xludf.DUMMYFUNCTION("""COMPUTED_VALUE"""),"")</f>
        <v/>
      </c>
      <c r="O7552" s="17"/>
    </row>
    <row r="7553">
      <c r="B7553" s="17" t="s">
        <v>477</v>
      </c>
      <c r="K7553" s="18" t="s">
        <v>477</v>
      </c>
      <c r="N7553" s="17" t="str">
        <f>IFERROR(__xludf.DUMMYFUNCTION("""COMPUTED_VALUE"""),"")</f>
        <v/>
      </c>
      <c r="O7553" s="17"/>
    </row>
    <row r="7554">
      <c r="B7554" s="17" t="s">
        <v>477</v>
      </c>
      <c r="K7554" s="18" t="s">
        <v>477</v>
      </c>
      <c r="N7554" s="17" t="str">
        <f>IFERROR(__xludf.DUMMYFUNCTION("""COMPUTED_VALUE"""),"")</f>
        <v/>
      </c>
      <c r="O7554" s="17"/>
    </row>
    <row r="7555">
      <c r="B7555" s="17" t="s">
        <v>477</v>
      </c>
      <c r="K7555" s="18" t="s">
        <v>477</v>
      </c>
      <c r="N7555" s="17" t="str">
        <f>IFERROR(__xludf.DUMMYFUNCTION("""COMPUTED_VALUE"""),"")</f>
        <v/>
      </c>
      <c r="O7555" s="17"/>
    </row>
    <row r="7556">
      <c r="B7556" s="17" t="s">
        <v>477</v>
      </c>
      <c r="K7556" s="18" t="s">
        <v>477</v>
      </c>
      <c r="N7556" s="17" t="str">
        <f>IFERROR(__xludf.DUMMYFUNCTION("""COMPUTED_VALUE"""),"")</f>
        <v/>
      </c>
      <c r="O7556" s="17"/>
    </row>
    <row r="7557">
      <c r="B7557" s="17" t="s">
        <v>477</v>
      </c>
      <c r="K7557" s="18" t="s">
        <v>477</v>
      </c>
      <c r="N7557" s="17" t="str">
        <f>IFERROR(__xludf.DUMMYFUNCTION("""COMPUTED_VALUE"""),"")</f>
        <v/>
      </c>
      <c r="O7557" s="17"/>
    </row>
    <row r="7558">
      <c r="B7558" s="17" t="s">
        <v>477</v>
      </c>
      <c r="K7558" s="18" t="s">
        <v>477</v>
      </c>
      <c r="N7558" s="17" t="str">
        <f>IFERROR(__xludf.DUMMYFUNCTION("""COMPUTED_VALUE"""),"")</f>
        <v/>
      </c>
      <c r="O7558" s="17"/>
    </row>
    <row r="7559">
      <c r="B7559" s="17" t="s">
        <v>477</v>
      </c>
      <c r="K7559" s="18" t="s">
        <v>477</v>
      </c>
      <c r="N7559" s="17" t="str">
        <f>IFERROR(__xludf.DUMMYFUNCTION("""COMPUTED_VALUE"""),"")</f>
        <v/>
      </c>
      <c r="O7559" s="17"/>
    </row>
    <row r="7560">
      <c r="B7560" s="17" t="s">
        <v>477</v>
      </c>
      <c r="K7560" s="18" t="s">
        <v>477</v>
      </c>
      <c r="N7560" s="17" t="str">
        <f>IFERROR(__xludf.DUMMYFUNCTION("""COMPUTED_VALUE"""),"")</f>
        <v/>
      </c>
      <c r="O7560" s="17"/>
    </row>
    <row r="7561">
      <c r="B7561" s="17" t="s">
        <v>477</v>
      </c>
      <c r="K7561" s="18" t="s">
        <v>477</v>
      </c>
      <c r="N7561" s="17" t="str">
        <f>IFERROR(__xludf.DUMMYFUNCTION("""COMPUTED_VALUE"""),"")</f>
        <v/>
      </c>
      <c r="O7561" s="17"/>
    </row>
    <row r="7562">
      <c r="B7562" s="17" t="s">
        <v>477</v>
      </c>
      <c r="K7562" s="18" t="s">
        <v>477</v>
      </c>
      <c r="N7562" s="17" t="str">
        <f>IFERROR(__xludf.DUMMYFUNCTION("""COMPUTED_VALUE"""),"")</f>
        <v/>
      </c>
      <c r="O7562" s="17"/>
    </row>
    <row r="7563">
      <c r="B7563" s="17" t="s">
        <v>477</v>
      </c>
      <c r="K7563" s="18" t="s">
        <v>477</v>
      </c>
      <c r="N7563" s="17" t="str">
        <f>IFERROR(__xludf.DUMMYFUNCTION("""COMPUTED_VALUE"""),"")</f>
        <v/>
      </c>
      <c r="O7563" s="17"/>
    </row>
    <row r="7564">
      <c r="B7564" s="17" t="s">
        <v>477</v>
      </c>
      <c r="K7564" s="18" t="s">
        <v>477</v>
      </c>
      <c r="N7564" s="17" t="str">
        <f>IFERROR(__xludf.DUMMYFUNCTION("""COMPUTED_VALUE"""),"")</f>
        <v/>
      </c>
      <c r="O7564" s="17"/>
    </row>
    <row r="7565">
      <c r="B7565" s="17" t="s">
        <v>477</v>
      </c>
      <c r="K7565" s="18" t="s">
        <v>477</v>
      </c>
      <c r="N7565" s="17" t="str">
        <f>IFERROR(__xludf.DUMMYFUNCTION("""COMPUTED_VALUE"""),"")</f>
        <v/>
      </c>
      <c r="O7565" s="17"/>
    </row>
    <row r="7566">
      <c r="B7566" s="17" t="s">
        <v>477</v>
      </c>
      <c r="K7566" s="18" t="s">
        <v>477</v>
      </c>
      <c r="N7566" s="17" t="str">
        <f>IFERROR(__xludf.DUMMYFUNCTION("""COMPUTED_VALUE"""),"")</f>
        <v/>
      </c>
      <c r="O7566" s="17"/>
    </row>
    <row r="7567">
      <c r="B7567" s="17" t="s">
        <v>477</v>
      </c>
      <c r="K7567" s="18" t="s">
        <v>477</v>
      </c>
      <c r="N7567" s="17" t="str">
        <f>IFERROR(__xludf.DUMMYFUNCTION("""COMPUTED_VALUE"""),"")</f>
        <v/>
      </c>
      <c r="O7567" s="17"/>
    </row>
    <row r="7568">
      <c r="B7568" s="17" t="s">
        <v>477</v>
      </c>
      <c r="K7568" s="18" t="s">
        <v>477</v>
      </c>
      <c r="N7568" s="17" t="str">
        <f>IFERROR(__xludf.DUMMYFUNCTION("""COMPUTED_VALUE"""),"")</f>
        <v/>
      </c>
      <c r="O7568" s="17"/>
    </row>
    <row r="7569">
      <c r="B7569" s="17" t="s">
        <v>477</v>
      </c>
      <c r="K7569" s="18" t="s">
        <v>477</v>
      </c>
      <c r="N7569" s="17" t="str">
        <f>IFERROR(__xludf.DUMMYFUNCTION("""COMPUTED_VALUE"""),"")</f>
        <v/>
      </c>
      <c r="O7569" s="17"/>
    </row>
    <row r="7570">
      <c r="B7570" s="17" t="s">
        <v>477</v>
      </c>
      <c r="K7570" s="18" t="s">
        <v>477</v>
      </c>
      <c r="N7570" s="17" t="str">
        <f>IFERROR(__xludf.DUMMYFUNCTION("""COMPUTED_VALUE"""),"")</f>
        <v/>
      </c>
      <c r="O7570" s="17"/>
    </row>
    <row r="7571">
      <c r="B7571" s="17" t="s">
        <v>477</v>
      </c>
      <c r="K7571" s="18" t="s">
        <v>477</v>
      </c>
      <c r="N7571" s="17" t="str">
        <f>IFERROR(__xludf.DUMMYFUNCTION("""COMPUTED_VALUE"""),"")</f>
        <v/>
      </c>
      <c r="O7571" s="17"/>
    </row>
    <row r="7572">
      <c r="B7572" s="17" t="s">
        <v>477</v>
      </c>
      <c r="K7572" s="18" t="s">
        <v>477</v>
      </c>
      <c r="N7572" s="17" t="str">
        <f>IFERROR(__xludf.DUMMYFUNCTION("""COMPUTED_VALUE"""),"")</f>
        <v/>
      </c>
      <c r="O7572" s="17"/>
    </row>
    <row r="7573">
      <c r="B7573" s="17" t="s">
        <v>477</v>
      </c>
      <c r="K7573" s="18" t="s">
        <v>477</v>
      </c>
      <c r="N7573" s="17" t="str">
        <f>IFERROR(__xludf.DUMMYFUNCTION("""COMPUTED_VALUE"""),"")</f>
        <v/>
      </c>
      <c r="O7573" s="17"/>
    </row>
    <row r="7574">
      <c r="B7574" s="17" t="s">
        <v>477</v>
      </c>
      <c r="K7574" s="18" t="s">
        <v>477</v>
      </c>
      <c r="N7574" s="17" t="str">
        <f>IFERROR(__xludf.DUMMYFUNCTION("""COMPUTED_VALUE"""),"")</f>
        <v/>
      </c>
      <c r="O7574" s="17"/>
    </row>
    <row r="7575">
      <c r="B7575" s="17" t="s">
        <v>477</v>
      </c>
      <c r="K7575" s="18" t="s">
        <v>477</v>
      </c>
      <c r="N7575" s="17" t="str">
        <f>IFERROR(__xludf.DUMMYFUNCTION("""COMPUTED_VALUE"""),"")</f>
        <v/>
      </c>
      <c r="O7575" s="17"/>
    </row>
    <row r="7576">
      <c r="B7576" s="17" t="s">
        <v>477</v>
      </c>
      <c r="K7576" s="18" t="s">
        <v>477</v>
      </c>
      <c r="N7576" s="17" t="str">
        <f>IFERROR(__xludf.DUMMYFUNCTION("""COMPUTED_VALUE"""),"")</f>
        <v/>
      </c>
      <c r="O7576" s="17"/>
    </row>
    <row r="7577">
      <c r="B7577" s="17" t="s">
        <v>477</v>
      </c>
      <c r="K7577" s="18" t="s">
        <v>477</v>
      </c>
      <c r="N7577" s="17" t="str">
        <f>IFERROR(__xludf.DUMMYFUNCTION("""COMPUTED_VALUE"""),"")</f>
        <v/>
      </c>
      <c r="O7577" s="17"/>
    </row>
    <row r="7578">
      <c r="B7578" s="17" t="s">
        <v>477</v>
      </c>
      <c r="K7578" s="18" t="s">
        <v>477</v>
      </c>
      <c r="N7578" s="17" t="str">
        <f>IFERROR(__xludf.DUMMYFUNCTION("""COMPUTED_VALUE"""),"")</f>
        <v/>
      </c>
      <c r="O7578" s="17"/>
    </row>
    <row r="7579">
      <c r="B7579" s="17" t="s">
        <v>477</v>
      </c>
      <c r="K7579" s="18" t="s">
        <v>477</v>
      </c>
      <c r="N7579" s="17" t="str">
        <f>IFERROR(__xludf.DUMMYFUNCTION("""COMPUTED_VALUE"""),"")</f>
        <v/>
      </c>
      <c r="O7579" s="17"/>
    </row>
    <row r="7580">
      <c r="B7580" s="17" t="s">
        <v>477</v>
      </c>
      <c r="K7580" s="18" t="s">
        <v>477</v>
      </c>
      <c r="N7580" s="17" t="str">
        <f>IFERROR(__xludf.DUMMYFUNCTION("""COMPUTED_VALUE"""),"")</f>
        <v/>
      </c>
      <c r="O7580" s="17"/>
    </row>
    <row r="7581">
      <c r="B7581" s="17" t="s">
        <v>477</v>
      </c>
      <c r="K7581" s="18" t="s">
        <v>477</v>
      </c>
      <c r="N7581" s="17" t="str">
        <f>IFERROR(__xludf.DUMMYFUNCTION("""COMPUTED_VALUE"""),"")</f>
        <v/>
      </c>
      <c r="O7581" s="17"/>
    </row>
    <row r="7582">
      <c r="B7582" s="17" t="s">
        <v>477</v>
      </c>
      <c r="K7582" s="18" t="s">
        <v>477</v>
      </c>
      <c r="N7582" s="17" t="str">
        <f>IFERROR(__xludf.DUMMYFUNCTION("""COMPUTED_VALUE"""),"")</f>
        <v/>
      </c>
      <c r="O7582" s="17"/>
    </row>
    <row r="7583">
      <c r="B7583" s="17" t="s">
        <v>477</v>
      </c>
      <c r="K7583" s="18" t="s">
        <v>477</v>
      </c>
      <c r="N7583" s="17" t="str">
        <f>IFERROR(__xludf.DUMMYFUNCTION("""COMPUTED_VALUE"""),"")</f>
        <v/>
      </c>
      <c r="O7583" s="17"/>
    </row>
    <row r="7584">
      <c r="B7584" s="17" t="s">
        <v>477</v>
      </c>
      <c r="K7584" s="18" t="s">
        <v>477</v>
      </c>
      <c r="N7584" s="17" t="str">
        <f>IFERROR(__xludf.DUMMYFUNCTION("""COMPUTED_VALUE"""),"")</f>
        <v/>
      </c>
      <c r="O7584" s="17"/>
    </row>
    <row r="7585">
      <c r="B7585" s="17" t="s">
        <v>477</v>
      </c>
      <c r="K7585" s="18" t="s">
        <v>477</v>
      </c>
      <c r="N7585" s="17" t="str">
        <f>IFERROR(__xludf.DUMMYFUNCTION("""COMPUTED_VALUE"""),"")</f>
        <v/>
      </c>
      <c r="O7585" s="17"/>
    </row>
    <row r="7586">
      <c r="B7586" s="17" t="s">
        <v>477</v>
      </c>
      <c r="K7586" s="18" t="s">
        <v>477</v>
      </c>
      <c r="N7586" s="17" t="str">
        <f>IFERROR(__xludf.DUMMYFUNCTION("""COMPUTED_VALUE"""),"")</f>
        <v/>
      </c>
      <c r="O7586" s="17"/>
    </row>
    <row r="7587">
      <c r="B7587" s="17" t="s">
        <v>477</v>
      </c>
      <c r="K7587" s="18" t="s">
        <v>477</v>
      </c>
      <c r="N7587" s="17" t="str">
        <f>IFERROR(__xludf.DUMMYFUNCTION("""COMPUTED_VALUE"""),"")</f>
        <v/>
      </c>
      <c r="O7587" s="17"/>
    </row>
    <row r="7588">
      <c r="B7588" s="17" t="s">
        <v>477</v>
      </c>
      <c r="K7588" s="18" t="s">
        <v>477</v>
      </c>
      <c r="N7588" s="17" t="str">
        <f>IFERROR(__xludf.DUMMYFUNCTION("""COMPUTED_VALUE"""),"")</f>
        <v/>
      </c>
      <c r="O7588" s="17"/>
    </row>
    <row r="7589">
      <c r="B7589" s="17" t="s">
        <v>477</v>
      </c>
      <c r="K7589" s="18" t="s">
        <v>477</v>
      </c>
      <c r="N7589" s="17" t="str">
        <f>IFERROR(__xludf.DUMMYFUNCTION("""COMPUTED_VALUE"""),"")</f>
        <v/>
      </c>
      <c r="O7589" s="17"/>
    </row>
    <row r="7590">
      <c r="B7590" s="17" t="s">
        <v>477</v>
      </c>
      <c r="K7590" s="18" t="s">
        <v>477</v>
      </c>
      <c r="N7590" s="17" t="str">
        <f>IFERROR(__xludf.DUMMYFUNCTION("""COMPUTED_VALUE"""),"")</f>
        <v/>
      </c>
      <c r="O7590" s="17"/>
    </row>
    <row r="7591">
      <c r="B7591" s="17" t="s">
        <v>477</v>
      </c>
      <c r="K7591" s="18" t="s">
        <v>477</v>
      </c>
      <c r="N7591" s="17" t="str">
        <f>IFERROR(__xludf.DUMMYFUNCTION("""COMPUTED_VALUE"""),"")</f>
        <v/>
      </c>
      <c r="O7591" s="17"/>
    </row>
    <row r="7592">
      <c r="B7592" s="17" t="s">
        <v>477</v>
      </c>
      <c r="K7592" s="18" t="s">
        <v>477</v>
      </c>
      <c r="N7592" s="17" t="str">
        <f>IFERROR(__xludf.DUMMYFUNCTION("""COMPUTED_VALUE"""),"")</f>
        <v/>
      </c>
      <c r="O7592" s="17"/>
    </row>
    <row r="7593">
      <c r="B7593" s="17" t="s">
        <v>477</v>
      </c>
      <c r="K7593" s="18" t="s">
        <v>477</v>
      </c>
      <c r="N7593" s="17" t="str">
        <f>IFERROR(__xludf.DUMMYFUNCTION("""COMPUTED_VALUE"""),"")</f>
        <v/>
      </c>
      <c r="O7593" s="17"/>
    </row>
    <row r="7594">
      <c r="B7594" s="17" t="s">
        <v>477</v>
      </c>
      <c r="K7594" s="18" t="s">
        <v>477</v>
      </c>
      <c r="N7594" s="17" t="str">
        <f>IFERROR(__xludf.DUMMYFUNCTION("""COMPUTED_VALUE"""),"")</f>
        <v/>
      </c>
      <c r="O7594" s="17"/>
    </row>
    <row r="7595">
      <c r="B7595" s="17" t="s">
        <v>477</v>
      </c>
      <c r="K7595" s="18" t="s">
        <v>477</v>
      </c>
      <c r="N7595" s="17" t="str">
        <f>IFERROR(__xludf.DUMMYFUNCTION("""COMPUTED_VALUE"""),"")</f>
        <v/>
      </c>
      <c r="O7595" s="17"/>
    </row>
    <row r="7596">
      <c r="B7596" s="17" t="s">
        <v>477</v>
      </c>
      <c r="K7596" s="18" t="s">
        <v>477</v>
      </c>
      <c r="N7596" s="17" t="str">
        <f>IFERROR(__xludf.DUMMYFUNCTION("""COMPUTED_VALUE"""),"")</f>
        <v/>
      </c>
      <c r="O7596" s="17"/>
    </row>
    <row r="7597">
      <c r="B7597" s="17" t="s">
        <v>477</v>
      </c>
      <c r="K7597" s="18" t="s">
        <v>477</v>
      </c>
      <c r="N7597" s="17" t="str">
        <f>IFERROR(__xludf.DUMMYFUNCTION("""COMPUTED_VALUE"""),"")</f>
        <v/>
      </c>
      <c r="O7597" s="17"/>
    </row>
    <row r="7598">
      <c r="B7598" s="17" t="s">
        <v>477</v>
      </c>
      <c r="K7598" s="18" t="s">
        <v>477</v>
      </c>
      <c r="N7598" s="17" t="str">
        <f>IFERROR(__xludf.DUMMYFUNCTION("""COMPUTED_VALUE"""),"")</f>
        <v/>
      </c>
      <c r="O7598" s="17"/>
    </row>
    <row r="7599">
      <c r="B7599" s="17" t="s">
        <v>477</v>
      </c>
      <c r="K7599" s="18" t="s">
        <v>477</v>
      </c>
      <c r="N7599" s="17" t="str">
        <f>IFERROR(__xludf.DUMMYFUNCTION("""COMPUTED_VALUE"""),"")</f>
        <v/>
      </c>
      <c r="O7599" s="17"/>
    </row>
    <row r="7600">
      <c r="B7600" s="17" t="s">
        <v>477</v>
      </c>
      <c r="K7600" s="18" t="s">
        <v>477</v>
      </c>
      <c r="N7600" s="17" t="str">
        <f>IFERROR(__xludf.DUMMYFUNCTION("""COMPUTED_VALUE"""),"")</f>
        <v/>
      </c>
      <c r="O7600" s="17"/>
    </row>
    <row r="7601">
      <c r="B7601" s="17" t="s">
        <v>477</v>
      </c>
      <c r="K7601" s="18" t="s">
        <v>477</v>
      </c>
      <c r="N7601" s="17" t="str">
        <f>IFERROR(__xludf.DUMMYFUNCTION("""COMPUTED_VALUE"""),"")</f>
        <v/>
      </c>
      <c r="O7601" s="17"/>
    </row>
    <row r="7602">
      <c r="B7602" s="17" t="s">
        <v>477</v>
      </c>
      <c r="K7602" s="18" t="s">
        <v>477</v>
      </c>
      <c r="N7602" s="17" t="str">
        <f>IFERROR(__xludf.DUMMYFUNCTION("""COMPUTED_VALUE"""),"")</f>
        <v/>
      </c>
      <c r="O7602" s="17"/>
    </row>
    <row r="7603">
      <c r="B7603" s="17" t="s">
        <v>477</v>
      </c>
      <c r="K7603" s="18" t="s">
        <v>477</v>
      </c>
      <c r="N7603" s="17" t="str">
        <f>IFERROR(__xludf.DUMMYFUNCTION("""COMPUTED_VALUE"""),"")</f>
        <v/>
      </c>
      <c r="O7603" s="17"/>
    </row>
    <row r="7604">
      <c r="B7604" s="17" t="s">
        <v>477</v>
      </c>
      <c r="K7604" s="18" t="s">
        <v>477</v>
      </c>
      <c r="N7604" s="17" t="str">
        <f>IFERROR(__xludf.DUMMYFUNCTION("""COMPUTED_VALUE"""),"")</f>
        <v/>
      </c>
      <c r="O7604" s="17"/>
    </row>
    <row r="7605">
      <c r="B7605" s="17" t="s">
        <v>477</v>
      </c>
      <c r="K7605" s="18" t="s">
        <v>477</v>
      </c>
      <c r="N7605" s="17" t="str">
        <f>IFERROR(__xludf.DUMMYFUNCTION("""COMPUTED_VALUE"""),"")</f>
        <v/>
      </c>
      <c r="O7605" s="17"/>
    </row>
    <row r="7606">
      <c r="B7606" s="17" t="s">
        <v>477</v>
      </c>
      <c r="K7606" s="18" t="s">
        <v>477</v>
      </c>
      <c r="N7606" s="17" t="str">
        <f>IFERROR(__xludf.DUMMYFUNCTION("""COMPUTED_VALUE"""),"")</f>
        <v/>
      </c>
      <c r="O7606" s="17"/>
    </row>
    <row r="7607">
      <c r="B7607" s="17" t="s">
        <v>477</v>
      </c>
      <c r="K7607" s="18" t="s">
        <v>477</v>
      </c>
      <c r="N7607" s="17" t="str">
        <f>IFERROR(__xludf.DUMMYFUNCTION("""COMPUTED_VALUE"""),"")</f>
        <v/>
      </c>
      <c r="O7607" s="17"/>
    </row>
    <row r="7608">
      <c r="B7608" s="17" t="s">
        <v>477</v>
      </c>
      <c r="K7608" s="18" t="s">
        <v>477</v>
      </c>
      <c r="N7608" s="17" t="str">
        <f>IFERROR(__xludf.DUMMYFUNCTION("""COMPUTED_VALUE"""),"")</f>
        <v/>
      </c>
      <c r="O7608" s="17"/>
    </row>
    <row r="7609">
      <c r="B7609" s="17" t="s">
        <v>477</v>
      </c>
      <c r="K7609" s="18" t="s">
        <v>477</v>
      </c>
      <c r="N7609" s="17" t="str">
        <f>IFERROR(__xludf.DUMMYFUNCTION("""COMPUTED_VALUE"""),"")</f>
        <v/>
      </c>
      <c r="O7609" s="17"/>
    </row>
    <row r="7610">
      <c r="B7610" s="17" t="s">
        <v>477</v>
      </c>
      <c r="K7610" s="18" t="s">
        <v>477</v>
      </c>
      <c r="N7610" s="17" t="str">
        <f>IFERROR(__xludf.DUMMYFUNCTION("""COMPUTED_VALUE"""),"")</f>
        <v/>
      </c>
      <c r="O7610" s="17"/>
    </row>
    <row r="7611">
      <c r="B7611" s="17" t="s">
        <v>477</v>
      </c>
      <c r="K7611" s="18" t="s">
        <v>477</v>
      </c>
      <c r="N7611" s="17" t="str">
        <f>IFERROR(__xludf.DUMMYFUNCTION("""COMPUTED_VALUE"""),"")</f>
        <v/>
      </c>
      <c r="O7611" s="17"/>
    </row>
    <row r="7612">
      <c r="B7612" s="17" t="s">
        <v>477</v>
      </c>
      <c r="K7612" s="18" t="s">
        <v>477</v>
      </c>
      <c r="N7612" s="17" t="str">
        <f>IFERROR(__xludf.DUMMYFUNCTION("""COMPUTED_VALUE"""),"")</f>
        <v/>
      </c>
      <c r="O7612" s="17"/>
    </row>
    <row r="7613">
      <c r="B7613" s="17" t="s">
        <v>477</v>
      </c>
      <c r="K7613" s="18" t="s">
        <v>477</v>
      </c>
      <c r="N7613" s="17" t="str">
        <f>IFERROR(__xludf.DUMMYFUNCTION("""COMPUTED_VALUE"""),"")</f>
        <v/>
      </c>
      <c r="O7613" s="17"/>
    </row>
    <row r="7614">
      <c r="B7614" s="17" t="s">
        <v>477</v>
      </c>
      <c r="K7614" s="18" t="s">
        <v>477</v>
      </c>
      <c r="N7614" s="17" t="str">
        <f>IFERROR(__xludf.DUMMYFUNCTION("""COMPUTED_VALUE"""),"")</f>
        <v/>
      </c>
      <c r="O7614" s="17"/>
    </row>
    <row r="7615">
      <c r="B7615" s="17" t="s">
        <v>477</v>
      </c>
      <c r="K7615" s="18" t="s">
        <v>477</v>
      </c>
      <c r="N7615" s="17" t="str">
        <f>IFERROR(__xludf.DUMMYFUNCTION("""COMPUTED_VALUE"""),"")</f>
        <v/>
      </c>
      <c r="O7615" s="17"/>
    </row>
    <row r="7616">
      <c r="B7616" s="17" t="s">
        <v>477</v>
      </c>
      <c r="K7616" s="18" t="s">
        <v>477</v>
      </c>
      <c r="N7616" s="17" t="str">
        <f>IFERROR(__xludf.DUMMYFUNCTION("""COMPUTED_VALUE"""),"")</f>
        <v/>
      </c>
      <c r="O7616" s="17"/>
    </row>
    <row r="7617">
      <c r="B7617" s="17" t="s">
        <v>477</v>
      </c>
      <c r="K7617" s="18" t="s">
        <v>477</v>
      </c>
      <c r="N7617" s="17" t="str">
        <f>IFERROR(__xludf.DUMMYFUNCTION("""COMPUTED_VALUE"""),"")</f>
        <v/>
      </c>
      <c r="O7617" s="17"/>
    </row>
    <row r="7618">
      <c r="B7618" s="17" t="s">
        <v>477</v>
      </c>
      <c r="K7618" s="18" t="s">
        <v>477</v>
      </c>
      <c r="N7618" s="17" t="str">
        <f>IFERROR(__xludf.DUMMYFUNCTION("""COMPUTED_VALUE"""),"")</f>
        <v/>
      </c>
      <c r="O7618" s="17"/>
    </row>
    <row r="7619">
      <c r="B7619" s="17" t="s">
        <v>477</v>
      </c>
      <c r="K7619" s="18" t="s">
        <v>477</v>
      </c>
      <c r="N7619" s="17" t="str">
        <f>IFERROR(__xludf.DUMMYFUNCTION("""COMPUTED_VALUE"""),"")</f>
        <v/>
      </c>
      <c r="O7619" s="17"/>
    </row>
    <row r="7620">
      <c r="B7620" s="17" t="s">
        <v>477</v>
      </c>
      <c r="K7620" s="18" t="s">
        <v>477</v>
      </c>
      <c r="N7620" s="17" t="str">
        <f>IFERROR(__xludf.DUMMYFUNCTION("""COMPUTED_VALUE"""),"")</f>
        <v/>
      </c>
      <c r="O7620" s="17"/>
    </row>
    <row r="7621">
      <c r="B7621" s="17" t="s">
        <v>477</v>
      </c>
      <c r="K7621" s="18" t="s">
        <v>477</v>
      </c>
      <c r="N7621" s="17" t="str">
        <f>IFERROR(__xludf.DUMMYFUNCTION("""COMPUTED_VALUE"""),"")</f>
        <v/>
      </c>
      <c r="O7621" s="17"/>
    </row>
    <row r="7622">
      <c r="B7622" s="17" t="s">
        <v>477</v>
      </c>
      <c r="K7622" s="18" t="s">
        <v>477</v>
      </c>
      <c r="N7622" s="17" t="str">
        <f>IFERROR(__xludf.DUMMYFUNCTION("""COMPUTED_VALUE"""),"")</f>
        <v/>
      </c>
      <c r="O7622" s="17"/>
    </row>
    <row r="7623">
      <c r="B7623" s="17" t="s">
        <v>477</v>
      </c>
      <c r="K7623" s="18" t="s">
        <v>477</v>
      </c>
      <c r="N7623" s="17" t="str">
        <f>IFERROR(__xludf.DUMMYFUNCTION("""COMPUTED_VALUE"""),"")</f>
        <v/>
      </c>
      <c r="O7623" s="17"/>
    </row>
    <row r="7624">
      <c r="B7624" s="17" t="s">
        <v>477</v>
      </c>
      <c r="K7624" s="18" t="s">
        <v>477</v>
      </c>
      <c r="N7624" s="17" t="str">
        <f>IFERROR(__xludf.DUMMYFUNCTION("""COMPUTED_VALUE"""),"")</f>
        <v/>
      </c>
      <c r="O7624" s="17"/>
    </row>
    <row r="7625">
      <c r="B7625" s="17" t="s">
        <v>477</v>
      </c>
      <c r="K7625" s="18" t="s">
        <v>477</v>
      </c>
      <c r="N7625" s="17" t="str">
        <f>IFERROR(__xludf.DUMMYFUNCTION("""COMPUTED_VALUE"""),"")</f>
        <v/>
      </c>
      <c r="O7625" s="17"/>
    </row>
    <row r="7626">
      <c r="B7626" s="17" t="s">
        <v>477</v>
      </c>
      <c r="K7626" s="18" t="s">
        <v>477</v>
      </c>
      <c r="N7626" s="17" t="str">
        <f>IFERROR(__xludf.DUMMYFUNCTION("""COMPUTED_VALUE"""),"")</f>
        <v/>
      </c>
      <c r="O7626" s="17"/>
    </row>
    <row r="7627">
      <c r="B7627" s="17" t="s">
        <v>477</v>
      </c>
      <c r="K7627" s="18" t="s">
        <v>477</v>
      </c>
      <c r="N7627" s="17" t="str">
        <f>IFERROR(__xludf.DUMMYFUNCTION("""COMPUTED_VALUE"""),"")</f>
        <v/>
      </c>
      <c r="O7627" s="17"/>
    </row>
    <row r="7628">
      <c r="B7628" s="17" t="s">
        <v>477</v>
      </c>
      <c r="K7628" s="18" t="s">
        <v>477</v>
      </c>
      <c r="N7628" s="17" t="str">
        <f>IFERROR(__xludf.DUMMYFUNCTION("""COMPUTED_VALUE"""),"")</f>
        <v/>
      </c>
      <c r="O7628" s="17"/>
    </row>
    <row r="7629">
      <c r="B7629" s="17" t="s">
        <v>477</v>
      </c>
      <c r="K7629" s="18" t="s">
        <v>477</v>
      </c>
      <c r="N7629" s="17" t="str">
        <f>IFERROR(__xludf.DUMMYFUNCTION("""COMPUTED_VALUE"""),"")</f>
        <v/>
      </c>
      <c r="O7629" s="17"/>
    </row>
    <row r="7630">
      <c r="B7630" s="17" t="s">
        <v>477</v>
      </c>
      <c r="K7630" s="18" t="s">
        <v>477</v>
      </c>
      <c r="N7630" s="17" t="str">
        <f>IFERROR(__xludf.DUMMYFUNCTION("""COMPUTED_VALUE"""),"")</f>
        <v/>
      </c>
      <c r="O7630" s="17"/>
    </row>
    <row r="7631">
      <c r="B7631" s="17" t="s">
        <v>477</v>
      </c>
      <c r="K7631" s="18" t="s">
        <v>477</v>
      </c>
      <c r="N7631" s="17" t="str">
        <f>IFERROR(__xludf.DUMMYFUNCTION("""COMPUTED_VALUE"""),"")</f>
        <v/>
      </c>
      <c r="O7631" s="17"/>
    </row>
    <row r="7632">
      <c r="B7632" s="17" t="s">
        <v>477</v>
      </c>
      <c r="K7632" s="18" t="s">
        <v>477</v>
      </c>
      <c r="N7632" s="17" t="str">
        <f>IFERROR(__xludf.DUMMYFUNCTION("""COMPUTED_VALUE"""),"")</f>
        <v/>
      </c>
      <c r="O7632" s="17"/>
    </row>
    <row r="7633">
      <c r="B7633" s="17" t="s">
        <v>477</v>
      </c>
      <c r="K7633" s="18" t="s">
        <v>477</v>
      </c>
      <c r="N7633" s="17" t="str">
        <f>IFERROR(__xludf.DUMMYFUNCTION("""COMPUTED_VALUE"""),"")</f>
        <v/>
      </c>
      <c r="O7633" s="17"/>
    </row>
    <row r="7634">
      <c r="B7634" s="17" t="s">
        <v>477</v>
      </c>
      <c r="K7634" s="18" t="s">
        <v>477</v>
      </c>
      <c r="N7634" s="17" t="str">
        <f>IFERROR(__xludf.DUMMYFUNCTION("""COMPUTED_VALUE"""),"")</f>
        <v/>
      </c>
      <c r="O7634" s="17"/>
    </row>
    <row r="7635">
      <c r="B7635" s="17" t="s">
        <v>477</v>
      </c>
      <c r="K7635" s="18" t="s">
        <v>477</v>
      </c>
      <c r="N7635" s="17" t="str">
        <f>IFERROR(__xludf.DUMMYFUNCTION("""COMPUTED_VALUE"""),"")</f>
        <v/>
      </c>
      <c r="O7635" s="17"/>
    </row>
    <row r="7636">
      <c r="B7636" s="17" t="s">
        <v>477</v>
      </c>
      <c r="K7636" s="18" t="s">
        <v>477</v>
      </c>
      <c r="N7636" s="17" t="str">
        <f>IFERROR(__xludf.DUMMYFUNCTION("""COMPUTED_VALUE"""),"")</f>
        <v/>
      </c>
      <c r="O7636" s="17"/>
    </row>
    <row r="7637">
      <c r="B7637" s="17" t="s">
        <v>477</v>
      </c>
      <c r="K7637" s="18" t="s">
        <v>477</v>
      </c>
      <c r="N7637" s="17" t="str">
        <f>IFERROR(__xludf.DUMMYFUNCTION("""COMPUTED_VALUE"""),"")</f>
        <v/>
      </c>
      <c r="O7637" s="17"/>
    </row>
    <row r="7638">
      <c r="B7638" s="17" t="s">
        <v>477</v>
      </c>
      <c r="K7638" s="18" t="s">
        <v>477</v>
      </c>
      <c r="N7638" s="17" t="str">
        <f>IFERROR(__xludf.DUMMYFUNCTION("""COMPUTED_VALUE"""),"")</f>
        <v/>
      </c>
      <c r="O7638" s="17"/>
    </row>
    <row r="7639">
      <c r="B7639" s="17" t="s">
        <v>477</v>
      </c>
      <c r="K7639" s="18" t="s">
        <v>477</v>
      </c>
      <c r="N7639" s="17" t="str">
        <f>IFERROR(__xludf.DUMMYFUNCTION("""COMPUTED_VALUE"""),"")</f>
        <v/>
      </c>
      <c r="O7639" s="17"/>
    </row>
    <row r="7640">
      <c r="B7640" s="17" t="s">
        <v>477</v>
      </c>
      <c r="K7640" s="18" t="s">
        <v>477</v>
      </c>
      <c r="N7640" s="17" t="str">
        <f>IFERROR(__xludf.DUMMYFUNCTION("""COMPUTED_VALUE"""),"")</f>
        <v/>
      </c>
      <c r="O7640" s="17"/>
    </row>
    <row r="7641">
      <c r="B7641" s="17" t="s">
        <v>477</v>
      </c>
      <c r="K7641" s="18" t="s">
        <v>477</v>
      </c>
      <c r="N7641" s="17" t="str">
        <f>IFERROR(__xludf.DUMMYFUNCTION("""COMPUTED_VALUE"""),"")</f>
        <v/>
      </c>
      <c r="O7641" s="17"/>
    </row>
    <row r="7642">
      <c r="B7642" s="17" t="s">
        <v>477</v>
      </c>
      <c r="K7642" s="18" t="s">
        <v>477</v>
      </c>
      <c r="N7642" s="17" t="str">
        <f>IFERROR(__xludf.DUMMYFUNCTION("""COMPUTED_VALUE"""),"")</f>
        <v/>
      </c>
      <c r="O7642" s="17"/>
    </row>
    <row r="7643">
      <c r="B7643" s="17" t="s">
        <v>477</v>
      </c>
      <c r="K7643" s="18" t="s">
        <v>477</v>
      </c>
      <c r="N7643" s="17" t="str">
        <f>IFERROR(__xludf.DUMMYFUNCTION("""COMPUTED_VALUE"""),"")</f>
        <v/>
      </c>
      <c r="O7643" s="17"/>
    </row>
    <row r="7644">
      <c r="B7644" s="17" t="s">
        <v>477</v>
      </c>
      <c r="K7644" s="18" t="s">
        <v>477</v>
      </c>
      <c r="N7644" s="17" t="str">
        <f>IFERROR(__xludf.DUMMYFUNCTION("""COMPUTED_VALUE"""),"")</f>
        <v/>
      </c>
      <c r="O7644" s="17"/>
    </row>
    <row r="7645">
      <c r="B7645" s="17" t="s">
        <v>477</v>
      </c>
      <c r="K7645" s="18" t="s">
        <v>477</v>
      </c>
      <c r="N7645" s="17" t="str">
        <f>IFERROR(__xludf.DUMMYFUNCTION("""COMPUTED_VALUE"""),"")</f>
        <v/>
      </c>
      <c r="O7645" s="17"/>
    </row>
    <row r="7646">
      <c r="B7646" s="17" t="s">
        <v>477</v>
      </c>
      <c r="K7646" s="18" t="s">
        <v>477</v>
      </c>
      <c r="N7646" s="17" t="str">
        <f>IFERROR(__xludf.DUMMYFUNCTION("""COMPUTED_VALUE"""),"")</f>
        <v/>
      </c>
      <c r="O7646" s="17"/>
    </row>
    <row r="7647">
      <c r="B7647" s="17" t="s">
        <v>477</v>
      </c>
      <c r="K7647" s="18" t="s">
        <v>477</v>
      </c>
      <c r="N7647" s="17" t="str">
        <f>IFERROR(__xludf.DUMMYFUNCTION("""COMPUTED_VALUE"""),"")</f>
        <v/>
      </c>
      <c r="O7647" s="17"/>
    </row>
    <row r="7648">
      <c r="B7648" s="17" t="s">
        <v>477</v>
      </c>
      <c r="K7648" s="18" t="s">
        <v>477</v>
      </c>
      <c r="N7648" s="17" t="str">
        <f>IFERROR(__xludf.DUMMYFUNCTION("""COMPUTED_VALUE"""),"")</f>
        <v/>
      </c>
      <c r="O7648" s="17"/>
    </row>
    <row r="7649">
      <c r="B7649" s="17" t="s">
        <v>477</v>
      </c>
      <c r="K7649" s="18" t="s">
        <v>477</v>
      </c>
      <c r="N7649" s="17" t="str">
        <f>IFERROR(__xludf.DUMMYFUNCTION("""COMPUTED_VALUE"""),"")</f>
        <v/>
      </c>
      <c r="O7649" s="17"/>
    </row>
    <row r="7650">
      <c r="B7650" s="17" t="s">
        <v>477</v>
      </c>
      <c r="K7650" s="18" t="s">
        <v>477</v>
      </c>
      <c r="N7650" s="17" t="str">
        <f>IFERROR(__xludf.DUMMYFUNCTION("""COMPUTED_VALUE"""),"")</f>
        <v/>
      </c>
      <c r="O7650" s="17"/>
    </row>
    <row r="7651">
      <c r="B7651" s="17" t="s">
        <v>477</v>
      </c>
      <c r="K7651" s="18" t="s">
        <v>477</v>
      </c>
      <c r="N7651" s="17" t="str">
        <f>IFERROR(__xludf.DUMMYFUNCTION("""COMPUTED_VALUE"""),"")</f>
        <v/>
      </c>
      <c r="O7651" s="17"/>
    </row>
    <row r="7652">
      <c r="B7652" s="17" t="s">
        <v>477</v>
      </c>
      <c r="K7652" s="18" t="s">
        <v>477</v>
      </c>
      <c r="N7652" s="17" t="str">
        <f>IFERROR(__xludf.DUMMYFUNCTION("""COMPUTED_VALUE"""),"")</f>
        <v/>
      </c>
      <c r="O7652" s="17"/>
    </row>
    <row r="7653">
      <c r="B7653" s="17" t="s">
        <v>477</v>
      </c>
      <c r="K7653" s="18" t="s">
        <v>477</v>
      </c>
      <c r="N7653" s="17" t="str">
        <f>IFERROR(__xludf.DUMMYFUNCTION("""COMPUTED_VALUE"""),"")</f>
        <v/>
      </c>
      <c r="O7653" s="17"/>
    </row>
    <row r="7654">
      <c r="B7654" s="17" t="s">
        <v>477</v>
      </c>
      <c r="K7654" s="18" t="s">
        <v>477</v>
      </c>
      <c r="N7654" s="17" t="str">
        <f>IFERROR(__xludf.DUMMYFUNCTION("""COMPUTED_VALUE"""),"")</f>
        <v/>
      </c>
      <c r="O7654" s="17"/>
    </row>
    <row r="7655">
      <c r="B7655" s="17" t="s">
        <v>477</v>
      </c>
      <c r="K7655" s="18" t="s">
        <v>477</v>
      </c>
      <c r="N7655" s="17" t="str">
        <f>IFERROR(__xludf.DUMMYFUNCTION("""COMPUTED_VALUE"""),"")</f>
        <v/>
      </c>
      <c r="O7655" s="17"/>
    </row>
    <row r="7656">
      <c r="B7656" s="17" t="s">
        <v>477</v>
      </c>
      <c r="K7656" s="18" t="s">
        <v>477</v>
      </c>
      <c r="N7656" s="17" t="str">
        <f>IFERROR(__xludf.DUMMYFUNCTION("""COMPUTED_VALUE"""),"")</f>
        <v/>
      </c>
      <c r="O7656" s="17"/>
    </row>
    <row r="7657">
      <c r="B7657" s="17" t="s">
        <v>477</v>
      </c>
      <c r="K7657" s="18" t="s">
        <v>477</v>
      </c>
      <c r="N7657" s="17" t="str">
        <f>IFERROR(__xludf.DUMMYFUNCTION("""COMPUTED_VALUE"""),"")</f>
        <v/>
      </c>
      <c r="O7657" s="17"/>
    </row>
    <row r="7658">
      <c r="B7658" s="17" t="s">
        <v>477</v>
      </c>
      <c r="K7658" s="18" t="s">
        <v>477</v>
      </c>
      <c r="N7658" s="17" t="str">
        <f>IFERROR(__xludf.DUMMYFUNCTION("""COMPUTED_VALUE"""),"")</f>
        <v/>
      </c>
      <c r="O7658" s="17"/>
    </row>
    <row r="7659">
      <c r="B7659" s="17" t="s">
        <v>477</v>
      </c>
      <c r="K7659" s="18" t="s">
        <v>477</v>
      </c>
      <c r="N7659" s="17" t="str">
        <f>IFERROR(__xludf.DUMMYFUNCTION("""COMPUTED_VALUE"""),"")</f>
        <v/>
      </c>
      <c r="O7659" s="17"/>
    </row>
    <row r="7660">
      <c r="B7660" s="17" t="s">
        <v>477</v>
      </c>
      <c r="K7660" s="18" t="s">
        <v>477</v>
      </c>
      <c r="N7660" s="17" t="str">
        <f>IFERROR(__xludf.DUMMYFUNCTION("""COMPUTED_VALUE"""),"")</f>
        <v/>
      </c>
      <c r="O7660" s="17"/>
    </row>
    <row r="7661">
      <c r="B7661" s="17" t="s">
        <v>477</v>
      </c>
      <c r="K7661" s="18" t="s">
        <v>477</v>
      </c>
      <c r="N7661" s="17" t="str">
        <f>IFERROR(__xludf.DUMMYFUNCTION("""COMPUTED_VALUE"""),"")</f>
        <v/>
      </c>
      <c r="O7661" s="17"/>
    </row>
    <row r="7662">
      <c r="B7662" s="17" t="s">
        <v>477</v>
      </c>
      <c r="K7662" s="18" t="s">
        <v>477</v>
      </c>
      <c r="N7662" s="17" t="str">
        <f>IFERROR(__xludf.DUMMYFUNCTION("""COMPUTED_VALUE"""),"")</f>
        <v/>
      </c>
      <c r="O7662" s="17"/>
    </row>
    <row r="7663">
      <c r="B7663" s="17" t="s">
        <v>477</v>
      </c>
      <c r="K7663" s="18" t="s">
        <v>477</v>
      </c>
      <c r="N7663" s="17" t="str">
        <f>IFERROR(__xludf.DUMMYFUNCTION("""COMPUTED_VALUE"""),"")</f>
        <v/>
      </c>
      <c r="O7663" s="17"/>
    </row>
    <row r="7664">
      <c r="B7664" s="17" t="s">
        <v>477</v>
      </c>
      <c r="K7664" s="18" t="s">
        <v>477</v>
      </c>
      <c r="N7664" s="17" t="str">
        <f>IFERROR(__xludf.DUMMYFUNCTION("""COMPUTED_VALUE"""),"")</f>
        <v/>
      </c>
      <c r="O7664" s="17"/>
    </row>
    <row r="7665">
      <c r="B7665" s="17" t="s">
        <v>477</v>
      </c>
      <c r="K7665" s="18" t="s">
        <v>477</v>
      </c>
      <c r="N7665" s="17" t="str">
        <f>IFERROR(__xludf.DUMMYFUNCTION("""COMPUTED_VALUE"""),"")</f>
        <v/>
      </c>
      <c r="O7665" s="17"/>
    </row>
    <row r="7666">
      <c r="B7666" s="17" t="s">
        <v>477</v>
      </c>
      <c r="K7666" s="18" t="s">
        <v>477</v>
      </c>
      <c r="N7666" s="17" t="str">
        <f>IFERROR(__xludf.DUMMYFUNCTION("""COMPUTED_VALUE"""),"")</f>
        <v/>
      </c>
      <c r="O7666" s="17"/>
    </row>
    <row r="7667">
      <c r="B7667" s="17" t="s">
        <v>477</v>
      </c>
      <c r="K7667" s="18" t="s">
        <v>477</v>
      </c>
      <c r="N7667" s="17" t="str">
        <f>IFERROR(__xludf.DUMMYFUNCTION("""COMPUTED_VALUE"""),"")</f>
        <v/>
      </c>
      <c r="O7667" s="17"/>
    </row>
    <row r="7668">
      <c r="B7668" s="17" t="s">
        <v>477</v>
      </c>
      <c r="K7668" s="18" t="s">
        <v>477</v>
      </c>
      <c r="N7668" s="17" t="str">
        <f>IFERROR(__xludf.DUMMYFUNCTION("""COMPUTED_VALUE"""),"")</f>
        <v/>
      </c>
      <c r="O7668" s="17"/>
    </row>
    <row r="7669">
      <c r="B7669" s="17" t="s">
        <v>477</v>
      </c>
      <c r="K7669" s="18" t="s">
        <v>477</v>
      </c>
      <c r="N7669" s="17" t="str">
        <f>IFERROR(__xludf.DUMMYFUNCTION("""COMPUTED_VALUE"""),"")</f>
        <v/>
      </c>
      <c r="O7669" s="17"/>
    </row>
    <row r="7670">
      <c r="B7670" s="17" t="s">
        <v>477</v>
      </c>
      <c r="K7670" s="18" t="s">
        <v>477</v>
      </c>
      <c r="N7670" s="17" t="str">
        <f>IFERROR(__xludf.DUMMYFUNCTION("""COMPUTED_VALUE"""),"")</f>
        <v/>
      </c>
      <c r="O7670" s="17"/>
    </row>
    <row r="7671">
      <c r="B7671" s="17" t="s">
        <v>477</v>
      </c>
      <c r="K7671" s="18" t="s">
        <v>477</v>
      </c>
      <c r="N7671" s="17" t="str">
        <f>IFERROR(__xludf.DUMMYFUNCTION("""COMPUTED_VALUE"""),"")</f>
        <v/>
      </c>
      <c r="O7671" s="17"/>
    </row>
    <row r="7672">
      <c r="B7672" s="17" t="s">
        <v>477</v>
      </c>
      <c r="K7672" s="18" t="s">
        <v>477</v>
      </c>
      <c r="N7672" s="17" t="str">
        <f>IFERROR(__xludf.DUMMYFUNCTION("""COMPUTED_VALUE"""),"")</f>
        <v/>
      </c>
      <c r="O7672" s="17"/>
    </row>
    <row r="7673">
      <c r="B7673" s="17" t="s">
        <v>477</v>
      </c>
      <c r="K7673" s="18" t="s">
        <v>477</v>
      </c>
      <c r="N7673" s="17" t="str">
        <f>IFERROR(__xludf.DUMMYFUNCTION("""COMPUTED_VALUE"""),"")</f>
        <v/>
      </c>
      <c r="O7673" s="17"/>
    </row>
    <row r="7674">
      <c r="B7674" s="17" t="s">
        <v>477</v>
      </c>
      <c r="K7674" s="18" t="s">
        <v>477</v>
      </c>
      <c r="N7674" s="17" t="str">
        <f>IFERROR(__xludf.DUMMYFUNCTION("""COMPUTED_VALUE"""),"")</f>
        <v/>
      </c>
      <c r="O7674" s="17"/>
    </row>
    <row r="7675">
      <c r="B7675" s="17" t="s">
        <v>477</v>
      </c>
      <c r="K7675" s="18" t="s">
        <v>477</v>
      </c>
      <c r="N7675" s="17" t="str">
        <f>IFERROR(__xludf.DUMMYFUNCTION("""COMPUTED_VALUE"""),"")</f>
        <v/>
      </c>
      <c r="O7675" s="17"/>
    </row>
    <row r="7676">
      <c r="B7676" s="17" t="s">
        <v>477</v>
      </c>
      <c r="K7676" s="18" t="s">
        <v>477</v>
      </c>
      <c r="N7676" s="17" t="str">
        <f>IFERROR(__xludf.DUMMYFUNCTION("""COMPUTED_VALUE"""),"")</f>
        <v/>
      </c>
      <c r="O7676" s="17"/>
    </row>
    <row r="7677">
      <c r="B7677" s="17" t="s">
        <v>477</v>
      </c>
      <c r="K7677" s="18" t="s">
        <v>477</v>
      </c>
      <c r="N7677" s="17" t="str">
        <f>IFERROR(__xludf.DUMMYFUNCTION("""COMPUTED_VALUE"""),"")</f>
        <v/>
      </c>
      <c r="O7677" s="17"/>
    </row>
    <row r="7678">
      <c r="B7678" s="17" t="s">
        <v>477</v>
      </c>
      <c r="K7678" s="18" t="s">
        <v>477</v>
      </c>
      <c r="N7678" s="17" t="str">
        <f>IFERROR(__xludf.DUMMYFUNCTION("""COMPUTED_VALUE"""),"")</f>
        <v/>
      </c>
      <c r="O7678" s="17"/>
    </row>
    <row r="7679">
      <c r="B7679" s="17" t="s">
        <v>477</v>
      </c>
      <c r="K7679" s="18" t="s">
        <v>477</v>
      </c>
      <c r="N7679" s="17" t="str">
        <f>IFERROR(__xludf.DUMMYFUNCTION("""COMPUTED_VALUE"""),"")</f>
        <v/>
      </c>
      <c r="O7679" s="17"/>
    </row>
    <row r="7680">
      <c r="B7680" s="17" t="s">
        <v>477</v>
      </c>
      <c r="K7680" s="18" t="s">
        <v>477</v>
      </c>
      <c r="N7680" s="17" t="str">
        <f>IFERROR(__xludf.DUMMYFUNCTION("""COMPUTED_VALUE"""),"")</f>
        <v/>
      </c>
      <c r="O7680" s="17"/>
    </row>
    <row r="7681">
      <c r="B7681" s="17" t="s">
        <v>477</v>
      </c>
      <c r="K7681" s="18" t="s">
        <v>477</v>
      </c>
      <c r="N7681" s="17" t="str">
        <f>IFERROR(__xludf.DUMMYFUNCTION("""COMPUTED_VALUE"""),"")</f>
        <v/>
      </c>
      <c r="O7681" s="17"/>
    </row>
    <row r="7682">
      <c r="B7682" s="17" t="s">
        <v>477</v>
      </c>
      <c r="K7682" s="18" t="s">
        <v>477</v>
      </c>
      <c r="N7682" s="17" t="str">
        <f>IFERROR(__xludf.DUMMYFUNCTION("""COMPUTED_VALUE"""),"")</f>
        <v/>
      </c>
      <c r="O7682" s="17"/>
    </row>
    <row r="7683">
      <c r="B7683" s="17" t="s">
        <v>477</v>
      </c>
      <c r="K7683" s="18" t="s">
        <v>477</v>
      </c>
      <c r="N7683" s="17" t="str">
        <f>IFERROR(__xludf.DUMMYFUNCTION("""COMPUTED_VALUE"""),"")</f>
        <v/>
      </c>
      <c r="O7683" s="17"/>
    </row>
    <row r="7684">
      <c r="B7684" s="17" t="s">
        <v>477</v>
      </c>
      <c r="K7684" s="18" t="s">
        <v>477</v>
      </c>
      <c r="N7684" s="17" t="str">
        <f>IFERROR(__xludf.DUMMYFUNCTION("""COMPUTED_VALUE"""),"")</f>
        <v/>
      </c>
      <c r="O7684" s="17"/>
    </row>
    <row r="7685">
      <c r="B7685" s="17" t="s">
        <v>477</v>
      </c>
      <c r="K7685" s="18" t="s">
        <v>477</v>
      </c>
      <c r="N7685" s="17" t="str">
        <f>IFERROR(__xludf.DUMMYFUNCTION("""COMPUTED_VALUE"""),"")</f>
        <v/>
      </c>
      <c r="O7685" s="17"/>
    </row>
    <row r="7686">
      <c r="B7686" s="17" t="s">
        <v>477</v>
      </c>
      <c r="K7686" s="18" t="s">
        <v>477</v>
      </c>
      <c r="N7686" s="17" t="str">
        <f>IFERROR(__xludf.DUMMYFUNCTION("""COMPUTED_VALUE"""),"")</f>
        <v/>
      </c>
      <c r="O7686" s="17"/>
    </row>
    <row r="7687">
      <c r="B7687" s="17" t="s">
        <v>477</v>
      </c>
      <c r="K7687" s="18" t="s">
        <v>477</v>
      </c>
      <c r="N7687" s="17" t="str">
        <f>IFERROR(__xludf.DUMMYFUNCTION("""COMPUTED_VALUE"""),"")</f>
        <v/>
      </c>
      <c r="O7687" s="17"/>
    </row>
    <row r="7688">
      <c r="B7688" s="17" t="s">
        <v>477</v>
      </c>
      <c r="K7688" s="18" t="s">
        <v>477</v>
      </c>
      <c r="N7688" s="17" t="str">
        <f>IFERROR(__xludf.DUMMYFUNCTION("""COMPUTED_VALUE"""),"")</f>
        <v/>
      </c>
      <c r="O7688" s="17"/>
    </row>
    <row r="7689">
      <c r="B7689" s="17" t="s">
        <v>477</v>
      </c>
      <c r="K7689" s="18" t="s">
        <v>477</v>
      </c>
      <c r="N7689" s="17" t="str">
        <f>IFERROR(__xludf.DUMMYFUNCTION("""COMPUTED_VALUE"""),"")</f>
        <v/>
      </c>
      <c r="O7689" s="17"/>
    </row>
    <row r="7690">
      <c r="B7690" s="17" t="s">
        <v>477</v>
      </c>
      <c r="K7690" s="18" t="s">
        <v>477</v>
      </c>
      <c r="N7690" s="17" t="str">
        <f>IFERROR(__xludf.DUMMYFUNCTION("""COMPUTED_VALUE"""),"")</f>
        <v/>
      </c>
      <c r="O7690" s="17"/>
    </row>
    <row r="7691">
      <c r="B7691" s="17" t="s">
        <v>477</v>
      </c>
      <c r="K7691" s="18" t="s">
        <v>477</v>
      </c>
      <c r="N7691" s="17" t="str">
        <f>IFERROR(__xludf.DUMMYFUNCTION("""COMPUTED_VALUE"""),"")</f>
        <v/>
      </c>
      <c r="O7691" s="17"/>
    </row>
    <row r="7692">
      <c r="B7692" s="17" t="s">
        <v>477</v>
      </c>
      <c r="K7692" s="18" t="s">
        <v>477</v>
      </c>
      <c r="N7692" s="17" t="str">
        <f>IFERROR(__xludf.DUMMYFUNCTION("""COMPUTED_VALUE"""),"")</f>
        <v/>
      </c>
      <c r="O7692" s="17"/>
    </row>
    <row r="7693">
      <c r="B7693" s="17" t="s">
        <v>477</v>
      </c>
      <c r="K7693" s="18" t="s">
        <v>477</v>
      </c>
      <c r="N7693" s="17" t="str">
        <f>IFERROR(__xludf.DUMMYFUNCTION("""COMPUTED_VALUE"""),"")</f>
        <v/>
      </c>
      <c r="O7693" s="17"/>
    </row>
    <row r="7694">
      <c r="B7694" s="17" t="s">
        <v>477</v>
      </c>
      <c r="K7694" s="18" t="s">
        <v>477</v>
      </c>
      <c r="N7694" s="17" t="str">
        <f>IFERROR(__xludf.DUMMYFUNCTION("""COMPUTED_VALUE"""),"")</f>
        <v/>
      </c>
      <c r="O7694" s="17"/>
    </row>
    <row r="7695">
      <c r="B7695" s="17" t="s">
        <v>477</v>
      </c>
      <c r="K7695" s="18" t="s">
        <v>477</v>
      </c>
      <c r="N7695" s="17" t="str">
        <f>IFERROR(__xludf.DUMMYFUNCTION("""COMPUTED_VALUE"""),"")</f>
        <v/>
      </c>
      <c r="O7695" s="17"/>
    </row>
    <row r="7696">
      <c r="B7696" s="17" t="s">
        <v>477</v>
      </c>
      <c r="K7696" s="18" t="s">
        <v>477</v>
      </c>
      <c r="N7696" s="17" t="str">
        <f>IFERROR(__xludf.DUMMYFUNCTION("""COMPUTED_VALUE"""),"")</f>
        <v/>
      </c>
      <c r="O7696" s="17"/>
    </row>
    <row r="7697">
      <c r="B7697" s="17" t="s">
        <v>477</v>
      </c>
      <c r="K7697" s="18" t="s">
        <v>477</v>
      </c>
      <c r="N7697" s="17" t="str">
        <f>IFERROR(__xludf.DUMMYFUNCTION("""COMPUTED_VALUE"""),"")</f>
        <v/>
      </c>
      <c r="O7697" s="17"/>
    </row>
    <row r="7698">
      <c r="B7698" s="17" t="s">
        <v>477</v>
      </c>
      <c r="K7698" s="18" t="s">
        <v>477</v>
      </c>
      <c r="N7698" s="17" t="str">
        <f>IFERROR(__xludf.DUMMYFUNCTION("""COMPUTED_VALUE"""),"")</f>
        <v/>
      </c>
      <c r="O7698" s="17"/>
    </row>
    <row r="7699">
      <c r="B7699" s="17" t="s">
        <v>477</v>
      </c>
      <c r="K7699" s="18" t="s">
        <v>477</v>
      </c>
      <c r="N7699" s="17" t="str">
        <f>IFERROR(__xludf.DUMMYFUNCTION("""COMPUTED_VALUE"""),"")</f>
        <v/>
      </c>
      <c r="O7699" s="17"/>
    </row>
    <row r="7700">
      <c r="B7700" s="17" t="s">
        <v>477</v>
      </c>
      <c r="K7700" s="18" t="s">
        <v>477</v>
      </c>
      <c r="N7700" s="17" t="str">
        <f>IFERROR(__xludf.DUMMYFUNCTION("""COMPUTED_VALUE"""),"")</f>
        <v/>
      </c>
      <c r="O7700" s="17"/>
    </row>
    <row r="7701">
      <c r="B7701" s="17" t="s">
        <v>477</v>
      </c>
      <c r="K7701" s="18" t="s">
        <v>477</v>
      </c>
      <c r="N7701" s="17" t="str">
        <f>IFERROR(__xludf.DUMMYFUNCTION("""COMPUTED_VALUE"""),"")</f>
        <v/>
      </c>
      <c r="O7701" s="17"/>
    </row>
    <row r="7702">
      <c r="B7702" s="17" t="s">
        <v>477</v>
      </c>
      <c r="K7702" s="18" t="s">
        <v>477</v>
      </c>
      <c r="N7702" s="17" t="str">
        <f>IFERROR(__xludf.DUMMYFUNCTION("""COMPUTED_VALUE"""),"")</f>
        <v/>
      </c>
      <c r="O7702" s="17"/>
    </row>
    <row r="7703">
      <c r="B7703" s="17" t="s">
        <v>477</v>
      </c>
      <c r="K7703" s="18" t="s">
        <v>477</v>
      </c>
      <c r="N7703" s="17" t="str">
        <f>IFERROR(__xludf.DUMMYFUNCTION("""COMPUTED_VALUE"""),"")</f>
        <v/>
      </c>
      <c r="O7703" s="17"/>
    </row>
    <row r="7704">
      <c r="B7704" s="17" t="s">
        <v>477</v>
      </c>
      <c r="K7704" s="18" t="s">
        <v>477</v>
      </c>
      <c r="N7704" s="17" t="str">
        <f>IFERROR(__xludf.DUMMYFUNCTION("""COMPUTED_VALUE"""),"")</f>
        <v/>
      </c>
      <c r="O7704" s="17"/>
    </row>
    <row r="7705">
      <c r="B7705" s="17" t="s">
        <v>477</v>
      </c>
      <c r="K7705" s="18" t="s">
        <v>477</v>
      </c>
      <c r="N7705" s="17" t="str">
        <f>IFERROR(__xludf.DUMMYFUNCTION("""COMPUTED_VALUE"""),"")</f>
        <v/>
      </c>
      <c r="O7705" s="17"/>
    </row>
    <row r="7706">
      <c r="B7706" s="17" t="s">
        <v>477</v>
      </c>
      <c r="K7706" s="18" t="s">
        <v>477</v>
      </c>
      <c r="N7706" s="17" t="str">
        <f>IFERROR(__xludf.DUMMYFUNCTION("""COMPUTED_VALUE"""),"")</f>
        <v/>
      </c>
      <c r="O7706" s="17"/>
    </row>
    <row r="7707">
      <c r="B7707" s="17" t="s">
        <v>477</v>
      </c>
      <c r="K7707" s="18" t="s">
        <v>477</v>
      </c>
      <c r="N7707" s="17" t="str">
        <f>IFERROR(__xludf.DUMMYFUNCTION("""COMPUTED_VALUE"""),"")</f>
        <v/>
      </c>
      <c r="O7707" s="17"/>
    </row>
    <row r="7708">
      <c r="B7708" s="17" t="s">
        <v>477</v>
      </c>
      <c r="K7708" s="18" t="s">
        <v>477</v>
      </c>
      <c r="N7708" s="17" t="str">
        <f>IFERROR(__xludf.DUMMYFUNCTION("""COMPUTED_VALUE"""),"")</f>
        <v/>
      </c>
      <c r="O7708" s="17"/>
    </row>
    <row r="7709">
      <c r="B7709" s="17" t="s">
        <v>477</v>
      </c>
      <c r="K7709" s="18" t="s">
        <v>477</v>
      </c>
      <c r="N7709" s="17" t="str">
        <f>IFERROR(__xludf.DUMMYFUNCTION("""COMPUTED_VALUE"""),"")</f>
        <v/>
      </c>
      <c r="O7709" s="17"/>
    </row>
    <row r="7710">
      <c r="B7710" s="17" t="s">
        <v>477</v>
      </c>
      <c r="K7710" s="18" t="s">
        <v>477</v>
      </c>
      <c r="N7710" s="17" t="str">
        <f>IFERROR(__xludf.DUMMYFUNCTION("""COMPUTED_VALUE"""),"")</f>
        <v/>
      </c>
      <c r="O7710" s="17"/>
    </row>
    <row r="7711">
      <c r="B7711" s="17" t="s">
        <v>477</v>
      </c>
      <c r="K7711" s="18" t="s">
        <v>477</v>
      </c>
      <c r="N7711" s="17" t="str">
        <f>IFERROR(__xludf.DUMMYFUNCTION("""COMPUTED_VALUE"""),"")</f>
        <v/>
      </c>
      <c r="O7711" s="17"/>
    </row>
    <row r="7712">
      <c r="B7712" s="17" t="s">
        <v>477</v>
      </c>
      <c r="K7712" s="18" t="s">
        <v>477</v>
      </c>
      <c r="N7712" s="17" t="str">
        <f>IFERROR(__xludf.DUMMYFUNCTION("""COMPUTED_VALUE"""),"")</f>
        <v/>
      </c>
      <c r="O7712" s="17"/>
    </row>
    <row r="7713">
      <c r="B7713" s="17" t="s">
        <v>477</v>
      </c>
      <c r="K7713" s="18" t="s">
        <v>477</v>
      </c>
      <c r="N7713" s="17" t="str">
        <f>IFERROR(__xludf.DUMMYFUNCTION("""COMPUTED_VALUE"""),"")</f>
        <v/>
      </c>
      <c r="O7713" s="17"/>
    </row>
    <row r="7714">
      <c r="B7714" s="17" t="s">
        <v>477</v>
      </c>
      <c r="K7714" s="18" t="s">
        <v>477</v>
      </c>
      <c r="N7714" s="17" t="str">
        <f>IFERROR(__xludf.DUMMYFUNCTION("""COMPUTED_VALUE"""),"")</f>
        <v/>
      </c>
      <c r="O7714" s="17"/>
    </row>
    <row r="7715">
      <c r="B7715" s="17" t="s">
        <v>477</v>
      </c>
      <c r="K7715" s="18" t="s">
        <v>477</v>
      </c>
      <c r="N7715" s="17" t="str">
        <f>IFERROR(__xludf.DUMMYFUNCTION("""COMPUTED_VALUE"""),"")</f>
        <v/>
      </c>
      <c r="O7715" s="17"/>
    </row>
    <row r="7716">
      <c r="B7716" s="17" t="s">
        <v>477</v>
      </c>
      <c r="K7716" s="18" t="s">
        <v>477</v>
      </c>
      <c r="N7716" s="17" t="str">
        <f>IFERROR(__xludf.DUMMYFUNCTION("""COMPUTED_VALUE"""),"")</f>
        <v/>
      </c>
      <c r="O7716" s="17"/>
    </row>
    <row r="7717">
      <c r="B7717" s="17" t="s">
        <v>477</v>
      </c>
      <c r="K7717" s="18" t="s">
        <v>477</v>
      </c>
      <c r="N7717" s="17" t="str">
        <f>IFERROR(__xludf.DUMMYFUNCTION("""COMPUTED_VALUE"""),"")</f>
        <v/>
      </c>
      <c r="O7717" s="17"/>
    </row>
    <row r="7718">
      <c r="B7718" s="17" t="s">
        <v>477</v>
      </c>
      <c r="K7718" s="18" t="s">
        <v>477</v>
      </c>
      <c r="N7718" s="17" t="str">
        <f>IFERROR(__xludf.DUMMYFUNCTION("""COMPUTED_VALUE"""),"")</f>
        <v/>
      </c>
      <c r="O7718" s="17"/>
    </row>
    <row r="7719">
      <c r="B7719" s="17" t="s">
        <v>477</v>
      </c>
      <c r="K7719" s="18" t="s">
        <v>477</v>
      </c>
      <c r="N7719" s="17" t="str">
        <f>IFERROR(__xludf.DUMMYFUNCTION("""COMPUTED_VALUE"""),"")</f>
        <v/>
      </c>
      <c r="O7719" s="17"/>
    </row>
    <row r="7720">
      <c r="B7720" s="17" t="s">
        <v>477</v>
      </c>
      <c r="K7720" s="18" t="s">
        <v>477</v>
      </c>
      <c r="N7720" s="17" t="str">
        <f>IFERROR(__xludf.DUMMYFUNCTION("""COMPUTED_VALUE"""),"")</f>
        <v/>
      </c>
      <c r="O7720" s="17"/>
    </row>
    <row r="7721">
      <c r="B7721" s="17" t="s">
        <v>477</v>
      </c>
      <c r="K7721" s="18" t="s">
        <v>477</v>
      </c>
      <c r="N7721" s="17" t="str">
        <f>IFERROR(__xludf.DUMMYFUNCTION("""COMPUTED_VALUE"""),"")</f>
        <v/>
      </c>
      <c r="O7721" s="17"/>
    </row>
    <row r="7722">
      <c r="B7722" s="17" t="s">
        <v>477</v>
      </c>
      <c r="K7722" s="18" t="s">
        <v>477</v>
      </c>
      <c r="N7722" s="17" t="str">
        <f>IFERROR(__xludf.DUMMYFUNCTION("""COMPUTED_VALUE"""),"")</f>
        <v/>
      </c>
      <c r="O7722" s="17"/>
    </row>
    <row r="7723">
      <c r="B7723" s="17" t="s">
        <v>477</v>
      </c>
      <c r="K7723" s="18" t="s">
        <v>477</v>
      </c>
      <c r="N7723" s="17" t="str">
        <f>IFERROR(__xludf.DUMMYFUNCTION("""COMPUTED_VALUE"""),"")</f>
        <v/>
      </c>
      <c r="O7723" s="17"/>
    </row>
    <row r="7724">
      <c r="B7724" s="17" t="s">
        <v>477</v>
      </c>
      <c r="K7724" s="18" t="s">
        <v>477</v>
      </c>
      <c r="N7724" s="17" t="str">
        <f>IFERROR(__xludf.DUMMYFUNCTION("""COMPUTED_VALUE"""),"")</f>
        <v/>
      </c>
      <c r="O7724" s="17"/>
    </row>
    <row r="7725">
      <c r="B7725" s="17" t="s">
        <v>477</v>
      </c>
      <c r="K7725" s="18" t="s">
        <v>477</v>
      </c>
      <c r="N7725" s="17" t="str">
        <f>IFERROR(__xludf.DUMMYFUNCTION("""COMPUTED_VALUE"""),"")</f>
        <v/>
      </c>
      <c r="O7725" s="17"/>
    </row>
    <row r="7726">
      <c r="B7726" s="17" t="s">
        <v>477</v>
      </c>
      <c r="K7726" s="18" t="s">
        <v>477</v>
      </c>
      <c r="N7726" s="17" t="str">
        <f>IFERROR(__xludf.DUMMYFUNCTION("""COMPUTED_VALUE"""),"")</f>
        <v/>
      </c>
      <c r="O7726" s="17"/>
    </row>
    <row r="7727">
      <c r="B7727" s="17" t="s">
        <v>477</v>
      </c>
      <c r="K7727" s="18" t="s">
        <v>477</v>
      </c>
      <c r="N7727" s="17" t="str">
        <f>IFERROR(__xludf.DUMMYFUNCTION("""COMPUTED_VALUE"""),"")</f>
        <v/>
      </c>
      <c r="O7727" s="17"/>
    </row>
    <row r="7728">
      <c r="B7728" s="17" t="s">
        <v>477</v>
      </c>
      <c r="K7728" s="18" t="s">
        <v>477</v>
      </c>
      <c r="N7728" s="17" t="str">
        <f>IFERROR(__xludf.DUMMYFUNCTION("""COMPUTED_VALUE"""),"")</f>
        <v/>
      </c>
      <c r="O7728" s="17"/>
    </row>
    <row r="7729">
      <c r="B7729" s="17" t="s">
        <v>477</v>
      </c>
      <c r="K7729" s="18" t="s">
        <v>477</v>
      </c>
      <c r="N7729" s="17" t="str">
        <f>IFERROR(__xludf.DUMMYFUNCTION("""COMPUTED_VALUE"""),"")</f>
        <v/>
      </c>
      <c r="O7729" s="17"/>
    </row>
    <row r="7730">
      <c r="B7730" s="17" t="s">
        <v>477</v>
      </c>
      <c r="K7730" s="18" t="s">
        <v>477</v>
      </c>
      <c r="N7730" s="17" t="str">
        <f>IFERROR(__xludf.DUMMYFUNCTION("""COMPUTED_VALUE"""),"")</f>
        <v/>
      </c>
      <c r="O7730" s="17"/>
    </row>
    <row r="7731">
      <c r="B7731" s="17" t="s">
        <v>477</v>
      </c>
      <c r="K7731" s="18" t="s">
        <v>477</v>
      </c>
      <c r="N7731" s="17" t="str">
        <f>IFERROR(__xludf.DUMMYFUNCTION("""COMPUTED_VALUE"""),"")</f>
        <v/>
      </c>
      <c r="O7731" s="17"/>
    </row>
    <row r="7732">
      <c r="B7732" s="17" t="s">
        <v>477</v>
      </c>
      <c r="K7732" s="18" t="s">
        <v>477</v>
      </c>
      <c r="N7732" s="17" t="str">
        <f>IFERROR(__xludf.DUMMYFUNCTION("""COMPUTED_VALUE"""),"")</f>
        <v/>
      </c>
      <c r="O7732" s="17"/>
    </row>
    <row r="7733">
      <c r="B7733" s="17" t="s">
        <v>477</v>
      </c>
      <c r="K7733" s="18" t="s">
        <v>477</v>
      </c>
      <c r="N7733" s="17" t="str">
        <f>IFERROR(__xludf.DUMMYFUNCTION("""COMPUTED_VALUE"""),"")</f>
        <v/>
      </c>
      <c r="O7733" s="17"/>
    </row>
    <row r="7734">
      <c r="B7734" s="17" t="s">
        <v>477</v>
      </c>
      <c r="K7734" s="18" t="s">
        <v>477</v>
      </c>
      <c r="N7734" s="17" t="str">
        <f>IFERROR(__xludf.DUMMYFUNCTION("""COMPUTED_VALUE"""),"")</f>
        <v/>
      </c>
      <c r="O7734" s="17"/>
    </row>
    <row r="7735">
      <c r="B7735" s="17" t="s">
        <v>477</v>
      </c>
      <c r="K7735" s="18" t="s">
        <v>477</v>
      </c>
      <c r="N7735" s="17" t="str">
        <f>IFERROR(__xludf.DUMMYFUNCTION("""COMPUTED_VALUE"""),"")</f>
        <v/>
      </c>
      <c r="O7735" s="17"/>
    </row>
    <row r="7736">
      <c r="B7736" s="17" t="s">
        <v>477</v>
      </c>
      <c r="K7736" s="18" t="s">
        <v>477</v>
      </c>
      <c r="N7736" s="17" t="str">
        <f>IFERROR(__xludf.DUMMYFUNCTION("""COMPUTED_VALUE"""),"")</f>
        <v/>
      </c>
      <c r="O7736" s="17"/>
    </row>
    <row r="7737">
      <c r="B7737" s="17" t="s">
        <v>477</v>
      </c>
      <c r="K7737" s="18" t="s">
        <v>477</v>
      </c>
      <c r="N7737" s="17" t="str">
        <f>IFERROR(__xludf.DUMMYFUNCTION("""COMPUTED_VALUE"""),"")</f>
        <v/>
      </c>
      <c r="O7737" s="17"/>
    </row>
    <row r="7738">
      <c r="B7738" s="17" t="s">
        <v>477</v>
      </c>
      <c r="K7738" s="18" t="s">
        <v>477</v>
      </c>
      <c r="N7738" s="17" t="str">
        <f>IFERROR(__xludf.DUMMYFUNCTION("""COMPUTED_VALUE"""),"")</f>
        <v/>
      </c>
      <c r="O7738" s="17"/>
    </row>
    <row r="7739">
      <c r="B7739" s="17" t="s">
        <v>477</v>
      </c>
      <c r="K7739" s="18" t="s">
        <v>477</v>
      </c>
      <c r="N7739" s="17" t="str">
        <f>IFERROR(__xludf.DUMMYFUNCTION("""COMPUTED_VALUE"""),"")</f>
        <v/>
      </c>
      <c r="O7739" s="17"/>
    </row>
    <row r="7740">
      <c r="B7740" s="17" t="s">
        <v>477</v>
      </c>
      <c r="K7740" s="18" t="s">
        <v>477</v>
      </c>
      <c r="N7740" s="17" t="str">
        <f>IFERROR(__xludf.DUMMYFUNCTION("""COMPUTED_VALUE"""),"")</f>
        <v/>
      </c>
      <c r="O7740" s="17"/>
    </row>
    <row r="7741">
      <c r="B7741" s="17" t="s">
        <v>477</v>
      </c>
      <c r="K7741" s="18" t="s">
        <v>477</v>
      </c>
      <c r="N7741" s="17" t="str">
        <f>IFERROR(__xludf.DUMMYFUNCTION("""COMPUTED_VALUE"""),"")</f>
        <v/>
      </c>
      <c r="O7741" s="17"/>
    </row>
    <row r="7742">
      <c r="B7742" s="17" t="s">
        <v>477</v>
      </c>
      <c r="K7742" s="18" t="s">
        <v>477</v>
      </c>
      <c r="N7742" s="17" t="str">
        <f>IFERROR(__xludf.DUMMYFUNCTION("""COMPUTED_VALUE"""),"")</f>
        <v/>
      </c>
      <c r="O7742" s="17"/>
    </row>
    <row r="7743">
      <c r="B7743" s="17" t="s">
        <v>477</v>
      </c>
      <c r="K7743" s="18" t="s">
        <v>477</v>
      </c>
      <c r="N7743" s="17" t="str">
        <f>IFERROR(__xludf.DUMMYFUNCTION("""COMPUTED_VALUE"""),"")</f>
        <v/>
      </c>
      <c r="O7743" s="17"/>
    </row>
    <row r="7744">
      <c r="B7744" s="17" t="s">
        <v>477</v>
      </c>
      <c r="K7744" s="18" t="s">
        <v>477</v>
      </c>
      <c r="N7744" s="17" t="str">
        <f>IFERROR(__xludf.DUMMYFUNCTION("""COMPUTED_VALUE"""),"")</f>
        <v/>
      </c>
      <c r="O7744" s="17"/>
    </row>
    <row r="7745">
      <c r="B7745" s="17" t="s">
        <v>477</v>
      </c>
      <c r="K7745" s="18" t="s">
        <v>477</v>
      </c>
      <c r="N7745" s="17" t="str">
        <f>IFERROR(__xludf.DUMMYFUNCTION("""COMPUTED_VALUE"""),"")</f>
        <v/>
      </c>
      <c r="O7745" s="17"/>
    </row>
    <row r="7746">
      <c r="B7746" s="17" t="s">
        <v>477</v>
      </c>
      <c r="K7746" s="18" t="s">
        <v>477</v>
      </c>
      <c r="N7746" s="17" t="str">
        <f>IFERROR(__xludf.DUMMYFUNCTION("""COMPUTED_VALUE"""),"")</f>
        <v/>
      </c>
      <c r="O7746" s="17"/>
    </row>
    <row r="7747">
      <c r="B7747" s="17" t="s">
        <v>477</v>
      </c>
      <c r="K7747" s="18" t="s">
        <v>477</v>
      </c>
      <c r="N7747" s="17" t="str">
        <f>IFERROR(__xludf.DUMMYFUNCTION("""COMPUTED_VALUE"""),"")</f>
        <v/>
      </c>
      <c r="O7747" s="17"/>
    </row>
    <row r="7748">
      <c r="B7748" s="17" t="s">
        <v>477</v>
      </c>
      <c r="K7748" s="18" t="s">
        <v>477</v>
      </c>
      <c r="N7748" s="17" t="str">
        <f>IFERROR(__xludf.DUMMYFUNCTION("""COMPUTED_VALUE"""),"")</f>
        <v/>
      </c>
      <c r="O7748" s="17"/>
    </row>
    <row r="7749">
      <c r="B7749" s="17" t="s">
        <v>477</v>
      </c>
      <c r="K7749" s="18" t="s">
        <v>477</v>
      </c>
      <c r="N7749" s="17" t="str">
        <f>IFERROR(__xludf.DUMMYFUNCTION("""COMPUTED_VALUE"""),"")</f>
        <v/>
      </c>
      <c r="O7749" s="17"/>
    </row>
    <row r="7750">
      <c r="B7750" s="17" t="s">
        <v>477</v>
      </c>
      <c r="K7750" s="18" t="s">
        <v>477</v>
      </c>
      <c r="N7750" s="17" t="str">
        <f>IFERROR(__xludf.DUMMYFUNCTION("""COMPUTED_VALUE"""),"")</f>
        <v/>
      </c>
      <c r="O7750" s="17"/>
    </row>
    <row r="7751">
      <c r="B7751" s="17" t="s">
        <v>477</v>
      </c>
      <c r="K7751" s="18" t="s">
        <v>477</v>
      </c>
      <c r="N7751" s="17" t="str">
        <f>IFERROR(__xludf.DUMMYFUNCTION("""COMPUTED_VALUE"""),"")</f>
        <v/>
      </c>
      <c r="O7751" s="17"/>
    </row>
    <row r="7752">
      <c r="B7752" s="17" t="s">
        <v>477</v>
      </c>
      <c r="K7752" s="18" t="s">
        <v>477</v>
      </c>
      <c r="N7752" s="17" t="str">
        <f>IFERROR(__xludf.DUMMYFUNCTION("""COMPUTED_VALUE"""),"")</f>
        <v/>
      </c>
      <c r="O7752" s="17"/>
    </row>
    <row r="7753">
      <c r="B7753" s="17" t="s">
        <v>477</v>
      </c>
      <c r="K7753" s="18" t="s">
        <v>477</v>
      </c>
      <c r="N7753" s="17" t="str">
        <f>IFERROR(__xludf.DUMMYFUNCTION("""COMPUTED_VALUE"""),"")</f>
        <v/>
      </c>
      <c r="O7753" s="17"/>
    </row>
    <row r="7754">
      <c r="B7754" s="17" t="s">
        <v>477</v>
      </c>
      <c r="K7754" s="18" t="s">
        <v>477</v>
      </c>
      <c r="N7754" s="17" t="str">
        <f>IFERROR(__xludf.DUMMYFUNCTION("""COMPUTED_VALUE"""),"")</f>
        <v/>
      </c>
      <c r="O7754" s="17"/>
    </row>
    <row r="7755">
      <c r="B7755" s="17" t="s">
        <v>477</v>
      </c>
      <c r="K7755" s="18" t="s">
        <v>477</v>
      </c>
      <c r="N7755" s="17" t="str">
        <f>IFERROR(__xludf.DUMMYFUNCTION("""COMPUTED_VALUE"""),"")</f>
        <v/>
      </c>
      <c r="O7755" s="17"/>
    </row>
    <row r="7756">
      <c r="B7756" s="17" t="s">
        <v>477</v>
      </c>
      <c r="K7756" s="18" t="s">
        <v>477</v>
      </c>
      <c r="N7756" s="17" t="str">
        <f>IFERROR(__xludf.DUMMYFUNCTION("""COMPUTED_VALUE"""),"")</f>
        <v/>
      </c>
      <c r="O7756" s="17"/>
    </row>
    <row r="7757">
      <c r="B7757" s="17" t="s">
        <v>477</v>
      </c>
      <c r="K7757" s="18" t="s">
        <v>477</v>
      </c>
      <c r="N7757" s="17" t="str">
        <f>IFERROR(__xludf.DUMMYFUNCTION("""COMPUTED_VALUE"""),"")</f>
        <v/>
      </c>
      <c r="O7757" s="17"/>
    </row>
    <row r="7758">
      <c r="B7758" s="17" t="s">
        <v>477</v>
      </c>
      <c r="K7758" s="18" t="s">
        <v>477</v>
      </c>
      <c r="N7758" s="17" t="str">
        <f>IFERROR(__xludf.DUMMYFUNCTION("""COMPUTED_VALUE"""),"")</f>
        <v/>
      </c>
      <c r="O7758" s="17"/>
    </row>
    <row r="7759">
      <c r="B7759" s="17" t="s">
        <v>477</v>
      </c>
      <c r="K7759" s="18" t="s">
        <v>477</v>
      </c>
      <c r="N7759" s="17" t="str">
        <f>IFERROR(__xludf.DUMMYFUNCTION("""COMPUTED_VALUE"""),"")</f>
        <v/>
      </c>
      <c r="O7759" s="17"/>
    </row>
    <row r="7760">
      <c r="B7760" s="17" t="s">
        <v>477</v>
      </c>
      <c r="K7760" s="18" t="s">
        <v>477</v>
      </c>
      <c r="N7760" s="17" t="str">
        <f>IFERROR(__xludf.DUMMYFUNCTION("""COMPUTED_VALUE"""),"")</f>
        <v/>
      </c>
      <c r="O7760" s="17"/>
    </row>
    <row r="7761">
      <c r="B7761" s="17" t="s">
        <v>477</v>
      </c>
      <c r="K7761" s="18" t="s">
        <v>477</v>
      </c>
      <c r="N7761" s="17" t="str">
        <f>IFERROR(__xludf.DUMMYFUNCTION("""COMPUTED_VALUE"""),"")</f>
        <v/>
      </c>
      <c r="O7761" s="17"/>
    </row>
    <row r="7762">
      <c r="B7762" s="17" t="s">
        <v>477</v>
      </c>
      <c r="K7762" s="18" t="s">
        <v>477</v>
      </c>
      <c r="N7762" s="17" t="str">
        <f>IFERROR(__xludf.DUMMYFUNCTION("""COMPUTED_VALUE"""),"")</f>
        <v/>
      </c>
      <c r="O7762" s="17"/>
    </row>
    <row r="7763">
      <c r="B7763" s="17" t="s">
        <v>477</v>
      </c>
      <c r="K7763" s="18" t="s">
        <v>477</v>
      </c>
      <c r="N7763" s="17" t="str">
        <f>IFERROR(__xludf.DUMMYFUNCTION("""COMPUTED_VALUE"""),"")</f>
        <v/>
      </c>
      <c r="O7763" s="17"/>
    </row>
    <row r="7764">
      <c r="B7764" s="17" t="s">
        <v>477</v>
      </c>
      <c r="K7764" s="18" t="s">
        <v>477</v>
      </c>
      <c r="N7764" s="17" t="str">
        <f>IFERROR(__xludf.DUMMYFUNCTION("""COMPUTED_VALUE"""),"")</f>
        <v/>
      </c>
      <c r="O7764" s="17"/>
    </row>
    <row r="7765">
      <c r="B7765" s="17" t="s">
        <v>477</v>
      </c>
      <c r="K7765" s="18" t="s">
        <v>477</v>
      </c>
      <c r="N7765" s="17" t="str">
        <f>IFERROR(__xludf.DUMMYFUNCTION("""COMPUTED_VALUE"""),"")</f>
        <v/>
      </c>
      <c r="O7765" s="17"/>
    </row>
    <row r="7766">
      <c r="B7766" s="17" t="s">
        <v>477</v>
      </c>
      <c r="K7766" s="18" t="s">
        <v>477</v>
      </c>
      <c r="N7766" s="17" t="str">
        <f>IFERROR(__xludf.DUMMYFUNCTION("""COMPUTED_VALUE"""),"")</f>
        <v/>
      </c>
      <c r="O7766" s="17"/>
    </row>
    <row r="7767">
      <c r="B7767" s="17" t="s">
        <v>477</v>
      </c>
      <c r="K7767" s="18" t="s">
        <v>477</v>
      </c>
      <c r="N7767" s="17" t="str">
        <f>IFERROR(__xludf.DUMMYFUNCTION("""COMPUTED_VALUE"""),"")</f>
        <v/>
      </c>
      <c r="O7767" s="17"/>
    </row>
    <row r="7768">
      <c r="B7768" s="17" t="s">
        <v>477</v>
      </c>
      <c r="K7768" s="18" t="s">
        <v>477</v>
      </c>
      <c r="N7768" s="17" t="str">
        <f>IFERROR(__xludf.DUMMYFUNCTION("""COMPUTED_VALUE"""),"")</f>
        <v/>
      </c>
      <c r="O7768" s="17"/>
    </row>
    <row r="7769">
      <c r="B7769" s="17" t="s">
        <v>477</v>
      </c>
      <c r="K7769" s="18" t="s">
        <v>477</v>
      </c>
      <c r="N7769" s="17" t="str">
        <f>IFERROR(__xludf.DUMMYFUNCTION("""COMPUTED_VALUE"""),"")</f>
        <v/>
      </c>
      <c r="O7769" s="17"/>
    </row>
    <row r="7770">
      <c r="B7770" s="17" t="s">
        <v>477</v>
      </c>
      <c r="K7770" s="18" t="s">
        <v>477</v>
      </c>
      <c r="N7770" s="17" t="str">
        <f>IFERROR(__xludf.DUMMYFUNCTION("""COMPUTED_VALUE"""),"")</f>
        <v/>
      </c>
      <c r="O7770" s="17"/>
    </row>
    <row r="7771">
      <c r="B7771" s="17" t="s">
        <v>477</v>
      </c>
      <c r="K7771" s="18" t="s">
        <v>477</v>
      </c>
      <c r="N7771" s="17" t="str">
        <f>IFERROR(__xludf.DUMMYFUNCTION("""COMPUTED_VALUE"""),"")</f>
        <v/>
      </c>
      <c r="O7771" s="17"/>
    </row>
    <row r="7772">
      <c r="B7772" s="17" t="s">
        <v>477</v>
      </c>
      <c r="K7772" s="18" t="s">
        <v>477</v>
      </c>
      <c r="N7772" s="17" t="str">
        <f>IFERROR(__xludf.DUMMYFUNCTION("""COMPUTED_VALUE"""),"")</f>
        <v/>
      </c>
      <c r="O7772" s="17"/>
    </row>
    <row r="7773">
      <c r="B7773" s="17" t="s">
        <v>477</v>
      </c>
      <c r="K7773" s="18" t="s">
        <v>477</v>
      </c>
      <c r="N7773" s="17" t="str">
        <f>IFERROR(__xludf.DUMMYFUNCTION("""COMPUTED_VALUE"""),"")</f>
        <v/>
      </c>
      <c r="O7773" s="17"/>
    </row>
    <row r="7774">
      <c r="B7774" s="17" t="s">
        <v>477</v>
      </c>
      <c r="K7774" s="18" t="s">
        <v>477</v>
      </c>
      <c r="N7774" s="17" t="str">
        <f>IFERROR(__xludf.DUMMYFUNCTION("""COMPUTED_VALUE"""),"")</f>
        <v/>
      </c>
      <c r="O7774" s="17"/>
    </row>
    <row r="7775">
      <c r="B7775" s="17" t="s">
        <v>477</v>
      </c>
      <c r="K7775" s="18" t="s">
        <v>477</v>
      </c>
      <c r="N7775" s="17" t="str">
        <f>IFERROR(__xludf.DUMMYFUNCTION("""COMPUTED_VALUE"""),"")</f>
        <v/>
      </c>
      <c r="O7775" s="17"/>
    </row>
    <row r="7776">
      <c r="B7776" s="17" t="s">
        <v>477</v>
      </c>
      <c r="K7776" s="18" t="s">
        <v>477</v>
      </c>
      <c r="N7776" s="17" t="str">
        <f>IFERROR(__xludf.DUMMYFUNCTION("""COMPUTED_VALUE"""),"")</f>
        <v/>
      </c>
      <c r="O7776" s="17"/>
    </row>
    <row r="7777">
      <c r="B7777" s="17" t="s">
        <v>477</v>
      </c>
      <c r="K7777" s="18" t="s">
        <v>477</v>
      </c>
      <c r="N7777" s="17" t="str">
        <f>IFERROR(__xludf.DUMMYFUNCTION("""COMPUTED_VALUE"""),"")</f>
        <v/>
      </c>
      <c r="O7777" s="17"/>
    </row>
    <row r="7778">
      <c r="B7778" s="17" t="s">
        <v>477</v>
      </c>
      <c r="K7778" s="18" t="s">
        <v>477</v>
      </c>
      <c r="N7778" s="17" t="str">
        <f>IFERROR(__xludf.DUMMYFUNCTION("""COMPUTED_VALUE"""),"")</f>
        <v/>
      </c>
      <c r="O7778" s="17"/>
    </row>
    <row r="7779">
      <c r="B7779" s="17" t="s">
        <v>477</v>
      </c>
      <c r="K7779" s="18" t="s">
        <v>477</v>
      </c>
      <c r="N7779" s="17" t="str">
        <f>IFERROR(__xludf.DUMMYFUNCTION("""COMPUTED_VALUE"""),"")</f>
        <v/>
      </c>
      <c r="O7779" s="17"/>
    </row>
    <row r="7780">
      <c r="B7780" s="17" t="s">
        <v>477</v>
      </c>
      <c r="K7780" s="18" t="s">
        <v>477</v>
      </c>
      <c r="N7780" s="17" t="str">
        <f>IFERROR(__xludf.DUMMYFUNCTION("""COMPUTED_VALUE"""),"")</f>
        <v/>
      </c>
      <c r="O7780" s="17"/>
    </row>
    <row r="7781">
      <c r="B7781" s="17" t="s">
        <v>477</v>
      </c>
      <c r="K7781" s="18" t="s">
        <v>477</v>
      </c>
      <c r="N7781" s="17" t="str">
        <f>IFERROR(__xludf.DUMMYFUNCTION("""COMPUTED_VALUE"""),"")</f>
        <v/>
      </c>
      <c r="O7781" s="17"/>
    </row>
    <row r="7782">
      <c r="B7782" s="17" t="s">
        <v>477</v>
      </c>
      <c r="K7782" s="18" t="s">
        <v>477</v>
      </c>
      <c r="N7782" s="17" t="str">
        <f>IFERROR(__xludf.DUMMYFUNCTION("""COMPUTED_VALUE"""),"")</f>
        <v/>
      </c>
      <c r="O7782" s="17"/>
    </row>
    <row r="7783">
      <c r="B7783" s="17" t="s">
        <v>477</v>
      </c>
      <c r="K7783" s="18" t="s">
        <v>477</v>
      </c>
      <c r="N7783" s="17" t="str">
        <f>IFERROR(__xludf.DUMMYFUNCTION("""COMPUTED_VALUE"""),"")</f>
        <v/>
      </c>
      <c r="O7783" s="17"/>
    </row>
    <row r="7784">
      <c r="B7784" s="17" t="s">
        <v>477</v>
      </c>
      <c r="K7784" s="18" t="s">
        <v>477</v>
      </c>
      <c r="N7784" s="17" t="str">
        <f>IFERROR(__xludf.DUMMYFUNCTION("""COMPUTED_VALUE"""),"")</f>
        <v/>
      </c>
      <c r="O7784" s="17"/>
    </row>
    <row r="7785">
      <c r="B7785" s="17" t="s">
        <v>477</v>
      </c>
      <c r="K7785" s="18" t="s">
        <v>477</v>
      </c>
      <c r="N7785" s="17" t="str">
        <f>IFERROR(__xludf.DUMMYFUNCTION("""COMPUTED_VALUE"""),"")</f>
        <v/>
      </c>
      <c r="O7785" s="17"/>
    </row>
    <row r="7786">
      <c r="B7786" s="17" t="s">
        <v>477</v>
      </c>
      <c r="K7786" s="18" t="s">
        <v>477</v>
      </c>
      <c r="N7786" s="17" t="str">
        <f>IFERROR(__xludf.DUMMYFUNCTION("""COMPUTED_VALUE"""),"")</f>
        <v/>
      </c>
      <c r="O7786" s="17"/>
    </row>
    <row r="7787">
      <c r="B7787" s="17" t="s">
        <v>477</v>
      </c>
      <c r="K7787" s="18" t="s">
        <v>477</v>
      </c>
      <c r="N7787" s="17" t="str">
        <f>IFERROR(__xludf.DUMMYFUNCTION("""COMPUTED_VALUE"""),"")</f>
        <v/>
      </c>
      <c r="O7787" s="17"/>
    </row>
    <row r="7788">
      <c r="B7788" s="17" t="s">
        <v>477</v>
      </c>
      <c r="K7788" s="18" t="s">
        <v>477</v>
      </c>
      <c r="N7788" s="17" t="str">
        <f>IFERROR(__xludf.DUMMYFUNCTION("""COMPUTED_VALUE"""),"")</f>
        <v/>
      </c>
      <c r="O7788" s="17"/>
    </row>
    <row r="7789">
      <c r="B7789" s="17" t="s">
        <v>477</v>
      </c>
      <c r="K7789" s="18" t="s">
        <v>477</v>
      </c>
      <c r="N7789" s="17" t="str">
        <f>IFERROR(__xludf.DUMMYFUNCTION("""COMPUTED_VALUE"""),"")</f>
        <v/>
      </c>
      <c r="O7789" s="17"/>
    </row>
    <row r="7790">
      <c r="B7790" s="17" t="s">
        <v>477</v>
      </c>
      <c r="K7790" s="18" t="s">
        <v>477</v>
      </c>
      <c r="N7790" s="17" t="str">
        <f>IFERROR(__xludf.DUMMYFUNCTION("""COMPUTED_VALUE"""),"")</f>
        <v/>
      </c>
      <c r="O7790" s="17"/>
    </row>
    <row r="7791">
      <c r="B7791" s="17" t="s">
        <v>477</v>
      </c>
      <c r="K7791" s="18" t="s">
        <v>477</v>
      </c>
      <c r="N7791" s="17" t="str">
        <f>IFERROR(__xludf.DUMMYFUNCTION("""COMPUTED_VALUE"""),"")</f>
        <v/>
      </c>
      <c r="O7791" s="17"/>
    </row>
    <row r="7792">
      <c r="B7792" s="17" t="s">
        <v>477</v>
      </c>
      <c r="K7792" s="18" t="s">
        <v>477</v>
      </c>
      <c r="N7792" s="17" t="str">
        <f>IFERROR(__xludf.DUMMYFUNCTION("""COMPUTED_VALUE"""),"")</f>
        <v/>
      </c>
      <c r="O7792" s="17"/>
    </row>
    <row r="7793">
      <c r="B7793" s="17" t="s">
        <v>477</v>
      </c>
      <c r="K7793" s="18" t="s">
        <v>477</v>
      </c>
      <c r="N7793" s="17" t="str">
        <f>IFERROR(__xludf.DUMMYFUNCTION("""COMPUTED_VALUE"""),"")</f>
        <v/>
      </c>
      <c r="O7793" s="17"/>
    </row>
    <row r="7794">
      <c r="B7794" s="17" t="s">
        <v>477</v>
      </c>
      <c r="K7794" s="18" t="s">
        <v>477</v>
      </c>
      <c r="N7794" s="17" t="str">
        <f>IFERROR(__xludf.DUMMYFUNCTION("""COMPUTED_VALUE"""),"")</f>
        <v/>
      </c>
      <c r="O7794" s="17"/>
    </row>
    <row r="7795">
      <c r="B7795" s="17" t="s">
        <v>477</v>
      </c>
      <c r="K7795" s="18" t="s">
        <v>477</v>
      </c>
      <c r="N7795" s="17" t="str">
        <f>IFERROR(__xludf.DUMMYFUNCTION("""COMPUTED_VALUE"""),"")</f>
        <v/>
      </c>
      <c r="O7795" s="17"/>
    </row>
    <row r="7796">
      <c r="B7796" s="17" t="s">
        <v>477</v>
      </c>
      <c r="K7796" s="18" t="s">
        <v>477</v>
      </c>
      <c r="N7796" s="17" t="str">
        <f>IFERROR(__xludf.DUMMYFUNCTION("""COMPUTED_VALUE"""),"")</f>
        <v/>
      </c>
      <c r="O7796" s="17"/>
    </row>
    <row r="7797">
      <c r="B7797" s="17" t="s">
        <v>477</v>
      </c>
      <c r="K7797" s="18" t="s">
        <v>477</v>
      </c>
      <c r="N7797" s="17" t="str">
        <f>IFERROR(__xludf.DUMMYFUNCTION("""COMPUTED_VALUE"""),"")</f>
        <v/>
      </c>
      <c r="O7797" s="17"/>
    </row>
    <row r="7798">
      <c r="B7798" s="17" t="s">
        <v>477</v>
      </c>
      <c r="K7798" s="18" t="s">
        <v>477</v>
      </c>
      <c r="N7798" s="17" t="str">
        <f>IFERROR(__xludf.DUMMYFUNCTION("""COMPUTED_VALUE"""),"")</f>
        <v/>
      </c>
      <c r="O7798" s="17"/>
    </row>
    <row r="7799">
      <c r="B7799" s="17" t="s">
        <v>477</v>
      </c>
      <c r="K7799" s="18" t="s">
        <v>477</v>
      </c>
      <c r="N7799" s="17" t="str">
        <f>IFERROR(__xludf.DUMMYFUNCTION("""COMPUTED_VALUE"""),"")</f>
        <v/>
      </c>
      <c r="O7799" s="17"/>
    </row>
    <row r="7800">
      <c r="B7800" s="17" t="s">
        <v>477</v>
      </c>
      <c r="K7800" s="18" t="s">
        <v>477</v>
      </c>
      <c r="N7800" s="17" t="str">
        <f>IFERROR(__xludf.DUMMYFUNCTION("""COMPUTED_VALUE"""),"")</f>
        <v/>
      </c>
      <c r="O7800" s="17"/>
    </row>
    <row r="7801">
      <c r="B7801" s="17" t="s">
        <v>477</v>
      </c>
      <c r="K7801" s="18" t="s">
        <v>477</v>
      </c>
      <c r="N7801" s="17" t="str">
        <f>IFERROR(__xludf.DUMMYFUNCTION("""COMPUTED_VALUE"""),"")</f>
        <v/>
      </c>
      <c r="O7801" s="17"/>
    </row>
    <row r="7802">
      <c r="B7802" s="17" t="s">
        <v>477</v>
      </c>
      <c r="K7802" s="18" t="s">
        <v>477</v>
      </c>
      <c r="N7802" s="17" t="str">
        <f>IFERROR(__xludf.DUMMYFUNCTION("""COMPUTED_VALUE"""),"")</f>
        <v/>
      </c>
      <c r="O7802" s="17"/>
    </row>
    <row r="7803">
      <c r="B7803" s="17" t="s">
        <v>477</v>
      </c>
      <c r="K7803" s="18" t="s">
        <v>477</v>
      </c>
      <c r="N7803" s="17" t="str">
        <f>IFERROR(__xludf.DUMMYFUNCTION("""COMPUTED_VALUE"""),"")</f>
        <v/>
      </c>
      <c r="O7803" s="17"/>
    </row>
    <row r="7804">
      <c r="B7804" s="17" t="s">
        <v>477</v>
      </c>
      <c r="K7804" s="18" t="s">
        <v>477</v>
      </c>
      <c r="N7804" s="17" t="str">
        <f>IFERROR(__xludf.DUMMYFUNCTION("""COMPUTED_VALUE"""),"")</f>
        <v/>
      </c>
      <c r="O7804" s="17"/>
    </row>
    <row r="7805">
      <c r="B7805" s="17" t="s">
        <v>477</v>
      </c>
      <c r="K7805" s="18" t="s">
        <v>477</v>
      </c>
      <c r="N7805" s="17" t="str">
        <f>IFERROR(__xludf.DUMMYFUNCTION("""COMPUTED_VALUE"""),"")</f>
        <v/>
      </c>
      <c r="O7805" s="17"/>
    </row>
    <row r="7806">
      <c r="B7806" s="17" t="s">
        <v>477</v>
      </c>
      <c r="K7806" s="18" t="s">
        <v>477</v>
      </c>
      <c r="N7806" s="17" t="str">
        <f>IFERROR(__xludf.DUMMYFUNCTION("""COMPUTED_VALUE"""),"")</f>
        <v/>
      </c>
      <c r="O7806" s="17"/>
    </row>
    <row r="7807">
      <c r="B7807" s="17" t="s">
        <v>477</v>
      </c>
      <c r="K7807" s="18" t="s">
        <v>477</v>
      </c>
      <c r="N7807" s="17" t="str">
        <f>IFERROR(__xludf.DUMMYFUNCTION("""COMPUTED_VALUE"""),"")</f>
        <v/>
      </c>
      <c r="O7807" s="17"/>
    </row>
    <row r="7808">
      <c r="B7808" s="17" t="s">
        <v>477</v>
      </c>
      <c r="K7808" s="18" t="s">
        <v>477</v>
      </c>
      <c r="N7808" s="17" t="str">
        <f>IFERROR(__xludf.DUMMYFUNCTION("""COMPUTED_VALUE"""),"")</f>
        <v/>
      </c>
      <c r="O7808" s="17"/>
    </row>
    <row r="7809">
      <c r="B7809" s="17" t="s">
        <v>477</v>
      </c>
      <c r="K7809" s="18" t="s">
        <v>477</v>
      </c>
      <c r="N7809" s="17" t="str">
        <f>IFERROR(__xludf.DUMMYFUNCTION("""COMPUTED_VALUE"""),"")</f>
        <v/>
      </c>
      <c r="O7809" s="17"/>
    </row>
    <row r="7810">
      <c r="B7810" s="17" t="s">
        <v>477</v>
      </c>
      <c r="K7810" s="18" t="s">
        <v>477</v>
      </c>
      <c r="N7810" s="17" t="str">
        <f>IFERROR(__xludf.DUMMYFUNCTION("""COMPUTED_VALUE"""),"")</f>
        <v/>
      </c>
      <c r="O7810" s="17"/>
    </row>
    <row r="7811">
      <c r="B7811" s="17" t="s">
        <v>477</v>
      </c>
      <c r="K7811" s="18" t="s">
        <v>477</v>
      </c>
      <c r="N7811" s="17" t="str">
        <f>IFERROR(__xludf.DUMMYFUNCTION("""COMPUTED_VALUE"""),"")</f>
        <v/>
      </c>
      <c r="O7811" s="17"/>
    </row>
    <row r="7812">
      <c r="B7812" s="17" t="s">
        <v>477</v>
      </c>
      <c r="K7812" s="18" t="s">
        <v>477</v>
      </c>
      <c r="N7812" s="17" t="str">
        <f>IFERROR(__xludf.DUMMYFUNCTION("""COMPUTED_VALUE"""),"")</f>
        <v/>
      </c>
      <c r="O7812" s="17"/>
    </row>
    <row r="7813">
      <c r="B7813" s="17" t="s">
        <v>477</v>
      </c>
      <c r="K7813" s="18" t="s">
        <v>477</v>
      </c>
      <c r="N7813" s="17" t="str">
        <f>IFERROR(__xludf.DUMMYFUNCTION("""COMPUTED_VALUE"""),"")</f>
        <v/>
      </c>
      <c r="O7813" s="17"/>
    </row>
    <row r="7814">
      <c r="B7814" s="17" t="s">
        <v>477</v>
      </c>
      <c r="K7814" s="18" t="s">
        <v>477</v>
      </c>
      <c r="N7814" s="17" t="str">
        <f>IFERROR(__xludf.DUMMYFUNCTION("""COMPUTED_VALUE"""),"")</f>
        <v/>
      </c>
      <c r="O7814" s="17"/>
    </row>
    <row r="7815">
      <c r="B7815" s="17" t="s">
        <v>477</v>
      </c>
      <c r="K7815" s="18" t="s">
        <v>477</v>
      </c>
      <c r="N7815" s="17" t="str">
        <f>IFERROR(__xludf.DUMMYFUNCTION("""COMPUTED_VALUE"""),"")</f>
        <v/>
      </c>
      <c r="O7815" s="17"/>
    </row>
    <row r="7816">
      <c r="B7816" s="17" t="s">
        <v>477</v>
      </c>
      <c r="K7816" s="18" t="s">
        <v>477</v>
      </c>
      <c r="N7816" s="17" t="str">
        <f>IFERROR(__xludf.DUMMYFUNCTION("""COMPUTED_VALUE"""),"")</f>
        <v/>
      </c>
      <c r="O7816" s="17"/>
    </row>
    <row r="7817">
      <c r="B7817" s="17" t="s">
        <v>477</v>
      </c>
      <c r="K7817" s="18" t="s">
        <v>477</v>
      </c>
      <c r="N7817" s="17" t="str">
        <f>IFERROR(__xludf.DUMMYFUNCTION("""COMPUTED_VALUE"""),"")</f>
        <v/>
      </c>
      <c r="O7817" s="17"/>
    </row>
    <row r="7818">
      <c r="B7818" s="17" t="s">
        <v>477</v>
      </c>
      <c r="K7818" s="18" t="s">
        <v>477</v>
      </c>
      <c r="N7818" s="17" t="str">
        <f>IFERROR(__xludf.DUMMYFUNCTION("""COMPUTED_VALUE"""),"")</f>
        <v/>
      </c>
      <c r="O7818" s="17"/>
    </row>
    <row r="7819">
      <c r="B7819" s="17" t="s">
        <v>477</v>
      </c>
      <c r="K7819" s="18" t="s">
        <v>477</v>
      </c>
      <c r="N7819" s="17" t="str">
        <f>IFERROR(__xludf.DUMMYFUNCTION("""COMPUTED_VALUE"""),"")</f>
        <v/>
      </c>
      <c r="O7819" s="17"/>
    </row>
    <row r="7820">
      <c r="B7820" s="17" t="s">
        <v>477</v>
      </c>
      <c r="K7820" s="18" t="s">
        <v>477</v>
      </c>
      <c r="N7820" s="17" t="str">
        <f>IFERROR(__xludf.DUMMYFUNCTION("""COMPUTED_VALUE"""),"")</f>
        <v/>
      </c>
      <c r="O7820" s="17"/>
    </row>
    <row r="7821">
      <c r="B7821" s="17" t="s">
        <v>477</v>
      </c>
      <c r="K7821" s="18" t="s">
        <v>477</v>
      </c>
      <c r="N7821" s="17" t="str">
        <f>IFERROR(__xludf.DUMMYFUNCTION("""COMPUTED_VALUE"""),"")</f>
        <v/>
      </c>
      <c r="O7821" s="17"/>
    </row>
    <row r="7822">
      <c r="B7822" s="17" t="s">
        <v>477</v>
      </c>
      <c r="K7822" s="18" t="s">
        <v>477</v>
      </c>
      <c r="N7822" s="17" t="str">
        <f>IFERROR(__xludf.DUMMYFUNCTION("""COMPUTED_VALUE"""),"")</f>
        <v/>
      </c>
      <c r="O7822" s="17"/>
    </row>
    <row r="7823">
      <c r="B7823" s="17" t="s">
        <v>477</v>
      </c>
      <c r="K7823" s="18" t="s">
        <v>477</v>
      </c>
      <c r="N7823" s="17" t="str">
        <f>IFERROR(__xludf.DUMMYFUNCTION("""COMPUTED_VALUE"""),"")</f>
        <v/>
      </c>
      <c r="O7823" s="17"/>
    </row>
    <row r="7824">
      <c r="B7824" s="17" t="s">
        <v>477</v>
      </c>
      <c r="K7824" s="18" t="s">
        <v>477</v>
      </c>
      <c r="N7824" s="17" t="str">
        <f>IFERROR(__xludf.DUMMYFUNCTION("""COMPUTED_VALUE"""),"")</f>
        <v/>
      </c>
      <c r="O7824" s="17"/>
    </row>
    <row r="7825">
      <c r="B7825" s="17" t="s">
        <v>477</v>
      </c>
      <c r="K7825" s="18" t="s">
        <v>477</v>
      </c>
      <c r="N7825" s="17" t="str">
        <f>IFERROR(__xludf.DUMMYFUNCTION("""COMPUTED_VALUE"""),"")</f>
        <v/>
      </c>
      <c r="O7825" s="17"/>
    </row>
    <row r="7826">
      <c r="B7826" s="17" t="s">
        <v>477</v>
      </c>
      <c r="K7826" s="18" t="s">
        <v>477</v>
      </c>
      <c r="N7826" s="17" t="str">
        <f>IFERROR(__xludf.DUMMYFUNCTION("""COMPUTED_VALUE"""),"")</f>
        <v/>
      </c>
      <c r="O7826" s="17"/>
    </row>
    <row r="7827">
      <c r="B7827" s="17" t="s">
        <v>477</v>
      </c>
      <c r="K7827" s="18" t="s">
        <v>477</v>
      </c>
      <c r="N7827" s="17" t="str">
        <f>IFERROR(__xludf.DUMMYFUNCTION("""COMPUTED_VALUE"""),"")</f>
        <v/>
      </c>
      <c r="O7827" s="17"/>
    </row>
    <row r="7828">
      <c r="B7828" s="17" t="s">
        <v>477</v>
      </c>
      <c r="K7828" s="18" t="s">
        <v>477</v>
      </c>
      <c r="N7828" s="17" t="str">
        <f>IFERROR(__xludf.DUMMYFUNCTION("""COMPUTED_VALUE"""),"")</f>
        <v/>
      </c>
      <c r="O7828" s="17"/>
    </row>
    <row r="7829">
      <c r="B7829" s="17" t="s">
        <v>477</v>
      </c>
      <c r="K7829" s="18" t="s">
        <v>477</v>
      </c>
      <c r="N7829" s="17" t="str">
        <f>IFERROR(__xludf.DUMMYFUNCTION("""COMPUTED_VALUE"""),"")</f>
        <v/>
      </c>
      <c r="O7829" s="17"/>
    </row>
    <row r="7830">
      <c r="B7830" s="17" t="s">
        <v>477</v>
      </c>
      <c r="K7830" s="18" t="s">
        <v>477</v>
      </c>
      <c r="N7830" s="17" t="str">
        <f>IFERROR(__xludf.DUMMYFUNCTION("""COMPUTED_VALUE"""),"")</f>
        <v/>
      </c>
      <c r="O7830" s="17"/>
    </row>
    <row r="7831">
      <c r="B7831" s="17" t="s">
        <v>477</v>
      </c>
      <c r="K7831" s="18" t="s">
        <v>477</v>
      </c>
      <c r="N7831" s="17" t="str">
        <f>IFERROR(__xludf.DUMMYFUNCTION("""COMPUTED_VALUE"""),"")</f>
        <v/>
      </c>
      <c r="O7831" s="17"/>
    </row>
    <row r="7832">
      <c r="B7832" s="17" t="s">
        <v>477</v>
      </c>
      <c r="K7832" s="18" t="s">
        <v>477</v>
      </c>
      <c r="N7832" s="17" t="str">
        <f>IFERROR(__xludf.DUMMYFUNCTION("""COMPUTED_VALUE"""),"")</f>
        <v/>
      </c>
      <c r="O7832" s="17"/>
    </row>
    <row r="7833">
      <c r="B7833" s="17" t="s">
        <v>477</v>
      </c>
      <c r="K7833" s="18" t="s">
        <v>477</v>
      </c>
      <c r="N7833" s="17" t="str">
        <f>IFERROR(__xludf.DUMMYFUNCTION("""COMPUTED_VALUE"""),"")</f>
        <v/>
      </c>
      <c r="O7833" s="17"/>
    </row>
    <row r="7834">
      <c r="B7834" s="17" t="s">
        <v>477</v>
      </c>
      <c r="K7834" s="18" t="s">
        <v>477</v>
      </c>
      <c r="N7834" s="17" t="str">
        <f>IFERROR(__xludf.DUMMYFUNCTION("""COMPUTED_VALUE"""),"")</f>
        <v/>
      </c>
      <c r="O7834" s="17"/>
    </row>
    <row r="7835">
      <c r="B7835" s="17" t="s">
        <v>477</v>
      </c>
      <c r="K7835" s="18" t="s">
        <v>477</v>
      </c>
      <c r="N7835" s="17" t="str">
        <f>IFERROR(__xludf.DUMMYFUNCTION("""COMPUTED_VALUE"""),"")</f>
        <v/>
      </c>
      <c r="O7835" s="17"/>
    </row>
    <row r="7836">
      <c r="B7836" s="17" t="s">
        <v>477</v>
      </c>
      <c r="K7836" s="18" t="s">
        <v>477</v>
      </c>
      <c r="N7836" s="17" t="str">
        <f>IFERROR(__xludf.DUMMYFUNCTION("""COMPUTED_VALUE"""),"")</f>
        <v/>
      </c>
      <c r="O7836" s="17"/>
    </row>
    <row r="7837">
      <c r="B7837" s="17" t="s">
        <v>477</v>
      </c>
      <c r="K7837" s="18" t="s">
        <v>477</v>
      </c>
      <c r="N7837" s="17" t="str">
        <f>IFERROR(__xludf.DUMMYFUNCTION("""COMPUTED_VALUE"""),"")</f>
        <v/>
      </c>
      <c r="O7837" s="17"/>
    </row>
    <row r="7838">
      <c r="B7838" s="17" t="s">
        <v>477</v>
      </c>
      <c r="K7838" s="18" t="s">
        <v>477</v>
      </c>
      <c r="N7838" s="17" t="str">
        <f>IFERROR(__xludf.DUMMYFUNCTION("""COMPUTED_VALUE"""),"")</f>
        <v/>
      </c>
      <c r="O7838" s="17"/>
    </row>
    <row r="7839">
      <c r="B7839" s="17" t="s">
        <v>477</v>
      </c>
      <c r="K7839" s="18" t="s">
        <v>477</v>
      </c>
      <c r="N7839" s="17" t="str">
        <f>IFERROR(__xludf.DUMMYFUNCTION("""COMPUTED_VALUE"""),"")</f>
        <v/>
      </c>
      <c r="O7839" s="17"/>
    </row>
    <row r="7840">
      <c r="B7840" s="17" t="s">
        <v>477</v>
      </c>
      <c r="K7840" s="18" t="s">
        <v>477</v>
      </c>
      <c r="N7840" s="17" t="str">
        <f>IFERROR(__xludf.DUMMYFUNCTION("""COMPUTED_VALUE"""),"")</f>
        <v/>
      </c>
      <c r="O7840" s="17"/>
    </row>
    <row r="7841">
      <c r="B7841" s="17" t="s">
        <v>477</v>
      </c>
      <c r="K7841" s="18" t="s">
        <v>477</v>
      </c>
      <c r="N7841" s="17" t="str">
        <f>IFERROR(__xludf.DUMMYFUNCTION("""COMPUTED_VALUE"""),"")</f>
        <v/>
      </c>
      <c r="O7841" s="17"/>
    </row>
    <row r="7842">
      <c r="B7842" s="17" t="s">
        <v>477</v>
      </c>
      <c r="K7842" s="18" t="s">
        <v>477</v>
      </c>
      <c r="N7842" s="17" t="str">
        <f>IFERROR(__xludf.DUMMYFUNCTION("""COMPUTED_VALUE"""),"")</f>
        <v/>
      </c>
      <c r="O7842" s="17"/>
    </row>
    <row r="7843">
      <c r="B7843" s="17" t="s">
        <v>477</v>
      </c>
      <c r="K7843" s="18" t="s">
        <v>477</v>
      </c>
      <c r="N7843" s="17" t="str">
        <f>IFERROR(__xludf.DUMMYFUNCTION("""COMPUTED_VALUE"""),"")</f>
        <v/>
      </c>
      <c r="O7843" s="17"/>
    </row>
    <row r="7844">
      <c r="B7844" s="17" t="s">
        <v>477</v>
      </c>
      <c r="K7844" s="18" t="s">
        <v>477</v>
      </c>
      <c r="N7844" s="17" t="str">
        <f>IFERROR(__xludf.DUMMYFUNCTION("""COMPUTED_VALUE"""),"")</f>
        <v/>
      </c>
      <c r="O7844" s="17"/>
    </row>
    <row r="7845">
      <c r="B7845" s="17" t="s">
        <v>477</v>
      </c>
      <c r="K7845" s="18" t="s">
        <v>477</v>
      </c>
      <c r="N7845" s="17" t="str">
        <f>IFERROR(__xludf.DUMMYFUNCTION("""COMPUTED_VALUE"""),"")</f>
        <v/>
      </c>
      <c r="O7845" s="17"/>
    </row>
    <row r="7846">
      <c r="B7846" s="17" t="s">
        <v>477</v>
      </c>
      <c r="K7846" s="18" t="s">
        <v>477</v>
      </c>
      <c r="N7846" s="17" t="str">
        <f>IFERROR(__xludf.DUMMYFUNCTION("""COMPUTED_VALUE"""),"")</f>
        <v/>
      </c>
      <c r="O7846" s="17"/>
    </row>
    <row r="7847">
      <c r="B7847" s="17" t="s">
        <v>477</v>
      </c>
      <c r="K7847" s="18" t="s">
        <v>477</v>
      </c>
      <c r="N7847" s="17" t="str">
        <f>IFERROR(__xludf.DUMMYFUNCTION("""COMPUTED_VALUE"""),"")</f>
        <v/>
      </c>
      <c r="O7847" s="17"/>
    </row>
    <row r="7848">
      <c r="B7848" s="17" t="s">
        <v>477</v>
      </c>
      <c r="K7848" s="18" t="s">
        <v>477</v>
      </c>
      <c r="N7848" s="17" t="str">
        <f>IFERROR(__xludf.DUMMYFUNCTION("""COMPUTED_VALUE"""),"")</f>
        <v/>
      </c>
      <c r="O7848" s="17"/>
    </row>
    <row r="7849">
      <c r="B7849" s="17" t="s">
        <v>477</v>
      </c>
      <c r="K7849" s="18" t="s">
        <v>477</v>
      </c>
      <c r="N7849" s="17" t="str">
        <f>IFERROR(__xludf.DUMMYFUNCTION("""COMPUTED_VALUE"""),"")</f>
        <v/>
      </c>
      <c r="O7849" s="17"/>
    </row>
    <row r="7850">
      <c r="B7850" s="17" t="s">
        <v>477</v>
      </c>
      <c r="K7850" s="18" t="s">
        <v>477</v>
      </c>
      <c r="N7850" s="17" t="str">
        <f>IFERROR(__xludf.DUMMYFUNCTION("""COMPUTED_VALUE"""),"")</f>
        <v/>
      </c>
      <c r="O7850" s="17"/>
    </row>
    <row r="7851">
      <c r="B7851" s="17" t="s">
        <v>477</v>
      </c>
      <c r="K7851" s="18" t="s">
        <v>477</v>
      </c>
      <c r="N7851" s="17" t="str">
        <f>IFERROR(__xludf.DUMMYFUNCTION("""COMPUTED_VALUE"""),"")</f>
        <v/>
      </c>
      <c r="O7851" s="17"/>
    </row>
    <row r="7852">
      <c r="B7852" s="17" t="s">
        <v>477</v>
      </c>
      <c r="K7852" s="18" t="s">
        <v>477</v>
      </c>
      <c r="N7852" s="17" t="str">
        <f>IFERROR(__xludf.DUMMYFUNCTION("""COMPUTED_VALUE"""),"")</f>
        <v/>
      </c>
      <c r="O7852" s="17"/>
    </row>
    <row r="7853">
      <c r="B7853" s="17" t="s">
        <v>477</v>
      </c>
      <c r="K7853" s="18" t="s">
        <v>477</v>
      </c>
      <c r="N7853" s="17" t="str">
        <f>IFERROR(__xludf.DUMMYFUNCTION("""COMPUTED_VALUE"""),"")</f>
        <v/>
      </c>
      <c r="O7853" s="17"/>
    </row>
    <row r="7854">
      <c r="B7854" s="17" t="s">
        <v>477</v>
      </c>
      <c r="K7854" s="18" t="s">
        <v>477</v>
      </c>
      <c r="N7854" s="17" t="str">
        <f>IFERROR(__xludf.DUMMYFUNCTION("""COMPUTED_VALUE"""),"")</f>
        <v/>
      </c>
      <c r="O7854" s="17"/>
    </row>
    <row r="7855">
      <c r="B7855" s="17" t="s">
        <v>477</v>
      </c>
      <c r="K7855" s="18" t="s">
        <v>477</v>
      </c>
      <c r="N7855" s="17" t="str">
        <f>IFERROR(__xludf.DUMMYFUNCTION("""COMPUTED_VALUE"""),"")</f>
        <v/>
      </c>
      <c r="O7855" s="17"/>
    </row>
    <row r="7856">
      <c r="B7856" s="17" t="s">
        <v>477</v>
      </c>
      <c r="K7856" s="18" t="s">
        <v>477</v>
      </c>
      <c r="N7856" s="17" t="str">
        <f>IFERROR(__xludf.DUMMYFUNCTION("""COMPUTED_VALUE"""),"")</f>
        <v/>
      </c>
      <c r="O7856" s="17"/>
    </row>
    <row r="7857">
      <c r="B7857" s="17" t="s">
        <v>477</v>
      </c>
      <c r="K7857" s="18" t="s">
        <v>477</v>
      </c>
      <c r="N7857" s="17" t="str">
        <f>IFERROR(__xludf.DUMMYFUNCTION("""COMPUTED_VALUE"""),"")</f>
        <v/>
      </c>
      <c r="O7857" s="17"/>
    </row>
    <row r="7858">
      <c r="B7858" s="17" t="s">
        <v>477</v>
      </c>
      <c r="K7858" s="18" t="s">
        <v>477</v>
      </c>
      <c r="N7858" s="17" t="str">
        <f>IFERROR(__xludf.DUMMYFUNCTION("""COMPUTED_VALUE"""),"")</f>
        <v/>
      </c>
      <c r="O7858" s="17"/>
    </row>
    <row r="7859">
      <c r="B7859" s="17" t="s">
        <v>477</v>
      </c>
      <c r="K7859" s="18" t="s">
        <v>477</v>
      </c>
      <c r="N7859" s="17" t="str">
        <f>IFERROR(__xludf.DUMMYFUNCTION("""COMPUTED_VALUE"""),"")</f>
        <v/>
      </c>
      <c r="O7859" s="17"/>
    </row>
    <row r="7860">
      <c r="B7860" s="17" t="s">
        <v>477</v>
      </c>
      <c r="K7860" s="18" t="s">
        <v>477</v>
      </c>
      <c r="N7860" s="17" t="str">
        <f>IFERROR(__xludf.DUMMYFUNCTION("""COMPUTED_VALUE"""),"")</f>
        <v/>
      </c>
      <c r="O7860" s="17"/>
    </row>
    <row r="7861">
      <c r="B7861" s="17" t="s">
        <v>477</v>
      </c>
      <c r="K7861" s="18" t="s">
        <v>477</v>
      </c>
      <c r="N7861" s="17" t="str">
        <f>IFERROR(__xludf.DUMMYFUNCTION("""COMPUTED_VALUE"""),"")</f>
        <v/>
      </c>
      <c r="O7861" s="17"/>
    </row>
    <row r="7862">
      <c r="B7862" s="17" t="s">
        <v>477</v>
      </c>
      <c r="K7862" s="18" t="s">
        <v>477</v>
      </c>
      <c r="N7862" s="17" t="str">
        <f>IFERROR(__xludf.DUMMYFUNCTION("""COMPUTED_VALUE"""),"")</f>
        <v/>
      </c>
      <c r="O7862" s="17"/>
    </row>
    <row r="7863">
      <c r="B7863" s="17" t="s">
        <v>477</v>
      </c>
      <c r="K7863" s="18" t="s">
        <v>477</v>
      </c>
      <c r="N7863" s="17" t="str">
        <f>IFERROR(__xludf.DUMMYFUNCTION("""COMPUTED_VALUE"""),"")</f>
        <v/>
      </c>
      <c r="O7863" s="17"/>
    </row>
    <row r="7864">
      <c r="B7864" s="17" t="s">
        <v>477</v>
      </c>
      <c r="K7864" s="18" t="s">
        <v>477</v>
      </c>
      <c r="N7864" s="17" t="str">
        <f>IFERROR(__xludf.DUMMYFUNCTION("""COMPUTED_VALUE"""),"")</f>
        <v/>
      </c>
      <c r="O7864" s="17"/>
    </row>
    <row r="7865">
      <c r="B7865" s="17" t="s">
        <v>477</v>
      </c>
      <c r="K7865" s="18" t="s">
        <v>477</v>
      </c>
      <c r="N7865" s="17" t="str">
        <f>IFERROR(__xludf.DUMMYFUNCTION("""COMPUTED_VALUE"""),"")</f>
        <v/>
      </c>
      <c r="O7865" s="17"/>
    </row>
    <row r="7866">
      <c r="B7866" s="17" t="s">
        <v>477</v>
      </c>
      <c r="K7866" s="18" t="s">
        <v>477</v>
      </c>
      <c r="N7866" s="17" t="str">
        <f>IFERROR(__xludf.DUMMYFUNCTION("""COMPUTED_VALUE"""),"")</f>
        <v/>
      </c>
      <c r="O7866" s="17"/>
    </row>
    <row r="7867">
      <c r="B7867" s="17" t="s">
        <v>477</v>
      </c>
      <c r="K7867" s="18" t="s">
        <v>477</v>
      </c>
      <c r="N7867" s="17" t="str">
        <f>IFERROR(__xludf.DUMMYFUNCTION("""COMPUTED_VALUE"""),"")</f>
        <v/>
      </c>
      <c r="O7867" s="17"/>
    </row>
    <row r="7868">
      <c r="B7868" s="17" t="s">
        <v>477</v>
      </c>
      <c r="K7868" s="18" t="s">
        <v>477</v>
      </c>
      <c r="N7868" s="17" t="str">
        <f>IFERROR(__xludf.DUMMYFUNCTION("""COMPUTED_VALUE"""),"")</f>
        <v/>
      </c>
      <c r="O7868" s="17"/>
    </row>
    <row r="7869">
      <c r="B7869" s="17" t="s">
        <v>477</v>
      </c>
      <c r="K7869" s="18" t="s">
        <v>477</v>
      </c>
      <c r="N7869" s="17" t="str">
        <f>IFERROR(__xludf.DUMMYFUNCTION("""COMPUTED_VALUE"""),"")</f>
        <v/>
      </c>
      <c r="O7869" s="17"/>
    </row>
    <row r="7870">
      <c r="B7870" s="17" t="s">
        <v>477</v>
      </c>
      <c r="K7870" s="18" t="s">
        <v>477</v>
      </c>
      <c r="N7870" s="17" t="str">
        <f>IFERROR(__xludf.DUMMYFUNCTION("""COMPUTED_VALUE"""),"")</f>
        <v/>
      </c>
      <c r="O7870" s="17"/>
    </row>
    <row r="7871">
      <c r="B7871" s="17" t="s">
        <v>477</v>
      </c>
      <c r="K7871" s="18" t="s">
        <v>477</v>
      </c>
      <c r="N7871" s="17" t="str">
        <f>IFERROR(__xludf.DUMMYFUNCTION("""COMPUTED_VALUE"""),"")</f>
        <v/>
      </c>
      <c r="O7871" s="17"/>
    </row>
    <row r="7872">
      <c r="B7872" s="17" t="s">
        <v>477</v>
      </c>
      <c r="K7872" s="18" t="s">
        <v>477</v>
      </c>
      <c r="N7872" s="17" t="str">
        <f>IFERROR(__xludf.DUMMYFUNCTION("""COMPUTED_VALUE"""),"")</f>
        <v/>
      </c>
      <c r="O7872" s="17"/>
    </row>
    <row r="7873">
      <c r="B7873" s="17" t="s">
        <v>477</v>
      </c>
      <c r="K7873" s="18" t="s">
        <v>477</v>
      </c>
      <c r="N7873" s="17" t="str">
        <f>IFERROR(__xludf.DUMMYFUNCTION("""COMPUTED_VALUE"""),"")</f>
        <v/>
      </c>
      <c r="O7873" s="17"/>
    </row>
    <row r="7874">
      <c r="B7874" s="17" t="s">
        <v>477</v>
      </c>
      <c r="K7874" s="18" t="s">
        <v>477</v>
      </c>
      <c r="N7874" s="17" t="str">
        <f>IFERROR(__xludf.DUMMYFUNCTION("""COMPUTED_VALUE"""),"")</f>
        <v/>
      </c>
      <c r="O7874" s="17"/>
    </row>
    <row r="7875">
      <c r="B7875" s="17" t="s">
        <v>477</v>
      </c>
      <c r="K7875" s="18" t="s">
        <v>477</v>
      </c>
      <c r="N7875" s="17" t="str">
        <f>IFERROR(__xludf.DUMMYFUNCTION("""COMPUTED_VALUE"""),"")</f>
        <v/>
      </c>
      <c r="O7875" s="17"/>
    </row>
    <row r="7876">
      <c r="B7876" s="17" t="s">
        <v>477</v>
      </c>
      <c r="K7876" s="18" t="s">
        <v>477</v>
      </c>
      <c r="N7876" s="17" t="str">
        <f>IFERROR(__xludf.DUMMYFUNCTION("""COMPUTED_VALUE"""),"")</f>
        <v/>
      </c>
      <c r="O7876" s="17"/>
    </row>
    <row r="7877">
      <c r="B7877" s="17" t="s">
        <v>477</v>
      </c>
      <c r="K7877" s="18" t="s">
        <v>477</v>
      </c>
      <c r="N7877" s="17" t="str">
        <f>IFERROR(__xludf.DUMMYFUNCTION("""COMPUTED_VALUE"""),"")</f>
        <v/>
      </c>
      <c r="O7877" s="17"/>
    </row>
    <row r="7878">
      <c r="B7878" s="17" t="s">
        <v>477</v>
      </c>
      <c r="K7878" s="18" t="s">
        <v>477</v>
      </c>
      <c r="N7878" s="17" t="str">
        <f>IFERROR(__xludf.DUMMYFUNCTION("""COMPUTED_VALUE"""),"")</f>
        <v/>
      </c>
      <c r="O7878" s="17"/>
    </row>
    <row r="7879">
      <c r="B7879" s="17" t="s">
        <v>477</v>
      </c>
      <c r="K7879" s="18" t="s">
        <v>477</v>
      </c>
      <c r="N7879" s="17" t="str">
        <f>IFERROR(__xludf.DUMMYFUNCTION("""COMPUTED_VALUE"""),"")</f>
        <v/>
      </c>
      <c r="O7879" s="17"/>
    </row>
    <row r="7880">
      <c r="B7880" s="17" t="s">
        <v>477</v>
      </c>
      <c r="K7880" s="18" t="s">
        <v>477</v>
      </c>
      <c r="N7880" s="17" t="str">
        <f>IFERROR(__xludf.DUMMYFUNCTION("""COMPUTED_VALUE"""),"")</f>
        <v/>
      </c>
      <c r="O7880" s="17"/>
    </row>
    <row r="7881">
      <c r="B7881" s="17" t="s">
        <v>477</v>
      </c>
      <c r="K7881" s="18" t="s">
        <v>477</v>
      </c>
      <c r="N7881" s="17" t="str">
        <f>IFERROR(__xludf.DUMMYFUNCTION("""COMPUTED_VALUE"""),"")</f>
        <v/>
      </c>
      <c r="O7881" s="17"/>
    </row>
    <row r="7882">
      <c r="B7882" s="17" t="s">
        <v>477</v>
      </c>
      <c r="K7882" s="18" t="s">
        <v>477</v>
      </c>
      <c r="N7882" s="17" t="str">
        <f>IFERROR(__xludf.DUMMYFUNCTION("""COMPUTED_VALUE"""),"")</f>
        <v/>
      </c>
      <c r="O7882" s="17"/>
    </row>
    <row r="7883">
      <c r="B7883" s="17" t="s">
        <v>477</v>
      </c>
      <c r="K7883" s="18" t="s">
        <v>477</v>
      </c>
      <c r="N7883" s="17" t="str">
        <f>IFERROR(__xludf.DUMMYFUNCTION("""COMPUTED_VALUE"""),"")</f>
        <v/>
      </c>
      <c r="O7883" s="17"/>
    </row>
    <row r="7884">
      <c r="B7884" s="17" t="s">
        <v>477</v>
      </c>
      <c r="K7884" s="18" t="s">
        <v>477</v>
      </c>
      <c r="N7884" s="17" t="str">
        <f>IFERROR(__xludf.DUMMYFUNCTION("""COMPUTED_VALUE"""),"")</f>
        <v/>
      </c>
      <c r="O7884" s="17"/>
    </row>
    <row r="7885">
      <c r="B7885" s="17" t="s">
        <v>477</v>
      </c>
      <c r="K7885" s="18" t="s">
        <v>477</v>
      </c>
      <c r="N7885" s="17" t="str">
        <f>IFERROR(__xludf.DUMMYFUNCTION("""COMPUTED_VALUE"""),"")</f>
        <v/>
      </c>
      <c r="O7885" s="17"/>
    </row>
    <row r="7886">
      <c r="B7886" s="17" t="s">
        <v>477</v>
      </c>
      <c r="K7886" s="18" t="s">
        <v>477</v>
      </c>
      <c r="N7886" s="17" t="str">
        <f>IFERROR(__xludf.DUMMYFUNCTION("""COMPUTED_VALUE"""),"")</f>
        <v/>
      </c>
      <c r="O7886" s="17"/>
    </row>
    <row r="7887">
      <c r="B7887" s="17" t="s">
        <v>477</v>
      </c>
      <c r="K7887" s="18" t="s">
        <v>477</v>
      </c>
      <c r="N7887" s="17" t="str">
        <f>IFERROR(__xludf.DUMMYFUNCTION("""COMPUTED_VALUE"""),"")</f>
        <v/>
      </c>
      <c r="O7887" s="17"/>
    </row>
    <row r="7888">
      <c r="B7888" s="17" t="s">
        <v>477</v>
      </c>
      <c r="K7888" s="18" t="s">
        <v>477</v>
      </c>
      <c r="N7888" s="17" t="str">
        <f>IFERROR(__xludf.DUMMYFUNCTION("""COMPUTED_VALUE"""),"")</f>
        <v/>
      </c>
      <c r="O7888" s="17"/>
    </row>
    <row r="7889">
      <c r="B7889" s="17" t="s">
        <v>477</v>
      </c>
      <c r="K7889" s="18" t="s">
        <v>477</v>
      </c>
      <c r="N7889" s="17" t="str">
        <f>IFERROR(__xludf.DUMMYFUNCTION("""COMPUTED_VALUE"""),"")</f>
        <v/>
      </c>
      <c r="O7889" s="17"/>
    </row>
    <row r="7890">
      <c r="B7890" s="17" t="s">
        <v>477</v>
      </c>
      <c r="K7890" s="18" t="s">
        <v>477</v>
      </c>
      <c r="N7890" s="17" t="str">
        <f>IFERROR(__xludf.DUMMYFUNCTION("""COMPUTED_VALUE"""),"")</f>
        <v/>
      </c>
      <c r="O7890" s="17"/>
    </row>
    <row r="7891">
      <c r="B7891" s="17" t="s">
        <v>477</v>
      </c>
      <c r="K7891" s="18" t="s">
        <v>477</v>
      </c>
      <c r="N7891" s="17" t="str">
        <f>IFERROR(__xludf.DUMMYFUNCTION("""COMPUTED_VALUE"""),"")</f>
        <v/>
      </c>
      <c r="O7891" s="17"/>
    </row>
    <row r="7892">
      <c r="B7892" s="17" t="s">
        <v>477</v>
      </c>
      <c r="K7892" s="18" t="s">
        <v>477</v>
      </c>
      <c r="N7892" s="17" t="str">
        <f>IFERROR(__xludf.DUMMYFUNCTION("""COMPUTED_VALUE"""),"")</f>
        <v/>
      </c>
      <c r="O7892" s="17"/>
    </row>
    <row r="7893">
      <c r="B7893" s="17" t="s">
        <v>477</v>
      </c>
      <c r="K7893" s="18" t="s">
        <v>477</v>
      </c>
      <c r="N7893" s="17" t="str">
        <f>IFERROR(__xludf.DUMMYFUNCTION("""COMPUTED_VALUE"""),"")</f>
        <v/>
      </c>
      <c r="O7893" s="17"/>
    </row>
    <row r="7894">
      <c r="B7894" s="17" t="s">
        <v>477</v>
      </c>
      <c r="K7894" s="18" t="s">
        <v>477</v>
      </c>
      <c r="N7894" s="17" t="str">
        <f>IFERROR(__xludf.DUMMYFUNCTION("""COMPUTED_VALUE"""),"")</f>
        <v/>
      </c>
      <c r="O7894" s="17"/>
    </row>
    <row r="7895">
      <c r="B7895" s="17" t="s">
        <v>477</v>
      </c>
      <c r="K7895" s="18" t="s">
        <v>477</v>
      </c>
      <c r="N7895" s="17" t="str">
        <f>IFERROR(__xludf.DUMMYFUNCTION("""COMPUTED_VALUE"""),"")</f>
        <v/>
      </c>
      <c r="O7895" s="17"/>
    </row>
    <row r="7896">
      <c r="B7896" s="17" t="s">
        <v>477</v>
      </c>
      <c r="K7896" s="18" t="s">
        <v>477</v>
      </c>
      <c r="N7896" s="17" t="str">
        <f>IFERROR(__xludf.DUMMYFUNCTION("""COMPUTED_VALUE"""),"")</f>
        <v/>
      </c>
      <c r="O7896" s="17"/>
    </row>
    <row r="7897">
      <c r="B7897" s="17" t="s">
        <v>477</v>
      </c>
      <c r="K7897" s="18" t="s">
        <v>477</v>
      </c>
      <c r="N7897" s="17" t="str">
        <f>IFERROR(__xludf.DUMMYFUNCTION("""COMPUTED_VALUE"""),"")</f>
        <v/>
      </c>
      <c r="O7897" s="17"/>
    </row>
    <row r="7898">
      <c r="B7898" s="17" t="s">
        <v>477</v>
      </c>
      <c r="K7898" s="18" t="s">
        <v>477</v>
      </c>
      <c r="N7898" s="17" t="str">
        <f>IFERROR(__xludf.DUMMYFUNCTION("""COMPUTED_VALUE"""),"")</f>
        <v/>
      </c>
      <c r="O7898" s="17"/>
    </row>
    <row r="7899">
      <c r="B7899" s="17" t="s">
        <v>477</v>
      </c>
      <c r="K7899" s="18" t="s">
        <v>477</v>
      </c>
      <c r="N7899" s="17" t="str">
        <f>IFERROR(__xludf.DUMMYFUNCTION("""COMPUTED_VALUE"""),"")</f>
        <v/>
      </c>
      <c r="O7899" s="17"/>
    </row>
    <row r="7900">
      <c r="B7900" s="17" t="s">
        <v>477</v>
      </c>
      <c r="K7900" s="18" t="s">
        <v>477</v>
      </c>
      <c r="N7900" s="17" t="str">
        <f>IFERROR(__xludf.DUMMYFUNCTION("""COMPUTED_VALUE"""),"")</f>
        <v/>
      </c>
      <c r="O7900" s="17"/>
    </row>
    <row r="7901">
      <c r="B7901" s="17" t="s">
        <v>477</v>
      </c>
      <c r="K7901" s="18" t="s">
        <v>477</v>
      </c>
      <c r="N7901" s="17" t="str">
        <f>IFERROR(__xludf.DUMMYFUNCTION("""COMPUTED_VALUE"""),"")</f>
        <v/>
      </c>
      <c r="O7901" s="17"/>
    </row>
    <row r="7902">
      <c r="B7902" s="17" t="s">
        <v>477</v>
      </c>
      <c r="K7902" s="18" t="s">
        <v>477</v>
      </c>
      <c r="N7902" s="17" t="str">
        <f>IFERROR(__xludf.DUMMYFUNCTION("""COMPUTED_VALUE"""),"")</f>
        <v/>
      </c>
      <c r="O7902" s="17"/>
    </row>
    <row r="7903">
      <c r="B7903" s="17" t="s">
        <v>477</v>
      </c>
      <c r="K7903" s="18" t="s">
        <v>477</v>
      </c>
      <c r="N7903" s="17" t="str">
        <f>IFERROR(__xludf.DUMMYFUNCTION("""COMPUTED_VALUE"""),"")</f>
        <v/>
      </c>
      <c r="O7903" s="17"/>
    </row>
    <row r="7904">
      <c r="B7904" s="17" t="s">
        <v>477</v>
      </c>
      <c r="K7904" s="18" t="s">
        <v>477</v>
      </c>
      <c r="N7904" s="17" t="str">
        <f>IFERROR(__xludf.DUMMYFUNCTION("""COMPUTED_VALUE"""),"")</f>
        <v/>
      </c>
      <c r="O7904" s="17"/>
    </row>
    <row r="7905">
      <c r="B7905" s="17" t="s">
        <v>477</v>
      </c>
      <c r="K7905" s="18" t="s">
        <v>477</v>
      </c>
      <c r="N7905" s="17" t="str">
        <f>IFERROR(__xludf.DUMMYFUNCTION("""COMPUTED_VALUE"""),"")</f>
        <v/>
      </c>
      <c r="O7905" s="17"/>
    </row>
    <row r="7906">
      <c r="B7906" s="17" t="s">
        <v>477</v>
      </c>
      <c r="K7906" s="18" t="s">
        <v>477</v>
      </c>
      <c r="N7906" s="17" t="str">
        <f>IFERROR(__xludf.DUMMYFUNCTION("""COMPUTED_VALUE"""),"")</f>
        <v/>
      </c>
      <c r="O7906" s="17"/>
    </row>
    <row r="7907">
      <c r="B7907" s="17" t="s">
        <v>477</v>
      </c>
      <c r="K7907" s="18" t="s">
        <v>477</v>
      </c>
      <c r="N7907" s="17" t="str">
        <f>IFERROR(__xludf.DUMMYFUNCTION("""COMPUTED_VALUE"""),"")</f>
        <v/>
      </c>
      <c r="O7907" s="17"/>
    </row>
    <row r="7908">
      <c r="B7908" s="17" t="s">
        <v>477</v>
      </c>
      <c r="K7908" s="18" t="s">
        <v>477</v>
      </c>
      <c r="N7908" s="17" t="str">
        <f>IFERROR(__xludf.DUMMYFUNCTION("""COMPUTED_VALUE"""),"")</f>
        <v/>
      </c>
      <c r="O7908" s="17"/>
    </row>
    <row r="7909">
      <c r="B7909" s="17" t="s">
        <v>477</v>
      </c>
      <c r="K7909" s="18" t="s">
        <v>477</v>
      </c>
      <c r="N7909" s="17" t="str">
        <f>IFERROR(__xludf.DUMMYFUNCTION("""COMPUTED_VALUE"""),"")</f>
        <v/>
      </c>
      <c r="O7909" s="17"/>
    </row>
    <row r="7910">
      <c r="B7910" s="17" t="s">
        <v>477</v>
      </c>
      <c r="K7910" s="18" t="s">
        <v>477</v>
      </c>
      <c r="N7910" s="17" t="str">
        <f>IFERROR(__xludf.DUMMYFUNCTION("""COMPUTED_VALUE"""),"")</f>
        <v/>
      </c>
      <c r="O7910" s="17"/>
    </row>
    <row r="7911">
      <c r="B7911" s="17" t="s">
        <v>477</v>
      </c>
      <c r="K7911" s="18" t="s">
        <v>477</v>
      </c>
      <c r="N7911" s="17" t="str">
        <f>IFERROR(__xludf.DUMMYFUNCTION("""COMPUTED_VALUE"""),"")</f>
        <v/>
      </c>
      <c r="O7911" s="17"/>
    </row>
    <row r="7912">
      <c r="B7912" s="17" t="s">
        <v>477</v>
      </c>
      <c r="K7912" s="18" t="s">
        <v>477</v>
      </c>
      <c r="N7912" s="17" t="str">
        <f>IFERROR(__xludf.DUMMYFUNCTION("""COMPUTED_VALUE"""),"")</f>
        <v/>
      </c>
      <c r="O7912" s="17"/>
    </row>
    <row r="7913">
      <c r="B7913" s="17" t="s">
        <v>477</v>
      </c>
      <c r="K7913" s="18" t="s">
        <v>477</v>
      </c>
      <c r="N7913" s="17" t="str">
        <f>IFERROR(__xludf.DUMMYFUNCTION("""COMPUTED_VALUE"""),"")</f>
        <v/>
      </c>
      <c r="O7913" s="17"/>
    </row>
    <row r="7914">
      <c r="B7914" s="17" t="s">
        <v>477</v>
      </c>
      <c r="K7914" s="18" t="s">
        <v>477</v>
      </c>
      <c r="N7914" s="17" t="str">
        <f>IFERROR(__xludf.DUMMYFUNCTION("""COMPUTED_VALUE"""),"")</f>
        <v/>
      </c>
      <c r="O7914" s="17"/>
    </row>
    <row r="7915">
      <c r="B7915" s="17" t="s">
        <v>477</v>
      </c>
      <c r="K7915" s="18" t="s">
        <v>477</v>
      </c>
      <c r="N7915" s="17" t="str">
        <f>IFERROR(__xludf.DUMMYFUNCTION("""COMPUTED_VALUE"""),"")</f>
        <v/>
      </c>
      <c r="O7915" s="17"/>
    </row>
    <row r="7916">
      <c r="B7916" s="17" t="s">
        <v>477</v>
      </c>
      <c r="K7916" s="18" t="s">
        <v>477</v>
      </c>
      <c r="N7916" s="17" t="str">
        <f>IFERROR(__xludf.DUMMYFUNCTION("""COMPUTED_VALUE"""),"")</f>
        <v/>
      </c>
      <c r="O7916" s="17"/>
    </row>
    <row r="7917">
      <c r="B7917" s="17" t="s">
        <v>477</v>
      </c>
      <c r="K7917" s="18" t="s">
        <v>477</v>
      </c>
      <c r="N7917" s="17" t="str">
        <f>IFERROR(__xludf.DUMMYFUNCTION("""COMPUTED_VALUE"""),"")</f>
        <v/>
      </c>
      <c r="O7917" s="17"/>
    </row>
    <row r="7918">
      <c r="B7918" s="17" t="s">
        <v>477</v>
      </c>
      <c r="K7918" s="18" t="s">
        <v>477</v>
      </c>
      <c r="N7918" s="17" t="str">
        <f>IFERROR(__xludf.DUMMYFUNCTION("""COMPUTED_VALUE"""),"")</f>
        <v/>
      </c>
      <c r="O7918" s="17"/>
    </row>
    <row r="7919">
      <c r="B7919" s="17" t="s">
        <v>477</v>
      </c>
      <c r="K7919" s="18" t="s">
        <v>477</v>
      </c>
      <c r="N7919" s="17" t="str">
        <f>IFERROR(__xludf.DUMMYFUNCTION("""COMPUTED_VALUE"""),"")</f>
        <v/>
      </c>
      <c r="O7919" s="17"/>
    </row>
    <row r="7920">
      <c r="B7920" s="17" t="s">
        <v>477</v>
      </c>
      <c r="K7920" s="18" t="s">
        <v>477</v>
      </c>
      <c r="N7920" s="17" t="str">
        <f>IFERROR(__xludf.DUMMYFUNCTION("""COMPUTED_VALUE"""),"")</f>
        <v/>
      </c>
      <c r="O7920" s="17"/>
    </row>
    <row r="7921">
      <c r="B7921" s="17" t="s">
        <v>477</v>
      </c>
      <c r="K7921" s="18" t="s">
        <v>477</v>
      </c>
      <c r="N7921" s="17" t="str">
        <f>IFERROR(__xludf.DUMMYFUNCTION("""COMPUTED_VALUE"""),"")</f>
        <v/>
      </c>
      <c r="O7921" s="17"/>
    </row>
    <row r="7922">
      <c r="B7922" s="17" t="s">
        <v>477</v>
      </c>
      <c r="K7922" s="18" t="s">
        <v>477</v>
      </c>
      <c r="N7922" s="17" t="str">
        <f>IFERROR(__xludf.DUMMYFUNCTION("""COMPUTED_VALUE"""),"")</f>
        <v/>
      </c>
      <c r="O7922" s="17"/>
    </row>
    <row r="7923">
      <c r="B7923" s="17" t="s">
        <v>477</v>
      </c>
      <c r="K7923" s="18" t="s">
        <v>477</v>
      </c>
      <c r="N7923" s="17" t="str">
        <f>IFERROR(__xludf.DUMMYFUNCTION("""COMPUTED_VALUE"""),"")</f>
        <v/>
      </c>
      <c r="O7923" s="17"/>
    </row>
    <row r="7924">
      <c r="B7924" s="17" t="s">
        <v>477</v>
      </c>
      <c r="K7924" s="18" t="s">
        <v>477</v>
      </c>
      <c r="N7924" s="17" t="str">
        <f>IFERROR(__xludf.DUMMYFUNCTION("""COMPUTED_VALUE"""),"")</f>
        <v/>
      </c>
      <c r="O7924" s="17"/>
    </row>
    <row r="7925">
      <c r="B7925" s="17" t="s">
        <v>477</v>
      </c>
      <c r="K7925" s="18" t="s">
        <v>477</v>
      </c>
      <c r="N7925" s="17" t="str">
        <f>IFERROR(__xludf.DUMMYFUNCTION("""COMPUTED_VALUE"""),"")</f>
        <v/>
      </c>
      <c r="O7925" s="17"/>
    </row>
    <row r="7926">
      <c r="B7926" s="17" t="s">
        <v>477</v>
      </c>
      <c r="K7926" s="18" t="s">
        <v>477</v>
      </c>
      <c r="N7926" s="17" t="str">
        <f>IFERROR(__xludf.DUMMYFUNCTION("""COMPUTED_VALUE"""),"")</f>
        <v/>
      </c>
      <c r="O7926" s="17"/>
    </row>
    <row r="7927">
      <c r="B7927" s="17" t="s">
        <v>477</v>
      </c>
      <c r="K7927" s="18" t="s">
        <v>477</v>
      </c>
      <c r="N7927" s="17" t="str">
        <f>IFERROR(__xludf.DUMMYFUNCTION("""COMPUTED_VALUE"""),"")</f>
        <v/>
      </c>
      <c r="O7927" s="17"/>
    </row>
    <row r="7928">
      <c r="B7928" s="17" t="s">
        <v>477</v>
      </c>
      <c r="K7928" s="18" t="s">
        <v>477</v>
      </c>
      <c r="N7928" s="17" t="str">
        <f>IFERROR(__xludf.DUMMYFUNCTION("""COMPUTED_VALUE"""),"")</f>
        <v/>
      </c>
      <c r="O7928" s="17"/>
    </row>
    <row r="7929">
      <c r="B7929" s="17" t="s">
        <v>477</v>
      </c>
      <c r="K7929" s="18" t="s">
        <v>477</v>
      </c>
      <c r="N7929" s="17" t="str">
        <f>IFERROR(__xludf.DUMMYFUNCTION("""COMPUTED_VALUE"""),"")</f>
        <v/>
      </c>
      <c r="O7929" s="17"/>
    </row>
    <row r="7930">
      <c r="B7930" s="17" t="s">
        <v>477</v>
      </c>
      <c r="K7930" s="18" t="s">
        <v>477</v>
      </c>
      <c r="N7930" s="17" t="str">
        <f>IFERROR(__xludf.DUMMYFUNCTION("""COMPUTED_VALUE"""),"")</f>
        <v/>
      </c>
      <c r="O7930" s="17"/>
    </row>
    <row r="7931">
      <c r="B7931" s="17" t="s">
        <v>477</v>
      </c>
      <c r="K7931" s="18" t="s">
        <v>477</v>
      </c>
      <c r="N7931" s="17" t="str">
        <f>IFERROR(__xludf.DUMMYFUNCTION("""COMPUTED_VALUE"""),"")</f>
        <v/>
      </c>
      <c r="O7931" s="17"/>
    </row>
    <row r="7932">
      <c r="B7932" s="17" t="s">
        <v>477</v>
      </c>
      <c r="K7932" s="18" t="s">
        <v>477</v>
      </c>
      <c r="N7932" s="17" t="str">
        <f>IFERROR(__xludf.DUMMYFUNCTION("""COMPUTED_VALUE"""),"")</f>
        <v/>
      </c>
      <c r="O7932" s="17"/>
    </row>
    <row r="7933">
      <c r="B7933" s="17" t="s">
        <v>477</v>
      </c>
      <c r="K7933" s="18" t="s">
        <v>477</v>
      </c>
      <c r="N7933" s="17" t="str">
        <f>IFERROR(__xludf.DUMMYFUNCTION("""COMPUTED_VALUE"""),"")</f>
        <v/>
      </c>
      <c r="O7933" s="17"/>
    </row>
    <row r="7934">
      <c r="B7934" s="17" t="s">
        <v>477</v>
      </c>
      <c r="K7934" s="18" t="s">
        <v>477</v>
      </c>
      <c r="N7934" s="17" t="str">
        <f>IFERROR(__xludf.DUMMYFUNCTION("""COMPUTED_VALUE"""),"")</f>
        <v/>
      </c>
      <c r="O7934" s="17"/>
    </row>
    <row r="7935">
      <c r="B7935" s="17" t="s">
        <v>477</v>
      </c>
      <c r="K7935" s="18" t="s">
        <v>477</v>
      </c>
      <c r="N7935" s="17" t="str">
        <f>IFERROR(__xludf.DUMMYFUNCTION("""COMPUTED_VALUE"""),"")</f>
        <v/>
      </c>
      <c r="O7935" s="17"/>
    </row>
    <row r="7936">
      <c r="B7936" s="17" t="s">
        <v>477</v>
      </c>
      <c r="K7936" s="18" t="s">
        <v>477</v>
      </c>
      <c r="N7936" s="17" t="str">
        <f>IFERROR(__xludf.DUMMYFUNCTION("""COMPUTED_VALUE"""),"")</f>
        <v/>
      </c>
      <c r="O7936" s="17"/>
    </row>
    <row r="7937">
      <c r="B7937" s="17" t="s">
        <v>477</v>
      </c>
      <c r="K7937" s="18" t="s">
        <v>477</v>
      </c>
      <c r="N7937" s="17" t="str">
        <f>IFERROR(__xludf.DUMMYFUNCTION("""COMPUTED_VALUE"""),"")</f>
        <v/>
      </c>
      <c r="O7937" s="17"/>
    </row>
    <row r="7938">
      <c r="B7938" s="17" t="s">
        <v>477</v>
      </c>
      <c r="K7938" s="18" t="s">
        <v>477</v>
      </c>
      <c r="N7938" s="17" t="str">
        <f>IFERROR(__xludf.DUMMYFUNCTION("""COMPUTED_VALUE"""),"")</f>
        <v/>
      </c>
      <c r="O7938" s="17"/>
    </row>
    <row r="7939">
      <c r="B7939" s="17" t="s">
        <v>477</v>
      </c>
      <c r="K7939" s="18" t="s">
        <v>477</v>
      </c>
      <c r="N7939" s="17" t="str">
        <f>IFERROR(__xludf.DUMMYFUNCTION("""COMPUTED_VALUE"""),"")</f>
        <v/>
      </c>
      <c r="O7939" s="17"/>
    </row>
    <row r="7940">
      <c r="B7940" s="17" t="s">
        <v>477</v>
      </c>
      <c r="K7940" s="18" t="s">
        <v>477</v>
      </c>
      <c r="N7940" s="17" t="str">
        <f>IFERROR(__xludf.DUMMYFUNCTION("""COMPUTED_VALUE"""),"")</f>
        <v/>
      </c>
      <c r="O7940" s="17"/>
    </row>
    <row r="7941">
      <c r="B7941" s="17" t="s">
        <v>477</v>
      </c>
      <c r="K7941" s="18" t="s">
        <v>477</v>
      </c>
      <c r="N7941" s="17" t="str">
        <f>IFERROR(__xludf.DUMMYFUNCTION("""COMPUTED_VALUE"""),"")</f>
        <v/>
      </c>
      <c r="O7941" s="17"/>
    </row>
    <row r="7942">
      <c r="B7942" s="17" t="s">
        <v>477</v>
      </c>
      <c r="K7942" s="18" t="s">
        <v>477</v>
      </c>
      <c r="N7942" s="17" t="str">
        <f>IFERROR(__xludf.DUMMYFUNCTION("""COMPUTED_VALUE"""),"")</f>
        <v/>
      </c>
      <c r="O7942" s="17"/>
    </row>
    <row r="7943">
      <c r="B7943" s="17" t="s">
        <v>477</v>
      </c>
      <c r="K7943" s="18" t="s">
        <v>477</v>
      </c>
      <c r="N7943" s="17" t="str">
        <f>IFERROR(__xludf.DUMMYFUNCTION("""COMPUTED_VALUE"""),"")</f>
        <v/>
      </c>
      <c r="O7943" s="17"/>
    </row>
    <row r="7944">
      <c r="B7944" s="17" t="s">
        <v>477</v>
      </c>
      <c r="K7944" s="18" t="s">
        <v>477</v>
      </c>
      <c r="N7944" s="17" t="str">
        <f>IFERROR(__xludf.DUMMYFUNCTION("""COMPUTED_VALUE"""),"")</f>
        <v/>
      </c>
      <c r="O7944" s="17"/>
    </row>
    <row r="7945">
      <c r="B7945" s="17" t="s">
        <v>477</v>
      </c>
      <c r="K7945" s="18" t="s">
        <v>477</v>
      </c>
      <c r="N7945" s="17" t="str">
        <f>IFERROR(__xludf.DUMMYFUNCTION("""COMPUTED_VALUE"""),"")</f>
        <v/>
      </c>
      <c r="O7945" s="17"/>
    </row>
    <row r="7946">
      <c r="B7946" s="17" t="s">
        <v>477</v>
      </c>
      <c r="K7946" s="18" t="s">
        <v>477</v>
      </c>
      <c r="N7946" s="17" t="str">
        <f>IFERROR(__xludf.DUMMYFUNCTION("""COMPUTED_VALUE"""),"")</f>
        <v/>
      </c>
      <c r="O7946" s="17"/>
    </row>
    <row r="7947">
      <c r="B7947" s="17" t="s">
        <v>477</v>
      </c>
      <c r="K7947" s="18" t="s">
        <v>477</v>
      </c>
      <c r="N7947" s="17" t="str">
        <f>IFERROR(__xludf.DUMMYFUNCTION("""COMPUTED_VALUE"""),"")</f>
        <v/>
      </c>
      <c r="O7947" s="17"/>
    </row>
    <row r="7948">
      <c r="B7948" s="17" t="s">
        <v>477</v>
      </c>
      <c r="K7948" s="18" t="s">
        <v>477</v>
      </c>
      <c r="N7948" s="17" t="str">
        <f>IFERROR(__xludf.DUMMYFUNCTION("""COMPUTED_VALUE"""),"")</f>
        <v/>
      </c>
      <c r="O7948" s="17"/>
    </row>
    <row r="7949">
      <c r="B7949" s="17" t="s">
        <v>477</v>
      </c>
      <c r="K7949" s="18" t="s">
        <v>477</v>
      </c>
      <c r="N7949" s="17" t="str">
        <f>IFERROR(__xludf.DUMMYFUNCTION("""COMPUTED_VALUE"""),"")</f>
        <v/>
      </c>
      <c r="O7949" s="17"/>
    </row>
    <row r="7950">
      <c r="B7950" s="17" t="s">
        <v>477</v>
      </c>
      <c r="K7950" s="18" t="s">
        <v>477</v>
      </c>
      <c r="N7950" s="17" t="str">
        <f>IFERROR(__xludf.DUMMYFUNCTION("""COMPUTED_VALUE"""),"")</f>
        <v/>
      </c>
      <c r="O7950" s="17"/>
    </row>
    <row r="7951">
      <c r="B7951" s="17" t="s">
        <v>477</v>
      </c>
      <c r="K7951" s="18" t="s">
        <v>477</v>
      </c>
      <c r="N7951" s="17" t="str">
        <f>IFERROR(__xludf.DUMMYFUNCTION("""COMPUTED_VALUE"""),"")</f>
        <v/>
      </c>
      <c r="O7951" s="17"/>
    </row>
    <row r="7952">
      <c r="B7952" s="17" t="s">
        <v>477</v>
      </c>
      <c r="K7952" s="18" t="s">
        <v>477</v>
      </c>
      <c r="N7952" s="17" t="str">
        <f>IFERROR(__xludf.DUMMYFUNCTION("""COMPUTED_VALUE"""),"")</f>
        <v/>
      </c>
      <c r="O7952" s="17"/>
    </row>
    <row r="7953">
      <c r="B7953" s="17" t="s">
        <v>477</v>
      </c>
      <c r="K7953" s="18" t="s">
        <v>477</v>
      </c>
      <c r="N7953" s="17" t="str">
        <f>IFERROR(__xludf.DUMMYFUNCTION("""COMPUTED_VALUE"""),"")</f>
        <v/>
      </c>
      <c r="O7953" s="17"/>
    </row>
    <row r="7954">
      <c r="B7954" s="17" t="s">
        <v>477</v>
      </c>
      <c r="K7954" s="18" t="s">
        <v>477</v>
      </c>
      <c r="N7954" s="17" t="str">
        <f>IFERROR(__xludf.DUMMYFUNCTION("""COMPUTED_VALUE"""),"")</f>
        <v/>
      </c>
      <c r="O7954" s="17"/>
    </row>
    <row r="7955">
      <c r="B7955" s="17" t="s">
        <v>477</v>
      </c>
      <c r="K7955" s="18" t="s">
        <v>477</v>
      </c>
      <c r="N7955" s="17" t="str">
        <f>IFERROR(__xludf.DUMMYFUNCTION("""COMPUTED_VALUE"""),"")</f>
        <v/>
      </c>
      <c r="O7955" s="17"/>
    </row>
    <row r="7956">
      <c r="B7956" s="17" t="s">
        <v>477</v>
      </c>
      <c r="K7956" s="18" t="s">
        <v>477</v>
      </c>
      <c r="N7956" s="17" t="str">
        <f>IFERROR(__xludf.DUMMYFUNCTION("""COMPUTED_VALUE"""),"")</f>
        <v/>
      </c>
      <c r="O7956" s="17"/>
    </row>
    <row r="7957">
      <c r="B7957" s="17" t="s">
        <v>477</v>
      </c>
      <c r="K7957" s="18" t="s">
        <v>477</v>
      </c>
      <c r="N7957" s="17" t="str">
        <f>IFERROR(__xludf.DUMMYFUNCTION("""COMPUTED_VALUE"""),"")</f>
        <v/>
      </c>
      <c r="O7957" s="17"/>
    </row>
    <row r="7958">
      <c r="B7958" s="17" t="s">
        <v>477</v>
      </c>
      <c r="K7958" s="18" t="s">
        <v>477</v>
      </c>
      <c r="N7958" s="17" t="str">
        <f>IFERROR(__xludf.DUMMYFUNCTION("""COMPUTED_VALUE"""),"")</f>
        <v/>
      </c>
      <c r="O7958" s="17"/>
    </row>
    <row r="7959">
      <c r="B7959" s="17" t="s">
        <v>477</v>
      </c>
      <c r="K7959" s="18" t="s">
        <v>477</v>
      </c>
      <c r="N7959" s="17" t="str">
        <f>IFERROR(__xludf.DUMMYFUNCTION("""COMPUTED_VALUE"""),"")</f>
        <v/>
      </c>
      <c r="O7959" s="17"/>
    </row>
    <row r="7960">
      <c r="B7960" s="17" t="s">
        <v>477</v>
      </c>
      <c r="K7960" s="18" t="s">
        <v>477</v>
      </c>
      <c r="N7960" s="17" t="str">
        <f>IFERROR(__xludf.DUMMYFUNCTION("""COMPUTED_VALUE"""),"")</f>
        <v/>
      </c>
      <c r="O7960" s="17"/>
    </row>
    <row r="7961">
      <c r="B7961" s="17" t="s">
        <v>477</v>
      </c>
      <c r="K7961" s="18" t="s">
        <v>477</v>
      </c>
      <c r="N7961" s="17" t="str">
        <f>IFERROR(__xludf.DUMMYFUNCTION("""COMPUTED_VALUE"""),"")</f>
        <v/>
      </c>
      <c r="O7961" s="17"/>
    </row>
    <row r="7962">
      <c r="B7962" s="17" t="s">
        <v>477</v>
      </c>
      <c r="K7962" s="18" t="s">
        <v>477</v>
      </c>
      <c r="N7962" s="17" t="str">
        <f>IFERROR(__xludf.DUMMYFUNCTION("""COMPUTED_VALUE"""),"")</f>
        <v/>
      </c>
      <c r="O7962" s="17"/>
    </row>
    <row r="7963">
      <c r="B7963" s="17" t="s">
        <v>477</v>
      </c>
      <c r="K7963" s="18" t="s">
        <v>477</v>
      </c>
      <c r="N7963" s="17" t="str">
        <f>IFERROR(__xludf.DUMMYFUNCTION("""COMPUTED_VALUE"""),"")</f>
        <v/>
      </c>
      <c r="O7963" s="17"/>
    </row>
    <row r="7964">
      <c r="B7964" s="17" t="s">
        <v>477</v>
      </c>
      <c r="K7964" s="18" t="s">
        <v>477</v>
      </c>
      <c r="N7964" s="17" t="str">
        <f>IFERROR(__xludf.DUMMYFUNCTION("""COMPUTED_VALUE"""),"")</f>
        <v/>
      </c>
      <c r="O7964" s="17"/>
    </row>
    <row r="7965">
      <c r="B7965" s="17" t="s">
        <v>477</v>
      </c>
      <c r="K7965" s="18" t="s">
        <v>477</v>
      </c>
      <c r="N7965" s="17" t="str">
        <f>IFERROR(__xludf.DUMMYFUNCTION("""COMPUTED_VALUE"""),"")</f>
        <v/>
      </c>
      <c r="O7965" s="17"/>
    </row>
    <row r="7966">
      <c r="B7966" s="17" t="s">
        <v>477</v>
      </c>
      <c r="K7966" s="18" t="s">
        <v>477</v>
      </c>
      <c r="N7966" s="17" t="str">
        <f>IFERROR(__xludf.DUMMYFUNCTION("""COMPUTED_VALUE"""),"")</f>
        <v/>
      </c>
      <c r="O7966" s="17"/>
    </row>
    <row r="7967">
      <c r="B7967" s="17" t="s">
        <v>477</v>
      </c>
      <c r="K7967" s="18" t="s">
        <v>477</v>
      </c>
      <c r="N7967" s="17" t="str">
        <f>IFERROR(__xludf.DUMMYFUNCTION("""COMPUTED_VALUE"""),"")</f>
        <v/>
      </c>
      <c r="O7967" s="17"/>
    </row>
    <row r="7968">
      <c r="B7968" s="17" t="s">
        <v>477</v>
      </c>
      <c r="K7968" s="18" t="s">
        <v>477</v>
      </c>
      <c r="N7968" s="17" t="str">
        <f>IFERROR(__xludf.DUMMYFUNCTION("""COMPUTED_VALUE"""),"")</f>
        <v/>
      </c>
      <c r="O7968" s="17"/>
    </row>
    <row r="7969">
      <c r="B7969" s="17" t="s">
        <v>477</v>
      </c>
      <c r="K7969" s="18" t="s">
        <v>477</v>
      </c>
      <c r="N7969" s="17" t="str">
        <f>IFERROR(__xludf.DUMMYFUNCTION("""COMPUTED_VALUE"""),"")</f>
        <v/>
      </c>
      <c r="O7969" s="17"/>
    </row>
    <row r="7970">
      <c r="B7970" s="17" t="s">
        <v>477</v>
      </c>
      <c r="K7970" s="18" t="s">
        <v>477</v>
      </c>
      <c r="N7970" s="17" t="str">
        <f>IFERROR(__xludf.DUMMYFUNCTION("""COMPUTED_VALUE"""),"")</f>
        <v/>
      </c>
      <c r="O7970" s="17"/>
    </row>
    <row r="7971">
      <c r="B7971" s="17" t="s">
        <v>477</v>
      </c>
      <c r="K7971" s="18" t="s">
        <v>477</v>
      </c>
      <c r="N7971" s="17" t="str">
        <f>IFERROR(__xludf.DUMMYFUNCTION("""COMPUTED_VALUE"""),"")</f>
        <v/>
      </c>
      <c r="O7971" s="17"/>
    </row>
    <row r="7972">
      <c r="B7972" s="17" t="s">
        <v>477</v>
      </c>
      <c r="K7972" s="18" t="s">
        <v>477</v>
      </c>
      <c r="N7972" s="17" t="str">
        <f>IFERROR(__xludf.DUMMYFUNCTION("""COMPUTED_VALUE"""),"")</f>
        <v/>
      </c>
      <c r="O7972" s="17"/>
    </row>
    <row r="7973">
      <c r="B7973" s="17" t="s">
        <v>477</v>
      </c>
      <c r="K7973" s="18" t="s">
        <v>477</v>
      </c>
      <c r="N7973" s="17" t="str">
        <f>IFERROR(__xludf.DUMMYFUNCTION("""COMPUTED_VALUE"""),"")</f>
        <v/>
      </c>
      <c r="O7973" s="17"/>
    </row>
    <row r="7974">
      <c r="B7974" s="17" t="s">
        <v>477</v>
      </c>
      <c r="K7974" s="18" t="s">
        <v>477</v>
      </c>
      <c r="N7974" s="17" t="str">
        <f>IFERROR(__xludf.DUMMYFUNCTION("""COMPUTED_VALUE"""),"")</f>
        <v/>
      </c>
      <c r="O7974" s="17"/>
    </row>
    <row r="7975">
      <c r="B7975" s="17" t="s">
        <v>477</v>
      </c>
      <c r="K7975" s="18" t="s">
        <v>477</v>
      </c>
      <c r="N7975" s="17" t="str">
        <f>IFERROR(__xludf.DUMMYFUNCTION("""COMPUTED_VALUE"""),"")</f>
        <v/>
      </c>
      <c r="O7975" s="17"/>
    </row>
    <row r="7976">
      <c r="B7976" s="17" t="s">
        <v>477</v>
      </c>
      <c r="K7976" s="18" t="s">
        <v>477</v>
      </c>
      <c r="N7976" s="17" t="str">
        <f>IFERROR(__xludf.DUMMYFUNCTION("""COMPUTED_VALUE"""),"")</f>
        <v/>
      </c>
      <c r="O7976" s="17"/>
    </row>
    <row r="7977">
      <c r="B7977" s="17" t="s">
        <v>477</v>
      </c>
      <c r="K7977" s="18" t="s">
        <v>477</v>
      </c>
      <c r="N7977" s="17" t="str">
        <f>IFERROR(__xludf.DUMMYFUNCTION("""COMPUTED_VALUE"""),"")</f>
        <v/>
      </c>
      <c r="O7977" s="17"/>
    </row>
    <row r="7978">
      <c r="B7978" s="17" t="s">
        <v>477</v>
      </c>
      <c r="K7978" s="18" t="s">
        <v>477</v>
      </c>
      <c r="N7978" s="17" t="str">
        <f>IFERROR(__xludf.DUMMYFUNCTION("""COMPUTED_VALUE"""),"")</f>
        <v/>
      </c>
      <c r="O7978" s="17"/>
    </row>
    <row r="7979">
      <c r="B7979" s="17" t="s">
        <v>477</v>
      </c>
      <c r="K7979" s="18" t="s">
        <v>477</v>
      </c>
      <c r="N7979" s="17" t="str">
        <f>IFERROR(__xludf.DUMMYFUNCTION("""COMPUTED_VALUE"""),"")</f>
        <v/>
      </c>
      <c r="O7979" s="17"/>
    </row>
    <row r="7980">
      <c r="B7980" s="17" t="s">
        <v>477</v>
      </c>
      <c r="K7980" s="18" t="s">
        <v>477</v>
      </c>
      <c r="N7980" s="17" t="str">
        <f>IFERROR(__xludf.DUMMYFUNCTION("""COMPUTED_VALUE"""),"")</f>
        <v/>
      </c>
      <c r="O7980" s="17"/>
    </row>
    <row r="7981">
      <c r="B7981" s="17" t="s">
        <v>477</v>
      </c>
      <c r="K7981" s="18" t="s">
        <v>477</v>
      </c>
      <c r="N7981" s="17" t="str">
        <f>IFERROR(__xludf.DUMMYFUNCTION("""COMPUTED_VALUE"""),"")</f>
        <v/>
      </c>
      <c r="O7981" s="17"/>
    </row>
    <row r="7982">
      <c r="B7982" s="17" t="s">
        <v>477</v>
      </c>
      <c r="K7982" s="18" t="s">
        <v>477</v>
      </c>
      <c r="N7982" s="17" t="str">
        <f>IFERROR(__xludf.DUMMYFUNCTION("""COMPUTED_VALUE"""),"")</f>
        <v/>
      </c>
      <c r="O7982" s="17"/>
    </row>
    <row r="7983">
      <c r="B7983" s="17" t="s">
        <v>477</v>
      </c>
      <c r="K7983" s="18" t="s">
        <v>477</v>
      </c>
      <c r="N7983" s="17" t="str">
        <f>IFERROR(__xludf.DUMMYFUNCTION("""COMPUTED_VALUE"""),"")</f>
        <v/>
      </c>
      <c r="O7983" s="17"/>
    </row>
    <row r="7984">
      <c r="B7984" s="17" t="s">
        <v>477</v>
      </c>
      <c r="K7984" s="18" t="s">
        <v>477</v>
      </c>
      <c r="N7984" s="17" t="str">
        <f>IFERROR(__xludf.DUMMYFUNCTION("""COMPUTED_VALUE"""),"")</f>
        <v/>
      </c>
      <c r="O7984" s="17"/>
    </row>
    <row r="7985">
      <c r="B7985" s="17" t="s">
        <v>477</v>
      </c>
      <c r="K7985" s="18" t="s">
        <v>477</v>
      </c>
      <c r="N7985" s="17" t="str">
        <f>IFERROR(__xludf.DUMMYFUNCTION("""COMPUTED_VALUE"""),"")</f>
        <v/>
      </c>
      <c r="O7985" s="17"/>
    </row>
    <row r="7986">
      <c r="B7986" s="17" t="s">
        <v>477</v>
      </c>
      <c r="K7986" s="18" t="s">
        <v>477</v>
      </c>
      <c r="N7986" s="17" t="str">
        <f>IFERROR(__xludf.DUMMYFUNCTION("""COMPUTED_VALUE"""),"")</f>
        <v/>
      </c>
      <c r="O7986" s="17"/>
    </row>
    <row r="7987">
      <c r="B7987" s="17" t="s">
        <v>477</v>
      </c>
      <c r="K7987" s="18" t="s">
        <v>477</v>
      </c>
      <c r="N7987" s="17" t="str">
        <f>IFERROR(__xludf.DUMMYFUNCTION("""COMPUTED_VALUE"""),"")</f>
        <v/>
      </c>
      <c r="O7987" s="17"/>
    </row>
    <row r="7988">
      <c r="B7988" s="17" t="s">
        <v>477</v>
      </c>
      <c r="K7988" s="18" t="s">
        <v>477</v>
      </c>
      <c r="N7988" s="17" t="str">
        <f>IFERROR(__xludf.DUMMYFUNCTION("""COMPUTED_VALUE"""),"")</f>
        <v/>
      </c>
      <c r="O7988" s="17"/>
    </row>
    <row r="7989">
      <c r="B7989" s="17" t="s">
        <v>477</v>
      </c>
      <c r="K7989" s="18" t="s">
        <v>477</v>
      </c>
      <c r="N7989" s="17" t="str">
        <f>IFERROR(__xludf.DUMMYFUNCTION("""COMPUTED_VALUE"""),"")</f>
        <v/>
      </c>
      <c r="O7989" s="17"/>
    </row>
    <row r="7990">
      <c r="B7990" s="17" t="s">
        <v>477</v>
      </c>
      <c r="K7990" s="18" t="s">
        <v>477</v>
      </c>
      <c r="N7990" s="17" t="str">
        <f>IFERROR(__xludf.DUMMYFUNCTION("""COMPUTED_VALUE"""),"")</f>
        <v/>
      </c>
      <c r="O7990" s="17"/>
    </row>
    <row r="7991">
      <c r="B7991" s="17" t="s">
        <v>477</v>
      </c>
      <c r="K7991" s="18" t="s">
        <v>477</v>
      </c>
      <c r="N7991" s="17" t="str">
        <f>IFERROR(__xludf.DUMMYFUNCTION("""COMPUTED_VALUE"""),"")</f>
        <v/>
      </c>
      <c r="O7991" s="17"/>
    </row>
    <row r="7992">
      <c r="B7992" s="17" t="s">
        <v>477</v>
      </c>
      <c r="K7992" s="18" t="s">
        <v>477</v>
      </c>
      <c r="N7992" s="17" t="str">
        <f>IFERROR(__xludf.DUMMYFUNCTION("""COMPUTED_VALUE"""),"")</f>
        <v/>
      </c>
      <c r="O7992" s="17"/>
    </row>
    <row r="7993">
      <c r="B7993" s="17" t="s">
        <v>477</v>
      </c>
      <c r="K7993" s="18" t="s">
        <v>477</v>
      </c>
      <c r="N7993" s="17" t="str">
        <f>IFERROR(__xludf.DUMMYFUNCTION("""COMPUTED_VALUE"""),"")</f>
        <v/>
      </c>
      <c r="O7993" s="17"/>
    </row>
    <row r="7994">
      <c r="B7994" s="17" t="s">
        <v>477</v>
      </c>
      <c r="K7994" s="18" t="s">
        <v>477</v>
      </c>
      <c r="N7994" s="17" t="str">
        <f>IFERROR(__xludf.DUMMYFUNCTION("""COMPUTED_VALUE"""),"")</f>
        <v/>
      </c>
      <c r="O7994" s="17"/>
    </row>
    <row r="7995">
      <c r="B7995" s="17" t="s">
        <v>477</v>
      </c>
      <c r="K7995" s="18" t="s">
        <v>477</v>
      </c>
      <c r="N7995" s="17" t="str">
        <f>IFERROR(__xludf.DUMMYFUNCTION("""COMPUTED_VALUE"""),"")</f>
        <v/>
      </c>
      <c r="O7995" s="17"/>
    </row>
    <row r="7996">
      <c r="B7996" s="17" t="s">
        <v>477</v>
      </c>
      <c r="K7996" s="18" t="s">
        <v>477</v>
      </c>
      <c r="N7996" s="17" t="str">
        <f>IFERROR(__xludf.DUMMYFUNCTION("""COMPUTED_VALUE"""),"")</f>
        <v/>
      </c>
      <c r="O7996" s="17"/>
    </row>
    <row r="7997">
      <c r="B7997" s="17" t="s">
        <v>477</v>
      </c>
      <c r="K7997" s="18" t="s">
        <v>477</v>
      </c>
      <c r="N7997" s="17" t="str">
        <f>IFERROR(__xludf.DUMMYFUNCTION("""COMPUTED_VALUE"""),"")</f>
        <v/>
      </c>
      <c r="O7997" s="17"/>
    </row>
    <row r="7998">
      <c r="B7998" s="17" t="s">
        <v>477</v>
      </c>
      <c r="K7998" s="18" t="s">
        <v>477</v>
      </c>
      <c r="N7998" s="17" t="str">
        <f>IFERROR(__xludf.DUMMYFUNCTION("""COMPUTED_VALUE"""),"")</f>
        <v/>
      </c>
      <c r="O7998" s="17"/>
    </row>
    <row r="7999">
      <c r="B7999" s="17" t="s">
        <v>477</v>
      </c>
      <c r="K7999" s="18" t="s">
        <v>477</v>
      </c>
      <c r="N7999" s="17" t="str">
        <f>IFERROR(__xludf.DUMMYFUNCTION("""COMPUTED_VALUE"""),"")</f>
        <v/>
      </c>
      <c r="O7999" s="17"/>
    </row>
    <row r="8000">
      <c r="B8000" s="17" t="s">
        <v>477</v>
      </c>
      <c r="K8000" s="18" t="s">
        <v>477</v>
      </c>
      <c r="N8000" s="17" t="str">
        <f>IFERROR(__xludf.DUMMYFUNCTION("""COMPUTED_VALUE"""),"")</f>
        <v/>
      </c>
      <c r="O8000" s="17"/>
    </row>
    <row r="8001">
      <c r="B8001" s="17" t="s">
        <v>477</v>
      </c>
      <c r="K8001" s="18" t="s">
        <v>477</v>
      </c>
      <c r="N8001" s="17" t="str">
        <f>IFERROR(__xludf.DUMMYFUNCTION("""COMPUTED_VALUE"""),"")</f>
        <v/>
      </c>
      <c r="O8001" s="17"/>
    </row>
    <row r="8002">
      <c r="B8002" s="17" t="s">
        <v>477</v>
      </c>
      <c r="K8002" s="18" t="s">
        <v>477</v>
      </c>
      <c r="N8002" s="17" t="str">
        <f>IFERROR(__xludf.DUMMYFUNCTION("""COMPUTED_VALUE"""),"")</f>
        <v/>
      </c>
      <c r="O8002" s="17"/>
    </row>
    <row r="8003">
      <c r="B8003" s="17" t="s">
        <v>477</v>
      </c>
      <c r="K8003" s="18" t="s">
        <v>477</v>
      </c>
      <c r="N8003" s="17" t="str">
        <f>IFERROR(__xludf.DUMMYFUNCTION("""COMPUTED_VALUE"""),"")</f>
        <v/>
      </c>
      <c r="O8003" s="17"/>
    </row>
    <row r="8004">
      <c r="B8004" s="17" t="s">
        <v>477</v>
      </c>
      <c r="K8004" s="18" t="s">
        <v>477</v>
      </c>
      <c r="N8004" s="17" t="str">
        <f>IFERROR(__xludf.DUMMYFUNCTION("""COMPUTED_VALUE"""),"")</f>
        <v/>
      </c>
      <c r="O8004" s="17"/>
    </row>
    <row r="8005">
      <c r="B8005" s="17" t="s">
        <v>477</v>
      </c>
      <c r="K8005" s="18" t="s">
        <v>477</v>
      </c>
      <c r="N8005" s="17" t="str">
        <f>IFERROR(__xludf.DUMMYFUNCTION("""COMPUTED_VALUE"""),"")</f>
        <v/>
      </c>
      <c r="O8005" s="17"/>
    </row>
    <row r="8006">
      <c r="B8006" s="17" t="s">
        <v>477</v>
      </c>
      <c r="K8006" s="18" t="s">
        <v>477</v>
      </c>
      <c r="N8006" s="17" t="str">
        <f>IFERROR(__xludf.DUMMYFUNCTION("""COMPUTED_VALUE"""),"")</f>
        <v/>
      </c>
      <c r="O8006" s="17"/>
    </row>
    <row r="8007">
      <c r="B8007" s="17" t="s">
        <v>477</v>
      </c>
      <c r="K8007" s="18" t="s">
        <v>477</v>
      </c>
      <c r="N8007" s="17" t="str">
        <f>IFERROR(__xludf.DUMMYFUNCTION("""COMPUTED_VALUE"""),"")</f>
        <v/>
      </c>
      <c r="O8007" s="17"/>
    </row>
    <row r="8008">
      <c r="B8008" s="17" t="s">
        <v>477</v>
      </c>
      <c r="K8008" s="18" t="s">
        <v>477</v>
      </c>
      <c r="N8008" s="17" t="str">
        <f>IFERROR(__xludf.DUMMYFUNCTION("""COMPUTED_VALUE"""),"")</f>
        <v/>
      </c>
      <c r="O8008" s="17"/>
    </row>
    <row r="8009">
      <c r="B8009" s="17" t="s">
        <v>477</v>
      </c>
      <c r="K8009" s="18" t="s">
        <v>477</v>
      </c>
      <c r="N8009" s="17" t="str">
        <f>IFERROR(__xludf.DUMMYFUNCTION("""COMPUTED_VALUE"""),"")</f>
        <v/>
      </c>
      <c r="O8009" s="17"/>
    </row>
    <row r="8010">
      <c r="B8010" s="17" t="s">
        <v>477</v>
      </c>
      <c r="K8010" s="18" t="s">
        <v>477</v>
      </c>
      <c r="N8010" s="17" t="str">
        <f>IFERROR(__xludf.DUMMYFUNCTION("""COMPUTED_VALUE"""),"")</f>
        <v/>
      </c>
      <c r="O8010" s="17"/>
    </row>
    <row r="8011">
      <c r="B8011" s="17" t="s">
        <v>477</v>
      </c>
      <c r="K8011" s="18" t="s">
        <v>477</v>
      </c>
      <c r="N8011" s="17" t="str">
        <f>IFERROR(__xludf.DUMMYFUNCTION("""COMPUTED_VALUE"""),"")</f>
        <v/>
      </c>
      <c r="O8011" s="17"/>
    </row>
    <row r="8012">
      <c r="B8012" s="17" t="s">
        <v>477</v>
      </c>
      <c r="K8012" s="18" t="s">
        <v>477</v>
      </c>
      <c r="N8012" s="17" t="str">
        <f>IFERROR(__xludf.DUMMYFUNCTION("""COMPUTED_VALUE"""),"")</f>
        <v/>
      </c>
      <c r="O8012" s="17"/>
    </row>
    <row r="8013">
      <c r="B8013" s="17" t="s">
        <v>477</v>
      </c>
      <c r="K8013" s="18" t="s">
        <v>477</v>
      </c>
      <c r="N8013" s="17" t="str">
        <f>IFERROR(__xludf.DUMMYFUNCTION("""COMPUTED_VALUE"""),"")</f>
        <v/>
      </c>
      <c r="O8013" s="17"/>
    </row>
    <row r="8014">
      <c r="B8014" s="17" t="s">
        <v>477</v>
      </c>
      <c r="K8014" s="18" t="s">
        <v>477</v>
      </c>
      <c r="N8014" s="17" t="str">
        <f>IFERROR(__xludf.DUMMYFUNCTION("""COMPUTED_VALUE"""),"")</f>
        <v/>
      </c>
      <c r="O8014" s="17"/>
    </row>
    <row r="8015">
      <c r="B8015" s="17" t="s">
        <v>477</v>
      </c>
      <c r="K8015" s="18" t="s">
        <v>477</v>
      </c>
      <c r="N8015" s="17" t="str">
        <f>IFERROR(__xludf.DUMMYFUNCTION("""COMPUTED_VALUE"""),"")</f>
        <v/>
      </c>
      <c r="O8015" s="17"/>
    </row>
    <row r="8016">
      <c r="B8016" s="17" t="s">
        <v>477</v>
      </c>
      <c r="K8016" s="18" t="s">
        <v>477</v>
      </c>
      <c r="N8016" s="17" t="str">
        <f>IFERROR(__xludf.DUMMYFUNCTION("""COMPUTED_VALUE"""),"")</f>
        <v/>
      </c>
      <c r="O8016" s="17"/>
    </row>
    <row r="8017">
      <c r="B8017" s="17" t="s">
        <v>477</v>
      </c>
      <c r="K8017" s="18" t="s">
        <v>477</v>
      </c>
      <c r="N8017" s="17" t="str">
        <f>IFERROR(__xludf.DUMMYFUNCTION("""COMPUTED_VALUE"""),"")</f>
        <v/>
      </c>
      <c r="O8017" s="17"/>
    </row>
    <row r="8018">
      <c r="B8018" s="17" t="s">
        <v>477</v>
      </c>
      <c r="K8018" s="18" t="s">
        <v>477</v>
      </c>
      <c r="N8018" s="17" t="str">
        <f>IFERROR(__xludf.DUMMYFUNCTION("""COMPUTED_VALUE"""),"")</f>
        <v/>
      </c>
      <c r="O8018" s="17"/>
    </row>
    <row r="8019">
      <c r="B8019" s="17" t="s">
        <v>477</v>
      </c>
      <c r="K8019" s="18" t="s">
        <v>477</v>
      </c>
      <c r="N8019" s="17" t="str">
        <f>IFERROR(__xludf.DUMMYFUNCTION("""COMPUTED_VALUE"""),"")</f>
        <v/>
      </c>
      <c r="O8019" s="17"/>
    </row>
    <row r="8020">
      <c r="B8020" s="17" t="s">
        <v>477</v>
      </c>
      <c r="K8020" s="18" t="s">
        <v>477</v>
      </c>
      <c r="N8020" s="17" t="str">
        <f>IFERROR(__xludf.DUMMYFUNCTION("""COMPUTED_VALUE"""),"")</f>
        <v/>
      </c>
      <c r="O8020" s="17"/>
    </row>
    <row r="8021">
      <c r="B8021" s="17" t="s">
        <v>477</v>
      </c>
      <c r="K8021" s="18" t="s">
        <v>477</v>
      </c>
      <c r="N8021" s="17" t="str">
        <f>IFERROR(__xludf.DUMMYFUNCTION("""COMPUTED_VALUE"""),"")</f>
        <v/>
      </c>
      <c r="O8021" s="17"/>
    </row>
    <row r="8022">
      <c r="B8022" s="17" t="s">
        <v>477</v>
      </c>
      <c r="K8022" s="18" t="s">
        <v>477</v>
      </c>
      <c r="N8022" s="17" t="str">
        <f>IFERROR(__xludf.DUMMYFUNCTION("""COMPUTED_VALUE"""),"")</f>
        <v/>
      </c>
      <c r="O8022" s="17"/>
    </row>
    <row r="8023">
      <c r="B8023" s="17" t="s">
        <v>477</v>
      </c>
      <c r="K8023" s="18" t="s">
        <v>477</v>
      </c>
      <c r="N8023" s="17" t="str">
        <f>IFERROR(__xludf.DUMMYFUNCTION("""COMPUTED_VALUE"""),"")</f>
        <v/>
      </c>
      <c r="O8023" s="17"/>
    </row>
    <row r="8024">
      <c r="B8024" s="17" t="s">
        <v>477</v>
      </c>
      <c r="K8024" s="18" t="s">
        <v>477</v>
      </c>
      <c r="N8024" s="17" t="str">
        <f>IFERROR(__xludf.DUMMYFUNCTION("""COMPUTED_VALUE"""),"")</f>
        <v/>
      </c>
      <c r="O8024" s="17"/>
    </row>
    <row r="8025">
      <c r="B8025" s="17" t="s">
        <v>477</v>
      </c>
      <c r="K8025" s="18" t="s">
        <v>477</v>
      </c>
      <c r="N8025" s="17" t="str">
        <f>IFERROR(__xludf.DUMMYFUNCTION("""COMPUTED_VALUE"""),"")</f>
        <v/>
      </c>
      <c r="O8025" s="17"/>
    </row>
    <row r="8026">
      <c r="B8026" s="17" t="s">
        <v>477</v>
      </c>
      <c r="K8026" s="18" t="s">
        <v>477</v>
      </c>
      <c r="N8026" s="17" t="str">
        <f>IFERROR(__xludf.DUMMYFUNCTION("""COMPUTED_VALUE"""),"")</f>
        <v/>
      </c>
      <c r="O8026" s="17"/>
    </row>
    <row r="8027">
      <c r="B8027" s="17" t="s">
        <v>477</v>
      </c>
      <c r="K8027" s="18" t="s">
        <v>477</v>
      </c>
      <c r="N8027" s="17" t="str">
        <f>IFERROR(__xludf.DUMMYFUNCTION("""COMPUTED_VALUE"""),"")</f>
        <v/>
      </c>
      <c r="O8027" s="17"/>
    </row>
    <row r="8028">
      <c r="B8028" s="17" t="s">
        <v>477</v>
      </c>
      <c r="K8028" s="18" t="s">
        <v>477</v>
      </c>
      <c r="N8028" s="17" t="str">
        <f>IFERROR(__xludf.DUMMYFUNCTION("""COMPUTED_VALUE"""),"")</f>
        <v/>
      </c>
      <c r="O8028" s="17"/>
    </row>
    <row r="8029">
      <c r="B8029" s="17" t="s">
        <v>477</v>
      </c>
      <c r="K8029" s="18" t="s">
        <v>477</v>
      </c>
      <c r="N8029" s="17" t="str">
        <f>IFERROR(__xludf.DUMMYFUNCTION("""COMPUTED_VALUE"""),"")</f>
        <v/>
      </c>
      <c r="O8029" s="17"/>
    </row>
    <row r="8030">
      <c r="B8030" s="17" t="s">
        <v>477</v>
      </c>
      <c r="K8030" s="18" t="s">
        <v>477</v>
      </c>
      <c r="N8030" s="17" t="str">
        <f>IFERROR(__xludf.DUMMYFUNCTION("""COMPUTED_VALUE"""),"")</f>
        <v/>
      </c>
      <c r="O8030" s="17"/>
    </row>
    <row r="8031">
      <c r="B8031" s="17" t="s">
        <v>477</v>
      </c>
      <c r="K8031" s="18" t="s">
        <v>477</v>
      </c>
      <c r="N8031" s="17" t="str">
        <f>IFERROR(__xludf.DUMMYFUNCTION("""COMPUTED_VALUE"""),"")</f>
        <v/>
      </c>
      <c r="O8031" s="17"/>
    </row>
    <row r="8032">
      <c r="B8032" s="17" t="s">
        <v>477</v>
      </c>
      <c r="K8032" s="18" t="s">
        <v>477</v>
      </c>
      <c r="N8032" s="17" t="str">
        <f>IFERROR(__xludf.DUMMYFUNCTION("""COMPUTED_VALUE"""),"")</f>
        <v/>
      </c>
      <c r="O8032" s="17"/>
    </row>
    <row r="8033">
      <c r="B8033" s="17" t="s">
        <v>477</v>
      </c>
      <c r="K8033" s="18" t="s">
        <v>477</v>
      </c>
      <c r="N8033" s="17" t="str">
        <f>IFERROR(__xludf.DUMMYFUNCTION("""COMPUTED_VALUE"""),"")</f>
        <v/>
      </c>
      <c r="O8033" s="17"/>
    </row>
    <row r="8034">
      <c r="B8034" s="17" t="s">
        <v>477</v>
      </c>
      <c r="K8034" s="18" t="s">
        <v>477</v>
      </c>
      <c r="N8034" s="17" t="str">
        <f>IFERROR(__xludf.DUMMYFUNCTION("""COMPUTED_VALUE"""),"")</f>
        <v/>
      </c>
      <c r="O8034" s="17"/>
    </row>
    <row r="8035">
      <c r="B8035" s="17" t="s">
        <v>477</v>
      </c>
      <c r="K8035" s="18" t="s">
        <v>477</v>
      </c>
      <c r="N8035" s="17" t="str">
        <f>IFERROR(__xludf.DUMMYFUNCTION("""COMPUTED_VALUE"""),"")</f>
        <v/>
      </c>
      <c r="O8035" s="17"/>
    </row>
    <row r="8036">
      <c r="B8036" s="17" t="s">
        <v>477</v>
      </c>
      <c r="K8036" s="18" t="s">
        <v>477</v>
      </c>
      <c r="N8036" s="17" t="str">
        <f>IFERROR(__xludf.DUMMYFUNCTION("""COMPUTED_VALUE"""),"")</f>
        <v/>
      </c>
      <c r="O8036" s="17"/>
    </row>
    <row r="8037">
      <c r="B8037" s="17" t="s">
        <v>477</v>
      </c>
      <c r="K8037" s="18" t="s">
        <v>477</v>
      </c>
      <c r="N8037" s="17" t="str">
        <f>IFERROR(__xludf.DUMMYFUNCTION("""COMPUTED_VALUE"""),"")</f>
        <v/>
      </c>
      <c r="O8037" s="17"/>
    </row>
    <row r="8038">
      <c r="B8038" s="17" t="s">
        <v>477</v>
      </c>
      <c r="K8038" s="18" t="s">
        <v>477</v>
      </c>
      <c r="N8038" s="17" t="str">
        <f>IFERROR(__xludf.DUMMYFUNCTION("""COMPUTED_VALUE"""),"")</f>
        <v/>
      </c>
      <c r="O8038" s="17"/>
    </row>
    <row r="8039">
      <c r="B8039" s="17" t="s">
        <v>477</v>
      </c>
      <c r="K8039" s="18" t="s">
        <v>477</v>
      </c>
      <c r="N8039" s="17" t="str">
        <f>IFERROR(__xludf.DUMMYFUNCTION("""COMPUTED_VALUE"""),"")</f>
        <v/>
      </c>
      <c r="O8039" s="17"/>
    </row>
    <row r="8040">
      <c r="B8040" s="17" t="s">
        <v>477</v>
      </c>
      <c r="K8040" s="18" t="s">
        <v>477</v>
      </c>
      <c r="N8040" s="17" t="str">
        <f>IFERROR(__xludf.DUMMYFUNCTION("""COMPUTED_VALUE"""),"")</f>
        <v/>
      </c>
      <c r="O8040" s="17"/>
    </row>
    <row r="8041">
      <c r="B8041" s="17" t="s">
        <v>477</v>
      </c>
      <c r="K8041" s="18" t="s">
        <v>477</v>
      </c>
      <c r="N8041" s="17" t="str">
        <f>IFERROR(__xludf.DUMMYFUNCTION("""COMPUTED_VALUE"""),"")</f>
        <v/>
      </c>
      <c r="O8041" s="17"/>
    </row>
    <row r="8042">
      <c r="B8042" s="17" t="s">
        <v>477</v>
      </c>
      <c r="K8042" s="18" t="s">
        <v>477</v>
      </c>
      <c r="N8042" s="17" t="str">
        <f>IFERROR(__xludf.DUMMYFUNCTION("""COMPUTED_VALUE"""),"")</f>
        <v/>
      </c>
      <c r="O8042" s="17"/>
    </row>
    <row r="8043">
      <c r="B8043" s="17" t="s">
        <v>477</v>
      </c>
      <c r="K8043" s="18" t="s">
        <v>477</v>
      </c>
      <c r="N8043" s="17" t="str">
        <f>IFERROR(__xludf.DUMMYFUNCTION("""COMPUTED_VALUE"""),"")</f>
        <v/>
      </c>
      <c r="O8043" s="17"/>
    </row>
    <row r="8044">
      <c r="B8044" s="17" t="s">
        <v>477</v>
      </c>
      <c r="K8044" s="18" t="s">
        <v>477</v>
      </c>
      <c r="N8044" s="17" t="str">
        <f>IFERROR(__xludf.DUMMYFUNCTION("""COMPUTED_VALUE"""),"")</f>
        <v/>
      </c>
      <c r="O8044" s="17"/>
    </row>
    <row r="8045">
      <c r="B8045" s="17" t="s">
        <v>477</v>
      </c>
      <c r="K8045" s="18" t="s">
        <v>477</v>
      </c>
      <c r="N8045" s="17" t="str">
        <f>IFERROR(__xludf.DUMMYFUNCTION("""COMPUTED_VALUE"""),"")</f>
        <v/>
      </c>
      <c r="O8045" s="17"/>
    </row>
    <row r="8046">
      <c r="B8046" s="17" t="s">
        <v>477</v>
      </c>
      <c r="K8046" s="18" t="s">
        <v>477</v>
      </c>
      <c r="N8046" s="17" t="str">
        <f>IFERROR(__xludf.DUMMYFUNCTION("""COMPUTED_VALUE"""),"")</f>
        <v/>
      </c>
      <c r="O8046" s="17"/>
    </row>
    <row r="8047">
      <c r="B8047" s="17" t="s">
        <v>477</v>
      </c>
      <c r="K8047" s="18" t="s">
        <v>477</v>
      </c>
      <c r="N8047" s="17" t="str">
        <f>IFERROR(__xludf.DUMMYFUNCTION("""COMPUTED_VALUE"""),"")</f>
        <v/>
      </c>
      <c r="O8047" s="17"/>
    </row>
    <row r="8048">
      <c r="B8048" s="17" t="s">
        <v>477</v>
      </c>
      <c r="K8048" s="18" t="s">
        <v>477</v>
      </c>
      <c r="N8048" s="17" t="str">
        <f>IFERROR(__xludf.DUMMYFUNCTION("""COMPUTED_VALUE"""),"")</f>
        <v/>
      </c>
      <c r="O8048" s="17"/>
    </row>
    <row r="8049">
      <c r="B8049" s="17" t="s">
        <v>477</v>
      </c>
      <c r="K8049" s="18" t="s">
        <v>477</v>
      </c>
      <c r="N8049" s="17" t="str">
        <f>IFERROR(__xludf.DUMMYFUNCTION("""COMPUTED_VALUE"""),"")</f>
        <v/>
      </c>
      <c r="O8049" s="17"/>
    </row>
    <row r="8050">
      <c r="B8050" s="17" t="s">
        <v>477</v>
      </c>
      <c r="K8050" s="18" t="s">
        <v>477</v>
      </c>
      <c r="N8050" s="17" t="str">
        <f>IFERROR(__xludf.DUMMYFUNCTION("""COMPUTED_VALUE"""),"")</f>
        <v/>
      </c>
      <c r="O8050" s="17"/>
    </row>
    <row r="8051">
      <c r="B8051" s="17" t="s">
        <v>477</v>
      </c>
      <c r="K8051" s="18" t="s">
        <v>477</v>
      </c>
      <c r="N8051" s="17" t="str">
        <f>IFERROR(__xludf.DUMMYFUNCTION("""COMPUTED_VALUE"""),"")</f>
        <v/>
      </c>
      <c r="O8051" s="17"/>
    </row>
    <row r="8052">
      <c r="B8052" s="17" t="s">
        <v>477</v>
      </c>
      <c r="K8052" s="18" t="s">
        <v>477</v>
      </c>
      <c r="N8052" s="17" t="str">
        <f>IFERROR(__xludf.DUMMYFUNCTION("""COMPUTED_VALUE"""),"")</f>
        <v/>
      </c>
      <c r="O8052" s="17"/>
    </row>
    <row r="8053">
      <c r="B8053" s="17" t="s">
        <v>477</v>
      </c>
      <c r="K8053" s="18" t="s">
        <v>477</v>
      </c>
      <c r="N8053" s="17" t="str">
        <f>IFERROR(__xludf.DUMMYFUNCTION("""COMPUTED_VALUE"""),"")</f>
        <v/>
      </c>
      <c r="O8053" s="17"/>
    </row>
    <row r="8054">
      <c r="B8054" s="17" t="s">
        <v>477</v>
      </c>
      <c r="K8054" s="18" t="s">
        <v>477</v>
      </c>
      <c r="N8054" s="17" t="str">
        <f>IFERROR(__xludf.DUMMYFUNCTION("""COMPUTED_VALUE"""),"")</f>
        <v/>
      </c>
      <c r="O8054" s="17"/>
    </row>
    <row r="8055">
      <c r="B8055" s="17" t="s">
        <v>477</v>
      </c>
      <c r="K8055" s="18" t="s">
        <v>477</v>
      </c>
      <c r="N8055" s="17" t="str">
        <f>IFERROR(__xludf.DUMMYFUNCTION("""COMPUTED_VALUE"""),"")</f>
        <v/>
      </c>
      <c r="O8055" s="17"/>
    </row>
    <row r="8056">
      <c r="B8056" s="17" t="s">
        <v>477</v>
      </c>
      <c r="K8056" s="18" t="s">
        <v>477</v>
      </c>
      <c r="N8056" s="17" t="str">
        <f>IFERROR(__xludf.DUMMYFUNCTION("""COMPUTED_VALUE"""),"")</f>
        <v/>
      </c>
      <c r="O8056" s="17"/>
    </row>
    <row r="8057">
      <c r="B8057" s="17" t="s">
        <v>477</v>
      </c>
      <c r="K8057" s="18" t="s">
        <v>477</v>
      </c>
      <c r="N8057" s="17" t="str">
        <f>IFERROR(__xludf.DUMMYFUNCTION("""COMPUTED_VALUE"""),"")</f>
        <v/>
      </c>
      <c r="O8057" s="17"/>
    </row>
    <row r="8058">
      <c r="B8058" s="17" t="s">
        <v>477</v>
      </c>
      <c r="K8058" s="18" t="s">
        <v>477</v>
      </c>
      <c r="N8058" s="17" t="str">
        <f>IFERROR(__xludf.DUMMYFUNCTION("""COMPUTED_VALUE"""),"")</f>
        <v/>
      </c>
      <c r="O8058" s="17"/>
    </row>
    <row r="8059">
      <c r="B8059" s="17" t="s">
        <v>477</v>
      </c>
      <c r="K8059" s="18" t="s">
        <v>477</v>
      </c>
      <c r="N8059" s="17" t="str">
        <f>IFERROR(__xludf.DUMMYFUNCTION("""COMPUTED_VALUE"""),"")</f>
        <v/>
      </c>
      <c r="O8059" s="17"/>
    </row>
    <row r="8060">
      <c r="B8060" s="17" t="s">
        <v>477</v>
      </c>
      <c r="K8060" s="18" t="s">
        <v>477</v>
      </c>
      <c r="N8060" s="17" t="str">
        <f>IFERROR(__xludf.DUMMYFUNCTION("""COMPUTED_VALUE"""),"")</f>
        <v/>
      </c>
      <c r="O8060" s="17"/>
    </row>
    <row r="8061">
      <c r="B8061" s="17" t="s">
        <v>477</v>
      </c>
      <c r="K8061" s="18" t="s">
        <v>477</v>
      </c>
      <c r="N8061" s="17" t="str">
        <f>IFERROR(__xludf.DUMMYFUNCTION("""COMPUTED_VALUE"""),"")</f>
        <v/>
      </c>
      <c r="O8061" s="17"/>
    </row>
    <row r="8062">
      <c r="B8062" s="17" t="s">
        <v>477</v>
      </c>
      <c r="K8062" s="18" t="s">
        <v>477</v>
      </c>
      <c r="N8062" s="17" t="str">
        <f>IFERROR(__xludf.DUMMYFUNCTION("""COMPUTED_VALUE"""),"")</f>
        <v/>
      </c>
      <c r="O8062" s="17"/>
    </row>
    <row r="8063">
      <c r="B8063" s="17" t="s">
        <v>477</v>
      </c>
      <c r="K8063" s="18" t="s">
        <v>477</v>
      </c>
      <c r="N8063" s="17" t="str">
        <f>IFERROR(__xludf.DUMMYFUNCTION("""COMPUTED_VALUE"""),"")</f>
        <v/>
      </c>
      <c r="O8063" s="17"/>
    </row>
    <row r="8064">
      <c r="B8064" s="17" t="s">
        <v>477</v>
      </c>
      <c r="K8064" s="18" t="s">
        <v>477</v>
      </c>
      <c r="N8064" s="17" t="str">
        <f>IFERROR(__xludf.DUMMYFUNCTION("""COMPUTED_VALUE"""),"")</f>
        <v/>
      </c>
      <c r="O8064" s="17"/>
    </row>
    <row r="8065">
      <c r="B8065" s="17" t="s">
        <v>477</v>
      </c>
      <c r="K8065" s="18" t="s">
        <v>477</v>
      </c>
      <c r="N8065" s="17" t="str">
        <f>IFERROR(__xludf.DUMMYFUNCTION("""COMPUTED_VALUE"""),"")</f>
        <v/>
      </c>
      <c r="O8065" s="17"/>
    </row>
    <row r="8066">
      <c r="B8066" s="17" t="s">
        <v>477</v>
      </c>
      <c r="K8066" s="18" t="s">
        <v>477</v>
      </c>
      <c r="N8066" s="17" t="str">
        <f>IFERROR(__xludf.DUMMYFUNCTION("""COMPUTED_VALUE"""),"")</f>
        <v/>
      </c>
      <c r="O8066" s="17"/>
    </row>
    <row r="8067">
      <c r="B8067" s="17" t="s">
        <v>477</v>
      </c>
      <c r="K8067" s="18" t="s">
        <v>477</v>
      </c>
      <c r="N8067" s="17" t="str">
        <f>IFERROR(__xludf.DUMMYFUNCTION("""COMPUTED_VALUE"""),"")</f>
        <v/>
      </c>
      <c r="O8067" s="17"/>
    </row>
    <row r="8068">
      <c r="B8068" s="17" t="s">
        <v>477</v>
      </c>
      <c r="K8068" s="18" t="s">
        <v>477</v>
      </c>
      <c r="N8068" s="17" t="str">
        <f>IFERROR(__xludf.DUMMYFUNCTION("""COMPUTED_VALUE"""),"")</f>
        <v/>
      </c>
      <c r="O8068" s="17"/>
    </row>
    <row r="8069">
      <c r="B8069" s="17" t="s">
        <v>477</v>
      </c>
      <c r="K8069" s="18" t="s">
        <v>477</v>
      </c>
      <c r="N8069" s="17" t="str">
        <f>IFERROR(__xludf.DUMMYFUNCTION("""COMPUTED_VALUE"""),"")</f>
        <v/>
      </c>
      <c r="O8069" s="17"/>
    </row>
    <row r="8070">
      <c r="B8070" s="17" t="s">
        <v>477</v>
      </c>
      <c r="K8070" s="18" t="s">
        <v>477</v>
      </c>
      <c r="N8070" s="17" t="str">
        <f>IFERROR(__xludf.DUMMYFUNCTION("""COMPUTED_VALUE"""),"")</f>
        <v/>
      </c>
      <c r="O8070" s="17"/>
    </row>
    <row r="8071">
      <c r="B8071" s="17" t="s">
        <v>477</v>
      </c>
      <c r="K8071" s="18" t="s">
        <v>477</v>
      </c>
      <c r="N8071" s="17" t="str">
        <f>IFERROR(__xludf.DUMMYFUNCTION("""COMPUTED_VALUE"""),"")</f>
        <v/>
      </c>
      <c r="O8071" s="17"/>
    </row>
    <row r="8072">
      <c r="B8072" s="17" t="s">
        <v>477</v>
      </c>
      <c r="K8072" s="18" t="s">
        <v>477</v>
      </c>
      <c r="N8072" s="17" t="str">
        <f>IFERROR(__xludf.DUMMYFUNCTION("""COMPUTED_VALUE"""),"")</f>
        <v/>
      </c>
      <c r="O8072" s="17"/>
    </row>
    <row r="8073">
      <c r="B8073" s="17" t="s">
        <v>477</v>
      </c>
      <c r="K8073" s="18" t="s">
        <v>477</v>
      </c>
      <c r="N8073" s="17" t="str">
        <f>IFERROR(__xludf.DUMMYFUNCTION("""COMPUTED_VALUE"""),"")</f>
        <v/>
      </c>
      <c r="O8073" s="17"/>
    </row>
    <row r="8074">
      <c r="B8074" s="17" t="s">
        <v>477</v>
      </c>
      <c r="K8074" s="18" t="s">
        <v>477</v>
      </c>
      <c r="N8074" s="17" t="str">
        <f>IFERROR(__xludf.DUMMYFUNCTION("""COMPUTED_VALUE"""),"")</f>
        <v/>
      </c>
      <c r="O8074" s="17"/>
    </row>
    <row r="8075">
      <c r="B8075" s="17" t="s">
        <v>477</v>
      </c>
      <c r="K8075" s="18" t="s">
        <v>477</v>
      </c>
      <c r="N8075" s="17" t="str">
        <f>IFERROR(__xludf.DUMMYFUNCTION("""COMPUTED_VALUE"""),"")</f>
        <v/>
      </c>
      <c r="O8075" s="17"/>
    </row>
    <row r="8076">
      <c r="B8076" s="17" t="s">
        <v>477</v>
      </c>
      <c r="K8076" s="18" t="s">
        <v>477</v>
      </c>
      <c r="N8076" s="17" t="str">
        <f>IFERROR(__xludf.DUMMYFUNCTION("""COMPUTED_VALUE"""),"")</f>
        <v/>
      </c>
      <c r="O8076" s="17"/>
    </row>
    <row r="8077">
      <c r="B8077" s="17" t="s">
        <v>477</v>
      </c>
      <c r="K8077" s="18" t="s">
        <v>477</v>
      </c>
      <c r="N8077" s="17" t="str">
        <f>IFERROR(__xludf.DUMMYFUNCTION("""COMPUTED_VALUE"""),"")</f>
        <v/>
      </c>
      <c r="O8077" s="17"/>
    </row>
    <row r="8078">
      <c r="B8078" s="17" t="s">
        <v>477</v>
      </c>
      <c r="K8078" s="18" t="s">
        <v>477</v>
      </c>
      <c r="N8078" s="17" t="str">
        <f>IFERROR(__xludf.DUMMYFUNCTION("""COMPUTED_VALUE"""),"")</f>
        <v/>
      </c>
      <c r="O8078" s="17"/>
    </row>
    <row r="8079">
      <c r="B8079" s="17" t="s">
        <v>477</v>
      </c>
      <c r="K8079" s="18" t="s">
        <v>477</v>
      </c>
      <c r="N8079" s="17" t="str">
        <f>IFERROR(__xludf.DUMMYFUNCTION("""COMPUTED_VALUE"""),"")</f>
        <v/>
      </c>
      <c r="O8079" s="17"/>
    </row>
    <row r="8080">
      <c r="B8080" s="17" t="s">
        <v>477</v>
      </c>
      <c r="K8080" s="18" t="s">
        <v>477</v>
      </c>
      <c r="N8080" s="17" t="str">
        <f>IFERROR(__xludf.DUMMYFUNCTION("""COMPUTED_VALUE"""),"")</f>
        <v/>
      </c>
      <c r="O8080" s="17"/>
    </row>
    <row r="8081">
      <c r="B8081" s="17" t="s">
        <v>477</v>
      </c>
      <c r="K8081" s="18" t="s">
        <v>477</v>
      </c>
      <c r="N8081" s="17" t="str">
        <f>IFERROR(__xludf.DUMMYFUNCTION("""COMPUTED_VALUE"""),"")</f>
        <v/>
      </c>
      <c r="O8081" s="17"/>
    </row>
    <row r="8082">
      <c r="B8082" s="17" t="s">
        <v>477</v>
      </c>
      <c r="K8082" s="18" t="s">
        <v>477</v>
      </c>
      <c r="N8082" s="17" t="str">
        <f>IFERROR(__xludf.DUMMYFUNCTION("""COMPUTED_VALUE"""),"")</f>
        <v/>
      </c>
      <c r="O8082" s="17"/>
    </row>
    <row r="8083">
      <c r="B8083" s="17" t="s">
        <v>477</v>
      </c>
      <c r="K8083" s="18" t="s">
        <v>477</v>
      </c>
      <c r="N8083" s="17" t="str">
        <f>IFERROR(__xludf.DUMMYFUNCTION("""COMPUTED_VALUE"""),"")</f>
        <v/>
      </c>
      <c r="O8083" s="17"/>
    </row>
    <row r="8084">
      <c r="B8084" s="17" t="s">
        <v>477</v>
      </c>
      <c r="K8084" s="18" t="s">
        <v>477</v>
      </c>
      <c r="N8084" s="17" t="str">
        <f>IFERROR(__xludf.DUMMYFUNCTION("""COMPUTED_VALUE"""),"")</f>
        <v/>
      </c>
      <c r="O8084" s="17"/>
    </row>
    <row r="8085">
      <c r="B8085" s="17" t="s">
        <v>477</v>
      </c>
      <c r="K8085" s="18" t="s">
        <v>477</v>
      </c>
      <c r="N8085" s="17" t="str">
        <f>IFERROR(__xludf.DUMMYFUNCTION("""COMPUTED_VALUE"""),"")</f>
        <v/>
      </c>
      <c r="O8085" s="17"/>
    </row>
    <row r="8086">
      <c r="B8086" s="17" t="s">
        <v>477</v>
      </c>
      <c r="K8086" s="18" t="s">
        <v>477</v>
      </c>
      <c r="N8086" s="17" t="str">
        <f>IFERROR(__xludf.DUMMYFUNCTION("""COMPUTED_VALUE"""),"")</f>
        <v/>
      </c>
      <c r="O8086" s="17"/>
    </row>
    <row r="8087">
      <c r="B8087" s="17" t="s">
        <v>477</v>
      </c>
      <c r="K8087" s="18" t="s">
        <v>477</v>
      </c>
      <c r="N8087" s="17" t="str">
        <f>IFERROR(__xludf.DUMMYFUNCTION("""COMPUTED_VALUE"""),"")</f>
        <v/>
      </c>
      <c r="O8087" s="17"/>
    </row>
    <row r="8088">
      <c r="B8088" s="17" t="s">
        <v>477</v>
      </c>
      <c r="K8088" s="18" t="s">
        <v>477</v>
      </c>
      <c r="N8088" s="17" t="str">
        <f>IFERROR(__xludf.DUMMYFUNCTION("""COMPUTED_VALUE"""),"")</f>
        <v/>
      </c>
      <c r="O8088" s="17"/>
    </row>
    <row r="8089">
      <c r="B8089" s="17" t="s">
        <v>477</v>
      </c>
      <c r="K8089" s="18" t="s">
        <v>477</v>
      </c>
      <c r="N8089" s="17" t="str">
        <f>IFERROR(__xludf.DUMMYFUNCTION("""COMPUTED_VALUE"""),"")</f>
        <v/>
      </c>
      <c r="O8089" s="17"/>
    </row>
    <row r="8090">
      <c r="B8090" s="17" t="s">
        <v>477</v>
      </c>
      <c r="K8090" s="18" t="s">
        <v>477</v>
      </c>
      <c r="N8090" s="17" t="str">
        <f>IFERROR(__xludf.DUMMYFUNCTION("""COMPUTED_VALUE"""),"")</f>
        <v/>
      </c>
      <c r="O8090" s="17"/>
    </row>
    <row r="8091">
      <c r="B8091" s="17" t="s">
        <v>477</v>
      </c>
      <c r="K8091" s="18" t="s">
        <v>477</v>
      </c>
      <c r="N8091" s="17" t="str">
        <f>IFERROR(__xludf.DUMMYFUNCTION("""COMPUTED_VALUE"""),"")</f>
        <v/>
      </c>
      <c r="O8091" s="17"/>
    </row>
    <row r="8092">
      <c r="B8092" s="17" t="s">
        <v>477</v>
      </c>
      <c r="K8092" s="18" t="s">
        <v>477</v>
      </c>
      <c r="N8092" s="17" t="str">
        <f>IFERROR(__xludf.DUMMYFUNCTION("""COMPUTED_VALUE"""),"")</f>
        <v/>
      </c>
      <c r="O8092" s="17"/>
    </row>
    <row r="8093">
      <c r="B8093" s="17" t="s">
        <v>477</v>
      </c>
      <c r="K8093" s="18" t="s">
        <v>477</v>
      </c>
      <c r="N8093" s="17" t="str">
        <f>IFERROR(__xludf.DUMMYFUNCTION("""COMPUTED_VALUE"""),"")</f>
        <v/>
      </c>
      <c r="O8093" s="17"/>
    </row>
    <row r="8094">
      <c r="B8094" s="17" t="s">
        <v>477</v>
      </c>
      <c r="K8094" s="18" t="s">
        <v>477</v>
      </c>
      <c r="N8094" s="17" t="str">
        <f>IFERROR(__xludf.DUMMYFUNCTION("""COMPUTED_VALUE"""),"")</f>
        <v/>
      </c>
      <c r="O8094" s="17"/>
    </row>
    <row r="8095">
      <c r="B8095" s="17" t="s">
        <v>477</v>
      </c>
      <c r="K8095" s="18" t="s">
        <v>477</v>
      </c>
      <c r="N8095" s="17" t="str">
        <f>IFERROR(__xludf.DUMMYFUNCTION("""COMPUTED_VALUE"""),"")</f>
        <v/>
      </c>
      <c r="O8095" s="17"/>
    </row>
    <row r="8096">
      <c r="B8096" s="17" t="s">
        <v>477</v>
      </c>
      <c r="K8096" s="18" t="s">
        <v>477</v>
      </c>
      <c r="N8096" s="17" t="str">
        <f>IFERROR(__xludf.DUMMYFUNCTION("""COMPUTED_VALUE"""),"")</f>
        <v/>
      </c>
      <c r="O8096" s="17"/>
    </row>
    <row r="8097">
      <c r="B8097" s="17" t="s">
        <v>477</v>
      </c>
      <c r="K8097" s="18" t="s">
        <v>477</v>
      </c>
      <c r="N8097" s="17" t="str">
        <f>IFERROR(__xludf.DUMMYFUNCTION("""COMPUTED_VALUE"""),"")</f>
        <v/>
      </c>
      <c r="O8097" s="17"/>
    </row>
    <row r="8098">
      <c r="B8098" s="17" t="s">
        <v>477</v>
      </c>
      <c r="K8098" s="18" t="s">
        <v>477</v>
      </c>
      <c r="N8098" s="17" t="str">
        <f>IFERROR(__xludf.DUMMYFUNCTION("""COMPUTED_VALUE"""),"")</f>
        <v/>
      </c>
      <c r="O8098" s="17"/>
    </row>
    <row r="8099">
      <c r="B8099" s="17" t="s">
        <v>477</v>
      </c>
      <c r="K8099" s="18" t="s">
        <v>477</v>
      </c>
      <c r="N8099" s="17" t="str">
        <f>IFERROR(__xludf.DUMMYFUNCTION("""COMPUTED_VALUE"""),"")</f>
        <v/>
      </c>
      <c r="O8099" s="17"/>
    </row>
    <row r="8100">
      <c r="B8100" s="17" t="s">
        <v>477</v>
      </c>
      <c r="K8100" s="18" t="s">
        <v>477</v>
      </c>
      <c r="N8100" s="17" t="str">
        <f>IFERROR(__xludf.DUMMYFUNCTION("""COMPUTED_VALUE"""),"")</f>
        <v/>
      </c>
      <c r="O8100" s="17"/>
    </row>
    <row r="8101">
      <c r="B8101" s="17" t="s">
        <v>477</v>
      </c>
      <c r="K8101" s="18" t="s">
        <v>477</v>
      </c>
      <c r="N8101" s="17" t="str">
        <f>IFERROR(__xludf.DUMMYFUNCTION("""COMPUTED_VALUE"""),"")</f>
        <v/>
      </c>
      <c r="O8101" s="17"/>
    </row>
    <row r="8102">
      <c r="B8102" s="17" t="s">
        <v>477</v>
      </c>
      <c r="K8102" s="18" t="s">
        <v>477</v>
      </c>
      <c r="N8102" s="17" t="str">
        <f>IFERROR(__xludf.DUMMYFUNCTION("""COMPUTED_VALUE"""),"")</f>
        <v/>
      </c>
      <c r="O8102" s="17"/>
    </row>
    <row r="8103">
      <c r="B8103" s="17" t="s">
        <v>477</v>
      </c>
      <c r="K8103" s="18" t="s">
        <v>477</v>
      </c>
      <c r="N8103" s="17" t="str">
        <f>IFERROR(__xludf.DUMMYFUNCTION("""COMPUTED_VALUE"""),"")</f>
        <v/>
      </c>
      <c r="O8103" s="17"/>
    </row>
    <row r="8104">
      <c r="B8104" s="17" t="s">
        <v>477</v>
      </c>
      <c r="K8104" s="18" t="s">
        <v>477</v>
      </c>
      <c r="N8104" s="17" t="str">
        <f>IFERROR(__xludf.DUMMYFUNCTION("""COMPUTED_VALUE"""),"")</f>
        <v/>
      </c>
      <c r="O8104" s="17"/>
    </row>
    <row r="8105">
      <c r="B8105" s="17" t="s">
        <v>477</v>
      </c>
      <c r="K8105" s="18" t="s">
        <v>477</v>
      </c>
      <c r="N8105" s="17" t="str">
        <f>IFERROR(__xludf.DUMMYFUNCTION("""COMPUTED_VALUE"""),"")</f>
        <v/>
      </c>
      <c r="O8105" s="17"/>
    </row>
    <row r="8106">
      <c r="B8106" s="17" t="s">
        <v>477</v>
      </c>
      <c r="K8106" s="18" t="s">
        <v>477</v>
      </c>
      <c r="N8106" s="17" t="str">
        <f>IFERROR(__xludf.DUMMYFUNCTION("""COMPUTED_VALUE"""),"")</f>
        <v/>
      </c>
      <c r="O8106" s="17"/>
    </row>
    <row r="8107">
      <c r="B8107" s="17" t="s">
        <v>477</v>
      </c>
      <c r="K8107" s="18" t="s">
        <v>477</v>
      </c>
      <c r="N8107" s="17" t="str">
        <f>IFERROR(__xludf.DUMMYFUNCTION("""COMPUTED_VALUE"""),"")</f>
        <v/>
      </c>
      <c r="O8107" s="17"/>
    </row>
    <row r="8108">
      <c r="B8108" s="17" t="s">
        <v>477</v>
      </c>
      <c r="K8108" s="18" t="s">
        <v>477</v>
      </c>
      <c r="N8108" s="17" t="str">
        <f>IFERROR(__xludf.DUMMYFUNCTION("""COMPUTED_VALUE"""),"")</f>
        <v/>
      </c>
      <c r="O8108" s="17"/>
    </row>
    <row r="8109">
      <c r="B8109" s="17" t="s">
        <v>477</v>
      </c>
      <c r="K8109" s="18" t="s">
        <v>477</v>
      </c>
      <c r="N8109" s="17" t="str">
        <f>IFERROR(__xludf.DUMMYFUNCTION("""COMPUTED_VALUE"""),"")</f>
        <v/>
      </c>
      <c r="O8109" s="17"/>
    </row>
    <row r="8110">
      <c r="B8110" s="17" t="s">
        <v>477</v>
      </c>
      <c r="K8110" s="18" t="s">
        <v>477</v>
      </c>
      <c r="N8110" s="17" t="str">
        <f>IFERROR(__xludf.DUMMYFUNCTION("""COMPUTED_VALUE"""),"")</f>
        <v/>
      </c>
      <c r="O8110" s="17"/>
    </row>
    <row r="8111">
      <c r="B8111" s="17" t="s">
        <v>477</v>
      </c>
      <c r="K8111" s="18" t="s">
        <v>477</v>
      </c>
      <c r="N8111" s="17" t="str">
        <f>IFERROR(__xludf.DUMMYFUNCTION("""COMPUTED_VALUE"""),"")</f>
        <v/>
      </c>
      <c r="O8111" s="17"/>
    </row>
    <row r="8112">
      <c r="B8112" s="17" t="s">
        <v>477</v>
      </c>
      <c r="K8112" s="18" t="s">
        <v>477</v>
      </c>
      <c r="N8112" s="17" t="str">
        <f>IFERROR(__xludf.DUMMYFUNCTION("""COMPUTED_VALUE"""),"")</f>
        <v/>
      </c>
      <c r="O8112" s="17"/>
    </row>
    <row r="8113">
      <c r="B8113" s="17" t="s">
        <v>477</v>
      </c>
      <c r="K8113" s="18" t="s">
        <v>477</v>
      </c>
      <c r="N8113" s="17" t="str">
        <f>IFERROR(__xludf.DUMMYFUNCTION("""COMPUTED_VALUE"""),"")</f>
        <v/>
      </c>
      <c r="O8113" s="17"/>
    </row>
    <row r="8114">
      <c r="B8114" s="17" t="s">
        <v>477</v>
      </c>
      <c r="K8114" s="18" t="s">
        <v>477</v>
      </c>
      <c r="N8114" s="17" t="str">
        <f>IFERROR(__xludf.DUMMYFUNCTION("""COMPUTED_VALUE"""),"")</f>
        <v/>
      </c>
      <c r="O8114" s="17"/>
    </row>
    <row r="8115">
      <c r="B8115" s="17" t="s">
        <v>477</v>
      </c>
      <c r="K8115" s="18" t="s">
        <v>477</v>
      </c>
      <c r="N8115" s="17" t="str">
        <f>IFERROR(__xludf.DUMMYFUNCTION("""COMPUTED_VALUE"""),"")</f>
        <v/>
      </c>
      <c r="O8115" s="17"/>
    </row>
    <row r="8116">
      <c r="B8116" s="17" t="s">
        <v>477</v>
      </c>
      <c r="K8116" s="18" t="s">
        <v>477</v>
      </c>
      <c r="N8116" s="17" t="str">
        <f>IFERROR(__xludf.DUMMYFUNCTION("""COMPUTED_VALUE"""),"")</f>
        <v/>
      </c>
      <c r="O8116" s="17"/>
    </row>
    <row r="8117">
      <c r="B8117" s="17" t="s">
        <v>477</v>
      </c>
      <c r="K8117" s="18" t="s">
        <v>477</v>
      </c>
      <c r="N8117" s="17" t="str">
        <f>IFERROR(__xludf.DUMMYFUNCTION("""COMPUTED_VALUE"""),"")</f>
        <v/>
      </c>
      <c r="O8117" s="17"/>
    </row>
    <row r="8118">
      <c r="B8118" s="17" t="s">
        <v>477</v>
      </c>
      <c r="K8118" s="18" t="s">
        <v>477</v>
      </c>
      <c r="N8118" s="17" t="str">
        <f>IFERROR(__xludf.DUMMYFUNCTION("""COMPUTED_VALUE"""),"")</f>
        <v/>
      </c>
      <c r="O8118" s="17"/>
    </row>
    <row r="8119">
      <c r="B8119" s="17" t="s">
        <v>477</v>
      </c>
      <c r="K8119" s="18" t="s">
        <v>477</v>
      </c>
      <c r="N8119" s="17" t="str">
        <f>IFERROR(__xludf.DUMMYFUNCTION("""COMPUTED_VALUE"""),"")</f>
        <v/>
      </c>
      <c r="O8119" s="17"/>
    </row>
    <row r="8120">
      <c r="B8120" s="17" t="s">
        <v>477</v>
      </c>
      <c r="K8120" s="18" t="s">
        <v>477</v>
      </c>
      <c r="N8120" s="17" t="str">
        <f>IFERROR(__xludf.DUMMYFUNCTION("""COMPUTED_VALUE"""),"")</f>
        <v/>
      </c>
      <c r="O8120" s="17"/>
    </row>
    <row r="8121">
      <c r="B8121" s="17" t="s">
        <v>477</v>
      </c>
      <c r="K8121" s="18" t="s">
        <v>477</v>
      </c>
      <c r="N8121" s="17" t="str">
        <f>IFERROR(__xludf.DUMMYFUNCTION("""COMPUTED_VALUE"""),"")</f>
        <v/>
      </c>
      <c r="O8121" s="17"/>
    </row>
    <row r="8122">
      <c r="B8122" s="17" t="s">
        <v>477</v>
      </c>
      <c r="K8122" s="18" t="s">
        <v>477</v>
      </c>
      <c r="N8122" s="17" t="str">
        <f>IFERROR(__xludf.DUMMYFUNCTION("""COMPUTED_VALUE"""),"")</f>
        <v/>
      </c>
      <c r="O8122" s="17"/>
    </row>
    <row r="8123">
      <c r="B8123" s="17" t="s">
        <v>477</v>
      </c>
      <c r="K8123" s="18" t="s">
        <v>477</v>
      </c>
      <c r="N8123" s="17" t="str">
        <f>IFERROR(__xludf.DUMMYFUNCTION("""COMPUTED_VALUE"""),"")</f>
        <v/>
      </c>
      <c r="O8123" s="17"/>
    </row>
    <row r="8124">
      <c r="B8124" s="17" t="s">
        <v>477</v>
      </c>
      <c r="K8124" s="18" t="s">
        <v>477</v>
      </c>
      <c r="N8124" s="17" t="str">
        <f>IFERROR(__xludf.DUMMYFUNCTION("""COMPUTED_VALUE"""),"")</f>
        <v/>
      </c>
      <c r="O8124" s="17"/>
    </row>
    <row r="8125">
      <c r="B8125" s="17" t="s">
        <v>477</v>
      </c>
      <c r="K8125" s="18" t="s">
        <v>477</v>
      </c>
      <c r="N8125" s="17" t="str">
        <f>IFERROR(__xludf.DUMMYFUNCTION("""COMPUTED_VALUE"""),"")</f>
        <v/>
      </c>
      <c r="O8125" s="17"/>
    </row>
    <row r="8126">
      <c r="B8126" s="17" t="s">
        <v>477</v>
      </c>
      <c r="K8126" s="18" t="s">
        <v>477</v>
      </c>
      <c r="N8126" s="17" t="str">
        <f>IFERROR(__xludf.DUMMYFUNCTION("""COMPUTED_VALUE"""),"")</f>
        <v/>
      </c>
      <c r="O8126" s="17"/>
    </row>
    <row r="8127">
      <c r="B8127" s="17" t="s">
        <v>477</v>
      </c>
      <c r="K8127" s="18" t="s">
        <v>477</v>
      </c>
      <c r="N8127" s="17" t="str">
        <f>IFERROR(__xludf.DUMMYFUNCTION("""COMPUTED_VALUE"""),"")</f>
        <v/>
      </c>
      <c r="O8127" s="17"/>
    </row>
    <row r="8128">
      <c r="B8128" s="17" t="s">
        <v>477</v>
      </c>
      <c r="K8128" s="18" t="s">
        <v>477</v>
      </c>
      <c r="N8128" s="17" t="str">
        <f>IFERROR(__xludf.DUMMYFUNCTION("""COMPUTED_VALUE"""),"")</f>
        <v/>
      </c>
      <c r="O8128" s="17"/>
    </row>
    <row r="8129">
      <c r="B8129" s="17" t="s">
        <v>477</v>
      </c>
      <c r="K8129" s="18" t="s">
        <v>477</v>
      </c>
      <c r="N8129" s="17" t="str">
        <f>IFERROR(__xludf.DUMMYFUNCTION("""COMPUTED_VALUE"""),"")</f>
        <v/>
      </c>
      <c r="O8129" s="17"/>
    </row>
    <row r="8130">
      <c r="B8130" s="17" t="s">
        <v>477</v>
      </c>
      <c r="K8130" s="18" t="s">
        <v>477</v>
      </c>
      <c r="N8130" s="17" t="str">
        <f>IFERROR(__xludf.DUMMYFUNCTION("""COMPUTED_VALUE"""),"")</f>
        <v/>
      </c>
      <c r="O8130" s="17"/>
    </row>
    <row r="8131">
      <c r="B8131" s="17" t="s">
        <v>477</v>
      </c>
      <c r="K8131" s="18" t="s">
        <v>477</v>
      </c>
      <c r="N8131" s="17" t="str">
        <f>IFERROR(__xludf.DUMMYFUNCTION("""COMPUTED_VALUE"""),"")</f>
        <v/>
      </c>
      <c r="O8131" s="17"/>
    </row>
    <row r="8132">
      <c r="B8132" s="17" t="s">
        <v>477</v>
      </c>
      <c r="K8132" s="18" t="s">
        <v>477</v>
      </c>
      <c r="N8132" s="17" t="str">
        <f>IFERROR(__xludf.DUMMYFUNCTION("""COMPUTED_VALUE"""),"")</f>
        <v/>
      </c>
      <c r="O8132" s="17"/>
    </row>
    <row r="8133">
      <c r="B8133" s="17" t="s">
        <v>477</v>
      </c>
      <c r="K8133" s="18" t="s">
        <v>477</v>
      </c>
      <c r="N8133" s="17" t="str">
        <f>IFERROR(__xludf.DUMMYFUNCTION("""COMPUTED_VALUE"""),"")</f>
        <v/>
      </c>
      <c r="O8133" s="17"/>
    </row>
    <row r="8134">
      <c r="B8134" s="17" t="s">
        <v>477</v>
      </c>
      <c r="K8134" s="18" t="s">
        <v>477</v>
      </c>
      <c r="N8134" s="17" t="str">
        <f>IFERROR(__xludf.DUMMYFUNCTION("""COMPUTED_VALUE"""),"")</f>
        <v/>
      </c>
      <c r="O8134" s="17"/>
    </row>
    <row r="8135">
      <c r="B8135" s="17" t="s">
        <v>477</v>
      </c>
      <c r="K8135" s="18" t="s">
        <v>477</v>
      </c>
      <c r="N8135" s="17" t="str">
        <f>IFERROR(__xludf.DUMMYFUNCTION("""COMPUTED_VALUE"""),"")</f>
        <v/>
      </c>
      <c r="O8135" s="17"/>
    </row>
    <row r="8136">
      <c r="B8136" s="17" t="s">
        <v>477</v>
      </c>
      <c r="K8136" s="18" t="s">
        <v>477</v>
      </c>
      <c r="N8136" s="17" t="str">
        <f>IFERROR(__xludf.DUMMYFUNCTION("""COMPUTED_VALUE"""),"")</f>
        <v/>
      </c>
      <c r="O8136" s="17"/>
    </row>
    <row r="8137">
      <c r="B8137" s="17" t="s">
        <v>477</v>
      </c>
      <c r="K8137" s="18" t="s">
        <v>477</v>
      </c>
      <c r="N8137" s="17" t="str">
        <f>IFERROR(__xludf.DUMMYFUNCTION("""COMPUTED_VALUE"""),"")</f>
        <v/>
      </c>
      <c r="O8137" s="17"/>
    </row>
    <row r="8138">
      <c r="B8138" s="17" t="s">
        <v>477</v>
      </c>
      <c r="K8138" s="18" t="s">
        <v>477</v>
      </c>
      <c r="N8138" s="17" t="str">
        <f>IFERROR(__xludf.DUMMYFUNCTION("""COMPUTED_VALUE"""),"")</f>
        <v/>
      </c>
      <c r="O8138" s="17"/>
    </row>
    <row r="8139">
      <c r="B8139" s="17" t="s">
        <v>477</v>
      </c>
      <c r="K8139" s="18" t="s">
        <v>477</v>
      </c>
      <c r="N8139" s="17" t="str">
        <f>IFERROR(__xludf.DUMMYFUNCTION("""COMPUTED_VALUE"""),"")</f>
        <v/>
      </c>
      <c r="O8139" s="17"/>
    </row>
    <row r="8140">
      <c r="B8140" s="17" t="s">
        <v>477</v>
      </c>
      <c r="K8140" s="18" t="s">
        <v>477</v>
      </c>
      <c r="N8140" s="17" t="str">
        <f>IFERROR(__xludf.DUMMYFUNCTION("""COMPUTED_VALUE"""),"")</f>
        <v/>
      </c>
      <c r="O8140" s="17"/>
    </row>
    <row r="8141">
      <c r="B8141" s="17" t="s">
        <v>477</v>
      </c>
      <c r="K8141" s="18" t="s">
        <v>477</v>
      </c>
      <c r="N8141" s="17" t="str">
        <f>IFERROR(__xludf.DUMMYFUNCTION("""COMPUTED_VALUE"""),"")</f>
        <v/>
      </c>
      <c r="O8141" s="17"/>
    </row>
    <row r="8142">
      <c r="B8142" s="17" t="s">
        <v>477</v>
      </c>
      <c r="K8142" s="18" t="s">
        <v>477</v>
      </c>
      <c r="N8142" s="17" t="str">
        <f>IFERROR(__xludf.DUMMYFUNCTION("""COMPUTED_VALUE"""),"")</f>
        <v/>
      </c>
      <c r="O8142" s="17"/>
    </row>
    <row r="8143">
      <c r="B8143" s="17" t="s">
        <v>477</v>
      </c>
      <c r="K8143" s="18" t="s">
        <v>477</v>
      </c>
      <c r="N8143" s="17" t="str">
        <f>IFERROR(__xludf.DUMMYFUNCTION("""COMPUTED_VALUE"""),"")</f>
        <v/>
      </c>
      <c r="O8143" s="17"/>
    </row>
    <row r="8144">
      <c r="B8144" s="17" t="s">
        <v>477</v>
      </c>
      <c r="K8144" s="18" t="s">
        <v>477</v>
      </c>
      <c r="N8144" s="17" t="str">
        <f>IFERROR(__xludf.DUMMYFUNCTION("""COMPUTED_VALUE"""),"")</f>
        <v/>
      </c>
      <c r="O8144" s="17"/>
    </row>
    <row r="8145">
      <c r="B8145" s="17" t="s">
        <v>477</v>
      </c>
      <c r="K8145" s="18" t="s">
        <v>477</v>
      </c>
      <c r="N8145" s="17" t="str">
        <f>IFERROR(__xludf.DUMMYFUNCTION("""COMPUTED_VALUE"""),"")</f>
        <v/>
      </c>
      <c r="O8145" s="17"/>
    </row>
    <row r="8146">
      <c r="B8146" s="17" t="s">
        <v>477</v>
      </c>
      <c r="K8146" s="18" t="s">
        <v>477</v>
      </c>
      <c r="N8146" s="17" t="str">
        <f>IFERROR(__xludf.DUMMYFUNCTION("""COMPUTED_VALUE"""),"")</f>
        <v/>
      </c>
      <c r="O8146" s="17"/>
    </row>
    <row r="8147">
      <c r="B8147" s="17" t="s">
        <v>477</v>
      </c>
      <c r="K8147" s="18" t="s">
        <v>477</v>
      </c>
      <c r="N8147" s="17" t="str">
        <f>IFERROR(__xludf.DUMMYFUNCTION("""COMPUTED_VALUE"""),"")</f>
        <v/>
      </c>
      <c r="O8147" s="17"/>
    </row>
    <row r="8148">
      <c r="B8148" s="17" t="s">
        <v>477</v>
      </c>
      <c r="K8148" s="18" t="s">
        <v>477</v>
      </c>
      <c r="N8148" s="17" t="str">
        <f>IFERROR(__xludf.DUMMYFUNCTION("""COMPUTED_VALUE"""),"")</f>
        <v/>
      </c>
      <c r="O8148" s="17"/>
    </row>
    <row r="8149">
      <c r="B8149" s="17" t="s">
        <v>477</v>
      </c>
      <c r="K8149" s="18" t="s">
        <v>477</v>
      </c>
      <c r="N8149" s="17" t="str">
        <f>IFERROR(__xludf.DUMMYFUNCTION("""COMPUTED_VALUE"""),"")</f>
        <v/>
      </c>
      <c r="O8149" s="17"/>
    </row>
    <row r="8150">
      <c r="B8150" s="17" t="s">
        <v>477</v>
      </c>
      <c r="K8150" s="18" t="s">
        <v>477</v>
      </c>
      <c r="N8150" s="17" t="str">
        <f>IFERROR(__xludf.DUMMYFUNCTION("""COMPUTED_VALUE"""),"")</f>
        <v/>
      </c>
      <c r="O8150" s="17"/>
    </row>
    <row r="8151">
      <c r="B8151" s="17" t="s">
        <v>477</v>
      </c>
      <c r="K8151" s="18" t="s">
        <v>477</v>
      </c>
      <c r="N8151" s="17" t="str">
        <f>IFERROR(__xludf.DUMMYFUNCTION("""COMPUTED_VALUE"""),"")</f>
        <v/>
      </c>
      <c r="O8151" s="17"/>
    </row>
    <row r="8152">
      <c r="B8152" s="17" t="s">
        <v>477</v>
      </c>
      <c r="K8152" s="18" t="s">
        <v>477</v>
      </c>
      <c r="N8152" s="17" t="str">
        <f>IFERROR(__xludf.DUMMYFUNCTION("""COMPUTED_VALUE"""),"")</f>
        <v/>
      </c>
      <c r="O8152" s="17"/>
    </row>
    <row r="8153">
      <c r="B8153" s="17" t="s">
        <v>477</v>
      </c>
      <c r="K8153" s="18" t="s">
        <v>477</v>
      </c>
      <c r="N8153" s="17" t="str">
        <f>IFERROR(__xludf.DUMMYFUNCTION("""COMPUTED_VALUE"""),"")</f>
        <v/>
      </c>
      <c r="O8153" s="17"/>
    </row>
    <row r="8154">
      <c r="B8154" s="17" t="s">
        <v>477</v>
      </c>
      <c r="K8154" s="18" t="s">
        <v>477</v>
      </c>
      <c r="N8154" s="17" t="str">
        <f>IFERROR(__xludf.DUMMYFUNCTION("""COMPUTED_VALUE"""),"")</f>
        <v/>
      </c>
      <c r="O8154" s="17"/>
    </row>
    <row r="8155">
      <c r="B8155" s="17" t="s">
        <v>477</v>
      </c>
      <c r="K8155" s="18" t="s">
        <v>477</v>
      </c>
      <c r="N8155" s="17" t="str">
        <f>IFERROR(__xludf.DUMMYFUNCTION("""COMPUTED_VALUE"""),"")</f>
        <v/>
      </c>
      <c r="O8155" s="17"/>
    </row>
    <row r="8156">
      <c r="B8156" s="17" t="s">
        <v>477</v>
      </c>
      <c r="K8156" s="18" t="s">
        <v>477</v>
      </c>
      <c r="N8156" s="17" t="str">
        <f>IFERROR(__xludf.DUMMYFUNCTION("""COMPUTED_VALUE"""),"")</f>
        <v/>
      </c>
      <c r="O8156" s="17"/>
    </row>
    <row r="8157">
      <c r="B8157" s="17" t="s">
        <v>477</v>
      </c>
      <c r="K8157" s="18" t="s">
        <v>477</v>
      </c>
      <c r="N8157" s="17" t="str">
        <f>IFERROR(__xludf.DUMMYFUNCTION("""COMPUTED_VALUE"""),"")</f>
        <v/>
      </c>
      <c r="O8157" s="17"/>
    </row>
    <row r="8158">
      <c r="B8158" s="17" t="s">
        <v>477</v>
      </c>
      <c r="K8158" s="18" t="s">
        <v>477</v>
      </c>
      <c r="N8158" s="17" t="str">
        <f>IFERROR(__xludf.DUMMYFUNCTION("""COMPUTED_VALUE"""),"")</f>
        <v/>
      </c>
      <c r="O8158" s="17"/>
    </row>
    <row r="8159">
      <c r="B8159" s="17" t="s">
        <v>477</v>
      </c>
      <c r="K8159" s="18" t="s">
        <v>477</v>
      </c>
      <c r="N8159" s="17" t="str">
        <f>IFERROR(__xludf.DUMMYFUNCTION("""COMPUTED_VALUE"""),"")</f>
        <v/>
      </c>
      <c r="O8159" s="17"/>
    </row>
    <row r="8160">
      <c r="B8160" s="17" t="s">
        <v>477</v>
      </c>
      <c r="K8160" s="18" t="s">
        <v>477</v>
      </c>
      <c r="N8160" s="17" t="str">
        <f>IFERROR(__xludf.DUMMYFUNCTION("""COMPUTED_VALUE"""),"")</f>
        <v/>
      </c>
      <c r="O8160" s="17"/>
    </row>
    <row r="8161">
      <c r="B8161" s="17" t="s">
        <v>477</v>
      </c>
      <c r="K8161" s="18" t="s">
        <v>477</v>
      </c>
      <c r="N8161" s="17" t="str">
        <f>IFERROR(__xludf.DUMMYFUNCTION("""COMPUTED_VALUE"""),"")</f>
        <v/>
      </c>
      <c r="O8161" s="17"/>
    </row>
    <row r="8162">
      <c r="B8162" s="17" t="s">
        <v>477</v>
      </c>
      <c r="K8162" s="18" t="s">
        <v>477</v>
      </c>
      <c r="N8162" s="17" t="str">
        <f>IFERROR(__xludf.DUMMYFUNCTION("""COMPUTED_VALUE"""),"")</f>
        <v/>
      </c>
      <c r="O8162" s="17"/>
    </row>
    <row r="8163">
      <c r="B8163" s="17" t="s">
        <v>477</v>
      </c>
      <c r="K8163" s="18" t="s">
        <v>477</v>
      </c>
      <c r="N8163" s="17" t="str">
        <f>IFERROR(__xludf.DUMMYFUNCTION("""COMPUTED_VALUE"""),"")</f>
        <v/>
      </c>
      <c r="O8163" s="17"/>
    </row>
    <row r="8164">
      <c r="B8164" s="17" t="s">
        <v>477</v>
      </c>
      <c r="K8164" s="18" t="s">
        <v>477</v>
      </c>
      <c r="N8164" s="17" t="str">
        <f>IFERROR(__xludf.DUMMYFUNCTION("""COMPUTED_VALUE"""),"")</f>
        <v/>
      </c>
      <c r="O8164" s="17"/>
    </row>
    <row r="8165">
      <c r="B8165" s="17" t="s">
        <v>477</v>
      </c>
      <c r="K8165" s="18" t="s">
        <v>477</v>
      </c>
      <c r="N8165" s="17" t="str">
        <f>IFERROR(__xludf.DUMMYFUNCTION("""COMPUTED_VALUE"""),"")</f>
        <v/>
      </c>
      <c r="O8165" s="17"/>
    </row>
    <row r="8166">
      <c r="B8166" s="17" t="s">
        <v>477</v>
      </c>
      <c r="K8166" s="18" t="s">
        <v>477</v>
      </c>
      <c r="N8166" s="17" t="str">
        <f>IFERROR(__xludf.DUMMYFUNCTION("""COMPUTED_VALUE"""),"")</f>
        <v/>
      </c>
      <c r="O8166" s="17"/>
    </row>
    <row r="8167">
      <c r="B8167" s="17" t="s">
        <v>477</v>
      </c>
      <c r="K8167" s="18" t="s">
        <v>477</v>
      </c>
      <c r="N8167" s="17" t="str">
        <f>IFERROR(__xludf.DUMMYFUNCTION("""COMPUTED_VALUE"""),"")</f>
        <v/>
      </c>
      <c r="O8167" s="17"/>
    </row>
    <row r="8168">
      <c r="B8168" s="17" t="s">
        <v>477</v>
      </c>
      <c r="K8168" s="18" t="s">
        <v>477</v>
      </c>
      <c r="N8168" s="17" t="str">
        <f>IFERROR(__xludf.DUMMYFUNCTION("""COMPUTED_VALUE"""),"")</f>
        <v/>
      </c>
      <c r="O8168" s="17"/>
    </row>
    <row r="8169">
      <c r="B8169" s="17" t="s">
        <v>477</v>
      </c>
      <c r="K8169" s="18" t="s">
        <v>477</v>
      </c>
      <c r="N8169" s="17" t="str">
        <f>IFERROR(__xludf.DUMMYFUNCTION("""COMPUTED_VALUE"""),"")</f>
        <v/>
      </c>
      <c r="O8169" s="17"/>
    </row>
    <row r="8170">
      <c r="B8170" s="17" t="s">
        <v>477</v>
      </c>
      <c r="K8170" s="18" t="s">
        <v>477</v>
      </c>
      <c r="N8170" s="17" t="str">
        <f>IFERROR(__xludf.DUMMYFUNCTION("""COMPUTED_VALUE"""),"")</f>
        <v/>
      </c>
      <c r="O8170" s="17"/>
    </row>
    <row r="8171">
      <c r="B8171" s="17" t="s">
        <v>477</v>
      </c>
      <c r="K8171" s="18" t="s">
        <v>477</v>
      </c>
      <c r="N8171" s="17" t="str">
        <f>IFERROR(__xludf.DUMMYFUNCTION("""COMPUTED_VALUE"""),"")</f>
        <v/>
      </c>
      <c r="O8171" s="17"/>
    </row>
    <row r="8172">
      <c r="B8172" s="17" t="s">
        <v>477</v>
      </c>
      <c r="K8172" s="18" t="s">
        <v>477</v>
      </c>
      <c r="N8172" s="17" t="str">
        <f>IFERROR(__xludf.DUMMYFUNCTION("""COMPUTED_VALUE"""),"")</f>
        <v/>
      </c>
      <c r="O8172" s="17"/>
    </row>
    <row r="8173">
      <c r="B8173" s="17" t="s">
        <v>477</v>
      </c>
      <c r="K8173" s="18" t="s">
        <v>477</v>
      </c>
      <c r="N8173" s="17" t="str">
        <f>IFERROR(__xludf.DUMMYFUNCTION("""COMPUTED_VALUE"""),"")</f>
        <v/>
      </c>
      <c r="O8173" s="17"/>
    </row>
    <row r="8174">
      <c r="B8174" s="17" t="s">
        <v>477</v>
      </c>
      <c r="K8174" s="18" t="s">
        <v>477</v>
      </c>
      <c r="N8174" s="17" t="str">
        <f>IFERROR(__xludf.DUMMYFUNCTION("""COMPUTED_VALUE"""),"")</f>
        <v/>
      </c>
      <c r="O8174" s="17"/>
    </row>
    <row r="8175">
      <c r="B8175" s="17" t="s">
        <v>477</v>
      </c>
      <c r="K8175" s="18" t="s">
        <v>477</v>
      </c>
      <c r="N8175" s="17" t="str">
        <f>IFERROR(__xludf.DUMMYFUNCTION("""COMPUTED_VALUE"""),"")</f>
        <v/>
      </c>
      <c r="O8175" s="17"/>
    </row>
    <row r="8176">
      <c r="B8176" s="17" t="s">
        <v>477</v>
      </c>
      <c r="K8176" s="18" t="s">
        <v>477</v>
      </c>
      <c r="N8176" s="17" t="str">
        <f>IFERROR(__xludf.DUMMYFUNCTION("""COMPUTED_VALUE"""),"")</f>
        <v/>
      </c>
      <c r="O8176" s="17"/>
    </row>
    <row r="8177">
      <c r="B8177" s="17" t="s">
        <v>477</v>
      </c>
      <c r="K8177" s="18" t="s">
        <v>477</v>
      </c>
      <c r="N8177" s="17" t="str">
        <f>IFERROR(__xludf.DUMMYFUNCTION("""COMPUTED_VALUE"""),"")</f>
        <v/>
      </c>
      <c r="O8177" s="17"/>
    </row>
    <row r="8178">
      <c r="B8178" s="17" t="s">
        <v>477</v>
      </c>
      <c r="K8178" s="18" t="s">
        <v>477</v>
      </c>
      <c r="N8178" s="17" t="str">
        <f>IFERROR(__xludf.DUMMYFUNCTION("""COMPUTED_VALUE"""),"")</f>
        <v/>
      </c>
      <c r="O8178" s="17"/>
    </row>
    <row r="8179">
      <c r="B8179" s="17" t="s">
        <v>477</v>
      </c>
      <c r="K8179" s="18" t="s">
        <v>477</v>
      </c>
      <c r="N8179" s="17" t="str">
        <f>IFERROR(__xludf.DUMMYFUNCTION("""COMPUTED_VALUE"""),"")</f>
        <v/>
      </c>
      <c r="O8179" s="17"/>
    </row>
    <row r="8180">
      <c r="B8180" s="17" t="s">
        <v>477</v>
      </c>
      <c r="K8180" s="18" t="s">
        <v>477</v>
      </c>
      <c r="N8180" s="17" t="str">
        <f>IFERROR(__xludf.DUMMYFUNCTION("""COMPUTED_VALUE"""),"")</f>
        <v/>
      </c>
      <c r="O8180" s="17"/>
    </row>
    <row r="8181">
      <c r="B8181" s="17" t="s">
        <v>477</v>
      </c>
      <c r="K8181" s="18" t="s">
        <v>477</v>
      </c>
      <c r="N8181" s="17" t="str">
        <f>IFERROR(__xludf.DUMMYFUNCTION("""COMPUTED_VALUE"""),"")</f>
        <v/>
      </c>
      <c r="O8181" s="17"/>
    </row>
    <row r="8182">
      <c r="B8182" s="17" t="s">
        <v>477</v>
      </c>
      <c r="K8182" s="18" t="s">
        <v>477</v>
      </c>
      <c r="N8182" s="17" t="str">
        <f>IFERROR(__xludf.DUMMYFUNCTION("""COMPUTED_VALUE"""),"")</f>
        <v/>
      </c>
      <c r="O8182" s="17"/>
    </row>
    <row r="8183">
      <c r="B8183" s="17" t="s">
        <v>477</v>
      </c>
      <c r="K8183" s="18" t="s">
        <v>477</v>
      </c>
      <c r="N8183" s="17" t="str">
        <f>IFERROR(__xludf.DUMMYFUNCTION("""COMPUTED_VALUE"""),"")</f>
        <v/>
      </c>
      <c r="O8183" s="17"/>
    </row>
    <row r="8184">
      <c r="B8184" s="17" t="s">
        <v>477</v>
      </c>
      <c r="K8184" s="18" t="s">
        <v>477</v>
      </c>
      <c r="N8184" s="17" t="str">
        <f>IFERROR(__xludf.DUMMYFUNCTION("""COMPUTED_VALUE"""),"")</f>
        <v/>
      </c>
      <c r="O8184" s="17"/>
    </row>
    <row r="8185">
      <c r="B8185" s="17" t="s">
        <v>477</v>
      </c>
      <c r="K8185" s="18" t="s">
        <v>477</v>
      </c>
      <c r="N8185" s="17" t="str">
        <f>IFERROR(__xludf.DUMMYFUNCTION("""COMPUTED_VALUE"""),"")</f>
        <v/>
      </c>
      <c r="O8185" s="17"/>
    </row>
    <row r="8186">
      <c r="B8186" s="17" t="s">
        <v>477</v>
      </c>
      <c r="K8186" s="18" t="s">
        <v>477</v>
      </c>
      <c r="N8186" s="17" t="str">
        <f>IFERROR(__xludf.DUMMYFUNCTION("""COMPUTED_VALUE"""),"")</f>
        <v/>
      </c>
      <c r="O8186" s="17"/>
    </row>
    <row r="8187">
      <c r="B8187" s="17" t="s">
        <v>477</v>
      </c>
      <c r="K8187" s="18" t="s">
        <v>477</v>
      </c>
      <c r="N8187" s="17" t="str">
        <f>IFERROR(__xludf.DUMMYFUNCTION("""COMPUTED_VALUE"""),"")</f>
        <v/>
      </c>
      <c r="O8187" s="17"/>
    </row>
    <row r="8188">
      <c r="B8188" s="17" t="s">
        <v>477</v>
      </c>
      <c r="K8188" s="18" t="s">
        <v>477</v>
      </c>
      <c r="N8188" s="17" t="str">
        <f>IFERROR(__xludf.DUMMYFUNCTION("""COMPUTED_VALUE"""),"")</f>
        <v/>
      </c>
      <c r="O8188" s="17"/>
    </row>
    <row r="8189">
      <c r="B8189" s="17" t="s">
        <v>477</v>
      </c>
      <c r="K8189" s="18" t="s">
        <v>477</v>
      </c>
      <c r="N8189" s="17" t="str">
        <f>IFERROR(__xludf.DUMMYFUNCTION("""COMPUTED_VALUE"""),"")</f>
        <v/>
      </c>
      <c r="O8189" s="17"/>
    </row>
    <row r="8190">
      <c r="B8190" s="17" t="s">
        <v>477</v>
      </c>
      <c r="K8190" s="18" t="s">
        <v>477</v>
      </c>
      <c r="N8190" s="17" t="str">
        <f>IFERROR(__xludf.DUMMYFUNCTION("""COMPUTED_VALUE"""),"")</f>
        <v/>
      </c>
      <c r="O8190" s="17"/>
    </row>
    <row r="8191">
      <c r="B8191" s="17" t="s">
        <v>477</v>
      </c>
      <c r="K8191" s="18" t="s">
        <v>477</v>
      </c>
      <c r="N8191" s="17" t="str">
        <f>IFERROR(__xludf.DUMMYFUNCTION("""COMPUTED_VALUE"""),"")</f>
        <v/>
      </c>
      <c r="O8191" s="17"/>
    </row>
    <row r="8192">
      <c r="B8192" s="17" t="s">
        <v>477</v>
      </c>
      <c r="K8192" s="18" t="s">
        <v>477</v>
      </c>
      <c r="N8192" s="17" t="str">
        <f>IFERROR(__xludf.DUMMYFUNCTION("""COMPUTED_VALUE"""),"")</f>
        <v/>
      </c>
      <c r="O8192" s="17"/>
    </row>
    <row r="8193">
      <c r="B8193" s="17" t="s">
        <v>477</v>
      </c>
      <c r="K8193" s="18" t="s">
        <v>477</v>
      </c>
      <c r="N8193" s="17" t="str">
        <f>IFERROR(__xludf.DUMMYFUNCTION("""COMPUTED_VALUE"""),"")</f>
        <v/>
      </c>
      <c r="O8193" s="17"/>
    </row>
    <row r="8194">
      <c r="B8194" s="17" t="s">
        <v>477</v>
      </c>
      <c r="K8194" s="18" t="s">
        <v>477</v>
      </c>
      <c r="N8194" s="17" t="str">
        <f>IFERROR(__xludf.DUMMYFUNCTION("""COMPUTED_VALUE"""),"")</f>
        <v/>
      </c>
      <c r="O8194" s="17"/>
    </row>
    <row r="8195">
      <c r="B8195" s="17" t="s">
        <v>477</v>
      </c>
      <c r="K8195" s="18" t="s">
        <v>477</v>
      </c>
      <c r="N8195" s="17" t="str">
        <f>IFERROR(__xludf.DUMMYFUNCTION("""COMPUTED_VALUE"""),"")</f>
        <v/>
      </c>
      <c r="O8195" s="17"/>
    </row>
    <row r="8196">
      <c r="B8196" s="17" t="s">
        <v>477</v>
      </c>
      <c r="K8196" s="18" t="s">
        <v>477</v>
      </c>
      <c r="N8196" s="17" t="str">
        <f>IFERROR(__xludf.DUMMYFUNCTION("""COMPUTED_VALUE"""),"")</f>
        <v/>
      </c>
      <c r="O8196" s="17"/>
    </row>
    <row r="8197">
      <c r="B8197" s="17" t="s">
        <v>477</v>
      </c>
      <c r="K8197" s="18" t="s">
        <v>477</v>
      </c>
      <c r="N8197" s="17" t="str">
        <f>IFERROR(__xludf.DUMMYFUNCTION("""COMPUTED_VALUE"""),"")</f>
        <v/>
      </c>
      <c r="O8197" s="17"/>
    </row>
    <row r="8198">
      <c r="B8198" s="17" t="s">
        <v>477</v>
      </c>
      <c r="K8198" s="18" t="s">
        <v>477</v>
      </c>
      <c r="N8198" s="17" t="str">
        <f>IFERROR(__xludf.DUMMYFUNCTION("""COMPUTED_VALUE"""),"")</f>
        <v/>
      </c>
      <c r="O8198" s="17"/>
    </row>
    <row r="8199">
      <c r="B8199" s="17" t="s">
        <v>477</v>
      </c>
      <c r="K8199" s="18" t="s">
        <v>477</v>
      </c>
      <c r="N8199" s="17" t="str">
        <f>IFERROR(__xludf.DUMMYFUNCTION("""COMPUTED_VALUE"""),"")</f>
        <v/>
      </c>
      <c r="O8199" s="17"/>
    </row>
    <row r="8200">
      <c r="B8200" s="17" t="s">
        <v>477</v>
      </c>
      <c r="K8200" s="18" t="s">
        <v>477</v>
      </c>
      <c r="N8200" s="17" t="str">
        <f>IFERROR(__xludf.DUMMYFUNCTION("""COMPUTED_VALUE"""),"")</f>
        <v/>
      </c>
      <c r="O8200" s="17"/>
    </row>
    <row r="8201">
      <c r="B8201" s="17" t="s">
        <v>477</v>
      </c>
      <c r="K8201" s="18" t="s">
        <v>477</v>
      </c>
      <c r="N8201" s="17" t="str">
        <f>IFERROR(__xludf.DUMMYFUNCTION("""COMPUTED_VALUE"""),"")</f>
        <v/>
      </c>
      <c r="O8201" s="17"/>
    </row>
    <row r="8202">
      <c r="B8202" s="17" t="s">
        <v>477</v>
      </c>
      <c r="K8202" s="18" t="s">
        <v>477</v>
      </c>
      <c r="N8202" s="17" t="str">
        <f>IFERROR(__xludf.DUMMYFUNCTION("""COMPUTED_VALUE"""),"")</f>
        <v/>
      </c>
      <c r="O8202" s="17"/>
    </row>
    <row r="8203">
      <c r="B8203" s="17" t="s">
        <v>477</v>
      </c>
      <c r="K8203" s="18" t="s">
        <v>477</v>
      </c>
      <c r="N8203" s="17" t="str">
        <f>IFERROR(__xludf.DUMMYFUNCTION("""COMPUTED_VALUE"""),"")</f>
        <v/>
      </c>
      <c r="O8203" s="17"/>
    </row>
    <row r="8204">
      <c r="B8204" s="17" t="s">
        <v>477</v>
      </c>
      <c r="K8204" s="18" t="s">
        <v>477</v>
      </c>
      <c r="N8204" s="17" t="str">
        <f>IFERROR(__xludf.DUMMYFUNCTION("""COMPUTED_VALUE"""),"")</f>
        <v/>
      </c>
      <c r="O8204" s="17"/>
    </row>
    <row r="8205">
      <c r="B8205" s="17" t="s">
        <v>477</v>
      </c>
      <c r="K8205" s="18" t="s">
        <v>477</v>
      </c>
      <c r="N8205" s="17" t="str">
        <f>IFERROR(__xludf.DUMMYFUNCTION("""COMPUTED_VALUE"""),"")</f>
        <v/>
      </c>
      <c r="O8205" s="17"/>
    </row>
    <row r="8206">
      <c r="B8206" s="17" t="s">
        <v>477</v>
      </c>
      <c r="K8206" s="18" t="s">
        <v>477</v>
      </c>
      <c r="N8206" s="17" t="str">
        <f>IFERROR(__xludf.DUMMYFUNCTION("""COMPUTED_VALUE"""),"")</f>
        <v/>
      </c>
      <c r="O8206" s="17"/>
    </row>
    <row r="8207">
      <c r="B8207" s="17" t="s">
        <v>477</v>
      </c>
      <c r="K8207" s="18" t="s">
        <v>477</v>
      </c>
      <c r="N8207" s="17" t="str">
        <f>IFERROR(__xludf.DUMMYFUNCTION("""COMPUTED_VALUE"""),"")</f>
        <v/>
      </c>
      <c r="O8207" s="17"/>
    </row>
    <row r="8208">
      <c r="B8208" s="17" t="s">
        <v>477</v>
      </c>
      <c r="K8208" s="18" t="s">
        <v>477</v>
      </c>
      <c r="N8208" s="17" t="str">
        <f>IFERROR(__xludf.DUMMYFUNCTION("""COMPUTED_VALUE"""),"")</f>
        <v/>
      </c>
      <c r="O8208" s="17"/>
    </row>
    <row r="8209">
      <c r="B8209" s="17" t="s">
        <v>477</v>
      </c>
      <c r="K8209" s="18" t="s">
        <v>477</v>
      </c>
      <c r="N8209" s="17" t="str">
        <f>IFERROR(__xludf.DUMMYFUNCTION("""COMPUTED_VALUE"""),"")</f>
        <v/>
      </c>
      <c r="O8209" s="17"/>
    </row>
    <row r="8210">
      <c r="B8210" s="17" t="s">
        <v>477</v>
      </c>
      <c r="K8210" s="18" t="s">
        <v>477</v>
      </c>
      <c r="N8210" s="17" t="str">
        <f>IFERROR(__xludf.DUMMYFUNCTION("""COMPUTED_VALUE"""),"")</f>
        <v/>
      </c>
      <c r="O8210" s="17"/>
    </row>
    <row r="8211">
      <c r="B8211" s="17" t="s">
        <v>477</v>
      </c>
      <c r="K8211" s="18" t="s">
        <v>477</v>
      </c>
      <c r="N8211" s="17" t="str">
        <f>IFERROR(__xludf.DUMMYFUNCTION("""COMPUTED_VALUE"""),"")</f>
        <v/>
      </c>
      <c r="O8211" s="17"/>
    </row>
    <row r="8212">
      <c r="B8212" s="17" t="s">
        <v>477</v>
      </c>
      <c r="K8212" s="18" t="s">
        <v>477</v>
      </c>
      <c r="N8212" s="17" t="str">
        <f>IFERROR(__xludf.DUMMYFUNCTION("""COMPUTED_VALUE"""),"")</f>
        <v/>
      </c>
      <c r="O8212" s="17"/>
    </row>
    <row r="8213">
      <c r="B8213" s="17" t="s">
        <v>477</v>
      </c>
      <c r="K8213" s="18" t="s">
        <v>477</v>
      </c>
      <c r="N8213" s="17" t="str">
        <f>IFERROR(__xludf.DUMMYFUNCTION("""COMPUTED_VALUE"""),"")</f>
        <v/>
      </c>
      <c r="O8213" s="17"/>
    </row>
    <row r="8214">
      <c r="B8214" s="17" t="s">
        <v>477</v>
      </c>
      <c r="K8214" s="18" t="s">
        <v>477</v>
      </c>
      <c r="N8214" s="17" t="str">
        <f>IFERROR(__xludf.DUMMYFUNCTION("""COMPUTED_VALUE"""),"")</f>
        <v/>
      </c>
      <c r="O8214" s="17"/>
    </row>
    <row r="8215">
      <c r="B8215" s="17" t="s">
        <v>477</v>
      </c>
      <c r="K8215" s="18" t="s">
        <v>477</v>
      </c>
      <c r="N8215" s="17" t="str">
        <f>IFERROR(__xludf.DUMMYFUNCTION("""COMPUTED_VALUE"""),"")</f>
        <v/>
      </c>
      <c r="O8215" s="17"/>
    </row>
    <row r="8216">
      <c r="B8216" s="17" t="s">
        <v>477</v>
      </c>
      <c r="K8216" s="18" t="s">
        <v>477</v>
      </c>
      <c r="N8216" s="17" t="str">
        <f>IFERROR(__xludf.DUMMYFUNCTION("""COMPUTED_VALUE"""),"")</f>
        <v/>
      </c>
      <c r="O8216" s="17"/>
    </row>
    <row r="8217">
      <c r="B8217" s="17" t="s">
        <v>477</v>
      </c>
      <c r="K8217" s="18" t="s">
        <v>477</v>
      </c>
      <c r="N8217" s="17" t="str">
        <f>IFERROR(__xludf.DUMMYFUNCTION("""COMPUTED_VALUE"""),"")</f>
        <v/>
      </c>
      <c r="O8217" s="17"/>
    </row>
    <row r="8218">
      <c r="B8218" s="17" t="s">
        <v>477</v>
      </c>
      <c r="K8218" s="18" t="s">
        <v>477</v>
      </c>
      <c r="N8218" s="17" t="str">
        <f>IFERROR(__xludf.DUMMYFUNCTION("""COMPUTED_VALUE"""),"")</f>
        <v/>
      </c>
      <c r="O8218" s="17"/>
    </row>
    <row r="8219">
      <c r="B8219" s="17" t="s">
        <v>477</v>
      </c>
      <c r="K8219" s="18" t="s">
        <v>477</v>
      </c>
      <c r="N8219" s="17" t="str">
        <f>IFERROR(__xludf.DUMMYFUNCTION("""COMPUTED_VALUE"""),"")</f>
        <v/>
      </c>
      <c r="O8219" s="17"/>
    </row>
    <row r="8220">
      <c r="B8220" s="17" t="s">
        <v>477</v>
      </c>
      <c r="K8220" s="18" t="s">
        <v>477</v>
      </c>
      <c r="N8220" s="17" t="str">
        <f>IFERROR(__xludf.DUMMYFUNCTION("""COMPUTED_VALUE"""),"")</f>
        <v/>
      </c>
      <c r="O8220" s="17"/>
    </row>
    <row r="8221">
      <c r="B8221" s="17" t="s">
        <v>477</v>
      </c>
      <c r="K8221" s="18" t="s">
        <v>477</v>
      </c>
      <c r="N8221" s="17" t="str">
        <f>IFERROR(__xludf.DUMMYFUNCTION("""COMPUTED_VALUE"""),"")</f>
        <v/>
      </c>
      <c r="O8221" s="17"/>
    </row>
    <row r="8222">
      <c r="B8222" s="17" t="s">
        <v>477</v>
      </c>
      <c r="K8222" s="18" t="s">
        <v>477</v>
      </c>
      <c r="N8222" s="17" t="str">
        <f>IFERROR(__xludf.DUMMYFUNCTION("""COMPUTED_VALUE"""),"")</f>
        <v/>
      </c>
      <c r="O8222" s="17"/>
    </row>
    <row r="8223">
      <c r="B8223" s="17" t="s">
        <v>477</v>
      </c>
      <c r="K8223" s="18" t="s">
        <v>477</v>
      </c>
      <c r="N8223" s="17" t="str">
        <f>IFERROR(__xludf.DUMMYFUNCTION("""COMPUTED_VALUE"""),"")</f>
        <v/>
      </c>
      <c r="O8223" s="17"/>
    </row>
    <row r="8224">
      <c r="B8224" s="17" t="s">
        <v>477</v>
      </c>
      <c r="K8224" s="18" t="s">
        <v>477</v>
      </c>
      <c r="N8224" s="17" t="str">
        <f>IFERROR(__xludf.DUMMYFUNCTION("""COMPUTED_VALUE"""),"")</f>
        <v/>
      </c>
      <c r="O8224" s="17"/>
    </row>
    <row r="8225">
      <c r="B8225" s="17" t="s">
        <v>477</v>
      </c>
      <c r="K8225" s="18" t="s">
        <v>477</v>
      </c>
      <c r="N8225" s="17" t="str">
        <f>IFERROR(__xludf.DUMMYFUNCTION("""COMPUTED_VALUE"""),"")</f>
        <v/>
      </c>
      <c r="O8225" s="17"/>
    </row>
    <row r="8226">
      <c r="B8226" s="17" t="s">
        <v>477</v>
      </c>
      <c r="K8226" s="18" t="s">
        <v>477</v>
      </c>
      <c r="N8226" s="17" t="str">
        <f>IFERROR(__xludf.DUMMYFUNCTION("""COMPUTED_VALUE"""),"")</f>
        <v/>
      </c>
      <c r="O8226" s="17"/>
    </row>
    <row r="8227">
      <c r="B8227" s="17" t="s">
        <v>477</v>
      </c>
      <c r="K8227" s="18" t="s">
        <v>477</v>
      </c>
      <c r="N8227" s="17" t="str">
        <f>IFERROR(__xludf.DUMMYFUNCTION("""COMPUTED_VALUE"""),"")</f>
        <v/>
      </c>
      <c r="O8227" s="17"/>
    </row>
    <row r="8228">
      <c r="B8228" s="17" t="s">
        <v>477</v>
      </c>
      <c r="K8228" s="18" t="s">
        <v>477</v>
      </c>
      <c r="N8228" s="17" t="str">
        <f>IFERROR(__xludf.DUMMYFUNCTION("""COMPUTED_VALUE"""),"")</f>
        <v/>
      </c>
      <c r="O8228" s="17"/>
    </row>
    <row r="8229">
      <c r="B8229" s="17" t="s">
        <v>477</v>
      </c>
      <c r="K8229" s="18" t="s">
        <v>477</v>
      </c>
      <c r="N8229" s="17" t="str">
        <f>IFERROR(__xludf.DUMMYFUNCTION("""COMPUTED_VALUE"""),"")</f>
        <v/>
      </c>
      <c r="O8229" s="17"/>
    </row>
    <row r="8230">
      <c r="B8230" s="17" t="s">
        <v>477</v>
      </c>
      <c r="K8230" s="18" t="s">
        <v>477</v>
      </c>
      <c r="N8230" s="17" t="str">
        <f>IFERROR(__xludf.DUMMYFUNCTION("""COMPUTED_VALUE"""),"")</f>
        <v/>
      </c>
      <c r="O8230" s="17"/>
    </row>
    <row r="8231">
      <c r="B8231" s="17" t="s">
        <v>477</v>
      </c>
      <c r="K8231" s="18" t="s">
        <v>477</v>
      </c>
      <c r="N8231" s="17" t="str">
        <f>IFERROR(__xludf.DUMMYFUNCTION("""COMPUTED_VALUE"""),"")</f>
        <v/>
      </c>
      <c r="O8231" s="17"/>
    </row>
    <row r="8232">
      <c r="B8232" s="17" t="s">
        <v>477</v>
      </c>
      <c r="K8232" s="18" t="s">
        <v>477</v>
      </c>
      <c r="N8232" s="17" t="str">
        <f>IFERROR(__xludf.DUMMYFUNCTION("""COMPUTED_VALUE"""),"")</f>
        <v/>
      </c>
      <c r="O8232" s="17"/>
    </row>
    <row r="8233">
      <c r="B8233" s="17" t="s">
        <v>477</v>
      </c>
      <c r="K8233" s="18" t="s">
        <v>477</v>
      </c>
      <c r="N8233" s="17" t="str">
        <f>IFERROR(__xludf.DUMMYFUNCTION("""COMPUTED_VALUE"""),"")</f>
        <v/>
      </c>
      <c r="O8233" s="17"/>
    </row>
    <row r="8234">
      <c r="B8234" s="17" t="s">
        <v>477</v>
      </c>
      <c r="K8234" s="18" t="s">
        <v>477</v>
      </c>
      <c r="N8234" s="17" t="str">
        <f>IFERROR(__xludf.DUMMYFUNCTION("""COMPUTED_VALUE"""),"")</f>
        <v/>
      </c>
      <c r="O8234" s="17"/>
    </row>
    <row r="8235">
      <c r="B8235" s="17" t="s">
        <v>477</v>
      </c>
      <c r="K8235" s="18" t="s">
        <v>477</v>
      </c>
      <c r="N8235" s="17" t="str">
        <f>IFERROR(__xludf.DUMMYFUNCTION("""COMPUTED_VALUE"""),"")</f>
        <v/>
      </c>
      <c r="O8235" s="17"/>
    </row>
    <row r="8236">
      <c r="B8236" s="17" t="s">
        <v>477</v>
      </c>
      <c r="K8236" s="18" t="s">
        <v>477</v>
      </c>
      <c r="N8236" s="17" t="str">
        <f>IFERROR(__xludf.DUMMYFUNCTION("""COMPUTED_VALUE"""),"")</f>
        <v/>
      </c>
      <c r="O8236" s="17"/>
    </row>
    <row r="8237">
      <c r="B8237" s="17" t="s">
        <v>477</v>
      </c>
      <c r="K8237" s="18" t="s">
        <v>477</v>
      </c>
      <c r="N8237" s="17" t="str">
        <f>IFERROR(__xludf.DUMMYFUNCTION("""COMPUTED_VALUE"""),"")</f>
        <v/>
      </c>
      <c r="O8237" s="17"/>
    </row>
    <row r="8238">
      <c r="B8238" s="17" t="s">
        <v>477</v>
      </c>
      <c r="K8238" s="18" t="s">
        <v>477</v>
      </c>
      <c r="N8238" s="17" t="str">
        <f>IFERROR(__xludf.DUMMYFUNCTION("""COMPUTED_VALUE"""),"")</f>
        <v/>
      </c>
      <c r="O8238" s="17"/>
    </row>
    <row r="8239">
      <c r="B8239" s="17" t="s">
        <v>477</v>
      </c>
      <c r="K8239" s="18" t="s">
        <v>477</v>
      </c>
      <c r="N8239" s="17" t="str">
        <f>IFERROR(__xludf.DUMMYFUNCTION("""COMPUTED_VALUE"""),"")</f>
        <v/>
      </c>
      <c r="O8239" s="17"/>
    </row>
    <row r="8240">
      <c r="B8240" s="17" t="s">
        <v>477</v>
      </c>
      <c r="K8240" s="18" t="s">
        <v>477</v>
      </c>
      <c r="N8240" s="17" t="str">
        <f>IFERROR(__xludf.DUMMYFUNCTION("""COMPUTED_VALUE"""),"")</f>
        <v/>
      </c>
      <c r="O8240" s="17"/>
    </row>
    <row r="8241">
      <c r="B8241" s="17" t="s">
        <v>477</v>
      </c>
      <c r="K8241" s="18" t="s">
        <v>477</v>
      </c>
      <c r="N8241" s="17" t="str">
        <f>IFERROR(__xludf.DUMMYFUNCTION("""COMPUTED_VALUE"""),"")</f>
        <v/>
      </c>
      <c r="O8241" s="17"/>
    </row>
    <row r="8242">
      <c r="B8242" s="17" t="s">
        <v>477</v>
      </c>
      <c r="K8242" s="18" t="s">
        <v>477</v>
      </c>
      <c r="N8242" s="17" t="str">
        <f>IFERROR(__xludf.DUMMYFUNCTION("""COMPUTED_VALUE"""),"")</f>
        <v/>
      </c>
      <c r="O8242" s="17"/>
    </row>
    <row r="8243">
      <c r="B8243" s="17" t="s">
        <v>477</v>
      </c>
      <c r="K8243" s="18" t="s">
        <v>477</v>
      </c>
      <c r="N8243" s="17" t="str">
        <f>IFERROR(__xludf.DUMMYFUNCTION("""COMPUTED_VALUE"""),"")</f>
        <v/>
      </c>
      <c r="O8243" s="17"/>
    </row>
    <row r="8244">
      <c r="B8244" s="17" t="s">
        <v>477</v>
      </c>
      <c r="K8244" s="18" t="s">
        <v>477</v>
      </c>
      <c r="N8244" s="17" t="str">
        <f>IFERROR(__xludf.DUMMYFUNCTION("""COMPUTED_VALUE"""),"")</f>
        <v/>
      </c>
      <c r="O8244" s="17"/>
    </row>
    <row r="8245">
      <c r="B8245" s="17" t="s">
        <v>477</v>
      </c>
      <c r="K8245" s="18" t="s">
        <v>477</v>
      </c>
      <c r="N8245" s="17" t="str">
        <f>IFERROR(__xludf.DUMMYFUNCTION("""COMPUTED_VALUE"""),"")</f>
        <v/>
      </c>
      <c r="O8245" s="17"/>
    </row>
    <row r="8246">
      <c r="B8246" s="17" t="s">
        <v>477</v>
      </c>
      <c r="K8246" s="18" t="s">
        <v>477</v>
      </c>
      <c r="N8246" s="17" t="str">
        <f>IFERROR(__xludf.DUMMYFUNCTION("""COMPUTED_VALUE"""),"")</f>
        <v/>
      </c>
      <c r="O8246" s="17"/>
    </row>
    <row r="8247">
      <c r="B8247" s="17" t="s">
        <v>477</v>
      </c>
      <c r="K8247" s="18" t="s">
        <v>477</v>
      </c>
      <c r="N8247" s="17" t="str">
        <f>IFERROR(__xludf.DUMMYFUNCTION("""COMPUTED_VALUE"""),"")</f>
        <v/>
      </c>
      <c r="O8247" s="17"/>
    </row>
    <row r="8248">
      <c r="B8248" s="17" t="s">
        <v>477</v>
      </c>
      <c r="K8248" s="18" t="s">
        <v>477</v>
      </c>
      <c r="N8248" s="17" t="str">
        <f>IFERROR(__xludf.DUMMYFUNCTION("""COMPUTED_VALUE"""),"")</f>
        <v/>
      </c>
      <c r="O8248" s="17"/>
    </row>
    <row r="8249">
      <c r="B8249" s="17" t="s">
        <v>477</v>
      </c>
      <c r="K8249" s="18" t="s">
        <v>477</v>
      </c>
      <c r="N8249" s="17" t="str">
        <f>IFERROR(__xludf.DUMMYFUNCTION("""COMPUTED_VALUE"""),"")</f>
        <v/>
      </c>
      <c r="O8249" s="17"/>
    </row>
    <row r="8250">
      <c r="B8250" s="17" t="s">
        <v>477</v>
      </c>
      <c r="K8250" s="18" t="s">
        <v>477</v>
      </c>
      <c r="N8250" s="17" t="str">
        <f>IFERROR(__xludf.DUMMYFUNCTION("""COMPUTED_VALUE"""),"")</f>
        <v/>
      </c>
      <c r="O8250" s="17"/>
    </row>
    <row r="8251">
      <c r="B8251" s="17" t="s">
        <v>477</v>
      </c>
      <c r="K8251" s="18" t="s">
        <v>477</v>
      </c>
      <c r="N8251" s="17" t="str">
        <f>IFERROR(__xludf.DUMMYFUNCTION("""COMPUTED_VALUE"""),"")</f>
        <v/>
      </c>
      <c r="O8251" s="17"/>
    </row>
    <row r="8252">
      <c r="B8252" s="17" t="s">
        <v>477</v>
      </c>
      <c r="K8252" s="18" t="s">
        <v>477</v>
      </c>
      <c r="N8252" s="17" t="str">
        <f>IFERROR(__xludf.DUMMYFUNCTION("""COMPUTED_VALUE"""),"")</f>
        <v/>
      </c>
      <c r="O8252" s="17"/>
    </row>
    <row r="8253">
      <c r="B8253" s="17" t="s">
        <v>477</v>
      </c>
      <c r="K8253" s="18" t="s">
        <v>477</v>
      </c>
      <c r="N8253" s="17" t="str">
        <f>IFERROR(__xludf.DUMMYFUNCTION("""COMPUTED_VALUE"""),"")</f>
        <v/>
      </c>
      <c r="O8253" s="17"/>
    </row>
    <row r="8254">
      <c r="B8254" s="17" t="s">
        <v>477</v>
      </c>
      <c r="K8254" s="18" t="s">
        <v>477</v>
      </c>
      <c r="N8254" s="17" t="str">
        <f>IFERROR(__xludf.DUMMYFUNCTION("""COMPUTED_VALUE"""),"")</f>
        <v/>
      </c>
      <c r="O8254" s="17"/>
    </row>
    <row r="8255">
      <c r="B8255" s="17" t="s">
        <v>477</v>
      </c>
      <c r="K8255" s="18" t="s">
        <v>477</v>
      </c>
      <c r="N8255" s="17" t="str">
        <f>IFERROR(__xludf.DUMMYFUNCTION("""COMPUTED_VALUE"""),"")</f>
        <v/>
      </c>
      <c r="O8255" s="17"/>
    </row>
    <row r="8256">
      <c r="B8256" s="17" t="s">
        <v>477</v>
      </c>
      <c r="K8256" s="18" t="s">
        <v>477</v>
      </c>
      <c r="N8256" s="17" t="str">
        <f>IFERROR(__xludf.DUMMYFUNCTION("""COMPUTED_VALUE"""),"")</f>
        <v/>
      </c>
      <c r="O8256" s="17"/>
    </row>
    <row r="8257">
      <c r="B8257" s="17" t="s">
        <v>477</v>
      </c>
      <c r="K8257" s="18" t="s">
        <v>477</v>
      </c>
      <c r="N8257" s="17" t="str">
        <f>IFERROR(__xludf.DUMMYFUNCTION("""COMPUTED_VALUE"""),"")</f>
        <v/>
      </c>
      <c r="O8257" s="17"/>
    </row>
    <row r="8258">
      <c r="B8258" s="17" t="s">
        <v>477</v>
      </c>
      <c r="K8258" s="18" t="s">
        <v>477</v>
      </c>
      <c r="N8258" s="17" t="str">
        <f>IFERROR(__xludf.DUMMYFUNCTION("""COMPUTED_VALUE"""),"")</f>
        <v/>
      </c>
      <c r="O8258" s="17"/>
    </row>
    <row r="8259">
      <c r="B8259" s="17" t="s">
        <v>477</v>
      </c>
      <c r="K8259" s="18" t="s">
        <v>477</v>
      </c>
      <c r="N8259" s="17" t="str">
        <f>IFERROR(__xludf.DUMMYFUNCTION("""COMPUTED_VALUE"""),"")</f>
        <v/>
      </c>
      <c r="O8259" s="17"/>
    </row>
    <row r="8260">
      <c r="B8260" s="17" t="s">
        <v>477</v>
      </c>
      <c r="K8260" s="18" t="s">
        <v>477</v>
      </c>
      <c r="N8260" s="17" t="str">
        <f>IFERROR(__xludf.DUMMYFUNCTION("""COMPUTED_VALUE"""),"")</f>
        <v/>
      </c>
      <c r="O8260" s="17"/>
    </row>
    <row r="8261">
      <c r="B8261" s="17" t="s">
        <v>477</v>
      </c>
      <c r="K8261" s="18" t="s">
        <v>477</v>
      </c>
      <c r="N8261" s="17" t="str">
        <f>IFERROR(__xludf.DUMMYFUNCTION("""COMPUTED_VALUE"""),"")</f>
        <v/>
      </c>
      <c r="O8261" s="17"/>
    </row>
    <row r="8262">
      <c r="B8262" s="17" t="s">
        <v>477</v>
      </c>
      <c r="K8262" s="18" t="s">
        <v>477</v>
      </c>
      <c r="N8262" s="17" t="str">
        <f>IFERROR(__xludf.DUMMYFUNCTION("""COMPUTED_VALUE"""),"")</f>
        <v/>
      </c>
      <c r="O8262" s="17"/>
    </row>
    <row r="8263">
      <c r="B8263" s="17" t="s">
        <v>477</v>
      </c>
      <c r="K8263" s="18" t="s">
        <v>477</v>
      </c>
      <c r="N8263" s="17" t="str">
        <f>IFERROR(__xludf.DUMMYFUNCTION("""COMPUTED_VALUE"""),"")</f>
        <v/>
      </c>
      <c r="O8263" s="17"/>
    </row>
    <row r="8264">
      <c r="B8264" s="17" t="s">
        <v>477</v>
      </c>
      <c r="K8264" s="18" t="s">
        <v>477</v>
      </c>
      <c r="N8264" s="17" t="str">
        <f>IFERROR(__xludf.DUMMYFUNCTION("""COMPUTED_VALUE"""),"")</f>
        <v/>
      </c>
      <c r="O8264" s="17"/>
    </row>
    <row r="8265">
      <c r="B8265" s="17" t="s">
        <v>477</v>
      </c>
      <c r="K8265" s="18" t="s">
        <v>477</v>
      </c>
      <c r="N8265" s="17" t="str">
        <f>IFERROR(__xludf.DUMMYFUNCTION("""COMPUTED_VALUE"""),"")</f>
        <v/>
      </c>
      <c r="O8265" s="17"/>
    </row>
    <row r="8266">
      <c r="B8266" s="17" t="s">
        <v>477</v>
      </c>
      <c r="K8266" s="18" t="s">
        <v>477</v>
      </c>
      <c r="N8266" s="17" t="str">
        <f>IFERROR(__xludf.DUMMYFUNCTION("""COMPUTED_VALUE"""),"")</f>
        <v/>
      </c>
      <c r="O8266" s="17"/>
    </row>
    <row r="8267">
      <c r="B8267" s="17" t="s">
        <v>477</v>
      </c>
      <c r="K8267" s="18" t="s">
        <v>477</v>
      </c>
      <c r="N8267" s="17" t="str">
        <f>IFERROR(__xludf.DUMMYFUNCTION("""COMPUTED_VALUE"""),"")</f>
        <v/>
      </c>
      <c r="O8267" s="17"/>
    </row>
    <row r="8268">
      <c r="B8268" s="17" t="s">
        <v>477</v>
      </c>
      <c r="K8268" s="18" t="s">
        <v>477</v>
      </c>
      <c r="N8268" s="17" t="str">
        <f>IFERROR(__xludf.DUMMYFUNCTION("""COMPUTED_VALUE"""),"")</f>
        <v/>
      </c>
      <c r="O8268" s="17"/>
    </row>
    <row r="8269">
      <c r="B8269" s="17" t="s">
        <v>477</v>
      </c>
      <c r="K8269" s="18" t="s">
        <v>477</v>
      </c>
      <c r="N8269" s="17" t="str">
        <f>IFERROR(__xludf.DUMMYFUNCTION("""COMPUTED_VALUE"""),"")</f>
        <v/>
      </c>
      <c r="O8269" s="17"/>
    </row>
    <row r="8270">
      <c r="B8270" s="17" t="s">
        <v>477</v>
      </c>
      <c r="K8270" s="18" t="s">
        <v>477</v>
      </c>
      <c r="N8270" s="17" t="str">
        <f>IFERROR(__xludf.DUMMYFUNCTION("""COMPUTED_VALUE"""),"")</f>
        <v/>
      </c>
      <c r="O8270" s="17"/>
    </row>
    <row r="8271">
      <c r="B8271" s="17" t="s">
        <v>477</v>
      </c>
      <c r="K8271" s="18" t="s">
        <v>477</v>
      </c>
      <c r="N8271" s="17" t="str">
        <f>IFERROR(__xludf.DUMMYFUNCTION("""COMPUTED_VALUE"""),"")</f>
        <v/>
      </c>
      <c r="O8271" s="17"/>
    </row>
    <row r="8272">
      <c r="B8272" s="17" t="s">
        <v>477</v>
      </c>
      <c r="K8272" s="18" t="s">
        <v>477</v>
      </c>
      <c r="N8272" s="17" t="str">
        <f>IFERROR(__xludf.DUMMYFUNCTION("""COMPUTED_VALUE"""),"")</f>
        <v/>
      </c>
      <c r="O8272" s="17"/>
    </row>
    <row r="8273">
      <c r="B8273" s="17" t="s">
        <v>477</v>
      </c>
      <c r="K8273" s="18" t="s">
        <v>477</v>
      </c>
      <c r="N8273" s="17" t="str">
        <f>IFERROR(__xludf.DUMMYFUNCTION("""COMPUTED_VALUE"""),"")</f>
        <v/>
      </c>
      <c r="O8273" s="17"/>
    </row>
    <row r="8274">
      <c r="B8274" s="17" t="s">
        <v>477</v>
      </c>
      <c r="K8274" s="18" t="s">
        <v>477</v>
      </c>
      <c r="N8274" s="17" t="str">
        <f>IFERROR(__xludf.DUMMYFUNCTION("""COMPUTED_VALUE"""),"")</f>
        <v/>
      </c>
      <c r="O8274" s="17"/>
    </row>
    <row r="8275">
      <c r="B8275" s="17" t="s">
        <v>477</v>
      </c>
      <c r="K8275" s="18" t="s">
        <v>477</v>
      </c>
      <c r="N8275" s="17" t="str">
        <f>IFERROR(__xludf.DUMMYFUNCTION("""COMPUTED_VALUE"""),"")</f>
        <v/>
      </c>
      <c r="O8275" s="17"/>
    </row>
    <row r="8276">
      <c r="B8276" s="17" t="s">
        <v>477</v>
      </c>
      <c r="K8276" s="18" t="s">
        <v>477</v>
      </c>
      <c r="N8276" s="17" t="str">
        <f>IFERROR(__xludf.DUMMYFUNCTION("""COMPUTED_VALUE"""),"")</f>
        <v/>
      </c>
      <c r="O8276" s="17"/>
    </row>
    <row r="8277">
      <c r="B8277" s="17" t="s">
        <v>477</v>
      </c>
      <c r="K8277" s="18" t="s">
        <v>477</v>
      </c>
      <c r="N8277" s="17" t="str">
        <f>IFERROR(__xludf.DUMMYFUNCTION("""COMPUTED_VALUE"""),"")</f>
        <v/>
      </c>
      <c r="O8277" s="17"/>
    </row>
    <row r="8278">
      <c r="B8278" s="17" t="s">
        <v>477</v>
      </c>
      <c r="K8278" s="18" t="s">
        <v>477</v>
      </c>
      <c r="N8278" s="17" t="str">
        <f>IFERROR(__xludf.DUMMYFUNCTION("""COMPUTED_VALUE"""),"")</f>
        <v/>
      </c>
      <c r="O8278" s="17"/>
    </row>
    <row r="8279">
      <c r="B8279" s="17" t="s">
        <v>477</v>
      </c>
      <c r="K8279" s="18" t="s">
        <v>477</v>
      </c>
      <c r="N8279" s="17" t="str">
        <f>IFERROR(__xludf.DUMMYFUNCTION("""COMPUTED_VALUE"""),"")</f>
        <v/>
      </c>
      <c r="O8279" s="17"/>
    </row>
    <row r="8280">
      <c r="B8280" s="17" t="s">
        <v>477</v>
      </c>
      <c r="K8280" s="18" t="s">
        <v>477</v>
      </c>
      <c r="N8280" s="17" t="str">
        <f>IFERROR(__xludf.DUMMYFUNCTION("""COMPUTED_VALUE"""),"")</f>
        <v/>
      </c>
      <c r="O8280" s="17"/>
    </row>
    <row r="8281">
      <c r="B8281" s="17" t="s">
        <v>477</v>
      </c>
      <c r="K8281" s="18" t="s">
        <v>477</v>
      </c>
      <c r="N8281" s="17" t="str">
        <f>IFERROR(__xludf.DUMMYFUNCTION("""COMPUTED_VALUE"""),"")</f>
        <v/>
      </c>
      <c r="O8281" s="17"/>
    </row>
    <row r="8282">
      <c r="B8282" s="17" t="s">
        <v>477</v>
      </c>
      <c r="K8282" s="18" t="s">
        <v>477</v>
      </c>
      <c r="N8282" s="17" t="str">
        <f>IFERROR(__xludf.DUMMYFUNCTION("""COMPUTED_VALUE"""),"")</f>
        <v/>
      </c>
      <c r="O8282" s="17"/>
    </row>
    <row r="8283">
      <c r="B8283" s="17" t="s">
        <v>477</v>
      </c>
      <c r="K8283" s="18" t="s">
        <v>477</v>
      </c>
      <c r="N8283" s="17" t="str">
        <f>IFERROR(__xludf.DUMMYFUNCTION("""COMPUTED_VALUE"""),"")</f>
        <v/>
      </c>
      <c r="O8283" s="17"/>
    </row>
    <row r="8284">
      <c r="B8284" s="17" t="s">
        <v>477</v>
      </c>
      <c r="K8284" s="18" t="s">
        <v>477</v>
      </c>
      <c r="N8284" s="17" t="str">
        <f>IFERROR(__xludf.DUMMYFUNCTION("""COMPUTED_VALUE"""),"")</f>
        <v/>
      </c>
      <c r="O8284" s="17"/>
    </row>
    <row r="8285">
      <c r="B8285" s="17" t="s">
        <v>477</v>
      </c>
      <c r="K8285" s="18" t="s">
        <v>477</v>
      </c>
      <c r="N8285" s="17" t="str">
        <f>IFERROR(__xludf.DUMMYFUNCTION("""COMPUTED_VALUE"""),"")</f>
        <v/>
      </c>
      <c r="O8285" s="17"/>
    </row>
    <row r="8286">
      <c r="B8286" s="17" t="s">
        <v>477</v>
      </c>
      <c r="K8286" s="18" t="s">
        <v>477</v>
      </c>
      <c r="N8286" s="17" t="str">
        <f>IFERROR(__xludf.DUMMYFUNCTION("""COMPUTED_VALUE"""),"")</f>
        <v/>
      </c>
      <c r="O8286" s="17"/>
    </row>
    <row r="8287">
      <c r="B8287" s="17" t="s">
        <v>477</v>
      </c>
      <c r="K8287" s="18" t="s">
        <v>477</v>
      </c>
      <c r="N8287" s="17" t="str">
        <f>IFERROR(__xludf.DUMMYFUNCTION("""COMPUTED_VALUE"""),"")</f>
        <v/>
      </c>
      <c r="O8287" s="17"/>
    </row>
    <row r="8288">
      <c r="B8288" s="17" t="s">
        <v>477</v>
      </c>
      <c r="K8288" s="18" t="s">
        <v>477</v>
      </c>
      <c r="N8288" s="17" t="str">
        <f>IFERROR(__xludf.DUMMYFUNCTION("""COMPUTED_VALUE"""),"")</f>
        <v/>
      </c>
      <c r="O8288" s="17"/>
    </row>
    <row r="8289">
      <c r="B8289" s="17" t="s">
        <v>477</v>
      </c>
      <c r="K8289" s="18" t="s">
        <v>477</v>
      </c>
      <c r="N8289" s="17" t="str">
        <f>IFERROR(__xludf.DUMMYFUNCTION("""COMPUTED_VALUE"""),"")</f>
        <v/>
      </c>
      <c r="O8289" s="17"/>
    </row>
    <row r="8290">
      <c r="B8290" s="17" t="s">
        <v>477</v>
      </c>
      <c r="K8290" s="18" t="s">
        <v>477</v>
      </c>
      <c r="N8290" s="17" t="str">
        <f>IFERROR(__xludf.DUMMYFUNCTION("""COMPUTED_VALUE"""),"")</f>
        <v/>
      </c>
      <c r="O8290" s="17"/>
    </row>
    <row r="8291">
      <c r="B8291" s="17" t="s">
        <v>477</v>
      </c>
      <c r="K8291" s="18" t="s">
        <v>477</v>
      </c>
      <c r="N8291" s="17" t="str">
        <f>IFERROR(__xludf.DUMMYFUNCTION("""COMPUTED_VALUE"""),"")</f>
        <v/>
      </c>
      <c r="O8291" s="17"/>
    </row>
    <row r="8292">
      <c r="B8292" s="17" t="s">
        <v>477</v>
      </c>
      <c r="K8292" s="18" t="s">
        <v>477</v>
      </c>
      <c r="N8292" s="17" t="str">
        <f>IFERROR(__xludf.DUMMYFUNCTION("""COMPUTED_VALUE"""),"")</f>
        <v/>
      </c>
      <c r="O8292" s="17"/>
    </row>
    <row r="8293">
      <c r="B8293" s="17" t="s">
        <v>477</v>
      </c>
      <c r="K8293" s="18" t="s">
        <v>477</v>
      </c>
      <c r="N8293" s="17" t="str">
        <f>IFERROR(__xludf.DUMMYFUNCTION("""COMPUTED_VALUE"""),"")</f>
        <v/>
      </c>
      <c r="O8293" s="17"/>
    </row>
    <row r="8294">
      <c r="B8294" s="17" t="s">
        <v>477</v>
      </c>
      <c r="K8294" s="18" t="s">
        <v>477</v>
      </c>
      <c r="N8294" s="17" t="str">
        <f>IFERROR(__xludf.DUMMYFUNCTION("""COMPUTED_VALUE"""),"")</f>
        <v/>
      </c>
      <c r="O8294" s="17"/>
    </row>
    <row r="8295">
      <c r="B8295" s="17" t="s">
        <v>477</v>
      </c>
      <c r="K8295" s="18" t="s">
        <v>477</v>
      </c>
      <c r="N8295" s="17" t="str">
        <f>IFERROR(__xludf.DUMMYFUNCTION("""COMPUTED_VALUE"""),"")</f>
        <v/>
      </c>
      <c r="O8295" s="17"/>
    </row>
    <row r="8296">
      <c r="B8296" s="17" t="s">
        <v>477</v>
      </c>
      <c r="K8296" s="18" t="s">
        <v>477</v>
      </c>
      <c r="N8296" s="17" t="str">
        <f>IFERROR(__xludf.DUMMYFUNCTION("""COMPUTED_VALUE"""),"")</f>
        <v/>
      </c>
      <c r="O8296" s="17"/>
    </row>
    <row r="8297">
      <c r="B8297" s="17" t="s">
        <v>477</v>
      </c>
      <c r="K8297" s="18" t="s">
        <v>477</v>
      </c>
      <c r="N8297" s="17" t="str">
        <f>IFERROR(__xludf.DUMMYFUNCTION("""COMPUTED_VALUE"""),"")</f>
        <v/>
      </c>
      <c r="O8297" s="17"/>
    </row>
    <row r="8298">
      <c r="B8298" s="17" t="s">
        <v>477</v>
      </c>
      <c r="K8298" s="18" t="s">
        <v>477</v>
      </c>
      <c r="N8298" s="17" t="str">
        <f>IFERROR(__xludf.DUMMYFUNCTION("""COMPUTED_VALUE"""),"")</f>
        <v/>
      </c>
      <c r="O8298" s="17"/>
    </row>
    <row r="8299">
      <c r="B8299" s="17" t="s">
        <v>477</v>
      </c>
      <c r="K8299" s="18" t="s">
        <v>477</v>
      </c>
      <c r="N8299" s="17" t="str">
        <f>IFERROR(__xludf.DUMMYFUNCTION("""COMPUTED_VALUE"""),"")</f>
        <v/>
      </c>
      <c r="O8299" s="17"/>
    </row>
    <row r="8300">
      <c r="B8300" s="17" t="s">
        <v>477</v>
      </c>
      <c r="K8300" s="18" t="s">
        <v>477</v>
      </c>
      <c r="N8300" s="17" t="str">
        <f>IFERROR(__xludf.DUMMYFUNCTION("""COMPUTED_VALUE"""),"")</f>
        <v/>
      </c>
      <c r="O8300" s="17"/>
    </row>
    <row r="8301">
      <c r="B8301" s="17" t="s">
        <v>477</v>
      </c>
      <c r="K8301" s="18" t="s">
        <v>477</v>
      </c>
      <c r="N8301" s="17" t="str">
        <f>IFERROR(__xludf.DUMMYFUNCTION("""COMPUTED_VALUE"""),"")</f>
        <v/>
      </c>
      <c r="O8301" s="17"/>
    </row>
    <row r="8302">
      <c r="B8302" s="17" t="s">
        <v>477</v>
      </c>
      <c r="K8302" s="18" t="s">
        <v>477</v>
      </c>
      <c r="N8302" s="17" t="str">
        <f>IFERROR(__xludf.DUMMYFUNCTION("""COMPUTED_VALUE"""),"")</f>
        <v/>
      </c>
      <c r="O8302" s="17"/>
    </row>
    <row r="8303">
      <c r="B8303" s="17" t="s">
        <v>477</v>
      </c>
      <c r="K8303" s="18" t="s">
        <v>477</v>
      </c>
      <c r="N8303" s="17" t="str">
        <f>IFERROR(__xludf.DUMMYFUNCTION("""COMPUTED_VALUE"""),"")</f>
        <v/>
      </c>
      <c r="O8303" s="17"/>
    </row>
    <row r="8304">
      <c r="B8304" s="17" t="s">
        <v>477</v>
      </c>
      <c r="K8304" s="18" t="s">
        <v>477</v>
      </c>
      <c r="N8304" s="17" t="str">
        <f>IFERROR(__xludf.DUMMYFUNCTION("""COMPUTED_VALUE"""),"")</f>
        <v/>
      </c>
      <c r="O8304" s="17"/>
    </row>
    <row r="8305">
      <c r="B8305" s="17" t="s">
        <v>477</v>
      </c>
      <c r="K8305" s="18" t="s">
        <v>477</v>
      </c>
      <c r="N8305" s="17" t="str">
        <f>IFERROR(__xludf.DUMMYFUNCTION("""COMPUTED_VALUE"""),"")</f>
        <v/>
      </c>
      <c r="O8305" s="17"/>
    </row>
    <row r="8306">
      <c r="B8306" s="17" t="s">
        <v>477</v>
      </c>
      <c r="K8306" s="18" t="s">
        <v>477</v>
      </c>
      <c r="N8306" s="17" t="str">
        <f>IFERROR(__xludf.DUMMYFUNCTION("""COMPUTED_VALUE"""),"")</f>
        <v/>
      </c>
      <c r="O8306" s="17"/>
    </row>
    <row r="8307">
      <c r="B8307" s="17" t="s">
        <v>477</v>
      </c>
      <c r="K8307" s="18" t="s">
        <v>477</v>
      </c>
      <c r="N8307" s="17" t="str">
        <f>IFERROR(__xludf.DUMMYFUNCTION("""COMPUTED_VALUE"""),"")</f>
        <v/>
      </c>
      <c r="O8307" s="17"/>
    </row>
    <row r="8308">
      <c r="B8308" s="17" t="s">
        <v>477</v>
      </c>
      <c r="K8308" s="18" t="s">
        <v>477</v>
      </c>
      <c r="N8308" s="17" t="str">
        <f>IFERROR(__xludf.DUMMYFUNCTION("""COMPUTED_VALUE"""),"")</f>
        <v/>
      </c>
      <c r="O8308" s="17"/>
    </row>
    <row r="8309">
      <c r="B8309" s="17" t="s">
        <v>477</v>
      </c>
      <c r="K8309" s="18" t="s">
        <v>477</v>
      </c>
      <c r="N8309" s="17" t="str">
        <f>IFERROR(__xludf.DUMMYFUNCTION("""COMPUTED_VALUE"""),"")</f>
        <v/>
      </c>
      <c r="O8309" s="17"/>
    </row>
    <row r="8310">
      <c r="B8310" s="17" t="s">
        <v>477</v>
      </c>
      <c r="K8310" s="18" t="s">
        <v>477</v>
      </c>
      <c r="N8310" s="17" t="str">
        <f>IFERROR(__xludf.DUMMYFUNCTION("""COMPUTED_VALUE"""),"")</f>
        <v/>
      </c>
      <c r="O8310" s="17"/>
    </row>
    <row r="8311">
      <c r="B8311" s="17" t="s">
        <v>477</v>
      </c>
      <c r="K8311" s="18" t="s">
        <v>477</v>
      </c>
      <c r="N8311" s="17" t="str">
        <f>IFERROR(__xludf.DUMMYFUNCTION("""COMPUTED_VALUE"""),"")</f>
        <v/>
      </c>
      <c r="O8311" s="17"/>
    </row>
    <row r="8312">
      <c r="B8312" s="17" t="s">
        <v>477</v>
      </c>
      <c r="K8312" s="18" t="s">
        <v>477</v>
      </c>
      <c r="N8312" s="17" t="str">
        <f>IFERROR(__xludf.DUMMYFUNCTION("""COMPUTED_VALUE"""),"")</f>
        <v/>
      </c>
      <c r="O8312" s="17"/>
    </row>
    <row r="8313">
      <c r="B8313" s="17" t="s">
        <v>477</v>
      </c>
      <c r="K8313" s="18" t="s">
        <v>477</v>
      </c>
      <c r="N8313" s="17" t="str">
        <f>IFERROR(__xludf.DUMMYFUNCTION("""COMPUTED_VALUE"""),"")</f>
        <v/>
      </c>
      <c r="O8313" s="17"/>
    </row>
    <row r="8314">
      <c r="B8314" s="17" t="s">
        <v>477</v>
      </c>
      <c r="K8314" s="18" t="s">
        <v>477</v>
      </c>
      <c r="N8314" s="17" t="str">
        <f>IFERROR(__xludf.DUMMYFUNCTION("""COMPUTED_VALUE"""),"")</f>
        <v/>
      </c>
      <c r="O8314" s="17"/>
    </row>
    <row r="8315">
      <c r="B8315" s="17" t="s">
        <v>477</v>
      </c>
      <c r="K8315" s="18" t="s">
        <v>477</v>
      </c>
      <c r="N8315" s="17" t="str">
        <f>IFERROR(__xludf.DUMMYFUNCTION("""COMPUTED_VALUE"""),"")</f>
        <v/>
      </c>
      <c r="O8315" s="17"/>
    </row>
    <row r="8316">
      <c r="B8316" s="17" t="s">
        <v>477</v>
      </c>
      <c r="K8316" s="18" t="s">
        <v>477</v>
      </c>
      <c r="N8316" s="17" t="str">
        <f>IFERROR(__xludf.DUMMYFUNCTION("""COMPUTED_VALUE"""),"")</f>
        <v/>
      </c>
      <c r="O8316" s="17"/>
    </row>
    <row r="8317">
      <c r="B8317" s="17" t="s">
        <v>477</v>
      </c>
      <c r="K8317" s="18" t="s">
        <v>477</v>
      </c>
      <c r="N8317" s="17" t="str">
        <f>IFERROR(__xludf.DUMMYFUNCTION("""COMPUTED_VALUE"""),"")</f>
        <v/>
      </c>
      <c r="O8317" s="17"/>
    </row>
    <row r="8318">
      <c r="B8318" s="17" t="s">
        <v>477</v>
      </c>
      <c r="K8318" s="18" t="s">
        <v>477</v>
      </c>
      <c r="N8318" s="17" t="str">
        <f>IFERROR(__xludf.DUMMYFUNCTION("""COMPUTED_VALUE"""),"")</f>
        <v/>
      </c>
      <c r="O8318" s="17"/>
    </row>
    <row r="8319">
      <c r="B8319" s="17" t="s">
        <v>477</v>
      </c>
      <c r="K8319" s="18" t="s">
        <v>477</v>
      </c>
      <c r="N8319" s="17" t="str">
        <f>IFERROR(__xludf.DUMMYFUNCTION("""COMPUTED_VALUE"""),"")</f>
        <v/>
      </c>
      <c r="O8319" s="17"/>
    </row>
    <row r="8320">
      <c r="B8320" s="17" t="s">
        <v>477</v>
      </c>
      <c r="K8320" s="18" t="s">
        <v>477</v>
      </c>
      <c r="N8320" s="17" t="str">
        <f>IFERROR(__xludf.DUMMYFUNCTION("""COMPUTED_VALUE"""),"")</f>
        <v/>
      </c>
      <c r="O8320" s="17"/>
    </row>
    <row r="8321">
      <c r="B8321" s="17" t="s">
        <v>477</v>
      </c>
      <c r="K8321" s="18" t="s">
        <v>477</v>
      </c>
      <c r="N8321" s="17" t="str">
        <f>IFERROR(__xludf.DUMMYFUNCTION("""COMPUTED_VALUE"""),"")</f>
        <v/>
      </c>
      <c r="O8321" s="17"/>
    </row>
    <row r="8322">
      <c r="B8322" s="17" t="s">
        <v>477</v>
      </c>
      <c r="K8322" s="18" t="s">
        <v>477</v>
      </c>
      <c r="N8322" s="17" t="str">
        <f>IFERROR(__xludf.DUMMYFUNCTION("""COMPUTED_VALUE"""),"")</f>
        <v/>
      </c>
      <c r="O8322" s="17"/>
    </row>
    <row r="8323">
      <c r="B8323" s="17" t="s">
        <v>477</v>
      </c>
      <c r="K8323" s="18" t="s">
        <v>477</v>
      </c>
      <c r="N8323" s="17" t="str">
        <f>IFERROR(__xludf.DUMMYFUNCTION("""COMPUTED_VALUE"""),"")</f>
        <v/>
      </c>
      <c r="O8323" s="17"/>
    </row>
    <row r="8324">
      <c r="B8324" s="17" t="s">
        <v>477</v>
      </c>
      <c r="K8324" s="18" t="s">
        <v>477</v>
      </c>
      <c r="N8324" s="17" t="str">
        <f>IFERROR(__xludf.DUMMYFUNCTION("""COMPUTED_VALUE"""),"")</f>
        <v/>
      </c>
      <c r="O8324" s="17"/>
    </row>
    <row r="8325">
      <c r="B8325" s="17" t="s">
        <v>477</v>
      </c>
      <c r="K8325" s="18" t="s">
        <v>477</v>
      </c>
      <c r="N8325" s="17" t="str">
        <f>IFERROR(__xludf.DUMMYFUNCTION("""COMPUTED_VALUE"""),"")</f>
        <v/>
      </c>
      <c r="O8325" s="17"/>
    </row>
    <row r="8326">
      <c r="B8326" s="17" t="s">
        <v>477</v>
      </c>
      <c r="K8326" s="18" t="s">
        <v>477</v>
      </c>
      <c r="N8326" s="17" t="str">
        <f>IFERROR(__xludf.DUMMYFUNCTION("""COMPUTED_VALUE"""),"")</f>
        <v/>
      </c>
      <c r="O8326" s="17"/>
    </row>
    <row r="8327">
      <c r="B8327" s="17" t="s">
        <v>477</v>
      </c>
      <c r="K8327" s="18" t="s">
        <v>477</v>
      </c>
      <c r="N8327" s="17" t="str">
        <f>IFERROR(__xludf.DUMMYFUNCTION("""COMPUTED_VALUE"""),"")</f>
        <v/>
      </c>
      <c r="O8327" s="17"/>
    </row>
    <row r="8328">
      <c r="B8328" s="17" t="s">
        <v>477</v>
      </c>
      <c r="K8328" s="18" t="s">
        <v>477</v>
      </c>
      <c r="N8328" s="17" t="str">
        <f>IFERROR(__xludf.DUMMYFUNCTION("""COMPUTED_VALUE"""),"")</f>
        <v/>
      </c>
      <c r="O8328" s="17"/>
    </row>
    <row r="8329">
      <c r="B8329" s="17" t="s">
        <v>477</v>
      </c>
      <c r="K8329" s="18" t="s">
        <v>477</v>
      </c>
      <c r="N8329" s="17" t="str">
        <f>IFERROR(__xludf.DUMMYFUNCTION("""COMPUTED_VALUE"""),"")</f>
        <v/>
      </c>
      <c r="O8329" s="17"/>
    </row>
    <row r="8330">
      <c r="B8330" s="17" t="s">
        <v>477</v>
      </c>
      <c r="K8330" s="18" t="s">
        <v>477</v>
      </c>
      <c r="N8330" s="17" t="str">
        <f>IFERROR(__xludf.DUMMYFUNCTION("""COMPUTED_VALUE"""),"")</f>
        <v/>
      </c>
      <c r="O8330" s="17"/>
    </row>
    <row r="8331">
      <c r="B8331" s="17" t="s">
        <v>477</v>
      </c>
      <c r="K8331" s="18" t="s">
        <v>477</v>
      </c>
      <c r="N8331" s="17" t="str">
        <f>IFERROR(__xludf.DUMMYFUNCTION("""COMPUTED_VALUE"""),"")</f>
        <v/>
      </c>
      <c r="O8331" s="17"/>
    </row>
    <row r="8332">
      <c r="B8332" s="17" t="s">
        <v>477</v>
      </c>
      <c r="K8332" s="18" t="s">
        <v>477</v>
      </c>
      <c r="N8332" s="17" t="str">
        <f>IFERROR(__xludf.DUMMYFUNCTION("""COMPUTED_VALUE"""),"")</f>
        <v/>
      </c>
      <c r="O8332" s="17"/>
    </row>
    <row r="8333">
      <c r="B8333" s="17" t="s">
        <v>477</v>
      </c>
      <c r="K8333" s="18" t="s">
        <v>477</v>
      </c>
      <c r="N8333" s="17" t="str">
        <f>IFERROR(__xludf.DUMMYFUNCTION("""COMPUTED_VALUE"""),"")</f>
        <v/>
      </c>
      <c r="O8333" s="17"/>
    </row>
    <row r="8334">
      <c r="B8334" s="17" t="s">
        <v>477</v>
      </c>
      <c r="K8334" s="18" t="s">
        <v>477</v>
      </c>
      <c r="N8334" s="17" t="str">
        <f>IFERROR(__xludf.DUMMYFUNCTION("""COMPUTED_VALUE"""),"")</f>
        <v/>
      </c>
      <c r="O8334" s="17"/>
    </row>
    <row r="8335">
      <c r="B8335" s="17" t="s">
        <v>477</v>
      </c>
      <c r="K8335" s="18" t="s">
        <v>477</v>
      </c>
      <c r="N8335" s="17" t="str">
        <f>IFERROR(__xludf.DUMMYFUNCTION("""COMPUTED_VALUE"""),"")</f>
        <v/>
      </c>
      <c r="O8335" s="17"/>
    </row>
    <row r="8336">
      <c r="B8336" s="17" t="s">
        <v>477</v>
      </c>
      <c r="K8336" s="18" t="s">
        <v>477</v>
      </c>
      <c r="N8336" s="17" t="str">
        <f>IFERROR(__xludf.DUMMYFUNCTION("""COMPUTED_VALUE"""),"")</f>
        <v/>
      </c>
      <c r="O8336" s="17"/>
    </row>
    <row r="8337">
      <c r="B8337" s="17" t="s">
        <v>477</v>
      </c>
      <c r="K8337" s="18" t="s">
        <v>477</v>
      </c>
      <c r="N8337" s="17" t="str">
        <f>IFERROR(__xludf.DUMMYFUNCTION("""COMPUTED_VALUE"""),"")</f>
        <v/>
      </c>
      <c r="O8337" s="17"/>
    </row>
    <row r="8338">
      <c r="B8338" s="17" t="s">
        <v>477</v>
      </c>
      <c r="K8338" s="18" t="s">
        <v>477</v>
      </c>
      <c r="N8338" s="17" t="str">
        <f>IFERROR(__xludf.DUMMYFUNCTION("""COMPUTED_VALUE"""),"")</f>
        <v/>
      </c>
      <c r="O8338" s="17"/>
    </row>
    <row r="8339">
      <c r="B8339" s="17" t="s">
        <v>477</v>
      </c>
      <c r="K8339" s="18" t="s">
        <v>477</v>
      </c>
      <c r="N8339" s="17" t="str">
        <f>IFERROR(__xludf.DUMMYFUNCTION("""COMPUTED_VALUE"""),"")</f>
        <v/>
      </c>
      <c r="O8339" s="17"/>
    </row>
    <row r="8340">
      <c r="B8340" s="17" t="s">
        <v>477</v>
      </c>
      <c r="K8340" s="18" t="s">
        <v>477</v>
      </c>
      <c r="N8340" s="17" t="str">
        <f>IFERROR(__xludf.DUMMYFUNCTION("""COMPUTED_VALUE"""),"")</f>
        <v/>
      </c>
      <c r="O8340" s="17"/>
    </row>
    <row r="8341">
      <c r="B8341" s="17" t="s">
        <v>477</v>
      </c>
      <c r="K8341" s="18" t="s">
        <v>477</v>
      </c>
      <c r="N8341" s="17" t="str">
        <f>IFERROR(__xludf.DUMMYFUNCTION("""COMPUTED_VALUE"""),"")</f>
        <v/>
      </c>
      <c r="O8341" s="17"/>
    </row>
    <row r="8342">
      <c r="B8342" s="17" t="s">
        <v>477</v>
      </c>
      <c r="K8342" s="18" t="s">
        <v>477</v>
      </c>
      <c r="N8342" s="17" t="str">
        <f>IFERROR(__xludf.DUMMYFUNCTION("""COMPUTED_VALUE"""),"")</f>
        <v/>
      </c>
      <c r="O8342" s="17"/>
    </row>
    <row r="8343">
      <c r="B8343" s="17" t="s">
        <v>477</v>
      </c>
      <c r="K8343" s="18" t="s">
        <v>477</v>
      </c>
      <c r="N8343" s="17" t="str">
        <f>IFERROR(__xludf.DUMMYFUNCTION("""COMPUTED_VALUE"""),"")</f>
        <v/>
      </c>
      <c r="O8343" s="17"/>
    </row>
    <row r="8344">
      <c r="B8344" s="17" t="s">
        <v>477</v>
      </c>
      <c r="K8344" s="18" t="s">
        <v>477</v>
      </c>
      <c r="N8344" s="17" t="str">
        <f>IFERROR(__xludf.DUMMYFUNCTION("""COMPUTED_VALUE"""),"")</f>
        <v/>
      </c>
      <c r="O8344" s="17"/>
    </row>
    <row r="8345">
      <c r="B8345" s="17" t="s">
        <v>477</v>
      </c>
      <c r="K8345" s="18" t="s">
        <v>477</v>
      </c>
      <c r="N8345" s="17" t="str">
        <f>IFERROR(__xludf.DUMMYFUNCTION("""COMPUTED_VALUE"""),"")</f>
        <v/>
      </c>
      <c r="O8345" s="17"/>
    </row>
    <row r="8346">
      <c r="B8346" s="17" t="s">
        <v>477</v>
      </c>
      <c r="K8346" s="18" t="s">
        <v>477</v>
      </c>
      <c r="N8346" s="17" t="str">
        <f>IFERROR(__xludf.DUMMYFUNCTION("""COMPUTED_VALUE"""),"")</f>
        <v/>
      </c>
      <c r="O8346" s="17"/>
    </row>
    <row r="8347">
      <c r="B8347" s="17" t="s">
        <v>477</v>
      </c>
      <c r="K8347" s="18" t="s">
        <v>477</v>
      </c>
      <c r="N8347" s="17" t="str">
        <f>IFERROR(__xludf.DUMMYFUNCTION("""COMPUTED_VALUE"""),"")</f>
        <v/>
      </c>
      <c r="O8347" s="17"/>
    </row>
    <row r="8348">
      <c r="B8348" s="17" t="s">
        <v>477</v>
      </c>
      <c r="K8348" s="18" t="s">
        <v>477</v>
      </c>
      <c r="N8348" s="17" t="str">
        <f>IFERROR(__xludf.DUMMYFUNCTION("""COMPUTED_VALUE"""),"")</f>
        <v/>
      </c>
      <c r="O8348" s="17"/>
    </row>
    <row r="8349">
      <c r="B8349" s="17" t="s">
        <v>477</v>
      </c>
      <c r="K8349" s="18" t="s">
        <v>477</v>
      </c>
      <c r="N8349" s="17" t="str">
        <f>IFERROR(__xludf.DUMMYFUNCTION("""COMPUTED_VALUE"""),"")</f>
        <v/>
      </c>
      <c r="O8349" s="17"/>
    </row>
    <row r="8350">
      <c r="B8350" s="17" t="s">
        <v>477</v>
      </c>
      <c r="K8350" s="18" t="s">
        <v>477</v>
      </c>
      <c r="N8350" s="17" t="str">
        <f>IFERROR(__xludf.DUMMYFUNCTION("""COMPUTED_VALUE"""),"")</f>
        <v/>
      </c>
      <c r="O8350" s="17"/>
    </row>
    <row r="8351">
      <c r="B8351" s="17" t="s">
        <v>477</v>
      </c>
      <c r="K8351" s="18" t="s">
        <v>477</v>
      </c>
      <c r="N8351" s="17" t="str">
        <f>IFERROR(__xludf.DUMMYFUNCTION("""COMPUTED_VALUE"""),"")</f>
        <v/>
      </c>
      <c r="O8351" s="17"/>
    </row>
    <row r="8352">
      <c r="B8352" s="17" t="s">
        <v>477</v>
      </c>
      <c r="K8352" s="18" t="s">
        <v>477</v>
      </c>
      <c r="N8352" s="17" t="str">
        <f>IFERROR(__xludf.DUMMYFUNCTION("""COMPUTED_VALUE"""),"")</f>
        <v/>
      </c>
      <c r="O8352" s="17"/>
    </row>
    <row r="8353">
      <c r="B8353" s="17" t="s">
        <v>477</v>
      </c>
      <c r="K8353" s="18" t="s">
        <v>477</v>
      </c>
      <c r="N8353" s="17" t="str">
        <f>IFERROR(__xludf.DUMMYFUNCTION("""COMPUTED_VALUE"""),"")</f>
        <v/>
      </c>
      <c r="O8353" s="17"/>
    </row>
    <row r="8354">
      <c r="B8354" s="17" t="s">
        <v>477</v>
      </c>
      <c r="K8354" s="18" t="s">
        <v>477</v>
      </c>
      <c r="N8354" s="17" t="str">
        <f>IFERROR(__xludf.DUMMYFUNCTION("""COMPUTED_VALUE"""),"")</f>
        <v/>
      </c>
      <c r="O8354" s="17"/>
    </row>
    <row r="8355">
      <c r="B8355" s="17" t="s">
        <v>477</v>
      </c>
      <c r="K8355" s="18" t="s">
        <v>477</v>
      </c>
      <c r="N8355" s="17" t="str">
        <f>IFERROR(__xludf.DUMMYFUNCTION("""COMPUTED_VALUE"""),"")</f>
        <v/>
      </c>
      <c r="O8355" s="17"/>
    </row>
    <row r="8356">
      <c r="B8356" s="17" t="s">
        <v>477</v>
      </c>
      <c r="K8356" s="18" t="s">
        <v>477</v>
      </c>
      <c r="N8356" s="17" t="str">
        <f>IFERROR(__xludf.DUMMYFUNCTION("""COMPUTED_VALUE"""),"")</f>
        <v/>
      </c>
      <c r="O8356" s="17"/>
    </row>
    <row r="8357">
      <c r="B8357" s="17" t="s">
        <v>477</v>
      </c>
      <c r="K8357" s="18" t="s">
        <v>477</v>
      </c>
      <c r="N8357" s="17" t="str">
        <f>IFERROR(__xludf.DUMMYFUNCTION("""COMPUTED_VALUE"""),"")</f>
        <v/>
      </c>
      <c r="O8357" s="17"/>
    </row>
    <row r="8358">
      <c r="B8358" s="17" t="s">
        <v>477</v>
      </c>
      <c r="K8358" s="18" t="s">
        <v>477</v>
      </c>
      <c r="N8358" s="17" t="str">
        <f>IFERROR(__xludf.DUMMYFUNCTION("""COMPUTED_VALUE"""),"")</f>
        <v/>
      </c>
      <c r="O8358" s="17"/>
    </row>
    <row r="8359">
      <c r="B8359" s="17" t="s">
        <v>477</v>
      </c>
      <c r="K8359" s="18" t="s">
        <v>477</v>
      </c>
      <c r="N8359" s="17" t="str">
        <f>IFERROR(__xludf.DUMMYFUNCTION("""COMPUTED_VALUE"""),"")</f>
        <v/>
      </c>
      <c r="O8359" s="17"/>
    </row>
    <row r="8360">
      <c r="B8360" s="17" t="s">
        <v>477</v>
      </c>
      <c r="K8360" s="18" t="s">
        <v>477</v>
      </c>
      <c r="N8360" s="17" t="str">
        <f>IFERROR(__xludf.DUMMYFUNCTION("""COMPUTED_VALUE"""),"")</f>
        <v/>
      </c>
      <c r="O8360" s="17"/>
    </row>
    <row r="8361">
      <c r="B8361" s="17" t="s">
        <v>477</v>
      </c>
      <c r="K8361" s="18" t="s">
        <v>477</v>
      </c>
      <c r="N8361" s="17" t="str">
        <f>IFERROR(__xludf.DUMMYFUNCTION("""COMPUTED_VALUE"""),"")</f>
        <v/>
      </c>
      <c r="O8361" s="17"/>
    </row>
    <row r="8362">
      <c r="B8362" s="17" t="s">
        <v>477</v>
      </c>
      <c r="K8362" s="18" t="s">
        <v>477</v>
      </c>
      <c r="N8362" s="17" t="str">
        <f>IFERROR(__xludf.DUMMYFUNCTION("""COMPUTED_VALUE"""),"")</f>
        <v/>
      </c>
      <c r="O8362" s="17"/>
    </row>
    <row r="8363">
      <c r="B8363" s="17" t="s">
        <v>477</v>
      </c>
      <c r="K8363" s="18" t="s">
        <v>477</v>
      </c>
      <c r="N8363" s="17" t="str">
        <f>IFERROR(__xludf.DUMMYFUNCTION("""COMPUTED_VALUE"""),"")</f>
        <v/>
      </c>
      <c r="O8363" s="17"/>
    </row>
    <row r="8364">
      <c r="B8364" s="17" t="s">
        <v>477</v>
      </c>
      <c r="K8364" s="18" t="s">
        <v>477</v>
      </c>
      <c r="N8364" s="17" t="str">
        <f>IFERROR(__xludf.DUMMYFUNCTION("""COMPUTED_VALUE"""),"")</f>
        <v/>
      </c>
      <c r="O8364" s="17"/>
    </row>
    <row r="8365">
      <c r="B8365" s="17" t="s">
        <v>477</v>
      </c>
      <c r="K8365" s="18" t="s">
        <v>477</v>
      </c>
      <c r="N8365" s="17" t="str">
        <f>IFERROR(__xludf.DUMMYFUNCTION("""COMPUTED_VALUE"""),"")</f>
        <v/>
      </c>
      <c r="O8365" s="17"/>
    </row>
    <row r="8366">
      <c r="B8366" s="17" t="s">
        <v>477</v>
      </c>
      <c r="K8366" s="18" t="s">
        <v>477</v>
      </c>
      <c r="N8366" s="17" t="str">
        <f>IFERROR(__xludf.DUMMYFUNCTION("""COMPUTED_VALUE"""),"")</f>
        <v/>
      </c>
      <c r="O8366" s="17"/>
    </row>
    <row r="8367">
      <c r="B8367" s="17" t="s">
        <v>477</v>
      </c>
      <c r="K8367" s="18" t="s">
        <v>477</v>
      </c>
      <c r="N8367" s="17" t="str">
        <f>IFERROR(__xludf.DUMMYFUNCTION("""COMPUTED_VALUE"""),"")</f>
        <v/>
      </c>
      <c r="O8367" s="17"/>
    </row>
    <row r="8368">
      <c r="B8368" s="17" t="s">
        <v>477</v>
      </c>
      <c r="K8368" s="18" t="s">
        <v>477</v>
      </c>
      <c r="N8368" s="17" t="str">
        <f>IFERROR(__xludf.DUMMYFUNCTION("""COMPUTED_VALUE"""),"")</f>
        <v/>
      </c>
      <c r="O8368" s="17"/>
    </row>
    <row r="8369">
      <c r="B8369" s="17" t="s">
        <v>477</v>
      </c>
      <c r="K8369" s="18" t="s">
        <v>477</v>
      </c>
      <c r="N8369" s="17" t="str">
        <f>IFERROR(__xludf.DUMMYFUNCTION("""COMPUTED_VALUE"""),"")</f>
        <v/>
      </c>
      <c r="O8369" s="17"/>
    </row>
    <row r="8370">
      <c r="B8370" s="17" t="s">
        <v>477</v>
      </c>
      <c r="K8370" s="18" t="s">
        <v>477</v>
      </c>
      <c r="N8370" s="17" t="str">
        <f>IFERROR(__xludf.DUMMYFUNCTION("""COMPUTED_VALUE"""),"")</f>
        <v/>
      </c>
      <c r="O8370" s="17"/>
    </row>
    <row r="8371">
      <c r="B8371" s="17" t="s">
        <v>477</v>
      </c>
      <c r="K8371" s="18" t="s">
        <v>477</v>
      </c>
      <c r="N8371" s="17" t="str">
        <f>IFERROR(__xludf.DUMMYFUNCTION("""COMPUTED_VALUE"""),"")</f>
        <v/>
      </c>
      <c r="O8371" s="17"/>
    </row>
    <row r="8372">
      <c r="B8372" s="17" t="s">
        <v>477</v>
      </c>
      <c r="K8372" s="18" t="s">
        <v>477</v>
      </c>
      <c r="N8372" s="17" t="str">
        <f>IFERROR(__xludf.DUMMYFUNCTION("""COMPUTED_VALUE"""),"")</f>
        <v/>
      </c>
      <c r="O8372" s="17"/>
    </row>
    <row r="8373">
      <c r="B8373" s="17" t="s">
        <v>477</v>
      </c>
      <c r="K8373" s="18" t="s">
        <v>477</v>
      </c>
      <c r="N8373" s="17" t="str">
        <f>IFERROR(__xludf.DUMMYFUNCTION("""COMPUTED_VALUE"""),"")</f>
        <v/>
      </c>
      <c r="O8373" s="17"/>
    </row>
    <row r="8374">
      <c r="B8374" s="17" t="s">
        <v>477</v>
      </c>
      <c r="K8374" s="18" t="s">
        <v>477</v>
      </c>
      <c r="N8374" s="17" t="str">
        <f>IFERROR(__xludf.DUMMYFUNCTION("""COMPUTED_VALUE"""),"")</f>
        <v/>
      </c>
      <c r="O8374" s="17"/>
    </row>
    <row r="8375">
      <c r="B8375" s="17" t="s">
        <v>477</v>
      </c>
      <c r="K8375" s="18" t="s">
        <v>477</v>
      </c>
      <c r="N8375" s="17" t="str">
        <f>IFERROR(__xludf.DUMMYFUNCTION("""COMPUTED_VALUE"""),"")</f>
        <v/>
      </c>
      <c r="O8375" s="17"/>
    </row>
    <row r="8376">
      <c r="B8376" s="17" t="s">
        <v>477</v>
      </c>
      <c r="K8376" s="18" t="s">
        <v>477</v>
      </c>
      <c r="N8376" s="17" t="str">
        <f>IFERROR(__xludf.DUMMYFUNCTION("""COMPUTED_VALUE"""),"")</f>
        <v/>
      </c>
      <c r="O8376" s="17"/>
    </row>
    <row r="8377">
      <c r="B8377" s="17" t="s">
        <v>477</v>
      </c>
      <c r="K8377" s="18" t="s">
        <v>477</v>
      </c>
      <c r="N8377" s="17" t="str">
        <f>IFERROR(__xludf.DUMMYFUNCTION("""COMPUTED_VALUE"""),"")</f>
        <v/>
      </c>
      <c r="O8377" s="17"/>
    </row>
    <row r="8378">
      <c r="B8378" s="17" t="s">
        <v>477</v>
      </c>
      <c r="K8378" s="18" t="s">
        <v>477</v>
      </c>
      <c r="N8378" s="17" t="str">
        <f>IFERROR(__xludf.DUMMYFUNCTION("""COMPUTED_VALUE"""),"")</f>
        <v/>
      </c>
      <c r="O8378" s="17"/>
    </row>
    <row r="8379">
      <c r="B8379" s="17" t="s">
        <v>477</v>
      </c>
      <c r="K8379" s="18" t="s">
        <v>477</v>
      </c>
      <c r="N8379" s="17" t="str">
        <f>IFERROR(__xludf.DUMMYFUNCTION("""COMPUTED_VALUE"""),"")</f>
        <v/>
      </c>
      <c r="O8379" s="17"/>
    </row>
    <row r="8380">
      <c r="B8380" s="17" t="s">
        <v>477</v>
      </c>
      <c r="K8380" s="18" t="s">
        <v>477</v>
      </c>
      <c r="N8380" s="17" t="str">
        <f>IFERROR(__xludf.DUMMYFUNCTION("""COMPUTED_VALUE"""),"")</f>
        <v/>
      </c>
      <c r="O8380" s="17"/>
    </row>
    <row r="8381">
      <c r="B8381" s="17" t="s">
        <v>477</v>
      </c>
      <c r="K8381" s="18" t="s">
        <v>477</v>
      </c>
      <c r="N8381" s="17" t="str">
        <f>IFERROR(__xludf.DUMMYFUNCTION("""COMPUTED_VALUE"""),"")</f>
        <v/>
      </c>
      <c r="O8381" s="17"/>
    </row>
    <row r="8382">
      <c r="B8382" s="17" t="s">
        <v>477</v>
      </c>
      <c r="K8382" s="18" t="s">
        <v>477</v>
      </c>
      <c r="N8382" s="17" t="str">
        <f>IFERROR(__xludf.DUMMYFUNCTION("""COMPUTED_VALUE"""),"")</f>
        <v/>
      </c>
      <c r="O8382" s="17"/>
    </row>
    <row r="8383">
      <c r="B8383" s="17" t="s">
        <v>477</v>
      </c>
      <c r="K8383" s="18" t="s">
        <v>477</v>
      </c>
      <c r="N8383" s="17" t="str">
        <f>IFERROR(__xludf.DUMMYFUNCTION("""COMPUTED_VALUE"""),"")</f>
        <v/>
      </c>
      <c r="O8383" s="17"/>
    </row>
    <row r="8384">
      <c r="B8384" s="17" t="s">
        <v>477</v>
      </c>
      <c r="K8384" s="18" t="s">
        <v>477</v>
      </c>
      <c r="N8384" s="17" t="str">
        <f>IFERROR(__xludf.DUMMYFUNCTION("""COMPUTED_VALUE"""),"")</f>
        <v/>
      </c>
      <c r="O8384" s="17"/>
    </row>
    <row r="8385">
      <c r="B8385" s="17" t="s">
        <v>477</v>
      </c>
      <c r="K8385" s="18" t="s">
        <v>477</v>
      </c>
      <c r="N8385" s="17" t="str">
        <f>IFERROR(__xludf.DUMMYFUNCTION("""COMPUTED_VALUE"""),"")</f>
        <v/>
      </c>
      <c r="O8385" s="17"/>
    </row>
    <row r="8386">
      <c r="B8386" s="17" t="s">
        <v>477</v>
      </c>
      <c r="K8386" s="18" t="s">
        <v>477</v>
      </c>
      <c r="N8386" s="17" t="str">
        <f>IFERROR(__xludf.DUMMYFUNCTION("""COMPUTED_VALUE"""),"")</f>
        <v/>
      </c>
      <c r="O8386" s="17"/>
    </row>
    <row r="8387">
      <c r="B8387" s="17" t="s">
        <v>477</v>
      </c>
      <c r="K8387" s="18" t="s">
        <v>477</v>
      </c>
      <c r="N8387" s="17" t="str">
        <f>IFERROR(__xludf.DUMMYFUNCTION("""COMPUTED_VALUE"""),"")</f>
        <v/>
      </c>
      <c r="O8387" s="17"/>
    </row>
    <row r="8388">
      <c r="B8388" s="17" t="s">
        <v>477</v>
      </c>
      <c r="K8388" s="18" t="s">
        <v>477</v>
      </c>
      <c r="N8388" s="17" t="str">
        <f>IFERROR(__xludf.DUMMYFUNCTION("""COMPUTED_VALUE"""),"")</f>
        <v/>
      </c>
      <c r="O8388" s="17"/>
    </row>
    <row r="8389">
      <c r="B8389" s="17" t="s">
        <v>477</v>
      </c>
      <c r="K8389" s="18" t="s">
        <v>477</v>
      </c>
      <c r="N8389" s="17" t="str">
        <f>IFERROR(__xludf.DUMMYFUNCTION("""COMPUTED_VALUE"""),"")</f>
        <v/>
      </c>
      <c r="O8389" s="17"/>
    </row>
    <row r="8390">
      <c r="B8390" s="17" t="s">
        <v>477</v>
      </c>
      <c r="K8390" s="18" t="s">
        <v>477</v>
      </c>
      <c r="N8390" s="17" t="str">
        <f>IFERROR(__xludf.DUMMYFUNCTION("""COMPUTED_VALUE"""),"")</f>
        <v/>
      </c>
      <c r="O8390" s="17"/>
    </row>
    <row r="8391">
      <c r="B8391" s="17" t="s">
        <v>477</v>
      </c>
      <c r="K8391" s="18" t="s">
        <v>477</v>
      </c>
      <c r="N8391" s="17" t="str">
        <f>IFERROR(__xludf.DUMMYFUNCTION("""COMPUTED_VALUE"""),"")</f>
        <v/>
      </c>
      <c r="O8391" s="17"/>
    </row>
    <row r="8392">
      <c r="B8392" s="17" t="s">
        <v>477</v>
      </c>
      <c r="K8392" s="18" t="s">
        <v>477</v>
      </c>
      <c r="N8392" s="17" t="str">
        <f>IFERROR(__xludf.DUMMYFUNCTION("""COMPUTED_VALUE"""),"")</f>
        <v/>
      </c>
      <c r="O8392" s="17"/>
    </row>
    <row r="8393">
      <c r="B8393" s="17" t="s">
        <v>477</v>
      </c>
      <c r="K8393" s="18" t="s">
        <v>477</v>
      </c>
      <c r="N8393" s="17" t="str">
        <f>IFERROR(__xludf.DUMMYFUNCTION("""COMPUTED_VALUE"""),"")</f>
        <v/>
      </c>
      <c r="O8393" s="17"/>
    </row>
    <row r="8394">
      <c r="B8394" s="17" t="s">
        <v>477</v>
      </c>
      <c r="K8394" s="18" t="s">
        <v>477</v>
      </c>
      <c r="N8394" s="17" t="str">
        <f>IFERROR(__xludf.DUMMYFUNCTION("""COMPUTED_VALUE"""),"")</f>
        <v/>
      </c>
      <c r="O8394" s="17"/>
    </row>
    <row r="8395">
      <c r="B8395" s="17" t="s">
        <v>477</v>
      </c>
      <c r="K8395" s="18" t="s">
        <v>477</v>
      </c>
      <c r="N8395" s="17" t="str">
        <f>IFERROR(__xludf.DUMMYFUNCTION("""COMPUTED_VALUE"""),"")</f>
        <v/>
      </c>
      <c r="O8395" s="17"/>
    </row>
    <row r="8396">
      <c r="B8396" s="17" t="s">
        <v>477</v>
      </c>
      <c r="K8396" s="18" t="s">
        <v>477</v>
      </c>
      <c r="N8396" s="17" t="str">
        <f>IFERROR(__xludf.DUMMYFUNCTION("""COMPUTED_VALUE"""),"")</f>
        <v/>
      </c>
      <c r="O8396" s="17"/>
    </row>
    <row r="8397">
      <c r="B8397" s="17" t="s">
        <v>477</v>
      </c>
      <c r="K8397" s="18" t="s">
        <v>477</v>
      </c>
      <c r="N8397" s="17" t="str">
        <f>IFERROR(__xludf.DUMMYFUNCTION("""COMPUTED_VALUE"""),"")</f>
        <v/>
      </c>
      <c r="O8397" s="17"/>
    </row>
    <row r="8398">
      <c r="B8398" s="17" t="s">
        <v>477</v>
      </c>
      <c r="K8398" s="18" t="s">
        <v>477</v>
      </c>
      <c r="N8398" s="17" t="str">
        <f>IFERROR(__xludf.DUMMYFUNCTION("""COMPUTED_VALUE"""),"")</f>
        <v/>
      </c>
      <c r="O8398" s="17"/>
    </row>
    <row r="8399">
      <c r="B8399" s="17" t="s">
        <v>477</v>
      </c>
      <c r="K8399" s="18" t="s">
        <v>477</v>
      </c>
      <c r="N8399" s="17" t="str">
        <f>IFERROR(__xludf.DUMMYFUNCTION("""COMPUTED_VALUE"""),"")</f>
        <v/>
      </c>
      <c r="O8399" s="17"/>
    </row>
    <row r="8400">
      <c r="B8400" s="17" t="s">
        <v>477</v>
      </c>
      <c r="K8400" s="18" t="s">
        <v>477</v>
      </c>
      <c r="N8400" s="17" t="str">
        <f>IFERROR(__xludf.DUMMYFUNCTION("""COMPUTED_VALUE"""),"")</f>
        <v/>
      </c>
      <c r="O8400" s="17"/>
    </row>
    <row r="8401">
      <c r="B8401" s="17" t="s">
        <v>477</v>
      </c>
      <c r="K8401" s="18" t="s">
        <v>477</v>
      </c>
      <c r="N8401" s="17" t="str">
        <f>IFERROR(__xludf.DUMMYFUNCTION("""COMPUTED_VALUE"""),"")</f>
        <v/>
      </c>
      <c r="O8401" s="17"/>
    </row>
    <row r="8402">
      <c r="B8402" s="17" t="s">
        <v>477</v>
      </c>
      <c r="K8402" s="18" t="s">
        <v>477</v>
      </c>
      <c r="N8402" s="17" t="str">
        <f>IFERROR(__xludf.DUMMYFUNCTION("""COMPUTED_VALUE"""),"")</f>
        <v/>
      </c>
      <c r="O8402" s="17"/>
    </row>
    <row r="8403">
      <c r="B8403" s="17" t="s">
        <v>477</v>
      </c>
      <c r="K8403" s="18" t="s">
        <v>477</v>
      </c>
      <c r="N8403" s="17" t="str">
        <f>IFERROR(__xludf.DUMMYFUNCTION("""COMPUTED_VALUE"""),"")</f>
        <v/>
      </c>
      <c r="O8403" s="17"/>
    </row>
    <row r="8404">
      <c r="B8404" s="17" t="s">
        <v>477</v>
      </c>
      <c r="K8404" s="18" t="s">
        <v>477</v>
      </c>
      <c r="N8404" s="17" t="str">
        <f>IFERROR(__xludf.DUMMYFUNCTION("""COMPUTED_VALUE"""),"")</f>
        <v/>
      </c>
      <c r="O8404" s="17"/>
    </row>
    <row r="8405">
      <c r="B8405" s="17" t="s">
        <v>477</v>
      </c>
      <c r="K8405" s="18" t="s">
        <v>477</v>
      </c>
      <c r="N8405" s="17" t="str">
        <f>IFERROR(__xludf.DUMMYFUNCTION("""COMPUTED_VALUE"""),"")</f>
        <v/>
      </c>
      <c r="O8405" s="17"/>
    </row>
    <row r="8406">
      <c r="B8406" s="17" t="s">
        <v>477</v>
      </c>
      <c r="K8406" s="18" t="s">
        <v>477</v>
      </c>
      <c r="N8406" s="17" t="str">
        <f>IFERROR(__xludf.DUMMYFUNCTION("""COMPUTED_VALUE"""),"")</f>
        <v/>
      </c>
      <c r="O8406" s="17"/>
    </row>
    <row r="8407">
      <c r="B8407" s="17" t="s">
        <v>477</v>
      </c>
      <c r="K8407" s="18" t="s">
        <v>477</v>
      </c>
      <c r="N8407" s="17" t="str">
        <f>IFERROR(__xludf.DUMMYFUNCTION("""COMPUTED_VALUE"""),"")</f>
        <v/>
      </c>
      <c r="O8407" s="17"/>
    </row>
    <row r="8408">
      <c r="B8408" s="17" t="s">
        <v>477</v>
      </c>
      <c r="K8408" s="18" t="s">
        <v>477</v>
      </c>
      <c r="N8408" s="17" t="str">
        <f>IFERROR(__xludf.DUMMYFUNCTION("""COMPUTED_VALUE"""),"")</f>
        <v/>
      </c>
      <c r="O8408" s="17"/>
    </row>
    <row r="8409">
      <c r="B8409" s="17" t="s">
        <v>477</v>
      </c>
      <c r="K8409" s="18" t="s">
        <v>477</v>
      </c>
      <c r="N8409" s="17" t="str">
        <f>IFERROR(__xludf.DUMMYFUNCTION("""COMPUTED_VALUE"""),"")</f>
        <v/>
      </c>
      <c r="O8409" s="17"/>
    </row>
    <row r="8410">
      <c r="B8410" s="17" t="s">
        <v>477</v>
      </c>
      <c r="K8410" s="18" t="s">
        <v>477</v>
      </c>
      <c r="N8410" s="17" t="str">
        <f>IFERROR(__xludf.DUMMYFUNCTION("""COMPUTED_VALUE"""),"")</f>
        <v/>
      </c>
      <c r="O8410" s="17"/>
    </row>
    <row r="8411">
      <c r="B8411" s="17" t="s">
        <v>477</v>
      </c>
      <c r="K8411" s="18" t="s">
        <v>477</v>
      </c>
      <c r="N8411" s="17" t="str">
        <f>IFERROR(__xludf.DUMMYFUNCTION("""COMPUTED_VALUE"""),"")</f>
        <v/>
      </c>
      <c r="O8411" s="17"/>
    </row>
    <row r="8412">
      <c r="B8412" s="17" t="s">
        <v>477</v>
      </c>
      <c r="K8412" s="18" t="s">
        <v>477</v>
      </c>
      <c r="N8412" s="17" t="str">
        <f>IFERROR(__xludf.DUMMYFUNCTION("""COMPUTED_VALUE"""),"")</f>
        <v/>
      </c>
      <c r="O8412" s="17"/>
    </row>
    <row r="8413">
      <c r="B8413" s="17" t="s">
        <v>477</v>
      </c>
      <c r="K8413" s="18" t="s">
        <v>477</v>
      </c>
      <c r="N8413" s="17" t="str">
        <f>IFERROR(__xludf.DUMMYFUNCTION("""COMPUTED_VALUE"""),"")</f>
        <v/>
      </c>
      <c r="O8413" s="17"/>
    </row>
    <row r="8414">
      <c r="B8414" s="17" t="s">
        <v>477</v>
      </c>
      <c r="K8414" s="18" t="s">
        <v>477</v>
      </c>
      <c r="N8414" s="17" t="str">
        <f>IFERROR(__xludf.DUMMYFUNCTION("""COMPUTED_VALUE"""),"")</f>
        <v/>
      </c>
      <c r="O8414" s="17"/>
    </row>
    <row r="8415">
      <c r="B8415" s="17" t="s">
        <v>477</v>
      </c>
      <c r="K8415" s="18" t="s">
        <v>477</v>
      </c>
      <c r="N8415" s="17" t="str">
        <f>IFERROR(__xludf.DUMMYFUNCTION("""COMPUTED_VALUE"""),"")</f>
        <v/>
      </c>
      <c r="O8415" s="17"/>
    </row>
    <row r="8416">
      <c r="B8416" s="17" t="s">
        <v>477</v>
      </c>
      <c r="K8416" s="18" t="s">
        <v>477</v>
      </c>
      <c r="N8416" s="17" t="str">
        <f>IFERROR(__xludf.DUMMYFUNCTION("""COMPUTED_VALUE"""),"")</f>
        <v/>
      </c>
      <c r="O8416" s="17"/>
    </row>
    <row r="8417">
      <c r="B8417" s="17" t="s">
        <v>477</v>
      </c>
      <c r="K8417" s="18" t="s">
        <v>477</v>
      </c>
      <c r="N8417" s="17" t="str">
        <f>IFERROR(__xludf.DUMMYFUNCTION("""COMPUTED_VALUE"""),"")</f>
        <v/>
      </c>
      <c r="O8417" s="17"/>
    </row>
    <row r="8418">
      <c r="B8418" s="17" t="s">
        <v>477</v>
      </c>
      <c r="K8418" s="18" t="s">
        <v>477</v>
      </c>
      <c r="N8418" s="17" t="str">
        <f>IFERROR(__xludf.DUMMYFUNCTION("""COMPUTED_VALUE"""),"")</f>
        <v/>
      </c>
      <c r="O8418" s="17"/>
    </row>
    <row r="8419">
      <c r="B8419" s="17" t="s">
        <v>477</v>
      </c>
      <c r="K8419" s="18" t="s">
        <v>477</v>
      </c>
      <c r="N8419" s="17" t="str">
        <f>IFERROR(__xludf.DUMMYFUNCTION("""COMPUTED_VALUE"""),"")</f>
        <v/>
      </c>
      <c r="O8419" s="17"/>
    </row>
    <row r="8420">
      <c r="B8420" s="17" t="s">
        <v>477</v>
      </c>
      <c r="K8420" s="18" t="s">
        <v>477</v>
      </c>
      <c r="N8420" s="17" t="str">
        <f>IFERROR(__xludf.DUMMYFUNCTION("""COMPUTED_VALUE"""),"")</f>
        <v/>
      </c>
      <c r="O8420" s="17"/>
    </row>
    <row r="8421">
      <c r="B8421" s="17" t="s">
        <v>477</v>
      </c>
      <c r="K8421" s="18" t="s">
        <v>477</v>
      </c>
      <c r="N8421" s="17" t="str">
        <f>IFERROR(__xludf.DUMMYFUNCTION("""COMPUTED_VALUE"""),"")</f>
        <v/>
      </c>
      <c r="O8421" s="17"/>
    </row>
    <row r="8422">
      <c r="B8422" s="17" t="s">
        <v>477</v>
      </c>
      <c r="K8422" s="18" t="s">
        <v>477</v>
      </c>
      <c r="N8422" s="17" t="str">
        <f>IFERROR(__xludf.DUMMYFUNCTION("""COMPUTED_VALUE"""),"")</f>
        <v/>
      </c>
      <c r="O8422" s="17"/>
    </row>
    <row r="8423">
      <c r="B8423" s="17" t="s">
        <v>477</v>
      </c>
      <c r="K8423" s="18" t="s">
        <v>477</v>
      </c>
      <c r="N8423" s="17" t="str">
        <f>IFERROR(__xludf.DUMMYFUNCTION("""COMPUTED_VALUE"""),"")</f>
        <v/>
      </c>
      <c r="O8423" s="17"/>
    </row>
    <row r="8424">
      <c r="B8424" s="17" t="s">
        <v>477</v>
      </c>
      <c r="K8424" s="18" t="s">
        <v>477</v>
      </c>
      <c r="N8424" s="17" t="str">
        <f>IFERROR(__xludf.DUMMYFUNCTION("""COMPUTED_VALUE"""),"")</f>
        <v/>
      </c>
      <c r="O8424" s="17"/>
    </row>
    <row r="8425">
      <c r="B8425" s="17" t="s">
        <v>477</v>
      </c>
      <c r="K8425" s="18" t="s">
        <v>477</v>
      </c>
      <c r="N8425" s="17" t="str">
        <f>IFERROR(__xludf.DUMMYFUNCTION("""COMPUTED_VALUE"""),"")</f>
        <v/>
      </c>
      <c r="O8425" s="17"/>
    </row>
    <row r="8426">
      <c r="B8426" s="17" t="s">
        <v>477</v>
      </c>
      <c r="K8426" s="18" t="s">
        <v>477</v>
      </c>
      <c r="N8426" s="17" t="str">
        <f>IFERROR(__xludf.DUMMYFUNCTION("""COMPUTED_VALUE"""),"")</f>
        <v/>
      </c>
      <c r="O8426" s="17"/>
    </row>
    <row r="8427">
      <c r="B8427" s="17" t="s">
        <v>477</v>
      </c>
      <c r="K8427" s="18" t="s">
        <v>477</v>
      </c>
      <c r="N8427" s="17" t="str">
        <f>IFERROR(__xludf.DUMMYFUNCTION("""COMPUTED_VALUE"""),"")</f>
        <v/>
      </c>
      <c r="O8427" s="17"/>
    </row>
    <row r="8428">
      <c r="B8428" s="17" t="s">
        <v>477</v>
      </c>
      <c r="K8428" s="18" t="s">
        <v>477</v>
      </c>
      <c r="N8428" s="17" t="str">
        <f>IFERROR(__xludf.DUMMYFUNCTION("""COMPUTED_VALUE"""),"")</f>
        <v/>
      </c>
      <c r="O8428" s="17"/>
    </row>
    <row r="8429">
      <c r="B8429" s="17" t="s">
        <v>477</v>
      </c>
      <c r="K8429" s="18" t="s">
        <v>477</v>
      </c>
      <c r="N8429" s="17" t="str">
        <f>IFERROR(__xludf.DUMMYFUNCTION("""COMPUTED_VALUE"""),"")</f>
        <v/>
      </c>
      <c r="O8429" s="17"/>
    </row>
    <row r="8430">
      <c r="B8430" s="17" t="s">
        <v>477</v>
      </c>
      <c r="K8430" s="18" t="s">
        <v>477</v>
      </c>
      <c r="N8430" s="17" t="str">
        <f>IFERROR(__xludf.DUMMYFUNCTION("""COMPUTED_VALUE"""),"")</f>
        <v/>
      </c>
      <c r="O8430" s="17"/>
    </row>
    <row r="8431">
      <c r="B8431" s="17" t="s">
        <v>477</v>
      </c>
      <c r="K8431" s="18" t="s">
        <v>477</v>
      </c>
      <c r="N8431" s="17" t="str">
        <f>IFERROR(__xludf.DUMMYFUNCTION("""COMPUTED_VALUE"""),"")</f>
        <v/>
      </c>
      <c r="O8431" s="17"/>
    </row>
    <row r="8432">
      <c r="B8432" s="17" t="s">
        <v>477</v>
      </c>
      <c r="K8432" s="18" t="s">
        <v>477</v>
      </c>
      <c r="N8432" s="17" t="str">
        <f>IFERROR(__xludf.DUMMYFUNCTION("""COMPUTED_VALUE"""),"")</f>
        <v/>
      </c>
      <c r="O8432" s="17"/>
    </row>
    <row r="8433">
      <c r="B8433" s="17" t="s">
        <v>477</v>
      </c>
      <c r="K8433" s="18" t="s">
        <v>477</v>
      </c>
      <c r="N8433" s="17" t="str">
        <f>IFERROR(__xludf.DUMMYFUNCTION("""COMPUTED_VALUE"""),"")</f>
        <v/>
      </c>
      <c r="O8433" s="17"/>
    </row>
    <row r="8434">
      <c r="B8434" s="17" t="s">
        <v>477</v>
      </c>
      <c r="K8434" s="18" t="s">
        <v>477</v>
      </c>
      <c r="N8434" s="17" t="str">
        <f>IFERROR(__xludf.DUMMYFUNCTION("""COMPUTED_VALUE"""),"")</f>
        <v/>
      </c>
      <c r="O8434" s="17"/>
    </row>
    <row r="8435">
      <c r="B8435" s="17" t="s">
        <v>477</v>
      </c>
      <c r="K8435" s="18" t="s">
        <v>477</v>
      </c>
      <c r="N8435" s="17" t="str">
        <f>IFERROR(__xludf.DUMMYFUNCTION("""COMPUTED_VALUE"""),"")</f>
        <v/>
      </c>
      <c r="O8435" s="17"/>
    </row>
    <row r="8436">
      <c r="B8436" s="17" t="s">
        <v>477</v>
      </c>
      <c r="K8436" s="18" t="s">
        <v>477</v>
      </c>
      <c r="N8436" s="17" t="str">
        <f>IFERROR(__xludf.DUMMYFUNCTION("""COMPUTED_VALUE"""),"")</f>
        <v/>
      </c>
      <c r="O8436" s="17"/>
    </row>
    <row r="8437">
      <c r="B8437" s="17" t="s">
        <v>477</v>
      </c>
      <c r="K8437" s="18" t="s">
        <v>477</v>
      </c>
      <c r="N8437" s="17" t="str">
        <f>IFERROR(__xludf.DUMMYFUNCTION("""COMPUTED_VALUE"""),"")</f>
        <v/>
      </c>
      <c r="O8437" s="17"/>
    </row>
    <row r="8438">
      <c r="B8438" s="17" t="s">
        <v>477</v>
      </c>
      <c r="K8438" s="18" t="s">
        <v>477</v>
      </c>
      <c r="N8438" s="17" t="str">
        <f>IFERROR(__xludf.DUMMYFUNCTION("""COMPUTED_VALUE"""),"")</f>
        <v/>
      </c>
      <c r="O8438" s="17"/>
    </row>
    <row r="8439">
      <c r="B8439" s="17" t="s">
        <v>477</v>
      </c>
      <c r="K8439" s="18" t="s">
        <v>477</v>
      </c>
      <c r="N8439" s="17" t="str">
        <f>IFERROR(__xludf.DUMMYFUNCTION("""COMPUTED_VALUE"""),"")</f>
        <v/>
      </c>
      <c r="O8439" s="17"/>
    </row>
    <row r="8440">
      <c r="B8440" s="17" t="s">
        <v>477</v>
      </c>
      <c r="K8440" s="18" t="s">
        <v>477</v>
      </c>
      <c r="N8440" s="17" t="str">
        <f>IFERROR(__xludf.DUMMYFUNCTION("""COMPUTED_VALUE"""),"")</f>
        <v/>
      </c>
      <c r="O8440" s="17"/>
    </row>
    <row r="8441">
      <c r="B8441" s="17" t="s">
        <v>477</v>
      </c>
      <c r="K8441" s="18" t="s">
        <v>477</v>
      </c>
      <c r="N8441" s="17" t="str">
        <f>IFERROR(__xludf.DUMMYFUNCTION("""COMPUTED_VALUE"""),"")</f>
        <v/>
      </c>
      <c r="O8441" s="17"/>
    </row>
    <row r="8442">
      <c r="B8442" s="17" t="s">
        <v>477</v>
      </c>
      <c r="K8442" s="18" t="s">
        <v>477</v>
      </c>
      <c r="N8442" s="17" t="str">
        <f>IFERROR(__xludf.DUMMYFUNCTION("""COMPUTED_VALUE"""),"")</f>
        <v/>
      </c>
      <c r="O8442" s="17"/>
    </row>
    <row r="8443">
      <c r="B8443" s="17" t="s">
        <v>477</v>
      </c>
      <c r="K8443" s="18" t="s">
        <v>477</v>
      </c>
      <c r="N8443" s="17" t="str">
        <f>IFERROR(__xludf.DUMMYFUNCTION("""COMPUTED_VALUE"""),"")</f>
        <v/>
      </c>
      <c r="O8443" s="17"/>
    </row>
    <row r="8444">
      <c r="B8444" s="17" t="s">
        <v>477</v>
      </c>
      <c r="K8444" s="18" t="s">
        <v>477</v>
      </c>
      <c r="N8444" s="17" t="str">
        <f>IFERROR(__xludf.DUMMYFUNCTION("""COMPUTED_VALUE"""),"")</f>
        <v/>
      </c>
      <c r="O8444" s="17"/>
    </row>
    <row r="8445">
      <c r="B8445" s="17" t="s">
        <v>477</v>
      </c>
      <c r="K8445" s="18" t="s">
        <v>477</v>
      </c>
      <c r="N8445" s="17" t="str">
        <f>IFERROR(__xludf.DUMMYFUNCTION("""COMPUTED_VALUE"""),"")</f>
        <v/>
      </c>
      <c r="O8445" s="17"/>
    </row>
    <row r="8446">
      <c r="B8446" s="17" t="s">
        <v>477</v>
      </c>
      <c r="K8446" s="18" t="s">
        <v>477</v>
      </c>
      <c r="N8446" s="17" t="str">
        <f>IFERROR(__xludf.DUMMYFUNCTION("""COMPUTED_VALUE"""),"")</f>
        <v/>
      </c>
      <c r="O8446" s="17"/>
    </row>
    <row r="8447">
      <c r="B8447" s="17" t="s">
        <v>477</v>
      </c>
      <c r="K8447" s="18" t="s">
        <v>477</v>
      </c>
      <c r="N8447" s="17" t="str">
        <f>IFERROR(__xludf.DUMMYFUNCTION("""COMPUTED_VALUE"""),"")</f>
        <v/>
      </c>
      <c r="O8447" s="17"/>
    </row>
    <row r="8448">
      <c r="B8448" s="17" t="s">
        <v>477</v>
      </c>
      <c r="K8448" s="18" t="s">
        <v>477</v>
      </c>
      <c r="N8448" s="17" t="str">
        <f>IFERROR(__xludf.DUMMYFUNCTION("""COMPUTED_VALUE"""),"")</f>
        <v/>
      </c>
      <c r="O8448" s="17"/>
    </row>
    <row r="8449">
      <c r="B8449" s="17" t="s">
        <v>477</v>
      </c>
      <c r="K8449" s="18" t="s">
        <v>477</v>
      </c>
      <c r="N8449" s="17" t="str">
        <f>IFERROR(__xludf.DUMMYFUNCTION("""COMPUTED_VALUE"""),"")</f>
        <v/>
      </c>
      <c r="O8449" s="17"/>
    </row>
    <row r="8450">
      <c r="B8450" s="17" t="s">
        <v>477</v>
      </c>
      <c r="K8450" s="18" t="s">
        <v>477</v>
      </c>
      <c r="N8450" s="17" t="str">
        <f>IFERROR(__xludf.DUMMYFUNCTION("""COMPUTED_VALUE"""),"")</f>
        <v/>
      </c>
      <c r="O8450" s="17"/>
    </row>
    <row r="8451">
      <c r="B8451" s="17" t="s">
        <v>477</v>
      </c>
      <c r="K8451" s="18" t="s">
        <v>477</v>
      </c>
      <c r="N8451" s="17" t="str">
        <f>IFERROR(__xludf.DUMMYFUNCTION("""COMPUTED_VALUE"""),"")</f>
        <v/>
      </c>
      <c r="O8451" s="17"/>
    </row>
    <row r="8452">
      <c r="B8452" s="17" t="s">
        <v>477</v>
      </c>
      <c r="K8452" s="18" t="s">
        <v>477</v>
      </c>
      <c r="N8452" s="17" t="str">
        <f>IFERROR(__xludf.DUMMYFUNCTION("""COMPUTED_VALUE"""),"")</f>
        <v/>
      </c>
      <c r="O8452" s="17"/>
    </row>
    <row r="8453">
      <c r="B8453" s="17" t="s">
        <v>477</v>
      </c>
      <c r="K8453" s="18" t="s">
        <v>477</v>
      </c>
      <c r="N8453" s="17" t="str">
        <f>IFERROR(__xludf.DUMMYFUNCTION("""COMPUTED_VALUE"""),"")</f>
        <v/>
      </c>
      <c r="O8453" s="17"/>
    </row>
    <row r="8454">
      <c r="B8454" s="17" t="s">
        <v>477</v>
      </c>
      <c r="K8454" s="18" t="s">
        <v>477</v>
      </c>
      <c r="N8454" s="17" t="str">
        <f>IFERROR(__xludf.DUMMYFUNCTION("""COMPUTED_VALUE"""),"")</f>
        <v/>
      </c>
      <c r="O8454" s="17"/>
    </row>
    <row r="8455">
      <c r="B8455" s="17" t="s">
        <v>477</v>
      </c>
      <c r="K8455" s="18" t="s">
        <v>477</v>
      </c>
      <c r="N8455" s="17" t="str">
        <f>IFERROR(__xludf.DUMMYFUNCTION("""COMPUTED_VALUE"""),"")</f>
        <v/>
      </c>
      <c r="O8455" s="17"/>
    </row>
    <row r="8456">
      <c r="B8456" s="17" t="s">
        <v>477</v>
      </c>
      <c r="K8456" s="18" t="s">
        <v>477</v>
      </c>
      <c r="N8456" s="17" t="str">
        <f>IFERROR(__xludf.DUMMYFUNCTION("""COMPUTED_VALUE"""),"")</f>
        <v/>
      </c>
      <c r="O8456" s="17"/>
    </row>
    <row r="8457">
      <c r="B8457" s="17" t="s">
        <v>477</v>
      </c>
      <c r="K8457" s="18" t="s">
        <v>477</v>
      </c>
      <c r="N8457" s="17" t="str">
        <f>IFERROR(__xludf.DUMMYFUNCTION("""COMPUTED_VALUE"""),"")</f>
        <v/>
      </c>
      <c r="O8457" s="17"/>
    </row>
    <row r="8458">
      <c r="B8458" s="17" t="s">
        <v>477</v>
      </c>
      <c r="K8458" s="18" t="s">
        <v>477</v>
      </c>
      <c r="N8458" s="17" t="str">
        <f>IFERROR(__xludf.DUMMYFUNCTION("""COMPUTED_VALUE"""),"")</f>
        <v/>
      </c>
      <c r="O8458" s="17"/>
    </row>
    <row r="8459">
      <c r="B8459" s="17" t="s">
        <v>477</v>
      </c>
      <c r="K8459" s="18" t="s">
        <v>477</v>
      </c>
      <c r="N8459" s="17" t="str">
        <f>IFERROR(__xludf.DUMMYFUNCTION("""COMPUTED_VALUE"""),"")</f>
        <v/>
      </c>
      <c r="O8459" s="17"/>
    </row>
    <row r="8460">
      <c r="B8460" s="17" t="s">
        <v>477</v>
      </c>
      <c r="K8460" s="18" t="s">
        <v>477</v>
      </c>
      <c r="N8460" s="17" t="str">
        <f>IFERROR(__xludf.DUMMYFUNCTION("""COMPUTED_VALUE"""),"")</f>
        <v/>
      </c>
      <c r="O8460" s="17"/>
    </row>
    <row r="8461">
      <c r="B8461" s="17" t="s">
        <v>477</v>
      </c>
      <c r="K8461" s="18" t="s">
        <v>477</v>
      </c>
      <c r="N8461" s="17" t="str">
        <f>IFERROR(__xludf.DUMMYFUNCTION("""COMPUTED_VALUE"""),"")</f>
        <v/>
      </c>
      <c r="O8461" s="17"/>
    </row>
    <row r="8462">
      <c r="B8462" s="17" t="s">
        <v>477</v>
      </c>
      <c r="K8462" s="18" t="s">
        <v>477</v>
      </c>
      <c r="N8462" s="17" t="str">
        <f>IFERROR(__xludf.DUMMYFUNCTION("""COMPUTED_VALUE"""),"")</f>
        <v/>
      </c>
      <c r="O8462" s="17"/>
    </row>
    <row r="8463">
      <c r="B8463" s="17" t="s">
        <v>477</v>
      </c>
      <c r="K8463" s="18" t="s">
        <v>477</v>
      </c>
      <c r="N8463" s="17" t="str">
        <f>IFERROR(__xludf.DUMMYFUNCTION("""COMPUTED_VALUE"""),"")</f>
        <v/>
      </c>
      <c r="O8463" s="17"/>
    </row>
    <row r="8464">
      <c r="B8464" s="17" t="s">
        <v>477</v>
      </c>
      <c r="K8464" s="18" t="s">
        <v>477</v>
      </c>
      <c r="N8464" s="17" t="str">
        <f>IFERROR(__xludf.DUMMYFUNCTION("""COMPUTED_VALUE"""),"")</f>
        <v/>
      </c>
      <c r="O8464" s="17"/>
    </row>
    <row r="8465">
      <c r="B8465" s="17" t="s">
        <v>477</v>
      </c>
      <c r="K8465" s="18" t="s">
        <v>477</v>
      </c>
      <c r="N8465" s="17" t="str">
        <f>IFERROR(__xludf.DUMMYFUNCTION("""COMPUTED_VALUE"""),"")</f>
        <v/>
      </c>
      <c r="O8465" s="17"/>
    </row>
    <row r="8466">
      <c r="B8466" s="17" t="s">
        <v>477</v>
      </c>
      <c r="K8466" s="18" t="s">
        <v>477</v>
      </c>
      <c r="N8466" s="17" t="str">
        <f>IFERROR(__xludf.DUMMYFUNCTION("""COMPUTED_VALUE"""),"")</f>
        <v/>
      </c>
      <c r="O8466" s="17"/>
    </row>
    <row r="8467">
      <c r="B8467" s="17" t="s">
        <v>477</v>
      </c>
      <c r="K8467" s="18" t="s">
        <v>477</v>
      </c>
      <c r="N8467" s="17" t="str">
        <f>IFERROR(__xludf.DUMMYFUNCTION("""COMPUTED_VALUE"""),"")</f>
        <v/>
      </c>
      <c r="O8467" s="17"/>
    </row>
    <row r="8468">
      <c r="B8468" s="17" t="s">
        <v>477</v>
      </c>
      <c r="K8468" s="18" t="s">
        <v>477</v>
      </c>
      <c r="N8468" s="17" t="str">
        <f>IFERROR(__xludf.DUMMYFUNCTION("""COMPUTED_VALUE"""),"")</f>
        <v/>
      </c>
      <c r="O8468" s="17"/>
    </row>
    <row r="8469">
      <c r="B8469" s="17" t="s">
        <v>477</v>
      </c>
      <c r="K8469" s="18" t="s">
        <v>477</v>
      </c>
      <c r="N8469" s="17" t="str">
        <f>IFERROR(__xludf.DUMMYFUNCTION("""COMPUTED_VALUE"""),"")</f>
        <v/>
      </c>
      <c r="O8469" s="17"/>
    </row>
    <row r="8470">
      <c r="B8470" s="17" t="s">
        <v>477</v>
      </c>
      <c r="K8470" s="18" t="s">
        <v>477</v>
      </c>
      <c r="N8470" s="17" t="str">
        <f>IFERROR(__xludf.DUMMYFUNCTION("""COMPUTED_VALUE"""),"")</f>
        <v/>
      </c>
      <c r="O8470" s="17"/>
    </row>
    <row r="8471">
      <c r="B8471" s="17" t="s">
        <v>477</v>
      </c>
      <c r="K8471" s="18" t="s">
        <v>477</v>
      </c>
      <c r="N8471" s="17" t="str">
        <f>IFERROR(__xludf.DUMMYFUNCTION("""COMPUTED_VALUE"""),"")</f>
        <v/>
      </c>
      <c r="O8471" s="17"/>
    </row>
    <row r="8472">
      <c r="B8472" s="17" t="s">
        <v>477</v>
      </c>
      <c r="K8472" s="18" t="s">
        <v>477</v>
      </c>
      <c r="N8472" s="17" t="str">
        <f>IFERROR(__xludf.DUMMYFUNCTION("""COMPUTED_VALUE"""),"")</f>
        <v/>
      </c>
      <c r="O8472" s="17"/>
    </row>
    <row r="8473">
      <c r="B8473" s="17" t="s">
        <v>477</v>
      </c>
      <c r="K8473" s="18" t="s">
        <v>477</v>
      </c>
      <c r="N8473" s="17" t="str">
        <f>IFERROR(__xludf.DUMMYFUNCTION("""COMPUTED_VALUE"""),"")</f>
        <v/>
      </c>
      <c r="O8473" s="17"/>
    </row>
    <row r="8474">
      <c r="B8474" s="17" t="s">
        <v>477</v>
      </c>
      <c r="K8474" s="18" t="s">
        <v>477</v>
      </c>
      <c r="N8474" s="17" t="str">
        <f>IFERROR(__xludf.DUMMYFUNCTION("""COMPUTED_VALUE"""),"")</f>
        <v/>
      </c>
      <c r="O8474" s="17"/>
    </row>
    <row r="8475">
      <c r="B8475" s="17" t="s">
        <v>477</v>
      </c>
      <c r="K8475" s="18" t="s">
        <v>477</v>
      </c>
      <c r="N8475" s="17" t="str">
        <f>IFERROR(__xludf.DUMMYFUNCTION("""COMPUTED_VALUE"""),"")</f>
        <v/>
      </c>
      <c r="O8475" s="17"/>
    </row>
    <row r="8476">
      <c r="B8476" s="17" t="s">
        <v>477</v>
      </c>
      <c r="K8476" s="18" t="s">
        <v>477</v>
      </c>
      <c r="N8476" s="17" t="str">
        <f>IFERROR(__xludf.DUMMYFUNCTION("""COMPUTED_VALUE"""),"")</f>
        <v/>
      </c>
      <c r="O8476" s="17"/>
    </row>
    <row r="8477">
      <c r="B8477" s="17" t="s">
        <v>477</v>
      </c>
      <c r="K8477" s="18" t="s">
        <v>477</v>
      </c>
      <c r="N8477" s="17" t="str">
        <f>IFERROR(__xludf.DUMMYFUNCTION("""COMPUTED_VALUE"""),"")</f>
        <v/>
      </c>
      <c r="O8477" s="17"/>
    </row>
    <row r="8478">
      <c r="B8478" s="17" t="s">
        <v>477</v>
      </c>
      <c r="K8478" s="18" t="s">
        <v>477</v>
      </c>
      <c r="N8478" s="17" t="str">
        <f>IFERROR(__xludf.DUMMYFUNCTION("""COMPUTED_VALUE"""),"")</f>
        <v/>
      </c>
      <c r="O8478" s="17"/>
    </row>
    <row r="8479">
      <c r="B8479" s="17" t="s">
        <v>477</v>
      </c>
      <c r="K8479" s="18" t="s">
        <v>477</v>
      </c>
      <c r="N8479" s="17" t="str">
        <f>IFERROR(__xludf.DUMMYFUNCTION("""COMPUTED_VALUE"""),"")</f>
        <v/>
      </c>
      <c r="O8479" s="17"/>
    </row>
    <row r="8480">
      <c r="B8480" s="17" t="s">
        <v>477</v>
      </c>
      <c r="K8480" s="18" t="s">
        <v>477</v>
      </c>
      <c r="N8480" s="17" t="str">
        <f>IFERROR(__xludf.DUMMYFUNCTION("""COMPUTED_VALUE"""),"")</f>
        <v/>
      </c>
      <c r="O8480" s="17"/>
    </row>
    <row r="8481">
      <c r="B8481" s="17" t="s">
        <v>477</v>
      </c>
      <c r="K8481" s="18" t="s">
        <v>477</v>
      </c>
      <c r="N8481" s="17" t="str">
        <f>IFERROR(__xludf.DUMMYFUNCTION("""COMPUTED_VALUE"""),"")</f>
        <v/>
      </c>
      <c r="O8481" s="17"/>
    </row>
    <row r="8482">
      <c r="B8482" s="17" t="s">
        <v>477</v>
      </c>
      <c r="K8482" s="18" t="s">
        <v>477</v>
      </c>
      <c r="N8482" s="17" t="str">
        <f>IFERROR(__xludf.DUMMYFUNCTION("""COMPUTED_VALUE"""),"")</f>
        <v/>
      </c>
      <c r="O8482" s="17"/>
    </row>
    <row r="8483">
      <c r="B8483" s="17" t="s">
        <v>477</v>
      </c>
      <c r="K8483" s="18" t="s">
        <v>477</v>
      </c>
      <c r="N8483" s="17" t="str">
        <f>IFERROR(__xludf.DUMMYFUNCTION("""COMPUTED_VALUE"""),"")</f>
        <v/>
      </c>
      <c r="O8483" s="17"/>
    </row>
    <row r="8484">
      <c r="B8484" s="17" t="s">
        <v>477</v>
      </c>
      <c r="K8484" s="18" t="s">
        <v>477</v>
      </c>
      <c r="N8484" s="17" t="str">
        <f>IFERROR(__xludf.DUMMYFUNCTION("""COMPUTED_VALUE"""),"")</f>
        <v/>
      </c>
      <c r="O8484" s="17"/>
    </row>
    <row r="8485">
      <c r="B8485" s="17" t="s">
        <v>477</v>
      </c>
      <c r="K8485" s="18" t="s">
        <v>477</v>
      </c>
      <c r="N8485" s="17" t="str">
        <f>IFERROR(__xludf.DUMMYFUNCTION("""COMPUTED_VALUE"""),"")</f>
        <v/>
      </c>
      <c r="O8485" s="17"/>
    </row>
    <row r="8486">
      <c r="B8486" s="17" t="s">
        <v>477</v>
      </c>
      <c r="K8486" s="18" t="s">
        <v>477</v>
      </c>
      <c r="N8486" s="17" t="str">
        <f>IFERROR(__xludf.DUMMYFUNCTION("""COMPUTED_VALUE"""),"")</f>
        <v/>
      </c>
      <c r="O8486" s="17"/>
    </row>
    <row r="8487">
      <c r="B8487" s="17" t="s">
        <v>477</v>
      </c>
      <c r="K8487" s="18" t="s">
        <v>477</v>
      </c>
      <c r="N8487" s="17" t="str">
        <f>IFERROR(__xludf.DUMMYFUNCTION("""COMPUTED_VALUE"""),"")</f>
        <v/>
      </c>
      <c r="O8487" s="17"/>
    </row>
    <row r="8488">
      <c r="B8488" s="17" t="s">
        <v>477</v>
      </c>
      <c r="K8488" s="18" t="s">
        <v>477</v>
      </c>
      <c r="N8488" s="17" t="str">
        <f>IFERROR(__xludf.DUMMYFUNCTION("""COMPUTED_VALUE"""),"")</f>
        <v/>
      </c>
      <c r="O8488" s="17"/>
    </row>
    <row r="8489">
      <c r="B8489" s="17" t="s">
        <v>477</v>
      </c>
      <c r="K8489" s="18" t="s">
        <v>477</v>
      </c>
      <c r="N8489" s="17" t="str">
        <f>IFERROR(__xludf.DUMMYFUNCTION("""COMPUTED_VALUE"""),"")</f>
        <v/>
      </c>
      <c r="O8489" s="17"/>
    </row>
    <row r="8490">
      <c r="B8490" s="17" t="s">
        <v>477</v>
      </c>
      <c r="K8490" s="18" t="s">
        <v>477</v>
      </c>
      <c r="N8490" s="17" t="str">
        <f>IFERROR(__xludf.DUMMYFUNCTION("""COMPUTED_VALUE"""),"")</f>
        <v/>
      </c>
      <c r="O8490" s="17"/>
    </row>
    <row r="8491">
      <c r="B8491" s="17" t="s">
        <v>477</v>
      </c>
      <c r="K8491" s="18" t="s">
        <v>477</v>
      </c>
      <c r="N8491" s="17" t="str">
        <f>IFERROR(__xludf.DUMMYFUNCTION("""COMPUTED_VALUE"""),"")</f>
        <v/>
      </c>
      <c r="O8491" s="17"/>
    </row>
    <row r="8492">
      <c r="B8492" s="17" t="s">
        <v>477</v>
      </c>
      <c r="K8492" s="18" t="s">
        <v>477</v>
      </c>
      <c r="N8492" s="17" t="str">
        <f>IFERROR(__xludf.DUMMYFUNCTION("""COMPUTED_VALUE"""),"")</f>
        <v/>
      </c>
      <c r="O8492" s="17"/>
    </row>
    <row r="8493">
      <c r="B8493" s="17" t="s">
        <v>477</v>
      </c>
      <c r="K8493" s="18" t="s">
        <v>477</v>
      </c>
      <c r="N8493" s="17" t="str">
        <f>IFERROR(__xludf.DUMMYFUNCTION("""COMPUTED_VALUE"""),"")</f>
        <v/>
      </c>
      <c r="O8493" s="17"/>
    </row>
    <row r="8494">
      <c r="B8494" s="17" t="s">
        <v>477</v>
      </c>
      <c r="K8494" s="18" t="s">
        <v>477</v>
      </c>
      <c r="N8494" s="17" t="str">
        <f>IFERROR(__xludf.DUMMYFUNCTION("""COMPUTED_VALUE"""),"")</f>
        <v/>
      </c>
      <c r="O8494" s="17"/>
    </row>
    <row r="8495">
      <c r="B8495" s="17" t="s">
        <v>477</v>
      </c>
      <c r="K8495" s="18" t="s">
        <v>477</v>
      </c>
      <c r="N8495" s="17" t="str">
        <f>IFERROR(__xludf.DUMMYFUNCTION("""COMPUTED_VALUE"""),"")</f>
        <v/>
      </c>
      <c r="O8495" s="17"/>
    </row>
    <row r="8496">
      <c r="B8496" s="17" t="s">
        <v>477</v>
      </c>
      <c r="K8496" s="18" t="s">
        <v>477</v>
      </c>
      <c r="N8496" s="17" t="str">
        <f>IFERROR(__xludf.DUMMYFUNCTION("""COMPUTED_VALUE"""),"")</f>
        <v/>
      </c>
      <c r="O8496" s="17"/>
    </row>
    <row r="8497">
      <c r="B8497" s="17" t="s">
        <v>477</v>
      </c>
      <c r="K8497" s="18" t="s">
        <v>477</v>
      </c>
      <c r="N8497" s="17" t="str">
        <f>IFERROR(__xludf.DUMMYFUNCTION("""COMPUTED_VALUE"""),"")</f>
        <v/>
      </c>
      <c r="O8497" s="17"/>
    </row>
    <row r="8498">
      <c r="B8498" s="17" t="s">
        <v>477</v>
      </c>
      <c r="K8498" s="18" t="s">
        <v>477</v>
      </c>
      <c r="N8498" s="17" t="str">
        <f>IFERROR(__xludf.DUMMYFUNCTION("""COMPUTED_VALUE"""),"")</f>
        <v/>
      </c>
      <c r="O8498" s="17"/>
    </row>
    <row r="8499">
      <c r="B8499" s="17" t="s">
        <v>477</v>
      </c>
      <c r="K8499" s="18" t="s">
        <v>477</v>
      </c>
      <c r="N8499" s="17" t="str">
        <f>IFERROR(__xludf.DUMMYFUNCTION("""COMPUTED_VALUE"""),"")</f>
        <v/>
      </c>
      <c r="O8499" s="17"/>
    </row>
    <row r="8500">
      <c r="B8500" s="17" t="s">
        <v>477</v>
      </c>
      <c r="K8500" s="18" t="s">
        <v>477</v>
      </c>
      <c r="N8500" s="17" t="str">
        <f>IFERROR(__xludf.DUMMYFUNCTION("""COMPUTED_VALUE"""),"")</f>
        <v/>
      </c>
      <c r="O8500" s="17"/>
    </row>
    <row r="8501">
      <c r="B8501" s="17" t="s">
        <v>477</v>
      </c>
      <c r="K8501" s="18" t="s">
        <v>477</v>
      </c>
      <c r="N8501" s="17" t="str">
        <f>IFERROR(__xludf.DUMMYFUNCTION("""COMPUTED_VALUE"""),"")</f>
        <v/>
      </c>
      <c r="O8501" s="17"/>
    </row>
    <row r="8502">
      <c r="B8502" s="17" t="s">
        <v>477</v>
      </c>
      <c r="K8502" s="18" t="s">
        <v>477</v>
      </c>
      <c r="N8502" s="17" t="str">
        <f>IFERROR(__xludf.DUMMYFUNCTION("""COMPUTED_VALUE"""),"")</f>
        <v/>
      </c>
      <c r="O8502" s="17"/>
    </row>
    <row r="8503">
      <c r="B8503" s="17" t="s">
        <v>477</v>
      </c>
      <c r="K8503" s="18" t="s">
        <v>477</v>
      </c>
      <c r="N8503" s="17" t="str">
        <f>IFERROR(__xludf.DUMMYFUNCTION("""COMPUTED_VALUE"""),"")</f>
        <v/>
      </c>
      <c r="O8503" s="17"/>
    </row>
    <row r="8504">
      <c r="B8504" s="17" t="s">
        <v>477</v>
      </c>
      <c r="K8504" s="18" t="s">
        <v>477</v>
      </c>
      <c r="N8504" s="17" t="str">
        <f>IFERROR(__xludf.DUMMYFUNCTION("""COMPUTED_VALUE"""),"")</f>
        <v/>
      </c>
      <c r="O8504" s="17"/>
    </row>
    <row r="8505">
      <c r="B8505" s="17" t="s">
        <v>477</v>
      </c>
      <c r="K8505" s="18" t="s">
        <v>477</v>
      </c>
      <c r="N8505" s="17" t="str">
        <f>IFERROR(__xludf.DUMMYFUNCTION("""COMPUTED_VALUE"""),"")</f>
        <v/>
      </c>
      <c r="O8505" s="17"/>
    </row>
    <row r="8506">
      <c r="B8506" s="17" t="s">
        <v>477</v>
      </c>
      <c r="K8506" s="18" t="s">
        <v>477</v>
      </c>
      <c r="N8506" s="17" t="str">
        <f>IFERROR(__xludf.DUMMYFUNCTION("""COMPUTED_VALUE"""),"")</f>
        <v/>
      </c>
      <c r="O8506" s="17"/>
    </row>
    <row r="8507">
      <c r="B8507" s="17" t="s">
        <v>477</v>
      </c>
      <c r="K8507" s="18" t="s">
        <v>477</v>
      </c>
      <c r="N8507" s="17" t="str">
        <f>IFERROR(__xludf.DUMMYFUNCTION("""COMPUTED_VALUE"""),"")</f>
        <v/>
      </c>
      <c r="O8507" s="17"/>
    </row>
    <row r="8508">
      <c r="B8508" s="17" t="s">
        <v>477</v>
      </c>
      <c r="K8508" s="18" t="s">
        <v>477</v>
      </c>
      <c r="N8508" s="17" t="str">
        <f>IFERROR(__xludf.DUMMYFUNCTION("""COMPUTED_VALUE"""),"")</f>
        <v/>
      </c>
      <c r="O8508" s="17"/>
    </row>
    <row r="8509">
      <c r="B8509" s="17" t="s">
        <v>477</v>
      </c>
      <c r="K8509" s="18" t="s">
        <v>477</v>
      </c>
      <c r="N8509" s="17" t="str">
        <f>IFERROR(__xludf.DUMMYFUNCTION("""COMPUTED_VALUE"""),"")</f>
        <v/>
      </c>
      <c r="O8509" s="17"/>
    </row>
    <row r="8510">
      <c r="B8510" s="17" t="s">
        <v>477</v>
      </c>
      <c r="K8510" s="18" t="s">
        <v>477</v>
      </c>
      <c r="N8510" s="17" t="str">
        <f>IFERROR(__xludf.DUMMYFUNCTION("""COMPUTED_VALUE"""),"")</f>
        <v/>
      </c>
      <c r="O8510" s="17"/>
    </row>
    <row r="8511">
      <c r="B8511" s="17" t="s">
        <v>477</v>
      </c>
      <c r="K8511" s="18" t="s">
        <v>477</v>
      </c>
      <c r="N8511" s="17" t="str">
        <f>IFERROR(__xludf.DUMMYFUNCTION("""COMPUTED_VALUE"""),"")</f>
        <v/>
      </c>
      <c r="O8511" s="17"/>
    </row>
    <row r="8512">
      <c r="B8512" s="17" t="s">
        <v>477</v>
      </c>
      <c r="K8512" s="18" t="s">
        <v>477</v>
      </c>
      <c r="N8512" s="17" t="str">
        <f>IFERROR(__xludf.DUMMYFUNCTION("""COMPUTED_VALUE"""),"")</f>
        <v/>
      </c>
      <c r="O8512" s="17"/>
    </row>
    <row r="8513">
      <c r="B8513" s="17" t="s">
        <v>477</v>
      </c>
      <c r="K8513" s="18" t="s">
        <v>477</v>
      </c>
      <c r="N8513" s="17" t="str">
        <f>IFERROR(__xludf.DUMMYFUNCTION("""COMPUTED_VALUE"""),"")</f>
        <v/>
      </c>
      <c r="O8513" s="17"/>
    </row>
    <row r="8514">
      <c r="B8514" s="17" t="s">
        <v>477</v>
      </c>
      <c r="K8514" s="18" t="s">
        <v>477</v>
      </c>
      <c r="N8514" s="17" t="str">
        <f>IFERROR(__xludf.DUMMYFUNCTION("""COMPUTED_VALUE"""),"")</f>
        <v/>
      </c>
      <c r="O8514" s="17"/>
    </row>
    <row r="8515">
      <c r="B8515" s="17" t="s">
        <v>477</v>
      </c>
      <c r="K8515" s="18" t="s">
        <v>477</v>
      </c>
      <c r="N8515" s="17" t="str">
        <f>IFERROR(__xludf.DUMMYFUNCTION("""COMPUTED_VALUE"""),"")</f>
        <v/>
      </c>
      <c r="O8515" s="17"/>
    </row>
    <row r="8516">
      <c r="B8516" s="17" t="s">
        <v>477</v>
      </c>
      <c r="K8516" s="18" t="s">
        <v>477</v>
      </c>
      <c r="N8516" s="17" t="str">
        <f>IFERROR(__xludf.DUMMYFUNCTION("""COMPUTED_VALUE"""),"")</f>
        <v/>
      </c>
      <c r="O8516" s="17"/>
    </row>
    <row r="8517">
      <c r="B8517" s="17" t="s">
        <v>477</v>
      </c>
      <c r="K8517" s="18" t="s">
        <v>477</v>
      </c>
      <c r="N8517" s="17" t="str">
        <f>IFERROR(__xludf.DUMMYFUNCTION("""COMPUTED_VALUE"""),"")</f>
        <v/>
      </c>
      <c r="O8517" s="17"/>
    </row>
    <row r="8518">
      <c r="B8518" s="17" t="s">
        <v>477</v>
      </c>
      <c r="K8518" s="18" t="s">
        <v>477</v>
      </c>
      <c r="N8518" s="17" t="str">
        <f>IFERROR(__xludf.DUMMYFUNCTION("""COMPUTED_VALUE"""),"")</f>
        <v/>
      </c>
      <c r="O8518" s="17"/>
    </row>
    <row r="8519">
      <c r="B8519" s="17" t="s">
        <v>477</v>
      </c>
      <c r="K8519" s="18" t="s">
        <v>477</v>
      </c>
      <c r="N8519" s="17" t="str">
        <f>IFERROR(__xludf.DUMMYFUNCTION("""COMPUTED_VALUE"""),"")</f>
        <v/>
      </c>
      <c r="O8519" s="17"/>
    </row>
    <row r="8520">
      <c r="B8520" s="17" t="s">
        <v>477</v>
      </c>
      <c r="K8520" s="18" t="s">
        <v>477</v>
      </c>
      <c r="N8520" s="17" t="str">
        <f>IFERROR(__xludf.DUMMYFUNCTION("""COMPUTED_VALUE"""),"")</f>
        <v/>
      </c>
      <c r="O8520" s="17"/>
    </row>
    <row r="8521">
      <c r="B8521" s="17" t="s">
        <v>477</v>
      </c>
      <c r="K8521" s="18" t="s">
        <v>477</v>
      </c>
      <c r="N8521" s="17" t="str">
        <f>IFERROR(__xludf.DUMMYFUNCTION("""COMPUTED_VALUE"""),"")</f>
        <v/>
      </c>
      <c r="O8521" s="17"/>
    </row>
    <row r="8522">
      <c r="B8522" s="17" t="s">
        <v>477</v>
      </c>
      <c r="K8522" s="18" t="s">
        <v>477</v>
      </c>
      <c r="N8522" s="17" t="str">
        <f>IFERROR(__xludf.DUMMYFUNCTION("""COMPUTED_VALUE"""),"")</f>
        <v/>
      </c>
      <c r="O8522" s="17"/>
    </row>
    <row r="8523">
      <c r="B8523" s="17" t="s">
        <v>477</v>
      </c>
      <c r="K8523" s="18" t="s">
        <v>477</v>
      </c>
      <c r="N8523" s="17" t="str">
        <f>IFERROR(__xludf.DUMMYFUNCTION("""COMPUTED_VALUE"""),"")</f>
        <v/>
      </c>
      <c r="O8523" s="17"/>
    </row>
    <row r="8524">
      <c r="B8524" s="17" t="s">
        <v>477</v>
      </c>
      <c r="K8524" s="18" t="s">
        <v>477</v>
      </c>
      <c r="N8524" s="17" t="str">
        <f>IFERROR(__xludf.DUMMYFUNCTION("""COMPUTED_VALUE"""),"")</f>
        <v/>
      </c>
      <c r="O8524" s="17"/>
    </row>
    <row r="8525">
      <c r="B8525" s="17" t="s">
        <v>477</v>
      </c>
      <c r="K8525" s="18" t="s">
        <v>477</v>
      </c>
      <c r="N8525" s="17" t="str">
        <f>IFERROR(__xludf.DUMMYFUNCTION("""COMPUTED_VALUE"""),"")</f>
        <v/>
      </c>
      <c r="O8525" s="17"/>
    </row>
    <row r="8526">
      <c r="B8526" s="17" t="s">
        <v>477</v>
      </c>
      <c r="K8526" s="18" t="s">
        <v>477</v>
      </c>
      <c r="N8526" s="17" t="str">
        <f>IFERROR(__xludf.DUMMYFUNCTION("""COMPUTED_VALUE"""),"")</f>
        <v/>
      </c>
      <c r="O8526" s="17"/>
    </row>
    <row r="8527">
      <c r="B8527" s="17" t="s">
        <v>477</v>
      </c>
      <c r="K8527" s="18" t="s">
        <v>477</v>
      </c>
      <c r="N8527" s="17" t="str">
        <f>IFERROR(__xludf.DUMMYFUNCTION("""COMPUTED_VALUE"""),"")</f>
        <v/>
      </c>
      <c r="O8527" s="17"/>
    </row>
    <row r="8528">
      <c r="B8528" s="17" t="s">
        <v>477</v>
      </c>
      <c r="K8528" s="18" t="s">
        <v>477</v>
      </c>
      <c r="N8528" s="17" t="str">
        <f>IFERROR(__xludf.DUMMYFUNCTION("""COMPUTED_VALUE"""),"")</f>
        <v/>
      </c>
      <c r="O8528" s="17"/>
    </row>
    <row r="8529">
      <c r="B8529" s="17" t="s">
        <v>477</v>
      </c>
      <c r="K8529" s="18" t="s">
        <v>477</v>
      </c>
      <c r="N8529" s="17" t="str">
        <f>IFERROR(__xludf.DUMMYFUNCTION("""COMPUTED_VALUE"""),"")</f>
        <v/>
      </c>
      <c r="O8529" s="17"/>
    </row>
    <row r="8530">
      <c r="B8530" s="17" t="s">
        <v>477</v>
      </c>
      <c r="K8530" s="18" t="s">
        <v>477</v>
      </c>
      <c r="N8530" s="17" t="str">
        <f>IFERROR(__xludf.DUMMYFUNCTION("""COMPUTED_VALUE"""),"")</f>
        <v/>
      </c>
      <c r="O8530" s="17"/>
    </row>
    <row r="8531">
      <c r="B8531" s="17" t="s">
        <v>477</v>
      </c>
      <c r="K8531" s="18" t="s">
        <v>477</v>
      </c>
      <c r="N8531" s="17" t="str">
        <f>IFERROR(__xludf.DUMMYFUNCTION("""COMPUTED_VALUE"""),"")</f>
        <v/>
      </c>
      <c r="O8531" s="17"/>
    </row>
    <row r="8532">
      <c r="B8532" s="17" t="s">
        <v>477</v>
      </c>
      <c r="K8532" s="18" t="s">
        <v>477</v>
      </c>
      <c r="N8532" s="17" t="str">
        <f>IFERROR(__xludf.DUMMYFUNCTION("""COMPUTED_VALUE"""),"")</f>
        <v/>
      </c>
      <c r="O8532" s="17"/>
    </row>
    <row r="8533">
      <c r="B8533" s="17" t="s">
        <v>477</v>
      </c>
      <c r="K8533" s="18" t="s">
        <v>477</v>
      </c>
      <c r="N8533" s="17" t="str">
        <f>IFERROR(__xludf.DUMMYFUNCTION("""COMPUTED_VALUE"""),"")</f>
        <v/>
      </c>
      <c r="O8533" s="17"/>
    </row>
    <row r="8534">
      <c r="B8534" s="17" t="s">
        <v>477</v>
      </c>
      <c r="K8534" s="18" t="s">
        <v>477</v>
      </c>
      <c r="N8534" s="17" t="str">
        <f>IFERROR(__xludf.DUMMYFUNCTION("""COMPUTED_VALUE"""),"")</f>
        <v/>
      </c>
      <c r="O8534" s="17"/>
    </row>
    <row r="8535">
      <c r="B8535" s="17" t="s">
        <v>477</v>
      </c>
      <c r="K8535" s="18" t="s">
        <v>477</v>
      </c>
      <c r="N8535" s="17" t="str">
        <f>IFERROR(__xludf.DUMMYFUNCTION("""COMPUTED_VALUE"""),"")</f>
        <v/>
      </c>
      <c r="O8535" s="17"/>
    </row>
    <row r="8536">
      <c r="B8536" s="17" t="s">
        <v>477</v>
      </c>
      <c r="K8536" s="18" t="s">
        <v>477</v>
      </c>
      <c r="N8536" s="17" t="str">
        <f>IFERROR(__xludf.DUMMYFUNCTION("""COMPUTED_VALUE"""),"")</f>
        <v/>
      </c>
      <c r="O8536" s="17"/>
    </row>
    <row r="8537">
      <c r="B8537" s="17" t="s">
        <v>477</v>
      </c>
      <c r="K8537" s="18" t="s">
        <v>477</v>
      </c>
      <c r="N8537" s="17" t="str">
        <f>IFERROR(__xludf.DUMMYFUNCTION("""COMPUTED_VALUE"""),"")</f>
        <v/>
      </c>
      <c r="O8537" s="17"/>
    </row>
    <row r="8538">
      <c r="B8538" s="17" t="s">
        <v>477</v>
      </c>
      <c r="K8538" s="18" t="s">
        <v>477</v>
      </c>
      <c r="N8538" s="17" t="str">
        <f>IFERROR(__xludf.DUMMYFUNCTION("""COMPUTED_VALUE"""),"")</f>
        <v/>
      </c>
      <c r="O8538" s="17"/>
    </row>
    <row r="8539">
      <c r="B8539" s="17" t="s">
        <v>477</v>
      </c>
      <c r="K8539" s="18" t="s">
        <v>477</v>
      </c>
      <c r="N8539" s="17" t="str">
        <f>IFERROR(__xludf.DUMMYFUNCTION("""COMPUTED_VALUE"""),"")</f>
        <v/>
      </c>
      <c r="O8539" s="17"/>
    </row>
    <row r="8540">
      <c r="B8540" s="17" t="s">
        <v>477</v>
      </c>
      <c r="K8540" s="18" t="s">
        <v>477</v>
      </c>
      <c r="N8540" s="17" t="str">
        <f>IFERROR(__xludf.DUMMYFUNCTION("""COMPUTED_VALUE"""),"")</f>
        <v/>
      </c>
      <c r="O8540" s="17"/>
    </row>
    <row r="8541">
      <c r="B8541" s="17" t="s">
        <v>477</v>
      </c>
      <c r="K8541" s="18" t="s">
        <v>477</v>
      </c>
      <c r="N8541" s="17" t="str">
        <f>IFERROR(__xludf.DUMMYFUNCTION("""COMPUTED_VALUE"""),"")</f>
        <v/>
      </c>
      <c r="O8541" s="17"/>
    </row>
    <row r="8542">
      <c r="B8542" s="17" t="s">
        <v>477</v>
      </c>
      <c r="K8542" s="18" t="s">
        <v>477</v>
      </c>
      <c r="N8542" s="17" t="str">
        <f>IFERROR(__xludf.DUMMYFUNCTION("""COMPUTED_VALUE"""),"")</f>
        <v/>
      </c>
      <c r="O8542" s="17"/>
    </row>
    <row r="8543">
      <c r="B8543" s="17" t="s">
        <v>477</v>
      </c>
      <c r="K8543" s="18" t="s">
        <v>477</v>
      </c>
      <c r="N8543" s="17" t="str">
        <f>IFERROR(__xludf.DUMMYFUNCTION("""COMPUTED_VALUE"""),"")</f>
        <v/>
      </c>
      <c r="O8543" s="17"/>
    </row>
    <row r="8544">
      <c r="B8544" s="17" t="s">
        <v>477</v>
      </c>
      <c r="K8544" s="18" t="s">
        <v>477</v>
      </c>
      <c r="N8544" s="17" t="str">
        <f>IFERROR(__xludf.DUMMYFUNCTION("""COMPUTED_VALUE"""),"")</f>
        <v/>
      </c>
      <c r="O8544" s="17"/>
    </row>
    <row r="8545">
      <c r="B8545" s="17" t="s">
        <v>477</v>
      </c>
      <c r="K8545" s="18" t="s">
        <v>477</v>
      </c>
      <c r="N8545" s="17" t="str">
        <f>IFERROR(__xludf.DUMMYFUNCTION("""COMPUTED_VALUE"""),"")</f>
        <v/>
      </c>
      <c r="O8545" s="17"/>
    </row>
    <row r="8546">
      <c r="B8546" s="17" t="s">
        <v>477</v>
      </c>
      <c r="K8546" s="18" t="s">
        <v>477</v>
      </c>
      <c r="N8546" s="17" t="str">
        <f>IFERROR(__xludf.DUMMYFUNCTION("""COMPUTED_VALUE"""),"")</f>
        <v/>
      </c>
      <c r="O8546" s="17"/>
    </row>
    <row r="8547">
      <c r="B8547" s="17" t="s">
        <v>477</v>
      </c>
      <c r="K8547" s="18" t="s">
        <v>477</v>
      </c>
      <c r="N8547" s="17" t="str">
        <f>IFERROR(__xludf.DUMMYFUNCTION("""COMPUTED_VALUE"""),"")</f>
        <v/>
      </c>
      <c r="O8547" s="17"/>
    </row>
    <row r="8548">
      <c r="B8548" s="17" t="s">
        <v>477</v>
      </c>
      <c r="K8548" s="18" t="s">
        <v>477</v>
      </c>
      <c r="N8548" s="17" t="str">
        <f>IFERROR(__xludf.DUMMYFUNCTION("""COMPUTED_VALUE"""),"")</f>
        <v/>
      </c>
      <c r="O8548" s="17"/>
    </row>
    <row r="8549">
      <c r="B8549" s="17" t="s">
        <v>477</v>
      </c>
      <c r="K8549" s="18" t="s">
        <v>477</v>
      </c>
      <c r="N8549" s="17" t="str">
        <f>IFERROR(__xludf.DUMMYFUNCTION("""COMPUTED_VALUE"""),"")</f>
        <v/>
      </c>
      <c r="O8549" s="17"/>
    </row>
    <row r="8550">
      <c r="B8550" s="17" t="s">
        <v>477</v>
      </c>
      <c r="K8550" s="18" t="s">
        <v>477</v>
      </c>
      <c r="N8550" s="17" t="str">
        <f>IFERROR(__xludf.DUMMYFUNCTION("""COMPUTED_VALUE"""),"")</f>
        <v/>
      </c>
      <c r="O8550" s="17"/>
    </row>
    <row r="8551">
      <c r="B8551" s="17" t="s">
        <v>477</v>
      </c>
      <c r="K8551" s="18" t="s">
        <v>477</v>
      </c>
      <c r="N8551" s="17" t="str">
        <f>IFERROR(__xludf.DUMMYFUNCTION("""COMPUTED_VALUE"""),"")</f>
        <v/>
      </c>
      <c r="O8551" s="17"/>
    </row>
    <row r="8552">
      <c r="B8552" s="17" t="s">
        <v>477</v>
      </c>
      <c r="K8552" s="18" t="s">
        <v>477</v>
      </c>
      <c r="N8552" s="17" t="str">
        <f>IFERROR(__xludf.DUMMYFUNCTION("""COMPUTED_VALUE"""),"")</f>
        <v/>
      </c>
      <c r="O8552" s="17"/>
    </row>
    <row r="8553">
      <c r="B8553" s="17" t="s">
        <v>477</v>
      </c>
      <c r="K8553" s="18" t="s">
        <v>477</v>
      </c>
      <c r="N8553" s="17" t="str">
        <f>IFERROR(__xludf.DUMMYFUNCTION("""COMPUTED_VALUE"""),"")</f>
        <v/>
      </c>
      <c r="O8553" s="17"/>
    </row>
    <row r="8554">
      <c r="B8554" s="17" t="s">
        <v>477</v>
      </c>
      <c r="K8554" s="18" t="s">
        <v>477</v>
      </c>
      <c r="N8554" s="17" t="str">
        <f>IFERROR(__xludf.DUMMYFUNCTION("""COMPUTED_VALUE"""),"")</f>
        <v/>
      </c>
      <c r="O8554" s="17"/>
    </row>
    <row r="8555">
      <c r="B8555" s="17" t="s">
        <v>477</v>
      </c>
      <c r="K8555" s="18" t="s">
        <v>477</v>
      </c>
      <c r="N8555" s="17" t="str">
        <f>IFERROR(__xludf.DUMMYFUNCTION("""COMPUTED_VALUE"""),"")</f>
        <v/>
      </c>
      <c r="O8555" s="17"/>
    </row>
    <row r="8556">
      <c r="B8556" s="17" t="s">
        <v>477</v>
      </c>
      <c r="K8556" s="18" t="s">
        <v>477</v>
      </c>
      <c r="N8556" s="17" t="str">
        <f>IFERROR(__xludf.DUMMYFUNCTION("""COMPUTED_VALUE"""),"")</f>
        <v/>
      </c>
      <c r="O8556" s="17"/>
    </row>
    <row r="8557">
      <c r="B8557" s="17" t="s">
        <v>477</v>
      </c>
      <c r="K8557" s="18" t="s">
        <v>477</v>
      </c>
      <c r="N8557" s="17" t="str">
        <f>IFERROR(__xludf.DUMMYFUNCTION("""COMPUTED_VALUE"""),"")</f>
        <v/>
      </c>
      <c r="O8557" s="17"/>
    </row>
    <row r="8558">
      <c r="B8558" s="17" t="s">
        <v>477</v>
      </c>
      <c r="K8558" s="18" t="s">
        <v>477</v>
      </c>
      <c r="N8558" s="17" t="str">
        <f>IFERROR(__xludf.DUMMYFUNCTION("""COMPUTED_VALUE"""),"")</f>
        <v/>
      </c>
      <c r="O8558" s="17"/>
    </row>
    <row r="8559">
      <c r="B8559" s="17" t="s">
        <v>477</v>
      </c>
      <c r="K8559" s="18" t="s">
        <v>477</v>
      </c>
      <c r="N8559" s="17" t="str">
        <f>IFERROR(__xludf.DUMMYFUNCTION("""COMPUTED_VALUE"""),"")</f>
        <v/>
      </c>
      <c r="O8559" s="17"/>
    </row>
    <row r="8560">
      <c r="B8560" s="17" t="s">
        <v>477</v>
      </c>
      <c r="K8560" s="18" t="s">
        <v>477</v>
      </c>
      <c r="N8560" s="17" t="str">
        <f>IFERROR(__xludf.DUMMYFUNCTION("""COMPUTED_VALUE"""),"")</f>
        <v/>
      </c>
      <c r="O8560" s="17"/>
    </row>
    <row r="8561">
      <c r="B8561" s="17" t="s">
        <v>477</v>
      </c>
      <c r="K8561" s="18" t="s">
        <v>477</v>
      </c>
      <c r="N8561" s="17" t="str">
        <f>IFERROR(__xludf.DUMMYFUNCTION("""COMPUTED_VALUE"""),"")</f>
        <v/>
      </c>
      <c r="O8561" s="17"/>
    </row>
    <row r="8562">
      <c r="B8562" s="17" t="s">
        <v>477</v>
      </c>
      <c r="K8562" s="18" t="s">
        <v>477</v>
      </c>
      <c r="N8562" s="17" t="str">
        <f>IFERROR(__xludf.DUMMYFUNCTION("""COMPUTED_VALUE"""),"")</f>
        <v/>
      </c>
      <c r="O8562" s="17"/>
    </row>
    <row r="8563">
      <c r="B8563" s="17" t="s">
        <v>477</v>
      </c>
      <c r="K8563" s="18" t="s">
        <v>477</v>
      </c>
      <c r="N8563" s="17" t="str">
        <f>IFERROR(__xludf.DUMMYFUNCTION("""COMPUTED_VALUE"""),"")</f>
        <v/>
      </c>
      <c r="O8563" s="17"/>
    </row>
    <row r="8564">
      <c r="B8564" s="17" t="s">
        <v>477</v>
      </c>
      <c r="K8564" s="18" t="s">
        <v>477</v>
      </c>
      <c r="N8564" s="17" t="str">
        <f>IFERROR(__xludf.DUMMYFUNCTION("""COMPUTED_VALUE"""),"")</f>
        <v/>
      </c>
      <c r="O8564" s="17"/>
    </row>
    <row r="8565">
      <c r="B8565" s="17" t="s">
        <v>477</v>
      </c>
      <c r="K8565" s="18" t="s">
        <v>477</v>
      </c>
      <c r="N8565" s="17" t="str">
        <f>IFERROR(__xludf.DUMMYFUNCTION("""COMPUTED_VALUE"""),"")</f>
        <v/>
      </c>
      <c r="O8565" s="17"/>
    </row>
    <row r="8566">
      <c r="B8566" s="17" t="s">
        <v>477</v>
      </c>
      <c r="K8566" s="18" t="s">
        <v>477</v>
      </c>
      <c r="N8566" s="17" t="str">
        <f>IFERROR(__xludf.DUMMYFUNCTION("""COMPUTED_VALUE"""),"")</f>
        <v/>
      </c>
      <c r="O8566" s="17"/>
    </row>
    <row r="8567">
      <c r="B8567" s="17" t="s">
        <v>477</v>
      </c>
      <c r="K8567" s="18" t="s">
        <v>477</v>
      </c>
      <c r="N8567" s="17" t="str">
        <f>IFERROR(__xludf.DUMMYFUNCTION("""COMPUTED_VALUE"""),"")</f>
        <v/>
      </c>
      <c r="O8567" s="17"/>
    </row>
    <row r="8568">
      <c r="B8568" s="17" t="s">
        <v>477</v>
      </c>
      <c r="K8568" s="18" t="s">
        <v>477</v>
      </c>
      <c r="N8568" s="17" t="str">
        <f>IFERROR(__xludf.DUMMYFUNCTION("""COMPUTED_VALUE"""),"")</f>
        <v/>
      </c>
      <c r="O8568" s="17"/>
    </row>
    <row r="8569">
      <c r="B8569" s="17" t="s">
        <v>477</v>
      </c>
      <c r="K8569" s="18" t="s">
        <v>477</v>
      </c>
      <c r="N8569" s="17" t="str">
        <f>IFERROR(__xludf.DUMMYFUNCTION("""COMPUTED_VALUE"""),"")</f>
        <v/>
      </c>
      <c r="O8569" s="17"/>
    </row>
    <row r="8570">
      <c r="B8570" s="17" t="s">
        <v>477</v>
      </c>
      <c r="K8570" s="18" t="s">
        <v>477</v>
      </c>
      <c r="N8570" s="17" t="str">
        <f>IFERROR(__xludf.DUMMYFUNCTION("""COMPUTED_VALUE"""),"")</f>
        <v/>
      </c>
      <c r="O8570" s="17"/>
    </row>
    <row r="8571">
      <c r="B8571" s="17" t="s">
        <v>477</v>
      </c>
      <c r="K8571" s="18" t="s">
        <v>477</v>
      </c>
      <c r="N8571" s="17" t="str">
        <f>IFERROR(__xludf.DUMMYFUNCTION("""COMPUTED_VALUE"""),"")</f>
        <v/>
      </c>
      <c r="O8571" s="17"/>
    </row>
    <row r="8572">
      <c r="B8572" s="17" t="s">
        <v>477</v>
      </c>
      <c r="K8572" s="18" t="s">
        <v>477</v>
      </c>
      <c r="N8572" s="17" t="str">
        <f>IFERROR(__xludf.DUMMYFUNCTION("""COMPUTED_VALUE"""),"")</f>
        <v/>
      </c>
      <c r="O8572" s="17"/>
    </row>
    <row r="8573">
      <c r="B8573" s="17" t="s">
        <v>477</v>
      </c>
      <c r="K8573" s="18" t="s">
        <v>477</v>
      </c>
      <c r="N8573" s="17" t="str">
        <f>IFERROR(__xludf.DUMMYFUNCTION("""COMPUTED_VALUE"""),"")</f>
        <v/>
      </c>
      <c r="O8573" s="17"/>
    </row>
    <row r="8574">
      <c r="B8574" s="17" t="s">
        <v>477</v>
      </c>
      <c r="K8574" s="18" t="s">
        <v>477</v>
      </c>
      <c r="N8574" s="17" t="str">
        <f>IFERROR(__xludf.DUMMYFUNCTION("""COMPUTED_VALUE"""),"")</f>
        <v/>
      </c>
      <c r="O8574" s="17"/>
    </row>
    <row r="8575">
      <c r="B8575" s="17" t="s">
        <v>477</v>
      </c>
      <c r="K8575" s="18" t="s">
        <v>477</v>
      </c>
      <c r="N8575" s="17" t="str">
        <f>IFERROR(__xludf.DUMMYFUNCTION("""COMPUTED_VALUE"""),"")</f>
        <v/>
      </c>
      <c r="O8575" s="17"/>
    </row>
    <row r="8576">
      <c r="B8576" s="17" t="s">
        <v>477</v>
      </c>
      <c r="K8576" s="18" t="s">
        <v>477</v>
      </c>
      <c r="N8576" s="17" t="str">
        <f>IFERROR(__xludf.DUMMYFUNCTION("""COMPUTED_VALUE"""),"")</f>
        <v/>
      </c>
      <c r="O8576" s="17"/>
    </row>
    <row r="8577">
      <c r="B8577" s="17" t="s">
        <v>477</v>
      </c>
      <c r="K8577" s="18" t="s">
        <v>477</v>
      </c>
      <c r="N8577" s="17" t="str">
        <f>IFERROR(__xludf.DUMMYFUNCTION("""COMPUTED_VALUE"""),"")</f>
        <v/>
      </c>
      <c r="O8577" s="17"/>
    </row>
    <row r="8578">
      <c r="B8578" s="17" t="s">
        <v>477</v>
      </c>
      <c r="K8578" s="18" t="s">
        <v>477</v>
      </c>
      <c r="N8578" s="17" t="str">
        <f>IFERROR(__xludf.DUMMYFUNCTION("""COMPUTED_VALUE"""),"")</f>
        <v/>
      </c>
      <c r="O8578" s="17"/>
    </row>
    <row r="8579">
      <c r="B8579" s="17" t="s">
        <v>477</v>
      </c>
      <c r="K8579" s="18" t="s">
        <v>477</v>
      </c>
      <c r="N8579" s="17" t="str">
        <f>IFERROR(__xludf.DUMMYFUNCTION("""COMPUTED_VALUE"""),"")</f>
        <v/>
      </c>
      <c r="O8579" s="17"/>
    </row>
    <row r="8580">
      <c r="B8580" s="17" t="s">
        <v>477</v>
      </c>
      <c r="K8580" s="18" t="s">
        <v>477</v>
      </c>
      <c r="N8580" s="17" t="str">
        <f>IFERROR(__xludf.DUMMYFUNCTION("""COMPUTED_VALUE"""),"")</f>
        <v/>
      </c>
      <c r="O8580" s="17"/>
    </row>
    <row r="8581">
      <c r="B8581" s="17" t="s">
        <v>477</v>
      </c>
      <c r="K8581" s="18" t="s">
        <v>477</v>
      </c>
      <c r="N8581" s="17" t="str">
        <f>IFERROR(__xludf.DUMMYFUNCTION("""COMPUTED_VALUE"""),"")</f>
        <v/>
      </c>
      <c r="O8581" s="17"/>
    </row>
    <row r="8582">
      <c r="B8582" s="17" t="s">
        <v>477</v>
      </c>
      <c r="K8582" s="18" t="s">
        <v>477</v>
      </c>
      <c r="N8582" s="17" t="str">
        <f>IFERROR(__xludf.DUMMYFUNCTION("""COMPUTED_VALUE"""),"")</f>
        <v/>
      </c>
      <c r="O8582" s="17"/>
    </row>
    <row r="8583">
      <c r="B8583" s="17" t="s">
        <v>477</v>
      </c>
      <c r="K8583" s="18" t="s">
        <v>477</v>
      </c>
      <c r="N8583" s="17" t="str">
        <f>IFERROR(__xludf.DUMMYFUNCTION("""COMPUTED_VALUE"""),"")</f>
        <v/>
      </c>
      <c r="O8583" s="17"/>
    </row>
    <row r="8584">
      <c r="B8584" s="17" t="s">
        <v>477</v>
      </c>
      <c r="K8584" s="18" t="s">
        <v>477</v>
      </c>
      <c r="N8584" s="17" t="str">
        <f>IFERROR(__xludf.DUMMYFUNCTION("""COMPUTED_VALUE"""),"")</f>
        <v/>
      </c>
      <c r="O8584" s="17"/>
    </row>
    <row r="8585">
      <c r="B8585" s="17" t="s">
        <v>477</v>
      </c>
      <c r="K8585" s="18" t="s">
        <v>477</v>
      </c>
      <c r="N8585" s="17" t="str">
        <f>IFERROR(__xludf.DUMMYFUNCTION("""COMPUTED_VALUE"""),"")</f>
        <v/>
      </c>
      <c r="O8585" s="17"/>
    </row>
    <row r="8586">
      <c r="B8586" s="17" t="s">
        <v>477</v>
      </c>
      <c r="K8586" s="18" t="s">
        <v>477</v>
      </c>
      <c r="N8586" s="17" t="str">
        <f>IFERROR(__xludf.DUMMYFUNCTION("""COMPUTED_VALUE"""),"")</f>
        <v/>
      </c>
      <c r="O8586" s="17"/>
    </row>
    <row r="8587">
      <c r="B8587" s="17" t="s">
        <v>477</v>
      </c>
      <c r="K8587" s="18" t="s">
        <v>477</v>
      </c>
      <c r="N8587" s="17" t="str">
        <f>IFERROR(__xludf.DUMMYFUNCTION("""COMPUTED_VALUE"""),"")</f>
        <v/>
      </c>
      <c r="O8587" s="17"/>
    </row>
    <row r="8588">
      <c r="B8588" s="17" t="s">
        <v>477</v>
      </c>
      <c r="K8588" s="18" t="s">
        <v>477</v>
      </c>
      <c r="N8588" s="17" t="str">
        <f>IFERROR(__xludf.DUMMYFUNCTION("""COMPUTED_VALUE"""),"")</f>
        <v/>
      </c>
      <c r="O8588" s="17"/>
    </row>
    <row r="8589">
      <c r="B8589" s="17" t="s">
        <v>477</v>
      </c>
      <c r="K8589" s="18" t="s">
        <v>477</v>
      </c>
      <c r="N8589" s="17" t="str">
        <f>IFERROR(__xludf.DUMMYFUNCTION("""COMPUTED_VALUE"""),"")</f>
        <v/>
      </c>
      <c r="O8589" s="17"/>
    </row>
    <row r="8590">
      <c r="B8590" s="17" t="s">
        <v>477</v>
      </c>
      <c r="K8590" s="18" t="s">
        <v>477</v>
      </c>
      <c r="N8590" s="17" t="str">
        <f>IFERROR(__xludf.DUMMYFUNCTION("""COMPUTED_VALUE"""),"")</f>
        <v/>
      </c>
      <c r="O8590" s="17"/>
    </row>
    <row r="8591">
      <c r="B8591" s="17" t="s">
        <v>477</v>
      </c>
      <c r="K8591" s="18" t="s">
        <v>477</v>
      </c>
      <c r="N8591" s="17" t="str">
        <f>IFERROR(__xludf.DUMMYFUNCTION("""COMPUTED_VALUE"""),"")</f>
        <v/>
      </c>
      <c r="O8591" s="17"/>
    </row>
    <row r="8592">
      <c r="B8592" s="17" t="s">
        <v>477</v>
      </c>
      <c r="K8592" s="18" t="s">
        <v>477</v>
      </c>
      <c r="N8592" s="17" t="str">
        <f>IFERROR(__xludf.DUMMYFUNCTION("""COMPUTED_VALUE"""),"")</f>
        <v/>
      </c>
      <c r="O8592" s="17"/>
    </row>
    <row r="8593">
      <c r="B8593" s="17" t="s">
        <v>477</v>
      </c>
      <c r="K8593" s="18" t="s">
        <v>477</v>
      </c>
      <c r="N8593" s="17" t="str">
        <f>IFERROR(__xludf.DUMMYFUNCTION("""COMPUTED_VALUE"""),"")</f>
        <v/>
      </c>
      <c r="O8593" s="17"/>
    </row>
    <row r="8594">
      <c r="B8594" s="17" t="s">
        <v>477</v>
      </c>
      <c r="K8594" s="18" t="s">
        <v>477</v>
      </c>
      <c r="N8594" s="17" t="str">
        <f>IFERROR(__xludf.DUMMYFUNCTION("""COMPUTED_VALUE"""),"")</f>
        <v/>
      </c>
      <c r="O8594" s="17"/>
    </row>
    <row r="8595">
      <c r="B8595" s="17" t="s">
        <v>477</v>
      </c>
      <c r="K8595" s="18" t="s">
        <v>477</v>
      </c>
      <c r="N8595" s="17" t="str">
        <f>IFERROR(__xludf.DUMMYFUNCTION("""COMPUTED_VALUE"""),"")</f>
        <v/>
      </c>
      <c r="O8595" s="17"/>
    </row>
    <row r="8596">
      <c r="B8596" s="17" t="s">
        <v>477</v>
      </c>
      <c r="K8596" s="18" t="s">
        <v>477</v>
      </c>
      <c r="N8596" s="17" t="str">
        <f>IFERROR(__xludf.DUMMYFUNCTION("""COMPUTED_VALUE"""),"")</f>
        <v/>
      </c>
      <c r="O8596" s="17"/>
    </row>
    <row r="8597">
      <c r="B8597" s="17" t="s">
        <v>477</v>
      </c>
      <c r="K8597" s="18" t="s">
        <v>477</v>
      </c>
      <c r="N8597" s="17" t="str">
        <f>IFERROR(__xludf.DUMMYFUNCTION("""COMPUTED_VALUE"""),"")</f>
        <v/>
      </c>
      <c r="O8597" s="17"/>
    </row>
    <row r="8598">
      <c r="B8598" s="17" t="s">
        <v>477</v>
      </c>
      <c r="K8598" s="18" t="s">
        <v>477</v>
      </c>
      <c r="N8598" s="17" t="str">
        <f>IFERROR(__xludf.DUMMYFUNCTION("""COMPUTED_VALUE"""),"")</f>
        <v/>
      </c>
      <c r="O8598" s="17"/>
    </row>
    <row r="8599">
      <c r="B8599" s="17" t="s">
        <v>477</v>
      </c>
      <c r="K8599" s="18" t="s">
        <v>477</v>
      </c>
      <c r="N8599" s="17" t="str">
        <f>IFERROR(__xludf.DUMMYFUNCTION("""COMPUTED_VALUE"""),"")</f>
        <v/>
      </c>
      <c r="O8599" s="17"/>
    </row>
    <row r="8600">
      <c r="B8600" s="17" t="s">
        <v>477</v>
      </c>
      <c r="K8600" s="18" t="s">
        <v>477</v>
      </c>
      <c r="N8600" s="17" t="str">
        <f>IFERROR(__xludf.DUMMYFUNCTION("""COMPUTED_VALUE"""),"")</f>
        <v/>
      </c>
      <c r="O8600" s="17"/>
    </row>
    <row r="8601">
      <c r="B8601" s="17" t="s">
        <v>477</v>
      </c>
      <c r="K8601" s="18" t="s">
        <v>477</v>
      </c>
      <c r="N8601" s="17" t="str">
        <f>IFERROR(__xludf.DUMMYFUNCTION("""COMPUTED_VALUE"""),"")</f>
        <v/>
      </c>
      <c r="O8601" s="17"/>
    </row>
    <row r="8602">
      <c r="B8602" s="17" t="s">
        <v>477</v>
      </c>
      <c r="K8602" s="18" t="s">
        <v>477</v>
      </c>
      <c r="N8602" s="17" t="str">
        <f>IFERROR(__xludf.DUMMYFUNCTION("""COMPUTED_VALUE"""),"")</f>
        <v/>
      </c>
      <c r="O8602" s="17"/>
    </row>
    <row r="8603">
      <c r="B8603" s="17" t="s">
        <v>477</v>
      </c>
      <c r="K8603" s="18" t="s">
        <v>477</v>
      </c>
      <c r="N8603" s="17" t="str">
        <f>IFERROR(__xludf.DUMMYFUNCTION("""COMPUTED_VALUE"""),"")</f>
        <v/>
      </c>
      <c r="O8603" s="17"/>
    </row>
    <row r="8604">
      <c r="B8604" s="17" t="s">
        <v>477</v>
      </c>
      <c r="K8604" s="18" t="s">
        <v>477</v>
      </c>
      <c r="N8604" s="17" t="str">
        <f>IFERROR(__xludf.DUMMYFUNCTION("""COMPUTED_VALUE"""),"")</f>
        <v/>
      </c>
      <c r="O8604" s="17"/>
    </row>
    <row r="8605">
      <c r="B8605" s="17" t="s">
        <v>477</v>
      </c>
      <c r="K8605" s="18" t="s">
        <v>477</v>
      </c>
      <c r="N8605" s="17" t="str">
        <f>IFERROR(__xludf.DUMMYFUNCTION("""COMPUTED_VALUE"""),"")</f>
        <v/>
      </c>
      <c r="O8605" s="17"/>
    </row>
    <row r="8606">
      <c r="B8606" s="17" t="s">
        <v>477</v>
      </c>
      <c r="K8606" s="18" t="s">
        <v>477</v>
      </c>
      <c r="N8606" s="17" t="str">
        <f>IFERROR(__xludf.DUMMYFUNCTION("""COMPUTED_VALUE"""),"")</f>
        <v/>
      </c>
      <c r="O8606" s="17"/>
    </row>
    <row r="8607">
      <c r="B8607" s="17" t="s">
        <v>477</v>
      </c>
      <c r="K8607" s="18" t="s">
        <v>477</v>
      </c>
      <c r="N8607" s="17" t="str">
        <f>IFERROR(__xludf.DUMMYFUNCTION("""COMPUTED_VALUE"""),"")</f>
        <v/>
      </c>
      <c r="O8607" s="17"/>
    </row>
    <row r="8608">
      <c r="B8608" s="17" t="s">
        <v>477</v>
      </c>
      <c r="K8608" s="18" t="s">
        <v>477</v>
      </c>
      <c r="N8608" s="17" t="str">
        <f>IFERROR(__xludf.DUMMYFUNCTION("""COMPUTED_VALUE"""),"")</f>
        <v/>
      </c>
      <c r="O8608" s="17"/>
    </row>
    <row r="8609">
      <c r="B8609" s="17" t="s">
        <v>477</v>
      </c>
      <c r="K8609" s="18" t="s">
        <v>477</v>
      </c>
      <c r="N8609" s="17" t="str">
        <f>IFERROR(__xludf.DUMMYFUNCTION("""COMPUTED_VALUE"""),"")</f>
        <v/>
      </c>
      <c r="O8609" s="17"/>
    </row>
    <row r="8610">
      <c r="B8610" s="17" t="s">
        <v>477</v>
      </c>
      <c r="K8610" s="18" t="s">
        <v>477</v>
      </c>
      <c r="N8610" s="17" t="str">
        <f>IFERROR(__xludf.DUMMYFUNCTION("""COMPUTED_VALUE"""),"")</f>
        <v/>
      </c>
      <c r="O8610" s="17"/>
    </row>
    <row r="8611">
      <c r="B8611" s="17" t="s">
        <v>477</v>
      </c>
      <c r="K8611" s="18" t="s">
        <v>477</v>
      </c>
      <c r="N8611" s="17" t="str">
        <f>IFERROR(__xludf.DUMMYFUNCTION("""COMPUTED_VALUE"""),"")</f>
        <v/>
      </c>
      <c r="O8611" s="17"/>
    </row>
    <row r="8612">
      <c r="B8612" s="17" t="s">
        <v>477</v>
      </c>
      <c r="K8612" s="18" t="s">
        <v>477</v>
      </c>
      <c r="N8612" s="17" t="str">
        <f>IFERROR(__xludf.DUMMYFUNCTION("""COMPUTED_VALUE"""),"")</f>
        <v/>
      </c>
      <c r="O8612" s="17"/>
    </row>
    <row r="8613">
      <c r="B8613" s="17" t="s">
        <v>477</v>
      </c>
      <c r="K8613" s="18" t="s">
        <v>477</v>
      </c>
      <c r="N8613" s="17" t="str">
        <f>IFERROR(__xludf.DUMMYFUNCTION("""COMPUTED_VALUE"""),"")</f>
        <v/>
      </c>
      <c r="O8613" s="17"/>
    </row>
    <row r="8614">
      <c r="B8614" s="17" t="s">
        <v>477</v>
      </c>
      <c r="K8614" s="18" t="s">
        <v>477</v>
      </c>
      <c r="N8614" s="17" t="str">
        <f>IFERROR(__xludf.DUMMYFUNCTION("""COMPUTED_VALUE"""),"")</f>
        <v/>
      </c>
      <c r="O8614" s="17"/>
    </row>
    <row r="8615">
      <c r="B8615" s="17" t="s">
        <v>477</v>
      </c>
      <c r="K8615" s="18" t="s">
        <v>477</v>
      </c>
      <c r="N8615" s="17" t="str">
        <f>IFERROR(__xludf.DUMMYFUNCTION("""COMPUTED_VALUE"""),"")</f>
        <v/>
      </c>
      <c r="O8615" s="17"/>
    </row>
    <row r="8616">
      <c r="B8616" s="17" t="s">
        <v>477</v>
      </c>
      <c r="K8616" s="18" t="s">
        <v>477</v>
      </c>
      <c r="N8616" s="17" t="str">
        <f>IFERROR(__xludf.DUMMYFUNCTION("""COMPUTED_VALUE"""),"")</f>
        <v/>
      </c>
      <c r="O8616" s="17"/>
    </row>
    <row r="8617">
      <c r="B8617" s="17" t="s">
        <v>477</v>
      </c>
      <c r="K8617" s="18" t="s">
        <v>477</v>
      </c>
      <c r="N8617" s="17" t="str">
        <f>IFERROR(__xludf.DUMMYFUNCTION("""COMPUTED_VALUE"""),"")</f>
        <v/>
      </c>
      <c r="O8617" s="17"/>
    </row>
    <row r="8618">
      <c r="B8618" s="17" t="s">
        <v>477</v>
      </c>
      <c r="K8618" s="18" t="s">
        <v>477</v>
      </c>
      <c r="N8618" s="17" t="str">
        <f>IFERROR(__xludf.DUMMYFUNCTION("""COMPUTED_VALUE"""),"")</f>
        <v/>
      </c>
      <c r="O8618" s="17"/>
    </row>
    <row r="8619">
      <c r="B8619" s="17" t="s">
        <v>477</v>
      </c>
      <c r="K8619" s="18" t="s">
        <v>477</v>
      </c>
      <c r="N8619" s="17" t="str">
        <f>IFERROR(__xludf.DUMMYFUNCTION("""COMPUTED_VALUE"""),"")</f>
        <v/>
      </c>
      <c r="O8619" s="17"/>
    </row>
    <row r="8620">
      <c r="B8620" s="17" t="s">
        <v>477</v>
      </c>
      <c r="K8620" s="18" t="s">
        <v>477</v>
      </c>
      <c r="N8620" s="17" t="str">
        <f>IFERROR(__xludf.DUMMYFUNCTION("""COMPUTED_VALUE"""),"")</f>
        <v/>
      </c>
      <c r="O8620" s="17"/>
    </row>
    <row r="8621">
      <c r="B8621" s="17" t="s">
        <v>477</v>
      </c>
      <c r="K8621" s="18" t="s">
        <v>477</v>
      </c>
      <c r="N8621" s="17" t="str">
        <f>IFERROR(__xludf.DUMMYFUNCTION("""COMPUTED_VALUE"""),"")</f>
        <v/>
      </c>
      <c r="O8621" s="17"/>
    </row>
    <row r="8622">
      <c r="B8622" s="17" t="s">
        <v>477</v>
      </c>
      <c r="K8622" s="18" t="s">
        <v>477</v>
      </c>
      <c r="N8622" s="17" t="str">
        <f>IFERROR(__xludf.DUMMYFUNCTION("""COMPUTED_VALUE"""),"")</f>
        <v/>
      </c>
      <c r="O8622" s="17"/>
    </row>
    <row r="8623">
      <c r="B8623" s="17" t="s">
        <v>477</v>
      </c>
      <c r="K8623" s="18" t="s">
        <v>477</v>
      </c>
      <c r="N8623" s="17" t="str">
        <f>IFERROR(__xludf.DUMMYFUNCTION("""COMPUTED_VALUE"""),"")</f>
        <v/>
      </c>
      <c r="O8623" s="17"/>
    </row>
    <row r="8624">
      <c r="B8624" s="17" t="s">
        <v>477</v>
      </c>
      <c r="K8624" s="18" t="s">
        <v>477</v>
      </c>
      <c r="N8624" s="17" t="str">
        <f>IFERROR(__xludf.DUMMYFUNCTION("""COMPUTED_VALUE"""),"")</f>
        <v/>
      </c>
      <c r="O8624" s="17"/>
    </row>
    <row r="8625">
      <c r="B8625" s="17" t="s">
        <v>477</v>
      </c>
      <c r="K8625" s="18" t="s">
        <v>477</v>
      </c>
      <c r="N8625" s="17" t="str">
        <f>IFERROR(__xludf.DUMMYFUNCTION("""COMPUTED_VALUE"""),"")</f>
        <v/>
      </c>
      <c r="O8625" s="17"/>
    </row>
    <row r="8626">
      <c r="B8626" s="17" t="s">
        <v>477</v>
      </c>
      <c r="K8626" s="18" t="s">
        <v>477</v>
      </c>
      <c r="N8626" s="17" t="str">
        <f>IFERROR(__xludf.DUMMYFUNCTION("""COMPUTED_VALUE"""),"")</f>
        <v/>
      </c>
      <c r="O8626" s="17"/>
    </row>
    <row r="8627">
      <c r="B8627" s="17" t="s">
        <v>477</v>
      </c>
      <c r="K8627" s="18" t="s">
        <v>477</v>
      </c>
      <c r="N8627" s="17" t="str">
        <f>IFERROR(__xludf.DUMMYFUNCTION("""COMPUTED_VALUE"""),"")</f>
        <v/>
      </c>
      <c r="O8627" s="17"/>
    </row>
    <row r="8628">
      <c r="B8628" s="17" t="s">
        <v>477</v>
      </c>
      <c r="K8628" s="18" t="s">
        <v>477</v>
      </c>
      <c r="N8628" s="17" t="str">
        <f>IFERROR(__xludf.DUMMYFUNCTION("""COMPUTED_VALUE"""),"")</f>
        <v/>
      </c>
      <c r="O8628" s="17"/>
    </row>
    <row r="8629">
      <c r="B8629" s="17" t="s">
        <v>477</v>
      </c>
      <c r="K8629" s="18" t="s">
        <v>477</v>
      </c>
      <c r="N8629" s="17" t="str">
        <f>IFERROR(__xludf.DUMMYFUNCTION("""COMPUTED_VALUE"""),"")</f>
        <v/>
      </c>
      <c r="O8629" s="17"/>
    </row>
    <row r="8630">
      <c r="B8630" s="17" t="s">
        <v>477</v>
      </c>
      <c r="K8630" s="18" t="s">
        <v>477</v>
      </c>
      <c r="N8630" s="17" t="str">
        <f>IFERROR(__xludf.DUMMYFUNCTION("""COMPUTED_VALUE"""),"")</f>
        <v/>
      </c>
      <c r="O8630" s="17"/>
    </row>
    <row r="8631">
      <c r="B8631" s="17" t="s">
        <v>477</v>
      </c>
      <c r="K8631" s="18" t="s">
        <v>477</v>
      </c>
      <c r="N8631" s="17" t="str">
        <f>IFERROR(__xludf.DUMMYFUNCTION("""COMPUTED_VALUE"""),"")</f>
        <v/>
      </c>
      <c r="O8631" s="17"/>
    </row>
    <row r="8632">
      <c r="B8632" s="17" t="s">
        <v>477</v>
      </c>
      <c r="K8632" s="18" t="s">
        <v>477</v>
      </c>
      <c r="N8632" s="17" t="str">
        <f>IFERROR(__xludf.DUMMYFUNCTION("""COMPUTED_VALUE"""),"")</f>
        <v/>
      </c>
      <c r="O8632" s="17"/>
    </row>
    <row r="8633">
      <c r="B8633" s="17" t="s">
        <v>477</v>
      </c>
      <c r="K8633" s="18" t="s">
        <v>477</v>
      </c>
      <c r="N8633" s="17" t="str">
        <f>IFERROR(__xludf.DUMMYFUNCTION("""COMPUTED_VALUE"""),"")</f>
        <v/>
      </c>
      <c r="O8633" s="17"/>
    </row>
    <row r="8634">
      <c r="B8634" s="17" t="s">
        <v>477</v>
      </c>
      <c r="K8634" s="18" t="s">
        <v>477</v>
      </c>
      <c r="N8634" s="17" t="str">
        <f>IFERROR(__xludf.DUMMYFUNCTION("""COMPUTED_VALUE"""),"")</f>
        <v/>
      </c>
      <c r="O8634" s="17"/>
    </row>
    <row r="8635">
      <c r="B8635" s="17" t="s">
        <v>477</v>
      </c>
      <c r="K8635" s="18" t="s">
        <v>477</v>
      </c>
      <c r="N8635" s="17" t="str">
        <f>IFERROR(__xludf.DUMMYFUNCTION("""COMPUTED_VALUE"""),"")</f>
        <v/>
      </c>
      <c r="O8635" s="17"/>
    </row>
    <row r="8636">
      <c r="B8636" s="17" t="s">
        <v>477</v>
      </c>
      <c r="K8636" s="18" t="s">
        <v>477</v>
      </c>
      <c r="N8636" s="17" t="str">
        <f>IFERROR(__xludf.DUMMYFUNCTION("""COMPUTED_VALUE"""),"")</f>
        <v/>
      </c>
      <c r="O8636" s="17"/>
    </row>
    <row r="8637">
      <c r="B8637" s="17" t="s">
        <v>477</v>
      </c>
      <c r="K8637" s="18" t="s">
        <v>477</v>
      </c>
      <c r="N8637" s="17" t="str">
        <f>IFERROR(__xludf.DUMMYFUNCTION("""COMPUTED_VALUE"""),"")</f>
        <v/>
      </c>
      <c r="O8637" s="17"/>
    </row>
    <row r="8638">
      <c r="B8638" s="17" t="s">
        <v>477</v>
      </c>
      <c r="K8638" s="18" t="s">
        <v>477</v>
      </c>
      <c r="N8638" s="17" t="str">
        <f>IFERROR(__xludf.DUMMYFUNCTION("""COMPUTED_VALUE"""),"")</f>
        <v/>
      </c>
      <c r="O8638" s="17"/>
    </row>
    <row r="8639">
      <c r="B8639" s="17" t="s">
        <v>477</v>
      </c>
      <c r="K8639" s="18" t="s">
        <v>477</v>
      </c>
      <c r="N8639" s="17" t="str">
        <f>IFERROR(__xludf.DUMMYFUNCTION("""COMPUTED_VALUE"""),"")</f>
        <v/>
      </c>
      <c r="O8639" s="17"/>
    </row>
    <row r="8640">
      <c r="B8640" s="17" t="s">
        <v>477</v>
      </c>
      <c r="K8640" s="18" t="s">
        <v>477</v>
      </c>
      <c r="N8640" s="17" t="str">
        <f>IFERROR(__xludf.DUMMYFUNCTION("""COMPUTED_VALUE"""),"")</f>
        <v/>
      </c>
      <c r="O8640" s="17"/>
    </row>
    <row r="8641">
      <c r="B8641" s="17" t="s">
        <v>477</v>
      </c>
      <c r="K8641" s="18" t="s">
        <v>477</v>
      </c>
      <c r="N8641" s="17" t="str">
        <f>IFERROR(__xludf.DUMMYFUNCTION("""COMPUTED_VALUE"""),"")</f>
        <v/>
      </c>
      <c r="O8641" s="17"/>
    </row>
    <row r="8642">
      <c r="B8642" s="17" t="s">
        <v>477</v>
      </c>
      <c r="K8642" s="18" t="s">
        <v>477</v>
      </c>
      <c r="N8642" s="17" t="str">
        <f>IFERROR(__xludf.DUMMYFUNCTION("""COMPUTED_VALUE"""),"")</f>
        <v/>
      </c>
      <c r="O8642" s="17"/>
    </row>
    <row r="8643">
      <c r="B8643" s="17" t="s">
        <v>477</v>
      </c>
      <c r="K8643" s="18" t="s">
        <v>477</v>
      </c>
      <c r="N8643" s="17" t="str">
        <f>IFERROR(__xludf.DUMMYFUNCTION("""COMPUTED_VALUE"""),"")</f>
        <v/>
      </c>
      <c r="O8643" s="17"/>
    </row>
    <row r="8644">
      <c r="B8644" s="17" t="s">
        <v>477</v>
      </c>
      <c r="K8644" s="18" t="s">
        <v>477</v>
      </c>
      <c r="N8644" s="17" t="str">
        <f>IFERROR(__xludf.DUMMYFUNCTION("""COMPUTED_VALUE"""),"")</f>
        <v/>
      </c>
      <c r="O8644" s="17"/>
    </row>
    <row r="8645">
      <c r="B8645" s="17" t="s">
        <v>477</v>
      </c>
      <c r="K8645" s="18" t="s">
        <v>477</v>
      </c>
      <c r="N8645" s="17" t="str">
        <f>IFERROR(__xludf.DUMMYFUNCTION("""COMPUTED_VALUE"""),"")</f>
        <v/>
      </c>
      <c r="O8645" s="17"/>
    </row>
    <row r="8646">
      <c r="B8646" s="17" t="s">
        <v>477</v>
      </c>
      <c r="K8646" s="18" t="s">
        <v>477</v>
      </c>
      <c r="N8646" s="17" t="str">
        <f>IFERROR(__xludf.DUMMYFUNCTION("""COMPUTED_VALUE"""),"")</f>
        <v/>
      </c>
      <c r="O8646" s="17"/>
    </row>
    <row r="8647">
      <c r="B8647" s="17" t="s">
        <v>477</v>
      </c>
      <c r="K8647" s="18" t="s">
        <v>477</v>
      </c>
      <c r="N8647" s="17" t="str">
        <f>IFERROR(__xludf.DUMMYFUNCTION("""COMPUTED_VALUE"""),"")</f>
        <v/>
      </c>
      <c r="O8647" s="17"/>
    </row>
    <row r="8648">
      <c r="B8648" s="17" t="s">
        <v>477</v>
      </c>
      <c r="K8648" s="18" t="s">
        <v>477</v>
      </c>
      <c r="N8648" s="17" t="str">
        <f>IFERROR(__xludf.DUMMYFUNCTION("""COMPUTED_VALUE"""),"")</f>
        <v/>
      </c>
      <c r="O8648" s="17"/>
    </row>
    <row r="8649">
      <c r="B8649" s="17" t="s">
        <v>477</v>
      </c>
      <c r="K8649" s="18" t="s">
        <v>477</v>
      </c>
      <c r="N8649" s="17" t="str">
        <f>IFERROR(__xludf.DUMMYFUNCTION("""COMPUTED_VALUE"""),"")</f>
        <v/>
      </c>
      <c r="O8649" s="17"/>
    </row>
    <row r="8650">
      <c r="B8650" s="17" t="s">
        <v>477</v>
      </c>
      <c r="K8650" s="18" t="s">
        <v>477</v>
      </c>
      <c r="N8650" s="17" t="str">
        <f>IFERROR(__xludf.DUMMYFUNCTION("""COMPUTED_VALUE"""),"")</f>
        <v/>
      </c>
      <c r="O8650" s="17"/>
    </row>
    <row r="8651">
      <c r="B8651" s="17" t="s">
        <v>477</v>
      </c>
      <c r="K8651" s="18" t="s">
        <v>477</v>
      </c>
      <c r="N8651" s="17" t="str">
        <f>IFERROR(__xludf.DUMMYFUNCTION("""COMPUTED_VALUE"""),"")</f>
        <v/>
      </c>
      <c r="O8651" s="17"/>
    </row>
    <row r="8652">
      <c r="B8652" s="17" t="s">
        <v>477</v>
      </c>
      <c r="K8652" s="18" t="s">
        <v>477</v>
      </c>
      <c r="N8652" s="17" t="str">
        <f>IFERROR(__xludf.DUMMYFUNCTION("""COMPUTED_VALUE"""),"")</f>
        <v/>
      </c>
      <c r="O8652" s="17"/>
    </row>
    <row r="8653">
      <c r="B8653" s="17" t="s">
        <v>477</v>
      </c>
      <c r="K8653" s="18" t="s">
        <v>477</v>
      </c>
      <c r="N8653" s="17" t="str">
        <f>IFERROR(__xludf.DUMMYFUNCTION("""COMPUTED_VALUE"""),"")</f>
        <v/>
      </c>
      <c r="O8653" s="17"/>
    </row>
    <row r="8654">
      <c r="B8654" s="17" t="s">
        <v>477</v>
      </c>
      <c r="K8654" s="18" t="s">
        <v>477</v>
      </c>
      <c r="N8654" s="17" t="str">
        <f>IFERROR(__xludf.DUMMYFUNCTION("""COMPUTED_VALUE"""),"")</f>
        <v/>
      </c>
      <c r="O8654" s="17"/>
    </row>
    <row r="8655">
      <c r="B8655" s="17" t="s">
        <v>477</v>
      </c>
      <c r="K8655" s="18" t="s">
        <v>477</v>
      </c>
      <c r="N8655" s="17" t="str">
        <f>IFERROR(__xludf.DUMMYFUNCTION("""COMPUTED_VALUE"""),"")</f>
        <v/>
      </c>
      <c r="O8655" s="17"/>
    </row>
    <row r="8656">
      <c r="B8656" s="17" t="s">
        <v>477</v>
      </c>
      <c r="K8656" s="18" t="s">
        <v>477</v>
      </c>
      <c r="N8656" s="17" t="str">
        <f>IFERROR(__xludf.DUMMYFUNCTION("""COMPUTED_VALUE"""),"")</f>
        <v/>
      </c>
      <c r="O8656" s="17"/>
    </row>
    <row r="8657">
      <c r="B8657" s="17" t="s">
        <v>477</v>
      </c>
      <c r="K8657" s="18" t="s">
        <v>477</v>
      </c>
      <c r="N8657" s="17" t="str">
        <f>IFERROR(__xludf.DUMMYFUNCTION("""COMPUTED_VALUE"""),"")</f>
        <v/>
      </c>
      <c r="O8657" s="17"/>
    </row>
    <row r="8658">
      <c r="B8658" s="17" t="s">
        <v>477</v>
      </c>
      <c r="K8658" s="18" t="s">
        <v>477</v>
      </c>
      <c r="N8658" s="17" t="str">
        <f>IFERROR(__xludf.DUMMYFUNCTION("""COMPUTED_VALUE"""),"")</f>
        <v/>
      </c>
      <c r="O8658" s="17"/>
    </row>
    <row r="8659">
      <c r="B8659" s="17" t="s">
        <v>477</v>
      </c>
      <c r="K8659" s="18" t="s">
        <v>477</v>
      </c>
      <c r="N8659" s="17" t="str">
        <f>IFERROR(__xludf.DUMMYFUNCTION("""COMPUTED_VALUE"""),"")</f>
        <v/>
      </c>
      <c r="O8659" s="17"/>
    </row>
    <row r="8660">
      <c r="B8660" s="17" t="s">
        <v>477</v>
      </c>
      <c r="K8660" s="18" t="s">
        <v>477</v>
      </c>
      <c r="N8660" s="17" t="str">
        <f>IFERROR(__xludf.DUMMYFUNCTION("""COMPUTED_VALUE"""),"")</f>
        <v/>
      </c>
      <c r="O8660" s="17"/>
    </row>
    <row r="8661">
      <c r="B8661" s="17" t="s">
        <v>477</v>
      </c>
      <c r="K8661" s="18" t="s">
        <v>477</v>
      </c>
      <c r="N8661" s="17" t="str">
        <f>IFERROR(__xludf.DUMMYFUNCTION("""COMPUTED_VALUE"""),"")</f>
        <v/>
      </c>
      <c r="O8661" s="17"/>
    </row>
    <row r="8662">
      <c r="B8662" s="17" t="s">
        <v>477</v>
      </c>
      <c r="K8662" s="18" t="s">
        <v>477</v>
      </c>
      <c r="N8662" s="17" t="str">
        <f>IFERROR(__xludf.DUMMYFUNCTION("""COMPUTED_VALUE"""),"")</f>
        <v/>
      </c>
      <c r="O8662" s="17"/>
    </row>
    <row r="8663">
      <c r="B8663" s="17" t="s">
        <v>477</v>
      </c>
      <c r="K8663" s="18" t="s">
        <v>477</v>
      </c>
      <c r="N8663" s="17" t="str">
        <f>IFERROR(__xludf.DUMMYFUNCTION("""COMPUTED_VALUE"""),"")</f>
        <v/>
      </c>
      <c r="O8663" s="17"/>
    </row>
    <row r="8664">
      <c r="B8664" s="17" t="s">
        <v>477</v>
      </c>
      <c r="K8664" s="18" t="s">
        <v>477</v>
      </c>
      <c r="N8664" s="17" t="str">
        <f>IFERROR(__xludf.DUMMYFUNCTION("""COMPUTED_VALUE"""),"")</f>
        <v/>
      </c>
      <c r="O8664" s="17"/>
    </row>
    <row r="8665">
      <c r="B8665" s="17" t="s">
        <v>477</v>
      </c>
      <c r="K8665" s="18" t="s">
        <v>477</v>
      </c>
      <c r="N8665" s="17" t="str">
        <f>IFERROR(__xludf.DUMMYFUNCTION("""COMPUTED_VALUE"""),"")</f>
        <v/>
      </c>
      <c r="O8665" s="17"/>
    </row>
    <row r="8666">
      <c r="B8666" s="17" t="s">
        <v>477</v>
      </c>
      <c r="K8666" s="18" t="s">
        <v>477</v>
      </c>
      <c r="N8666" s="17" t="str">
        <f>IFERROR(__xludf.DUMMYFUNCTION("""COMPUTED_VALUE"""),"")</f>
        <v/>
      </c>
      <c r="O8666" s="17"/>
    </row>
    <row r="8667">
      <c r="B8667" s="17" t="s">
        <v>477</v>
      </c>
      <c r="K8667" s="18" t="s">
        <v>477</v>
      </c>
      <c r="N8667" s="17" t="str">
        <f>IFERROR(__xludf.DUMMYFUNCTION("""COMPUTED_VALUE"""),"")</f>
        <v/>
      </c>
      <c r="O8667" s="17"/>
    </row>
    <row r="8668">
      <c r="B8668" s="17" t="s">
        <v>477</v>
      </c>
      <c r="K8668" s="18" t="s">
        <v>477</v>
      </c>
      <c r="N8668" s="17" t="str">
        <f>IFERROR(__xludf.DUMMYFUNCTION("""COMPUTED_VALUE"""),"")</f>
        <v/>
      </c>
      <c r="O8668" s="17"/>
    </row>
    <row r="8669">
      <c r="B8669" s="17" t="s">
        <v>477</v>
      </c>
      <c r="K8669" s="18" t="s">
        <v>477</v>
      </c>
      <c r="N8669" s="17" t="str">
        <f>IFERROR(__xludf.DUMMYFUNCTION("""COMPUTED_VALUE"""),"")</f>
        <v/>
      </c>
      <c r="O8669" s="17"/>
    </row>
    <row r="8670">
      <c r="B8670" s="17" t="s">
        <v>477</v>
      </c>
      <c r="K8670" s="18" t="s">
        <v>477</v>
      </c>
      <c r="N8670" s="17" t="str">
        <f>IFERROR(__xludf.DUMMYFUNCTION("""COMPUTED_VALUE"""),"")</f>
        <v/>
      </c>
      <c r="O8670" s="17"/>
    </row>
    <row r="8671">
      <c r="B8671" s="17" t="s">
        <v>477</v>
      </c>
      <c r="K8671" s="18" t="s">
        <v>477</v>
      </c>
      <c r="N8671" s="17" t="str">
        <f>IFERROR(__xludf.DUMMYFUNCTION("""COMPUTED_VALUE"""),"")</f>
        <v/>
      </c>
      <c r="O8671" s="17"/>
    </row>
    <row r="8672">
      <c r="B8672" s="17" t="s">
        <v>477</v>
      </c>
      <c r="K8672" s="18" t="s">
        <v>477</v>
      </c>
      <c r="N8672" s="17" t="str">
        <f>IFERROR(__xludf.DUMMYFUNCTION("""COMPUTED_VALUE"""),"")</f>
        <v/>
      </c>
      <c r="O8672" s="17"/>
    </row>
    <row r="8673">
      <c r="B8673" s="17" t="s">
        <v>477</v>
      </c>
      <c r="K8673" s="18" t="s">
        <v>477</v>
      </c>
      <c r="N8673" s="17" t="str">
        <f>IFERROR(__xludf.DUMMYFUNCTION("""COMPUTED_VALUE"""),"")</f>
        <v/>
      </c>
      <c r="O8673" s="17"/>
    </row>
    <row r="8674">
      <c r="B8674" s="17" t="s">
        <v>477</v>
      </c>
      <c r="K8674" s="18" t="s">
        <v>477</v>
      </c>
      <c r="N8674" s="17" t="str">
        <f>IFERROR(__xludf.DUMMYFUNCTION("""COMPUTED_VALUE"""),"")</f>
        <v/>
      </c>
      <c r="O8674" s="17"/>
    </row>
    <row r="8675">
      <c r="B8675" s="17" t="s">
        <v>477</v>
      </c>
      <c r="K8675" s="18" t="s">
        <v>477</v>
      </c>
      <c r="N8675" s="17" t="str">
        <f>IFERROR(__xludf.DUMMYFUNCTION("""COMPUTED_VALUE"""),"")</f>
        <v/>
      </c>
      <c r="O8675" s="17"/>
    </row>
    <row r="8676">
      <c r="B8676" s="17" t="s">
        <v>477</v>
      </c>
      <c r="K8676" s="18" t="s">
        <v>477</v>
      </c>
      <c r="N8676" s="17" t="str">
        <f>IFERROR(__xludf.DUMMYFUNCTION("""COMPUTED_VALUE"""),"")</f>
        <v/>
      </c>
      <c r="O8676" s="17"/>
    </row>
    <row r="8677">
      <c r="B8677" s="17" t="s">
        <v>477</v>
      </c>
      <c r="K8677" s="18" t="s">
        <v>477</v>
      </c>
      <c r="N8677" s="17" t="str">
        <f>IFERROR(__xludf.DUMMYFUNCTION("""COMPUTED_VALUE"""),"")</f>
        <v/>
      </c>
      <c r="O8677" s="17"/>
    </row>
    <row r="8678">
      <c r="B8678" s="17" t="s">
        <v>477</v>
      </c>
      <c r="K8678" s="18" t="s">
        <v>477</v>
      </c>
      <c r="N8678" s="17" t="str">
        <f>IFERROR(__xludf.DUMMYFUNCTION("""COMPUTED_VALUE"""),"")</f>
        <v/>
      </c>
      <c r="O8678" s="17"/>
    </row>
    <row r="8679">
      <c r="B8679" s="17" t="s">
        <v>477</v>
      </c>
      <c r="K8679" s="18" t="s">
        <v>477</v>
      </c>
      <c r="N8679" s="17" t="str">
        <f>IFERROR(__xludf.DUMMYFUNCTION("""COMPUTED_VALUE"""),"")</f>
        <v/>
      </c>
      <c r="O8679" s="17"/>
    </row>
    <row r="8680">
      <c r="B8680" s="17" t="s">
        <v>477</v>
      </c>
      <c r="K8680" s="18" t="s">
        <v>477</v>
      </c>
      <c r="N8680" s="17" t="str">
        <f>IFERROR(__xludf.DUMMYFUNCTION("""COMPUTED_VALUE"""),"")</f>
        <v/>
      </c>
      <c r="O8680" s="17"/>
    </row>
    <row r="8681">
      <c r="B8681" s="17" t="s">
        <v>477</v>
      </c>
      <c r="K8681" s="18" t="s">
        <v>477</v>
      </c>
      <c r="N8681" s="17" t="str">
        <f>IFERROR(__xludf.DUMMYFUNCTION("""COMPUTED_VALUE"""),"")</f>
        <v/>
      </c>
      <c r="O8681" s="17"/>
    </row>
    <row r="8682">
      <c r="B8682" s="17" t="s">
        <v>477</v>
      </c>
      <c r="K8682" s="18" t="s">
        <v>477</v>
      </c>
      <c r="N8682" s="17" t="str">
        <f>IFERROR(__xludf.DUMMYFUNCTION("""COMPUTED_VALUE"""),"")</f>
        <v/>
      </c>
      <c r="O8682" s="17"/>
    </row>
    <row r="8683">
      <c r="B8683" s="17" t="s">
        <v>477</v>
      </c>
      <c r="K8683" s="18" t="s">
        <v>477</v>
      </c>
      <c r="N8683" s="17" t="str">
        <f>IFERROR(__xludf.DUMMYFUNCTION("""COMPUTED_VALUE"""),"")</f>
        <v/>
      </c>
      <c r="O8683" s="17"/>
    </row>
    <row r="8684">
      <c r="B8684" s="17" t="s">
        <v>477</v>
      </c>
      <c r="K8684" s="18" t="s">
        <v>477</v>
      </c>
      <c r="N8684" s="17" t="str">
        <f>IFERROR(__xludf.DUMMYFUNCTION("""COMPUTED_VALUE"""),"")</f>
        <v/>
      </c>
      <c r="O8684" s="17"/>
    </row>
    <row r="8685">
      <c r="B8685" s="17" t="s">
        <v>477</v>
      </c>
      <c r="K8685" s="18" t="s">
        <v>477</v>
      </c>
      <c r="N8685" s="17" t="str">
        <f>IFERROR(__xludf.DUMMYFUNCTION("""COMPUTED_VALUE"""),"")</f>
        <v/>
      </c>
      <c r="O8685" s="17"/>
    </row>
    <row r="8686">
      <c r="B8686" s="17" t="s">
        <v>477</v>
      </c>
      <c r="K8686" s="18" t="s">
        <v>477</v>
      </c>
      <c r="N8686" s="17" t="str">
        <f>IFERROR(__xludf.DUMMYFUNCTION("""COMPUTED_VALUE"""),"")</f>
        <v/>
      </c>
      <c r="O8686" s="17"/>
    </row>
    <row r="8687">
      <c r="B8687" s="17" t="s">
        <v>477</v>
      </c>
      <c r="K8687" s="18" t="s">
        <v>477</v>
      </c>
      <c r="N8687" s="17" t="str">
        <f>IFERROR(__xludf.DUMMYFUNCTION("""COMPUTED_VALUE"""),"")</f>
        <v/>
      </c>
      <c r="O8687" s="17"/>
    </row>
    <row r="8688">
      <c r="B8688" s="17" t="s">
        <v>477</v>
      </c>
      <c r="K8688" s="18" t="s">
        <v>477</v>
      </c>
      <c r="N8688" s="17" t="str">
        <f>IFERROR(__xludf.DUMMYFUNCTION("""COMPUTED_VALUE"""),"")</f>
        <v/>
      </c>
      <c r="O8688" s="17"/>
    </row>
    <row r="8689">
      <c r="B8689" s="17" t="s">
        <v>477</v>
      </c>
      <c r="K8689" s="18" t="s">
        <v>477</v>
      </c>
      <c r="N8689" s="17" t="str">
        <f>IFERROR(__xludf.DUMMYFUNCTION("""COMPUTED_VALUE"""),"")</f>
        <v/>
      </c>
      <c r="O8689" s="17"/>
    </row>
    <row r="8690">
      <c r="B8690" s="17" t="s">
        <v>477</v>
      </c>
      <c r="K8690" s="18" t="s">
        <v>477</v>
      </c>
      <c r="N8690" s="17" t="str">
        <f>IFERROR(__xludf.DUMMYFUNCTION("""COMPUTED_VALUE"""),"")</f>
        <v/>
      </c>
      <c r="O8690" s="17"/>
    </row>
    <row r="8691">
      <c r="B8691" s="17" t="s">
        <v>477</v>
      </c>
      <c r="K8691" s="18" t="s">
        <v>477</v>
      </c>
      <c r="N8691" s="17" t="str">
        <f>IFERROR(__xludf.DUMMYFUNCTION("""COMPUTED_VALUE"""),"")</f>
        <v/>
      </c>
      <c r="O8691" s="17"/>
    </row>
    <row r="8692">
      <c r="B8692" s="17" t="s">
        <v>477</v>
      </c>
      <c r="K8692" s="18" t="s">
        <v>477</v>
      </c>
      <c r="N8692" s="17" t="str">
        <f>IFERROR(__xludf.DUMMYFUNCTION("""COMPUTED_VALUE"""),"")</f>
        <v/>
      </c>
      <c r="O8692" s="17"/>
    </row>
    <row r="8693">
      <c r="B8693" s="17" t="s">
        <v>477</v>
      </c>
      <c r="K8693" s="18" t="s">
        <v>477</v>
      </c>
      <c r="N8693" s="17" t="str">
        <f>IFERROR(__xludf.DUMMYFUNCTION("""COMPUTED_VALUE"""),"")</f>
        <v/>
      </c>
      <c r="O8693" s="17"/>
    </row>
    <row r="8694">
      <c r="B8694" s="17" t="s">
        <v>477</v>
      </c>
      <c r="K8694" s="18" t="s">
        <v>477</v>
      </c>
      <c r="N8694" s="17" t="str">
        <f>IFERROR(__xludf.DUMMYFUNCTION("""COMPUTED_VALUE"""),"")</f>
        <v/>
      </c>
      <c r="O8694" s="17"/>
    </row>
    <row r="8695">
      <c r="B8695" s="17" t="s">
        <v>477</v>
      </c>
      <c r="K8695" s="18" t="s">
        <v>477</v>
      </c>
      <c r="N8695" s="17" t="str">
        <f>IFERROR(__xludf.DUMMYFUNCTION("""COMPUTED_VALUE"""),"")</f>
        <v/>
      </c>
      <c r="O8695" s="17"/>
    </row>
    <row r="8696">
      <c r="B8696" s="17" t="s">
        <v>477</v>
      </c>
      <c r="K8696" s="18" t="s">
        <v>477</v>
      </c>
      <c r="N8696" s="17" t="str">
        <f>IFERROR(__xludf.DUMMYFUNCTION("""COMPUTED_VALUE"""),"")</f>
        <v/>
      </c>
      <c r="O8696" s="17"/>
    </row>
    <row r="8697">
      <c r="B8697" s="17" t="s">
        <v>477</v>
      </c>
      <c r="K8697" s="18" t="s">
        <v>477</v>
      </c>
      <c r="N8697" s="17" t="str">
        <f>IFERROR(__xludf.DUMMYFUNCTION("""COMPUTED_VALUE"""),"")</f>
        <v/>
      </c>
      <c r="O8697" s="17"/>
    </row>
    <row r="8698">
      <c r="B8698" s="17" t="s">
        <v>477</v>
      </c>
      <c r="K8698" s="18" t="s">
        <v>477</v>
      </c>
      <c r="N8698" s="17" t="str">
        <f>IFERROR(__xludf.DUMMYFUNCTION("""COMPUTED_VALUE"""),"")</f>
        <v/>
      </c>
      <c r="O8698" s="17"/>
    </row>
    <row r="8699">
      <c r="B8699" s="17" t="s">
        <v>477</v>
      </c>
      <c r="K8699" s="18" t="s">
        <v>477</v>
      </c>
      <c r="N8699" s="17" t="str">
        <f>IFERROR(__xludf.DUMMYFUNCTION("""COMPUTED_VALUE"""),"")</f>
        <v/>
      </c>
      <c r="O8699" s="17"/>
    </row>
    <row r="8700">
      <c r="B8700" s="17" t="s">
        <v>477</v>
      </c>
      <c r="K8700" s="18" t="s">
        <v>477</v>
      </c>
      <c r="N8700" s="17" t="str">
        <f>IFERROR(__xludf.DUMMYFUNCTION("""COMPUTED_VALUE"""),"")</f>
        <v/>
      </c>
      <c r="O8700" s="17"/>
    </row>
    <row r="8701">
      <c r="B8701" s="17" t="s">
        <v>477</v>
      </c>
      <c r="K8701" s="18" t="s">
        <v>477</v>
      </c>
      <c r="N8701" s="17" t="str">
        <f>IFERROR(__xludf.DUMMYFUNCTION("""COMPUTED_VALUE"""),"")</f>
        <v/>
      </c>
      <c r="O8701" s="17"/>
    </row>
    <row r="8702">
      <c r="B8702" s="17" t="s">
        <v>477</v>
      </c>
      <c r="K8702" s="18" t="s">
        <v>477</v>
      </c>
      <c r="N8702" s="17" t="str">
        <f>IFERROR(__xludf.DUMMYFUNCTION("""COMPUTED_VALUE"""),"")</f>
        <v/>
      </c>
      <c r="O8702" s="17"/>
    </row>
    <row r="8703">
      <c r="B8703" s="17" t="s">
        <v>477</v>
      </c>
      <c r="K8703" s="18" t="s">
        <v>477</v>
      </c>
      <c r="N8703" s="17" t="str">
        <f>IFERROR(__xludf.DUMMYFUNCTION("""COMPUTED_VALUE"""),"")</f>
        <v/>
      </c>
      <c r="O8703" s="17"/>
    </row>
    <row r="8704">
      <c r="B8704" s="17" t="s">
        <v>477</v>
      </c>
      <c r="K8704" s="18" t="s">
        <v>477</v>
      </c>
      <c r="N8704" s="17" t="str">
        <f>IFERROR(__xludf.DUMMYFUNCTION("""COMPUTED_VALUE"""),"")</f>
        <v/>
      </c>
      <c r="O8704" s="17"/>
    </row>
    <row r="8705">
      <c r="B8705" s="17" t="s">
        <v>477</v>
      </c>
      <c r="K8705" s="18" t="s">
        <v>477</v>
      </c>
      <c r="N8705" s="17" t="str">
        <f>IFERROR(__xludf.DUMMYFUNCTION("""COMPUTED_VALUE"""),"")</f>
        <v/>
      </c>
      <c r="O8705" s="17"/>
    </row>
    <row r="8706">
      <c r="B8706" s="17" t="s">
        <v>477</v>
      </c>
      <c r="K8706" s="18" t="s">
        <v>477</v>
      </c>
      <c r="N8706" s="17" t="str">
        <f>IFERROR(__xludf.DUMMYFUNCTION("""COMPUTED_VALUE"""),"")</f>
        <v/>
      </c>
      <c r="O8706" s="17"/>
    </row>
    <row r="8707">
      <c r="B8707" s="17" t="s">
        <v>477</v>
      </c>
      <c r="K8707" s="18" t="s">
        <v>477</v>
      </c>
      <c r="N8707" s="17" t="str">
        <f>IFERROR(__xludf.DUMMYFUNCTION("""COMPUTED_VALUE"""),"")</f>
        <v/>
      </c>
      <c r="O8707" s="17"/>
    </row>
    <row r="8708">
      <c r="B8708" s="17" t="s">
        <v>477</v>
      </c>
      <c r="K8708" s="18" t="s">
        <v>477</v>
      </c>
      <c r="N8708" s="17" t="str">
        <f>IFERROR(__xludf.DUMMYFUNCTION("""COMPUTED_VALUE"""),"")</f>
        <v/>
      </c>
      <c r="O8708" s="17"/>
    </row>
    <row r="8709">
      <c r="B8709" s="17" t="s">
        <v>477</v>
      </c>
      <c r="K8709" s="18" t="s">
        <v>477</v>
      </c>
      <c r="N8709" s="17" t="str">
        <f>IFERROR(__xludf.DUMMYFUNCTION("""COMPUTED_VALUE"""),"")</f>
        <v/>
      </c>
      <c r="O8709" s="17"/>
    </row>
    <row r="8710">
      <c r="B8710" s="17" t="s">
        <v>477</v>
      </c>
      <c r="K8710" s="18" t="s">
        <v>477</v>
      </c>
      <c r="N8710" s="17" t="str">
        <f>IFERROR(__xludf.DUMMYFUNCTION("""COMPUTED_VALUE"""),"")</f>
        <v/>
      </c>
      <c r="O8710" s="17"/>
    </row>
    <row r="8711">
      <c r="B8711" s="17" t="s">
        <v>477</v>
      </c>
      <c r="K8711" s="18" t="s">
        <v>477</v>
      </c>
      <c r="N8711" s="17" t="str">
        <f>IFERROR(__xludf.DUMMYFUNCTION("""COMPUTED_VALUE"""),"")</f>
        <v/>
      </c>
      <c r="O8711" s="17"/>
    </row>
    <row r="8712">
      <c r="B8712" s="17" t="s">
        <v>477</v>
      </c>
      <c r="K8712" s="18" t="s">
        <v>477</v>
      </c>
      <c r="N8712" s="17" t="str">
        <f>IFERROR(__xludf.DUMMYFUNCTION("""COMPUTED_VALUE"""),"")</f>
        <v/>
      </c>
      <c r="O8712" s="17"/>
    </row>
    <row r="8713">
      <c r="B8713" s="17" t="s">
        <v>477</v>
      </c>
      <c r="K8713" s="18" t="s">
        <v>477</v>
      </c>
      <c r="N8713" s="17" t="str">
        <f>IFERROR(__xludf.DUMMYFUNCTION("""COMPUTED_VALUE"""),"")</f>
        <v/>
      </c>
      <c r="O8713" s="17"/>
    </row>
    <row r="8714">
      <c r="B8714" s="17" t="s">
        <v>477</v>
      </c>
      <c r="K8714" s="18" t="s">
        <v>477</v>
      </c>
      <c r="N8714" s="17" t="str">
        <f>IFERROR(__xludf.DUMMYFUNCTION("""COMPUTED_VALUE"""),"")</f>
        <v/>
      </c>
      <c r="O8714" s="17"/>
    </row>
    <row r="8715">
      <c r="B8715" s="17" t="s">
        <v>477</v>
      </c>
      <c r="K8715" s="18" t="s">
        <v>477</v>
      </c>
      <c r="N8715" s="17" t="str">
        <f>IFERROR(__xludf.DUMMYFUNCTION("""COMPUTED_VALUE"""),"")</f>
        <v/>
      </c>
      <c r="O8715" s="17"/>
    </row>
    <row r="8716">
      <c r="B8716" s="17" t="s">
        <v>477</v>
      </c>
      <c r="K8716" s="18" t="s">
        <v>477</v>
      </c>
      <c r="N8716" s="17" t="str">
        <f>IFERROR(__xludf.DUMMYFUNCTION("""COMPUTED_VALUE"""),"")</f>
        <v/>
      </c>
      <c r="O8716" s="17"/>
    </row>
    <row r="8717">
      <c r="B8717" s="17" t="s">
        <v>477</v>
      </c>
      <c r="K8717" s="18" t="s">
        <v>477</v>
      </c>
      <c r="N8717" s="17" t="str">
        <f>IFERROR(__xludf.DUMMYFUNCTION("""COMPUTED_VALUE"""),"")</f>
        <v/>
      </c>
      <c r="O8717" s="17"/>
    </row>
    <row r="8718">
      <c r="B8718" s="17" t="s">
        <v>477</v>
      </c>
      <c r="K8718" s="18" t="s">
        <v>477</v>
      </c>
      <c r="N8718" s="17" t="str">
        <f>IFERROR(__xludf.DUMMYFUNCTION("""COMPUTED_VALUE"""),"")</f>
        <v/>
      </c>
      <c r="O8718" s="17"/>
    </row>
    <row r="8719">
      <c r="B8719" s="17" t="s">
        <v>477</v>
      </c>
      <c r="K8719" s="18" t="s">
        <v>477</v>
      </c>
      <c r="N8719" s="17" t="str">
        <f>IFERROR(__xludf.DUMMYFUNCTION("""COMPUTED_VALUE"""),"")</f>
        <v/>
      </c>
      <c r="O8719" s="17"/>
    </row>
    <row r="8720">
      <c r="B8720" s="17" t="s">
        <v>477</v>
      </c>
      <c r="K8720" s="18" t="s">
        <v>477</v>
      </c>
      <c r="N8720" s="17" t="str">
        <f>IFERROR(__xludf.DUMMYFUNCTION("""COMPUTED_VALUE"""),"")</f>
        <v/>
      </c>
      <c r="O8720" s="17"/>
    </row>
    <row r="8721">
      <c r="B8721" s="17" t="s">
        <v>477</v>
      </c>
      <c r="K8721" s="18" t="s">
        <v>477</v>
      </c>
      <c r="N8721" s="17" t="str">
        <f>IFERROR(__xludf.DUMMYFUNCTION("""COMPUTED_VALUE"""),"")</f>
        <v/>
      </c>
      <c r="O8721" s="17"/>
    </row>
    <row r="8722">
      <c r="B8722" s="17" t="s">
        <v>477</v>
      </c>
      <c r="K8722" s="18" t="s">
        <v>477</v>
      </c>
      <c r="N8722" s="17" t="str">
        <f>IFERROR(__xludf.DUMMYFUNCTION("""COMPUTED_VALUE"""),"")</f>
        <v/>
      </c>
      <c r="O8722" s="17"/>
    </row>
    <row r="8723">
      <c r="B8723" s="17" t="s">
        <v>477</v>
      </c>
      <c r="K8723" s="18" t="s">
        <v>477</v>
      </c>
      <c r="N8723" s="17" t="str">
        <f>IFERROR(__xludf.DUMMYFUNCTION("""COMPUTED_VALUE"""),"")</f>
        <v/>
      </c>
      <c r="O8723" s="17"/>
    </row>
    <row r="8724">
      <c r="B8724" s="17" t="s">
        <v>477</v>
      </c>
      <c r="K8724" s="18" t="s">
        <v>477</v>
      </c>
      <c r="N8724" s="17" t="str">
        <f>IFERROR(__xludf.DUMMYFUNCTION("""COMPUTED_VALUE"""),"")</f>
        <v/>
      </c>
      <c r="O8724" s="17"/>
    </row>
    <row r="8725">
      <c r="B8725" s="17" t="s">
        <v>477</v>
      </c>
      <c r="K8725" s="18" t="s">
        <v>477</v>
      </c>
      <c r="N8725" s="17" t="str">
        <f>IFERROR(__xludf.DUMMYFUNCTION("""COMPUTED_VALUE"""),"")</f>
        <v/>
      </c>
      <c r="O8725" s="17"/>
    </row>
    <row r="8726">
      <c r="B8726" s="17" t="s">
        <v>477</v>
      </c>
      <c r="K8726" s="18" t="s">
        <v>477</v>
      </c>
      <c r="N8726" s="17" t="str">
        <f>IFERROR(__xludf.DUMMYFUNCTION("""COMPUTED_VALUE"""),"")</f>
        <v/>
      </c>
      <c r="O8726" s="17"/>
    </row>
    <row r="8727">
      <c r="B8727" s="17" t="s">
        <v>477</v>
      </c>
      <c r="K8727" s="18" t="s">
        <v>477</v>
      </c>
      <c r="N8727" s="17" t="str">
        <f>IFERROR(__xludf.DUMMYFUNCTION("""COMPUTED_VALUE"""),"")</f>
        <v/>
      </c>
      <c r="O8727" s="17"/>
    </row>
    <row r="8728">
      <c r="B8728" s="17" t="s">
        <v>477</v>
      </c>
      <c r="K8728" s="18" t="s">
        <v>477</v>
      </c>
      <c r="N8728" s="17" t="str">
        <f>IFERROR(__xludf.DUMMYFUNCTION("""COMPUTED_VALUE"""),"")</f>
        <v/>
      </c>
      <c r="O8728" s="17"/>
    </row>
    <row r="8729">
      <c r="B8729" s="17" t="s">
        <v>477</v>
      </c>
      <c r="K8729" s="18" t="s">
        <v>477</v>
      </c>
      <c r="N8729" s="17" t="str">
        <f>IFERROR(__xludf.DUMMYFUNCTION("""COMPUTED_VALUE"""),"")</f>
        <v/>
      </c>
      <c r="O8729" s="17"/>
    </row>
    <row r="8730">
      <c r="B8730" s="17" t="s">
        <v>477</v>
      </c>
      <c r="K8730" s="18" t="s">
        <v>477</v>
      </c>
      <c r="N8730" s="17" t="str">
        <f>IFERROR(__xludf.DUMMYFUNCTION("""COMPUTED_VALUE"""),"")</f>
        <v/>
      </c>
      <c r="O8730" s="17"/>
    </row>
    <row r="8731">
      <c r="B8731" s="17" t="s">
        <v>477</v>
      </c>
      <c r="K8731" s="18" t="s">
        <v>477</v>
      </c>
      <c r="N8731" s="17" t="str">
        <f>IFERROR(__xludf.DUMMYFUNCTION("""COMPUTED_VALUE"""),"")</f>
        <v/>
      </c>
      <c r="O8731" s="17"/>
    </row>
    <row r="8732">
      <c r="B8732" s="17" t="s">
        <v>477</v>
      </c>
      <c r="K8732" s="18" t="s">
        <v>477</v>
      </c>
      <c r="N8732" s="17" t="str">
        <f>IFERROR(__xludf.DUMMYFUNCTION("""COMPUTED_VALUE"""),"")</f>
        <v/>
      </c>
      <c r="O8732" s="17"/>
    </row>
    <row r="8733">
      <c r="B8733" s="17" t="s">
        <v>477</v>
      </c>
      <c r="K8733" s="18" t="s">
        <v>477</v>
      </c>
      <c r="N8733" s="17" t="str">
        <f>IFERROR(__xludf.DUMMYFUNCTION("""COMPUTED_VALUE"""),"")</f>
        <v/>
      </c>
      <c r="O8733" s="17"/>
    </row>
    <row r="8734">
      <c r="B8734" s="17" t="s">
        <v>477</v>
      </c>
      <c r="K8734" s="18" t="s">
        <v>477</v>
      </c>
      <c r="N8734" s="17" t="str">
        <f>IFERROR(__xludf.DUMMYFUNCTION("""COMPUTED_VALUE"""),"")</f>
        <v/>
      </c>
      <c r="O8734" s="17"/>
    </row>
    <row r="8735">
      <c r="B8735" s="17" t="s">
        <v>477</v>
      </c>
      <c r="K8735" s="18" t="s">
        <v>477</v>
      </c>
      <c r="N8735" s="17" t="str">
        <f>IFERROR(__xludf.DUMMYFUNCTION("""COMPUTED_VALUE"""),"")</f>
        <v/>
      </c>
      <c r="O8735" s="17"/>
    </row>
    <row r="8736">
      <c r="B8736" s="17" t="s">
        <v>477</v>
      </c>
      <c r="K8736" s="18" t="s">
        <v>477</v>
      </c>
      <c r="N8736" s="17" t="str">
        <f>IFERROR(__xludf.DUMMYFUNCTION("""COMPUTED_VALUE"""),"")</f>
        <v/>
      </c>
      <c r="O8736" s="17"/>
    </row>
    <row r="8737">
      <c r="B8737" s="17" t="s">
        <v>477</v>
      </c>
      <c r="K8737" s="18" t="s">
        <v>477</v>
      </c>
      <c r="N8737" s="17" t="str">
        <f>IFERROR(__xludf.DUMMYFUNCTION("""COMPUTED_VALUE"""),"")</f>
        <v/>
      </c>
      <c r="O8737" s="17"/>
    </row>
    <row r="8738">
      <c r="B8738" s="17" t="s">
        <v>477</v>
      </c>
      <c r="K8738" s="18" t="s">
        <v>477</v>
      </c>
      <c r="N8738" s="17" t="str">
        <f>IFERROR(__xludf.DUMMYFUNCTION("""COMPUTED_VALUE"""),"")</f>
        <v/>
      </c>
      <c r="O8738" s="17"/>
    </row>
    <row r="8739">
      <c r="B8739" s="17" t="s">
        <v>477</v>
      </c>
      <c r="K8739" s="18" t="s">
        <v>477</v>
      </c>
      <c r="N8739" s="17" t="str">
        <f>IFERROR(__xludf.DUMMYFUNCTION("""COMPUTED_VALUE"""),"")</f>
        <v/>
      </c>
      <c r="O8739" s="17"/>
    </row>
    <row r="8740">
      <c r="B8740" s="17" t="s">
        <v>477</v>
      </c>
      <c r="K8740" s="18" t="s">
        <v>477</v>
      </c>
      <c r="N8740" s="17" t="str">
        <f>IFERROR(__xludf.DUMMYFUNCTION("""COMPUTED_VALUE"""),"")</f>
        <v/>
      </c>
      <c r="O8740" s="17"/>
    </row>
    <row r="8741">
      <c r="B8741" s="17" t="s">
        <v>477</v>
      </c>
      <c r="K8741" s="18" t="s">
        <v>477</v>
      </c>
      <c r="N8741" s="17" t="str">
        <f>IFERROR(__xludf.DUMMYFUNCTION("""COMPUTED_VALUE"""),"")</f>
        <v/>
      </c>
      <c r="O8741" s="17"/>
    </row>
    <row r="8742">
      <c r="B8742" s="17" t="s">
        <v>477</v>
      </c>
      <c r="K8742" s="18" t="s">
        <v>477</v>
      </c>
      <c r="N8742" s="17" t="str">
        <f>IFERROR(__xludf.DUMMYFUNCTION("""COMPUTED_VALUE"""),"")</f>
        <v/>
      </c>
      <c r="O8742" s="17"/>
    </row>
    <row r="8743">
      <c r="B8743" s="17" t="s">
        <v>477</v>
      </c>
      <c r="K8743" s="18" t="s">
        <v>477</v>
      </c>
      <c r="N8743" s="17" t="str">
        <f>IFERROR(__xludf.DUMMYFUNCTION("""COMPUTED_VALUE"""),"")</f>
        <v/>
      </c>
      <c r="O8743" s="17"/>
    </row>
    <row r="8744">
      <c r="B8744" s="17" t="s">
        <v>477</v>
      </c>
      <c r="K8744" s="18" t="s">
        <v>477</v>
      </c>
      <c r="N8744" s="17" t="str">
        <f>IFERROR(__xludf.DUMMYFUNCTION("""COMPUTED_VALUE"""),"")</f>
        <v/>
      </c>
      <c r="O8744" s="17"/>
    </row>
    <row r="8745">
      <c r="B8745" s="17" t="s">
        <v>477</v>
      </c>
      <c r="K8745" s="18" t="s">
        <v>477</v>
      </c>
      <c r="N8745" s="17" t="str">
        <f>IFERROR(__xludf.DUMMYFUNCTION("""COMPUTED_VALUE"""),"")</f>
        <v/>
      </c>
      <c r="O8745" s="17"/>
    </row>
    <row r="8746">
      <c r="B8746" s="17" t="s">
        <v>477</v>
      </c>
      <c r="K8746" s="18" t="s">
        <v>477</v>
      </c>
      <c r="N8746" s="17" t="str">
        <f>IFERROR(__xludf.DUMMYFUNCTION("""COMPUTED_VALUE"""),"")</f>
        <v/>
      </c>
      <c r="O8746" s="17"/>
    </row>
    <row r="8747">
      <c r="B8747" s="17" t="s">
        <v>477</v>
      </c>
      <c r="K8747" s="18" t="s">
        <v>477</v>
      </c>
      <c r="N8747" s="17" t="str">
        <f>IFERROR(__xludf.DUMMYFUNCTION("""COMPUTED_VALUE"""),"")</f>
        <v/>
      </c>
      <c r="O8747" s="17"/>
    </row>
    <row r="8748">
      <c r="B8748" s="17" t="s">
        <v>477</v>
      </c>
      <c r="K8748" s="18" t="s">
        <v>477</v>
      </c>
      <c r="N8748" s="17" t="str">
        <f>IFERROR(__xludf.DUMMYFUNCTION("""COMPUTED_VALUE"""),"")</f>
        <v/>
      </c>
      <c r="O8748" s="17"/>
    </row>
    <row r="8749">
      <c r="B8749" s="17" t="s">
        <v>477</v>
      </c>
      <c r="K8749" s="18" t="s">
        <v>477</v>
      </c>
      <c r="N8749" s="17" t="str">
        <f>IFERROR(__xludf.DUMMYFUNCTION("""COMPUTED_VALUE"""),"")</f>
        <v/>
      </c>
      <c r="O8749" s="17"/>
    </row>
    <row r="8750">
      <c r="B8750" s="17" t="s">
        <v>477</v>
      </c>
      <c r="K8750" s="18" t="s">
        <v>477</v>
      </c>
      <c r="N8750" s="17" t="str">
        <f>IFERROR(__xludf.DUMMYFUNCTION("""COMPUTED_VALUE"""),"")</f>
        <v/>
      </c>
      <c r="O8750" s="17"/>
    </row>
    <row r="8751">
      <c r="B8751" s="17" t="s">
        <v>477</v>
      </c>
      <c r="K8751" s="18" t="s">
        <v>477</v>
      </c>
      <c r="N8751" s="17" t="str">
        <f>IFERROR(__xludf.DUMMYFUNCTION("""COMPUTED_VALUE"""),"")</f>
        <v/>
      </c>
      <c r="O8751" s="17"/>
    </row>
    <row r="8752">
      <c r="B8752" s="17" t="s">
        <v>477</v>
      </c>
      <c r="K8752" s="18" t="s">
        <v>477</v>
      </c>
      <c r="N8752" s="17" t="str">
        <f>IFERROR(__xludf.DUMMYFUNCTION("""COMPUTED_VALUE"""),"")</f>
        <v/>
      </c>
      <c r="O8752" s="17"/>
    </row>
    <row r="8753">
      <c r="B8753" s="17" t="s">
        <v>477</v>
      </c>
      <c r="K8753" s="18" t="s">
        <v>477</v>
      </c>
      <c r="N8753" s="17" t="str">
        <f>IFERROR(__xludf.DUMMYFUNCTION("""COMPUTED_VALUE"""),"")</f>
        <v/>
      </c>
      <c r="O8753" s="17"/>
    </row>
    <row r="8754">
      <c r="B8754" s="17" t="s">
        <v>477</v>
      </c>
      <c r="K8754" s="18" t="s">
        <v>477</v>
      </c>
      <c r="N8754" s="17" t="str">
        <f>IFERROR(__xludf.DUMMYFUNCTION("""COMPUTED_VALUE"""),"")</f>
        <v/>
      </c>
      <c r="O8754" s="17"/>
    </row>
    <row r="8755">
      <c r="B8755" s="17" t="s">
        <v>477</v>
      </c>
      <c r="K8755" s="18" t="s">
        <v>477</v>
      </c>
      <c r="N8755" s="17" t="str">
        <f>IFERROR(__xludf.DUMMYFUNCTION("""COMPUTED_VALUE"""),"")</f>
        <v/>
      </c>
      <c r="O8755" s="17"/>
    </row>
    <row r="8756">
      <c r="B8756" s="17" t="s">
        <v>477</v>
      </c>
      <c r="K8756" s="18" t="s">
        <v>477</v>
      </c>
      <c r="N8756" s="17" t="str">
        <f>IFERROR(__xludf.DUMMYFUNCTION("""COMPUTED_VALUE"""),"")</f>
        <v/>
      </c>
      <c r="O8756" s="17"/>
    </row>
    <row r="8757">
      <c r="B8757" s="17" t="s">
        <v>477</v>
      </c>
      <c r="K8757" s="18" t="s">
        <v>477</v>
      </c>
      <c r="N8757" s="17" t="str">
        <f>IFERROR(__xludf.DUMMYFUNCTION("""COMPUTED_VALUE"""),"")</f>
        <v/>
      </c>
      <c r="O8757" s="17"/>
    </row>
    <row r="8758">
      <c r="B8758" s="17" t="s">
        <v>477</v>
      </c>
      <c r="K8758" s="18" t="s">
        <v>477</v>
      </c>
      <c r="N8758" s="17" t="str">
        <f>IFERROR(__xludf.DUMMYFUNCTION("""COMPUTED_VALUE"""),"")</f>
        <v/>
      </c>
      <c r="O8758" s="17"/>
    </row>
    <row r="8759">
      <c r="B8759" s="17" t="s">
        <v>477</v>
      </c>
      <c r="K8759" s="18" t="s">
        <v>477</v>
      </c>
      <c r="N8759" s="17" t="str">
        <f>IFERROR(__xludf.DUMMYFUNCTION("""COMPUTED_VALUE"""),"")</f>
        <v/>
      </c>
      <c r="O8759" s="17"/>
    </row>
    <row r="8760">
      <c r="B8760" s="17" t="s">
        <v>477</v>
      </c>
      <c r="K8760" s="18" t="s">
        <v>477</v>
      </c>
      <c r="N8760" s="17" t="str">
        <f>IFERROR(__xludf.DUMMYFUNCTION("""COMPUTED_VALUE"""),"")</f>
        <v/>
      </c>
      <c r="O8760" s="17"/>
    </row>
    <row r="8761">
      <c r="B8761" s="17" t="s">
        <v>477</v>
      </c>
      <c r="K8761" s="18" t="s">
        <v>477</v>
      </c>
      <c r="N8761" s="17" t="str">
        <f>IFERROR(__xludf.DUMMYFUNCTION("""COMPUTED_VALUE"""),"")</f>
        <v/>
      </c>
      <c r="O8761" s="17"/>
    </row>
    <row r="8762">
      <c r="B8762" s="17" t="s">
        <v>477</v>
      </c>
      <c r="K8762" s="18" t="s">
        <v>477</v>
      </c>
      <c r="N8762" s="17" t="str">
        <f>IFERROR(__xludf.DUMMYFUNCTION("""COMPUTED_VALUE"""),"")</f>
        <v/>
      </c>
      <c r="O8762" s="17"/>
    </row>
    <row r="8763">
      <c r="B8763" s="17" t="s">
        <v>477</v>
      </c>
      <c r="K8763" s="18" t="s">
        <v>477</v>
      </c>
      <c r="N8763" s="17" t="str">
        <f>IFERROR(__xludf.DUMMYFUNCTION("""COMPUTED_VALUE"""),"")</f>
        <v/>
      </c>
      <c r="O8763" s="17"/>
    </row>
    <row r="8764">
      <c r="B8764" s="17" t="s">
        <v>477</v>
      </c>
      <c r="K8764" s="18" t="s">
        <v>477</v>
      </c>
      <c r="N8764" s="17" t="str">
        <f>IFERROR(__xludf.DUMMYFUNCTION("""COMPUTED_VALUE"""),"")</f>
        <v/>
      </c>
      <c r="O8764" s="17"/>
    </row>
    <row r="8765">
      <c r="B8765" s="17" t="s">
        <v>477</v>
      </c>
      <c r="K8765" s="18" t="s">
        <v>477</v>
      </c>
      <c r="N8765" s="17" t="str">
        <f>IFERROR(__xludf.DUMMYFUNCTION("""COMPUTED_VALUE"""),"")</f>
        <v/>
      </c>
      <c r="O8765" s="17"/>
    </row>
    <row r="8766">
      <c r="B8766" s="17" t="s">
        <v>477</v>
      </c>
      <c r="K8766" s="18" t="s">
        <v>477</v>
      </c>
      <c r="N8766" s="17" t="str">
        <f>IFERROR(__xludf.DUMMYFUNCTION("""COMPUTED_VALUE"""),"")</f>
        <v/>
      </c>
      <c r="O8766" s="17"/>
    </row>
    <row r="8767">
      <c r="B8767" s="17" t="s">
        <v>477</v>
      </c>
      <c r="K8767" s="18" t="s">
        <v>477</v>
      </c>
      <c r="N8767" s="17" t="str">
        <f>IFERROR(__xludf.DUMMYFUNCTION("""COMPUTED_VALUE"""),"")</f>
        <v/>
      </c>
      <c r="O8767" s="17"/>
    </row>
    <row r="8768">
      <c r="B8768" s="17" t="s">
        <v>477</v>
      </c>
      <c r="K8768" s="18" t="s">
        <v>477</v>
      </c>
      <c r="N8768" s="17" t="str">
        <f>IFERROR(__xludf.DUMMYFUNCTION("""COMPUTED_VALUE"""),"")</f>
        <v/>
      </c>
      <c r="O8768" s="17"/>
    </row>
    <row r="8769">
      <c r="B8769" s="17" t="s">
        <v>477</v>
      </c>
      <c r="K8769" s="18" t="s">
        <v>477</v>
      </c>
      <c r="N8769" s="17" t="str">
        <f>IFERROR(__xludf.DUMMYFUNCTION("""COMPUTED_VALUE"""),"")</f>
        <v/>
      </c>
      <c r="O8769" s="17"/>
    </row>
    <row r="8770">
      <c r="B8770" s="17" t="s">
        <v>477</v>
      </c>
      <c r="K8770" s="18" t="s">
        <v>477</v>
      </c>
      <c r="N8770" s="17" t="str">
        <f>IFERROR(__xludf.DUMMYFUNCTION("""COMPUTED_VALUE"""),"")</f>
        <v/>
      </c>
      <c r="O8770" s="17"/>
    </row>
    <row r="8771">
      <c r="B8771" s="17" t="s">
        <v>477</v>
      </c>
      <c r="K8771" s="18" t="s">
        <v>477</v>
      </c>
      <c r="N8771" s="17" t="str">
        <f>IFERROR(__xludf.DUMMYFUNCTION("""COMPUTED_VALUE"""),"")</f>
        <v/>
      </c>
      <c r="O8771" s="17"/>
    </row>
    <row r="8772">
      <c r="B8772" s="17" t="s">
        <v>477</v>
      </c>
      <c r="K8772" s="18" t="s">
        <v>477</v>
      </c>
      <c r="N8772" s="17" t="str">
        <f>IFERROR(__xludf.DUMMYFUNCTION("""COMPUTED_VALUE"""),"")</f>
        <v/>
      </c>
      <c r="O8772" s="17"/>
    </row>
    <row r="8773">
      <c r="B8773" s="17" t="s">
        <v>477</v>
      </c>
      <c r="K8773" s="18" t="s">
        <v>477</v>
      </c>
      <c r="N8773" s="17" t="str">
        <f>IFERROR(__xludf.DUMMYFUNCTION("""COMPUTED_VALUE"""),"")</f>
        <v/>
      </c>
      <c r="O8773" s="17"/>
    </row>
    <row r="8774">
      <c r="B8774" s="17" t="s">
        <v>477</v>
      </c>
      <c r="K8774" s="18" t="s">
        <v>477</v>
      </c>
      <c r="N8774" s="17" t="str">
        <f>IFERROR(__xludf.DUMMYFUNCTION("""COMPUTED_VALUE"""),"")</f>
        <v/>
      </c>
      <c r="O8774" s="17"/>
    </row>
    <row r="8775">
      <c r="B8775" s="17" t="s">
        <v>477</v>
      </c>
      <c r="K8775" s="18" t="s">
        <v>477</v>
      </c>
      <c r="N8775" s="17" t="str">
        <f>IFERROR(__xludf.DUMMYFUNCTION("""COMPUTED_VALUE"""),"")</f>
        <v/>
      </c>
      <c r="O8775" s="17"/>
    </row>
    <row r="8776">
      <c r="B8776" s="17" t="s">
        <v>477</v>
      </c>
      <c r="K8776" s="18" t="s">
        <v>477</v>
      </c>
      <c r="N8776" s="17" t="str">
        <f>IFERROR(__xludf.DUMMYFUNCTION("""COMPUTED_VALUE"""),"")</f>
        <v/>
      </c>
      <c r="O8776" s="17"/>
    </row>
    <row r="8777">
      <c r="B8777" s="17" t="s">
        <v>477</v>
      </c>
      <c r="K8777" s="18" t="s">
        <v>477</v>
      </c>
      <c r="N8777" s="17" t="str">
        <f>IFERROR(__xludf.DUMMYFUNCTION("""COMPUTED_VALUE"""),"")</f>
        <v/>
      </c>
      <c r="O8777" s="17"/>
    </row>
    <row r="8778">
      <c r="B8778" s="17" t="s">
        <v>477</v>
      </c>
      <c r="K8778" s="18" t="s">
        <v>477</v>
      </c>
      <c r="N8778" s="17" t="str">
        <f>IFERROR(__xludf.DUMMYFUNCTION("""COMPUTED_VALUE"""),"")</f>
        <v/>
      </c>
      <c r="O8778" s="17"/>
    </row>
    <row r="8779">
      <c r="B8779" s="17" t="s">
        <v>477</v>
      </c>
      <c r="K8779" s="18" t="s">
        <v>477</v>
      </c>
      <c r="N8779" s="17" t="str">
        <f>IFERROR(__xludf.DUMMYFUNCTION("""COMPUTED_VALUE"""),"")</f>
        <v/>
      </c>
      <c r="O8779" s="17"/>
    </row>
    <row r="8780">
      <c r="B8780" s="17" t="s">
        <v>477</v>
      </c>
      <c r="K8780" s="18" t="s">
        <v>477</v>
      </c>
      <c r="N8780" s="17" t="str">
        <f>IFERROR(__xludf.DUMMYFUNCTION("""COMPUTED_VALUE"""),"")</f>
        <v/>
      </c>
      <c r="O8780" s="17"/>
    </row>
    <row r="8781">
      <c r="B8781" s="17" t="s">
        <v>477</v>
      </c>
      <c r="K8781" s="18" t="s">
        <v>477</v>
      </c>
      <c r="N8781" s="17" t="str">
        <f>IFERROR(__xludf.DUMMYFUNCTION("""COMPUTED_VALUE"""),"")</f>
        <v/>
      </c>
      <c r="O8781" s="17"/>
    </row>
    <row r="8782">
      <c r="B8782" s="17" t="s">
        <v>477</v>
      </c>
      <c r="K8782" s="18" t="s">
        <v>477</v>
      </c>
      <c r="N8782" s="17" t="str">
        <f>IFERROR(__xludf.DUMMYFUNCTION("""COMPUTED_VALUE"""),"")</f>
        <v/>
      </c>
      <c r="O8782" s="17"/>
    </row>
    <row r="8783">
      <c r="B8783" s="17" t="s">
        <v>477</v>
      </c>
      <c r="K8783" s="18" t="s">
        <v>477</v>
      </c>
      <c r="N8783" s="17" t="str">
        <f>IFERROR(__xludf.DUMMYFUNCTION("""COMPUTED_VALUE"""),"")</f>
        <v/>
      </c>
      <c r="O8783" s="17"/>
    </row>
    <row r="8784">
      <c r="B8784" s="17" t="s">
        <v>477</v>
      </c>
      <c r="K8784" s="18" t="s">
        <v>477</v>
      </c>
      <c r="N8784" s="17" t="str">
        <f>IFERROR(__xludf.DUMMYFUNCTION("""COMPUTED_VALUE"""),"")</f>
        <v/>
      </c>
      <c r="O8784" s="17"/>
    </row>
    <row r="8785">
      <c r="B8785" s="17" t="s">
        <v>477</v>
      </c>
      <c r="K8785" s="18" t="s">
        <v>477</v>
      </c>
      <c r="N8785" s="17" t="str">
        <f>IFERROR(__xludf.DUMMYFUNCTION("""COMPUTED_VALUE"""),"")</f>
        <v/>
      </c>
      <c r="O8785" s="17"/>
    </row>
    <row r="8786">
      <c r="B8786" s="17" t="s">
        <v>477</v>
      </c>
      <c r="K8786" s="18" t="s">
        <v>477</v>
      </c>
      <c r="N8786" s="17" t="str">
        <f>IFERROR(__xludf.DUMMYFUNCTION("""COMPUTED_VALUE"""),"")</f>
        <v/>
      </c>
      <c r="O8786" s="17"/>
    </row>
    <row r="8787">
      <c r="B8787" s="17" t="s">
        <v>477</v>
      </c>
      <c r="K8787" s="18" t="s">
        <v>477</v>
      </c>
      <c r="N8787" s="17" t="str">
        <f>IFERROR(__xludf.DUMMYFUNCTION("""COMPUTED_VALUE"""),"")</f>
        <v/>
      </c>
      <c r="O8787" s="17"/>
    </row>
    <row r="8788">
      <c r="B8788" s="17" t="s">
        <v>477</v>
      </c>
      <c r="K8788" s="18" t="s">
        <v>477</v>
      </c>
      <c r="N8788" s="17" t="str">
        <f>IFERROR(__xludf.DUMMYFUNCTION("""COMPUTED_VALUE"""),"")</f>
        <v/>
      </c>
      <c r="O8788" s="17"/>
    </row>
    <row r="8789">
      <c r="B8789" s="17" t="s">
        <v>477</v>
      </c>
      <c r="K8789" s="18" t="s">
        <v>477</v>
      </c>
      <c r="N8789" s="17" t="str">
        <f>IFERROR(__xludf.DUMMYFUNCTION("""COMPUTED_VALUE"""),"")</f>
        <v/>
      </c>
      <c r="O8789" s="17"/>
    </row>
    <row r="8790">
      <c r="B8790" s="17" t="s">
        <v>477</v>
      </c>
      <c r="K8790" s="18" t="s">
        <v>477</v>
      </c>
      <c r="N8790" s="17" t="str">
        <f>IFERROR(__xludf.DUMMYFUNCTION("""COMPUTED_VALUE"""),"")</f>
        <v/>
      </c>
      <c r="O8790" s="17"/>
    </row>
    <row r="8791">
      <c r="B8791" s="17" t="s">
        <v>477</v>
      </c>
      <c r="K8791" s="18" t="s">
        <v>477</v>
      </c>
      <c r="N8791" s="17" t="str">
        <f>IFERROR(__xludf.DUMMYFUNCTION("""COMPUTED_VALUE"""),"")</f>
        <v/>
      </c>
      <c r="O8791" s="17"/>
    </row>
    <row r="8792">
      <c r="B8792" s="17" t="s">
        <v>477</v>
      </c>
      <c r="K8792" s="18" t="s">
        <v>477</v>
      </c>
      <c r="N8792" s="17" t="str">
        <f>IFERROR(__xludf.DUMMYFUNCTION("""COMPUTED_VALUE"""),"")</f>
        <v/>
      </c>
      <c r="O8792" s="17"/>
    </row>
    <row r="8793">
      <c r="B8793" s="17" t="s">
        <v>477</v>
      </c>
      <c r="K8793" s="18" t="s">
        <v>477</v>
      </c>
      <c r="N8793" s="17" t="str">
        <f>IFERROR(__xludf.DUMMYFUNCTION("""COMPUTED_VALUE"""),"")</f>
        <v/>
      </c>
      <c r="O8793" s="17"/>
    </row>
    <row r="8794">
      <c r="B8794" s="17" t="s">
        <v>477</v>
      </c>
      <c r="K8794" s="18" t="s">
        <v>477</v>
      </c>
      <c r="N8794" s="17" t="str">
        <f>IFERROR(__xludf.DUMMYFUNCTION("""COMPUTED_VALUE"""),"")</f>
        <v/>
      </c>
      <c r="O8794" s="17"/>
    </row>
    <row r="8795">
      <c r="B8795" s="17" t="s">
        <v>477</v>
      </c>
      <c r="K8795" s="18" t="s">
        <v>477</v>
      </c>
      <c r="N8795" s="17" t="str">
        <f>IFERROR(__xludf.DUMMYFUNCTION("""COMPUTED_VALUE"""),"")</f>
        <v/>
      </c>
      <c r="O8795" s="17"/>
    </row>
    <row r="8796">
      <c r="B8796" s="17" t="s">
        <v>477</v>
      </c>
      <c r="K8796" s="18" t="s">
        <v>477</v>
      </c>
      <c r="N8796" s="17" t="str">
        <f>IFERROR(__xludf.DUMMYFUNCTION("""COMPUTED_VALUE"""),"")</f>
        <v/>
      </c>
      <c r="O8796" s="17"/>
    </row>
    <row r="8797">
      <c r="B8797" s="17" t="s">
        <v>477</v>
      </c>
      <c r="K8797" s="18" t="s">
        <v>477</v>
      </c>
      <c r="N8797" s="17" t="str">
        <f>IFERROR(__xludf.DUMMYFUNCTION("""COMPUTED_VALUE"""),"")</f>
        <v/>
      </c>
      <c r="O8797" s="17"/>
    </row>
    <row r="8798">
      <c r="B8798" s="17" t="s">
        <v>477</v>
      </c>
      <c r="K8798" s="18" t="s">
        <v>477</v>
      </c>
      <c r="N8798" s="17" t="str">
        <f>IFERROR(__xludf.DUMMYFUNCTION("""COMPUTED_VALUE"""),"")</f>
        <v/>
      </c>
      <c r="O8798" s="17"/>
    </row>
    <row r="8799">
      <c r="B8799" s="17" t="s">
        <v>477</v>
      </c>
      <c r="K8799" s="18" t="s">
        <v>477</v>
      </c>
      <c r="N8799" s="17" t="str">
        <f>IFERROR(__xludf.DUMMYFUNCTION("""COMPUTED_VALUE"""),"")</f>
        <v/>
      </c>
      <c r="O8799" s="17"/>
    </row>
    <row r="8800">
      <c r="B8800" s="17" t="s">
        <v>477</v>
      </c>
      <c r="K8800" s="18" t="s">
        <v>477</v>
      </c>
      <c r="N8800" s="17" t="str">
        <f>IFERROR(__xludf.DUMMYFUNCTION("""COMPUTED_VALUE"""),"")</f>
        <v/>
      </c>
      <c r="O8800" s="17"/>
    </row>
    <row r="8801">
      <c r="B8801" s="17" t="s">
        <v>477</v>
      </c>
      <c r="K8801" s="18" t="s">
        <v>477</v>
      </c>
      <c r="N8801" s="17" t="str">
        <f>IFERROR(__xludf.DUMMYFUNCTION("""COMPUTED_VALUE"""),"")</f>
        <v/>
      </c>
      <c r="O8801" s="17"/>
    </row>
    <row r="8802">
      <c r="B8802" s="17" t="s">
        <v>477</v>
      </c>
      <c r="K8802" s="18" t="s">
        <v>477</v>
      </c>
      <c r="N8802" s="17" t="str">
        <f>IFERROR(__xludf.DUMMYFUNCTION("""COMPUTED_VALUE"""),"")</f>
        <v/>
      </c>
      <c r="O8802" s="17"/>
    </row>
    <row r="8803">
      <c r="B8803" s="17" t="s">
        <v>477</v>
      </c>
      <c r="K8803" s="18" t="s">
        <v>477</v>
      </c>
      <c r="N8803" s="17" t="str">
        <f>IFERROR(__xludf.DUMMYFUNCTION("""COMPUTED_VALUE"""),"")</f>
        <v/>
      </c>
      <c r="O8803" s="17"/>
    </row>
    <row r="8804">
      <c r="B8804" s="17" t="s">
        <v>477</v>
      </c>
      <c r="K8804" s="18" t="s">
        <v>477</v>
      </c>
      <c r="N8804" s="17" t="str">
        <f>IFERROR(__xludf.DUMMYFUNCTION("""COMPUTED_VALUE"""),"")</f>
        <v/>
      </c>
      <c r="O8804" s="17"/>
    </row>
    <row r="8805">
      <c r="B8805" s="17" t="s">
        <v>477</v>
      </c>
      <c r="K8805" s="18" t="s">
        <v>477</v>
      </c>
      <c r="N8805" s="17" t="str">
        <f>IFERROR(__xludf.DUMMYFUNCTION("""COMPUTED_VALUE"""),"")</f>
        <v/>
      </c>
      <c r="O8805" s="17"/>
    </row>
    <row r="8806">
      <c r="B8806" s="17" t="s">
        <v>477</v>
      </c>
      <c r="K8806" s="18" t="s">
        <v>477</v>
      </c>
      <c r="N8806" s="17" t="str">
        <f>IFERROR(__xludf.DUMMYFUNCTION("""COMPUTED_VALUE"""),"")</f>
        <v/>
      </c>
      <c r="O8806" s="17"/>
    </row>
    <row r="8807">
      <c r="B8807" s="17" t="s">
        <v>477</v>
      </c>
      <c r="K8807" s="18" t="s">
        <v>477</v>
      </c>
      <c r="N8807" s="17" t="str">
        <f>IFERROR(__xludf.DUMMYFUNCTION("""COMPUTED_VALUE"""),"")</f>
        <v/>
      </c>
      <c r="O8807" s="17"/>
    </row>
    <row r="8808">
      <c r="B8808" s="17" t="s">
        <v>477</v>
      </c>
      <c r="K8808" s="18" t="s">
        <v>477</v>
      </c>
      <c r="N8808" s="17" t="str">
        <f>IFERROR(__xludf.DUMMYFUNCTION("""COMPUTED_VALUE"""),"")</f>
        <v/>
      </c>
      <c r="O8808" s="17"/>
    </row>
    <row r="8809">
      <c r="B8809" s="17" t="s">
        <v>477</v>
      </c>
      <c r="K8809" s="18" t="s">
        <v>477</v>
      </c>
      <c r="N8809" s="17" t="str">
        <f>IFERROR(__xludf.DUMMYFUNCTION("""COMPUTED_VALUE"""),"")</f>
        <v/>
      </c>
      <c r="O8809" s="17"/>
    </row>
    <row r="8810">
      <c r="B8810" s="17" t="s">
        <v>477</v>
      </c>
      <c r="K8810" s="18" t="s">
        <v>477</v>
      </c>
      <c r="N8810" s="17" t="str">
        <f>IFERROR(__xludf.DUMMYFUNCTION("""COMPUTED_VALUE"""),"")</f>
        <v/>
      </c>
      <c r="O8810" s="17"/>
    </row>
    <row r="8811">
      <c r="B8811" s="17" t="s">
        <v>477</v>
      </c>
      <c r="K8811" s="18" t="s">
        <v>477</v>
      </c>
      <c r="N8811" s="17" t="str">
        <f>IFERROR(__xludf.DUMMYFUNCTION("""COMPUTED_VALUE"""),"")</f>
        <v/>
      </c>
      <c r="O8811" s="17"/>
    </row>
    <row r="8812">
      <c r="B8812" s="17" t="s">
        <v>477</v>
      </c>
      <c r="K8812" s="18" t="s">
        <v>477</v>
      </c>
      <c r="N8812" s="17" t="str">
        <f>IFERROR(__xludf.DUMMYFUNCTION("""COMPUTED_VALUE"""),"")</f>
        <v/>
      </c>
      <c r="O8812" s="17"/>
    </row>
    <row r="8813">
      <c r="B8813" s="17" t="s">
        <v>477</v>
      </c>
      <c r="K8813" s="18" t="s">
        <v>477</v>
      </c>
      <c r="N8813" s="17" t="str">
        <f>IFERROR(__xludf.DUMMYFUNCTION("""COMPUTED_VALUE"""),"")</f>
        <v/>
      </c>
      <c r="O8813" s="17"/>
    </row>
    <row r="8814">
      <c r="B8814" s="17" t="s">
        <v>477</v>
      </c>
      <c r="K8814" s="18" t="s">
        <v>477</v>
      </c>
      <c r="N8814" s="17" t="str">
        <f>IFERROR(__xludf.DUMMYFUNCTION("""COMPUTED_VALUE"""),"")</f>
        <v/>
      </c>
      <c r="O8814" s="17"/>
    </row>
    <row r="8815">
      <c r="B8815" s="17" t="s">
        <v>477</v>
      </c>
      <c r="K8815" s="18" t="s">
        <v>477</v>
      </c>
      <c r="N8815" s="17" t="str">
        <f>IFERROR(__xludf.DUMMYFUNCTION("""COMPUTED_VALUE"""),"")</f>
        <v/>
      </c>
      <c r="O8815" s="17"/>
    </row>
    <row r="8816">
      <c r="B8816" s="17" t="s">
        <v>477</v>
      </c>
      <c r="K8816" s="18" t="s">
        <v>477</v>
      </c>
      <c r="N8816" s="17" t="str">
        <f>IFERROR(__xludf.DUMMYFUNCTION("""COMPUTED_VALUE"""),"")</f>
        <v/>
      </c>
      <c r="O8816" s="17"/>
    </row>
    <row r="8817">
      <c r="B8817" s="17" t="s">
        <v>477</v>
      </c>
      <c r="K8817" s="18" t="s">
        <v>477</v>
      </c>
      <c r="N8817" s="17" t="str">
        <f>IFERROR(__xludf.DUMMYFUNCTION("""COMPUTED_VALUE"""),"")</f>
        <v/>
      </c>
      <c r="O8817" s="17"/>
    </row>
    <row r="8818">
      <c r="B8818" s="17" t="s">
        <v>477</v>
      </c>
      <c r="K8818" s="18" t="s">
        <v>477</v>
      </c>
      <c r="N8818" s="17" t="str">
        <f>IFERROR(__xludf.DUMMYFUNCTION("""COMPUTED_VALUE"""),"")</f>
        <v/>
      </c>
      <c r="O8818" s="17"/>
    </row>
    <row r="8819">
      <c r="B8819" s="17" t="s">
        <v>477</v>
      </c>
      <c r="K8819" s="18" t="s">
        <v>477</v>
      </c>
      <c r="N8819" s="17" t="str">
        <f>IFERROR(__xludf.DUMMYFUNCTION("""COMPUTED_VALUE"""),"")</f>
        <v/>
      </c>
      <c r="O8819" s="17"/>
    </row>
    <row r="8820">
      <c r="B8820" s="17" t="s">
        <v>477</v>
      </c>
      <c r="K8820" s="18" t="s">
        <v>477</v>
      </c>
      <c r="N8820" s="17" t="str">
        <f>IFERROR(__xludf.DUMMYFUNCTION("""COMPUTED_VALUE"""),"")</f>
        <v/>
      </c>
      <c r="O8820" s="17"/>
    </row>
    <row r="8821">
      <c r="B8821" s="17" t="s">
        <v>477</v>
      </c>
      <c r="K8821" s="18" t="s">
        <v>477</v>
      </c>
      <c r="N8821" s="17" t="str">
        <f>IFERROR(__xludf.DUMMYFUNCTION("""COMPUTED_VALUE"""),"")</f>
        <v/>
      </c>
      <c r="O8821" s="17"/>
    </row>
    <row r="8822">
      <c r="B8822" s="17" t="s">
        <v>477</v>
      </c>
      <c r="K8822" s="18" t="s">
        <v>477</v>
      </c>
      <c r="N8822" s="17" t="str">
        <f>IFERROR(__xludf.DUMMYFUNCTION("""COMPUTED_VALUE"""),"")</f>
        <v/>
      </c>
      <c r="O8822" s="17"/>
    </row>
    <row r="8823">
      <c r="B8823" s="17" t="s">
        <v>477</v>
      </c>
      <c r="K8823" s="18" t="s">
        <v>477</v>
      </c>
      <c r="N8823" s="17" t="str">
        <f>IFERROR(__xludf.DUMMYFUNCTION("""COMPUTED_VALUE"""),"")</f>
        <v/>
      </c>
      <c r="O8823" s="17"/>
    </row>
    <row r="8824">
      <c r="B8824" s="17" t="s">
        <v>477</v>
      </c>
      <c r="K8824" s="18" t="s">
        <v>477</v>
      </c>
      <c r="N8824" s="17" t="str">
        <f>IFERROR(__xludf.DUMMYFUNCTION("""COMPUTED_VALUE"""),"")</f>
        <v/>
      </c>
      <c r="O8824" s="17"/>
    </row>
    <row r="8825">
      <c r="B8825" s="17" t="s">
        <v>477</v>
      </c>
      <c r="K8825" s="18" t="s">
        <v>477</v>
      </c>
      <c r="N8825" s="17" t="str">
        <f>IFERROR(__xludf.DUMMYFUNCTION("""COMPUTED_VALUE"""),"")</f>
        <v/>
      </c>
      <c r="O8825" s="17"/>
    </row>
    <row r="8826">
      <c r="B8826" s="17" t="s">
        <v>477</v>
      </c>
      <c r="K8826" s="18" t="s">
        <v>477</v>
      </c>
      <c r="N8826" s="17" t="str">
        <f>IFERROR(__xludf.DUMMYFUNCTION("""COMPUTED_VALUE"""),"")</f>
        <v/>
      </c>
      <c r="O8826" s="17"/>
    </row>
    <row r="8827">
      <c r="B8827" s="17" t="s">
        <v>477</v>
      </c>
      <c r="K8827" s="18" t="s">
        <v>477</v>
      </c>
      <c r="N8827" s="17" t="str">
        <f>IFERROR(__xludf.DUMMYFUNCTION("""COMPUTED_VALUE"""),"")</f>
        <v/>
      </c>
      <c r="O8827" s="17"/>
    </row>
    <row r="8828">
      <c r="B8828" s="17" t="s">
        <v>477</v>
      </c>
      <c r="K8828" s="18" t="s">
        <v>477</v>
      </c>
      <c r="N8828" s="17" t="str">
        <f>IFERROR(__xludf.DUMMYFUNCTION("""COMPUTED_VALUE"""),"")</f>
        <v/>
      </c>
      <c r="O8828" s="17"/>
    </row>
    <row r="8829">
      <c r="B8829" s="17" t="s">
        <v>477</v>
      </c>
      <c r="K8829" s="18" t="s">
        <v>477</v>
      </c>
      <c r="N8829" s="17" t="str">
        <f>IFERROR(__xludf.DUMMYFUNCTION("""COMPUTED_VALUE"""),"")</f>
        <v/>
      </c>
      <c r="O8829" s="17"/>
    </row>
    <row r="8830">
      <c r="B8830" s="17" t="s">
        <v>477</v>
      </c>
      <c r="K8830" s="18" t="s">
        <v>477</v>
      </c>
      <c r="N8830" s="17" t="str">
        <f>IFERROR(__xludf.DUMMYFUNCTION("""COMPUTED_VALUE"""),"")</f>
        <v/>
      </c>
      <c r="O8830" s="17"/>
    </row>
    <row r="8831">
      <c r="B8831" s="17" t="s">
        <v>477</v>
      </c>
      <c r="K8831" s="18" t="s">
        <v>477</v>
      </c>
      <c r="N8831" s="17" t="str">
        <f>IFERROR(__xludf.DUMMYFUNCTION("""COMPUTED_VALUE"""),"")</f>
        <v/>
      </c>
      <c r="O8831" s="17"/>
    </row>
    <row r="8832">
      <c r="B8832" s="17" t="s">
        <v>477</v>
      </c>
      <c r="K8832" s="18" t="s">
        <v>477</v>
      </c>
      <c r="N8832" s="17" t="str">
        <f>IFERROR(__xludf.DUMMYFUNCTION("""COMPUTED_VALUE"""),"")</f>
        <v/>
      </c>
      <c r="O8832" s="17"/>
    </row>
    <row r="8833">
      <c r="B8833" s="17" t="s">
        <v>477</v>
      </c>
      <c r="K8833" s="18" t="s">
        <v>477</v>
      </c>
      <c r="N8833" s="17" t="str">
        <f>IFERROR(__xludf.DUMMYFUNCTION("""COMPUTED_VALUE"""),"")</f>
        <v/>
      </c>
      <c r="O8833" s="17"/>
    </row>
    <row r="8834">
      <c r="B8834" s="17" t="s">
        <v>477</v>
      </c>
      <c r="K8834" s="18" t="s">
        <v>477</v>
      </c>
      <c r="N8834" s="17" t="str">
        <f>IFERROR(__xludf.DUMMYFUNCTION("""COMPUTED_VALUE"""),"")</f>
        <v/>
      </c>
      <c r="O8834" s="17"/>
    </row>
    <row r="8835">
      <c r="B8835" s="17" t="s">
        <v>477</v>
      </c>
      <c r="K8835" s="18" t="s">
        <v>477</v>
      </c>
      <c r="N8835" s="17" t="str">
        <f>IFERROR(__xludf.DUMMYFUNCTION("""COMPUTED_VALUE"""),"")</f>
        <v/>
      </c>
      <c r="O8835" s="17"/>
    </row>
    <row r="8836">
      <c r="B8836" s="17" t="s">
        <v>477</v>
      </c>
      <c r="K8836" s="18" t="s">
        <v>477</v>
      </c>
      <c r="N8836" s="17" t="str">
        <f>IFERROR(__xludf.DUMMYFUNCTION("""COMPUTED_VALUE"""),"")</f>
        <v/>
      </c>
      <c r="O8836" s="17"/>
    </row>
    <row r="8837">
      <c r="B8837" s="17" t="s">
        <v>477</v>
      </c>
      <c r="K8837" s="18" t="s">
        <v>477</v>
      </c>
      <c r="N8837" s="17" t="str">
        <f>IFERROR(__xludf.DUMMYFUNCTION("""COMPUTED_VALUE"""),"")</f>
        <v/>
      </c>
      <c r="O8837" s="17"/>
    </row>
    <row r="8838">
      <c r="B8838" s="17" t="s">
        <v>477</v>
      </c>
      <c r="K8838" s="18" t="s">
        <v>477</v>
      </c>
      <c r="N8838" s="17" t="str">
        <f>IFERROR(__xludf.DUMMYFUNCTION("""COMPUTED_VALUE"""),"")</f>
        <v/>
      </c>
      <c r="O8838" s="17"/>
    </row>
    <row r="8839">
      <c r="B8839" s="17" t="s">
        <v>477</v>
      </c>
      <c r="K8839" s="18" t="s">
        <v>477</v>
      </c>
      <c r="N8839" s="17" t="str">
        <f>IFERROR(__xludf.DUMMYFUNCTION("""COMPUTED_VALUE"""),"")</f>
        <v/>
      </c>
      <c r="O8839" s="17"/>
    </row>
    <row r="8840">
      <c r="B8840" s="17" t="s">
        <v>477</v>
      </c>
      <c r="K8840" s="18" t="s">
        <v>477</v>
      </c>
      <c r="N8840" s="17" t="str">
        <f>IFERROR(__xludf.DUMMYFUNCTION("""COMPUTED_VALUE"""),"")</f>
        <v/>
      </c>
      <c r="O8840" s="17"/>
    </row>
    <row r="8841">
      <c r="B8841" s="17" t="s">
        <v>477</v>
      </c>
      <c r="K8841" s="18" t="s">
        <v>477</v>
      </c>
      <c r="N8841" s="17" t="str">
        <f>IFERROR(__xludf.DUMMYFUNCTION("""COMPUTED_VALUE"""),"")</f>
        <v/>
      </c>
      <c r="O8841" s="17"/>
    </row>
    <row r="8842">
      <c r="B8842" s="17" t="s">
        <v>477</v>
      </c>
      <c r="K8842" s="18" t="s">
        <v>477</v>
      </c>
      <c r="N8842" s="17" t="str">
        <f>IFERROR(__xludf.DUMMYFUNCTION("""COMPUTED_VALUE"""),"")</f>
        <v/>
      </c>
      <c r="O8842" s="17"/>
    </row>
    <row r="8843">
      <c r="B8843" s="17" t="s">
        <v>477</v>
      </c>
      <c r="K8843" s="18" t="s">
        <v>477</v>
      </c>
      <c r="N8843" s="17" t="str">
        <f>IFERROR(__xludf.DUMMYFUNCTION("""COMPUTED_VALUE"""),"")</f>
        <v/>
      </c>
      <c r="O8843" s="17"/>
    </row>
    <row r="8844">
      <c r="B8844" s="17" t="s">
        <v>477</v>
      </c>
      <c r="K8844" s="18" t="s">
        <v>477</v>
      </c>
      <c r="N8844" s="17" t="str">
        <f>IFERROR(__xludf.DUMMYFUNCTION("""COMPUTED_VALUE"""),"")</f>
        <v/>
      </c>
      <c r="O8844" s="17"/>
    </row>
    <row r="8845">
      <c r="B8845" s="17" t="s">
        <v>477</v>
      </c>
      <c r="K8845" s="18" t="s">
        <v>477</v>
      </c>
      <c r="N8845" s="17" t="str">
        <f>IFERROR(__xludf.DUMMYFUNCTION("""COMPUTED_VALUE"""),"")</f>
        <v/>
      </c>
      <c r="O8845" s="17"/>
    </row>
    <row r="8846">
      <c r="B8846" s="17" t="s">
        <v>477</v>
      </c>
      <c r="K8846" s="18" t="s">
        <v>477</v>
      </c>
      <c r="N8846" s="17" t="str">
        <f>IFERROR(__xludf.DUMMYFUNCTION("""COMPUTED_VALUE"""),"")</f>
        <v/>
      </c>
      <c r="O8846" s="17"/>
    </row>
    <row r="8847">
      <c r="B8847" s="17" t="s">
        <v>477</v>
      </c>
      <c r="K8847" s="18" t="s">
        <v>477</v>
      </c>
      <c r="N8847" s="17" t="str">
        <f>IFERROR(__xludf.DUMMYFUNCTION("""COMPUTED_VALUE"""),"")</f>
        <v/>
      </c>
      <c r="O8847" s="17"/>
    </row>
    <row r="8848">
      <c r="B8848" s="17" t="s">
        <v>477</v>
      </c>
      <c r="K8848" s="18" t="s">
        <v>477</v>
      </c>
      <c r="N8848" s="17" t="str">
        <f>IFERROR(__xludf.DUMMYFUNCTION("""COMPUTED_VALUE"""),"")</f>
        <v/>
      </c>
      <c r="O8848" s="17"/>
    </row>
    <row r="8849">
      <c r="B8849" s="17" t="s">
        <v>477</v>
      </c>
      <c r="K8849" s="18" t="s">
        <v>477</v>
      </c>
      <c r="N8849" s="17" t="str">
        <f>IFERROR(__xludf.DUMMYFUNCTION("""COMPUTED_VALUE"""),"")</f>
        <v/>
      </c>
      <c r="O8849" s="17"/>
    </row>
    <row r="8850">
      <c r="B8850" s="17" t="s">
        <v>477</v>
      </c>
      <c r="K8850" s="18" t="s">
        <v>477</v>
      </c>
      <c r="N8850" s="17" t="str">
        <f>IFERROR(__xludf.DUMMYFUNCTION("""COMPUTED_VALUE"""),"")</f>
        <v/>
      </c>
      <c r="O8850" s="17"/>
    </row>
    <row r="8851">
      <c r="B8851" s="17" t="s">
        <v>477</v>
      </c>
      <c r="K8851" s="18" t="s">
        <v>477</v>
      </c>
      <c r="N8851" s="17" t="str">
        <f>IFERROR(__xludf.DUMMYFUNCTION("""COMPUTED_VALUE"""),"")</f>
        <v/>
      </c>
      <c r="O8851" s="17"/>
    </row>
    <row r="8852">
      <c r="B8852" s="17" t="s">
        <v>477</v>
      </c>
      <c r="K8852" s="18" t="s">
        <v>477</v>
      </c>
      <c r="N8852" s="17" t="str">
        <f>IFERROR(__xludf.DUMMYFUNCTION("""COMPUTED_VALUE"""),"")</f>
        <v/>
      </c>
      <c r="O8852" s="17"/>
    </row>
    <row r="8853">
      <c r="B8853" s="17" t="s">
        <v>477</v>
      </c>
      <c r="K8853" s="18" t="s">
        <v>477</v>
      </c>
      <c r="N8853" s="17" t="str">
        <f>IFERROR(__xludf.DUMMYFUNCTION("""COMPUTED_VALUE"""),"")</f>
        <v/>
      </c>
      <c r="O8853" s="17"/>
    </row>
    <row r="8854">
      <c r="B8854" s="17" t="s">
        <v>477</v>
      </c>
      <c r="K8854" s="18" t="s">
        <v>477</v>
      </c>
      <c r="N8854" s="17" t="str">
        <f>IFERROR(__xludf.DUMMYFUNCTION("""COMPUTED_VALUE"""),"")</f>
        <v/>
      </c>
      <c r="O8854" s="17"/>
    </row>
    <row r="8855">
      <c r="B8855" s="17" t="s">
        <v>477</v>
      </c>
      <c r="K8855" s="18" t="s">
        <v>477</v>
      </c>
      <c r="N8855" s="17" t="str">
        <f>IFERROR(__xludf.DUMMYFUNCTION("""COMPUTED_VALUE"""),"")</f>
        <v/>
      </c>
      <c r="O8855" s="17"/>
    </row>
    <row r="8856">
      <c r="B8856" s="17" t="s">
        <v>477</v>
      </c>
      <c r="K8856" s="18" t="s">
        <v>477</v>
      </c>
      <c r="N8856" s="17" t="str">
        <f>IFERROR(__xludf.DUMMYFUNCTION("""COMPUTED_VALUE"""),"")</f>
        <v/>
      </c>
      <c r="O8856" s="17"/>
    </row>
    <row r="8857">
      <c r="B8857" s="17" t="s">
        <v>477</v>
      </c>
      <c r="K8857" s="18" t="s">
        <v>477</v>
      </c>
      <c r="N8857" s="17" t="str">
        <f>IFERROR(__xludf.DUMMYFUNCTION("""COMPUTED_VALUE"""),"")</f>
        <v/>
      </c>
      <c r="O8857" s="17"/>
    </row>
    <row r="8858">
      <c r="B8858" s="17" t="s">
        <v>477</v>
      </c>
      <c r="K8858" s="18" t="s">
        <v>477</v>
      </c>
      <c r="N8858" s="17" t="str">
        <f>IFERROR(__xludf.DUMMYFUNCTION("""COMPUTED_VALUE"""),"")</f>
        <v/>
      </c>
      <c r="O8858" s="17"/>
    </row>
    <row r="8859">
      <c r="B8859" s="17" t="s">
        <v>477</v>
      </c>
      <c r="K8859" s="18" t="s">
        <v>477</v>
      </c>
      <c r="N8859" s="17" t="str">
        <f>IFERROR(__xludf.DUMMYFUNCTION("""COMPUTED_VALUE"""),"")</f>
        <v/>
      </c>
      <c r="O8859" s="17"/>
    </row>
    <row r="8860">
      <c r="B8860" s="17" t="s">
        <v>477</v>
      </c>
      <c r="K8860" s="18" t="s">
        <v>477</v>
      </c>
      <c r="N8860" s="17" t="str">
        <f>IFERROR(__xludf.DUMMYFUNCTION("""COMPUTED_VALUE"""),"")</f>
        <v/>
      </c>
      <c r="O8860" s="17"/>
    </row>
    <row r="8861">
      <c r="B8861" s="17" t="s">
        <v>477</v>
      </c>
      <c r="K8861" s="18" t="s">
        <v>477</v>
      </c>
      <c r="N8861" s="17" t="str">
        <f>IFERROR(__xludf.DUMMYFUNCTION("""COMPUTED_VALUE"""),"")</f>
        <v/>
      </c>
      <c r="O8861" s="17"/>
    </row>
    <row r="8862">
      <c r="B8862" s="17" t="s">
        <v>477</v>
      </c>
      <c r="K8862" s="18" t="s">
        <v>477</v>
      </c>
      <c r="N8862" s="17" t="str">
        <f>IFERROR(__xludf.DUMMYFUNCTION("""COMPUTED_VALUE"""),"")</f>
        <v/>
      </c>
      <c r="O8862" s="17"/>
    </row>
    <row r="8863">
      <c r="B8863" s="17" t="s">
        <v>477</v>
      </c>
      <c r="K8863" s="18" t="s">
        <v>477</v>
      </c>
      <c r="N8863" s="17" t="str">
        <f>IFERROR(__xludf.DUMMYFUNCTION("""COMPUTED_VALUE"""),"")</f>
        <v/>
      </c>
      <c r="O8863" s="17"/>
    </row>
    <row r="8864">
      <c r="B8864" s="17" t="s">
        <v>477</v>
      </c>
      <c r="K8864" s="18" t="s">
        <v>477</v>
      </c>
      <c r="N8864" s="17" t="str">
        <f>IFERROR(__xludf.DUMMYFUNCTION("""COMPUTED_VALUE"""),"")</f>
        <v/>
      </c>
      <c r="O8864" s="17"/>
    </row>
    <row r="8865">
      <c r="B8865" s="17" t="s">
        <v>477</v>
      </c>
      <c r="K8865" s="18" t="s">
        <v>477</v>
      </c>
      <c r="N8865" s="17" t="str">
        <f>IFERROR(__xludf.DUMMYFUNCTION("""COMPUTED_VALUE"""),"")</f>
        <v/>
      </c>
      <c r="O8865" s="17"/>
    </row>
    <row r="8866">
      <c r="B8866" s="17" t="s">
        <v>477</v>
      </c>
      <c r="K8866" s="18" t="s">
        <v>477</v>
      </c>
      <c r="N8866" s="17" t="str">
        <f>IFERROR(__xludf.DUMMYFUNCTION("""COMPUTED_VALUE"""),"")</f>
        <v/>
      </c>
      <c r="O8866" s="17"/>
    </row>
    <row r="8867">
      <c r="B8867" s="17" t="s">
        <v>477</v>
      </c>
      <c r="K8867" s="18" t="s">
        <v>477</v>
      </c>
      <c r="N8867" s="17" t="str">
        <f>IFERROR(__xludf.DUMMYFUNCTION("""COMPUTED_VALUE"""),"")</f>
        <v/>
      </c>
      <c r="O8867" s="17"/>
    </row>
    <row r="8868">
      <c r="B8868" s="17" t="s">
        <v>477</v>
      </c>
      <c r="K8868" s="18" t="s">
        <v>477</v>
      </c>
      <c r="N8868" s="17" t="str">
        <f>IFERROR(__xludf.DUMMYFUNCTION("""COMPUTED_VALUE"""),"")</f>
        <v/>
      </c>
      <c r="O8868" s="17"/>
    </row>
    <row r="8869">
      <c r="B8869" s="17" t="s">
        <v>477</v>
      </c>
      <c r="K8869" s="18" t="s">
        <v>477</v>
      </c>
      <c r="N8869" s="17" t="str">
        <f>IFERROR(__xludf.DUMMYFUNCTION("""COMPUTED_VALUE"""),"")</f>
        <v/>
      </c>
      <c r="O8869" s="17"/>
    </row>
    <row r="8870">
      <c r="B8870" s="17" t="s">
        <v>477</v>
      </c>
      <c r="K8870" s="18" t="s">
        <v>477</v>
      </c>
      <c r="N8870" s="17" t="str">
        <f>IFERROR(__xludf.DUMMYFUNCTION("""COMPUTED_VALUE"""),"")</f>
        <v/>
      </c>
      <c r="O8870" s="17"/>
    </row>
    <row r="8871">
      <c r="B8871" s="17" t="s">
        <v>477</v>
      </c>
      <c r="K8871" s="18" t="s">
        <v>477</v>
      </c>
      <c r="N8871" s="17" t="str">
        <f>IFERROR(__xludf.DUMMYFUNCTION("""COMPUTED_VALUE"""),"")</f>
        <v/>
      </c>
      <c r="O8871" s="17"/>
    </row>
    <row r="8872">
      <c r="B8872" s="17" t="s">
        <v>477</v>
      </c>
      <c r="K8872" s="18" t="s">
        <v>477</v>
      </c>
      <c r="N8872" s="17" t="str">
        <f>IFERROR(__xludf.DUMMYFUNCTION("""COMPUTED_VALUE"""),"")</f>
        <v/>
      </c>
      <c r="O8872" s="17"/>
    </row>
    <row r="8873">
      <c r="B8873" s="17" t="s">
        <v>477</v>
      </c>
      <c r="K8873" s="18" t="s">
        <v>477</v>
      </c>
      <c r="N8873" s="17" t="str">
        <f>IFERROR(__xludf.DUMMYFUNCTION("""COMPUTED_VALUE"""),"")</f>
        <v/>
      </c>
      <c r="O8873" s="17"/>
    </row>
    <row r="8874">
      <c r="B8874" s="17" t="s">
        <v>477</v>
      </c>
      <c r="K8874" s="18" t="s">
        <v>477</v>
      </c>
      <c r="N8874" s="17" t="str">
        <f>IFERROR(__xludf.DUMMYFUNCTION("""COMPUTED_VALUE"""),"")</f>
        <v/>
      </c>
      <c r="O8874" s="17"/>
    </row>
    <row r="8875">
      <c r="B8875" s="17" t="s">
        <v>477</v>
      </c>
      <c r="K8875" s="18" t="s">
        <v>477</v>
      </c>
      <c r="N8875" s="17" t="str">
        <f>IFERROR(__xludf.DUMMYFUNCTION("""COMPUTED_VALUE"""),"")</f>
        <v/>
      </c>
      <c r="O8875" s="17"/>
    </row>
    <row r="8876">
      <c r="B8876" s="17" t="s">
        <v>477</v>
      </c>
      <c r="K8876" s="18" t="s">
        <v>477</v>
      </c>
      <c r="N8876" s="17" t="str">
        <f>IFERROR(__xludf.DUMMYFUNCTION("""COMPUTED_VALUE"""),"")</f>
        <v/>
      </c>
      <c r="O8876" s="17"/>
    </row>
    <row r="8877">
      <c r="B8877" s="17" t="s">
        <v>477</v>
      </c>
      <c r="K8877" s="18" t="s">
        <v>477</v>
      </c>
      <c r="N8877" s="17" t="str">
        <f>IFERROR(__xludf.DUMMYFUNCTION("""COMPUTED_VALUE"""),"")</f>
        <v/>
      </c>
      <c r="O8877" s="17"/>
    </row>
    <row r="8878">
      <c r="B8878" s="17" t="s">
        <v>477</v>
      </c>
      <c r="K8878" s="18" t="s">
        <v>477</v>
      </c>
      <c r="N8878" s="17" t="str">
        <f>IFERROR(__xludf.DUMMYFUNCTION("""COMPUTED_VALUE"""),"")</f>
        <v/>
      </c>
      <c r="O8878" s="17"/>
    </row>
    <row r="8879">
      <c r="B8879" s="17" t="s">
        <v>477</v>
      </c>
      <c r="K8879" s="18" t="s">
        <v>477</v>
      </c>
      <c r="N8879" s="17" t="str">
        <f>IFERROR(__xludf.DUMMYFUNCTION("""COMPUTED_VALUE"""),"")</f>
        <v/>
      </c>
      <c r="O8879" s="17"/>
    </row>
    <row r="8880">
      <c r="B8880" s="17" t="s">
        <v>477</v>
      </c>
      <c r="K8880" s="18" t="s">
        <v>477</v>
      </c>
      <c r="N8880" s="17" t="str">
        <f>IFERROR(__xludf.DUMMYFUNCTION("""COMPUTED_VALUE"""),"")</f>
        <v/>
      </c>
      <c r="O8880" s="17"/>
    </row>
    <row r="8881">
      <c r="B8881" s="17" t="s">
        <v>477</v>
      </c>
      <c r="K8881" s="18" t="s">
        <v>477</v>
      </c>
      <c r="N8881" s="17" t="str">
        <f>IFERROR(__xludf.DUMMYFUNCTION("""COMPUTED_VALUE"""),"")</f>
        <v/>
      </c>
      <c r="O8881" s="17"/>
    </row>
    <row r="8882">
      <c r="B8882" s="17" t="s">
        <v>477</v>
      </c>
      <c r="K8882" s="18" t="s">
        <v>477</v>
      </c>
      <c r="N8882" s="17" t="str">
        <f>IFERROR(__xludf.DUMMYFUNCTION("""COMPUTED_VALUE"""),"")</f>
        <v/>
      </c>
      <c r="O8882" s="17"/>
    </row>
    <row r="8883">
      <c r="B8883" s="17" t="s">
        <v>477</v>
      </c>
      <c r="K8883" s="18" t="s">
        <v>477</v>
      </c>
      <c r="N8883" s="17" t="str">
        <f>IFERROR(__xludf.DUMMYFUNCTION("""COMPUTED_VALUE"""),"")</f>
        <v/>
      </c>
      <c r="O8883" s="17"/>
    </row>
    <row r="8884">
      <c r="B8884" s="17" t="s">
        <v>477</v>
      </c>
      <c r="K8884" s="18" t="s">
        <v>477</v>
      </c>
      <c r="N8884" s="17" t="str">
        <f>IFERROR(__xludf.DUMMYFUNCTION("""COMPUTED_VALUE"""),"")</f>
        <v/>
      </c>
      <c r="O8884" s="17"/>
    </row>
    <row r="8885">
      <c r="B8885" s="17" t="s">
        <v>477</v>
      </c>
      <c r="K8885" s="18" t="s">
        <v>477</v>
      </c>
      <c r="N8885" s="17" t="str">
        <f>IFERROR(__xludf.DUMMYFUNCTION("""COMPUTED_VALUE"""),"")</f>
        <v/>
      </c>
      <c r="O8885" s="17"/>
    </row>
    <row r="8886">
      <c r="B8886" s="17" t="s">
        <v>477</v>
      </c>
      <c r="K8886" s="18" t="s">
        <v>477</v>
      </c>
      <c r="N8886" s="17" t="str">
        <f>IFERROR(__xludf.DUMMYFUNCTION("""COMPUTED_VALUE"""),"")</f>
        <v/>
      </c>
      <c r="O8886" s="17"/>
    </row>
    <row r="8887">
      <c r="B8887" s="17" t="s">
        <v>477</v>
      </c>
      <c r="K8887" s="18" t="s">
        <v>477</v>
      </c>
      <c r="N8887" s="17" t="str">
        <f>IFERROR(__xludf.DUMMYFUNCTION("""COMPUTED_VALUE"""),"")</f>
        <v/>
      </c>
      <c r="O8887" s="17"/>
    </row>
    <row r="8888">
      <c r="B8888" s="17" t="s">
        <v>477</v>
      </c>
      <c r="K8888" s="18" t="s">
        <v>477</v>
      </c>
      <c r="N8888" s="17" t="str">
        <f>IFERROR(__xludf.DUMMYFUNCTION("""COMPUTED_VALUE"""),"")</f>
        <v/>
      </c>
      <c r="O8888" s="17"/>
    </row>
    <row r="8889">
      <c r="B8889" s="17" t="s">
        <v>477</v>
      </c>
      <c r="K8889" s="18" t="s">
        <v>477</v>
      </c>
      <c r="N8889" s="17" t="str">
        <f>IFERROR(__xludf.DUMMYFUNCTION("""COMPUTED_VALUE"""),"")</f>
        <v/>
      </c>
      <c r="O8889" s="17"/>
    </row>
    <row r="8890">
      <c r="B8890" s="17" t="s">
        <v>477</v>
      </c>
      <c r="K8890" s="18" t="s">
        <v>477</v>
      </c>
      <c r="N8890" s="17" t="str">
        <f>IFERROR(__xludf.DUMMYFUNCTION("""COMPUTED_VALUE"""),"")</f>
        <v/>
      </c>
      <c r="O8890" s="17"/>
    </row>
    <row r="8891">
      <c r="B8891" s="17" t="s">
        <v>477</v>
      </c>
      <c r="K8891" s="18" t="s">
        <v>477</v>
      </c>
      <c r="N8891" s="17" t="str">
        <f>IFERROR(__xludf.DUMMYFUNCTION("""COMPUTED_VALUE"""),"")</f>
        <v/>
      </c>
      <c r="O8891" s="17"/>
    </row>
    <row r="8892">
      <c r="B8892" s="17" t="s">
        <v>477</v>
      </c>
      <c r="K8892" s="18" t="s">
        <v>477</v>
      </c>
      <c r="N8892" s="17" t="str">
        <f>IFERROR(__xludf.DUMMYFUNCTION("""COMPUTED_VALUE"""),"")</f>
        <v/>
      </c>
      <c r="O8892" s="17"/>
    </row>
    <row r="8893">
      <c r="B8893" s="17" t="s">
        <v>477</v>
      </c>
      <c r="K8893" s="18" t="s">
        <v>477</v>
      </c>
      <c r="N8893" s="17" t="str">
        <f>IFERROR(__xludf.DUMMYFUNCTION("""COMPUTED_VALUE"""),"")</f>
        <v/>
      </c>
      <c r="O8893" s="17"/>
    </row>
    <row r="8894">
      <c r="B8894" s="17" t="s">
        <v>477</v>
      </c>
      <c r="K8894" s="18" t="s">
        <v>477</v>
      </c>
      <c r="N8894" s="17" t="str">
        <f>IFERROR(__xludf.DUMMYFUNCTION("""COMPUTED_VALUE"""),"")</f>
        <v/>
      </c>
      <c r="O8894" s="17"/>
    </row>
    <row r="8895">
      <c r="B8895" s="17" t="s">
        <v>477</v>
      </c>
      <c r="K8895" s="18" t="s">
        <v>477</v>
      </c>
      <c r="N8895" s="17" t="str">
        <f>IFERROR(__xludf.DUMMYFUNCTION("""COMPUTED_VALUE"""),"")</f>
        <v/>
      </c>
      <c r="O8895" s="17"/>
    </row>
    <row r="8896">
      <c r="B8896" s="17" t="s">
        <v>477</v>
      </c>
      <c r="K8896" s="18" t="s">
        <v>477</v>
      </c>
      <c r="N8896" s="17" t="str">
        <f>IFERROR(__xludf.DUMMYFUNCTION("""COMPUTED_VALUE"""),"")</f>
        <v/>
      </c>
      <c r="O8896" s="17"/>
    </row>
    <row r="8897">
      <c r="B8897" s="17" t="s">
        <v>477</v>
      </c>
      <c r="K8897" s="18" t="s">
        <v>477</v>
      </c>
      <c r="N8897" s="17" t="str">
        <f>IFERROR(__xludf.DUMMYFUNCTION("""COMPUTED_VALUE"""),"")</f>
        <v/>
      </c>
      <c r="O8897" s="17"/>
    </row>
    <row r="8898">
      <c r="B8898" s="17" t="s">
        <v>477</v>
      </c>
      <c r="K8898" s="18" t="s">
        <v>477</v>
      </c>
      <c r="N8898" s="17" t="str">
        <f>IFERROR(__xludf.DUMMYFUNCTION("""COMPUTED_VALUE"""),"")</f>
        <v/>
      </c>
      <c r="O8898" s="17"/>
    </row>
    <row r="8899">
      <c r="B8899" s="17" t="s">
        <v>477</v>
      </c>
      <c r="K8899" s="18" t="s">
        <v>477</v>
      </c>
      <c r="N8899" s="17" t="str">
        <f>IFERROR(__xludf.DUMMYFUNCTION("""COMPUTED_VALUE"""),"")</f>
        <v/>
      </c>
      <c r="O8899" s="17"/>
    </row>
    <row r="8900">
      <c r="B8900" s="17" t="s">
        <v>477</v>
      </c>
      <c r="K8900" s="18" t="s">
        <v>477</v>
      </c>
      <c r="N8900" s="17" t="str">
        <f>IFERROR(__xludf.DUMMYFUNCTION("""COMPUTED_VALUE"""),"")</f>
        <v/>
      </c>
      <c r="O8900" s="17"/>
    </row>
    <row r="8901">
      <c r="B8901" s="17" t="s">
        <v>477</v>
      </c>
      <c r="K8901" s="18" t="s">
        <v>477</v>
      </c>
      <c r="N8901" s="17" t="str">
        <f>IFERROR(__xludf.DUMMYFUNCTION("""COMPUTED_VALUE"""),"")</f>
        <v/>
      </c>
      <c r="O8901" s="17"/>
    </row>
    <row r="8902">
      <c r="B8902" s="17" t="s">
        <v>477</v>
      </c>
      <c r="K8902" s="18" t="s">
        <v>477</v>
      </c>
      <c r="N8902" s="17" t="str">
        <f>IFERROR(__xludf.DUMMYFUNCTION("""COMPUTED_VALUE"""),"")</f>
        <v/>
      </c>
      <c r="O8902" s="17"/>
    </row>
    <row r="8903">
      <c r="B8903" s="17" t="s">
        <v>477</v>
      </c>
      <c r="K8903" s="18" t="s">
        <v>477</v>
      </c>
      <c r="N8903" s="17" t="str">
        <f>IFERROR(__xludf.DUMMYFUNCTION("""COMPUTED_VALUE"""),"")</f>
        <v/>
      </c>
      <c r="O8903" s="17"/>
    </row>
    <row r="8904">
      <c r="B8904" s="17" t="s">
        <v>477</v>
      </c>
      <c r="K8904" s="18" t="s">
        <v>477</v>
      </c>
      <c r="N8904" s="17" t="str">
        <f>IFERROR(__xludf.DUMMYFUNCTION("""COMPUTED_VALUE"""),"")</f>
        <v/>
      </c>
      <c r="O8904" s="17"/>
    </row>
    <row r="8905">
      <c r="B8905" s="17" t="s">
        <v>477</v>
      </c>
      <c r="K8905" s="18" t="s">
        <v>477</v>
      </c>
      <c r="N8905" s="17" t="str">
        <f>IFERROR(__xludf.DUMMYFUNCTION("""COMPUTED_VALUE"""),"")</f>
        <v/>
      </c>
      <c r="O8905" s="17"/>
    </row>
    <row r="8906">
      <c r="B8906" s="17" t="s">
        <v>477</v>
      </c>
      <c r="K8906" s="18" t="s">
        <v>477</v>
      </c>
      <c r="N8906" s="17" t="str">
        <f>IFERROR(__xludf.DUMMYFUNCTION("""COMPUTED_VALUE"""),"")</f>
        <v/>
      </c>
      <c r="O8906" s="17"/>
    </row>
    <row r="8907">
      <c r="B8907" s="17" t="s">
        <v>477</v>
      </c>
      <c r="K8907" s="18" t="s">
        <v>477</v>
      </c>
      <c r="N8907" s="17" t="str">
        <f>IFERROR(__xludf.DUMMYFUNCTION("""COMPUTED_VALUE"""),"")</f>
        <v/>
      </c>
      <c r="O8907" s="17"/>
    </row>
    <row r="8908">
      <c r="B8908" s="17" t="s">
        <v>477</v>
      </c>
      <c r="K8908" s="18" t="s">
        <v>477</v>
      </c>
      <c r="N8908" s="17" t="str">
        <f>IFERROR(__xludf.DUMMYFUNCTION("""COMPUTED_VALUE"""),"")</f>
        <v/>
      </c>
      <c r="O8908" s="17"/>
    </row>
    <row r="8909">
      <c r="B8909" s="17" t="s">
        <v>477</v>
      </c>
      <c r="K8909" s="18" t="s">
        <v>477</v>
      </c>
      <c r="N8909" s="17" t="str">
        <f>IFERROR(__xludf.DUMMYFUNCTION("""COMPUTED_VALUE"""),"")</f>
        <v/>
      </c>
      <c r="O8909" s="17"/>
    </row>
    <row r="8910">
      <c r="B8910" s="17" t="s">
        <v>477</v>
      </c>
      <c r="K8910" s="18" t="s">
        <v>477</v>
      </c>
      <c r="N8910" s="17" t="str">
        <f>IFERROR(__xludf.DUMMYFUNCTION("""COMPUTED_VALUE"""),"")</f>
        <v/>
      </c>
      <c r="O8910" s="17"/>
    </row>
    <row r="8911">
      <c r="B8911" s="17" t="s">
        <v>477</v>
      </c>
      <c r="K8911" s="18" t="s">
        <v>477</v>
      </c>
      <c r="N8911" s="17" t="str">
        <f>IFERROR(__xludf.DUMMYFUNCTION("""COMPUTED_VALUE"""),"")</f>
        <v/>
      </c>
      <c r="O8911" s="17"/>
    </row>
    <row r="8912">
      <c r="B8912" s="17" t="s">
        <v>477</v>
      </c>
      <c r="K8912" s="18" t="s">
        <v>477</v>
      </c>
      <c r="N8912" s="17" t="str">
        <f>IFERROR(__xludf.DUMMYFUNCTION("""COMPUTED_VALUE"""),"")</f>
        <v/>
      </c>
      <c r="O8912" s="17"/>
    </row>
    <row r="8913">
      <c r="B8913" s="17" t="s">
        <v>477</v>
      </c>
      <c r="K8913" s="18" t="s">
        <v>477</v>
      </c>
      <c r="N8913" s="17" t="str">
        <f>IFERROR(__xludf.DUMMYFUNCTION("""COMPUTED_VALUE"""),"")</f>
        <v/>
      </c>
      <c r="O8913" s="17"/>
    </row>
    <row r="8914">
      <c r="B8914" s="17" t="s">
        <v>477</v>
      </c>
      <c r="K8914" s="18" t="s">
        <v>477</v>
      </c>
      <c r="N8914" s="17" t="str">
        <f>IFERROR(__xludf.DUMMYFUNCTION("""COMPUTED_VALUE"""),"")</f>
        <v/>
      </c>
      <c r="O8914" s="17"/>
    </row>
    <row r="8915">
      <c r="B8915" s="17" t="s">
        <v>477</v>
      </c>
      <c r="K8915" s="18" t="s">
        <v>477</v>
      </c>
      <c r="N8915" s="17" t="str">
        <f>IFERROR(__xludf.DUMMYFUNCTION("""COMPUTED_VALUE"""),"")</f>
        <v/>
      </c>
      <c r="O8915" s="17"/>
    </row>
    <row r="8916">
      <c r="B8916" s="17" t="s">
        <v>477</v>
      </c>
      <c r="K8916" s="18" t="s">
        <v>477</v>
      </c>
      <c r="N8916" s="17" t="str">
        <f>IFERROR(__xludf.DUMMYFUNCTION("""COMPUTED_VALUE"""),"")</f>
        <v/>
      </c>
      <c r="O8916" s="17"/>
    </row>
    <row r="8917">
      <c r="B8917" s="17" t="s">
        <v>477</v>
      </c>
      <c r="K8917" s="18" t="s">
        <v>477</v>
      </c>
      <c r="N8917" s="17" t="str">
        <f>IFERROR(__xludf.DUMMYFUNCTION("""COMPUTED_VALUE"""),"")</f>
        <v/>
      </c>
      <c r="O8917" s="17"/>
    </row>
    <row r="8918">
      <c r="B8918" s="17" t="s">
        <v>477</v>
      </c>
      <c r="K8918" s="18" t="s">
        <v>477</v>
      </c>
      <c r="N8918" s="17" t="str">
        <f>IFERROR(__xludf.DUMMYFUNCTION("""COMPUTED_VALUE"""),"")</f>
        <v/>
      </c>
      <c r="O8918" s="17"/>
    </row>
    <row r="8919">
      <c r="B8919" s="17" t="s">
        <v>477</v>
      </c>
      <c r="K8919" s="18" t="s">
        <v>477</v>
      </c>
      <c r="N8919" s="17" t="str">
        <f>IFERROR(__xludf.DUMMYFUNCTION("""COMPUTED_VALUE"""),"")</f>
        <v/>
      </c>
      <c r="O8919" s="17"/>
    </row>
    <row r="8920">
      <c r="B8920" s="17" t="s">
        <v>477</v>
      </c>
      <c r="K8920" s="18" t="s">
        <v>477</v>
      </c>
      <c r="N8920" s="17" t="str">
        <f>IFERROR(__xludf.DUMMYFUNCTION("""COMPUTED_VALUE"""),"")</f>
        <v/>
      </c>
      <c r="O8920" s="17"/>
    </row>
    <row r="8921">
      <c r="B8921" s="17" t="s">
        <v>477</v>
      </c>
      <c r="K8921" s="18" t="s">
        <v>477</v>
      </c>
      <c r="N8921" s="17" t="str">
        <f>IFERROR(__xludf.DUMMYFUNCTION("""COMPUTED_VALUE"""),"")</f>
        <v/>
      </c>
      <c r="O8921" s="17"/>
    </row>
    <row r="8922">
      <c r="B8922" s="17" t="s">
        <v>477</v>
      </c>
      <c r="K8922" s="18" t="s">
        <v>477</v>
      </c>
      <c r="N8922" s="17" t="str">
        <f>IFERROR(__xludf.DUMMYFUNCTION("""COMPUTED_VALUE"""),"")</f>
        <v/>
      </c>
      <c r="O8922" s="17"/>
    </row>
    <row r="8923">
      <c r="B8923" s="17" t="s">
        <v>477</v>
      </c>
      <c r="K8923" s="18" t="s">
        <v>477</v>
      </c>
      <c r="N8923" s="17" t="str">
        <f>IFERROR(__xludf.DUMMYFUNCTION("""COMPUTED_VALUE"""),"")</f>
        <v/>
      </c>
      <c r="O8923" s="17"/>
    </row>
    <row r="8924">
      <c r="B8924" s="17" t="s">
        <v>477</v>
      </c>
      <c r="K8924" s="18" t="s">
        <v>477</v>
      </c>
      <c r="N8924" s="17" t="str">
        <f>IFERROR(__xludf.DUMMYFUNCTION("""COMPUTED_VALUE"""),"")</f>
        <v/>
      </c>
      <c r="O8924" s="17"/>
    </row>
    <row r="8925">
      <c r="B8925" s="17" t="s">
        <v>477</v>
      </c>
      <c r="K8925" s="18" t="s">
        <v>477</v>
      </c>
      <c r="N8925" s="17" t="str">
        <f>IFERROR(__xludf.DUMMYFUNCTION("""COMPUTED_VALUE"""),"")</f>
        <v/>
      </c>
      <c r="O8925" s="17"/>
    </row>
    <row r="8926">
      <c r="B8926" s="17" t="s">
        <v>477</v>
      </c>
      <c r="K8926" s="18" t="s">
        <v>477</v>
      </c>
      <c r="N8926" s="17" t="str">
        <f>IFERROR(__xludf.DUMMYFUNCTION("""COMPUTED_VALUE"""),"")</f>
        <v/>
      </c>
      <c r="O8926" s="17"/>
    </row>
    <row r="8927">
      <c r="B8927" s="17" t="s">
        <v>477</v>
      </c>
      <c r="K8927" s="18" t="s">
        <v>477</v>
      </c>
      <c r="N8927" s="17" t="str">
        <f>IFERROR(__xludf.DUMMYFUNCTION("""COMPUTED_VALUE"""),"")</f>
        <v/>
      </c>
      <c r="O8927" s="17"/>
    </row>
    <row r="8928">
      <c r="B8928" s="17" t="s">
        <v>477</v>
      </c>
      <c r="K8928" s="18" t="s">
        <v>477</v>
      </c>
      <c r="N8928" s="17" t="str">
        <f>IFERROR(__xludf.DUMMYFUNCTION("""COMPUTED_VALUE"""),"")</f>
        <v/>
      </c>
      <c r="O8928" s="17"/>
    </row>
    <row r="8929">
      <c r="B8929" s="17" t="s">
        <v>477</v>
      </c>
      <c r="K8929" s="18" t="s">
        <v>477</v>
      </c>
      <c r="N8929" s="17" t="str">
        <f>IFERROR(__xludf.DUMMYFUNCTION("""COMPUTED_VALUE"""),"")</f>
        <v/>
      </c>
      <c r="O8929" s="17"/>
    </row>
    <row r="8930">
      <c r="B8930" s="17" t="s">
        <v>477</v>
      </c>
      <c r="K8930" s="18" t="s">
        <v>477</v>
      </c>
      <c r="N8930" s="17" t="str">
        <f>IFERROR(__xludf.DUMMYFUNCTION("""COMPUTED_VALUE"""),"")</f>
        <v/>
      </c>
      <c r="O8930" s="17"/>
    </row>
    <row r="8931">
      <c r="B8931" s="17" t="s">
        <v>477</v>
      </c>
      <c r="K8931" s="18" t="s">
        <v>477</v>
      </c>
      <c r="N8931" s="17" t="str">
        <f>IFERROR(__xludf.DUMMYFUNCTION("""COMPUTED_VALUE"""),"")</f>
        <v/>
      </c>
      <c r="O8931" s="17"/>
    </row>
    <row r="8932">
      <c r="B8932" s="17" t="s">
        <v>477</v>
      </c>
      <c r="K8932" s="18" t="s">
        <v>477</v>
      </c>
      <c r="N8932" s="17" t="str">
        <f>IFERROR(__xludf.DUMMYFUNCTION("""COMPUTED_VALUE"""),"")</f>
        <v/>
      </c>
      <c r="O8932" s="17"/>
    </row>
    <row r="8933">
      <c r="B8933" s="17" t="s">
        <v>477</v>
      </c>
      <c r="K8933" s="18" t="s">
        <v>477</v>
      </c>
      <c r="N8933" s="17" t="str">
        <f>IFERROR(__xludf.DUMMYFUNCTION("""COMPUTED_VALUE"""),"")</f>
        <v/>
      </c>
      <c r="O8933" s="17"/>
    </row>
    <row r="8934">
      <c r="B8934" s="17" t="s">
        <v>477</v>
      </c>
      <c r="K8934" s="18" t="s">
        <v>477</v>
      </c>
      <c r="N8934" s="17" t="str">
        <f>IFERROR(__xludf.DUMMYFUNCTION("""COMPUTED_VALUE"""),"")</f>
        <v/>
      </c>
      <c r="O8934" s="17"/>
    </row>
    <row r="8935">
      <c r="B8935" s="17" t="s">
        <v>477</v>
      </c>
      <c r="K8935" s="18" t="s">
        <v>477</v>
      </c>
      <c r="N8935" s="17" t="str">
        <f>IFERROR(__xludf.DUMMYFUNCTION("""COMPUTED_VALUE"""),"")</f>
        <v/>
      </c>
      <c r="O8935" s="17"/>
    </row>
    <row r="8936">
      <c r="B8936" s="17" t="s">
        <v>477</v>
      </c>
      <c r="K8936" s="18" t="s">
        <v>477</v>
      </c>
      <c r="N8936" s="17" t="str">
        <f>IFERROR(__xludf.DUMMYFUNCTION("""COMPUTED_VALUE"""),"")</f>
        <v/>
      </c>
      <c r="O8936" s="17"/>
    </row>
    <row r="8937">
      <c r="B8937" s="17" t="s">
        <v>477</v>
      </c>
      <c r="K8937" s="18" t="s">
        <v>477</v>
      </c>
      <c r="N8937" s="17" t="str">
        <f>IFERROR(__xludf.DUMMYFUNCTION("""COMPUTED_VALUE"""),"")</f>
        <v/>
      </c>
      <c r="O8937" s="17"/>
    </row>
    <row r="8938">
      <c r="B8938" s="17" t="s">
        <v>477</v>
      </c>
      <c r="K8938" s="18" t="s">
        <v>477</v>
      </c>
      <c r="N8938" s="17" t="str">
        <f>IFERROR(__xludf.DUMMYFUNCTION("""COMPUTED_VALUE"""),"")</f>
        <v/>
      </c>
      <c r="O8938" s="17"/>
    </row>
    <row r="8939">
      <c r="B8939" s="17" t="s">
        <v>477</v>
      </c>
      <c r="K8939" s="18" t="s">
        <v>477</v>
      </c>
      <c r="N8939" s="17" t="str">
        <f>IFERROR(__xludf.DUMMYFUNCTION("""COMPUTED_VALUE"""),"")</f>
        <v/>
      </c>
      <c r="O8939" s="17"/>
    </row>
    <row r="8940">
      <c r="B8940" s="17" t="s">
        <v>477</v>
      </c>
      <c r="K8940" s="18" t="s">
        <v>477</v>
      </c>
      <c r="N8940" s="17" t="str">
        <f>IFERROR(__xludf.DUMMYFUNCTION("""COMPUTED_VALUE"""),"")</f>
        <v/>
      </c>
      <c r="O8940" s="17"/>
    </row>
    <row r="8941">
      <c r="B8941" s="17" t="s">
        <v>477</v>
      </c>
      <c r="K8941" s="18" t="s">
        <v>477</v>
      </c>
      <c r="N8941" s="17" t="str">
        <f>IFERROR(__xludf.DUMMYFUNCTION("""COMPUTED_VALUE"""),"")</f>
        <v/>
      </c>
      <c r="O8941" s="17"/>
    </row>
    <row r="8942">
      <c r="B8942" s="17" t="s">
        <v>477</v>
      </c>
      <c r="K8942" s="18" t="s">
        <v>477</v>
      </c>
      <c r="N8942" s="17" t="str">
        <f>IFERROR(__xludf.DUMMYFUNCTION("""COMPUTED_VALUE"""),"")</f>
        <v/>
      </c>
      <c r="O8942" s="17"/>
    </row>
    <row r="8943">
      <c r="B8943" s="17" t="s">
        <v>477</v>
      </c>
      <c r="K8943" s="18" t="s">
        <v>477</v>
      </c>
      <c r="N8943" s="17" t="str">
        <f>IFERROR(__xludf.DUMMYFUNCTION("""COMPUTED_VALUE"""),"")</f>
        <v/>
      </c>
      <c r="O8943" s="17"/>
    </row>
    <row r="8944">
      <c r="B8944" s="17" t="s">
        <v>477</v>
      </c>
      <c r="K8944" s="18" t="s">
        <v>477</v>
      </c>
      <c r="N8944" s="17" t="str">
        <f>IFERROR(__xludf.DUMMYFUNCTION("""COMPUTED_VALUE"""),"")</f>
        <v/>
      </c>
      <c r="O8944" s="17"/>
    </row>
    <row r="8945">
      <c r="B8945" s="17" t="s">
        <v>477</v>
      </c>
      <c r="K8945" s="18" t="s">
        <v>477</v>
      </c>
      <c r="N8945" s="17" t="str">
        <f>IFERROR(__xludf.DUMMYFUNCTION("""COMPUTED_VALUE"""),"")</f>
        <v/>
      </c>
      <c r="O8945" s="17"/>
    </row>
    <row r="8946">
      <c r="B8946" s="17" t="s">
        <v>477</v>
      </c>
      <c r="K8946" s="18" t="s">
        <v>477</v>
      </c>
      <c r="N8946" s="17" t="str">
        <f>IFERROR(__xludf.DUMMYFUNCTION("""COMPUTED_VALUE"""),"")</f>
        <v/>
      </c>
      <c r="O8946" s="17"/>
    </row>
    <row r="8947">
      <c r="B8947" s="17" t="s">
        <v>477</v>
      </c>
      <c r="K8947" s="18" t="s">
        <v>477</v>
      </c>
      <c r="N8947" s="17" t="str">
        <f>IFERROR(__xludf.DUMMYFUNCTION("""COMPUTED_VALUE"""),"")</f>
        <v/>
      </c>
      <c r="O8947" s="17"/>
    </row>
    <row r="8948">
      <c r="B8948" s="17" t="s">
        <v>477</v>
      </c>
      <c r="K8948" s="18" t="s">
        <v>477</v>
      </c>
      <c r="N8948" s="17" t="str">
        <f>IFERROR(__xludf.DUMMYFUNCTION("""COMPUTED_VALUE"""),"")</f>
        <v/>
      </c>
      <c r="O8948" s="17"/>
    </row>
    <row r="8949">
      <c r="B8949" s="17" t="s">
        <v>477</v>
      </c>
      <c r="K8949" s="18" t="s">
        <v>477</v>
      </c>
      <c r="N8949" s="17" t="str">
        <f>IFERROR(__xludf.DUMMYFUNCTION("""COMPUTED_VALUE"""),"")</f>
        <v/>
      </c>
      <c r="O8949" s="17"/>
    </row>
    <row r="8950">
      <c r="B8950" s="17" t="s">
        <v>477</v>
      </c>
      <c r="K8950" s="18" t="s">
        <v>477</v>
      </c>
      <c r="N8950" s="17" t="str">
        <f>IFERROR(__xludf.DUMMYFUNCTION("""COMPUTED_VALUE"""),"")</f>
        <v/>
      </c>
      <c r="O8950" s="17"/>
    </row>
    <row r="8951">
      <c r="B8951" s="17" t="s">
        <v>477</v>
      </c>
      <c r="K8951" s="18" t="s">
        <v>477</v>
      </c>
      <c r="N8951" s="17" t="str">
        <f>IFERROR(__xludf.DUMMYFUNCTION("""COMPUTED_VALUE"""),"")</f>
        <v/>
      </c>
      <c r="O8951" s="17"/>
    </row>
    <row r="8952">
      <c r="B8952" s="17" t="s">
        <v>477</v>
      </c>
      <c r="K8952" s="18" t="s">
        <v>477</v>
      </c>
      <c r="N8952" s="17" t="str">
        <f>IFERROR(__xludf.DUMMYFUNCTION("""COMPUTED_VALUE"""),"")</f>
        <v/>
      </c>
      <c r="O8952" s="17"/>
    </row>
    <row r="8953">
      <c r="B8953" s="17" t="s">
        <v>477</v>
      </c>
      <c r="K8953" s="18" t="s">
        <v>477</v>
      </c>
      <c r="N8953" s="17" t="str">
        <f>IFERROR(__xludf.DUMMYFUNCTION("""COMPUTED_VALUE"""),"")</f>
        <v/>
      </c>
      <c r="O8953" s="17"/>
    </row>
    <row r="8954">
      <c r="B8954" s="17" t="s">
        <v>477</v>
      </c>
      <c r="K8954" s="18" t="s">
        <v>477</v>
      </c>
      <c r="N8954" s="17" t="str">
        <f>IFERROR(__xludf.DUMMYFUNCTION("""COMPUTED_VALUE"""),"")</f>
        <v/>
      </c>
      <c r="O8954" s="17"/>
    </row>
    <row r="8955">
      <c r="B8955" s="17" t="s">
        <v>477</v>
      </c>
      <c r="K8955" s="18" t="s">
        <v>477</v>
      </c>
      <c r="N8955" s="17" t="str">
        <f>IFERROR(__xludf.DUMMYFUNCTION("""COMPUTED_VALUE"""),"")</f>
        <v/>
      </c>
      <c r="O8955" s="17"/>
    </row>
    <row r="8956">
      <c r="B8956" s="17" t="s">
        <v>477</v>
      </c>
      <c r="K8956" s="18" t="s">
        <v>477</v>
      </c>
      <c r="N8956" s="17" t="str">
        <f>IFERROR(__xludf.DUMMYFUNCTION("""COMPUTED_VALUE"""),"")</f>
        <v/>
      </c>
      <c r="O8956" s="17"/>
    </row>
    <row r="8957">
      <c r="B8957" s="17" t="s">
        <v>477</v>
      </c>
      <c r="K8957" s="18" t="s">
        <v>477</v>
      </c>
      <c r="N8957" s="17" t="str">
        <f>IFERROR(__xludf.DUMMYFUNCTION("""COMPUTED_VALUE"""),"")</f>
        <v/>
      </c>
      <c r="O8957" s="17"/>
    </row>
    <row r="8958">
      <c r="B8958" s="17" t="s">
        <v>477</v>
      </c>
      <c r="K8958" s="18" t="s">
        <v>477</v>
      </c>
      <c r="N8958" s="17" t="str">
        <f>IFERROR(__xludf.DUMMYFUNCTION("""COMPUTED_VALUE"""),"")</f>
        <v/>
      </c>
      <c r="O8958" s="17"/>
    </row>
    <row r="8959">
      <c r="B8959" s="17" t="s">
        <v>477</v>
      </c>
      <c r="K8959" s="18" t="s">
        <v>477</v>
      </c>
      <c r="N8959" s="17" t="str">
        <f>IFERROR(__xludf.DUMMYFUNCTION("""COMPUTED_VALUE"""),"")</f>
        <v/>
      </c>
      <c r="O8959" s="17"/>
    </row>
    <row r="8960">
      <c r="B8960" s="17" t="s">
        <v>477</v>
      </c>
      <c r="K8960" s="18" t="s">
        <v>477</v>
      </c>
      <c r="N8960" s="17" t="str">
        <f>IFERROR(__xludf.DUMMYFUNCTION("""COMPUTED_VALUE"""),"")</f>
        <v/>
      </c>
      <c r="O8960" s="17"/>
    </row>
    <row r="8961">
      <c r="B8961" s="17" t="s">
        <v>477</v>
      </c>
      <c r="K8961" s="18" t="s">
        <v>477</v>
      </c>
      <c r="N8961" s="17" t="str">
        <f>IFERROR(__xludf.DUMMYFUNCTION("""COMPUTED_VALUE"""),"")</f>
        <v/>
      </c>
      <c r="O8961" s="17"/>
    </row>
    <row r="8962">
      <c r="B8962" s="17" t="s">
        <v>477</v>
      </c>
      <c r="K8962" s="18" t="s">
        <v>477</v>
      </c>
      <c r="N8962" s="17" t="str">
        <f>IFERROR(__xludf.DUMMYFUNCTION("""COMPUTED_VALUE"""),"")</f>
        <v/>
      </c>
      <c r="O8962" s="17"/>
    </row>
    <row r="8963">
      <c r="B8963" s="17" t="s">
        <v>477</v>
      </c>
      <c r="K8963" s="18" t="s">
        <v>477</v>
      </c>
      <c r="N8963" s="17" t="str">
        <f>IFERROR(__xludf.DUMMYFUNCTION("""COMPUTED_VALUE"""),"")</f>
        <v/>
      </c>
      <c r="O8963" s="17"/>
    </row>
    <row r="8964">
      <c r="B8964" s="17" t="s">
        <v>477</v>
      </c>
      <c r="K8964" s="18" t="s">
        <v>477</v>
      </c>
      <c r="N8964" s="17" t="str">
        <f>IFERROR(__xludf.DUMMYFUNCTION("""COMPUTED_VALUE"""),"")</f>
        <v/>
      </c>
      <c r="O8964" s="17"/>
    </row>
    <row r="8965">
      <c r="B8965" s="17" t="s">
        <v>477</v>
      </c>
      <c r="K8965" s="18" t="s">
        <v>477</v>
      </c>
      <c r="N8965" s="17" t="str">
        <f>IFERROR(__xludf.DUMMYFUNCTION("""COMPUTED_VALUE"""),"")</f>
        <v/>
      </c>
      <c r="O8965" s="17"/>
    </row>
    <row r="8966">
      <c r="B8966" s="17" t="s">
        <v>477</v>
      </c>
      <c r="K8966" s="18" t="s">
        <v>477</v>
      </c>
      <c r="N8966" s="17" t="str">
        <f>IFERROR(__xludf.DUMMYFUNCTION("""COMPUTED_VALUE"""),"")</f>
        <v/>
      </c>
      <c r="O8966" s="17"/>
    </row>
    <row r="8967">
      <c r="B8967" s="17" t="s">
        <v>477</v>
      </c>
      <c r="K8967" s="18" t="s">
        <v>477</v>
      </c>
      <c r="N8967" s="17" t="str">
        <f>IFERROR(__xludf.DUMMYFUNCTION("""COMPUTED_VALUE"""),"")</f>
        <v/>
      </c>
      <c r="O8967" s="17"/>
    </row>
    <row r="8968">
      <c r="B8968" s="17" t="s">
        <v>477</v>
      </c>
      <c r="K8968" s="18" t="s">
        <v>477</v>
      </c>
      <c r="N8968" s="17" t="str">
        <f>IFERROR(__xludf.DUMMYFUNCTION("""COMPUTED_VALUE"""),"")</f>
        <v/>
      </c>
      <c r="O8968" s="17"/>
    </row>
    <row r="8969">
      <c r="B8969" s="17" t="s">
        <v>477</v>
      </c>
      <c r="K8969" s="18" t="s">
        <v>477</v>
      </c>
      <c r="N8969" s="17" t="str">
        <f>IFERROR(__xludf.DUMMYFUNCTION("""COMPUTED_VALUE"""),"")</f>
        <v/>
      </c>
      <c r="O8969" s="17"/>
    </row>
    <row r="8970">
      <c r="B8970" s="17" t="s">
        <v>477</v>
      </c>
      <c r="K8970" s="18" t="s">
        <v>477</v>
      </c>
      <c r="N8970" s="17" t="str">
        <f>IFERROR(__xludf.DUMMYFUNCTION("""COMPUTED_VALUE"""),"")</f>
        <v/>
      </c>
      <c r="O8970" s="17"/>
    </row>
    <row r="8971">
      <c r="B8971" s="17" t="s">
        <v>477</v>
      </c>
      <c r="K8971" s="18" t="s">
        <v>477</v>
      </c>
      <c r="N8971" s="17" t="str">
        <f>IFERROR(__xludf.DUMMYFUNCTION("""COMPUTED_VALUE"""),"")</f>
        <v/>
      </c>
      <c r="O8971" s="17"/>
    </row>
    <row r="8972">
      <c r="B8972" s="17" t="s">
        <v>477</v>
      </c>
      <c r="K8972" s="18" t="s">
        <v>477</v>
      </c>
      <c r="N8972" s="17" t="str">
        <f>IFERROR(__xludf.DUMMYFUNCTION("""COMPUTED_VALUE"""),"")</f>
        <v/>
      </c>
      <c r="O8972" s="17"/>
    </row>
    <row r="8973">
      <c r="B8973" s="17" t="s">
        <v>477</v>
      </c>
      <c r="K8973" s="18" t="s">
        <v>477</v>
      </c>
      <c r="N8973" s="17" t="str">
        <f>IFERROR(__xludf.DUMMYFUNCTION("""COMPUTED_VALUE"""),"")</f>
        <v/>
      </c>
      <c r="O8973" s="17"/>
    </row>
    <row r="8974">
      <c r="B8974" s="17" t="s">
        <v>477</v>
      </c>
      <c r="K8974" s="18" t="s">
        <v>477</v>
      </c>
      <c r="N8974" s="17" t="str">
        <f>IFERROR(__xludf.DUMMYFUNCTION("""COMPUTED_VALUE"""),"")</f>
        <v/>
      </c>
      <c r="O8974" s="17"/>
    </row>
    <row r="8975">
      <c r="B8975" s="17" t="s">
        <v>477</v>
      </c>
      <c r="K8975" s="18" t="s">
        <v>477</v>
      </c>
      <c r="N8975" s="17" t="str">
        <f>IFERROR(__xludf.DUMMYFUNCTION("""COMPUTED_VALUE"""),"")</f>
        <v/>
      </c>
      <c r="O8975" s="17"/>
    </row>
    <row r="8976">
      <c r="B8976" s="17" t="s">
        <v>477</v>
      </c>
      <c r="K8976" s="18" t="s">
        <v>477</v>
      </c>
      <c r="N8976" s="17" t="str">
        <f>IFERROR(__xludf.DUMMYFUNCTION("""COMPUTED_VALUE"""),"")</f>
        <v/>
      </c>
      <c r="O8976" s="17"/>
    </row>
    <row r="8977">
      <c r="B8977" s="17" t="s">
        <v>477</v>
      </c>
      <c r="K8977" s="18" t="s">
        <v>477</v>
      </c>
      <c r="N8977" s="17" t="str">
        <f>IFERROR(__xludf.DUMMYFUNCTION("""COMPUTED_VALUE"""),"")</f>
        <v/>
      </c>
      <c r="O8977" s="17"/>
    </row>
    <row r="8978">
      <c r="B8978" s="17" t="s">
        <v>477</v>
      </c>
      <c r="K8978" s="18" t="s">
        <v>477</v>
      </c>
      <c r="N8978" s="17" t="str">
        <f>IFERROR(__xludf.DUMMYFUNCTION("""COMPUTED_VALUE"""),"")</f>
        <v/>
      </c>
      <c r="O8978" s="17"/>
    </row>
    <row r="8979">
      <c r="B8979" s="17" t="s">
        <v>477</v>
      </c>
      <c r="K8979" s="18" t="s">
        <v>477</v>
      </c>
      <c r="N8979" s="17" t="str">
        <f>IFERROR(__xludf.DUMMYFUNCTION("""COMPUTED_VALUE"""),"")</f>
        <v/>
      </c>
      <c r="O8979" s="17"/>
    </row>
    <row r="8980">
      <c r="B8980" s="17" t="s">
        <v>477</v>
      </c>
      <c r="K8980" s="18" t="s">
        <v>477</v>
      </c>
      <c r="N8980" s="17" t="str">
        <f>IFERROR(__xludf.DUMMYFUNCTION("""COMPUTED_VALUE"""),"")</f>
        <v/>
      </c>
      <c r="O8980" s="17"/>
    </row>
    <row r="8981">
      <c r="B8981" s="17" t="s">
        <v>477</v>
      </c>
      <c r="K8981" s="18" t="s">
        <v>477</v>
      </c>
      <c r="N8981" s="17" t="str">
        <f>IFERROR(__xludf.DUMMYFUNCTION("""COMPUTED_VALUE"""),"")</f>
        <v/>
      </c>
      <c r="O8981" s="17"/>
    </row>
    <row r="8982">
      <c r="B8982" s="17" t="s">
        <v>477</v>
      </c>
      <c r="K8982" s="18" t="s">
        <v>477</v>
      </c>
      <c r="N8982" s="17" t="str">
        <f>IFERROR(__xludf.DUMMYFUNCTION("""COMPUTED_VALUE"""),"")</f>
        <v/>
      </c>
      <c r="O8982" s="17"/>
    </row>
    <row r="8983">
      <c r="B8983" s="17" t="s">
        <v>477</v>
      </c>
      <c r="K8983" s="18" t="s">
        <v>477</v>
      </c>
      <c r="N8983" s="17" t="str">
        <f>IFERROR(__xludf.DUMMYFUNCTION("""COMPUTED_VALUE"""),"")</f>
        <v/>
      </c>
      <c r="O8983" s="17"/>
    </row>
    <row r="8984">
      <c r="B8984" s="17" t="s">
        <v>477</v>
      </c>
      <c r="K8984" s="18" t="s">
        <v>477</v>
      </c>
      <c r="N8984" s="17" t="str">
        <f>IFERROR(__xludf.DUMMYFUNCTION("""COMPUTED_VALUE"""),"")</f>
        <v/>
      </c>
      <c r="O8984" s="17"/>
    </row>
    <row r="8985">
      <c r="B8985" s="17" t="s">
        <v>477</v>
      </c>
      <c r="K8985" s="18" t="s">
        <v>477</v>
      </c>
      <c r="N8985" s="17" t="str">
        <f>IFERROR(__xludf.DUMMYFUNCTION("""COMPUTED_VALUE"""),"")</f>
        <v/>
      </c>
      <c r="O8985" s="17"/>
    </row>
    <row r="8986">
      <c r="B8986" s="17" t="s">
        <v>477</v>
      </c>
      <c r="K8986" s="18" t="s">
        <v>477</v>
      </c>
      <c r="N8986" s="17" t="str">
        <f>IFERROR(__xludf.DUMMYFUNCTION("""COMPUTED_VALUE"""),"")</f>
        <v/>
      </c>
      <c r="O8986" s="17"/>
    </row>
    <row r="8987">
      <c r="B8987" s="17" t="s">
        <v>477</v>
      </c>
      <c r="K8987" s="18" t="s">
        <v>477</v>
      </c>
      <c r="N8987" s="17" t="str">
        <f>IFERROR(__xludf.DUMMYFUNCTION("""COMPUTED_VALUE"""),"")</f>
        <v/>
      </c>
      <c r="O8987" s="17"/>
    </row>
    <row r="8988">
      <c r="B8988" s="17" t="s">
        <v>477</v>
      </c>
      <c r="K8988" s="18" t="s">
        <v>477</v>
      </c>
      <c r="N8988" s="17" t="str">
        <f>IFERROR(__xludf.DUMMYFUNCTION("""COMPUTED_VALUE"""),"")</f>
        <v/>
      </c>
      <c r="O8988" s="17"/>
    </row>
    <row r="8989">
      <c r="B8989" s="17" t="s">
        <v>477</v>
      </c>
      <c r="K8989" s="18" t="s">
        <v>477</v>
      </c>
      <c r="N8989" s="17" t="str">
        <f>IFERROR(__xludf.DUMMYFUNCTION("""COMPUTED_VALUE"""),"")</f>
        <v/>
      </c>
      <c r="O8989" s="17"/>
    </row>
    <row r="8990">
      <c r="B8990" s="17" t="s">
        <v>477</v>
      </c>
      <c r="K8990" s="18" t="s">
        <v>477</v>
      </c>
      <c r="N8990" s="17" t="str">
        <f>IFERROR(__xludf.DUMMYFUNCTION("""COMPUTED_VALUE"""),"")</f>
        <v/>
      </c>
      <c r="O8990" s="17"/>
    </row>
    <row r="8991">
      <c r="B8991" s="17" t="s">
        <v>477</v>
      </c>
      <c r="K8991" s="18" t="s">
        <v>477</v>
      </c>
      <c r="N8991" s="17" t="str">
        <f>IFERROR(__xludf.DUMMYFUNCTION("""COMPUTED_VALUE"""),"")</f>
        <v/>
      </c>
      <c r="O8991" s="17"/>
    </row>
    <row r="8992">
      <c r="B8992" s="17" t="s">
        <v>477</v>
      </c>
      <c r="K8992" s="18" t="s">
        <v>477</v>
      </c>
      <c r="N8992" s="17" t="str">
        <f>IFERROR(__xludf.DUMMYFUNCTION("""COMPUTED_VALUE"""),"")</f>
        <v/>
      </c>
      <c r="O8992" s="17"/>
    </row>
    <row r="8993">
      <c r="B8993" s="17" t="s">
        <v>477</v>
      </c>
      <c r="K8993" s="18" t="s">
        <v>477</v>
      </c>
      <c r="N8993" s="17" t="str">
        <f>IFERROR(__xludf.DUMMYFUNCTION("""COMPUTED_VALUE"""),"")</f>
        <v/>
      </c>
      <c r="O8993" s="17"/>
    </row>
    <row r="8994">
      <c r="B8994" s="17" t="s">
        <v>477</v>
      </c>
      <c r="K8994" s="18" t="s">
        <v>477</v>
      </c>
      <c r="N8994" s="17" t="str">
        <f>IFERROR(__xludf.DUMMYFUNCTION("""COMPUTED_VALUE"""),"")</f>
        <v/>
      </c>
      <c r="O8994" s="17"/>
    </row>
    <row r="8995">
      <c r="B8995" s="17" t="s">
        <v>477</v>
      </c>
      <c r="K8995" s="18" t="s">
        <v>477</v>
      </c>
      <c r="N8995" s="17" t="str">
        <f>IFERROR(__xludf.DUMMYFUNCTION("""COMPUTED_VALUE"""),"")</f>
        <v/>
      </c>
      <c r="O8995" s="17"/>
    </row>
    <row r="8996">
      <c r="B8996" s="17" t="s">
        <v>477</v>
      </c>
      <c r="K8996" s="18" t="s">
        <v>477</v>
      </c>
      <c r="N8996" s="17" t="str">
        <f>IFERROR(__xludf.DUMMYFUNCTION("""COMPUTED_VALUE"""),"")</f>
        <v/>
      </c>
      <c r="O8996" s="17"/>
    </row>
    <row r="8997">
      <c r="B8997" s="17" t="s">
        <v>477</v>
      </c>
      <c r="K8997" s="18" t="s">
        <v>477</v>
      </c>
      <c r="N8997" s="17" t="str">
        <f>IFERROR(__xludf.DUMMYFUNCTION("""COMPUTED_VALUE"""),"")</f>
        <v/>
      </c>
      <c r="O8997" s="17"/>
    </row>
    <row r="8998">
      <c r="B8998" s="17" t="s">
        <v>477</v>
      </c>
      <c r="K8998" s="18" t="s">
        <v>477</v>
      </c>
      <c r="N8998" s="17" t="str">
        <f>IFERROR(__xludf.DUMMYFUNCTION("""COMPUTED_VALUE"""),"")</f>
        <v/>
      </c>
      <c r="O8998" s="17"/>
    </row>
    <row r="8999">
      <c r="B8999" s="17" t="s">
        <v>477</v>
      </c>
      <c r="K8999" s="18" t="s">
        <v>477</v>
      </c>
      <c r="N8999" s="17" t="str">
        <f>IFERROR(__xludf.DUMMYFUNCTION("""COMPUTED_VALUE"""),"")</f>
        <v/>
      </c>
      <c r="O8999" s="17"/>
    </row>
    <row r="9000">
      <c r="B9000" s="17" t="s">
        <v>477</v>
      </c>
      <c r="K9000" s="18" t="s">
        <v>477</v>
      </c>
      <c r="N9000" s="17" t="str">
        <f>IFERROR(__xludf.DUMMYFUNCTION("""COMPUTED_VALUE"""),"")</f>
        <v/>
      </c>
      <c r="O9000" s="17"/>
    </row>
    <row r="9001">
      <c r="B9001" s="17" t="s">
        <v>477</v>
      </c>
      <c r="K9001" s="18" t="s">
        <v>477</v>
      </c>
      <c r="N9001" s="17" t="str">
        <f>IFERROR(__xludf.DUMMYFUNCTION("""COMPUTED_VALUE"""),"")</f>
        <v/>
      </c>
      <c r="O9001" s="17"/>
    </row>
    <row r="9002">
      <c r="B9002" s="17" t="s">
        <v>477</v>
      </c>
      <c r="K9002" s="18" t="s">
        <v>477</v>
      </c>
      <c r="N9002" s="17" t="str">
        <f>IFERROR(__xludf.DUMMYFUNCTION("""COMPUTED_VALUE"""),"")</f>
        <v/>
      </c>
      <c r="O9002" s="17"/>
    </row>
    <row r="9003">
      <c r="B9003" s="17" t="s">
        <v>477</v>
      </c>
      <c r="K9003" s="18" t="s">
        <v>477</v>
      </c>
      <c r="N9003" s="17" t="str">
        <f>IFERROR(__xludf.DUMMYFUNCTION("""COMPUTED_VALUE"""),"")</f>
        <v/>
      </c>
      <c r="O9003" s="17"/>
    </row>
    <row r="9004">
      <c r="B9004" s="17" t="s">
        <v>477</v>
      </c>
      <c r="K9004" s="18" t="s">
        <v>477</v>
      </c>
      <c r="N9004" s="17" t="str">
        <f>IFERROR(__xludf.DUMMYFUNCTION("""COMPUTED_VALUE"""),"")</f>
        <v/>
      </c>
      <c r="O9004" s="17"/>
    </row>
    <row r="9005">
      <c r="B9005" s="17" t="s">
        <v>477</v>
      </c>
      <c r="K9005" s="18" t="s">
        <v>477</v>
      </c>
      <c r="N9005" s="17" t="str">
        <f>IFERROR(__xludf.DUMMYFUNCTION("""COMPUTED_VALUE"""),"")</f>
        <v/>
      </c>
      <c r="O9005" s="17"/>
    </row>
    <row r="9006">
      <c r="B9006" s="17" t="s">
        <v>477</v>
      </c>
      <c r="K9006" s="18" t="s">
        <v>477</v>
      </c>
      <c r="N9006" s="17" t="str">
        <f>IFERROR(__xludf.DUMMYFUNCTION("""COMPUTED_VALUE"""),"")</f>
        <v/>
      </c>
      <c r="O9006" s="17"/>
    </row>
    <row r="9007">
      <c r="B9007" s="17" t="s">
        <v>477</v>
      </c>
      <c r="K9007" s="18" t="s">
        <v>477</v>
      </c>
      <c r="N9007" s="17" t="str">
        <f>IFERROR(__xludf.DUMMYFUNCTION("""COMPUTED_VALUE"""),"")</f>
        <v/>
      </c>
      <c r="O9007" s="17"/>
    </row>
    <row r="9008">
      <c r="B9008" s="17" t="s">
        <v>477</v>
      </c>
      <c r="K9008" s="18" t="s">
        <v>477</v>
      </c>
      <c r="N9008" s="17" t="str">
        <f>IFERROR(__xludf.DUMMYFUNCTION("""COMPUTED_VALUE"""),"")</f>
        <v/>
      </c>
      <c r="O9008" s="17"/>
    </row>
    <row r="9009">
      <c r="B9009" s="17" t="s">
        <v>477</v>
      </c>
      <c r="K9009" s="18" t="s">
        <v>477</v>
      </c>
      <c r="N9009" s="17" t="str">
        <f>IFERROR(__xludf.DUMMYFUNCTION("""COMPUTED_VALUE"""),"")</f>
        <v/>
      </c>
      <c r="O9009" s="17"/>
    </row>
    <row r="9010">
      <c r="B9010" s="17" t="s">
        <v>477</v>
      </c>
      <c r="K9010" s="18" t="s">
        <v>477</v>
      </c>
      <c r="N9010" s="17" t="str">
        <f>IFERROR(__xludf.DUMMYFUNCTION("""COMPUTED_VALUE"""),"")</f>
        <v/>
      </c>
      <c r="O9010" s="17"/>
    </row>
    <row r="9011">
      <c r="B9011" s="17" t="s">
        <v>477</v>
      </c>
      <c r="K9011" s="18" t="s">
        <v>477</v>
      </c>
      <c r="N9011" s="17" t="str">
        <f>IFERROR(__xludf.DUMMYFUNCTION("""COMPUTED_VALUE"""),"")</f>
        <v/>
      </c>
      <c r="O9011" s="17"/>
    </row>
    <row r="9012">
      <c r="B9012" s="17" t="s">
        <v>477</v>
      </c>
      <c r="K9012" s="18" t="s">
        <v>477</v>
      </c>
      <c r="N9012" s="17" t="str">
        <f>IFERROR(__xludf.DUMMYFUNCTION("""COMPUTED_VALUE"""),"")</f>
        <v/>
      </c>
      <c r="O9012" s="17"/>
    </row>
    <row r="9013">
      <c r="B9013" s="17" t="s">
        <v>477</v>
      </c>
      <c r="K9013" s="18" t="s">
        <v>477</v>
      </c>
      <c r="N9013" s="17" t="str">
        <f>IFERROR(__xludf.DUMMYFUNCTION("""COMPUTED_VALUE"""),"")</f>
        <v/>
      </c>
      <c r="O9013" s="17"/>
    </row>
    <row r="9014">
      <c r="B9014" s="17" t="s">
        <v>477</v>
      </c>
      <c r="K9014" s="18" t="s">
        <v>477</v>
      </c>
      <c r="N9014" s="17" t="str">
        <f>IFERROR(__xludf.DUMMYFUNCTION("""COMPUTED_VALUE"""),"")</f>
        <v/>
      </c>
      <c r="O9014" s="17"/>
    </row>
    <row r="9015">
      <c r="B9015" s="17" t="s">
        <v>477</v>
      </c>
      <c r="K9015" s="18" t="s">
        <v>477</v>
      </c>
      <c r="N9015" s="17" t="str">
        <f>IFERROR(__xludf.DUMMYFUNCTION("""COMPUTED_VALUE"""),"")</f>
        <v/>
      </c>
      <c r="O9015" s="17"/>
    </row>
    <row r="9016">
      <c r="B9016" s="17" t="s">
        <v>477</v>
      </c>
      <c r="K9016" s="18" t="s">
        <v>477</v>
      </c>
      <c r="N9016" s="17" t="str">
        <f>IFERROR(__xludf.DUMMYFUNCTION("""COMPUTED_VALUE"""),"")</f>
        <v/>
      </c>
      <c r="O9016" s="17"/>
    </row>
    <row r="9017">
      <c r="B9017" s="17" t="s">
        <v>477</v>
      </c>
      <c r="K9017" s="18" t="s">
        <v>477</v>
      </c>
      <c r="N9017" s="17" t="str">
        <f>IFERROR(__xludf.DUMMYFUNCTION("""COMPUTED_VALUE"""),"")</f>
        <v/>
      </c>
      <c r="O9017" s="17"/>
    </row>
    <row r="9018">
      <c r="B9018" s="17" t="s">
        <v>477</v>
      </c>
      <c r="K9018" s="18" t="s">
        <v>477</v>
      </c>
      <c r="N9018" s="17" t="str">
        <f>IFERROR(__xludf.DUMMYFUNCTION("""COMPUTED_VALUE"""),"")</f>
        <v/>
      </c>
      <c r="O9018" s="17"/>
    </row>
    <row r="9019">
      <c r="B9019" s="17" t="s">
        <v>477</v>
      </c>
      <c r="K9019" s="18" t="s">
        <v>477</v>
      </c>
      <c r="N9019" s="17" t="str">
        <f>IFERROR(__xludf.DUMMYFUNCTION("""COMPUTED_VALUE"""),"")</f>
        <v/>
      </c>
      <c r="O9019" s="17"/>
    </row>
    <row r="9020">
      <c r="B9020" s="17" t="s">
        <v>477</v>
      </c>
      <c r="K9020" s="18" t="s">
        <v>477</v>
      </c>
      <c r="N9020" s="17" t="str">
        <f>IFERROR(__xludf.DUMMYFUNCTION("""COMPUTED_VALUE"""),"")</f>
        <v/>
      </c>
      <c r="O9020" s="17"/>
    </row>
    <row r="9021">
      <c r="B9021" s="17" t="s">
        <v>477</v>
      </c>
      <c r="K9021" s="18" t="s">
        <v>477</v>
      </c>
      <c r="N9021" s="17" t="str">
        <f>IFERROR(__xludf.DUMMYFUNCTION("""COMPUTED_VALUE"""),"")</f>
        <v/>
      </c>
      <c r="O9021" s="17"/>
    </row>
    <row r="9022">
      <c r="B9022" s="17" t="s">
        <v>477</v>
      </c>
      <c r="K9022" s="18" t="s">
        <v>477</v>
      </c>
      <c r="N9022" s="17" t="str">
        <f>IFERROR(__xludf.DUMMYFUNCTION("""COMPUTED_VALUE"""),"")</f>
        <v/>
      </c>
      <c r="O9022" s="17"/>
    </row>
    <row r="9023">
      <c r="B9023" s="17" t="s">
        <v>477</v>
      </c>
      <c r="K9023" s="18" t="s">
        <v>477</v>
      </c>
      <c r="N9023" s="17" t="str">
        <f>IFERROR(__xludf.DUMMYFUNCTION("""COMPUTED_VALUE"""),"")</f>
        <v/>
      </c>
      <c r="O9023" s="17"/>
    </row>
    <row r="9024">
      <c r="B9024" s="17" t="s">
        <v>477</v>
      </c>
      <c r="K9024" s="18" t="s">
        <v>477</v>
      </c>
      <c r="N9024" s="17" t="str">
        <f>IFERROR(__xludf.DUMMYFUNCTION("""COMPUTED_VALUE"""),"")</f>
        <v/>
      </c>
      <c r="O9024" s="17"/>
    </row>
    <row r="9025">
      <c r="B9025" s="17" t="s">
        <v>477</v>
      </c>
      <c r="K9025" s="18" t="s">
        <v>477</v>
      </c>
      <c r="N9025" s="17" t="str">
        <f>IFERROR(__xludf.DUMMYFUNCTION("""COMPUTED_VALUE"""),"")</f>
        <v/>
      </c>
      <c r="O9025" s="17"/>
    </row>
    <row r="9026">
      <c r="B9026" s="17" t="s">
        <v>477</v>
      </c>
      <c r="K9026" s="18" t="s">
        <v>477</v>
      </c>
      <c r="N9026" s="17" t="str">
        <f>IFERROR(__xludf.DUMMYFUNCTION("""COMPUTED_VALUE"""),"")</f>
        <v/>
      </c>
      <c r="O9026" s="17"/>
    </row>
    <row r="9027">
      <c r="B9027" s="17" t="s">
        <v>477</v>
      </c>
      <c r="K9027" s="18" t="s">
        <v>477</v>
      </c>
      <c r="N9027" s="17" t="str">
        <f>IFERROR(__xludf.DUMMYFUNCTION("""COMPUTED_VALUE"""),"")</f>
        <v/>
      </c>
      <c r="O9027" s="17"/>
    </row>
    <row r="9028">
      <c r="B9028" s="17" t="s">
        <v>477</v>
      </c>
      <c r="K9028" s="18" t="s">
        <v>477</v>
      </c>
      <c r="N9028" s="17" t="str">
        <f>IFERROR(__xludf.DUMMYFUNCTION("""COMPUTED_VALUE"""),"")</f>
        <v/>
      </c>
      <c r="O9028" s="17"/>
    </row>
    <row r="9029">
      <c r="B9029" s="17" t="s">
        <v>477</v>
      </c>
      <c r="K9029" s="18" t="s">
        <v>477</v>
      </c>
      <c r="N9029" s="17" t="str">
        <f>IFERROR(__xludf.DUMMYFUNCTION("""COMPUTED_VALUE"""),"")</f>
        <v/>
      </c>
      <c r="O9029" s="17"/>
    </row>
    <row r="9030">
      <c r="B9030" s="17" t="s">
        <v>477</v>
      </c>
      <c r="K9030" s="18" t="s">
        <v>477</v>
      </c>
      <c r="N9030" s="17" t="str">
        <f>IFERROR(__xludf.DUMMYFUNCTION("""COMPUTED_VALUE"""),"")</f>
        <v/>
      </c>
      <c r="O9030" s="17"/>
    </row>
    <row r="9031">
      <c r="B9031" s="17" t="s">
        <v>477</v>
      </c>
      <c r="K9031" s="18" t="s">
        <v>477</v>
      </c>
      <c r="N9031" s="17" t="str">
        <f>IFERROR(__xludf.DUMMYFUNCTION("""COMPUTED_VALUE"""),"")</f>
        <v/>
      </c>
      <c r="O9031" s="17"/>
    </row>
    <row r="9032">
      <c r="B9032" s="17" t="s">
        <v>477</v>
      </c>
      <c r="K9032" s="18" t="s">
        <v>477</v>
      </c>
      <c r="N9032" s="17" t="str">
        <f>IFERROR(__xludf.DUMMYFUNCTION("""COMPUTED_VALUE"""),"")</f>
        <v/>
      </c>
      <c r="O9032" s="17"/>
    </row>
    <row r="9033">
      <c r="B9033" s="17" t="s">
        <v>477</v>
      </c>
      <c r="K9033" s="18" t="s">
        <v>477</v>
      </c>
      <c r="N9033" s="17" t="str">
        <f>IFERROR(__xludf.DUMMYFUNCTION("""COMPUTED_VALUE"""),"")</f>
        <v/>
      </c>
      <c r="O9033" s="17"/>
    </row>
    <row r="9034">
      <c r="B9034" s="17" t="s">
        <v>477</v>
      </c>
      <c r="K9034" s="18" t="s">
        <v>477</v>
      </c>
      <c r="N9034" s="17" t="str">
        <f>IFERROR(__xludf.DUMMYFUNCTION("""COMPUTED_VALUE"""),"")</f>
        <v/>
      </c>
      <c r="O9034" s="17"/>
    </row>
    <row r="9035">
      <c r="B9035" s="17" t="s">
        <v>477</v>
      </c>
      <c r="K9035" s="18" t="s">
        <v>477</v>
      </c>
      <c r="N9035" s="17" t="str">
        <f>IFERROR(__xludf.DUMMYFUNCTION("""COMPUTED_VALUE"""),"")</f>
        <v/>
      </c>
      <c r="O9035" s="17"/>
    </row>
    <row r="9036">
      <c r="B9036" s="17" t="s">
        <v>477</v>
      </c>
      <c r="K9036" s="18" t="s">
        <v>477</v>
      </c>
      <c r="N9036" s="17" t="str">
        <f>IFERROR(__xludf.DUMMYFUNCTION("""COMPUTED_VALUE"""),"")</f>
        <v/>
      </c>
      <c r="O9036" s="17"/>
    </row>
    <row r="9037">
      <c r="B9037" s="17" t="s">
        <v>477</v>
      </c>
      <c r="K9037" s="18" t="s">
        <v>477</v>
      </c>
      <c r="N9037" s="17" t="str">
        <f>IFERROR(__xludf.DUMMYFUNCTION("""COMPUTED_VALUE"""),"")</f>
        <v/>
      </c>
      <c r="O9037" s="17"/>
    </row>
    <row r="9038">
      <c r="B9038" s="17" t="s">
        <v>477</v>
      </c>
      <c r="K9038" s="18" t="s">
        <v>477</v>
      </c>
      <c r="N9038" s="17" t="str">
        <f>IFERROR(__xludf.DUMMYFUNCTION("""COMPUTED_VALUE"""),"")</f>
        <v/>
      </c>
      <c r="O9038" s="17"/>
    </row>
    <row r="9039">
      <c r="B9039" s="17" t="s">
        <v>477</v>
      </c>
      <c r="K9039" s="18" t="s">
        <v>477</v>
      </c>
      <c r="N9039" s="17" t="str">
        <f>IFERROR(__xludf.DUMMYFUNCTION("""COMPUTED_VALUE"""),"")</f>
        <v/>
      </c>
      <c r="O9039" s="17"/>
    </row>
    <row r="9040">
      <c r="B9040" s="17" t="s">
        <v>477</v>
      </c>
      <c r="K9040" s="18" t="s">
        <v>477</v>
      </c>
      <c r="N9040" s="17" t="str">
        <f>IFERROR(__xludf.DUMMYFUNCTION("""COMPUTED_VALUE"""),"")</f>
        <v/>
      </c>
      <c r="O9040" s="17"/>
    </row>
    <row r="9041">
      <c r="B9041" s="17" t="s">
        <v>477</v>
      </c>
      <c r="K9041" s="18" t="s">
        <v>477</v>
      </c>
      <c r="N9041" s="17" t="str">
        <f>IFERROR(__xludf.DUMMYFUNCTION("""COMPUTED_VALUE"""),"")</f>
        <v/>
      </c>
      <c r="O9041" s="17"/>
    </row>
    <row r="9042">
      <c r="B9042" s="17" t="s">
        <v>477</v>
      </c>
      <c r="K9042" s="18" t="s">
        <v>477</v>
      </c>
      <c r="N9042" s="17" t="str">
        <f>IFERROR(__xludf.DUMMYFUNCTION("""COMPUTED_VALUE"""),"")</f>
        <v/>
      </c>
      <c r="O9042" s="17"/>
    </row>
    <row r="9043">
      <c r="B9043" s="17" t="s">
        <v>477</v>
      </c>
      <c r="K9043" s="18" t="s">
        <v>477</v>
      </c>
      <c r="N9043" s="17" t="str">
        <f>IFERROR(__xludf.DUMMYFUNCTION("""COMPUTED_VALUE"""),"")</f>
        <v/>
      </c>
      <c r="O9043" s="17"/>
    </row>
    <row r="9044">
      <c r="B9044" s="17" t="s">
        <v>477</v>
      </c>
      <c r="K9044" s="18" t="s">
        <v>477</v>
      </c>
      <c r="N9044" s="17" t="str">
        <f>IFERROR(__xludf.DUMMYFUNCTION("""COMPUTED_VALUE"""),"")</f>
        <v/>
      </c>
      <c r="O9044" s="17"/>
    </row>
    <row r="9045">
      <c r="B9045" s="17" t="s">
        <v>477</v>
      </c>
      <c r="K9045" s="18" t="s">
        <v>477</v>
      </c>
      <c r="N9045" s="17" t="str">
        <f>IFERROR(__xludf.DUMMYFUNCTION("""COMPUTED_VALUE"""),"")</f>
        <v/>
      </c>
      <c r="O9045" s="17"/>
    </row>
    <row r="9046">
      <c r="B9046" s="17" t="s">
        <v>477</v>
      </c>
      <c r="K9046" s="18" t="s">
        <v>477</v>
      </c>
      <c r="N9046" s="17" t="str">
        <f>IFERROR(__xludf.DUMMYFUNCTION("""COMPUTED_VALUE"""),"")</f>
        <v/>
      </c>
      <c r="O9046" s="17"/>
    </row>
    <row r="9047">
      <c r="B9047" s="17" t="s">
        <v>477</v>
      </c>
      <c r="K9047" s="18" t="s">
        <v>477</v>
      </c>
      <c r="N9047" s="17" t="str">
        <f>IFERROR(__xludf.DUMMYFUNCTION("""COMPUTED_VALUE"""),"")</f>
        <v/>
      </c>
      <c r="O9047" s="17"/>
    </row>
    <row r="9048">
      <c r="B9048" s="17" t="s">
        <v>477</v>
      </c>
      <c r="K9048" s="18" t="s">
        <v>477</v>
      </c>
      <c r="N9048" s="17" t="str">
        <f>IFERROR(__xludf.DUMMYFUNCTION("""COMPUTED_VALUE"""),"")</f>
        <v/>
      </c>
      <c r="O9048" s="17"/>
    </row>
    <row r="9049">
      <c r="B9049" s="17" t="s">
        <v>477</v>
      </c>
      <c r="K9049" s="18" t="s">
        <v>477</v>
      </c>
      <c r="N9049" s="17" t="str">
        <f>IFERROR(__xludf.DUMMYFUNCTION("""COMPUTED_VALUE"""),"")</f>
        <v/>
      </c>
      <c r="O9049" s="17"/>
    </row>
    <row r="9050">
      <c r="B9050" s="17" t="s">
        <v>477</v>
      </c>
      <c r="K9050" s="18" t="s">
        <v>477</v>
      </c>
      <c r="N9050" s="17" t="str">
        <f>IFERROR(__xludf.DUMMYFUNCTION("""COMPUTED_VALUE"""),"")</f>
        <v/>
      </c>
      <c r="O9050" s="17"/>
    </row>
    <row r="9051">
      <c r="B9051" s="17" t="s">
        <v>477</v>
      </c>
      <c r="K9051" s="18" t="s">
        <v>477</v>
      </c>
      <c r="N9051" s="17" t="str">
        <f>IFERROR(__xludf.DUMMYFUNCTION("""COMPUTED_VALUE"""),"")</f>
        <v/>
      </c>
      <c r="O9051" s="17"/>
    </row>
    <row r="9052">
      <c r="B9052" s="17" t="s">
        <v>477</v>
      </c>
      <c r="K9052" s="18" t="s">
        <v>477</v>
      </c>
      <c r="N9052" s="17" t="str">
        <f>IFERROR(__xludf.DUMMYFUNCTION("""COMPUTED_VALUE"""),"")</f>
        <v/>
      </c>
      <c r="O9052" s="17"/>
    </row>
    <row r="9053">
      <c r="B9053" s="17" t="s">
        <v>477</v>
      </c>
      <c r="K9053" s="18" t="s">
        <v>477</v>
      </c>
      <c r="N9053" s="17" t="str">
        <f>IFERROR(__xludf.DUMMYFUNCTION("""COMPUTED_VALUE"""),"")</f>
        <v/>
      </c>
      <c r="O9053" s="17"/>
    </row>
    <row r="9054">
      <c r="B9054" s="17" t="s">
        <v>477</v>
      </c>
      <c r="K9054" s="18" t="s">
        <v>477</v>
      </c>
      <c r="N9054" s="17" t="str">
        <f>IFERROR(__xludf.DUMMYFUNCTION("""COMPUTED_VALUE"""),"")</f>
        <v/>
      </c>
      <c r="O9054" s="17"/>
    </row>
    <row r="9055">
      <c r="B9055" s="17" t="s">
        <v>477</v>
      </c>
      <c r="K9055" s="18" t="s">
        <v>477</v>
      </c>
      <c r="N9055" s="17" t="str">
        <f>IFERROR(__xludf.DUMMYFUNCTION("""COMPUTED_VALUE"""),"")</f>
        <v/>
      </c>
      <c r="O9055" s="17"/>
    </row>
    <row r="9056">
      <c r="B9056" s="17" t="s">
        <v>477</v>
      </c>
      <c r="K9056" s="18" t="s">
        <v>477</v>
      </c>
      <c r="N9056" s="17" t="str">
        <f>IFERROR(__xludf.DUMMYFUNCTION("""COMPUTED_VALUE"""),"")</f>
        <v/>
      </c>
      <c r="O9056" s="17"/>
    </row>
    <row r="9057">
      <c r="B9057" s="17" t="s">
        <v>477</v>
      </c>
      <c r="K9057" s="18" t="s">
        <v>477</v>
      </c>
      <c r="N9057" s="17" t="str">
        <f>IFERROR(__xludf.DUMMYFUNCTION("""COMPUTED_VALUE"""),"")</f>
        <v/>
      </c>
      <c r="O9057" s="17"/>
    </row>
    <row r="9058">
      <c r="B9058" s="17" t="s">
        <v>477</v>
      </c>
      <c r="K9058" s="18" t="s">
        <v>477</v>
      </c>
      <c r="N9058" s="17" t="str">
        <f>IFERROR(__xludf.DUMMYFUNCTION("""COMPUTED_VALUE"""),"")</f>
        <v/>
      </c>
      <c r="O9058" s="17"/>
    </row>
    <row r="9059">
      <c r="B9059" s="17" t="s">
        <v>477</v>
      </c>
      <c r="K9059" s="18" t="s">
        <v>477</v>
      </c>
      <c r="N9059" s="17" t="str">
        <f>IFERROR(__xludf.DUMMYFUNCTION("""COMPUTED_VALUE"""),"")</f>
        <v/>
      </c>
      <c r="O9059" s="17"/>
    </row>
    <row r="9060">
      <c r="B9060" s="17" t="s">
        <v>477</v>
      </c>
      <c r="K9060" s="18" t="s">
        <v>477</v>
      </c>
      <c r="N9060" s="17" t="str">
        <f>IFERROR(__xludf.DUMMYFUNCTION("""COMPUTED_VALUE"""),"")</f>
        <v/>
      </c>
      <c r="O9060" s="17"/>
    </row>
    <row r="9061">
      <c r="B9061" s="17" t="s">
        <v>477</v>
      </c>
      <c r="K9061" s="18" t="s">
        <v>477</v>
      </c>
      <c r="N9061" s="17" t="str">
        <f>IFERROR(__xludf.DUMMYFUNCTION("""COMPUTED_VALUE"""),"")</f>
        <v/>
      </c>
      <c r="O9061" s="17"/>
    </row>
    <row r="9062">
      <c r="B9062" s="17" t="s">
        <v>477</v>
      </c>
      <c r="K9062" s="18" t="s">
        <v>477</v>
      </c>
      <c r="N9062" s="17" t="str">
        <f>IFERROR(__xludf.DUMMYFUNCTION("""COMPUTED_VALUE"""),"")</f>
        <v/>
      </c>
      <c r="O9062" s="17"/>
    </row>
    <row r="9063">
      <c r="B9063" s="17" t="s">
        <v>477</v>
      </c>
      <c r="K9063" s="18" t="s">
        <v>477</v>
      </c>
      <c r="N9063" s="17" t="str">
        <f>IFERROR(__xludf.DUMMYFUNCTION("""COMPUTED_VALUE"""),"")</f>
        <v/>
      </c>
      <c r="O9063" s="17"/>
    </row>
    <row r="9064">
      <c r="B9064" s="17" t="s">
        <v>477</v>
      </c>
      <c r="K9064" s="18" t="s">
        <v>477</v>
      </c>
      <c r="N9064" s="17" t="str">
        <f>IFERROR(__xludf.DUMMYFUNCTION("""COMPUTED_VALUE"""),"")</f>
        <v/>
      </c>
      <c r="O9064" s="17"/>
    </row>
    <row r="9065">
      <c r="B9065" s="17" t="s">
        <v>477</v>
      </c>
      <c r="K9065" s="18" t="s">
        <v>477</v>
      </c>
      <c r="N9065" s="17" t="str">
        <f>IFERROR(__xludf.DUMMYFUNCTION("""COMPUTED_VALUE"""),"")</f>
        <v/>
      </c>
      <c r="O9065" s="17"/>
    </row>
    <row r="9066">
      <c r="B9066" s="17" t="s">
        <v>477</v>
      </c>
      <c r="K9066" s="18" t="s">
        <v>477</v>
      </c>
      <c r="N9066" s="17" t="str">
        <f>IFERROR(__xludf.DUMMYFUNCTION("""COMPUTED_VALUE"""),"")</f>
        <v/>
      </c>
      <c r="O9066" s="17"/>
    </row>
    <row r="9067">
      <c r="B9067" s="17" t="s">
        <v>477</v>
      </c>
      <c r="K9067" s="18" t="s">
        <v>477</v>
      </c>
      <c r="N9067" s="17" t="str">
        <f>IFERROR(__xludf.DUMMYFUNCTION("""COMPUTED_VALUE"""),"")</f>
        <v/>
      </c>
      <c r="O9067" s="17"/>
    </row>
    <row r="9068">
      <c r="B9068" s="17" t="s">
        <v>477</v>
      </c>
      <c r="K9068" s="18" t="s">
        <v>477</v>
      </c>
      <c r="N9068" s="17" t="str">
        <f>IFERROR(__xludf.DUMMYFUNCTION("""COMPUTED_VALUE"""),"")</f>
        <v/>
      </c>
      <c r="O9068" s="17"/>
    </row>
    <row r="9069">
      <c r="B9069" s="17" t="s">
        <v>477</v>
      </c>
      <c r="K9069" s="18" t="s">
        <v>477</v>
      </c>
      <c r="N9069" s="17" t="str">
        <f>IFERROR(__xludf.DUMMYFUNCTION("""COMPUTED_VALUE"""),"")</f>
        <v/>
      </c>
      <c r="O9069" s="17"/>
    </row>
    <row r="9070">
      <c r="B9070" s="17" t="s">
        <v>477</v>
      </c>
      <c r="K9070" s="18" t="s">
        <v>477</v>
      </c>
      <c r="N9070" s="17" t="str">
        <f>IFERROR(__xludf.DUMMYFUNCTION("""COMPUTED_VALUE"""),"")</f>
        <v/>
      </c>
      <c r="O9070" s="17"/>
    </row>
    <row r="9071">
      <c r="B9071" s="17" t="s">
        <v>477</v>
      </c>
      <c r="K9071" s="18" t="s">
        <v>477</v>
      </c>
      <c r="N9071" s="17" t="str">
        <f>IFERROR(__xludf.DUMMYFUNCTION("""COMPUTED_VALUE"""),"")</f>
        <v/>
      </c>
      <c r="O9071" s="17"/>
    </row>
    <row r="9072">
      <c r="B9072" s="17" t="s">
        <v>477</v>
      </c>
      <c r="K9072" s="18" t="s">
        <v>477</v>
      </c>
      <c r="N9072" s="17" t="str">
        <f>IFERROR(__xludf.DUMMYFUNCTION("""COMPUTED_VALUE"""),"")</f>
        <v/>
      </c>
      <c r="O9072" s="17"/>
    </row>
    <row r="9073">
      <c r="B9073" s="17" t="s">
        <v>477</v>
      </c>
      <c r="K9073" s="18" t="s">
        <v>477</v>
      </c>
      <c r="N9073" s="17" t="str">
        <f>IFERROR(__xludf.DUMMYFUNCTION("""COMPUTED_VALUE"""),"")</f>
        <v/>
      </c>
      <c r="O9073" s="17"/>
    </row>
    <row r="9074">
      <c r="B9074" s="17" t="s">
        <v>477</v>
      </c>
      <c r="K9074" s="18" t="s">
        <v>477</v>
      </c>
      <c r="N9074" s="17" t="str">
        <f>IFERROR(__xludf.DUMMYFUNCTION("""COMPUTED_VALUE"""),"")</f>
        <v/>
      </c>
      <c r="O9074" s="17"/>
    </row>
    <row r="9075">
      <c r="B9075" s="17" t="s">
        <v>477</v>
      </c>
      <c r="K9075" s="18" t="s">
        <v>477</v>
      </c>
      <c r="N9075" s="17" t="str">
        <f>IFERROR(__xludf.DUMMYFUNCTION("""COMPUTED_VALUE"""),"")</f>
        <v/>
      </c>
      <c r="O9075" s="17"/>
    </row>
    <row r="9076">
      <c r="B9076" s="17" t="s">
        <v>477</v>
      </c>
      <c r="K9076" s="18" t="s">
        <v>477</v>
      </c>
      <c r="N9076" s="17" t="str">
        <f>IFERROR(__xludf.DUMMYFUNCTION("""COMPUTED_VALUE"""),"")</f>
        <v/>
      </c>
      <c r="O9076" s="17"/>
    </row>
    <row r="9077">
      <c r="B9077" s="17" t="s">
        <v>477</v>
      </c>
      <c r="K9077" s="18" t="s">
        <v>477</v>
      </c>
      <c r="N9077" s="17" t="str">
        <f>IFERROR(__xludf.DUMMYFUNCTION("""COMPUTED_VALUE"""),"")</f>
        <v/>
      </c>
      <c r="O9077" s="17"/>
    </row>
    <row r="9078">
      <c r="B9078" s="17" t="s">
        <v>477</v>
      </c>
      <c r="K9078" s="18" t="s">
        <v>477</v>
      </c>
      <c r="N9078" s="17" t="str">
        <f>IFERROR(__xludf.DUMMYFUNCTION("""COMPUTED_VALUE"""),"")</f>
        <v/>
      </c>
      <c r="O9078" s="17"/>
    </row>
    <row r="9079">
      <c r="B9079" s="17" t="s">
        <v>477</v>
      </c>
      <c r="K9079" s="18" t="s">
        <v>477</v>
      </c>
      <c r="N9079" s="17" t="str">
        <f>IFERROR(__xludf.DUMMYFUNCTION("""COMPUTED_VALUE"""),"")</f>
        <v/>
      </c>
      <c r="O9079" s="17"/>
    </row>
    <row r="9080">
      <c r="B9080" s="17" t="s">
        <v>477</v>
      </c>
      <c r="K9080" s="18" t="s">
        <v>477</v>
      </c>
      <c r="N9080" s="17" t="str">
        <f>IFERROR(__xludf.DUMMYFUNCTION("""COMPUTED_VALUE"""),"")</f>
        <v/>
      </c>
      <c r="O9080" s="17"/>
    </row>
    <row r="9081">
      <c r="B9081" s="17" t="s">
        <v>477</v>
      </c>
      <c r="K9081" s="18" t="s">
        <v>477</v>
      </c>
      <c r="N9081" s="17" t="str">
        <f>IFERROR(__xludf.DUMMYFUNCTION("""COMPUTED_VALUE"""),"")</f>
        <v/>
      </c>
      <c r="O9081" s="17"/>
    </row>
    <row r="9082">
      <c r="B9082" s="17" t="s">
        <v>477</v>
      </c>
      <c r="K9082" s="18" t="s">
        <v>477</v>
      </c>
      <c r="N9082" s="17" t="str">
        <f>IFERROR(__xludf.DUMMYFUNCTION("""COMPUTED_VALUE"""),"")</f>
        <v/>
      </c>
      <c r="O9082" s="17"/>
    </row>
    <row r="9083">
      <c r="B9083" s="17" t="s">
        <v>477</v>
      </c>
      <c r="K9083" s="18" t="s">
        <v>477</v>
      </c>
      <c r="N9083" s="17" t="str">
        <f>IFERROR(__xludf.DUMMYFUNCTION("""COMPUTED_VALUE"""),"")</f>
        <v/>
      </c>
      <c r="O9083" s="17"/>
    </row>
    <row r="9084">
      <c r="B9084" s="17" t="s">
        <v>477</v>
      </c>
      <c r="K9084" s="18" t="s">
        <v>477</v>
      </c>
      <c r="N9084" s="17" t="str">
        <f>IFERROR(__xludf.DUMMYFUNCTION("""COMPUTED_VALUE"""),"")</f>
        <v/>
      </c>
      <c r="O9084" s="17"/>
    </row>
    <row r="9085">
      <c r="B9085" s="17" t="s">
        <v>477</v>
      </c>
      <c r="K9085" s="18" t="s">
        <v>477</v>
      </c>
      <c r="N9085" s="17" t="str">
        <f>IFERROR(__xludf.DUMMYFUNCTION("""COMPUTED_VALUE"""),"")</f>
        <v/>
      </c>
      <c r="O9085" s="17"/>
    </row>
    <row r="9086">
      <c r="B9086" s="17" t="s">
        <v>477</v>
      </c>
      <c r="K9086" s="18" t="s">
        <v>477</v>
      </c>
      <c r="N9086" s="17" t="str">
        <f>IFERROR(__xludf.DUMMYFUNCTION("""COMPUTED_VALUE"""),"")</f>
        <v/>
      </c>
      <c r="O9086" s="17"/>
    </row>
    <row r="9087">
      <c r="B9087" s="17" t="s">
        <v>477</v>
      </c>
      <c r="K9087" s="18" t="s">
        <v>477</v>
      </c>
      <c r="N9087" s="17" t="str">
        <f>IFERROR(__xludf.DUMMYFUNCTION("""COMPUTED_VALUE"""),"")</f>
        <v/>
      </c>
      <c r="O9087" s="17"/>
    </row>
    <row r="9088">
      <c r="B9088" s="17" t="s">
        <v>477</v>
      </c>
      <c r="K9088" s="18" t="s">
        <v>477</v>
      </c>
      <c r="N9088" s="17" t="str">
        <f>IFERROR(__xludf.DUMMYFUNCTION("""COMPUTED_VALUE"""),"")</f>
        <v/>
      </c>
      <c r="O9088" s="17"/>
    </row>
    <row r="9089">
      <c r="B9089" s="17" t="s">
        <v>477</v>
      </c>
      <c r="K9089" s="18" t="s">
        <v>477</v>
      </c>
      <c r="N9089" s="17" t="str">
        <f>IFERROR(__xludf.DUMMYFUNCTION("""COMPUTED_VALUE"""),"")</f>
        <v/>
      </c>
      <c r="O9089" s="17"/>
    </row>
    <row r="9090">
      <c r="B9090" s="17" t="s">
        <v>477</v>
      </c>
      <c r="K9090" s="18" t="s">
        <v>477</v>
      </c>
      <c r="N9090" s="17" t="str">
        <f>IFERROR(__xludf.DUMMYFUNCTION("""COMPUTED_VALUE"""),"")</f>
        <v/>
      </c>
      <c r="O9090" s="17"/>
    </row>
    <row r="9091">
      <c r="B9091" s="17" t="s">
        <v>477</v>
      </c>
      <c r="K9091" s="18" t="s">
        <v>477</v>
      </c>
      <c r="N9091" s="17" t="str">
        <f>IFERROR(__xludf.DUMMYFUNCTION("""COMPUTED_VALUE"""),"")</f>
        <v/>
      </c>
      <c r="O9091" s="17"/>
    </row>
    <row r="9092">
      <c r="B9092" s="17" t="s">
        <v>477</v>
      </c>
      <c r="K9092" s="18" t="s">
        <v>477</v>
      </c>
      <c r="N9092" s="17" t="str">
        <f>IFERROR(__xludf.DUMMYFUNCTION("""COMPUTED_VALUE"""),"")</f>
        <v/>
      </c>
      <c r="O9092" s="17"/>
    </row>
    <row r="9093">
      <c r="B9093" s="17" t="s">
        <v>477</v>
      </c>
      <c r="K9093" s="18" t="s">
        <v>477</v>
      </c>
      <c r="N9093" s="17" t="str">
        <f>IFERROR(__xludf.DUMMYFUNCTION("""COMPUTED_VALUE"""),"")</f>
        <v/>
      </c>
      <c r="O9093" s="17"/>
    </row>
    <row r="9094">
      <c r="B9094" s="17" t="s">
        <v>477</v>
      </c>
      <c r="K9094" s="18" t="s">
        <v>477</v>
      </c>
      <c r="N9094" s="17" t="str">
        <f>IFERROR(__xludf.DUMMYFUNCTION("""COMPUTED_VALUE"""),"")</f>
        <v/>
      </c>
      <c r="O9094" s="17"/>
    </row>
    <row r="9095">
      <c r="B9095" s="17" t="s">
        <v>477</v>
      </c>
      <c r="K9095" s="18" t="s">
        <v>477</v>
      </c>
      <c r="N9095" s="17" t="str">
        <f>IFERROR(__xludf.DUMMYFUNCTION("""COMPUTED_VALUE"""),"")</f>
        <v/>
      </c>
      <c r="O9095" s="17"/>
    </row>
    <row r="9096">
      <c r="B9096" s="17" t="s">
        <v>477</v>
      </c>
      <c r="K9096" s="18" t="s">
        <v>477</v>
      </c>
      <c r="N9096" s="17" t="str">
        <f>IFERROR(__xludf.DUMMYFUNCTION("""COMPUTED_VALUE"""),"")</f>
        <v/>
      </c>
      <c r="O9096" s="17"/>
    </row>
    <row r="9097">
      <c r="B9097" s="17" t="s">
        <v>477</v>
      </c>
      <c r="K9097" s="18" t="s">
        <v>477</v>
      </c>
      <c r="N9097" s="17" t="str">
        <f>IFERROR(__xludf.DUMMYFUNCTION("""COMPUTED_VALUE"""),"")</f>
        <v/>
      </c>
      <c r="O9097" s="17"/>
    </row>
    <row r="9098">
      <c r="B9098" s="17" t="s">
        <v>477</v>
      </c>
      <c r="K9098" s="18" t="s">
        <v>477</v>
      </c>
      <c r="N9098" s="17" t="str">
        <f>IFERROR(__xludf.DUMMYFUNCTION("""COMPUTED_VALUE"""),"")</f>
        <v/>
      </c>
      <c r="O9098" s="17"/>
    </row>
    <row r="9099">
      <c r="B9099" s="17" t="s">
        <v>477</v>
      </c>
      <c r="K9099" s="18" t="s">
        <v>477</v>
      </c>
      <c r="N9099" s="17" t="str">
        <f>IFERROR(__xludf.DUMMYFUNCTION("""COMPUTED_VALUE"""),"")</f>
        <v/>
      </c>
      <c r="O9099" s="17"/>
    </row>
    <row r="9100">
      <c r="B9100" s="17" t="s">
        <v>477</v>
      </c>
      <c r="K9100" s="18" t="s">
        <v>477</v>
      </c>
      <c r="N9100" s="17" t="str">
        <f>IFERROR(__xludf.DUMMYFUNCTION("""COMPUTED_VALUE"""),"")</f>
        <v/>
      </c>
      <c r="O9100" s="17"/>
    </row>
    <row r="9101">
      <c r="B9101" s="17" t="s">
        <v>477</v>
      </c>
      <c r="K9101" s="18" t="s">
        <v>477</v>
      </c>
      <c r="N9101" s="17" t="str">
        <f>IFERROR(__xludf.DUMMYFUNCTION("""COMPUTED_VALUE"""),"")</f>
        <v/>
      </c>
      <c r="O9101" s="17"/>
    </row>
    <row r="9102">
      <c r="B9102" s="17" t="s">
        <v>477</v>
      </c>
      <c r="K9102" s="18" t="s">
        <v>477</v>
      </c>
      <c r="N9102" s="17" t="str">
        <f>IFERROR(__xludf.DUMMYFUNCTION("""COMPUTED_VALUE"""),"")</f>
        <v/>
      </c>
      <c r="O9102" s="17"/>
    </row>
    <row r="9103">
      <c r="B9103" s="17" t="s">
        <v>477</v>
      </c>
      <c r="K9103" s="18" t="s">
        <v>477</v>
      </c>
      <c r="N9103" s="17" t="str">
        <f>IFERROR(__xludf.DUMMYFUNCTION("""COMPUTED_VALUE"""),"")</f>
        <v/>
      </c>
      <c r="O9103" s="17"/>
    </row>
    <row r="9104">
      <c r="B9104" s="17" t="s">
        <v>477</v>
      </c>
      <c r="K9104" s="18" t="s">
        <v>477</v>
      </c>
      <c r="N9104" s="17" t="str">
        <f>IFERROR(__xludf.DUMMYFUNCTION("""COMPUTED_VALUE"""),"")</f>
        <v/>
      </c>
      <c r="O9104" s="17"/>
    </row>
    <row r="9105">
      <c r="B9105" s="17" t="s">
        <v>477</v>
      </c>
      <c r="K9105" s="18" t="s">
        <v>477</v>
      </c>
      <c r="N9105" s="17" t="str">
        <f>IFERROR(__xludf.DUMMYFUNCTION("""COMPUTED_VALUE"""),"")</f>
        <v/>
      </c>
      <c r="O9105" s="17"/>
    </row>
    <row r="9106">
      <c r="B9106" s="17" t="s">
        <v>477</v>
      </c>
      <c r="K9106" s="18" t="s">
        <v>477</v>
      </c>
      <c r="N9106" s="17" t="str">
        <f>IFERROR(__xludf.DUMMYFUNCTION("""COMPUTED_VALUE"""),"")</f>
        <v/>
      </c>
      <c r="O9106" s="17"/>
    </row>
    <row r="9107">
      <c r="B9107" s="17" t="s">
        <v>477</v>
      </c>
      <c r="K9107" s="18" t="s">
        <v>477</v>
      </c>
      <c r="N9107" s="17" t="str">
        <f>IFERROR(__xludf.DUMMYFUNCTION("""COMPUTED_VALUE"""),"")</f>
        <v/>
      </c>
      <c r="O9107" s="17"/>
    </row>
    <row r="9108">
      <c r="B9108" s="17" t="s">
        <v>477</v>
      </c>
      <c r="K9108" s="18" t="s">
        <v>477</v>
      </c>
      <c r="N9108" s="17" t="str">
        <f>IFERROR(__xludf.DUMMYFUNCTION("""COMPUTED_VALUE"""),"")</f>
        <v/>
      </c>
      <c r="O9108" s="17"/>
    </row>
    <row r="9109">
      <c r="B9109" s="17" t="s">
        <v>477</v>
      </c>
      <c r="K9109" s="18" t="s">
        <v>477</v>
      </c>
      <c r="N9109" s="17" t="str">
        <f>IFERROR(__xludf.DUMMYFUNCTION("""COMPUTED_VALUE"""),"")</f>
        <v/>
      </c>
      <c r="O9109" s="17"/>
    </row>
    <row r="9110">
      <c r="B9110" s="17" t="s">
        <v>477</v>
      </c>
      <c r="K9110" s="18" t="s">
        <v>477</v>
      </c>
      <c r="N9110" s="17" t="str">
        <f>IFERROR(__xludf.DUMMYFUNCTION("""COMPUTED_VALUE"""),"")</f>
        <v/>
      </c>
      <c r="O9110" s="17"/>
    </row>
    <row r="9111">
      <c r="B9111" s="17" t="s">
        <v>477</v>
      </c>
      <c r="K9111" s="18" t="s">
        <v>477</v>
      </c>
      <c r="N9111" s="17" t="str">
        <f>IFERROR(__xludf.DUMMYFUNCTION("""COMPUTED_VALUE"""),"")</f>
        <v/>
      </c>
      <c r="O9111" s="17"/>
    </row>
    <row r="9112">
      <c r="B9112" s="17" t="s">
        <v>477</v>
      </c>
      <c r="K9112" s="18" t="s">
        <v>477</v>
      </c>
      <c r="N9112" s="17" t="str">
        <f>IFERROR(__xludf.DUMMYFUNCTION("""COMPUTED_VALUE"""),"")</f>
        <v/>
      </c>
      <c r="O9112" s="17"/>
    </row>
    <row r="9113">
      <c r="B9113" s="17" t="s">
        <v>477</v>
      </c>
      <c r="K9113" s="18" t="s">
        <v>477</v>
      </c>
      <c r="N9113" s="17" t="str">
        <f>IFERROR(__xludf.DUMMYFUNCTION("""COMPUTED_VALUE"""),"")</f>
        <v/>
      </c>
      <c r="O9113" s="17"/>
    </row>
    <row r="9114">
      <c r="B9114" s="17" t="s">
        <v>477</v>
      </c>
      <c r="K9114" s="18" t="s">
        <v>477</v>
      </c>
      <c r="N9114" s="17" t="str">
        <f>IFERROR(__xludf.DUMMYFUNCTION("""COMPUTED_VALUE"""),"")</f>
        <v/>
      </c>
      <c r="O9114" s="17"/>
    </row>
    <row r="9115">
      <c r="B9115" s="17" t="s">
        <v>477</v>
      </c>
      <c r="K9115" s="18" t="s">
        <v>477</v>
      </c>
      <c r="N9115" s="17" t="str">
        <f>IFERROR(__xludf.DUMMYFUNCTION("""COMPUTED_VALUE"""),"")</f>
        <v/>
      </c>
      <c r="O9115" s="17"/>
    </row>
    <row r="9116">
      <c r="B9116" s="17" t="s">
        <v>477</v>
      </c>
      <c r="K9116" s="18" t="s">
        <v>477</v>
      </c>
      <c r="N9116" s="17" t="str">
        <f>IFERROR(__xludf.DUMMYFUNCTION("""COMPUTED_VALUE"""),"")</f>
        <v/>
      </c>
      <c r="O9116" s="17"/>
    </row>
    <row r="9117">
      <c r="B9117" s="17" t="s">
        <v>477</v>
      </c>
      <c r="K9117" s="18" t="s">
        <v>477</v>
      </c>
      <c r="N9117" s="17" t="str">
        <f>IFERROR(__xludf.DUMMYFUNCTION("""COMPUTED_VALUE"""),"")</f>
        <v/>
      </c>
      <c r="O9117" s="17"/>
    </row>
    <row r="9118">
      <c r="B9118" s="17" t="s">
        <v>477</v>
      </c>
      <c r="K9118" s="18" t="s">
        <v>477</v>
      </c>
      <c r="N9118" s="17" t="str">
        <f>IFERROR(__xludf.DUMMYFUNCTION("""COMPUTED_VALUE"""),"")</f>
        <v/>
      </c>
      <c r="O9118" s="17"/>
    </row>
    <row r="9119">
      <c r="B9119" s="17" t="s">
        <v>477</v>
      </c>
      <c r="K9119" s="18" t="s">
        <v>477</v>
      </c>
      <c r="N9119" s="17" t="str">
        <f>IFERROR(__xludf.DUMMYFUNCTION("""COMPUTED_VALUE"""),"")</f>
        <v/>
      </c>
      <c r="O9119" s="17"/>
    </row>
    <row r="9120">
      <c r="B9120" s="17" t="s">
        <v>477</v>
      </c>
      <c r="K9120" s="18" t="s">
        <v>477</v>
      </c>
      <c r="N9120" s="17" t="str">
        <f>IFERROR(__xludf.DUMMYFUNCTION("""COMPUTED_VALUE"""),"")</f>
        <v/>
      </c>
      <c r="O9120" s="17"/>
    </row>
    <row r="9121">
      <c r="B9121" s="17" t="s">
        <v>477</v>
      </c>
      <c r="K9121" s="18" t="s">
        <v>477</v>
      </c>
      <c r="N9121" s="17" t="str">
        <f>IFERROR(__xludf.DUMMYFUNCTION("""COMPUTED_VALUE"""),"")</f>
        <v/>
      </c>
      <c r="O9121" s="17"/>
    </row>
    <row r="9122">
      <c r="B9122" s="17" t="s">
        <v>477</v>
      </c>
      <c r="K9122" s="18" t="s">
        <v>477</v>
      </c>
      <c r="N9122" s="17" t="str">
        <f>IFERROR(__xludf.DUMMYFUNCTION("""COMPUTED_VALUE"""),"")</f>
        <v/>
      </c>
      <c r="O9122" s="17"/>
    </row>
    <row r="9123">
      <c r="B9123" s="17" t="s">
        <v>477</v>
      </c>
      <c r="K9123" s="18" t="s">
        <v>477</v>
      </c>
      <c r="N9123" s="17" t="str">
        <f>IFERROR(__xludf.DUMMYFUNCTION("""COMPUTED_VALUE"""),"")</f>
        <v/>
      </c>
      <c r="O9123" s="17"/>
    </row>
    <row r="9124">
      <c r="B9124" s="17" t="s">
        <v>477</v>
      </c>
      <c r="K9124" s="18" t="s">
        <v>477</v>
      </c>
      <c r="N9124" s="17" t="str">
        <f>IFERROR(__xludf.DUMMYFUNCTION("""COMPUTED_VALUE"""),"")</f>
        <v/>
      </c>
      <c r="O9124" s="17"/>
    </row>
    <row r="9125">
      <c r="B9125" s="17" t="s">
        <v>477</v>
      </c>
      <c r="K9125" s="18" t="s">
        <v>477</v>
      </c>
      <c r="N9125" s="17" t="str">
        <f>IFERROR(__xludf.DUMMYFUNCTION("""COMPUTED_VALUE"""),"")</f>
        <v/>
      </c>
      <c r="O9125" s="17"/>
    </row>
    <row r="9126">
      <c r="B9126" s="17" t="s">
        <v>477</v>
      </c>
      <c r="K9126" s="18" t="s">
        <v>477</v>
      </c>
      <c r="N9126" s="17" t="str">
        <f>IFERROR(__xludf.DUMMYFUNCTION("""COMPUTED_VALUE"""),"")</f>
        <v/>
      </c>
      <c r="O9126" s="17"/>
    </row>
    <row r="9127">
      <c r="B9127" s="17" t="s">
        <v>477</v>
      </c>
      <c r="K9127" s="18" t="s">
        <v>477</v>
      </c>
      <c r="N9127" s="17" t="str">
        <f>IFERROR(__xludf.DUMMYFUNCTION("""COMPUTED_VALUE"""),"")</f>
        <v/>
      </c>
      <c r="O9127" s="17"/>
    </row>
    <row r="9128">
      <c r="B9128" s="17" t="s">
        <v>477</v>
      </c>
      <c r="K9128" s="18" t="s">
        <v>477</v>
      </c>
      <c r="N9128" s="17" t="str">
        <f>IFERROR(__xludf.DUMMYFUNCTION("""COMPUTED_VALUE"""),"")</f>
        <v/>
      </c>
      <c r="O9128" s="17"/>
    </row>
    <row r="9129">
      <c r="B9129" s="17" t="s">
        <v>477</v>
      </c>
      <c r="K9129" s="18" t="s">
        <v>477</v>
      </c>
      <c r="N9129" s="17" t="str">
        <f>IFERROR(__xludf.DUMMYFUNCTION("""COMPUTED_VALUE"""),"")</f>
        <v/>
      </c>
      <c r="O9129" s="17"/>
    </row>
    <row r="9130">
      <c r="B9130" s="17" t="s">
        <v>477</v>
      </c>
      <c r="K9130" s="18" t="s">
        <v>477</v>
      </c>
      <c r="N9130" s="17" t="str">
        <f>IFERROR(__xludf.DUMMYFUNCTION("""COMPUTED_VALUE"""),"")</f>
        <v/>
      </c>
      <c r="O9130" s="17"/>
    </row>
    <row r="9131">
      <c r="B9131" s="17" t="s">
        <v>477</v>
      </c>
      <c r="K9131" s="18" t="s">
        <v>477</v>
      </c>
      <c r="N9131" s="17" t="str">
        <f>IFERROR(__xludf.DUMMYFUNCTION("""COMPUTED_VALUE"""),"")</f>
        <v/>
      </c>
      <c r="O9131" s="17"/>
    </row>
    <row r="9132">
      <c r="B9132" s="17" t="s">
        <v>477</v>
      </c>
      <c r="K9132" s="18" t="s">
        <v>477</v>
      </c>
      <c r="N9132" s="17" t="str">
        <f>IFERROR(__xludf.DUMMYFUNCTION("""COMPUTED_VALUE"""),"")</f>
        <v/>
      </c>
      <c r="O9132" s="17"/>
    </row>
    <row r="9133">
      <c r="B9133" s="17" t="s">
        <v>477</v>
      </c>
      <c r="K9133" s="18" t="s">
        <v>477</v>
      </c>
      <c r="N9133" s="17" t="str">
        <f>IFERROR(__xludf.DUMMYFUNCTION("""COMPUTED_VALUE"""),"")</f>
        <v/>
      </c>
      <c r="O9133" s="17"/>
    </row>
    <row r="9134">
      <c r="B9134" s="17" t="s">
        <v>477</v>
      </c>
      <c r="K9134" s="18" t="s">
        <v>477</v>
      </c>
      <c r="N9134" s="17" t="str">
        <f>IFERROR(__xludf.DUMMYFUNCTION("""COMPUTED_VALUE"""),"")</f>
        <v/>
      </c>
      <c r="O9134" s="17"/>
    </row>
    <row r="9135">
      <c r="B9135" s="17" t="s">
        <v>477</v>
      </c>
      <c r="K9135" s="18" t="s">
        <v>477</v>
      </c>
      <c r="N9135" s="17" t="str">
        <f>IFERROR(__xludf.DUMMYFUNCTION("""COMPUTED_VALUE"""),"")</f>
        <v/>
      </c>
      <c r="O9135" s="17"/>
    </row>
    <row r="9136">
      <c r="B9136" s="17" t="s">
        <v>477</v>
      </c>
      <c r="K9136" s="18" t="s">
        <v>477</v>
      </c>
      <c r="N9136" s="17" t="str">
        <f>IFERROR(__xludf.DUMMYFUNCTION("""COMPUTED_VALUE"""),"")</f>
        <v/>
      </c>
      <c r="O9136" s="17"/>
    </row>
    <row r="9137">
      <c r="B9137" s="17" t="s">
        <v>477</v>
      </c>
      <c r="K9137" s="18" t="s">
        <v>477</v>
      </c>
      <c r="N9137" s="17" t="str">
        <f>IFERROR(__xludf.DUMMYFUNCTION("""COMPUTED_VALUE"""),"")</f>
        <v/>
      </c>
      <c r="O9137" s="17"/>
    </row>
    <row r="9138">
      <c r="B9138" s="17" t="s">
        <v>477</v>
      </c>
      <c r="K9138" s="18" t="s">
        <v>477</v>
      </c>
      <c r="N9138" s="17" t="str">
        <f>IFERROR(__xludf.DUMMYFUNCTION("""COMPUTED_VALUE"""),"")</f>
        <v/>
      </c>
      <c r="O9138" s="17"/>
    </row>
    <row r="9139">
      <c r="B9139" s="17" t="s">
        <v>477</v>
      </c>
      <c r="K9139" s="18" t="s">
        <v>477</v>
      </c>
      <c r="N9139" s="17" t="str">
        <f>IFERROR(__xludf.DUMMYFUNCTION("""COMPUTED_VALUE"""),"")</f>
        <v/>
      </c>
      <c r="O9139" s="17"/>
    </row>
    <row r="9140">
      <c r="B9140" s="17" t="s">
        <v>477</v>
      </c>
      <c r="K9140" s="18" t="s">
        <v>477</v>
      </c>
      <c r="N9140" s="17" t="str">
        <f>IFERROR(__xludf.DUMMYFUNCTION("""COMPUTED_VALUE"""),"")</f>
        <v/>
      </c>
      <c r="O9140" s="17"/>
    </row>
    <row r="9141">
      <c r="B9141" s="17" t="s">
        <v>477</v>
      </c>
      <c r="K9141" s="18" t="s">
        <v>477</v>
      </c>
      <c r="N9141" s="17" t="str">
        <f>IFERROR(__xludf.DUMMYFUNCTION("""COMPUTED_VALUE"""),"")</f>
        <v/>
      </c>
      <c r="O9141" s="17"/>
    </row>
    <row r="9142">
      <c r="B9142" s="17" t="s">
        <v>477</v>
      </c>
      <c r="K9142" s="18" t="s">
        <v>477</v>
      </c>
      <c r="N9142" s="17" t="str">
        <f>IFERROR(__xludf.DUMMYFUNCTION("""COMPUTED_VALUE"""),"")</f>
        <v/>
      </c>
      <c r="O9142" s="17"/>
    </row>
    <row r="9143">
      <c r="B9143" s="17" t="s">
        <v>477</v>
      </c>
      <c r="K9143" s="18" t="s">
        <v>477</v>
      </c>
      <c r="N9143" s="17" t="str">
        <f>IFERROR(__xludf.DUMMYFUNCTION("""COMPUTED_VALUE"""),"")</f>
        <v/>
      </c>
      <c r="O9143" s="17"/>
    </row>
    <row r="9144">
      <c r="B9144" s="17" t="s">
        <v>477</v>
      </c>
      <c r="K9144" s="18" t="s">
        <v>477</v>
      </c>
      <c r="N9144" s="17" t="str">
        <f>IFERROR(__xludf.DUMMYFUNCTION("""COMPUTED_VALUE"""),"")</f>
        <v/>
      </c>
      <c r="O9144" s="17"/>
    </row>
    <row r="9145">
      <c r="B9145" s="17" t="s">
        <v>477</v>
      </c>
      <c r="K9145" s="18" t="s">
        <v>477</v>
      </c>
      <c r="N9145" s="17" t="str">
        <f>IFERROR(__xludf.DUMMYFUNCTION("""COMPUTED_VALUE"""),"")</f>
        <v/>
      </c>
      <c r="O9145" s="17"/>
    </row>
    <row r="9146">
      <c r="B9146" s="17" t="s">
        <v>477</v>
      </c>
      <c r="K9146" s="18" t="s">
        <v>477</v>
      </c>
      <c r="N9146" s="17" t="str">
        <f>IFERROR(__xludf.DUMMYFUNCTION("""COMPUTED_VALUE"""),"")</f>
        <v/>
      </c>
      <c r="O9146" s="17"/>
    </row>
    <row r="9147">
      <c r="B9147" s="17" t="s">
        <v>477</v>
      </c>
      <c r="K9147" s="18" t="s">
        <v>477</v>
      </c>
      <c r="N9147" s="17" t="str">
        <f>IFERROR(__xludf.DUMMYFUNCTION("""COMPUTED_VALUE"""),"")</f>
        <v/>
      </c>
      <c r="O9147" s="17"/>
    </row>
    <row r="9148">
      <c r="B9148" s="17" t="s">
        <v>477</v>
      </c>
      <c r="K9148" s="18" t="s">
        <v>477</v>
      </c>
      <c r="N9148" s="17" t="str">
        <f>IFERROR(__xludf.DUMMYFUNCTION("""COMPUTED_VALUE"""),"")</f>
        <v/>
      </c>
      <c r="O9148" s="17"/>
    </row>
    <row r="9149">
      <c r="B9149" s="17" t="s">
        <v>477</v>
      </c>
      <c r="K9149" s="18" t="s">
        <v>477</v>
      </c>
      <c r="N9149" s="17" t="str">
        <f>IFERROR(__xludf.DUMMYFUNCTION("""COMPUTED_VALUE"""),"")</f>
        <v/>
      </c>
      <c r="O9149" s="17"/>
    </row>
    <row r="9150">
      <c r="B9150" s="17" t="s">
        <v>477</v>
      </c>
      <c r="K9150" s="18" t="s">
        <v>477</v>
      </c>
      <c r="N9150" s="17" t="str">
        <f>IFERROR(__xludf.DUMMYFUNCTION("""COMPUTED_VALUE"""),"")</f>
        <v/>
      </c>
      <c r="O9150" s="17"/>
    </row>
    <row r="9151">
      <c r="B9151" s="17" t="s">
        <v>477</v>
      </c>
      <c r="K9151" s="18" t="s">
        <v>477</v>
      </c>
      <c r="N9151" s="17" t="str">
        <f>IFERROR(__xludf.DUMMYFUNCTION("""COMPUTED_VALUE"""),"")</f>
        <v/>
      </c>
      <c r="O9151" s="17"/>
    </row>
    <row r="9152">
      <c r="B9152" s="17" t="s">
        <v>477</v>
      </c>
      <c r="K9152" s="18" t="s">
        <v>477</v>
      </c>
      <c r="N9152" s="17" t="str">
        <f>IFERROR(__xludf.DUMMYFUNCTION("""COMPUTED_VALUE"""),"")</f>
        <v/>
      </c>
      <c r="O9152" s="17"/>
    </row>
    <row r="9153">
      <c r="B9153" s="17" t="s">
        <v>477</v>
      </c>
      <c r="K9153" s="18" t="s">
        <v>477</v>
      </c>
      <c r="N9153" s="17" t="str">
        <f>IFERROR(__xludf.DUMMYFUNCTION("""COMPUTED_VALUE"""),"")</f>
        <v/>
      </c>
      <c r="O9153" s="17"/>
    </row>
    <row r="9154">
      <c r="B9154" s="17" t="s">
        <v>477</v>
      </c>
      <c r="K9154" s="18" t="s">
        <v>477</v>
      </c>
      <c r="N9154" s="17" t="str">
        <f>IFERROR(__xludf.DUMMYFUNCTION("""COMPUTED_VALUE"""),"")</f>
        <v/>
      </c>
      <c r="O9154" s="17"/>
    </row>
    <row r="9155">
      <c r="B9155" s="17" t="s">
        <v>477</v>
      </c>
      <c r="K9155" s="18" t="s">
        <v>477</v>
      </c>
      <c r="N9155" s="17" t="str">
        <f>IFERROR(__xludf.DUMMYFUNCTION("""COMPUTED_VALUE"""),"")</f>
        <v/>
      </c>
      <c r="O9155" s="17"/>
    </row>
    <row r="9156">
      <c r="B9156" s="17" t="s">
        <v>477</v>
      </c>
      <c r="K9156" s="18" t="s">
        <v>477</v>
      </c>
      <c r="N9156" s="17" t="str">
        <f>IFERROR(__xludf.DUMMYFUNCTION("""COMPUTED_VALUE"""),"")</f>
        <v/>
      </c>
      <c r="O9156" s="17"/>
    </row>
    <row r="9157">
      <c r="B9157" s="17" t="s">
        <v>477</v>
      </c>
      <c r="K9157" s="18" t="s">
        <v>477</v>
      </c>
      <c r="N9157" s="17" t="str">
        <f>IFERROR(__xludf.DUMMYFUNCTION("""COMPUTED_VALUE"""),"")</f>
        <v/>
      </c>
      <c r="O9157" s="17"/>
    </row>
    <row r="9158">
      <c r="B9158" s="17" t="s">
        <v>477</v>
      </c>
      <c r="K9158" s="18" t="s">
        <v>477</v>
      </c>
      <c r="N9158" s="17" t="str">
        <f>IFERROR(__xludf.DUMMYFUNCTION("""COMPUTED_VALUE"""),"")</f>
        <v/>
      </c>
      <c r="O9158" s="17"/>
    </row>
    <row r="9159">
      <c r="B9159" s="17" t="s">
        <v>477</v>
      </c>
      <c r="K9159" s="18" t="s">
        <v>477</v>
      </c>
      <c r="N9159" s="17" t="str">
        <f>IFERROR(__xludf.DUMMYFUNCTION("""COMPUTED_VALUE"""),"")</f>
        <v/>
      </c>
      <c r="O9159" s="17"/>
    </row>
    <row r="9160">
      <c r="B9160" s="17" t="s">
        <v>477</v>
      </c>
      <c r="K9160" s="18" t="s">
        <v>477</v>
      </c>
      <c r="N9160" s="17" t="str">
        <f>IFERROR(__xludf.DUMMYFUNCTION("""COMPUTED_VALUE"""),"")</f>
        <v/>
      </c>
      <c r="O9160" s="17"/>
    </row>
    <row r="9161">
      <c r="B9161" s="17" t="s">
        <v>477</v>
      </c>
      <c r="K9161" s="18" t="s">
        <v>477</v>
      </c>
      <c r="N9161" s="17" t="str">
        <f>IFERROR(__xludf.DUMMYFUNCTION("""COMPUTED_VALUE"""),"")</f>
        <v/>
      </c>
      <c r="O9161" s="17"/>
    </row>
    <row r="9162">
      <c r="B9162" s="17" t="s">
        <v>477</v>
      </c>
      <c r="K9162" s="18" t="s">
        <v>477</v>
      </c>
      <c r="N9162" s="17" t="str">
        <f>IFERROR(__xludf.DUMMYFUNCTION("""COMPUTED_VALUE"""),"")</f>
        <v/>
      </c>
      <c r="O9162" s="17"/>
    </row>
    <row r="9163">
      <c r="B9163" s="17" t="s">
        <v>477</v>
      </c>
      <c r="K9163" s="18" t="s">
        <v>477</v>
      </c>
      <c r="N9163" s="17" t="str">
        <f>IFERROR(__xludf.DUMMYFUNCTION("""COMPUTED_VALUE"""),"")</f>
        <v/>
      </c>
      <c r="O9163" s="17"/>
    </row>
    <row r="9164">
      <c r="B9164" s="17" t="s">
        <v>477</v>
      </c>
      <c r="K9164" s="18" t="s">
        <v>477</v>
      </c>
      <c r="N9164" s="17" t="str">
        <f>IFERROR(__xludf.DUMMYFUNCTION("""COMPUTED_VALUE"""),"")</f>
        <v/>
      </c>
      <c r="O9164" s="17"/>
    </row>
    <row r="9165">
      <c r="B9165" s="17" t="s">
        <v>477</v>
      </c>
      <c r="K9165" s="18" t="s">
        <v>477</v>
      </c>
      <c r="N9165" s="17" t="str">
        <f>IFERROR(__xludf.DUMMYFUNCTION("""COMPUTED_VALUE"""),"")</f>
        <v/>
      </c>
      <c r="O9165" s="17"/>
    </row>
    <row r="9166">
      <c r="B9166" s="17" t="s">
        <v>477</v>
      </c>
      <c r="K9166" s="18" t="s">
        <v>477</v>
      </c>
      <c r="N9166" s="17" t="str">
        <f>IFERROR(__xludf.DUMMYFUNCTION("""COMPUTED_VALUE"""),"")</f>
        <v/>
      </c>
      <c r="O9166" s="17"/>
    </row>
    <row r="9167">
      <c r="B9167" s="17" t="s">
        <v>477</v>
      </c>
      <c r="K9167" s="18" t="s">
        <v>477</v>
      </c>
      <c r="N9167" s="17" t="str">
        <f>IFERROR(__xludf.DUMMYFUNCTION("""COMPUTED_VALUE"""),"")</f>
        <v/>
      </c>
      <c r="O9167" s="17"/>
    </row>
    <row r="9168">
      <c r="B9168" s="17" t="s">
        <v>477</v>
      </c>
      <c r="K9168" s="18" t="s">
        <v>477</v>
      </c>
      <c r="N9168" s="17" t="str">
        <f>IFERROR(__xludf.DUMMYFUNCTION("""COMPUTED_VALUE"""),"")</f>
        <v/>
      </c>
      <c r="O9168" s="17"/>
    </row>
    <row r="9169">
      <c r="B9169" s="17" t="s">
        <v>477</v>
      </c>
      <c r="K9169" s="18" t="s">
        <v>477</v>
      </c>
      <c r="N9169" s="17" t="str">
        <f>IFERROR(__xludf.DUMMYFUNCTION("""COMPUTED_VALUE"""),"")</f>
        <v/>
      </c>
      <c r="O9169" s="17"/>
    </row>
    <row r="9170">
      <c r="B9170" s="17" t="s">
        <v>477</v>
      </c>
      <c r="K9170" s="18" t="s">
        <v>477</v>
      </c>
      <c r="N9170" s="17" t="str">
        <f>IFERROR(__xludf.DUMMYFUNCTION("""COMPUTED_VALUE"""),"")</f>
        <v/>
      </c>
      <c r="O9170" s="17"/>
    </row>
    <row r="9171">
      <c r="B9171" s="17" t="s">
        <v>477</v>
      </c>
      <c r="K9171" s="18" t="s">
        <v>477</v>
      </c>
      <c r="N9171" s="17" t="str">
        <f>IFERROR(__xludf.DUMMYFUNCTION("""COMPUTED_VALUE"""),"")</f>
        <v/>
      </c>
      <c r="O9171" s="17"/>
    </row>
    <row r="9172">
      <c r="B9172" s="17" t="s">
        <v>477</v>
      </c>
      <c r="K9172" s="18" t="s">
        <v>477</v>
      </c>
      <c r="N9172" s="17" t="str">
        <f>IFERROR(__xludf.DUMMYFUNCTION("""COMPUTED_VALUE"""),"")</f>
        <v/>
      </c>
      <c r="O9172" s="17"/>
    </row>
    <row r="9173">
      <c r="B9173" s="17" t="s">
        <v>477</v>
      </c>
      <c r="K9173" s="18" t="s">
        <v>477</v>
      </c>
      <c r="N9173" s="17" t="str">
        <f>IFERROR(__xludf.DUMMYFUNCTION("""COMPUTED_VALUE"""),"")</f>
        <v/>
      </c>
      <c r="O9173" s="17"/>
    </row>
    <row r="9174">
      <c r="B9174" s="17" t="s">
        <v>477</v>
      </c>
      <c r="K9174" s="18" t="s">
        <v>477</v>
      </c>
      <c r="N9174" s="17" t="str">
        <f>IFERROR(__xludf.DUMMYFUNCTION("""COMPUTED_VALUE"""),"")</f>
        <v/>
      </c>
      <c r="O9174" s="17"/>
    </row>
    <row r="9175">
      <c r="B9175" s="17" t="s">
        <v>477</v>
      </c>
      <c r="K9175" s="18" t="s">
        <v>477</v>
      </c>
      <c r="N9175" s="17" t="str">
        <f>IFERROR(__xludf.DUMMYFUNCTION("""COMPUTED_VALUE"""),"")</f>
        <v/>
      </c>
      <c r="O9175" s="17"/>
    </row>
    <row r="9176">
      <c r="B9176" s="17" t="s">
        <v>477</v>
      </c>
      <c r="K9176" s="18" t="s">
        <v>477</v>
      </c>
      <c r="N9176" s="17" t="str">
        <f>IFERROR(__xludf.DUMMYFUNCTION("""COMPUTED_VALUE"""),"")</f>
        <v/>
      </c>
      <c r="O9176" s="17"/>
    </row>
    <row r="9177">
      <c r="B9177" s="17" t="s">
        <v>477</v>
      </c>
      <c r="K9177" s="18" t="s">
        <v>477</v>
      </c>
      <c r="N9177" s="17" t="str">
        <f>IFERROR(__xludf.DUMMYFUNCTION("""COMPUTED_VALUE"""),"")</f>
        <v/>
      </c>
      <c r="O9177" s="17"/>
    </row>
    <row r="9178">
      <c r="B9178" s="17" t="s">
        <v>477</v>
      </c>
      <c r="K9178" s="18" t="s">
        <v>477</v>
      </c>
      <c r="N9178" s="17" t="str">
        <f>IFERROR(__xludf.DUMMYFUNCTION("""COMPUTED_VALUE"""),"")</f>
        <v/>
      </c>
      <c r="O9178" s="17"/>
    </row>
    <row r="9179">
      <c r="B9179" s="17" t="s">
        <v>477</v>
      </c>
      <c r="K9179" s="18" t="s">
        <v>477</v>
      </c>
      <c r="N9179" s="17" t="str">
        <f>IFERROR(__xludf.DUMMYFUNCTION("""COMPUTED_VALUE"""),"")</f>
        <v/>
      </c>
      <c r="O9179" s="17"/>
    </row>
    <row r="9180">
      <c r="B9180" s="17" t="s">
        <v>477</v>
      </c>
      <c r="K9180" s="18" t="s">
        <v>477</v>
      </c>
      <c r="N9180" s="17" t="str">
        <f>IFERROR(__xludf.DUMMYFUNCTION("""COMPUTED_VALUE"""),"")</f>
        <v/>
      </c>
      <c r="O9180" s="17"/>
    </row>
    <row r="9181">
      <c r="B9181" s="17" t="s">
        <v>477</v>
      </c>
      <c r="K9181" s="18" t="s">
        <v>477</v>
      </c>
      <c r="N9181" s="17" t="str">
        <f>IFERROR(__xludf.DUMMYFUNCTION("""COMPUTED_VALUE"""),"")</f>
        <v/>
      </c>
      <c r="O9181" s="17"/>
    </row>
    <row r="9182">
      <c r="B9182" s="17" t="s">
        <v>477</v>
      </c>
      <c r="K9182" s="18" t="s">
        <v>477</v>
      </c>
      <c r="N9182" s="17" t="str">
        <f>IFERROR(__xludf.DUMMYFUNCTION("""COMPUTED_VALUE"""),"")</f>
        <v/>
      </c>
      <c r="O9182" s="17"/>
    </row>
    <row r="9183">
      <c r="B9183" s="17" t="s">
        <v>477</v>
      </c>
      <c r="K9183" s="18" t="s">
        <v>477</v>
      </c>
      <c r="N9183" s="17" t="str">
        <f>IFERROR(__xludf.DUMMYFUNCTION("""COMPUTED_VALUE"""),"")</f>
        <v/>
      </c>
      <c r="O9183" s="17"/>
    </row>
    <row r="9184">
      <c r="B9184" s="17" t="s">
        <v>477</v>
      </c>
      <c r="K9184" s="18" t="s">
        <v>477</v>
      </c>
      <c r="N9184" s="17" t="str">
        <f>IFERROR(__xludf.DUMMYFUNCTION("""COMPUTED_VALUE"""),"")</f>
        <v/>
      </c>
      <c r="O9184" s="17"/>
    </row>
    <row r="9185">
      <c r="B9185" s="17" t="s">
        <v>477</v>
      </c>
      <c r="K9185" s="18" t="s">
        <v>477</v>
      </c>
      <c r="N9185" s="17" t="str">
        <f>IFERROR(__xludf.DUMMYFUNCTION("""COMPUTED_VALUE"""),"")</f>
        <v/>
      </c>
      <c r="O9185" s="17"/>
    </row>
    <row r="9186">
      <c r="B9186" s="17" t="s">
        <v>477</v>
      </c>
      <c r="K9186" s="18" t="s">
        <v>477</v>
      </c>
      <c r="N9186" s="17" t="str">
        <f>IFERROR(__xludf.DUMMYFUNCTION("""COMPUTED_VALUE"""),"")</f>
        <v/>
      </c>
      <c r="O9186" s="17"/>
    </row>
    <row r="9187">
      <c r="B9187" s="17" t="s">
        <v>477</v>
      </c>
      <c r="K9187" s="18" t="s">
        <v>477</v>
      </c>
      <c r="N9187" s="17" t="str">
        <f>IFERROR(__xludf.DUMMYFUNCTION("""COMPUTED_VALUE"""),"")</f>
        <v/>
      </c>
      <c r="O9187" s="17"/>
    </row>
    <row r="9188">
      <c r="B9188" s="17" t="s">
        <v>477</v>
      </c>
      <c r="K9188" s="18" t="s">
        <v>477</v>
      </c>
      <c r="N9188" s="17" t="str">
        <f>IFERROR(__xludf.DUMMYFUNCTION("""COMPUTED_VALUE"""),"")</f>
        <v/>
      </c>
      <c r="O9188" s="17"/>
    </row>
    <row r="9189">
      <c r="B9189" s="17" t="s">
        <v>477</v>
      </c>
      <c r="K9189" s="18" t="s">
        <v>477</v>
      </c>
      <c r="N9189" s="17" t="str">
        <f>IFERROR(__xludf.DUMMYFUNCTION("""COMPUTED_VALUE"""),"")</f>
        <v/>
      </c>
      <c r="O9189" s="17"/>
    </row>
    <row r="9190">
      <c r="B9190" s="17" t="s">
        <v>477</v>
      </c>
      <c r="K9190" s="18" t="s">
        <v>477</v>
      </c>
      <c r="N9190" s="17" t="str">
        <f>IFERROR(__xludf.DUMMYFUNCTION("""COMPUTED_VALUE"""),"")</f>
        <v/>
      </c>
      <c r="O9190" s="17"/>
    </row>
    <row r="9191">
      <c r="B9191" s="17" t="s">
        <v>477</v>
      </c>
      <c r="K9191" s="18" t="s">
        <v>477</v>
      </c>
      <c r="N9191" s="17" t="str">
        <f>IFERROR(__xludf.DUMMYFUNCTION("""COMPUTED_VALUE"""),"")</f>
        <v/>
      </c>
      <c r="O9191" s="17"/>
    </row>
    <row r="9192">
      <c r="B9192" s="17" t="s">
        <v>477</v>
      </c>
      <c r="K9192" s="18" t="s">
        <v>477</v>
      </c>
      <c r="N9192" s="17" t="str">
        <f>IFERROR(__xludf.DUMMYFUNCTION("""COMPUTED_VALUE"""),"")</f>
        <v/>
      </c>
      <c r="O9192" s="17"/>
    </row>
    <row r="9193">
      <c r="B9193" s="17" t="s">
        <v>477</v>
      </c>
      <c r="K9193" s="18" t="s">
        <v>477</v>
      </c>
      <c r="N9193" s="17" t="str">
        <f>IFERROR(__xludf.DUMMYFUNCTION("""COMPUTED_VALUE"""),"")</f>
        <v/>
      </c>
      <c r="O9193" s="17"/>
    </row>
    <row r="9194">
      <c r="B9194" s="17" t="s">
        <v>477</v>
      </c>
      <c r="K9194" s="18" t="s">
        <v>477</v>
      </c>
      <c r="N9194" s="17" t="str">
        <f>IFERROR(__xludf.DUMMYFUNCTION("""COMPUTED_VALUE"""),"")</f>
        <v/>
      </c>
      <c r="O9194" s="17"/>
    </row>
    <row r="9195">
      <c r="B9195" s="17" t="s">
        <v>477</v>
      </c>
      <c r="K9195" s="18" t="s">
        <v>477</v>
      </c>
      <c r="N9195" s="17" t="str">
        <f>IFERROR(__xludf.DUMMYFUNCTION("""COMPUTED_VALUE"""),"")</f>
        <v/>
      </c>
      <c r="O9195" s="17"/>
    </row>
    <row r="9196">
      <c r="B9196" s="17" t="s">
        <v>477</v>
      </c>
      <c r="K9196" s="18" t="s">
        <v>477</v>
      </c>
      <c r="N9196" s="17" t="str">
        <f>IFERROR(__xludf.DUMMYFUNCTION("""COMPUTED_VALUE"""),"")</f>
        <v/>
      </c>
      <c r="O9196" s="17"/>
    </row>
    <row r="9197">
      <c r="B9197" s="17" t="s">
        <v>477</v>
      </c>
      <c r="K9197" s="18" t="s">
        <v>477</v>
      </c>
      <c r="N9197" s="17" t="str">
        <f>IFERROR(__xludf.DUMMYFUNCTION("""COMPUTED_VALUE"""),"")</f>
        <v/>
      </c>
      <c r="O9197" s="17"/>
    </row>
    <row r="9198">
      <c r="B9198" s="17" t="s">
        <v>477</v>
      </c>
      <c r="K9198" s="18" t="s">
        <v>477</v>
      </c>
      <c r="N9198" s="17" t="str">
        <f>IFERROR(__xludf.DUMMYFUNCTION("""COMPUTED_VALUE"""),"")</f>
        <v/>
      </c>
      <c r="O9198" s="17"/>
    </row>
    <row r="9199">
      <c r="B9199" s="17" t="s">
        <v>477</v>
      </c>
      <c r="K9199" s="18" t="s">
        <v>477</v>
      </c>
      <c r="N9199" s="17" t="str">
        <f>IFERROR(__xludf.DUMMYFUNCTION("""COMPUTED_VALUE"""),"")</f>
        <v/>
      </c>
      <c r="O9199" s="17"/>
    </row>
    <row r="9200">
      <c r="B9200" s="17" t="s">
        <v>477</v>
      </c>
      <c r="K9200" s="18" t="s">
        <v>477</v>
      </c>
      <c r="N9200" s="17" t="str">
        <f>IFERROR(__xludf.DUMMYFUNCTION("""COMPUTED_VALUE"""),"")</f>
        <v/>
      </c>
      <c r="O9200" s="17"/>
    </row>
    <row r="9201">
      <c r="B9201" s="17" t="s">
        <v>477</v>
      </c>
      <c r="K9201" s="18" t="s">
        <v>477</v>
      </c>
      <c r="N9201" s="17" t="str">
        <f>IFERROR(__xludf.DUMMYFUNCTION("""COMPUTED_VALUE"""),"")</f>
        <v/>
      </c>
      <c r="O9201" s="17"/>
    </row>
    <row r="9202">
      <c r="B9202" s="17" t="s">
        <v>477</v>
      </c>
      <c r="K9202" s="18" t="s">
        <v>477</v>
      </c>
      <c r="N9202" s="17" t="str">
        <f>IFERROR(__xludf.DUMMYFUNCTION("""COMPUTED_VALUE"""),"")</f>
        <v/>
      </c>
      <c r="O9202" s="17"/>
    </row>
    <row r="9203">
      <c r="B9203" s="17" t="s">
        <v>477</v>
      </c>
      <c r="K9203" s="18" t="s">
        <v>477</v>
      </c>
      <c r="N9203" s="17" t="str">
        <f>IFERROR(__xludf.DUMMYFUNCTION("""COMPUTED_VALUE"""),"")</f>
        <v/>
      </c>
      <c r="O9203" s="17"/>
    </row>
    <row r="9204">
      <c r="B9204" s="17" t="s">
        <v>477</v>
      </c>
      <c r="K9204" s="18" t="s">
        <v>477</v>
      </c>
      <c r="N9204" s="17" t="str">
        <f>IFERROR(__xludf.DUMMYFUNCTION("""COMPUTED_VALUE"""),"")</f>
        <v/>
      </c>
      <c r="O9204" s="17"/>
    </row>
    <row r="9205">
      <c r="B9205" s="17" t="s">
        <v>477</v>
      </c>
      <c r="K9205" s="18" t="s">
        <v>477</v>
      </c>
      <c r="N9205" s="17" t="str">
        <f>IFERROR(__xludf.DUMMYFUNCTION("""COMPUTED_VALUE"""),"")</f>
        <v/>
      </c>
      <c r="O9205" s="17"/>
    </row>
    <row r="9206">
      <c r="B9206" s="17" t="s">
        <v>477</v>
      </c>
      <c r="K9206" s="18" t="s">
        <v>477</v>
      </c>
      <c r="N9206" s="17" t="str">
        <f>IFERROR(__xludf.DUMMYFUNCTION("""COMPUTED_VALUE"""),"")</f>
        <v/>
      </c>
      <c r="O9206" s="17"/>
    </row>
    <row r="9207">
      <c r="B9207" s="17" t="s">
        <v>477</v>
      </c>
      <c r="K9207" s="18" t="s">
        <v>477</v>
      </c>
      <c r="N9207" s="17" t="str">
        <f>IFERROR(__xludf.DUMMYFUNCTION("""COMPUTED_VALUE"""),"")</f>
        <v/>
      </c>
      <c r="O9207" s="17"/>
    </row>
    <row r="9208">
      <c r="B9208" s="17" t="s">
        <v>477</v>
      </c>
      <c r="K9208" s="18" t="s">
        <v>477</v>
      </c>
      <c r="N9208" s="17" t="str">
        <f>IFERROR(__xludf.DUMMYFUNCTION("""COMPUTED_VALUE"""),"")</f>
        <v/>
      </c>
      <c r="O9208" s="17"/>
    </row>
    <row r="9209">
      <c r="B9209" s="17" t="s">
        <v>477</v>
      </c>
      <c r="K9209" s="18" t="s">
        <v>477</v>
      </c>
      <c r="N9209" s="17" t="str">
        <f>IFERROR(__xludf.DUMMYFUNCTION("""COMPUTED_VALUE"""),"")</f>
        <v/>
      </c>
      <c r="O9209" s="17"/>
    </row>
    <row r="9210">
      <c r="B9210" s="17" t="s">
        <v>477</v>
      </c>
      <c r="K9210" s="18" t="s">
        <v>477</v>
      </c>
      <c r="N9210" s="17" t="str">
        <f>IFERROR(__xludf.DUMMYFUNCTION("""COMPUTED_VALUE"""),"")</f>
        <v/>
      </c>
      <c r="O9210" s="17"/>
    </row>
    <row r="9211">
      <c r="B9211" s="17" t="s">
        <v>477</v>
      </c>
      <c r="K9211" s="18" t="s">
        <v>477</v>
      </c>
      <c r="N9211" s="17" t="str">
        <f>IFERROR(__xludf.DUMMYFUNCTION("""COMPUTED_VALUE"""),"")</f>
        <v/>
      </c>
      <c r="O9211" s="17"/>
    </row>
    <row r="9212">
      <c r="B9212" s="17" t="s">
        <v>477</v>
      </c>
      <c r="K9212" s="18" t="s">
        <v>477</v>
      </c>
      <c r="N9212" s="17" t="str">
        <f>IFERROR(__xludf.DUMMYFUNCTION("""COMPUTED_VALUE"""),"")</f>
        <v/>
      </c>
      <c r="O9212" s="17"/>
    </row>
    <row r="9213">
      <c r="B9213" s="17" t="s">
        <v>477</v>
      </c>
      <c r="K9213" s="18" t="s">
        <v>477</v>
      </c>
      <c r="N9213" s="17" t="str">
        <f>IFERROR(__xludf.DUMMYFUNCTION("""COMPUTED_VALUE"""),"")</f>
        <v/>
      </c>
      <c r="O9213" s="17"/>
    </row>
    <row r="9214">
      <c r="B9214" s="17" t="s">
        <v>477</v>
      </c>
      <c r="K9214" s="18" t="s">
        <v>477</v>
      </c>
      <c r="N9214" s="17" t="str">
        <f>IFERROR(__xludf.DUMMYFUNCTION("""COMPUTED_VALUE"""),"")</f>
        <v/>
      </c>
      <c r="O9214" s="17"/>
    </row>
    <row r="9215">
      <c r="B9215" s="17" t="s">
        <v>477</v>
      </c>
      <c r="K9215" s="18" t="s">
        <v>477</v>
      </c>
      <c r="N9215" s="17" t="str">
        <f>IFERROR(__xludf.DUMMYFUNCTION("""COMPUTED_VALUE"""),"")</f>
        <v/>
      </c>
      <c r="O9215" s="17"/>
    </row>
    <row r="9216">
      <c r="B9216" s="17" t="s">
        <v>477</v>
      </c>
      <c r="K9216" s="18" t="s">
        <v>477</v>
      </c>
      <c r="N9216" s="17" t="str">
        <f>IFERROR(__xludf.DUMMYFUNCTION("""COMPUTED_VALUE"""),"")</f>
        <v/>
      </c>
      <c r="O9216" s="17"/>
    </row>
    <row r="9217">
      <c r="B9217" s="17" t="s">
        <v>477</v>
      </c>
      <c r="K9217" s="18" t="s">
        <v>477</v>
      </c>
      <c r="N9217" s="17" t="str">
        <f>IFERROR(__xludf.DUMMYFUNCTION("""COMPUTED_VALUE"""),"")</f>
        <v/>
      </c>
      <c r="O9217" s="17"/>
    </row>
    <row r="9218">
      <c r="B9218" s="17" t="s">
        <v>477</v>
      </c>
      <c r="K9218" s="18" t="s">
        <v>477</v>
      </c>
      <c r="N9218" s="17" t="str">
        <f>IFERROR(__xludf.DUMMYFUNCTION("""COMPUTED_VALUE"""),"")</f>
        <v/>
      </c>
      <c r="O9218" s="17"/>
    </row>
    <row r="9219">
      <c r="B9219" s="17" t="s">
        <v>477</v>
      </c>
      <c r="K9219" s="18" t="s">
        <v>477</v>
      </c>
      <c r="N9219" s="17" t="str">
        <f>IFERROR(__xludf.DUMMYFUNCTION("""COMPUTED_VALUE"""),"")</f>
        <v/>
      </c>
      <c r="O9219" s="17"/>
    </row>
    <row r="9220">
      <c r="B9220" s="17" t="s">
        <v>477</v>
      </c>
      <c r="K9220" s="18" t="s">
        <v>477</v>
      </c>
      <c r="N9220" s="17" t="str">
        <f>IFERROR(__xludf.DUMMYFUNCTION("""COMPUTED_VALUE"""),"")</f>
        <v/>
      </c>
      <c r="O9220" s="17"/>
    </row>
    <row r="9221">
      <c r="B9221" s="17" t="s">
        <v>477</v>
      </c>
      <c r="K9221" s="18" t="s">
        <v>477</v>
      </c>
      <c r="N9221" s="17" t="str">
        <f>IFERROR(__xludf.DUMMYFUNCTION("""COMPUTED_VALUE"""),"")</f>
        <v/>
      </c>
      <c r="O9221" s="17"/>
    </row>
    <row r="9222">
      <c r="B9222" s="17" t="s">
        <v>477</v>
      </c>
      <c r="K9222" s="18" t="s">
        <v>477</v>
      </c>
      <c r="N9222" s="17" t="str">
        <f>IFERROR(__xludf.DUMMYFUNCTION("""COMPUTED_VALUE"""),"")</f>
        <v/>
      </c>
      <c r="O9222" s="17"/>
    </row>
    <row r="9223">
      <c r="B9223" s="17" t="s">
        <v>477</v>
      </c>
      <c r="K9223" s="18" t="s">
        <v>477</v>
      </c>
      <c r="N9223" s="17" t="str">
        <f>IFERROR(__xludf.DUMMYFUNCTION("""COMPUTED_VALUE"""),"")</f>
        <v/>
      </c>
      <c r="O9223" s="17"/>
    </row>
    <row r="9224">
      <c r="B9224" s="17" t="s">
        <v>477</v>
      </c>
      <c r="K9224" s="18" t="s">
        <v>477</v>
      </c>
      <c r="N9224" s="17" t="str">
        <f>IFERROR(__xludf.DUMMYFUNCTION("""COMPUTED_VALUE"""),"")</f>
        <v/>
      </c>
      <c r="O9224" s="17"/>
    </row>
    <row r="9225">
      <c r="B9225" s="17" t="s">
        <v>477</v>
      </c>
      <c r="K9225" s="18" t="s">
        <v>477</v>
      </c>
      <c r="N9225" s="17" t="str">
        <f>IFERROR(__xludf.DUMMYFUNCTION("""COMPUTED_VALUE"""),"")</f>
        <v/>
      </c>
      <c r="O9225" s="17"/>
    </row>
    <row r="9226">
      <c r="B9226" s="17" t="s">
        <v>477</v>
      </c>
      <c r="K9226" s="18" t="s">
        <v>477</v>
      </c>
      <c r="N9226" s="17" t="str">
        <f>IFERROR(__xludf.DUMMYFUNCTION("""COMPUTED_VALUE"""),"")</f>
        <v/>
      </c>
      <c r="O9226" s="17"/>
    </row>
    <row r="9227">
      <c r="B9227" s="17" t="s">
        <v>477</v>
      </c>
      <c r="K9227" s="18" t="s">
        <v>477</v>
      </c>
      <c r="N9227" s="17" t="str">
        <f>IFERROR(__xludf.DUMMYFUNCTION("""COMPUTED_VALUE"""),"")</f>
        <v/>
      </c>
      <c r="O9227" s="17"/>
    </row>
    <row r="9228">
      <c r="B9228" s="17" t="s">
        <v>477</v>
      </c>
      <c r="K9228" s="18" t="s">
        <v>477</v>
      </c>
      <c r="N9228" s="17" t="str">
        <f>IFERROR(__xludf.DUMMYFUNCTION("""COMPUTED_VALUE"""),"")</f>
        <v/>
      </c>
      <c r="O9228" s="17"/>
    </row>
    <row r="9229">
      <c r="B9229" s="17" t="s">
        <v>477</v>
      </c>
      <c r="K9229" s="18" t="s">
        <v>477</v>
      </c>
      <c r="N9229" s="17" t="str">
        <f>IFERROR(__xludf.DUMMYFUNCTION("""COMPUTED_VALUE"""),"")</f>
        <v/>
      </c>
      <c r="O9229" s="17"/>
    </row>
    <row r="9230">
      <c r="B9230" s="17" t="s">
        <v>477</v>
      </c>
      <c r="K9230" s="18" t="s">
        <v>477</v>
      </c>
      <c r="N9230" s="17" t="str">
        <f>IFERROR(__xludf.DUMMYFUNCTION("""COMPUTED_VALUE"""),"")</f>
        <v/>
      </c>
      <c r="O9230" s="17"/>
    </row>
    <row r="9231">
      <c r="B9231" s="17" t="s">
        <v>477</v>
      </c>
      <c r="K9231" s="18" t="s">
        <v>477</v>
      </c>
      <c r="N9231" s="17" t="str">
        <f>IFERROR(__xludf.DUMMYFUNCTION("""COMPUTED_VALUE"""),"")</f>
        <v/>
      </c>
      <c r="O9231" s="17"/>
    </row>
    <row r="9232">
      <c r="B9232" s="17" t="s">
        <v>477</v>
      </c>
      <c r="K9232" s="18" t="s">
        <v>477</v>
      </c>
      <c r="N9232" s="17" t="str">
        <f>IFERROR(__xludf.DUMMYFUNCTION("""COMPUTED_VALUE"""),"")</f>
        <v/>
      </c>
      <c r="O9232" s="17"/>
    </row>
    <row r="9233">
      <c r="B9233" s="17" t="s">
        <v>477</v>
      </c>
      <c r="K9233" s="18" t="s">
        <v>477</v>
      </c>
      <c r="N9233" s="17" t="str">
        <f>IFERROR(__xludf.DUMMYFUNCTION("""COMPUTED_VALUE"""),"")</f>
        <v/>
      </c>
      <c r="O9233" s="17"/>
    </row>
    <row r="9234">
      <c r="B9234" s="17" t="s">
        <v>477</v>
      </c>
      <c r="K9234" s="18" t="s">
        <v>477</v>
      </c>
      <c r="N9234" s="17" t="str">
        <f>IFERROR(__xludf.DUMMYFUNCTION("""COMPUTED_VALUE"""),"")</f>
        <v/>
      </c>
      <c r="O9234" s="17"/>
    </row>
    <row r="9235">
      <c r="B9235" s="17" t="s">
        <v>477</v>
      </c>
      <c r="K9235" s="18" t="s">
        <v>477</v>
      </c>
      <c r="N9235" s="17" t="str">
        <f>IFERROR(__xludf.DUMMYFUNCTION("""COMPUTED_VALUE"""),"")</f>
        <v/>
      </c>
      <c r="O9235" s="17"/>
    </row>
    <row r="9236">
      <c r="B9236" s="17" t="s">
        <v>477</v>
      </c>
      <c r="K9236" s="18" t="s">
        <v>477</v>
      </c>
      <c r="N9236" s="17" t="str">
        <f>IFERROR(__xludf.DUMMYFUNCTION("""COMPUTED_VALUE"""),"")</f>
        <v/>
      </c>
      <c r="O9236" s="17"/>
    </row>
    <row r="9237">
      <c r="B9237" s="17" t="s">
        <v>477</v>
      </c>
      <c r="K9237" s="18" t="s">
        <v>477</v>
      </c>
      <c r="N9237" s="17" t="str">
        <f>IFERROR(__xludf.DUMMYFUNCTION("""COMPUTED_VALUE"""),"")</f>
        <v/>
      </c>
      <c r="O9237" s="17"/>
    </row>
    <row r="9238">
      <c r="B9238" s="17" t="s">
        <v>477</v>
      </c>
      <c r="K9238" s="18" t="s">
        <v>477</v>
      </c>
      <c r="N9238" s="17" t="str">
        <f>IFERROR(__xludf.DUMMYFUNCTION("""COMPUTED_VALUE"""),"")</f>
        <v/>
      </c>
      <c r="O9238" s="17"/>
    </row>
    <row r="9239">
      <c r="B9239" s="17" t="s">
        <v>477</v>
      </c>
      <c r="K9239" s="18" t="s">
        <v>477</v>
      </c>
      <c r="N9239" s="17" t="str">
        <f>IFERROR(__xludf.DUMMYFUNCTION("""COMPUTED_VALUE"""),"")</f>
        <v/>
      </c>
      <c r="O9239" s="17"/>
    </row>
    <row r="9240">
      <c r="B9240" s="17" t="s">
        <v>477</v>
      </c>
      <c r="K9240" s="18" t="s">
        <v>477</v>
      </c>
      <c r="N9240" s="17" t="str">
        <f>IFERROR(__xludf.DUMMYFUNCTION("""COMPUTED_VALUE"""),"")</f>
        <v/>
      </c>
      <c r="O9240" s="17"/>
    </row>
    <row r="9241">
      <c r="B9241" s="17" t="s">
        <v>477</v>
      </c>
      <c r="K9241" s="18" t="s">
        <v>477</v>
      </c>
      <c r="N9241" s="17" t="str">
        <f>IFERROR(__xludf.DUMMYFUNCTION("""COMPUTED_VALUE"""),"")</f>
        <v/>
      </c>
      <c r="O9241" s="17"/>
    </row>
    <row r="9242">
      <c r="B9242" s="17" t="s">
        <v>477</v>
      </c>
      <c r="K9242" s="18" t="s">
        <v>477</v>
      </c>
      <c r="N9242" s="17" t="str">
        <f>IFERROR(__xludf.DUMMYFUNCTION("""COMPUTED_VALUE"""),"")</f>
        <v/>
      </c>
      <c r="O9242" s="17"/>
    </row>
    <row r="9243">
      <c r="B9243" s="17" t="s">
        <v>477</v>
      </c>
      <c r="K9243" s="18" t="s">
        <v>477</v>
      </c>
      <c r="N9243" s="17" t="str">
        <f>IFERROR(__xludf.DUMMYFUNCTION("""COMPUTED_VALUE"""),"")</f>
        <v/>
      </c>
      <c r="O9243" s="17"/>
    </row>
    <row r="9244">
      <c r="B9244" s="17" t="s">
        <v>477</v>
      </c>
      <c r="K9244" s="18" t="s">
        <v>477</v>
      </c>
      <c r="N9244" s="17" t="str">
        <f>IFERROR(__xludf.DUMMYFUNCTION("""COMPUTED_VALUE"""),"")</f>
        <v/>
      </c>
      <c r="O9244" s="17"/>
    </row>
    <row r="9245">
      <c r="B9245" s="17" t="s">
        <v>477</v>
      </c>
      <c r="K9245" s="18" t="s">
        <v>477</v>
      </c>
      <c r="N9245" s="17" t="str">
        <f>IFERROR(__xludf.DUMMYFUNCTION("""COMPUTED_VALUE"""),"")</f>
        <v/>
      </c>
      <c r="O9245" s="17"/>
    </row>
    <row r="9246">
      <c r="B9246" s="17" t="s">
        <v>477</v>
      </c>
      <c r="K9246" s="18" t="s">
        <v>477</v>
      </c>
      <c r="N9246" s="17" t="str">
        <f>IFERROR(__xludf.DUMMYFUNCTION("""COMPUTED_VALUE"""),"")</f>
        <v/>
      </c>
      <c r="O9246" s="17"/>
    </row>
    <row r="9247">
      <c r="B9247" s="17" t="s">
        <v>477</v>
      </c>
      <c r="K9247" s="18" t="s">
        <v>477</v>
      </c>
      <c r="N9247" s="17" t="str">
        <f>IFERROR(__xludf.DUMMYFUNCTION("""COMPUTED_VALUE"""),"")</f>
        <v/>
      </c>
      <c r="O9247" s="17"/>
    </row>
    <row r="9248">
      <c r="B9248" s="17" t="s">
        <v>477</v>
      </c>
      <c r="K9248" s="18" t="s">
        <v>477</v>
      </c>
      <c r="N9248" s="17" t="str">
        <f>IFERROR(__xludf.DUMMYFUNCTION("""COMPUTED_VALUE"""),"")</f>
        <v/>
      </c>
      <c r="O9248" s="17"/>
    </row>
    <row r="9249">
      <c r="B9249" s="17" t="s">
        <v>477</v>
      </c>
      <c r="K9249" s="18" t="s">
        <v>477</v>
      </c>
      <c r="N9249" s="17" t="str">
        <f>IFERROR(__xludf.DUMMYFUNCTION("""COMPUTED_VALUE"""),"")</f>
        <v/>
      </c>
      <c r="O9249" s="17"/>
    </row>
    <row r="9250">
      <c r="B9250" s="17" t="s">
        <v>477</v>
      </c>
      <c r="K9250" s="18" t="s">
        <v>477</v>
      </c>
      <c r="N9250" s="17" t="str">
        <f>IFERROR(__xludf.DUMMYFUNCTION("""COMPUTED_VALUE"""),"")</f>
        <v/>
      </c>
      <c r="O9250" s="17"/>
    </row>
    <row r="9251">
      <c r="B9251" s="17" t="s">
        <v>477</v>
      </c>
      <c r="K9251" s="18" t="s">
        <v>477</v>
      </c>
      <c r="N9251" s="17" t="str">
        <f>IFERROR(__xludf.DUMMYFUNCTION("""COMPUTED_VALUE"""),"")</f>
        <v/>
      </c>
      <c r="O9251" s="17"/>
    </row>
    <row r="9252">
      <c r="B9252" s="17" t="s">
        <v>477</v>
      </c>
      <c r="K9252" s="18" t="s">
        <v>477</v>
      </c>
      <c r="N9252" s="17" t="str">
        <f>IFERROR(__xludf.DUMMYFUNCTION("""COMPUTED_VALUE"""),"")</f>
        <v/>
      </c>
      <c r="O9252" s="17"/>
    </row>
    <row r="9253">
      <c r="B9253" s="17" t="s">
        <v>477</v>
      </c>
      <c r="K9253" s="18" t="s">
        <v>477</v>
      </c>
      <c r="N9253" s="17" t="str">
        <f>IFERROR(__xludf.DUMMYFUNCTION("""COMPUTED_VALUE"""),"")</f>
        <v/>
      </c>
      <c r="O9253" s="17"/>
    </row>
    <row r="9254">
      <c r="B9254" s="17" t="s">
        <v>477</v>
      </c>
      <c r="K9254" s="18" t="s">
        <v>477</v>
      </c>
      <c r="N9254" s="17" t="str">
        <f>IFERROR(__xludf.DUMMYFUNCTION("""COMPUTED_VALUE"""),"")</f>
        <v/>
      </c>
      <c r="O9254" s="17"/>
    </row>
    <row r="9255">
      <c r="B9255" s="17" t="s">
        <v>477</v>
      </c>
      <c r="K9255" s="18" t="s">
        <v>477</v>
      </c>
      <c r="N9255" s="17" t="str">
        <f>IFERROR(__xludf.DUMMYFUNCTION("""COMPUTED_VALUE"""),"")</f>
        <v/>
      </c>
      <c r="O9255" s="17"/>
    </row>
    <row r="9256">
      <c r="B9256" s="17" t="s">
        <v>477</v>
      </c>
      <c r="K9256" s="18" t="s">
        <v>477</v>
      </c>
      <c r="N9256" s="17" t="str">
        <f>IFERROR(__xludf.DUMMYFUNCTION("""COMPUTED_VALUE"""),"")</f>
        <v/>
      </c>
      <c r="O9256" s="17"/>
    </row>
    <row r="9257">
      <c r="B9257" s="17" t="s">
        <v>477</v>
      </c>
      <c r="K9257" s="18" t="s">
        <v>477</v>
      </c>
      <c r="N9257" s="17" t="str">
        <f>IFERROR(__xludf.DUMMYFUNCTION("""COMPUTED_VALUE"""),"")</f>
        <v/>
      </c>
      <c r="O9257" s="17"/>
    </row>
    <row r="9258">
      <c r="B9258" s="17" t="s">
        <v>477</v>
      </c>
      <c r="K9258" s="18" t="s">
        <v>477</v>
      </c>
      <c r="N9258" s="17" t="str">
        <f>IFERROR(__xludf.DUMMYFUNCTION("""COMPUTED_VALUE"""),"")</f>
        <v/>
      </c>
      <c r="O9258" s="17"/>
    </row>
    <row r="9259">
      <c r="B9259" s="17" t="s">
        <v>477</v>
      </c>
      <c r="K9259" s="18" t="s">
        <v>477</v>
      </c>
      <c r="N9259" s="17" t="str">
        <f>IFERROR(__xludf.DUMMYFUNCTION("""COMPUTED_VALUE"""),"")</f>
        <v/>
      </c>
      <c r="O9259" s="17"/>
    </row>
    <row r="9260">
      <c r="B9260" s="17" t="s">
        <v>477</v>
      </c>
      <c r="K9260" s="18" t="s">
        <v>477</v>
      </c>
      <c r="N9260" s="17" t="str">
        <f>IFERROR(__xludf.DUMMYFUNCTION("""COMPUTED_VALUE"""),"")</f>
        <v/>
      </c>
      <c r="O9260" s="17"/>
    </row>
    <row r="9261">
      <c r="B9261" s="17" t="s">
        <v>477</v>
      </c>
      <c r="K9261" s="18" t="s">
        <v>477</v>
      </c>
      <c r="N9261" s="17" t="str">
        <f>IFERROR(__xludf.DUMMYFUNCTION("""COMPUTED_VALUE"""),"")</f>
        <v/>
      </c>
      <c r="O9261" s="17"/>
    </row>
    <row r="9262">
      <c r="B9262" s="17" t="s">
        <v>477</v>
      </c>
      <c r="K9262" s="18" t="s">
        <v>477</v>
      </c>
      <c r="N9262" s="17" t="str">
        <f>IFERROR(__xludf.DUMMYFUNCTION("""COMPUTED_VALUE"""),"")</f>
        <v/>
      </c>
      <c r="O9262" s="17"/>
    </row>
    <row r="9263">
      <c r="B9263" s="17" t="s">
        <v>477</v>
      </c>
      <c r="K9263" s="18" t="s">
        <v>477</v>
      </c>
      <c r="N9263" s="17" t="str">
        <f>IFERROR(__xludf.DUMMYFUNCTION("""COMPUTED_VALUE"""),"")</f>
        <v/>
      </c>
      <c r="O9263" s="17"/>
    </row>
    <row r="9264">
      <c r="B9264" s="17" t="s">
        <v>477</v>
      </c>
      <c r="K9264" s="18" t="s">
        <v>477</v>
      </c>
      <c r="N9264" s="17" t="str">
        <f>IFERROR(__xludf.DUMMYFUNCTION("""COMPUTED_VALUE"""),"")</f>
        <v/>
      </c>
      <c r="O9264" s="17"/>
    </row>
    <row r="9265">
      <c r="B9265" s="17" t="s">
        <v>477</v>
      </c>
      <c r="K9265" s="18" t="s">
        <v>477</v>
      </c>
      <c r="N9265" s="17" t="str">
        <f>IFERROR(__xludf.DUMMYFUNCTION("""COMPUTED_VALUE"""),"")</f>
        <v/>
      </c>
      <c r="O9265" s="17"/>
    </row>
    <row r="9266">
      <c r="B9266" s="17" t="s">
        <v>477</v>
      </c>
      <c r="K9266" s="18" t="s">
        <v>477</v>
      </c>
      <c r="N9266" s="17" t="str">
        <f>IFERROR(__xludf.DUMMYFUNCTION("""COMPUTED_VALUE"""),"")</f>
        <v/>
      </c>
      <c r="O9266" s="17"/>
    </row>
    <row r="9267">
      <c r="B9267" s="17" t="s">
        <v>477</v>
      </c>
      <c r="K9267" s="18" t="s">
        <v>477</v>
      </c>
      <c r="N9267" s="17" t="str">
        <f>IFERROR(__xludf.DUMMYFUNCTION("""COMPUTED_VALUE"""),"")</f>
        <v/>
      </c>
      <c r="O9267" s="17"/>
    </row>
    <row r="9268">
      <c r="B9268" s="17" t="s">
        <v>477</v>
      </c>
      <c r="K9268" s="18" t="s">
        <v>477</v>
      </c>
      <c r="N9268" s="17" t="str">
        <f>IFERROR(__xludf.DUMMYFUNCTION("""COMPUTED_VALUE"""),"")</f>
        <v/>
      </c>
      <c r="O9268" s="17"/>
    </row>
    <row r="9269">
      <c r="B9269" s="17" t="s">
        <v>477</v>
      </c>
      <c r="K9269" s="18" t="s">
        <v>477</v>
      </c>
      <c r="N9269" s="17" t="str">
        <f>IFERROR(__xludf.DUMMYFUNCTION("""COMPUTED_VALUE"""),"")</f>
        <v/>
      </c>
      <c r="O9269" s="17"/>
    </row>
    <row r="9270">
      <c r="B9270" s="17" t="s">
        <v>477</v>
      </c>
      <c r="K9270" s="18" t="s">
        <v>477</v>
      </c>
      <c r="N9270" s="17" t="str">
        <f>IFERROR(__xludf.DUMMYFUNCTION("""COMPUTED_VALUE"""),"")</f>
        <v/>
      </c>
      <c r="O9270" s="17"/>
    </row>
    <row r="9271">
      <c r="B9271" s="17" t="s">
        <v>477</v>
      </c>
      <c r="K9271" s="18" t="s">
        <v>477</v>
      </c>
      <c r="N9271" s="17" t="str">
        <f>IFERROR(__xludf.DUMMYFUNCTION("""COMPUTED_VALUE"""),"")</f>
        <v/>
      </c>
      <c r="O9271" s="17"/>
    </row>
    <row r="9272">
      <c r="B9272" s="17" t="s">
        <v>477</v>
      </c>
      <c r="K9272" s="18" t="s">
        <v>477</v>
      </c>
      <c r="N9272" s="17" t="str">
        <f>IFERROR(__xludf.DUMMYFUNCTION("""COMPUTED_VALUE"""),"")</f>
        <v/>
      </c>
      <c r="O9272" s="17"/>
    </row>
    <row r="9273">
      <c r="B9273" s="17" t="s">
        <v>477</v>
      </c>
      <c r="K9273" s="18" t="s">
        <v>477</v>
      </c>
      <c r="N9273" s="17" t="str">
        <f>IFERROR(__xludf.DUMMYFUNCTION("""COMPUTED_VALUE"""),"")</f>
        <v/>
      </c>
      <c r="O9273" s="17"/>
    </row>
    <row r="9274">
      <c r="B9274" s="17" t="s">
        <v>477</v>
      </c>
      <c r="K9274" s="18" t="s">
        <v>477</v>
      </c>
      <c r="N9274" s="17" t="str">
        <f>IFERROR(__xludf.DUMMYFUNCTION("""COMPUTED_VALUE"""),"")</f>
        <v/>
      </c>
      <c r="O9274" s="17"/>
    </row>
    <row r="9275">
      <c r="B9275" s="17" t="s">
        <v>477</v>
      </c>
      <c r="K9275" s="18" t="s">
        <v>477</v>
      </c>
      <c r="N9275" s="17" t="str">
        <f>IFERROR(__xludf.DUMMYFUNCTION("""COMPUTED_VALUE"""),"")</f>
        <v/>
      </c>
      <c r="O9275" s="17"/>
    </row>
    <row r="9276">
      <c r="B9276" s="17" t="s">
        <v>477</v>
      </c>
      <c r="K9276" s="18" t="s">
        <v>477</v>
      </c>
      <c r="N9276" s="17" t="str">
        <f>IFERROR(__xludf.DUMMYFUNCTION("""COMPUTED_VALUE"""),"")</f>
        <v/>
      </c>
      <c r="O9276" s="17"/>
    </row>
    <row r="9277">
      <c r="B9277" s="17" t="s">
        <v>477</v>
      </c>
      <c r="K9277" s="18" t="s">
        <v>477</v>
      </c>
      <c r="N9277" s="17" t="str">
        <f>IFERROR(__xludf.DUMMYFUNCTION("""COMPUTED_VALUE"""),"")</f>
        <v/>
      </c>
      <c r="O9277" s="17"/>
    </row>
    <row r="9278">
      <c r="B9278" s="17" t="s">
        <v>477</v>
      </c>
      <c r="K9278" s="18" t="s">
        <v>477</v>
      </c>
      <c r="N9278" s="17" t="str">
        <f>IFERROR(__xludf.DUMMYFUNCTION("""COMPUTED_VALUE"""),"")</f>
        <v/>
      </c>
      <c r="O9278" s="17"/>
    </row>
    <row r="9279">
      <c r="B9279" s="17" t="s">
        <v>477</v>
      </c>
      <c r="K9279" s="18" t="s">
        <v>477</v>
      </c>
      <c r="N9279" s="17" t="str">
        <f>IFERROR(__xludf.DUMMYFUNCTION("""COMPUTED_VALUE"""),"")</f>
        <v/>
      </c>
      <c r="O9279" s="17"/>
    </row>
    <row r="9280">
      <c r="B9280" s="17" t="s">
        <v>477</v>
      </c>
      <c r="K9280" s="18" t="s">
        <v>477</v>
      </c>
      <c r="N9280" s="17" t="str">
        <f>IFERROR(__xludf.DUMMYFUNCTION("""COMPUTED_VALUE"""),"")</f>
        <v/>
      </c>
      <c r="O9280" s="17"/>
    </row>
    <row r="9281">
      <c r="B9281" s="17" t="s">
        <v>477</v>
      </c>
      <c r="K9281" s="18" t="s">
        <v>477</v>
      </c>
      <c r="N9281" s="17" t="str">
        <f>IFERROR(__xludf.DUMMYFUNCTION("""COMPUTED_VALUE"""),"")</f>
        <v/>
      </c>
      <c r="O9281" s="17"/>
    </row>
    <row r="9282">
      <c r="B9282" s="17" t="s">
        <v>477</v>
      </c>
      <c r="K9282" s="18" t="s">
        <v>477</v>
      </c>
      <c r="N9282" s="17" t="str">
        <f>IFERROR(__xludf.DUMMYFUNCTION("""COMPUTED_VALUE"""),"")</f>
        <v/>
      </c>
      <c r="O9282" s="17"/>
    </row>
    <row r="9283">
      <c r="B9283" s="17" t="s">
        <v>477</v>
      </c>
      <c r="K9283" s="18" t="s">
        <v>477</v>
      </c>
      <c r="N9283" s="17" t="str">
        <f>IFERROR(__xludf.DUMMYFUNCTION("""COMPUTED_VALUE"""),"")</f>
        <v/>
      </c>
      <c r="O9283" s="17"/>
    </row>
    <row r="9284">
      <c r="B9284" s="17" t="s">
        <v>477</v>
      </c>
      <c r="K9284" s="18" t="s">
        <v>477</v>
      </c>
      <c r="N9284" s="17" t="str">
        <f>IFERROR(__xludf.DUMMYFUNCTION("""COMPUTED_VALUE"""),"")</f>
        <v/>
      </c>
      <c r="O9284" s="17"/>
    </row>
    <row r="9285">
      <c r="B9285" s="17" t="s">
        <v>477</v>
      </c>
      <c r="K9285" s="18" t="s">
        <v>477</v>
      </c>
      <c r="N9285" s="17" t="str">
        <f>IFERROR(__xludf.DUMMYFUNCTION("""COMPUTED_VALUE"""),"")</f>
        <v/>
      </c>
      <c r="O9285" s="17"/>
    </row>
    <row r="9286">
      <c r="B9286" s="17" t="s">
        <v>477</v>
      </c>
      <c r="K9286" s="18" t="s">
        <v>477</v>
      </c>
      <c r="N9286" s="17" t="str">
        <f>IFERROR(__xludf.DUMMYFUNCTION("""COMPUTED_VALUE"""),"")</f>
        <v/>
      </c>
      <c r="O9286" s="17"/>
    </row>
    <row r="9287">
      <c r="B9287" s="17" t="s">
        <v>477</v>
      </c>
      <c r="K9287" s="18" t="s">
        <v>477</v>
      </c>
      <c r="N9287" s="17" t="str">
        <f>IFERROR(__xludf.DUMMYFUNCTION("""COMPUTED_VALUE"""),"")</f>
        <v/>
      </c>
      <c r="O9287" s="17"/>
    </row>
    <row r="9288">
      <c r="B9288" s="17" t="s">
        <v>477</v>
      </c>
      <c r="K9288" s="18" t="s">
        <v>477</v>
      </c>
      <c r="N9288" s="17" t="str">
        <f>IFERROR(__xludf.DUMMYFUNCTION("""COMPUTED_VALUE"""),"")</f>
        <v/>
      </c>
      <c r="O9288" s="17"/>
    </row>
    <row r="9289">
      <c r="B9289" s="17" t="s">
        <v>477</v>
      </c>
      <c r="K9289" s="18" t="s">
        <v>477</v>
      </c>
      <c r="N9289" s="17" t="str">
        <f>IFERROR(__xludf.DUMMYFUNCTION("""COMPUTED_VALUE"""),"")</f>
        <v/>
      </c>
      <c r="O9289" s="17"/>
    </row>
    <row r="9290">
      <c r="B9290" s="17" t="s">
        <v>477</v>
      </c>
      <c r="K9290" s="18" t="s">
        <v>477</v>
      </c>
      <c r="N9290" s="17" t="str">
        <f>IFERROR(__xludf.DUMMYFUNCTION("""COMPUTED_VALUE"""),"")</f>
        <v/>
      </c>
      <c r="O9290" s="17"/>
    </row>
    <row r="9291">
      <c r="B9291" s="17" t="s">
        <v>477</v>
      </c>
      <c r="K9291" s="18" t="s">
        <v>477</v>
      </c>
      <c r="N9291" s="17" t="str">
        <f>IFERROR(__xludf.DUMMYFUNCTION("""COMPUTED_VALUE"""),"")</f>
        <v/>
      </c>
      <c r="O9291" s="17"/>
    </row>
    <row r="9292">
      <c r="B9292" s="17" t="s">
        <v>477</v>
      </c>
      <c r="K9292" s="18" t="s">
        <v>477</v>
      </c>
      <c r="N9292" s="17" t="str">
        <f>IFERROR(__xludf.DUMMYFUNCTION("""COMPUTED_VALUE"""),"")</f>
        <v/>
      </c>
      <c r="O9292" s="17"/>
    </row>
    <row r="9293">
      <c r="B9293" s="17" t="s">
        <v>477</v>
      </c>
      <c r="K9293" s="18" t="s">
        <v>477</v>
      </c>
      <c r="N9293" s="17" t="str">
        <f>IFERROR(__xludf.DUMMYFUNCTION("""COMPUTED_VALUE"""),"")</f>
        <v/>
      </c>
      <c r="O9293" s="17"/>
    </row>
    <row r="9294">
      <c r="B9294" s="17" t="s">
        <v>477</v>
      </c>
      <c r="K9294" s="18" t="s">
        <v>477</v>
      </c>
      <c r="N9294" s="17" t="str">
        <f>IFERROR(__xludf.DUMMYFUNCTION("""COMPUTED_VALUE"""),"")</f>
        <v/>
      </c>
      <c r="O9294" s="17"/>
    </row>
    <row r="9295">
      <c r="B9295" s="17" t="s">
        <v>477</v>
      </c>
      <c r="K9295" s="18" t="s">
        <v>477</v>
      </c>
      <c r="N9295" s="17" t="str">
        <f>IFERROR(__xludf.DUMMYFUNCTION("""COMPUTED_VALUE"""),"")</f>
        <v/>
      </c>
      <c r="O9295" s="17"/>
    </row>
    <row r="9296">
      <c r="B9296" s="17" t="s">
        <v>477</v>
      </c>
      <c r="K9296" s="18" t="s">
        <v>477</v>
      </c>
      <c r="N9296" s="17" t="str">
        <f>IFERROR(__xludf.DUMMYFUNCTION("""COMPUTED_VALUE"""),"")</f>
        <v/>
      </c>
      <c r="O9296" s="17"/>
    </row>
    <row r="9297">
      <c r="B9297" s="17" t="s">
        <v>477</v>
      </c>
      <c r="K9297" s="18" t="s">
        <v>477</v>
      </c>
      <c r="N9297" s="17" t="str">
        <f>IFERROR(__xludf.DUMMYFUNCTION("""COMPUTED_VALUE"""),"")</f>
        <v/>
      </c>
      <c r="O9297" s="17"/>
    </row>
    <row r="9298">
      <c r="B9298" s="17" t="s">
        <v>477</v>
      </c>
      <c r="K9298" s="18" t="s">
        <v>477</v>
      </c>
      <c r="N9298" s="17" t="str">
        <f>IFERROR(__xludf.DUMMYFUNCTION("""COMPUTED_VALUE"""),"")</f>
        <v/>
      </c>
      <c r="O9298" s="17"/>
    </row>
    <row r="9299">
      <c r="B9299" s="17" t="s">
        <v>477</v>
      </c>
      <c r="K9299" s="18" t="s">
        <v>477</v>
      </c>
      <c r="N9299" s="17" t="str">
        <f>IFERROR(__xludf.DUMMYFUNCTION("""COMPUTED_VALUE"""),"")</f>
        <v/>
      </c>
      <c r="O9299" s="17"/>
    </row>
    <row r="9300">
      <c r="B9300" s="17" t="s">
        <v>477</v>
      </c>
      <c r="K9300" s="18" t="s">
        <v>477</v>
      </c>
      <c r="N9300" s="17" t="str">
        <f>IFERROR(__xludf.DUMMYFUNCTION("""COMPUTED_VALUE"""),"")</f>
        <v/>
      </c>
      <c r="O9300" s="17"/>
    </row>
    <row r="9301">
      <c r="B9301" s="17" t="s">
        <v>477</v>
      </c>
      <c r="K9301" s="18" t="s">
        <v>477</v>
      </c>
      <c r="N9301" s="17" t="str">
        <f>IFERROR(__xludf.DUMMYFUNCTION("""COMPUTED_VALUE"""),"")</f>
        <v/>
      </c>
      <c r="O9301" s="17"/>
    </row>
    <row r="9302">
      <c r="B9302" s="17" t="s">
        <v>477</v>
      </c>
      <c r="K9302" s="18" t="s">
        <v>477</v>
      </c>
      <c r="N9302" s="17" t="str">
        <f>IFERROR(__xludf.DUMMYFUNCTION("""COMPUTED_VALUE"""),"")</f>
        <v/>
      </c>
      <c r="O9302" s="17"/>
    </row>
    <row r="9303">
      <c r="B9303" s="17" t="s">
        <v>477</v>
      </c>
      <c r="K9303" s="18" t="s">
        <v>477</v>
      </c>
      <c r="N9303" s="17" t="str">
        <f>IFERROR(__xludf.DUMMYFUNCTION("""COMPUTED_VALUE"""),"")</f>
        <v/>
      </c>
      <c r="O9303" s="17"/>
    </row>
    <row r="9304">
      <c r="B9304" s="17" t="s">
        <v>477</v>
      </c>
      <c r="K9304" s="18" t="s">
        <v>477</v>
      </c>
      <c r="N9304" s="17" t="str">
        <f>IFERROR(__xludf.DUMMYFUNCTION("""COMPUTED_VALUE"""),"")</f>
        <v/>
      </c>
      <c r="O9304" s="17"/>
    </row>
    <row r="9305">
      <c r="B9305" s="17" t="s">
        <v>477</v>
      </c>
      <c r="K9305" s="18" t="s">
        <v>477</v>
      </c>
      <c r="N9305" s="17" t="str">
        <f>IFERROR(__xludf.DUMMYFUNCTION("""COMPUTED_VALUE"""),"")</f>
        <v/>
      </c>
      <c r="O9305" s="17"/>
    </row>
    <row r="9306">
      <c r="B9306" s="17" t="s">
        <v>477</v>
      </c>
      <c r="K9306" s="18" t="s">
        <v>477</v>
      </c>
      <c r="N9306" s="17" t="str">
        <f>IFERROR(__xludf.DUMMYFUNCTION("""COMPUTED_VALUE"""),"")</f>
        <v/>
      </c>
      <c r="O9306" s="17"/>
    </row>
    <row r="9307">
      <c r="B9307" s="17" t="s">
        <v>477</v>
      </c>
      <c r="K9307" s="18" t="s">
        <v>477</v>
      </c>
      <c r="N9307" s="17" t="str">
        <f>IFERROR(__xludf.DUMMYFUNCTION("""COMPUTED_VALUE"""),"")</f>
        <v/>
      </c>
      <c r="O9307" s="17"/>
    </row>
    <row r="9308">
      <c r="B9308" s="17" t="s">
        <v>477</v>
      </c>
      <c r="K9308" s="18" t="s">
        <v>477</v>
      </c>
      <c r="N9308" s="17" t="str">
        <f>IFERROR(__xludf.DUMMYFUNCTION("""COMPUTED_VALUE"""),"")</f>
        <v/>
      </c>
      <c r="O9308" s="17"/>
    </row>
    <row r="9309">
      <c r="B9309" s="17" t="s">
        <v>477</v>
      </c>
      <c r="K9309" s="18" t="s">
        <v>477</v>
      </c>
      <c r="N9309" s="17" t="str">
        <f>IFERROR(__xludf.DUMMYFUNCTION("""COMPUTED_VALUE"""),"")</f>
        <v/>
      </c>
      <c r="O9309" s="17"/>
    </row>
    <row r="9310">
      <c r="B9310" s="17" t="s">
        <v>477</v>
      </c>
      <c r="K9310" s="18" t="s">
        <v>477</v>
      </c>
      <c r="N9310" s="17" t="str">
        <f>IFERROR(__xludf.DUMMYFUNCTION("""COMPUTED_VALUE"""),"")</f>
        <v/>
      </c>
      <c r="O9310" s="17"/>
    </row>
    <row r="9311">
      <c r="B9311" s="17" t="s">
        <v>477</v>
      </c>
      <c r="K9311" s="18" t="s">
        <v>477</v>
      </c>
      <c r="N9311" s="17" t="str">
        <f>IFERROR(__xludf.DUMMYFUNCTION("""COMPUTED_VALUE"""),"")</f>
        <v/>
      </c>
      <c r="O9311" s="17"/>
    </row>
    <row r="9312">
      <c r="B9312" s="17" t="s">
        <v>477</v>
      </c>
      <c r="K9312" s="18" t="s">
        <v>477</v>
      </c>
      <c r="N9312" s="17" t="str">
        <f>IFERROR(__xludf.DUMMYFUNCTION("""COMPUTED_VALUE"""),"")</f>
        <v/>
      </c>
      <c r="O9312" s="17"/>
    </row>
    <row r="9313">
      <c r="B9313" s="17" t="s">
        <v>477</v>
      </c>
      <c r="K9313" s="18" t="s">
        <v>477</v>
      </c>
      <c r="N9313" s="17" t="str">
        <f>IFERROR(__xludf.DUMMYFUNCTION("""COMPUTED_VALUE"""),"")</f>
        <v/>
      </c>
      <c r="O9313" s="17"/>
    </row>
    <row r="9314">
      <c r="B9314" s="17" t="s">
        <v>477</v>
      </c>
      <c r="K9314" s="18" t="s">
        <v>477</v>
      </c>
      <c r="N9314" s="17" t="str">
        <f>IFERROR(__xludf.DUMMYFUNCTION("""COMPUTED_VALUE"""),"")</f>
        <v/>
      </c>
      <c r="O9314" s="17"/>
    </row>
    <row r="9315">
      <c r="B9315" s="17" t="s">
        <v>477</v>
      </c>
      <c r="K9315" s="18" t="s">
        <v>477</v>
      </c>
      <c r="N9315" s="17" t="str">
        <f>IFERROR(__xludf.DUMMYFUNCTION("""COMPUTED_VALUE"""),"")</f>
        <v/>
      </c>
      <c r="O9315" s="17"/>
    </row>
    <row r="9316">
      <c r="B9316" s="17" t="s">
        <v>477</v>
      </c>
      <c r="K9316" s="18" t="s">
        <v>477</v>
      </c>
      <c r="N9316" s="17" t="str">
        <f>IFERROR(__xludf.DUMMYFUNCTION("""COMPUTED_VALUE"""),"")</f>
        <v/>
      </c>
      <c r="O9316" s="17"/>
    </row>
    <row r="9317">
      <c r="B9317" s="17" t="s">
        <v>477</v>
      </c>
      <c r="K9317" s="18" t="s">
        <v>477</v>
      </c>
      <c r="N9317" s="17" t="str">
        <f>IFERROR(__xludf.DUMMYFUNCTION("""COMPUTED_VALUE"""),"")</f>
        <v/>
      </c>
      <c r="O9317" s="17"/>
    </row>
    <row r="9318">
      <c r="B9318" s="17" t="s">
        <v>477</v>
      </c>
      <c r="K9318" s="18" t="s">
        <v>477</v>
      </c>
      <c r="N9318" s="17" t="str">
        <f>IFERROR(__xludf.DUMMYFUNCTION("""COMPUTED_VALUE"""),"")</f>
        <v/>
      </c>
      <c r="O9318" s="17"/>
    </row>
    <row r="9319">
      <c r="B9319" s="17" t="s">
        <v>477</v>
      </c>
      <c r="K9319" s="18" t="s">
        <v>477</v>
      </c>
      <c r="N9319" s="17" t="str">
        <f>IFERROR(__xludf.DUMMYFUNCTION("""COMPUTED_VALUE"""),"")</f>
        <v/>
      </c>
      <c r="O9319" s="17"/>
    </row>
    <row r="9320">
      <c r="B9320" s="17" t="s">
        <v>477</v>
      </c>
      <c r="K9320" s="18" t="s">
        <v>477</v>
      </c>
      <c r="N9320" s="17" t="str">
        <f>IFERROR(__xludf.DUMMYFUNCTION("""COMPUTED_VALUE"""),"")</f>
        <v/>
      </c>
      <c r="O9320" s="17"/>
    </row>
    <row r="9321">
      <c r="B9321" s="17" t="s">
        <v>477</v>
      </c>
      <c r="K9321" s="18" t="s">
        <v>477</v>
      </c>
      <c r="N9321" s="17" t="str">
        <f>IFERROR(__xludf.DUMMYFUNCTION("""COMPUTED_VALUE"""),"")</f>
        <v/>
      </c>
      <c r="O9321" s="17"/>
    </row>
    <row r="9322">
      <c r="B9322" s="17" t="s">
        <v>477</v>
      </c>
      <c r="K9322" s="18" t="s">
        <v>477</v>
      </c>
      <c r="N9322" s="17" t="str">
        <f>IFERROR(__xludf.DUMMYFUNCTION("""COMPUTED_VALUE"""),"")</f>
        <v/>
      </c>
      <c r="O9322" s="17"/>
    </row>
    <row r="9323">
      <c r="B9323" s="17" t="s">
        <v>477</v>
      </c>
      <c r="K9323" s="18" t="s">
        <v>477</v>
      </c>
      <c r="N9323" s="17" t="str">
        <f>IFERROR(__xludf.DUMMYFUNCTION("""COMPUTED_VALUE"""),"")</f>
        <v/>
      </c>
      <c r="O9323" s="17"/>
    </row>
    <row r="9324">
      <c r="B9324" s="17" t="s">
        <v>477</v>
      </c>
      <c r="K9324" s="18" t="s">
        <v>477</v>
      </c>
      <c r="N9324" s="17" t="str">
        <f>IFERROR(__xludf.DUMMYFUNCTION("""COMPUTED_VALUE"""),"")</f>
        <v/>
      </c>
      <c r="O9324" s="17"/>
    </row>
    <row r="9325">
      <c r="B9325" s="17" t="s">
        <v>477</v>
      </c>
      <c r="K9325" s="18" t="s">
        <v>477</v>
      </c>
      <c r="N9325" s="17" t="str">
        <f>IFERROR(__xludf.DUMMYFUNCTION("""COMPUTED_VALUE"""),"")</f>
        <v/>
      </c>
      <c r="O9325" s="17"/>
    </row>
    <row r="9326">
      <c r="B9326" s="17" t="s">
        <v>477</v>
      </c>
      <c r="K9326" s="18" t="s">
        <v>477</v>
      </c>
      <c r="N9326" s="17" t="str">
        <f>IFERROR(__xludf.DUMMYFUNCTION("""COMPUTED_VALUE"""),"")</f>
        <v/>
      </c>
      <c r="O9326" s="17"/>
    </row>
    <row r="9327">
      <c r="B9327" s="17" t="s">
        <v>477</v>
      </c>
      <c r="K9327" s="18" t="s">
        <v>477</v>
      </c>
      <c r="N9327" s="17" t="str">
        <f>IFERROR(__xludf.DUMMYFUNCTION("""COMPUTED_VALUE"""),"")</f>
        <v/>
      </c>
      <c r="O9327" s="17"/>
    </row>
    <row r="9328">
      <c r="B9328" s="17" t="s">
        <v>477</v>
      </c>
      <c r="K9328" s="18" t="s">
        <v>477</v>
      </c>
      <c r="N9328" s="17" t="str">
        <f>IFERROR(__xludf.DUMMYFUNCTION("""COMPUTED_VALUE"""),"")</f>
        <v/>
      </c>
      <c r="O9328" s="17"/>
    </row>
    <row r="9329">
      <c r="B9329" s="17" t="s">
        <v>477</v>
      </c>
      <c r="K9329" s="18" t="s">
        <v>477</v>
      </c>
      <c r="N9329" s="17" t="str">
        <f>IFERROR(__xludf.DUMMYFUNCTION("""COMPUTED_VALUE"""),"")</f>
        <v/>
      </c>
      <c r="O9329" s="17"/>
    </row>
    <row r="9330">
      <c r="B9330" s="17" t="s">
        <v>477</v>
      </c>
      <c r="K9330" s="18" t="s">
        <v>477</v>
      </c>
      <c r="N9330" s="17" t="str">
        <f>IFERROR(__xludf.DUMMYFUNCTION("""COMPUTED_VALUE"""),"")</f>
        <v/>
      </c>
      <c r="O9330" s="17"/>
    </row>
    <row r="9331">
      <c r="B9331" s="17" t="s">
        <v>477</v>
      </c>
      <c r="K9331" s="18" t="s">
        <v>477</v>
      </c>
      <c r="N9331" s="17" t="str">
        <f>IFERROR(__xludf.DUMMYFUNCTION("""COMPUTED_VALUE"""),"")</f>
        <v/>
      </c>
      <c r="O9331" s="17"/>
    </row>
    <row r="9332">
      <c r="B9332" s="17" t="s">
        <v>477</v>
      </c>
      <c r="K9332" s="18" t="s">
        <v>477</v>
      </c>
      <c r="N9332" s="17" t="str">
        <f>IFERROR(__xludf.DUMMYFUNCTION("""COMPUTED_VALUE"""),"")</f>
        <v/>
      </c>
      <c r="O9332" s="17"/>
    </row>
    <row r="9333">
      <c r="B9333" s="17" t="s">
        <v>477</v>
      </c>
      <c r="K9333" s="18" t="s">
        <v>477</v>
      </c>
      <c r="N9333" s="17" t="str">
        <f>IFERROR(__xludf.DUMMYFUNCTION("""COMPUTED_VALUE"""),"")</f>
        <v/>
      </c>
      <c r="O9333" s="17"/>
    </row>
    <row r="9334">
      <c r="B9334" s="17" t="s">
        <v>477</v>
      </c>
      <c r="K9334" s="18" t="s">
        <v>477</v>
      </c>
      <c r="N9334" s="17" t="str">
        <f>IFERROR(__xludf.DUMMYFUNCTION("""COMPUTED_VALUE"""),"")</f>
        <v/>
      </c>
      <c r="O9334" s="17"/>
    </row>
    <row r="9335">
      <c r="B9335" s="17" t="s">
        <v>477</v>
      </c>
      <c r="K9335" s="18" t="s">
        <v>477</v>
      </c>
      <c r="N9335" s="17" t="str">
        <f>IFERROR(__xludf.DUMMYFUNCTION("""COMPUTED_VALUE"""),"")</f>
        <v/>
      </c>
      <c r="O9335" s="17"/>
    </row>
    <row r="9336">
      <c r="B9336" s="17" t="s">
        <v>477</v>
      </c>
      <c r="K9336" s="18" t="s">
        <v>477</v>
      </c>
      <c r="N9336" s="17" t="str">
        <f>IFERROR(__xludf.DUMMYFUNCTION("""COMPUTED_VALUE"""),"")</f>
        <v/>
      </c>
      <c r="O9336" s="17"/>
    </row>
    <row r="9337">
      <c r="B9337" s="17" t="s">
        <v>477</v>
      </c>
      <c r="K9337" s="18" t="s">
        <v>477</v>
      </c>
      <c r="N9337" s="17" t="str">
        <f>IFERROR(__xludf.DUMMYFUNCTION("""COMPUTED_VALUE"""),"")</f>
        <v/>
      </c>
      <c r="O9337" s="17"/>
    </row>
    <row r="9338">
      <c r="B9338" s="17" t="s">
        <v>477</v>
      </c>
      <c r="K9338" s="18" t="s">
        <v>477</v>
      </c>
      <c r="N9338" s="17" t="str">
        <f>IFERROR(__xludf.DUMMYFUNCTION("""COMPUTED_VALUE"""),"")</f>
        <v/>
      </c>
      <c r="O9338" s="17"/>
    </row>
    <row r="9339">
      <c r="B9339" s="17" t="s">
        <v>477</v>
      </c>
      <c r="K9339" s="18" t="s">
        <v>477</v>
      </c>
      <c r="N9339" s="17" t="str">
        <f>IFERROR(__xludf.DUMMYFUNCTION("""COMPUTED_VALUE"""),"")</f>
        <v/>
      </c>
      <c r="O9339" s="17"/>
    </row>
    <row r="9340">
      <c r="B9340" s="17" t="s">
        <v>477</v>
      </c>
      <c r="K9340" s="18" t="s">
        <v>477</v>
      </c>
      <c r="N9340" s="17" t="str">
        <f>IFERROR(__xludf.DUMMYFUNCTION("""COMPUTED_VALUE"""),"")</f>
        <v/>
      </c>
      <c r="O9340" s="17"/>
    </row>
    <row r="9341">
      <c r="B9341" s="17" t="s">
        <v>477</v>
      </c>
      <c r="K9341" s="18" t="s">
        <v>477</v>
      </c>
      <c r="N9341" s="17" t="str">
        <f>IFERROR(__xludf.DUMMYFUNCTION("""COMPUTED_VALUE"""),"")</f>
        <v/>
      </c>
      <c r="O9341" s="17"/>
    </row>
    <row r="9342">
      <c r="B9342" s="17" t="s">
        <v>477</v>
      </c>
      <c r="K9342" s="18" t="s">
        <v>477</v>
      </c>
      <c r="N9342" s="17" t="str">
        <f>IFERROR(__xludf.DUMMYFUNCTION("""COMPUTED_VALUE"""),"")</f>
        <v/>
      </c>
      <c r="O9342" s="17"/>
    </row>
    <row r="9343">
      <c r="B9343" s="17" t="s">
        <v>477</v>
      </c>
      <c r="K9343" s="18" t="s">
        <v>477</v>
      </c>
      <c r="N9343" s="17" t="str">
        <f>IFERROR(__xludf.DUMMYFUNCTION("""COMPUTED_VALUE"""),"")</f>
        <v/>
      </c>
      <c r="O9343" s="17"/>
    </row>
    <row r="9344">
      <c r="B9344" s="17" t="s">
        <v>477</v>
      </c>
      <c r="K9344" s="18" t="s">
        <v>477</v>
      </c>
      <c r="N9344" s="17" t="str">
        <f>IFERROR(__xludf.DUMMYFUNCTION("""COMPUTED_VALUE"""),"")</f>
        <v/>
      </c>
      <c r="O9344" s="17"/>
    </row>
    <row r="9345">
      <c r="B9345" s="17" t="s">
        <v>477</v>
      </c>
      <c r="K9345" s="18" t="s">
        <v>477</v>
      </c>
      <c r="N9345" s="17" t="str">
        <f>IFERROR(__xludf.DUMMYFUNCTION("""COMPUTED_VALUE"""),"")</f>
        <v/>
      </c>
      <c r="O9345" s="17"/>
    </row>
    <row r="9346">
      <c r="B9346" s="17" t="s">
        <v>477</v>
      </c>
      <c r="K9346" s="18" t="s">
        <v>477</v>
      </c>
      <c r="N9346" s="17" t="str">
        <f>IFERROR(__xludf.DUMMYFUNCTION("""COMPUTED_VALUE"""),"")</f>
        <v/>
      </c>
      <c r="O9346" s="17"/>
    </row>
    <row r="9347">
      <c r="B9347" s="17" t="s">
        <v>477</v>
      </c>
      <c r="K9347" s="18" t="s">
        <v>477</v>
      </c>
      <c r="N9347" s="17" t="str">
        <f>IFERROR(__xludf.DUMMYFUNCTION("""COMPUTED_VALUE"""),"")</f>
        <v/>
      </c>
      <c r="O9347" s="17"/>
    </row>
    <row r="9348">
      <c r="B9348" s="17" t="s">
        <v>477</v>
      </c>
      <c r="K9348" s="18" t="s">
        <v>477</v>
      </c>
      <c r="N9348" s="17" t="str">
        <f>IFERROR(__xludf.DUMMYFUNCTION("""COMPUTED_VALUE"""),"")</f>
        <v/>
      </c>
      <c r="O9348" s="17"/>
    </row>
    <row r="9349">
      <c r="B9349" s="17" t="s">
        <v>477</v>
      </c>
      <c r="K9349" s="18" t="s">
        <v>477</v>
      </c>
      <c r="N9349" s="17" t="str">
        <f>IFERROR(__xludf.DUMMYFUNCTION("""COMPUTED_VALUE"""),"")</f>
        <v/>
      </c>
      <c r="O9349" s="17"/>
    </row>
    <row r="9350">
      <c r="B9350" s="17" t="s">
        <v>477</v>
      </c>
      <c r="K9350" s="18" t="s">
        <v>477</v>
      </c>
      <c r="N9350" s="17" t="str">
        <f>IFERROR(__xludf.DUMMYFUNCTION("""COMPUTED_VALUE"""),"")</f>
        <v/>
      </c>
      <c r="O9350" s="17"/>
    </row>
    <row r="9351">
      <c r="B9351" s="17" t="s">
        <v>477</v>
      </c>
      <c r="K9351" s="18" t="s">
        <v>477</v>
      </c>
      <c r="N9351" s="17" t="str">
        <f>IFERROR(__xludf.DUMMYFUNCTION("""COMPUTED_VALUE"""),"")</f>
        <v/>
      </c>
      <c r="O9351" s="17"/>
    </row>
    <row r="9352">
      <c r="B9352" s="17" t="s">
        <v>477</v>
      </c>
      <c r="K9352" s="18" t="s">
        <v>477</v>
      </c>
      <c r="N9352" s="17" t="str">
        <f>IFERROR(__xludf.DUMMYFUNCTION("""COMPUTED_VALUE"""),"")</f>
        <v/>
      </c>
      <c r="O9352" s="17"/>
    </row>
    <row r="9353">
      <c r="B9353" s="17" t="s">
        <v>477</v>
      </c>
      <c r="K9353" s="18" t="s">
        <v>477</v>
      </c>
      <c r="N9353" s="17" t="str">
        <f>IFERROR(__xludf.DUMMYFUNCTION("""COMPUTED_VALUE"""),"")</f>
        <v/>
      </c>
      <c r="O9353" s="17"/>
    </row>
    <row r="9354">
      <c r="B9354" s="17" t="s">
        <v>477</v>
      </c>
      <c r="K9354" s="18" t="s">
        <v>477</v>
      </c>
      <c r="N9354" s="17" t="str">
        <f>IFERROR(__xludf.DUMMYFUNCTION("""COMPUTED_VALUE"""),"")</f>
        <v/>
      </c>
      <c r="O9354" s="17"/>
    </row>
    <row r="9355">
      <c r="B9355" s="17" t="s">
        <v>477</v>
      </c>
      <c r="K9355" s="18" t="s">
        <v>477</v>
      </c>
      <c r="N9355" s="17" t="str">
        <f>IFERROR(__xludf.DUMMYFUNCTION("""COMPUTED_VALUE"""),"")</f>
        <v/>
      </c>
      <c r="O9355" s="17"/>
    </row>
    <row r="9356">
      <c r="B9356" s="17" t="s">
        <v>477</v>
      </c>
      <c r="K9356" s="18" t="s">
        <v>477</v>
      </c>
      <c r="N9356" s="17" t="str">
        <f>IFERROR(__xludf.DUMMYFUNCTION("""COMPUTED_VALUE"""),"")</f>
        <v/>
      </c>
      <c r="O9356" s="17"/>
    </row>
    <row r="9357">
      <c r="B9357" s="17" t="s">
        <v>477</v>
      </c>
      <c r="K9357" s="18" t="s">
        <v>477</v>
      </c>
      <c r="N9357" s="17" t="str">
        <f>IFERROR(__xludf.DUMMYFUNCTION("""COMPUTED_VALUE"""),"")</f>
        <v/>
      </c>
      <c r="O9357" s="17"/>
    </row>
    <row r="9358">
      <c r="B9358" s="17" t="s">
        <v>477</v>
      </c>
      <c r="K9358" s="18" t="s">
        <v>477</v>
      </c>
      <c r="N9358" s="17" t="str">
        <f>IFERROR(__xludf.DUMMYFUNCTION("""COMPUTED_VALUE"""),"")</f>
        <v/>
      </c>
      <c r="O9358" s="17"/>
    </row>
    <row r="9359">
      <c r="B9359" s="17" t="s">
        <v>477</v>
      </c>
      <c r="K9359" s="18" t="s">
        <v>477</v>
      </c>
      <c r="N9359" s="17" t="str">
        <f>IFERROR(__xludf.DUMMYFUNCTION("""COMPUTED_VALUE"""),"")</f>
        <v/>
      </c>
      <c r="O9359" s="17"/>
    </row>
    <row r="9360">
      <c r="B9360" s="17" t="s">
        <v>477</v>
      </c>
      <c r="K9360" s="18" t="s">
        <v>477</v>
      </c>
      <c r="N9360" s="17" t="str">
        <f>IFERROR(__xludf.DUMMYFUNCTION("""COMPUTED_VALUE"""),"")</f>
        <v/>
      </c>
      <c r="O9360" s="17"/>
    </row>
    <row r="9361">
      <c r="B9361" s="17" t="s">
        <v>477</v>
      </c>
      <c r="K9361" s="18" t="s">
        <v>477</v>
      </c>
      <c r="N9361" s="17" t="str">
        <f>IFERROR(__xludf.DUMMYFUNCTION("""COMPUTED_VALUE"""),"")</f>
        <v/>
      </c>
      <c r="O9361" s="17"/>
    </row>
    <row r="9362">
      <c r="B9362" s="17" t="s">
        <v>477</v>
      </c>
      <c r="K9362" s="18" t="s">
        <v>477</v>
      </c>
      <c r="N9362" s="17" t="str">
        <f>IFERROR(__xludf.DUMMYFUNCTION("""COMPUTED_VALUE"""),"")</f>
        <v/>
      </c>
      <c r="O9362" s="17"/>
    </row>
    <row r="9363">
      <c r="B9363" s="17" t="s">
        <v>477</v>
      </c>
      <c r="K9363" s="18" t="s">
        <v>477</v>
      </c>
      <c r="N9363" s="17" t="str">
        <f>IFERROR(__xludf.DUMMYFUNCTION("""COMPUTED_VALUE"""),"")</f>
        <v/>
      </c>
      <c r="O9363" s="17"/>
    </row>
    <row r="9364">
      <c r="B9364" s="17" t="s">
        <v>477</v>
      </c>
      <c r="K9364" s="18" t="s">
        <v>477</v>
      </c>
      <c r="N9364" s="17" t="str">
        <f>IFERROR(__xludf.DUMMYFUNCTION("""COMPUTED_VALUE"""),"")</f>
        <v/>
      </c>
      <c r="O9364" s="17"/>
    </row>
    <row r="9365">
      <c r="B9365" s="17" t="s">
        <v>477</v>
      </c>
      <c r="K9365" s="18" t="s">
        <v>477</v>
      </c>
      <c r="N9365" s="17" t="str">
        <f>IFERROR(__xludf.DUMMYFUNCTION("""COMPUTED_VALUE"""),"")</f>
        <v/>
      </c>
      <c r="O9365" s="17"/>
    </row>
    <row r="9366">
      <c r="B9366" s="17" t="s">
        <v>477</v>
      </c>
      <c r="K9366" s="18" t="s">
        <v>477</v>
      </c>
      <c r="N9366" s="17" t="str">
        <f>IFERROR(__xludf.DUMMYFUNCTION("""COMPUTED_VALUE"""),"")</f>
        <v/>
      </c>
      <c r="O9366" s="17"/>
    </row>
    <row r="9367">
      <c r="B9367" s="17" t="s">
        <v>477</v>
      </c>
      <c r="K9367" s="18" t="s">
        <v>477</v>
      </c>
      <c r="N9367" s="17" t="str">
        <f>IFERROR(__xludf.DUMMYFUNCTION("""COMPUTED_VALUE"""),"")</f>
        <v/>
      </c>
      <c r="O9367" s="17"/>
    </row>
    <row r="9368">
      <c r="B9368" s="17" t="s">
        <v>477</v>
      </c>
      <c r="K9368" s="18" t="s">
        <v>477</v>
      </c>
      <c r="N9368" s="17" t="str">
        <f>IFERROR(__xludf.DUMMYFUNCTION("""COMPUTED_VALUE"""),"")</f>
        <v/>
      </c>
      <c r="O9368" s="17"/>
    </row>
    <row r="9369">
      <c r="B9369" s="17" t="s">
        <v>477</v>
      </c>
      <c r="K9369" s="18" t="s">
        <v>477</v>
      </c>
      <c r="N9369" s="17" t="str">
        <f>IFERROR(__xludf.DUMMYFUNCTION("""COMPUTED_VALUE"""),"")</f>
        <v/>
      </c>
      <c r="O9369" s="17"/>
    </row>
    <row r="9370">
      <c r="B9370" s="17" t="s">
        <v>477</v>
      </c>
      <c r="K9370" s="18" t="s">
        <v>477</v>
      </c>
      <c r="N9370" s="17" t="str">
        <f>IFERROR(__xludf.DUMMYFUNCTION("""COMPUTED_VALUE"""),"")</f>
        <v/>
      </c>
      <c r="O9370" s="17"/>
    </row>
    <row r="9371">
      <c r="B9371" s="17" t="s">
        <v>477</v>
      </c>
      <c r="K9371" s="18" t="s">
        <v>477</v>
      </c>
      <c r="N9371" s="17" t="str">
        <f>IFERROR(__xludf.DUMMYFUNCTION("""COMPUTED_VALUE"""),"")</f>
        <v/>
      </c>
      <c r="O9371" s="17"/>
    </row>
    <row r="9372">
      <c r="B9372" s="17" t="s">
        <v>477</v>
      </c>
      <c r="K9372" s="18" t="s">
        <v>477</v>
      </c>
      <c r="N9372" s="17" t="str">
        <f>IFERROR(__xludf.DUMMYFUNCTION("""COMPUTED_VALUE"""),"")</f>
        <v/>
      </c>
      <c r="O9372" s="17"/>
    </row>
    <row r="9373">
      <c r="B9373" s="17" t="s">
        <v>477</v>
      </c>
      <c r="K9373" s="18" t="s">
        <v>477</v>
      </c>
      <c r="N9373" s="17" t="str">
        <f>IFERROR(__xludf.DUMMYFUNCTION("""COMPUTED_VALUE"""),"")</f>
        <v/>
      </c>
      <c r="O9373" s="17"/>
    </row>
    <row r="9374">
      <c r="B9374" s="17" t="s">
        <v>477</v>
      </c>
      <c r="K9374" s="18" t="s">
        <v>477</v>
      </c>
      <c r="N9374" s="17" t="str">
        <f>IFERROR(__xludf.DUMMYFUNCTION("""COMPUTED_VALUE"""),"")</f>
        <v/>
      </c>
      <c r="O9374" s="17"/>
    </row>
    <row r="9375">
      <c r="B9375" s="17" t="s">
        <v>477</v>
      </c>
      <c r="K9375" s="18" t="s">
        <v>477</v>
      </c>
      <c r="N9375" s="17" t="str">
        <f>IFERROR(__xludf.DUMMYFUNCTION("""COMPUTED_VALUE"""),"")</f>
        <v/>
      </c>
      <c r="O9375" s="17"/>
    </row>
    <row r="9376">
      <c r="B9376" s="17" t="s">
        <v>477</v>
      </c>
      <c r="K9376" s="18" t="s">
        <v>477</v>
      </c>
      <c r="N9376" s="17" t="str">
        <f>IFERROR(__xludf.DUMMYFUNCTION("""COMPUTED_VALUE"""),"")</f>
        <v/>
      </c>
      <c r="O9376" s="17"/>
    </row>
    <row r="9377">
      <c r="B9377" s="17" t="s">
        <v>477</v>
      </c>
      <c r="K9377" s="18" t="s">
        <v>477</v>
      </c>
      <c r="N9377" s="17" t="str">
        <f>IFERROR(__xludf.DUMMYFUNCTION("""COMPUTED_VALUE"""),"")</f>
        <v/>
      </c>
      <c r="O9377" s="17"/>
    </row>
    <row r="9378">
      <c r="B9378" s="17" t="s">
        <v>477</v>
      </c>
      <c r="K9378" s="18" t="s">
        <v>477</v>
      </c>
      <c r="N9378" s="17" t="str">
        <f>IFERROR(__xludf.DUMMYFUNCTION("""COMPUTED_VALUE"""),"")</f>
        <v/>
      </c>
      <c r="O9378" s="17"/>
    </row>
    <row r="9379">
      <c r="B9379" s="17" t="s">
        <v>477</v>
      </c>
      <c r="K9379" s="18" t="s">
        <v>477</v>
      </c>
      <c r="N9379" s="17" t="str">
        <f>IFERROR(__xludf.DUMMYFUNCTION("""COMPUTED_VALUE"""),"")</f>
        <v/>
      </c>
      <c r="O9379" s="17"/>
    </row>
    <row r="9380">
      <c r="B9380" s="17" t="s">
        <v>477</v>
      </c>
      <c r="K9380" s="18" t="s">
        <v>477</v>
      </c>
      <c r="N9380" s="17" t="str">
        <f>IFERROR(__xludf.DUMMYFUNCTION("""COMPUTED_VALUE"""),"")</f>
        <v/>
      </c>
      <c r="O9380" s="17"/>
    </row>
    <row r="9381">
      <c r="B9381" s="17" t="s">
        <v>477</v>
      </c>
      <c r="K9381" s="18" t="s">
        <v>477</v>
      </c>
      <c r="N9381" s="17" t="str">
        <f>IFERROR(__xludf.DUMMYFUNCTION("""COMPUTED_VALUE"""),"")</f>
        <v/>
      </c>
      <c r="O9381" s="17"/>
    </row>
    <row r="9382">
      <c r="B9382" s="17" t="s">
        <v>477</v>
      </c>
      <c r="K9382" s="18" t="s">
        <v>477</v>
      </c>
      <c r="N9382" s="17" t="str">
        <f>IFERROR(__xludf.DUMMYFUNCTION("""COMPUTED_VALUE"""),"")</f>
        <v/>
      </c>
      <c r="O9382" s="17"/>
    </row>
    <row r="9383">
      <c r="B9383" s="17" t="s">
        <v>477</v>
      </c>
      <c r="K9383" s="18" t="s">
        <v>477</v>
      </c>
      <c r="N9383" s="17" t="str">
        <f>IFERROR(__xludf.DUMMYFUNCTION("""COMPUTED_VALUE"""),"")</f>
        <v/>
      </c>
      <c r="O9383" s="17"/>
    </row>
    <row r="9384">
      <c r="B9384" s="17" t="s">
        <v>477</v>
      </c>
      <c r="K9384" s="18" t="s">
        <v>477</v>
      </c>
      <c r="N9384" s="17" t="str">
        <f>IFERROR(__xludf.DUMMYFUNCTION("""COMPUTED_VALUE"""),"")</f>
        <v/>
      </c>
      <c r="O9384" s="17"/>
    </row>
    <row r="9385">
      <c r="B9385" s="17" t="s">
        <v>477</v>
      </c>
      <c r="K9385" s="18" t="s">
        <v>477</v>
      </c>
      <c r="N9385" s="17" t="str">
        <f>IFERROR(__xludf.DUMMYFUNCTION("""COMPUTED_VALUE"""),"")</f>
        <v/>
      </c>
      <c r="O9385" s="17"/>
    </row>
    <row r="9386">
      <c r="B9386" s="17" t="s">
        <v>477</v>
      </c>
      <c r="K9386" s="18" t="s">
        <v>477</v>
      </c>
      <c r="N9386" s="17" t="str">
        <f>IFERROR(__xludf.DUMMYFUNCTION("""COMPUTED_VALUE"""),"")</f>
        <v/>
      </c>
      <c r="O9386" s="17"/>
    </row>
    <row r="9387">
      <c r="B9387" s="17" t="s">
        <v>477</v>
      </c>
      <c r="K9387" s="18" t="s">
        <v>477</v>
      </c>
      <c r="N9387" s="17" t="str">
        <f>IFERROR(__xludf.DUMMYFUNCTION("""COMPUTED_VALUE"""),"")</f>
        <v/>
      </c>
      <c r="O9387" s="17"/>
    </row>
    <row r="9388">
      <c r="B9388" s="17" t="s">
        <v>477</v>
      </c>
      <c r="K9388" s="18" t="s">
        <v>477</v>
      </c>
      <c r="N9388" s="17" t="str">
        <f>IFERROR(__xludf.DUMMYFUNCTION("""COMPUTED_VALUE"""),"")</f>
        <v/>
      </c>
      <c r="O9388" s="17"/>
    </row>
    <row r="9389">
      <c r="B9389" s="17" t="s">
        <v>477</v>
      </c>
      <c r="K9389" s="18" t="s">
        <v>477</v>
      </c>
      <c r="N9389" s="17" t="str">
        <f>IFERROR(__xludf.DUMMYFUNCTION("""COMPUTED_VALUE"""),"")</f>
        <v/>
      </c>
      <c r="O9389" s="17"/>
    </row>
    <row r="9390">
      <c r="B9390" s="17" t="s">
        <v>477</v>
      </c>
      <c r="K9390" s="18" t="s">
        <v>477</v>
      </c>
      <c r="N9390" s="17" t="str">
        <f>IFERROR(__xludf.DUMMYFUNCTION("""COMPUTED_VALUE"""),"")</f>
        <v/>
      </c>
      <c r="O9390" s="17"/>
    </row>
    <row r="9391">
      <c r="B9391" s="17" t="s">
        <v>477</v>
      </c>
      <c r="K9391" s="18" t="s">
        <v>477</v>
      </c>
      <c r="N9391" s="17" t="str">
        <f>IFERROR(__xludf.DUMMYFUNCTION("""COMPUTED_VALUE"""),"")</f>
        <v/>
      </c>
      <c r="O9391" s="17"/>
    </row>
    <row r="9392">
      <c r="B9392" s="17" t="s">
        <v>477</v>
      </c>
      <c r="K9392" s="18" t="s">
        <v>477</v>
      </c>
      <c r="N9392" s="17" t="str">
        <f>IFERROR(__xludf.DUMMYFUNCTION("""COMPUTED_VALUE"""),"")</f>
        <v/>
      </c>
      <c r="O9392" s="17"/>
    </row>
    <row r="9393">
      <c r="B9393" s="17" t="s">
        <v>477</v>
      </c>
      <c r="K9393" s="18" t="s">
        <v>477</v>
      </c>
      <c r="N9393" s="17" t="str">
        <f>IFERROR(__xludf.DUMMYFUNCTION("""COMPUTED_VALUE"""),"")</f>
        <v/>
      </c>
      <c r="O9393" s="17"/>
    </row>
    <row r="9394">
      <c r="B9394" s="17" t="s">
        <v>477</v>
      </c>
      <c r="K9394" s="18" t="s">
        <v>477</v>
      </c>
      <c r="N9394" s="17" t="str">
        <f>IFERROR(__xludf.DUMMYFUNCTION("""COMPUTED_VALUE"""),"")</f>
        <v/>
      </c>
      <c r="O9394" s="17"/>
    </row>
    <row r="9395">
      <c r="B9395" s="17" t="s">
        <v>477</v>
      </c>
      <c r="K9395" s="18" t="s">
        <v>477</v>
      </c>
      <c r="N9395" s="17" t="str">
        <f>IFERROR(__xludf.DUMMYFUNCTION("""COMPUTED_VALUE"""),"")</f>
        <v/>
      </c>
      <c r="O9395" s="17"/>
    </row>
    <row r="9396">
      <c r="B9396" s="17" t="s">
        <v>477</v>
      </c>
      <c r="K9396" s="18" t="s">
        <v>477</v>
      </c>
      <c r="N9396" s="17" t="str">
        <f>IFERROR(__xludf.DUMMYFUNCTION("""COMPUTED_VALUE"""),"")</f>
        <v/>
      </c>
      <c r="O9396" s="17"/>
    </row>
    <row r="9397">
      <c r="B9397" s="17" t="s">
        <v>477</v>
      </c>
      <c r="K9397" s="18" t="s">
        <v>477</v>
      </c>
      <c r="N9397" s="17" t="str">
        <f>IFERROR(__xludf.DUMMYFUNCTION("""COMPUTED_VALUE"""),"")</f>
        <v/>
      </c>
      <c r="O9397" s="17"/>
    </row>
    <row r="9398">
      <c r="B9398" s="17" t="s">
        <v>477</v>
      </c>
      <c r="K9398" s="18" t="s">
        <v>477</v>
      </c>
      <c r="N9398" s="17" t="str">
        <f>IFERROR(__xludf.DUMMYFUNCTION("""COMPUTED_VALUE"""),"")</f>
        <v/>
      </c>
      <c r="O9398" s="17"/>
    </row>
    <row r="9399">
      <c r="B9399" s="17" t="s">
        <v>477</v>
      </c>
      <c r="K9399" s="18" t="s">
        <v>477</v>
      </c>
      <c r="N9399" s="17" t="str">
        <f>IFERROR(__xludf.DUMMYFUNCTION("""COMPUTED_VALUE"""),"")</f>
        <v/>
      </c>
      <c r="O9399" s="17"/>
    </row>
    <row r="9400">
      <c r="B9400" s="17" t="s">
        <v>477</v>
      </c>
      <c r="K9400" s="18" t="s">
        <v>477</v>
      </c>
      <c r="N9400" s="17" t="str">
        <f>IFERROR(__xludf.DUMMYFUNCTION("""COMPUTED_VALUE"""),"")</f>
        <v/>
      </c>
      <c r="O9400" s="17"/>
    </row>
    <row r="9401">
      <c r="B9401" s="17" t="s">
        <v>477</v>
      </c>
      <c r="K9401" s="18" t="s">
        <v>477</v>
      </c>
      <c r="N9401" s="17" t="str">
        <f>IFERROR(__xludf.DUMMYFUNCTION("""COMPUTED_VALUE"""),"")</f>
        <v/>
      </c>
      <c r="O9401" s="17"/>
    </row>
    <row r="9402">
      <c r="B9402" s="17" t="s">
        <v>477</v>
      </c>
      <c r="K9402" s="18" t="s">
        <v>477</v>
      </c>
      <c r="N9402" s="17" t="str">
        <f>IFERROR(__xludf.DUMMYFUNCTION("""COMPUTED_VALUE"""),"")</f>
        <v/>
      </c>
      <c r="O9402" s="17"/>
    </row>
    <row r="9403">
      <c r="B9403" s="17" t="s">
        <v>477</v>
      </c>
      <c r="K9403" s="18" t="s">
        <v>477</v>
      </c>
      <c r="N9403" s="17" t="str">
        <f>IFERROR(__xludf.DUMMYFUNCTION("""COMPUTED_VALUE"""),"")</f>
        <v/>
      </c>
      <c r="O9403" s="17"/>
    </row>
    <row r="9404">
      <c r="B9404" s="17" t="s">
        <v>477</v>
      </c>
      <c r="K9404" s="18" t="s">
        <v>477</v>
      </c>
      <c r="N9404" s="17" t="str">
        <f>IFERROR(__xludf.DUMMYFUNCTION("""COMPUTED_VALUE"""),"")</f>
        <v/>
      </c>
      <c r="O9404" s="17"/>
    </row>
    <row r="9405">
      <c r="B9405" s="17" t="s">
        <v>477</v>
      </c>
      <c r="K9405" s="18" t="s">
        <v>477</v>
      </c>
      <c r="N9405" s="17" t="str">
        <f>IFERROR(__xludf.DUMMYFUNCTION("""COMPUTED_VALUE"""),"")</f>
        <v/>
      </c>
      <c r="O9405" s="17"/>
    </row>
    <row r="9406">
      <c r="B9406" s="17" t="s">
        <v>477</v>
      </c>
      <c r="K9406" s="18" t="s">
        <v>477</v>
      </c>
      <c r="N9406" s="17" t="str">
        <f>IFERROR(__xludf.DUMMYFUNCTION("""COMPUTED_VALUE"""),"")</f>
        <v/>
      </c>
      <c r="O9406" s="17"/>
    </row>
    <row r="9407">
      <c r="B9407" s="17" t="s">
        <v>477</v>
      </c>
      <c r="K9407" s="18" t="s">
        <v>477</v>
      </c>
      <c r="N9407" s="17" t="str">
        <f>IFERROR(__xludf.DUMMYFUNCTION("""COMPUTED_VALUE"""),"")</f>
        <v/>
      </c>
      <c r="O9407" s="17"/>
    </row>
    <row r="9408">
      <c r="B9408" s="17" t="s">
        <v>477</v>
      </c>
      <c r="K9408" s="18" t="s">
        <v>477</v>
      </c>
      <c r="N9408" s="17" t="str">
        <f>IFERROR(__xludf.DUMMYFUNCTION("""COMPUTED_VALUE"""),"")</f>
        <v/>
      </c>
      <c r="O9408" s="17"/>
    </row>
    <row r="9409">
      <c r="B9409" s="17" t="s">
        <v>477</v>
      </c>
      <c r="K9409" s="18" t="s">
        <v>477</v>
      </c>
      <c r="N9409" s="17" t="str">
        <f>IFERROR(__xludf.DUMMYFUNCTION("""COMPUTED_VALUE"""),"")</f>
        <v/>
      </c>
      <c r="O9409" s="17"/>
    </row>
    <row r="9410">
      <c r="B9410" s="17" t="s">
        <v>477</v>
      </c>
      <c r="K9410" s="18" t="s">
        <v>477</v>
      </c>
      <c r="N9410" s="17" t="str">
        <f>IFERROR(__xludf.DUMMYFUNCTION("""COMPUTED_VALUE"""),"")</f>
        <v/>
      </c>
      <c r="O9410" s="17"/>
    </row>
    <row r="9411">
      <c r="B9411" s="17" t="s">
        <v>477</v>
      </c>
      <c r="K9411" s="18" t="s">
        <v>477</v>
      </c>
      <c r="N9411" s="17" t="str">
        <f>IFERROR(__xludf.DUMMYFUNCTION("""COMPUTED_VALUE"""),"")</f>
        <v/>
      </c>
      <c r="O9411" s="17"/>
    </row>
    <row r="9412">
      <c r="B9412" s="17" t="s">
        <v>477</v>
      </c>
      <c r="K9412" s="18" t="s">
        <v>477</v>
      </c>
      <c r="N9412" s="17" t="str">
        <f>IFERROR(__xludf.DUMMYFUNCTION("""COMPUTED_VALUE"""),"")</f>
        <v/>
      </c>
      <c r="O9412" s="17"/>
    </row>
    <row r="9413">
      <c r="B9413" s="17" t="s">
        <v>477</v>
      </c>
      <c r="K9413" s="18" t="s">
        <v>477</v>
      </c>
      <c r="N9413" s="17" t="str">
        <f>IFERROR(__xludf.DUMMYFUNCTION("""COMPUTED_VALUE"""),"")</f>
        <v/>
      </c>
      <c r="O9413" s="17"/>
    </row>
    <row r="9414">
      <c r="B9414" s="17" t="s">
        <v>477</v>
      </c>
      <c r="K9414" s="18" t="s">
        <v>477</v>
      </c>
      <c r="N9414" s="17" t="str">
        <f>IFERROR(__xludf.DUMMYFUNCTION("""COMPUTED_VALUE"""),"")</f>
        <v/>
      </c>
      <c r="O9414" s="17"/>
    </row>
    <row r="9415">
      <c r="B9415" s="17" t="s">
        <v>477</v>
      </c>
      <c r="K9415" s="18" t="s">
        <v>477</v>
      </c>
      <c r="N9415" s="17" t="str">
        <f>IFERROR(__xludf.DUMMYFUNCTION("""COMPUTED_VALUE"""),"")</f>
        <v/>
      </c>
      <c r="O9415" s="17"/>
    </row>
    <row r="9416">
      <c r="B9416" s="17" t="s">
        <v>477</v>
      </c>
      <c r="K9416" s="18" t="s">
        <v>477</v>
      </c>
      <c r="N9416" s="17" t="str">
        <f>IFERROR(__xludf.DUMMYFUNCTION("""COMPUTED_VALUE"""),"")</f>
        <v/>
      </c>
      <c r="O9416" s="17"/>
    </row>
    <row r="9417">
      <c r="B9417" s="17" t="s">
        <v>477</v>
      </c>
      <c r="K9417" s="18" t="s">
        <v>477</v>
      </c>
      <c r="N9417" s="17" t="str">
        <f>IFERROR(__xludf.DUMMYFUNCTION("""COMPUTED_VALUE"""),"")</f>
        <v/>
      </c>
      <c r="O9417" s="17"/>
    </row>
    <row r="9418">
      <c r="B9418" s="17" t="s">
        <v>477</v>
      </c>
      <c r="K9418" s="18" t="s">
        <v>477</v>
      </c>
      <c r="N9418" s="17" t="str">
        <f>IFERROR(__xludf.DUMMYFUNCTION("""COMPUTED_VALUE"""),"")</f>
        <v/>
      </c>
      <c r="O9418" s="17"/>
    </row>
    <row r="9419">
      <c r="B9419" s="17" t="s">
        <v>477</v>
      </c>
      <c r="K9419" s="18" t="s">
        <v>477</v>
      </c>
      <c r="N9419" s="17" t="str">
        <f>IFERROR(__xludf.DUMMYFUNCTION("""COMPUTED_VALUE"""),"")</f>
        <v/>
      </c>
      <c r="O9419" s="17"/>
    </row>
    <row r="9420">
      <c r="B9420" s="17" t="s">
        <v>477</v>
      </c>
      <c r="K9420" s="18" t="s">
        <v>477</v>
      </c>
      <c r="N9420" s="17" t="str">
        <f>IFERROR(__xludf.DUMMYFUNCTION("""COMPUTED_VALUE"""),"")</f>
        <v/>
      </c>
      <c r="O9420" s="17"/>
    </row>
    <row r="9421">
      <c r="B9421" s="17" t="s">
        <v>477</v>
      </c>
      <c r="K9421" s="18" t="s">
        <v>477</v>
      </c>
      <c r="N9421" s="17" t="str">
        <f>IFERROR(__xludf.DUMMYFUNCTION("""COMPUTED_VALUE"""),"")</f>
        <v/>
      </c>
      <c r="O9421" s="17"/>
    </row>
    <row r="9422">
      <c r="B9422" s="17" t="s">
        <v>477</v>
      </c>
      <c r="K9422" s="18" t="s">
        <v>477</v>
      </c>
      <c r="N9422" s="17" t="str">
        <f>IFERROR(__xludf.DUMMYFUNCTION("""COMPUTED_VALUE"""),"")</f>
        <v/>
      </c>
      <c r="O9422" s="17"/>
    </row>
    <row r="9423">
      <c r="B9423" s="17" t="s">
        <v>477</v>
      </c>
      <c r="K9423" s="18" t="s">
        <v>477</v>
      </c>
      <c r="N9423" s="17" t="str">
        <f>IFERROR(__xludf.DUMMYFUNCTION("""COMPUTED_VALUE"""),"")</f>
        <v/>
      </c>
      <c r="O9423" s="17"/>
    </row>
    <row r="9424">
      <c r="B9424" s="17" t="s">
        <v>477</v>
      </c>
      <c r="K9424" s="18" t="s">
        <v>477</v>
      </c>
      <c r="N9424" s="17" t="str">
        <f>IFERROR(__xludf.DUMMYFUNCTION("""COMPUTED_VALUE"""),"")</f>
        <v/>
      </c>
      <c r="O9424" s="17"/>
    </row>
    <row r="9425">
      <c r="B9425" s="17" t="s">
        <v>477</v>
      </c>
      <c r="K9425" s="18" t="s">
        <v>477</v>
      </c>
      <c r="N9425" s="17" t="str">
        <f>IFERROR(__xludf.DUMMYFUNCTION("""COMPUTED_VALUE"""),"")</f>
        <v/>
      </c>
      <c r="O9425" s="17"/>
    </row>
    <row r="9426">
      <c r="B9426" s="17" t="s">
        <v>477</v>
      </c>
      <c r="K9426" s="18" t="s">
        <v>477</v>
      </c>
      <c r="N9426" s="17" t="str">
        <f>IFERROR(__xludf.DUMMYFUNCTION("""COMPUTED_VALUE"""),"")</f>
        <v/>
      </c>
      <c r="O9426" s="17"/>
    </row>
    <row r="9427">
      <c r="B9427" s="17" t="s">
        <v>477</v>
      </c>
      <c r="K9427" s="18" t="s">
        <v>477</v>
      </c>
      <c r="N9427" s="17" t="str">
        <f>IFERROR(__xludf.DUMMYFUNCTION("""COMPUTED_VALUE"""),"")</f>
        <v/>
      </c>
      <c r="O9427" s="17"/>
    </row>
    <row r="9428">
      <c r="B9428" s="17" t="s">
        <v>477</v>
      </c>
      <c r="K9428" s="18" t="s">
        <v>477</v>
      </c>
      <c r="N9428" s="17" t="str">
        <f>IFERROR(__xludf.DUMMYFUNCTION("""COMPUTED_VALUE"""),"")</f>
        <v/>
      </c>
      <c r="O9428" s="17"/>
    </row>
    <row r="9429">
      <c r="B9429" s="17" t="s">
        <v>477</v>
      </c>
      <c r="K9429" s="18" t="s">
        <v>477</v>
      </c>
      <c r="N9429" s="17" t="str">
        <f>IFERROR(__xludf.DUMMYFUNCTION("""COMPUTED_VALUE"""),"")</f>
        <v/>
      </c>
      <c r="O9429" s="17"/>
    </row>
    <row r="9430">
      <c r="B9430" s="17" t="s">
        <v>477</v>
      </c>
      <c r="K9430" s="18" t="s">
        <v>477</v>
      </c>
      <c r="N9430" s="17" t="str">
        <f>IFERROR(__xludf.DUMMYFUNCTION("""COMPUTED_VALUE"""),"")</f>
        <v/>
      </c>
      <c r="O9430" s="17"/>
    </row>
    <row r="9431">
      <c r="B9431" s="17" t="s">
        <v>477</v>
      </c>
      <c r="K9431" s="18" t="s">
        <v>477</v>
      </c>
      <c r="N9431" s="17" t="str">
        <f>IFERROR(__xludf.DUMMYFUNCTION("""COMPUTED_VALUE"""),"")</f>
        <v/>
      </c>
      <c r="O9431" s="17"/>
    </row>
    <row r="9432">
      <c r="B9432" s="17" t="s">
        <v>477</v>
      </c>
      <c r="K9432" s="18" t="s">
        <v>477</v>
      </c>
      <c r="N9432" s="17" t="str">
        <f>IFERROR(__xludf.DUMMYFUNCTION("""COMPUTED_VALUE"""),"")</f>
        <v/>
      </c>
      <c r="O9432" s="17"/>
    </row>
    <row r="9433">
      <c r="B9433" s="17" t="s">
        <v>477</v>
      </c>
      <c r="K9433" s="18" t="s">
        <v>477</v>
      </c>
      <c r="N9433" s="17" t="str">
        <f>IFERROR(__xludf.DUMMYFUNCTION("""COMPUTED_VALUE"""),"")</f>
        <v/>
      </c>
      <c r="O9433" s="17"/>
    </row>
    <row r="9434">
      <c r="B9434" s="17" t="s">
        <v>477</v>
      </c>
      <c r="K9434" s="18" t="s">
        <v>477</v>
      </c>
      <c r="N9434" s="17" t="str">
        <f>IFERROR(__xludf.DUMMYFUNCTION("""COMPUTED_VALUE"""),"")</f>
        <v/>
      </c>
      <c r="O9434" s="17"/>
    </row>
    <row r="9435">
      <c r="B9435" s="17" t="s">
        <v>477</v>
      </c>
      <c r="K9435" s="18" t="s">
        <v>477</v>
      </c>
      <c r="N9435" s="17" t="str">
        <f>IFERROR(__xludf.DUMMYFUNCTION("""COMPUTED_VALUE"""),"")</f>
        <v/>
      </c>
      <c r="O9435" s="17"/>
    </row>
    <row r="9436">
      <c r="B9436" s="17" t="s">
        <v>477</v>
      </c>
      <c r="K9436" s="18" t="s">
        <v>477</v>
      </c>
      <c r="N9436" s="17" t="str">
        <f>IFERROR(__xludf.DUMMYFUNCTION("""COMPUTED_VALUE"""),"")</f>
        <v/>
      </c>
      <c r="O9436" s="17"/>
    </row>
    <row r="9437">
      <c r="B9437" s="17" t="s">
        <v>477</v>
      </c>
      <c r="K9437" s="18" t="s">
        <v>477</v>
      </c>
      <c r="N9437" s="17" t="str">
        <f>IFERROR(__xludf.DUMMYFUNCTION("""COMPUTED_VALUE"""),"")</f>
        <v/>
      </c>
      <c r="O9437" s="17"/>
    </row>
    <row r="9438">
      <c r="B9438" s="17" t="s">
        <v>477</v>
      </c>
      <c r="K9438" s="18" t="s">
        <v>477</v>
      </c>
      <c r="N9438" s="17" t="str">
        <f>IFERROR(__xludf.DUMMYFUNCTION("""COMPUTED_VALUE"""),"")</f>
        <v/>
      </c>
      <c r="O9438" s="17"/>
    </row>
    <row r="9439">
      <c r="B9439" s="17" t="s">
        <v>477</v>
      </c>
      <c r="K9439" s="18" t="s">
        <v>477</v>
      </c>
      <c r="N9439" s="17" t="str">
        <f>IFERROR(__xludf.DUMMYFUNCTION("""COMPUTED_VALUE"""),"")</f>
        <v/>
      </c>
      <c r="O9439" s="17"/>
    </row>
    <row r="9440">
      <c r="B9440" s="17" t="s">
        <v>477</v>
      </c>
      <c r="K9440" s="18" t="s">
        <v>477</v>
      </c>
      <c r="N9440" s="17" t="str">
        <f>IFERROR(__xludf.DUMMYFUNCTION("""COMPUTED_VALUE"""),"")</f>
        <v/>
      </c>
      <c r="O9440" s="17"/>
    </row>
    <row r="9441">
      <c r="B9441" s="17" t="s">
        <v>477</v>
      </c>
      <c r="K9441" s="18" t="s">
        <v>477</v>
      </c>
      <c r="N9441" s="17" t="str">
        <f>IFERROR(__xludf.DUMMYFUNCTION("""COMPUTED_VALUE"""),"")</f>
        <v/>
      </c>
      <c r="O9441" s="17"/>
    </row>
    <row r="9442">
      <c r="B9442" s="17" t="s">
        <v>477</v>
      </c>
      <c r="K9442" s="18" t="s">
        <v>477</v>
      </c>
      <c r="N9442" s="17" t="str">
        <f>IFERROR(__xludf.DUMMYFUNCTION("""COMPUTED_VALUE"""),"")</f>
        <v/>
      </c>
      <c r="O9442" s="17"/>
    </row>
    <row r="9443">
      <c r="B9443" s="17" t="s">
        <v>477</v>
      </c>
      <c r="K9443" s="18" t="s">
        <v>477</v>
      </c>
      <c r="N9443" s="17" t="str">
        <f>IFERROR(__xludf.DUMMYFUNCTION("""COMPUTED_VALUE"""),"")</f>
        <v/>
      </c>
      <c r="O9443" s="17"/>
    </row>
    <row r="9444">
      <c r="B9444" s="17" t="s">
        <v>477</v>
      </c>
      <c r="K9444" s="18" t="s">
        <v>477</v>
      </c>
      <c r="N9444" s="17" t="str">
        <f>IFERROR(__xludf.DUMMYFUNCTION("""COMPUTED_VALUE"""),"")</f>
        <v/>
      </c>
      <c r="O9444" s="17"/>
    </row>
    <row r="9445">
      <c r="B9445" s="17" t="s">
        <v>477</v>
      </c>
      <c r="K9445" s="18" t="s">
        <v>477</v>
      </c>
      <c r="N9445" s="17" t="str">
        <f>IFERROR(__xludf.DUMMYFUNCTION("""COMPUTED_VALUE"""),"")</f>
        <v/>
      </c>
      <c r="O9445" s="17"/>
    </row>
    <row r="9446">
      <c r="B9446" s="17" t="s">
        <v>477</v>
      </c>
      <c r="K9446" s="18" t="s">
        <v>477</v>
      </c>
      <c r="N9446" s="17" t="str">
        <f>IFERROR(__xludf.DUMMYFUNCTION("""COMPUTED_VALUE"""),"")</f>
        <v/>
      </c>
      <c r="O9446" s="17"/>
    </row>
    <row r="9447">
      <c r="B9447" s="17" t="s">
        <v>477</v>
      </c>
      <c r="K9447" s="18" t="s">
        <v>477</v>
      </c>
      <c r="N9447" s="17" t="str">
        <f>IFERROR(__xludf.DUMMYFUNCTION("""COMPUTED_VALUE"""),"")</f>
        <v/>
      </c>
      <c r="O9447" s="17"/>
    </row>
    <row r="9448">
      <c r="B9448" s="17" t="s">
        <v>477</v>
      </c>
      <c r="K9448" s="18" t="s">
        <v>477</v>
      </c>
      <c r="N9448" s="17" t="str">
        <f>IFERROR(__xludf.DUMMYFUNCTION("""COMPUTED_VALUE"""),"")</f>
        <v/>
      </c>
      <c r="O9448" s="17"/>
    </row>
    <row r="9449">
      <c r="B9449" s="17" t="s">
        <v>477</v>
      </c>
      <c r="K9449" s="18" t="s">
        <v>477</v>
      </c>
      <c r="N9449" s="17" t="str">
        <f>IFERROR(__xludf.DUMMYFUNCTION("""COMPUTED_VALUE"""),"")</f>
        <v/>
      </c>
      <c r="O9449" s="17"/>
    </row>
    <row r="9450">
      <c r="B9450" s="17" t="s">
        <v>477</v>
      </c>
      <c r="K9450" s="18" t="s">
        <v>477</v>
      </c>
      <c r="N9450" s="17" t="str">
        <f>IFERROR(__xludf.DUMMYFUNCTION("""COMPUTED_VALUE"""),"")</f>
        <v/>
      </c>
      <c r="O9450" s="17"/>
    </row>
    <row r="9451">
      <c r="B9451" s="17" t="s">
        <v>477</v>
      </c>
      <c r="K9451" s="18" t="s">
        <v>477</v>
      </c>
      <c r="N9451" s="17" t="str">
        <f>IFERROR(__xludf.DUMMYFUNCTION("""COMPUTED_VALUE"""),"")</f>
        <v/>
      </c>
      <c r="O9451" s="17"/>
    </row>
    <row r="9452">
      <c r="B9452" s="17" t="s">
        <v>477</v>
      </c>
      <c r="K9452" s="18" t="s">
        <v>477</v>
      </c>
      <c r="N9452" s="17" t="str">
        <f>IFERROR(__xludf.DUMMYFUNCTION("""COMPUTED_VALUE"""),"")</f>
        <v/>
      </c>
      <c r="O9452" s="17"/>
    </row>
    <row r="9453">
      <c r="B9453" s="17" t="s">
        <v>477</v>
      </c>
      <c r="K9453" s="18" t="s">
        <v>477</v>
      </c>
      <c r="N9453" s="17" t="str">
        <f>IFERROR(__xludf.DUMMYFUNCTION("""COMPUTED_VALUE"""),"")</f>
        <v/>
      </c>
      <c r="O9453" s="17"/>
    </row>
    <row r="9454">
      <c r="B9454" s="17" t="s">
        <v>477</v>
      </c>
      <c r="K9454" s="18" t="s">
        <v>477</v>
      </c>
      <c r="N9454" s="17" t="str">
        <f>IFERROR(__xludf.DUMMYFUNCTION("""COMPUTED_VALUE"""),"")</f>
        <v/>
      </c>
      <c r="O9454" s="17"/>
    </row>
    <row r="9455">
      <c r="B9455" s="17" t="s">
        <v>477</v>
      </c>
      <c r="K9455" s="18" t="s">
        <v>477</v>
      </c>
      <c r="N9455" s="17" t="str">
        <f>IFERROR(__xludf.DUMMYFUNCTION("""COMPUTED_VALUE"""),"")</f>
        <v/>
      </c>
      <c r="O9455" s="17"/>
    </row>
    <row r="9456">
      <c r="B9456" s="17" t="s">
        <v>477</v>
      </c>
      <c r="K9456" s="18" t="s">
        <v>477</v>
      </c>
      <c r="N9456" s="17" t="str">
        <f>IFERROR(__xludf.DUMMYFUNCTION("""COMPUTED_VALUE"""),"")</f>
        <v/>
      </c>
      <c r="O9456" s="17"/>
    </row>
    <row r="9457">
      <c r="B9457" s="17" t="s">
        <v>477</v>
      </c>
      <c r="K9457" s="18" t="s">
        <v>477</v>
      </c>
      <c r="N9457" s="17" t="str">
        <f>IFERROR(__xludf.DUMMYFUNCTION("""COMPUTED_VALUE"""),"")</f>
        <v/>
      </c>
      <c r="O9457" s="17"/>
    </row>
    <row r="9458">
      <c r="B9458" s="17" t="s">
        <v>477</v>
      </c>
      <c r="K9458" s="18" t="s">
        <v>477</v>
      </c>
      <c r="N9458" s="17" t="str">
        <f>IFERROR(__xludf.DUMMYFUNCTION("""COMPUTED_VALUE"""),"")</f>
        <v/>
      </c>
      <c r="O9458" s="17"/>
    </row>
    <row r="9459">
      <c r="B9459" s="17" t="s">
        <v>477</v>
      </c>
      <c r="K9459" s="18" t="s">
        <v>477</v>
      </c>
      <c r="N9459" s="17" t="str">
        <f>IFERROR(__xludf.DUMMYFUNCTION("""COMPUTED_VALUE"""),"")</f>
        <v/>
      </c>
      <c r="O9459" s="17"/>
    </row>
    <row r="9460">
      <c r="B9460" s="17" t="s">
        <v>477</v>
      </c>
      <c r="K9460" s="18" t="s">
        <v>477</v>
      </c>
      <c r="N9460" s="17" t="str">
        <f>IFERROR(__xludf.DUMMYFUNCTION("""COMPUTED_VALUE"""),"")</f>
        <v/>
      </c>
      <c r="O9460" s="17"/>
    </row>
    <row r="9461">
      <c r="B9461" s="17" t="s">
        <v>477</v>
      </c>
      <c r="K9461" s="18" t="s">
        <v>477</v>
      </c>
      <c r="N9461" s="17" t="str">
        <f>IFERROR(__xludf.DUMMYFUNCTION("""COMPUTED_VALUE"""),"")</f>
        <v/>
      </c>
      <c r="O9461" s="17"/>
    </row>
    <row r="9462">
      <c r="B9462" s="17" t="s">
        <v>477</v>
      </c>
      <c r="K9462" s="18" t="s">
        <v>477</v>
      </c>
      <c r="N9462" s="17" t="str">
        <f>IFERROR(__xludf.DUMMYFUNCTION("""COMPUTED_VALUE"""),"")</f>
        <v/>
      </c>
      <c r="O9462" s="17"/>
    </row>
    <row r="9463">
      <c r="B9463" s="17" t="s">
        <v>477</v>
      </c>
      <c r="K9463" s="18" t="s">
        <v>477</v>
      </c>
      <c r="N9463" s="17" t="str">
        <f>IFERROR(__xludf.DUMMYFUNCTION("""COMPUTED_VALUE"""),"")</f>
        <v/>
      </c>
      <c r="O9463" s="17"/>
    </row>
    <row r="9464">
      <c r="B9464" s="17" t="s">
        <v>477</v>
      </c>
      <c r="K9464" s="18" t="s">
        <v>477</v>
      </c>
      <c r="N9464" s="17" t="str">
        <f>IFERROR(__xludf.DUMMYFUNCTION("""COMPUTED_VALUE"""),"")</f>
        <v/>
      </c>
      <c r="O9464" s="17"/>
    </row>
    <row r="9465">
      <c r="B9465" s="17" t="s">
        <v>477</v>
      </c>
      <c r="K9465" s="18" t="s">
        <v>477</v>
      </c>
      <c r="N9465" s="17" t="str">
        <f>IFERROR(__xludf.DUMMYFUNCTION("""COMPUTED_VALUE"""),"")</f>
        <v/>
      </c>
      <c r="O9465" s="17"/>
    </row>
    <row r="9466">
      <c r="B9466" s="17" t="s">
        <v>477</v>
      </c>
      <c r="K9466" s="18" t="s">
        <v>477</v>
      </c>
      <c r="N9466" s="17" t="str">
        <f>IFERROR(__xludf.DUMMYFUNCTION("""COMPUTED_VALUE"""),"")</f>
        <v/>
      </c>
      <c r="O9466" s="17"/>
    </row>
    <row r="9467">
      <c r="B9467" s="17" t="s">
        <v>477</v>
      </c>
      <c r="K9467" s="18" t="s">
        <v>477</v>
      </c>
      <c r="N9467" s="17" t="str">
        <f>IFERROR(__xludf.DUMMYFUNCTION("""COMPUTED_VALUE"""),"")</f>
        <v/>
      </c>
      <c r="O9467" s="17"/>
    </row>
    <row r="9468">
      <c r="B9468" s="17" t="s">
        <v>477</v>
      </c>
      <c r="K9468" s="18" t="s">
        <v>477</v>
      </c>
      <c r="N9468" s="17" t="str">
        <f>IFERROR(__xludf.DUMMYFUNCTION("""COMPUTED_VALUE"""),"")</f>
        <v/>
      </c>
      <c r="O9468" s="17"/>
    </row>
    <row r="9469">
      <c r="B9469" s="17" t="s">
        <v>477</v>
      </c>
      <c r="K9469" s="18" t="s">
        <v>477</v>
      </c>
      <c r="N9469" s="17" t="str">
        <f>IFERROR(__xludf.DUMMYFUNCTION("""COMPUTED_VALUE"""),"")</f>
        <v/>
      </c>
      <c r="O9469" s="17"/>
    </row>
    <row r="9470">
      <c r="B9470" s="17" t="s">
        <v>477</v>
      </c>
      <c r="K9470" s="18" t="s">
        <v>477</v>
      </c>
      <c r="N9470" s="17" t="str">
        <f>IFERROR(__xludf.DUMMYFUNCTION("""COMPUTED_VALUE"""),"")</f>
        <v/>
      </c>
      <c r="O9470" s="17"/>
    </row>
    <row r="9471">
      <c r="B9471" s="17" t="s">
        <v>477</v>
      </c>
      <c r="K9471" s="18" t="s">
        <v>477</v>
      </c>
      <c r="N9471" s="17" t="str">
        <f>IFERROR(__xludf.DUMMYFUNCTION("""COMPUTED_VALUE"""),"")</f>
        <v/>
      </c>
      <c r="O9471" s="17"/>
    </row>
    <row r="9472">
      <c r="B9472" s="17" t="s">
        <v>477</v>
      </c>
      <c r="K9472" s="18" t="s">
        <v>477</v>
      </c>
      <c r="N9472" s="17" t="str">
        <f>IFERROR(__xludf.DUMMYFUNCTION("""COMPUTED_VALUE"""),"")</f>
        <v/>
      </c>
      <c r="O9472" s="17"/>
    </row>
    <row r="9473">
      <c r="B9473" s="17" t="s">
        <v>477</v>
      </c>
      <c r="K9473" s="18" t="s">
        <v>477</v>
      </c>
      <c r="N9473" s="17" t="str">
        <f>IFERROR(__xludf.DUMMYFUNCTION("""COMPUTED_VALUE"""),"")</f>
        <v/>
      </c>
      <c r="O9473" s="17"/>
    </row>
    <row r="9474">
      <c r="B9474" s="17" t="s">
        <v>477</v>
      </c>
      <c r="K9474" s="18" t="s">
        <v>477</v>
      </c>
      <c r="N9474" s="17" t="str">
        <f>IFERROR(__xludf.DUMMYFUNCTION("""COMPUTED_VALUE"""),"")</f>
        <v/>
      </c>
      <c r="O9474" s="17"/>
    </row>
    <row r="9475">
      <c r="B9475" s="17" t="s">
        <v>477</v>
      </c>
      <c r="K9475" s="18" t="s">
        <v>477</v>
      </c>
      <c r="N9475" s="17" t="str">
        <f>IFERROR(__xludf.DUMMYFUNCTION("""COMPUTED_VALUE"""),"")</f>
        <v/>
      </c>
      <c r="O9475" s="17"/>
    </row>
    <row r="9476">
      <c r="B9476" s="17" t="s">
        <v>477</v>
      </c>
      <c r="K9476" s="18" t="s">
        <v>477</v>
      </c>
      <c r="N9476" s="17" t="str">
        <f>IFERROR(__xludf.DUMMYFUNCTION("""COMPUTED_VALUE"""),"")</f>
        <v/>
      </c>
      <c r="O9476" s="17"/>
    </row>
    <row r="9477">
      <c r="B9477" s="17" t="s">
        <v>477</v>
      </c>
      <c r="K9477" s="18" t="s">
        <v>477</v>
      </c>
      <c r="N9477" s="17" t="str">
        <f>IFERROR(__xludf.DUMMYFUNCTION("""COMPUTED_VALUE"""),"")</f>
        <v/>
      </c>
      <c r="O9477" s="17"/>
    </row>
    <row r="9478">
      <c r="B9478" s="17" t="s">
        <v>477</v>
      </c>
      <c r="K9478" s="18" t="s">
        <v>477</v>
      </c>
      <c r="N9478" s="17" t="str">
        <f>IFERROR(__xludf.DUMMYFUNCTION("""COMPUTED_VALUE"""),"")</f>
        <v/>
      </c>
      <c r="O9478" s="17"/>
    </row>
    <row r="9479">
      <c r="B9479" s="17" t="s">
        <v>477</v>
      </c>
      <c r="K9479" s="18" t="s">
        <v>477</v>
      </c>
      <c r="N9479" s="17" t="str">
        <f>IFERROR(__xludf.DUMMYFUNCTION("""COMPUTED_VALUE"""),"")</f>
        <v/>
      </c>
      <c r="O9479" s="17"/>
    </row>
    <row r="9480">
      <c r="B9480" s="17" t="s">
        <v>477</v>
      </c>
      <c r="K9480" s="18" t="s">
        <v>477</v>
      </c>
      <c r="N9480" s="17" t="str">
        <f>IFERROR(__xludf.DUMMYFUNCTION("""COMPUTED_VALUE"""),"")</f>
        <v/>
      </c>
      <c r="O9480" s="17"/>
    </row>
    <row r="9481">
      <c r="B9481" s="17" t="s">
        <v>477</v>
      </c>
      <c r="K9481" s="18" t="s">
        <v>477</v>
      </c>
      <c r="N9481" s="17" t="str">
        <f>IFERROR(__xludf.DUMMYFUNCTION("""COMPUTED_VALUE"""),"")</f>
        <v/>
      </c>
      <c r="O9481" s="17"/>
    </row>
    <row r="9482">
      <c r="B9482" s="17" t="s">
        <v>477</v>
      </c>
      <c r="K9482" s="18" t="s">
        <v>477</v>
      </c>
      <c r="N9482" s="17" t="str">
        <f>IFERROR(__xludf.DUMMYFUNCTION("""COMPUTED_VALUE"""),"")</f>
        <v/>
      </c>
      <c r="O9482" s="17"/>
    </row>
    <row r="9483">
      <c r="B9483" s="17" t="s">
        <v>477</v>
      </c>
      <c r="K9483" s="18" t="s">
        <v>477</v>
      </c>
      <c r="N9483" s="17" t="str">
        <f>IFERROR(__xludf.DUMMYFUNCTION("""COMPUTED_VALUE"""),"")</f>
        <v/>
      </c>
      <c r="O9483" s="17"/>
    </row>
    <row r="9484">
      <c r="B9484" s="17" t="s">
        <v>477</v>
      </c>
      <c r="K9484" s="18" t="s">
        <v>477</v>
      </c>
      <c r="N9484" s="17" t="str">
        <f>IFERROR(__xludf.DUMMYFUNCTION("""COMPUTED_VALUE"""),"")</f>
        <v/>
      </c>
      <c r="O9484" s="17"/>
    </row>
    <row r="9485">
      <c r="B9485" s="17" t="s">
        <v>477</v>
      </c>
      <c r="K9485" s="18" t="s">
        <v>477</v>
      </c>
      <c r="N9485" s="17" t="str">
        <f>IFERROR(__xludf.DUMMYFUNCTION("""COMPUTED_VALUE"""),"")</f>
        <v/>
      </c>
      <c r="O9485" s="17"/>
    </row>
    <row r="9486">
      <c r="B9486" s="17" t="s">
        <v>477</v>
      </c>
      <c r="K9486" s="18" t="s">
        <v>477</v>
      </c>
      <c r="N9486" s="17" t="str">
        <f>IFERROR(__xludf.DUMMYFUNCTION("""COMPUTED_VALUE"""),"")</f>
        <v/>
      </c>
      <c r="O9486" s="17"/>
    </row>
    <row r="9487">
      <c r="B9487" s="17" t="s">
        <v>477</v>
      </c>
      <c r="K9487" s="18" t="s">
        <v>477</v>
      </c>
      <c r="N9487" s="17" t="str">
        <f>IFERROR(__xludf.DUMMYFUNCTION("""COMPUTED_VALUE"""),"")</f>
        <v/>
      </c>
      <c r="O9487" s="17"/>
    </row>
    <row r="9488">
      <c r="B9488" s="17" t="s">
        <v>477</v>
      </c>
      <c r="K9488" s="18" t="s">
        <v>477</v>
      </c>
      <c r="N9488" s="17" t="str">
        <f>IFERROR(__xludf.DUMMYFUNCTION("""COMPUTED_VALUE"""),"")</f>
        <v/>
      </c>
      <c r="O9488" s="17"/>
    </row>
    <row r="9489">
      <c r="B9489" s="17" t="s">
        <v>477</v>
      </c>
      <c r="K9489" s="18" t="s">
        <v>477</v>
      </c>
      <c r="N9489" s="17" t="str">
        <f>IFERROR(__xludf.DUMMYFUNCTION("""COMPUTED_VALUE"""),"")</f>
        <v/>
      </c>
      <c r="O9489" s="17"/>
    </row>
    <row r="9490">
      <c r="B9490" s="17" t="s">
        <v>477</v>
      </c>
      <c r="K9490" s="18" t="s">
        <v>477</v>
      </c>
      <c r="N9490" s="17" t="str">
        <f>IFERROR(__xludf.DUMMYFUNCTION("""COMPUTED_VALUE"""),"")</f>
        <v/>
      </c>
      <c r="O9490" s="17"/>
    </row>
    <row r="9491">
      <c r="B9491" s="17" t="s">
        <v>477</v>
      </c>
      <c r="K9491" s="18" t="s">
        <v>477</v>
      </c>
      <c r="N9491" s="17" t="str">
        <f>IFERROR(__xludf.DUMMYFUNCTION("""COMPUTED_VALUE"""),"")</f>
        <v/>
      </c>
      <c r="O9491" s="17"/>
    </row>
    <row r="9492">
      <c r="B9492" s="17" t="s">
        <v>477</v>
      </c>
      <c r="K9492" s="18" t="s">
        <v>477</v>
      </c>
      <c r="N9492" s="17" t="str">
        <f>IFERROR(__xludf.DUMMYFUNCTION("""COMPUTED_VALUE"""),"")</f>
        <v/>
      </c>
      <c r="O9492" s="17"/>
    </row>
    <row r="9493">
      <c r="B9493" s="17" t="s">
        <v>477</v>
      </c>
      <c r="K9493" s="18" t="s">
        <v>477</v>
      </c>
      <c r="N9493" s="17" t="str">
        <f>IFERROR(__xludf.DUMMYFUNCTION("""COMPUTED_VALUE"""),"")</f>
        <v/>
      </c>
      <c r="O9493" s="17"/>
    </row>
    <row r="9494">
      <c r="B9494" s="17" t="s">
        <v>477</v>
      </c>
      <c r="K9494" s="18" t="s">
        <v>477</v>
      </c>
      <c r="N9494" s="17" t="str">
        <f>IFERROR(__xludf.DUMMYFUNCTION("""COMPUTED_VALUE"""),"")</f>
        <v/>
      </c>
      <c r="O9494" s="17"/>
    </row>
    <row r="9495">
      <c r="B9495" s="17" t="s">
        <v>477</v>
      </c>
      <c r="K9495" s="18" t="s">
        <v>477</v>
      </c>
      <c r="N9495" s="17" t="str">
        <f>IFERROR(__xludf.DUMMYFUNCTION("""COMPUTED_VALUE"""),"")</f>
        <v/>
      </c>
      <c r="O9495" s="17"/>
    </row>
    <row r="9496">
      <c r="B9496" s="17" t="s">
        <v>477</v>
      </c>
      <c r="K9496" s="18" t="s">
        <v>477</v>
      </c>
      <c r="N9496" s="17" t="str">
        <f>IFERROR(__xludf.DUMMYFUNCTION("""COMPUTED_VALUE"""),"")</f>
        <v/>
      </c>
      <c r="O9496" s="17"/>
    </row>
    <row r="9497">
      <c r="B9497" s="17" t="s">
        <v>477</v>
      </c>
      <c r="K9497" s="18" t="s">
        <v>477</v>
      </c>
      <c r="N9497" s="17" t="str">
        <f>IFERROR(__xludf.DUMMYFUNCTION("""COMPUTED_VALUE"""),"")</f>
        <v/>
      </c>
      <c r="O9497" s="17"/>
    </row>
    <row r="9498">
      <c r="B9498" s="17" t="s">
        <v>477</v>
      </c>
      <c r="K9498" s="18" t="s">
        <v>477</v>
      </c>
      <c r="N9498" s="17" t="str">
        <f>IFERROR(__xludf.DUMMYFUNCTION("""COMPUTED_VALUE"""),"")</f>
        <v/>
      </c>
      <c r="O9498" s="17"/>
    </row>
    <row r="9499">
      <c r="B9499" s="17" t="s">
        <v>477</v>
      </c>
      <c r="K9499" s="18" t="s">
        <v>477</v>
      </c>
      <c r="N9499" s="17" t="str">
        <f>IFERROR(__xludf.DUMMYFUNCTION("""COMPUTED_VALUE"""),"")</f>
        <v/>
      </c>
      <c r="O9499" s="17"/>
    </row>
    <row r="9500">
      <c r="B9500" s="17" t="s">
        <v>477</v>
      </c>
      <c r="K9500" s="18" t="s">
        <v>477</v>
      </c>
      <c r="N9500" s="17" t="str">
        <f>IFERROR(__xludf.DUMMYFUNCTION("""COMPUTED_VALUE"""),"")</f>
        <v/>
      </c>
      <c r="O9500" s="17"/>
    </row>
    <row r="9501">
      <c r="B9501" s="17" t="s">
        <v>477</v>
      </c>
      <c r="K9501" s="18" t="s">
        <v>477</v>
      </c>
      <c r="N9501" s="17" t="str">
        <f>IFERROR(__xludf.DUMMYFUNCTION("""COMPUTED_VALUE"""),"")</f>
        <v/>
      </c>
      <c r="O9501" s="17"/>
    </row>
    <row r="9502">
      <c r="B9502" s="17" t="s">
        <v>477</v>
      </c>
      <c r="K9502" s="18" t="s">
        <v>477</v>
      </c>
      <c r="N9502" s="17" t="str">
        <f>IFERROR(__xludf.DUMMYFUNCTION("""COMPUTED_VALUE"""),"")</f>
        <v/>
      </c>
      <c r="O9502" s="17"/>
    </row>
    <row r="9503">
      <c r="B9503" s="17" t="s">
        <v>477</v>
      </c>
      <c r="K9503" s="18" t="s">
        <v>477</v>
      </c>
      <c r="N9503" s="17" t="str">
        <f>IFERROR(__xludf.DUMMYFUNCTION("""COMPUTED_VALUE"""),"")</f>
        <v/>
      </c>
      <c r="O9503" s="17"/>
    </row>
    <row r="9504">
      <c r="B9504" s="17" t="s">
        <v>477</v>
      </c>
      <c r="K9504" s="18" t="s">
        <v>477</v>
      </c>
      <c r="N9504" s="17" t="str">
        <f>IFERROR(__xludf.DUMMYFUNCTION("""COMPUTED_VALUE"""),"")</f>
        <v/>
      </c>
      <c r="O9504" s="17"/>
    </row>
    <row r="9505">
      <c r="B9505" s="17" t="s">
        <v>477</v>
      </c>
      <c r="K9505" s="18" t="s">
        <v>477</v>
      </c>
      <c r="N9505" s="17" t="str">
        <f>IFERROR(__xludf.DUMMYFUNCTION("""COMPUTED_VALUE"""),"")</f>
        <v/>
      </c>
      <c r="O9505" s="17"/>
    </row>
    <row r="9506">
      <c r="B9506" s="17" t="s">
        <v>477</v>
      </c>
      <c r="K9506" s="18" t="s">
        <v>477</v>
      </c>
      <c r="N9506" s="17" t="str">
        <f>IFERROR(__xludf.DUMMYFUNCTION("""COMPUTED_VALUE"""),"")</f>
        <v/>
      </c>
      <c r="O9506" s="17"/>
    </row>
    <row r="9507">
      <c r="B9507" s="17" t="s">
        <v>477</v>
      </c>
      <c r="K9507" s="18" t="s">
        <v>477</v>
      </c>
      <c r="N9507" s="17" t="str">
        <f>IFERROR(__xludf.DUMMYFUNCTION("""COMPUTED_VALUE"""),"")</f>
        <v/>
      </c>
      <c r="O9507" s="17"/>
    </row>
    <row r="9508">
      <c r="B9508" s="17" t="s">
        <v>477</v>
      </c>
      <c r="K9508" s="18" t="s">
        <v>477</v>
      </c>
      <c r="N9508" s="17" t="str">
        <f>IFERROR(__xludf.DUMMYFUNCTION("""COMPUTED_VALUE"""),"")</f>
        <v/>
      </c>
      <c r="O9508" s="17"/>
    </row>
    <row r="9509">
      <c r="B9509" s="17" t="s">
        <v>477</v>
      </c>
      <c r="K9509" s="18" t="s">
        <v>477</v>
      </c>
      <c r="N9509" s="17" t="str">
        <f>IFERROR(__xludf.DUMMYFUNCTION("""COMPUTED_VALUE"""),"")</f>
        <v/>
      </c>
      <c r="O9509" s="17"/>
    </row>
    <row r="9510">
      <c r="B9510" s="17" t="s">
        <v>477</v>
      </c>
      <c r="K9510" s="18" t="s">
        <v>477</v>
      </c>
      <c r="N9510" s="17" t="str">
        <f>IFERROR(__xludf.DUMMYFUNCTION("""COMPUTED_VALUE"""),"")</f>
        <v/>
      </c>
      <c r="O9510" s="17"/>
    </row>
    <row r="9511">
      <c r="B9511" s="17" t="s">
        <v>477</v>
      </c>
      <c r="K9511" s="18" t="s">
        <v>477</v>
      </c>
      <c r="N9511" s="17" t="str">
        <f>IFERROR(__xludf.DUMMYFUNCTION("""COMPUTED_VALUE"""),"")</f>
        <v/>
      </c>
      <c r="O9511" s="17"/>
    </row>
    <row r="9512">
      <c r="B9512" s="17" t="s">
        <v>477</v>
      </c>
      <c r="K9512" s="18" t="s">
        <v>477</v>
      </c>
      <c r="N9512" s="17" t="str">
        <f>IFERROR(__xludf.DUMMYFUNCTION("""COMPUTED_VALUE"""),"")</f>
        <v/>
      </c>
      <c r="O9512" s="17"/>
    </row>
    <row r="9513">
      <c r="B9513" s="17" t="s">
        <v>477</v>
      </c>
      <c r="K9513" s="18" t="s">
        <v>477</v>
      </c>
      <c r="N9513" s="17" t="str">
        <f>IFERROR(__xludf.DUMMYFUNCTION("""COMPUTED_VALUE"""),"")</f>
        <v/>
      </c>
      <c r="O9513" s="17"/>
    </row>
    <row r="9514">
      <c r="B9514" s="17" t="s">
        <v>477</v>
      </c>
      <c r="K9514" s="18" t="s">
        <v>477</v>
      </c>
      <c r="N9514" s="17" t="str">
        <f>IFERROR(__xludf.DUMMYFUNCTION("""COMPUTED_VALUE"""),"")</f>
        <v/>
      </c>
      <c r="O9514" s="17"/>
    </row>
    <row r="9515">
      <c r="B9515" s="17" t="s">
        <v>477</v>
      </c>
      <c r="K9515" s="18" t="s">
        <v>477</v>
      </c>
      <c r="N9515" s="17" t="str">
        <f>IFERROR(__xludf.DUMMYFUNCTION("""COMPUTED_VALUE"""),"")</f>
        <v/>
      </c>
      <c r="O9515" s="17"/>
    </row>
    <row r="9516">
      <c r="B9516" s="17" t="s">
        <v>477</v>
      </c>
      <c r="K9516" s="18" t="s">
        <v>477</v>
      </c>
      <c r="N9516" s="17" t="str">
        <f>IFERROR(__xludf.DUMMYFUNCTION("""COMPUTED_VALUE"""),"")</f>
        <v/>
      </c>
      <c r="O9516" s="17"/>
    </row>
    <row r="9517">
      <c r="B9517" s="17" t="s">
        <v>477</v>
      </c>
      <c r="K9517" s="18" t="s">
        <v>477</v>
      </c>
      <c r="N9517" s="17" t="str">
        <f>IFERROR(__xludf.DUMMYFUNCTION("""COMPUTED_VALUE"""),"")</f>
        <v/>
      </c>
      <c r="O9517" s="17"/>
    </row>
    <row r="9518">
      <c r="B9518" s="17" t="s">
        <v>477</v>
      </c>
      <c r="K9518" s="18" t="s">
        <v>477</v>
      </c>
      <c r="N9518" s="17" t="str">
        <f>IFERROR(__xludf.DUMMYFUNCTION("""COMPUTED_VALUE"""),"")</f>
        <v/>
      </c>
      <c r="O9518" s="17"/>
    </row>
    <row r="9519">
      <c r="B9519" s="17" t="s">
        <v>477</v>
      </c>
      <c r="K9519" s="18" t="s">
        <v>477</v>
      </c>
      <c r="N9519" s="17" t="str">
        <f>IFERROR(__xludf.DUMMYFUNCTION("""COMPUTED_VALUE"""),"")</f>
        <v/>
      </c>
      <c r="O9519" s="17"/>
    </row>
    <row r="9520">
      <c r="B9520" s="17" t="s">
        <v>477</v>
      </c>
      <c r="K9520" s="18" t="s">
        <v>477</v>
      </c>
      <c r="N9520" s="17" t="str">
        <f>IFERROR(__xludf.DUMMYFUNCTION("""COMPUTED_VALUE"""),"")</f>
        <v/>
      </c>
      <c r="O9520" s="17"/>
    </row>
    <row r="9521">
      <c r="B9521" s="17" t="s">
        <v>477</v>
      </c>
      <c r="K9521" s="18" t="s">
        <v>477</v>
      </c>
      <c r="N9521" s="17" t="str">
        <f>IFERROR(__xludf.DUMMYFUNCTION("""COMPUTED_VALUE"""),"")</f>
        <v/>
      </c>
      <c r="O9521" s="17"/>
    </row>
    <row r="9522">
      <c r="B9522" s="17" t="s">
        <v>477</v>
      </c>
      <c r="K9522" s="18" t="s">
        <v>477</v>
      </c>
      <c r="N9522" s="17" t="str">
        <f>IFERROR(__xludf.DUMMYFUNCTION("""COMPUTED_VALUE"""),"")</f>
        <v/>
      </c>
      <c r="O9522" s="17"/>
    </row>
    <row r="9523">
      <c r="B9523" s="17" t="s">
        <v>477</v>
      </c>
      <c r="K9523" s="18" t="s">
        <v>477</v>
      </c>
      <c r="N9523" s="17" t="str">
        <f>IFERROR(__xludf.DUMMYFUNCTION("""COMPUTED_VALUE"""),"")</f>
        <v/>
      </c>
      <c r="O9523" s="17"/>
    </row>
    <row r="9524">
      <c r="B9524" s="17" t="s">
        <v>477</v>
      </c>
      <c r="K9524" s="18" t="s">
        <v>477</v>
      </c>
      <c r="N9524" s="17" t="str">
        <f>IFERROR(__xludf.DUMMYFUNCTION("""COMPUTED_VALUE"""),"")</f>
        <v/>
      </c>
      <c r="O9524" s="17"/>
    </row>
    <row r="9525">
      <c r="B9525" s="17" t="s">
        <v>477</v>
      </c>
      <c r="K9525" s="18" t="s">
        <v>477</v>
      </c>
      <c r="N9525" s="17" t="str">
        <f>IFERROR(__xludf.DUMMYFUNCTION("""COMPUTED_VALUE"""),"")</f>
        <v/>
      </c>
      <c r="O9525" s="17"/>
    </row>
    <row r="9526">
      <c r="B9526" s="17" t="s">
        <v>477</v>
      </c>
      <c r="K9526" s="18" t="s">
        <v>477</v>
      </c>
      <c r="N9526" s="17" t="str">
        <f>IFERROR(__xludf.DUMMYFUNCTION("""COMPUTED_VALUE"""),"")</f>
        <v/>
      </c>
      <c r="O9526" s="17"/>
    </row>
    <row r="9527">
      <c r="B9527" s="17" t="s">
        <v>477</v>
      </c>
      <c r="K9527" s="18" t="s">
        <v>477</v>
      </c>
      <c r="N9527" s="17" t="str">
        <f>IFERROR(__xludf.DUMMYFUNCTION("""COMPUTED_VALUE"""),"")</f>
        <v/>
      </c>
      <c r="O9527" s="17"/>
    </row>
    <row r="9528">
      <c r="B9528" s="17" t="s">
        <v>477</v>
      </c>
      <c r="K9528" s="18" t="s">
        <v>477</v>
      </c>
      <c r="N9528" s="17" t="str">
        <f>IFERROR(__xludf.DUMMYFUNCTION("""COMPUTED_VALUE"""),"")</f>
        <v/>
      </c>
      <c r="O9528" s="17"/>
    </row>
    <row r="9529">
      <c r="B9529" s="17" t="s">
        <v>477</v>
      </c>
      <c r="K9529" s="18" t="s">
        <v>477</v>
      </c>
      <c r="N9529" s="17" t="str">
        <f>IFERROR(__xludf.DUMMYFUNCTION("""COMPUTED_VALUE"""),"")</f>
        <v/>
      </c>
      <c r="O9529" s="17"/>
    </row>
    <row r="9530">
      <c r="B9530" s="17" t="s">
        <v>477</v>
      </c>
      <c r="K9530" s="18" t="s">
        <v>477</v>
      </c>
      <c r="N9530" s="17" t="str">
        <f>IFERROR(__xludf.DUMMYFUNCTION("""COMPUTED_VALUE"""),"")</f>
        <v/>
      </c>
      <c r="O9530" s="17"/>
    </row>
    <row r="9531">
      <c r="B9531" s="17" t="s">
        <v>477</v>
      </c>
      <c r="K9531" s="18" t="s">
        <v>477</v>
      </c>
      <c r="N9531" s="17" t="str">
        <f>IFERROR(__xludf.DUMMYFUNCTION("""COMPUTED_VALUE"""),"")</f>
        <v/>
      </c>
      <c r="O9531" s="17"/>
    </row>
    <row r="9532">
      <c r="B9532" s="17" t="s">
        <v>477</v>
      </c>
      <c r="K9532" s="18" t="s">
        <v>477</v>
      </c>
      <c r="N9532" s="17" t="str">
        <f>IFERROR(__xludf.DUMMYFUNCTION("""COMPUTED_VALUE"""),"")</f>
        <v/>
      </c>
      <c r="O9532" s="17"/>
    </row>
    <row r="9533">
      <c r="B9533" s="17" t="s">
        <v>477</v>
      </c>
      <c r="K9533" s="18" t="s">
        <v>477</v>
      </c>
      <c r="N9533" s="17" t="str">
        <f>IFERROR(__xludf.DUMMYFUNCTION("""COMPUTED_VALUE"""),"")</f>
        <v/>
      </c>
      <c r="O9533" s="17"/>
    </row>
    <row r="9534">
      <c r="B9534" s="17" t="s">
        <v>477</v>
      </c>
      <c r="K9534" s="18" t="s">
        <v>477</v>
      </c>
      <c r="N9534" s="17" t="str">
        <f>IFERROR(__xludf.DUMMYFUNCTION("""COMPUTED_VALUE"""),"")</f>
        <v/>
      </c>
      <c r="O9534" s="17"/>
    </row>
    <row r="9535">
      <c r="B9535" s="17" t="s">
        <v>477</v>
      </c>
      <c r="K9535" s="18" t="s">
        <v>477</v>
      </c>
      <c r="N9535" s="17" t="str">
        <f>IFERROR(__xludf.DUMMYFUNCTION("""COMPUTED_VALUE"""),"")</f>
        <v/>
      </c>
      <c r="O9535" s="17"/>
    </row>
    <row r="9536">
      <c r="B9536" s="17" t="s">
        <v>477</v>
      </c>
      <c r="K9536" s="18" t="s">
        <v>477</v>
      </c>
      <c r="N9536" s="17" t="str">
        <f>IFERROR(__xludf.DUMMYFUNCTION("""COMPUTED_VALUE"""),"")</f>
        <v/>
      </c>
      <c r="O9536" s="17"/>
    </row>
    <row r="9537">
      <c r="B9537" s="17" t="s">
        <v>477</v>
      </c>
      <c r="K9537" s="18" t="s">
        <v>477</v>
      </c>
      <c r="N9537" s="17" t="str">
        <f>IFERROR(__xludf.DUMMYFUNCTION("""COMPUTED_VALUE"""),"")</f>
        <v/>
      </c>
      <c r="O9537" s="17"/>
    </row>
    <row r="9538">
      <c r="B9538" s="17" t="s">
        <v>477</v>
      </c>
      <c r="K9538" s="18" t="s">
        <v>477</v>
      </c>
      <c r="N9538" s="17" t="str">
        <f>IFERROR(__xludf.DUMMYFUNCTION("""COMPUTED_VALUE"""),"")</f>
        <v/>
      </c>
      <c r="O9538" s="17"/>
    </row>
    <row r="9539">
      <c r="B9539" s="17" t="s">
        <v>477</v>
      </c>
      <c r="K9539" s="18" t="s">
        <v>477</v>
      </c>
      <c r="N9539" s="17" t="str">
        <f>IFERROR(__xludf.DUMMYFUNCTION("""COMPUTED_VALUE"""),"")</f>
        <v/>
      </c>
      <c r="O9539" s="17"/>
    </row>
    <row r="9540">
      <c r="B9540" s="17" t="s">
        <v>477</v>
      </c>
      <c r="K9540" s="18" t="s">
        <v>477</v>
      </c>
      <c r="N9540" s="17" t="str">
        <f>IFERROR(__xludf.DUMMYFUNCTION("""COMPUTED_VALUE"""),"")</f>
        <v/>
      </c>
      <c r="O9540" s="17"/>
    </row>
    <row r="9541">
      <c r="B9541" s="17" t="s">
        <v>477</v>
      </c>
      <c r="K9541" s="18" t="s">
        <v>477</v>
      </c>
      <c r="N9541" s="17" t="str">
        <f>IFERROR(__xludf.DUMMYFUNCTION("""COMPUTED_VALUE"""),"")</f>
        <v/>
      </c>
      <c r="O9541" s="17"/>
    </row>
    <row r="9542">
      <c r="B9542" s="17" t="s">
        <v>477</v>
      </c>
      <c r="K9542" s="18" t="s">
        <v>477</v>
      </c>
      <c r="N9542" s="17" t="str">
        <f>IFERROR(__xludf.DUMMYFUNCTION("""COMPUTED_VALUE"""),"")</f>
        <v/>
      </c>
      <c r="O9542" s="17"/>
    </row>
    <row r="9543">
      <c r="B9543" s="17" t="s">
        <v>477</v>
      </c>
      <c r="K9543" s="18" t="s">
        <v>477</v>
      </c>
      <c r="N9543" s="17" t="str">
        <f>IFERROR(__xludf.DUMMYFUNCTION("""COMPUTED_VALUE"""),"")</f>
        <v/>
      </c>
      <c r="O9543" s="17"/>
    </row>
    <row r="9544">
      <c r="B9544" s="17" t="s">
        <v>477</v>
      </c>
      <c r="K9544" s="18" t="s">
        <v>477</v>
      </c>
      <c r="N9544" s="17" t="str">
        <f>IFERROR(__xludf.DUMMYFUNCTION("""COMPUTED_VALUE"""),"")</f>
        <v/>
      </c>
      <c r="O9544" s="17"/>
    </row>
    <row r="9545">
      <c r="B9545" s="17" t="s">
        <v>477</v>
      </c>
      <c r="K9545" s="18" t="s">
        <v>477</v>
      </c>
      <c r="N9545" s="17" t="str">
        <f>IFERROR(__xludf.DUMMYFUNCTION("""COMPUTED_VALUE"""),"")</f>
        <v/>
      </c>
      <c r="O9545" s="17"/>
    </row>
    <row r="9546">
      <c r="B9546" s="17" t="s">
        <v>477</v>
      </c>
      <c r="K9546" s="18" t="s">
        <v>477</v>
      </c>
      <c r="N9546" s="17" t="str">
        <f>IFERROR(__xludf.DUMMYFUNCTION("""COMPUTED_VALUE"""),"")</f>
        <v/>
      </c>
      <c r="O9546" s="17"/>
    </row>
    <row r="9547">
      <c r="B9547" s="17" t="s">
        <v>477</v>
      </c>
      <c r="K9547" s="18" t="s">
        <v>477</v>
      </c>
      <c r="N9547" s="17" t="str">
        <f>IFERROR(__xludf.DUMMYFUNCTION("""COMPUTED_VALUE"""),"")</f>
        <v/>
      </c>
      <c r="O9547" s="17"/>
    </row>
    <row r="9548">
      <c r="B9548" s="17" t="s">
        <v>477</v>
      </c>
      <c r="K9548" s="18" t="s">
        <v>477</v>
      </c>
      <c r="N9548" s="17" t="str">
        <f>IFERROR(__xludf.DUMMYFUNCTION("""COMPUTED_VALUE"""),"")</f>
        <v/>
      </c>
      <c r="O9548" s="17"/>
    </row>
    <row r="9549">
      <c r="B9549" s="17" t="s">
        <v>477</v>
      </c>
      <c r="K9549" s="18" t="s">
        <v>477</v>
      </c>
      <c r="N9549" s="17" t="str">
        <f>IFERROR(__xludf.DUMMYFUNCTION("""COMPUTED_VALUE"""),"")</f>
        <v/>
      </c>
      <c r="O9549" s="17"/>
    </row>
    <row r="9550">
      <c r="B9550" s="17" t="s">
        <v>477</v>
      </c>
      <c r="K9550" s="18" t="s">
        <v>477</v>
      </c>
      <c r="N9550" s="17" t="str">
        <f>IFERROR(__xludf.DUMMYFUNCTION("""COMPUTED_VALUE"""),"")</f>
        <v/>
      </c>
      <c r="O9550" s="17"/>
    </row>
    <row r="9551">
      <c r="B9551" s="17" t="s">
        <v>477</v>
      </c>
      <c r="K9551" s="18" t="s">
        <v>477</v>
      </c>
      <c r="N9551" s="17" t="str">
        <f>IFERROR(__xludf.DUMMYFUNCTION("""COMPUTED_VALUE"""),"")</f>
        <v/>
      </c>
      <c r="O9551" s="17"/>
    </row>
    <row r="9552">
      <c r="B9552" s="17" t="s">
        <v>477</v>
      </c>
      <c r="K9552" s="18" t="s">
        <v>477</v>
      </c>
      <c r="N9552" s="17" t="str">
        <f>IFERROR(__xludf.DUMMYFUNCTION("""COMPUTED_VALUE"""),"")</f>
        <v/>
      </c>
      <c r="O9552" s="17"/>
    </row>
    <row r="9553">
      <c r="B9553" s="17" t="s">
        <v>477</v>
      </c>
      <c r="K9553" s="18" t="s">
        <v>477</v>
      </c>
      <c r="N9553" s="17" t="str">
        <f>IFERROR(__xludf.DUMMYFUNCTION("""COMPUTED_VALUE"""),"")</f>
        <v/>
      </c>
      <c r="O9553" s="17"/>
    </row>
    <row r="9554">
      <c r="B9554" s="17" t="s">
        <v>477</v>
      </c>
      <c r="K9554" s="18" t="s">
        <v>477</v>
      </c>
      <c r="N9554" s="17" t="str">
        <f>IFERROR(__xludf.DUMMYFUNCTION("""COMPUTED_VALUE"""),"")</f>
        <v/>
      </c>
      <c r="O9554" s="17"/>
    </row>
    <row r="9555">
      <c r="B9555" s="17" t="s">
        <v>477</v>
      </c>
      <c r="K9555" s="18" t="s">
        <v>477</v>
      </c>
      <c r="N9555" s="17" t="str">
        <f>IFERROR(__xludf.DUMMYFUNCTION("""COMPUTED_VALUE"""),"")</f>
        <v/>
      </c>
      <c r="O9555" s="17"/>
    </row>
    <row r="9556">
      <c r="B9556" s="17" t="s">
        <v>477</v>
      </c>
      <c r="K9556" s="18" t="s">
        <v>477</v>
      </c>
      <c r="N9556" s="17" t="str">
        <f>IFERROR(__xludf.DUMMYFUNCTION("""COMPUTED_VALUE"""),"")</f>
        <v/>
      </c>
      <c r="O9556" s="17"/>
    </row>
    <row r="9557">
      <c r="B9557" s="17" t="s">
        <v>477</v>
      </c>
      <c r="K9557" s="18" t="s">
        <v>477</v>
      </c>
      <c r="N9557" s="17" t="str">
        <f>IFERROR(__xludf.DUMMYFUNCTION("""COMPUTED_VALUE"""),"")</f>
        <v/>
      </c>
      <c r="O9557" s="17"/>
    </row>
    <row r="9558">
      <c r="B9558" s="17" t="s">
        <v>477</v>
      </c>
      <c r="K9558" s="18" t="s">
        <v>477</v>
      </c>
      <c r="N9558" s="17" t="str">
        <f>IFERROR(__xludf.DUMMYFUNCTION("""COMPUTED_VALUE"""),"")</f>
        <v/>
      </c>
      <c r="O9558" s="17"/>
    </row>
    <row r="9559">
      <c r="B9559" s="17" t="s">
        <v>477</v>
      </c>
      <c r="K9559" s="18" t="s">
        <v>477</v>
      </c>
      <c r="N9559" s="17" t="str">
        <f>IFERROR(__xludf.DUMMYFUNCTION("""COMPUTED_VALUE"""),"")</f>
        <v/>
      </c>
      <c r="O9559" s="17"/>
    </row>
    <row r="9560">
      <c r="B9560" s="17" t="s">
        <v>477</v>
      </c>
      <c r="K9560" s="18" t="s">
        <v>477</v>
      </c>
      <c r="N9560" s="17" t="str">
        <f>IFERROR(__xludf.DUMMYFUNCTION("""COMPUTED_VALUE"""),"")</f>
        <v/>
      </c>
      <c r="O9560" s="17"/>
    </row>
    <row r="9561">
      <c r="B9561" s="17" t="s">
        <v>477</v>
      </c>
      <c r="K9561" s="18" t="s">
        <v>477</v>
      </c>
      <c r="N9561" s="17" t="str">
        <f>IFERROR(__xludf.DUMMYFUNCTION("""COMPUTED_VALUE"""),"")</f>
        <v/>
      </c>
      <c r="O9561" s="17"/>
    </row>
    <row r="9562">
      <c r="B9562" s="17" t="s">
        <v>477</v>
      </c>
      <c r="K9562" s="18" t="s">
        <v>477</v>
      </c>
      <c r="N9562" s="17" t="str">
        <f>IFERROR(__xludf.DUMMYFUNCTION("""COMPUTED_VALUE"""),"")</f>
        <v/>
      </c>
      <c r="O9562" s="17"/>
    </row>
    <row r="9563">
      <c r="B9563" s="17" t="s">
        <v>477</v>
      </c>
      <c r="K9563" s="18" t="s">
        <v>477</v>
      </c>
      <c r="N9563" s="17" t="str">
        <f>IFERROR(__xludf.DUMMYFUNCTION("""COMPUTED_VALUE"""),"")</f>
        <v/>
      </c>
      <c r="O9563" s="17"/>
    </row>
    <row r="9564">
      <c r="B9564" s="17" t="s">
        <v>477</v>
      </c>
      <c r="K9564" s="18" t="s">
        <v>477</v>
      </c>
      <c r="N9564" s="17" t="str">
        <f>IFERROR(__xludf.DUMMYFUNCTION("""COMPUTED_VALUE"""),"")</f>
        <v/>
      </c>
      <c r="O9564" s="17"/>
    </row>
    <row r="9565">
      <c r="B9565" s="17" t="s">
        <v>477</v>
      </c>
      <c r="K9565" s="18" t="s">
        <v>477</v>
      </c>
      <c r="N9565" s="17" t="str">
        <f>IFERROR(__xludf.DUMMYFUNCTION("""COMPUTED_VALUE"""),"")</f>
        <v/>
      </c>
      <c r="O9565" s="17"/>
    </row>
    <row r="9566">
      <c r="B9566" s="17" t="s">
        <v>477</v>
      </c>
      <c r="K9566" s="18" t="s">
        <v>477</v>
      </c>
      <c r="N9566" s="17" t="str">
        <f>IFERROR(__xludf.DUMMYFUNCTION("""COMPUTED_VALUE"""),"")</f>
        <v/>
      </c>
      <c r="O9566" s="17"/>
    </row>
    <row r="9567">
      <c r="B9567" s="17" t="s">
        <v>477</v>
      </c>
      <c r="K9567" s="18" t="s">
        <v>477</v>
      </c>
      <c r="N9567" s="17" t="str">
        <f>IFERROR(__xludf.DUMMYFUNCTION("""COMPUTED_VALUE"""),"")</f>
        <v/>
      </c>
      <c r="O9567" s="17"/>
    </row>
    <row r="9568">
      <c r="B9568" s="17" t="s">
        <v>477</v>
      </c>
      <c r="K9568" s="18" t="s">
        <v>477</v>
      </c>
      <c r="N9568" s="17" t="str">
        <f>IFERROR(__xludf.DUMMYFUNCTION("""COMPUTED_VALUE"""),"")</f>
        <v/>
      </c>
      <c r="O9568" s="17"/>
    </row>
    <row r="9569">
      <c r="B9569" s="17" t="s">
        <v>477</v>
      </c>
      <c r="K9569" s="18" t="s">
        <v>477</v>
      </c>
      <c r="N9569" s="17" t="str">
        <f>IFERROR(__xludf.DUMMYFUNCTION("""COMPUTED_VALUE"""),"")</f>
        <v/>
      </c>
      <c r="O9569" s="17"/>
    </row>
    <row r="9570">
      <c r="B9570" s="17" t="s">
        <v>477</v>
      </c>
      <c r="K9570" s="18" t="s">
        <v>477</v>
      </c>
      <c r="N9570" s="17" t="str">
        <f>IFERROR(__xludf.DUMMYFUNCTION("""COMPUTED_VALUE"""),"")</f>
        <v/>
      </c>
      <c r="O9570" s="17"/>
    </row>
    <row r="9571">
      <c r="B9571" s="17" t="s">
        <v>477</v>
      </c>
      <c r="K9571" s="18" t="s">
        <v>477</v>
      </c>
      <c r="N9571" s="17" t="str">
        <f>IFERROR(__xludf.DUMMYFUNCTION("""COMPUTED_VALUE"""),"")</f>
        <v/>
      </c>
      <c r="O9571" s="17"/>
    </row>
    <row r="9572">
      <c r="B9572" s="17" t="s">
        <v>477</v>
      </c>
      <c r="K9572" s="18" t="s">
        <v>477</v>
      </c>
      <c r="N9572" s="17" t="str">
        <f>IFERROR(__xludf.DUMMYFUNCTION("""COMPUTED_VALUE"""),"")</f>
        <v/>
      </c>
      <c r="O9572" s="17"/>
    </row>
    <row r="9573">
      <c r="B9573" s="17" t="s">
        <v>477</v>
      </c>
      <c r="K9573" s="18" t="s">
        <v>477</v>
      </c>
      <c r="N9573" s="17" t="str">
        <f>IFERROR(__xludf.DUMMYFUNCTION("""COMPUTED_VALUE"""),"")</f>
        <v/>
      </c>
      <c r="O9573" s="17"/>
    </row>
    <row r="9574">
      <c r="B9574" s="17" t="s">
        <v>477</v>
      </c>
      <c r="K9574" s="18" t="s">
        <v>477</v>
      </c>
      <c r="N9574" s="17" t="str">
        <f>IFERROR(__xludf.DUMMYFUNCTION("""COMPUTED_VALUE"""),"")</f>
        <v/>
      </c>
      <c r="O9574" s="17"/>
    </row>
    <row r="9575">
      <c r="B9575" s="17" t="s">
        <v>477</v>
      </c>
      <c r="K9575" s="18" t="s">
        <v>477</v>
      </c>
      <c r="N9575" s="17" t="str">
        <f>IFERROR(__xludf.DUMMYFUNCTION("""COMPUTED_VALUE"""),"")</f>
        <v/>
      </c>
      <c r="O9575" s="17"/>
    </row>
    <row r="9576">
      <c r="B9576" s="17" t="s">
        <v>477</v>
      </c>
      <c r="K9576" s="18" t="s">
        <v>477</v>
      </c>
      <c r="N9576" s="17" t="str">
        <f>IFERROR(__xludf.DUMMYFUNCTION("""COMPUTED_VALUE"""),"")</f>
        <v/>
      </c>
      <c r="O9576" s="17"/>
    </row>
    <row r="9577">
      <c r="B9577" s="17" t="s">
        <v>477</v>
      </c>
      <c r="K9577" s="18" t="s">
        <v>477</v>
      </c>
      <c r="N9577" s="17" t="str">
        <f>IFERROR(__xludf.DUMMYFUNCTION("""COMPUTED_VALUE"""),"")</f>
        <v/>
      </c>
      <c r="O9577" s="17"/>
    </row>
    <row r="9578">
      <c r="B9578" s="17" t="s">
        <v>477</v>
      </c>
      <c r="K9578" s="18" t="s">
        <v>477</v>
      </c>
      <c r="N9578" s="17" t="str">
        <f>IFERROR(__xludf.DUMMYFUNCTION("""COMPUTED_VALUE"""),"")</f>
        <v/>
      </c>
      <c r="O9578" s="17"/>
    </row>
    <row r="9579">
      <c r="B9579" s="17" t="s">
        <v>477</v>
      </c>
      <c r="K9579" s="18" t="s">
        <v>477</v>
      </c>
      <c r="N9579" s="17" t="str">
        <f>IFERROR(__xludf.DUMMYFUNCTION("""COMPUTED_VALUE"""),"")</f>
        <v/>
      </c>
      <c r="O9579" s="17"/>
    </row>
    <row r="9580">
      <c r="B9580" s="17" t="s">
        <v>477</v>
      </c>
      <c r="K9580" s="18" t="s">
        <v>477</v>
      </c>
      <c r="N9580" s="17" t="str">
        <f>IFERROR(__xludf.DUMMYFUNCTION("""COMPUTED_VALUE"""),"")</f>
        <v/>
      </c>
      <c r="O9580" s="17"/>
    </row>
    <row r="9581">
      <c r="B9581" s="17" t="s">
        <v>477</v>
      </c>
      <c r="K9581" s="18" t="s">
        <v>477</v>
      </c>
      <c r="N9581" s="17" t="str">
        <f>IFERROR(__xludf.DUMMYFUNCTION("""COMPUTED_VALUE"""),"")</f>
        <v/>
      </c>
      <c r="O9581" s="17"/>
    </row>
    <row r="9582">
      <c r="B9582" s="17" t="s">
        <v>477</v>
      </c>
      <c r="K9582" s="18" t="s">
        <v>477</v>
      </c>
      <c r="N9582" s="17" t="str">
        <f>IFERROR(__xludf.DUMMYFUNCTION("""COMPUTED_VALUE"""),"")</f>
        <v/>
      </c>
      <c r="O9582" s="17"/>
    </row>
    <row r="9583">
      <c r="B9583" s="17" t="s">
        <v>477</v>
      </c>
      <c r="K9583" s="18" t="s">
        <v>477</v>
      </c>
      <c r="N9583" s="17" t="str">
        <f>IFERROR(__xludf.DUMMYFUNCTION("""COMPUTED_VALUE"""),"")</f>
        <v/>
      </c>
      <c r="O9583" s="17"/>
    </row>
    <row r="9584">
      <c r="B9584" s="17" t="s">
        <v>477</v>
      </c>
      <c r="K9584" s="18" t="s">
        <v>477</v>
      </c>
      <c r="N9584" s="17" t="str">
        <f>IFERROR(__xludf.DUMMYFUNCTION("""COMPUTED_VALUE"""),"")</f>
        <v/>
      </c>
      <c r="O9584" s="17"/>
    </row>
    <row r="9585">
      <c r="B9585" s="17" t="s">
        <v>477</v>
      </c>
      <c r="K9585" s="18" t="s">
        <v>477</v>
      </c>
      <c r="N9585" s="17" t="str">
        <f>IFERROR(__xludf.DUMMYFUNCTION("""COMPUTED_VALUE"""),"")</f>
        <v/>
      </c>
      <c r="O9585" s="17"/>
    </row>
    <row r="9586">
      <c r="B9586" s="17" t="s">
        <v>477</v>
      </c>
      <c r="K9586" s="18" t="s">
        <v>477</v>
      </c>
      <c r="N9586" s="17" t="str">
        <f>IFERROR(__xludf.DUMMYFUNCTION("""COMPUTED_VALUE"""),"")</f>
        <v/>
      </c>
      <c r="O9586" s="17"/>
    </row>
    <row r="9587">
      <c r="B9587" s="17" t="s">
        <v>477</v>
      </c>
      <c r="K9587" s="18" t="s">
        <v>477</v>
      </c>
      <c r="N9587" s="17" t="str">
        <f>IFERROR(__xludf.DUMMYFUNCTION("""COMPUTED_VALUE"""),"")</f>
        <v/>
      </c>
      <c r="O9587" s="17"/>
    </row>
    <row r="9588">
      <c r="B9588" s="17" t="s">
        <v>477</v>
      </c>
      <c r="K9588" s="18" t="s">
        <v>477</v>
      </c>
      <c r="N9588" s="17" t="str">
        <f>IFERROR(__xludf.DUMMYFUNCTION("""COMPUTED_VALUE"""),"")</f>
        <v/>
      </c>
      <c r="O9588" s="17"/>
    </row>
    <row r="9589">
      <c r="B9589" s="17" t="s">
        <v>477</v>
      </c>
      <c r="K9589" s="18" t="s">
        <v>477</v>
      </c>
      <c r="N9589" s="17" t="str">
        <f>IFERROR(__xludf.DUMMYFUNCTION("""COMPUTED_VALUE"""),"")</f>
        <v/>
      </c>
      <c r="O9589" s="17"/>
    </row>
    <row r="9590">
      <c r="B9590" s="17" t="s">
        <v>477</v>
      </c>
      <c r="K9590" s="18" t="s">
        <v>477</v>
      </c>
      <c r="N9590" s="17" t="str">
        <f>IFERROR(__xludf.DUMMYFUNCTION("""COMPUTED_VALUE"""),"")</f>
        <v/>
      </c>
      <c r="O9590" s="17"/>
    </row>
    <row r="9591">
      <c r="B9591" s="17" t="s">
        <v>477</v>
      </c>
      <c r="K9591" s="18" t="s">
        <v>477</v>
      </c>
      <c r="N9591" s="17" t="str">
        <f>IFERROR(__xludf.DUMMYFUNCTION("""COMPUTED_VALUE"""),"")</f>
        <v/>
      </c>
      <c r="O9591" s="17"/>
    </row>
    <row r="9592">
      <c r="B9592" s="17" t="s">
        <v>477</v>
      </c>
      <c r="K9592" s="18" t="s">
        <v>477</v>
      </c>
      <c r="N9592" s="17" t="str">
        <f>IFERROR(__xludf.DUMMYFUNCTION("""COMPUTED_VALUE"""),"")</f>
        <v/>
      </c>
      <c r="O9592" s="17"/>
    </row>
    <row r="9593">
      <c r="B9593" s="17" t="s">
        <v>477</v>
      </c>
      <c r="K9593" s="18" t="s">
        <v>477</v>
      </c>
      <c r="N9593" s="17" t="str">
        <f>IFERROR(__xludf.DUMMYFUNCTION("""COMPUTED_VALUE"""),"")</f>
        <v/>
      </c>
      <c r="O9593" s="17"/>
    </row>
    <row r="9594">
      <c r="B9594" s="17" t="s">
        <v>477</v>
      </c>
      <c r="K9594" s="18" t="s">
        <v>477</v>
      </c>
      <c r="N9594" s="17" t="str">
        <f>IFERROR(__xludf.DUMMYFUNCTION("""COMPUTED_VALUE"""),"")</f>
        <v/>
      </c>
      <c r="O9594" s="17"/>
    </row>
    <row r="9595">
      <c r="B9595" s="17" t="s">
        <v>477</v>
      </c>
      <c r="K9595" s="18" t="s">
        <v>477</v>
      </c>
      <c r="N9595" s="17" t="str">
        <f>IFERROR(__xludf.DUMMYFUNCTION("""COMPUTED_VALUE"""),"")</f>
        <v/>
      </c>
      <c r="O9595" s="17"/>
    </row>
    <row r="9596">
      <c r="B9596" s="17" t="s">
        <v>477</v>
      </c>
      <c r="K9596" s="18" t="s">
        <v>477</v>
      </c>
      <c r="N9596" s="17" t="str">
        <f>IFERROR(__xludf.DUMMYFUNCTION("""COMPUTED_VALUE"""),"")</f>
        <v/>
      </c>
      <c r="O9596" s="17"/>
    </row>
    <row r="9597">
      <c r="B9597" s="17" t="s">
        <v>477</v>
      </c>
      <c r="K9597" s="18" t="s">
        <v>477</v>
      </c>
      <c r="N9597" s="17" t="str">
        <f>IFERROR(__xludf.DUMMYFUNCTION("""COMPUTED_VALUE"""),"")</f>
        <v/>
      </c>
      <c r="O9597" s="17"/>
    </row>
    <row r="9598">
      <c r="B9598" s="17" t="s">
        <v>477</v>
      </c>
      <c r="K9598" s="18" t="s">
        <v>477</v>
      </c>
      <c r="N9598" s="17" t="str">
        <f>IFERROR(__xludf.DUMMYFUNCTION("""COMPUTED_VALUE"""),"")</f>
        <v/>
      </c>
      <c r="O9598" s="17"/>
    </row>
    <row r="9599">
      <c r="B9599" s="17" t="s">
        <v>477</v>
      </c>
      <c r="K9599" s="18" t="s">
        <v>477</v>
      </c>
      <c r="N9599" s="17" t="str">
        <f>IFERROR(__xludf.DUMMYFUNCTION("""COMPUTED_VALUE"""),"")</f>
        <v/>
      </c>
      <c r="O9599" s="17"/>
    </row>
    <row r="9600">
      <c r="B9600" s="17" t="s">
        <v>477</v>
      </c>
      <c r="K9600" s="18" t="s">
        <v>477</v>
      </c>
      <c r="N9600" s="17" t="str">
        <f>IFERROR(__xludf.DUMMYFUNCTION("""COMPUTED_VALUE"""),"")</f>
        <v/>
      </c>
      <c r="O9600" s="17"/>
    </row>
    <row r="9601">
      <c r="B9601" s="17" t="s">
        <v>477</v>
      </c>
      <c r="K9601" s="18" t="s">
        <v>477</v>
      </c>
      <c r="N9601" s="17" t="str">
        <f>IFERROR(__xludf.DUMMYFUNCTION("""COMPUTED_VALUE"""),"")</f>
        <v/>
      </c>
      <c r="O9601" s="17"/>
    </row>
    <row r="9602">
      <c r="B9602" s="17" t="s">
        <v>477</v>
      </c>
      <c r="K9602" s="18" t="s">
        <v>477</v>
      </c>
      <c r="N9602" s="17" t="str">
        <f>IFERROR(__xludf.DUMMYFUNCTION("""COMPUTED_VALUE"""),"")</f>
        <v/>
      </c>
      <c r="O9602" s="17"/>
    </row>
    <row r="9603">
      <c r="B9603" s="17" t="s">
        <v>477</v>
      </c>
      <c r="K9603" s="18" t="s">
        <v>477</v>
      </c>
      <c r="N9603" s="17" t="str">
        <f>IFERROR(__xludf.DUMMYFUNCTION("""COMPUTED_VALUE"""),"")</f>
        <v/>
      </c>
      <c r="O9603" s="17"/>
    </row>
    <row r="9604">
      <c r="B9604" s="17" t="s">
        <v>477</v>
      </c>
      <c r="K9604" s="18" t="s">
        <v>477</v>
      </c>
      <c r="N9604" s="17" t="str">
        <f>IFERROR(__xludf.DUMMYFUNCTION("""COMPUTED_VALUE"""),"")</f>
        <v/>
      </c>
      <c r="O9604" s="17"/>
    </row>
    <row r="9605">
      <c r="B9605" s="17" t="s">
        <v>477</v>
      </c>
      <c r="K9605" s="18" t="s">
        <v>477</v>
      </c>
      <c r="N9605" s="17" t="str">
        <f>IFERROR(__xludf.DUMMYFUNCTION("""COMPUTED_VALUE"""),"")</f>
        <v/>
      </c>
      <c r="O9605" s="17"/>
    </row>
    <row r="9606">
      <c r="B9606" s="17" t="s">
        <v>477</v>
      </c>
      <c r="K9606" s="18" t="s">
        <v>477</v>
      </c>
      <c r="N9606" s="17" t="str">
        <f>IFERROR(__xludf.DUMMYFUNCTION("""COMPUTED_VALUE"""),"")</f>
        <v/>
      </c>
      <c r="O9606" s="17"/>
    </row>
    <row r="9607">
      <c r="B9607" s="17" t="s">
        <v>477</v>
      </c>
      <c r="K9607" s="18" t="s">
        <v>477</v>
      </c>
      <c r="N9607" s="17" t="str">
        <f>IFERROR(__xludf.DUMMYFUNCTION("""COMPUTED_VALUE"""),"")</f>
        <v/>
      </c>
      <c r="O9607" s="17"/>
    </row>
    <row r="9608">
      <c r="B9608" s="17" t="s">
        <v>477</v>
      </c>
      <c r="K9608" s="18" t="s">
        <v>477</v>
      </c>
      <c r="N9608" s="17" t="str">
        <f>IFERROR(__xludf.DUMMYFUNCTION("""COMPUTED_VALUE"""),"")</f>
        <v/>
      </c>
      <c r="O9608" s="17"/>
    </row>
    <row r="9609">
      <c r="B9609" s="17" t="s">
        <v>477</v>
      </c>
      <c r="K9609" s="18" t="s">
        <v>477</v>
      </c>
      <c r="N9609" s="17" t="str">
        <f>IFERROR(__xludf.DUMMYFUNCTION("""COMPUTED_VALUE"""),"")</f>
        <v/>
      </c>
      <c r="O9609" s="17"/>
    </row>
    <row r="9610">
      <c r="B9610" s="17" t="s">
        <v>477</v>
      </c>
      <c r="K9610" s="18" t="s">
        <v>477</v>
      </c>
      <c r="N9610" s="17" t="str">
        <f>IFERROR(__xludf.DUMMYFUNCTION("""COMPUTED_VALUE"""),"")</f>
        <v/>
      </c>
      <c r="O9610" s="17"/>
    </row>
    <row r="9611">
      <c r="B9611" s="17" t="s">
        <v>477</v>
      </c>
      <c r="K9611" s="18" t="s">
        <v>477</v>
      </c>
      <c r="N9611" s="17" t="str">
        <f>IFERROR(__xludf.DUMMYFUNCTION("""COMPUTED_VALUE"""),"")</f>
        <v/>
      </c>
      <c r="O9611" s="17"/>
    </row>
    <row r="9612">
      <c r="B9612" s="17" t="s">
        <v>477</v>
      </c>
      <c r="K9612" s="18" t="s">
        <v>477</v>
      </c>
      <c r="N9612" s="17" t="str">
        <f>IFERROR(__xludf.DUMMYFUNCTION("""COMPUTED_VALUE"""),"")</f>
        <v/>
      </c>
      <c r="O9612" s="17"/>
    </row>
    <row r="9613">
      <c r="B9613" s="17" t="s">
        <v>477</v>
      </c>
      <c r="K9613" s="18" t="s">
        <v>477</v>
      </c>
      <c r="N9613" s="17" t="str">
        <f>IFERROR(__xludf.DUMMYFUNCTION("""COMPUTED_VALUE"""),"")</f>
        <v/>
      </c>
      <c r="O9613" s="17"/>
    </row>
    <row r="9614">
      <c r="B9614" s="17" t="s">
        <v>477</v>
      </c>
      <c r="K9614" s="18" t="s">
        <v>477</v>
      </c>
      <c r="N9614" s="17" t="str">
        <f>IFERROR(__xludf.DUMMYFUNCTION("""COMPUTED_VALUE"""),"")</f>
        <v/>
      </c>
      <c r="O9614" s="17"/>
    </row>
    <row r="9615">
      <c r="B9615" s="17" t="s">
        <v>477</v>
      </c>
      <c r="K9615" s="18" t="s">
        <v>477</v>
      </c>
      <c r="N9615" s="17" t="str">
        <f>IFERROR(__xludf.DUMMYFUNCTION("""COMPUTED_VALUE"""),"")</f>
        <v/>
      </c>
      <c r="O9615" s="17"/>
    </row>
    <row r="9616">
      <c r="B9616" s="17" t="s">
        <v>477</v>
      </c>
      <c r="K9616" s="18" t="s">
        <v>477</v>
      </c>
      <c r="N9616" s="17" t="str">
        <f>IFERROR(__xludf.DUMMYFUNCTION("""COMPUTED_VALUE"""),"")</f>
        <v/>
      </c>
      <c r="O9616" s="17"/>
    </row>
    <row r="9617">
      <c r="B9617" s="17" t="s">
        <v>477</v>
      </c>
      <c r="K9617" s="18" t="s">
        <v>477</v>
      </c>
      <c r="N9617" s="17" t="str">
        <f>IFERROR(__xludf.DUMMYFUNCTION("""COMPUTED_VALUE"""),"")</f>
        <v/>
      </c>
      <c r="O9617" s="17"/>
    </row>
    <row r="9618">
      <c r="B9618" s="17" t="s">
        <v>477</v>
      </c>
      <c r="K9618" s="18" t="s">
        <v>477</v>
      </c>
      <c r="N9618" s="17" t="str">
        <f>IFERROR(__xludf.DUMMYFUNCTION("""COMPUTED_VALUE"""),"")</f>
        <v/>
      </c>
      <c r="O9618" s="17"/>
    </row>
    <row r="9619">
      <c r="B9619" s="17" t="s">
        <v>477</v>
      </c>
      <c r="K9619" s="18" t="s">
        <v>477</v>
      </c>
      <c r="N9619" s="17" t="str">
        <f>IFERROR(__xludf.DUMMYFUNCTION("""COMPUTED_VALUE"""),"")</f>
        <v/>
      </c>
      <c r="O9619" s="17"/>
    </row>
    <row r="9620">
      <c r="B9620" s="17" t="s">
        <v>477</v>
      </c>
      <c r="K9620" s="18" t="s">
        <v>477</v>
      </c>
      <c r="N9620" s="17" t="str">
        <f>IFERROR(__xludf.DUMMYFUNCTION("""COMPUTED_VALUE"""),"")</f>
        <v/>
      </c>
      <c r="O9620" s="17"/>
    </row>
    <row r="9621">
      <c r="B9621" s="17" t="s">
        <v>477</v>
      </c>
      <c r="K9621" s="18" t="s">
        <v>477</v>
      </c>
      <c r="N9621" s="17" t="str">
        <f>IFERROR(__xludf.DUMMYFUNCTION("""COMPUTED_VALUE"""),"")</f>
        <v/>
      </c>
      <c r="O9621" s="17"/>
    </row>
    <row r="9622">
      <c r="B9622" s="17" t="s">
        <v>477</v>
      </c>
      <c r="K9622" s="18" t="s">
        <v>477</v>
      </c>
      <c r="N9622" s="17" t="str">
        <f>IFERROR(__xludf.DUMMYFUNCTION("""COMPUTED_VALUE"""),"")</f>
        <v/>
      </c>
      <c r="O9622" s="17"/>
    </row>
    <row r="9623">
      <c r="B9623" s="17" t="s">
        <v>477</v>
      </c>
      <c r="K9623" s="18" t="s">
        <v>477</v>
      </c>
      <c r="N9623" s="17" t="str">
        <f>IFERROR(__xludf.DUMMYFUNCTION("""COMPUTED_VALUE"""),"")</f>
        <v/>
      </c>
      <c r="O9623" s="17"/>
    </row>
    <row r="9624">
      <c r="B9624" s="17" t="s">
        <v>477</v>
      </c>
      <c r="K9624" s="18" t="s">
        <v>477</v>
      </c>
      <c r="N9624" s="17" t="str">
        <f>IFERROR(__xludf.DUMMYFUNCTION("""COMPUTED_VALUE"""),"")</f>
        <v/>
      </c>
      <c r="O9624" s="17"/>
    </row>
    <row r="9625">
      <c r="B9625" s="17" t="s">
        <v>477</v>
      </c>
      <c r="K9625" s="18" t="s">
        <v>477</v>
      </c>
      <c r="N9625" s="17" t="str">
        <f>IFERROR(__xludf.DUMMYFUNCTION("""COMPUTED_VALUE"""),"")</f>
        <v/>
      </c>
      <c r="O9625" s="17"/>
    </row>
    <row r="9626">
      <c r="B9626" s="17" t="s">
        <v>477</v>
      </c>
      <c r="K9626" s="18" t="s">
        <v>477</v>
      </c>
      <c r="N9626" s="17" t="str">
        <f>IFERROR(__xludf.DUMMYFUNCTION("""COMPUTED_VALUE"""),"")</f>
        <v/>
      </c>
      <c r="O9626" s="17"/>
    </row>
    <row r="9627">
      <c r="B9627" s="17" t="s">
        <v>477</v>
      </c>
      <c r="K9627" s="18" t="s">
        <v>477</v>
      </c>
      <c r="N9627" s="17" t="str">
        <f>IFERROR(__xludf.DUMMYFUNCTION("""COMPUTED_VALUE"""),"")</f>
        <v/>
      </c>
      <c r="O9627" s="17"/>
    </row>
    <row r="9628">
      <c r="B9628" s="17" t="s">
        <v>477</v>
      </c>
      <c r="K9628" s="18" t="s">
        <v>477</v>
      </c>
      <c r="N9628" s="17" t="str">
        <f>IFERROR(__xludf.DUMMYFUNCTION("""COMPUTED_VALUE"""),"")</f>
        <v/>
      </c>
      <c r="O9628" s="17"/>
    </row>
    <row r="9629">
      <c r="B9629" s="17" t="s">
        <v>477</v>
      </c>
      <c r="K9629" s="18" t="s">
        <v>477</v>
      </c>
      <c r="N9629" s="17" t="str">
        <f>IFERROR(__xludf.DUMMYFUNCTION("""COMPUTED_VALUE"""),"")</f>
        <v/>
      </c>
      <c r="O9629" s="17"/>
    </row>
    <row r="9630">
      <c r="B9630" s="17" t="s">
        <v>477</v>
      </c>
      <c r="K9630" s="18" t="s">
        <v>477</v>
      </c>
      <c r="N9630" s="17" t="str">
        <f>IFERROR(__xludf.DUMMYFUNCTION("""COMPUTED_VALUE"""),"")</f>
        <v/>
      </c>
      <c r="O9630" s="17"/>
    </row>
    <row r="9631">
      <c r="B9631" s="17" t="s">
        <v>477</v>
      </c>
      <c r="K9631" s="18" t="s">
        <v>477</v>
      </c>
      <c r="N9631" s="17" t="str">
        <f>IFERROR(__xludf.DUMMYFUNCTION("""COMPUTED_VALUE"""),"")</f>
        <v/>
      </c>
      <c r="O9631" s="17"/>
    </row>
    <row r="9632">
      <c r="B9632" s="17" t="s">
        <v>477</v>
      </c>
      <c r="K9632" s="18" t="s">
        <v>477</v>
      </c>
      <c r="N9632" s="17" t="str">
        <f>IFERROR(__xludf.DUMMYFUNCTION("""COMPUTED_VALUE"""),"")</f>
        <v/>
      </c>
      <c r="O9632" s="17"/>
    </row>
    <row r="9633">
      <c r="B9633" s="17" t="s">
        <v>477</v>
      </c>
      <c r="K9633" s="18" t="s">
        <v>477</v>
      </c>
      <c r="N9633" s="17" t="str">
        <f>IFERROR(__xludf.DUMMYFUNCTION("""COMPUTED_VALUE"""),"")</f>
        <v/>
      </c>
      <c r="O9633" s="17"/>
    </row>
    <row r="9634">
      <c r="B9634" s="17" t="s">
        <v>477</v>
      </c>
      <c r="K9634" s="18" t="s">
        <v>477</v>
      </c>
      <c r="N9634" s="17" t="str">
        <f>IFERROR(__xludf.DUMMYFUNCTION("""COMPUTED_VALUE"""),"")</f>
        <v/>
      </c>
      <c r="O9634" s="17"/>
    </row>
    <row r="9635">
      <c r="B9635" s="17" t="s">
        <v>477</v>
      </c>
      <c r="K9635" s="18" t="s">
        <v>477</v>
      </c>
      <c r="N9635" s="17" t="str">
        <f>IFERROR(__xludf.DUMMYFUNCTION("""COMPUTED_VALUE"""),"")</f>
        <v/>
      </c>
      <c r="O9635" s="17"/>
    </row>
    <row r="9636">
      <c r="B9636" s="17" t="s">
        <v>477</v>
      </c>
      <c r="K9636" s="18" t="s">
        <v>477</v>
      </c>
      <c r="N9636" s="17" t="str">
        <f>IFERROR(__xludf.DUMMYFUNCTION("""COMPUTED_VALUE"""),"")</f>
        <v/>
      </c>
      <c r="O9636" s="17"/>
    </row>
    <row r="9637">
      <c r="B9637" s="17" t="s">
        <v>477</v>
      </c>
      <c r="K9637" s="18" t="s">
        <v>477</v>
      </c>
      <c r="N9637" s="17" t="str">
        <f>IFERROR(__xludf.DUMMYFUNCTION("""COMPUTED_VALUE"""),"")</f>
        <v/>
      </c>
      <c r="O9637" s="17"/>
    </row>
    <row r="9638">
      <c r="B9638" s="17" t="s">
        <v>477</v>
      </c>
      <c r="K9638" s="18" t="s">
        <v>477</v>
      </c>
      <c r="N9638" s="17" t="str">
        <f>IFERROR(__xludf.DUMMYFUNCTION("""COMPUTED_VALUE"""),"")</f>
        <v/>
      </c>
      <c r="O9638" s="17"/>
    </row>
    <row r="9639">
      <c r="B9639" s="17" t="s">
        <v>477</v>
      </c>
      <c r="K9639" s="18" t="s">
        <v>477</v>
      </c>
      <c r="N9639" s="17" t="str">
        <f>IFERROR(__xludf.DUMMYFUNCTION("""COMPUTED_VALUE"""),"")</f>
        <v/>
      </c>
      <c r="O9639" s="17"/>
    </row>
    <row r="9640">
      <c r="B9640" s="17" t="s">
        <v>477</v>
      </c>
      <c r="K9640" s="18" t="s">
        <v>477</v>
      </c>
      <c r="N9640" s="17" t="str">
        <f>IFERROR(__xludf.DUMMYFUNCTION("""COMPUTED_VALUE"""),"")</f>
        <v/>
      </c>
      <c r="O9640" s="17"/>
    </row>
    <row r="9641">
      <c r="B9641" s="17" t="s">
        <v>477</v>
      </c>
      <c r="K9641" s="18" t="s">
        <v>477</v>
      </c>
      <c r="N9641" s="17" t="str">
        <f>IFERROR(__xludf.DUMMYFUNCTION("""COMPUTED_VALUE"""),"")</f>
        <v/>
      </c>
      <c r="O9641" s="17"/>
    </row>
    <row r="9642">
      <c r="B9642" s="17" t="s">
        <v>477</v>
      </c>
      <c r="K9642" s="18" t="s">
        <v>477</v>
      </c>
      <c r="N9642" s="17" t="str">
        <f>IFERROR(__xludf.DUMMYFUNCTION("""COMPUTED_VALUE"""),"")</f>
        <v/>
      </c>
      <c r="O9642" s="17"/>
    </row>
    <row r="9643">
      <c r="B9643" s="17" t="s">
        <v>477</v>
      </c>
      <c r="K9643" s="18" t="s">
        <v>477</v>
      </c>
      <c r="N9643" s="17" t="str">
        <f>IFERROR(__xludf.DUMMYFUNCTION("""COMPUTED_VALUE"""),"")</f>
        <v/>
      </c>
      <c r="O9643" s="17"/>
    </row>
    <row r="9644">
      <c r="B9644" s="17" t="s">
        <v>477</v>
      </c>
      <c r="K9644" s="18" t="s">
        <v>477</v>
      </c>
      <c r="N9644" s="17" t="str">
        <f>IFERROR(__xludf.DUMMYFUNCTION("""COMPUTED_VALUE"""),"")</f>
        <v/>
      </c>
      <c r="O9644" s="17"/>
    </row>
    <row r="9645">
      <c r="B9645" s="17" t="s">
        <v>477</v>
      </c>
      <c r="K9645" s="18" t="s">
        <v>477</v>
      </c>
      <c r="N9645" s="17" t="str">
        <f>IFERROR(__xludf.DUMMYFUNCTION("""COMPUTED_VALUE"""),"")</f>
        <v/>
      </c>
      <c r="O9645" s="17"/>
    </row>
    <row r="9646">
      <c r="B9646" s="17" t="s">
        <v>477</v>
      </c>
      <c r="K9646" s="18" t="s">
        <v>477</v>
      </c>
      <c r="N9646" s="17" t="str">
        <f>IFERROR(__xludf.DUMMYFUNCTION("""COMPUTED_VALUE"""),"")</f>
        <v/>
      </c>
      <c r="O9646" s="17"/>
    </row>
    <row r="9647">
      <c r="B9647" s="17" t="s">
        <v>477</v>
      </c>
      <c r="K9647" s="18" t="s">
        <v>477</v>
      </c>
      <c r="N9647" s="17" t="str">
        <f>IFERROR(__xludf.DUMMYFUNCTION("""COMPUTED_VALUE"""),"")</f>
        <v/>
      </c>
      <c r="O9647" s="17"/>
    </row>
    <row r="9648">
      <c r="B9648" s="17" t="s">
        <v>477</v>
      </c>
      <c r="K9648" s="18" t="s">
        <v>477</v>
      </c>
      <c r="N9648" s="17" t="str">
        <f>IFERROR(__xludf.DUMMYFUNCTION("""COMPUTED_VALUE"""),"")</f>
        <v/>
      </c>
      <c r="O9648" s="17"/>
    </row>
    <row r="9649">
      <c r="B9649" s="17" t="s">
        <v>477</v>
      </c>
      <c r="K9649" s="18" t="s">
        <v>477</v>
      </c>
      <c r="N9649" s="17" t="str">
        <f>IFERROR(__xludf.DUMMYFUNCTION("""COMPUTED_VALUE"""),"")</f>
        <v/>
      </c>
      <c r="O9649" s="17"/>
    </row>
    <row r="9650">
      <c r="B9650" s="17" t="s">
        <v>477</v>
      </c>
      <c r="K9650" s="18" t="s">
        <v>477</v>
      </c>
      <c r="N9650" s="17" t="str">
        <f>IFERROR(__xludf.DUMMYFUNCTION("""COMPUTED_VALUE"""),"")</f>
        <v/>
      </c>
      <c r="O9650" s="17"/>
    </row>
    <row r="9651">
      <c r="B9651" s="17" t="s">
        <v>477</v>
      </c>
      <c r="K9651" s="18" t="s">
        <v>477</v>
      </c>
      <c r="N9651" s="17" t="str">
        <f>IFERROR(__xludf.DUMMYFUNCTION("""COMPUTED_VALUE"""),"")</f>
        <v/>
      </c>
      <c r="O9651" s="17"/>
    </row>
    <row r="9652">
      <c r="B9652" s="17" t="s">
        <v>477</v>
      </c>
      <c r="K9652" s="18" t="s">
        <v>477</v>
      </c>
      <c r="N9652" s="17" t="str">
        <f>IFERROR(__xludf.DUMMYFUNCTION("""COMPUTED_VALUE"""),"")</f>
        <v/>
      </c>
      <c r="O9652" s="17"/>
    </row>
    <row r="9653">
      <c r="B9653" s="17" t="s">
        <v>477</v>
      </c>
      <c r="K9653" s="18" t="s">
        <v>477</v>
      </c>
      <c r="N9653" s="17" t="str">
        <f>IFERROR(__xludf.DUMMYFUNCTION("""COMPUTED_VALUE"""),"")</f>
        <v/>
      </c>
      <c r="O9653" s="17"/>
    </row>
    <row r="9654">
      <c r="B9654" s="17" t="s">
        <v>477</v>
      </c>
      <c r="K9654" s="18" t="s">
        <v>477</v>
      </c>
      <c r="N9654" s="17" t="str">
        <f>IFERROR(__xludf.DUMMYFUNCTION("""COMPUTED_VALUE"""),"")</f>
        <v/>
      </c>
      <c r="O9654" s="17"/>
    </row>
    <row r="9655">
      <c r="B9655" s="17" t="s">
        <v>477</v>
      </c>
      <c r="K9655" s="18" t="s">
        <v>477</v>
      </c>
      <c r="N9655" s="17" t="str">
        <f>IFERROR(__xludf.DUMMYFUNCTION("""COMPUTED_VALUE"""),"")</f>
        <v/>
      </c>
      <c r="O9655" s="17"/>
    </row>
    <row r="9656">
      <c r="B9656" s="17" t="s">
        <v>477</v>
      </c>
      <c r="K9656" s="18" t="s">
        <v>477</v>
      </c>
      <c r="N9656" s="17" t="str">
        <f>IFERROR(__xludf.DUMMYFUNCTION("""COMPUTED_VALUE"""),"")</f>
        <v/>
      </c>
      <c r="O9656" s="17"/>
    </row>
    <row r="9657">
      <c r="B9657" s="17" t="s">
        <v>477</v>
      </c>
      <c r="K9657" s="18" t="s">
        <v>477</v>
      </c>
      <c r="N9657" s="17" t="str">
        <f>IFERROR(__xludf.DUMMYFUNCTION("""COMPUTED_VALUE"""),"")</f>
        <v/>
      </c>
      <c r="O9657" s="17"/>
    </row>
    <row r="9658">
      <c r="B9658" s="17" t="s">
        <v>477</v>
      </c>
      <c r="K9658" s="18" t="s">
        <v>477</v>
      </c>
      <c r="N9658" s="17" t="str">
        <f>IFERROR(__xludf.DUMMYFUNCTION("""COMPUTED_VALUE"""),"")</f>
        <v/>
      </c>
      <c r="O9658" s="17"/>
    </row>
    <row r="9659">
      <c r="B9659" s="17" t="s">
        <v>477</v>
      </c>
      <c r="K9659" s="18" t="s">
        <v>477</v>
      </c>
      <c r="N9659" s="17" t="str">
        <f>IFERROR(__xludf.DUMMYFUNCTION("""COMPUTED_VALUE"""),"")</f>
        <v/>
      </c>
      <c r="O9659" s="17"/>
    </row>
    <row r="9660">
      <c r="B9660" s="17" t="s">
        <v>477</v>
      </c>
      <c r="K9660" s="18" t="s">
        <v>477</v>
      </c>
      <c r="N9660" s="17" t="str">
        <f>IFERROR(__xludf.DUMMYFUNCTION("""COMPUTED_VALUE"""),"")</f>
        <v/>
      </c>
      <c r="O9660" s="17"/>
    </row>
    <row r="9661">
      <c r="B9661" s="17" t="s">
        <v>477</v>
      </c>
      <c r="K9661" s="18" t="s">
        <v>477</v>
      </c>
      <c r="N9661" s="17" t="str">
        <f>IFERROR(__xludf.DUMMYFUNCTION("""COMPUTED_VALUE"""),"")</f>
        <v/>
      </c>
      <c r="O9661" s="17"/>
    </row>
    <row r="9662">
      <c r="B9662" s="17" t="s">
        <v>477</v>
      </c>
      <c r="K9662" s="18" t="s">
        <v>477</v>
      </c>
      <c r="N9662" s="17" t="str">
        <f>IFERROR(__xludf.DUMMYFUNCTION("""COMPUTED_VALUE"""),"")</f>
        <v/>
      </c>
      <c r="O9662" s="17"/>
    </row>
    <row r="9663">
      <c r="B9663" s="17" t="s">
        <v>477</v>
      </c>
      <c r="K9663" s="18" t="s">
        <v>477</v>
      </c>
      <c r="N9663" s="17" t="str">
        <f>IFERROR(__xludf.DUMMYFUNCTION("""COMPUTED_VALUE"""),"")</f>
        <v/>
      </c>
      <c r="O9663" s="17"/>
    </row>
    <row r="9664">
      <c r="B9664" s="17" t="s">
        <v>477</v>
      </c>
      <c r="K9664" s="18" t="s">
        <v>477</v>
      </c>
      <c r="N9664" s="17" t="str">
        <f>IFERROR(__xludf.DUMMYFUNCTION("""COMPUTED_VALUE"""),"")</f>
        <v/>
      </c>
      <c r="O9664" s="17"/>
    </row>
    <row r="9665">
      <c r="B9665" s="17" t="s">
        <v>477</v>
      </c>
      <c r="K9665" s="18" t="s">
        <v>477</v>
      </c>
      <c r="N9665" s="17" t="str">
        <f>IFERROR(__xludf.DUMMYFUNCTION("""COMPUTED_VALUE"""),"")</f>
        <v/>
      </c>
      <c r="O9665" s="17"/>
    </row>
    <row r="9666">
      <c r="B9666" s="17" t="s">
        <v>477</v>
      </c>
      <c r="K9666" s="18" t="s">
        <v>477</v>
      </c>
      <c r="N9666" s="17" t="str">
        <f>IFERROR(__xludf.DUMMYFUNCTION("""COMPUTED_VALUE"""),"")</f>
        <v/>
      </c>
      <c r="O9666" s="17"/>
    </row>
    <row r="9667">
      <c r="B9667" s="17" t="s">
        <v>477</v>
      </c>
      <c r="K9667" s="18" t="s">
        <v>477</v>
      </c>
      <c r="N9667" s="17" t="str">
        <f>IFERROR(__xludf.DUMMYFUNCTION("""COMPUTED_VALUE"""),"")</f>
        <v/>
      </c>
      <c r="O9667" s="17"/>
    </row>
    <row r="9668">
      <c r="B9668" s="17" t="s">
        <v>477</v>
      </c>
      <c r="K9668" s="18" t="s">
        <v>477</v>
      </c>
      <c r="N9668" s="17" t="str">
        <f>IFERROR(__xludf.DUMMYFUNCTION("""COMPUTED_VALUE"""),"")</f>
        <v/>
      </c>
      <c r="O9668" s="17"/>
    </row>
    <row r="9669">
      <c r="B9669" s="17" t="s">
        <v>477</v>
      </c>
      <c r="K9669" s="18" t="s">
        <v>477</v>
      </c>
      <c r="N9669" s="17" t="str">
        <f>IFERROR(__xludf.DUMMYFUNCTION("""COMPUTED_VALUE"""),"")</f>
        <v/>
      </c>
      <c r="O9669" s="17"/>
    </row>
    <row r="9670">
      <c r="B9670" s="17" t="s">
        <v>477</v>
      </c>
      <c r="K9670" s="18" t="s">
        <v>477</v>
      </c>
      <c r="N9670" s="17" t="str">
        <f>IFERROR(__xludf.DUMMYFUNCTION("""COMPUTED_VALUE"""),"")</f>
        <v/>
      </c>
      <c r="O9670" s="17"/>
    </row>
    <row r="9671">
      <c r="B9671" s="17" t="s">
        <v>477</v>
      </c>
      <c r="K9671" s="18" t="s">
        <v>477</v>
      </c>
      <c r="N9671" s="17" t="str">
        <f>IFERROR(__xludf.DUMMYFUNCTION("""COMPUTED_VALUE"""),"")</f>
        <v/>
      </c>
      <c r="O9671" s="17"/>
    </row>
    <row r="9672">
      <c r="B9672" s="17" t="s">
        <v>477</v>
      </c>
      <c r="K9672" s="18" t="s">
        <v>477</v>
      </c>
      <c r="N9672" s="17" t="str">
        <f>IFERROR(__xludf.DUMMYFUNCTION("""COMPUTED_VALUE"""),"")</f>
        <v/>
      </c>
      <c r="O9672" s="17"/>
    </row>
    <row r="9673">
      <c r="B9673" s="17" t="s">
        <v>477</v>
      </c>
      <c r="K9673" s="18" t="s">
        <v>477</v>
      </c>
      <c r="N9673" s="17" t="str">
        <f>IFERROR(__xludf.DUMMYFUNCTION("""COMPUTED_VALUE"""),"")</f>
        <v/>
      </c>
      <c r="O9673" s="17"/>
    </row>
    <row r="9674">
      <c r="B9674" s="17" t="s">
        <v>477</v>
      </c>
      <c r="K9674" s="18" t="s">
        <v>477</v>
      </c>
      <c r="N9674" s="17" t="str">
        <f>IFERROR(__xludf.DUMMYFUNCTION("""COMPUTED_VALUE"""),"")</f>
        <v/>
      </c>
      <c r="O9674" s="17"/>
    </row>
    <row r="9675">
      <c r="B9675" s="17" t="s">
        <v>477</v>
      </c>
      <c r="K9675" s="18" t="s">
        <v>477</v>
      </c>
      <c r="N9675" s="17" t="str">
        <f>IFERROR(__xludf.DUMMYFUNCTION("""COMPUTED_VALUE"""),"")</f>
        <v/>
      </c>
      <c r="O9675" s="17"/>
    </row>
    <row r="9676">
      <c r="B9676" s="17" t="s">
        <v>477</v>
      </c>
      <c r="K9676" s="18" t="s">
        <v>477</v>
      </c>
      <c r="N9676" s="17" t="str">
        <f>IFERROR(__xludf.DUMMYFUNCTION("""COMPUTED_VALUE"""),"")</f>
        <v/>
      </c>
      <c r="O9676" s="17"/>
    </row>
    <row r="9677">
      <c r="B9677" s="17" t="s">
        <v>477</v>
      </c>
      <c r="K9677" s="18" t="s">
        <v>477</v>
      </c>
      <c r="N9677" s="17" t="str">
        <f>IFERROR(__xludf.DUMMYFUNCTION("""COMPUTED_VALUE"""),"")</f>
        <v/>
      </c>
      <c r="O9677" s="17"/>
    </row>
    <row r="9678">
      <c r="B9678" s="17" t="s">
        <v>477</v>
      </c>
      <c r="K9678" s="18" t="s">
        <v>477</v>
      </c>
      <c r="N9678" s="17" t="str">
        <f>IFERROR(__xludf.DUMMYFUNCTION("""COMPUTED_VALUE"""),"")</f>
        <v/>
      </c>
      <c r="O9678" s="17"/>
    </row>
    <row r="9679">
      <c r="B9679" s="17" t="s">
        <v>477</v>
      </c>
      <c r="K9679" s="18" t="s">
        <v>477</v>
      </c>
      <c r="N9679" s="17" t="str">
        <f>IFERROR(__xludf.DUMMYFUNCTION("""COMPUTED_VALUE"""),"")</f>
        <v/>
      </c>
      <c r="O9679" s="17"/>
    </row>
    <row r="9680">
      <c r="B9680" s="17" t="s">
        <v>477</v>
      </c>
      <c r="K9680" s="18" t="s">
        <v>477</v>
      </c>
      <c r="N9680" s="17" t="str">
        <f>IFERROR(__xludf.DUMMYFUNCTION("""COMPUTED_VALUE"""),"")</f>
        <v/>
      </c>
      <c r="O9680" s="17"/>
    </row>
    <row r="9681">
      <c r="B9681" s="17" t="s">
        <v>477</v>
      </c>
      <c r="K9681" s="18" t="s">
        <v>477</v>
      </c>
      <c r="N9681" s="17" t="str">
        <f>IFERROR(__xludf.DUMMYFUNCTION("""COMPUTED_VALUE"""),"")</f>
        <v/>
      </c>
      <c r="O9681" s="17"/>
    </row>
    <row r="9682">
      <c r="B9682" s="17" t="s">
        <v>477</v>
      </c>
      <c r="K9682" s="18" t="s">
        <v>477</v>
      </c>
      <c r="N9682" s="17" t="str">
        <f>IFERROR(__xludf.DUMMYFUNCTION("""COMPUTED_VALUE"""),"")</f>
        <v/>
      </c>
      <c r="O9682" s="17"/>
    </row>
    <row r="9683">
      <c r="B9683" s="17" t="s">
        <v>477</v>
      </c>
      <c r="K9683" s="18" t="s">
        <v>477</v>
      </c>
      <c r="N9683" s="17" t="str">
        <f>IFERROR(__xludf.DUMMYFUNCTION("""COMPUTED_VALUE"""),"")</f>
        <v/>
      </c>
      <c r="O9683" s="17"/>
    </row>
    <row r="9684">
      <c r="B9684" s="17" t="s">
        <v>477</v>
      </c>
      <c r="K9684" s="18" t="s">
        <v>477</v>
      </c>
      <c r="N9684" s="17" t="str">
        <f>IFERROR(__xludf.DUMMYFUNCTION("""COMPUTED_VALUE"""),"")</f>
        <v/>
      </c>
      <c r="O9684" s="17"/>
    </row>
    <row r="9685">
      <c r="B9685" s="17" t="s">
        <v>477</v>
      </c>
      <c r="K9685" s="18" t="s">
        <v>477</v>
      </c>
      <c r="N9685" s="17" t="str">
        <f>IFERROR(__xludf.DUMMYFUNCTION("""COMPUTED_VALUE"""),"")</f>
        <v/>
      </c>
      <c r="O9685" s="17"/>
    </row>
    <row r="9686">
      <c r="B9686" s="17" t="s">
        <v>477</v>
      </c>
      <c r="K9686" s="18" t="s">
        <v>477</v>
      </c>
      <c r="N9686" s="17" t="str">
        <f>IFERROR(__xludf.DUMMYFUNCTION("""COMPUTED_VALUE"""),"")</f>
        <v/>
      </c>
      <c r="O9686" s="17"/>
    </row>
    <row r="9687">
      <c r="B9687" s="17" t="s">
        <v>477</v>
      </c>
      <c r="K9687" s="18" t="s">
        <v>477</v>
      </c>
      <c r="N9687" s="17" t="str">
        <f>IFERROR(__xludf.DUMMYFUNCTION("""COMPUTED_VALUE"""),"")</f>
        <v/>
      </c>
      <c r="O9687" s="17"/>
    </row>
    <row r="9688">
      <c r="B9688" s="17" t="s">
        <v>477</v>
      </c>
      <c r="K9688" s="18" t="s">
        <v>477</v>
      </c>
      <c r="N9688" s="17" t="str">
        <f>IFERROR(__xludf.DUMMYFUNCTION("""COMPUTED_VALUE"""),"")</f>
        <v/>
      </c>
      <c r="O9688" s="17"/>
    </row>
    <row r="9689">
      <c r="B9689" s="17" t="s">
        <v>477</v>
      </c>
      <c r="K9689" s="18" t="s">
        <v>477</v>
      </c>
      <c r="N9689" s="17" t="str">
        <f>IFERROR(__xludf.DUMMYFUNCTION("""COMPUTED_VALUE"""),"")</f>
        <v/>
      </c>
      <c r="O9689" s="17"/>
    </row>
    <row r="9690">
      <c r="B9690" s="17" t="s">
        <v>477</v>
      </c>
      <c r="K9690" s="18" t="s">
        <v>477</v>
      </c>
      <c r="N9690" s="17" t="str">
        <f>IFERROR(__xludf.DUMMYFUNCTION("""COMPUTED_VALUE"""),"")</f>
        <v/>
      </c>
      <c r="O9690" s="17"/>
    </row>
    <row r="9691">
      <c r="B9691" s="17" t="s">
        <v>477</v>
      </c>
      <c r="K9691" s="18" t="s">
        <v>477</v>
      </c>
      <c r="N9691" s="17" t="str">
        <f>IFERROR(__xludf.DUMMYFUNCTION("""COMPUTED_VALUE"""),"")</f>
        <v/>
      </c>
      <c r="O9691" s="17"/>
    </row>
    <row r="9692">
      <c r="B9692" s="17" t="s">
        <v>477</v>
      </c>
      <c r="K9692" s="18" t="s">
        <v>477</v>
      </c>
      <c r="N9692" s="17" t="str">
        <f>IFERROR(__xludf.DUMMYFUNCTION("""COMPUTED_VALUE"""),"")</f>
        <v/>
      </c>
      <c r="O9692" s="17"/>
    </row>
    <row r="9693">
      <c r="B9693" s="17" t="s">
        <v>477</v>
      </c>
      <c r="K9693" s="18" t="s">
        <v>477</v>
      </c>
      <c r="N9693" s="17" t="str">
        <f>IFERROR(__xludf.DUMMYFUNCTION("""COMPUTED_VALUE"""),"")</f>
        <v/>
      </c>
      <c r="O9693" s="17"/>
    </row>
    <row r="9694">
      <c r="B9694" s="17" t="s">
        <v>477</v>
      </c>
      <c r="K9694" s="18" t="s">
        <v>477</v>
      </c>
      <c r="N9694" s="17" t="str">
        <f>IFERROR(__xludf.DUMMYFUNCTION("""COMPUTED_VALUE"""),"")</f>
        <v/>
      </c>
      <c r="O9694" s="17"/>
    </row>
    <row r="9695">
      <c r="B9695" s="17" t="s">
        <v>477</v>
      </c>
      <c r="K9695" s="18" t="s">
        <v>477</v>
      </c>
      <c r="N9695" s="17" t="str">
        <f>IFERROR(__xludf.DUMMYFUNCTION("""COMPUTED_VALUE"""),"")</f>
        <v/>
      </c>
      <c r="O9695" s="17"/>
    </row>
    <row r="9696">
      <c r="B9696" s="17" t="s">
        <v>477</v>
      </c>
      <c r="K9696" s="18" t="s">
        <v>477</v>
      </c>
      <c r="N9696" s="17" t="str">
        <f>IFERROR(__xludf.DUMMYFUNCTION("""COMPUTED_VALUE"""),"")</f>
        <v/>
      </c>
      <c r="O9696" s="17"/>
    </row>
    <row r="9697">
      <c r="B9697" s="17" t="s">
        <v>477</v>
      </c>
      <c r="K9697" s="18" t="s">
        <v>477</v>
      </c>
      <c r="N9697" s="17" t="str">
        <f>IFERROR(__xludf.DUMMYFUNCTION("""COMPUTED_VALUE"""),"")</f>
        <v/>
      </c>
      <c r="O9697" s="17"/>
    </row>
    <row r="9698">
      <c r="B9698" s="17" t="s">
        <v>477</v>
      </c>
      <c r="K9698" s="18" t="s">
        <v>477</v>
      </c>
      <c r="N9698" s="17" t="str">
        <f>IFERROR(__xludf.DUMMYFUNCTION("""COMPUTED_VALUE"""),"")</f>
        <v/>
      </c>
      <c r="O9698" s="17"/>
    </row>
    <row r="9699">
      <c r="B9699" s="17" t="s">
        <v>477</v>
      </c>
      <c r="K9699" s="18" t="s">
        <v>477</v>
      </c>
      <c r="N9699" s="17" t="str">
        <f>IFERROR(__xludf.DUMMYFUNCTION("""COMPUTED_VALUE"""),"")</f>
        <v/>
      </c>
      <c r="O9699" s="17"/>
    </row>
    <row r="9700">
      <c r="B9700" s="17" t="s">
        <v>477</v>
      </c>
      <c r="K9700" s="18" t="s">
        <v>477</v>
      </c>
      <c r="N9700" s="17" t="str">
        <f>IFERROR(__xludf.DUMMYFUNCTION("""COMPUTED_VALUE"""),"")</f>
        <v/>
      </c>
      <c r="O9700" s="17"/>
    </row>
    <row r="9701">
      <c r="B9701" s="17" t="s">
        <v>477</v>
      </c>
      <c r="K9701" s="18" t="s">
        <v>477</v>
      </c>
      <c r="N9701" s="17" t="str">
        <f>IFERROR(__xludf.DUMMYFUNCTION("""COMPUTED_VALUE"""),"")</f>
        <v/>
      </c>
      <c r="O9701" s="17"/>
    </row>
    <row r="9702">
      <c r="B9702" s="17" t="s">
        <v>477</v>
      </c>
      <c r="K9702" s="18" t="s">
        <v>477</v>
      </c>
      <c r="N9702" s="17" t="str">
        <f>IFERROR(__xludf.DUMMYFUNCTION("""COMPUTED_VALUE"""),"")</f>
        <v/>
      </c>
      <c r="O9702" s="17"/>
    </row>
    <row r="9703">
      <c r="B9703" s="17" t="s">
        <v>477</v>
      </c>
      <c r="K9703" s="18" t="s">
        <v>477</v>
      </c>
      <c r="N9703" s="17" t="str">
        <f>IFERROR(__xludf.DUMMYFUNCTION("""COMPUTED_VALUE"""),"")</f>
        <v/>
      </c>
      <c r="O9703" s="17"/>
    </row>
    <row r="9704">
      <c r="B9704" s="17" t="s">
        <v>477</v>
      </c>
      <c r="K9704" s="18" t="s">
        <v>477</v>
      </c>
      <c r="N9704" s="17" t="str">
        <f>IFERROR(__xludf.DUMMYFUNCTION("""COMPUTED_VALUE"""),"")</f>
        <v/>
      </c>
      <c r="O9704" s="17"/>
    </row>
    <row r="9705">
      <c r="B9705" s="17" t="s">
        <v>477</v>
      </c>
      <c r="K9705" s="18" t="s">
        <v>477</v>
      </c>
      <c r="N9705" s="17" t="str">
        <f>IFERROR(__xludf.DUMMYFUNCTION("""COMPUTED_VALUE"""),"")</f>
        <v/>
      </c>
      <c r="O9705" s="17"/>
    </row>
    <row r="9706">
      <c r="B9706" s="17" t="s">
        <v>477</v>
      </c>
      <c r="K9706" s="18" t="s">
        <v>477</v>
      </c>
      <c r="N9706" s="17" t="str">
        <f>IFERROR(__xludf.DUMMYFUNCTION("""COMPUTED_VALUE"""),"")</f>
        <v/>
      </c>
      <c r="O9706" s="17"/>
    </row>
    <row r="9707">
      <c r="B9707" s="17" t="s">
        <v>477</v>
      </c>
      <c r="K9707" s="18" t="s">
        <v>477</v>
      </c>
      <c r="N9707" s="17" t="str">
        <f>IFERROR(__xludf.DUMMYFUNCTION("""COMPUTED_VALUE"""),"")</f>
        <v/>
      </c>
      <c r="O9707" s="17"/>
    </row>
    <row r="9708">
      <c r="B9708" s="17" t="s">
        <v>477</v>
      </c>
      <c r="K9708" s="18" t="s">
        <v>477</v>
      </c>
      <c r="N9708" s="17" t="str">
        <f>IFERROR(__xludf.DUMMYFUNCTION("""COMPUTED_VALUE"""),"")</f>
        <v/>
      </c>
      <c r="O9708" s="17"/>
    </row>
    <row r="9709">
      <c r="B9709" s="17" t="s">
        <v>477</v>
      </c>
      <c r="K9709" s="18" t="s">
        <v>477</v>
      </c>
      <c r="N9709" s="17" t="str">
        <f>IFERROR(__xludf.DUMMYFUNCTION("""COMPUTED_VALUE"""),"")</f>
        <v/>
      </c>
      <c r="O9709" s="17"/>
    </row>
    <row r="9710">
      <c r="B9710" s="17" t="s">
        <v>477</v>
      </c>
      <c r="K9710" s="18" t="s">
        <v>477</v>
      </c>
      <c r="N9710" s="17" t="str">
        <f>IFERROR(__xludf.DUMMYFUNCTION("""COMPUTED_VALUE"""),"")</f>
        <v/>
      </c>
      <c r="O9710" s="17"/>
    </row>
    <row r="9711">
      <c r="B9711" s="17" t="s">
        <v>477</v>
      </c>
      <c r="K9711" s="18" t="s">
        <v>477</v>
      </c>
      <c r="N9711" s="17" t="str">
        <f>IFERROR(__xludf.DUMMYFUNCTION("""COMPUTED_VALUE"""),"")</f>
        <v/>
      </c>
      <c r="O9711" s="17"/>
    </row>
    <row r="9712">
      <c r="B9712" s="17" t="s">
        <v>477</v>
      </c>
      <c r="K9712" s="18" t="s">
        <v>477</v>
      </c>
      <c r="N9712" s="17" t="str">
        <f>IFERROR(__xludf.DUMMYFUNCTION("""COMPUTED_VALUE"""),"")</f>
        <v/>
      </c>
      <c r="O9712" s="17"/>
    </row>
    <row r="9713">
      <c r="B9713" s="17" t="s">
        <v>477</v>
      </c>
      <c r="K9713" s="18" t="s">
        <v>477</v>
      </c>
      <c r="N9713" s="17" t="str">
        <f>IFERROR(__xludf.DUMMYFUNCTION("""COMPUTED_VALUE"""),"")</f>
        <v/>
      </c>
      <c r="O9713" s="17"/>
    </row>
    <row r="9714">
      <c r="B9714" s="17" t="s">
        <v>477</v>
      </c>
      <c r="K9714" s="18" t="s">
        <v>477</v>
      </c>
      <c r="N9714" s="17" t="str">
        <f>IFERROR(__xludf.DUMMYFUNCTION("""COMPUTED_VALUE"""),"")</f>
        <v/>
      </c>
      <c r="O9714" s="17"/>
    </row>
    <row r="9715">
      <c r="B9715" s="17" t="s">
        <v>477</v>
      </c>
      <c r="K9715" s="18" t="s">
        <v>477</v>
      </c>
      <c r="N9715" s="17" t="str">
        <f>IFERROR(__xludf.DUMMYFUNCTION("""COMPUTED_VALUE"""),"")</f>
        <v/>
      </c>
      <c r="O9715" s="17"/>
    </row>
    <row r="9716">
      <c r="B9716" s="17" t="s">
        <v>477</v>
      </c>
      <c r="K9716" s="18" t="s">
        <v>477</v>
      </c>
      <c r="N9716" s="17" t="str">
        <f>IFERROR(__xludf.DUMMYFUNCTION("""COMPUTED_VALUE"""),"")</f>
        <v/>
      </c>
      <c r="O9716" s="17"/>
    </row>
    <row r="9717">
      <c r="B9717" s="17" t="s">
        <v>477</v>
      </c>
      <c r="K9717" s="18" t="s">
        <v>477</v>
      </c>
      <c r="N9717" s="17" t="str">
        <f>IFERROR(__xludf.DUMMYFUNCTION("""COMPUTED_VALUE"""),"")</f>
        <v/>
      </c>
      <c r="O9717" s="17"/>
    </row>
    <row r="9718">
      <c r="B9718" s="17" t="s">
        <v>477</v>
      </c>
      <c r="K9718" s="18" t="s">
        <v>477</v>
      </c>
      <c r="N9718" s="17" t="str">
        <f>IFERROR(__xludf.DUMMYFUNCTION("""COMPUTED_VALUE"""),"")</f>
        <v/>
      </c>
      <c r="O9718" s="17"/>
    </row>
    <row r="9719">
      <c r="B9719" s="17" t="s">
        <v>477</v>
      </c>
      <c r="K9719" s="18" t="s">
        <v>477</v>
      </c>
      <c r="N9719" s="17" t="str">
        <f>IFERROR(__xludf.DUMMYFUNCTION("""COMPUTED_VALUE"""),"")</f>
        <v/>
      </c>
      <c r="O9719" s="17"/>
    </row>
    <row r="9720">
      <c r="B9720" s="17" t="s">
        <v>477</v>
      </c>
      <c r="K9720" s="18" t="s">
        <v>477</v>
      </c>
      <c r="N9720" s="17" t="str">
        <f>IFERROR(__xludf.DUMMYFUNCTION("""COMPUTED_VALUE"""),"")</f>
        <v/>
      </c>
      <c r="O9720" s="17"/>
    </row>
    <row r="9721">
      <c r="B9721" s="17" t="s">
        <v>477</v>
      </c>
      <c r="K9721" s="18" t="s">
        <v>477</v>
      </c>
      <c r="N9721" s="17" t="str">
        <f>IFERROR(__xludf.DUMMYFUNCTION("""COMPUTED_VALUE"""),"")</f>
        <v/>
      </c>
      <c r="O9721" s="17"/>
    </row>
    <row r="9722">
      <c r="B9722" s="17" t="s">
        <v>477</v>
      </c>
      <c r="K9722" s="18" t="s">
        <v>477</v>
      </c>
      <c r="N9722" s="17" t="str">
        <f>IFERROR(__xludf.DUMMYFUNCTION("""COMPUTED_VALUE"""),"")</f>
        <v/>
      </c>
      <c r="O9722" s="17"/>
    </row>
    <row r="9723">
      <c r="B9723" s="17" t="s">
        <v>477</v>
      </c>
      <c r="K9723" s="18" t="s">
        <v>477</v>
      </c>
      <c r="N9723" s="17" t="str">
        <f>IFERROR(__xludf.DUMMYFUNCTION("""COMPUTED_VALUE"""),"")</f>
        <v/>
      </c>
      <c r="O9723" s="17"/>
    </row>
    <row r="9724">
      <c r="B9724" s="17" t="s">
        <v>477</v>
      </c>
      <c r="K9724" s="18" t="s">
        <v>477</v>
      </c>
      <c r="N9724" s="17" t="str">
        <f>IFERROR(__xludf.DUMMYFUNCTION("""COMPUTED_VALUE"""),"")</f>
        <v/>
      </c>
      <c r="O9724" s="17"/>
    </row>
    <row r="9725">
      <c r="B9725" s="17" t="s">
        <v>477</v>
      </c>
      <c r="K9725" s="18" t="s">
        <v>477</v>
      </c>
      <c r="N9725" s="17" t="str">
        <f>IFERROR(__xludf.DUMMYFUNCTION("""COMPUTED_VALUE"""),"")</f>
        <v/>
      </c>
      <c r="O9725" s="17"/>
    </row>
    <row r="9726">
      <c r="B9726" s="17" t="s">
        <v>477</v>
      </c>
      <c r="K9726" s="18" t="s">
        <v>477</v>
      </c>
      <c r="N9726" s="17" t="str">
        <f>IFERROR(__xludf.DUMMYFUNCTION("""COMPUTED_VALUE"""),"")</f>
        <v/>
      </c>
      <c r="O9726" s="17"/>
    </row>
    <row r="9727">
      <c r="B9727" s="17" t="s">
        <v>477</v>
      </c>
      <c r="K9727" s="18" t="s">
        <v>477</v>
      </c>
      <c r="N9727" s="17" t="str">
        <f>IFERROR(__xludf.DUMMYFUNCTION("""COMPUTED_VALUE"""),"")</f>
        <v/>
      </c>
      <c r="O9727" s="17"/>
    </row>
    <row r="9728">
      <c r="B9728" s="17" t="s">
        <v>477</v>
      </c>
      <c r="K9728" s="18" t="s">
        <v>477</v>
      </c>
      <c r="N9728" s="17" t="str">
        <f>IFERROR(__xludf.DUMMYFUNCTION("""COMPUTED_VALUE"""),"")</f>
        <v/>
      </c>
      <c r="O9728" s="17"/>
    </row>
    <row r="9729">
      <c r="B9729" s="17" t="s">
        <v>477</v>
      </c>
      <c r="K9729" s="18" t="s">
        <v>477</v>
      </c>
      <c r="N9729" s="17" t="str">
        <f>IFERROR(__xludf.DUMMYFUNCTION("""COMPUTED_VALUE"""),"")</f>
        <v/>
      </c>
      <c r="O9729" s="17"/>
    </row>
    <row r="9730">
      <c r="B9730" s="17" t="s">
        <v>477</v>
      </c>
      <c r="K9730" s="18" t="s">
        <v>477</v>
      </c>
      <c r="N9730" s="17" t="str">
        <f>IFERROR(__xludf.DUMMYFUNCTION("""COMPUTED_VALUE"""),"")</f>
        <v/>
      </c>
      <c r="O9730" s="17"/>
    </row>
    <row r="9731">
      <c r="B9731" s="17" t="s">
        <v>477</v>
      </c>
      <c r="K9731" s="18" t="s">
        <v>477</v>
      </c>
      <c r="N9731" s="17" t="str">
        <f>IFERROR(__xludf.DUMMYFUNCTION("""COMPUTED_VALUE"""),"")</f>
        <v/>
      </c>
      <c r="O9731" s="17"/>
    </row>
    <row r="9732">
      <c r="B9732" s="17" t="s">
        <v>477</v>
      </c>
      <c r="K9732" s="18" t="s">
        <v>477</v>
      </c>
      <c r="N9732" s="17" t="str">
        <f>IFERROR(__xludf.DUMMYFUNCTION("""COMPUTED_VALUE"""),"")</f>
        <v/>
      </c>
      <c r="O9732" s="17"/>
    </row>
    <row r="9733">
      <c r="B9733" s="17" t="s">
        <v>477</v>
      </c>
      <c r="K9733" s="18" t="s">
        <v>477</v>
      </c>
      <c r="N9733" s="17" t="str">
        <f>IFERROR(__xludf.DUMMYFUNCTION("""COMPUTED_VALUE"""),"")</f>
        <v/>
      </c>
      <c r="O9733" s="17"/>
    </row>
    <row r="9734">
      <c r="B9734" s="17" t="s">
        <v>477</v>
      </c>
      <c r="K9734" s="18" t="s">
        <v>477</v>
      </c>
      <c r="N9734" s="17" t="str">
        <f>IFERROR(__xludf.DUMMYFUNCTION("""COMPUTED_VALUE"""),"")</f>
        <v/>
      </c>
      <c r="O9734" s="17"/>
    </row>
    <row r="9735">
      <c r="B9735" s="17" t="s">
        <v>477</v>
      </c>
      <c r="K9735" s="18" t="s">
        <v>477</v>
      </c>
      <c r="N9735" s="17" t="str">
        <f>IFERROR(__xludf.DUMMYFUNCTION("""COMPUTED_VALUE"""),"")</f>
        <v/>
      </c>
      <c r="O9735" s="17"/>
    </row>
    <row r="9736">
      <c r="B9736" s="17" t="s">
        <v>477</v>
      </c>
      <c r="K9736" s="18" t="s">
        <v>477</v>
      </c>
      <c r="N9736" s="17" t="str">
        <f>IFERROR(__xludf.DUMMYFUNCTION("""COMPUTED_VALUE"""),"")</f>
        <v/>
      </c>
      <c r="O9736" s="17"/>
    </row>
    <row r="9737">
      <c r="B9737" s="17" t="s">
        <v>477</v>
      </c>
      <c r="K9737" s="18" t="s">
        <v>477</v>
      </c>
      <c r="N9737" s="17" t="str">
        <f>IFERROR(__xludf.DUMMYFUNCTION("""COMPUTED_VALUE"""),"")</f>
        <v/>
      </c>
      <c r="O9737" s="17"/>
    </row>
    <row r="9738">
      <c r="B9738" s="17" t="s">
        <v>477</v>
      </c>
      <c r="K9738" s="18" t="s">
        <v>477</v>
      </c>
      <c r="N9738" s="17" t="str">
        <f>IFERROR(__xludf.DUMMYFUNCTION("""COMPUTED_VALUE"""),"")</f>
        <v/>
      </c>
      <c r="O9738" s="17"/>
    </row>
    <row r="9739">
      <c r="B9739" s="17" t="s">
        <v>477</v>
      </c>
      <c r="K9739" s="18" t="s">
        <v>477</v>
      </c>
      <c r="N9739" s="17" t="str">
        <f>IFERROR(__xludf.DUMMYFUNCTION("""COMPUTED_VALUE"""),"")</f>
        <v/>
      </c>
      <c r="O9739" s="17"/>
    </row>
    <row r="9740">
      <c r="B9740" s="17" t="s">
        <v>477</v>
      </c>
      <c r="K9740" s="18" t="s">
        <v>477</v>
      </c>
      <c r="N9740" s="17" t="str">
        <f>IFERROR(__xludf.DUMMYFUNCTION("""COMPUTED_VALUE"""),"")</f>
        <v/>
      </c>
      <c r="O9740" s="17"/>
    </row>
    <row r="9741">
      <c r="B9741" s="17" t="s">
        <v>477</v>
      </c>
      <c r="K9741" s="18" t="s">
        <v>477</v>
      </c>
      <c r="N9741" s="17" t="str">
        <f>IFERROR(__xludf.DUMMYFUNCTION("""COMPUTED_VALUE"""),"")</f>
        <v/>
      </c>
      <c r="O9741" s="17"/>
    </row>
    <row r="9742">
      <c r="B9742" s="17" t="s">
        <v>477</v>
      </c>
      <c r="K9742" s="18" t="s">
        <v>477</v>
      </c>
      <c r="N9742" s="17" t="str">
        <f>IFERROR(__xludf.DUMMYFUNCTION("""COMPUTED_VALUE"""),"")</f>
        <v/>
      </c>
      <c r="O9742" s="17"/>
    </row>
    <row r="9743">
      <c r="B9743" s="17" t="s">
        <v>477</v>
      </c>
      <c r="K9743" s="18" t="s">
        <v>477</v>
      </c>
      <c r="N9743" s="17" t="str">
        <f>IFERROR(__xludf.DUMMYFUNCTION("""COMPUTED_VALUE"""),"")</f>
        <v/>
      </c>
      <c r="O9743" s="17"/>
    </row>
    <row r="9744">
      <c r="B9744" s="17" t="s">
        <v>477</v>
      </c>
      <c r="K9744" s="18" t="s">
        <v>477</v>
      </c>
      <c r="N9744" s="17" t="str">
        <f>IFERROR(__xludf.DUMMYFUNCTION("""COMPUTED_VALUE"""),"")</f>
        <v/>
      </c>
      <c r="O9744" s="17"/>
    </row>
    <row r="9745">
      <c r="B9745" s="17" t="s">
        <v>477</v>
      </c>
      <c r="K9745" s="18" t="s">
        <v>477</v>
      </c>
      <c r="N9745" s="17" t="str">
        <f>IFERROR(__xludf.DUMMYFUNCTION("""COMPUTED_VALUE"""),"")</f>
        <v/>
      </c>
      <c r="O9745" s="17"/>
    </row>
    <row r="9746">
      <c r="B9746" s="17" t="s">
        <v>477</v>
      </c>
      <c r="K9746" s="18" t="s">
        <v>477</v>
      </c>
      <c r="N9746" s="17" t="str">
        <f>IFERROR(__xludf.DUMMYFUNCTION("""COMPUTED_VALUE"""),"")</f>
        <v/>
      </c>
      <c r="O9746" s="17"/>
    </row>
    <row r="9747">
      <c r="B9747" s="17" t="s">
        <v>477</v>
      </c>
      <c r="K9747" s="18" t="s">
        <v>477</v>
      </c>
      <c r="N9747" s="17" t="str">
        <f>IFERROR(__xludf.DUMMYFUNCTION("""COMPUTED_VALUE"""),"")</f>
        <v/>
      </c>
      <c r="O9747" s="17"/>
    </row>
    <row r="9748">
      <c r="B9748" s="17" t="s">
        <v>477</v>
      </c>
      <c r="K9748" s="18" t="s">
        <v>477</v>
      </c>
      <c r="N9748" s="17" t="str">
        <f>IFERROR(__xludf.DUMMYFUNCTION("""COMPUTED_VALUE"""),"")</f>
        <v/>
      </c>
      <c r="O9748" s="17"/>
    </row>
    <row r="9749">
      <c r="B9749" s="17" t="s">
        <v>477</v>
      </c>
      <c r="K9749" s="18" t="s">
        <v>477</v>
      </c>
      <c r="N9749" s="17" t="str">
        <f>IFERROR(__xludf.DUMMYFUNCTION("""COMPUTED_VALUE"""),"")</f>
        <v/>
      </c>
      <c r="O9749" s="17"/>
    </row>
    <row r="9750">
      <c r="B9750" s="17" t="s">
        <v>477</v>
      </c>
      <c r="K9750" s="18" t="s">
        <v>477</v>
      </c>
      <c r="N9750" s="17" t="str">
        <f>IFERROR(__xludf.DUMMYFUNCTION("""COMPUTED_VALUE"""),"")</f>
        <v/>
      </c>
      <c r="O9750" s="17"/>
    </row>
    <row r="9751">
      <c r="B9751" s="17" t="s">
        <v>477</v>
      </c>
      <c r="K9751" s="18" t="s">
        <v>477</v>
      </c>
      <c r="N9751" s="17" t="str">
        <f>IFERROR(__xludf.DUMMYFUNCTION("""COMPUTED_VALUE"""),"")</f>
        <v/>
      </c>
      <c r="O9751" s="17"/>
    </row>
    <row r="9752">
      <c r="B9752" s="17" t="s">
        <v>477</v>
      </c>
      <c r="K9752" s="18" t="s">
        <v>477</v>
      </c>
      <c r="N9752" s="17" t="str">
        <f>IFERROR(__xludf.DUMMYFUNCTION("""COMPUTED_VALUE"""),"")</f>
        <v/>
      </c>
      <c r="O9752" s="17"/>
    </row>
    <row r="9753">
      <c r="B9753" s="17" t="s">
        <v>477</v>
      </c>
      <c r="K9753" s="18" t="s">
        <v>477</v>
      </c>
      <c r="N9753" s="17" t="str">
        <f>IFERROR(__xludf.DUMMYFUNCTION("""COMPUTED_VALUE"""),"")</f>
        <v/>
      </c>
      <c r="O9753" s="17"/>
    </row>
    <row r="9754">
      <c r="B9754" s="17" t="s">
        <v>477</v>
      </c>
      <c r="K9754" s="18" t="s">
        <v>477</v>
      </c>
      <c r="N9754" s="17" t="str">
        <f>IFERROR(__xludf.DUMMYFUNCTION("""COMPUTED_VALUE"""),"")</f>
        <v/>
      </c>
      <c r="O9754" s="17"/>
    </row>
    <row r="9755">
      <c r="B9755" s="17" t="s">
        <v>477</v>
      </c>
      <c r="K9755" s="18" t="s">
        <v>477</v>
      </c>
      <c r="N9755" s="17" t="str">
        <f>IFERROR(__xludf.DUMMYFUNCTION("""COMPUTED_VALUE"""),"")</f>
        <v/>
      </c>
      <c r="O9755" s="17"/>
    </row>
    <row r="9756">
      <c r="B9756" s="17" t="s">
        <v>477</v>
      </c>
      <c r="K9756" s="18" t="s">
        <v>477</v>
      </c>
      <c r="N9756" s="17" t="str">
        <f>IFERROR(__xludf.DUMMYFUNCTION("""COMPUTED_VALUE"""),"")</f>
        <v/>
      </c>
      <c r="O9756" s="17"/>
    </row>
    <row r="9757">
      <c r="B9757" s="17" t="s">
        <v>477</v>
      </c>
      <c r="K9757" s="18" t="s">
        <v>477</v>
      </c>
      <c r="N9757" s="17" t="str">
        <f>IFERROR(__xludf.DUMMYFUNCTION("""COMPUTED_VALUE"""),"")</f>
        <v/>
      </c>
      <c r="O9757" s="17"/>
    </row>
    <row r="9758">
      <c r="B9758" s="17" t="s">
        <v>477</v>
      </c>
      <c r="K9758" s="18" t="s">
        <v>477</v>
      </c>
      <c r="N9758" s="17" t="str">
        <f>IFERROR(__xludf.DUMMYFUNCTION("""COMPUTED_VALUE"""),"")</f>
        <v/>
      </c>
      <c r="O9758" s="17"/>
    </row>
    <row r="9759">
      <c r="B9759" s="17" t="s">
        <v>477</v>
      </c>
      <c r="K9759" s="18" t="s">
        <v>477</v>
      </c>
      <c r="N9759" s="17" t="str">
        <f>IFERROR(__xludf.DUMMYFUNCTION("""COMPUTED_VALUE"""),"")</f>
        <v/>
      </c>
      <c r="O9759" s="17"/>
    </row>
    <row r="9760">
      <c r="B9760" s="17" t="s">
        <v>477</v>
      </c>
      <c r="K9760" s="18" t="s">
        <v>477</v>
      </c>
      <c r="N9760" s="17" t="str">
        <f>IFERROR(__xludf.DUMMYFUNCTION("""COMPUTED_VALUE"""),"")</f>
        <v/>
      </c>
      <c r="O9760" s="17"/>
    </row>
    <row r="9761">
      <c r="B9761" s="17" t="s">
        <v>477</v>
      </c>
      <c r="K9761" s="18" t="s">
        <v>477</v>
      </c>
      <c r="N9761" s="17" t="str">
        <f>IFERROR(__xludf.DUMMYFUNCTION("""COMPUTED_VALUE"""),"")</f>
        <v/>
      </c>
      <c r="O9761" s="17"/>
    </row>
    <row r="9762">
      <c r="B9762" s="17" t="s">
        <v>477</v>
      </c>
      <c r="K9762" s="18" t="s">
        <v>477</v>
      </c>
      <c r="N9762" s="17" t="str">
        <f>IFERROR(__xludf.DUMMYFUNCTION("""COMPUTED_VALUE"""),"")</f>
        <v/>
      </c>
      <c r="O9762" s="17"/>
    </row>
    <row r="9763">
      <c r="B9763" s="17" t="s">
        <v>477</v>
      </c>
      <c r="K9763" s="18" t="s">
        <v>477</v>
      </c>
      <c r="N9763" s="17" t="str">
        <f>IFERROR(__xludf.DUMMYFUNCTION("""COMPUTED_VALUE"""),"")</f>
        <v/>
      </c>
      <c r="O9763" s="17"/>
    </row>
    <row r="9764">
      <c r="B9764" s="17" t="s">
        <v>477</v>
      </c>
      <c r="K9764" s="18" t="s">
        <v>477</v>
      </c>
      <c r="N9764" s="17" t="str">
        <f>IFERROR(__xludf.DUMMYFUNCTION("""COMPUTED_VALUE"""),"")</f>
        <v/>
      </c>
      <c r="O9764" s="17"/>
    </row>
    <row r="9765">
      <c r="B9765" s="17" t="s">
        <v>477</v>
      </c>
      <c r="K9765" s="18" t="s">
        <v>477</v>
      </c>
      <c r="N9765" s="17" t="str">
        <f>IFERROR(__xludf.DUMMYFUNCTION("""COMPUTED_VALUE"""),"")</f>
        <v/>
      </c>
      <c r="O9765" s="17"/>
    </row>
    <row r="9766">
      <c r="B9766" s="17" t="s">
        <v>477</v>
      </c>
      <c r="K9766" s="18" t="s">
        <v>477</v>
      </c>
      <c r="N9766" s="17" t="str">
        <f>IFERROR(__xludf.DUMMYFUNCTION("""COMPUTED_VALUE"""),"")</f>
        <v/>
      </c>
      <c r="O9766" s="17"/>
    </row>
    <row r="9767">
      <c r="B9767" s="17" t="s">
        <v>477</v>
      </c>
      <c r="K9767" s="18" t="s">
        <v>477</v>
      </c>
      <c r="N9767" s="17" t="str">
        <f>IFERROR(__xludf.DUMMYFUNCTION("""COMPUTED_VALUE"""),"")</f>
        <v/>
      </c>
      <c r="O9767" s="17"/>
    </row>
    <row r="9768">
      <c r="B9768" s="17" t="s">
        <v>477</v>
      </c>
      <c r="K9768" s="18" t="s">
        <v>477</v>
      </c>
      <c r="N9768" s="17" t="str">
        <f>IFERROR(__xludf.DUMMYFUNCTION("""COMPUTED_VALUE"""),"")</f>
        <v/>
      </c>
      <c r="O9768" s="17"/>
    </row>
    <row r="9769">
      <c r="B9769" s="17" t="s">
        <v>477</v>
      </c>
      <c r="K9769" s="18" t="s">
        <v>477</v>
      </c>
      <c r="N9769" s="17" t="str">
        <f>IFERROR(__xludf.DUMMYFUNCTION("""COMPUTED_VALUE"""),"")</f>
        <v/>
      </c>
      <c r="O9769" s="17"/>
    </row>
    <row r="9770">
      <c r="B9770" s="17" t="s">
        <v>477</v>
      </c>
      <c r="K9770" s="18" t="s">
        <v>477</v>
      </c>
      <c r="N9770" s="17" t="str">
        <f>IFERROR(__xludf.DUMMYFUNCTION("""COMPUTED_VALUE"""),"")</f>
        <v/>
      </c>
      <c r="O9770" s="17"/>
    </row>
    <row r="9771">
      <c r="B9771" s="17" t="s">
        <v>477</v>
      </c>
      <c r="K9771" s="18" t="s">
        <v>477</v>
      </c>
      <c r="N9771" s="17" t="str">
        <f>IFERROR(__xludf.DUMMYFUNCTION("""COMPUTED_VALUE"""),"")</f>
        <v/>
      </c>
      <c r="O9771" s="17"/>
    </row>
    <row r="9772">
      <c r="B9772" s="17" t="s">
        <v>477</v>
      </c>
      <c r="K9772" s="18" t="s">
        <v>477</v>
      </c>
      <c r="N9772" s="17" t="str">
        <f>IFERROR(__xludf.DUMMYFUNCTION("""COMPUTED_VALUE"""),"")</f>
        <v/>
      </c>
      <c r="O9772" s="17"/>
    </row>
    <row r="9773">
      <c r="B9773" s="17" t="s">
        <v>477</v>
      </c>
      <c r="K9773" s="18" t="s">
        <v>477</v>
      </c>
      <c r="N9773" s="17" t="str">
        <f>IFERROR(__xludf.DUMMYFUNCTION("""COMPUTED_VALUE"""),"")</f>
        <v/>
      </c>
      <c r="O9773" s="17"/>
    </row>
    <row r="9774">
      <c r="B9774" s="17" t="s">
        <v>477</v>
      </c>
      <c r="K9774" s="18" t="s">
        <v>477</v>
      </c>
      <c r="N9774" s="17" t="str">
        <f>IFERROR(__xludf.DUMMYFUNCTION("""COMPUTED_VALUE"""),"")</f>
        <v/>
      </c>
      <c r="O9774" s="17"/>
    </row>
    <row r="9775">
      <c r="B9775" s="17" t="s">
        <v>477</v>
      </c>
      <c r="K9775" s="18" t="s">
        <v>477</v>
      </c>
      <c r="N9775" s="17" t="str">
        <f>IFERROR(__xludf.DUMMYFUNCTION("""COMPUTED_VALUE"""),"")</f>
        <v/>
      </c>
      <c r="O9775" s="17"/>
    </row>
    <row r="9776">
      <c r="B9776" s="17" t="s">
        <v>477</v>
      </c>
      <c r="K9776" s="18" t="s">
        <v>477</v>
      </c>
      <c r="N9776" s="17" t="str">
        <f>IFERROR(__xludf.DUMMYFUNCTION("""COMPUTED_VALUE"""),"")</f>
        <v/>
      </c>
      <c r="O9776" s="17"/>
    </row>
    <row r="9777">
      <c r="B9777" s="17" t="s">
        <v>477</v>
      </c>
      <c r="K9777" s="18" t="s">
        <v>477</v>
      </c>
      <c r="N9777" s="17" t="str">
        <f>IFERROR(__xludf.DUMMYFUNCTION("""COMPUTED_VALUE"""),"")</f>
        <v/>
      </c>
      <c r="O9777" s="17"/>
    </row>
    <row r="9778">
      <c r="B9778" s="17" t="s">
        <v>477</v>
      </c>
      <c r="K9778" s="18" t="s">
        <v>477</v>
      </c>
      <c r="N9778" s="17" t="str">
        <f>IFERROR(__xludf.DUMMYFUNCTION("""COMPUTED_VALUE"""),"")</f>
        <v/>
      </c>
      <c r="O9778" s="17"/>
    </row>
    <row r="9779">
      <c r="B9779" s="17" t="s">
        <v>477</v>
      </c>
      <c r="K9779" s="18" t="s">
        <v>477</v>
      </c>
      <c r="N9779" s="17" t="str">
        <f>IFERROR(__xludf.DUMMYFUNCTION("""COMPUTED_VALUE"""),"")</f>
        <v/>
      </c>
      <c r="O9779" s="17"/>
    </row>
    <row r="9780">
      <c r="B9780" s="17" t="s">
        <v>477</v>
      </c>
      <c r="K9780" s="18" t="s">
        <v>477</v>
      </c>
      <c r="N9780" s="17" t="str">
        <f>IFERROR(__xludf.DUMMYFUNCTION("""COMPUTED_VALUE"""),"")</f>
        <v/>
      </c>
      <c r="O9780" s="17"/>
    </row>
    <row r="9781">
      <c r="B9781" s="17" t="s">
        <v>477</v>
      </c>
      <c r="K9781" s="18" t="s">
        <v>477</v>
      </c>
      <c r="N9781" s="17" t="str">
        <f>IFERROR(__xludf.DUMMYFUNCTION("""COMPUTED_VALUE"""),"")</f>
        <v/>
      </c>
      <c r="O9781" s="17"/>
    </row>
    <row r="9782">
      <c r="B9782" s="17" t="s">
        <v>477</v>
      </c>
      <c r="K9782" s="18" t="s">
        <v>477</v>
      </c>
      <c r="N9782" s="17" t="str">
        <f>IFERROR(__xludf.DUMMYFUNCTION("""COMPUTED_VALUE"""),"")</f>
        <v/>
      </c>
      <c r="O9782" s="17"/>
    </row>
    <row r="9783">
      <c r="B9783" s="17" t="s">
        <v>477</v>
      </c>
      <c r="K9783" s="18" t="s">
        <v>477</v>
      </c>
      <c r="N9783" s="17" t="str">
        <f>IFERROR(__xludf.DUMMYFUNCTION("""COMPUTED_VALUE"""),"")</f>
        <v/>
      </c>
      <c r="O9783" s="17"/>
    </row>
    <row r="9784">
      <c r="B9784" s="17" t="s">
        <v>477</v>
      </c>
      <c r="K9784" s="18" t="s">
        <v>477</v>
      </c>
      <c r="N9784" s="17" t="str">
        <f>IFERROR(__xludf.DUMMYFUNCTION("""COMPUTED_VALUE"""),"")</f>
        <v/>
      </c>
      <c r="O9784" s="17"/>
    </row>
    <row r="9785">
      <c r="B9785" s="17" t="s">
        <v>477</v>
      </c>
      <c r="K9785" s="18" t="s">
        <v>477</v>
      </c>
      <c r="N9785" s="17" t="str">
        <f>IFERROR(__xludf.DUMMYFUNCTION("""COMPUTED_VALUE"""),"")</f>
        <v/>
      </c>
      <c r="O9785" s="17"/>
    </row>
    <row r="9786">
      <c r="B9786" s="17" t="s">
        <v>477</v>
      </c>
      <c r="K9786" s="18" t="s">
        <v>477</v>
      </c>
      <c r="N9786" s="17" t="str">
        <f>IFERROR(__xludf.DUMMYFUNCTION("""COMPUTED_VALUE"""),"")</f>
        <v/>
      </c>
      <c r="O9786" s="17"/>
    </row>
    <row r="9787">
      <c r="B9787" s="17" t="s">
        <v>477</v>
      </c>
      <c r="K9787" s="18" t="s">
        <v>477</v>
      </c>
      <c r="N9787" s="17" t="str">
        <f>IFERROR(__xludf.DUMMYFUNCTION("""COMPUTED_VALUE"""),"")</f>
        <v/>
      </c>
      <c r="O9787" s="17"/>
    </row>
    <row r="9788">
      <c r="B9788" s="17" t="s">
        <v>477</v>
      </c>
      <c r="K9788" s="18" t="s">
        <v>477</v>
      </c>
      <c r="N9788" s="17" t="str">
        <f>IFERROR(__xludf.DUMMYFUNCTION("""COMPUTED_VALUE"""),"")</f>
        <v/>
      </c>
      <c r="O9788" s="17"/>
    </row>
    <row r="9789">
      <c r="B9789" s="17" t="s">
        <v>477</v>
      </c>
      <c r="K9789" s="18" t="s">
        <v>477</v>
      </c>
      <c r="N9789" s="17" t="str">
        <f>IFERROR(__xludf.DUMMYFUNCTION("""COMPUTED_VALUE"""),"")</f>
        <v/>
      </c>
      <c r="O9789" s="17"/>
    </row>
    <row r="9790">
      <c r="B9790" s="17" t="s">
        <v>477</v>
      </c>
      <c r="K9790" s="18" t="s">
        <v>477</v>
      </c>
      <c r="N9790" s="17" t="str">
        <f>IFERROR(__xludf.DUMMYFUNCTION("""COMPUTED_VALUE"""),"")</f>
        <v/>
      </c>
      <c r="O9790" s="17"/>
    </row>
    <row r="9791">
      <c r="B9791" s="17" t="s">
        <v>477</v>
      </c>
      <c r="K9791" s="18" t="s">
        <v>477</v>
      </c>
      <c r="N9791" s="17" t="str">
        <f>IFERROR(__xludf.DUMMYFUNCTION("""COMPUTED_VALUE"""),"")</f>
        <v/>
      </c>
      <c r="O9791" s="17"/>
    </row>
    <row r="9792">
      <c r="B9792" s="17" t="s">
        <v>477</v>
      </c>
      <c r="K9792" s="18" t="s">
        <v>477</v>
      </c>
      <c r="N9792" s="17" t="str">
        <f>IFERROR(__xludf.DUMMYFUNCTION("""COMPUTED_VALUE"""),"")</f>
        <v/>
      </c>
      <c r="O9792" s="17"/>
    </row>
    <row r="9793">
      <c r="B9793" s="17" t="s">
        <v>477</v>
      </c>
      <c r="K9793" s="18" t="s">
        <v>477</v>
      </c>
      <c r="N9793" s="17" t="str">
        <f>IFERROR(__xludf.DUMMYFUNCTION("""COMPUTED_VALUE"""),"")</f>
        <v/>
      </c>
      <c r="O9793" s="17"/>
    </row>
    <row r="9794">
      <c r="B9794" s="17" t="s">
        <v>477</v>
      </c>
      <c r="K9794" s="18" t="s">
        <v>477</v>
      </c>
      <c r="N9794" s="17" t="str">
        <f>IFERROR(__xludf.DUMMYFUNCTION("""COMPUTED_VALUE"""),"")</f>
        <v/>
      </c>
      <c r="O9794" s="17"/>
    </row>
    <row r="9795">
      <c r="B9795" s="17" t="s">
        <v>477</v>
      </c>
      <c r="K9795" s="18" t="s">
        <v>477</v>
      </c>
      <c r="N9795" s="17" t="str">
        <f>IFERROR(__xludf.DUMMYFUNCTION("""COMPUTED_VALUE"""),"")</f>
        <v/>
      </c>
      <c r="O9795" s="17"/>
    </row>
    <row r="9796">
      <c r="B9796" s="17" t="s">
        <v>477</v>
      </c>
      <c r="K9796" s="18" t="s">
        <v>477</v>
      </c>
      <c r="N9796" s="17" t="str">
        <f>IFERROR(__xludf.DUMMYFUNCTION("""COMPUTED_VALUE"""),"")</f>
        <v/>
      </c>
      <c r="O9796" s="17"/>
    </row>
    <row r="9797">
      <c r="B9797" s="17" t="s">
        <v>477</v>
      </c>
      <c r="K9797" s="18" t="s">
        <v>477</v>
      </c>
      <c r="N9797" s="17" t="str">
        <f>IFERROR(__xludf.DUMMYFUNCTION("""COMPUTED_VALUE"""),"")</f>
        <v/>
      </c>
      <c r="O9797" s="17"/>
    </row>
    <row r="9798">
      <c r="B9798" s="17" t="s">
        <v>477</v>
      </c>
      <c r="K9798" s="18" t="s">
        <v>477</v>
      </c>
      <c r="N9798" s="17" t="str">
        <f>IFERROR(__xludf.DUMMYFUNCTION("""COMPUTED_VALUE"""),"")</f>
        <v/>
      </c>
      <c r="O9798" s="17"/>
    </row>
    <row r="9799">
      <c r="B9799" s="17" t="s">
        <v>477</v>
      </c>
      <c r="K9799" s="18" t="s">
        <v>477</v>
      </c>
      <c r="N9799" s="17" t="str">
        <f>IFERROR(__xludf.DUMMYFUNCTION("""COMPUTED_VALUE"""),"")</f>
        <v/>
      </c>
      <c r="O9799" s="17"/>
    </row>
    <row r="9800">
      <c r="B9800" s="17" t="s">
        <v>477</v>
      </c>
      <c r="K9800" s="18" t="s">
        <v>477</v>
      </c>
      <c r="N9800" s="17" t="str">
        <f>IFERROR(__xludf.DUMMYFUNCTION("""COMPUTED_VALUE"""),"")</f>
        <v/>
      </c>
      <c r="O9800" s="17"/>
    </row>
    <row r="9801">
      <c r="B9801" s="17" t="s">
        <v>477</v>
      </c>
      <c r="K9801" s="18" t="s">
        <v>477</v>
      </c>
      <c r="N9801" s="17" t="str">
        <f>IFERROR(__xludf.DUMMYFUNCTION("""COMPUTED_VALUE"""),"")</f>
        <v/>
      </c>
      <c r="O9801" s="17"/>
    </row>
    <row r="9802">
      <c r="B9802" s="17" t="s">
        <v>477</v>
      </c>
      <c r="K9802" s="18" t="s">
        <v>477</v>
      </c>
      <c r="N9802" s="17" t="str">
        <f>IFERROR(__xludf.DUMMYFUNCTION("""COMPUTED_VALUE"""),"")</f>
        <v/>
      </c>
      <c r="O9802" s="17"/>
    </row>
    <row r="9803">
      <c r="B9803" s="17" t="s">
        <v>477</v>
      </c>
      <c r="K9803" s="18" t="s">
        <v>477</v>
      </c>
      <c r="N9803" s="17" t="str">
        <f>IFERROR(__xludf.DUMMYFUNCTION("""COMPUTED_VALUE"""),"")</f>
        <v/>
      </c>
      <c r="O9803" s="17"/>
    </row>
    <row r="9804">
      <c r="B9804" s="17" t="s">
        <v>477</v>
      </c>
      <c r="K9804" s="18" t="s">
        <v>477</v>
      </c>
      <c r="N9804" s="17" t="str">
        <f>IFERROR(__xludf.DUMMYFUNCTION("""COMPUTED_VALUE"""),"")</f>
        <v/>
      </c>
      <c r="O9804" s="17"/>
    </row>
    <row r="9805">
      <c r="B9805" s="17" t="s">
        <v>477</v>
      </c>
      <c r="K9805" s="18" t="s">
        <v>477</v>
      </c>
      <c r="N9805" s="17" t="str">
        <f>IFERROR(__xludf.DUMMYFUNCTION("""COMPUTED_VALUE"""),"")</f>
        <v/>
      </c>
      <c r="O9805" s="17"/>
    </row>
    <row r="9806">
      <c r="B9806" s="17" t="s">
        <v>477</v>
      </c>
      <c r="K9806" s="18" t="s">
        <v>477</v>
      </c>
      <c r="N9806" s="17" t="str">
        <f>IFERROR(__xludf.DUMMYFUNCTION("""COMPUTED_VALUE"""),"")</f>
        <v/>
      </c>
      <c r="O9806" s="17"/>
    </row>
    <row r="9807">
      <c r="B9807" s="17" t="s">
        <v>477</v>
      </c>
      <c r="K9807" s="18" t="s">
        <v>477</v>
      </c>
      <c r="N9807" s="17" t="str">
        <f>IFERROR(__xludf.DUMMYFUNCTION("""COMPUTED_VALUE"""),"")</f>
        <v/>
      </c>
      <c r="O9807" s="17"/>
    </row>
    <row r="9808">
      <c r="B9808" s="17" t="s">
        <v>477</v>
      </c>
      <c r="K9808" s="18" t="s">
        <v>477</v>
      </c>
      <c r="N9808" s="17" t="str">
        <f>IFERROR(__xludf.DUMMYFUNCTION("""COMPUTED_VALUE"""),"")</f>
        <v/>
      </c>
      <c r="O9808" s="17"/>
    </row>
    <row r="9809">
      <c r="B9809" s="17" t="s">
        <v>477</v>
      </c>
      <c r="K9809" s="18" t="s">
        <v>477</v>
      </c>
      <c r="N9809" s="17" t="str">
        <f>IFERROR(__xludf.DUMMYFUNCTION("""COMPUTED_VALUE"""),"")</f>
        <v/>
      </c>
      <c r="O9809" s="17"/>
    </row>
    <row r="9810">
      <c r="B9810" s="17" t="s">
        <v>477</v>
      </c>
      <c r="K9810" s="18" t="s">
        <v>477</v>
      </c>
      <c r="N9810" s="17" t="str">
        <f>IFERROR(__xludf.DUMMYFUNCTION("""COMPUTED_VALUE"""),"")</f>
        <v/>
      </c>
      <c r="O9810" s="17"/>
    </row>
    <row r="9811">
      <c r="B9811" s="17" t="s">
        <v>477</v>
      </c>
      <c r="K9811" s="18" t="s">
        <v>477</v>
      </c>
      <c r="N9811" s="17" t="str">
        <f>IFERROR(__xludf.DUMMYFUNCTION("""COMPUTED_VALUE"""),"")</f>
        <v/>
      </c>
      <c r="O9811" s="17"/>
    </row>
    <row r="9812">
      <c r="B9812" s="17" t="s">
        <v>477</v>
      </c>
      <c r="K9812" s="18" t="s">
        <v>477</v>
      </c>
      <c r="N9812" s="17" t="str">
        <f>IFERROR(__xludf.DUMMYFUNCTION("""COMPUTED_VALUE"""),"")</f>
        <v/>
      </c>
      <c r="O9812" s="17"/>
    </row>
    <row r="9813">
      <c r="B9813" s="17" t="s">
        <v>477</v>
      </c>
      <c r="K9813" s="18" t="s">
        <v>477</v>
      </c>
      <c r="N9813" s="17" t="str">
        <f>IFERROR(__xludf.DUMMYFUNCTION("""COMPUTED_VALUE"""),"")</f>
        <v/>
      </c>
      <c r="O9813" s="17"/>
    </row>
    <row r="9814">
      <c r="B9814" s="17" t="s">
        <v>477</v>
      </c>
      <c r="K9814" s="18" t="s">
        <v>477</v>
      </c>
      <c r="N9814" s="17" t="str">
        <f>IFERROR(__xludf.DUMMYFUNCTION("""COMPUTED_VALUE"""),"")</f>
        <v/>
      </c>
      <c r="O9814" s="17"/>
    </row>
    <row r="9815">
      <c r="B9815" s="17" t="s">
        <v>477</v>
      </c>
      <c r="K9815" s="18" t="s">
        <v>477</v>
      </c>
      <c r="N9815" s="17" t="str">
        <f>IFERROR(__xludf.DUMMYFUNCTION("""COMPUTED_VALUE"""),"")</f>
        <v/>
      </c>
      <c r="O9815" s="17"/>
    </row>
    <row r="9816">
      <c r="B9816" s="17" t="s">
        <v>477</v>
      </c>
      <c r="K9816" s="18" t="s">
        <v>477</v>
      </c>
      <c r="N9816" s="17" t="str">
        <f>IFERROR(__xludf.DUMMYFUNCTION("""COMPUTED_VALUE"""),"")</f>
        <v/>
      </c>
      <c r="O9816" s="17"/>
    </row>
    <row r="9817">
      <c r="B9817" s="17" t="s">
        <v>477</v>
      </c>
      <c r="K9817" s="18" t="s">
        <v>477</v>
      </c>
      <c r="N9817" s="17" t="str">
        <f>IFERROR(__xludf.DUMMYFUNCTION("""COMPUTED_VALUE"""),"")</f>
        <v/>
      </c>
      <c r="O9817" s="17"/>
    </row>
    <row r="9818">
      <c r="B9818" s="17" t="s">
        <v>477</v>
      </c>
      <c r="K9818" s="18" t="s">
        <v>477</v>
      </c>
      <c r="N9818" s="17" t="str">
        <f>IFERROR(__xludf.DUMMYFUNCTION("""COMPUTED_VALUE"""),"")</f>
        <v/>
      </c>
      <c r="O9818" s="17"/>
    </row>
    <row r="9819">
      <c r="B9819" s="17" t="s">
        <v>477</v>
      </c>
      <c r="K9819" s="18" t="s">
        <v>477</v>
      </c>
      <c r="N9819" s="17" t="str">
        <f>IFERROR(__xludf.DUMMYFUNCTION("""COMPUTED_VALUE"""),"")</f>
        <v/>
      </c>
      <c r="O9819" s="17"/>
    </row>
    <row r="9820">
      <c r="B9820" s="17" t="s">
        <v>477</v>
      </c>
      <c r="K9820" s="18" t="s">
        <v>477</v>
      </c>
      <c r="N9820" s="17" t="str">
        <f>IFERROR(__xludf.DUMMYFUNCTION("""COMPUTED_VALUE"""),"")</f>
        <v/>
      </c>
      <c r="O9820" s="17"/>
    </row>
    <row r="9821">
      <c r="B9821" s="17" t="s">
        <v>477</v>
      </c>
      <c r="K9821" s="18" t="s">
        <v>477</v>
      </c>
      <c r="N9821" s="17" t="str">
        <f>IFERROR(__xludf.DUMMYFUNCTION("""COMPUTED_VALUE"""),"")</f>
        <v/>
      </c>
      <c r="O9821" s="17"/>
    </row>
    <row r="9822">
      <c r="B9822" s="17" t="s">
        <v>477</v>
      </c>
      <c r="K9822" s="18" t="s">
        <v>477</v>
      </c>
      <c r="N9822" s="17" t="str">
        <f>IFERROR(__xludf.DUMMYFUNCTION("""COMPUTED_VALUE"""),"")</f>
        <v/>
      </c>
      <c r="O9822" s="17"/>
    </row>
    <row r="9823">
      <c r="B9823" s="17" t="s">
        <v>477</v>
      </c>
      <c r="K9823" s="18" t="s">
        <v>477</v>
      </c>
      <c r="N9823" s="17" t="str">
        <f>IFERROR(__xludf.DUMMYFUNCTION("""COMPUTED_VALUE"""),"")</f>
        <v/>
      </c>
      <c r="O9823" s="17"/>
    </row>
    <row r="9824">
      <c r="B9824" s="17" t="s">
        <v>477</v>
      </c>
      <c r="K9824" s="18" t="s">
        <v>477</v>
      </c>
      <c r="N9824" s="17" t="str">
        <f>IFERROR(__xludf.DUMMYFUNCTION("""COMPUTED_VALUE"""),"")</f>
        <v/>
      </c>
      <c r="O9824" s="17"/>
    </row>
    <row r="9825">
      <c r="B9825" s="17" t="s">
        <v>477</v>
      </c>
      <c r="K9825" s="18" t="s">
        <v>477</v>
      </c>
      <c r="N9825" s="17" t="str">
        <f>IFERROR(__xludf.DUMMYFUNCTION("""COMPUTED_VALUE"""),"")</f>
        <v/>
      </c>
      <c r="O9825" s="17"/>
    </row>
    <row r="9826">
      <c r="B9826" s="17" t="s">
        <v>477</v>
      </c>
      <c r="K9826" s="18" t="s">
        <v>477</v>
      </c>
      <c r="N9826" s="17" t="str">
        <f>IFERROR(__xludf.DUMMYFUNCTION("""COMPUTED_VALUE"""),"")</f>
        <v/>
      </c>
      <c r="O9826" s="17"/>
    </row>
    <row r="9827">
      <c r="B9827" s="17" t="s">
        <v>477</v>
      </c>
      <c r="K9827" s="18" t="s">
        <v>477</v>
      </c>
      <c r="N9827" s="17" t="str">
        <f>IFERROR(__xludf.DUMMYFUNCTION("""COMPUTED_VALUE"""),"")</f>
        <v/>
      </c>
      <c r="O9827" s="17"/>
    </row>
    <row r="9828">
      <c r="B9828" s="17" t="s">
        <v>477</v>
      </c>
      <c r="K9828" s="18" t="s">
        <v>477</v>
      </c>
      <c r="N9828" s="17" t="str">
        <f>IFERROR(__xludf.DUMMYFUNCTION("""COMPUTED_VALUE"""),"")</f>
        <v/>
      </c>
      <c r="O9828" s="17"/>
    </row>
    <row r="9829">
      <c r="B9829" s="17" t="s">
        <v>477</v>
      </c>
      <c r="K9829" s="18" t="s">
        <v>477</v>
      </c>
      <c r="N9829" s="17" t="str">
        <f>IFERROR(__xludf.DUMMYFUNCTION("""COMPUTED_VALUE"""),"")</f>
        <v/>
      </c>
      <c r="O9829" s="17"/>
    </row>
    <row r="9830">
      <c r="B9830" s="17" t="s">
        <v>477</v>
      </c>
      <c r="K9830" s="18" t="s">
        <v>477</v>
      </c>
      <c r="N9830" s="17" t="str">
        <f>IFERROR(__xludf.DUMMYFUNCTION("""COMPUTED_VALUE"""),"")</f>
        <v/>
      </c>
      <c r="O9830" s="17"/>
    </row>
    <row r="9831">
      <c r="B9831" s="17" t="s">
        <v>477</v>
      </c>
      <c r="K9831" s="18" t="s">
        <v>477</v>
      </c>
      <c r="N9831" s="17" t="str">
        <f>IFERROR(__xludf.DUMMYFUNCTION("""COMPUTED_VALUE"""),"")</f>
        <v/>
      </c>
      <c r="O9831" s="17"/>
    </row>
    <row r="9832">
      <c r="B9832" s="17" t="s">
        <v>477</v>
      </c>
      <c r="K9832" s="18" t="s">
        <v>477</v>
      </c>
      <c r="N9832" s="17" t="str">
        <f>IFERROR(__xludf.DUMMYFUNCTION("""COMPUTED_VALUE"""),"")</f>
        <v/>
      </c>
      <c r="O9832" s="17"/>
    </row>
    <row r="9833">
      <c r="B9833" s="17" t="s">
        <v>477</v>
      </c>
      <c r="K9833" s="18" t="s">
        <v>477</v>
      </c>
      <c r="N9833" s="17" t="str">
        <f>IFERROR(__xludf.DUMMYFUNCTION("""COMPUTED_VALUE"""),"")</f>
        <v/>
      </c>
      <c r="O9833" s="17"/>
    </row>
    <row r="9834">
      <c r="B9834" s="17" t="s">
        <v>477</v>
      </c>
      <c r="K9834" s="18" t="s">
        <v>477</v>
      </c>
      <c r="N9834" s="17" t="str">
        <f>IFERROR(__xludf.DUMMYFUNCTION("""COMPUTED_VALUE"""),"")</f>
        <v/>
      </c>
      <c r="O9834" s="17"/>
    </row>
    <row r="9835">
      <c r="B9835" s="17" t="s">
        <v>477</v>
      </c>
      <c r="K9835" s="18" t="s">
        <v>477</v>
      </c>
      <c r="N9835" s="17" t="str">
        <f>IFERROR(__xludf.DUMMYFUNCTION("""COMPUTED_VALUE"""),"")</f>
        <v/>
      </c>
      <c r="O9835" s="17"/>
    </row>
    <row r="9836">
      <c r="B9836" s="17" t="s">
        <v>477</v>
      </c>
      <c r="K9836" s="18" t="s">
        <v>477</v>
      </c>
      <c r="N9836" s="17" t="str">
        <f>IFERROR(__xludf.DUMMYFUNCTION("""COMPUTED_VALUE"""),"")</f>
        <v/>
      </c>
      <c r="O9836" s="17"/>
    </row>
    <row r="9837">
      <c r="B9837" s="17" t="s">
        <v>477</v>
      </c>
      <c r="K9837" s="18" t="s">
        <v>477</v>
      </c>
      <c r="N9837" s="17" t="str">
        <f>IFERROR(__xludf.DUMMYFUNCTION("""COMPUTED_VALUE"""),"")</f>
        <v/>
      </c>
      <c r="O9837" s="17"/>
    </row>
    <row r="9838">
      <c r="B9838" s="17" t="s">
        <v>477</v>
      </c>
      <c r="K9838" s="18" t="s">
        <v>477</v>
      </c>
      <c r="N9838" s="17" t="str">
        <f>IFERROR(__xludf.DUMMYFUNCTION("""COMPUTED_VALUE"""),"")</f>
        <v/>
      </c>
      <c r="O9838" s="17"/>
    </row>
    <row r="9839">
      <c r="B9839" s="17" t="s">
        <v>477</v>
      </c>
      <c r="K9839" s="18" t="s">
        <v>477</v>
      </c>
      <c r="N9839" s="17" t="str">
        <f>IFERROR(__xludf.DUMMYFUNCTION("""COMPUTED_VALUE"""),"")</f>
        <v/>
      </c>
      <c r="O9839" s="17"/>
    </row>
    <row r="9840">
      <c r="B9840" s="17" t="s">
        <v>477</v>
      </c>
      <c r="K9840" s="18" t="s">
        <v>477</v>
      </c>
      <c r="N9840" s="17" t="str">
        <f>IFERROR(__xludf.DUMMYFUNCTION("""COMPUTED_VALUE"""),"")</f>
        <v/>
      </c>
      <c r="O9840" s="17"/>
    </row>
    <row r="9841">
      <c r="B9841" s="17" t="s">
        <v>477</v>
      </c>
      <c r="K9841" s="18" t="s">
        <v>477</v>
      </c>
      <c r="N9841" s="17" t="str">
        <f>IFERROR(__xludf.DUMMYFUNCTION("""COMPUTED_VALUE"""),"")</f>
        <v/>
      </c>
      <c r="O9841" s="17"/>
    </row>
    <row r="9842">
      <c r="B9842" s="17" t="s">
        <v>477</v>
      </c>
      <c r="K9842" s="18" t="s">
        <v>477</v>
      </c>
      <c r="N9842" s="17" t="str">
        <f>IFERROR(__xludf.DUMMYFUNCTION("""COMPUTED_VALUE"""),"")</f>
        <v/>
      </c>
      <c r="O9842" s="17"/>
    </row>
    <row r="9843">
      <c r="B9843" s="17" t="s">
        <v>477</v>
      </c>
      <c r="K9843" s="18" t="s">
        <v>477</v>
      </c>
      <c r="N9843" s="17" t="str">
        <f>IFERROR(__xludf.DUMMYFUNCTION("""COMPUTED_VALUE"""),"")</f>
        <v/>
      </c>
      <c r="O9843" s="17"/>
    </row>
    <row r="9844">
      <c r="B9844" s="17" t="s">
        <v>477</v>
      </c>
      <c r="K9844" s="18" t="s">
        <v>477</v>
      </c>
      <c r="N9844" s="17" t="str">
        <f>IFERROR(__xludf.DUMMYFUNCTION("""COMPUTED_VALUE"""),"")</f>
        <v/>
      </c>
      <c r="O9844" s="17"/>
    </row>
    <row r="9845">
      <c r="B9845" s="17" t="s">
        <v>477</v>
      </c>
      <c r="K9845" s="18" t="s">
        <v>477</v>
      </c>
      <c r="N9845" s="17" t="str">
        <f>IFERROR(__xludf.DUMMYFUNCTION("""COMPUTED_VALUE"""),"")</f>
        <v/>
      </c>
      <c r="O9845" s="17"/>
    </row>
    <row r="9846">
      <c r="B9846" s="17" t="s">
        <v>477</v>
      </c>
      <c r="K9846" s="18" t="s">
        <v>477</v>
      </c>
      <c r="N9846" s="17" t="str">
        <f>IFERROR(__xludf.DUMMYFUNCTION("""COMPUTED_VALUE"""),"")</f>
        <v/>
      </c>
      <c r="O9846" s="17"/>
    </row>
    <row r="9847">
      <c r="B9847" s="17" t="s">
        <v>477</v>
      </c>
      <c r="K9847" s="18" t="s">
        <v>477</v>
      </c>
      <c r="N9847" s="17" t="str">
        <f>IFERROR(__xludf.DUMMYFUNCTION("""COMPUTED_VALUE"""),"")</f>
        <v/>
      </c>
      <c r="O9847" s="17"/>
    </row>
    <row r="9848">
      <c r="B9848" s="17" t="s">
        <v>477</v>
      </c>
      <c r="K9848" s="18" t="s">
        <v>477</v>
      </c>
      <c r="N9848" s="17" t="str">
        <f>IFERROR(__xludf.DUMMYFUNCTION("""COMPUTED_VALUE"""),"")</f>
        <v/>
      </c>
      <c r="O9848" s="17"/>
    </row>
    <row r="9849">
      <c r="B9849" s="17" t="s">
        <v>477</v>
      </c>
      <c r="K9849" s="18" t="s">
        <v>477</v>
      </c>
      <c r="N9849" s="17" t="str">
        <f>IFERROR(__xludf.DUMMYFUNCTION("""COMPUTED_VALUE"""),"")</f>
        <v/>
      </c>
      <c r="O9849" s="17"/>
    </row>
    <row r="9850">
      <c r="B9850" s="17" t="s">
        <v>477</v>
      </c>
      <c r="K9850" s="18" t="s">
        <v>477</v>
      </c>
      <c r="N9850" s="17" t="str">
        <f>IFERROR(__xludf.DUMMYFUNCTION("""COMPUTED_VALUE"""),"")</f>
        <v/>
      </c>
      <c r="O9850" s="17"/>
    </row>
    <row r="9851">
      <c r="B9851" s="17" t="s">
        <v>477</v>
      </c>
      <c r="K9851" s="18" t="s">
        <v>477</v>
      </c>
      <c r="N9851" s="17" t="str">
        <f>IFERROR(__xludf.DUMMYFUNCTION("""COMPUTED_VALUE"""),"")</f>
        <v/>
      </c>
      <c r="O9851" s="17"/>
    </row>
    <row r="9852">
      <c r="B9852" s="17" t="s">
        <v>477</v>
      </c>
      <c r="K9852" s="18" t="s">
        <v>477</v>
      </c>
      <c r="N9852" s="17" t="str">
        <f>IFERROR(__xludf.DUMMYFUNCTION("""COMPUTED_VALUE"""),"")</f>
        <v/>
      </c>
      <c r="O9852" s="17"/>
    </row>
    <row r="9853">
      <c r="B9853" s="17" t="s">
        <v>477</v>
      </c>
      <c r="K9853" s="18" t="s">
        <v>477</v>
      </c>
      <c r="N9853" s="17" t="str">
        <f>IFERROR(__xludf.DUMMYFUNCTION("""COMPUTED_VALUE"""),"")</f>
        <v/>
      </c>
      <c r="O9853" s="17"/>
    </row>
    <row r="9854">
      <c r="B9854" s="17" t="s">
        <v>477</v>
      </c>
      <c r="K9854" s="18" t="s">
        <v>477</v>
      </c>
      <c r="N9854" s="17" t="str">
        <f>IFERROR(__xludf.DUMMYFUNCTION("""COMPUTED_VALUE"""),"")</f>
        <v/>
      </c>
      <c r="O9854" s="17"/>
    </row>
    <row r="9855">
      <c r="B9855" s="17" t="s">
        <v>477</v>
      </c>
      <c r="K9855" s="18" t="s">
        <v>477</v>
      </c>
      <c r="N9855" s="17" t="str">
        <f>IFERROR(__xludf.DUMMYFUNCTION("""COMPUTED_VALUE"""),"")</f>
        <v/>
      </c>
      <c r="O9855" s="17"/>
    </row>
    <row r="9856">
      <c r="B9856" s="17" t="s">
        <v>477</v>
      </c>
      <c r="K9856" s="18" t="s">
        <v>477</v>
      </c>
      <c r="N9856" s="17" t="str">
        <f>IFERROR(__xludf.DUMMYFUNCTION("""COMPUTED_VALUE"""),"")</f>
        <v/>
      </c>
      <c r="O9856" s="17"/>
    </row>
    <row r="9857">
      <c r="B9857" s="17" t="s">
        <v>477</v>
      </c>
      <c r="K9857" s="18" t="s">
        <v>477</v>
      </c>
      <c r="N9857" s="17" t="str">
        <f>IFERROR(__xludf.DUMMYFUNCTION("""COMPUTED_VALUE"""),"")</f>
        <v/>
      </c>
      <c r="O9857" s="17"/>
    </row>
    <row r="9858">
      <c r="B9858" s="17" t="s">
        <v>477</v>
      </c>
      <c r="K9858" s="18" t="s">
        <v>477</v>
      </c>
      <c r="N9858" s="17" t="str">
        <f>IFERROR(__xludf.DUMMYFUNCTION("""COMPUTED_VALUE"""),"")</f>
        <v/>
      </c>
      <c r="O9858" s="17"/>
    </row>
    <row r="9859">
      <c r="B9859" s="17" t="s">
        <v>477</v>
      </c>
      <c r="K9859" s="18" t="s">
        <v>477</v>
      </c>
      <c r="N9859" s="17" t="str">
        <f>IFERROR(__xludf.DUMMYFUNCTION("""COMPUTED_VALUE"""),"")</f>
        <v/>
      </c>
      <c r="O9859" s="17"/>
    </row>
    <row r="9860">
      <c r="B9860" s="17" t="s">
        <v>477</v>
      </c>
      <c r="K9860" s="18" t="s">
        <v>477</v>
      </c>
      <c r="N9860" s="17" t="str">
        <f>IFERROR(__xludf.DUMMYFUNCTION("""COMPUTED_VALUE"""),"")</f>
        <v/>
      </c>
      <c r="O9860" s="17"/>
    </row>
    <row r="9861">
      <c r="B9861" s="17" t="s">
        <v>477</v>
      </c>
      <c r="K9861" s="18" t="s">
        <v>477</v>
      </c>
      <c r="N9861" s="17" t="str">
        <f>IFERROR(__xludf.DUMMYFUNCTION("""COMPUTED_VALUE"""),"")</f>
        <v/>
      </c>
      <c r="O9861" s="17"/>
    </row>
    <row r="9862">
      <c r="B9862" s="17" t="s">
        <v>477</v>
      </c>
      <c r="K9862" s="18" t="s">
        <v>477</v>
      </c>
      <c r="N9862" s="17" t="str">
        <f>IFERROR(__xludf.DUMMYFUNCTION("""COMPUTED_VALUE"""),"")</f>
        <v/>
      </c>
      <c r="O9862" s="17"/>
    </row>
    <row r="9863">
      <c r="B9863" s="17" t="s">
        <v>477</v>
      </c>
      <c r="K9863" s="18" t="s">
        <v>477</v>
      </c>
      <c r="N9863" s="17" t="str">
        <f>IFERROR(__xludf.DUMMYFUNCTION("""COMPUTED_VALUE"""),"")</f>
        <v/>
      </c>
      <c r="O9863" s="17"/>
    </row>
    <row r="9864">
      <c r="B9864" s="17" t="s">
        <v>477</v>
      </c>
      <c r="K9864" s="18" t="s">
        <v>477</v>
      </c>
      <c r="N9864" s="17" t="str">
        <f>IFERROR(__xludf.DUMMYFUNCTION("""COMPUTED_VALUE"""),"")</f>
        <v/>
      </c>
      <c r="O9864" s="17"/>
    </row>
    <row r="9865">
      <c r="B9865" s="17" t="s">
        <v>477</v>
      </c>
      <c r="K9865" s="18" t="s">
        <v>477</v>
      </c>
      <c r="N9865" s="17" t="str">
        <f>IFERROR(__xludf.DUMMYFUNCTION("""COMPUTED_VALUE"""),"")</f>
        <v/>
      </c>
      <c r="O9865" s="17"/>
    </row>
    <row r="9866">
      <c r="B9866" s="17" t="s">
        <v>477</v>
      </c>
      <c r="K9866" s="18" t="s">
        <v>477</v>
      </c>
      <c r="N9866" s="17" t="str">
        <f>IFERROR(__xludf.DUMMYFUNCTION("""COMPUTED_VALUE"""),"")</f>
        <v/>
      </c>
      <c r="O9866" s="17"/>
    </row>
    <row r="9867">
      <c r="B9867" s="17" t="s">
        <v>477</v>
      </c>
      <c r="K9867" s="18" t="s">
        <v>477</v>
      </c>
      <c r="N9867" s="17" t="str">
        <f>IFERROR(__xludf.DUMMYFUNCTION("""COMPUTED_VALUE"""),"")</f>
        <v/>
      </c>
      <c r="O9867" s="17"/>
    </row>
    <row r="9868">
      <c r="B9868" s="17" t="s">
        <v>477</v>
      </c>
      <c r="K9868" s="18" t="s">
        <v>477</v>
      </c>
      <c r="N9868" s="17" t="str">
        <f>IFERROR(__xludf.DUMMYFUNCTION("""COMPUTED_VALUE"""),"")</f>
        <v/>
      </c>
      <c r="O9868" s="17"/>
    </row>
    <row r="9869">
      <c r="B9869" s="17" t="s">
        <v>477</v>
      </c>
      <c r="K9869" s="18" t="s">
        <v>477</v>
      </c>
      <c r="N9869" s="17" t="str">
        <f>IFERROR(__xludf.DUMMYFUNCTION("""COMPUTED_VALUE"""),"")</f>
        <v/>
      </c>
      <c r="O9869" s="17"/>
    </row>
    <row r="9870">
      <c r="B9870" s="17" t="s">
        <v>477</v>
      </c>
      <c r="K9870" s="18" t="s">
        <v>477</v>
      </c>
      <c r="N9870" s="17" t="str">
        <f>IFERROR(__xludf.DUMMYFUNCTION("""COMPUTED_VALUE"""),"")</f>
        <v/>
      </c>
      <c r="O9870" s="17"/>
    </row>
    <row r="9871">
      <c r="B9871" s="17" t="s">
        <v>477</v>
      </c>
      <c r="K9871" s="18" t="s">
        <v>477</v>
      </c>
      <c r="N9871" s="17" t="str">
        <f>IFERROR(__xludf.DUMMYFUNCTION("""COMPUTED_VALUE"""),"")</f>
        <v/>
      </c>
      <c r="O9871" s="17"/>
    </row>
    <row r="9872">
      <c r="B9872" s="17" t="s">
        <v>477</v>
      </c>
      <c r="K9872" s="18" t="s">
        <v>477</v>
      </c>
      <c r="N9872" s="17" t="str">
        <f>IFERROR(__xludf.DUMMYFUNCTION("""COMPUTED_VALUE"""),"")</f>
        <v/>
      </c>
      <c r="O9872" s="17"/>
    </row>
    <row r="9873">
      <c r="B9873" s="17" t="s">
        <v>477</v>
      </c>
      <c r="K9873" s="18" t="s">
        <v>477</v>
      </c>
      <c r="N9873" s="17" t="str">
        <f>IFERROR(__xludf.DUMMYFUNCTION("""COMPUTED_VALUE"""),"")</f>
        <v/>
      </c>
      <c r="O9873" s="17"/>
    </row>
    <row r="9874">
      <c r="B9874" s="17" t="s">
        <v>477</v>
      </c>
      <c r="K9874" s="18" t="s">
        <v>477</v>
      </c>
      <c r="N9874" s="17" t="str">
        <f>IFERROR(__xludf.DUMMYFUNCTION("""COMPUTED_VALUE"""),"")</f>
        <v/>
      </c>
      <c r="O9874" s="17"/>
    </row>
    <row r="9875">
      <c r="B9875" s="17" t="s">
        <v>477</v>
      </c>
      <c r="K9875" s="18" t="s">
        <v>477</v>
      </c>
      <c r="N9875" s="17" t="str">
        <f>IFERROR(__xludf.DUMMYFUNCTION("""COMPUTED_VALUE"""),"")</f>
        <v/>
      </c>
      <c r="O9875" s="17"/>
    </row>
    <row r="9876">
      <c r="B9876" s="17" t="s">
        <v>477</v>
      </c>
      <c r="K9876" s="18" t="s">
        <v>477</v>
      </c>
      <c r="N9876" s="17" t="str">
        <f>IFERROR(__xludf.DUMMYFUNCTION("""COMPUTED_VALUE"""),"")</f>
        <v/>
      </c>
      <c r="O9876" s="17"/>
    </row>
    <row r="9877">
      <c r="B9877" s="17" t="s">
        <v>477</v>
      </c>
      <c r="K9877" s="18" t="s">
        <v>477</v>
      </c>
      <c r="N9877" s="17" t="str">
        <f>IFERROR(__xludf.DUMMYFUNCTION("""COMPUTED_VALUE"""),"")</f>
        <v/>
      </c>
      <c r="O9877" s="17"/>
    </row>
    <row r="9878">
      <c r="B9878" s="17" t="s">
        <v>477</v>
      </c>
      <c r="K9878" s="18" t="s">
        <v>477</v>
      </c>
      <c r="N9878" s="17" t="str">
        <f>IFERROR(__xludf.DUMMYFUNCTION("""COMPUTED_VALUE"""),"")</f>
        <v/>
      </c>
      <c r="O9878" s="17"/>
    </row>
    <row r="9879">
      <c r="B9879" s="17" t="s">
        <v>477</v>
      </c>
      <c r="K9879" s="18" t="s">
        <v>477</v>
      </c>
      <c r="N9879" s="17" t="str">
        <f>IFERROR(__xludf.DUMMYFUNCTION("""COMPUTED_VALUE"""),"")</f>
        <v/>
      </c>
      <c r="O9879" s="17"/>
    </row>
    <row r="9880">
      <c r="B9880" s="17" t="s">
        <v>477</v>
      </c>
      <c r="K9880" s="18" t="s">
        <v>477</v>
      </c>
      <c r="N9880" s="17" t="str">
        <f>IFERROR(__xludf.DUMMYFUNCTION("""COMPUTED_VALUE"""),"")</f>
        <v/>
      </c>
      <c r="O9880" s="17"/>
    </row>
    <row r="9881">
      <c r="B9881" s="17" t="s">
        <v>477</v>
      </c>
      <c r="K9881" s="18" t="s">
        <v>477</v>
      </c>
      <c r="N9881" s="17" t="str">
        <f>IFERROR(__xludf.DUMMYFUNCTION("""COMPUTED_VALUE"""),"")</f>
        <v/>
      </c>
      <c r="O9881" s="17"/>
    </row>
    <row r="9882">
      <c r="B9882" s="17" t="s">
        <v>477</v>
      </c>
      <c r="K9882" s="18" t="s">
        <v>477</v>
      </c>
      <c r="N9882" s="17" t="str">
        <f>IFERROR(__xludf.DUMMYFUNCTION("""COMPUTED_VALUE"""),"")</f>
        <v/>
      </c>
      <c r="O9882" s="17"/>
    </row>
    <row r="9883">
      <c r="B9883" s="17" t="s">
        <v>477</v>
      </c>
      <c r="K9883" s="18" t="s">
        <v>477</v>
      </c>
      <c r="N9883" s="17" t="str">
        <f>IFERROR(__xludf.DUMMYFUNCTION("""COMPUTED_VALUE"""),"")</f>
        <v/>
      </c>
      <c r="O9883" s="17"/>
    </row>
    <row r="9884">
      <c r="B9884" s="17" t="s">
        <v>477</v>
      </c>
      <c r="K9884" s="18" t="s">
        <v>477</v>
      </c>
      <c r="N9884" s="17" t="str">
        <f>IFERROR(__xludf.DUMMYFUNCTION("""COMPUTED_VALUE"""),"")</f>
        <v/>
      </c>
      <c r="O9884" s="17"/>
    </row>
    <row r="9885">
      <c r="B9885" s="17" t="s">
        <v>477</v>
      </c>
      <c r="K9885" s="18" t="s">
        <v>477</v>
      </c>
      <c r="N9885" s="17" t="str">
        <f>IFERROR(__xludf.DUMMYFUNCTION("""COMPUTED_VALUE"""),"")</f>
        <v/>
      </c>
      <c r="O9885" s="17"/>
    </row>
    <row r="9886">
      <c r="B9886" s="17" t="s">
        <v>477</v>
      </c>
      <c r="K9886" s="18" t="s">
        <v>477</v>
      </c>
      <c r="N9886" s="17" t="str">
        <f>IFERROR(__xludf.DUMMYFUNCTION("""COMPUTED_VALUE"""),"")</f>
        <v/>
      </c>
      <c r="O9886" s="17"/>
    </row>
    <row r="9887">
      <c r="B9887" s="17" t="s">
        <v>477</v>
      </c>
      <c r="K9887" s="18" t="s">
        <v>477</v>
      </c>
      <c r="N9887" s="17" t="str">
        <f>IFERROR(__xludf.DUMMYFUNCTION("""COMPUTED_VALUE"""),"")</f>
        <v/>
      </c>
      <c r="O9887" s="17"/>
    </row>
    <row r="9888">
      <c r="B9888" s="17" t="s">
        <v>477</v>
      </c>
      <c r="K9888" s="18" t="s">
        <v>477</v>
      </c>
      <c r="N9888" s="17" t="str">
        <f>IFERROR(__xludf.DUMMYFUNCTION("""COMPUTED_VALUE"""),"")</f>
        <v/>
      </c>
      <c r="O9888" s="17"/>
    </row>
    <row r="9889">
      <c r="B9889" s="17" t="s">
        <v>477</v>
      </c>
      <c r="K9889" s="18" t="s">
        <v>477</v>
      </c>
      <c r="N9889" s="17" t="str">
        <f>IFERROR(__xludf.DUMMYFUNCTION("""COMPUTED_VALUE"""),"")</f>
        <v/>
      </c>
      <c r="O9889" s="17"/>
    </row>
    <row r="9890">
      <c r="B9890" s="17" t="s">
        <v>477</v>
      </c>
      <c r="K9890" s="18" t="s">
        <v>477</v>
      </c>
      <c r="N9890" s="17" t="str">
        <f>IFERROR(__xludf.DUMMYFUNCTION("""COMPUTED_VALUE"""),"")</f>
        <v/>
      </c>
      <c r="O9890" s="17"/>
    </row>
    <row r="9891">
      <c r="B9891" s="17" t="s">
        <v>477</v>
      </c>
      <c r="K9891" s="18" t="s">
        <v>477</v>
      </c>
      <c r="N9891" s="17" t="str">
        <f>IFERROR(__xludf.DUMMYFUNCTION("""COMPUTED_VALUE"""),"")</f>
        <v/>
      </c>
      <c r="O9891" s="17"/>
    </row>
    <row r="9892">
      <c r="B9892" s="17" t="s">
        <v>477</v>
      </c>
      <c r="K9892" s="18" t="s">
        <v>477</v>
      </c>
      <c r="N9892" s="17" t="str">
        <f>IFERROR(__xludf.DUMMYFUNCTION("""COMPUTED_VALUE"""),"")</f>
        <v/>
      </c>
      <c r="O9892" s="17"/>
    </row>
    <row r="9893">
      <c r="B9893" s="17" t="s">
        <v>477</v>
      </c>
      <c r="K9893" s="18" t="s">
        <v>477</v>
      </c>
      <c r="N9893" s="17" t="str">
        <f>IFERROR(__xludf.DUMMYFUNCTION("""COMPUTED_VALUE"""),"")</f>
        <v/>
      </c>
      <c r="O9893" s="17"/>
    </row>
    <row r="9894">
      <c r="B9894" s="17" t="s">
        <v>477</v>
      </c>
      <c r="K9894" s="18" t="s">
        <v>477</v>
      </c>
      <c r="N9894" s="17" t="str">
        <f>IFERROR(__xludf.DUMMYFUNCTION("""COMPUTED_VALUE"""),"")</f>
        <v/>
      </c>
      <c r="O9894" s="17"/>
    </row>
    <row r="9895">
      <c r="B9895" s="17" t="s">
        <v>477</v>
      </c>
      <c r="K9895" s="18" t="s">
        <v>477</v>
      </c>
      <c r="N9895" s="17" t="str">
        <f>IFERROR(__xludf.DUMMYFUNCTION("""COMPUTED_VALUE"""),"")</f>
        <v/>
      </c>
      <c r="O9895" s="17"/>
    </row>
    <row r="9896">
      <c r="B9896" s="17" t="s">
        <v>477</v>
      </c>
      <c r="K9896" s="18" t="s">
        <v>477</v>
      </c>
      <c r="N9896" s="17" t="str">
        <f>IFERROR(__xludf.DUMMYFUNCTION("""COMPUTED_VALUE"""),"")</f>
        <v/>
      </c>
      <c r="O9896" s="17"/>
    </row>
    <row r="9897">
      <c r="B9897" s="17" t="s">
        <v>477</v>
      </c>
      <c r="K9897" s="18" t="s">
        <v>477</v>
      </c>
      <c r="N9897" s="17" t="str">
        <f>IFERROR(__xludf.DUMMYFUNCTION("""COMPUTED_VALUE"""),"")</f>
        <v/>
      </c>
      <c r="O9897" s="17"/>
    </row>
    <row r="9898">
      <c r="B9898" s="17" t="s">
        <v>477</v>
      </c>
      <c r="K9898" s="18" t="s">
        <v>477</v>
      </c>
      <c r="N9898" s="17" t="str">
        <f>IFERROR(__xludf.DUMMYFUNCTION("""COMPUTED_VALUE"""),"")</f>
        <v/>
      </c>
      <c r="O9898" s="17"/>
    </row>
    <row r="9899">
      <c r="B9899" s="17" t="s">
        <v>477</v>
      </c>
      <c r="K9899" s="18" t="s">
        <v>477</v>
      </c>
      <c r="N9899" s="17" t="str">
        <f>IFERROR(__xludf.DUMMYFUNCTION("""COMPUTED_VALUE"""),"")</f>
        <v/>
      </c>
      <c r="O9899" s="17"/>
    </row>
    <row r="9900">
      <c r="B9900" s="17" t="s">
        <v>477</v>
      </c>
      <c r="K9900" s="18" t="s">
        <v>477</v>
      </c>
      <c r="N9900" s="17" t="str">
        <f>IFERROR(__xludf.DUMMYFUNCTION("""COMPUTED_VALUE"""),"")</f>
        <v/>
      </c>
      <c r="O9900" s="17"/>
    </row>
    <row r="9901">
      <c r="B9901" s="17" t="s">
        <v>477</v>
      </c>
      <c r="K9901" s="18" t="s">
        <v>477</v>
      </c>
      <c r="N9901" s="17" t="str">
        <f>IFERROR(__xludf.DUMMYFUNCTION("""COMPUTED_VALUE"""),"")</f>
        <v/>
      </c>
      <c r="O9901" s="17"/>
    </row>
    <row r="9902">
      <c r="B9902" s="17" t="s">
        <v>477</v>
      </c>
      <c r="K9902" s="18" t="s">
        <v>477</v>
      </c>
      <c r="N9902" s="17" t="str">
        <f>IFERROR(__xludf.DUMMYFUNCTION("""COMPUTED_VALUE"""),"")</f>
        <v/>
      </c>
      <c r="O9902" s="17"/>
    </row>
    <row r="9903">
      <c r="B9903" s="17" t="s">
        <v>477</v>
      </c>
      <c r="K9903" s="18" t="s">
        <v>477</v>
      </c>
      <c r="N9903" s="17" t="str">
        <f>IFERROR(__xludf.DUMMYFUNCTION("""COMPUTED_VALUE"""),"")</f>
        <v/>
      </c>
      <c r="O9903" s="17"/>
    </row>
    <row r="9904">
      <c r="B9904" s="17" t="s">
        <v>477</v>
      </c>
      <c r="K9904" s="18" t="s">
        <v>477</v>
      </c>
      <c r="N9904" s="17" t="str">
        <f>IFERROR(__xludf.DUMMYFUNCTION("""COMPUTED_VALUE"""),"")</f>
        <v/>
      </c>
      <c r="O9904" s="17"/>
    </row>
    <row r="9905">
      <c r="B9905" s="17" t="s">
        <v>477</v>
      </c>
      <c r="K9905" s="18" t="s">
        <v>477</v>
      </c>
      <c r="N9905" s="17" t="str">
        <f>IFERROR(__xludf.DUMMYFUNCTION("""COMPUTED_VALUE"""),"")</f>
        <v/>
      </c>
      <c r="O9905" s="17"/>
    </row>
    <row r="9906">
      <c r="B9906" s="17" t="s">
        <v>477</v>
      </c>
      <c r="K9906" s="18" t="s">
        <v>477</v>
      </c>
      <c r="N9906" s="17" t="str">
        <f>IFERROR(__xludf.DUMMYFUNCTION("""COMPUTED_VALUE"""),"")</f>
        <v/>
      </c>
      <c r="O9906" s="17"/>
    </row>
    <row r="9907">
      <c r="B9907" s="17" t="s">
        <v>477</v>
      </c>
      <c r="K9907" s="18" t="s">
        <v>477</v>
      </c>
      <c r="N9907" s="17" t="str">
        <f>IFERROR(__xludf.DUMMYFUNCTION("""COMPUTED_VALUE"""),"")</f>
        <v/>
      </c>
      <c r="O9907" s="17"/>
    </row>
    <row r="9908">
      <c r="B9908" s="17" t="s">
        <v>477</v>
      </c>
      <c r="K9908" s="18" t="s">
        <v>477</v>
      </c>
      <c r="N9908" s="17" t="str">
        <f>IFERROR(__xludf.DUMMYFUNCTION("""COMPUTED_VALUE"""),"")</f>
        <v/>
      </c>
      <c r="O9908" s="17"/>
    </row>
    <row r="9909">
      <c r="B9909" s="17" t="s">
        <v>477</v>
      </c>
      <c r="K9909" s="18" t="s">
        <v>477</v>
      </c>
      <c r="N9909" s="17" t="str">
        <f>IFERROR(__xludf.DUMMYFUNCTION("""COMPUTED_VALUE"""),"")</f>
        <v/>
      </c>
      <c r="O9909" s="17"/>
    </row>
    <row r="9910">
      <c r="B9910" s="17" t="s">
        <v>477</v>
      </c>
      <c r="K9910" s="18" t="s">
        <v>477</v>
      </c>
      <c r="N9910" s="17" t="str">
        <f>IFERROR(__xludf.DUMMYFUNCTION("""COMPUTED_VALUE"""),"")</f>
        <v/>
      </c>
      <c r="O9910" s="17"/>
    </row>
    <row r="9911">
      <c r="B9911" s="17" t="s">
        <v>477</v>
      </c>
      <c r="K9911" s="18" t="s">
        <v>477</v>
      </c>
      <c r="N9911" s="17" t="str">
        <f>IFERROR(__xludf.DUMMYFUNCTION("""COMPUTED_VALUE"""),"")</f>
        <v/>
      </c>
      <c r="O9911" s="17"/>
    </row>
    <row r="9912">
      <c r="B9912" s="17" t="s">
        <v>477</v>
      </c>
      <c r="K9912" s="18" t="s">
        <v>477</v>
      </c>
      <c r="N9912" s="17" t="str">
        <f>IFERROR(__xludf.DUMMYFUNCTION("""COMPUTED_VALUE"""),"")</f>
        <v/>
      </c>
      <c r="O9912" s="17"/>
    </row>
    <row r="9913">
      <c r="B9913" s="17" t="s">
        <v>477</v>
      </c>
      <c r="K9913" s="18" t="s">
        <v>477</v>
      </c>
      <c r="N9913" s="17" t="str">
        <f>IFERROR(__xludf.DUMMYFUNCTION("""COMPUTED_VALUE"""),"")</f>
        <v/>
      </c>
      <c r="O9913" s="17"/>
    </row>
    <row r="9914">
      <c r="B9914" s="17" t="s">
        <v>477</v>
      </c>
      <c r="K9914" s="18" t="s">
        <v>477</v>
      </c>
      <c r="N9914" s="17" t="str">
        <f>IFERROR(__xludf.DUMMYFUNCTION("""COMPUTED_VALUE"""),"")</f>
        <v/>
      </c>
      <c r="O9914" s="17"/>
    </row>
    <row r="9915">
      <c r="B9915" s="17" t="s">
        <v>477</v>
      </c>
      <c r="K9915" s="18" t="s">
        <v>477</v>
      </c>
      <c r="N9915" s="17" t="str">
        <f>IFERROR(__xludf.DUMMYFUNCTION("""COMPUTED_VALUE"""),"")</f>
        <v/>
      </c>
      <c r="O9915" s="17"/>
    </row>
    <row r="9916">
      <c r="B9916" s="17" t="s">
        <v>477</v>
      </c>
      <c r="K9916" s="18" t="s">
        <v>477</v>
      </c>
      <c r="N9916" s="17" t="str">
        <f>IFERROR(__xludf.DUMMYFUNCTION("""COMPUTED_VALUE"""),"")</f>
        <v/>
      </c>
      <c r="O9916" s="17"/>
    </row>
    <row r="9917">
      <c r="B9917" s="17" t="s">
        <v>477</v>
      </c>
      <c r="K9917" s="18" t="s">
        <v>477</v>
      </c>
      <c r="N9917" s="17" t="str">
        <f>IFERROR(__xludf.DUMMYFUNCTION("""COMPUTED_VALUE"""),"")</f>
        <v/>
      </c>
      <c r="O9917" s="17"/>
    </row>
    <row r="9918">
      <c r="B9918" s="17" t="s">
        <v>477</v>
      </c>
      <c r="K9918" s="18" t="s">
        <v>477</v>
      </c>
      <c r="N9918" s="17" t="str">
        <f>IFERROR(__xludf.DUMMYFUNCTION("""COMPUTED_VALUE"""),"")</f>
        <v/>
      </c>
      <c r="O9918" s="17"/>
    </row>
    <row r="9919">
      <c r="B9919" s="17" t="s">
        <v>477</v>
      </c>
      <c r="K9919" s="18" t="s">
        <v>477</v>
      </c>
      <c r="N9919" s="17" t="str">
        <f>IFERROR(__xludf.DUMMYFUNCTION("""COMPUTED_VALUE"""),"")</f>
        <v/>
      </c>
      <c r="O9919" s="17"/>
    </row>
    <row r="9920">
      <c r="B9920" s="17" t="s">
        <v>477</v>
      </c>
      <c r="K9920" s="18" t="s">
        <v>477</v>
      </c>
      <c r="N9920" s="17" t="str">
        <f>IFERROR(__xludf.DUMMYFUNCTION("""COMPUTED_VALUE"""),"")</f>
        <v/>
      </c>
      <c r="O9920" s="17"/>
    </row>
    <row r="9921">
      <c r="B9921" s="17" t="s">
        <v>477</v>
      </c>
      <c r="K9921" s="18" t="s">
        <v>477</v>
      </c>
      <c r="N9921" s="17" t="str">
        <f>IFERROR(__xludf.DUMMYFUNCTION("""COMPUTED_VALUE"""),"")</f>
        <v/>
      </c>
      <c r="O9921" s="17"/>
    </row>
    <row r="9922">
      <c r="B9922" s="17" t="s">
        <v>477</v>
      </c>
      <c r="K9922" s="18" t="s">
        <v>477</v>
      </c>
      <c r="N9922" s="17" t="str">
        <f>IFERROR(__xludf.DUMMYFUNCTION("""COMPUTED_VALUE"""),"")</f>
        <v/>
      </c>
      <c r="O9922" s="17"/>
    </row>
    <row r="9923">
      <c r="B9923" s="17" t="s">
        <v>477</v>
      </c>
      <c r="K9923" s="18" t="s">
        <v>477</v>
      </c>
      <c r="N9923" s="17" t="str">
        <f>IFERROR(__xludf.DUMMYFUNCTION("""COMPUTED_VALUE"""),"")</f>
        <v/>
      </c>
      <c r="O9923" s="17"/>
    </row>
    <row r="9924">
      <c r="B9924" s="17" t="s">
        <v>477</v>
      </c>
      <c r="K9924" s="18" t="s">
        <v>477</v>
      </c>
      <c r="N9924" s="17" t="str">
        <f>IFERROR(__xludf.DUMMYFUNCTION("""COMPUTED_VALUE"""),"")</f>
        <v/>
      </c>
      <c r="O9924" s="17"/>
    </row>
    <row r="9925">
      <c r="B9925" s="17" t="s">
        <v>477</v>
      </c>
      <c r="K9925" s="18" t="s">
        <v>477</v>
      </c>
      <c r="N9925" s="17" t="str">
        <f>IFERROR(__xludf.DUMMYFUNCTION("""COMPUTED_VALUE"""),"")</f>
        <v/>
      </c>
      <c r="O9925" s="17"/>
    </row>
    <row r="9926">
      <c r="B9926" s="17" t="s">
        <v>477</v>
      </c>
      <c r="K9926" s="18" t="s">
        <v>477</v>
      </c>
      <c r="N9926" s="17" t="str">
        <f>IFERROR(__xludf.DUMMYFUNCTION("""COMPUTED_VALUE"""),"")</f>
        <v/>
      </c>
      <c r="O9926" s="17"/>
    </row>
    <row r="9927">
      <c r="B9927" s="17" t="s">
        <v>477</v>
      </c>
      <c r="K9927" s="18" t="s">
        <v>477</v>
      </c>
      <c r="N9927" s="17" t="str">
        <f>IFERROR(__xludf.DUMMYFUNCTION("""COMPUTED_VALUE"""),"")</f>
        <v/>
      </c>
      <c r="O9927" s="17"/>
    </row>
    <row r="9928">
      <c r="B9928" s="17" t="s">
        <v>477</v>
      </c>
      <c r="K9928" s="18" t="s">
        <v>477</v>
      </c>
      <c r="N9928" s="17" t="str">
        <f>IFERROR(__xludf.DUMMYFUNCTION("""COMPUTED_VALUE"""),"")</f>
        <v/>
      </c>
      <c r="O9928" s="17"/>
    </row>
    <row r="9929">
      <c r="B9929" s="17" t="s">
        <v>477</v>
      </c>
      <c r="K9929" s="18" t="s">
        <v>477</v>
      </c>
      <c r="N9929" s="17" t="str">
        <f>IFERROR(__xludf.DUMMYFUNCTION("""COMPUTED_VALUE"""),"")</f>
        <v/>
      </c>
      <c r="O9929" s="17"/>
    </row>
    <row r="9930">
      <c r="B9930" s="17" t="s">
        <v>477</v>
      </c>
      <c r="K9930" s="18" t="s">
        <v>477</v>
      </c>
      <c r="N9930" s="17" t="str">
        <f>IFERROR(__xludf.DUMMYFUNCTION("""COMPUTED_VALUE"""),"")</f>
        <v/>
      </c>
      <c r="O9930" s="17"/>
    </row>
    <row r="9931">
      <c r="B9931" s="17" t="s">
        <v>477</v>
      </c>
      <c r="K9931" s="18" t="s">
        <v>477</v>
      </c>
      <c r="N9931" s="17" t="str">
        <f>IFERROR(__xludf.DUMMYFUNCTION("""COMPUTED_VALUE"""),"")</f>
        <v/>
      </c>
      <c r="O9931" s="17"/>
    </row>
    <row r="9932">
      <c r="B9932" s="17" t="s">
        <v>477</v>
      </c>
      <c r="K9932" s="18" t="s">
        <v>477</v>
      </c>
      <c r="N9932" s="17" t="str">
        <f>IFERROR(__xludf.DUMMYFUNCTION("""COMPUTED_VALUE"""),"")</f>
        <v/>
      </c>
      <c r="O9932" s="17"/>
    </row>
    <row r="9933">
      <c r="B9933" s="17" t="s">
        <v>477</v>
      </c>
      <c r="K9933" s="18" t="s">
        <v>477</v>
      </c>
      <c r="N9933" s="17" t="str">
        <f>IFERROR(__xludf.DUMMYFUNCTION("""COMPUTED_VALUE"""),"")</f>
        <v/>
      </c>
      <c r="O9933" s="17"/>
    </row>
    <row r="9934">
      <c r="B9934" s="17" t="s">
        <v>477</v>
      </c>
      <c r="K9934" s="18" t="s">
        <v>477</v>
      </c>
      <c r="N9934" s="17" t="str">
        <f>IFERROR(__xludf.DUMMYFUNCTION("""COMPUTED_VALUE"""),"")</f>
        <v/>
      </c>
      <c r="O9934" s="17"/>
    </row>
    <row r="9935">
      <c r="B9935" s="17" t="s">
        <v>477</v>
      </c>
      <c r="K9935" s="18" t="s">
        <v>477</v>
      </c>
      <c r="N9935" s="17" t="str">
        <f>IFERROR(__xludf.DUMMYFUNCTION("""COMPUTED_VALUE"""),"")</f>
        <v/>
      </c>
      <c r="O9935" s="17"/>
    </row>
    <row r="9936">
      <c r="B9936" s="17" t="s">
        <v>477</v>
      </c>
      <c r="K9936" s="18" t="s">
        <v>477</v>
      </c>
      <c r="N9936" s="17" t="str">
        <f>IFERROR(__xludf.DUMMYFUNCTION("""COMPUTED_VALUE"""),"")</f>
        <v/>
      </c>
      <c r="O9936" s="17"/>
    </row>
    <row r="9937">
      <c r="B9937" s="17" t="s">
        <v>477</v>
      </c>
      <c r="K9937" s="18" t="s">
        <v>477</v>
      </c>
      <c r="N9937" s="17" t="str">
        <f>IFERROR(__xludf.DUMMYFUNCTION("""COMPUTED_VALUE"""),"")</f>
        <v/>
      </c>
      <c r="O9937" s="17"/>
    </row>
    <row r="9938">
      <c r="B9938" s="17" t="s">
        <v>477</v>
      </c>
      <c r="K9938" s="18" t="s">
        <v>477</v>
      </c>
      <c r="N9938" s="17" t="str">
        <f>IFERROR(__xludf.DUMMYFUNCTION("""COMPUTED_VALUE"""),"")</f>
        <v/>
      </c>
      <c r="O9938" s="17"/>
    </row>
    <row r="9939">
      <c r="B9939" s="17" t="s">
        <v>477</v>
      </c>
      <c r="K9939" s="18" t="s">
        <v>477</v>
      </c>
      <c r="N9939" s="17" t="str">
        <f>IFERROR(__xludf.DUMMYFUNCTION("""COMPUTED_VALUE"""),"")</f>
        <v/>
      </c>
      <c r="O9939" s="17"/>
    </row>
    <row r="9940">
      <c r="B9940" s="17" t="s">
        <v>477</v>
      </c>
      <c r="K9940" s="18" t="s">
        <v>477</v>
      </c>
      <c r="N9940" s="17" t="str">
        <f>IFERROR(__xludf.DUMMYFUNCTION("""COMPUTED_VALUE"""),"")</f>
        <v/>
      </c>
      <c r="O9940" s="17"/>
    </row>
    <row r="9941">
      <c r="B9941" s="17" t="s">
        <v>477</v>
      </c>
      <c r="K9941" s="18" t="s">
        <v>477</v>
      </c>
      <c r="N9941" s="17" t="str">
        <f>IFERROR(__xludf.DUMMYFUNCTION("""COMPUTED_VALUE"""),"")</f>
        <v/>
      </c>
      <c r="O9941" s="17"/>
    </row>
    <row r="9942">
      <c r="B9942" s="17" t="s">
        <v>477</v>
      </c>
      <c r="K9942" s="18" t="s">
        <v>477</v>
      </c>
      <c r="N9942" s="17" t="str">
        <f>IFERROR(__xludf.DUMMYFUNCTION("""COMPUTED_VALUE"""),"")</f>
        <v/>
      </c>
      <c r="O9942" s="17"/>
    </row>
    <row r="9943">
      <c r="B9943" s="17" t="s">
        <v>477</v>
      </c>
      <c r="K9943" s="18" t="s">
        <v>477</v>
      </c>
      <c r="N9943" s="17" t="str">
        <f>IFERROR(__xludf.DUMMYFUNCTION("""COMPUTED_VALUE"""),"")</f>
        <v/>
      </c>
      <c r="O9943" s="17"/>
    </row>
    <row r="9944">
      <c r="B9944" s="17" t="s">
        <v>477</v>
      </c>
      <c r="K9944" s="18" t="s">
        <v>477</v>
      </c>
      <c r="N9944" s="17" t="str">
        <f>IFERROR(__xludf.DUMMYFUNCTION("""COMPUTED_VALUE"""),"")</f>
        <v/>
      </c>
      <c r="O9944" s="17"/>
    </row>
    <row r="9945">
      <c r="B9945" s="17" t="s">
        <v>477</v>
      </c>
      <c r="K9945" s="18" t="s">
        <v>477</v>
      </c>
      <c r="N9945" s="17" t="str">
        <f>IFERROR(__xludf.DUMMYFUNCTION("""COMPUTED_VALUE"""),"")</f>
        <v/>
      </c>
      <c r="O9945" s="17"/>
    </row>
    <row r="9946">
      <c r="B9946" s="17" t="s">
        <v>477</v>
      </c>
      <c r="K9946" s="18" t="s">
        <v>477</v>
      </c>
      <c r="N9946" s="17" t="str">
        <f>IFERROR(__xludf.DUMMYFUNCTION("""COMPUTED_VALUE"""),"")</f>
        <v/>
      </c>
      <c r="O9946" s="17"/>
    </row>
    <row r="9947">
      <c r="B9947" s="17" t="s">
        <v>477</v>
      </c>
      <c r="K9947" s="18" t="s">
        <v>477</v>
      </c>
      <c r="N9947" s="17" t="str">
        <f>IFERROR(__xludf.DUMMYFUNCTION("""COMPUTED_VALUE"""),"")</f>
        <v/>
      </c>
      <c r="O9947" s="17"/>
    </row>
    <row r="9948">
      <c r="B9948" s="17" t="s">
        <v>477</v>
      </c>
      <c r="K9948" s="18" t="s">
        <v>477</v>
      </c>
      <c r="N9948" s="17" t="str">
        <f>IFERROR(__xludf.DUMMYFUNCTION("""COMPUTED_VALUE"""),"")</f>
        <v/>
      </c>
      <c r="O9948" s="17"/>
    </row>
    <row r="9949">
      <c r="B9949" s="17" t="s">
        <v>477</v>
      </c>
      <c r="K9949" s="18" t="s">
        <v>477</v>
      </c>
      <c r="N9949" s="17" t="str">
        <f>IFERROR(__xludf.DUMMYFUNCTION("""COMPUTED_VALUE"""),"")</f>
        <v/>
      </c>
      <c r="O9949" s="17"/>
    </row>
    <row r="9950">
      <c r="B9950" s="17" t="s">
        <v>477</v>
      </c>
      <c r="K9950" s="18" t="s">
        <v>477</v>
      </c>
      <c r="N9950" s="17" t="str">
        <f>IFERROR(__xludf.DUMMYFUNCTION("""COMPUTED_VALUE"""),"")</f>
        <v/>
      </c>
      <c r="O9950" s="17"/>
    </row>
    <row r="9951">
      <c r="B9951" s="17" t="s">
        <v>477</v>
      </c>
      <c r="K9951" s="18" t="s">
        <v>477</v>
      </c>
      <c r="N9951" s="17" t="str">
        <f>IFERROR(__xludf.DUMMYFUNCTION("""COMPUTED_VALUE"""),"")</f>
        <v/>
      </c>
      <c r="O9951" s="17"/>
    </row>
    <row r="9952">
      <c r="B9952" s="17" t="s">
        <v>477</v>
      </c>
      <c r="K9952" s="18" t="s">
        <v>477</v>
      </c>
      <c r="N9952" s="17" t="str">
        <f>IFERROR(__xludf.DUMMYFUNCTION("""COMPUTED_VALUE"""),"")</f>
        <v/>
      </c>
      <c r="O9952" s="17"/>
    </row>
    <row r="9953">
      <c r="B9953" s="17" t="s">
        <v>477</v>
      </c>
      <c r="K9953" s="18" t="s">
        <v>477</v>
      </c>
      <c r="N9953" s="17" t="str">
        <f>IFERROR(__xludf.DUMMYFUNCTION("""COMPUTED_VALUE"""),"")</f>
        <v/>
      </c>
      <c r="O9953" s="17"/>
    </row>
    <row r="9954">
      <c r="B9954" s="17" t="s">
        <v>477</v>
      </c>
      <c r="K9954" s="18" t="s">
        <v>477</v>
      </c>
      <c r="N9954" s="17" t="str">
        <f>IFERROR(__xludf.DUMMYFUNCTION("""COMPUTED_VALUE"""),"")</f>
        <v/>
      </c>
      <c r="O9954" s="17"/>
    </row>
    <row r="9955">
      <c r="B9955" s="17" t="s">
        <v>477</v>
      </c>
      <c r="K9955" s="18" t="s">
        <v>477</v>
      </c>
      <c r="N9955" s="17" t="str">
        <f>IFERROR(__xludf.DUMMYFUNCTION("""COMPUTED_VALUE"""),"")</f>
        <v/>
      </c>
      <c r="O9955" s="17"/>
    </row>
    <row r="9956">
      <c r="B9956" s="17" t="s">
        <v>477</v>
      </c>
      <c r="K9956" s="18" t="s">
        <v>477</v>
      </c>
      <c r="N9956" s="17" t="str">
        <f>IFERROR(__xludf.DUMMYFUNCTION("""COMPUTED_VALUE"""),"")</f>
        <v/>
      </c>
      <c r="O9956" s="17"/>
    </row>
    <row r="9957">
      <c r="B9957" s="17" t="s">
        <v>477</v>
      </c>
      <c r="K9957" s="18" t="s">
        <v>477</v>
      </c>
      <c r="N9957" s="17" t="str">
        <f>IFERROR(__xludf.DUMMYFUNCTION("""COMPUTED_VALUE"""),"")</f>
        <v/>
      </c>
      <c r="O9957" s="17"/>
    </row>
    <row r="9958">
      <c r="B9958" s="17" t="s">
        <v>477</v>
      </c>
      <c r="K9958" s="18" t="s">
        <v>477</v>
      </c>
      <c r="N9958" s="17" t="str">
        <f>IFERROR(__xludf.DUMMYFUNCTION("""COMPUTED_VALUE"""),"")</f>
        <v/>
      </c>
      <c r="O9958" s="17"/>
    </row>
    <row r="9959">
      <c r="B9959" s="17" t="s">
        <v>477</v>
      </c>
      <c r="K9959" s="18" t="s">
        <v>477</v>
      </c>
      <c r="N9959" s="17" t="str">
        <f>IFERROR(__xludf.DUMMYFUNCTION("""COMPUTED_VALUE"""),"")</f>
        <v/>
      </c>
      <c r="O9959" s="17"/>
    </row>
    <row r="9960">
      <c r="B9960" s="17" t="s">
        <v>477</v>
      </c>
      <c r="K9960" s="18" t="s">
        <v>477</v>
      </c>
      <c r="N9960" s="17" t="str">
        <f>IFERROR(__xludf.DUMMYFUNCTION("""COMPUTED_VALUE"""),"")</f>
        <v/>
      </c>
      <c r="O9960" s="17"/>
    </row>
    <row r="9961">
      <c r="B9961" s="17" t="s">
        <v>477</v>
      </c>
      <c r="K9961" s="18" t="s">
        <v>477</v>
      </c>
      <c r="N9961" s="17" t="str">
        <f>IFERROR(__xludf.DUMMYFUNCTION("""COMPUTED_VALUE"""),"")</f>
        <v/>
      </c>
      <c r="O9961" s="17"/>
    </row>
    <row r="9962">
      <c r="B9962" s="17" t="s">
        <v>477</v>
      </c>
      <c r="K9962" s="18" t="s">
        <v>477</v>
      </c>
      <c r="N9962" s="17" t="str">
        <f>IFERROR(__xludf.DUMMYFUNCTION("""COMPUTED_VALUE"""),"")</f>
        <v/>
      </c>
      <c r="O9962" s="17"/>
    </row>
    <row r="9963">
      <c r="B9963" s="17" t="s">
        <v>477</v>
      </c>
      <c r="K9963" s="18" t="s">
        <v>477</v>
      </c>
      <c r="N9963" s="17" t="str">
        <f>IFERROR(__xludf.DUMMYFUNCTION("""COMPUTED_VALUE"""),"")</f>
        <v/>
      </c>
      <c r="O9963" s="17"/>
    </row>
    <row r="9964">
      <c r="B9964" s="17" t="s">
        <v>477</v>
      </c>
      <c r="K9964" s="18" t="s">
        <v>477</v>
      </c>
      <c r="N9964" s="17" t="str">
        <f>IFERROR(__xludf.DUMMYFUNCTION("""COMPUTED_VALUE"""),"")</f>
        <v/>
      </c>
      <c r="O9964" s="17"/>
    </row>
    <row r="9965">
      <c r="B9965" s="17" t="s">
        <v>477</v>
      </c>
      <c r="K9965" s="18" t="s">
        <v>477</v>
      </c>
      <c r="N9965" s="17" t="str">
        <f>IFERROR(__xludf.DUMMYFUNCTION("""COMPUTED_VALUE"""),"")</f>
        <v/>
      </c>
      <c r="O9965" s="17"/>
    </row>
    <row r="9966">
      <c r="B9966" s="17" t="s">
        <v>477</v>
      </c>
      <c r="K9966" s="18" t="s">
        <v>477</v>
      </c>
      <c r="N9966" s="17" t="str">
        <f>IFERROR(__xludf.DUMMYFUNCTION("""COMPUTED_VALUE"""),"")</f>
        <v/>
      </c>
      <c r="O9966" s="17"/>
    </row>
    <row r="9967">
      <c r="B9967" s="17" t="s">
        <v>477</v>
      </c>
      <c r="K9967" s="18" t="s">
        <v>477</v>
      </c>
      <c r="N9967" s="17" t="str">
        <f>IFERROR(__xludf.DUMMYFUNCTION("""COMPUTED_VALUE"""),"")</f>
        <v/>
      </c>
      <c r="O9967" s="17"/>
    </row>
    <row r="9968">
      <c r="B9968" s="17" t="s">
        <v>477</v>
      </c>
      <c r="K9968" s="18" t="s">
        <v>477</v>
      </c>
      <c r="N9968" s="17" t="str">
        <f>IFERROR(__xludf.DUMMYFUNCTION("""COMPUTED_VALUE"""),"")</f>
        <v/>
      </c>
      <c r="O9968" s="17"/>
    </row>
    <row r="9969">
      <c r="B9969" s="17" t="s">
        <v>477</v>
      </c>
      <c r="K9969" s="18" t="s">
        <v>477</v>
      </c>
      <c r="N9969" s="17" t="str">
        <f>IFERROR(__xludf.DUMMYFUNCTION("""COMPUTED_VALUE"""),"")</f>
        <v/>
      </c>
      <c r="O9969" s="17"/>
    </row>
    <row r="9970">
      <c r="B9970" s="17" t="s">
        <v>477</v>
      </c>
      <c r="K9970" s="18" t="s">
        <v>477</v>
      </c>
      <c r="N9970" s="17" t="str">
        <f>IFERROR(__xludf.DUMMYFUNCTION("""COMPUTED_VALUE"""),"")</f>
        <v/>
      </c>
      <c r="O9970" s="17"/>
    </row>
    <row r="9971">
      <c r="B9971" s="17" t="s">
        <v>477</v>
      </c>
      <c r="K9971" s="18" t="s">
        <v>477</v>
      </c>
      <c r="N9971" s="17" t="str">
        <f>IFERROR(__xludf.DUMMYFUNCTION("""COMPUTED_VALUE"""),"")</f>
        <v/>
      </c>
      <c r="O9971" s="17"/>
    </row>
    <row r="9972">
      <c r="B9972" s="17" t="s">
        <v>477</v>
      </c>
      <c r="K9972" s="18" t="s">
        <v>477</v>
      </c>
      <c r="N9972" s="17" t="str">
        <f>IFERROR(__xludf.DUMMYFUNCTION("""COMPUTED_VALUE"""),"")</f>
        <v/>
      </c>
      <c r="O9972" s="17"/>
    </row>
    <row r="9973">
      <c r="B9973" s="17" t="s">
        <v>477</v>
      </c>
      <c r="K9973" s="18" t="s">
        <v>477</v>
      </c>
      <c r="N9973" s="17" t="str">
        <f>IFERROR(__xludf.DUMMYFUNCTION("""COMPUTED_VALUE"""),"")</f>
        <v/>
      </c>
      <c r="O9973" s="17"/>
    </row>
    <row r="9974">
      <c r="B9974" s="17" t="s">
        <v>477</v>
      </c>
      <c r="K9974" s="18" t="s">
        <v>477</v>
      </c>
      <c r="N9974" s="17" t="str">
        <f>IFERROR(__xludf.DUMMYFUNCTION("""COMPUTED_VALUE"""),"")</f>
        <v/>
      </c>
      <c r="O9974" s="17"/>
    </row>
    <row r="9975">
      <c r="B9975" s="17" t="s">
        <v>477</v>
      </c>
      <c r="K9975" s="18" t="s">
        <v>477</v>
      </c>
      <c r="N9975" s="17" t="str">
        <f>IFERROR(__xludf.DUMMYFUNCTION("""COMPUTED_VALUE"""),"")</f>
        <v/>
      </c>
      <c r="O9975" s="17"/>
    </row>
    <row r="9976">
      <c r="B9976" s="17" t="s">
        <v>477</v>
      </c>
      <c r="K9976" s="18" t="s">
        <v>477</v>
      </c>
      <c r="N9976" s="17" t="str">
        <f>IFERROR(__xludf.DUMMYFUNCTION("""COMPUTED_VALUE"""),"")</f>
        <v/>
      </c>
      <c r="O9976" s="17"/>
    </row>
    <row r="9977">
      <c r="B9977" s="17" t="s">
        <v>477</v>
      </c>
      <c r="K9977" s="18" t="s">
        <v>477</v>
      </c>
      <c r="N9977" s="17" t="str">
        <f>IFERROR(__xludf.DUMMYFUNCTION("""COMPUTED_VALUE"""),"")</f>
        <v/>
      </c>
      <c r="O9977" s="17"/>
    </row>
    <row r="9978">
      <c r="B9978" s="17" t="s">
        <v>477</v>
      </c>
      <c r="K9978" s="18" t="s">
        <v>477</v>
      </c>
      <c r="N9978" s="17" t="str">
        <f>IFERROR(__xludf.DUMMYFUNCTION("""COMPUTED_VALUE"""),"")</f>
        <v/>
      </c>
      <c r="O9978" s="17"/>
    </row>
    <row r="9979">
      <c r="B9979" s="17" t="s">
        <v>477</v>
      </c>
      <c r="K9979" s="18" t="s">
        <v>477</v>
      </c>
      <c r="N9979" s="17" t="str">
        <f>IFERROR(__xludf.DUMMYFUNCTION("""COMPUTED_VALUE"""),"")</f>
        <v/>
      </c>
      <c r="O9979" s="17"/>
    </row>
    <row r="9980">
      <c r="B9980" s="17" t="s">
        <v>477</v>
      </c>
      <c r="K9980" s="18" t="s">
        <v>477</v>
      </c>
      <c r="N9980" s="17" t="str">
        <f>IFERROR(__xludf.DUMMYFUNCTION("""COMPUTED_VALUE"""),"")</f>
        <v/>
      </c>
      <c r="O9980" s="17"/>
    </row>
    <row r="9981">
      <c r="B9981" s="17" t="s">
        <v>477</v>
      </c>
      <c r="K9981" s="18" t="s">
        <v>477</v>
      </c>
      <c r="N9981" s="17" t="str">
        <f>IFERROR(__xludf.DUMMYFUNCTION("""COMPUTED_VALUE"""),"")</f>
        <v/>
      </c>
      <c r="O9981" s="17"/>
    </row>
    <row r="9982">
      <c r="B9982" s="17" t="s">
        <v>477</v>
      </c>
      <c r="K9982" s="18" t="s">
        <v>477</v>
      </c>
      <c r="N9982" s="17" t="str">
        <f>IFERROR(__xludf.DUMMYFUNCTION("""COMPUTED_VALUE"""),"")</f>
        <v/>
      </c>
      <c r="O9982" s="17"/>
    </row>
    <row r="9983">
      <c r="B9983" s="17" t="s">
        <v>477</v>
      </c>
      <c r="K9983" s="18" t="s">
        <v>477</v>
      </c>
      <c r="N9983" s="17" t="str">
        <f>IFERROR(__xludf.DUMMYFUNCTION("""COMPUTED_VALUE"""),"")</f>
        <v/>
      </c>
      <c r="O9983" s="17"/>
    </row>
    <row r="9984">
      <c r="B9984" s="17" t="s">
        <v>477</v>
      </c>
      <c r="K9984" s="18" t="s">
        <v>477</v>
      </c>
      <c r="N9984" s="17" t="str">
        <f>IFERROR(__xludf.DUMMYFUNCTION("""COMPUTED_VALUE"""),"")</f>
        <v/>
      </c>
      <c r="O9984" s="17"/>
    </row>
    <row r="9985">
      <c r="B9985" s="17" t="s">
        <v>477</v>
      </c>
      <c r="K9985" s="18" t="s">
        <v>477</v>
      </c>
      <c r="N9985" s="17" t="str">
        <f>IFERROR(__xludf.DUMMYFUNCTION("""COMPUTED_VALUE"""),"")</f>
        <v/>
      </c>
      <c r="O9985" s="17"/>
    </row>
    <row r="9986">
      <c r="B9986" s="17" t="s">
        <v>477</v>
      </c>
      <c r="K9986" s="18" t="s">
        <v>477</v>
      </c>
      <c r="N9986" s="17" t="str">
        <f>IFERROR(__xludf.DUMMYFUNCTION("""COMPUTED_VALUE"""),"")</f>
        <v/>
      </c>
      <c r="O9986" s="17"/>
    </row>
    <row r="9987">
      <c r="B9987" s="17" t="s">
        <v>477</v>
      </c>
      <c r="K9987" s="18" t="s">
        <v>477</v>
      </c>
      <c r="N9987" s="17" t="str">
        <f>IFERROR(__xludf.DUMMYFUNCTION("""COMPUTED_VALUE"""),"")</f>
        <v/>
      </c>
      <c r="O9987" s="17"/>
    </row>
    <row r="9988">
      <c r="B9988" s="17" t="s">
        <v>477</v>
      </c>
      <c r="K9988" s="18" t="s">
        <v>477</v>
      </c>
      <c r="N9988" s="17" t="str">
        <f>IFERROR(__xludf.DUMMYFUNCTION("""COMPUTED_VALUE"""),"")</f>
        <v/>
      </c>
      <c r="O9988" s="17"/>
    </row>
    <row r="9989">
      <c r="B9989" s="17" t="s">
        <v>477</v>
      </c>
      <c r="K9989" s="18" t="s">
        <v>477</v>
      </c>
      <c r="N9989" s="17" t="str">
        <f>IFERROR(__xludf.DUMMYFUNCTION("""COMPUTED_VALUE"""),"")</f>
        <v/>
      </c>
      <c r="O9989" s="17"/>
    </row>
    <row r="9990">
      <c r="B9990" s="17" t="s">
        <v>477</v>
      </c>
      <c r="K9990" s="18" t="s">
        <v>477</v>
      </c>
      <c r="N9990" s="17" t="str">
        <f>IFERROR(__xludf.DUMMYFUNCTION("""COMPUTED_VALUE"""),"")</f>
        <v/>
      </c>
      <c r="O9990" s="17"/>
    </row>
    <row r="9991">
      <c r="B9991" s="17" t="s">
        <v>477</v>
      </c>
      <c r="K9991" s="18" t="s">
        <v>477</v>
      </c>
      <c r="N9991" s="17" t="str">
        <f>IFERROR(__xludf.DUMMYFUNCTION("""COMPUTED_VALUE"""),"")</f>
        <v/>
      </c>
      <c r="O9991" s="17"/>
    </row>
    <row r="9992">
      <c r="B9992" s="17" t="s">
        <v>477</v>
      </c>
      <c r="K9992" s="18" t="s">
        <v>477</v>
      </c>
      <c r="N9992" s="17" t="str">
        <f>IFERROR(__xludf.DUMMYFUNCTION("""COMPUTED_VALUE"""),"")</f>
        <v/>
      </c>
      <c r="O9992" s="17"/>
    </row>
    <row r="9993">
      <c r="B9993" s="17" t="s">
        <v>477</v>
      </c>
      <c r="K9993" s="18" t="s">
        <v>477</v>
      </c>
      <c r="N9993" s="17" t="str">
        <f>IFERROR(__xludf.DUMMYFUNCTION("""COMPUTED_VALUE"""),"")</f>
        <v/>
      </c>
      <c r="O9993" s="17"/>
    </row>
    <row r="9994">
      <c r="B9994" s="17" t="s">
        <v>477</v>
      </c>
      <c r="K9994" s="18" t="s">
        <v>477</v>
      </c>
      <c r="N9994" s="17" t="str">
        <f>IFERROR(__xludf.DUMMYFUNCTION("""COMPUTED_VALUE"""),"")</f>
        <v/>
      </c>
      <c r="O9994" s="17"/>
    </row>
    <row r="9995">
      <c r="B9995" s="17" t="s">
        <v>477</v>
      </c>
      <c r="K9995" s="18" t="s">
        <v>477</v>
      </c>
      <c r="N9995" s="17" t="str">
        <f>IFERROR(__xludf.DUMMYFUNCTION("""COMPUTED_VALUE"""),"")</f>
        <v/>
      </c>
      <c r="O9995" s="17"/>
    </row>
    <row r="9996">
      <c r="B9996" s="17" t="s">
        <v>477</v>
      </c>
      <c r="K9996" s="18" t="s">
        <v>477</v>
      </c>
      <c r="N9996" s="17" t="str">
        <f>IFERROR(__xludf.DUMMYFUNCTION("""COMPUTED_VALUE"""),"")</f>
        <v/>
      </c>
      <c r="O9996" s="17"/>
    </row>
    <row r="9997">
      <c r="B9997" s="17" t="s">
        <v>477</v>
      </c>
      <c r="K9997" s="18" t="s">
        <v>477</v>
      </c>
      <c r="N9997" s="17" t="str">
        <f>IFERROR(__xludf.DUMMYFUNCTION("""COMPUTED_VALUE"""),"")</f>
        <v/>
      </c>
      <c r="O9997" s="17"/>
    </row>
    <row r="9998">
      <c r="B9998" s="17" t="s">
        <v>477</v>
      </c>
      <c r="K9998" s="18" t="s">
        <v>477</v>
      </c>
      <c r="N9998" s="17" t="str">
        <f>IFERROR(__xludf.DUMMYFUNCTION("""COMPUTED_VALUE"""),"")</f>
        <v/>
      </c>
      <c r="O9998" s="17"/>
    </row>
    <row r="9999">
      <c r="B9999" s="17" t="s">
        <v>477</v>
      </c>
      <c r="K9999" s="18" t="s">
        <v>477</v>
      </c>
      <c r="N9999" s="17" t="str">
        <f>IFERROR(__xludf.DUMMYFUNCTION("""COMPUTED_VALUE"""),"")</f>
        <v/>
      </c>
      <c r="O9999" s="17"/>
    </row>
    <row r="10000">
      <c r="B10000" s="17" t="s">
        <v>477</v>
      </c>
      <c r="K10000" s="18" t="s">
        <v>477</v>
      </c>
      <c r="N10000" s="17" t="str">
        <f>IFERROR(__xludf.DUMMYFUNCTION("""COMPUTED_VALUE"""),"")</f>
        <v/>
      </c>
      <c r="O10000" s="17"/>
    </row>
    <row r="10001">
      <c r="B10001" s="17" t="s">
        <v>477</v>
      </c>
      <c r="K10001" s="18" t="s">
        <v>477</v>
      </c>
      <c r="N10001" s="17" t="str">
        <f>IFERROR(__xludf.DUMMYFUNCTION("""COMPUTED_VALUE"""),"")</f>
        <v/>
      </c>
      <c r="O10001" s="17"/>
    </row>
    <row r="10002">
      <c r="B10002" s="17" t="s">
        <v>477</v>
      </c>
      <c r="K10002" s="18" t="s">
        <v>477</v>
      </c>
      <c r="N10002" s="17" t="str">
        <f>IFERROR(__xludf.DUMMYFUNCTION("""COMPUTED_VALUE"""),"")</f>
        <v/>
      </c>
      <c r="O10002" s="17"/>
    </row>
    <row r="10003">
      <c r="B10003" s="17" t="s">
        <v>477</v>
      </c>
      <c r="K10003" s="18" t="s">
        <v>477</v>
      </c>
      <c r="N10003" s="17" t="str">
        <f>IFERROR(__xludf.DUMMYFUNCTION("""COMPUTED_VALUE"""),"")</f>
        <v/>
      </c>
      <c r="O10003" s="17"/>
    </row>
    <row r="10004">
      <c r="B10004" s="17" t="s">
        <v>477</v>
      </c>
      <c r="K10004" s="18" t="s">
        <v>477</v>
      </c>
      <c r="N10004" s="17" t="str">
        <f>IFERROR(__xludf.DUMMYFUNCTION("""COMPUTED_VALUE"""),"")</f>
        <v/>
      </c>
      <c r="O10004" s="17"/>
    </row>
    <row r="10005">
      <c r="B10005" s="17" t="s">
        <v>477</v>
      </c>
      <c r="K10005" s="18" t="s">
        <v>477</v>
      </c>
      <c r="N10005" s="17" t="str">
        <f>IFERROR(__xludf.DUMMYFUNCTION("""COMPUTED_VALUE"""),"")</f>
        <v/>
      </c>
      <c r="O10005" s="17"/>
    </row>
    <row r="10006">
      <c r="B10006" s="17" t="s">
        <v>477</v>
      </c>
      <c r="K10006" s="18" t="s">
        <v>477</v>
      </c>
      <c r="N10006" s="17" t="str">
        <f>IFERROR(__xludf.DUMMYFUNCTION("""COMPUTED_VALUE"""),"")</f>
        <v/>
      </c>
      <c r="O10006" s="17"/>
    </row>
    <row r="10007">
      <c r="B10007" s="17" t="s">
        <v>477</v>
      </c>
      <c r="K10007" s="18" t="s">
        <v>477</v>
      </c>
      <c r="N10007" s="17" t="str">
        <f>IFERROR(__xludf.DUMMYFUNCTION("""COMPUTED_VALUE"""),"")</f>
        <v/>
      </c>
      <c r="O10007" s="17"/>
    </row>
    <row r="10008">
      <c r="B10008" s="17" t="s">
        <v>477</v>
      </c>
      <c r="K10008" s="18" t="s">
        <v>477</v>
      </c>
      <c r="N10008" s="17" t="str">
        <f>IFERROR(__xludf.DUMMYFUNCTION("""COMPUTED_VALUE"""),"")</f>
        <v/>
      </c>
      <c r="O10008" s="17"/>
    </row>
    <row r="10009">
      <c r="B10009" s="17" t="s">
        <v>477</v>
      </c>
      <c r="K10009" s="18" t="s">
        <v>477</v>
      </c>
      <c r="N10009" s="17" t="str">
        <f>IFERROR(__xludf.DUMMYFUNCTION("""COMPUTED_VALUE"""),"")</f>
        <v/>
      </c>
      <c r="O10009" s="17"/>
    </row>
    <row r="10010">
      <c r="B10010" s="17" t="s">
        <v>477</v>
      </c>
      <c r="K10010" s="18" t="s">
        <v>477</v>
      </c>
      <c r="N10010" s="17" t="str">
        <f>IFERROR(__xludf.DUMMYFUNCTION("""COMPUTED_VALUE"""),"")</f>
        <v/>
      </c>
      <c r="O10010" s="17"/>
    </row>
    <row r="10011">
      <c r="B10011" s="17" t="s">
        <v>477</v>
      </c>
      <c r="K10011" s="18" t="s">
        <v>477</v>
      </c>
      <c r="N10011" s="17" t="str">
        <f>IFERROR(__xludf.DUMMYFUNCTION("""COMPUTED_VALUE"""),"")</f>
        <v/>
      </c>
      <c r="O10011" s="17"/>
    </row>
    <row r="10012">
      <c r="B10012" s="17" t="s">
        <v>477</v>
      </c>
      <c r="K10012" s="18" t="s">
        <v>477</v>
      </c>
      <c r="N10012" s="17" t="str">
        <f>IFERROR(__xludf.DUMMYFUNCTION("""COMPUTED_VALUE"""),"")</f>
        <v/>
      </c>
      <c r="O10012" s="17"/>
    </row>
    <row r="10013">
      <c r="B10013" s="17" t="s">
        <v>477</v>
      </c>
      <c r="K10013" s="18" t="s">
        <v>477</v>
      </c>
      <c r="N10013" s="17" t="str">
        <f>IFERROR(__xludf.DUMMYFUNCTION("""COMPUTED_VALUE"""),"")</f>
        <v/>
      </c>
      <c r="O10013" s="17"/>
    </row>
    <row r="10014">
      <c r="B10014" s="17" t="s">
        <v>477</v>
      </c>
      <c r="K10014" s="18" t="s">
        <v>477</v>
      </c>
      <c r="N10014" s="17" t="str">
        <f>IFERROR(__xludf.DUMMYFUNCTION("""COMPUTED_VALUE"""),"")</f>
        <v/>
      </c>
      <c r="O10014" s="17"/>
    </row>
    <row r="10015">
      <c r="B10015" s="17" t="s">
        <v>477</v>
      </c>
      <c r="K10015" s="18" t="s">
        <v>477</v>
      </c>
      <c r="N10015" s="17" t="str">
        <f>IFERROR(__xludf.DUMMYFUNCTION("""COMPUTED_VALUE"""),"")</f>
        <v/>
      </c>
      <c r="O10015" s="17"/>
    </row>
    <row r="10016">
      <c r="B10016" s="17" t="s">
        <v>477</v>
      </c>
      <c r="K10016" s="18" t="s">
        <v>477</v>
      </c>
      <c r="N10016" s="17" t="str">
        <f>IFERROR(__xludf.DUMMYFUNCTION("""COMPUTED_VALUE"""),"")</f>
        <v/>
      </c>
      <c r="O10016" s="17"/>
    </row>
    <row r="10017">
      <c r="B10017" s="17" t="s">
        <v>477</v>
      </c>
      <c r="K10017" s="18" t="s">
        <v>477</v>
      </c>
      <c r="N10017" s="17" t="str">
        <f>IFERROR(__xludf.DUMMYFUNCTION("""COMPUTED_VALUE"""),"")</f>
        <v/>
      </c>
      <c r="O10017" s="17"/>
    </row>
    <row r="10018">
      <c r="B10018" s="17" t="s">
        <v>477</v>
      </c>
      <c r="K10018" s="18" t="s">
        <v>477</v>
      </c>
      <c r="N10018" s="17" t="str">
        <f>IFERROR(__xludf.DUMMYFUNCTION("""COMPUTED_VALUE"""),"")</f>
        <v/>
      </c>
      <c r="O10018" s="17"/>
    </row>
    <row r="10019">
      <c r="B10019" s="17" t="s">
        <v>477</v>
      </c>
      <c r="K10019" s="18" t="s">
        <v>477</v>
      </c>
      <c r="N10019" s="17" t="str">
        <f>IFERROR(__xludf.DUMMYFUNCTION("""COMPUTED_VALUE"""),"")</f>
        <v/>
      </c>
      <c r="O10019" s="17"/>
    </row>
    <row r="10020">
      <c r="B10020" s="17" t="s">
        <v>477</v>
      </c>
      <c r="K10020" s="18" t="s">
        <v>477</v>
      </c>
      <c r="N10020" s="17" t="str">
        <f>IFERROR(__xludf.DUMMYFUNCTION("""COMPUTED_VALUE"""),"")</f>
        <v/>
      </c>
      <c r="O10020" s="17"/>
    </row>
    <row r="10021">
      <c r="B10021" s="17" t="s">
        <v>477</v>
      </c>
      <c r="K10021" s="18" t="s">
        <v>477</v>
      </c>
      <c r="N10021" s="17" t="str">
        <f>IFERROR(__xludf.DUMMYFUNCTION("""COMPUTED_VALUE"""),"")</f>
        <v/>
      </c>
      <c r="O10021" s="17"/>
    </row>
    <row r="10022">
      <c r="B10022" s="17" t="s">
        <v>477</v>
      </c>
      <c r="K10022" s="18" t="s">
        <v>477</v>
      </c>
      <c r="N10022" s="17" t="str">
        <f>IFERROR(__xludf.DUMMYFUNCTION("""COMPUTED_VALUE"""),"")</f>
        <v/>
      </c>
      <c r="O10022" s="17"/>
    </row>
    <row r="10023">
      <c r="B10023" s="17" t="s">
        <v>477</v>
      </c>
      <c r="K10023" s="18" t="s">
        <v>477</v>
      </c>
      <c r="N10023" s="17" t="str">
        <f>IFERROR(__xludf.DUMMYFUNCTION("""COMPUTED_VALUE"""),"")</f>
        <v/>
      </c>
      <c r="O10023" s="17"/>
    </row>
    <row r="10024">
      <c r="B10024" s="17" t="s">
        <v>477</v>
      </c>
      <c r="K10024" s="18" t="s">
        <v>477</v>
      </c>
      <c r="N10024" s="17" t="str">
        <f>IFERROR(__xludf.DUMMYFUNCTION("""COMPUTED_VALUE"""),"")</f>
        <v/>
      </c>
      <c r="O10024" s="17"/>
    </row>
    <row r="10025">
      <c r="B10025" s="17" t="s">
        <v>477</v>
      </c>
      <c r="K10025" s="18" t="s">
        <v>477</v>
      </c>
      <c r="N10025" s="17" t="str">
        <f>IFERROR(__xludf.DUMMYFUNCTION("""COMPUTED_VALUE"""),"")</f>
        <v/>
      </c>
      <c r="O10025" s="17"/>
    </row>
    <row r="10026">
      <c r="B10026" s="17" t="s">
        <v>477</v>
      </c>
      <c r="K10026" s="18" t="s">
        <v>477</v>
      </c>
      <c r="N10026" s="17" t="str">
        <f>IFERROR(__xludf.DUMMYFUNCTION("""COMPUTED_VALUE"""),"")</f>
        <v/>
      </c>
      <c r="O10026" s="17"/>
    </row>
    <row r="10027">
      <c r="B10027" s="17" t="s">
        <v>477</v>
      </c>
      <c r="K10027" s="18" t="s">
        <v>477</v>
      </c>
      <c r="N10027" s="17" t="str">
        <f>IFERROR(__xludf.DUMMYFUNCTION("""COMPUTED_VALUE"""),"")</f>
        <v/>
      </c>
      <c r="O10027" s="17"/>
    </row>
    <row r="10028">
      <c r="B10028" s="17" t="s">
        <v>477</v>
      </c>
      <c r="K10028" s="18" t="s">
        <v>477</v>
      </c>
      <c r="N10028" s="17" t="str">
        <f>IFERROR(__xludf.DUMMYFUNCTION("""COMPUTED_VALUE"""),"")</f>
        <v/>
      </c>
      <c r="O10028" s="17"/>
    </row>
    <row r="10029">
      <c r="B10029" s="17" t="s">
        <v>477</v>
      </c>
      <c r="K10029" s="18" t="s">
        <v>477</v>
      </c>
      <c r="N10029" s="17" t="str">
        <f>IFERROR(__xludf.DUMMYFUNCTION("""COMPUTED_VALUE"""),"")</f>
        <v/>
      </c>
      <c r="O10029" s="17"/>
    </row>
    <row r="10030">
      <c r="B10030" s="17" t="s">
        <v>477</v>
      </c>
      <c r="K10030" s="18" t="s">
        <v>477</v>
      </c>
      <c r="N10030" s="17" t="str">
        <f>IFERROR(__xludf.DUMMYFUNCTION("""COMPUTED_VALUE"""),"")</f>
        <v/>
      </c>
      <c r="O10030" s="17"/>
    </row>
    <row r="10031">
      <c r="B10031" s="17" t="s">
        <v>477</v>
      </c>
      <c r="K10031" s="18" t="s">
        <v>477</v>
      </c>
      <c r="N10031" s="17" t="str">
        <f>IFERROR(__xludf.DUMMYFUNCTION("""COMPUTED_VALUE"""),"")</f>
        <v/>
      </c>
      <c r="O10031" s="17"/>
    </row>
    <row r="10032">
      <c r="B10032" s="17" t="s">
        <v>477</v>
      </c>
      <c r="K10032" s="18" t="s">
        <v>477</v>
      </c>
      <c r="N10032" s="17" t="str">
        <f>IFERROR(__xludf.DUMMYFUNCTION("""COMPUTED_VALUE"""),"")</f>
        <v/>
      </c>
      <c r="O10032" s="17"/>
    </row>
    <row r="10033">
      <c r="B10033" s="17" t="s">
        <v>477</v>
      </c>
      <c r="K10033" s="18" t="s">
        <v>477</v>
      </c>
      <c r="N10033" s="17" t="str">
        <f>IFERROR(__xludf.DUMMYFUNCTION("""COMPUTED_VALUE"""),"")</f>
        <v/>
      </c>
      <c r="O10033" s="17"/>
    </row>
    <row r="10034">
      <c r="B10034" s="17" t="s">
        <v>477</v>
      </c>
      <c r="K10034" s="18" t="s">
        <v>477</v>
      </c>
      <c r="N10034" s="17" t="str">
        <f>IFERROR(__xludf.DUMMYFUNCTION("""COMPUTED_VALUE"""),"")</f>
        <v/>
      </c>
      <c r="O10034" s="17"/>
    </row>
    <row r="10035">
      <c r="B10035" s="17" t="s">
        <v>477</v>
      </c>
      <c r="K10035" s="18" t="s">
        <v>477</v>
      </c>
      <c r="N10035" s="17" t="str">
        <f>IFERROR(__xludf.DUMMYFUNCTION("""COMPUTED_VALUE"""),"")</f>
        <v/>
      </c>
      <c r="O10035" s="17"/>
    </row>
    <row r="10036">
      <c r="B10036" s="17" t="s">
        <v>477</v>
      </c>
      <c r="K10036" s="18" t="s">
        <v>477</v>
      </c>
      <c r="N10036" s="17" t="str">
        <f>IFERROR(__xludf.DUMMYFUNCTION("""COMPUTED_VALUE"""),"")</f>
        <v/>
      </c>
      <c r="O10036" s="17"/>
    </row>
    <row r="10037">
      <c r="B10037" s="17" t="s">
        <v>477</v>
      </c>
      <c r="K10037" s="18" t="s">
        <v>477</v>
      </c>
      <c r="N10037" s="17" t="str">
        <f>IFERROR(__xludf.DUMMYFUNCTION("""COMPUTED_VALUE"""),"")</f>
        <v/>
      </c>
      <c r="O10037" s="17"/>
    </row>
    <row r="10038">
      <c r="B10038" s="17" t="s">
        <v>477</v>
      </c>
      <c r="K10038" s="18" t="s">
        <v>477</v>
      </c>
      <c r="N10038" s="17" t="str">
        <f>IFERROR(__xludf.DUMMYFUNCTION("""COMPUTED_VALUE"""),"")</f>
        <v/>
      </c>
      <c r="O10038" s="17"/>
    </row>
    <row r="10039">
      <c r="B10039" s="17" t="s">
        <v>477</v>
      </c>
      <c r="K10039" s="18" t="s">
        <v>477</v>
      </c>
      <c r="N10039" s="17" t="str">
        <f>IFERROR(__xludf.DUMMYFUNCTION("""COMPUTED_VALUE"""),"")</f>
        <v/>
      </c>
      <c r="O10039" s="17"/>
    </row>
    <row r="10040">
      <c r="B10040" s="17" t="s">
        <v>477</v>
      </c>
      <c r="K10040" s="18" t="s">
        <v>477</v>
      </c>
      <c r="N10040" s="17" t="str">
        <f>IFERROR(__xludf.DUMMYFUNCTION("""COMPUTED_VALUE"""),"")</f>
        <v/>
      </c>
      <c r="O10040" s="17"/>
    </row>
    <row r="10041">
      <c r="B10041" s="17" t="s">
        <v>477</v>
      </c>
      <c r="K10041" s="18" t="s">
        <v>477</v>
      </c>
      <c r="N10041" s="17" t="str">
        <f>IFERROR(__xludf.DUMMYFUNCTION("""COMPUTED_VALUE"""),"")</f>
        <v/>
      </c>
      <c r="O10041" s="17"/>
    </row>
    <row r="10042">
      <c r="B10042" s="17" t="s">
        <v>477</v>
      </c>
      <c r="K10042" s="18" t="s">
        <v>477</v>
      </c>
      <c r="N10042" s="17" t="str">
        <f>IFERROR(__xludf.DUMMYFUNCTION("""COMPUTED_VALUE"""),"")</f>
        <v/>
      </c>
      <c r="O10042" s="17"/>
    </row>
    <row r="10043">
      <c r="B10043" s="17" t="s">
        <v>477</v>
      </c>
      <c r="K10043" s="18" t="s">
        <v>477</v>
      </c>
      <c r="N10043" s="17" t="str">
        <f>IFERROR(__xludf.DUMMYFUNCTION("""COMPUTED_VALUE"""),"")</f>
        <v/>
      </c>
      <c r="O10043" s="17"/>
    </row>
    <row r="10044">
      <c r="B10044" s="17" t="s">
        <v>477</v>
      </c>
      <c r="K10044" s="18" t="s">
        <v>477</v>
      </c>
      <c r="N10044" s="17" t="str">
        <f>IFERROR(__xludf.DUMMYFUNCTION("""COMPUTED_VALUE"""),"")</f>
        <v/>
      </c>
      <c r="O10044" s="17"/>
    </row>
    <row r="10045">
      <c r="B10045" s="17" t="s">
        <v>477</v>
      </c>
      <c r="K10045" s="18" t="s">
        <v>477</v>
      </c>
      <c r="N10045" s="17" t="str">
        <f>IFERROR(__xludf.DUMMYFUNCTION("""COMPUTED_VALUE"""),"")</f>
        <v/>
      </c>
      <c r="O10045" s="17"/>
    </row>
    <row r="10046">
      <c r="B10046" s="17" t="s">
        <v>477</v>
      </c>
      <c r="K10046" s="18" t="s">
        <v>477</v>
      </c>
      <c r="N10046" s="17" t="str">
        <f>IFERROR(__xludf.DUMMYFUNCTION("""COMPUTED_VALUE"""),"")</f>
        <v/>
      </c>
      <c r="O10046" s="17"/>
    </row>
    <row r="10047">
      <c r="B10047" s="17" t="s">
        <v>477</v>
      </c>
      <c r="K10047" s="18" t="s">
        <v>477</v>
      </c>
      <c r="N10047" s="17" t="str">
        <f>IFERROR(__xludf.DUMMYFUNCTION("""COMPUTED_VALUE"""),"")</f>
        <v/>
      </c>
      <c r="O10047" s="17"/>
    </row>
    <row r="10048">
      <c r="B10048" s="17" t="s">
        <v>477</v>
      </c>
      <c r="K10048" s="18" t="s">
        <v>477</v>
      </c>
      <c r="N10048" s="17" t="str">
        <f>IFERROR(__xludf.DUMMYFUNCTION("""COMPUTED_VALUE"""),"")</f>
        <v/>
      </c>
      <c r="O10048" s="17"/>
    </row>
    <row r="10049">
      <c r="B10049" s="17" t="s">
        <v>477</v>
      </c>
      <c r="K10049" s="18" t="s">
        <v>477</v>
      </c>
      <c r="N10049" s="17" t="str">
        <f>IFERROR(__xludf.DUMMYFUNCTION("""COMPUTED_VALUE"""),"")</f>
        <v/>
      </c>
      <c r="O10049" s="17"/>
    </row>
    <row r="10050">
      <c r="B10050" s="17" t="s">
        <v>477</v>
      </c>
      <c r="K10050" s="18" t="s">
        <v>477</v>
      </c>
      <c r="N10050" s="17" t="str">
        <f>IFERROR(__xludf.DUMMYFUNCTION("""COMPUTED_VALUE"""),"")</f>
        <v/>
      </c>
      <c r="O10050" s="17"/>
    </row>
    <row r="10051">
      <c r="B10051" s="17" t="s">
        <v>477</v>
      </c>
      <c r="K10051" s="18" t="s">
        <v>477</v>
      </c>
      <c r="N10051" s="17" t="str">
        <f>IFERROR(__xludf.DUMMYFUNCTION("""COMPUTED_VALUE"""),"")</f>
        <v/>
      </c>
      <c r="O10051" s="17"/>
    </row>
    <row r="10052">
      <c r="B10052" s="17" t="s">
        <v>477</v>
      </c>
      <c r="K10052" s="18" t="s">
        <v>477</v>
      </c>
      <c r="N10052" s="17" t="str">
        <f>IFERROR(__xludf.DUMMYFUNCTION("""COMPUTED_VALUE"""),"")</f>
        <v/>
      </c>
      <c r="O10052" s="17"/>
    </row>
    <row r="10053">
      <c r="B10053" s="17" t="s">
        <v>477</v>
      </c>
      <c r="K10053" s="18" t="s">
        <v>477</v>
      </c>
      <c r="N10053" s="17" t="str">
        <f>IFERROR(__xludf.DUMMYFUNCTION("""COMPUTED_VALUE"""),"")</f>
        <v/>
      </c>
      <c r="O10053" s="17"/>
    </row>
    <row r="10054">
      <c r="B10054" s="17" t="s">
        <v>477</v>
      </c>
      <c r="K10054" s="18" t="s">
        <v>477</v>
      </c>
      <c r="N10054" s="17" t="str">
        <f>IFERROR(__xludf.DUMMYFUNCTION("""COMPUTED_VALUE"""),"")</f>
        <v/>
      </c>
      <c r="O10054" s="17"/>
    </row>
    <row r="10055">
      <c r="B10055" s="17" t="s">
        <v>477</v>
      </c>
      <c r="K10055" s="18" t="s">
        <v>477</v>
      </c>
      <c r="N10055" s="17" t="str">
        <f>IFERROR(__xludf.DUMMYFUNCTION("""COMPUTED_VALUE"""),"")</f>
        <v/>
      </c>
      <c r="O10055" s="17"/>
    </row>
    <row r="10056">
      <c r="B10056" s="17" t="s">
        <v>477</v>
      </c>
      <c r="K10056" s="18" t="s">
        <v>477</v>
      </c>
      <c r="N10056" s="17" t="str">
        <f>IFERROR(__xludf.DUMMYFUNCTION("""COMPUTED_VALUE"""),"")</f>
        <v/>
      </c>
      <c r="O10056" s="17"/>
    </row>
    <row r="10057">
      <c r="B10057" s="17" t="s">
        <v>477</v>
      </c>
      <c r="K10057" s="18" t="s">
        <v>477</v>
      </c>
      <c r="N10057" s="17" t="str">
        <f>IFERROR(__xludf.DUMMYFUNCTION("""COMPUTED_VALUE"""),"")</f>
        <v/>
      </c>
      <c r="O10057" s="17"/>
    </row>
    <row r="10058">
      <c r="B10058" s="17" t="s">
        <v>477</v>
      </c>
      <c r="K10058" s="18" t="s">
        <v>477</v>
      </c>
      <c r="N10058" s="17" t="str">
        <f>IFERROR(__xludf.DUMMYFUNCTION("""COMPUTED_VALUE"""),"")</f>
        <v/>
      </c>
      <c r="O10058" s="17"/>
    </row>
    <row r="10059">
      <c r="B10059" s="17" t="s">
        <v>477</v>
      </c>
      <c r="K10059" s="18" t="s">
        <v>477</v>
      </c>
      <c r="N10059" s="17" t="str">
        <f>IFERROR(__xludf.DUMMYFUNCTION("""COMPUTED_VALUE"""),"")</f>
        <v/>
      </c>
      <c r="O10059" s="17"/>
    </row>
    <row r="10060">
      <c r="B10060" s="17" t="s">
        <v>477</v>
      </c>
      <c r="K10060" s="18" t="s">
        <v>477</v>
      </c>
      <c r="N10060" s="17" t="str">
        <f>IFERROR(__xludf.DUMMYFUNCTION("""COMPUTED_VALUE"""),"")</f>
        <v/>
      </c>
      <c r="O10060" s="17"/>
    </row>
    <row r="10061">
      <c r="B10061" s="17" t="s">
        <v>477</v>
      </c>
      <c r="K10061" s="18" t="s">
        <v>477</v>
      </c>
      <c r="N10061" s="17" t="str">
        <f>IFERROR(__xludf.DUMMYFUNCTION("""COMPUTED_VALUE"""),"")</f>
        <v/>
      </c>
      <c r="O10061" s="17"/>
    </row>
    <row r="10062">
      <c r="B10062" s="17" t="s">
        <v>477</v>
      </c>
      <c r="K10062" s="18" t="s">
        <v>477</v>
      </c>
      <c r="N10062" s="17" t="str">
        <f>IFERROR(__xludf.DUMMYFUNCTION("""COMPUTED_VALUE"""),"")</f>
        <v/>
      </c>
      <c r="O10062" s="17"/>
    </row>
    <row r="10063">
      <c r="B10063" s="17" t="s">
        <v>477</v>
      </c>
      <c r="K10063" s="18" t="s">
        <v>477</v>
      </c>
      <c r="N10063" s="17" t="str">
        <f>IFERROR(__xludf.DUMMYFUNCTION("""COMPUTED_VALUE"""),"")</f>
        <v/>
      </c>
      <c r="O10063" s="17"/>
    </row>
    <row r="10064">
      <c r="B10064" s="17" t="s">
        <v>477</v>
      </c>
      <c r="K10064" s="18" t="s">
        <v>477</v>
      </c>
      <c r="N10064" s="17" t="str">
        <f>IFERROR(__xludf.DUMMYFUNCTION("""COMPUTED_VALUE"""),"")</f>
        <v/>
      </c>
      <c r="O10064" s="17"/>
    </row>
    <row r="10065">
      <c r="B10065" s="17" t="s">
        <v>477</v>
      </c>
      <c r="K10065" s="18" t="s">
        <v>477</v>
      </c>
      <c r="N10065" s="17" t="str">
        <f>IFERROR(__xludf.DUMMYFUNCTION("""COMPUTED_VALUE"""),"")</f>
        <v/>
      </c>
      <c r="O10065" s="17"/>
    </row>
    <row r="10066">
      <c r="B10066" s="17" t="s">
        <v>477</v>
      </c>
      <c r="K10066" s="18" t="s">
        <v>477</v>
      </c>
      <c r="N10066" s="17" t="str">
        <f>IFERROR(__xludf.DUMMYFUNCTION("""COMPUTED_VALUE"""),"")</f>
        <v/>
      </c>
      <c r="O10066" s="17"/>
    </row>
    <row r="10067">
      <c r="B10067" s="17" t="s">
        <v>477</v>
      </c>
      <c r="K10067" s="18" t="s">
        <v>477</v>
      </c>
      <c r="N10067" s="17" t="str">
        <f>IFERROR(__xludf.DUMMYFUNCTION("""COMPUTED_VALUE"""),"")</f>
        <v/>
      </c>
      <c r="O10067" s="17"/>
    </row>
    <row r="10068">
      <c r="B10068" s="17" t="s">
        <v>477</v>
      </c>
      <c r="K10068" s="18" t="s">
        <v>477</v>
      </c>
      <c r="N10068" s="17" t="str">
        <f>IFERROR(__xludf.DUMMYFUNCTION("""COMPUTED_VALUE"""),"")</f>
        <v/>
      </c>
      <c r="O10068" s="17"/>
    </row>
    <row r="10069">
      <c r="B10069" s="17" t="s">
        <v>477</v>
      </c>
      <c r="K10069" s="18" t="s">
        <v>477</v>
      </c>
      <c r="N10069" s="17" t="str">
        <f>IFERROR(__xludf.DUMMYFUNCTION("""COMPUTED_VALUE"""),"")</f>
        <v/>
      </c>
      <c r="O10069" s="17"/>
    </row>
    <row r="10070">
      <c r="B10070" s="17" t="s">
        <v>477</v>
      </c>
      <c r="K10070" s="18" t="s">
        <v>477</v>
      </c>
      <c r="N10070" s="17" t="str">
        <f>IFERROR(__xludf.DUMMYFUNCTION("""COMPUTED_VALUE"""),"")</f>
        <v/>
      </c>
      <c r="O10070" s="17"/>
    </row>
    <row r="10071">
      <c r="B10071" s="17" t="s">
        <v>477</v>
      </c>
      <c r="K10071" s="18" t="s">
        <v>477</v>
      </c>
      <c r="N10071" s="17" t="str">
        <f>IFERROR(__xludf.DUMMYFUNCTION("""COMPUTED_VALUE"""),"")</f>
        <v/>
      </c>
      <c r="O10071" s="17"/>
    </row>
    <row r="10072">
      <c r="B10072" s="17" t="s">
        <v>477</v>
      </c>
      <c r="K10072" s="18" t="s">
        <v>477</v>
      </c>
      <c r="N10072" s="17" t="str">
        <f>IFERROR(__xludf.DUMMYFUNCTION("""COMPUTED_VALUE"""),"")</f>
        <v/>
      </c>
      <c r="O10072" s="17"/>
    </row>
    <row r="10073">
      <c r="B10073" s="17" t="s">
        <v>477</v>
      </c>
      <c r="K10073" s="18" t="s">
        <v>477</v>
      </c>
      <c r="N10073" s="17" t="str">
        <f>IFERROR(__xludf.DUMMYFUNCTION("""COMPUTED_VALUE"""),"")</f>
        <v/>
      </c>
      <c r="O10073" s="17"/>
    </row>
    <row r="10074">
      <c r="B10074" s="17" t="s">
        <v>477</v>
      </c>
      <c r="K10074" s="18" t="s">
        <v>477</v>
      </c>
      <c r="N10074" s="17" t="str">
        <f>IFERROR(__xludf.DUMMYFUNCTION("""COMPUTED_VALUE"""),"")</f>
        <v/>
      </c>
      <c r="O10074" s="17"/>
    </row>
    <row r="10075">
      <c r="B10075" s="17" t="s">
        <v>477</v>
      </c>
      <c r="K10075" s="18" t="s">
        <v>477</v>
      </c>
      <c r="N10075" s="17" t="str">
        <f>IFERROR(__xludf.DUMMYFUNCTION("""COMPUTED_VALUE"""),"")</f>
        <v/>
      </c>
      <c r="O10075" s="17"/>
    </row>
    <row r="10076">
      <c r="B10076" s="17" t="s">
        <v>477</v>
      </c>
      <c r="K10076" s="18" t="s">
        <v>477</v>
      </c>
      <c r="N10076" s="17" t="str">
        <f>IFERROR(__xludf.DUMMYFUNCTION("""COMPUTED_VALUE"""),"")</f>
        <v/>
      </c>
      <c r="O10076" s="17"/>
    </row>
    <row r="10077">
      <c r="B10077" s="17" t="s">
        <v>477</v>
      </c>
      <c r="K10077" s="18" t="s">
        <v>477</v>
      </c>
      <c r="N10077" s="17" t="str">
        <f>IFERROR(__xludf.DUMMYFUNCTION("""COMPUTED_VALUE"""),"")</f>
        <v/>
      </c>
      <c r="O10077" s="17"/>
    </row>
    <row r="10078">
      <c r="B10078" s="17" t="s">
        <v>477</v>
      </c>
      <c r="K10078" s="18" t="s">
        <v>477</v>
      </c>
      <c r="N10078" s="17" t="str">
        <f>IFERROR(__xludf.DUMMYFUNCTION("""COMPUTED_VALUE"""),"")</f>
        <v/>
      </c>
      <c r="O10078" s="17"/>
    </row>
    <row r="10079">
      <c r="B10079" s="17" t="s">
        <v>477</v>
      </c>
      <c r="K10079" s="18" t="s">
        <v>477</v>
      </c>
      <c r="N10079" s="17" t="str">
        <f>IFERROR(__xludf.DUMMYFUNCTION("""COMPUTED_VALUE"""),"")</f>
        <v/>
      </c>
      <c r="O10079" s="17"/>
    </row>
    <row r="10080">
      <c r="B10080" s="17" t="s">
        <v>477</v>
      </c>
      <c r="K10080" s="18" t="s">
        <v>477</v>
      </c>
      <c r="N10080" s="17" t="str">
        <f>IFERROR(__xludf.DUMMYFUNCTION("""COMPUTED_VALUE"""),"")</f>
        <v/>
      </c>
      <c r="O10080" s="17"/>
    </row>
    <row r="10081">
      <c r="B10081" s="17" t="s">
        <v>477</v>
      </c>
      <c r="K10081" s="18" t="s">
        <v>477</v>
      </c>
      <c r="N10081" s="17" t="str">
        <f>IFERROR(__xludf.DUMMYFUNCTION("""COMPUTED_VALUE"""),"")</f>
        <v/>
      </c>
      <c r="O10081" s="17"/>
    </row>
    <row r="10082">
      <c r="B10082" s="17" t="s">
        <v>477</v>
      </c>
      <c r="K10082" s="18" t="s">
        <v>477</v>
      </c>
      <c r="N10082" s="17" t="str">
        <f>IFERROR(__xludf.DUMMYFUNCTION("""COMPUTED_VALUE"""),"")</f>
        <v/>
      </c>
      <c r="O10082" s="17"/>
    </row>
    <row r="10083">
      <c r="B10083" s="17" t="s">
        <v>477</v>
      </c>
      <c r="K10083" s="18" t="s">
        <v>477</v>
      </c>
      <c r="N10083" s="17" t="str">
        <f>IFERROR(__xludf.DUMMYFUNCTION("""COMPUTED_VALUE"""),"")</f>
        <v/>
      </c>
      <c r="O10083" s="17"/>
    </row>
    <row r="10084">
      <c r="B10084" s="17" t="s">
        <v>477</v>
      </c>
      <c r="K10084" s="18" t="s">
        <v>477</v>
      </c>
      <c r="N10084" s="17" t="str">
        <f>IFERROR(__xludf.DUMMYFUNCTION("""COMPUTED_VALUE"""),"")</f>
        <v/>
      </c>
      <c r="O10084" s="17"/>
    </row>
    <row r="10085">
      <c r="B10085" s="17" t="s">
        <v>477</v>
      </c>
      <c r="K10085" s="18" t="s">
        <v>477</v>
      </c>
      <c r="N10085" s="17" t="str">
        <f>IFERROR(__xludf.DUMMYFUNCTION("""COMPUTED_VALUE"""),"")</f>
        <v/>
      </c>
      <c r="O10085" s="17"/>
    </row>
    <row r="10086">
      <c r="B10086" s="17" t="s">
        <v>477</v>
      </c>
      <c r="K10086" s="18" t="s">
        <v>477</v>
      </c>
      <c r="N10086" s="17" t="str">
        <f>IFERROR(__xludf.DUMMYFUNCTION("""COMPUTED_VALUE"""),"")</f>
        <v/>
      </c>
      <c r="O10086" s="17"/>
    </row>
    <row r="10087">
      <c r="B10087" s="17" t="s">
        <v>477</v>
      </c>
      <c r="K10087" s="18" t="s">
        <v>477</v>
      </c>
      <c r="N10087" s="17" t="str">
        <f>IFERROR(__xludf.DUMMYFUNCTION("""COMPUTED_VALUE"""),"")</f>
        <v/>
      </c>
      <c r="O10087" s="17"/>
    </row>
    <row r="10088">
      <c r="B10088" s="17" t="s">
        <v>477</v>
      </c>
      <c r="K10088" s="18" t="s">
        <v>477</v>
      </c>
      <c r="N10088" s="17" t="str">
        <f>IFERROR(__xludf.DUMMYFUNCTION("""COMPUTED_VALUE"""),"")</f>
        <v/>
      </c>
      <c r="O10088" s="17"/>
    </row>
    <row r="10089">
      <c r="B10089" s="17" t="s">
        <v>477</v>
      </c>
      <c r="K10089" s="18" t="s">
        <v>477</v>
      </c>
      <c r="N10089" s="17" t="str">
        <f>IFERROR(__xludf.DUMMYFUNCTION("""COMPUTED_VALUE"""),"")</f>
        <v/>
      </c>
      <c r="O10089" s="17"/>
    </row>
    <row r="10090">
      <c r="B10090" s="17" t="s">
        <v>477</v>
      </c>
      <c r="K10090" s="18" t="s">
        <v>477</v>
      </c>
      <c r="N10090" s="17" t="str">
        <f>IFERROR(__xludf.DUMMYFUNCTION("""COMPUTED_VALUE"""),"")</f>
        <v/>
      </c>
      <c r="O10090" s="17"/>
    </row>
    <row r="10091">
      <c r="B10091" s="17" t="s">
        <v>477</v>
      </c>
      <c r="K10091" s="18" t="s">
        <v>477</v>
      </c>
      <c r="N10091" s="17" t="str">
        <f>IFERROR(__xludf.DUMMYFUNCTION("""COMPUTED_VALUE"""),"")</f>
        <v/>
      </c>
      <c r="O10091" s="17"/>
    </row>
    <row r="10092">
      <c r="B10092" s="17" t="s">
        <v>477</v>
      </c>
      <c r="K10092" s="18" t="s">
        <v>477</v>
      </c>
      <c r="N10092" s="17" t="str">
        <f>IFERROR(__xludf.DUMMYFUNCTION("""COMPUTED_VALUE"""),"")</f>
        <v/>
      </c>
      <c r="O10092" s="17"/>
    </row>
    <row r="10093">
      <c r="B10093" s="17" t="s">
        <v>477</v>
      </c>
      <c r="K10093" s="18" t="s">
        <v>477</v>
      </c>
      <c r="N10093" s="17" t="str">
        <f>IFERROR(__xludf.DUMMYFUNCTION("""COMPUTED_VALUE"""),"")</f>
        <v/>
      </c>
      <c r="O10093" s="17"/>
    </row>
    <row r="10094">
      <c r="B10094" s="17" t="s">
        <v>477</v>
      </c>
      <c r="K10094" s="18" t="s">
        <v>477</v>
      </c>
      <c r="N10094" s="17" t="str">
        <f>IFERROR(__xludf.DUMMYFUNCTION("""COMPUTED_VALUE"""),"")</f>
        <v/>
      </c>
      <c r="O10094" s="17"/>
    </row>
    <row r="10095">
      <c r="B10095" s="17" t="s">
        <v>477</v>
      </c>
      <c r="K10095" s="18" t="s">
        <v>477</v>
      </c>
      <c r="N10095" s="17" t="str">
        <f>IFERROR(__xludf.DUMMYFUNCTION("""COMPUTED_VALUE"""),"")</f>
        <v/>
      </c>
      <c r="O10095" s="17"/>
    </row>
    <row r="10096">
      <c r="B10096" s="17" t="s">
        <v>477</v>
      </c>
      <c r="K10096" s="18" t="s">
        <v>477</v>
      </c>
      <c r="N10096" s="17" t="str">
        <f>IFERROR(__xludf.DUMMYFUNCTION("""COMPUTED_VALUE"""),"")</f>
        <v/>
      </c>
      <c r="O10096" s="17"/>
    </row>
    <row r="10097">
      <c r="B10097" s="17" t="s">
        <v>477</v>
      </c>
      <c r="K10097" s="18" t="s">
        <v>477</v>
      </c>
      <c r="N10097" s="17" t="str">
        <f>IFERROR(__xludf.DUMMYFUNCTION("""COMPUTED_VALUE"""),"")</f>
        <v/>
      </c>
      <c r="O10097" s="17"/>
    </row>
    <row r="10098">
      <c r="B10098" s="17" t="s">
        <v>477</v>
      </c>
      <c r="K10098" s="18" t="s">
        <v>477</v>
      </c>
      <c r="N10098" s="17" t="str">
        <f>IFERROR(__xludf.DUMMYFUNCTION("""COMPUTED_VALUE"""),"")</f>
        <v/>
      </c>
      <c r="O10098" s="17"/>
    </row>
    <row r="10099">
      <c r="B10099" s="17" t="s">
        <v>477</v>
      </c>
      <c r="K10099" s="18" t="s">
        <v>477</v>
      </c>
      <c r="N10099" s="17" t="str">
        <f>IFERROR(__xludf.DUMMYFUNCTION("""COMPUTED_VALUE"""),"")</f>
        <v/>
      </c>
      <c r="O10099" s="17"/>
    </row>
    <row r="10100">
      <c r="B10100" s="17" t="s">
        <v>477</v>
      </c>
      <c r="K10100" s="18" t="s">
        <v>477</v>
      </c>
      <c r="N10100" s="17" t="str">
        <f>IFERROR(__xludf.DUMMYFUNCTION("""COMPUTED_VALUE"""),"")</f>
        <v/>
      </c>
      <c r="O10100" s="17"/>
    </row>
    <row r="10101">
      <c r="B10101" s="17" t="s">
        <v>477</v>
      </c>
      <c r="K10101" s="18" t="s">
        <v>477</v>
      </c>
      <c r="N10101" s="17" t="str">
        <f>IFERROR(__xludf.DUMMYFUNCTION("""COMPUTED_VALUE"""),"")</f>
        <v/>
      </c>
      <c r="O10101" s="17"/>
    </row>
    <row r="10102">
      <c r="B10102" s="17" t="s">
        <v>477</v>
      </c>
      <c r="K10102" s="18" t="s">
        <v>477</v>
      </c>
      <c r="N10102" s="17" t="str">
        <f>IFERROR(__xludf.DUMMYFUNCTION("""COMPUTED_VALUE"""),"")</f>
        <v/>
      </c>
      <c r="O10102" s="17"/>
    </row>
    <row r="10103">
      <c r="B10103" s="17" t="s">
        <v>477</v>
      </c>
      <c r="K10103" s="18" t="s">
        <v>477</v>
      </c>
      <c r="N10103" s="17" t="str">
        <f>IFERROR(__xludf.DUMMYFUNCTION("""COMPUTED_VALUE"""),"")</f>
        <v/>
      </c>
      <c r="O10103" s="17"/>
    </row>
    <row r="10104">
      <c r="B10104" s="17" t="s">
        <v>477</v>
      </c>
      <c r="K10104" s="18" t="s">
        <v>477</v>
      </c>
      <c r="N10104" s="17" t="str">
        <f>IFERROR(__xludf.DUMMYFUNCTION("""COMPUTED_VALUE"""),"")</f>
        <v/>
      </c>
      <c r="O10104" s="17"/>
    </row>
    <row r="10105">
      <c r="B10105" s="17" t="s">
        <v>477</v>
      </c>
      <c r="K10105" s="18" t="s">
        <v>477</v>
      </c>
      <c r="N10105" s="17" t="str">
        <f>IFERROR(__xludf.DUMMYFUNCTION("""COMPUTED_VALUE"""),"")</f>
        <v/>
      </c>
      <c r="O10105" s="17"/>
    </row>
    <row r="10106">
      <c r="B10106" s="17" t="s">
        <v>477</v>
      </c>
      <c r="K10106" s="18" t="s">
        <v>477</v>
      </c>
      <c r="N10106" s="17" t="str">
        <f>IFERROR(__xludf.DUMMYFUNCTION("""COMPUTED_VALUE"""),"")</f>
        <v/>
      </c>
      <c r="O10106" s="17"/>
    </row>
    <row r="10107">
      <c r="B10107" s="17" t="s">
        <v>477</v>
      </c>
      <c r="K10107" s="18" t="s">
        <v>477</v>
      </c>
      <c r="N10107" s="17" t="str">
        <f>IFERROR(__xludf.DUMMYFUNCTION("""COMPUTED_VALUE"""),"")</f>
        <v/>
      </c>
      <c r="O10107" s="17"/>
    </row>
    <row r="10108">
      <c r="B10108" s="17" t="s">
        <v>477</v>
      </c>
      <c r="K10108" s="18" t="s">
        <v>477</v>
      </c>
      <c r="N10108" s="17" t="str">
        <f>IFERROR(__xludf.DUMMYFUNCTION("""COMPUTED_VALUE"""),"")</f>
        <v/>
      </c>
      <c r="O10108" s="17"/>
    </row>
    <row r="10109">
      <c r="B10109" s="17" t="s">
        <v>477</v>
      </c>
      <c r="K10109" s="18" t="s">
        <v>477</v>
      </c>
      <c r="N10109" s="17" t="str">
        <f>IFERROR(__xludf.DUMMYFUNCTION("""COMPUTED_VALUE"""),"")</f>
        <v/>
      </c>
      <c r="O10109" s="17"/>
    </row>
    <row r="10110">
      <c r="B10110" s="17" t="s">
        <v>477</v>
      </c>
      <c r="K10110" s="18" t="s">
        <v>477</v>
      </c>
      <c r="N10110" s="17" t="str">
        <f>IFERROR(__xludf.DUMMYFUNCTION("""COMPUTED_VALUE"""),"")</f>
        <v/>
      </c>
      <c r="O10110" s="17"/>
    </row>
    <row r="10111">
      <c r="B10111" s="17" t="s">
        <v>477</v>
      </c>
      <c r="K10111" s="18" t="s">
        <v>477</v>
      </c>
      <c r="N10111" s="17" t="str">
        <f>IFERROR(__xludf.DUMMYFUNCTION("""COMPUTED_VALUE"""),"")</f>
        <v/>
      </c>
      <c r="O10111" s="17"/>
    </row>
    <row r="10112">
      <c r="B10112" s="17" t="s">
        <v>477</v>
      </c>
      <c r="K10112" s="18" t="s">
        <v>477</v>
      </c>
      <c r="N10112" s="17" t="str">
        <f>IFERROR(__xludf.DUMMYFUNCTION("""COMPUTED_VALUE"""),"")</f>
        <v/>
      </c>
      <c r="O10112" s="17"/>
    </row>
    <row r="10113">
      <c r="B10113" s="17" t="s">
        <v>477</v>
      </c>
      <c r="K10113" s="18" t="s">
        <v>477</v>
      </c>
      <c r="N10113" s="17" t="str">
        <f>IFERROR(__xludf.DUMMYFUNCTION("""COMPUTED_VALUE"""),"")</f>
        <v/>
      </c>
      <c r="O10113" s="17"/>
    </row>
    <row r="10114">
      <c r="B10114" s="17" t="s">
        <v>477</v>
      </c>
      <c r="K10114" s="18" t="s">
        <v>477</v>
      </c>
      <c r="N10114" s="17" t="str">
        <f>IFERROR(__xludf.DUMMYFUNCTION("""COMPUTED_VALUE"""),"")</f>
        <v/>
      </c>
      <c r="O10114" s="17"/>
    </row>
    <row r="10115">
      <c r="B10115" s="17" t="s">
        <v>477</v>
      </c>
      <c r="K10115" s="18" t="s">
        <v>477</v>
      </c>
      <c r="N10115" s="17" t="str">
        <f>IFERROR(__xludf.DUMMYFUNCTION("""COMPUTED_VALUE"""),"")</f>
        <v/>
      </c>
      <c r="O10115" s="17"/>
    </row>
    <row r="10116">
      <c r="B10116" s="17" t="s">
        <v>477</v>
      </c>
      <c r="K10116" s="18" t="s">
        <v>477</v>
      </c>
      <c r="N10116" s="17" t="str">
        <f>IFERROR(__xludf.DUMMYFUNCTION("""COMPUTED_VALUE"""),"")</f>
        <v/>
      </c>
      <c r="O10116" s="17"/>
    </row>
    <row r="10117">
      <c r="B10117" s="17" t="s">
        <v>477</v>
      </c>
      <c r="K10117" s="18" t="s">
        <v>477</v>
      </c>
      <c r="N10117" s="17" t="str">
        <f>IFERROR(__xludf.DUMMYFUNCTION("""COMPUTED_VALUE"""),"")</f>
        <v/>
      </c>
      <c r="O10117" s="17"/>
    </row>
    <row r="10118">
      <c r="B10118" s="17" t="s">
        <v>477</v>
      </c>
      <c r="K10118" s="18" t="s">
        <v>477</v>
      </c>
      <c r="N10118" s="17" t="str">
        <f>IFERROR(__xludf.DUMMYFUNCTION("""COMPUTED_VALUE"""),"")</f>
        <v/>
      </c>
      <c r="O10118" s="17"/>
    </row>
    <row r="10119">
      <c r="B10119" s="17" t="s">
        <v>477</v>
      </c>
      <c r="K10119" s="18" t="s">
        <v>477</v>
      </c>
      <c r="N10119" s="17" t="str">
        <f>IFERROR(__xludf.DUMMYFUNCTION("""COMPUTED_VALUE"""),"")</f>
        <v/>
      </c>
      <c r="O10119" s="17"/>
    </row>
    <row r="10120">
      <c r="B10120" s="17" t="s">
        <v>477</v>
      </c>
      <c r="K10120" s="18" t="s">
        <v>477</v>
      </c>
      <c r="N10120" s="17" t="str">
        <f>IFERROR(__xludf.DUMMYFUNCTION("""COMPUTED_VALUE"""),"")</f>
        <v/>
      </c>
      <c r="O10120" s="17"/>
    </row>
    <row r="10121">
      <c r="B10121" s="17" t="s">
        <v>477</v>
      </c>
      <c r="K10121" s="18" t="s">
        <v>477</v>
      </c>
      <c r="N10121" s="17" t="str">
        <f>IFERROR(__xludf.DUMMYFUNCTION("""COMPUTED_VALUE"""),"")</f>
        <v/>
      </c>
      <c r="O10121" s="17"/>
    </row>
    <row r="10122">
      <c r="B10122" s="17" t="s">
        <v>477</v>
      </c>
      <c r="K10122" s="18" t="s">
        <v>477</v>
      </c>
      <c r="N10122" s="17" t="str">
        <f>IFERROR(__xludf.DUMMYFUNCTION("""COMPUTED_VALUE"""),"")</f>
        <v/>
      </c>
      <c r="O10122" s="17"/>
    </row>
    <row r="10123">
      <c r="B10123" s="17" t="s">
        <v>477</v>
      </c>
      <c r="K10123" s="18" t="s">
        <v>477</v>
      </c>
      <c r="N10123" s="17" t="str">
        <f>IFERROR(__xludf.DUMMYFUNCTION("""COMPUTED_VALUE"""),"")</f>
        <v/>
      </c>
      <c r="O10123" s="17"/>
    </row>
    <row r="10124">
      <c r="B10124" s="17" t="s">
        <v>477</v>
      </c>
      <c r="K10124" s="18" t="s">
        <v>477</v>
      </c>
      <c r="N10124" s="17" t="str">
        <f>IFERROR(__xludf.DUMMYFUNCTION("""COMPUTED_VALUE"""),"")</f>
        <v/>
      </c>
      <c r="O10124" s="17"/>
    </row>
    <row r="10125">
      <c r="B10125" s="17" t="s">
        <v>477</v>
      </c>
      <c r="K10125" s="18" t="s">
        <v>477</v>
      </c>
      <c r="N10125" s="17" t="str">
        <f>IFERROR(__xludf.DUMMYFUNCTION("""COMPUTED_VALUE"""),"")</f>
        <v/>
      </c>
      <c r="O10125" s="17"/>
    </row>
    <row r="10126">
      <c r="B10126" s="17" t="s">
        <v>477</v>
      </c>
      <c r="K10126" s="18" t="s">
        <v>477</v>
      </c>
      <c r="N10126" s="17" t="str">
        <f>IFERROR(__xludf.DUMMYFUNCTION("""COMPUTED_VALUE"""),"")</f>
        <v/>
      </c>
      <c r="O10126" s="17"/>
    </row>
    <row r="10127">
      <c r="B10127" s="17" t="s">
        <v>477</v>
      </c>
      <c r="K10127" s="18" t="s">
        <v>477</v>
      </c>
      <c r="N10127" s="17" t="str">
        <f>IFERROR(__xludf.DUMMYFUNCTION("""COMPUTED_VALUE"""),"")</f>
        <v/>
      </c>
      <c r="O10127" s="17"/>
    </row>
    <row r="10128">
      <c r="B10128" s="17" t="s">
        <v>477</v>
      </c>
      <c r="K10128" s="18" t="s">
        <v>477</v>
      </c>
      <c r="N10128" s="17" t="str">
        <f>IFERROR(__xludf.DUMMYFUNCTION("""COMPUTED_VALUE"""),"")</f>
        <v/>
      </c>
      <c r="O10128" s="17"/>
    </row>
    <row r="10129">
      <c r="B10129" s="17" t="s">
        <v>477</v>
      </c>
      <c r="K10129" s="18" t="s">
        <v>477</v>
      </c>
      <c r="N10129" s="17" t="str">
        <f>IFERROR(__xludf.DUMMYFUNCTION("""COMPUTED_VALUE"""),"")</f>
        <v/>
      </c>
      <c r="O10129" s="17"/>
    </row>
    <row r="10130">
      <c r="B10130" s="17" t="s">
        <v>477</v>
      </c>
      <c r="K10130" s="18" t="s">
        <v>477</v>
      </c>
      <c r="N10130" s="17" t="str">
        <f>IFERROR(__xludf.DUMMYFUNCTION("""COMPUTED_VALUE"""),"")</f>
        <v/>
      </c>
      <c r="O10130" s="17"/>
    </row>
    <row r="10131">
      <c r="B10131" s="17" t="s">
        <v>477</v>
      </c>
      <c r="K10131" s="18" t="s">
        <v>477</v>
      </c>
      <c r="N10131" s="17" t="str">
        <f>IFERROR(__xludf.DUMMYFUNCTION("""COMPUTED_VALUE"""),"")</f>
        <v/>
      </c>
      <c r="O10131" s="17"/>
    </row>
    <row r="10132">
      <c r="B10132" s="17" t="s">
        <v>477</v>
      </c>
      <c r="K10132" s="18" t="s">
        <v>477</v>
      </c>
      <c r="N10132" s="17" t="str">
        <f>IFERROR(__xludf.DUMMYFUNCTION("""COMPUTED_VALUE"""),"")</f>
        <v/>
      </c>
      <c r="O10132" s="17"/>
    </row>
    <row r="10133">
      <c r="B10133" s="17" t="s">
        <v>477</v>
      </c>
      <c r="K10133" s="18" t="s">
        <v>477</v>
      </c>
      <c r="N10133" s="17" t="str">
        <f>IFERROR(__xludf.DUMMYFUNCTION("""COMPUTED_VALUE"""),"")</f>
        <v/>
      </c>
      <c r="O10133" s="17"/>
    </row>
    <row r="10134">
      <c r="B10134" s="17" t="s">
        <v>477</v>
      </c>
      <c r="K10134" s="18" t="s">
        <v>477</v>
      </c>
      <c r="N10134" s="17" t="str">
        <f>IFERROR(__xludf.DUMMYFUNCTION("""COMPUTED_VALUE"""),"")</f>
        <v/>
      </c>
      <c r="O10134" s="17"/>
    </row>
    <row r="10135">
      <c r="B10135" s="17" t="s">
        <v>477</v>
      </c>
      <c r="K10135" s="18" t="s">
        <v>477</v>
      </c>
      <c r="N10135" s="17" t="str">
        <f>IFERROR(__xludf.DUMMYFUNCTION("""COMPUTED_VALUE"""),"")</f>
        <v/>
      </c>
      <c r="O10135" s="17"/>
    </row>
    <row r="10136">
      <c r="B10136" s="17" t="s">
        <v>477</v>
      </c>
      <c r="K10136" s="18" t="s">
        <v>477</v>
      </c>
      <c r="N10136" s="17" t="str">
        <f>IFERROR(__xludf.DUMMYFUNCTION("""COMPUTED_VALUE"""),"")</f>
        <v/>
      </c>
      <c r="O10136" s="17"/>
    </row>
    <row r="10137">
      <c r="B10137" s="17" t="s">
        <v>477</v>
      </c>
      <c r="K10137" s="18" t="s">
        <v>477</v>
      </c>
      <c r="N10137" s="17" t="str">
        <f>IFERROR(__xludf.DUMMYFUNCTION("""COMPUTED_VALUE"""),"")</f>
        <v/>
      </c>
      <c r="O10137" s="17"/>
    </row>
    <row r="10138">
      <c r="B10138" s="17" t="s">
        <v>477</v>
      </c>
      <c r="K10138" s="18" t="s">
        <v>477</v>
      </c>
      <c r="N10138" s="17" t="str">
        <f>IFERROR(__xludf.DUMMYFUNCTION("""COMPUTED_VALUE"""),"")</f>
        <v/>
      </c>
      <c r="O10138" s="17"/>
    </row>
    <row r="10139">
      <c r="B10139" s="17" t="s">
        <v>477</v>
      </c>
      <c r="K10139" s="18" t="s">
        <v>477</v>
      </c>
      <c r="N10139" s="17" t="str">
        <f>IFERROR(__xludf.DUMMYFUNCTION("""COMPUTED_VALUE"""),"")</f>
        <v/>
      </c>
      <c r="O10139" s="17"/>
    </row>
    <row r="10140">
      <c r="B10140" s="17" t="s">
        <v>477</v>
      </c>
      <c r="K10140" s="18" t="s">
        <v>477</v>
      </c>
      <c r="N10140" s="17" t="str">
        <f>IFERROR(__xludf.DUMMYFUNCTION("""COMPUTED_VALUE"""),"")</f>
        <v/>
      </c>
      <c r="O10140" s="17"/>
    </row>
    <row r="10141">
      <c r="B10141" s="17" t="s">
        <v>477</v>
      </c>
      <c r="K10141" s="18" t="s">
        <v>477</v>
      </c>
      <c r="N10141" s="17" t="str">
        <f>IFERROR(__xludf.DUMMYFUNCTION("""COMPUTED_VALUE"""),"")</f>
        <v/>
      </c>
      <c r="O10141" s="17"/>
    </row>
    <row r="10142">
      <c r="B10142" s="17" t="s">
        <v>477</v>
      </c>
      <c r="K10142" s="18" t="s">
        <v>477</v>
      </c>
      <c r="N10142" s="17" t="str">
        <f>IFERROR(__xludf.DUMMYFUNCTION("""COMPUTED_VALUE"""),"")</f>
        <v/>
      </c>
      <c r="O10142" s="17"/>
    </row>
    <row r="10143">
      <c r="B10143" s="17" t="s">
        <v>477</v>
      </c>
      <c r="K10143" s="18" t="s">
        <v>477</v>
      </c>
      <c r="N10143" s="17" t="str">
        <f>IFERROR(__xludf.DUMMYFUNCTION("""COMPUTED_VALUE"""),"")</f>
        <v/>
      </c>
      <c r="O10143" s="17"/>
    </row>
    <row r="10144">
      <c r="B10144" s="17" t="s">
        <v>477</v>
      </c>
      <c r="K10144" s="18" t="s">
        <v>477</v>
      </c>
      <c r="N10144" s="17" t="str">
        <f>IFERROR(__xludf.DUMMYFUNCTION("""COMPUTED_VALUE"""),"")</f>
        <v/>
      </c>
      <c r="O10144" s="17"/>
    </row>
    <row r="10145">
      <c r="B10145" s="17" t="s">
        <v>477</v>
      </c>
      <c r="K10145" s="18" t="s">
        <v>477</v>
      </c>
      <c r="N10145" s="17" t="str">
        <f>IFERROR(__xludf.DUMMYFUNCTION("""COMPUTED_VALUE"""),"")</f>
        <v/>
      </c>
      <c r="O10145" s="17"/>
    </row>
    <row r="10146">
      <c r="B10146" s="17" t="s">
        <v>477</v>
      </c>
      <c r="K10146" s="18" t="s">
        <v>477</v>
      </c>
      <c r="N10146" s="17" t="str">
        <f>IFERROR(__xludf.DUMMYFUNCTION("""COMPUTED_VALUE"""),"")</f>
        <v/>
      </c>
      <c r="O10146" s="17"/>
    </row>
    <row r="10147">
      <c r="B10147" s="17" t="s">
        <v>477</v>
      </c>
      <c r="K10147" s="18" t="s">
        <v>477</v>
      </c>
      <c r="N10147" s="17" t="str">
        <f>IFERROR(__xludf.DUMMYFUNCTION("""COMPUTED_VALUE"""),"")</f>
        <v/>
      </c>
      <c r="O10147" s="17"/>
    </row>
    <row r="10148">
      <c r="B10148" s="17" t="s">
        <v>477</v>
      </c>
      <c r="K10148" s="18" t="s">
        <v>477</v>
      </c>
      <c r="N10148" s="17" t="str">
        <f>IFERROR(__xludf.DUMMYFUNCTION("""COMPUTED_VALUE"""),"")</f>
        <v/>
      </c>
      <c r="O10148" s="17"/>
    </row>
    <row r="10149">
      <c r="B10149" s="17" t="s">
        <v>477</v>
      </c>
      <c r="K10149" s="18" t="s">
        <v>477</v>
      </c>
      <c r="N10149" s="17" t="str">
        <f>IFERROR(__xludf.DUMMYFUNCTION("""COMPUTED_VALUE"""),"")</f>
        <v/>
      </c>
      <c r="O10149" s="17"/>
    </row>
    <row r="10150">
      <c r="B10150" s="17" t="s">
        <v>477</v>
      </c>
      <c r="K10150" s="18" t="s">
        <v>477</v>
      </c>
      <c r="N10150" s="17" t="str">
        <f>IFERROR(__xludf.DUMMYFUNCTION("""COMPUTED_VALUE"""),"")</f>
        <v/>
      </c>
      <c r="O10150" s="17"/>
    </row>
    <row r="10151">
      <c r="B10151" s="17" t="s">
        <v>477</v>
      </c>
      <c r="K10151" s="18" t="s">
        <v>477</v>
      </c>
      <c r="N10151" s="17" t="str">
        <f>IFERROR(__xludf.DUMMYFUNCTION("""COMPUTED_VALUE"""),"")</f>
        <v/>
      </c>
      <c r="O10151" s="17"/>
    </row>
    <row r="10152">
      <c r="B10152" s="17" t="s">
        <v>477</v>
      </c>
      <c r="K10152" s="18" t="s">
        <v>477</v>
      </c>
      <c r="N10152" s="17" t="str">
        <f>IFERROR(__xludf.DUMMYFUNCTION("""COMPUTED_VALUE"""),"")</f>
        <v/>
      </c>
      <c r="O10152" s="17"/>
    </row>
    <row r="10153">
      <c r="B10153" s="17" t="s">
        <v>477</v>
      </c>
      <c r="K10153" s="18" t="s">
        <v>477</v>
      </c>
      <c r="N10153" s="17" t="str">
        <f>IFERROR(__xludf.DUMMYFUNCTION("""COMPUTED_VALUE"""),"")</f>
        <v/>
      </c>
      <c r="O10153" s="17"/>
    </row>
    <row r="10154">
      <c r="B10154" s="17" t="s">
        <v>477</v>
      </c>
      <c r="K10154" s="18" t="s">
        <v>477</v>
      </c>
      <c r="N10154" s="17" t="str">
        <f>IFERROR(__xludf.DUMMYFUNCTION("""COMPUTED_VALUE"""),"")</f>
        <v/>
      </c>
      <c r="O10154" s="17"/>
    </row>
    <row r="10155">
      <c r="B10155" s="17" t="s">
        <v>477</v>
      </c>
      <c r="K10155" s="18" t="s">
        <v>477</v>
      </c>
      <c r="N10155" s="17" t="str">
        <f>IFERROR(__xludf.DUMMYFUNCTION("""COMPUTED_VALUE"""),"")</f>
        <v/>
      </c>
      <c r="O10155" s="17"/>
    </row>
    <row r="10156">
      <c r="B10156" s="17" t="s">
        <v>477</v>
      </c>
      <c r="K10156" s="18" t="s">
        <v>477</v>
      </c>
      <c r="N10156" s="17" t="str">
        <f>IFERROR(__xludf.DUMMYFUNCTION("""COMPUTED_VALUE"""),"")</f>
        <v/>
      </c>
      <c r="O10156" s="17"/>
    </row>
    <row r="10157">
      <c r="B10157" s="17" t="s">
        <v>477</v>
      </c>
      <c r="K10157" s="18" t="s">
        <v>477</v>
      </c>
      <c r="N10157" s="17" t="str">
        <f>IFERROR(__xludf.DUMMYFUNCTION("""COMPUTED_VALUE"""),"")</f>
        <v/>
      </c>
      <c r="O10157" s="17"/>
    </row>
    <row r="10158">
      <c r="B10158" s="17" t="s">
        <v>477</v>
      </c>
      <c r="K10158" s="18" t="s">
        <v>477</v>
      </c>
      <c r="N10158" s="17" t="str">
        <f>IFERROR(__xludf.DUMMYFUNCTION("""COMPUTED_VALUE"""),"")</f>
        <v/>
      </c>
      <c r="O10158" s="17"/>
    </row>
    <row r="10159">
      <c r="B10159" s="17" t="s">
        <v>477</v>
      </c>
      <c r="K10159" s="18" t="s">
        <v>477</v>
      </c>
      <c r="N10159" s="17" t="str">
        <f>IFERROR(__xludf.DUMMYFUNCTION("""COMPUTED_VALUE"""),"")</f>
        <v/>
      </c>
      <c r="O10159" s="17"/>
    </row>
    <row r="10160">
      <c r="B10160" s="17" t="s">
        <v>477</v>
      </c>
      <c r="K10160" s="18" t="s">
        <v>477</v>
      </c>
      <c r="N10160" s="17" t="str">
        <f>IFERROR(__xludf.DUMMYFUNCTION("""COMPUTED_VALUE"""),"")</f>
        <v/>
      </c>
      <c r="O10160" s="17"/>
    </row>
    <row r="10161">
      <c r="B10161" s="17" t="s">
        <v>477</v>
      </c>
      <c r="K10161" s="18" t="s">
        <v>477</v>
      </c>
      <c r="N10161" s="17" t="str">
        <f>IFERROR(__xludf.DUMMYFUNCTION("""COMPUTED_VALUE"""),"")</f>
        <v/>
      </c>
      <c r="O10161" s="17"/>
    </row>
    <row r="10162">
      <c r="B10162" s="17" t="s">
        <v>477</v>
      </c>
      <c r="K10162" s="18" t="s">
        <v>477</v>
      </c>
      <c r="N10162" s="17" t="str">
        <f>IFERROR(__xludf.DUMMYFUNCTION("""COMPUTED_VALUE"""),"")</f>
        <v/>
      </c>
      <c r="O10162" s="17"/>
    </row>
    <row r="10163">
      <c r="B10163" s="17" t="s">
        <v>477</v>
      </c>
      <c r="K10163" s="18" t="s">
        <v>477</v>
      </c>
      <c r="N10163" s="17" t="str">
        <f>IFERROR(__xludf.DUMMYFUNCTION("""COMPUTED_VALUE"""),"")</f>
        <v/>
      </c>
      <c r="O10163" s="17"/>
    </row>
    <row r="10164">
      <c r="B10164" s="17" t="s">
        <v>477</v>
      </c>
      <c r="K10164" s="18" t="s">
        <v>477</v>
      </c>
      <c r="N10164" s="17" t="str">
        <f>IFERROR(__xludf.DUMMYFUNCTION("""COMPUTED_VALUE"""),"")</f>
        <v/>
      </c>
      <c r="O10164" s="17"/>
    </row>
    <row r="10165">
      <c r="B10165" s="17" t="s">
        <v>477</v>
      </c>
      <c r="K10165" s="18" t="s">
        <v>477</v>
      </c>
      <c r="N10165" s="17" t="str">
        <f>IFERROR(__xludf.DUMMYFUNCTION("""COMPUTED_VALUE"""),"")</f>
        <v/>
      </c>
      <c r="O10165" s="17"/>
    </row>
    <row r="10166">
      <c r="B10166" s="17" t="s">
        <v>477</v>
      </c>
      <c r="K10166" s="18" t="s">
        <v>477</v>
      </c>
      <c r="N10166" s="17" t="str">
        <f>IFERROR(__xludf.DUMMYFUNCTION("""COMPUTED_VALUE"""),"")</f>
        <v/>
      </c>
      <c r="O10166" s="17"/>
    </row>
    <row r="10167">
      <c r="B10167" s="17" t="s">
        <v>477</v>
      </c>
      <c r="K10167" s="18" t="s">
        <v>477</v>
      </c>
      <c r="N10167" s="17" t="str">
        <f>IFERROR(__xludf.DUMMYFUNCTION("""COMPUTED_VALUE"""),"")</f>
        <v/>
      </c>
      <c r="O10167" s="17"/>
    </row>
    <row r="10168">
      <c r="B10168" s="17" t="s">
        <v>477</v>
      </c>
      <c r="K10168" s="18" t="s">
        <v>477</v>
      </c>
      <c r="N10168" s="17" t="str">
        <f>IFERROR(__xludf.DUMMYFUNCTION("""COMPUTED_VALUE"""),"")</f>
        <v/>
      </c>
      <c r="O10168" s="17"/>
    </row>
    <row r="10169">
      <c r="B10169" s="17" t="s">
        <v>477</v>
      </c>
      <c r="K10169" s="18" t="s">
        <v>477</v>
      </c>
      <c r="N10169" s="17" t="str">
        <f>IFERROR(__xludf.DUMMYFUNCTION("""COMPUTED_VALUE"""),"")</f>
        <v/>
      </c>
      <c r="O10169" s="17"/>
    </row>
    <row r="10170">
      <c r="B10170" s="17" t="s">
        <v>477</v>
      </c>
      <c r="K10170" s="18" t="s">
        <v>477</v>
      </c>
      <c r="N10170" s="17" t="str">
        <f>IFERROR(__xludf.DUMMYFUNCTION("""COMPUTED_VALUE"""),"")</f>
        <v/>
      </c>
      <c r="O10170" s="17"/>
    </row>
    <row r="10171">
      <c r="B10171" s="17" t="s">
        <v>477</v>
      </c>
      <c r="K10171" s="18" t="s">
        <v>477</v>
      </c>
      <c r="N10171" s="17" t="str">
        <f>IFERROR(__xludf.DUMMYFUNCTION("""COMPUTED_VALUE"""),"")</f>
        <v/>
      </c>
      <c r="O10171" s="17"/>
    </row>
    <row r="10172">
      <c r="B10172" s="17" t="s">
        <v>477</v>
      </c>
      <c r="K10172" s="18" t="s">
        <v>477</v>
      </c>
      <c r="N10172" s="17" t="str">
        <f>IFERROR(__xludf.DUMMYFUNCTION("""COMPUTED_VALUE"""),"")</f>
        <v/>
      </c>
      <c r="O10172" s="17"/>
    </row>
    <row r="10173">
      <c r="B10173" s="17" t="s">
        <v>477</v>
      </c>
      <c r="K10173" s="18" t="s">
        <v>477</v>
      </c>
      <c r="N10173" s="17" t="str">
        <f>IFERROR(__xludf.DUMMYFUNCTION("""COMPUTED_VALUE"""),"")</f>
        <v/>
      </c>
      <c r="O10173" s="17"/>
    </row>
    <row r="10174">
      <c r="B10174" s="17" t="s">
        <v>477</v>
      </c>
      <c r="K10174" s="18" t="s">
        <v>477</v>
      </c>
      <c r="N10174" s="17" t="str">
        <f>IFERROR(__xludf.DUMMYFUNCTION("""COMPUTED_VALUE"""),"")</f>
        <v/>
      </c>
      <c r="O10174" s="17"/>
    </row>
    <row r="10175">
      <c r="B10175" s="17" t="s">
        <v>477</v>
      </c>
      <c r="K10175" s="18" t="s">
        <v>477</v>
      </c>
      <c r="N10175" s="17" t="str">
        <f>IFERROR(__xludf.DUMMYFUNCTION("""COMPUTED_VALUE"""),"")</f>
        <v/>
      </c>
      <c r="O10175" s="17"/>
    </row>
    <row r="10176">
      <c r="B10176" s="17" t="s">
        <v>477</v>
      </c>
      <c r="K10176" s="18" t="s">
        <v>477</v>
      </c>
      <c r="N10176" s="17" t="str">
        <f>IFERROR(__xludf.DUMMYFUNCTION("""COMPUTED_VALUE"""),"")</f>
        <v/>
      </c>
      <c r="O10176" s="17"/>
    </row>
    <row r="10177">
      <c r="B10177" s="17" t="s">
        <v>477</v>
      </c>
      <c r="K10177" s="18" t="s">
        <v>477</v>
      </c>
      <c r="N10177" s="17" t="str">
        <f>IFERROR(__xludf.DUMMYFUNCTION("""COMPUTED_VALUE"""),"")</f>
        <v/>
      </c>
      <c r="O10177" s="17"/>
    </row>
    <row r="10178">
      <c r="B10178" s="17" t="s">
        <v>477</v>
      </c>
      <c r="K10178" s="18" t="s">
        <v>477</v>
      </c>
      <c r="N10178" s="17" t="str">
        <f>IFERROR(__xludf.DUMMYFUNCTION("""COMPUTED_VALUE"""),"")</f>
        <v/>
      </c>
      <c r="O10178" s="17"/>
    </row>
    <row r="10179">
      <c r="B10179" s="17" t="s">
        <v>477</v>
      </c>
      <c r="K10179" s="18" t="s">
        <v>477</v>
      </c>
      <c r="N10179" s="17" t="str">
        <f>IFERROR(__xludf.DUMMYFUNCTION("""COMPUTED_VALUE"""),"")</f>
        <v/>
      </c>
      <c r="O10179" s="17"/>
    </row>
    <row r="10180">
      <c r="B10180" s="17" t="s">
        <v>477</v>
      </c>
      <c r="K10180" s="18" t="s">
        <v>477</v>
      </c>
      <c r="N10180" s="17" t="str">
        <f>IFERROR(__xludf.DUMMYFUNCTION("""COMPUTED_VALUE"""),"")</f>
        <v/>
      </c>
      <c r="O10180" s="17"/>
    </row>
    <row r="10181">
      <c r="B10181" s="17" t="s">
        <v>477</v>
      </c>
      <c r="K10181" s="18" t="s">
        <v>477</v>
      </c>
      <c r="N10181" s="17" t="str">
        <f>IFERROR(__xludf.DUMMYFUNCTION("""COMPUTED_VALUE"""),"")</f>
        <v/>
      </c>
      <c r="O10181" s="17"/>
    </row>
    <row r="10182">
      <c r="B10182" s="17" t="s">
        <v>477</v>
      </c>
      <c r="K10182" s="18" t="s">
        <v>477</v>
      </c>
      <c r="N10182" s="17" t="str">
        <f>IFERROR(__xludf.DUMMYFUNCTION("""COMPUTED_VALUE"""),"")</f>
        <v/>
      </c>
      <c r="O10182" s="17"/>
    </row>
    <row r="10183">
      <c r="B10183" s="17" t="s">
        <v>477</v>
      </c>
      <c r="K10183" s="18" t="s">
        <v>477</v>
      </c>
      <c r="N10183" s="17" t="str">
        <f>IFERROR(__xludf.DUMMYFUNCTION("""COMPUTED_VALUE"""),"")</f>
        <v/>
      </c>
      <c r="O10183" s="17"/>
    </row>
    <row r="10184">
      <c r="B10184" s="17" t="s">
        <v>477</v>
      </c>
      <c r="K10184" s="18" t="s">
        <v>477</v>
      </c>
      <c r="N10184" s="17" t="str">
        <f>IFERROR(__xludf.DUMMYFUNCTION("""COMPUTED_VALUE"""),"")</f>
        <v/>
      </c>
      <c r="O10184" s="17"/>
    </row>
    <row r="10185">
      <c r="B10185" s="17" t="s">
        <v>477</v>
      </c>
      <c r="K10185" s="18" t="s">
        <v>477</v>
      </c>
      <c r="N10185" s="17" t="str">
        <f>IFERROR(__xludf.DUMMYFUNCTION("""COMPUTED_VALUE"""),"")</f>
        <v/>
      </c>
      <c r="O10185" s="17"/>
    </row>
    <row r="10186">
      <c r="B10186" s="17" t="s">
        <v>477</v>
      </c>
      <c r="K10186" s="18" t="s">
        <v>477</v>
      </c>
      <c r="N10186" s="17" t="str">
        <f>IFERROR(__xludf.DUMMYFUNCTION("""COMPUTED_VALUE"""),"")</f>
        <v/>
      </c>
      <c r="O10186" s="17"/>
    </row>
    <row r="10187">
      <c r="B10187" s="17" t="s">
        <v>477</v>
      </c>
      <c r="K10187" s="18" t="s">
        <v>477</v>
      </c>
      <c r="N10187" s="17" t="str">
        <f>IFERROR(__xludf.DUMMYFUNCTION("""COMPUTED_VALUE"""),"")</f>
        <v/>
      </c>
      <c r="O10187" s="17"/>
    </row>
    <row r="10188">
      <c r="B10188" s="17" t="s">
        <v>477</v>
      </c>
      <c r="K10188" s="18" t="s">
        <v>477</v>
      </c>
      <c r="N10188" s="17" t="str">
        <f>IFERROR(__xludf.DUMMYFUNCTION("""COMPUTED_VALUE"""),"")</f>
        <v/>
      </c>
      <c r="O10188" s="17"/>
    </row>
    <row r="10189">
      <c r="B10189" s="17" t="s">
        <v>477</v>
      </c>
      <c r="K10189" s="18" t="s">
        <v>477</v>
      </c>
      <c r="N10189" s="17" t="str">
        <f>IFERROR(__xludf.DUMMYFUNCTION("""COMPUTED_VALUE"""),"")</f>
        <v/>
      </c>
      <c r="O10189" s="17"/>
    </row>
    <row r="10190">
      <c r="B10190" s="17" t="s">
        <v>477</v>
      </c>
      <c r="K10190" s="18" t="s">
        <v>477</v>
      </c>
      <c r="N10190" s="17" t="str">
        <f>IFERROR(__xludf.DUMMYFUNCTION("""COMPUTED_VALUE"""),"")</f>
        <v/>
      </c>
      <c r="O10190" s="17"/>
    </row>
    <row r="10191">
      <c r="B10191" s="17" t="s">
        <v>477</v>
      </c>
      <c r="K10191" s="18" t="s">
        <v>477</v>
      </c>
      <c r="N10191" s="17" t="str">
        <f>IFERROR(__xludf.DUMMYFUNCTION("""COMPUTED_VALUE"""),"")</f>
        <v/>
      </c>
      <c r="O10191" s="17"/>
    </row>
    <row r="10192">
      <c r="B10192" s="17" t="s">
        <v>477</v>
      </c>
      <c r="K10192" s="18" t="s">
        <v>477</v>
      </c>
      <c r="N10192" s="17" t="str">
        <f>IFERROR(__xludf.DUMMYFUNCTION("""COMPUTED_VALUE"""),"")</f>
        <v/>
      </c>
      <c r="O10192" s="17"/>
    </row>
    <row r="10193">
      <c r="B10193" s="17" t="s">
        <v>477</v>
      </c>
      <c r="K10193" s="18" t="s">
        <v>477</v>
      </c>
      <c r="N10193" s="17" t="str">
        <f>IFERROR(__xludf.DUMMYFUNCTION("""COMPUTED_VALUE"""),"")</f>
        <v/>
      </c>
      <c r="O10193" s="17"/>
    </row>
    <row r="10194">
      <c r="B10194" s="17" t="s">
        <v>477</v>
      </c>
      <c r="K10194" s="18" t="s">
        <v>477</v>
      </c>
      <c r="N10194" s="17" t="str">
        <f>IFERROR(__xludf.DUMMYFUNCTION("""COMPUTED_VALUE"""),"")</f>
        <v/>
      </c>
      <c r="O10194" s="17"/>
    </row>
    <row r="10195">
      <c r="B10195" s="17" t="s">
        <v>477</v>
      </c>
      <c r="K10195" s="18" t="s">
        <v>477</v>
      </c>
      <c r="N10195" s="17" t="str">
        <f>IFERROR(__xludf.DUMMYFUNCTION("""COMPUTED_VALUE"""),"")</f>
        <v/>
      </c>
      <c r="O10195" s="17"/>
    </row>
    <row r="10196">
      <c r="B10196" s="17" t="s">
        <v>477</v>
      </c>
      <c r="K10196" s="18" t="s">
        <v>477</v>
      </c>
      <c r="N10196" s="17" t="str">
        <f>IFERROR(__xludf.DUMMYFUNCTION("""COMPUTED_VALUE"""),"")</f>
        <v/>
      </c>
      <c r="O10196" s="17"/>
    </row>
    <row r="10197">
      <c r="B10197" s="17" t="s">
        <v>477</v>
      </c>
      <c r="K10197" s="18" t="s">
        <v>477</v>
      </c>
      <c r="N10197" s="17" t="str">
        <f>IFERROR(__xludf.DUMMYFUNCTION("""COMPUTED_VALUE"""),"")</f>
        <v/>
      </c>
      <c r="O10197" s="17"/>
    </row>
    <row r="10198">
      <c r="B10198" s="17" t="s">
        <v>477</v>
      </c>
      <c r="K10198" s="18" t="s">
        <v>477</v>
      </c>
      <c r="N10198" s="17" t="str">
        <f>IFERROR(__xludf.DUMMYFUNCTION("""COMPUTED_VALUE"""),"")</f>
        <v/>
      </c>
      <c r="O10198" s="17"/>
    </row>
    <row r="10199">
      <c r="B10199" s="17" t="s">
        <v>477</v>
      </c>
      <c r="K10199" s="18" t="s">
        <v>477</v>
      </c>
      <c r="N10199" s="17" t="str">
        <f>IFERROR(__xludf.DUMMYFUNCTION("""COMPUTED_VALUE"""),"")</f>
        <v/>
      </c>
      <c r="O10199" s="17"/>
    </row>
    <row r="10200">
      <c r="B10200" s="17" t="s">
        <v>477</v>
      </c>
      <c r="K10200" s="18" t="s">
        <v>477</v>
      </c>
      <c r="N10200" s="17" t="str">
        <f>IFERROR(__xludf.DUMMYFUNCTION("""COMPUTED_VALUE"""),"")</f>
        <v/>
      </c>
      <c r="O10200" s="17"/>
    </row>
    <row r="10201">
      <c r="B10201" s="17" t="s">
        <v>477</v>
      </c>
      <c r="K10201" s="18" t="s">
        <v>477</v>
      </c>
      <c r="N10201" s="17" t="str">
        <f>IFERROR(__xludf.DUMMYFUNCTION("""COMPUTED_VALUE"""),"")</f>
        <v/>
      </c>
      <c r="O10201" s="17"/>
    </row>
    <row r="10202">
      <c r="B10202" s="17" t="s">
        <v>477</v>
      </c>
      <c r="K10202" s="18" t="s">
        <v>477</v>
      </c>
      <c r="N10202" s="17" t="str">
        <f>IFERROR(__xludf.DUMMYFUNCTION("""COMPUTED_VALUE"""),"")</f>
        <v/>
      </c>
      <c r="O10202" s="17"/>
    </row>
    <row r="10203">
      <c r="B10203" s="17" t="s">
        <v>477</v>
      </c>
      <c r="K10203" s="18" t="s">
        <v>477</v>
      </c>
      <c r="N10203" s="17" t="str">
        <f>IFERROR(__xludf.DUMMYFUNCTION("""COMPUTED_VALUE"""),"")</f>
        <v/>
      </c>
      <c r="O10203" s="17"/>
    </row>
    <row r="10204">
      <c r="B10204" s="17" t="s">
        <v>477</v>
      </c>
      <c r="K10204" s="18" t="s">
        <v>477</v>
      </c>
      <c r="N10204" s="17" t="str">
        <f>IFERROR(__xludf.DUMMYFUNCTION("""COMPUTED_VALUE"""),"")</f>
        <v/>
      </c>
      <c r="O10204" s="17"/>
    </row>
    <row r="10205">
      <c r="B10205" s="17" t="s">
        <v>477</v>
      </c>
      <c r="K10205" s="18" t="s">
        <v>477</v>
      </c>
      <c r="N10205" s="17" t="str">
        <f>IFERROR(__xludf.DUMMYFUNCTION("""COMPUTED_VALUE"""),"")</f>
        <v/>
      </c>
      <c r="O10205" s="17"/>
    </row>
    <row r="10206">
      <c r="B10206" s="17" t="s">
        <v>477</v>
      </c>
      <c r="K10206" s="18" t="s">
        <v>477</v>
      </c>
      <c r="N10206" s="17" t="str">
        <f>IFERROR(__xludf.DUMMYFUNCTION("""COMPUTED_VALUE"""),"")</f>
        <v/>
      </c>
      <c r="O10206" s="17"/>
    </row>
    <row r="10207">
      <c r="B10207" s="17" t="s">
        <v>477</v>
      </c>
      <c r="K10207" s="18" t="s">
        <v>477</v>
      </c>
      <c r="N10207" s="17" t="str">
        <f>IFERROR(__xludf.DUMMYFUNCTION("""COMPUTED_VALUE"""),"")</f>
        <v/>
      </c>
      <c r="O10207" s="17"/>
    </row>
    <row r="10208">
      <c r="B10208" s="17" t="s">
        <v>477</v>
      </c>
      <c r="K10208" s="18" t="s">
        <v>477</v>
      </c>
      <c r="N10208" s="17" t="str">
        <f>IFERROR(__xludf.DUMMYFUNCTION("""COMPUTED_VALUE"""),"")</f>
        <v/>
      </c>
      <c r="O10208" s="17"/>
    </row>
    <row r="10209">
      <c r="B10209" s="17" t="s">
        <v>477</v>
      </c>
      <c r="K10209" s="18" t="s">
        <v>477</v>
      </c>
      <c r="N10209" s="17" t="str">
        <f>IFERROR(__xludf.DUMMYFUNCTION("""COMPUTED_VALUE"""),"")</f>
        <v/>
      </c>
      <c r="O10209" s="17"/>
    </row>
    <row r="10210">
      <c r="B10210" s="17" t="s">
        <v>477</v>
      </c>
      <c r="K10210" s="18" t="s">
        <v>477</v>
      </c>
      <c r="N10210" s="17" t="str">
        <f>IFERROR(__xludf.DUMMYFUNCTION("""COMPUTED_VALUE"""),"")</f>
        <v/>
      </c>
      <c r="O10210" s="17"/>
    </row>
    <row r="10211">
      <c r="B10211" s="17" t="s">
        <v>477</v>
      </c>
      <c r="K10211" s="18" t="s">
        <v>477</v>
      </c>
      <c r="N10211" s="17" t="str">
        <f>IFERROR(__xludf.DUMMYFUNCTION("""COMPUTED_VALUE"""),"")</f>
        <v/>
      </c>
      <c r="O10211" s="17"/>
    </row>
    <row r="10212">
      <c r="B10212" s="17" t="s">
        <v>477</v>
      </c>
      <c r="K10212" s="18" t="s">
        <v>477</v>
      </c>
      <c r="N10212" s="17" t="str">
        <f>IFERROR(__xludf.DUMMYFUNCTION("""COMPUTED_VALUE"""),"")</f>
        <v/>
      </c>
      <c r="O10212" s="17"/>
    </row>
    <row r="10213">
      <c r="B10213" s="17" t="s">
        <v>477</v>
      </c>
      <c r="K10213" s="18" t="s">
        <v>477</v>
      </c>
      <c r="N10213" s="17" t="str">
        <f>IFERROR(__xludf.DUMMYFUNCTION("""COMPUTED_VALUE"""),"")</f>
        <v/>
      </c>
      <c r="O10213" s="17"/>
    </row>
    <row r="10214">
      <c r="B10214" s="17" t="s">
        <v>477</v>
      </c>
      <c r="K10214" s="18" t="s">
        <v>477</v>
      </c>
      <c r="N10214" s="17" t="str">
        <f>IFERROR(__xludf.DUMMYFUNCTION("""COMPUTED_VALUE"""),"")</f>
        <v/>
      </c>
      <c r="O10214" s="17"/>
    </row>
    <row r="10215">
      <c r="B10215" s="17" t="s">
        <v>477</v>
      </c>
      <c r="K10215" s="18" t="s">
        <v>477</v>
      </c>
      <c r="N10215" s="17" t="str">
        <f>IFERROR(__xludf.DUMMYFUNCTION("""COMPUTED_VALUE"""),"")</f>
        <v/>
      </c>
      <c r="O10215" s="17"/>
    </row>
    <row r="10216">
      <c r="B10216" s="17" t="s">
        <v>477</v>
      </c>
      <c r="K10216" s="18" t="s">
        <v>477</v>
      </c>
      <c r="N10216" s="17" t="str">
        <f>IFERROR(__xludf.DUMMYFUNCTION("""COMPUTED_VALUE"""),"")</f>
        <v/>
      </c>
      <c r="O10216" s="17"/>
    </row>
    <row r="10217">
      <c r="B10217" s="17" t="s">
        <v>477</v>
      </c>
      <c r="K10217" s="18" t="s">
        <v>477</v>
      </c>
      <c r="N10217" s="17" t="str">
        <f>IFERROR(__xludf.DUMMYFUNCTION("""COMPUTED_VALUE"""),"")</f>
        <v/>
      </c>
      <c r="O10217" s="17"/>
    </row>
    <row r="10218">
      <c r="B10218" s="17" t="s">
        <v>477</v>
      </c>
      <c r="K10218" s="18" t="s">
        <v>477</v>
      </c>
      <c r="N10218" s="17" t="str">
        <f>IFERROR(__xludf.DUMMYFUNCTION("""COMPUTED_VALUE"""),"")</f>
        <v/>
      </c>
      <c r="O10218" s="17"/>
    </row>
    <row r="10219">
      <c r="B10219" s="17" t="s">
        <v>477</v>
      </c>
      <c r="K10219" s="18" t="s">
        <v>477</v>
      </c>
      <c r="N10219" s="17" t="str">
        <f>IFERROR(__xludf.DUMMYFUNCTION("""COMPUTED_VALUE"""),"")</f>
        <v/>
      </c>
      <c r="O10219" s="17"/>
    </row>
    <row r="10220">
      <c r="B10220" s="17" t="s">
        <v>477</v>
      </c>
      <c r="K10220" s="18" t="s">
        <v>477</v>
      </c>
      <c r="N10220" s="17" t="str">
        <f>IFERROR(__xludf.DUMMYFUNCTION("""COMPUTED_VALUE"""),"")</f>
        <v/>
      </c>
      <c r="O10220" s="17"/>
    </row>
    <row r="10221">
      <c r="B10221" s="17" t="s">
        <v>477</v>
      </c>
      <c r="K10221" s="18" t="s">
        <v>477</v>
      </c>
      <c r="N10221" s="17" t="str">
        <f>IFERROR(__xludf.DUMMYFUNCTION("""COMPUTED_VALUE"""),"")</f>
        <v/>
      </c>
      <c r="O10221" s="17"/>
    </row>
    <row r="10222">
      <c r="B10222" s="17" t="s">
        <v>477</v>
      </c>
      <c r="K10222" s="18" t="s">
        <v>477</v>
      </c>
      <c r="N10222" s="17" t="str">
        <f>IFERROR(__xludf.DUMMYFUNCTION("""COMPUTED_VALUE"""),"")</f>
        <v/>
      </c>
      <c r="O10222" s="17"/>
    </row>
    <row r="10223">
      <c r="B10223" s="17" t="s">
        <v>477</v>
      </c>
      <c r="K10223" s="18" t="s">
        <v>477</v>
      </c>
      <c r="N10223" s="17" t="str">
        <f>IFERROR(__xludf.DUMMYFUNCTION("""COMPUTED_VALUE"""),"")</f>
        <v/>
      </c>
      <c r="O10223" s="17"/>
    </row>
    <row r="10224">
      <c r="B10224" s="17" t="s">
        <v>477</v>
      </c>
      <c r="K10224" s="18" t="s">
        <v>477</v>
      </c>
      <c r="N10224" s="17" t="str">
        <f>IFERROR(__xludf.DUMMYFUNCTION("""COMPUTED_VALUE"""),"")</f>
        <v/>
      </c>
      <c r="O10224" s="17"/>
    </row>
    <row r="10225">
      <c r="B10225" s="17" t="s">
        <v>477</v>
      </c>
      <c r="K10225" s="18" t="s">
        <v>477</v>
      </c>
      <c r="N10225" s="17" t="str">
        <f>IFERROR(__xludf.DUMMYFUNCTION("""COMPUTED_VALUE"""),"")</f>
        <v/>
      </c>
      <c r="O10225" s="17"/>
    </row>
    <row r="10226">
      <c r="B10226" s="17" t="s">
        <v>477</v>
      </c>
      <c r="K10226" s="18" t="s">
        <v>477</v>
      </c>
      <c r="N10226" s="17" t="str">
        <f>IFERROR(__xludf.DUMMYFUNCTION("""COMPUTED_VALUE"""),"")</f>
        <v/>
      </c>
      <c r="O10226" s="17"/>
    </row>
    <row r="10227">
      <c r="B10227" s="17" t="s">
        <v>477</v>
      </c>
      <c r="K10227" s="18" t="s">
        <v>477</v>
      </c>
      <c r="N10227" s="17" t="str">
        <f>IFERROR(__xludf.DUMMYFUNCTION("""COMPUTED_VALUE"""),"")</f>
        <v/>
      </c>
      <c r="O10227" s="17"/>
    </row>
    <row r="10228">
      <c r="B10228" s="17" t="s">
        <v>477</v>
      </c>
      <c r="K10228" s="18" t="s">
        <v>477</v>
      </c>
      <c r="N10228" s="17" t="str">
        <f>IFERROR(__xludf.DUMMYFUNCTION("""COMPUTED_VALUE"""),"")</f>
        <v/>
      </c>
      <c r="O10228" s="17"/>
    </row>
    <row r="10229">
      <c r="B10229" s="17" t="s">
        <v>477</v>
      </c>
      <c r="K10229" s="18" t="s">
        <v>477</v>
      </c>
      <c r="N10229" s="17" t="str">
        <f>IFERROR(__xludf.DUMMYFUNCTION("""COMPUTED_VALUE"""),"")</f>
        <v/>
      </c>
      <c r="O10229" s="17"/>
    </row>
    <row r="10230">
      <c r="B10230" s="17" t="s">
        <v>477</v>
      </c>
      <c r="K10230" s="18" t="s">
        <v>477</v>
      </c>
      <c r="N10230" s="17" t="str">
        <f>IFERROR(__xludf.DUMMYFUNCTION("""COMPUTED_VALUE"""),"")</f>
        <v/>
      </c>
      <c r="O10230" s="17"/>
    </row>
    <row r="10231">
      <c r="B10231" s="17" t="s">
        <v>477</v>
      </c>
      <c r="K10231" s="18" t="s">
        <v>477</v>
      </c>
      <c r="N10231" s="17" t="str">
        <f>IFERROR(__xludf.DUMMYFUNCTION("""COMPUTED_VALUE"""),"")</f>
        <v/>
      </c>
      <c r="O10231" s="17"/>
    </row>
    <row r="10232">
      <c r="B10232" s="17" t="s">
        <v>477</v>
      </c>
      <c r="K10232" s="18" t="s">
        <v>477</v>
      </c>
      <c r="N10232" s="17" t="str">
        <f>IFERROR(__xludf.DUMMYFUNCTION("""COMPUTED_VALUE"""),"")</f>
        <v/>
      </c>
      <c r="O10232" s="17"/>
    </row>
    <row r="10233">
      <c r="B10233" s="17" t="s">
        <v>477</v>
      </c>
      <c r="K10233" s="18" t="s">
        <v>477</v>
      </c>
      <c r="N10233" s="17" t="str">
        <f>IFERROR(__xludf.DUMMYFUNCTION("""COMPUTED_VALUE"""),"")</f>
        <v/>
      </c>
      <c r="O10233" s="17"/>
    </row>
    <row r="10234">
      <c r="B10234" s="17" t="s">
        <v>477</v>
      </c>
      <c r="K10234" s="18" t="s">
        <v>477</v>
      </c>
      <c r="N10234" s="17" t="str">
        <f>IFERROR(__xludf.DUMMYFUNCTION("""COMPUTED_VALUE"""),"")</f>
        <v/>
      </c>
      <c r="O10234" s="17"/>
    </row>
    <row r="10235">
      <c r="B10235" s="17" t="s">
        <v>477</v>
      </c>
      <c r="K10235" s="18" t="s">
        <v>477</v>
      </c>
      <c r="N10235" s="17" t="str">
        <f>IFERROR(__xludf.DUMMYFUNCTION("""COMPUTED_VALUE"""),"")</f>
        <v/>
      </c>
      <c r="O10235" s="17"/>
    </row>
    <row r="10236">
      <c r="B10236" s="17" t="s">
        <v>477</v>
      </c>
      <c r="K10236" s="18" t="s">
        <v>477</v>
      </c>
      <c r="N10236" s="17" t="str">
        <f>IFERROR(__xludf.DUMMYFUNCTION("""COMPUTED_VALUE"""),"")</f>
        <v/>
      </c>
      <c r="O10236" s="17"/>
    </row>
    <row r="10237">
      <c r="B10237" s="17" t="s">
        <v>477</v>
      </c>
      <c r="K10237" s="18" t="s">
        <v>477</v>
      </c>
      <c r="N10237" s="17" t="str">
        <f>IFERROR(__xludf.DUMMYFUNCTION("""COMPUTED_VALUE"""),"")</f>
        <v/>
      </c>
      <c r="O10237" s="17"/>
    </row>
    <row r="10238">
      <c r="B10238" s="17" t="s">
        <v>477</v>
      </c>
      <c r="K10238" s="18" t="s">
        <v>477</v>
      </c>
      <c r="N10238" s="17" t="str">
        <f>IFERROR(__xludf.DUMMYFUNCTION("""COMPUTED_VALUE"""),"")</f>
        <v/>
      </c>
      <c r="O10238" s="17"/>
    </row>
    <row r="10239">
      <c r="B10239" s="17" t="s">
        <v>477</v>
      </c>
      <c r="K10239" s="18" t="s">
        <v>477</v>
      </c>
      <c r="N10239" s="17" t="str">
        <f>IFERROR(__xludf.DUMMYFUNCTION("""COMPUTED_VALUE"""),"")</f>
        <v/>
      </c>
      <c r="O10239" s="17"/>
    </row>
    <row r="10240">
      <c r="B10240" s="17" t="s">
        <v>477</v>
      </c>
      <c r="K10240" s="18" t="s">
        <v>477</v>
      </c>
      <c r="N10240" s="17" t="str">
        <f>IFERROR(__xludf.DUMMYFUNCTION("""COMPUTED_VALUE"""),"")</f>
        <v/>
      </c>
      <c r="O10240" s="17"/>
    </row>
    <row r="10241">
      <c r="B10241" s="17" t="s">
        <v>477</v>
      </c>
      <c r="K10241" s="18" t="s">
        <v>477</v>
      </c>
      <c r="N10241" s="17" t="str">
        <f>IFERROR(__xludf.DUMMYFUNCTION("""COMPUTED_VALUE"""),"")</f>
        <v/>
      </c>
      <c r="O10241" s="17"/>
    </row>
    <row r="10242">
      <c r="B10242" s="17" t="s">
        <v>477</v>
      </c>
      <c r="K10242" s="18" t="s">
        <v>477</v>
      </c>
      <c r="N10242" s="17" t="str">
        <f>IFERROR(__xludf.DUMMYFUNCTION("""COMPUTED_VALUE"""),"")</f>
        <v/>
      </c>
      <c r="O10242" s="17"/>
    </row>
    <row r="10243">
      <c r="B10243" s="17" t="s">
        <v>477</v>
      </c>
      <c r="K10243" s="18" t="s">
        <v>477</v>
      </c>
      <c r="N10243" s="17" t="str">
        <f>IFERROR(__xludf.DUMMYFUNCTION("""COMPUTED_VALUE"""),"")</f>
        <v/>
      </c>
      <c r="O10243" s="17"/>
    </row>
    <row r="10244">
      <c r="B10244" s="17" t="s">
        <v>477</v>
      </c>
      <c r="K10244" s="18" t="s">
        <v>477</v>
      </c>
      <c r="N10244" s="17" t="str">
        <f>IFERROR(__xludf.DUMMYFUNCTION("""COMPUTED_VALUE"""),"")</f>
        <v/>
      </c>
      <c r="O10244" s="17"/>
    </row>
    <row r="10245">
      <c r="B10245" s="17" t="s">
        <v>477</v>
      </c>
      <c r="K10245" s="18" t="s">
        <v>477</v>
      </c>
      <c r="N10245" s="17" t="str">
        <f>IFERROR(__xludf.DUMMYFUNCTION("""COMPUTED_VALUE"""),"")</f>
        <v/>
      </c>
      <c r="O10245" s="17"/>
    </row>
    <row r="10246">
      <c r="B10246" s="17" t="s">
        <v>477</v>
      </c>
      <c r="K10246" s="18" t="s">
        <v>477</v>
      </c>
      <c r="N10246" s="17" t="str">
        <f>IFERROR(__xludf.DUMMYFUNCTION("""COMPUTED_VALUE"""),"")</f>
        <v/>
      </c>
      <c r="O10246" s="17"/>
    </row>
    <row r="10247">
      <c r="B10247" s="17" t="s">
        <v>477</v>
      </c>
      <c r="K10247" s="18" t="s">
        <v>477</v>
      </c>
      <c r="N10247" s="17" t="str">
        <f>IFERROR(__xludf.DUMMYFUNCTION("""COMPUTED_VALUE"""),"")</f>
        <v/>
      </c>
      <c r="O10247" s="17"/>
    </row>
    <row r="10248">
      <c r="B10248" s="17" t="s">
        <v>477</v>
      </c>
      <c r="K10248" s="18" t="s">
        <v>477</v>
      </c>
      <c r="N10248" s="17" t="str">
        <f>IFERROR(__xludf.DUMMYFUNCTION("""COMPUTED_VALUE"""),"")</f>
        <v/>
      </c>
      <c r="O10248" s="17"/>
    </row>
    <row r="10249">
      <c r="B10249" s="17" t="s">
        <v>477</v>
      </c>
      <c r="K10249" s="18" t="s">
        <v>477</v>
      </c>
      <c r="N10249" s="17" t="str">
        <f>IFERROR(__xludf.DUMMYFUNCTION("""COMPUTED_VALUE"""),"")</f>
        <v/>
      </c>
      <c r="O10249" s="17"/>
    </row>
    <row r="10250">
      <c r="B10250" s="17" t="s">
        <v>477</v>
      </c>
      <c r="K10250" s="18" t="s">
        <v>477</v>
      </c>
      <c r="N10250" s="17" t="str">
        <f>IFERROR(__xludf.DUMMYFUNCTION("""COMPUTED_VALUE"""),"")</f>
        <v/>
      </c>
      <c r="O10250" s="17"/>
    </row>
    <row r="10251">
      <c r="B10251" s="17" t="s">
        <v>477</v>
      </c>
      <c r="K10251" s="18" t="s">
        <v>477</v>
      </c>
      <c r="N10251" s="17" t="str">
        <f>IFERROR(__xludf.DUMMYFUNCTION("""COMPUTED_VALUE"""),"")</f>
        <v/>
      </c>
      <c r="O10251" s="17"/>
    </row>
    <row r="10252">
      <c r="B10252" s="17" t="s">
        <v>477</v>
      </c>
      <c r="K10252" s="18" t="s">
        <v>477</v>
      </c>
      <c r="N10252" s="17" t="str">
        <f>IFERROR(__xludf.DUMMYFUNCTION("""COMPUTED_VALUE"""),"")</f>
        <v/>
      </c>
      <c r="O10252" s="17"/>
    </row>
    <row r="10253">
      <c r="B10253" s="17" t="s">
        <v>477</v>
      </c>
      <c r="K10253" s="18" t="s">
        <v>477</v>
      </c>
      <c r="N10253" s="17" t="str">
        <f>IFERROR(__xludf.DUMMYFUNCTION("""COMPUTED_VALUE"""),"")</f>
        <v/>
      </c>
      <c r="O10253" s="17"/>
    </row>
    <row r="10254">
      <c r="B10254" s="17" t="s">
        <v>477</v>
      </c>
      <c r="K10254" s="18" t="s">
        <v>477</v>
      </c>
      <c r="N10254" s="17" t="str">
        <f>IFERROR(__xludf.DUMMYFUNCTION("""COMPUTED_VALUE"""),"")</f>
        <v/>
      </c>
      <c r="O10254" s="17"/>
    </row>
    <row r="10255">
      <c r="B10255" s="17" t="s">
        <v>477</v>
      </c>
      <c r="K10255" s="18" t="s">
        <v>477</v>
      </c>
      <c r="N10255" s="17" t="str">
        <f>IFERROR(__xludf.DUMMYFUNCTION("""COMPUTED_VALUE"""),"")</f>
        <v/>
      </c>
      <c r="O10255" s="17"/>
    </row>
    <row r="10256">
      <c r="B10256" s="17" t="s">
        <v>477</v>
      </c>
      <c r="K10256" s="18" t="s">
        <v>477</v>
      </c>
      <c r="N10256" s="17" t="str">
        <f>IFERROR(__xludf.DUMMYFUNCTION("""COMPUTED_VALUE"""),"")</f>
        <v/>
      </c>
      <c r="O10256" s="17"/>
    </row>
    <row r="10257">
      <c r="B10257" s="17" t="s">
        <v>477</v>
      </c>
      <c r="K10257" s="18" t="s">
        <v>477</v>
      </c>
      <c r="N10257" s="17" t="str">
        <f>IFERROR(__xludf.DUMMYFUNCTION("""COMPUTED_VALUE"""),"")</f>
        <v/>
      </c>
      <c r="O10257" s="17"/>
    </row>
    <row r="10258">
      <c r="B10258" s="17" t="s">
        <v>477</v>
      </c>
      <c r="K10258" s="18" t="s">
        <v>477</v>
      </c>
      <c r="N10258" s="17" t="str">
        <f>IFERROR(__xludf.DUMMYFUNCTION("""COMPUTED_VALUE"""),"")</f>
        <v/>
      </c>
      <c r="O10258" s="17"/>
    </row>
    <row r="10259">
      <c r="B10259" s="17" t="s">
        <v>477</v>
      </c>
      <c r="K10259" s="18" t="s">
        <v>477</v>
      </c>
      <c r="N10259" s="17" t="str">
        <f>IFERROR(__xludf.DUMMYFUNCTION("""COMPUTED_VALUE"""),"")</f>
        <v/>
      </c>
      <c r="O10259" s="17"/>
    </row>
    <row r="10260">
      <c r="B10260" s="17" t="s">
        <v>477</v>
      </c>
      <c r="K10260" s="18" t="s">
        <v>477</v>
      </c>
      <c r="N10260" s="17" t="str">
        <f>IFERROR(__xludf.DUMMYFUNCTION("""COMPUTED_VALUE"""),"")</f>
        <v/>
      </c>
      <c r="O10260" s="17"/>
    </row>
    <row r="10261">
      <c r="B10261" s="17" t="s">
        <v>477</v>
      </c>
      <c r="K10261" s="18" t="s">
        <v>477</v>
      </c>
      <c r="N10261" s="17" t="str">
        <f>IFERROR(__xludf.DUMMYFUNCTION("""COMPUTED_VALUE"""),"")</f>
        <v/>
      </c>
      <c r="O10261" s="17"/>
    </row>
    <row r="10262">
      <c r="B10262" s="17" t="s">
        <v>477</v>
      </c>
      <c r="K10262" s="18" t="s">
        <v>477</v>
      </c>
      <c r="N10262" s="17" t="str">
        <f>IFERROR(__xludf.DUMMYFUNCTION("""COMPUTED_VALUE"""),"")</f>
        <v/>
      </c>
      <c r="O10262" s="17"/>
    </row>
    <row r="10263">
      <c r="B10263" s="17" t="s">
        <v>477</v>
      </c>
      <c r="K10263" s="18" t="s">
        <v>477</v>
      </c>
      <c r="N10263" s="17" t="str">
        <f>IFERROR(__xludf.DUMMYFUNCTION("""COMPUTED_VALUE"""),"")</f>
        <v/>
      </c>
      <c r="O10263" s="17"/>
    </row>
    <row r="10264">
      <c r="B10264" s="17" t="s">
        <v>477</v>
      </c>
      <c r="K10264" s="18" t="s">
        <v>477</v>
      </c>
      <c r="N10264" s="17" t="str">
        <f>IFERROR(__xludf.DUMMYFUNCTION("""COMPUTED_VALUE"""),"")</f>
        <v/>
      </c>
      <c r="O10264" s="17"/>
    </row>
    <row r="10265">
      <c r="B10265" s="17" t="s">
        <v>477</v>
      </c>
      <c r="K10265" s="18" t="s">
        <v>477</v>
      </c>
      <c r="N10265" s="17" t="str">
        <f>IFERROR(__xludf.DUMMYFUNCTION("""COMPUTED_VALUE"""),"")</f>
        <v/>
      </c>
      <c r="O10265" s="17"/>
    </row>
    <row r="10266">
      <c r="B10266" s="17" t="s">
        <v>477</v>
      </c>
      <c r="K10266" s="18" t="s">
        <v>477</v>
      </c>
      <c r="N10266" s="17" t="str">
        <f>IFERROR(__xludf.DUMMYFUNCTION("""COMPUTED_VALUE"""),"")</f>
        <v/>
      </c>
      <c r="O10266" s="17"/>
    </row>
    <row r="10267">
      <c r="B10267" s="17" t="s">
        <v>477</v>
      </c>
      <c r="K10267" s="18" t="s">
        <v>477</v>
      </c>
      <c r="N10267" s="17" t="str">
        <f>IFERROR(__xludf.DUMMYFUNCTION("""COMPUTED_VALUE"""),"")</f>
        <v/>
      </c>
      <c r="O10267" s="17"/>
    </row>
    <row r="10268">
      <c r="B10268" s="17" t="s">
        <v>477</v>
      </c>
      <c r="K10268" s="18" t="s">
        <v>477</v>
      </c>
      <c r="N10268" s="17" t="str">
        <f>IFERROR(__xludf.DUMMYFUNCTION("""COMPUTED_VALUE"""),"")</f>
        <v/>
      </c>
      <c r="O10268" s="17"/>
    </row>
    <row r="10269">
      <c r="B10269" s="17" t="s">
        <v>477</v>
      </c>
      <c r="K10269" s="18" t="s">
        <v>477</v>
      </c>
      <c r="N10269" s="17" t="str">
        <f>IFERROR(__xludf.DUMMYFUNCTION("""COMPUTED_VALUE"""),"")</f>
        <v/>
      </c>
      <c r="O10269" s="17"/>
    </row>
    <row r="10270">
      <c r="B10270" s="17" t="s">
        <v>477</v>
      </c>
      <c r="K10270" s="18" t="s">
        <v>477</v>
      </c>
      <c r="N10270" s="17" t="str">
        <f>IFERROR(__xludf.DUMMYFUNCTION("""COMPUTED_VALUE"""),"")</f>
        <v/>
      </c>
      <c r="O10270" s="17"/>
    </row>
    <row r="10271">
      <c r="B10271" s="17" t="s">
        <v>477</v>
      </c>
      <c r="K10271" s="18" t="s">
        <v>477</v>
      </c>
      <c r="N10271" s="17" t="str">
        <f>IFERROR(__xludf.DUMMYFUNCTION("""COMPUTED_VALUE"""),"")</f>
        <v/>
      </c>
      <c r="O10271" s="17"/>
    </row>
    <row r="10272">
      <c r="B10272" s="17" t="s">
        <v>477</v>
      </c>
      <c r="K10272" s="18" t="s">
        <v>477</v>
      </c>
      <c r="N10272" s="17" t="str">
        <f>IFERROR(__xludf.DUMMYFUNCTION("""COMPUTED_VALUE"""),"")</f>
        <v/>
      </c>
      <c r="O10272" s="17"/>
    </row>
    <row r="10273">
      <c r="B10273" s="17" t="s">
        <v>477</v>
      </c>
      <c r="K10273" s="18" t="s">
        <v>477</v>
      </c>
      <c r="N10273" s="17" t="str">
        <f>IFERROR(__xludf.DUMMYFUNCTION("""COMPUTED_VALUE"""),"")</f>
        <v/>
      </c>
      <c r="O10273" s="17"/>
    </row>
    <row r="10274">
      <c r="B10274" s="17" t="s">
        <v>477</v>
      </c>
      <c r="K10274" s="18" t="s">
        <v>477</v>
      </c>
      <c r="N10274" s="17" t="str">
        <f>IFERROR(__xludf.DUMMYFUNCTION("""COMPUTED_VALUE"""),"")</f>
        <v/>
      </c>
      <c r="O10274" s="17"/>
    </row>
    <row r="10275">
      <c r="B10275" s="17" t="s">
        <v>477</v>
      </c>
      <c r="K10275" s="18" t="s">
        <v>477</v>
      </c>
      <c r="N10275" s="17" t="str">
        <f>IFERROR(__xludf.DUMMYFUNCTION("""COMPUTED_VALUE"""),"")</f>
        <v/>
      </c>
      <c r="O10275" s="17"/>
    </row>
    <row r="10276">
      <c r="B10276" s="17" t="s">
        <v>477</v>
      </c>
      <c r="K10276" s="18" t="s">
        <v>477</v>
      </c>
      <c r="N10276" s="17" t="str">
        <f>IFERROR(__xludf.DUMMYFUNCTION("""COMPUTED_VALUE"""),"")</f>
        <v/>
      </c>
      <c r="O10276" s="17"/>
    </row>
    <row r="10277">
      <c r="B10277" s="17" t="s">
        <v>477</v>
      </c>
      <c r="K10277" s="18" t="s">
        <v>477</v>
      </c>
      <c r="N10277" s="17" t="str">
        <f>IFERROR(__xludf.DUMMYFUNCTION("""COMPUTED_VALUE"""),"")</f>
        <v/>
      </c>
      <c r="O10277" s="17"/>
    </row>
    <row r="10278">
      <c r="B10278" s="17" t="s">
        <v>477</v>
      </c>
      <c r="K10278" s="18" t="s">
        <v>477</v>
      </c>
      <c r="N10278" s="17" t="str">
        <f>IFERROR(__xludf.DUMMYFUNCTION("""COMPUTED_VALUE"""),"")</f>
        <v/>
      </c>
      <c r="O10278" s="17"/>
    </row>
    <row r="10279">
      <c r="B10279" s="17" t="s">
        <v>477</v>
      </c>
      <c r="K10279" s="18" t="s">
        <v>477</v>
      </c>
      <c r="N10279" s="17" t="str">
        <f>IFERROR(__xludf.DUMMYFUNCTION("""COMPUTED_VALUE"""),"")</f>
        <v/>
      </c>
      <c r="O10279" s="17"/>
    </row>
    <row r="10280">
      <c r="B10280" s="17" t="s">
        <v>477</v>
      </c>
      <c r="K10280" s="18" t="s">
        <v>477</v>
      </c>
      <c r="N10280" s="17" t="str">
        <f>IFERROR(__xludf.DUMMYFUNCTION("""COMPUTED_VALUE"""),"")</f>
        <v/>
      </c>
      <c r="O10280" s="17"/>
    </row>
    <row r="10281">
      <c r="B10281" s="17" t="s">
        <v>477</v>
      </c>
      <c r="K10281" s="18" t="s">
        <v>477</v>
      </c>
      <c r="N10281" s="17" t="str">
        <f>IFERROR(__xludf.DUMMYFUNCTION("""COMPUTED_VALUE"""),"")</f>
        <v/>
      </c>
      <c r="O10281" s="17"/>
    </row>
    <row r="10282">
      <c r="B10282" s="17" t="s">
        <v>477</v>
      </c>
      <c r="K10282" s="18" t="s">
        <v>477</v>
      </c>
      <c r="N10282" s="17" t="str">
        <f>IFERROR(__xludf.DUMMYFUNCTION("""COMPUTED_VALUE"""),"")</f>
        <v/>
      </c>
      <c r="O10282" s="17"/>
    </row>
    <row r="10283">
      <c r="B10283" s="17" t="s">
        <v>477</v>
      </c>
      <c r="K10283" s="18" t="s">
        <v>477</v>
      </c>
      <c r="N10283" s="17" t="str">
        <f>IFERROR(__xludf.DUMMYFUNCTION("""COMPUTED_VALUE"""),"")</f>
        <v/>
      </c>
      <c r="O10283" s="17"/>
    </row>
    <row r="10284">
      <c r="B10284" s="17" t="s">
        <v>477</v>
      </c>
      <c r="K10284" s="18" t="s">
        <v>477</v>
      </c>
      <c r="N10284" s="17" t="str">
        <f>IFERROR(__xludf.DUMMYFUNCTION("""COMPUTED_VALUE"""),"")</f>
        <v/>
      </c>
      <c r="O10284" s="17"/>
    </row>
    <row r="10285">
      <c r="B10285" s="17" t="s">
        <v>477</v>
      </c>
      <c r="K10285" s="18" t="s">
        <v>477</v>
      </c>
      <c r="N10285" s="17" t="str">
        <f>IFERROR(__xludf.DUMMYFUNCTION("""COMPUTED_VALUE"""),"")</f>
        <v/>
      </c>
      <c r="O10285" s="17"/>
    </row>
    <row r="10286">
      <c r="B10286" s="17" t="s">
        <v>477</v>
      </c>
      <c r="K10286" s="18" t="s">
        <v>477</v>
      </c>
      <c r="N10286" s="17" t="str">
        <f>IFERROR(__xludf.DUMMYFUNCTION("""COMPUTED_VALUE"""),"")</f>
        <v/>
      </c>
      <c r="O10286" s="17"/>
    </row>
    <row r="10287">
      <c r="B10287" s="17" t="s">
        <v>477</v>
      </c>
      <c r="K10287" s="18" t="s">
        <v>477</v>
      </c>
      <c r="N10287" s="17" t="str">
        <f>IFERROR(__xludf.DUMMYFUNCTION("""COMPUTED_VALUE"""),"")</f>
        <v/>
      </c>
      <c r="O10287" s="17"/>
    </row>
    <row r="10288">
      <c r="B10288" s="17" t="s">
        <v>477</v>
      </c>
      <c r="K10288" s="18" t="s">
        <v>477</v>
      </c>
      <c r="N10288" s="17" t="str">
        <f>IFERROR(__xludf.DUMMYFUNCTION("""COMPUTED_VALUE"""),"")</f>
        <v/>
      </c>
      <c r="O10288" s="17"/>
    </row>
    <row r="10289">
      <c r="B10289" s="17" t="s">
        <v>477</v>
      </c>
      <c r="K10289" s="18" t="s">
        <v>477</v>
      </c>
      <c r="N10289" s="17" t="str">
        <f>IFERROR(__xludf.DUMMYFUNCTION("""COMPUTED_VALUE"""),"")</f>
        <v/>
      </c>
      <c r="O10289" s="17"/>
    </row>
    <row r="10290">
      <c r="B10290" s="17" t="s">
        <v>477</v>
      </c>
      <c r="K10290" s="18" t="s">
        <v>477</v>
      </c>
      <c r="N10290" s="17" t="str">
        <f>IFERROR(__xludf.DUMMYFUNCTION("""COMPUTED_VALUE"""),"")</f>
        <v/>
      </c>
      <c r="O10290" s="17"/>
    </row>
    <row r="10291">
      <c r="B10291" s="17" t="s">
        <v>477</v>
      </c>
      <c r="K10291" s="18" t="s">
        <v>477</v>
      </c>
      <c r="N10291" s="17" t="str">
        <f>IFERROR(__xludf.DUMMYFUNCTION("""COMPUTED_VALUE"""),"")</f>
        <v/>
      </c>
      <c r="O10291" s="17"/>
    </row>
    <row r="10292">
      <c r="B10292" s="17" t="s">
        <v>477</v>
      </c>
      <c r="K10292" s="18" t="s">
        <v>477</v>
      </c>
      <c r="N10292" s="17" t="str">
        <f>IFERROR(__xludf.DUMMYFUNCTION("""COMPUTED_VALUE"""),"")</f>
        <v/>
      </c>
      <c r="O10292" s="17"/>
    </row>
    <row r="10293">
      <c r="B10293" s="17" t="s">
        <v>477</v>
      </c>
      <c r="K10293" s="18" t="s">
        <v>477</v>
      </c>
      <c r="N10293" s="17" t="str">
        <f>IFERROR(__xludf.DUMMYFUNCTION("""COMPUTED_VALUE"""),"")</f>
        <v/>
      </c>
      <c r="O10293" s="17"/>
    </row>
    <row r="10294">
      <c r="B10294" s="17" t="s">
        <v>477</v>
      </c>
      <c r="K10294" s="18" t="s">
        <v>477</v>
      </c>
      <c r="N10294" s="17" t="str">
        <f>IFERROR(__xludf.DUMMYFUNCTION("""COMPUTED_VALUE"""),"")</f>
        <v/>
      </c>
      <c r="O10294" s="17"/>
    </row>
    <row r="10295">
      <c r="B10295" s="17" t="s">
        <v>477</v>
      </c>
      <c r="K10295" s="18" t="s">
        <v>477</v>
      </c>
      <c r="N10295" s="17" t="str">
        <f>IFERROR(__xludf.DUMMYFUNCTION("""COMPUTED_VALUE"""),"")</f>
        <v/>
      </c>
      <c r="O10295" s="17"/>
    </row>
    <row r="10296">
      <c r="B10296" s="17" t="s">
        <v>477</v>
      </c>
      <c r="K10296" s="18" t="s">
        <v>477</v>
      </c>
      <c r="N10296" s="17" t="str">
        <f>IFERROR(__xludf.DUMMYFUNCTION("""COMPUTED_VALUE"""),"")</f>
        <v/>
      </c>
      <c r="O10296" s="17"/>
    </row>
    <row r="10297">
      <c r="B10297" s="17" t="s">
        <v>477</v>
      </c>
      <c r="K10297" s="18" t="s">
        <v>477</v>
      </c>
      <c r="N10297" s="17" t="str">
        <f>IFERROR(__xludf.DUMMYFUNCTION("""COMPUTED_VALUE"""),"")</f>
        <v/>
      </c>
      <c r="O10297" s="17"/>
    </row>
    <row r="10298">
      <c r="B10298" s="17" t="s">
        <v>477</v>
      </c>
      <c r="K10298" s="18" t="s">
        <v>477</v>
      </c>
      <c r="N10298" s="17" t="str">
        <f>IFERROR(__xludf.DUMMYFUNCTION("""COMPUTED_VALUE"""),"")</f>
        <v/>
      </c>
      <c r="O10298" s="17"/>
    </row>
    <row r="10299">
      <c r="B10299" s="17" t="s">
        <v>477</v>
      </c>
      <c r="K10299" s="18" t="s">
        <v>477</v>
      </c>
      <c r="N10299" s="17" t="str">
        <f>IFERROR(__xludf.DUMMYFUNCTION("""COMPUTED_VALUE"""),"")</f>
        <v/>
      </c>
      <c r="O10299" s="17"/>
    </row>
    <row r="10300">
      <c r="B10300" s="17" t="s">
        <v>477</v>
      </c>
      <c r="K10300" s="18" t="s">
        <v>477</v>
      </c>
      <c r="N10300" s="17" t="str">
        <f>IFERROR(__xludf.DUMMYFUNCTION("""COMPUTED_VALUE"""),"")</f>
        <v/>
      </c>
      <c r="O10300" s="17"/>
    </row>
    <row r="10301">
      <c r="B10301" s="17" t="s">
        <v>477</v>
      </c>
      <c r="K10301" s="18" t="s">
        <v>477</v>
      </c>
      <c r="N10301" s="17" t="str">
        <f>IFERROR(__xludf.DUMMYFUNCTION("""COMPUTED_VALUE"""),"")</f>
        <v/>
      </c>
      <c r="O10301" s="17"/>
    </row>
    <row r="10302">
      <c r="B10302" s="17" t="s">
        <v>477</v>
      </c>
      <c r="K10302" s="18" t="s">
        <v>477</v>
      </c>
      <c r="N10302" s="17" t="str">
        <f>IFERROR(__xludf.DUMMYFUNCTION("""COMPUTED_VALUE"""),"")</f>
        <v/>
      </c>
      <c r="O10302" s="17"/>
    </row>
    <row r="10303">
      <c r="B10303" s="17" t="s">
        <v>477</v>
      </c>
      <c r="K10303" s="18" t="s">
        <v>477</v>
      </c>
      <c r="N10303" s="17" t="str">
        <f>IFERROR(__xludf.DUMMYFUNCTION("""COMPUTED_VALUE"""),"")</f>
        <v/>
      </c>
      <c r="O10303" s="17"/>
    </row>
    <row r="10304">
      <c r="B10304" s="17" t="s">
        <v>477</v>
      </c>
      <c r="K10304" s="18" t="s">
        <v>477</v>
      </c>
      <c r="N10304" s="17" t="str">
        <f>IFERROR(__xludf.DUMMYFUNCTION("""COMPUTED_VALUE"""),"")</f>
        <v/>
      </c>
      <c r="O10304" s="17"/>
    </row>
    <row r="10305">
      <c r="B10305" s="17" t="s">
        <v>477</v>
      </c>
      <c r="K10305" s="18" t="s">
        <v>477</v>
      </c>
      <c r="N10305" s="17" t="str">
        <f>IFERROR(__xludf.DUMMYFUNCTION("""COMPUTED_VALUE"""),"")</f>
        <v/>
      </c>
      <c r="O10305" s="17"/>
    </row>
    <row r="10306">
      <c r="B10306" s="17" t="s">
        <v>477</v>
      </c>
      <c r="K10306" s="18" t="s">
        <v>477</v>
      </c>
      <c r="N10306" s="17" t="str">
        <f>IFERROR(__xludf.DUMMYFUNCTION("""COMPUTED_VALUE"""),"")</f>
        <v/>
      </c>
      <c r="O10306" s="17"/>
    </row>
    <row r="10307">
      <c r="B10307" s="17" t="s">
        <v>477</v>
      </c>
      <c r="K10307" s="18" t="s">
        <v>477</v>
      </c>
      <c r="N10307" s="17" t="str">
        <f>IFERROR(__xludf.DUMMYFUNCTION("""COMPUTED_VALUE"""),"")</f>
        <v/>
      </c>
      <c r="O10307" s="17"/>
    </row>
    <row r="10308">
      <c r="B10308" s="17" t="s">
        <v>477</v>
      </c>
      <c r="K10308" s="18" t="s">
        <v>477</v>
      </c>
      <c r="N10308" s="17" t="str">
        <f>IFERROR(__xludf.DUMMYFUNCTION("""COMPUTED_VALUE"""),"")</f>
        <v/>
      </c>
      <c r="O10308" s="17"/>
    </row>
    <row r="10309">
      <c r="B10309" s="17" t="s">
        <v>477</v>
      </c>
      <c r="K10309" s="18" t="s">
        <v>477</v>
      </c>
      <c r="N10309" s="17" t="str">
        <f>IFERROR(__xludf.DUMMYFUNCTION("""COMPUTED_VALUE"""),"")</f>
        <v/>
      </c>
      <c r="O10309" s="17"/>
    </row>
    <row r="10310">
      <c r="B10310" s="17" t="s">
        <v>477</v>
      </c>
      <c r="K10310" s="18" t="s">
        <v>477</v>
      </c>
      <c r="N10310" s="17" t="str">
        <f>IFERROR(__xludf.DUMMYFUNCTION("""COMPUTED_VALUE"""),"")</f>
        <v/>
      </c>
      <c r="O10310" s="17"/>
    </row>
    <row r="10311">
      <c r="B10311" s="17" t="s">
        <v>477</v>
      </c>
      <c r="K10311" s="18" t="s">
        <v>477</v>
      </c>
      <c r="N10311" s="17" t="str">
        <f>IFERROR(__xludf.DUMMYFUNCTION("""COMPUTED_VALUE"""),"")</f>
        <v/>
      </c>
      <c r="O10311" s="17"/>
    </row>
    <row r="10312">
      <c r="B10312" s="17" t="s">
        <v>477</v>
      </c>
      <c r="K10312" s="18" t="s">
        <v>477</v>
      </c>
      <c r="N10312" s="17" t="str">
        <f>IFERROR(__xludf.DUMMYFUNCTION("""COMPUTED_VALUE"""),"")</f>
        <v/>
      </c>
      <c r="O10312" s="17"/>
    </row>
    <row r="10313">
      <c r="B10313" s="17" t="s">
        <v>477</v>
      </c>
      <c r="K10313" s="18" t="s">
        <v>477</v>
      </c>
      <c r="N10313" s="17" t="str">
        <f>IFERROR(__xludf.DUMMYFUNCTION("""COMPUTED_VALUE"""),"")</f>
        <v/>
      </c>
      <c r="O10313" s="17"/>
    </row>
    <row r="10314">
      <c r="B10314" s="17" t="s">
        <v>477</v>
      </c>
      <c r="K10314" s="18" t="s">
        <v>477</v>
      </c>
      <c r="N10314" s="17" t="str">
        <f>IFERROR(__xludf.DUMMYFUNCTION("""COMPUTED_VALUE"""),"")</f>
        <v/>
      </c>
      <c r="O10314" s="17"/>
    </row>
    <row r="10315">
      <c r="B10315" s="17" t="s">
        <v>477</v>
      </c>
      <c r="K10315" s="18" t="s">
        <v>477</v>
      </c>
      <c r="N10315" s="17" t="str">
        <f>IFERROR(__xludf.DUMMYFUNCTION("""COMPUTED_VALUE"""),"")</f>
        <v/>
      </c>
      <c r="O10315" s="17"/>
    </row>
    <row r="10316">
      <c r="B10316" s="17" t="s">
        <v>477</v>
      </c>
      <c r="K10316" s="18" t="s">
        <v>477</v>
      </c>
      <c r="N10316" s="17" t="str">
        <f>IFERROR(__xludf.DUMMYFUNCTION("""COMPUTED_VALUE"""),"")</f>
        <v/>
      </c>
      <c r="O10316" s="17"/>
    </row>
    <row r="10317">
      <c r="B10317" s="17" t="s">
        <v>477</v>
      </c>
      <c r="K10317" s="18" t="s">
        <v>477</v>
      </c>
      <c r="N10317" s="17" t="str">
        <f>IFERROR(__xludf.DUMMYFUNCTION("""COMPUTED_VALUE"""),"")</f>
        <v/>
      </c>
      <c r="O10317" s="17"/>
    </row>
    <row r="10318">
      <c r="B10318" s="17" t="s">
        <v>477</v>
      </c>
      <c r="K10318" s="18" t="s">
        <v>477</v>
      </c>
      <c r="N10318" s="17" t="str">
        <f>IFERROR(__xludf.DUMMYFUNCTION("""COMPUTED_VALUE"""),"")</f>
        <v/>
      </c>
      <c r="O10318" s="17"/>
    </row>
    <row r="10319">
      <c r="B10319" s="17" t="s">
        <v>477</v>
      </c>
      <c r="K10319" s="18" t="s">
        <v>477</v>
      </c>
      <c r="N10319" s="17" t="str">
        <f>IFERROR(__xludf.DUMMYFUNCTION("""COMPUTED_VALUE"""),"")</f>
        <v/>
      </c>
      <c r="O10319" s="17"/>
    </row>
    <row r="10320">
      <c r="B10320" s="17" t="s">
        <v>477</v>
      </c>
      <c r="K10320" s="18" t="s">
        <v>477</v>
      </c>
      <c r="N10320" s="17" t="str">
        <f>IFERROR(__xludf.DUMMYFUNCTION("""COMPUTED_VALUE"""),"")</f>
        <v/>
      </c>
      <c r="O10320" s="17"/>
    </row>
    <row r="10321">
      <c r="B10321" s="17" t="s">
        <v>477</v>
      </c>
      <c r="K10321" s="18" t="s">
        <v>477</v>
      </c>
      <c r="N10321" s="17" t="str">
        <f>IFERROR(__xludf.DUMMYFUNCTION("""COMPUTED_VALUE"""),"")</f>
        <v/>
      </c>
      <c r="O10321" s="17"/>
    </row>
    <row r="10322">
      <c r="B10322" s="17" t="s">
        <v>477</v>
      </c>
      <c r="K10322" s="18" t="s">
        <v>477</v>
      </c>
      <c r="N10322" s="17" t="str">
        <f>IFERROR(__xludf.DUMMYFUNCTION("""COMPUTED_VALUE"""),"")</f>
        <v/>
      </c>
      <c r="O10322" s="17"/>
    </row>
    <row r="10323">
      <c r="B10323" s="17" t="s">
        <v>477</v>
      </c>
      <c r="K10323" s="18" t="s">
        <v>477</v>
      </c>
      <c r="N10323" s="17" t="str">
        <f>IFERROR(__xludf.DUMMYFUNCTION("""COMPUTED_VALUE"""),"")</f>
        <v/>
      </c>
      <c r="O10323" s="17"/>
    </row>
    <row r="10324">
      <c r="B10324" s="17" t="s">
        <v>477</v>
      </c>
      <c r="K10324" s="18" t="s">
        <v>477</v>
      </c>
      <c r="N10324" s="17" t="str">
        <f>IFERROR(__xludf.DUMMYFUNCTION("""COMPUTED_VALUE"""),"")</f>
        <v/>
      </c>
      <c r="O10324" s="17"/>
    </row>
    <row r="10325">
      <c r="B10325" s="17" t="s">
        <v>477</v>
      </c>
      <c r="K10325" s="18" t="s">
        <v>477</v>
      </c>
      <c r="N10325" s="17" t="str">
        <f>IFERROR(__xludf.DUMMYFUNCTION("""COMPUTED_VALUE"""),"")</f>
        <v/>
      </c>
      <c r="O10325" s="17"/>
    </row>
    <row r="10326">
      <c r="B10326" s="17" t="s">
        <v>477</v>
      </c>
      <c r="K10326" s="18" t="s">
        <v>477</v>
      </c>
      <c r="N10326" s="17" t="str">
        <f>IFERROR(__xludf.DUMMYFUNCTION("""COMPUTED_VALUE"""),"")</f>
        <v/>
      </c>
      <c r="O10326" s="17"/>
    </row>
    <row r="10327">
      <c r="B10327" s="17" t="s">
        <v>477</v>
      </c>
      <c r="K10327" s="18" t="s">
        <v>477</v>
      </c>
      <c r="N10327" s="17" t="str">
        <f>IFERROR(__xludf.DUMMYFUNCTION("""COMPUTED_VALUE"""),"")</f>
        <v/>
      </c>
      <c r="O10327" s="17"/>
    </row>
    <row r="10328">
      <c r="B10328" s="17" t="s">
        <v>477</v>
      </c>
      <c r="K10328" s="18" t="s">
        <v>477</v>
      </c>
      <c r="N10328" s="17" t="str">
        <f>IFERROR(__xludf.DUMMYFUNCTION("""COMPUTED_VALUE"""),"")</f>
        <v/>
      </c>
      <c r="O10328" s="17"/>
    </row>
    <row r="10329">
      <c r="B10329" s="17" t="s">
        <v>477</v>
      </c>
      <c r="K10329" s="18" t="s">
        <v>477</v>
      </c>
      <c r="N10329" s="17" t="str">
        <f>IFERROR(__xludf.DUMMYFUNCTION("""COMPUTED_VALUE"""),"")</f>
        <v/>
      </c>
      <c r="O10329" s="17"/>
    </row>
    <row r="10330">
      <c r="B10330" s="17" t="s">
        <v>477</v>
      </c>
      <c r="K10330" s="18" t="s">
        <v>477</v>
      </c>
      <c r="N10330" s="17" t="str">
        <f>IFERROR(__xludf.DUMMYFUNCTION("""COMPUTED_VALUE"""),"")</f>
        <v/>
      </c>
      <c r="O10330" s="17"/>
    </row>
    <row r="10331">
      <c r="B10331" s="17" t="s">
        <v>477</v>
      </c>
      <c r="K10331" s="18" t="s">
        <v>477</v>
      </c>
      <c r="N10331" s="17" t="str">
        <f>IFERROR(__xludf.DUMMYFUNCTION("""COMPUTED_VALUE"""),"")</f>
        <v/>
      </c>
      <c r="O10331" s="17"/>
    </row>
    <row r="10332">
      <c r="B10332" s="17" t="s">
        <v>477</v>
      </c>
      <c r="K10332" s="18" t="s">
        <v>477</v>
      </c>
      <c r="N10332" s="17" t="str">
        <f>IFERROR(__xludf.DUMMYFUNCTION("""COMPUTED_VALUE"""),"")</f>
        <v/>
      </c>
      <c r="O10332" s="17"/>
    </row>
    <row r="10333">
      <c r="B10333" s="17" t="s">
        <v>477</v>
      </c>
      <c r="K10333" s="18" t="s">
        <v>477</v>
      </c>
      <c r="N10333" s="17" t="str">
        <f>IFERROR(__xludf.DUMMYFUNCTION("""COMPUTED_VALUE"""),"")</f>
        <v/>
      </c>
      <c r="O10333" s="17"/>
    </row>
    <row r="10334">
      <c r="B10334" s="17" t="s">
        <v>477</v>
      </c>
      <c r="K10334" s="18" t="s">
        <v>477</v>
      </c>
      <c r="N10334" s="17" t="str">
        <f>IFERROR(__xludf.DUMMYFUNCTION("""COMPUTED_VALUE"""),"")</f>
        <v/>
      </c>
      <c r="O10334" s="17"/>
    </row>
    <row r="10335">
      <c r="B10335" s="17" t="s">
        <v>477</v>
      </c>
      <c r="K10335" s="18" t="s">
        <v>477</v>
      </c>
      <c r="N10335" s="17" t="str">
        <f>IFERROR(__xludf.DUMMYFUNCTION("""COMPUTED_VALUE"""),"")</f>
        <v/>
      </c>
      <c r="O10335" s="17"/>
    </row>
    <row r="10336">
      <c r="B10336" s="17" t="s">
        <v>477</v>
      </c>
      <c r="K10336" s="18" t="s">
        <v>477</v>
      </c>
      <c r="N10336" s="17" t="str">
        <f>IFERROR(__xludf.DUMMYFUNCTION("""COMPUTED_VALUE"""),"")</f>
        <v/>
      </c>
      <c r="O10336" s="17"/>
    </row>
    <row r="10337">
      <c r="B10337" s="17" t="s">
        <v>477</v>
      </c>
      <c r="K10337" s="18" t="s">
        <v>477</v>
      </c>
      <c r="N10337" s="17" t="str">
        <f>IFERROR(__xludf.DUMMYFUNCTION("""COMPUTED_VALUE"""),"")</f>
        <v/>
      </c>
      <c r="O10337" s="17"/>
    </row>
    <row r="10338">
      <c r="B10338" s="17" t="s">
        <v>477</v>
      </c>
      <c r="K10338" s="18" t="s">
        <v>477</v>
      </c>
      <c r="N10338" s="17" t="str">
        <f>IFERROR(__xludf.DUMMYFUNCTION("""COMPUTED_VALUE"""),"")</f>
        <v/>
      </c>
      <c r="O10338" s="17"/>
    </row>
    <row r="10339">
      <c r="B10339" s="17" t="s">
        <v>477</v>
      </c>
      <c r="K10339" s="18" t="s">
        <v>477</v>
      </c>
      <c r="N10339" s="17" t="str">
        <f>IFERROR(__xludf.DUMMYFUNCTION("""COMPUTED_VALUE"""),"")</f>
        <v/>
      </c>
      <c r="O10339" s="17"/>
    </row>
    <row r="10340">
      <c r="B10340" s="17" t="s">
        <v>477</v>
      </c>
      <c r="K10340" s="18" t="s">
        <v>477</v>
      </c>
      <c r="N10340" s="17" t="str">
        <f>IFERROR(__xludf.DUMMYFUNCTION("""COMPUTED_VALUE"""),"")</f>
        <v/>
      </c>
      <c r="O10340" s="17"/>
    </row>
    <row r="10341">
      <c r="B10341" s="17" t="s">
        <v>477</v>
      </c>
      <c r="K10341" s="18" t="s">
        <v>477</v>
      </c>
      <c r="N10341" s="17" t="str">
        <f>IFERROR(__xludf.DUMMYFUNCTION("""COMPUTED_VALUE"""),"")</f>
        <v/>
      </c>
      <c r="O10341" s="17"/>
    </row>
    <row r="10342">
      <c r="B10342" s="17" t="s">
        <v>477</v>
      </c>
      <c r="K10342" s="18" t="s">
        <v>477</v>
      </c>
      <c r="N10342" s="17" t="str">
        <f>IFERROR(__xludf.DUMMYFUNCTION("""COMPUTED_VALUE"""),"")</f>
        <v/>
      </c>
      <c r="O10342" s="17"/>
    </row>
    <row r="10343">
      <c r="B10343" s="17" t="s">
        <v>477</v>
      </c>
      <c r="K10343" s="18" t="s">
        <v>477</v>
      </c>
      <c r="N10343" s="17" t="str">
        <f>IFERROR(__xludf.DUMMYFUNCTION("""COMPUTED_VALUE"""),"")</f>
        <v/>
      </c>
      <c r="O10343" s="17"/>
    </row>
    <row r="10344">
      <c r="B10344" s="17" t="s">
        <v>477</v>
      </c>
      <c r="K10344" s="18" t="s">
        <v>477</v>
      </c>
      <c r="N10344" s="17" t="str">
        <f>IFERROR(__xludf.DUMMYFUNCTION("""COMPUTED_VALUE"""),"")</f>
        <v/>
      </c>
      <c r="O10344" s="17"/>
    </row>
    <row r="10345">
      <c r="B10345" s="17" t="s">
        <v>477</v>
      </c>
      <c r="K10345" s="18" t="s">
        <v>477</v>
      </c>
      <c r="N10345" s="17" t="str">
        <f>IFERROR(__xludf.DUMMYFUNCTION("""COMPUTED_VALUE"""),"")</f>
        <v/>
      </c>
      <c r="O10345" s="17"/>
    </row>
    <row r="10346">
      <c r="B10346" s="17" t="s">
        <v>477</v>
      </c>
      <c r="K10346" s="18" t="s">
        <v>477</v>
      </c>
      <c r="N10346" s="17" t="str">
        <f>IFERROR(__xludf.DUMMYFUNCTION("""COMPUTED_VALUE"""),"")</f>
        <v/>
      </c>
      <c r="O10346" s="17"/>
    </row>
    <row r="10347">
      <c r="B10347" s="17" t="s">
        <v>477</v>
      </c>
      <c r="K10347" s="18" t="s">
        <v>477</v>
      </c>
      <c r="N10347" s="17" t="str">
        <f>IFERROR(__xludf.DUMMYFUNCTION("""COMPUTED_VALUE"""),"")</f>
        <v/>
      </c>
      <c r="O10347" s="17"/>
    </row>
    <row r="10348">
      <c r="B10348" s="17" t="s">
        <v>477</v>
      </c>
      <c r="K10348" s="18" t="s">
        <v>477</v>
      </c>
      <c r="N10348" s="17" t="str">
        <f>IFERROR(__xludf.DUMMYFUNCTION("""COMPUTED_VALUE"""),"")</f>
        <v/>
      </c>
      <c r="O10348" s="17"/>
    </row>
    <row r="10349">
      <c r="B10349" s="17" t="s">
        <v>477</v>
      </c>
      <c r="K10349" s="18" t="s">
        <v>477</v>
      </c>
      <c r="N10349" s="17" t="str">
        <f>IFERROR(__xludf.DUMMYFUNCTION("""COMPUTED_VALUE"""),"")</f>
        <v/>
      </c>
      <c r="O10349" s="17"/>
    </row>
    <row r="10350">
      <c r="B10350" s="17" t="s">
        <v>477</v>
      </c>
      <c r="K10350" s="18" t="s">
        <v>477</v>
      </c>
      <c r="N10350" s="17" t="str">
        <f>IFERROR(__xludf.DUMMYFUNCTION("""COMPUTED_VALUE"""),"")</f>
        <v/>
      </c>
      <c r="O10350" s="17"/>
    </row>
    <row r="10351">
      <c r="B10351" s="17" t="s">
        <v>477</v>
      </c>
      <c r="K10351" s="18" t="s">
        <v>477</v>
      </c>
      <c r="N10351" s="17" t="str">
        <f>IFERROR(__xludf.DUMMYFUNCTION("""COMPUTED_VALUE"""),"")</f>
        <v/>
      </c>
      <c r="O10351" s="17"/>
    </row>
    <row r="10352">
      <c r="B10352" s="17" t="s">
        <v>477</v>
      </c>
      <c r="K10352" s="18" t="s">
        <v>477</v>
      </c>
      <c r="N10352" s="17" t="str">
        <f>IFERROR(__xludf.DUMMYFUNCTION("""COMPUTED_VALUE"""),"")</f>
        <v/>
      </c>
      <c r="O10352" s="17"/>
    </row>
    <row r="10353">
      <c r="B10353" s="17" t="s">
        <v>477</v>
      </c>
      <c r="K10353" s="18" t="s">
        <v>477</v>
      </c>
      <c r="N10353" s="17" t="str">
        <f>IFERROR(__xludf.DUMMYFUNCTION("""COMPUTED_VALUE"""),"")</f>
        <v/>
      </c>
      <c r="O10353" s="17"/>
    </row>
    <row r="10354">
      <c r="B10354" s="17" t="s">
        <v>477</v>
      </c>
      <c r="K10354" s="18" t="s">
        <v>477</v>
      </c>
      <c r="N10354" s="17" t="str">
        <f>IFERROR(__xludf.DUMMYFUNCTION("""COMPUTED_VALUE"""),"")</f>
        <v/>
      </c>
      <c r="O10354" s="17"/>
    </row>
    <row r="10355">
      <c r="B10355" s="17" t="s">
        <v>477</v>
      </c>
      <c r="K10355" s="18" t="s">
        <v>477</v>
      </c>
      <c r="N10355" s="17" t="str">
        <f>IFERROR(__xludf.DUMMYFUNCTION("""COMPUTED_VALUE"""),"")</f>
        <v/>
      </c>
      <c r="O10355" s="17"/>
    </row>
    <row r="10356">
      <c r="B10356" s="17" t="s">
        <v>477</v>
      </c>
      <c r="K10356" s="18" t="s">
        <v>477</v>
      </c>
      <c r="N10356" s="17" t="str">
        <f>IFERROR(__xludf.DUMMYFUNCTION("""COMPUTED_VALUE"""),"")</f>
        <v/>
      </c>
      <c r="O10356" s="17"/>
    </row>
    <row r="10357">
      <c r="B10357" s="17" t="s">
        <v>477</v>
      </c>
      <c r="K10357" s="18" t="s">
        <v>477</v>
      </c>
      <c r="N10357" s="17" t="str">
        <f>IFERROR(__xludf.DUMMYFUNCTION("""COMPUTED_VALUE"""),"")</f>
        <v/>
      </c>
      <c r="O10357" s="17"/>
    </row>
    <row r="10358">
      <c r="B10358" s="17" t="s">
        <v>477</v>
      </c>
      <c r="K10358" s="18" t="s">
        <v>477</v>
      </c>
      <c r="N10358" s="17" t="str">
        <f>IFERROR(__xludf.DUMMYFUNCTION("""COMPUTED_VALUE"""),"")</f>
        <v/>
      </c>
      <c r="O10358" s="17"/>
    </row>
    <row r="10359">
      <c r="B10359" s="17" t="s">
        <v>477</v>
      </c>
      <c r="K10359" s="18" t="s">
        <v>477</v>
      </c>
      <c r="N10359" s="17" t="str">
        <f>IFERROR(__xludf.DUMMYFUNCTION("""COMPUTED_VALUE"""),"")</f>
        <v/>
      </c>
      <c r="O10359" s="17"/>
    </row>
    <row r="10360">
      <c r="B10360" s="17" t="s">
        <v>477</v>
      </c>
      <c r="K10360" s="18" t="s">
        <v>477</v>
      </c>
      <c r="N10360" s="17" t="str">
        <f>IFERROR(__xludf.DUMMYFUNCTION("""COMPUTED_VALUE"""),"")</f>
        <v/>
      </c>
      <c r="O10360" s="17"/>
    </row>
    <row r="10361">
      <c r="B10361" s="17" t="s">
        <v>477</v>
      </c>
      <c r="K10361" s="18" t="s">
        <v>477</v>
      </c>
      <c r="N10361" s="17" t="str">
        <f>IFERROR(__xludf.DUMMYFUNCTION("""COMPUTED_VALUE"""),"")</f>
        <v/>
      </c>
      <c r="O10361" s="17"/>
    </row>
    <row r="10362">
      <c r="B10362" s="17" t="s">
        <v>477</v>
      </c>
      <c r="K10362" s="18" t="s">
        <v>477</v>
      </c>
      <c r="N10362" s="17" t="str">
        <f>IFERROR(__xludf.DUMMYFUNCTION("""COMPUTED_VALUE"""),"")</f>
        <v/>
      </c>
      <c r="O10362" s="17"/>
    </row>
    <row r="10363">
      <c r="B10363" s="17" t="s">
        <v>477</v>
      </c>
      <c r="K10363" s="18" t="s">
        <v>477</v>
      </c>
      <c r="N10363" s="17" t="str">
        <f>IFERROR(__xludf.DUMMYFUNCTION("""COMPUTED_VALUE"""),"")</f>
        <v/>
      </c>
      <c r="O10363" s="17"/>
    </row>
    <row r="10364">
      <c r="B10364" s="17" t="s">
        <v>477</v>
      </c>
      <c r="K10364" s="18" t="s">
        <v>477</v>
      </c>
      <c r="N10364" s="17" t="str">
        <f>IFERROR(__xludf.DUMMYFUNCTION("""COMPUTED_VALUE"""),"")</f>
        <v/>
      </c>
      <c r="O10364" s="17"/>
    </row>
    <row r="10365">
      <c r="B10365" s="17" t="s">
        <v>477</v>
      </c>
      <c r="K10365" s="18" t="s">
        <v>477</v>
      </c>
      <c r="N10365" s="17" t="str">
        <f>IFERROR(__xludf.DUMMYFUNCTION("""COMPUTED_VALUE"""),"")</f>
        <v/>
      </c>
      <c r="O10365" s="17"/>
    </row>
    <row r="10366">
      <c r="B10366" s="17" t="s">
        <v>477</v>
      </c>
      <c r="K10366" s="18" t="s">
        <v>477</v>
      </c>
      <c r="N10366" s="17" t="str">
        <f>IFERROR(__xludf.DUMMYFUNCTION("""COMPUTED_VALUE"""),"")</f>
        <v/>
      </c>
      <c r="O10366" s="17"/>
    </row>
    <row r="10367">
      <c r="B10367" s="17" t="s">
        <v>477</v>
      </c>
      <c r="K10367" s="18" t="s">
        <v>477</v>
      </c>
      <c r="N10367" s="17" t="str">
        <f>IFERROR(__xludf.DUMMYFUNCTION("""COMPUTED_VALUE"""),"")</f>
        <v/>
      </c>
      <c r="O10367" s="17"/>
    </row>
    <row r="10368">
      <c r="B10368" s="17" t="s">
        <v>477</v>
      </c>
      <c r="K10368" s="18" t="s">
        <v>477</v>
      </c>
      <c r="N10368" s="17" t="str">
        <f>IFERROR(__xludf.DUMMYFUNCTION("""COMPUTED_VALUE"""),"")</f>
        <v/>
      </c>
      <c r="O10368" s="17"/>
    </row>
    <row r="10369">
      <c r="B10369" s="17" t="s">
        <v>477</v>
      </c>
      <c r="K10369" s="18" t="s">
        <v>477</v>
      </c>
      <c r="N10369" s="17" t="str">
        <f>IFERROR(__xludf.DUMMYFUNCTION("""COMPUTED_VALUE"""),"")</f>
        <v/>
      </c>
      <c r="O10369" s="17"/>
    </row>
    <row r="10370">
      <c r="B10370" s="17" t="s">
        <v>477</v>
      </c>
      <c r="K10370" s="18" t="s">
        <v>477</v>
      </c>
      <c r="N10370" s="17" t="str">
        <f>IFERROR(__xludf.DUMMYFUNCTION("""COMPUTED_VALUE"""),"")</f>
        <v/>
      </c>
      <c r="O10370" s="17"/>
    </row>
    <row r="10371">
      <c r="B10371" s="17" t="s">
        <v>477</v>
      </c>
      <c r="K10371" s="18" t="s">
        <v>477</v>
      </c>
      <c r="N10371" s="17" t="str">
        <f>IFERROR(__xludf.DUMMYFUNCTION("""COMPUTED_VALUE"""),"")</f>
        <v/>
      </c>
      <c r="O10371" s="17"/>
    </row>
    <row r="10372">
      <c r="B10372" s="17" t="s">
        <v>477</v>
      </c>
      <c r="K10372" s="18" t="s">
        <v>477</v>
      </c>
      <c r="N10372" s="17" t="str">
        <f>IFERROR(__xludf.DUMMYFUNCTION("""COMPUTED_VALUE"""),"")</f>
        <v/>
      </c>
      <c r="O10372" s="17"/>
    </row>
    <row r="10373">
      <c r="B10373" s="17" t="s">
        <v>477</v>
      </c>
      <c r="K10373" s="18" t="s">
        <v>477</v>
      </c>
      <c r="N10373" s="17" t="str">
        <f>IFERROR(__xludf.DUMMYFUNCTION("""COMPUTED_VALUE"""),"")</f>
        <v/>
      </c>
      <c r="O10373" s="17"/>
    </row>
    <row r="10374">
      <c r="B10374" s="17" t="s">
        <v>477</v>
      </c>
      <c r="K10374" s="18" t="s">
        <v>477</v>
      </c>
      <c r="N10374" s="17" t="str">
        <f>IFERROR(__xludf.DUMMYFUNCTION("""COMPUTED_VALUE"""),"")</f>
        <v/>
      </c>
      <c r="O10374" s="17"/>
    </row>
    <row r="10375">
      <c r="B10375" s="17" t="s">
        <v>477</v>
      </c>
      <c r="K10375" s="18" t="s">
        <v>477</v>
      </c>
      <c r="N10375" s="17" t="str">
        <f>IFERROR(__xludf.DUMMYFUNCTION("""COMPUTED_VALUE"""),"")</f>
        <v/>
      </c>
      <c r="O10375" s="17"/>
    </row>
    <row r="10376">
      <c r="B10376" s="17" t="s">
        <v>477</v>
      </c>
      <c r="K10376" s="18" t="s">
        <v>477</v>
      </c>
      <c r="N10376" s="17" t="str">
        <f>IFERROR(__xludf.DUMMYFUNCTION("""COMPUTED_VALUE"""),"")</f>
        <v/>
      </c>
      <c r="O10376" s="17"/>
    </row>
    <row r="10377">
      <c r="B10377" s="17" t="s">
        <v>477</v>
      </c>
      <c r="K10377" s="18" t="s">
        <v>477</v>
      </c>
      <c r="N10377" s="17" t="str">
        <f>IFERROR(__xludf.DUMMYFUNCTION("""COMPUTED_VALUE"""),"")</f>
        <v/>
      </c>
      <c r="O10377" s="17"/>
    </row>
    <row r="10378">
      <c r="B10378" s="17" t="s">
        <v>477</v>
      </c>
      <c r="K10378" s="18" t="s">
        <v>477</v>
      </c>
      <c r="N10378" s="17" t="str">
        <f>IFERROR(__xludf.DUMMYFUNCTION("""COMPUTED_VALUE"""),"")</f>
        <v/>
      </c>
      <c r="O10378" s="17"/>
    </row>
    <row r="10379">
      <c r="B10379" s="17" t="s">
        <v>477</v>
      </c>
      <c r="K10379" s="18" t="s">
        <v>477</v>
      </c>
      <c r="N10379" s="17" t="str">
        <f>IFERROR(__xludf.DUMMYFUNCTION("""COMPUTED_VALUE"""),"")</f>
        <v/>
      </c>
      <c r="O10379" s="17"/>
    </row>
    <row r="10380">
      <c r="B10380" s="17" t="s">
        <v>477</v>
      </c>
      <c r="K10380" s="18" t="s">
        <v>477</v>
      </c>
      <c r="N10380" s="17" t="str">
        <f>IFERROR(__xludf.DUMMYFUNCTION("""COMPUTED_VALUE"""),"")</f>
        <v/>
      </c>
      <c r="O10380" s="17"/>
    </row>
    <row r="10381">
      <c r="B10381" s="17" t="s">
        <v>477</v>
      </c>
      <c r="K10381" s="18" t="s">
        <v>477</v>
      </c>
      <c r="N10381" s="17" t="str">
        <f>IFERROR(__xludf.DUMMYFUNCTION("""COMPUTED_VALUE"""),"")</f>
        <v/>
      </c>
      <c r="O10381" s="17"/>
    </row>
    <row r="10382">
      <c r="B10382" s="17" t="s">
        <v>477</v>
      </c>
      <c r="K10382" s="18" t="s">
        <v>477</v>
      </c>
      <c r="N10382" s="17" t="str">
        <f>IFERROR(__xludf.DUMMYFUNCTION("""COMPUTED_VALUE"""),"")</f>
        <v/>
      </c>
      <c r="O10382" s="17"/>
    </row>
    <row r="10383">
      <c r="B10383" s="17" t="s">
        <v>477</v>
      </c>
      <c r="K10383" s="18" t="s">
        <v>477</v>
      </c>
      <c r="N10383" s="17" t="str">
        <f>IFERROR(__xludf.DUMMYFUNCTION("""COMPUTED_VALUE"""),"")</f>
        <v/>
      </c>
      <c r="O10383" s="17"/>
    </row>
    <row r="10384">
      <c r="B10384" s="17" t="s">
        <v>477</v>
      </c>
      <c r="K10384" s="18" t="s">
        <v>477</v>
      </c>
      <c r="N10384" s="17" t="str">
        <f>IFERROR(__xludf.DUMMYFUNCTION("""COMPUTED_VALUE"""),"")</f>
        <v/>
      </c>
      <c r="O10384" s="17"/>
    </row>
    <row r="10385">
      <c r="B10385" s="17" t="s">
        <v>477</v>
      </c>
      <c r="K10385" s="18" t="s">
        <v>477</v>
      </c>
      <c r="N10385" s="17" t="str">
        <f>IFERROR(__xludf.DUMMYFUNCTION("""COMPUTED_VALUE"""),"")</f>
        <v/>
      </c>
      <c r="O10385" s="17"/>
    </row>
    <row r="10386">
      <c r="B10386" s="17" t="s">
        <v>477</v>
      </c>
      <c r="K10386" s="18" t="s">
        <v>477</v>
      </c>
      <c r="N10386" s="17" t="str">
        <f>IFERROR(__xludf.DUMMYFUNCTION("""COMPUTED_VALUE"""),"")</f>
        <v/>
      </c>
      <c r="O10386" s="17"/>
    </row>
    <row r="10387">
      <c r="B10387" s="17" t="s">
        <v>477</v>
      </c>
      <c r="K10387" s="18" t="s">
        <v>477</v>
      </c>
      <c r="N10387" s="17" t="str">
        <f>IFERROR(__xludf.DUMMYFUNCTION("""COMPUTED_VALUE"""),"")</f>
        <v/>
      </c>
      <c r="O10387" s="17"/>
    </row>
    <row r="10388">
      <c r="B10388" s="17" t="s">
        <v>477</v>
      </c>
      <c r="K10388" s="18" t="s">
        <v>477</v>
      </c>
      <c r="N10388" s="17" t="str">
        <f>IFERROR(__xludf.DUMMYFUNCTION("""COMPUTED_VALUE"""),"")</f>
        <v/>
      </c>
      <c r="O10388" s="17"/>
    </row>
    <row r="10389">
      <c r="B10389" s="17" t="s">
        <v>477</v>
      </c>
      <c r="K10389" s="18" t="s">
        <v>477</v>
      </c>
      <c r="N10389" s="17" t="str">
        <f>IFERROR(__xludf.DUMMYFUNCTION("""COMPUTED_VALUE"""),"")</f>
        <v/>
      </c>
      <c r="O10389" s="17"/>
    </row>
    <row r="10390">
      <c r="B10390" s="17" t="s">
        <v>477</v>
      </c>
      <c r="K10390" s="18" t="s">
        <v>477</v>
      </c>
      <c r="N10390" s="17" t="str">
        <f>IFERROR(__xludf.DUMMYFUNCTION("""COMPUTED_VALUE"""),"")</f>
        <v/>
      </c>
      <c r="O10390" s="17"/>
    </row>
    <row r="10391">
      <c r="B10391" s="17" t="s">
        <v>477</v>
      </c>
      <c r="K10391" s="18" t="s">
        <v>477</v>
      </c>
      <c r="N10391" s="17" t="str">
        <f>IFERROR(__xludf.DUMMYFUNCTION("""COMPUTED_VALUE"""),"")</f>
        <v/>
      </c>
      <c r="O10391" s="17"/>
    </row>
    <row r="10392">
      <c r="B10392" s="17" t="s">
        <v>477</v>
      </c>
      <c r="K10392" s="18" t="s">
        <v>477</v>
      </c>
      <c r="N10392" s="17" t="str">
        <f>IFERROR(__xludf.DUMMYFUNCTION("""COMPUTED_VALUE"""),"")</f>
        <v/>
      </c>
      <c r="O10392" s="17"/>
    </row>
    <row r="10393">
      <c r="B10393" s="17" t="s">
        <v>477</v>
      </c>
      <c r="K10393" s="18" t="s">
        <v>477</v>
      </c>
      <c r="N10393" s="17" t="str">
        <f>IFERROR(__xludf.DUMMYFUNCTION("""COMPUTED_VALUE"""),"")</f>
        <v/>
      </c>
      <c r="O10393" s="17"/>
    </row>
    <row r="10394">
      <c r="B10394" s="17" t="s">
        <v>477</v>
      </c>
      <c r="K10394" s="18" t="s">
        <v>477</v>
      </c>
      <c r="N10394" s="17" t="str">
        <f>IFERROR(__xludf.DUMMYFUNCTION("""COMPUTED_VALUE"""),"")</f>
        <v/>
      </c>
      <c r="O10394" s="17"/>
    </row>
    <row r="10395">
      <c r="B10395" s="17" t="s">
        <v>477</v>
      </c>
      <c r="K10395" s="18" t="s">
        <v>477</v>
      </c>
      <c r="N10395" s="17" t="str">
        <f>IFERROR(__xludf.DUMMYFUNCTION("""COMPUTED_VALUE"""),"")</f>
        <v/>
      </c>
      <c r="O10395" s="17"/>
    </row>
    <row r="10396">
      <c r="B10396" s="17" t="s">
        <v>477</v>
      </c>
      <c r="K10396" s="18" t="s">
        <v>477</v>
      </c>
      <c r="N10396" s="17" t="str">
        <f>IFERROR(__xludf.DUMMYFUNCTION("""COMPUTED_VALUE"""),"")</f>
        <v/>
      </c>
      <c r="O10396" s="17"/>
    </row>
    <row r="10397">
      <c r="B10397" s="17" t="s">
        <v>477</v>
      </c>
      <c r="K10397" s="18" t="s">
        <v>477</v>
      </c>
      <c r="N10397" s="17" t="str">
        <f>IFERROR(__xludf.DUMMYFUNCTION("""COMPUTED_VALUE"""),"")</f>
        <v/>
      </c>
      <c r="O10397" s="17"/>
    </row>
    <row r="10398">
      <c r="B10398" s="17" t="s">
        <v>477</v>
      </c>
      <c r="K10398" s="18" t="s">
        <v>477</v>
      </c>
      <c r="N10398" s="17" t="str">
        <f>IFERROR(__xludf.DUMMYFUNCTION("""COMPUTED_VALUE"""),"")</f>
        <v/>
      </c>
      <c r="O10398" s="17"/>
    </row>
    <row r="10399">
      <c r="B10399" s="17" t="s">
        <v>477</v>
      </c>
      <c r="K10399" s="18" t="s">
        <v>477</v>
      </c>
      <c r="N10399" s="17" t="str">
        <f>IFERROR(__xludf.DUMMYFUNCTION("""COMPUTED_VALUE"""),"")</f>
        <v/>
      </c>
      <c r="O10399" s="17"/>
    </row>
    <row r="10400">
      <c r="B10400" s="17" t="s">
        <v>477</v>
      </c>
      <c r="K10400" s="18" t="s">
        <v>477</v>
      </c>
      <c r="N10400" s="17" t="str">
        <f>IFERROR(__xludf.DUMMYFUNCTION("""COMPUTED_VALUE"""),"")</f>
        <v/>
      </c>
      <c r="O10400" s="17"/>
    </row>
    <row r="10401">
      <c r="B10401" s="17" t="s">
        <v>477</v>
      </c>
      <c r="K10401" s="18" t="s">
        <v>477</v>
      </c>
      <c r="N10401" s="17" t="str">
        <f>IFERROR(__xludf.DUMMYFUNCTION("""COMPUTED_VALUE"""),"")</f>
        <v/>
      </c>
      <c r="O10401" s="17"/>
    </row>
    <row r="10402">
      <c r="B10402" s="17" t="s">
        <v>477</v>
      </c>
      <c r="K10402" s="18" t="s">
        <v>477</v>
      </c>
      <c r="N10402" s="17" t="str">
        <f>IFERROR(__xludf.DUMMYFUNCTION("""COMPUTED_VALUE"""),"")</f>
        <v/>
      </c>
      <c r="O10402" s="17"/>
    </row>
    <row r="10403">
      <c r="B10403" s="17" t="s">
        <v>477</v>
      </c>
      <c r="K10403" s="18" t="s">
        <v>477</v>
      </c>
      <c r="N10403" s="17" t="str">
        <f>IFERROR(__xludf.DUMMYFUNCTION("""COMPUTED_VALUE"""),"")</f>
        <v/>
      </c>
      <c r="O10403" s="17"/>
    </row>
    <row r="10404">
      <c r="B10404" s="17" t="s">
        <v>477</v>
      </c>
      <c r="K10404" s="18" t="s">
        <v>477</v>
      </c>
      <c r="N10404" s="17" t="str">
        <f>IFERROR(__xludf.DUMMYFUNCTION("""COMPUTED_VALUE"""),"")</f>
        <v/>
      </c>
      <c r="O10404" s="17"/>
    </row>
    <row r="10405">
      <c r="B10405" s="17" t="s">
        <v>477</v>
      </c>
      <c r="K10405" s="18" t="s">
        <v>477</v>
      </c>
      <c r="N10405" s="17" t="str">
        <f>IFERROR(__xludf.DUMMYFUNCTION("""COMPUTED_VALUE"""),"")</f>
        <v/>
      </c>
      <c r="O10405" s="17"/>
    </row>
    <row r="10406">
      <c r="B10406" s="17" t="s">
        <v>477</v>
      </c>
      <c r="K10406" s="18" t="s">
        <v>477</v>
      </c>
      <c r="N10406" s="17" t="str">
        <f>IFERROR(__xludf.DUMMYFUNCTION("""COMPUTED_VALUE"""),"")</f>
        <v/>
      </c>
      <c r="O10406" s="17"/>
    </row>
    <row r="10407">
      <c r="B10407" s="17" t="s">
        <v>477</v>
      </c>
      <c r="K10407" s="18" t="s">
        <v>477</v>
      </c>
      <c r="N10407" s="17" t="str">
        <f>IFERROR(__xludf.DUMMYFUNCTION("""COMPUTED_VALUE"""),"")</f>
        <v/>
      </c>
      <c r="O10407" s="17"/>
    </row>
    <row r="10408">
      <c r="B10408" s="17" t="s">
        <v>477</v>
      </c>
      <c r="K10408" s="18" t="s">
        <v>477</v>
      </c>
      <c r="N10408" s="17" t="str">
        <f>IFERROR(__xludf.DUMMYFUNCTION("""COMPUTED_VALUE"""),"")</f>
        <v/>
      </c>
      <c r="O10408" s="17"/>
    </row>
    <row r="10409">
      <c r="B10409" s="17" t="s">
        <v>477</v>
      </c>
      <c r="K10409" s="18" t="s">
        <v>477</v>
      </c>
      <c r="N10409" s="17" t="str">
        <f>IFERROR(__xludf.DUMMYFUNCTION("""COMPUTED_VALUE"""),"")</f>
        <v/>
      </c>
      <c r="O10409" s="17"/>
    </row>
    <row r="10410">
      <c r="B10410" s="17" t="s">
        <v>477</v>
      </c>
      <c r="K10410" s="18" t="s">
        <v>477</v>
      </c>
      <c r="N10410" s="17" t="str">
        <f>IFERROR(__xludf.DUMMYFUNCTION("""COMPUTED_VALUE"""),"")</f>
        <v/>
      </c>
      <c r="O10410" s="17"/>
    </row>
    <row r="10411">
      <c r="B10411" s="17" t="s">
        <v>477</v>
      </c>
      <c r="K10411" s="18" t="s">
        <v>477</v>
      </c>
      <c r="N10411" s="17" t="str">
        <f>IFERROR(__xludf.DUMMYFUNCTION("""COMPUTED_VALUE"""),"")</f>
        <v/>
      </c>
      <c r="O10411" s="17"/>
    </row>
    <row r="10412">
      <c r="B10412" s="17" t="s">
        <v>477</v>
      </c>
      <c r="K10412" s="18" t="s">
        <v>477</v>
      </c>
      <c r="N10412" s="17" t="str">
        <f>IFERROR(__xludf.DUMMYFUNCTION("""COMPUTED_VALUE"""),"")</f>
        <v/>
      </c>
      <c r="O10412" s="17"/>
    </row>
    <row r="10413">
      <c r="B10413" s="17" t="s">
        <v>477</v>
      </c>
      <c r="K10413" s="18" t="s">
        <v>477</v>
      </c>
      <c r="N10413" s="17" t="str">
        <f>IFERROR(__xludf.DUMMYFUNCTION("""COMPUTED_VALUE"""),"")</f>
        <v/>
      </c>
      <c r="O10413" s="17"/>
    </row>
    <row r="10414">
      <c r="B10414" s="17" t="s">
        <v>477</v>
      </c>
      <c r="K10414" s="18" t="s">
        <v>477</v>
      </c>
      <c r="N10414" s="17" t="str">
        <f>IFERROR(__xludf.DUMMYFUNCTION("""COMPUTED_VALUE"""),"")</f>
        <v/>
      </c>
      <c r="O10414" s="17"/>
    </row>
    <row r="10415">
      <c r="B10415" s="17" t="s">
        <v>477</v>
      </c>
      <c r="K10415" s="18" t="s">
        <v>477</v>
      </c>
      <c r="N10415" s="17" t="str">
        <f>IFERROR(__xludf.DUMMYFUNCTION("""COMPUTED_VALUE"""),"")</f>
        <v/>
      </c>
      <c r="O10415" s="17"/>
    </row>
    <row r="10416">
      <c r="B10416" s="17" t="s">
        <v>477</v>
      </c>
      <c r="K10416" s="18" t="s">
        <v>477</v>
      </c>
      <c r="N10416" s="17" t="str">
        <f>IFERROR(__xludf.DUMMYFUNCTION("""COMPUTED_VALUE"""),"")</f>
        <v/>
      </c>
      <c r="O10416" s="17"/>
    </row>
    <row r="10417">
      <c r="B10417" s="17" t="s">
        <v>477</v>
      </c>
      <c r="K10417" s="18" t="s">
        <v>477</v>
      </c>
      <c r="N10417" s="17" t="str">
        <f>IFERROR(__xludf.DUMMYFUNCTION("""COMPUTED_VALUE"""),"")</f>
        <v/>
      </c>
      <c r="O10417" s="17"/>
    </row>
    <row r="10418">
      <c r="B10418" s="17" t="s">
        <v>477</v>
      </c>
      <c r="K10418" s="18" t="s">
        <v>477</v>
      </c>
      <c r="N10418" s="17" t="str">
        <f>IFERROR(__xludf.DUMMYFUNCTION("""COMPUTED_VALUE"""),"")</f>
        <v/>
      </c>
      <c r="O10418" s="17"/>
    </row>
    <row r="10419">
      <c r="B10419" s="17" t="s">
        <v>477</v>
      </c>
      <c r="K10419" s="18" t="s">
        <v>477</v>
      </c>
      <c r="N10419" s="17" t="str">
        <f>IFERROR(__xludf.DUMMYFUNCTION("""COMPUTED_VALUE"""),"")</f>
        <v/>
      </c>
      <c r="O10419" s="17"/>
    </row>
    <row r="10420">
      <c r="B10420" s="17" t="s">
        <v>477</v>
      </c>
      <c r="K10420" s="18" t="s">
        <v>477</v>
      </c>
      <c r="N10420" s="17" t="str">
        <f>IFERROR(__xludf.DUMMYFUNCTION("""COMPUTED_VALUE"""),"")</f>
        <v/>
      </c>
      <c r="O10420" s="17"/>
    </row>
    <row r="10421">
      <c r="B10421" s="17" t="s">
        <v>477</v>
      </c>
      <c r="K10421" s="18" t="s">
        <v>477</v>
      </c>
      <c r="N10421" s="17" t="str">
        <f>IFERROR(__xludf.DUMMYFUNCTION("""COMPUTED_VALUE"""),"")</f>
        <v/>
      </c>
      <c r="O10421" s="17"/>
    </row>
    <row r="10422">
      <c r="B10422" s="17" t="s">
        <v>477</v>
      </c>
      <c r="K10422" s="18" t="s">
        <v>477</v>
      </c>
      <c r="N10422" s="17" t="str">
        <f>IFERROR(__xludf.DUMMYFUNCTION("""COMPUTED_VALUE"""),"")</f>
        <v/>
      </c>
      <c r="O10422" s="17"/>
    </row>
    <row r="10423">
      <c r="B10423" s="17" t="s">
        <v>477</v>
      </c>
      <c r="K10423" s="18" t="s">
        <v>477</v>
      </c>
      <c r="N10423" s="17" t="str">
        <f>IFERROR(__xludf.DUMMYFUNCTION("""COMPUTED_VALUE"""),"")</f>
        <v/>
      </c>
      <c r="O10423" s="17"/>
    </row>
    <row r="10424">
      <c r="B10424" s="17" t="s">
        <v>477</v>
      </c>
      <c r="K10424" s="18" t="s">
        <v>477</v>
      </c>
      <c r="N10424" s="17" t="str">
        <f>IFERROR(__xludf.DUMMYFUNCTION("""COMPUTED_VALUE"""),"")</f>
        <v/>
      </c>
      <c r="O10424" s="17"/>
    </row>
    <row r="10425">
      <c r="B10425" s="17" t="s">
        <v>477</v>
      </c>
      <c r="K10425" s="18" t="s">
        <v>477</v>
      </c>
      <c r="N10425" s="17" t="str">
        <f>IFERROR(__xludf.DUMMYFUNCTION("""COMPUTED_VALUE"""),"")</f>
        <v/>
      </c>
      <c r="O10425" s="17"/>
    </row>
    <row r="10426">
      <c r="B10426" s="17" t="s">
        <v>477</v>
      </c>
      <c r="K10426" s="18" t="s">
        <v>477</v>
      </c>
      <c r="N10426" s="17" t="str">
        <f>IFERROR(__xludf.DUMMYFUNCTION("""COMPUTED_VALUE"""),"")</f>
        <v/>
      </c>
      <c r="O10426" s="17"/>
    </row>
    <row r="10427">
      <c r="B10427" s="17" t="s">
        <v>477</v>
      </c>
      <c r="K10427" s="18" t="s">
        <v>477</v>
      </c>
      <c r="N10427" s="17" t="str">
        <f>IFERROR(__xludf.DUMMYFUNCTION("""COMPUTED_VALUE"""),"")</f>
        <v/>
      </c>
      <c r="O10427" s="17"/>
    </row>
    <row r="10428">
      <c r="B10428" s="17" t="s">
        <v>477</v>
      </c>
      <c r="K10428" s="18" t="s">
        <v>477</v>
      </c>
      <c r="N10428" s="17" t="str">
        <f>IFERROR(__xludf.DUMMYFUNCTION("""COMPUTED_VALUE"""),"")</f>
        <v/>
      </c>
      <c r="O10428" s="17"/>
    </row>
    <row r="10429">
      <c r="B10429" s="17" t="s">
        <v>477</v>
      </c>
      <c r="K10429" s="18" t="s">
        <v>477</v>
      </c>
      <c r="N10429" s="17" t="str">
        <f>IFERROR(__xludf.DUMMYFUNCTION("""COMPUTED_VALUE"""),"")</f>
        <v/>
      </c>
      <c r="O10429" s="17"/>
    </row>
    <row r="10430">
      <c r="B10430" s="17" t="s">
        <v>477</v>
      </c>
      <c r="K10430" s="18" t="s">
        <v>477</v>
      </c>
      <c r="N10430" s="17" t="str">
        <f>IFERROR(__xludf.DUMMYFUNCTION("""COMPUTED_VALUE"""),"")</f>
        <v/>
      </c>
      <c r="O10430" s="17"/>
    </row>
    <row r="10431">
      <c r="B10431" s="17" t="s">
        <v>477</v>
      </c>
      <c r="K10431" s="18" t="s">
        <v>477</v>
      </c>
      <c r="N10431" s="17" t="str">
        <f>IFERROR(__xludf.DUMMYFUNCTION("""COMPUTED_VALUE"""),"")</f>
        <v/>
      </c>
      <c r="O10431" s="17"/>
    </row>
    <row r="10432">
      <c r="B10432" s="17" t="s">
        <v>477</v>
      </c>
      <c r="K10432" s="18" t="s">
        <v>477</v>
      </c>
      <c r="N10432" s="17" t="str">
        <f>IFERROR(__xludf.DUMMYFUNCTION("""COMPUTED_VALUE"""),"")</f>
        <v/>
      </c>
      <c r="O10432" s="17"/>
    </row>
    <row r="10433">
      <c r="B10433" s="17" t="s">
        <v>477</v>
      </c>
      <c r="K10433" s="18" t="s">
        <v>477</v>
      </c>
      <c r="N10433" s="17" t="str">
        <f>IFERROR(__xludf.DUMMYFUNCTION("""COMPUTED_VALUE"""),"")</f>
        <v/>
      </c>
      <c r="O10433" s="17"/>
    </row>
    <row r="10434">
      <c r="B10434" s="17" t="s">
        <v>477</v>
      </c>
      <c r="K10434" s="18" t="s">
        <v>477</v>
      </c>
      <c r="N10434" s="17" t="str">
        <f>IFERROR(__xludf.DUMMYFUNCTION("""COMPUTED_VALUE"""),"")</f>
        <v/>
      </c>
      <c r="O10434" s="17"/>
    </row>
    <row r="10435">
      <c r="B10435" s="17" t="s">
        <v>477</v>
      </c>
      <c r="K10435" s="18" t="s">
        <v>477</v>
      </c>
      <c r="N10435" s="17" t="str">
        <f>IFERROR(__xludf.DUMMYFUNCTION("""COMPUTED_VALUE"""),"")</f>
        <v/>
      </c>
      <c r="O10435" s="17"/>
    </row>
    <row r="10436">
      <c r="B10436" s="17" t="s">
        <v>477</v>
      </c>
      <c r="K10436" s="18" t="s">
        <v>477</v>
      </c>
      <c r="N10436" s="17" t="str">
        <f>IFERROR(__xludf.DUMMYFUNCTION("""COMPUTED_VALUE"""),"")</f>
        <v/>
      </c>
      <c r="O10436" s="17"/>
    </row>
    <row r="10437">
      <c r="B10437" s="17" t="s">
        <v>477</v>
      </c>
      <c r="K10437" s="18" t="s">
        <v>477</v>
      </c>
      <c r="N10437" s="17" t="str">
        <f>IFERROR(__xludf.DUMMYFUNCTION("""COMPUTED_VALUE"""),"")</f>
        <v/>
      </c>
      <c r="O10437" s="17"/>
    </row>
    <row r="10438">
      <c r="B10438" s="17" t="s">
        <v>477</v>
      </c>
      <c r="K10438" s="18" t="s">
        <v>477</v>
      </c>
      <c r="N10438" s="17" t="str">
        <f>IFERROR(__xludf.DUMMYFUNCTION("""COMPUTED_VALUE"""),"")</f>
        <v/>
      </c>
      <c r="O10438" s="17"/>
    </row>
    <row r="10439">
      <c r="B10439" s="17" t="s">
        <v>477</v>
      </c>
      <c r="K10439" s="18" t="s">
        <v>477</v>
      </c>
      <c r="N10439" s="17" t="str">
        <f>IFERROR(__xludf.DUMMYFUNCTION("""COMPUTED_VALUE"""),"")</f>
        <v/>
      </c>
      <c r="O10439" s="17"/>
    </row>
    <row r="10440">
      <c r="B10440" s="17" t="s">
        <v>477</v>
      </c>
      <c r="K10440" s="18" t="s">
        <v>477</v>
      </c>
      <c r="N10440" s="17" t="str">
        <f>IFERROR(__xludf.DUMMYFUNCTION("""COMPUTED_VALUE"""),"")</f>
        <v/>
      </c>
      <c r="O10440" s="17"/>
    </row>
    <row r="10441">
      <c r="B10441" s="17" t="s">
        <v>477</v>
      </c>
      <c r="K10441" s="18" t="s">
        <v>477</v>
      </c>
      <c r="N10441" s="17" t="str">
        <f>IFERROR(__xludf.DUMMYFUNCTION("""COMPUTED_VALUE"""),"")</f>
        <v/>
      </c>
      <c r="O10441" s="17"/>
    </row>
    <row r="10442">
      <c r="B10442" s="17" t="s">
        <v>477</v>
      </c>
      <c r="K10442" s="18" t="s">
        <v>477</v>
      </c>
      <c r="N10442" s="17" t="str">
        <f>IFERROR(__xludf.DUMMYFUNCTION("""COMPUTED_VALUE"""),"")</f>
        <v/>
      </c>
      <c r="O10442" s="17"/>
    </row>
    <row r="10443">
      <c r="B10443" s="17" t="s">
        <v>477</v>
      </c>
      <c r="K10443" s="18" t="s">
        <v>477</v>
      </c>
      <c r="N10443" s="17" t="str">
        <f>IFERROR(__xludf.DUMMYFUNCTION("""COMPUTED_VALUE"""),"")</f>
        <v/>
      </c>
      <c r="O10443" s="17"/>
    </row>
    <row r="10444">
      <c r="B10444" s="17" t="s">
        <v>477</v>
      </c>
      <c r="K10444" s="18" t="s">
        <v>477</v>
      </c>
      <c r="N10444" s="17" t="str">
        <f>IFERROR(__xludf.DUMMYFUNCTION("""COMPUTED_VALUE"""),"")</f>
        <v/>
      </c>
      <c r="O10444" s="17"/>
    </row>
    <row r="10445">
      <c r="B10445" s="17" t="s">
        <v>477</v>
      </c>
      <c r="K10445" s="18" t="s">
        <v>477</v>
      </c>
      <c r="N10445" s="17" t="str">
        <f>IFERROR(__xludf.DUMMYFUNCTION("""COMPUTED_VALUE"""),"")</f>
        <v/>
      </c>
      <c r="O10445" s="17"/>
    </row>
    <row r="10446">
      <c r="B10446" s="17" t="s">
        <v>477</v>
      </c>
      <c r="K10446" s="18" t="s">
        <v>477</v>
      </c>
      <c r="N10446" s="17" t="str">
        <f>IFERROR(__xludf.DUMMYFUNCTION("""COMPUTED_VALUE"""),"")</f>
        <v/>
      </c>
      <c r="O10446" s="17"/>
    </row>
    <row r="10447">
      <c r="B10447" s="17" t="s">
        <v>477</v>
      </c>
      <c r="K10447" s="18" t="s">
        <v>477</v>
      </c>
      <c r="N10447" s="17" t="str">
        <f>IFERROR(__xludf.DUMMYFUNCTION("""COMPUTED_VALUE"""),"")</f>
        <v/>
      </c>
      <c r="O10447" s="17"/>
    </row>
    <row r="10448">
      <c r="B10448" s="17" t="s">
        <v>477</v>
      </c>
      <c r="K10448" s="18" t="s">
        <v>477</v>
      </c>
      <c r="N10448" s="17" t="str">
        <f>IFERROR(__xludf.DUMMYFUNCTION("""COMPUTED_VALUE"""),"")</f>
        <v/>
      </c>
      <c r="O10448" s="17"/>
    </row>
    <row r="10449">
      <c r="B10449" s="17" t="s">
        <v>477</v>
      </c>
      <c r="K10449" s="18" t="s">
        <v>477</v>
      </c>
      <c r="N10449" s="17" t="str">
        <f>IFERROR(__xludf.DUMMYFUNCTION("""COMPUTED_VALUE"""),"")</f>
        <v/>
      </c>
      <c r="O10449" s="17"/>
    </row>
    <row r="10450">
      <c r="B10450" s="17" t="s">
        <v>477</v>
      </c>
      <c r="K10450" s="18" t="s">
        <v>477</v>
      </c>
      <c r="N10450" s="17" t="str">
        <f>IFERROR(__xludf.DUMMYFUNCTION("""COMPUTED_VALUE"""),"")</f>
        <v/>
      </c>
      <c r="O10450" s="17"/>
    </row>
    <row r="10451">
      <c r="B10451" s="17" t="s">
        <v>477</v>
      </c>
      <c r="K10451" s="18" t="s">
        <v>477</v>
      </c>
      <c r="N10451" s="17" t="str">
        <f>IFERROR(__xludf.DUMMYFUNCTION("""COMPUTED_VALUE"""),"")</f>
        <v/>
      </c>
      <c r="O10451" s="17"/>
    </row>
    <row r="10452">
      <c r="B10452" s="17" t="s">
        <v>477</v>
      </c>
      <c r="K10452" s="18" t="s">
        <v>477</v>
      </c>
      <c r="N10452" s="17" t="str">
        <f>IFERROR(__xludf.DUMMYFUNCTION("""COMPUTED_VALUE"""),"")</f>
        <v/>
      </c>
      <c r="O10452" s="17"/>
    </row>
    <row r="10453">
      <c r="B10453" s="17" t="s">
        <v>477</v>
      </c>
      <c r="K10453" s="18" t="s">
        <v>477</v>
      </c>
      <c r="N10453" s="17" t="str">
        <f>IFERROR(__xludf.DUMMYFUNCTION("""COMPUTED_VALUE"""),"")</f>
        <v/>
      </c>
      <c r="O10453" s="17"/>
    </row>
    <row r="10454">
      <c r="B10454" s="17" t="s">
        <v>477</v>
      </c>
      <c r="K10454" s="18" t="s">
        <v>477</v>
      </c>
      <c r="N10454" s="17" t="str">
        <f>IFERROR(__xludf.DUMMYFUNCTION("""COMPUTED_VALUE"""),"")</f>
        <v/>
      </c>
      <c r="O10454" s="17"/>
    </row>
    <row r="10455">
      <c r="B10455" s="17" t="s">
        <v>477</v>
      </c>
      <c r="K10455" s="18" t="s">
        <v>477</v>
      </c>
      <c r="N10455" s="17" t="str">
        <f>IFERROR(__xludf.DUMMYFUNCTION("""COMPUTED_VALUE"""),"")</f>
        <v/>
      </c>
      <c r="O10455" s="17"/>
    </row>
    <row r="10456">
      <c r="B10456" s="17" t="s">
        <v>477</v>
      </c>
      <c r="K10456" s="18" t="s">
        <v>477</v>
      </c>
      <c r="N10456" s="17" t="str">
        <f>IFERROR(__xludf.DUMMYFUNCTION("""COMPUTED_VALUE"""),"")</f>
        <v/>
      </c>
      <c r="O10456" s="17"/>
    </row>
    <row r="10457">
      <c r="B10457" s="17" t="s">
        <v>477</v>
      </c>
      <c r="K10457" s="18" t="s">
        <v>477</v>
      </c>
      <c r="N10457" s="17" t="str">
        <f>IFERROR(__xludf.DUMMYFUNCTION("""COMPUTED_VALUE"""),"")</f>
        <v/>
      </c>
      <c r="O10457" s="17"/>
    </row>
    <row r="10458">
      <c r="B10458" s="17" t="s">
        <v>477</v>
      </c>
      <c r="K10458" s="18" t="s">
        <v>477</v>
      </c>
      <c r="N10458" s="17" t="str">
        <f>IFERROR(__xludf.DUMMYFUNCTION("""COMPUTED_VALUE"""),"")</f>
        <v/>
      </c>
      <c r="O10458" s="17"/>
    </row>
    <row r="10459">
      <c r="B10459" s="17" t="s">
        <v>477</v>
      </c>
      <c r="K10459" s="18" t="s">
        <v>477</v>
      </c>
      <c r="N10459" s="17" t="str">
        <f>IFERROR(__xludf.DUMMYFUNCTION("""COMPUTED_VALUE"""),"")</f>
        <v/>
      </c>
      <c r="O10459" s="17"/>
    </row>
    <row r="10460">
      <c r="B10460" s="17" t="s">
        <v>477</v>
      </c>
      <c r="K10460" s="18" t="s">
        <v>477</v>
      </c>
      <c r="N10460" s="17" t="str">
        <f>IFERROR(__xludf.DUMMYFUNCTION("""COMPUTED_VALUE"""),"")</f>
        <v/>
      </c>
      <c r="O10460" s="17"/>
    </row>
    <row r="10461">
      <c r="B10461" s="17" t="s">
        <v>477</v>
      </c>
      <c r="K10461" s="18" t="s">
        <v>477</v>
      </c>
      <c r="N10461" s="17" t="str">
        <f>IFERROR(__xludf.DUMMYFUNCTION("""COMPUTED_VALUE"""),"")</f>
        <v/>
      </c>
      <c r="O10461" s="17"/>
    </row>
    <row r="10462">
      <c r="B10462" s="17" t="s">
        <v>477</v>
      </c>
      <c r="K10462" s="18" t="s">
        <v>477</v>
      </c>
      <c r="N10462" s="17" t="str">
        <f>IFERROR(__xludf.DUMMYFUNCTION("""COMPUTED_VALUE"""),"")</f>
        <v/>
      </c>
      <c r="O10462" s="17"/>
    </row>
    <row r="10463">
      <c r="B10463" s="17" t="s">
        <v>477</v>
      </c>
      <c r="K10463" s="18" t="s">
        <v>477</v>
      </c>
      <c r="N10463" s="17" t="str">
        <f>IFERROR(__xludf.DUMMYFUNCTION("""COMPUTED_VALUE"""),"")</f>
        <v/>
      </c>
      <c r="O10463" s="17"/>
    </row>
    <row r="10464">
      <c r="B10464" s="17" t="s">
        <v>477</v>
      </c>
      <c r="K10464" s="18" t="s">
        <v>477</v>
      </c>
      <c r="N10464" s="17" t="str">
        <f>IFERROR(__xludf.DUMMYFUNCTION("""COMPUTED_VALUE"""),"")</f>
        <v/>
      </c>
      <c r="O10464" s="17"/>
    </row>
    <row r="10465">
      <c r="B10465" s="17" t="s">
        <v>477</v>
      </c>
      <c r="K10465" s="18" t="s">
        <v>477</v>
      </c>
      <c r="N10465" s="17" t="str">
        <f>IFERROR(__xludf.DUMMYFUNCTION("""COMPUTED_VALUE"""),"")</f>
        <v/>
      </c>
      <c r="O10465" s="17"/>
    </row>
    <row r="10466">
      <c r="B10466" s="17" t="s">
        <v>477</v>
      </c>
      <c r="K10466" s="18" t="s">
        <v>477</v>
      </c>
      <c r="N10466" s="17" t="str">
        <f>IFERROR(__xludf.DUMMYFUNCTION("""COMPUTED_VALUE"""),"")</f>
        <v/>
      </c>
      <c r="O10466" s="17"/>
    </row>
    <row r="10467">
      <c r="B10467" s="17" t="s">
        <v>477</v>
      </c>
      <c r="K10467" s="18" t="s">
        <v>477</v>
      </c>
      <c r="N10467" s="17" t="str">
        <f>IFERROR(__xludf.DUMMYFUNCTION("""COMPUTED_VALUE"""),"")</f>
        <v/>
      </c>
      <c r="O10467" s="17"/>
    </row>
    <row r="10468">
      <c r="B10468" s="17" t="s">
        <v>477</v>
      </c>
      <c r="K10468" s="18" t="s">
        <v>477</v>
      </c>
      <c r="N10468" s="17" t="str">
        <f>IFERROR(__xludf.DUMMYFUNCTION("""COMPUTED_VALUE"""),"")</f>
        <v/>
      </c>
      <c r="O10468" s="17"/>
    </row>
    <row r="10469">
      <c r="B10469" s="17" t="s">
        <v>477</v>
      </c>
      <c r="K10469" s="18" t="s">
        <v>477</v>
      </c>
      <c r="N10469" s="17" t="str">
        <f>IFERROR(__xludf.DUMMYFUNCTION("""COMPUTED_VALUE"""),"")</f>
        <v/>
      </c>
      <c r="O10469" s="17"/>
    </row>
    <row r="10470">
      <c r="B10470" s="17" t="s">
        <v>477</v>
      </c>
      <c r="K10470" s="18" t="s">
        <v>477</v>
      </c>
      <c r="N10470" s="17" t="str">
        <f>IFERROR(__xludf.DUMMYFUNCTION("""COMPUTED_VALUE"""),"")</f>
        <v/>
      </c>
      <c r="O10470" s="17"/>
    </row>
    <row r="10471">
      <c r="B10471" s="17" t="s">
        <v>477</v>
      </c>
      <c r="K10471" s="18" t="s">
        <v>477</v>
      </c>
      <c r="N10471" s="17" t="str">
        <f>IFERROR(__xludf.DUMMYFUNCTION("""COMPUTED_VALUE"""),"")</f>
        <v/>
      </c>
      <c r="O10471" s="17"/>
    </row>
    <row r="10472">
      <c r="B10472" s="17" t="s">
        <v>477</v>
      </c>
      <c r="K10472" s="18" t="s">
        <v>477</v>
      </c>
      <c r="N10472" s="17" t="str">
        <f>IFERROR(__xludf.DUMMYFUNCTION("""COMPUTED_VALUE"""),"")</f>
        <v/>
      </c>
      <c r="O10472" s="17"/>
    </row>
    <row r="10473">
      <c r="B10473" s="17" t="s">
        <v>477</v>
      </c>
      <c r="K10473" s="18" t="s">
        <v>477</v>
      </c>
      <c r="N10473" s="17" t="str">
        <f>IFERROR(__xludf.DUMMYFUNCTION("""COMPUTED_VALUE"""),"")</f>
        <v/>
      </c>
      <c r="O10473" s="17"/>
    </row>
    <row r="10474">
      <c r="B10474" s="17" t="s">
        <v>477</v>
      </c>
      <c r="K10474" s="18" t="s">
        <v>477</v>
      </c>
      <c r="N10474" s="17" t="str">
        <f>IFERROR(__xludf.DUMMYFUNCTION("""COMPUTED_VALUE"""),"")</f>
        <v/>
      </c>
      <c r="O10474" s="17"/>
    </row>
    <row r="10475">
      <c r="B10475" s="17" t="s">
        <v>477</v>
      </c>
      <c r="K10475" s="18" t="s">
        <v>477</v>
      </c>
      <c r="N10475" s="17" t="str">
        <f>IFERROR(__xludf.DUMMYFUNCTION("""COMPUTED_VALUE"""),"")</f>
        <v/>
      </c>
      <c r="O10475" s="17"/>
    </row>
    <row r="10476">
      <c r="B10476" s="17" t="s">
        <v>477</v>
      </c>
      <c r="K10476" s="18" t="s">
        <v>477</v>
      </c>
      <c r="N10476" s="17" t="str">
        <f>IFERROR(__xludf.DUMMYFUNCTION("""COMPUTED_VALUE"""),"")</f>
        <v/>
      </c>
      <c r="O10476" s="17"/>
    </row>
    <row r="10477">
      <c r="B10477" s="17" t="s">
        <v>477</v>
      </c>
      <c r="K10477" s="18" t="s">
        <v>477</v>
      </c>
      <c r="N10477" s="17" t="str">
        <f>IFERROR(__xludf.DUMMYFUNCTION("""COMPUTED_VALUE"""),"")</f>
        <v/>
      </c>
      <c r="O10477" s="17"/>
    </row>
    <row r="10478">
      <c r="B10478" s="17" t="s">
        <v>477</v>
      </c>
      <c r="K10478" s="18" t="s">
        <v>477</v>
      </c>
      <c r="N10478" s="17" t="str">
        <f>IFERROR(__xludf.DUMMYFUNCTION("""COMPUTED_VALUE"""),"")</f>
        <v/>
      </c>
      <c r="O10478" s="17"/>
    </row>
    <row r="10479">
      <c r="B10479" s="17" t="s">
        <v>477</v>
      </c>
      <c r="K10479" s="18" t="s">
        <v>477</v>
      </c>
      <c r="N10479" s="17" t="str">
        <f>IFERROR(__xludf.DUMMYFUNCTION("""COMPUTED_VALUE"""),"")</f>
        <v/>
      </c>
      <c r="O10479" s="17"/>
    </row>
    <row r="10480">
      <c r="B10480" s="17" t="s">
        <v>477</v>
      </c>
      <c r="K10480" s="18" t="s">
        <v>477</v>
      </c>
      <c r="N10480" s="17" t="str">
        <f>IFERROR(__xludf.DUMMYFUNCTION("""COMPUTED_VALUE"""),"")</f>
        <v/>
      </c>
      <c r="O10480" s="17"/>
    </row>
    <row r="10481">
      <c r="B10481" s="17" t="s">
        <v>477</v>
      </c>
      <c r="K10481" s="18" t="s">
        <v>477</v>
      </c>
      <c r="N10481" s="17" t="str">
        <f>IFERROR(__xludf.DUMMYFUNCTION("""COMPUTED_VALUE"""),"")</f>
        <v/>
      </c>
      <c r="O10481" s="17"/>
    </row>
    <row r="10482">
      <c r="B10482" s="17" t="s">
        <v>477</v>
      </c>
      <c r="K10482" s="18" t="s">
        <v>477</v>
      </c>
      <c r="N10482" s="17" t="str">
        <f>IFERROR(__xludf.DUMMYFUNCTION("""COMPUTED_VALUE"""),"")</f>
        <v/>
      </c>
      <c r="O10482" s="17"/>
    </row>
    <row r="10483">
      <c r="B10483" s="17" t="s">
        <v>477</v>
      </c>
      <c r="K10483" s="18" t="s">
        <v>477</v>
      </c>
      <c r="N10483" s="17" t="str">
        <f>IFERROR(__xludf.DUMMYFUNCTION("""COMPUTED_VALUE"""),"")</f>
        <v/>
      </c>
      <c r="O10483" s="17"/>
    </row>
    <row r="10484">
      <c r="B10484" s="17" t="s">
        <v>477</v>
      </c>
      <c r="K10484" s="18" t="s">
        <v>477</v>
      </c>
      <c r="N10484" s="17" t="str">
        <f>IFERROR(__xludf.DUMMYFUNCTION("""COMPUTED_VALUE"""),"")</f>
        <v/>
      </c>
      <c r="O10484" s="17"/>
    </row>
    <row r="10485">
      <c r="B10485" s="17" t="s">
        <v>477</v>
      </c>
      <c r="K10485" s="18" t="s">
        <v>477</v>
      </c>
      <c r="N10485" s="17" t="str">
        <f>IFERROR(__xludf.DUMMYFUNCTION("""COMPUTED_VALUE"""),"")</f>
        <v/>
      </c>
      <c r="O10485" s="17"/>
    </row>
    <row r="10486">
      <c r="B10486" s="17" t="s">
        <v>477</v>
      </c>
      <c r="K10486" s="18" t="s">
        <v>477</v>
      </c>
      <c r="N10486" s="17" t="str">
        <f>IFERROR(__xludf.DUMMYFUNCTION("""COMPUTED_VALUE"""),"")</f>
        <v/>
      </c>
      <c r="O10486" s="17"/>
    </row>
    <row r="10487">
      <c r="B10487" s="17" t="s">
        <v>477</v>
      </c>
      <c r="K10487" s="18" t="s">
        <v>477</v>
      </c>
      <c r="N10487" s="17" t="str">
        <f>IFERROR(__xludf.DUMMYFUNCTION("""COMPUTED_VALUE"""),"")</f>
        <v/>
      </c>
      <c r="O10487" s="17"/>
    </row>
    <row r="10488">
      <c r="B10488" s="17" t="s">
        <v>477</v>
      </c>
      <c r="K10488" s="18" t="s">
        <v>477</v>
      </c>
      <c r="N10488" s="17" t="str">
        <f>IFERROR(__xludf.DUMMYFUNCTION("""COMPUTED_VALUE"""),"")</f>
        <v/>
      </c>
      <c r="O10488" s="17"/>
    </row>
    <row r="10489">
      <c r="B10489" s="17" t="s">
        <v>477</v>
      </c>
      <c r="K10489" s="18" t="s">
        <v>477</v>
      </c>
      <c r="N10489" s="17" t="str">
        <f>IFERROR(__xludf.DUMMYFUNCTION("""COMPUTED_VALUE"""),"")</f>
        <v/>
      </c>
      <c r="O10489" s="17"/>
    </row>
    <row r="10490">
      <c r="B10490" s="17" t="s">
        <v>477</v>
      </c>
      <c r="K10490" s="18" t="s">
        <v>477</v>
      </c>
      <c r="N10490" s="17" t="str">
        <f>IFERROR(__xludf.DUMMYFUNCTION("""COMPUTED_VALUE"""),"")</f>
        <v/>
      </c>
      <c r="O10490" s="17"/>
    </row>
    <row r="10491">
      <c r="B10491" s="17" t="s">
        <v>477</v>
      </c>
      <c r="K10491" s="18" t="s">
        <v>477</v>
      </c>
      <c r="N10491" s="17" t="str">
        <f>IFERROR(__xludf.DUMMYFUNCTION("""COMPUTED_VALUE"""),"")</f>
        <v/>
      </c>
      <c r="O10491" s="17"/>
    </row>
    <row r="10492">
      <c r="B10492" s="17" t="s">
        <v>477</v>
      </c>
      <c r="K10492" s="18" t="s">
        <v>477</v>
      </c>
      <c r="N10492" s="17" t="str">
        <f>IFERROR(__xludf.DUMMYFUNCTION("""COMPUTED_VALUE"""),"")</f>
        <v/>
      </c>
      <c r="O10492" s="17"/>
    </row>
    <row r="10493">
      <c r="B10493" s="17" t="s">
        <v>477</v>
      </c>
      <c r="K10493" s="18" t="s">
        <v>477</v>
      </c>
      <c r="N10493" s="17" t="str">
        <f>IFERROR(__xludf.DUMMYFUNCTION("""COMPUTED_VALUE"""),"")</f>
        <v/>
      </c>
      <c r="O10493" s="17"/>
    </row>
    <row r="10494">
      <c r="B10494" s="17" t="s">
        <v>477</v>
      </c>
      <c r="K10494" s="18" t="s">
        <v>477</v>
      </c>
      <c r="N10494" s="17" t="str">
        <f>IFERROR(__xludf.DUMMYFUNCTION("""COMPUTED_VALUE"""),"")</f>
        <v/>
      </c>
      <c r="O10494" s="17"/>
    </row>
    <row r="10495">
      <c r="B10495" s="17" t="s">
        <v>477</v>
      </c>
      <c r="K10495" s="18" t="s">
        <v>477</v>
      </c>
      <c r="N10495" s="17" t="str">
        <f>IFERROR(__xludf.DUMMYFUNCTION("""COMPUTED_VALUE"""),"")</f>
        <v/>
      </c>
      <c r="O10495" s="17"/>
    </row>
    <row r="10496">
      <c r="B10496" s="17" t="s">
        <v>477</v>
      </c>
      <c r="K10496" s="18" t="s">
        <v>477</v>
      </c>
      <c r="N10496" s="17" t="str">
        <f>IFERROR(__xludf.DUMMYFUNCTION("""COMPUTED_VALUE"""),"")</f>
        <v/>
      </c>
      <c r="O10496" s="17"/>
    </row>
    <row r="10497">
      <c r="B10497" s="17" t="s">
        <v>477</v>
      </c>
      <c r="K10497" s="18" t="s">
        <v>477</v>
      </c>
      <c r="N10497" s="17" t="str">
        <f>IFERROR(__xludf.DUMMYFUNCTION("""COMPUTED_VALUE"""),"")</f>
        <v/>
      </c>
      <c r="O10497" s="17"/>
    </row>
    <row r="10498">
      <c r="B10498" s="17" t="s">
        <v>477</v>
      </c>
      <c r="K10498" s="18" t="s">
        <v>477</v>
      </c>
      <c r="N10498" s="17" t="str">
        <f>IFERROR(__xludf.DUMMYFUNCTION("""COMPUTED_VALUE"""),"")</f>
        <v/>
      </c>
      <c r="O10498" s="17"/>
    </row>
    <row r="10499">
      <c r="B10499" s="17" t="s">
        <v>477</v>
      </c>
      <c r="K10499" s="18" t="s">
        <v>477</v>
      </c>
      <c r="N10499" s="17" t="str">
        <f>IFERROR(__xludf.DUMMYFUNCTION("""COMPUTED_VALUE"""),"")</f>
        <v/>
      </c>
      <c r="O10499" s="17"/>
    </row>
    <row r="10500">
      <c r="B10500" s="17" t="s">
        <v>477</v>
      </c>
      <c r="K10500" s="18" t="s">
        <v>477</v>
      </c>
      <c r="N10500" s="17" t="str">
        <f>IFERROR(__xludf.DUMMYFUNCTION("""COMPUTED_VALUE"""),"")</f>
        <v/>
      </c>
      <c r="O10500" s="17"/>
    </row>
    <row r="10501">
      <c r="B10501" s="17" t="s">
        <v>477</v>
      </c>
      <c r="K10501" s="18" t="s">
        <v>477</v>
      </c>
      <c r="N10501" s="17" t="str">
        <f>IFERROR(__xludf.DUMMYFUNCTION("""COMPUTED_VALUE"""),"")</f>
        <v/>
      </c>
      <c r="O10501" s="17"/>
    </row>
    <row r="10502">
      <c r="B10502" s="17" t="s">
        <v>477</v>
      </c>
      <c r="K10502" s="18" t="s">
        <v>477</v>
      </c>
      <c r="N10502" s="17" t="str">
        <f>IFERROR(__xludf.DUMMYFUNCTION("""COMPUTED_VALUE"""),"")</f>
        <v/>
      </c>
      <c r="O10502" s="17"/>
    </row>
    <row r="10503">
      <c r="B10503" s="17" t="s">
        <v>477</v>
      </c>
      <c r="K10503" s="18" t="s">
        <v>477</v>
      </c>
      <c r="N10503" s="17" t="str">
        <f>IFERROR(__xludf.DUMMYFUNCTION("""COMPUTED_VALUE"""),"")</f>
        <v/>
      </c>
      <c r="O10503" s="17"/>
    </row>
    <row r="10504">
      <c r="B10504" s="17" t="s">
        <v>477</v>
      </c>
      <c r="K10504" s="18" t="s">
        <v>477</v>
      </c>
      <c r="N10504" s="17" t="str">
        <f>IFERROR(__xludf.DUMMYFUNCTION("""COMPUTED_VALUE"""),"")</f>
        <v/>
      </c>
      <c r="O10504" s="17"/>
    </row>
    <row r="10505">
      <c r="B10505" s="17" t="s">
        <v>477</v>
      </c>
      <c r="K10505" s="18" t="s">
        <v>477</v>
      </c>
      <c r="N10505" s="17" t="str">
        <f>IFERROR(__xludf.DUMMYFUNCTION("""COMPUTED_VALUE"""),"")</f>
        <v/>
      </c>
      <c r="O10505" s="17"/>
    </row>
    <row r="10506">
      <c r="B10506" s="17" t="s">
        <v>477</v>
      </c>
      <c r="K10506" s="18" t="s">
        <v>477</v>
      </c>
      <c r="N10506" s="17" t="str">
        <f>IFERROR(__xludf.DUMMYFUNCTION("""COMPUTED_VALUE"""),"")</f>
        <v/>
      </c>
      <c r="O10506" s="17"/>
    </row>
    <row r="10507">
      <c r="B10507" s="17" t="s">
        <v>477</v>
      </c>
      <c r="K10507" s="18" t="s">
        <v>477</v>
      </c>
      <c r="N10507" s="17" t="str">
        <f>IFERROR(__xludf.DUMMYFUNCTION("""COMPUTED_VALUE"""),"")</f>
        <v/>
      </c>
      <c r="O10507" s="17"/>
    </row>
    <row r="10508">
      <c r="B10508" s="17" t="s">
        <v>477</v>
      </c>
      <c r="K10508" s="18" t="s">
        <v>477</v>
      </c>
      <c r="N10508" s="17" t="str">
        <f>IFERROR(__xludf.DUMMYFUNCTION("""COMPUTED_VALUE"""),"")</f>
        <v/>
      </c>
      <c r="O10508" s="17"/>
    </row>
    <row r="10509">
      <c r="B10509" s="17" t="s">
        <v>477</v>
      </c>
      <c r="K10509" s="18" t="s">
        <v>477</v>
      </c>
      <c r="N10509" s="17" t="str">
        <f>IFERROR(__xludf.DUMMYFUNCTION("""COMPUTED_VALUE"""),"")</f>
        <v/>
      </c>
      <c r="O10509" s="17"/>
    </row>
    <row r="10510">
      <c r="B10510" s="17" t="s">
        <v>477</v>
      </c>
      <c r="K10510" s="18" t="s">
        <v>477</v>
      </c>
      <c r="N10510" s="17" t="str">
        <f>IFERROR(__xludf.DUMMYFUNCTION("""COMPUTED_VALUE"""),"")</f>
        <v/>
      </c>
      <c r="O10510" s="17"/>
    </row>
    <row r="10511">
      <c r="B10511" s="17" t="s">
        <v>477</v>
      </c>
      <c r="K10511" s="18" t="s">
        <v>477</v>
      </c>
      <c r="N10511" s="17" t="str">
        <f>IFERROR(__xludf.DUMMYFUNCTION("""COMPUTED_VALUE"""),"")</f>
        <v/>
      </c>
      <c r="O10511" s="17"/>
    </row>
    <row r="10512">
      <c r="B10512" s="17" t="s">
        <v>477</v>
      </c>
      <c r="K10512" s="18" t="s">
        <v>477</v>
      </c>
      <c r="N10512" s="17" t="str">
        <f>IFERROR(__xludf.DUMMYFUNCTION("""COMPUTED_VALUE"""),"")</f>
        <v/>
      </c>
      <c r="O10512" s="17"/>
    </row>
    <row r="10513">
      <c r="B10513" s="17" t="s">
        <v>477</v>
      </c>
      <c r="K10513" s="18" t="s">
        <v>477</v>
      </c>
      <c r="N10513" s="17" t="str">
        <f>IFERROR(__xludf.DUMMYFUNCTION("""COMPUTED_VALUE"""),"")</f>
        <v/>
      </c>
      <c r="O10513" s="17"/>
    </row>
    <row r="10514">
      <c r="B10514" s="17" t="s">
        <v>477</v>
      </c>
      <c r="K10514" s="18" t="s">
        <v>477</v>
      </c>
      <c r="N10514" s="17" t="str">
        <f>IFERROR(__xludf.DUMMYFUNCTION("""COMPUTED_VALUE"""),"")</f>
        <v/>
      </c>
      <c r="O10514" s="17"/>
    </row>
    <row r="10515">
      <c r="B10515" s="17" t="s">
        <v>477</v>
      </c>
      <c r="K10515" s="18" t="s">
        <v>477</v>
      </c>
      <c r="N10515" s="17" t="str">
        <f>IFERROR(__xludf.DUMMYFUNCTION("""COMPUTED_VALUE"""),"")</f>
        <v/>
      </c>
      <c r="O10515" s="17"/>
    </row>
    <row r="10516">
      <c r="B10516" s="17" t="s">
        <v>477</v>
      </c>
      <c r="K10516" s="18" t="s">
        <v>477</v>
      </c>
      <c r="N10516" s="17" t="str">
        <f>IFERROR(__xludf.DUMMYFUNCTION("""COMPUTED_VALUE"""),"")</f>
        <v/>
      </c>
      <c r="O10516" s="17"/>
    </row>
    <row r="10517">
      <c r="B10517" s="17" t="s">
        <v>477</v>
      </c>
      <c r="K10517" s="18" t="s">
        <v>477</v>
      </c>
      <c r="N10517" s="17" t="str">
        <f>IFERROR(__xludf.DUMMYFUNCTION("""COMPUTED_VALUE"""),"")</f>
        <v/>
      </c>
      <c r="O10517" s="17"/>
    </row>
    <row r="10518">
      <c r="B10518" s="17" t="s">
        <v>477</v>
      </c>
      <c r="K10518" s="18" t="s">
        <v>477</v>
      </c>
      <c r="N10518" s="17" t="str">
        <f>IFERROR(__xludf.DUMMYFUNCTION("""COMPUTED_VALUE"""),"")</f>
        <v/>
      </c>
      <c r="O10518" s="17"/>
    </row>
    <row r="10519">
      <c r="B10519" s="17" t="s">
        <v>477</v>
      </c>
      <c r="K10519" s="18" t="s">
        <v>477</v>
      </c>
      <c r="N10519" s="17" t="str">
        <f>IFERROR(__xludf.DUMMYFUNCTION("""COMPUTED_VALUE"""),"")</f>
        <v/>
      </c>
      <c r="O10519" s="17"/>
    </row>
    <row r="10520">
      <c r="B10520" s="17" t="s">
        <v>477</v>
      </c>
      <c r="K10520" s="18" t="s">
        <v>477</v>
      </c>
      <c r="N10520" s="17" t="str">
        <f>IFERROR(__xludf.DUMMYFUNCTION("""COMPUTED_VALUE"""),"")</f>
        <v/>
      </c>
      <c r="O10520" s="17"/>
    </row>
    <row r="10521">
      <c r="B10521" s="17" t="s">
        <v>477</v>
      </c>
      <c r="K10521" s="18" t="s">
        <v>477</v>
      </c>
      <c r="N10521" s="17" t="str">
        <f>IFERROR(__xludf.DUMMYFUNCTION("""COMPUTED_VALUE"""),"")</f>
        <v/>
      </c>
      <c r="O10521" s="17"/>
    </row>
    <row r="10522">
      <c r="B10522" s="17" t="s">
        <v>477</v>
      </c>
      <c r="K10522" s="18" t="s">
        <v>477</v>
      </c>
      <c r="N10522" s="17" t="str">
        <f>IFERROR(__xludf.DUMMYFUNCTION("""COMPUTED_VALUE"""),"")</f>
        <v/>
      </c>
      <c r="O10522" s="17"/>
    </row>
    <row r="10523">
      <c r="B10523" s="17" t="s">
        <v>477</v>
      </c>
      <c r="K10523" s="18" t="s">
        <v>477</v>
      </c>
      <c r="N10523" s="17" t="str">
        <f>IFERROR(__xludf.DUMMYFUNCTION("""COMPUTED_VALUE"""),"")</f>
        <v/>
      </c>
      <c r="O10523" s="17"/>
    </row>
    <row r="10524">
      <c r="B10524" s="17" t="s">
        <v>477</v>
      </c>
      <c r="K10524" s="18" t="s">
        <v>477</v>
      </c>
      <c r="N10524" s="17" t="str">
        <f>IFERROR(__xludf.DUMMYFUNCTION("""COMPUTED_VALUE"""),"")</f>
        <v/>
      </c>
      <c r="O10524" s="17"/>
    </row>
    <row r="10525">
      <c r="B10525" s="17" t="s">
        <v>477</v>
      </c>
      <c r="K10525" s="18" t="s">
        <v>477</v>
      </c>
      <c r="N10525" s="17" t="str">
        <f>IFERROR(__xludf.DUMMYFUNCTION("""COMPUTED_VALUE"""),"")</f>
        <v/>
      </c>
      <c r="O10525" s="17"/>
    </row>
    <row r="10526">
      <c r="B10526" s="17" t="s">
        <v>477</v>
      </c>
      <c r="K10526" s="18" t="s">
        <v>477</v>
      </c>
      <c r="N10526" s="17" t="str">
        <f>IFERROR(__xludf.DUMMYFUNCTION("""COMPUTED_VALUE"""),"")</f>
        <v/>
      </c>
      <c r="O10526" s="17"/>
    </row>
    <row r="10527">
      <c r="B10527" s="17" t="s">
        <v>477</v>
      </c>
      <c r="K10527" s="18" t="s">
        <v>477</v>
      </c>
      <c r="N10527" s="17" t="str">
        <f>IFERROR(__xludf.DUMMYFUNCTION("""COMPUTED_VALUE"""),"")</f>
        <v/>
      </c>
      <c r="O10527" s="17"/>
    </row>
    <row r="10528">
      <c r="B10528" s="17" t="s">
        <v>477</v>
      </c>
      <c r="K10528" s="18" t="s">
        <v>477</v>
      </c>
      <c r="N10528" s="17" t="str">
        <f>IFERROR(__xludf.DUMMYFUNCTION("""COMPUTED_VALUE"""),"")</f>
        <v/>
      </c>
      <c r="O10528" s="17"/>
    </row>
    <row r="10529">
      <c r="B10529" s="17" t="s">
        <v>477</v>
      </c>
      <c r="K10529" s="18" t="s">
        <v>477</v>
      </c>
      <c r="N10529" s="17" t="str">
        <f>IFERROR(__xludf.DUMMYFUNCTION("""COMPUTED_VALUE"""),"")</f>
        <v/>
      </c>
      <c r="O10529" s="17"/>
    </row>
    <row r="10530">
      <c r="B10530" s="17" t="s">
        <v>477</v>
      </c>
      <c r="K10530" s="18" t="s">
        <v>477</v>
      </c>
      <c r="N10530" s="17" t="str">
        <f>IFERROR(__xludf.DUMMYFUNCTION("""COMPUTED_VALUE"""),"")</f>
        <v/>
      </c>
      <c r="O10530" s="17"/>
    </row>
    <row r="10531">
      <c r="B10531" s="17" t="s">
        <v>477</v>
      </c>
      <c r="K10531" s="18" t="s">
        <v>477</v>
      </c>
      <c r="N10531" s="17" t="str">
        <f>IFERROR(__xludf.DUMMYFUNCTION("""COMPUTED_VALUE"""),"")</f>
        <v/>
      </c>
      <c r="O10531" s="17"/>
    </row>
    <row r="10532">
      <c r="B10532" s="17" t="s">
        <v>477</v>
      </c>
      <c r="K10532" s="18" t="s">
        <v>477</v>
      </c>
      <c r="N10532" s="17" t="str">
        <f>IFERROR(__xludf.DUMMYFUNCTION("""COMPUTED_VALUE"""),"")</f>
        <v/>
      </c>
      <c r="O10532" s="17"/>
    </row>
    <row r="10533">
      <c r="B10533" s="17" t="s">
        <v>477</v>
      </c>
      <c r="K10533" s="18" t="s">
        <v>477</v>
      </c>
      <c r="N10533" s="17" t="str">
        <f>IFERROR(__xludf.DUMMYFUNCTION("""COMPUTED_VALUE"""),"")</f>
        <v/>
      </c>
      <c r="O10533" s="17"/>
    </row>
    <row r="10534">
      <c r="B10534" s="17" t="s">
        <v>477</v>
      </c>
      <c r="K10534" s="18" t="s">
        <v>477</v>
      </c>
      <c r="N10534" s="17" t="str">
        <f>IFERROR(__xludf.DUMMYFUNCTION("""COMPUTED_VALUE"""),"")</f>
        <v/>
      </c>
      <c r="O10534" s="17"/>
    </row>
    <row r="10535">
      <c r="B10535" s="17" t="s">
        <v>477</v>
      </c>
      <c r="K10535" s="18" t="s">
        <v>477</v>
      </c>
      <c r="N10535" s="17" t="str">
        <f>IFERROR(__xludf.DUMMYFUNCTION("""COMPUTED_VALUE"""),"")</f>
        <v/>
      </c>
      <c r="O10535" s="17"/>
    </row>
    <row r="10536">
      <c r="B10536" s="17" t="s">
        <v>477</v>
      </c>
      <c r="K10536" s="18" t="s">
        <v>477</v>
      </c>
      <c r="N10536" s="17" t="str">
        <f>IFERROR(__xludf.DUMMYFUNCTION("""COMPUTED_VALUE"""),"")</f>
        <v/>
      </c>
      <c r="O10536" s="17"/>
    </row>
    <row r="10537">
      <c r="B10537" s="17" t="s">
        <v>477</v>
      </c>
      <c r="K10537" s="18" t="s">
        <v>477</v>
      </c>
      <c r="N10537" s="17" t="str">
        <f>IFERROR(__xludf.DUMMYFUNCTION("""COMPUTED_VALUE"""),"")</f>
        <v/>
      </c>
      <c r="O10537" s="17"/>
    </row>
    <row r="10538">
      <c r="B10538" s="17" t="s">
        <v>477</v>
      </c>
      <c r="K10538" s="18" t="s">
        <v>477</v>
      </c>
      <c r="N10538" s="17" t="str">
        <f>IFERROR(__xludf.DUMMYFUNCTION("""COMPUTED_VALUE"""),"")</f>
        <v/>
      </c>
      <c r="O10538" s="17"/>
    </row>
    <row r="10539">
      <c r="B10539" s="17" t="s">
        <v>477</v>
      </c>
      <c r="K10539" s="18" t="s">
        <v>477</v>
      </c>
      <c r="N10539" s="17" t="str">
        <f>IFERROR(__xludf.DUMMYFUNCTION("""COMPUTED_VALUE"""),"")</f>
        <v/>
      </c>
      <c r="O10539" s="17"/>
    </row>
    <row r="10540">
      <c r="B10540" s="17" t="s">
        <v>477</v>
      </c>
      <c r="K10540" s="18" t="s">
        <v>477</v>
      </c>
      <c r="N10540" s="17" t="str">
        <f>IFERROR(__xludf.DUMMYFUNCTION("""COMPUTED_VALUE"""),"")</f>
        <v/>
      </c>
      <c r="O10540" s="17"/>
    </row>
    <row r="10541">
      <c r="B10541" s="17" t="s">
        <v>477</v>
      </c>
      <c r="K10541" s="18" t="s">
        <v>477</v>
      </c>
      <c r="N10541" s="17" t="str">
        <f>IFERROR(__xludf.DUMMYFUNCTION("""COMPUTED_VALUE"""),"")</f>
        <v/>
      </c>
      <c r="O10541" s="17"/>
    </row>
    <row r="10542">
      <c r="B10542" s="17" t="s">
        <v>477</v>
      </c>
      <c r="K10542" s="18" t="s">
        <v>477</v>
      </c>
      <c r="N10542" s="17" t="str">
        <f>IFERROR(__xludf.DUMMYFUNCTION("""COMPUTED_VALUE"""),"")</f>
        <v/>
      </c>
      <c r="O10542" s="17"/>
    </row>
    <row r="10543">
      <c r="B10543" s="17" t="s">
        <v>477</v>
      </c>
      <c r="K10543" s="18" t="s">
        <v>477</v>
      </c>
      <c r="N10543" s="17" t="str">
        <f>IFERROR(__xludf.DUMMYFUNCTION("""COMPUTED_VALUE"""),"")</f>
        <v/>
      </c>
      <c r="O10543" s="17"/>
    </row>
    <row r="10544">
      <c r="B10544" s="17" t="s">
        <v>477</v>
      </c>
      <c r="K10544" s="18" t="s">
        <v>477</v>
      </c>
      <c r="N10544" s="17" t="str">
        <f>IFERROR(__xludf.DUMMYFUNCTION("""COMPUTED_VALUE"""),"")</f>
        <v/>
      </c>
      <c r="O10544" s="17"/>
    </row>
    <row r="10545">
      <c r="B10545" s="17" t="s">
        <v>477</v>
      </c>
      <c r="K10545" s="18" t="s">
        <v>477</v>
      </c>
      <c r="N10545" s="17" t="str">
        <f>IFERROR(__xludf.DUMMYFUNCTION("""COMPUTED_VALUE"""),"")</f>
        <v/>
      </c>
      <c r="O10545" s="17"/>
    </row>
    <row r="10546">
      <c r="B10546" s="17" t="s">
        <v>477</v>
      </c>
      <c r="K10546" s="18" t="s">
        <v>477</v>
      </c>
      <c r="N10546" s="17" t="str">
        <f>IFERROR(__xludf.DUMMYFUNCTION("""COMPUTED_VALUE"""),"")</f>
        <v/>
      </c>
      <c r="O10546" s="17"/>
    </row>
    <row r="10547">
      <c r="B10547" s="17" t="s">
        <v>477</v>
      </c>
      <c r="K10547" s="18" t="s">
        <v>477</v>
      </c>
      <c r="N10547" s="17" t="str">
        <f>IFERROR(__xludf.DUMMYFUNCTION("""COMPUTED_VALUE"""),"")</f>
        <v/>
      </c>
      <c r="O10547" s="17"/>
    </row>
    <row r="10548">
      <c r="B10548" s="17" t="s">
        <v>477</v>
      </c>
      <c r="K10548" s="18" t="s">
        <v>477</v>
      </c>
      <c r="N10548" s="17" t="str">
        <f>IFERROR(__xludf.DUMMYFUNCTION("""COMPUTED_VALUE"""),"")</f>
        <v/>
      </c>
      <c r="O10548" s="17"/>
    </row>
    <row r="10549">
      <c r="B10549" s="17" t="s">
        <v>477</v>
      </c>
      <c r="K10549" s="18" t="s">
        <v>477</v>
      </c>
      <c r="N10549" s="17" t="str">
        <f>IFERROR(__xludf.DUMMYFUNCTION("""COMPUTED_VALUE"""),"")</f>
        <v/>
      </c>
      <c r="O10549" s="17"/>
    </row>
    <row r="10550">
      <c r="B10550" s="17" t="s">
        <v>477</v>
      </c>
      <c r="K10550" s="18" t="s">
        <v>477</v>
      </c>
      <c r="N10550" s="17" t="str">
        <f>IFERROR(__xludf.DUMMYFUNCTION("""COMPUTED_VALUE"""),"")</f>
        <v/>
      </c>
      <c r="O10550" s="17"/>
    </row>
    <row r="10551">
      <c r="B10551" s="17" t="s">
        <v>477</v>
      </c>
      <c r="K10551" s="18" t="s">
        <v>477</v>
      </c>
      <c r="N10551" s="17" t="str">
        <f>IFERROR(__xludf.DUMMYFUNCTION("""COMPUTED_VALUE"""),"")</f>
        <v/>
      </c>
      <c r="O10551" s="17"/>
    </row>
    <row r="10552">
      <c r="B10552" s="17" t="s">
        <v>477</v>
      </c>
      <c r="K10552" s="18" t="s">
        <v>477</v>
      </c>
      <c r="N10552" s="17" t="str">
        <f>IFERROR(__xludf.DUMMYFUNCTION("""COMPUTED_VALUE"""),"")</f>
        <v/>
      </c>
      <c r="O10552" s="17"/>
    </row>
    <row r="10553">
      <c r="B10553" s="17" t="s">
        <v>477</v>
      </c>
      <c r="K10553" s="18" t="s">
        <v>477</v>
      </c>
      <c r="N10553" s="17" t="str">
        <f>IFERROR(__xludf.DUMMYFUNCTION("""COMPUTED_VALUE"""),"")</f>
        <v/>
      </c>
      <c r="O10553" s="17"/>
    </row>
    <row r="10554">
      <c r="B10554" s="17" t="s">
        <v>477</v>
      </c>
      <c r="K10554" s="18" t="s">
        <v>477</v>
      </c>
      <c r="N10554" s="17" t="str">
        <f>IFERROR(__xludf.DUMMYFUNCTION("""COMPUTED_VALUE"""),"")</f>
        <v/>
      </c>
      <c r="O10554" s="17"/>
    </row>
    <row r="10555">
      <c r="B10555" s="17" t="s">
        <v>477</v>
      </c>
      <c r="K10555" s="18" t="s">
        <v>477</v>
      </c>
      <c r="N10555" s="17" t="str">
        <f>IFERROR(__xludf.DUMMYFUNCTION("""COMPUTED_VALUE"""),"")</f>
        <v/>
      </c>
      <c r="O10555" s="17"/>
    </row>
    <row r="10556">
      <c r="B10556" s="17" t="s">
        <v>477</v>
      </c>
      <c r="K10556" s="18" t="s">
        <v>477</v>
      </c>
      <c r="N10556" s="17" t="str">
        <f>IFERROR(__xludf.DUMMYFUNCTION("""COMPUTED_VALUE"""),"")</f>
        <v/>
      </c>
      <c r="O10556" s="17"/>
    </row>
    <row r="10557">
      <c r="B10557" s="17" t="s">
        <v>477</v>
      </c>
      <c r="K10557" s="18" t="s">
        <v>477</v>
      </c>
      <c r="N10557" s="17" t="str">
        <f>IFERROR(__xludf.DUMMYFUNCTION("""COMPUTED_VALUE"""),"")</f>
        <v/>
      </c>
      <c r="O10557" s="17"/>
    </row>
    <row r="10558">
      <c r="B10558" s="17" t="s">
        <v>477</v>
      </c>
      <c r="K10558" s="18" t="s">
        <v>477</v>
      </c>
      <c r="N10558" s="17" t="str">
        <f>IFERROR(__xludf.DUMMYFUNCTION("""COMPUTED_VALUE"""),"")</f>
        <v/>
      </c>
      <c r="O10558" s="17"/>
    </row>
    <row r="10559">
      <c r="B10559" s="17" t="s">
        <v>477</v>
      </c>
      <c r="K10559" s="18" t="s">
        <v>477</v>
      </c>
      <c r="N10559" s="17" t="str">
        <f>IFERROR(__xludf.DUMMYFUNCTION("""COMPUTED_VALUE"""),"")</f>
        <v/>
      </c>
      <c r="O10559" s="17"/>
    </row>
    <row r="10560">
      <c r="B10560" s="17" t="s">
        <v>477</v>
      </c>
      <c r="K10560" s="18" t="s">
        <v>477</v>
      </c>
      <c r="N10560" s="17" t="str">
        <f>IFERROR(__xludf.DUMMYFUNCTION("""COMPUTED_VALUE"""),"")</f>
        <v/>
      </c>
      <c r="O10560" s="17"/>
    </row>
    <row r="10561">
      <c r="B10561" s="17" t="s">
        <v>477</v>
      </c>
      <c r="K10561" s="18" t="s">
        <v>477</v>
      </c>
      <c r="N10561" s="17" t="str">
        <f>IFERROR(__xludf.DUMMYFUNCTION("""COMPUTED_VALUE"""),"")</f>
        <v/>
      </c>
      <c r="O10561" s="17"/>
    </row>
    <row r="10562">
      <c r="B10562" s="17" t="s">
        <v>477</v>
      </c>
      <c r="K10562" s="18" t="s">
        <v>477</v>
      </c>
      <c r="N10562" s="17" t="str">
        <f>IFERROR(__xludf.DUMMYFUNCTION("""COMPUTED_VALUE"""),"")</f>
        <v/>
      </c>
      <c r="O10562" s="17"/>
    </row>
    <row r="10563">
      <c r="B10563" s="17" t="s">
        <v>477</v>
      </c>
      <c r="K10563" s="18" t="s">
        <v>477</v>
      </c>
      <c r="N10563" s="17" t="str">
        <f>IFERROR(__xludf.DUMMYFUNCTION("""COMPUTED_VALUE"""),"")</f>
        <v/>
      </c>
      <c r="O10563" s="17"/>
    </row>
    <row r="10564">
      <c r="B10564" s="17" t="s">
        <v>477</v>
      </c>
      <c r="K10564" s="18" t="s">
        <v>477</v>
      </c>
      <c r="N10564" s="17" t="str">
        <f>IFERROR(__xludf.DUMMYFUNCTION("""COMPUTED_VALUE"""),"")</f>
        <v/>
      </c>
      <c r="O10564" s="17"/>
    </row>
    <row r="10565">
      <c r="B10565" s="17" t="s">
        <v>477</v>
      </c>
      <c r="K10565" s="18" t="s">
        <v>477</v>
      </c>
      <c r="N10565" s="17" t="str">
        <f>IFERROR(__xludf.DUMMYFUNCTION("""COMPUTED_VALUE"""),"")</f>
        <v/>
      </c>
      <c r="O10565" s="17"/>
    </row>
    <row r="10566">
      <c r="B10566" s="17" t="s">
        <v>477</v>
      </c>
      <c r="K10566" s="18" t="s">
        <v>477</v>
      </c>
      <c r="N10566" s="17" t="str">
        <f>IFERROR(__xludf.DUMMYFUNCTION("""COMPUTED_VALUE"""),"")</f>
        <v/>
      </c>
      <c r="O10566" s="17"/>
    </row>
    <row r="10567">
      <c r="B10567" s="17" t="s">
        <v>477</v>
      </c>
      <c r="K10567" s="18" t="s">
        <v>477</v>
      </c>
      <c r="N10567" s="17" t="str">
        <f>IFERROR(__xludf.DUMMYFUNCTION("""COMPUTED_VALUE"""),"")</f>
        <v/>
      </c>
      <c r="O10567" s="17"/>
    </row>
    <row r="10568">
      <c r="B10568" s="17" t="s">
        <v>477</v>
      </c>
      <c r="K10568" s="18" t="s">
        <v>477</v>
      </c>
      <c r="N10568" s="17" t="str">
        <f>IFERROR(__xludf.DUMMYFUNCTION("""COMPUTED_VALUE"""),"")</f>
        <v/>
      </c>
      <c r="O10568" s="17"/>
    </row>
    <row r="10569">
      <c r="B10569" s="17" t="s">
        <v>477</v>
      </c>
      <c r="K10569" s="18" t="s">
        <v>477</v>
      </c>
      <c r="N10569" s="17" t="str">
        <f>IFERROR(__xludf.DUMMYFUNCTION("""COMPUTED_VALUE"""),"")</f>
        <v/>
      </c>
      <c r="O10569" s="17"/>
    </row>
    <row r="10570">
      <c r="B10570" s="17" t="s">
        <v>477</v>
      </c>
      <c r="K10570" s="18" t="s">
        <v>477</v>
      </c>
      <c r="N10570" s="17" t="str">
        <f>IFERROR(__xludf.DUMMYFUNCTION("""COMPUTED_VALUE"""),"")</f>
        <v/>
      </c>
      <c r="O10570" s="17"/>
    </row>
    <row r="10571">
      <c r="B10571" s="17" t="s">
        <v>477</v>
      </c>
      <c r="K10571" s="18" t="s">
        <v>477</v>
      </c>
      <c r="N10571" s="17" t="str">
        <f>IFERROR(__xludf.DUMMYFUNCTION("""COMPUTED_VALUE"""),"")</f>
        <v/>
      </c>
      <c r="O10571" s="17"/>
    </row>
    <row r="10572">
      <c r="B10572" s="17" t="s">
        <v>477</v>
      </c>
      <c r="K10572" s="18" t="s">
        <v>477</v>
      </c>
      <c r="N10572" s="17" t="str">
        <f>IFERROR(__xludf.DUMMYFUNCTION("""COMPUTED_VALUE"""),"")</f>
        <v/>
      </c>
      <c r="O10572" s="17"/>
    </row>
    <row r="10573">
      <c r="B10573" s="17" t="s">
        <v>477</v>
      </c>
      <c r="K10573" s="18" t="s">
        <v>477</v>
      </c>
      <c r="N10573" s="17" t="str">
        <f>IFERROR(__xludf.DUMMYFUNCTION("""COMPUTED_VALUE"""),"")</f>
        <v/>
      </c>
      <c r="O10573" s="17"/>
    </row>
    <row r="10574">
      <c r="B10574" s="17" t="s">
        <v>477</v>
      </c>
      <c r="K10574" s="18" t="s">
        <v>477</v>
      </c>
      <c r="N10574" s="17" t="str">
        <f>IFERROR(__xludf.DUMMYFUNCTION("""COMPUTED_VALUE"""),"")</f>
        <v/>
      </c>
      <c r="O10574" s="17"/>
    </row>
    <row r="10575">
      <c r="B10575" s="17" t="s">
        <v>477</v>
      </c>
      <c r="K10575" s="18" t="s">
        <v>477</v>
      </c>
      <c r="N10575" s="17" t="str">
        <f>IFERROR(__xludf.DUMMYFUNCTION("""COMPUTED_VALUE"""),"")</f>
        <v/>
      </c>
      <c r="O10575" s="17"/>
    </row>
    <row r="10576">
      <c r="B10576" s="17" t="s">
        <v>477</v>
      </c>
      <c r="K10576" s="18" t="s">
        <v>477</v>
      </c>
      <c r="N10576" s="17" t="str">
        <f>IFERROR(__xludf.DUMMYFUNCTION("""COMPUTED_VALUE"""),"")</f>
        <v/>
      </c>
      <c r="O10576" s="17"/>
    </row>
    <row r="10577">
      <c r="B10577" s="17" t="s">
        <v>477</v>
      </c>
      <c r="K10577" s="18" t="s">
        <v>477</v>
      </c>
      <c r="N10577" s="17" t="str">
        <f>IFERROR(__xludf.DUMMYFUNCTION("""COMPUTED_VALUE"""),"")</f>
        <v/>
      </c>
      <c r="O10577" s="17"/>
    </row>
    <row r="10578">
      <c r="B10578" s="17" t="s">
        <v>477</v>
      </c>
      <c r="K10578" s="18" t="s">
        <v>477</v>
      </c>
      <c r="N10578" s="17" t="str">
        <f>IFERROR(__xludf.DUMMYFUNCTION("""COMPUTED_VALUE"""),"")</f>
        <v/>
      </c>
      <c r="O10578" s="17"/>
    </row>
    <row r="10579">
      <c r="B10579" s="17" t="s">
        <v>477</v>
      </c>
      <c r="K10579" s="18" t="s">
        <v>477</v>
      </c>
      <c r="N10579" s="17" t="str">
        <f>IFERROR(__xludf.DUMMYFUNCTION("""COMPUTED_VALUE"""),"")</f>
        <v/>
      </c>
      <c r="O10579" s="17"/>
    </row>
    <row r="10580">
      <c r="B10580" s="17" t="s">
        <v>477</v>
      </c>
      <c r="K10580" s="18" t="s">
        <v>477</v>
      </c>
      <c r="N10580" s="17" t="str">
        <f>IFERROR(__xludf.DUMMYFUNCTION("""COMPUTED_VALUE"""),"")</f>
        <v/>
      </c>
      <c r="O10580" s="17"/>
    </row>
    <row r="10581">
      <c r="B10581" s="17" t="s">
        <v>477</v>
      </c>
      <c r="K10581" s="18" t="s">
        <v>477</v>
      </c>
      <c r="N10581" s="17" t="str">
        <f>IFERROR(__xludf.DUMMYFUNCTION("""COMPUTED_VALUE"""),"")</f>
        <v/>
      </c>
      <c r="O10581" s="17"/>
    </row>
    <row r="10582">
      <c r="B10582" s="17" t="s">
        <v>477</v>
      </c>
      <c r="K10582" s="18" t="s">
        <v>477</v>
      </c>
      <c r="N10582" s="17" t="str">
        <f>IFERROR(__xludf.DUMMYFUNCTION("""COMPUTED_VALUE"""),"")</f>
        <v/>
      </c>
      <c r="O10582" s="17"/>
    </row>
    <row r="10583">
      <c r="B10583" s="17" t="s">
        <v>477</v>
      </c>
      <c r="K10583" s="18" t="s">
        <v>477</v>
      </c>
      <c r="N10583" s="17" t="str">
        <f>IFERROR(__xludf.DUMMYFUNCTION("""COMPUTED_VALUE"""),"")</f>
        <v/>
      </c>
      <c r="O10583" s="17"/>
    </row>
    <row r="10584">
      <c r="B10584" s="17" t="s">
        <v>477</v>
      </c>
      <c r="K10584" s="18" t="s">
        <v>477</v>
      </c>
      <c r="N10584" s="17" t="str">
        <f>IFERROR(__xludf.DUMMYFUNCTION("""COMPUTED_VALUE"""),"")</f>
        <v/>
      </c>
      <c r="O10584" s="17"/>
    </row>
    <row r="10585">
      <c r="B10585" s="17" t="s">
        <v>477</v>
      </c>
      <c r="K10585" s="18" t="s">
        <v>477</v>
      </c>
      <c r="N10585" s="17" t="str">
        <f>IFERROR(__xludf.DUMMYFUNCTION("""COMPUTED_VALUE"""),"")</f>
        <v/>
      </c>
      <c r="O10585" s="17"/>
    </row>
    <row r="10586">
      <c r="B10586" s="17" t="s">
        <v>477</v>
      </c>
      <c r="K10586" s="18" t="s">
        <v>477</v>
      </c>
      <c r="N10586" s="17" t="str">
        <f>IFERROR(__xludf.DUMMYFUNCTION("""COMPUTED_VALUE"""),"")</f>
        <v/>
      </c>
      <c r="O10586" s="17"/>
    </row>
    <row r="10587">
      <c r="B10587" s="17" t="s">
        <v>477</v>
      </c>
      <c r="K10587" s="18" t="s">
        <v>477</v>
      </c>
      <c r="N10587" s="17" t="str">
        <f>IFERROR(__xludf.DUMMYFUNCTION("""COMPUTED_VALUE"""),"")</f>
        <v/>
      </c>
      <c r="O10587" s="17"/>
    </row>
    <row r="10588">
      <c r="B10588" s="17" t="s">
        <v>477</v>
      </c>
      <c r="K10588" s="18" t="s">
        <v>477</v>
      </c>
      <c r="N10588" s="17" t="str">
        <f>IFERROR(__xludf.DUMMYFUNCTION("""COMPUTED_VALUE"""),"")</f>
        <v/>
      </c>
      <c r="O10588" s="17"/>
    </row>
    <row r="10589">
      <c r="B10589" s="17" t="s">
        <v>477</v>
      </c>
      <c r="K10589" s="18" t="s">
        <v>477</v>
      </c>
      <c r="N10589" s="17" t="str">
        <f>IFERROR(__xludf.DUMMYFUNCTION("""COMPUTED_VALUE"""),"")</f>
        <v/>
      </c>
      <c r="O10589" s="17"/>
    </row>
    <row r="10590">
      <c r="B10590" s="17" t="s">
        <v>477</v>
      </c>
      <c r="K10590" s="18" t="s">
        <v>477</v>
      </c>
      <c r="N10590" s="17" t="str">
        <f>IFERROR(__xludf.DUMMYFUNCTION("""COMPUTED_VALUE"""),"")</f>
        <v/>
      </c>
      <c r="O10590" s="17"/>
    </row>
    <row r="10591">
      <c r="B10591" s="17" t="s">
        <v>477</v>
      </c>
      <c r="K10591" s="18" t="s">
        <v>477</v>
      </c>
      <c r="N10591" s="17" t="str">
        <f>IFERROR(__xludf.DUMMYFUNCTION("""COMPUTED_VALUE"""),"")</f>
        <v/>
      </c>
      <c r="O10591" s="17"/>
    </row>
    <row r="10592">
      <c r="B10592" s="17" t="s">
        <v>477</v>
      </c>
      <c r="K10592" s="18" t="s">
        <v>477</v>
      </c>
      <c r="N10592" s="17" t="str">
        <f>IFERROR(__xludf.DUMMYFUNCTION("""COMPUTED_VALUE"""),"")</f>
        <v/>
      </c>
      <c r="O10592" s="17"/>
    </row>
    <row r="10593">
      <c r="B10593" s="17" t="s">
        <v>477</v>
      </c>
      <c r="K10593" s="18" t="s">
        <v>477</v>
      </c>
      <c r="N10593" s="17" t="str">
        <f>IFERROR(__xludf.DUMMYFUNCTION("""COMPUTED_VALUE"""),"")</f>
        <v/>
      </c>
      <c r="O10593" s="17"/>
    </row>
    <row r="10594">
      <c r="B10594" s="17" t="s">
        <v>477</v>
      </c>
      <c r="K10594" s="18" t="s">
        <v>477</v>
      </c>
      <c r="N10594" s="17" t="str">
        <f>IFERROR(__xludf.DUMMYFUNCTION("""COMPUTED_VALUE"""),"")</f>
        <v/>
      </c>
      <c r="O10594" s="17"/>
    </row>
    <row r="10595">
      <c r="B10595" s="17" t="s">
        <v>477</v>
      </c>
      <c r="K10595" s="18" t="s">
        <v>477</v>
      </c>
      <c r="N10595" s="17" t="str">
        <f>IFERROR(__xludf.DUMMYFUNCTION("""COMPUTED_VALUE"""),"")</f>
        <v/>
      </c>
      <c r="O10595" s="17"/>
    </row>
    <row r="10596">
      <c r="B10596" s="17" t="s">
        <v>477</v>
      </c>
      <c r="K10596" s="18" t="s">
        <v>477</v>
      </c>
      <c r="N10596" s="17" t="str">
        <f>IFERROR(__xludf.DUMMYFUNCTION("""COMPUTED_VALUE"""),"")</f>
        <v/>
      </c>
      <c r="O10596" s="17"/>
    </row>
    <row r="10597">
      <c r="B10597" s="17" t="s">
        <v>477</v>
      </c>
      <c r="K10597" s="18" t="s">
        <v>477</v>
      </c>
      <c r="N10597" s="17" t="str">
        <f>IFERROR(__xludf.DUMMYFUNCTION("""COMPUTED_VALUE"""),"")</f>
        <v/>
      </c>
      <c r="O10597" s="17"/>
    </row>
    <row r="10598">
      <c r="B10598" s="17" t="s">
        <v>477</v>
      </c>
      <c r="K10598" s="18" t="s">
        <v>477</v>
      </c>
      <c r="N10598" s="17" t="str">
        <f>IFERROR(__xludf.DUMMYFUNCTION("""COMPUTED_VALUE"""),"")</f>
        <v/>
      </c>
      <c r="O10598" s="17"/>
    </row>
    <row r="10599">
      <c r="B10599" s="17" t="s">
        <v>477</v>
      </c>
      <c r="K10599" s="18" t="s">
        <v>477</v>
      </c>
      <c r="N10599" s="17" t="str">
        <f>IFERROR(__xludf.DUMMYFUNCTION("""COMPUTED_VALUE"""),"")</f>
        <v/>
      </c>
      <c r="O10599" s="17"/>
    </row>
    <row r="10600">
      <c r="B10600" s="17" t="s">
        <v>477</v>
      </c>
      <c r="K10600" s="18" t="s">
        <v>477</v>
      </c>
      <c r="N10600" s="17" t="str">
        <f>IFERROR(__xludf.DUMMYFUNCTION("""COMPUTED_VALUE"""),"")</f>
        <v/>
      </c>
      <c r="O10600" s="17"/>
    </row>
    <row r="10601">
      <c r="B10601" s="17" t="s">
        <v>477</v>
      </c>
      <c r="K10601" s="18" t="s">
        <v>477</v>
      </c>
      <c r="N10601" s="17" t="str">
        <f>IFERROR(__xludf.DUMMYFUNCTION("""COMPUTED_VALUE"""),"")</f>
        <v/>
      </c>
      <c r="O10601" s="17"/>
    </row>
    <row r="10602">
      <c r="B10602" s="17" t="s">
        <v>477</v>
      </c>
      <c r="K10602" s="18" t="s">
        <v>477</v>
      </c>
      <c r="N10602" s="17" t="str">
        <f>IFERROR(__xludf.DUMMYFUNCTION("""COMPUTED_VALUE"""),"")</f>
        <v/>
      </c>
      <c r="O10602" s="17"/>
    </row>
    <row r="10603">
      <c r="B10603" s="17" t="s">
        <v>477</v>
      </c>
      <c r="K10603" s="18" t="s">
        <v>477</v>
      </c>
      <c r="N10603" s="17" t="str">
        <f>IFERROR(__xludf.DUMMYFUNCTION("""COMPUTED_VALUE"""),"")</f>
        <v/>
      </c>
      <c r="O10603" s="17"/>
    </row>
    <row r="10604">
      <c r="B10604" s="17" t="s">
        <v>477</v>
      </c>
      <c r="K10604" s="18" t="s">
        <v>477</v>
      </c>
      <c r="N10604" s="17" t="str">
        <f>IFERROR(__xludf.DUMMYFUNCTION("""COMPUTED_VALUE"""),"")</f>
        <v/>
      </c>
      <c r="O10604" s="17"/>
    </row>
    <row r="10605">
      <c r="B10605" s="17" t="s">
        <v>477</v>
      </c>
      <c r="K10605" s="18" t="s">
        <v>477</v>
      </c>
      <c r="N10605" s="17" t="str">
        <f>IFERROR(__xludf.DUMMYFUNCTION("""COMPUTED_VALUE"""),"")</f>
        <v/>
      </c>
      <c r="O10605" s="17"/>
    </row>
    <row r="10606">
      <c r="B10606" s="17" t="s">
        <v>477</v>
      </c>
      <c r="K10606" s="18" t="s">
        <v>477</v>
      </c>
      <c r="N10606" s="17" t="str">
        <f>IFERROR(__xludf.DUMMYFUNCTION("""COMPUTED_VALUE"""),"")</f>
        <v/>
      </c>
      <c r="O10606" s="17"/>
    </row>
    <row r="10607">
      <c r="B10607" s="17" t="s">
        <v>477</v>
      </c>
      <c r="K10607" s="18" t="s">
        <v>477</v>
      </c>
      <c r="N10607" s="17" t="str">
        <f>IFERROR(__xludf.DUMMYFUNCTION("""COMPUTED_VALUE"""),"")</f>
        <v/>
      </c>
      <c r="O10607" s="17"/>
    </row>
    <row r="10608">
      <c r="B10608" s="17" t="s">
        <v>477</v>
      </c>
      <c r="K10608" s="18" t="s">
        <v>477</v>
      </c>
      <c r="N10608" s="17" t="str">
        <f>IFERROR(__xludf.DUMMYFUNCTION("""COMPUTED_VALUE"""),"")</f>
        <v/>
      </c>
      <c r="O10608" s="17"/>
    </row>
    <row r="10609">
      <c r="B10609" s="17" t="s">
        <v>477</v>
      </c>
      <c r="K10609" s="18" t="s">
        <v>477</v>
      </c>
      <c r="N10609" s="17" t="str">
        <f>IFERROR(__xludf.DUMMYFUNCTION("""COMPUTED_VALUE"""),"")</f>
        <v/>
      </c>
      <c r="O10609" s="17"/>
    </row>
    <row r="10610">
      <c r="B10610" s="17" t="s">
        <v>477</v>
      </c>
      <c r="K10610" s="18" t="s">
        <v>477</v>
      </c>
      <c r="N10610" s="17" t="str">
        <f>IFERROR(__xludf.DUMMYFUNCTION("""COMPUTED_VALUE"""),"")</f>
        <v/>
      </c>
      <c r="O10610" s="17"/>
    </row>
    <row r="10611">
      <c r="B10611" s="17" t="s">
        <v>477</v>
      </c>
      <c r="K10611" s="18" t="s">
        <v>477</v>
      </c>
      <c r="N10611" s="17" t="str">
        <f>IFERROR(__xludf.DUMMYFUNCTION("""COMPUTED_VALUE"""),"")</f>
        <v/>
      </c>
      <c r="O10611" s="17"/>
    </row>
    <row r="10612">
      <c r="B10612" s="17" t="s">
        <v>477</v>
      </c>
      <c r="K10612" s="18" t="s">
        <v>477</v>
      </c>
      <c r="N10612" s="17" t="str">
        <f>IFERROR(__xludf.DUMMYFUNCTION("""COMPUTED_VALUE"""),"")</f>
        <v/>
      </c>
      <c r="O10612" s="17"/>
    </row>
    <row r="10613">
      <c r="B10613" s="17" t="s">
        <v>477</v>
      </c>
      <c r="K10613" s="18" t="s">
        <v>477</v>
      </c>
      <c r="N10613" s="17" t="str">
        <f>IFERROR(__xludf.DUMMYFUNCTION("""COMPUTED_VALUE"""),"")</f>
        <v/>
      </c>
      <c r="O10613" s="17"/>
    </row>
    <row r="10614">
      <c r="B10614" s="17" t="s">
        <v>477</v>
      </c>
      <c r="K10614" s="18" t="s">
        <v>477</v>
      </c>
      <c r="N10614" s="17" t="str">
        <f>IFERROR(__xludf.DUMMYFUNCTION("""COMPUTED_VALUE"""),"")</f>
        <v/>
      </c>
      <c r="O10614" s="17"/>
    </row>
    <row r="10615">
      <c r="B10615" s="17" t="s">
        <v>477</v>
      </c>
      <c r="K10615" s="18" t="s">
        <v>477</v>
      </c>
      <c r="N10615" s="17" t="str">
        <f>IFERROR(__xludf.DUMMYFUNCTION("""COMPUTED_VALUE"""),"")</f>
        <v/>
      </c>
      <c r="O10615" s="17"/>
    </row>
    <row r="10616">
      <c r="B10616" s="17" t="s">
        <v>477</v>
      </c>
      <c r="K10616" s="18" t="s">
        <v>477</v>
      </c>
      <c r="N10616" s="17" t="str">
        <f>IFERROR(__xludf.DUMMYFUNCTION("""COMPUTED_VALUE"""),"")</f>
        <v/>
      </c>
      <c r="O10616" s="17"/>
    </row>
    <row r="10617">
      <c r="B10617" s="17" t="s">
        <v>477</v>
      </c>
      <c r="K10617" s="18" t="s">
        <v>477</v>
      </c>
      <c r="N10617" s="17" t="str">
        <f>IFERROR(__xludf.DUMMYFUNCTION("""COMPUTED_VALUE"""),"")</f>
        <v/>
      </c>
      <c r="O10617" s="17"/>
    </row>
    <row r="10618">
      <c r="B10618" s="17" t="s">
        <v>477</v>
      </c>
      <c r="K10618" s="18" t="s">
        <v>477</v>
      </c>
      <c r="N10618" s="17" t="str">
        <f>IFERROR(__xludf.DUMMYFUNCTION("""COMPUTED_VALUE"""),"")</f>
        <v/>
      </c>
      <c r="O10618" s="17"/>
    </row>
    <row r="10619">
      <c r="B10619" s="17" t="s">
        <v>477</v>
      </c>
      <c r="K10619" s="18" t="s">
        <v>477</v>
      </c>
      <c r="N10619" s="17" t="str">
        <f>IFERROR(__xludf.DUMMYFUNCTION("""COMPUTED_VALUE"""),"")</f>
        <v/>
      </c>
      <c r="O10619" s="17"/>
    </row>
    <row r="10620">
      <c r="B10620" s="17" t="s">
        <v>477</v>
      </c>
      <c r="K10620" s="18" t="s">
        <v>477</v>
      </c>
      <c r="N10620" s="17" t="str">
        <f>IFERROR(__xludf.DUMMYFUNCTION("""COMPUTED_VALUE"""),"")</f>
        <v/>
      </c>
      <c r="O10620" s="17"/>
    </row>
    <row r="10621">
      <c r="B10621" s="17" t="s">
        <v>477</v>
      </c>
      <c r="K10621" s="18" t="s">
        <v>477</v>
      </c>
      <c r="N10621" s="17" t="str">
        <f>IFERROR(__xludf.DUMMYFUNCTION("""COMPUTED_VALUE"""),"")</f>
        <v/>
      </c>
      <c r="O10621" s="17"/>
    </row>
    <row r="10622">
      <c r="B10622" s="17" t="s">
        <v>477</v>
      </c>
      <c r="K10622" s="18" t="s">
        <v>477</v>
      </c>
      <c r="N10622" s="17" t="str">
        <f>IFERROR(__xludf.DUMMYFUNCTION("""COMPUTED_VALUE"""),"")</f>
        <v/>
      </c>
      <c r="O10622" s="17"/>
    </row>
    <row r="10623">
      <c r="B10623" s="17" t="s">
        <v>477</v>
      </c>
      <c r="K10623" s="18" t="s">
        <v>477</v>
      </c>
      <c r="N10623" s="17" t="str">
        <f>IFERROR(__xludf.DUMMYFUNCTION("""COMPUTED_VALUE"""),"")</f>
        <v/>
      </c>
      <c r="O10623" s="17"/>
    </row>
    <row r="10624">
      <c r="B10624" s="17" t="s">
        <v>477</v>
      </c>
      <c r="K10624" s="18" t="s">
        <v>477</v>
      </c>
      <c r="N10624" s="17" t="str">
        <f>IFERROR(__xludf.DUMMYFUNCTION("""COMPUTED_VALUE"""),"")</f>
        <v/>
      </c>
      <c r="O10624" s="17"/>
    </row>
    <row r="10625">
      <c r="B10625" s="17" t="s">
        <v>477</v>
      </c>
      <c r="K10625" s="18" t="s">
        <v>477</v>
      </c>
      <c r="N10625" s="17" t="str">
        <f>IFERROR(__xludf.DUMMYFUNCTION("""COMPUTED_VALUE"""),"")</f>
        <v/>
      </c>
      <c r="O10625" s="17"/>
    </row>
    <row r="10626">
      <c r="B10626" s="17" t="s">
        <v>477</v>
      </c>
      <c r="K10626" s="18" t="s">
        <v>477</v>
      </c>
      <c r="N10626" s="17" t="str">
        <f>IFERROR(__xludf.DUMMYFUNCTION("""COMPUTED_VALUE"""),"")</f>
        <v/>
      </c>
      <c r="O10626" s="17"/>
    </row>
    <row r="10627">
      <c r="B10627" s="17" t="s">
        <v>477</v>
      </c>
      <c r="K10627" s="18" t="s">
        <v>477</v>
      </c>
      <c r="N10627" s="17" t="str">
        <f>IFERROR(__xludf.DUMMYFUNCTION("""COMPUTED_VALUE"""),"")</f>
        <v/>
      </c>
      <c r="O10627" s="17"/>
    </row>
    <row r="10628">
      <c r="B10628" s="17" t="s">
        <v>477</v>
      </c>
      <c r="K10628" s="18" t="s">
        <v>477</v>
      </c>
      <c r="N10628" s="17" t="str">
        <f>IFERROR(__xludf.DUMMYFUNCTION("""COMPUTED_VALUE"""),"")</f>
        <v/>
      </c>
      <c r="O10628" s="17"/>
    </row>
    <row r="10629">
      <c r="B10629" s="17" t="s">
        <v>477</v>
      </c>
      <c r="K10629" s="18" t="s">
        <v>477</v>
      </c>
      <c r="N10629" s="17" t="str">
        <f>IFERROR(__xludf.DUMMYFUNCTION("""COMPUTED_VALUE"""),"")</f>
        <v/>
      </c>
      <c r="O10629" s="17"/>
    </row>
    <row r="10630">
      <c r="B10630" s="17" t="s">
        <v>477</v>
      </c>
      <c r="K10630" s="18" t="s">
        <v>477</v>
      </c>
      <c r="N10630" s="17" t="str">
        <f>IFERROR(__xludf.DUMMYFUNCTION("""COMPUTED_VALUE"""),"")</f>
        <v/>
      </c>
      <c r="O10630" s="17"/>
    </row>
    <row r="10631">
      <c r="B10631" s="17" t="s">
        <v>477</v>
      </c>
      <c r="K10631" s="18" t="s">
        <v>477</v>
      </c>
      <c r="N10631" s="17" t="str">
        <f>IFERROR(__xludf.DUMMYFUNCTION("""COMPUTED_VALUE"""),"")</f>
        <v/>
      </c>
      <c r="O10631" s="17"/>
    </row>
    <row r="10632">
      <c r="B10632" s="17" t="s">
        <v>477</v>
      </c>
      <c r="K10632" s="18" t="s">
        <v>477</v>
      </c>
      <c r="N10632" s="17" t="str">
        <f>IFERROR(__xludf.DUMMYFUNCTION("""COMPUTED_VALUE"""),"")</f>
        <v/>
      </c>
      <c r="O10632" s="17"/>
    </row>
    <row r="10633">
      <c r="B10633" s="17" t="s">
        <v>477</v>
      </c>
      <c r="K10633" s="18" t="s">
        <v>477</v>
      </c>
      <c r="N10633" s="17" t="str">
        <f>IFERROR(__xludf.DUMMYFUNCTION("""COMPUTED_VALUE"""),"")</f>
        <v/>
      </c>
      <c r="O10633" s="17"/>
    </row>
    <row r="10634">
      <c r="B10634" s="17" t="s">
        <v>477</v>
      </c>
      <c r="K10634" s="18" t="s">
        <v>477</v>
      </c>
      <c r="N10634" s="17" t="str">
        <f>IFERROR(__xludf.DUMMYFUNCTION("""COMPUTED_VALUE"""),"")</f>
        <v/>
      </c>
      <c r="O10634" s="17"/>
    </row>
    <row r="10635">
      <c r="B10635" s="17" t="s">
        <v>477</v>
      </c>
      <c r="K10635" s="18" t="s">
        <v>477</v>
      </c>
      <c r="N10635" s="17" t="str">
        <f>IFERROR(__xludf.DUMMYFUNCTION("""COMPUTED_VALUE"""),"")</f>
        <v/>
      </c>
      <c r="O10635" s="17"/>
    </row>
    <row r="10636">
      <c r="B10636" s="17" t="s">
        <v>477</v>
      </c>
      <c r="K10636" s="18" t="s">
        <v>477</v>
      </c>
      <c r="N10636" s="17" t="str">
        <f>IFERROR(__xludf.DUMMYFUNCTION("""COMPUTED_VALUE"""),"")</f>
        <v/>
      </c>
      <c r="O10636" s="17"/>
    </row>
    <row r="10637">
      <c r="B10637" s="17" t="s">
        <v>477</v>
      </c>
      <c r="K10637" s="18" t="s">
        <v>477</v>
      </c>
      <c r="N10637" s="17" t="str">
        <f>IFERROR(__xludf.DUMMYFUNCTION("""COMPUTED_VALUE"""),"")</f>
        <v/>
      </c>
      <c r="O10637" s="17"/>
    </row>
    <row r="10638">
      <c r="B10638" s="17" t="s">
        <v>477</v>
      </c>
      <c r="K10638" s="18" t="s">
        <v>477</v>
      </c>
      <c r="N10638" s="17" t="str">
        <f>IFERROR(__xludf.DUMMYFUNCTION("""COMPUTED_VALUE"""),"")</f>
        <v/>
      </c>
      <c r="O10638" s="17"/>
    </row>
    <row r="10639">
      <c r="B10639" s="17" t="s">
        <v>477</v>
      </c>
      <c r="K10639" s="18" t="s">
        <v>477</v>
      </c>
      <c r="N10639" s="17" t="str">
        <f>IFERROR(__xludf.DUMMYFUNCTION("""COMPUTED_VALUE"""),"")</f>
        <v/>
      </c>
      <c r="O10639" s="17"/>
    </row>
    <row r="10640">
      <c r="B10640" s="17" t="s">
        <v>477</v>
      </c>
      <c r="K10640" s="18" t="s">
        <v>477</v>
      </c>
      <c r="N10640" s="17" t="str">
        <f>IFERROR(__xludf.DUMMYFUNCTION("""COMPUTED_VALUE"""),"")</f>
        <v/>
      </c>
      <c r="O10640" s="17"/>
    </row>
    <row r="10641">
      <c r="B10641" s="17" t="s">
        <v>477</v>
      </c>
      <c r="K10641" s="18" t="s">
        <v>477</v>
      </c>
      <c r="N10641" s="17" t="str">
        <f>IFERROR(__xludf.DUMMYFUNCTION("""COMPUTED_VALUE"""),"")</f>
        <v/>
      </c>
      <c r="O10641" s="17"/>
    </row>
    <row r="10642">
      <c r="B10642" s="17" t="s">
        <v>477</v>
      </c>
      <c r="K10642" s="18" t="s">
        <v>477</v>
      </c>
      <c r="N10642" s="17" t="str">
        <f>IFERROR(__xludf.DUMMYFUNCTION("""COMPUTED_VALUE"""),"")</f>
        <v/>
      </c>
      <c r="O10642" s="17"/>
    </row>
    <row r="10643">
      <c r="B10643" s="17" t="s">
        <v>477</v>
      </c>
      <c r="K10643" s="18" t="s">
        <v>477</v>
      </c>
      <c r="N10643" s="17" t="str">
        <f>IFERROR(__xludf.DUMMYFUNCTION("""COMPUTED_VALUE"""),"")</f>
        <v/>
      </c>
      <c r="O10643" s="17"/>
    </row>
    <row r="10644">
      <c r="B10644" s="17" t="s">
        <v>477</v>
      </c>
      <c r="K10644" s="18" t="s">
        <v>477</v>
      </c>
      <c r="N10644" s="17" t="str">
        <f>IFERROR(__xludf.DUMMYFUNCTION("""COMPUTED_VALUE"""),"")</f>
        <v/>
      </c>
      <c r="O10644" s="17"/>
    </row>
    <row r="10645">
      <c r="B10645" s="17" t="s">
        <v>477</v>
      </c>
      <c r="K10645" s="18" t="s">
        <v>477</v>
      </c>
      <c r="N10645" s="17" t="str">
        <f>IFERROR(__xludf.DUMMYFUNCTION("""COMPUTED_VALUE"""),"")</f>
        <v/>
      </c>
      <c r="O10645" s="17"/>
    </row>
    <row r="10646">
      <c r="B10646" s="17" t="s">
        <v>477</v>
      </c>
      <c r="K10646" s="18" t="s">
        <v>477</v>
      </c>
      <c r="N10646" s="17" t="str">
        <f>IFERROR(__xludf.DUMMYFUNCTION("""COMPUTED_VALUE"""),"")</f>
        <v/>
      </c>
      <c r="O10646" s="17"/>
    </row>
    <row r="10647">
      <c r="B10647" s="17" t="s">
        <v>477</v>
      </c>
      <c r="K10647" s="18" t="s">
        <v>477</v>
      </c>
      <c r="N10647" s="17" t="str">
        <f>IFERROR(__xludf.DUMMYFUNCTION("""COMPUTED_VALUE"""),"")</f>
        <v/>
      </c>
      <c r="O10647" s="17"/>
    </row>
    <row r="10648">
      <c r="B10648" s="17" t="s">
        <v>477</v>
      </c>
      <c r="K10648" s="18" t="s">
        <v>477</v>
      </c>
      <c r="N10648" s="17" t="str">
        <f>IFERROR(__xludf.DUMMYFUNCTION("""COMPUTED_VALUE"""),"")</f>
        <v/>
      </c>
      <c r="O10648" s="17"/>
    </row>
    <row r="10649">
      <c r="B10649" s="17" t="s">
        <v>477</v>
      </c>
      <c r="K10649" s="18" t="s">
        <v>477</v>
      </c>
      <c r="N10649" s="17" t="str">
        <f>IFERROR(__xludf.DUMMYFUNCTION("""COMPUTED_VALUE"""),"")</f>
        <v/>
      </c>
      <c r="O10649" s="17"/>
    </row>
    <row r="10650">
      <c r="B10650" s="17" t="s">
        <v>477</v>
      </c>
      <c r="K10650" s="18" t="s">
        <v>477</v>
      </c>
      <c r="N10650" s="17" t="str">
        <f>IFERROR(__xludf.DUMMYFUNCTION("""COMPUTED_VALUE"""),"")</f>
        <v/>
      </c>
      <c r="O10650" s="17"/>
    </row>
    <row r="10651">
      <c r="B10651" s="17" t="s">
        <v>477</v>
      </c>
      <c r="K10651" s="18" t="s">
        <v>477</v>
      </c>
      <c r="N10651" s="17" t="str">
        <f>IFERROR(__xludf.DUMMYFUNCTION("""COMPUTED_VALUE"""),"")</f>
        <v/>
      </c>
      <c r="O10651" s="17"/>
    </row>
    <row r="10652">
      <c r="B10652" s="17" t="s">
        <v>477</v>
      </c>
      <c r="K10652" s="18" t="s">
        <v>477</v>
      </c>
      <c r="N10652" s="17" t="str">
        <f>IFERROR(__xludf.DUMMYFUNCTION("""COMPUTED_VALUE"""),"")</f>
        <v/>
      </c>
      <c r="O10652" s="17"/>
    </row>
    <row r="10653">
      <c r="B10653" s="17" t="s">
        <v>477</v>
      </c>
      <c r="K10653" s="18" t="s">
        <v>477</v>
      </c>
      <c r="N10653" s="17" t="str">
        <f>IFERROR(__xludf.DUMMYFUNCTION("""COMPUTED_VALUE"""),"")</f>
        <v/>
      </c>
      <c r="O10653" s="17"/>
    </row>
    <row r="10654">
      <c r="B10654" s="17" t="s">
        <v>477</v>
      </c>
      <c r="K10654" s="18" t="s">
        <v>477</v>
      </c>
      <c r="N10654" s="17" t="str">
        <f>IFERROR(__xludf.DUMMYFUNCTION("""COMPUTED_VALUE"""),"")</f>
        <v/>
      </c>
      <c r="O10654" s="17"/>
    </row>
    <row r="10655">
      <c r="B10655" s="17" t="s">
        <v>477</v>
      </c>
      <c r="K10655" s="18" t="s">
        <v>477</v>
      </c>
      <c r="N10655" s="17" t="str">
        <f>IFERROR(__xludf.DUMMYFUNCTION("""COMPUTED_VALUE"""),"")</f>
        <v/>
      </c>
      <c r="O10655" s="17"/>
    </row>
    <row r="10656">
      <c r="B10656" s="17" t="s">
        <v>477</v>
      </c>
      <c r="K10656" s="18" t="s">
        <v>477</v>
      </c>
      <c r="N10656" s="17" t="str">
        <f>IFERROR(__xludf.DUMMYFUNCTION("""COMPUTED_VALUE"""),"")</f>
        <v/>
      </c>
      <c r="O10656" s="17"/>
    </row>
    <row r="10657">
      <c r="B10657" s="17" t="s">
        <v>477</v>
      </c>
      <c r="K10657" s="18" t="s">
        <v>477</v>
      </c>
      <c r="N10657" s="17" t="str">
        <f>IFERROR(__xludf.DUMMYFUNCTION("""COMPUTED_VALUE"""),"")</f>
        <v/>
      </c>
      <c r="O10657" s="17"/>
    </row>
    <row r="10658">
      <c r="B10658" s="17" t="s">
        <v>477</v>
      </c>
      <c r="K10658" s="18" t="s">
        <v>477</v>
      </c>
      <c r="N10658" s="17" t="str">
        <f>IFERROR(__xludf.DUMMYFUNCTION("""COMPUTED_VALUE"""),"")</f>
        <v/>
      </c>
      <c r="O10658" s="17"/>
    </row>
    <row r="10659">
      <c r="B10659" s="17" t="s">
        <v>477</v>
      </c>
      <c r="K10659" s="18" t="s">
        <v>477</v>
      </c>
      <c r="N10659" s="17" t="str">
        <f>IFERROR(__xludf.DUMMYFUNCTION("""COMPUTED_VALUE"""),"")</f>
        <v/>
      </c>
      <c r="O10659" s="17"/>
    </row>
    <row r="10660">
      <c r="B10660" s="17" t="s">
        <v>477</v>
      </c>
      <c r="K10660" s="18" t="s">
        <v>477</v>
      </c>
      <c r="N10660" s="17" t="str">
        <f>IFERROR(__xludf.DUMMYFUNCTION("""COMPUTED_VALUE"""),"")</f>
        <v/>
      </c>
      <c r="O10660" s="17"/>
    </row>
    <row r="10661">
      <c r="B10661" s="17" t="s">
        <v>477</v>
      </c>
      <c r="K10661" s="18" t="s">
        <v>477</v>
      </c>
      <c r="N10661" s="17" t="str">
        <f>IFERROR(__xludf.DUMMYFUNCTION("""COMPUTED_VALUE"""),"")</f>
        <v/>
      </c>
      <c r="O10661" s="17"/>
    </row>
    <row r="10662">
      <c r="B10662" s="17" t="s">
        <v>477</v>
      </c>
      <c r="K10662" s="18" t="s">
        <v>477</v>
      </c>
      <c r="N10662" s="17" t="str">
        <f>IFERROR(__xludf.DUMMYFUNCTION("""COMPUTED_VALUE"""),"")</f>
        <v/>
      </c>
      <c r="O10662" s="17"/>
    </row>
    <row r="10663">
      <c r="B10663" s="17" t="s">
        <v>477</v>
      </c>
      <c r="K10663" s="18" t="s">
        <v>477</v>
      </c>
      <c r="N10663" s="17" t="str">
        <f>IFERROR(__xludf.DUMMYFUNCTION("""COMPUTED_VALUE"""),"")</f>
        <v/>
      </c>
      <c r="O10663" s="17"/>
    </row>
    <row r="10664">
      <c r="B10664" s="17" t="s">
        <v>477</v>
      </c>
      <c r="K10664" s="18" t="s">
        <v>477</v>
      </c>
      <c r="N10664" s="17" t="str">
        <f>IFERROR(__xludf.DUMMYFUNCTION("""COMPUTED_VALUE"""),"")</f>
        <v/>
      </c>
      <c r="O10664" s="17"/>
    </row>
    <row r="10665">
      <c r="B10665" s="17" t="s">
        <v>477</v>
      </c>
      <c r="K10665" s="18" t="s">
        <v>477</v>
      </c>
      <c r="N10665" s="17" t="str">
        <f>IFERROR(__xludf.DUMMYFUNCTION("""COMPUTED_VALUE"""),"")</f>
        <v/>
      </c>
      <c r="O10665" s="17"/>
    </row>
    <row r="10666">
      <c r="B10666" s="17" t="s">
        <v>477</v>
      </c>
      <c r="K10666" s="18" t="s">
        <v>477</v>
      </c>
      <c r="N10666" s="17" t="str">
        <f>IFERROR(__xludf.DUMMYFUNCTION("""COMPUTED_VALUE"""),"")</f>
        <v/>
      </c>
      <c r="O10666" s="17"/>
    </row>
    <row r="10667">
      <c r="B10667" s="17" t="s">
        <v>477</v>
      </c>
      <c r="K10667" s="18" t="s">
        <v>477</v>
      </c>
      <c r="N10667" s="17" t="str">
        <f>IFERROR(__xludf.DUMMYFUNCTION("""COMPUTED_VALUE"""),"")</f>
        <v/>
      </c>
      <c r="O10667" s="17"/>
    </row>
    <row r="10668">
      <c r="B10668" s="17" t="s">
        <v>477</v>
      </c>
      <c r="K10668" s="18" t="s">
        <v>477</v>
      </c>
      <c r="N10668" s="17" t="str">
        <f>IFERROR(__xludf.DUMMYFUNCTION("""COMPUTED_VALUE"""),"")</f>
        <v/>
      </c>
      <c r="O10668" s="17"/>
    </row>
    <row r="10669">
      <c r="B10669" s="17" t="s">
        <v>477</v>
      </c>
      <c r="K10669" s="18" t="s">
        <v>477</v>
      </c>
      <c r="N10669" s="17" t="str">
        <f>IFERROR(__xludf.DUMMYFUNCTION("""COMPUTED_VALUE"""),"")</f>
        <v/>
      </c>
      <c r="O10669" s="17"/>
    </row>
    <row r="10670">
      <c r="B10670" s="17" t="s">
        <v>477</v>
      </c>
      <c r="K10670" s="18" t="s">
        <v>477</v>
      </c>
      <c r="N10670" s="17" t="str">
        <f>IFERROR(__xludf.DUMMYFUNCTION("""COMPUTED_VALUE"""),"")</f>
        <v/>
      </c>
      <c r="O10670" s="17"/>
    </row>
    <row r="10671">
      <c r="B10671" s="17" t="s">
        <v>477</v>
      </c>
      <c r="K10671" s="18" t="s">
        <v>477</v>
      </c>
      <c r="N10671" s="17" t="str">
        <f>IFERROR(__xludf.DUMMYFUNCTION("""COMPUTED_VALUE"""),"")</f>
        <v/>
      </c>
      <c r="O10671" s="17"/>
    </row>
    <row r="10672">
      <c r="B10672" s="17" t="s">
        <v>477</v>
      </c>
      <c r="K10672" s="18" t="s">
        <v>477</v>
      </c>
      <c r="N10672" s="17" t="str">
        <f>IFERROR(__xludf.DUMMYFUNCTION("""COMPUTED_VALUE"""),"")</f>
        <v/>
      </c>
      <c r="O10672" s="17"/>
    </row>
    <row r="10673">
      <c r="B10673" s="17" t="s">
        <v>477</v>
      </c>
      <c r="K10673" s="18" t="s">
        <v>477</v>
      </c>
      <c r="N10673" s="17" t="str">
        <f>IFERROR(__xludf.DUMMYFUNCTION("""COMPUTED_VALUE"""),"")</f>
        <v/>
      </c>
      <c r="O10673" s="17"/>
    </row>
    <row r="10674">
      <c r="B10674" s="17" t="s">
        <v>477</v>
      </c>
      <c r="K10674" s="18" t="s">
        <v>477</v>
      </c>
      <c r="N10674" s="17" t="str">
        <f>IFERROR(__xludf.DUMMYFUNCTION("""COMPUTED_VALUE"""),"")</f>
        <v/>
      </c>
      <c r="O10674" s="17"/>
    </row>
    <row r="10675">
      <c r="B10675" s="17" t="s">
        <v>477</v>
      </c>
      <c r="K10675" s="18" t="s">
        <v>477</v>
      </c>
      <c r="N10675" s="17" t="str">
        <f>IFERROR(__xludf.DUMMYFUNCTION("""COMPUTED_VALUE"""),"")</f>
        <v/>
      </c>
      <c r="O10675" s="17"/>
    </row>
    <row r="10676">
      <c r="B10676" s="17" t="s">
        <v>477</v>
      </c>
      <c r="K10676" s="18" t="s">
        <v>477</v>
      </c>
      <c r="N10676" s="17" t="str">
        <f>IFERROR(__xludf.DUMMYFUNCTION("""COMPUTED_VALUE"""),"")</f>
        <v/>
      </c>
      <c r="O10676" s="17"/>
    </row>
    <row r="10677">
      <c r="B10677" s="17" t="s">
        <v>477</v>
      </c>
      <c r="K10677" s="18" t="s">
        <v>477</v>
      </c>
      <c r="N10677" s="17" t="str">
        <f>IFERROR(__xludf.DUMMYFUNCTION("""COMPUTED_VALUE"""),"")</f>
        <v/>
      </c>
      <c r="O10677" s="17"/>
    </row>
    <row r="10678">
      <c r="B10678" s="17" t="s">
        <v>477</v>
      </c>
      <c r="K10678" s="18" t="s">
        <v>477</v>
      </c>
      <c r="N10678" s="17" t="str">
        <f>IFERROR(__xludf.DUMMYFUNCTION("""COMPUTED_VALUE"""),"")</f>
        <v/>
      </c>
      <c r="O10678" s="17"/>
    </row>
    <row r="10679">
      <c r="B10679" s="17" t="s">
        <v>477</v>
      </c>
      <c r="K10679" s="18" t="s">
        <v>477</v>
      </c>
      <c r="N10679" s="17" t="str">
        <f>IFERROR(__xludf.DUMMYFUNCTION("""COMPUTED_VALUE"""),"")</f>
        <v/>
      </c>
      <c r="O10679" s="17"/>
    </row>
    <row r="10680">
      <c r="B10680" s="17" t="s">
        <v>477</v>
      </c>
      <c r="K10680" s="18" t="s">
        <v>477</v>
      </c>
      <c r="N10680" s="17" t="str">
        <f>IFERROR(__xludf.DUMMYFUNCTION("""COMPUTED_VALUE"""),"")</f>
        <v/>
      </c>
      <c r="O10680" s="17"/>
    </row>
    <row r="10681">
      <c r="B10681" s="17" t="s">
        <v>477</v>
      </c>
      <c r="K10681" s="18" t="s">
        <v>477</v>
      </c>
      <c r="N10681" s="17" t="str">
        <f>IFERROR(__xludf.DUMMYFUNCTION("""COMPUTED_VALUE"""),"")</f>
        <v/>
      </c>
      <c r="O10681" s="17"/>
    </row>
    <row r="10682">
      <c r="B10682" s="17" t="s">
        <v>477</v>
      </c>
      <c r="K10682" s="18" t="s">
        <v>477</v>
      </c>
      <c r="N10682" s="17" t="str">
        <f>IFERROR(__xludf.DUMMYFUNCTION("""COMPUTED_VALUE"""),"")</f>
        <v/>
      </c>
      <c r="O10682" s="17"/>
    </row>
    <row r="10683">
      <c r="B10683" s="17" t="s">
        <v>477</v>
      </c>
      <c r="K10683" s="18" t="s">
        <v>477</v>
      </c>
      <c r="N10683" s="17" t="str">
        <f>IFERROR(__xludf.DUMMYFUNCTION("""COMPUTED_VALUE"""),"")</f>
        <v/>
      </c>
      <c r="O10683" s="17"/>
    </row>
    <row r="10684">
      <c r="B10684" s="17" t="s">
        <v>477</v>
      </c>
      <c r="K10684" s="18" t="s">
        <v>477</v>
      </c>
      <c r="N10684" s="17" t="str">
        <f>IFERROR(__xludf.DUMMYFUNCTION("""COMPUTED_VALUE"""),"")</f>
        <v/>
      </c>
      <c r="O10684" s="17"/>
    </row>
    <row r="10685">
      <c r="B10685" s="17" t="s">
        <v>477</v>
      </c>
      <c r="K10685" s="18" t="s">
        <v>477</v>
      </c>
      <c r="N10685" s="17" t="str">
        <f>IFERROR(__xludf.DUMMYFUNCTION("""COMPUTED_VALUE"""),"")</f>
        <v/>
      </c>
      <c r="O10685" s="17"/>
    </row>
    <row r="10686">
      <c r="B10686" s="17" t="s">
        <v>477</v>
      </c>
      <c r="K10686" s="18" t="s">
        <v>477</v>
      </c>
      <c r="N10686" s="17" t="str">
        <f>IFERROR(__xludf.DUMMYFUNCTION("""COMPUTED_VALUE"""),"")</f>
        <v/>
      </c>
      <c r="O10686" s="17"/>
    </row>
    <row r="10687">
      <c r="B10687" s="17" t="s">
        <v>477</v>
      </c>
      <c r="K10687" s="18" t="s">
        <v>477</v>
      </c>
      <c r="N10687" s="17" t="str">
        <f>IFERROR(__xludf.DUMMYFUNCTION("""COMPUTED_VALUE"""),"")</f>
        <v/>
      </c>
      <c r="O10687" s="17"/>
    </row>
    <row r="10688">
      <c r="B10688" s="17" t="s">
        <v>477</v>
      </c>
      <c r="K10688" s="18" t="s">
        <v>477</v>
      </c>
      <c r="N10688" s="17" t="str">
        <f>IFERROR(__xludf.DUMMYFUNCTION("""COMPUTED_VALUE"""),"")</f>
        <v/>
      </c>
      <c r="O10688" s="17"/>
    </row>
    <row r="10689">
      <c r="B10689" s="17" t="s">
        <v>477</v>
      </c>
      <c r="K10689" s="18" t="s">
        <v>477</v>
      </c>
      <c r="N10689" s="17" t="str">
        <f>IFERROR(__xludf.DUMMYFUNCTION("""COMPUTED_VALUE"""),"")</f>
        <v/>
      </c>
      <c r="O10689" s="17"/>
    </row>
    <row r="10690">
      <c r="B10690" s="17" t="s">
        <v>477</v>
      </c>
      <c r="K10690" s="18" t="s">
        <v>477</v>
      </c>
      <c r="N10690" s="17" t="str">
        <f>IFERROR(__xludf.DUMMYFUNCTION("""COMPUTED_VALUE"""),"")</f>
        <v/>
      </c>
      <c r="O10690" s="17"/>
    </row>
    <row r="10691">
      <c r="B10691" s="17" t="s">
        <v>477</v>
      </c>
      <c r="K10691" s="18" t="s">
        <v>477</v>
      </c>
      <c r="N10691" s="17" t="str">
        <f>IFERROR(__xludf.DUMMYFUNCTION("""COMPUTED_VALUE"""),"")</f>
        <v/>
      </c>
      <c r="O10691" s="17"/>
    </row>
    <row r="10692">
      <c r="B10692" s="17" t="s">
        <v>477</v>
      </c>
      <c r="K10692" s="18" t="s">
        <v>477</v>
      </c>
      <c r="N10692" s="17" t="str">
        <f>IFERROR(__xludf.DUMMYFUNCTION("""COMPUTED_VALUE"""),"")</f>
        <v/>
      </c>
      <c r="O10692" s="17"/>
    </row>
    <row r="10693">
      <c r="B10693" s="17" t="s">
        <v>477</v>
      </c>
      <c r="K10693" s="18" t="s">
        <v>477</v>
      </c>
      <c r="N10693" s="17" t="str">
        <f>IFERROR(__xludf.DUMMYFUNCTION("""COMPUTED_VALUE"""),"")</f>
        <v/>
      </c>
      <c r="O10693" s="17"/>
    </row>
    <row r="10694">
      <c r="B10694" s="17" t="s">
        <v>477</v>
      </c>
      <c r="K10694" s="18" t="s">
        <v>477</v>
      </c>
      <c r="N10694" s="17" t="str">
        <f>IFERROR(__xludf.DUMMYFUNCTION("""COMPUTED_VALUE"""),"")</f>
        <v/>
      </c>
      <c r="O10694" s="17"/>
    </row>
    <row r="10695">
      <c r="B10695" s="17" t="s">
        <v>477</v>
      </c>
      <c r="K10695" s="18" t="s">
        <v>477</v>
      </c>
      <c r="N10695" s="17" t="str">
        <f>IFERROR(__xludf.DUMMYFUNCTION("""COMPUTED_VALUE"""),"")</f>
        <v/>
      </c>
      <c r="O10695" s="17"/>
    </row>
    <row r="10696">
      <c r="B10696" s="17" t="s">
        <v>477</v>
      </c>
      <c r="K10696" s="18" t="s">
        <v>477</v>
      </c>
      <c r="N10696" s="17" t="str">
        <f>IFERROR(__xludf.DUMMYFUNCTION("""COMPUTED_VALUE"""),"")</f>
        <v/>
      </c>
      <c r="O10696" s="17"/>
    </row>
    <row r="10697">
      <c r="B10697" s="17" t="s">
        <v>477</v>
      </c>
      <c r="K10697" s="18" t="s">
        <v>477</v>
      </c>
      <c r="N10697" s="17" t="str">
        <f>IFERROR(__xludf.DUMMYFUNCTION("""COMPUTED_VALUE"""),"")</f>
        <v/>
      </c>
      <c r="O10697" s="17"/>
    </row>
    <row r="10698">
      <c r="B10698" s="17" t="s">
        <v>477</v>
      </c>
      <c r="K10698" s="18" t="s">
        <v>477</v>
      </c>
      <c r="N10698" s="17" t="str">
        <f>IFERROR(__xludf.DUMMYFUNCTION("""COMPUTED_VALUE"""),"")</f>
        <v/>
      </c>
      <c r="O10698" s="17"/>
    </row>
    <row r="10699">
      <c r="B10699" s="17" t="s">
        <v>477</v>
      </c>
      <c r="K10699" s="18" t="s">
        <v>477</v>
      </c>
      <c r="N10699" s="17" t="str">
        <f>IFERROR(__xludf.DUMMYFUNCTION("""COMPUTED_VALUE"""),"")</f>
        <v/>
      </c>
      <c r="O10699" s="17"/>
    </row>
    <row r="10700">
      <c r="B10700" s="17" t="s">
        <v>477</v>
      </c>
      <c r="K10700" s="18" t="s">
        <v>477</v>
      </c>
      <c r="N10700" s="17" t="str">
        <f>IFERROR(__xludf.DUMMYFUNCTION("""COMPUTED_VALUE"""),"")</f>
        <v/>
      </c>
      <c r="O10700" s="17"/>
    </row>
    <row r="10701">
      <c r="B10701" s="17" t="s">
        <v>477</v>
      </c>
      <c r="K10701" s="18" t="s">
        <v>477</v>
      </c>
      <c r="N10701" s="17" t="str">
        <f>IFERROR(__xludf.DUMMYFUNCTION("""COMPUTED_VALUE"""),"")</f>
        <v/>
      </c>
      <c r="O10701" s="17"/>
    </row>
    <row r="10702">
      <c r="B10702" s="17" t="s">
        <v>477</v>
      </c>
      <c r="K10702" s="18" t="s">
        <v>477</v>
      </c>
      <c r="N10702" s="17" t="str">
        <f>IFERROR(__xludf.DUMMYFUNCTION("""COMPUTED_VALUE"""),"")</f>
        <v/>
      </c>
      <c r="O10702" s="17"/>
    </row>
    <row r="10703">
      <c r="B10703" s="17" t="s">
        <v>477</v>
      </c>
      <c r="K10703" s="18" t="s">
        <v>477</v>
      </c>
      <c r="N10703" s="17" t="str">
        <f>IFERROR(__xludf.DUMMYFUNCTION("""COMPUTED_VALUE"""),"")</f>
        <v/>
      </c>
      <c r="O10703" s="17"/>
    </row>
    <row r="10704">
      <c r="B10704" s="17" t="s">
        <v>477</v>
      </c>
      <c r="K10704" s="18" t="s">
        <v>477</v>
      </c>
      <c r="N10704" s="17" t="str">
        <f>IFERROR(__xludf.DUMMYFUNCTION("""COMPUTED_VALUE"""),"")</f>
        <v/>
      </c>
      <c r="O10704" s="17"/>
    </row>
    <row r="10705">
      <c r="B10705" s="17" t="s">
        <v>477</v>
      </c>
      <c r="K10705" s="18" t="s">
        <v>477</v>
      </c>
      <c r="N10705" s="17" t="str">
        <f>IFERROR(__xludf.DUMMYFUNCTION("""COMPUTED_VALUE"""),"")</f>
        <v/>
      </c>
      <c r="O10705" s="17"/>
    </row>
    <row r="10706">
      <c r="B10706" s="17" t="s">
        <v>477</v>
      </c>
      <c r="K10706" s="18" t="s">
        <v>477</v>
      </c>
      <c r="N10706" s="17" t="str">
        <f>IFERROR(__xludf.DUMMYFUNCTION("""COMPUTED_VALUE"""),"")</f>
        <v/>
      </c>
      <c r="O10706" s="17"/>
    </row>
    <row r="10707">
      <c r="B10707" s="17" t="s">
        <v>477</v>
      </c>
      <c r="K10707" s="18" t="s">
        <v>477</v>
      </c>
      <c r="N10707" s="17" t="str">
        <f>IFERROR(__xludf.DUMMYFUNCTION("""COMPUTED_VALUE"""),"")</f>
        <v/>
      </c>
      <c r="O10707" s="17"/>
    </row>
    <row r="10708">
      <c r="B10708" s="17" t="s">
        <v>477</v>
      </c>
      <c r="K10708" s="18" t="s">
        <v>477</v>
      </c>
      <c r="N10708" s="17" t="str">
        <f>IFERROR(__xludf.DUMMYFUNCTION("""COMPUTED_VALUE"""),"")</f>
        <v/>
      </c>
      <c r="O10708" s="17"/>
    </row>
    <row r="10709">
      <c r="B10709" s="17" t="s">
        <v>477</v>
      </c>
      <c r="K10709" s="18" t="s">
        <v>477</v>
      </c>
      <c r="N10709" s="17" t="str">
        <f>IFERROR(__xludf.DUMMYFUNCTION("""COMPUTED_VALUE"""),"")</f>
        <v/>
      </c>
      <c r="O10709" s="17"/>
    </row>
    <row r="10710">
      <c r="B10710" s="17" t="s">
        <v>477</v>
      </c>
      <c r="K10710" s="18" t="s">
        <v>477</v>
      </c>
      <c r="N10710" s="17" t="str">
        <f>IFERROR(__xludf.DUMMYFUNCTION("""COMPUTED_VALUE"""),"")</f>
        <v/>
      </c>
      <c r="O10710" s="17"/>
    </row>
    <row r="10711">
      <c r="B10711" s="17" t="s">
        <v>477</v>
      </c>
      <c r="K10711" s="18" t="s">
        <v>477</v>
      </c>
      <c r="N10711" s="17" t="str">
        <f>IFERROR(__xludf.DUMMYFUNCTION("""COMPUTED_VALUE"""),"")</f>
        <v/>
      </c>
      <c r="O10711" s="17"/>
    </row>
    <row r="10712">
      <c r="B10712" s="17" t="s">
        <v>477</v>
      </c>
      <c r="K10712" s="18" t="s">
        <v>477</v>
      </c>
      <c r="N10712" s="17" t="str">
        <f>IFERROR(__xludf.DUMMYFUNCTION("""COMPUTED_VALUE"""),"")</f>
        <v/>
      </c>
      <c r="O10712" s="17"/>
    </row>
    <row r="10713">
      <c r="B10713" s="17" t="s">
        <v>477</v>
      </c>
      <c r="K10713" s="18" t="s">
        <v>477</v>
      </c>
      <c r="N10713" s="17" t="str">
        <f>IFERROR(__xludf.DUMMYFUNCTION("""COMPUTED_VALUE"""),"")</f>
        <v/>
      </c>
      <c r="O10713" s="17"/>
    </row>
    <row r="10714">
      <c r="B10714" s="17" t="s">
        <v>477</v>
      </c>
      <c r="K10714" s="18" t="s">
        <v>477</v>
      </c>
      <c r="N10714" s="17" t="str">
        <f>IFERROR(__xludf.DUMMYFUNCTION("""COMPUTED_VALUE"""),"")</f>
        <v/>
      </c>
      <c r="O10714" s="17"/>
    </row>
    <row r="10715">
      <c r="B10715" s="17" t="s">
        <v>477</v>
      </c>
      <c r="K10715" s="18" t="s">
        <v>477</v>
      </c>
      <c r="N10715" s="17" t="str">
        <f>IFERROR(__xludf.DUMMYFUNCTION("""COMPUTED_VALUE"""),"")</f>
        <v/>
      </c>
      <c r="O10715" s="17"/>
    </row>
    <row r="10716">
      <c r="B10716" s="17" t="s">
        <v>477</v>
      </c>
      <c r="K10716" s="18" t="s">
        <v>477</v>
      </c>
      <c r="N10716" s="17" t="str">
        <f>IFERROR(__xludf.DUMMYFUNCTION("""COMPUTED_VALUE"""),"")</f>
        <v/>
      </c>
      <c r="O10716" s="17"/>
    </row>
    <row r="10717">
      <c r="B10717" s="17" t="s">
        <v>477</v>
      </c>
      <c r="K10717" s="18" t="s">
        <v>477</v>
      </c>
      <c r="N10717" s="17" t="str">
        <f>IFERROR(__xludf.DUMMYFUNCTION("""COMPUTED_VALUE"""),"")</f>
        <v/>
      </c>
      <c r="O10717" s="17"/>
    </row>
    <row r="10718">
      <c r="B10718" s="17" t="s">
        <v>477</v>
      </c>
      <c r="K10718" s="18" t="s">
        <v>477</v>
      </c>
      <c r="N10718" s="17" t="str">
        <f>IFERROR(__xludf.DUMMYFUNCTION("""COMPUTED_VALUE"""),"")</f>
        <v/>
      </c>
      <c r="O10718" s="17"/>
    </row>
    <row r="10719">
      <c r="B10719" s="17" t="s">
        <v>477</v>
      </c>
      <c r="K10719" s="18" t="s">
        <v>477</v>
      </c>
      <c r="N10719" s="17" t="str">
        <f>IFERROR(__xludf.DUMMYFUNCTION("""COMPUTED_VALUE"""),"")</f>
        <v/>
      </c>
      <c r="O10719" s="17"/>
    </row>
    <row r="10720">
      <c r="B10720" s="17" t="s">
        <v>477</v>
      </c>
      <c r="K10720" s="18" t="s">
        <v>477</v>
      </c>
      <c r="N10720" s="17" t="str">
        <f>IFERROR(__xludf.DUMMYFUNCTION("""COMPUTED_VALUE"""),"")</f>
        <v/>
      </c>
      <c r="O10720" s="17"/>
    </row>
    <row r="10721">
      <c r="B10721" s="17" t="s">
        <v>477</v>
      </c>
      <c r="K10721" s="18" t="s">
        <v>477</v>
      </c>
      <c r="N10721" s="17" t="str">
        <f>IFERROR(__xludf.DUMMYFUNCTION("""COMPUTED_VALUE"""),"")</f>
        <v/>
      </c>
      <c r="O10721" s="17"/>
    </row>
    <row r="10722">
      <c r="B10722" s="17" t="s">
        <v>477</v>
      </c>
      <c r="K10722" s="18" t="s">
        <v>477</v>
      </c>
      <c r="N10722" s="17" t="str">
        <f>IFERROR(__xludf.DUMMYFUNCTION("""COMPUTED_VALUE"""),"")</f>
        <v/>
      </c>
      <c r="O10722" s="17"/>
    </row>
    <row r="10723">
      <c r="B10723" s="17" t="s">
        <v>477</v>
      </c>
      <c r="K10723" s="18" t="s">
        <v>477</v>
      </c>
      <c r="N10723" s="17" t="str">
        <f>IFERROR(__xludf.DUMMYFUNCTION("""COMPUTED_VALUE"""),"")</f>
        <v/>
      </c>
      <c r="O10723" s="17"/>
    </row>
    <row r="10724">
      <c r="B10724" s="17" t="s">
        <v>477</v>
      </c>
      <c r="K10724" s="18" t="s">
        <v>477</v>
      </c>
      <c r="N10724" s="17" t="str">
        <f>IFERROR(__xludf.DUMMYFUNCTION("""COMPUTED_VALUE"""),"")</f>
        <v/>
      </c>
      <c r="O10724" s="17"/>
    </row>
    <row r="10725">
      <c r="B10725" s="17" t="s">
        <v>477</v>
      </c>
      <c r="K10725" s="18" t="s">
        <v>477</v>
      </c>
      <c r="N10725" s="17" t="str">
        <f>IFERROR(__xludf.DUMMYFUNCTION("""COMPUTED_VALUE"""),"")</f>
        <v/>
      </c>
      <c r="O10725" s="17"/>
    </row>
    <row r="10726">
      <c r="B10726" s="17" t="s">
        <v>477</v>
      </c>
      <c r="K10726" s="18" t="s">
        <v>477</v>
      </c>
      <c r="N10726" s="17" t="str">
        <f>IFERROR(__xludf.DUMMYFUNCTION("""COMPUTED_VALUE"""),"")</f>
        <v/>
      </c>
      <c r="O10726" s="17"/>
    </row>
    <row r="10727">
      <c r="B10727" s="17" t="s">
        <v>477</v>
      </c>
      <c r="K10727" s="18" t="s">
        <v>477</v>
      </c>
      <c r="N10727" s="17" t="str">
        <f>IFERROR(__xludf.DUMMYFUNCTION("""COMPUTED_VALUE"""),"")</f>
        <v/>
      </c>
      <c r="O10727" s="17"/>
    </row>
    <row r="10728">
      <c r="B10728" s="17" t="s">
        <v>477</v>
      </c>
      <c r="K10728" s="18" t="s">
        <v>477</v>
      </c>
      <c r="N10728" s="17" t="str">
        <f>IFERROR(__xludf.DUMMYFUNCTION("""COMPUTED_VALUE"""),"")</f>
        <v/>
      </c>
      <c r="O10728" s="17"/>
    </row>
    <row r="10729">
      <c r="B10729" s="17" t="s">
        <v>477</v>
      </c>
      <c r="K10729" s="18" t="s">
        <v>477</v>
      </c>
      <c r="N10729" s="17" t="str">
        <f>IFERROR(__xludf.DUMMYFUNCTION("""COMPUTED_VALUE"""),"")</f>
        <v/>
      </c>
      <c r="O10729" s="17"/>
    </row>
    <row r="10730">
      <c r="B10730" s="17" t="s">
        <v>477</v>
      </c>
      <c r="K10730" s="18" t="s">
        <v>477</v>
      </c>
      <c r="N10730" s="17" t="str">
        <f>IFERROR(__xludf.DUMMYFUNCTION("""COMPUTED_VALUE"""),"")</f>
        <v/>
      </c>
      <c r="O10730" s="17"/>
    </row>
    <row r="10731">
      <c r="B10731" s="17" t="s">
        <v>477</v>
      </c>
      <c r="K10731" s="18" t="s">
        <v>477</v>
      </c>
      <c r="N10731" s="17" t="str">
        <f>IFERROR(__xludf.DUMMYFUNCTION("""COMPUTED_VALUE"""),"")</f>
        <v/>
      </c>
      <c r="O10731" s="17"/>
    </row>
    <row r="10732">
      <c r="B10732" s="17" t="s">
        <v>477</v>
      </c>
      <c r="K10732" s="18" t="s">
        <v>477</v>
      </c>
      <c r="N10732" s="17" t="str">
        <f>IFERROR(__xludf.DUMMYFUNCTION("""COMPUTED_VALUE"""),"")</f>
        <v/>
      </c>
      <c r="O10732" s="17"/>
    </row>
    <row r="10733">
      <c r="B10733" s="17" t="s">
        <v>477</v>
      </c>
      <c r="K10733" s="18" t="s">
        <v>477</v>
      </c>
      <c r="N10733" s="17" t="str">
        <f>IFERROR(__xludf.DUMMYFUNCTION("""COMPUTED_VALUE"""),"")</f>
        <v/>
      </c>
      <c r="O10733" s="17"/>
    </row>
    <row r="10734">
      <c r="B10734" s="17" t="s">
        <v>477</v>
      </c>
      <c r="K10734" s="18" t="s">
        <v>477</v>
      </c>
      <c r="N10734" s="17" t="str">
        <f>IFERROR(__xludf.DUMMYFUNCTION("""COMPUTED_VALUE"""),"")</f>
        <v/>
      </c>
      <c r="O10734" s="17"/>
    </row>
    <row r="10735">
      <c r="B10735" s="17" t="s">
        <v>477</v>
      </c>
      <c r="K10735" s="18" t="s">
        <v>477</v>
      </c>
      <c r="N10735" s="17" t="str">
        <f>IFERROR(__xludf.DUMMYFUNCTION("""COMPUTED_VALUE"""),"")</f>
        <v/>
      </c>
      <c r="O10735" s="17"/>
    </row>
    <row r="10736">
      <c r="B10736" s="17" t="s">
        <v>477</v>
      </c>
      <c r="K10736" s="18" t="s">
        <v>477</v>
      </c>
      <c r="N10736" s="17" t="str">
        <f>IFERROR(__xludf.DUMMYFUNCTION("""COMPUTED_VALUE"""),"")</f>
        <v/>
      </c>
      <c r="O10736" s="17"/>
    </row>
    <row r="10737">
      <c r="B10737" s="17" t="s">
        <v>477</v>
      </c>
      <c r="K10737" s="18" t="s">
        <v>477</v>
      </c>
      <c r="N10737" s="17" t="str">
        <f>IFERROR(__xludf.DUMMYFUNCTION("""COMPUTED_VALUE"""),"")</f>
        <v/>
      </c>
      <c r="O10737" s="17"/>
    </row>
    <row r="10738">
      <c r="B10738" s="17" t="s">
        <v>477</v>
      </c>
      <c r="K10738" s="18" t="s">
        <v>477</v>
      </c>
      <c r="N10738" s="17" t="str">
        <f>IFERROR(__xludf.DUMMYFUNCTION("""COMPUTED_VALUE"""),"")</f>
        <v/>
      </c>
      <c r="O10738" s="17"/>
    </row>
    <row r="10739">
      <c r="B10739" s="17" t="s">
        <v>477</v>
      </c>
      <c r="K10739" s="18" t="s">
        <v>477</v>
      </c>
      <c r="N10739" s="17" t="str">
        <f>IFERROR(__xludf.DUMMYFUNCTION("""COMPUTED_VALUE"""),"")</f>
        <v/>
      </c>
      <c r="O10739" s="17"/>
    </row>
    <row r="10740">
      <c r="B10740" s="17" t="s">
        <v>477</v>
      </c>
      <c r="K10740" s="18" t="s">
        <v>477</v>
      </c>
      <c r="N10740" s="17" t="str">
        <f>IFERROR(__xludf.DUMMYFUNCTION("""COMPUTED_VALUE"""),"")</f>
        <v/>
      </c>
      <c r="O10740" s="17"/>
    </row>
    <row r="10741">
      <c r="B10741" s="17" t="s">
        <v>477</v>
      </c>
      <c r="K10741" s="18" t="s">
        <v>477</v>
      </c>
      <c r="N10741" s="17" t="str">
        <f>IFERROR(__xludf.DUMMYFUNCTION("""COMPUTED_VALUE"""),"")</f>
        <v/>
      </c>
      <c r="O10741" s="17"/>
    </row>
    <row r="10742">
      <c r="B10742" s="17" t="s">
        <v>477</v>
      </c>
      <c r="K10742" s="18" t="s">
        <v>477</v>
      </c>
      <c r="N10742" s="17" t="str">
        <f>IFERROR(__xludf.DUMMYFUNCTION("""COMPUTED_VALUE"""),"")</f>
        <v/>
      </c>
      <c r="O10742" s="17"/>
    </row>
    <row r="10743">
      <c r="B10743" s="17" t="s">
        <v>477</v>
      </c>
      <c r="K10743" s="18" t="s">
        <v>477</v>
      </c>
      <c r="N10743" s="17" t="str">
        <f>IFERROR(__xludf.DUMMYFUNCTION("""COMPUTED_VALUE"""),"")</f>
        <v/>
      </c>
      <c r="O10743" s="17"/>
    </row>
    <row r="10744">
      <c r="B10744" s="17" t="s">
        <v>477</v>
      </c>
      <c r="K10744" s="18" t="s">
        <v>477</v>
      </c>
      <c r="N10744" s="17" t="str">
        <f>IFERROR(__xludf.DUMMYFUNCTION("""COMPUTED_VALUE"""),"")</f>
        <v/>
      </c>
      <c r="O10744" s="17"/>
    </row>
    <row r="10745">
      <c r="B10745" s="17" t="s">
        <v>477</v>
      </c>
      <c r="K10745" s="18" t="s">
        <v>477</v>
      </c>
      <c r="N10745" s="17" t="str">
        <f>IFERROR(__xludf.DUMMYFUNCTION("""COMPUTED_VALUE"""),"")</f>
        <v/>
      </c>
      <c r="O10745" s="17"/>
    </row>
    <row r="10746">
      <c r="B10746" s="17" t="s">
        <v>477</v>
      </c>
      <c r="K10746" s="18" t="s">
        <v>477</v>
      </c>
      <c r="N10746" s="17" t="str">
        <f>IFERROR(__xludf.DUMMYFUNCTION("""COMPUTED_VALUE"""),"")</f>
        <v/>
      </c>
      <c r="O10746" s="17"/>
    </row>
    <row r="10747">
      <c r="B10747" s="17" t="s">
        <v>477</v>
      </c>
      <c r="K10747" s="18" t="s">
        <v>477</v>
      </c>
      <c r="N10747" s="17" t="str">
        <f>IFERROR(__xludf.DUMMYFUNCTION("""COMPUTED_VALUE"""),"")</f>
        <v/>
      </c>
      <c r="O10747" s="17"/>
    </row>
    <row r="10748">
      <c r="B10748" s="17" t="s">
        <v>477</v>
      </c>
      <c r="K10748" s="18" t="s">
        <v>477</v>
      </c>
      <c r="N10748" s="17" t="str">
        <f>IFERROR(__xludf.DUMMYFUNCTION("""COMPUTED_VALUE"""),"")</f>
        <v/>
      </c>
      <c r="O10748" s="17"/>
    </row>
    <row r="10749">
      <c r="B10749" s="17" t="s">
        <v>477</v>
      </c>
      <c r="K10749" s="18" t="s">
        <v>477</v>
      </c>
      <c r="N10749" s="17" t="str">
        <f>IFERROR(__xludf.DUMMYFUNCTION("""COMPUTED_VALUE"""),"")</f>
        <v/>
      </c>
      <c r="O10749" s="17"/>
    </row>
    <row r="10750">
      <c r="B10750" s="17" t="s">
        <v>477</v>
      </c>
      <c r="K10750" s="18" t="s">
        <v>477</v>
      </c>
      <c r="N10750" s="17" t="str">
        <f>IFERROR(__xludf.DUMMYFUNCTION("""COMPUTED_VALUE"""),"")</f>
        <v/>
      </c>
      <c r="O10750" s="17"/>
    </row>
    <row r="10751">
      <c r="B10751" s="17" t="s">
        <v>477</v>
      </c>
      <c r="K10751" s="18" t="s">
        <v>477</v>
      </c>
      <c r="N10751" s="17" t="str">
        <f>IFERROR(__xludf.DUMMYFUNCTION("""COMPUTED_VALUE"""),"")</f>
        <v/>
      </c>
      <c r="O10751" s="17"/>
    </row>
    <row r="10752">
      <c r="B10752" s="17" t="s">
        <v>477</v>
      </c>
      <c r="K10752" s="18" t="s">
        <v>477</v>
      </c>
      <c r="N10752" s="17" t="str">
        <f>IFERROR(__xludf.DUMMYFUNCTION("""COMPUTED_VALUE"""),"")</f>
        <v/>
      </c>
      <c r="O10752" s="17"/>
    </row>
    <row r="10753">
      <c r="B10753" s="17" t="s">
        <v>477</v>
      </c>
      <c r="K10753" s="18" t="s">
        <v>477</v>
      </c>
      <c r="N10753" s="17" t="str">
        <f>IFERROR(__xludf.DUMMYFUNCTION("""COMPUTED_VALUE"""),"")</f>
        <v/>
      </c>
      <c r="O10753" s="17"/>
    </row>
    <row r="10754">
      <c r="B10754" s="17" t="s">
        <v>477</v>
      </c>
      <c r="K10754" s="18" t="s">
        <v>477</v>
      </c>
      <c r="N10754" s="17" t="str">
        <f>IFERROR(__xludf.DUMMYFUNCTION("""COMPUTED_VALUE"""),"")</f>
        <v/>
      </c>
      <c r="O10754" s="17"/>
    </row>
    <row r="10755">
      <c r="B10755" s="17" t="s">
        <v>477</v>
      </c>
      <c r="K10755" s="18" t="s">
        <v>477</v>
      </c>
      <c r="N10755" s="17" t="str">
        <f>IFERROR(__xludf.DUMMYFUNCTION("""COMPUTED_VALUE"""),"")</f>
        <v/>
      </c>
      <c r="O10755" s="17"/>
    </row>
    <row r="10756">
      <c r="B10756" s="17" t="s">
        <v>477</v>
      </c>
      <c r="K10756" s="18" t="s">
        <v>477</v>
      </c>
      <c r="N10756" s="17" t="str">
        <f>IFERROR(__xludf.DUMMYFUNCTION("""COMPUTED_VALUE"""),"")</f>
        <v/>
      </c>
      <c r="O10756" s="17"/>
    </row>
    <row r="10757">
      <c r="B10757" s="17" t="s">
        <v>477</v>
      </c>
      <c r="K10757" s="18" t="s">
        <v>477</v>
      </c>
      <c r="N10757" s="17" t="str">
        <f>IFERROR(__xludf.DUMMYFUNCTION("""COMPUTED_VALUE"""),"")</f>
        <v/>
      </c>
      <c r="O10757" s="17"/>
    </row>
    <row r="10758">
      <c r="B10758" s="17" t="s">
        <v>477</v>
      </c>
      <c r="K10758" s="18" t="s">
        <v>477</v>
      </c>
      <c r="N10758" s="17" t="str">
        <f>IFERROR(__xludf.DUMMYFUNCTION("""COMPUTED_VALUE"""),"")</f>
        <v/>
      </c>
      <c r="O10758" s="17"/>
    </row>
    <row r="10759">
      <c r="B10759" s="17" t="s">
        <v>477</v>
      </c>
      <c r="K10759" s="18" t="s">
        <v>477</v>
      </c>
      <c r="N10759" s="17" t="str">
        <f>IFERROR(__xludf.DUMMYFUNCTION("""COMPUTED_VALUE"""),"")</f>
        <v/>
      </c>
      <c r="O10759" s="17"/>
    </row>
    <row r="10760">
      <c r="B10760" s="17" t="s">
        <v>477</v>
      </c>
      <c r="K10760" s="18" t="s">
        <v>477</v>
      </c>
      <c r="N10760" s="17" t="str">
        <f>IFERROR(__xludf.DUMMYFUNCTION("""COMPUTED_VALUE"""),"")</f>
        <v/>
      </c>
      <c r="O10760" s="17"/>
    </row>
    <row r="10761">
      <c r="B10761" s="17" t="s">
        <v>477</v>
      </c>
      <c r="K10761" s="18" t="s">
        <v>477</v>
      </c>
      <c r="N10761" s="17" t="str">
        <f>IFERROR(__xludf.DUMMYFUNCTION("""COMPUTED_VALUE"""),"")</f>
        <v/>
      </c>
      <c r="O10761" s="17"/>
    </row>
    <row r="10762">
      <c r="B10762" s="17" t="s">
        <v>477</v>
      </c>
      <c r="K10762" s="18" t="s">
        <v>477</v>
      </c>
      <c r="N10762" s="17" t="str">
        <f>IFERROR(__xludf.DUMMYFUNCTION("""COMPUTED_VALUE"""),"")</f>
        <v/>
      </c>
      <c r="O10762" s="17"/>
    </row>
    <row r="10763">
      <c r="B10763" s="17" t="s">
        <v>477</v>
      </c>
      <c r="K10763" s="18" t="s">
        <v>477</v>
      </c>
      <c r="N10763" s="17" t="str">
        <f>IFERROR(__xludf.DUMMYFUNCTION("""COMPUTED_VALUE"""),"")</f>
        <v/>
      </c>
      <c r="O10763" s="17"/>
    </row>
    <row r="10764">
      <c r="B10764" s="17" t="s">
        <v>477</v>
      </c>
      <c r="K10764" s="18" t="s">
        <v>477</v>
      </c>
      <c r="N10764" s="17" t="str">
        <f>IFERROR(__xludf.DUMMYFUNCTION("""COMPUTED_VALUE"""),"")</f>
        <v/>
      </c>
      <c r="O10764" s="17"/>
    </row>
    <row r="10765">
      <c r="B10765" s="17" t="s">
        <v>477</v>
      </c>
      <c r="K10765" s="18" t="s">
        <v>477</v>
      </c>
      <c r="N10765" s="17" t="str">
        <f>IFERROR(__xludf.DUMMYFUNCTION("""COMPUTED_VALUE"""),"")</f>
        <v/>
      </c>
      <c r="O10765" s="17"/>
    </row>
    <row r="10766">
      <c r="B10766" s="17" t="s">
        <v>477</v>
      </c>
      <c r="K10766" s="18" t="s">
        <v>477</v>
      </c>
      <c r="N10766" s="17" t="str">
        <f>IFERROR(__xludf.DUMMYFUNCTION("""COMPUTED_VALUE"""),"")</f>
        <v/>
      </c>
      <c r="O10766" s="17"/>
    </row>
    <row r="10767">
      <c r="B10767" s="17" t="s">
        <v>477</v>
      </c>
      <c r="K10767" s="18" t="s">
        <v>477</v>
      </c>
      <c r="N10767" s="17" t="str">
        <f>IFERROR(__xludf.DUMMYFUNCTION("""COMPUTED_VALUE"""),"")</f>
        <v/>
      </c>
      <c r="O10767" s="17"/>
    </row>
    <row r="10768">
      <c r="B10768" s="17" t="s">
        <v>477</v>
      </c>
      <c r="K10768" s="18" t="s">
        <v>477</v>
      </c>
      <c r="N10768" s="17" t="str">
        <f>IFERROR(__xludf.DUMMYFUNCTION("""COMPUTED_VALUE"""),"")</f>
        <v/>
      </c>
      <c r="O10768" s="17"/>
    </row>
    <row r="10769">
      <c r="B10769" s="17" t="s">
        <v>477</v>
      </c>
      <c r="K10769" s="18" t="s">
        <v>477</v>
      </c>
      <c r="N10769" s="17" t="str">
        <f>IFERROR(__xludf.DUMMYFUNCTION("""COMPUTED_VALUE"""),"")</f>
        <v/>
      </c>
      <c r="O10769" s="17"/>
    </row>
    <row r="10770">
      <c r="B10770" s="17" t="s">
        <v>477</v>
      </c>
      <c r="K10770" s="18" t="s">
        <v>477</v>
      </c>
      <c r="N10770" s="17" t="str">
        <f>IFERROR(__xludf.DUMMYFUNCTION("""COMPUTED_VALUE"""),"")</f>
        <v/>
      </c>
      <c r="O10770" s="17"/>
    </row>
    <row r="10771">
      <c r="B10771" s="17" t="s">
        <v>477</v>
      </c>
      <c r="K10771" s="18" t="s">
        <v>477</v>
      </c>
      <c r="N10771" s="17" t="str">
        <f>IFERROR(__xludf.DUMMYFUNCTION("""COMPUTED_VALUE"""),"")</f>
        <v/>
      </c>
      <c r="O10771" s="17"/>
    </row>
    <row r="10772">
      <c r="B10772" s="17" t="s">
        <v>477</v>
      </c>
      <c r="K10772" s="18" t="s">
        <v>477</v>
      </c>
      <c r="N10772" s="17" t="str">
        <f>IFERROR(__xludf.DUMMYFUNCTION("""COMPUTED_VALUE"""),"")</f>
        <v/>
      </c>
      <c r="O10772" s="17"/>
    </row>
    <row r="10773">
      <c r="B10773" s="17" t="s">
        <v>477</v>
      </c>
      <c r="K10773" s="18" t="s">
        <v>477</v>
      </c>
      <c r="N10773" s="17" t="str">
        <f>IFERROR(__xludf.DUMMYFUNCTION("""COMPUTED_VALUE"""),"")</f>
        <v/>
      </c>
      <c r="O10773" s="17"/>
    </row>
    <row r="10774">
      <c r="B10774" s="17" t="s">
        <v>477</v>
      </c>
      <c r="K10774" s="18" t="s">
        <v>477</v>
      </c>
      <c r="N10774" s="17" t="str">
        <f>IFERROR(__xludf.DUMMYFUNCTION("""COMPUTED_VALUE"""),"")</f>
        <v/>
      </c>
      <c r="O10774" s="17"/>
    </row>
    <row r="10775">
      <c r="B10775" s="17" t="s">
        <v>477</v>
      </c>
      <c r="K10775" s="18" t="s">
        <v>477</v>
      </c>
      <c r="N10775" s="17" t="str">
        <f>IFERROR(__xludf.DUMMYFUNCTION("""COMPUTED_VALUE"""),"")</f>
        <v/>
      </c>
      <c r="O10775" s="17"/>
    </row>
    <row r="10776">
      <c r="B10776" s="17" t="s">
        <v>477</v>
      </c>
      <c r="K10776" s="18" t="s">
        <v>477</v>
      </c>
      <c r="N10776" s="17" t="str">
        <f>IFERROR(__xludf.DUMMYFUNCTION("""COMPUTED_VALUE"""),"")</f>
        <v/>
      </c>
      <c r="O10776" s="17"/>
    </row>
    <row r="10777">
      <c r="B10777" s="17" t="s">
        <v>477</v>
      </c>
      <c r="K10777" s="18" t="s">
        <v>477</v>
      </c>
      <c r="N10777" s="17" t="str">
        <f>IFERROR(__xludf.DUMMYFUNCTION("""COMPUTED_VALUE"""),"")</f>
        <v/>
      </c>
      <c r="O10777" s="17"/>
    </row>
    <row r="10778">
      <c r="B10778" s="17" t="s">
        <v>477</v>
      </c>
      <c r="K10778" s="18" t="s">
        <v>477</v>
      </c>
      <c r="N10778" s="17" t="str">
        <f>IFERROR(__xludf.DUMMYFUNCTION("""COMPUTED_VALUE"""),"")</f>
        <v/>
      </c>
      <c r="O10778" s="17"/>
    </row>
    <row r="10779">
      <c r="B10779" s="17" t="s">
        <v>477</v>
      </c>
      <c r="K10779" s="18" t="s">
        <v>477</v>
      </c>
      <c r="N10779" s="17" t="str">
        <f>IFERROR(__xludf.DUMMYFUNCTION("""COMPUTED_VALUE"""),"")</f>
        <v/>
      </c>
      <c r="O10779" s="17"/>
    </row>
    <row r="10780">
      <c r="B10780" s="17" t="s">
        <v>477</v>
      </c>
      <c r="K10780" s="18" t="s">
        <v>477</v>
      </c>
      <c r="N10780" s="17" t="str">
        <f>IFERROR(__xludf.DUMMYFUNCTION("""COMPUTED_VALUE"""),"")</f>
        <v/>
      </c>
      <c r="O10780" s="17"/>
    </row>
    <row r="10781">
      <c r="B10781" s="17" t="s">
        <v>477</v>
      </c>
      <c r="K10781" s="18" t="s">
        <v>477</v>
      </c>
      <c r="N10781" s="17" t="str">
        <f>IFERROR(__xludf.DUMMYFUNCTION("""COMPUTED_VALUE"""),"")</f>
        <v/>
      </c>
      <c r="O10781" s="17"/>
    </row>
    <row r="10782">
      <c r="B10782" s="17" t="s">
        <v>477</v>
      </c>
      <c r="K10782" s="18" t="s">
        <v>477</v>
      </c>
      <c r="N10782" s="17" t="str">
        <f>IFERROR(__xludf.DUMMYFUNCTION("""COMPUTED_VALUE"""),"")</f>
        <v/>
      </c>
      <c r="O10782" s="17"/>
    </row>
    <row r="10783">
      <c r="B10783" s="17" t="s">
        <v>477</v>
      </c>
      <c r="K10783" s="18" t="s">
        <v>477</v>
      </c>
      <c r="N10783" s="17" t="str">
        <f>IFERROR(__xludf.DUMMYFUNCTION("""COMPUTED_VALUE"""),"")</f>
        <v/>
      </c>
      <c r="O10783" s="17"/>
    </row>
    <row r="10784">
      <c r="B10784" s="17" t="s">
        <v>477</v>
      </c>
      <c r="K10784" s="18" t="s">
        <v>477</v>
      </c>
      <c r="N10784" s="17" t="str">
        <f>IFERROR(__xludf.DUMMYFUNCTION("""COMPUTED_VALUE"""),"")</f>
        <v/>
      </c>
      <c r="O10784" s="17"/>
    </row>
    <row r="10785">
      <c r="B10785" s="17" t="s">
        <v>477</v>
      </c>
      <c r="K10785" s="18" t="s">
        <v>477</v>
      </c>
      <c r="N10785" s="17" t="str">
        <f>IFERROR(__xludf.DUMMYFUNCTION("""COMPUTED_VALUE"""),"")</f>
        <v/>
      </c>
      <c r="O10785" s="17"/>
    </row>
    <row r="10786">
      <c r="B10786" s="17" t="s">
        <v>477</v>
      </c>
      <c r="K10786" s="18" t="s">
        <v>477</v>
      </c>
      <c r="N10786" s="17" t="str">
        <f>IFERROR(__xludf.DUMMYFUNCTION("""COMPUTED_VALUE"""),"")</f>
        <v/>
      </c>
      <c r="O10786" s="17"/>
    </row>
    <row r="10787">
      <c r="B10787" s="17" t="s">
        <v>477</v>
      </c>
      <c r="K10787" s="18" t="s">
        <v>477</v>
      </c>
      <c r="N10787" s="17" t="str">
        <f>IFERROR(__xludf.DUMMYFUNCTION("""COMPUTED_VALUE"""),"")</f>
        <v/>
      </c>
      <c r="O10787" s="17"/>
    </row>
    <row r="10788">
      <c r="B10788" s="17" t="s">
        <v>477</v>
      </c>
      <c r="K10788" s="18" t="s">
        <v>477</v>
      </c>
      <c r="N10788" s="17" t="str">
        <f>IFERROR(__xludf.DUMMYFUNCTION("""COMPUTED_VALUE"""),"")</f>
        <v/>
      </c>
      <c r="O10788" s="17"/>
    </row>
    <row r="10789">
      <c r="B10789" s="17" t="s">
        <v>477</v>
      </c>
      <c r="K10789" s="18" t="s">
        <v>477</v>
      </c>
      <c r="N10789" s="17" t="str">
        <f>IFERROR(__xludf.DUMMYFUNCTION("""COMPUTED_VALUE"""),"")</f>
        <v/>
      </c>
      <c r="O10789" s="17"/>
    </row>
    <row r="10790">
      <c r="B10790" s="17" t="s">
        <v>477</v>
      </c>
      <c r="K10790" s="18" t="s">
        <v>477</v>
      </c>
      <c r="N10790" s="17" t="str">
        <f>IFERROR(__xludf.DUMMYFUNCTION("""COMPUTED_VALUE"""),"")</f>
        <v/>
      </c>
      <c r="O10790" s="17"/>
    </row>
    <row r="10791">
      <c r="B10791" s="17" t="s">
        <v>477</v>
      </c>
      <c r="K10791" s="18" t="s">
        <v>477</v>
      </c>
      <c r="N10791" s="17" t="str">
        <f>IFERROR(__xludf.DUMMYFUNCTION("""COMPUTED_VALUE"""),"")</f>
        <v/>
      </c>
      <c r="O10791" s="17"/>
    </row>
    <row r="10792">
      <c r="B10792" s="17" t="s">
        <v>477</v>
      </c>
      <c r="K10792" s="18" t="s">
        <v>477</v>
      </c>
      <c r="N10792" s="17" t="str">
        <f>IFERROR(__xludf.DUMMYFUNCTION("""COMPUTED_VALUE"""),"")</f>
        <v/>
      </c>
      <c r="O10792" s="17"/>
    </row>
    <row r="10793">
      <c r="B10793" s="17" t="s">
        <v>477</v>
      </c>
      <c r="K10793" s="18" t="s">
        <v>477</v>
      </c>
      <c r="N10793" s="17" t="str">
        <f>IFERROR(__xludf.DUMMYFUNCTION("""COMPUTED_VALUE"""),"")</f>
        <v/>
      </c>
      <c r="O10793" s="17"/>
    </row>
    <row r="10794">
      <c r="B10794" s="17" t="s">
        <v>477</v>
      </c>
      <c r="K10794" s="18" t="s">
        <v>477</v>
      </c>
      <c r="N10794" s="17" t="str">
        <f>IFERROR(__xludf.DUMMYFUNCTION("""COMPUTED_VALUE"""),"")</f>
        <v/>
      </c>
      <c r="O10794" s="17"/>
    </row>
    <row r="10795">
      <c r="B10795" s="17" t="s">
        <v>477</v>
      </c>
      <c r="K10795" s="18" t="s">
        <v>477</v>
      </c>
      <c r="N10795" s="17" t="str">
        <f>IFERROR(__xludf.DUMMYFUNCTION("""COMPUTED_VALUE"""),"")</f>
        <v/>
      </c>
      <c r="O10795" s="17"/>
    </row>
    <row r="10796">
      <c r="B10796" s="17" t="s">
        <v>477</v>
      </c>
      <c r="K10796" s="18" t="s">
        <v>477</v>
      </c>
      <c r="N10796" s="17" t="str">
        <f>IFERROR(__xludf.DUMMYFUNCTION("""COMPUTED_VALUE"""),"")</f>
        <v/>
      </c>
      <c r="O10796" s="17"/>
    </row>
    <row r="10797">
      <c r="B10797" s="17" t="s">
        <v>477</v>
      </c>
      <c r="K10797" s="18" t="s">
        <v>477</v>
      </c>
      <c r="N10797" s="17" t="str">
        <f>IFERROR(__xludf.DUMMYFUNCTION("""COMPUTED_VALUE"""),"")</f>
        <v/>
      </c>
      <c r="O10797" s="17"/>
    </row>
    <row r="10798">
      <c r="B10798" s="17" t="s">
        <v>477</v>
      </c>
      <c r="K10798" s="18" t="s">
        <v>477</v>
      </c>
      <c r="N10798" s="17" t="str">
        <f>IFERROR(__xludf.DUMMYFUNCTION("""COMPUTED_VALUE"""),"")</f>
        <v/>
      </c>
      <c r="O10798" s="17"/>
    </row>
    <row r="10799">
      <c r="B10799" s="17" t="s">
        <v>477</v>
      </c>
      <c r="K10799" s="18" t="s">
        <v>477</v>
      </c>
      <c r="N10799" s="17" t="str">
        <f>IFERROR(__xludf.DUMMYFUNCTION("""COMPUTED_VALUE"""),"")</f>
        <v/>
      </c>
      <c r="O10799" s="17"/>
    </row>
    <row r="10800">
      <c r="B10800" s="17" t="s">
        <v>477</v>
      </c>
      <c r="K10800" s="18" t="s">
        <v>477</v>
      </c>
      <c r="N10800" s="17" t="str">
        <f>IFERROR(__xludf.DUMMYFUNCTION("""COMPUTED_VALUE"""),"")</f>
        <v/>
      </c>
      <c r="O10800" s="17"/>
    </row>
    <row r="10801">
      <c r="B10801" s="17" t="s">
        <v>477</v>
      </c>
      <c r="K10801" s="18" t="s">
        <v>477</v>
      </c>
      <c r="N10801" s="17" t="str">
        <f>IFERROR(__xludf.DUMMYFUNCTION("""COMPUTED_VALUE"""),"")</f>
        <v/>
      </c>
      <c r="O10801" s="17"/>
    </row>
    <row r="10802">
      <c r="B10802" s="17" t="s">
        <v>477</v>
      </c>
      <c r="K10802" s="18" t="s">
        <v>477</v>
      </c>
      <c r="N10802" s="17" t="str">
        <f>IFERROR(__xludf.DUMMYFUNCTION("""COMPUTED_VALUE"""),"")</f>
        <v/>
      </c>
      <c r="O10802" s="17"/>
    </row>
    <row r="10803">
      <c r="B10803" s="17" t="s">
        <v>477</v>
      </c>
      <c r="K10803" s="18" t="s">
        <v>477</v>
      </c>
      <c r="N10803" s="17" t="str">
        <f>IFERROR(__xludf.DUMMYFUNCTION("""COMPUTED_VALUE"""),"")</f>
        <v/>
      </c>
      <c r="O10803" s="17"/>
    </row>
    <row r="10804">
      <c r="B10804" s="17" t="s">
        <v>477</v>
      </c>
      <c r="K10804" s="18" t="s">
        <v>477</v>
      </c>
      <c r="N10804" s="17" t="str">
        <f>IFERROR(__xludf.DUMMYFUNCTION("""COMPUTED_VALUE"""),"")</f>
        <v/>
      </c>
      <c r="O10804" s="17"/>
    </row>
    <row r="10805">
      <c r="B10805" s="17" t="s">
        <v>477</v>
      </c>
      <c r="K10805" s="18" t="s">
        <v>477</v>
      </c>
      <c r="N10805" s="17" t="str">
        <f>IFERROR(__xludf.DUMMYFUNCTION("""COMPUTED_VALUE"""),"")</f>
        <v/>
      </c>
      <c r="O10805" s="17"/>
    </row>
    <row r="10806">
      <c r="B10806" s="17" t="s">
        <v>477</v>
      </c>
      <c r="K10806" s="18" t="s">
        <v>477</v>
      </c>
      <c r="N10806" s="17" t="str">
        <f>IFERROR(__xludf.DUMMYFUNCTION("""COMPUTED_VALUE"""),"")</f>
        <v/>
      </c>
      <c r="O10806" s="17"/>
    </row>
    <row r="10807">
      <c r="B10807" s="17" t="s">
        <v>477</v>
      </c>
      <c r="K10807" s="18" t="s">
        <v>477</v>
      </c>
      <c r="N10807" s="17" t="str">
        <f>IFERROR(__xludf.DUMMYFUNCTION("""COMPUTED_VALUE"""),"")</f>
        <v/>
      </c>
      <c r="O10807" s="17"/>
    </row>
    <row r="10808">
      <c r="B10808" s="17" t="s">
        <v>477</v>
      </c>
      <c r="K10808" s="18" t="s">
        <v>477</v>
      </c>
      <c r="N10808" s="17" t="str">
        <f>IFERROR(__xludf.DUMMYFUNCTION("""COMPUTED_VALUE"""),"")</f>
        <v/>
      </c>
      <c r="O10808" s="17"/>
    </row>
    <row r="10809">
      <c r="B10809" s="17" t="s">
        <v>477</v>
      </c>
      <c r="K10809" s="18" t="s">
        <v>477</v>
      </c>
      <c r="N10809" s="17" t="str">
        <f>IFERROR(__xludf.DUMMYFUNCTION("""COMPUTED_VALUE"""),"")</f>
        <v/>
      </c>
      <c r="O10809" s="17"/>
    </row>
    <row r="10810">
      <c r="B10810" s="17" t="s">
        <v>477</v>
      </c>
      <c r="K10810" s="18" t="s">
        <v>477</v>
      </c>
      <c r="N10810" s="17" t="str">
        <f>IFERROR(__xludf.DUMMYFUNCTION("""COMPUTED_VALUE"""),"")</f>
        <v/>
      </c>
      <c r="O10810" s="17"/>
    </row>
    <row r="10811">
      <c r="B10811" s="17" t="s">
        <v>477</v>
      </c>
      <c r="K10811" s="18" t="s">
        <v>477</v>
      </c>
      <c r="N10811" s="17" t="str">
        <f>IFERROR(__xludf.DUMMYFUNCTION("""COMPUTED_VALUE"""),"")</f>
        <v/>
      </c>
      <c r="O10811" s="17"/>
    </row>
    <row r="10812">
      <c r="B10812" s="17" t="s">
        <v>477</v>
      </c>
      <c r="K10812" s="18" t="s">
        <v>477</v>
      </c>
      <c r="N10812" s="17" t="str">
        <f>IFERROR(__xludf.DUMMYFUNCTION("""COMPUTED_VALUE"""),"")</f>
        <v/>
      </c>
      <c r="O10812" s="17"/>
    </row>
    <row r="10813">
      <c r="B10813" s="17" t="s">
        <v>477</v>
      </c>
      <c r="K10813" s="18" t="s">
        <v>477</v>
      </c>
      <c r="N10813" s="17" t="str">
        <f>IFERROR(__xludf.DUMMYFUNCTION("""COMPUTED_VALUE"""),"")</f>
        <v/>
      </c>
      <c r="O10813" s="17"/>
    </row>
    <row r="10814">
      <c r="B10814" s="17" t="s">
        <v>477</v>
      </c>
      <c r="K10814" s="18" t="s">
        <v>477</v>
      </c>
      <c r="N10814" s="17" t="str">
        <f>IFERROR(__xludf.DUMMYFUNCTION("""COMPUTED_VALUE"""),"")</f>
        <v/>
      </c>
      <c r="O10814" s="17"/>
    </row>
    <row r="10815">
      <c r="B10815" s="17" t="s">
        <v>477</v>
      </c>
      <c r="K10815" s="18" t="s">
        <v>477</v>
      </c>
      <c r="N10815" s="17" t="str">
        <f>IFERROR(__xludf.DUMMYFUNCTION("""COMPUTED_VALUE"""),"")</f>
        <v/>
      </c>
      <c r="O10815" s="17"/>
    </row>
    <row r="10816">
      <c r="B10816" s="17" t="s">
        <v>477</v>
      </c>
      <c r="K10816" s="18" t="s">
        <v>477</v>
      </c>
      <c r="N10816" s="17" t="str">
        <f>IFERROR(__xludf.DUMMYFUNCTION("""COMPUTED_VALUE"""),"")</f>
        <v/>
      </c>
      <c r="O10816" s="17"/>
    </row>
    <row r="10817">
      <c r="B10817" s="17" t="s">
        <v>477</v>
      </c>
      <c r="K10817" s="18" t="s">
        <v>477</v>
      </c>
      <c r="N10817" s="17" t="str">
        <f>IFERROR(__xludf.DUMMYFUNCTION("""COMPUTED_VALUE"""),"")</f>
        <v/>
      </c>
      <c r="O10817" s="17"/>
    </row>
    <row r="10818">
      <c r="B10818" s="17" t="s">
        <v>477</v>
      </c>
      <c r="K10818" s="18" t="s">
        <v>477</v>
      </c>
      <c r="N10818" s="17" t="str">
        <f>IFERROR(__xludf.DUMMYFUNCTION("""COMPUTED_VALUE"""),"")</f>
        <v/>
      </c>
      <c r="O10818" s="17"/>
    </row>
    <row r="10819">
      <c r="B10819" s="17" t="s">
        <v>477</v>
      </c>
      <c r="K10819" s="18" t="s">
        <v>477</v>
      </c>
      <c r="N10819" s="17" t="str">
        <f>IFERROR(__xludf.DUMMYFUNCTION("""COMPUTED_VALUE"""),"")</f>
        <v/>
      </c>
      <c r="O10819" s="17"/>
    </row>
    <row r="10820">
      <c r="B10820" s="17" t="s">
        <v>477</v>
      </c>
      <c r="K10820" s="18" t="s">
        <v>477</v>
      </c>
      <c r="N10820" s="17" t="str">
        <f>IFERROR(__xludf.DUMMYFUNCTION("""COMPUTED_VALUE"""),"")</f>
        <v/>
      </c>
      <c r="O10820" s="17"/>
    </row>
    <row r="10821">
      <c r="B10821" s="17" t="s">
        <v>477</v>
      </c>
      <c r="K10821" s="18" t="s">
        <v>477</v>
      </c>
      <c r="N10821" s="17" t="str">
        <f>IFERROR(__xludf.DUMMYFUNCTION("""COMPUTED_VALUE"""),"")</f>
        <v/>
      </c>
      <c r="O10821" s="17"/>
    </row>
    <row r="10822">
      <c r="B10822" s="17" t="s">
        <v>477</v>
      </c>
      <c r="K10822" s="18" t="s">
        <v>477</v>
      </c>
      <c r="N10822" s="17" t="str">
        <f>IFERROR(__xludf.DUMMYFUNCTION("""COMPUTED_VALUE"""),"")</f>
        <v/>
      </c>
      <c r="O10822" s="17"/>
    </row>
    <row r="10823">
      <c r="B10823" s="17" t="s">
        <v>477</v>
      </c>
      <c r="K10823" s="18" t="s">
        <v>477</v>
      </c>
      <c r="N10823" s="17" t="str">
        <f>IFERROR(__xludf.DUMMYFUNCTION("""COMPUTED_VALUE"""),"")</f>
        <v/>
      </c>
      <c r="O10823" s="17"/>
    </row>
    <row r="10824">
      <c r="B10824" s="17" t="s">
        <v>477</v>
      </c>
      <c r="K10824" s="18" t="s">
        <v>477</v>
      </c>
      <c r="N10824" s="17" t="str">
        <f>IFERROR(__xludf.DUMMYFUNCTION("""COMPUTED_VALUE"""),"")</f>
        <v/>
      </c>
      <c r="O10824" s="17"/>
    </row>
    <row r="10825">
      <c r="B10825" s="17" t="s">
        <v>477</v>
      </c>
      <c r="K10825" s="18" t="s">
        <v>477</v>
      </c>
      <c r="N10825" s="17" t="str">
        <f>IFERROR(__xludf.DUMMYFUNCTION("""COMPUTED_VALUE"""),"")</f>
        <v/>
      </c>
      <c r="O10825" s="17"/>
    </row>
    <row r="10826">
      <c r="B10826" s="17" t="s">
        <v>477</v>
      </c>
      <c r="K10826" s="18" t="s">
        <v>477</v>
      </c>
      <c r="N10826" s="17" t="str">
        <f>IFERROR(__xludf.DUMMYFUNCTION("""COMPUTED_VALUE"""),"")</f>
        <v/>
      </c>
      <c r="O10826" s="17"/>
    </row>
    <row r="10827">
      <c r="B10827" s="17" t="s">
        <v>477</v>
      </c>
      <c r="K10827" s="18" t="s">
        <v>477</v>
      </c>
      <c r="N10827" s="17" t="str">
        <f>IFERROR(__xludf.DUMMYFUNCTION("""COMPUTED_VALUE"""),"")</f>
        <v/>
      </c>
      <c r="O10827" s="17"/>
    </row>
    <row r="10828">
      <c r="B10828" s="17" t="s">
        <v>477</v>
      </c>
      <c r="K10828" s="18" t="s">
        <v>477</v>
      </c>
      <c r="N10828" s="17" t="str">
        <f>IFERROR(__xludf.DUMMYFUNCTION("""COMPUTED_VALUE"""),"")</f>
        <v/>
      </c>
      <c r="O10828" s="17"/>
    </row>
    <row r="10829">
      <c r="B10829" s="17" t="s">
        <v>477</v>
      </c>
      <c r="K10829" s="18" t="s">
        <v>477</v>
      </c>
      <c r="N10829" s="17" t="str">
        <f>IFERROR(__xludf.DUMMYFUNCTION("""COMPUTED_VALUE"""),"")</f>
        <v/>
      </c>
      <c r="O10829" s="17"/>
    </row>
    <row r="10830">
      <c r="B10830" s="17" t="s">
        <v>477</v>
      </c>
      <c r="K10830" s="18" t="s">
        <v>477</v>
      </c>
      <c r="N10830" s="17" t="str">
        <f>IFERROR(__xludf.DUMMYFUNCTION("""COMPUTED_VALUE"""),"")</f>
        <v/>
      </c>
      <c r="O10830" s="17"/>
    </row>
    <row r="10831">
      <c r="B10831" s="17" t="s">
        <v>477</v>
      </c>
      <c r="K10831" s="18" t="s">
        <v>477</v>
      </c>
      <c r="N10831" s="17" t="str">
        <f>IFERROR(__xludf.DUMMYFUNCTION("""COMPUTED_VALUE"""),"")</f>
        <v/>
      </c>
      <c r="O10831" s="17"/>
    </row>
    <row r="10832">
      <c r="B10832" s="17" t="s">
        <v>477</v>
      </c>
      <c r="K10832" s="18" t="s">
        <v>477</v>
      </c>
      <c r="N10832" s="17" t="str">
        <f>IFERROR(__xludf.DUMMYFUNCTION("""COMPUTED_VALUE"""),"")</f>
        <v/>
      </c>
      <c r="O10832" s="17"/>
    </row>
    <row r="10833">
      <c r="B10833" s="17" t="s">
        <v>477</v>
      </c>
      <c r="K10833" s="18" t="s">
        <v>477</v>
      </c>
      <c r="N10833" s="17" t="str">
        <f>IFERROR(__xludf.DUMMYFUNCTION("""COMPUTED_VALUE"""),"")</f>
        <v/>
      </c>
      <c r="O10833" s="17"/>
    </row>
    <row r="10834">
      <c r="B10834" s="17" t="s">
        <v>477</v>
      </c>
      <c r="K10834" s="18" t="s">
        <v>477</v>
      </c>
      <c r="N10834" s="17" t="str">
        <f>IFERROR(__xludf.DUMMYFUNCTION("""COMPUTED_VALUE"""),"")</f>
        <v/>
      </c>
      <c r="O10834" s="17"/>
    </row>
    <row r="10835">
      <c r="B10835" s="17" t="s">
        <v>477</v>
      </c>
      <c r="K10835" s="18" t="s">
        <v>477</v>
      </c>
      <c r="N10835" s="17" t="str">
        <f>IFERROR(__xludf.DUMMYFUNCTION("""COMPUTED_VALUE"""),"")</f>
        <v/>
      </c>
      <c r="O10835" s="17"/>
    </row>
    <row r="10836">
      <c r="B10836" s="17" t="s">
        <v>477</v>
      </c>
      <c r="K10836" s="18" t="s">
        <v>477</v>
      </c>
      <c r="N10836" s="17" t="str">
        <f>IFERROR(__xludf.DUMMYFUNCTION("""COMPUTED_VALUE"""),"")</f>
        <v/>
      </c>
      <c r="O10836" s="17"/>
    </row>
    <row r="10837">
      <c r="B10837" s="17" t="s">
        <v>477</v>
      </c>
      <c r="K10837" s="18" t="s">
        <v>477</v>
      </c>
      <c r="N10837" s="17" t="str">
        <f>IFERROR(__xludf.DUMMYFUNCTION("""COMPUTED_VALUE"""),"")</f>
        <v/>
      </c>
      <c r="O10837" s="17"/>
    </row>
    <row r="10838">
      <c r="B10838" s="17" t="s">
        <v>477</v>
      </c>
      <c r="K10838" s="18" t="s">
        <v>477</v>
      </c>
      <c r="N10838" s="17" t="str">
        <f>IFERROR(__xludf.DUMMYFUNCTION("""COMPUTED_VALUE"""),"")</f>
        <v/>
      </c>
      <c r="O10838" s="17"/>
    </row>
    <row r="10839">
      <c r="B10839" s="17" t="s">
        <v>477</v>
      </c>
      <c r="K10839" s="18" t="s">
        <v>477</v>
      </c>
      <c r="N10839" s="17" t="str">
        <f>IFERROR(__xludf.DUMMYFUNCTION("""COMPUTED_VALUE"""),"")</f>
        <v/>
      </c>
      <c r="O10839" s="17"/>
    </row>
    <row r="10840">
      <c r="B10840" s="17" t="s">
        <v>477</v>
      </c>
      <c r="K10840" s="18" t="s">
        <v>477</v>
      </c>
      <c r="N10840" s="17" t="str">
        <f>IFERROR(__xludf.DUMMYFUNCTION("""COMPUTED_VALUE"""),"")</f>
        <v/>
      </c>
      <c r="O10840" s="17"/>
    </row>
    <row r="10841">
      <c r="B10841" s="17" t="s">
        <v>477</v>
      </c>
      <c r="K10841" s="18" t="s">
        <v>477</v>
      </c>
      <c r="N10841" s="17" t="str">
        <f>IFERROR(__xludf.DUMMYFUNCTION("""COMPUTED_VALUE"""),"")</f>
        <v/>
      </c>
      <c r="O10841" s="17"/>
    </row>
    <row r="10842">
      <c r="B10842" s="17" t="s">
        <v>477</v>
      </c>
      <c r="K10842" s="18" t="s">
        <v>477</v>
      </c>
      <c r="N10842" s="17" t="str">
        <f>IFERROR(__xludf.DUMMYFUNCTION("""COMPUTED_VALUE"""),"")</f>
        <v/>
      </c>
      <c r="O10842" s="17"/>
    </row>
    <row r="10843">
      <c r="B10843" s="17" t="s">
        <v>477</v>
      </c>
      <c r="K10843" s="18" t="s">
        <v>477</v>
      </c>
      <c r="N10843" s="17" t="str">
        <f>IFERROR(__xludf.DUMMYFUNCTION("""COMPUTED_VALUE"""),"")</f>
        <v/>
      </c>
      <c r="O10843" s="17"/>
    </row>
    <row r="10844">
      <c r="B10844" s="17" t="s">
        <v>477</v>
      </c>
      <c r="K10844" s="18" t="s">
        <v>477</v>
      </c>
      <c r="N10844" s="17" t="str">
        <f>IFERROR(__xludf.DUMMYFUNCTION("""COMPUTED_VALUE"""),"")</f>
        <v/>
      </c>
      <c r="O10844" s="17"/>
    </row>
    <row r="10845">
      <c r="B10845" s="17" t="s">
        <v>477</v>
      </c>
      <c r="K10845" s="18" t="s">
        <v>477</v>
      </c>
      <c r="N10845" s="17" t="str">
        <f>IFERROR(__xludf.DUMMYFUNCTION("""COMPUTED_VALUE"""),"")</f>
        <v/>
      </c>
      <c r="O10845" s="17"/>
    </row>
    <row r="10846">
      <c r="B10846" s="17" t="s">
        <v>477</v>
      </c>
      <c r="K10846" s="18" t="s">
        <v>477</v>
      </c>
      <c r="N10846" s="17" t="str">
        <f>IFERROR(__xludf.DUMMYFUNCTION("""COMPUTED_VALUE"""),"")</f>
        <v/>
      </c>
      <c r="O10846" s="17"/>
    </row>
    <row r="10847">
      <c r="B10847" s="17" t="s">
        <v>477</v>
      </c>
      <c r="K10847" s="18" t="s">
        <v>477</v>
      </c>
      <c r="N10847" s="17" t="str">
        <f>IFERROR(__xludf.DUMMYFUNCTION("""COMPUTED_VALUE"""),"")</f>
        <v/>
      </c>
      <c r="O10847" s="17"/>
    </row>
    <row r="10848">
      <c r="B10848" s="17" t="s">
        <v>477</v>
      </c>
      <c r="K10848" s="18" t="s">
        <v>477</v>
      </c>
      <c r="N10848" s="17" t="str">
        <f>IFERROR(__xludf.DUMMYFUNCTION("""COMPUTED_VALUE"""),"")</f>
        <v/>
      </c>
      <c r="O10848" s="17"/>
    </row>
    <row r="10849">
      <c r="B10849" s="17" t="s">
        <v>477</v>
      </c>
      <c r="K10849" s="18" t="s">
        <v>477</v>
      </c>
      <c r="N10849" s="17" t="str">
        <f>IFERROR(__xludf.DUMMYFUNCTION("""COMPUTED_VALUE"""),"")</f>
        <v/>
      </c>
      <c r="O10849" s="17"/>
    </row>
    <row r="10850">
      <c r="B10850" s="17" t="s">
        <v>477</v>
      </c>
      <c r="K10850" s="18" t="s">
        <v>477</v>
      </c>
      <c r="N10850" s="17" t="str">
        <f>IFERROR(__xludf.DUMMYFUNCTION("""COMPUTED_VALUE"""),"")</f>
        <v/>
      </c>
      <c r="O10850" s="17"/>
    </row>
    <row r="10851">
      <c r="B10851" s="17" t="s">
        <v>477</v>
      </c>
      <c r="K10851" s="18" t="s">
        <v>477</v>
      </c>
      <c r="N10851" s="17" t="str">
        <f>IFERROR(__xludf.DUMMYFUNCTION("""COMPUTED_VALUE"""),"")</f>
        <v/>
      </c>
      <c r="O10851" s="17"/>
    </row>
    <row r="10852">
      <c r="B10852" s="17" t="s">
        <v>477</v>
      </c>
      <c r="K10852" s="18" t="s">
        <v>477</v>
      </c>
      <c r="N10852" s="17" t="str">
        <f>IFERROR(__xludf.DUMMYFUNCTION("""COMPUTED_VALUE"""),"")</f>
        <v/>
      </c>
      <c r="O10852" s="17"/>
    </row>
    <row r="10853">
      <c r="B10853" s="17" t="s">
        <v>477</v>
      </c>
      <c r="K10853" s="18" t="s">
        <v>477</v>
      </c>
      <c r="N10853" s="17" t="str">
        <f>IFERROR(__xludf.DUMMYFUNCTION("""COMPUTED_VALUE"""),"")</f>
        <v/>
      </c>
      <c r="O10853" s="17"/>
    </row>
    <row r="10854">
      <c r="B10854" s="17" t="s">
        <v>477</v>
      </c>
      <c r="K10854" s="18" t="s">
        <v>477</v>
      </c>
      <c r="N10854" s="17" t="str">
        <f>IFERROR(__xludf.DUMMYFUNCTION("""COMPUTED_VALUE"""),"")</f>
        <v/>
      </c>
      <c r="O10854" s="17"/>
    </row>
    <row r="10855">
      <c r="B10855" s="17" t="s">
        <v>477</v>
      </c>
      <c r="K10855" s="18" t="s">
        <v>477</v>
      </c>
      <c r="N10855" s="17" t="str">
        <f>IFERROR(__xludf.DUMMYFUNCTION("""COMPUTED_VALUE"""),"")</f>
        <v/>
      </c>
      <c r="O10855" s="17"/>
    </row>
    <row r="10856">
      <c r="B10856" s="17" t="s">
        <v>477</v>
      </c>
      <c r="K10856" s="18" t="s">
        <v>477</v>
      </c>
      <c r="N10856" s="17" t="str">
        <f>IFERROR(__xludf.DUMMYFUNCTION("""COMPUTED_VALUE"""),"")</f>
        <v/>
      </c>
      <c r="O10856" s="17"/>
    </row>
    <row r="10857">
      <c r="B10857" s="17" t="s">
        <v>477</v>
      </c>
      <c r="K10857" s="18" t="s">
        <v>477</v>
      </c>
      <c r="N10857" s="17" t="str">
        <f>IFERROR(__xludf.DUMMYFUNCTION("""COMPUTED_VALUE"""),"")</f>
        <v/>
      </c>
      <c r="O10857" s="17"/>
    </row>
    <row r="10858">
      <c r="B10858" s="17" t="s">
        <v>477</v>
      </c>
      <c r="K10858" s="18" t="s">
        <v>477</v>
      </c>
      <c r="N10858" s="17" t="str">
        <f>IFERROR(__xludf.DUMMYFUNCTION("""COMPUTED_VALUE"""),"")</f>
        <v/>
      </c>
      <c r="O10858" s="17"/>
    </row>
    <row r="10859">
      <c r="B10859" s="17" t="s">
        <v>477</v>
      </c>
      <c r="K10859" s="18" t="s">
        <v>477</v>
      </c>
      <c r="N10859" s="17" t="str">
        <f>IFERROR(__xludf.DUMMYFUNCTION("""COMPUTED_VALUE"""),"")</f>
        <v/>
      </c>
      <c r="O10859" s="17"/>
    </row>
    <row r="10860">
      <c r="B10860" s="17" t="s">
        <v>477</v>
      </c>
      <c r="K10860" s="18" t="s">
        <v>477</v>
      </c>
      <c r="N10860" s="17" t="str">
        <f>IFERROR(__xludf.DUMMYFUNCTION("""COMPUTED_VALUE"""),"")</f>
        <v/>
      </c>
      <c r="O10860" s="17"/>
    </row>
    <row r="10861">
      <c r="B10861" s="17" t="s">
        <v>477</v>
      </c>
      <c r="K10861" s="18" t="s">
        <v>477</v>
      </c>
      <c r="N10861" s="17" t="str">
        <f>IFERROR(__xludf.DUMMYFUNCTION("""COMPUTED_VALUE"""),"")</f>
        <v/>
      </c>
      <c r="O10861" s="17"/>
    </row>
    <row r="10862">
      <c r="B10862" s="17" t="s">
        <v>477</v>
      </c>
      <c r="K10862" s="18" t="s">
        <v>477</v>
      </c>
      <c r="N10862" s="17" t="str">
        <f>IFERROR(__xludf.DUMMYFUNCTION("""COMPUTED_VALUE"""),"")</f>
        <v/>
      </c>
      <c r="O10862" s="17"/>
    </row>
    <row r="10863">
      <c r="B10863" s="17" t="s">
        <v>477</v>
      </c>
      <c r="K10863" s="18" t="s">
        <v>477</v>
      </c>
      <c r="N10863" s="17" t="str">
        <f>IFERROR(__xludf.DUMMYFUNCTION("""COMPUTED_VALUE"""),"")</f>
        <v/>
      </c>
      <c r="O10863" s="17"/>
    </row>
    <row r="10864">
      <c r="B10864" s="17" t="s">
        <v>477</v>
      </c>
      <c r="K10864" s="18" t="s">
        <v>477</v>
      </c>
      <c r="N10864" s="17" t="str">
        <f>IFERROR(__xludf.DUMMYFUNCTION("""COMPUTED_VALUE"""),"")</f>
        <v/>
      </c>
      <c r="O10864" s="17"/>
    </row>
    <row r="10865">
      <c r="B10865" s="17" t="s">
        <v>477</v>
      </c>
      <c r="K10865" s="18" t="s">
        <v>477</v>
      </c>
      <c r="N10865" s="17" t="str">
        <f>IFERROR(__xludf.DUMMYFUNCTION("""COMPUTED_VALUE"""),"")</f>
        <v/>
      </c>
      <c r="O10865" s="17"/>
    </row>
    <row r="10866">
      <c r="B10866" s="17" t="s">
        <v>477</v>
      </c>
      <c r="K10866" s="18" t="s">
        <v>477</v>
      </c>
      <c r="N10866" s="17" t="str">
        <f>IFERROR(__xludf.DUMMYFUNCTION("""COMPUTED_VALUE"""),"")</f>
        <v/>
      </c>
      <c r="O10866" s="17"/>
    </row>
    <row r="10867">
      <c r="B10867" s="17" t="s">
        <v>477</v>
      </c>
      <c r="K10867" s="18" t="s">
        <v>477</v>
      </c>
      <c r="N10867" s="17" t="str">
        <f>IFERROR(__xludf.DUMMYFUNCTION("""COMPUTED_VALUE"""),"")</f>
        <v/>
      </c>
      <c r="O10867" s="17"/>
    </row>
    <row r="10868">
      <c r="B10868" s="17" t="s">
        <v>477</v>
      </c>
      <c r="K10868" s="18" t="s">
        <v>477</v>
      </c>
      <c r="N10868" s="17" t="str">
        <f>IFERROR(__xludf.DUMMYFUNCTION("""COMPUTED_VALUE"""),"")</f>
        <v/>
      </c>
      <c r="O10868" s="17"/>
    </row>
    <row r="10869">
      <c r="B10869" s="17" t="s">
        <v>477</v>
      </c>
      <c r="K10869" s="18" t="s">
        <v>477</v>
      </c>
      <c r="N10869" s="17" t="str">
        <f>IFERROR(__xludf.DUMMYFUNCTION("""COMPUTED_VALUE"""),"")</f>
        <v/>
      </c>
      <c r="O10869" s="17"/>
    </row>
    <row r="10870">
      <c r="B10870" s="17" t="s">
        <v>477</v>
      </c>
      <c r="K10870" s="18" t="s">
        <v>477</v>
      </c>
      <c r="N10870" s="17" t="str">
        <f>IFERROR(__xludf.DUMMYFUNCTION("""COMPUTED_VALUE"""),"")</f>
        <v/>
      </c>
      <c r="O10870" s="17"/>
    </row>
    <row r="10871">
      <c r="B10871" s="17" t="s">
        <v>477</v>
      </c>
      <c r="K10871" s="18" t="s">
        <v>477</v>
      </c>
      <c r="N10871" s="17" t="str">
        <f>IFERROR(__xludf.DUMMYFUNCTION("""COMPUTED_VALUE"""),"")</f>
        <v/>
      </c>
      <c r="O10871" s="17"/>
    </row>
    <row r="10872">
      <c r="B10872" s="17" t="s">
        <v>477</v>
      </c>
      <c r="K10872" s="18" t="s">
        <v>477</v>
      </c>
      <c r="N10872" s="17" t="str">
        <f>IFERROR(__xludf.DUMMYFUNCTION("""COMPUTED_VALUE"""),"")</f>
        <v/>
      </c>
      <c r="O10872" s="17"/>
    </row>
    <row r="10873">
      <c r="B10873" s="17" t="s">
        <v>477</v>
      </c>
      <c r="K10873" s="18" t="s">
        <v>477</v>
      </c>
      <c r="N10873" s="17" t="str">
        <f>IFERROR(__xludf.DUMMYFUNCTION("""COMPUTED_VALUE"""),"")</f>
        <v/>
      </c>
      <c r="O10873" s="17"/>
    </row>
    <row r="10874">
      <c r="B10874" s="17" t="s">
        <v>477</v>
      </c>
      <c r="K10874" s="18" t="s">
        <v>477</v>
      </c>
      <c r="N10874" s="17" t="str">
        <f>IFERROR(__xludf.DUMMYFUNCTION("""COMPUTED_VALUE"""),"")</f>
        <v/>
      </c>
      <c r="O10874" s="17"/>
    </row>
    <row r="10875">
      <c r="B10875" s="17" t="s">
        <v>477</v>
      </c>
      <c r="K10875" s="18" t="s">
        <v>477</v>
      </c>
      <c r="N10875" s="17" t="str">
        <f>IFERROR(__xludf.DUMMYFUNCTION("""COMPUTED_VALUE"""),"")</f>
        <v/>
      </c>
      <c r="O10875" s="17"/>
    </row>
    <row r="10876">
      <c r="B10876" s="17" t="s">
        <v>477</v>
      </c>
      <c r="K10876" s="18" t="s">
        <v>477</v>
      </c>
      <c r="N10876" s="17" t="str">
        <f>IFERROR(__xludf.DUMMYFUNCTION("""COMPUTED_VALUE"""),"")</f>
        <v/>
      </c>
      <c r="O10876" s="17"/>
    </row>
    <row r="10877">
      <c r="B10877" s="17" t="s">
        <v>477</v>
      </c>
      <c r="K10877" s="18" t="s">
        <v>477</v>
      </c>
      <c r="N10877" s="17" t="str">
        <f>IFERROR(__xludf.DUMMYFUNCTION("""COMPUTED_VALUE"""),"")</f>
        <v/>
      </c>
      <c r="O10877" s="17"/>
    </row>
    <row r="10878">
      <c r="B10878" s="17" t="s">
        <v>477</v>
      </c>
      <c r="K10878" s="18" t="s">
        <v>477</v>
      </c>
      <c r="N10878" s="17" t="str">
        <f>IFERROR(__xludf.DUMMYFUNCTION("""COMPUTED_VALUE"""),"")</f>
        <v/>
      </c>
      <c r="O10878" s="17"/>
    </row>
    <row r="10879">
      <c r="B10879" s="17" t="s">
        <v>477</v>
      </c>
      <c r="K10879" s="18" t="s">
        <v>477</v>
      </c>
      <c r="N10879" s="17" t="str">
        <f>IFERROR(__xludf.DUMMYFUNCTION("""COMPUTED_VALUE"""),"")</f>
        <v/>
      </c>
      <c r="O10879" s="17"/>
    </row>
    <row r="10880">
      <c r="B10880" s="17" t="s">
        <v>477</v>
      </c>
      <c r="K10880" s="18" t="s">
        <v>477</v>
      </c>
      <c r="N10880" s="17" t="str">
        <f>IFERROR(__xludf.DUMMYFUNCTION("""COMPUTED_VALUE"""),"")</f>
        <v/>
      </c>
      <c r="O10880" s="17"/>
    </row>
    <row r="10881">
      <c r="B10881" s="17" t="s">
        <v>477</v>
      </c>
      <c r="K10881" s="18" t="s">
        <v>477</v>
      </c>
      <c r="N10881" s="17" t="str">
        <f>IFERROR(__xludf.DUMMYFUNCTION("""COMPUTED_VALUE"""),"")</f>
        <v/>
      </c>
      <c r="O10881" s="17"/>
    </row>
    <row r="10882">
      <c r="B10882" s="17" t="s">
        <v>477</v>
      </c>
      <c r="K10882" s="18" t="s">
        <v>477</v>
      </c>
      <c r="N10882" s="17" t="str">
        <f>IFERROR(__xludf.DUMMYFUNCTION("""COMPUTED_VALUE"""),"")</f>
        <v/>
      </c>
      <c r="O10882" s="17"/>
    </row>
    <row r="10883">
      <c r="B10883" s="17" t="s">
        <v>477</v>
      </c>
      <c r="K10883" s="18" t="s">
        <v>477</v>
      </c>
      <c r="N10883" s="17" t="str">
        <f>IFERROR(__xludf.DUMMYFUNCTION("""COMPUTED_VALUE"""),"")</f>
        <v/>
      </c>
      <c r="O10883" s="17"/>
    </row>
    <row r="10884">
      <c r="B10884" s="17" t="s">
        <v>477</v>
      </c>
      <c r="K10884" s="18" t="s">
        <v>477</v>
      </c>
      <c r="N10884" s="17" t="str">
        <f>IFERROR(__xludf.DUMMYFUNCTION("""COMPUTED_VALUE"""),"")</f>
        <v/>
      </c>
      <c r="O10884" s="17"/>
    </row>
    <row r="10885">
      <c r="B10885" s="17" t="s">
        <v>477</v>
      </c>
      <c r="K10885" s="18" t="s">
        <v>477</v>
      </c>
      <c r="N10885" s="17" t="str">
        <f>IFERROR(__xludf.DUMMYFUNCTION("""COMPUTED_VALUE"""),"")</f>
        <v/>
      </c>
      <c r="O10885" s="17"/>
    </row>
    <row r="10886">
      <c r="B10886" s="17" t="s">
        <v>477</v>
      </c>
      <c r="K10886" s="18" t="s">
        <v>477</v>
      </c>
      <c r="N10886" s="17" t="str">
        <f>IFERROR(__xludf.DUMMYFUNCTION("""COMPUTED_VALUE"""),"")</f>
        <v/>
      </c>
      <c r="O10886" s="17"/>
    </row>
    <row r="10887">
      <c r="B10887" s="17" t="s">
        <v>477</v>
      </c>
      <c r="K10887" s="18" t="s">
        <v>477</v>
      </c>
      <c r="N10887" s="17" t="str">
        <f>IFERROR(__xludf.DUMMYFUNCTION("""COMPUTED_VALUE"""),"")</f>
        <v/>
      </c>
      <c r="O10887" s="17"/>
    </row>
    <row r="10888">
      <c r="B10888" s="17" t="s">
        <v>477</v>
      </c>
      <c r="K10888" s="18" t="s">
        <v>477</v>
      </c>
      <c r="N10888" s="17" t="str">
        <f>IFERROR(__xludf.DUMMYFUNCTION("""COMPUTED_VALUE"""),"")</f>
        <v/>
      </c>
      <c r="O10888" s="17"/>
    </row>
    <row r="10889">
      <c r="B10889" s="17" t="s">
        <v>477</v>
      </c>
      <c r="K10889" s="18" t="s">
        <v>477</v>
      </c>
      <c r="N10889" s="17" t="str">
        <f>IFERROR(__xludf.DUMMYFUNCTION("""COMPUTED_VALUE"""),"")</f>
        <v/>
      </c>
      <c r="O10889" s="17"/>
    </row>
    <row r="10890">
      <c r="B10890" s="17" t="s">
        <v>477</v>
      </c>
      <c r="K10890" s="18" t="s">
        <v>477</v>
      </c>
      <c r="N10890" s="17" t="str">
        <f>IFERROR(__xludf.DUMMYFUNCTION("""COMPUTED_VALUE"""),"")</f>
        <v/>
      </c>
      <c r="O10890" s="17"/>
    </row>
    <row r="10891">
      <c r="B10891" s="17" t="s">
        <v>477</v>
      </c>
      <c r="K10891" s="18" t="s">
        <v>477</v>
      </c>
      <c r="N10891" s="17" t="str">
        <f>IFERROR(__xludf.DUMMYFUNCTION("""COMPUTED_VALUE"""),"")</f>
        <v/>
      </c>
      <c r="O10891" s="17"/>
    </row>
    <row r="10892">
      <c r="B10892" s="17" t="s">
        <v>477</v>
      </c>
      <c r="K10892" s="18" t="s">
        <v>477</v>
      </c>
      <c r="N10892" s="17" t="str">
        <f>IFERROR(__xludf.DUMMYFUNCTION("""COMPUTED_VALUE"""),"")</f>
        <v/>
      </c>
      <c r="O10892" s="17"/>
    </row>
    <row r="10893">
      <c r="B10893" s="17" t="s">
        <v>477</v>
      </c>
      <c r="K10893" s="18" t="s">
        <v>477</v>
      </c>
      <c r="N10893" s="17" t="str">
        <f>IFERROR(__xludf.DUMMYFUNCTION("""COMPUTED_VALUE"""),"")</f>
        <v/>
      </c>
      <c r="O10893" s="17"/>
    </row>
    <row r="10894">
      <c r="B10894" s="17" t="s">
        <v>477</v>
      </c>
      <c r="K10894" s="18" t="s">
        <v>477</v>
      </c>
      <c r="N10894" s="17" t="str">
        <f>IFERROR(__xludf.DUMMYFUNCTION("""COMPUTED_VALUE"""),"")</f>
        <v/>
      </c>
      <c r="O10894" s="17"/>
    </row>
    <row r="10895">
      <c r="B10895" s="17" t="s">
        <v>477</v>
      </c>
      <c r="K10895" s="18" t="s">
        <v>477</v>
      </c>
      <c r="N10895" s="17" t="str">
        <f>IFERROR(__xludf.DUMMYFUNCTION("""COMPUTED_VALUE"""),"")</f>
        <v/>
      </c>
      <c r="O10895" s="17"/>
    </row>
    <row r="10896">
      <c r="B10896" s="17" t="s">
        <v>477</v>
      </c>
      <c r="K10896" s="18" t="s">
        <v>477</v>
      </c>
      <c r="N10896" s="17" t="str">
        <f>IFERROR(__xludf.DUMMYFUNCTION("""COMPUTED_VALUE"""),"")</f>
        <v/>
      </c>
      <c r="O10896" s="17"/>
    </row>
    <row r="10897">
      <c r="B10897" s="17" t="s">
        <v>477</v>
      </c>
      <c r="K10897" s="18" t="s">
        <v>477</v>
      </c>
      <c r="N10897" s="17" t="str">
        <f>IFERROR(__xludf.DUMMYFUNCTION("""COMPUTED_VALUE"""),"")</f>
        <v/>
      </c>
      <c r="O10897" s="17"/>
    </row>
    <row r="10898">
      <c r="B10898" s="17" t="s">
        <v>477</v>
      </c>
      <c r="K10898" s="18" t="s">
        <v>477</v>
      </c>
      <c r="N10898" s="17" t="str">
        <f>IFERROR(__xludf.DUMMYFUNCTION("""COMPUTED_VALUE"""),"")</f>
        <v/>
      </c>
      <c r="O10898" s="17"/>
    </row>
    <row r="10899">
      <c r="B10899" s="17" t="s">
        <v>477</v>
      </c>
      <c r="K10899" s="18" t="s">
        <v>477</v>
      </c>
      <c r="N10899" s="17" t="str">
        <f>IFERROR(__xludf.DUMMYFUNCTION("""COMPUTED_VALUE"""),"")</f>
        <v/>
      </c>
      <c r="O10899" s="17"/>
    </row>
    <row r="10900">
      <c r="B10900" s="17" t="s">
        <v>477</v>
      </c>
      <c r="K10900" s="18" t="s">
        <v>477</v>
      </c>
      <c r="N10900" s="17" t="str">
        <f>IFERROR(__xludf.DUMMYFUNCTION("""COMPUTED_VALUE"""),"")</f>
        <v/>
      </c>
      <c r="O10900" s="17"/>
    </row>
    <row r="10901">
      <c r="B10901" s="17" t="s">
        <v>477</v>
      </c>
      <c r="K10901" s="18" t="s">
        <v>477</v>
      </c>
      <c r="N10901" s="17" t="str">
        <f>IFERROR(__xludf.DUMMYFUNCTION("""COMPUTED_VALUE"""),"")</f>
        <v/>
      </c>
      <c r="O10901" s="17"/>
    </row>
    <row r="10902">
      <c r="B10902" s="17" t="s">
        <v>477</v>
      </c>
      <c r="K10902" s="18" t="s">
        <v>477</v>
      </c>
      <c r="N10902" s="17" t="str">
        <f>IFERROR(__xludf.DUMMYFUNCTION("""COMPUTED_VALUE"""),"")</f>
        <v/>
      </c>
      <c r="O10902" s="17"/>
    </row>
    <row r="10903">
      <c r="B10903" s="17" t="s">
        <v>477</v>
      </c>
      <c r="K10903" s="18" t="s">
        <v>477</v>
      </c>
      <c r="N10903" s="17" t="str">
        <f>IFERROR(__xludf.DUMMYFUNCTION("""COMPUTED_VALUE"""),"")</f>
        <v/>
      </c>
      <c r="O10903" s="17"/>
    </row>
    <row r="10904">
      <c r="B10904" s="17" t="s">
        <v>477</v>
      </c>
      <c r="K10904" s="18" t="s">
        <v>477</v>
      </c>
      <c r="N10904" s="17" t="str">
        <f>IFERROR(__xludf.DUMMYFUNCTION("""COMPUTED_VALUE"""),"")</f>
        <v/>
      </c>
      <c r="O10904" s="17"/>
    </row>
    <row r="10905">
      <c r="B10905" s="17" t="s">
        <v>477</v>
      </c>
      <c r="K10905" s="18" t="s">
        <v>477</v>
      </c>
      <c r="N10905" s="17" t="str">
        <f>IFERROR(__xludf.DUMMYFUNCTION("""COMPUTED_VALUE"""),"")</f>
        <v/>
      </c>
      <c r="O10905" s="17"/>
    </row>
    <row r="10906">
      <c r="B10906" s="17" t="s">
        <v>477</v>
      </c>
      <c r="K10906" s="18" t="s">
        <v>477</v>
      </c>
      <c r="N10906" s="17" t="str">
        <f>IFERROR(__xludf.DUMMYFUNCTION("""COMPUTED_VALUE"""),"")</f>
        <v/>
      </c>
      <c r="O10906" s="17"/>
    </row>
    <row r="10907">
      <c r="B10907" s="17" t="s">
        <v>477</v>
      </c>
      <c r="K10907" s="18" t="s">
        <v>477</v>
      </c>
      <c r="N10907" s="17" t="str">
        <f>IFERROR(__xludf.DUMMYFUNCTION("""COMPUTED_VALUE"""),"")</f>
        <v/>
      </c>
      <c r="O10907" s="17"/>
    </row>
    <row r="10908">
      <c r="B10908" s="17" t="s">
        <v>477</v>
      </c>
      <c r="K10908" s="18" t="s">
        <v>477</v>
      </c>
      <c r="N10908" s="17" t="str">
        <f>IFERROR(__xludf.DUMMYFUNCTION("""COMPUTED_VALUE"""),"")</f>
        <v/>
      </c>
      <c r="O10908" s="17"/>
    </row>
    <row r="10909">
      <c r="B10909" s="17" t="s">
        <v>477</v>
      </c>
      <c r="K10909" s="18" t="s">
        <v>477</v>
      </c>
      <c r="N10909" s="17" t="str">
        <f>IFERROR(__xludf.DUMMYFUNCTION("""COMPUTED_VALUE"""),"")</f>
        <v/>
      </c>
      <c r="O10909" s="17"/>
    </row>
    <row r="10910">
      <c r="B10910" s="17" t="s">
        <v>477</v>
      </c>
      <c r="K10910" s="18" t="s">
        <v>477</v>
      </c>
      <c r="N10910" s="17" t="str">
        <f>IFERROR(__xludf.DUMMYFUNCTION("""COMPUTED_VALUE"""),"")</f>
        <v/>
      </c>
      <c r="O10910" s="17"/>
    </row>
    <row r="10911">
      <c r="B10911" s="17" t="s">
        <v>477</v>
      </c>
      <c r="K10911" s="18" t="s">
        <v>477</v>
      </c>
      <c r="N10911" s="17" t="str">
        <f>IFERROR(__xludf.DUMMYFUNCTION("""COMPUTED_VALUE"""),"")</f>
        <v/>
      </c>
      <c r="O10911" s="17"/>
    </row>
    <row r="10912">
      <c r="B10912" s="17" t="s">
        <v>477</v>
      </c>
      <c r="K10912" s="18" t="s">
        <v>477</v>
      </c>
      <c r="N10912" s="17" t="str">
        <f>IFERROR(__xludf.DUMMYFUNCTION("""COMPUTED_VALUE"""),"")</f>
        <v/>
      </c>
      <c r="O10912" s="17"/>
    </row>
    <row r="10913">
      <c r="B10913" s="17" t="s">
        <v>477</v>
      </c>
      <c r="K10913" s="18" t="s">
        <v>477</v>
      </c>
      <c r="N10913" s="17" t="str">
        <f>IFERROR(__xludf.DUMMYFUNCTION("""COMPUTED_VALUE"""),"")</f>
        <v/>
      </c>
      <c r="O10913" s="17"/>
    </row>
    <row r="10914">
      <c r="B10914" s="17" t="s">
        <v>477</v>
      </c>
      <c r="K10914" s="18" t="s">
        <v>477</v>
      </c>
      <c r="N10914" s="17" t="str">
        <f>IFERROR(__xludf.DUMMYFUNCTION("""COMPUTED_VALUE"""),"")</f>
        <v/>
      </c>
      <c r="O10914" s="17"/>
    </row>
    <row r="10915">
      <c r="B10915" s="17" t="s">
        <v>477</v>
      </c>
      <c r="K10915" s="18" t="s">
        <v>477</v>
      </c>
      <c r="N10915" s="17" t="str">
        <f>IFERROR(__xludf.DUMMYFUNCTION("""COMPUTED_VALUE"""),"")</f>
        <v/>
      </c>
      <c r="O10915" s="17"/>
    </row>
    <row r="10916">
      <c r="B10916" s="17" t="s">
        <v>477</v>
      </c>
      <c r="K10916" s="18" t="s">
        <v>477</v>
      </c>
      <c r="N10916" s="17" t="str">
        <f>IFERROR(__xludf.DUMMYFUNCTION("""COMPUTED_VALUE"""),"")</f>
        <v/>
      </c>
      <c r="O10916" s="17"/>
    </row>
    <row r="10917">
      <c r="B10917" s="17" t="s">
        <v>477</v>
      </c>
      <c r="K10917" s="18" t="s">
        <v>477</v>
      </c>
      <c r="N10917" s="17" t="str">
        <f>IFERROR(__xludf.DUMMYFUNCTION("""COMPUTED_VALUE"""),"")</f>
        <v/>
      </c>
      <c r="O10917" s="17"/>
    </row>
    <row r="10918">
      <c r="B10918" s="17" t="s">
        <v>477</v>
      </c>
      <c r="K10918" s="18" t="s">
        <v>477</v>
      </c>
      <c r="N10918" s="17" t="str">
        <f>IFERROR(__xludf.DUMMYFUNCTION("""COMPUTED_VALUE"""),"")</f>
        <v/>
      </c>
      <c r="O10918" s="17"/>
    </row>
    <row r="10919">
      <c r="B10919" s="17" t="s">
        <v>477</v>
      </c>
      <c r="K10919" s="18" t="s">
        <v>477</v>
      </c>
      <c r="N10919" s="17" t="str">
        <f>IFERROR(__xludf.DUMMYFUNCTION("""COMPUTED_VALUE"""),"")</f>
        <v/>
      </c>
      <c r="O10919" s="17"/>
    </row>
    <row r="10920">
      <c r="B10920" s="17" t="s">
        <v>477</v>
      </c>
      <c r="K10920" s="18" t="s">
        <v>477</v>
      </c>
      <c r="N10920" s="17" t="str">
        <f>IFERROR(__xludf.DUMMYFUNCTION("""COMPUTED_VALUE"""),"")</f>
        <v/>
      </c>
      <c r="O10920" s="17"/>
    </row>
    <row r="10921">
      <c r="B10921" s="17" t="s">
        <v>477</v>
      </c>
      <c r="K10921" s="18" t="s">
        <v>477</v>
      </c>
      <c r="N10921" s="17" t="str">
        <f>IFERROR(__xludf.DUMMYFUNCTION("""COMPUTED_VALUE"""),"")</f>
        <v/>
      </c>
      <c r="O10921" s="17"/>
    </row>
    <row r="10922">
      <c r="B10922" s="17" t="s">
        <v>477</v>
      </c>
      <c r="K10922" s="18" t="s">
        <v>477</v>
      </c>
      <c r="N10922" s="17" t="str">
        <f>IFERROR(__xludf.DUMMYFUNCTION("""COMPUTED_VALUE"""),"")</f>
        <v/>
      </c>
      <c r="O10922" s="17"/>
    </row>
    <row r="10923">
      <c r="B10923" s="17" t="s">
        <v>477</v>
      </c>
      <c r="K10923" s="18" t="s">
        <v>477</v>
      </c>
      <c r="N10923" s="17" t="str">
        <f>IFERROR(__xludf.DUMMYFUNCTION("""COMPUTED_VALUE"""),"")</f>
        <v/>
      </c>
      <c r="O10923" s="17"/>
    </row>
    <row r="10924">
      <c r="B10924" s="17" t="s">
        <v>477</v>
      </c>
      <c r="K10924" s="18" t="s">
        <v>477</v>
      </c>
      <c r="N10924" s="17" t="str">
        <f>IFERROR(__xludf.DUMMYFUNCTION("""COMPUTED_VALUE"""),"")</f>
        <v/>
      </c>
      <c r="O10924" s="17"/>
    </row>
    <row r="10925">
      <c r="B10925" s="17" t="s">
        <v>477</v>
      </c>
      <c r="K10925" s="18" t="s">
        <v>477</v>
      </c>
      <c r="N10925" s="17" t="str">
        <f>IFERROR(__xludf.DUMMYFUNCTION("""COMPUTED_VALUE"""),"")</f>
        <v/>
      </c>
      <c r="O10925" s="17"/>
    </row>
    <row r="10926">
      <c r="B10926" s="17" t="s">
        <v>477</v>
      </c>
      <c r="K10926" s="18" t="s">
        <v>477</v>
      </c>
      <c r="N10926" s="17" t="str">
        <f>IFERROR(__xludf.DUMMYFUNCTION("""COMPUTED_VALUE"""),"")</f>
        <v/>
      </c>
      <c r="O10926" s="17"/>
    </row>
    <row r="10927">
      <c r="B10927" s="17" t="s">
        <v>477</v>
      </c>
      <c r="K10927" s="18" t="s">
        <v>477</v>
      </c>
      <c r="N10927" s="17" t="str">
        <f>IFERROR(__xludf.DUMMYFUNCTION("""COMPUTED_VALUE"""),"")</f>
        <v/>
      </c>
      <c r="O10927" s="17"/>
    </row>
    <row r="10928">
      <c r="B10928" s="17" t="s">
        <v>477</v>
      </c>
      <c r="K10928" s="18" t="s">
        <v>477</v>
      </c>
      <c r="N10928" s="17" t="str">
        <f>IFERROR(__xludf.DUMMYFUNCTION("""COMPUTED_VALUE"""),"")</f>
        <v/>
      </c>
      <c r="O10928" s="17"/>
    </row>
    <row r="10929">
      <c r="B10929" s="17" t="s">
        <v>477</v>
      </c>
      <c r="K10929" s="18" t="s">
        <v>477</v>
      </c>
      <c r="N10929" s="17" t="str">
        <f>IFERROR(__xludf.DUMMYFUNCTION("""COMPUTED_VALUE"""),"")</f>
        <v/>
      </c>
      <c r="O10929" s="17"/>
    </row>
    <row r="10930">
      <c r="B10930" s="17" t="s">
        <v>477</v>
      </c>
      <c r="K10930" s="18" t="s">
        <v>477</v>
      </c>
      <c r="N10930" s="17" t="str">
        <f>IFERROR(__xludf.DUMMYFUNCTION("""COMPUTED_VALUE"""),"")</f>
        <v/>
      </c>
      <c r="O10930" s="17"/>
    </row>
    <row r="10931">
      <c r="B10931" s="17" t="s">
        <v>477</v>
      </c>
      <c r="K10931" s="18" t="s">
        <v>477</v>
      </c>
      <c r="N10931" s="17" t="str">
        <f>IFERROR(__xludf.DUMMYFUNCTION("""COMPUTED_VALUE"""),"")</f>
        <v/>
      </c>
      <c r="O10931" s="17"/>
    </row>
    <row r="10932">
      <c r="B10932" s="17" t="s">
        <v>477</v>
      </c>
      <c r="K10932" s="18" t="s">
        <v>477</v>
      </c>
      <c r="N10932" s="17" t="str">
        <f>IFERROR(__xludf.DUMMYFUNCTION("""COMPUTED_VALUE"""),"")</f>
        <v/>
      </c>
      <c r="O10932" s="17"/>
    </row>
    <row r="10933">
      <c r="B10933" s="17" t="s">
        <v>477</v>
      </c>
      <c r="K10933" s="18" t="s">
        <v>477</v>
      </c>
      <c r="N10933" s="17" t="str">
        <f>IFERROR(__xludf.DUMMYFUNCTION("""COMPUTED_VALUE"""),"")</f>
        <v/>
      </c>
      <c r="O10933" s="17"/>
    </row>
    <row r="10934">
      <c r="B10934" s="17" t="s">
        <v>477</v>
      </c>
      <c r="K10934" s="18" t="s">
        <v>477</v>
      </c>
      <c r="N10934" s="17" t="str">
        <f>IFERROR(__xludf.DUMMYFUNCTION("""COMPUTED_VALUE"""),"")</f>
        <v/>
      </c>
      <c r="O10934" s="17"/>
    </row>
    <row r="10935">
      <c r="B10935" s="17" t="s">
        <v>477</v>
      </c>
      <c r="K10935" s="18" t="s">
        <v>477</v>
      </c>
      <c r="N10935" s="17" t="str">
        <f>IFERROR(__xludf.DUMMYFUNCTION("""COMPUTED_VALUE"""),"")</f>
        <v/>
      </c>
      <c r="O10935" s="17"/>
    </row>
    <row r="10936">
      <c r="B10936" s="17" t="s">
        <v>477</v>
      </c>
      <c r="K10936" s="18" t="s">
        <v>477</v>
      </c>
      <c r="N10936" s="17" t="str">
        <f>IFERROR(__xludf.DUMMYFUNCTION("""COMPUTED_VALUE"""),"")</f>
        <v/>
      </c>
      <c r="O10936" s="17"/>
    </row>
    <row r="10937">
      <c r="B10937" s="17" t="s">
        <v>477</v>
      </c>
      <c r="K10937" s="18" t="s">
        <v>477</v>
      </c>
      <c r="N10937" s="17" t="str">
        <f>IFERROR(__xludf.DUMMYFUNCTION("""COMPUTED_VALUE"""),"")</f>
        <v/>
      </c>
      <c r="O10937" s="17"/>
    </row>
    <row r="10938">
      <c r="B10938" s="17" t="s">
        <v>477</v>
      </c>
      <c r="K10938" s="18" t="s">
        <v>477</v>
      </c>
      <c r="N10938" s="17" t="str">
        <f>IFERROR(__xludf.DUMMYFUNCTION("""COMPUTED_VALUE"""),"")</f>
        <v/>
      </c>
      <c r="O10938" s="17"/>
    </row>
    <row r="10939">
      <c r="B10939" s="17" t="s">
        <v>477</v>
      </c>
      <c r="K10939" s="18" t="s">
        <v>477</v>
      </c>
      <c r="N10939" s="17" t="str">
        <f>IFERROR(__xludf.DUMMYFUNCTION("""COMPUTED_VALUE"""),"")</f>
        <v/>
      </c>
      <c r="O10939" s="17"/>
    </row>
    <row r="10940">
      <c r="B10940" s="17" t="s">
        <v>477</v>
      </c>
      <c r="K10940" s="18" t="s">
        <v>477</v>
      </c>
      <c r="N10940" s="17" t="str">
        <f>IFERROR(__xludf.DUMMYFUNCTION("""COMPUTED_VALUE"""),"")</f>
        <v/>
      </c>
      <c r="O10940" s="17"/>
    </row>
    <row r="10941">
      <c r="B10941" s="17" t="s">
        <v>477</v>
      </c>
      <c r="K10941" s="18" t="s">
        <v>477</v>
      </c>
      <c r="N10941" s="17" t="str">
        <f>IFERROR(__xludf.DUMMYFUNCTION("""COMPUTED_VALUE"""),"")</f>
        <v/>
      </c>
      <c r="O10941" s="17"/>
    </row>
    <row r="10942">
      <c r="B10942" s="17" t="s">
        <v>477</v>
      </c>
      <c r="K10942" s="18" t="s">
        <v>477</v>
      </c>
      <c r="N10942" s="17" t="str">
        <f>IFERROR(__xludf.DUMMYFUNCTION("""COMPUTED_VALUE"""),"")</f>
        <v/>
      </c>
      <c r="O10942" s="17"/>
    </row>
    <row r="10943">
      <c r="B10943" s="17" t="s">
        <v>477</v>
      </c>
      <c r="K10943" s="18" t="s">
        <v>477</v>
      </c>
      <c r="N10943" s="17" t="str">
        <f>IFERROR(__xludf.DUMMYFUNCTION("""COMPUTED_VALUE"""),"")</f>
        <v/>
      </c>
      <c r="O10943" s="17"/>
    </row>
    <row r="10944">
      <c r="B10944" s="17" t="s">
        <v>477</v>
      </c>
      <c r="K10944" s="18" t="s">
        <v>477</v>
      </c>
      <c r="N10944" s="17" t="str">
        <f>IFERROR(__xludf.DUMMYFUNCTION("""COMPUTED_VALUE"""),"")</f>
        <v/>
      </c>
      <c r="O10944" s="17"/>
    </row>
    <row r="10945">
      <c r="B10945" s="17" t="s">
        <v>477</v>
      </c>
      <c r="K10945" s="18" t="s">
        <v>477</v>
      </c>
      <c r="N10945" s="17" t="str">
        <f>IFERROR(__xludf.DUMMYFUNCTION("""COMPUTED_VALUE"""),"")</f>
        <v/>
      </c>
      <c r="O10945" s="17"/>
    </row>
    <row r="10946">
      <c r="B10946" s="17" t="s">
        <v>477</v>
      </c>
      <c r="K10946" s="18" t="s">
        <v>477</v>
      </c>
      <c r="N10946" s="17" t="str">
        <f>IFERROR(__xludf.DUMMYFUNCTION("""COMPUTED_VALUE"""),"")</f>
        <v/>
      </c>
      <c r="O10946" s="17"/>
    </row>
    <row r="10947">
      <c r="B10947" s="17" t="s">
        <v>477</v>
      </c>
      <c r="K10947" s="18" t="s">
        <v>477</v>
      </c>
      <c r="N10947" s="17" t="str">
        <f>IFERROR(__xludf.DUMMYFUNCTION("""COMPUTED_VALUE"""),"")</f>
        <v/>
      </c>
      <c r="O10947" s="17"/>
    </row>
    <row r="10948">
      <c r="B10948" s="17" t="s">
        <v>477</v>
      </c>
      <c r="K10948" s="18" t="s">
        <v>477</v>
      </c>
      <c r="N10948" s="17" t="str">
        <f>IFERROR(__xludf.DUMMYFUNCTION("""COMPUTED_VALUE"""),"")</f>
        <v/>
      </c>
      <c r="O10948" s="17"/>
    </row>
    <row r="10949">
      <c r="B10949" s="17" t="s">
        <v>477</v>
      </c>
      <c r="K10949" s="18" t="s">
        <v>477</v>
      </c>
      <c r="N10949" s="17" t="str">
        <f>IFERROR(__xludf.DUMMYFUNCTION("""COMPUTED_VALUE"""),"")</f>
        <v/>
      </c>
      <c r="O10949" s="17"/>
    </row>
    <row r="10950">
      <c r="B10950" s="17" t="s">
        <v>477</v>
      </c>
      <c r="K10950" s="18" t="s">
        <v>477</v>
      </c>
      <c r="N10950" s="17" t="str">
        <f>IFERROR(__xludf.DUMMYFUNCTION("""COMPUTED_VALUE"""),"")</f>
        <v/>
      </c>
      <c r="O10950" s="17"/>
    </row>
    <row r="10951">
      <c r="B10951" s="17" t="s">
        <v>477</v>
      </c>
      <c r="K10951" s="18" t="s">
        <v>477</v>
      </c>
      <c r="N10951" s="17" t="str">
        <f>IFERROR(__xludf.DUMMYFUNCTION("""COMPUTED_VALUE"""),"")</f>
        <v/>
      </c>
      <c r="O10951" s="17"/>
    </row>
    <row r="10952">
      <c r="B10952" s="17" t="s">
        <v>477</v>
      </c>
      <c r="K10952" s="18" t="s">
        <v>477</v>
      </c>
      <c r="N10952" s="17" t="str">
        <f>IFERROR(__xludf.DUMMYFUNCTION("""COMPUTED_VALUE"""),"")</f>
        <v/>
      </c>
      <c r="O10952" s="17"/>
    </row>
    <row r="10953">
      <c r="B10953" s="17" t="s">
        <v>477</v>
      </c>
      <c r="K10953" s="18" t="s">
        <v>477</v>
      </c>
      <c r="N10953" s="17" t="str">
        <f>IFERROR(__xludf.DUMMYFUNCTION("""COMPUTED_VALUE"""),"")</f>
        <v/>
      </c>
      <c r="O10953" s="17"/>
    </row>
    <row r="10954">
      <c r="B10954" s="17" t="s">
        <v>477</v>
      </c>
      <c r="K10954" s="18" t="s">
        <v>477</v>
      </c>
      <c r="N10954" s="17" t="str">
        <f>IFERROR(__xludf.DUMMYFUNCTION("""COMPUTED_VALUE"""),"")</f>
        <v/>
      </c>
      <c r="O10954" s="17"/>
    </row>
    <row r="10955">
      <c r="B10955" s="17" t="s">
        <v>477</v>
      </c>
      <c r="K10955" s="18" t="s">
        <v>477</v>
      </c>
      <c r="N10955" s="17" t="str">
        <f>IFERROR(__xludf.DUMMYFUNCTION("""COMPUTED_VALUE"""),"")</f>
        <v/>
      </c>
      <c r="O10955" s="17"/>
    </row>
    <row r="10956">
      <c r="B10956" s="17" t="s">
        <v>477</v>
      </c>
      <c r="K10956" s="18" t="s">
        <v>477</v>
      </c>
      <c r="N10956" s="17" t="str">
        <f>IFERROR(__xludf.DUMMYFUNCTION("""COMPUTED_VALUE"""),"")</f>
        <v/>
      </c>
      <c r="O10956" s="17"/>
    </row>
    <row r="10957">
      <c r="B10957" s="17" t="s">
        <v>477</v>
      </c>
      <c r="K10957" s="18" t="s">
        <v>477</v>
      </c>
      <c r="N10957" s="17" t="str">
        <f>IFERROR(__xludf.DUMMYFUNCTION("""COMPUTED_VALUE"""),"")</f>
        <v/>
      </c>
      <c r="O10957" s="17"/>
    </row>
    <row r="10958">
      <c r="B10958" s="17" t="s">
        <v>477</v>
      </c>
      <c r="K10958" s="18" t="s">
        <v>477</v>
      </c>
      <c r="N10958" s="17" t="str">
        <f>IFERROR(__xludf.DUMMYFUNCTION("""COMPUTED_VALUE"""),"")</f>
        <v/>
      </c>
      <c r="O10958" s="17"/>
    </row>
    <row r="10959">
      <c r="B10959" s="17" t="s">
        <v>477</v>
      </c>
      <c r="K10959" s="18" t="s">
        <v>477</v>
      </c>
      <c r="N10959" s="17" t="str">
        <f>IFERROR(__xludf.DUMMYFUNCTION("""COMPUTED_VALUE"""),"")</f>
        <v/>
      </c>
      <c r="O10959" s="17"/>
    </row>
    <row r="10960">
      <c r="B10960" s="17" t="s">
        <v>477</v>
      </c>
      <c r="K10960" s="18" t="s">
        <v>477</v>
      </c>
      <c r="N10960" s="17" t="str">
        <f>IFERROR(__xludf.DUMMYFUNCTION("""COMPUTED_VALUE"""),"")</f>
        <v/>
      </c>
      <c r="O10960" s="17"/>
    </row>
    <row r="10961">
      <c r="B10961" s="17" t="s">
        <v>477</v>
      </c>
      <c r="K10961" s="18" t="s">
        <v>477</v>
      </c>
      <c r="N10961" s="17" t="str">
        <f>IFERROR(__xludf.DUMMYFUNCTION("""COMPUTED_VALUE"""),"")</f>
        <v/>
      </c>
      <c r="O10961" s="17"/>
    </row>
    <row r="10962">
      <c r="B10962" s="17" t="s">
        <v>477</v>
      </c>
      <c r="K10962" s="18" t="s">
        <v>477</v>
      </c>
      <c r="N10962" s="17" t="str">
        <f>IFERROR(__xludf.DUMMYFUNCTION("""COMPUTED_VALUE"""),"")</f>
        <v/>
      </c>
      <c r="O10962" s="17"/>
    </row>
    <row r="10963">
      <c r="B10963" s="17" t="s">
        <v>477</v>
      </c>
      <c r="K10963" s="18" t="s">
        <v>477</v>
      </c>
      <c r="N10963" s="17" t="str">
        <f>IFERROR(__xludf.DUMMYFUNCTION("""COMPUTED_VALUE"""),"")</f>
        <v/>
      </c>
      <c r="O10963" s="17"/>
    </row>
    <row r="10964">
      <c r="B10964" s="17" t="s">
        <v>477</v>
      </c>
      <c r="K10964" s="18" t="s">
        <v>477</v>
      </c>
      <c r="N10964" s="17" t="str">
        <f>IFERROR(__xludf.DUMMYFUNCTION("""COMPUTED_VALUE"""),"")</f>
        <v/>
      </c>
      <c r="O10964" s="17"/>
    </row>
    <row r="10965">
      <c r="B10965" s="17" t="s">
        <v>477</v>
      </c>
      <c r="K10965" s="18" t="s">
        <v>477</v>
      </c>
      <c r="N10965" s="17" t="str">
        <f>IFERROR(__xludf.DUMMYFUNCTION("""COMPUTED_VALUE"""),"")</f>
        <v/>
      </c>
      <c r="O10965" s="17"/>
    </row>
    <row r="10966">
      <c r="B10966" s="17" t="s">
        <v>477</v>
      </c>
      <c r="K10966" s="18" t="s">
        <v>477</v>
      </c>
      <c r="N10966" s="17" t="str">
        <f>IFERROR(__xludf.DUMMYFUNCTION("""COMPUTED_VALUE"""),"")</f>
        <v/>
      </c>
      <c r="O10966" s="17"/>
    </row>
    <row r="10967">
      <c r="B10967" s="17" t="s">
        <v>477</v>
      </c>
      <c r="K10967" s="18" t="s">
        <v>477</v>
      </c>
      <c r="N10967" s="17" t="str">
        <f>IFERROR(__xludf.DUMMYFUNCTION("""COMPUTED_VALUE"""),"")</f>
        <v/>
      </c>
      <c r="O10967" s="17"/>
    </row>
    <row r="10968">
      <c r="B10968" s="17" t="s">
        <v>477</v>
      </c>
      <c r="K10968" s="18" t="s">
        <v>477</v>
      </c>
      <c r="N10968" s="17" t="str">
        <f>IFERROR(__xludf.DUMMYFUNCTION("""COMPUTED_VALUE"""),"")</f>
        <v/>
      </c>
      <c r="O10968" s="17"/>
    </row>
    <row r="10969">
      <c r="B10969" s="17" t="s">
        <v>477</v>
      </c>
      <c r="K10969" s="18" t="s">
        <v>477</v>
      </c>
      <c r="N10969" s="17" t="str">
        <f>IFERROR(__xludf.DUMMYFUNCTION("""COMPUTED_VALUE"""),"")</f>
        <v/>
      </c>
      <c r="O10969" s="17"/>
    </row>
    <row r="10970">
      <c r="B10970" s="17" t="s">
        <v>477</v>
      </c>
      <c r="K10970" s="18" t="s">
        <v>477</v>
      </c>
      <c r="N10970" s="17" t="str">
        <f>IFERROR(__xludf.DUMMYFUNCTION("""COMPUTED_VALUE"""),"")</f>
        <v/>
      </c>
      <c r="O10970" s="17"/>
    </row>
    <row r="10971">
      <c r="B10971" s="17" t="s">
        <v>477</v>
      </c>
      <c r="K10971" s="18" t="s">
        <v>477</v>
      </c>
      <c r="N10971" s="17" t="str">
        <f>IFERROR(__xludf.DUMMYFUNCTION("""COMPUTED_VALUE"""),"")</f>
        <v/>
      </c>
      <c r="O10971" s="17"/>
    </row>
    <row r="10972">
      <c r="B10972" s="17" t="s">
        <v>477</v>
      </c>
      <c r="K10972" s="18" t="s">
        <v>477</v>
      </c>
      <c r="N10972" s="17" t="str">
        <f>IFERROR(__xludf.DUMMYFUNCTION("""COMPUTED_VALUE"""),"")</f>
        <v/>
      </c>
      <c r="O10972" s="17"/>
    </row>
    <row r="10973">
      <c r="B10973" s="17" t="s">
        <v>477</v>
      </c>
      <c r="K10973" s="18" t="s">
        <v>477</v>
      </c>
      <c r="N10973" s="17" t="str">
        <f>IFERROR(__xludf.DUMMYFUNCTION("""COMPUTED_VALUE"""),"")</f>
        <v/>
      </c>
      <c r="O10973" s="17"/>
    </row>
    <row r="10974">
      <c r="B10974" s="17" t="s">
        <v>477</v>
      </c>
      <c r="K10974" s="18" t="s">
        <v>477</v>
      </c>
      <c r="N10974" s="17" t="str">
        <f>IFERROR(__xludf.DUMMYFUNCTION("""COMPUTED_VALUE"""),"")</f>
        <v/>
      </c>
      <c r="O10974" s="17"/>
    </row>
    <row r="10975">
      <c r="B10975" s="17" t="s">
        <v>477</v>
      </c>
      <c r="K10975" s="18" t="s">
        <v>477</v>
      </c>
      <c r="N10975" s="17" t="str">
        <f>IFERROR(__xludf.DUMMYFUNCTION("""COMPUTED_VALUE"""),"")</f>
        <v/>
      </c>
      <c r="O10975" s="17"/>
    </row>
    <row r="10976">
      <c r="B10976" s="17" t="s">
        <v>477</v>
      </c>
      <c r="K10976" s="18" t="s">
        <v>477</v>
      </c>
      <c r="N10976" s="17" t="str">
        <f>IFERROR(__xludf.DUMMYFUNCTION("""COMPUTED_VALUE"""),"")</f>
        <v/>
      </c>
      <c r="O10976" s="17"/>
    </row>
    <row r="10977">
      <c r="B10977" s="17" t="s">
        <v>477</v>
      </c>
      <c r="K10977" s="18" t="s">
        <v>477</v>
      </c>
      <c r="N10977" s="17" t="str">
        <f>IFERROR(__xludf.DUMMYFUNCTION("""COMPUTED_VALUE"""),"")</f>
        <v/>
      </c>
      <c r="O10977" s="17"/>
    </row>
    <row r="10978">
      <c r="B10978" s="17" t="s">
        <v>477</v>
      </c>
      <c r="K10978" s="18" t="s">
        <v>477</v>
      </c>
      <c r="N10978" s="17" t="str">
        <f>IFERROR(__xludf.DUMMYFUNCTION("""COMPUTED_VALUE"""),"")</f>
        <v/>
      </c>
      <c r="O10978" s="17"/>
    </row>
    <row r="10979">
      <c r="B10979" s="17" t="s">
        <v>477</v>
      </c>
      <c r="K10979" s="18" t="s">
        <v>477</v>
      </c>
      <c r="N10979" s="17" t="str">
        <f>IFERROR(__xludf.DUMMYFUNCTION("""COMPUTED_VALUE"""),"")</f>
        <v/>
      </c>
      <c r="O10979" s="17"/>
    </row>
    <row r="10980">
      <c r="B10980" s="17" t="s">
        <v>477</v>
      </c>
      <c r="K10980" s="18" t="s">
        <v>477</v>
      </c>
      <c r="N10980" s="17" t="str">
        <f>IFERROR(__xludf.DUMMYFUNCTION("""COMPUTED_VALUE"""),"")</f>
        <v/>
      </c>
      <c r="O10980" s="17"/>
    </row>
    <row r="10981">
      <c r="B10981" s="17" t="s">
        <v>477</v>
      </c>
      <c r="K10981" s="18" t="s">
        <v>477</v>
      </c>
      <c r="N10981" s="17" t="str">
        <f>IFERROR(__xludf.DUMMYFUNCTION("""COMPUTED_VALUE"""),"")</f>
        <v/>
      </c>
      <c r="O10981" s="17"/>
    </row>
    <row r="10982">
      <c r="B10982" s="17" t="s">
        <v>477</v>
      </c>
      <c r="K10982" s="18" t="s">
        <v>477</v>
      </c>
      <c r="N10982" s="17" t="str">
        <f>IFERROR(__xludf.DUMMYFUNCTION("""COMPUTED_VALUE"""),"")</f>
        <v/>
      </c>
      <c r="O10982" s="17"/>
    </row>
    <row r="10983">
      <c r="B10983" s="17" t="s">
        <v>477</v>
      </c>
      <c r="K10983" s="18" t="s">
        <v>477</v>
      </c>
      <c r="N10983" s="17" t="str">
        <f>IFERROR(__xludf.DUMMYFUNCTION("""COMPUTED_VALUE"""),"")</f>
        <v/>
      </c>
      <c r="O10983" s="17"/>
    </row>
    <row r="10984">
      <c r="B10984" s="17" t="s">
        <v>477</v>
      </c>
      <c r="K10984" s="18" t="s">
        <v>477</v>
      </c>
      <c r="N10984" s="17" t="str">
        <f>IFERROR(__xludf.DUMMYFUNCTION("""COMPUTED_VALUE"""),"")</f>
        <v/>
      </c>
      <c r="O10984" s="17"/>
    </row>
    <row r="10985">
      <c r="B10985" s="17" t="s">
        <v>477</v>
      </c>
      <c r="K10985" s="18" t="s">
        <v>477</v>
      </c>
      <c r="N10985" s="17" t="str">
        <f>IFERROR(__xludf.DUMMYFUNCTION("""COMPUTED_VALUE"""),"")</f>
        <v/>
      </c>
      <c r="O10985" s="17"/>
    </row>
    <row r="10986">
      <c r="B10986" s="17" t="s">
        <v>477</v>
      </c>
      <c r="K10986" s="18" t="s">
        <v>477</v>
      </c>
      <c r="N10986" s="17" t="str">
        <f>IFERROR(__xludf.DUMMYFUNCTION("""COMPUTED_VALUE"""),"")</f>
        <v/>
      </c>
      <c r="O10986" s="17"/>
    </row>
    <row r="10987">
      <c r="B10987" s="17" t="s">
        <v>477</v>
      </c>
      <c r="K10987" s="18" t="s">
        <v>477</v>
      </c>
      <c r="N10987" s="17" t="str">
        <f>IFERROR(__xludf.DUMMYFUNCTION("""COMPUTED_VALUE"""),"")</f>
        <v/>
      </c>
      <c r="O10987" s="17"/>
    </row>
    <row r="10988">
      <c r="B10988" s="17" t="s">
        <v>477</v>
      </c>
      <c r="K10988" s="18" t="s">
        <v>477</v>
      </c>
      <c r="N10988" s="17" t="str">
        <f>IFERROR(__xludf.DUMMYFUNCTION("""COMPUTED_VALUE"""),"")</f>
        <v/>
      </c>
      <c r="O10988" s="17"/>
    </row>
    <row r="10989">
      <c r="B10989" s="17" t="s">
        <v>477</v>
      </c>
      <c r="K10989" s="18" t="s">
        <v>477</v>
      </c>
      <c r="N10989" s="17" t="str">
        <f>IFERROR(__xludf.DUMMYFUNCTION("""COMPUTED_VALUE"""),"")</f>
        <v/>
      </c>
      <c r="O10989" s="17"/>
    </row>
    <row r="10990">
      <c r="B10990" s="17" t="s">
        <v>477</v>
      </c>
      <c r="K10990" s="18" t="s">
        <v>477</v>
      </c>
      <c r="N10990" s="17" t="str">
        <f>IFERROR(__xludf.DUMMYFUNCTION("""COMPUTED_VALUE"""),"")</f>
        <v/>
      </c>
      <c r="O10990" s="17"/>
    </row>
    <row r="10991">
      <c r="B10991" s="17" t="s">
        <v>477</v>
      </c>
      <c r="K10991" s="18" t="s">
        <v>477</v>
      </c>
      <c r="N10991" s="17" t="str">
        <f>IFERROR(__xludf.DUMMYFUNCTION("""COMPUTED_VALUE"""),"")</f>
        <v/>
      </c>
      <c r="O10991" s="17"/>
    </row>
    <row r="10992">
      <c r="B10992" s="17" t="s">
        <v>477</v>
      </c>
      <c r="K10992" s="18" t="s">
        <v>477</v>
      </c>
      <c r="N10992" s="17" t="str">
        <f>IFERROR(__xludf.DUMMYFUNCTION("""COMPUTED_VALUE"""),"")</f>
        <v/>
      </c>
      <c r="O10992" s="17"/>
    </row>
    <row r="10993">
      <c r="B10993" s="17" t="s">
        <v>477</v>
      </c>
      <c r="K10993" s="18" t="s">
        <v>477</v>
      </c>
      <c r="N10993" s="17" t="str">
        <f>IFERROR(__xludf.DUMMYFUNCTION("""COMPUTED_VALUE"""),"")</f>
        <v/>
      </c>
      <c r="O10993" s="17"/>
    </row>
    <row r="10994">
      <c r="B10994" s="17" t="s">
        <v>477</v>
      </c>
      <c r="K10994" s="18" t="s">
        <v>477</v>
      </c>
      <c r="N10994" s="17" t="str">
        <f>IFERROR(__xludf.DUMMYFUNCTION("""COMPUTED_VALUE"""),"")</f>
        <v/>
      </c>
      <c r="O10994" s="17"/>
    </row>
    <row r="10995">
      <c r="B10995" s="17" t="s">
        <v>477</v>
      </c>
      <c r="K10995" s="18" t="s">
        <v>477</v>
      </c>
      <c r="N10995" s="17" t="str">
        <f>IFERROR(__xludf.DUMMYFUNCTION("""COMPUTED_VALUE"""),"")</f>
        <v/>
      </c>
      <c r="O10995" s="17"/>
    </row>
    <row r="10996">
      <c r="B10996" s="17" t="s">
        <v>477</v>
      </c>
      <c r="K10996" s="18" t="s">
        <v>477</v>
      </c>
      <c r="N10996" s="17" t="str">
        <f>IFERROR(__xludf.DUMMYFUNCTION("""COMPUTED_VALUE"""),"")</f>
        <v/>
      </c>
      <c r="O10996" s="17"/>
    </row>
    <row r="10997">
      <c r="B10997" s="17" t="s">
        <v>477</v>
      </c>
      <c r="K10997" s="18" t="s">
        <v>477</v>
      </c>
      <c r="N10997" s="17" t="str">
        <f>IFERROR(__xludf.DUMMYFUNCTION("""COMPUTED_VALUE"""),"")</f>
        <v/>
      </c>
      <c r="O10997" s="17"/>
    </row>
    <row r="10998">
      <c r="B10998" s="17" t="s">
        <v>477</v>
      </c>
      <c r="K10998" s="18" t="s">
        <v>477</v>
      </c>
      <c r="N10998" s="17" t="str">
        <f>IFERROR(__xludf.DUMMYFUNCTION("""COMPUTED_VALUE"""),"")</f>
        <v/>
      </c>
      <c r="O10998" s="17"/>
    </row>
    <row r="10999">
      <c r="B10999" s="17" t="s">
        <v>477</v>
      </c>
      <c r="K10999" s="18" t="s">
        <v>477</v>
      </c>
      <c r="N10999" s="17" t="str">
        <f>IFERROR(__xludf.DUMMYFUNCTION("""COMPUTED_VALUE"""),"")</f>
        <v/>
      </c>
      <c r="O10999" s="17"/>
    </row>
    <row r="11000">
      <c r="B11000" s="17" t="s">
        <v>477</v>
      </c>
      <c r="K11000" s="18" t="s">
        <v>477</v>
      </c>
      <c r="N11000" s="17" t="str">
        <f>IFERROR(__xludf.DUMMYFUNCTION("""COMPUTED_VALUE"""),"")</f>
        <v/>
      </c>
      <c r="O11000" s="17"/>
    </row>
    <row r="11001">
      <c r="B11001" s="17" t="s">
        <v>477</v>
      </c>
      <c r="K11001" s="18" t="s">
        <v>477</v>
      </c>
      <c r="N11001" s="17" t="str">
        <f>IFERROR(__xludf.DUMMYFUNCTION("""COMPUTED_VALUE"""),"")</f>
        <v/>
      </c>
      <c r="O11001" s="17"/>
    </row>
    <row r="11002">
      <c r="B11002" s="17" t="s">
        <v>477</v>
      </c>
      <c r="K11002" s="18" t="s">
        <v>477</v>
      </c>
      <c r="N11002" s="17" t="str">
        <f>IFERROR(__xludf.DUMMYFUNCTION("""COMPUTED_VALUE"""),"")</f>
        <v/>
      </c>
      <c r="O11002" s="17"/>
    </row>
    <row r="11003">
      <c r="B11003" s="17" t="s">
        <v>477</v>
      </c>
      <c r="K11003" s="18" t="s">
        <v>477</v>
      </c>
      <c r="N11003" s="17" t="str">
        <f>IFERROR(__xludf.DUMMYFUNCTION("""COMPUTED_VALUE"""),"")</f>
        <v/>
      </c>
      <c r="O11003" s="17"/>
    </row>
    <row r="11004">
      <c r="B11004" s="17" t="s">
        <v>477</v>
      </c>
      <c r="K11004" s="18" t="s">
        <v>477</v>
      </c>
      <c r="N11004" s="17" t="str">
        <f>IFERROR(__xludf.DUMMYFUNCTION("""COMPUTED_VALUE"""),"")</f>
        <v/>
      </c>
      <c r="O11004" s="17"/>
    </row>
    <row r="11005">
      <c r="B11005" s="17" t="s">
        <v>477</v>
      </c>
      <c r="K11005" s="18" t="s">
        <v>477</v>
      </c>
      <c r="N11005" s="17" t="str">
        <f>IFERROR(__xludf.DUMMYFUNCTION("""COMPUTED_VALUE"""),"")</f>
        <v/>
      </c>
      <c r="O11005" s="17"/>
    </row>
    <row r="11006">
      <c r="B11006" s="17" t="s">
        <v>477</v>
      </c>
      <c r="K11006" s="18" t="s">
        <v>477</v>
      </c>
      <c r="N11006" s="17" t="str">
        <f>IFERROR(__xludf.DUMMYFUNCTION("""COMPUTED_VALUE"""),"")</f>
        <v/>
      </c>
      <c r="O11006" s="17"/>
    </row>
    <row r="11007">
      <c r="B11007" s="17" t="s">
        <v>477</v>
      </c>
      <c r="K11007" s="18" t="s">
        <v>477</v>
      </c>
      <c r="N11007" s="17" t="str">
        <f>IFERROR(__xludf.DUMMYFUNCTION("""COMPUTED_VALUE"""),"")</f>
        <v/>
      </c>
      <c r="O11007" s="17"/>
    </row>
    <row r="11008">
      <c r="B11008" s="17" t="s">
        <v>477</v>
      </c>
      <c r="K11008" s="18" t="s">
        <v>477</v>
      </c>
      <c r="N11008" s="17" t="str">
        <f>IFERROR(__xludf.DUMMYFUNCTION("""COMPUTED_VALUE"""),"")</f>
        <v/>
      </c>
      <c r="O11008" s="17"/>
    </row>
    <row r="11009">
      <c r="B11009" s="17" t="s">
        <v>477</v>
      </c>
      <c r="K11009" s="18" t="s">
        <v>477</v>
      </c>
      <c r="N11009" s="17" t="str">
        <f>IFERROR(__xludf.DUMMYFUNCTION("""COMPUTED_VALUE"""),"")</f>
        <v/>
      </c>
      <c r="O11009" s="17"/>
    </row>
    <row r="11010">
      <c r="B11010" s="17" t="s">
        <v>477</v>
      </c>
      <c r="K11010" s="18" t="s">
        <v>477</v>
      </c>
      <c r="N11010" s="17" t="str">
        <f>IFERROR(__xludf.DUMMYFUNCTION("""COMPUTED_VALUE"""),"")</f>
        <v/>
      </c>
      <c r="O11010" s="17"/>
    </row>
    <row r="11011">
      <c r="B11011" s="17" t="s">
        <v>477</v>
      </c>
      <c r="K11011" s="18" t="s">
        <v>477</v>
      </c>
      <c r="N11011" s="17" t="str">
        <f>IFERROR(__xludf.DUMMYFUNCTION("""COMPUTED_VALUE"""),"")</f>
        <v/>
      </c>
      <c r="O11011" s="17"/>
    </row>
    <row r="11012">
      <c r="B11012" s="17" t="s">
        <v>477</v>
      </c>
      <c r="K11012" s="18" t="s">
        <v>477</v>
      </c>
      <c r="N11012" s="17" t="str">
        <f>IFERROR(__xludf.DUMMYFUNCTION("""COMPUTED_VALUE"""),"")</f>
        <v/>
      </c>
      <c r="O11012" s="17"/>
    </row>
    <row r="11013">
      <c r="B11013" s="17" t="s">
        <v>477</v>
      </c>
      <c r="K11013" s="18" t="s">
        <v>477</v>
      </c>
      <c r="N11013" s="17" t="str">
        <f>IFERROR(__xludf.DUMMYFUNCTION("""COMPUTED_VALUE"""),"")</f>
        <v/>
      </c>
      <c r="O11013" s="17"/>
    </row>
    <row r="11014">
      <c r="B11014" s="17" t="s">
        <v>477</v>
      </c>
      <c r="K11014" s="18" t="s">
        <v>477</v>
      </c>
      <c r="N11014" s="17" t="str">
        <f>IFERROR(__xludf.DUMMYFUNCTION("""COMPUTED_VALUE"""),"")</f>
        <v/>
      </c>
      <c r="O11014" s="17"/>
    </row>
    <row r="11015">
      <c r="B11015" s="17" t="s">
        <v>477</v>
      </c>
      <c r="K11015" s="18" t="s">
        <v>477</v>
      </c>
      <c r="N11015" s="17" t="str">
        <f>IFERROR(__xludf.DUMMYFUNCTION("""COMPUTED_VALUE"""),"")</f>
        <v/>
      </c>
      <c r="O11015" s="17"/>
    </row>
    <row r="11016">
      <c r="B11016" s="17" t="s">
        <v>477</v>
      </c>
      <c r="K11016" s="18" t="s">
        <v>477</v>
      </c>
      <c r="N11016" s="17" t="str">
        <f>IFERROR(__xludf.DUMMYFUNCTION("""COMPUTED_VALUE"""),"")</f>
        <v/>
      </c>
      <c r="O11016" s="17"/>
    </row>
    <row r="11017">
      <c r="B11017" s="17" t="s">
        <v>477</v>
      </c>
      <c r="K11017" s="18" t="s">
        <v>477</v>
      </c>
      <c r="N11017" s="17" t="str">
        <f>IFERROR(__xludf.DUMMYFUNCTION("""COMPUTED_VALUE"""),"")</f>
        <v/>
      </c>
      <c r="O11017" s="17"/>
    </row>
    <row r="11018">
      <c r="B11018" s="17" t="s">
        <v>477</v>
      </c>
      <c r="K11018" s="18" t="s">
        <v>477</v>
      </c>
      <c r="N11018" s="17" t="str">
        <f>IFERROR(__xludf.DUMMYFUNCTION("""COMPUTED_VALUE"""),"")</f>
        <v/>
      </c>
      <c r="O11018" s="17"/>
    </row>
    <row r="11019">
      <c r="B11019" s="17" t="s">
        <v>477</v>
      </c>
      <c r="K11019" s="18" t="s">
        <v>477</v>
      </c>
      <c r="N11019" s="17" t="str">
        <f>IFERROR(__xludf.DUMMYFUNCTION("""COMPUTED_VALUE"""),"")</f>
        <v/>
      </c>
      <c r="O11019" s="17"/>
    </row>
    <row r="11020">
      <c r="B11020" s="17" t="s">
        <v>477</v>
      </c>
      <c r="K11020" s="18" t="s">
        <v>477</v>
      </c>
      <c r="N11020" s="17" t="str">
        <f>IFERROR(__xludf.DUMMYFUNCTION("""COMPUTED_VALUE"""),"")</f>
        <v/>
      </c>
      <c r="O11020" s="17"/>
    </row>
    <row r="11021">
      <c r="B11021" s="17" t="s">
        <v>477</v>
      </c>
      <c r="K11021" s="18" t="s">
        <v>477</v>
      </c>
      <c r="N11021" s="17" t="str">
        <f>IFERROR(__xludf.DUMMYFUNCTION("""COMPUTED_VALUE"""),"")</f>
        <v/>
      </c>
      <c r="O11021" s="17"/>
    </row>
    <row r="11022">
      <c r="B11022" s="17" t="s">
        <v>477</v>
      </c>
      <c r="K11022" s="18" t="s">
        <v>477</v>
      </c>
      <c r="N11022" s="17" t="str">
        <f>IFERROR(__xludf.DUMMYFUNCTION("""COMPUTED_VALUE"""),"")</f>
        <v/>
      </c>
      <c r="O11022" s="17"/>
    </row>
    <row r="11023">
      <c r="B11023" s="17" t="s">
        <v>477</v>
      </c>
      <c r="K11023" s="18" t="s">
        <v>477</v>
      </c>
      <c r="N11023" s="17" t="str">
        <f>IFERROR(__xludf.DUMMYFUNCTION("""COMPUTED_VALUE"""),"")</f>
        <v/>
      </c>
      <c r="O11023" s="17"/>
    </row>
    <row r="11024">
      <c r="B11024" s="17" t="s">
        <v>477</v>
      </c>
      <c r="K11024" s="18" t="s">
        <v>477</v>
      </c>
      <c r="N11024" s="17" t="str">
        <f>IFERROR(__xludf.DUMMYFUNCTION("""COMPUTED_VALUE"""),"")</f>
        <v/>
      </c>
      <c r="O11024" s="17"/>
    </row>
    <row r="11025">
      <c r="B11025" s="17" t="s">
        <v>477</v>
      </c>
      <c r="K11025" s="18" t="s">
        <v>477</v>
      </c>
      <c r="N11025" s="17" t="str">
        <f>IFERROR(__xludf.DUMMYFUNCTION("""COMPUTED_VALUE"""),"")</f>
        <v/>
      </c>
      <c r="O11025" s="17"/>
    </row>
    <row r="11026">
      <c r="B11026" s="17" t="s">
        <v>477</v>
      </c>
      <c r="K11026" s="18" t="s">
        <v>477</v>
      </c>
      <c r="N11026" s="17" t="str">
        <f>IFERROR(__xludf.DUMMYFUNCTION("""COMPUTED_VALUE"""),"")</f>
        <v/>
      </c>
      <c r="O11026" s="17"/>
    </row>
    <row r="11027">
      <c r="B11027" s="17" t="s">
        <v>477</v>
      </c>
      <c r="K11027" s="18" t="s">
        <v>477</v>
      </c>
      <c r="N11027" s="17" t="str">
        <f>IFERROR(__xludf.DUMMYFUNCTION("""COMPUTED_VALUE"""),"")</f>
        <v/>
      </c>
      <c r="O11027" s="17"/>
    </row>
    <row r="11028">
      <c r="B11028" s="17" t="s">
        <v>477</v>
      </c>
      <c r="K11028" s="18" t="s">
        <v>477</v>
      </c>
      <c r="N11028" s="17" t="str">
        <f>IFERROR(__xludf.DUMMYFUNCTION("""COMPUTED_VALUE"""),"")</f>
        <v/>
      </c>
      <c r="O11028" s="17"/>
    </row>
    <row r="11029">
      <c r="B11029" s="17" t="s">
        <v>477</v>
      </c>
      <c r="K11029" s="18" t="s">
        <v>477</v>
      </c>
      <c r="N11029" s="17" t="str">
        <f>IFERROR(__xludf.DUMMYFUNCTION("""COMPUTED_VALUE"""),"")</f>
        <v/>
      </c>
      <c r="O11029" s="17"/>
    </row>
    <row r="11030">
      <c r="B11030" s="17" t="s">
        <v>477</v>
      </c>
      <c r="K11030" s="18" t="s">
        <v>477</v>
      </c>
      <c r="N11030" s="17" t="str">
        <f>IFERROR(__xludf.DUMMYFUNCTION("""COMPUTED_VALUE"""),"")</f>
        <v/>
      </c>
      <c r="O11030" s="17"/>
    </row>
    <row r="11031">
      <c r="B11031" s="17" t="s">
        <v>477</v>
      </c>
      <c r="K11031" s="18" t="s">
        <v>477</v>
      </c>
      <c r="N11031" s="17" t="str">
        <f>IFERROR(__xludf.DUMMYFUNCTION("""COMPUTED_VALUE"""),"")</f>
        <v/>
      </c>
      <c r="O11031" s="17"/>
    </row>
    <row r="11032">
      <c r="B11032" s="17" t="s">
        <v>477</v>
      </c>
      <c r="K11032" s="18" t="s">
        <v>477</v>
      </c>
      <c r="N11032" s="17" t="str">
        <f>IFERROR(__xludf.DUMMYFUNCTION("""COMPUTED_VALUE"""),"")</f>
        <v/>
      </c>
      <c r="O11032" s="17"/>
    </row>
    <row r="11033">
      <c r="B11033" s="17" t="s">
        <v>477</v>
      </c>
      <c r="K11033" s="18" t="s">
        <v>477</v>
      </c>
      <c r="N11033" s="17" t="str">
        <f>IFERROR(__xludf.DUMMYFUNCTION("""COMPUTED_VALUE"""),"")</f>
        <v/>
      </c>
      <c r="O11033" s="17"/>
    </row>
    <row r="11034">
      <c r="B11034" s="17" t="s">
        <v>477</v>
      </c>
      <c r="K11034" s="18" t="s">
        <v>477</v>
      </c>
      <c r="N11034" s="17" t="str">
        <f>IFERROR(__xludf.DUMMYFUNCTION("""COMPUTED_VALUE"""),"")</f>
        <v/>
      </c>
      <c r="O11034" s="17"/>
    </row>
    <row r="11035">
      <c r="B11035" s="17" t="s">
        <v>477</v>
      </c>
      <c r="K11035" s="18" t="s">
        <v>477</v>
      </c>
      <c r="N11035" s="17" t="str">
        <f>IFERROR(__xludf.DUMMYFUNCTION("""COMPUTED_VALUE"""),"")</f>
        <v/>
      </c>
      <c r="O11035" s="17"/>
    </row>
    <row r="11036">
      <c r="B11036" s="17" t="s">
        <v>477</v>
      </c>
      <c r="K11036" s="18" t="s">
        <v>477</v>
      </c>
      <c r="N11036" s="17" t="str">
        <f>IFERROR(__xludf.DUMMYFUNCTION("""COMPUTED_VALUE"""),"")</f>
        <v/>
      </c>
      <c r="O11036" s="17"/>
    </row>
    <row r="11037">
      <c r="B11037" s="17" t="s">
        <v>477</v>
      </c>
      <c r="K11037" s="18" t="s">
        <v>477</v>
      </c>
      <c r="N11037" s="17" t="str">
        <f>IFERROR(__xludf.DUMMYFUNCTION("""COMPUTED_VALUE"""),"")</f>
        <v/>
      </c>
      <c r="O11037" s="17"/>
    </row>
    <row r="11038">
      <c r="B11038" s="17" t="s">
        <v>477</v>
      </c>
      <c r="K11038" s="18" t="s">
        <v>477</v>
      </c>
      <c r="N11038" s="17" t="str">
        <f>IFERROR(__xludf.DUMMYFUNCTION("""COMPUTED_VALUE"""),"")</f>
        <v/>
      </c>
      <c r="O11038" s="17"/>
    </row>
    <row r="11039">
      <c r="B11039" s="17" t="s">
        <v>477</v>
      </c>
      <c r="K11039" s="18" t="s">
        <v>477</v>
      </c>
      <c r="N11039" s="17" t="str">
        <f>IFERROR(__xludf.DUMMYFUNCTION("""COMPUTED_VALUE"""),"")</f>
        <v/>
      </c>
      <c r="O11039" s="17"/>
    </row>
    <row r="11040">
      <c r="B11040" s="17" t="s">
        <v>477</v>
      </c>
      <c r="K11040" s="18" t="s">
        <v>477</v>
      </c>
      <c r="N11040" s="17" t="str">
        <f>IFERROR(__xludf.DUMMYFUNCTION("""COMPUTED_VALUE"""),"")</f>
        <v/>
      </c>
      <c r="O11040" s="17"/>
    </row>
    <row r="11041">
      <c r="B11041" s="17" t="s">
        <v>477</v>
      </c>
      <c r="K11041" s="18" t="s">
        <v>477</v>
      </c>
      <c r="N11041" s="17" t="str">
        <f>IFERROR(__xludf.DUMMYFUNCTION("""COMPUTED_VALUE"""),"")</f>
        <v/>
      </c>
      <c r="O11041" s="17"/>
    </row>
    <row r="11042">
      <c r="B11042" s="17" t="s">
        <v>477</v>
      </c>
      <c r="K11042" s="18" t="s">
        <v>477</v>
      </c>
      <c r="N11042" s="17" t="str">
        <f>IFERROR(__xludf.DUMMYFUNCTION("""COMPUTED_VALUE"""),"")</f>
        <v/>
      </c>
      <c r="O11042" s="17"/>
    </row>
    <row r="11043">
      <c r="B11043" s="17" t="s">
        <v>477</v>
      </c>
      <c r="K11043" s="18" t="s">
        <v>477</v>
      </c>
      <c r="N11043" s="17" t="str">
        <f>IFERROR(__xludf.DUMMYFUNCTION("""COMPUTED_VALUE"""),"")</f>
        <v/>
      </c>
      <c r="O11043" s="17"/>
    </row>
    <row r="11044">
      <c r="B11044" s="17" t="s">
        <v>477</v>
      </c>
      <c r="K11044" s="18" t="s">
        <v>477</v>
      </c>
      <c r="N11044" s="17" t="str">
        <f>IFERROR(__xludf.DUMMYFUNCTION("""COMPUTED_VALUE"""),"")</f>
        <v/>
      </c>
      <c r="O11044" s="17"/>
    </row>
    <row r="11045">
      <c r="B11045" s="17" t="s">
        <v>477</v>
      </c>
      <c r="K11045" s="18" t="s">
        <v>477</v>
      </c>
      <c r="N11045" s="17" t="str">
        <f>IFERROR(__xludf.DUMMYFUNCTION("""COMPUTED_VALUE"""),"")</f>
        <v/>
      </c>
      <c r="O11045" s="17"/>
    </row>
    <row r="11046">
      <c r="B11046" s="17" t="s">
        <v>477</v>
      </c>
      <c r="K11046" s="18" t="s">
        <v>477</v>
      </c>
      <c r="N11046" s="17" t="str">
        <f>IFERROR(__xludf.DUMMYFUNCTION("""COMPUTED_VALUE"""),"")</f>
        <v/>
      </c>
      <c r="O11046" s="17"/>
    </row>
    <row r="11047">
      <c r="B11047" s="17" t="s">
        <v>477</v>
      </c>
      <c r="K11047" s="18" t="s">
        <v>477</v>
      </c>
      <c r="N11047" s="17" t="str">
        <f>IFERROR(__xludf.DUMMYFUNCTION("""COMPUTED_VALUE"""),"")</f>
        <v/>
      </c>
      <c r="O11047" s="17"/>
    </row>
    <row r="11048">
      <c r="B11048" s="17" t="s">
        <v>477</v>
      </c>
      <c r="K11048" s="18" t="s">
        <v>477</v>
      </c>
      <c r="N11048" s="17" t="str">
        <f>IFERROR(__xludf.DUMMYFUNCTION("""COMPUTED_VALUE"""),"")</f>
        <v/>
      </c>
      <c r="O11048" s="17"/>
    </row>
    <row r="11049">
      <c r="B11049" s="17" t="s">
        <v>477</v>
      </c>
      <c r="K11049" s="18" t="s">
        <v>477</v>
      </c>
      <c r="N11049" s="17" t="str">
        <f>IFERROR(__xludf.DUMMYFUNCTION("""COMPUTED_VALUE"""),"")</f>
        <v/>
      </c>
      <c r="O11049" s="17"/>
    </row>
    <row r="11050">
      <c r="B11050" s="17" t="s">
        <v>477</v>
      </c>
      <c r="K11050" s="18" t="s">
        <v>477</v>
      </c>
      <c r="N11050" s="17" t="str">
        <f>IFERROR(__xludf.DUMMYFUNCTION("""COMPUTED_VALUE"""),"")</f>
        <v/>
      </c>
      <c r="O11050" s="17"/>
    </row>
    <row r="11051">
      <c r="B11051" s="17" t="s">
        <v>477</v>
      </c>
      <c r="K11051" s="18" t="s">
        <v>477</v>
      </c>
      <c r="N11051" s="17" t="str">
        <f>IFERROR(__xludf.DUMMYFUNCTION("""COMPUTED_VALUE"""),"")</f>
        <v/>
      </c>
      <c r="O11051" s="17"/>
    </row>
    <row r="11052">
      <c r="B11052" s="17" t="s">
        <v>477</v>
      </c>
      <c r="K11052" s="18" t="s">
        <v>477</v>
      </c>
      <c r="N11052" s="17" t="str">
        <f>IFERROR(__xludf.DUMMYFUNCTION("""COMPUTED_VALUE"""),"")</f>
        <v/>
      </c>
      <c r="O11052" s="17"/>
    </row>
    <row r="11053">
      <c r="B11053" s="17" t="s">
        <v>477</v>
      </c>
      <c r="K11053" s="18" t="s">
        <v>477</v>
      </c>
      <c r="N11053" s="17" t="str">
        <f>IFERROR(__xludf.DUMMYFUNCTION("""COMPUTED_VALUE"""),"")</f>
        <v/>
      </c>
      <c r="O11053" s="17"/>
    </row>
    <row r="11054">
      <c r="B11054" s="17" t="s">
        <v>477</v>
      </c>
      <c r="K11054" s="18" t="s">
        <v>477</v>
      </c>
      <c r="N11054" s="17" t="str">
        <f>IFERROR(__xludf.DUMMYFUNCTION("""COMPUTED_VALUE"""),"")</f>
        <v/>
      </c>
      <c r="O11054" s="17"/>
    </row>
    <row r="11055">
      <c r="B11055" s="17" t="s">
        <v>477</v>
      </c>
      <c r="K11055" s="18" t="s">
        <v>477</v>
      </c>
      <c r="N11055" s="17" t="str">
        <f>IFERROR(__xludf.DUMMYFUNCTION("""COMPUTED_VALUE"""),"")</f>
        <v/>
      </c>
      <c r="O11055" s="17"/>
    </row>
    <row r="11056">
      <c r="B11056" s="17" t="s">
        <v>477</v>
      </c>
      <c r="K11056" s="18" t="s">
        <v>477</v>
      </c>
      <c r="N11056" s="17" t="str">
        <f>IFERROR(__xludf.DUMMYFUNCTION("""COMPUTED_VALUE"""),"")</f>
        <v/>
      </c>
      <c r="O11056" s="17"/>
    </row>
    <row r="11057">
      <c r="B11057" s="17" t="s">
        <v>477</v>
      </c>
      <c r="K11057" s="18" t="s">
        <v>477</v>
      </c>
      <c r="N11057" s="17" t="str">
        <f>IFERROR(__xludf.DUMMYFUNCTION("""COMPUTED_VALUE"""),"")</f>
        <v/>
      </c>
      <c r="O11057" s="17"/>
    </row>
    <row r="11058">
      <c r="B11058" s="17" t="s">
        <v>477</v>
      </c>
      <c r="K11058" s="18" t="s">
        <v>477</v>
      </c>
      <c r="N11058" s="17" t="str">
        <f>IFERROR(__xludf.DUMMYFUNCTION("""COMPUTED_VALUE"""),"")</f>
        <v/>
      </c>
      <c r="O11058" s="17"/>
    </row>
    <row r="11059">
      <c r="B11059" s="17" t="s">
        <v>477</v>
      </c>
      <c r="K11059" s="18" t="s">
        <v>477</v>
      </c>
      <c r="N11059" s="17" t="str">
        <f>IFERROR(__xludf.DUMMYFUNCTION("""COMPUTED_VALUE"""),"")</f>
        <v/>
      </c>
      <c r="O11059" s="17"/>
    </row>
    <row r="11060">
      <c r="B11060" s="17" t="s">
        <v>477</v>
      </c>
      <c r="K11060" s="18" t="s">
        <v>477</v>
      </c>
      <c r="N11060" s="17" t="str">
        <f>IFERROR(__xludf.DUMMYFUNCTION("""COMPUTED_VALUE"""),"")</f>
        <v/>
      </c>
      <c r="O11060" s="17"/>
    </row>
    <row r="11061">
      <c r="B11061" s="17" t="s">
        <v>477</v>
      </c>
      <c r="K11061" s="18" t="s">
        <v>477</v>
      </c>
      <c r="N11061" s="17" t="str">
        <f>IFERROR(__xludf.DUMMYFUNCTION("""COMPUTED_VALUE"""),"")</f>
        <v/>
      </c>
      <c r="O11061" s="17"/>
    </row>
    <row r="11062">
      <c r="B11062" s="17" t="s">
        <v>477</v>
      </c>
      <c r="K11062" s="18" t="s">
        <v>477</v>
      </c>
      <c r="N11062" s="17" t="str">
        <f>IFERROR(__xludf.DUMMYFUNCTION("""COMPUTED_VALUE"""),"")</f>
        <v/>
      </c>
      <c r="O11062" s="17"/>
    </row>
    <row r="11063">
      <c r="B11063" s="17" t="s">
        <v>477</v>
      </c>
      <c r="K11063" s="18" t="s">
        <v>477</v>
      </c>
      <c r="N11063" s="17" t="str">
        <f>IFERROR(__xludf.DUMMYFUNCTION("""COMPUTED_VALUE"""),"")</f>
        <v/>
      </c>
      <c r="O11063" s="17"/>
    </row>
    <row r="11064">
      <c r="B11064" s="17" t="s">
        <v>477</v>
      </c>
      <c r="K11064" s="18" t="s">
        <v>477</v>
      </c>
      <c r="N11064" s="17" t="str">
        <f>IFERROR(__xludf.DUMMYFUNCTION("""COMPUTED_VALUE"""),"")</f>
        <v/>
      </c>
      <c r="O11064" s="17"/>
    </row>
    <row r="11065">
      <c r="B11065" s="17" t="s">
        <v>477</v>
      </c>
      <c r="K11065" s="18" t="s">
        <v>477</v>
      </c>
      <c r="N11065" s="17" t="str">
        <f>IFERROR(__xludf.DUMMYFUNCTION("""COMPUTED_VALUE"""),"")</f>
        <v/>
      </c>
      <c r="O11065" s="17"/>
    </row>
    <row r="11066">
      <c r="B11066" s="17" t="s">
        <v>477</v>
      </c>
      <c r="K11066" s="18" t="s">
        <v>477</v>
      </c>
      <c r="N11066" s="17" t="str">
        <f>IFERROR(__xludf.DUMMYFUNCTION("""COMPUTED_VALUE"""),"")</f>
        <v/>
      </c>
      <c r="O11066" s="17"/>
    </row>
    <row r="11067">
      <c r="B11067" s="17" t="s">
        <v>477</v>
      </c>
      <c r="K11067" s="18" t="s">
        <v>477</v>
      </c>
      <c r="N11067" s="17" t="str">
        <f>IFERROR(__xludf.DUMMYFUNCTION("""COMPUTED_VALUE"""),"")</f>
        <v/>
      </c>
      <c r="O11067" s="17"/>
    </row>
    <row r="11068">
      <c r="B11068" s="17" t="s">
        <v>477</v>
      </c>
      <c r="K11068" s="18" t="s">
        <v>477</v>
      </c>
      <c r="N11068" s="17" t="str">
        <f>IFERROR(__xludf.DUMMYFUNCTION("""COMPUTED_VALUE"""),"")</f>
        <v/>
      </c>
      <c r="O11068" s="17"/>
    </row>
    <row r="11069">
      <c r="B11069" s="17" t="s">
        <v>477</v>
      </c>
      <c r="K11069" s="18" t="s">
        <v>477</v>
      </c>
      <c r="N11069" s="17" t="str">
        <f>IFERROR(__xludf.DUMMYFUNCTION("""COMPUTED_VALUE"""),"")</f>
        <v/>
      </c>
      <c r="O11069" s="17"/>
    </row>
    <row r="11070">
      <c r="B11070" s="17" t="s">
        <v>477</v>
      </c>
      <c r="K11070" s="18" t="s">
        <v>477</v>
      </c>
      <c r="N11070" s="17" t="str">
        <f>IFERROR(__xludf.DUMMYFUNCTION("""COMPUTED_VALUE"""),"")</f>
        <v/>
      </c>
      <c r="O11070" s="17"/>
    </row>
    <row r="11071">
      <c r="B11071" s="17" t="s">
        <v>477</v>
      </c>
      <c r="K11071" s="18" t="s">
        <v>477</v>
      </c>
      <c r="N11071" s="17" t="str">
        <f>IFERROR(__xludf.DUMMYFUNCTION("""COMPUTED_VALUE"""),"")</f>
        <v/>
      </c>
      <c r="O11071" s="17"/>
    </row>
    <row r="11072">
      <c r="B11072" s="17" t="s">
        <v>477</v>
      </c>
      <c r="K11072" s="18" t="s">
        <v>477</v>
      </c>
      <c r="N11072" s="17" t="str">
        <f>IFERROR(__xludf.DUMMYFUNCTION("""COMPUTED_VALUE"""),"")</f>
        <v/>
      </c>
      <c r="O11072" s="17"/>
    </row>
    <row r="11073">
      <c r="B11073" s="17" t="s">
        <v>477</v>
      </c>
      <c r="K11073" s="18" t="s">
        <v>477</v>
      </c>
      <c r="N11073" s="17" t="str">
        <f>IFERROR(__xludf.DUMMYFUNCTION("""COMPUTED_VALUE"""),"")</f>
        <v/>
      </c>
      <c r="O11073" s="17"/>
    </row>
    <row r="11074">
      <c r="B11074" s="17" t="s">
        <v>477</v>
      </c>
      <c r="K11074" s="18" t="s">
        <v>477</v>
      </c>
      <c r="N11074" s="17" t="str">
        <f>IFERROR(__xludf.DUMMYFUNCTION("""COMPUTED_VALUE"""),"")</f>
        <v/>
      </c>
      <c r="O11074" s="17"/>
    </row>
    <row r="11075">
      <c r="B11075" s="17" t="s">
        <v>477</v>
      </c>
      <c r="K11075" s="18" t="s">
        <v>477</v>
      </c>
      <c r="N11075" s="17" t="str">
        <f>IFERROR(__xludf.DUMMYFUNCTION("""COMPUTED_VALUE"""),"")</f>
        <v/>
      </c>
      <c r="O11075" s="17"/>
    </row>
    <row r="11076">
      <c r="B11076" s="17" t="s">
        <v>477</v>
      </c>
      <c r="K11076" s="18" t="s">
        <v>477</v>
      </c>
      <c r="N11076" s="17" t="str">
        <f>IFERROR(__xludf.DUMMYFUNCTION("""COMPUTED_VALUE"""),"")</f>
        <v/>
      </c>
      <c r="O11076" s="17"/>
    </row>
    <row r="11077">
      <c r="B11077" s="17" t="s">
        <v>477</v>
      </c>
      <c r="K11077" s="18" t="s">
        <v>477</v>
      </c>
      <c r="N11077" s="17" t="str">
        <f>IFERROR(__xludf.DUMMYFUNCTION("""COMPUTED_VALUE"""),"")</f>
        <v/>
      </c>
      <c r="O11077" s="17"/>
    </row>
    <row r="11078">
      <c r="B11078" s="17" t="s">
        <v>477</v>
      </c>
      <c r="K11078" s="18" t="s">
        <v>477</v>
      </c>
      <c r="N11078" s="17" t="str">
        <f>IFERROR(__xludf.DUMMYFUNCTION("""COMPUTED_VALUE"""),"")</f>
        <v/>
      </c>
      <c r="O11078" s="17"/>
    </row>
    <row r="11079">
      <c r="B11079" s="17" t="s">
        <v>477</v>
      </c>
      <c r="K11079" s="18" t="s">
        <v>477</v>
      </c>
      <c r="N11079" s="17" t="str">
        <f>IFERROR(__xludf.DUMMYFUNCTION("""COMPUTED_VALUE"""),"")</f>
        <v/>
      </c>
      <c r="O11079" s="17"/>
    </row>
    <row r="11080">
      <c r="B11080" s="17" t="s">
        <v>477</v>
      </c>
      <c r="K11080" s="18" t="s">
        <v>477</v>
      </c>
      <c r="N11080" s="17" t="str">
        <f>IFERROR(__xludf.DUMMYFUNCTION("""COMPUTED_VALUE"""),"")</f>
        <v/>
      </c>
      <c r="O11080" s="17"/>
    </row>
    <row r="11081">
      <c r="B11081" s="17" t="s">
        <v>477</v>
      </c>
      <c r="K11081" s="18" t="s">
        <v>477</v>
      </c>
      <c r="N11081" s="17" t="str">
        <f>IFERROR(__xludf.DUMMYFUNCTION("""COMPUTED_VALUE"""),"")</f>
        <v/>
      </c>
      <c r="O11081" s="17"/>
    </row>
    <row r="11082">
      <c r="B11082" s="17" t="s">
        <v>477</v>
      </c>
      <c r="K11082" s="18" t="s">
        <v>477</v>
      </c>
      <c r="N11082" s="17" t="str">
        <f>IFERROR(__xludf.DUMMYFUNCTION("""COMPUTED_VALUE"""),"")</f>
        <v/>
      </c>
      <c r="O11082" s="17"/>
    </row>
    <row r="11083">
      <c r="B11083" s="17" t="s">
        <v>477</v>
      </c>
      <c r="K11083" s="18" t="s">
        <v>477</v>
      </c>
      <c r="N11083" s="17" t="str">
        <f>IFERROR(__xludf.DUMMYFUNCTION("""COMPUTED_VALUE"""),"")</f>
        <v/>
      </c>
      <c r="O11083" s="17"/>
    </row>
    <row r="11084">
      <c r="B11084" s="17" t="s">
        <v>477</v>
      </c>
      <c r="K11084" s="18" t="s">
        <v>477</v>
      </c>
      <c r="N11084" s="17" t="str">
        <f>IFERROR(__xludf.DUMMYFUNCTION("""COMPUTED_VALUE"""),"")</f>
        <v/>
      </c>
      <c r="O11084" s="17"/>
    </row>
    <row r="11085">
      <c r="B11085" s="17" t="s">
        <v>477</v>
      </c>
      <c r="K11085" s="18" t="s">
        <v>477</v>
      </c>
      <c r="N11085" s="17" t="str">
        <f>IFERROR(__xludf.DUMMYFUNCTION("""COMPUTED_VALUE"""),"")</f>
        <v/>
      </c>
      <c r="O11085" s="17"/>
    </row>
    <row r="11086">
      <c r="B11086" s="17" t="s">
        <v>477</v>
      </c>
      <c r="K11086" s="18" t="s">
        <v>477</v>
      </c>
      <c r="N11086" s="17" t="str">
        <f>IFERROR(__xludf.DUMMYFUNCTION("""COMPUTED_VALUE"""),"")</f>
        <v/>
      </c>
      <c r="O11086" s="17"/>
    </row>
    <row r="11087">
      <c r="B11087" s="17" t="s">
        <v>477</v>
      </c>
      <c r="K11087" s="18" t="s">
        <v>477</v>
      </c>
      <c r="N11087" s="17" t="str">
        <f>IFERROR(__xludf.DUMMYFUNCTION("""COMPUTED_VALUE"""),"")</f>
        <v/>
      </c>
      <c r="O11087" s="17"/>
    </row>
    <row r="11088">
      <c r="B11088" s="17" t="s">
        <v>477</v>
      </c>
      <c r="K11088" s="18" t="s">
        <v>477</v>
      </c>
      <c r="N11088" s="17" t="str">
        <f>IFERROR(__xludf.DUMMYFUNCTION("""COMPUTED_VALUE"""),"")</f>
        <v/>
      </c>
      <c r="O11088" s="17"/>
    </row>
    <row r="11089">
      <c r="B11089" s="17" t="s">
        <v>477</v>
      </c>
      <c r="K11089" s="18" t="s">
        <v>477</v>
      </c>
      <c r="N11089" s="17" t="str">
        <f>IFERROR(__xludf.DUMMYFUNCTION("""COMPUTED_VALUE"""),"")</f>
        <v/>
      </c>
      <c r="O11089" s="17"/>
    </row>
    <row r="11090">
      <c r="B11090" s="17" t="s">
        <v>477</v>
      </c>
      <c r="K11090" s="18" t="s">
        <v>477</v>
      </c>
      <c r="N11090" s="17" t="str">
        <f>IFERROR(__xludf.DUMMYFUNCTION("""COMPUTED_VALUE"""),"")</f>
        <v/>
      </c>
      <c r="O11090" s="17"/>
    </row>
    <row r="11091">
      <c r="B11091" s="17" t="s">
        <v>477</v>
      </c>
      <c r="K11091" s="18" t="s">
        <v>477</v>
      </c>
      <c r="N11091" s="17" t="str">
        <f>IFERROR(__xludf.DUMMYFUNCTION("""COMPUTED_VALUE"""),"")</f>
        <v/>
      </c>
      <c r="O11091" s="17"/>
    </row>
    <row r="11092">
      <c r="B11092" s="17" t="s">
        <v>477</v>
      </c>
      <c r="K11092" s="18" t="s">
        <v>477</v>
      </c>
      <c r="N11092" s="17" t="str">
        <f>IFERROR(__xludf.DUMMYFUNCTION("""COMPUTED_VALUE"""),"")</f>
        <v/>
      </c>
      <c r="O11092" s="17"/>
    </row>
    <row r="11093">
      <c r="B11093" s="17" t="s">
        <v>477</v>
      </c>
      <c r="K11093" s="18" t="s">
        <v>477</v>
      </c>
      <c r="N11093" s="17" t="str">
        <f>IFERROR(__xludf.DUMMYFUNCTION("""COMPUTED_VALUE"""),"")</f>
        <v/>
      </c>
      <c r="O11093" s="17"/>
    </row>
    <row r="11094">
      <c r="B11094" s="17" t="s">
        <v>477</v>
      </c>
      <c r="K11094" s="18" t="s">
        <v>477</v>
      </c>
      <c r="N11094" s="17" t="str">
        <f>IFERROR(__xludf.DUMMYFUNCTION("""COMPUTED_VALUE"""),"")</f>
        <v/>
      </c>
      <c r="O11094" s="17"/>
    </row>
    <row r="11095">
      <c r="B11095" s="17" t="s">
        <v>477</v>
      </c>
      <c r="K11095" s="18" t="s">
        <v>477</v>
      </c>
      <c r="N11095" s="17" t="str">
        <f>IFERROR(__xludf.DUMMYFUNCTION("""COMPUTED_VALUE"""),"")</f>
        <v/>
      </c>
      <c r="O11095" s="17"/>
    </row>
    <row r="11096">
      <c r="B11096" s="17" t="s">
        <v>477</v>
      </c>
      <c r="K11096" s="18" t="s">
        <v>477</v>
      </c>
      <c r="N11096" s="17" t="str">
        <f>IFERROR(__xludf.DUMMYFUNCTION("""COMPUTED_VALUE"""),"")</f>
        <v/>
      </c>
      <c r="O11096" s="17"/>
    </row>
    <row r="11097">
      <c r="B11097" s="17" t="s">
        <v>477</v>
      </c>
      <c r="K11097" s="18" t="s">
        <v>477</v>
      </c>
      <c r="N11097" s="17" t="str">
        <f>IFERROR(__xludf.DUMMYFUNCTION("""COMPUTED_VALUE"""),"")</f>
        <v/>
      </c>
      <c r="O11097" s="17"/>
    </row>
    <row r="11098">
      <c r="B11098" s="17" t="s">
        <v>477</v>
      </c>
      <c r="K11098" s="18" t="s">
        <v>477</v>
      </c>
      <c r="N11098" s="17" t="str">
        <f>IFERROR(__xludf.DUMMYFUNCTION("""COMPUTED_VALUE"""),"")</f>
        <v/>
      </c>
      <c r="O11098" s="17"/>
    </row>
    <row r="11099">
      <c r="B11099" s="17" t="s">
        <v>477</v>
      </c>
      <c r="K11099" s="18" t="s">
        <v>477</v>
      </c>
      <c r="N11099" s="17" t="str">
        <f>IFERROR(__xludf.DUMMYFUNCTION("""COMPUTED_VALUE"""),"")</f>
        <v/>
      </c>
      <c r="O11099" s="17"/>
    </row>
    <row r="11100">
      <c r="B11100" s="17" t="s">
        <v>477</v>
      </c>
      <c r="K11100" s="18" t="s">
        <v>477</v>
      </c>
      <c r="N11100" s="17" t="str">
        <f>IFERROR(__xludf.DUMMYFUNCTION("""COMPUTED_VALUE"""),"")</f>
        <v/>
      </c>
      <c r="O11100" s="17"/>
    </row>
    <row r="11101">
      <c r="B11101" s="17" t="s">
        <v>477</v>
      </c>
      <c r="K11101" s="18" t="s">
        <v>477</v>
      </c>
      <c r="N11101" s="17" t="str">
        <f>IFERROR(__xludf.DUMMYFUNCTION("""COMPUTED_VALUE"""),"")</f>
        <v/>
      </c>
      <c r="O11101" s="17"/>
    </row>
    <row r="11102">
      <c r="B11102" s="17" t="s">
        <v>477</v>
      </c>
      <c r="K11102" s="18" t="s">
        <v>477</v>
      </c>
      <c r="N11102" s="17" t="str">
        <f>IFERROR(__xludf.DUMMYFUNCTION("""COMPUTED_VALUE"""),"")</f>
        <v/>
      </c>
      <c r="O11102" s="17"/>
    </row>
    <row r="11103">
      <c r="B11103" s="17" t="s">
        <v>477</v>
      </c>
      <c r="K11103" s="18" t="s">
        <v>477</v>
      </c>
      <c r="N11103" s="17" t="str">
        <f>IFERROR(__xludf.DUMMYFUNCTION("""COMPUTED_VALUE"""),"")</f>
        <v/>
      </c>
      <c r="O11103" s="17"/>
    </row>
    <row r="11104">
      <c r="B11104" s="17" t="s">
        <v>477</v>
      </c>
      <c r="K11104" s="18" t="s">
        <v>477</v>
      </c>
      <c r="N11104" s="17" t="str">
        <f>IFERROR(__xludf.DUMMYFUNCTION("""COMPUTED_VALUE"""),"")</f>
        <v/>
      </c>
      <c r="O11104" s="17"/>
    </row>
    <row r="11105">
      <c r="B11105" s="17" t="s">
        <v>477</v>
      </c>
      <c r="K11105" s="18" t="s">
        <v>477</v>
      </c>
      <c r="N11105" s="17" t="str">
        <f>IFERROR(__xludf.DUMMYFUNCTION("""COMPUTED_VALUE"""),"")</f>
        <v/>
      </c>
      <c r="O11105" s="17"/>
    </row>
    <row r="11106">
      <c r="B11106" s="17" t="s">
        <v>477</v>
      </c>
      <c r="K11106" s="18" t="s">
        <v>477</v>
      </c>
      <c r="N11106" s="17" t="str">
        <f>IFERROR(__xludf.DUMMYFUNCTION("""COMPUTED_VALUE"""),"")</f>
        <v/>
      </c>
      <c r="O11106" s="17"/>
    </row>
    <row r="11107">
      <c r="B11107" s="17" t="s">
        <v>477</v>
      </c>
      <c r="K11107" s="18" t="s">
        <v>477</v>
      </c>
      <c r="N11107" s="17" t="str">
        <f>IFERROR(__xludf.DUMMYFUNCTION("""COMPUTED_VALUE"""),"")</f>
        <v/>
      </c>
      <c r="O11107" s="17"/>
    </row>
    <row r="11108">
      <c r="B11108" s="17" t="s">
        <v>477</v>
      </c>
      <c r="K11108" s="18" t="s">
        <v>477</v>
      </c>
      <c r="N11108" s="17" t="str">
        <f>IFERROR(__xludf.DUMMYFUNCTION("""COMPUTED_VALUE"""),"")</f>
        <v/>
      </c>
      <c r="O11108" s="17"/>
    </row>
    <row r="11109">
      <c r="B11109" s="17" t="s">
        <v>477</v>
      </c>
      <c r="K11109" s="18" t="s">
        <v>477</v>
      </c>
      <c r="N11109" s="17" t="str">
        <f>IFERROR(__xludf.DUMMYFUNCTION("""COMPUTED_VALUE"""),"")</f>
        <v/>
      </c>
      <c r="O11109" s="17"/>
    </row>
    <row r="11110">
      <c r="B11110" s="17" t="s">
        <v>477</v>
      </c>
      <c r="K11110" s="18" t="s">
        <v>477</v>
      </c>
      <c r="N11110" s="17" t="str">
        <f>IFERROR(__xludf.DUMMYFUNCTION("""COMPUTED_VALUE"""),"")</f>
        <v/>
      </c>
      <c r="O11110" s="17"/>
    </row>
    <row r="11111">
      <c r="B11111" s="17" t="s">
        <v>477</v>
      </c>
      <c r="K11111" s="18" t="s">
        <v>477</v>
      </c>
      <c r="N11111" s="17" t="str">
        <f>IFERROR(__xludf.DUMMYFUNCTION("""COMPUTED_VALUE"""),"")</f>
        <v/>
      </c>
      <c r="O11111" s="17"/>
    </row>
    <row r="11112">
      <c r="B11112" s="17" t="s">
        <v>477</v>
      </c>
      <c r="K11112" s="18" t="s">
        <v>477</v>
      </c>
      <c r="N11112" s="17" t="str">
        <f>IFERROR(__xludf.DUMMYFUNCTION("""COMPUTED_VALUE"""),"")</f>
        <v/>
      </c>
      <c r="O11112" s="17"/>
    </row>
    <row r="11113">
      <c r="B11113" s="17" t="s">
        <v>477</v>
      </c>
      <c r="K11113" s="18" t="s">
        <v>477</v>
      </c>
      <c r="N11113" s="17" t="str">
        <f>IFERROR(__xludf.DUMMYFUNCTION("""COMPUTED_VALUE"""),"")</f>
        <v/>
      </c>
      <c r="O11113" s="17"/>
    </row>
    <row r="11114">
      <c r="B11114" s="17" t="s">
        <v>477</v>
      </c>
      <c r="K11114" s="18" t="s">
        <v>477</v>
      </c>
      <c r="N11114" s="17" t="str">
        <f>IFERROR(__xludf.DUMMYFUNCTION("""COMPUTED_VALUE"""),"")</f>
        <v/>
      </c>
      <c r="O11114" s="17"/>
    </row>
    <row r="11115">
      <c r="B11115" s="17" t="s">
        <v>477</v>
      </c>
      <c r="K11115" s="18" t="s">
        <v>477</v>
      </c>
      <c r="N11115" s="17" t="str">
        <f>IFERROR(__xludf.DUMMYFUNCTION("""COMPUTED_VALUE"""),"")</f>
        <v/>
      </c>
      <c r="O11115" s="17"/>
    </row>
    <row r="11116">
      <c r="B11116" s="17" t="s">
        <v>477</v>
      </c>
      <c r="K11116" s="18" t="s">
        <v>477</v>
      </c>
      <c r="N11116" s="17" t="str">
        <f>IFERROR(__xludf.DUMMYFUNCTION("""COMPUTED_VALUE"""),"")</f>
        <v/>
      </c>
      <c r="O11116" s="17"/>
    </row>
    <row r="11117">
      <c r="B11117" s="17" t="s">
        <v>477</v>
      </c>
      <c r="K11117" s="18" t="s">
        <v>477</v>
      </c>
      <c r="N11117" s="17" t="str">
        <f>IFERROR(__xludf.DUMMYFUNCTION("""COMPUTED_VALUE"""),"")</f>
        <v/>
      </c>
      <c r="O11117" s="17"/>
    </row>
    <row r="11118">
      <c r="B11118" s="17" t="s">
        <v>477</v>
      </c>
      <c r="K11118" s="18" t="s">
        <v>477</v>
      </c>
      <c r="N11118" s="17" t="str">
        <f>IFERROR(__xludf.DUMMYFUNCTION("""COMPUTED_VALUE"""),"")</f>
        <v/>
      </c>
      <c r="O11118" s="17"/>
    </row>
    <row r="11119">
      <c r="B11119" s="17" t="s">
        <v>477</v>
      </c>
      <c r="K11119" s="18" t="s">
        <v>477</v>
      </c>
      <c r="N11119" s="17" t="str">
        <f>IFERROR(__xludf.DUMMYFUNCTION("""COMPUTED_VALUE"""),"")</f>
        <v/>
      </c>
      <c r="O11119" s="17"/>
    </row>
    <row r="11120">
      <c r="B11120" s="17" t="s">
        <v>477</v>
      </c>
      <c r="K11120" s="18" t="s">
        <v>477</v>
      </c>
      <c r="N11120" s="17" t="str">
        <f>IFERROR(__xludf.DUMMYFUNCTION("""COMPUTED_VALUE"""),"")</f>
        <v/>
      </c>
      <c r="O11120" s="17"/>
    </row>
    <row r="11121">
      <c r="B11121" s="17" t="s">
        <v>477</v>
      </c>
      <c r="K11121" s="18" t="s">
        <v>477</v>
      </c>
      <c r="N11121" s="17" t="str">
        <f>IFERROR(__xludf.DUMMYFUNCTION("""COMPUTED_VALUE"""),"")</f>
        <v/>
      </c>
      <c r="O11121" s="17"/>
    </row>
    <row r="11122">
      <c r="B11122" s="17" t="s">
        <v>477</v>
      </c>
      <c r="K11122" s="18" t="s">
        <v>477</v>
      </c>
      <c r="N11122" s="17" t="str">
        <f>IFERROR(__xludf.DUMMYFUNCTION("""COMPUTED_VALUE"""),"")</f>
        <v/>
      </c>
      <c r="O11122" s="17"/>
    </row>
    <row r="11123">
      <c r="B11123" s="17" t="s">
        <v>477</v>
      </c>
      <c r="K11123" s="18" t="s">
        <v>477</v>
      </c>
      <c r="N11123" s="17" t="str">
        <f>IFERROR(__xludf.DUMMYFUNCTION("""COMPUTED_VALUE"""),"")</f>
        <v/>
      </c>
      <c r="O11123" s="17"/>
    </row>
    <row r="11124">
      <c r="B11124" s="17" t="s">
        <v>477</v>
      </c>
      <c r="K11124" s="18" t="s">
        <v>477</v>
      </c>
      <c r="N11124" s="17" t="str">
        <f>IFERROR(__xludf.DUMMYFUNCTION("""COMPUTED_VALUE"""),"")</f>
        <v/>
      </c>
      <c r="O11124" s="17"/>
    </row>
    <row r="11125">
      <c r="B11125" s="17" t="s">
        <v>477</v>
      </c>
      <c r="K11125" s="18" t="s">
        <v>477</v>
      </c>
      <c r="N11125" s="17" t="str">
        <f>IFERROR(__xludf.DUMMYFUNCTION("""COMPUTED_VALUE"""),"")</f>
        <v/>
      </c>
      <c r="O11125" s="17"/>
    </row>
    <row r="11126">
      <c r="B11126" s="17" t="s">
        <v>477</v>
      </c>
      <c r="K11126" s="18" t="s">
        <v>477</v>
      </c>
      <c r="N11126" s="17" t="str">
        <f>IFERROR(__xludf.DUMMYFUNCTION("""COMPUTED_VALUE"""),"")</f>
        <v/>
      </c>
      <c r="O11126" s="17"/>
    </row>
    <row r="11127">
      <c r="B11127" s="17" t="s">
        <v>477</v>
      </c>
      <c r="K11127" s="18" t="s">
        <v>477</v>
      </c>
      <c r="N11127" s="17" t="str">
        <f>IFERROR(__xludf.DUMMYFUNCTION("""COMPUTED_VALUE"""),"")</f>
        <v/>
      </c>
      <c r="O11127" s="17"/>
    </row>
    <row r="11128">
      <c r="B11128" s="17" t="s">
        <v>477</v>
      </c>
      <c r="K11128" s="18" t="s">
        <v>477</v>
      </c>
      <c r="N11128" s="17" t="str">
        <f>IFERROR(__xludf.DUMMYFUNCTION("""COMPUTED_VALUE"""),"")</f>
        <v/>
      </c>
      <c r="O11128" s="17"/>
    </row>
    <row r="11129">
      <c r="B11129" s="17" t="s">
        <v>477</v>
      </c>
      <c r="K11129" s="18" t="s">
        <v>477</v>
      </c>
      <c r="N11129" s="17" t="str">
        <f>IFERROR(__xludf.DUMMYFUNCTION("""COMPUTED_VALUE"""),"")</f>
        <v/>
      </c>
      <c r="O11129" s="17"/>
    </row>
    <row r="11130">
      <c r="B11130" s="17" t="s">
        <v>477</v>
      </c>
      <c r="K11130" s="18" t="s">
        <v>477</v>
      </c>
      <c r="N11130" s="17" t="str">
        <f>IFERROR(__xludf.DUMMYFUNCTION("""COMPUTED_VALUE"""),"")</f>
        <v/>
      </c>
      <c r="O11130" s="17"/>
    </row>
    <row r="11131">
      <c r="B11131" s="17" t="s">
        <v>477</v>
      </c>
      <c r="K11131" s="18" t="s">
        <v>477</v>
      </c>
      <c r="N11131" s="17" t="str">
        <f>IFERROR(__xludf.DUMMYFUNCTION("""COMPUTED_VALUE"""),"")</f>
        <v/>
      </c>
      <c r="O11131" s="17"/>
    </row>
    <row r="11132">
      <c r="B11132" s="17" t="s">
        <v>477</v>
      </c>
      <c r="K11132" s="18" t="s">
        <v>477</v>
      </c>
      <c r="N11132" s="17" t="str">
        <f>IFERROR(__xludf.DUMMYFUNCTION("""COMPUTED_VALUE"""),"")</f>
        <v/>
      </c>
      <c r="O11132" s="17"/>
    </row>
    <row r="11133">
      <c r="B11133" s="17" t="s">
        <v>477</v>
      </c>
      <c r="K11133" s="18" t="s">
        <v>477</v>
      </c>
      <c r="N11133" s="17" t="str">
        <f>IFERROR(__xludf.DUMMYFUNCTION("""COMPUTED_VALUE"""),"")</f>
        <v/>
      </c>
      <c r="O11133" s="17"/>
    </row>
    <row r="11134">
      <c r="B11134" s="17" t="s">
        <v>477</v>
      </c>
      <c r="K11134" s="18" t="s">
        <v>477</v>
      </c>
      <c r="N11134" s="17" t="str">
        <f>IFERROR(__xludf.DUMMYFUNCTION("""COMPUTED_VALUE"""),"")</f>
        <v/>
      </c>
      <c r="O11134" s="17"/>
    </row>
    <row r="11135">
      <c r="B11135" s="17" t="s">
        <v>477</v>
      </c>
      <c r="K11135" s="18" t="s">
        <v>477</v>
      </c>
      <c r="N11135" s="17" t="str">
        <f>IFERROR(__xludf.DUMMYFUNCTION("""COMPUTED_VALUE"""),"")</f>
        <v/>
      </c>
      <c r="O11135" s="17"/>
    </row>
    <row r="11136">
      <c r="B11136" s="17" t="s">
        <v>477</v>
      </c>
      <c r="K11136" s="18" t="s">
        <v>477</v>
      </c>
      <c r="N11136" s="17" t="str">
        <f>IFERROR(__xludf.DUMMYFUNCTION("""COMPUTED_VALUE"""),"")</f>
        <v/>
      </c>
      <c r="O11136" s="17"/>
    </row>
    <row r="11137">
      <c r="B11137" s="17" t="s">
        <v>477</v>
      </c>
      <c r="K11137" s="18" t="s">
        <v>477</v>
      </c>
      <c r="N11137" s="17" t="str">
        <f>IFERROR(__xludf.DUMMYFUNCTION("""COMPUTED_VALUE"""),"")</f>
        <v/>
      </c>
      <c r="O11137" s="17"/>
    </row>
    <row r="11138">
      <c r="B11138" s="17" t="s">
        <v>477</v>
      </c>
      <c r="K11138" s="18" t="s">
        <v>477</v>
      </c>
      <c r="N11138" s="17" t="str">
        <f>IFERROR(__xludf.DUMMYFUNCTION("""COMPUTED_VALUE"""),"")</f>
        <v/>
      </c>
      <c r="O11138" s="17"/>
    </row>
    <row r="11139">
      <c r="B11139" s="17" t="s">
        <v>477</v>
      </c>
      <c r="K11139" s="18" t="s">
        <v>477</v>
      </c>
      <c r="N11139" s="17" t="str">
        <f>IFERROR(__xludf.DUMMYFUNCTION("""COMPUTED_VALUE"""),"")</f>
        <v/>
      </c>
      <c r="O11139" s="17"/>
    </row>
    <row r="11140">
      <c r="B11140" s="17" t="s">
        <v>477</v>
      </c>
      <c r="K11140" s="18" t="s">
        <v>477</v>
      </c>
      <c r="N11140" s="17" t="str">
        <f>IFERROR(__xludf.DUMMYFUNCTION("""COMPUTED_VALUE"""),"")</f>
        <v/>
      </c>
      <c r="O11140" s="17"/>
    </row>
    <row r="11141">
      <c r="B11141" s="17" t="s">
        <v>477</v>
      </c>
      <c r="K11141" s="18" t="s">
        <v>477</v>
      </c>
      <c r="N11141" s="17" t="str">
        <f>IFERROR(__xludf.DUMMYFUNCTION("""COMPUTED_VALUE"""),"")</f>
        <v/>
      </c>
      <c r="O11141" s="17"/>
    </row>
    <row r="11142">
      <c r="B11142" s="17" t="s">
        <v>477</v>
      </c>
      <c r="K11142" s="18" t="s">
        <v>477</v>
      </c>
      <c r="N11142" s="17" t="str">
        <f>IFERROR(__xludf.DUMMYFUNCTION("""COMPUTED_VALUE"""),"")</f>
        <v/>
      </c>
      <c r="O11142" s="17"/>
    </row>
    <row r="11143">
      <c r="B11143" s="17" t="s">
        <v>477</v>
      </c>
      <c r="K11143" s="18" t="s">
        <v>477</v>
      </c>
      <c r="N11143" s="17" t="str">
        <f>IFERROR(__xludf.DUMMYFUNCTION("""COMPUTED_VALUE"""),"")</f>
        <v/>
      </c>
      <c r="O11143" s="17"/>
    </row>
    <row r="11144">
      <c r="B11144" s="17" t="s">
        <v>477</v>
      </c>
      <c r="K11144" s="18" t="s">
        <v>477</v>
      </c>
      <c r="N11144" s="17" t="str">
        <f>IFERROR(__xludf.DUMMYFUNCTION("""COMPUTED_VALUE"""),"")</f>
        <v/>
      </c>
      <c r="O11144" s="17"/>
    </row>
    <row r="11145">
      <c r="B11145" s="17" t="s">
        <v>477</v>
      </c>
      <c r="K11145" s="18" t="s">
        <v>477</v>
      </c>
      <c r="N11145" s="17" t="str">
        <f>IFERROR(__xludf.DUMMYFUNCTION("""COMPUTED_VALUE"""),"")</f>
        <v/>
      </c>
      <c r="O11145" s="17"/>
    </row>
    <row r="11146">
      <c r="B11146" s="17" t="s">
        <v>477</v>
      </c>
      <c r="K11146" s="18" t="s">
        <v>477</v>
      </c>
      <c r="N11146" s="17" t="str">
        <f>IFERROR(__xludf.DUMMYFUNCTION("""COMPUTED_VALUE"""),"")</f>
        <v/>
      </c>
      <c r="O11146" s="17"/>
    </row>
    <row r="11147">
      <c r="B11147" s="17" t="s">
        <v>477</v>
      </c>
      <c r="K11147" s="18" t="s">
        <v>477</v>
      </c>
      <c r="N11147" s="17" t="str">
        <f>IFERROR(__xludf.DUMMYFUNCTION("""COMPUTED_VALUE"""),"")</f>
        <v/>
      </c>
      <c r="O11147" s="17"/>
    </row>
    <row r="11148">
      <c r="B11148" s="17" t="s">
        <v>477</v>
      </c>
      <c r="K11148" s="18" t="s">
        <v>477</v>
      </c>
      <c r="N11148" s="17" t="str">
        <f>IFERROR(__xludf.DUMMYFUNCTION("""COMPUTED_VALUE"""),"")</f>
        <v/>
      </c>
      <c r="O11148" s="17"/>
    </row>
    <row r="11149">
      <c r="B11149" s="17" t="s">
        <v>477</v>
      </c>
      <c r="K11149" s="18" t="s">
        <v>477</v>
      </c>
      <c r="N11149" s="17" t="str">
        <f>IFERROR(__xludf.DUMMYFUNCTION("""COMPUTED_VALUE"""),"")</f>
        <v/>
      </c>
      <c r="O11149" s="17"/>
    </row>
    <row r="11150">
      <c r="B11150" s="17" t="s">
        <v>477</v>
      </c>
      <c r="K11150" s="18" t="s">
        <v>477</v>
      </c>
      <c r="N11150" s="17" t="str">
        <f>IFERROR(__xludf.DUMMYFUNCTION("""COMPUTED_VALUE"""),"")</f>
        <v/>
      </c>
      <c r="O11150" s="17"/>
    </row>
    <row r="11151">
      <c r="B11151" s="17" t="s">
        <v>477</v>
      </c>
      <c r="K11151" s="18" t="s">
        <v>477</v>
      </c>
      <c r="N11151" s="17" t="str">
        <f>IFERROR(__xludf.DUMMYFUNCTION("""COMPUTED_VALUE"""),"")</f>
        <v/>
      </c>
      <c r="O11151" s="17"/>
    </row>
    <row r="11152">
      <c r="B11152" s="17" t="s">
        <v>477</v>
      </c>
      <c r="K11152" s="18" t="s">
        <v>477</v>
      </c>
      <c r="N11152" s="17" t="str">
        <f>IFERROR(__xludf.DUMMYFUNCTION("""COMPUTED_VALUE"""),"")</f>
        <v/>
      </c>
      <c r="O11152" s="17"/>
    </row>
    <row r="11153">
      <c r="B11153" s="17" t="s">
        <v>477</v>
      </c>
      <c r="K11153" s="18" t="s">
        <v>477</v>
      </c>
      <c r="N11153" s="17" t="str">
        <f>IFERROR(__xludf.DUMMYFUNCTION("""COMPUTED_VALUE"""),"")</f>
        <v/>
      </c>
      <c r="O11153" s="17"/>
    </row>
    <row r="11154">
      <c r="B11154" s="17" t="s">
        <v>477</v>
      </c>
      <c r="K11154" s="18" t="s">
        <v>477</v>
      </c>
      <c r="N11154" s="17" t="str">
        <f>IFERROR(__xludf.DUMMYFUNCTION("""COMPUTED_VALUE"""),"")</f>
        <v/>
      </c>
      <c r="O11154" s="17"/>
    </row>
    <row r="11155">
      <c r="B11155" s="17" t="s">
        <v>477</v>
      </c>
      <c r="K11155" s="18" t="s">
        <v>477</v>
      </c>
      <c r="N11155" s="17" t="str">
        <f>IFERROR(__xludf.DUMMYFUNCTION("""COMPUTED_VALUE"""),"")</f>
        <v/>
      </c>
      <c r="O11155" s="17"/>
    </row>
    <row r="11156">
      <c r="B11156" s="17" t="s">
        <v>477</v>
      </c>
      <c r="K11156" s="18" t="s">
        <v>477</v>
      </c>
      <c r="N11156" s="17" t="str">
        <f>IFERROR(__xludf.DUMMYFUNCTION("""COMPUTED_VALUE"""),"")</f>
        <v/>
      </c>
      <c r="O11156" s="17"/>
    </row>
    <row r="11157">
      <c r="B11157" s="17" t="s">
        <v>477</v>
      </c>
      <c r="K11157" s="18" t="s">
        <v>477</v>
      </c>
      <c r="N11157" s="17" t="str">
        <f>IFERROR(__xludf.DUMMYFUNCTION("""COMPUTED_VALUE"""),"")</f>
        <v/>
      </c>
      <c r="O11157" s="17"/>
    </row>
    <row r="11158">
      <c r="B11158" s="17" t="s">
        <v>477</v>
      </c>
      <c r="K11158" s="18" t="s">
        <v>477</v>
      </c>
      <c r="N11158" s="17" t="str">
        <f>IFERROR(__xludf.DUMMYFUNCTION("""COMPUTED_VALUE"""),"")</f>
        <v/>
      </c>
      <c r="O11158" s="17"/>
    </row>
    <row r="11159">
      <c r="B11159" s="17" t="s">
        <v>477</v>
      </c>
      <c r="K11159" s="18" t="s">
        <v>477</v>
      </c>
      <c r="N11159" s="17" t="str">
        <f>IFERROR(__xludf.DUMMYFUNCTION("""COMPUTED_VALUE"""),"")</f>
        <v/>
      </c>
      <c r="O11159" s="17"/>
    </row>
    <row r="11160">
      <c r="B11160" s="17" t="s">
        <v>477</v>
      </c>
      <c r="K11160" s="18" t="s">
        <v>477</v>
      </c>
      <c r="N11160" s="17" t="str">
        <f>IFERROR(__xludf.DUMMYFUNCTION("""COMPUTED_VALUE"""),"")</f>
        <v/>
      </c>
      <c r="O11160" s="17"/>
    </row>
    <row r="11161">
      <c r="B11161" s="17" t="s">
        <v>477</v>
      </c>
      <c r="K11161" s="18" t="s">
        <v>477</v>
      </c>
      <c r="N11161" s="17" t="str">
        <f>IFERROR(__xludf.DUMMYFUNCTION("""COMPUTED_VALUE"""),"")</f>
        <v/>
      </c>
      <c r="O11161" s="17"/>
    </row>
    <row r="11162">
      <c r="B11162" s="17" t="s">
        <v>477</v>
      </c>
      <c r="K11162" s="18" t="s">
        <v>477</v>
      </c>
      <c r="N11162" s="17" t="str">
        <f>IFERROR(__xludf.DUMMYFUNCTION("""COMPUTED_VALUE"""),"")</f>
        <v/>
      </c>
      <c r="O11162" s="17"/>
    </row>
    <row r="11163">
      <c r="B11163" s="17" t="s">
        <v>477</v>
      </c>
      <c r="K11163" s="18" t="s">
        <v>477</v>
      </c>
      <c r="N11163" s="17" t="str">
        <f>IFERROR(__xludf.DUMMYFUNCTION("""COMPUTED_VALUE"""),"")</f>
        <v/>
      </c>
      <c r="O11163" s="17"/>
    </row>
    <row r="11164">
      <c r="B11164" s="17" t="s">
        <v>477</v>
      </c>
      <c r="K11164" s="18" t="s">
        <v>477</v>
      </c>
      <c r="N11164" s="17" t="str">
        <f>IFERROR(__xludf.DUMMYFUNCTION("""COMPUTED_VALUE"""),"")</f>
        <v/>
      </c>
      <c r="O11164" s="17"/>
    </row>
    <row r="11165">
      <c r="B11165" s="17" t="s">
        <v>477</v>
      </c>
      <c r="K11165" s="18" t="s">
        <v>477</v>
      </c>
      <c r="N11165" s="17" t="str">
        <f>IFERROR(__xludf.DUMMYFUNCTION("""COMPUTED_VALUE"""),"")</f>
        <v/>
      </c>
      <c r="O11165" s="17"/>
    </row>
    <row r="11166">
      <c r="B11166" s="17" t="s">
        <v>477</v>
      </c>
      <c r="K11166" s="18" t="s">
        <v>477</v>
      </c>
      <c r="N11166" s="17" t="str">
        <f>IFERROR(__xludf.DUMMYFUNCTION("""COMPUTED_VALUE"""),"")</f>
        <v/>
      </c>
      <c r="O11166" s="17"/>
    </row>
    <row r="11167">
      <c r="B11167" s="17" t="s">
        <v>477</v>
      </c>
      <c r="K11167" s="18" t="s">
        <v>477</v>
      </c>
      <c r="N11167" s="17" t="str">
        <f>IFERROR(__xludf.DUMMYFUNCTION("""COMPUTED_VALUE"""),"")</f>
        <v/>
      </c>
      <c r="O11167" s="17"/>
    </row>
    <row r="11168">
      <c r="B11168" s="17" t="s">
        <v>477</v>
      </c>
      <c r="K11168" s="18" t="s">
        <v>477</v>
      </c>
      <c r="N11168" s="17" t="str">
        <f>IFERROR(__xludf.DUMMYFUNCTION("""COMPUTED_VALUE"""),"")</f>
        <v/>
      </c>
      <c r="O11168" s="17"/>
    </row>
    <row r="11169">
      <c r="B11169" s="17" t="s">
        <v>477</v>
      </c>
      <c r="K11169" s="18" t="s">
        <v>477</v>
      </c>
      <c r="N11169" s="17" t="str">
        <f>IFERROR(__xludf.DUMMYFUNCTION("""COMPUTED_VALUE"""),"")</f>
        <v/>
      </c>
      <c r="O11169" s="17"/>
    </row>
    <row r="11170">
      <c r="B11170" s="17" t="s">
        <v>477</v>
      </c>
      <c r="K11170" s="18" t="s">
        <v>477</v>
      </c>
      <c r="N11170" s="17" t="str">
        <f>IFERROR(__xludf.DUMMYFUNCTION("""COMPUTED_VALUE"""),"")</f>
        <v/>
      </c>
      <c r="O11170" s="17"/>
    </row>
    <row r="11171">
      <c r="B11171" s="17" t="s">
        <v>477</v>
      </c>
      <c r="K11171" s="18" t="s">
        <v>477</v>
      </c>
      <c r="N11171" s="17" t="str">
        <f>IFERROR(__xludf.DUMMYFUNCTION("""COMPUTED_VALUE"""),"")</f>
        <v/>
      </c>
      <c r="O11171" s="17"/>
    </row>
    <row r="11172">
      <c r="B11172" s="17" t="s">
        <v>477</v>
      </c>
      <c r="K11172" s="18" t="s">
        <v>477</v>
      </c>
      <c r="N11172" s="17" t="str">
        <f>IFERROR(__xludf.DUMMYFUNCTION("""COMPUTED_VALUE"""),"")</f>
        <v/>
      </c>
      <c r="O11172" s="17"/>
    </row>
    <row r="11173">
      <c r="B11173" s="17" t="s">
        <v>477</v>
      </c>
      <c r="K11173" s="18" t="s">
        <v>477</v>
      </c>
      <c r="N11173" s="17" t="str">
        <f>IFERROR(__xludf.DUMMYFUNCTION("""COMPUTED_VALUE"""),"")</f>
        <v/>
      </c>
      <c r="O11173" s="17"/>
    </row>
    <row r="11174">
      <c r="B11174" s="17" t="s">
        <v>477</v>
      </c>
      <c r="K11174" s="18" t="s">
        <v>477</v>
      </c>
      <c r="N11174" s="17" t="str">
        <f>IFERROR(__xludf.DUMMYFUNCTION("""COMPUTED_VALUE"""),"")</f>
        <v/>
      </c>
      <c r="O11174" s="17"/>
    </row>
    <row r="11175">
      <c r="B11175" s="17" t="s">
        <v>477</v>
      </c>
      <c r="K11175" s="18" t="s">
        <v>477</v>
      </c>
      <c r="N11175" s="17" t="str">
        <f>IFERROR(__xludf.DUMMYFUNCTION("""COMPUTED_VALUE"""),"")</f>
        <v/>
      </c>
      <c r="O11175" s="17"/>
    </row>
    <row r="11176">
      <c r="B11176" s="17" t="s">
        <v>477</v>
      </c>
      <c r="K11176" s="18" t="s">
        <v>477</v>
      </c>
      <c r="N11176" s="17" t="str">
        <f>IFERROR(__xludf.DUMMYFUNCTION("""COMPUTED_VALUE"""),"")</f>
        <v/>
      </c>
      <c r="O11176" s="17"/>
    </row>
    <row r="11177">
      <c r="B11177" s="17" t="s">
        <v>477</v>
      </c>
      <c r="K11177" s="18" t="s">
        <v>477</v>
      </c>
      <c r="N11177" s="17" t="str">
        <f>IFERROR(__xludf.DUMMYFUNCTION("""COMPUTED_VALUE"""),"")</f>
        <v/>
      </c>
      <c r="O11177" s="17"/>
    </row>
    <row r="11178">
      <c r="B11178" s="17" t="s">
        <v>477</v>
      </c>
      <c r="K11178" s="18" t="s">
        <v>477</v>
      </c>
      <c r="N11178" s="17" t="str">
        <f>IFERROR(__xludf.DUMMYFUNCTION("""COMPUTED_VALUE"""),"")</f>
        <v/>
      </c>
      <c r="O11178" s="17"/>
    </row>
    <row r="11179">
      <c r="B11179" s="17" t="s">
        <v>477</v>
      </c>
      <c r="K11179" s="18" t="s">
        <v>477</v>
      </c>
      <c r="N11179" s="17" t="str">
        <f>IFERROR(__xludf.DUMMYFUNCTION("""COMPUTED_VALUE"""),"")</f>
        <v/>
      </c>
      <c r="O11179" s="17"/>
    </row>
    <row r="11180">
      <c r="B11180" s="17" t="s">
        <v>477</v>
      </c>
      <c r="K11180" s="18" t="s">
        <v>477</v>
      </c>
      <c r="N11180" s="17" t="str">
        <f>IFERROR(__xludf.DUMMYFUNCTION("""COMPUTED_VALUE"""),"")</f>
        <v/>
      </c>
      <c r="O11180" s="17"/>
    </row>
    <row r="11181">
      <c r="B11181" s="17" t="s">
        <v>477</v>
      </c>
      <c r="K11181" s="18" t="s">
        <v>477</v>
      </c>
      <c r="N11181" s="17" t="str">
        <f>IFERROR(__xludf.DUMMYFUNCTION("""COMPUTED_VALUE"""),"")</f>
        <v/>
      </c>
      <c r="O11181" s="17"/>
    </row>
    <row r="11182">
      <c r="B11182" s="17" t="s">
        <v>477</v>
      </c>
      <c r="K11182" s="18" t="s">
        <v>477</v>
      </c>
      <c r="N11182" s="17" t="str">
        <f>IFERROR(__xludf.DUMMYFUNCTION("""COMPUTED_VALUE"""),"")</f>
        <v/>
      </c>
      <c r="O11182" s="17"/>
    </row>
    <row r="11183">
      <c r="B11183" s="17" t="s">
        <v>477</v>
      </c>
      <c r="K11183" s="18" t="s">
        <v>477</v>
      </c>
      <c r="N11183" s="17" t="str">
        <f>IFERROR(__xludf.DUMMYFUNCTION("""COMPUTED_VALUE"""),"")</f>
        <v/>
      </c>
      <c r="O11183" s="17"/>
    </row>
    <row r="11184">
      <c r="B11184" s="17" t="s">
        <v>477</v>
      </c>
      <c r="K11184" s="18" t="s">
        <v>477</v>
      </c>
      <c r="N11184" s="17" t="str">
        <f>IFERROR(__xludf.DUMMYFUNCTION("""COMPUTED_VALUE"""),"")</f>
        <v/>
      </c>
      <c r="O11184" s="17"/>
    </row>
    <row r="11185">
      <c r="B11185" s="17" t="s">
        <v>477</v>
      </c>
      <c r="K11185" s="18" t="s">
        <v>477</v>
      </c>
      <c r="N11185" s="17" t="str">
        <f>IFERROR(__xludf.DUMMYFUNCTION("""COMPUTED_VALUE"""),"")</f>
        <v/>
      </c>
      <c r="O11185" s="17"/>
    </row>
    <row r="11186">
      <c r="B11186" s="17" t="s">
        <v>477</v>
      </c>
      <c r="K11186" s="18" t="s">
        <v>477</v>
      </c>
      <c r="N11186" s="17" t="str">
        <f>IFERROR(__xludf.DUMMYFUNCTION("""COMPUTED_VALUE"""),"")</f>
        <v/>
      </c>
      <c r="O11186" s="17"/>
    </row>
    <row r="11187">
      <c r="B11187" s="17" t="s">
        <v>477</v>
      </c>
      <c r="K11187" s="18" t="s">
        <v>477</v>
      </c>
      <c r="N11187" s="17" t="str">
        <f>IFERROR(__xludf.DUMMYFUNCTION("""COMPUTED_VALUE"""),"")</f>
        <v/>
      </c>
      <c r="O11187" s="17"/>
    </row>
    <row r="11188">
      <c r="B11188" s="17" t="s">
        <v>477</v>
      </c>
      <c r="K11188" s="18" t="s">
        <v>477</v>
      </c>
      <c r="N11188" s="17" t="str">
        <f>IFERROR(__xludf.DUMMYFUNCTION("""COMPUTED_VALUE"""),"")</f>
        <v/>
      </c>
      <c r="O11188" s="17"/>
    </row>
    <row r="11189">
      <c r="B11189" s="17" t="s">
        <v>477</v>
      </c>
      <c r="K11189" s="18" t="s">
        <v>477</v>
      </c>
      <c r="N11189" s="17" t="str">
        <f>IFERROR(__xludf.DUMMYFUNCTION("""COMPUTED_VALUE"""),"")</f>
        <v/>
      </c>
      <c r="O11189" s="17"/>
    </row>
    <row r="11190">
      <c r="B11190" s="17" t="s">
        <v>477</v>
      </c>
      <c r="K11190" s="18" t="s">
        <v>477</v>
      </c>
      <c r="N11190" s="17" t="str">
        <f>IFERROR(__xludf.DUMMYFUNCTION("""COMPUTED_VALUE"""),"")</f>
        <v/>
      </c>
      <c r="O11190" s="17"/>
    </row>
    <row r="11191">
      <c r="B11191" s="17" t="s">
        <v>477</v>
      </c>
      <c r="K11191" s="18" t="s">
        <v>477</v>
      </c>
      <c r="N11191" s="17" t="str">
        <f>IFERROR(__xludf.DUMMYFUNCTION("""COMPUTED_VALUE"""),"")</f>
        <v/>
      </c>
      <c r="O11191" s="17"/>
    </row>
    <row r="11192">
      <c r="B11192" s="17" t="s">
        <v>477</v>
      </c>
      <c r="K11192" s="18" t="s">
        <v>477</v>
      </c>
      <c r="N11192" s="17" t="str">
        <f>IFERROR(__xludf.DUMMYFUNCTION("""COMPUTED_VALUE"""),"")</f>
        <v/>
      </c>
      <c r="O11192" s="17"/>
    </row>
    <row r="11193">
      <c r="B11193" s="17" t="s">
        <v>477</v>
      </c>
      <c r="K11193" s="18" t="s">
        <v>477</v>
      </c>
      <c r="N11193" s="17" t="str">
        <f>IFERROR(__xludf.DUMMYFUNCTION("""COMPUTED_VALUE"""),"")</f>
        <v/>
      </c>
      <c r="O11193" s="17"/>
    </row>
    <row r="11194">
      <c r="B11194" s="17" t="s">
        <v>477</v>
      </c>
      <c r="K11194" s="18" t="s">
        <v>477</v>
      </c>
      <c r="N11194" s="17" t="str">
        <f>IFERROR(__xludf.DUMMYFUNCTION("""COMPUTED_VALUE"""),"")</f>
        <v/>
      </c>
      <c r="O11194" s="17"/>
    </row>
    <row r="11195">
      <c r="B11195" s="17" t="s">
        <v>477</v>
      </c>
      <c r="K11195" s="18" t="s">
        <v>477</v>
      </c>
      <c r="N11195" s="17" t="str">
        <f>IFERROR(__xludf.DUMMYFUNCTION("""COMPUTED_VALUE"""),"")</f>
        <v/>
      </c>
      <c r="O11195" s="17"/>
    </row>
    <row r="11196">
      <c r="B11196" s="17" t="s">
        <v>477</v>
      </c>
      <c r="K11196" s="18" t="s">
        <v>477</v>
      </c>
      <c r="N11196" s="17" t="str">
        <f>IFERROR(__xludf.DUMMYFUNCTION("""COMPUTED_VALUE"""),"")</f>
        <v/>
      </c>
      <c r="O11196" s="17"/>
    </row>
    <row r="11197">
      <c r="B11197" s="17" t="s">
        <v>477</v>
      </c>
      <c r="K11197" s="18" t="s">
        <v>477</v>
      </c>
      <c r="N11197" s="17" t="str">
        <f>IFERROR(__xludf.DUMMYFUNCTION("""COMPUTED_VALUE"""),"")</f>
        <v/>
      </c>
      <c r="O11197" s="17"/>
    </row>
    <row r="11198">
      <c r="B11198" s="17" t="s">
        <v>477</v>
      </c>
      <c r="K11198" s="18" t="s">
        <v>477</v>
      </c>
      <c r="N11198" s="17" t="str">
        <f>IFERROR(__xludf.DUMMYFUNCTION("""COMPUTED_VALUE"""),"")</f>
        <v/>
      </c>
      <c r="O11198" s="17"/>
    </row>
    <row r="11199">
      <c r="B11199" s="17" t="s">
        <v>477</v>
      </c>
      <c r="K11199" s="18" t="s">
        <v>477</v>
      </c>
      <c r="N11199" s="17" t="str">
        <f>IFERROR(__xludf.DUMMYFUNCTION("""COMPUTED_VALUE"""),"")</f>
        <v/>
      </c>
      <c r="O11199" s="17"/>
    </row>
    <row r="11200">
      <c r="B11200" s="17" t="s">
        <v>477</v>
      </c>
      <c r="K11200" s="18" t="s">
        <v>477</v>
      </c>
      <c r="N11200" s="17" t="str">
        <f>IFERROR(__xludf.DUMMYFUNCTION("""COMPUTED_VALUE"""),"")</f>
        <v/>
      </c>
      <c r="O11200" s="17"/>
    </row>
    <row r="11201">
      <c r="B11201" s="17" t="s">
        <v>477</v>
      </c>
      <c r="K11201" s="18" t="s">
        <v>477</v>
      </c>
      <c r="N11201" s="17" t="str">
        <f>IFERROR(__xludf.DUMMYFUNCTION("""COMPUTED_VALUE"""),"")</f>
        <v/>
      </c>
      <c r="O11201" s="17"/>
    </row>
    <row r="11202">
      <c r="B11202" s="17" t="s">
        <v>477</v>
      </c>
      <c r="K11202" s="18" t="s">
        <v>477</v>
      </c>
      <c r="N11202" s="17" t="str">
        <f>IFERROR(__xludf.DUMMYFUNCTION("""COMPUTED_VALUE"""),"")</f>
        <v/>
      </c>
      <c r="O11202" s="17"/>
    </row>
    <row r="11203">
      <c r="B11203" s="17" t="s">
        <v>477</v>
      </c>
      <c r="K11203" s="18" t="s">
        <v>477</v>
      </c>
      <c r="N11203" s="17" t="str">
        <f>IFERROR(__xludf.DUMMYFUNCTION("""COMPUTED_VALUE"""),"")</f>
        <v/>
      </c>
      <c r="O11203" s="17"/>
    </row>
    <row r="11204">
      <c r="B11204" s="17" t="s">
        <v>477</v>
      </c>
      <c r="K11204" s="18" t="s">
        <v>477</v>
      </c>
      <c r="N11204" s="17" t="str">
        <f>IFERROR(__xludf.DUMMYFUNCTION("""COMPUTED_VALUE"""),"")</f>
        <v/>
      </c>
      <c r="O11204" s="17"/>
    </row>
    <row r="11205">
      <c r="B11205" s="17" t="s">
        <v>477</v>
      </c>
      <c r="K11205" s="18" t="s">
        <v>477</v>
      </c>
      <c r="N11205" s="17" t="str">
        <f>IFERROR(__xludf.DUMMYFUNCTION("""COMPUTED_VALUE"""),"")</f>
        <v/>
      </c>
      <c r="O11205" s="17"/>
    </row>
    <row r="11206">
      <c r="B11206" s="17" t="s">
        <v>477</v>
      </c>
      <c r="K11206" s="18" t="s">
        <v>477</v>
      </c>
      <c r="N11206" s="17" t="str">
        <f>IFERROR(__xludf.DUMMYFUNCTION("""COMPUTED_VALUE"""),"")</f>
        <v/>
      </c>
      <c r="O11206" s="17"/>
    </row>
    <row r="11207">
      <c r="B11207" s="17" t="s">
        <v>477</v>
      </c>
      <c r="K11207" s="18" t="s">
        <v>477</v>
      </c>
      <c r="N11207" s="17" t="str">
        <f>IFERROR(__xludf.DUMMYFUNCTION("""COMPUTED_VALUE"""),"")</f>
        <v/>
      </c>
      <c r="O11207" s="17"/>
    </row>
    <row r="11208">
      <c r="B11208" s="17" t="s">
        <v>477</v>
      </c>
      <c r="K11208" s="18" t="s">
        <v>477</v>
      </c>
      <c r="N11208" s="17" t="str">
        <f>IFERROR(__xludf.DUMMYFUNCTION("""COMPUTED_VALUE"""),"")</f>
        <v/>
      </c>
      <c r="O11208" s="17"/>
    </row>
    <row r="11209">
      <c r="B11209" s="17" t="s">
        <v>477</v>
      </c>
      <c r="K11209" s="18" t="s">
        <v>477</v>
      </c>
      <c r="N11209" s="17" t="str">
        <f>IFERROR(__xludf.DUMMYFUNCTION("""COMPUTED_VALUE"""),"")</f>
        <v/>
      </c>
      <c r="O11209" s="17"/>
    </row>
    <row r="11210">
      <c r="B11210" s="17" t="s">
        <v>477</v>
      </c>
      <c r="K11210" s="18" t="s">
        <v>477</v>
      </c>
      <c r="N11210" s="17" t="str">
        <f>IFERROR(__xludf.DUMMYFUNCTION("""COMPUTED_VALUE"""),"")</f>
        <v/>
      </c>
      <c r="O11210" s="17"/>
    </row>
    <row r="11211">
      <c r="B11211" s="17" t="s">
        <v>477</v>
      </c>
      <c r="K11211" s="18" t="s">
        <v>477</v>
      </c>
      <c r="N11211" s="17" t="str">
        <f>IFERROR(__xludf.DUMMYFUNCTION("""COMPUTED_VALUE"""),"")</f>
        <v/>
      </c>
      <c r="O11211" s="17"/>
    </row>
    <row r="11212">
      <c r="B11212" s="17" t="s">
        <v>477</v>
      </c>
      <c r="K11212" s="18" t="s">
        <v>477</v>
      </c>
      <c r="N11212" s="17" t="str">
        <f>IFERROR(__xludf.DUMMYFUNCTION("""COMPUTED_VALUE"""),"")</f>
        <v/>
      </c>
      <c r="O11212" s="17"/>
    </row>
    <row r="11213">
      <c r="B11213" s="17" t="s">
        <v>477</v>
      </c>
      <c r="K11213" s="18" t="s">
        <v>477</v>
      </c>
      <c r="N11213" s="17" t="str">
        <f>IFERROR(__xludf.DUMMYFUNCTION("""COMPUTED_VALUE"""),"")</f>
        <v/>
      </c>
      <c r="O11213" s="17"/>
    </row>
    <row r="11214">
      <c r="B11214" s="17" t="s">
        <v>477</v>
      </c>
      <c r="K11214" s="18" t="s">
        <v>477</v>
      </c>
      <c r="N11214" s="17" t="str">
        <f>IFERROR(__xludf.DUMMYFUNCTION("""COMPUTED_VALUE"""),"")</f>
        <v/>
      </c>
      <c r="O11214" s="17"/>
    </row>
    <row r="11215">
      <c r="B11215" s="17" t="s">
        <v>477</v>
      </c>
      <c r="K11215" s="18" t="s">
        <v>477</v>
      </c>
      <c r="N11215" s="17" t="str">
        <f>IFERROR(__xludf.DUMMYFUNCTION("""COMPUTED_VALUE"""),"")</f>
        <v/>
      </c>
      <c r="O11215" s="17"/>
    </row>
    <row r="11216">
      <c r="B11216" s="17" t="s">
        <v>477</v>
      </c>
      <c r="K11216" s="18" t="s">
        <v>477</v>
      </c>
      <c r="N11216" s="17" t="str">
        <f>IFERROR(__xludf.DUMMYFUNCTION("""COMPUTED_VALUE"""),"")</f>
        <v/>
      </c>
      <c r="O11216" s="17"/>
    </row>
    <row r="11217">
      <c r="B11217" s="17" t="s">
        <v>477</v>
      </c>
      <c r="K11217" s="18" t="s">
        <v>477</v>
      </c>
      <c r="N11217" s="17" t="str">
        <f>IFERROR(__xludf.DUMMYFUNCTION("""COMPUTED_VALUE"""),"")</f>
        <v/>
      </c>
      <c r="O11217" s="17"/>
    </row>
    <row r="11218">
      <c r="B11218" s="17" t="s">
        <v>477</v>
      </c>
      <c r="K11218" s="18" t="s">
        <v>477</v>
      </c>
      <c r="N11218" s="17" t="str">
        <f>IFERROR(__xludf.DUMMYFUNCTION("""COMPUTED_VALUE"""),"")</f>
        <v/>
      </c>
      <c r="O11218" s="17"/>
    </row>
    <row r="11219">
      <c r="B11219" s="17" t="s">
        <v>477</v>
      </c>
      <c r="K11219" s="18" t="s">
        <v>477</v>
      </c>
      <c r="N11219" s="17" t="str">
        <f>IFERROR(__xludf.DUMMYFUNCTION("""COMPUTED_VALUE"""),"")</f>
        <v/>
      </c>
      <c r="O11219" s="17"/>
    </row>
    <row r="11220">
      <c r="B11220" s="17" t="s">
        <v>477</v>
      </c>
      <c r="K11220" s="18" t="s">
        <v>477</v>
      </c>
      <c r="N11220" s="17" t="str">
        <f>IFERROR(__xludf.DUMMYFUNCTION("""COMPUTED_VALUE"""),"")</f>
        <v/>
      </c>
      <c r="O11220" s="17"/>
    </row>
    <row r="11221">
      <c r="B11221" s="17" t="s">
        <v>477</v>
      </c>
      <c r="K11221" s="18" t="s">
        <v>477</v>
      </c>
      <c r="N11221" s="17" t="str">
        <f>IFERROR(__xludf.DUMMYFUNCTION("""COMPUTED_VALUE"""),"")</f>
        <v/>
      </c>
      <c r="O11221" s="17"/>
    </row>
    <row r="11222">
      <c r="B11222" s="17" t="s">
        <v>477</v>
      </c>
      <c r="K11222" s="18" t="s">
        <v>477</v>
      </c>
      <c r="N11222" s="17" t="str">
        <f>IFERROR(__xludf.DUMMYFUNCTION("""COMPUTED_VALUE"""),"")</f>
        <v/>
      </c>
      <c r="O11222" s="17"/>
    </row>
    <row r="11223">
      <c r="B11223" s="17" t="s">
        <v>477</v>
      </c>
      <c r="K11223" s="18" t="s">
        <v>477</v>
      </c>
      <c r="N11223" s="17" t="str">
        <f>IFERROR(__xludf.DUMMYFUNCTION("""COMPUTED_VALUE"""),"")</f>
        <v/>
      </c>
      <c r="O11223" s="17"/>
    </row>
    <row r="11224">
      <c r="B11224" s="17" t="s">
        <v>477</v>
      </c>
      <c r="K11224" s="18" t="s">
        <v>477</v>
      </c>
      <c r="N11224" s="17" t="str">
        <f>IFERROR(__xludf.DUMMYFUNCTION("""COMPUTED_VALUE"""),"")</f>
        <v/>
      </c>
      <c r="O11224" s="17"/>
    </row>
    <row r="11225">
      <c r="B11225" s="17" t="s">
        <v>477</v>
      </c>
      <c r="K11225" s="18" t="s">
        <v>477</v>
      </c>
      <c r="N11225" s="17" t="str">
        <f>IFERROR(__xludf.DUMMYFUNCTION("""COMPUTED_VALUE"""),"")</f>
        <v/>
      </c>
      <c r="O11225" s="17"/>
    </row>
    <row r="11226">
      <c r="B11226" s="17" t="s">
        <v>477</v>
      </c>
      <c r="K11226" s="18" t="s">
        <v>477</v>
      </c>
      <c r="N11226" s="17" t="str">
        <f>IFERROR(__xludf.DUMMYFUNCTION("""COMPUTED_VALUE"""),"")</f>
        <v/>
      </c>
      <c r="O11226" s="17"/>
    </row>
    <row r="11227">
      <c r="B11227" s="17" t="s">
        <v>477</v>
      </c>
      <c r="K11227" s="18" t="s">
        <v>477</v>
      </c>
      <c r="N11227" s="17" t="str">
        <f>IFERROR(__xludf.DUMMYFUNCTION("""COMPUTED_VALUE"""),"")</f>
        <v/>
      </c>
      <c r="O11227" s="17"/>
    </row>
    <row r="11228">
      <c r="B11228" s="17" t="s">
        <v>477</v>
      </c>
      <c r="K11228" s="18" t="s">
        <v>477</v>
      </c>
      <c r="N11228" s="17" t="str">
        <f>IFERROR(__xludf.DUMMYFUNCTION("""COMPUTED_VALUE"""),"")</f>
        <v/>
      </c>
      <c r="O11228" s="17"/>
    </row>
    <row r="11229">
      <c r="B11229" s="17" t="s">
        <v>477</v>
      </c>
      <c r="K11229" s="18" t="s">
        <v>477</v>
      </c>
      <c r="N11229" s="17" t="str">
        <f>IFERROR(__xludf.DUMMYFUNCTION("""COMPUTED_VALUE"""),"")</f>
        <v/>
      </c>
      <c r="O11229" s="17"/>
    </row>
    <row r="11230">
      <c r="B11230" s="17" t="s">
        <v>477</v>
      </c>
      <c r="K11230" s="18" t="s">
        <v>477</v>
      </c>
      <c r="N11230" s="17" t="str">
        <f>IFERROR(__xludf.DUMMYFUNCTION("""COMPUTED_VALUE"""),"")</f>
        <v/>
      </c>
      <c r="O11230" s="17"/>
    </row>
    <row r="11231">
      <c r="B11231" s="17" t="s">
        <v>477</v>
      </c>
      <c r="K11231" s="18" t="s">
        <v>477</v>
      </c>
      <c r="N11231" s="17" t="str">
        <f>IFERROR(__xludf.DUMMYFUNCTION("""COMPUTED_VALUE"""),"")</f>
        <v/>
      </c>
      <c r="O11231" s="17"/>
    </row>
    <row r="11232">
      <c r="B11232" s="17" t="s">
        <v>477</v>
      </c>
      <c r="K11232" s="18" t="s">
        <v>477</v>
      </c>
      <c r="N11232" s="17" t="str">
        <f>IFERROR(__xludf.DUMMYFUNCTION("""COMPUTED_VALUE"""),"")</f>
        <v/>
      </c>
      <c r="O11232" s="17"/>
    </row>
    <row r="11233">
      <c r="B11233" s="17" t="s">
        <v>477</v>
      </c>
      <c r="K11233" s="18" t="s">
        <v>477</v>
      </c>
      <c r="N11233" s="17" t="str">
        <f>IFERROR(__xludf.DUMMYFUNCTION("""COMPUTED_VALUE"""),"")</f>
        <v/>
      </c>
      <c r="O11233" s="17"/>
    </row>
    <row r="11234">
      <c r="B11234" s="17" t="s">
        <v>477</v>
      </c>
      <c r="K11234" s="18" t="s">
        <v>477</v>
      </c>
      <c r="N11234" s="17" t="str">
        <f>IFERROR(__xludf.DUMMYFUNCTION("""COMPUTED_VALUE"""),"")</f>
        <v/>
      </c>
      <c r="O11234" s="17"/>
    </row>
    <row r="11235">
      <c r="B11235" s="17" t="s">
        <v>477</v>
      </c>
      <c r="K11235" s="18" t="s">
        <v>477</v>
      </c>
      <c r="N11235" s="17" t="str">
        <f>IFERROR(__xludf.DUMMYFUNCTION("""COMPUTED_VALUE"""),"")</f>
        <v/>
      </c>
      <c r="O11235" s="17"/>
    </row>
    <row r="11236">
      <c r="B11236" s="17" t="s">
        <v>477</v>
      </c>
      <c r="K11236" s="18" t="s">
        <v>477</v>
      </c>
      <c r="N11236" s="17" t="str">
        <f>IFERROR(__xludf.DUMMYFUNCTION("""COMPUTED_VALUE"""),"")</f>
        <v/>
      </c>
      <c r="O11236" s="17"/>
    </row>
    <row r="11237">
      <c r="B11237" s="17" t="s">
        <v>477</v>
      </c>
      <c r="K11237" s="18" t="s">
        <v>477</v>
      </c>
      <c r="N11237" s="17" t="str">
        <f>IFERROR(__xludf.DUMMYFUNCTION("""COMPUTED_VALUE"""),"")</f>
        <v/>
      </c>
      <c r="O11237" s="17"/>
    </row>
    <row r="11238">
      <c r="B11238" s="17" t="s">
        <v>477</v>
      </c>
      <c r="K11238" s="18" t="s">
        <v>477</v>
      </c>
      <c r="N11238" s="17" t="str">
        <f>IFERROR(__xludf.DUMMYFUNCTION("""COMPUTED_VALUE"""),"")</f>
        <v/>
      </c>
      <c r="O11238" s="17"/>
    </row>
    <row r="11239">
      <c r="B11239" s="17" t="s">
        <v>477</v>
      </c>
      <c r="K11239" s="18" t="s">
        <v>477</v>
      </c>
      <c r="N11239" s="17" t="str">
        <f>IFERROR(__xludf.DUMMYFUNCTION("""COMPUTED_VALUE"""),"")</f>
        <v/>
      </c>
      <c r="O11239" s="17"/>
    </row>
    <row r="11240">
      <c r="B11240" s="17" t="s">
        <v>477</v>
      </c>
      <c r="K11240" s="18" t="s">
        <v>477</v>
      </c>
      <c r="N11240" s="17" t="str">
        <f>IFERROR(__xludf.DUMMYFUNCTION("""COMPUTED_VALUE"""),"")</f>
        <v/>
      </c>
      <c r="O11240" s="17"/>
    </row>
    <row r="11241">
      <c r="B11241" s="17" t="s">
        <v>477</v>
      </c>
      <c r="K11241" s="18" t="s">
        <v>477</v>
      </c>
      <c r="N11241" s="17" t="str">
        <f>IFERROR(__xludf.DUMMYFUNCTION("""COMPUTED_VALUE"""),"")</f>
        <v/>
      </c>
      <c r="O11241" s="17"/>
    </row>
    <row r="11242">
      <c r="B11242" s="17" t="s">
        <v>477</v>
      </c>
      <c r="K11242" s="18" t="s">
        <v>477</v>
      </c>
      <c r="N11242" s="17" t="str">
        <f>IFERROR(__xludf.DUMMYFUNCTION("""COMPUTED_VALUE"""),"")</f>
        <v/>
      </c>
      <c r="O11242" s="17"/>
    </row>
    <row r="11243">
      <c r="B11243" s="17" t="s">
        <v>477</v>
      </c>
      <c r="K11243" s="18" t="s">
        <v>477</v>
      </c>
      <c r="N11243" s="17" t="str">
        <f>IFERROR(__xludf.DUMMYFUNCTION("""COMPUTED_VALUE"""),"")</f>
        <v/>
      </c>
      <c r="O11243" s="17"/>
    </row>
    <row r="11244">
      <c r="B11244" s="17" t="s">
        <v>477</v>
      </c>
      <c r="K11244" s="18" t="s">
        <v>477</v>
      </c>
      <c r="N11244" s="17" t="str">
        <f>IFERROR(__xludf.DUMMYFUNCTION("""COMPUTED_VALUE"""),"")</f>
        <v/>
      </c>
      <c r="O11244" s="17"/>
    </row>
    <row r="11245">
      <c r="B11245" s="17" t="s">
        <v>477</v>
      </c>
      <c r="K11245" s="18" t="s">
        <v>477</v>
      </c>
      <c r="N11245" s="17" t="str">
        <f>IFERROR(__xludf.DUMMYFUNCTION("""COMPUTED_VALUE"""),"")</f>
        <v/>
      </c>
      <c r="O11245" s="17"/>
    </row>
    <row r="11246">
      <c r="B11246" s="17" t="s">
        <v>477</v>
      </c>
      <c r="K11246" s="18" t="s">
        <v>477</v>
      </c>
      <c r="N11246" s="17" t="str">
        <f>IFERROR(__xludf.DUMMYFUNCTION("""COMPUTED_VALUE"""),"")</f>
        <v/>
      </c>
      <c r="O11246" s="17"/>
    </row>
    <row r="11247">
      <c r="B11247" s="17" t="s">
        <v>477</v>
      </c>
      <c r="K11247" s="18" t="s">
        <v>477</v>
      </c>
      <c r="N11247" s="17" t="str">
        <f>IFERROR(__xludf.DUMMYFUNCTION("""COMPUTED_VALUE"""),"")</f>
        <v/>
      </c>
      <c r="O11247" s="17"/>
    </row>
    <row r="11248">
      <c r="B11248" s="17" t="s">
        <v>477</v>
      </c>
      <c r="K11248" s="18" t="s">
        <v>477</v>
      </c>
      <c r="N11248" s="17" t="str">
        <f>IFERROR(__xludf.DUMMYFUNCTION("""COMPUTED_VALUE"""),"")</f>
        <v/>
      </c>
      <c r="O11248" s="17"/>
    </row>
    <row r="11249">
      <c r="B11249" s="17" t="s">
        <v>477</v>
      </c>
      <c r="K11249" s="18" t="s">
        <v>477</v>
      </c>
      <c r="N11249" s="17" t="str">
        <f>IFERROR(__xludf.DUMMYFUNCTION("""COMPUTED_VALUE"""),"")</f>
        <v/>
      </c>
      <c r="O11249" s="17"/>
    </row>
    <row r="11250">
      <c r="B11250" s="17" t="s">
        <v>477</v>
      </c>
      <c r="K11250" s="18" t="s">
        <v>477</v>
      </c>
      <c r="N11250" s="17" t="str">
        <f>IFERROR(__xludf.DUMMYFUNCTION("""COMPUTED_VALUE"""),"")</f>
        <v/>
      </c>
      <c r="O11250" s="17"/>
    </row>
    <row r="11251">
      <c r="B11251" s="17" t="s">
        <v>477</v>
      </c>
      <c r="K11251" s="18" t="s">
        <v>477</v>
      </c>
      <c r="N11251" s="17" t="str">
        <f>IFERROR(__xludf.DUMMYFUNCTION("""COMPUTED_VALUE"""),"")</f>
        <v/>
      </c>
      <c r="O11251" s="17"/>
    </row>
    <row r="11252">
      <c r="B11252" s="17" t="s">
        <v>477</v>
      </c>
      <c r="K11252" s="18" t="s">
        <v>477</v>
      </c>
      <c r="N11252" s="17" t="str">
        <f>IFERROR(__xludf.DUMMYFUNCTION("""COMPUTED_VALUE"""),"")</f>
        <v/>
      </c>
      <c r="O11252" s="17"/>
    </row>
    <row r="11253">
      <c r="B11253" s="17" t="s">
        <v>477</v>
      </c>
      <c r="K11253" s="18" t="s">
        <v>477</v>
      </c>
      <c r="N11253" s="17" t="str">
        <f>IFERROR(__xludf.DUMMYFUNCTION("""COMPUTED_VALUE"""),"")</f>
        <v/>
      </c>
      <c r="O11253" s="17"/>
    </row>
    <row r="11254">
      <c r="B11254" s="17" t="s">
        <v>477</v>
      </c>
      <c r="K11254" s="18" t="s">
        <v>477</v>
      </c>
      <c r="N11254" s="17" t="str">
        <f>IFERROR(__xludf.DUMMYFUNCTION("""COMPUTED_VALUE"""),"")</f>
        <v/>
      </c>
      <c r="O11254" s="17"/>
    </row>
    <row r="11255">
      <c r="B11255" s="17" t="s">
        <v>477</v>
      </c>
      <c r="K11255" s="18" t="s">
        <v>477</v>
      </c>
      <c r="N11255" s="17" t="str">
        <f>IFERROR(__xludf.DUMMYFUNCTION("""COMPUTED_VALUE"""),"")</f>
        <v/>
      </c>
      <c r="O11255" s="17"/>
    </row>
    <row r="11256">
      <c r="B11256" s="17" t="s">
        <v>477</v>
      </c>
      <c r="K11256" s="18" t="s">
        <v>477</v>
      </c>
      <c r="N11256" s="17" t="str">
        <f>IFERROR(__xludf.DUMMYFUNCTION("""COMPUTED_VALUE"""),"")</f>
        <v/>
      </c>
      <c r="O11256" s="17"/>
    </row>
    <row r="11257">
      <c r="B11257" s="17" t="s">
        <v>477</v>
      </c>
      <c r="K11257" s="18" t="s">
        <v>477</v>
      </c>
      <c r="N11257" s="17" t="str">
        <f>IFERROR(__xludf.DUMMYFUNCTION("""COMPUTED_VALUE"""),"")</f>
        <v/>
      </c>
      <c r="O11257" s="17"/>
    </row>
    <row r="11258">
      <c r="B11258" s="17" t="s">
        <v>477</v>
      </c>
      <c r="K11258" s="18" t="s">
        <v>477</v>
      </c>
      <c r="N11258" s="17" t="str">
        <f>IFERROR(__xludf.DUMMYFUNCTION("""COMPUTED_VALUE"""),"")</f>
        <v/>
      </c>
      <c r="O11258" s="17"/>
    </row>
    <row r="11259">
      <c r="B11259" s="17" t="s">
        <v>477</v>
      </c>
      <c r="K11259" s="18" t="s">
        <v>477</v>
      </c>
      <c r="N11259" s="17" t="str">
        <f>IFERROR(__xludf.DUMMYFUNCTION("""COMPUTED_VALUE"""),"")</f>
        <v/>
      </c>
      <c r="O11259" s="17"/>
    </row>
    <row r="11260">
      <c r="B11260" s="17" t="s">
        <v>477</v>
      </c>
      <c r="K11260" s="18" t="s">
        <v>477</v>
      </c>
      <c r="N11260" s="17" t="str">
        <f>IFERROR(__xludf.DUMMYFUNCTION("""COMPUTED_VALUE"""),"")</f>
        <v/>
      </c>
      <c r="O11260" s="17"/>
    </row>
    <row r="11261">
      <c r="B11261" s="17" t="s">
        <v>477</v>
      </c>
      <c r="K11261" s="18" t="s">
        <v>477</v>
      </c>
      <c r="N11261" s="17" t="str">
        <f>IFERROR(__xludf.DUMMYFUNCTION("""COMPUTED_VALUE"""),"")</f>
        <v/>
      </c>
      <c r="O11261" s="17"/>
    </row>
    <row r="11262">
      <c r="B11262" s="17" t="s">
        <v>477</v>
      </c>
      <c r="K11262" s="18" t="s">
        <v>477</v>
      </c>
      <c r="N11262" s="17" t="str">
        <f>IFERROR(__xludf.DUMMYFUNCTION("""COMPUTED_VALUE"""),"")</f>
        <v/>
      </c>
      <c r="O11262" s="17"/>
    </row>
    <row r="11263">
      <c r="B11263" s="17" t="s">
        <v>477</v>
      </c>
      <c r="K11263" s="18" t="s">
        <v>477</v>
      </c>
      <c r="N11263" s="17" t="str">
        <f>IFERROR(__xludf.DUMMYFUNCTION("""COMPUTED_VALUE"""),"")</f>
        <v/>
      </c>
      <c r="O11263" s="17"/>
    </row>
    <row r="11264">
      <c r="B11264" s="17" t="s">
        <v>477</v>
      </c>
      <c r="K11264" s="18" t="s">
        <v>477</v>
      </c>
      <c r="N11264" s="17" t="str">
        <f>IFERROR(__xludf.DUMMYFUNCTION("""COMPUTED_VALUE"""),"")</f>
        <v/>
      </c>
      <c r="O11264" s="17"/>
    </row>
    <row r="11265">
      <c r="B11265" s="17" t="s">
        <v>477</v>
      </c>
      <c r="K11265" s="18" t="s">
        <v>477</v>
      </c>
      <c r="N11265" s="17" t="str">
        <f>IFERROR(__xludf.DUMMYFUNCTION("""COMPUTED_VALUE"""),"")</f>
        <v/>
      </c>
      <c r="O11265" s="17"/>
    </row>
    <row r="11266">
      <c r="B11266" s="17" t="s">
        <v>477</v>
      </c>
      <c r="K11266" s="18" t="s">
        <v>477</v>
      </c>
      <c r="N11266" s="17" t="str">
        <f>IFERROR(__xludf.DUMMYFUNCTION("""COMPUTED_VALUE"""),"")</f>
        <v/>
      </c>
      <c r="O11266" s="17"/>
    </row>
    <row r="11267">
      <c r="B11267" s="17" t="s">
        <v>477</v>
      </c>
      <c r="K11267" s="18" t="s">
        <v>477</v>
      </c>
      <c r="N11267" s="17" t="str">
        <f>IFERROR(__xludf.DUMMYFUNCTION("""COMPUTED_VALUE"""),"")</f>
        <v/>
      </c>
      <c r="O11267" s="17"/>
    </row>
    <row r="11268">
      <c r="B11268" s="17" t="s">
        <v>477</v>
      </c>
      <c r="K11268" s="18" t="s">
        <v>477</v>
      </c>
      <c r="N11268" s="17" t="str">
        <f>IFERROR(__xludf.DUMMYFUNCTION("""COMPUTED_VALUE"""),"")</f>
        <v/>
      </c>
      <c r="O11268" s="17"/>
    </row>
    <row r="11269">
      <c r="B11269" s="17" t="s">
        <v>477</v>
      </c>
      <c r="K11269" s="18" t="s">
        <v>477</v>
      </c>
      <c r="N11269" s="17" t="str">
        <f>IFERROR(__xludf.DUMMYFUNCTION("""COMPUTED_VALUE"""),"")</f>
        <v/>
      </c>
      <c r="O11269" s="17"/>
    </row>
    <row r="11270">
      <c r="B11270" s="17" t="s">
        <v>477</v>
      </c>
      <c r="K11270" s="18" t="s">
        <v>477</v>
      </c>
      <c r="N11270" s="17" t="str">
        <f>IFERROR(__xludf.DUMMYFUNCTION("""COMPUTED_VALUE"""),"")</f>
        <v/>
      </c>
      <c r="O11270" s="17"/>
    </row>
    <row r="11271">
      <c r="B11271" s="17" t="s">
        <v>477</v>
      </c>
      <c r="K11271" s="18" t="s">
        <v>477</v>
      </c>
      <c r="N11271" s="17" t="str">
        <f>IFERROR(__xludf.DUMMYFUNCTION("""COMPUTED_VALUE"""),"")</f>
        <v/>
      </c>
      <c r="O11271" s="17"/>
    </row>
    <row r="11272">
      <c r="B11272" s="17" t="s">
        <v>477</v>
      </c>
      <c r="K11272" s="18" t="s">
        <v>477</v>
      </c>
      <c r="N11272" s="17" t="str">
        <f>IFERROR(__xludf.DUMMYFUNCTION("""COMPUTED_VALUE"""),"")</f>
        <v/>
      </c>
      <c r="O11272" s="17"/>
    </row>
    <row r="11273">
      <c r="B11273" s="17" t="s">
        <v>477</v>
      </c>
      <c r="K11273" s="18" t="s">
        <v>477</v>
      </c>
      <c r="N11273" s="17" t="str">
        <f>IFERROR(__xludf.DUMMYFUNCTION("""COMPUTED_VALUE"""),"")</f>
        <v/>
      </c>
      <c r="O11273" s="17"/>
    </row>
    <row r="11274">
      <c r="B11274" s="17" t="s">
        <v>477</v>
      </c>
      <c r="K11274" s="18" t="s">
        <v>477</v>
      </c>
      <c r="N11274" s="17" t="str">
        <f>IFERROR(__xludf.DUMMYFUNCTION("""COMPUTED_VALUE"""),"")</f>
        <v/>
      </c>
      <c r="O11274" s="17"/>
    </row>
    <row r="11275">
      <c r="B11275" s="17" t="s">
        <v>477</v>
      </c>
      <c r="K11275" s="18" t="s">
        <v>477</v>
      </c>
      <c r="N11275" s="17" t="str">
        <f>IFERROR(__xludf.DUMMYFUNCTION("""COMPUTED_VALUE"""),"")</f>
        <v/>
      </c>
      <c r="O11275" s="17"/>
    </row>
    <row r="11276">
      <c r="B11276" s="17" t="s">
        <v>477</v>
      </c>
      <c r="K11276" s="18" t="s">
        <v>477</v>
      </c>
      <c r="N11276" s="17" t="str">
        <f>IFERROR(__xludf.DUMMYFUNCTION("""COMPUTED_VALUE"""),"")</f>
        <v/>
      </c>
      <c r="O11276" s="17"/>
    </row>
    <row r="11277">
      <c r="B11277" s="17" t="s">
        <v>477</v>
      </c>
      <c r="K11277" s="18" t="s">
        <v>477</v>
      </c>
      <c r="N11277" s="17" t="str">
        <f>IFERROR(__xludf.DUMMYFUNCTION("""COMPUTED_VALUE"""),"")</f>
        <v/>
      </c>
      <c r="O11277" s="17"/>
    </row>
    <row r="11278">
      <c r="B11278" s="17" t="s">
        <v>477</v>
      </c>
      <c r="K11278" s="18" t="s">
        <v>477</v>
      </c>
      <c r="N11278" s="17" t="str">
        <f>IFERROR(__xludf.DUMMYFUNCTION("""COMPUTED_VALUE"""),"")</f>
        <v/>
      </c>
      <c r="O11278" s="17"/>
    </row>
    <row r="11279">
      <c r="B11279" s="17" t="s">
        <v>477</v>
      </c>
      <c r="K11279" s="18" t="s">
        <v>477</v>
      </c>
      <c r="N11279" s="17" t="str">
        <f>IFERROR(__xludf.DUMMYFUNCTION("""COMPUTED_VALUE"""),"")</f>
        <v/>
      </c>
      <c r="O11279" s="17"/>
    </row>
    <row r="11280">
      <c r="B11280" s="17" t="s">
        <v>477</v>
      </c>
      <c r="K11280" s="18" t="s">
        <v>477</v>
      </c>
      <c r="N11280" s="17" t="str">
        <f>IFERROR(__xludf.DUMMYFUNCTION("""COMPUTED_VALUE"""),"")</f>
        <v/>
      </c>
      <c r="O11280" s="17"/>
    </row>
    <row r="11281">
      <c r="B11281" s="17" t="s">
        <v>477</v>
      </c>
      <c r="K11281" s="18" t="s">
        <v>477</v>
      </c>
      <c r="N11281" s="17" t="str">
        <f>IFERROR(__xludf.DUMMYFUNCTION("""COMPUTED_VALUE"""),"")</f>
        <v/>
      </c>
      <c r="O11281" s="17"/>
    </row>
    <row r="11282">
      <c r="B11282" s="17" t="s">
        <v>477</v>
      </c>
      <c r="K11282" s="18" t="s">
        <v>477</v>
      </c>
      <c r="N11282" s="17" t="str">
        <f>IFERROR(__xludf.DUMMYFUNCTION("""COMPUTED_VALUE"""),"")</f>
        <v/>
      </c>
      <c r="O11282" s="17"/>
    </row>
    <row r="11283">
      <c r="B11283" s="17" t="s">
        <v>477</v>
      </c>
      <c r="K11283" s="18" t="s">
        <v>477</v>
      </c>
      <c r="N11283" s="17" t="str">
        <f>IFERROR(__xludf.DUMMYFUNCTION("""COMPUTED_VALUE"""),"")</f>
        <v/>
      </c>
      <c r="O11283" s="17"/>
    </row>
    <row r="11284">
      <c r="B11284" s="17" t="s">
        <v>477</v>
      </c>
      <c r="K11284" s="18" t="s">
        <v>477</v>
      </c>
      <c r="N11284" s="17" t="str">
        <f>IFERROR(__xludf.DUMMYFUNCTION("""COMPUTED_VALUE"""),"")</f>
        <v/>
      </c>
      <c r="O11284" s="17"/>
    </row>
    <row r="11285">
      <c r="B11285" s="17" t="s">
        <v>477</v>
      </c>
      <c r="K11285" s="18" t="s">
        <v>477</v>
      </c>
      <c r="N11285" s="17" t="str">
        <f>IFERROR(__xludf.DUMMYFUNCTION("""COMPUTED_VALUE"""),"")</f>
        <v/>
      </c>
      <c r="O11285" s="17"/>
    </row>
    <row r="11286">
      <c r="B11286" s="17" t="s">
        <v>477</v>
      </c>
      <c r="K11286" s="18" t="s">
        <v>477</v>
      </c>
      <c r="N11286" s="17" t="str">
        <f>IFERROR(__xludf.DUMMYFUNCTION("""COMPUTED_VALUE"""),"")</f>
        <v/>
      </c>
      <c r="O11286" s="17"/>
    </row>
    <row r="11287">
      <c r="B11287" s="17" t="s">
        <v>477</v>
      </c>
      <c r="K11287" s="18" t="s">
        <v>477</v>
      </c>
      <c r="N11287" s="17" t="str">
        <f>IFERROR(__xludf.DUMMYFUNCTION("""COMPUTED_VALUE"""),"")</f>
        <v/>
      </c>
      <c r="O11287" s="17"/>
    </row>
    <row r="11288">
      <c r="B11288" s="17" t="s">
        <v>477</v>
      </c>
      <c r="K11288" s="18" t="s">
        <v>477</v>
      </c>
      <c r="N11288" s="17" t="str">
        <f>IFERROR(__xludf.DUMMYFUNCTION("""COMPUTED_VALUE"""),"")</f>
        <v/>
      </c>
      <c r="O11288" s="17"/>
    </row>
    <row r="11289">
      <c r="B11289" s="17" t="s">
        <v>477</v>
      </c>
      <c r="K11289" s="18" t="s">
        <v>477</v>
      </c>
      <c r="N11289" s="17" t="str">
        <f>IFERROR(__xludf.DUMMYFUNCTION("""COMPUTED_VALUE"""),"")</f>
        <v/>
      </c>
      <c r="O11289" s="17"/>
    </row>
    <row r="11290">
      <c r="B11290" s="17" t="s">
        <v>477</v>
      </c>
      <c r="K11290" s="18" t="s">
        <v>477</v>
      </c>
      <c r="N11290" s="17" t="str">
        <f>IFERROR(__xludf.DUMMYFUNCTION("""COMPUTED_VALUE"""),"")</f>
        <v/>
      </c>
      <c r="O11290" s="17"/>
    </row>
    <row r="11291">
      <c r="B11291" s="17" t="s">
        <v>477</v>
      </c>
      <c r="K11291" s="18" t="s">
        <v>477</v>
      </c>
      <c r="N11291" s="17" t="str">
        <f>IFERROR(__xludf.DUMMYFUNCTION("""COMPUTED_VALUE"""),"")</f>
        <v/>
      </c>
      <c r="O11291" s="17"/>
    </row>
    <row r="11292">
      <c r="B11292" s="17" t="s">
        <v>477</v>
      </c>
      <c r="K11292" s="18" t="s">
        <v>477</v>
      </c>
      <c r="N11292" s="17" t="str">
        <f>IFERROR(__xludf.DUMMYFUNCTION("""COMPUTED_VALUE"""),"")</f>
        <v/>
      </c>
      <c r="O11292" s="17"/>
    </row>
    <row r="11293">
      <c r="B11293" s="17" t="s">
        <v>477</v>
      </c>
      <c r="K11293" s="18" t="s">
        <v>477</v>
      </c>
      <c r="N11293" s="17" t="str">
        <f>IFERROR(__xludf.DUMMYFUNCTION("""COMPUTED_VALUE"""),"")</f>
        <v/>
      </c>
      <c r="O11293" s="17"/>
    </row>
    <row r="11294">
      <c r="B11294" s="17" t="s">
        <v>477</v>
      </c>
      <c r="K11294" s="18" t="s">
        <v>477</v>
      </c>
      <c r="N11294" s="17" t="str">
        <f>IFERROR(__xludf.DUMMYFUNCTION("""COMPUTED_VALUE"""),"")</f>
        <v/>
      </c>
      <c r="O11294" s="17"/>
    </row>
    <row r="11295">
      <c r="B11295" s="17" t="s">
        <v>477</v>
      </c>
      <c r="K11295" s="18" t="s">
        <v>477</v>
      </c>
      <c r="N11295" s="17" t="str">
        <f>IFERROR(__xludf.DUMMYFUNCTION("""COMPUTED_VALUE"""),"")</f>
        <v/>
      </c>
      <c r="O11295" s="17"/>
    </row>
    <row r="11296">
      <c r="B11296" s="17" t="s">
        <v>477</v>
      </c>
      <c r="K11296" s="18" t="s">
        <v>477</v>
      </c>
      <c r="N11296" s="17" t="str">
        <f>IFERROR(__xludf.DUMMYFUNCTION("""COMPUTED_VALUE"""),"")</f>
        <v/>
      </c>
      <c r="O11296" s="17"/>
    </row>
    <row r="11297">
      <c r="B11297" s="17" t="s">
        <v>477</v>
      </c>
      <c r="K11297" s="18" t="s">
        <v>477</v>
      </c>
      <c r="N11297" s="17" t="str">
        <f>IFERROR(__xludf.DUMMYFUNCTION("""COMPUTED_VALUE"""),"")</f>
        <v/>
      </c>
      <c r="O11297" s="17"/>
    </row>
    <row r="11298">
      <c r="B11298" s="17" t="s">
        <v>477</v>
      </c>
      <c r="K11298" s="18" t="s">
        <v>477</v>
      </c>
      <c r="N11298" s="17" t="str">
        <f>IFERROR(__xludf.DUMMYFUNCTION("""COMPUTED_VALUE"""),"")</f>
        <v/>
      </c>
      <c r="O11298" s="17"/>
    </row>
    <row r="11299">
      <c r="B11299" s="17" t="s">
        <v>477</v>
      </c>
      <c r="K11299" s="18" t="s">
        <v>477</v>
      </c>
      <c r="N11299" s="17" t="str">
        <f>IFERROR(__xludf.DUMMYFUNCTION("""COMPUTED_VALUE"""),"")</f>
        <v/>
      </c>
      <c r="O11299" s="17"/>
    </row>
    <row r="11300">
      <c r="B11300" s="17" t="s">
        <v>477</v>
      </c>
      <c r="K11300" s="18" t="s">
        <v>477</v>
      </c>
      <c r="N11300" s="17" t="str">
        <f>IFERROR(__xludf.DUMMYFUNCTION("""COMPUTED_VALUE"""),"")</f>
        <v/>
      </c>
      <c r="O11300" s="17"/>
    </row>
    <row r="11301">
      <c r="B11301" s="17" t="s">
        <v>477</v>
      </c>
      <c r="K11301" s="18" t="s">
        <v>477</v>
      </c>
      <c r="N11301" s="17" t="str">
        <f>IFERROR(__xludf.DUMMYFUNCTION("""COMPUTED_VALUE"""),"")</f>
        <v/>
      </c>
      <c r="O11301" s="17"/>
    </row>
    <row r="11302">
      <c r="B11302" s="17" t="s">
        <v>477</v>
      </c>
      <c r="K11302" s="18" t="s">
        <v>477</v>
      </c>
      <c r="N11302" s="17" t="str">
        <f>IFERROR(__xludf.DUMMYFUNCTION("""COMPUTED_VALUE"""),"")</f>
        <v/>
      </c>
      <c r="O11302" s="17"/>
    </row>
    <row r="11303">
      <c r="B11303" s="17" t="s">
        <v>477</v>
      </c>
      <c r="K11303" s="18" t="s">
        <v>477</v>
      </c>
      <c r="N11303" s="17" t="str">
        <f>IFERROR(__xludf.DUMMYFUNCTION("""COMPUTED_VALUE"""),"")</f>
        <v/>
      </c>
      <c r="O11303" s="17"/>
    </row>
    <row r="11304">
      <c r="B11304" s="17" t="s">
        <v>477</v>
      </c>
      <c r="K11304" s="18" t="s">
        <v>477</v>
      </c>
      <c r="N11304" s="17" t="str">
        <f>IFERROR(__xludf.DUMMYFUNCTION("""COMPUTED_VALUE"""),"")</f>
        <v/>
      </c>
      <c r="O11304" s="17"/>
    </row>
    <row r="11305">
      <c r="B11305" s="17" t="s">
        <v>477</v>
      </c>
      <c r="K11305" s="18" t="s">
        <v>477</v>
      </c>
      <c r="N11305" s="17" t="str">
        <f>IFERROR(__xludf.DUMMYFUNCTION("""COMPUTED_VALUE"""),"")</f>
        <v/>
      </c>
      <c r="O11305" s="17"/>
    </row>
    <row r="11306">
      <c r="B11306" s="17" t="s">
        <v>477</v>
      </c>
      <c r="K11306" s="18" t="s">
        <v>477</v>
      </c>
      <c r="N11306" s="17" t="str">
        <f>IFERROR(__xludf.DUMMYFUNCTION("""COMPUTED_VALUE"""),"")</f>
        <v/>
      </c>
      <c r="O11306" s="17"/>
    </row>
    <row r="11307">
      <c r="B11307" s="17" t="s">
        <v>477</v>
      </c>
      <c r="K11307" s="18" t="s">
        <v>477</v>
      </c>
      <c r="N11307" s="17" t="str">
        <f>IFERROR(__xludf.DUMMYFUNCTION("""COMPUTED_VALUE"""),"")</f>
        <v/>
      </c>
      <c r="O11307" s="17"/>
    </row>
    <row r="11308">
      <c r="B11308" s="17" t="s">
        <v>477</v>
      </c>
      <c r="K11308" s="18" t="s">
        <v>477</v>
      </c>
      <c r="N11308" s="17" t="str">
        <f>IFERROR(__xludf.DUMMYFUNCTION("""COMPUTED_VALUE"""),"")</f>
        <v/>
      </c>
      <c r="O11308" s="17"/>
    </row>
    <row r="11309">
      <c r="B11309" s="17" t="s">
        <v>477</v>
      </c>
      <c r="K11309" s="18" t="s">
        <v>477</v>
      </c>
      <c r="N11309" s="17" t="str">
        <f>IFERROR(__xludf.DUMMYFUNCTION("""COMPUTED_VALUE"""),"")</f>
        <v/>
      </c>
      <c r="O11309" s="17"/>
    </row>
    <row r="11310">
      <c r="B11310" s="17" t="s">
        <v>477</v>
      </c>
      <c r="K11310" s="18" t="s">
        <v>477</v>
      </c>
      <c r="N11310" s="17" t="str">
        <f>IFERROR(__xludf.DUMMYFUNCTION("""COMPUTED_VALUE"""),"")</f>
        <v/>
      </c>
      <c r="O11310" s="17"/>
    </row>
    <row r="11311">
      <c r="B11311" s="17" t="s">
        <v>477</v>
      </c>
      <c r="K11311" s="18" t="s">
        <v>477</v>
      </c>
      <c r="N11311" s="17" t="str">
        <f>IFERROR(__xludf.DUMMYFUNCTION("""COMPUTED_VALUE"""),"")</f>
        <v/>
      </c>
      <c r="O11311" s="17"/>
    </row>
    <row r="11312">
      <c r="B11312" s="17" t="s">
        <v>477</v>
      </c>
      <c r="K11312" s="18" t="s">
        <v>477</v>
      </c>
      <c r="N11312" s="17" t="str">
        <f>IFERROR(__xludf.DUMMYFUNCTION("""COMPUTED_VALUE"""),"")</f>
        <v/>
      </c>
      <c r="O11312" s="17"/>
    </row>
    <row r="11313">
      <c r="B11313" s="17" t="s">
        <v>477</v>
      </c>
      <c r="K11313" s="18" t="s">
        <v>477</v>
      </c>
      <c r="N11313" s="17" t="str">
        <f>IFERROR(__xludf.DUMMYFUNCTION("""COMPUTED_VALUE"""),"")</f>
        <v/>
      </c>
      <c r="O11313" s="17"/>
    </row>
    <row r="11314">
      <c r="B11314" s="17" t="s">
        <v>477</v>
      </c>
      <c r="K11314" s="18" t="s">
        <v>477</v>
      </c>
      <c r="N11314" s="17" t="str">
        <f>IFERROR(__xludf.DUMMYFUNCTION("""COMPUTED_VALUE"""),"")</f>
        <v/>
      </c>
      <c r="O11314" s="17"/>
    </row>
    <row r="11315">
      <c r="B11315" s="17" t="s">
        <v>477</v>
      </c>
      <c r="K11315" s="18" t="s">
        <v>477</v>
      </c>
      <c r="N11315" s="17" t="str">
        <f>IFERROR(__xludf.DUMMYFUNCTION("""COMPUTED_VALUE"""),"")</f>
        <v/>
      </c>
      <c r="O11315" s="17"/>
    </row>
    <row r="11316">
      <c r="B11316" s="17" t="s">
        <v>477</v>
      </c>
      <c r="K11316" s="18" t="s">
        <v>477</v>
      </c>
      <c r="N11316" s="17" t="str">
        <f>IFERROR(__xludf.DUMMYFUNCTION("""COMPUTED_VALUE"""),"")</f>
        <v/>
      </c>
      <c r="O11316" s="17"/>
    </row>
    <row r="11317">
      <c r="B11317" s="17" t="s">
        <v>477</v>
      </c>
      <c r="K11317" s="18" t="s">
        <v>477</v>
      </c>
      <c r="N11317" s="17" t="str">
        <f>IFERROR(__xludf.DUMMYFUNCTION("""COMPUTED_VALUE"""),"")</f>
        <v/>
      </c>
      <c r="O11317" s="17"/>
    </row>
    <row r="11318">
      <c r="B11318" s="17" t="s">
        <v>477</v>
      </c>
      <c r="K11318" s="18" t="s">
        <v>477</v>
      </c>
      <c r="N11318" s="17" t="str">
        <f>IFERROR(__xludf.DUMMYFUNCTION("""COMPUTED_VALUE"""),"")</f>
        <v/>
      </c>
      <c r="O11318" s="17"/>
    </row>
    <row r="11319">
      <c r="B11319" s="17" t="s">
        <v>477</v>
      </c>
      <c r="K11319" s="18" t="s">
        <v>477</v>
      </c>
      <c r="N11319" s="17" t="str">
        <f>IFERROR(__xludf.DUMMYFUNCTION("""COMPUTED_VALUE"""),"")</f>
        <v/>
      </c>
      <c r="O11319" s="17"/>
    </row>
    <row r="11320">
      <c r="B11320" s="17" t="s">
        <v>477</v>
      </c>
      <c r="K11320" s="18" t="s">
        <v>477</v>
      </c>
      <c r="N11320" s="17" t="str">
        <f>IFERROR(__xludf.DUMMYFUNCTION("""COMPUTED_VALUE"""),"")</f>
        <v/>
      </c>
      <c r="O11320" s="17"/>
    </row>
    <row r="11321">
      <c r="B11321" s="17" t="s">
        <v>477</v>
      </c>
      <c r="K11321" s="18" t="s">
        <v>477</v>
      </c>
      <c r="N11321" s="17" t="str">
        <f>IFERROR(__xludf.DUMMYFUNCTION("""COMPUTED_VALUE"""),"")</f>
        <v/>
      </c>
      <c r="O11321" s="17"/>
    </row>
    <row r="11322">
      <c r="B11322" s="17" t="s">
        <v>477</v>
      </c>
      <c r="K11322" s="18" t="s">
        <v>477</v>
      </c>
      <c r="N11322" s="17" t="str">
        <f>IFERROR(__xludf.DUMMYFUNCTION("""COMPUTED_VALUE"""),"")</f>
        <v/>
      </c>
      <c r="O11322" s="17"/>
    </row>
    <row r="11323">
      <c r="B11323" s="17" t="s">
        <v>477</v>
      </c>
      <c r="K11323" s="18" t="s">
        <v>477</v>
      </c>
      <c r="N11323" s="17" t="str">
        <f>IFERROR(__xludf.DUMMYFUNCTION("""COMPUTED_VALUE"""),"")</f>
        <v/>
      </c>
      <c r="O11323" s="17"/>
    </row>
    <row r="11324">
      <c r="B11324" s="17" t="s">
        <v>477</v>
      </c>
      <c r="K11324" s="18" t="s">
        <v>477</v>
      </c>
      <c r="N11324" s="17" t="str">
        <f>IFERROR(__xludf.DUMMYFUNCTION("""COMPUTED_VALUE"""),"")</f>
        <v/>
      </c>
      <c r="O11324" s="17"/>
    </row>
    <row r="11325">
      <c r="B11325" s="17" t="s">
        <v>477</v>
      </c>
      <c r="K11325" s="18" t="s">
        <v>477</v>
      </c>
      <c r="N11325" s="17" t="str">
        <f>IFERROR(__xludf.DUMMYFUNCTION("""COMPUTED_VALUE"""),"")</f>
        <v/>
      </c>
      <c r="O11325" s="17"/>
    </row>
    <row r="11326">
      <c r="B11326" s="17" t="s">
        <v>477</v>
      </c>
      <c r="K11326" s="18" t="s">
        <v>477</v>
      </c>
      <c r="N11326" s="17" t="str">
        <f>IFERROR(__xludf.DUMMYFUNCTION("""COMPUTED_VALUE"""),"")</f>
        <v/>
      </c>
      <c r="O11326" s="17"/>
    </row>
    <row r="11327">
      <c r="B11327" s="17" t="s">
        <v>477</v>
      </c>
      <c r="K11327" s="18" t="s">
        <v>477</v>
      </c>
      <c r="N11327" s="17" t="str">
        <f>IFERROR(__xludf.DUMMYFUNCTION("""COMPUTED_VALUE"""),"")</f>
        <v/>
      </c>
      <c r="O11327" s="17"/>
    </row>
    <row r="11328">
      <c r="B11328" s="17" t="s">
        <v>477</v>
      </c>
      <c r="K11328" s="18" t="s">
        <v>477</v>
      </c>
      <c r="N11328" s="17" t="str">
        <f>IFERROR(__xludf.DUMMYFUNCTION("""COMPUTED_VALUE"""),"")</f>
        <v/>
      </c>
      <c r="O11328" s="17"/>
    </row>
    <row r="11329">
      <c r="B11329" s="17" t="s">
        <v>477</v>
      </c>
      <c r="K11329" s="18" t="s">
        <v>477</v>
      </c>
      <c r="N11329" s="17" t="str">
        <f>IFERROR(__xludf.DUMMYFUNCTION("""COMPUTED_VALUE"""),"")</f>
        <v/>
      </c>
      <c r="O11329" s="17"/>
    </row>
    <row r="11330">
      <c r="B11330" s="17" t="s">
        <v>477</v>
      </c>
      <c r="K11330" s="18" t="s">
        <v>477</v>
      </c>
      <c r="N11330" s="17" t="str">
        <f>IFERROR(__xludf.DUMMYFUNCTION("""COMPUTED_VALUE"""),"")</f>
        <v/>
      </c>
      <c r="O11330" s="17"/>
    </row>
    <row r="11331">
      <c r="B11331" s="17" t="s">
        <v>477</v>
      </c>
      <c r="K11331" s="18" t="s">
        <v>477</v>
      </c>
      <c r="N11331" s="17" t="str">
        <f>IFERROR(__xludf.DUMMYFUNCTION("""COMPUTED_VALUE"""),"")</f>
        <v/>
      </c>
      <c r="O11331" s="17"/>
    </row>
    <row r="11332">
      <c r="B11332" s="17" t="s">
        <v>477</v>
      </c>
      <c r="K11332" s="18" t="s">
        <v>477</v>
      </c>
      <c r="N11332" s="17" t="str">
        <f>IFERROR(__xludf.DUMMYFUNCTION("""COMPUTED_VALUE"""),"")</f>
        <v/>
      </c>
      <c r="O11332" s="17"/>
    </row>
    <row r="11333">
      <c r="B11333" s="17" t="s">
        <v>477</v>
      </c>
      <c r="K11333" s="18" t="s">
        <v>477</v>
      </c>
      <c r="N11333" s="17" t="str">
        <f>IFERROR(__xludf.DUMMYFUNCTION("""COMPUTED_VALUE"""),"")</f>
        <v/>
      </c>
      <c r="O11333" s="17"/>
    </row>
    <row r="11334">
      <c r="B11334" s="17" t="s">
        <v>477</v>
      </c>
      <c r="K11334" s="18" t="s">
        <v>477</v>
      </c>
      <c r="N11334" s="17" t="str">
        <f>IFERROR(__xludf.DUMMYFUNCTION("""COMPUTED_VALUE"""),"")</f>
        <v/>
      </c>
      <c r="O11334" s="17"/>
    </row>
    <row r="11335">
      <c r="B11335" s="17" t="s">
        <v>477</v>
      </c>
      <c r="K11335" s="18" t="s">
        <v>477</v>
      </c>
      <c r="N11335" s="17" t="str">
        <f>IFERROR(__xludf.DUMMYFUNCTION("""COMPUTED_VALUE"""),"")</f>
        <v/>
      </c>
      <c r="O11335" s="17"/>
    </row>
    <row r="11336">
      <c r="B11336" s="17" t="s">
        <v>477</v>
      </c>
      <c r="K11336" s="18" t="s">
        <v>477</v>
      </c>
      <c r="N11336" s="17" t="str">
        <f>IFERROR(__xludf.DUMMYFUNCTION("""COMPUTED_VALUE"""),"")</f>
        <v/>
      </c>
      <c r="O11336" s="17"/>
    </row>
    <row r="11337">
      <c r="B11337" s="17" t="s">
        <v>477</v>
      </c>
      <c r="K11337" s="18" t="s">
        <v>477</v>
      </c>
      <c r="N11337" s="17" t="str">
        <f>IFERROR(__xludf.DUMMYFUNCTION("""COMPUTED_VALUE"""),"")</f>
        <v/>
      </c>
      <c r="O11337" s="17"/>
    </row>
    <row r="11338">
      <c r="B11338" s="17" t="s">
        <v>477</v>
      </c>
      <c r="K11338" s="18" t="s">
        <v>477</v>
      </c>
      <c r="N11338" s="17" t="str">
        <f>IFERROR(__xludf.DUMMYFUNCTION("""COMPUTED_VALUE"""),"")</f>
        <v/>
      </c>
      <c r="O11338" s="17"/>
    </row>
    <row r="11339">
      <c r="B11339" s="17" t="s">
        <v>477</v>
      </c>
      <c r="K11339" s="18" t="s">
        <v>477</v>
      </c>
      <c r="N11339" s="17" t="str">
        <f>IFERROR(__xludf.DUMMYFUNCTION("""COMPUTED_VALUE"""),"")</f>
        <v/>
      </c>
      <c r="O11339" s="17"/>
    </row>
    <row r="11340">
      <c r="B11340" s="17" t="s">
        <v>477</v>
      </c>
      <c r="K11340" s="18" t="s">
        <v>477</v>
      </c>
      <c r="N11340" s="17" t="str">
        <f>IFERROR(__xludf.DUMMYFUNCTION("""COMPUTED_VALUE"""),"")</f>
        <v/>
      </c>
      <c r="O11340" s="17"/>
    </row>
    <row r="11341">
      <c r="B11341" s="17" t="s">
        <v>477</v>
      </c>
      <c r="K11341" s="18" t="s">
        <v>477</v>
      </c>
      <c r="N11341" s="17" t="str">
        <f>IFERROR(__xludf.DUMMYFUNCTION("""COMPUTED_VALUE"""),"")</f>
        <v/>
      </c>
      <c r="O11341" s="17"/>
    </row>
    <row r="11342">
      <c r="B11342" s="17" t="s">
        <v>477</v>
      </c>
      <c r="K11342" s="18" t="s">
        <v>477</v>
      </c>
      <c r="N11342" s="17" t="str">
        <f>IFERROR(__xludf.DUMMYFUNCTION("""COMPUTED_VALUE"""),"")</f>
        <v/>
      </c>
      <c r="O11342" s="17"/>
    </row>
    <row r="11343">
      <c r="B11343" s="17" t="s">
        <v>477</v>
      </c>
      <c r="K11343" s="18" t="s">
        <v>477</v>
      </c>
      <c r="N11343" s="17" t="str">
        <f>IFERROR(__xludf.DUMMYFUNCTION("""COMPUTED_VALUE"""),"")</f>
        <v/>
      </c>
      <c r="O11343" s="17"/>
    </row>
    <row r="11344">
      <c r="B11344" s="17" t="s">
        <v>477</v>
      </c>
      <c r="K11344" s="18" t="s">
        <v>477</v>
      </c>
      <c r="N11344" s="17" t="str">
        <f>IFERROR(__xludf.DUMMYFUNCTION("""COMPUTED_VALUE"""),"")</f>
        <v/>
      </c>
      <c r="O11344" s="17"/>
    </row>
    <row r="11345">
      <c r="B11345" s="17" t="s">
        <v>477</v>
      </c>
      <c r="K11345" s="18" t="s">
        <v>477</v>
      </c>
      <c r="N11345" s="17" t="str">
        <f>IFERROR(__xludf.DUMMYFUNCTION("""COMPUTED_VALUE"""),"")</f>
        <v/>
      </c>
      <c r="O11345" s="17"/>
    </row>
    <row r="11346">
      <c r="B11346" s="17" t="s">
        <v>477</v>
      </c>
      <c r="K11346" s="18" t="s">
        <v>477</v>
      </c>
      <c r="N11346" s="17" t="str">
        <f>IFERROR(__xludf.DUMMYFUNCTION("""COMPUTED_VALUE"""),"")</f>
        <v/>
      </c>
      <c r="O11346" s="17"/>
    </row>
    <row r="11347">
      <c r="B11347" s="17" t="s">
        <v>477</v>
      </c>
      <c r="K11347" s="18" t="s">
        <v>477</v>
      </c>
      <c r="N11347" s="17" t="str">
        <f>IFERROR(__xludf.DUMMYFUNCTION("""COMPUTED_VALUE"""),"")</f>
        <v/>
      </c>
      <c r="O11347" s="17"/>
    </row>
    <row r="11348">
      <c r="B11348" s="17" t="s">
        <v>477</v>
      </c>
      <c r="K11348" s="18" t="s">
        <v>477</v>
      </c>
      <c r="N11348" s="17" t="str">
        <f>IFERROR(__xludf.DUMMYFUNCTION("""COMPUTED_VALUE"""),"")</f>
        <v/>
      </c>
      <c r="O11348" s="17"/>
    </row>
    <row r="11349">
      <c r="B11349" s="17" t="s">
        <v>477</v>
      </c>
      <c r="K11349" s="18" t="s">
        <v>477</v>
      </c>
      <c r="N11349" s="17" t="str">
        <f>IFERROR(__xludf.DUMMYFUNCTION("""COMPUTED_VALUE"""),"")</f>
        <v/>
      </c>
      <c r="O11349" s="17"/>
    </row>
    <row r="11350">
      <c r="B11350" s="17" t="s">
        <v>477</v>
      </c>
      <c r="K11350" s="18" t="s">
        <v>477</v>
      </c>
      <c r="N11350" s="17" t="str">
        <f>IFERROR(__xludf.DUMMYFUNCTION("""COMPUTED_VALUE"""),"")</f>
        <v/>
      </c>
      <c r="O11350" s="17"/>
    </row>
    <row r="11351">
      <c r="B11351" s="17" t="s">
        <v>477</v>
      </c>
      <c r="K11351" s="18" t="s">
        <v>477</v>
      </c>
      <c r="N11351" s="17" t="str">
        <f>IFERROR(__xludf.DUMMYFUNCTION("""COMPUTED_VALUE"""),"")</f>
        <v/>
      </c>
      <c r="O11351" s="17"/>
    </row>
    <row r="11352">
      <c r="B11352" s="17" t="s">
        <v>477</v>
      </c>
      <c r="K11352" s="18" t="s">
        <v>477</v>
      </c>
      <c r="N11352" s="17" t="str">
        <f>IFERROR(__xludf.DUMMYFUNCTION("""COMPUTED_VALUE"""),"")</f>
        <v/>
      </c>
      <c r="O11352" s="17"/>
    </row>
    <row r="11353">
      <c r="B11353" s="17" t="s">
        <v>477</v>
      </c>
      <c r="K11353" s="18" t="s">
        <v>477</v>
      </c>
      <c r="N11353" s="17" t="str">
        <f>IFERROR(__xludf.DUMMYFUNCTION("""COMPUTED_VALUE"""),"")</f>
        <v/>
      </c>
      <c r="O11353" s="17"/>
    </row>
    <row r="11354">
      <c r="B11354" s="17" t="s">
        <v>477</v>
      </c>
      <c r="K11354" s="18" t="s">
        <v>477</v>
      </c>
      <c r="N11354" s="17" t="str">
        <f>IFERROR(__xludf.DUMMYFUNCTION("""COMPUTED_VALUE"""),"")</f>
        <v/>
      </c>
      <c r="O11354" s="17"/>
    </row>
    <row r="11355">
      <c r="B11355" s="17" t="s">
        <v>477</v>
      </c>
      <c r="K11355" s="18" t="s">
        <v>477</v>
      </c>
      <c r="N11355" s="17" t="str">
        <f>IFERROR(__xludf.DUMMYFUNCTION("""COMPUTED_VALUE"""),"")</f>
        <v/>
      </c>
      <c r="O11355" s="17"/>
    </row>
    <row r="11356">
      <c r="B11356" s="17" t="s">
        <v>477</v>
      </c>
      <c r="K11356" s="18" t="s">
        <v>477</v>
      </c>
      <c r="N11356" s="17" t="str">
        <f>IFERROR(__xludf.DUMMYFUNCTION("""COMPUTED_VALUE"""),"")</f>
        <v/>
      </c>
      <c r="O11356" s="17"/>
    </row>
    <row r="11357">
      <c r="B11357" s="17" t="s">
        <v>477</v>
      </c>
      <c r="K11357" s="18" t="s">
        <v>477</v>
      </c>
      <c r="N11357" s="17" t="str">
        <f>IFERROR(__xludf.DUMMYFUNCTION("""COMPUTED_VALUE"""),"")</f>
        <v/>
      </c>
      <c r="O11357" s="17"/>
    </row>
    <row r="11358">
      <c r="B11358" s="17" t="s">
        <v>477</v>
      </c>
      <c r="K11358" s="18" t="s">
        <v>477</v>
      </c>
      <c r="N11358" s="17" t="str">
        <f>IFERROR(__xludf.DUMMYFUNCTION("""COMPUTED_VALUE"""),"")</f>
        <v/>
      </c>
      <c r="O11358" s="17"/>
    </row>
    <row r="11359">
      <c r="B11359" s="17" t="s">
        <v>477</v>
      </c>
      <c r="K11359" s="18" t="s">
        <v>477</v>
      </c>
      <c r="N11359" s="17" t="str">
        <f>IFERROR(__xludf.DUMMYFUNCTION("""COMPUTED_VALUE"""),"")</f>
        <v/>
      </c>
      <c r="O11359" s="17"/>
    </row>
    <row r="11360">
      <c r="B11360" s="17" t="s">
        <v>477</v>
      </c>
      <c r="K11360" s="18" t="s">
        <v>477</v>
      </c>
      <c r="N11360" s="17" t="str">
        <f>IFERROR(__xludf.DUMMYFUNCTION("""COMPUTED_VALUE"""),"")</f>
        <v/>
      </c>
      <c r="O11360" s="17"/>
    </row>
    <row r="11361">
      <c r="B11361" s="17" t="s">
        <v>477</v>
      </c>
      <c r="K11361" s="18" t="s">
        <v>477</v>
      </c>
      <c r="N11361" s="17" t="str">
        <f>IFERROR(__xludf.DUMMYFUNCTION("""COMPUTED_VALUE"""),"")</f>
        <v/>
      </c>
      <c r="O11361" s="17"/>
    </row>
    <row r="11362">
      <c r="B11362" s="17" t="s">
        <v>477</v>
      </c>
      <c r="K11362" s="18" t="s">
        <v>477</v>
      </c>
      <c r="N11362" s="17" t="str">
        <f>IFERROR(__xludf.DUMMYFUNCTION("""COMPUTED_VALUE"""),"")</f>
        <v/>
      </c>
      <c r="O11362" s="17"/>
    </row>
    <row r="11363">
      <c r="B11363" s="17" t="s">
        <v>477</v>
      </c>
      <c r="K11363" s="18" t="s">
        <v>477</v>
      </c>
      <c r="N11363" s="17" t="str">
        <f>IFERROR(__xludf.DUMMYFUNCTION("""COMPUTED_VALUE"""),"")</f>
        <v/>
      </c>
      <c r="O11363" s="17"/>
    </row>
    <row r="11364">
      <c r="B11364" s="17" t="s">
        <v>477</v>
      </c>
      <c r="K11364" s="18" t="s">
        <v>477</v>
      </c>
      <c r="N11364" s="17" t="str">
        <f>IFERROR(__xludf.DUMMYFUNCTION("""COMPUTED_VALUE"""),"")</f>
        <v/>
      </c>
      <c r="O11364" s="17"/>
    </row>
    <row r="11365">
      <c r="B11365" s="17" t="s">
        <v>477</v>
      </c>
      <c r="K11365" s="18" t="s">
        <v>477</v>
      </c>
      <c r="N11365" s="17" t="str">
        <f>IFERROR(__xludf.DUMMYFUNCTION("""COMPUTED_VALUE"""),"")</f>
        <v/>
      </c>
      <c r="O11365" s="17"/>
    </row>
    <row r="11366">
      <c r="B11366" s="17" t="s">
        <v>477</v>
      </c>
      <c r="K11366" s="18" t="s">
        <v>477</v>
      </c>
      <c r="N11366" s="17" t="str">
        <f>IFERROR(__xludf.DUMMYFUNCTION("""COMPUTED_VALUE"""),"")</f>
        <v/>
      </c>
      <c r="O11366" s="17"/>
    </row>
    <row r="11367">
      <c r="B11367" s="17" t="s">
        <v>477</v>
      </c>
      <c r="K11367" s="18" t="s">
        <v>477</v>
      </c>
      <c r="N11367" s="17" t="str">
        <f>IFERROR(__xludf.DUMMYFUNCTION("""COMPUTED_VALUE"""),"")</f>
        <v/>
      </c>
      <c r="O11367" s="17"/>
    </row>
    <row r="11368">
      <c r="B11368" s="17" t="s">
        <v>477</v>
      </c>
      <c r="K11368" s="18" t="s">
        <v>477</v>
      </c>
      <c r="N11368" s="17" t="str">
        <f>IFERROR(__xludf.DUMMYFUNCTION("""COMPUTED_VALUE"""),"")</f>
        <v/>
      </c>
      <c r="O11368" s="17"/>
    </row>
    <row r="11369">
      <c r="B11369" s="17" t="s">
        <v>477</v>
      </c>
      <c r="K11369" s="18" t="s">
        <v>477</v>
      </c>
      <c r="N11369" s="17" t="str">
        <f>IFERROR(__xludf.DUMMYFUNCTION("""COMPUTED_VALUE"""),"")</f>
        <v/>
      </c>
      <c r="O11369" s="17"/>
    </row>
    <row r="11370">
      <c r="B11370" s="17" t="s">
        <v>477</v>
      </c>
      <c r="K11370" s="18" t="s">
        <v>477</v>
      </c>
      <c r="N11370" s="17" t="str">
        <f>IFERROR(__xludf.DUMMYFUNCTION("""COMPUTED_VALUE"""),"")</f>
        <v/>
      </c>
      <c r="O11370" s="17"/>
    </row>
    <row r="11371">
      <c r="B11371" s="17" t="s">
        <v>477</v>
      </c>
      <c r="K11371" s="18" t="s">
        <v>477</v>
      </c>
      <c r="N11371" s="17" t="str">
        <f>IFERROR(__xludf.DUMMYFUNCTION("""COMPUTED_VALUE"""),"")</f>
        <v/>
      </c>
      <c r="O11371" s="17"/>
    </row>
    <row r="11372">
      <c r="B11372" s="17" t="s">
        <v>477</v>
      </c>
      <c r="K11372" s="18" t="s">
        <v>477</v>
      </c>
      <c r="N11372" s="17" t="str">
        <f>IFERROR(__xludf.DUMMYFUNCTION("""COMPUTED_VALUE"""),"")</f>
        <v/>
      </c>
      <c r="O11372" s="17"/>
    </row>
    <row r="11373">
      <c r="B11373" s="17" t="s">
        <v>477</v>
      </c>
      <c r="K11373" s="18" t="s">
        <v>477</v>
      </c>
      <c r="N11373" s="17" t="str">
        <f>IFERROR(__xludf.DUMMYFUNCTION("""COMPUTED_VALUE"""),"")</f>
        <v/>
      </c>
      <c r="O11373" s="17"/>
    </row>
    <row r="11374">
      <c r="B11374" s="17" t="s">
        <v>477</v>
      </c>
      <c r="K11374" s="18" t="s">
        <v>477</v>
      </c>
      <c r="N11374" s="17" t="str">
        <f>IFERROR(__xludf.DUMMYFUNCTION("""COMPUTED_VALUE"""),"")</f>
        <v/>
      </c>
      <c r="O11374" s="17"/>
    </row>
    <row r="11375">
      <c r="B11375" s="17" t="s">
        <v>477</v>
      </c>
      <c r="K11375" s="18" t="s">
        <v>477</v>
      </c>
      <c r="N11375" s="17" t="str">
        <f>IFERROR(__xludf.DUMMYFUNCTION("""COMPUTED_VALUE"""),"")</f>
        <v/>
      </c>
      <c r="O11375" s="17"/>
    </row>
    <row r="11376">
      <c r="B11376" s="17" t="s">
        <v>477</v>
      </c>
      <c r="K11376" s="18" t="s">
        <v>477</v>
      </c>
      <c r="N11376" s="17" t="str">
        <f>IFERROR(__xludf.DUMMYFUNCTION("""COMPUTED_VALUE"""),"")</f>
        <v/>
      </c>
      <c r="O11376" s="17"/>
    </row>
    <row r="11377">
      <c r="B11377" s="17" t="s">
        <v>477</v>
      </c>
      <c r="K11377" s="18" t="s">
        <v>477</v>
      </c>
      <c r="N11377" s="17" t="str">
        <f>IFERROR(__xludf.DUMMYFUNCTION("""COMPUTED_VALUE"""),"")</f>
        <v/>
      </c>
      <c r="O11377" s="17"/>
    </row>
    <row r="11378">
      <c r="B11378" s="17" t="s">
        <v>477</v>
      </c>
      <c r="K11378" s="18" t="s">
        <v>477</v>
      </c>
      <c r="N11378" s="17" t="str">
        <f>IFERROR(__xludf.DUMMYFUNCTION("""COMPUTED_VALUE"""),"")</f>
        <v/>
      </c>
      <c r="O11378" s="17"/>
    </row>
    <row r="11379">
      <c r="B11379" s="17" t="s">
        <v>477</v>
      </c>
      <c r="K11379" s="18" t="s">
        <v>477</v>
      </c>
      <c r="N11379" s="17" t="str">
        <f>IFERROR(__xludf.DUMMYFUNCTION("""COMPUTED_VALUE"""),"")</f>
        <v/>
      </c>
      <c r="O11379" s="17"/>
    </row>
    <row r="11380">
      <c r="B11380" s="17" t="s">
        <v>477</v>
      </c>
      <c r="K11380" s="18" t="s">
        <v>477</v>
      </c>
      <c r="N11380" s="17" t="str">
        <f>IFERROR(__xludf.DUMMYFUNCTION("""COMPUTED_VALUE"""),"")</f>
        <v/>
      </c>
      <c r="O11380" s="17"/>
    </row>
    <row r="11381">
      <c r="B11381" s="17" t="s">
        <v>477</v>
      </c>
      <c r="K11381" s="18" t="s">
        <v>477</v>
      </c>
      <c r="N11381" s="17" t="str">
        <f>IFERROR(__xludf.DUMMYFUNCTION("""COMPUTED_VALUE"""),"")</f>
        <v/>
      </c>
      <c r="O11381" s="17"/>
    </row>
    <row r="11382">
      <c r="B11382" s="17" t="s">
        <v>477</v>
      </c>
      <c r="K11382" s="18" t="s">
        <v>477</v>
      </c>
      <c r="N11382" s="17" t="str">
        <f>IFERROR(__xludf.DUMMYFUNCTION("""COMPUTED_VALUE"""),"")</f>
        <v/>
      </c>
      <c r="O11382" s="17"/>
    </row>
    <row r="11383">
      <c r="B11383" s="17" t="s">
        <v>477</v>
      </c>
      <c r="K11383" s="18" t="s">
        <v>477</v>
      </c>
      <c r="N11383" s="17" t="str">
        <f>IFERROR(__xludf.DUMMYFUNCTION("""COMPUTED_VALUE"""),"")</f>
        <v/>
      </c>
      <c r="O11383" s="17"/>
    </row>
    <row r="11384">
      <c r="B11384" s="17" t="s">
        <v>477</v>
      </c>
      <c r="K11384" s="18" t="s">
        <v>477</v>
      </c>
      <c r="N11384" s="17" t="str">
        <f>IFERROR(__xludf.DUMMYFUNCTION("""COMPUTED_VALUE"""),"")</f>
        <v/>
      </c>
      <c r="O11384" s="17"/>
    </row>
    <row r="11385">
      <c r="B11385" s="17" t="s">
        <v>477</v>
      </c>
      <c r="K11385" s="18" t="s">
        <v>477</v>
      </c>
      <c r="N11385" s="17" t="str">
        <f>IFERROR(__xludf.DUMMYFUNCTION("""COMPUTED_VALUE"""),"")</f>
        <v/>
      </c>
      <c r="O11385" s="17"/>
    </row>
    <row r="11386">
      <c r="B11386" s="17" t="s">
        <v>477</v>
      </c>
      <c r="K11386" s="18" t="s">
        <v>477</v>
      </c>
      <c r="N11386" s="17" t="str">
        <f>IFERROR(__xludf.DUMMYFUNCTION("""COMPUTED_VALUE"""),"")</f>
        <v/>
      </c>
      <c r="O11386" s="17"/>
    </row>
    <row r="11387">
      <c r="B11387" s="17" t="s">
        <v>477</v>
      </c>
      <c r="K11387" s="18" t="s">
        <v>477</v>
      </c>
      <c r="N11387" s="17" t="str">
        <f>IFERROR(__xludf.DUMMYFUNCTION("""COMPUTED_VALUE"""),"")</f>
        <v/>
      </c>
      <c r="O11387" s="17"/>
    </row>
    <row r="11388">
      <c r="B11388" s="17" t="s">
        <v>477</v>
      </c>
      <c r="K11388" s="18" t="s">
        <v>477</v>
      </c>
      <c r="N11388" s="17" t="str">
        <f>IFERROR(__xludf.DUMMYFUNCTION("""COMPUTED_VALUE"""),"")</f>
        <v/>
      </c>
      <c r="O11388" s="17"/>
    </row>
    <row r="11389">
      <c r="B11389" s="17" t="s">
        <v>477</v>
      </c>
      <c r="K11389" s="18" t="s">
        <v>477</v>
      </c>
      <c r="N11389" s="17" t="str">
        <f>IFERROR(__xludf.DUMMYFUNCTION("""COMPUTED_VALUE"""),"")</f>
        <v/>
      </c>
      <c r="O11389" s="17"/>
    </row>
    <row r="11390">
      <c r="B11390" s="17" t="s">
        <v>477</v>
      </c>
      <c r="K11390" s="18" t="s">
        <v>477</v>
      </c>
      <c r="N11390" s="17" t="str">
        <f>IFERROR(__xludf.DUMMYFUNCTION("""COMPUTED_VALUE"""),"")</f>
        <v/>
      </c>
      <c r="O11390" s="17"/>
    </row>
    <row r="11391">
      <c r="B11391" s="17" t="s">
        <v>477</v>
      </c>
      <c r="K11391" s="18" t="s">
        <v>477</v>
      </c>
      <c r="N11391" s="17" t="str">
        <f>IFERROR(__xludf.DUMMYFUNCTION("""COMPUTED_VALUE"""),"")</f>
        <v/>
      </c>
      <c r="O11391" s="17"/>
    </row>
    <row r="11392">
      <c r="B11392" s="17" t="s">
        <v>477</v>
      </c>
      <c r="K11392" s="18" t="s">
        <v>477</v>
      </c>
      <c r="N11392" s="17" t="str">
        <f>IFERROR(__xludf.DUMMYFUNCTION("""COMPUTED_VALUE"""),"")</f>
        <v/>
      </c>
      <c r="O11392" s="17"/>
    </row>
    <row r="11393">
      <c r="B11393" s="17" t="s">
        <v>477</v>
      </c>
      <c r="K11393" s="18" t="s">
        <v>477</v>
      </c>
      <c r="N11393" s="17" t="str">
        <f>IFERROR(__xludf.DUMMYFUNCTION("""COMPUTED_VALUE"""),"")</f>
        <v/>
      </c>
      <c r="O11393" s="17"/>
    </row>
    <row r="11394">
      <c r="B11394" s="17" t="s">
        <v>477</v>
      </c>
      <c r="K11394" s="18" t="s">
        <v>477</v>
      </c>
      <c r="N11394" s="17" t="str">
        <f>IFERROR(__xludf.DUMMYFUNCTION("""COMPUTED_VALUE"""),"")</f>
        <v/>
      </c>
      <c r="O11394" s="17"/>
    </row>
    <row r="11395">
      <c r="B11395" s="17" t="s">
        <v>477</v>
      </c>
      <c r="K11395" s="18" t="s">
        <v>477</v>
      </c>
      <c r="N11395" s="17" t="str">
        <f>IFERROR(__xludf.DUMMYFUNCTION("""COMPUTED_VALUE"""),"")</f>
        <v/>
      </c>
      <c r="O11395" s="17"/>
    </row>
    <row r="11396">
      <c r="B11396" s="17" t="s">
        <v>477</v>
      </c>
      <c r="K11396" s="18" t="s">
        <v>477</v>
      </c>
      <c r="N11396" s="17" t="str">
        <f>IFERROR(__xludf.DUMMYFUNCTION("""COMPUTED_VALUE"""),"")</f>
        <v/>
      </c>
      <c r="O11396" s="17"/>
    </row>
    <row r="11397">
      <c r="B11397" s="17" t="s">
        <v>477</v>
      </c>
      <c r="K11397" s="18" t="s">
        <v>477</v>
      </c>
      <c r="N11397" s="17" t="str">
        <f>IFERROR(__xludf.DUMMYFUNCTION("""COMPUTED_VALUE"""),"")</f>
        <v/>
      </c>
      <c r="O11397" s="17"/>
    </row>
    <row r="11398">
      <c r="B11398" s="17" t="s">
        <v>477</v>
      </c>
      <c r="K11398" s="18" t="s">
        <v>477</v>
      </c>
      <c r="N11398" s="17" t="str">
        <f>IFERROR(__xludf.DUMMYFUNCTION("""COMPUTED_VALUE"""),"")</f>
        <v/>
      </c>
      <c r="O11398" s="17"/>
    </row>
    <row r="11399">
      <c r="B11399" s="17" t="s">
        <v>477</v>
      </c>
      <c r="K11399" s="18" t="s">
        <v>477</v>
      </c>
      <c r="N11399" s="17" t="str">
        <f>IFERROR(__xludf.DUMMYFUNCTION("""COMPUTED_VALUE"""),"")</f>
        <v/>
      </c>
      <c r="O11399" s="17"/>
    </row>
    <row r="11400">
      <c r="B11400" s="17" t="s">
        <v>477</v>
      </c>
      <c r="K11400" s="18" t="s">
        <v>477</v>
      </c>
      <c r="N11400" s="17" t="str">
        <f>IFERROR(__xludf.DUMMYFUNCTION("""COMPUTED_VALUE"""),"")</f>
        <v/>
      </c>
      <c r="O11400" s="17"/>
    </row>
    <row r="11401">
      <c r="B11401" s="17" t="s">
        <v>477</v>
      </c>
      <c r="K11401" s="18" t="s">
        <v>477</v>
      </c>
      <c r="N11401" s="17" t="str">
        <f>IFERROR(__xludf.DUMMYFUNCTION("""COMPUTED_VALUE"""),"")</f>
        <v/>
      </c>
      <c r="O11401" s="17"/>
    </row>
    <row r="11402">
      <c r="B11402" s="17" t="s">
        <v>477</v>
      </c>
      <c r="K11402" s="18" t="s">
        <v>477</v>
      </c>
      <c r="N11402" s="17" t="str">
        <f>IFERROR(__xludf.DUMMYFUNCTION("""COMPUTED_VALUE"""),"")</f>
        <v/>
      </c>
      <c r="O11402" s="17"/>
    </row>
    <row r="11403">
      <c r="B11403" s="17" t="s">
        <v>477</v>
      </c>
      <c r="K11403" s="18" t="s">
        <v>477</v>
      </c>
      <c r="N11403" s="17" t="str">
        <f>IFERROR(__xludf.DUMMYFUNCTION("""COMPUTED_VALUE"""),"")</f>
        <v/>
      </c>
      <c r="O11403" s="17"/>
    </row>
    <row r="11404">
      <c r="B11404" s="17" t="s">
        <v>477</v>
      </c>
      <c r="K11404" s="18" t="s">
        <v>477</v>
      </c>
      <c r="N11404" s="17" t="str">
        <f>IFERROR(__xludf.DUMMYFUNCTION("""COMPUTED_VALUE"""),"")</f>
        <v/>
      </c>
      <c r="O11404" s="17"/>
    </row>
    <row r="11405">
      <c r="B11405" s="17" t="s">
        <v>477</v>
      </c>
      <c r="K11405" s="18" t="s">
        <v>477</v>
      </c>
      <c r="N11405" s="17" t="str">
        <f>IFERROR(__xludf.DUMMYFUNCTION("""COMPUTED_VALUE"""),"")</f>
        <v/>
      </c>
      <c r="O11405" s="17"/>
    </row>
    <row r="11406">
      <c r="B11406" s="17" t="s">
        <v>477</v>
      </c>
      <c r="K11406" s="18" t="s">
        <v>477</v>
      </c>
      <c r="N11406" s="17" t="str">
        <f>IFERROR(__xludf.DUMMYFUNCTION("""COMPUTED_VALUE"""),"")</f>
        <v/>
      </c>
      <c r="O11406" s="17"/>
    </row>
    <row r="11407">
      <c r="B11407" s="17" t="s">
        <v>477</v>
      </c>
      <c r="K11407" s="18" t="s">
        <v>477</v>
      </c>
      <c r="N11407" s="17" t="str">
        <f>IFERROR(__xludf.DUMMYFUNCTION("""COMPUTED_VALUE"""),"")</f>
        <v/>
      </c>
      <c r="O11407" s="17"/>
    </row>
    <row r="11408">
      <c r="B11408" s="17" t="s">
        <v>477</v>
      </c>
      <c r="K11408" s="18" t="s">
        <v>477</v>
      </c>
      <c r="N11408" s="17" t="str">
        <f>IFERROR(__xludf.DUMMYFUNCTION("""COMPUTED_VALUE"""),"")</f>
        <v/>
      </c>
      <c r="O11408" s="17"/>
    </row>
    <row r="11409">
      <c r="B11409" s="17" t="s">
        <v>477</v>
      </c>
      <c r="K11409" s="18" t="s">
        <v>477</v>
      </c>
      <c r="N11409" s="17" t="str">
        <f>IFERROR(__xludf.DUMMYFUNCTION("""COMPUTED_VALUE"""),"")</f>
        <v/>
      </c>
      <c r="O11409" s="17"/>
    </row>
    <row r="11410">
      <c r="B11410" s="17" t="s">
        <v>477</v>
      </c>
      <c r="K11410" s="18" t="s">
        <v>477</v>
      </c>
      <c r="N11410" s="17" t="str">
        <f>IFERROR(__xludf.DUMMYFUNCTION("""COMPUTED_VALUE"""),"")</f>
        <v/>
      </c>
      <c r="O11410" s="17"/>
    </row>
    <row r="11411">
      <c r="B11411" s="17" t="s">
        <v>477</v>
      </c>
      <c r="K11411" s="18" t="s">
        <v>477</v>
      </c>
      <c r="N11411" s="17" t="str">
        <f>IFERROR(__xludf.DUMMYFUNCTION("""COMPUTED_VALUE"""),"")</f>
        <v/>
      </c>
      <c r="O11411" s="17"/>
    </row>
    <row r="11412">
      <c r="B11412" s="17" t="s">
        <v>477</v>
      </c>
      <c r="K11412" s="18" t="s">
        <v>477</v>
      </c>
      <c r="N11412" s="17" t="str">
        <f>IFERROR(__xludf.DUMMYFUNCTION("""COMPUTED_VALUE"""),"")</f>
        <v/>
      </c>
      <c r="O11412" s="17"/>
    </row>
    <row r="11413">
      <c r="B11413" s="17" t="s">
        <v>477</v>
      </c>
      <c r="K11413" s="18" t="s">
        <v>477</v>
      </c>
      <c r="N11413" s="17" t="str">
        <f>IFERROR(__xludf.DUMMYFUNCTION("""COMPUTED_VALUE"""),"")</f>
        <v/>
      </c>
      <c r="O11413" s="17"/>
    </row>
    <row r="11414">
      <c r="B11414" s="17" t="s">
        <v>477</v>
      </c>
      <c r="K11414" s="18" t="s">
        <v>477</v>
      </c>
      <c r="N11414" s="17" t="str">
        <f>IFERROR(__xludf.DUMMYFUNCTION("""COMPUTED_VALUE"""),"")</f>
        <v/>
      </c>
      <c r="O11414" s="17"/>
    </row>
    <row r="11415">
      <c r="B11415" s="17" t="s">
        <v>477</v>
      </c>
      <c r="K11415" s="18" t="s">
        <v>477</v>
      </c>
      <c r="N11415" s="17" t="str">
        <f>IFERROR(__xludf.DUMMYFUNCTION("""COMPUTED_VALUE"""),"")</f>
        <v/>
      </c>
      <c r="O11415" s="17"/>
    </row>
    <row r="11416">
      <c r="B11416" s="17" t="s">
        <v>477</v>
      </c>
      <c r="K11416" s="18" t="s">
        <v>477</v>
      </c>
      <c r="N11416" s="17" t="str">
        <f>IFERROR(__xludf.DUMMYFUNCTION("""COMPUTED_VALUE"""),"")</f>
        <v/>
      </c>
      <c r="O11416" s="17"/>
    </row>
    <row r="11417">
      <c r="B11417" s="17" t="s">
        <v>477</v>
      </c>
      <c r="K11417" s="18" t="s">
        <v>477</v>
      </c>
      <c r="N11417" s="17" t="str">
        <f>IFERROR(__xludf.DUMMYFUNCTION("""COMPUTED_VALUE"""),"")</f>
        <v/>
      </c>
      <c r="O11417" s="17"/>
    </row>
    <row r="11418">
      <c r="B11418" s="17" t="s">
        <v>477</v>
      </c>
      <c r="K11418" s="18" t="s">
        <v>477</v>
      </c>
      <c r="N11418" s="17" t="str">
        <f>IFERROR(__xludf.DUMMYFUNCTION("""COMPUTED_VALUE"""),"")</f>
        <v/>
      </c>
      <c r="O11418" s="17"/>
    </row>
    <row r="11419">
      <c r="B11419" s="17" t="s">
        <v>477</v>
      </c>
      <c r="K11419" s="18" t="s">
        <v>477</v>
      </c>
      <c r="N11419" s="17" t="str">
        <f>IFERROR(__xludf.DUMMYFUNCTION("""COMPUTED_VALUE"""),"")</f>
        <v/>
      </c>
      <c r="O11419" s="17"/>
    </row>
    <row r="11420">
      <c r="B11420" s="17" t="s">
        <v>477</v>
      </c>
      <c r="K11420" s="18" t="s">
        <v>477</v>
      </c>
      <c r="N11420" s="17" t="str">
        <f>IFERROR(__xludf.DUMMYFUNCTION("""COMPUTED_VALUE"""),"")</f>
        <v/>
      </c>
      <c r="O11420" s="17"/>
    </row>
    <row r="11421">
      <c r="B11421" s="17" t="s">
        <v>477</v>
      </c>
      <c r="K11421" s="18" t="s">
        <v>477</v>
      </c>
      <c r="N11421" s="17" t="str">
        <f>IFERROR(__xludf.DUMMYFUNCTION("""COMPUTED_VALUE"""),"")</f>
        <v/>
      </c>
      <c r="O11421" s="17"/>
    </row>
    <row r="11422">
      <c r="B11422" s="17" t="s">
        <v>477</v>
      </c>
      <c r="K11422" s="18" t="s">
        <v>477</v>
      </c>
      <c r="N11422" s="17" t="str">
        <f>IFERROR(__xludf.DUMMYFUNCTION("""COMPUTED_VALUE"""),"")</f>
        <v/>
      </c>
      <c r="O11422" s="17"/>
    </row>
    <row r="11423">
      <c r="B11423" s="17" t="s">
        <v>477</v>
      </c>
      <c r="K11423" s="18" t="s">
        <v>477</v>
      </c>
      <c r="N11423" s="17" t="str">
        <f>IFERROR(__xludf.DUMMYFUNCTION("""COMPUTED_VALUE"""),"")</f>
        <v/>
      </c>
      <c r="O11423" s="17"/>
    </row>
    <row r="11424">
      <c r="B11424" s="17" t="s">
        <v>477</v>
      </c>
      <c r="K11424" s="18" t="s">
        <v>477</v>
      </c>
      <c r="N11424" s="17" t="str">
        <f>IFERROR(__xludf.DUMMYFUNCTION("""COMPUTED_VALUE"""),"")</f>
        <v/>
      </c>
      <c r="O11424" s="17"/>
    </row>
    <row r="11425">
      <c r="B11425" s="17" t="s">
        <v>477</v>
      </c>
      <c r="K11425" s="18" t="s">
        <v>477</v>
      </c>
      <c r="N11425" s="17" t="str">
        <f>IFERROR(__xludf.DUMMYFUNCTION("""COMPUTED_VALUE"""),"")</f>
        <v/>
      </c>
      <c r="O11425" s="17"/>
    </row>
    <row r="11426">
      <c r="B11426" s="17" t="s">
        <v>477</v>
      </c>
      <c r="K11426" s="18" t="s">
        <v>477</v>
      </c>
      <c r="N11426" s="17" t="str">
        <f>IFERROR(__xludf.DUMMYFUNCTION("""COMPUTED_VALUE"""),"")</f>
        <v/>
      </c>
      <c r="O11426" s="17"/>
    </row>
    <row r="11427">
      <c r="B11427" s="17" t="s">
        <v>477</v>
      </c>
      <c r="K11427" s="18" t="s">
        <v>477</v>
      </c>
      <c r="N11427" s="17" t="str">
        <f>IFERROR(__xludf.DUMMYFUNCTION("""COMPUTED_VALUE"""),"")</f>
        <v/>
      </c>
      <c r="O11427" s="17"/>
    </row>
    <row r="11428">
      <c r="B11428" s="17" t="s">
        <v>477</v>
      </c>
      <c r="K11428" s="18" t="s">
        <v>477</v>
      </c>
      <c r="N11428" s="17" t="str">
        <f>IFERROR(__xludf.DUMMYFUNCTION("""COMPUTED_VALUE"""),"")</f>
        <v/>
      </c>
      <c r="O11428" s="17"/>
    </row>
    <row r="11429">
      <c r="B11429" s="17" t="s">
        <v>477</v>
      </c>
      <c r="K11429" s="18" t="s">
        <v>477</v>
      </c>
      <c r="N11429" s="17" t="str">
        <f>IFERROR(__xludf.DUMMYFUNCTION("""COMPUTED_VALUE"""),"")</f>
        <v/>
      </c>
      <c r="O11429" s="17"/>
    </row>
    <row r="11430">
      <c r="B11430" s="17" t="s">
        <v>477</v>
      </c>
      <c r="K11430" s="18" t="s">
        <v>477</v>
      </c>
      <c r="N11430" s="17" t="str">
        <f>IFERROR(__xludf.DUMMYFUNCTION("""COMPUTED_VALUE"""),"")</f>
        <v/>
      </c>
      <c r="O11430" s="17"/>
    </row>
    <row r="11431">
      <c r="B11431" s="17" t="s">
        <v>477</v>
      </c>
      <c r="K11431" s="18" t="s">
        <v>477</v>
      </c>
      <c r="N11431" s="17" t="str">
        <f>IFERROR(__xludf.DUMMYFUNCTION("""COMPUTED_VALUE"""),"")</f>
        <v/>
      </c>
      <c r="O11431" s="17"/>
    </row>
    <row r="11432">
      <c r="B11432" s="17" t="s">
        <v>477</v>
      </c>
      <c r="K11432" s="18" t="s">
        <v>477</v>
      </c>
      <c r="N11432" s="17" t="str">
        <f>IFERROR(__xludf.DUMMYFUNCTION("""COMPUTED_VALUE"""),"")</f>
        <v/>
      </c>
      <c r="O11432" s="17"/>
    </row>
    <row r="11433">
      <c r="B11433" s="17" t="s">
        <v>477</v>
      </c>
      <c r="K11433" s="18" t="s">
        <v>477</v>
      </c>
      <c r="N11433" s="17" t="str">
        <f>IFERROR(__xludf.DUMMYFUNCTION("""COMPUTED_VALUE"""),"")</f>
        <v/>
      </c>
      <c r="O11433" s="17"/>
    </row>
    <row r="11434">
      <c r="B11434" s="17" t="s">
        <v>477</v>
      </c>
      <c r="K11434" s="18" t="s">
        <v>477</v>
      </c>
      <c r="N11434" s="17" t="str">
        <f>IFERROR(__xludf.DUMMYFUNCTION("""COMPUTED_VALUE"""),"")</f>
        <v/>
      </c>
      <c r="O11434" s="17"/>
    </row>
    <row r="11435">
      <c r="B11435" s="17" t="s">
        <v>477</v>
      </c>
      <c r="K11435" s="18" t="s">
        <v>477</v>
      </c>
      <c r="N11435" s="17" t="str">
        <f>IFERROR(__xludf.DUMMYFUNCTION("""COMPUTED_VALUE"""),"")</f>
        <v/>
      </c>
      <c r="O11435" s="17"/>
    </row>
    <row r="11436">
      <c r="B11436" s="17" t="s">
        <v>477</v>
      </c>
      <c r="K11436" s="18" t="s">
        <v>477</v>
      </c>
      <c r="N11436" s="17" t="str">
        <f>IFERROR(__xludf.DUMMYFUNCTION("""COMPUTED_VALUE"""),"")</f>
        <v/>
      </c>
      <c r="O11436" s="17"/>
    </row>
    <row r="11437">
      <c r="B11437" s="17" t="s">
        <v>477</v>
      </c>
      <c r="K11437" s="18" t="s">
        <v>477</v>
      </c>
      <c r="N11437" s="17" t="str">
        <f>IFERROR(__xludf.DUMMYFUNCTION("""COMPUTED_VALUE"""),"")</f>
        <v/>
      </c>
      <c r="O11437" s="17"/>
    </row>
    <row r="11438">
      <c r="B11438" s="17" t="s">
        <v>477</v>
      </c>
      <c r="K11438" s="18" t="s">
        <v>477</v>
      </c>
      <c r="N11438" s="17" t="str">
        <f>IFERROR(__xludf.DUMMYFUNCTION("""COMPUTED_VALUE"""),"")</f>
        <v/>
      </c>
      <c r="O11438" s="17"/>
    </row>
    <row r="11439">
      <c r="B11439" s="17" t="s">
        <v>477</v>
      </c>
      <c r="K11439" s="18" t="s">
        <v>477</v>
      </c>
      <c r="N11439" s="17" t="str">
        <f>IFERROR(__xludf.DUMMYFUNCTION("""COMPUTED_VALUE"""),"")</f>
        <v/>
      </c>
      <c r="O11439" s="17"/>
    </row>
    <row r="11440">
      <c r="B11440" s="17" t="s">
        <v>477</v>
      </c>
      <c r="K11440" s="18" t="s">
        <v>477</v>
      </c>
      <c r="N11440" s="17" t="str">
        <f>IFERROR(__xludf.DUMMYFUNCTION("""COMPUTED_VALUE"""),"")</f>
        <v/>
      </c>
      <c r="O11440" s="17"/>
    </row>
    <row r="11441">
      <c r="B11441" s="17" t="s">
        <v>477</v>
      </c>
      <c r="K11441" s="18" t="s">
        <v>477</v>
      </c>
      <c r="N11441" s="17" t="str">
        <f>IFERROR(__xludf.DUMMYFUNCTION("""COMPUTED_VALUE"""),"")</f>
        <v/>
      </c>
      <c r="O11441" s="17"/>
    </row>
    <row r="11442">
      <c r="B11442" s="17" t="s">
        <v>477</v>
      </c>
      <c r="K11442" s="18" t="s">
        <v>477</v>
      </c>
      <c r="N11442" s="17" t="str">
        <f>IFERROR(__xludf.DUMMYFUNCTION("""COMPUTED_VALUE"""),"")</f>
        <v/>
      </c>
      <c r="O11442" s="17"/>
    </row>
    <row r="11443">
      <c r="B11443" s="17" t="s">
        <v>477</v>
      </c>
      <c r="K11443" s="18" t="s">
        <v>477</v>
      </c>
      <c r="N11443" s="17" t="str">
        <f>IFERROR(__xludf.DUMMYFUNCTION("""COMPUTED_VALUE"""),"")</f>
        <v/>
      </c>
      <c r="O11443" s="17"/>
    </row>
    <row r="11444">
      <c r="B11444" s="17" t="s">
        <v>477</v>
      </c>
      <c r="K11444" s="18" t="s">
        <v>477</v>
      </c>
      <c r="N11444" s="17" t="str">
        <f>IFERROR(__xludf.DUMMYFUNCTION("""COMPUTED_VALUE"""),"")</f>
        <v/>
      </c>
      <c r="O11444" s="17"/>
    </row>
    <row r="11445">
      <c r="B11445" s="17" t="s">
        <v>477</v>
      </c>
      <c r="K11445" s="18" t="s">
        <v>477</v>
      </c>
      <c r="N11445" s="17" t="str">
        <f>IFERROR(__xludf.DUMMYFUNCTION("""COMPUTED_VALUE"""),"")</f>
        <v/>
      </c>
      <c r="O11445" s="17"/>
    </row>
    <row r="11446">
      <c r="B11446" s="17" t="s">
        <v>477</v>
      </c>
      <c r="K11446" s="18" t="s">
        <v>477</v>
      </c>
      <c r="N11446" s="17" t="str">
        <f>IFERROR(__xludf.DUMMYFUNCTION("""COMPUTED_VALUE"""),"")</f>
        <v/>
      </c>
      <c r="O11446" s="17"/>
    </row>
    <row r="11447">
      <c r="B11447" s="17" t="s">
        <v>477</v>
      </c>
      <c r="K11447" s="18" t="s">
        <v>477</v>
      </c>
      <c r="N11447" s="17" t="str">
        <f>IFERROR(__xludf.DUMMYFUNCTION("""COMPUTED_VALUE"""),"")</f>
        <v/>
      </c>
      <c r="O11447" s="17"/>
    </row>
    <row r="11448">
      <c r="B11448" s="17" t="s">
        <v>477</v>
      </c>
      <c r="K11448" s="18" t="s">
        <v>477</v>
      </c>
      <c r="N11448" s="17" t="str">
        <f>IFERROR(__xludf.DUMMYFUNCTION("""COMPUTED_VALUE"""),"")</f>
        <v/>
      </c>
      <c r="O11448" s="17"/>
    </row>
    <row r="11449">
      <c r="B11449" s="17" t="s">
        <v>477</v>
      </c>
      <c r="K11449" s="18" t="s">
        <v>477</v>
      </c>
      <c r="N11449" s="17" t="str">
        <f>IFERROR(__xludf.DUMMYFUNCTION("""COMPUTED_VALUE"""),"")</f>
        <v/>
      </c>
      <c r="O11449" s="17"/>
    </row>
    <row r="11450">
      <c r="B11450" s="17" t="s">
        <v>477</v>
      </c>
      <c r="K11450" s="18" t="s">
        <v>477</v>
      </c>
      <c r="N11450" s="17" t="str">
        <f>IFERROR(__xludf.DUMMYFUNCTION("""COMPUTED_VALUE"""),"")</f>
        <v/>
      </c>
      <c r="O11450" s="17"/>
    </row>
    <row r="11451">
      <c r="B11451" s="17" t="s">
        <v>477</v>
      </c>
      <c r="K11451" s="18" t="s">
        <v>477</v>
      </c>
      <c r="N11451" s="17" t="str">
        <f>IFERROR(__xludf.DUMMYFUNCTION("""COMPUTED_VALUE"""),"")</f>
        <v/>
      </c>
      <c r="O11451" s="17"/>
    </row>
    <row r="11452">
      <c r="B11452" s="17" t="s">
        <v>477</v>
      </c>
      <c r="K11452" s="18" t="s">
        <v>477</v>
      </c>
      <c r="N11452" s="17" t="str">
        <f>IFERROR(__xludf.DUMMYFUNCTION("""COMPUTED_VALUE"""),"")</f>
        <v/>
      </c>
      <c r="O11452" s="17"/>
    </row>
    <row r="11453">
      <c r="B11453" s="17" t="s">
        <v>477</v>
      </c>
      <c r="K11453" s="18" t="s">
        <v>477</v>
      </c>
      <c r="N11453" s="17" t="str">
        <f>IFERROR(__xludf.DUMMYFUNCTION("""COMPUTED_VALUE"""),"")</f>
        <v/>
      </c>
      <c r="O11453" s="17"/>
    </row>
    <row r="11454">
      <c r="B11454" s="17" t="s">
        <v>477</v>
      </c>
      <c r="K11454" s="18" t="s">
        <v>477</v>
      </c>
      <c r="N11454" s="17" t="str">
        <f>IFERROR(__xludf.DUMMYFUNCTION("""COMPUTED_VALUE"""),"")</f>
        <v/>
      </c>
      <c r="O11454" s="17"/>
    </row>
    <row r="11455">
      <c r="B11455" s="17" t="s">
        <v>477</v>
      </c>
      <c r="K11455" s="18" t="s">
        <v>477</v>
      </c>
      <c r="N11455" s="17" t="str">
        <f>IFERROR(__xludf.DUMMYFUNCTION("""COMPUTED_VALUE"""),"")</f>
        <v/>
      </c>
      <c r="O11455" s="17"/>
    </row>
    <row r="11456">
      <c r="B11456" s="17" t="s">
        <v>477</v>
      </c>
      <c r="K11456" s="18" t="s">
        <v>477</v>
      </c>
      <c r="N11456" s="17" t="str">
        <f>IFERROR(__xludf.DUMMYFUNCTION("""COMPUTED_VALUE"""),"")</f>
        <v/>
      </c>
      <c r="O11456" s="17"/>
    </row>
    <row r="11457">
      <c r="B11457" s="17" t="s">
        <v>477</v>
      </c>
      <c r="K11457" s="18" t="s">
        <v>477</v>
      </c>
      <c r="N11457" s="17" t="str">
        <f>IFERROR(__xludf.DUMMYFUNCTION("""COMPUTED_VALUE"""),"")</f>
        <v/>
      </c>
      <c r="O11457" s="17"/>
    </row>
    <row r="11458">
      <c r="B11458" s="17" t="s">
        <v>477</v>
      </c>
      <c r="K11458" s="18" t="s">
        <v>477</v>
      </c>
      <c r="N11458" s="17" t="str">
        <f>IFERROR(__xludf.DUMMYFUNCTION("""COMPUTED_VALUE"""),"")</f>
        <v/>
      </c>
      <c r="O11458" s="17"/>
    </row>
    <row r="11459">
      <c r="B11459" s="17" t="s">
        <v>477</v>
      </c>
      <c r="K11459" s="18" t="s">
        <v>477</v>
      </c>
      <c r="N11459" s="17" t="str">
        <f>IFERROR(__xludf.DUMMYFUNCTION("""COMPUTED_VALUE"""),"")</f>
        <v/>
      </c>
      <c r="O11459" s="17"/>
    </row>
    <row r="11460">
      <c r="B11460" s="17" t="s">
        <v>477</v>
      </c>
      <c r="K11460" s="18" t="s">
        <v>477</v>
      </c>
      <c r="N11460" s="17" t="str">
        <f>IFERROR(__xludf.DUMMYFUNCTION("""COMPUTED_VALUE"""),"")</f>
        <v/>
      </c>
      <c r="O11460" s="17"/>
    </row>
    <row r="11461">
      <c r="B11461" s="17" t="s">
        <v>477</v>
      </c>
      <c r="K11461" s="18" t="s">
        <v>477</v>
      </c>
      <c r="N11461" s="17" t="str">
        <f>IFERROR(__xludf.DUMMYFUNCTION("""COMPUTED_VALUE"""),"")</f>
        <v/>
      </c>
      <c r="O11461" s="17"/>
    </row>
    <row r="11462">
      <c r="B11462" s="17" t="s">
        <v>477</v>
      </c>
      <c r="K11462" s="18" t="s">
        <v>477</v>
      </c>
      <c r="N11462" s="17" t="str">
        <f>IFERROR(__xludf.DUMMYFUNCTION("""COMPUTED_VALUE"""),"")</f>
        <v/>
      </c>
      <c r="O11462" s="17"/>
    </row>
    <row r="11463">
      <c r="B11463" s="17" t="s">
        <v>477</v>
      </c>
      <c r="K11463" s="18" t="s">
        <v>477</v>
      </c>
      <c r="N11463" s="17" t="str">
        <f>IFERROR(__xludf.DUMMYFUNCTION("""COMPUTED_VALUE"""),"")</f>
        <v/>
      </c>
      <c r="O11463" s="17"/>
    </row>
    <row r="11464">
      <c r="B11464" s="17" t="s">
        <v>477</v>
      </c>
      <c r="K11464" s="18" t="s">
        <v>477</v>
      </c>
      <c r="N11464" s="17" t="str">
        <f>IFERROR(__xludf.DUMMYFUNCTION("""COMPUTED_VALUE"""),"")</f>
        <v/>
      </c>
      <c r="O11464" s="17"/>
    </row>
    <row r="11465">
      <c r="B11465" s="17" t="s">
        <v>477</v>
      </c>
      <c r="K11465" s="18" t="s">
        <v>477</v>
      </c>
      <c r="N11465" s="17" t="str">
        <f>IFERROR(__xludf.DUMMYFUNCTION("""COMPUTED_VALUE"""),"")</f>
        <v/>
      </c>
      <c r="O11465" s="17"/>
    </row>
    <row r="11466">
      <c r="B11466" s="17" t="s">
        <v>477</v>
      </c>
      <c r="K11466" s="18" t="s">
        <v>477</v>
      </c>
      <c r="N11466" s="17" t="str">
        <f>IFERROR(__xludf.DUMMYFUNCTION("""COMPUTED_VALUE"""),"")</f>
        <v/>
      </c>
      <c r="O11466" s="17"/>
    </row>
    <row r="11467">
      <c r="B11467" s="17" t="s">
        <v>477</v>
      </c>
      <c r="K11467" s="18" t="s">
        <v>477</v>
      </c>
      <c r="N11467" s="17" t="str">
        <f>IFERROR(__xludf.DUMMYFUNCTION("""COMPUTED_VALUE"""),"")</f>
        <v/>
      </c>
      <c r="O11467" s="17"/>
    </row>
    <row r="11468">
      <c r="B11468" s="17" t="s">
        <v>477</v>
      </c>
      <c r="K11468" s="18" t="s">
        <v>477</v>
      </c>
      <c r="N11468" s="17" t="str">
        <f>IFERROR(__xludf.DUMMYFUNCTION("""COMPUTED_VALUE"""),"")</f>
        <v/>
      </c>
      <c r="O11468" s="17"/>
    </row>
    <row r="11469">
      <c r="B11469" s="17" t="s">
        <v>477</v>
      </c>
      <c r="K11469" s="18" t="s">
        <v>477</v>
      </c>
      <c r="N11469" s="17" t="str">
        <f>IFERROR(__xludf.DUMMYFUNCTION("""COMPUTED_VALUE"""),"")</f>
        <v/>
      </c>
      <c r="O11469" s="17"/>
    </row>
    <row r="11470">
      <c r="B11470" s="17" t="s">
        <v>477</v>
      </c>
      <c r="K11470" s="18" t="s">
        <v>477</v>
      </c>
      <c r="N11470" s="17" t="str">
        <f>IFERROR(__xludf.DUMMYFUNCTION("""COMPUTED_VALUE"""),"")</f>
        <v/>
      </c>
      <c r="O11470" s="17"/>
    </row>
    <row r="11471">
      <c r="B11471" s="17" t="s">
        <v>477</v>
      </c>
      <c r="K11471" s="18" t="s">
        <v>477</v>
      </c>
      <c r="N11471" s="17" t="str">
        <f>IFERROR(__xludf.DUMMYFUNCTION("""COMPUTED_VALUE"""),"")</f>
        <v/>
      </c>
      <c r="O11471" s="17"/>
    </row>
    <row r="11472">
      <c r="B11472" s="17" t="s">
        <v>477</v>
      </c>
      <c r="K11472" s="18" t="s">
        <v>477</v>
      </c>
      <c r="N11472" s="17" t="str">
        <f>IFERROR(__xludf.DUMMYFUNCTION("""COMPUTED_VALUE"""),"")</f>
        <v/>
      </c>
      <c r="O11472" s="17"/>
    </row>
    <row r="11473">
      <c r="B11473" s="17" t="s">
        <v>477</v>
      </c>
      <c r="K11473" s="18" t="s">
        <v>477</v>
      </c>
      <c r="N11473" s="17" t="str">
        <f>IFERROR(__xludf.DUMMYFUNCTION("""COMPUTED_VALUE"""),"")</f>
        <v/>
      </c>
      <c r="O11473" s="17"/>
    </row>
    <row r="11474">
      <c r="B11474" s="17" t="s">
        <v>477</v>
      </c>
      <c r="K11474" s="18" t="s">
        <v>477</v>
      </c>
      <c r="N11474" s="17" t="str">
        <f>IFERROR(__xludf.DUMMYFUNCTION("""COMPUTED_VALUE"""),"")</f>
        <v/>
      </c>
      <c r="O11474" s="17"/>
    </row>
    <row r="11475">
      <c r="B11475" s="17" t="s">
        <v>477</v>
      </c>
      <c r="K11475" s="18" t="s">
        <v>477</v>
      </c>
      <c r="N11475" s="17" t="str">
        <f>IFERROR(__xludf.DUMMYFUNCTION("""COMPUTED_VALUE"""),"")</f>
        <v/>
      </c>
      <c r="O11475" s="17"/>
    </row>
    <row r="11476">
      <c r="B11476" s="17" t="s">
        <v>477</v>
      </c>
      <c r="K11476" s="18" t="s">
        <v>477</v>
      </c>
      <c r="N11476" s="17" t="str">
        <f>IFERROR(__xludf.DUMMYFUNCTION("""COMPUTED_VALUE"""),"")</f>
        <v/>
      </c>
      <c r="O11476" s="17"/>
    </row>
    <row r="11477">
      <c r="B11477" s="17" t="s">
        <v>477</v>
      </c>
      <c r="K11477" s="18" t="s">
        <v>477</v>
      </c>
      <c r="N11477" s="17" t="str">
        <f>IFERROR(__xludf.DUMMYFUNCTION("""COMPUTED_VALUE"""),"")</f>
        <v/>
      </c>
      <c r="O11477" s="17"/>
    </row>
    <row r="11478">
      <c r="B11478" s="17" t="s">
        <v>477</v>
      </c>
      <c r="K11478" s="18" t="s">
        <v>477</v>
      </c>
      <c r="N11478" s="17" t="str">
        <f>IFERROR(__xludf.DUMMYFUNCTION("""COMPUTED_VALUE"""),"")</f>
        <v/>
      </c>
      <c r="O11478" s="17"/>
    </row>
    <row r="11479">
      <c r="B11479" s="17" t="s">
        <v>477</v>
      </c>
      <c r="K11479" s="18" t="s">
        <v>477</v>
      </c>
      <c r="N11479" s="17" t="str">
        <f>IFERROR(__xludf.DUMMYFUNCTION("""COMPUTED_VALUE"""),"")</f>
        <v/>
      </c>
      <c r="O11479" s="17"/>
    </row>
    <row r="11480">
      <c r="B11480" s="17" t="s">
        <v>477</v>
      </c>
      <c r="K11480" s="18" t="s">
        <v>477</v>
      </c>
      <c r="N11480" s="17" t="str">
        <f>IFERROR(__xludf.DUMMYFUNCTION("""COMPUTED_VALUE"""),"")</f>
        <v/>
      </c>
      <c r="O11480" s="17"/>
    </row>
    <row r="11481">
      <c r="B11481" s="17" t="s">
        <v>477</v>
      </c>
      <c r="K11481" s="18" t="s">
        <v>477</v>
      </c>
      <c r="N11481" s="17" t="str">
        <f>IFERROR(__xludf.DUMMYFUNCTION("""COMPUTED_VALUE"""),"")</f>
        <v/>
      </c>
      <c r="O11481" s="17"/>
    </row>
    <row r="11482">
      <c r="B11482" s="17" t="s">
        <v>477</v>
      </c>
      <c r="K11482" s="18" t="s">
        <v>477</v>
      </c>
      <c r="N11482" s="17" t="str">
        <f>IFERROR(__xludf.DUMMYFUNCTION("""COMPUTED_VALUE"""),"")</f>
        <v/>
      </c>
      <c r="O11482" s="17"/>
    </row>
    <row r="11483">
      <c r="B11483" s="17" t="s">
        <v>477</v>
      </c>
      <c r="K11483" s="18" t="s">
        <v>477</v>
      </c>
      <c r="N11483" s="17" t="str">
        <f>IFERROR(__xludf.DUMMYFUNCTION("""COMPUTED_VALUE"""),"")</f>
        <v/>
      </c>
      <c r="O11483" s="17"/>
    </row>
    <row r="11484">
      <c r="B11484" s="17" t="s">
        <v>477</v>
      </c>
      <c r="K11484" s="18" t="s">
        <v>477</v>
      </c>
      <c r="N11484" s="17" t="str">
        <f>IFERROR(__xludf.DUMMYFUNCTION("""COMPUTED_VALUE"""),"")</f>
        <v/>
      </c>
      <c r="O11484" s="17"/>
    </row>
    <row r="11485">
      <c r="B11485" s="17" t="s">
        <v>477</v>
      </c>
      <c r="K11485" s="18" t="s">
        <v>477</v>
      </c>
      <c r="N11485" s="17" t="str">
        <f>IFERROR(__xludf.DUMMYFUNCTION("""COMPUTED_VALUE"""),"")</f>
        <v/>
      </c>
      <c r="O11485" s="17"/>
    </row>
    <row r="11486">
      <c r="B11486" s="17" t="s">
        <v>477</v>
      </c>
      <c r="K11486" s="18" t="s">
        <v>477</v>
      </c>
      <c r="N11486" s="17" t="str">
        <f>IFERROR(__xludf.DUMMYFUNCTION("""COMPUTED_VALUE"""),"")</f>
        <v/>
      </c>
      <c r="O11486" s="17"/>
    </row>
    <row r="11487">
      <c r="B11487" s="17" t="s">
        <v>477</v>
      </c>
      <c r="K11487" s="18" t="s">
        <v>477</v>
      </c>
      <c r="N11487" s="17" t="str">
        <f>IFERROR(__xludf.DUMMYFUNCTION("""COMPUTED_VALUE"""),"")</f>
        <v/>
      </c>
      <c r="O11487" s="17"/>
    </row>
    <row r="11488">
      <c r="B11488" s="17" t="s">
        <v>477</v>
      </c>
      <c r="K11488" s="18" t="s">
        <v>477</v>
      </c>
      <c r="N11488" s="17" t="str">
        <f>IFERROR(__xludf.DUMMYFUNCTION("""COMPUTED_VALUE"""),"")</f>
        <v/>
      </c>
      <c r="O11488" s="17"/>
    </row>
    <row r="11489">
      <c r="B11489" s="17" t="s">
        <v>477</v>
      </c>
      <c r="K11489" s="18" t="s">
        <v>477</v>
      </c>
      <c r="N11489" s="17" t="str">
        <f>IFERROR(__xludf.DUMMYFUNCTION("""COMPUTED_VALUE"""),"")</f>
        <v/>
      </c>
      <c r="O11489" s="17"/>
    </row>
    <row r="11490">
      <c r="B11490" s="17" t="s">
        <v>477</v>
      </c>
      <c r="K11490" s="18" t="s">
        <v>477</v>
      </c>
      <c r="N11490" s="17" t="str">
        <f>IFERROR(__xludf.DUMMYFUNCTION("""COMPUTED_VALUE"""),"")</f>
        <v/>
      </c>
      <c r="O11490" s="17"/>
    </row>
    <row r="11491">
      <c r="B11491" s="17" t="s">
        <v>477</v>
      </c>
      <c r="K11491" s="18" t="s">
        <v>477</v>
      </c>
      <c r="N11491" s="17" t="str">
        <f>IFERROR(__xludf.DUMMYFUNCTION("""COMPUTED_VALUE"""),"")</f>
        <v/>
      </c>
      <c r="O11491" s="17"/>
    </row>
    <row r="11492">
      <c r="B11492" s="17" t="s">
        <v>477</v>
      </c>
      <c r="K11492" s="18" t="s">
        <v>477</v>
      </c>
      <c r="N11492" s="17" t="str">
        <f>IFERROR(__xludf.DUMMYFUNCTION("""COMPUTED_VALUE"""),"")</f>
        <v/>
      </c>
      <c r="O11492" s="17"/>
    </row>
    <row r="11493">
      <c r="B11493" s="17" t="s">
        <v>477</v>
      </c>
      <c r="K11493" s="18" t="s">
        <v>477</v>
      </c>
      <c r="N11493" s="17" t="str">
        <f>IFERROR(__xludf.DUMMYFUNCTION("""COMPUTED_VALUE"""),"")</f>
        <v/>
      </c>
      <c r="O11493" s="17"/>
    </row>
    <row r="11494">
      <c r="B11494" s="17" t="s">
        <v>477</v>
      </c>
      <c r="K11494" s="18" t="s">
        <v>477</v>
      </c>
      <c r="N11494" s="17" t="str">
        <f>IFERROR(__xludf.DUMMYFUNCTION("""COMPUTED_VALUE"""),"")</f>
        <v/>
      </c>
      <c r="O11494" s="17"/>
    </row>
    <row r="11495">
      <c r="B11495" s="17" t="s">
        <v>477</v>
      </c>
      <c r="K11495" s="18" t="s">
        <v>477</v>
      </c>
      <c r="N11495" s="17" t="str">
        <f>IFERROR(__xludf.DUMMYFUNCTION("""COMPUTED_VALUE"""),"")</f>
        <v/>
      </c>
      <c r="O11495" s="17"/>
    </row>
    <row r="11496">
      <c r="B11496" s="17" t="s">
        <v>477</v>
      </c>
      <c r="K11496" s="18" t="s">
        <v>477</v>
      </c>
      <c r="N11496" s="17" t="str">
        <f>IFERROR(__xludf.DUMMYFUNCTION("""COMPUTED_VALUE"""),"")</f>
        <v/>
      </c>
      <c r="O11496" s="17"/>
    </row>
    <row r="11497">
      <c r="B11497" s="17" t="s">
        <v>477</v>
      </c>
      <c r="K11497" s="18" t="s">
        <v>477</v>
      </c>
      <c r="N11497" s="17" t="str">
        <f>IFERROR(__xludf.DUMMYFUNCTION("""COMPUTED_VALUE"""),"")</f>
        <v/>
      </c>
      <c r="O11497" s="17"/>
    </row>
    <row r="11498">
      <c r="B11498" s="17" t="s">
        <v>477</v>
      </c>
      <c r="K11498" s="18" t="s">
        <v>477</v>
      </c>
      <c r="N11498" s="17" t="str">
        <f>IFERROR(__xludf.DUMMYFUNCTION("""COMPUTED_VALUE"""),"")</f>
        <v/>
      </c>
      <c r="O11498" s="17"/>
    </row>
    <row r="11499">
      <c r="B11499" s="17" t="s">
        <v>477</v>
      </c>
      <c r="K11499" s="18" t="s">
        <v>477</v>
      </c>
      <c r="N11499" s="17" t="str">
        <f>IFERROR(__xludf.DUMMYFUNCTION("""COMPUTED_VALUE"""),"")</f>
        <v/>
      </c>
      <c r="O11499" s="17"/>
    </row>
    <row r="11500">
      <c r="B11500" s="17" t="s">
        <v>477</v>
      </c>
      <c r="K11500" s="18" t="s">
        <v>477</v>
      </c>
      <c r="N11500" s="17" t="str">
        <f>IFERROR(__xludf.DUMMYFUNCTION("""COMPUTED_VALUE"""),"")</f>
        <v/>
      </c>
      <c r="O11500" s="17"/>
    </row>
    <row r="11501">
      <c r="B11501" s="17" t="s">
        <v>477</v>
      </c>
      <c r="K11501" s="18" t="s">
        <v>477</v>
      </c>
      <c r="N11501" s="17" t="str">
        <f>IFERROR(__xludf.DUMMYFUNCTION("""COMPUTED_VALUE"""),"")</f>
        <v/>
      </c>
      <c r="O11501" s="17"/>
    </row>
    <row r="11502">
      <c r="B11502" s="17" t="s">
        <v>477</v>
      </c>
      <c r="K11502" s="18" t="s">
        <v>477</v>
      </c>
      <c r="N11502" s="17" t="str">
        <f>IFERROR(__xludf.DUMMYFUNCTION("""COMPUTED_VALUE"""),"")</f>
        <v/>
      </c>
      <c r="O11502" s="17"/>
    </row>
    <row r="11503">
      <c r="B11503" s="17" t="s">
        <v>477</v>
      </c>
      <c r="K11503" s="18" t="s">
        <v>477</v>
      </c>
      <c r="N11503" s="17" t="str">
        <f>IFERROR(__xludf.DUMMYFUNCTION("""COMPUTED_VALUE"""),"")</f>
        <v/>
      </c>
      <c r="O11503" s="17"/>
    </row>
    <row r="11504">
      <c r="B11504" s="17" t="s">
        <v>477</v>
      </c>
      <c r="K11504" s="18" t="s">
        <v>477</v>
      </c>
      <c r="N11504" s="17" t="str">
        <f>IFERROR(__xludf.DUMMYFUNCTION("""COMPUTED_VALUE"""),"")</f>
        <v/>
      </c>
      <c r="O11504" s="17"/>
    </row>
    <row r="11505">
      <c r="B11505" s="17" t="s">
        <v>477</v>
      </c>
      <c r="K11505" s="18" t="s">
        <v>477</v>
      </c>
      <c r="N11505" s="17" t="str">
        <f>IFERROR(__xludf.DUMMYFUNCTION("""COMPUTED_VALUE"""),"")</f>
        <v/>
      </c>
      <c r="O11505" s="17"/>
    </row>
    <row r="11506">
      <c r="B11506" s="17" t="s">
        <v>477</v>
      </c>
      <c r="K11506" s="18" t="s">
        <v>477</v>
      </c>
      <c r="N11506" s="17" t="str">
        <f>IFERROR(__xludf.DUMMYFUNCTION("""COMPUTED_VALUE"""),"")</f>
        <v/>
      </c>
      <c r="O11506" s="17"/>
    </row>
    <row r="11507">
      <c r="B11507" s="17" t="s">
        <v>477</v>
      </c>
      <c r="K11507" s="18" t="s">
        <v>477</v>
      </c>
      <c r="N11507" s="17" t="str">
        <f>IFERROR(__xludf.DUMMYFUNCTION("""COMPUTED_VALUE"""),"")</f>
        <v/>
      </c>
      <c r="O11507" s="17"/>
    </row>
    <row r="11508">
      <c r="B11508" s="17" t="s">
        <v>477</v>
      </c>
      <c r="K11508" s="18" t="s">
        <v>477</v>
      </c>
      <c r="N11508" s="17" t="str">
        <f>IFERROR(__xludf.DUMMYFUNCTION("""COMPUTED_VALUE"""),"")</f>
        <v/>
      </c>
      <c r="O11508" s="17"/>
    </row>
    <row r="11509">
      <c r="B11509" s="17" t="s">
        <v>477</v>
      </c>
      <c r="K11509" s="18" t="s">
        <v>477</v>
      </c>
      <c r="N11509" s="17" t="str">
        <f>IFERROR(__xludf.DUMMYFUNCTION("""COMPUTED_VALUE"""),"")</f>
        <v/>
      </c>
      <c r="O11509" s="17"/>
    </row>
    <row r="11510">
      <c r="B11510" s="17" t="s">
        <v>477</v>
      </c>
      <c r="K11510" s="18" t="s">
        <v>477</v>
      </c>
      <c r="N11510" s="17" t="str">
        <f>IFERROR(__xludf.DUMMYFUNCTION("""COMPUTED_VALUE"""),"")</f>
        <v/>
      </c>
      <c r="O11510" s="17"/>
    </row>
    <row r="11511">
      <c r="B11511" s="17" t="s">
        <v>477</v>
      </c>
      <c r="K11511" s="18" t="s">
        <v>477</v>
      </c>
      <c r="N11511" s="17" t="str">
        <f>IFERROR(__xludf.DUMMYFUNCTION("""COMPUTED_VALUE"""),"")</f>
        <v/>
      </c>
      <c r="O11511" s="17"/>
    </row>
    <row r="11512">
      <c r="B11512" s="17" t="s">
        <v>477</v>
      </c>
      <c r="K11512" s="18" t="s">
        <v>477</v>
      </c>
      <c r="N11512" s="17" t="str">
        <f>IFERROR(__xludf.DUMMYFUNCTION("""COMPUTED_VALUE"""),"")</f>
        <v/>
      </c>
      <c r="O11512" s="17"/>
    </row>
    <row r="11513">
      <c r="B11513" s="17" t="s">
        <v>477</v>
      </c>
      <c r="K11513" s="18" t="s">
        <v>477</v>
      </c>
      <c r="N11513" s="17" t="str">
        <f>IFERROR(__xludf.DUMMYFUNCTION("""COMPUTED_VALUE"""),"")</f>
        <v/>
      </c>
      <c r="O11513" s="17"/>
    </row>
    <row r="11514">
      <c r="B11514" s="17" t="s">
        <v>477</v>
      </c>
      <c r="K11514" s="18" t="s">
        <v>477</v>
      </c>
      <c r="N11514" s="17" t="str">
        <f>IFERROR(__xludf.DUMMYFUNCTION("""COMPUTED_VALUE"""),"")</f>
        <v/>
      </c>
      <c r="O11514" s="17"/>
    </row>
    <row r="11515">
      <c r="B11515" s="17" t="s">
        <v>477</v>
      </c>
      <c r="K11515" s="18" t="s">
        <v>477</v>
      </c>
      <c r="N11515" s="17" t="str">
        <f>IFERROR(__xludf.DUMMYFUNCTION("""COMPUTED_VALUE"""),"")</f>
        <v/>
      </c>
      <c r="O11515" s="17"/>
    </row>
    <row r="11516">
      <c r="B11516" s="17" t="s">
        <v>477</v>
      </c>
      <c r="K11516" s="18" t="s">
        <v>477</v>
      </c>
      <c r="N11516" s="17" t="str">
        <f>IFERROR(__xludf.DUMMYFUNCTION("""COMPUTED_VALUE"""),"")</f>
        <v/>
      </c>
      <c r="O11516" s="17"/>
    </row>
    <row r="11517">
      <c r="B11517" s="17" t="s">
        <v>477</v>
      </c>
      <c r="K11517" s="18" t="s">
        <v>477</v>
      </c>
      <c r="N11517" s="17" t="str">
        <f>IFERROR(__xludf.DUMMYFUNCTION("""COMPUTED_VALUE"""),"")</f>
        <v/>
      </c>
      <c r="O11517" s="17"/>
    </row>
    <row r="11518">
      <c r="B11518" s="17" t="s">
        <v>477</v>
      </c>
      <c r="K11518" s="18" t="s">
        <v>477</v>
      </c>
      <c r="N11518" s="17" t="str">
        <f>IFERROR(__xludf.DUMMYFUNCTION("""COMPUTED_VALUE"""),"")</f>
        <v/>
      </c>
      <c r="O11518" s="17"/>
    </row>
    <row r="11519">
      <c r="B11519" s="17" t="s">
        <v>477</v>
      </c>
      <c r="K11519" s="18" t="s">
        <v>477</v>
      </c>
      <c r="N11519" s="17" t="str">
        <f>IFERROR(__xludf.DUMMYFUNCTION("""COMPUTED_VALUE"""),"")</f>
        <v/>
      </c>
      <c r="O11519" s="17"/>
    </row>
    <row r="11520">
      <c r="B11520" s="17" t="s">
        <v>477</v>
      </c>
      <c r="K11520" s="18" t="s">
        <v>477</v>
      </c>
      <c r="N11520" s="17" t="str">
        <f>IFERROR(__xludf.DUMMYFUNCTION("""COMPUTED_VALUE"""),"")</f>
        <v/>
      </c>
      <c r="O11520" s="17"/>
    </row>
    <row r="11521">
      <c r="B11521" s="17" t="s">
        <v>477</v>
      </c>
      <c r="K11521" s="18" t="s">
        <v>477</v>
      </c>
      <c r="N11521" s="17" t="str">
        <f>IFERROR(__xludf.DUMMYFUNCTION("""COMPUTED_VALUE"""),"")</f>
        <v/>
      </c>
      <c r="O11521" s="17"/>
    </row>
    <row r="11522">
      <c r="B11522" s="17" t="s">
        <v>477</v>
      </c>
      <c r="K11522" s="18" t="s">
        <v>477</v>
      </c>
      <c r="N11522" s="17" t="str">
        <f>IFERROR(__xludf.DUMMYFUNCTION("""COMPUTED_VALUE"""),"")</f>
        <v/>
      </c>
      <c r="O11522" s="17"/>
    </row>
    <row r="11523">
      <c r="B11523" s="17" t="s">
        <v>477</v>
      </c>
      <c r="K11523" s="18" t="s">
        <v>477</v>
      </c>
      <c r="N11523" s="17" t="str">
        <f>IFERROR(__xludf.DUMMYFUNCTION("""COMPUTED_VALUE"""),"")</f>
        <v/>
      </c>
      <c r="O11523" s="17"/>
    </row>
    <row r="11524">
      <c r="B11524" s="17" t="s">
        <v>477</v>
      </c>
      <c r="K11524" s="18" t="s">
        <v>477</v>
      </c>
      <c r="N11524" s="17" t="str">
        <f>IFERROR(__xludf.DUMMYFUNCTION("""COMPUTED_VALUE"""),"")</f>
        <v/>
      </c>
      <c r="O11524" s="17"/>
    </row>
    <row r="11525">
      <c r="B11525" s="17" t="s">
        <v>477</v>
      </c>
      <c r="K11525" s="18" t="s">
        <v>477</v>
      </c>
      <c r="N11525" s="17" t="str">
        <f>IFERROR(__xludf.DUMMYFUNCTION("""COMPUTED_VALUE"""),"")</f>
        <v/>
      </c>
      <c r="O11525" s="17"/>
    </row>
    <row r="11526">
      <c r="B11526" s="17" t="s">
        <v>477</v>
      </c>
      <c r="K11526" s="18" t="s">
        <v>477</v>
      </c>
      <c r="N11526" s="17" t="str">
        <f>IFERROR(__xludf.DUMMYFUNCTION("""COMPUTED_VALUE"""),"")</f>
        <v/>
      </c>
      <c r="O11526" s="17"/>
    </row>
    <row r="11527">
      <c r="B11527" s="17" t="s">
        <v>477</v>
      </c>
      <c r="K11527" s="18" t="s">
        <v>477</v>
      </c>
      <c r="N11527" s="17" t="str">
        <f>IFERROR(__xludf.DUMMYFUNCTION("""COMPUTED_VALUE"""),"")</f>
        <v/>
      </c>
      <c r="O11527" s="17"/>
    </row>
    <row r="11528">
      <c r="B11528" s="17" t="s">
        <v>477</v>
      </c>
      <c r="K11528" s="18" t="s">
        <v>477</v>
      </c>
      <c r="N11528" s="17" t="str">
        <f>IFERROR(__xludf.DUMMYFUNCTION("""COMPUTED_VALUE"""),"")</f>
        <v/>
      </c>
      <c r="O11528" s="17"/>
    </row>
    <row r="11529">
      <c r="B11529" s="17" t="s">
        <v>477</v>
      </c>
      <c r="K11529" s="18" t="s">
        <v>477</v>
      </c>
      <c r="N11529" s="17" t="str">
        <f>IFERROR(__xludf.DUMMYFUNCTION("""COMPUTED_VALUE"""),"")</f>
        <v/>
      </c>
      <c r="O11529" s="17"/>
    </row>
    <row r="11530">
      <c r="B11530" s="17" t="s">
        <v>477</v>
      </c>
      <c r="K11530" s="18" t="s">
        <v>477</v>
      </c>
      <c r="N11530" s="17" t="str">
        <f>IFERROR(__xludf.DUMMYFUNCTION("""COMPUTED_VALUE"""),"")</f>
        <v/>
      </c>
      <c r="O11530" s="17"/>
    </row>
    <row r="11531">
      <c r="B11531" s="17" t="s">
        <v>477</v>
      </c>
      <c r="K11531" s="18" t="s">
        <v>477</v>
      </c>
      <c r="N11531" s="17" t="str">
        <f>IFERROR(__xludf.DUMMYFUNCTION("""COMPUTED_VALUE"""),"")</f>
        <v/>
      </c>
      <c r="O11531" s="17"/>
    </row>
    <row r="11532">
      <c r="B11532" s="17" t="s">
        <v>477</v>
      </c>
      <c r="K11532" s="18" t="s">
        <v>477</v>
      </c>
      <c r="N11532" s="17" t="str">
        <f>IFERROR(__xludf.DUMMYFUNCTION("""COMPUTED_VALUE"""),"")</f>
        <v/>
      </c>
      <c r="O11532" s="17"/>
    </row>
    <row r="11533">
      <c r="B11533" s="17" t="s">
        <v>477</v>
      </c>
      <c r="K11533" s="18" t="s">
        <v>477</v>
      </c>
      <c r="N11533" s="17" t="str">
        <f>IFERROR(__xludf.DUMMYFUNCTION("""COMPUTED_VALUE"""),"")</f>
        <v/>
      </c>
      <c r="O11533" s="17"/>
    </row>
    <row r="11534">
      <c r="B11534" s="17" t="s">
        <v>477</v>
      </c>
      <c r="K11534" s="18" t="s">
        <v>477</v>
      </c>
      <c r="N11534" s="17" t="str">
        <f>IFERROR(__xludf.DUMMYFUNCTION("""COMPUTED_VALUE"""),"")</f>
        <v/>
      </c>
      <c r="O11534" s="17"/>
    </row>
    <row r="11535">
      <c r="B11535" s="17" t="s">
        <v>477</v>
      </c>
      <c r="K11535" s="18" t="s">
        <v>477</v>
      </c>
      <c r="N11535" s="17" t="str">
        <f>IFERROR(__xludf.DUMMYFUNCTION("""COMPUTED_VALUE"""),"")</f>
        <v/>
      </c>
      <c r="O11535" s="17"/>
    </row>
    <row r="11536">
      <c r="B11536" s="17" t="s">
        <v>477</v>
      </c>
      <c r="K11536" s="18" t="s">
        <v>477</v>
      </c>
      <c r="N11536" s="17" t="str">
        <f>IFERROR(__xludf.DUMMYFUNCTION("""COMPUTED_VALUE"""),"")</f>
        <v/>
      </c>
      <c r="O11536" s="17"/>
    </row>
    <row r="11537">
      <c r="B11537" s="17" t="s">
        <v>477</v>
      </c>
      <c r="K11537" s="18" t="s">
        <v>477</v>
      </c>
      <c r="N11537" s="17" t="str">
        <f>IFERROR(__xludf.DUMMYFUNCTION("""COMPUTED_VALUE"""),"")</f>
        <v/>
      </c>
      <c r="O11537" s="17"/>
    </row>
    <row r="11538">
      <c r="B11538" s="17" t="s">
        <v>477</v>
      </c>
      <c r="K11538" s="18" t="s">
        <v>477</v>
      </c>
      <c r="N11538" s="17" t="str">
        <f>IFERROR(__xludf.DUMMYFUNCTION("""COMPUTED_VALUE"""),"")</f>
        <v/>
      </c>
      <c r="O11538" s="17"/>
    </row>
    <row r="11539">
      <c r="B11539" s="17" t="s">
        <v>477</v>
      </c>
      <c r="K11539" s="18" t="s">
        <v>477</v>
      </c>
      <c r="N11539" s="17" t="str">
        <f>IFERROR(__xludf.DUMMYFUNCTION("""COMPUTED_VALUE"""),"")</f>
        <v/>
      </c>
      <c r="O11539" s="17"/>
    </row>
    <row r="11540">
      <c r="B11540" s="17" t="s">
        <v>477</v>
      </c>
      <c r="K11540" s="18" t="s">
        <v>477</v>
      </c>
      <c r="N11540" s="17" t="str">
        <f>IFERROR(__xludf.DUMMYFUNCTION("""COMPUTED_VALUE"""),"")</f>
        <v/>
      </c>
      <c r="O11540" s="17"/>
    </row>
    <row r="11541">
      <c r="B11541" s="17" t="s">
        <v>477</v>
      </c>
      <c r="K11541" s="18" t="s">
        <v>477</v>
      </c>
      <c r="N11541" s="17" t="str">
        <f>IFERROR(__xludf.DUMMYFUNCTION("""COMPUTED_VALUE"""),"")</f>
        <v/>
      </c>
      <c r="O11541" s="17"/>
    </row>
    <row r="11542">
      <c r="B11542" s="17" t="s">
        <v>477</v>
      </c>
      <c r="K11542" s="18" t="s">
        <v>477</v>
      </c>
      <c r="N11542" s="17" t="str">
        <f>IFERROR(__xludf.DUMMYFUNCTION("""COMPUTED_VALUE"""),"")</f>
        <v/>
      </c>
      <c r="O11542" s="17"/>
    </row>
    <row r="11543">
      <c r="B11543" s="17" t="s">
        <v>477</v>
      </c>
      <c r="K11543" s="18" t="s">
        <v>477</v>
      </c>
      <c r="N11543" s="17" t="str">
        <f>IFERROR(__xludf.DUMMYFUNCTION("""COMPUTED_VALUE"""),"")</f>
        <v/>
      </c>
      <c r="O11543" s="17"/>
    </row>
    <row r="11544">
      <c r="B11544" s="17" t="s">
        <v>477</v>
      </c>
      <c r="K11544" s="18" t="s">
        <v>477</v>
      </c>
      <c r="N11544" s="17" t="str">
        <f>IFERROR(__xludf.DUMMYFUNCTION("""COMPUTED_VALUE"""),"")</f>
        <v/>
      </c>
      <c r="O11544" s="17"/>
    </row>
    <row r="11545">
      <c r="B11545" s="17" t="s">
        <v>477</v>
      </c>
      <c r="K11545" s="18" t="s">
        <v>477</v>
      </c>
      <c r="N11545" s="17" t="str">
        <f>IFERROR(__xludf.DUMMYFUNCTION("""COMPUTED_VALUE"""),"")</f>
        <v/>
      </c>
      <c r="O11545" s="17"/>
    </row>
    <row r="11546">
      <c r="B11546" s="17" t="s">
        <v>477</v>
      </c>
      <c r="K11546" s="18" t="s">
        <v>477</v>
      </c>
      <c r="N11546" s="17" t="str">
        <f>IFERROR(__xludf.DUMMYFUNCTION("""COMPUTED_VALUE"""),"")</f>
        <v/>
      </c>
      <c r="O11546" s="17"/>
    </row>
    <row r="11547">
      <c r="B11547" s="17" t="s">
        <v>477</v>
      </c>
      <c r="K11547" s="18" t="s">
        <v>477</v>
      </c>
      <c r="N11547" s="17" t="str">
        <f>IFERROR(__xludf.DUMMYFUNCTION("""COMPUTED_VALUE"""),"")</f>
        <v/>
      </c>
      <c r="O11547" s="17"/>
    </row>
    <row r="11548">
      <c r="B11548" s="17" t="s">
        <v>477</v>
      </c>
      <c r="K11548" s="18" t="s">
        <v>477</v>
      </c>
      <c r="N11548" s="17" t="str">
        <f>IFERROR(__xludf.DUMMYFUNCTION("""COMPUTED_VALUE"""),"")</f>
        <v/>
      </c>
      <c r="O11548" s="17"/>
    </row>
    <row r="11549">
      <c r="B11549" s="17" t="s">
        <v>477</v>
      </c>
      <c r="K11549" s="18" t="s">
        <v>477</v>
      </c>
      <c r="N11549" s="17" t="str">
        <f>IFERROR(__xludf.DUMMYFUNCTION("""COMPUTED_VALUE"""),"")</f>
        <v/>
      </c>
      <c r="O11549" s="17"/>
    </row>
    <row r="11550">
      <c r="B11550" s="17" t="s">
        <v>477</v>
      </c>
      <c r="K11550" s="18" t="s">
        <v>477</v>
      </c>
      <c r="N11550" s="17" t="str">
        <f>IFERROR(__xludf.DUMMYFUNCTION("""COMPUTED_VALUE"""),"")</f>
        <v/>
      </c>
      <c r="O11550" s="17"/>
    </row>
    <row r="11551">
      <c r="B11551" s="17" t="s">
        <v>477</v>
      </c>
      <c r="K11551" s="18" t="s">
        <v>477</v>
      </c>
      <c r="N11551" s="17" t="str">
        <f>IFERROR(__xludf.DUMMYFUNCTION("""COMPUTED_VALUE"""),"")</f>
        <v/>
      </c>
      <c r="O11551" s="17"/>
    </row>
    <row r="11552">
      <c r="B11552" s="17" t="s">
        <v>477</v>
      </c>
      <c r="K11552" s="18" t="s">
        <v>477</v>
      </c>
      <c r="N11552" s="17" t="str">
        <f>IFERROR(__xludf.DUMMYFUNCTION("""COMPUTED_VALUE"""),"")</f>
        <v/>
      </c>
      <c r="O11552" s="17"/>
    </row>
    <row r="11553">
      <c r="B11553" s="17" t="s">
        <v>477</v>
      </c>
      <c r="K11553" s="18" t="s">
        <v>477</v>
      </c>
      <c r="N11553" s="17" t="str">
        <f>IFERROR(__xludf.DUMMYFUNCTION("""COMPUTED_VALUE"""),"")</f>
        <v/>
      </c>
      <c r="O11553" s="17"/>
    </row>
    <row r="11554">
      <c r="B11554" s="17" t="s">
        <v>477</v>
      </c>
      <c r="K11554" s="18" t="s">
        <v>477</v>
      </c>
      <c r="N11554" s="17" t="str">
        <f>IFERROR(__xludf.DUMMYFUNCTION("""COMPUTED_VALUE"""),"")</f>
        <v/>
      </c>
      <c r="O11554" s="17"/>
    </row>
    <row r="11555">
      <c r="B11555" s="17" t="s">
        <v>477</v>
      </c>
      <c r="K11555" s="18" t="s">
        <v>477</v>
      </c>
      <c r="N11555" s="17" t="str">
        <f>IFERROR(__xludf.DUMMYFUNCTION("""COMPUTED_VALUE"""),"")</f>
        <v/>
      </c>
      <c r="O11555" s="17"/>
    </row>
    <row r="11556">
      <c r="B11556" s="17" t="s">
        <v>477</v>
      </c>
      <c r="K11556" s="18" t="s">
        <v>477</v>
      </c>
      <c r="N11556" s="17" t="str">
        <f>IFERROR(__xludf.DUMMYFUNCTION("""COMPUTED_VALUE"""),"")</f>
        <v/>
      </c>
      <c r="O11556" s="17"/>
    </row>
    <row r="11557">
      <c r="B11557" s="17" t="s">
        <v>477</v>
      </c>
      <c r="K11557" s="18" t="s">
        <v>477</v>
      </c>
      <c r="N11557" s="17" t="str">
        <f>IFERROR(__xludf.DUMMYFUNCTION("""COMPUTED_VALUE"""),"")</f>
        <v/>
      </c>
      <c r="O11557" s="17"/>
    </row>
    <row r="11558">
      <c r="B11558" s="17" t="s">
        <v>477</v>
      </c>
      <c r="K11558" s="18" t="s">
        <v>477</v>
      </c>
      <c r="N11558" s="17" t="str">
        <f>IFERROR(__xludf.DUMMYFUNCTION("""COMPUTED_VALUE"""),"")</f>
        <v/>
      </c>
      <c r="O11558" s="17"/>
    </row>
    <row r="11559">
      <c r="B11559" s="17" t="s">
        <v>477</v>
      </c>
      <c r="K11559" s="18" t="s">
        <v>477</v>
      </c>
      <c r="N11559" s="17" t="str">
        <f>IFERROR(__xludf.DUMMYFUNCTION("""COMPUTED_VALUE"""),"")</f>
        <v/>
      </c>
      <c r="O11559" s="17"/>
    </row>
    <row r="11560">
      <c r="B11560" s="17" t="s">
        <v>477</v>
      </c>
      <c r="K11560" s="18" t="s">
        <v>477</v>
      </c>
      <c r="N11560" s="17" t="str">
        <f>IFERROR(__xludf.DUMMYFUNCTION("""COMPUTED_VALUE"""),"")</f>
        <v/>
      </c>
      <c r="O11560" s="17"/>
    </row>
    <row r="11561">
      <c r="B11561" s="17" t="s">
        <v>477</v>
      </c>
      <c r="K11561" s="18" t="s">
        <v>477</v>
      </c>
      <c r="N11561" s="17" t="str">
        <f>IFERROR(__xludf.DUMMYFUNCTION("""COMPUTED_VALUE"""),"")</f>
        <v/>
      </c>
      <c r="O11561" s="17"/>
    </row>
    <row r="11562">
      <c r="B11562" s="17" t="s">
        <v>477</v>
      </c>
      <c r="K11562" s="18" t="s">
        <v>477</v>
      </c>
      <c r="N11562" s="17" t="str">
        <f>IFERROR(__xludf.DUMMYFUNCTION("""COMPUTED_VALUE"""),"")</f>
        <v/>
      </c>
      <c r="O11562" s="17"/>
    </row>
    <row r="11563">
      <c r="B11563" s="17" t="s">
        <v>477</v>
      </c>
      <c r="K11563" s="18" t="s">
        <v>477</v>
      </c>
      <c r="N11563" s="17" t="str">
        <f>IFERROR(__xludf.DUMMYFUNCTION("""COMPUTED_VALUE"""),"")</f>
        <v/>
      </c>
      <c r="O11563" s="17"/>
    </row>
    <row r="11564">
      <c r="B11564" s="17" t="s">
        <v>477</v>
      </c>
      <c r="K11564" s="18" t="s">
        <v>477</v>
      </c>
      <c r="N11564" s="17" t="str">
        <f>IFERROR(__xludf.DUMMYFUNCTION("""COMPUTED_VALUE"""),"")</f>
        <v/>
      </c>
      <c r="O11564" s="17"/>
    </row>
    <row r="11565">
      <c r="B11565" s="17" t="s">
        <v>477</v>
      </c>
      <c r="K11565" s="18" t="s">
        <v>477</v>
      </c>
      <c r="N11565" s="17" t="str">
        <f>IFERROR(__xludf.DUMMYFUNCTION("""COMPUTED_VALUE"""),"")</f>
        <v/>
      </c>
      <c r="O11565" s="17"/>
    </row>
    <row r="11566">
      <c r="B11566" s="17" t="s">
        <v>477</v>
      </c>
      <c r="K11566" s="18" t="s">
        <v>477</v>
      </c>
      <c r="N11566" s="17" t="str">
        <f>IFERROR(__xludf.DUMMYFUNCTION("""COMPUTED_VALUE"""),"")</f>
        <v/>
      </c>
      <c r="O11566" s="17"/>
    </row>
    <row r="11567">
      <c r="B11567" s="17" t="s">
        <v>477</v>
      </c>
      <c r="K11567" s="18" t="s">
        <v>477</v>
      </c>
      <c r="N11567" s="17" t="str">
        <f>IFERROR(__xludf.DUMMYFUNCTION("""COMPUTED_VALUE"""),"")</f>
        <v/>
      </c>
      <c r="O11567" s="17"/>
    </row>
    <row r="11568">
      <c r="B11568" s="17" t="s">
        <v>477</v>
      </c>
      <c r="K11568" s="18" t="s">
        <v>477</v>
      </c>
      <c r="N11568" s="17" t="str">
        <f>IFERROR(__xludf.DUMMYFUNCTION("""COMPUTED_VALUE"""),"")</f>
        <v/>
      </c>
      <c r="O11568" s="17"/>
    </row>
    <row r="11569">
      <c r="B11569" s="17" t="s">
        <v>477</v>
      </c>
      <c r="K11569" s="18" t="s">
        <v>477</v>
      </c>
      <c r="N11569" s="17" t="str">
        <f>IFERROR(__xludf.DUMMYFUNCTION("""COMPUTED_VALUE"""),"")</f>
        <v/>
      </c>
      <c r="O11569" s="17"/>
    </row>
    <row r="11570">
      <c r="B11570" s="17" t="s">
        <v>477</v>
      </c>
      <c r="K11570" s="18" t="s">
        <v>477</v>
      </c>
      <c r="N11570" s="17" t="str">
        <f>IFERROR(__xludf.DUMMYFUNCTION("""COMPUTED_VALUE"""),"")</f>
        <v/>
      </c>
      <c r="O11570" s="17"/>
    </row>
    <row r="11571">
      <c r="B11571" s="17" t="s">
        <v>477</v>
      </c>
      <c r="K11571" s="18" t="s">
        <v>477</v>
      </c>
      <c r="N11571" s="17" t="str">
        <f>IFERROR(__xludf.DUMMYFUNCTION("""COMPUTED_VALUE"""),"")</f>
        <v/>
      </c>
      <c r="O11571" s="17"/>
    </row>
    <row r="11572">
      <c r="B11572" s="17" t="s">
        <v>477</v>
      </c>
      <c r="K11572" s="18" t="s">
        <v>477</v>
      </c>
      <c r="N11572" s="17" t="str">
        <f>IFERROR(__xludf.DUMMYFUNCTION("""COMPUTED_VALUE"""),"")</f>
        <v/>
      </c>
      <c r="O11572" s="17"/>
    </row>
    <row r="11573">
      <c r="B11573" s="17" t="s">
        <v>477</v>
      </c>
      <c r="K11573" s="18" t="s">
        <v>477</v>
      </c>
      <c r="N11573" s="17" t="str">
        <f>IFERROR(__xludf.DUMMYFUNCTION("""COMPUTED_VALUE"""),"")</f>
        <v/>
      </c>
      <c r="O11573" s="17"/>
    </row>
    <row r="11574">
      <c r="B11574" s="17" t="s">
        <v>477</v>
      </c>
      <c r="K11574" s="18" t="s">
        <v>477</v>
      </c>
      <c r="N11574" s="17" t="str">
        <f>IFERROR(__xludf.DUMMYFUNCTION("""COMPUTED_VALUE"""),"")</f>
        <v/>
      </c>
      <c r="O11574" s="17"/>
    </row>
    <row r="11575">
      <c r="B11575" s="17" t="s">
        <v>477</v>
      </c>
      <c r="K11575" s="18" t="s">
        <v>477</v>
      </c>
      <c r="N11575" s="17" t="str">
        <f>IFERROR(__xludf.DUMMYFUNCTION("""COMPUTED_VALUE"""),"")</f>
        <v/>
      </c>
      <c r="O11575" s="17"/>
    </row>
    <row r="11576">
      <c r="B11576" s="17" t="s">
        <v>477</v>
      </c>
      <c r="K11576" s="18" t="s">
        <v>477</v>
      </c>
      <c r="N11576" s="17" t="str">
        <f>IFERROR(__xludf.DUMMYFUNCTION("""COMPUTED_VALUE"""),"")</f>
        <v/>
      </c>
      <c r="O11576" s="17"/>
    </row>
    <row r="11577">
      <c r="B11577" s="17" t="s">
        <v>477</v>
      </c>
      <c r="K11577" s="18" t="s">
        <v>477</v>
      </c>
      <c r="N11577" s="17" t="str">
        <f>IFERROR(__xludf.DUMMYFUNCTION("""COMPUTED_VALUE"""),"")</f>
        <v/>
      </c>
      <c r="O11577" s="17"/>
    </row>
    <row r="11578">
      <c r="B11578" s="17" t="s">
        <v>477</v>
      </c>
      <c r="K11578" s="18" t="s">
        <v>477</v>
      </c>
      <c r="N11578" s="17" t="str">
        <f>IFERROR(__xludf.DUMMYFUNCTION("""COMPUTED_VALUE"""),"")</f>
        <v/>
      </c>
      <c r="O11578" s="17"/>
    </row>
    <row r="11579">
      <c r="B11579" s="17" t="s">
        <v>477</v>
      </c>
      <c r="K11579" s="18" t="s">
        <v>477</v>
      </c>
      <c r="N11579" s="17" t="str">
        <f>IFERROR(__xludf.DUMMYFUNCTION("""COMPUTED_VALUE"""),"")</f>
        <v/>
      </c>
      <c r="O11579" s="17"/>
    </row>
    <row r="11580">
      <c r="B11580" s="17" t="s">
        <v>477</v>
      </c>
      <c r="K11580" s="18" t="s">
        <v>477</v>
      </c>
      <c r="N11580" s="17" t="str">
        <f>IFERROR(__xludf.DUMMYFUNCTION("""COMPUTED_VALUE"""),"")</f>
        <v/>
      </c>
      <c r="O11580" s="17"/>
    </row>
    <row r="11581">
      <c r="B11581" s="17" t="s">
        <v>477</v>
      </c>
      <c r="K11581" s="18" t="s">
        <v>477</v>
      </c>
      <c r="N11581" s="17" t="str">
        <f>IFERROR(__xludf.DUMMYFUNCTION("""COMPUTED_VALUE"""),"")</f>
        <v/>
      </c>
      <c r="O11581" s="17"/>
    </row>
    <row r="11582">
      <c r="B11582" s="17" t="s">
        <v>477</v>
      </c>
      <c r="K11582" s="18" t="s">
        <v>477</v>
      </c>
      <c r="N11582" s="17" t="str">
        <f>IFERROR(__xludf.DUMMYFUNCTION("""COMPUTED_VALUE"""),"")</f>
        <v/>
      </c>
      <c r="O11582" s="17"/>
    </row>
    <row r="11583">
      <c r="B11583" s="17" t="s">
        <v>477</v>
      </c>
      <c r="K11583" s="18" t="s">
        <v>477</v>
      </c>
      <c r="N11583" s="17" t="str">
        <f>IFERROR(__xludf.DUMMYFUNCTION("""COMPUTED_VALUE"""),"")</f>
        <v/>
      </c>
      <c r="O11583" s="17"/>
    </row>
    <row r="11584">
      <c r="B11584" s="17" t="s">
        <v>477</v>
      </c>
      <c r="K11584" s="18" t="s">
        <v>477</v>
      </c>
      <c r="N11584" s="17" t="str">
        <f>IFERROR(__xludf.DUMMYFUNCTION("""COMPUTED_VALUE"""),"")</f>
        <v/>
      </c>
      <c r="O11584" s="17"/>
    </row>
    <row r="11585">
      <c r="B11585" s="17" t="s">
        <v>477</v>
      </c>
      <c r="K11585" s="18" t="s">
        <v>477</v>
      </c>
      <c r="N11585" s="17" t="str">
        <f>IFERROR(__xludf.DUMMYFUNCTION("""COMPUTED_VALUE"""),"")</f>
        <v/>
      </c>
      <c r="O11585" s="17"/>
    </row>
    <row r="11586">
      <c r="B11586" s="17" t="s">
        <v>477</v>
      </c>
      <c r="K11586" s="18" t="s">
        <v>477</v>
      </c>
      <c r="N11586" s="17" t="str">
        <f>IFERROR(__xludf.DUMMYFUNCTION("""COMPUTED_VALUE"""),"")</f>
        <v/>
      </c>
      <c r="O11586" s="17"/>
    </row>
    <row r="11587">
      <c r="B11587" s="17" t="s">
        <v>477</v>
      </c>
      <c r="K11587" s="18" t="s">
        <v>477</v>
      </c>
      <c r="N11587" s="17" t="str">
        <f>IFERROR(__xludf.DUMMYFUNCTION("""COMPUTED_VALUE"""),"")</f>
        <v/>
      </c>
      <c r="O11587" s="17"/>
    </row>
    <row r="11588">
      <c r="B11588" s="17" t="s">
        <v>477</v>
      </c>
      <c r="K11588" s="18" t="s">
        <v>477</v>
      </c>
      <c r="N11588" s="17" t="str">
        <f>IFERROR(__xludf.DUMMYFUNCTION("""COMPUTED_VALUE"""),"")</f>
        <v/>
      </c>
      <c r="O11588" s="17"/>
    </row>
    <row r="11589">
      <c r="B11589" s="17" t="s">
        <v>477</v>
      </c>
      <c r="K11589" s="18" t="s">
        <v>477</v>
      </c>
      <c r="N11589" s="17" t="str">
        <f>IFERROR(__xludf.DUMMYFUNCTION("""COMPUTED_VALUE"""),"")</f>
        <v/>
      </c>
      <c r="O11589" s="17"/>
    </row>
    <row r="11590">
      <c r="B11590" s="17" t="s">
        <v>477</v>
      </c>
      <c r="K11590" s="18" t="s">
        <v>477</v>
      </c>
      <c r="N11590" s="17" t="str">
        <f>IFERROR(__xludf.DUMMYFUNCTION("""COMPUTED_VALUE"""),"")</f>
        <v/>
      </c>
      <c r="O11590" s="17"/>
    </row>
    <row r="11591">
      <c r="B11591" s="17" t="s">
        <v>477</v>
      </c>
      <c r="K11591" s="18" t="s">
        <v>477</v>
      </c>
      <c r="N11591" s="17" t="str">
        <f>IFERROR(__xludf.DUMMYFUNCTION("""COMPUTED_VALUE"""),"")</f>
        <v/>
      </c>
      <c r="O11591" s="17"/>
    </row>
    <row r="11592">
      <c r="B11592" s="17" t="s">
        <v>477</v>
      </c>
      <c r="K11592" s="18" t="s">
        <v>477</v>
      </c>
      <c r="N11592" s="17" t="str">
        <f>IFERROR(__xludf.DUMMYFUNCTION("""COMPUTED_VALUE"""),"")</f>
        <v/>
      </c>
      <c r="O11592" s="17"/>
    </row>
    <row r="11593">
      <c r="B11593" s="17" t="s">
        <v>477</v>
      </c>
      <c r="K11593" s="18" t="s">
        <v>477</v>
      </c>
      <c r="N11593" s="17" t="str">
        <f>IFERROR(__xludf.DUMMYFUNCTION("""COMPUTED_VALUE"""),"")</f>
        <v/>
      </c>
      <c r="O11593" s="17"/>
    </row>
    <row r="11594">
      <c r="B11594" s="17" t="s">
        <v>477</v>
      </c>
      <c r="K11594" s="18" t="s">
        <v>477</v>
      </c>
      <c r="N11594" s="17" t="str">
        <f>IFERROR(__xludf.DUMMYFUNCTION("""COMPUTED_VALUE"""),"")</f>
        <v/>
      </c>
      <c r="O11594" s="17"/>
    </row>
    <row r="11595">
      <c r="B11595" s="17" t="s">
        <v>477</v>
      </c>
      <c r="K11595" s="18" t="s">
        <v>477</v>
      </c>
      <c r="N11595" s="17" t="str">
        <f>IFERROR(__xludf.DUMMYFUNCTION("""COMPUTED_VALUE"""),"")</f>
        <v/>
      </c>
      <c r="O11595" s="17"/>
    </row>
    <row r="11596">
      <c r="B11596" s="17" t="s">
        <v>477</v>
      </c>
      <c r="K11596" s="18" t="s">
        <v>477</v>
      </c>
      <c r="N11596" s="17" t="str">
        <f>IFERROR(__xludf.DUMMYFUNCTION("""COMPUTED_VALUE"""),"")</f>
        <v/>
      </c>
      <c r="O11596" s="17"/>
    </row>
    <row r="11597">
      <c r="B11597" s="17" t="s">
        <v>477</v>
      </c>
      <c r="K11597" s="18" t="s">
        <v>477</v>
      </c>
      <c r="N11597" s="17" t="str">
        <f>IFERROR(__xludf.DUMMYFUNCTION("""COMPUTED_VALUE"""),"")</f>
        <v/>
      </c>
      <c r="O11597" s="17"/>
    </row>
    <row r="11598">
      <c r="B11598" s="17" t="s">
        <v>477</v>
      </c>
      <c r="K11598" s="18" t="s">
        <v>477</v>
      </c>
      <c r="N11598" s="17" t="str">
        <f>IFERROR(__xludf.DUMMYFUNCTION("""COMPUTED_VALUE"""),"")</f>
        <v/>
      </c>
      <c r="O11598" s="17"/>
    </row>
    <row r="11599">
      <c r="B11599" s="17" t="s">
        <v>477</v>
      </c>
      <c r="K11599" s="18" t="s">
        <v>477</v>
      </c>
      <c r="N11599" s="17" t="str">
        <f>IFERROR(__xludf.DUMMYFUNCTION("""COMPUTED_VALUE"""),"")</f>
        <v/>
      </c>
      <c r="O11599" s="17"/>
    </row>
    <row r="11600">
      <c r="B11600" s="17" t="s">
        <v>477</v>
      </c>
      <c r="K11600" s="18" t="s">
        <v>477</v>
      </c>
      <c r="N11600" s="17" t="str">
        <f>IFERROR(__xludf.DUMMYFUNCTION("""COMPUTED_VALUE"""),"")</f>
        <v/>
      </c>
      <c r="O11600" s="17"/>
    </row>
    <row r="11601">
      <c r="B11601" s="17" t="s">
        <v>477</v>
      </c>
      <c r="K11601" s="18" t="s">
        <v>477</v>
      </c>
      <c r="N11601" s="17" t="str">
        <f>IFERROR(__xludf.DUMMYFUNCTION("""COMPUTED_VALUE"""),"")</f>
        <v/>
      </c>
      <c r="O11601" s="17"/>
    </row>
    <row r="11602">
      <c r="B11602" s="17" t="s">
        <v>477</v>
      </c>
      <c r="K11602" s="18" t="s">
        <v>477</v>
      </c>
      <c r="N11602" s="17" t="str">
        <f>IFERROR(__xludf.DUMMYFUNCTION("""COMPUTED_VALUE"""),"")</f>
        <v/>
      </c>
      <c r="O11602" s="17"/>
    </row>
    <row r="11603">
      <c r="B11603" s="17" t="s">
        <v>477</v>
      </c>
      <c r="K11603" s="18" t="s">
        <v>477</v>
      </c>
      <c r="N11603" s="17" t="str">
        <f>IFERROR(__xludf.DUMMYFUNCTION("""COMPUTED_VALUE"""),"")</f>
        <v/>
      </c>
      <c r="O11603" s="17"/>
    </row>
    <row r="11604">
      <c r="B11604" s="17" t="s">
        <v>477</v>
      </c>
      <c r="K11604" s="18" t="s">
        <v>477</v>
      </c>
      <c r="N11604" s="17" t="str">
        <f>IFERROR(__xludf.DUMMYFUNCTION("""COMPUTED_VALUE"""),"")</f>
        <v/>
      </c>
      <c r="O11604" s="17"/>
    </row>
    <row r="11605">
      <c r="B11605" s="17" t="s">
        <v>477</v>
      </c>
      <c r="K11605" s="18" t="s">
        <v>477</v>
      </c>
      <c r="N11605" s="17" t="str">
        <f>IFERROR(__xludf.DUMMYFUNCTION("""COMPUTED_VALUE"""),"")</f>
        <v/>
      </c>
      <c r="O11605" s="17"/>
    </row>
    <row r="11606">
      <c r="B11606" s="17" t="s">
        <v>477</v>
      </c>
      <c r="K11606" s="18" t="s">
        <v>477</v>
      </c>
      <c r="N11606" s="17" t="str">
        <f>IFERROR(__xludf.DUMMYFUNCTION("""COMPUTED_VALUE"""),"")</f>
        <v/>
      </c>
      <c r="O11606" s="17"/>
    </row>
    <row r="11607">
      <c r="B11607" s="17" t="s">
        <v>477</v>
      </c>
      <c r="K11607" s="18" t="s">
        <v>477</v>
      </c>
      <c r="N11607" s="17" t="str">
        <f>IFERROR(__xludf.DUMMYFUNCTION("""COMPUTED_VALUE"""),"")</f>
        <v/>
      </c>
      <c r="O11607" s="17"/>
    </row>
    <row r="11608">
      <c r="B11608" s="17" t="s">
        <v>477</v>
      </c>
      <c r="K11608" s="18" t="s">
        <v>477</v>
      </c>
      <c r="N11608" s="17" t="str">
        <f>IFERROR(__xludf.DUMMYFUNCTION("""COMPUTED_VALUE"""),"")</f>
        <v/>
      </c>
      <c r="O11608" s="17"/>
    </row>
    <row r="11609">
      <c r="B11609" s="17" t="s">
        <v>477</v>
      </c>
      <c r="K11609" s="18" t="s">
        <v>477</v>
      </c>
      <c r="N11609" s="17" t="str">
        <f>IFERROR(__xludf.DUMMYFUNCTION("""COMPUTED_VALUE"""),"")</f>
        <v/>
      </c>
      <c r="O11609" s="17"/>
    </row>
    <row r="11610">
      <c r="B11610" s="17" t="s">
        <v>477</v>
      </c>
      <c r="K11610" s="18" t="s">
        <v>477</v>
      </c>
      <c r="N11610" s="17" t="str">
        <f>IFERROR(__xludf.DUMMYFUNCTION("""COMPUTED_VALUE"""),"")</f>
        <v/>
      </c>
      <c r="O11610" s="17"/>
    </row>
    <row r="11611">
      <c r="B11611" s="17" t="s">
        <v>477</v>
      </c>
      <c r="K11611" s="18" t="s">
        <v>477</v>
      </c>
      <c r="N11611" s="17" t="str">
        <f>IFERROR(__xludf.DUMMYFUNCTION("""COMPUTED_VALUE"""),"")</f>
        <v/>
      </c>
      <c r="O11611" s="17"/>
    </row>
    <row r="11612">
      <c r="B11612" s="17" t="s">
        <v>477</v>
      </c>
      <c r="K11612" s="18" t="s">
        <v>477</v>
      </c>
      <c r="N11612" s="17" t="str">
        <f>IFERROR(__xludf.DUMMYFUNCTION("""COMPUTED_VALUE"""),"")</f>
        <v/>
      </c>
      <c r="O11612" s="17"/>
    </row>
    <row r="11613">
      <c r="B11613" s="17" t="s">
        <v>477</v>
      </c>
      <c r="K11613" s="18" t="s">
        <v>477</v>
      </c>
      <c r="N11613" s="17" t="str">
        <f>IFERROR(__xludf.DUMMYFUNCTION("""COMPUTED_VALUE"""),"")</f>
        <v/>
      </c>
      <c r="O11613" s="17"/>
    </row>
    <row r="11614">
      <c r="B11614" s="17" t="s">
        <v>477</v>
      </c>
      <c r="K11614" s="18" t="s">
        <v>477</v>
      </c>
      <c r="N11614" s="17" t="str">
        <f>IFERROR(__xludf.DUMMYFUNCTION("""COMPUTED_VALUE"""),"")</f>
        <v/>
      </c>
      <c r="O11614" s="17"/>
    </row>
    <row r="11615">
      <c r="B11615" s="17" t="s">
        <v>477</v>
      </c>
      <c r="K11615" s="18" t="s">
        <v>477</v>
      </c>
      <c r="N11615" s="17" t="str">
        <f>IFERROR(__xludf.DUMMYFUNCTION("""COMPUTED_VALUE"""),"")</f>
        <v/>
      </c>
      <c r="O11615" s="17"/>
    </row>
    <row r="11616">
      <c r="B11616" s="17" t="s">
        <v>477</v>
      </c>
      <c r="K11616" s="18" t="s">
        <v>477</v>
      </c>
      <c r="N11616" s="17" t="str">
        <f>IFERROR(__xludf.DUMMYFUNCTION("""COMPUTED_VALUE"""),"")</f>
        <v/>
      </c>
      <c r="O11616" s="17"/>
    </row>
    <row r="11617">
      <c r="B11617" s="17" t="s">
        <v>477</v>
      </c>
      <c r="K11617" s="18" t="s">
        <v>477</v>
      </c>
      <c r="N11617" s="17" t="str">
        <f>IFERROR(__xludf.DUMMYFUNCTION("""COMPUTED_VALUE"""),"")</f>
        <v/>
      </c>
      <c r="O11617" s="17"/>
    </row>
    <row r="11618">
      <c r="B11618" s="17" t="s">
        <v>477</v>
      </c>
      <c r="K11618" s="18" t="s">
        <v>477</v>
      </c>
      <c r="N11618" s="17" t="str">
        <f>IFERROR(__xludf.DUMMYFUNCTION("""COMPUTED_VALUE"""),"")</f>
        <v/>
      </c>
      <c r="O11618" s="17"/>
    </row>
    <row r="11619">
      <c r="B11619" s="17" t="s">
        <v>477</v>
      </c>
      <c r="K11619" s="18" t="s">
        <v>477</v>
      </c>
      <c r="N11619" s="17" t="str">
        <f>IFERROR(__xludf.DUMMYFUNCTION("""COMPUTED_VALUE"""),"")</f>
        <v/>
      </c>
      <c r="O11619" s="17"/>
    </row>
    <row r="11620">
      <c r="B11620" s="17" t="s">
        <v>477</v>
      </c>
      <c r="K11620" s="18" t="s">
        <v>477</v>
      </c>
      <c r="N11620" s="17" t="str">
        <f>IFERROR(__xludf.DUMMYFUNCTION("""COMPUTED_VALUE"""),"")</f>
        <v/>
      </c>
      <c r="O11620" s="17"/>
    </row>
    <row r="11621">
      <c r="B11621" s="17" t="s">
        <v>477</v>
      </c>
      <c r="K11621" s="18" t="s">
        <v>477</v>
      </c>
      <c r="N11621" s="17" t="str">
        <f>IFERROR(__xludf.DUMMYFUNCTION("""COMPUTED_VALUE"""),"")</f>
        <v/>
      </c>
      <c r="O11621" s="17"/>
    </row>
    <row r="11622">
      <c r="B11622" s="17" t="s">
        <v>477</v>
      </c>
      <c r="K11622" s="18" t="s">
        <v>477</v>
      </c>
      <c r="N11622" s="17" t="str">
        <f>IFERROR(__xludf.DUMMYFUNCTION("""COMPUTED_VALUE"""),"")</f>
        <v/>
      </c>
      <c r="O11622" s="17"/>
    </row>
    <row r="11623">
      <c r="B11623" s="17" t="s">
        <v>477</v>
      </c>
      <c r="K11623" s="18" t="s">
        <v>477</v>
      </c>
      <c r="N11623" s="17" t="str">
        <f>IFERROR(__xludf.DUMMYFUNCTION("""COMPUTED_VALUE"""),"")</f>
        <v/>
      </c>
      <c r="O11623" s="17"/>
    </row>
    <row r="11624">
      <c r="B11624" s="17" t="s">
        <v>477</v>
      </c>
      <c r="K11624" s="18" t="s">
        <v>477</v>
      </c>
      <c r="N11624" s="17" t="str">
        <f>IFERROR(__xludf.DUMMYFUNCTION("""COMPUTED_VALUE"""),"")</f>
        <v/>
      </c>
      <c r="O11624" s="17"/>
    </row>
    <row r="11625">
      <c r="B11625" s="17" t="s">
        <v>477</v>
      </c>
      <c r="K11625" s="18" t="s">
        <v>477</v>
      </c>
      <c r="N11625" s="17" t="str">
        <f>IFERROR(__xludf.DUMMYFUNCTION("""COMPUTED_VALUE"""),"")</f>
        <v/>
      </c>
      <c r="O11625" s="17"/>
    </row>
    <row r="11626">
      <c r="B11626" s="17" t="s">
        <v>477</v>
      </c>
      <c r="K11626" s="18" t="s">
        <v>477</v>
      </c>
      <c r="N11626" s="17" t="str">
        <f>IFERROR(__xludf.DUMMYFUNCTION("""COMPUTED_VALUE"""),"")</f>
        <v/>
      </c>
      <c r="O11626" s="17"/>
    </row>
    <row r="11627">
      <c r="B11627" s="17" t="s">
        <v>477</v>
      </c>
      <c r="K11627" s="18" t="s">
        <v>477</v>
      </c>
      <c r="N11627" s="17" t="str">
        <f>IFERROR(__xludf.DUMMYFUNCTION("""COMPUTED_VALUE"""),"")</f>
        <v/>
      </c>
      <c r="O11627" s="17"/>
    </row>
    <row r="11628">
      <c r="B11628" s="17" t="s">
        <v>477</v>
      </c>
      <c r="K11628" s="18" t="s">
        <v>477</v>
      </c>
      <c r="N11628" s="17" t="str">
        <f>IFERROR(__xludf.DUMMYFUNCTION("""COMPUTED_VALUE"""),"")</f>
        <v/>
      </c>
      <c r="O11628" s="17"/>
    </row>
    <row r="11629">
      <c r="B11629" s="17" t="s">
        <v>477</v>
      </c>
      <c r="K11629" s="18" t="s">
        <v>477</v>
      </c>
      <c r="N11629" s="17" t="str">
        <f>IFERROR(__xludf.DUMMYFUNCTION("""COMPUTED_VALUE"""),"")</f>
        <v/>
      </c>
      <c r="O11629" s="17"/>
    </row>
    <row r="11630">
      <c r="B11630" s="17" t="s">
        <v>477</v>
      </c>
      <c r="K11630" s="18" t="s">
        <v>477</v>
      </c>
      <c r="N11630" s="17" t="str">
        <f>IFERROR(__xludf.DUMMYFUNCTION("""COMPUTED_VALUE"""),"")</f>
        <v/>
      </c>
      <c r="O11630" s="17"/>
    </row>
    <row r="11631">
      <c r="B11631" s="17" t="s">
        <v>477</v>
      </c>
      <c r="K11631" s="18" t="s">
        <v>477</v>
      </c>
      <c r="N11631" s="17" t="str">
        <f>IFERROR(__xludf.DUMMYFUNCTION("""COMPUTED_VALUE"""),"")</f>
        <v/>
      </c>
      <c r="O11631" s="17"/>
    </row>
    <row r="11632">
      <c r="B11632" s="17" t="s">
        <v>477</v>
      </c>
      <c r="K11632" s="18" t="s">
        <v>477</v>
      </c>
      <c r="N11632" s="17" t="str">
        <f>IFERROR(__xludf.DUMMYFUNCTION("""COMPUTED_VALUE"""),"")</f>
        <v/>
      </c>
      <c r="O11632" s="17"/>
    </row>
    <row r="11633">
      <c r="B11633" s="17" t="s">
        <v>477</v>
      </c>
      <c r="K11633" s="18" t="s">
        <v>477</v>
      </c>
      <c r="N11633" s="17" t="str">
        <f>IFERROR(__xludf.DUMMYFUNCTION("""COMPUTED_VALUE"""),"")</f>
        <v/>
      </c>
      <c r="O11633" s="17"/>
    </row>
    <row r="11634">
      <c r="B11634" s="17" t="s">
        <v>477</v>
      </c>
      <c r="K11634" s="18" t="s">
        <v>477</v>
      </c>
      <c r="N11634" s="17" t="str">
        <f>IFERROR(__xludf.DUMMYFUNCTION("""COMPUTED_VALUE"""),"")</f>
        <v/>
      </c>
      <c r="O11634" s="17"/>
    </row>
    <row r="11635">
      <c r="B11635" s="17" t="s">
        <v>477</v>
      </c>
      <c r="K11635" s="18" t="s">
        <v>477</v>
      </c>
      <c r="N11635" s="17" t="str">
        <f>IFERROR(__xludf.DUMMYFUNCTION("""COMPUTED_VALUE"""),"")</f>
        <v/>
      </c>
      <c r="O11635" s="17"/>
    </row>
    <row r="11636">
      <c r="B11636" s="17" t="s">
        <v>477</v>
      </c>
      <c r="K11636" s="18" t="s">
        <v>477</v>
      </c>
      <c r="N11636" s="17" t="str">
        <f>IFERROR(__xludf.DUMMYFUNCTION("""COMPUTED_VALUE"""),"")</f>
        <v/>
      </c>
      <c r="O11636" s="17"/>
    </row>
    <row r="11637">
      <c r="B11637" s="17" t="s">
        <v>477</v>
      </c>
      <c r="K11637" s="18" t="s">
        <v>477</v>
      </c>
      <c r="N11637" s="17" t="str">
        <f>IFERROR(__xludf.DUMMYFUNCTION("""COMPUTED_VALUE"""),"")</f>
        <v/>
      </c>
      <c r="O11637" s="17"/>
    </row>
    <row r="11638">
      <c r="B11638" s="17" t="s">
        <v>477</v>
      </c>
      <c r="K11638" s="18" t="s">
        <v>477</v>
      </c>
      <c r="N11638" s="17" t="str">
        <f>IFERROR(__xludf.DUMMYFUNCTION("""COMPUTED_VALUE"""),"")</f>
        <v/>
      </c>
      <c r="O11638" s="17"/>
    </row>
    <row r="11639">
      <c r="B11639" s="17" t="s">
        <v>477</v>
      </c>
      <c r="K11639" s="18" t="s">
        <v>477</v>
      </c>
      <c r="N11639" s="17" t="str">
        <f>IFERROR(__xludf.DUMMYFUNCTION("""COMPUTED_VALUE"""),"")</f>
        <v/>
      </c>
      <c r="O11639" s="17"/>
    </row>
    <row r="11640">
      <c r="B11640" s="17" t="s">
        <v>477</v>
      </c>
      <c r="K11640" s="18" t="s">
        <v>477</v>
      </c>
      <c r="N11640" s="17" t="str">
        <f>IFERROR(__xludf.DUMMYFUNCTION("""COMPUTED_VALUE"""),"")</f>
        <v/>
      </c>
      <c r="O11640" s="17"/>
    </row>
    <row r="11641">
      <c r="B11641" s="17" t="s">
        <v>477</v>
      </c>
      <c r="K11641" s="18" t="s">
        <v>477</v>
      </c>
      <c r="N11641" s="17" t="str">
        <f>IFERROR(__xludf.DUMMYFUNCTION("""COMPUTED_VALUE"""),"")</f>
        <v/>
      </c>
      <c r="O11641" s="17"/>
    </row>
    <row r="11642">
      <c r="B11642" s="17" t="s">
        <v>477</v>
      </c>
      <c r="K11642" s="18" t="s">
        <v>477</v>
      </c>
      <c r="N11642" s="17" t="str">
        <f>IFERROR(__xludf.DUMMYFUNCTION("""COMPUTED_VALUE"""),"")</f>
        <v/>
      </c>
      <c r="O11642" s="17"/>
    </row>
    <row r="11643">
      <c r="B11643" s="17" t="s">
        <v>477</v>
      </c>
      <c r="K11643" s="18" t="s">
        <v>477</v>
      </c>
      <c r="N11643" s="17" t="str">
        <f>IFERROR(__xludf.DUMMYFUNCTION("""COMPUTED_VALUE"""),"")</f>
        <v/>
      </c>
      <c r="O11643" s="17"/>
    </row>
    <row r="11644">
      <c r="B11644" s="17" t="s">
        <v>477</v>
      </c>
      <c r="K11644" s="18" t="s">
        <v>477</v>
      </c>
      <c r="N11644" s="17" t="str">
        <f>IFERROR(__xludf.DUMMYFUNCTION("""COMPUTED_VALUE"""),"")</f>
        <v/>
      </c>
      <c r="O11644" s="17"/>
    </row>
    <row r="11645">
      <c r="B11645" s="17" t="s">
        <v>477</v>
      </c>
      <c r="K11645" s="18" t="s">
        <v>477</v>
      </c>
      <c r="N11645" s="17" t="str">
        <f>IFERROR(__xludf.DUMMYFUNCTION("""COMPUTED_VALUE"""),"")</f>
        <v/>
      </c>
      <c r="O11645" s="17"/>
    </row>
    <row r="11646">
      <c r="B11646" s="17" t="s">
        <v>477</v>
      </c>
      <c r="K11646" s="18" t="s">
        <v>477</v>
      </c>
      <c r="N11646" s="17" t="str">
        <f>IFERROR(__xludf.DUMMYFUNCTION("""COMPUTED_VALUE"""),"")</f>
        <v/>
      </c>
      <c r="O11646" s="17"/>
    </row>
    <row r="11647">
      <c r="B11647" s="17" t="s">
        <v>477</v>
      </c>
      <c r="K11647" s="18" t="s">
        <v>477</v>
      </c>
      <c r="N11647" s="17" t="str">
        <f>IFERROR(__xludf.DUMMYFUNCTION("""COMPUTED_VALUE"""),"")</f>
        <v/>
      </c>
      <c r="O11647" s="17"/>
    </row>
    <row r="11648">
      <c r="B11648" s="17" t="s">
        <v>477</v>
      </c>
      <c r="K11648" s="18" t="s">
        <v>477</v>
      </c>
      <c r="N11648" s="17" t="str">
        <f>IFERROR(__xludf.DUMMYFUNCTION("""COMPUTED_VALUE"""),"")</f>
        <v/>
      </c>
      <c r="O11648" s="17"/>
    </row>
    <row r="11649">
      <c r="B11649" s="17" t="s">
        <v>477</v>
      </c>
      <c r="K11649" s="18" t="s">
        <v>477</v>
      </c>
      <c r="N11649" s="17" t="str">
        <f>IFERROR(__xludf.DUMMYFUNCTION("""COMPUTED_VALUE"""),"")</f>
        <v/>
      </c>
      <c r="O11649" s="17"/>
    </row>
    <row r="11650">
      <c r="B11650" s="17" t="s">
        <v>477</v>
      </c>
      <c r="K11650" s="18" t="s">
        <v>477</v>
      </c>
      <c r="N11650" s="17" t="str">
        <f>IFERROR(__xludf.DUMMYFUNCTION("""COMPUTED_VALUE"""),"")</f>
        <v/>
      </c>
      <c r="O11650" s="17"/>
    </row>
    <row r="11651">
      <c r="B11651" s="17" t="s">
        <v>477</v>
      </c>
      <c r="K11651" s="18" t="s">
        <v>477</v>
      </c>
      <c r="N11651" s="17" t="str">
        <f>IFERROR(__xludf.DUMMYFUNCTION("""COMPUTED_VALUE"""),"")</f>
        <v/>
      </c>
      <c r="O11651" s="17"/>
    </row>
    <row r="11652">
      <c r="B11652" s="17" t="s">
        <v>477</v>
      </c>
      <c r="K11652" s="18" t="s">
        <v>477</v>
      </c>
      <c r="N11652" s="17" t="str">
        <f>IFERROR(__xludf.DUMMYFUNCTION("""COMPUTED_VALUE"""),"")</f>
        <v/>
      </c>
      <c r="O11652" s="17"/>
    </row>
    <row r="11653">
      <c r="B11653" s="17" t="s">
        <v>477</v>
      </c>
      <c r="K11653" s="18" t="s">
        <v>477</v>
      </c>
      <c r="N11653" s="17" t="str">
        <f>IFERROR(__xludf.DUMMYFUNCTION("""COMPUTED_VALUE"""),"")</f>
        <v/>
      </c>
      <c r="O11653" s="17"/>
    </row>
    <row r="11654">
      <c r="B11654" s="17" t="s">
        <v>477</v>
      </c>
      <c r="K11654" s="18" t="s">
        <v>477</v>
      </c>
      <c r="N11654" s="17" t="str">
        <f>IFERROR(__xludf.DUMMYFUNCTION("""COMPUTED_VALUE"""),"")</f>
        <v/>
      </c>
      <c r="O11654" s="17"/>
    </row>
    <row r="11655">
      <c r="B11655" s="17" t="s">
        <v>477</v>
      </c>
      <c r="K11655" s="18" t="s">
        <v>477</v>
      </c>
      <c r="N11655" s="17" t="str">
        <f>IFERROR(__xludf.DUMMYFUNCTION("""COMPUTED_VALUE"""),"")</f>
        <v/>
      </c>
      <c r="O11655" s="17"/>
    </row>
    <row r="11656">
      <c r="B11656" s="17" t="s">
        <v>477</v>
      </c>
      <c r="K11656" s="18" t="s">
        <v>477</v>
      </c>
      <c r="N11656" s="17" t="str">
        <f>IFERROR(__xludf.DUMMYFUNCTION("""COMPUTED_VALUE"""),"")</f>
        <v/>
      </c>
      <c r="O11656" s="17"/>
    </row>
    <row r="11657">
      <c r="B11657" s="17" t="s">
        <v>477</v>
      </c>
      <c r="K11657" s="18" t="s">
        <v>477</v>
      </c>
      <c r="N11657" s="17" t="str">
        <f>IFERROR(__xludf.DUMMYFUNCTION("""COMPUTED_VALUE"""),"")</f>
        <v/>
      </c>
      <c r="O11657" s="17"/>
    </row>
    <row r="11658">
      <c r="B11658" s="17" t="s">
        <v>477</v>
      </c>
      <c r="K11658" s="18" t="s">
        <v>477</v>
      </c>
      <c r="N11658" s="17" t="str">
        <f>IFERROR(__xludf.DUMMYFUNCTION("""COMPUTED_VALUE"""),"")</f>
        <v/>
      </c>
      <c r="O11658" s="17"/>
    </row>
    <row r="11659">
      <c r="B11659" s="17" t="s">
        <v>477</v>
      </c>
      <c r="K11659" s="18" t="s">
        <v>477</v>
      </c>
      <c r="N11659" s="17" t="str">
        <f>IFERROR(__xludf.DUMMYFUNCTION("""COMPUTED_VALUE"""),"")</f>
        <v/>
      </c>
      <c r="O11659" s="17"/>
    </row>
    <row r="11660">
      <c r="B11660" s="17" t="s">
        <v>477</v>
      </c>
      <c r="K11660" s="18" t="s">
        <v>477</v>
      </c>
      <c r="N11660" s="17" t="str">
        <f>IFERROR(__xludf.DUMMYFUNCTION("""COMPUTED_VALUE"""),"")</f>
        <v/>
      </c>
      <c r="O11660" s="17"/>
    </row>
    <row r="11661">
      <c r="B11661" s="17" t="s">
        <v>477</v>
      </c>
      <c r="K11661" s="18" t="s">
        <v>477</v>
      </c>
      <c r="N11661" s="17" t="str">
        <f>IFERROR(__xludf.DUMMYFUNCTION("""COMPUTED_VALUE"""),"")</f>
        <v/>
      </c>
      <c r="O11661" s="17"/>
    </row>
    <row r="11662">
      <c r="B11662" s="17" t="s">
        <v>477</v>
      </c>
      <c r="K11662" s="18" t="s">
        <v>477</v>
      </c>
      <c r="N11662" s="17" t="str">
        <f>IFERROR(__xludf.DUMMYFUNCTION("""COMPUTED_VALUE"""),"")</f>
        <v/>
      </c>
      <c r="O11662" s="17"/>
    </row>
    <row r="11663">
      <c r="B11663" s="17" t="s">
        <v>477</v>
      </c>
      <c r="K11663" s="18" t="s">
        <v>477</v>
      </c>
      <c r="N11663" s="17" t="str">
        <f>IFERROR(__xludf.DUMMYFUNCTION("""COMPUTED_VALUE"""),"")</f>
        <v/>
      </c>
      <c r="O11663" s="17"/>
    </row>
    <row r="11664">
      <c r="B11664" s="17" t="s">
        <v>477</v>
      </c>
      <c r="K11664" s="18" t="s">
        <v>477</v>
      </c>
      <c r="N11664" s="17" t="str">
        <f>IFERROR(__xludf.DUMMYFUNCTION("""COMPUTED_VALUE"""),"")</f>
        <v/>
      </c>
      <c r="O11664" s="17"/>
    </row>
    <row r="11665">
      <c r="B11665" s="17" t="s">
        <v>477</v>
      </c>
      <c r="K11665" s="18" t="s">
        <v>477</v>
      </c>
      <c r="N11665" s="17" t="str">
        <f>IFERROR(__xludf.DUMMYFUNCTION("""COMPUTED_VALUE"""),"")</f>
        <v/>
      </c>
      <c r="O11665" s="17"/>
    </row>
    <row r="11666">
      <c r="B11666" s="17" t="s">
        <v>477</v>
      </c>
      <c r="K11666" s="18" t="s">
        <v>477</v>
      </c>
      <c r="N11666" s="17" t="str">
        <f>IFERROR(__xludf.DUMMYFUNCTION("""COMPUTED_VALUE"""),"")</f>
        <v/>
      </c>
      <c r="O11666" s="17"/>
    </row>
    <row r="11667">
      <c r="B11667" s="17" t="s">
        <v>477</v>
      </c>
      <c r="K11667" s="18" t="s">
        <v>477</v>
      </c>
      <c r="N11667" s="17" t="str">
        <f>IFERROR(__xludf.DUMMYFUNCTION("""COMPUTED_VALUE"""),"")</f>
        <v/>
      </c>
      <c r="O11667" s="17"/>
    </row>
    <row r="11668">
      <c r="B11668" s="17" t="s">
        <v>477</v>
      </c>
      <c r="K11668" s="18" t="s">
        <v>477</v>
      </c>
      <c r="N11668" s="17" t="str">
        <f>IFERROR(__xludf.DUMMYFUNCTION("""COMPUTED_VALUE"""),"")</f>
        <v/>
      </c>
      <c r="O11668" s="17"/>
    </row>
    <row r="11669">
      <c r="B11669" s="17" t="s">
        <v>477</v>
      </c>
      <c r="K11669" s="18" t="s">
        <v>477</v>
      </c>
      <c r="N11669" s="17" t="str">
        <f>IFERROR(__xludf.DUMMYFUNCTION("""COMPUTED_VALUE"""),"")</f>
        <v/>
      </c>
      <c r="O11669" s="17"/>
    </row>
    <row r="11670">
      <c r="B11670" s="17" t="s">
        <v>477</v>
      </c>
      <c r="K11670" s="18" t="s">
        <v>477</v>
      </c>
      <c r="N11670" s="17" t="str">
        <f>IFERROR(__xludf.DUMMYFUNCTION("""COMPUTED_VALUE"""),"")</f>
        <v/>
      </c>
      <c r="O11670" s="17"/>
    </row>
    <row r="11671">
      <c r="B11671" s="17" t="s">
        <v>477</v>
      </c>
      <c r="K11671" s="18" t="s">
        <v>477</v>
      </c>
      <c r="N11671" s="17" t="str">
        <f>IFERROR(__xludf.DUMMYFUNCTION("""COMPUTED_VALUE"""),"")</f>
        <v/>
      </c>
      <c r="O11671" s="17"/>
    </row>
    <row r="11672">
      <c r="B11672" s="17" t="s">
        <v>477</v>
      </c>
      <c r="K11672" s="18" t="s">
        <v>477</v>
      </c>
      <c r="N11672" s="17" t="str">
        <f>IFERROR(__xludf.DUMMYFUNCTION("""COMPUTED_VALUE"""),"")</f>
        <v/>
      </c>
      <c r="O11672" s="17"/>
    </row>
    <row r="11673">
      <c r="B11673" s="17" t="s">
        <v>477</v>
      </c>
      <c r="K11673" s="18" t="s">
        <v>477</v>
      </c>
      <c r="N11673" s="17" t="str">
        <f>IFERROR(__xludf.DUMMYFUNCTION("""COMPUTED_VALUE"""),"")</f>
        <v/>
      </c>
      <c r="O11673" s="17"/>
    </row>
    <row r="11674">
      <c r="B11674" s="17" t="s">
        <v>477</v>
      </c>
      <c r="K11674" s="18" t="s">
        <v>477</v>
      </c>
      <c r="N11674" s="17" t="str">
        <f>IFERROR(__xludf.DUMMYFUNCTION("""COMPUTED_VALUE"""),"")</f>
        <v/>
      </c>
      <c r="O11674" s="17"/>
    </row>
    <row r="11675">
      <c r="B11675" s="17" t="s">
        <v>477</v>
      </c>
      <c r="K11675" s="18" t="s">
        <v>477</v>
      </c>
      <c r="N11675" s="17" t="str">
        <f>IFERROR(__xludf.DUMMYFUNCTION("""COMPUTED_VALUE"""),"")</f>
        <v/>
      </c>
      <c r="O11675" s="17"/>
    </row>
    <row r="11676">
      <c r="B11676" s="17" t="s">
        <v>477</v>
      </c>
      <c r="K11676" s="18" t="s">
        <v>477</v>
      </c>
      <c r="N11676" s="17" t="str">
        <f>IFERROR(__xludf.DUMMYFUNCTION("""COMPUTED_VALUE"""),"")</f>
        <v/>
      </c>
      <c r="O11676" s="17"/>
    </row>
    <row r="11677">
      <c r="B11677" s="17" t="s">
        <v>477</v>
      </c>
      <c r="K11677" s="18" t="s">
        <v>477</v>
      </c>
      <c r="N11677" s="17" t="str">
        <f>IFERROR(__xludf.DUMMYFUNCTION("""COMPUTED_VALUE"""),"")</f>
        <v/>
      </c>
      <c r="O11677" s="17"/>
    </row>
    <row r="11678">
      <c r="B11678" s="17" t="s">
        <v>477</v>
      </c>
      <c r="K11678" s="18" t="s">
        <v>477</v>
      </c>
      <c r="N11678" s="17" t="str">
        <f>IFERROR(__xludf.DUMMYFUNCTION("""COMPUTED_VALUE"""),"")</f>
        <v/>
      </c>
      <c r="O11678" s="17"/>
    </row>
    <row r="11679">
      <c r="B11679" s="17" t="s">
        <v>477</v>
      </c>
      <c r="K11679" s="18" t="s">
        <v>477</v>
      </c>
      <c r="N11679" s="17" t="str">
        <f>IFERROR(__xludf.DUMMYFUNCTION("""COMPUTED_VALUE"""),"")</f>
        <v/>
      </c>
      <c r="O11679" s="17"/>
    </row>
    <row r="11680">
      <c r="B11680" s="17" t="s">
        <v>477</v>
      </c>
      <c r="K11680" s="18" t="s">
        <v>477</v>
      </c>
      <c r="N11680" s="17" t="str">
        <f>IFERROR(__xludf.DUMMYFUNCTION("""COMPUTED_VALUE"""),"")</f>
        <v/>
      </c>
      <c r="O11680" s="17"/>
    </row>
    <row r="11681">
      <c r="B11681" s="17" t="s">
        <v>477</v>
      </c>
      <c r="K11681" s="18" t="s">
        <v>477</v>
      </c>
      <c r="N11681" s="17" t="str">
        <f>IFERROR(__xludf.DUMMYFUNCTION("""COMPUTED_VALUE"""),"")</f>
        <v/>
      </c>
      <c r="O11681" s="17"/>
    </row>
    <row r="11682">
      <c r="B11682" s="17" t="s">
        <v>477</v>
      </c>
      <c r="K11682" s="18" t="s">
        <v>477</v>
      </c>
      <c r="N11682" s="17" t="str">
        <f>IFERROR(__xludf.DUMMYFUNCTION("""COMPUTED_VALUE"""),"")</f>
        <v/>
      </c>
      <c r="O11682" s="17"/>
    </row>
    <row r="11683">
      <c r="B11683" s="17" t="s">
        <v>477</v>
      </c>
      <c r="K11683" s="18" t="s">
        <v>477</v>
      </c>
      <c r="N11683" s="17" t="str">
        <f>IFERROR(__xludf.DUMMYFUNCTION("""COMPUTED_VALUE"""),"")</f>
        <v/>
      </c>
      <c r="O11683" s="17"/>
    </row>
    <row r="11684">
      <c r="B11684" s="17" t="s">
        <v>477</v>
      </c>
      <c r="K11684" s="18" t="s">
        <v>477</v>
      </c>
      <c r="N11684" s="17" t="str">
        <f>IFERROR(__xludf.DUMMYFUNCTION("""COMPUTED_VALUE"""),"")</f>
        <v/>
      </c>
      <c r="O11684" s="17"/>
    </row>
    <row r="11685">
      <c r="B11685" s="17" t="s">
        <v>477</v>
      </c>
      <c r="K11685" s="18" t="s">
        <v>477</v>
      </c>
      <c r="N11685" s="17" t="str">
        <f>IFERROR(__xludf.DUMMYFUNCTION("""COMPUTED_VALUE"""),"")</f>
        <v/>
      </c>
      <c r="O11685" s="17"/>
    </row>
    <row r="11686">
      <c r="B11686" s="17" t="s">
        <v>477</v>
      </c>
      <c r="K11686" s="18" t="s">
        <v>477</v>
      </c>
      <c r="N11686" s="17" t="str">
        <f>IFERROR(__xludf.DUMMYFUNCTION("""COMPUTED_VALUE"""),"")</f>
        <v/>
      </c>
      <c r="O11686" s="17"/>
    </row>
    <row r="11687">
      <c r="B11687" s="17" t="s">
        <v>477</v>
      </c>
      <c r="K11687" s="18" t="s">
        <v>477</v>
      </c>
      <c r="N11687" s="17" t="str">
        <f>IFERROR(__xludf.DUMMYFUNCTION("""COMPUTED_VALUE"""),"")</f>
        <v/>
      </c>
      <c r="O11687" s="17"/>
    </row>
    <row r="11688">
      <c r="B11688" s="17" t="s">
        <v>477</v>
      </c>
      <c r="K11688" s="18" t="s">
        <v>477</v>
      </c>
      <c r="N11688" s="17" t="str">
        <f>IFERROR(__xludf.DUMMYFUNCTION("""COMPUTED_VALUE"""),"")</f>
        <v/>
      </c>
      <c r="O11688" s="17"/>
    </row>
    <row r="11689">
      <c r="B11689" s="17" t="s">
        <v>477</v>
      </c>
      <c r="K11689" s="18" t="s">
        <v>477</v>
      </c>
      <c r="N11689" s="17" t="str">
        <f>IFERROR(__xludf.DUMMYFUNCTION("""COMPUTED_VALUE"""),"")</f>
        <v/>
      </c>
      <c r="O11689" s="17"/>
    </row>
    <row r="11690">
      <c r="B11690" s="17" t="s">
        <v>477</v>
      </c>
      <c r="K11690" s="18" t="s">
        <v>477</v>
      </c>
      <c r="N11690" s="17" t="str">
        <f>IFERROR(__xludf.DUMMYFUNCTION("""COMPUTED_VALUE"""),"")</f>
        <v/>
      </c>
      <c r="O11690" s="17"/>
    </row>
    <row r="11691">
      <c r="B11691" s="17" t="s">
        <v>477</v>
      </c>
      <c r="K11691" s="18" t="s">
        <v>477</v>
      </c>
      <c r="N11691" s="17" t="str">
        <f>IFERROR(__xludf.DUMMYFUNCTION("""COMPUTED_VALUE"""),"")</f>
        <v/>
      </c>
      <c r="O11691" s="17"/>
    </row>
    <row r="11692">
      <c r="B11692" s="17" t="s">
        <v>477</v>
      </c>
      <c r="K11692" s="18" t="s">
        <v>477</v>
      </c>
      <c r="N11692" s="17" t="str">
        <f>IFERROR(__xludf.DUMMYFUNCTION("""COMPUTED_VALUE"""),"")</f>
        <v/>
      </c>
      <c r="O11692" s="17"/>
    </row>
    <row r="11693">
      <c r="B11693" s="17" t="s">
        <v>477</v>
      </c>
      <c r="K11693" s="18" t="s">
        <v>477</v>
      </c>
      <c r="N11693" s="17" t="str">
        <f>IFERROR(__xludf.DUMMYFUNCTION("""COMPUTED_VALUE"""),"")</f>
        <v/>
      </c>
      <c r="O11693" s="17"/>
    </row>
    <row r="11694">
      <c r="B11694" s="17" t="s">
        <v>477</v>
      </c>
      <c r="K11694" s="18" t="s">
        <v>477</v>
      </c>
      <c r="N11694" s="17" t="str">
        <f>IFERROR(__xludf.DUMMYFUNCTION("""COMPUTED_VALUE"""),"")</f>
        <v/>
      </c>
      <c r="O11694" s="17"/>
    </row>
    <row r="11695">
      <c r="B11695" s="17" t="s">
        <v>477</v>
      </c>
      <c r="K11695" s="18" t="s">
        <v>477</v>
      </c>
      <c r="N11695" s="17" t="str">
        <f>IFERROR(__xludf.DUMMYFUNCTION("""COMPUTED_VALUE"""),"")</f>
        <v/>
      </c>
      <c r="O11695" s="17"/>
    </row>
    <row r="11696">
      <c r="B11696" s="17" t="s">
        <v>477</v>
      </c>
      <c r="K11696" s="18" t="s">
        <v>477</v>
      </c>
      <c r="N11696" s="17" t="str">
        <f>IFERROR(__xludf.DUMMYFUNCTION("""COMPUTED_VALUE"""),"")</f>
        <v/>
      </c>
      <c r="O11696" s="17"/>
    </row>
    <row r="11697">
      <c r="B11697" s="17" t="s">
        <v>477</v>
      </c>
      <c r="K11697" s="18" t="s">
        <v>477</v>
      </c>
      <c r="N11697" s="17" t="str">
        <f>IFERROR(__xludf.DUMMYFUNCTION("""COMPUTED_VALUE"""),"")</f>
        <v/>
      </c>
      <c r="O11697" s="17"/>
    </row>
    <row r="11698">
      <c r="B11698" s="17" t="s">
        <v>477</v>
      </c>
      <c r="K11698" s="18" t="s">
        <v>477</v>
      </c>
      <c r="N11698" s="17" t="str">
        <f>IFERROR(__xludf.DUMMYFUNCTION("""COMPUTED_VALUE"""),"")</f>
        <v/>
      </c>
      <c r="O11698" s="17"/>
    </row>
    <row r="11699">
      <c r="B11699" s="17" t="s">
        <v>477</v>
      </c>
      <c r="K11699" s="18" t="s">
        <v>477</v>
      </c>
      <c r="N11699" s="17" t="str">
        <f>IFERROR(__xludf.DUMMYFUNCTION("""COMPUTED_VALUE"""),"")</f>
        <v/>
      </c>
      <c r="O11699" s="17"/>
    </row>
    <row r="11700">
      <c r="B11700" s="17" t="s">
        <v>477</v>
      </c>
      <c r="K11700" s="18" t="s">
        <v>477</v>
      </c>
      <c r="N11700" s="17" t="str">
        <f>IFERROR(__xludf.DUMMYFUNCTION("""COMPUTED_VALUE"""),"")</f>
        <v/>
      </c>
      <c r="O11700" s="17"/>
    </row>
    <row r="11701">
      <c r="B11701" s="17" t="s">
        <v>477</v>
      </c>
      <c r="K11701" s="18" t="s">
        <v>477</v>
      </c>
      <c r="N11701" s="17" t="str">
        <f>IFERROR(__xludf.DUMMYFUNCTION("""COMPUTED_VALUE"""),"")</f>
        <v/>
      </c>
      <c r="O11701" s="17"/>
    </row>
    <row r="11702">
      <c r="B11702" s="17" t="s">
        <v>477</v>
      </c>
      <c r="K11702" s="18" t="s">
        <v>477</v>
      </c>
      <c r="N11702" s="17" t="str">
        <f>IFERROR(__xludf.DUMMYFUNCTION("""COMPUTED_VALUE"""),"")</f>
        <v/>
      </c>
      <c r="O11702" s="17"/>
    </row>
    <row r="11703">
      <c r="B11703" s="17" t="s">
        <v>477</v>
      </c>
      <c r="K11703" s="18" t="s">
        <v>477</v>
      </c>
      <c r="N11703" s="17" t="str">
        <f>IFERROR(__xludf.DUMMYFUNCTION("""COMPUTED_VALUE"""),"")</f>
        <v/>
      </c>
      <c r="O11703" s="17"/>
    </row>
    <row r="11704">
      <c r="B11704" s="17" t="s">
        <v>477</v>
      </c>
      <c r="K11704" s="18" t="s">
        <v>477</v>
      </c>
      <c r="N11704" s="17" t="str">
        <f>IFERROR(__xludf.DUMMYFUNCTION("""COMPUTED_VALUE"""),"")</f>
        <v/>
      </c>
      <c r="O11704" s="17"/>
    </row>
    <row r="11705">
      <c r="B11705" s="17" t="s">
        <v>477</v>
      </c>
      <c r="K11705" s="18" t="s">
        <v>477</v>
      </c>
      <c r="N11705" s="17" t="str">
        <f>IFERROR(__xludf.DUMMYFUNCTION("""COMPUTED_VALUE"""),"")</f>
        <v/>
      </c>
      <c r="O11705" s="17"/>
    </row>
    <row r="11706">
      <c r="B11706" s="17" t="s">
        <v>477</v>
      </c>
      <c r="K11706" s="18" t="s">
        <v>477</v>
      </c>
      <c r="N11706" s="17" t="str">
        <f>IFERROR(__xludf.DUMMYFUNCTION("""COMPUTED_VALUE"""),"")</f>
        <v/>
      </c>
      <c r="O11706" s="17"/>
    </row>
    <row r="11707">
      <c r="B11707" s="17" t="s">
        <v>477</v>
      </c>
      <c r="K11707" s="18" t="s">
        <v>477</v>
      </c>
      <c r="N11707" s="17" t="str">
        <f>IFERROR(__xludf.DUMMYFUNCTION("""COMPUTED_VALUE"""),"")</f>
        <v/>
      </c>
      <c r="O11707" s="17"/>
    </row>
    <row r="11708">
      <c r="B11708" s="17" t="s">
        <v>477</v>
      </c>
      <c r="K11708" s="18" t="s">
        <v>477</v>
      </c>
      <c r="N11708" s="17" t="str">
        <f>IFERROR(__xludf.DUMMYFUNCTION("""COMPUTED_VALUE"""),"")</f>
        <v/>
      </c>
      <c r="O11708" s="17"/>
    </row>
    <row r="11709">
      <c r="B11709" s="17" t="s">
        <v>477</v>
      </c>
      <c r="K11709" s="18" t="s">
        <v>477</v>
      </c>
      <c r="N11709" s="17" t="str">
        <f>IFERROR(__xludf.DUMMYFUNCTION("""COMPUTED_VALUE"""),"")</f>
        <v/>
      </c>
      <c r="O11709" s="17"/>
    </row>
    <row r="11710">
      <c r="B11710" s="17" t="s">
        <v>477</v>
      </c>
      <c r="K11710" s="18" t="s">
        <v>477</v>
      </c>
      <c r="N11710" s="17" t="str">
        <f>IFERROR(__xludf.DUMMYFUNCTION("""COMPUTED_VALUE"""),"")</f>
        <v/>
      </c>
      <c r="O11710" s="17"/>
    </row>
    <row r="11711">
      <c r="B11711" s="17" t="s">
        <v>477</v>
      </c>
      <c r="K11711" s="18" t="s">
        <v>477</v>
      </c>
      <c r="N11711" s="17" t="str">
        <f>IFERROR(__xludf.DUMMYFUNCTION("""COMPUTED_VALUE"""),"")</f>
        <v/>
      </c>
      <c r="O11711" s="17"/>
    </row>
    <row r="11712">
      <c r="B11712" s="17" t="s">
        <v>477</v>
      </c>
      <c r="K11712" s="18" t="s">
        <v>477</v>
      </c>
      <c r="N11712" s="17" t="str">
        <f>IFERROR(__xludf.DUMMYFUNCTION("""COMPUTED_VALUE"""),"")</f>
        <v/>
      </c>
      <c r="O11712" s="17"/>
    </row>
    <row r="11713">
      <c r="B11713" s="17" t="s">
        <v>477</v>
      </c>
      <c r="K11713" s="18" t="s">
        <v>477</v>
      </c>
      <c r="N11713" s="17" t="str">
        <f>IFERROR(__xludf.DUMMYFUNCTION("""COMPUTED_VALUE"""),"")</f>
        <v/>
      </c>
      <c r="O11713" s="17"/>
    </row>
    <row r="11714">
      <c r="B11714" s="17" t="s">
        <v>477</v>
      </c>
      <c r="K11714" s="18" t="s">
        <v>477</v>
      </c>
      <c r="N11714" s="17" t="str">
        <f>IFERROR(__xludf.DUMMYFUNCTION("""COMPUTED_VALUE"""),"")</f>
        <v/>
      </c>
      <c r="O11714" s="17"/>
    </row>
    <row r="11715">
      <c r="B11715" s="17" t="s">
        <v>477</v>
      </c>
      <c r="K11715" s="18" t="s">
        <v>477</v>
      </c>
      <c r="N11715" s="17" t="str">
        <f>IFERROR(__xludf.DUMMYFUNCTION("""COMPUTED_VALUE"""),"")</f>
        <v/>
      </c>
      <c r="O11715" s="17"/>
    </row>
    <row r="11716">
      <c r="B11716" s="17" t="s">
        <v>477</v>
      </c>
      <c r="K11716" s="18" t="s">
        <v>477</v>
      </c>
      <c r="N11716" s="17" t="str">
        <f>IFERROR(__xludf.DUMMYFUNCTION("""COMPUTED_VALUE"""),"")</f>
        <v/>
      </c>
      <c r="O11716" s="17"/>
    </row>
    <row r="11717">
      <c r="B11717" s="17" t="s">
        <v>477</v>
      </c>
      <c r="K11717" s="18" t="s">
        <v>477</v>
      </c>
      <c r="N11717" s="17" t="str">
        <f>IFERROR(__xludf.DUMMYFUNCTION("""COMPUTED_VALUE"""),"")</f>
        <v/>
      </c>
      <c r="O11717" s="17"/>
    </row>
    <row r="11718">
      <c r="B11718" s="17" t="s">
        <v>477</v>
      </c>
      <c r="K11718" s="18" t="s">
        <v>477</v>
      </c>
      <c r="N11718" s="17" t="str">
        <f>IFERROR(__xludf.DUMMYFUNCTION("""COMPUTED_VALUE"""),"")</f>
        <v/>
      </c>
      <c r="O11718" s="17"/>
    </row>
    <row r="11719">
      <c r="B11719" s="17" t="s">
        <v>477</v>
      </c>
      <c r="K11719" s="18" t="s">
        <v>477</v>
      </c>
      <c r="N11719" s="17" t="str">
        <f>IFERROR(__xludf.DUMMYFUNCTION("""COMPUTED_VALUE"""),"")</f>
        <v/>
      </c>
      <c r="O11719" s="17"/>
    </row>
    <row r="11720">
      <c r="B11720" s="17" t="s">
        <v>477</v>
      </c>
      <c r="K11720" s="18" t="s">
        <v>477</v>
      </c>
      <c r="N11720" s="17" t="str">
        <f>IFERROR(__xludf.DUMMYFUNCTION("""COMPUTED_VALUE"""),"")</f>
        <v/>
      </c>
      <c r="O11720" s="17"/>
    </row>
    <row r="11721">
      <c r="B11721" s="17" t="s">
        <v>477</v>
      </c>
      <c r="K11721" s="18" t="s">
        <v>477</v>
      </c>
      <c r="N11721" s="17" t="str">
        <f>IFERROR(__xludf.DUMMYFUNCTION("""COMPUTED_VALUE"""),"")</f>
        <v/>
      </c>
      <c r="O11721" s="17"/>
    </row>
    <row r="11722">
      <c r="B11722" s="17" t="s">
        <v>477</v>
      </c>
      <c r="K11722" s="18" t="s">
        <v>477</v>
      </c>
      <c r="N11722" s="17" t="str">
        <f>IFERROR(__xludf.DUMMYFUNCTION("""COMPUTED_VALUE"""),"")</f>
        <v/>
      </c>
      <c r="O11722" s="17"/>
    </row>
    <row r="11723">
      <c r="B11723" s="17" t="s">
        <v>477</v>
      </c>
      <c r="K11723" s="18" t="s">
        <v>477</v>
      </c>
      <c r="N11723" s="17" t="str">
        <f>IFERROR(__xludf.DUMMYFUNCTION("""COMPUTED_VALUE"""),"")</f>
        <v/>
      </c>
      <c r="O11723" s="17"/>
    </row>
    <row r="11724">
      <c r="B11724" s="17" t="s">
        <v>477</v>
      </c>
      <c r="K11724" s="18" t="s">
        <v>477</v>
      </c>
      <c r="N11724" s="17" t="str">
        <f>IFERROR(__xludf.DUMMYFUNCTION("""COMPUTED_VALUE"""),"")</f>
        <v/>
      </c>
      <c r="O11724" s="17"/>
    </row>
    <row r="11725">
      <c r="B11725" s="17" t="s">
        <v>477</v>
      </c>
      <c r="K11725" s="18" t="s">
        <v>477</v>
      </c>
      <c r="N11725" s="17" t="str">
        <f>IFERROR(__xludf.DUMMYFUNCTION("""COMPUTED_VALUE"""),"")</f>
        <v/>
      </c>
      <c r="O11725" s="17"/>
    </row>
    <row r="11726">
      <c r="B11726" s="17" t="s">
        <v>477</v>
      </c>
      <c r="K11726" s="18" t="s">
        <v>477</v>
      </c>
      <c r="N11726" s="17" t="str">
        <f>IFERROR(__xludf.DUMMYFUNCTION("""COMPUTED_VALUE"""),"")</f>
        <v/>
      </c>
      <c r="O11726" s="17"/>
    </row>
    <row r="11727">
      <c r="B11727" s="17" t="s">
        <v>477</v>
      </c>
      <c r="K11727" s="18" t="s">
        <v>477</v>
      </c>
      <c r="N11727" s="17" t="str">
        <f>IFERROR(__xludf.DUMMYFUNCTION("""COMPUTED_VALUE"""),"")</f>
        <v/>
      </c>
      <c r="O11727" s="17"/>
    </row>
    <row r="11728">
      <c r="B11728" s="17" t="s">
        <v>477</v>
      </c>
      <c r="K11728" s="18" t="s">
        <v>477</v>
      </c>
      <c r="N11728" s="17" t="str">
        <f>IFERROR(__xludf.DUMMYFUNCTION("""COMPUTED_VALUE"""),"")</f>
        <v/>
      </c>
      <c r="O11728" s="17"/>
    </row>
    <row r="11729">
      <c r="B11729" s="17" t="s">
        <v>477</v>
      </c>
      <c r="K11729" s="18" t="s">
        <v>477</v>
      </c>
      <c r="N11729" s="17" t="str">
        <f>IFERROR(__xludf.DUMMYFUNCTION("""COMPUTED_VALUE"""),"")</f>
        <v/>
      </c>
      <c r="O11729" s="17"/>
    </row>
    <row r="11730">
      <c r="B11730" s="17" t="s">
        <v>477</v>
      </c>
      <c r="K11730" s="18" t="s">
        <v>477</v>
      </c>
      <c r="N11730" s="17" t="str">
        <f>IFERROR(__xludf.DUMMYFUNCTION("""COMPUTED_VALUE"""),"")</f>
        <v/>
      </c>
      <c r="O11730" s="17"/>
    </row>
    <row r="11731">
      <c r="B11731" s="17" t="s">
        <v>477</v>
      </c>
      <c r="K11731" s="18" t="s">
        <v>477</v>
      </c>
      <c r="N11731" s="17" t="str">
        <f>IFERROR(__xludf.DUMMYFUNCTION("""COMPUTED_VALUE"""),"")</f>
        <v/>
      </c>
      <c r="O11731" s="17"/>
    </row>
    <row r="11732">
      <c r="B11732" s="17" t="s">
        <v>477</v>
      </c>
      <c r="K11732" s="18" t="s">
        <v>477</v>
      </c>
      <c r="N11732" s="17" t="str">
        <f>IFERROR(__xludf.DUMMYFUNCTION("""COMPUTED_VALUE"""),"")</f>
        <v/>
      </c>
      <c r="O11732" s="17"/>
    </row>
    <row r="11733">
      <c r="B11733" s="17" t="s">
        <v>477</v>
      </c>
      <c r="K11733" s="18" t="s">
        <v>477</v>
      </c>
      <c r="N11733" s="17" t="str">
        <f>IFERROR(__xludf.DUMMYFUNCTION("""COMPUTED_VALUE"""),"")</f>
        <v/>
      </c>
      <c r="O11733" s="17"/>
    </row>
    <row r="11734">
      <c r="B11734" s="17" t="s">
        <v>477</v>
      </c>
      <c r="K11734" s="18" t="s">
        <v>477</v>
      </c>
      <c r="N11734" s="17" t="str">
        <f>IFERROR(__xludf.DUMMYFUNCTION("""COMPUTED_VALUE"""),"")</f>
        <v/>
      </c>
      <c r="O11734" s="17"/>
    </row>
    <row r="11735">
      <c r="B11735" s="17" t="s">
        <v>477</v>
      </c>
      <c r="K11735" s="18" t="s">
        <v>477</v>
      </c>
      <c r="N11735" s="17" t="str">
        <f>IFERROR(__xludf.DUMMYFUNCTION("""COMPUTED_VALUE"""),"")</f>
        <v/>
      </c>
      <c r="O11735" s="17"/>
    </row>
    <row r="11736">
      <c r="B11736" s="17" t="s">
        <v>477</v>
      </c>
      <c r="K11736" s="18" t="s">
        <v>477</v>
      </c>
      <c r="N11736" s="17" t="str">
        <f>IFERROR(__xludf.DUMMYFUNCTION("""COMPUTED_VALUE"""),"")</f>
        <v/>
      </c>
      <c r="O11736" s="17"/>
    </row>
    <row r="11737">
      <c r="B11737" s="17" t="s">
        <v>477</v>
      </c>
      <c r="K11737" s="18" t="s">
        <v>477</v>
      </c>
      <c r="N11737" s="17" t="str">
        <f>IFERROR(__xludf.DUMMYFUNCTION("""COMPUTED_VALUE"""),"")</f>
        <v/>
      </c>
      <c r="O11737" s="17"/>
    </row>
    <row r="11738">
      <c r="B11738" s="17" t="s">
        <v>477</v>
      </c>
      <c r="K11738" s="18" t="s">
        <v>477</v>
      </c>
      <c r="N11738" s="17" t="str">
        <f>IFERROR(__xludf.DUMMYFUNCTION("""COMPUTED_VALUE"""),"")</f>
        <v/>
      </c>
      <c r="O11738" s="17"/>
    </row>
    <row r="11739">
      <c r="B11739" s="17" t="s">
        <v>477</v>
      </c>
      <c r="K11739" s="18" t="s">
        <v>477</v>
      </c>
      <c r="N11739" s="17" t="str">
        <f>IFERROR(__xludf.DUMMYFUNCTION("""COMPUTED_VALUE"""),"")</f>
        <v/>
      </c>
      <c r="O11739" s="17"/>
    </row>
    <row r="11740">
      <c r="B11740" s="17" t="s">
        <v>477</v>
      </c>
      <c r="K11740" s="18" t="s">
        <v>477</v>
      </c>
      <c r="N11740" s="17" t="str">
        <f>IFERROR(__xludf.DUMMYFUNCTION("""COMPUTED_VALUE"""),"")</f>
        <v/>
      </c>
      <c r="O11740" s="17"/>
    </row>
    <row r="11741">
      <c r="B11741" s="17" t="s">
        <v>477</v>
      </c>
      <c r="K11741" s="18" t="s">
        <v>477</v>
      </c>
      <c r="N11741" s="17" t="str">
        <f>IFERROR(__xludf.DUMMYFUNCTION("""COMPUTED_VALUE"""),"")</f>
        <v/>
      </c>
      <c r="O11741" s="17"/>
    </row>
    <row r="11742">
      <c r="B11742" s="17" t="s">
        <v>477</v>
      </c>
      <c r="K11742" s="18" t="s">
        <v>477</v>
      </c>
      <c r="N11742" s="17" t="str">
        <f>IFERROR(__xludf.DUMMYFUNCTION("""COMPUTED_VALUE"""),"")</f>
        <v/>
      </c>
      <c r="O11742" s="17"/>
    </row>
    <row r="11743">
      <c r="B11743" s="17" t="s">
        <v>477</v>
      </c>
      <c r="K11743" s="18" t="s">
        <v>477</v>
      </c>
      <c r="N11743" s="17" t="str">
        <f>IFERROR(__xludf.DUMMYFUNCTION("""COMPUTED_VALUE"""),"")</f>
        <v/>
      </c>
      <c r="O11743" s="17"/>
    </row>
    <row r="11744">
      <c r="B11744" s="17" t="s">
        <v>477</v>
      </c>
      <c r="K11744" s="18" t="s">
        <v>477</v>
      </c>
      <c r="N11744" s="17" t="str">
        <f>IFERROR(__xludf.DUMMYFUNCTION("""COMPUTED_VALUE"""),"")</f>
        <v/>
      </c>
      <c r="O11744" s="17"/>
    </row>
    <row r="11745">
      <c r="B11745" s="17" t="s">
        <v>477</v>
      </c>
      <c r="K11745" s="18" t="s">
        <v>477</v>
      </c>
      <c r="N11745" s="17" t="str">
        <f>IFERROR(__xludf.DUMMYFUNCTION("""COMPUTED_VALUE"""),"")</f>
        <v/>
      </c>
      <c r="O11745" s="17"/>
    </row>
    <row r="11746">
      <c r="B11746" s="17" t="s">
        <v>477</v>
      </c>
      <c r="K11746" s="18" t="s">
        <v>477</v>
      </c>
      <c r="N11746" s="17" t="str">
        <f>IFERROR(__xludf.DUMMYFUNCTION("""COMPUTED_VALUE"""),"")</f>
        <v/>
      </c>
      <c r="O11746" s="17"/>
    </row>
    <row r="11747">
      <c r="B11747" s="17" t="s">
        <v>477</v>
      </c>
      <c r="K11747" s="18" t="s">
        <v>477</v>
      </c>
      <c r="N11747" s="17" t="str">
        <f>IFERROR(__xludf.DUMMYFUNCTION("""COMPUTED_VALUE"""),"")</f>
        <v/>
      </c>
      <c r="O11747" s="17"/>
    </row>
    <row r="11748">
      <c r="B11748" s="17" t="s">
        <v>477</v>
      </c>
      <c r="K11748" s="18" t="s">
        <v>477</v>
      </c>
      <c r="N11748" s="17" t="str">
        <f>IFERROR(__xludf.DUMMYFUNCTION("""COMPUTED_VALUE"""),"")</f>
        <v/>
      </c>
      <c r="O11748" s="17"/>
    </row>
    <row r="11749">
      <c r="B11749" s="17" t="s">
        <v>477</v>
      </c>
      <c r="K11749" s="18" t="s">
        <v>477</v>
      </c>
      <c r="N11749" s="17" t="str">
        <f>IFERROR(__xludf.DUMMYFUNCTION("""COMPUTED_VALUE"""),"")</f>
        <v/>
      </c>
      <c r="O11749" s="17"/>
    </row>
    <row r="11750">
      <c r="B11750" s="17" t="s">
        <v>477</v>
      </c>
      <c r="K11750" s="18" t="s">
        <v>477</v>
      </c>
      <c r="N11750" s="17" t="str">
        <f>IFERROR(__xludf.DUMMYFUNCTION("""COMPUTED_VALUE"""),"")</f>
        <v/>
      </c>
      <c r="O11750" s="17"/>
    </row>
    <row r="11751">
      <c r="B11751" s="17" t="s">
        <v>477</v>
      </c>
      <c r="K11751" s="18" t="s">
        <v>477</v>
      </c>
      <c r="N11751" s="17" t="str">
        <f>IFERROR(__xludf.DUMMYFUNCTION("""COMPUTED_VALUE"""),"")</f>
        <v/>
      </c>
      <c r="O11751" s="17"/>
    </row>
    <row r="11752">
      <c r="B11752" s="17" t="s">
        <v>477</v>
      </c>
      <c r="K11752" s="18" t="s">
        <v>477</v>
      </c>
      <c r="N11752" s="17" t="str">
        <f>IFERROR(__xludf.DUMMYFUNCTION("""COMPUTED_VALUE"""),"")</f>
        <v/>
      </c>
      <c r="O11752" s="17"/>
    </row>
    <row r="11753">
      <c r="B11753" s="17" t="s">
        <v>477</v>
      </c>
      <c r="K11753" s="18" t="s">
        <v>477</v>
      </c>
      <c r="N11753" s="17" t="str">
        <f>IFERROR(__xludf.DUMMYFUNCTION("""COMPUTED_VALUE"""),"")</f>
        <v/>
      </c>
      <c r="O11753" s="17"/>
    </row>
    <row r="11754">
      <c r="B11754" s="17" t="s">
        <v>477</v>
      </c>
      <c r="K11754" s="18" t="s">
        <v>477</v>
      </c>
      <c r="N11754" s="17" t="str">
        <f>IFERROR(__xludf.DUMMYFUNCTION("""COMPUTED_VALUE"""),"")</f>
        <v/>
      </c>
      <c r="O11754" s="17"/>
    </row>
    <row r="11755">
      <c r="B11755" s="17" t="s">
        <v>477</v>
      </c>
      <c r="K11755" s="18" t="s">
        <v>477</v>
      </c>
      <c r="N11755" s="17" t="str">
        <f>IFERROR(__xludf.DUMMYFUNCTION("""COMPUTED_VALUE"""),"")</f>
        <v/>
      </c>
      <c r="O11755" s="17"/>
    </row>
    <row r="11756">
      <c r="B11756" s="17" t="s">
        <v>477</v>
      </c>
      <c r="K11756" s="18" t="s">
        <v>477</v>
      </c>
      <c r="N11756" s="17" t="str">
        <f>IFERROR(__xludf.DUMMYFUNCTION("""COMPUTED_VALUE"""),"")</f>
        <v/>
      </c>
      <c r="O11756" s="17"/>
    </row>
    <row r="11757">
      <c r="B11757" s="17" t="s">
        <v>477</v>
      </c>
      <c r="K11757" s="18" t="s">
        <v>477</v>
      </c>
      <c r="N11757" s="17" t="str">
        <f>IFERROR(__xludf.DUMMYFUNCTION("""COMPUTED_VALUE"""),"")</f>
        <v/>
      </c>
      <c r="O11757" s="17"/>
    </row>
    <row r="11758">
      <c r="B11758" s="17" t="s">
        <v>477</v>
      </c>
      <c r="K11758" s="18" t="s">
        <v>477</v>
      </c>
      <c r="N11758" s="17" t="str">
        <f>IFERROR(__xludf.DUMMYFUNCTION("""COMPUTED_VALUE"""),"")</f>
        <v/>
      </c>
      <c r="O11758" s="17"/>
    </row>
    <row r="11759">
      <c r="B11759" s="17" t="s">
        <v>477</v>
      </c>
      <c r="K11759" s="18" t="s">
        <v>477</v>
      </c>
      <c r="N11759" s="17" t="str">
        <f>IFERROR(__xludf.DUMMYFUNCTION("""COMPUTED_VALUE"""),"")</f>
        <v/>
      </c>
      <c r="O11759" s="17"/>
    </row>
    <row r="11760">
      <c r="B11760" s="17" t="s">
        <v>477</v>
      </c>
      <c r="K11760" s="18" t="s">
        <v>477</v>
      </c>
      <c r="N11760" s="17" t="str">
        <f>IFERROR(__xludf.DUMMYFUNCTION("""COMPUTED_VALUE"""),"")</f>
        <v/>
      </c>
      <c r="O11760" s="17"/>
    </row>
    <row r="11761">
      <c r="B11761" s="17" t="s">
        <v>477</v>
      </c>
      <c r="K11761" s="18" t="s">
        <v>477</v>
      </c>
      <c r="N11761" s="17" t="str">
        <f>IFERROR(__xludf.DUMMYFUNCTION("""COMPUTED_VALUE"""),"")</f>
        <v/>
      </c>
      <c r="O11761" s="17"/>
    </row>
    <row r="11762">
      <c r="B11762" s="17" t="s">
        <v>477</v>
      </c>
      <c r="K11762" s="18" t="s">
        <v>477</v>
      </c>
      <c r="N11762" s="17" t="str">
        <f>IFERROR(__xludf.DUMMYFUNCTION("""COMPUTED_VALUE"""),"")</f>
        <v/>
      </c>
      <c r="O11762" s="17"/>
    </row>
    <row r="11763">
      <c r="B11763" s="17" t="s">
        <v>477</v>
      </c>
      <c r="K11763" s="18" t="s">
        <v>477</v>
      </c>
      <c r="N11763" s="17" t="str">
        <f>IFERROR(__xludf.DUMMYFUNCTION("""COMPUTED_VALUE"""),"")</f>
        <v/>
      </c>
      <c r="O11763" s="17"/>
    </row>
    <row r="11764">
      <c r="B11764" s="17" t="s">
        <v>477</v>
      </c>
      <c r="K11764" s="18" t="s">
        <v>477</v>
      </c>
      <c r="N11764" s="17" t="str">
        <f>IFERROR(__xludf.DUMMYFUNCTION("""COMPUTED_VALUE"""),"")</f>
        <v/>
      </c>
      <c r="O11764" s="17"/>
    </row>
    <row r="11765">
      <c r="B11765" s="17" t="s">
        <v>477</v>
      </c>
      <c r="K11765" s="18" t="s">
        <v>477</v>
      </c>
      <c r="N11765" s="17" t="str">
        <f>IFERROR(__xludf.DUMMYFUNCTION("""COMPUTED_VALUE"""),"")</f>
        <v/>
      </c>
      <c r="O11765" s="17"/>
    </row>
    <row r="11766">
      <c r="B11766" s="17" t="s">
        <v>477</v>
      </c>
      <c r="K11766" s="18" t="s">
        <v>477</v>
      </c>
      <c r="N11766" s="17" t="str">
        <f>IFERROR(__xludf.DUMMYFUNCTION("""COMPUTED_VALUE"""),"")</f>
        <v/>
      </c>
      <c r="O11766" s="17"/>
    </row>
    <row r="11767">
      <c r="B11767" s="17" t="s">
        <v>477</v>
      </c>
      <c r="K11767" s="18" t="s">
        <v>477</v>
      </c>
      <c r="N11767" s="17" t="str">
        <f>IFERROR(__xludf.DUMMYFUNCTION("""COMPUTED_VALUE"""),"")</f>
        <v/>
      </c>
      <c r="O11767" s="17"/>
    </row>
    <row r="11768">
      <c r="B11768" s="17" t="s">
        <v>477</v>
      </c>
      <c r="K11768" s="18" t="s">
        <v>477</v>
      </c>
      <c r="N11768" s="17" t="str">
        <f>IFERROR(__xludf.DUMMYFUNCTION("""COMPUTED_VALUE"""),"")</f>
        <v/>
      </c>
      <c r="O11768" s="17"/>
    </row>
    <row r="11769">
      <c r="B11769" s="17" t="s">
        <v>477</v>
      </c>
      <c r="K11769" s="18" t="s">
        <v>477</v>
      </c>
      <c r="N11769" s="17" t="str">
        <f>IFERROR(__xludf.DUMMYFUNCTION("""COMPUTED_VALUE"""),"")</f>
        <v/>
      </c>
      <c r="O11769" s="17"/>
    </row>
    <row r="11770">
      <c r="B11770" s="17" t="s">
        <v>477</v>
      </c>
      <c r="K11770" s="18" t="s">
        <v>477</v>
      </c>
      <c r="N11770" s="17" t="str">
        <f>IFERROR(__xludf.DUMMYFUNCTION("""COMPUTED_VALUE"""),"")</f>
        <v/>
      </c>
      <c r="O11770" s="17"/>
    </row>
    <row r="11771">
      <c r="B11771" s="17" t="s">
        <v>477</v>
      </c>
      <c r="K11771" s="18" t="s">
        <v>477</v>
      </c>
      <c r="N11771" s="17" t="str">
        <f>IFERROR(__xludf.DUMMYFUNCTION("""COMPUTED_VALUE"""),"")</f>
        <v/>
      </c>
      <c r="O11771" s="17"/>
    </row>
    <row r="11772">
      <c r="B11772" s="17" t="s">
        <v>477</v>
      </c>
      <c r="K11772" s="18" t="s">
        <v>477</v>
      </c>
      <c r="N11772" s="17" t="str">
        <f>IFERROR(__xludf.DUMMYFUNCTION("""COMPUTED_VALUE"""),"")</f>
        <v/>
      </c>
      <c r="O11772" s="17"/>
    </row>
    <row r="11773">
      <c r="B11773" s="17" t="s">
        <v>477</v>
      </c>
      <c r="K11773" s="18" t="s">
        <v>477</v>
      </c>
      <c r="N11773" s="17" t="str">
        <f>IFERROR(__xludf.DUMMYFUNCTION("""COMPUTED_VALUE"""),"")</f>
        <v/>
      </c>
      <c r="O11773" s="17"/>
    </row>
    <row r="11774">
      <c r="B11774" s="17" t="s">
        <v>477</v>
      </c>
      <c r="K11774" s="18" t="s">
        <v>477</v>
      </c>
      <c r="N11774" s="17" t="str">
        <f>IFERROR(__xludf.DUMMYFUNCTION("""COMPUTED_VALUE"""),"")</f>
        <v/>
      </c>
      <c r="O11774" s="17"/>
    </row>
    <row r="11775">
      <c r="B11775" s="17" t="s">
        <v>477</v>
      </c>
      <c r="K11775" s="18" t="s">
        <v>477</v>
      </c>
      <c r="N11775" s="17" t="str">
        <f>IFERROR(__xludf.DUMMYFUNCTION("""COMPUTED_VALUE"""),"")</f>
        <v/>
      </c>
      <c r="O11775" s="17"/>
    </row>
    <row r="11776">
      <c r="B11776" s="17" t="s">
        <v>477</v>
      </c>
      <c r="K11776" s="18" t="s">
        <v>477</v>
      </c>
      <c r="N11776" s="17" t="str">
        <f>IFERROR(__xludf.DUMMYFUNCTION("""COMPUTED_VALUE"""),"")</f>
        <v/>
      </c>
      <c r="O11776" s="17"/>
    </row>
    <row r="11777">
      <c r="B11777" s="17" t="s">
        <v>477</v>
      </c>
      <c r="K11777" s="18" t="s">
        <v>477</v>
      </c>
      <c r="N11777" s="17" t="str">
        <f>IFERROR(__xludf.DUMMYFUNCTION("""COMPUTED_VALUE"""),"")</f>
        <v/>
      </c>
      <c r="O11777" s="17"/>
    </row>
    <row r="11778">
      <c r="B11778" s="17" t="s">
        <v>477</v>
      </c>
      <c r="K11778" s="18" t="s">
        <v>477</v>
      </c>
      <c r="N11778" s="17" t="str">
        <f>IFERROR(__xludf.DUMMYFUNCTION("""COMPUTED_VALUE"""),"")</f>
        <v/>
      </c>
      <c r="O11778" s="17"/>
    </row>
    <row r="11779">
      <c r="B11779" s="17" t="s">
        <v>477</v>
      </c>
      <c r="K11779" s="18" t="s">
        <v>477</v>
      </c>
      <c r="N11779" s="17" t="str">
        <f>IFERROR(__xludf.DUMMYFUNCTION("""COMPUTED_VALUE"""),"")</f>
        <v/>
      </c>
      <c r="O11779" s="17"/>
    </row>
    <row r="11780">
      <c r="B11780" s="17" t="s">
        <v>477</v>
      </c>
      <c r="K11780" s="18" t="s">
        <v>477</v>
      </c>
      <c r="N11780" s="17" t="str">
        <f>IFERROR(__xludf.DUMMYFUNCTION("""COMPUTED_VALUE"""),"")</f>
        <v/>
      </c>
      <c r="O11780" s="17"/>
    </row>
    <row r="11781">
      <c r="B11781" s="17" t="s">
        <v>477</v>
      </c>
      <c r="K11781" s="18" t="s">
        <v>477</v>
      </c>
      <c r="N11781" s="17" t="str">
        <f>IFERROR(__xludf.DUMMYFUNCTION("""COMPUTED_VALUE"""),"")</f>
        <v/>
      </c>
      <c r="O11781" s="17"/>
    </row>
    <row r="11782">
      <c r="B11782" s="17" t="s">
        <v>477</v>
      </c>
      <c r="K11782" s="18" t="s">
        <v>477</v>
      </c>
      <c r="N11782" s="17" t="str">
        <f>IFERROR(__xludf.DUMMYFUNCTION("""COMPUTED_VALUE"""),"")</f>
        <v/>
      </c>
      <c r="O11782" s="17"/>
    </row>
    <row r="11783">
      <c r="B11783" s="17" t="s">
        <v>477</v>
      </c>
      <c r="K11783" s="18" t="s">
        <v>477</v>
      </c>
      <c r="N11783" s="17" t="str">
        <f>IFERROR(__xludf.DUMMYFUNCTION("""COMPUTED_VALUE"""),"")</f>
        <v/>
      </c>
      <c r="O11783" s="17"/>
    </row>
    <row r="11784">
      <c r="B11784" s="17" t="s">
        <v>477</v>
      </c>
      <c r="K11784" s="18" t="s">
        <v>477</v>
      </c>
      <c r="N11784" s="17" t="str">
        <f>IFERROR(__xludf.DUMMYFUNCTION("""COMPUTED_VALUE"""),"")</f>
        <v/>
      </c>
      <c r="O11784" s="17"/>
    </row>
    <row r="11785">
      <c r="B11785" s="17" t="s">
        <v>477</v>
      </c>
      <c r="K11785" s="18" t="s">
        <v>477</v>
      </c>
      <c r="N11785" s="17" t="str">
        <f>IFERROR(__xludf.DUMMYFUNCTION("""COMPUTED_VALUE"""),"")</f>
        <v/>
      </c>
      <c r="O11785" s="17"/>
    </row>
    <row r="11786">
      <c r="B11786" s="17" t="s">
        <v>477</v>
      </c>
      <c r="K11786" s="18" t="s">
        <v>477</v>
      </c>
      <c r="N11786" s="17" t="str">
        <f>IFERROR(__xludf.DUMMYFUNCTION("""COMPUTED_VALUE"""),"")</f>
        <v/>
      </c>
      <c r="O11786" s="17"/>
    </row>
    <row r="11787">
      <c r="B11787" s="17" t="s">
        <v>477</v>
      </c>
      <c r="K11787" s="18" t="s">
        <v>477</v>
      </c>
      <c r="N11787" s="17" t="str">
        <f>IFERROR(__xludf.DUMMYFUNCTION("""COMPUTED_VALUE"""),"")</f>
        <v/>
      </c>
      <c r="O11787" s="17"/>
    </row>
    <row r="11788">
      <c r="B11788" s="17" t="s">
        <v>477</v>
      </c>
      <c r="K11788" s="18" t="s">
        <v>477</v>
      </c>
      <c r="N11788" s="17" t="str">
        <f>IFERROR(__xludf.DUMMYFUNCTION("""COMPUTED_VALUE"""),"")</f>
        <v/>
      </c>
      <c r="O11788" s="17"/>
    </row>
    <row r="11789">
      <c r="B11789" s="17" t="s">
        <v>477</v>
      </c>
      <c r="K11789" s="18" t="s">
        <v>477</v>
      </c>
      <c r="N11789" s="17" t="str">
        <f>IFERROR(__xludf.DUMMYFUNCTION("""COMPUTED_VALUE"""),"")</f>
        <v/>
      </c>
      <c r="O11789" s="17"/>
    </row>
    <row r="11790">
      <c r="B11790" s="17" t="s">
        <v>477</v>
      </c>
      <c r="K11790" s="18" t="s">
        <v>477</v>
      </c>
      <c r="N11790" s="17" t="str">
        <f>IFERROR(__xludf.DUMMYFUNCTION("""COMPUTED_VALUE"""),"")</f>
        <v/>
      </c>
      <c r="O11790" s="17"/>
    </row>
    <row r="11791">
      <c r="B11791" s="17" t="s">
        <v>477</v>
      </c>
      <c r="K11791" s="18" t="s">
        <v>477</v>
      </c>
      <c r="N11791" s="17" t="str">
        <f>IFERROR(__xludf.DUMMYFUNCTION("""COMPUTED_VALUE"""),"")</f>
        <v/>
      </c>
      <c r="O11791" s="17"/>
    </row>
    <row r="11792">
      <c r="B11792" s="17" t="s">
        <v>477</v>
      </c>
      <c r="K11792" s="18" t="s">
        <v>477</v>
      </c>
      <c r="N11792" s="17" t="str">
        <f>IFERROR(__xludf.DUMMYFUNCTION("""COMPUTED_VALUE"""),"")</f>
        <v/>
      </c>
      <c r="O11792" s="17"/>
    </row>
    <row r="11793">
      <c r="B11793" s="17" t="s">
        <v>477</v>
      </c>
      <c r="K11793" s="18" t="s">
        <v>477</v>
      </c>
      <c r="N11793" s="17" t="str">
        <f>IFERROR(__xludf.DUMMYFUNCTION("""COMPUTED_VALUE"""),"")</f>
        <v/>
      </c>
      <c r="O11793" s="17"/>
    </row>
    <row r="11794">
      <c r="B11794" s="17" t="s">
        <v>477</v>
      </c>
      <c r="K11794" s="18" t="s">
        <v>477</v>
      </c>
      <c r="N11794" s="17" t="str">
        <f>IFERROR(__xludf.DUMMYFUNCTION("""COMPUTED_VALUE"""),"")</f>
        <v/>
      </c>
      <c r="O11794" s="17"/>
    </row>
    <row r="11795">
      <c r="B11795" s="17" t="s">
        <v>477</v>
      </c>
      <c r="K11795" s="18" t="s">
        <v>477</v>
      </c>
      <c r="N11795" s="17" t="str">
        <f>IFERROR(__xludf.DUMMYFUNCTION("""COMPUTED_VALUE"""),"")</f>
        <v/>
      </c>
      <c r="O11795" s="17"/>
    </row>
    <row r="11796">
      <c r="B11796" s="17" t="s">
        <v>477</v>
      </c>
      <c r="K11796" s="18" t="s">
        <v>477</v>
      </c>
      <c r="N11796" s="17" t="str">
        <f>IFERROR(__xludf.DUMMYFUNCTION("""COMPUTED_VALUE"""),"")</f>
        <v/>
      </c>
      <c r="O11796" s="17"/>
    </row>
    <row r="11797">
      <c r="B11797" s="17" t="s">
        <v>477</v>
      </c>
      <c r="K11797" s="18" t="s">
        <v>477</v>
      </c>
      <c r="N11797" s="17" t="str">
        <f>IFERROR(__xludf.DUMMYFUNCTION("""COMPUTED_VALUE"""),"")</f>
        <v/>
      </c>
      <c r="O11797" s="17"/>
    </row>
    <row r="11798">
      <c r="B11798" s="17" t="s">
        <v>477</v>
      </c>
      <c r="K11798" s="18" t="s">
        <v>477</v>
      </c>
      <c r="N11798" s="17" t="str">
        <f>IFERROR(__xludf.DUMMYFUNCTION("""COMPUTED_VALUE"""),"")</f>
        <v/>
      </c>
      <c r="O11798" s="17"/>
    </row>
    <row r="11799">
      <c r="B11799" s="17" t="s">
        <v>477</v>
      </c>
      <c r="K11799" s="18" t="s">
        <v>477</v>
      </c>
      <c r="N11799" s="17" t="str">
        <f>IFERROR(__xludf.DUMMYFUNCTION("""COMPUTED_VALUE"""),"")</f>
        <v/>
      </c>
      <c r="O11799" s="17"/>
    </row>
    <row r="11800">
      <c r="B11800" s="17" t="s">
        <v>477</v>
      </c>
      <c r="K11800" s="18" t="s">
        <v>477</v>
      </c>
      <c r="N11800" s="17" t="str">
        <f>IFERROR(__xludf.DUMMYFUNCTION("""COMPUTED_VALUE"""),"")</f>
        <v/>
      </c>
      <c r="O11800" s="17"/>
    </row>
    <row r="11801">
      <c r="B11801" s="17" t="s">
        <v>477</v>
      </c>
      <c r="K11801" s="18" t="s">
        <v>477</v>
      </c>
      <c r="N11801" s="17" t="str">
        <f>IFERROR(__xludf.DUMMYFUNCTION("""COMPUTED_VALUE"""),"")</f>
        <v/>
      </c>
      <c r="O11801" s="17"/>
    </row>
    <row r="11802">
      <c r="B11802" s="17" t="s">
        <v>477</v>
      </c>
      <c r="K11802" s="18" t="s">
        <v>477</v>
      </c>
      <c r="N11802" s="17" t="str">
        <f>IFERROR(__xludf.DUMMYFUNCTION("""COMPUTED_VALUE"""),"")</f>
        <v/>
      </c>
      <c r="O11802" s="17"/>
    </row>
    <row r="11803">
      <c r="B11803" s="17" t="s">
        <v>477</v>
      </c>
      <c r="K11803" s="18" t="s">
        <v>477</v>
      </c>
      <c r="N11803" s="17" t="str">
        <f>IFERROR(__xludf.DUMMYFUNCTION("""COMPUTED_VALUE"""),"")</f>
        <v/>
      </c>
      <c r="O11803" s="17"/>
    </row>
    <row r="11804">
      <c r="B11804" s="17" t="s">
        <v>477</v>
      </c>
      <c r="K11804" s="18" t="s">
        <v>477</v>
      </c>
      <c r="N11804" s="17" t="str">
        <f>IFERROR(__xludf.DUMMYFUNCTION("""COMPUTED_VALUE"""),"")</f>
        <v/>
      </c>
      <c r="O11804" s="17"/>
    </row>
    <row r="11805">
      <c r="B11805" s="17" t="s">
        <v>477</v>
      </c>
      <c r="K11805" s="18" t="s">
        <v>477</v>
      </c>
      <c r="N11805" s="17" t="str">
        <f>IFERROR(__xludf.DUMMYFUNCTION("""COMPUTED_VALUE"""),"")</f>
        <v/>
      </c>
      <c r="O11805" s="17"/>
    </row>
    <row r="11806">
      <c r="B11806" s="17" t="s">
        <v>477</v>
      </c>
      <c r="K11806" s="18" t="s">
        <v>477</v>
      </c>
      <c r="N11806" s="17" t="str">
        <f>IFERROR(__xludf.DUMMYFUNCTION("""COMPUTED_VALUE"""),"")</f>
        <v/>
      </c>
      <c r="O11806" s="17"/>
    </row>
    <row r="11807">
      <c r="B11807" s="17" t="s">
        <v>477</v>
      </c>
      <c r="K11807" s="18" t="s">
        <v>477</v>
      </c>
      <c r="N11807" s="17" t="str">
        <f>IFERROR(__xludf.DUMMYFUNCTION("""COMPUTED_VALUE"""),"")</f>
        <v/>
      </c>
      <c r="O11807" s="17"/>
    </row>
    <row r="11808">
      <c r="B11808" s="17" t="s">
        <v>477</v>
      </c>
      <c r="K11808" s="18" t="s">
        <v>477</v>
      </c>
      <c r="N11808" s="17" t="str">
        <f>IFERROR(__xludf.DUMMYFUNCTION("""COMPUTED_VALUE"""),"")</f>
        <v/>
      </c>
      <c r="O11808" s="17"/>
    </row>
    <row r="11809">
      <c r="B11809" s="17" t="s">
        <v>477</v>
      </c>
      <c r="K11809" s="18" t="s">
        <v>477</v>
      </c>
      <c r="N11809" s="17" t="str">
        <f>IFERROR(__xludf.DUMMYFUNCTION("""COMPUTED_VALUE"""),"")</f>
        <v/>
      </c>
      <c r="O11809" s="17"/>
    </row>
    <row r="11810">
      <c r="B11810" s="17" t="s">
        <v>477</v>
      </c>
      <c r="K11810" s="18" t="s">
        <v>477</v>
      </c>
      <c r="N11810" s="17" t="str">
        <f>IFERROR(__xludf.DUMMYFUNCTION("""COMPUTED_VALUE"""),"")</f>
        <v/>
      </c>
      <c r="O11810" s="17"/>
    </row>
    <row r="11811">
      <c r="B11811" s="17" t="s">
        <v>477</v>
      </c>
      <c r="K11811" s="18" t="s">
        <v>477</v>
      </c>
      <c r="N11811" s="17" t="str">
        <f>IFERROR(__xludf.DUMMYFUNCTION("""COMPUTED_VALUE"""),"")</f>
        <v/>
      </c>
      <c r="O11811" s="17"/>
    </row>
    <row r="11812">
      <c r="B11812" s="17" t="s">
        <v>477</v>
      </c>
      <c r="K11812" s="18" t="s">
        <v>477</v>
      </c>
      <c r="N11812" s="17" t="str">
        <f>IFERROR(__xludf.DUMMYFUNCTION("""COMPUTED_VALUE"""),"")</f>
        <v/>
      </c>
      <c r="O11812" s="17"/>
    </row>
    <row r="11813">
      <c r="B11813" s="17" t="s">
        <v>477</v>
      </c>
      <c r="K11813" s="18" t="s">
        <v>477</v>
      </c>
      <c r="N11813" s="17" t="str">
        <f>IFERROR(__xludf.DUMMYFUNCTION("""COMPUTED_VALUE"""),"")</f>
        <v/>
      </c>
      <c r="O11813" s="17"/>
    </row>
    <row r="11814">
      <c r="B11814" s="17" t="s">
        <v>477</v>
      </c>
      <c r="K11814" s="18" t="s">
        <v>477</v>
      </c>
      <c r="N11814" s="17" t="str">
        <f>IFERROR(__xludf.DUMMYFUNCTION("""COMPUTED_VALUE"""),"")</f>
        <v/>
      </c>
      <c r="O11814" s="17"/>
    </row>
    <row r="11815">
      <c r="B11815" s="17" t="s">
        <v>477</v>
      </c>
      <c r="K11815" s="18" t="s">
        <v>477</v>
      </c>
      <c r="N11815" s="17" t="str">
        <f>IFERROR(__xludf.DUMMYFUNCTION("""COMPUTED_VALUE"""),"")</f>
        <v/>
      </c>
      <c r="O11815" s="17"/>
    </row>
    <row r="11816">
      <c r="B11816" s="17" t="s">
        <v>477</v>
      </c>
      <c r="K11816" s="18" t="s">
        <v>477</v>
      </c>
      <c r="N11816" s="17" t="str">
        <f>IFERROR(__xludf.DUMMYFUNCTION("""COMPUTED_VALUE"""),"")</f>
        <v/>
      </c>
      <c r="O11816" s="17"/>
    </row>
    <row r="11817">
      <c r="B11817" s="17" t="s">
        <v>477</v>
      </c>
      <c r="K11817" s="18" t="s">
        <v>477</v>
      </c>
      <c r="N11817" s="17" t="str">
        <f>IFERROR(__xludf.DUMMYFUNCTION("""COMPUTED_VALUE"""),"")</f>
        <v/>
      </c>
      <c r="O11817" s="17"/>
    </row>
    <row r="11818">
      <c r="B11818" s="17" t="s">
        <v>477</v>
      </c>
      <c r="K11818" s="18" t="s">
        <v>477</v>
      </c>
      <c r="N11818" s="17" t="str">
        <f>IFERROR(__xludf.DUMMYFUNCTION("""COMPUTED_VALUE"""),"")</f>
        <v/>
      </c>
      <c r="O11818" s="17"/>
    </row>
    <row r="11819">
      <c r="B11819" s="17" t="s">
        <v>477</v>
      </c>
      <c r="K11819" s="18" t="s">
        <v>477</v>
      </c>
      <c r="N11819" s="17" t="str">
        <f>IFERROR(__xludf.DUMMYFUNCTION("""COMPUTED_VALUE"""),"")</f>
        <v/>
      </c>
      <c r="O11819" s="17"/>
    </row>
    <row r="11820">
      <c r="B11820" s="17" t="s">
        <v>477</v>
      </c>
      <c r="K11820" s="18" t="s">
        <v>477</v>
      </c>
      <c r="N11820" s="17" t="str">
        <f>IFERROR(__xludf.DUMMYFUNCTION("""COMPUTED_VALUE"""),"")</f>
        <v/>
      </c>
      <c r="O11820" s="17"/>
    </row>
    <row r="11821">
      <c r="B11821" s="17" t="s">
        <v>477</v>
      </c>
      <c r="K11821" s="18" t="s">
        <v>477</v>
      </c>
      <c r="N11821" s="17" t="str">
        <f>IFERROR(__xludf.DUMMYFUNCTION("""COMPUTED_VALUE"""),"")</f>
        <v/>
      </c>
      <c r="O11821" s="17"/>
    </row>
    <row r="11822">
      <c r="B11822" s="17" t="s">
        <v>477</v>
      </c>
      <c r="K11822" s="18" t="s">
        <v>477</v>
      </c>
      <c r="N11822" s="17" t="str">
        <f>IFERROR(__xludf.DUMMYFUNCTION("""COMPUTED_VALUE"""),"")</f>
        <v/>
      </c>
      <c r="O11822" s="17"/>
    </row>
    <row r="11823">
      <c r="B11823" s="17" t="s">
        <v>477</v>
      </c>
      <c r="K11823" s="18" t="s">
        <v>477</v>
      </c>
      <c r="N11823" s="17" t="str">
        <f>IFERROR(__xludf.DUMMYFUNCTION("""COMPUTED_VALUE"""),"")</f>
        <v/>
      </c>
      <c r="O11823" s="17"/>
    </row>
    <row r="11824">
      <c r="B11824" s="17" t="s">
        <v>477</v>
      </c>
      <c r="K11824" s="18" t="s">
        <v>477</v>
      </c>
      <c r="N11824" s="17" t="str">
        <f>IFERROR(__xludf.DUMMYFUNCTION("""COMPUTED_VALUE"""),"")</f>
        <v/>
      </c>
      <c r="O11824" s="17"/>
    </row>
    <row r="11825">
      <c r="B11825" s="17" t="s">
        <v>477</v>
      </c>
      <c r="K11825" s="18" t="s">
        <v>477</v>
      </c>
      <c r="N11825" s="17" t="str">
        <f>IFERROR(__xludf.DUMMYFUNCTION("""COMPUTED_VALUE"""),"")</f>
        <v/>
      </c>
      <c r="O11825" s="17"/>
    </row>
    <row r="11826">
      <c r="B11826" s="17" t="s">
        <v>477</v>
      </c>
      <c r="K11826" s="18" t="s">
        <v>477</v>
      </c>
      <c r="N11826" s="17" t="str">
        <f>IFERROR(__xludf.DUMMYFUNCTION("""COMPUTED_VALUE"""),"")</f>
        <v/>
      </c>
      <c r="O11826" s="17"/>
    </row>
    <row r="11827">
      <c r="B11827" s="17" t="s">
        <v>477</v>
      </c>
      <c r="K11827" s="18" t="s">
        <v>477</v>
      </c>
      <c r="N11827" s="17" t="str">
        <f>IFERROR(__xludf.DUMMYFUNCTION("""COMPUTED_VALUE"""),"")</f>
        <v/>
      </c>
      <c r="O11827" s="17"/>
    </row>
    <row r="11828">
      <c r="B11828" s="17" t="s">
        <v>477</v>
      </c>
      <c r="K11828" s="18" t="s">
        <v>477</v>
      </c>
      <c r="N11828" s="17" t="str">
        <f>IFERROR(__xludf.DUMMYFUNCTION("""COMPUTED_VALUE"""),"")</f>
        <v/>
      </c>
      <c r="O11828" s="17"/>
    </row>
    <row r="11829">
      <c r="B11829" s="17" t="s">
        <v>477</v>
      </c>
      <c r="K11829" s="18" t="s">
        <v>477</v>
      </c>
      <c r="N11829" s="17" t="str">
        <f>IFERROR(__xludf.DUMMYFUNCTION("""COMPUTED_VALUE"""),"")</f>
        <v/>
      </c>
      <c r="O11829" s="17"/>
    </row>
    <row r="11830">
      <c r="B11830" s="17" t="s">
        <v>477</v>
      </c>
      <c r="K11830" s="18" t="s">
        <v>477</v>
      </c>
      <c r="N11830" s="17" t="str">
        <f>IFERROR(__xludf.DUMMYFUNCTION("""COMPUTED_VALUE"""),"")</f>
        <v/>
      </c>
      <c r="O11830" s="17"/>
    </row>
    <row r="11831">
      <c r="B11831" s="17" t="s">
        <v>477</v>
      </c>
      <c r="K11831" s="18" t="s">
        <v>477</v>
      </c>
      <c r="N11831" s="17" t="str">
        <f>IFERROR(__xludf.DUMMYFUNCTION("""COMPUTED_VALUE"""),"")</f>
        <v/>
      </c>
      <c r="O11831" s="17"/>
    </row>
    <row r="11832">
      <c r="B11832" s="17" t="s">
        <v>477</v>
      </c>
      <c r="K11832" s="18" t="s">
        <v>477</v>
      </c>
      <c r="N11832" s="17" t="str">
        <f>IFERROR(__xludf.DUMMYFUNCTION("""COMPUTED_VALUE"""),"")</f>
        <v/>
      </c>
      <c r="O11832" s="17"/>
    </row>
    <row r="11833">
      <c r="B11833" s="17" t="s">
        <v>477</v>
      </c>
      <c r="K11833" s="18" t="s">
        <v>477</v>
      </c>
      <c r="N11833" s="17" t="str">
        <f>IFERROR(__xludf.DUMMYFUNCTION("""COMPUTED_VALUE"""),"")</f>
        <v/>
      </c>
      <c r="O11833" s="17"/>
    </row>
    <row r="11834">
      <c r="B11834" s="17" t="s">
        <v>477</v>
      </c>
      <c r="K11834" s="18" t="s">
        <v>477</v>
      </c>
      <c r="N11834" s="17" t="str">
        <f>IFERROR(__xludf.DUMMYFUNCTION("""COMPUTED_VALUE"""),"")</f>
        <v/>
      </c>
      <c r="O11834" s="17"/>
    </row>
    <row r="11835">
      <c r="B11835" s="17" t="s">
        <v>477</v>
      </c>
      <c r="K11835" s="18" t="s">
        <v>477</v>
      </c>
      <c r="N11835" s="17" t="str">
        <f>IFERROR(__xludf.DUMMYFUNCTION("""COMPUTED_VALUE"""),"")</f>
        <v/>
      </c>
      <c r="O11835" s="17"/>
    </row>
    <row r="11836">
      <c r="B11836" s="17" t="s">
        <v>477</v>
      </c>
      <c r="K11836" s="18" t="s">
        <v>477</v>
      </c>
      <c r="N11836" s="17" t="str">
        <f>IFERROR(__xludf.DUMMYFUNCTION("""COMPUTED_VALUE"""),"")</f>
        <v/>
      </c>
      <c r="O11836" s="17"/>
    </row>
    <row r="11837">
      <c r="B11837" s="17" t="s">
        <v>477</v>
      </c>
      <c r="K11837" s="18" t="s">
        <v>477</v>
      </c>
      <c r="N11837" s="17" t="str">
        <f>IFERROR(__xludf.DUMMYFUNCTION("""COMPUTED_VALUE"""),"")</f>
        <v/>
      </c>
      <c r="O11837" s="17"/>
    </row>
    <row r="11838">
      <c r="B11838" s="17" t="s">
        <v>477</v>
      </c>
      <c r="K11838" s="18" t="s">
        <v>477</v>
      </c>
      <c r="N11838" s="17" t="str">
        <f>IFERROR(__xludf.DUMMYFUNCTION("""COMPUTED_VALUE"""),"")</f>
        <v/>
      </c>
      <c r="O11838" s="17"/>
    </row>
    <row r="11839">
      <c r="B11839" s="17" t="s">
        <v>477</v>
      </c>
      <c r="K11839" s="18" t="s">
        <v>477</v>
      </c>
      <c r="N11839" s="17" t="str">
        <f>IFERROR(__xludf.DUMMYFUNCTION("""COMPUTED_VALUE"""),"")</f>
        <v/>
      </c>
      <c r="O11839" s="17"/>
    </row>
    <row r="11840">
      <c r="B11840" s="17" t="s">
        <v>477</v>
      </c>
      <c r="K11840" s="18" t="s">
        <v>477</v>
      </c>
      <c r="N11840" s="17" t="str">
        <f>IFERROR(__xludf.DUMMYFUNCTION("""COMPUTED_VALUE"""),"")</f>
        <v/>
      </c>
      <c r="O11840" s="17"/>
    </row>
    <row r="11841">
      <c r="B11841" s="17" t="s">
        <v>477</v>
      </c>
      <c r="K11841" s="18" t="s">
        <v>477</v>
      </c>
      <c r="N11841" s="17" t="str">
        <f>IFERROR(__xludf.DUMMYFUNCTION("""COMPUTED_VALUE"""),"")</f>
        <v/>
      </c>
      <c r="O11841" s="17"/>
    </row>
    <row r="11842">
      <c r="B11842" s="17" t="s">
        <v>477</v>
      </c>
      <c r="K11842" s="18" t="s">
        <v>477</v>
      </c>
      <c r="N11842" s="17" t="str">
        <f>IFERROR(__xludf.DUMMYFUNCTION("""COMPUTED_VALUE"""),"")</f>
        <v/>
      </c>
      <c r="O11842" s="17"/>
    </row>
    <row r="11843">
      <c r="B11843" s="17" t="s">
        <v>477</v>
      </c>
      <c r="K11843" s="18" t="s">
        <v>477</v>
      </c>
      <c r="N11843" s="17" t="str">
        <f>IFERROR(__xludf.DUMMYFUNCTION("""COMPUTED_VALUE"""),"")</f>
        <v/>
      </c>
      <c r="O11843" s="17"/>
    </row>
    <row r="11844">
      <c r="B11844" s="17" t="s">
        <v>477</v>
      </c>
      <c r="K11844" s="18" t="s">
        <v>477</v>
      </c>
      <c r="N11844" s="17" t="str">
        <f>IFERROR(__xludf.DUMMYFUNCTION("""COMPUTED_VALUE"""),"")</f>
        <v/>
      </c>
      <c r="O11844" s="17"/>
    </row>
    <row r="11845">
      <c r="B11845" s="17" t="s">
        <v>477</v>
      </c>
      <c r="K11845" s="18" t="s">
        <v>477</v>
      </c>
      <c r="N11845" s="17" t="str">
        <f>IFERROR(__xludf.DUMMYFUNCTION("""COMPUTED_VALUE"""),"")</f>
        <v/>
      </c>
      <c r="O11845" s="17"/>
    </row>
    <row r="11846">
      <c r="B11846" s="17" t="s">
        <v>477</v>
      </c>
      <c r="K11846" s="18" t="s">
        <v>477</v>
      </c>
      <c r="N11846" s="17" t="str">
        <f>IFERROR(__xludf.DUMMYFUNCTION("""COMPUTED_VALUE"""),"")</f>
        <v/>
      </c>
      <c r="O11846" s="17"/>
    </row>
    <row r="11847">
      <c r="B11847" s="17" t="s">
        <v>477</v>
      </c>
      <c r="K11847" s="18" t="s">
        <v>477</v>
      </c>
      <c r="N11847" s="17" t="str">
        <f>IFERROR(__xludf.DUMMYFUNCTION("""COMPUTED_VALUE"""),"")</f>
        <v/>
      </c>
      <c r="O11847" s="17"/>
    </row>
    <row r="11848">
      <c r="B11848" s="17" t="s">
        <v>477</v>
      </c>
      <c r="K11848" s="18" t="s">
        <v>477</v>
      </c>
      <c r="N11848" s="17" t="str">
        <f>IFERROR(__xludf.DUMMYFUNCTION("""COMPUTED_VALUE"""),"")</f>
        <v/>
      </c>
      <c r="O11848" s="17"/>
    </row>
    <row r="11849">
      <c r="B11849" s="17" t="s">
        <v>477</v>
      </c>
      <c r="K11849" s="18" t="s">
        <v>477</v>
      </c>
      <c r="N11849" s="17" t="str">
        <f>IFERROR(__xludf.DUMMYFUNCTION("""COMPUTED_VALUE"""),"")</f>
        <v/>
      </c>
      <c r="O11849" s="17"/>
    </row>
    <row r="11850">
      <c r="B11850" s="17" t="s">
        <v>477</v>
      </c>
      <c r="K11850" s="18" t="s">
        <v>477</v>
      </c>
      <c r="N11850" s="17" t="str">
        <f>IFERROR(__xludf.DUMMYFUNCTION("""COMPUTED_VALUE"""),"")</f>
        <v/>
      </c>
      <c r="O11850" s="17"/>
    </row>
    <row r="11851">
      <c r="B11851" s="17" t="s">
        <v>477</v>
      </c>
      <c r="K11851" s="18" t="s">
        <v>477</v>
      </c>
      <c r="N11851" s="17" t="str">
        <f>IFERROR(__xludf.DUMMYFUNCTION("""COMPUTED_VALUE"""),"")</f>
        <v/>
      </c>
      <c r="O11851" s="17"/>
    </row>
    <row r="11852">
      <c r="B11852" s="17" t="s">
        <v>477</v>
      </c>
      <c r="K11852" s="18" t="s">
        <v>477</v>
      </c>
      <c r="N11852" s="17" t="str">
        <f>IFERROR(__xludf.DUMMYFUNCTION("""COMPUTED_VALUE"""),"")</f>
        <v/>
      </c>
      <c r="O11852" s="17"/>
    </row>
    <row r="11853">
      <c r="B11853" s="17" t="s">
        <v>477</v>
      </c>
      <c r="K11853" s="18" t="s">
        <v>477</v>
      </c>
      <c r="N11853" s="17" t="str">
        <f>IFERROR(__xludf.DUMMYFUNCTION("""COMPUTED_VALUE"""),"")</f>
        <v/>
      </c>
      <c r="O11853" s="17"/>
    </row>
    <row r="11854">
      <c r="B11854" s="17" t="s">
        <v>477</v>
      </c>
      <c r="K11854" s="18" t="s">
        <v>477</v>
      </c>
      <c r="N11854" s="17" t="str">
        <f>IFERROR(__xludf.DUMMYFUNCTION("""COMPUTED_VALUE"""),"")</f>
        <v/>
      </c>
      <c r="O11854" s="17"/>
    </row>
    <row r="11855">
      <c r="B11855" s="17" t="s">
        <v>477</v>
      </c>
      <c r="K11855" s="18" t="s">
        <v>477</v>
      </c>
      <c r="N11855" s="17" t="str">
        <f>IFERROR(__xludf.DUMMYFUNCTION("""COMPUTED_VALUE"""),"")</f>
        <v/>
      </c>
      <c r="O11855" s="17"/>
    </row>
    <row r="11856">
      <c r="B11856" s="17" t="s">
        <v>477</v>
      </c>
      <c r="K11856" s="18" t="s">
        <v>477</v>
      </c>
      <c r="N11856" s="17" t="str">
        <f>IFERROR(__xludf.DUMMYFUNCTION("""COMPUTED_VALUE"""),"")</f>
        <v/>
      </c>
      <c r="O11856" s="17"/>
    </row>
    <row r="11857">
      <c r="B11857" s="17" t="s">
        <v>477</v>
      </c>
      <c r="K11857" s="18" t="s">
        <v>477</v>
      </c>
      <c r="N11857" s="17" t="str">
        <f>IFERROR(__xludf.DUMMYFUNCTION("""COMPUTED_VALUE"""),"")</f>
        <v/>
      </c>
      <c r="O11857" s="17"/>
    </row>
    <row r="11858">
      <c r="B11858" s="17" t="s">
        <v>477</v>
      </c>
      <c r="K11858" s="18" t="s">
        <v>477</v>
      </c>
      <c r="N11858" s="17" t="str">
        <f>IFERROR(__xludf.DUMMYFUNCTION("""COMPUTED_VALUE"""),"")</f>
        <v/>
      </c>
      <c r="O11858" s="17"/>
    </row>
    <row r="11859">
      <c r="B11859" s="17" t="s">
        <v>477</v>
      </c>
      <c r="K11859" s="18" t="s">
        <v>477</v>
      </c>
      <c r="N11859" s="17" t="str">
        <f>IFERROR(__xludf.DUMMYFUNCTION("""COMPUTED_VALUE"""),"")</f>
        <v/>
      </c>
      <c r="O11859" s="17"/>
    </row>
    <row r="11860">
      <c r="B11860" s="17" t="s">
        <v>477</v>
      </c>
      <c r="K11860" s="18" t="s">
        <v>477</v>
      </c>
      <c r="N11860" s="17" t="str">
        <f>IFERROR(__xludf.DUMMYFUNCTION("""COMPUTED_VALUE"""),"")</f>
        <v/>
      </c>
      <c r="O11860" s="17"/>
    </row>
    <row r="11861">
      <c r="B11861" s="17" t="s">
        <v>477</v>
      </c>
      <c r="K11861" s="18" t="s">
        <v>477</v>
      </c>
      <c r="N11861" s="17" t="str">
        <f>IFERROR(__xludf.DUMMYFUNCTION("""COMPUTED_VALUE"""),"")</f>
        <v/>
      </c>
      <c r="O11861" s="17"/>
    </row>
    <row r="11862">
      <c r="B11862" s="17" t="s">
        <v>477</v>
      </c>
      <c r="K11862" s="18" t="s">
        <v>477</v>
      </c>
      <c r="N11862" s="17" t="str">
        <f>IFERROR(__xludf.DUMMYFUNCTION("""COMPUTED_VALUE"""),"")</f>
        <v/>
      </c>
      <c r="O11862" s="17"/>
    </row>
    <row r="11863">
      <c r="B11863" s="17" t="s">
        <v>477</v>
      </c>
      <c r="K11863" s="18" t="s">
        <v>477</v>
      </c>
      <c r="N11863" s="17" t="str">
        <f>IFERROR(__xludf.DUMMYFUNCTION("""COMPUTED_VALUE"""),"")</f>
        <v/>
      </c>
      <c r="O11863" s="17"/>
    </row>
    <row r="11864">
      <c r="B11864" s="17" t="s">
        <v>477</v>
      </c>
      <c r="K11864" s="18" t="s">
        <v>477</v>
      </c>
      <c r="N11864" s="17" t="str">
        <f>IFERROR(__xludf.DUMMYFUNCTION("""COMPUTED_VALUE"""),"")</f>
        <v/>
      </c>
      <c r="O11864" s="17"/>
    </row>
    <row r="11865">
      <c r="B11865" s="17" t="s">
        <v>477</v>
      </c>
      <c r="K11865" s="18" t="s">
        <v>477</v>
      </c>
      <c r="N11865" s="17" t="str">
        <f>IFERROR(__xludf.DUMMYFUNCTION("""COMPUTED_VALUE"""),"")</f>
        <v/>
      </c>
      <c r="O11865" s="17"/>
    </row>
    <row r="11866">
      <c r="B11866" s="17" t="s">
        <v>477</v>
      </c>
      <c r="K11866" s="18" t="s">
        <v>477</v>
      </c>
      <c r="N11866" s="17" t="str">
        <f>IFERROR(__xludf.DUMMYFUNCTION("""COMPUTED_VALUE"""),"")</f>
        <v/>
      </c>
      <c r="O11866" s="17"/>
    </row>
    <row r="11867">
      <c r="B11867" s="17" t="s">
        <v>477</v>
      </c>
      <c r="K11867" s="18" t="s">
        <v>477</v>
      </c>
      <c r="N11867" s="17" t="str">
        <f>IFERROR(__xludf.DUMMYFUNCTION("""COMPUTED_VALUE"""),"")</f>
        <v/>
      </c>
      <c r="O11867" s="17"/>
    </row>
    <row r="11868">
      <c r="B11868" s="17" t="s">
        <v>477</v>
      </c>
      <c r="K11868" s="18" t="s">
        <v>477</v>
      </c>
      <c r="N11868" s="17" t="str">
        <f>IFERROR(__xludf.DUMMYFUNCTION("""COMPUTED_VALUE"""),"")</f>
        <v/>
      </c>
      <c r="O11868" s="17"/>
    </row>
    <row r="11869">
      <c r="B11869" s="17" t="s">
        <v>477</v>
      </c>
      <c r="K11869" s="18" t="s">
        <v>477</v>
      </c>
      <c r="N11869" s="17" t="str">
        <f>IFERROR(__xludf.DUMMYFUNCTION("""COMPUTED_VALUE"""),"")</f>
        <v/>
      </c>
      <c r="O11869" s="17"/>
    </row>
    <row r="11870">
      <c r="B11870" s="17" t="s">
        <v>477</v>
      </c>
      <c r="K11870" s="18" t="s">
        <v>477</v>
      </c>
      <c r="N11870" s="17" t="str">
        <f>IFERROR(__xludf.DUMMYFUNCTION("""COMPUTED_VALUE"""),"")</f>
        <v/>
      </c>
      <c r="O11870" s="17"/>
    </row>
    <row r="11871">
      <c r="B11871" s="17" t="s">
        <v>477</v>
      </c>
      <c r="K11871" s="18" t="s">
        <v>477</v>
      </c>
      <c r="N11871" s="17" t="str">
        <f>IFERROR(__xludf.DUMMYFUNCTION("""COMPUTED_VALUE"""),"")</f>
        <v/>
      </c>
      <c r="O11871" s="17"/>
    </row>
    <row r="11872">
      <c r="B11872" s="17" t="s">
        <v>477</v>
      </c>
      <c r="K11872" s="18" t="s">
        <v>477</v>
      </c>
      <c r="N11872" s="17" t="str">
        <f>IFERROR(__xludf.DUMMYFUNCTION("""COMPUTED_VALUE"""),"")</f>
        <v/>
      </c>
      <c r="O11872" s="17"/>
    </row>
    <row r="11873">
      <c r="B11873" s="17" t="s">
        <v>477</v>
      </c>
      <c r="K11873" s="18" t="s">
        <v>477</v>
      </c>
      <c r="N11873" s="17" t="str">
        <f>IFERROR(__xludf.DUMMYFUNCTION("""COMPUTED_VALUE"""),"")</f>
        <v/>
      </c>
      <c r="O11873" s="17"/>
    </row>
    <row r="11874">
      <c r="B11874" s="17" t="s">
        <v>477</v>
      </c>
      <c r="K11874" s="18" t="s">
        <v>477</v>
      </c>
      <c r="N11874" s="17" t="str">
        <f>IFERROR(__xludf.DUMMYFUNCTION("""COMPUTED_VALUE"""),"")</f>
        <v/>
      </c>
      <c r="O11874" s="17"/>
    </row>
    <row r="11875">
      <c r="B11875" s="17" t="s">
        <v>477</v>
      </c>
      <c r="K11875" s="18" t="s">
        <v>477</v>
      </c>
      <c r="N11875" s="17" t="str">
        <f>IFERROR(__xludf.DUMMYFUNCTION("""COMPUTED_VALUE"""),"")</f>
        <v/>
      </c>
      <c r="O11875" s="17"/>
    </row>
    <row r="11876">
      <c r="B11876" s="17" t="s">
        <v>477</v>
      </c>
      <c r="K11876" s="18" t="s">
        <v>477</v>
      </c>
      <c r="N11876" s="17" t="str">
        <f>IFERROR(__xludf.DUMMYFUNCTION("""COMPUTED_VALUE"""),"")</f>
        <v/>
      </c>
      <c r="O11876" s="17"/>
    </row>
    <row r="11877">
      <c r="B11877" s="17" t="s">
        <v>477</v>
      </c>
      <c r="K11877" s="18" t="s">
        <v>477</v>
      </c>
      <c r="N11877" s="17" t="str">
        <f>IFERROR(__xludf.DUMMYFUNCTION("""COMPUTED_VALUE"""),"")</f>
        <v/>
      </c>
      <c r="O11877" s="17"/>
    </row>
    <row r="11878">
      <c r="B11878" s="17" t="s">
        <v>477</v>
      </c>
      <c r="K11878" s="18" t="s">
        <v>477</v>
      </c>
      <c r="N11878" s="17" t="str">
        <f>IFERROR(__xludf.DUMMYFUNCTION("""COMPUTED_VALUE"""),"")</f>
        <v/>
      </c>
      <c r="O11878" s="17"/>
    </row>
    <row r="11879">
      <c r="B11879" s="17" t="s">
        <v>477</v>
      </c>
      <c r="K11879" s="18" t="s">
        <v>477</v>
      </c>
      <c r="N11879" s="17" t="str">
        <f>IFERROR(__xludf.DUMMYFUNCTION("""COMPUTED_VALUE"""),"")</f>
        <v/>
      </c>
      <c r="O11879" s="17"/>
    </row>
    <row r="11880">
      <c r="B11880" s="17" t="s">
        <v>477</v>
      </c>
      <c r="K11880" s="18" t="s">
        <v>477</v>
      </c>
      <c r="N11880" s="17" t="str">
        <f>IFERROR(__xludf.DUMMYFUNCTION("""COMPUTED_VALUE"""),"")</f>
        <v/>
      </c>
      <c r="O11880" s="17"/>
    </row>
    <row r="11881">
      <c r="B11881" s="17" t="s">
        <v>477</v>
      </c>
      <c r="K11881" s="18" t="s">
        <v>477</v>
      </c>
      <c r="N11881" s="17" t="str">
        <f>IFERROR(__xludf.DUMMYFUNCTION("""COMPUTED_VALUE"""),"")</f>
        <v/>
      </c>
      <c r="O11881" s="17"/>
    </row>
    <row r="11882">
      <c r="B11882" s="17" t="s">
        <v>477</v>
      </c>
      <c r="K11882" s="18" t="s">
        <v>477</v>
      </c>
      <c r="N11882" s="17" t="str">
        <f>IFERROR(__xludf.DUMMYFUNCTION("""COMPUTED_VALUE"""),"")</f>
        <v/>
      </c>
      <c r="O11882" s="17"/>
    </row>
    <row r="11883">
      <c r="B11883" s="17" t="s">
        <v>477</v>
      </c>
      <c r="K11883" s="18" t="s">
        <v>477</v>
      </c>
      <c r="N11883" s="17" t="str">
        <f>IFERROR(__xludf.DUMMYFUNCTION("""COMPUTED_VALUE"""),"")</f>
        <v/>
      </c>
      <c r="O11883" s="17"/>
    </row>
    <row r="11884">
      <c r="B11884" s="17" t="s">
        <v>477</v>
      </c>
      <c r="K11884" s="18" t="s">
        <v>477</v>
      </c>
      <c r="N11884" s="17" t="str">
        <f>IFERROR(__xludf.DUMMYFUNCTION("""COMPUTED_VALUE"""),"")</f>
        <v/>
      </c>
      <c r="O11884" s="17"/>
    </row>
    <row r="11885">
      <c r="B11885" s="17" t="s">
        <v>477</v>
      </c>
      <c r="K11885" s="18" t="s">
        <v>477</v>
      </c>
      <c r="N11885" s="17" t="str">
        <f>IFERROR(__xludf.DUMMYFUNCTION("""COMPUTED_VALUE"""),"")</f>
        <v/>
      </c>
      <c r="O11885" s="17"/>
    </row>
    <row r="11886">
      <c r="B11886" s="17" t="s">
        <v>477</v>
      </c>
      <c r="K11886" s="18" t="s">
        <v>477</v>
      </c>
      <c r="N11886" s="17" t="str">
        <f>IFERROR(__xludf.DUMMYFUNCTION("""COMPUTED_VALUE"""),"")</f>
        <v/>
      </c>
      <c r="O11886" s="17"/>
    </row>
    <row r="11887">
      <c r="B11887" s="17" t="s">
        <v>477</v>
      </c>
      <c r="K11887" s="18" t="s">
        <v>477</v>
      </c>
      <c r="N11887" s="17" t="str">
        <f>IFERROR(__xludf.DUMMYFUNCTION("""COMPUTED_VALUE"""),"")</f>
        <v/>
      </c>
      <c r="O11887" s="17"/>
    </row>
    <row r="11888">
      <c r="B11888" s="17" t="s">
        <v>477</v>
      </c>
      <c r="K11888" s="18" t="s">
        <v>477</v>
      </c>
      <c r="N11888" s="17" t="str">
        <f>IFERROR(__xludf.DUMMYFUNCTION("""COMPUTED_VALUE"""),"")</f>
        <v/>
      </c>
      <c r="O11888" s="17"/>
    </row>
    <row r="11889">
      <c r="B11889" s="17" t="s">
        <v>477</v>
      </c>
      <c r="K11889" s="18" t="s">
        <v>477</v>
      </c>
      <c r="N11889" s="17" t="str">
        <f>IFERROR(__xludf.DUMMYFUNCTION("""COMPUTED_VALUE"""),"")</f>
        <v/>
      </c>
      <c r="O11889" s="17"/>
    </row>
    <row r="11890">
      <c r="B11890" s="17" t="s">
        <v>477</v>
      </c>
      <c r="K11890" s="18" t="s">
        <v>477</v>
      </c>
      <c r="N11890" s="17" t="str">
        <f>IFERROR(__xludf.DUMMYFUNCTION("""COMPUTED_VALUE"""),"")</f>
        <v/>
      </c>
      <c r="O11890" s="17"/>
    </row>
    <row r="11891">
      <c r="B11891" s="17" t="s">
        <v>477</v>
      </c>
      <c r="K11891" s="18" t="s">
        <v>477</v>
      </c>
      <c r="N11891" s="17" t="str">
        <f>IFERROR(__xludf.DUMMYFUNCTION("""COMPUTED_VALUE"""),"")</f>
        <v/>
      </c>
      <c r="O11891" s="17"/>
    </row>
    <row r="11892">
      <c r="B11892" s="17" t="s">
        <v>477</v>
      </c>
      <c r="K11892" s="18" t="s">
        <v>477</v>
      </c>
      <c r="N11892" s="17" t="str">
        <f>IFERROR(__xludf.DUMMYFUNCTION("""COMPUTED_VALUE"""),"")</f>
        <v/>
      </c>
      <c r="O11892" s="17"/>
    </row>
    <row r="11893">
      <c r="B11893" s="17" t="s">
        <v>477</v>
      </c>
      <c r="K11893" s="18" t="s">
        <v>477</v>
      </c>
      <c r="N11893" s="17" t="str">
        <f>IFERROR(__xludf.DUMMYFUNCTION("""COMPUTED_VALUE"""),"")</f>
        <v/>
      </c>
      <c r="O11893" s="17"/>
    </row>
    <row r="11894">
      <c r="B11894" s="17" t="s">
        <v>477</v>
      </c>
      <c r="K11894" s="18" t="s">
        <v>477</v>
      </c>
      <c r="N11894" s="17" t="str">
        <f>IFERROR(__xludf.DUMMYFUNCTION("""COMPUTED_VALUE"""),"")</f>
        <v/>
      </c>
      <c r="O11894" s="17"/>
    </row>
    <row r="11895">
      <c r="B11895" s="17" t="s">
        <v>477</v>
      </c>
      <c r="K11895" s="18" t="s">
        <v>477</v>
      </c>
      <c r="N11895" s="17" t="str">
        <f>IFERROR(__xludf.DUMMYFUNCTION("""COMPUTED_VALUE"""),"")</f>
        <v/>
      </c>
      <c r="O11895" s="17"/>
    </row>
    <row r="11896">
      <c r="B11896" s="17" t="s">
        <v>477</v>
      </c>
      <c r="K11896" s="18" t="s">
        <v>477</v>
      </c>
      <c r="N11896" s="17" t="str">
        <f>IFERROR(__xludf.DUMMYFUNCTION("""COMPUTED_VALUE"""),"")</f>
        <v/>
      </c>
      <c r="O11896" s="17"/>
    </row>
    <row r="11897">
      <c r="B11897" s="17" t="s">
        <v>477</v>
      </c>
      <c r="K11897" s="18" t="s">
        <v>477</v>
      </c>
      <c r="N11897" s="17" t="str">
        <f>IFERROR(__xludf.DUMMYFUNCTION("""COMPUTED_VALUE"""),"")</f>
        <v/>
      </c>
      <c r="O11897" s="17"/>
    </row>
    <row r="11898">
      <c r="B11898" s="17" t="s">
        <v>477</v>
      </c>
      <c r="K11898" s="18" t="s">
        <v>477</v>
      </c>
      <c r="N11898" s="17" t="str">
        <f>IFERROR(__xludf.DUMMYFUNCTION("""COMPUTED_VALUE"""),"")</f>
        <v/>
      </c>
      <c r="O11898" s="17"/>
    </row>
    <row r="11899">
      <c r="B11899" s="17" t="s">
        <v>477</v>
      </c>
      <c r="K11899" s="18" t="s">
        <v>477</v>
      </c>
      <c r="N11899" s="17" t="str">
        <f>IFERROR(__xludf.DUMMYFUNCTION("""COMPUTED_VALUE"""),"")</f>
        <v/>
      </c>
      <c r="O11899" s="17"/>
    </row>
    <row r="11900">
      <c r="B11900" s="17" t="s">
        <v>477</v>
      </c>
      <c r="K11900" s="18" t="s">
        <v>477</v>
      </c>
      <c r="N11900" s="17" t="str">
        <f>IFERROR(__xludf.DUMMYFUNCTION("""COMPUTED_VALUE"""),"")</f>
        <v/>
      </c>
      <c r="O11900" s="17"/>
    </row>
    <row r="11901">
      <c r="B11901" s="17" t="s">
        <v>477</v>
      </c>
      <c r="K11901" s="18" t="s">
        <v>477</v>
      </c>
      <c r="N11901" s="17" t="str">
        <f>IFERROR(__xludf.DUMMYFUNCTION("""COMPUTED_VALUE"""),"")</f>
        <v/>
      </c>
      <c r="O11901" s="17"/>
    </row>
    <row r="11902">
      <c r="B11902" s="17" t="s">
        <v>477</v>
      </c>
      <c r="K11902" s="18" t="s">
        <v>477</v>
      </c>
      <c r="N11902" s="17" t="str">
        <f>IFERROR(__xludf.DUMMYFUNCTION("""COMPUTED_VALUE"""),"")</f>
        <v/>
      </c>
      <c r="O11902" s="17"/>
    </row>
    <row r="11903">
      <c r="B11903" s="17" t="s">
        <v>477</v>
      </c>
      <c r="K11903" s="18" t="s">
        <v>477</v>
      </c>
      <c r="N11903" s="17" t="str">
        <f>IFERROR(__xludf.DUMMYFUNCTION("""COMPUTED_VALUE"""),"")</f>
        <v/>
      </c>
      <c r="O11903" s="17"/>
    </row>
    <row r="11904">
      <c r="B11904" s="17" t="s">
        <v>477</v>
      </c>
      <c r="K11904" s="18" t="s">
        <v>477</v>
      </c>
      <c r="N11904" s="17" t="str">
        <f>IFERROR(__xludf.DUMMYFUNCTION("""COMPUTED_VALUE"""),"")</f>
        <v/>
      </c>
      <c r="O11904" s="17"/>
    </row>
    <row r="11905">
      <c r="B11905" s="17" t="s">
        <v>477</v>
      </c>
      <c r="K11905" s="18" t="s">
        <v>477</v>
      </c>
      <c r="N11905" s="17" t="str">
        <f>IFERROR(__xludf.DUMMYFUNCTION("""COMPUTED_VALUE"""),"")</f>
        <v/>
      </c>
      <c r="O11905" s="17"/>
    </row>
    <row r="11906">
      <c r="B11906" s="17" t="s">
        <v>477</v>
      </c>
      <c r="K11906" s="18" t="s">
        <v>477</v>
      </c>
      <c r="N11906" s="17" t="str">
        <f>IFERROR(__xludf.DUMMYFUNCTION("""COMPUTED_VALUE"""),"")</f>
        <v/>
      </c>
      <c r="O11906" s="17"/>
    </row>
    <row r="11907">
      <c r="B11907" s="17" t="s">
        <v>477</v>
      </c>
      <c r="K11907" s="18" t="s">
        <v>477</v>
      </c>
      <c r="N11907" s="17" t="str">
        <f>IFERROR(__xludf.DUMMYFUNCTION("""COMPUTED_VALUE"""),"")</f>
        <v/>
      </c>
      <c r="O11907" s="17"/>
    </row>
    <row r="11908">
      <c r="B11908" s="17" t="s">
        <v>477</v>
      </c>
      <c r="K11908" s="18" t="s">
        <v>477</v>
      </c>
      <c r="N11908" s="17" t="str">
        <f>IFERROR(__xludf.DUMMYFUNCTION("""COMPUTED_VALUE"""),"")</f>
        <v/>
      </c>
      <c r="O11908" s="17"/>
    </row>
    <row r="11909">
      <c r="B11909" s="17" t="s">
        <v>477</v>
      </c>
      <c r="K11909" s="18" t="s">
        <v>477</v>
      </c>
      <c r="N11909" s="17" t="str">
        <f>IFERROR(__xludf.DUMMYFUNCTION("""COMPUTED_VALUE"""),"")</f>
        <v/>
      </c>
      <c r="O11909" s="17"/>
    </row>
    <row r="11910">
      <c r="B11910" s="17" t="s">
        <v>477</v>
      </c>
      <c r="K11910" s="18" t="s">
        <v>477</v>
      </c>
      <c r="N11910" s="17" t="str">
        <f>IFERROR(__xludf.DUMMYFUNCTION("""COMPUTED_VALUE"""),"")</f>
        <v/>
      </c>
      <c r="O11910" s="17"/>
    </row>
    <row r="11911">
      <c r="B11911" s="17" t="s">
        <v>477</v>
      </c>
      <c r="K11911" s="18" t="s">
        <v>477</v>
      </c>
      <c r="N11911" s="17" t="str">
        <f>IFERROR(__xludf.DUMMYFUNCTION("""COMPUTED_VALUE"""),"")</f>
        <v/>
      </c>
      <c r="O11911" s="17"/>
    </row>
    <row r="11912">
      <c r="B11912" s="17" t="s">
        <v>477</v>
      </c>
      <c r="K11912" s="18" t="s">
        <v>477</v>
      </c>
      <c r="N11912" s="17" t="str">
        <f>IFERROR(__xludf.DUMMYFUNCTION("""COMPUTED_VALUE"""),"")</f>
        <v/>
      </c>
      <c r="O11912" s="17"/>
    </row>
    <row r="11913">
      <c r="B11913" s="17" t="s">
        <v>477</v>
      </c>
      <c r="K11913" s="18" t="s">
        <v>477</v>
      </c>
      <c r="N11913" s="17" t="str">
        <f>IFERROR(__xludf.DUMMYFUNCTION("""COMPUTED_VALUE"""),"")</f>
        <v/>
      </c>
      <c r="O11913" s="17"/>
    </row>
    <row r="11914">
      <c r="B11914" s="17" t="s">
        <v>477</v>
      </c>
      <c r="K11914" s="18" t="s">
        <v>477</v>
      </c>
      <c r="N11914" s="17" t="str">
        <f>IFERROR(__xludf.DUMMYFUNCTION("""COMPUTED_VALUE"""),"")</f>
        <v/>
      </c>
      <c r="O11914" s="17"/>
    </row>
    <row r="11915">
      <c r="B11915" s="17" t="s">
        <v>477</v>
      </c>
      <c r="K11915" s="18" t="s">
        <v>477</v>
      </c>
      <c r="N11915" s="17" t="str">
        <f>IFERROR(__xludf.DUMMYFUNCTION("""COMPUTED_VALUE"""),"")</f>
        <v/>
      </c>
      <c r="O11915" s="17"/>
    </row>
    <row r="11916">
      <c r="B11916" s="17" t="s">
        <v>477</v>
      </c>
      <c r="K11916" s="18" t="s">
        <v>477</v>
      </c>
      <c r="N11916" s="17" t="str">
        <f>IFERROR(__xludf.DUMMYFUNCTION("""COMPUTED_VALUE"""),"")</f>
        <v/>
      </c>
      <c r="O11916" s="17"/>
    </row>
    <row r="11917">
      <c r="B11917" s="17" t="s">
        <v>477</v>
      </c>
      <c r="K11917" s="18" t="s">
        <v>477</v>
      </c>
      <c r="N11917" s="17" t="str">
        <f>IFERROR(__xludf.DUMMYFUNCTION("""COMPUTED_VALUE"""),"")</f>
        <v/>
      </c>
      <c r="O11917" s="17"/>
    </row>
    <row r="11918">
      <c r="B11918" s="17" t="s">
        <v>477</v>
      </c>
      <c r="K11918" s="18" t="s">
        <v>477</v>
      </c>
      <c r="N11918" s="17" t="str">
        <f>IFERROR(__xludf.DUMMYFUNCTION("""COMPUTED_VALUE"""),"")</f>
        <v/>
      </c>
      <c r="O11918" s="17"/>
    </row>
    <row r="11919">
      <c r="B11919" s="17" t="s">
        <v>477</v>
      </c>
      <c r="K11919" s="18" t="s">
        <v>477</v>
      </c>
      <c r="N11919" s="17" t="str">
        <f>IFERROR(__xludf.DUMMYFUNCTION("""COMPUTED_VALUE"""),"")</f>
        <v/>
      </c>
      <c r="O11919" s="17"/>
    </row>
    <row r="11920">
      <c r="B11920" s="17" t="s">
        <v>477</v>
      </c>
      <c r="K11920" s="18" t="s">
        <v>477</v>
      </c>
      <c r="N11920" s="17" t="str">
        <f>IFERROR(__xludf.DUMMYFUNCTION("""COMPUTED_VALUE"""),"")</f>
        <v/>
      </c>
      <c r="O11920" s="17"/>
    </row>
    <row r="11921">
      <c r="B11921" s="17" t="s">
        <v>477</v>
      </c>
      <c r="K11921" s="18" t="s">
        <v>477</v>
      </c>
      <c r="N11921" s="17" t="str">
        <f>IFERROR(__xludf.DUMMYFUNCTION("""COMPUTED_VALUE"""),"")</f>
        <v/>
      </c>
      <c r="O11921" s="17"/>
    </row>
    <row r="11922">
      <c r="B11922" s="17" t="s">
        <v>477</v>
      </c>
      <c r="K11922" s="18" t="s">
        <v>477</v>
      </c>
      <c r="N11922" s="17" t="str">
        <f>IFERROR(__xludf.DUMMYFUNCTION("""COMPUTED_VALUE"""),"")</f>
        <v/>
      </c>
      <c r="O11922" s="17"/>
    </row>
    <row r="11923">
      <c r="B11923" s="17" t="s">
        <v>477</v>
      </c>
      <c r="K11923" s="18" t="s">
        <v>477</v>
      </c>
      <c r="N11923" s="17" t="str">
        <f>IFERROR(__xludf.DUMMYFUNCTION("""COMPUTED_VALUE"""),"")</f>
        <v/>
      </c>
      <c r="O11923" s="17"/>
    </row>
    <row r="11924">
      <c r="B11924" s="17" t="s">
        <v>477</v>
      </c>
      <c r="K11924" s="18" t="s">
        <v>477</v>
      </c>
      <c r="N11924" s="17" t="str">
        <f>IFERROR(__xludf.DUMMYFUNCTION("""COMPUTED_VALUE"""),"")</f>
        <v/>
      </c>
      <c r="O11924" s="17"/>
    </row>
    <row r="11925">
      <c r="B11925" s="17" t="s">
        <v>477</v>
      </c>
      <c r="K11925" s="18" t="s">
        <v>477</v>
      </c>
      <c r="N11925" s="17" t="str">
        <f>IFERROR(__xludf.DUMMYFUNCTION("""COMPUTED_VALUE"""),"")</f>
        <v/>
      </c>
      <c r="O11925" s="17"/>
    </row>
    <row r="11926">
      <c r="B11926" s="17" t="s">
        <v>477</v>
      </c>
      <c r="K11926" s="18" t="s">
        <v>477</v>
      </c>
      <c r="N11926" s="17" t="str">
        <f>IFERROR(__xludf.DUMMYFUNCTION("""COMPUTED_VALUE"""),"")</f>
        <v/>
      </c>
      <c r="O11926" s="17"/>
    </row>
    <row r="11927">
      <c r="B11927" s="17" t="s">
        <v>477</v>
      </c>
      <c r="K11927" s="18" t="s">
        <v>477</v>
      </c>
      <c r="N11927" s="17" t="str">
        <f>IFERROR(__xludf.DUMMYFUNCTION("""COMPUTED_VALUE"""),"")</f>
        <v/>
      </c>
      <c r="O11927" s="17"/>
    </row>
    <row r="11928">
      <c r="B11928" s="17" t="s">
        <v>477</v>
      </c>
      <c r="K11928" s="18" t="s">
        <v>477</v>
      </c>
      <c r="N11928" s="17" t="str">
        <f>IFERROR(__xludf.DUMMYFUNCTION("""COMPUTED_VALUE"""),"")</f>
        <v/>
      </c>
      <c r="O11928" s="17"/>
    </row>
    <row r="11929">
      <c r="B11929" s="17" t="s">
        <v>477</v>
      </c>
      <c r="K11929" s="18" t="s">
        <v>477</v>
      </c>
      <c r="N11929" s="17" t="str">
        <f>IFERROR(__xludf.DUMMYFUNCTION("""COMPUTED_VALUE"""),"")</f>
        <v/>
      </c>
      <c r="O11929" s="17"/>
    </row>
    <row r="11930">
      <c r="B11930" s="17" t="s">
        <v>477</v>
      </c>
      <c r="K11930" s="18" t="s">
        <v>477</v>
      </c>
      <c r="N11930" s="17" t="str">
        <f>IFERROR(__xludf.DUMMYFUNCTION("""COMPUTED_VALUE"""),"")</f>
        <v/>
      </c>
      <c r="O11930" s="17"/>
    </row>
    <row r="11931">
      <c r="B11931" s="17" t="s">
        <v>477</v>
      </c>
      <c r="K11931" s="18" t="s">
        <v>477</v>
      </c>
      <c r="N11931" s="17" t="str">
        <f>IFERROR(__xludf.DUMMYFUNCTION("""COMPUTED_VALUE"""),"")</f>
        <v/>
      </c>
      <c r="O11931" s="17"/>
    </row>
    <row r="11932">
      <c r="B11932" s="17" t="s">
        <v>477</v>
      </c>
      <c r="K11932" s="18" t="s">
        <v>477</v>
      </c>
      <c r="N11932" s="17" t="str">
        <f>IFERROR(__xludf.DUMMYFUNCTION("""COMPUTED_VALUE"""),"")</f>
        <v/>
      </c>
      <c r="O11932" s="17"/>
    </row>
    <row r="11933">
      <c r="B11933" s="17" t="s">
        <v>477</v>
      </c>
      <c r="K11933" s="18" t="s">
        <v>477</v>
      </c>
      <c r="N11933" s="17" t="str">
        <f>IFERROR(__xludf.DUMMYFUNCTION("""COMPUTED_VALUE"""),"")</f>
        <v/>
      </c>
      <c r="O11933" s="17"/>
    </row>
    <row r="11934">
      <c r="B11934" s="17" t="s">
        <v>477</v>
      </c>
      <c r="K11934" s="18" t="s">
        <v>477</v>
      </c>
      <c r="N11934" s="17" t="str">
        <f>IFERROR(__xludf.DUMMYFUNCTION("""COMPUTED_VALUE"""),"")</f>
        <v/>
      </c>
      <c r="O11934" s="17"/>
    </row>
    <row r="11935">
      <c r="B11935" s="17" t="s">
        <v>477</v>
      </c>
      <c r="K11935" s="18" t="s">
        <v>477</v>
      </c>
      <c r="N11935" s="17" t="str">
        <f>IFERROR(__xludf.DUMMYFUNCTION("""COMPUTED_VALUE"""),"")</f>
        <v/>
      </c>
      <c r="O11935" s="17"/>
    </row>
    <row r="11936">
      <c r="B11936" s="17" t="s">
        <v>477</v>
      </c>
      <c r="K11936" s="18" t="s">
        <v>477</v>
      </c>
      <c r="N11936" s="17" t="str">
        <f>IFERROR(__xludf.DUMMYFUNCTION("""COMPUTED_VALUE"""),"")</f>
        <v/>
      </c>
      <c r="O11936" s="17"/>
    </row>
    <row r="11937">
      <c r="B11937" s="17" t="s">
        <v>477</v>
      </c>
      <c r="K11937" s="18" t="s">
        <v>477</v>
      </c>
      <c r="N11937" s="17" t="str">
        <f>IFERROR(__xludf.DUMMYFUNCTION("""COMPUTED_VALUE"""),"")</f>
        <v/>
      </c>
      <c r="O11937" s="17"/>
    </row>
    <row r="11938">
      <c r="B11938" s="17" t="s">
        <v>477</v>
      </c>
      <c r="K11938" s="18" t="s">
        <v>477</v>
      </c>
      <c r="N11938" s="17" t="str">
        <f>IFERROR(__xludf.DUMMYFUNCTION("""COMPUTED_VALUE"""),"")</f>
        <v/>
      </c>
      <c r="O11938" s="17"/>
    </row>
    <row r="11939">
      <c r="B11939" s="17" t="s">
        <v>477</v>
      </c>
      <c r="K11939" s="18" t="s">
        <v>477</v>
      </c>
      <c r="N11939" s="17" t="str">
        <f>IFERROR(__xludf.DUMMYFUNCTION("""COMPUTED_VALUE"""),"")</f>
        <v/>
      </c>
      <c r="O11939" s="17"/>
    </row>
    <row r="11940">
      <c r="B11940" s="17" t="s">
        <v>477</v>
      </c>
      <c r="K11940" s="18" t="s">
        <v>477</v>
      </c>
      <c r="N11940" s="17" t="str">
        <f>IFERROR(__xludf.DUMMYFUNCTION("""COMPUTED_VALUE"""),"")</f>
        <v/>
      </c>
      <c r="O11940" s="17"/>
    </row>
    <row r="11941">
      <c r="B11941" s="17" t="s">
        <v>477</v>
      </c>
      <c r="K11941" s="18" t="s">
        <v>477</v>
      </c>
      <c r="N11941" s="17" t="str">
        <f>IFERROR(__xludf.DUMMYFUNCTION("""COMPUTED_VALUE"""),"")</f>
        <v/>
      </c>
      <c r="O11941" s="17"/>
    </row>
    <row r="11942">
      <c r="B11942" s="17" t="s">
        <v>477</v>
      </c>
      <c r="K11942" s="18" t="s">
        <v>477</v>
      </c>
      <c r="N11942" s="17" t="str">
        <f>IFERROR(__xludf.DUMMYFUNCTION("""COMPUTED_VALUE"""),"")</f>
        <v/>
      </c>
      <c r="O11942" s="17"/>
    </row>
    <row r="11943">
      <c r="B11943" s="17" t="s">
        <v>477</v>
      </c>
      <c r="K11943" s="18" t="s">
        <v>477</v>
      </c>
      <c r="N11943" s="17" t="str">
        <f>IFERROR(__xludf.DUMMYFUNCTION("""COMPUTED_VALUE"""),"")</f>
        <v/>
      </c>
      <c r="O11943" s="17"/>
    </row>
    <row r="11944">
      <c r="B11944" s="17" t="s">
        <v>477</v>
      </c>
      <c r="K11944" s="18" t="s">
        <v>477</v>
      </c>
      <c r="N11944" s="17" t="str">
        <f>IFERROR(__xludf.DUMMYFUNCTION("""COMPUTED_VALUE"""),"")</f>
        <v/>
      </c>
      <c r="O11944" s="17"/>
    </row>
    <row r="11945">
      <c r="B11945" s="17" t="s">
        <v>477</v>
      </c>
      <c r="K11945" s="18" t="s">
        <v>477</v>
      </c>
      <c r="N11945" s="17" t="str">
        <f>IFERROR(__xludf.DUMMYFUNCTION("""COMPUTED_VALUE"""),"")</f>
        <v/>
      </c>
      <c r="O11945" s="17"/>
    </row>
    <row r="11946">
      <c r="B11946" s="17" t="s">
        <v>477</v>
      </c>
      <c r="K11946" s="18" t="s">
        <v>477</v>
      </c>
      <c r="N11946" s="17" t="str">
        <f>IFERROR(__xludf.DUMMYFUNCTION("""COMPUTED_VALUE"""),"")</f>
        <v/>
      </c>
      <c r="O11946" s="17"/>
    </row>
    <row r="11947">
      <c r="B11947" s="17" t="s">
        <v>477</v>
      </c>
      <c r="K11947" s="18" t="s">
        <v>477</v>
      </c>
      <c r="N11947" s="17" t="str">
        <f>IFERROR(__xludf.DUMMYFUNCTION("""COMPUTED_VALUE"""),"")</f>
        <v/>
      </c>
      <c r="O11947" s="17"/>
    </row>
    <row r="11948">
      <c r="B11948" s="17" t="s">
        <v>477</v>
      </c>
      <c r="K11948" s="18" t="s">
        <v>477</v>
      </c>
      <c r="N11948" s="17" t="str">
        <f>IFERROR(__xludf.DUMMYFUNCTION("""COMPUTED_VALUE"""),"")</f>
        <v/>
      </c>
      <c r="O11948" s="17"/>
    </row>
    <row r="11949">
      <c r="B11949" s="17" t="s">
        <v>477</v>
      </c>
      <c r="K11949" s="18" t="s">
        <v>477</v>
      </c>
      <c r="N11949" s="17" t="str">
        <f>IFERROR(__xludf.DUMMYFUNCTION("""COMPUTED_VALUE"""),"")</f>
        <v/>
      </c>
      <c r="O11949" s="17"/>
    </row>
    <row r="11950">
      <c r="B11950" s="17" t="s">
        <v>477</v>
      </c>
      <c r="K11950" s="18" t="s">
        <v>477</v>
      </c>
      <c r="N11950" s="17" t="str">
        <f>IFERROR(__xludf.DUMMYFUNCTION("""COMPUTED_VALUE"""),"")</f>
        <v/>
      </c>
      <c r="O11950" s="17"/>
    </row>
    <row r="11951">
      <c r="B11951" s="17" t="s">
        <v>477</v>
      </c>
      <c r="K11951" s="18" t="s">
        <v>477</v>
      </c>
      <c r="N11951" s="17" t="str">
        <f>IFERROR(__xludf.DUMMYFUNCTION("""COMPUTED_VALUE"""),"")</f>
        <v/>
      </c>
      <c r="O11951" s="17"/>
    </row>
    <row r="11952">
      <c r="B11952" s="17" t="s">
        <v>477</v>
      </c>
      <c r="K11952" s="18" t="s">
        <v>477</v>
      </c>
      <c r="N11952" s="17" t="str">
        <f>IFERROR(__xludf.DUMMYFUNCTION("""COMPUTED_VALUE"""),"")</f>
        <v/>
      </c>
      <c r="O11952" s="17"/>
    </row>
    <row r="11953">
      <c r="B11953" s="17" t="s">
        <v>477</v>
      </c>
      <c r="K11953" s="18" t="s">
        <v>477</v>
      </c>
      <c r="N11953" s="17" t="str">
        <f>IFERROR(__xludf.DUMMYFUNCTION("""COMPUTED_VALUE"""),"")</f>
        <v/>
      </c>
      <c r="O11953" s="17"/>
    </row>
    <row r="11954">
      <c r="B11954" s="17" t="s">
        <v>477</v>
      </c>
      <c r="K11954" s="18" t="s">
        <v>477</v>
      </c>
      <c r="N11954" s="17" t="str">
        <f>IFERROR(__xludf.DUMMYFUNCTION("""COMPUTED_VALUE"""),"")</f>
        <v/>
      </c>
      <c r="O11954" s="17"/>
    </row>
    <row r="11955">
      <c r="B11955" s="17" t="s">
        <v>477</v>
      </c>
      <c r="K11955" s="18" t="s">
        <v>477</v>
      </c>
      <c r="N11955" s="17" t="str">
        <f>IFERROR(__xludf.DUMMYFUNCTION("""COMPUTED_VALUE"""),"")</f>
        <v/>
      </c>
      <c r="O11955" s="17"/>
    </row>
    <row r="11956">
      <c r="B11956" s="17" t="s">
        <v>477</v>
      </c>
      <c r="K11956" s="18" t="s">
        <v>477</v>
      </c>
      <c r="N11956" s="17" t="str">
        <f>IFERROR(__xludf.DUMMYFUNCTION("""COMPUTED_VALUE"""),"")</f>
        <v/>
      </c>
      <c r="O11956" s="17"/>
    </row>
    <row r="11957">
      <c r="B11957" s="17" t="s">
        <v>477</v>
      </c>
      <c r="K11957" s="18" t="s">
        <v>477</v>
      </c>
      <c r="N11957" s="17" t="str">
        <f>IFERROR(__xludf.DUMMYFUNCTION("""COMPUTED_VALUE"""),"")</f>
        <v/>
      </c>
      <c r="O11957" s="17"/>
    </row>
    <row r="11958">
      <c r="B11958" s="17" t="s">
        <v>477</v>
      </c>
      <c r="K11958" s="18" t="s">
        <v>477</v>
      </c>
      <c r="N11958" s="17" t="str">
        <f>IFERROR(__xludf.DUMMYFUNCTION("""COMPUTED_VALUE"""),"")</f>
        <v/>
      </c>
      <c r="O11958" s="17"/>
    </row>
    <row r="11959">
      <c r="B11959" s="17" t="s">
        <v>477</v>
      </c>
      <c r="K11959" s="18" t="s">
        <v>477</v>
      </c>
      <c r="N11959" s="17" t="str">
        <f>IFERROR(__xludf.DUMMYFUNCTION("""COMPUTED_VALUE"""),"")</f>
        <v/>
      </c>
      <c r="O11959" s="17"/>
    </row>
    <row r="11960">
      <c r="B11960" s="17" t="s">
        <v>477</v>
      </c>
      <c r="K11960" s="18" t="s">
        <v>477</v>
      </c>
      <c r="N11960" s="17" t="str">
        <f>IFERROR(__xludf.DUMMYFUNCTION("""COMPUTED_VALUE"""),"")</f>
        <v/>
      </c>
      <c r="O11960" s="17"/>
    </row>
    <row r="11961">
      <c r="B11961" s="17" t="s">
        <v>477</v>
      </c>
      <c r="K11961" s="18" t="s">
        <v>477</v>
      </c>
      <c r="N11961" s="17" t="str">
        <f>IFERROR(__xludf.DUMMYFUNCTION("""COMPUTED_VALUE"""),"")</f>
        <v/>
      </c>
      <c r="O11961" s="17"/>
    </row>
    <row r="11962">
      <c r="B11962" s="17" t="s">
        <v>477</v>
      </c>
      <c r="K11962" s="18" t="s">
        <v>477</v>
      </c>
      <c r="N11962" s="17" t="str">
        <f>IFERROR(__xludf.DUMMYFUNCTION("""COMPUTED_VALUE"""),"")</f>
        <v/>
      </c>
      <c r="O11962" s="17"/>
    </row>
    <row r="11963">
      <c r="B11963" s="17" t="s">
        <v>477</v>
      </c>
      <c r="K11963" s="18" t="s">
        <v>477</v>
      </c>
      <c r="N11963" s="17" t="str">
        <f>IFERROR(__xludf.DUMMYFUNCTION("""COMPUTED_VALUE"""),"")</f>
        <v/>
      </c>
      <c r="O11963" s="17"/>
    </row>
    <row r="11964">
      <c r="B11964" s="17" t="s">
        <v>477</v>
      </c>
      <c r="K11964" s="18" t="s">
        <v>477</v>
      </c>
      <c r="N11964" s="17" t="str">
        <f>IFERROR(__xludf.DUMMYFUNCTION("""COMPUTED_VALUE"""),"")</f>
        <v/>
      </c>
      <c r="O11964" s="17"/>
    </row>
    <row r="11965">
      <c r="B11965" s="17" t="s">
        <v>477</v>
      </c>
      <c r="K11965" s="18" t="s">
        <v>477</v>
      </c>
      <c r="N11965" s="17" t="str">
        <f>IFERROR(__xludf.DUMMYFUNCTION("""COMPUTED_VALUE"""),"")</f>
        <v/>
      </c>
      <c r="O11965" s="17"/>
    </row>
    <row r="11966">
      <c r="B11966" s="17" t="s">
        <v>477</v>
      </c>
      <c r="K11966" s="18" t="s">
        <v>477</v>
      </c>
      <c r="N11966" s="17" t="str">
        <f>IFERROR(__xludf.DUMMYFUNCTION("""COMPUTED_VALUE"""),"")</f>
        <v/>
      </c>
      <c r="O11966" s="17"/>
    </row>
    <row r="11967">
      <c r="B11967" s="17" t="s">
        <v>477</v>
      </c>
      <c r="K11967" s="18" t="s">
        <v>477</v>
      </c>
      <c r="N11967" s="17" t="str">
        <f>IFERROR(__xludf.DUMMYFUNCTION("""COMPUTED_VALUE"""),"")</f>
        <v/>
      </c>
      <c r="O11967" s="17"/>
    </row>
    <row r="11968">
      <c r="B11968" s="17" t="s">
        <v>477</v>
      </c>
      <c r="K11968" s="18" t="s">
        <v>477</v>
      </c>
      <c r="N11968" s="17" t="str">
        <f>IFERROR(__xludf.DUMMYFUNCTION("""COMPUTED_VALUE"""),"")</f>
        <v/>
      </c>
      <c r="O11968" s="17"/>
    </row>
    <row r="11969">
      <c r="B11969" s="17" t="s">
        <v>477</v>
      </c>
      <c r="K11969" s="18" t="s">
        <v>477</v>
      </c>
      <c r="N11969" s="17" t="str">
        <f>IFERROR(__xludf.DUMMYFUNCTION("""COMPUTED_VALUE"""),"")</f>
        <v/>
      </c>
      <c r="O11969" s="17"/>
    </row>
    <row r="11970">
      <c r="B11970" s="17" t="s">
        <v>477</v>
      </c>
      <c r="K11970" s="18" t="s">
        <v>477</v>
      </c>
      <c r="N11970" s="17" t="str">
        <f>IFERROR(__xludf.DUMMYFUNCTION("""COMPUTED_VALUE"""),"")</f>
        <v/>
      </c>
      <c r="O11970" s="17"/>
    </row>
    <row r="11971">
      <c r="B11971" s="17" t="s">
        <v>477</v>
      </c>
      <c r="K11971" s="18" t="s">
        <v>477</v>
      </c>
      <c r="N11971" s="17" t="str">
        <f>IFERROR(__xludf.DUMMYFUNCTION("""COMPUTED_VALUE"""),"")</f>
        <v/>
      </c>
      <c r="O11971" s="17"/>
    </row>
    <row r="11972">
      <c r="B11972" s="17" t="s">
        <v>477</v>
      </c>
      <c r="K11972" s="18" t="s">
        <v>477</v>
      </c>
      <c r="N11972" s="17" t="str">
        <f>IFERROR(__xludf.DUMMYFUNCTION("""COMPUTED_VALUE"""),"")</f>
        <v/>
      </c>
      <c r="O11972" s="17"/>
    </row>
    <row r="11973">
      <c r="B11973" s="17" t="s">
        <v>477</v>
      </c>
      <c r="K11973" s="18" t="s">
        <v>477</v>
      </c>
      <c r="N11973" s="17" t="str">
        <f>IFERROR(__xludf.DUMMYFUNCTION("""COMPUTED_VALUE"""),"")</f>
        <v/>
      </c>
      <c r="O11973" s="17"/>
    </row>
    <row r="11974">
      <c r="B11974" s="17" t="s">
        <v>477</v>
      </c>
      <c r="K11974" s="18" t="s">
        <v>477</v>
      </c>
      <c r="N11974" s="17" t="str">
        <f>IFERROR(__xludf.DUMMYFUNCTION("""COMPUTED_VALUE"""),"")</f>
        <v/>
      </c>
      <c r="O11974" s="17"/>
    </row>
    <row r="11975">
      <c r="B11975" s="17" t="s">
        <v>477</v>
      </c>
      <c r="K11975" s="18" t="s">
        <v>477</v>
      </c>
      <c r="N11975" s="17" t="str">
        <f>IFERROR(__xludf.DUMMYFUNCTION("""COMPUTED_VALUE"""),"")</f>
        <v/>
      </c>
      <c r="O11975" s="17"/>
    </row>
    <row r="11976">
      <c r="B11976" s="17" t="s">
        <v>477</v>
      </c>
      <c r="K11976" s="18" t="s">
        <v>477</v>
      </c>
      <c r="N11976" s="17" t="str">
        <f>IFERROR(__xludf.DUMMYFUNCTION("""COMPUTED_VALUE"""),"")</f>
        <v/>
      </c>
      <c r="O11976" s="17"/>
    </row>
    <row r="11977">
      <c r="B11977" s="17" t="s">
        <v>477</v>
      </c>
      <c r="K11977" s="18" t="s">
        <v>477</v>
      </c>
      <c r="N11977" s="17" t="str">
        <f>IFERROR(__xludf.DUMMYFUNCTION("""COMPUTED_VALUE"""),"")</f>
        <v/>
      </c>
      <c r="O11977" s="17"/>
    </row>
    <row r="11978">
      <c r="B11978" s="17" t="s">
        <v>477</v>
      </c>
      <c r="K11978" s="18" t="s">
        <v>477</v>
      </c>
      <c r="N11978" s="17" t="str">
        <f>IFERROR(__xludf.DUMMYFUNCTION("""COMPUTED_VALUE"""),"")</f>
        <v/>
      </c>
      <c r="O11978" s="17"/>
    </row>
    <row r="11979">
      <c r="B11979" s="17" t="s">
        <v>477</v>
      </c>
      <c r="K11979" s="18" t="s">
        <v>477</v>
      </c>
      <c r="N11979" s="17" t="str">
        <f>IFERROR(__xludf.DUMMYFUNCTION("""COMPUTED_VALUE"""),"")</f>
        <v/>
      </c>
      <c r="O11979" s="17"/>
    </row>
    <row r="11980">
      <c r="B11980" s="17" t="s">
        <v>477</v>
      </c>
      <c r="K11980" s="18" t="s">
        <v>477</v>
      </c>
      <c r="N11980" s="17" t="str">
        <f>IFERROR(__xludf.DUMMYFUNCTION("""COMPUTED_VALUE"""),"")</f>
        <v/>
      </c>
      <c r="O11980" s="17"/>
    </row>
    <row r="11981">
      <c r="B11981" s="17" t="s">
        <v>477</v>
      </c>
      <c r="K11981" s="18" t="s">
        <v>477</v>
      </c>
      <c r="N11981" s="17" t="str">
        <f>IFERROR(__xludf.DUMMYFUNCTION("""COMPUTED_VALUE"""),"")</f>
        <v/>
      </c>
      <c r="O11981" s="17"/>
    </row>
    <row r="11982">
      <c r="B11982" s="17" t="s">
        <v>477</v>
      </c>
      <c r="K11982" s="18" t="s">
        <v>477</v>
      </c>
      <c r="N11982" s="17" t="str">
        <f>IFERROR(__xludf.DUMMYFUNCTION("""COMPUTED_VALUE"""),"")</f>
        <v/>
      </c>
      <c r="O11982" s="17"/>
    </row>
    <row r="11983">
      <c r="B11983" s="17" t="s">
        <v>477</v>
      </c>
      <c r="K11983" s="18" t="s">
        <v>477</v>
      </c>
      <c r="N11983" s="17" t="str">
        <f>IFERROR(__xludf.DUMMYFUNCTION("""COMPUTED_VALUE"""),"")</f>
        <v/>
      </c>
      <c r="O11983" s="17"/>
    </row>
    <row r="11984">
      <c r="B11984" s="17" t="s">
        <v>477</v>
      </c>
      <c r="K11984" s="18" t="s">
        <v>477</v>
      </c>
      <c r="N11984" s="17" t="str">
        <f>IFERROR(__xludf.DUMMYFUNCTION("""COMPUTED_VALUE"""),"")</f>
        <v/>
      </c>
      <c r="O11984" s="17"/>
    </row>
    <row r="11985">
      <c r="B11985" s="17" t="s">
        <v>477</v>
      </c>
      <c r="K11985" s="18" t="s">
        <v>477</v>
      </c>
      <c r="N11985" s="17" t="str">
        <f>IFERROR(__xludf.DUMMYFUNCTION("""COMPUTED_VALUE"""),"")</f>
        <v/>
      </c>
      <c r="O11985" s="17"/>
    </row>
    <row r="11986">
      <c r="B11986" s="17" t="s">
        <v>477</v>
      </c>
      <c r="K11986" s="18" t="s">
        <v>477</v>
      </c>
      <c r="N11986" s="17" t="str">
        <f>IFERROR(__xludf.DUMMYFUNCTION("""COMPUTED_VALUE"""),"")</f>
        <v/>
      </c>
      <c r="O11986" s="17"/>
    </row>
    <row r="11987">
      <c r="B11987" s="17" t="s">
        <v>477</v>
      </c>
      <c r="K11987" s="18" t="s">
        <v>477</v>
      </c>
      <c r="N11987" s="17" t="str">
        <f>IFERROR(__xludf.DUMMYFUNCTION("""COMPUTED_VALUE"""),"")</f>
        <v/>
      </c>
      <c r="O11987" s="17"/>
    </row>
    <row r="11988">
      <c r="B11988" s="17" t="s">
        <v>477</v>
      </c>
      <c r="K11988" s="18" t="s">
        <v>477</v>
      </c>
      <c r="N11988" s="17" t="str">
        <f>IFERROR(__xludf.DUMMYFUNCTION("""COMPUTED_VALUE"""),"")</f>
        <v/>
      </c>
      <c r="O11988" s="17"/>
    </row>
    <row r="11989">
      <c r="B11989" s="17" t="s">
        <v>477</v>
      </c>
      <c r="K11989" s="18" t="s">
        <v>477</v>
      </c>
      <c r="N11989" s="17" t="str">
        <f>IFERROR(__xludf.DUMMYFUNCTION("""COMPUTED_VALUE"""),"")</f>
        <v/>
      </c>
      <c r="O11989" s="17"/>
    </row>
    <row r="11990">
      <c r="B11990" s="17" t="s">
        <v>477</v>
      </c>
      <c r="K11990" s="18" t="s">
        <v>477</v>
      </c>
      <c r="N11990" s="17" t="str">
        <f>IFERROR(__xludf.DUMMYFUNCTION("""COMPUTED_VALUE"""),"")</f>
        <v/>
      </c>
      <c r="O11990" s="17"/>
    </row>
    <row r="11991">
      <c r="B11991" s="17" t="s">
        <v>477</v>
      </c>
      <c r="K11991" s="18" t="s">
        <v>477</v>
      </c>
      <c r="N11991" s="17" t="str">
        <f>IFERROR(__xludf.DUMMYFUNCTION("""COMPUTED_VALUE"""),"")</f>
        <v/>
      </c>
      <c r="O11991" s="17"/>
    </row>
    <row r="11992">
      <c r="B11992" s="17" t="s">
        <v>477</v>
      </c>
      <c r="K11992" s="18" t="s">
        <v>477</v>
      </c>
      <c r="N11992" s="17" t="str">
        <f>IFERROR(__xludf.DUMMYFUNCTION("""COMPUTED_VALUE"""),"")</f>
        <v/>
      </c>
      <c r="O11992" s="17"/>
    </row>
    <row r="11993">
      <c r="B11993" s="17" t="s">
        <v>477</v>
      </c>
      <c r="K11993" s="18" t="s">
        <v>477</v>
      </c>
      <c r="N11993" s="17" t="str">
        <f>IFERROR(__xludf.DUMMYFUNCTION("""COMPUTED_VALUE"""),"")</f>
        <v/>
      </c>
      <c r="O11993" s="17"/>
    </row>
    <row r="11994">
      <c r="B11994" s="17" t="s">
        <v>477</v>
      </c>
      <c r="K11994" s="18" t="s">
        <v>477</v>
      </c>
      <c r="N11994" s="17" t="str">
        <f>IFERROR(__xludf.DUMMYFUNCTION("""COMPUTED_VALUE"""),"")</f>
        <v/>
      </c>
      <c r="O11994" s="17"/>
    </row>
    <row r="11995">
      <c r="B11995" s="17" t="s">
        <v>477</v>
      </c>
      <c r="K11995" s="18" t="s">
        <v>477</v>
      </c>
      <c r="N11995" s="17" t="str">
        <f>IFERROR(__xludf.DUMMYFUNCTION("""COMPUTED_VALUE"""),"")</f>
        <v/>
      </c>
      <c r="O11995" s="17"/>
    </row>
    <row r="11996">
      <c r="B11996" s="17" t="s">
        <v>477</v>
      </c>
      <c r="K11996" s="18" t="s">
        <v>477</v>
      </c>
      <c r="N11996" s="17" t="str">
        <f>IFERROR(__xludf.DUMMYFUNCTION("""COMPUTED_VALUE"""),"")</f>
        <v/>
      </c>
      <c r="O11996" s="17"/>
    </row>
    <row r="11997">
      <c r="B11997" s="17" t="s">
        <v>477</v>
      </c>
      <c r="K11997" s="18" t="s">
        <v>477</v>
      </c>
      <c r="N11997" s="17" t="str">
        <f>IFERROR(__xludf.DUMMYFUNCTION("""COMPUTED_VALUE"""),"")</f>
        <v/>
      </c>
      <c r="O11997" s="17"/>
    </row>
    <row r="11998">
      <c r="B11998" s="17" t="s">
        <v>477</v>
      </c>
      <c r="K11998" s="18" t="s">
        <v>477</v>
      </c>
      <c r="N11998" s="17" t="str">
        <f>IFERROR(__xludf.DUMMYFUNCTION("""COMPUTED_VALUE"""),"")</f>
        <v/>
      </c>
      <c r="O11998" s="17"/>
    </row>
    <row r="11999">
      <c r="B11999" s="17" t="s">
        <v>477</v>
      </c>
      <c r="K11999" s="18" t="s">
        <v>477</v>
      </c>
      <c r="N11999" s="17" t="str">
        <f>IFERROR(__xludf.DUMMYFUNCTION("""COMPUTED_VALUE"""),"")</f>
        <v/>
      </c>
      <c r="O11999" s="17"/>
    </row>
    <row r="12000">
      <c r="B12000" s="17" t="s">
        <v>477</v>
      </c>
      <c r="K12000" s="18" t="s">
        <v>477</v>
      </c>
      <c r="N12000" s="17" t="str">
        <f>IFERROR(__xludf.DUMMYFUNCTION("""COMPUTED_VALUE"""),"")</f>
        <v/>
      </c>
      <c r="O12000" s="17"/>
    </row>
    <row r="12001">
      <c r="B12001" s="17" t="s">
        <v>477</v>
      </c>
      <c r="K12001" s="18" t="s">
        <v>477</v>
      </c>
      <c r="N12001" s="17" t="str">
        <f>IFERROR(__xludf.DUMMYFUNCTION("""COMPUTED_VALUE"""),"")</f>
        <v/>
      </c>
      <c r="O12001" s="17"/>
    </row>
    <row r="12002">
      <c r="B12002" s="17" t="s">
        <v>477</v>
      </c>
      <c r="K12002" s="18" t="s">
        <v>477</v>
      </c>
      <c r="N12002" s="17" t="str">
        <f>IFERROR(__xludf.DUMMYFUNCTION("""COMPUTED_VALUE"""),"")</f>
        <v/>
      </c>
      <c r="O12002" s="17"/>
    </row>
    <row r="12003">
      <c r="B12003" s="17" t="s">
        <v>477</v>
      </c>
      <c r="K12003" s="18" t="s">
        <v>477</v>
      </c>
      <c r="N12003" s="17" t="str">
        <f>IFERROR(__xludf.DUMMYFUNCTION("""COMPUTED_VALUE"""),"")</f>
        <v/>
      </c>
      <c r="O12003" s="17"/>
    </row>
    <row r="12004">
      <c r="B12004" s="17" t="s">
        <v>477</v>
      </c>
      <c r="K12004" s="18" t="s">
        <v>477</v>
      </c>
      <c r="N12004" s="17" t="str">
        <f>IFERROR(__xludf.DUMMYFUNCTION("""COMPUTED_VALUE"""),"")</f>
        <v/>
      </c>
      <c r="O12004" s="17"/>
    </row>
    <row r="12005">
      <c r="B12005" s="17" t="s">
        <v>477</v>
      </c>
      <c r="K12005" s="18" t="s">
        <v>477</v>
      </c>
      <c r="N12005" s="17" t="str">
        <f>IFERROR(__xludf.DUMMYFUNCTION("""COMPUTED_VALUE"""),"")</f>
        <v/>
      </c>
      <c r="O12005" s="17"/>
    </row>
    <row r="12006">
      <c r="B12006" s="17" t="s">
        <v>477</v>
      </c>
      <c r="K12006" s="18" t="s">
        <v>477</v>
      </c>
      <c r="N12006" s="17" t="str">
        <f>IFERROR(__xludf.DUMMYFUNCTION("""COMPUTED_VALUE"""),"")</f>
        <v/>
      </c>
      <c r="O12006" s="17"/>
    </row>
    <row r="12007">
      <c r="B12007" s="17" t="s">
        <v>477</v>
      </c>
      <c r="K12007" s="18" t="s">
        <v>477</v>
      </c>
      <c r="N12007" s="17" t="str">
        <f>IFERROR(__xludf.DUMMYFUNCTION("""COMPUTED_VALUE"""),"")</f>
        <v/>
      </c>
      <c r="O12007" s="17"/>
    </row>
    <row r="12008">
      <c r="B12008" s="17" t="s">
        <v>477</v>
      </c>
      <c r="K12008" s="18" t="s">
        <v>477</v>
      </c>
      <c r="N12008" s="17" t="str">
        <f>IFERROR(__xludf.DUMMYFUNCTION("""COMPUTED_VALUE"""),"")</f>
        <v/>
      </c>
      <c r="O12008" s="17"/>
    </row>
    <row r="12009">
      <c r="B12009" s="17" t="s">
        <v>477</v>
      </c>
      <c r="K12009" s="18" t="s">
        <v>477</v>
      </c>
      <c r="N12009" s="17" t="str">
        <f>IFERROR(__xludf.DUMMYFUNCTION("""COMPUTED_VALUE"""),"")</f>
        <v/>
      </c>
      <c r="O12009" s="17"/>
    </row>
    <row r="12010">
      <c r="B12010" s="17" t="s">
        <v>477</v>
      </c>
      <c r="K12010" s="18" t="s">
        <v>477</v>
      </c>
      <c r="N12010" s="17" t="str">
        <f>IFERROR(__xludf.DUMMYFUNCTION("""COMPUTED_VALUE"""),"")</f>
        <v/>
      </c>
      <c r="O12010" s="17"/>
    </row>
    <row r="12011">
      <c r="B12011" s="17" t="s">
        <v>477</v>
      </c>
      <c r="K12011" s="18" t="s">
        <v>477</v>
      </c>
      <c r="N12011" s="17" t="str">
        <f>IFERROR(__xludf.DUMMYFUNCTION("""COMPUTED_VALUE"""),"")</f>
        <v/>
      </c>
      <c r="O12011" s="17"/>
    </row>
    <row r="12012">
      <c r="B12012" s="17" t="s">
        <v>477</v>
      </c>
      <c r="K12012" s="18" t="s">
        <v>477</v>
      </c>
      <c r="N12012" s="17" t="str">
        <f>IFERROR(__xludf.DUMMYFUNCTION("""COMPUTED_VALUE"""),"")</f>
        <v/>
      </c>
      <c r="O12012" s="17"/>
    </row>
    <row r="12013">
      <c r="B12013" s="17" t="s">
        <v>477</v>
      </c>
      <c r="K12013" s="18" t="s">
        <v>477</v>
      </c>
      <c r="N12013" s="17" t="str">
        <f>IFERROR(__xludf.DUMMYFUNCTION("""COMPUTED_VALUE"""),"")</f>
        <v/>
      </c>
      <c r="O12013" s="17"/>
    </row>
    <row r="12014">
      <c r="B12014" s="17" t="s">
        <v>477</v>
      </c>
      <c r="K12014" s="18" t="s">
        <v>477</v>
      </c>
      <c r="N12014" s="17" t="str">
        <f>IFERROR(__xludf.DUMMYFUNCTION("""COMPUTED_VALUE"""),"")</f>
        <v/>
      </c>
      <c r="O12014" s="17"/>
    </row>
    <row r="12015">
      <c r="B12015" s="17" t="s">
        <v>477</v>
      </c>
      <c r="K12015" s="18" t="s">
        <v>477</v>
      </c>
      <c r="N12015" s="17" t="str">
        <f>IFERROR(__xludf.DUMMYFUNCTION("""COMPUTED_VALUE"""),"")</f>
        <v/>
      </c>
      <c r="O12015" s="17"/>
    </row>
    <row r="12016">
      <c r="B12016" s="17" t="s">
        <v>477</v>
      </c>
      <c r="K12016" s="18" t="s">
        <v>477</v>
      </c>
      <c r="N12016" s="17" t="str">
        <f>IFERROR(__xludf.DUMMYFUNCTION("""COMPUTED_VALUE"""),"")</f>
        <v/>
      </c>
      <c r="O12016" s="17"/>
    </row>
    <row r="12017">
      <c r="B12017" s="17" t="s">
        <v>477</v>
      </c>
      <c r="K12017" s="18" t="s">
        <v>477</v>
      </c>
      <c r="N12017" s="17" t="str">
        <f>IFERROR(__xludf.DUMMYFUNCTION("""COMPUTED_VALUE"""),"")</f>
        <v/>
      </c>
      <c r="O12017" s="17"/>
    </row>
    <row r="12018">
      <c r="B12018" s="17" t="s">
        <v>477</v>
      </c>
      <c r="K12018" s="18" t="s">
        <v>477</v>
      </c>
      <c r="N12018" s="17" t="str">
        <f>IFERROR(__xludf.DUMMYFUNCTION("""COMPUTED_VALUE"""),"")</f>
        <v/>
      </c>
      <c r="O12018" s="17"/>
    </row>
    <row r="12019">
      <c r="B12019" s="17" t="s">
        <v>477</v>
      </c>
      <c r="K12019" s="18" t="s">
        <v>477</v>
      </c>
      <c r="N12019" s="17" t="str">
        <f>IFERROR(__xludf.DUMMYFUNCTION("""COMPUTED_VALUE"""),"")</f>
        <v/>
      </c>
      <c r="O12019" s="17"/>
    </row>
    <row r="12020">
      <c r="B12020" s="17" t="s">
        <v>477</v>
      </c>
      <c r="K12020" s="18" t="s">
        <v>477</v>
      </c>
      <c r="N12020" s="17" t="str">
        <f>IFERROR(__xludf.DUMMYFUNCTION("""COMPUTED_VALUE"""),"")</f>
        <v/>
      </c>
      <c r="O12020" s="17"/>
    </row>
    <row r="12021">
      <c r="B12021" s="17" t="s">
        <v>477</v>
      </c>
      <c r="K12021" s="18" t="s">
        <v>477</v>
      </c>
      <c r="N12021" s="17" t="str">
        <f>IFERROR(__xludf.DUMMYFUNCTION("""COMPUTED_VALUE"""),"")</f>
        <v/>
      </c>
      <c r="O12021" s="17"/>
    </row>
    <row r="12022">
      <c r="B12022" s="17" t="s">
        <v>477</v>
      </c>
      <c r="K12022" s="18" t="s">
        <v>477</v>
      </c>
      <c r="N12022" s="17" t="str">
        <f>IFERROR(__xludf.DUMMYFUNCTION("""COMPUTED_VALUE"""),"")</f>
        <v/>
      </c>
      <c r="O12022" s="17"/>
    </row>
    <row r="12023">
      <c r="B12023" s="17" t="s">
        <v>477</v>
      </c>
      <c r="K12023" s="18" t="s">
        <v>477</v>
      </c>
      <c r="N12023" s="17" t="str">
        <f>IFERROR(__xludf.DUMMYFUNCTION("""COMPUTED_VALUE"""),"")</f>
        <v/>
      </c>
      <c r="O12023" s="17"/>
    </row>
    <row r="12024">
      <c r="B12024" s="17" t="s">
        <v>477</v>
      </c>
      <c r="K12024" s="18" t="s">
        <v>477</v>
      </c>
      <c r="N12024" s="17" t="str">
        <f>IFERROR(__xludf.DUMMYFUNCTION("""COMPUTED_VALUE"""),"")</f>
        <v/>
      </c>
      <c r="O12024" s="17"/>
    </row>
    <row r="12025">
      <c r="B12025" s="17" t="s">
        <v>477</v>
      </c>
      <c r="K12025" s="18" t="s">
        <v>477</v>
      </c>
      <c r="N12025" s="17" t="str">
        <f>IFERROR(__xludf.DUMMYFUNCTION("""COMPUTED_VALUE"""),"")</f>
        <v/>
      </c>
      <c r="O12025" s="17"/>
    </row>
    <row r="12026">
      <c r="B12026" s="17" t="s">
        <v>477</v>
      </c>
      <c r="K12026" s="18" t="s">
        <v>477</v>
      </c>
      <c r="N12026" s="17" t="str">
        <f>IFERROR(__xludf.DUMMYFUNCTION("""COMPUTED_VALUE"""),"")</f>
        <v/>
      </c>
      <c r="O12026" s="17"/>
    </row>
    <row r="12027">
      <c r="B12027" s="17" t="s">
        <v>477</v>
      </c>
      <c r="K12027" s="18" t="s">
        <v>477</v>
      </c>
      <c r="N12027" s="17" t="str">
        <f>IFERROR(__xludf.DUMMYFUNCTION("""COMPUTED_VALUE"""),"")</f>
        <v/>
      </c>
      <c r="O12027" s="17"/>
    </row>
    <row r="12028">
      <c r="B12028" s="17" t="s">
        <v>477</v>
      </c>
      <c r="K12028" s="18" t="s">
        <v>477</v>
      </c>
      <c r="N12028" s="17" t="str">
        <f>IFERROR(__xludf.DUMMYFUNCTION("""COMPUTED_VALUE"""),"")</f>
        <v/>
      </c>
      <c r="O12028" s="17"/>
    </row>
    <row r="12029">
      <c r="B12029" s="17" t="s">
        <v>477</v>
      </c>
      <c r="K12029" s="18" t="s">
        <v>477</v>
      </c>
      <c r="N12029" s="17" t="str">
        <f>IFERROR(__xludf.DUMMYFUNCTION("""COMPUTED_VALUE"""),"")</f>
        <v/>
      </c>
      <c r="O12029" s="17"/>
    </row>
    <row r="12030">
      <c r="B12030" s="17" t="s">
        <v>477</v>
      </c>
      <c r="K12030" s="18" t="s">
        <v>477</v>
      </c>
      <c r="N12030" s="17" t="str">
        <f>IFERROR(__xludf.DUMMYFUNCTION("""COMPUTED_VALUE"""),"")</f>
        <v/>
      </c>
      <c r="O12030" s="17"/>
    </row>
    <row r="12031">
      <c r="B12031" s="17" t="s">
        <v>477</v>
      </c>
      <c r="K12031" s="18" t="s">
        <v>477</v>
      </c>
      <c r="N12031" s="17" t="str">
        <f>IFERROR(__xludf.DUMMYFUNCTION("""COMPUTED_VALUE"""),"")</f>
        <v/>
      </c>
      <c r="O12031" s="17"/>
    </row>
    <row r="12032">
      <c r="B12032" s="17" t="s">
        <v>477</v>
      </c>
      <c r="K12032" s="18" t="s">
        <v>477</v>
      </c>
      <c r="N12032" s="17" t="str">
        <f>IFERROR(__xludf.DUMMYFUNCTION("""COMPUTED_VALUE"""),"")</f>
        <v/>
      </c>
      <c r="O12032" s="17"/>
    </row>
    <row r="12033">
      <c r="B12033" s="17" t="s">
        <v>477</v>
      </c>
      <c r="K12033" s="18" t="s">
        <v>477</v>
      </c>
      <c r="N12033" s="17" t="str">
        <f>IFERROR(__xludf.DUMMYFUNCTION("""COMPUTED_VALUE"""),"")</f>
        <v/>
      </c>
      <c r="O12033" s="17"/>
    </row>
    <row r="12034">
      <c r="B12034" s="17" t="s">
        <v>477</v>
      </c>
      <c r="K12034" s="18" t="s">
        <v>477</v>
      </c>
      <c r="N12034" s="17" t="str">
        <f>IFERROR(__xludf.DUMMYFUNCTION("""COMPUTED_VALUE"""),"")</f>
        <v/>
      </c>
      <c r="O12034" s="17"/>
    </row>
    <row r="12035">
      <c r="B12035" s="17" t="s">
        <v>477</v>
      </c>
      <c r="K12035" s="18" t="s">
        <v>477</v>
      </c>
      <c r="N12035" s="17" t="str">
        <f>IFERROR(__xludf.DUMMYFUNCTION("""COMPUTED_VALUE"""),"")</f>
        <v/>
      </c>
      <c r="O12035" s="17"/>
    </row>
    <row r="12036">
      <c r="B12036" s="17" t="s">
        <v>477</v>
      </c>
      <c r="K12036" s="18" t="s">
        <v>477</v>
      </c>
      <c r="N12036" s="17" t="str">
        <f>IFERROR(__xludf.DUMMYFUNCTION("""COMPUTED_VALUE"""),"")</f>
        <v/>
      </c>
      <c r="O12036" s="17"/>
    </row>
    <row r="12037">
      <c r="B12037" s="17" t="s">
        <v>477</v>
      </c>
      <c r="K12037" s="18" t="s">
        <v>477</v>
      </c>
      <c r="N12037" s="17" t="str">
        <f>IFERROR(__xludf.DUMMYFUNCTION("""COMPUTED_VALUE"""),"")</f>
        <v/>
      </c>
      <c r="O12037" s="17"/>
    </row>
    <row r="12038">
      <c r="B12038" s="17" t="s">
        <v>477</v>
      </c>
      <c r="K12038" s="18" t="s">
        <v>477</v>
      </c>
      <c r="N12038" s="17" t="str">
        <f>IFERROR(__xludf.DUMMYFUNCTION("""COMPUTED_VALUE"""),"")</f>
        <v/>
      </c>
      <c r="O12038" s="17"/>
    </row>
    <row r="12039">
      <c r="B12039" s="17" t="s">
        <v>477</v>
      </c>
      <c r="K12039" s="18" t="s">
        <v>477</v>
      </c>
      <c r="N12039" s="17" t="str">
        <f>IFERROR(__xludf.DUMMYFUNCTION("""COMPUTED_VALUE"""),"")</f>
        <v/>
      </c>
      <c r="O12039" s="17"/>
    </row>
    <row r="12040">
      <c r="B12040" s="17" t="s">
        <v>477</v>
      </c>
      <c r="K12040" s="18" t="s">
        <v>477</v>
      </c>
      <c r="N12040" s="17" t="str">
        <f>IFERROR(__xludf.DUMMYFUNCTION("""COMPUTED_VALUE"""),"")</f>
        <v/>
      </c>
      <c r="O12040" s="17"/>
    </row>
    <row r="12041">
      <c r="B12041" s="17" t="s">
        <v>477</v>
      </c>
      <c r="K12041" s="18" t="s">
        <v>477</v>
      </c>
      <c r="N12041" s="17" t="str">
        <f>IFERROR(__xludf.DUMMYFUNCTION("""COMPUTED_VALUE"""),"")</f>
        <v/>
      </c>
      <c r="O12041" s="17"/>
    </row>
    <row r="12042">
      <c r="B12042" s="17" t="s">
        <v>477</v>
      </c>
      <c r="K12042" s="18" t="s">
        <v>477</v>
      </c>
      <c r="N12042" s="17" t="str">
        <f>IFERROR(__xludf.DUMMYFUNCTION("""COMPUTED_VALUE"""),"")</f>
        <v/>
      </c>
      <c r="O12042" s="17"/>
    </row>
    <row r="12043">
      <c r="B12043" s="17" t="s">
        <v>477</v>
      </c>
      <c r="K12043" s="18" t="s">
        <v>477</v>
      </c>
      <c r="N12043" s="17" t="str">
        <f>IFERROR(__xludf.DUMMYFUNCTION("""COMPUTED_VALUE"""),"")</f>
        <v/>
      </c>
      <c r="O12043" s="17"/>
    </row>
    <row r="12044">
      <c r="B12044" s="17" t="s">
        <v>477</v>
      </c>
      <c r="K12044" s="18" t="s">
        <v>477</v>
      </c>
      <c r="N12044" s="17" t="str">
        <f>IFERROR(__xludf.DUMMYFUNCTION("""COMPUTED_VALUE"""),"")</f>
        <v/>
      </c>
      <c r="O12044" s="17"/>
    </row>
    <row r="12045">
      <c r="B12045" s="17" t="s">
        <v>477</v>
      </c>
      <c r="K12045" s="18" t="s">
        <v>477</v>
      </c>
      <c r="N12045" s="17" t="str">
        <f>IFERROR(__xludf.DUMMYFUNCTION("""COMPUTED_VALUE"""),"")</f>
        <v/>
      </c>
      <c r="O12045" s="17"/>
    </row>
    <row r="12046">
      <c r="B12046" s="17" t="s">
        <v>477</v>
      </c>
      <c r="K12046" s="18" t="s">
        <v>477</v>
      </c>
      <c r="N12046" s="17" t="str">
        <f>IFERROR(__xludf.DUMMYFUNCTION("""COMPUTED_VALUE"""),"")</f>
        <v/>
      </c>
      <c r="O12046" s="17"/>
    </row>
    <row r="12047">
      <c r="B12047" s="17" t="s">
        <v>477</v>
      </c>
      <c r="K12047" s="18" t="s">
        <v>477</v>
      </c>
      <c r="N12047" s="17" t="str">
        <f>IFERROR(__xludf.DUMMYFUNCTION("""COMPUTED_VALUE"""),"")</f>
        <v/>
      </c>
      <c r="O12047" s="17"/>
    </row>
    <row r="12048">
      <c r="B12048" s="17" t="s">
        <v>477</v>
      </c>
      <c r="K12048" s="18" t="s">
        <v>477</v>
      </c>
      <c r="N12048" s="17" t="str">
        <f>IFERROR(__xludf.DUMMYFUNCTION("""COMPUTED_VALUE"""),"")</f>
        <v/>
      </c>
      <c r="O12048" s="17"/>
    </row>
    <row r="12049">
      <c r="B12049" s="17" t="s">
        <v>477</v>
      </c>
      <c r="K12049" s="18" t="s">
        <v>477</v>
      </c>
      <c r="N12049" s="17" t="str">
        <f>IFERROR(__xludf.DUMMYFUNCTION("""COMPUTED_VALUE"""),"")</f>
        <v/>
      </c>
      <c r="O12049" s="17"/>
    </row>
    <row r="12050">
      <c r="B12050" s="17" t="s">
        <v>477</v>
      </c>
      <c r="K12050" s="18" t="s">
        <v>477</v>
      </c>
      <c r="N12050" s="17" t="str">
        <f>IFERROR(__xludf.DUMMYFUNCTION("""COMPUTED_VALUE"""),"")</f>
        <v/>
      </c>
      <c r="O12050" s="17"/>
    </row>
    <row r="12051">
      <c r="B12051" s="17" t="s">
        <v>477</v>
      </c>
      <c r="K12051" s="18" t="s">
        <v>477</v>
      </c>
      <c r="N12051" s="17" t="str">
        <f>IFERROR(__xludf.DUMMYFUNCTION("""COMPUTED_VALUE"""),"")</f>
        <v/>
      </c>
      <c r="O12051" s="17"/>
    </row>
    <row r="12052">
      <c r="B12052" s="17" t="s">
        <v>477</v>
      </c>
      <c r="K12052" s="18" t="s">
        <v>477</v>
      </c>
      <c r="N12052" s="17" t="str">
        <f>IFERROR(__xludf.DUMMYFUNCTION("""COMPUTED_VALUE"""),"")</f>
        <v/>
      </c>
      <c r="O12052" s="17"/>
    </row>
    <row r="12053">
      <c r="B12053" s="17" t="s">
        <v>477</v>
      </c>
      <c r="K12053" s="18" t="s">
        <v>477</v>
      </c>
      <c r="N12053" s="17" t="str">
        <f>IFERROR(__xludf.DUMMYFUNCTION("""COMPUTED_VALUE"""),"")</f>
        <v/>
      </c>
      <c r="O12053" s="17"/>
    </row>
    <row r="12054">
      <c r="B12054" s="17" t="s">
        <v>477</v>
      </c>
      <c r="K12054" s="18" t="s">
        <v>477</v>
      </c>
      <c r="N12054" s="17" t="str">
        <f>IFERROR(__xludf.DUMMYFUNCTION("""COMPUTED_VALUE"""),"")</f>
        <v/>
      </c>
      <c r="O12054" s="17"/>
    </row>
    <row r="12055">
      <c r="B12055" s="17" t="s">
        <v>477</v>
      </c>
      <c r="K12055" s="18" t="s">
        <v>477</v>
      </c>
      <c r="N12055" s="17" t="str">
        <f>IFERROR(__xludf.DUMMYFUNCTION("""COMPUTED_VALUE"""),"")</f>
        <v/>
      </c>
      <c r="O12055" s="17"/>
    </row>
    <row r="12056">
      <c r="B12056" s="17" t="s">
        <v>477</v>
      </c>
      <c r="K12056" s="18" t="s">
        <v>477</v>
      </c>
      <c r="N12056" s="17" t="str">
        <f>IFERROR(__xludf.DUMMYFUNCTION("""COMPUTED_VALUE"""),"")</f>
        <v/>
      </c>
      <c r="O12056" s="17"/>
    </row>
    <row r="12057">
      <c r="B12057" s="17" t="s">
        <v>477</v>
      </c>
      <c r="K12057" s="18" t="s">
        <v>477</v>
      </c>
      <c r="N12057" s="17" t="str">
        <f>IFERROR(__xludf.DUMMYFUNCTION("""COMPUTED_VALUE"""),"")</f>
        <v/>
      </c>
      <c r="O12057" s="17"/>
    </row>
    <row r="12058">
      <c r="B12058" s="17" t="s">
        <v>477</v>
      </c>
      <c r="K12058" s="18" t="s">
        <v>477</v>
      </c>
      <c r="N12058" s="17" t="str">
        <f>IFERROR(__xludf.DUMMYFUNCTION("""COMPUTED_VALUE"""),"")</f>
        <v/>
      </c>
      <c r="O12058" s="17"/>
    </row>
    <row r="12059">
      <c r="B12059" s="17" t="s">
        <v>477</v>
      </c>
      <c r="K12059" s="18" t="s">
        <v>477</v>
      </c>
      <c r="N12059" s="17" t="str">
        <f>IFERROR(__xludf.DUMMYFUNCTION("""COMPUTED_VALUE"""),"")</f>
        <v/>
      </c>
      <c r="O12059" s="17"/>
    </row>
    <row r="12060">
      <c r="B12060" s="17" t="s">
        <v>477</v>
      </c>
      <c r="K12060" s="18" t="s">
        <v>477</v>
      </c>
      <c r="N12060" s="17" t="str">
        <f>IFERROR(__xludf.DUMMYFUNCTION("""COMPUTED_VALUE"""),"")</f>
        <v/>
      </c>
      <c r="O12060" s="17"/>
    </row>
    <row r="12061">
      <c r="B12061" s="17" t="s">
        <v>477</v>
      </c>
      <c r="K12061" s="18" t="s">
        <v>477</v>
      </c>
      <c r="N12061" s="17" t="str">
        <f>IFERROR(__xludf.DUMMYFUNCTION("""COMPUTED_VALUE"""),"")</f>
        <v/>
      </c>
      <c r="O12061" s="17"/>
    </row>
    <row r="12062">
      <c r="B12062" s="17" t="s">
        <v>477</v>
      </c>
      <c r="K12062" s="18" t="s">
        <v>477</v>
      </c>
      <c r="N12062" s="17" t="str">
        <f>IFERROR(__xludf.DUMMYFUNCTION("""COMPUTED_VALUE"""),"")</f>
        <v/>
      </c>
      <c r="O12062" s="17"/>
    </row>
    <row r="12063">
      <c r="B12063" s="17" t="s">
        <v>477</v>
      </c>
      <c r="K12063" s="18" t="s">
        <v>477</v>
      </c>
      <c r="N12063" s="17" t="str">
        <f>IFERROR(__xludf.DUMMYFUNCTION("""COMPUTED_VALUE"""),"")</f>
        <v/>
      </c>
      <c r="O12063" s="17"/>
    </row>
    <row r="12064">
      <c r="B12064" s="17" t="s">
        <v>477</v>
      </c>
      <c r="K12064" s="18" t="s">
        <v>477</v>
      </c>
      <c r="N12064" s="17" t="str">
        <f>IFERROR(__xludf.DUMMYFUNCTION("""COMPUTED_VALUE"""),"")</f>
        <v/>
      </c>
      <c r="O12064" s="17"/>
    </row>
    <row r="12065">
      <c r="B12065" s="17" t="s">
        <v>477</v>
      </c>
      <c r="K12065" s="18" t="s">
        <v>477</v>
      </c>
      <c r="N12065" s="17" t="str">
        <f>IFERROR(__xludf.DUMMYFUNCTION("""COMPUTED_VALUE"""),"")</f>
        <v/>
      </c>
      <c r="O12065" s="17"/>
    </row>
    <row r="12066">
      <c r="B12066" s="17" t="s">
        <v>477</v>
      </c>
      <c r="K12066" s="18" t="s">
        <v>477</v>
      </c>
      <c r="N12066" s="17" t="str">
        <f>IFERROR(__xludf.DUMMYFUNCTION("""COMPUTED_VALUE"""),"")</f>
        <v/>
      </c>
      <c r="O12066" s="17"/>
    </row>
    <row r="12067">
      <c r="B12067" s="17" t="s">
        <v>477</v>
      </c>
      <c r="K12067" s="18" t="s">
        <v>477</v>
      </c>
      <c r="N12067" s="17" t="str">
        <f>IFERROR(__xludf.DUMMYFUNCTION("""COMPUTED_VALUE"""),"")</f>
        <v/>
      </c>
      <c r="O12067" s="17"/>
    </row>
    <row r="12068">
      <c r="B12068" s="17" t="s">
        <v>477</v>
      </c>
      <c r="K12068" s="18" t="s">
        <v>477</v>
      </c>
      <c r="N12068" s="17" t="str">
        <f>IFERROR(__xludf.DUMMYFUNCTION("""COMPUTED_VALUE"""),"")</f>
        <v/>
      </c>
      <c r="O12068" s="17"/>
    </row>
    <row r="12069">
      <c r="B12069" s="17" t="s">
        <v>477</v>
      </c>
      <c r="K12069" s="18" t="s">
        <v>477</v>
      </c>
      <c r="N12069" s="17" t="str">
        <f>IFERROR(__xludf.DUMMYFUNCTION("""COMPUTED_VALUE"""),"")</f>
        <v/>
      </c>
      <c r="O12069" s="17"/>
    </row>
    <row r="12070">
      <c r="B12070" s="17" t="s">
        <v>477</v>
      </c>
      <c r="K12070" s="18" t="s">
        <v>477</v>
      </c>
      <c r="N12070" s="17" t="str">
        <f>IFERROR(__xludf.DUMMYFUNCTION("""COMPUTED_VALUE"""),"")</f>
        <v/>
      </c>
      <c r="O12070" s="17"/>
    </row>
    <row r="12071">
      <c r="B12071" s="17" t="s">
        <v>477</v>
      </c>
      <c r="K12071" s="18" t="s">
        <v>477</v>
      </c>
      <c r="N12071" s="17" t="str">
        <f>IFERROR(__xludf.DUMMYFUNCTION("""COMPUTED_VALUE"""),"")</f>
        <v/>
      </c>
      <c r="O12071" s="17"/>
    </row>
    <row r="12072">
      <c r="B12072" s="17" t="s">
        <v>477</v>
      </c>
      <c r="K12072" s="18" t="s">
        <v>477</v>
      </c>
      <c r="N12072" s="17" t="str">
        <f>IFERROR(__xludf.DUMMYFUNCTION("""COMPUTED_VALUE"""),"")</f>
        <v/>
      </c>
      <c r="O12072" s="17"/>
    </row>
    <row r="12073">
      <c r="B12073" s="17" t="s">
        <v>477</v>
      </c>
      <c r="K12073" s="18" t="s">
        <v>477</v>
      </c>
      <c r="N12073" s="17" t="str">
        <f>IFERROR(__xludf.DUMMYFUNCTION("""COMPUTED_VALUE"""),"")</f>
        <v/>
      </c>
      <c r="O12073" s="17"/>
    </row>
    <row r="12074">
      <c r="B12074" s="17" t="s">
        <v>477</v>
      </c>
      <c r="K12074" s="18" t="s">
        <v>477</v>
      </c>
      <c r="N12074" s="17" t="str">
        <f>IFERROR(__xludf.DUMMYFUNCTION("""COMPUTED_VALUE"""),"")</f>
        <v/>
      </c>
      <c r="O12074" s="17"/>
    </row>
    <row r="12075">
      <c r="B12075" s="17" t="s">
        <v>477</v>
      </c>
      <c r="K12075" s="18" t="s">
        <v>477</v>
      </c>
      <c r="N12075" s="17" t="str">
        <f>IFERROR(__xludf.DUMMYFUNCTION("""COMPUTED_VALUE"""),"")</f>
        <v/>
      </c>
      <c r="O12075" s="17"/>
    </row>
    <row r="12076">
      <c r="B12076" s="17" t="s">
        <v>477</v>
      </c>
      <c r="K12076" s="18" t="s">
        <v>477</v>
      </c>
      <c r="N12076" s="17" t="str">
        <f>IFERROR(__xludf.DUMMYFUNCTION("""COMPUTED_VALUE"""),"")</f>
        <v/>
      </c>
      <c r="O12076" s="17"/>
    </row>
    <row r="12077">
      <c r="B12077" s="17" t="s">
        <v>477</v>
      </c>
      <c r="K12077" s="18" t="s">
        <v>477</v>
      </c>
      <c r="N12077" s="17" t="str">
        <f>IFERROR(__xludf.DUMMYFUNCTION("""COMPUTED_VALUE"""),"")</f>
        <v/>
      </c>
      <c r="O12077" s="17"/>
    </row>
    <row r="12078">
      <c r="B12078" s="17" t="s">
        <v>477</v>
      </c>
      <c r="K12078" s="18" t="s">
        <v>477</v>
      </c>
      <c r="N12078" s="17" t="str">
        <f>IFERROR(__xludf.DUMMYFUNCTION("""COMPUTED_VALUE"""),"")</f>
        <v/>
      </c>
      <c r="O12078" s="17"/>
    </row>
    <row r="12079">
      <c r="B12079" s="17" t="s">
        <v>477</v>
      </c>
      <c r="K12079" s="18" t="s">
        <v>477</v>
      </c>
      <c r="N12079" s="17" t="str">
        <f>IFERROR(__xludf.DUMMYFUNCTION("""COMPUTED_VALUE"""),"")</f>
        <v/>
      </c>
      <c r="O12079" s="17"/>
    </row>
    <row r="12080">
      <c r="B12080" s="17" t="s">
        <v>477</v>
      </c>
      <c r="K12080" s="18" t="s">
        <v>477</v>
      </c>
      <c r="N12080" s="17" t="str">
        <f>IFERROR(__xludf.DUMMYFUNCTION("""COMPUTED_VALUE"""),"")</f>
        <v/>
      </c>
      <c r="O12080" s="17"/>
    </row>
    <row r="12081">
      <c r="B12081" s="17" t="s">
        <v>477</v>
      </c>
      <c r="K12081" s="18" t="s">
        <v>477</v>
      </c>
      <c r="N12081" s="17" t="str">
        <f>IFERROR(__xludf.DUMMYFUNCTION("""COMPUTED_VALUE"""),"")</f>
        <v/>
      </c>
      <c r="O12081" s="17"/>
    </row>
    <row r="12082">
      <c r="B12082" s="17" t="s">
        <v>477</v>
      </c>
      <c r="K12082" s="18" t="s">
        <v>477</v>
      </c>
      <c r="N12082" s="17" t="str">
        <f>IFERROR(__xludf.DUMMYFUNCTION("""COMPUTED_VALUE"""),"")</f>
        <v/>
      </c>
      <c r="O12082" s="17"/>
    </row>
    <row r="12083">
      <c r="B12083" s="17" t="s">
        <v>477</v>
      </c>
      <c r="K12083" s="18" t="s">
        <v>477</v>
      </c>
      <c r="N12083" s="17" t="str">
        <f>IFERROR(__xludf.DUMMYFUNCTION("""COMPUTED_VALUE"""),"")</f>
        <v/>
      </c>
      <c r="O12083" s="17"/>
    </row>
    <row r="12084">
      <c r="B12084" s="17" t="s">
        <v>477</v>
      </c>
      <c r="K12084" s="18" t="s">
        <v>477</v>
      </c>
      <c r="N12084" s="17" t="str">
        <f>IFERROR(__xludf.DUMMYFUNCTION("""COMPUTED_VALUE"""),"")</f>
        <v/>
      </c>
      <c r="O12084" s="17"/>
    </row>
    <row r="12085">
      <c r="B12085" s="17" t="s">
        <v>477</v>
      </c>
      <c r="K12085" s="18" t="s">
        <v>477</v>
      </c>
      <c r="N12085" s="17" t="str">
        <f>IFERROR(__xludf.DUMMYFUNCTION("""COMPUTED_VALUE"""),"")</f>
        <v/>
      </c>
      <c r="O12085" s="17"/>
    </row>
    <row r="12086">
      <c r="B12086" s="17" t="s">
        <v>477</v>
      </c>
      <c r="K12086" s="18" t="s">
        <v>477</v>
      </c>
      <c r="N12086" s="17" t="str">
        <f>IFERROR(__xludf.DUMMYFUNCTION("""COMPUTED_VALUE"""),"")</f>
        <v/>
      </c>
      <c r="O12086" s="17"/>
    </row>
    <row r="12087">
      <c r="B12087" s="17" t="s">
        <v>477</v>
      </c>
      <c r="K12087" s="18" t="s">
        <v>477</v>
      </c>
      <c r="N12087" s="17" t="str">
        <f>IFERROR(__xludf.DUMMYFUNCTION("""COMPUTED_VALUE"""),"")</f>
        <v/>
      </c>
      <c r="O12087" s="17"/>
    </row>
    <row r="12088">
      <c r="B12088" s="17" t="s">
        <v>477</v>
      </c>
      <c r="K12088" s="18" t="s">
        <v>477</v>
      </c>
      <c r="N12088" s="17" t="str">
        <f>IFERROR(__xludf.DUMMYFUNCTION("""COMPUTED_VALUE"""),"")</f>
        <v/>
      </c>
      <c r="O12088" s="17"/>
    </row>
    <row r="12089">
      <c r="B12089" s="17" t="s">
        <v>477</v>
      </c>
      <c r="K12089" s="18" t="s">
        <v>477</v>
      </c>
      <c r="N12089" s="17" t="str">
        <f>IFERROR(__xludf.DUMMYFUNCTION("""COMPUTED_VALUE"""),"")</f>
        <v/>
      </c>
      <c r="O12089" s="17"/>
    </row>
    <row r="12090">
      <c r="B12090" s="17" t="s">
        <v>477</v>
      </c>
      <c r="K12090" s="18" t="s">
        <v>477</v>
      </c>
      <c r="N12090" s="17" t="str">
        <f>IFERROR(__xludf.DUMMYFUNCTION("""COMPUTED_VALUE"""),"")</f>
        <v/>
      </c>
      <c r="O12090" s="17"/>
    </row>
    <row r="12091">
      <c r="B12091" s="17" t="s">
        <v>477</v>
      </c>
      <c r="K12091" s="18" t="s">
        <v>477</v>
      </c>
      <c r="N12091" s="17" t="str">
        <f>IFERROR(__xludf.DUMMYFUNCTION("""COMPUTED_VALUE"""),"")</f>
        <v/>
      </c>
      <c r="O12091" s="17"/>
    </row>
    <row r="12092">
      <c r="B12092" s="17" t="s">
        <v>477</v>
      </c>
      <c r="K12092" s="18" t="s">
        <v>477</v>
      </c>
      <c r="N12092" s="17" t="str">
        <f>IFERROR(__xludf.DUMMYFUNCTION("""COMPUTED_VALUE"""),"")</f>
        <v/>
      </c>
      <c r="O12092" s="17"/>
    </row>
    <row r="12093">
      <c r="B12093" s="17" t="s">
        <v>477</v>
      </c>
      <c r="K12093" s="18" t="s">
        <v>477</v>
      </c>
      <c r="N12093" s="17" t="str">
        <f>IFERROR(__xludf.DUMMYFUNCTION("""COMPUTED_VALUE"""),"")</f>
        <v/>
      </c>
      <c r="O12093" s="17"/>
    </row>
    <row r="12094">
      <c r="B12094" s="17" t="s">
        <v>477</v>
      </c>
      <c r="K12094" s="18" t="s">
        <v>477</v>
      </c>
      <c r="N12094" s="17" t="str">
        <f>IFERROR(__xludf.DUMMYFUNCTION("""COMPUTED_VALUE"""),"")</f>
        <v/>
      </c>
      <c r="O12094" s="17"/>
    </row>
    <row r="12095">
      <c r="B12095" s="17" t="s">
        <v>477</v>
      </c>
      <c r="K12095" s="18" t="s">
        <v>477</v>
      </c>
      <c r="N12095" s="17" t="str">
        <f>IFERROR(__xludf.DUMMYFUNCTION("""COMPUTED_VALUE"""),"")</f>
        <v/>
      </c>
      <c r="O12095" s="17"/>
    </row>
    <row r="12096">
      <c r="B12096" s="17" t="s">
        <v>477</v>
      </c>
      <c r="K12096" s="18" t="s">
        <v>477</v>
      </c>
      <c r="N12096" s="17" t="str">
        <f>IFERROR(__xludf.DUMMYFUNCTION("""COMPUTED_VALUE"""),"")</f>
        <v/>
      </c>
      <c r="O12096" s="17"/>
    </row>
    <row r="12097">
      <c r="B12097" s="17" t="s">
        <v>477</v>
      </c>
      <c r="K12097" s="18" t="s">
        <v>477</v>
      </c>
      <c r="N12097" s="17" t="str">
        <f>IFERROR(__xludf.DUMMYFUNCTION("""COMPUTED_VALUE"""),"")</f>
        <v/>
      </c>
      <c r="O12097" s="17"/>
    </row>
    <row r="12098">
      <c r="B12098" s="17" t="s">
        <v>477</v>
      </c>
      <c r="K12098" s="18" t="s">
        <v>477</v>
      </c>
      <c r="N12098" s="17" t="str">
        <f>IFERROR(__xludf.DUMMYFUNCTION("""COMPUTED_VALUE"""),"")</f>
        <v/>
      </c>
      <c r="O12098" s="17"/>
    </row>
    <row r="12099">
      <c r="B12099" s="17" t="s">
        <v>477</v>
      </c>
      <c r="K12099" s="18" t="s">
        <v>477</v>
      </c>
      <c r="N12099" s="17" t="str">
        <f>IFERROR(__xludf.DUMMYFUNCTION("""COMPUTED_VALUE"""),"")</f>
        <v/>
      </c>
      <c r="O12099" s="17"/>
    </row>
    <row r="12100">
      <c r="B12100" s="17" t="s">
        <v>477</v>
      </c>
      <c r="K12100" s="18" t="s">
        <v>477</v>
      </c>
      <c r="N12100" s="17" t="str">
        <f>IFERROR(__xludf.DUMMYFUNCTION("""COMPUTED_VALUE"""),"")</f>
        <v/>
      </c>
      <c r="O12100" s="17"/>
    </row>
    <row r="12101">
      <c r="B12101" s="17" t="s">
        <v>477</v>
      </c>
      <c r="K12101" s="18" t="s">
        <v>477</v>
      </c>
      <c r="N12101" s="17" t="str">
        <f>IFERROR(__xludf.DUMMYFUNCTION("""COMPUTED_VALUE"""),"")</f>
        <v/>
      </c>
      <c r="O12101" s="17"/>
    </row>
    <row r="12102">
      <c r="B12102" s="17" t="s">
        <v>477</v>
      </c>
      <c r="K12102" s="18" t="s">
        <v>477</v>
      </c>
      <c r="N12102" s="17" t="str">
        <f>IFERROR(__xludf.DUMMYFUNCTION("""COMPUTED_VALUE"""),"")</f>
        <v/>
      </c>
      <c r="O12102" s="17"/>
    </row>
    <row r="12103">
      <c r="B12103" s="17" t="s">
        <v>477</v>
      </c>
      <c r="K12103" s="18" t="s">
        <v>477</v>
      </c>
      <c r="N12103" s="17" t="str">
        <f>IFERROR(__xludf.DUMMYFUNCTION("""COMPUTED_VALUE"""),"")</f>
        <v/>
      </c>
      <c r="O12103" s="17"/>
    </row>
    <row r="12104">
      <c r="B12104" s="17" t="s">
        <v>477</v>
      </c>
      <c r="K12104" s="18" t="s">
        <v>477</v>
      </c>
      <c r="N12104" s="17" t="str">
        <f>IFERROR(__xludf.DUMMYFUNCTION("""COMPUTED_VALUE"""),"")</f>
        <v/>
      </c>
      <c r="O12104" s="17"/>
    </row>
    <row r="12105">
      <c r="B12105" s="17" t="s">
        <v>477</v>
      </c>
      <c r="K12105" s="18" t="s">
        <v>477</v>
      </c>
      <c r="N12105" s="17" t="str">
        <f>IFERROR(__xludf.DUMMYFUNCTION("""COMPUTED_VALUE"""),"")</f>
        <v/>
      </c>
      <c r="O12105" s="17"/>
    </row>
    <row r="12106">
      <c r="B12106" s="17" t="s">
        <v>477</v>
      </c>
      <c r="K12106" s="18" t="s">
        <v>477</v>
      </c>
      <c r="N12106" s="17" t="str">
        <f>IFERROR(__xludf.DUMMYFUNCTION("""COMPUTED_VALUE"""),"")</f>
        <v/>
      </c>
      <c r="O12106" s="17"/>
    </row>
    <row r="12107">
      <c r="B12107" s="17" t="s">
        <v>477</v>
      </c>
      <c r="K12107" s="18" t="s">
        <v>477</v>
      </c>
      <c r="N12107" s="17" t="str">
        <f>IFERROR(__xludf.DUMMYFUNCTION("""COMPUTED_VALUE"""),"")</f>
        <v/>
      </c>
      <c r="O12107" s="17"/>
    </row>
    <row r="12108">
      <c r="B12108" s="17" t="s">
        <v>477</v>
      </c>
      <c r="K12108" s="18" t="s">
        <v>477</v>
      </c>
      <c r="N12108" s="17" t="str">
        <f>IFERROR(__xludf.DUMMYFUNCTION("""COMPUTED_VALUE"""),"")</f>
        <v/>
      </c>
      <c r="O12108" s="17"/>
    </row>
    <row r="12109">
      <c r="B12109" s="17" t="s">
        <v>477</v>
      </c>
      <c r="K12109" s="18" t="s">
        <v>477</v>
      </c>
      <c r="N12109" s="17" t="str">
        <f>IFERROR(__xludf.DUMMYFUNCTION("""COMPUTED_VALUE"""),"")</f>
        <v/>
      </c>
      <c r="O12109" s="17"/>
    </row>
    <row r="12110">
      <c r="B12110" s="17" t="s">
        <v>477</v>
      </c>
      <c r="K12110" s="18" t="s">
        <v>477</v>
      </c>
      <c r="N12110" s="17" t="str">
        <f>IFERROR(__xludf.DUMMYFUNCTION("""COMPUTED_VALUE"""),"")</f>
        <v/>
      </c>
      <c r="O12110" s="17"/>
    </row>
    <row r="12111">
      <c r="B12111" s="17" t="s">
        <v>477</v>
      </c>
      <c r="K12111" s="18" t="s">
        <v>477</v>
      </c>
      <c r="N12111" s="17" t="str">
        <f>IFERROR(__xludf.DUMMYFUNCTION("""COMPUTED_VALUE"""),"")</f>
        <v/>
      </c>
      <c r="O12111" s="17"/>
    </row>
    <row r="12112">
      <c r="B12112" s="17" t="s">
        <v>477</v>
      </c>
      <c r="K12112" s="18" t="s">
        <v>477</v>
      </c>
      <c r="N12112" s="17" t="str">
        <f>IFERROR(__xludf.DUMMYFUNCTION("""COMPUTED_VALUE"""),"")</f>
        <v/>
      </c>
      <c r="O12112" s="17"/>
    </row>
    <row r="12113">
      <c r="B12113" s="17" t="s">
        <v>477</v>
      </c>
      <c r="K12113" s="18" t="s">
        <v>477</v>
      </c>
      <c r="N12113" s="17" t="str">
        <f>IFERROR(__xludf.DUMMYFUNCTION("""COMPUTED_VALUE"""),"")</f>
        <v/>
      </c>
      <c r="O12113" s="17"/>
    </row>
    <row r="12114">
      <c r="B12114" s="17" t="s">
        <v>477</v>
      </c>
      <c r="K12114" s="18" t="s">
        <v>477</v>
      </c>
      <c r="N12114" s="17" t="str">
        <f>IFERROR(__xludf.DUMMYFUNCTION("""COMPUTED_VALUE"""),"")</f>
        <v/>
      </c>
      <c r="O12114" s="17"/>
    </row>
    <row r="12115">
      <c r="B12115" s="17" t="s">
        <v>477</v>
      </c>
      <c r="K12115" s="18" t="s">
        <v>477</v>
      </c>
      <c r="N12115" s="17" t="str">
        <f>IFERROR(__xludf.DUMMYFUNCTION("""COMPUTED_VALUE"""),"")</f>
        <v/>
      </c>
      <c r="O12115" s="17"/>
    </row>
    <row r="12116">
      <c r="B12116" s="17" t="s">
        <v>477</v>
      </c>
      <c r="K12116" s="18" t="s">
        <v>477</v>
      </c>
      <c r="N12116" s="17" t="str">
        <f>IFERROR(__xludf.DUMMYFUNCTION("""COMPUTED_VALUE"""),"")</f>
        <v/>
      </c>
      <c r="O12116" s="17"/>
    </row>
    <row r="12117">
      <c r="B12117" s="17" t="s">
        <v>477</v>
      </c>
      <c r="K12117" s="18" t="s">
        <v>477</v>
      </c>
      <c r="N12117" s="17" t="str">
        <f>IFERROR(__xludf.DUMMYFUNCTION("""COMPUTED_VALUE"""),"")</f>
        <v/>
      </c>
      <c r="O12117" s="17"/>
    </row>
    <row r="12118">
      <c r="B12118" s="17" t="s">
        <v>477</v>
      </c>
      <c r="K12118" s="18" t="s">
        <v>477</v>
      </c>
      <c r="N12118" s="17" t="str">
        <f>IFERROR(__xludf.DUMMYFUNCTION("""COMPUTED_VALUE"""),"")</f>
        <v/>
      </c>
      <c r="O12118" s="17"/>
    </row>
    <row r="12119">
      <c r="B12119" s="17" t="s">
        <v>477</v>
      </c>
      <c r="K12119" s="18" t="s">
        <v>477</v>
      </c>
      <c r="N12119" s="17" t="str">
        <f>IFERROR(__xludf.DUMMYFUNCTION("""COMPUTED_VALUE"""),"")</f>
        <v/>
      </c>
      <c r="O12119" s="17"/>
    </row>
    <row r="12120">
      <c r="B12120" s="17" t="s">
        <v>477</v>
      </c>
      <c r="K12120" s="18" t="s">
        <v>477</v>
      </c>
      <c r="N12120" s="17" t="str">
        <f>IFERROR(__xludf.DUMMYFUNCTION("""COMPUTED_VALUE"""),"")</f>
        <v/>
      </c>
      <c r="O12120" s="17"/>
    </row>
    <row r="12121">
      <c r="B12121" s="17" t="s">
        <v>477</v>
      </c>
      <c r="K12121" s="18" t="s">
        <v>477</v>
      </c>
      <c r="N12121" s="17" t="str">
        <f>IFERROR(__xludf.DUMMYFUNCTION("""COMPUTED_VALUE"""),"")</f>
        <v/>
      </c>
      <c r="O12121" s="17"/>
    </row>
    <row r="12122">
      <c r="B12122" s="17" t="s">
        <v>477</v>
      </c>
      <c r="K12122" s="18" t="s">
        <v>477</v>
      </c>
      <c r="N12122" s="17" t="str">
        <f>IFERROR(__xludf.DUMMYFUNCTION("""COMPUTED_VALUE"""),"")</f>
        <v/>
      </c>
      <c r="O12122" s="17"/>
    </row>
    <row r="12123">
      <c r="B12123" s="17" t="s">
        <v>477</v>
      </c>
      <c r="K12123" s="18" t="s">
        <v>477</v>
      </c>
      <c r="N12123" s="17" t="str">
        <f>IFERROR(__xludf.DUMMYFUNCTION("""COMPUTED_VALUE"""),"")</f>
        <v/>
      </c>
      <c r="O12123" s="17"/>
    </row>
    <row r="12124">
      <c r="B12124" s="17" t="s">
        <v>477</v>
      </c>
      <c r="K12124" s="18" t="s">
        <v>477</v>
      </c>
      <c r="N12124" s="17" t="str">
        <f>IFERROR(__xludf.DUMMYFUNCTION("""COMPUTED_VALUE"""),"")</f>
        <v/>
      </c>
      <c r="O12124" s="17"/>
    </row>
    <row r="12125">
      <c r="B12125" s="17" t="s">
        <v>477</v>
      </c>
      <c r="K12125" s="18" t="s">
        <v>477</v>
      </c>
      <c r="N12125" s="17" t="str">
        <f>IFERROR(__xludf.DUMMYFUNCTION("""COMPUTED_VALUE"""),"")</f>
        <v/>
      </c>
      <c r="O12125" s="17"/>
    </row>
    <row r="12126">
      <c r="B12126" s="17" t="s">
        <v>477</v>
      </c>
      <c r="K12126" s="18" t="s">
        <v>477</v>
      </c>
      <c r="N12126" s="17" t="str">
        <f>IFERROR(__xludf.DUMMYFUNCTION("""COMPUTED_VALUE"""),"")</f>
        <v/>
      </c>
      <c r="O12126" s="17"/>
    </row>
    <row r="12127">
      <c r="B12127" s="17" t="s">
        <v>477</v>
      </c>
      <c r="K12127" s="18" t="s">
        <v>477</v>
      </c>
      <c r="N12127" s="17" t="str">
        <f>IFERROR(__xludf.DUMMYFUNCTION("""COMPUTED_VALUE"""),"")</f>
        <v/>
      </c>
      <c r="O12127" s="17"/>
    </row>
    <row r="12128">
      <c r="B12128" s="17" t="s">
        <v>477</v>
      </c>
      <c r="K12128" s="18" t="s">
        <v>477</v>
      </c>
      <c r="N12128" s="17" t="str">
        <f>IFERROR(__xludf.DUMMYFUNCTION("""COMPUTED_VALUE"""),"")</f>
        <v/>
      </c>
      <c r="O12128" s="17"/>
    </row>
    <row r="12129">
      <c r="B12129" s="17" t="s">
        <v>477</v>
      </c>
      <c r="K12129" s="18" t="s">
        <v>477</v>
      </c>
      <c r="N12129" s="17" t="str">
        <f>IFERROR(__xludf.DUMMYFUNCTION("""COMPUTED_VALUE"""),"")</f>
        <v/>
      </c>
      <c r="O12129" s="17"/>
    </row>
    <row r="12130">
      <c r="B12130" s="17" t="s">
        <v>477</v>
      </c>
      <c r="K12130" s="18" t="s">
        <v>477</v>
      </c>
      <c r="N12130" s="17" t="str">
        <f>IFERROR(__xludf.DUMMYFUNCTION("""COMPUTED_VALUE"""),"")</f>
        <v/>
      </c>
      <c r="O12130" s="17"/>
    </row>
    <row r="12131">
      <c r="B12131" s="17" t="s">
        <v>477</v>
      </c>
      <c r="K12131" s="18" t="s">
        <v>477</v>
      </c>
      <c r="N12131" s="17" t="str">
        <f>IFERROR(__xludf.DUMMYFUNCTION("""COMPUTED_VALUE"""),"")</f>
        <v/>
      </c>
      <c r="O12131" s="17"/>
    </row>
    <row r="12132">
      <c r="B12132" s="17" t="s">
        <v>477</v>
      </c>
      <c r="K12132" s="18" t="s">
        <v>477</v>
      </c>
      <c r="N12132" s="17" t="str">
        <f>IFERROR(__xludf.DUMMYFUNCTION("""COMPUTED_VALUE"""),"")</f>
        <v/>
      </c>
      <c r="O12132" s="17"/>
    </row>
    <row r="12133">
      <c r="B12133" s="17" t="s">
        <v>477</v>
      </c>
      <c r="K12133" s="18" t="s">
        <v>477</v>
      </c>
      <c r="N12133" s="17" t="str">
        <f>IFERROR(__xludf.DUMMYFUNCTION("""COMPUTED_VALUE"""),"")</f>
        <v/>
      </c>
      <c r="O12133" s="17"/>
    </row>
    <row r="12134">
      <c r="B12134" s="17" t="s">
        <v>477</v>
      </c>
      <c r="K12134" s="18" t="s">
        <v>477</v>
      </c>
      <c r="N12134" s="17" t="str">
        <f>IFERROR(__xludf.DUMMYFUNCTION("""COMPUTED_VALUE"""),"")</f>
        <v/>
      </c>
      <c r="O12134" s="17"/>
    </row>
    <row r="12135">
      <c r="B12135" s="17" t="s">
        <v>477</v>
      </c>
      <c r="K12135" s="18" t="s">
        <v>477</v>
      </c>
      <c r="N12135" s="17" t="str">
        <f>IFERROR(__xludf.DUMMYFUNCTION("""COMPUTED_VALUE"""),"")</f>
        <v/>
      </c>
      <c r="O12135" s="17"/>
    </row>
    <row r="12136">
      <c r="B12136" s="17" t="s">
        <v>477</v>
      </c>
      <c r="K12136" s="18" t="s">
        <v>477</v>
      </c>
      <c r="N12136" s="17" t="str">
        <f>IFERROR(__xludf.DUMMYFUNCTION("""COMPUTED_VALUE"""),"")</f>
        <v/>
      </c>
      <c r="O12136" s="17"/>
    </row>
    <row r="12137">
      <c r="B12137" s="17" t="s">
        <v>477</v>
      </c>
      <c r="K12137" s="18" t="s">
        <v>477</v>
      </c>
      <c r="N12137" s="17" t="str">
        <f>IFERROR(__xludf.DUMMYFUNCTION("""COMPUTED_VALUE"""),"")</f>
        <v/>
      </c>
      <c r="O12137" s="17"/>
    </row>
    <row r="12138">
      <c r="B12138" s="17" t="s">
        <v>477</v>
      </c>
      <c r="K12138" s="18" t="s">
        <v>477</v>
      </c>
      <c r="N12138" s="17" t="str">
        <f>IFERROR(__xludf.DUMMYFUNCTION("""COMPUTED_VALUE"""),"")</f>
        <v/>
      </c>
      <c r="O12138" s="17"/>
    </row>
    <row r="12139">
      <c r="B12139" s="17" t="s">
        <v>477</v>
      </c>
      <c r="K12139" s="18" t="s">
        <v>477</v>
      </c>
      <c r="N12139" s="17" t="str">
        <f>IFERROR(__xludf.DUMMYFUNCTION("""COMPUTED_VALUE"""),"")</f>
        <v/>
      </c>
      <c r="O12139" s="17"/>
    </row>
    <row r="12140">
      <c r="B12140" s="17" t="s">
        <v>477</v>
      </c>
      <c r="K12140" s="18" t="s">
        <v>477</v>
      </c>
      <c r="N12140" s="17" t="str">
        <f>IFERROR(__xludf.DUMMYFUNCTION("""COMPUTED_VALUE"""),"")</f>
        <v/>
      </c>
      <c r="O12140" s="17"/>
    </row>
    <row r="12141">
      <c r="B12141" s="17" t="s">
        <v>477</v>
      </c>
      <c r="K12141" s="18" t="s">
        <v>477</v>
      </c>
      <c r="N12141" s="17" t="str">
        <f>IFERROR(__xludf.DUMMYFUNCTION("""COMPUTED_VALUE"""),"")</f>
        <v/>
      </c>
      <c r="O12141" s="17"/>
    </row>
    <row r="12142">
      <c r="B12142" s="17" t="s">
        <v>477</v>
      </c>
      <c r="K12142" s="18" t="s">
        <v>477</v>
      </c>
      <c r="N12142" s="17" t="str">
        <f>IFERROR(__xludf.DUMMYFUNCTION("""COMPUTED_VALUE"""),"")</f>
        <v/>
      </c>
      <c r="O12142" s="17"/>
    </row>
    <row r="12143">
      <c r="B12143" s="17" t="s">
        <v>477</v>
      </c>
      <c r="K12143" s="18" t="s">
        <v>477</v>
      </c>
      <c r="N12143" s="17" t="str">
        <f>IFERROR(__xludf.DUMMYFUNCTION("""COMPUTED_VALUE"""),"")</f>
        <v/>
      </c>
      <c r="O12143" s="17"/>
    </row>
    <row r="12144">
      <c r="B12144" s="17" t="s">
        <v>477</v>
      </c>
      <c r="K12144" s="18" t="s">
        <v>477</v>
      </c>
      <c r="N12144" s="17" t="str">
        <f>IFERROR(__xludf.DUMMYFUNCTION("""COMPUTED_VALUE"""),"")</f>
        <v/>
      </c>
      <c r="O12144" s="17"/>
    </row>
    <row r="12145">
      <c r="B12145" s="17" t="s">
        <v>477</v>
      </c>
      <c r="K12145" s="18" t="s">
        <v>477</v>
      </c>
      <c r="N12145" s="17" t="str">
        <f>IFERROR(__xludf.DUMMYFUNCTION("""COMPUTED_VALUE"""),"")</f>
        <v/>
      </c>
      <c r="O12145" s="17"/>
    </row>
    <row r="12146">
      <c r="B12146" s="17" t="s">
        <v>477</v>
      </c>
      <c r="K12146" s="18" t="s">
        <v>477</v>
      </c>
      <c r="N12146" s="17" t="str">
        <f>IFERROR(__xludf.DUMMYFUNCTION("""COMPUTED_VALUE"""),"")</f>
        <v/>
      </c>
      <c r="O12146" s="17"/>
    </row>
    <row r="12147">
      <c r="B12147" s="17" t="s">
        <v>477</v>
      </c>
      <c r="K12147" s="18" t="s">
        <v>477</v>
      </c>
      <c r="N12147" s="17" t="str">
        <f>IFERROR(__xludf.DUMMYFUNCTION("""COMPUTED_VALUE"""),"")</f>
        <v/>
      </c>
      <c r="O12147" s="17"/>
    </row>
    <row r="12148">
      <c r="B12148" s="17" t="s">
        <v>477</v>
      </c>
      <c r="K12148" s="18" t="s">
        <v>477</v>
      </c>
      <c r="N12148" s="17" t="str">
        <f>IFERROR(__xludf.DUMMYFUNCTION("""COMPUTED_VALUE"""),"")</f>
        <v/>
      </c>
      <c r="O12148" s="17"/>
    </row>
    <row r="12149">
      <c r="B12149" s="17" t="s">
        <v>477</v>
      </c>
      <c r="K12149" s="18" t="s">
        <v>477</v>
      </c>
      <c r="N12149" s="17" t="str">
        <f>IFERROR(__xludf.DUMMYFUNCTION("""COMPUTED_VALUE"""),"")</f>
        <v/>
      </c>
      <c r="O12149" s="17"/>
    </row>
    <row r="12150">
      <c r="B12150" s="17" t="s">
        <v>477</v>
      </c>
      <c r="K12150" s="18" t="s">
        <v>477</v>
      </c>
      <c r="N12150" s="17" t="str">
        <f>IFERROR(__xludf.DUMMYFUNCTION("""COMPUTED_VALUE"""),"")</f>
        <v/>
      </c>
      <c r="O12150" s="17"/>
    </row>
    <row r="12151">
      <c r="B12151" s="17" t="s">
        <v>477</v>
      </c>
      <c r="K12151" s="18" t="s">
        <v>477</v>
      </c>
      <c r="N12151" s="17" t="str">
        <f>IFERROR(__xludf.DUMMYFUNCTION("""COMPUTED_VALUE"""),"")</f>
        <v/>
      </c>
      <c r="O12151" s="17"/>
    </row>
    <row r="12152">
      <c r="B12152" s="17" t="s">
        <v>477</v>
      </c>
      <c r="K12152" s="18" t="s">
        <v>477</v>
      </c>
      <c r="N12152" s="17" t="str">
        <f>IFERROR(__xludf.DUMMYFUNCTION("""COMPUTED_VALUE"""),"")</f>
        <v/>
      </c>
      <c r="O12152" s="17"/>
    </row>
    <row r="12153">
      <c r="B12153" s="17" t="s">
        <v>477</v>
      </c>
      <c r="K12153" s="18" t="s">
        <v>477</v>
      </c>
      <c r="N12153" s="17" t="str">
        <f>IFERROR(__xludf.DUMMYFUNCTION("""COMPUTED_VALUE"""),"")</f>
        <v/>
      </c>
      <c r="O12153" s="17"/>
    </row>
    <row r="12154">
      <c r="B12154" s="17" t="s">
        <v>477</v>
      </c>
      <c r="K12154" s="18" t="s">
        <v>477</v>
      </c>
      <c r="N12154" s="17" t="str">
        <f>IFERROR(__xludf.DUMMYFUNCTION("""COMPUTED_VALUE"""),"")</f>
        <v/>
      </c>
      <c r="O12154" s="17"/>
    </row>
    <row r="12155">
      <c r="B12155" s="17" t="s">
        <v>477</v>
      </c>
      <c r="K12155" s="18" t="s">
        <v>477</v>
      </c>
      <c r="N12155" s="17" t="str">
        <f>IFERROR(__xludf.DUMMYFUNCTION("""COMPUTED_VALUE"""),"")</f>
        <v/>
      </c>
      <c r="O12155" s="17"/>
    </row>
    <row r="12156">
      <c r="B12156" s="17" t="s">
        <v>477</v>
      </c>
      <c r="K12156" s="18" t="s">
        <v>477</v>
      </c>
      <c r="N12156" s="17" t="str">
        <f>IFERROR(__xludf.DUMMYFUNCTION("""COMPUTED_VALUE"""),"")</f>
        <v/>
      </c>
      <c r="O12156" s="17"/>
    </row>
    <row r="12157">
      <c r="B12157" s="17" t="s">
        <v>477</v>
      </c>
      <c r="K12157" s="18" t="s">
        <v>477</v>
      </c>
      <c r="N12157" s="17" t="str">
        <f>IFERROR(__xludf.DUMMYFUNCTION("""COMPUTED_VALUE"""),"")</f>
        <v/>
      </c>
      <c r="O12157" s="17"/>
    </row>
    <row r="12158">
      <c r="B12158" s="17" t="s">
        <v>477</v>
      </c>
      <c r="K12158" s="18" t="s">
        <v>477</v>
      </c>
      <c r="N12158" s="17" t="str">
        <f>IFERROR(__xludf.DUMMYFUNCTION("""COMPUTED_VALUE"""),"")</f>
        <v/>
      </c>
      <c r="O12158" s="17"/>
    </row>
    <row r="12159">
      <c r="B12159" s="17" t="s">
        <v>477</v>
      </c>
      <c r="K12159" s="18" t="s">
        <v>477</v>
      </c>
      <c r="N12159" s="17" t="str">
        <f>IFERROR(__xludf.DUMMYFUNCTION("""COMPUTED_VALUE"""),"")</f>
        <v/>
      </c>
      <c r="O12159" s="17"/>
    </row>
    <row r="12160">
      <c r="B12160" s="17" t="s">
        <v>477</v>
      </c>
      <c r="K12160" s="18" t="s">
        <v>477</v>
      </c>
      <c r="N12160" s="17" t="str">
        <f>IFERROR(__xludf.DUMMYFUNCTION("""COMPUTED_VALUE"""),"")</f>
        <v/>
      </c>
      <c r="O12160" s="17"/>
    </row>
    <row r="12161">
      <c r="B12161" s="17" t="s">
        <v>477</v>
      </c>
      <c r="K12161" s="18" t="s">
        <v>477</v>
      </c>
      <c r="N12161" s="17" t="str">
        <f>IFERROR(__xludf.DUMMYFUNCTION("""COMPUTED_VALUE"""),"")</f>
        <v/>
      </c>
      <c r="O12161" s="17"/>
    </row>
    <row r="12162">
      <c r="B12162" s="17" t="s">
        <v>477</v>
      </c>
      <c r="K12162" s="18" t="s">
        <v>477</v>
      </c>
      <c r="N12162" s="17" t="str">
        <f>IFERROR(__xludf.DUMMYFUNCTION("""COMPUTED_VALUE"""),"")</f>
        <v/>
      </c>
      <c r="O12162" s="17"/>
    </row>
    <row r="12163">
      <c r="B12163" s="17" t="s">
        <v>477</v>
      </c>
      <c r="K12163" s="18" t="s">
        <v>477</v>
      </c>
      <c r="N12163" s="17" t="str">
        <f>IFERROR(__xludf.DUMMYFUNCTION("""COMPUTED_VALUE"""),"")</f>
        <v/>
      </c>
      <c r="O12163" s="17"/>
    </row>
    <row r="12164">
      <c r="B12164" s="17" t="s">
        <v>477</v>
      </c>
      <c r="K12164" s="18" t="s">
        <v>477</v>
      </c>
      <c r="N12164" s="17" t="str">
        <f>IFERROR(__xludf.DUMMYFUNCTION("""COMPUTED_VALUE"""),"")</f>
        <v/>
      </c>
      <c r="O12164" s="17"/>
    </row>
    <row r="12165">
      <c r="B12165" s="17" t="s">
        <v>477</v>
      </c>
      <c r="K12165" s="18" t="s">
        <v>477</v>
      </c>
      <c r="N12165" s="17" t="str">
        <f>IFERROR(__xludf.DUMMYFUNCTION("""COMPUTED_VALUE"""),"")</f>
        <v/>
      </c>
      <c r="O12165" s="17"/>
    </row>
    <row r="12166">
      <c r="B12166" s="17" t="s">
        <v>477</v>
      </c>
      <c r="K12166" s="18" t="s">
        <v>477</v>
      </c>
      <c r="N12166" s="17" t="str">
        <f>IFERROR(__xludf.DUMMYFUNCTION("""COMPUTED_VALUE"""),"")</f>
        <v/>
      </c>
      <c r="O12166" s="17"/>
    </row>
    <row r="12167">
      <c r="B12167" s="17" t="s">
        <v>477</v>
      </c>
      <c r="K12167" s="18" t="s">
        <v>477</v>
      </c>
      <c r="N12167" s="17" t="str">
        <f>IFERROR(__xludf.DUMMYFUNCTION("""COMPUTED_VALUE"""),"")</f>
        <v/>
      </c>
      <c r="O12167" s="17"/>
    </row>
    <row r="12168">
      <c r="B12168" s="17" t="s">
        <v>477</v>
      </c>
      <c r="K12168" s="18" t="s">
        <v>477</v>
      </c>
      <c r="N12168" s="17" t="str">
        <f>IFERROR(__xludf.DUMMYFUNCTION("""COMPUTED_VALUE"""),"")</f>
        <v/>
      </c>
      <c r="O12168" s="17"/>
    </row>
    <row r="12169">
      <c r="B12169" s="17" t="s">
        <v>477</v>
      </c>
      <c r="K12169" s="18" t="s">
        <v>477</v>
      </c>
      <c r="N12169" s="17" t="str">
        <f>IFERROR(__xludf.DUMMYFUNCTION("""COMPUTED_VALUE"""),"")</f>
        <v/>
      </c>
      <c r="O12169" s="17"/>
    </row>
    <row r="12170">
      <c r="B12170" s="17" t="s">
        <v>477</v>
      </c>
      <c r="K12170" s="18" t="s">
        <v>477</v>
      </c>
      <c r="N12170" s="17" t="str">
        <f>IFERROR(__xludf.DUMMYFUNCTION("""COMPUTED_VALUE"""),"")</f>
        <v/>
      </c>
      <c r="O12170" s="17"/>
    </row>
    <row r="12171">
      <c r="B12171" s="17" t="s">
        <v>477</v>
      </c>
      <c r="K12171" s="18" t="s">
        <v>477</v>
      </c>
      <c r="N12171" s="17" t="str">
        <f>IFERROR(__xludf.DUMMYFUNCTION("""COMPUTED_VALUE"""),"")</f>
        <v/>
      </c>
      <c r="O12171" s="17"/>
    </row>
    <row r="12172">
      <c r="B12172" s="17" t="s">
        <v>477</v>
      </c>
      <c r="K12172" s="18" t="s">
        <v>477</v>
      </c>
      <c r="N12172" s="17" t="str">
        <f>IFERROR(__xludf.DUMMYFUNCTION("""COMPUTED_VALUE"""),"")</f>
        <v/>
      </c>
      <c r="O12172" s="17"/>
    </row>
    <row r="12173">
      <c r="B12173" s="17" t="s">
        <v>477</v>
      </c>
      <c r="K12173" s="18" t="s">
        <v>477</v>
      </c>
      <c r="N12173" s="17" t="str">
        <f>IFERROR(__xludf.DUMMYFUNCTION("""COMPUTED_VALUE"""),"")</f>
        <v/>
      </c>
      <c r="O12173" s="17"/>
    </row>
    <row r="12174">
      <c r="B12174" s="17" t="s">
        <v>477</v>
      </c>
      <c r="K12174" s="18" t="s">
        <v>477</v>
      </c>
      <c r="N12174" s="17" t="str">
        <f>IFERROR(__xludf.DUMMYFUNCTION("""COMPUTED_VALUE"""),"")</f>
        <v/>
      </c>
      <c r="O12174" s="17"/>
    </row>
    <row r="12175">
      <c r="B12175" s="17" t="s">
        <v>477</v>
      </c>
      <c r="K12175" s="18" t="s">
        <v>477</v>
      </c>
      <c r="N12175" s="17" t="str">
        <f>IFERROR(__xludf.DUMMYFUNCTION("""COMPUTED_VALUE"""),"")</f>
        <v/>
      </c>
      <c r="O12175" s="17"/>
    </row>
    <row r="12176">
      <c r="B12176" s="17" t="s">
        <v>477</v>
      </c>
      <c r="K12176" s="18" t="s">
        <v>477</v>
      </c>
      <c r="N12176" s="17" t="str">
        <f>IFERROR(__xludf.DUMMYFUNCTION("""COMPUTED_VALUE"""),"")</f>
        <v/>
      </c>
      <c r="O12176" s="17"/>
    </row>
    <row r="12177">
      <c r="B12177" s="17" t="s">
        <v>477</v>
      </c>
      <c r="K12177" s="18" t="s">
        <v>477</v>
      </c>
      <c r="N12177" s="17" t="str">
        <f>IFERROR(__xludf.DUMMYFUNCTION("""COMPUTED_VALUE"""),"")</f>
        <v/>
      </c>
      <c r="O12177" s="17"/>
    </row>
    <row r="12178">
      <c r="B12178" s="17" t="s">
        <v>477</v>
      </c>
      <c r="K12178" s="18" t="s">
        <v>477</v>
      </c>
      <c r="N12178" s="17" t="str">
        <f>IFERROR(__xludf.DUMMYFUNCTION("""COMPUTED_VALUE"""),"")</f>
        <v/>
      </c>
      <c r="O12178" s="17"/>
    </row>
    <row r="12179">
      <c r="B12179" s="17" t="s">
        <v>477</v>
      </c>
      <c r="K12179" s="18" t="s">
        <v>477</v>
      </c>
      <c r="N12179" s="17" t="str">
        <f>IFERROR(__xludf.DUMMYFUNCTION("""COMPUTED_VALUE"""),"")</f>
        <v/>
      </c>
      <c r="O12179" s="17"/>
    </row>
    <row r="12180">
      <c r="B12180" s="17" t="s">
        <v>477</v>
      </c>
      <c r="K12180" s="18" t="s">
        <v>477</v>
      </c>
      <c r="N12180" s="17" t="str">
        <f>IFERROR(__xludf.DUMMYFUNCTION("""COMPUTED_VALUE"""),"")</f>
        <v/>
      </c>
      <c r="O12180" s="17"/>
    </row>
    <row r="12181">
      <c r="B12181" s="17" t="s">
        <v>477</v>
      </c>
      <c r="K12181" s="18" t="s">
        <v>477</v>
      </c>
      <c r="N12181" s="17" t="str">
        <f>IFERROR(__xludf.DUMMYFUNCTION("""COMPUTED_VALUE"""),"")</f>
        <v/>
      </c>
      <c r="O12181" s="17"/>
    </row>
    <row r="12182">
      <c r="B12182" s="17" t="s">
        <v>477</v>
      </c>
      <c r="K12182" s="18" t="s">
        <v>477</v>
      </c>
      <c r="N12182" s="17" t="str">
        <f>IFERROR(__xludf.DUMMYFUNCTION("""COMPUTED_VALUE"""),"")</f>
        <v/>
      </c>
      <c r="O12182" s="17"/>
    </row>
    <row r="12183">
      <c r="B12183" s="17" t="s">
        <v>477</v>
      </c>
      <c r="K12183" s="18" t="s">
        <v>477</v>
      </c>
      <c r="N12183" s="17" t="str">
        <f>IFERROR(__xludf.DUMMYFUNCTION("""COMPUTED_VALUE"""),"")</f>
        <v/>
      </c>
      <c r="O12183" s="17"/>
    </row>
    <row r="12184">
      <c r="B12184" s="17" t="s">
        <v>477</v>
      </c>
      <c r="K12184" s="18" t="s">
        <v>477</v>
      </c>
      <c r="N12184" s="17" t="str">
        <f>IFERROR(__xludf.DUMMYFUNCTION("""COMPUTED_VALUE"""),"")</f>
        <v/>
      </c>
      <c r="O12184" s="17"/>
    </row>
    <row r="12185">
      <c r="B12185" s="17" t="s">
        <v>477</v>
      </c>
      <c r="K12185" s="18" t="s">
        <v>477</v>
      </c>
      <c r="N12185" s="17" t="str">
        <f>IFERROR(__xludf.DUMMYFUNCTION("""COMPUTED_VALUE"""),"")</f>
        <v/>
      </c>
      <c r="O12185" s="17"/>
    </row>
    <row r="12186">
      <c r="B12186" s="17" t="s">
        <v>477</v>
      </c>
      <c r="K12186" s="18" t="s">
        <v>477</v>
      </c>
      <c r="N12186" s="17" t="str">
        <f>IFERROR(__xludf.DUMMYFUNCTION("""COMPUTED_VALUE"""),"")</f>
        <v/>
      </c>
      <c r="O12186" s="17"/>
    </row>
    <row r="12187">
      <c r="B12187" s="17" t="s">
        <v>477</v>
      </c>
      <c r="K12187" s="18" t="s">
        <v>477</v>
      </c>
      <c r="N12187" s="17" t="str">
        <f>IFERROR(__xludf.DUMMYFUNCTION("""COMPUTED_VALUE"""),"")</f>
        <v/>
      </c>
      <c r="O12187" s="17"/>
    </row>
    <row r="12188">
      <c r="B12188" s="17" t="s">
        <v>477</v>
      </c>
      <c r="K12188" s="18" t="s">
        <v>477</v>
      </c>
      <c r="N12188" s="17" t="str">
        <f>IFERROR(__xludf.DUMMYFUNCTION("""COMPUTED_VALUE"""),"")</f>
        <v/>
      </c>
      <c r="O12188" s="17"/>
    </row>
    <row r="12189">
      <c r="B12189" s="17" t="s">
        <v>477</v>
      </c>
      <c r="K12189" s="18" t="s">
        <v>477</v>
      </c>
      <c r="N12189" s="17" t="str">
        <f>IFERROR(__xludf.DUMMYFUNCTION("""COMPUTED_VALUE"""),"")</f>
        <v/>
      </c>
      <c r="O12189" s="17"/>
    </row>
    <row r="12190">
      <c r="B12190" s="17" t="s">
        <v>477</v>
      </c>
      <c r="K12190" s="18" t="s">
        <v>477</v>
      </c>
      <c r="N12190" s="17" t="str">
        <f>IFERROR(__xludf.DUMMYFUNCTION("""COMPUTED_VALUE"""),"")</f>
        <v/>
      </c>
      <c r="O12190" s="17"/>
    </row>
    <row r="12191">
      <c r="B12191" s="17" t="s">
        <v>477</v>
      </c>
      <c r="K12191" s="18" t="s">
        <v>477</v>
      </c>
      <c r="N12191" s="17" t="str">
        <f>IFERROR(__xludf.DUMMYFUNCTION("""COMPUTED_VALUE"""),"")</f>
        <v/>
      </c>
      <c r="O12191" s="17"/>
    </row>
    <row r="12192">
      <c r="B12192" s="17" t="s">
        <v>477</v>
      </c>
      <c r="K12192" s="18" t="s">
        <v>477</v>
      </c>
      <c r="N12192" s="17" t="str">
        <f>IFERROR(__xludf.DUMMYFUNCTION("""COMPUTED_VALUE"""),"")</f>
        <v/>
      </c>
      <c r="O12192" s="17"/>
    </row>
    <row r="12193">
      <c r="B12193" s="17" t="s">
        <v>477</v>
      </c>
      <c r="K12193" s="18" t="s">
        <v>477</v>
      </c>
      <c r="N12193" s="17" t="str">
        <f>IFERROR(__xludf.DUMMYFUNCTION("""COMPUTED_VALUE"""),"")</f>
        <v/>
      </c>
      <c r="O12193" s="17"/>
    </row>
    <row r="12194">
      <c r="B12194" s="17" t="s">
        <v>477</v>
      </c>
      <c r="K12194" s="18" t="s">
        <v>477</v>
      </c>
      <c r="N12194" s="17" t="str">
        <f>IFERROR(__xludf.DUMMYFUNCTION("""COMPUTED_VALUE"""),"")</f>
        <v/>
      </c>
      <c r="O12194" s="17"/>
    </row>
    <row r="12195">
      <c r="B12195" s="17" t="s">
        <v>477</v>
      </c>
      <c r="K12195" s="18" t="s">
        <v>477</v>
      </c>
      <c r="N12195" s="17" t="str">
        <f>IFERROR(__xludf.DUMMYFUNCTION("""COMPUTED_VALUE"""),"")</f>
        <v/>
      </c>
      <c r="O12195" s="17"/>
    </row>
    <row r="12196">
      <c r="B12196" s="17" t="s">
        <v>477</v>
      </c>
      <c r="K12196" s="18" t="s">
        <v>477</v>
      </c>
      <c r="N12196" s="17" t="str">
        <f>IFERROR(__xludf.DUMMYFUNCTION("""COMPUTED_VALUE"""),"")</f>
        <v/>
      </c>
      <c r="O12196" s="17"/>
    </row>
    <row r="12197">
      <c r="B12197" s="17" t="s">
        <v>477</v>
      </c>
      <c r="K12197" s="18" t="s">
        <v>477</v>
      </c>
      <c r="N12197" s="17" t="str">
        <f>IFERROR(__xludf.DUMMYFUNCTION("""COMPUTED_VALUE"""),"")</f>
        <v/>
      </c>
      <c r="O12197" s="17"/>
    </row>
    <row r="12198">
      <c r="B12198" s="17" t="s">
        <v>477</v>
      </c>
      <c r="K12198" s="18" t="s">
        <v>477</v>
      </c>
      <c r="N12198" s="17" t="str">
        <f>IFERROR(__xludf.DUMMYFUNCTION("""COMPUTED_VALUE"""),"")</f>
        <v/>
      </c>
      <c r="O12198" s="17"/>
    </row>
    <row r="12199">
      <c r="B12199" s="17" t="s">
        <v>477</v>
      </c>
      <c r="K12199" s="18" t="s">
        <v>477</v>
      </c>
      <c r="N12199" s="17" t="str">
        <f>IFERROR(__xludf.DUMMYFUNCTION("""COMPUTED_VALUE"""),"")</f>
        <v/>
      </c>
      <c r="O12199" s="17"/>
    </row>
    <row r="12200">
      <c r="B12200" s="17" t="s">
        <v>477</v>
      </c>
      <c r="K12200" s="18" t="s">
        <v>477</v>
      </c>
      <c r="N12200" s="17" t="str">
        <f>IFERROR(__xludf.DUMMYFUNCTION("""COMPUTED_VALUE"""),"")</f>
        <v/>
      </c>
      <c r="O12200" s="17"/>
    </row>
    <row r="12201">
      <c r="B12201" s="17" t="s">
        <v>477</v>
      </c>
      <c r="K12201" s="18" t="s">
        <v>477</v>
      </c>
      <c r="N12201" s="17" t="str">
        <f>IFERROR(__xludf.DUMMYFUNCTION("""COMPUTED_VALUE"""),"")</f>
        <v/>
      </c>
      <c r="O12201" s="17"/>
    </row>
    <row r="12202">
      <c r="B12202" s="17" t="s">
        <v>477</v>
      </c>
      <c r="K12202" s="18" t="s">
        <v>477</v>
      </c>
      <c r="N12202" s="17" t="str">
        <f>IFERROR(__xludf.DUMMYFUNCTION("""COMPUTED_VALUE"""),"")</f>
        <v/>
      </c>
      <c r="O12202" s="17"/>
    </row>
    <row r="12203">
      <c r="B12203" s="17" t="s">
        <v>477</v>
      </c>
      <c r="K12203" s="18" t="s">
        <v>477</v>
      </c>
      <c r="N12203" s="17" t="str">
        <f>IFERROR(__xludf.DUMMYFUNCTION("""COMPUTED_VALUE"""),"")</f>
        <v/>
      </c>
      <c r="O12203" s="17"/>
    </row>
    <row r="12204">
      <c r="B12204" s="17" t="s">
        <v>477</v>
      </c>
      <c r="K12204" s="18" t="s">
        <v>477</v>
      </c>
      <c r="N12204" s="17" t="str">
        <f>IFERROR(__xludf.DUMMYFUNCTION("""COMPUTED_VALUE"""),"")</f>
        <v/>
      </c>
      <c r="O12204" s="17"/>
    </row>
    <row r="12205">
      <c r="B12205" s="17" t="s">
        <v>477</v>
      </c>
      <c r="K12205" s="18" t="s">
        <v>477</v>
      </c>
      <c r="N12205" s="17" t="str">
        <f>IFERROR(__xludf.DUMMYFUNCTION("""COMPUTED_VALUE"""),"")</f>
        <v/>
      </c>
      <c r="O12205" s="17"/>
    </row>
    <row r="12206">
      <c r="B12206" s="17" t="s">
        <v>477</v>
      </c>
      <c r="K12206" s="18" t="s">
        <v>477</v>
      </c>
      <c r="N12206" s="17" t="str">
        <f>IFERROR(__xludf.DUMMYFUNCTION("""COMPUTED_VALUE"""),"")</f>
        <v/>
      </c>
      <c r="O12206" s="17"/>
    </row>
    <row r="12207">
      <c r="B12207" s="17" t="s">
        <v>477</v>
      </c>
      <c r="K12207" s="18" t="s">
        <v>477</v>
      </c>
      <c r="N12207" s="17" t="str">
        <f>IFERROR(__xludf.DUMMYFUNCTION("""COMPUTED_VALUE"""),"")</f>
        <v/>
      </c>
      <c r="O12207" s="17"/>
    </row>
    <row r="12208">
      <c r="B12208" s="17" t="s">
        <v>477</v>
      </c>
      <c r="K12208" s="18" t="s">
        <v>477</v>
      </c>
      <c r="N12208" s="17" t="str">
        <f>IFERROR(__xludf.DUMMYFUNCTION("""COMPUTED_VALUE"""),"")</f>
        <v/>
      </c>
      <c r="O12208" s="17"/>
    </row>
    <row r="12209">
      <c r="B12209" s="17" t="s">
        <v>477</v>
      </c>
      <c r="K12209" s="18" t="s">
        <v>477</v>
      </c>
      <c r="N12209" s="17" t="str">
        <f>IFERROR(__xludf.DUMMYFUNCTION("""COMPUTED_VALUE"""),"")</f>
        <v/>
      </c>
      <c r="O12209" s="17"/>
    </row>
    <row r="12210">
      <c r="B12210" s="17" t="s">
        <v>477</v>
      </c>
      <c r="K12210" s="18" t="s">
        <v>477</v>
      </c>
      <c r="N12210" s="17" t="str">
        <f>IFERROR(__xludf.DUMMYFUNCTION("""COMPUTED_VALUE"""),"")</f>
        <v/>
      </c>
      <c r="O12210" s="17"/>
    </row>
    <row r="12211">
      <c r="B12211" s="17" t="s">
        <v>477</v>
      </c>
      <c r="K12211" s="18" t="s">
        <v>477</v>
      </c>
      <c r="N12211" s="17" t="str">
        <f>IFERROR(__xludf.DUMMYFUNCTION("""COMPUTED_VALUE"""),"")</f>
        <v/>
      </c>
      <c r="O12211" s="17"/>
    </row>
    <row r="12212">
      <c r="B12212" s="17" t="s">
        <v>477</v>
      </c>
      <c r="K12212" s="18" t="s">
        <v>477</v>
      </c>
      <c r="N12212" s="17" t="str">
        <f>IFERROR(__xludf.DUMMYFUNCTION("""COMPUTED_VALUE"""),"")</f>
        <v/>
      </c>
      <c r="O12212" s="17"/>
    </row>
    <row r="12213">
      <c r="B12213" s="17" t="s">
        <v>477</v>
      </c>
      <c r="K12213" s="18" t="s">
        <v>477</v>
      </c>
      <c r="N12213" s="17" t="str">
        <f>IFERROR(__xludf.DUMMYFUNCTION("""COMPUTED_VALUE"""),"")</f>
        <v/>
      </c>
      <c r="O12213" s="17"/>
    </row>
    <row r="12214">
      <c r="B12214" s="17" t="s">
        <v>477</v>
      </c>
      <c r="K12214" s="18" t="s">
        <v>477</v>
      </c>
      <c r="N12214" s="17" t="str">
        <f>IFERROR(__xludf.DUMMYFUNCTION("""COMPUTED_VALUE"""),"")</f>
        <v/>
      </c>
      <c r="O12214" s="17"/>
    </row>
    <row r="12215">
      <c r="B12215" s="17" t="s">
        <v>477</v>
      </c>
      <c r="K12215" s="18" t="s">
        <v>477</v>
      </c>
      <c r="N12215" s="17" t="str">
        <f>IFERROR(__xludf.DUMMYFUNCTION("""COMPUTED_VALUE"""),"")</f>
        <v/>
      </c>
      <c r="O12215" s="17"/>
    </row>
    <row r="12216">
      <c r="B12216" s="17" t="s">
        <v>477</v>
      </c>
      <c r="K12216" s="18" t="s">
        <v>477</v>
      </c>
      <c r="N12216" s="17" t="str">
        <f>IFERROR(__xludf.DUMMYFUNCTION("""COMPUTED_VALUE"""),"")</f>
        <v/>
      </c>
      <c r="O12216" s="17"/>
    </row>
    <row r="12217">
      <c r="B12217" s="17" t="s">
        <v>477</v>
      </c>
      <c r="K12217" s="18" t="s">
        <v>477</v>
      </c>
      <c r="N12217" s="17" t="str">
        <f>IFERROR(__xludf.DUMMYFUNCTION("""COMPUTED_VALUE"""),"")</f>
        <v/>
      </c>
      <c r="O12217" s="17"/>
    </row>
    <row r="12218">
      <c r="B12218" s="17" t="s">
        <v>477</v>
      </c>
      <c r="K12218" s="18" t="s">
        <v>477</v>
      </c>
      <c r="N12218" s="17" t="str">
        <f>IFERROR(__xludf.DUMMYFUNCTION("""COMPUTED_VALUE"""),"")</f>
        <v/>
      </c>
      <c r="O12218" s="17"/>
    </row>
    <row r="12219">
      <c r="B12219" s="17" t="s">
        <v>477</v>
      </c>
      <c r="K12219" s="18" t="s">
        <v>477</v>
      </c>
      <c r="N12219" s="17" t="str">
        <f>IFERROR(__xludf.DUMMYFUNCTION("""COMPUTED_VALUE"""),"")</f>
        <v/>
      </c>
      <c r="O12219" s="17"/>
    </row>
    <row r="12220">
      <c r="B12220" s="17" t="s">
        <v>477</v>
      </c>
      <c r="K12220" s="18" t="s">
        <v>477</v>
      </c>
      <c r="N12220" s="17" t="str">
        <f>IFERROR(__xludf.DUMMYFUNCTION("""COMPUTED_VALUE"""),"")</f>
        <v/>
      </c>
      <c r="O12220" s="17"/>
    </row>
    <row r="12221">
      <c r="B12221" s="17" t="s">
        <v>477</v>
      </c>
      <c r="K12221" s="18" t="s">
        <v>477</v>
      </c>
      <c r="N12221" s="17" t="str">
        <f>IFERROR(__xludf.DUMMYFUNCTION("""COMPUTED_VALUE"""),"")</f>
        <v/>
      </c>
      <c r="O12221" s="17"/>
    </row>
    <row r="12222">
      <c r="B12222" s="17" t="s">
        <v>477</v>
      </c>
      <c r="K12222" s="18" t="s">
        <v>477</v>
      </c>
      <c r="N12222" s="17" t="str">
        <f>IFERROR(__xludf.DUMMYFUNCTION("""COMPUTED_VALUE"""),"")</f>
        <v/>
      </c>
      <c r="O12222" s="17"/>
    </row>
    <row r="12223">
      <c r="B12223" s="17" t="s">
        <v>477</v>
      </c>
      <c r="K12223" s="18" t="s">
        <v>477</v>
      </c>
      <c r="N12223" s="17" t="str">
        <f>IFERROR(__xludf.DUMMYFUNCTION("""COMPUTED_VALUE"""),"")</f>
        <v/>
      </c>
      <c r="O12223" s="17"/>
    </row>
    <row r="12224">
      <c r="B12224" s="17" t="s">
        <v>477</v>
      </c>
      <c r="K12224" s="18" t="s">
        <v>477</v>
      </c>
      <c r="N12224" s="17" t="str">
        <f>IFERROR(__xludf.DUMMYFUNCTION("""COMPUTED_VALUE"""),"")</f>
        <v/>
      </c>
      <c r="O12224" s="17"/>
    </row>
    <row r="12225">
      <c r="B12225" s="17" t="s">
        <v>477</v>
      </c>
      <c r="K12225" s="18" t="s">
        <v>477</v>
      </c>
      <c r="N12225" s="17" t="str">
        <f>IFERROR(__xludf.DUMMYFUNCTION("""COMPUTED_VALUE"""),"")</f>
        <v/>
      </c>
      <c r="O12225" s="17"/>
    </row>
    <row r="12226">
      <c r="B12226" s="17" t="s">
        <v>477</v>
      </c>
      <c r="K12226" s="18" t="s">
        <v>477</v>
      </c>
      <c r="N12226" s="17" t="str">
        <f>IFERROR(__xludf.DUMMYFUNCTION("""COMPUTED_VALUE"""),"")</f>
        <v/>
      </c>
      <c r="O12226" s="17"/>
    </row>
    <row r="12227">
      <c r="B12227" s="17" t="s">
        <v>477</v>
      </c>
      <c r="K12227" s="18" t="s">
        <v>477</v>
      </c>
      <c r="N12227" s="17" t="str">
        <f>IFERROR(__xludf.DUMMYFUNCTION("""COMPUTED_VALUE"""),"")</f>
        <v/>
      </c>
      <c r="O12227" s="17"/>
    </row>
    <row r="12228">
      <c r="B12228" s="17" t="s">
        <v>477</v>
      </c>
      <c r="K12228" s="18" t="s">
        <v>477</v>
      </c>
      <c r="N12228" s="17" t="str">
        <f>IFERROR(__xludf.DUMMYFUNCTION("""COMPUTED_VALUE"""),"")</f>
        <v/>
      </c>
      <c r="O12228" s="17"/>
    </row>
    <row r="12229">
      <c r="B12229" s="17" t="s">
        <v>477</v>
      </c>
      <c r="K12229" s="18" t="s">
        <v>477</v>
      </c>
      <c r="N12229" s="17" t="str">
        <f>IFERROR(__xludf.DUMMYFUNCTION("""COMPUTED_VALUE"""),"")</f>
        <v/>
      </c>
      <c r="O12229" s="17"/>
    </row>
    <row r="12230">
      <c r="B12230" s="17" t="s">
        <v>477</v>
      </c>
      <c r="K12230" s="18" t="s">
        <v>477</v>
      </c>
      <c r="N12230" s="17" t="str">
        <f>IFERROR(__xludf.DUMMYFUNCTION("""COMPUTED_VALUE"""),"")</f>
        <v/>
      </c>
      <c r="O12230" s="17"/>
    </row>
    <row r="12231">
      <c r="B12231" s="17" t="s">
        <v>477</v>
      </c>
      <c r="K12231" s="18" t="s">
        <v>477</v>
      </c>
      <c r="N12231" s="17" t="str">
        <f>IFERROR(__xludf.DUMMYFUNCTION("""COMPUTED_VALUE"""),"")</f>
        <v/>
      </c>
      <c r="O12231" s="17"/>
    </row>
    <row r="12232">
      <c r="B12232" s="17" t="s">
        <v>477</v>
      </c>
      <c r="K12232" s="18" t="s">
        <v>477</v>
      </c>
      <c r="N12232" s="17" t="str">
        <f>IFERROR(__xludf.DUMMYFUNCTION("""COMPUTED_VALUE"""),"")</f>
        <v/>
      </c>
      <c r="O12232" s="17"/>
    </row>
    <row r="12233">
      <c r="B12233" s="17" t="s">
        <v>477</v>
      </c>
      <c r="K12233" s="18" t="s">
        <v>477</v>
      </c>
      <c r="N12233" s="17" t="str">
        <f>IFERROR(__xludf.DUMMYFUNCTION("""COMPUTED_VALUE"""),"")</f>
        <v/>
      </c>
      <c r="O12233" s="17"/>
    </row>
    <row r="12234">
      <c r="B12234" s="17" t="s">
        <v>477</v>
      </c>
      <c r="K12234" s="18" t="s">
        <v>477</v>
      </c>
      <c r="N12234" s="17" t="str">
        <f>IFERROR(__xludf.DUMMYFUNCTION("""COMPUTED_VALUE"""),"")</f>
        <v/>
      </c>
      <c r="O12234" s="17"/>
    </row>
    <row r="12235">
      <c r="B12235" s="17" t="s">
        <v>477</v>
      </c>
      <c r="K12235" s="18" t="s">
        <v>477</v>
      </c>
      <c r="N12235" s="17" t="str">
        <f>IFERROR(__xludf.DUMMYFUNCTION("""COMPUTED_VALUE"""),"")</f>
        <v/>
      </c>
      <c r="O12235" s="17"/>
    </row>
    <row r="12236">
      <c r="B12236" s="17" t="s">
        <v>477</v>
      </c>
      <c r="K12236" s="18" t="s">
        <v>477</v>
      </c>
      <c r="N12236" s="17" t="str">
        <f>IFERROR(__xludf.DUMMYFUNCTION("""COMPUTED_VALUE"""),"")</f>
        <v/>
      </c>
      <c r="O12236" s="17"/>
    </row>
    <row r="12237">
      <c r="B12237" s="17" t="s">
        <v>477</v>
      </c>
      <c r="K12237" s="18" t="s">
        <v>477</v>
      </c>
      <c r="N12237" s="17" t="str">
        <f>IFERROR(__xludf.DUMMYFUNCTION("""COMPUTED_VALUE"""),"")</f>
        <v/>
      </c>
      <c r="O12237" s="17"/>
    </row>
    <row r="12238">
      <c r="B12238" s="17" t="s">
        <v>477</v>
      </c>
      <c r="K12238" s="18" t="s">
        <v>477</v>
      </c>
      <c r="N12238" s="17" t="str">
        <f>IFERROR(__xludf.DUMMYFUNCTION("""COMPUTED_VALUE"""),"")</f>
        <v/>
      </c>
      <c r="O12238" s="17"/>
    </row>
    <row r="12239">
      <c r="B12239" s="17" t="s">
        <v>477</v>
      </c>
      <c r="K12239" s="18" t="s">
        <v>477</v>
      </c>
      <c r="N12239" s="17" t="str">
        <f>IFERROR(__xludf.DUMMYFUNCTION("""COMPUTED_VALUE"""),"")</f>
        <v/>
      </c>
      <c r="O12239" s="17"/>
    </row>
    <row r="12240">
      <c r="B12240" s="17" t="s">
        <v>477</v>
      </c>
      <c r="K12240" s="18" t="s">
        <v>477</v>
      </c>
      <c r="N12240" s="17" t="str">
        <f>IFERROR(__xludf.DUMMYFUNCTION("""COMPUTED_VALUE"""),"")</f>
        <v/>
      </c>
      <c r="O12240" s="17"/>
    </row>
    <row r="12241">
      <c r="B12241" s="17" t="s">
        <v>477</v>
      </c>
      <c r="K12241" s="18" t="s">
        <v>477</v>
      </c>
      <c r="N12241" s="17" t="str">
        <f>IFERROR(__xludf.DUMMYFUNCTION("""COMPUTED_VALUE"""),"")</f>
        <v/>
      </c>
      <c r="O12241" s="17"/>
    </row>
    <row r="12242">
      <c r="B12242" s="17" t="s">
        <v>477</v>
      </c>
      <c r="K12242" s="18" t="s">
        <v>477</v>
      </c>
      <c r="N12242" s="17" t="str">
        <f>IFERROR(__xludf.DUMMYFUNCTION("""COMPUTED_VALUE"""),"")</f>
        <v/>
      </c>
      <c r="O12242" s="17"/>
    </row>
    <row r="12243">
      <c r="B12243" s="17" t="s">
        <v>477</v>
      </c>
      <c r="K12243" s="18" t="s">
        <v>477</v>
      </c>
      <c r="N12243" s="17" t="str">
        <f>IFERROR(__xludf.DUMMYFUNCTION("""COMPUTED_VALUE"""),"")</f>
        <v/>
      </c>
      <c r="O12243" s="17"/>
    </row>
    <row r="12244">
      <c r="B12244" s="17" t="s">
        <v>477</v>
      </c>
      <c r="K12244" s="18" t="s">
        <v>477</v>
      </c>
      <c r="N12244" s="17" t="str">
        <f>IFERROR(__xludf.DUMMYFUNCTION("""COMPUTED_VALUE"""),"")</f>
        <v/>
      </c>
      <c r="O12244" s="17"/>
    </row>
    <row r="12245">
      <c r="B12245" s="17" t="s">
        <v>477</v>
      </c>
      <c r="K12245" s="18" t="s">
        <v>477</v>
      </c>
      <c r="N12245" s="17" t="str">
        <f>IFERROR(__xludf.DUMMYFUNCTION("""COMPUTED_VALUE"""),"")</f>
        <v/>
      </c>
      <c r="O12245" s="17"/>
    </row>
    <row r="12246">
      <c r="B12246" s="17" t="s">
        <v>477</v>
      </c>
      <c r="K12246" s="18" t="s">
        <v>477</v>
      </c>
      <c r="N12246" s="17" t="str">
        <f>IFERROR(__xludf.DUMMYFUNCTION("""COMPUTED_VALUE"""),"")</f>
        <v/>
      </c>
      <c r="O12246" s="17"/>
    </row>
    <row r="12247">
      <c r="B12247" s="17" t="s">
        <v>477</v>
      </c>
      <c r="K12247" s="18" t="s">
        <v>477</v>
      </c>
      <c r="N12247" s="17" t="str">
        <f>IFERROR(__xludf.DUMMYFUNCTION("""COMPUTED_VALUE"""),"")</f>
        <v/>
      </c>
      <c r="O12247" s="17"/>
    </row>
    <row r="12248">
      <c r="B12248" s="17" t="s">
        <v>477</v>
      </c>
      <c r="K12248" s="18" t="s">
        <v>477</v>
      </c>
      <c r="N12248" s="17" t="str">
        <f>IFERROR(__xludf.DUMMYFUNCTION("""COMPUTED_VALUE"""),"")</f>
        <v/>
      </c>
      <c r="O12248" s="17"/>
    </row>
    <row r="12249">
      <c r="B12249" s="17" t="s">
        <v>477</v>
      </c>
      <c r="K12249" s="18" t="s">
        <v>477</v>
      </c>
      <c r="N12249" s="17" t="str">
        <f>IFERROR(__xludf.DUMMYFUNCTION("""COMPUTED_VALUE"""),"")</f>
        <v/>
      </c>
      <c r="O12249" s="17"/>
    </row>
    <row r="12250">
      <c r="B12250" s="17" t="s">
        <v>477</v>
      </c>
      <c r="K12250" s="18" t="s">
        <v>477</v>
      </c>
      <c r="N12250" s="17" t="str">
        <f>IFERROR(__xludf.DUMMYFUNCTION("""COMPUTED_VALUE"""),"")</f>
        <v/>
      </c>
      <c r="O12250" s="17"/>
    </row>
    <row r="12251">
      <c r="B12251" s="17" t="s">
        <v>477</v>
      </c>
      <c r="K12251" s="18" t="s">
        <v>477</v>
      </c>
      <c r="N12251" s="17" t="str">
        <f>IFERROR(__xludf.DUMMYFUNCTION("""COMPUTED_VALUE"""),"")</f>
        <v/>
      </c>
      <c r="O12251" s="17"/>
    </row>
    <row r="12252">
      <c r="B12252" s="17" t="s">
        <v>477</v>
      </c>
      <c r="K12252" s="18" t="s">
        <v>477</v>
      </c>
      <c r="N12252" s="17" t="str">
        <f>IFERROR(__xludf.DUMMYFUNCTION("""COMPUTED_VALUE"""),"")</f>
        <v/>
      </c>
      <c r="O12252" s="17"/>
    </row>
    <row r="12253">
      <c r="B12253" s="17" t="s">
        <v>477</v>
      </c>
      <c r="K12253" s="18" t="s">
        <v>477</v>
      </c>
      <c r="N12253" s="17" t="str">
        <f>IFERROR(__xludf.DUMMYFUNCTION("""COMPUTED_VALUE"""),"")</f>
        <v/>
      </c>
      <c r="O12253" s="17"/>
    </row>
    <row r="12254">
      <c r="B12254" s="17" t="s">
        <v>477</v>
      </c>
      <c r="K12254" s="18" t="s">
        <v>477</v>
      </c>
      <c r="N12254" s="17" t="str">
        <f>IFERROR(__xludf.DUMMYFUNCTION("""COMPUTED_VALUE"""),"")</f>
        <v/>
      </c>
      <c r="O12254" s="17"/>
    </row>
    <row r="12255">
      <c r="B12255" s="17" t="s">
        <v>477</v>
      </c>
      <c r="K12255" s="18" t="s">
        <v>477</v>
      </c>
      <c r="N12255" s="17" t="str">
        <f>IFERROR(__xludf.DUMMYFUNCTION("""COMPUTED_VALUE"""),"")</f>
        <v/>
      </c>
      <c r="O12255" s="17"/>
    </row>
    <row r="12256">
      <c r="B12256" s="17" t="s">
        <v>477</v>
      </c>
      <c r="K12256" s="18" t="s">
        <v>477</v>
      </c>
      <c r="N12256" s="17" t="str">
        <f>IFERROR(__xludf.DUMMYFUNCTION("""COMPUTED_VALUE"""),"")</f>
        <v/>
      </c>
      <c r="O12256" s="17"/>
    </row>
    <row r="12257">
      <c r="B12257" s="17" t="s">
        <v>477</v>
      </c>
      <c r="K12257" s="18" t="s">
        <v>477</v>
      </c>
      <c r="N12257" s="17" t="str">
        <f>IFERROR(__xludf.DUMMYFUNCTION("""COMPUTED_VALUE"""),"")</f>
        <v/>
      </c>
      <c r="O12257" s="17"/>
    </row>
    <row r="12258">
      <c r="B12258" s="17" t="s">
        <v>477</v>
      </c>
      <c r="K12258" s="18" t="s">
        <v>477</v>
      </c>
      <c r="N12258" s="17" t="str">
        <f>IFERROR(__xludf.DUMMYFUNCTION("""COMPUTED_VALUE"""),"")</f>
        <v/>
      </c>
      <c r="O12258" s="17"/>
    </row>
    <row r="12259">
      <c r="B12259" s="17" t="s">
        <v>477</v>
      </c>
      <c r="K12259" s="18" t="s">
        <v>477</v>
      </c>
      <c r="N12259" s="17" t="str">
        <f>IFERROR(__xludf.DUMMYFUNCTION("""COMPUTED_VALUE"""),"")</f>
        <v/>
      </c>
      <c r="O12259" s="17"/>
    </row>
    <row r="12260">
      <c r="B12260" s="17" t="s">
        <v>477</v>
      </c>
      <c r="K12260" s="18" t="s">
        <v>477</v>
      </c>
      <c r="N12260" s="17" t="str">
        <f>IFERROR(__xludf.DUMMYFUNCTION("""COMPUTED_VALUE"""),"")</f>
        <v/>
      </c>
      <c r="O12260" s="17"/>
    </row>
    <row r="12261">
      <c r="B12261" s="17" t="s">
        <v>477</v>
      </c>
      <c r="K12261" s="18" t="s">
        <v>477</v>
      </c>
      <c r="N12261" s="17" t="str">
        <f>IFERROR(__xludf.DUMMYFUNCTION("""COMPUTED_VALUE"""),"")</f>
        <v/>
      </c>
      <c r="O12261" s="17"/>
    </row>
    <row r="12262">
      <c r="B12262" s="17" t="s">
        <v>477</v>
      </c>
      <c r="K12262" s="18" t="s">
        <v>477</v>
      </c>
      <c r="N12262" s="17" t="str">
        <f>IFERROR(__xludf.DUMMYFUNCTION("""COMPUTED_VALUE"""),"")</f>
        <v/>
      </c>
      <c r="O12262" s="17"/>
    </row>
    <row r="12263">
      <c r="B12263" s="17" t="s">
        <v>477</v>
      </c>
      <c r="K12263" s="18" t="s">
        <v>477</v>
      </c>
      <c r="N12263" s="17" t="str">
        <f>IFERROR(__xludf.DUMMYFUNCTION("""COMPUTED_VALUE"""),"")</f>
        <v/>
      </c>
      <c r="O12263" s="17"/>
    </row>
    <row r="12264">
      <c r="B12264" s="17" t="s">
        <v>477</v>
      </c>
      <c r="K12264" s="18" t="s">
        <v>477</v>
      </c>
      <c r="N12264" s="17" t="str">
        <f>IFERROR(__xludf.DUMMYFUNCTION("""COMPUTED_VALUE"""),"")</f>
        <v/>
      </c>
      <c r="O12264" s="17"/>
    </row>
    <row r="12265">
      <c r="B12265" s="17" t="s">
        <v>477</v>
      </c>
      <c r="K12265" s="18" t="s">
        <v>477</v>
      </c>
      <c r="N12265" s="17" t="str">
        <f>IFERROR(__xludf.DUMMYFUNCTION("""COMPUTED_VALUE"""),"")</f>
        <v/>
      </c>
      <c r="O12265" s="17"/>
    </row>
    <row r="12266">
      <c r="B12266" s="17" t="s">
        <v>477</v>
      </c>
      <c r="K12266" s="18" t="s">
        <v>477</v>
      </c>
      <c r="N12266" s="17" t="str">
        <f>IFERROR(__xludf.DUMMYFUNCTION("""COMPUTED_VALUE"""),"")</f>
        <v/>
      </c>
      <c r="O12266" s="17"/>
    </row>
    <row r="12267">
      <c r="B12267" s="17" t="s">
        <v>477</v>
      </c>
      <c r="K12267" s="18" t="s">
        <v>477</v>
      </c>
      <c r="N12267" s="17" t="str">
        <f>IFERROR(__xludf.DUMMYFUNCTION("""COMPUTED_VALUE"""),"")</f>
        <v/>
      </c>
      <c r="O12267" s="17"/>
    </row>
    <row r="12268">
      <c r="B12268" s="17" t="s">
        <v>477</v>
      </c>
      <c r="K12268" s="18" t="s">
        <v>477</v>
      </c>
      <c r="N12268" s="17" t="str">
        <f>IFERROR(__xludf.DUMMYFUNCTION("""COMPUTED_VALUE"""),"")</f>
        <v/>
      </c>
      <c r="O12268" s="17"/>
    </row>
    <row r="12269">
      <c r="B12269" s="17" t="s">
        <v>477</v>
      </c>
      <c r="K12269" s="18" t="s">
        <v>477</v>
      </c>
      <c r="N12269" s="17" t="str">
        <f>IFERROR(__xludf.DUMMYFUNCTION("""COMPUTED_VALUE"""),"")</f>
        <v/>
      </c>
      <c r="O12269" s="17"/>
    </row>
    <row r="12270">
      <c r="B12270" s="17" t="s">
        <v>477</v>
      </c>
      <c r="K12270" s="18" t="s">
        <v>477</v>
      </c>
      <c r="N12270" s="17" t="str">
        <f>IFERROR(__xludf.DUMMYFUNCTION("""COMPUTED_VALUE"""),"")</f>
        <v/>
      </c>
      <c r="O12270" s="17"/>
    </row>
    <row r="12271">
      <c r="B12271" s="17" t="s">
        <v>477</v>
      </c>
      <c r="K12271" s="18" t="s">
        <v>477</v>
      </c>
      <c r="N12271" s="17" t="str">
        <f>IFERROR(__xludf.DUMMYFUNCTION("""COMPUTED_VALUE"""),"")</f>
        <v/>
      </c>
      <c r="O12271" s="17"/>
    </row>
    <row r="12272">
      <c r="B12272" s="17" t="s">
        <v>477</v>
      </c>
      <c r="K12272" s="18" t="s">
        <v>477</v>
      </c>
      <c r="N12272" s="17" t="str">
        <f>IFERROR(__xludf.DUMMYFUNCTION("""COMPUTED_VALUE"""),"")</f>
        <v/>
      </c>
      <c r="O12272" s="17"/>
    </row>
    <row r="12273">
      <c r="B12273" s="17" t="s">
        <v>477</v>
      </c>
      <c r="K12273" s="18" t="s">
        <v>477</v>
      </c>
      <c r="N12273" s="17" t="str">
        <f>IFERROR(__xludf.DUMMYFUNCTION("""COMPUTED_VALUE"""),"")</f>
        <v/>
      </c>
      <c r="O12273" s="17"/>
    </row>
    <row r="12274">
      <c r="B12274" s="17" t="s">
        <v>477</v>
      </c>
      <c r="K12274" s="18" t="s">
        <v>477</v>
      </c>
      <c r="N12274" s="17" t="str">
        <f>IFERROR(__xludf.DUMMYFUNCTION("""COMPUTED_VALUE"""),"")</f>
        <v/>
      </c>
      <c r="O12274" s="17"/>
    </row>
    <row r="12275">
      <c r="B12275" s="17" t="s">
        <v>477</v>
      </c>
      <c r="K12275" s="18" t="s">
        <v>477</v>
      </c>
      <c r="N12275" s="17" t="str">
        <f>IFERROR(__xludf.DUMMYFUNCTION("""COMPUTED_VALUE"""),"")</f>
        <v/>
      </c>
      <c r="O12275" s="17"/>
    </row>
    <row r="12276">
      <c r="B12276" s="17" t="s">
        <v>477</v>
      </c>
      <c r="K12276" s="18" t="s">
        <v>477</v>
      </c>
      <c r="N12276" s="17" t="str">
        <f>IFERROR(__xludf.DUMMYFUNCTION("""COMPUTED_VALUE"""),"")</f>
        <v/>
      </c>
      <c r="O12276" s="17"/>
    </row>
    <row r="12277">
      <c r="B12277" s="17" t="s">
        <v>477</v>
      </c>
      <c r="K12277" s="18" t="s">
        <v>477</v>
      </c>
      <c r="N12277" s="17" t="str">
        <f>IFERROR(__xludf.DUMMYFUNCTION("""COMPUTED_VALUE"""),"")</f>
        <v/>
      </c>
      <c r="O12277" s="17"/>
    </row>
    <row r="12278">
      <c r="B12278" s="17" t="s">
        <v>477</v>
      </c>
      <c r="K12278" s="18" t="s">
        <v>477</v>
      </c>
      <c r="N12278" s="17" t="str">
        <f>IFERROR(__xludf.DUMMYFUNCTION("""COMPUTED_VALUE"""),"")</f>
        <v/>
      </c>
      <c r="O12278" s="17"/>
    </row>
    <row r="12279">
      <c r="B12279" s="17" t="s">
        <v>477</v>
      </c>
      <c r="K12279" s="18" t="s">
        <v>477</v>
      </c>
      <c r="N12279" s="17" t="str">
        <f>IFERROR(__xludf.DUMMYFUNCTION("""COMPUTED_VALUE"""),"")</f>
        <v/>
      </c>
      <c r="O12279" s="17"/>
    </row>
    <row r="12280">
      <c r="B12280" s="17" t="s">
        <v>477</v>
      </c>
      <c r="K12280" s="18" t="s">
        <v>477</v>
      </c>
      <c r="N12280" s="17" t="str">
        <f>IFERROR(__xludf.DUMMYFUNCTION("""COMPUTED_VALUE"""),"")</f>
        <v/>
      </c>
      <c r="O12280" s="17"/>
    </row>
    <row r="12281">
      <c r="B12281" s="17" t="s">
        <v>477</v>
      </c>
      <c r="K12281" s="18" t="s">
        <v>477</v>
      </c>
      <c r="N12281" s="17" t="str">
        <f>IFERROR(__xludf.DUMMYFUNCTION("""COMPUTED_VALUE"""),"")</f>
        <v/>
      </c>
      <c r="O12281" s="17"/>
    </row>
    <row r="12282">
      <c r="B12282" s="17" t="s">
        <v>477</v>
      </c>
      <c r="K12282" s="18" t="s">
        <v>477</v>
      </c>
      <c r="N12282" s="17" t="str">
        <f>IFERROR(__xludf.DUMMYFUNCTION("""COMPUTED_VALUE"""),"")</f>
        <v/>
      </c>
      <c r="O12282" s="17"/>
    </row>
    <row r="12283">
      <c r="B12283" s="17" t="s">
        <v>477</v>
      </c>
      <c r="K12283" s="18" t="s">
        <v>477</v>
      </c>
      <c r="N12283" s="17" t="str">
        <f>IFERROR(__xludf.DUMMYFUNCTION("""COMPUTED_VALUE"""),"")</f>
        <v/>
      </c>
      <c r="O12283" s="17"/>
    </row>
    <row r="12284">
      <c r="B12284" s="17" t="s">
        <v>477</v>
      </c>
      <c r="K12284" s="18" t="s">
        <v>477</v>
      </c>
      <c r="N12284" s="17" t="str">
        <f>IFERROR(__xludf.DUMMYFUNCTION("""COMPUTED_VALUE"""),"")</f>
        <v/>
      </c>
      <c r="O12284" s="17"/>
    </row>
    <row r="12285">
      <c r="B12285" s="17" t="s">
        <v>477</v>
      </c>
      <c r="K12285" s="18" t="s">
        <v>477</v>
      </c>
      <c r="N12285" s="17" t="str">
        <f>IFERROR(__xludf.DUMMYFUNCTION("""COMPUTED_VALUE"""),"")</f>
        <v/>
      </c>
      <c r="O12285" s="17"/>
    </row>
    <row r="12286">
      <c r="B12286" s="17" t="s">
        <v>477</v>
      </c>
      <c r="K12286" s="18" t="s">
        <v>477</v>
      </c>
      <c r="N12286" s="17" t="str">
        <f>IFERROR(__xludf.DUMMYFUNCTION("""COMPUTED_VALUE"""),"")</f>
        <v/>
      </c>
      <c r="O12286" s="17"/>
    </row>
    <row r="12287">
      <c r="B12287" s="17" t="s">
        <v>477</v>
      </c>
      <c r="K12287" s="18" t="s">
        <v>477</v>
      </c>
      <c r="N12287" s="17" t="str">
        <f>IFERROR(__xludf.DUMMYFUNCTION("""COMPUTED_VALUE"""),"")</f>
        <v/>
      </c>
      <c r="O12287" s="17"/>
    </row>
    <row r="12288">
      <c r="B12288" s="17" t="s">
        <v>477</v>
      </c>
      <c r="K12288" s="18" t="s">
        <v>477</v>
      </c>
      <c r="N12288" s="17" t="str">
        <f>IFERROR(__xludf.DUMMYFUNCTION("""COMPUTED_VALUE"""),"")</f>
        <v/>
      </c>
      <c r="O12288" s="17"/>
    </row>
    <row r="12289">
      <c r="B12289" s="17" t="s">
        <v>477</v>
      </c>
      <c r="K12289" s="18" t="s">
        <v>477</v>
      </c>
      <c r="N12289" s="17" t="str">
        <f>IFERROR(__xludf.DUMMYFUNCTION("""COMPUTED_VALUE"""),"")</f>
        <v/>
      </c>
      <c r="O12289" s="17"/>
    </row>
    <row r="12290">
      <c r="B12290" s="17" t="s">
        <v>477</v>
      </c>
      <c r="K12290" s="18" t="s">
        <v>477</v>
      </c>
      <c r="N12290" s="17" t="str">
        <f>IFERROR(__xludf.DUMMYFUNCTION("""COMPUTED_VALUE"""),"")</f>
        <v/>
      </c>
      <c r="O12290" s="17"/>
    </row>
    <row r="12291">
      <c r="B12291" s="17" t="s">
        <v>477</v>
      </c>
      <c r="K12291" s="18" t="s">
        <v>477</v>
      </c>
      <c r="N12291" s="17" t="str">
        <f>IFERROR(__xludf.DUMMYFUNCTION("""COMPUTED_VALUE"""),"")</f>
        <v/>
      </c>
      <c r="O12291" s="17"/>
    </row>
    <row r="12292">
      <c r="B12292" s="17" t="s">
        <v>477</v>
      </c>
      <c r="K12292" s="18" t="s">
        <v>477</v>
      </c>
      <c r="N12292" s="17" t="str">
        <f>IFERROR(__xludf.DUMMYFUNCTION("""COMPUTED_VALUE"""),"")</f>
        <v/>
      </c>
      <c r="O12292" s="17"/>
    </row>
    <row r="12293">
      <c r="B12293" s="17" t="s">
        <v>477</v>
      </c>
      <c r="K12293" s="18" t="s">
        <v>477</v>
      </c>
      <c r="N12293" s="17" t="str">
        <f>IFERROR(__xludf.DUMMYFUNCTION("""COMPUTED_VALUE"""),"")</f>
        <v/>
      </c>
      <c r="O12293" s="17"/>
    </row>
    <row r="12294">
      <c r="B12294" s="17" t="s">
        <v>477</v>
      </c>
      <c r="K12294" s="18" t="s">
        <v>477</v>
      </c>
      <c r="N12294" s="17" t="str">
        <f>IFERROR(__xludf.DUMMYFUNCTION("""COMPUTED_VALUE"""),"")</f>
        <v/>
      </c>
      <c r="O12294" s="17"/>
    </row>
    <row r="12295">
      <c r="B12295" s="17" t="s">
        <v>477</v>
      </c>
      <c r="K12295" s="18" t="s">
        <v>477</v>
      </c>
      <c r="N12295" s="17" t="str">
        <f>IFERROR(__xludf.DUMMYFUNCTION("""COMPUTED_VALUE"""),"")</f>
        <v/>
      </c>
      <c r="O12295" s="17"/>
    </row>
    <row r="12296">
      <c r="B12296" s="17" t="s">
        <v>477</v>
      </c>
      <c r="K12296" s="18" t="s">
        <v>477</v>
      </c>
      <c r="N12296" s="17" t="str">
        <f>IFERROR(__xludf.DUMMYFUNCTION("""COMPUTED_VALUE"""),"")</f>
        <v/>
      </c>
      <c r="O12296" s="17"/>
    </row>
    <row r="12297">
      <c r="B12297" s="17" t="s">
        <v>477</v>
      </c>
      <c r="K12297" s="18" t="s">
        <v>477</v>
      </c>
      <c r="N12297" s="17" t="str">
        <f>IFERROR(__xludf.DUMMYFUNCTION("""COMPUTED_VALUE"""),"")</f>
        <v/>
      </c>
      <c r="O12297" s="17"/>
    </row>
    <row r="12298">
      <c r="B12298" s="17" t="s">
        <v>477</v>
      </c>
      <c r="K12298" s="18" t="s">
        <v>477</v>
      </c>
      <c r="N12298" s="17" t="str">
        <f>IFERROR(__xludf.DUMMYFUNCTION("""COMPUTED_VALUE"""),"")</f>
        <v/>
      </c>
      <c r="O12298" s="17"/>
    </row>
    <row r="12299">
      <c r="B12299" s="17" t="s">
        <v>477</v>
      </c>
      <c r="K12299" s="18" t="s">
        <v>477</v>
      </c>
      <c r="N12299" s="17" t="str">
        <f>IFERROR(__xludf.DUMMYFUNCTION("""COMPUTED_VALUE"""),"")</f>
        <v/>
      </c>
      <c r="O12299" s="17"/>
    </row>
    <row r="12300">
      <c r="B12300" s="17" t="s">
        <v>477</v>
      </c>
      <c r="K12300" s="18" t="s">
        <v>477</v>
      </c>
      <c r="N12300" s="17" t="str">
        <f>IFERROR(__xludf.DUMMYFUNCTION("""COMPUTED_VALUE"""),"")</f>
        <v/>
      </c>
      <c r="O12300" s="17"/>
    </row>
    <row r="12301">
      <c r="B12301" s="17" t="s">
        <v>477</v>
      </c>
      <c r="K12301" s="18" t="s">
        <v>477</v>
      </c>
      <c r="N12301" s="17" t="str">
        <f>IFERROR(__xludf.DUMMYFUNCTION("""COMPUTED_VALUE"""),"")</f>
        <v/>
      </c>
      <c r="O12301" s="17"/>
    </row>
    <row r="12302">
      <c r="B12302" s="17" t="s">
        <v>477</v>
      </c>
      <c r="K12302" s="18" t="s">
        <v>477</v>
      </c>
      <c r="N12302" s="17" t="str">
        <f>IFERROR(__xludf.DUMMYFUNCTION("""COMPUTED_VALUE"""),"")</f>
        <v/>
      </c>
      <c r="O12302" s="17"/>
    </row>
    <row r="12303">
      <c r="B12303" s="17" t="s">
        <v>477</v>
      </c>
      <c r="K12303" s="18" t="s">
        <v>477</v>
      </c>
      <c r="N12303" s="17" t="str">
        <f>IFERROR(__xludf.DUMMYFUNCTION("""COMPUTED_VALUE"""),"")</f>
        <v/>
      </c>
      <c r="O12303" s="17"/>
    </row>
    <row r="12304">
      <c r="B12304" s="17" t="s">
        <v>477</v>
      </c>
      <c r="K12304" s="18" t="s">
        <v>477</v>
      </c>
      <c r="N12304" s="17" t="str">
        <f>IFERROR(__xludf.DUMMYFUNCTION("""COMPUTED_VALUE"""),"")</f>
        <v/>
      </c>
      <c r="O12304" s="17"/>
    </row>
    <row r="12305">
      <c r="B12305" s="17" t="s">
        <v>477</v>
      </c>
      <c r="K12305" s="18" t="s">
        <v>477</v>
      </c>
      <c r="N12305" s="17" t="str">
        <f>IFERROR(__xludf.DUMMYFUNCTION("""COMPUTED_VALUE"""),"")</f>
        <v/>
      </c>
      <c r="O12305" s="17"/>
    </row>
    <row r="12306">
      <c r="B12306" s="17" t="s">
        <v>477</v>
      </c>
      <c r="K12306" s="18" t="s">
        <v>477</v>
      </c>
      <c r="N12306" s="17" t="str">
        <f>IFERROR(__xludf.DUMMYFUNCTION("""COMPUTED_VALUE"""),"")</f>
        <v/>
      </c>
      <c r="O12306" s="17"/>
    </row>
    <row r="12307">
      <c r="B12307" s="17" t="s">
        <v>477</v>
      </c>
      <c r="K12307" s="18" t="s">
        <v>477</v>
      </c>
      <c r="N12307" s="17" t="str">
        <f>IFERROR(__xludf.DUMMYFUNCTION("""COMPUTED_VALUE"""),"")</f>
        <v/>
      </c>
      <c r="O12307" s="17"/>
    </row>
    <row r="12308">
      <c r="B12308" s="17" t="s">
        <v>477</v>
      </c>
      <c r="K12308" s="18" t="s">
        <v>477</v>
      </c>
      <c r="N12308" s="17" t="str">
        <f>IFERROR(__xludf.DUMMYFUNCTION("""COMPUTED_VALUE"""),"")</f>
        <v/>
      </c>
      <c r="O12308" s="17"/>
    </row>
    <row r="12309">
      <c r="B12309" s="17" t="s">
        <v>477</v>
      </c>
      <c r="K12309" s="18" t="s">
        <v>477</v>
      </c>
      <c r="N12309" s="17" t="str">
        <f>IFERROR(__xludf.DUMMYFUNCTION("""COMPUTED_VALUE"""),"")</f>
        <v/>
      </c>
      <c r="O12309" s="17"/>
    </row>
    <row r="12310">
      <c r="B12310" s="17" t="s">
        <v>477</v>
      </c>
      <c r="K12310" s="18" t="s">
        <v>477</v>
      </c>
      <c r="N12310" s="17" t="str">
        <f>IFERROR(__xludf.DUMMYFUNCTION("""COMPUTED_VALUE"""),"")</f>
        <v/>
      </c>
      <c r="O12310" s="17"/>
    </row>
    <row r="12311">
      <c r="B12311" s="17" t="s">
        <v>477</v>
      </c>
      <c r="K12311" s="18" t="s">
        <v>477</v>
      </c>
      <c r="N12311" s="17" t="str">
        <f>IFERROR(__xludf.DUMMYFUNCTION("""COMPUTED_VALUE"""),"")</f>
        <v/>
      </c>
      <c r="O12311" s="17"/>
    </row>
    <row r="12312">
      <c r="B12312" s="17" t="s">
        <v>477</v>
      </c>
      <c r="K12312" s="18" t="s">
        <v>477</v>
      </c>
      <c r="N12312" s="17" t="str">
        <f>IFERROR(__xludf.DUMMYFUNCTION("""COMPUTED_VALUE"""),"")</f>
        <v/>
      </c>
      <c r="O12312" s="17"/>
    </row>
    <row r="12313">
      <c r="B12313" s="17" t="s">
        <v>477</v>
      </c>
      <c r="K12313" s="18" t="s">
        <v>477</v>
      </c>
      <c r="N12313" s="17" t="str">
        <f>IFERROR(__xludf.DUMMYFUNCTION("""COMPUTED_VALUE"""),"")</f>
        <v/>
      </c>
      <c r="O12313" s="17"/>
    </row>
    <row r="12314">
      <c r="B12314" s="17" t="s">
        <v>477</v>
      </c>
      <c r="K12314" s="18" t="s">
        <v>477</v>
      </c>
      <c r="N12314" s="17" t="str">
        <f>IFERROR(__xludf.DUMMYFUNCTION("""COMPUTED_VALUE"""),"")</f>
        <v/>
      </c>
      <c r="O12314" s="17"/>
    </row>
    <row r="12315">
      <c r="B12315" s="17" t="s">
        <v>477</v>
      </c>
      <c r="K12315" s="18" t="s">
        <v>477</v>
      </c>
      <c r="N12315" s="17" t="str">
        <f>IFERROR(__xludf.DUMMYFUNCTION("""COMPUTED_VALUE"""),"")</f>
        <v/>
      </c>
      <c r="O12315" s="17"/>
    </row>
    <row r="12316">
      <c r="B12316" s="17" t="s">
        <v>477</v>
      </c>
      <c r="K12316" s="18" t="s">
        <v>477</v>
      </c>
      <c r="N12316" s="17" t="str">
        <f>IFERROR(__xludf.DUMMYFUNCTION("""COMPUTED_VALUE"""),"")</f>
        <v/>
      </c>
      <c r="O12316" s="17"/>
    </row>
    <row r="12317">
      <c r="B12317" s="17" t="s">
        <v>477</v>
      </c>
      <c r="K12317" s="18" t="s">
        <v>477</v>
      </c>
      <c r="N12317" s="17" t="str">
        <f>IFERROR(__xludf.DUMMYFUNCTION("""COMPUTED_VALUE"""),"")</f>
        <v/>
      </c>
      <c r="O12317" s="17"/>
    </row>
    <row r="12318">
      <c r="B12318" s="17" t="s">
        <v>477</v>
      </c>
      <c r="K12318" s="18" t="s">
        <v>477</v>
      </c>
      <c r="N12318" s="17" t="str">
        <f>IFERROR(__xludf.DUMMYFUNCTION("""COMPUTED_VALUE"""),"")</f>
        <v/>
      </c>
      <c r="O12318" s="17"/>
    </row>
    <row r="12319">
      <c r="B12319" s="17" t="s">
        <v>477</v>
      </c>
      <c r="K12319" s="18" t="s">
        <v>477</v>
      </c>
      <c r="N12319" s="17" t="str">
        <f>IFERROR(__xludf.DUMMYFUNCTION("""COMPUTED_VALUE"""),"")</f>
        <v/>
      </c>
      <c r="O12319" s="17"/>
    </row>
    <row r="12320">
      <c r="B12320" s="17" t="s">
        <v>477</v>
      </c>
      <c r="K12320" s="18" t="s">
        <v>477</v>
      </c>
      <c r="N12320" s="17" t="str">
        <f>IFERROR(__xludf.DUMMYFUNCTION("""COMPUTED_VALUE"""),"")</f>
        <v/>
      </c>
      <c r="O12320" s="17"/>
    </row>
    <row r="12321">
      <c r="B12321" s="17" t="s">
        <v>477</v>
      </c>
      <c r="K12321" s="18" t="s">
        <v>477</v>
      </c>
      <c r="N12321" s="17" t="str">
        <f>IFERROR(__xludf.DUMMYFUNCTION("""COMPUTED_VALUE"""),"")</f>
        <v/>
      </c>
      <c r="O12321" s="17"/>
    </row>
    <row r="12322">
      <c r="B12322" s="17" t="s">
        <v>477</v>
      </c>
      <c r="K12322" s="18" t="s">
        <v>477</v>
      </c>
      <c r="N12322" s="17" t="str">
        <f>IFERROR(__xludf.DUMMYFUNCTION("""COMPUTED_VALUE"""),"")</f>
        <v/>
      </c>
      <c r="O12322" s="17"/>
    </row>
    <row r="12323">
      <c r="B12323" s="17" t="s">
        <v>477</v>
      </c>
      <c r="K12323" s="18" t="s">
        <v>477</v>
      </c>
      <c r="N12323" s="17" t="str">
        <f>IFERROR(__xludf.DUMMYFUNCTION("""COMPUTED_VALUE"""),"")</f>
        <v/>
      </c>
      <c r="O12323" s="17"/>
    </row>
    <row r="12324">
      <c r="B12324" s="17" t="s">
        <v>477</v>
      </c>
      <c r="K12324" s="18" t="s">
        <v>477</v>
      </c>
      <c r="N12324" s="17" t="str">
        <f>IFERROR(__xludf.DUMMYFUNCTION("""COMPUTED_VALUE"""),"")</f>
        <v/>
      </c>
      <c r="O12324" s="17"/>
    </row>
    <row r="12325">
      <c r="B12325" s="17" t="s">
        <v>477</v>
      </c>
      <c r="K12325" s="18" t="s">
        <v>477</v>
      </c>
      <c r="N12325" s="17" t="str">
        <f>IFERROR(__xludf.DUMMYFUNCTION("""COMPUTED_VALUE"""),"")</f>
        <v/>
      </c>
      <c r="O12325" s="17"/>
    </row>
    <row r="12326">
      <c r="B12326" s="17" t="s">
        <v>477</v>
      </c>
      <c r="K12326" s="18" t="s">
        <v>477</v>
      </c>
      <c r="N12326" s="17" t="str">
        <f>IFERROR(__xludf.DUMMYFUNCTION("""COMPUTED_VALUE"""),"")</f>
        <v/>
      </c>
      <c r="O12326" s="17"/>
    </row>
    <row r="12327">
      <c r="B12327" s="17" t="s">
        <v>477</v>
      </c>
      <c r="K12327" s="18" t="s">
        <v>477</v>
      </c>
      <c r="N12327" s="17" t="str">
        <f>IFERROR(__xludf.DUMMYFUNCTION("""COMPUTED_VALUE"""),"")</f>
        <v/>
      </c>
      <c r="O12327" s="17"/>
    </row>
    <row r="12328">
      <c r="B12328" s="17" t="s">
        <v>477</v>
      </c>
      <c r="K12328" s="18" t="s">
        <v>477</v>
      </c>
      <c r="N12328" s="17" t="str">
        <f>IFERROR(__xludf.DUMMYFUNCTION("""COMPUTED_VALUE"""),"")</f>
        <v/>
      </c>
      <c r="O12328" s="17"/>
    </row>
    <row r="12329">
      <c r="B12329" s="17" t="s">
        <v>477</v>
      </c>
      <c r="K12329" s="18" t="s">
        <v>477</v>
      </c>
      <c r="N12329" s="17" t="str">
        <f>IFERROR(__xludf.DUMMYFUNCTION("""COMPUTED_VALUE"""),"")</f>
        <v/>
      </c>
      <c r="O12329" s="17"/>
    </row>
    <row r="12330">
      <c r="B12330" s="17" t="s">
        <v>477</v>
      </c>
      <c r="K12330" s="18" t="s">
        <v>477</v>
      </c>
      <c r="N12330" s="17" t="str">
        <f>IFERROR(__xludf.DUMMYFUNCTION("""COMPUTED_VALUE"""),"")</f>
        <v/>
      </c>
      <c r="O12330" s="17"/>
    </row>
    <row r="12331">
      <c r="B12331" s="17" t="s">
        <v>477</v>
      </c>
      <c r="K12331" s="18" t="s">
        <v>477</v>
      </c>
      <c r="N12331" s="17" t="str">
        <f>IFERROR(__xludf.DUMMYFUNCTION("""COMPUTED_VALUE"""),"")</f>
        <v/>
      </c>
      <c r="O12331" s="17"/>
    </row>
    <row r="12332">
      <c r="B12332" s="17" t="s">
        <v>477</v>
      </c>
      <c r="K12332" s="18" t="s">
        <v>477</v>
      </c>
      <c r="N12332" s="17" t="str">
        <f>IFERROR(__xludf.DUMMYFUNCTION("""COMPUTED_VALUE"""),"")</f>
        <v/>
      </c>
      <c r="O12332" s="17"/>
    </row>
    <row r="12333">
      <c r="B12333" s="17" t="s">
        <v>477</v>
      </c>
      <c r="K12333" s="18" t="s">
        <v>477</v>
      </c>
      <c r="N12333" s="17" t="str">
        <f>IFERROR(__xludf.DUMMYFUNCTION("""COMPUTED_VALUE"""),"")</f>
        <v/>
      </c>
      <c r="O12333" s="17"/>
    </row>
    <row r="12334">
      <c r="B12334" s="17" t="s">
        <v>477</v>
      </c>
      <c r="K12334" s="18" t="s">
        <v>477</v>
      </c>
      <c r="N12334" s="17" t="str">
        <f>IFERROR(__xludf.DUMMYFUNCTION("""COMPUTED_VALUE"""),"")</f>
        <v/>
      </c>
      <c r="O12334" s="17"/>
    </row>
    <row r="12335">
      <c r="B12335" s="17" t="s">
        <v>477</v>
      </c>
      <c r="K12335" s="18" t="s">
        <v>477</v>
      </c>
      <c r="N12335" s="17" t="str">
        <f>IFERROR(__xludf.DUMMYFUNCTION("""COMPUTED_VALUE"""),"")</f>
        <v/>
      </c>
      <c r="O12335" s="17"/>
    </row>
    <row r="12336">
      <c r="B12336" s="17" t="s">
        <v>477</v>
      </c>
      <c r="K12336" s="18" t="s">
        <v>477</v>
      </c>
      <c r="N12336" s="17" t="str">
        <f>IFERROR(__xludf.DUMMYFUNCTION("""COMPUTED_VALUE"""),"")</f>
        <v/>
      </c>
      <c r="O12336" s="17"/>
    </row>
    <row r="12337">
      <c r="B12337" s="17" t="s">
        <v>477</v>
      </c>
      <c r="K12337" s="18" t="s">
        <v>477</v>
      </c>
      <c r="N12337" s="17" t="str">
        <f>IFERROR(__xludf.DUMMYFUNCTION("""COMPUTED_VALUE"""),"")</f>
        <v/>
      </c>
      <c r="O12337" s="17"/>
    </row>
    <row r="12338">
      <c r="B12338" s="17" t="s">
        <v>477</v>
      </c>
      <c r="K12338" s="18" t="s">
        <v>477</v>
      </c>
      <c r="N12338" s="17" t="str">
        <f>IFERROR(__xludf.DUMMYFUNCTION("""COMPUTED_VALUE"""),"")</f>
        <v/>
      </c>
      <c r="O12338" s="17"/>
    </row>
    <row r="12339">
      <c r="B12339" s="17" t="s">
        <v>477</v>
      </c>
      <c r="K12339" s="18" t="s">
        <v>477</v>
      </c>
      <c r="N12339" s="17" t="str">
        <f>IFERROR(__xludf.DUMMYFUNCTION("""COMPUTED_VALUE"""),"")</f>
        <v/>
      </c>
      <c r="O12339" s="17"/>
    </row>
    <row r="12340">
      <c r="B12340" s="17" t="s">
        <v>477</v>
      </c>
      <c r="K12340" s="18" t="s">
        <v>477</v>
      </c>
      <c r="N12340" s="17" t="str">
        <f>IFERROR(__xludf.DUMMYFUNCTION("""COMPUTED_VALUE"""),"")</f>
        <v/>
      </c>
      <c r="O12340" s="17"/>
    </row>
    <row r="12341">
      <c r="B12341" s="17" t="s">
        <v>477</v>
      </c>
      <c r="K12341" s="18" t="s">
        <v>477</v>
      </c>
      <c r="N12341" s="17" t="str">
        <f>IFERROR(__xludf.DUMMYFUNCTION("""COMPUTED_VALUE"""),"")</f>
        <v/>
      </c>
      <c r="O12341" s="17"/>
    </row>
    <row r="12342">
      <c r="B12342" s="17" t="s">
        <v>477</v>
      </c>
      <c r="K12342" s="18" t="s">
        <v>477</v>
      </c>
      <c r="N12342" s="17" t="str">
        <f>IFERROR(__xludf.DUMMYFUNCTION("""COMPUTED_VALUE"""),"")</f>
        <v/>
      </c>
      <c r="O12342" s="17"/>
    </row>
    <row r="12343">
      <c r="B12343" s="17" t="s">
        <v>477</v>
      </c>
      <c r="K12343" s="18" t="s">
        <v>477</v>
      </c>
      <c r="N12343" s="17" t="str">
        <f>IFERROR(__xludf.DUMMYFUNCTION("""COMPUTED_VALUE"""),"")</f>
        <v/>
      </c>
      <c r="O12343" s="17"/>
    </row>
    <row r="12344">
      <c r="B12344" s="17" t="s">
        <v>477</v>
      </c>
      <c r="K12344" s="18" t="s">
        <v>477</v>
      </c>
      <c r="N12344" s="17" t="str">
        <f>IFERROR(__xludf.DUMMYFUNCTION("""COMPUTED_VALUE"""),"")</f>
        <v/>
      </c>
      <c r="O12344" s="17"/>
    </row>
    <row r="12345">
      <c r="B12345" s="17" t="s">
        <v>477</v>
      </c>
      <c r="K12345" s="18" t="s">
        <v>477</v>
      </c>
      <c r="N12345" s="17" t="str">
        <f>IFERROR(__xludf.DUMMYFUNCTION("""COMPUTED_VALUE"""),"")</f>
        <v/>
      </c>
      <c r="O12345" s="17"/>
    </row>
    <row r="12346">
      <c r="B12346" s="17" t="s">
        <v>477</v>
      </c>
      <c r="K12346" s="18" t="s">
        <v>477</v>
      </c>
      <c r="N12346" s="17" t="str">
        <f>IFERROR(__xludf.DUMMYFUNCTION("""COMPUTED_VALUE"""),"")</f>
        <v/>
      </c>
      <c r="O12346" s="17"/>
    </row>
    <row r="12347">
      <c r="B12347" s="17" t="s">
        <v>477</v>
      </c>
      <c r="K12347" s="18" t="s">
        <v>477</v>
      </c>
      <c r="N12347" s="17" t="str">
        <f>IFERROR(__xludf.DUMMYFUNCTION("""COMPUTED_VALUE"""),"")</f>
        <v/>
      </c>
      <c r="O12347" s="17"/>
    </row>
    <row r="12348">
      <c r="B12348" s="17" t="s">
        <v>477</v>
      </c>
      <c r="K12348" s="18" t="s">
        <v>477</v>
      </c>
      <c r="N12348" s="17" t="str">
        <f>IFERROR(__xludf.DUMMYFUNCTION("""COMPUTED_VALUE"""),"")</f>
        <v/>
      </c>
      <c r="O12348" s="17"/>
    </row>
    <row r="12349">
      <c r="B12349" s="17" t="s">
        <v>477</v>
      </c>
      <c r="K12349" s="18" t="s">
        <v>477</v>
      </c>
      <c r="N12349" s="17" t="str">
        <f>IFERROR(__xludf.DUMMYFUNCTION("""COMPUTED_VALUE"""),"")</f>
        <v/>
      </c>
      <c r="O12349" s="17"/>
    </row>
    <row r="12350">
      <c r="B12350" s="17" t="s">
        <v>477</v>
      </c>
      <c r="K12350" s="18" t="s">
        <v>477</v>
      </c>
      <c r="N12350" s="17" t="str">
        <f>IFERROR(__xludf.DUMMYFUNCTION("""COMPUTED_VALUE"""),"")</f>
        <v/>
      </c>
      <c r="O12350" s="17"/>
    </row>
    <row r="12351">
      <c r="B12351" s="17" t="s">
        <v>477</v>
      </c>
      <c r="K12351" s="18" t="s">
        <v>477</v>
      </c>
      <c r="N12351" s="17" t="str">
        <f>IFERROR(__xludf.DUMMYFUNCTION("""COMPUTED_VALUE"""),"")</f>
        <v/>
      </c>
      <c r="O12351" s="17"/>
    </row>
    <row r="12352">
      <c r="B12352" s="17" t="s">
        <v>477</v>
      </c>
      <c r="K12352" s="18" t="s">
        <v>477</v>
      </c>
      <c r="N12352" s="17" t="str">
        <f>IFERROR(__xludf.DUMMYFUNCTION("""COMPUTED_VALUE"""),"")</f>
        <v/>
      </c>
      <c r="O12352" s="17"/>
    </row>
    <row r="12353">
      <c r="B12353" s="17" t="s">
        <v>477</v>
      </c>
      <c r="K12353" s="18" t="s">
        <v>477</v>
      </c>
      <c r="N12353" s="17" t="str">
        <f>IFERROR(__xludf.DUMMYFUNCTION("""COMPUTED_VALUE"""),"")</f>
        <v/>
      </c>
      <c r="O12353" s="17"/>
    </row>
    <row r="12354">
      <c r="B12354" s="17" t="s">
        <v>477</v>
      </c>
      <c r="K12354" s="18" t="s">
        <v>477</v>
      </c>
      <c r="N12354" s="17" t="str">
        <f>IFERROR(__xludf.DUMMYFUNCTION("""COMPUTED_VALUE"""),"")</f>
        <v/>
      </c>
      <c r="O12354" s="17"/>
    </row>
    <row r="12355">
      <c r="B12355" s="17" t="s">
        <v>477</v>
      </c>
      <c r="K12355" s="18" t="s">
        <v>477</v>
      </c>
      <c r="N12355" s="17" t="str">
        <f>IFERROR(__xludf.DUMMYFUNCTION("""COMPUTED_VALUE"""),"")</f>
        <v/>
      </c>
      <c r="O12355" s="17"/>
    </row>
    <row r="12356">
      <c r="B12356" s="17" t="s">
        <v>477</v>
      </c>
      <c r="K12356" s="18" t="s">
        <v>477</v>
      </c>
      <c r="N12356" s="17" t="str">
        <f>IFERROR(__xludf.DUMMYFUNCTION("""COMPUTED_VALUE"""),"")</f>
        <v/>
      </c>
      <c r="O12356" s="17"/>
    </row>
    <row r="12357">
      <c r="B12357" s="17" t="s">
        <v>477</v>
      </c>
      <c r="K12357" s="18" t="s">
        <v>477</v>
      </c>
      <c r="N12357" s="17" t="str">
        <f>IFERROR(__xludf.DUMMYFUNCTION("""COMPUTED_VALUE"""),"")</f>
        <v/>
      </c>
      <c r="O12357" s="17"/>
    </row>
    <row r="12358">
      <c r="B12358" s="17" t="s">
        <v>477</v>
      </c>
      <c r="K12358" s="18" t="s">
        <v>477</v>
      </c>
      <c r="N12358" s="17" t="str">
        <f>IFERROR(__xludf.DUMMYFUNCTION("""COMPUTED_VALUE"""),"")</f>
        <v/>
      </c>
      <c r="O12358" s="17"/>
    </row>
    <row r="12359">
      <c r="B12359" s="17" t="s">
        <v>477</v>
      </c>
      <c r="K12359" s="18" t="s">
        <v>477</v>
      </c>
      <c r="N12359" s="17" t="str">
        <f>IFERROR(__xludf.DUMMYFUNCTION("""COMPUTED_VALUE"""),"")</f>
        <v/>
      </c>
      <c r="O12359" s="17"/>
    </row>
    <row r="12360">
      <c r="B12360" s="17" t="s">
        <v>477</v>
      </c>
      <c r="K12360" s="18" t="s">
        <v>477</v>
      </c>
      <c r="N12360" s="17" t="str">
        <f>IFERROR(__xludf.DUMMYFUNCTION("""COMPUTED_VALUE"""),"")</f>
        <v/>
      </c>
      <c r="O12360" s="17"/>
    </row>
    <row r="12361">
      <c r="B12361" s="17" t="s">
        <v>477</v>
      </c>
      <c r="K12361" s="18" t="s">
        <v>477</v>
      </c>
      <c r="N12361" s="17" t="str">
        <f>IFERROR(__xludf.DUMMYFUNCTION("""COMPUTED_VALUE"""),"")</f>
        <v/>
      </c>
      <c r="O12361" s="17"/>
    </row>
    <row r="12362">
      <c r="B12362" s="17" t="s">
        <v>477</v>
      </c>
      <c r="K12362" s="18" t="s">
        <v>477</v>
      </c>
      <c r="N12362" s="17" t="str">
        <f>IFERROR(__xludf.DUMMYFUNCTION("""COMPUTED_VALUE"""),"")</f>
        <v/>
      </c>
      <c r="O12362" s="17"/>
    </row>
    <row r="12363">
      <c r="B12363" s="17" t="s">
        <v>477</v>
      </c>
      <c r="K12363" s="18" t="s">
        <v>477</v>
      </c>
      <c r="N12363" s="17" t="str">
        <f>IFERROR(__xludf.DUMMYFUNCTION("""COMPUTED_VALUE"""),"")</f>
        <v/>
      </c>
      <c r="O12363" s="17"/>
    </row>
    <row r="12364">
      <c r="B12364" s="17" t="s">
        <v>477</v>
      </c>
      <c r="K12364" s="18" t="s">
        <v>477</v>
      </c>
      <c r="N12364" s="17" t="str">
        <f>IFERROR(__xludf.DUMMYFUNCTION("""COMPUTED_VALUE"""),"")</f>
        <v/>
      </c>
      <c r="O12364" s="17"/>
    </row>
    <row r="12365">
      <c r="B12365" s="17" t="s">
        <v>477</v>
      </c>
      <c r="K12365" s="18" t="s">
        <v>477</v>
      </c>
      <c r="N12365" s="17" t="str">
        <f>IFERROR(__xludf.DUMMYFUNCTION("""COMPUTED_VALUE"""),"")</f>
        <v/>
      </c>
      <c r="O12365" s="17"/>
    </row>
    <row r="12366">
      <c r="B12366" s="17" t="s">
        <v>477</v>
      </c>
      <c r="K12366" s="18" t="s">
        <v>477</v>
      </c>
      <c r="N12366" s="17" t="str">
        <f>IFERROR(__xludf.DUMMYFUNCTION("""COMPUTED_VALUE"""),"")</f>
        <v/>
      </c>
      <c r="O12366" s="17"/>
    </row>
    <row r="12367">
      <c r="B12367" s="17" t="s">
        <v>477</v>
      </c>
      <c r="K12367" s="18" t="s">
        <v>477</v>
      </c>
      <c r="N12367" s="17" t="str">
        <f>IFERROR(__xludf.DUMMYFUNCTION("""COMPUTED_VALUE"""),"")</f>
        <v/>
      </c>
      <c r="O12367" s="17"/>
    </row>
    <row r="12368">
      <c r="B12368" s="17" t="s">
        <v>477</v>
      </c>
      <c r="K12368" s="18" t="s">
        <v>477</v>
      </c>
      <c r="N12368" s="17" t="str">
        <f>IFERROR(__xludf.DUMMYFUNCTION("""COMPUTED_VALUE"""),"")</f>
        <v/>
      </c>
      <c r="O12368" s="17"/>
    </row>
    <row r="12369">
      <c r="B12369" s="17" t="s">
        <v>477</v>
      </c>
      <c r="K12369" s="18" t="s">
        <v>477</v>
      </c>
      <c r="N12369" s="17" t="str">
        <f>IFERROR(__xludf.DUMMYFUNCTION("""COMPUTED_VALUE"""),"")</f>
        <v/>
      </c>
      <c r="O12369" s="17"/>
    </row>
    <row r="12370">
      <c r="B12370" s="17" t="s">
        <v>477</v>
      </c>
      <c r="K12370" s="18" t="s">
        <v>477</v>
      </c>
      <c r="N12370" s="17" t="str">
        <f>IFERROR(__xludf.DUMMYFUNCTION("""COMPUTED_VALUE"""),"")</f>
        <v/>
      </c>
      <c r="O12370" s="17"/>
    </row>
    <row r="12371">
      <c r="B12371" s="17" t="s">
        <v>477</v>
      </c>
      <c r="K12371" s="18" t="s">
        <v>477</v>
      </c>
      <c r="N12371" s="17" t="str">
        <f>IFERROR(__xludf.DUMMYFUNCTION("""COMPUTED_VALUE"""),"")</f>
        <v/>
      </c>
      <c r="O12371" s="17"/>
    </row>
    <row r="12372">
      <c r="B12372" s="17" t="s">
        <v>477</v>
      </c>
      <c r="K12372" s="18" t="s">
        <v>477</v>
      </c>
      <c r="N12372" s="17" t="str">
        <f>IFERROR(__xludf.DUMMYFUNCTION("""COMPUTED_VALUE"""),"")</f>
        <v/>
      </c>
      <c r="O12372" s="17"/>
    </row>
    <row r="12373">
      <c r="B12373" s="17" t="s">
        <v>477</v>
      </c>
      <c r="K12373" s="18" t="s">
        <v>477</v>
      </c>
      <c r="N12373" s="17" t="str">
        <f>IFERROR(__xludf.DUMMYFUNCTION("""COMPUTED_VALUE"""),"")</f>
        <v/>
      </c>
      <c r="O12373" s="17"/>
    </row>
    <row r="12374">
      <c r="B12374" s="17" t="s">
        <v>477</v>
      </c>
      <c r="K12374" s="18" t="s">
        <v>477</v>
      </c>
      <c r="N12374" s="17" t="str">
        <f>IFERROR(__xludf.DUMMYFUNCTION("""COMPUTED_VALUE"""),"")</f>
        <v/>
      </c>
      <c r="O12374" s="17"/>
    </row>
    <row r="12375">
      <c r="B12375" s="17" t="s">
        <v>477</v>
      </c>
      <c r="K12375" s="18" t="s">
        <v>477</v>
      </c>
      <c r="N12375" s="17" t="str">
        <f>IFERROR(__xludf.DUMMYFUNCTION("""COMPUTED_VALUE"""),"")</f>
        <v/>
      </c>
      <c r="O12375" s="17"/>
    </row>
    <row r="12376">
      <c r="B12376" s="17" t="s">
        <v>477</v>
      </c>
      <c r="K12376" s="18" t="s">
        <v>477</v>
      </c>
      <c r="N12376" s="17" t="str">
        <f>IFERROR(__xludf.DUMMYFUNCTION("""COMPUTED_VALUE"""),"")</f>
        <v/>
      </c>
      <c r="O12376" s="17"/>
    </row>
    <row r="12377">
      <c r="B12377" s="17" t="s">
        <v>477</v>
      </c>
      <c r="K12377" s="18" t="s">
        <v>477</v>
      </c>
      <c r="N12377" s="17" t="str">
        <f>IFERROR(__xludf.DUMMYFUNCTION("""COMPUTED_VALUE"""),"")</f>
        <v/>
      </c>
      <c r="O12377" s="17"/>
    </row>
    <row r="12378">
      <c r="B12378" s="17" t="s">
        <v>477</v>
      </c>
      <c r="K12378" s="18" t="s">
        <v>477</v>
      </c>
      <c r="N12378" s="17" t="str">
        <f>IFERROR(__xludf.DUMMYFUNCTION("""COMPUTED_VALUE"""),"")</f>
        <v/>
      </c>
      <c r="O12378" s="17"/>
    </row>
    <row r="12379">
      <c r="B12379" s="17" t="s">
        <v>477</v>
      </c>
      <c r="K12379" s="18" t="s">
        <v>477</v>
      </c>
      <c r="N12379" s="17" t="str">
        <f>IFERROR(__xludf.DUMMYFUNCTION("""COMPUTED_VALUE"""),"")</f>
        <v/>
      </c>
      <c r="O12379" s="17"/>
    </row>
    <row r="12380">
      <c r="B12380" s="17" t="s">
        <v>477</v>
      </c>
      <c r="K12380" s="18" t="s">
        <v>477</v>
      </c>
      <c r="N12380" s="17" t="str">
        <f>IFERROR(__xludf.DUMMYFUNCTION("""COMPUTED_VALUE"""),"")</f>
        <v/>
      </c>
      <c r="O12380" s="17"/>
    </row>
    <row r="12381">
      <c r="B12381" s="17" t="s">
        <v>477</v>
      </c>
      <c r="K12381" s="18" t="s">
        <v>477</v>
      </c>
      <c r="N12381" s="17" t="str">
        <f>IFERROR(__xludf.DUMMYFUNCTION("""COMPUTED_VALUE"""),"")</f>
        <v/>
      </c>
      <c r="O12381" s="17"/>
    </row>
    <row r="12382">
      <c r="B12382" s="17" t="s">
        <v>477</v>
      </c>
      <c r="K12382" s="18" t="s">
        <v>477</v>
      </c>
      <c r="N12382" s="17" t="str">
        <f>IFERROR(__xludf.DUMMYFUNCTION("""COMPUTED_VALUE"""),"")</f>
        <v/>
      </c>
      <c r="O12382" s="17"/>
    </row>
    <row r="12383">
      <c r="B12383" s="17" t="s">
        <v>477</v>
      </c>
      <c r="K12383" s="18" t="s">
        <v>477</v>
      </c>
      <c r="N12383" s="17" t="str">
        <f>IFERROR(__xludf.DUMMYFUNCTION("""COMPUTED_VALUE"""),"")</f>
        <v/>
      </c>
      <c r="O12383" s="17"/>
    </row>
    <row r="12384">
      <c r="B12384" s="17" t="s">
        <v>477</v>
      </c>
      <c r="K12384" s="18" t="s">
        <v>477</v>
      </c>
      <c r="N12384" s="17" t="str">
        <f>IFERROR(__xludf.DUMMYFUNCTION("""COMPUTED_VALUE"""),"")</f>
        <v/>
      </c>
      <c r="O12384" s="17"/>
    </row>
    <row r="12385">
      <c r="B12385" s="17" t="s">
        <v>477</v>
      </c>
      <c r="K12385" s="18" t="s">
        <v>477</v>
      </c>
      <c r="N12385" s="17" t="str">
        <f>IFERROR(__xludf.DUMMYFUNCTION("""COMPUTED_VALUE"""),"")</f>
        <v/>
      </c>
      <c r="O12385" s="17"/>
    </row>
    <row r="12386">
      <c r="B12386" s="17" t="s">
        <v>477</v>
      </c>
      <c r="K12386" s="18" t="s">
        <v>477</v>
      </c>
      <c r="N12386" s="17" t="str">
        <f>IFERROR(__xludf.DUMMYFUNCTION("""COMPUTED_VALUE"""),"")</f>
        <v/>
      </c>
      <c r="O12386" s="17"/>
    </row>
    <row r="12387">
      <c r="B12387" s="17" t="s">
        <v>477</v>
      </c>
      <c r="K12387" s="18" t="s">
        <v>477</v>
      </c>
      <c r="N12387" s="17" t="str">
        <f>IFERROR(__xludf.DUMMYFUNCTION("""COMPUTED_VALUE"""),"")</f>
        <v/>
      </c>
      <c r="O12387" s="17"/>
    </row>
    <row r="12388">
      <c r="B12388" s="17" t="s">
        <v>477</v>
      </c>
      <c r="K12388" s="18" t="s">
        <v>477</v>
      </c>
      <c r="N12388" s="17" t="str">
        <f>IFERROR(__xludf.DUMMYFUNCTION("""COMPUTED_VALUE"""),"")</f>
        <v/>
      </c>
      <c r="O12388" s="17"/>
    </row>
    <row r="12389">
      <c r="B12389" s="17" t="s">
        <v>477</v>
      </c>
      <c r="K12389" s="18" t="s">
        <v>477</v>
      </c>
      <c r="N12389" s="17" t="str">
        <f>IFERROR(__xludf.DUMMYFUNCTION("""COMPUTED_VALUE"""),"")</f>
        <v/>
      </c>
      <c r="O12389" s="17"/>
    </row>
    <row r="12390">
      <c r="B12390" s="17" t="s">
        <v>477</v>
      </c>
      <c r="K12390" s="18" t="s">
        <v>477</v>
      </c>
      <c r="N12390" s="17" t="str">
        <f>IFERROR(__xludf.DUMMYFUNCTION("""COMPUTED_VALUE"""),"")</f>
        <v/>
      </c>
      <c r="O12390" s="17"/>
    </row>
    <row r="12391">
      <c r="B12391" s="17" t="s">
        <v>477</v>
      </c>
      <c r="K12391" s="18" t="s">
        <v>477</v>
      </c>
      <c r="N12391" s="17" t="str">
        <f>IFERROR(__xludf.DUMMYFUNCTION("""COMPUTED_VALUE"""),"")</f>
        <v/>
      </c>
      <c r="O12391" s="17"/>
    </row>
    <row r="12392">
      <c r="B12392" s="17" t="s">
        <v>477</v>
      </c>
      <c r="K12392" s="18" t="s">
        <v>477</v>
      </c>
      <c r="N12392" s="17" t="str">
        <f>IFERROR(__xludf.DUMMYFUNCTION("""COMPUTED_VALUE"""),"")</f>
        <v/>
      </c>
      <c r="O12392" s="17"/>
    </row>
    <row r="12393">
      <c r="B12393" s="17" t="s">
        <v>477</v>
      </c>
      <c r="K12393" s="18" t="s">
        <v>477</v>
      </c>
      <c r="N12393" s="17" t="str">
        <f>IFERROR(__xludf.DUMMYFUNCTION("""COMPUTED_VALUE"""),"")</f>
        <v/>
      </c>
      <c r="O12393" s="17"/>
    </row>
    <row r="12394">
      <c r="B12394" s="17" t="s">
        <v>477</v>
      </c>
      <c r="K12394" s="18" t="s">
        <v>477</v>
      </c>
      <c r="N12394" s="17" t="str">
        <f>IFERROR(__xludf.DUMMYFUNCTION("""COMPUTED_VALUE"""),"")</f>
        <v/>
      </c>
      <c r="O12394" s="17"/>
    </row>
    <row r="12395">
      <c r="B12395" s="17" t="s">
        <v>477</v>
      </c>
      <c r="K12395" s="18" t="s">
        <v>477</v>
      </c>
      <c r="N12395" s="17" t="str">
        <f>IFERROR(__xludf.DUMMYFUNCTION("""COMPUTED_VALUE"""),"")</f>
        <v/>
      </c>
      <c r="O12395" s="17"/>
    </row>
    <row r="12396">
      <c r="B12396" s="17" t="s">
        <v>477</v>
      </c>
      <c r="K12396" s="18" t="s">
        <v>477</v>
      </c>
      <c r="N12396" s="17" t="str">
        <f>IFERROR(__xludf.DUMMYFUNCTION("""COMPUTED_VALUE"""),"")</f>
        <v/>
      </c>
      <c r="O12396" s="17"/>
    </row>
    <row r="12397">
      <c r="B12397" s="17" t="s">
        <v>477</v>
      </c>
      <c r="K12397" s="18" t="s">
        <v>477</v>
      </c>
      <c r="N12397" s="17" t="str">
        <f>IFERROR(__xludf.DUMMYFUNCTION("""COMPUTED_VALUE"""),"")</f>
        <v/>
      </c>
      <c r="O12397" s="17"/>
    </row>
    <row r="12398">
      <c r="B12398" s="17" t="s">
        <v>477</v>
      </c>
      <c r="K12398" s="18" t="s">
        <v>477</v>
      </c>
      <c r="N12398" s="17" t="str">
        <f>IFERROR(__xludf.DUMMYFUNCTION("""COMPUTED_VALUE"""),"")</f>
        <v/>
      </c>
      <c r="O12398" s="17"/>
    </row>
    <row r="12399">
      <c r="B12399" s="17" t="s">
        <v>477</v>
      </c>
      <c r="K12399" s="18" t="s">
        <v>477</v>
      </c>
      <c r="N12399" s="17" t="str">
        <f>IFERROR(__xludf.DUMMYFUNCTION("""COMPUTED_VALUE"""),"")</f>
        <v/>
      </c>
      <c r="O12399" s="17"/>
    </row>
    <row r="12400">
      <c r="B12400" s="17" t="s">
        <v>477</v>
      </c>
      <c r="K12400" s="18" t="s">
        <v>477</v>
      </c>
      <c r="N12400" s="17" t="str">
        <f>IFERROR(__xludf.DUMMYFUNCTION("""COMPUTED_VALUE"""),"")</f>
        <v/>
      </c>
      <c r="O12400" s="17"/>
    </row>
    <row r="12401">
      <c r="B12401" s="17" t="s">
        <v>477</v>
      </c>
      <c r="K12401" s="18" t="s">
        <v>477</v>
      </c>
      <c r="N12401" s="17" t="str">
        <f>IFERROR(__xludf.DUMMYFUNCTION("""COMPUTED_VALUE"""),"")</f>
        <v/>
      </c>
      <c r="O12401" s="17"/>
    </row>
    <row r="12402">
      <c r="B12402" s="17" t="s">
        <v>477</v>
      </c>
      <c r="K12402" s="18" t="s">
        <v>477</v>
      </c>
      <c r="N12402" s="17" t="str">
        <f>IFERROR(__xludf.DUMMYFUNCTION("""COMPUTED_VALUE"""),"")</f>
        <v/>
      </c>
      <c r="O12402" s="17"/>
    </row>
    <row r="12403">
      <c r="B12403" s="17" t="s">
        <v>477</v>
      </c>
      <c r="K12403" s="18" t="s">
        <v>477</v>
      </c>
      <c r="N12403" s="17" t="str">
        <f>IFERROR(__xludf.DUMMYFUNCTION("""COMPUTED_VALUE"""),"")</f>
        <v/>
      </c>
      <c r="O12403" s="17"/>
    </row>
    <row r="12404">
      <c r="B12404" s="17" t="s">
        <v>477</v>
      </c>
      <c r="K12404" s="18" t="s">
        <v>477</v>
      </c>
      <c r="N12404" s="17" t="str">
        <f>IFERROR(__xludf.DUMMYFUNCTION("""COMPUTED_VALUE"""),"")</f>
        <v/>
      </c>
      <c r="O12404" s="17"/>
    </row>
    <row r="12405">
      <c r="B12405" s="17" t="s">
        <v>477</v>
      </c>
      <c r="K12405" s="18" t="s">
        <v>477</v>
      </c>
      <c r="N12405" s="17" t="str">
        <f>IFERROR(__xludf.DUMMYFUNCTION("""COMPUTED_VALUE"""),"")</f>
        <v/>
      </c>
      <c r="O12405" s="17"/>
    </row>
    <row r="12406">
      <c r="B12406" s="17" t="s">
        <v>477</v>
      </c>
      <c r="K12406" s="18" t="s">
        <v>477</v>
      </c>
      <c r="N12406" s="17" t="str">
        <f>IFERROR(__xludf.DUMMYFUNCTION("""COMPUTED_VALUE"""),"")</f>
        <v/>
      </c>
      <c r="O12406" s="17"/>
    </row>
    <row r="12407">
      <c r="B12407" s="17" t="s">
        <v>477</v>
      </c>
      <c r="K12407" s="18" t="s">
        <v>477</v>
      </c>
      <c r="N12407" s="17" t="str">
        <f>IFERROR(__xludf.DUMMYFUNCTION("""COMPUTED_VALUE"""),"")</f>
        <v/>
      </c>
      <c r="O12407" s="17"/>
    </row>
    <row r="12408">
      <c r="B12408" s="17" t="s">
        <v>477</v>
      </c>
      <c r="K12408" s="18" t="s">
        <v>477</v>
      </c>
      <c r="N12408" s="17" t="str">
        <f>IFERROR(__xludf.DUMMYFUNCTION("""COMPUTED_VALUE"""),"")</f>
        <v/>
      </c>
      <c r="O12408" s="17"/>
    </row>
    <row r="12409">
      <c r="B12409" s="17" t="s">
        <v>477</v>
      </c>
      <c r="K12409" s="18" t="s">
        <v>477</v>
      </c>
      <c r="N12409" s="17" t="str">
        <f>IFERROR(__xludf.DUMMYFUNCTION("""COMPUTED_VALUE"""),"")</f>
        <v/>
      </c>
      <c r="O12409" s="17"/>
    </row>
    <row r="12410">
      <c r="B12410" s="17" t="s">
        <v>477</v>
      </c>
      <c r="K12410" s="18" t="s">
        <v>477</v>
      </c>
      <c r="N12410" s="17" t="str">
        <f>IFERROR(__xludf.DUMMYFUNCTION("""COMPUTED_VALUE"""),"")</f>
        <v/>
      </c>
      <c r="O12410" s="17"/>
    </row>
    <row r="12411">
      <c r="B12411" s="17" t="s">
        <v>477</v>
      </c>
      <c r="K12411" s="18" t="s">
        <v>477</v>
      </c>
      <c r="N12411" s="17" t="str">
        <f>IFERROR(__xludf.DUMMYFUNCTION("""COMPUTED_VALUE"""),"")</f>
        <v/>
      </c>
      <c r="O12411" s="17"/>
    </row>
    <row r="12412">
      <c r="B12412" s="17" t="s">
        <v>477</v>
      </c>
      <c r="K12412" s="18" t="s">
        <v>477</v>
      </c>
      <c r="N12412" s="17" t="str">
        <f>IFERROR(__xludf.DUMMYFUNCTION("""COMPUTED_VALUE"""),"")</f>
        <v/>
      </c>
      <c r="O12412" s="17"/>
    </row>
    <row r="12413">
      <c r="B12413" s="17" t="s">
        <v>477</v>
      </c>
      <c r="K12413" s="18" t="s">
        <v>477</v>
      </c>
      <c r="N12413" s="17" t="str">
        <f>IFERROR(__xludf.DUMMYFUNCTION("""COMPUTED_VALUE"""),"")</f>
        <v/>
      </c>
      <c r="O12413" s="17"/>
    </row>
    <row r="12414">
      <c r="B12414" s="17" t="s">
        <v>477</v>
      </c>
      <c r="K12414" s="18" t="s">
        <v>477</v>
      </c>
      <c r="N12414" s="17" t="str">
        <f>IFERROR(__xludf.DUMMYFUNCTION("""COMPUTED_VALUE"""),"")</f>
        <v/>
      </c>
      <c r="O12414" s="17"/>
    </row>
    <row r="12415">
      <c r="B12415" s="17" t="s">
        <v>477</v>
      </c>
      <c r="K12415" s="18" t="s">
        <v>477</v>
      </c>
      <c r="N12415" s="17" t="str">
        <f>IFERROR(__xludf.DUMMYFUNCTION("""COMPUTED_VALUE"""),"")</f>
        <v/>
      </c>
      <c r="O12415" s="17"/>
    </row>
    <row r="12416">
      <c r="B12416" s="17" t="s">
        <v>477</v>
      </c>
      <c r="K12416" s="18" t="s">
        <v>477</v>
      </c>
      <c r="N12416" s="17" t="str">
        <f>IFERROR(__xludf.DUMMYFUNCTION("""COMPUTED_VALUE"""),"")</f>
        <v/>
      </c>
      <c r="O12416" s="17"/>
    </row>
    <row r="12417">
      <c r="B12417" s="17" t="s">
        <v>477</v>
      </c>
      <c r="K12417" s="18" t="s">
        <v>477</v>
      </c>
      <c r="N12417" s="17" t="str">
        <f>IFERROR(__xludf.DUMMYFUNCTION("""COMPUTED_VALUE"""),"")</f>
        <v/>
      </c>
      <c r="O12417" s="17"/>
    </row>
    <row r="12418">
      <c r="B12418" s="17" t="s">
        <v>477</v>
      </c>
      <c r="K12418" s="18" t="s">
        <v>477</v>
      </c>
      <c r="N12418" s="17" t="str">
        <f>IFERROR(__xludf.DUMMYFUNCTION("""COMPUTED_VALUE"""),"")</f>
        <v/>
      </c>
      <c r="O12418" s="17"/>
    </row>
    <row r="12419">
      <c r="B12419" s="17" t="s">
        <v>477</v>
      </c>
      <c r="K12419" s="18" t="s">
        <v>477</v>
      </c>
      <c r="N12419" s="17" t="str">
        <f>IFERROR(__xludf.DUMMYFUNCTION("""COMPUTED_VALUE"""),"")</f>
        <v/>
      </c>
      <c r="O12419" s="17"/>
    </row>
    <row r="12420">
      <c r="B12420" s="17" t="s">
        <v>477</v>
      </c>
      <c r="K12420" s="18" t="s">
        <v>477</v>
      </c>
      <c r="N12420" s="17" t="str">
        <f>IFERROR(__xludf.DUMMYFUNCTION("""COMPUTED_VALUE"""),"")</f>
        <v/>
      </c>
      <c r="O12420" s="17"/>
    </row>
    <row r="12421">
      <c r="B12421" s="17" t="s">
        <v>477</v>
      </c>
      <c r="K12421" s="18" t="s">
        <v>477</v>
      </c>
      <c r="N12421" s="17" t="str">
        <f>IFERROR(__xludf.DUMMYFUNCTION("""COMPUTED_VALUE"""),"")</f>
        <v/>
      </c>
      <c r="O12421" s="17"/>
    </row>
    <row r="12422">
      <c r="B12422" s="17" t="s">
        <v>477</v>
      </c>
      <c r="K12422" s="18" t="s">
        <v>477</v>
      </c>
      <c r="N12422" s="17" t="str">
        <f>IFERROR(__xludf.DUMMYFUNCTION("""COMPUTED_VALUE"""),"")</f>
        <v/>
      </c>
      <c r="O12422" s="17"/>
    </row>
    <row r="12423">
      <c r="B12423" s="17" t="s">
        <v>477</v>
      </c>
      <c r="K12423" s="18" t="s">
        <v>477</v>
      </c>
      <c r="N12423" s="17" t="str">
        <f>IFERROR(__xludf.DUMMYFUNCTION("""COMPUTED_VALUE"""),"")</f>
        <v/>
      </c>
      <c r="O12423" s="17"/>
    </row>
    <row r="12424">
      <c r="B12424" s="17" t="s">
        <v>477</v>
      </c>
      <c r="K12424" s="18" t="s">
        <v>477</v>
      </c>
      <c r="N12424" s="17" t="str">
        <f>IFERROR(__xludf.DUMMYFUNCTION("""COMPUTED_VALUE"""),"")</f>
        <v/>
      </c>
      <c r="O12424" s="17"/>
    </row>
    <row r="12425">
      <c r="B12425" s="17" t="s">
        <v>477</v>
      </c>
      <c r="K12425" s="18" t="s">
        <v>477</v>
      </c>
      <c r="N12425" s="17" t="str">
        <f>IFERROR(__xludf.DUMMYFUNCTION("""COMPUTED_VALUE"""),"")</f>
        <v/>
      </c>
      <c r="O12425" s="17"/>
    </row>
    <row r="12426">
      <c r="B12426" s="17" t="s">
        <v>477</v>
      </c>
      <c r="K12426" s="18" t="s">
        <v>477</v>
      </c>
      <c r="N12426" s="17" t="str">
        <f>IFERROR(__xludf.DUMMYFUNCTION("""COMPUTED_VALUE"""),"")</f>
        <v/>
      </c>
      <c r="O12426" s="17"/>
    </row>
    <row r="12427">
      <c r="B12427" s="17" t="s">
        <v>477</v>
      </c>
      <c r="K12427" s="18" t="s">
        <v>477</v>
      </c>
      <c r="N12427" s="17" t="str">
        <f>IFERROR(__xludf.DUMMYFUNCTION("""COMPUTED_VALUE"""),"")</f>
        <v/>
      </c>
      <c r="O12427" s="17"/>
    </row>
    <row r="12428">
      <c r="B12428" s="17" t="s">
        <v>477</v>
      </c>
      <c r="K12428" s="18" t="s">
        <v>477</v>
      </c>
      <c r="N12428" s="17" t="str">
        <f>IFERROR(__xludf.DUMMYFUNCTION("""COMPUTED_VALUE"""),"")</f>
        <v/>
      </c>
      <c r="O12428" s="17"/>
    </row>
    <row r="12429">
      <c r="B12429" s="17" t="s">
        <v>477</v>
      </c>
      <c r="K12429" s="18" t="s">
        <v>477</v>
      </c>
      <c r="N12429" s="17" t="str">
        <f>IFERROR(__xludf.DUMMYFUNCTION("""COMPUTED_VALUE"""),"")</f>
        <v/>
      </c>
      <c r="O12429" s="17"/>
    </row>
    <row r="12430">
      <c r="B12430" s="17" t="s">
        <v>477</v>
      </c>
      <c r="K12430" s="18" t="s">
        <v>477</v>
      </c>
      <c r="N12430" s="17" t="str">
        <f>IFERROR(__xludf.DUMMYFUNCTION("""COMPUTED_VALUE"""),"")</f>
        <v/>
      </c>
      <c r="O12430" s="17"/>
    </row>
    <row r="12431">
      <c r="B12431" s="17" t="s">
        <v>477</v>
      </c>
      <c r="K12431" s="18" t="s">
        <v>477</v>
      </c>
      <c r="N12431" s="17" t="str">
        <f>IFERROR(__xludf.DUMMYFUNCTION("""COMPUTED_VALUE"""),"")</f>
        <v/>
      </c>
      <c r="O12431" s="17"/>
    </row>
    <row r="12432">
      <c r="B12432" s="17" t="s">
        <v>477</v>
      </c>
      <c r="K12432" s="18" t="s">
        <v>477</v>
      </c>
      <c r="N12432" s="17" t="str">
        <f>IFERROR(__xludf.DUMMYFUNCTION("""COMPUTED_VALUE"""),"")</f>
        <v/>
      </c>
      <c r="O12432" s="17"/>
    </row>
    <row r="12433">
      <c r="B12433" s="17" t="s">
        <v>477</v>
      </c>
      <c r="K12433" s="18" t="s">
        <v>477</v>
      </c>
      <c r="N12433" s="17" t="str">
        <f>IFERROR(__xludf.DUMMYFUNCTION("""COMPUTED_VALUE"""),"")</f>
        <v/>
      </c>
      <c r="O12433" s="17"/>
    </row>
    <row r="12434">
      <c r="B12434" s="17" t="s">
        <v>477</v>
      </c>
      <c r="K12434" s="18" t="s">
        <v>477</v>
      </c>
      <c r="N12434" s="17" t="str">
        <f>IFERROR(__xludf.DUMMYFUNCTION("""COMPUTED_VALUE"""),"")</f>
        <v/>
      </c>
      <c r="O12434" s="17"/>
    </row>
    <row r="12435">
      <c r="B12435" s="17" t="s">
        <v>477</v>
      </c>
      <c r="K12435" s="18" t="s">
        <v>477</v>
      </c>
      <c r="N12435" s="17" t="str">
        <f>IFERROR(__xludf.DUMMYFUNCTION("""COMPUTED_VALUE"""),"")</f>
        <v/>
      </c>
      <c r="O12435" s="17"/>
    </row>
    <row r="12436">
      <c r="B12436" s="17" t="s">
        <v>477</v>
      </c>
      <c r="K12436" s="18" t="s">
        <v>477</v>
      </c>
      <c r="N12436" s="17" t="str">
        <f>IFERROR(__xludf.DUMMYFUNCTION("""COMPUTED_VALUE"""),"")</f>
        <v/>
      </c>
      <c r="O12436" s="17"/>
    </row>
    <row r="12437">
      <c r="B12437" s="17" t="s">
        <v>477</v>
      </c>
      <c r="K12437" s="18" t="s">
        <v>477</v>
      </c>
      <c r="N12437" s="17" t="str">
        <f>IFERROR(__xludf.DUMMYFUNCTION("""COMPUTED_VALUE"""),"")</f>
        <v/>
      </c>
      <c r="O12437" s="17"/>
    </row>
    <row r="12438">
      <c r="B12438" s="17" t="s">
        <v>477</v>
      </c>
      <c r="K12438" s="18" t="s">
        <v>477</v>
      </c>
      <c r="N12438" s="17" t="str">
        <f>IFERROR(__xludf.DUMMYFUNCTION("""COMPUTED_VALUE"""),"")</f>
        <v/>
      </c>
      <c r="O12438" s="17"/>
    </row>
    <row r="12439">
      <c r="B12439" s="17" t="s">
        <v>477</v>
      </c>
      <c r="K12439" s="18" t="s">
        <v>477</v>
      </c>
      <c r="N12439" s="17" t="str">
        <f>IFERROR(__xludf.DUMMYFUNCTION("""COMPUTED_VALUE"""),"")</f>
        <v/>
      </c>
      <c r="O12439" s="17"/>
    </row>
    <row r="12440">
      <c r="B12440" s="17" t="s">
        <v>477</v>
      </c>
      <c r="K12440" s="18" t="s">
        <v>477</v>
      </c>
      <c r="N12440" s="17" t="str">
        <f>IFERROR(__xludf.DUMMYFUNCTION("""COMPUTED_VALUE"""),"")</f>
        <v/>
      </c>
      <c r="O12440" s="17"/>
    </row>
    <row r="12441">
      <c r="B12441" s="17" t="s">
        <v>477</v>
      </c>
      <c r="K12441" s="18" t="s">
        <v>477</v>
      </c>
      <c r="N12441" s="17" t="str">
        <f>IFERROR(__xludf.DUMMYFUNCTION("""COMPUTED_VALUE"""),"")</f>
        <v/>
      </c>
      <c r="O12441" s="17"/>
    </row>
    <row r="12442">
      <c r="B12442" s="17" t="s">
        <v>477</v>
      </c>
      <c r="K12442" s="18" t="s">
        <v>477</v>
      </c>
      <c r="N12442" s="17" t="str">
        <f>IFERROR(__xludf.DUMMYFUNCTION("""COMPUTED_VALUE"""),"")</f>
        <v/>
      </c>
      <c r="O12442" s="17"/>
    </row>
    <row r="12443">
      <c r="B12443" s="17" t="s">
        <v>477</v>
      </c>
      <c r="K12443" s="18" t="s">
        <v>477</v>
      </c>
      <c r="N12443" s="17" t="str">
        <f>IFERROR(__xludf.DUMMYFUNCTION("""COMPUTED_VALUE"""),"")</f>
        <v/>
      </c>
      <c r="O12443" s="17"/>
    </row>
    <row r="12444">
      <c r="B12444" s="17" t="s">
        <v>477</v>
      </c>
      <c r="K12444" s="18" t="s">
        <v>477</v>
      </c>
      <c r="N12444" s="17" t="str">
        <f>IFERROR(__xludf.DUMMYFUNCTION("""COMPUTED_VALUE"""),"")</f>
        <v/>
      </c>
      <c r="O12444" s="17"/>
    </row>
    <row r="12445">
      <c r="B12445" s="17" t="s">
        <v>477</v>
      </c>
      <c r="K12445" s="18" t="s">
        <v>477</v>
      </c>
      <c r="N12445" s="17" t="str">
        <f>IFERROR(__xludf.DUMMYFUNCTION("""COMPUTED_VALUE"""),"")</f>
        <v/>
      </c>
      <c r="O12445" s="17"/>
    </row>
    <row r="12446">
      <c r="B12446" s="17" t="s">
        <v>477</v>
      </c>
      <c r="K12446" s="18" t="s">
        <v>477</v>
      </c>
      <c r="N12446" s="17" t="str">
        <f>IFERROR(__xludf.DUMMYFUNCTION("""COMPUTED_VALUE"""),"")</f>
        <v/>
      </c>
      <c r="O12446" s="17"/>
    </row>
    <row r="12447">
      <c r="B12447" s="17" t="s">
        <v>477</v>
      </c>
      <c r="K12447" s="18" t="s">
        <v>477</v>
      </c>
      <c r="N12447" s="17" t="str">
        <f>IFERROR(__xludf.DUMMYFUNCTION("""COMPUTED_VALUE"""),"")</f>
        <v/>
      </c>
      <c r="O12447" s="17"/>
    </row>
    <row r="12448">
      <c r="B12448" s="17" t="s">
        <v>477</v>
      </c>
      <c r="K12448" s="18" t="s">
        <v>477</v>
      </c>
      <c r="N12448" s="17" t="str">
        <f>IFERROR(__xludf.DUMMYFUNCTION("""COMPUTED_VALUE"""),"")</f>
        <v/>
      </c>
      <c r="O12448" s="17"/>
    </row>
    <row r="12449">
      <c r="B12449" s="17" t="s">
        <v>477</v>
      </c>
      <c r="K12449" s="18" t="s">
        <v>477</v>
      </c>
      <c r="N12449" s="17" t="str">
        <f>IFERROR(__xludf.DUMMYFUNCTION("""COMPUTED_VALUE"""),"")</f>
        <v/>
      </c>
      <c r="O12449" s="17"/>
    </row>
    <row r="12450">
      <c r="B12450" s="17" t="s">
        <v>477</v>
      </c>
      <c r="K12450" s="18" t="s">
        <v>477</v>
      </c>
      <c r="N12450" s="17" t="str">
        <f>IFERROR(__xludf.DUMMYFUNCTION("""COMPUTED_VALUE"""),"")</f>
        <v/>
      </c>
      <c r="O12450" s="17"/>
    </row>
    <row r="12451">
      <c r="B12451" s="17" t="s">
        <v>477</v>
      </c>
      <c r="K12451" s="18" t="s">
        <v>477</v>
      </c>
      <c r="N12451" s="17" t="str">
        <f>IFERROR(__xludf.DUMMYFUNCTION("""COMPUTED_VALUE"""),"")</f>
        <v/>
      </c>
      <c r="O12451" s="17"/>
    </row>
    <row r="12452">
      <c r="B12452" s="17" t="s">
        <v>477</v>
      </c>
      <c r="K12452" s="18" t="s">
        <v>477</v>
      </c>
      <c r="N12452" s="17" t="str">
        <f>IFERROR(__xludf.DUMMYFUNCTION("""COMPUTED_VALUE"""),"")</f>
        <v/>
      </c>
      <c r="O12452" s="17"/>
    </row>
    <row r="12453">
      <c r="B12453" s="17" t="s">
        <v>477</v>
      </c>
      <c r="K12453" s="18" t="s">
        <v>477</v>
      </c>
      <c r="N12453" s="17" t="str">
        <f>IFERROR(__xludf.DUMMYFUNCTION("""COMPUTED_VALUE"""),"")</f>
        <v/>
      </c>
      <c r="O12453" s="17"/>
    </row>
    <row r="12454">
      <c r="B12454" s="17" t="s">
        <v>477</v>
      </c>
      <c r="K12454" s="18" t="s">
        <v>477</v>
      </c>
      <c r="N12454" s="17" t="str">
        <f>IFERROR(__xludf.DUMMYFUNCTION("""COMPUTED_VALUE"""),"")</f>
        <v/>
      </c>
      <c r="O12454" s="17"/>
    </row>
    <row r="12455">
      <c r="B12455" s="17" t="s">
        <v>477</v>
      </c>
      <c r="K12455" s="18" t="s">
        <v>477</v>
      </c>
      <c r="N12455" s="17" t="str">
        <f>IFERROR(__xludf.DUMMYFUNCTION("""COMPUTED_VALUE"""),"")</f>
        <v/>
      </c>
      <c r="O12455" s="17"/>
    </row>
    <row r="12456">
      <c r="B12456" s="17" t="s">
        <v>477</v>
      </c>
      <c r="K12456" s="18" t="s">
        <v>477</v>
      </c>
      <c r="N12456" s="17" t="str">
        <f>IFERROR(__xludf.DUMMYFUNCTION("""COMPUTED_VALUE"""),"")</f>
        <v/>
      </c>
      <c r="O12456" s="17"/>
    </row>
    <row r="12457">
      <c r="B12457" s="17" t="s">
        <v>477</v>
      </c>
      <c r="K12457" s="18" t="s">
        <v>477</v>
      </c>
      <c r="N12457" s="17" t="str">
        <f>IFERROR(__xludf.DUMMYFUNCTION("""COMPUTED_VALUE"""),"")</f>
        <v/>
      </c>
      <c r="O12457" s="17"/>
    </row>
    <row r="12458">
      <c r="B12458" s="17" t="s">
        <v>477</v>
      </c>
      <c r="K12458" s="18" t="s">
        <v>477</v>
      </c>
      <c r="N12458" s="17" t="str">
        <f>IFERROR(__xludf.DUMMYFUNCTION("""COMPUTED_VALUE"""),"")</f>
        <v/>
      </c>
      <c r="O12458" s="17"/>
    </row>
    <row r="12459">
      <c r="B12459" s="17" t="s">
        <v>477</v>
      </c>
      <c r="K12459" s="18" t="s">
        <v>477</v>
      </c>
      <c r="N12459" s="17" t="str">
        <f>IFERROR(__xludf.DUMMYFUNCTION("""COMPUTED_VALUE"""),"")</f>
        <v/>
      </c>
      <c r="O12459" s="17"/>
    </row>
    <row r="12460">
      <c r="B12460" s="17" t="s">
        <v>477</v>
      </c>
      <c r="K12460" s="18" t="s">
        <v>477</v>
      </c>
      <c r="N12460" s="17" t="str">
        <f>IFERROR(__xludf.DUMMYFUNCTION("""COMPUTED_VALUE"""),"")</f>
        <v/>
      </c>
      <c r="O12460" s="17"/>
    </row>
    <row r="12461">
      <c r="B12461" s="17" t="s">
        <v>477</v>
      </c>
      <c r="K12461" s="18" t="s">
        <v>477</v>
      </c>
      <c r="N12461" s="17" t="str">
        <f>IFERROR(__xludf.DUMMYFUNCTION("""COMPUTED_VALUE"""),"")</f>
        <v/>
      </c>
      <c r="O12461" s="17"/>
    </row>
    <row r="12462">
      <c r="B12462" s="17" t="s">
        <v>477</v>
      </c>
      <c r="K12462" s="18" t="s">
        <v>477</v>
      </c>
      <c r="N12462" s="17" t="str">
        <f>IFERROR(__xludf.DUMMYFUNCTION("""COMPUTED_VALUE"""),"")</f>
        <v/>
      </c>
      <c r="O12462" s="17"/>
    </row>
    <row r="12463">
      <c r="B12463" s="17" t="s">
        <v>477</v>
      </c>
      <c r="K12463" s="18" t="s">
        <v>477</v>
      </c>
      <c r="N12463" s="17" t="str">
        <f>IFERROR(__xludf.DUMMYFUNCTION("""COMPUTED_VALUE"""),"")</f>
        <v/>
      </c>
      <c r="O12463" s="17"/>
    </row>
    <row r="12464">
      <c r="B12464" s="17" t="s">
        <v>477</v>
      </c>
      <c r="K12464" s="18" t="s">
        <v>477</v>
      </c>
      <c r="N12464" s="17" t="str">
        <f>IFERROR(__xludf.DUMMYFUNCTION("""COMPUTED_VALUE"""),"")</f>
        <v/>
      </c>
      <c r="O12464" s="17"/>
    </row>
    <row r="12465">
      <c r="B12465" s="17" t="s">
        <v>477</v>
      </c>
      <c r="K12465" s="18" t="s">
        <v>477</v>
      </c>
      <c r="N12465" s="17" t="str">
        <f>IFERROR(__xludf.DUMMYFUNCTION("""COMPUTED_VALUE"""),"")</f>
        <v/>
      </c>
      <c r="O12465" s="17"/>
    </row>
    <row r="12466">
      <c r="B12466" s="17" t="s">
        <v>477</v>
      </c>
      <c r="K12466" s="18" t="s">
        <v>477</v>
      </c>
      <c r="N12466" s="17" t="str">
        <f>IFERROR(__xludf.DUMMYFUNCTION("""COMPUTED_VALUE"""),"")</f>
        <v/>
      </c>
      <c r="O12466" s="17"/>
    </row>
    <row r="12467">
      <c r="B12467" s="17" t="s">
        <v>477</v>
      </c>
      <c r="K12467" s="18" t="s">
        <v>477</v>
      </c>
      <c r="N12467" s="17" t="str">
        <f>IFERROR(__xludf.DUMMYFUNCTION("""COMPUTED_VALUE"""),"")</f>
        <v/>
      </c>
      <c r="O12467" s="17"/>
    </row>
    <row r="12468">
      <c r="B12468" s="17" t="s">
        <v>477</v>
      </c>
      <c r="K12468" s="18" t="s">
        <v>477</v>
      </c>
      <c r="N12468" s="17" t="str">
        <f>IFERROR(__xludf.DUMMYFUNCTION("""COMPUTED_VALUE"""),"")</f>
        <v/>
      </c>
      <c r="O12468" s="17"/>
    </row>
    <row r="12469">
      <c r="B12469" s="17" t="s">
        <v>477</v>
      </c>
      <c r="K12469" s="18" t="s">
        <v>477</v>
      </c>
      <c r="N12469" s="17" t="str">
        <f>IFERROR(__xludf.DUMMYFUNCTION("""COMPUTED_VALUE"""),"")</f>
        <v/>
      </c>
      <c r="O12469" s="17"/>
    </row>
    <row r="12470">
      <c r="B12470" s="17" t="s">
        <v>477</v>
      </c>
      <c r="K12470" s="18" t="s">
        <v>477</v>
      </c>
      <c r="N12470" s="17" t="str">
        <f>IFERROR(__xludf.DUMMYFUNCTION("""COMPUTED_VALUE"""),"")</f>
        <v/>
      </c>
      <c r="O12470" s="17"/>
    </row>
    <row r="12471">
      <c r="B12471" s="17" t="s">
        <v>477</v>
      </c>
      <c r="K12471" s="18" t="s">
        <v>477</v>
      </c>
      <c r="N12471" s="17" t="str">
        <f>IFERROR(__xludf.DUMMYFUNCTION("""COMPUTED_VALUE"""),"")</f>
        <v/>
      </c>
      <c r="O12471" s="17"/>
    </row>
    <row r="12472">
      <c r="B12472" s="17" t="s">
        <v>477</v>
      </c>
      <c r="K12472" s="18" t="s">
        <v>477</v>
      </c>
      <c r="N12472" s="17" t="str">
        <f>IFERROR(__xludf.DUMMYFUNCTION("""COMPUTED_VALUE"""),"")</f>
        <v/>
      </c>
      <c r="O12472" s="17"/>
    </row>
    <row r="12473">
      <c r="B12473" s="17" t="s">
        <v>477</v>
      </c>
      <c r="K12473" s="18" t="s">
        <v>477</v>
      </c>
      <c r="N12473" s="17" t="str">
        <f>IFERROR(__xludf.DUMMYFUNCTION("""COMPUTED_VALUE"""),"")</f>
        <v/>
      </c>
      <c r="O12473" s="17"/>
    </row>
    <row r="12474">
      <c r="B12474" s="17" t="s">
        <v>477</v>
      </c>
      <c r="K12474" s="18" t="s">
        <v>477</v>
      </c>
      <c r="N12474" s="17" t="str">
        <f>IFERROR(__xludf.DUMMYFUNCTION("""COMPUTED_VALUE"""),"")</f>
        <v/>
      </c>
      <c r="O12474" s="17"/>
    </row>
    <row r="12475">
      <c r="B12475" s="17" t="s">
        <v>477</v>
      </c>
      <c r="K12475" s="18" t="s">
        <v>477</v>
      </c>
      <c r="N12475" s="17" t="str">
        <f>IFERROR(__xludf.DUMMYFUNCTION("""COMPUTED_VALUE"""),"")</f>
        <v/>
      </c>
      <c r="O12475" s="17"/>
    </row>
    <row r="12476">
      <c r="B12476" s="17" t="s">
        <v>477</v>
      </c>
      <c r="K12476" s="18" t="s">
        <v>477</v>
      </c>
      <c r="N12476" s="17" t="str">
        <f>IFERROR(__xludf.DUMMYFUNCTION("""COMPUTED_VALUE"""),"")</f>
        <v/>
      </c>
      <c r="O12476" s="17"/>
    </row>
    <row r="12477">
      <c r="B12477" s="17" t="s">
        <v>477</v>
      </c>
      <c r="K12477" s="18" t="s">
        <v>477</v>
      </c>
      <c r="N12477" s="17" t="str">
        <f>IFERROR(__xludf.DUMMYFUNCTION("""COMPUTED_VALUE"""),"")</f>
        <v/>
      </c>
      <c r="O12477" s="17"/>
    </row>
    <row r="12478">
      <c r="B12478" s="17" t="s">
        <v>477</v>
      </c>
      <c r="K12478" s="18" t="s">
        <v>477</v>
      </c>
      <c r="N12478" s="17" t="str">
        <f>IFERROR(__xludf.DUMMYFUNCTION("""COMPUTED_VALUE"""),"")</f>
        <v/>
      </c>
      <c r="O12478" s="17"/>
    </row>
    <row r="12479">
      <c r="B12479" s="17" t="s">
        <v>477</v>
      </c>
      <c r="K12479" s="18" t="s">
        <v>477</v>
      </c>
      <c r="N12479" s="17" t="str">
        <f>IFERROR(__xludf.DUMMYFUNCTION("""COMPUTED_VALUE"""),"")</f>
        <v/>
      </c>
      <c r="O12479" s="17"/>
    </row>
    <row r="12480">
      <c r="B12480" s="17" t="s">
        <v>477</v>
      </c>
      <c r="K12480" s="18" t="s">
        <v>477</v>
      </c>
      <c r="N12480" s="17" t="str">
        <f>IFERROR(__xludf.DUMMYFUNCTION("""COMPUTED_VALUE"""),"")</f>
        <v/>
      </c>
      <c r="O12480" s="17"/>
    </row>
    <row r="12481">
      <c r="B12481" s="17" t="s">
        <v>477</v>
      </c>
      <c r="K12481" s="18" t="s">
        <v>477</v>
      </c>
      <c r="N12481" s="17" t="str">
        <f>IFERROR(__xludf.DUMMYFUNCTION("""COMPUTED_VALUE"""),"")</f>
        <v/>
      </c>
      <c r="O12481" s="17"/>
    </row>
    <row r="12482">
      <c r="B12482" s="17" t="s">
        <v>477</v>
      </c>
      <c r="K12482" s="18" t="s">
        <v>477</v>
      </c>
      <c r="N12482" s="17" t="str">
        <f>IFERROR(__xludf.DUMMYFUNCTION("""COMPUTED_VALUE"""),"")</f>
        <v/>
      </c>
      <c r="O12482" s="17"/>
    </row>
    <row r="12483">
      <c r="B12483" s="17" t="s">
        <v>477</v>
      </c>
      <c r="K12483" s="18" t="s">
        <v>477</v>
      </c>
      <c r="N12483" s="17" t="str">
        <f>IFERROR(__xludf.DUMMYFUNCTION("""COMPUTED_VALUE"""),"")</f>
        <v/>
      </c>
      <c r="O12483" s="17"/>
    </row>
    <row r="12484">
      <c r="B12484" s="17" t="s">
        <v>477</v>
      </c>
      <c r="K12484" s="18" t="s">
        <v>477</v>
      </c>
      <c r="N12484" s="17" t="str">
        <f>IFERROR(__xludf.DUMMYFUNCTION("""COMPUTED_VALUE"""),"")</f>
        <v/>
      </c>
      <c r="O12484" s="17"/>
    </row>
    <row r="12485">
      <c r="B12485" s="17" t="s">
        <v>477</v>
      </c>
      <c r="K12485" s="18" t="s">
        <v>477</v>
      </c>
      <c r="N12485" s="17" t="str">
        <f>IFERROR(__xludf.DUMMYFUNCTION("""COMPUTED_VALUE"""),"")</f>
        <v/>
      </c>
      <c r="O12485" s="17"/>
    </row>
    <row r="12486">
      <c r="B12486" s="17" t="s">
        <v>477</v>
      </c>
      <c r="K12486" s="18" t="s">
        <v>477</v>
      </c>
      <c r="N12486" s="17" t="str">
        <f>IFERROR(__xludf.DUMMYFUNCTION("""COMPUTED_VALUE"""),"")</f>
        <v/>
      </c>
      <c r="O12486" s="17"/>
    </row>
    <row r="12487">
      <c r="B12487" s="17" t="s">
        <v>477</v>
      </c>
      <c r="K12487" s="18" t="s">
        <v>477</v>
      </c>
      <c r="N12487" s="17" t="str">
        <f>IFERROR(__xludf.DUMMYFUNCTION("""COMPUTED_VALUE"""),"")</f>
        <v/>
      </c>
      <c r="O12487" s="17"/>
    </row>
    <row r="12488">
      <c r="B12488" s="17" t="s">
        <v>477</v>
      </c>
      <c r="K12488" s="18" t="s">
        <v>477</v>
      </c>
      <c r="N12488" s="17" t="str">
        <f>IFERROR(__xludf.DUMMYFUNCTION("""COMPUTED_VALUE"""),"")</f>
        <v/>
      </c>
      <c r="O12488" s="17"/>
    </row>
    <row r="12489">
      <c r="B12489" s="17" t="s">
        <v>477</v>
      </c>
      <c r="K12489" s="18" t="s">
        <v>477</v>
      </c>
      <c r="N12489" s="17" t="str">
        <f>IFERROR(__xludf.DUMMYFUNCTION("""COMPUTED_VALUE"""),"")</f>
        <v/>
      </c>
      <c r="O12489" s="17"/>
    </row>
    <row r="12490">
      <c r="B12490" s="17" t="s">
        <v>477</v>
      </c>
      <c r="K12490" s="18" t="s">
        <v>477</v>
      </c>
      <c r="N12490" s="17" t="str">
        <f>IFERROR(__xludf.DUMMYFUNCTION("""COMPUTED_VALUE"""),"")</f>
        <v/>
      </c>
      <c r="O12490" s="17"/>
    </row>
    <row r="12491">
      <c r="B12491" s="17" t="s">
        <v>477</v>
      </c>
      <c r="K12491" s="18" t="s">
        <v>477</v>
      </c>
      <c r="N12491" s="17" t="str">
        <f>IFERROR(__xludf.DUMMYFUNCTION("""COMPUTED_VALUE"""),"")</f>
        <v/>
      </c>
      <c r="O12491" s="17"/>
    </row>
    <row r="12492">
      <c r="B12492" s="17" t="s">
        <v>477</v>
      </c>
      <c r="K12492" s="18" t="s">
        <v>477</v>
      </c>
      <c r="N12492" s="17" t="str">
        <f>IFERROR(__xludf.DUMMYFUNCTION("""COMPUTED_VALUE"""),"")</f>
        <v/>
      </c>
      <c r="O12492" s="17"/>
    </row>
    <row r="12493">
      <c r="B12493" s="17" t="s">
        <v>477</v>
      </c>
      <c r="K12493" s="18" t="s">
        <v>477</v>
      </c>
      <c r="N12493" s="17" t="str">
        <f>IFERROR(__xludf.DUMMYFUNCTION("""COMPUTED_VALUE"""),"")</f>
        <v/>
      </c>
      <c r="O12493" s="17"/>
    </row>
    <row r="12494">
      <c r="B12494" s="17" t="s">
        <v>477</v>
      </c>
      <c r="K12494" s="18" t="s">
        <v>477</v>
      </c>
      <c r="N12494" s="17" t="str">
        <f>IFERROR(__xludf.DUMMYFUNCTION("""COMPUTED_VALUE"""),"")</f>
        <v/>
      </c>
      <c r="O12494" s="17"/>
    </row>
    <row r="12495">
      <c r="B12495" s="17" t="s">
        <v>477</v>
      </c>
      <c r="K12495" s="18" t="s">
        <v>477</v>
      </c>
      <c r="N12495" s="17" t="str">
        <f>IFERROR(__xludf.DUMMYFUNCTION("""COMPUTED_VALUE"""),"")</f>
        <v/>
      </c>
      <c r="O12495" s="17"/>
    </row>
    <row r="12496">
      <c r="B12496" s="17" t="s">
        <v>477</v>
      </c>
      <c r="K12496" s="18" t="s">
        <v>477</v>
      </c>
      <c r="N12496" s="17" t="str">
        <f>IFERROR(__xludf.DUMMYFUNCTION("""COMPUTED_VALUE"""),"")</f>
        <v/>
      </c>
      <c r="O12496" s="17"/>
    </row>
    <row r="12497">
      <c r="B12497" s="17" t="s">
        <v>477</v>
      </c>
      <c r="K12497" s="18" t="s">
        <v>477</v>
      </c>
      <c r="N12497" s="17" t="str">
        <f>IFERROR(__xludf.DUMMYFUNCTION("""COMPUTED_VALUE"""),"")</f>
        <v/>
      </c>
      <c r="O12497" s="17"/>
    </row>
    <row r="12498">
      <c r="B12498" s="17" t="s">
        <v>477</v>
      </c>
      <c r="K12498" s="18" t="s">
        <v>477</v>
      </c>
      <c r="N12498" s="17" t="str">
        <f>IFERROR(__xludf.DUMMYFUNCTION("""COMPUTED_VALUE"""),"")</f>
        <v/>
      </c>
      <c r="O12498" s="17"/>
    </row>
    <row r="12499">
      <c r="B12499" s="17" t="s">
        <v>477</v>
      </c>
      <c r="K12499" s="18" t="s">
        <v>477</v>
      </c>
      <c r="N12499" s="17" t="str">
        <f>IFERROR(__xludf.DUMMYFUNCTION("""COMPUTED_VALUE"""),"")</f>
        <v/>
      </c>
      <c r="O12499" s="17"/>
    </row>
    <row r="12500">
      <c r="B12500" s="17" t="s">
        <v>477</v>
      </c>
      <c r="K12500" s="18" t="s">
        <v>477</v>
      </c>
      <c r="N12500" s="17" t="str">
        <f>IFERROR(__xludf.DUMMYFUNCTION("""COMPUTED_VALUE"""),"")</f>
        <v/>
      </c>
      <c r="O12500" s="17"/>
    </row>
    <row r="12501">
      <c r="B12501" s="17" t="s">
        <v>477</v>
      </c>
      <c r="K12501" s="18" t="s">
        <v>477</v>
      </c>
      <c r="N12501" s="17" t="str">
        <f>IFERROR(__xludf.DUMMYFUNCTION("""COMPUTED_VALUE"""),"")</f>
        <v/>
      </c>
      <c r="O12501" s="17"/>
    </row>
    <row r="12502">
      <c r="B12502" s="17" t="s">
        <v>477</v>
      </c>
      <c r="K12502" s="18" t="s">
        <v>477</v>
      </c>
      <c r="N12502" s="17" t="str">
        <f>IFERROR(__xludf.DUMMYFUNCTION("""COMPUTED_VALUE"""),"")</f>
        <v/>
      </c>
      <c r="O12502" s="17"/>
    </row>
    <row r="12503">
      <c r="B12503" s="17" t="s">
        <v>477</v>
      </c>
      <c r="K12503" s="18" t="s">
        <v>477</v>
      </c>
      <c r="N12503" s="17" t="str">
        <f>IFERROR(__xludf.DUMMYFUNCTION("""COMPUTED_VALUE"""),"")</f>
        <v/>
      </c>
      <c r="O12503" s="17"/>
    </row>
    <row r="12504">
      <c r="B12504" s="17" t="s">
        <v>477</v>
      </c>
      <c r="K12504" s="18" t="s">
        <v>477</v>
      </c>
      <c r="N12504" s="17" t="str">
        <f>IFERROR(__xludf.DUMMYFUNCTION("""COMPUTED_VALUE"""),"")</f>
        <v/>
      </c>
      <c r="O12504" s="17"/>
    </row>
    <row r="12505">
      <c r="B12505" s="17" t="s">
        <v>477</v>
      </c>
      <c r="K12505" s="18" t="s">
        <v>477</v>
      </c>
      <c r="N12505" s="17" t="str">
        <f>IFERROR(__xludf.DUMMYFUNCTION("""COMPUTED_VALUE"""),"")</f>
        <v/>
      </c>
      <c r="O12505" s="17"/>
    </row>
    <row r="12506">
      <c r="B12506" s="17" t="s">
        <v>477</v>
      </c>
      <c r="K12506" s="18" t="s">
        <v>477</v>
      </c>
      <c r="N12506" s="17" t="str">
        <f>IFERROR(__xludf.DUMMYFUNCTION("""COMPUTED_VALUE"""),"")</f>
        <v/>
      </c>
      <c r="O12506" s="17"/>
    </row>
    <row r="12507">
      <c r="B12507" s="17" t="s">
        <v>477</v>
      </c>
      <c r="K12507" s="18" t="s">
        <v>477</v>
      </c>
      <c r="N12507" s="17" t="str">
        <f>IFERROR(__xludf.DUMMYFUNCTION("""COMPUTED_VALUE"""),"")</f>
        <v/>
      </c>
      <c r="O12507" s="17"/>
    </row>
    <row r="12508">
      <c r="B12508" s="17" t="s">
        <v>477</v>
      </c>
      <c r="K12508" s="18" t="s">
        <v>477</v>
      </c>
      <c r="N12508" s="17" t="str">
        <f>IFERROR(__xludf.DUMMYFUNCTION("""COMPUTED_VALUE"""),"")</f>
        <v/>
      </c>
      <c r="O12508" s="17"/>
    </row>
    <row r="12509">
      <c r="B12509" s="17" t="s">
        <v>477</v>
      </c>
      <c r="K12509" s="18" t="s">
        <v>477</v>
      </c>
      <c r="N12509" s="17" t="str">
        <f>IFERROR(__xludf.DUMMYFUNCTION("""COMPUTED_VALUE"""),"")</f>
        <v/>
      </c>
      <c r="O12509" s="17"/>
    </row>
    <row r="12510">
      <c r="B12510" s="17" t="s">
        <v>477</v>
      </c>
      <c r="K12510" s="18" t="s">
        <v>477</v>
      </c>
      <c r="N12510" s="17" t="str">
        <f>IFERROR(__xludf.DUMMYFUNCTION("""COMPUTED_VALUE"""),"")</f>
        <v/>
      </c>
      <c r="O12510" s="17"/>
    </row>
    <row r="12511">
      <c r="B12511" s="17" t="s">
        <v>477</v>
      </c>
      <c r="K12511" s="18" t="s">
        <v>477</v>
      </c>
      <c r="N12511" s="17" t="str">
        <f>IFERROR(__xludf.DUMMYFUNCTION("""COMPUTED_VALUE"""),"")</f>
        <v/>
      </c>
      <c r="O12511" s="17"/>
    </row>
    <row r="12512">
      <c r="B12512" s="17" t="s">
        <v>477</v>
      </c>
      <c r="K12512" s="18" t="s">
        <v>477</v>
      </c>
      <c r="N12512" s="17" t="str">
        <f>IFERROR(__xludf.DUMMYFUNCTION("""COMPUTED_VALUE"""),"")</f>
        <v/>
      </c>
      <c r="O12512" s="17"/>
    </row>
    <row r="12513">
      <c r="B12513" s="17" t="s">
        <v>477</v>
      </c>
      <c r="K12513" s="18" t="s">
        <v>477</v>
      </c>
      <c r="N12513" s="17" t="str">
        <f>IFERROR(__xludf.DUMMYFUNCTION("""COMPUTED_VALUE"""),"")</f>
        <v/>
      </c>
      <c r="O12513" s="17"/>
    </row>
    <row r="12514">
      <c r="B12514" s="17" t="s">
        <v>477</v>
      </c>
      <c r="K12514" s="18" t="s">
        <v>477</v>
      </c>
      <c r="N12514" s="17" t="str">
        <f>IFERROR(__xludf.DUMMYFUNCTION("""COMPUTED_VALUE"""),"")</f>
        <v/>
      </c>
      <c r="O12514" s="17"/>
    </row>
    <row r="12515">
      <c r="B12515" s="17" t="s">
        <v>477</v>
      </c>
      <c r="K12515" s="18" t="s">
        <v>477</v>
      </c>
      <c r="N12515" s="17" t="str">
        <f>IFERROR(__xludf.DUMMYFUNCTION("""COMPUTED_VALUE"""),"")</f>
        <v/>
      </c>
      <c r="O12515" s="17"/>
    </row>
    <row r="12516">
      <c r="B12516" s="17" t="s">
        <v>477</v>
      </c>
      <c r="K12516" s="18" t="s">
        <v>477</v>
      </c>
      <c r="N12516" s="17" t="str">
        <f>IFERROR(__xludf.DUMMYFUNCTION("""COMPUTED_VALUE"""),"")</f>
        <v/>
      </c>
      <c r="O12516" s="17"/>
    </row>
    <row r="12517">
      <c r="B12517" s="17" t="s">
        <v>477</v>
      </c>
      <c r="K12517" s="18" t="s">
        <v>477</v>
      </c>
      <c r="N12517" s="17" t="str">
        <f>IFERROR(__xludf.DUMMYFUNCTION("""COMPUTED_VALUE"""),"")</f>
        <v/>
      </c>
      <c r="O12517" s="17"/>
    </row>
    <row r="12518">
      <c r="B12518" s="17" t="s">
        <v>477</v>
      </c>
      <c r="K12518" s="18" t="s">
        <v>477</v>
      </c>
      <c r="N12518" s="17" t="str">
        <f>IFERROR(__xludf.DUMMYFUNCTION("""COMPUTED_VALUE"""),"")</f>
        <v/>
      </c>
      <c r="O12518" s="17"/>
    </row>
    <row r="12519">
      <c r="B12519" s="17" t="s">
        <v>477</v>
      </c>
      <c r="K12519" s="18" t="s">
        <v>477</v>
      </c>
      <c r="N12519" s="17" t="str">
        <f>IFERROR(__xludf.DUMMYFUNCTION("""COMPUTED_VALUE"""),"")</f>
        <v/>
      </c>
      <c r="O12519" s="17"/>
    </row>
    <row r="12520">
      <c r="B12520" s="17" t="s">
        <v>477</v>
      </c>
      <c r="K12520" s="18" t="s">
        <v>477</v>
      </c>
      <c r="N12520" s="17" t="str">
        <f>IFERROR(__xludf.DUMMYFUNCTION("""COMPUTED_VALUE"""),"")</f>
        <v/>
      </c>
      <c r="O12520" s="17"/>
    </row>
    <row r="12521">
      <c r="B12521" s="17" t="s">
        <v>477</v>
      </c>
      <c r="K12521" s="18" t="s">
        <v>477</v>
      </c>
      <c r="N12521" s="17" t="str">
        <f>IFERROR(__xludf.DUMMYFUNCTION("""COMPUTED_VALUE"""),"")</f>
        <v/>
      </c>
      <c r="O12521" s="17"/>
    </row>
    <row r="12522">
      <c r="B12522" s="17" t="s">
        <v>477</v>
      </c>
      <c r="K12522" s="18" t="s">
        <v>477</v>
      </c>
      <c r="N12522" s="17" t="str">
        <f>IFERROR(__xludf.DUMMYFUNCTION("""COMPUTED_VALUE"""),"")</f>
        <v/>
      </c>
      <c r="O12522" s="17"/>
    </row>
    <row r="12523">
      <c r="B12523" s="17" t="s">
        <v>477</v>
      </c>
      <c r="K12523" s="18" t="s">
        <v>477</v>
      </c>
      <c r="N12523" s="17" t="str">
        <f>IFERROR(__xludf.DUMMYFUNCTION("""COMPUTED_VALUE"""),"")</f>
        <v/>
      </c>
      <c r="O12523" s="17"/>
    </row>
    <row r="12524">
      <c r="B12524" s="17" t="s">
        <v>477</v>
      </c>
      <c r="K12524" s="18" t="s">
        <v>477</v>
      </c>
      <c r="N12524" s="17" t="str">
        <f>IFERROR(__xludf.DUMMYFUNCTION("""COMPUTED_VALUE"""),"")</f>
        <v/>
      </c>
      <c r="O12524" s="17"/>
    </row>
    <row r="12525">
      <c r="B12525" s="17" t="s">
        <v>477</v>
      </c>
      <c r="K12525" s="18" t="s">
        <v>477</v>
      </c>
      <c r="N12525" s="17" t="str">
        <f>IFERROR(__xludf.DUMMYFUNCTION("""COMPUTED_VALUE"""),"")</f>
        <v/>
      </c>
      <c r="O12525" s="17"/>
    </row>
    <row r="12526">
      <c r="B12526" s="17" t="s">
        <v>477</v>
      </c>
      <c r="K12526" s="18" t="s">
        <v>477</v>
      </c>
      <c r="N12526" s="17" t="str">
        <f>IFERROR(__xludf.DUMMYFUNCTION("""COMPUTED_VALUE"""),"")</f>
        <v/>
      </c>
      <c r="O12526" s="17"/>
    </row>
    <row r="12527">
      <c r="B12527" s="17" t="s">
        <v>477</v>
      </c>
      <c r="K12527" s="18" t="s">
        <v>477</v>
      </c>
      <c r="N12527" s="17" t="str">
        <f>IFERROR(__xludf.DUMMYFUNCTION("""COMPUTED_VALUE"""),"")</f>
        <v/>
      </c>
      <c r="O12527" s="17"/>
    </row>
    <row r="12528">
      <c r="B12528" s="17" t="s">
        <v>477</v>
      </c>
      <c r="K12528" s="18" t="s">
        <v>477</v>
      </c>
      <c r="N12528" s="17" t="str">
        <f>IFERROR(__xludf.DUMMYFUNCTION("""COMPUTED_VALUE"""),"")</f>
        <v/>
      </c>
      <c r="O12528" s="17"/>
    </row>
    <row r="12529">
      <c r="B12529" s="17" t="s">
        <v>477</v>
      </c>
      <c r="K12529" s="18" t="s">
        <v>477</v>
      </c>
      <c r="N12529" s="17" t="str">
        <f>IFERROR(__xludf.DUMMYFUNCTION("""COMPUTED_VALUE"""),"")</f>
        <v/>
      </c>
      <c r="O12529" s="17"/>
    </row>
    <row r="12530">
      <c r="B12530" s="17" t="s">
        <v>477</v>
      </c>
      <c r="K12530" s="18" t="s">
        <v>477</v>
      </c>
      <c r="N12530" s="17" t="str">
        <f>IFERROR(__xludf.DUMMYFUNCTION("""COMPUTED_VALUE"""),"")</f>
        <v/>
      </c>
      <c r="O12530" s="17"/>
    </row>
    <row r="12531">
      <c r="B12531" s="17" t="s">
        <v>477</v>
      </c>
      <c r="K12531" s="18" t="s">
        <v>477</v>
      </c>
      <c r="N12531" s="17" t="str">
        <f>IFERROR(__xludf.DUMMYFUNCTION("""COMPUTED_VALUE"""),"")</f>
        <v/>
      </c>
      <c r="O12531" s="17"/>
    </row>
    <row r="12532">
      <c r="B12532" s="17" t="s">
        <v>477</v>
      </c>
      <c r="K12532" s="18" t="s">
        <v>477</v>
      </c>
      <c r="N12532" s="17" t="str">
        <f>IFERROR(__xludf.DUMMYFUNCTION("""COMPUTED_VALUE"""),"")</f>
        <v/>
      </c>
      <c r="O12532" s="17"/>
    </row>
    <row r="12533">
      <c r="B12533" s="17" t="s">
        <v>477</v>
      </c>
      <c r="K12533" s="18" t="s">
        <v>477</v>
      </c>
      <c r="N12533" s="17" t="str">
        <f>IFERROR(__xludf.DUMMYFUNCTION("""COMPUTED_VALUE"""),"")</f>
        <v/>
      </c>
      <c r="O12533" s="17"/>
    </row>
    <row r="12534">
      <c r="B12534" s="17" t="s">
        <v>477</v>
      </c>
      <c r="K12534" s="18" t="s">
        <v>477</v>
      </c>
      <c r="N12534" s="17" t="str">
        <f>IFERROR(__xludf.DUMMYFUNCTION("""COMPUTED_VALUE"""),"")</f>
        <v/>
      </c>
      <c r="O12534" s="17"/>
    </row>
    <row r="12535">
      <c r="B12535" s="17" t="s">
        <v>477</v>
      </c>
      <c r="K12535" s="18" t="s">
        <v>477</v>
      </c>
      <c r="N12535" s="17" t="str">
        <f>IFERROR(__xludf.DUMMYFUNCTION("""COMPUTED_VALUE"""),"")</f>
        <v/>
      </c>
      <c r="O12535" s="17"/>
    </row>
    <row r="12536">
      <c r="B12536" s="17" t="s">
        <v>477</v>
      </c>
      <c r="K12536" s="18" t="s">
        <v>477</v>
      </c>
      <c r="N12536" s="17" t="str">
        <f>IFERROR(__xludf.DUMMYFUNCTION("""COMPUTED_VALUE"""),"")</f>
        <v/>
      </c>
      <c r="O12536" s="17"/>
    </row>
    <row r="12537">
      <c r="B12537" s="17" t="s">
        <v>477</v>
      </c>
      <c r="K12537" s="18" t="s">
        <v>477</v>
      </c>
      <c r="N12537" s="17" t="str">
        <f>IFERROR(__xludf.DUMMYFUNCTION("""COMPUTED_VALUE"""),"")</f>
        <v/>
      </c>
      <c r="O12537" s="17"/>
    </row>
    <row r="12538">
      <c r="B12538" s="17" t="s">
        <v>477</v>
      </c>
      <c r="K12538" s="18" t="s">
        <v>477</v>
      </c>
      <c r="N12538" s="17" t="str">
        <f>IFERROR(__xludf.DUMMYFUNCTION("""COMPUTED_VALUE"""),"")</f>
        <v/>
      </c>
      <c r="O12538" s="17"/>
    </row>
    <row r="12539">
      <c r="B12539" s="17" t="s">
        <v>477</v>
      </c>
      <c r="K12539" s="18" t="s">
        <v>477</v>
      </c>
      <c r="N12539" s="17" t="str">
        <f>IFERROR(__xludf.DUMMYFUNCTION("""COMPUTED_VALUE"""),"")</f>
        <v/>
      </c>
      <c r="O12539" s="17"/>
    </row>
    <row r="12540">
      <c r="B12540" s="17" t="s">
        <v>477</v>
      </c>
      <c r="K12540" s="18" t="s">
        <v>477</v>
      </c>
      <c r="N12540" s="17" t="str">
        <f>IFERROR(__xludf.DUMMYFUNCTION("""COMPUTED_VALUE"""),"")</f>
        <v/>
      </c>
      <c r="O12540" s="17"/>
    </row>
    <row r="12541">
      <c r="B12541" s="17" t="s">
        <v>477</v>
      </c>
      <c r="K12541" s="18" t="s">
        <v>477</v>
      </c>
      <c r="N12541" s="17" t="str">
        <f>IFERROR(__xludf.DUMMYFUNCTION("""COMPUTED_VALUE"""),"")</f>
        <v/>
      </c>
      <c r="O12541" s="17"/>
    </row>
    <row r="12542">
      <c r="B12542" s="17" t="s">
        <v>477</v>
      </c>
      <c r="K12542" s="18" t="s">
        <v>477</v>
      </c>
      <c r="N12542" s="17" t="str">
        <f>IFERROR(__xludf.DUMMYFUNCTION("""COMPUTED_VALUE"""),"")</f>
        <v/>
      </c>
      <c r="O12542" s="17"/>
    </row>
    <row r="12543">
      <c r="B12543" s="17" t="s">
        <v>477</v>
      </c>
      <c r="K12543" s="18" t="s">
        <v>477</v>
      </c>
      <c r="N12543" s="17" t="str">
        <f>IFERROR(__xludf.DUMMYFUNCTION("""COMPUTED_VALUE"""),"")</f>
        <v/>
      </c>
      <c r="O12543" s="17"/>
    </row>
    <row r="12544">
      <c r="B12544" s="17" t="s">
        <v>477</v>
      </c>
      <c r="K12544" s="18" t="s">
        <v>477</v>
      </c>
      <c r="N12544" s="17" t="str">
        <f>IFERROR(__xludf.DUMMYFUNCTION("""COMPUTED_VALUE"""),"")</f>
        <v/>
      </c>
      <c r="O12544" s="17"/>
    </row>
    <row r="12545">
      <c r="B12545" s="17" t="s">
        <v>477</v>
      </c>
      <c r="K12545" s="18" t="s">
        <v>477</v>
      </c>
      <c r="N12545" s="17" t="str">
        <f>IFERROR(__xludf.DUMMYFUNCTION("""COMPUTED_VALUE"""),"")</f>
        <v/>
      </c>
      <c r="O12545" s="17"/>
    </row>
    <row r="12546">
      <c r="B12546" s="17" t="s">
        <v>477</v>
      </c>
      <c r="K12546" s="18" t="s">
        <v>477</v>
      </c>
      <c r="N12546" s="17" t="str">
        <f>IFERROR(__xludf.DUMMYFUNCTION("""COMPUTED_VALUE"""),"")</f>
        <v/>
      </c>
      <c r="O12546" s="17"/>
    </row>
    <row r="12547">
      <c r="B12547" s="17" t="s">
        <v>477</v>
      </c>
      <c r="K12547" s="18" t="s">
        <v>477</v>
      </c>
      <c r="N12547" s="17" t="str">
        <f>IFERROR(__xludf.DUMMYFUNCTION("""COMPUTED_VALUE"""),"")</f>
        <v/>
      </c>
      <c r="O12547" s="17"/>
    </row>
    <row r="12548">
      <c r="B12548" s="17" t="s">
        <v>477</v>
      </c>
      <c r="K12548" s="18" t="s">
        <v>477</v>
      </c>
      <c r="N12548" s="17" t="str">
        <f>IFERROR(__xludf.DUMMYFUNCTION("""COMPUTED_VALUE"""),"")</f>
        <v/>
      </c>
      <c r="O12548" s="17"/>
    </row>
    <row r="12549">
      <c r="B12549" s="17" t="s">
        <v>477</v>
      </c>
      <c r="K12549" s="18" t="s">
        <v>477</v>
      </c>
      <c r="N12549" s="17" t="str">
        <f>IFERROR(__xludf.DUMMYFUNCTION("""COMPUTED_VALUE"""),"")</f>
        <v/>
      </c>
      <c r="O12549" s="17"/>
    </row>
    <row r="12550">
      <c r="B12550" s="17" t="s">
        <v>477</v>
      </c>
      <c r="K12550" s="18" t="s">
        <v>477</v>
      </c>
      <c r="N12550" s="17" t="str">
        <f>IFERROR(__xludf.DUMMYFUNCTION("""COMPUTED_VALUE"""),"")</f>
        <v/>
      </c>
      <c r="O12550" s="17"/>
    </row>
    <row r="12551">
      <c r="B12551" s="17" t="s">
        <v>477</v>
      </c>
      <c r="K12551" s="18" t="s">
        <v>477</v>
      </c>
      <c r="N12551" s="17" t="str">
        <f>IFERROR(__xludf.DUMMYFUNCTION("""COMPUTED_VALUE"""),"")</f>
        <v/>
      </c>
      <c r="O12551" s="17"/>
    </row>
    <row r="12552">
      <c r="B12552" s="17" t="s">
        <v>477</v>
      </c>
      <c r="K12552" s="18" t="s">
        <v>477</v>
      </c>
      <c r="N12552" s="17" t="str">
        <f>IFERROR(__xludf.DUMMYFUNCTION("""COMPUTED_VALUE"""),"")</f>
        <v/>
      </c>
      <c r="O12552" s="17"/>
    </row>
    <row r="12553">
      <c r="B12553" s="17" t="s">
        <v>477</v>
      </c>
      <c r="K12553" s="18" t="s">
        <v>477</v>
      </c>
      <c r="N12553" s="17" t="str">
        <f>IFERROR(__xludf.DUMMYFUNCTION("""COMPUTED_VALUE"""),"")</f>
        <v/>
      </c>
      <c r="O12553" s="17"/>
    </row>
    <row r="12554">
      <c r="B12554" s="17" t="s">
        <v>477</v>
      </c>
      <c r="K12554" s="18" t="s">
        <v>477</v>
      </c>
      <c r="N12554" s="17" t="str">
        <f>IFERROR(__xludf.DUMMYFUNCTION("""COMPUTED_VALUE"""),"")</f>
        <v/>
      </c>
      <c r="O12554" s="17"/>
    </row>
    <row r="12555">
      <c r="B12555" s="17" t="s">
        <v>477</v>
      </c>
      <c r="K12555" s="18" t="s">
        <v>477</v>
      </c>
      <c r="N12555" s="17" t="str">
        <f>IFERROR(__xludf.DUMMYFUNCTION("""COMPUTED_VALUE"""),"")</f>
        <v/>
      </c>
      <c r="O12555" s="17"/>
    </row>
    <row r="12556">
      <c r="B12556" s="17" t="s">
        <v>477</v>
      </c>
      <c r="K12556" s="18" t="s">
        <v>477</v>
      </c>
      <c r="N12556" s="17" t="str">
        <f>IFERROR(__xludf.DUMMYFUNCTION("""COMPUTED_VALUE"""),"")</f>
        <v/>
      </c>
      <c r="O12556" s="17"/>
    </row>
    <row r="12557">
      <c r="B12557" s="17" t="s">
        <v>477</v>
      </c>
      <c r="K12557" s="18" t="s">
        <v>477</v>
      </c>
      <c r="N12557" s="17" t="str">
        <f>IFERROR(__xludf.DUMMYFUNCTION("""COMPUTED_VALUE"""),"")</f>
        <v/>
      </c>
      <c r="O12557" s="17"/>
    </row>
    <row r="12558">
      <c r="B12558" s="17" t="s">
        <v>477</v>
      </c>
      <c r="K12558" s="18" t="s">
        <v>477</v>
      </c>
      <c r="N12558" s="17" t="str">
        <f>IFERROR(__xludf.DUMMYFUNCTION("""COMPUTED_VALUE"""),"")</f>
        <v/>
      </c>
      <c r="O12558" s="17"/>
    </row>
    <row r="12559">
      <c r="B12559" s="17" t="s">
        <v>477</v>
      </c>
      <c r="K12559" s="18" t="s">
        <v>477</v>
      </c>
      <c r="N12559" s="17" t="str">
        <f>IFERROR(__xludf.DUMMYFUNCTION("""COMPUTED_VALUE"""),"")</f>
        <v/>
      </c>
      <c r="O12559" s="17"/>
    </row>
    <row r="12560">
      <c r="B12560" s="17" t="s">
        <v>477</v>
      </c>
      <c r="K12560" s="18" t="s">
        <v>477</v>
      </c>
      <c r="N12560" s="17" t="str">
        <f>IFERROR(__xludf.DUMMYFUNCTION("""COMPUTED_VALUE"""),"")</f>
        <v/>
      </c>
      <c r="O12560" s="17"/>
    </row>
    <row r="12561">
      <c r="B12561" s="17" t="s">
        <v>477</v>
      </c>
      <c r="K12561" s="18" t="s">
        <v>477</v>
      </c>
      <c r="N12561" s="17" t="str">
        <f>IFERROR(__xludf.DUMMYFUNCTION("""COMPUTED_VALUE"""),"")</f>
        <v/>
      </c>
      <c r="O12561" s="17"/>
    </row>
    <row r="12562">
      <c r="B12562" s="17" t="s">
        <v>477</v>
      </c>
      <c r="K12562" s="18" t="s">
        <v>477</v>
      </c>
      <c r="N12562" s="17" t="str">
        <f>IFERROR(__xludf.DUMMYFUNCTION("""COMPUTED_VALUE"""),"")</f>
        <v/>
      </c>
      <c r="O12562" s="17"/>
    </row>
    <row r="12563">
      <c r="B12563" s="17" t="s">
        <v>477</v>
      </c>
      <c r="K12563" s="18" t="s">
        <v>477</v>
      </c>
      <c r="N12563" s="17" t="str">
        <f>IFERROR(__xludf.DUMMYFUNCTION("""COMPUTED_VALUE"""),"")</f>
        <v/>
      </c>
      <c r="O12563" s="17"/>
    </row>
    <row r="12564">
      <c r="B12564" s="17" t="s">
        <v>477</v>
      </c>
      <c r="K12564" s="18" t="s">
        <v>477</v>
      </c>
      <c r="N12564" s="17" t="str">
        <f>IFERROR(__xludf.DUMMYFUNCTION("""COMPUTED_VALUE"""),"")</f>
        <v/>
      </c>
      <c r="O12564" s="17"/>
    </row>
    <row r="12565">
      <c r="B12565" s="17" t="s">
        <v>477</v>
      </c>
      <c r="K12565" s="18" t="s">
        <v>477</v>
      </c>
      <c r="N12565" s="17" t="str">
        <f>IFERROR(__xludf.DUMMYFUNCTION("""COMPUTED_VALUE"""),"")</f>
        <v/>
      </c>
      <c r="O12565" s="17"/>
    </row>
    <row r="12566">
      <c r="B12566" s="17" t="s">
        <v>477</v>
      </c>
      <c r="K12566" s="18" t="s">
        <v>477</v>
      </c>
      <c r="N12566" s="17" t="str">
        <f>IFERROR(__xludf.DUMMYFUNCTION("""COMPUTED_VALUE"""),"")</f>
        <v/>
      </c>
      <c r="O12566" s="17"/>
    </row>
    <row r="12567">
      <c r="B12567" s="17" t="s">
        <v>477</v>
      </c>
      <c r="K12567" s="18" t="s">
        <v>477</v>
      </c>
      <c r="N12567" s="17" t="str">
        <f>IFERROR(__xludf.DUMMYFUNCTION("""COMPUTED_VALUE"""),"")</f>
        <v/>
      </c>
      <c r="O12567" s="17"/>
    </row>
    <row r="12568">
      <c r="B12568" s="17" t="s">
        <v>477</v>
      </c>
      <c r="K12568" s="18" t="s">
        <v>477</v>
      </c>
      <c r="N12568" s="17" t="str">
        <f>IFERROR(__xludf.DUMMYFUNCTION("""COMPUTED_VALUE"""),"")</f>
        <v/>
      </c>
      <c r="O12568" s="17"/>
    </row>
    <row r="12569">
      <c r="B12569" s="17" t="s">
        <v>477</v>
      </c>
      <c r="K12569" s="18" t="s">
        <v>477</v>
      </c>
      <c r="N12569" s="17" t="str">
        <f>IFERROR(__xludf.DUMMYFUNCTION("""COMPUTED_VALUE"""),"")</f>
        <v/>
      </c>
      <c r="O12569" s="17"/>
    </row>
    <row r="12570">
      <c r="B12570" s="17" t="s">
        <v>477</v>
      </c>
      <c r="K12570" s="18" t="s">
        <v>477</v>
      </c>
      <c r="N12570" s="17" t="str">
        <f>IFERROR(__xludf.DUMMYFUNCTION("""COMPUTED_VALUE"""),"")</f>
        <v/>
      </c>
      <c r="O12570" s="17"/>
    </row>
    <row r="12571">
      <c r="B12571" s="17" t="s">
        <v>477</v>
      </c>
      <c r="K12571" s="18" t="s">
        <v>477</v>
      </c>
      <c r="N12571" s="17" t="str">
        <f>IFERROR(__xludf.DUMMYFUNCTION("""COMPUTED_VALUE"""),"")</f>
        <v/>
      </c>
      <c r="O12571" s="17"/>
    </row>
    <row r="12572">
      <c r="B12572" s="17" t="s">
        <v>477</v>
      </c>
      <c r="K12572" s="18" t="s">
        <v>477</v>
      </c>
      <c r="N12572" s="17" t="str">
        <f>IFERROR(__xludf.DUMMYFUNCTION("""COMPUTED_VALUE"""),"")</f>
        <v/>
      </c>
      <c r="O12572" s="17"/>
    </row>
    <row r="12573">
      <c r="B12573" s="17" t="s">
        <v>477</v>
      </c>
      <c r="K12573" s="18" t="s">
        <v>477</v>
      </c>
      <c r="N12573" s="17" t="str">
        <f>IFERROR(__xludf.DUMMYFUNCTION("""COMPUTED_VALUE"""),"")</f>
        <v/>
      </c>
      <c r="O12573" s="17"/>
    </row>
    <row r="12574">
      <c r="B12574" s="17" t="s">
        <v>477</v>
      </c>
      <c r="K12574" s="18" t="s">
        <v>477</v>
      </c>
      <c r="N12574" s="17" t="str">
        <f>IFERROR(__xludf.DUMMYFUNCTION("""COMPUTED_VALUE"""),"")</f>
        <v/>
      </c>
      <c r="O12574" s="17"/>
    </row>
    <row r="12575">
      <c r="B12575" s="17" t="s">
        <v>477</v>
      </c>
      <c r="K12575" s="18" t="s">
        <v>477</v>
      </c>
      <c r="N12575" s="17" t="str">
        <f>IFERROR(__xludf.DUMMYFUNCTION("""COMPUTED_VALUE"""),"")</f>
        <v/>
      </c>
      <c r="O12575" s="17"/>
    </row>
    <row r="12576">
      <c r="B12576" s="17" t="s">
        <v>477</v>
      </c>
      <c r="K12576" s="18" t="s">
        <v>477</v>
      </c>
      <c r="N12576" s="17" t="str">
        <f>IFERROR(__xludf.DUMMYFUNCTION("""COMPUTED_VALUE"""),"")</f>
        <v/>
      </c>
      <c r="O12576" s="17"/>
    </row>
    <row r="12577">
      <c r="B12577" s="17" t="s">
        <v>477</v>
      </c>
      <c r="K12577" s="18" t="s">
        <v>477</v>
      </c>
      <c r="N12577" s="17" t="str">
        <f>IFERROR(__xludf.DUMMYFUNCTION("""COMPUTED_VALUE"""),"")</f>
        <v/>
      </c>
      <c r="O12577" s="17"/>
    </row>
    <row r="12578">
      <c r="B12578" s="17" t="s">
        <v>477</v>
      </c>
      <c r="K12578" s="18" t="s">
        <v>477</v>
      </c>
      <c r="N12578" s="17" t="str">
        <f>IFERROR(__xludf.DUMMYFUNCTION("""COMPUTED_VALUE"""),"")</f>
        <v/>
      </c>
      <c r="O12578" s="17"/>
    </row>
    <row r="12579">
      <c r="B12579" s="17" t="s">
        <v>477</v>
      </c>
      <c r="K12579" s="18" t="s">
        <v>477</v>
      </c>
      <c r="N12579" s="17" t="str">
        <f>IFERROR(__xludf.DUMMYFUNCTION("""COMPUTED_VALUE"""),"")</f>
        <v/>
      </c>
      <c r="O12579" s="17"/>
    </row>
    <row r="12580">
      <c r="B12580" s="17" t="s">
        <v>477</v>
      </c>
      <c r="K12580" s="18" t="s">
        <v>477</v>
      </c>
      <c r="N12580" s="17" t="str">
        <f>IFERROR(__xludf.DUMMYFUNCTION("""COMPUTED_VALUE"""),"")</f>
        <v/>
      </c>
      <c r="O12580" s="17"/>
    </row>
    <row r="12581">
      <c r="B12581" s="17" t="s">
        <v>477</v>
      </c>
      <c r="K12581" s="18" t="s">
        <v>477</v>
      </c>
      <c r="N12581" s="17" t="str">
        <f>IFERROR(__xludf.DUMMYFUNCTION("""COMPUTED_VALUE"""),"")</f>
        <v/>
      </c>
      <c r="O12581" s="17"/>
    </row>
    <row r="12582">
      <c r="B12582" s="17" t="s">
        <v>477</v>
      </c>
      <c r="K12582" s="18" t="s">
        <v>477</v>
      </c>
      <c r="N12582" s="17" t="str">
        <f>IFERROR(__xludf.DUMMYFUNCTION("""COMPUTED_VALUE"""),"")</f>
        <v/>
      </c>
      <c r="O12582" s="17"/>
    </row>
    <row r="12583">
      <c r="B12583" s="17" t="s">
        <v>477</v>
      </c>
      <c r="K12583" s="18" t="s">
        <v>477</v>
      </c>
      <c r="N12583" s="17" t="str">
        <f>IFERROR(__xludf.DUMMYFUNCTION("""COMPUTED_VALUE"""),"")</f>
        <v/>
      </c>
      <c r="O12583" s="17"/>
    </row>
    <row r="12584">
      <c r="B12584" s="17" t="s">
        <v>477</v>
      </c>
      <c r="K12584" s="18" t="s">
        <v>477</v>
      </c>
      <c r="N12584" s="17" t="str">
        <f>IFERROR(__xludf.DUMMYFUNCTION("""COMPUTED_VALUE"""),"")</f>
        <v/>
      </c>
      <c r="O12584" s="17"/>
    </row>
    <row r="12585">
      <c r="B12585" s="17" t="s">
        <v>477</v>
      </c>
      <c r="K12585" s="18" t="s">
        <v>477</v>
      </c>
      <c r="N12585" s="17" t="str">
        <f>IFERROR(__xludf.DUMMYFUNCTION("""COMPUTED_VALUE"""),"")</f>
        <v/>
      </c>
      <c r="O12585" s="17"/>
    </row>
    <row r="12586">
      <c r="B12586" s="17" t="s">
        <v>477</v>
      </c>
      <c r="K12586" s="18" t="s">
        <v>477</v>
      </c>
      <c r="N12586" s="17" t="str">
        <f>IFERROR(__xludf.DUMMYFUNCTION("""COMPUTED_VALUE"""),"")</f>
        <v/>
      </c>
      <c r="O12586" s="17"/>
    </row>
    <row r="12587">
      <c r="B12587" s="17" t="s">
        <v>477</v>
      </c>
      <c r="K12587" s="18" t="s">
        <v>477</v>
      </c>
      <c r="N12587" s="17" t="str">
        <f>IFERROR(__xludf.DUMMYFUNCTION("""COMPUTED_VALUE"""),"")</f>
        <v/>
      </c>
      <c r="O12587" s="17"/>
    </row>
    <row r="12588">
      <c r="B12588" s="17" t="s">
        <v>477</v>
      </c>
      <c r="K12588" s="18" t="s">
        <v>477</v>
      </c>
      <c r="N12588" s="17" t="str">
        <f>IFERROR(__xludf.DUMMYFUNCTION("""COMPUTED_VALUE"""),"")</f>
        <v/>
      </c>
      <c r="O12588" s="17"/>
    </row>
    <row r="12589">
      <c r="B12589" s="17" t="s">
        <v>477</v>
      </c>
      <c r="K12589" s="18" t="s">
        <v>477</v>
      </c>
      <c r="N12589" s="17" t="str">
        <f>IFERROR(__xludf.DUMMYFUNCTION("""COMPUTED_VALUE"""),"")</f>
        <v/>
      </c>
      <c r="O12589" s="17"/>
    </row>
    <row r="12590">
      <c r="B12590" s="17" t="s">
        <v>477</v>
      </c>
      <c r="K12590" s="18" t="s">
        <v>477</v>
      </c>
      <c r="N12590" s="17" t="str">
        <f>IFERROR(__xludf.DUMMYFUNCTION("""COMPUTED_VALUE"""),"")</f>
        <v/>
      </c>
      <c r="O12590" s="17"/>
    </row>
    <row r="12591">
      <c r="B12591" s="17" t="s">
        <v>477</v>
      </c>
      <c r="K12591" s="18" t="s">
        <v>477</v>
      </c>
      <c r="N12591" s="17" t="str">
        <f>IFERROR(__xludf.DUMMYFUNCTION("""COMPUTED_VALUE"""),"")</f>
        <v/>
      </c>
      <c r="O12591" s="17"/>
    </row>
    <row r="12592">
      <c r="B12592" s="17" t="s">
        <v>477</v>
      </c>
      <c r="K12592" s="18" t="s">
        <v>477</v>
      </c>
      <c r="N12592" s="17" t="str">
        <f>IFERROR(__xludf.DUMMYFUNCTION("""COMPUTED_VALUE"""),"")</f>
        <v/>
      </c>
      <c r="O12592" s="17"/>
    </row>
    <row r="12593">
      <c r="B12593" s="17" t="s">
        <v>477</v>
      </c>
      <c r="K12593" s="18" t="s">
        <v>477</v>
      </c>
      <c r="N12593" s="17" t="str">
        <f>IFERROR(__xludf.DUMMYFUNCTION("""COMPUTED_VALUE"""),"")</f>
        <v/>
      </c>
      <c r="O12593" s="17"/>
    </row>
    <row r="12594">
      <c r="B12594" s="17" t="s">
        <v>477</v>
      </c>
      <c r="K12594" s="18" t="s">
        <v>477</v>
      </c>
      <c r="N12594" s="17" t="str">
        <f>IFERROR(__xludf.DUMMYFUNCTION("""COMPUTED_VALUE"""),"")</f>
        <v/>
      </c>
      <c r="O12594" s="17"/>
    </row>
    <row r="12595">
      <c r="B12595" s="17" t="s">
        <v>477</v>
      </c>
      <c r="K12595" s="18" t="s">
        <v>477</v>
      </c>
      <c r="N12595" s="17" t="str">
        <f>IFERROR(__xludf.DUMMYFUNCTION("""COMPUTED_VALUE"""),"")</f>
        <v/>
      </c>
      <c r="O12595" s="17"/>
    </row>
    <row r="12596">
      <c r="B12596" s="17" t="s">
        <v>477</v>
      </c>
      <c r="K12596" s="18" t="s">
        <v>477</v>
      </c>
      <c r="N12596" s="17" t="str">
        <f>IFERROR(__xludf.DUMMYFUNCTION("""COMPUTED_VALUE"""),"")</f>
        <v/>
      </c>
      <c r="O12596" s="17"/>
    </row>
    <row r="12597">
      <c r="B12597" s="17" t="s">
        <v>477</v>
      </c>
      <c r="K12597" s="18" t="s">
        <v>477</v>
      </c>
      <c r="N12597" s="17" t="str">
        <f>IFERROR(__xludf.DUMMYFUNCTION("""COMPUTED_VALUE"""),"")</f>
        <v/>
      </c>
      <c r="O12597" s="17"/>
    </row>
    <row r="12598">
      <c r="B12598" s="17" t="s">
        <v>477</v>
      </c>
      <c r="K12598" s="18" t="s">
        <v>477</v>
      </c>
      <c r="N12598" s="17" t="str">
        <f>IFERROR(__xludf.DUMMYFUNCTION("""COMPUTED_VALUE"""),"")</f>
        <v/>
      </c>
      <c r="O12598" s="17"/>
    </row>
    <row r="12599">
      <c r="B12599" s="17" t="s">
        <v>477</v>
      </c>
      <c r="K12599" s="18" t="s">
        <v>477</v>
      </c>
      <c r="N12599" s="17" t="str">
        <f>IFERROR(__xludf.DUMMYFUNCTION("""COMPUTED_VALUE"""),"")</f>
        <v/>
      </c>
      <c r="O12599" s="17"/>
    </row>
    <row r="12600">
      <c r="B12600" s="17" t="s">
        <v>477</v>
      </c>
      <c r="K12600" s="18" t="s">
        <v>477</v>
      </c>
      <c r="N12600" s="17" t="str">
        <f>IFERROR(__xludf.DUMMYFUNCTION("""COMPUTED_VALUE"""),"")</f>
        <v/>
      </c>
      <c r="O12600" s="17"/>
    </row>
    <row r="12601">
      <c r="B12601" s="17" t="s">
        <v>477</v>
      </c>
      <c r="K12601" s="18" t="s">
        <v>477</v>
      </c>
      <c r="N12601" s="17" t="str">
        <f>IFERROR(__xludf.DUMMYFUNCTION("""COMPUTED_VALUE"""),"")</f>
        <v/>
      </c>
      <c r="O12601" s="17"/>
    </row>
    <row r="12602">
      <c r="B12602" s="17" t="s">
        <v>477</v>
      </c>
      <c r="K12602" s="18" t="s">
        <v>477</v>
      </c>
      <c r="N12602" s="17" t="str">
        <f>IFERROR(__xludf.DUMMYFUNCTION("""COMPUTED_VALUE"""),"")</f>
        <v/>
      </c>
      <c r="O12602" s="17"/>
    </row>
    <row r="12603">
      <c r="B12603" s="17" t="s">
        <v>477</v>
      </c>
      <c r="K12603" s="18" t="s">
        <v>477</v>
      </c>
      <c r="N12603" s="17" t="str">
        <f>IFERROR(__xludf.DUMMYFUNCTION("""COMPUTED_VALUE"""),"")</f>
        <v/>
      </c>
      <c r="O12603" s="17"/>
    </row>
    <row r="12604">
      <c r="B12604" s="17" t="s">
        <v>477</v>
      </c>
      <c r="K12604" s="18" t="s">
        <v>477</v>
      </c>
      <c r="N12604" s="17" t="str">
        <f>IFERROR(__xludf.DUMMYFUNCTION("""COMPUTED_VALUE"""),"")</f>
        <v/>
      </c>
      <c r="O12604" s="17"/>
    </row>
    <row r="12605">
      <c r="B12605" s="17" t="s">
        <v>477</v>
      </c>
      <c r="K12605" s="18" t="s">
        <v>477</v>
      </c>
      <c r="N12605" s="17" t="str">
        <f>IFERROR(__xludf.DUMMYFUNCTION("""COMPUTED_VALUE"""),"")</f>
        <v/>
      </c>
      <c r="O12605" s="17"/>
    </row>
    <row r="12606">
      <c r="B12606" s="17" t="s">
        <v>477</v>
      </c>
      <c r="K12606" s="18" t="s">
        <v>477</v>
      </c>
      <c r="N12606" s="17" t="str">
        <f>IFERROR(__xludf.DUMMYFUNCTION("""COMPUTED_VALUE"""),"")</f>
        <v/>
      </c>
      <c r="O12606" s="17"/>
    </row>
    <row r="12607">
      <c r="B12607" s="17" t="s">
        <v>477</v>
      </c>
      <c r="K12607" s="18" t="s">
        <v>477</v>
      </c>
      <c r="N12607" s="17" t="str">
        <f>IFERROR(__xludf.DUMMYFUNCTION("""COMPUTED_VALUE"""),"")</f>
        <v/>
      </c>
      <c r="O12607" s="17"/>
    </row>
    <row r="12608">
      <c r="B12608" s="17" t="s">
        <v>477</v>
      </c>
      <c r="K12608" s="18" t="s">
        <v>477</v>
      </c>
      <c r="N12608" s="17" t="str">
        <f>IFERROR(__xludf.DUMMYFUNCTION("""COMPUTED_VALUE"""),"")</f>
        <v/>
      </c>
      <c r="O12608" s="17"/>
    </row>
    <row r="12609">
      <c r="B12609" s="17" t="s">
        <v>477</v>
      </c>
      <c r="K12609" s="18" t="s">
        <v>477</v>
      </c>
      <c r="N12609" s="17" t="str">
        <f>IFERROR(__xludf.DUMMYFUNCTION("""COMPUTED_VALUE"""),"")</f>
        <v/>
      </c>
      <c r="O12609" s="17"/>
    </row>
    <row r="12610">
      <c r="B12610" s="17" t="s">
        <v>477</v>
      </c>
      <c r="K12610" s="18" t="s">
        <v>477</v>
      </c>
      <c r="N12610" s="17" t="str">
        <f>IFERROR(__xludf.DUMMYFUNCTION("""COMPUTED_VALUE"""),"")</f>
        <v/>
      </c>
      <c r="O12610" s="17"/>
    </row>
    <row r="12611">
      <c r="B12611" s="17" t="s">
        <v>477</v>
      </c>
      <c r="K12611" s="18" t="s">
        <v>477</v>
      </c>
      <c r="N12611" s="17" t="str">
        <f>IFERROR(__xludf.DUMMYFUNCTION("""COMPUTED_VALUE"""),"")</f>
        <v/>
      </c>
      <c r="O12611" s="17"/>
    </row>
    <row r="12612">
      <c r="B12612" s="17" t="s">
        <v>477</v>
      </c>
      <c r="K12612" s="18" t="s">
        <v>477</v>
      </c>
      <c r="N12612" s="17" t="str">
        <f>IFERROR(__xludf.DUMMYFUNCTION("""COMPUTED_VALUE"""),"")</f>
        <v/>
      </c>
      <c r="O12612" s="17"/>
    </row>
    <row r="12613">
      <c r="B12613" s="17" t="s">
        <v>477</v>
      </c>
      <c r="K12613" s="18" t="s">
        <v>477</v>
      </c>
      <c r="N12613" s="17" t="str">
        <f>IFERROR(__xludf.DUMMYFUNCTION("""COMPUTED_VALUE"""),"")</f>
        <v/>
      </c>
      <c r="O12613" s="17"/>
    </row>
    <row r="12614">
      <c r="B12614" s="17" t="s">
        <v>477</v>
      </c>
      <c r="K12614" s="18" t="s">
        <v>477</v>
      </c>
      <c r="N12614" s="17" t="str">
        <f>IFERROR(__xludf.DUMMYFUNCTION("""COMPUTED_VALUE"""),"")</f>
        <v/>
      </c>
      <c r="O12614" s="17"/>
    </row>
    <row r="12615">
      <c r="B12615" s="17" t="s">
        <v>477</v>
      </c>
      <c r="K12615" s="18" t="s">
        <v>477</v>
      </c>
      <c r="N12615" s="17" t="str">
        <f>IFERROR(__xludf.DUMMYFUNCTION("""COMPUTED_VALUE"""),"")</f>
        <v/>
      </c>
      <c r="O12615" s="17"/>
    </row>
    <row r="12616">
      <c r="B12616" s="17" t="s">
        <v>477</v>
      </c>
      <c r="K12616" s="18" t="s">
        <v>477</v>
      </c>
      <c r="N12616" s="17" t="str">
        <f>IFERROR(__xludf.DUMMYFUNCTION("""COMPUTED_VALUE"""),"")</f>
        <v/>
      </c>
      <c r="O12616" s="17"/>
    </row>
    <row r="12617">
      <c r="B12617" s="17" t="s">
        <v>477</v>
      </c>
      <c r="K12617" s="18" t="s">
        <v>477</v>
      </c>
      <c r="N12617" s="17" t="str">
        <f>IFERROR(__xludf.DUMMYFUNCTION("""COMPUTED_VALUE"""),"")</f>
        <v/>
      </c>
      <c r="O12617" s="17"/>
    </row>
    <row r="12618">
      <c r="B12618" s="17" t="s">
        <v>477</v>
      </c>
      <c r="K12618" s="18" t="s">
        <v>477</v>
      </c>
      <c r="N12618" s="17" t="str">
        <f>IFERROR(__xludf.DUMMYFUNCTION("""COMPUTED_VALUE"""),"")</f>
        <v/>
      </c>
      <c r="O12618" s="17"/>
    </row>
    <row r="12619">
      <c r="B12619" s="17" t="s">
        <v>477</v>
      </c>
      <c r="K12619" s="18" t="s">
        <v>477</v>
      </c>
      <c r="N12619" s="17" t="str">
        <f>IFERROR(__xludf.DUMMYFUNCTION("""COMPUTED_VALUE"""),"")</f>
        <v/>
      </c>
      <c r="O12619" s="17"/>
    </row>
    <row r="12620">
      <c r="B12620" s="17" t="s">
        <v>477</v>
      </c>
      <c r="K12620" s="18" t="s">
        <v>477</v>
      </c>
      <c r="N12620" s="17" t="str">
        <f>IFERROR(__xludf.DUMMYFUNCTION("""COMPUTED_VALUE"""),"")</f>
        <v/>
      </c>
      <c r="O12620" s="17"/>
    </row>
    <row r="12621">
      <c r="B12621" s="17" t="s">
        <v>477</v>
      </c>
      <c r="K12621" s="18" t="s">
        <v>477</v>
      </c>
      <c r="N12621" s="17" t="str">
        <f>IFERROR(__xludf.DUMMYFUNCTION("""COMPUTED_VALUE"""),"")</f>
        <v/>
      </c>
      <c r="O12621" s="17"/>
    </row>
    <row r="12622">
      <c r="B12622" s="17" t="s">
        <v>477</v>
      </c>
      <c r="K12622" s="18" t="s">
        <v>477</v>
      </c>
      <c r="N12622" s="17" t="str">
        <f>IFERROR(__xludf.DUMMYFUNCTION("""COMPUTED_VALUE"""),"")</f>
        <v/>
      </c>
      <c r="O12622" s="17"/>
    </row>
    <row r="12623">
      <c r="B12623" s="17" t="s">
        <v>477</v>
      </c>
      <c r="K12623" s="18" t="s">
        <v>477</v>
      </c>
      <c r="N12623" s="17" t="str">
        <f>IFERROR(__xludf.DUMMYFUNCTION("""COMPUTED_VALUE"""),"")</f>
        <v/>
      </c>
      <c r="O12623" s="17"/>
    </row>
    <row r="12624">
      <c r="B12624" s="17" t="s">
        <v>477</v>
      </c>
      <c r="K12624" s="18" t="s">
        <v>477</v>
      </c>
      <c r="N12624" s="17" t="str">
        <f>IFERROR(__xludf.DUMMYFUNCTION("""COMPUTED_VALUE"""),"")</f>
        <v/>
      </c>
      <c r="O12624" s="17"/>
    </row>
    <row r="12625">
      <c r="B12625" s="17" t="s">
        <v>477</v>
      </c>
      <c r="K12625" s="18" t="s">
        <v>477</v>
      </c>
      <c r="N12625" s="17" t="str">
        <f>IFERROR(__xludf.DUMMYFUNCTION("""COMPUTED_VALUE"""),"")</f>
        <v/>
      </c>
      <c r="O12625" s="17"/>
    </row>
    <row r="12626">
      <c r="B12626" s="17" t="s">
        <v>477</v>
      </c>
      <c r="K12626" s="18" t="s">
        <v>477</v>
      </c>
      <c r="N12626" s="17" t="str">
        <f>IFERROR(__xludf.DUMMYFUNCTION("""COMPUTED_VALUE"""),"")</f>
        <v/>
      </c>
      <c r="O12626" s="17"/>
    </row>
    <row r="12627">
      <c r="B12627" s="17" t="s">
        <v>477</v>
      </c>
      <c r="K12627" s="18" t="s">
        <v>477</v>
      </c>
      <c r="N12627" s="17" t="str">
        <f>IFERROR(__xludf.DUMMYFUNCTION("""COMPUTED_VALUE"""),"")</f>
        <v/>
      </c>
      <c r="O12627" s="17"/>
    </row>
    <row r="12628">
      <c r="B12628" s="17" t="s">
        <v>477</v>
      </c>
      <c r="K12628" s="18" t="s">
        <v>477</v>
      </c>
      <c r="N12628" s="17" t="str">
        <f>IFERROR(__xludf.DUMMYFUNCTION("""COMPUTED_VALUE"""),"")</f>
        <v/>
      </c>
      <c r="O12628" s="17"/>
    </row>
    <row r="12629">
      <c r="B12629" s="17" t="s">
        <v>477</v>
      </c>
      <c r="K12629" s="18" t="s">
        <v>477</v>
      </c>
      <c r="N12629" s="17" t="str">
        <f>IFERROR(__xludf.DUMMYFUNCTION("""COMPUTED_VALUE"""),"")</f>
        <v/>
      </c>
      <c r="O12629" s="17"/>
    </row>
    <row r="12630">
      <c r="B12630" s="17" t="s">
        <v>477</v>
      </c>
      <c r="K12630" s="18" t="s">
        <v>477</v>
      </c>
      <c r="N12630" s="17" t="str">
        <f>IFERROR(__xludf.DUMMYFUNCTION("""COMPUTED_VALUE"""),"")</f>
        <v/>
      </c>
      <c r="O12630" s="17"/>
    </row>
    <row r="12631">
      <c r="B12631" s="17" t="s">
        <v>477</v>
      </c>
      <c r="K12631" s="18" t="s">
        <v>477</v>
      </c>
      <c r="N12631" s="17" t="str">
        <f>IFERROR(__xludf.DUMMYFUNCTION("""COMPUTED_VALUE"""),"")</f>
        <v/>
      </c>
      <c r="O12631" s="17"/>
    </row>
    <row r="12632">
      <c r="B12632" s="17" t="s">
        <v>477</v>
      </c>
      <c r="K12632" s="18" t="s">
        <v>477</v>
      </c>
      <c r="N12632" s="17" t="str">
        <f>IFERROR(__xludf.DUMMYFUNCTION("""COMPUTED_VALUE"""),"")</f>
        <v/>
      </c>
      <c r="O12632" s="17"/>
    </row>
    <row r="12633">
      <c r="B12633" s="17" t="s">
        <v>477</v>
      </c>
      <c r="K12633" s="18" t="s">
        <v>477</v>
      </c>
      <c r="N12633" s="17" t="str">
        <f>IFERROR(__xludf.DUMMYFUNCTION("""COMPUTED_VALUE"""),"")</f>
        <v/>
      </c>
      <c r="O12633" s="17"/>
    </row>
    <row r="12634">
      <c r="B12634" s="17" t="s">
        <v>477</v>
      </c>
      <c r="K12634" s="18" t="s">
        <v>477</v>
      </c>
      <c r="N12634" s="17" t="str">
        <f>IFERROR(__xludf.DUMMYFUNCTION("""COMPUTED_VALUE"""),"")</f>
        <v/>
      </c>
      <c r="O12634" s="17"/>
    </row>
    <row r="12635">
      <c r="B12635" s="17" t="s">
        <v>477</v>
      </c>
      <c r="K12635" s="18" t="s">
        <v>477</v>
      </c>
      <c r="N12635" s="17" t="str">
        <f>IFERROR(__xludf.DUMMYFUNCTION("""COMPUTED_VALUE"""),"")</f>
        <v/>
      </c>
      <c r="O12635" s="17"/>
    </row>
    <row r="12636">
      <c r="B12636" s="17" t="s">
        <v>477</v>
      </c>
      <c r="K12636" s="18" t="s">
        <v>477</v>
      </c>
      <c r="N12636" s="17" t="str">
        <f>IFERROR(__xludf.DUMMYFUNCTION("""COMPUTED_VALUE"""),"")</f>
        <v/>
      </c>
      <c r="O12636" s="17"/>
    </row>
    <row r="12637">
      <c r="B12637" s="17" t="s">
        <v>477</v>
      </c>
      <c r="K12637" s="18" t="s">
        <v>477</v>
      </c>
      <c r="N12637" s="17" t="str">
        <f>IFERROR(__xludf.DUMMYFUNCTION("""COMPUTED_VALUE"""),"")</f>
        <v/>
      </c>
      <c r="O12637" s="17"/>
    </row>
    <row r="12638">
      <c r="B12638" s="17" t="s">
        <v>477</v>
      </c>
      <c r="K12638" s="18" t="s">
        <v>477</v>
      </c>
      <c r="N12638" s="17" t="str">
        <f>IFERROR(__xludf.DUMMYFUNCTION("""COMPUTED_VALUE"""),"")</f>
        <v/>
      </c>
      <c r="O12638" s="17"/>
    </row>
    <row r="12639">
      <c r="B12639" s="17" t="s">
        <v>477</v>
      </c>
      <c r="K12639" s="18" t="s">
        <v>477</v>
      </c>
      <c r="N12639" s="17" t="str">
        <f>IFERROR(__xludf.DUMMYFUNCTION("""COMPUTED_VALUE"""),"")</f>
        <v/>
      </c>
      <c r="O12639" s="17"/>
    </row>
    <row r="12640">
      <c r="B12640" s="17" t="s">
        <v>477</v>
      </c>
      <c r="K12640" s="18" t="s">
        <v>477</v>
      </c>
      <c r="N12640" s="17" t="str">
        <f>IFERROR(__xludf.DUMMYFUNCTION("""COMPUTED_VALUE"""),"")</f>
        <v/>
      </c>
      <c r="O12640" s="17"/>
    </row>
    <row r="12641">
      <c r="B12641" s="17" t="s">
        <v>477</v>
      </c>
      <c r="K12641" s="18" t="s">
        <v>477</v>
      </c>
      <c r="N12641" s="17" t="str">
        <f>IFERROR(__xludf.DUMMYFUNCTION("""COMPUTED_VALUE"""),"")</f>
        <v/>
      </c>
      <c r="O12641" s="17"/>
    </row>
    <row r="12642">
      <c r="B12642" s="17" t="s">
        <v>477</v>
      </c>
      <c r="K12642" s="18" t="s">
        <v>477</v>
      </c>
      <c r="N12642" s="17" t="str">
        <f>IFERROR(__xludf.DUMMYFUNCTION("""COMPUTED_VALUE"""),"")</f>
        <v/>
      </c>
      <c r="O12642" s="17"/>
    </row>
    <row r="12643">
      <c r="B12643" s="17" t="s">
        <v>477</v>
      </c>
      <c r="K12643" s="18" t="s">
        <v>477</v>
      </c>
      <c r="N12643" s="17" t="str">
        <f>IFERROR(__xludf.DUMMYFUNCTION("""COMPUTED_VALUE"""),"")</f>
        <v/>
      </c>
      <c r="O12643" s="17"/>
    </row>
    <row r="12644">
      <c r="B12644" s="17" t="s">
        <v>477</v>
      </c>
      <c r="K12644" s="18" t="s">
        <v>477</v>
      </c>
      <c r="N12644" s="17" t="str">
        <f>IFERROR(__xludf.DUMMYFUNCTION("""COMPUTED_VALUE"""),"")</f>
        <v/>
      </c>
      <c r="O12644" s="17"/>
    </row>
    <row r="12645">
      <c r="B12645" s="17" t="s">
        <v>477</v>
      </c>
      <c r="K12645" s="18" t="s">
        <v>477</v>
      </c>
      <c r="N12645" s="17" t="str">
        <f>IFERROR(__xludf.DUMMYFUNCTION("""COMPUTED_VALUE"""),"")</f>
        <v/>
      </c>
      <c r="O12645" s="17"/>
    </row>
    <row r="12646">
      <c r="B12646" s="17" t="s">
        <v>477</v>
      </c>
      <c r="K12646" s="18" t="s">
        <v>477</v>
      </c>
      <c r="N12646" s="17" t="str">
        <f>IFERROR(__xludf.DUMMYFUNCTION("""COMPUTED_VALUE"""),"")</f>
        <v/>
      </c>
      <c r="O12646" s="17"/>
    </row>
    <row r="12647">
      <c r="B12647" s="17" t="s">
        <v>477</v>
      </c>
      <c r="K12647" s="18" t="s">
        <v>477</v>
      </c>
      <c r="N12647" s="17" t="str">
        <f>IFERROR(__xludf.DUMMYFUNCTION("""COMPUTED_VALUE"""),"")</f>
        <v/>
      </c>
      <c r="O12647" s="17"/>
    </row>
    <row r="12648">
      <c r="B12648" s="17" t="s">
        <v>477</v>
      </c>
      <c r="K12648" s="18" t="s">
        <v>477</v>
      </c>
      <c r="N12648" s="17" t="str">
        <f>IFERROR(__xludf.DUMMYFUNCTION("""COMPUTED_VALUE"""),"")</f>
        <v/>
      </c>
      <c r="O12648" s="17"/>
    </row>
    <row r="12649">
      <c r="B12649" s="17" t="s">
        <v>477</v>
      </c>
      <c r="K12649" s="18" t="s">
        <v>477</v>
      </c>
      <c r="N12649" s="17" t="str">
        <f>IFERROR(__xludf.DUMMYFUNCTION("""COMPUTED_VALUE"""),"")</f>
        <v/>
      </c>
      <c r="O12649" s="17"/>
    </row>
    <row r="12650">
      <c r="B12650" s="17" t="s">
        <v>477</v>
      </c>
      <c r="K12650" s="18" t="s">
        <v>477</v>
      </c>
      <c r="N12650" s="17" t="str">
        <f>IFERROR(__xludf.DUMMYFUNCTION("""COMPUTED_VALUE"""),"")</f>
        <v/>
      </c>
      <c r="O12650" s="17"/>
    </row>
    <row r="12651">
      <c r="B12651" s="17" t="s">
        <v>477</v>
      </c>
      <c r="K12651" s="18" t="s">
        <v>477</v>
      </c>
      <c r="N12651" s="17" t="str">
        <f>IFERROR(__xludf.DUMMYFUNCTION("""COMPUTED_VALUE"""),"")</f>
        <v/>
      </c>
      <c r="O12651" s="17"/>
    </row>
    <row r="12652">
      <c r="B12652" s="17" t="s">
        <v>477</v>
      </c>
      <c r="K12652" s="18" t="s">
        <v>477</v>
      </c>
      <c r="N12652" s="17" t="str">
        <f>IFERROR(__xludf.DUMMYFUNCTION("""COMPUTED_VALUE"""),"")</f>
        <v/>
      </c>
      <c r="O12652" s="17"/>
    </row>
    <row r="12653">
      <c r="B12653" s="17" t="s">
        <v>477</v>
      </c>
      <c r="K12653" s="18" t="s">
        <v>477</v>
      </c>
      <c r="N12653" s="17" t="str">
        <f>IFERROR(__xludf.DUMMYFUNCTION("""COMPUTED_VALUE"""),"")</f>
        <v/>
      </c>
      <c r="O12653" s="17"/>
    </row>
    <row r="12654">
      <c r="B12654" s="17" t="s">
        <v>477</v>
      </c>
      <c r="K12654" s="18" t="s">
        <v>477</v>
      </c>
      <c r="N12654" s="17" t="str">
        <f>IFERROR(__xludf.DUMMYFUNCTION("""COMPUTED_VALUE"""),"")</f>
        <v/>
      </c>
      <c r="O12654" s="17"/>
    </row>
    <row r="12655">
      <c r="B12655" s="17" t="s">
        <v>477</v>
      </c>
      <c r="K12655" s="18" t="s">
        <v>477</v>
      </c>
      <c r="N12655" s="17" t="str">
        <f>IFERROR(__xludf.DUMMYFUNCTION("""COMPUTED_VALUE"""),"")</f>
        <v/>
      </c>
      <c r="O12655" s="17"/>
    </row>
    <row r="12656">
      <c r="B12656" s="17" t="s">
        <v>477</v>
      </c>
      <c r="K12656" s="18" t="s">
        <v>477</v>
      </c>
      <c r="N12656" s="17" t="str">
        <f>IFERROR(__xludf.DUMMYFUNCTION("""COMPUTED_VALUE"""),"")</f>
        <v/>
      </c>
      <c r="O12656" s="17"/>
    </row>
    <row r="12657">
      <c r="B12657" s="17" t="s">
        <v>477</v>
      </c>
      <c r="K12657" s="18" t="s">
        <v>477</v>
      </c>
      <c r="N12657" s="17" t="str">
        <f>IFERROR(__xludf.DUMMYFUNCTION("""COMPUTED_VALUE"""),"")</f>
        <v/>
      </c>
      <c r="O12657" s="17"/>
    </row>
    <row r="12658">
      <c r="B12658" s="17" t="s">
        <v>477</v>
      </c>
      <c r="K12658" s="18" t="s">
        <v>477</v>
      </c>
      <c r="N12658" s="17" t="str">
        <f>IFERROR(__xludf.DUMMYFUNCTION("""COMPUTED_VALUE"""),"")</f>
        <v/>
      </c>
      <c r="O12658" s="17"/>
    </row>
    <row r="12659">
      <c r="B12659" s="17" t="s">
        <v>477</v>
      </c>
      <c r="K12659" s="18" t="s">
        <v>477</v>
      </c>
      <c r="N12659" s="17" t="str">
        <f>IFERROR(__xludf.DUMMYFUNCTION("""COMPUTED_VALUE"""),"")</f>
        <v/>
      </c>
      <c r="O12659" s="17"/>
    </row>
    <row r="12660">
      <c r="B12660" s="17" t="s">
        <v>477</v>
      </c>
      <c r="K12660" s="18" t="s">
        <v>477</v>
      </c>
      <c r="N12660" s="17" t="str">
        <f>IFERROR(__xludf.DUMMYFUNCTION("""COMPUTED_VALUE"""),"")</f>
        <v/>
      </c>
      <c r="O12660" s="17"/>
    </row>
    <row r="12661">
      <c r="B12661" s="17" t="s">
        <v>477</v>
      </c>
      <c r="K12661" s="18" t="s">
        <v>477</v>
      </c>
      <c r="N12661" s="17" t="str">
        <f>IFERROR(__xludf.DUMMYFUNCTION("""COMPUTED_VALUE"""),"")</f>
        <v/>
      </c>
      <c r="O12661" s="17"/>
    </row>
    <row r="12662">
      <c r="B12662" s="17" t="s">
        <v>477</v>
      </c>
      <c r="K12662" s="18" t="s">
        <v>477</v>
      </c>
      <c r="N12662" s="17" t="str">
        <f>IFERROR(__xludf.DUMMYFUNCTION("""COMPUTED_VALUE"""),"")</f>
        <v/>
      </c>
      <c r="O12662" s="17"/>
    </row>
    <row r="12663">
      <c r="B12663" s="17" t="s">
        <v>477</v>
      </c>
      <c r="K12663" s="18" t="s">
        <v>477</v>
      </c>
      <c r="N12663" s="17" t="str">
        <f>IFERROR(__xludf.DUMMYFUNCTION("""COMPUTED_VALUE"""),"")</f>
        <v/>
      </c>
      <c r="O12663" s="17"/>
    </row>
    <row r="12664">
      <c r="B12664" s="17" t="s">
        <v>477</v>
      </c>
      <c r="K12664" s="18" t="s">
        <v>477</v>
      </c>
      <c r="N12664" s="17" t="str">
        <f>IFERROR(__xludf.DUMMYFUNCTION("""COMPUTED_VALUE"""),"")</f>
        <v/>
      </c>
      <c r="O12664" s="17"/>
    </row>
    <row r="12665">
      <c r="B12665" s="17" t="s">
        <v>477</v>
      </c>
      <c r="K12665" s="18" t="s">
        <v>477</v>
      </c>
      <c r="N12665" s="17" t="str">
        <f>IFERROR(__xludf.DUMMYFUNCTION("""COMPUTED_VALUE"""),"")</f>
        <v/>
      </c>
      <c r="O12665" s="17"/>
    </row>
    <row r="12666">
      <c r="B12666" s="17" t="s">
        <v>477</v>
      </c>
      <c r="K12666" s="18" t="s">
        <v>477</v>
      </c>
      <c r="N12666" s="17" t="str">
        <f>IFERROR(__xludf.DUMMYFUNCTION("""COMPUTED_VALUE"""),"")</f>
        <v/>
      </c>
      <c r="O12666" s="17"/>
    </row>
    <row r="12667">
      <c r="B12667" s="17" t="s">
        <v>477</v>
      </c>
      <c r="K12667" s="18" t="s">
        <v>477</v>
      </c>
      <c r="N12667" s="17" t="str">
        <f>IFERROR(__xludf.DUMMYFUNCTION("""COMPUTED_VALUE"""),"")</f>
        <v/>
      </c>
      <c r="O12667" s="17"/>
    </row>
    <row r="12668">
      <c r="B12668" s="17" t="s">
        <v>477</v>
      </c>
      <c r="K12668" s="18" t="s">
        <v>477</v>
      </c>
      <c r="N12668" s="17" t="str">
        <f>IFERROR(__xludf.DUMMYFUNCTION("""COMPUTED_VALUE"""),"")</f>
        <v/>
      </c>
      <c r="O12668" s="17"/>
    </row>
    <row r="12669">
      <c r="B12669" s="17" t="s">
        <v>477</v>
      </c>
      <c r="K12669" s="18" t="s">
        <v>477</v>
      </c>
      <c r="N12669" s="17" t="str">
        <f>IFERROR(__xludf.DUMMYFUNCTION("""COMPUTED_VALUE"""),"")</f>
        <v/>
      </c>
      <c r="O12669" s="17"/>
    </row>
    <row r="12670">
      <c r="B12670" s="17" t="s">
        <v>477</v>
      </c>
      <c r="K12670" s="18" t="s">
        <v>477</v>
      </c>
      <c r="N12670" s="17" t="str">
        <f>IFERROR(__xludf.DUMMYFUNCTION("""COMPUTED_VALUE"""),"")</f>
        <v/>
      </c>
      <c r="O12670" s="17"/>
    </row>
    <row r="12671">
      <c r="B12671" s="17" t="s">
        <v>477</v>
      </c>
      <c r="K12671" s="18" t="s">
        <v>477</v>
      </c>
      <c r="N12671" s="17" t="str">
        <f>IFERROR(__xludf.DUMMYFUNCTION("""COMPUTED_VALUE"""),"")</f>
        <v/>
      </c>
      <c r="O12671" s="17"/>
    </row>
    <row r="12672">
      <c r="B12672" s="17" t="s">
        <v>477</v>
      </c>
      <c r="K12672" s="18" t="s">
        <v>477</v>
      </c>
      <c r="N12672" s="17" t="str">
        <f>IFERROR(__xludf.DUMMYFUNCTION("""COMPUTED_VALUE"""),"")</f>
        <v/>
      </c>
      <c r="O12672" s="17"/>
    </row>
    <row r="12673">
      <c r="B12673" s="17" t="s">
        <v>477</v>
      </c>
      <c r="K12673" s="18" t="s">
        <v>477</v>
      </c>
      <c r="N12673" s="17" t="str">
        <f>IFERROR(__xludf.DUMMYFUNCTION("""COMPUTED_VALUE"""),"")</f>
        <v/>
      </c>
      <c r="O12673" s="17"/>
    </row>
    <row r="12674">
      <c r="B12674" s="17" t="s">
        <v>477</v>
      </c>
      <c r="K12674" s="18" t="s">
        <v>477</v>
      </c>
      <c r="N12674" s="17" t="str">
        <f>IFERROR(__xludf.DUMMYFUNCTION("""COMPUTED_VALUE"""),"")</f>
        <v/>
      </c>
      <c r="O12674" s="17"/>
    </row>
    <row r="12675">
      <c r="B12675" s="17" t="s">
        <v>477</v>
      </c>
      <c r="K12675" s="18" t="s">
        <v>477</v>
      </c>
      <c r="N12675" s="17" t="str">
        <f>IFERROR(__xludf.DUMMYFUNCTION("""COMPUTED_VALUE"""),"")</f>
        <v/>
      </c>
      <c r="O12675" s="17"/>
    </row>
    <row r="12676">
      <c r="B12676" s="17" t="s">
        <v>477</v>
      </c>
      <c r="K12676" s="18" t="s">
        <v>477</v>
      </c>
      <c r="N12676" s="17" t="str">
        <f>IFERROR(__xludf.DUMMYFUNCTION("""COMPUTED_VALUE"""),"")</f>
        <v/>
      </c>
      <c r="O12676" s="17"/>
    </row>
    <row r="12677">
      <c r="B12677" s="17" t="s">
        <v>477</v>
      </c>
      <c r="K12677" s="18" t="s">
        <v>477</v>
      </c>
      <c r="N12677" s="17" t="str">
        <f>IFERROR(__xludf.DUMMYFUNCTION("""COMPUTED_VALUE"""),"")</f>
        <v/>
      </c>
      <c r="O12677" s="17"/>
    </row>
    <row r="12678">
      <c r="B12678" s="17" t="s">
        <v>477</v>
      </c>
      <c r="K12678" s="18" t="s">
        <v>477</v>
      </c>
      <c r="N12678" s="17" t="str">
        <f>IFERROR(__xludf.DUMMYFUNCTION("""COMPUTED_VALUE"""),"")</f>
        <v/>
      </c>
      <c r="O12678" s="17"/>
    </row>
    <row r="12679">
      <c r="B12679" s="17" t="s">
        <v>477</v>
      </c>
      <c r="K12679" s="18" t="s">
        <v>477</v>
      </c>
      <c r="N12679" s="17" t="str">
        <f>IFERROR(__xludf.DUMMYFUNCTION("""COMPUTED_VALUE"""),"")</f>
        <v/>
      </c>
      <c r="O12679" s="17"/>
    </row>
    <row r="12680">
      <c r="B12680" s="17" t="s">
        <v>477</v>
      </c>
      <c r="K12680" s="18" t="s">
        <v>477</v>
      </c>
      <c r="N12680" s="17" t="str">
        <f>IFERROR(__xludf.DUMMYFUNCTION("""COMPUTED_VALUE"""),"")</f>
        <v/>
      </c>
      <c r="O12680" s="17"/>
    </row>
    <row r="12681">
      <c r="B12681" s="17" t="s">
        <v>477</v>
      </c>
      <c r="K12681" s="18" t="s">
        <v>477</v>
      </c>
      <c r="N12681" s="17" t="str">
        <f>IFERROR(__xludf.DUMMYFUNCTION("""COMPUTED_VALUE"""),"")</f>
        <v/>
      </c>
      <c r="O12681" s="17"/>
    </row>
    <row r="12682">
      <c r="B12682" s="17" t="s">
        <v>477</v>
      </c>
      <c r="K12682" s="18" t="s">
        <v>477</v>
      </c>
      <c r="N12682" s="17" t="str">
        <f>IFERROR(__xludf.DUMMYFUNCTION("""COMPUTED_VALUE"""),"")</f>
        <v/>
      </c>
      <c r="O12682" s="17"/>
    </row>
    <row r="12683">
      <c r="B12683" s="17" t="s">
        <v>477</v>
      </c>
      <c r="K12683" s="18" t="s">
        <v>477</v>
      </c>
      <c r="N12683" s="17" t="str">
        <f>IFERROR(__xludf.DUMMYFUNCTION("""COMPUTED_VALUE"""),"")</f>
        <v/>
      </c>
      <c r="O12683" s="17"/>
    </row>
    <row r="12684">
      <c r="B12684" s="17" t="s">
        <v>477</v>
      </c>
      <c r="K12684" s="18" t="s">
        <v>477</v>
      </c>
      <c r="N12684" s="17" t="str">
        <f>IFERROR(__xludf.DUMMYFUNCTION("""COMPUTED_VALUE"""),"")</f>
        <v/>
      </c>
      <c r="O12684" s="17"/>
    </row>
    <row r="12685">
      <c r="B12685" s="17" t="s">
        <v>477</v>
      </c>
      <c r="K12685" s="18" t="s">
        <v>477</v>
      </c>
      <c r="N12685" s="17" t="str">
        <f>IFERROR(__xludf.DUMMYFUNCTION("""COMPUTED_VALUE"""),"")</f>
        <v/>
      </c>
      <c r="O12685" s="17"/>
    </row>
    <row r="12686">
      <c r="B12686" s="17" t="s">
        <v>477</v>
      </c>
      <c r="K12686" s="18" t="s">
        <v>477</v>
      </c>
      <c r="N12686" s="17" t="str">
        <f>IFERROR(__xludf.DUMMYFUNCTION("""COMPUTED_VALUE"""),"")</f>
        <v/>
      </c>
      <c r="O12686" s="17"/>
    </row>
    <row r="12687">
      <c r="B12687" s="17" t="s">
        <v>477</v>
      </c>
      <c r="K12687" s="18" t="s">
        <v>477</v>
      </c>
      <c r="N12687" s="17" t="str">
        <f>IFERROR(__xludf.DUMMYFUNCTION("""COMPUTED_VALUE"""),"")</f>
        <v/>
      </c>
      <c r="O12687" s="17"/>
    </row>
    <row r="12688">
      <c r="B12688" s="17" t="s">
        <v>477</v>
      </c>
      <c r="K12688" s="18" t="s">
        <v>477</v>
      </c>
      <c r="N12688" s="17" t="str">
        <f>IFERROR(__xludf.DUMMYFUNCTION("""COMPUTED_VALUE"""),"")</f>
        <v/>
      </c>
      <c r="O12688" s="17"/>
    </row>
    <row r="12689">
      <c r="B12689" s="17" t="s">
        <v>477</v>
      </c>
      <c r="K12689" s="18" t="s">
        <v>477</v>
      </c>
      <c r="N12689" s="17" t="str">
        <f>IFERROR(__xludf.DUMMYFUNCTION("""COMPUTED_VALUE"""),"")</f>
        <v/>
      </c>
      <c r="O12689" s="17"/>
    </row>
    <row r="12690">
      <c r="B12690" s="17" t="s">
        <v>477</v>
      </c>
      <c r="K12690" s="18" t="s">
        <v>477</v>
      </c>
      <c r="N12690" s="17" t="str">
        <f>IFERROR(__xludf.DUMMYFUNCTION("""COMPUTED_VALUE"""),"")</f>
        <v/>
      </c>
      <c r="O12690" s="17"/>
    </row>
    <row r="12691">
      <c r="B12691" s="17" t="s">
        <v>477</v>
      </c>
      <c r="K12691" s="18" t="s">
        <v>477</v>
      </c>
      <c r="N12691" s="17" t="str">
        <f>IFERROR(__xludf.DUMMYFUNCTION("""COMPUTED_VALUE"""),"")</f>
        <v/>
      </c>
      <c r="O12691" s="17"/>
    </row>
    <row r="12692">
      <c r="B12692" s="17" t="s">
        <v>477</v>
      </c>
      <c r="K12692" s="18" t="s">
        <v>477</v>
      </c>
      <c r="N12692" s="17" t="str">
        <f>IFERROR(__xludf.DUMMYFUNCTION("""COMPUTED_VALUE"""),"")</f>
        <v/>
      </c>
      <c r="O12692" s="17"/>
    </row>
    <row r="12693">
      <c r="B12693" s="17" t="s">
        <v>477</v>
      </c>
      <c r="K12693" s="18" t="s">
        <v>477</v>
      </c>
      <c r="N12693" s="17" t="str">
        <f>IFERROR(__xludf.DUMMYFUNCTION("""COMPUTED_VALUE"""),"")</f>
        <v/>
      </c>
      <c r="O12693" s="17"/>
    </row>
    <row r="12694">
      <c r="B12694" s="17" t="s">
        <v>477</v>
      </c>
      <c r="K12694" s="18" t="s">
        <v>477</v>
      </c>
      <c r="N12694" s="17" t="str">
        <f>IFERROR(__xludf.DUMMYFUNCTION("""COMPUTED_VALUE"""),"")</f>
        <v/>
      </c>
      <c r="O12694" s="17"/>
    </row>
    <row r="12695">
      <c r="B12695" s="17" t="s">
        <v>477</v>
      </c>
      <c r="K12695" s="18" t="s">
        <v>477</v>
      </c>
      <c r="N12695" s="17" t="str">
        <f>IFERROR(__xludf.DUMMYFUNCTION("""COMPUTED_VALUE"""),"")</f>
        <v/>
      </c>
      <c r="O12695" s="17"/>
    </row>
    <row r="12696">
      <c r="B12696" s="17" t="s">
        <v>477</v>
      </c>
      <c r="K12696" s="18" t="s">
        <v>477</v>
      </c>
      <c r="N12696" s="17" t="str">
        <f>IFERROR(__xludf.DUMMYFUNCTION("""COMPUTED_VALUE"""),"")</f>
        <v/>
      </c>
      <c r="O12696" s="17"/>
    </row>
    <row r="12697">
      <c r="B12697" s="17" t="s">
        <v>477</v>
      </c>
      <c r="K12697" s="18" t="s">
        <v>477</v>
      </c>
      <c r="N12697" s="17" t="str">
        <f>IFERROR(__xludf.DUMMYFUNCTION("""COMPUTED_VALUE"""),"")</f>
        <v/>
      </c>
      <c r="O12697" s="17"/>
    </row>
    <row r="12698">
      <c r="B12698" s="17" t="s">
        <v>477</v>
      </c>
      <c r="K12698" s="18" t="s">
        <v>477</v>
      </c>
      <c r="N12698" s="17" t="str">
        <f>IFERROR(__xludf.DUMMYFUNCTION("""COMPUTED_VALUE"""),"")</f>
        <v/>
      </c>
      <c r="O12698" s="17"/>
    </row>
    <row r="12699">
      <c r="B12699" s="17" t="s">
        <v>477</v>
      </c>
      <c r="K12699" s="18" t="s">
        <v>477</v>
      </c>
      <c r="N12699" s="17" t="str">
        <f>IFERROR(__xludf.DUMMYFUNCTION("""COMPUTED_VALUE"""),"")</f>
        <v/>
      </c>
      <c r="O12699" s="17"/>
    </row>
    <row r="12700">
      <c r="B12700" s="17" t="s">
        <v>477</v>
      </c>
      <c r="K12700" s="18" t="s">
        <v>477</v>
      </c>
      <c r="N12700" s="17" t="str">
        <f>IFERROR(__xludf.DUMMYFUNCTION("""COMPUTED_VALUE"""),"")</f>
        <v/>
      </c>
      <c r="O12700" s="17"/>
    </row>
    <row r="12701">
      <c r="B12701" s="17" t="s">
        <v>477</v>
      </c>
      <c r="K12701" s="18" t="s">
        <v>477</v>
      </c>
      <c r="N12701" s="17" t="str">
        <f>IFERROR(__xludf.DUMMYFUNCTION("""COMPUTED_VALUE"""),"")</f>
        <v/>
      </c>
      <c r="O12701" s="17"/>
    </row>
    <row r="12702">
      <c r="B12702" s="17" t="s">
        <v>477</v>
      </c>
      <c r="K12702" s="18" t="s">
        <v>477</v>
      </c>
      <c r="N12702" s="17" t="str">
        <f>IFERROR(__xludf.DUMMYFUNCTION("""COMPUTED_VALUE"""),"")</f>
        <v/>
      </c>
      <c r="O12702" s="17"/>
    </row>
    <row r="12703">
      <c r="B12703" s="17" t="s">
        <v>477</v>
      </c>
      <c r="K12703" s="18" t="s">
        <v>477</v>
      </c>
      <c r="N12703" s="17" t="str">
        <f>IFERROR(__xludf.DUMMYFUNCTION("""COMPUTED_VALUE"""),"")</f>
        <v/>
      </c>
      <c r="O12703" s="17"/>
    </row>
    <row r="12704">
      <c r="B12704" s="17" t="s">
        <v>477</v>
      </c>
      <c r="K12704" s="18" t="s">
        <v>477</v>
      </c>
      <c r="N12704" s="17" t="str">
        <f>IFERROR(__xludf.DUMMYFUNCTION("""COMPUTED_VALUE"""),"")</f>
        <v/>
      </c>
      <c r="O12704" s="17"/>
    </row>
    <row r="12705">
      <c r="B12705" s="17" t="s">
        <v>477</v>
      </c>
      <c r="K12705" s="18" t="s">
        <v>477</v>
      </c>
      <c r="N12705" s="17" t="str">
        <f>IFERROR(__xludf.DUMMYFUNCTION("""COMPUTED_VALUE"""),"")</f>
        <v/>
      </c>
      <c r="O12705" s="17"/>
    </row>
    <row r="12706">
      <c r="B12706" s="17" t="s">
        <v>477</v>
      </c>
      <c r="K12706" s="18" t="s">
        <v>477</v>
      </c>
      <c r="N12706" s="17" t="str">
        <f>IFERROR(__xludf.DUMMYFUNCTION("""COMPUTED_VALUE"""),"")</f>
        <v/>
      </c>
      <c r="O12706" s="17"/>
    </row>
    <row r="12707">
      <c r="B12707" s="17" t="s">
        <v>477</v>
      </c>
      <c r="K12707" s="18" t="s">
        <v>477</v>
      </c>
      <c r="N12707" s="17" t="str">
        <f>IFERROR(__xludf.DUMMYFUNCTION("""COMPUTED_VALUE"""),"")</f>
        <v/>
      </c>
      <c r="O12707" s="17"/>
    </row>
    <row r="12708">
      <c r="B12708" s="17" t="s">
        <v>477</v>
      </c>
      <c r="K12708" s="18" t="s">
        <v>477</v>
      </c>
      <c r="N12708" s="17" t="str">
        <f>IFERROR(__xludf.DUMMYFUNCTION("""COMPUTED_VALUE"""),"")</f>
        <v/>
      </c>
      <c r="O12708" s="17"/>
    </row>
    <row r="12709">
      <c r="B12709" s="17" t="s">
        <v>477</v>
      </c>
      <c r="K12709" s="18" t="s">
        <v>477</v>
      </c>
      <c r="N12709" s="17" t="str">
        <f>IFERROR(__xludf.DUMMYFUNCTION("""COMPUTED_VALUE"""),"")</f>
        <v/>
      </c>
      <c r="O12709" s="17"/>
    </row>
    <row r="12710">
      <c r="B12710" s="17" t="s">
        <v>477</v>
      </c>
      <c r="K12710" s="18" t="s">
        <v>477</v>
      </c>
      <c r="N12710" s="17" t="str">
        <f>IFERROR(__xludf.DUMMYFUNCTION("""COMPUTED_VALUE"""),"")</f>
        <v/>
      </c>
      <c r="O12710" s="17"/>
    </row>
    <row r="12711">
      <c r="B12711" s="17" t="s">
        <v>477</v>
      </c>
      <c r="K12711" s="18" t="s">
        <v>477</v>
      </c>
      <c r="N12711" s="17" t="str">
        <f>IFERROR(__xludf.DUMMYFUNCTION("""COMPUTED_VALUE"""),"")</f>
        <v/>
      </c>
      <c r="O12711" s="17"/>
    </row>
    <row r="12712">
      <c r="B12712" s="17" t="s">
        <v>477</v>
      </c>
      <c r="K12712" s="18" t="s">
        <v>477</v>
      </c>
      <c r="N12712" s="17" t="str">
        <f>IFERROR(__xludf.DUMMYFUNCTION("""COMPUTED_VALUE"""),"")</f>
        <v/>
      </c>
      <c r="O12712" s="17"/>
    </row>
    <row r="12713">
      <c r="B12713" s="17" t="s">
        <v>477</v>
      </c>
      <c r="K12713" s="18" t="s">
        <v>477</v>
      </c>
      <c r="N12713" s="17" t="str">
        <f>IFERROR(__xludf.DUMMYFUNCTION("""COMPUTED_VALUE"""),"")</f>
        <v/>
      </c>
      <c r="O12713" s="17"/>
    </row>
    <row r="12714">
      <c r="B12714" s="17" t="s">
        <v>477</v>
      </c>
      <c r="K12714" s="18" t="s">
        <v>477</v>
      </c>
      <c r="N12714" s="17" t="str">
        <f>IFERROR(__xludf.DUMMYFUNCTION("""COMPUTED_VALUE"""),"")</f>
        <v/>
      </c>
      <c r="O12714" s="17"/>
    </row>
    <row r="12715">
      <c r="B12715" s="17" t="s">
        <v>477</v>
      </c>
      <c r="K12715" s="18" t="s">
        <v>477</v>
      </c>
      <c r="N12715" s="17" t="str">
        <f>IFERROR(__xludf.DUMMYFUNCTION("""COMPUTED_VALUE"""),"")</f>
        <v/>
      </c>
      <c r="O12715" s="17"/>
    </row>
    <row r="12716">
      <c r="B12716" s="17" t="s">
        <v>477</v>
      </c>
      <c r="K12716" s="18" t="s">
        <v>477</v>
      </c>
      <c r="N12716" s="17" t="str">
        <f>IFERROR(__xludf.DUMMYFUNCTION("""COMPUTED_VALUE"""),"")</f>
        <v/>
      </c>
      <c r="O12716" s="17"/>
    </row>
    <row r="12717">
      <c r="B12717" s="17" t="s">
        <v>477</v>
      </c>
      <c r="K12717" s="18" t="s">
        <v>477</v>
      </c>
      <c r="N12717" s="17" t="str">
        <f>IFERROR(__xludf.DUMMYFUNCTION("""COMPUTED_VALUE"""),"")</f>
        <v/>
      </c>
      <c r="O12717" s="17"/>
    </row>
    <row r="12718">
      <c r="B12718" s="17" t="s">
        <v>477</v>
      </c>
      <c r="K12718" s="18" t="s">
        <v>477</v>
      </c>
      <c r="N12718" s="17" t="str">
        <f>IFERROR(__xludf.DUMMYFUNCTION("""COMPUTED_VALUE"""),"")</f>
        <v/>
      </c>
      <c r="O12718" s="17"/>
    </row>
    <row r="12719">
      <c r="B12719" s="17" t="s">
        <v>477</v>
      </c>
      <c r="K12719" s="18" t="s">
        <v>477</v>
      </c>
      <c r="N12719" s="17" t="str">
        <f>IFERROR(__xludf.DUMMYFUNCTION("""COMPUTED_VALUE"""),"")</f>
        <v/>
      </c>
      <c r="O12719" s="17"/>
    </row>
    <row r="12720">
      <c r="B12720" s="17" t="s">
        <v>477</v>
      </c>
      <c r="K12720" s="18" t="s">
        <v>477</v>
      </c>
      <c r="N12720" s="17" t="str">
        <f>IFERROR(__xludf.DUMMYFUNCTION("""COMPUTED_VALUE"""),"")</f>
        <v/>
      </c>
      <c r="O12720" s="17"/>
    </row>
    <row r="12721">
      <c r="B12721" s="17" t="s">
        <v>477</v>
      </c>
      <c r="K12721" s="18" t="s">
        <v>477</v>
      </c>
      <c r="N12721" s="17" t="str">
        <f>IFERROR(__xludf.DUMMYFUNCTION("""COMPUTED_VALUE"""),"")</f>
        <v/>
      </c>
      <c r="O12721" s="17"/>
    </row>
    <row r="12722">
      <c r="B12722" s="17" t="s">
        <v>477</v>
      </c>
      <c r="K12722" s="18" t="s">
        <v>477</v>
      </c>
      <c r="N12722" s="17" t="str">
        <f>IFERROR(__xludf.DUMMYFUNCTION("""COMPUTED_VALUE"""),"")</f>
        <v/>
      </c>
      <c r="O12722" s="17"/>
    </row>
    <row r="12723">
      <c r="B12723" s="17" t="s">
        <v>477</v>
      </c>
      <c r="K12723" s="18" t="s">
        <v>477</v>
      </c>
      <c r="N12723" s="17" t="str">
        <f>IFERROR(__xludf.DUMMYFUNCTION("""COMPUTED_VALUE"""),"")</f>
        <v/>
      </c>
      <c r="O12723" s="17"/>
    </row>
    <row r="12724">
      <c r="B12724" s="17" t="s">
        <v>477</v>
      </c>
      <c r="K12724" s="18" t="s">
        <v>477</v>
      </c>
      <c r="N12724" s="17" t="str">
        <f>IFERROR(__xludf.DUMMYFUNCTION("""COMPUTED_VALUE"""),"")</f>
        <v/>
      </c>
      <c r="O12724" s="17"/>
    </row>
    <row r="12725">
      <c r="B12725" s="17" t="s">
        <v>477</v>
      </c>
      <c r="K12725" s="18" t="s">
        <v>477</v>
      </c>
      <c r="N12725" s="17" t="str">
        <f>IFERROR(__xludf.DUMMYFUNCTION("""COMPUTED_VALUE"""),"")</f>
        <v/>
      </c>
      <c r="O12725" s="17"/>
    </row>
    <row r="12726">
      <c r="B12726" s="17" t="s">
        <v>477</v>
      </c>
      <c r="K12726" s="18" t="s">
        <v>477</v>
      </c>
      <c r="N12726" s="17" t="str">
        <f>IFERROR(__xludf.DUMMYFUNCTION("""COMPUTED_VALUE"""),"")</f>
        <v/>
      </c>
      <c r="O12726" s="17"/>
    </row>
    <row r="12727">
      <c r="B12727" s="17" t="s">
        <v>477</v>
      </c>
      <c r="K12727" s="18" t="s">
        <v>477</v>
      </c>
      <c r="N12727" s="17" t="str">
        <f>IFERROR(__xludf.DUMMYFUNCTION("""COMPUTED_VALUE"""),"")</f>
        <v/>
      </c>
      <c r="O12727" s="17"/>
    </row>
    <row r="12728">
      <c r="B12728" s="17" t="s">
        <v>477</v>
      </c>
      <c r="K12728" s="18" t="s">
        <v>477</v>
      </c>
      <c r="N12728" s="17" t="str">
        <f>IFERROR(__xludf.DUMMYFUNCTION("""COMPUTED_VALUE"""),"")</f>
        <v/>
      </c>
      <c r="O12728" s="17"/>
    </row>
    <row r="12729">
      <c r="B12729" s="17" t="s">
        <v>477</v>
      </c>
      <c r="K12729" s="18" t="s">
        <v>477</v>
      </c>
      <c r="N12729" s="17" t="str">
        <f>IFERROR(__xludf.DUMMYFUNCTION("""COMPUTED_VALUE"""),"")</f>
        <v/>
      </c>
      <c r="O12729" s="17"/>
    </row>
    <row r="12730">
      <c r="B12730" s="17" t="s">
        <v>477</v>
      </c>
      <c r="K12730" s="18" t="s">
        <v>477</v>
      </c>
      <c r="N12730" s="17" t="str">
        <f>IFERROR(__xludf.DUMMYFUNCTION("""COMPUTED_VALUE"""),"")</f>
        <v/>
      </c>
      <c r="O12730" s="17"/>
    </row>
    <row r="12731">
      <c r="B12731" s="17" t="s">
        <v>477</v>
      </c>
      <c r="K12731" s="18" t="s">
        <v>477</v>
      </c>
      <c r="N12731" s="17" t="str">
        <f>IFERROR(__xludf.DUMMYFUNCTION("""COMPUTED_VALUE"""),"")</f>
        <v/>
      </c>
      <c r="O12731" s="17"/>
    </row>
    <row r="12732">
      <c r="B12732" s="17" t="s">
        <v>477</v>
      </c>
      <c r="K12732" s="18" t="s">
        <v>477</v>
      </c>
      <c r="N12732" s="17" t="str">
        <f>IFERROR(__xludf.DUMMYFUNCTION("""COMPUTED_VALUE"""),"")</f>
        <v/>
      </c>
      <c r="O12732" s="17"/>
    </row>
    <row r="12733">
      <c r="B12733" s="17" t="s">
        <v>477</v>
      </c>
      <c r="K12733" s="18" t="s">
        <v>477</v>
      </c>
      <c r="N12733" s="17" t="str">
        <f>IFERROR(__xludf.DUMMYFUNCTION("""COMPUTED_VALUE"""),"")</f>
        <v/>
      </c>
      <c r="O12733" s="17"/>
    </row>
    <row r="12734">
      <c r="B12734" s="17" t="s">
        <v>477</v>
      </c>
      <c r="K12734" s="18" t="s">
        <v>477</v>
      </c>
      <c r="N12734" s="17" t="str">
        <f>IFERROR(__xludf.DUMMYFUNCTION("""COMPUTED_VALUE"""),"")</f>
        <v/>
      </c>
      <c r="O12734" s="17"/>
    </row>
    <row r="12735">
      <c r="B12735" s="17" t="s">
        <v>477</v>
      </c>
      <c r="K12735" s="18" t="s">
        <v>477</v>
      </c>
      <c r="N12735" s="17" t="str">
        <f>IFERROR(__xludf.DUMMYFUNCTION("""COMPUTED_VALUE"""),"")</f>
        <v/>
      </c>
      <c r="O12735" s="17"/>
    </row>
    <row r="12736">
      <c r="B12736" s="17" t="s">
        <v>477</v>
      </c>
      <c r="K12736" s="18" t="s">
        <v>477</v>
      </c>
      <c r="N12736" s="17" t="str">
        <f>IFERROR(__xludf.DUMMYFUNCTION("""COMPUTED_VALUE"""),"")</f>
        <v/>
      </c>
      <c r="O12736" s="17"/>
    </row>
    <row r="12737">
      <c r="B12737" s="17" t="s">
        <v>477</v>
      </c>
      <c r="K12737" s="18" t="s">
        <v>477</v>
      </c>
      <c r="N12737" s="17" t="str">
        <f>IFERROR(__xludf.DUMMYFUNCTION("""COMPUTED_VALUE"""),"")</f>
        <v/>
      </c>
      <c r="O12737" s="17"/>
    </row>
    <row r="12738">
      <c r="B12738" s="17" t="s">
        <v>477</v>
      </c>
      <c r="K12738" s="18" t="s">
        <v>477</v>
      </c>
      <c r="N12738" s="17" t="str">
        <f>IFERROR(__xludf.DUMMYFUNCTION("""COMPUTED_VALUE"""),"")</f>
        <v/>
      </c>
      <c r="O12738" s="17"/>
    </row>
    <row r="12739">
      <c r="B12739" s="17" t="s">
        <v>477</v>
      </c>
      <c r="K12739" s="18" t="s">
        <v>477</v>
      </c>
      <c r="N12739" s="17" t="str">
        <f>IFERROR(__xludf.DUMMYFUNCTION("""COMPUTED_VALUE"""),"")</f>
        <v/>
      </c>
      <c r="O12739" s="17"/>
    </row>
    <row r="12740">
      <c r="B12740" s="17" t="s">
        <v>477</v>
      </c>
      <c r="K12740" s="18" t="s">
        <v>477</v>
      </c>
      <c r="N12740" s="17" t="str">
        <f>IFERROR(__xludf.DUMMYFUNCTION("""COMPUTED_VALUE"""),"")</f>
        <v/>
      </c>
      <c r="O12740" s="17"/>
    </row>
    <row r="12741">
      <c r="B12741" s="17" t="s">
        <v>477</v>
      </c>
      <c r="K12741" s="18" t="s">
        <v>477</v>
      </c>
      <c r="N12741" s="17" t="str">
        <f>IFERROR(__xludf.DUMMYFUNCTION("""COMPUTED_VALUE"""),"")</f>
        <v/>
      </c>
      <c r="O12741" s="17"/>
    </row>
    <row r="12742">
      <c r="B12742" s="17" t="s">
        <v>477</v>
      </c>
      <c r="K12742" s="18" t="s">
        <v>477</v>
      </c>
      <c r="N12742" s="17" t="str">
        <f>IFERROR(__xludf.DUMMYFUNCTION("""COMPUTED_VALUE"""),"")</f>
        <v/>
      </c>
      <c r="O12742" s="17"/>
    </row>
    <row r="12743">
      <c r="B12743" s="17" t="s">
        <v>477</v>
      </c>
      <c r="K12743" s="18" t="s">
        <v>477</v>
      </c>
      <c r="N12743" s="17" t="str">
        <f>IFERROR(__xludf.DUMMYFUNCTION("""COMPUTED_VALUE"""),"")</f>
        <v/>
      </c>
      <c r="O12743" s="17"/>
    </row>
    <row r="12744">
      <c r="B12744" s="17" t="s">
        <v>477</v>
      </c>
      <c r="K12744" s="18" t="s">
        <v>477</v>
      </c>
      <c r="N12744" s="17" t="str">
        <f>IFERROR(__xludf.DUMMYFUNCTION("""COMPUTED_VALUE"""),"")</f>
        <v/>
      </c>
      <c r="O12744" s="17"/>
    </row>
    <row r="12745">
      <c r="B12745" s="17" t="s">
        <v>477</v>
      </c>
      <c r="K12745" s="18" t="s">
        <v>477</v>
      </c>
      <c r="N12745" s="17" t="str">
        <f>IFERROR(__xludf.DUMMYFUNCTION("""COMPUTED_VALUE"""),"")</f>
        <v/>
      </c>
      <c r="O12745" s="17"/>
    </row>
    <row r="12746">
      <c r="B12746" s="17" t="s">
        <v>477</v>
      </c>
      <c r="K12746" s="18" t="s">
        <v>477</v>
      </c>
      <c r="N12746" s="17" t="str">
        <f>IFERROR(__xludf.DUMMYFUNCTION("""COMPUTED_VALUE"""),"")</f>
        <v/>
      </c>
      <c r="O12746" s="17"/>
    </row>
    <row r="12747">
      <c r="B12747" s="17" t="s">
        <v>477</v>
      </c>
      <c r="K12747" s="18" t="s">
        <v>477</v>
      </c>
      <c r="N12747" s="17" t="str">
        <f>IFERROR(__xludf.DUMMYFUNCTION("""COMPUTED_VALUE"""),"")</f>
        <v/>
      </c>
      <c r="O12747" s="17"/>
    </row>
    <row r="12748">
      <c r="B12748" s="17" t="s">
        <v>477</v>
      </c>
      <c r="K12748" s="18" t="s">
        <v>477</v>
      </c>
      <c r="N12748" s="17" t="str">
        <f>IFERROR(__xludf.DUMMYFUNCTION("""COMPUTED_VALUE"""),"")</f>
        <v/>
      </c>
      <c r="O12748" s="17"/>
    </row>
    <row r="12749">
      <c r="B12749" s="17" t="s">
        <v>477</v>
      </c>
      <c r="K12749" s="18" t="s">
        <v>477</v>
      </c>
      <c r="N12749" s="17" t="str">
        <f>IFERROR(__xludf.DUMMYFUNCTION("""COMPUTED_VALUE"""),"")</f>
        <v/>
      </c>
      <c r="O12749" s="17"/>
    </row>
    <row r="12750">
      <c r="B12750" s="17" t="s">
        <v>477</v>
      </c>
      <c r="K12750" s="18" t="s">
        <v>477</v>
      </c>
      <c r="N12750" s="17" t="str">
        <f>IFERROR(__xludf.DUMMYFUNCTION("""COMPUTED_VALUE"""),"")</f>
        <v/>
      </c>
      <c r="O12750" s="17"/>
    </row>
    <row r="12751">
      <c r="B12751" s="17" t="s">
        <v>477</v>
      </c>
      <c r="K12751" s="18" t="s">
        <v>477</v>
      </c>
      <c r="N12751" s="17" t="str">
        <f>IFERROR(__xludf.DUMMYFUNCTION("""COMPUTED_VALUE"""),"")</f>
        <v/>
      </c>
      <c r="O12751" s="17"/>
    </row>
    <row r="12752">
      <c r="B12752" s="17" t="s">
        <v>477</v>
      </c>
      <c r="K12752" s="18" t="s">
        <v>477</v>
      </c>
      <c r="N12752" s="17" t="str">
        <f>IFERROR(__xludf.DUMMYFUNCTION("""COMPUTED_VALUE"""),"")</f>
        <v/>
      </c>
      <c r="O12752" s="17"/>
    </row>
    <row r="12753">
      <c r="B12753" s="17" t="s">
        <v>477</v>
      </c>
      <c r="K12753" s="18" t="s">
        <v>477</v>
      </c>
      <c r="N12753" s="17" t="str">
        <f>IFERROR(__xludf.DUMMYFUNCTION("""COMPUTED_VALUE"""),"")</f>
        <v/>
      </c>
      <c r="O12753" s="17"/>
    </row>
    <row r="12754">
      <c r="B12754" s="17" t="s">
        <v>477</v>
      </c>
      <c r="K12754" s="18" t="s">
        <v>477</v>
      </c>
      <c r="N12754" s="17" t="str">
        <f>IFERROR(__xludf.DUMMYFUNCTION("""COMPUTED_VALUE"""),"")</f>
        <v/>
      </c>
      <c r="O12754" s="17"/>
    </row>
    <row r="12755">
      <c r="B12755" s="17" t="s">
        <v>477</v>
      </c>
      <c r="K12755" s="18" t="s">
        <v>477</v>
      </c>
      <c r="N12755" s="17" t="str">
        <f>IFERROR(__xludf.DUMMYFUNCTION("""COMPUTED_VALUE"""),"")</f>
        <v/>
      </c>
      <c r="O12755" s="17"/>
    </row>
    <row r="12756">
      <c r="B12756" s="17" t="s">
        <v>477</v>
      </c>
      <c r="K12756" s="18" t="s">
        <v>477</v>
      </c>
      <c r="N12756" s="17" t="str">
        <f>IFERROR(__xludf.DUMMYFUNCTION("""COMPUTED_VALUE"""),"")</f>
        <v/>
      </c>
      <c r="O12756" s="17"/>
    </row>
    <row r="12757">
      <c r="B12757" s="17" t="s">
        <v>477</v>
      </c>
      <c r="K12757" s="18" t="s">
        <v>477</v>
      </c>
      <c r="N12757" s="17" t="str">
        <f>IFERROR(__xludf.DUMMYFUNCTION("""COMPUTED_VALUE"""),"")</f>
        <v/>
      </c>
      <c r="O12757" s="17"/>
    </row>
    <row r="12758">
      <c r="B12758" s="17" t="s">
        <v>477</v>
      </c>
      <c r="K12758" s="18" t="s">
        <v>477</v>
      </c>
      <c r="N12758" s="17" t="str">
        <f>IFERROR(__xludf.DUMMYFUNCTION("""COMPUTED_VALUE"""),"")</f>
        <v/>
      </c>
      <c r="O12758" s="17"/>
    </row>
    <row r="12759">
      <c r="B12759" s="17" t="s">
        <v>477</v>
      </c>
      <c r="K12759" s="18" t="s">
        <v>477</v>
      </c>
      <c r="N12759" s="17" t="str">
        <f>IFERROR(__xludf.DUMMYFUNCTION("""COMPUTED_VALUE"""),"")</f>
        <v/>
      </c>
      <c r="O12759" s="17"/>
    </row>
    <row r="12760">
      <c r="B12760" s="17" t="s">
        <v>477</v>
      </c>
      <c r="K12760" s="18" t="s">
        <v>477</v>
      </c>
      <c r="N12760" s="17" t="str">
        <f>IFERROR(__xludf.DUMMYFUNCTION("""COMPUTED_VALUE"""),"")</f>
        <v/>
      </c>
      <c r="O12760" s="17"/>
    </row>
    <row r="12761">
      <c r="B12761" s="17" t="s">
        <v>477</v>
      </c>
      <c r="K12761" s="18" t="s">
        <v>477</v>
      </c>
      <c r="N12761" s="17" t="str">
        <f>IFERROR(__xludf.DUMMYFUNCTION("""COMPUTED_VALUE"""),"")</f>
        <v/>
      </c>
      <c r="O12761" s="17"/>
    </row>
    <row r="12762">
      <c r="B12762" s="17" t="s">
        <v>477</v>
      </c>
      <c r="K12762" s="18" t="s">
        <v>477</v>
      </c>
      <c r="N12762" s="17" t="str">
        <f>IFERROR(__xludf.DUMMYFUNCTION("""COMPUTED_VALUE"""),"")</f>
        <v/>
      </c>
      <c r="O12762" s="17"/>
    </row>
    <row r="12763">
      <c r="B12763" s="17" t="s">
        <v>477</v>
      </c>
      <c r="K12763" s="18" t="s">
        <v>477</v>
      </c>
      <c r="N12763" s="17" t="str">
        <f>IFERROR(__xludf.DUMMYFUNCTION("""COMPUTED_VALUE"""),"")</f>
        <v/>
      </c>
      <c r="O12763" s="17"/>
    </row>
    <row r="12764">
      <c r="B12764" s="17" t="s">
        <v>477</v>
      </c>
      <c r="K12764" s="18" t="s">
        <v>477</v>
      </c>
      <c r="N12764" s="17" t="str">
        <f>IFERROR(__xludf.DUMMYFUNCTION("""COMPUTED_VALUE"""),"")</f>
        <v/>
      </c>
      <c r="O12764" s="17"/>
    </row>
    <row r="12765">
      <c r="B12765" s="17" t="s">
        <v>477</v>
      </c>
      <c r="K12765" s="18" t="s">
        <v>477</v>
      </c>
      <c r="N12765" s="17" t="str">
        <f>IFERROR(__xludf.DUMMYFUNCTION("""COMPUTED_VALUE"""),"")</f>
        <v/>
      </c>
      <c r="O12765" s="17"/>
    </row>
    <row r="12766">
      <c r="B12766" s="17" t="s">
        <v>477</v>
      </c>
      <c r="K12766" s="18" t="s">
        <v>477</v>
      </c>
      <c r="N12766" s="17" t="str">
        <f>IFERROR(__xludf.DUMMYFUNCTION("""COMPUTED_VALUE"""),"")</f>
        <v/>
      </c>
      <c r="O12766" s="17"/>
    </row>
    <row r="12767">
      <c r="B12767" s="17" t="s">
        <v>477</v>
      </c>
      <c r="K12767" s="18" t="s">
        <v>477</v>
      </c>
      <c r="N12767" s="17" t="str">
        <f>IFERROR(__xludf.DUMMYFUNCTION("""COMPUTED_VALUE"""),"")</f>
        <v/>
      </c>
      <c r="O12767" s="17"/>
    </row>
    <row r="12768">
      <c r="B12768" s="17" t="s">
        <v>477</v>
      </c>
      <c r="K12768" s="18" t="s">
        <v>477</v>
      </c>
      <c r="N12768" s="17" t="str">
        <f>IFERROR(__xludf.DUMMYFUNCTION("""COMPUTED_VALUE"""),"")</f>
        <v/>
      </c>
      <c r="O12768" s="17"/>
    </row>
    <row r="12769">
      <c r="B12769" s="17" t="s">
        <v>477</v>
      </c>
      <c r="K12769" s="18" t="s">
        <v>477</v>
      </c>
      <c r="N12769" s="17" t="str">
        <f>IFERROR(__xludf.DUMMYFUNCTION("""COMPUTED_VALUE"""),"")</f>
        <v/>
      </c>
      <c r="O12769" s="17"/>
    </row>
    <row r="12770">
      <c r="B12770" s="17" t="s">
        <v>477</v>
      </c>
      <c r="K12770" s="18" t="s">
        <v>477</v>
      </c>
      <c r="N12770" s="17" t="str">
        <f>IFERROR(__xludf.DUMMYFUNCTION("""COMPUTED_VALUE"""),"")</f>
        <v/>
      </c>
      <c r="O12770" s="17"/>
    </row>
    <row r="12771">
      <c r="B12771" s="17" t="s">
        <v>477</v>
      </c>
      <c r="K12771" s="18" t="s">
        <v>477</v>
      </c>
      <c r="N12771" s="17" t="str">
        <f>IFERROR(__xludf.DUMMYFUNCTION("""COMPUTED_VALUE"""),"")</f>
        <v/>
      </c>
      <c r="O12771" s="17"/>
    </row>
    <row r="12772">
      <c r="B12772" s="17" t="s">
        <v>477</v>
      </c>
      <c r="K12772" s="18" t="s">
        <v>477</v>
      </c>
      <c r="N12772" s="17" t="str">
        <f>IFERROR(__xludf.DUMMYFUNCTION("""COMPUTED_VALUE"""),"")</f>
        <v/>
      </c>
      <c r="O12772" s="17"/>
    </row>
    <row r="12773">
      <c r="B12773" s="17" t="s">
        <v>477</v>
      </c>
      <c r="K12773" s="18" t="s">
        <v>477</v>
      </c>
      <c r="N12773" s="17" t="str">
        <f>IFERROR(__xludf.DUMMYFUNCTION("""COMPUTED_VALUE"""),"")</f>
        <v/>
      </c>
      <c r="O12773" s="17"/>
    </row>
    <row r="12774">
      <c r="B12774" s="17" t="s">
        <v>477</v>
      </c>
      <c r="K12774" s="18" t="s">
        <v>477</v>
      </c>
      <c r="N12774" s="17" t="str">
        <f>IFERROR(__xludf.DUMMYFUNCTION("""COMPUTED_VALUE"""),"")</f>
        <v/>
      </c>
      <c r="O12774" s="17"/>
    </row>
    <row r="12775">
      <c r="B12775" s="17" t="s">
        <v>477</v>
      </c>
      <c r="K12775" s="18" t="s">
        <v>477</v>
      </c>
      <c r="N12775" s="17" t="str">
        <f>IFERROR(__xludf.DUMMYFUNCTION("""COMPUTED_VALUE"""),"")</f>
        <v/>
      </c>
      <c r="O12775" s="17"/>
    </row>
    <row r="12776">
      <c r="B12776" s="17" t="s">
        <v>477</v>
      </c>
      <c r="K12776" s="18" t="s">
        <v>477</v>
      </c>
      <c r="N12776" s="17" t="str">
        <f>IFERROR(__xludf.DUMMYFUNCTION("""COMPUTED_VALUE"""),"")</f>
        <v/>
      </c>
      <c r="O12776" s="17"/>
    </row>
    <row r="12777">
      <c r="B12777" s="17" t="s">
        <v>477</v>
      </c>
      <c r="K12777" s="18" t="s">
        <v>477</v>
      </c>
      <c r="N12777" s="17" t="str">
        <f>IFERROR(__xludf.DUMMYFUNCTION("""COMPUTED_VALUE"""),"")</f>
        <v/>
      </c>
      <c r="O12777" s="17"/>
    </row>
    <row r="12778">
      <c r="B12778" s="17" t="s">
        <v>477</v>
      </c>
      <c r="K12778" s="18" t="s">
        <v>477</v>
      </c>
      <c r="N12778" s="17" t="str">
        <f>IFERROR(__xludf.DUMMYFUNCTION("""COMPUTED_VALUE"""),"")</f>
        <v/>
      </c>
      <c r="O12778" s="17"/>
    </row>
    <row r="12779">
      <c r="B12779" s="17" t="s">
        <v>477</v>
      </c>
      <c r="K12779" s="18" t="s">
        <v>477</v>
      </c>
      <c r="N12779" s="17" t="str">
        <f>IFERROR(__xludf.DUMMYFUNCTION("""COMPUTED_VALUE"""),"")</f>
        <v/>
      </c>
      <c r="O12779" s="17"/>
    </row>
    <row r="12780">
      <c r="B12780" s="17" t="s">
        <v>477</v>
      </c>
      <c r="K12780" s="18" t="s">
        <v>477</v>
      </c>
      <c r="N12780" s="17" t="str">
        <f>IFERROR(__xludf.DUMMYFUNCTION("""COMPUTED_VALUE"""),"")</f>
        <v/>
      </c>
      <c r="O12780" s="17"/>
    </row>
    <row r="12781">
      <c r="B12781" s="17" t="s">
        <v>477</v>
      </c>
      <c r="K12781" s="18" t="s">
        <v>477</v>
      </c>
      <c r="N12781" s="17" t="str">
        <f>IFERROR(__xludf.DUMMYFUNCTION("""COMPUTED_VALUE"""),"")</f>
        <v/>
      </c>
      <c r="O12781" s="17"/>
    </row>
    <row r="12782">
      <c r="B12782" s="17" t="s">
        <v>477</v>
      </c>
      <c r="K12782" s="18" t="s">
        <v>477</v>
      </c>
      <c r="N12782" s="17" t="str">
        <f>IFERROR(__xludf.DUMMYFUNCTION("""COMPUTED_VALUE"""),"")</f>
        <v/>
      </c>
      <c r="O12782" s="17"/>
    </row>
    <row r="12783">
      <c r="B12783" s="17" t="s">
        <v>477</v>
      </c>
      <c r="K12783" s="18" t="s">
        <v>477</v>
      </c>
      <c r="N12783" s="17" t="str">
        <f>IFERROR(__xludf.DUMMYFUNCTION("""COMPUTED_VALUE"""),"")</f>
        <v/>
      </c>
      <c r="O12783" s="17"/>
    </row>
    <row r="12784">
      <c r="B12784" s="17" t="s">
        <v>477</v>
      </c>
      <c r="K12784" s="18" t="s">
        <v>477</v>
      </c>
      <c r="N12784" s="17" t="str">
        <f>IFERROR(__xludf.DUMMYFUNCTION("""COMPUTED_VALUE"""),"")</f>
        <v/>
      </c>
      <c r="O12784" s="17"/>
    </row>
    <row r="12785">
      <c r="B12785" s="17" t="s">
        <v>477</v>
      </c>
      <c r="K12785" s="18" t="s">
        <v>477</v>
      </c>
      <c r="N12785" s="17" t="str">
        <f>IFERROR(__xludf.DUMMYFUNCTION("""COMPUTED_VALUE"""),"")</f>
        <v/>
      </c>
      <c r="O12785" s="17"/>
    </row>
    <row r="12786">
      <c r="B12786" s="17" t="s">
        <v>477</v>
      </c>
      <c r="K12786" s="18" t="s">
        <v>477</v>
      </c>
      <c r="N12786" s="17" t="str">
        <f>IFERROR(__xludf.DUMMYFUNCTION("""COMPUTED_VALUE"""),"")</f>
        <v/>
      </c>
      <c r="O12786" s="17"/>
    </row>
    <row r="12787">
      <c r="B12787" s="17" t="s">
        <v>477</v>
      </c>
      <c r="K12787" s="18" t="s">
        <v>477</v>
      </c>
      <c r="N12787" s="17" t="str">
        <f>IFERROR(__xludf.DUMMYFUNCTION("""COMPUTED_VALUE"""),"")</f>
        <v/>
      </c>
      <c r="O12787" s="17"/>
    </row>
    <row r="12788">
      <c r="B12788" s="17" t="s">
        <v>477</v>
      </c>
      <c r="K12788" s="18" t="s">
        <v>477</v>
      </c>
      <c r="N12788" s="17" t="str">
        <f>IFERROR(__xludf.DUMMYFUNCTION("""COMPUTED_VALUE"""),"")</f>
        <v/>
      </c>
      <c r="O12788" s="17"/>
    </row>
    <row r="12789">
      <c r="B12789" s="17" t="s">
        <v>477</v>
      </c>
      <c r="K12789" s="18" t="s">
        <v>477</v>
      </c>
      <c r="N12789" s="17" t="str">
        <f>IFERROR(__xludf.DUMMYFUNCTION("""COMPUTED_VALUE"""),"")</f>
        <v/>
      </c>
      <c r="O12789" s="17"/>
    </row>
    <row r="12790">
      <c r="B12790" s="17" t="s">
        <v>477</v>
      </c>
      <c r="K12790" s="18" t="s">
        <v>477</v>
      </c>
      <c r="N12790" s="17" t="str">
        <f>IFERROR(__xludf.DUMMYFUNCTION("""COMPUTED_VALUE"""),"")</f>
        <v/>
      </c>
      <c r="O12790" s="17"/>
    </row>
    <row r="12791">
      <c r="B12791" s="17" t="s">
        <v>477</v>
      </c>
      <c r="K12791" s="18" t="s">
        <v>477</v>
      </c>
      <c r="N12791" s="17" t="str">
        <f>IFERROR(__xludf.DUMMYFUNCTION("""COMPUTED_VALUE"""),"")</f>
        <v/>
      </c>
      <c r="O12791" s="17"/>
    </row>
    <row r="12792">
      <c r="B12792" s="17" t="s">
        <v>477</v>
      </c>
      <c r="K12792" s="18" t="s">
        <v>477</v>
      </c>
      <c r="N12792" s="17" t="str">
        <f>IFERROR(__xludf.DUMMYFUNCTION("""COMPUTED_VALUE"""),"")</f>
        <v/>
      </c>
      <c r="O12792" s="17"/>
    </row>
    <row r="12793">
      <c r="B12793" s="17" t="s">
        <v>477</v>
      </c>
      <c r="K12793" s="18" t="s">
        <v>477</v>
      </c>
      <c r="N12793" s="17" t="str">
        <f>IFERROR(__xludf.DUMMYFUNCTION("""COMPUTED_VALUE"""),"")</f>
        <v/>
      </c>
      <c r="O12793" s="17"/>
    </row>
    <row r="12794">
      <c r="B12794" s="17" t="s">
        <v>477</v>
      </c>
      <c r="K12794" s="18" t="s">
        <v>477</v>
      </c>
      <c r="N12794" s="17" t="str">
        <f>IFERROR(__xludf.DUMMYFUNCTION("""COMPUTED_VALUE"""),"")</f>
        <v/>
      </c>
      <c r="O12794" s="17"/>
    </row>
    <row r="12795">
      <c r="B12795" s="17" t="s">
        <v>477</v>
      </c>
      <c r="K12795" s="18" t="s">
        <v>477</v>
      </c>
      <c r="N12795" s="17" t="str">
        <f>IFERROR(__xludf.DUMMYFUNCTION("""COMPUTED_VALUE"""),"")</f>
        <v/>
      </c>
      <c r="O12795" s="17"/>
    </row>
    <row r="12796">
      <c r="B12796" s="17" t="s">
        <v>477</v>
      </c>
      <c r="K12796" s="18" t="s">
        <v>477</v>
      </c>
      <c r="N12796" s="17" t="str">
        <f>IFERROR(__xludf.DUMMYFUNCTION("""COMPUTED_VALUE"""),"")</f>
        <v/>
      </c>
      <c r="O12796" s="17"/>
    </row>
    <row r="12797">
      <c r="B12797" s="17" t="s">
        <v>477</v>
      </c>
      <c r="K12797" s="18" t="s">
        <v>477</v>
      </c>
      <c r="N12797" s="17" t="str">
        <f>IFERROR(__xludf.DUMMYFUNCTION("""COMPUTED_VALUE"""),"")</f>
        <v/>
      </c>
      <c r="O12797" s="17"/>
    </row>
    <row r="12798">
      <c r="B12798" s="17" t="s">
        <v>477</v>
      </c>
      <c r="K12798" s="18" t="s">
        <v>477</v>
      </c>
      <c r="N12798" s="17" t="str">
        <f>IFERROR(__xludf.DUMMYFUNCTION("""COMPUTED_VALUE"""),"")</f>
        <v/>
      </c>
      <c r="O12798" s="17"/>
    </row>
    <row r="12799">
      <c r="B12799" s="17" t="s">
        <v>477</v>
      </c>
      <c r="K12799" s="18" t="s">
        <v>477</v>
      </c>
      <c r="N12799" s="17" t="str">
        <f>IFERROR(__xludf.DUMMYFUNCTION("""COMPUTED_VALUE"""),"")</f>
        <v/>
      </c>
      <c r="O12799" s="17"/>
    </row>
    <row r="12800">
      <c r="B12800" s="17" t="s">
        <v>477</v>
      </c>
      <c r="K12800" s="18" t="s">
        <v>477</v>
      </c>
      <c r="N12800" s="17" t="str">
        <f>IFERROR(__xludf.DUMMYFUNCTION("""COMPUTED_VALUE"""),"")</f>
        <v/>
      </c>
      <c r="O12800" s="17"/>
    </row>
    <row r="12801">
      <c r="B12801" s="17" t="s">
        <v>477</v>
      </c>
      <c r="K12801" s="18" t="s">
        <v>477</v>
      </c>
      <c r="N12801" s="17" t="str">
        <f>IFERROR(__xludf.DUMMYFUNCTION("""COMPUTED_VALUE"""),"")</f>
        <v/>
      </c>
      <c r="O12801" s="17"/>
    </row>
    <row r="12802">
      <c r="B12802" s="17" t="s">
        <v>477</v>
      </c>
      <c r="K12802" s="18" t="s">
        <v>477</v>
      </c>
      <c r="N12802" s="17" t="str">
        <f>IFERROR(__xludf.DUMMYFUNCTION("""COMPUTED_VALUE"""),"")</f>
        <v/>
      </c>
      <c r="O12802" s="17"/>
    </row>
    <row r="12803">
      <c r="B12803" s="17" t="s">
        <v>477</v>
      </c>
      <c r="K12803" s="18" t="s">
        <v>477</v>
      </c>
      <c r="N12803" s="17" t="str">
        <f>IFERROR(__xludf.DUMMYFUNCTION("""COMPUTED_VALUE"""),"")</f>
        <v/>
      </c>
      <c r="O12803" s="17"/>
    </row>
    <row r="12804">
      <c r="B12804" s="17" t="s">
        <v>477</v>
      </c>
      <c r="K12804" s="18" t="s">
        <v>477</v>
      </c>
      <c r="N12804" s="17" t="str">
        <f>IFERROR(__xludf.DUMMYFUNCTION("""COMPUTED_VALUE"""),"")</f>
        <v/>
      </c>
      <c r="O12804" s="17"/>
    </row>
    <row r="12805">
      <c r="B12805" s="17" t="s">
        <v>477</v>
      </c>
      <c r="K12805" s="18" t="s">
        <v>477</v>
      </c>
      <c r="N12805" s="17" t="str">
        <f>IFERROR(__xludf.DUMMYFUNCTION("""COMPUTED_VALUE"""),"")</f>
        <v/>
      </c>
      <c r="O12805" s="17"/>
    </row>
    <row r="12806">
      <c r="B12806" s="17" t="s">
        <v>477</v>
      </c>
      <c r="K12806" s="18" t="s">
        <v>477</v>
      </c>
      <c r="N12806" s="17" t="str">
        <f>IFERROR(__xludf.DUMMYFUNCTION("""COMPUTED_VALUE"""),"")</f>
        <v/>
      </c>
      <c r="O12806" s="17"/>
    </row>
    <row r="12807">
      <c r="B12807" s="17" t="s">
        <v>477</v>
      </c>
      <c r="K12807" s="18" t="s">
        <v>477</v>
      </c>
      <c r="N12807" s="17" t="str">
        <f>IFERROR(__xludf.DUMMYFUNCTION("""COMPUTED_VALUE"""),"")</f>
        <v/>
      </c>
      <c r="O12807" s="17"/>
    </row>
    <row r="12808">
      <c r="B12808" s="17" t="s">
        <v>477</v>
      </c>
      <c r="K12808" s="18" t="s">
        <v>477</v>
      </c>
      <c r="N12808" s="17" t="str">
        <f>IFERROR(__xludf.DUMMYFUNCTION("""COMPUTED_VALUE"""),"")</f>
        <v/>
      </c>
      <c r="O12808" s="17"/>
    </row>
    <row r="12809">
      <c r="B12809" s="17" t="s">
        <v>477</v>
      </c>
      <c r="K12809" s="18" t="s">
        <v>477</v>
      </c>
      <c r="N12809" s="17" t="str">
        <f>IFERROR(__xludf.DUMMYFUNCTION("""COMPUTED_VALUE"""),"")</f>
        <v/>
      </c>
      <c r="O12809" s="17"/>
    </row>
    <row r="12810">
      <c r="B12810" s="17" t="s">
        <v>477</v>
      </c>
      <c r="K12810" s="18" t="s">
        <v>477</v>
      </c>
      <c r="N12810" s="17" t="str">
        <f>IFERROR(__xludf.DUMMYFUNCTION("""COMPUTED_VALUE"""),"")</f>
        <v/>
      </c>
      <c r="O12810" s="17"/>
    </row>
    <row r="12811">
      <c r="B12811" s="17" t="s">
        <v>477</v>
      </c>
      <c r="K12811" s="18" t="s">
        <v>477</v>
      </c>
      <c r="N12811" s="17" t="str">
        <f>IFERROR(__xludf.DUMMYFUNCTION("""COMPUTED_VALUE"""),"")</f>
        <v/>
      </c>
      <c r="O12811" s="17"/>
    </row>
    <row r="12812">
      <c r="B12812" s="17" t="s">
        <v>477</v>
      </c>
      <c r="K12812" s="18" t="s">
        <v>477</v>
      </c>
      <c r="N12812" s="17" t="str">
        <f>IFERROR(__xludf.DUMMYFUNCTION("""COMPUTED_VALUE"""),"")</f>
        <v/>
      </c>
      <c r="O12812" s="17"/>
    </row>
    <row r="12813">
      <c r="B12813" s="17" t="s">
        <v>477</v>
      </c>
      <c r="K12813" s="18" t="s">
        <v>477</v>
      </c>
      <c r="N12813" s="17" t="str">
        <f>IFERROR(__xludf.DUMMYFUNCTION("""COMPUTED_VALUE"""),"")</f>
        <v/>
      </c>
      <c r="O12813" s="17"/>
    </row>
    <row r="12814">
      <c r="B12814" s="17" t="s">
        <v>477</v>
      </c>
      <c r="K12814" s="18" t="s">
        <v>477</v>
      </c>
      <c r="N12814" s="17" t="str">
        <f>IFERROR(__xludf.DUMMYFUNCTION("""COMPUTED_VALUE"""),"")</f>
        <v/>
      </c>
      <c r="O12814" s="17"/>
    </row>
    <row r="12815">
      <c r="B12815" s="17" t="s">
        <v>477</v>
      </c>
      <c r="K12815" s="18" t="s">
        <v>477</v>
      </c>
      <c r="N12815" s="17" t="str">
        <f>IFERROR(__xludf.DUMMYFUNCTION("""COMPUTED_VALUE"""),"")</f>
        <v/>
      </c>
      <c r="O12815" s="17"/>
    </row>
    <row r="12816">
      <c r="B12816" s="17" t="s">
        <v>477</v>
      </c>
      <c r="K12816" s="18" t="s">
        <v>477</v>
      </c>
      <c r="N12816" s="17" t="str">
        <f>IFERROR(__xludf.DUMMYFUNCTION("""COMPUTED_VALUE"""),"")</f>
        <v/>
      </c>
      <c r="O12816" s="17"/>
    </row>
    <row r="12817">
      <c r="B12817" s="17" t="s">
        <v>477</v>
      </c>
      <c r="K12817" s="18" t="s">
        <v>477</v>
      </c>
      <c r="N12817" s="17" t="str">
        <f>IFERROR(__xludf.DUMMYFUNCTION("""COMPUTED_VALUE"""),"")</f>
        <v/>
      </c>
      <c r="O12817" s="17"/>
    </row>
    <row r="12818">
      <c r="B12818" s="17" t="s">
        <v>477</v>
      </c>
      <c r="K12818" s="18" t="s">
        <v>477</v>
      </c>
      <c r="N12818" s="17" t="str">
        <f>IFERROR(__xludf.DUMMYFUNCTION("""COMPUTED_VALUE"""),"")</f>
        <v/>
      </c>
      <c r="O12818" s="17"/>
    </row>
    <row r="12819">
      <c r="B12819" s="17" t="s">
        <v>477</v>
      </c>
      <c r="K12819" s="18" t="s">
        <v>477</v>
      </c>
      <c r="N12819" s="17" t="str">
        <f>IFERROR(__xludf.DUMMYFUNCTION("""COMPUTED_VALUE"""),"")</f>
        <v/>
      </c>
      <c r="O12819" s="17"/>
    </row>
    <row r="12820">
      <c r="B12820" s="17" t="s">
        <v>477</v>
      </c>
      <c r="K12820" s="18" t="s">
        <v>477</v>
      </c>
      <c r="N12820" s="17" t="str">
        <f>IFERROR(__xludf.DUMMYFUNCTION("""COMPUTED_VALUE"""),"")</f>
        <v/>
      </c>
      <c r="O12820" s="17"/>
    </row>
    <row r="12821">
      <c r="B12821" s="17" t="s">
        <v>477</v>
      </c>
      <c r="K12821" s="18" t="s">
        <v>477</v>
      </c>
      <c r="N12821" s="17" t="str">
        <f>IFERROR(__xludf.DUMMYFUNCTION("""COMPUTED_VALUE"""),"")</f>
        <v/>
      </c>
      <c r="O12821" s="17"/>
    </row>
    <row r="12822">
      <c r="B12822" s="17" t="s">
        <v>477</v>
      </c>
      <c r="K12822" s="18" t="s">
        <v>477</v>
      </c>
      <c r="N12822" s="17" t="str">
        <f>IFERROR(__xludf.DUMMYFUNCTION("""COMPUTED_VALUE"""),"")</f>
        <v/>
      </c>
      <c r="O12822" s="17"/>
    </row>
    <row r="12823">
      <c r="B12823" s="17" t="s">
        <v>477</v>
      </c>
      <c r="K12823" s="18" t="s">
        <v>477</v>
      </c>
      <c r="N12823" s="17" t="str">
        <f>IFERROR(__xludf.DUMMYFUNCTION("""COMPUTED_VALUE"""),"")</f>
        <v/>
      </c>
      <c r="O12823" s="17"/>
    </row>
    <row r="12824">
      <c r="B12824" s="17" t="s">
        <v>477</v>
      </c>
      <c r="K12824" s="18" t="s">
        <v>477</v>
      </c>
      <c r="N12824" s="17" t="str">
        <f>IFERROR(__xludf.DUMMYFUNCTION("""COMPUTED_VALUE"""),"")</f>
        <v/>
      </c>
      <c r="O12824" s="17"/>
    </row>
    <row r="12825">
      <c r="B12825" s="17" t="s">
        <v>477</v>
      </c>
      <c r="K12825" s="18" t="s">
        <v>477</v>
      </c>
      <c r="N12825" s="17" t="str">
        <f>IFERROR(__xludf.DUMMYFUNCTION("""COMPUTED_VALUE"""),"")</f>
        <v/>
      </c>
      <c r="O12825" s="17"/>
    </row>
    <row r="12826">
      <c r="B12826" s="17" t="s">
        <v>477</v>
      </c>
      <c r="K12826" s="18" t="s">
        <v>477</v>
      </c>
      <c r="N12826" s="17" t="str">
        <f>IFERROR(__xludf.DUMMYFUNCTION("""COMPUTED_VALUE"""),"")</f>
        <v/>
      </c>
      <c r="O12826" s="17"/>
    </row>
    <row r="12827">
      <c r="B12827" s="17" t="s">
        <v>477</v>
      </c>
      <c r="K12827" s="18" t="s">
        <v>477</v>
      </c>
      <c r="N12827" s="17" t="str">
        <f>IFERROR(__xludf.DUMMYFUNCTION("""COMPUTED_VALUE"""),"")</f>
        <v/>
      </c>
      <c r="O12827" s="17"/>
    </row>
    <row r="12828">
      <c r="B12828" s="17" t="s">
        <v>477</v>
      </c>
      <c r="K12828" s="18" t="s">
        <v>477</v>
      </c>
      <c r="N12828" s="17" t="str">
        <f>IFERROR(__xludf.DUMMYFUNCTION("""COMPUTED_VALUE"""),"")</f>
        <v/>
      </c>
      <c r="O12828" s="17"/>
    </row>
    <row r="12829">
      <c r="B12829" s="17" t="s">
        <v>477</v>
      </c>
      <c r="K12829" s="18" t="s">
        <v>477</v>
      </c>
      <c r="N12829" s="17" t="str">
        <f>IFERROR(__xludf.DUMMYFUNCTION("""COMPUTED_VALUE"""),"")</f>
        <v/>
      </c>
      <c r="O12829" s="17"/>
    </row>
    <row r="12830">
      <c r="B12830" s="17" t="s">
        <v>477</v>
      </c>
      <c r="K12830" s="18" t="s">
        <v>477</v>
      </c>
      <c r="N12830" s="17" t="str">
        <f>IFERROR(__xludf.DUMMYFUNCTION("""COMPUTED_VALUE"""),"")</f>
        <v/>
      </c>
      <c r="O12830" s="17"/>
    </row>
    <row r="12831">
      <c r="B12831" s="17" t="s">
        <v>477</v>
      </c>
      <c r="K12831" s="18" t="s">
        <v>477</v>
      </c>
      <c r="N12831" s="17" t="str">
        <f>IFERROR(__xludf.DUMMYFUNCTION("""COMPUTED_VALUE"""),"")</f>
        <v/>
      </c>
      <c r="O12831" s="17"/>
    </row>
    <row r="12832">
      <c r="B12832" s="17" t="s">
        <v>477</v>
      </c>
      <c r="K12832" s="18" t="s">
        <v>477</v>
      </c>
      <c r="N12832" s="17" t="str">
        <f>IFERROR(__xludf.DUMMYFUNCTION("""COMPUTED_VALUE"""),"")</f>
        <v/>
      </c>
      <c r="O12832" s="17"/>
    </row>
    <row r="12833">
      <c r="B12833" s="17" t="s">
        <v>477</v>
      </c>
      <c r="K12833" s="18" t="s">
        <v>477</v>
      </c>
      <c r="N12833" s="17" t="str">
        <f>IFERROR(__xludf.DUMMYFUNCTION("""COMPUTED_VALUE"""),"")</f>
        <v/>
      </c>
      <c r="O12833" s="17"/>
    </row>
    <row r="12834">
      <c r="B12834" s="17" t="s">
        <v>477</v>
      </c>
      <c r="K12834" s="18" t="s">
        <v>477</v>
      </c>
      <c r="N12834" s="17" t="str">
        <f>IFERROR(__xludf.DUMMYFUNCTION("""COMPUTED_VALUE"""),"")</f>
        <v/>
      </c>
      <c r="O12834" s="17"/>
    </row>
    <row r="12835">
      <c r="B12835" s="17" t="s">
        <v>477</v>
      </c>
      <c r="K12835" s="18" t="s">
        <v>477</v>
      </c>
      <c r="N12835" s="17" t="str">
        <f>IFERROR(__xludf.DUMMYFUNCTION("""COMPUTED_VALUE"""),"")</f>
        <v/>
      </c>
      <c r="O12835" s="17"/>
    </row>
    <row r="12836">
      <c r="B12836" s="17" t="s">
        <v>477</v>
      </c>
      <c r="K12836" s="18" t="s">
        <v>477</v>
      </c>
      <c r="N12836" s="17" t="str">
        <f>IFERROR(__xludf.DUMMYFUNCTION("""COMPUTED_VALUE"""),"")</f>
        <v/>
      </c>
      <c r="O12836" s="17"/>
    </row>
    <row r="12837">
      <c r="B12837" s="17" t="s">
        <v>477</v>
      </c>
      <c r="K12837" s="18" t="s">
        <v>477</v>
      </c>
      <c r="N12837" s="17" t="str">
        <f>IFERROR(__xludf.DUMMYFUNCTION("""COMPUTED_VALUE"""),"")</f>
        <v/>
      </c>
      <c r="O12837" s="17"/>
    </row>
    <row r="12838">
      <c r="B12838" s="17" t="s">
        <v>477</v>
      </c>
      <c r="K12838" s="18" t="s">
        <v>477</v>
      </c>
      <c r="N12838" s="17" t="str">
        <f>IFERROR(__xludf.DUMMYFUNCTION("""COMPUTED_VALUE"""),"")</f>
        <v/>
      </c>
      <c r="O12838" s="17"/>
    </row>
    <row r="12839">
      <c r="B12839" s="17" t="s">
        <v>477</v>
      </c>
      <c r="K12839" s="18" t="s">
        <v>477</v>
      </c>
      <c r="N12839" s="17" t="str">
        <f>IFERROR(__xludf.DUMMYFUNCTION("""COMPUTED_VALUE"""),"")</f>
        <v/>
      </c>
      <c r="O12839" s="17"/>
    </row>
    <row r="12840">
      <c r="B12840" s="17" t="s">
        <v>477</v>
      </c>
      <c r="K12840" s="18" t="s">
        <v>477</v>
      </c>
      <c r="N12840" s="17" t="str">
        <f>IFERROR(__xludf.DUMMYFUNCTION("""COMPUTED_VALUE"""),"")</f>
        <v/>
      </c>
      <c r="O12840" s="17"/>
    </row>
    <row r="12841">
      <c r="B12841" s="17" t="s">
        <v>477</v>
      </c>
      <c r="K12841" s="18" t="s">
        <v>477</v>
      </c>
      <c r="N12841" s="17" t="str">
        <f>IFERROR(__xludf.DUMMYFUNCTION("""COMPUTED_VALUE"""),"")</f>
        <v/>
      </c>
      <c r="O12841" s="17"/>
    </row>
    <row r="12842">
      <c r="B12842" s="17" t="s">
        <v>477</v>
      </c>
      <c r="K12842" s="18" t="s">
        <v>477</v>
      </c>
      <c r="N12842" s="17" t="str">
        <f>IFERROR(__xludf.DUMMYFUNCTION("""COMPUTED_VALUE"""),"")</f>
        <v/>
      </c>
      <c r="O12842" s="17"/>
    </row>
    <row r="12843">
      <c r="B12843" s="17" t="s">
        <v>477</v>
      </c>
      <c r="K12843" s="18" t="s">
        <v>477</v>
      </c>
      <c r="N12843" s="17" t="str">
        <f>IFERROR(__xludf.DUMMYFUNCTION("""COMPUTED_VALUE"""),"")</f>
        <v/>
      </c>
      <c r="O12843" s="17"/>
    </row>
    <row r="12844">
      <c r="B12844" s="17" t="s">
        <v>477</v>
      </c>
      <c r="K12844" s="18" t="s">
        <v>477</v>
      </c>
      <c r="N12844" s="17" t="str">
        <f>IFERROR(__xludf.DUMMYFUNCTION("""COMPUTED_VALUE"""),"")</f>
        <v/>
      </c>
      <c r="O12844" s="17"/>
    </row>
    <row r="12845">
      <c r="B12845" s="17" t="s">
        <v>477</v>
      </c>
      <c r="K12845" s="18" t="s">
        <v>477</v>
      </c>
      <c r="N12845" s="17" t="str">
        <f>IFERROR(__xludf.DUMMYFUNCTION("""COMPUTED_VALUE"""),"")</f>
        <v/>
      </c>
      <c r="O12845" s="17"/>
    </row>
    <row r="12846">
      <c r="B12846" s="17" t="s">
        <v>477</v>
      </c>
      <c r="K12846" s="18" t="s">
        <v>477</v>
      </c>
      <c r="N12846" s="17" t="str">
        <f>IFERROR(__xludf.DUMMYFUNCTION("""COMPUTED_VALUE"""),"")</f>
        <v/>
      </c>
      <c r="O12846" s="17"/>
    </row>
    <row r="12847">
      <c r="B12847" s="17" t="s">
        <v>477</v>
      </c>
      <c r="K12847" s="18" t="s">
        <v>477</v>
      </c>
      <c r="N12847" s="17" t="str">
        <f>IFERROR(__xludf.DUMMYFUNCTION("""COMPUTED_VALUE"""),"")</f>
        <v/>
      </c>
      <c r="O12847" s="17"/>
    </row>
    <row r="12848">
      <c r="B12848" s="17" t="s">
        <v>477</v>
      </c>
      <c r="K12848" s="18" t="s">
        <v>477</v>
      </c>
      <c r="N12848" s="17" t="str">
        <f>IFERROR(__xludf.DUMMYFUNCTION("""COMPUTED_VALUE"""),"")</f>
        <v/>
      </c>
      <c r="O12848" s="17"/>
    </row>
    <row r="12849">
      <c r="B12849" s="17" t="s">
        <v>477</v>
      </c>
      <c r="K12849" s="18" t="s">
        <v>477</v>
      </c>
      <c r="N12849" s="17" t="str">
        <f>IFERROR(__xludf.DUMMYFUNCTION("""COMPUTED_VALUE"""),"")</f>
        <v/>
      </c>
      <c r="O12849" s="17"/>
    </row>
    <row r="12850">
      <c r="B12850" s="17" t="s">
        <v>477</v>
      </c>
      <c r="K12850" s="18" t="s">
        <v>477</v>
      </c>
      <c r="N12850" s="17" t="str">
        <f>IFERROR(__xludf.DUMMYFUNCTION("""COMPUTED_VALUE"""),"")</f>
        <v/>
      </c>
      <c r="O12850" s="17"/>
    </row>
    <row r="12851">
      <c r="B12851" s="17" t="s">
        <v>477</v>
      </c>
      <c r="K12851" s="18" t="s">
        <v>477</v>
      </c>
      <c r="N12851" s="17" t="str">
        <f>IFERROR(__xludf.DUMMYFUNCTION("""COMPUTED_VALUE"""),"")</f>
        <v/>
      </c>
      <c r="O12851" s="17"/>
    </row>
    <row r="12852">
      <c r="B12852" s="17" t="s">
        <v>477</v>
      </c>
      <c r="K12852" s="18" t="s">
        <v>477</v>
      </c>
      <c r="N12852" s="17" t="str">
        <f>IFERROR(__xludf.DUMMYFUNCTION("""COMPUTED_VALUE"""),"")</f>
        <v/>
      </c>
      <c r="O12852" s="17"/>
    </row>
    <row r="12853">
      <c r="B12853" s="17" t="s">
        <v>477</v>
      </c>
      <c r="K12853" s="18" t="s">
        <v>477</v>
      </c>
      <c r="N12853" s="17" t="str">
        <f>IFERROR(__xludf.DUMMYFUNCTION("""COMPUTED_VALUE"""),"")</f>
        <v/>
      </c>
      <c r="O12853" s="17"/>
    </row>
    <row r="12854">
      <c r="B12854" s="17" t="s">
        <v>477</v>
      </c>
      <c r="K12854" s="18" t="s">
        <v>477</v>
      </c>
      <c r="N12854" s="17" t="str">
        <f>IFERROR(__xludf.DUMMYFUNCTION("""COMPUTED_VALUE"""),"")</f>
        <v/>
      </c>
      <c r="O12854" s="17"/>
    </row>
    <row r="12855">
      <c r="B12855" s="17" t="s">
        <v>477</v>
      </c>
      <c r="K12855" s="18" t="s">
        <v>477</v>
      </c>
      <c r="N12855" s="17" t="str">
        <f>IFERROR(__xludf.DUMMYFUNCTION("""COMPUTED_VALUE"""),"")</f>
        <v/>
      </c>
      <c r="O12855" s="17"/>
    </row>
    <row r="12856">
      <c r="B12856" s="17" t="s">
        <v>477</v>
      </c>
      <c r="K12856" s="18" t="s">
        <v>477</v>
      </c>
      <c r="N12856" s="17" t="str">
        <f>IFERROR(__xludf.DUMMYFUNCTION("""COMPUTED_VALUE"""),"")</f>
        <v/>
      </c>
      <c r="O12856" s="17"/>
    </row>
    <row r="12857">
      <c r="B12857" s="17" t="s">
        <v>477</v>
      </c>
      <c r="K12857" s="18" t="s">
        <v>477</v>
      </c>
      <c r="N12857" s="17" t="str">
        <f>IFERROR(__xludf.DUMMYFUNCTION("""COMPUTED_VALUE"""),"")</f>
        <v/>
      </c>
      <c r="O12857" s="17"/>
    </row>
    <row r="12858">
      <c r="B12858" s="17" t="s">
        <v>477</v>
      </c>
      <c r="K12858" s="18" t="s">
        <v>477</v>
      </c>
      <c r="N12858" s="17" t="str">
        <f>IFERROR(__xludf.DUMMYFUNCTION("""COMPUTED_VALUE"""),"")</f>
        <v/>
      </c>
      <c r="O12858" s="17"/>
    </row>
    <row r="12859">
      <c r="B12859" s="17" t="s">
        <v>477</v>
      </c>
      <c r="K12859" s="18" t="s">
        <v>477</v>
      </c>
      <c r="N12859" s="17" t="str">
        <f>IFERROR(__xludf.DUMMYFUNCTION("""COMPUTED_VALUE"""),"")</f>
        <v/>
      </c>
      <c r="O12859" s="17"/>
    </row>
    <row r="12860">
      <c r="B12860" s="17" t="s">
        <v>477</v>
      </c>
      <c r="K12860" s="18" t="s">
        <v>477</v>
      </c>
      <c r="N12860" s="17" t="str">
        <f>IFERROR(__xludf.DUMMYFUNCTION("""COMPUTED_VALUE"""),"")</f>
        <v/>
      </c>
      <c r="O12860" s="17"/>
    </row>
    <row r="12861">
      <c r="B12861" s="17" t="s">
        <v>477</v>
      </c>
      <c r="K12861" s="18" t="s">
        <v>477</v>
      </c>
      <c r="N12861" s="17" t="str">
        <f>IFERROR(__xludf.DUMMYFUNCTION("""COMPUTED_VALUE"""),"")</f>
        <v/>
      </c>
      <c r="O12861" s="17"/>
    </row>
    <row r="12862">
      <c r="B12862" s="17" t="s">
        <v>477</v>
      </c>
      <c r="K12862" s="18" t="s">
        <v>477</v>
      </c>
      <c r="N12862" s="17" t="str">
        <f>IFERROR(__xludf.DUMMYFUNCTION("""COMPUTED_VALUE"""),"")</f>
        <v/>
      </c>
      <c r="O12862" s="17"/>
    </row>
    <row r="12863">
      <c r="B12863" s="17" t="s">
        <v>477</v>
      </c>
      <c r="K12863" s="18" t="s">
        <v>477</v>
      </c>
      <c r="N12863" s="17" t="str">
        <f>IFERROR(__xludf.DUMMYFUNCTION("""COMPUTED_VALUE"""),"")</f>
        <v/>
      </c>
      <c r="O12863" s="17"/>
    </row>
    <row r="12864">
      <c r="B12864" s="17" t="s">
        <v>477</v>
      </c>
      <c r="K12864" s="18" t="s">
        <v>477</v>
      </c>
      <c r="N12864" s="17" t="str">
        <f>IFERROR(__xludf.DUMMYFUNCTION("""COMPUTED_VALUE"""),"")</f>
        <v/>
      </c>
      <c r="O12864" s="17"/>
    </row>
    <row r="12865">
      <c r="B12865" s="17" t="s">
        <v>477</v>
      </c>
      <c r="K12865" s="18" t="s">
        <v>477</v>
      </c>
      <c r="N12865" s="17" t="str">
        <f>IFERROR(__xludf.DUMMYFUNCTION("""COMPUTED_VALUE"""),"")</f>
        <v/>
      </c>
      <c r="O12865" s="17"/>
    </row>
    <row r="12866">
      <c r="B12866" s="17" t="s">
        <v>477</v>
      </c>
      <c r="K12866" s="18" t="s">
        <v>477</v>
      </c>
      <c r="N12866" s="17" t="str">
        <f>IFERROR(__xludf.DUMMYFUNCTION("""COMPUTED_VALUE"""),"")</f>
        <v/>
      </c>
      <c r="O12866" s="17"/>
    </row>
    <row r="12867">
      <c r="B12867" s="17" t="s">
        <v>477</v>
      </c>
      <c r="K12867" s="18" t="s">
        <v>477</v>
      </c>
      <c r="N12867" s="17" t="str">
        <f>IFERROR(__xludf.DUMMYFUNCTION("""COMPUTED_VALUE"""),"")</f>
        <v/>
      </c>
      <c r="O12867" s="17"/>
    </row>
    <row r="12868">
      <c r="B12868" s="17" t="s">
        <v>477</v>
      </c>
      <c r="K12868" s="18" t="s">
        <v>477</v>
      </c>
      <c r="N12868" s="17" t="str">
        <f>IFERROR(__xludf.DUMMYFUNCTION("""COMPUTED_VALUE"""),"")</f>
        <v/>
      </c>
      <c r="O12868" s="17"/>
    </row>
    <row r="12869">
      <c r="B12869" s="17" t="s">
        <v>477</v>
      </c>
      <c r="K12869" s="18" t="s">
        <v>477</v>
      </c>
      <c r="N12869" s="17" t="str">
        <f>IFERROR(__xludf.DUMMYFUNCTION("""COMPUTED_VALUE"""),"")</f>
        <v/>
      </c>
      <c r="O12869" s="17"/>
    </row>
    <row r="12870">
      <c r="B12870" s="17" t="s">
        <v>477</v>
      </c>
      <c r="K12870" s="18" t="s">
        <v>477</v>
      </c>
      <c r="N12870" s="17" t="str">
        <f>IFERROR(__xludf.DUMMYFUNCTION("""COMPUTED_VALUE"""),"")</f>
        <v/>
      </c>
      <c r="O12870" s="17"/>
    </row>
    <row r="12871">
      <c r="B12871" s="17" t="s">
        <v>477</v>
      </c>
      <c r="K12871" s="18" t="s">
        <v>477</v>
      </c>
      <c r="N12871" s="17" t="str">
        <f>IFERROR(__xludf.DUMMYFUNCTION("""COMPUTED_VALUE"""),"")</f>
        <v/>
      </c>
      <c r="O12871" s="17"/>
    </row>
    <row r="12872">
      <c r="B12872" s="17" t="s">
        <v>477</v>
      </c>
      <c r="K12872" s="18" t="s">
        <v>477</v>
      </c>
      <c r="N12872" s="17" t="str">
        <f>IFERROR(__xludf.DUMMYFUNCTION("""COMPUTED_VALUE"""),"")</f>
        <v/>
      </c>
      <c r="O12872" s="17"/>
    </row>
    <row r="12873">
      <c r="B12873" s="17" t="s">
        <v>477</v>
      </c>
      <c r="K12873" s="18" t="s">
        <v>477</v>
      </c>
      <c r="N12873" s="17" t="str">
        <f>IFERROR(__xludf.DUMMYFUNCTION("""COMPUTED_VALUE"""),"")</f>
        <v/>
      </c>
      <c r="O12873" s="17"/>
    </row>
    <row r="12874">
      <c r="B12874" s="17" t="s">
        <v>477</v>
      </c>
      <c r="K12874" s="18" t="s">
        <v>477</v>
      </c>
      <c r="N12874" s="17" t="str">
        <f>IFERROR(__xludf.DUMMYFUNCTION("""COMPUTED_VALUE"""),"")</f>
        <v/>
      </c>
      <c r="O12874" s="17"/>
    </row>
    <row r="12875">
      <c r="B12875" s="17" t="s">
        <v>477</v>
      </c>
      <c r="K12875" s="18" t="s">
        <v>477</v>
      </c>
      <c r="N12875" s="17" t="str">
        <f>IFERROR(__xludf.DUMMYFUNCTION("""COMPUTED_VALUE"""),"")</f>
        <v/>
      </c>
      <c r="O12875" s="17"/>
    </row>
    <row r="12876">
      <c r="B12876" s="17" t="s">
        <v>477</v>
      </c>
      <c r="K12876" s="18" t="s">
        <v>477</v>
      </c>
      <c r="N12876" s="17" t="str">
        <f>IFERROR(__xludf.DUMMYFUNCTION("""COMPUTED_VALUE"""),"")</f>
        <v/>
      </c>
      <c r="O12876" s="17"/>
    </row>
    <row r="12877">
      <c r="B12877" s="17" t="s">
        <v>477</v>
      </c>
      <c r="K12877" s="18" t="s">
        <v>477</v>
      </c>
      <c r="N12877" s="17" t="str">
        <f>IFERROR(__xludf.DUMMYFUNCTION("""COMPUTED_VALUE"""),"")</f>
        <v/>
      </c>
      <c r="O12877" s="17"/>
    </row>
    <row r="12878">
      <c r="B12878" s="17" t="s">
        <v>477</v>
      </c>
      <c r="K12878" s="18" t="s">
        <v>477</v>
      </c>
      <c r="N12878" s="17" t="str">
        <f>IFERROR(__xludf.DUMMYFUNCTION("""COMPUTED_VALUE"""),"")</f>
        <v/>
      </c>
      <c r="O12878" s="17"/>
    </row>
    <row r="12879">
      <c r="B12879" s="17" t="s">
        <v>477</v>
      </c>
      <c r="K12879" s="18" t="s">
        <v>477</v>
      </c>
      <c r="N12879" s="17" t="str">
        <f>IFERROR(__xludf.DUMMYFUNCTION("""COMPUTED_VALUE"""),"")</f>
        <v/>
      </c>
      <c r="O12879" s="17"/>
    </row>
    <row r="12880">
      <c r="B12880" s="17" t="s">
        <v>477</v>
      </c>
      <c r="K12880" s="18" t="s">
        <v>477</v>
      </c>
      <c r="N12880" s="17" t="str">
        <f>IFERROR(__xludf.DUMMYFUNCTION("""COMPUTED_VALUE"""),"")</f>
        <v/>
      </c>
      <c r="O12880" s="17"/>
    </row>
    <row r="12881">
      <c r="B12881" s="17" t="s">
        <v>477</v>
      </c>
      <c r="K12881" s="18" t="s">
        <v>477</v>
      </c>
      <c r="N12881" s="17" t="str">
        <f>IFERROR(__xludf.DUMMYFUNCTION("""COMPUTED_VALUE"""),"")</f>
        <v/>
      </c>
      <c r="O12881" s="17"/>
    </row>
    <row r="12882">
      <c r="B12882" s="17" t="s">
        <v>477</v>
      </c>
      <c r="K12882" s="18" t="s">
        <v>477</v>
      </c>
      <c r="N12882" s="17" t="str">
        <f>IFERROR(__xludf.DUMMYFUNCTION("""COMPUTED_VALUE"""),"")</f>
        <v/>
      </c>
      <c r="O12882" s="17"/>
    </row>
    <row r="12883">
      <c r="B12883" s="17" t="s">
        <v>477</v>
      </c>
      <c r="K12883" s="18" t="s">
        <v>477</v>
      </c>
      <c r="N12883" s="17" t="str">
        <f>IFERROR(__xludf.DUMMYFUNCTION("""COMPUTED_VALUE"""),"")</f>
        <v/>
      </c>
      <c r="O12883" s="17"/>
    </row>
    <row r="12884">
      <c r="B12884" s="17" t="s">
        <v>477</v>
      </c>
      <c r="K12884" s="18" t="s">
        <v>477</v>
      </c>
      <c r="N12884" s="17" t="str">
        <f>IFERROR(__xludf.DUMMYFUNCTION("""COMPUTED_VALUE"""),"")</f>
        <v/>
      </c>
      <c r="O12884" s="17"/>
    </row>
    <row r="12885">
      <c r="B12885" s="17" t="s">
        <v>477</v>
      </c>
      <c r="K12885" s="18" t="s">
        <v>477</v>
      </c>
      <c r="N12885" s="17" t="str">
        <f>IFERROR(__xludf.DUMMYFUNCTION("""COMPUTED_VALUE"""),"")</f>
        <v/>
      </c>
      <c r="O12885" s="17"/>
    </row>
    <row r="12886">
      <c r="B12886" s="17" t="s">
        <v>477</v>
      </c>
      <c r="K12886" s="18" t="s">
        <v>477</v>
      </c>
      <c r="N12886" s="17" t="str">
        <f>IFERROR(__xludf.DUMMYFUNCTION("""COMPUTED_VALUE"""),"")</f>
        <v/>
      </c>
      <c r="O12886" s="17"/>
    </row>
    <row r="12887">
      <c r="B12887" s="17" t="s">
        <v>477</v>
      </c>
      <c r="K12887" s="18" t="s">
        <v>477</v>
      </c>
      <c r="N12887" s="17" t="str">
        <f>IFERROR(__xludf.DUMMYFUNCTION("""COMPUTED_VALUE"""),"")</f>
        <v/>
      </c>
      <c r="O12887" s="17"/>
    </row>
    <row r="12888">
      <c r="B12888" s="17" t="s">
        <v>477</v>
      </c>
      <c r="K12888" s="18" t="s">
        <v>477</v>
      </c>
      <c r="N12888" s="17" t="str">
        <f>IFERROR(__xludf.DUMMYFUNCTION("""COMPUTED_VALUE"""),"")</f>
        <v/>
      </c>
      <c r="O12888" s="17"/>
    </row>
    <row r="12889">
      <c r="B12889" s="17" t="s">
        <v>477</v>
      </c>
      <c r="K12889" s="18" t="s">
        <v>477</v>
      </c>
      <c r="N12889" s="17" t="str">
        <f>IFERROR(__xludf.DUMMYFUNCTION("""COMPUTED_VALUE"""),"")</f>
        <v/>
      </c>
      <c r="O12889" s="17"/>
    </row>
    <row r="12890">
      <c r="B12890" s="17" t="s">
        <v>477</v>
      </c>
      <c r="K12890" s="18" t="s">
        <v>477</v>
      </c>
      <c r="N12890" s="17" t="str">
        <f>IFERROR(__xludf.DUMMYFUNCTION("""COMPUTED_VALUE"""),"")</f>
        <v/>
      </c>
      <c r="O12890" s="17"/>
    </row>
    <row r="12891">
      <c r="B12891" s="17" t="s">
        <v>477</v>
      </c>
      <c r="K12891" s="18" t="s">
        <v>477</v>
      </c>
      <c r="N12891" s="17" t="str">
        <f>IFERROR(__xludf.DUMMYFUNCTION("""COMPUTED_VALUE"""),"")</f>
        <v/>
      </c>
      <c r="O12891" s="17"/>
    </row>
    <row r="12892">
      <c r="B12892" s="17" t="s">
        <v>477</v>
      </c>
      <c r="K12892" s="18" t="s">
        <v>477</v>
      </c>
      <c r="N12892" s="17" t="str">
        <f>IFERROR(__xludf.DUMMYFUNCTION("""COMPUTED_VALUE"""),"")</f>
        <v/>
      </c>
      <c r="O12892" s="17"/>
    </row>
    <row r="12893">
      <c r="B12893" s="17" t="s">
        <v>477</v>
      </c>
      <c r="K12893" s="18" t="s">
        <v>477</v>
      </c>
      <c r="N12893" s="17" t="str">
        <f>IFERROR(__xludf.DUMMYFUNCTION("""COMPUTED_VALUE"""),"")</f>
        <v/>
      </c>
      <c r="O12893" s="17"/>
    </row>
    <row r="12894">
      <c r="B12894" s="17" t="s">
        <v>477</v>
      </c>
      <c r="K12894" s="18" t="s">
        <v>477</v>
      </c>
      <c r="N12894" s="17" t="str">
        <f>IFERROR(__xludf.DUMMYFUNCTION("""COMPUTED_VALUE"""),"")</f>
        <v/>
      </c>
      <c r="O12894" s="17"/>
    </row>
    <row r="12895">
      <c r="B12895" s="17" t="s">
        <v>477</v>
      </c>
      <c r="K12895" s="18" t="s">
        <v>477</v>
      </c>
      <c r="N12895" s="17" t="str">
        <f>IFERROR(__xludf.DUMMYFUNCTION("""COMPUTED_VALUE"""),"")</f>
        <v/>
      </c>
      <c r="O12895" s="17"/>
    </row>
    <row r="12896">
      <c r="B12896" s="17" t="s">
        <v>477</v>
      </c>
      <c r="K12896" s="18" t="s">
        <v>477</v>
      </c>
      <c r="N12896" s="17" t="str">
        <f>IFERROR(__xludf.DUMMYFUNCTION("""COMPUTED_VALUE"""),"")</f>
        <v/>
      </c>
      <c r="O12896" s="17"/>
    </row>
    <row r="12897">
      <c r="B12897" s="17" t="s">
        <v>477</v>
      </c>
      <c r="K12897" s="18" t="s">
        <v>477</v>
      </c>
      <c r="N12897" s="17" t="str">
        <f>IFERROR(__xludf.DUMMYFUNCTION("""COMPUTED_VALUE"""),"")</f>
        <v/>
      </c>
      <c r="O12897" s="17"/>
    </row>
    <row r="12898">
      <c r="B12898" s="17" t="s">
        <v>477</v>
      </c>
      <c r="K12898" s="18" t="s">
        <v>477</v>
      </c>
      <c r="N12898" s="17" t="str">
        <f>IFERROR(__xludf.DUMMYFUNCTION("""COMPUTED_VALUE"""),"")</f>
        <v/>
      </c>
      <c r="O12898" s="17"/>
    </row>
    <row r="12899">
      <c r="B12899" s="17" t="s">
        <v>477</v>
      </c>
      <c r="K12899" s="18" t="s">
        <v>477</v>
      </c>
      <c r="N12899" s="17" t="str">
        <f>IFERROR(__xludf.DUMMYFUNCTION("""COMPUTED_VALUE"""),"")</f>
        <v/>
      </c>
      <c r="O12899" s="17"/>
    </row>
    <row r="12900">
      <c r="B12900" s="17" t="s">
        <v>477</v>
      </c>
      <c r="K12900" s="18" t="s">
        <v>477</v>
      </c>
      <c r="N12900" s="17" t="str">
        <f>IFERROR(__xludf.DUMMYFUNCTION("""COMPUTED_VALUE"""),"")</f>
        <v/>
      </c>
      <c r="O12900" s="17"/>
    </row>
    <row r="12901">
      <c r="B12901" s="17" t="s">
        <v>477</v>
      </c>
      <c r="K12901" s="18" t="s">
        <v>477</v>
      </c>
      <c r="N12901" s="17" t="str">
        <f>IFERROR(__xludf.DUMMYFUNCTION("""COMPUTED_VALUE"""),"")</f>
        <v/>
      </c>
      <c r="O12901" s="17"/>
    </row>
    <row r="12902">
      <c r="B12902" s="17" t="s">
        <v>477</v>
      </c>
      <c r="K12902" s="18" t="s">
        <v>477</v>
      </c>
      <c r="N12902" s="17" t="str">
        <f>IFERROR(__xludf.DUMMYFUNCTION("""COMPUTED_VALUE"""),"")</f>
        <v/>
      </c>
      <c r="O12902" s="17"/>
    </row>
    <row r="12903">
      <c r="B12903" s="17" t="s">
        <v>477</v>
      </c>
      <c r="K12903" s="18" t="s">
        <v>477</v>
      </c>
      <c r="N12903" s="17" t="str">
        <f>IFERROR(__xludf.DUMMYFUNCTION("""COMPUTED_VALUE"""),"")</f>
        <v/>
      </c>
      <c r="O12903" s="17"/>
    </row>
    <row r="12904">
      <c r="B12904" s="17" t="s">
        <v>477</v>
      </c>
      <c r="K12904" s="18" t="s">
        <v>477</v>
      </c>
      <c r="N12904" s="17" t="str">
        <f>IFERROR(__xludf.DUMMYFUNCTION("""COMPUTED_VALUE"""),"")</f>
        <v/>
      </c>
      <c r="O12904" s="17"/>
    </row>
    <row r="12905">
      <c r="B12905" s="17" t="s">
        <v>477</v>
      </c>
      <c r="K12905" s="18" t="s">
        <v>477</v>
      </c>
      <c r="N12905" s="17" t="str">
        <f>IFERROR(__xludf.DUMMYFUNCTION("""COMPUTED_VALUE"""),"")</f>
        <v/>
      </c>
      <c r="O12905" s="17"/>
    </row>
    <row r="12906">
      <c r="B12906" s="17" t="s">
        <v>477</v>
      </c>
      <c r="K12906" s="18" t="s">
        <v>477</v>
      </c>
      <c r="N12906" s="17" t="str">
        <f>IFERROR(__xludf.DUMMYFUNCTION("""COMPUTED_VALUE"""),"")</f>
        <v/>
      </c>
      <c r="O12906" s="17"/>
    </row>
    <row r="12907">
      <c r="B12907" s="17" t="s">
        <v>477</v>
      </c>
      <c r="K12907" s="18" t="s">
        <v>477</v>
      </c>
      <c r="N12907" s="17" t="str">
        <f>IFERROR(__xludf.DUMMYFUNCTION("""COMPUTED_VALUE"""),"")</f>
        <v/>
      </c>
      <c r="O12907" s="17"/>
    </row>
    <row r="12908">
      <c r="B12908" s="17" t="s">
        <v>477</v>
      </c>
      <c r="K12908" s="18" t="s">
        <v>477</v>
      </c>
      <c r="N12908" s="17" t="str">
        <f>IFERROR(__xludf.DUMMYFUNCTION("""COMPUTED_VALUE"""),"")</f>
        <v/>
      </c>
      <c r="O12908" s="17"/>
    </row>
    <row r="12909">
      <c r="B12909" s="17" t="s">
        <v>477</v>
      </c>
      <c r="K12909" s="18" t="s">
        <v>477</v>
      </c>
      <c r="N12909" s="17" t="str">
        <f>IFERROR(__xludf.DUMMYFUNCTION("""COMPUTED_VALUE"""),"")</f>
        <v/>
      </c>
      <c r="O12909" s="17"/>
    </row>
    <row r="12910">
      <c r="B12910" s="17" t="s">
        <v>477</v>
      </c>
      <c r="K12910" s="18" t="s">
        <v>477</v>
      </c>
      <c r="N12910" s="17" t="str">
        <f>IFERROR(__xludf.DUMMYFUNCTION("""COMPUTED_VALUE"""),"")</f>
        <v/>
      </c>
      <c r="O12910" s="17"/>
    </row>
    <row r="12911">
      <c r="B12911" s="17" t="s">
        <v>477</v>
      </c>
      <c r="K12911" s="18" t="s">
        <v>477</v>
      </c>
      <c r="N12911" s="17" t="str">
        <f>IFERROR(__xludf.DUMMYFUNCTION("""COMPUTED_VALUE"""),"")</f>
        <v/>
      </c>
      <c r="O12911" s="17"/>
    </row>
    <row r="12912">
      <c r="B12912" s="17" t="s">
        <v>477</v>
      </c>
      <c r="K12912" s="18" t="s">
        <v>477</v>
      </c>
      <c r="N12912" s="17" t="str">
        <f>IFERROR(__xludf.DUMMYFUNCTION("""COMPUTED_VALUE"""),"")</f>
        <v/>
      </c>
      <c r="O12912" s="17"/>
    </row>
    <row r="12913">
      <c r="B12913" s="17" t="s">
        <v>477</v>
      </c>
      <c r="K12913" s="18" t="s">
        <v>477</v>
      </c>
      <c r="N12913" s="17" t="str">
        <f>IFERROR(__xludf.DUMMYFUNCTION("""COMPUTED_VALUE"""),"")</f>
        <v/>
      </c>
      <c r="O12913" s="17"/>
    </row>
    <row r="12914">
      <c r="B12914" s="17" t="s">
        <v>477</v>
      </c>
      <c r="K12914" s="18" t="s">
        <v>477</v>
      </c>
      <c r="N12914" s="17" t="str">
        <f>IFERROR(__xludf.DUMMYFUNCTION("""COMPUTED_VALUE"""),"")</f>
        <v/>
      </c>
      <c r="O12914" s="17"/>
    </row>
    <row r="12915">
      <c r="B12915" s="17" t="s">
        <v>477</v>
      </c>
      <c r="K12915" s="18" t="s">
        <v>477</v>
      </c>
      <c r="N12915" s="17" t="str">
        <f>IFERROR(__xludf.DUMMYFUNCTION("""COMPUTED_VALUE"""),"")</f>
        <v/>
      </c>
      <c r="O12915" s="17"/>
    </row>
    <row r="12916">
      <c r="B12916" s="17" t="s">
        <v>477</v>
      </c>
      <c r="K12916" s="18" t="s">
        <v>477</v>
      </c>
      <c r="N12916" s="17" t="str">
        <f>IFERROR(__xludf.DUMMYFUNCTION("""COMPUTED_VALUE"""),"")</f>
        <v/>
      </c>
      <c r="O12916" s="17"/>
    </row>
    <row r="12917">
      <c r="B12917" s="17" t="s">
        <v>477</v>
      </c>
      <c r="K12917" s="18" t="s">
        <v>477</v>
      </c>
      <c r="N12917" s="17" t="str">
        <f>IFERROR(__xludf.DUMMYFUNCTION("""COMPUTED_VALUE"""),"")</f>
        <v/>
      </c>
      <c r="O12917" s="17"/>
    </row>
    <row r="12918">
      <c r="B12918" s="17" t="s">
        <v>477</v>
      </c>
      <c r="K12918" s="18" t="s">
        <v>477</v>
      </c>
      <c r="N12918" s="17" t="str">
        <f>IFERROR(__xludf.DUMMYFUNCTION("""COMPUTED_VALUE"""),"")</f>
        <v/>
      </c>
      <c r="O12918" s="17"/>
    </row>
    <row r="12919">
      <c r="B12919" s="17" t="s">
        <v>477</v>
      </c>
      <c r="K12919" s="18" t="s">
        <v>477</v>
      </c>
      <c r="N12919" s="17" t="str">
        <f>IFERROR(__xludf.DUMMYFUNCTION("""COMPUTED_VALUE"""),"")</f>
        <v/>
      </c>
      <c r="O12919" s="17"/>
    </row>
    <row r="12920">
      <c r="B12920" s="17" t="s">
        <v>477</v>
      </c>
      <c r="K12920" s="18" t="s">
        <v>477</v>
      </c>
      <c r="N12920" s="17" t="str">
        <f>IFERROR(__xludf.DUMMYFUNCTION("""COMPUTED_VALUE"""),"")</f>
        <v/>
      </c>
      <c r="O12920" s="17"/>
    </row>
    <row r="12921">
      <c r="B12921" s="17" t="s">
        <v>477</v>
      </c>
      <c r="K12921" s="18" t="s">
        <v>477</v>
      </c>
      <c r="N12921" s="17" t="str">
        <f>IFERROR(__xludf.DUMMYFUNCTION("""COMPUTED_VALUE"""),"")</f>
        <v/>
      </c>
      <c r="O12921" s="17"/>
    </row>
    <row r="12922">
      <c r="B12922" s="17" t="s">
        <v>477</v>
      </c>
      <c r="K12922" s="18" t="s">
        <v>477</v>
      </c>
      <c r="N12922" s="17" t="str">
        <f>IFERROR(__xludf.DUMMYFUNCTION("""COMPUTED_VALUE"""),"")</f>
        <v/>
      </c>
      <c r="O12922" s="17"/>
    </row>
    <row r="12923">
      <c r="B12923" s="17" t="s">
        <v>477</v>
      </c>
      <c r="K12923" s="18" t="s">
        <v>477</v>
      </c>
      <c r="N12923" s="17" t="str">
        <f>IFERROR(__xludf.DUMMYFUNCTION("""COMPUTED_VALUE"""),"")</f>
        <v/>
      </c>
      <c r="O12923" s="17"/>
    </row>
    <row r="12924">
      <c r="B12924" s="17" t="s">
        <v>477</v>
      </c>
      <c r="K12924" s="18" t="s">
        <v>477</v>
      </c>
      <c r="N12924" s="17" t="str">
        <f>IFERROR(__xludf.DUMMYFUNCTION("""COMPUTED_VALUE"""),"")</f>
        <v/>
      </c>
      <c r="O12924" s="17"/>
    </row>
    <row r="12925">
      <c r="B12925" s="17" t="s">
        <v>477</v>
      </c>
      <c r="K12925" s="18" t="s">
        <v>477</v>
      </c>
      <c r="N12925" s="17" t="str">
        <f>IFERROR(__xludf.DUMMYFUNCTION("""COMPUTED_VALUE"""),"")</f>
        <v/>
      </c>
      <c r="O12925" s="17"/>
    </row>
    <row r="12926">
      <c r="B12926" s="17" t="s">
        <v>477</v>
      </c>
      <c r="K12926" s="18" t="s">
        <v>477</v>
      </c>
      <c r="N12926" s="17" t="str">
        <f>IFERROR(__xludf.DUMMYFUNCTION("""COMPUTED_VALUE"""),"")</f>
        <v/>
      </c>
      <c r="O12926" s="17"/>
    </row>
    <row r="12927">
      <c r="B12927" s="17" t="s">
        <v>477</v>
      </c>
      <c r="K12927" s="18" t="s">
        <v>477</v>
      </c>
      <c r="N12927" s="17" t="str">
        <f>IFERROR(__xludf.DUMMYFUNCTION("""COMPUTED_VALUE"""),"")</f>
        <v/>
      </c>
      <c r="O12927" s="17"/>
    </row>
    <row r="12928">
      <c r="B12928" s="17" t="s">
        <v>477</v>
      </c>
      <c r="K12928" s="18" t="s">
        <v>477</v>
      </c>
      <c r="N12928" s="17" t="str">
        <f>IFERROR(__xludf.DUMMYFUNCTION("""COMPUTED_VALUE"""),"")</f>
        <v/>
      </c>
      <c r="O12928" s="17"/>
    </row>
    <row r="12929">
      <c r="B12929" s="17" t="s">
        <v>477</v>
      </c>
      <c r="K12929" s="18" t="s">
        <v>477</v>
      </c>
      <c r="N12929" s="17" t="str">
        <f>IFERROR(__xludf.DUMMYFUNCTION("""COMPUTED_VALUE"""),"")</f>
        <v/>
      </c>
      <c r="O12929" s="17"/>
    </row>
    <row r="12930">
      <c r="B12930" s="17" t="s">
        <v>477</v>
      </c>
      <c r="K12930" s="18" t="s">
        <v>477</v>
      </c>
      <c r="N12930" s="17" t="str">
        <f>IFERROR(__xludf.DUMMYFUNCTION("""COMPUTED_VALUE"""),"")</f>
        <v/>
      </c>
      <c r="O12930" s="17"/>
    </row>
    <row r="12931">
      <c r="B12931" s="17" t="s">
        <v>477</v>
      </c>
      <c r="K12931" s="18" t="s">
        <v>477</v>
      </c>
      <c r="N12931" s="17" t="str">
        <f>IFERROR(__xludf.DUMMYFUNCTION("""COMPUTED_VALUE"""),"")</f>
        <v/>
      </c>
      <c r="O12931" s="17"/>
    </row>
    <row r="12932">
      <c r="B12932" s="17" t="s">
        <v>477</v>
      </c>
      <c r="K12932" s="18" t="s">
        <v>477</v>
      </c>
      <c r="N12932" s="17" t="str">
        <f>IFERROR(__xludf.DUMMYFUNCTION("""COMPUTED_VALUE"""),"")</f>
        <v/>
      </c>
      <c r="O12932" s="17"/>
    </row>
    <row r="12933">
      <c r="B12933" s="17" t="s">
        <v>477</v>
      </c>
      <c r="K12933" s="18" t="s">
        <v>477</v>
      </c>
      <c r="N12933" s="17" t="str">
        <f>IFERROR(__xludf.DUMMYFUNCTION("""COMPUTED_VALUE"""),"")</f>
        <v/>
      </c>
      <c r="O12933" s="17"/>
    </row>
    <row r="12934">
      <c r="B12934" s="17" t="s">
        <v>477</v>
      </c>
      <c r="K12934" s="18" t="s">
        <v>477</v>
      </c>
      <c r="N12934" s="17" t="str">
        <f>IFERROR(__xludf.DUMMYFUNCTION("""COMPUTED_VALUE"""),"")</f>
        <v/>
      </c>
      <c r="O12934" s="17"/>
    </row>
    <row r="12935">
      <c r="B12935" s="17" t="s">
        <v>477</v>
      </c>
      <c r="K12935" s="18" t="s">
        <v>477</v>
      </c>
      <c r="N12935" s="17" t="str">
        <f>IFERROR(__xludf.DUMMYFUNCTION("""COMPUTED_VALUE"""),"")</f>
        <v/>
      </c>
      <c r="O12935" s="17"/>
    </row>
    <row r="12936">
      <c r="B12936" s="17" t="s">
        <v>477</v>
      </c>
      <c r="K12936" s="18" t="s">
        <v>477</v>
      </c>
      <c r="N12936" s="17" t="str">
        <f>IFERROR(__xludf.DUMMYFUNCTION("""COMPUTED_VALUE"""),"")</f>
        <v/>
      </c>
      <c r="O12936" s="17"/>
    </row>
    <row r="12937">
      <c r="B12937" s="17" t="s">
        <v>477</v>
      </c>
      <c r="K12937" s="18" t="s">
        <v>477</v>
      </c>
      <c r="N12937" s="17" t="str">
        <f>IFERROR(__xludf.DUMMYFUNCTION("""COMPUTED_VALUE"""),"")</f>
        <v/>
      </c>
      <c r="O12937" s="17"/>
    </row>
    <row r="12938">
      <c r="B12938" s="17" t="s">
        <v>477</v>
      </c>
      <c r="K12938" s="18" t="s">
        <v>477</v>
      </c>
      <c r="N12938" s="17" t="str">
        <f>IFERROR(__xludf.DUMMYFUNCTION("""COMPUTED_VALUE"""),"")</f>
        <v/>
      </c>
      <c r="O12938" s="17"/>
    </row>
    <row r="12939">
      <c r="B12939" s="17" t="s">
        <v>477</v>
      </c>
      <c r="K12939" s="18" t="s">
        <v>477</v>
      </c>
      <c r="N12939" s="17" t="str">
        <f>IFERROR(__xludf.DUMMYFUNCTION("""COMPUTED_VALUE"""),"")</f>
        <v/>
      </c>
      <c r="O12939" s="17"/>
    </row>
    <row r="12940">
      <c r="B12940" s="17" t="s">
        <v>477</v>
      </c>
      <c r="K12940" s="18" t="s">
        <v>477</v>
      </c>
      <c r="N12940" s="17" t="str">
        <f>IFERROR(__xludf.DUMMYFUNCTION("""COMPUTED_VALUE"""),"")</f>
        <v/>
      </c>
      <c r="O12940" s="17"/>
    </row>
    <row r="12941">
      <c r="B12941" s="17" t="s">
        <v>477</v>
      </c>
      <c r="K12941" s="18" t="s">
        <v>477</v>
      </c>
      <c r="N12941" s="17" t="str">
        <f>IFERROR(__xludf.DUMMYFUNCTION("""COMPUTED_VALUE"""),"")</f>
        <v/>
      </c>
      <c r="O12941" s="17"/>
    </row>
    <row r="12942">
      <c r="B12942" s="17" t="s">
        <v>477</v>
      </c>
      <c r="K12942" s="18" t="s">
        <v>477</v>
      </c>
      <c r="N12942" s="17" t="str">
        <f>IFERROR(__xludf.DUMMYFUNCTION("""COMPUTED_VALUE"""),"")</f>
        <v/>
      </c>
      <c r="O12942" s="17"/>
    </row>
    <row r="12943">
      <c r="B12943" s="17" t="s">
        <v>477</v>
      </c>
      <c r="K12943" s="18" t="s">
        <v>477</v>
      </c>
      <c r="N12943" s="17" t="str">
        <f>IFERROR(__xludf.DUMMYFUNCTION("""COMPUTED_VALUE"""),"")</f>
        <v/>
      </c>
      <c r="O12943" s="17"/>
    </row>
    <row r="12944">
      <c r="B12944" s="17" t="s">
        <v>477</v>
      </c>
      <c r="K12944" s="18" t="s">
        <v>477</v>
      </c>
      <c r="N12944" s="17" t="str">
        <f>IFERROR(__xludf.DUMMYFUNCTION("""COMPUTED_VALUE"""),"")</f>
        <v/>
      </c>
      <c r="O12944" s="17"/>
    </row>
    <row r="12945">
      <c r="B12945" s="17" t="s">
        <v>477</v>
      </c>
      <c r="K12945" s="18" t="s">
        <v>477</v>
      </c>
      <c r="N12945" s="17" t="str">
        <f>IFERROR(__xludf.DUMMYFUNCTION("""COMPUTED_VALUE"""),"")</f>
        <v/>
      </c>
      <c r="O12945" s="17"/>
    </row>
    <row r="12946">
      <c r="B12946" s="17" t="s">
        <v>477</v>
      </c>
      <c r="K12946" s="18" t="s">
        <v>477</v>
      </c>
      <c r="N12946" s="17" t="str">
        <f>IFERROR(__xludf.DUMMYFUNCTION("""COMPUTED_VALUE"""),"")</f>
        <v/>
      </c>
      <c r="O12946" s="17"/>
    </row>
    <row r="12947">
      <c r="B12947" s="17" t="s">
        <v>477</v>
      </c>
      <c r="K12947" s="18" t="s">
        <v>477</v>
      </c>
      <c r="N12947" s="17" t="str">
        <f>IFERROR(__xludf.DUMMYFUNCTION("""COMPUTED_VALUE"""),"")</f>
        <v/>
      </c>
      <c r="O12947" s="17"/>
    </row>
    <row r="12948">
      <c r="B12948" s="17" t="s">
        <v>477</v>
      </c>
      <c r="K12948" s="18" t="s">
        <v>477</v>
      </c>
      <c r="N12948" s="17" t="str">
        <f>IFERROR(__xludf.DUMMYFUNCTION("""COMPUTED_VALUE"""),"")</f>
        <v/>
      </c>
      <c r="O12948" s="17"/>
    </row>
    <row r="12949">
      <c r="B12949" s="17" t="s">
        <v>477</v>
      </c>
      <c r="K12949" s="18" t="s">
        <v>477</v>
      </c>
      <c r="N12949" s="17" t="str">
        <f>IFERROR(__xludf.DUMMYFUNCTION("""COMPUTED_VALUE"""),"")</f>
        <v/>
      </c>
      <c r="O12949" s="17"/>
    </row>
    <row r="12950">
      <c r="B12950" s="17" t="s">
        <v>477</v>
      </c>
      <c r="K12950" s="18" t="s">
        <v>477</v>
      </c>
      <c r="N12950" s="17" t="str">
        <f>IFERROR(__xludf.DUMMYFUNCTION("""COMPUTED_VALUE"""),"")</f>
        <v/>
      </c>
      <c r="O12950" s="17"/>
    </row>
    <row r="12951">
      <c r="B12951" s="17" t="s">
        <v>477</v>
      </c>
      <c r="K12951" s="18" t="s">
        <v>477</v>
      </c>
      <c r="N12951" s="17" t="str">
        <f>IFERROR(__xludf.DUMMYFUNCTION("""COMPUTED_VALUE"""),"")</f>
        <v/>
      </c>
      <c r="O12951" s="17"/>
    </row>
    <row r="12952">
      <c r="B12952" s="17" t="s">
        <v>477</v>
      </c>
      <c r="K12952" s="18" t="s">
        <v>477</v>
      </c>
      <c r="N12952" s="17" t="str">
        <f>IFERROR(__xludf.DUMMYFUNCTION("""COMPUTED_VALUE"""),"")</f>
        <v/>
      </c>
      <c r="O12952" s="17"/>
    </row>
    <row r="12953">
      <c r="B12953" s="17" t="s">
        <v>477</v>
      </c>
      <c r="K12953" s="18" t="s">
        <v>477</v>
      </c>
      <c r="N12953" s="17" t="str">
        <f>IFERROR(__xludf.DUMMYFUNCTION("""COMPUTED_VALUE"""),"")</f>
        <v/>
      </c>
      <c r="O12953" s="17"/>
    </row>
    <row r="12954">
      <c r="B12954" s="17" t="s">
        <v>477</v>
      </c>
      <c r="K12954" s="18" t="s">
        <v>477</v>
      </c>
      <c r="N12954" s="17" t="str">
        <f>IFERROR(__xludf.DUMMYFUNCTION("""COMPUTED_VALUE"""),"")</f>
        <v/>
      </c>
      <c r="O12954" s="17"/>
    </row>
    <row r="12955">
      <c r="B12955" s="17" t="s">
        <v>477</v>
      </c>
      <c r="K12955" s="18" t="s">
        <v>477</v>
      </c>
      <c r="N12955" s="17" t="str">
        <f>IFERROR(__xludf.DUMMYFUNCTION("""COMPUTED_VALUE"""),"")</f>
        <v/>
      </c>
      <c r="O12955" s="17"/>
    </row>
    <row r="12956">
      <c r="B12956" s="17" t="s">
        <v>477</v>
      </c>
      <c r="K12956" s="18" t="s">
        <v>477</v>
      </c>
      <c r="N12956" s="17" t="str">
        <f>IFERROR(__xludf.DUMMYFUNCTION("""COMPUTED_VALUE"""),"")</f>
        <v/>
      </c>
      <c r="O12956" s="17"/>
    </row>
    <row r="12957">
      <c r="B12957" s="17" t="s">
        <v>477</v>
      </c>
      <c r="K12957" s="18" t="s">
        <v>477</v>
      </c>
      <c r="N12957" s="17" t="str">
        <f>IFERROR(__xludf.DUMMYFUNCTION("""COMPUTED_VALUE"""),"")</f>
        <v/>
      </c>
      <c r="O12957" s="17"/>
    </row>
    <row r="12958">
      <c r="B12958" s="17" t="s">
        <v>477</v>
      </c>
      <c r="K12958" s="18" t="s">
        <v>477</v>
      </c>
      <c r="N12958" s="17" t="str">
        <f>IFERROR(__xludf.DUMMYFUNCTION("""COMPUTED_VALUE"""),"")</f>
        <v/>
      </c>
      <c r="O12958" s="17"/>
    </row>
    <row r="12959">
      <c r="B12959" s="17" t="s">
        <v>477</v>
      </c>
      <c r="K12959" s="18" t="s">
        <v>477</v>
      </c>
      <c r="N12959" s="17" t="str">
        <f>IFERROR(__xludf.DUMMYFUNCTION("""COMPUTED_VALUE"""),"")</f>
        <v/>
      </c>
      <c r="O12959" s="17"/>
    </row>
    <row r="12960">
      <c r="B12960" s="17" t="s">
        <v>477</v>
      </c>
      <c r="K12960" s="18" t="s">
        <v>477</v>
      </c>
      <c r="N12960" s="17" t="str">
        <f>IFERROR(__xludf.DUMMYFUNCTION("""COMPUTED_VALUE"""),"")</f>
        <v/>
      </c>
      <c r="O12960" s="17"/>
    </row>
    <row r="12961">
      <c r="B12961" s="17" t="s">
        <v>477</v>
      </c>
      <c r="K12961" s="18" t="s">
        <v>477</v>
      </c>
      <c r="N12961" s="17" t="str">
        <f>IFERROR(__xludf.DUMMYFUNCTION("""COMPUTED_VALUE"""),"")</f>
        <v/>
      </c>
      <c r="O12961" s="17"/>
    </row>
    <row r="12962">
      <c r="B12962" s="17" t="s">
        <v>477</v>
      </c>
      <c r="K12962" s="18" t="s">
        <v>477</v>
      </c>
      <c r="N12962" s="17" t="str">
        <f>IFERROR(__xludf.DUMMYFUNCTION("""COMPUTED_VALUE"""),"")</f>
        <v/>
      </c>
      <c r="O12962" s="17"/>
    </row>
    <row r="12963">
      <c r="B12963" s="17" t="s">
        <v>477</v>
      </c>
      <c r="K12963" s="18" t="s">
        <v>477</v>
      </c>
      <c r="N12963" s="17" t="str">
        <f>IFERROR(__xludf.DUMMYFUNCTION("""COMPUTED_VALUE"""),"")</f>
        <v/>
      </c>
      <c r="O12963" s="17"/>
    </row>
    <row r="12964">
      <c r="B12964" s="17" t="s">
        <v>477</v>
      </c>
      <c r="K12964" s="18" t="s">
        <v>477</v>
      </c>
      <c r="N12964" s="17" t="str">
        <f>IFERROR(__xludf.DUMMYFUNCTION("""COMPUTED_VALUE"""),"")</f>
        <v/>
      </c>
      <c r="O12964" s="17"/>
    </row>
    <row r="12965">
      <c r="B12965" s="17" t="s">
        <v>477</v>
      </c>
      <c r="K12965" s="18" t="s">
        <v>477</v>
      </c>
      <c r="N12965" s="17" t="str">
        <f>IFERROR(__xludf.DUMMYFUNCTION("""COMPUTED_VALUE"""),"")</f>
        <v/>
      </c>
      <c r="O12965" s="17"/>
    </row>
    <row r="12966">
      <c r="B12966" s="17" t="s">
        <v>477</v>
      </c>
      <c r="K12966" s="18" t="s">
        <v>477</v>
      </c>
      <c r="N12966" s="17" t="str">
        <f>IFERROR(__xludf.DUMMYFUNCTION("""COMPUTED_VALUE"""),"")</f>
        <v/>
      </c>
      <c r="O12966" s="17"/>
    </row>
    <row r="12967">
      <c r="B12967" s="17" t="s">
        <v>477</v>
      </c>
      <c r="K12967" s="18" t="s">
        <v>477</v>
      </c>
      <c r="N12967" s="17" t="str">
        <f>IFERROR(__xludf.DUMMYFUNCTION("""COMPUTED_VALUE"""),"")</f>
        <v/>
      </c>
      <c r="O12967" s="17"/>
    </row>
    <row r="12968">
      <c r="B12968" s="17" t="s">
        <v>477</v>
      </c>
      <c r="K12968" s="18" t="s">
        <v>477</v>
      </c>
      <c r="N12968" s="17" t="str">
        <f>IFERROR(__xludf.DUMMYFUNCTION("""COMPUTED_VALUE"""),"")</f>
        <v/>
      </c>
      <c r="O12968" s="17"/>
    </row>
    <row r="12969">
      <c r="B12969" s="17" t="s">
        <v>477</v>
      </c>
      <c r="K12969" s="18" t="s">
        <v>477</v>
      </c>
      <c r="N12969" s="17" t="str">
        <f>IFERROR(__xludf.DUMMYFUNCTION("""COMPUTED_VALUE"""),"")</f>
        <v/>
      </c>
      <c r="O12969" s="17"/>
    </row>
    <row r="12970">
      <c r="B12970" s="17" t="s">
        <v>477</v>
      </c>
      <c r="K12970" s="18" t="s">
        <v>477</v>
      </c>
      <c r="N12970" s="17" t="str">
        <f>IFERROR(__xludf.DUMMYFUNCTION("""COMPUTED_VALUE"""),"")</f>
        <v/>
      </c>
      <c r="O12970" s="17"/>
    </row>
    <row r="12971">
      <c r="B12971" s="17" t="s">
        <v>477</v>
      </c>
      <c r="K12971" s="18" t="s">
        <v>477</v>
      </c>
      <c r="N12971" s="17" t="str">
        <f>IFERROR(__xludf.DUMMYFUNCTION("""COMPUTED_VALUE"""),"")</f>
        <v/>
      </c>
      <c r="O12971" s="17"/>
    </row>
    <row r="12972">
      <c r="B12972" s="17" t="s">
        <v>477</v>
      </c>
      <c r="K12972" s="18" t="s">
        <v>477</v>
      </c>
      <c r="N12972" s="17" t="str">
        <f>IFERROR(__xludf.DUMMYFUNCTION("""COMPUTED_VALUE"""),"")</f>
        <v/>
      </c>
      <c r="O12972" s="17"/>
    </row>
    <row r="12973">
      <c r="B12973" s="17" t="s">
        <v>477</v>
      </c>
      <c r="K12973" s="18" t="s">
        <v>477</v>
      </c>
      <c r="N12973" s="17" t="str">
        <f>IFERROR(__xludf.DUMMYFUNCTION("""COMPUTED_VALUE"""),"")</f>
        <v/>
      </c>
      <c r="O12973" s="17"/>
    </row>
    <row r="12974">
      <c r="B12974" s="17" t="s">
        <v>477</v>
      </c>
      <c r="K12974" s="18" t="s">
        <v>477</v>
      </c>
      <c r="N12974" s="17" t="str">
        <f>IFERROR(__xludf.DUMMYFUNCTION("""COMPUTED_VALUE"""),"")</f>
        <v/>
      </c>
      <c r="O12974" s="17"/>
    </row>
    <row r="12975">
      <c r="B12975" s="17" t="s">
        <v>477</v>
      </c>
      <c r="K12975" s="18" t="s">
        <v>477</v>
      </c>
      <c r="N12975" s="17" t="str">
        <f>IFERROR(__xludf.DUMMYFUNCTION("""COMPUTED_VALUE"""),"")</f>
        <v/>
      </c>
      <c r="O12975" s="17"/>
    </row>
    <row r="12976">
      <c r="B12976" s="17" t="s">
        <v>477</v>
      </c>
      <c r="K12976" s="18" t="s">
        <v>477</v>
      </c>
      <c r="N12976" s="17" t="str">
        <f>IFERROR(__xludf.DUMMYFUNCTION("""COMPUTED_VALUE"""),"")</f>
        <v/>
      </c>
      <c r="O12976" s="17"/>
    </row>
    <row r="12977">
      <c r="B12977" s="17" t="s">
        <v>477</v>
      </c>
      <c r="K12977" s="18" t="s">
        <v>477</v>
      </c>
      <c r="N12977" s="17" t="str">
        <f>IFERROR(__xludf.DUMMYFUNCTION("""COMPUTED_VALUE"""),"")</f>
        <v/>
      </c>
      <c r="O12977" s="17"/>
    </row>
    <row r="12978">
      <c r="B12978" s="17" t="s">
        <v>477</v>
      </c>
      <c r="K12978" s="18" t="s">
        <v>477</v>
      </c>
      <c r="N12978" s="17" t="str">
        <f>IFERROR(__xludf.DUMMYFUNCTION("""COMPUTED_VALUE"""),"")</f>
        <v/>
      </c>
      <c r="O12978" s="17"/>
    </row>
    <row r="12979">
      <c r="B12979" s="17" t="s">
        <v>477</v>
      </c>
      <c r="K12979" s="18" t="s">
        <v>477</v>
      </c>
      <c r="N12979" s="17" t="str">
        <f>IFERROR(__xludf.DUMMYFUNCTION("""COMPUTED_VALUE"""),"")</f>
        <v/>
      </c>
      <c r="O12979" s="17"/>
    </row>
    <row r="12980">
      <c r="B12980" s="17" t="s">
        <v>477</v>
      </c>
      <c r="K12980" s="18" t="s">
        <v>477</v>
      </c>
      <c r="N12980" s="17" t="str">
        <f>IFERROR(__xludf.DUMMYFUNCTION("""COMPUTED_VALUE"""),"")</f>
        <v/>
      </c>
      <c r="O12980" s="17"/>
    </row>
    <row r="12981">
      <c r="B12981" s="17" t="s">
        <v>477</v>
      </c>
      <c r="K12981" s="18" t="s">
        <v>477</v>
      </c>
      <c r="N12981" s="17" t="str">
        <f>IFERROR(__xludf.DUMMYFUNCTION("""COMPUTED_VALUE"""),"")</f>
        <v/>
      </c>
      <c r="O12981" s="17"/>
    </row>
    <row r="12982">
      <c r="B12982" s="17" t="s">
        <v>477</v>
      </c>
      <c r="K12982" s="18" t="s">
        <v>477</v>
      </c>
      <c r="N12982" s="17" t="str">
        <f>IFERROR(__xludf.DUMMYFUNCTION("""COMPUTED_VALUE"""),"")</f>
        <v/>
      </c>
      <c r="O12982" s="17"/>
    </row>
    <row r="12983">
      <c r="B12983" s="17" t="s">
        <v>477</v>
      </c>
      <c r="K12983" s="18" t="s">
        <v>477</v>
      </c>
      <c r="N12983" s="17" t="str">
        <f>IFERROR(__xludf.DUMMYFUNCTION("""COMPUTED_VALUE"""),"")</f>
        <v/>
      </c>
      <c r="O12983" s="17"/>
    </row>
    <row r="12984">
      <c r="B12984" s="17" t="s">
        <v>477</v>
      </c>
      <c r="K12984" s="18" t="s">
        <v>477</v>
      </c>
      <c r="N12984" s="17" t="str">
        <f>IFERROR(__xludf.DUMMYFUNCTION("""COMPUTED_VALUE"""),"")</f>
        <v/>
      </c>
      <c r="O12984" s="17"/>
    </row>
    <row r="12985">
      <c r="B12985" s="17" t="s">
        <v>477</v>
      </c>
      <c r="K12985" s="18" t="s">
        <v>477</v>
      </c>
      <c r="N12985" s="17" t="str">
        <f>IFERROR(__xludf.DUMMYFUNCTION("""COMPUTED_VALUE"""),"")</f>
        <v/>
      </c>
      <c r="O12985" s="17"/>
    </row>
    <row r="12986">
      <c r="B12986" s="17" t="s">
        <v>477</v>
      </c>
      <c r="K12986" s="18" t="s">
        <v>477</v>
      </c>
      <c r="N12986" s="17" t="str">
        <f>IFERROR(__xludf.DUMMYFUNCTION("""COMPUTED_VALUE"""),"")</f>
        <v/>
      </c>
      <c r="O12986" s="17"/>
    </row>
    <row r="12987">
      <c r="B12987" s="17" t="s">
        <v>477</v>
      </c>
      <c r="K12987" s="18" t="s">
        <v>477</v>
      </c>
      <c r="N12987" s="17" t="str">
        <f>IFERROR(__xludf.DUMMYFUNCTION("""COMPUTED_VALUE"""),"")</f>
        <v/>
      </c>
      <c r="O12987" s="17"/>
    </row>
    <row r="12988">
      <c r="B12988" s="17" t="s">
        <v>477</v>
      </c>
      <c r="K12988" s="18" t="s">
        <v>477</v>
      </c>
      <c r="N12988" s="17" t="str">
        <f>IFERROR(__xludf.DUMMYFUNCTION("""COMPUTED_VALUE"""),"")</f>
        <v/>
      </c>
      <c r="O12988" s="17"/>
    </row>
    <row r="12989">
      <c r="B12989" s="17" t="s">
        <v>477</v>
      </c>
      <c r="K12989" s="18" t="s">
        <v>477</v>
      </c>
      <c r="N12989" s="17" t="str">
        <f>IFERROR(__xludf.DUMMYFUNCTION("""COMPUTED_VALUE"""),"")</f>
        <v/>
      </c>
      <c r="O12989" s="17"/>
    </row>
    <row r="12990">
      <c r="B12990" s="17" t="s">
        <v>477</v>
      </c>
      <c r="K12990" s="18" t="s">
        <v>477</v>
      </c>
      <c r="N12990" s="17" t="str">
        <f>IFERROR(__xludf.DUMMYFUNCTION("""COMPUTED_VALUE"""),"")</f>
        <v/>
      </c>
      <c r="O12990" s="17"/>
    </row>
    <row r="12991">
      <c r="B12991" s="17" t="s">
        <v>477</v>
      </c>
      <c r="K12991" s="18" t="s">
        <v>477</v>
      </c>
      <c r="N12991" s="17" t="str">
        <f>IFERROR(__xludf.DUMMYFUNCTION("""COMPUTED_VALUE"""),"")</f>
        <v/>
      </c>
      <c r="O12991" s="17"/>
    </row>
    <row r="12992">
      <c r="B12992" s="17" t="s">
        <v>477</v>
      </c>
      <c r="K12992" s="18" t="s">
        <v>477</v>
      </c>
      <c r="N12992" s="17" t="str">
        <f>IFERROR(__xludf.DUMMYFUNCTION("""COMPUTED_VALUE"""),"")</f>
        <v/>
      </c>
      <c r="O12992" s="17"/>
    </row>
    <row r="12993">
      <c r="B12993" s="17" t="s">
        <v>477</v>
      </c>
      <c r="K12993" s="18" t="s">
        <v>477</v>
      </c>
      <c r="N12993" s="17" t="str">
        <f>IFERROR(__xludf.DUMMYFUNCTION("""COMPUTED_VALUE"""),"")</f>
        <v/>
      </c>
      <c r="O12993" s="17"/>
    </row>
    <row r="12994">
      <c r="B12994" s="17" t="s">
        <v>477</v>
      </c>
      <c r="K12994" s="18" t="s">
        <v>477</v>
      </c>
      <c r="N12994" s="17" t="str">
        <f>IFERROR(__xludf.DUMMYFUNCTION("""COMPUTED_VALUE"""),"")</f>
        <v/>
      </c>
      <c r="O12994" s="17"/>
    </row>
    <row r="12995">
      <c r="B12995" s="17" t="s">
        <v>477</v>
      </c>
      <c r="K12995" s="18" t="s">
        <v>477</v>
      </c>
      <c r="N12995" s="17" t="str">
        <f>IFERROR(__xludf.DUMMYFUNCTION("""COMPUTED_VALUE"""),"")</f>
        <v/>
      </c>
      <c r="O12995" s="17"/>
    </row>
    <row r="12996">
      <c r="B12996" s="17" t="s">
        <v>477</v>
      </c>
      <c r="K12996" s="18" t="s">
        <v>477</v>
      </c>
      <c r="N12996" s="17" t="str">
        <f>IFERROR(__xludf.DUMMYFUNCTION("""COMPUTED_VALUE"""),"")</f>
        <v/>
      </c>
      <c r="O12996" s="17"/>
    </row>
    <row r="12997">
      <c r="B12997" s="17" t="s">
        <v>477</v>
      </c>
      <c r="K12997" s="18" t="s">
        <v>477</v>
      </c>
      <c r="N12997" s="17" t="str">
        <f>IFERROR(__xludf.DUMMYFUNCTION("""COMPUTED_VALUE"""),"")</f>
        <v/>
      </c>
      <c r="O12997" s="17"/>
    </row>
    <row r="12998">
      <c r="B12998" s="17" t="s">
        <v>477</v>
      </c>
      <c r="K12998" s="18" t="s">
        <v>477</v>
      </c>
      <c r="N12998" s="17" t="str">
        <f>IFERROR(__xludf.DUMMYFUNCTION("""COMPUTED_VALUE"""),"")</f>
        <v/>
      </c>
      <c r="O12998" s="17"/>
    </row>
    <row r="12999">
      <c r="B12999" s="17" t="s">
        <v>477</v>
      </c>
      <c r="K12999" s="18" t="s">
        <v>477</v>
      </c>
      <c r="N12999" s="17" t="str">
        <f>IFERROR(__xludf.DUMMYFUNCTION("""COMPUTED_VALUE"""),"")</f>
        <v/>
      </c>
      <c r="O12999" s="17"/>
    </row>
    <row r="13000">
      <c r="B13000" s="17" t="s">
        <v>477</v>
      </c>
      <c r="K13000" s="18" t="s">
        <v>477</v>
      </c>
      <c r="N13000" s="17" t="str">
        <f>IFERROR(__xludf.DUMMYFUNCTION("""COMPUTED_VALUE"""),"")</f>
        <v/>
      </c>
      <c r="O13000" s="17"/>
    </row>
    <row r="13001">
      <c r="B13001" s="17" t="s">
        <v>477</v>
      </c>
      <c r="K13001" s="18" t="s">
        <v>477</v>
      </c>
      <c r="N13001" s="17" t="str">
        <f>IFERROR(__xludf.DUMMYFUNCTION("""COMPUTED_VALUE"""),"")</f>
        <v/>
      </c>
      <c r="O13001" s="17"/>
    </row>
    <row r="13002">
      <c r="B13002" s="17" t="s">
        <v>477</v>
      </c>
      <c r="K13002" s="18" t="s">
        <v>477</v>
      </c>
      <c r="N13002" s="17" t="str">
        <f>IFERROR(__xludf.DUMMYFUNCTION("""COMPUTED_VALUE"""),"")</f>
        <v/>
      </c>
      <c r="O13002" s="17"/>
    </row>
    <row r="13003">
      <c r="B13003" s="17" t="s">
        <v>477</v>
      </c>
      <c r="K13003" s="18" t="s">
        <v>477</v>
      </c>
      <c r="N13003" s="17" t="str">
        <f>IFERROR(__xludf.DUMMYFUNCTION("""COMPUTED_VALUE"""),"")</f>
        <v/>
      </c>
      <c r="O13003" s="17"/>
    </row>
    <row r="13004">
      <c r="B13004" s="17" t="s">
        <v>477</v>
      </c>
      <c r="K13004" s="18" t="s">
        <v>477</v>
      </c>
      <c r="N13004" s="17" t="str">
        <f>IFERROR(__xludf.DUMMYFUNCTION("""COMPUTED_VALUE"""),"")</f>
        <v/>
      </c>
      <c r="O13004" s="17"/>
    </row>
    <row r="13005">
      <c r="B13005" s="17" t="s">
        <v>477</v>
      </c>
      <c r="K13005" s="18" t="s">
        <v>477</v>
      </c>
      <c r="N13005" s="17" t="str">
        <f>IFERROR(__xludf.DUMMYFUNCTION("""COMPUTED_VALUE"""),"")</f>
        <v/>
      </c>
      <c r="O13005" s="17"/>
    </row>
    <row r="13006">
      <c r="B13006" s="17" t="s">
        <v>477</v>
      </c>
      <c r="K13006" s="18" t="s">
        <v>477</v>
      </c>
      <c r="N13006" s="17" t="str">
        <f>IFERROR(__xludf.DUMMYFUNCTION("""COMPUTED_VALUE"""),"")</f>
        <v/>
      </c>
      <c r="O13006" s="17"/>
    </row>
    <row r="13007">
      <c r="B13007" s="17" t="s">
        <v>477</v>
      </c>
      <c r="K13007" s="18" t="s">
        <v>477</v>
      </c>
      <c r="N13007" s="17" t="str">
        <f>IFERROR(__xludf.DUMMYFUNCTION("""COMPUTED_VALUE"""),"")</f>
        <v/>
      </c>
      <c r="O13007" s="17"/>
    </row>
    <row r="13008">
      <c r="B13008" s="17" t="s">
        <v>477</v>
      </c>
      <c r="K13008" s="18" t="s">
        <v>477</v>
      </c>
      <c r="N13008" s="17" t="str">
        <f>IFERROR(__xludf.DUMMYFUNCTION("""COMPUTED_VALUE"""),"")</f>
        <v/>
      </c>
      <c r="O13008" s="17"/>
    </row>
    <row r="13009">
      <c r="B13009" s="17" t="s">
        <v>477</v>
      </c>
      <c r="K13009" s="18" t="s">
        <v>477</v>
      </c>
      <c r="N13009" s="17" t="str">
        <f>IFERROR(__xludf.DUMMYFUNCTION("""COMPUTED_VALUE"""),"")</f>
        <v/>
      </c>
      <c r="O13009" s="17"/>
    </row>
    <row r="13010">
      <c r="B13010" s="17" t="s">
        <v>477</v>
      </c>
      <c r="K13010" s="18" t="s">
        <v>477</v>
      </c>
      <c r="N13010" s="17" t="str">
        <f>IFERROR(__xludf.DUMMYFUNCTION("""COMPUTED_VALUE"""),"")</f>
        <v/>
      </c>
      <c r="O13010" s="17"/>
    </row>
    <row r="13011">
      <c r="B13011" s="17" t="s">
        <v>477</v>
      </c>
      <c r="K13011" s="18" t="s">
        <v>477</v>
      </c>
      <c r="N13011" s="17" t="str">
        <f>IFERROR(__xludf.DUMMYFUNCTION("""COMPUTED_VALUE"""),"")</f>
        <v/>
      </c>
      <c r="O13011" s="17"/>
    </row>
    <row r="13012">
      <c r="B13012" s="17" t="s">
        <v>477</v>
      </c>
      <c r="K13012" s="18" t="s">
        <v>477</v>
      </c>
      <c r="N13012" s="17" t="str">
        <f>IFERROR(__xludf.DUMMYFUNCTION("""COMPUTED_VALUE"""),"")</f>
        <v/>
      </c>
      <c r="O13012" s="17"/>
    </row>
    <row r="13013">
      <c r="B13013" s="17" t="s">
        <v>477</v>
      </c>
      <c r="K13013" s="18" t="s">
        <v>477</v>
      </c>
      <c r="N13013" s="17" t="str">
        <f>IFERROR(__xludf.DUMMYFUNCTION("""COMPUTED_VALUE"""),"")</f>
        <v/>
      </c>
      <c r="O13013" s="17"/>
    </row>
    <row r="13014">
      <c r="B13014" s="17" t="s">
        <v>477</v>
      </c>
      <c r="K13014" s="18" t="s">
        <v>477</v>
      </c>
      <c r="N13014" s="17" t="str">
        <f>IFERROR(__xludf.DUMMYFUNCTION("""COMPUTED_VALUE"""),"")</f>
        <v/>
      </c>
      <c r="O13014" s="17"/>
    </row>
    <row r="13015">
      <c r="B13015" s="17" t="s">
        <v>477</v>
      </c>
      <c r="K13015" s="18" t="s">
        <v>477</v>
      </c>
      <c r="N13015" s="17" t="str">
        <f>IFERROR(__xludf.DUMMYFUNCTION("""COMPUTED_VALUE"""),"")</f>
        <v/>
      </c>
      <c r="O13015" s="17"/>
    </row>
    <row r="13016">
      <c r="B13016" s="17" t="s">
        <v>477</v>
      </c>
      <c r="K13016" s="18" t="s">
        <v>477</v>
      </c>
      <c r="N13016" s="17" t="str">
        <f>IFERROR(__xludf.DUMMYFUNCTION("""COMPUTED_VALUE"""),"")</f>
        <v/>
      </c>
      <c r="O13016" s="17"/>
    </row>
    <row r="13017">
      <c r="B13017" s="17" t="s">
        <v>477</v>
      </c>
      <c r="K13017" s="18" t="s">
        <v>477</v>
      </c>
      <c r="N13017" s="17" t="str">
        <f>IFERROR(__xludf.DUMMYFUNCTION("""COMPUTED_VALUE"""),"")</f>
        <v/>
      </c>
      <c r="O13017" s="17"/>
    </row>
    <row r="13018">
      <c r="B13018" s="17" t="s">
        <v>477</v>
      </c>
      <c r="K13018" s="18" t="s">
        <v>477</v>
      </c>
      <c r="N13018" s="17" t="str">
        <f>IFERROR(__xludf.DUMMYFUNCTION("""COMPUTED_VALUE"""),"")</f>
        <v/>
      </c>
      <c r="O13018" s="17"/>
    </row>
    <row r="13019">
      <c r="B13019" s="17" t="s">
        <v>477</v>
      </c>
      <c r="K13019" s="18" t="s">
        <v>477</v>
      </c>
      <c r="N13019" s="17" t="str">
        <f>IFERROR(__xludf.DUMMYFUNCTION("""COMPUTED_VALUE"""),"")</f>
        <v/>
      </c>
      <c r="O13019" s="17"/>
    </row>
    <row r="13020">
      <c r="B13020" s="17" t="s">
        <v>477</v>
      </c>
      <c r="K13020" s="18" t="s">
        <v>477</v>
      </c>
      <c r="N13020" s="17" t="str">
        <f>IFERROR(__xludf.DUMMYFUNCTION("""COMPUTED_VALUE"""),"")</f>
        <v/>
      </c>
      <c r="O13020" s="17"/>
    </row>
    <row r="13021">
      <c r="B13021" s="17" t="s">
        <v>477</v>
      </c>
      <c r="K13021" s="18" t="s">
        <v>477</v>
      </c>
      <c r="N13021" s="17" t="str">
        <f>IFERROR(__xludf.DUMMYFUNCTION("""COMPUTED_VALUE"""),"")</f>
        <v/>
      </c>
      <c r="O13021" s="17"/>
    </row>
    <row r="13022">
      <c r="B13022" s="17" t="s">
        <v>477</v>
      </c>
      <c r="K13022" s="18" t="s">
        <v>477</v>
      </c>
      <c r="N13022" s="17" t="str">
        <f>IFERROR(__xludf.DUMMYFUNCTION("""COMPUTED_VALUE"""),"")</f>
        <v/>
      </c>
      <c r="O13022" s="17"/>
    </row>
    <row r="13023">
      <c r="B13023" s="17" t="s">
        <v>477</v>
      </c>
      <c r="K13023" s="18" t="s">
        <v>477</v>
      </c>
      <c r="N13023" s="17" t="str">
        <f>IFERROR(__xludf.DUMMYFUNCTION("""COMPUTED_VALUE"""),"")</f>
        <v/>
      </c>
      <c r="O13023" s="17"/>
    </row>
    <row r="13024">
      <c r="B13024" s="17" t="s">
        <v>477</v>
      </c>
      <c r="K13024" s="18" t="s">
        <v>477</v>
      </c>
      <c r="N13024" s="17" t="str">
        <f>IFERROR(__xludf.DUMMYFUNCTION("""COMPUTED_VALUE"""),"")</f>
        <v/>
      </c>
      <c r="O13024" s="17"/>
    </row>
    <row r="13025">
      <c r="B13025" s="17" t="s">
        <v>477</v>
      </c>
      <c r="K13025" s="18" t="s">
        <v>477</v>
      </c>
      <c r="N13025" s="17" t="str">
        <f>IFERROR(__xludf.DUMMYFUNCTION("""COMPUTED_VALUE"""),"")</f>
        <v/>
      </c>
      <c r="O13025" s="17"/>
    </row>
    <row r="13026">
      <c r="B13026" s="17" t="s">
        <v>477</v>
      </c>
      <c r="K13026" s="18" t="s">
        <v>477</v>
      </c>
      <c r="N13026" s="17" t="str">
        <f>IFERROR(__xludf.DUMMYFUNCTION("""COMPUTED_VALUE"""),"")</f>
        <v/>
      </c>
      <c r="O13026" s="17"/>
    </row>
    <row r="13027">
      <c r="B13027" s="17" t="s">
        <v>477</v>
      </c>
      <c r="K13027" s="18" t="s">
        <v>477</v>
      </c>
      <c r="N13027" s="17" t="str">
        <f>IFERROR(__xludf.DUMMYFUNCTION("""COMPUTED_VALUE"""),"")</f>
        <v/>
      </c>
      <c r="O13027" s="17"/>
    </row>
    <row r="13028">
      <c r="B13028" s="17" t="s">
        <v>477</v>
      </c>
      <c r="K13028" s="18" t="s">
        <v>477</v>
      </c>
      <c r="N13028" s="17" t="str">
        <f>IFERROR(__xludf.DUMMYFUNCTION("""COMPUTED_VALUE"""),"")</f>
        <v/>
      </c>
      <c r="O13028" s="17"/>
    </row>
    <row r="13029">
      <c r="B13029" s="17" t="s">
        <v>477</v>
      </c>
      <c r="K13029" s="18" t="s">
        <v>477</v>
      </c>
      <c r="N13029" s="17" t="str">
        <f>IFERROR(__xludf.DUMMYFUNCTION("""COMPUTED_VALUE"""),"")</f>
        <v/>
      </c>
      <c r="O13029" s="17"/>
    </row>
    <row r="13030">
      <c r="B13030" s="17" t="s">
        <v>477</v>
      </c>
      <c r="K13030" s="18" t="s">
        <v>477</v>
      </c>
      <c r="N13030" s="17" t="str">
        <f>IFERROR(__xludf.DUMMYFUNCTION("""COMPUTED_VALUE"""),"")</f>
        <v/>
      </c>
      <c r="O13030" s="17"/>
    </row>
    <row r="13031">
      <c r="B13031" s="17" t="s">
        <v>477</v>
      </c>
      <c r="K13031" s="18" t="s">
        <v>477</v>
      </c>
      <c r="N13031" s="17" t="str">
        <f>IFERROR(__xludf.DUMMYFUNCTION("""COMPUTED_VALUE"""),"")</f>
        <v/>
      </c>
      <c r="O13031" s="17"/>
    </row>
    <row r="13032">
      <c r="B13032" s="17" t="s">
        <v>477</v>
      </c>
      <c r="K13032" s="18" t="s">
        <v>477</v>
      </c>
      <c r="N13032" s="17" t="str">
        <f>IFERROR(__xludf.DUMMYFUNCTION("""COMPUTED_VALUE"""),"")</f>
        <v/>
      </c>
      <c r="O13032" s="17"/>
    </row>
    <row r="13033">
      <c r="B13033" s="17" t="s">
        <v>477</v>
      </c>
      <c r="K13033" s="18" t="s">
        <v>477</v>
      </c>
      <c r="N13033" s="17" t="str">
        <f>IFERROR(__xludf.DUMMYFUNCTION("""COMPUTED_VALUE"""),"")</f>
        <v/>
      </c>
      <c r="O13033" s="17"/>
    </row>
    <row r="13034">
      <c r="B13034" s="17" t="s">
        <v>477</v>
      </c>
      <c r="K13034" s="18" t="s">
        <v>477</v>
      </c>
      <c r="N13034" s="17" t="str">
        <f>IFERROR(__xludf.DUMMYFUNCTION("""COMPUTED_VALUE"""),"")</f>
        <v/>
      </c>
      <c r="O13034" s="17"/>
    </row>
    <row r="13035">
      <c r="B13035" s="17" t="s">
        <v>477</v>
      </c>
      <c r="K13035" s="18" t="s">
        <v>477</v>
      </c>
      <c r="N13035" s="17" t="str">
        <f>IFERROR(__xludf.DUMMYFUNCTION("""COMPUTED_VALUE"""),"")</f>
        <v/>
      </c>
      <c r="O13035" s="17"/>
    </row>
    <row r="13036">
      <c r="B13036" s="17" t="s">
        <v>477</v>
      </c>
      <c r="K13036" s="18" t="s">
        <v>477</v>
      </c>
      <c r="N13036" s="17" t="str">
        <f>IFERROR(__xludf.DUMMYFUNCTION("""COMPUTED_VALUE"""),"")</f>
        <v/>
      </c>
      <c r="O13036" s="17"/>
    </row>
    <row r="13037">
      <c r="B13037" s="17" t="s">
        <v>477</v>
      </c>
      <c r="K13037" s="18" t="s">
        <v>477</v>
      </c>
      <c r="N13037" s="17" t="str">
        <f>IFERROR(__xludf.DUMMYFUNCTION("""COMPUTED_VALUE"""),"")</f>
        <v/>
      </c>
      <c r="O13037" s="17"/>
    </row>
    <row r="13038">
      <c r="B13038" s="17" t="s">
        <v>477</v>
      </c>
      <c r="K13038" s="18" t="s">
        <v>477</v>
      </c>
      <c r="N13038" s="17" t="str">
        <f>IFERROR(__xludf.DUMMYFUNCTION("""COMPUTED_VALUE"""),"")</f>
        <v/>
      </c>
      <c r="O13038" s="17"/>
    </row>
    <row r="13039">
      <c r="B13039" s="17" t="s">
        <v>477</v>
      </c>
      <c r="K13039" s="18" t="s">
        <v>477</v>
      </c>
      <c r="N13039" s="17" t="str">
        <f>IFERROR(__xludf.DUMMYFUNCTION("""COMPUTED_VALUE"""),"")</f>
        <v/>
      </c>
      <c r="O13039" s="17"/>
    </row>
    <row r="13040">
      <c r="B13040" s="17" t="s">
        <v>477</v>
      </c>
      <c r="K13040" s="18" t="s">
        <v>477</v>
      </c>
      <c r="N13040" s="17" t="str">
        <f>IFERROR(__xludf.DUMMYFUNCTION("""COMPUTED_VALUE"""),"")</f>
        <v/>
      </c>
      <c r="O13040" s="17"/>
    </row>
    <row r="13041">
      <c r="B13041" s="17" t="s">
        <v>477</v>
      </c>
      <c r="K13041" s="18" t="s">
        <v>477</v>
      </c>
      <c r="N13041" s="17" t="str">
        <f>IFERROR(__xludf.DUMMYFUNCTION("""COMPUTED_VALUE"""),"")</f>
        <v/>
      </c>
      <c r="O13041" s="17"/>
    </row>
    <row r="13042">
      <c r="B13042" s="17" t="s">
        <v>477</v>
      </c>
      <c r="K13042" s="18" t="s">
        <v>477</v>
      </c>
      <c r="N13042" s="17" t="str">
        <f>IFERROR(__xludf.DUMMYFUNCTION("""COMPUTED_VALUE"""),"")</f>
        <v/>
      </c>
      <c r="O13042" s="17"/>
    </row>
    <row r="13043">
      <c r="B13043" s="17" t="s">
        <v>477</v>
      </c>
      <c r="K13043" s="18" t="s">
        <v>477</v>
      </c>
      <c r="N13043" s="17" t="str">
        <f>IFERROR(__xludf.DUMMYFUNCTION("""COMPUTED_VALUE"""),"")</f>
        <v/>
      </c>
      <c r="O13043" s="17"/>
    </row>
    <row r="13044">
      <c r="B13044" s="17" t="s">
        <v>477</v>
      </c>
      <c r="K13044" s="18" t="s">
        <v>477</v>
      </c>
      <c r="N13044" s="17" t="str">
        <f>IFERROR(__xludf.DUMMYFUNCTION("""COMPUTED_VALUE"""),"")</f>
        <v/>
      </c>
      <c r="O13044" s="17"/>
    </row>
    <row r="13045">
      <c r="B13045" s="17" t="s">
        <v>477</v>
      </c>
      <c r="K13045" s="18" t="s">
        <v>477</v>
      </c>
      <c r="N13045" s="17" t="str">
        <f>IFERROR(__xludf.DUMMYFUNCTION("""COMPUTED_VALUE"""),"")</f>
        <v/>
      </c>
      <c r="O13045" s="17"/>
    </row>
    <row r="13046">
      <c r="B13046" s="17" t="s">
        <v>477</v>
      </c>
      <c r="K13046" s="18" t="s">
        <v>477</v>
      </c>
      <c r="N13046" s="17" t="str">
        <f>IFERROR(__xludf.DUMMYFUNCTION("""COMPUTED_VALUE"""),"")</f>
        <v/>
      </c>
      <c r="O13046" s="17"/>
    </row>
    <row r="13047">
      <c r="B13047" s="17" t="s">
        <v>477</v>
      </c>
      <c r="K13047" s="18" t="s">
        <v>477</v>
      </c>
      <c r="N13047" s="17" t="str">
        <f>IFERROR(__xludf.DUMMYFUNCTION("""COMPUTED_VALUE"""),"")</f>
        <v/>
      </c>
      <c r="O13047" s="17"/>
    </row>
    <row r="13048">
      <c r="B13048" s="17" t="s">
        <v>477</v>
      </c>
      <c r="K13048" s="18" t="s">
        <v>477</v>
      </c>
      <c r="N13048" s="17" t="str">
        <f>IFERROR(__xludf.DUMMYFUNCTION("""COMPUTED_VALUE"""),"")</f>
        <v/>
      </c>
      <c r="O13048" s="17"/>
    </row>
    <row r="13049">
      <c r="B13049" s="17" t="s">
        <v>477</v>
      </c>
      <c r="K13049" s="18" t="s">
        <v>477</v>
      </c>
      <c r="N13049" s="17" t="str">
        <f>IFERROR(__xludf.DUMMYFUNCTION("""COMPUTED_VALUE"""),"")</f>
        <v/>
      </c>
      <c r="O13049" s="17"/>
    </row>
    <row r="13050">
      <c r="B13050" s="17" t="s">
        <v>477</v>
      </c>
      <c r="K13050" s="18" t="s">
        <v>477</v>
      </c>
      <c r="N13050" s="17" t="str">
        <f>IFERROR(__xludf.DUMMYFUNCTION("""COMPUTED_VALUE"""),"")</f>
        <v/>
      </c>
      <c r="O13050" s="17"/>
    </row>
    <row r="13051">
      <c r="B13051" s="17" t="s">
        <v>477</v>
      </c>
      <c r="K13051" s="18" t="s">
        <v>477</v>
      </c>
      <c r="N13051" s="17" t="str">
        <f>IFERROR(__xludf.DUMMYFUNCTION("""COMPUTED_VALUE"""),"")</f>
        <v/>
      </c>
      <c r="O13051" s="17"/>
    </row>
    <row r="13052">
      <c r="B13052" s="17" t="s">
        <v>477</v>
      </c>
      <c r="K13052" s="18" t="s">
        <v>477</v>
      </c>
      <c r="N13052" s="17" t="str">
        <f>IFERROR(__xludf.DUMMYFUNCTION("""COMPUTED_VALUE"""),"")</f>
        <v/>
      </c>
      <c r="O13052" s="17"/>
    </row>
    <row r="13053">
      <c r="B13053" s="17" t="s">
        <v>477</v>
      </c>
      <c r="K13053" s="18" t="s">
        <v>477</v>
      </c>
      <c r="N13053" s="17" t="str">
        <f>IFERROR(__xludf.DUMMYFUNCTION("""COMPUTED_VALUE"""),"")</f>
        <v/>
      </c>
      <c r="O13053" s="17"/>
    </row>
    <row r="13054">
      <c r="B13054" s="17" t="s">
        <v>477</v>
      </c>
      <c r="K13054" s="18" t="s">
        <v>477</v>
      </c>
      <c r="N13054" s="17" t="str">
        <f>IFERROR(__xludf.DUMMYFUNCTION("""COMPUTED_VALUE"""),"")</f>
        <v/>
      </c>
      <c r="O13054" s="17"/>
    </row>
    <row r="13055">
      <c r="B13055" s="17" t="s">
        <v>477</v>
      </c>
      <c r="K13055" s="18" t="s">
        <v>477</v>
      </c>
      <c r="N13055" s="17" t="str">
        <f>IFERROR(__xludf.DUMMYFUNCTION("""COMPUTED_VALUE"""),"")</f>
        <v/>
      </c>
      <c r="O13055" s="17"/>
    </row>
    <row r="13056">
      <c r="B13056" s="17" t="s">
        <v>477</v>
      </c>
      <c r="K13056" s="18" t="s">
        <v>477</v>
      </c>
      <c r="N13056" s="17" t="str">
        <f>IFERROR(__xludf.DUMMYFUNCTION("""COMPUTED_VALUE"""),"")</f>
        <v/>
      </c>
      <c r="O13056" s="17"/>
    </row>
    <row r="13057">
      <c r="B13057" s="17" t="s">
        <v>477</v>
      </c>
      <c r="K13057" s="18" t="s">
        <v>477</v>
      </c>
      <c r="N13057" s="17" t="str">
        <f>IFERROR(__xludf.DUMMYFUNCTION("""COMPUTED_VALUE"""),"")</f>
        <v/>
      </c>
      <c r="O13057" s="17"/>
    </row>
    <row r="13058">
      <c r="B13058" s="17" t="s">
        <v>477</v>
      </c>
      <c r="K13058" s="18" t="s">
        <v>477</v>
      </c>
      <c r="N13058" s="17" t="str">
        <f>IFERROR(__xludf.DUMMYFUNCTION("""COMPUTED_VALUE"""),"")</f>
        <v/>
      </c>
      <c r="O13058" s="17"/>
    </row>
    <row r="13059">
      <c r="B13059" s="17" t="s">
        <v>477</v>
      </c>
      <c r="K13059" s="18" t="s">
        <v>477</v>
      </c>
      <c r="N13059" s="17" t="str">
        <f>IFERROR(__xludf.DUMMYFUNCTION("""COMPUTED_VALUE"""),"")</f>
        <v/>
      </c>
      <c r="O13059" s="17"/>
    </row>
    <row r="13060">
      <c r="B13060" s="17" t="s">
        <v>477</v>
      </c>
      <c r="K13060" s="18" t="s">
        <v>477</v>
      </c>
      <c r="N13060" s="17" t="str">
        <f>IFERROR(__xludf.DUMMYFUNCTION("""COMPUTED_VALUE"""),"")</f>
        <v/>
      </c>
      <c r="O13060" s="17"/>
    </row>
    <row r="13061">
      <c r="B13061" s="17" t="s">
        <v>477</v>
      </c>
      <c r="K13061" s="18" t="s">
        <v>477</v>
      </c>
      <c r="N13061" s="17" t="str">
        <f>IFERROR(__xludf.DUMMYFUNCTION("""COMPUTED_VALUE"""),"")</f>
        <v/>
      </c>
      <c r="O13061" s="17"/>
    </row>
    <row r="13062">
      <c r="B13062" s="17" t="s">
        <v>477</v>
      </c>
      <c r="K13062" s="18" t="s">
        <v>477</v>
      </c>
      <c r="N13062" s="17" t="str">
        <f>IFERROR(__xludf.DUMMYFUNCTION("""COMPUTED_VALUE"""),"")</f>
        <v/>
      </c>
      <c r="O13062" s="17"/>
    </row>
    <row r="13063">
      <c r="B13063" s="17" t="s">
        <v>477</v>
      </c>
      <c r="K13063" s="18" t="s">
        <v>477</v>
      </c>
      <c r="N13063" s="17" t="str">
        <f>IFERROR(__xludf.DUMMYFUNCTION("""COMPUTED_VALUE"""),"")</f>
        <v/>
      </c>
      <c r="O13063" s="17"/>
    </row>
    <row r="13064">
      <c r="B13064" s="17" t="s">
        <v>477</v>
      </c>
      <c r="K13064" s="18" t="s">
        <v>477</v>
      </c>
      <c r="N13064" s="17" t="str">
        <f>IFERROR(__xludf.DUMMYFUNCTION("""COMPUTED_VALUE"""),"")</f>
        <v/>
      </c>
      <c r="O13064" s="17"/>
    </row>
    <row r="13065">
      <c r="B13065" s="17" t="s">
        <v>477</v>
      </c>
      <c r="K13065" s="18" t="s">
        <v>477</v>
      </c>
      <c r="N13065" s="17" t="str">
        <f>IFERROR(__xludf.DUMMYFUNCTION("""COMPUTED_VALUE"""),"")</f>
        <v/>
      </c>
      <c r="O13065" s="17"/>
    </row>
    <row r="13066">
      <c r="B13066" s="17" t="s">
        <v>477</v>
      </c>
      <c r="K13066" s="18" t="s">
        <v>477</v>
      </c>
      <c r="N13066" s="17" t="str">
        <f>IFERROR(__xludf.DUMMYFUNCTION("""COMPUTED_VALUE"""),"")</f>
        <v/>
      </c>
      <c r="O13066" s="17"/>
    </row>
    <row r="13067">
      <c r="B13067" s="17" t="s">
        <v>477</v>
      </c>
      <c r="K13067" s="18" t="s">
        <v>477</v>
      </c>
      <c r="N13067" s="17" t="str">
        <f>IFERROR(__xludf.DUMMYFUNCTION("""COMPUTED_VALUE"""),"")</f>
        <v/>
      </c>
      <c r="O13067" s="17"/>
    </row>
    <row r="13068">
      <c r="B13068" s="17" t="s">
        <v>477</v>
      </c>
      <c r="K13068" s="18" t="s">
        <v>477</v>
      </c>
      <c r="N13068" s="17" t="str">
        <f>IFERROR(__xludf.DUMMYFUNCTION("""COMPUTED_VALUE"""),"")</f>
        <v/>
      </c>
      <c r="O13068" s="17"/>
    </row>
    <row r="13069">
      <c r="B13069" s="17" t="s">
        <v>477</v>
      </c>
      <c r="K13069" s="18" t="s">
        <v>477</v>
      </c>
      <c r="N13069" s="17" t="str">
        <f>IFERROR(__xludf.DUMMYFUNCTION("""COMPUTED_VALUE"""),"")</f>
        <v/>
      </c>
      <c r="O13069" s="17"/>
    </row>
    <row r="13070">
      <c r="B13070" s="17" t="s">
        <v>477</v>
      </c>
      <c r="K13070" s="18" t="s">
        <v>477</v>
      </c>
      <c r="N13070" s="17" t="str">
        <f>IFERROR(__xludf.DUMMYFUNCTION("""COMPUTED_VALUE"""),"")</f>
        <v/>
      </c>
      <c r="O13070" s="17"/>
    </row>
    <row r="13071">
      <c r="B13071" s="17" t="s">
        <v>477</v>
      </c>
      <c r="K13071" s="18" t="s">
        <v>477</v>
      </c>
      <c r="N13071" s="17" t="str">
        <f>IFERROR(__xludf.DUMMYFUNCTION("""COMPUTED_VALUE"""),"")</f>
        <v/>
      </c>
      <c r="O13071" s="17"/>
    </row>
    <row r="13072">
      <c r="B13072" s="17" t="s">
        <v>477</v>
      </c>
      <c r="K13072" s="18" t="s">
        <v>477</v>
      </c>
      <c r="N13072" s="17" t="str">
        <f>IFERROR(__xludf.DUMMYFUNCTION("""COMPUTED_VALUE"""),"")</f>
        <v/>
      </c>
      <c r="O13072" s="17"/>
    </row>
    <row r="13073">
      <c r="B13073" s="17" t="s">
        <v>477</v>
      </c>
      <c r="K13073" s="18" t="s">
        <v>477</v>
      </c>
      <c r="N13073" s="17" t="str">
        <f>IFERROR(__xludf.DUMMYFUNCTION("""COMPUTED_VALUE"""),"")</f>
        <v/>
      </c>
      <c r="O13073" s="17"/>
    </row>
    <row r="13074">
      <c r="B13074" s="17" t="s">
        <v>477</v>
      </c>
      <c r="K13074" s="18" t="s">
        <v>477</v>
      </c>
      <c r="N13074" s="17" t="str">
        <f>IFERROR(__xludf.DUMMYFUNCTION("""COMPUTED_VALUE"""),"")</f>
        <v/>
      </c>
      <c r="O13074" s="17"/>
    </row>
    <row r="13075">
      <c r="B13075" s="17" t="s">
        <v>477</v>
      </c>
      <c r="K13075" s="18" t="s">
        <v>477</v>
      </c>
      <c r="N13075" s="17" t="str">
        <f>IFERROR(__xludf.DUMMYFUNCTION("""COMPUTED_VALUE"""),"")</f>
        <v/>
      </c>
      <c r="O13075" s="17"/>
    </row>
    <row r="13076">
      <c r="B13076" s="17" t="s">
        <v>477</v>
      </c>
      <c r="K13076" s="18" t="s">
        <v>477</v>
      </c>
      <c r="N13076" s="17" t="str">
        <f>IFERROR(__xludf.DUMMYFUNCTION("""COMPUTED_VALUE"""),"")</f>
        <v/>
      </c>
      <c r="O13076" s="17"/>
    </row>
    <row r="13077">
      <c r="B13077" s="17" t="s">
        <v>477</v>
      </c>
      <c r="K13077" s="18" t="s">
        <v>477</v>
      </c>
      <c r="N13077" s="17" t="str">
        <f>IFERROR(__xludf.DUMMYFUNCTION("""COMPUTED_VALUE"""),"")</f>
        <v/>
      </c>
      <c r="O13077" s="17"/>
    </row>
    <row r="13078">
      <c r="B13078" s="17" t="s">
        <v>477</v>
      </c>
      <c r="K13078" s="18" t="s">
        <v>477</v>
      </c>
      <c r="N13078" s="17" t="str">
        <f>IFERROR(__xludf.DUMMYFUNCTION("""COMPUTED_VALUE"""),"")</f>
        <v/>
      </c>
      <c r="O13078" s="17"/>
    </row>
    <row r="13079">
      <c r="B13079" s="17" t="s">
        <v>477</v>
      </c>
      <c r="K13079" s="18" t="s">
        <v>477</v>
      </c>
      <c r="N13079" s="17" t="str">
        <f>IFERROR(__xludf.DUMMYFUNCTION("""COMPUTED_VALUE"""),"")</f>
        <v/>
      </c>
      <c r="O13079" s="17"/>
    </row>
    <row r="13080">
      <c r="B13080" s="17" t="s">
        <v>477</v>
      </c>
      <c r="K13080" s="18" t="s">
        <v>477</v>
      </c>
      <c r="N13080" s="17" t="str">
        <f>IFERROR(__xludf.DUMMYFUNCTION("""COMPUTED_VALUE"""),"")</f>
        <v/>
      </c>
      <c r="O13080" s="17"/>
    </row>
    <row r="13081">
      <c r="B13081" s="17" t="s">
        <v>477</v>
      </c>
      <c r="K13081" s="18" t="s">
        <v>477</v>
      </c>
      <c r="N13081" s="17" t="str">
        <f>IFERROR(__xludf.DUMMYFUNCTION("""COMPUTED_VALUE"""),"")</f>
        <v/>
      </c>
      <c r="O13081" s="17"/>
    </row>
    <row r="13082">
      <c r="B13082" s="17" t="s">
        <v>477</v>
      </c>
      <c r="K13082" s="18" t="s">
        <v>477</v>
      </c>
      <c r="N13082" s="17" t="str">
        <f>IFERROR(__xludf.DUMMYFUNCTION("""COMPUTED_VALUE"""),"")</f>
        <v/>
      </c>
      <c r="O13082" s="17"/>
    </row>
    <row r="13083">
      <c r="B13083" s="17" t="s">
        <v>477</v>
      </c>
      <c r="K13083" s="18" t="s">
        <v>477</v>
      </c>
      <c r="N13083" s="17" t="str">
        <f>IFERROR(__xludf.DUMMYFUNCTION("""COMPUTED_VALUE"""),"")</f>
        <v/>
      </c>
      <c r="O13083" s="17"/>
    </row>
    <row r="13084">
      <c r="B13084" s="17" t="s">
        <v>477</v>
      </c>
      <c r="K13084" s="18" t="s">
        <v>477</v>
      </c>
      <c r="N13084" s="17" t="str">
        <f>IFERROR(__xludf.DUMMYFUNCTION("""COMPUTED_VALUE"""),"")</f>
        <v/>
      </c>
      <c r="O13084" s="17"/>
    </row>
    <row r="13085">
      <c r="B13085" s="17" t="s">
        <v>477</v>
      </c>
      <c r="K13085" s="18" t="s">
        <v>477</v>
      </c>
      <c r="N13085" s="17" t="str">
        <f>IFERROR(__xludf.DUMMYFUNCTION("""COMPUTED_VALUE"""),"")</f>
        <v/>
      </c>
      <c r="O13085" s="17"/>
    </row>
    <row r="13086">
      <c r="B13086" s="17" t="s">
        <v>477</v>
      </c>
      <c r="K13086" s="18" t="s">
        <v>477</v>
      </c>
      <c r="N13086" s="17" t="str">
        <f>IFERROR(__xludf.DUMMYFUNCTION("""COMPUTED_VALUE"""),"")</f>
        <v/>
      </c>
      <c r="O13086" s="17"/>
    </row>
    <row r="13087">
      <c r="B13087" s="17" t="s">
        <v>477</v>
      </c>
      <c r="K13087" s="18" t="s">
        <v>477</v>
      </c>
      <c r="N13087" s="17" t="str">
        <f>IFERROR(__xludf.DUMMYFUNCTION("""COMPUTED_VALUE"""),"")</f>
        <v/>
      </c>
      <c r="O13087" s="17"/>
    </row>
    <row r="13088">
      <c r="B13088" s="17" t="s">
        <v>477</v>
      </c>
      <c r="K13088" s="18" t="s">
        <v>477</v>
      </c>
      <c r="N13088" s="17" t="str">
        <f>IFERROR(__xludf.DUMMYFUNCTION("""COMPUTED_VALUE"""),"")</f>
        <v/>
      </c>
      <c r="O13088" s="17"/>
    </row>
    <row r="13089">
      <c r="B13089" s="17" t="s">
        <v>477</v>
      </c>
      <c r="K13089" s="18" t="s">
        <v>477</v>
      </c>
      <c r="N13089" s="17" t="str">
        <f>IFERROR(__xludf.DUMMYFUNCTION("""COMPUTED_VALUE"""),"")</f>
        <v/>
      </c>
      <c r="O13089" s="17"/>
    </row>
    <row r="13090">
      <c r="B13090" s="17" t="s">
        <v>477</v>
      </c>
      <c r="K13090" s="18" t="s">
        <v>477</v>
      </c>
      <c r="N13090" s="17" t="str">
        <f>IFERROR(__xludf.DUMMYFUNCTION("""COMPUTED_VALUE"""),"")</f>
        <v/>
      </c>
      <c r="O13090" s="17"/>
    </row>
    <row r="13091">
      <c r="B13091" s="17" t="s">
        <v>477</v>
      </c>
      <c r="K13091" s="18" t="s">
        <v>477</v>
      </c>
      <c r="N13091" s="17" t="str">
        <f>IFERROR(__xludf.DUMMYFUNCTION("""COMPUTED_VALUE"""),"")</f>
        <v/>
      </c>
      <c r="O13091" s="17"/>
    </row>
    <row r="13092">
      <c r="B13092" s="17" t="s">
        <v>477</v>
      </c>
      <c r="K13092" s="18" t="s">
        <v>477</v>
      </c>
      <c r="N13092" s="17" t="str">
        <f>IFERROR(__xludf.DUMMYFUNCTION("""COMPUTED_VALUE"""),"")</f>
        <v/>
      </c>
      <c r="O13092" s="17"/>
    </row>
    <row r="13093">
      <c r="B13093" s="17" t="s">
        <v>477</v>
      </c>
      <c r="K13093" s="18" t="s">
        <v>477</v>
      </c>
      <c r="N13093" s="17" t="str">
        <f>IFERROR(__xludf.DUMMYFUNCTION("""COMPUTED_VALUE"""),"")</f>
        <v/>
      </c>
      <c r="O13093" s="17"/>
    </row>
    <row r="13094">
      <c r="B13094" s="17" t="s">
        <v>477</v>
      </c>
      <c r="K13094" s="18" t="s">
        <v>477</v>
      </c>
      <c r="N13094" s="17" t="str">
        <f>IFERROR(__xludf.DUMMYFUNCTION("""COMPUTED_VALUE"""),"")</f>
        <v/>
      </c>
      <c r="O13094" s="17"/>
    </row>
    <row r="13095">
      <c r="B13095" s="17" t="s">
        <v>477</v>
      </c>
      <c r="K13095" s="18" t="s">
        <v>477</v>
      </c>
      <c r="N13095" s="17" t="str">
        <f>IFERROR(__xludf.DUMMYFUNCTION("""COMPUTED_VALUE"""),"")</f>
        <v/>
      </c>
      <c r="O13095" s="17"/>
    </row>
    <row r="13096">
      <c r="B13096" s="17" t="s">
        <v>477</v>
      </c>
      <c r="K13096" s="18" t="s">
        <v>477</v>
      </c>
      <c r="N13096" s="17" t="str">
        <f>IFERROR(__xludf.DUMMYFUNCTION("""COMPUTED_VALUE"""),"")</f>
        <v/>
      </c>
      <c r="O13096" s="17"/>
    </row>
    <row r="13097">
      <c r="B13097" s="17" t="s">
        <v>477</v>
      </c>
      <c r="K13097" s="18" t="s">
        <v>477</v>
      </c>
      <c r="N13097" s="17" t="str">
        <f>IFERROR(__xludf.DUMMYFUNCTION("""COMPUTED_VALUE"""),"")</f>
        <v/>
      </c>
      <c r="O13097" s="17"/>
    </row>
    <row r="13098">
      <c r="B13098" s="17" t="s">
        <v>477</v>
      </c>
      <c r="K13098" s="18" t="s">
        <v>477</v>
      </c>
      <c r="N13098" s="17" t="str">
        <f>IFERROR(__xludf.DUMMYFUNCTION("""COMPUTED_VALUE"""),"")</f>
        <v/>
      </c>
      <c r="O13098" s="17"/>
    </row>
    <row r="13099">
      <c r="B13099" s="17" t="s">
        <v>477</v>
      </c>
      <c r="K13099" s="18" t="s">
        <v>477</v>
      </c>
      <c r="N13099" s="17" t="str">
        <f>IFERROR(__xludf.DUMMYFUNCTION("""COMPUTED_VALUE"""),"")</f>
        <v/>
      </c>
      <c r="O13099" s="17"/>
    </row>
    <row r="13100">
      <c r="B13100" s="17" t="s">
        <v>477</v>
      </c>
      <c r="K13100" s="18" t="s">
        <v>477</v>
      </c>
      <c r="N13100" s="17" t="str">
        <f>IFERROR(__xludf.DUMMYFUNCTION("""COMPUTED_VALUE"""),"")</f>
        <v/>
      </c>
      <c r="O13100" s="17"/>
    </row>
    <row r="13101">
      <c r="B13101" s="17" t="s">
        <v>477</v>
      </c>
      <c r="K13101" s="18" t="s">
        <v>477</v>
      </c>
      <c r="N13101" s="17" t="str">
        <f>IFERROR(__xludf.DUMMYFUNCTION("""COMPUTED_VALUE"""),"")</f>
        <v/>
      </c>
      <c r="O13101" s="17"/>
    </row>
    <row r="13102">
      <c r="B13102" s="17" t="s">
        <v>477</v>
      </c>
      <c r="K13102" s="18" t="s">
        <v>477</v>
      </c>
      <c r="N13102" s="17" t="str">
        <f>IFERROR(__xludf.DUMMYFUNCTION("""COMPUTED_VALUE"""),"")</f>
        <v/>
      </c>
      <c r="O13102" s="17"/>
    </row>
    <row r="13103">
      <c r="B13103" s="17" t="s">
        <v>477</v>
      </c>
      <c r="K13103" s="18" t="s">
        <v>477</v>
      </c>
      <c r="N13103" s="17" t="str">
        <f>IFERROR(__xludf.DUMMYFUNCTION("""COMPUTED_VALUE"""),"")</f>
        <v/>
      </c>
      <c r="O13103" s="17"/>
    </row>
    <row r="13104">
      <c r="B13104" s="17" t="s">
        <v>477</v>
      </c>
      <c r="K13104" s="18" t="s">
        <v>477</v>
      </c>
      <c r="N13104" s="17" t="str">
        <f>IFERROR(__xludf.DUMMYFUNCTION("""COMPUTED_VALUE"""),"")</f>
        <v/>
      </c>
      <c r="O13104" s="17"/>
    </row>
    <row r="13105">
      <c r="B13105" s="17" t="s">
        <v>477</v>
      </c>
      <c r="K13105" s="18" t="s">
        <v>477</v>
      </c>
      <c r="N13105" s="17" t="str">
        <f>IFERROR(__xludf.DUMMYFUNCTION("""COMPUTED_VALUE"""),"")</f>
        <v/>
      </c>
      <c r="O13105" s="17"/>
    </row>
    <row r="13106">
      <c r="B13106" s="17" t="s">
        <v>477</v>
      </c>
      <c r="K13106" s="18" t="s">
        <v>477</v>
      </c>
      <c r="N13106" s="17" t="str">
        <f>IFERROR(__xludf.DUMMYFUNCTION("""COMPUTED_VALUE"""),"")</f>
        <v/>
      </c>
      <c r="O13106" s="17"/>
    </row>
    <row r="13107">
      <c r="B13107" s="17" t="s">
        <v>477</v>
      </c>
      <c r="K13107" s="18" t="s">
        <v>477</v>
      </c>
      <c r="N13107" s="17" t="str">
        <f>IFERROR(__xludf.DUMMYFUNCTION("""COMPUTED_VALUE"""),"")</f>
        <v/>
      </c>
      <c r="O13107" s="17"/>
    </row>
    <row r="13108">
      <c r="B13108" s="17" t="s">
        <v>477</v>
      </c>
      <c r="K13108" s="18" t="s">
        <v>477</v>
      </c>
      <c r="N13108" s="17" t="str">
        <f>IFERROR(__xludf.DUMMYFUNCTION("""COMPUTED_VALUE"""),"")</f>
        <v/>
      </c>
      <c r="O13108" s="17"/>
    </row>
    <row r="13109">
      <c r="B13109" s="17" t="s">
        <v>477</v>
      </c>
      <c r="K13109" s="18" t="s">
        <v>477</v>
      </c>
      <c r="N13109" s="17" t="str">
        <f>IFERROR(__xludf.DUMMYFUNCTION("""COMPUTED_VALUE"""),"")</f>
        <v/>
      </c>
      <c r="O13109" s="17"/>
    </row>
    <row r="13110">
      <c r="B13110" s="17" t="s">
        <v>477</v>
      </c>
      <c r="K13110" s="18" t="s">
        <v>477</v>
      </c>
      <c r="N13110" s="17" t="str">
        <f>IFERROR(__xludf.DUMMYFUNCTION("""COMPUTED_VALUE"""),"")</f>
        <v/>
      </c>
      <c r="O13110" s="17"/>
    </row>
    <row r="13111">
      <c r="B13111" s="17" t="s">
        <v>477</v>
      </c>
      <c r="K13111" s="18" t="s">
        <v>477</v>
      </c>
      <c r="N13111" s="17" t="str">
        <f>IFERROR(__xludf.DUMMYFUNCTION("""COMPUTED_VALUE"""),"")</f>
        <v/>
      </c>
      <c r="O13111" s="17"/>
    </row>
    <row r="13112">
      <c r="B13112" s="17" t="s">
        <v>477</v>
      </c>
      <c r="K13112" s="18" t="s">
        <v>477</v>
      </c>
      <c r="N13112" s="17" t="str">
        <f>IFERROR(__xludf.DUMMYFUNCTION("""COMPUTED_VALUE"""),"")</f>
        <v/>
      </c>
      <c r="O13112" s="17"/>
    </row>
    <row r="13113">
      <c r="B13113" s="17" t="s">
        <v>477</v>
      </c>
      <c r="K13113" s="18" t="s">
        <v>477</v>
      </c>
      <c r="N13113" s="17" t="str">
        <f>IFERROR(__xludf.DUMMYFUNCTION("""COMPUTED_VALUE"""),"")</f>
        <v/>
      </c>
      <c r="O13113" s="17"/>
    </row>
    <row r="13114">
      <c r="B13114" s="17" t="s">
        <v>477</v>
      </c>
      <c r="K13114" s="18" t="s">
        <v>477</v>
      </c>
      <c r="N13114" s="17" t="str">
        <f>IFERROR(__xludf.DUMMYFUNCTION("""COMPUTED_VALUE"""),"")</f>
        <v/>
      </c>
      <c r="O13114" s="17"/>
    </row>
    <row r="13115">
      <c r="B13115" s="17" t="s">
        <v>477</v>
      </c>
      <c r="K13115" s="18" t="s">
        <v>477</v>
      </c>
      <c r="N13115" s="17" t="str">
        <f>IFERROR(__xludf.DUMMYFUNCTION("""COMPUTED_VALUE"""),"")</f>
        <v/>
      </c>
      <c r="O13115" s="17"/>
    </row>
    <row r="13116">
      <c r="B13116" s="17" t="s">
        <v>477</v>
      </c>
      <c r="K13116" s="18" t="s">
        <v>477</v>
      </c>
      <c r="N13116" s="17" t="str">
        <f>IFERROR(__xludf.DUMMYFUNCTION("""COMPUTED_VALUE"""),"")</f>
        <v/>
      </c>
      <c r="O13116" s="17"/>
    </row>
    <row r="13117">
      <c r="B13117" s="17" t="s">
        <v>477</v>
      </c>
      <c r="K13117" s="18" t="s">
        <v>477</v>
      </c>
      <c r="N13117" s="17" t="str">
        <f>IFERROR(__xludf.DUMMYFUNCTION("""COMPUTED_VALUE"""),"")</f>
        <v/>
      </c>
      <c r="O13117" s="17"/>
    </row>
    <row r="13118">
      <c r="B13118" s="17" t="s">
        <v>477</v>
      </c>
      <c r="K13118" s="18" t="s">
        <v>477</v>
      </c>
      <c r="N13118" s="17" t="str">
        <f>IFERROR(__xludf.DUMMYFUNCTION("""COMPUTED_VALUE"""),"")</f>
        <v/>
      </c>
      <c r="O13118" s="17"/>
    </row>
    <row r="13119">
      <c r="B13119" s="17" t="s">
        <v>477</v>
      </c>
      <c r="K13119" s="18" t="s">
        <v>477</v>
      </c>
      <c r="N13119" s="17" t="str">
        <f>IFERROR(__xludf.DUMMYFUNCTION("""COMPUTED_VALUE"""),"")</f>
        <v/>
      </c>
      <c r="O13119" s="17"/>
    </row>
    <row r="13120">
      <c r="B13120" s="17" t="s">
        <v>477</v>
      </c>
      <c r="K13120" s="18" t="s">
        <v>477</v>
      </c>
      <c r="N13120" s="17" t="str">
        <f>IFERROR(__xludf.DUMMYFUNCTION("""COMPUTED_VALUE"""),"")</f>
        <v/>
      </c>
      <c r="O13120" s="17"/>
    </row>
    <row r="13121">
      <c r="B13121" s="17" t="s">
        <v>477</v>
      </c>
      <c r="K13121" s="18" t="s">
        <v>477</v>
      </c>
      <c r="N13121" s="17" t="str">
        <f>IFERROR(__xludf.DUMMYFUNCTION("""COMPUTED_VALUE"""),"")</f>
        <v/>
      </c>
      <c r="O13121" s="17"/>
    </row>
    <row r="13122">
      <c r="B13122" s="17" t="s">
        <v>477</v>
      </c>
      <c r="K13122" s="18" t="s">
        <v>477</v>
      </c>
      <c r="N13122" s="17" t="str">
        <f>IFERROR(__xludf.DUMMYFUNCTION("""COMPUTED_VALUE"""),"")</f>
        <v/>
      </c>
      <c r="O13122" s="17"/>
    </row>
    <row r="13123">
      <c r="B13123" s="17" t="s">
        <v>477</v>
      </c>
      <c r="K13123" s="18" t="s">
        <v>477</v>
      </c>
      <c r="N13123" s="17" t="str">
        <f>IFERROR(__xludf.DUMMYFUNCTION("""COMPUTED_VALUE"""),"")</f>
        <v/>
      </c>
      <c r="O13123" s="17"/>
    </row>
    <row r="13124">
      <c r="B13124" s="17" t="s">
        <v>477</v>
      </c>
      <c r="K13124" s="18" t="s">
        <v>477</v>
      </c>
      <c r="N13124" s="17" t="str">
        <f>IFERROR(__xludf.DUMMYFUNCTION("""COMPUTED_VALUE"""),"")</f>
        <v/>
      </c>
      <c r="O13124" s="17"/>
    </row>
    <row r="13125">
      <c r="B13125" s="17" t="s">
        <v>477</v>
      </c>
      <c r="K13125" s="18" t="s">
        <v>477</v>
      </c>
      <c r="N13125" s="17" t="str">
        <f>IFERROR(__xludf.DUMMYFUNCTION("""COMPUTED_VALUE"""),"")</f>
        <v/>
      </c>
      <c r="O13125" s="17"/>
    </row>
    <row r="13126">
      <c r="B13126" s="17" t="s">
        <v>477</v>
      </c>
      <c r="K13126" s="18" t="s">
        <v>477</v>
      </c>
      <c r="N13126" s="17" t="str">
        <f>IFERROR(__xludf.DUMMYFUNCTION("""COMPUTED_VALUE"""),"")</f>
        <v/>
      </c>
      <c r="O13126" s="17"/>
    </row>
    <row r="13127">
      <c r="B13127" s="17" t="s">
        <v>477</v>
      </c>
      <c r="K13127" s="18" t="s">
        <v>477</v>
      </c>
      <c r="N13127" s="17" t="str">
        <f>IFERROR(__xludf.DUMMYFUNCTION("""COMPUTED_VALUE"""),"")</f>
        <v/>
      </c>
      <c r="O13127" s="17"/>
    </row>
    <row r="13128">
      <c r="B13128" s="17" t="s">
        <v>477</v>
      </c>
      <c r="K13128" s="18" t="s">
        <v>477</v>
      </c>
      <c r="N13128" s="17" t="str">
        <f>IFERROR(__xludf.DUMMYFUNCTION("""COMPUTED_VALUE"""),"")</f>
        <v/>
      </c>
      <c r="O13128" s="17"/>
    </row>
    <row r="13129">
      <c r="B13129" s="17" t="s">
        <v>477</v>
      </c>
      <c r="K13129" s="18" t="s">
        <v>477</v>
      </c>
      <c r="N13129" s="17" t="str">
        <f>IFERROR(__xludf.DUMMYFUNCTION("""COMPUTED_VALUE"""),"")</f>
        <v/>
      </c>
      <c r="O13129" s="17"/>
    </row>
    <row r="13130">
      <c r="B13130" s="17" t="s">
        <v>477</v>
      </c>
      <c r="K13130" s="18" t="s">
        <v>477</v>
      </c>
      <c r="N13130" s="17" t="str">
        <f>IFERROR(__xludf.DUMMYFUNCTION("""COMPUTED_VALUE"""),"")</f>
        <v/>
      </c>
      <c r="O13130" s="17"/>
    </row>
    <row r="13131">
      <c r="B13131" s="17" t="s">
        <v>477</v>
      </c>
      <c r="K13131" s="18" t="s">
        <v>477</v>
      </c>
      <c r="N13131" s="17" t="str">
        <f>IFERROR(__xludf.DUMMYFUNCTION("""COMPUTED_VALUE"""),"")</f>
        <v/>
      </c>
      <c r="O13131" s="17"/>
    </row>
    <row r="13132">
      <c r="B13132" s="17" t="s">
        <v>477</v>
      </c>
      <c r="K13132" s="18" t="s">
        <v>477</v>
      </c>
      <c r="N13132" s="17" t="str">
        <f>IFERROR(__xludf.DUMMYFUNCTION("""COMPUTED_VALUE"""),"")</f>
        <v/>
      </c>
      <c r="O13132" s="17"/>
    </row>
    <row r="13133">
      <c r="B13133" s="17" t="s">
        <v>477</v>
      </c>
      <c r="K13133" s="18" t="s">
        <v>477</v>
      </c>
      <c r="N13133" s="17" t="str">
        <f>IFERROR(__xludf.DUMMYFUNCTION("""COMPUTED_VALUE"""),"")</f>
        <v/>
      </c>
      <c r="O13133" s="17"/>
    </row>
    <row r="13134">
      <c r="B13134" s="17" t="s">
        <v>477</v>
      </c>
      <c r="K13134" s="18" t="s">
        <v>477</v>
      </c>
      <c r="N13134" s="17" t="str">
        <f>IFERROR(__xludf.DUMMYFUNCTION("""COMPUTED_VALUE"""),"")</f>
        <v/>
      </c>
      <c r="O13134" s="17"/>
    </row>
    <row r="13135">
      <c r="B13135" s="17" t="s">
        <v>477</v>
      </c>
      <c r="K13135" s="18" t="s">
        <v>477</v>
      </c>
      <c r="N13135" s="17" t="str">
        <f>IFERROR(__xludf.DUMMYFUNCTION("""COMPUTED_VALUE"""),"")</f>
        <v/>
      </c>
      <c r="O13135" s="17"/>
    </row>
    <row r="13136">
      <c r="B13136" s="17" t="s">
        <v>477</v>
      </c>
      <c r="K13136" s="18" t="s">
        <v>477</v>
      </c>
      <c r="N13136" s="17" t="str">
        <f>IFERROR(__xludf.DUMMYFUNCTION("""COMPUTED_VALUE"""),"")</f>
        <v/>
      </c>
      <c r="O13136" s="17"/>
    </row>
    <row r="13137">
      <c r="B13137" s="17" t="s">
        <v>477</v>
      </c>
      <c r="K13137" s="18" t="s">
        <v>477</v>
      </c>
      <c r="N13137" s="17" t="str">
        <f>IFERROR(__xludf.DUMMYFUNCTION("""COMPUTED_VALUE"""),"")</f>
        <v/>
      </c>
      <c r="O13137" s="17"/>
    </row>
    <row r="13138">
      <c r="B13138" s="17" t="s">
        <v>477</v>
      </c>
      <c r="K13138" s="18" t="s">
        <v>477</v>
      </c>
      <c r="N13138" s="17" t="str">
        <f>IFERROR(__xludf.DUMMYFUNCTION("""COMPUTED_VALUE"""),"")</f>
        <v/>
      </c>
      <c r="O13138" s="17"/>
    </row>
    <row r="13139">
      <c r="B13139" s="17" t="s">
        <v>477</v>
      </c>
      <c r="K13139" s="18" t="s">
        <v>477</v>
      </c>
      <c r="N13139" s="17" t="str">
        <f>IFERROR(__xludf.DUMMYFUNCTION("""COMPUTED_VALUE"""),"")</f>
        <v/>
      </c>
      <c r="O13139" s="17"/>
    </row>
    <row r="13140">
      <c r="B13140" s="17" t="s">
        <v>477</v>
      </c>
      <c r="K13140" s="18" t="s">
        <v>477</v>
      </c>
      <c r="N13140" s="17" t="str">
        <f>IFERROR(__xludf.DUMMYFUNCTION("""COMPUTED_VALUE"""),"")</f>
        <v/>
      </c>
      <c r="O13140" s="17"/>
    </row>
    <row r="13141">
      <c r="B13141" s="17" t="s">
        <v>477</v>
      </c>
      <c r="K13141" s="18" t="s">
        <v>477</v>
      </c>
      <c r="N13141" s="17" t="str">
        <f>IFERROR(__xludf.DUMMYFUNCTION("""COMPUTED_VALUE"""),"")</f>
        <v/>
      </c>
      <c r="O13141" s="17"/>
    </row>
    <row r="13142">
      <c r="B13142" s="17" t="s">
        <v>477</v>
      </c>
      <c r="K13142" s="18" t="s">
        <v>477</v>
      </c>
      <c r="N13142" s="17" t="str">
        <f>IFERROR(__xludf.DUMMYFUNCTION("""COMPUTED_VALUE"""),"")</f>
        <v/>
      </c>
      <c r="O13142" s="17"/>
    </row>
    <row r="13143">
      <c r="B13143" s="17" t="s">
        <v>477</v>
      </c>
      <c r="K13143" s="18" t="s">
        <v>477</v>
      </c>
      <c r="N13143" s="17" t="str">
        <f>IFERROR(__xludf.DUMMYFUNCTION("""COMPUTED_VALUE"""),"")</f>
        <v/>
      </c>
      <c r="O13143" s="17"/>
    </row>
    <row r="13144">
      <c r="B13144" s="17" t="s">
        <v>477</v>
      </c>
      <c r="K13144" s="18" t="s">
        <v>477</v>
      </c>
      <c r="N13144" s="17" t="str">
        <f>IFERROR(__xludf.DUMMYFUNCTION("""COMPUTED_VALUE"""),"")</f>
        <v/>
      </c>
      <c r="O13144" s="17"/>
    </row>
    <row r="13145">
      <c r="B13145" s="17" t="s">
        <v>477</v>
      </c>
      <c r="K13145" s="18" t="s">
        <v>477</v>
      </c>
      <c r="N13145" s="17" t="str">
        <f>IFERROR(__xludf.DUMMYFUNCTION("""COMPUTED_VALUE"""),"")</f>
        <v/>
      </c>
      <c r="O13145" s="17"/>
    </row>
    <row r="13146">
      <c r="B13146" s="17" t="s">
        <v>477</v>
      </c>
      <c r="K13146" s="18" t="s">
        <v>477</v>
      </c>
      <c r="N13146" s="17" t="str">
        <f>IFERROR(__xludf.DUMMYFUNCTION("""COMPUTED_VALUE"""),"")</f>
        <v/>
      </c>
      <c r="O13146" s="17"/>
    </row>
    <row r="13147">
      <c r="B13147" s="17" t="s">
        <v>477</v>
      </c>
      <c r="K13147" s="18" t="s">
        <v>477</v>
      </c>
      <c r="N13147" s="17" t="str">
        <f>IFERROR(__xludf.DUMMYFUNCTION("""COMPUTED_VALUE"""),"")</f>
        <v/>
      </c>
      <c r="O13147" s="17"/>
    </row>
    <row r="13148">
      <c r="B13148" s="17" t="s">
        <v>477</v>
      </c>
      <c r="K13148" s="18" t="s">
        <v>477</v>
      </c>
      <c r="N13148" s="17" t="str">
        <f>IFERROR(__xludf.DUMMYFUNCTION("""COMPUTED_VALUE"""),"")</f>
        <v/>
      </c>
      <c r="O13148" s="17"/>
    </row>
    <row r="13149">
      <c r="B13149" s="17" t="s">
        <v>477</v>
      </c>
      <c r="K13149" s="18" t="s">
        <v>477</v>
      </c>
      <c r="N13149" s="17" t="str">
        <f>IFERROR(__xludf.DUMMYFUNCTION("""COMPUTED_VALUE"""),"")</f>
        <v/>
      </c>
      <c r="O13149" s="17"/>
    </row>
    <row r="13150">
      <c r="B13150" s="17" t="s">
        <v>477</v>
      </c>
      <c r="K13150" s="18" t="s">
        <v>477</v>
      </c>
      <c r="N13150" s="17" t="str">
        <f>IFERROR(__xludf.DUMMYFUNCTION("""COMPUTED_VALUE"""),"")</f>
        <v/>
      </c>
      <c r="O13150" s="17"/>
    </row>
    <row r="13151">
      <c r="B13151" s="17" t="s">
        <v>477</v>
      </c>
      <c r="K13151" s="18" t="s">
        <v>477</v>
      </c>
      <c r="N13151" s="17" t="str">
        <f>IFERROR(__xludf.DUMMYFUNCTION("""COMPUTED_VALUE"""),"")</f>
        <v/>
      </c>
      <c r="O13151" s="17"/>
    </row>
    <row r="13152">
      <c r="B13152" s="17" t="s">
        <v>477</v>
      </c>
      <c r="K13152" s="18" t="s">
        <v>477</v>
      </c>
      <c r="N13152" s="17" t="str">
        <f>IFERROR(__xludf.DUMMYFUNCTION("""COMPUTED_VALUE"""),"")</f>
        <v/>
      </c>
      <c r="O13152" s="17"/>
    </row>
    <row r="13153">
      <c r="B13153" s="17" t="s">
        <v>477</v>
      </c>
      <c r="K13153" s="18" t="s">
        <v>477</v>
      </c>
      <c r="N13153" s="17" t="str">
        <f>IFERROR(__xludf.DUMMYFUNCTION("""COMPUTED_VALUE"""),"")</f>
        <v/>
      </c>
      <c r="O13153" s="17"/>
    </row>
    <row r="13154">
      <c r="B13154" s="17" t="s">
        <v>477</v>
      </c>
      <c r="K13154" s="18" t="s">
        <v>477</v>
      </c>
      <c r="N13154" s="17" t="str">
        <f>IFERROR(__xludf.DUMMYFUNCTION("""COMPUTED_VALUE"""),"")</f>
        <v/>
      </c>
      <c r="O13154" s="17"/>
    </row>
    <row r="13155">
      <c r="B13155" s="17" t="s">
        <v>477</v>
      </c>
      <c r="K13155" s="18" t="s">
        <v>477</v>
      </c>
      <c r="N13155" s="17" t="str">
        <f>IFERROR(__xludf.DUMMYFUNCTION("""COMPUTED_VALUE"""),"")</f>
        <v/>
      </c>
      <c r="O13155" s="17"/>
    </row>
    <row r="13156">
      <c r="B13156" s="17" t="s">
        <v>477</v>
      </c>
      <c r="K13156" s="18" t="s">
        <v>477</v>
      </c>
      <c r="N13156" s="17" t="str">
        <f>IFERROR(__xludf.DUMMYFUNCTION("""COMPUTED_VALUE"""),"")</f>
        <v/>
      </c>
      <c r="O13156" s="17"/>
    </row>
    <row r="13157">
      <c r="B13157" s="17" t="s">
        <v>477</v>
      </c>
      <c r="K13157" s="18" t="s">
        <v>477</v>
      </c>
      <c r="N13157" s="17" t="str">
        <f>IFERROR(__xludf.DUMMYFUNCTION("""COMPUTED_VALUE"""),"")</f>
        <v/>
      </c>
      <c r="O13157" s="17"/>
    </row>
    <row r="13158">
      <c r="B13158" s="17" t="s">
        <v>477</v>
      </c>
      <c r="K13158" s="18" t="s">
        <v>477</v>
      </c>
      <c r="N13158" s="17" t="str">
        <f>IFERROR(__xludf.DUMMYFUNCTION("""COMPUTED_VALUE"""),"")</f>
        <v/>
      </c>
      <c r="O13158" s="17"/>
    </row>
    <row r="13159">
      <c r="B13159" s="17" t="s">
        <v>477</v>
      </c>
      <c r="K13159" s="18" t="s">
        <v>477</v>
      </c>
      <c r="N13159" s="17" t="str">
        <f>IFERROR(__xludf.DUMMYFUNCTION("""COMPUTED_VALUE"""),"")</f>
        <v/>
      </c>
      <c r="O13159" s="17"/>
    </row>
    <row r="13160">
      <c r="B13160" s="17" t="s">
        <v>477</v>
      </c>
      <c r="K13160" s="18" t="s">
        <v>477</v>
      </c>
      <c r="N13160" s="17" t="str">
        <f>IFERROR(__xludf.DUMMYFUNCTION("""COMPUTED_VALUE"""),"")</f>
        <v/>
      </c>
      <c r="O13160" s="17"/>
    </row>
    <row r="13161">
      <c r="B13161" s="17" t="s">
        <v>477</v>
      </c>
      <c r="K13161" s="18" t="s">
        <v>477</v>
      </c>
      <c r="N13161" s="17" t="str">
        <f>IFERROR(__xludf.DUMMYFUNCTION("""COMPUTED_VALUE"""),"")</f>
        <v/>
      </c>
      <c r="O13161" s="17"/>
    </row>
    <row r="13162">
      <c r="B13162" s="17" t="s">
        <v>477</v>
      </c>
      <c r="K13162" s="18" t="s">
        <v>477</v>
      </c>
      <c r="N13162" s="17" t="str">
        <f>IFERROR(__xludf.DUMMYFUNCTION("""COMPUTED_VALUE"""),"")</f>
        <v/>
      </c>
      <c r="O13162" s="17"/>
    </row>
    <row r="13163">
      <c r="B13163" s="17" t="s">
        <v>477</v>
      </c>
      <c r="K13163" s="18" t="s">
        <v>477</v>
      </c>
      <c r="N13163" s="17" t="str">
        <f>IFERROR(__xludf.DUMMYFUNCTION("""COMPUTED_VALUE"""),"")</f>
        <v/>
      </c>
      <c r="O13163" s="17"/>
    </row>
    <row r="13164">
      <c r="B13164" s="17" t="s">
        <v>477</v>
      </c>
      <c r="K13164" s="18" t="s">
        <v>477</v>
      </c>
      <c r="N13164" s="17" t="str">
        <f>IFERROR(__xludf.DUMMYFUNCTION("""COMPUTED_VALUE"""),"")</f>
        <v/>
      </c>
      <c r="O13164" s="17"/>
    </row>
    <row r="13165">
      <c r="B13165" s="17" t="s">
        <v>477</v>
      </c>
      <c r="K13165" s="18" t="s">
        <v>477</v>
      </c>
      <c r="N13165" s="17" t="str">
        <f>IFERROR(__xludf.DUMMYFUNCTION("""COMPUTED_VALUE"""),"")</f>
        <v/>
      </c>
      <c r="O13165" s="17"/>
    </row>
    <row r="13166">
      <c r="B13166" s="17" t="s">
        <v>477</v>
      </c>
      <c r="K13166" s="18" t="s">
        <v>477</v>
      </c>
      <c r="N13166" s="17" t="str">
        <f>IFERROR(__xludf.DUMMYFUNCTION("""COMPUTED_VALUE"""),"")</f>
        <v/>
      </c>
      <c r="O13166" s="17"/>
    </row>
    <row r="13167">
      <c r="B13167" s="17" t="s">
        <v>477</v>
      </c>
      <c r="K13167" s="18" t="s">
        <v>477</v>
      </c>
      <c r="N13167" s="17" t="str">
        <f>IFERROR(__xludf.DUMMYFUNCTION("""COMPUTED_VALUE"""),"")</f>
        <v/>
      </c>
      <c r="O13167" s="17"/>
    </row>
    <row r="13168">
      <c r="B13168" s="17" t="s">
        <v>477</v>
      </c>
      <c r="K13168" s="18" t="s">
        <v>477</v>
      </c>
      <c r="N13168" s="17" t="str">
        <f>IFERROR(__xludf.DUMMYFUNCTION("""COMPUTED_VALUE"""),"")</f>
        <v/>
      </c>
      <c r="O13168" s="17"/>
    </row>
    <row r="13169">
      <c r="B13169" s="17" t="s">
        <v>477</v>
      </c>
      <c r="K13169" s="18" t="s">
        <v>477</v>
      </c>
      <c r="N13169" s="17" t="str">
        <f>IFERROR(__xludf.DUMMYFUNCTION("""COMPUTED_VALUE"""),"")</f>
        <v/>
      </c>
      <c r="O13169" s="17"/>
    </row>
    <row r="13170">
      <c r="B13170" s="17" t="s">
        <v>477</v>
      </c>
      <c r="K13170" s="18" t="s">
        <v>477</v>
      </c>
      <c r="N13170" s="17" t="str">
        <f>IFERROR(__xludf.DUMMYFUNCTION("""COMPUTED_VALUE"""),"")</f>
        <v/>
      </c>
      <c r="O13170" s="17"/>
    </row>
    <row r="13171">
      <c r="B13171" s="17" t="s">
        <v>477</v>
      </c>
      <c r="K13171" s="18" t="s">
        <v>477</v>
      </c>
      <c r="N13171" s="17" t="str">
        <f>IFERROR(__xludf.DUMMYFUNCTION("""COMPUTED_VALUE"""),"")</f>
        <v/>
      </c>
      <c r="O13171" s="17"/>
    </row>
    <row r="13172">
      <c r="B13172" s="17" t="s">
        <v>477</v>
      </c>
      <c r="K13172" s="18" t="s">
        <v>477</v>
      </c>
      <c r="N13172" s="17" t="str">
        <f>IFERROR(__xludf.DUMMYFUNCTION("""COMPUTED_VALUE"""),"")</f>
        <v/>
      </c>
      <c r="O13172" s="17"/>
    </row>
    <row r="13173">
      <c r="B13173" s="17" t="s">
        <v>477</v>
      </c>
      <c r="K13173" s="18" t="s">
        <v>477</v>
      </c>
      <c r="N13173" s="17" t="str">
        <f>IFERROR(__xludf.DUMMYFUNCTION("""COMPUTED_VALUE"""),"")</f>
        <v/>
      </c>
      <c r="O13173" s="17"/>
    </row>
    <row r="13174">
      <c r="B13174" s="17" t="s">
        <v>477</v>
      </c>
      <c r="K13174" s="18" t="s">
        <v>477</v>
      </c>
      <c r="N13174" s="17" t="str">
        <f>IFERROR(__xludf.DUMMYFUNCTION("""COMPUTED_VALUE"""),"")</f>
        <v/>
      </c>
      <c r="O13174" s="17"/>
    </row>
    <row r="13175">
      <c r="B13175" s="17" t="s">
        <v>477</v>
      </c>
      <c r="K13175" s="18" t="s">
        <v>477</v>
      </c>
      <c r="N13175" s="17" t="str">
        <f>IFERROR(__xludf.DUMMYFUNCTION("""COMPUTED_VALUE"""),"")</f>
        <v/>
      </c>
      <c r="O13175" s="17"/>
    </row>
    <row r="13176">
      <c r="B13176" s="17" t="s">
        <v>477</v>
      </c>
      <c r="K13176" s="18" t="s">
        <v>477</v>
      </c>
      <c r="N13176" s="17" t="str">
        <f>IFERROR(__xludf.DUMMYFUNCTION("""COMPUTED_VALUE"""),"")</f>
        <v/>
      </c>
      <c r="O13176" s="17"/>
    </row>
    <row r="13177">
      <c r="B13177" s="17" t="s">
        <v>477</v>
      </c>
      <c r="K13177" s="18" t="s">
        <v>477</v>
      </c>
      <c r="N13177" s="17" t="str">
        <f>IFERROR(__xludf.DUMMYFUNCTION("""COMPUTED_VALUE"""),"")</f>
        <v/>
      </c>
      <c r="O13177" s="17"/>
    </row>
    <row r="13178">
      <c r="B13178" s="17" t="s">
        <v>477</v>
      </c>
      <c r="K13178" s="18" t="s">
        <v>477</v>
      </c>
      <c r="N13178" s="17" t="str">
        <f>IFERROR(__xludf.DUMMYFUNCTION("""COMPUTED_VALUE"""),"")</f>
        <v/>
      </c>
      <c r="O13178" s="17"/>
    </row>
    <row r="13179">
      <c r="B13179" s="17" t="s">
        <v>477</v>
      </c>
      <c r="K13179" s="18" t="s">
        <v>477</v>
      </c>
      <c r="N13179" s="17" t="str">
        <f>IFERROR(__xludf.DUMMYFUNCTION("""COMPUTED_VALUE"""),"")</f>
        <v/>
      </c>
      <c r="O13179" s="17"/>
    </row>
    <row r="13180">
      <c r="B13180" s="17" t="s">
        <v>477</v>
      </c>
      <c r="K13180" s="18" t="s">
        <v>477</v>
      </c>
      <c r="N13180" s="17" t="str">
        <f>IFERROR(__xludf.DUMMYFUNCTION("""COMPUTED_VALUE"""),"")</f>
        <v/>
      </c>
      <c r="O13180" s="17"/>
    </row>
    <row r="13181">
      <c r="B13181" s="17" t="s">
        <v>477</v>
      </c>
      <c r="K13181" s="18" t="s">
        <v>477</v>
      </c>
      <c r="N13181" s="17" t="str">
        <f>IFERROR(__xludf.DUMMYFUNCTION("""COMPUTED_VALUE"""),"")</f>
        <v/>
      </c>
      <c r="O13181" s="17"/>
    </row>
    <row r="13182">
      <c r="B13182" s="17" t="s">
        <v>477</v>
      </c>
      <c r="K13182" s="18" t="s">
        <v>477</v>
      </c>
      <c r="N13182" s="17" t="str">
        <f>IFERROR(__xludf.DUMMYFUNCTION("""COMPUTED_VALUE"""),"")</f>
        <v/>
      </c>
      <c r="O13182" s="17"/>
    </row>
    <row r="13183">
      <c r="B13183" s="17" t="s">
        <v>477</v>
      </c>
      <c r="K13183" s="18" t="s">
        <v>477</v>
      </c>
      <c r="N13183" s="17" t="str">
        <f>IFERROR(__xludf.DUMMYFUNCTION("""COMPUTED_VALUE"""),"")</f>
        <v/>
      </c>
      <c r="O13183" s="17"/>
    </row>
    <row r="13184">
      <c r="B13184" s="17" t="s">
        <v>477</v>
      </c>
      <c r="K13184" s="18" t="s">
        <v>477</v>
      </c>
      <c r="N13184" s="17" t="str">
        <f>IFERROR(__xludf.DUMMYFUNCTION("""COMPUTED_VALUE"""),"")</f>
        <v/>
      </c>
      <c r="O13184" s="17"/>
    </row>
    <row r="13185">
      <c r="B13185" s="17" t="s">
        <v>477</v>
      </c>
      <c r="K13185" s="18" t="s">
        <v>477</v>
      </c>
      <c r="N13185" s="17" t="str">
        <f>IFERROR(__xludf.DUMMYFUNCTION("""COMPUTED_VALUE"""),"")</f>
        <v/>
      </c>
      <c r="O13185" s="17"/>
    </row>
    <row r="13186">
      <c r="B13186" s="17" t="s">
        <v>477</v>
      </c>
      <c r="K13186" s="18" t="s">
        <v>477</v>
      </c>
      <c r="N13186" s="17" t="str">
        <f>IFERROR(__xludf.DUMMYFUNCTION("""COMPUTED_VALUE"""),"")</f>
        <v/>
      </c>
      <c r="O13186" s="17"/>
    </row>
    <row r="13187">
      <c r="B13187" s="17" t="s">
        <v>477</v>
      </c>
      <c r="K13187" s="18" t="s">
        <v>477</v>
      </c>
      <c r="N13187" s="17" t="str">
        <f>IFERROR(__xludf.DUMMYFUNCTION("""COMPUTED_VALUE"""),"")</f>
        <v/>
      </c>
      <c r="O13187" s="17"/>
    </row>
    <row r="13188">
      <c r="B13188" s="17" t="s">
        <v>477</v>
      </c>
      <c r="K13188" s="18" t="s">
        <v>477</v>
      </c>
      <c r="N13188" s="17" t="str">
        <f>IFERROR(__xludf.DUMMYFUNCTION("""COMPUTED_VALUE"""),"")</f>
        <v/>
      </c>
      <c r="O13188" s="17"/>
    </row>
    <row r="13189">
      <c r="B13189" s="17" t="s">
        <v>477</v>
      </c>
      <c r="K13189" s="18" t="s">
        <v>477</v>
      </c>
      <c r="N13189" s="17" t="str">
        <f>IFERROR(__xludf.DUMMYFUNCTION("""COMPUTED_VALUE"""),"")</f>
        <v/>
      </c>
      <c r="O13189" s="17"/>
    </row>
    <row r="13190">
      <c r="B13190" s="17" t="s">
        <v>477</v>
      </c>
      <c r="K13190" s="18" t="s">
        <v>477</v>
      </c>
      <c r="N13190" s="17" t="str">
        <f>IFERROR(__xludf.DUMMYFUNCTION("""COMPUTED_VALUE"""),"")</f>
        <v/>
      </c>
      <c r="O13190" s="17"/>
    </row>
    <row r="13191">
      <c r="B13191" s="17" t="s">
        <v>477</v>
      </c>
      <c r="K13191" s="18" t="s">
        <v>477</v>
      </c>
      <c r="N13191" s="17" t="str">
        <f>IFERROR(__xludf.DUMMYFUNCTION("""COMPUTED_VALUE"""),"")</f>
        <v/>
      </c>
      <c r="O13191" s="17"/>
    </row>
    <row r="13192">
      <c r="B13192" s="17" t="s">
        <v>477</v>
      </c>
      <c r="K13192" s="18" t="s">
        <v>477</v>
      </c>
      <c r="N13192" s="17" t="str">
        <f>IFERROR(__xludf.DUMMYFUNCTION("""COMPUTED_VALUE"""),"")</f>
        <v/>
      </c>
      <c r="O13192" s="17"/>
    </row>
    <row r="13193">
      <c r="B13193" s="17" t="s">
        <v>477</v>
      </c>
      <c r="K13193" s="18" t="s">
        <v>477</v>
      </c>
      <c r="N13193" s="17" t="str">
        <f>IFERROR(__xludf.DUMMYFUNCTION("""COMPUTED_VALUE"""),"")</f>
        <v/>
      </c>
      <c r="O13193" s="17"/>
    </row>
    <row r="13194">
      <c r="B13194" s="17" t="s">
        <v>477</v>
      </c>
      <c r="K13194" s="18" t="s">
        <v>477</v>
      </c>
      <c r="N13194" s="17" t="str">
        <f>IFERROR(__xludf.DUMMYFUNCTION("""COMPUTED_VALUE"""),"")</f>
        <v/>
      </c>
      <c r="O13194" s="17"/>
    </row>
    <row r="13195">
      <c r="B13195" s="17" t="s">
        <v>477</v>
      </c>
      <c r="K13195" s="18" t="s">
        <v>477</v>
      </c>
      <c r="N13195" s="17" t="str">
        <f>IFERROR(__xludf.DUMMYFUNCTION("""COMPUTED_VALUE"""),"")</f>
        <v/>
      </c>
      <c r="O13195" s="17"/>
    </row>
    <row r="13196">
      <c r="B13196" s="17" t="s">
        <v>477</v>
      </c>
      <c r="K13196" s="18" t="s">
        <v>477</v>
      </c>
      <c r="N13196" s="17" t="str">
        <f>IFERROR(__xludf.DUMMYFUNCTION("""COMPUTED_VALUE"""),"")</f>
        <v/>
      </c>
      <c r="O13196" s="17"/>
    </row>
    <row r="13197">
      <c r="B13197" s="17" t="s">
        <v>477</v>
      </c>
      <c r="K13197" s="18" t="s">
        <v>477</v>
      </c>
      <c r="N13197" s="17" t="str">
        <f>IFERROR(__xludf.DUMMYFUNCTION("""COMPUTED_VALUE"""),"")</f>
        <v/>
      </c>
      <c r="O13197" s="17"/>
    </row>
    <row r="13198">
      <c r="B13198" s="17" t="s">
        <v>477</v>
      </c>
      <c r="K13198" s="18" t="s">
        <v>477</v>
      </c>
      <c r="N13198" s="17" t="str">
        <f>IFERROR(__xludf.DUMMYFUNCTION("""COMPUTED_VALUE"""),"")</f>
        <v/>
      </c>
      <c r="O13198" s="17"/>
    </row>
    <row r="13199">
      <c r="B13199" s="17" t="s">
        <v>477</v>
      </c>
      <c r="K13199" s="18" t="s">
        <v>477</v>
      </c>
      <c r="N13199" s="17" t="str">
        <f>IFERROR(__xludf.DUMMYFUNCTION("""COMPUTED_VALUE"""),"")</f>
        <v/>
      </c>
      <c r="O13199" s="17"/>
    </row>
    <row r="13200">
      <c r="B13200" s="17" t="s">
        <v>477</v>
      </c>
      <c r="K13200" s="18" t="s">
        <v>477</v>
      </c>
      <c r="N13200" s="17" t="str">
        <f>IFERROR(__xludf.DUMMYFUNCTION("""COMPUTED_VALUE"""),"")</f>
        <v/>
      </c>
      <c r="O13200" s="17"/>
    </row>
    <row r="13201">
      <c r="B13201" s="17" t="s">
        <v>477</v>
      </c>
      <c r="K13201" s="18" t="s">
        <v>477</v>
      </c>
      <c r="N13201" s="17" t="str">
        <f>IFERROR(__xludf.DUMMYFUNCTION("""COMPUTED_VALUE"""),"")</f>
        <v/>
      </c>
      <c r="O13201" s="17"/>
    </row>
    <row r="13202">
      <c r="B13202" s="17" t="s">
        <v>477</v>
      </c>
      <c r="K13202" s="18" t="s">
        <v>477</v>
      </c>
      <c r="N13202" s="17" t="str">
        <f>IFERROR(__xludf.DUMMYFUNCTION("""COMPUTED_VALUE"""),"")</f>
        <v/>
      </c>
      <c r="O13202" s="17"/>
    </row>
    <row r="13203">
      <c r="B13203" s="17" t="s">
        <v>477</v>
      </c>
      <c r="K13203" s="18" t="s">
        <v>477</v>
      </c>
      <c r="N13203" s="17" t="str">
        <f>IFERROR(__xludf.DUMMYFUNCTION("""COMPUTED_VALUE"""),"")</f>
        <v/>
      </c>
      <c r="O13203" s="17"/>
    </row>
    <row r="13204">
      <c r="B13204" s="17" t="s">
        <v>477</v>
      </c>
      <c r="K13204" s="18" t="s">
        <v>477</v>
      </c>
      <c r="N13204" s="17" t="str">
        <f>IFERROR(__xludf.DUMMYFUNCTION("""COMPUTED_VALUE"""),"")</f>
        <v/>
      </c>
      <c r="O13204" s="17"/>
    </row>
    <row r="13205">
      <c r="B13205" s="17" t="s">
        <v>477</v>
      </c>
      <c r="K13205" s="18" t="s">
        <v>477</v>
      </c>
      <c r="N13205" s="17" t="str">
        <f>IFERROR(__xludf.DUMMYFUNCTION("""COMPUTED_VALUE"""),"")</f>
        <v/>
      </c>
      <c r="O13205" s="17"/>
    </row>
    <row r="13206">
      <c r="B13206" s="17" t="s">
        <v>477</v>
      </c>
      <c r="K13206" s="18" t="s">
        <v>477</v>
      </c>
      <c r="N13206" s="17" t="str">
        <f>IFERROR(__xludf.DUMMYFUNCTION("""COMPUTED_VALUE"""),"")</f>
        <v/>
      </c>
      <c r="O13206" s="17"/>
    </row>
    <row r="13207">
      <c r="B13207" s="17" t="s">
        <v>477</v>
      </c>
      <c r="K13207" s="18" t="s">
        <v>477</v>
      </c>
      <c r="N13207" s="17" t="str">
        <f>IFERROR(__xludf.DUMMYFUNCTION("""COMPUTED_VALUE"""),"")</f>
        <v/>
      </c>
      <c r="O13207" s="17"/>
    </row>
    <row r="13208">
      <c r="B13208" s="17" t="s">
        <v>477</v>
      </c>
      <c r="K13208" s="18" t="s">
        <v>477</v>
      </c>
      <c r="N13208" s="17" t="str">
        <f>IFERROR(__xludf.DUMMYFUNCTION("""COMPUTED_VALUE"""),"")</f>
        <v/>
      </c>
      <c r="O13208" s="17"/>
    </row>
    <row r="13209">
      <c r="B13209" s="17" t="s">
        <v>477</v>
      </c>
      <c r="K13209" s="18" t="s">
        <v>477</v>
      </c>
      <c r="N13209" s="17" t="str">
        <f>IFERROR(__xludf.DUMMYFUNCTION("""COMPUTED_VALUE"""),"")</f>
        <v/>
      </c>
      <c r="O13209" s="17"/>
    </row>
    <row r="13210">
      <c r="B13210" s="17" t="s">
        <v>477</v>
      </c>
      <c r="K13210" s="18" t="s">
        <v>477</v>
      </c>
      <c r="N13210" s="17" t="str">
        <f>IFERROR(__xludf.DUMMYFUNCTION("""COMPUTED_VALUE"""),"")</f>
        <v/>
      </c>
      <c r="O13210" s="17"/>
    </row>
    <row r="13211">
      <c r="B13211" s="17" t="s">
        <v>477</v>
      </c>
      <c r="K13211" s="18" t="s">
        <v>477</v>
      </c>
      <c r="N13211" s="17" t="str">
        <f>IFERROR(__xludf.DUMMYFUNCTION("""COMPUTED_VALUE"""),"")</f>
        <v/>
      </c>
      <c r="O13211" s="17"/>
    </row>
    <row r="13212">
      <c r="B13212" s="17" t="s">
        <v>477</v>
      </c>
      <c r="K13212" s="18" t="s">
        <v>477</v>
      </c>
      <c r="N13212" s="17" t="str">
        <f>IFERROR(__xludf.DUMMYFUNCTION("""COMPUTED_VALUE"""),"")</f>
        <v/>
      </c>
      <c r="O13212" s="17"/>
    </row>
    <row r="13213">
      <c r="B13213" s="17" t="s">
        <v>477</v>
      </c>
      <c r="K13213" s="18" t="s">
        <v>477</v>
      </c>
      <c r="N13213" s="17" t="str">
        <f>IFERROR(__xludf.DUMMYFUNCTION("""COMPUTED_VALUE"""),"")</f>
        <v/>
      </c>
      <c r="O13213" s="17"/>
    </row>
    <row r="13214">
      <c r="B13214" s="17" t="s">
        <v>477</v>
      </c>
      <c r="K13214" s="18" t="s">
        <v>477</v>
      </c>
      <c r="N13214" s="17" t="str">
        <f>IFERROR(__xludf.DUMMYFUNCTION("""COMPUTED_VALUE"""),"")</f>
        <v/>
      </c>
      <c r="O13214" s="17"/>
    </row>
    <row r="13215">
      <c r="B13215" s="17" t="s">
        <v>477</v>
      </c>
      <c r="K13215" s="18" t="s">
        <v>477</v>
      </c>
      <c r="N13215" s="17" t="str">
        <f>IFERROR(__xludf.DUMMYFUNCTION("""COMPUTED_VALUE"""),"")</f>
        <v/>
      </c>
      <c r="O13215" s="17"/>
    </row>
    <row r="13216">
      <c r="B13216" s="17" t="s">
        <v>477</v>
      </c>
      <c r="K13216" s="18" t="s">
        <v>477</v>
      </c>
      <c r="N13216" s="17" t="str">
        <f>IFERROR(__xludf.DUMMYFUNCTION("""COMPUTED_VALUE"""),"")</f>
        <v/>
      </c>
      <c r="O13216" s="17"/>
    </row>
    <row r="13217">
      <c r="B13217" s="17" t="s">
        <v>477</v>
      </c>
      <c r="K13217" s="18" t="s">
        <v>477</v>
      </c>
      <c r="N13217" s="17" t="str">
        <f>IFERROR(__xludf.DUMMYFUNCTION("""COMPUTED_VALUE"""),"")</f>
        <v/>
      </c>
      <c r="O13217" s="17"/>
    </row>
    <row r="13218">
      <c r="B13218" s="17" t="s">
        <v>477</v>
      </c>
      <c r="K13218" s="18" t="s">
        <v>477</v>
      </c>
      <c r="N13218" s="17" t="str">
        <f>IFERROR(__xludf.DUMMYFUNCTION("""COMPUTED_VALUE"""),"")</f>
        <v/>
      </c>
      <c r="O13218" s="17"/>
    </row>
    <row r="13219">
      <c r="B13219" s="17" t="s">
        <v>477</v>
      </c>
      <c r="K13219" s="18" t="s">
        <v>477</v>
      </c>
      <c r="N13219" s="17" t="str">
        <f>IFERROR(__xludf.DUMMYFUNCTION("""COMPUTED_VALUE"""),"")</f>
        <v/>
      </c>
      <c r="O13219" s="17"/>
    </row>
    <row r="13220">
      <c r="B13220" s="17" t="s">
        <v>477</v>
      </c>
      <c r="K13220" s="18" t="s">
        <v>477</v>
      </c>
      <c r="N13220" s="17" t="str">
        <f>IFERROR(__xludf.DUMMYFUNCTION("""COMPUTED_VALUE"""),"")</f>
        <v/>
      </c>
      <c r="O13220" s="17"/>
    </row>
    <row r="13221">
      <c r="B13221" s="17" t="s">
        <v>477</v>
      </c>
      <c r="K13221" s="18" t="s">
        <v>477</v>
      </c>
      <c r="N13221" s="17" t="str">
        <f>IFERROR(__xludf.DUMMYFUNCTION("""COMPUTED_VALUE"""),"")</f>
        <v/>
      </c>
      <c r="O13221" s="17"/>
    </row>
    <row r="13222">
      <c r="B13222" s="17" t="s">
        <v>477</v>
      </c>
      <c r="K13222" s="18" t="s">
        <v>477</v>
      </c>
      <c r="N13222" s="17" t="str">
        <f>IFERROR(__xludf.DUMMYFUNCTION("""COMPUTED_VALUE"""),"")</f>
        <v/>
      </c>
      <c r="O13222" s="17"/>
    </row>
    <row r="13223">
      <c r="B13223" s="17" t="s">
        <v>477</v>
      </c>
      <c r="K13223" s="18" t="s">
        <v>477</v>
      </c>
      <c r="N13223" s="17" t="str">
        <f>IFERROR(__xludf.DUMMYFUNCTION("""COMPUTED_VALUE"""),"")</f>
        <v/>
      </c>
      <c r="O13223" s="17"/>
    </row>
    <row r="13224">
      <c r="B13224" s="17" t="s">
        <v>477</v>
      </c>
      <c r="K13224" s="18" t="s">
        <v>477</v>
      </c>
      <c r="N13224" s="17" t="str">
        <f>IFERROR(__xludf.DUMMYFUNCTION("""COMPUTED_VALUE"""),"")</f>
        <v/>
      </c>
      <c r="O13224" s="17"/>
    </row>
    <row r="13225">
      <c r="B13225" s="17" t="s">
        <v>477</v>
      </c>
      <c r="K13225" s="18" t="s">
        <v>477</v>
      </c>
      <c r="N13225" s="17" t="str">
        <f>IFERROR(__xludf.DUMMYFUNCTION("""COMPUTED_VALUE"""),"")</f>
        <v/>
      </c>
      <c r="O13225" s="17"/>
    </row>
    <row r="13226">
      <c r="B13226" s="17" t="s">
        <v>477</v>
      </c>
      <c r="K13226" s="18" t="s">
        <v>477</v>
      </c>
      <c r="N13226" s="17" t="str">
        <f>IFERROR(__xludf.DUMMYFUNCTION("""COMPUTED_VALUE"""),"")</f>
        <v/>
      </c>
      <c r="O13226" s="17"/>
    </row>
    <row r="13227">
      <c r="B13227" s="17" t="s">
        <v>477</v>
      </c>
      <c r="K13227" s="18" t="s">
        <v>477</v>
      </c>
      <c r="N13227" s="17" t="str">
        <f>IFERROR(__xludf.DUMMYFUNCTION("""COMPUTED_VALUE"""),"")</f>
        <v/>
      </c>
      <c r="O13227" s="17"/>
    </row>
    <row r="13228">
      <c r="B13228" s="17" t="s">
        <v>477</v>
      </c>
      <c r="K13228" s="18" t="s">
        <v>477</v>
      </c>
      <c r="N13228" s="17" t="str">
        <f>IFERROR(__xludf.DUMMYFUNCTION("""COMPUTED_VALUE"""),"")</f>
        <v/>
      </c>
      <c r="O13228" s="17"/>
    </row>
    <row r="13229">
      <c r="B13229" s="17" t="s">
        <v>477</v>
      </c>
      <c r="K13229" s="18" t="s">
        <v>477</v>
      </c>
      <c r="N13229" s="17" t="str">
        <f>IFERROR(__xludf.DUMMYFUNCTION("""COMPUTED_VALUE"""),"")</f>
        <v/>
      </c>
      <c r="O13229" s="17"/>
    </row>
    <row r="13230">
      <c r="B13230" s="17" t="s">
        <v>477</v>
      </c>
      <c r="K13230" s="18" t="s">
        <v>477</v>
      </c>
      <c r="N13230" s="17" t="str">
        <f>IFERROR(__xludf.DUMMYFUNCTION("""COMPUTED_VALUE"""),"")</f>
        <v/>
      </c>
      <c r="O13230" s="17"/>
    </row>
    <row r="13231">
      <c r="B13231" s="17" t="s">
        <v>477</v>
      </c>
      <c r="K13231" s="18" t="s">
        <v>477</v>
      </c>
      <c r="N13231" s="17" t="str">
        <f>IFERROR(__xludf.DUMMYFUNCTION("""COMPUTED_VALUE"""),"")</f>
        <v/>
      </c>
      <c r="O13231" s="17"/>
    </row>
    <row r="13232">
      <c r="B13232" s="17" t="s">
        <v>477</v>
      </c>
      <c r="K13232" s="18" t="s">
        <v>477</v>
      </c>
      <c r="N13232" s="17" t="str">
        <f>IFERROR(__xludf.DUMMYFUNCTION("""COMPUTED_VALUE"""),"")</f>
        <v/>
      </c>
      <c r="O13232" s="17"/>
    </row>
    <row r="13233">
      <c r="B13233" s="17" t="s">
        <v>477</v>
      </c>
      <c r="K13233" s="18" t="s">
        <v>477</v>
      </c>
      <c r="N13233" s="17" t="str">
        <f>IFERROR(__xludf.DUMMYFUNCTION("""COMPUTED_VALUE"""),"")</f>
        <v/>
      </c>
      <c r="O13233" s="17"/>
    </row>
    <row r="13234">
      <c r="B13234" s="17" t="s">
        <v>477</v>
      </c>
      <c r="K13234" s="18" t="s">
        <v>477</v>
      </c>
      <c r="N13234" s="17" t="str">
        <f>IFERROR(__xludf.DUMMYFUNCTION("""COMPUTED_VALUE"""),"")</f>
        <v/>
      </c>
      <c r="O13234" s="17"/>
    </row>
    <row r="13235">
      <c r="B13235" s="17" t="s">
        <v>477</v>
      </c>
      <c r="K13235" s="18" t="s">
        <v>477</v>
      </c>
      <c r="N13235" s="17" t="str">
        <f>IFERROR(__xludf.DUMMYFUNCTION("""COMPUTED_VALUE"""),"")</f>
        <v/>
      </c>
      <c r="O13235" s="17"/>
    </row>
    <row r="13236">
      <c r="B13236" s="17" t="s">
        <v>477</v>
      </c>
      <c r="K13236" s="18" t="s">
        <v>477</v>
      </c>
      <c r="N13236" s="17" t="str">
        <f>IFERROR(__xludf.DUMMYFUNCTION("""COMPUTED_VALUE"""),"")</f>
        <v/>
      </c>
      <c r="O13236" s="17"/>
    </row>
    <row r="13237">
      <c r="B13237" s="17" t="s">
        <v>477</v>
      </c>
      <c r="K13237" s="18" t="s">
        <v>477</v>
      </c>
      <c r="N13237" s="17" t="str">
        <f>IFERROR(__xludf.DUMMYFUNCTION("""COMPUTED_VALUE"""),"")</f>
        <v/>
      </c>
      <c r="O13237" s="17"/>
    </row>
    <row r="13238">
      <c r="B13238" s="17" t="s">
        <v>477</v>
      </c>
      <c r="K13238" s="18" t="s">
        <v>477</v>
      </c>
      <c r="N13238" s="17" t="str">
        <f>IFERROR(__xludf.DUMMYFUNCTION("""COMPUTED_VALUE"""),"")</f>
        <v/>
      </c>
      <c r="O13238" s="17"/>
    </row>
    <row r="13239">
      <c r="B13239" s="17" t="s">
        <v>477</v>
      </c>
      <c r="K13239" s="18" t="s">
        <v>477</v>
      </c>
      <c r="N13239" s="17" t="str">
        <f>IFERROR(__xludf.DUMMYFUNCTION("""COMPUTED_VALUE"""),"")</f>
        <v/>
      </c>
      <c r="O13239" s="17"/>
    </row>
    <row r="13240">
      <c r="B13240" s="17" t="s">
        <v>477</v>
      </c>
      <c r="K13240" s="18" t="s">
        <v>477</v>
      </c>
      <c r="N13240" s="17" t="str">
        <f>IFERROR(__xludf.DUMMYFUNCTION("""COMPUTED_VALUE"""),"")</f>
        <v/>
      </c>
      <c r="O13240" s="17"/>
    </row>
    <row r="13241">
      <c r="B13241" s="17" t="s">
        <v>477</v>
      </c>
      <c r="K13241" s="18" t="s">
        <v>477</v>
      </c>
      <c r="N13241" s="17" t="str">
        <f>IFERROR(__xludf.DUMMYFUNCTION("""COMPUTED_VALUE"""),"")</f>
        <v/>
      </c>
      <c r="O13241" s="17"/>
    </row>
    <row r="13242">
      <c r="B13242" s="17" t="s">
        <v>477</v>
      </c>
      <c r="K13242" s="18" t="s">
        <v>477</v>
      </c>
      <c r="N13242" s="17" t="str">
        <f>IFERROR(__xludf.DUMMYFUNCTION("""COMPUTED_VALUE"""),"")</f>
        <v/>
      </c>
      <c r="O13242" s="17"/>
    </row>
    <row r="13243">
      <c r="B13243" s="17" t="s">
        <v>477</v>
      </c>
      <c r="K13243" s="18" t="s">
        <v>477</v>
      </c>
      <c r="N13243" s="17" t="str">
        <f>IFERROR(__xludf.DUMMYFUNCTION("""COMPUTED_VALUE"""),"")</f>
        <v/>
      </c>
      <c r="O13243" s="17"/>
    </row>
    <row r="13244">
      <c r="B13244" s="17" t="s">
        <v>477</v>
      </c>
      <c r="K13244" s="18" t="s">
        <v>477</v>
      </c>
      <c r="N13244" s="17" t="str">
        <f>IFERROR(__xludf.DUMMYFUNCTION("""COMPUTED_VALUE"""),"")</f>
        <v/>
      </c>
      <c r="O13244" s="17"/>
    </row>
    <row r="13245">
      <c r="B13245" s="17" t="s">
        <v>477</v>
      </c>
      <c r="K13245" s="18" t="s">
        <v>477</v>
      </c>
      <c r="N13245" s="17" t="str">
        <f>IFERROR(__xludf.DUMMYFUNCTION("""COMPUTED_VALUE"""),"")</f>
        <v/>
      </c>
      <c r="O13245" s="17"/>
    </row>
    <row r="13246">
      <c r="B13246" s="17" t="s">
        <v>477</v>
      </c>
      <c r="K13246" s="18" t="s">
        <v>477</v>
      </c>
      <c r="N13246" s="17" t="str">
        <f>IFERROR(__xludf.DUMMYFUNCTION("""COMPUTED_VALUE"""),"")</f>
        <v/>
      </c>
      <c r="O13246" s="17"/>
    </row>
    <row r="13247">
      <c r="B13247" s="17" t="s">
        <v>477</v>
      </c>
      <c r="K13247" s="18" t="s">
        <v>477</v>
      </c>
      <c r="N13247" s="17" t="str">
        <f>IFERROR(__xludf.DUMMYFUNCTION("""COMPUTED_VALUE"""),"")</f>
        <v/>
      </c>
      <c r="O13247" s="17"/>
    </row>
    <row r="13248">
      <c r="B13248" s="17" t="s">
        <v>477</v>
      </c>
      <c r="K13248" s="18" t="s">
        <v>477</v>
      </c>
      <c r="N13248" s="17" t="str">
        <f>IFERROR(__xludf.DUMMYFUNCTION("""COMPUTED_VALUE"""),"")</f>
        <v/>
      </c>
      <c r="O13248" s="17"/>
    </row>
    <row r="13249">
      <c r="B13249" s="17" t="s">
        <v>477</v>
      </c>
      <c r="K13249" s="18" t="s">
        <v>477</v>
      </c>
      <c r="N13249" s="17" t="str">
        <f>IFERROR(__xludf.DUMMYFUNCTION("""COMPUTED_VALUE"""),"")</f>
        <v/>
      </c>
      <c r="O13249" s="17"/>
    </row>
    <row r="13250">
      <c r="B13250" s="17" t="s">
        <v>477</v>
      </c>
      <c r="K13250" s="18" t="s">
        <v>477</v>
      </c>
      <c r="N13250" s="17" t="str">
        <f>IFERROR(__xludf.DUMMYFUNCTION("""COMPUTED_VALUE"""),"")</f>
        <v/>
      </c>
      <c r="O13250" s="17"/>
    </row>
    <row r="13251">
      <c r="B13251" s="17" t="s">
        <v>477</v>
      </c>
      <c r="K13251" s="18" t="s">
        <v>477</v>
      </c>
      <c r="N13251" s="17" t="str">
        <f>IFERROR(__xludf.DUMMYFUNCTION("""COMPUTED_VALUE"""),"")</f>
        <v/>
      </c>
      <c r="O13251" s="17"/>
    </row>
    <row r="13252">
      <c r="B13252" s="17" t="s">
        <v>477</v>
      </c>
      <c r="K13252" s="18" t="s">
        <v>477</v>
      </c>
      <c r="N13252" s="17" t="str">
        <f>IFERROR(__xludf.DUMMYFUNCTION("""COMPUTED_VALUE"""),"")</f>
        <v/>
      </c>
      <c r="O13252" s="17"/>
    </row>
    <row r="13253">
      <c r="B13253" s="17" t="s">
        <v>477</v>
      </c>
      <c r="K13253" s="18" t="s">
        <v>477</v>
      </c>
      <c r="N13253" s="17" t="str">
        <f>IFERROR(__xludf.DUMMYFUNCTION("""COMPUTED_VALUE"""),"")</f>
        <v/>
      </c>
      <c r="O13253" s="17"/>
    </row>
    <row r="13254">
      <c r="B13254" s="17" t="s">
        <v>477</v>
      </c>
      <c r="K13254" s="18" t="s">
        <v>477</v>
      </c>
      <c r="N13254" s="17" t="str">
        <f>IFERROR(__xludf.DUMMYFUNCTION("""COMPUTED_VALUE"""),"")</f>
        <v/>
      </c>
      <c r="O13254" s="17"/>
    </row>
    <row r="13255">
      <c r="B13255" s="17" t="s">
        <v>477</v>
      </c>
      <c r="K13255" s="18" t="s">
        <v>477</v>
      </c>
      <c r="N13255" s="17" t="str">
        <f>IFERROR(__xludf.DUMMYFUNCTION("""COMPUTED_VALUE"""),"")</f>
        <v/>
      </c>
      <c r="O13255" s="17"/>
    </row>
    <row r="13256">
      <c r="B13256" s="17" t="s">
        <v>477</v>
      </c>
      <c r="K13256" s="18" t="s">
        <v>477</v>
      </c>
      <c r="N13256" s="17" t="str">
        <f>IFERROR(__xludf.DUMMYFUNCTION("""COMPUTED_VALUE"""),"")</f>
        <v/>
      </c>
      <c r="O13256" s="17"/>
    </row>
    <row r="13257">
      <c r="B13257" s="17" t="s">
        <v>477</v>
      </c>
      <c r="K13257" s="18" t="s">
        <v>477</v>
      </c>
      <c r="N13257" s="17" t="str">
        <f>IFERROR(__xludf.DUMMYFUNCTION("""COMPUTED_VALUE"""),"")</f>
        <v/>
      </c>
      <c r="O13257" s="17"/>
    </row>
    <row r="13258">
      <c r="B13258" s="17" t="s">
        <v>477</v>
      </c>
      <c r="K13258" s="18" t="s">
        <v>477</v>
      </c>
      <c r="N13258" s="17" t="str">
        <f>IFERROR(__xludf.DUMMYFUNCTION("""COMPUTED_VALUE"""),"")</f>
        <v/>
      </c>
      <c r="O13258" s="17"/>
    </row>
    <row r="13259">
      <c r="B13259" s="17" t="s">
        <v>477</v>
      </c>
      <c r="K13259" s="18" t="s">
        <v>477</v>
      </c>
      <c r="N13259" s="17" t="str">
        <f>IFERROR(__xludf.DUMMYFUNCTION("""COMPUTED_VALUE"""),"")</f>
        <v/>
      </c>
      <c r="O13259" s="17"/>
    </row>
    <row r="13260">
      <c r="B13260" s="17" t="s">
        <v>477</v>
      </c>
      <c r="K13260" s="18" t="s">
        <v>477</v>
      </c>
      <c r="N13260" s="17" t="str">
        <f>IFERROR(__xludf.DUMMYFUNCTION("""COMPUTED_VALUE"""),"")</f>
        <v/>
      </c>
      <c r="O13260" s="17"/>
    </row>
    <row r="13261">
      <c r="B13261" s="17" t="s">
        <v>477</v>
      </c>
      <c r="K13261" s="18" t="s">
        <v>477</v>
      </c>
      <c r="N13261" s="17" t="str">
        <f>IFERROR(__xludf.DUMMYFUNCTION("""COMPUTED_VALUE"""),"")</f>
        <v/>
      </c>
      <c r="O13261" s="17"/>
    </row>
    <row r="13262">
      <c r="B13262" s="17" t="s">
        <v>477</v>
      </c>
      <c r="K13262" s="18" t="s">
        <v>477</v>
      </c>
      <c r="N13262" s="17" t="str">
        <f>IFERROR(__xludf.DUMMYFUNCTION("""COMPUTED_VALUE"""),"")</f>
        <v/>
      </c>
      <c r="O13262" s="17"/>
    </row>
    <row r="13263">
      <c r="B13263" s="17" t="s">
        <v>477</v>
      </c>
      <c r="K13263" s="18" t="s">
        <v>477</v>
      </c>
      <c r="N13263" s="17" t="str">
        <f>IFERROR(__xludf.DUMMYFUNCTION("""COMPUTED_VALUE"""),"")</f>
        <v/>
      </c>
      <c r="O13263" s="17"/>
    </row>
    <row r="13264">
      <c r="B13264" s="17" t="s">
        <v>477</v>
      </c>
      <c r="K13264" s="18" t="s">
        <v>477</v>
      </c>
      <c r="N13264" s="17" t="str">
        <f>IFERROR(__xludf.DUMMYFUNCTION("""COMPUTED_VALUE"""),"")</f>
        <v/>
      </c>
      <c r="O13264" s="17"/>
    </row>
    <row r="13265">
      <c r="B13265" s="17" t="s">
        <v>477</v>
      </c>
      <c r="K13265" s="18" t="s">
        <v>477</v>
      </c>
      <c r="N13265" s="17" t="str">
        <f>IFERROR(__xludf.DUMMYFUNCTION("""COMPUTED_VALUE"""),"")</f>
        <v/>
      </c>
      <c r="O13265" s="17"/>
    </row>
    <row r="13266">
      <c r="B13266" s="17" t="s">
        <v>477</v>
      </c>
      <c r="K13266" s="18" t="s">
        <v>477</v>
      </c>
      <c r="N13266" s="17" t="str">
        <f>IFERROR(__xludf.DUMMYFUNCTION("""COMPUTED_VALUE"""),"")</f>
        <v/>
      </c>
      <c r="O13266" s="17"/>
    </row>
    <row r="13267">
      <c r="B13267" s="17" t="s">
        <v>477</v>
      </c>
      <c r="K13267" s="18" t="s">
        <v>477</v>
      </c>
      <c r="N13267" s="17" t="str">
        <f>IFERROR(__xludf.DUMMYFUNCTION("""COMPUTED_VALUE"""),"")</f>
        <v/>
      </c>
      <c r="O13267" s="17"/>
    </row>
    <row r="13268">
      <c r="B13268" s="17" t="s">
        <v>477</v>
      </c>
      <c r="K13268" s="18" t="s">
        <v>477</v>
      </c>
      <c r="N13268" s="17" t="str">
        <f>IFERROR(__xludf.DUMMYFUNCTION("""COMPUTED_VALUE"""),"")</f>
        <v/>
      </c>
      <c r="O13268" s="17"/>
    </row>
    <row r="13269">
      <c r="B13269" s="17" t="s">
        <v>477</v>
      </c>
      <c r="K13269" s="18" t="s">
        <v>477</v>
      </c>
      <c r="N13269" s="17" t="str">
        <f>IFERROR(__xludf.DUMMYFUNCTION("""COMPUTED_VALUE"""),"")</f>
        <v/>
      </c>
      <c r="O13269" s="17"/>
    </row>
    <row r="13270">
      <c r="B13270" s="17" t="s">
        <v>477</v>
      </c>
      <c r="K13270" s="18" t="s">
        <v>477</v>
      </c>
      <c r="N13270" s="17" t="str">
        <f>IFERROR(__xludf.DUMMYFUNCTION("""COMPUTED_VALUE"""),"")</f>
        <v/>
      </c>
      <c r="O13270" s="17"/>
    </row>
    <row r="13271">
      <c r="B13271" s="17" t="s">
        <v>477</v>
      </c>
      <c r="K13271" s="18" t="s">
        <v>477</v>
      </c>
      <c r="N13271" s="17" t="str">
        <f>IFERROR(__xludf.DUMMYFUNCTION("""COMPUTED_VALUE"""),"")</f>
        <v/>
      </c>
      <c r="O13271" s="17"/>
    </row>
    <row r="13272">
      <c r="B13272" s="17" t="s">
        <v>477</v>
      </c>
      <c r="K13272" s="18" t="s">
        <v>477</v>
      </c>
      <c r="N13272" s="17" t="str">
        <f>IFERROR(__xludf.DUMMYFUNCTION("""COMPUTED_VALUE"""),"")</f>
        <v/>
      </c>
      <c r="O13272" s="17"/>
    </row>
    <row r="13273">
      <c r="B13273" s="17" t="s">
        <v>477</v>
      </c>
      <c r="K13273" s="18" t="s">
        <v>477</v>
      </c>
      <c r="N13273" s="17" t="str">
        <f>IFERROR(__xludf.DUMMYFUNCTION("""COMPUTED_VALUE"""),"")</f>
        <v/>
      </c>
      <c r="O13273" s="17"/>
    </row>
    <row r="13274">
      <c r="B13274" s="17" t="s">
        <v>477</v>
      </c>
      <c r="K13274" s="18" t="s">
        <v>477</v>
      </c>
      <c r="N13274" s="17" t="str">
        <f>IFERROR(__xludf.DUMMYFUNCTION("""COMPUTED_VALUE"""),"")</f>
        <v/>
      </c>
      <c r="O13274" s="17"/>
    </row>
    <row r="13275">
      <c r="B13275" s="17" t="s">
        <v>477</v>
      </c>
      <c r="K13275" s="18" t="s">
        <v>477</v>
      </c>
      <c r="N13275" s="17" t="str">
        <f>IFERROR(__xludf.DUMMYFUNCTION("""COMPUTED_VALUE"""),"")</f>
        <v/>
      </c>
      <c r="O13275" s="17"/>
    </row>
    <row r="13276">
      <c r="B13276" s="17" t="s">
        <v>477</v>
      </c>
      <c r="K13276" s="18" t="s">
        <v>477</v>
      </c>
      <c r="N13276" s="17" t="str">
        <f>IFERROR(__xludf.DUMMYFUNCTION("""COMPUTED_VALUE"""),"")</f>
        <v/>
      </c>
      <c r="O13276" s="17"/>
    </row>
    <row r="13277">
      <c r="B13277" s="17" t="s">
        <v>477</v>
      </c>
      <c r="K13277" s="18" t="s">
        <v>477</v>
      </c>
      <c r="N13277" s="17" t="str">
        <f>IFERROR(__xludf.DUMMYFUNCTION("""COMPUTED_VALUE"""),"")</f>
        <v/>
      </c>
      <c r="O13277" s="17"/>
    </row>
    <row r="13278">
      <c r="B13278" s="17" t="s">
        <v>477</v>
      </c>
      <c r="K13278" s="18" t="s">
        <v>477</v>
      </c>
      <c r="N13278" s="17" t="str">
        <f>IFERROR(__xludf.DUMMYFUNCTION("""COMPUTED_VALUE"""),"")</f>
        <v/>
      </c>
      <c r="O13278" s="17"/>
    </row>
    <row r="13279">
      <c r="B13279" s="17" t="s">
        <v>477</v>
      </c>
      <c r="K13279" s="18" t="s">
        <v>477</v>
      </c>
      <c r="N13279" s="17" t="str">
        <f>IFERROR(__xludf.DUMMYFUNCTION("""COMPUTED_VALUE"""),"")</f>
        <v/>
      </c>
      <c r="O13279" s="17"/>
    </row>
    <row r="13280">
      <c r="B13280" s="17" t="s">
        <v>477</v>
      </c>
      <c r="K13280" s="18" t="s">
        <v>477</v>
      </c>
      <c r="N13280" s="17" t="str">
        <f>IFERROR(__xludf.DUMMYFUNCTION("""COMPUTED_VALUE"""),"")</f>
        <v/>
      </c>
      <c r="O13280" s="17"/>
    </row>
    <row r="13281">
      <c r="B13281" s="17" t="s">
        <v>477</v>
      </c>
      <c r="K13281" s="18" t="s">
        <v>477</v>
      </c>
      <c r="N13281" s="17" t="str">
        <f>IFERROR(__xludf.DUMMYFUNCTION("""COMPUTED_VALUE"""),"")</f>
        <v/>
      </c>
      <c r="O13281" s="17"/>
    </row>
    <row r="13282">
      <c r="B13282" s="17" t="s">
        <v>477</v>
      </c>
      <c r="K13282" s="18" t="s">
        <v>477</v>
      </c>
      <c r="N13282" s="17" t="str">
        <f>IFERROR(__xludf.DUMMYFUNCTION("""COMPUTED_VALUE"""),"")</f>
        <v/>
      </c>
      <c r="O13282" s="17"/>
    </row>
    <row r="13283">
      <c r="B13283" s="17" t="s">
        <v>477</v>
      </c>
      <c r="K13283" s="18" t="s">
        <v>477</v>
      </c>
      <c r="N13283" s="17" t="str">
        <f>IFERROR(__xludf.DUMMYFUNCTION("""COMPUTED_VALUE"""),"")</f>
        <v/>
      </c>
      <c r="O13283" s="17"/>
    </row>
    <row r="13284">
      <c r="B13284" s="17" t="s">
        <v>477</v>
      </c>
      <c r="K13284" s="18" t="s">
        <v>477</v>
      </c>
      <c r="N13284" s="17" t="str">
        <f>IFERROR(__xludf.DUMMYFUNCTION("""COMPUTED_VALUE"""),"")</f>
        <v/>
      </c>
      <c r="O13284" s="17"/>
    </row>
    <row r="13285">
      <c r="B13285" s="17" t="s">
        <v>477</v>
      </c>
      <c r="K13285" s="18" t="s">
        <v>477</v>
      </c>
      <c r="N13285" s="17" t="str">
        <f>IFERROR(__xludf.DUMMYFUNCTION("""COMPUTED_VALUE"""),"")</f>
        <v/>
      </c>
      <c r="O13285" s="17"/>
    </row>
    <row r="13286">
      <c r="B13286" s="17" t="s">
        <v>477</v>
      </c>
      <c r="K13286" s="18" t="s">
        <v>477</v>
      </c>
      <c r="N13286" s="17" t="str">
        <f>IFERROR(__xludf.DUMMYFUNCTION("""COMPUTED_VALUE"""),"")</f>
        <v/>
      </c>
      <c r="O13286" s="17"/>
    </row>
    <row r="13287">
      <c r="B13287" s="17" t="s">
        <v>477</v>
      </c>
      <c r="K13287" s="18" t="s">
        <v>477</v>
      </c>
      <c r="N13287" s="17" t="str">
        <f>IFERROR(__xludf.DUMMYFUNCTION("""COMPUTED_VALUE"""),"")</f>
        <v/>
      </c>
      <c r="O13287" s="17"/>
    </row>
    <row r="13288">
      <c r="B13288" s="17" t="s">
        <v>477</v>
      </c>
      <c r="K13288" s="18" t="s">
        <v>477</v>
      </c>
      <c r="N13288" s="17" t="str">
        <f>IFERROR(__xludf.DUMMYFUNCTION("""COMPUTED_VALUE"""),"")</f>
        <v/>
      </c>
      <c r="O13288" s="17"/>
    </row>
    <row r="13289">
      <c r="B13289" s="17" t="s">
        <v>477</v>
      </c>
      <c r="K13289" s="18" t="s">
        <v>477</v>
      </c>
      <c r="N13289" s="17" t="str">
        <f>IFERROR(__xludf.DUMMYFUNCTION("""COMPUTED_VALUE"""),"")</f>
        <v/>
      </c>
      <c r="O13289" s="17"/>
    </row>
    <row r="13290">
      <c r="B13290" s="17" t="s">
        <v>477</v>
      </c>
      <c r="K13290" s="18" t="s">
        <v>477</v>
      </c>
      <c r="N13290" s="17" t="str">
        <f>IFERROR(__xludf.DUMMYFUNCTION("""COMPUTED_VALUE"""),"")</f>
        <v/>
      </c>
      <c r="O13290" s="17"/>
    </row>
    <row r="13291">
      <c r="B13291" s="17" t="s">
        <v>477</v>
      </c>
      <c r="K13291" s="18" t="s">
        <v>477</v>
      </c>
      <c r="N13291" s="17" t="str">
        <f>IFERROR(__xludf.DUMMYFUNCTION("""COMPUTED_VALUE"""),"")</f>
        <v/>
      </c>
      <c r="O13291" s="17"/>
    </row>
    <row r="13292">
      <c r="B13292" s="17" t="s">
        <v>477</v>
      </c>
      <c r="K13292" s="18" t="s">
        <v>477</v>
      </c>
      <c r="N13292" s="17" t="str">
        <f>IFERROR(__xludf.DUMMYFUNCTION("""COMPUTED_VALUE"""),"")</f>
        <v/>
      </c>
      <c r="O13292" s="17"/>
    </row>
    <row r="13293">
      <c r="B13293" s="17" t="s">
        <v>477</v>
      </c>
      <c r="K13293" s="18" t="s">
        <v>477</v>
      </c>
      <c r="N13293" s="17" t="str">
        <f>IFERROR(__xludf.DUMMYFUNCTION("""COMPUTED_VALUE"""),"")</f>
        <v/>
      </c>
      <c r="O13293" s="17"/>
    </row>
    <row r="13294">
      <c r="B13294" s="17" t="s">
        <v>477</v>
      </c>
      <c r="K13294" s="18" t="s">
        <v>477</v>
      </c>
      <c r="N13294" s="17" t="str">
        <f>IFERROR(__xludf.DUMMYFUNCTION("""COMPUTED_VALUE"""),"")</f>
        <v/>
      </c>
      <c r="O13294" s="17"/>
    </row>
    <row r="13295">
      <c r="B13295" s="17" t="s">
        <v>477</v>
      </c>
      <c r="K13295" s="18" t="s">
        <v>477</v>
      </c>
      <c r="N13295" s="17" t="str">
        <f>IFERROR(__xludf.DUMMYFUNCTION("""COMPUTED_VALUE"""),"")</f>
        <v/>
      </c>
      <c r="O13295" s="17"/>
    </row>
    <row r="13296">
      <c r="B13296" s="17" t="s">
        <v>477</v>
      </c>
      <c r="K13296" s="18" t="s">
        <v>477</v>
      </c>
      <c r="N13296" s="17" t="str">
        <f>IFERROR(__xludf.DUMMYFUNCTION("""COMPUTED_VALUE"""),"")</f>
        <v/>
      </c>
      <c r="O13296" s="17"/>
    </row>
    <row r="13297">
      <c r="B13297" s="17" t="s">
        <v>477</v>
      </c>
      <c r="K13297" s="18" t="s">
        <v>477</v>
      </c>
      <c r="N13297" s="17" t="str">
        <f>IFERROR(__xludf.DUMMYFUNCTION("""COMPUTED_VALUE"""),"")</f>
        <v/>
      </c>
      <c r="O13297" s="17"/>
    </row>
    <row r="13298">
      <c r="B13298" s="17" t="s">
        <v>477</v>
      </c>
      <c r="K13298" s="18" t="s">
        <v>477</v>
      </c>
      <c r="N13298" s="17" t="str">
        <f>IFERROR(__xludf.DUMMYFUNCTION("""COMPUTED_VALUE"""),"")</f>
        <v/>
      </c>
      <c r="O13298" s="17"/>
    </row>
    <row r="13299">
      <c r="B13299" s="17" t="s">
        <v>477</v>
      </c>
      <c r="K13299" s="18" t="s">
        <v>477</v>
      </c>
      <c r="N13299" s="17" t="str">
        <f>IFERROR(__xludf.DUMMYFUNCTION("""COMPUTED_VALUE"""),"")</f>
        <v/>
      </c>
      <c r="O13299" s="17"/>
    </row>
    <row r="13300">
      <c r="B13300" s="17" t="s">
        <v>477</v>
      </c>
      <c r="K13300" s="18" t="s">
        <v>477</v>
      </c>
      <c r="N13300" s="17" t="str">
        <f>IFERROR(__xludf.DUMMYFUNCTION("""COMPUTED_VALUE"""),"")</f>
        <v/>
      </c>
      <c r="O13300" s="17"/>
    </row>
    <row r="13301">
      <c r="B13301" s="17" t="s">
        <v>477</v>
      </c>
      <c r="K13301" s="18" t="s">
        <v>477</v>
      </c>
      <c r="N13301" s="17" t="str">
        <f>IFERROR(__xludf.DUMMYFUNCTION("""COMPUTED_VALUE"""),"")</f>
        <v/>
      </c>
      <c r="O13301" s="17"/>
    </row>
    <row r="13302">
      <c r="B13302" s="17" t="s">
        <v>477</v>
      </c>
      <c r="K13302" s="18" t="s">
        <v>477</v>
      </c>
      <c r="N13302" s="17" t="str">
        <f>IFERROR(__xludf.DUMMYFUNCTION("""COMPUTED_VALUE"""),"")</f>
        <v/>
      </c>
      <c r="O13302" s="17"/>
    </row>
    <row r="13303">
      <c r="B13303" s="17" t="s">
        <v>477</v>
      </c>
      <c r="K13303" s="18" t="s">
        <v>477</v>
      </c>
      <c r="N13303" s="17" t="str">
        <f>IFERROR(__xludf.DUMMYFUNCTION("""COMPUTED_VALUE"""),"")</f>
        <v/>
      </c>
      <c r="O13303" s="17"/>
    </row>
    <row r="13304">
      <c r="B13304" s="17" t="s">
        <v>477</v>
      </c>
      <c r="K13304" s="18" t="s">
        <v>477</v>
      </c>
      <c r="N13304" s="17" t="str">
        <f>IFERROR(__xludf.DUMMYFUNCTION("""COMPUTED_VALUE"""),"")</f>
        <v/>
      </c>
      <c r="O13304" s="17"/>
    </row>
    <row r="13305">
      <c r="B13305" s="17" t="s">
        <v>477</v>
      </c>
      <c r="K13305" s="18" t="s">
        <v>477</v>
      </c>
      <c r="N13305" s="17" t="str">
        <f>IFERROR(__xludf.DUMMYFUNCTION("""COMPUTED_VALUE"""),"")</f>
        <v/>
      </c>
      <c r="O13305" s="17"/>
    </row>
    <row r="13306">
      <c r="B13306" s="17" t="s">
        <v>477</v>
      </c>
      <c r="K13306" s="18" t="s">
        <v>477</v>
      </c>
      <c r="N13306" s="17" t="str">
        <f>IFERROR(__xludf.DUMMYFUNCTION("""COMPUTED_VALUE"""),"")</f>
        <v/>
      </c>
      <c r="O13306" s="17"/>
    </row>
    <row r="13307">
      <c r="B13307" s="17" t="s">
        <v>477</v>
      </c>
      <c r="K13307" s="18" t="s">
        <v>477</v>
      </c>
      <c r="N13307" s="17" t="str">
        <f>IFERROR(__xludf.DUMMYFUNCTION("""COMPUTED_VALUE"""),"")</f>
        <v/>
      </c>
      <c r="O13307" s="17"/>
    </row>
    <row r="13308">
      <c r="B13308" s="17" t="s">
        <v>477</v>
      </c>
      <c r="K13308" s="18" t="s">
        <v>477</v>
      </c>
      <c r="N13308" s="17" t="str">
        <f>IFERROR(__xludf.DUMMYFUNCTION("""COMPUTED_VALUE"""),"")</f>
        <v/>
      </c>
      <c r="O13308" s="17"/>
    </row>
    <row r="13309">
      <c r="B13309" s="17" t="s">
        <v>477</v>
      </c>
      <c r="K13309" s="18" t="s">
        <v>477</v>
      </c>
      <c r="N13309" s="17" t="str">
        <f>IFERROR(__xludf.DUMMYFUNCTION("""COMPUTED_VALUE"""),"")</f>
        <v/>
      </c>
      <c r="O13309" s="17"/>
    </row>
    <row r="13310">
      <c r="B13310" s="17" t="s">
        <v>477</v>
      </c>
      <c r="K13310" s="18" t="s">
        <v>477</v>
      </c>
      <c r="N13310" s="17" t="str">
        <f>IFERROR(__xludf.DUMMYFUNCTION("""COMPUTED_VALUE"""),"")</f>
        <v/>
      </c>
      <c r="O13310" s="17"/>
    </row>
    <row r="13311">
      <c r="B13311" s="17" t="s">
        <v>477</v>
      </c>
      <c r="K13311" s="18" t="s">
        <v>477</v>
      </c>
      <c r="N13311" s="17" t="str">
        <f>IFERROR(__xludf.DUMMYFUNCTION("""COMPUTED_VALUE"""),"")</f>
        <v/>
      </c>
      <c r="O13311" s="17"/>
    </row>
    <row r="13312">
      <c r="B13312" s="17" t="s">
        <v>477</v>
      </c>
      <c r="K13312" s="18" t="s">
        <v>477</v>
      </c>
      <c r="N13312" s="17" t="str">
        <f>IFERROR(__xludf.DUMMYFUNCTION("""COMPUTED_VALUE"""),"")</f>
        <v/>
      </c>
      <c r="O13312" s="17"/>
    </row>
    <row r="13313">
      <c r="B13313" s="17" t="s">
        <v>477</v>
      </c>
      <c r="K13313" s="18" t="s">
        <v>477</v>
      </c>
      <c r="N13313" s="17" t="str">
        <f>IFERROR(__xludf.DUMMYFUNCTION("""COMPUTED_VALUE"""),"")</f>
        <v/>
      </c>
      <c r="O13313" s="17"/>
    </row>
    <row r="13314">
      <c r="B13314" s="17" t="s">
        <v>477</v>
      </c>
      <c r="K13314" s="18" t="s">
        <v>477</v>
      </c>
      <c r="N13314" s="17" t="str">
        <f>IFERROR(__xludf.DUMMYFUNCTION("""COMPUTED_VALUE"""),"")</f>
        <v/>
      </c>
      <c r="O13314" s="17"/>
    </row>
    <row r="13315">
      <c r="B13315" s="17" t="s">
        <v>477</v>
      </c>
      <c r="K13315" s="18" t="s">
        <v>477</v>
      </c>
      <c r="N13315" s="17" t="str">
        <f>IFERROR(__xludf.DUMMYFUNCTION("""COMPUTED_VALUE"""),"")</f>
        <v/>
      </c>
      <c r="O13315" s="17"/>
    </row>
    <row r="13316">
      <c r="B13316" s="17" t="s">
        <v>477</v>
      </c>
      <c r="K13316" s="18" t="s">
        <v>477</v>
      </c>
      <c r="N13316" s="17" t="str">
        <f>IFERROR(__xludf.DUMMYFUNCTION("""COMPUTED_VALUE"""),"")</f>
        <v/>
      </c>
      <c r="O13316" s="17"/>
    </row>
    <row r="13317">
      <c r="B13317" s="17" t="s">
        <v>477</v>
      </c>
      <c r="K13317" s="18" t="s">
        <v>477</v>
      </c>
      <c r="N13317" s="17" t="str">
        <f>IFERROR(__xludf.DUMMYFUNCTION("""COMPUTED_VALUE"""),"")</f>
        <v/>
      </c>
      <c r="O13317" s="17"/>
    </row>
    <row r="13318">
      <c r="B13318" s="17" t="s">
        <v>477</v>
      </c>
      <c r="K13318" s="18" t="s">
        <v>477</v>
      </c>
      <c r="N13318" s="17" t="str">
        <f>IFERROR(__xludf.DUMMYFUNCTION("""COMPUTED_VALUE"""),"")</f>
        <v/>
      </c>
      <c r="O13318" s="17"/>
    </row>
    <row r="13319">
      <c r="B13319" s="17" t="s">
        <v>477</v>
      </c>
      <c r="K13319" s="18" t="s">
        <v>477</v>
      </c>
      <c r="N13319" s="17" t="str">
        <f>IFERROR(__xludf.DUMMYFUNCTION("""COMPUTED_VALUE"""),"")</f>
        <v/>
      </c>
      <c r="O13319" s="17"/>
    </row>
    <row r="13320">
      <c r="B13320" s="17" t="s">
        <v>477</v>
      </c>
      <c r="K13320" s="18" t="s">
        <v>477</v>
      </c>
      <c r="N13320" s="17" t="str">
        <f>IFERROR(__xludf.DUMMYFUNCTION("""COMPUTED_VALUE"""),"")</f>
        <v/>
      </c>
      <c r="O13320" s="17"/>
    </row>
    <row r="13321">
      <c r="B13321" s="17" t="s">
        <v>477</v>
      </c>
      <c r="K13321" s="18" t="s">
        <v>477</v>
      </c>
      <c r="N13321" s="17" t="str">
        <f>IFERROR(__xludf.DUMMYFUNCTION("""COMPUTED_VALUE"""),"")</f>
        <v/>
      </c>
      <c r="O13321" s="17"/>
    </row>
    <row r="13322">
      <c r="B13322" s="17" t="s">
        <v>477</v>
      </c>
      <c r="K13322" s="18" t="s">
        <v>477</v>
      </c>
      <c r="N13322" s="17" t="str">
        <f>IFERROR(__xludf.DUMMYFUNCTION("""COMPUTED_VALUE"""),"")</f>
        <v/>
      </c>
      <c r="O13322" s="17"/>
    </row>
    <row r="13323">
      <c r="B13323" s="17" t="s">
        <v>477</v>
      </c>
      <c r="K13323" s="18" t="s">
        <v>477</v>
      </c>
      <c r="N13323" s="17" t="str">
        <f>IFERROR(__xludf.DUMMYFUNCTION("""COMPUTED_VALUE"""),"")</f>
        <v/>
      </c>
      <c r="O13323" s="17"/>
    </row>
    <row r="13324">
      <c r="B13324" s="17" t="s">
        <v>477</v>
      </c>
      <c r="K13324" s="18" t="s">
        <v>477</v>
      </c>
      <c r="N13324" s="17" t="str">
        <f>IFERROR(__xludf.DUMMYFUNCTION("""COMPUTED_VALUE"""),"")</f>
        <v/>
      </c>
      <c r="O13324" s="17"/>
    </row>
    <row r="13325">
      <c r="B13325" s="17" t="s">
        <v>477</v>
      </c>
      <c r="K13325" s="18" t="s">
        <v>477</v>
      </c>
      <c r="N13325" s="17" t="str">
        <f>IFERROR(__xludf.DUMMYFUNCTION("""COMPUTED_VALUE"""),"")</f>
        <v/>
      </c>
      <c r="O13325" s="17"/>
    </row>
    <row r="13326">
      <c r="B13326" s="17" t="s">
        <v>477</v>
      </c>
      <c r="K13326" s="18" t="s">
        <v>477</v>
      </c>
      <c r="N13326" s="17" t="str">
        <f>IFERROR(__xludf.DUMMYFUNCTION("""COMPUTED_VALUE"""),"")</f>
        <v/>
      </c>
      <c r="O13326" s="17"/>
    </row>
    <row r="13327">
      <c r="B13327" s="17" t="s">
        <v>477</v>
      </c>
      <c r="K13327" s="18" t="s">
        <v>477</v>
      </c>
      <c r="N13327" s="17" t="str">
        <f>IFERROR(__xludf.DUMMYFUNCTION("""COMPUTED_VALUE"""),"")</f>
        <v/>
      </c>
      <c r="O13327" s="17"/>
    </row>
    <row r="13328">
      <c r="B13328" s="17" t="s">
        <v>477</v>
      </c>
      <c r="K13328" s="18" t="s">
        <v>477</v>
      </c>
      <c r="N13328" s="17" t="str">
        <f>IFERROR(__xludf.DUMMYFUNCTION("""COMPUTED_VALUE"""),"")</f>
        <v/>
      </c>
      <c r="O13328" s="17"/>
    </row>
    <row r="13329">
      <c r="B13329" s="17" t="s">
        <v>477</v>
      </c>
      <c r="K13329" s="18" t="s">
        <v>477</v>
      </c>
      <c r="N13329" s="17" t="str">
        <f>IFERROR(__xludf.DUMMYFUNCTION("""COMPUTED_VALUE"""),"")</f>
        <v/>
      </c>
      <c r="O13329" s="17"/>
    </row>
    <row r="13330">
      <c r="B13330" s="17" t="s">
        <v>477</v>
      </c>
      <c r="K13330" s="18" t="s">
        <v>477</v>
      </c>
      <c r="N13330" s="17" t="str">
        <f>IFERROR(__xludf.DUMMYFUNCTION("""COMPUTED_VALUE"""),"")</f>
        <v/>
      </c>
      <c r="O13330" s="17"/>
    </row>
    <row r="13331">
      <c r="B13331" s="17" t="s">
        <v>477</v>
      </c>
      <c r="K13331" s="18" t="s">
        <v>477</v>
      </c>
      <c r="N13331" s="17" t="str">
        <f>IFERROR(__xludf.DUMMYFUNCTION("""COMPUTED_VALUE"""),"")</f>
        <v/>
      </c>
      <c r="O13331" s="17"/>
    </row>
    <row r="13332">
      <c r="B13332" s="17" t="s">
        <v>477</v>
      </c>
      <c r="K13332" s="18" t="s">
        <v>477</v>
      </c>
      <c r="N13332" s="17" t="str">
        <f>IFERROR(__xludf.DUMMYFUNCTION("""COMPUTED_VALUE"""),"")</f>
        <v/>
      </c>
      <c r="O13332" s="17"/>
    </row>
    <row r="13333">
      <c r="B13333" s="17" t="s">
        <v>477</v>
      </c>
      <c r="K13333" s="18" t="s">
        <v>477</v>
      </c>
      <c r="N13333" s="17" t="str">
        <f>IFERROR(__xludf.DUMMYFUNCTION("""COMPUTED_VALUE"""),"")</f>
        <v/>
      </c>
      <c r="O13333" s="17"/>
    </row>
    <row r="13334">
      <c r="B13334" s="17" t="s">
        <v>477</v>
      </c>
      <c r="K13334" s="18" t="s">
        <v>477</v>
      </c>
      <c r="N13334" s="17" t="str">
        <f>IFERROR(__xludf.DUMMYFUNCTION("""COMPUTED_VALUE"""),"")</f>
        <v/>
      </c>
      <c r="O13334" s="17"/>
    </row>
    <row r="13335">
      <c r="B13335" s="17" t="s">
        <v>477</v>
      </c>
      <c r="K13335" s="18" t="s">
        <v>477</v>
      </c>
      <c r="N13335" s="17" t="str">
        <f>IFERROR(__xludf.DUMMYFUNCTION("""COMPUTED_VALUE"""),"")</f>
        <v/>
      </c>
      <c r="O13335" s="17"/>
    </row>
    <row r="13336">
      <c r="B13336" s="17" t="s">
        <v>477</v>
      </c>
      <c r="K13336" s="18" t="s">
        <v>477</v>
      </c>
      <c r="N13336" s="17" t="str">
        <f>IFERROR(__xludf.DUMMYFUNCTION("""COMPUTED_VALUE"""),"")</f>
        <v/>
      </c>
      <c r="O13336" s="17"/>
    </row>
    <row r="13337">
      <c r="B13337" s="17" t="s">
        <v>477</v>
      </c>
      <c r="K13337" s="18" t="s">
        <v>477</v>
      </c>
      <c r="N13337" s="17" t="str">
        <f>IFERROR(__xludf.DUMMYFUNCTION("""COMPUTED_VALUE"""),"")</f>
        <v/>
      </c>
      <c r="O13337" s="17"/>
    </row>
    <row r="13338">
      <c r="B13338" s="17" t="s">
        <v>477</v>
      </c>
      <c r="K13338" s="18" t="s">
        <v>477</v>
      </c>
      <c r="N13338" s="17" t="str">
        <f>IFERROR(__xludf.DUMMYFUNCTION("""COMPUTED_VALUE"""),"")</f>
        <v/>
      </c>
      <c r="O13338" s="17"/>
    </row>
    <row r="13339">
      <c r="B13339" s="17" t="s">
        <v>477</v>
      </c>
      <c r="K13339" s="18" t="s">
        <v>477</v>
      </c>
      <c r="N13339" s="17" t="str">
        <f>IFERROR(__xludf.DUMMYFUNCTION("""COMPUTED_VALUE"""),"")</f>
        <v/>
      </c>
      <c r="O13339" s="17"/>
    </row>
    <row r="13340">
      <c r="B13340" s="17" t="s">
        <v>477</v>
      </c>
      <c r="K13340" s="18" t="s">
        <v>477</v>
      </c>
      <c r="N13340" s="17" t="str">
        <f>IFERROR(__xludf.DUMMYFUNCTION("""COMPUTED_VALUE"""),"")</f>
        <v/>
      </c>
      <c r="O13340" s="17"/>
    </row>
    <row r="13341">
      <c r="B13341" s="17" t="s">
        <v>477</v>
      </c>
      <c r="K13341" s="18" t="s">
        <v>477</v>
      </c>
      <c r="N13341" s="17" t="str">
        <f>IFERROR(__xludf.DUMMYFUNCTION("""COMPUTED_VALUE"""),"")</f>
        <v/>
      </c>
      <c r="O13341" s="17"/>
    </row>
    <row r="13342">
      <c r="B13342" s="17" t="s">
        <v>477</v>
      </c>
      <c r="K13342" s="18" t="s">
        <v>477</v>
      </c>
      <c r="N13342" s="17" t="str">
        <f>IFERROR(__xludf.DUMMYFUNCTION("""COMPUTED_VALUE"""),"")</f>
        <v/>
      </c>
      <c r="O13342" s="17"/>
    </row>
    <row r="13343">
      <c r="B13343" s="17" t="s">
        <v>477</v>
      </c>
      <c r="K13343" s="18" t="s">
        <v>477</v>
      </c>
      <c r="N13343" s="17" t="str">
        <f>IFERROR(__xludf.DUMMYFUNCTION("""COMPUTED_VALUE"""),"")</f>
        <v/>
      </c>
      <c r="O13343" s="17"/>
    </row>
    <row r="13344">
      <c r="B13344" s="17" t="s">
        <v>477</v>
      </c>
      <c r="K13344" s="18" t="s">
        <v>477</v>
      </c>
      <c r="N13344" s="17" t="str">
        <f>IFERROR(__xludf.DUMMYFUNCTION("""COMPUTED_VALUE"""),"")</f>
        <v/>
      </c>
      <c r="O13344" s="17"/>
    </row>
    <row r="13345">
      <c r="B13345" s="17" t="s">
        <v>477</v>
      </c>
      <c r="K13345" s="18" t="s">
        <v>477</v>
      </c>
      <c r="N13345" s="17" t="str">
        <f>IFERROR(__xludf.DUMMYFUNCTION("""COMPUTED_VALUE"""),"")</f>
        <v/>
      </c>
      <c r="O13345" s="17"/>
    </row>
    <row r="13346">
      <c r="B13346" s="17" t="s">
        <v>477</v>
      </c>
      <c r="K13346" s="18" t="s">
        <v>477</v>
      </c>
      <c r="N13346" s="17" t="str">
        <f>IFERROR(__xludf.DUMMYFUNCTION("""COMPUTED_VALUE"""),"")</f>
        <v/>
      </c>
      <c r="O13346" s="17"/>
    </row>
    <row r="13347">
      <c r="B13347" s="17" t="s">
        <v>477</v>
      </c>
      <c r="K13347" s="18" t="s">
        <v>477</v>
      </c>
      <c r="N13347" s="17" t="str">
        <f>IFERROR(__xludf.DUMMYFUNCTION("""COMPUTED_VALUE"""),"")</f>
        <v/>
      </c>
      <c r="O13347" s="17"/>
    </row>
    <row r="13348">
      <c r="B13348" s="17" t="s">
        <v>477</v>
      </c>
      <c r="K13348" s="18" t="s">
        <v>477</v>
      </c>
      <c r="N13348" s="17" t="str">
        <f>IFERROR(__xludf.DUMMYFUNCTION("""COMPUTED_VALUE"""),"")</f>
        <v/>
      </c>
      <c r="O13348" s="17"/>
    </row>
    <row r="13349">
      <c r="B13349" s="17" t="s">
        <v>477</v>
      </c>
      <c r="K13349" s="18" t="s">
        <v>477</v>
      </c>
      <c r="N13349" s="17" t="str">
        <f>IFERROR(__xludf.DUMMYFUNCTION("""COMPUTED_VALUE"""),"")</f>
        <v/>
      </c>
      <c r="O13349" s="17"/>
    </row>
    <row r="13350">
      <c r="B13350" s="17" t="s">
        <v>477</v>
      </c>
      <c r="K13350" s="18" t="s">
        <v>477</v>
      </c>
      <c r="N13350" s="17" t="str">
        <f>IFERROR(__xludf.DUMMYFUNCTION("""COMPUTED_VALUE"""),"")</f>
        <v/>
      </c>
      <c r="O13350" s="17"/>
    </row>
    <row r="13351">
      <c r="B13351" s="17" t="s">
        <v>477</v>
      </c>
      <c r="K13351" s="18" t="s">
        <v>477</v>
      </c>
      <c r="N13351" s="17" t="str">
        <f>IFERROR(__xludf.DUMMYFUNCTION("""COMPUTED_VALUE"""),"")</f>
        <v/>
      </c>
      <c r="O13351" s="17"/>
    </row>
    <row r="13352">
      <c r="B13352" s="17" t="s">
        <v>477</v>
      </c>
      <c r="K13352" s="18" t="s">
        <v>477</v>
      </c>
      <c r="N13352" s="17" t="str">
        <f>IFERROR(__xludf.DUMMYFUNCTION("""COMPUTED_VALUE"""),"")</f>
        <v/>
      </c>
      <c r="O13352" s="17"/>
    </row>
    <row r="13353">
      <c r="B13353" s="17" t="s">
        <v>477</v>
      </c>
      <c r="K13353" s="18" t="s">
        <v>477</v>
      </c>
      <c r="N13353" s="17" t="str">
        <f>IFERROR(__xludf.DUMMYFUNCTION("""COMPUTED_VALUE"""),"")</f>
        <v/>
      </c>
      <c r="O13353" s="17"/>
    </row>
    <row r="13354">
      <c r="B13354" s="17" t="s">
        <v>477</v>
      </c>
      <c r="K13354" s="18" t="s">
        <v>477</v>
      </c>
      <c r="N13354" s="17" t="str">
        <f>IFERROR(__xludf.DUMMYFUNCTION("""COMPUTED_VALUE"""),"")</f>
        <v/>
      </c>
      <c r="O13354" s="17"/>
    </row>
    <row r="13355">
      <c r="B13355" s="17" t="s">
        <v>477</v>
      </c>
      <c r="K13355" s="18" t="s">
        <v>477</v>
      </c>
      <c r="N13355" s="17" t="str">
        <f>IFERROR(__xludf.DUMMYFUNCTION("""COMPUTED_VALUE"""),"")</f>
        <v/>
      </c>
      <c r="O13355" s="17"/>
    </row>
    <row r="13356">
      <c r="B13356" s="17" t="s">
        <v>477</v>
      </c>
      <c r="K13356" s="18" t="s">
        <v>477</v>
      </c>
      <c r="N13356" s="17" t="str">
        <f>IFERROR(__xludf.DUMMYFUNCTION("""COMPUTED_VALUE"""),"")</f>
        <v/>
      </c>
      <c r="O13356" s="17"/>
    </row>
    <row r="13357">
      <c r="B13357" s="17" t="s">
        <v>477</v>
      </c>
      <c r="K13357" s="18" t="s">
        <v>477</v>
      </c>
      <c r="N13357" s="17" t="str">
        <f>IFERROR(__xludf.DUMMYFUNCTION("""COMPUTED_VALUE"""),"")</f>
        <v/>
      </c>
      <c r="O13357" s="17"/>
    </row>
    <row r="13358">
      <c r="B13358" s="17" t="s">
        <v>477</v>
      </c>
      <c r="K13358" s="18" t="s">
        <v>477</v>
      </c>
      <c r="N13358" s="17" t="str">
        <f>IFERROR(__xludf.DUMMYFUNCTION("""COMPUTED_VALUE"""),"")</f>
        <v/>
      </c>
      <c r="O13358" s="17"/>
    </row>
    <row r="13359">
      <c r="B13359" s="17" t="s">
        <v>477</v>
      </c>
      <c r="K13359" s="18" t="s">
        <v>477</v>
      </c>
      <c r="N13359" s="17" t="str">
        <f>IFERROR(__xludf.DUMMYFUNCTION("""COMPUTED_VALUE"""),"")</f>
        <v/>
      </c>
      <c r="O13359" s="17"/>
    </row>
    <row r="13360">
      <c r="B13360" s="17" t="s">
        <v>477</v>
      </c>
      <c r="K13360" s="18" t="s">
        <v>477</v>
      </c>
      <c r="N13360" s="17" t="str">
        <f>IFERROR(__xludf.DUMMYFUNCTION("""COMPUTED_VALUE"""),"")</f>
        <v/>
      </c>
      <c r="O13360" s="17"/>
    </row>
    <row r="13361">
      <c r="B13361" s="17" t="s">
        <v>477</v>
      </c>
      <c r="K13361" s="18" t="s">
        <v>477</v>
      </c>
      <c r="N13361" s="17" t="str">
        <f>IFERROR(__xludf.DUMMYFUNCTION("""COMPUTED_VALUE"""),"")</f>
        <v/>
      </c>
      <c r="O13361" s="17"/>
    </row>
    <row r="13362">
      <c r="B13362" s="17" t="s">
        <v>477</v>
      </c>
      <c r="K13362" s="18" t="s">
        <v>477</v>
      </c>
      <c r="N13362" s="17" t="str">
        <f>IFERROR(__xludf.DUMMYFUNCTION("""COMPUTED_VALUE"""),"")</f>
        <v/>
      </c>
      <c r="O13362" s="17"/>
    </row>
    <row r="13363">
      <c r="B13363" s="17" t="s">
        <v>477</v>
      </c>
      <c r="K13363" s="18" t="s">
        <v>477</v>
      </c>
      <c r="N13363" s="17" t="str">
        <f>IFERROR(__xludf.DUMMYFUNCTION("""COMPUTED_VALUE"""),"")</f>
        <v/>
      </c>
      <c r="O13363" s="17"/>
    </row>
    <row r="13364">
      <c r="B13364" s="17" t="s">
        <v>477</v>
      </c>
      <c r="K13364" s="18" t="s">
        <v>477</v>
      </c>
      <c r="N13364" s="17" t="str">
        <f>IFERROR(__xludf.DUMMYFUNCTION("""COMPUTED_VALUE"""),"")</f>
        <v/>
      </c>
      <c r="O13364" s="17"/>
    </row>
    <row r="13365">
      <c r="B13365" s="17" t="s">
        <v>477</v>
      </c>
      <c r="K13365" s="18" t="s">
        <v>477</v>
      </c>
      <c r="N13365" s="17" t="str">
        <f>IFERROR(__xludf.DUMMYFUNCTION("""COMPUTED_VALUE"""),"")</f>
        <v/>
      </c>
      <c r="O13365" s="17"/>
    </row>
    <row r="13366">
      <c r="B13366" s="17" t="s">
        <v>477</v>
      </c>
      <c r="K13366" s="18" t="s">
        <v>477</v>
      </c>
      <c r="N13366" s="17" t="str">
        <f>IFERROR(__xludf.DUMMYFUNCTION("""COMPUTED_VALUE"""),"")</f>
        <v/>
      </c>
      <c r="O13366" s="17"/>
    </row>
    <row r="13367">
      <c r="B13367" s="17" t="s">
        <v>477</v>
      </c>
      <c r="K13367" s="18" t="s">
        <v>477</v>
      </c>
      <c r="N13367" s="17" t="str">
        <f>IFERROR(__xludf.DUMMYFUNCTION("""COMPUTED_VALUE"""),"")</f>
        <v/>
      </c>
      <c r="O13367" s="17"/>
    </row>
    <row r="13368">
      <c r="B13368" s="17" t="s">
        <v>477</v>
      </c>
      <c r="K13368" s="18" t="s">
        <v>477</v>
      </c>
      <c r="N13368" s="17" t="str">
        <f>IFERROR(__xludf.DUMMYFUNCTION("""COMPUTED_VALUE"""),"")</f>
        <v/>
      </c>
      <c r="O13368" s="17"/>
    </row>
    <row r="13369">
      <c r="B13369" s="17" t="s">
        <v>477</v>
      </c>
      <c r="K13369" s="18" t="s">
        <v>477</v>
      </c>
      <c r="N13369" s="17" t="str">
        <f>IFERROR(__xludf.DUMMYFUNCTION("""COMPUTED_VALUE"""),"")</f>
        <v/>
      </c>
      <c r="O13369" s="17"/>
    </row>
    <row r="13370">
      <c r="B13370" s="17" t="s">
        <v>477</v>
      </c>
      <c r="K13370" s="18" t="s">
        <v>477</v>
      </c>
      <c r="N13370" s="17" t="str">
        <f>IFERROR(__xludf.DUMMYFUNCTION("""COMPUTED_VALUE"""),"")</f>
        <v/>
      </c>
      <c r="O13370" s="17"/>
    </row>
    <row r="13371">
      <c r="B13371" s="17" t="s">
        <v>477</v>
      </c>
      <c r="K13371" s="18" t="s">
        <v>477</v>
      </c>
      <c r="N13371" s="17" t="str">
        <f>IFERROR(__xludf.DUMMYFUNCTION("""COMPUTED_VALUE"""),"")</f>
        <v/>
      </c>
      <c r="O13371" s="17"/>
    </row>
    <row r="13372">
      <c r="B13372" s="17" t="s">
        <v>477</v>
      </c>
      <c r="K13372" s="18" t="s">
        <v>477</v>
      </c>
      <c r="N13372" s="17" t="str">
        <f>IFERROR(__xludf.DUMMYFUNCTION("""COMPUTED_VALUE"""),"")</f>
        <v/>
      </c>
      <c r="O13372" s="17"/>
    </row>
    <row r="13373">
      <c r="B13373" s="17" t="s">
        <v>477</v>
      </c>
      <c r="K13373" s="18" t="s">
        <v>477</v>
      </c>
      <c r="N13373" s="17" t="str">
        <f>IFERROR(__xludf.DUMMYFUNCTION("""COMPUTED_VALUE"""),"")</f>
        <v/>
      </c>
      <c r="O13373" s="17"/>
    </row>
    <row r="13374">
      <c r="B13374" s="17" t="s">
        <v>477</v>
      </c>
      <c r="K13374" s="18" t="s">
        <v>477</v>
      </c>
      <c r="N13374" s="17" t="str">
        <f>IFERROR(__xludf.DUMMYFUNCTION("""COMPUTED_VALUE"""),"")</f>
        <v/>
      </c>
      <c r="O13374" s="17"/>
    </row>
    <row r="13375">
      <c r="B13375" s="17" t="s">
        <v>477</v>
      </c>
      <c r="K13375" s="18" t="s">
        <v>477</v>
      </c>
      <c r="N13375" s="17" t="str">
        <f>IFERROR(__xludf.DUMMYFUNCTION("""COMPUTED_VALUE"""),"")</f>
        <v/>
      </c>
      <c r="O13375" s="17"/>
    </row>
    <row r="13376">
      <c r="B13376" s="17" t="s">
        <v>477</v>
      </c>
      <c r="K13376" s="18" t="s">
        <v>477</v>
      </c>
      <c r="N13376" s="17" t="str">
        <f>IFERROR(__xludf.DUMMYFUNCTION("""COMPUTED_VALUE"""),"")</f>
        <v/>
      </c>
      <c r="O13376" s="17"/>
    </row>
    <row r="13377">
      <c r="B13377" s="17" t="s">
        <v>477</v>
      </c>
      <c r="K13377" s="18" t="s">
        <v>477</v>
      </c>
      <c r="N13377" s="17" t="str">
        <f>IFERROR(__xludf.DUMMYFUNCTION("""COMPUTED_VALUE"""),"")</f>
        <v/>
      </c>
      <c r="O13377" s="17"/>
    </row>
    <row r="13378">
      <c r="B13378" s="17" t="s">
        <v>477</v>
      </c>
      <c r="K13378" s="18" t="s">
        <v>477</v>
      </c>
      <c r="N13378" s="17" t="str">
        <f>IFERROR(__xludf.DUMMYFUNCTION("""COMPUTED_VALUE"""),"")</f>
        <v/>
      </c>
      <c r="O13378" s="17"/>
    </row>
    <row r="13379">
      <c r="B13379" s="17" t="s">
        <v>477</v>
      </c>
      <c r="K13379" s="18" t="s">
        <v>477</v>
      </c>
      <c r="N13379" s="17" t="str">
        <f>IFERROR(__xludf.DUMMYFUNCTION("""COMPUTED_VALUE"""),"")</f>
        <v/>
      </c>
      <c r="O13379" s="17"/>
    </row>
    <row r="13380">
      <c r="B13380" s="17" t="s">
        <v>477</v>
      </c>
      <c r="K13380" s="18" t="s">
        <v>477</v>
      </c>
      <c r="N13380" s="17" t="str">
        <f>IFERROR(__xludf.DUMMYFUNCTION("""COMPUTED_VALUE"""),"")</f>
        <v/>
      </c>
      <c r="O13380" s="17"/>
    </row>
    <row r="13381">
      <c r="B13381" s="17" t="s">
        <v>477</v>
      </c>
      <c r="K13381" s="18" t="s">
        <v>477</v>
      </c>
      <c r="N13381" s="17" t="str">
        <f>IFERROR(__xludf.DUMMYFUNCTION("""COMPUTED_VALUE"""),"")</f>
        <v/>
      </c>
      <c r="O13381" s="17"/>
    </row>
    <row r="13382">
      <c r="B13382" s="17" t="s">
        <v>477</v>
      </c>
      <c r="K13382" s="18" t="s">
        <v>477</v>
      </c>
      <c r="N13382" s="17" t="str">
        <f>IFERROR(__xludf.DUMMYFUNCTION("""COMPUTED_VALUE"""),"")</f>
        <v/>
      </c>
      <c r="O13382" s="17"/>
    </row>
    <row r="13383">
      <c r="B13383" s="17" t="s">
        <v>477</v>
      </c>
      <c r="K13383" s="18" t="s">
        <v>477</v>
      </c>
      <c r="N13383" s="17" t="str">
        <f>IFERROR(__xludf.DUMMYFUNCTION("""COMPUTED_VALUE"""),"")</f>
        <v/>
      </c>
      <c r="O13383" s="17"/>
    </row>
    <row r="13384">
      <c r="B13384" s="17" t="s">
        <v>477</v>
      </c>
      <c r="K13384" s="18" t="s">
        <v>477</v>
      </c>
      <c r="N13384" s="17" t="str">
        <f>IFERROR(__xludf.DUMMYFUNCTION("""COMPUTED_VALUE"""),"")</f>
        <v/>
      </c>
      <c r="O13384" s="17"/>
    </row>
    <row r="13385">
      <c r="B13385" s="17" t="s">
        <v>477</v>
      </c>
      <c r="K13385" s="18" t="s">
        <v>477</v>
      </c>
      <c r="N13385" s="17" t="str">
        <f>IFERROR(__xludf.DUMMYFUNCTION("""COMPUTED_VALUE"""),"")</f>
        <v/>
      </c>
      <c r="O13385" s="17"/>
    </row>
    <row r="13386">
      <c r="B13386" s="17" t="s">
        <v>477</v>
      </c>
      <c r="K13386" s="18" t="s">
        <v>477</v>
      </c>
      <c r="N13386" s="17" t="str">
        <f>IFERROR(__xludf.DUMMYFUNCTION("""COMPUTED_VALUE"""),"")</f>
        <v/>
      </c>
      <c r="O13386" s="17"/>
    </row>
    <row r="13387">
      <c r="B13387" s="17" t="s">
        <v>477</v>
      </c>
      <c r="K13387" s="18" t="s">
        <v>477</v>
      </c>
      <c r="N13387" s="17" t="str">
        <f>IFERROR(__xludf.DUMMYFUNCTION("""COMPUTED_VALUE"""),"")</f>
        <v/>
      </c>
      <c r="O13387" s="17"/>
    </row>
    <row r="13388">
      <c r="B13388" s="17" t="s">
        <v>477</v>
      </c>
      <c r="K13388" s="18" t="s">
        <v>477</v>
      </c>
      <c r="N13388" s="17" t="str">
        <f>IFERROR(__xludf.DUMMYFUNCTION("""COMPUTED_VALUE"""),"")</f>
        <v/>
      </c>
      <c r="O13388" s="17"/>
    </row>
    <row r="13389">
      <c r="B13389" s="17" t="s">
        <v>477</v>
      </c>
      <c r="K13389" s="18" t="s">
        <v>477</v>
      </c>
      <c r="N13389" s="17" t="str">
        <f>IFERROR(__xludf.DUMMYFUNCTION("""COMPUTED_VALUE"""),"")</f>
        <v/>
      </c>
      <c r="O13389" s="17"/>
    </row>
    <row r="13390">
      <c r="B13390" s="17" t="s">
        <v>477</v>
      </c>
      <c r="K13390" s="18" t="s">
        <v>477</v>
      </c>
      <c r="N13390" s="17" t="str">
        <f>IFERROR(__xludf.DUMMYFUNCTION("""COMPUTED_VALUE"""),"")</f>
        <v/>
      </c>
      <c r="O13390" s="17"/>
    </row>
    <row r="13391">
      <c r="B13391" s="17" t="s">
        <v>477</v>
      </c>
      <c r="K13391" s="18" t="s">
        <v>477</v>
      </c>
      <c r="N13391" s="17" t="str">
        <f>IFERROR(__xludf.DUMMYFUNCTION("""COMPUTED_VALUE"""),"")</f>
        <v/>
      </c>
      <c r="O13391" s="17"/>
    </row>
    <row r="13392">
      <c r="B13392" s="17" t="s">
        <v>477</v>
      </c>
      <c r="K13392" s="18" t="s">
        <v>477</v>
      </c>
      <c r="N13392" s="17" t="str">
        <f>IFERROR(__xludf.DUMMYFUNCTION("""COMPUTED_VALUE"""),"")</f>
        <v/>
      </c>
      <c r="O13392" s="17"/>
    </row>
    <row r="13393">
      <c r="B13393" s="17" t="s">
        <v>477</v>
      </c>
      <c r="K13393" s="18" t="s">
        <v>477</v>
      </c>
      <c r="N13393" s="17" t="str">
        <f>IFERROR(__xludf.DUMMYFUNCTION("""COMPUTED_VALUE"""),"")</f>
        <v/>
      </c>
      <c r="O13393" s="17"/>
    </row>
    <row r="13394">
      <c r="B13394" s="17" t="s">
        <v>477</v>
      </c>
      <c r="K13394" s="18" t="s">
        <v>477</v>
      </c>
      <c r="N13394" s="17" t="str">
        <f>IFERROR(__xludf.DUMMYFUNCTION("""COMPUTED_VALUE"""),"")</f>
        <v/>
      </c>
      <c r="O13394" s="17"/>
    </row>
    <row r="13395">
      <c r="B13395" s="17" t="s">
        <v>477</v>
      </c>
      <c r="K13395" s="18" t="s">
        <v>477</v>
      </c>
      <c r="N13395" s="17" t="str">
        <f>IFERROR(__xludf.DUMMYFUNCTION("""COMPUTED_VALUE"""),"")</f>
        <v/>
      </c>
      <c r="O13395" s="17"/>
    </row>
    <row r="13396">
      <c r="B13396" s="17" t="s">
        <v>477</v>
      </c>
      <c r="K13396" s="18" t="s">
        <v>477</v>
      </c>
      <c r="N13396" s="17" t="str">
        <f>IFERROR(__xludf.DUMMYFUNCTION("""COMPUTED_VALUE"""),"")</f>
        <v/>
      </c>
      <c r="O13396" s="17"/>
    </row>
    <row r="13397">
      <c r="B13397" s="17" t="s">
        <v>477</v>
      </c>
      <c r="K13397" s="18" t="s">
        <v>477</v>
      </c>
      <c r="N13397" s="17" t="str">
        <f>IFERROR(__xludf.DUMMYFUNCTION("""COMPUTED_VALUE"""),"")</f>
        <v/>
      </c>
      <c r="O13397" s="17"/>
    </row>
    <row r="13398">
      <c r="B13398" s="17" t="s">
        <v>477</v>
      </c>
      <c r="K13398" s="18" t="s">
        <v>477</v>
      </c>
      <c r="N13398" s="17" t="str">
        <f>IFERROR(__xludf.DUMMYFUNCTION("""COMPUTED_VALUE"""),"")</f>
        <v/>
      </c>
      <c r="O13398" s="17"/>
    </row>
    <row r="13399">
      <c r="B13399" s="17" t="s">
        <v>477</v>
      </c>
      <c r="K13399" s="18" t="s">
        <v>477</v>
      </c>
      <c r="N13399" s="17" t="str">
        <f>IFERROR(__xludf.DUMMYFUNCTION("""COMPUTED_VALUE"""),"")</f>
        <v/>
      </c>
      <c r="O13399" s="17"/>
    </row>
    <row r="13400">
      <c r="B13400" s="17" t="s">
        <v>477</v>
      </c>
      <c r="K13400" s="18" t="s">
        <v>477</v>
      </c>
      <c r="N13400" s="17" t="str">
        <f>IFERROR(__xludf.DUMMYFUNCTION("""COMPUTED_VALUE"""),"")</f>
        <v/>
      </c>
      <c r="O13400" s="17"/>
    </row>
    <row r="13401">
      <c r="B13401" s="17" t="s">
        <v>477</v>
      </c>
      <c r="K13401" s="18" t="s">
        <v>477</v>
      </c>
    </row>
    <row r="13402">
      <c r="B13402" s="17" t="s">
        <v>477</v>
      </c>
      <c r="K13402" s="18" t="s">
        <v>477</v>
      </c>
    </row>
    <row r="13403">
      <c r="B13403" s="17" t="s">
        <v>477</v>
      </c>
      <c r="K13403" s="18" t="s">
        <v>477</v>
      </c>
    </row>
    <row r="13404">
      <c r="B13404" s="17" t="s">
        <v>477</v>
      </c>
      <c r="K13404" s="18" t="s">
        <v>477</v>
      </c>
    </row>
    <row r="13405">
      <c r="B13405" s="17" t="s">
        <v>477</v>
      </c>
      <c r="K13405" s="18" t="s">
        <v>477</v>
      </c>
    </row>
    <row r="13406">
      <c r="B13406" s="17" t="s">
        <v>477</v>
      </c>
      <c r="K13406" s="18" t="s">
        <v>477</v>
      </c>
    </row>
    <row r="13407">
      <c r="B13407" s="17" t="s">
        <v>477</v>
      </c>
      <c r="K13407" s="18" t="s">
        <v>477</v>
      </c>
    </row>
    <row r="13408">
      <c r="B13408" s="17" t="s">
        <v>477</v>
      </c>
      <c r="K13408" s="18" t="s">
        <v>477</v>
      </c>
    </row>
    <row r="13409">
      <c r="B13409" s="17" t="s">
        <v>477</v>
      </c>
      <c r="K13409" s="18" t="s">
        <v>477</v>
      </c>
    </row>
    <row r="13410">
      <c r="B13410" s="17" t="s">
        <v>477</v>
      </c>
      <c r="K13410" s="18" t="s">
        <v>477</v>
      </c>
    </row>
    <row r="13411">
      <c r="B13411" s="17" t="s">
        <v>477</v>
      </c>
      <c r="K13411" s="18" t="s">
        <v>477</v>
      </c>
    </row>
    <row r="13412">
      <c r="B13412" s="17" t="s">
        <v>477</v>
      </c>
      <c r="K13412" s="18" t="s">
        <v>477</v>
      </c>
    </row>
    <row r="13413">
      <c r="B13413" s="17" t="s">
        <v>477</v>
      </c>
      <c r="K13413" s="18" t="s">
        <v>477</v>
      </c>
    </row>
    <row r="13414">
      <c r="B13414" s="17" t="s">
        <v>477</v>
      </c>
      <c r="K13414" s="18" t="s">
        <v>477</v>
      </c>
    </row>
    <row r="13415">
      <c r="B13415" s="17" t="s">
        <v>477</v>
      </c>
      <c r="K13415" s="18" t="s">
        <v>477</v>
      </c>
    </row>
    <row r="13416">
      <c r="B13416" s="17" t="s">
        <v>477</v>
      </c>
      <c r="K13416" s="18" t="s">
        <v>477</v>
      </c>
    </row>
    <row r="13417">
      <c r="B13417" s="17" t="s">
        <v>477</v>
      </c>
      <c r="K13417" s="18" t="s">
        <v>477</v>
      </c>
    </row>
    <row r="13418">
      <c r="B13418" s="17" t="s">
        <v>477</v>
      </c>
      <c r="K13418" s="18" t="s">
        <v>477</v>
      </c>
    </row>
    <row r="13419">
      <c r="B13419" s="17" t="s">
        <v>477</v>
      </c>
      <c r="K13419" s="18" t="s">
        <v>477</v>
      </c>
    </row>
    <row r="13420">
      <c r="B13420" s="17" t="s">
        <v>477</v>
      </c>
      <c r="K13420" s="18" t="s">
        <v>477</v>
      </c>
    </row>
    <row r="13421">
      <c r="B13421" s="17" t="s">
        <v>477</v>
      </c>
      <c r="K13421" s="18" t="s">
        <v>477</v>
      </c>
    </row>
    <row r="13422">
      <c r="B13422" s="17" t="s">
        <v>477</v>
      </c>
      <c r="K13422" s="18" t="s">
        <v>477</v>
      </c>
    </row>
    <row r="13423">
      <c r="B13423" s="17" t="s">
        <v>477</v>
      </c>
      <c r="K13423" s="18" t="s">
        <v>477</v>
      </c>
    </row>
    <row r="13424">
      <c r="B13424" s="17" t="s">
        <v>477</v>
      </c>
      <c r="K13424" s="18" t="s">
        <v>477</v>
      </c>
    </row>
    <row r="13425">
      <c r="B13425" s="17" t="s">
        <v>477</v>
      </c>
      <c r="K13425" s="18" t="s">
        <v>477</v>
      </c>
    </row>
    <row r="13426">
      <c r="B13426" s="17" t="s">
        <v>477</v>
      </c>
      <c r="K13426" s="18" t="s">
        <v>477</v>
      </c>
    </row>
    <row r="13427">
      <c r="B13427" s="17" t="s">
        <v>477</v>
      </c>
      <c r="K13427" s="18" t="s">
        <v>477</v>
      </c>
    </row>
    <row r="13428">
      <c r="B13428" s="17" t="s">
        <v>477</v>
      </c>
      <c r="K13428" s="18" t="s">
        <v>477</v>
      </c>
    </row>
    <row r="13429">
      <c r="B13429" s="17" t="s">
        <v>477</v>
      </c>
      <c r="K13429" s="18" t="s">
        <v>477</v>
      </c>
    </row>
    <row r="13430">
      <c r="B13430" s="17" t="s">
        <v>477</v>
      </c>
      <c r="K13430" s="18" t="s">
        <v>477</v>
      </c>
    </row>
    <row r="13431">
      <c r="B13431" s="17" t="s">
        <v>477</v>
      </c>
      <c r="K13431" s="18" t="s">
        <v>477</v>
      </c>
    </row>
    <row r="13432">
      <c r="B13432" s="17" t="s">
        <v>477</v>
      </c>
      <c r="K13432" s="18" t="s">
        <v>477</v>
      </c>
    </row>
    <row r="13433">
      <c r="B13433" s="17" t="s">
        <v>477</v>
      </c>
      <c r="K13433" s="18" t="s">
        <v>477</v>
      </c>
    </row>
    <row r="13434">
      <c r="B13434" s="17" t="s">
        <v>477</v>
      </c>
      <c r="K13434" s="18" t="s">
        <v>477</v>
      </c>
    </row>
    <row r="13435">
      <c r="B13435" s="17" t="s">
        <v>477</v>
      </c>
      <c r="K13435" s="18" t="s">
        <v>477</v>
      </c>
    </row>
    <row r="13436">
      <c r="B13436" s="17" t="s">
        <v>477</v>
      </c>
      <c r="K13436" s="18" t="s">
        <v>477</v>
      </c>
    </row>
    <row r="13437">
      <c r="B13437" s="17" t="s">
        <v>477</v>
      </c>
      <c r="K13437" s="18" t="s">
        <v>477</v>
      </c>
    </row>
    <row r="13438">
      <c r="B13438" s="17" t="s">
        <v>477</v>
      </c>
      <c r="K13438" s="18" t="s">
        <v>477</v>
      </c>
    </row>
    <row r="13439">
      <c r="B13439" s="17" t="s">
        <v>477</v>
      </c>
      <c r="K13439" s="18" t="s">
        <v>477</v>
      </c>
    </row>
    <row r="13440">
      <c r="B13440" s="17" t="s">
        <v>477</v>
      </c>
      <c r="K13440" s="18" t="s">
        <v>477</v>
      </c>
    </row>
    <row r="13441">
      <c r="B13441" s="17" t="s">
        <v>477</v>
      </c>
      <c r="K13441" s="18" t="s">
        <v>477</v>
      </c>
    </row>
    <row r="13442">
      <c r="B13442" s="17" t="s">
        <v>477</v>
      </c>
      <c r="K13442" s="18" t="s">
        <v>477</v>
      </c>
    </row>
    <row r="13443">
      <c r="B13443" s="17" t="s">
        <v>477</v>
      </c>
      <c r="K13443" s="18" t="s">
        <v>477</v>
      </c>
    </row>
    <row r="13444">
      <c r="B13444" s="17" t="s">
        <v>477</v>
      </c>
      <c r="K13444" s="18" t="s">
        <v>477</v>
      </c>
    </row>
    <row r="13445">
      <c r="B13445" s="17" t="s">
        <v>477</v>
      </c>
      <c r="K13445" s="18" t="s">
        <v>477</v>
      </c>
    </row>
    <row r="13446">
      <c r="B13446" s="17" t="s">
        <v>477</v>
      </c>
      <c r="K13446" s="18" t="s">
        <v>477</v>
      </c>
    </row>
    <row r="13447">
      <c r="B13447" s="17" t="s">
        <v>477</v>
      </c>
      <c r="K13447" s="18" t="s">
        <v>477</v>
      </c>
    </row>
    <row r="13448">
      <c r="B13448" s="17" t="s">
        <v>477</v>
      </c>
      <c r="K13448" s="18" t="s">
        <v>477</v>
      </c>
    </row>
    <row r="13449">
      <c r="B13449" s="17" t="s">
        <v>477</v>
      </c>
      <c r="K13449" s="18" t="s">
        <v>477</v>
      </c>
    </row>
    <row r="13450">
      <c r="B13450" s="17" t="s">
        <v>477</v>
      </c>
      <c r="K13450" s="18" t="s">
        <v>477</v>
      </c>
    </row>
    <row r="13451">
      <c r="B13451" s="17" t="s">
        <v>477</v>
      </c>
      <c r="K13451" s="18" t="s">
        <v>477</v>
      </c>
    </row>
    <row r="13452">
      <c r="B13452" s="17" t="s">
        <v>477</v>
      </c>
      <c r="K13452" s="18" t="s">
        <v>477</v>
      </c>
    </row>
    <row r="13453">
      <c r="B13453" s="17" t="s">
        <v>477</v>
      </c>
      <c r="K13453" s="18" t="s">
        <v>477</v>
      </c>
    </row>
    <row r="13454">
      <c r="B13454" s="17" t="s">
        <v>477</v>
      </c>
      <c r="K13454" s="18" t="s">
        <v>477</v>
      </c>
    </row>
    <row r="13455">
      <c r="B13455" s="17" t="s">
        <v>477</v>
      </c>
      <c r="K13455" s="18" t="s">
        <v>477</v>
      </c>
    </row>
    <row r="13456">
      <c r="B13456" s="17" t="s">
        <v>477</v>
      </c>
      <c r="K13456" s="18" t="s">
        <v>477</v>
      </c>
    </row>
    <row r="13457">
      <c r="B13457" s="17" t="s">
        <v>477</v>
      </c>
      <c r="K13457" s="18" t="s">
        <v>477</v>
      </c>
    </row>
    <row r="13458">
      <c r="B13458" s="17" t="s">
        <v>477</v>
      </c>
      <c r="K13458" s="18" t="s">
        <v>477</v>
      </c>
    </row>
    <row r="13459">
      <c r="B13459" s="17" t="s">
        <v>477</v>
      </c>
      <c r="K13459" s="18" t="s">
        <v>477</v>
      </c>
    </row>
    <row r="13460">
      <c r="B13460" s="17" t="s">
        <v>477</v>
      </c>
      <c r="K13460" s="18" t="s">
        <v>477</v>
      </c>
    </row>
    <row r="13461">
      <c r="B13461" s="17" t="s">
        <v>477</v>
      </c>
      <c r="K13461" s="18" t="s">
        <v>477</v>
      </c>
    </row>
    <row r="13462">
      <c r="B13462" s="17" t="s">
        <v>477</v>
      </c>
      <c r="K13462" s="18" t="s">
        <v>477</v>
      </c>
    </row>
    <row r="13463">
      <c r="B13463" s="17" t="s">
        <v>477</v>
      </c>
      <c r="K13463" s="18" t="s">
        <v>477</v>
      </c>
    </row>
    <row r="13464">
      <c r="B13464" s="17" t="s">
        <v>477</v>
      </c>
      <c r="K13464" s="18" t="s">
        <v>477</v>
      </c>
    </row>
    <row r="13465">
      <c r="B13465" s="17" t="s">
        <v>477</v>
      </c>
      <c r="K13465" s="18" t="s">
        <v>477</v>
      </c>
    </row>
    <row r="13466">
      <c r="B13466" s="17" t="s">
        <v>477</v>
      </c>
      <c r="K13466" s="18" t="s">
        <v>477</v>
      </c>
    </row>
    <row r="13467">
      <c r="B13467" s="17" t="s">
        <v>477</v>
      </c>
      <c r="K13467" s="18" t="s">
        <v>477</v>
      </c>
    </row>
    <row r="13468">
      <c r="B13468" s="17" t="s">
        <v>477</v>
      </c>
      <c r="K13468" s="18" t="s">
        <v>477</v>
      </c>
    </row>
    <row r="13469">
      <c r="B13469" s="17" t="s">
        <v>477</v>
      </c>
      <c r="K13469" s="18" t="s">
        <v>477</v>
      </c>
    </row>
    <row r="13470">
      <c r="B13470" s="17" t="s">
        <v>477</v>
      </c>
      <c r="K13470" s="18" t="s">
        <v>477</v>
      </c>
    </row>
    <row r="13471">
      <c r="B13471" s="17" t="s">
        <v>477</v>
      </c>
      <c r="K13471" s="18" t="s">
        <v>477</v>
      </c>
    </row>
    <row r="13472">
      <c r="B13472" s="17" t="s">
        <v>477</v>
      </c>
      <c r="K13472" s="18" t="s">
        <v>477</v>
      </c>
    </row>
    <row r="13473">
      <c r="B13473" s="17" t="s">
        <v>477</v>
      </c>
      <c r="K13473" s="18" t="s">
        <v>477</v>
      </c>
    </row>
    <row r="13474">
      <c r="B13474" s="17" t="s">
        <v>477</v>
      </c>
      <c r="K13474" s="18" t="s">
        <v>477</v>
      </c>
    </row>
    <row r="13475">
      <c r="B13475" s="17" t="s">
        <v>477</v>
      </c>
      <c r="K13475" s="18" t="s">
        <v>477</v>
      </c>
    </row>
    <row r="13476">
      <c r="B13476" s="17" t="s">
        <v>477</v>
      </c>
      <c r="K13476" s="18" t="s">
        <v>477</v>
      </c>
    </row>
    <row r="13477">
      <c r="B13477" s="17" t="s">
        <v>477</v>
      </c>
      <c r="K13477" s="18" t="s">
        <v>477</v>
      </c>
    </row>
    <row r="13478">
      <c r="B13478" s="17" t="s">
        <v>477</v>
      </c>
      <c r="K13478" s="18" t="s">
        <v>477</v>
      </c>
    </row>
    <row r="13479">
      <c r="B13479" s="17" t="s">
        <v>477</v>
      </c>
      <c r="K13479" s="18" t="s">
        <v>477</v>
      </c>
    </row>
    <row r="13480">
      <c r="B13480" s="17" t="s">
        <v>477</v>
      </c>
      <c r="K13480" s="18" t="s">
        <v>477</v>
      </c>
    </row>
    <row r="13481">
      <c r="B13481" s="17" t="s">
        <v>477</v>
      </c>
      <c r="K13481" s="18" t="s">
        <v>477</v>
      </c>
    </row>
    <row r="13482">
      <c r="B13482" s="17" t="s">
        <v>477</v>
      </c>
      <c r="K13482" s="18" t="s">
        <v>477</v>
      </c>
    </row>
    <row r="13483">
      <c r="B13483" s="17" t="s">
        <v>477</v>
      </c>
      <c r="K13483" s="18" t="s">
        <v>477</v>
      </c>
    </row>
    <row r="13484">
      <c r="B13484" s="17" t="s">
        <v>477</v>
      </c>
      <c r="K13484" s="18" t="s">
        <v>477</v>
      </c>
    </row>
    <row r="13485">
      <c r="B13485" s="17" t="s">
        <v>477</v>
      </c>
      <c r="K13485" s="18" t="s">
        <v>477</v>
      </c>
    </row>
    <row r="13486">
      <c r="B13486" s="17" t="s">
        <v>477</v>
      </c>
      <c r="K13486" s="18" t="s">
        <v>477</v>
      </c>
    </row>
    <row r="13487">
      <c r="B13487" s="17" t="s">
        <v>477</v>
      </c>
      <c r="K13487" s="18" t="s">
        <v>477</v>
      </c>
    </row>
    <row r="13488">
      <c r="B13488" s="17" t="s">
        <v>477</v>
      </c>
      <c r="K13488" s="18" t="s">
        <v>477</v>
      </c>
    </row>
    <row r="13489">
      <c r="B13489" s="17" t="s">
        <v>477</v>
      </c>
      <c r="K13489" s="18" t="s">
        <v>477</v>
      </c>
    </row>
    <row r="13490">
      <c r="B13490" s="17" t="s">
        <v>477</v>
      </c>
      <c r="K13490" s="18" t="s">
        <v>477</v>
      </c>
    </row>
    <row r="13491">
      <c r="B13491" s="17" t="s">
        <v>477</v>
      </c>
      <c r="K13491" s="18" t="s">
        <v>477</v>
      </c>
    </row>
    <row r="13492">
      <c r="B13492" s="17" t="s">
        <v>477</v>
      </c>
      <c r="K13492" s="18" t="s">
        <v>477</v>
      </c>
    </row>
    <row r="13493">
      <c r="B13493" s="17" t="s">
        <v>477</v>
      </c>
      <c r="K13493" s="18" t="s">
        <v>477</v>
      </c>
    </row>
    <row r="13494">
      <c r="B13494" s="17" t="s">
        <v>477</v>
      </c>
      <c r="K13494" s="18" t="s">
        <v>477</v>
      </c>
    </row>
    <row r="13495">
      <c r="B13495" s="17" t="s">
        <v>477</v>
      </c>
      <c r="K13495" s="18" t="s">
        <v>477</v>
      </c>
    </row>
    <row r="13496">
      <c r="B13496" s="17" t="s">
        <v>477</v>
      </c>
      <c r="K13496" s="18" t="s">
        <v>477</v>
      </c>
    </row>
    <row r="13497">
      <c r="B13497" s="17" t="s">
        <v>477</v>
      </c>
      <c r="K13497" s="18" t="s">
        <v>477</v>
      </c>
    </row>
    <row r="13498">
      <c r="B13498" s="17" t="s">
        <v>477</v>
      </c>
      <c r="K13498" s="18" t="s">
        <v>477</v>
      </c>
    </row>
    <row r="13499">
      <c r="B13499" s="17" t="s">
        <v>477</v>
      </c>
      <c r="K13499" s="18" t="s">
        <v>477</v>
      </c>
    </row>
    <row r="13500">
      <c r="B13500" s="17" t="s">
        <v>477</v>
      </c>
      <c r="K13500" s="18" t="s">
        <v>477</v>
      </c>
    </row>
    <row r="13501">
      <c r="B13501" s="17" t="s">
        <v>477</v>
      </c>
      <c r="K13501" s="18" t="s">
        <v>477</v>
      </c>
    </row>
    <row r="13502">
      <c r="B13502" s="17" t="s">
        <v>477</v>
      </c>
      <c r="K13502" s="18" t="s">
        <v>477</v>
      </c>
    </row>
    <row r="13503">
      <c r="B13503" s="17" t="s">
        <v>477</v>
      </c>
      <c r="K13503" s="18" t="s">
        <v>477</v>
      </c>
    </row>
    <row r="13504">
      <c r="B13504" s="17" t="s">
        <v>477</v>
      </c>
      <c r="K13504" s="18" t="s">
        <v>477</v>
      </c>
    </row>
    <row r="13505">
      <c r="B13505" s="17" t="s">
        <v>477</v>
      </c>
      <c r="K13505" s="18" t="s">
        <v>477</v>
      </c>
    </row>
    <row r="13506">
      <c r="B13506" s="17" t="s">
        <v>477</v>
      </c>
      <c r="K13506" s="18" t="s">
        <v>477</v>
      </c>
    </row>
    <row r="13507">
      <c r="B13507" s="17" t="s">
        <v>477</v>
      </c>
      <c r="K13507" s="18" t="s">
        <v>477</v>
      </c>
    </row>
    <row r="13508">
      <c r="B13508" s="17" t="s">
        <v>477</v>
      </c>
      <c r="K13508" s="18" t="s">
        <v>477</v>
      </c>
    </row>
    <row r="13509">
      <c r="B13509" s="17" t="s">
        <v>477</v>
      </c>
      <c r="K13509" s="18" t="s">
        <v>477</v>
      </c>
    </row>
    <row r="13510">
      <c r="B13510" s="17" t="s">
        <v>477</v>
      </c>
      <c r="K13510" s="18" t="s">
        <v>477</v>
      </c>
    </row>
    <row r="13511">
      <c r="B13511" s="17" t="s">
        <v>477</v>
      </c>
      <c r="K13511" s="18" t="s">
        <v>477</v>
      </c>
    </row>
    <row r="13512">
      <c r="B13512" s="17" t="s">
        <v>477</v>
      </c>
      <c r="K13512" s="18" t="s">
        <v>477</v>
      </c>
    </row>
    <row r="13513">
      <c r="B13513" s="17" t="s">
        <v>477</v>
      </c>
      <c r="K13513" s="18" t="s">
        <v>477</v>
      </c>
    </row>
    <row r="13514">
      <c r="B13514" s="17" t="s">
        <v>477</v>
      </c>
      <c r="K13514" s="18" t="s">
        <v>477</v>
      </c>
    </row>
    <row r="13515">
      <c r="B13515" s="17" t="s">
        <v>477</v>
      </c>
      <c r="K13515" s="18" t="s">
        <v>477</v>
      </c>
    </row>
    <row r="13516">
      <c r="B13516" s="17" t="s">
        <v>477</v>
      </c>
      <c r="K13516" s="18" t="s">
        <v>477</v>
      </c>
    </row>
    <row r="13517">
      <c r="B13517" s="17" t="s">
        <v>477</v>
      </c>
      <c r="K13517" s="18" t="s">
        <v>477</v>
      </c>
    </row>
    <row r="13518">
      <c r="B13518" s="17" t="s">
        <v>477</v>
      </c>
      <c r="K13518" s="18" t="s">
        <v>477</v>
      </c>
    </row>
    <row r="13519">
      <c r="B13519" s="17" t="s">
        <v>477</v>
      </c>
      <c r="K13519" s="18" t="s">
        <v>477</v>
      </c>
    </row>
    <row r="13520">
      <c r="B13520" s="17" t="s">
        <v>477</v>
      </c>
      <c r="K13520" s="18" t="s">
        <v>477</v>
      </c>
    </row>
    <row r="13521">
      <c r="B13521" s="17" t="s">
        <v>477</v>
      </c>
      <c r="K13521" s="18" t="s">
        <v>477</v>
      </c>
    </row>
    <row r="13522">
      <c r="B13522" s="17" t="s">
        <v>477</v>
      </c>
      <c r="K13522" s="18" t="s">
        <v>477</v>
      </c>
    </row>
    <row r="13523">
      <c r="B13523" s="17" t="s">
        <v>477</v>
      </c>
      <c r="K13523" s="18" t="s">
        <v>477</v>
      </c>
    </row>
    <row r="13524">
      <c r="B13524" s="17" t="s">
        <v>477</v>
      </c>
      <c r="K13524" s="18" t="s">
        <v>477</v>
      </c>
    </row>
    <row r="13525">
      <c r="B13525" s="17" t="s">
        <v>477</v>
      </c>
      <c r="K13525" s="18" t="s">
        <v>477</v>
      </c>
    </row>
    <row r="13526">
      <c r="B13526" s="17" t="s">
        <v>477</v>
      </c>
      <c r="K13526" s="18" t="s">
        <v>477</v>
      </c>
    </row>
    <row r="13527">
      <c r="B13527" s="17" t="s">
        <v>477</v>
      </c>
      <c r="K13527" s="18" t="s">
        <v>477</v>
      </c>
    </row>
    <row r="13528">
      <c r="B13528" s="17" t="s">
        <v>477</v>
      </c>
      <c r="K13528" s="18" t="s">
        <v>477</v>
      </c>
    </row>
    <row r="13529">
      <c r="B13529" s="17" t="s">
        <v>477</v>
      </c>
      <c r="K13529" s="18" t="s">
        <v>477</v>
      </c>
    </row>
    <row r="13530">
      <c r="B13530" s="17" t="s">
        <v>477</v>
      </c>
      <c r="K13530" s="18" t="s">
        <v>477</v>
      </c>
    </row>
    <row r="13531">
      <c r="B13531" s="17" t="s">
        <v>477</v>
      </c>
      <c r="K13531" s="18" t="s">
        <v>477</v>
      </c>
    </row>
    <row r="13532">
      <c r="B13532" s="17" t="s">
        <v>477</v>
      </c>
      <c r="K13532" s="18" t="s">
        <v>477</v>
      </c>
    </row>
    <row r="13533">
      <c r="B13533" s="17" t="s">
        <v>477</v>
      </c>
      <c r="K13533" s="18" t="s">
        <v>477</v>
      </c>
    </row>
    <row r="13534">
      <c r="B13534" s="17" t="s">
        <v>477</v>
      </c>
      <c r="K13534" s="18" t="s">
        <v>477</v>
      </c>
    </row>
    <row r="13535">
      <c r="B13535" s="17" t="s">
        <v>477</v>
      </c>
      <c r="K13535" s="18" t="s">
        <v>477</v>
      </c>
    </row>
    <row r="13536">
      <c r="B13536" s="17" t="s">
        <v>477</v>
      </c>
      <c r="K13536" s="18" t="s">
        <v>477</v>
      </c>
    </row>
    <row r="13537">
      <c r="B13537" s="17" t="s">
        <v>477</v>
      </c>
      <c r="K13537" s="18" t="s">
        <v>477</v>
      </c>
    </row>
    <row r="13538">
      <c r="B13538" s="17" t="s">
        <v>477</v>
      </c>
      <c r="K13538" s="18" t="s">
        <v>477</v>
      </c>
    </row>
    <row r="13539">
      <c r="B13539" s="17" t="s">
        <v>477</v>
      </c>
      <c r="K13539" s="18" t="s">
        <v>477</v>
      </c>
    </row>
    <row r="13540">
      <c r="B13540" s="17" t="s">
        <v>477</v>
      </c>
      <c r="K13540" s="18" t="s">
        <v>477</v>
      </c>
    </row>
    <row r="13541">
      <c r="B13541" s="17" t="s">
        <v>477</v>
      </c>
      <c r="K13541" s="18" t="s">
        <v>477</v>
      </c>
    </row>
    <row r="13542">
      <c r="B13542" s="17" t="s">
        <v>477</v>
      </c>
      <c r="K13542" s="18" t="s">
        <v>477</v>
      </c>
    </row>
    <row r="13543">
      <c r="B13543" s="17" t="s">
        <v>477</v>
      </c>
      <c r="K13543" s="18" t="s">
        <v>477</v>
      </c>
    </row>
    <row r="13544">
      <c r="B13544" s="17" t="s">
        <v>477</v>
      </c>
      <c r="K13544" s="18" t="s">
        <v>477</v>
      </c>
    </row>
    <row r="13545">
      <c r="B13545" s="17" t="s">
        <v>477</v>
      </c>
      <c r="K13545" s="18" t="s">
        <v>477</v>
      </c>
    </row>
    <row r="13546">
      <c r="B13546" s="17" t="s">
        <v>477</v>
      </c>
      <c r="K13546" s="18" t="s">
        <v>477</v>
      </c>
    </row>
    <row r="13547">
      <c r="B13547" s="17" t="s">
        <v>477</v>
      </c>
      <c r="K13547" s="18" t="s">
        <v>477</v>
      </c>
    </row>
    <row r="13548">
      <c r="B13548" s="17" t="s">
        <v>477</v>
      </c>
      <c r="K13548" s="18" t="s">
        <v>477</v>
      </c>
    </row>
    <row r="13549">
      <c r="B13549" s="17" t="s">
        <v>477</v>
      </c>
      <c r="K13549" s="18" t="s">
        <v>477</v>
      </c>
    </row>
    <row r="13550">
      <c r="B13550" s="17" t="s">
        <v>477</v>
      </c>
      <c r="K13550" s="18" t="s">
        <v>477</v>
      </c>
    </row>
    <row r="13551">
      <c r="B13551" s="17" t="s">
        <v>477</v>
      </c>
      <c r="K13551" s="18" t="s">
        <v>477</v>
      </c>
    </row>
    <row r="13552">
      <c r="B13552" s="17" t="s">
        <v>477</v>
      </c>
      <c r="K13552" s="18" t="s">
        <v>477</v>
      </c>
    </row>
    <row r="13553">
      <c r="B13553" s="17" t="s">
        <v>477</v>
      </c>
      <c r="K13553" s="18" t="s">
        <v>477</v>
      </c>
    </row>
    <row r="13554">
      <c r="B13554" s="17" t="s">
        <v>477</v>
      </c>
      <c r="K13554" s="18" t="s">
        <v>477</v>
      </c>
    </row>
    <row r="13555">
      <c r="B13555" s="17" t="s">
        <v>477</v>
      </c>
      <c r="K13555" s="18" t="s">
        <v>477</v>
      </c>
    </row>
    <row r="13556">
      <c r="B13556" s="17" t="s">
        <v>477</v>
      </c>
      <c r="K13556" s="18" t="s">
        <v>477</v>
      </c>
    </row>
    <row r="13557">
      <c r="B13557" s="17" t="s">
        <v>477</v>
      </c>
      <c r="K13557" s="18" t="s">
        <v>477</v>
      </c>
    </row>
    <row r="13558">
      <c r="B13558" s="17" t="s">
        <v>477</v>
      </c>
      <c r="K13558" s="18" t="s">
        <v>477</v>
      </c>
    </row>
    <row r="13559">
      <c r="B13559" s="17" t="s">
        <v>477</v>
      </c>
      <c r="K13559" s="18" t="s">
        <v>477</v>
      </c>
    </row>
    <row r="13560">
      <c r="B13560" s="17" t="s">
        <v>477</v>
      </c>
      <c r="K13560" s="18" t="s">
        <v>477</v>
      </c>
    </row>
    <row r="13561">
      <c r="B13561" s="17" t="s">
        <v>477</v>
      </c>
      <c r="K13561" s="18" t="s">
        <v>477</v>
      </c>
    </row>
    <row r="13562">
      <c r="B13562" s="17" t="s">
        <v>477</v>
      </c>
      <c r="K13562" s="18" t="s">
        <v>477</v>
      </c>
    </row>
    <row r="13563">
      <c r="B13563" s="17" t="s">
        <v>477</v>
      </c>
      <c r="K13563" s="18" t="s">
        <v>477</v>
      </c>
    </row>
    <row r="13564">
      <c r="B13564" s="17" t="s">
        <v>477</v>
      </c>
      <c r="K13564" s="18" t="s">
        <v>477</v>
      </c>
    </row>
    <row r="13565">
      <c r="B13565" s="17" t="s">
        <v>477</v>
      </c>
      <c r="K13565" s="18" t="s">
        <v>477</v>
      </c>
    </row>
    <row r="13566">
      <c r="B13566" s="17" t="s">
        <v>477</v>
      </c>
      <c r="K13566" s="18" t="s">
        <v>477</v>
      </c>
    </row>
    <row r="13567">
      <c r="B13567" s="17" t="s">
        <v>477</v>
      </c>
      <c r="K13567" s="18" t="s">
        <v>477</v>
      </c>
    </row>
    <row r="13568">
      <c r="B13568" s="17" t="s">
        <v>477</v>
      </c>
      <c r="K13568" s="18" t="s">
        <v>477</v>
      </c>
    </row>
    <row r="13569">
      <c r="B13569" s="17" t="s">
        <v>477</v>
      </c>
      <c r="K13569" s="18" t="s">
        <v>477</v>
      </c>
    </row>
    <row r="13570">
      <c r="B13570" s="17" t="s">
        <v>477</v>
      </c>
      <c r="K13570" s="18" t="s">
        <v>477</v>
      </c>
    </row>
    <row r="13571">
      <c r="B13571" s="17" t="s">
        <v>477</v>
      </c>
      <c r="K13571" s="18" t="s">
        <v>477</v>
      </c>
    </row>
    <row r="13572">
      <c r="B13572" s="17" t="s">
        <v>477</v>
      </c>
      <c r="K13572" s="18" t="s">
        <v>477</v>
      </c>
    </row>
    <row r="13573">
      <c r="B13573" s="17" t="s">
        <v>477</v>
      </c>
      <c r="K13573" s="18" t="s">
        <v>477</v>
      </c>
    </row>
    <row r="13574">
      <c r="B13574" s="17" t="s">
        <v>477</v>
      </c>
      <c r="K13574" s="18" t="s">
        <v>477</v>
      </c>
    </row>
    <row r="13575">
      <c r="B13575" s="17" t="s">
        <v>477</v>
      </c>
      <c r="K13575" s="18" t="s">
        <v>477</v>
      </c>
    </row>
    <row r="13576">
      <c r="B13576" s="17" t="s">
        <v>477</v>
      </c>
      <c r="K13576" s="18" t="s">
        <v>477</v>
      </c>
    </row>
    <row r="13577">
      <c r="B13577" s="17" t="s">
        <v>477</v>
      </c>
      <c r="K13577" s="18" t="s">
        <v>477</v>
      </c>
    </row>
    <row r="13578">
      <c r="B13578" s="17" t="s">
        <v>477</v>
      </c>
      <c r="K13578" s="18" t="s">
        <v>477</v>
      </c>
    </row>
    <row r="13579">
      <c r="B13579" s="17" t="s">
        <v>477</v>
      </c>
      <c r="K13579" s="18" t="s">
        <v>477</v>
      </c>
    </row>
    <row r="13580">
      <c r="B13580" s="17" t="s">
        <v>477</v>
      </c>
      <c r="K13580" s="18" t="s">
        <v>477</v>
      </c>
    </row>
    <row r="13581">
      <c r="B13581" s="17" t="s">
        <v>477</v>
      </c>
      <c r="K13581" s="18" t="s">
        <v>477</v>
      </c>
    </row>
    <row r="13582">
      <c r="B13582" s="17" t="s">
        <v>477</v>
      </c>
      <c r="K13582" s="18" t="s">
        <v>477</v>
      </c>
    </row>
    <row r="13583">
      <c r="B13583" s="17" t="s">
        <v>477</v>
      </c>
      <c r="K13583" s="18" t="s">
        <v>477</v>
      </c>
    </row>
    <row r="13584">
      <c r="B13584" s="17" t="s">
        <v>477</v>
      </c>
      <c r="K13584" s="18" t="s">
        <v>477</v>
      </c>
    </row>
    <row r="13585">
      <c r="B13585" s="17" t="s">
        <v>477</v>
      </c>
      <c r="K13585" s="18" t="s">
        <v>477</v>
      </c>
    </row>
    <row r="13586">
      <c r="B13586" s="17" t="s">
        <v>477</v>
      </c>
      <c r="K13586" s="18" t="s">
        <v>477</v>
      </c>
    </row>
    <row r="13587">
      <c r="B13587" s="17" t="s">
        <v>477</v>
      </c>
      <c r="K13587" s="18" t="s">
        <v>477</v>
      </c>
    </row>
    <row r="13588">
      <c r="B13588" s="17" t="s">
        <v>477</v>
      </c>
      <c r="K13588" s="18" t="s">
        <v>477</v>
      </c>
    </row>
    <row r="13589">
      <c r="B13589" s="17" t="s">
        <v>477</v>
      </c>
      <c r="K13589" s="18" t="s">
        <v>477</v>
      </c>
    </row>
    <row r="13590">
      <c r="B13590" s="17" t="s">
        <v>477</v>
      </c>
      <c r="K13590" s="18" t="s">
        <v>477</v>
      </c>
    </row>
    <row r="13591">
      <c r="B13591" s="17" t="s">
        <v>477</v>
      </c>
      <c r="K13591" s="18" t="s">
        <v>477</v>
      </c>
    </row>
    <row r="13592">
      <c r="B13592" s="17" t="s">
        <v>477</v>
      </c>
      <c r="K13592" s="18" t="s">
        <v>477</v>
      </c>
    </row>
    <row r="13593">
      <c r="B13593" s="17" t="s">
        <v>477</v>
      </c>
      <c r="K13593" s="18" t="s">
        <v>477</v>
      </c>
    </row>
    <row r="13594">
      <c r="B13594" s="17" t="s">
        <v>477</v>
      </c>
      <c r="K13594" s="18" t="s">
        <v>477</v>
      </c>
    </row>
    <row r="13595">
      <c r="B13595" s="17" t="s">
        <v>477</v>
      </c>
      <c r="K13595" s="18" t="s">
        <v>477</v>
      </c>
    </row>
    <row r="13596">
      <c r="B13596" s="17" t="s">
        <v>477</v>
      </c>
      <c r="K13596" s="18" t="s">
        <v>477</v>
      </c>
    </row>
    <row r="13597">
      <c r="B13597" s="17" t="s">
        <v>477</v>
      </c>
      <c r="K13597" s="18" t="s">
        <v>477</v>
      </c>
    </row>
    <row r="13598">
      <c r="B13598" s="17" t="s">
        <v>477</v>
      </c>
      <c r="K13598" s="18" t="s">
        <v>477</v>
      </c>
    </row>
    <row r="13599">
      <c r="B13599" s="17" t="s">
        <v>477</v>
      </c>
      <c r="K13599" s="18" t="s">
        <v>477</v>
      </c>
    </row>
    <row r="13600">
      <c r="B13600" s="17" t="s">
        <v>477</v>
      </c>
      <c r="K13600" s="18" t="s">
        <v>477</v>
      </c>
    </row>
    <row r="13601">
      <c r="B13601" s="17" t="s">
        <v>477</v>
      </c>
      <c r="K13601" s="18" t="s">
        <v>477</v>
      </c>
    </row>
    <row r="13602">
      <c r="B13602" s="17" t="s">
        <v>477</v>
      </c>
      <c r="K13602" s="18" t="s">
        <v>477</v>
      </c>
    </row>
    <row r="13603">
      <c r="B13603" s="17" t="s">
        <v>477</v>
      </c>
      <c r="K13603" s="18" t="s">
        <v>477</v>
      </c>
    </row>
    <row r="13604">
      <c r="B13604" s="17" t="s">
        <v>477</v>
      </c>
      <c r="K13604" s="18" t="s">
        <v>477</v>
      </c>
    </row>
    <row r="13605">
      <c r="B13605" s="17" t="s">
        <v>477</v>
      </c>
      <c r="K13605" s="18" t="s">
        <v>477</v>
      </c>
    </row>
    <row r="13606">
      <c r="B13606" s="17" t="s">
        <v>477</v>
      </c>
      <c r="K13606" s="18" t="s">
        <v>477</v>
      </c>
    </row>
    <row r="13607">
      <c r="B13607" s="17" t="s">
        <v>477</v>
      </c>
      <c r="K13607" s="18" t="s">
        <v>477</v>
      </c>
    </row>
    <row r="13608">
      <c r="B13608" s="17" t="s">
        <v>477</v>
      </c>
      <c r="K13608" s="18" t="s">
        <v>477</v>
      </c>
    </row>
    <row r="13609">
      <c r="B13609" s="17" t="s">
        <v>477</v>
      </c>
      <c r="K13609" s="18" t="s">
        <v>477</v>
      </c>
    </row>
    <row r="13610">
      <c r="B13610" s="17" t="s">
        <v>477</v>
      </c>
      <c r="K13610" s="18" t="s">
        <v>477</v>
      </c>
    </row>
    <row r="13611">
      <c r="B13611" s="17" t="s">
        <v>477</v>
      </c>
      <c r="K13611" s="18" t="s">
        <v>477</v>
      </c>
    </row>
    <row r="13612">
      <c r="B13612" s="17" t="s">
        <v>477</v>
      </c>
      <c r="K13612" s="18" t="s">
        <v>477</v>
      </c>
    </row>
    <row r="13613">
      <c r="B13613" s="17" t="s">
        <v>477</v>
      </c>
      <c r="K13613" s="18" t="s">
        <v>477</v>
      </c>
    </row>
    <row r="13614">
      <c r="B13614" s="17" t="s">
        <v>477</v>
      </c>
      <c r="K13614" s="18" t="s">
        <v>477</v>
      </c>
    </row>
    <row r="13615">
      <c r="B13615" s="17" t="s">
        <v>477</v>
      </c>
      <c r="K13615" s="18" t="s">
        <v>477</v>
      </c>
    </row>
    <row r="13616">
      <c r="B13616" s="17" t="s">
        <v>477</v>
      </c>
      <c r="K13616" s="18" t="s">
        <v>477</v>
      </c>
    </row>
    <row r="13617">
      <c r="B13617" s="17" t="s">
        <v>477</v>
      </c>
      <c r="K13617" s="18" t="s">
        <v>477</v>
      </c>
    </row>
    <row r="13618">
      <c r="B13618" s="17" t="s">
        <v>477</v>
      </c>
      <c r="K13618" s="18" t="s">
        <v>477</v>
      </c>
    </row>
    <row r="13619">
      <c r="B13619" s="17" t="s">
        <v>477</v>
      </c>
      <c r="K13619" s="18" t="s">
        <v>477</v>
      </c>
    </row>
    <row r="13620">
      <c r="B13620" s="17" t="s">
        <v>477</v>
      </c>
      <c r="K13620" s="18" t="s">
        <v>477</v>
      </c>
    </row>
    <row r="13621">
      <c r="B13621" s="17" t="s">
        <v>477</v>
      </c>
      <c r="K13621" s="18" t="s">
        <v>477</v>
      </c>
    </row>
    <row r="13622">
      <c r="B13622" s="17" t="s">
        <v>477</v>
      </c>
      <c r="K13622" s="18" t="s">
        <v>477</v>
      </c>
    </row>
    <row r="13623">
      <c r="B13623" s="17" t="s">
        <v>477</v>
      </c>
      <c r="K13623" s="18" t="s">
        <v>477</v>
      </c>
    </row>
    <row r="13624">
      <c r="B13624" s="17" t="s">
        <v>477</v>
      </c>
      <c r="K13624" s="18" t="s">
        <v>477</v>
      </c>
    </row>
    <row r="13625">
      <c r="B13625" s="17" t="s">
        <v>477</v>
      </c>
      <c r="K13625" s="18" t="s">
        <v>477</v>
      </c>
    </row>
    <row r="13626">
      <c r="B13626" s="17" t="s">
        <v>477</v>
      </c>
      <c r="K13626" s="18" t="s">
        <v>477</v>
      </c>
    </row>
    <row r="13627">
      <c r="B13627" s="17" t="s">
        <v>477</v>
      </c>
      <c r="K13627" s="18" t="s">
        <v>477</v>
      </c>
    </row>
    <row r="13628">
      <c r="B13628" s="17" t="s">
        <v>477</v>
      </c>
      <c r="K13628" s="18" t="s">
        <v>477</v>
      </c>
    </row>
    <row r="13629">
      <c r="B13629" s="17" t="s">
        <v>477</v>
      </c>
      <c r="K13629" s="18" t="s">
        <v>477</v>
      </c>
    </row>
    <row r="13630">
      <c r="B13630" s="17" t="s">
        <v>477</v>
      </c>
      <c r="K13630" s="18" t="s">
        <v>477</v>
      </c>
    </row>
    <row r="13631">
      <c r="B13631" s="17" t="s">
        <v>477</v>
      </c>
      <c r="K13631" s="18" t="s">
        <v>477</v>
      </c>
    </row>
    <row r="13632">
      <c r="B13632" s="17" t="s">
        <v>477</v>
      </c>
      <c r="K13632" s="18" t="s">
        <v>477</v>
      </c>
    </row>
    <row r="13633">
      <c r="B13633" s="17" t="s">
        <v>477</v>
      </c>
      <c r="K13633" s="18" t="s">
        <v>477</v>
      </c>
    </row>
    <row r="13634">
      <c r="B13634" s="17" t="s">
        <v>477</v>
      </c>
      <c r="K13634" s="18" t="s">
        <v>477</v>
      </c>
    </row>
    <row r="13635">
      <c r="B13635" s="17" t="s">
        <v>477</v>
      </c>
      <c r="K13635" s="18" t="s">
        <v>477</v>
      </c>
    </row>
    <row r="13636">
      <c r="B13636" s="17" t="s">
        <v>477</v>
      </c>
      <c r="K13636" s="18" t="s">
        <v>477</v>
      </c>
    </row>
    <row r="13637">
      <c r="B13637" s="17" t="s">
        <v>477</v>
      </c>
      <c r="K13637" s="18" t="s">
        <v>477</v>
      </c>
    </row>
    <row r="13638">
      <c r="B13638" s="17" t="s">
        <v>477</v>
      </c>
      <c r="K13638" s="18" t="s">
        <v>477</v>
      </c>
    </row>
    <row r="13639">
      <c r="B13639" s="17" t="s">
        <v>477</v>
      </c>
      <c r="K13639" s="18" t="s">
        <v>477</v>
      </c>
    </row>
    <row r="13640">
      <c r="B13640" s="17" t="s">
        <v>477</v>
      </c>
      <c r="K13640" s="18" t="s">
        <v>477</v>
      </c>
    </row>
    <row r="13641">
      <c r="B13641" s="17" t="s">
        <v>477</v>
      </c>
      <c r="K13641" s="18" t="s">
        <v>477</v>
      </c>
    </row>
    <row r="13642">
      <c r="B13642" s="17" t="s">
        <v>477</v>
      </c>
      <c r="K13642" s="18" t="s">
        <v>477</v>
      </c>
    </row>
    <row r="13643">
      <c r="B13643" s="17" t="s">
        <v>477</v>
      </c>
      <c r="K13643" s="18" t="s">
        <v>477</v>
      </c>
    </row>
    <row r="13644">
      <c r="B13644" s="17" t="s">
        <v>477</v>
      </c>
      <c r="K13644" s="18" t="s">
        <v>477</v>
      </c>
    </row>
    <row r="13645">
      <c r="B13645" s="17" t="s">
        <v>477</v>
      </c>
      <c r="K13645" s="18" t="s">
        <v>477</v>
      </c>
    </row>
    <row r="13646">
      <c r="B13646" s="17" t="s">
        <v>477</v>
      </c>
      <c r="K13646" s="18" t="s">
        <v>477</v>
      </c>
    </row>
    <row r="13647">
      <c r="B13647" s="17" t="s">
        <v>477</v>
      </c>
      <c r="K13647" s="18" t="s">
        <v>477</v>
      </c>
    </row>
    <row r="13648">
      <c r="B13648" s="17" t="s">
        <v>477</v>
      </c>
      <c r="K13648" s="18" t="s">
        <v>477</v>
      </c>
    </row>
    <row r="13649">
      <c r="B13649" s="17" t="s">
        <v>477</v>
      </c>
      <c r="K13649" s="18" t="s">
        <v>477</v>
      </c>
    </row>
    <row r="13650">
      <c r="B13650" s="17" t="s">
        <v>477</v>
      </c>
      <c r="K13650" s="18" t="s">
        <v>477</v>
      </c>
    </row>
    <row r="13651">
      <c r="B13651" s="17" t="s">
        <v>477</v>
      </c>
      <c r="K13651" s="18" t="s">
        <v>477</v>
      </c>
    </row>
    <row r="13652">
      <c r="B13652" s="17" t="s">
        <v>477</v>
      </c>
      <c r="K13652" s="18" t="s">
        <v>477</v>
      </c>
    </row>
    <row r="13653">
      <c r="B13653" s="17" t="s">
        <v>477</v>
      </c>
      <c r="K13653" s="18" t="s">
        <v>477</v>
      </c>
    </row>
    <row r="13654">
      <c r="B13654" s="17" t="s">
        <v>477</v>
      </c>
      <c r="K13654" s="18" t="s">
        <v>477</v>
      </c>
    </row>
    <row r="13655">
      <c r="B13655" s="17" t="s">
        <v>477</v>
      </c>
      <c r="K13655" s="18" t="s">
        <v>477</v>
      </c>
    </row>
    <row r="13656">
      <c r="B13656" s="17" t="s">
        <v>477</v>
      </c>
      <c r="K13656" s="18" t="s">
        <v>477</v>
      </c>
    </row>
    <row r="13657">
      <c r="B13657" s="17" t="s">
        <v>477</v>
      </c>
      <c r="K13657" s="18" t="s">
        <v>477</v>
      </c>
    </row>
    <row r="13658">
      <c r="B13658" s="17" t="s">
        <v>477</v>
      </c>
      <c r="K13658" s="18" t="s">
        <v>477</v>
      </c>
    </row>
    <row r="13659">
      <c r="B13659" s="17" t="s">
        <v>477</v>
      </c>
      <c r="K13659" s="18" t="s">
        <v>477</v>
      </c>
    </row>
    <row r="13660">
      <c r="B13660" s="17" t="s">
        <v>477</v>
      </c>
      <c r="K13660" s="18" t="s">
        <v>477</v>
      </c>
    </row>
    <row r="13661">
      <c r="B13661" s="17" t="s">
        <v>477</v>
      </c>
      <c r="K13661" s="18" t="s">
        <v>477</v>
      </c>
    </row>
    <row r="13662">
      <c r="B13662" s="17" t="s">
        <v>477</v>
      </c>
      <c r="K13662" s="18" t="s">
        <v>477</v>
      </c>
    </row>
    <row r="13663">
      <c r="B13663" s="17" t="s">
        <v>477</v>
      </c>
      <c r="K13663" s="18" t="s">
        <v>477</v>
      </c>
    </row>
    <row r="13664">
      <c r="B13664" s="17" t="s">
        <v>477</v>
      </c>
      <c r="K13664" s="18" t="s">
        <v>477</v>
      </c>
    </row>
    <row r="13665">
      <c r="B13665" s="17" t="s">
        <v>477</v>
      </c>
      <c r="K13665" s="18" t="s">
        <v>477</v>
      </c>
    </row>
    <row r="13666">
      <c r="B13666" s="17" t="s">
        <v>477</v>
      </c>
      <c r="K13666" s="18" t="s">
        <v>477</v>
      </c>
    </row>
    <row r="13667">
      <c r="B13667" s="17" t="s">
        <v>477</v>
      </c>
      <c r="K13667" s="18" t="s">
        <v>477</v>
      </c>
    </row>
    <row r="13668">
      <c r="B13668" s="17" t="s">
        <v>477</v>
      </c>
      <c r="K13668" s="18" t="s">
        <v>477</v>
      </c>
    </row>
    <row r="13669">
      <c r="B13669" s="17" t="s">
        <v>477</v>
      </c>
      <c r="K13669" s="18" t="s">
        <v>477</v>
      </c>
    </row>
    <row r="13670">
      <c r="B13670" s="17" t="s">
        <v>477</v>
      </c>
      <c r="K13670" s="18" t="s">
        <v>477</v>
      </c>
    </row>
    <row r="13671">
      <c r="B13671" s="17" t="s">
        <v>477</v>
      </c>
      <c r="K13671" s="18" t="s">
        <v>477</v>
      </c>
    </row>
    <row r="13672">
      <c r="B13672" s="17" t="s">
        <v>477</v>
      </c>
      <c r="K13672" s="18" t="s">
        <v>477</v>
      </c>
    </row>
    <row r="13673">
      <c r="B13673" s="17" t="s">
        <v>477</v>
      </c>
      <c r="K13673" s="18" t="s">
        <v>477</v>
      </c>
    </row>
    <row r="13674">
      <c r="B13674" s="17" t="s">
        <v>477</v>
      </c>
      <c r="K13674" s="18" t="s">
        <v>477</v>
      </c>
    </row>
    <row r="13675">
      <c r="B13675" s="17" t="s">
        <v>477</v>
      </c>
      <c r="K13675" s="18" t="s">
        <v>477</v>
      </c>
    </row>
    <row r="13676">
      <c r="B13676" s="17" t="s">
        <v>477</v>
      </c>
      <c r="K13676" s="18" t="s">
        <v>477</v>
      </c>
    </row>
    <row r="13677">
      <c r="B13677" s="17" t="s">
        <v>477</v>
      </c>
      <c r="K13677" s="18" t="s">
        <v>477</v>
      </c>
    </row>
    <row r="13678">
      <c r="B13678" s="17" t="s">
        <v>477</v>
      </c>
      <c r="K13678" s="18" t="s">
        <v>477</v>
      </c>
    </row>
    <row r="13679">
      <c r="B13679" s="17" t="s">
        <v>477</v>
      </c>
      <c r="K13679" s="18" t="s">
        <v>477</v>
      </c>
    </row>
    <row r="13680">
      <c r="B13680" s="17" t="s">
        <v>477</v>
      </c>
      <c r="K13680" s="18" t="s">
        <v>477</v>
      </c>
    </row>
    <row r="13681">
      <c r="B13681" s="17" t="s">
        <v>477</v>
      </c>
      <c r="K13681" s="18" t="s">
        <v>477</v>
      </c>
    </row>
    <row r="13682">
      <c r="B13682" s="17" t="s">
        <v>477</v>
      </c>
      <c r="K13682" s="18" t="s">
        <v>477</v>
      </c>
    </row>
    <row r="13683">
      <c r="B13683" s="17" t="s">
        <v>477</v>
      </c>
      <c r="K13683" s="18" t="s">
        <v>477</v>
      </c>
    </row>
    <row r="13684">
      <c r="B13684" s="17" t="s">
        <v>477</v>
      </c>
      <c r="K13684" s="18" t="s">
        <v>477</v>
      </c>
    </row>
    <row r="13685">
      <c r="B13685" s="17" t="s">
        <v>477</v>
      </c>
      <c r="K13685" s="18" t="s">
        <v>477</v>
      </c>
    </row>
    <row r="13686">
      <c r="B13686" s="17" t="s">
        <v>477</v>
      </c>
      <c r="K13686" s="18" t="s">
        <v>477</v>
      </c>
    </row>
    <row r="13687">
      <c r="B13687" s="17" t="s">
        <v>477</v>
      </c>
      <c r="K13687" s="18" t="s">
        <v>477</v>
      </c>
    </row>
    <row r="13688">
      <c r="B13688" s="17" t="s">
        <v>477</v>
      </c>
      <c r="K13688" s="18" t="s">
        <v>477</v>
      </c>
    </row>
    <row r="13689">
      <c r="B13689" s="17" t="s">
        <v>477</v>
      </c>
      <c r="K13689" s="18" t="s">
        <v>477</v>
      </c>
    </row>
    <row r="13690">
      <c r="B13690" s="17" t="s">
        <v>477</v>
      </c>
      <c r="K13690" s="18" t="s">
        <v>477</v>
      </c>
    </row>
    <row r="13691">
      <c r="B13691" s="17" t="s">
        <v>477</v>
      </c>
      <c r="K13691" s="18" t="s">
        <v>477</v>
      </c>
    </row>
    <row r="13692">
      <c r="B13692" s="17" t="s">
        <v>477</v>
      </c>
      <c r="K13692" s="18" t="s">
        <v>477</v>
      </c>
    </row>
    <row r="13693">
      <c r="B13693" s="17" t="s">
        <v>477</v>
      </c>
      <c r="K13693" s="18" t="s">
        <v>477</v>
      </c>
    </row>
    <row r="13694">
      <c r="B13694" s="17" t="s">
        <v>477</v>
      </c>
      <c r="K13694" s="18" t="s">
        <v>477</v>
      </c>
    </row>
    <row r="13695">
      <c r="B13695" s="17" t="s">
        <v>477</v>
      </c>
      <c r="K13695" s="18" t="s">
        <v>477</v>
      </c>
    </row>
    <row r="13696">
      <c r="B13696" s="17" t="s">
        <v>477</v>
      </c>
      <c r="K13696" s="18" t="s">
        <v>477</v>
      </c>
    </row>
    <row r="13697">
      <c r="B13697" s="17" t="s">
        <v>477</v>
      </c>
      <c r="K13697" s="18" t="s">
        <v>477</v>
      </c>
    </row>
    <row r="13698">
      <c r="B13698" s="17" t="s">
        <v>477</v>
      </c>
      <c r="K13698" s="18" t="s">
        <v>477</v>
      </c>
    </row>
    <row r="13699">
      <c r="B13699" s="17" t="s">
        <v>477</v>
      </c>
      <c r="K13699" s="18" t="s">
        <v>477</v>
      </c>
    </row>
    <row r="13700">
      <c r="B13700" s="17" t="s">
        <v>477</v>
      </c>
      <c r="K13700" s="18" t="s">
        <v>477</v>
      </c>
    </row>
    <row r="13701">
      <c r="B13701" s="17" t="s">
        <v>477</v>
      </c>
      <c r="K13701" s="18" t="s">
        <v>477</v>
      </c>
    </row>
    <row r="13702">
      <c r="B13702" s="17" t="s">
        <v>477</v>
      </c>
      <c r="K13702" s="18" t="s">
        <v>477</v>
      </c>
    </row>
    <row r="13703">
      <c r="B13703" s="17" t="s">
        <v>477</v>
      </c>
      <c r="K13703" s="18" t="s">
        <v>477</v>
      </c>
    </row>
    <row r="13704">
      <c r="B13704" s="17" t="s">
        <v>477</v>
      </c>
      <c r="K13704" s="18" t="s">
        <v>477</v>
      </c>
    </row>
    <row r="13705">
      <c r="B13705" s="17" t="s">
        <v>477</v>
      </c>
      <c r="K13705" s="18" t="s">
        <v>477</v>
      </c>
    </row>
    <row r="13706">
      <c r="B13706" s="17" t="s">
        <v>477</v>
      </c>
      <c r="K13706" s="18" t="s">
        <v>477</v>
      </c>
    </row>
    <row r="13707">
      <c r="B13707" s="17" t="s">
        <v>477</v>
      </c>
      <c r="K13707" s="18" t="s">
        <v>477</v>
      </c>
    </row>
    <row r="13708">
      <c r="B13708" s="17" t="s">
        <v>477</v>
      </c>
      <c r="K13708" s="18" t="s">
        <v>477</v>
      </c>
    </row>
    <row r="13709">
      <c r="B13709" s="17" t="s">
        <v>477</v>
      </c>
      <c r="K13709" s="18" t="s">
        <v>477</v>
      </c>
    </row>
    <row r="13710">
      <c r="B13710" s="17" t="s">
        <v>477</v>
      </c>
      <c r="K13710" s="18" t="s">
        <v>477</v>
      </c>
    </row>
    <row r="13711">
      <c r="B13711" s="17" t="s">
        <v>477</v>
      </c>
      <c r="K13711" s="18" t="s">
        <v>477</v>
      </c>
    </row>
    <row r="13712">
      <c r="B13712" s="17" t="s">
        <v>477</v>
      </c>
      <c r="K13712" s="18" t="s">
        <v>477</v>
      </c>
    </row>
    <row r="13713">
      <c r="B13713" s="17" t="s">
        <v>477</v>
      </c>
      <c r="K13713" s="18" t="s">
        <v>477</v>
      </c>
    </row>
    <row r="13714">
      <c r="B13714" s="17" t="s">
        <v>477</v>
      </c>
      <c r="K13714" s="18" t="s">
        <v>477</v>
      </c>
    </row>
    <row r="13715">
      <c r="B13715" s="17" t="s">
        <v>477</v>
      </c>
      <c r="K13715" s="18" t="s">
        <v>477</v>
      </c>
    </row>
    <row r="13716">
      <c r="B13716" s="17" t="s">
        <v>477</v>
      </c>
      <c r="K13716" s="18" t="s">
        <v>477</v>
      </c>
    </row>
    <row r="13717">
      <c r="B13717" s="17" t="s">
        <v>477</v>
      </c>
      <c r="K13717" s="18" t="s">
        <v>477</v>
      </c>
    </row>
    <row r="13718">
      <c r="B13718" s="17" t="s">
        <v>477</v>
      </c>
      <c r="K13718" s="18" t="s">
        <v>477</v>
      </c>
    </row>
    <row r="13719">
      <c r="B13719" s="17" t="s">
        <v>477</v>
      </c>
      <c r="K13719" s="18" t="s">
        <v>477</v>
      </c>
    </row>
    <row r="13720">
      <c r="B13720" s="17" t="s">
        <v>477</v>
      </c>
      <c r="K13720" s="18" t="s">
        <v>477</v>
      </c>
    </row>
    <row r="13721">
      <c r="B13721" s="17" t="s">
        <v>477</v>
      </c>
      <c r="K13721" s="18" t="s">
        <v>477</v>
      </c>
    </row>
    <row r="13722">
      <c r="B13722" s="17" t="s">
        <v>477</v>
      </c>
      <c r="K13722" s="18" t="s">
        <v>477</v>
      </c>
    </row>
    <row r="13723">
      <c r="B13723" s="17" t="s">
        <v>477</v>
      </c>
      <c r="K13723" s="18" t="s">
        <v>477</v>
      </c>
    </row>
    <row r="13724">
      <c r="B13724" s="17" t="s">
        <v>477</v>
      </c>
      <c r="K13724" s="18" t="s">
        <v>477</v>
      </c>
    </row>
    <row r="13725">
      <c r="B13725" s="17" t="s">
        <v>477</v>
      </c>
      <c r="K13725" s="18" t="s">
        <v>477</v>
      </c>
    </row>
    <row r="13726">
      <c r="B13726" s="17" t="s">
        <v>477</v>
      </c>
      <c r="K13726" s="18" t="s">
        <v>477</v>
      </c>
    </row>
    <row r="13727">
      <c r="B13727" s="17" t="s">
        <v>477</v>
      </c>
      <c r="K13727" s="18" t="s">
        <v>477</v>
      </c>
    </row>
    <row r="13728">
      <c r="B13728" s="17" t="s">
        <v>477</v>
      </c>
      <c r="K13728" s="18" t="s">
        <v>477</v>
      </c>
    </row>
    <row r="13729">
      <c r="B13729" s="17" t="s">
        <v>477</v>
      </c>
      <c r="K13729" s="18" t="s">
        <v>477</v>
      </c>
    </row>
    <row r="13730">
      <c r="B13730" s="17" t="s">
        <v>477</v>
      </c>
      <c r="K13730" s="18" t="s">
        <v>477</v>
      </c>
    </row>
    <row r="13731">
      <c r="B13731" s="17" t="s">
        <v>477</v>
      </c>
      <c r="K13731" s="18" t="s">
        <v>477</v>
      </c>
    </row>
    <row r="13732">
      <c r="B13732" s="17" t="s">
        <v>477</v>
      </c>
      <c r="K13732" s="18" t="s">
        <v>477</v>
      </c>
    </row>
    <row r="13733">
      <c r="B13733" s="17" t="s">
        <v>477</v>
      </c>
      <c r="K13733" s="18" t="s">
        <v>477</v>
      </c>
    </row>
    <row r="13734">
      <c r="B13734" s="17" t="s">
        <v>477</v>
      </c>
      <c r="K13734" s="18" t="s">
        <v>477</v>
      </c>
    </row>
    <row r="13735">
      <c r="B13735" s="17" t="s">
        <v>477</v>
      </c>
      <c r="K13735" s="18" t="s">
        <v>477</v>
      </c>
    </row>
    <row r="13736">
      <c r="B13736" s="17" t="s">
        <v>477</v>
      </c>
      <c r="K13736" s="18" t="s">
        <v>477</v>
      </c>
    </row>
    <row r="13737">
      <c r="B13737" s="17" t="s">
        <v>477</v>
      </c>
      <c r="K13737" s="18" t="s">
        <v>477</v>
      </c>
    </row>
    <row r="13738">
      <c r="B13738" s="17" t="s">
        <v>477</v>
      </c>
      <c r="K13738" s="18" t="s">
        <v>477</v>
      </c>
    </row>
    <row r="13739">
      <c r="B13739" s="17" t="s">
        <v>477</v>
      </c>
      <c r="K13739" s="18" t="s">
        <v>477</v>
      </c>
    </row>
    <row r="13740">
      <c r="B13740" s="17" t="s">
        <v>477</v>
      </c>
      <c r="K13740" s="18" t="s">
        <v>477</v>
      </c>
    </row>
    <row r="13741">
      <c r="B13741" s="17" t="s">
        <v>477</v>
      </c>
      <c r="K13741" s="18" t="s">
        <v>477</v>
      </c>
    </row>
    <row r="13742">
      <c r="B13742" s="17" t="s">
        <v>477</v>
      </c>
      <c r="K13742" s="18" t="s">
        <v>477</v>
      </c>
    </row>
    <row r="13743">
      <c r="B13743" s="17" t="s">
        <v>477</v>
      </c>
      <c r="K13743" s="18" t="s">
        <v>477</v>
      </c>
    </row>
    <row r="13744">
      <c r="B13744" s="17" t="s">
        <v>477</v>
      </c>
      <c r="K13744" s="18" t="s">
        <v>477</v>
      </c>
    </row>
    <row r="13745">
      <c r="B13745" s="17" t="s">
        <v>477</v>
      </c>
      <c r="K13745" s="18" t="s">
        <v>477</v>
      </c>
    </row>
    <row r="13746">
      <c r="B13746" s="17" t="s">
        <v>477</v>
      </c>
      <c r="K13746" s="18" t="s">
        <v>477</v>
      </c>
    </row>
    <row r="13747">
      <c r="B13747" s="17" t="s">
        <v>477</v>
      </c>
      <c r="K13747" s="18" t="s">
        <v>477</v>
      </c>
    </row>
    <row r="13748">
      <c r="B13748" s="17" t="s">
        <v>477</v>
      </c>
      <c r="K13748" s="18" t="s">
        <v>477</v>
      </c>
    </row>
    <row r="13749">
      <c r="B13749" s="17" t="s">
        <v>477</v>
      </c>
      <c r="K13749" s="18" t="s">
        <v>477</v>
      </c>
    </row>
    <row r="13750">
      <c r="B13750" s="17" t="s">
        <v>477</v>
      </c>
      <c r="K13750" s="18" t="s">
        <v>477</v>
      </c>
    </row>
    <row r="13751">
      <c r="B13751" s="17" t="s">
        <v>477</v>
      </c>
      <c r="K13751" s="18" t="s">
        <v>477</v>
      </c>
    </row>
    <row r="13752">
      <c r="B13752" s="17" t="s">
        <v>477</v>
      </c>
      <c r="K13752" s="18" t="s">
        <v>477</v>
      </c>
    </row>
    <row r="13753">
      <c r="B13753" s="17" t="s">
        <v>477</v>
      </c>
      <c r="K13753" s="18" t="s">
        <v>477</v>
      </c>
    </row>
    <row r="13754">
      <c r="B13754" s="17" t="s">
        <v>477</v>
      </c>
      <c r="K13754" s="18" t="s">
        <v>477</v>
      </c>
    </row>
    <row r="13755">
      <c r="B13755" s="17" t="s">
        <v>477</v>
      </c>
      <c r="K13755" s="18" t="s">
        <v>477</v>
      </c>
    </row>
    <row r="13756">
      <c r="B13756" s="17" t="s">
        <v>477</v>
      </c>
      <c r="K13756" s="18" t="s">
        <v>477</v>
      </c>
    </row>
    <row r="13757">
      <c r="B13757" s="17" t="s">
        <v>477</v>
      </c>
      <c r="K13757" s="18" t="s">
        <v>477</v>
      </c>
    </row>
    <row r="13758">
      <c r="B13758" s="17" t="s">
        <v>477</v>
      </c>
      <c r="K13758" s="18" t="s">
        <v>477</v>
      </c>
    </row>
    <row r="13759">
      <c r="B13759" s="17" t="s">
        <v>477</v>
      </c>
      <c r="K13759" s="18" t="s">
        <v>477</v>
      </c>
    </row>
    <row r="13760">
      <c r="B13760" s="17" t="s">
        <v>477</v>
      </c>
      <c r="K13760" s="18" t="s">
        <v>477</v>
      </c>
    </row>
    <row r="13761">
      <c r="B13761" s="17" t="s">
        <v>477</v>
      </c>
      <c r="K13761" s="18" t="s">
        <v>477</v>
      </c>
    </row>
    <row r="13762">
      <c r="B13762" s="17" t="s">
        <v>477</v>
      </c>
      <c r="K13762" s="18" t="s">
        <v>477</v>
      </c>
    </row>
    <row r="13763">
      <c r="B13763" s="17" t="s">
        <v>477</v>
      </c>
      <c r="K13763" s="18" t="s">
        <v>477</v>
      </c>
    </row>
    <row r="13764">
      <c r="B13764" s="17" t="s">
        <v>477</v>
      </c>
      <c r="K13764" s="18" t="s">
        <v>477</v>
      </c>
    </row>
    <row r="13765">
      <c r="B13765" s="17" t="s">
        <v>477</v>
      </c>
      <c r="K13765" s="18" t="s">
        <v>477</v>
      </c>
    </row>
    <row r="13766">
      <c r="B13766" s="17" t="s">
        <v>477</v>
      </c>
      <c r="K13766" s="18" t="s">
        <v>477</v>
      </c>
    </row>
    <row r="13767">
      <c r="B13767" s="17" t="s">
        <v>477</v>
      </c>
      <c r="K13767" s="18" t="s">
        <v>477</v>
      </c>
    </row>
    <row r="13768">
      <c r="B13768" s="17" t="s">
        <v>477</v>
      </c>
      <c r="K13768" s="18" t="s">
        <v>477</v>
      </c>
    </row>
    <row r="13769">
      <c r="B13769" s="17" t="s">
        <v>477</v>
      </c>
      <c r="K13769" s="18" t="s">
        <v>477</v>
      </c>
    </row>
    <row r="13770">
      <c r="B13770" s="17" t="s">
        <v>477</v>
      </c>
      <c r="K13770" s="18" t="s">
        <v>477</v>
      </c>
    </row>
    <row r="13771">
      <c r="B13771" s="17" t="s">
        <v>477</v>
      </c>
      <c r="K13771" s="18" t="s">
        <v>477</v>
      </c>
    </row>
    <row r="13772">
      <c r="B13772" s="17" t="s">
        <v>477</v>
      </c>
      <c r="K13772" s="18" t="s">
        <v>477</v>
      </c>
    </row>
    <row r="13773">
      <c r="B13773" s="17" t="s">
        <v>477</v>
      </c>
      <c r="K13773" s="18" t="s">
        <v>477</v>
      </c>
    </row>
    <row r="13774">
      <c r="B13774" s="17" t="s">
        <v>477</v>
      </c>
      <c r="K13774" s="18" t="s">
        <v>477</v>
      </c>
    </row>
    <row r="13775">
      <c r="B13775" s="17" t="s">
        <v>477</v>
      </c>
      <c r="K13775" s="18" t="s">
        <v>477</v>
      </c>
    </row>
    <row r="13776">
      <c r="B13776" s="17" t="s">
        <v>477</v>
      </c>
      <c r="K13776" s="18" t="s">
        <v>477</v>
      </c>
    </row>
    <row r="13777">
      <c r="B13777" s="17" t="s">
        <v>477</v>
      </c>
      <c r="K13777" s="18" t="s">
        <v>477</v>
      </c>
    </row>
    <row r="13778">
      <c r="B13778" s="17" t="s">
        <v>477</v>
      </c>
      <c r="K13778" s="18" t="s">
        <v>477</v>
      </c>
    </row>
    <row r="13779">
      <c r="B13779" s="17" t="s">
        <v>477</v>
      </c>
      <c r="K13779" s="18" t="s">
        <v>477</v>
      </c>
    </row>
    <row r="13780">
      <c r="B13780" s="17" t="s">
        <v>477</v>
      </c>
      <c r="K13780" s="18" t="s">
        <v>477</v>
      </c>
    </row>
    <row r="13781">
      <c r="B13781" s="17" t="s">
        <v>477</v>
      </c>
      <c r="K13781" s="18" t="s">
        <v>477</v>
      </c>
    </row>
    <row r="13782">
      <c r="B13782" s="17" t="s">
        <v>477</v>
      </c>
      <c r="K13782" s="18" t="s">
        <v>477</v>
      </c>
    </row>
    <row r="13783">
      <c r="B13783" s="17" t="s">
        <v>477</v>
      </c>
      <c r="K13783" s="18" t="s">
        <v>477</v>
      </c>
    </row>
    <row r="13784">
      <c r="B13784" s="17" t="s">
        <v>477</v>
      </c>
      <c r="K13784" s="18" t="s">
        <v>477</v>
      </c>
    </row>
    <row r="13785">
      <c r="B13785" s="17" t="s">
        <v>477</v>
      </c>
      <c r="K13785" s="18" t="s">
        <v>477</v>
      </c>
    </row>
    <row r="13786">
      <c r="B13786" s="17" t="s">
        <v>477</v>
      </c>
      <c r="K13786" s="18" t="s">
        <v>477</v>
      </c>
    </row>
    <row r="13787">
      <c r="B13787" s="17" t="s">
        <v>477</v>
      </c>
      <c r="K13787" s="18" t="s">
        <v>477</v>
      </c>
    </row>
    <row r="13788">
      <c r="B13788" s="17" t="s">
        <v>477</v>
      </c>
      <c r="K13788" s="18" t="s">
        <v>477</v>
      </c>
    </row>
    <row r="13789">
      <c r="B13789" s="17" t="s">
        <v>477</v>
      </c>
      <c r="K13789" s="18" t="s">
        <v>477</v>
      </c>
    </row>
    <row r="13790">
      <c r="B13790" s="17" t="s">
        <v>477</v>
      </c>
      <c r="K13790" s="18" t="s">
        <v>477</v>
      </c>
    </row>
    <row r="13791">
      <c r="B13791" s="17" t="s">
        <v>477</v>
      </c>
      <c r="K13791" s="18" t="s">
        <v>477</v>
      </c>
    </row>
    <row r="13792">
      <c r="B13792" s="17" t="s">
        <v>477</v>
      </c>
      <c r="K13792" s="18" t="s">
        <v>477</v>
      </c>
    </row>
    <row r="13793">
      <c r="B13793" s="17" t="s">
        <v>477</v>
      </c>
      <c r="K13793" s="18" t="s">
        <v>477</v>
      </c>
    </row>
    <row r="13794">
      <c r="B13794" s="17" t="s">
        <v>477</v>
      </c>
      <c r="K13794" s="18" t="s">
        <v>477</v>
      </c>
    </row>
    <row r="13795">
      <c r="B13795" s="17" t="s">
        <v>477</v>
      </c>
      <c r="K13795" s="18" t="s">
        <v>477</v>
      </c>
    </row>
    <row r="13796">
      <c r="B13796" s="17" t="s">
        <v>477</v>
      </c>
      <c r="K13796" s="18" t="s">
        <v>477</v>
      </c>
    </row>
    <row r="13797">
      <c r="B13797" s="17" t="s">
        <v>477</v>
      </c>
      <c r="K13797" s="18" t="s">
        <v>477</v>
      </c>
    </row>
    <row r="13798">
      <c r="B13798" s="17" t="s">
        <v>477</v>
      </c>
      <c r="K13798" s="18" t="s">
        <v>477</v>
      </c>
    </row>
    <row r="13799">
      <c r="B13799" s="17" t="s">
        <v>477</v>
      </c>
      <c r="K13799" s="18" t="s">
        <v>477</v>
      </c>
    </row>
    <row r="13800">
      <c r="B13800" s="17" t="s">
        <v>477</v>
      </c>
      <c r="K13800" s="18" t="s">
        <v>477</v>
      </c>
    </row>
    <row r="13801">
      <c r="B13801" s="17" t="s">
        <v>477</v>
      </c>
      <c r="K13801" s="18" t="s">
        <v>477</v>
      </c>
    </row>
    <row r="13802">
      <c r="B13802" s="17" t="s">
        <v>477</v>
      </c>
      <c r="K13802" s="18" t="s">
        <v>477</v>
      </c>
    </row>
    <row r="13803">
      <c r="B13803" s="17" t="s">
        <v>477</v>
      </c>
      <c r="K13803" s="18" t="s">
        <v>477</v>
      </c>
    </row>
    <row r="13804">
      <c r="B13804" s="17" t="s">
        <v>477</v>
      </c>
      <c r="K13804" s="18" t="s">
        <v>477</v>
      </c>
    </row>
    <row r="13805">
      <c r="B13805" s="17" t="s">
        <v>477</v>
      </c>
      <c r="K13805" s="18" t="s">
        <v>477</v>
      </c>
    </row>
    <row r="13806">
      <c r="B13806" s="17" t="s">
        <v>477</v>
      </c>
      <c r="K13806" s="18" t="s">
        <v>477</v>
      </c>
    </row>
    <row r="13807">
      <c r="B13807" s="17" t="s">
        <v>477</v>
      </c>
      <c r="K13807" s="18" t="s">
        <v>477</v>
      </c>
    </row>
    <row r="13808">
      <c r="B13808" s="17" t="s">
        <v>477</v>
      </c>
      <c r="K13808" s="18" t="s">
        <v>477</v>
      </c>
    </row>
    <row r="13809">
      <c r="B13809" s="17" t="s">
        <v>477</v>
      </c>
      <c r="K13809" s="18" t="s">
        <v>477</v>
      </c>
    </row>
    <row r="13810">
      <c r="B13810" s="17" t="s">
        <v>477</v>
      </c>
      <c r="K13810" s="18" t="s">
        <v>477</v>
      </c>
    </row>
    <row r="13811">
      <c r="B13811" s="17" t="s">
        <v>477</v>
      </c>
      <c r="K13811" s="18" t="s">
        <v>477</v>
      </c>
    </row>
    <row r="13812">
      <c r="B13812" s="17" t="s">
        <v>477</v>
      </c>
      <c r="K13812" s="18" t="s">
        <v>477</v>
      </c>
    </row>
    <row r="13813">
      <c r="B13813" s="17" t="s">
        <v>477</v>
      </c>
      <c r="K13813" s="18" t="s">
        <v>477</v>
      </c>
    </row>
    <row r="13814">
      <c r="B13814" s="17" t="s">
        <v>477</v>
      </c>
      <c r="K13814" s="18" t="s">
        <v>477</v>
      </c>
    </row>
    <row r="13815">
      <c r="B13815" s="17" t="s">
        <v>477</v>
      </c>
      <c r="K13815" s="18" t="s">
        <v>477</v>
      </c>
    </row>
    <row r="13816">
      <c r="B13816" s="17" t="s">
        <v>477</v>
      </c>
      <c r="K13816" s="18" t="s">
        <v>477</v>
      </c>
    </row>
    <row r="13817">
      <c r="B13817" s="17" t="s">
        <v>477</v>
      </c>
      <c r="K13817" s="18" t="s">
        <v>477</v>
      </c>
    </row>
    <row r="13818">
      <c r="B13818" s="17" t="s">
        <v>477</v>
      </c>
      <c r="K13818" s="18" t="s">
        <v>477</v>
      </c>
    </row>
    <row r="13819">
      <c r="B13819" s="17" t="s">
        <v>477</v>
      </c>
      <c r="K13819" s="18" t="s">
        <v>477</v>
      </c>
    </row>
    <row r="13820">
      <c r="B13820" s="17" t="s">
        <v>477</v>
      </c>
      <c r="K13820" s="18" t="s">
        <v>477</v>
      </c>
    </row>
    <row r="13821">
      <c r="B13821" s="17" t="s">
        <v>477</v>
      </c>
      <c r="K13821" s="18" t="s">
        <v>477</v>
      </c>
    </row>
    <row r="13822">
      <c r="B13822" s="17" t="s">
        <v>477</v>
      </c>
      <c r="K13822" s="18" t="s">
        <v>477</v>
      </c>
    </row>
    <row r="13823">
      <c r="B13823" s="17" t="s">
        <v>477</v>
      </c>
      <c r="K13823" s="18" t="s">
        <v>477</v>
      </c>
    </row>
    <row r="13824">
      <c r="B13824" s="17" t="s">
        <v>477</v>
      </c>
      <c r="K13824" s="18" t="s">
        <v>477</v>
      </c>
    </row>
    <row r="13825">
      <c r="B13825" s="17" t="s">
        <v>477</v>
      </c>
      <c r="K13825" s="18" t="s">
        <v>477</v>
      </c>
    </row>
    <row r="13826">
      <c r="B13826" s="17" t="s">
        <v>477</v>
      </c>
      <c r="K13826" s="18" t="s">
        <v>477</v>
      </c>
    </row>
    <row r="13827">
      <c r="B13827" s="17" t="s">
        <v>477</v>
      </c>
      <c r="K13827" s="18" t="s">
        <v>477</v>
      </c>
    </row>
    <row r="13828">
      <c r="B13828" s="17" t="s">
        <v>477</v>
      </c>
      <c r="K13828" s="18" t="s">
        <v>477</v>
      </c>
    </row>
    <row r="13829">
      <c r="B13829" s="17" t="s">
        <v>477</v>
      </c>
      <c r="K13829" s="18" t="s">
        <v>477</v>
      </c>
    </row>
    <row r="13830">
      <c r="B13830" s="17" t="s">
        <v>477</v>
      </c>
      <c r="K13830" s="18" t="s">
        <v>477</v>
      </c>
    </row>
    <row r="13831">
      <c r="B13831" s="17" t="s">
        <v>477</v>
      </c>
      <c r="K13831" s="18" t="s">
        <v>477</v>
      </c>
    </row>
    <row r="13832">
      <c r="B13832" s="17" t="s">
        <v>477</v>
      </c>
      <c r="K13832" s="18" t="s">
        <v>477</v>
      </c>
    </row>
    <row r="13833">
      <c r="B13833" s="17" t="s">
        <v>477</v>
      </c>
      <c r="K13833" s="18" t="s">
        <v>477</v>
      </c>
    </row>
    <row r="13834">
      <c r="B13834" s="17" t="s">
        <v>477</v>
      </c>
      <c r="K13834" s="18" t="s">
        <v>477</v>
      </c>
    </row>
    <row r="13835">
      <c r="B13835" s="17" t="s">
        <v>477</v>
      </c>
      <c r="K13835" s="18" t="s">
        <v>477</v>
      </c>
    </row>
    <row r="13836">
      <c r="B13836" s="17" t="s">
        <v>477</v>
      </c>
      <c r="K13836" s="18" t="s">
        <v>477</v>
      </c>
    </row>
    <row r="13837">
      <c r="B13837" s="17" t="s">
        <v>477</v>
      </c>
      <c r="K13837" s="18" t="s">
        <v>477</v>
      </c>
    </row>
    <row r="13838">
      <c r="B13838" s="17" t="s">
        <v>477</v>
      </c>
      <c r="K13838" s="18" t="s">
        <v>477</v>
      </c>
    </row>
    <row r="13839">
      <c r="B13839" s="17" t="s">
        <v>477</v>
      </c>
      <c r="K13839" s="18" t="s">
        <v>477</v>
      </c>
    </row>
    <row r="13840">
      <c r="B13840" s="17" t="s">
        <v>477</v>
      </c>
      <c r="K13840" s="18" t="s">
        <v>477</v>
      </c>
    </row>
    <row r="13841">
      <c r="B13841" s="17" t="s">
        <v>477</v>
      </c>
      <c r="K13841" s="18" t="s">
        <v>477</v>
      </c>
    </row>
    <row r="13842">
      <c r="B13842" s="17" t="s">
        <v>477</v>
      </c>
      <c r="K13842" s="18" t="s">
        <v>477</v>
      </c>
    </row>
    <row r="13843">
      <c r="B13843" s="17" t="s">
        <v>477</v>
      </c>
      <c r="K13843" s="18" t="s">
        <v>477</v>
      </c>
    </row>
    <row r="13844">
      <c r="B13844" s="17" t="s">
        <v>477</v>
      </c>
      <c r="K13844" s="18" t="s">
        <v>477</v>
      </c>
    </row>
    <row r="13845">
      <c r="B13845" s="17" t="s">
        <v>477</v>
      </c>
      <c r="K13845" s="18" t="s">
        <v>477</v>
      </c>
    </row>
    <row r="13846">
      <c r="B13846" s="17" t="s">
        <v>477</v>
      </c>
      <c r="K13846" s="18" t="s">
        <v>477</v>
      </c>
    </row>
    <row r="13847">
      <c r="B13847" s="17" t="s">
        <v>477</v>
      </c>
      <c r="K13847" s="18" t="s">
        <v>477</v>
      </c>
    </row>
    <row r="13848">
      <c r="B13848" s="17" t="s">
        <v>477</v>
      </c>
      <c r="K13848" s="18" t="s">
        <v>477</v>
      </c>
    </row>
    <row r="13849">
      <c r="B13849" s="17" t="s">
        <v>477</v>
      </c>
      <c r="K13849" s="18" t="s">
        <v>477</v>
      </c>
    </row>
    <row r="13850">
      <c r="B13850" s="17" t="s">
        <v>477</v>
      </c>
      <c r="K13850" s="18" t="s">
        <v>477</v>
      </c>
    </row>
    <row r="13851">
      <c r="B13851" s="17" t="s">
        <v>477</v>
      </c>
      <c r="K13851" s="18" t="s">
        <v>477</v>
      </c>
    </row>
    <row r="13852">
      <c r="B13852" s="17" t="s">
        <v>477</v>
      </c>
      <c r="K13852" s="18" t="s">
        <v>477</v>
      </c>
    </row>
    <row r="13853">
      <c r="B13853" s="17" t="s">
        <v>477</v>
      </c>
      <c r="K13853" s="18" t="s">
        <v>477</v>
      </c>
    </row>
    <row r="13854">
      <c r="B13854" s="17" t="s">
        <v>477</v>
      </c>
      <c r="K13854" s="18" t="s">
        <v>477</v>
      </c>
    </row>
    <row r="13855">
      <c r="B13855" s="17" t="s">
        <v>477</v>
      </c>
      <c r="K13855" s="18" t="s">
        <v>477</v>
      </c>
    </row>
    <row r="13856">
      <c r="B13856" s="17" t="s">
        <v>477</v>
      </c>
      <c r="K13856" s="18" t="s">
        <v>477</v>
      </c>
    </row>
    <row r="13857">
      <c r="B13857" s="17" t="s">
        <v>477</v>
      </c>
      <c r="K13857" s="18" t="s">
        <v>477</v>
      </c>
    </row>
    <row r="13858">
      <c r="B13858" s="17" t="s">
        <v>477</v>
      </c>
      <c r="K13858" s="18" t="s">
        <v>477</v>
      </c>
    </row>
    <row r="13859">
      <c r="B13859" s="17" t="s">
        <v>477</v>
      </c>
      <c r="K13859" s="18" t="s">
        <v>477</v>
      </c>
    </row>
    <row r="13860">
      <c r="B13860" s="17" t="s">
        <v>477</v>
      </c>
      <c r="K13860" s="18" t="s">
        <v>477</v>
      </c>
    </row>
    <row r="13861">
      <c r="B13861" s="17" t="s">
        <v>477</v>
      </c>
      <c r="K13861" s="18" t="s">
        <v>477</v>
      </c>
    </row>
    <row r="13862">
      <c r="B13862" s="17" t="s">
        <v>477</v>
      </c>
      <c r="K13862" s="18" t="s">
        <v>477</v>
      </c>
    </row>
    <row r="13863">
      <c r="B13863" s="17" t="s">
        <v>477</v>
      </c>
      <c r="K13863" s="18" t="s">
        <v>477</v>
      </c>
    </row>
    <row r="13864">
      <c r="B13864" s="17" t="s">
        <v>477</v>
      </c>
      <c r="K13864" s="18" t="s">
        <v>477</v>
      </c>
    </row>
    <row r="13865">
      <c r="B13865" s="17" t="s">
        <v>477</v>
      </c>
      <c r="K13865" s="18" t="s">
        <v>477</v>
      </c>
    </row>
    <row r="13866">
      <c r="B13866" s="17" t="s">
        <v>477</v>
      </c>
      <c r="K13866" s="18" t="s">
        <v>477</v>
      </c>
    </row>
    <row r="13867">
      <c r="B13867" s="17" t="s">
        <v>477</v>
      </c>
      <c r="K13867" s="18" t="s">
        <v>477</v>
      </c>
    </row>
    <row r="13868">
      <c r="B13868" s="17" t="s">
        <v>477</v>
      </c>
      <c r="K13868" s="18" t="s">
        <v>477</v>
      </c>
    </row>
    <row r="13869">
      <c r="B13869" s="17" t="s">
        <v>477</v>
      </c>
      <c r="K13869" s="18" t="s">
        <v>477</v>
      </c>
    </row>
    <row r="13870">
      <c r="B13870" s="17" t="s">
        <v>477</v>
      </c>
      <c r="K13870" s="18" t="s">
        <v>477</v>
      </c>
    </row>
    <row r="13871">
      <c r="B13871" s="17" t="s">
        <v>477</v>
      </c>
      <c r="K13871" s="18" t="s">
        <v>477</v>
      </c>
    </row>
    <row r="13872">
      <c r="B13872" s="17" t="s">
        <v>477</v>
      </c>
      <c r="K13872" s="18" t="s">
        <v>477</v>
      </c>
    </row>
    <row r="13873">
      <c r="B13873" s="17" t="s">
        <v>477</v>
      </c>
      <c r="K13873" s="18" t="s">
        <v>477</v>
      </c>
    </row>
    <row r="13874">
      <c r="B13874" s="17" t="s">
        <v>477</v>
      </c>
      <c r="K13874" s="18" t="s">
        <v>477</v>
      </c>
    </row>
    <row r="13875">
      <c r="B13875" s="17" t="s">
        <v>477</v>
      </c>
      <c r="K13875" s="18" t="s">
        <v>477</v>
      </c>
    </row>
    <row r="13876">
      <c r="B13876" s="17" t="s">
        <v>477</v>
      </c>
      <c r="K13876" s="18" t="s">
        <v>477</v>
      </c>
    </row>
    <row r="13877">
      <c r="B13877" s="17" t="s">
        <v>477</v>
      </c>
      <c r="K13877" s="18" t="s">
        <v>477</v>
      </c>
    </row>
    <row r="13878">
      <c r="B13878" s="17" t="s">
        <v>477</v>
      </c>
      <c r="K13878" s="18" t="s">
        <v>477</v>
      </c>
    </row>
    <row r="13879">
      <c r="B13879" s="17" t="s">
        <v>477</v>
      </c>
      <c r="K13879" s="18" t="s">
        <v>477</v>
      </c>
    </row>
    <row r="13880">
      <c r="B13880" s="17" t="s">
        <v>477</v>
      </c>
      <c r="K13880" s="18" t="s">
        <v>477</v>
      </c>
    </row>
    <row r="13881">
      <c r="B13881" s="17" t="s">
        <v>477</v>
      </c>
      <c r="K13881" s="18" t="s">
        <v>477</v>
      </c>
    </row>
    <row r="13882">
      <c r="B13882" s="17" t="s">
        <v>477</v>
      </c>
      <c r="K13882" s="18" t="s">
        <v>477</v>
      </c>
    </row>
    <row r="13883">
      <c r="B13883" s="17" t="s">
        <v>477</v>
      </c>
      <c r="K13883" s="18" t="s">
        <v>477</v>
      </c>
    </row>
    <row r="13884">
      <c r="B13884" s="17" t="s">
        <v>477</v>
      </c>
      <c r="K13884" s="18" t="s">
        <v>477</v>
      </c>
    </row>
    <row r="13885">
      <c r="B13885" s="17" t="s">
        <v>477</v>
      </c>
      <c r="K13885" s="18" t="s">
        <v>477</v>
      </c>
    </row>
    <row r="13886">
      <c r="B13886" s="17" t="s">
        <v>477</v>
      </c>
      <c r="K13886" s="18" t="s">
        <v>477</v>
      </c>
    </row>
    <row r="13887">
      <c r="B13887" s="17" t="s">
        <v>477</v>
      </c>
      <c r="K13887" s="18" t="s">
        <v>477</v>
      </c>
    </row>
    <row r="13888">
      <c r="B13888" s="17" t="s">
        <v>477</v>
      </c>
      <c r="K13888" s="18" t="s">
        <v>477</v>
      </c>
    </row>
    <row r="13889">
      <c r="B13889" s="17" t="s">
        <v>477</v>
      </c>
      <c r="K13889" s="18" t="s">
        <v>477</v>
      </c>
    </row>
    <row r="13890">
      <c r="B13890" s="17" t="s">
        <v>477</v>
      </c>
      <c r="K13890" s="18" t="s">
        <v>477</v>
      </c>
    </row>
    <row r="13891">
      <c r="B13891" s="17" t="s">
        <v>477</v>
      </c>
      <c r="K13891" s="18" t="s">
        <v>477</v>
      </c>
    </row>
    <row r="13892">
      <c r="B13892" s="17" t="s">
        <v>477</v>
      </c>
      <c r="K13892" s="18" t="s">
        <v>477</v>
      </c>
    </row>
    <row r="13893">
      <c r="B13893" s="17" t="s">
        <v>477</v>
      </c>
      <c r="K13893" s="18" t="s">
        <v>477</v>
      </c>
    </row>
    <row r="13894">
      <c r="B13894" s="17" t="s">
        <v>477</v>
      </c>
      <c r="K13894" s="18" t="s">
        <v>477</v>
      </c>
    </row>
    <row r="13895">
      <c r="B13895" s="17" t="s">
        <v>477</v>
      </c>
      <c r="K13895" s="18" t="s">
        <v>477</v>
      </c>
    </row>
    <row r="13896">
      <c r="B13896" s="17" t="s">
        <v>477</v>
      </c>
      <c r="K13896" s="18" t="s">
        <v>477</v>
      </c>
    </row>
    <row r="13897">
      <c r="B13897" s="17" t="s">
        <v>477</v>
      </c>
      <c r="K13897" s="18" t="s">
        <v>477</v>
      </c>
    </row>
    <row r="13898">
      <c r="B13898" s="17" t="s">
        <v>477</v>
      </c>
      <c r="K13898" s="18" t="s">
        <v>477</v>
      </c>
    </row>
    <row r="13899">
      <c r="B13899" s="17" t="s">
        <v>477</v>
      </c>
      <c r="K13899" s="18" t="s">
        <v>477</v>
      </c>
    </row>
    <row r="13900">
      <c r="B13900" s="17" t="s">
        <v>477</v>
      </c>
      <c r="K13900" s="18" t="s">
        <v>477</v>
      </c>
    </row>
    <row r="13901">
      <c r="B13901" s="17" t="s">
        <v>477</v>
      </c>
      <c r="K13901" s="18" t="s">
        <v>477</v>
      </c>
    </row>
    <row r="13902">
      <c r="B13902" s="17" t="s">
        <v>477</v>
      </c>
      <c r="K13902" s="18" t="s">
        <v>477</v>
      </c>
    </row>
    <row r="13903">
      <c r="B13903" s="17" t="s">
        <v>477</v>
      </c>
      <c r="K13903" s="18" t="s">
        <v>477</v>
      </c>
    </row>
    <row r="13904">
      <c r="B13904" s="17" t="s">
        <v>477</v>
      </c>
      <c r="K13904" s="18" t="s">
        <v>477</v>
      </c>
    </row>
    <row r="13905">
      <c r="B13905" s="17" t="s">
        <v>477</v>
      </c>
      <c r="K13905" s="18" t="s">
        <v>477</v>
      </c>
    </row>
    <row r="13906">
      <c r="B13906" s="17" t="s">
        <v>477</v>
      </c>
      <c r="K13906" s="18" t="s">
        <v>477</v>
      </c>
    </row>
    <row r="13907">
      <c r="B13907" s="17" t="s">
        <v>477</v>
      </c>
      <c r="K13907" s="18" t="s">
        <v>477</v>
      </c>
    </row>
    <row r="13908">
      <c r="B13908" s="17" t="s">
        <v>477</v>
      </c>
      <c r="K13908" s="18" t="s">
        <v>477</v>
      </c>
    </row>
    <row r="13909">
      <c r="B13909" s="17" t="s">
        <v>477</v>
      </c>
      <c r="K13909" s="18" t="s">
        <v>477</v>
      </c>
    </row>
    <row r="13910">
      <c r="B13910" s="17" t="s">
        <v>477</v>
      </c>
      <c r="K13910" s="18" t="s">
        <v>477</v>
      </c>
    </row>
    <row r="13911">
      <c r="B13911" s="17" t="s">
        <v>477</v>
      </c>
      <c r="K13911" s="18" t="s">
        <v>477</v>
      </c>
    </row>
    <row r="13912">
      <c r="B13912" s="17" t="s">
        <v>477</v>
      </c>
      <c r="K13912" s="18" t="s">
        <v>477</v>
      </c>
    </row>
    <row r="13913">
      <c r="B13913" s="17" t="s">
        <v>477</v>
      </c>
      <c r="K13913" s="18" t="s">
        <v>477</v>
      </c>
    </row>
    <row r="13914">
      <c r="B13914" s="17" t="s">
        <v>477</v>
      </c>
      <c r="K13914" s="18" t="s">
        <v>477</v>
      </c>
    </row>
    <row r="13915">
      <c r="B13915" s="17" t="s">
        <v>477</v>
      </c>
      <c r="K13915" s="18" t="s">
        <v>477</v>
      </c>
    </row>
    <row r="13916">
      <c r="B13916" s="17" t="s">
        <v>477</v>
      </c>
      <c r="K13916" s="18" t="s">
        <v>477</v>
      </c>
    </row>
    <row r="13917">
      <c r="B13917" s="17" t="s">
        <v>477</v>
      </c>
      <c r="K13917" s="18" t="s">
        <v>477</v>
      </c>
    </row>
    <row r="13918">
      <c r="B13918" s="17" t="s">
        <v>477</v>
      </c>
      <c r="K13918" s="18" t="s">
        <v>477</v>
      </c>
    </row>
    <row r="13919">
      <c r="B13919" s="17" t="s">
        <v>477</v>
      </c>
      <c r="K13919" s="18" t="s">
        <v>477</v>
      </c>
    </row>
    <row r="13920">
      <c r="B13920" s="17" t="s">
        <v>477</v>
      </c>
      <c r="K13920" s="18" t="s">
        <v>477</v>
      </c>
    </row>
    <row r="13921">
      <c r="B13921" s="17" t="s">
        <v>477</v>
      </c>
      <c r="K13921" s="18" t="s">
        <v>477</v>
      </c>
    </row>
    <row r="13922">
      <c r="B13922" s="17" t="s">
        <v>477</v>
      </c>
      <c r="K13922" s="18" t="s">
        <v>477</v>
      </c>
    </row>
    <row r="13923">
      <c r="B13923" s="17" t="s">
        <v>477</v>
      </c>
      <c r="K13923" s="18" t="s">
        <v>477</v>
      </c>
    </row>
    <row r="13924">
      <c r="B13924" s="17" t="s">
        <v>477</v>
      </c>
      <c r="K13924" s="18" t="s">
        <v>477</v>
      </c>
    </row>
    <row r="13925">
      <c r="B13925" s="17" t="s">
        <v>477</v>
      </c>
      <c r="K13925" s="18" t="s">
        <v>477</v>
      </c>
    </row>
    <row r="13926">
      <c r="B13926" s="17" t="s">
        <v>477</v>
      </c>
      <c r="K13926" s="18" t="s">
        <v>477</v>
      </c>
    </row>
    <row r="13927">
      <c r="B13927" s="17" t="s">
        <v>477</v>
      </c>
      <c r="K13927" s="18" t="s">
        <v>477</v>
      </c>
    </row>
    <row r="13928">
      <c r="B13928" s="17" t="s">
        <v>477</v>
      </c>
      <c r="K13928" s="18" t="s">
        <v>477</v>
      </c>
    </row>
    <row r="13929">
      <c r="B13929" s="17" t="s">
        <v>477</v>
      </c>
      <c r="K13929" s="18" t="s">
        <v>477</v>
      </c>
    </row>
    <row r="13930">
      <c r="B13930" s="17" t="s">
        <v>477</v>
      </c>
      <c r="K13930" s="18" t="s">
        <v>477</v>
      </c>
    </row>
    <row r="13931">
      <c r="B13931" s="17" t="s">
        <v>477</v>
      </c>
      <c r="K13931" s="18" t="s">
        <v>477</v>
      </c>
    </row>
    <row r="13932">
      <c r="B13932" s="17" t="s">
        <v>477</v>
      </c>
      <c r="K13932" s="18" t="s">
        <v>477</v>
      </c>
    </row>
    <row r="13933">
      <c r="B13933" s="17" t="s">
        <v>477</v>
      </c>
      <c r="K13933" s="18" t="s">
        <v>477</v>
      </c>
    </row>
    <row r="13934">
      <c r="B13934" s="17" t="s">
        <v>477</v>
      </c>
      <c r="K13934" s="18" t="s">
        <v>477</v>
      </c>
    </row>
    <row r="13935">
      <c r="B13935" s="17" t="s">
        <v>477</v>
      </c>
      <c r="K13935" s="18" t="s">
        <v>477</v>
      </c>
    </row>
    <row r="13936">
      <c r="B13936" s="17" t="s">
        <v>477</v>
      </c>
      <c r="K13936" s="18" t="s">
        <v>477</v>
      </c>
    </row>
    <row r="13937">
      <c r="B13937" s="17" t="s">
        <v>477</v>
      </c>
      <c r="K13937" s="18" t="s">
        <v>477</v>
      </c>
    </row>
    <row r="13938">
      <c r="B13938" s="17" t="s">
        <v>477</v>
      </c>
      <c r="K13938" s="18" t="s">
        <v>477</v>
      </c>
    </row>
    <row r="13939">
      <c r="B13939" s="17" t="s">
        <v>477</v>
      </c>
      <c r="K13939" s="18" t="s">
        <v>477</v>
      </c>
    </row>
    <row r="13940">
      <c r="B13940" s="17" t="s">
        <v>477</v>
      </c>
      <c r="K13940" s="18" t="s">
        <v>477</v>
      </c>
    </row>
    <row r="13941">
      <c r="B13941" s="17" t="s">
        <v>477</v>
      </c>
      <c r="K13941" s="18" t="s">
        <v>477</v>
      </c>
    </row>
    <row r="13942">
      <c r="B13942" s="17" t="s">
        <v>477</v>
      </c>
      <c r="K13942" s="18" t="s">
        <v>477</v>
      </c>
    </row>
    <row r="13943">
      <c r="B13943" s="17" t="s">
        <v>477</v>
      </c>
      <c r="K13943" s="18" t="s">
        <v>477</v>
      </c>
    </row>
    <row r="13944">
      <c r="B13944" s="17" t="s">
        <v>477</v>
      </c>
      <c r="K13944" s="18" t="s">
        <v>477</v>
      </c>
    </row>
    <row r="13945">
      <c r="B13945" s="17" t="s">
        <v>477</v>
      </c>
      <c r="K13945" s="18" t="s">
        <v>477</v>
      </c>
    </row>
    <row r="13946">
      <c r="B13946" s="17" t="s">
        <v>477</v>
      </c>
      <c r="K13946" s="18" t="s">
        <v>477</v>
      </c>
    </row>
    <row r="13947">
      <c r="B13947" s="17" t="s">
        <v>477</v>
      </c>
      <c r="K13947" s="18" t="s">
        <v>477</v>
      </c>
    </row>
    <row r="13948">
      <c r="B13948" s="17" t="s">
        <v>477</v>
      </c>
      <c r="K13948" s="18" t="s">
        <v>477</v>
      </c>
    </row>
    <row r="13949">
      <c r="B13949" s="17" t="s">
        <v>477</v>
      </c>
      <c r="K13949" s="18" t="s">
        <v>477</v>
      </c>
    </row>
    <row r="13950">
      <c r="B13950" s="17" t="s">
        <v>477</v>
      </c>
      <c r="K13950" s="18" t="s">
        <v>477</v>
      </c>
    </row>
    <row r="13951">
      <c r="B13951" s="17" t="s">
        <v>477</v>
      </c>
      <c r="K13951" s="18" t="s">
        <v>477</v>
      </c>
    </row>
    <row r="13952">
      <c r="B13952" s="17" t="s">
        <v>477</v>
      </c>
      <c r="K13952" s="18" t="s">
        <v>477</v>
      </c>
    </row>
    <row r="13953">
      <c r="B13953" s="17" t="s">
        <v>477</v>
      </c>
      <c r="K13953" s="18" t="s">
        <v>477</v>
      </c>
    </row>
    <row r="13954">
      <c r="B13954" s="17" t="s">
        <v>477</v>
      </c>
      <c r="K13954" s="18" t="s">
        <v>477</v>
      </c>
    </row>
    <row r="13955">
      <c r="B13955" s="17" t="s">
        <v>477</v>
      </c>
      <c r="K13955" s="18" t="s">
        <v>477</v>
      </c>
    </row>
    <row r="13956">
      <c r="B13956" s="17" t="s">
        <v>477</v>
      </c>
      <c r="K13956" s="18" t="s">
        <v>477</v>
      </c>
    </row>
    <row r="13957">
      <c r="B13957" s="17" t="s">
        <v>477</v>
      </c>
      <c r="K13957" s="18" t="s">
        <v>477</v>
      </c>
    </row>
    <row r="13958">
      <c r="B13958" s="17" t="s">
        <v>477</v>
      </c>
      <c r="K13958" s="18" t="s">
        <v>477</v>
      </c>
    </row>
    <row r="13959">
      <c r="B13959" s="17" t="s">
        <v>477</v>
      </c>
      <c r="K13959" s="18" t="s">
        <v>477</v>
      </c>
    </row>
    <row r="13960">
      <c r="B13960" s="17" t="s">
        <v>477</v>
      </c>
      <c r="K13960" s="18" t="s">
        <v>477</v>
      </c>
    </row>
    <row r="13961">
      <c r="B13961" s="17" t="s">
        <v>477</v>
      </c>
      <c r="K13961" s="18" t="s">
        <v>477</v>
      </c>
    </row>
    <row r="13962">
      <c r="B13962" s="17" t="s">
        <v>477</v>
      </c>
      <c r="K13962" s="18" t="s">
        <v>477</v>
      </c>
    </row>
    <row r="13963">
      <c r="B13963" s="17" t="s">
        <v>477</v>
      </c>
      <c r="K13963" s="18" t="s">
        <v>477</v>
      </c>
    </row>
    <row r="13964">
      <c r="B13964" s="17" t="s">
        <v>477</v>
      </c>
      <c r="K13964" s="18" t="s">
        <v>477</v>
      </c>
    </row>
    <row r="13965">
      <c r="B13965" s="17" t="s">
        <v>477</v>
      </c>
      <c r="K13965" s="18" t="s">
        <v>477</v>
      </c>
    </row>
    <row r="13966">
      <c r="B13966" s="17" t="s">
        <v>477</v>
      </c>
      <c r="K13966" s="18" t="s">
        <v>477</v>
      </c>
    </row>
    <row r="13967">
      <c r="B13967" s="17" t="s">
        <v>477</v>
      </c>
      <c r="K13967" s="18" t="s">
        <v>477</v>
      </c>
    </row>
    <row r="13968">
      <c r="B13968" s="17" t="s">
        <v>477</v>
      </c>
      <c r="K13968" s="18" t="s">
        <v>477</v>
      </c>
    </row>
    <row r="13969">
      <c r="B13969" s="17" t="s">
        <v>477</v>
      </c>
      <c r="K13969" s="18" t="s">
        <v>477</v>
      </c>
    </row>
    <row r="13970">
      <c r="B13970" s="17" t="s">
        <v>477</v>
      </c>
      <c r="K13970" s="18" t="s">
        <v>477</v>
      </c>
    </row>
    <row r="13971">
      <c r="B13971" s="17" t="s">
        <v>477</v>
      </c>
      <c r="K13971" s="18" t="s">
        <v>477</v>
      </c>
    </row>
    <row r="13972">
      <c r="B13972" s="17" t="s">
        <v>477</v>
      </c>
      <c r="K13972" s="18" t="s">
        <v>477</v>
      </c>
    </row>
    <row r="13973">
      <c r="B13973" s="17" t="s">
        <v>477</v>
      </c>
      <c r="K13973" s="18" t="s">
        <v>477</v>
      </c>
    </row>
    <row r="13974">
      <c r="B13974" s="17" t="s">
        <v>477</v>
      </c>
      <c r="K13974" s="18" t="s">
        <v>477</v>
      </c>
    </row>
    <row r="13975">
      <c r="B13975" s="17" t="s">
        <v>477</v>
      </c>
      <c r="K13975" s="18" t="s">
        <v>477</v>
      </c>
    </row>
    <row r="13976">
      <c r="B13976" s="17" t="s">
        <v>477</v>
      </c>
      <c r="K13976" s="18" t="s">
        <v>477</v>
      </c>
    </row>
    <row r="13977">
      <c r="B13977" s="17" t="s">
        <v>477</v>
      </c>
      <c r="K13977" s="18" t="s">
        <v>477</v>
      </c>
    </row>
    <row r="13978">
      <c r="B13978" s="17" t="s">
        <v>477</v>
      </c>
      <c r="K13978" s="18" t="s">
        <v>477</v>
      </c>
    </row>
    <row r="13979">
      <c r="B13979" s="17" t="s">
        <v>477</v>
      </c>
      <c r="K13979" s="18" t="s">
        <v>477</v>
      </c>
    </row>
    <row r="13980">
      <c r="B13980" s="17" t="s">
        <v>477</v>
      </c>
      <c r="K13980" s="18" t="s">
        <v>477</v>
      </c>
    </row>
    <row r="13981">
      <c r="B13981" s="17" t="s">
        <v>477</v>
      </c>
      <c r="K13981" s="18" t="s">
        <v>477</v>
      </c>
    </row>
    <row r="13982">
      <c r="B13982" s="17" t="s">
        <v>477</v>
      </c>
      <c r="K13982" s="18" t="s">
        <v>477</v>
      </c>
    </row>
    <row r="13983">
      <c r="B13983" s="17" t="s">
        <v>477</v>
      </c>
      <c r="K13983" s="18" t="s">
        <v>477</v>
      </c>
    </row>
    <row r="13984">
      <c r="B13984" s="17" t="s">
        <v>477</v>
      </c>
      <c r="K13984" s="18" t="s">
        <v>477</v>
      </c>
    </row>
    <row r="13985">
      <c r="B13985" s="17" t="s">
        <v>477</v>
      </c>
      <c r="K13985" s="18" t="s">
        <v>477</v>
      </c>
    </row>
    <row r="13986">
      <c r="B13986" s="17" t="s">
        <v>477</v>
      </c>
      <c r="K13986" s="18" t="s">
        <v>477</v>
      </c>
    </row>
    <row r="13987">
      <c r="B13987" s="17" t="s">
        <v>477</v>
      </c>
      <c r="K13987" s="18" t="s">
        <v>477</v>
      </c>
    </row>
    <row r="13988">
      <c r="B13988" s="17" t="s">
        <v>477</v>
      </c>
      <c r="K13988" s="18" t="s">
        <v>477</v>
      </c>
    </row>
    <row r="13989">
      <c r="B13989" s="17" t="s">
        <v>477</v>
      </c>
      <c r="K13989" s="18" t="s">
        <v>477</v>
      </c>
    </row>
    <row r="13990">
      <c r="B13990" s="17" t="s">
        <v>477</v>
      </c>
      <c r="K13990" s="18" t="s">
        <v>477</v>
      </c>
    </row>
    <row r="13991">
      <c r="B13991" s="17" t="s">
        <v>477</v>
      </c>
      <c r="K13991" s="18" t="s">
        <v>477</v>
      </c>
    </row>
    <row r="13992">
      <c r="B13992" s="17" t="s">
        <v>477</v>
      </c>
      <c r="K13992" s="18" t="s">
        <v>477</v>
      </c>
    </row>
    <row r="13993">
      <c r="B13993" s="17" t="s">
        <v>477</v>
      </c>
      <c r="K13993" s="18" t="s">
        <v>477</v>
      </c>
    </row>
    <row r="13994">
      <c r="B13994" s="17" t="s">
        <v>477</v>
      </c>
      <c r="K13994" s="18" t="s">
        <v>477</v>
      </c>
    </row>
    <row r="13995">
      <c r="B13995" s="17" t="s">
        <v>477</v>
      </c>
      <c r="K13995" s="18" t="s">
        <v>477</v>
      </c>
    </row>
    <row r="13996">
      <c r="B13996" s="17" t="s">
        <v>477</v>
      </c>
      <c r="K13996" s="18" t="s">
        <v>477</v>
      </c>
    </row>
    <row r="13997">
      <c r="B13997" s="17" t="s">
        <v>477</v>
      </c>
      <c r="K13997" s="18" t="s">
        <v>477</v>
      </c>
    </row>
    <row r="13998">
      <c r="B13998" s="17" t="s">
        <v>477</v>
      </c>
      <c r="K13998" s="18" t="s">
        <v>477</v>
      </c>
    </row>
    <row r="13999">
      <c r="B13999" s="17" t="s">
        <v>477</v>
      </c>
      <c r="K13999" s="18" t="s">
        <v>477</v>
      </c>
    </row>
    <row r="14000">
      <c r="B14000" s="17" t="s">
        <v>477</v>
      </c>
      <c r="K14000" s="18" t="s">
        <v>477</v>
      </c>
    </row>
    <row r="14001">
      <c r="B14001" s="17" t="s">
        <v>477</v>
      </c>
      <c r="K14001" s="18" t="s">
        <v>477</v>
      </c>
    </row>
    <row r="14002">
      <c r="B14002" s="17" t="s">
        <v>477</v>
      </c>
      <c r="K14002" s="18" t="s">
        <v>477</v>
      </c>
    </row>
    <row r="14003">
      <c r="B14003" s="17" t="s">
        <v>477</v>
      </c>
      <c r="K14003" s="18" t="s">
        <v>477</v>
      </c>
    </row>
    <row r="14004">
      <c r="B14004" s="17" t="s">
        <v>477</v>
      </c>
      <c r="K14004" s="18" t="s">
        <v>477</v>
      </c>
    </row>
    <row r="14005">
      <c r="B14005" s="17" t="s">
        <v>477</v>
      </c>
      <c r="K14005" s="18" t="s">
        <v>477</v>
      </c>
    </row>
    <row r="14006">
      <c r="B14006" s="17" t="s">
        <v>477</v>
      </c>
      <c r="K14006" s="18" t="s">
        <v>477</v>
      </c>
    </row>
    <row r="14007">
      <c r="B14007" s="17" t="s">
        <v>477</v>
      </c>
      <c r="K14007" s="18" t="s">
        <v>477</v>
      </c>
    </row>
    <row r="14008">
      <c r="B14008" s="17" t="s">
        <v>477</v>
      </c>
      <c r="K14008" s="18" t="s">
        <v>477</v>
      </c>
    </row>
    <row r="14009">
      <c r="B14009" s="17" t="s">
        <v>477</v>
      </c>
      <c r="K14009" s="18" t="s">
        <v>477</v>
      </c>
    </row>
    <row r="14010">
      <c r="B14010" s="17" t="s">
        <v>477</v>
      </c>
      <c r="K14010" s="18" t="s">
        <v>477</v>
      </c>
    </row>
    <row r="14011">
      <c r="B14011" s="17" t="s">
        <v>477</v>
      </c>
      <c r="K14011" s="18" t="s">
        <v>477</v>
      </c>
    </row>
    <row r="14012">
      <c r="B14012" s="17" t="s">
        <v>477</v>
      </c>
      <c r="K14012" s="18" t="s">
        <v>477</v>
      </c>
    </row>
    <row r="14013">
      <c r="B14013" s="17" t="s">
        <v>477</v>
      </c>
      <c r="K14013" s="18" t="s">
        <v>477</v>
      </c>
    </row>
    <row r="14014">
      <c r="B14014" s="17" t="s">
        <v>477</v>
      </c>
      <c r="K14014" s="18" t="s">
        <v>477</v>
      </c>
    </row>
    <row r="14015">
      <c r="B14015" s="17" t="s">
        <v>477</v>
      </c>
      <c r="K14015" s="18" t="s">
        <v>477</v>
      </c>
    </row>
    <row r="14016">
      <c r="B14016" s="17" t="s">
        <v>477</v>
      </c>
      <c r="K14016" s="18" t="s">
        <v>477</v>
      </c>
    </row>
    <row r="14017">
      <c r="B14017" s="17" t="s">
        <v>477</v>
      </c>
      <c r="K14017" s="18" t="s">
        <v>477</v>
      </c>
    </row>
    <row r="14018">
      <c r="B14018" s="17" t="s">
        <v>477</v>
      </c>
      <c r="K14018" s="18" t="s">
        <v>477</v>
      </c>
    </row>
    <row r="14019">
      <c r="B14019" s="17" t="s">
        <v>477</v>
      </c>
      <c r="K14019" s="18" t="s">
        <v>477</v>
      </c>
    </row>
    <row r="14020">
      <c r="B14020" s="17" t="s">
        <v>477</v>
      </c>
      <c r="K14020" s="18" t="s">
        <v>477</v>
      </c>
    </row>
    <row r="14021">
      <c r="B14021" s="17" t="s">
        <v>477</v>
      </c>
      <c r="K14021" s="18" t="s">
        <v>477</v>
      </c>
    </row>
    <row r="14022">
      <c r="B14022" s="17" t="s">
        <v>477</v>
      </c>
      <c r="K14022" s="18" t="s">
        <v>477</v>
      </c>
    </row>
    <row r="14023">
      <c r="B14023" s="17" t="s">
        <v>477</v>
      </c>
      <c r="K14023" s="18" t="s">
        <v>477</v>
      </c>
    </row>
    <row r="14024">
      <c r="B14024" s="17" t="s">
        <v>477</v>
      </c>
      <c r="K14024" s="18" t="s">
        <v>477</v>
      </c>
    </row>
    <row r="14025">
      <c r="B14025" s="17" t="s">
        <v>477</v>
      </c>
      <c r="K14025" s="18" t="s">
        <v>477</v>
      </c>
    </row>
    <row r="14026">
      <c r="B14026" s="17" t="s">
        <v>477</v>
      </c>
      <c r="K14026" s="18" t="s">
        <v>477</v>
      </c>
    </row>
    <row r="14027">
      <c r="B14027" s="17" t="s">
        <v>477</v>
      </c>
      <c r="K14027" s="18" t="s">
        <v>477</v>
      </c>
    </row>
    <row r="14028">
      <c r="B14028" s="17" t="s">
        <v>477</v>
      </c>
      <c r="K14028" s="18" t="s">
        <v>477</v>
      </c>
    </row>
    <row r="14029">
      <c r="B14029" s="17" t="s">
        <v>477</v>
      </c>
      <c r="K14029" s="18" t="s">
        <v>477</v>
      </c>
    </row>
    <row r="14030">
      <c r="B14030" s="17" t="s">
        <v>477</v>
      </c>
      <c r="K14030" s="18" t="s">
        <v>477</v>
      </c>
    </row>
    <row r="14031">
      <c r="B14031" s="17" t="s">
        <v>477</v>
      </c>
      <c r="K14031" s="18" t="s">
        <v>477</v>
      </c>
    </row>
    <row r="14032">
      <c r="B14032" s="17" t="s">
        <v>477</v>
      </c>
      <c r="K14032" s="18" t="s">
        <v>477</v>
      </c>
    </row>
    <row r="14033">
      <c r="B14033" s="17" t="s">
        <v>477</v>
      </c>
      <c r="K14033" s="18" t="s">
        <v>477</v>
      </c>
    </row>
    <row r="14034">
      <c r="B14034" s="17" t="s">
        <v>477</v>
      </c>
      <c r="K14034" s="18" t="s">
        <v>477</v>
      </c>
    </row>
    <row r="14035">
      <c r="B14035" s="17" t="s">
        <v>477</v>
      </c>
      <c r="K14035" s="18" t="s">
        <v>477</v>
      </c>
    </row>
    <row r="14036">
      <c r="B14036" s="17" t="s">
        <v>477</v>
      </c>
      <c r="K14036" s="18" t="s">
        <v>477</v>
      </c>
    </row>
    <row r="14037">
      <c r="B14037" s="17" t="s">
        <v>477</v>
      </c>
      <c r="K14037" s="18" t="s">
        <v>477</v>
      </c>
    </row>
    <row r="14038">
      <c r="B14038" s="17" t="s">
        <v>477</v>
      </c>
      <c r="K14038" s="18" t="s">
        <v>477</v>
      </c>
    </row>
    <row r="14039">
      <c r="B14039" s="17" t="s">
        <v>477</v>
      </c>
      <c r="K14039" s="18" t="s">
        <v>477</v>
      </c>
    </row>
    <row r="14040">
      <c r="B14040" s="17" t="s">
        <v>477</v>
      </c>
      <c r="K14040" s="18" t="s">
        <v>477</v>
      </c>
    </row>
    <row r="14041">
      <c r="B14041" s="17" t="s">
        <v>477</v>
      </c>
      <c r="K14041" s="18" t="s">
        <v>477</v>
      </c>
    </row>
    <row r="14042">
      <c r="B14042" s="17" t="s">
        <v>477</v>
      </c>
      <c r="K14042" s="18" t="s">
        <v>477</v>
      </c>
    </row>
    <row r="14043">
      <c r="B14043" s="17" t="s">
        <v>477</v>
      </c>
      <c r="K14043" s="18" t="s">
        <v>477</v>
      </c>
    </row>
    <row r="14044">
      <c r="B14044" s="17" t="s">
        <v>477</v>
      </c>
      <c r="K14044" s="18" t="s">
        <v>477</v>
      </c>
    </row>
    <row r="14045">
      <c r="B14045" s="17" t="s">
        <v>477</v>
      </c>
      <c r="K14045" s="18" t="s">
        <v>477</v>
      </c>
    </row>
    <row r="14046">
      <c r="B14046" s="17" t="s">
        <v>477</v>
      </c>
      <c r="K14046" s="18" t="s">
        <v>477</v>
      </c>
    </row>
    <row r="14047">
      <c r="B14047" s="17" t="s">
        <v>477</v>
      </c>
      <c r="K14047" s="18" t="s">
        <v>477</v>
      </c>
    </row>
    <row r="14048">
      <c r="B14048" s="17" t="s">
        <v>477</v>
      </c>
      <c r="K14048" s="18" t="s">
        <v>477</v>
      </c>
    </row>
    <row r="14049">
      <c r="B14049" s="17" t="s">
        <v>477</v>
      </c>
      <c r="K14049" s="18" t="s">
        <v>477</v>
      </c>
    </row>
    <row r="14050">
      <c r="B14050" s="17" t="s">
        <v>477</v>
      </c>
      <c r="K14050" s="18" t="s">
        <v>477</v>
      </c>
    </row>
    <row r="14051">
      <c r="B14051" s="17" t="s">
        <v>477</v>
      </c>
      <c r="K14051" s="18" t="s">
        <v>477</v>
      </c>
    </row>
    <row r="14052">
      <c r="B14052" s="17" t="s">
        <v>477</v>
      </c>
      <c r="K14052" s="18" t="s">
        <v>477</v>
      </c>
    </row>
    <row r="14053">
      <c r="B14053" s="17" t="s">
        <v>477</v>
      </c>
      <c r="K14053" s="18" t="s">
        <v>477</v>
      </c>
    </row>
    <row r="14054">
      <c r="B14054" s="17" t="s">
        <v>477</v>
      </c>
      <c r="K14054" s="18" t="s">
        <v>477</v>
      </c>
    </row>
    <row r="14055">
      <c r="B14055" s="17" t="s">
        <v>477</v>
      </c>
      <c r="K14055" s="18" t="s">
        <v>477</v>
      </c>
    </row>
    <row r="14056">
      <c r="B14056" s="17" t="s">
        <v>477</v>
      </c>
      <c r="K14056" s="18" t="s">
        <v>477</v>
      </c>
    </row>
    <row r="14057">
      <c r="B14057" s="17" t="s">
        <v>477</v>
      </c>
      <c r="K14057" s="18" t="s">
        <v>477</v>
      </c>
    </row>
    <row r="14058">
      <c r="B14058" s="17" t="s">
        <v>477</v>
      </c>
      <c r="K14058" s="18" t="s">
        <v>477</v>
      </c>
    </row>
    <row r="14059">
      <c r="B14059" s="17" t="s">
        <v>477</v>
      </c>
      <c r="K14059" s="18" t="s">
        <v>477</v>
      </c>
    </row>
    <row r="14060">
      <c r="B14060" s="17" t="s">
        <v>477</v>
      </c>
      <c r="K14060" s="18" t="s">
        <v>477</v>
      </c>
    </row>
    <row r="14061">
      <c r="B14061" s="17" t="s">
        <v>477</v>
      </c>
      <c r="K14061" s="18" t="s">
        <v>477</v>
      </c>
    </row>
    <row r="14062">
      <c r="B14062" s="17" t="s">
        <v>477</v>
      </c>
      <c r="K14062" s="18" t="s">
        <v>477</v>
      </c>
    </row>
    <row r="14063">
      <c r="B14063" s="17" t="s">
        <v>477</v>
      </c>
      <c r="K14063" s="18" t="s">
        <v>477</v>
      </c>
    </row>
    <row r="14064">
      <c r="B14064" s="17" t="s">
        <v>477</v>
      </c>
      <c r="K14064" s="18" t="s">
        <v>477</v>
      </c>
    </row>
    <row r="14065">
      <c r="B14065" s="17" t="s">
        <v>477</v>
      </c>
      <c r="K14065" s="18" t="s">
        <v>477</v>
      </c>
    </row>
    <row r="14066">
      <c r="B14066" s="17" t="s">
        <v>477</v>
      </c>
      <c r="K14066" s="18" t="s">
        <v>477</v>
      </c>
    </row>
    <row r="14067">
      <c r="B14067" s="17" t="s">
        <v>477</v>
      </c>
      <c r="K14067" s="18" t="s">
        <v>477</v>
      </c>
    </row>
    <row r="14068">
      <c r="B14068" s="17" t="s">
        <v>477</v>
      </c>
      <c r="K14068" s="18" t="s">
        <v>477</v>
      </c>
    </row>
    <row r="14069">
      <c r="B14069" s="17" t="s">
        <v>477</v>
      </c>
      <c r="K14069" s="18" t="s">
        <v>477</v>
      </c>
    </row>
    <row r="14070">
      <c r="B14070" s="17" t="s">
        <v>477</v>
      </c>
      <c r="K14070" s="18" t="s">
        <v>477</v>
      </c>
    </row>
    <row r="14071">
      <c r="B14071" s="17" t="s">
        <v>477</v>
      </c>
      <c r="K14071" s="18" t="s">
        <v>477</v>
      </c>
    </row>
    <row r="14072">
      <c r="B14072" s="17" t="s">
        <v>477</v>
      </c>
      <c r="K14072" s="18" t="s">
        <v>477</v>
      </c>
    </row>
    <row r="14073">
      <c r="B14073" s="17" t="s">
        <v>477</v>
      </c>
      <c r="K14073" s="18" t="s">
        <v>477</v>
      </c>
    </row>
    <row r="14074">
      <c r="B14074" s="17" t="s">
        <v>477</v>
      </c>
      <c r="K14074" s="18" t="s">
        <v>477</v>
      </c>
    </row>
    <row r="14075">
      <c r="B14075" s="17" t="s">
        <v>477</v>
      </c>
      <c r="K14075" s="18" t="s">
        <v>477</v>
      </c>
    </row>
    <row r="14076">
      <c r="B14076" s="17" t="s">
        <v>477</v>
      </c>
      <c r="K14076" s="18" t="s">
        <v>477</v>
      </c>
    </row>
    <row r="14077">
      <c r="B14077" s="17" t="s">
        <v>477</v>
      </c>
      <c r="K14077" s="18" t="s">
        <v>477</v>
      </c>
    </row>
    <row r="14078">
      <c r="B14078" s="17" t="s">
        <v>477</v>
      </c>
      <c r="K14078" s="18" t="s">
        <v>477</v>
      </c>
    </row>
    <row r="14079">
      <c r="B14079" s="17" t="s">
        <v>477</v>
      </c>
      <c r="K14079" s="18" t="s">
        <v>477</v>
      </c>
    </row>
    <row r="14080">
      <c r="B14080" s="17" t="s">
        <v>477</v>
      </c>
      <c r="K14080" s="18" t="s">
        <v>477</v>
      </c>
    </row>
    <row r="14081">
      <c r="B14081" s="17" t="s">
        <v>477</v>
      </c>
      <c r="K14081" s="18" t="s">
        <v>477</v>
      </c>
    </row>
    <row r="14082">
      <c r="B14082" s="17" t="s">
        <v>477</v>
      </c>
      <c r="K14082" s="18" t="s">
        <v>477</v>
      </c>
    </row>
    <row r="14083">
      <c r="B14083" s="17" t="s">
        <v>477</v>
      </c>
      <c r="K14083" s="18" t="s">
        <v>477</v>
      </c>
    </row>
    <row r="14084">
      <c r="B14084" s="17" t="s">
        <v>477</v>
      </c>
      <c r="K14084" s="18" t="s">
        <v>477</v>
      </c>
    </row>
    <row r="14085">
      <c r="B14085" s="17" t="s">
        <v>477</v>
      </c>
      <c r="K14085" s="18" t="s">
        <v>477</v>
      </c>
    </row>
    <row r="14086">
      <c r="B14086" s="17" t="s">
        <v>477</v>
      </c>
      <c r="K14086" s="18" t="s">
        <v>477</v>
      </c>
    </row>
    <row r="14087">
      <c r="B14087" s="17" t="s">
        <v>477</v>
      </c>
      <c r="K14087" s="18" t="s">
        <v>477</v>
      </c>
    </row>
    <row r="14088">
      <c r="B14088" s="17" t="s">
        <v>477</v>
      </c>
      <c r="K14088" s="18" t="s">
        <v>477</v>
      </c>
    </row>
    <row r="14089">
      <c r="B14089" s="17" t="s">
        <v>477</v>
      </c>
      <c r="K14089" s="18" t="s">
        <v>477</v>
      </c>
    </row>
    <row r="14090">
      <c r="B14090" s="17" t="s">
        <v>477</v>
      </c>
      <c r="K14090" s="18" t="s">
        <v>477</v>
      </c>
    </row>
    <row r="14091">
      <c r="B14091" s="17" t="s">
        <v>477</v>
      </c>
      <c r="K14091" s="18" t="s">
        <v>477</v>
      </c>
    </row>
    <row r="14092">
      <c r="B14092" s="17" t="s">
        <v>477</v>
      </c>
      <c r="K14092" s="18" t="s">
        <v>477</v>
      </c>
    </row>
    <row r="14093">
      <c r="B14093" s="17" t="s">
        <v>477</v>
      </c>
      <c r="K14093" s="18" t="s">
        <v>477</v>
      </c>
    </row>
    <row r="14094">
      <c r="B14094" s="17" t="s">
        <v>477</v>
      </c>
      <c r="K14094" s="18" t="s">
        <v>477</v>
      </c>
    </row>
    <row r="14095">
      <c r="B14095" s="17" t="s">
        <v>477</v>
      </c>
      <c r="K14095" s="18" t="s">
        <v>477</v>
      </c>
    </row>
    <row r="14096">
      <c r="B14096" s="17" t="s">
        <v>477</v>
      </c>
      <c r="K14096" s="18" t="s">
        <v>477</v>
      </c>
    </row>
    <row r="14097">
      <c r="B14097" s="17" t="s">
        <v>477</v>
      </c>
      <c r="K14097" s="18" t="s">
        <v>477</v>
      </c>
    </row>
    <row r="14098">
      <c r="B14098" s="17" t="s">
        <v>477</v>
      </c>
      <c r="K14098" s="18" t="s">
        <v>477</v>
      </c>
    </row>
    <row r="14099">
      <c r="B14099" s="17" t="s">
        <v>477</v>
      </c>
      <c r="K14099" s="18" t="s">
        <v>477</v>
      </c>
    </row>
    <row r="14100">
      <c r="B14100" s="17" t="s">
        <v>477</v>
      </c>
      <c r="K14100" s="18" t="s">
        <v>477</v>
      </c>
    </row>
    <row r="14101">
      <c r="B14101" s="17" t="s">
        <v>477</v>
      </c>
      <c r="K14101" s="18" t="s">
        <v>477</v>
      </c>
    </row>
    <row r="14102">
      <c r="B14102" s="17" t="s">
        <v>477</v>
      </c>
      <c r="K14102" s="18" t="s">
        <v>477</v>
      </c>
    </row>
    <row r="14103">
      <c r="B14103" s="17" t="s">
        <v>477</v>
      </c>
      <c r="K14103" s="18" t="s">
        <v>477</v>
      </c>
    </row>
    <row r="14104">
      <c r="B14104" s="17" t="s">
        <v>477</v>
      </c>
      <c r="K14104" s="18" t="s">
        <v>477</v>
      </c>
    </row>
    <row r="14105">
      <c r="B14105" s="17" t="s">
        <v>477</v>
      </c>
      <c r="K14105" s="18" t="s">
        <v>477</v>
      </c>
    </row>
    <row r="14106">
      <c r="B14106" s="17" t="s">
        <v>477</v>
      </c>
      <c r="K14106" s="18" t="s">
        <v>477</v>
      </c>
    </row>
    <row r="14107">
      <c r="B14107" s="17" t="s">
        <v>477</v>
      </c>
      <c r="K14107" s="18" t="s">
        <v>477</v>
      </c>
    </row>
    <row r="14108">
      <c r="B14108" s="17" t="s">
        <v>477</v>
      </c>
      <c r="K14108" s="18" t="s">
        <v>477</v>
      </c>
    </row>
    <row r="14109">
      <c r="B14109" s="17" t="s">
        <v>477</v>
      </c>
      <c r="K14109" s="18" t="s">
        <v>477</v>
      </c>
    </row>
    <row r="14110">
      <c r="B14110" s="17" t="s">
        <v>477</v>
      </c>
      <c r="K14110" s="18" t="s">
        <v>477</v>
      </c>
    </row>
    <row r="14111">
      <c r="B14111" s="17" t="s">
        <v>477</v>
      </c>
      <c r="K14111" s="18" t="s">
        <v>477</v>
      </c>
    </row>
    <row r="14112">
      <c r="B14112" s="17" t="s">
        <v>477</v>
      </c>
      <c r="K14112" s="18" t="s">
        <v>477</v>
      </c>
    </row>
    <row r="14113">
      <c r="B14113" s="17" t="s">
        <v>477</v>
      </c>
      <c r="K14113" s="18" t="s">
        <v>477</v>
      </c>
    </row>
    <row r="14114">
      <c r="B14114" s="17" t="s">
        <v>477</v>
      </c>
      <c r="K14114" s="18" t="s">
        <v>477</v>
      </c>
    </row>
    <row r="14115">
      <c r="B14115" s="17" t="s">
        <v>477</v>
      </c>
      <c r="K14115" s="18" t="s">
        <v>477</v>
      </c>
    </row>
    <row r="14116">
      <c r="B14116" s="17" t="s">
        <v>477</v>
      </c>
      <c r="K14116" s="18" t="s">
        <v>477</v>
      </c>
    </row>
    <row r="14117">
      <c r="B14117" s="17" t="s">
        <v>477</v>
      </c>
      <c r="K14117" s="18" t="s">
        <v>477</v>
      </c>
    </row>
    <row r="14118">
      <c r="B14118" s="17" t="s">
        <v>477</v>
      </c>
      <c r="K14118" s="18" t="s">
        <v>477</v>
      </c>
    </row>
    <row r="14119">
      <c r="B14119" s="17" t="s">
        <v>477</v>
      </c>
      <c r="K14119" s="18" t="s">
        <v>477</v>
      </c>
    </row>
    <row r="14120">
      <c r="B14120" s="17" t="s">
        <v>477</v>
      </c>
      <c r="K14120" s="18" t="s">
        <v>477</v>
      </c>
    </row>
    <row r="14121">
      <c r="B14121" s="17" t="s">
        <v>477</v>
      </c>
      <c r="K14121" s="18" t="s">
        <v>477</v>
      </c>
    </row>
    <row r="14122">
      <c r="B14122" s="17" t="s">
        <v>477</v>
      </c>
      <c r="K14122" s="18" t="s">
        <v>477</v>
      </c>
    </row>
    <row r="14123">
      <c r="B14123" s="17" t="s">
        <v>477</v>
      </c>
      <c r="K14123" s="18" t="s">
        <v>477</v>
      </c>
    </row>
    <row r="14124">
      <c r="B14124" s="17" t="s">
        <v>477</v>
      </c>
      <c r="K14124" s="18" t="s">
        <v>477</v>
      </c>
    </row>
    <row r="14125">
      <c r="B14125" s="17" t="s">
        <v>477</v>
      </c>
      <c r="K14125" s="18" t="s">
        <v>477</v>
      </c>
    </row>
    <row r="14126">
      <c r="B14126" s="17" t="s">
        <v>477</v>
      </c>
      <c r="K14126" s="18" t="s">
        <v>477</v>
      </c>
    </row>
    <row r="14127">
      <c r="B14127" s="17" t="s">
        <v>477</v>
      </c>
      <c r="K14127" s="18" t="s">
        <v>477</v>
      </c>
    </row>
    <row r="14128">
      <c r="B14128" s="17" t="s">
        <v>477</v>
      </c>
      <c r="K14128" s="18" t="s">
        <v>477</v>
      </c>
    </row>
    <row r="14129">
      <c r="B14129" s="17" t="s">
        <v>477</v>
      </c>
      <c r="K14129" s="18" t="s">
        <v>477</v>
      </c>
    </row>
    <row r="14130">
      <c r="B14130" s="17" t="s">
        <v>477</v>
      </c>
      <c r="K14130" s="18" t="s">
        <v>477</v>
      </c>
    </row>
    <row r="14131">
      <c r="B14131" s="17" t="s">
        <v>477</v>
      </c>
      <c r="K14131" s="18" t="s">
        <v>477</v>
      </c>
    </row>
    <row r="14132">
      <c r="B14132" s="17" t="s">
        <v>477</v>
      </c>
      <c r="K14132" s="18" t="s">
        <v>477</v>
      </c>
    </row>
    <row r="14133">
      <c r="B14133" s="17" t="s">
        <v>477</v>
      </c>
      <c r="K14133" s="18" t="s">
        <v>477</v>
      </c>
    </row>
    <row r="14134">
      <c r="B14134" s="17" t="s">
        <v>477</v>
      </c>
      <c r="K14134" s="18" t="s">
        <v>477</v>
      </c>
    </row>
    <row r="14135">
      <c r="B14135" s="17" t="s">
        <v>477</v>
      </c>
      <c r="K14135" s="18" t="s">
        <v>477</v>
      </c>
    </row>
    <row r="14136">
      <c r="B14136" s="17" t="s">
        <v>477</v>
      </c>
      <c r="K14136" s="18" t="s">
        <v>477</v>
      </c>
    </row>
    <row r="14137">
      <c r="B14137" s="17" t="s">
        <v>477</v>
      </c>
      <c r="K14137" s="18" t="s">
        <v>477</v>
      </c>
    </row>
    <row r="14138">
      <c r="B14138" s="17" t="s">
        <v>477</v>
      </c>
      <c r="K14138" s="18" t="s">
        <v>477</v>
      </c>
    </row>
    <row r="14139">
      <c r="B14139" s="17" t="s">
        <v>477</v>
      </c>
      <c r="K14139" s="18" t="s">
        <v>477</v>
      </c>
    </row>
    <row r="14140">
      <c r="B14140" s="17" t="s">
        <v>477</v>
      </c>
      <c r="K14140" s="18" t="s">
        <v>477</v>
      </c>
    </row>
    <row r="14141">
      <c r="B14141" s="17" t="s">
        <v>477</v>
      </c>
      <c r="K14141" s="18" t="s">
        <v>477</v>
      </c>
    </row>
    <row r="14142">
      <c r="B14142" s="17" t="s">
        <v>477</v>
      </c>
      <c r="K14142" s="18" t="s">
        <v>477</v>
      </c>
    </row>
    <row r="14143">
      <c r="B14143" s="17" t="s">
        <v>477</v>
      </c>
      <c r="K14143" s="18" t="s">
        <v>477</v>
      </c>
    </row>
    <row r="14144">
      <c r="B14144" s="17" t="s">
        <v>477</v>
      </c>
      <c r="K14144" s="18" t="s">
        <v>477</v>
      </c>
    </row>
    <row r="14145">
      <c r="B14145" s="17" t="s">
        <v>477</v>
      </c>
      <c r="K14145" s="18" t="s">
        <v>477</v>
      </c>
    </row>
    <row r="14146">
      <c r="B14146" s="17" t="s">
        <v>477</v>
      </c>
      <c r="K14146" s="18" t="s">
        <v>477</v>
      </c>
    </row>
    <row r="14147">
      <c r="B14147" s="17" t="s">
        <v>477</v>
      </c>
      <c r="K14147" s="18" t="s">
        <v>477</v>
      </c>
    </row>
    <row r="14148">
      <c r="B14148" s="17" t="s">
        <v>477</v>
      </c>
      <c r="K14148" s="18" t="s">
        <v>477</v>
      </c>
    </row>
    <row r="14149">
      <c r="B14149" s="17" t="s">
        <v>477</v>
      </c>
      <c r="K14149" s="18" t="s">
        <v>477</v>
      </c>
    </row>
    <row r="14150">
      <c r="B14150" s="17" t="s">
        <v>477</v>
      </c>
      <c r="K14150" s="18" t="s">
        <v>477</v>
      </c>
    </row>
    <row r="14151">
      <c r="B14151" s="17" t="s">
        <v>477</v>
      </c>
      <c r="K14151" s="18" t="s">
        <v>477</v>
      </c>
    </row>
    <row r="14152">
      <c r="B14152" s="17" t="s">
        <v>477</v>
      </c>
      <c r="K14152" s="18" t="s">
        <v>477</v>
      </c>
    </row>
    <row r="14153">
      <c r="B14153" s="17" t="s">
        <v>477</v>
      </c>
      <c r="K14153" s="18" t="s">
        <v>477</v>
      </c>
    </row>
    <row r="14154">
      <c r="B14154" s="17" t="s">
        <v>477</v>
      </c>
      <c r="K14154" s="18" t="s">
        <v>477</v>
      </c>
    </row>
    <row r="14155">
      <c r="B14155" s="17" t="s">
        <v>477</v>
      </c>
      <c r="K14155" s="18" t="s">
        <v>477</v>
      </c>
    </row>
    <row r="14156">
      <c r="B14156" s="17" t="s">
        <v>477</v>
      </c>
      <c r="K14156" s="18" t="s">
        <v>477</v>
      </c>
    </row>
    <row r="14157">
      <c r="B14157" s="17" t="s">
        <v>477</v>
      </c>
      <c r="K14157" s="18" t="s">
        <v>477</v>
      </c>
    </row>
    <row r="14158">
      <c r="B14158" s="17" t="s">
        <v>477</v>
      </c>
      <c r="K14158" s="18" t="s">
        <v>477</v>
      </c>
    </row>
    <row r="14159">
      <c r="B14159" s="17" t="s">
        <v>477</v>
      </c>
      <c r="K14159" s="18" t="s">
        <v>477</v>
      </c>
    </row>
    <row r="14160">
      <c r="B14160" s="17" t="s">
        <v>477</v>
      </c>
      <c r="K14160" s="18" t="s">
        <v>477</v>
      </c>
    </row>
    <row r="14161">
      <c r="B14161" s="17" t="s">
        <v>477</v>
      </c>
      <c r="K14161" s="18" t="s">
        <v>477</v>
      </c>
    </row>
    <row r="14162">
      <c r="B14162" s="17" t="s">
        <v>477</v>
      </c>
      <c r="K14162" s="18" t="s">
        <v>477</v>
      </c>
    </row>
    <row r="14163">
      <c r="B14163" s="17" t="s">
        <v>477</v>
      </c>
      <c r="K14163" s="18" t="s">
        <v>477</v>
      </c>
    </row>
    <row r="14164">
      <c r="B14164" s="17" t="s">
        <v>477</v>
      </c>
      <c r="K14164" s="18" t="s">
        <v>477</v>
      </c>
    </row>
    <row r="14165">
      <c r="B14165" s="17" t="s">
        <v>477</v>
      </c>
      <c r="K14165" s="18" t="s">
        <v>477</v>
      </c>
    </row>
    <row r="14166">
      <c r="B14166" s="17" t="s">
        <v>477</v>
      </c>
      <c r="K14166" s="18" t="s">
        <v>477</v>
      </c>
    </row>
    <row r="14167">
      <c r="B14167" s="17" t="s">
        <v>477</v>
      </c>
      <c r="K14167" s="18" t="s">
        <v>477</v>
      </c>
    </row>
    <row r="14168">
      <c r="B14168" s="17" t="s">
        <v>477</v>
      </c>
      <c r="K14168" s="18" t="s">
        <v>477</v>
      </c>
    </row>
    <row r="14169">
      <c r="B14169" s="17" t="s">
        <v>477</v>
      </c>
      <c r="K14169" s="18" t="s">
        <v>477</v>
      </c>
    </row>
    <row r="14170">
      <c r="B14170" s="17" t="s">
        <v>477</v>
      </c>
      <c r="K14170" s="18" t="s">
        <v>477</v>
      </c>
    </row>
    <row r="14171">
      <c r="B14171" s="17" t="s">
        <v>477</v>
      </c>
      <c r="K14171" s="18" t="s">
        <v>477</v>
      </c>
    </row>
    <row r="14172">
      <c r="B14172" s="17" t="s">
        <v>477</v>
      </c>
      <c r="K14172" s="18" t="s">
        <v>477</v>
      </c>
    </row>
    <row r="14173">
      <c r="B14173" s="17" t="s">
        <v>477</v>
      </c>
      <c r="K14173" s="18" t="s">
        <v>477</v>
      </c>
    </row>
    <row r="14174">
      <c r="B14174" s="17" t="s">
        <v>477</v>
      </c>
      <c r="K14174" s="18" t="s">
        <v>477</v>
      </c>
    </row>
    <row r="14175">
      <c r="B14175" s="17" t="s">
        <v>477</v>
      </c>
      <c r="K14175" s="18" t="s">
        <v>477</v>
      </c>
    </row>
    <row r="14176">
      <c r="B14176" s="17" t="s">
        <v>477</v>
      </c>
      <c r="K14176" s="18" t="s">
        <v>477</v>
      </c>
    </row>
    <row r="14177">
      <c r="B14177" s="17" t="s">
        <v>477</v>
      </c>
      <c r="K14177" s="18" t="s">
        <v>477</v>
      </c>
    </row>
    <row r="14178">
      <c r="B14178" s="17" t="s">
        <v>477</v>
      </c>
      <c r="K14178" s="18" t="s">
        <v>477</v>
      </c>
    </row>
    <row r="14179">
      <c r="B14179" s="17" t="s">
        <v>477</v>
      </c>
      <c r="K14179" s="18" t="s">
        <v>477</v>
      </c>
    </row>
    <row r="14180">
      <c r="B14180" s="17" t="s">
        <v>477</v>
      </c>
      <c r="K14180" s="18" t="s">
        <v>477</v>
      </c>
    </row>
    <row r="14181">
      <c r="B14181" s="17" t="s">
        <v>477</v>
      </c>
      <c r="K14181" s="18" t="s">
        <v>477</v>
      </c>
    </row>
    <row r="14182">
      <c r="B14182" s="17" t="s">
        <v>477</v>
      </c>
      <c r="K14182" s="18" t="s">
        <v>477</v>
      </c>
    </row>
    <row r="14183">
      <c r="B14183" s="17" t="s">
        <v>477</v>
      </c>
      <c r="K14183" s="18" t="s">
        <v>477</v>
      </c>
    </row>
    <row r="14184">
      <c r="B14184" s="17" t="s">
        <v>477</v>
      </c>
      <c r="K14184" s="18" t="s">
        <v>477</v>
      </c>
    </row>
    <row r="14185">
      <c r="B14185" s="17" t="s">
        <v>477</v>
      </c>
      <c r="K14185" s="18" t="s">
        <v>477</v>
      </c>
    </row>
    <row r="14186">
      <c r="B14186" s="17" t="s">
        <v>477</v>
      </c>
      <c r="K14186" s="18" t="s">
        <v>477</v>
      </c>
    </row>
    <row r="14187">
      <c r="B14187" s="17" t="s">
        <v>477</v>
      </c>
      <c r="K14187" s="18" t="s">
        <v>477</v>
      </c>
    </row>
    <row r="14188">
      <c r="B14188" s="17" t="s">
        <v>477</v>
      </c>
      <c r="K14188" s="18" t="s">
        <v>477</v>
      </c>
    </row>
    <row r="14189">
      <c r="B14189" s="17" t="s">
        <v>477</v>
      </c>
      <c r="K14189" s="18" t="s">
        <v>477</v>
      </c>
    </row>
    <row r="14190">
      <c r="B14190" s="17" t="s">
        <v>477</v>
      </c>
      <c r="K14190" s="18" t="s">
        <v>477</v>
      </c>
    </row>
    <row r="14191">
      <c r="B14191" s="17" t="s">
        <v>477</v>
      </c>
      <c r="K14191" s="18" t="s">
        <v>477</v>
      </c>
    </row>
    <row r="14192">
      <c r="B14192" s="17" t="s">
        <v>477</v>
      </c>
      <c r="K14192" s="18" t="s">
        <v>477</v>
      </c>
    </row>
    <row r="14193">
      <c r="B14193" s="17" t="s">
        <v>477</v>
      </c>
      <c r="K14193" s="18" t="s">
        <v>477</v>
      </c>
    </row>
    <row r="14194">
      <c r="B14194" s="17" t="s">
        <v>477</v>
      </c>
      <c r="K14194" s="18" t="s">
        <v>477</v>
      </c>
    </row>
    <row r="14195">
      <c r="B14195" s="17" t="s">
        <v>477</v>
      </c>
      <c r="K14195" s="18" t="s">
        <v>477</v>
      </c>
    </row>
    <row r="14196">
      <c r="B14196" s="17" t="s">
        <v>477</v>
      </c>
      <c r="K14196" s="18" t="s">
        <v>477</v>
      </c>
    </row>
    <row r="14197">
      <c r="B14197" s="17" t="s">
        <v>477</v>
      </c>
      <c r="K14197" s="18" t="s">
        <v>477</v>
      </c>
    </row>
    <row r="14198">
      <c r="B14198" s="17" t="s">
        <v>477</v>
      </c>
      <c r="K14198" s="18" t="s">
        <v>477</v>
      </c>
    </row>
    <row r="14199">
      <c r="B14199" s="17" t="s">
        <v>477</v>
      </c>
      <c r="K14199" s="18" t="s">
        <v>477</v>
      </c>
    </row>
    <row r="14200">
      <c r="B14200" s="17" t="s">
        <v>477</v>
      </c>
      <c r="K14200" s="18" t="s">
        <v>477</v>
      </c>
    </row>
    <row r="14201">
      <c r="B14201" s="17" t="s">
        <v>477</v>
      </c>
      <c r="K14201" s="18" t="s">
        <v>477</v>
      </c>
    </row>
    <row r="14202">
      <c r="B14202" s="17" t="s">
        <v>477</v>
      </c>
      <c r="K14202" s="18" t="s">
        <v>477</v>
      </c>
    </row>
    <row r="14203">
      <c r="B14203" s="17" t="s">
        <v>477</v>
      </c>
      <c r="K14203" s="18" t="s">
        <v>477</v>
      </c>
    </row>
    <row r="14204">
      <c r="B14204" s="17" t="s">
        <v>477</v>
      </c>
      <c r="K14204" s="18" t="s">
        <v>477</v>
      </c>
    </row>
    <row r="14205">
      <c r="B14205" s="17" t="s">
        <v>477</v>
      </c>
      <c r="K14205" s="18" t="s">
        <v>477</v>
      </c>
    </row>
    <row r="14206">
      <c r="B14206" s="17" t="s">
        <v>477</v>
      </c>
      <c r="K14206" s="18" t="s">
        <v>477</v>
      </c>
    </row>
    <row r="14207">
      <c r="B14207" s="17" t="s">
        <v>477</v>
      </c>
      <c r="K14207" s="18" t="s">
        <v>477</v>
      </c>
    </row>
    <row r="14208">
      <c r="B14208" s="17" t="s">
        <v>477</v>
      </c>
      <c r="K14208" s="18" t="s">
        <v>477</v>
      </c>
    </row>
    <row r="14209">
      <c r="B14209" s="17" t="s">
        <v>477</v>
      </c>
      <c r="K14209" s="18" t="s">
        <v>477</v>
      </c>
    </row>
    <row r="14210">
      <c r="B14210" s="17" t="s">
        <v>477</v>
      </c>
      <c r="K14210" s="18" t="s">
        <v>477</v>
      </c>
    </row>
    <row r="14211">
      <c r="B14211" s="17" t="s">
        <v>477</v>
      </c>
      <c r="K14211" s="18" t="s">
        <v>477</v>
      </c>
    </row>
    <row r="14212">
      <c r="B14212" s="17" t="s">
        <v>477</v>
      </c>
      <c r="K14212" s="18" t="s">
        <v>477</v>
      </c>
    </row>
    <row r="14213">
      <c r="B14213" s="17" t="s">
        <v>477</v>
      </c>
      <c r="K14213" s="18" t="s">
        <v>477</v>
      </c>
    </row>
    <row r="14214">
      <c r="B14214" s="17" t="s">
        <v>477</v>
      </c>
      <c r="K14214" s="18" t="s">
        <v>477</v>
      </c>
    </row>
    <row r="14215">
      <c r="B14215" s="17" t="s">
        <v>477</v>
      </c>
      <c r="K14215" s="18" t="s">
        <v>477</v>
      </c>
    </row>
    <row r="14216">
      <c r="B14216" s="17" t="s">
        <v>477</v>
      </c>
      <c r="K14216" s="18" t="s">
        <v>477</v>
      </c>
    </row>
    <row r="14217">
      <c r="B14217" s="17" t="s">
        <v>477</v>
      </c>
      <c r="K14217" s="18" t="s">
        <v>477</v>
      </c>
    </row>
    <row r="14218">
      <c r="B14218" s="17" t="s">
        <v>477</v>
      </c>
      <c r="K14218" s="18" t="s">
        <v>477</v>
      </c>
    </row>
    <row r="14219">
      <c r="B14219" s="17" t="s">
        <v>477</v>
      </c>
      <c r="K14219" s="18" t="s">
        <v>477</v>
      </c>
    </row>
    <row r="14220">
      <c r="B14220" s="17" t="s">
        <v>477</v>
      </c>
      <c r="K14220" s="18" t="s">
        <v>477</v>
      </c>
    </row>
    <row r="14221">
      <c r="B14221" s="17" t="s">
        <v>477</v>
      </c>
      <c r="K14221" s="18" t="s">
        <v>477</v>
      </c>
    </row>
    <row r="14222">
      <c r="B14222" s="17" t="s">
        <v>477</v>
      </c>
      <c r="K14222" s="18" t="s">
        <v>477</v>
      </c>
    </row>
    <row r="14223">
      <c r="B14223" s="17" t="s">
        <v>477</v>
      </c>
      <c r="K14223" s="18" t="s">
        <v>477</v>
      </c>
    </row>
    <row r="14224">
      <c r="B14224" s="17" t="s">
        <v>477</v>
      </c>
      <c r="K14224" s="18" t="s">
        <v>477</v>
      </c>
    </row>
    <row r="14225">
      <c r="B14225" s="17" t="s">
        <v>477</v>
      </c>
      <c r="K14225" s="18" t="s">
        <v>477</v>
      </c>
    </row>
    <row r="14226">
      <c r="B14226" s="17" t="s">
        <v>477</v>
      </c>
      <c r="K14226" s="18" t="s">
        <v>477</v>
      </c>
    </row>
    <row r="14227">
      <c r="B14227" s="17" t="s">
        <v>477</v>
      </c>
      <c r="K14227" s="18" t="s">
        <v>477</v>
      </c>
    </row>
    <row r="14228">
      <c r="B14228" s="17" t="s">
        <v>477</v>
      </c>
      <c r="K14228" s="18" t="s">
        <v>477</v>
      </c>
    </row>
    <row r="14229">
      <c r="B14229" s="17" t="s">
        <v>477</v>
      </c>
      <c r="K14229" s="18" t="s">
        <v>477</v>
      </c>
    </row>
    <row r="14230">
      <c r="B14230" s="17" t="s">
        <v>477</v>
      </c>
      <c r="K14230" s="18" t="s">
        <v>477</v>
      </c>
    </row>
    <row r="14231">
      <c r="B14231" s="17" t="s">
        <v>477</v>
      </c>
      <c r="K14231" s="18" t="s">
        <v>477</v>
      </c>
    </row>
    <row r="14232">
      <c r="B14232" s="17" t="s">
        <v>477</v>
      </c>
      <c r="K14232" s="18" t="s">
        <v>477</v>
      </c>
    </row>
    <row r="14233">
      <c r="B14233" s="17" t="s">
        <v>477</v>
      </c>
      <c r="K14233" s="18" t="s">
        <v>477</v>
      </c>
    </row>
    <row r="14234">
      <c r="B14234" s="17" t="s">
        <v>477</v>
      </c>
      <c r="K14234" s="18" t="s">
        <v>477</v>
      </c>
    </row>
    <row r="14235">
      <c r="B14235" s="17" t="s">
        <v>477</v>
      </c>
      <c r="K14235" s="18" t="s">
        <v>477</v>
      </c>
    </row>
    <row r="14236">
      <c r="B14236" s="17" t="s">
        <v>477</v>
      </c>
      <c r="K14236" s="18" t="s">
        <v>477</v>
      </c>
    </row>
    <row r="14237">
      <c r="B14237" s="17" t="s">
        <v>477</v>
      </c>
      <c r="K14237" s="18" t="s">
        <v>477</v>
      </c>
    </row>
    <row r="14238">
      <c r="B14238" s="17" t="s">
        <v>477</v>
      </c>
      <c r="K14238" s="18" t="s">
        <v>477</v>
      </c>
    </row>
    <row r="14239">
      <c r="B14239" s="17" t="s">
        <v>477</v>
      </c>
      <c r="K14239" s="18" t="s">
        <v>477</v>
      </c>
    </row>
    <row r="14240">
      <c r="B14240" s="17" t="s">
        <v>477</v>
      </c>
      <c r="K14240" s="18" t="s">
        <v>477</v>
      </c>
    </row>
    <row r="14241">
      <c r="B14241" s="17" t="s">
        <v>477</v>
      </c>
      <c r="K14241" s="18" t="s">
        <v>477</v>
      </c>
    </row>
    <row r="14242">
      <c r="B14242" s="17" t="s">
        <v>477</v>
      </c>
      <c r="K14242" s="18" t="s">
        <v>477</v>
      </c>
    </row>
    <row r="14243">
      <c r="B14243" s="17" t="s">
        <v>477</v>
      </c>
      <c r="K14243" s="18" t="s">
        <v>477</v>
      </c>
    </row>
    <row r="14244">
      <c r="B14244" s="17" t="s">
        <v>477</v>
      </c>
      <c r="K14244" s="18" t="s">
        <v>477</v>
      </c>
    </row>
    <row r="14245">
      <c r="B14245" s="17" t="s">
        <v>477</v>
      </c>
      <c r="K14245" s="18" t="s">
        <v>477</v>
      </c>
    </row>
    <row r="14246">
      <c r="B14246" s="17" t="s">
        <v>477</v>
      </c>
      <c r="K14246" s="18" t="s">
        <v>477</v>
      </c>
    </row>
    <row r="14247">
      <c r="B14247" s="17" t="s">
        <v>477</v>
      </c>
      <c r="K14247" s="18" t="s">
        <v>477</v>
      </c>
    </row>
    <row r="14248">
      <c r="B14248" s="17" t="s">
        <v>477</v>
      </c>
      <c r="K14248" s="18" t="s">
        <v>477</v>
      </c>
    </row>
    <row r="14249">
      <c r="B14249" s="17" t="s">
        <v>477</v>
      </c>
      <c r="K14249" s="18" t="s">
        <v>477</v>
      </c>
    </row>
    <row r="14250">
      <c r="B14250" s="17" t="s">
        <v>477</v>
      </c>
      <c r="K14250" s="18" t="s">
        <v>477</v>
      </c>
    </row>
    <row r="14251">
      <c r="B14251" s="17" t="s">
        <v>477</v>
      </c>
      <c r="K14251" s="18" t="s">
        <v>477</v>
      </c>
    </row>
    <row r="14252">
      <c r="B14252" s="17" t="s">
        <v>477</v>
      </c>
      <c r="K14252" s="18" t="s">
        <v>477</v>
      </c>
    </row>
    <row r="14253">
      <c r="B14253" s="17" t="s">
        <v>477</v>
      </c>
      <c r="K14253" s="18" t="s">
        <v>477</v>
      </c>
    </row>
    <row r="14254">
      <c r="B14254" s="17" t="s">
        <v>477</v>
      </c>
      <c r="K14254" s="18" t="s">
        <v>477</v>
      </c>
    </row>
    <row r="14255">
      <c r="B14255" s="17" t="s">
        <v>477</v>
      </c>
      <c r="K14255" s="18" t="s">
        <v>477</v>
      </c>
    </row>
    <row r="14256">
      <c r="B14256" s="17" t="s">
        <v>477</v>
      </c>
      <c r="K14256" s="18" t="s">
        <v>477</v>
      </c>
    </row>
    <row r="14257">
      <c r="B14257" s="17" t="s">
        <v>477</v>
      </c>
      <c r="K14257" s="18" t="s">
        <v>477</v>
      </c>
    </row>
    <row r="14258">
      <c r="B14258" s="17" t="s">
        <v>477</v>
      </c>
      <c r="K14258" s="18" t="s">
        <v>477</v>
      </c>
    </row>
    <row r="14259">
      <c r="B14259" s="17" t="s">
        <v>477</v>
      </c>
      <c r="K14259" s="18" t="s">
        <v>477</v>
      </c>
    </row>
    <row r="14260">
      <c r="B14260" s="17" t="s">
        <v>477</v>
      </c>
      <c r="K14260" s="18" t="s">
        <v>477</v>
      </c>
    </row>
    <row r="14261">
      <c r="B14261" s="17" t="s">
        <v>477</v>
      </c>
      <c r="K14261" s="18" t="s">
        <v>477</v>
      </c>
    </row>
    <row r="14262">
      <c r="B14262" s="17" t="s">
        <v>477</v>
      </c>
      <c r="K14262" s="18" t="s">
        <v>477</v>
      </c>
    </row>
    <row r="14263">
      <c r="B14263" s="17" t="s">
        <v>477</v>
      </c>
      <c r="K14263" s="18" t="s">
        <v>477</v>
      </c>
    </row>
    <row r="14264">
      <c r="B14264" s="17" t="s">
        <v>477</v>
      </c>
      <c r="K14264" s="18" t="s">
        <v>477</v>
      </c>
    </row>
    <row r="14265">
      <c r="B14265" s="17" t="s">
        <v>477</v>
      </c>
      <c r="K14265" s="18" t="s">
        <v>477</v>
      </c>
    </row>
    <row r="14266">
      <c r="B14266" s="17" t="s">
        <v>477</v>
      </c>
      <c r="K14266" s="18" t="s">
        <v>477</v>
      </c>
    </row>
    <row r="14267">
      <c r="B14267" s="17" t="s">
        <v>477</v>
      </c>
      <c r="K14267" s="18" t="s">
        <v>477</v>
      </c>
    </row>
    <row r="14268">
      <c r="B14268" s="17" t="s">
        <v>477</v>
      </c>
      <c r="K14268" s="18" t="s">
        <v>477</v>
      </c>
    </row>
    <row r="14269">
      <c r="B14269" s="17" t="s">
        <v>477</v>
      </c>
      <c r="K14269" s="18" t="s">
        <v>477</v>
      </c>
    </row>
    <row r="14270">
      <c r="B14270" s="17" t="s">
        <v>477</v>
      </c>
      <c r="K14270" s="18" t="s">
        <v>477</v>
      </c>
    </row>
    <row r="14271">
      <c r="B14271" s="17" t="s">
        <v>477</v>
      </c>
      <c r="K14271" s="18" t="s">
        <v>477</v>
      </c>
    </row>
    <row r="14272">
      <c r="B14272" s="17" t="s">
        <v>477</v>
      </c>
      <c r="K14272" s="18" t="s">
        <v>477</v>
      </c>
    </row>
    <row r="14273">
      <c r="B14273" s="17" t="s">
        <v>477</v>
      </c>
      <c r="K14273" s="18" t="s">
        <v>477</v>
      </c>
    </row>
    <row r="14274">
      <c r="B14274" s="17" t="s">
        <v>477</v>
      </c>
      <c r="K14274" s="18" t="s">
        <v>477</v>
      </c>
    </row>
    <row r="14275">
      <c r="B14275" s="17" t="s">
        <v>477</v>
      </c>
      <c r="K14275" s="18" t="s">
        <v>477</v>
      </c>
    </row>
    <row r="14276">
      <c r="B14276" s="17" t="s">
        <v>477</v>
      </c>
      <c r="K14276" s="18" t="s">
        <v>477</v>
      </c>
    </row>
    <row r="14277">
      <c r="B14277" s="17" t="s">
        <v>477</v>
      </c>
      <c r="K14277" s="18" t="s">
        <v>477</v>
      </c>
    </row>
    <row r="14278">
      <c r="B14278" s="17" t="s">
        <v>477</v>
      </c>
      <c r="K14278" s="18" t="s">
        <v>477</v>
      </c>
    </row>
    <row r="14279">
      <c r="B14279" s="17" t="s">
        <v>477</v>
      </c>
      <c r="K14279" s="18" t="s">
        <v>477</v>
      </c>
    </row>
    <row r="14280">
      <c r="B14280" s="17" t="s">
        <v>477</v>
      </c>
      <c r="K14280" s="18" t="s">
        <v>477</v>
      </c>
    </row>
    <row r="14281">
      <c r="B14281" s="17" t="s">
        <v>477</v>
      </c>
      <c r="K14281" s="18" t="s">
        <v>477</v>
      </c>
    </row>
    <row r="14282">
      <c r="B14282" s="17" t="s">
        <v>477</v>
      </c>
      <c r="K14282" s="18" t="s">
        <v>477</v>
      </c>
    </row>
    <row r="14283">
      <c r="B14283" s="17" t="s">
        <v>477</v>
      </c>
      <c r="K14283" s="18" t="s">
        <v>477</v>
      </c>
    </row>
    <row r="14284">
      <c r="B14284" s="17" t="s">
        <v>477</v>
      </c>
      <c r="K14284" s="18" t="s">
        <v>477</v>
      </c>
    </row>
    <row r="14285">
      <c r="B14285" s="17" t="s">
        <v>477</v>
      </c>
      <c r="K14285" s="18" t="s">
        <v>477</v>
      </c>
    </row>
    <row r="14286">
      <c r="B14286" s="17" t="s">
        <v>477</v>
      </c>
      <c r="K14286" s="18" t="s">
        <v>477</v>
      </c>
    </row>
    <row r="14287">
      <c r="B14287" s="17" t="s">
        <v>477</v>
      </c>
      <c r="K14287" s="18" t="s">
        <v>477</v>
      </c>
    </row>
    <row r="14288">
      <c r="B14288" s="17" t="s">
        <v>477</v>
      </c>
      <c r="K14288" s="18" t="s">
        <v>477</v>
      </c>
    </row>
    <row r="14289">
      <c r="B14289" s="17" t="s">
        <v>477</v>
      </c>
      <c r="K14289" s="18" t="s">
        <v>477</v>
      </c>
    </row>
    <row r="14290">
      <c r="B14290" s="17" t="s">
        <v>477</v>
      </c>
      <c r="K14290" s="18" t="s">
        <v>477</v>
      </c>
    </row>
    <row r="14291">
      <c r="B14291" s="17" t="s">
        <v>477</v>
      </c>
      <c r="K14291" s="18" t="s">
        <v>477</v>
      </c>
    </row>
    <row r="14292">
      <c r="B14292" s="17" t="s">
        <v>477</v>
      </c>
      <c r="K14292" s="18" t="s">
        <v>477</v>
      </c>
    </row>
    <row r="14293">
      <c r="B14293" s="17" t="s">
        <v>477</v>
      </c>
      <c r="K14293" s="18" t="s">
        <v>477</v>
      </c>
    </row>
    <row r="14294">
      <c r="B14294" s="17" t="s">
        <v>477</v>
      </c>
      <c r="K14294" s="18" t="s">
        <v>477</v>
      </c>
    </row>
    <row r="14295">
      <c r="B14295" s="17" t="s">
        <v>477</v>
      </c>
      <c r="K14295" s="18" t="s">
        <v>477</v>
      </c>
    </row>
    <row r="14296">
      <c r="B14296" s="17" t="s">
        <v>477</v>
      </c>
      <c r="K14296" s="18" t="s">
        <v>477</v>
      </c>
    </row>
    <row r="14297">
      <c r="B14297" s="17" t="s">
        <v>477</v>
      </c>
      <c r="K14297" s="18" t="s">
        <v>477</v>
      </c>
    </row>
    <row r="14298">
      <c r="B14298" s="17" t="s">
        <v>477</v>
      </c>
      <c r="K14298" s="18" t="s">
        <v>477</v>
      </c>
    </row>
    <row r="14299">
      <c r="B14299" s="17" t="s">
        <v>477</v>
      </c>
      <c r="K14299" s="18" t="s">
        <v>477</v>
      </c>
    </row>
    <row r="14300">
      <c r="B14300" s="17" t="s">
        <v>477</v>
      </c>
      <c r="K14300" s="18" t="s">
        <v>477</v>
      </c>
    </row>
    <row r="14301">
      <c r="B14301" s="17" t="s">
        <v>477</v>
      </c>
      <c r="K14301" s="18" t="s">
        <v>477</v>
      </c>
    </row>
    <row r="14302">
      <c r="B14302" s="17" t="s">
        <v>477</v>
      </c>
      <c r="K14302" s="18" t="s">
        <v>477</v>
      </c>
    </row>
    <row r="14303">
      <c r="B14303" s="17" t="s">
        <v>477</v>
      </c>
      <c r="K14303" s="18" t="s">
        <v>477</v>
      </c>
    </row>
    <row r="14304">
      <c r="B14304" s="17" t="s">
        <v>477</v>
      </c>
      <c r="K14304" s="18" t="s">
        <v>477</v>
      </c>
    </row>
    <row r="14305">
      <c r="B14305" s="17" t="s">
        <v>477</v>
      </c>
      <c r="K14305" s="18" t="s">
        <v>477</v>
      </c>
    </row>
    <row r="14306">
      <c r="B14306" s="17" t="s">
        <v>477</v>
      </c>
      <c r="K14306" s="18" t="s">
        <v>477</v>
      </c>
    </row>
    <row r="14307">
      <c r="B14307" s="17" t="s">
        <v>477</v>
      </c>
      <c r="K14307" s="18" t="s">
        <v>477</v>
      </c>
    </row>
    <row r="14308">
      <c r="B14308" s="17" t="s">
        <v>477</v>
      </c>
      <c r="K14308" s="18" t="s">
        <v>477</v>
      </c>
    </row>
    <row r="14309">
      <c r="B14309" s="17" t="s">
        <v>477</v>
      </c>
      <c r="K14309" s="18" t="s">
        <v>477</v>
      </c>
    </row>
    <row r="14310">
      <c r="B14310" s="17" t="s">
        <v>477</v>
      </c>
      <c r="K14310" s="18" t="s">
        <v>477</v>
      </c>
    </row>
    <row r="14311">
      <c r="B14311" s="17" t="s">
        <v>477</v>
      </c>
      <c r="K14311" s="18" t="s">
        <v>477</v>
      </c>
    </row>
    <row r="14312">
      <c r="B14312" s="17" t="s">
        <v>477</v>
      </c>
      <c r="K14312" s="18" t="s">
        <v>477</v>
      </c>
    </row>
    <row r="14313">
      <c r="B14313" s="17" t="s">
        <v>477</v>
      </c>
      <c r="K14313" s="18" t="s">
        <v>477</v>
      </c>
    </row>
    <row r="14314">
      <c r="B14314" s="17" t="s">
        <v>477</v>
      </c>
      <c r="K14314" s="18" t="s">
        <v>477</v>
      </c>
    </row>
    <row r="14315">
      <c r="B14315" s="17" t="s">
        <v>477</v>
      </c>
      <c r="K14315" s="18" t="s">
        <v>477</v>
      </c>
    </row>
    <row r="14316">
      <c r="B14316" s="17" t="s">
        <v>477</v>
      </c>
      <c r="K14316" s="18" t="s">
        <v>477</v>
      </c>
    </row>
    <row r="14317">
      <c r="B14317" s="17" t="s">
        <v>477</v>
      </c>
      <c r="K14317" s="18" t="s">
        <v>477</v>
      </c>
    </row>
    <row r="14318">
      <c r="B14318" s="17" t="s">
        <v>477</v>
      </c>
      <c r="K14318" s="18" t="s">
        <v>477</v>
      </c>
    </row>
    <row r="14319">
      <c r="B14319" s="17" t="s">
        <v>477</v>
      </c>
      <c r="K14319" s="18" t="s">
        <v>477</v>
      </c>
    </row>
    <row r="14320">
      <c r="B14320" s="17" t="s">
        <v>477</v>
      </c>
      <c r="K14320" s="18" t="s">
        <v>477</v>
      </c>
    </row>
    <row r="14321">
      <c r="B14321" s="17" t="s">
        <v>477</v>
      </c>
      <c r="K14321" s="18" t="s">
        <v>477</v>
      </c>
    </row>
    <row r="14322">
      <c r="B14322" s="17" t="s">
        <v>477</v>
      </c>
      <c r="K14322" s="18" t="s">
        <v>477</v>
      </c>
    </row>
    <row r="14323">
      <c r="B14323" s="17" t="s">
        <v>477</v>
      </c>
      <c r="K14323" s="18" t="s">
        <v>477</v>
      </c>
    </row>
    <row r="14324">
      <c r="B14324" s="17" t="s">
        <v>477</v>
      </c>
      <c r="K14324" s="18" t="s">
        <v>477</v>
      </c>
    </row>
    <row r="14325">
      <c r="B14325" s="17" t="s">
        <v>477</v>
      </c>
      <c r="K14325" s="18" t="s">
        <v>477</v>
      </c>
    </row>
    <row r="14326">
      <c r="B14326" s="17" t="s">
        <v>477</v>
      </c>
      <c r="K14326" s="18" t="s">
        <v>477</v>
      </c>
    </row>
    <row r="14327">
      <c r="B14327" s="17" t="s">
        <v>477</v>
      </c>
      <c r="K14327" s="18" t="s">
        <v>477</v>
      </c>
    </row>
    <row r="14328">
      <c r="B14328" s="17" t="s">
        <v>477</v>
      </c>
      <c r="K14328" s="18" t="s">
        <v>477</v>
      </c>
    </row>
    <row r="14329">
      <c r="B14329" s="17" t="s">
        <v>477</v>
      </c>
      <c r="K14329" s="18" t="s">
        <v>477</v>
      </c>
    </row>
    <row r="14330">
      <c r="B14330" s="17" t="s">
        <v>477</v>
      </c>
      <c r="K14330" s="18" t="s">
        <v>477</v>
      </c>
    </row>
    <row r="14331">
      <c r="B14331" s="17" t="s">
        <v>477</v>
      </c>
      <c r="K14331" s="18" t="s">
        <v>477</v>
      </c>
    </row>
    <row r="14332">
      <c r="B14332" s="17" t="s">
        <v>477</v>
      </c>
      <c r="K14332" s="18" t="s">
        <v>477</v>
      </c>
    </row>
    <row r="14333">
      <c r="B14333" s="17" t="s">
        <v>477</v>
      </c>
      <c r="K14333" s="18" t="s">
        <v>477</v>
      </c>
    </row>
    <row r="14334">
      <c r="B14334" s="17" t="s">
        <v>477</v>
      </c>
      <c r="K14334" s="18" t="s">
        <v>477</v>
      </c>
    </row>
    <row r="14335">
      <c r="B14335" s="17" t="s">
        <v>477</v>
      </c>
      <c r="K14335" s="18" t="s">
        <v>477</v>
      </c>
    </row>
    <row r="14336">
      <c r="B14336" s="17" t="s">
        <v>477</v>
      </c>
      <c r="K14336" s="18" t="s">
        <v>477</v>
      </c>
    </row>
    <row r="14337">
      <c r="B14337" s="17" t="s">
        <v>477</v>
      </c>
      <c r="K14337" s="18" t="s">
        <v>477</v>
      </c>
    </row>
    <row r="14338">
      <c r="B14338" s="17" t="s">
        <v>477</v>
      </c>
      <c r="K14338" s="18" t="s">
        <v>477</v>
      </c>
    </row>
    <row r="14339">
      <c r="B14339" s="17" t="s">
        <v>477</v>
      </c>
      <c r="K14339" s="18" t="s">
        <v>477</v>
      </c>
    </row>
    <row r="14340">
      <c r="B14340" s="17" t="s">
        <v>477</v>
      </c>
      <c r="K14340" s="18" t="s">
        <v>477</v>
      </c>
    </row>
    <row r="14341">
      <c r="B14341" s="17" t="s">
        <v>477</v>
      </c>
      <c r="K14341" s="18" t="s">
        <v>477</v>
      </c>
    </row>
    <row r="14342">
      <c r="B14342" s="17" t="s">
        <v>477</v>
      </c>
      <c r="K14342" s="18" t="s">
        <v>477</v>
      </c>
    </row>
    <row r="14343">
      <c r="B14343" s="17" t="s">
        <v>477</v>
      </c>
      <c r="K14343" s="18" t="s">
        <v>477</v>
      </c>
    </row>
    <row r="14344">
      <c r="B14344" s="17" t="s">
        <v>477</v>
      </c>
      <c r="K14344" s="18" t="s">
        <v>477</v>
      </c>
    </row>
    <row r="14345">
      <c r="B14345" s="17" t="s">
        <v>477</v>
      </c>
      <c r="K14345" s="18" t="s">
        <v>477</v>
      </c>
    </row>
    <row r="14346">
      <c r="B14346" s="17" t="s">
        <v>477</v>
      </c>
      <c r="K14346" s="18" t="s">
        <v>477</v>
      </c>
    </row>
    <row r="14347">
      <c r="B14347" s="17" t="s">
        <v>477</v>
      </c>
      <c r="K14347" s="18" t="s">
        <v>477</v>
      </c>
    </row>
    <row r="14348">
      <c r="B14348" s="17" t="s">
        <v>477</v>
      </c>
      <c r="K14348" s="18" t="s">
        <v>477</v>
      </c>
    </row>
    <row r="14349">
      <c r="B14349" s="17" t="s">
        <v>477</v>
      </c>
      <c r="K14349" s="18" t="s">
        <v>477</v>
      </c>
    </row>
    <row r="14350">
      <c r="B14350" s="17" t="s">
        <v>477</v>
      </c>
      <c r="K14350" s="18" t="s">
        <v>477</v>
      </c>
    </row>
    <row r="14351">
      <c r="B14351" s="17" t="s">
        <v>477</v>
      </c>
      <c r="K14351" s="18" t="s">
        <v>477</v>
      </c>
    </row>
    <row r="14352">
      <c r="B14352" s="17" t="s">
        <v>477</v>
      </c>
      <c r="K14352" s="18" t="s">
        <v>477</v>
      </c>
    </row>
    <row r="14353">
      <c r="B14353" s="17" t="s">
        <v>477</v>
      </c>
      <c r="K14353" s="18" t="s">
        <v>477</v>
      </c>
    </row>
    <row r="14354">
      <c r="B14354" s="17" t="s">
        <v>477</v>
      </c>
      <c r="K14354" s="18" t="s">
        <v>477</v>
      </c>
    </row>
    <row r="14355">
      <c r="B14355" s="17" t="s">
        <v>477</v>
      </c>
      <c r="K14355" s="18" t="s">
        <v>477</v>
      </c>
    </row>
    <row r="14356">
      <c r="B14356" s="17" t="s">
        <v>477</v>
      </c>
      <c r="K14356" s="18" t="s">
        <v>477</v>
      </c>
    </row>
    <row r="14357">
      <c r="B14357" s="17" t="s">
        <v>477</v>
      </c>
      <c r="K14357" s="18" t="s">
        <v>477</v>
      </c>
    </row>
    <row r="14358">
      <c r="B14358" s="17" t="s">
        <v>477</v>
      </c>
      <c r="K14358" s="18" t="s">
        <v>477</v>
      </c>
    </row>
    <row r="14359">
      <c r="B14359" s="17" t="s">
        <v>477</v>
      </c>
      <c r="K14359" s="18" t="s">
        <v>477</v>
      </c>
    </row>
    <row r="14360">
      <c r="B14360" s="17" t="s">
        <v>477</v>
      </c>
      <c r="K14360" s="18" t="s">
        <v>477</v>
      </c>
    </row>
    <row r="14361">
      <c r="B14361" s="17" t="s">
        <v>477</v>
      </c>
      <c r="K14361" s="18" t="s">
        <v>477</v>
      </c>
    </row>
    <row r="14362">
      <c r="B14362" s="17" t="s">
        <v>477</v>
      </c>
      <c r="K14362" s="18" t="s">
        <v>477</v>
      </c>
    </row>
    <row r="14363">
      <c r="B14363" s="17" t="s">
        <v>477</v>
      </c>
      <c r="K14363" s="18" t="s">
        <v>477</v>
      </c>
    </row>
    <row r="14364">
      <c r="B14364" s="17" t="s">
        <v>477</v>
      </c>
      <c r="K14364" s="18" t="s">
        <v>477</v>
      </c>
    </row>
    <row r="14365">
      <c r="B14365" s="17" t="s">
        <v>477</v>
      </c>
      <c r="K14365" s="18" t="s">
        <v>477</v>
      </c>
    </row>
    <row r="14366">
      <c r="B14366" s="17" t="s">
        <v>477</v>
      </c>
      <c r="K14366" s="18" t="s">
        <v>477</v>
      </c>
    </row>
    <row r="14367">
      <c r="B14367" s="17" t="s">
        <v>477</v>
      </c>
      <c r="K14367" s="18" t="s">
        <v>477</v>
      </c>
    </row>
    <row r="14368">
      <c r="B14368" s="17" t="s">
        <v>477</v>
      </c>
      <c r="K14368" s="18" t="s">
        <v>477</v>
      </c>
    </row>
    <row r="14369">
      <c r="B14369" s="17" t="s">
        <v>477</v>
      </c>
      <c r="K14369" s="18" t="s">
        <v>477</v>
      </c>
    </row>
    <row r="14370">
      <c r="B14370" s="17" t="s">
        <v>477</v>
      </c>
      <c r="K14370" s="18" t="s">
        <v>477</v>
      </c>
    </row>
    <row r="14371">
      <c r="B14371" s="17" t="s">
        <v>477</v>
      </c>
      <c r="K14371" s="18" t="s">
        <v>477</v>
      </c>
    </row>
    <row r="14372">
      <c r="B14372" s="17" t="s">
        <v>477</v>
      </c>
      <c r="K14372" s="18" t="s">
        <v>477</v>
      </c>
    </row>
    <row r="14373">
      <c r="B14373" s="17" t="s">
        <v>477</v>
      </c>
      <c r="K14373" s="18" t="s">
        <v>477</v>
      </c>
    </row>
    <row r="14374">
      <c r="B14374" s="17" t="s">
        <v>477</v>
      </c>
      <c r="K14374" s="18" t="s">
        <v>477</v>
      </c>
    </row>
    <row r="14375">
      <c r="B14375" s="17" t="s">
        <v>477</v>
      </c>
      <c r="K14375" s="18" t="s">
        <v>477</v>
      </c>
    </row>
    <row r="14376">
      <c r="B14376" s="17" t="s">
        <v>477</v>
      </c>
      <c r="K14376" s="18" t="s">
        <v>477</v>
      </c>
    </row>
    <row r="14377">
      <c r="B14377" s="17" t="s">
        <v>477</v>
      </c>
      <c r="K14377" s="18" t="s">
        <v>477</v>
      </c>
    </row>
    <row r="14378">
      <c r="B14378" s="17" t="s">
        <v>477</v>
      </c>
      <c r="K14378" s="18" t="s">
        <v>477</v>
      </c>
    </row>
    <row r="14379">
      <c r="B14379" s="17" t="s">
        <v>477</v>
      </c>
      <c r="K14379" s="18" t="s">
        <v>477</v>
      </c>
    </row>
    <row r="14380">
      <c r="B14380" s="17" t="s">
        <v>477</v>
      </c>
      <c r="K14380" s="18" t="s">
        <v>477</v>
      </c>
    </row>
    <row r="14381">
      <c r="B14381" s="17" t="s">
        <v>477</v>
      </c>
      <c r="K14381" s="18" t="s">
        <v>477</v>
      </c>
    </row>
    <row r="14382">
      <c r="B14382" s="17" t="s">
        <v>477</v>
      </c>
      <c r="K14382" s="18" t="s">
        <v>477</v>
      </c>
    </row>
    <row r="14383">
      <c r="B14383" s="17" t="s">
        <v>477</v>
      </c>
      <c r="K14383" s="18" t="s">
        <v>477</v>
      </c>
    </row>
    <row r="14384">
      <c r="B14384" s="17" t="s">
        <v>477</v>
      </c>
      <c r="K14384" s="18" t="s">
        <v>477</v>
      </c>
    </row>
    <row r="14385">
      <c r="B14385" s="17" t="s">
        <v>477</v>
      </c>
      <c r="K14385" s="18" t="s">
        <v>477</v>
      </c>
    </row>
    <row r="14386">
      <c r="B14386" s="17" t="s">
        <v>477</v>
      </c>
      <c r="K14386" s="18" t="s">
        <v>477</v>
      </c>
    </row>
    <row r="14387">
      <c r="B14387" s="17" t="s">
        <v>477</v>
      </c>
      <c r="K14387" s="18" t="s">
        <v>477</v>
      </c>
    </row>
    <row r="14388">
      <c r="B14388" s="17" t="s">
        <v>477</v>
      </c>
      <c r="K14388" s="18" t="s">
        <v>477</v>
      </c>
    </row>
    <row r="14389">
      <c r="B14389" s="17" t="s">
        <v>477</v>
      </c>
      <c r="K14389" s="18" t="s">
        <v>477</v>
      </c>
    </row>
    <row r="14390">
      <c r="B14390" s="17" t="s">
        <v>477</v>
      </c>
      <c r="K14390" s="18" t="s">
        <v>477</v>
      </c>
    </row>
    <row r="14391">
      <c r="B14391" s="17" t="s">
        <v>477</v>
      </c>
      <c r="K14391" s="18" t="s">
        <v>477</v>
      </c>
    </row>
    <row r="14392">
      <c r="B14392" s="17" t="s">
        <v>477</v>
      </c>
      <c r="K14392" s="18" t="s">
        <v>477</v>
      </c>
    </row>
    <row r="14393">
      <c r="B14393" s="17" t="s">
        <v>477</v>
      </c>
      <c r="K14393" s="18" t="s">
        <v>477</v>
      </c>
    </row>
    <row r="14394">
      <c r="B14394" s="17" t="s">
        <v>477</v>
      </c>
      <c r="K14394" s="18" t="s">
        <v>477</v>
      </c>
    </row>
    <row r="14395">
      <c r="B14395" s="17" t="s">
        <v>477</v>
      </c>
      <c r="K14395" s="18" t="s">
        <v>477</v>
      </c>
    </row>
    <row r="14396">
      <c r="B14396" s="17" t="s">
        <v>477</v>
      </c>
      <c r="K14396" s="18" t="s">
        <v>477</v>
      </c>
    </row>
    <row r="14397">
      <c r="B14397" s="17" t="s">
        <v>477</v>
      </c>
      <c r="K14397" s="18" t="s">
        <v>477</v>
      </c>
    </row>
    <row r="14398">
      <c r="B14398" s="17" t="s">
        <v>477</v>
      </c>
      <c r="K14398" s="18" t="s">
        <v>477</v>
      </c>
    </row>
    <row r="14399">
      <c r="B14399" s="17" t="s">
        <v>477</v>
      </c>
      <c r="K14399" s="18" t="s">
        <v>477</v>
      </c>
    </row>
    <row r="14400">
      <c r="B14400" s="17" t="s">
        <v>477</v>
      </c>
      <c r="K14400" s="18" t="s">
        <v>477</v>
      </c>
    </row>
    <row r="14401">
      <c r="B14401" s="17" t="s">
        <v>477</v>
      </c>
      <c r="K14401" s="18" t="s">
        <v>477</v>
      </c>
    </row>
    <row r="14402">
      <c r="B14402" s="17" t="s">
        <v>477</v>
      </c>
      <c r="K14402" s="18" t="s">
        <v>477</v>
      </c>
    </row>
    <row r="14403">
      <c r="B14403" s="17" t="s">
        <v>477</v>
      </c>
      <c r="K14403" s="18" t="s">
        <v>477</v>
      </c>
    </row>
    <row r="14404">
      <c r="B14404" s="17" t="s">
        <v>477</v>
      </c>
      <c r="K14404" s="18" t="s">
        <v>477</v>
      </c>
    </row>
    <row r="14405">
      <c r="B14405" s="17" t="s">
        <v>477</v>
      </c>
      <c r="K14405" s="18" t="s">
        <v>477</v>
      </c>
    </row>
    <row r="14406">
      <c r="B14406" s="17" t="s">
        <v>477</v>
      </c>
      <c r="K14406" s="18" t="s">
        <v>477</v>
      </c>
    </row>
    <row r="14407">
      <c r="B14407" s="17" t="s">
        <v>477</v>
      </c>
      <c r="K14407" s="18" t="s">
        <v>477</v>
      </c>
    </row>
    <row r="14408">
      <c r="B14408" s="17" t="s">
        <v>477</v>
      </c>
      <c r="K14408" s="18" t="s">
        <v>477</v>
      </c>
    </row>
    <row r="14409">
      <c r="B14409" s="17" t="s">
        <v>477</v>
      </c>
      <c r="K14409" s="18" t="s">
        <v>477</v>
      </c>
    </row>
    <row r="14410">
      <c r="B14410" s="17" t="s">
        <v>477</v>
      </c>
      <c r="K14410" s="18" t="s">
        <v>477</v>
      </c>
    </row>
    <row r="14411">
      <c r="B14411" s="17" t="s">
        <v>477</v>
      </c>
      <c r="K14411" s="18" t="s">
        <v>477</v>
      </c>
    </row>
    <row r="14412">
      <c r="B14412" s="17" t="s">
        <v>477</v>
      </c>
      <c r="K14412" s="18" t="s">
        <v>477</v>
      </c>
    </row>
    <row r="14413">
      <c r="B14413" s="17" t="s">
        <v>477</v>
      </c>
      <c r="K14413" s="18" t="s">
        <v>477</v>
      </c>
    </row>
    <row r="14414">
      <c r="B14414" s="17" t="s">
        <v>477</v>
      </c>
      <c r="K14414" s="18" t="s">
        <v>477</v>
      </c>
    </row>
    <row r="14415">
      <c r="B14415" s="17" t="s">
        <v>477</v>
      </c>
      <c r="K14415" s="18" t="s">
        <v>477</v>
      </c>
    </row>
    <row r="14416">
      <c r="B14416" s="17" t="s">
        <v>477</v>
      </c>
      <c r="K14416" s="18" t="s">
        <v>477</v>
      </c>
    </row>
    <row r="14417">
      <c r="B14417" s="17" t="s">
        <v>477</v>
      </c>
      <c r="K14417" s="18" t="s">
        <v>477</v>
      </c>
    </row>
    <row r="14418">
      <c r="B14418" s="17" t="s">
        <v>477</v>
      </c>
      <c r="K14418" s="18" t="s">
        <v>477</v>
      </c>
    </row>
    <row r="14419">
      <c r="B14419" s="17" t="s">
        <v>477</v>
      </c>
      <c r="K14419" s="18" t="s">
        <v>477</v>
      </c>
    </row>
    <row r="14420">
      <c r="B14420" s="17" t="s">
        <v>477</v>
      </c>
      <c r="K14420" s="18" t="s">
        <v>477</v>
      </c>
    </row>
    <row r="14421">
      <c r="B14421" s="17" t="s">
        <v>477</v>
      </c>
      <c r="K14421" s="18" t="s">
        <v>477</v>
      </c>
    </row>
    <row r="14422">
      <c r="B14422" s="17" t="s">
        <v>477</v>
      </c>
      <c r="K14422" s="18" t="s">
        <v>477</v>
      </c>
    </row>
    <row r="14423">
      <c r="B14423" s="17" t="s">
        <v>477</v>
      </c>
      <c r="K14423" s="18" t="s">
        <v>477</v>
      </c>
    </row>
    <row r="14424">
      <c r="B14424" s="17" t="s">
        <v>477</v>
      </c>
      <c r="K14424" s="18" t="s">
        <v>477</v>
      </c>
    </row>
    <row r="14425">
      <c r="B14425" s="17" t="s">
        <v>477</v>
      </c>
      <c r="K14425" s="18" t="s">
        <v>477</v>
      </c>
    </row>
    <row r="14426">
      <c r="B14426" s="17" t="s">
        <v>477</v>
      </c>
      <c r="K14426" s="18" t="s">
        <v>477</v>
      </c>
    </row>
    <row r="14427">
      <c r="B14427" s="17" t="s">
        <v>477</v>
      </c>
      <c r="K14427" s="18" t="s">
        <v>477</v>
      </c>
    </row>
    <row r="14428">
      <c r="B14428" s="17" t="s">
        <v>477</v>
      </c>
      <c r="K14428" s="18" t="s">
        <v>477</v>
      </c>
    </row>
    <row r="14429">
      <c r="B14429" s="17" t="s">
        <v>477</v>
      </c>
      <c r="K14429" s="18" t="s">
        <v>477</v>
      </c>
    </row>
    <row r="14430">
      <c r="B14430" s="17" t="s">
        <v>477</v>
      </c>
      <c r="K14430" s="18" t="s">
        <v>477</v>
      </c>
    </row>
    <row r="14431">
      <c r="B14431" s="17" t="s">
        <v>477</v>
      </c>
      <c r="K14431" s="18" t="s">
        <v>477</v>
      </c>
    </row>
    <row r="14432">
      <c r="B14432" s="17" t="s">
        <v>477</v>
      </c>
      <c r="K14432" s="18" t="s">
        <v>477</v>
      </c>
    </row>
    <row r="14433">
      <c r="B14433" s="17" t="s">
        <v>477</v>
      </c>
      <c r="K14433" s="18" t="s">
        <v>477</v>
      </c>
    </row>
    <row r="14434">
      <c r="B14434" s="17" t="s">
        <v>477</v>
      </c>
      <c r="K14434" s="18" t="s">
        <v>477</v>
      </c>
    </row>
    <row r="14435">
      <c r="B14435" s="17" t="s">
        <v>477</v>
      </c>
      <c r="K14435" s="18" t="s">
        <v>477</v>
      </c>
    </row>
    <row r="14436">
      <c r="B14436" s="17" t="s">
        <v>477</v>
      </c>
      <c r="K14436" s="18" t="s">
        <v>477</v>
      </c>
    </row>
    <row r="14437">
      <c r="B14437" s="17" t="s">
        <v>477</v>
      </c>
      <c r="K14437" s="18" t="s">
        <v>477</v>
      </c>
    </row>
    <row r="14438">
      <c r="B14438" s="17" t="s">
        <v>477</v>
      </c>
      <c r="K14438" s="18" t="s">
        <v>477</v>
      </c>
    </row>
    <row r="14439">
      <c r="B14439" s="17" t="s">
        <v>477</v>
      </c>
      <c r="K14439" s="18" t="s">
        <v>477</v>
      </c>
    </row>
    <row r="14440">
      <c r="B14440" s="17" t="s">
        <v>477</v>
      </c>
      <c r="K14440" s="18" t="s">
        <v>477</v>
      </c>
    </row>
    <row r="14441">
      <c r="B14441" s="17" t="s">
        <v>477</v>
      </c>
      <c r="K14441" s="18" t="s">
        <v>477</v>
      </c>
    </row>
    <row r="14442">
      <c r="B14442" s="17" t="s">
        <v>477</v>
      </c>
      <c r="K14442" s="18" t="s">
        <v>477</v>
      </c>
    </row>
    <row r="14443">
      <c r="B14443" s="17" t="s">
        <v>477</v>
      </c>
      <c r="K14443" s="18" t="s">
        <v>477</v>
      </c>
    </row>
    <row r="14444">
      <c r="B14444" s="17" t="s">
        <v>477</v>
      </c>
      <c r="K14444" s="18" t="s">
        <v>477</v>
      </c>
    </row>
    <row r="14445">
      <c r="B14445" s="17" t="s">
        <v>477</v>
      </c>
      <c r="K14445" s="18" t="s">
        <v>477</v>
      </c>
    </row>
    <row r="14446">
      <c r="B14446" s="17" t="s">
        <v>477</v>
      </c>
      <c r="K14446" s="18" t="s">
        <v>477</v>
      </c>
    </row>
    <row r="14447">
      <c r="B14447" s="17" t="s">
        <v>477</v>
      </c>
      <c r="K14447" s="18" t="s">
        <v>477</v>
      </c>
    </row>
    <row r="14448">
      <c r="B14448" s="17" t="s">
        <v>477</v>
      </c>
      <c r="K14448" s="18" t="s">
        <v>477</v>
      </c>
    </row>
    <row r="14449">
      <c r="B14449" s="17" t="s">
        <v>477</v>
      </c>
      <c r="K14449" s="18" t="s">
        <v>477</v>
      </c>
    </row>
    <row r="14450">
      <c r="B14450" s="17" t="s">
        <v>477</v>
      </c>
      <c r="K14450" s="18" t="s">
        <v>477</v>
      </c>
    </row>
    <row r="14451">
      <c r="B14451" s="17" t="s">
        <v>477</v>
      </c>
      <c r="K14451" s="18" t="s">
        <v>477</v>
      </c>
    </row>
    <row r="14452">
      <c r="B14452" s="17" t="s">
        <v>477</v>
      </c>
      <c r="K14452" s="18" t="s">
        <v>477</v>
      </c>
    </row>
    <row r="14453">
      <c r="B14453" s="17" t="s">
        <v>477</v>
      </c>
      <c r="K14453" s="18" t="s">
        <v>477</v>
      </c>
    </row>
    <row r="14454">
      <c r="B14454" s="17" t="s">
        <v>477</v>
      </c>
      <c r="K14454" s="18" t="s">
        <v>477</v>
      </c>
    </row>
    <row r="14455">
      <c r="B14455" s="17" t="s">
        <v>477</v>
      </c>
      <c r="K14455" s="18" t="s">
        <v>477</v>
      </c>
    </row>
    <row r="14456">
      <c r="B14456" s="17" t="s">
        <v>477</v>
      </c>
      <c r="K14456" s="18" t="s">
        <v>477</v>
      </c>
    </row>
    <row r="14457">
      <c r="B14457" s="17" t="s">
        <v>477</v>
      </c>
      <c r="K14457" s="18" t="s">
        <v>477</v>
      </c>
    </row>
    <row r="14458">
      <c r="B14458" s="17" t="s">
        <v>477</v>
      </c>
      <c r="K14458" s="18" t="s">
        <v>477</v>
      </c>
    </row>
    <row r="14459">
      <c r="B14459" s="17" t="s">
        <v>477</v>
      </c>
      <c r="K14459" s="18" t="s">
        <v>477</v>
      </c>
    </row>
    <row r="14460">
      <c r="B14460" s="17" t="s">
        <v>477</v>
      </c>
      <c r="K14460" s="18" t="s">
        <v>477</v>
      </c>
    </row>
    <row r="14461">
      <c r="B14461" s="17" t="s">
        <v>477</v>
      </c>
      <c r="K14461" s="18" t="s">
        <v>477</v>
      </c>
    </row>
    <row r="14462">
      <c r="B14462" s="17" t="s">
        <v>477</v>
      </c>
      <c r="K14462" s="18" t="s">
        <v>477</v>
      </c>
    </row>
    <row r="14463">
      <c r="B14463" s="17" t="s">
        <v>477</v>
      </c>
      <c r="K14463" s="18" t="s">
        <v>477</v>
      </c>
    </row>
    <row r="14464">
      <c r="B14464" s="17" t="s">
        <v>477</v>
      </c>
      <c r="K14464" s="18" t="s">
        <v>477</v>
      </c>
    </row>
    <row r="14465">
      <c r="B14465" s="17" t="s">
        <v>477</v>
      </c>
      <c r="K14465" s="18" t="s">
        <v>477</v>
      </c>
    </row>
    <row r="14466">
      <c r="B14466" s="17" t="s">
        <v>477</v>
      </c>
      <c r="K14466" s="18" t="s">
        <v>477</v>
      </c>
    </row>
    <row r="14467">
      <c r="B14467" s="17" t="s">
        <v>477</v>
      </c>
      <c r="K14467" s="18" t="s">
        <v>477</v>
      </c>
    </row>
    <row r="14468">
      <c r="B14468" s="17" t="s">
        <v>477</v>
      </c>
      <c r="K14468" s="18" t="s">
        <v>477</v>
      </c>
    </row>
    <row r="14469">
      <c r="B14469" s="17" t="s">
        <v>477</v>
      </c>
      <c r="K14469" s="18" t="s">
        <v>477</v>
      </c>
    </row>
    <row r="14470">
      <c r="B14470" s="17" t="s">
        <v>477</v>
      </c>
      <c r="K14470" s="18" t="s">
        <v>477</v>
      </c>
    </row>
    <row r="14471">
      <c r="B14471" s="17" t="s">
        <v>477</v>
      </c>
      <c r="K14471" s="18" t="s">
        <v>477</v>
      </c>
    </row>
    <row r="14472">
      <c r="B14472" s="17" t="s">
        <v>477</v>
      </c>
      <c r="K14472" s="18" t="s">
        <v>477</v>
      </c>
    </row>
    <row r="14473">
      <c r="B14473" s="17" t="s">
        <v>477</v>
      </c>
      <c r="K14473" s="18" t="s">
        <v>477</v>
      </c>
    </row>
    <row r="14474">
      <c r="B14474" s="17" t="s">
        <v>477</v>
      </c>
      <c r="K14474" s="18" t="s">
        <v>477</v>
      </c>
    </row>
    <row r="14475">
      <c r="B14475" s="17" t="s">
        <v>477</v>
      </c>
      <c r="K14475" s="18" t="s">
        <v>477</v>
      </c>
    </row>
    <row r="14476">
      <c r="B14476" s="17" t="s">
        <v>477</v>
      </c>
      <c r="K14476" s="18" t="s">
        <v>477</v>
      </c>
    </row>
    <row r="14477">
      <c r="B14477" s="17" t="s">
        <v>477</v>
      </c>
      <c r="K14477" s="18" t="s">
        <v>477</v>
      </c>
    </row>
    <row r="14478">
      <c r="B14478" s="17" t="s">
        <v>477</v>
      </c>
      <c r="K14478" s="18" t="s">
        <v>477</v>
      </c>
    </row>
    <row r="14479">
      <c r="B14479" s="17" t="s">
        <v>477</v>
      </c>
      <c r="K14479" s="18" t="s">
        <v>477</v>
      </c>
    </row>
    <row r="14480">
      <c r="B14480" s="17" t="s">
        <v>477</v>
      </c>
      <c r="K14480" s="18" t="s">
        <v>477</v>
      </c>
    </row>
    <row r="14481">
      <c r="B14481" s="17" t="s">
        <v>477</v>
      </c>
      <c r="K14481" s="18" t="s">
        <v>477</v>
      </c>
    </row>
    <row r="14482">
      <c r="B14482" s="17" t="s">
        <v>477</v>
      </c>
      <c r="K14482" s="18" t="s">
        <v>477</v>
      </c>
    </row>
    <row r="14483">
      <c r="B14483" s="17" t="s">
        <v>477</v>
      </c>
      <c r="K14483" s="18" t="s">
        <v>477</v>
      </c>
    </row>
    <row r="14484">
      <c r="B14484" s="17" t="s">
        <v>477</v>
      </c>
      <c r="K14484" s="18" t="s">
        <v>477</v>
      </c>
    </row>
    <row r="14485">
      <c r="B14485" s="17" t="s">
        <v>477</v>
      </c>
      <c r="K14485" s="18" t="s">
        <v>477</v>
      </c>
    </row>
    <row r="14486">
      <c r="B14486" s="17" t="s">
        <v>477</v>
      </c>
      <c r="K14486" s="18" t="s">
        <v>477</v>
      </c>
    </row>
    <row r="14487">
      <c r="B14487" s="17" t="s">
        <v>477</v>
      </c>
      <c r="K14487" s="18" t="s">
        <v>477</v>
      </c>
    </row>
    <row r="14488">
      <c r="B14488" s="17" t="s">
        <v>477</v>
      </c>
      <c r="K14488" s="18" t="s">
        <v>477</v>
      </c>
    </row>
    <row r="14489">
      <c r="B14489" s="17" t="s">
        <v>477</v>
      </c>
      <c r="K14489" s="18" t="s">
        <v>477</v>
      </c>
    </row>
    <row r="14490">
      <c r="B14490" s="17" t="s">
        <v>477</v>
      </c>
      <c r="K14490" s="18" t="s">
        <v>477</v>
      </c>
    </row>
    <row r="14491">
      <c r="B14491" s="17" t="s">
        <v>477</v>
      </c>
      <c r="K14491" s="18" t="s">
        <v>477</v>
      </c>
    </row>
    <row r="14492">
      <c r="B14492" s="17" t="s">
        <v>477</v>
      </c>
      <c r="K14492" s="18" t="s">
        <v>477</v>
      </c>
    </row>
    <row r="14493">
      <c r="B14493" s="17" t="s">
        <v>477</v>
      </c>
      <c r="K14493" s="18" t="s">
        <v>477</v>
      </c>
    </row>
    <row r="14494">
      <c r="B14494" s="17" t="s">
        <v>477</v>
      </c>
      <c r="K14494" s="18" t="s">
        <v>477</v>
      </c>
    </row>
    <row r="14495">
      <c r="B14495" s="17" t="s">
        <v>477</v>
      </c>
      <c r="K14495" s="18" t="s">
        <v>477</v>
      </c>
    </row>
    <row r="14496">
      <c r="B14496" s="17" t="s">
        <v>477</v>
      </c>
      <c r="K14496" s="18" t="s">
        <v>477</v>
      </c>
    </row>
    <row r="14497">
      <c r="B14497" s="17" t="s">
        <v>477</v>
      </c>
      <c r="K14497" s="18" t="s">
        <v>477</v>
      </c>
    </row>
    <row r="14498">
      <c r="B14498" s="17" t="s">
        <v>477</v>
      </c>
      <c r="K14498" s="18" t="s">
        <v>477</v>
      </c>
    </row>
    <row r="14499">
      <c r="B14499" s="17" t="s">
        <v>477</v>
      </c>
      <c r="K14499" s="18" t="s">
        <v>477</v>
      </c>
    </row>
    <row r="14500">
      <c r="B14500" s="17" t="s">
        <v>477</v>
      </c>
      <c r="K14500" s="18" t="s">
        <v>477</v>
      </c>
    </row>
    <row r="14501">
      <c r="B14501" s="17" t="s">
        <v>477</v>
      </c>
      <c r="K14501" s="18" t="s">
        <v>477</v>
      </c>
    </row>
    <row r="14502">
      <c r="B14502" s="17" t="s">
        <v>477</v>
      </c>
      <c r="K14502" s="18" t="s">
        <v>477</v>
      </c>
    </row>
    <row r="14503">
      <c r="B14503" s="17" t="s">
        <v>477</v>
      </c>
      <c r="K14503" s="18" t="s">
        <v>477</v>
      </c>
    </row>
    <row r="14504">
      <c r="B14504" s="17" t="s">
        <v>477</v>
      </c>
      <c r="K14504" s="18" t="s">
        <v>477</v>
      </c>
    </row>
    <row r="14505">
      <c r="B14505" s="17" t="s">
        <v>477</v>
      </c>
      <c r="K14505" s="18" t="s">
        <v>477</v>
      </c>
    </row>
    <row r="14506">
      <c r="B14506" s="17" t="s">
        <v>477</v>
      </c>
      <c r="K14506" s="18" t="s">
        <v>477</v>
      </c>
    </row>
    <row r="14507">
      <c r="B14507" s="17" t="s">
        <v>477</v>
      </c>
      <c r="K14507" s="18" t="s">
        <v>477</v>
      </c>
    </row>
    <row r="14508">
      <c r="B14508" s="17" t="s">
        <v>477</v>
      </c>
      <c r="K14508" s="18" t="s">
        <v>477</v>
      </c>
    </row>
    <row r="14509">
      <c r="B14509" s="17" t="s">
        <v>477</v>
      </c>
      <c r="K14509" s="18" t="s">
        <v>477</v>
      </c>
    </row>
    <row r="14510">
      <c r="B14510" s="17" t="s">
        <v>477</v>
      </c>
      <c r="K14510" s="18" t="s">
        <v>477</v>
      </c>
    </row>
    <row r="14511">
      <c r="B14511" s="17" t="s">
        <v>477</v>
      </c>
      <c r="K14511" s="18" t="s">
        <v>477</v>
      </c>
    </row>
    <row r="14512">
      <c r="B14512" s="17" t="s">
        <v>477</v>
      </c>
      <c r="K14512" s="18" t="s">
        <v>477</v>
      </c>
    </row>
    <row r="14513">
      <c r="B14513" s="17" t="s">
        <v>477</v>
      </c>
      <c r="K14513" s="18" t="s">
        <v>477</v>
      </c>
    </row>
    <row r="14514">
      <c r="B14514" s="17" t="s">
        <v>477</v>
      </c>
      <c r="K14514" s="18" t="s">
        <v>477</v>
      </c>
    </row>
    <row r="14515">
      <c r="B14515" s="17" t="s">
        <v>477</v>
      </c>
      <c r="K14515" s="18" t="s">
        <v>477</v>
      </c>
    </row>
    <row r="14516">
      <c r="B14516" s="17" t="s">
        <v>477</v>
      </c>
      <c r="K14516" s="18" t="s">
        <v>477</v>
      </c>
    </row>
    <row r="14517">
      <c r="B14517" s="17" t="s">
        <v>477</v>
      </c>
      <c r="K14517" s="18" t="s">
        <v>477</v>
      </c>
    </row>
    <row r="14518">
      <c r="B14518" s="17" t="s">
        <v>477</v>
      </c>
      <c r="K14518" s="18" t="s">
        <v>477</v>
      </c>
    </row>
    <row r="14519">
      <c r="B14519" s="17" t="s">
        <v>477</v>
      </c>
      <c r="K14519" s="18" t="s">
        <v>477</v>
      </c>
    </row>
    <row r="14520">
      <c r="B14520" s="17" t="s">
        <v>477</v>
      </c>
      <c r="K14520" s="18" t="s">
        <v>477</v>
      </c>
    </row>
    <row r="14521">
      <c r="B14521" s="17" t="s">
        <v>477</v>
      </c>
      <c r="K14521" s="18" t="s">
        <v>477</v>
      </c>
    </row>
    <row r="14522">
      <c r="B14522" s="17" t="s">
        <v>477</v>
      </c>
      <c r="K14522" s="18" t="s">
        <v>477</v>
      </c>
    </row>
    <row r="14523">
      <c r="B14523" s="17" t="s">
        <v>477</v>
      </c>
      <c r="K14523" s="18" t="s">
        <v>477</v>
      </c>
    </row>
    <row r="14524">
      <c r="B14524" s="17" t="s">
        <v>477</v>
      </c>
      <c r="K14524" s="18" t="s">
        <v>477</v>
      </c>
    </row>
    <row r="14525">
      <c r="B14525" s="17" t="s">
        <v>477</v>
      </c>
      <c r="K14525" s="18" t="s">
        <v>477</v>
      </c>
    </row>
    <row r="14526">
      <c r="B14526" s="17" t="s">
        <v>477</v>
      </c>
      <c r="K14526" s="18" t="s">
        <v>477</v>
      </c>
    </row>
    <row r="14527">
      <c r="B14527" s="17" t="s">
        <v>477</v>
      </c>
      <c r="K14527" s="18" t="s">
        <v>477</v>
      </c>
    </row>
    <row r="14528">
      <c r="B14528" s="17" t="s">
        <v>477</v>
      </c>
      <c r="K14528" s="18" t="s">
        <v>477</v>
      </c>
    </row>
    <row r="14529">
      <c r="B14529" s="17" t="s">
        <v>477</v>
      </c>
      <c r="K14529" s="18" t="s">
        <v>477</v>
      </c>
    </row>
    <row r="14530">
      <c r="B14530" s="17" t="s">
        <v>477</v>
      </c>
      <c r="K14530" s="18" t="s">
        <v>477</v>
      </c>
    </row>
    <row r="14531">
      <c r="B14531" s="17" t="s">
        <v>477</v>
      </c>
      <c r="K14531" s="18" t="s">
        <v>477</v>
      </c>
    </row>
    <row r="14532">
      <c r="B14532" s="17" t="s">
        <v>477</v>
      </c>
      <c r="K14532" s="18" t="s">
        <v>477</v>
      </c>
    </row>
    <row r="14533">
      <c r="B14533" s="17" t="s">
        <v>477</v>
      </c>
      <c r="K14533" s="18" t="s">
        <v>477</v>
      </c>
    </row>
    <row r="14534">
      <c r="B14534" s="17" t="s">
        <v>477</v>
      </c>
      <c r="K14534" s="18" t="s">
        <v>477</v>
      </c>
    </row>
    <row r="14535">
      <c r="B14535" s="17" t="s">
        <v>477</v>
      </c>
      <c r="K14535" s="18" t="s">
        <v>477</v>
      </c>
    </row>
    <row r="14536">
      <c r="B14536" s="17" t="s">
        <v>477</v>
      </c>
      <c r="K14536" s="18" t="s">
        <v>477</v>
      </c>
    </row>
    <row r="14537">
      <c r="B14537" s="17" t="s">
        <v>477</v>
      </c>
      <c r="K14537" s="18" t="s">
        <v>477</v>
      </c>
    </row>
    <row r="14538">
      <c r="B14538" s="17" t="s">
        <v>477</v>
      </c>
      <c r="K14538" s="18" t="s">
        <v>477</v>
      </c>
    </row>
    <row r="14539">
      <c r="B14539" s="17" t="s">
        <v>477</v>
      </c>
      <c r="K14539" s="18" t="s">
        <v>477</v>
      </c>
    </row>
    <row r="14540">
      <c r="B14540" s="17" t="s">
        <v>477</v>
      </c>
      <c r="K14540" s="18" t="s">
        <v>477</v>
      </c>
    </row>
    <row r="14541">
      <c r="B14541" s="17" t="s">
        <v>477</v>
      </c>
      <c r="K14541" s="18" t="s">
        <v>477</v>
      </c>
    </row>
    <row r="14542">
      <c r="B14542" s="17" t="s">
        <v>477</v>
      </c>
      <c r="K14542" s="18" t="s">
        <v>477</v>
      </c>
    </row>
    <row r="14543">
      <c r="B14543" s="17" t="s">
        <v>477</v>
      </c>
      <c r="K14543" s="18" t="s">
        <v>477</v>
      </c>
    </row>
    <row r="14544">
      <c r="B14544" s="17" t="s">
        <v>477</v>
      </c>
      <c r="K14544" s="18" t="s">
        <v>477</v>
      </c>
    </row>
    <row r="14545">
      <c r="B14545" s="17" t="s">
        <v>477</v>
      </c>
      <c r="K14545" s="18" t="s">
        <v>477</v>
      </c>
    </row>
    <row r="14546">
      <c r="B14546" s="17" t="s">
        <v>477</v>
      </c>
      <c r="K14546" s="18" t="s">
        <v>477</v>
      </c>
    </row>
    <row r="14547">
      <c r="B14547" s="17" t="s">
        <v>477</v>
      </c>
      <c r="K14547" s="18" t="s">
        <v>477</v>
      </c>
    </row>
    <row r="14548">
      <c r="B14548" s="17" t="s">
        <v>477</v>
      </c>
      <c r="K14548" s="18" t="s">
        <v>477</v>
      </c>
    </row>
    <row r="14549">
      <c r="B14549" s="17" t="s">
        <v>477</v>
      </c>
      <c r="K14549" s="18" t="s">
        <v>477</v>
      </c>
    </row>
    <row r="14550">
      <c r="B14550" s="17" t="s">
        <v>477</v>
      </c>
      <c r="K14550" s="18" t="s">
        <v>477</v>
      </c>
    </row>
    <row r="14551">
      <c r="B14551" s="17" t="s">
        <v>477</v>
      </c>
      <c r="K14551" s="18" t="s">
        <v>477</v>
      </c>
    </row>
    <row r="14552">
      <c r="B14552" s="17" t="s">
        <v>477</v>
      </c>
      <c r="K14552" s="18" t="s">
        <v>477</v>
      </c>
    </row>
    <row r="14553">
      <c r="B14553" s="17" t="s">
        <v>477</v>
      </c>
      <c r="K14553" s="18" t="s">
        <v>477</v>
      </c>
    </row>
    <row r="14554">
      <c r="B14554" s="17" t="s">
        <v>477</v>
      </c>
      <c r="K14554" s="18" t="s">
        <v>477</v>
      </c>
    </row>
    <row r="14555">
      <c r="B14555" s="17" t="s">
        <v>477</v>
      </c>
      <c r="K14555" s="18" t="s">
        <v>477</v>
      </c>
    </row>
    <row r="14556">
      <c r="B14556" s="17" t="s">
        <v>477</v>
      </c>
      <c r="K14556" s="18" t="s">
        <v>477</v>
      </c>
    </row>
    <row r="14557">
      <c r="B14557" s="17" t="s">
        <v>477</v>
      </c>
      <c r="K14557" s="18" t="s">
        <v>477</v>
      </c>
    </row>
    <row r="14558">
      <c r="B14558" s="17" t="s">
        <v>477</v>
      </c>
      <c r="K14558" s="18" t="s">
        <v>477</v>
      </c>
    </row>
    <row r="14559">
      <c r="B14559" s="17" t="s">
        <v>477</v>
      </c>
      <c r="K14559" s="18" t="s">
        <v>477</v>
      </c>
    </row>
    <row r="14560">
      <c r="B14560" s="17" t="s">
        <v>477</v>
      </c>
      <c r="K14560" s="18" t="s">
        <v>477</v>
      </c>
    </row>
    <row r="14561">
      <c r="B14561" s="17" t="s">
        <v>477</v>
      </c>
      <c r="K14561" s="18" t="s">
        <v>477</v>
      </c>
    </row>
    <row r="14562">
      <c r="B14562" s="17" t="s">
        <v>477</v>
      </c>
      <c r="K14562" s="18" t="s">
        <v>477</v>
      </c>
    </row>
    <row r="14563">
      <c r="B14563" s="17" t="s">
        <v>477</v>
      </c>
      <c r="K14563" s="18" t="s">
        <v>477</v>
      </c>
    </row>
    <row r="14564">
      <c r="B14564" s="17" t="s">
        <v>477</v>
      </c>
      <c r="K14564" s="18" t="s">
        <v>477</v>
      </c>
    </row>
    <row r="14565">
      <c r="B14565" s="17" t="s">
        <v>477</v>
      </c>
      <c r="K14565" s="18" t="s">
        <v>477</v>
      </c>
    </row>
    <row r="14566">
      <c r="B14566" s="17" t="s">
        <v>477</v>
      </c>
      <c r="K14566" s="18" t="s">
        <v>477</v>
      </c>
    </row>
    <row r="14567">
      <c r="B14567" s="17" t="s">
        <v>477</v>
      </c>
      <c r="K14567" s="18" t="s">
        <v>477</v>
      </c>
    </row>
    <row r="14568">
      <c r="B14568" s="17" t="s">
        <v>477</v>
      </c>
      <c r="K14568" s="18" t="s">
        <v>477</v>
      </c>
    </row>
    <row r="14569">
      <c r="B14569" s="17" t="s">
        <v>477</v>
      </c>
      <c r="K14569" s="18" t="s">
        <v>477</v>
      </c>
    </row>
    <row r="14570">
      <c r="B14570" s="17" t="s">
        <v>477</v>
      </c>
      <c r="K14570" s="18" t="s">
        <v>477</v>
      </c>
    </row>
    <row r="14571">
      <c r="B14571" s="17" t="s">
        <v>477</v>
      </c>
      <c r="K14571" s="18" t="s">
        <v>477</v>
      </c>
    </row>
    <row r="14572">
      <c r="B14572" s="17" t="s">
        <v>477</v>
      </c>
      <c r="K14572" s="18" t="s">
        <v>477</v>
      </c>
    </row>
    <row r="14573">
      <c r="B14573" s="17" t="s">
        <v>477</v>
      </c>
      <c r="K14573" s="18" t="s">
        <v>477</v>
      </c>
    </row>
    <row r="14574">
      <c r="B14574" s="17" t="s">
        <v>477</v>
      </c>
      <c r="K14574" s="18" t="s">
        <v>477</v>
      </c>
    </row>
    <row r="14575">
      <c r="B14575" s="17" t="s">
        <v>477</v>
      </c>
      <c r="K14575" s="18" t="s">
        <v>477</v>
      </c>
    </row>
    <row r="14576">
      <c r="B14576" s="17" t="s">
        <v>477</v>
      </c>
      <c r="K14576" s="18" t="s">
        <v>477</v>
      </c>
    </row>
    <row r="14577">
      <c r="B14577" s="17" t="s">
        <v>477</v>
      </c>
      <c r="K14577" s="18" t="s">
        <v>477</v>
      </c>
    </row>
    <row r="14578">
      <c r="B14578" s="17" t="s">
        <v>477</v>
      </c>
      <c r="K14578" s="18" t="s">
        <v>477</v>
      </c>
    </row>
    <row r="14579">
      <c r="B14579" s="17" t="s">
        <v>477</v>
      </c>
      <c r="K14579" s="18" t="s">
        <v>477</v>
      </c>
    </row>
    <row r="14580">
      <c r="B14580" s="17" t="s">
        <v>477</v>
      </c>
      <c r="K14580" s="18" t="s">
        <v>477</v>
      </c>
    </row>
    <row r="14581">
      <c r="B14581" s="17" t="s">
        <v>477</v>
      </c>
      <c r="K14581" s="18" t="s">
        <v>477</v>
      </c>
    </row>
    <row r="14582">
      <c r="B14582" s="17" t="s">
        <v>477</v>
      </c>
      <c r="K14582" s="18" t="s">
        <v>477</v>
      </c>
    </row>
    <row r="14583">
      <c r="B14583" s="17" t="s">
        <v>477</v>
      </c>
      <c r="K14583" s="18" t="s">
        <v>477</v>
      </c>
    </row>
    <row r="14584">
      <c r="B14584" s="17" t="s">
        <v>477</v>
      </c>
      <c r="K14584" s="18" t="s">
        <v>477</v>
      </c>
    </row>
    <row r="14585">
      <c r="B14585" s="17" t="s">
        <v>477</v>
      </c>
      <c r="K14585" s="18" t="s">
        <v>477</v>
      </c>
    </row>
    <row r="14586">
      <c r="B14586" s="17" t="s">
        <v>477</v>
      </c>
      <c r="K14586" s="18" t="s">
        <v>477</v>
      </c>
    </row>
    <row r="14587">
      <c r="B14587" s="17" t="s">
        <v>477</v>
      </c>
      <c r="K14587" s="18" t="s">
        <v>477</v>
      </c>
    </row>
    <row r="14588">
      <c r="B14588" s="17" t="s">
        <v>477</v>
      </c>
      <c r="K14588" s="18" t="s">
        <v>477</v>
      </c>
    </row>
    <row r="14589">
      <c r="B14589" s="17" t="s">
        <v>477</v>
      </c>
      <c r="K14589" s="18" t="s">
        <v>477</v>
      </c>
    </row>
    <row r="14590">
      <c r="B14590" s="17" t="s">
        <v>477</v>
      </c>
      <c r="K14590" s="18" t="s">
        <v>477</v>
      </c>
    </row>
    <row r="14591">
      <c r="B14591" s="17" t="s">
        <v>477</v>
      </c>
      <c r="K14591" s="18" t="s">
        <v>477</v>
      </c>
    </row>
    <row r="14592">
      <c r="B14592" s="17" t="s">
        <v>477</v>
      </c>
      <c r="K14592" s="18" t="s">
        <v>477</v>
      </c>
    </row>
    <row r="14593">
      <c r="B14593" s="17" t="s">
        <v>477</v>
      </c>
      <c r="K14593" s="18" t="s">
        <v>477</v>
      </c>
    </row>
    <row r="14594">
      <c r="B14594" s="17" t="s">
        <v>477</v>
      </c>
      <c r="K14594" s="18" t="s">
        <v>477</v>
      </c>
    </row>
    <row r="14595">
      <c r="B14595" s="17" t="s">
        <v>477</v>
      </c>
      <c r="K14595" s="18" t="s">
        <v>477</v>
      </c>
    </row>
    <row r="14596">
      <c r="B14596" s="17" t="s">
        <v>477</v>
      </c>
      <c r="K14596" s="18" t="s">
        <v>477</v>
      </c>
    </row>
    <row r="14597">
      <c r="B14597" s="17" t="s">
        <v>477</v>
      </c>
      <c r="K14597" s="18" t="s">
        <v>477</v>
      </c>
    </row>
    <row r="14598">
      <c r="B14598" s="17" t="s">
        <v>477</v>
      </c>
      <c r="K14598" s="18" t="s">
        <v>477</v>
      </c>
    </row>
    <row r="14599">
      <c r="B14599" s="17" t="s">
        <v>477</v>
      </c>
      <c r="K14599" s="18" t="s">
        <v>477</v>
      </c>
    </row>
    <row r="14600">
      <c r="B14600" s="17" t="s">
        <v>477</v>
      </c>
      <c r="K14600" s="18" t="s">
        <v>477</v>
      </c>
    </row>
    <row r="14601">
      <c r="B14601" s="17" t="s">
        <v>477</v>
      </c>
      <c r="K14601" s="18" t="s">
        <v>477</v>
      </c>
    </row>
    <row r="14602">
      <c r="B14602" s="17" t="s">
        <v>477</v>
      </c>
      <c r="K14602" s="18" t="s">
        <v>477</v>
      </c>
    </row>
    <row r="14603">
      <c r="B14603" s="17" t="s">
        <v>477</v>
      </c>
      <c r="K14603" s="18" t="s">
        <v>477</v>
      </c>
    </row>
    <row r="14604">
      <c r="B14604" s="17" t="s">
        <v>477</v>
      </c>
      <c r="K14604" s="18" t="s">
        <v>477</v>
      </c>
    </row>
    <row r="14605">
      <c r="B14605" s="17" t="s">
        <v>477</v>
      </c>
      <c r="K14605" s="18" t="s">
        <v>477</v>
      </c>
    </row>
    <row r="14606">
      <c r="B14606" s="17" t="s">
        <v>477</v>
      </c>
      <c r="K14606" s="18" t="s">
        <v>477</v>
      </c>
    </row>
    <row r="14607">
      <c r="B14607" s="17" t="s">
        <v>477</v>
      </c>
      <c r="K14607" s="18" t="s">
        <v>477</v>
      </c>
    </row>
    <row r="14608">
      <c r="B14608" s="17" t="s">
        <v>477</v>
      </c>
      <c r="K14608" s="18" t="s">
        <v>477</v>
      </c>
    </row>
    <row r="14609">
      <c r="B14609" s="17" t="s">
        <v>477</v>
      </c>
      <c r="K14609" s="18" t="s">
        <v>477</v>
      </c>
    </row>
    <row r="14610">
      <c r="B14610" s="17" t="s">
        <v>477</v>
      </c>
      <c r="K14610" s="18" t="s">
        <v>477</v>
      </c>
    </row>
    <row r="14611">
      <c r="B14611" s="17" t="s">
        <v>477</v>
      </c>
      <c r="K14611" s="18" t="s">
        <v>477</v>
      </c>
    </row>
    <row r="14612">
      <c r="B14612" s="17" t="s">
        <v>477</v>
      </c>
      <c r="K14612" s="18" t="s">
        <v>477</v>
      </c>
    </row>
    <row r="14613">
      <c r="B14613" s="17" t="s">
        <v>477</v>
      </c>
      <c r="K14613" s="18" t="s">
        <v>477</v>
      </c>
    </row>
    <row r="14614">
      <c r="B14614" s="17" t="s">
        <v>477</v>
      </c>
      <c r="K14614" s="18" t="s">
        <v>477</v>
      </c>
    </row>
    <row r="14615">
      <c r="B14615" s="17" t="s">
        <v>477</v>
      </c>
      <c r="K14615" s="18" t="s">
        <v>477</v>
      </c>
    </row>
    <row r="14616">
      <c r="B14616" s="17" t="s">
        <v>477</v>
      </c>
      <c r="K14616" s="18" t="s">
        <v>477</v>
      </c>
    </row>
    <row r="14617">
      <c r="B14617" s="17" t="s">
        <v>477</v>
      </c>
      <c r="K14617" s="18" t="s">
        <v>477</v>
      </c>
    </row>
    <row r="14618">
      <c r="B14618" s="17" t="s">
        <v>477</v>
      </c>
      <c r="K14618" s="18" t="s">
        <v>477</v>
      </c>
    </row>
    <row r="14619">
      <c r="B14619" s="17" t="s">
        <v>477</v>
      </c>
      <c r="K14619" s="18" t="s">
        <v>477</v>
      </c>
    </row>
    <row r="14620">
      <c r="B14620" s="17" t="s">
        <v>477</v>
      </c>
      <c r="K14620" s="18" t="s">
        <v>477</v>
      </c>
    </row>
    <row r="14621">
      <c r="B14621" s="17" t="s">
        <v>477</v>
      </c>
      <c r="K14621" s="18" t="s">
        <v>477</v>
      </c>
    </row>
    <row r="14622">
      <c r="B14622" s="17" t="s">
        <v>477</v>
      </c>
      <c r="K14622" s="18" t="s">
        <v>477</v>
      </c>
    </row>
    <row r="14623">
      <c r="B14623" s="17" t="s">
        <v>477</v>
      </c>
      <c r="K14623" s="18" t="s">
        <v>477</v>
      </c>
    </row>
    <row r="14624">
      <c r="B14624" s="17" t="s">
        <v>477</v>
      </c>
      <c r="K14624" s="18" t="s">
        <v>477</v>
      </c>
    </row>
    <row r="14625">
      <c r="B14625" s="17" t="s">
        <v>477</v>
      </c>
      <c r="K14625" s="18" t="s">
        <v>477</v>
      </c>
    </row>
    <row r="14626">
      <c r="B14626" s="17" t="s">
        <v>477</v>
      </c>
      <c r="K14626" s="18" t="s">
        <v>477</v>
      </c>
    </row>
    <row r="14627">
      <c r="B14627" s="17" t="s">
        <v>477</v>
      </c>
      <c r="K14627" s="18" t="s">
        <v>477</v>
      </c>
    </row>
    <row r="14628">
      <c r="B14628" s="17" t="s">
        <v>477</v>
      </c>
      <c r="K14628" s="18" t="s">
        <v>477</v>
      </c>
    </row>
    <row r="14629">
      <c r="B14629" s="17" t="s">
        <v>477</v>
      </c>
      <c r="K14629" s="18" t="s">
        <v>477</v>
      </c>
    </row>
    <row r="14630">
      <c r="B14630" s="17" t="s">
        <v>477</v>
      </c>
      <c r="K14630" s="18" t="s">
        <v>477</v>
      </c>
    </row>
    <row r="14631">
      <c r="B14631" s="17" t="s">
        <v>477</v>
      </c>
      <c r="K14631" s="18" t="s">
        <v>477</v>
      </c>
    </row>
    <row r="14632">
      <c r="B14632" s="17" t="s">
        <v>477</v>
      </c>
      <c r="K14632" s="18" t="s">
        <v>477</v>
      </c>
    </row>
    <row r="14633">
      <c r="B14633" s="17" t="s">
        <v>477</v>
      </c>
      <c r="K14633" s="18" t="s">
        <v>477</v>
      </c>
    </row>
    <row r="14634">
      <c r="B14634" s="17" t="s">
        <v>477</v>
      </c>
      <c r="K14634" s="18" t="s">
        <v>477</v>
      </c>
    </row>
    <row r="14635">
      <c r="B14635" s="17" t="s">
        <v>477</v>
      </c>
      <c r="K14635" s="18" t="s">
        <v>477</v>
      </c>
    </row>
    <row r="14636">
      <c r="B14636" s="17" t="s">
        <v>477</v>
      </c>
      <c r="K14636" s="18" t="s">
        <v>477</v>
      </c>
    </row>
    <row r="14637">
      <c r="B14637" s="17" t="s">
        <v>477</v>
      </c>
      <c r="K14637" s="18" t="s">
        <v>477</v>
      </c>
    </row>
    <row r="14638">
      <c r="B14638" s="17" t="s">
        <v>477</v>
      </c>
      <c r="K14638" s="18" t="s">
        <v>477</v>
      </c>
    </row>
    <row r="14639">
      <c r="B14639" s="17" t="s">
        <v>477</v>
      </c>
      <c r="K14639" s="18" t="s">
        <v>477</v>
      </c>
    </row>
    <row r="14640">
      <c r="B14640" s="17" t="s">
        <v>477</v>
      </c>
      <c r="K14640" s="18" t="s">
        <v>477</v>
      </c>
    </row>
    <row r="14641">
      <c r="B14641" s="17" t="s">
        <v>477</v>
      </c>
      <c r="K14641" s="18" t="s">
        <v>477</v>
      </c>
    </row>
    <row r="14642">
      <c r="B14642" s="17" t="s">
        <v>477</v>
      </c>
      <c r="K14642" s="18" t="s">
        <v>477</v>
      </c>
    </row>
    <row r="14643">
      <c r="B14643" s="17" t="s">
        <v>477</v>
      </c>
      <c r="K14643" s="18" t="s">
        <v>477</v>
      </c>
    </row>
    <row r="14644">
      <c r="B14644" s="17" t="s">
        <v>477</v>
      </c>
      <c r="K14644" s="18" t="s">
        <v>477</v>
      </c>
    </row>
    <row r="14645">
      <c r="B14645" s="17" t="s">
        <v>477</v>
      </c>
      <c r="K14645" s="18" t="s">
        <v>477</v>
      </c>
    </row>
    <row r="14646">
      <c r="B14646" s="17" t="s">
        <v>477</v>
      </c>
      <c r="K14646" s="18" t="s">
        <v>477</v>
      </c>
    </row>
    <row r="14647">
      <c r="B14647" s="17" t="s">
        <v>477</v>
      </c>
      <c r="K14647" s="18" t="s">
        <v>477</v>
      </c>
    </row>
    <row r="14648">
      <c r="B14648" s="17" t="s">
        <v>477</v>
      </c>
      <c r="K14648" s="18" t="s">
        <v>477</v>
      </c>
    </row>
    <row r="14649">
      <c r="B14649" s="17" t="s">
        <v>477</v>
      </c>
      <c r="K14649" s="18" t="s">
        <v>477</v>
      </c>
    </row>
    <row r="14650">
      <c r="B14650" s="17" t="s">
        <v>477</v>
      </c>
      <c r="K14650" s="18" t="s">
        <v>477</v>
      </c>
    </row>
    <row r="14651">
      <c r="B14651" s="17" t="s">
        <v>477</v>
      </c>
      <c r="K14651" s="18" t="s">
        <v>477</v>
      </c>
    </row>
    <row r="14652">
      <c r="B14652" s="17" t="s">
        <v>477</v>
      </c>
      <c r="K14652" s="18" t="s">
        <v>477</v>
      </c>
    </row>
    <row r="14653">
      <c r="B14653" s="17" t="s">
        <v>477</v>
      </c>
      <c r="K14653" s="18" t="s">
        <v>477</v>
      </c>
    </row>
    <row r="14654">
      <c r="B14654" s="17" t="s">
        <v>477</v>
      </c>
      <c r="K14654" s="18" t="s">
        <v>477</v>
      </c>
    </row>
    <row r="14655">
      <c r="B14655" s="17" t="s">
        <v>477</v>
      </c>
      <c r="K14655" s="18" t="s">
        <v>477</v>
      </c>
    </row>
    <row r="14656">
      <c r="B14656" s="17" t="s">
        <v>477</v>
      </c>
      <c r="K14656" s="18" t="s">
        <v>477</v>
      </c>
    </row>
    <row r="14657">
      <c r="B14657" s="17" t="s">
        <v>477</v>
      </c>
      <c r="K14657" s="18" t="s">
        <v>477</v>
      </c>
    </row>
    <row r="14658">
      <c r="B14658" s="17" t="s">
        <v>477</v>
      </c>
      <c r="K14658" s="18" t="s">
        <v>477</v>
      </c>
    </row>
    <row r="14659">
      <c r="B14659" s="17" t="s">
        <v>477</v>
      </c>
      <c r="K14659" s="18" t="s">
        <v>477</v>
      </c>
    </row>
    <row r="14660">
      <c r="B14660" s="17" t="s">
        <v>477</v>
      </c>
      <c r="K14660" s="18" t="s">
        <v>477</v>
      </c>
    </row>
    <row r="14661">
      <c r="B14661" s="17" t="s">
        <v>477</v>
      </c>
      <c r="K14661" s="18" t="s">
        <v>477</v>
      </c>
    </row>
    <row r="14662">
      <c r="B14662" s="17" t="s">
        <v>477</v>
      </c>
      <c r="K14662" s="18" t="s">
        <v>477</v>
      </c>
    </row>
    <row r="14663">
      <c r="B14663" s="17" t="s">
        <v>477</v>
      </c>
      <c r="K14663" s="18" t="s">
        <v>477</v>
      </c>
    </row>
    <row r="14664">
      <c r="B14664" s="17" t="s">
        <v>477</v>
      </c>
      <c r="K14664" s="18" t="s">
        <v>477</v>
      </c>
    </row>
    <row r="14665">
      <c r="B14665" s="17" t="s">
        <v>477</v>
      </c>
      <c r="K14665" s="18" t="s">
        <v>477</v>
      </c>
    </row>
    <row r="14666">
      <c r="B14666" s="17" t="s">
        <v>477</v>
      </c>
      <c r="K14666" s="18" t="s">
        <v>477</v>
      </c>
    </row>
    <row r="14667">
      <c r="B14667" s="17" t="s">
        <v>477</v>
      </c>
      <c r="K14667" s="18" t="s">
        <v>477</v>
      </c>
    </row>
    <row r="14668">
      <c r="B14668" s="17" t="s">
        <v>477</v>
      </c>
      <c r="K14668" s="18" t="s">
        <v>477</v>
      </c>
    </row>
    <row r="14669">
      <c r="B14669" s="17" t="s">
        <v>477</v>
      </c>
      <c r="K14669" s="18" t="s">
        <v>477</v>
      </c>
    </row>
    <row r="14670">
      <c r="B14670" s="17" t="s">
        <v>477</v>
      </c>
      <c r="K14670" s="18" t="s">
        <v>477</v>
      </c>
    </row>
    <row r="14671">
      <c r="B14671" s="17" t="s">
        <v>477</v>
      </c>
      <c r="K14671" s="18" t="s">
        <v>477</v>
      </c>
    </row>
    <row r="14672">
      <c r="B14672" s="17" t="s">
        <v>477</v>
      </c>
      <c r="K14672" s="18" t="s">
        <v>477</v>
      </c>
    </row>
    <row r="14673">
      <c r="B14673" s="17" t="s">
        <v>477</v>
      </c>
      <c r="K14673" s="18" t="s">
        <v>477</v>
      </c>
    </row>
    <row r="14674">
      <c r="B14674" s="17" t="s">
        <v>477</v>
      </c>
      <c r="K14674" s="18" t="s">
        <v>477</v>
      </c>
    </row>
    <row r="14675">
      <c r="B14675" s="17" t="s">
        <v>477</v>
      </c>
      <c r="K14675" s="18" t="s">
        <v>477</v>
      </c>
    </row>
    <row r="14676">
      <c r="B14676" s="17" t="s">
        <v>477</v>
      </c>
      <c r="K14676" s="18" t="s">
        <v>477</v>
      </c>
    </row>
    <row r="14677">
      <c r="B14677" s="17" t="s">
        <v>477</v>
      </c>
      <c r="K14677" s="18" t="s">
        <v>477</v>
      </c>
    </row>
    <row r="14678">
      <c r="B14678" s="17" t="s">
        <v>477</v>
      </c>
      <c r="K14678" s="18" t="s">
        <v>477</v>
      </c>
    </row>
    <row r="14679">
      <c r="B14679" s="17" t="s">
        <v>477</v>
      </c>
      <c r="K14679" s="18" t="s">
        <v>477</v>
      </c>
    </row>
    <row r="14680">
      <c r="B14680" s="17" t="s">
        <v>477</v>
      </c>
      <c r="K14680" s="18" t="s">
        <v>477</v>
      </c>
    </row>
    <row r="14681">
      <c r="B14681" s="17" t="s">
        <v>477</v>
      </c>
      <c r="K14681" s="18" t="s">
        <v>477</v>
      </c>
    </row>
    <row r="14682">
      <c r="B14682" s="17" t="s">
        <v>477</v>
      </c>
      <c r="K14682" s="18" t="s">
        <v>477</v>
      </c>
    </row>
    <row r="14683">
      <c r="B14683" s="17" t="s">
        <v>477</v>
      </c>
      <c r="K14683" s="18" t="s">
        <v>477</v>
      </c>
    </row>
    <row r="14684">
      <c r="B14684" s="17" t="s">
        <v>477</v>
      </c>
      <c r="K14684" s="18" t="s">
        <v>477</v>
      </c>
    </row>
    <row r="14685">
      <c r="B14685" s="17" t="s">
        <v>477</v>
      </c>
      <c r="K14685" s="18" t="s">
        <v>477</v>
      </c>
    </row>
    <row r="14686">
      <c r="B14686" s="17" t="s">
        <v>477</v>
      </c>
      <c r="K14686" s="18" t="s">
        <v>477</v>
      </c>
    </row>
    <row r="14687">
      <c r="B14687" s="17" t="s">
        <v>477</v>
      </c>
      <c r="K14687" s="18" t="s">
        <v>477</v>
      </c>
    </row>
    <row r="14688">
      <c r="B14688" s="17" t="s">
        <v>477</v>
      </c>
      <c r="K14688" s="18" t="s">
        <v>477</v>
      </c>
    </row>
    <row r="14689">
      <c r="B14689" s="17" t="s">
        <v>477</v>
      </c>
      <c r="K14689" s="18" t="s">
        <v>477</v>
      </c>
    </row>
    <row r="14690">
      <c r="B14690" s="17" t="s">
        <v>477</v>
      </c>
      <c r="K14690" s="18" t="s">
        <v>477</v>
      </c>
    </row>
    <row r="14691">
      <c r="B14691" s="17" t="s">
        <v>477</v>
      </c>
      <c r="K14691" s="18" t="s">
        <v>477</v>
      </c>
    </row>
    <row r="14692">
      <c r="B14692" s="17" t="s">
        <v>477</v>
      </c>
      <c r="K14692" s="18" t="s">
        <v>477</v>
      </c>
    </row>
    <row r="14693">
      <c r="B14693" s="17" t="s">
        <v>477</v>
      </c>
      <c r="K14693" s="18" t="s">
        <v>477</v>
      </c>
    </row>
    <row r="14694">
      <c r="B14694" s="17" t="s">
        <v>477</v>
      </c>
      <c r="K14694" s="18" t="s">
        <v>477</v>
      </c>
    </row>
    <row r="14695">
      <c r="B14695" s="17" t="s">
        <v>477</v>
      </c>
      <c r="K14695" s="18" t="s">
        <v>477</v>
      </c>
    </row>
    <row r="14696">
      <c r="B14696" s="17" t="s">
        <v>477</v>
      </c>
      <c r="K14696" s="18" t="s">
        <v>477</v>
      </c>
    </row>
    <row r="14697">
      <c r="B14697" s="17" t="s">
        <v>477</v>
      </c>
      <c r="K14697" s="18" t="s">
        <v>477</v>
      </c>
    </row>
    <row r="14698">
      <c r="B14698" s="17" t="s">
        <v>477</v>
      </c>
      <c r="K14698" s="18" t="s">
        <v>477</v>
      </c>
    </row>
    <row r="14699">
      <c r="B14699" s="17" t="s">
        <v>477</v>
      </c>
      <c r="K14699" s="18" t="s">
        <v>477</v>
      </c>
    </row>
    <row r="14700">
      <c r="B14700" s="17" t="s">
        <v>477</v>
      </c>
      <c r="K14700" s="18" t="s">
        <v>477</v>
      </c>
    </row>
    <row r="14701">
      <c r="B14701" s="17" t="s">
        <v>477</v>
      </c>
      <c r="K14701" s="18" t="s">
        <v>477</v>
      </c>
    </row>
    <row r="14702">
      <c r="B14702" s="17" t="s">
        <v>477</v>
      </c>
      <c r="K14702" s="18" t="s">
        <v>477</v>
      </c>
    </row>
    <row r="14703">
      <c r="B14703" s="17" t="s">
        <v>477</v>
      </c>
      <c r="K14703" s="18" t="s">
        <v>477</v>
      </c>
    </row>
    <row r="14704">
      <c r="B14704" s="17" t="s">
        <v>477</v>
      </c>
      <c r="K14704" s="18" t="s">
        <v>477</v>
      </c>
    </row>
    <row r="14705">
      <c r="B14705" s="17" t="s">
        <v>477</v>
      </c>
      <c r="K14705" s="18" t="s">
        <v>477</v>
      </c>
    </row>
    <row r="14706">
      <c r="B14706" s="17" t="s">
        <v>477</v>
      </c>
      <c r="K14706" s="18" t="s">
        <v>477</v>
      </c>
    </row>
    <row r="14707">
      <c r="B14707" s="17" t="s">
        <v>477</v>
      </c>
      <c r="K14707" s="18" t="s">
        <v>477</v>
      </c>
    </row>
    <row r="14708">
      <c r="B14708" s="17" t="s">
        <v>477</v>
      </c>
      <c r="K14708" s="18" t="s">
        <v>477</v>
      </c>
    </row>
    <row r="14709">
      <c r="B14709" s="17" t="s">
        <v>477</v>
      </c>
      <c r="K14709" s="18" t="s">
        <v>477</v>
      </c>
    </row>
    <row r="14710">
      <c r="B14710" s="17" t="s">
        <v>477</v>
      </c>
      <c r="K14710" s="18" t="s">
        <v>477</v>
      </c>
    </row>
    <row r="14711">
      <c r="B14711" s="17" t="s">
        <v>477</v>
      </c>
      <c r="K14711" s="18" t="s">
        <v>477</v>
      </c>
    </row>
    <row r="14712">
      <c r="B14712" s="17" t="s">
        <v>477</v>
      </c>
      <c r="K14712" s="18" t="s">
        <v>477</v>
      </c>
    </row>
    <row r="14713">
      <c r="B14713" s="17" t="s">
        <v>477</v>
      </c>
      <c r="K14713" s="18" t="s">
        <v>477</v>
      </c>
    </row>
    <row r="14714">
      <c r="B14714" s="17" t="s">
        <v>477</v>
      </c>
      <c r="K14714" s="18" t="s">
        <v>477</v>
      </c>
    </row>
    <row r="14715">
      <c r="B14715" s="17" t="s">
        <v>477</v>
      </c>
      <c r="K14715" s="18" t="s">
        <v>477</v>
      </c>
    </row>
    <row r="14716">
      <c r="B14716" s="17" t="s">
        <v>477</v>
      </c>
      <c r="K14716" s="18" t="s">
        <v>477</v>
      </c>
    </row>
    <row r="14717">
      <c r="B14717" s="17" t="s">
        <v>477</v>
      </c>
      <c r="K14717" s="18" t="s">
        <v>477</v>
      </c>
    </row>
    <row r="14718">
      <c r="B14718" s="17" t="s">
        <v>477</v>
      </c>
      <c r="K14718" s="18" t="s">
        <v>477</v>
      </c>
    </row>
    <row r="14719">
      <c r="B14719" s="17" t="s">
        <v>477</v>
      </c>
      <c r="K14719" s="18" t="s">
        <v>477</v>
      </c>
    </row>
    <row r="14720">
      <c r="B14720" s="17" t="s">
        <v>477</v>
      </c>
      <c r="K14720" s="18" t="s">
        <v>477</v>
      </c>
    </row>
    <row r="14721">
      <c r="B14721" s="17" t="s">
        <v>477</v>
      </c>
      <c r="K14721" s="18" t="s">
        <v>477</v>
      </c>
    </row>
    <row r="14722">
      <c r="B14722" s="17" t="s">
        <v>477</v>
      </c>
      <c r="K14722" s="18" t="s">
        <v>477</v>
      </c>
    </row>
    <row r="14723">
      <c r="B14723" s="17" t="s">
        <v>477</v>
      </c>
      <c r="K14723" s="18" t="s">
        <v>477</v>
      </c>
    </row>
    <row r="14724">
      <c r="B14724" s="17" t="s">
        <v>477</v>
      </c>
      <c r="K14724" s="18" t="s">
        <v>477</v>
      </c>
    </row>
    <row r="14725">
      <c r="B14725" s="17" t="s">
        <v>477</v>
      </c>
      <c r="K14725" s="18" t="s">
        <v>477</v>
      </c>
    </row>
    <row r="14726">
      <c r="B14726" s="17" t="s">
        <v>477</v>
      </c>
      <c r="K14726" s="18" t="s">
        <v>477</v>
      </c>
    </row>
    <row r="14727">
      <c r="B14727" s="17" t="s">
        <v>477</v>
      </c>
      <c r="K14727" s="18" t="s">
        <v>477</v>
      </c>
    </row>
    <row r="14728">
      <c r="B14728" s="17" t="s">
        <v>477</v>
      </c>
      <c r="K14728" s="18" t="s">
        <v>477</v>
      </c>
    </row>
    <row r="14729">
      <c r="B14729" s="17" t="s">
        <v>477</v>
      </c>
      <c r="K14729" s="18" t="s">
        <v>477</v>
      </c>
    </row>
    <row r="14730">
      <c r="B14730" s="17" t="s">
        <v>477</v>
      </c>
      <c r="K14730" s="18" t="s">
        <v>477</v>
      </c>
    </row>
    <row r="14731">
      <c r="B14731" s="17" t="s">
        <v>477</v>
      </c>
      <c r="K14731" s="18" t="s">
        <v>477</v>
      </c>
    </row>
    <row r="14732">
      <c r="B14732" s="17" t="s">
        <v>477</v>
      </c>
      <c r="K14732" s="18" t="s">
        <v>477</v>
      </c>
    </row>
    <row r="14733">
      <c r="B14733" s="17" t="s">
        <v>477</v>
      </c>
      <c r="K14733" s="18" t="s">
        <v>477</v>
      </c>
    </row>
    <row r="14734">
      <c r="B14734" s="17" t="s">
        <v>477</v>
      </c>
      <c r="K14734" s="18" t="s">
        <v>477</v>
      </c>
    </row>
    <row r="14735">
      <c r="B14735" s="17" t="s">
        <v>477</v>
      </c>
      <c r="K14735" s="18" t="s">
        <v>477</v>
      </c>
    </row>
    <row r="14736">
      <c r="B14736" s="17" t="s">
        <v>477</v>
      </c>
      <c r="K14736" s="18" t="s">
        <v>477</v>
      </c>
    </row>
    <row r="14737">
      <c r="B14737" s="17" t="s">
        <v>477</v>
      </c>
      <c r="K14737" s="18" t="s">
        <v>477</v>
      </c>
    </row>
    <row r="14738">
      <c r="B14738" s="17" t="s">
        <v>477</v>
      </c>
      <c r="K14738" s="18" t="s">
        <v>477</v>
      </c>
    </row>
    <row r="14739">
      <c r="B14739" s="17" t="s">
        <v>477</v>
      </c>
      <c r="K14739" s="18" t="s">
        <v>477</v>
      </c>
    </row>
    <row r="14740">
      <c r="B14740" s="17" t="s">
        <v>477</v>
      </c>
      <c r="K14740" s="18" t="s">
        <v>477</v>
      </c>
    </row>
    <row r="14741">
      <c r="B14741" s="17" t="s">
        <v>477</v>
      </c>
      <c r="K14741" s="18" t="s">
        <v>477</v>
      </c>
    </row>
    <row r="14742">
      <c r="B14742" s="17" t="s">
        <v>477</v>
      </c>
      <c r="K14742" s="18" t="s">
        <v>477</v>
      </c>
    </row>
    <row r="14743">
      <c r="B14743" s="17" t="s">
        <v>477</v>
      </c>
      <c r="K14743" s="18" t="s">
        <v>477</v>
      </c>
    </row>
    <row r="14744">
      <c r="B14744" s="17" t="s">
        <v>477</v>
      </c>
      <c r="K14744" s="18" t="s">
        <v>477</v>
      </c>
    </row>
    <row r="14745">
      <c r="B14745" s="17" t="s">
        <v>477</v>
      </c>
      <c r="K14745" s="18" t="s">
        <v>477</v>
      </c>
    </row>
    <row r="14746">
      <c r="B14746" s="17" t="s">
        <v>477</v>
      </c>
      <c r="K14746" s="18" t="s">
        <v>477</v>
      </c>
    </row>
    <row r="14747">
      <c r="B14747" s="17" t="s">
        <v>477</v>
      </c>
      <c r="K14747" s="18" t="s">
        <v>477</v>
      </c>
    </row>
    <row r="14748">
      <c r="B14748" s="17" t="s">
        <v>477</v>
      </c>
      <c r="K14748" s="18" t="s">
        <v>477</v>
      </c>
    </row>
    <row r="14749">
      <c r="B14749" s="17" t="s">
        <v>477</v>
      </c>
      <c r="K14749" s="18" t="s">
        <v>477</v>
      </c>
    </row>
    <row r="14750">
      <c r="B14750" s="17" t="s">
        <v>477</v>
      </c>
      <c r="K14750" s="18" t="s">
        <v>477</v>
      </c>
    </row>
    <row r="14751">
      <c r="B14751" s="17" t="s">
        <v>477</v>
      </c>
      <c r="K14751" s="18" t="s">
        <v>477</v>
      </c>
    </row>
    <row r="14752">
      <c r="B14752" s="17" t="s">
        <v>477</v>
      </c>
      <c r="K14752" s="18" t="s">
        <v>477</v>
      </c>
    </row>
    <row r="14753">
      <c r="B14753" s="17" t="s">
        <v>477</v>
      </c>
      <c r="K14753" s="18" t="s">
        <v>477</v>
      </c>
    </row>
    <row r="14754">
      <c r="B14754" s="17" t="s">
        <v>477</v>
      </c>
      <c r="K14754" s="18" t="s">
        <v>477</v>
      </c>
    </row>
    <row r="14755">
      <c r="B14755" s="17" t="s">
        <v>477</v>
      </c>
      <c r="K14755" s="18" t="s">
        <v>477</v>
      </c>
    </row>
    <row r="14756">
      <c r="B14756" s="17" t="s">
        <v>477</v>
      </c>
      <c r="K14756" s="18" t="s">
        <v>477</v>
      </c>
    </row>
    <row r="14757">
      <c r="B14757" s="17" t="s">
        <v>477</v>
      </c>
      <c r="K14757" s="18" t="s">
        <v>477</v>
      </c>
    </row>
    <row r="14758">
      <c r="B14758" s="17" t="s">
        <v>477</v>
      </c>
      <c r="K14758" s="18" t="s">
        <v>477</v>
      </c>
    </row>
    <row r="14759">
      <c r="B14759" s="17" t="s">
        <v>477</v>
      </c>
      <c r="K14759" s="18" t="s">
        <v>477</v>
      </c>
    </row>
    <row r="14760">
      <c r="B14760" s="17" t="s">
        <v>477</v>
      </c>
      <c r="K14760" s="18" t="s">
        <v>477</v>
      </c>
    </row>
    <row r="14761">
      <c r="B14761" s="17" t="s">
        <v>477</v>
      </c>
      <c r="K14761" s="18" t="s">
        <v>477</v>
      </c>
    </row>
    <row r="14762">
      <c r="B14762" s="17" t="s">
        <v>477</v>
      </c>
      <c r="K14762" s="18" t="s">
        <v>477</v>
      </c>
    </row>
    <row r="14763">
      <c r="B14763" s="17" t="s">
        <v>477</v>
      </c>
      <c r="K14763" s="18" t="s">
        <v>477</v>
      </c>
    </row>
    <row r="14764">
      <c r="B14764" s="17" t="s">
        <v>477</v>
      </c>
      <c r="K14764" s="18" t="s">
        <v>477</v>
      </c>
    </row>
    <row r="14765">
      <c r="B14765" s="17" t="s">
        <v>477</v>
      </c>
      <c r="K14765" s="18" t="s">
        <v>477</v>
      </c>
    </row>
    <row r="14766">
      <c r="B14766" s="17" t="s">
        <v>477</v>
      </c>
      <c r="K14766" s="18" t="s">
        <v>477</v>
      </c>
    </row>
    <row r="14767">
      <c r="B14767" s="17" t="s">
        <v>477</v>
      </c>
      <c r="K14767" s="18" t="s">
        <v>477</v>
      </c>
    </row>
    <row r="14768">
      <c r="B14768" s="17" t="s">
        <v>477</v>
      </c>
      <c r="K14768" s="18" t="s">
        <v>477</v>
      </c>
    </row>
    <row r="14769">
      <c r="B14769" s="17" t="s">
        <v>477</v>
      </c>
      <c r="K14769" s="18" t="s">
        <v>477</v>
      </c>
    </row>
    <row r="14770">
      <c r="B14770" s="17" t="s">
        <v>477</v>
      </c>
      <c r="K14770" s="18" t="s">
        <v>477</v>
      </c>
    </row>
    <row r="14771">
      <c r="B14771" s="17" t="s">
        <v>477</v>
      </c>
      <c r="K14771" s="18" t="s">
        <v>477</v>
      </c>
    </row>
    <row r="14772">
      <c r="B14772" s="17" t="s">
        <v>477</v>
      </c>
      <c r="K14772" s="18" t="s">
        <v>477</v>
      </c>
    </row>
    <row r="14773">
      <c r="B14773" s="17" t="s">
        <v>477</v>
      </c>
      <c r="K14773" s="18" t="s">
        <v>477</v>
      </c>
    </row>
    <row r="14774">
      <c r="B14774" s="17" t="s">
        <v>477</v>
      </c>
      <c r="K14774" s="18" t="s">
        <v>477</v>
      </c>
    </row>
    <row r="14775">
      <c r="B14775" s="17" t="s">
        <v>477</v>
      </c>
      <c r="K14775" s="18" t="s">
        <v>477</v>
      </c>
    </row>
    <row r="14776">
      <c r="B14776" s="17" t="s">
        <v>477</v>
      </c>
      <c r="K14776" s="18" t="s">
        <v>477</v>
      </c>
    </row>
    <row r="14777">
      <c r="B14777" s="17" t="s">
        <v>477</v>
      </c>
      <c r="K14777" s="18" t="s">
        <v>477</v>
      </c>
    </row>
    <row r="14778">
      <c r="B14778" s="17" t="s">
        <v>477</v>
      </c>
      <c r="K14778" s="18" t="s">
        <v>477</v>
      </c>
    </row>
    <row r="14779">
      <c r="B14779" s="17" t="s">
        <v>477</v>
      </c>
      <c r="K14779" s="18" t="s">
        <v>477</v>
      </c>
    </row>
    <row r="14780">
      <c r="B14780" s="17" t="s">
        <v>477</v>
      </c>
      <c r="K14780" s="18" t="s">
        <v>477</v>
      </c>
    </row>
    <row r="14781">
      <c r="B14781" s="17" t="s">
        <v>477</v>
      </c>
      <c r="K14781" s="18" t="s">
        <v>477</v>
      </c>
    </row>
    <row r="14782">
      <c r="B14782" s="17" t="s">
        <v>477</v>
      </c>
      <c r="K14782" s="18" t="s">
        <v>477</v>
      </c>
    </row>
    <row r="14783">
      <c r="B14783" s="17" t="s">
        <v>477</v>
      </c>
      <c r="K14783" s="18" t="s">
        <v>477</v>
      </c>
    </row>
    <row r="14784">
      <c r="B14784" s="17" t="s">
        <v>477</v>
      </c>
      <c r="K14784" s="18" t="s">
        <v>477</v>
      </c>
    </row>
    <row r="14785">
      <c r="B14785" s="17" t="s">
        <v>477</v>
      </c>
      <c r="K14785" s="18" t="s">
        <v>477</v>
      </c>
    </row>
    <row r="14786">
      <c r="B14786" s="17" t="s">
        <v>477</v>
      </c>
      <c r="K14786" s="18" t="s">
        <v>477</v>
      </c>
    </row>
    <row r="14787">
      <c r="B14787" s="17" t="s">
        <v>477</v>
      </c>
      <c r="K14787" s="18" t="s">
        <v>477</v>
      </c>
    </row>
    <row r="14788">
      <c r="B14788" s="17" t="s">
        <v>477</v>
      </c>
      <c r="K14788" s="18" t="s">
        <v>477</v>
      </c>
    </row>
    <row r="14789">
      <c r="B14789" s="17" t="s">
        <v>477</v>
      </c>
      <c r="K14789" s="18" t="s">
        <v>477</v>
      </c>
    </row>
    <row r="14790">
      <c r="B14790" s="17" t="s">
        <v>477</v>
      </c>
      <c r="K14790" s="18" t="s">
        <v>477</v>
      </c>
    </row>
    <row r="14791">
      <c r="B14791" s="17" t="s">
        <v>477</v>
      </c>
      <c r="K14791" s="18" t="s">
        <v>477</v>
      </c>
    </row>
    <row r="14792">
      <c r="B14792" s="17" t="s">
        <v>477</v>
      </c>
      <c r="K14792" s="18" t="s">
        <v>477</v>
      </c>
    </row>
    <row r="14793">
      <c r="B14793" s="17" t="s">
        <v>477</v>
      </c>
      <c r="K14793" s="18" t="s">
        <v>477</v>
      </c>
    </row>
    <row r="14794">
      <c r="B14794" s="17" t="s">
        <v>477</v>
      </c>
      <c r="K14794" s="18" t="s">
        <v>477</v>
      </c>
    </row>
    <row r="14795">
      <c r="B14795" s="17" t="s">
        <v>477</v>
      </c>
      <c r="K14795" s="18" t="s">
        <v>477</v>
      </c>
    </row>
    <row r="14796">
      <c r="B14796" s="17" t="s">
        <v>477</v>
      </c>
      <c r="K14796" s="18" t="s">
        <v>477</v>
      </c>
    </row>
    <row r="14797">
      <c r="B14797" s="17" t="s">
        <v>477</v>
      </c>
      <c r="K14797" s="18" t="s">
        <v>477</v>
      </c>
    </row>
    <row r="14798">
      <c r="B14798" s="17" t="s">
        <v>477</v>
      </c>
      <c r="K14798" s="18" t="s">
        <v>477</v>
      </c>
    </row>
    <row r="14799">
      <c r="B14799" s="17" t="s">
        <v>477</v>
      </c>
      <c r="K14799" s="18" t="s">
        <v>477</v>
      </c>
    </row>
    <row r="14800">
      <c r="B14800" s="17" t="s">
        <v>477</v>
      </c>
      <c r="K14800" s="18" t="s">
        <v>477</v>
      </c>
    </row>
    <row r="14801">
      <c r="B14801" s="17" t="s">
        <v>477</v>
      </c>
      <c r="K14801" s="18" t="s">
        <v>477</v>
      </c>
    </row>
    <row r="14802">
      <c r="B14802" s="17" t="s">
        <v>477</v>
      </c>
      <c r="K14802" s="18" t="s">
        <v>477</v>
      </c>
    </row>
    <row r="14803">
      <c r="B14803" s="17" t="s">
        <v>477</v>
      </c>
      <c r="K14803" s="18" t="s">
        <v>477</v>
      </c>
    </row>
    <row r="14804">
      <c r="B14804" s="17" t="s">
        <v>477</v>
      </c>
      <c r="K14804" s="18" t="s">
        <v>477</v>
      </c>
    </row>
    <row r="14805">
      <c r="B14805" s="17" t="s">
        <v>477</v>
      </c>
      <c r="K14805" s="18" t="s">
        <v>477</v>
      </c>
    </row>
    <row r="14806">
      <c r="B14806" s="17" t="s">
        <v>477</v>
      </c>
      <c r="K14806" s="18" t="s">
        <v>477</v>
      </c>
    </row>
    <row r="14807">
      <c r="B14807" s="17" t="s">
        <v>477</v>
      </c>
      <c r="K14807" s="18" t="s">
        <v>477</v>
      </c>
    </row>
    <row r="14808">
      <c r="B14808" s="17" t="s">
        <v>477</v>
      </c>
      <c r="K14808" s="18" t="s">
        <v>477</v>
      </c>
    </row>
    <row r="14809">
      <c r="B14809" s="17" t="s">
        <v>477</v>
      </c>
      <c r="K14809" s="18" t="s">
        <v>477</v>
      </c>
    </row>
    <row r="14810">
      <c r="B14810" s="17" t="s">
        <v>477</v>
      </c>
      <c r="K14810" s="18" t="s">
        <v>477</v>
      </c>
    </row>
    <row r="14811">
      <c r="B14811" s="17" t="s">
        <v>477</v>
      </c>
      <c r="K14811" s="18" t="s">
        <v>477</v>
      </c>
    </row>
    <row r="14812">
      <c r="B14812" s="17" t="s">
        <v>477</v>
      </c>
      <c r="K14812" s="18" t="s">
        <v>477</v>
      </c>
    </row>
    <row r="14813">
      <c r="B14813" s="17" t="s">
        <v>477</v>
      </c>
      <c r="K14813" s="18" t="s">
        <v>477</v>
      </c>
    </row>
    <row r="14814">
      <c r="B14814" s="17" t="s">
        <v>477</v>
      </c>
      <c r="K14814" s="18" t="s">
        <v>477</v>
      </c>
    </row>
    <row r="14815">
      <c r="B14815" s="17" t="s">
        <v>477</v>
      </c>
      <c r="K14815" s="18" t="s">
        <v>477</v>
      </c>
    </row>
    <row r="14816">
      <c r="B14816" s="17" t="s">
        <v>477</v>
      </c>
      <c r="K14816" s="18" t="s">
        <v>477</v>
      </c>
    </row>
    <row r="14817">
      <c r="B14817" s="17" t="s">
        <v>477</v>
      </c>
      <c r="K14817" s="18" t="s">
        <v>477</v>
      </c>
    </row>
    <row r="14818">
      <c r="B14818" s="17" t="s">
        <v>477</v>
      </c>
      <c r="K14818" s="18" t="s">
        <v>477</v>
      </c>
    </row>
    <row r="14819">
      <c r="B14819" s="17" t="s">
        <v>477</v>
      </c>
      <c r="K14819" s="18" t="s">
        <v>477</v>
      </c>
    </row>
    <row r="14820">
      <c r="B14820" s="17" t="s">
        <v>477</v>
      </c>
      <c r="K14820" s="18" t="s">
        <v>477</v>
      </c>
    </row>
    <row r="14821">
      <c r="B14821" s="17" t="s">
        <v>477</v>
      </c>
      <c r="K14821" s="18" t="s">
        <v>477</v>
      </c>
    </row>
    <row r="14822">
      <c r="B14822" s="17" t="s">
        <v>477</v>
      </c>
      <c r="K14822" s="18" t="s">
        <v>477</v>
      </c>
    </row>
    <row r="14823">
      <c r="B14823" s="17" t="s">
        <v>477</v>
      </c>
      <c r="K14823" s="18" t="s">
        <v>477</v>
      </c>
    </row>
    <row r="14824">
      <c r="B14824" s="17" t="s">
        <v>477</v>
      </c>
      <c r="K14824" s="18" t="s">
        <v>477</v>
      </c>
    </row>
    <row r="14825">
      <c r="B14825" s="17" t="s">
        <v>477</v>
      </c>
      <c r="K14825" s="18" t="s">
        <v>477</v>
      </c>
    </row>
    <row r="14826">
      <c r="B14826" s="17" t="s">
        <v>477</v>
      </c>
      <c r="K14826" s="18" t="s">
        <v>477</v>
      </c>
    </row>
    <row r="14827">
      <c r="B14827" s="17" t="s">
        <v>477</v>
      </c>
      <c r="K14827" s="18" t="s">
        <v>477</v>
      </c>
    </row>
    <row r="14828">
      <c r="B14828" s="17" t="s">
        <v>477</v>
      </c>
      <c r="K14828" s="18" t="s">
        <v>477</v>
      </c>
    </row>
    <row r="14829">
      <c r="B14829" s="17" t="s">
        <v>477</v>
      </c>
      <c r="K14829" s="18" t="s">
        <v>477</v>
      </c>
    </row>
    <row r="14830">
      <c r="B14830" s="17" t="s">
        <v>477</v>
      </c>
      <c r="K14830" s="18" t="s">
        <v>477</v>
      </c>
    </row>
    <row r="14831">
      <c r="B14831" s="17" t="s">
        <v>477</v>
      </c>
      <c r="K14831" s="18" t="s">
        <v>477</v>
      </c>
    </row>
    <row r="14832">
      <c r="B14832" s="17" t="s">
        <v>477</v>
      </c>
      <c r="K14832" s="18" t="s">
        <v>477</v>
      </c>
    </row>
    <row r="14833">
      <c r="B14833" s="17" t="s">
        <v>477</v>
      </c>
      <c r="K14833" s="18" t="s">
        <v>477</v>
      </c>
    </row>
    <row r="14834">
      <c r="B14834" s="17" t="s">
        <v>477</v>
      </c>
      <c r="K14834" s="18" t="s">
        <v>477</v>
      </c>
    </row>
    <row r="14835">
      <c r="B14835" s="17" t="s">
        <v>477</v>
      </c>
      <c r="K14835" s="18" t="s">
        <v>477</v>
      </c>
    </row>
    <row r="14836">
      <c r="B14836" s="17" t="s">
        <v>477</v>
      </c>
      <c r="K14836" s="18" t="s">
        <v>477</v>
      </c>
    </row>
    <row r="14837">
      <c r="B14837" s="17" t="s">
        <v>477</v>
      </c>
      <c r="K14837" s="18" t="s">
        <v>477</v>
      </c>
    </row>
    <row r="14838">
      <c r="B14838" s="17" t="s">
        <v>477</v>
      </c>
      <c r="K14838" s="18" t="s">
        <v>477</v>
      </c>
    </row>
    <row r="14839">
      <c r="B14839" s="17" t="s">
        <v>477</v>
      </c>
      <c r="K14839" s="18" t="s">
        <v>477</v>
      </c>
    </row>
    <row r="14840">
      <c r="B14840" s="17" t="s">
        <v>477</v>
      </c>
      <c r="K14840" s="18" t="s">
        <v>477</v>
      </c>
    </row>
    <row r="14841">
      <c r="B14841" s="17" t="s">
        <v>477</v>
      </c>
      <c r="K14841" s="18" t="s">
        <v>477</v>
      </c>
    </row>
    <row r="14842">
      <c r="B14842" s="17" t="s">
        <v>477</v>
      </c>
      <c r="K14842" s="18" t="s">
        <v>477</v>
      </c>
    </row>
    <row r="14843">
      <c r="B14843" s="17" t="s">
        <v>477</v>
      </c>
      <c r="K14843" s="18" t="s">
        <v>477</v>
      </c>
    </row>
    <row r="14844">
      <c r="B14844" s="17" t="s">
        <v>477</v>
      </c>
      <c r="K14844" s="18" t="s">
        <v>477</v>
      </c>
    </row>
    <row r="14845">
      <c r="B14845" s="17" t="s">
        <v>477</v>
      </c>
      <c r="K14845" s="18" t="s">
        <v>477</v>
      </c>
    </row>
    <row r="14846">
      <c r="B14846" s="17" t="s">
        <v>477</v>
      </c>
      <c r="K14846" s="18" t="s">
        <v>477</v>
      </c>
    </row>
    <row r="14847">
      <c r="B14847" s="17" t="s">
        <v>477</v>
      </c>
      <c r="K14847" s="18" t="s">
        <v>477</v>
      </c>
    </row>
    <row r="14848">
      <c r="B14848" s="17" t="s">
        <v>477</v>
      </c>
      <c r="K14848" s="18" t="s">
        <v>477</v>
      </c>
    </row>
    <row r="14849">
      <c r="B14849" s="17" t="s">
        <v>477</v>
      </c>
      <c r="K14849" s="18" t="s">
        <v>477</v>
      </c>
    </row>
    <row r="14850">
      <c r="B14850" s="17" t="s">
        <v>477</v>
      </c>
      <c r="K14850" s="18" t="s">
        <v>477</v>
      </c>
    </row>
    <row r="14851">
      <c r="B14851" s="17" t="s">
        <v>477</v>
      </c>
      <c r="K14851" s="18" t="s">
        <v>477</v>
      </c>
    </row>
    <row r="14852">
      <c r="B14852" s="17" t="s">
        <v>477</v>
      </c>
      <c r="K14852" s="18" t="s">
        <v>477</v>
      </c>
    </row>
    <row r="14853">
      <c r="B14853" s="17" t="s">
        <v>477</v>
      </c>
      <c r="K14853" s="18" t="s">
        <v>477</v>
      </c>
    </row>
    <row r="14854">
      <c r="B14854" s="17" t="s">
        <v>477</v>
      </c>
      <c r="K14854" s="18" t="s">
        <v>477</v>
      </c>
    </row>
    <row r="14855">
      <c r="B14855" s="17" t="s">
        <v>477</v>
      </c>
      <c r="K14855" s="18" t="s">
        <v>477</v>
      </c>
    </row>
    <row r="14856">
      <c r="B14856" s="17" t="s">
        <v>477</v>
      </c>
      <c r="K14856" s="18" t="s">
        <v>477</v>
      </c>
    </row>
    <row r="14857">
      <c r="B14857" s="17" t="s">
        <v>477</v>
      </c>
      <c r="K14857" s="18" t="s">
        <v>477</v>
      </c>
    </row>
    <row r="14858">
      <c r="B14858" s="17" t="s">
        <v>477</v>
      </c>
      <c r="K14858" s="18" t="s">
        <v>477</v>
      </c>
    </row>
    <row r="14859">
      <c r="B14859" s="17" t="s">
        <v>477</v>
      </c>
      <c r="K14859" s="18" t="s">
        <v>477</v>
      </c>
    </row>
    <row r="14860">
      <c r="B14860" s="17" t="s">
        <v>477</v>
      </c>
      <c r="K14860" s="18" t="s">
        <v>477</v>
      </c>
    </row>
    <row r="14861">
      <c r="B14861" s="17" t="s">
        <v>477</v>
      </c>
      <c r="K14861" s="18" t="s">
        <v>477</v>
      </c>
    </row>
    <row r="14862">
      <c r="B14862" s="17" t="s">
        <v>477</v>
      </c>
      <c r="K14862" s="18" t="s">
        <v>477</v>
      </c>
    </row>
    <row r="14863">
      <c r="B14863" s="17" t="s">
        <v>477</v>
      </c>
      <c r="K14863" s="18" t="s">
        <v>477</v>
      </c>
    </row>
    <row r="14864">
      <c r="B14864" s="17" t="s">
        <v>477</v>
      </c>
      <c r="K14864" s="18" t="s">
        <v>477</v>
      </c>
    </row>
    <row r="14865">
      <c r="B14865" s="17" t="s">
        <v>477</v>
      </c>
      <c r="K14865" s="18" t="s">
        <v>477</v>
      </c>
    </row>
    <row r="14866">
      <c r="B14866" s="17" t="s">
        <v>477</v>
      </c>
      <c r="K14866" s="18" t="s">
        <v>477</v>
      </c>
    </row>
    <row r="14867">
      <c r="B14867" s="17" t="s">
        <v>477</v>
      </c>
      <c r="K14867" s="18" t="s">
        <v>477</v>
      </c>
    </row>
    <row r="14868">
      <c r="B14868" s="17" t="s">
        <v>477</v>
      </c>
      <c r="K14868" s="18" t="s">
        <v>477</v>
      </c>
    </row>
    <row r="14869">
      <c r="B14869" s="17" t="s">
        <v>477</v>
      </c>
      <c r="K14869" s="18" t="s">
        <v>477</v>
      </c>
    </row>
    <row r="14870">
      <c r="B14870" s="17" t="s">
        <v>477</v>
      </c>
      <c r="K14870" s="18" t="s">
        <v>477</v>
      </c>
    </row>
    <row r="14871">
      <c r="B14871" s="17" t="s">
        <v>477</v>
      </c>
      <c r="K14871" s="18" t="s">
        <v>477</v>
      </c>
    </row>
    <row r="14872">
      <c r="B14872" s="17" t="s">
        <v>477</v>
      </c>
      <c r="K14872" s="18" t="s">
        <v>477</v>
      </c>
    </row>
    <row r="14873">
      <c r="B14873" s="17" t="s">
        <v>477</v>
      </c>
      <c r="K14873" s="18" t="s">
        <v>477</v>
      </c>
    </row>
    <row r="14874">
      <c r="B14874" s="17" t="s">
        <v>477</v>
      </c>
      <c r="K14874" s="18" t="s">
        <v>477</v>
      </c>
    </row>
    <row r="14875">
      <c r="B14875" s="17" t="s">
        <v>477</v>
      </c>
      <c r="K14875" s="18" t="s">
        <v>477</v>
      </c>
    </row>
    <row r="14876">
      <c r="B14876" s="17" t="s">
        <v>477</v>
      </c>
      <c r="K14876" s="18" t="s">
        <v>477</v>
      </c>
    </row>
    <row r="14877">
      <c r="B14877" s="17" t="s">
        <v>477</v>
      </c>
      <c r="K14877" s="18" t="s">
        <v>477</v>
      </c>
    </row>
    <row r="14878">
      <c r="B14878" s="17" t="s">
        <v>477</v>
      </c>
      <c r="K14878" s="18" t="s">
        <v>477</v>
      </c>
    </row>
    <row r="14879">
      <c r="B14879" s="17" t="s">
        <v>477</v>
      </c>
      <c r="K14879" s="18" t="s">
        <v>477</v>
      </c>
    </row>
    <row r="14880">
      <c r="B14880" s="17" t="s">
        <v>477</v>
      </c>
      <c r="K14880" s="18" t="s">
        <v>477</v>
      </c>
    </row>
    <row r="14881">
      <c r="B14881" s="17" t="s">
        <v>477</v>
      </c>
      <c r="K14881" s="18" t="s">
        <v>477</v>
      </c>
    </row>
    <row r="14882">
      <c r="B14882" s="17" t="s">
        <v>477</v>
      </c>
      <c r="K14882" s="18" t="s">
        <v>477</v>
      </c>
    </row>
    <row r="14883">
      <c r="B14883" s="17" t="s">
        <v>477</v>
      </c>
      <c r="K14883" s="18" t="s">
        <v>477</v>
      </c>
    </row>
    <row r="14884">
      <c r="B14884" s="17" t="s">
        <v>477</v>
      </c>
      <c r="K14884" s="18" t="s">
        <v>477</v>
      </c>
    </row>
    <row r="14885">
      <c r="B14885" s="17" t="s">
        <v>477</v>
      </c>
      <c r="K14885" s="18" t="s">
        <v>477</v>
      </c>
    </row>
    <row r="14886">
      <c r="B14886" s="17" t="s">
        <v>477</v>
      </c>
      <c r="K14886" s="18" t="s">
        <v>477</v>
      </c>
    </row>
    <row r="14887">
      <c r="B14887" s="17" t="s">
        <v>477</v>
      </c>
      <c r="K14887" s="18" t="s">
        <v>477</v>
      </c>
    </row>
    <row r="14888">
      <c r="B14888" s="17" t="s">
        <v>477</v>
      </c>
      <c r="K14888" s="18" t="s">
        <v>477</v>
      </c>
    </row>
    <row r="14889">
      <c r="B14889" s="17" t="s">
        <v>477</v>
      </c>
      <c r="K14889" s="18" t="s">
        <v>477</v>
      </c>
    </row>
    <row r="14890">
      <c r="B14890" s="17" t="s">
        <v>477</v>
      </c>
      <c r="K14890" s="18" t="s">
        <v>477</v>
      </c>
    </row>
    <row r="14891">
      <c r="B14891" s="17" t="s">
        <v>477</v>
      </c>
      <c r="K14891" s="18" t="s">
        <v>477</v>
      </c>
    </row>
    <row r="14892">
      <c r="B14892" s="17" t="s">
        <v>477</v>
      </c>
      <c r="K14892" s="18" t="s">
        <v>477</v>
      </c>
    </row>
    <row r="14893">
      <c r="B14893" s="17" t="s">
        <v>477</v>
      </c>
      <c r="K14893" s="18" t="s">
        <v>477</v>
      </c>
    </row>
    <row r="14894">
      <c r="B14894" s="17" t="s">
        <v>477</v>
      </c>
      <c r="K14894" s="18" t="s">
        <v>477</v>
      </c>
    </row>
    <row r="14895">
      <c r="B14895" s="17" t="s">
        <v>477</v>
      </c>
      <c r="K14895" s="18" t="s">
        <v>477</v>
      </c>
    </row>
    <row r="14896">
      <c r="B14896" s="17" t="s">
        <v>477</v>
      </c>
      <c r="K14896" s="18" t="s">
        <v>477</v>
      </c>
    </row>
    <row r="14897">
      <c r="B14897" s="17" t="s">
        <v>477</v>
      </c>
      <c r="K14897" s="18" t="s">
        <v>477</v>
      </c>
    </row>
    <row r="14898">
      <c r="B14898" s="17" t="s">
        <v>477</v>
      </c>
      <c r="K14898" s="18" t="s">
        <v>477</v>
      </c>
    </row>
    <row r="14899">
      <c r="B14899" s="17" t="s">
        <v>477</v>
      </c>
      <c r="K14899" s="18" t="s">
        <v>477</v>
      </c>
    </row>
    <row r="14900">
      <c r="B14900" s="17" t="s">
        <v>477</v>
      </c>
      <c r="K14900" s="18" t="s">
        <v>477</v>
      </c>
    </row>
    <row r="14901">
      <c r="B14901" s="17" t="s">
        <v>477</v>
      </c>
      <c r="K14901" s="18" t="s">
        <v>477</v>
      </c>
    </row>
    <row r="14902">
      <c r="B14902" s="17" t="s">
        <v>477</v>
      </c>
      <c r="K14902" s="18" t="s">
        <v>477</v>
      </c>
    </row>
    <row r="14903">
      <c r="B14903" s="17" t="s">
        <v>477</v>
      </c>
      <c r="K14903" s="18" t="s">
        <v>477</v>
      </c>
    </row>
    <row r="14904">
      <c r="B14904" s="17" t="s">
        <v>477</v>
      </c>
      <c r="K14904" s="18" t="s">
        <v>477</v>
      </c>
    </row>
    <row r="14905">
      <c r="B14905" s="17" t="s">
        <v>477</v>
      </c>
      <c r="K14905" s="18" t="s">
        <v>477</v>
      </c>
    </row>
    <row r="14906">
      <c r="B14906" s="17" t="s">
        <v>477</v>
      </c>
      <c r="K14906" s="18" t="s">
        <v>477</v>
      </c>
    </row>
    <row r="14907">
      <c r="B14907" s="17" t="s">
        <v>477</v>
      </c>
      <c r="K14907" s="18" t="s">
        <v>477</v>
      </c>
    </row>
    <row r="14908">
      <c r="B14908" s="17" t="s">
        <v>477</v>
      </c>
      <c r="K14908" s="18" t="s">
        <v>477</v>
      </c>
    </row>
    <row r="14909">
      <c r="B14909" s="17" t="s">
        <v>477</v>
      </c>
      <c r="K14909" s="18" t="s">
        <v>477</v>
      </c>
    </row>
    <row r="14910">
      <c r="B14910" s="17" t="s">
        <v>477</v>
      </c>
      <c r="K14910" s="18" t="s">
        <v>477</v>
      </c>
    </row>
    <row r="14911">
      <c r="B14911" s="17" t="s">
        <v>477</v>
      </c>
      <c r="K14911" s="18" t="s">
        <v>477</v>
      </c>
    </row>
    <row r="14912">
      <c r="B14912" s="17" t="s">
        <v>477</v>
      </c>
      <c r="K14912" s="18" t="s">
        <v>477</v>
      </c>
    </row>
    <row r="14913">
      <c r="B14913" s="17" t="s">
        <v>477</v>
      </c>
      <c r="K14913" s="18" t="s">
        <v>477</v>
      </c>
    </row>
    <row r="14914">
      <c r="B14914" s="17" t="s">
        <v>477</v>
      </c>
      <c r="K14914" s="18" t="s">
        <v>477</v>
      </c>
    </row>
    <row r="14915">
      <c r="B14915" s="17" t="s">
        <v>477</v>
      </c>
      <c r="K14915" s="18" t="s">
        <v>477</v>
      </c>
    </row>
    <row r="14916">
      <c r="B14916" s="17" t="s">
        <v>477</v>
      </c>
      <c r="K14916" s="18" t="s">
        <v>477</v>
      </c>
    </row>
    <row r="14917">
      <c r="B14917" s="17" t="s">
        <v>477</v>
      </c>
      <c r="K14917" s="18" t="s">
        <v>477</v>
      </c>
    </row>
    <row r="14918">
      <c r="B14918" s="17" t="s">
        <v>477</v>
      </c>
      <c r="K14918" s="18" t="s">
        <v>477</v>
      </c>
    </row>
    <row r="14919">
      <c r="B14919" s="17" t="s">
        <v>477</v>
      </c>
      <c r="K14919" s="18" t="s">
        <v>477</v>
      </c>
    </row>
    <row r="14920">
      <c r="B14920" s="17" t="s">
        <v>477</v>
      </c>
      <c r="K14920" s="18" t="s">
        <v>477</v>
      </c>
    </row>
    <row r="14921">
      <c r="B14921" s="17" t="s">
        <v>477</v>
      </c>
      <c r="K14921" s="18" t="s">
        <v>477</v>
      </c>
    </row>
    <row r="14922">
      <c r="B14922" s="17" t="s">
        <v>477</v>
      </c>
      <c r="K14922" s="18" t="s">
        <v>477</v>
      </c>
    </row>
    <row r="14923">
      <c r="B14923" s="17" t="s">
        <v>477</v>
      </c>
      <c r="K14923" s="18" t="s">
        <v>477</v>
      </c>
    </row>
    <row r="14924">
      <c r="B14924" s="17" t="s">
        <v>477</v>
      </c>
      <c r="K14924" s="18" t="s">
        <v>477</v>
      </c>
    </row>
    <row r="14925">
      <c r="B14925" s="17" t="s">
        <v>477</v>
      </c>
      <c r="K14925" s="18" t="s">
        <v>477</v>
      </c>
    </row>
    <row r="14926">
      <c r="B14926" s="17" t="s">
        <v>477</v>
      </c>
      <c r="K14926" s="18" t="s">
        <v>477</v>
      </c>
    </row>
    <row r="14927">
      <c r="B14927" s="17" t="s">
        <v>477</v>
      </c>
      <c r="K14927" s="18" t="s">
        <v>477</v>
      </c>
    </row>
    <row r="14928">
      <c r="B14928" s="17" t="s">
        <v>477</v>
      </c>
      <c r="K14928" s="18" t="s">
        <v>477</v>
      </c>
    </row>
    <row r="14929">
      <c r="B14929" s="17" t="s">
        <v>477</v>
      </c>
      <c r="K14929" s="18" t="s">
        <v>477</v>
      </c>
    </row>
    <row r="14930">
      <c r="B14930" s="17" t="s">
        <v>477</v>
      </c>
      <c r="K14930" s="18" t="s">
        <v>477</v>
      </c>
    </row>
    <row r="14931">
      <c r="B14931" s="17" t="s">
        <v>477</v>
      </c>
      <c r="K14931" s="18" t="s">
        <v>477</v>
      </c>
    </row>
    <row r="14932">
      <c r="B14932" s="17" t="s">
        <v>477</v>
      </c>
      <c r="K14932" s="18" t="s">
        <v>477</v>
      </c>
    </row>
    <row r="14933">
      <c r="B14933" s="17" t="s">
        <v>477</v>
      </c>
      <c r="K14933" s="18" t="s">
        <v>477</v>
      </c>
    </row>
    <row r="14934">
      <c r="B14934" s="17" t="s">
        <v>477</v>
      </c>
      <c r="K14934" s="18" t="s">
        <v>477</v>
      </c>
    </row>
    <row r="14935">
      <c r="B14935" s="17" t="s">
        <v>477</v>
      </c>
      <c r="K14935" s="18" t="s">
        <v>477</v>
      </c>
    </row>
    <row r="14936">
      <c r="B14936" s="17" t="s">
        <v>477</v>
      </c>
      <c r="K14936" s="18" t="s">
        <v>477</v>
      </c>
    </row>
    <row r="14937">
      <c r="B14937" s="17" t="s">
        <v>477</v>
      </c>
      <c r="K14937" s="18" t="s">
        <v>477</v>
      </c>
    </row>
    <row r="14938">
      <c r="B14938" s="17" t="s">
        <v>477</v>
      </c>
      <c r="K14938" s="18" t="s">
        <v>477</v>
      </c>
    </row>
    <row r="14939">
      <c r="B14939" s="17" t="s">
        <v>477</v>
      </c>
      <c r="K14939" s="18" t="s">
        <v>477</v>
      </c>
    </row>
    <row r="14940">
      <c r="B14940" s="17" t="s">
        <v>477</v>
      </c>
      <c r="K14940" s="18" t="s">
        <v>477</v>
      </c>
    </row>
    <row r="14941">
      <c r="B14941" s="17" t="s">
        <v>477</v>
      </c>
      <c r="K14941" s="18" t="s">
        <v>477</v>
      </c>
    </row>
    <row r="14942">
      <c r="B14942" s="17" t="s">
        <v>477</v>
      </c>
      <c r="K14942" s="18" t="s">
        <v>477</v>
      </c>
    </row>
    <row r="14943">
      <c r="B14943" s="17" t="s">
        <v>477</v>
      </c>
      <c r="K14943" s="18" t="s">
        <v>477</v>
      </c>
    </row>
    <row r="14944">
      <c r="B14944" s="17" t="s">
        <v>477</v>
      </c>
      <c r="K14944" s="18" t="s">
        <v>477</v>
      </c>
    </row>
    <row r="14945">
      <c r="B14945" s="17" t="s">
        <v>477</v>
      </c>
      <c r="K14945" s="18" t="s">
        <v>477</v>
      </c>
    </row>
    <row r="14946">
      <c r="B14946" s="17" t="s">
        <v>477</v>
      </c>
      <c r="K14946" s="18" t="s">
        <v>477</v>
      </c>
    </row>
    <row r="14947">
      <c r="B14947" s="17" t="s">
        <v>477</v>
      </c>
      <c r="K14947" s="18" t="s">
        <v>477</v>
      </c>
    </row>
    <row r="14948">
      <c r="B14948" s="17" t="s">
        <v>477</v>
      </c>
      <c r="K14948" s="18" t="s">
        <v>477</v>
      </c>
    </row>
    <row r="14949">
      <c r="B14949" s="17" t="s">
        <v>477</v>
      </c>
      <c r="K14949" s="18" t="s">
        <v>477</v>
      </c>
    </row>
    <row r="14950">
      <c r="B14950" s="17" t="s">
        <v>477</v>
      </c>
      <c r="K14950" s="18" t="s">
        <v>477</v>
      </c>
    </row>
    <row r="14951">
      <c r="B14951" s="17" t="s">
        <v>477</v>
      </c>
      <c r="K14951" s="18" t="s">
        <v>477</v>
      </c>
    </row>
    <row r="14952">
      <c r="B14952" s="17" t="s">
        <v>477</v>
      </c>
      <c r="K14952" s="18" t="s">
        <v>477</v>
      </c>
    </row>
    <row r="14953">
      <c r="B14953" s="17" t="s">
        <v>477</v>
      </c>
      <c r="K14953" s="18" t="s">
        <v>477</v>
      </c>
    </row>
    <row r="14954">
      <c r="B14954" s="17" t="s">
        <v>477</v>
      </c>
      <c r="K14954" s="18" t="s">
        <v>477</v>
      </c>
    </row>
    <row r="14955">
      <c r="B14955" s="17" t="s">
        <v>477</v>
      </c>
      <c r="K14955" s="18" t="s">
        <v>477</v>
      </c>
    </row>
    <row r="14956">
      <c r="B14956" s="17" t="s">
        <v>477</v>
      </c>
      <c r="K14956" s="18" t="s">
        <v>477</v>
      </c>
    </row>
    <row r="14957">
      <c r="B14957" s="17" t="s">
        <v>477</v>
      </c>
      <c r="K14957" s="18" t="s">
        <v>477</v>
      </c>
    </row>
    <row r="14958">
      <c r="B14958" s="17" t="s">
        <v>477</v>
      </c>
      <c r="K14958" s="18" t="s">
        <v>477</v>
      </c>
    </row>
    <row r="14959">
      <c r="B14959" s="17" t="s">
        <v>477</v>
      </c>
      <c r="K14959" s="18" t="s">
        <v>477</v>
      </c>
    </row>
    <row r="14960">
      <c r="B14960" s="17" t="s">
        <v>477</v>
      </c>
      <c r="K14960" s="18" t="s">
        <v>477</v>
      </c>
    </row>
    <row r="14961">
      <c r="B14961" s="17" t="s">
        <v>477</v>
      </c>
      <c r="K14961" s="18" t="s">
        <v>477</v>
      </c>
    </row>
    <row r="14962">
      <c r="B14962" s="17" t="s">
        <v>477</v>
      </c>
      <c r="K14962" s="18" t="s">
        <v>477</v>
      </c>
    </row>
    <row r="14963">
      <c r="B14963" s="17" t="s">
        <v>477</v>
      </c>
      <c r="K14963" s="18" t="s">
        <v>477</v>
      </c>
    </row>
    <row r="14964">
      <c r="B14964" s="17" t="s">
        <v>477</v>
      </c>
      <c r="K14964" s="18" t="s">
        <v>477</v>
      </c>
    </row>
    <row r="14965">
      <c r="B14965" s="17" t="s">
        <v>477</v>
      </c>
      <c r="K14965" s="18" t="s">
        <v>477</v>
      </c>
    </row>
    <row r="14966">
      <c r="B14966" s="17" t="s">
        <v>477</v>
      </c>
      <c r="K14966" s="18" t="s">
        <v>477</v>
      </c>
    </row>
    <row r="14967">
      <c r="B14967" s="17" t="s">
        <v>477</v>
      </c>
      <c r="K14967" s="18" t="s">
        <v>477</v>
      </c>
    </row>
    <row r="14968">
      <c r="B14968" s="17" t="s">
        <v>477</v>
      </c>
      <c r="K14968" s="18" t="s">
        <v>477</v>
      </c>
    </row>
    <row r="14969">
      <c r="B14969" s="17" t="s">
        <v>477</v>
      </c>
      <c r="K14969" s="18" t="s">
        <v>477</v>
      </c>
    </row>
    <row r="14970">
      <c r="B14970" s="17" t="s">
        <v>477</v>
      </c>
      <c r="K14970" s="18" t="s">
        <v>477</v>
      </c>
    </row>
    <row r="14971">
      <c r="B14971" s="17" t="s">
        <v>477</v>
      </c>
      <c r="K14971" s="18" t="s">
        <v>477</v>
      </c>
    </row>
    <row r="14972">
      <c r="B14972" s="17" t="s">
        <v>477</v>
      </c>
      <c r="K14972" s="18" t="s">
        <v>477</v>
      </c>
    </row>
    <row r="14973">
      <c r="B14973" s="17" t="s">
        <v>477</v>
      </c>
      <c r="K14973" s="18" t="s">
        <v>477</v>
      </c>
    </row>
    <row r="14974">
      <c r="B14974" s="17" t="s">
        <v>477</v>
      </c>
      <c r="K14974" s="18" t="s">
        <v>477</v>
      </c>
    </row>
    <row r="14975">
      <c r="B14975" s="17" t="s">
        <v>477</v>
      </c>
      <c r="K14975" s="18" t="s">
        <v>477</v>
      </c>
    </row>
    <row r="14976">
      <c r="B14976" s="17" t="s">
        <v>477</v>
      </c>
      <c r="K14976" s="18" t="s">
        <v>477</v>
      </c>
    </row>
    <row r="14977">
      <c r="B14977" s="17" t="s">
        <v>477</v>
      </c>
      <c r="K14977" s="18" t="s">
        <v>477</v>
      </c>
    </row>
    <row r="14978">
      <c r="B14978" s="17" t="s">
        <v>477</v>
      </c>
      <c r="K14978" s="18" t="s">
        <v>477</v>
      </c>
    </row>
    <row r="14979">
      <c r="B14979" s="17" t="s">
        <v>477</v>
      </c>
      <c r="K14979" s="18" t="s">
        <v>477</v>
      </c>
    </row>
    <row r="14980">
      <c r="B14980" s="17" t="s">
        <v>477</v>
      </c>
      <c r="K14980" s="18" t="s">
        <v>477</v>
      </c>
    </row>
    <row r="14981">
      <c r="B14981" s="17" t="s">
        <v>477</v>
      </c>
      <c r="K14981" s="18" t="s">
        <v>477</v>
      </c>
    </row>
    <row r="14982">
      <c r="B14982" s="17" t="s">
        <v>477</v>
      </c>
      <c r="K14982" s="18" t="s">
        <v>477</v>
      </c>
    </row>
    <row r="14983">
      <c r="B14983" s="17" t="s">
        <v>477</v>
      </c>
      <c r="K14983" s="18" t="s">
        <v>477</v>
      </c>
    </row>
    <row r="14984">
      <c r="B14984" s="17" t="s">
        <v>477</v>
      </c>
      <c r="K14984" s="18" t="s">
        <v>477</v>
      </c>
    </row>
    <row r="14985">
      <c r="B14985" s="17" t="s">
        <v>477</v>
      </c>
      <c r="K14985" s="18" t="s">
        <v>477</v>
      </c>
    </row>
    <row r="14986">
      <c r="B14986" s="17" t="s">
        <v>477</v>
      </c>
      <c r="K14986" s="18" t="s">
        <v>477</v>
      </c>
    </row>
    <row r="14987">
      <c r="B14987" s="17" t="s">
        <v>477</v>
      </c>
      <c r="K14987" s="18" t="s">
        <v>477</v>
      </c>
    </row>
    <row r="14988">
      <c r="B14988" s="17" t="s">
        <v>477</v>
      </c>
      <c r="K14988" s="18" t="s">
        <v>477</v>
      </c>
    </row>
    <row r="14989">
      <c r="B14989" s="17" t="s">
        <v>477</v>
      </c>
      <c r="K14989" s="18" t="s">
        <v>477</v>
      </c>
    </row>
    <row r="14990">
      <c r="B14990" s="17" t="s">
        <v>477</v>
      </c>
      <c r="K14990" s="18" t="s">
        <v>477</v>
      </c>
    </row>
    <row r="14991">
      <c r="B14991" s="17" t="s">
        <v>477</v>
      </c>
      <c r="K14991" s="18" t="s">
        <v>477</v>
      </c>
    </row>
    <row r="14992">
      <c r="B14992" s="17" t="s">
        <v>477</v>
      </c>
      <c r="K14992" s="18" t="s">
        <v>477</v>
      </c>
    </row>
    <row r="14993">
      <c r="B14993" s="17" t="s">
        <v>477</v>
      </c>
      <c r="K14993" s="18" t="s">
        <v>477</v>
      </c>
    </row>
    <row r="14994">
      <c r="B14994" s="17" t="s">
        <v>477</v>
      </c>
      <c r="K14994" s="18" t="s">
        <v>477</v>
      </c>
    </row>
    <row r="14995">
      <c r="B14995" s="17" t="s">
        <v>477</v>
      </c>
      <c r="K14995" s="18" t="s">
        <v>477</v>
      </c>
    </row>
    <row r="14996">
      <c r="B14996" s="17" t="s">
        <v>477</v>
      </c>
      <c r="K14996" s="18" t="s">
        <v>477</v>
      </c>
    </row>
    <row r="14997">
      <c r="B14997" s="17" t="s">
        <v>477</v>
      </c>
      <c r="K14997" s="18" t="s">
        <v>477</v>
      </c>
    </row>
    <row r="14998">
      <c r="B14998" s="17" t="s">
        <v>477</v>
      </c>
      <c r="K14998" s="18" t="s">
        <v>477</v>
      </c>
    </row>
    <row r="14999">
      <c r="B14999" s="17" t="s">
        <v>477</v>
      </c>
      <c r="K14999" s="18" t="s">
        <v>477</v>
      </c>
    </row>
    <row r="15000">
      <c r="B15000" s="17" t="s">
        <v>477</v>
      </c>
      <c r="K15000" s="18" t="s">
        <v>477</v>
      </c>
    </row>
    <row r="15001">
      <c r="B15001" s="17" t="s">
        <v>477</v>
      </c>
      <c r="K15001" s="18" t="s">
        <v>477</v>
      </c>
    </row>
    <row r="15002">
      <c r="B15002" s="17" t="s">
        <v>477</v>
      </c>
      <c r="K15002" s="18" t="s">
        <v>477</v>
      </c>
    </row>
    <row r="15003">
      <c r="B15003" s="17" t="s">
        <v>477</v>
      </c>
      <c r="K15003" s="18" t="s">
        <v>477</v>
      </c>
    </row>
    <row r="15004">
      <c r="B15004" s="17" t="s">
        <v>477</v>
      </c>
      <c r="K15004" s="18" t="s">
        <v>477</v>
      </c>
    </row>
    <row r="15005">
      <c r="B15005" s="17" t="s">
        <v>477</v>
      </c>
      <c r="K15005" s="18" t="s">
        <v>477</v>
      </c>
    </row>
    <row r="15006">
      <c r="B15006" s="17" t="s">
        <v>477</v>
      </c>
      <c r="K15006" s="18" t="s">
        <v>477</v>
      </c>
    </row>
    <row r="15007">
      <c r="B15007" s="17" t="s">
        <v>477</v>
      </c>
      <c r="K15007" s="18" t="s">
        <v>477</v>
      </c>
    </row>
    <row r="15008">
      <c r="B15008" s="17" t="s">
        <v>477</v>
      </c>
      <c r="K15008" s="18" t="s">
        <v>477</v>
      </c>
    </row>
    <row r="15009">
      <c r="B15009" s="17" t="s">
        <v>477</v>
      </c>
      <c r="K15009" s="18" t="s">
        <v>477</v>
      </c>
    </row>
    <row r="15010">
      <c r="B15010" s="17" t="s">
        <v>477</v>
      </c>
      <c r="K15010" s="18" t="s">
        <v>477</v>
      </c>
    </row>
    <row r="15011">
      <c r="B15011" s="17" t="s">
        <v>477</v>
      </c>
      <c r="K15011" s="18" t="s">
        <v>477</v>
      </c>
    </row>
    <row r="15012">
      <c r="B15012" s="17" t="s">
        <v>477</v>
      </c>
      <c r="K15012" s="18" t="s">
        <v>477</v>
      </c>
    </row>
    <row r="15013">
      <c r="B15013" s="17" t="s">
        <v>477</v>
      </c>
      <c r="K15013" s="18" t="s">
        <v>477</v>
      </c>
    </row>
    <row r="15014">
      <c r="B15014" s="17" t="s">
        <v>477</v>
      </c>
      <c r="K15014" s="18" t="s">
        <v>477</v>
      </c>
    </row>
    <row r="15015">
      <c r="B15015" s="17" t="s">
        <v>477</v>
      </c>
      <c r="K15015" s="18" t="s">
        <v>477</v>
      </c>
    </row>
    <row r="15016">
      <c r="B15016" s="17" t="s">
        <v>477</v>
      </c>
      <c r="K15016" s="18" t="s">
        <v>477</v>
      </c>
    </row>
    <row r="15017">
      <c r="B15017" s="17" t="s">
        <v>477</v>
      </c>
      <c r="K15017" s="18" t="s">
        <v>477</v>
      </c>
    </row>
    <row r="15018">
      <c r="B15018" s="17" t="s">
        <v>477</v>
      </c>
      <c r="K15018" s="18" t="s">
        <v>477</v>
      </c>
    </row>
    <row r="15019">
      <c r="B15019" s="17" t="s">
        <v>477</v>
      </c>
      <c r="K15019" s="18" t="s">
        <v>477</v>
      </c>
    </row>
    <row r="15020">
      <c r="B15020" s="17" t="s">
        <v>477</v>
      </c>
      <c r="K15020" s="18" t="s">
        <v>477</v>
      </c>
    </row>
    <row r="15021">
      <c r="B15021" s="17" t="s">
        <v>477</v>
      </c>
      <c r="K15021" s="18" t="s">
        <v>477</v>
      </c>
    </row>
    <row r="15022">
      <c r="B15022" s="17" t="s">
        <v>477</v>
      </c>
      <c r="K15022" s="18" t="s">
        <v>477</v>
      </c>
    </row>
    <row r="15023">
      <c r="B15023" s="17" t="s">
        <v>477</v>
      </c>
      <c r="K15023" s="18" t="s">
        <v>477</v>
      </c>
    </row>
    <row r="15024">
      <c r="B15024" s="17" t="s">
        <v>477</v>
      </c>
      <c r="K15024" s="18" t="s">
        <v>477</v>
      </c>
    </row>
    <row r="15025">
      <c r="B15025" s="17" t="s">
        <v>477</v>
      </c>
      <c r="K15025" s="18" t="s">
        <v>477</v>
      </c>
    </row>
    <row r="15026">
      <c r="B15026" s="17" t="s">
        <v>477</v>
      </c>
      <c r="K15026" s="18" t="s">
        <v>477</v>
      </c>
    </row>
    <row r="15027">
      <c r="B15027" s="17" t="s">
        <v>477</v>
      </c>
      <c r="K15027" s="18" t="s">
        <v>477</v>
      </c>
    </row>
    <row r="15028">
      <c r="B15028" s="17" t="s">
        <v>477</v>
      </c>
      <c r="K15028" s="18" t="s">
        <v>477</v>
      </c>
    </row>
    <row r="15029">
      <c r="B15029" s="17" t="s">
        <v>477</v>
      </c>
      <c r="K15029" s="18" t="s">
        <v>477</v>
      </c>
    </row>
    <row r="15030">
      <c r="B15030" s="17" t="s">
        <v>477</v>
      </c>
      <c r="K15030" s="18" t="s">
        <v>477</v>
      </c>
    </row>
    <row r="15031">
      <c r="B15031" s="17" t="s">
        <v>477</v>
      </c>
      <c r="K15031" s="18" t="s">
        <v>477</v>
      </c>
    </row>
    <row r="15032">
      <c r="B15032" s="17" t="s">
        <v>477</v>
      </c>
      <c r="K15032" s="18" t="s">
        <v>477</v>
      </c>
    </row>
    <row r="15033">
      <c r="B15033" s="17" t="s">
        <v>477</v>
      </c>
      <c r="K15033" s="18" t="s">
        <v>477</v>
      </c>
    </row>
    <row r="15034">
      <c r="B15034" s="17" t="s">
        <v>477</v>
      </c>
      <c r="K15034" s="18" t="s">
        <v>477</v>
      </c>
    </row>
    <row r="15035">
      <c r="B15035" s="17" t="s">
        <v>477</v>
      </c>
      <c r="K15035" s="18" t="s">
        <v>477</v>
      </c>
    </row>
    <row r="15036">
      <c r="B15036" s="17" t="s">
        <v>477</v>
      </c>
      <c r="K15036" s="18" t="s">
        <v>477</v>
      </c>
    </row>
    <row r="15037">
      <c r="B15037" s="17" t="s">
        <v>477</v>
      </c>
      <c r="K15037" s="18" t="s">
        <v>477</v>
      </c>
    </row>
    <row r="15038">
      <c r="B15038" s="17" t="s">
        <v>477</v>
      </c>
      <c r="K15038" s="18" t="s">
        <v>477</v>
      </c>
    </row>
    <row r="15039">
      <c r="B15039" s="17" t="s">
        <v>477</v>
      </c>
      <c r="K15039" s="18" t="s">
        <v>477</v>
      </c>
    </row>
    <row r="15040">
      <c r="B15040" s="17" t="s">
        <v>477</v>
      </c>
      <c r="K15040" s="18" t="s">
        <v>477</v>
      </c>
    </row>
    <row r="15041">
      <c r="B15041" s="17" t="s">
        <v>477</v>
      </c>
      <c r="K15041" s="18" t="s">
        <v>477</v>
      </c>
    </row>
    <row r="15042">
      <c r="B15042" s="17" t="s">
        <v>477</v>
      </c>
      <c r="K15042" s="18" t="s">
        <v>477</v>
      </c>
    </row>
    <row r="15043">
      <c r="B15043" s="17" t="s">
        <v>477</v>
      </c>
      <c r="K15043" s="18" t="s">
        <v>477</v>
      </c>
    </row>
    <row r="15044">
      <c r="B15044" s="17" t="s">
        <v>477</v>
      </c>
      <c r="K15044" s="18" t="s">
        <v>477</v>
      </c>
    </row>
    <row r="15045">
      <c r="B15045" s="17" t="s">
        <v>477</v>
      </c>
      <c r="K15045" s="18" t="s">
        <v>477</v>
      </c>
    </row>
    <row r="15046">
      <c r="B15046" s="17" t="s">
        <v>477</v>
      </c>
      <c r="K15046" s="18" t="s">
        <v>477</v>
      </c>
    </row>
    <row r="15047">
      <c r="B15047" s="17" t="s">
        <v>477</v>
      </c>
      <c r="K15047" s="18" t="s">
        <v>477</v>
      </c>
    </row>
    <row r="15048">
      <c r="B15048" s="17" t="s">
        <v>477</v>
      </c>
      <c r="K15048" s="18" t="s">
        <v>477</v>
      </c>
    </row>
    <row r="15049">
      <c r="B15049" s="17" t="s">
        <v>477</v>
      </c>
      <c r="K15049" s="18" t="s">
        <v>477</v>
      </c>
    </row>
    <row r="15050">
      <c r="B15050" s="17" t="s">
        <v>477</v>
      </c>
      <c r="K15050" s="18" t="s">
        <v>477</v>
      </c>
    </row>
    <row r="15051">
      <c r="B15051" s="17" t="s">
        <v>477</v>
      </c>
      <c r="K15051" s="18" t="s">
        <v>477</v>
      </c>
    </row>
    <row r="15052">
      <c r="B15052" s="17" t="s">
        <v>477</v>
      </c>
      <c r="K15052" s="18" t="s">
        <v>477</v>
      </c>
    </row>
    <row r="15053">
      <c r="B15053" s="17" t="s">
        <v>477</v>
      </c>
      <c r="K15053" s="18" t="s">
        <v>477</v>
      </c>
    </row>
    <row r="15054">
      <c r="B15054" s="17" t="s">
        <v>477</v>
      </c>
      <c r="K15054" s="18" t="s">
        <v>477</v>
      </c>
    </row>
    <row r="15055">
      <c r="B15055" s="17" t="s">
        <v>477</v>
      </c>
      <c r="K15055" s="18" t="s">
        <v>477</v>
      </c>
    </row>
    <row r="15056">
      <c r="B15056" s="17" t="s">
        <v>477</v>
      </c>
      <c r="K15056" s="18" t="s">
        <v>477</v>
      </c>
    </row>
    <row r="15057">
      <c r="B15057" s="17" t="s">
        <v>477</v>
      </c>
      <c r="K15057" s="18" t="s">
        <v>477</v>
      </c>
    </row>
    <row r="15058">
      <c r="B15058" s="17" t="s">
        <v>477</v>
      </c>
      <c r="K15058" s="18" t="s">
        <v>477</v>
      </c>
    </row>
    <row r="15059">
      <c r="B15059" s="17" t="s">
        <v>477</v>
      </c>
      <c r="K15059" s="18" t="s">
        <v>477</v>
      </c>
    </row>
    <row r="15060">
      <c r="B15060" s="17" t="s">
        <v>477</v>
      </c>
      <c r="K15060" s="18" t="s">
        <v>477</v>
      </c>
    </row>
    <row r="15061">
      <c r="B15061" s="17" t="s">
        <v>477</v>
      </c>
      <c r="K15061" s="18" t="s">
        <v>477</v>
      </c>
    </row>
    <row r="15062">
      <c r="B15062" s="17" t="s">
        <v>477</v>
      </c>
      <c r="K15062" s="18" t="s">
        <v>477</v>
      </c>
    </row>
    <row r="15063">
      <c r="B15063" s="17" t="s">
        <v>477</v>
      </c>
      <c r="K15063" s="18" t="s">
        <v>477</v>
      </c>
    </row>
    <row r="15064">
      <c r="B15064" s="17" t="s">
        <v>477</v>
      </c>
      <c r="K15064" s="18" t="s">
        <v>477</v>
      </c>
    </row>
    <row r="15065">
      <c r="B15065" s="17" t="s">
        <v>477</v>
      </c>
      <c r="K15065" s="18" t="s">
        <v>477</v>
      </c>
    </row>
    <row r="15066">
      <c r="B15066" s="17" t="s">
        <v>477</v>
      </c>
      <c r="K15066" s="18" t="s">
        <v>477</v>
      </c>
    </row>
    <row r="15067">
      <c r="B15067" s="17" t="s">
        <v>477</v>
      </c>
      <c r="K15067" s="18" t="s">
        <v>477</v>
      </c>
    </row>
    <row r="15068">
      <c r="B15068" s="17" t="s">
        <v>477</v>
      </c>
      <c r="K15068" s="18" t="s">
        <v>477</v>
      </c>
    </row>
    <row r="15069">
      <c r="B15069" s="17" t="s">
        <v>477</v>
      </c>
      <c r="K15069" s="18" t="s">
        <v>477</v>
      </c>
    </row>
    <row r="15070">
      <c r="B15070" s="17" t="s">
        <v>477</v>
      </c>
      <c r="K15070" s="18" t="s">
        <v>477</v>
      </c>
    </row>
    <row r="15071">
      <c r="B15071" s="17" t="s">
        <v>477</v>
      </c>
      <c r="K15071" s="18" t="s">
        <v>477</v>
      </c>
    </row>
    <row r="15072">
      <c r="B15072" s="17" t="s">
        <v>477</v>
      </c>
      <c r="K15072" s="18" t="s">
        <v>477</v>
      </c>
    </row>
    <row r="15073">
      <c r="B15073" s="17" t="s">
        <v>477</v>
      </c>
      <c r="K15073" s="18" t="s">
        <v>477</v>
      </c>
    </row>
    <row r="15074">
      <c r="B15074" s="17" t="s">
        <v>477</v>
      </c>
      <c r="K15074" s="18" t="s">
        <v>477</v>
      </c>
    </row>
    <row r="15075">
      <c r="B15075" s="17" t="s">
        <v>477</v>
      </c>
      <c r="K15075" s="18" t="s">
        <v>477</v>
      </c>
    </row>
    <row r="15076">
      <c r="B15076" s="17" t="s">
        <v>477</v>
      </c>
      <c r="K15076" s="18" t="s">
        <v>477</v>
      </c>
    </row>
    <row r="15077">
      <c r="B15077" s="17" t="s">
        <v>477</v>
      </c>
      <c r="K15077" s="18" t="s">
        <v>477</v>
      </c>
    </row>
    <row r="15078">
      <c r="B15078" s="17" t="s">
        <v>477</v>
      </c>
      <c r="K15078" s="18" t="s">
        <v>477</v>
      </c>
    </row>
    <row r="15079">
      <c r="B15079" s="17" t="s">
        <v>477</v>
      </c>
      <c r="K15079" s="18" t="s">
        <v>477</v>
      </c>
    </row>
    <row r="15080">
      <c r="B15080" s="17" t="s">
        <v>477</v>
      </c>
      <c r="K15080" s="18" t="s">
        <v>477</v>
      </c>
    </row>
    <row r="15081">
      <c r="B15081" s="17" t="s">
        <v>477</v>
      </c>
      <c r="K15081" s="18" t="s">
        <v>477</v>
      </c>
    </row>
    <row r="15082">
      <c r="B15082" s="17" t="s">
        <v>477</v>
      </c>
      <c r="K15082" s="18" t="s">
        <v>477</v>
      </c>
    </row>
    <row r="15083">
      <c r="B15083" s="17" t="s">
        <v>477</v>
      </c>
      <c r="K15083" s="18" t="s">
        <v>477</v>
      </c>
    </row>
    <row r="15084">
      <c r="B15084" s="17" t="s">
        <v>477</v>
      </c>
      <c r="K15084" s="18" t="s">
        <v>477</v>
      </c>
    </row>
    <row r="15085">
      <c r="B15085" s="17" t="s">
        <v>477</v>
      </c>
      <c r="K15085" s="18" t="s">
        <v>477</v>
      </c>
    </row>
    <row r="15086">
      <c r="B15086" s="17" t="s">
        <v>477</v>
      </c>
      <c r="K15086" s="18" t="s">
        <v>477</v>
      </c>
    </row>
    <row r="15087">
      <c r="B15087" s="17" t="s">
        <v>477</v>
      </c>
      <c r="K15087" s="18" t="s">
        <v>477</v>
      </c>
    </row>
    <row r="15088">
      <c r="B15088" s="17" t="s">
        <v>477</v>
      </c>
      <c r="K15088" s="18" t="s">
        <v>477</v>
      </c>
    </row>
    <row r="15089">
      <c r="B15089" s="17" t="s">
        <v>477</v>
      </c>
      <c r="K15089" s="18" t="s">
        <v>477</v>
      </c>
    </row>
    <row r="15090">
      <c r="B15090" s="17" t="s">
        <v>477</v>
      </c>
      <c r="K15090" s="18" t="s">
        <v>477</v>
      </c>
    </row>
    <row r="15091">
      <c r="B15091" s="17" t="s">
        <v>477</v>
      </c>
      <c r="K15091" s="18" t="s">
        <v>477</v>
      </c>
    </row>
    <row r="15092">
      <c r="B15092" s="17" t="s">
        <v>477</v>
      </c>
      <c r="K15092" s="18" t="s">
        <v>477</v>
      </c>
    </row>
    <row r="15093">
      <c r="B15093" s="17" t="s">
        <v>477</v>
      </c>
      <c r="K15093" s="18" t="s">
        <v>477</v>
      </c>
    </row>
    <row r="15094">
      <c r="B15094" s="17" t="s">
        <v>477</v>
      </c>
      <c r="K15094" s="18" t="s">
        <v>477</v>
      </c>
    </row>
    <row r="15095">
      <c r="B15095" s="17" t="s">
        <v>477</v>
      </c>
      <c r="K15095" s="18" t="s">
        <v>477</v>
      </c>
    </row>
    <row r="15096">
      <c r="B15096" s="17" t="s">
        <v>477</v>
      </c>
      <c r="K15096" s="18" t="s">
        <v>477</v>
      </c>
    </row>
    <row r="15097">
      <c r="B15097" s="17" t="s">
        <v>477</v>
      </c>
      <c r="K15097" s="18" t="s">
        <v>477</v>
      </c>
    </row>
    <row r="15098">
      <c r="B15098" s="17" t="s">
        <v>477</v>
      </c>
      <c r="K15098" s="18" t="s">
        <v>477</v>
      </c>
    </row>
    <row r="15099">
      <c r="B15099" s="17" t="s">
        <v>477</v>
      </c>
      <c r="K15099" s="18" t="s">
        <v>477</v>
      </c>
    </row>
    <row r="15100">
      <c r="B15100" s="17" t="s">
        <v>477</v>
      </c>
      <c r="K15100" s="18" t="s">
        <v>477</v>
      </c>
    </row>
    <row r="15101">
      <c r="B15101" s="17" t="s">
        <v>477</v>
      </c>
      <c r="K15101" s="18" t="s">
        <v>477</v>
      </c>
    </row>
    <row r="15102">
      <c r="B15102" s="17" t="s">
        <v>477</v>
      </c>
      <c r="K15102" s="18" t="s">
        <v>477</v>
      </c>
    </row>
    <row r="15103">
      <c r="B15103" s="17" t="s">
        <v>477</v>
      </c>
      <c r="K15103" s="18" t="s">
        <v>477</v>
      </c>
    </row>
    <row r="15104">
      <c r="B15104" s="17" t="s">
        <v>477</v>
      </c>
      <c r="K15104" s="18" t="s">
        <v>477</v>
      </c>
    </row>
    <row r="15105">
      <c r="B15105" s="17" t="s">
        <v>477</v>
      </c>
      <c r="K15105" s="18" t="s">
        <v>477</v>
      </c>
    </row>
    <row r="15106">
      <c r="B15106" s="17" t="s">
        <v>477</v>
      </c>
      <c r="K15106" s="18" t="s">
        <v>477</v>
      </c>
    </row>
    <row r="15107">
      <c r="B15107" s="17" t="s">
        <v>477</v>
      </c>
      <c r="K15107" s="18" t="s">
        <v>477</v>
      </c>
    </row>
    <row r="15108">
      <c r="B15108" s="17" t="s">
        <v>477</v>
      </c>
      <c r="K15108" s="18" t="s">
        <v>477</v>
      </c>
    </row>
    <row r="15109">
      <c r="B15109" s="17" t="s">
        <v>477</v>
      </c>
      <c r="K15109" s="18" t="s">
        <v>477</v>
      </c>
    </row>
    <row r="15110">
      <c r="B15110" s="17" t="s">
        <v>477</v>
      </c>
      <c r="K15110" s="18" t="s">
        <v>477</v>
      </c>
    </row>
    <row r="15111">
      <c r="B15111" s="17" t="s">
        <v>477</v>
      </c>
      <c r="K15111" s="18" t="s">
        <v>477</v>
      </c>
    </row>
    <row r="15112">
      <c r="B15112" s="17" t="s">
        <v>477</v>
      </c>
      <c r="K15112" s="18" t="s">
        <v>477</v>
      </c>
    </row>
    <row r="15113">
      <c r="B15113" s="17" t="s">
        <v>477</v>
      </c>
      <c r="K15113" s="18" t="s">
        <v>477</v>
      </c>
    </row>
    <row r="15114">
      <c r="B15114" s="17" t="s">
        <v>477</v>
      </c>
      <c r="K15114" s="18" t="s">
        <v>477</v>
      </c>
    </row>
    <row r="15115">
      <c r="B15115" s="17" t="s">
        <v>477</v>
      </c>
      <c r="K15115" s="18" t="s">
        <v>477</v>
      </c>
    </row>
    <row r="15116">
      <c r="B15116" s="17" t="s">
        <v>477</v>
      </c>
      <c r="K15116" s="18" t="s">
        <v>477</v>
      </c>
    </row>
    <row r="15117">
      <c r="B15117" s="17" t="s">
        <v>477</v>
      </c>
      <c r="K15117" s="18" t="s">
        <v>477</v>
      </c>
    </row>
    <row r="15118">
      <c r="B15118" s="17" t="s">
        <v>477</v>
      </c>
      <c r="K15118" s="18" t="s">
        <v>477</v>
      </c>
    </row>
    <row r="15119">
      <c r="B15119" s="17" t="s">
        <v>477</v>
      </c>
      <c r="K15119" s="18" t="s">
        <v>477</v>
      </c>
    </row>
    <row r="15120">
      <c r="B15120" s="17" t="s">
        <v>477</v>
      </c>
      <c r="K15120" s="18" t="s">
        <v>477</v>
      </c>
    </row>
    <row r="15121">
      <c r="B15121" s="17" t="s">
        <v>477</v>
      </c>
      <c r="K15121" s="18" t="s">
        <v>477</v>
      </c>
    </row>
    <row r="15122">
      <c r="B15122" s="17" t="s">
        <v>477</v>
      </c>
      <c r="K15122" s="18" t="s">
        <v>477</v>
      </c>
    </row>
    <row r="15123">
      <c r="B15123" s="17" t="s">
        <v>477</v>
      </c>
      <c r="K15123" s="18" t="s">
        <v>477</v>
      </c>
    </row>
    <row r="15124">
      <c r="B15124" s="17" t="s">
        <v>477</v>
      </c>
      <c r="K15124" s="18" t="s">
        <v>477</v>
      </c>
    </row>
    <row r="15125">
      <c r="B15125" s="17" t="s">
        <v>477</v>
      </c>
      <c r="K15125" s="18" t="s">
        <v>477</v>
      </c>
    </row>
    <row r="15126">
      <c r="B15126" s="17" t="s">
        <v>477</v>
      </c>
      <c r="K15126" s="18" t="s">
        <v>477</v>
      </c>
    </row>
    <row r="15127">
      <c r="B15127" s="17" t="s">
        <v>477</v>
      </c>
      <c r="K15127" s="18" t="s">
        <v>477</v>
      </c>
    </row>
    <row r="15128">
      <c r="B15128" s="17" t="s">
        <v>477</v>
      </c>
      <c r="K15128" s="18" t="s">
        <v>477</v>
      </c>
    </row>
    <row r="15129">
      <c r="B15129" s="17" t="s">
        <v>477</v>
      </c>
      <c r="K15129" s="18" t="s">
        <v>477</v>
      </c>
    </row>
    <row r="15130">
      <c r="B15130" s="17" t="s">
        <v>477</v>
      </c>
      <c r="K15130" s="18" t="s">
        <v>477</v>
      </c>
    </row>
    <row r="15131">
      <c r="B15131" s="17" t="s">
        <v>477</v>
      </c>
      <c r="K15131" s="18" t="s">
        <v>477</v>
      </c>
    </row>
    <row r="15132">
      <c r="B15132" s="17" t="s">
        <v>477</v>
      </c>
      <c r="K15132" s="18" t="s">
        <v>477</v>
      </c>
    </row>
    <row r="15133">
      <c r="B15133" s="17" t="s">
        <v>477</v>
      </c>
      <c r="K15133" s="18" t="s">
        <v>477</v>
      </c>
    </row>
    <row r="15134">
      <c r="B15134" s="17" t="s">
        <v>477</v>
      </c>
      <c r="K15134" s="18" t="s">
        <v>477</v>
      </c>
    </row>
    <row r="15135">
      <c r="B15135" s="17" t="s">
        <v>477</v>
      </c>
      <c r="K15135" s="18" t="s">
        <v>477</v>
      </c>
    </row>
    <row r="15136">
      <c r="B15136" s="17" t="s">
        <v>477</v>
      </c>
      <c r="K15136" s="18" t="s">
        <v>477</v>
      </c>
    </row>
    <row r="15137">
      <c r="B15137" s="17" t="s">
        <v>477</v>
      </c>
      <c r="K15137" s="18" t="s">
        <v>477</v>
      </c>
    </row>
    <row r="15138">
      <c r="B15138" s="17" t="s">
        <v>477</v>
      </c>
      <c r="K15138" s="18" t="s">
        <v>477</v>
      </c>
    </row>
    <row r="15139">
      <c r="B15139" s="17" t="s">
        <v>477</v>
      </c>
      <c r="K15139" s="18" t="s">
        <v>477</v>
      </c>
    </row>
    <row r="15140">
      <c r="B15140" s="17" t="s">
        <v>477</v>
      </c>
      <c r="K15140" s="18" t="s">
        <v>477</v>
      </c>
    </row>
    <row r="15141">
      <c r="B15141" s="17" t="s">
        <v>477</v>
      </c>
      <c r="K15141" s="18" t="s">
        <v>477</v>
      </c>
    </row>
    <row r="15142">
      <c r="B15142" s="17" t="s">
        <v>477</v>
      </c>
      <c r="K15142" s="18" t="s">
        <v>477</v>
      </c>
    </row>
    <row r="15143">
      <c r="B15143" s="17" t="s">
        <v>477</v>
      </c>
      <c r="K15143" s="18" t="s">
        <v>477</v>
      </c>
    </row>
    <row r="15144">
      <c r="B15144" s="17" t="s">
        <v>477</v>
      </c>
      <c r="K15144" s="18" t="s">
        <v>477</v>
      </c>
    </row>
    <row r="15145">
      <c r="B15145" s="17" t="s">
        <v>477</v>
      </c>
      <c r="K15145" s="18" t="s">
        <v>477</v>
      </c>
    </row>
    <row r="15146">
      <c r="B15146" s="17" t="s">
        <v>477</v>
      </c>
      <c r="K15146" s="18" t="s">
        <v>477</v>
      </c>
    </row>
    <row r="15147">
      <c r="B15147" s="17" t="s">
        <v>477</v>
      </c>
      <c r="K15147" s="18" t="s">
        <v>477</v>
      </c>
    </row>
    <row r="15148">
      <c r="B15148" s="17" t="s">
        <v>477</v>
      </c>
      <c r="K15148" s="18" t="s">
        <v>477</v>
      </c>
    </row>
    <row r="15149">
      <c r="B15149" s="17" t="s">
        <v>477</v>
      </c>
      <c r="K15149" s="18" t="s">
        <v>477</v>
      </c>
    </row>
    <row r="15150">
      <c r="B15150" s="17" t="s">
        <v>477</v>
      </c>
      <c r="K15150" s="18" t="s">
        <v>477</v>
      </c>
    </row>
    <row r="15151">
      <c r="B15151" s="17" t="s">
        <v>477</v>
      </c>
      <c r="K15151" s="18" t="s">
        <v>477</v>
      </c>
    </row>
    <row r="15152">
      <c r="B15152" s="17" t="s">
        <v>477</v>
      </c>
      <c r="K15152" s="18" t="s">
        <v>477</v>
      </c>
    </row>
    <row r="15153">
      <c r="B15153" s="17" t="s">
        <v>477</v>
      </c>
      <c r="K15153" s="18" t="s">
        <v>477</v>
      </c>
    </row>
    <row r="15154">
      <c r="B15154" s="17" t="s">
        <v>477</v>
      </c>
      <c r="K15154" s="18" t="s">
        <v>477</v>
      </c>
    </row>
    <row r="15155">
      <c r="B15155" s="17" t="s">
        <v>477</v>
      </c>
      <c r="K15155" s="18" t="s">
        <v>477</v>
      </c>
    </row>
    <row r="15156">
      <c r="B15156" s="17" t="s">
        <v>477</v>
      </c>
      <c r="K15156" s="18" t="s">
        <v>477</v>
      </c>
    </row>
    <row r="15157">
      <c r="B15157" s="17" t="s">
        <v>477</v>
      </c>
      <c r="K15157" s="18" t="s">
        <v>477</v>
      </c>
    </row>
    <row r="15158">
      <c r="B15158" s="17" t="s">
        <v>477</v>
      </c>
      <c r="K15158" s="18" t="s">
        <v>477</v>
      </c>
    </row>
    <row r="15159">
      <c r="B15159" s="17" t="s">
        <v>477</v>
      </c>
      <c r="K15159" s="18" t="s">
        <v>477</v>
      </c>
    </row>
    <row r="15160">
      <c r="B15160" s="17" t="s">
        <v>477</v>
      </c>
      <c r="K15160" s="18" t="s">
        <v>477</v>
      </c>
    </row>
    <row r="15161">
      <c r="B15161" s="17" t="s">
        <v>477</v>
      </c>
      <c r="K15161" s="18" t="s">
        <v>477</v>
      </c>
    </row>
    <row r="15162">
      <c r="B15162" s="17" t="s">
        <v>477</v>
      </c>
      <c r="K15162" s="18" t="s">
        <v>477</v>
      </c>
    </row>
    <row r="15163">
      <c r="B15163" s="17" t="s">
        <v>477</v>
      </c>
      <c r="K15163" s="18" t="s">
        <v>477</v>
      </c>
    </row>
    <row r="15164">
      <c r="B15164" s="17" t="s">
        <v>477</v>
      </c>
      <c r="K15164" s="18" t="s">
        <v>477</v>
      </c>
    </row>
    <row r="15165">
      <c r="B15165" s="17" t="s">
        <v>477</v>
      </c>
      <c r="K15165" s="18" t="s">
        <v>477</v>
      </c>
    </row>
    <row r="15166">
      <c r="B15166" s="17" t="s">
        <v>477</v>
      </c>
      <c r="K15166" s="18" t="s">
        <v>477</v>
      </c>
    </row>
    <row r="15167">
      <c r="B15167" s="17" t="s">
        <v>477</v>
      </c>
      <c r="K15167" s="18" t="s">
        <v>477</v>
      </c>
    </row>
    <row r="15168">
      <c r="B15168" s="17" t="s">
        <v>477</v>
      </c>
      <c r="K15168" s="18" t="s">
        <v>477</v>
      </c>
    </row>
    <row r="15169">
      <c r="B15169" s="17" t="s">
        <v>477</v>
      </c>
      <c r="K15169" s="18" t="s">
        <v>477</v>
      </c>
    </row>
    <row r="15170">
      <c r="B15170" s="17" t="s">
        <v>477</v>
      </c>
      <c r="K15170" s="18" t="s">
        <v>477</v>
      </c>
    </row>
    <row r="15171">
      <c r="B15171" s="17" t="s">
        <v>477</v>
      </c>
      <c r="K15171" s="18" t="s">
        <v>477</v>
      </c>
    </row>
    <row r="15172">
      <c r="B15172" s="17" t="s">
        <v>477</v>
      </c>
      <c r="K15172" s="18" t="s">
        <v>477</v>
      </c>
    </row>
    <row r="15173">
      <c r="B15173" s="17" t="s">
        <v>477</v>
      </c>
      <c r="K15173" s="18" t="s">
        <v>477</v>
      </c>
    </row>
    <row r="15174">
      <c r="B15174" s="17" t="s">
        <v>477</v>
      </c>
      <c r="K15174" s="18" t="s">
        <v>477</v>
      </c>
    </row>
    <row r="15175">
      <c r="B15175" s="17" t="s">
        <v>477</v>
      </c>
      <c r="K15175" s="18" t="s">
        <v>477</v>
      </c>
    </row>
    <row r="15176">
      <c r="B15176" s="17" t="s">
        <v>477</v>
      </c>
      <c r="K15176" s="18" t="s">
        <v>477</v>
      </c>
    </row>
    <row r="15177">
      <c r="B15177" s="17" t="s">
        <v>477</v>
      </c>
      <c r="K15177" s="18" t="s">
        <v>477</v>
      </c>
    </row>
    <row r="15178">
      <c r="B15178" s="17" t="s">
        <v>477</v>
      </c>
      <c r="K15178" s="18" t="s">
        <v>477</v>
      </c>
    </row>
    <row r="15179">
      <c r="B15179" s="17" t="s">
        <v>477</v>
      </c>
      <c r="K15179" s="18" t="s">
        <v>477</v>
      </c>
    </row>
    <row r="15180">
      <c r="B15180" s="17" t="s">
        <v>477</v>
      </c>
      <c r="K15180" s="18" t="s">
        <v>477</v>
      </c>
    </row>
    <row r="15181">
      <c r="B15181" s="17" t="s">
        <v>477</v>
      </c>
      <c r="K15181" s="18" t="s">
        <v>477</v>
      </c>
    </row>
    <row r="15182">
      <c r="B15182" s="17" t="s">
        <v>477</v>
      </c>
      <c r="K15182" s="18" t="s">
        <v>477</v>
      </c>
    </row>
    <row r="15183">
      <c r="B15183" s="17" t="s">
        <v>477</v>
      </c>
      <c r="K15183" s="18" t="s">
        <v>477</v>
      </c>
    </row>
    <row r="15184">
      <c r="B15184" s="17" t="s">
        <v>477</v>
      </c>
      <c r="K15184" s="18" t="s">
        <v>477</v>
      </c>
    </row>
    <row r="15185">
      <c r="B15185" s="17" t="s">
        <v>477</v>
      </c>
      <c r="K15185" s="18" t="s">
        <v>477</v>
      </c>
    </row>
    <row r="15186">
      <c r="B15186" s="17" t="s">
        <v>477</v>
      </c>
      <c r="K15186" s="18" t="s">
        <v>477</v>
      </c>
    </row>
    <row r="15187">
      <c r="B15187" s="17" t="s">
        <v>477</v>
      </c>
      <c r="K15187" s="18" t="s">
        <v>477</v>
      </c>
    </row>
    <row r="15188">
      <c r="B15188" s="17" t="s">
        <v>477</v>
      </c>
      <c r="K15188" s="18" t="s">
        <v>477</v>
      </c>
    </row>
    <row r="15189">
      <c r="B15189" s="17" t="s">
        <v>477</v>
      </c>
      <c r="K15189" s="18" t="s">
        <v>477</v>
      </c>
    </row>
    <row r="15190">
      <c r="B15190" s="17" t="s">
        <v>477</v>
      </c>
      <c r="K15190" s="18" t="s">
        <v>477</v>
      </c>
    </row>
    <row r="15191">
      <c r="B15191" s="17" t="s">
        <v>477</v>
      </c>
      <c r="K15191" s="18" t="s">
        <v>477</v>
      </c>
    </row>
    <row r="15192">
      <c r="B15192" s="17" t="s">
        <v>477</v>
      </c>
      <c r="K15192" s="18" t="s">
        <v>477</v>
      </c>
    </row>
    <row r="15193">
      <c r="B15193" s="17" t="s">
        <v>477</v>
      </c>
      <c r="K15193" s="18" t="s">
        <v>477</v>
      </c>
    </row>
    <row r="15194">
      <c r="B15194" s="17" t="s">
        <v>477</v>
      </c>
      <c r="K15194" s="18" t="s">
        <v>477</v>
      </c>
    </row>
    <row r="15195">
      <c r="B15195" s="17" t="s">
        <v>477</v>
      </c>
      <c r="K15195" s="18" t="s">
        <v>477</v>
      </c>
    </row>
    <row r="15196">
      <c r="B15196" s="17" t="s">
        <v>477</v>
      </c>
      <c r="K15196" s="18" t="s">
        <v>477</v>
      </c>
    </row>
    <row r="15197">
      <c r="B15197" s="17" t="s">
        <v>477</v>
      </c>
      <c r="K15197" s="18" t="s">
        <v>477</v>
      </c>
    </row>
    <row r="15198">
      <c r="B15198" s="17" t="s">
        <v>477</v>
      </c>
      <c r="K15198" s="18" t="s">
        <v>477</v>
      </c>
    </row>
    <row r="15199">
      <c r="B15199" s="17" t="s">
        <v>477</v>
      </c>
      <c r="K15199" s="18" t="s">
        <v>477</v>
      </c>
    </row>
    <row r="15200">
      <c r="B15200" s="17" t="s">
        <v>477</v>
      </c>
      <c r="K15200" s="18" t="s">
        <v>477</v>
      </c>
    </row>
    <row r="15201">
      <c r="B15201" s="17" t="s">
        <v>477</v>
      </c>
      <c r="K15201" s="18" t="s">
        <v>477</v>
      </c>
    </row>
    <row r="15202">
      <c r="B15202" s="17" t="s">
        <v>477</v>
      </c>
      <c r="K15202" s="18" t="s">
        <v>477</v>
      </c>
    </row>
    <row r="15203">
      <c r="B15203" s="17" t="s">
        <v>477</v>
      </c>
      <c r="K15203" s="18" t="s">
        <v>477</v>
      </c>
    </row>
    <row r="15204">
      <c r="B15204" s="17" t="s">
        <v>477</v>
      </c>
      <c r="K15204" s="18" t="s">
        <v>477</v>
      </c>
    </row>
    <row r="15205">
      <c r="B15205" s="17" t="s">
        <v>477</v>
      </c>
      <c r="K15205" s="18" t="s">
        <v>477</v>
      </c>
    </row>
    <row r="15206">
      <c r="B15206" s="17" t="s">
        <v>477</v>
      </c>
      <c r="K15206" s="18" t="s">
        <v>477</v>
      </c>
    </row>
    <row r="15207">
      <c r="B15207" s="17" t="s">
        <v>477</v>
      </c>
      <c r="K15207" s="18" t="s">
        <v>477</v>
      </c>
    </row>
    <row r="15208">
      <c r="B15208" s="17" t="s">
        <v>477</v>
      </c>
      <c r="K15208" s="18" t="s">
        <v>477</v>
      </c>
    </row>
    <row r="15209">
      <c r="B15209" s="17" t="s">
        <v>477</v>
      </c>
      <c r="K15209" s="18" t="s">
        <v>477</v>
      </c>
    </row>
    <row r="15210">
      <c r="B15210" s="17" t="s">
        <v>477</v>
      </c>
      <c r="K15210" s="18" t="s">
        <v>477</v>
      </c>
    </row>
    <row r="15211">
      <c r="B15211" s="17" t="s">
        <v>477</v>
      </c>
      <c r="K15211" s="18" t="s">
        <v>477</v>
      </c>
    </row>
    <row r="15212">
      <c r="B15212" s="17" t="s">
        <v>477</v>
      </c>
      <c r="K15212" s="18" t="s">
        <v>477</v>
      </c>
    </row>
    <row r="15213">
      <c r="B15213" s="17" t="s">
        <v>477</v>
      </c>
      <c r="K15213" s="18" t="s">
        <v>477</v>
      </c>
    </row>
    <row r="15214">
      <c r="B15214" s="17" t="s">
        <v>477</v>
      </c>
      <c r="K15214" s="18" t="s">
        <v>477</v>
      </c>
    </row>
    <row r="15215">
      <c r="B15215" s="17" t="s">
        <v>477</v>
      </c>
      <c r="K15215" s="18" t="s">
        <v>477</v>
      </c>
    </row>
    <row r="15216">
      <c r="B15216" s="17" t="s">
        <v>477</v>
      </c>
      <c r="K15216" s="18" t="s">
        <v>477</v>
      </c>
    </row>
    <row r="15217">
      <c r="B15217" s="17" t="s">
        <v>477</v>
      </c>
      <c r="K15217" s="18" t="s">
        <v>477</v>
      </c>
    </row>
    <row r="15218">
      <c r="B15218" s="17" t="s">
        <v>477</v>
      </c>
      <c r="K15218" s="18" t="s">
        <v>477</v>
      </c>
    </row>
    <row r="15219">
      <c r="B15219" s="17" t="s">
        <v>477</v>
      </c>
      <c r="K15219" s="18" t="s">
        <v>477</v>
      </c>
    </row>
    <row r="15220">
      <c r="B15220" s="17" t="s">
        <v>477</v>
      </c>
      <c r="K15220" s="18" t="s">
        <v>477</v>
      </c>
    </row>
    <row r="15221">
      <c r="B15221" s="17" t="s">
        <v>477</v>
      </c>
      <c r="K15221" s="18" t="s">
        <v>477</v>
      </c>
    </row>
    <row r="15222">
      <c r="B15222" s="17" t="s">
        <v>477</v>
      </c>
      <c r="K15222" s="18" t="s">
        <v>477</v>
      </c>
    </row>
    <row r="15223">
      <c r="B15223" s="17" t="s">
        <v>477</v>
      </c>
      <c r="K15223" s="18" t="s">
        <v>477</v>
      </c>
    </row>
    <row r="15224">
      <c r="B15224" s="17" t="s">
        <v>477</v>
      </c>
      <c r="K15224" s="18" t="s">
        <v>477</v>
      </c>
    </row>
    <row r="15225">
      <c r="B15225" s="17" t="s">
        <v>477</v>
      </c>
      <c r="K15225" s="18" t="s">
        <v>477</v>
      </c>
    </row>
    <row r="15226">
      <c r="B15226" s="17" t="s">
        <v>477</v>
      </c>
      <c r="K15226" s="18" t="s">
        <v>477</v>
      </c>
    </row>
    <row r="15227">
      <c r="B15227" s="17" t="s">
        <v>477</v>
      </c>
      <c r="K15227" s="18" t="s">
        <v>477</v>
      </c>
    </row>
    <row r="15228">
      <c r="B15228" s="17" t="s">
        <v>477</v>
      </c>
      <c r="K15228" s="18" t="s">
        <v>477</v>
      </c>
    </row>
    <row r="15229">
      <c r="B15229" s="17" t="s">
        <v>477</v>
      </c>
      <c r="K15229" s="18" t="s">
        <v>477</v>
      </c>
    </row>
    <row r="15230">
      <c r="B15230" s="17" t="s">
        <v>477</v>
      </c>
      <c r="K15230" s="18" t="s">
        <v>477</v>
      </c>
    </row>
    <row r="15231">
      <c r="B15231" s="17" t="s">
        <v>477</v>
      </c>
      <c r="K15231" s="18" t="s">
        <v>477</v>
      </c>
    </row>
    <row r="15232">
      <c r="B15232" s="17" t="s">
        <v>477</v>
      </c>
      <c r="K15232" s="18" t="s">
        <v>477</v>
      </c>
    </row>
    <row r="15233">
      <c r="B15233" s="17" t="s">
        <v>477</v>
      </c>
      <c r="K15233" s="18" t="s">
        <v>477</v>
      </c>
    </row>
    <row r="15234">
      <c r="B15234" s="17" t="s">
        <v>477</v>
      </c>
      <c r="K15234" s="18" t="s">
        <v>477</v>
      </c>
    </row>
    <row r="15235">
      <c r="B15235" s="17" t="s">
        <v>477</v>
      </c>
      <c r="K15235" s="18" t="s">
        <v>477</v>
      </c>
    </row>
    <row r="15236">
      <c r="B15236" s="17" t="s">
        <v>477</v>
      </c>
      <c r="K15236" s="18" t="s">
        <v>477</v>
      </c>
    </row>
    <row r="15237">
      <c r="B15237" s="17" t="s">
        <v>477</v>
      </c>
      <c r="K15237" s="18" t="s">
        <v>477</v>
      </c>
    </row>
    <row r="15238">
      <c r="B15238" s="17" t="s">
        <v>477</v>
      </c>
      <c r="K15238" s="18" t="s">
        <v>477</v>
      </c>
    </row>
    <row r="15239">
      <c r="B15239" s="17" t="s">
        <v>477</v>
      </c>
      <c r="K15239" s="18" t="s">
        <v>477</v>
      </c>
    </row>
    <row r="15240">
      <c r="B15240" s="17" t="s">
        <v>477</v>
      </c>
      <c r="K15240" s="18" t="s">
        <v>477</v>
      </c>
    </row>
    <row r="15241">
      <c r="B15241" s="17" t="s">
        <v>477</v>
      </c>
      <c r="K15241" s="18" t="s">
        <v>477</v>
      </c>
    </row>
    <row r="15242">
      <c r="B15242" s="17" t="s">
        <v>477</v>
      </c>
      <c r="K15242" s="18" t="s">
        <v>477</v>
      </c>
    </row>
    <row r="15243">
      <c r="B15243" s="17" t="s">
        <v>477</v>
      </c>
      <c r="K15243" s="18" t="s">
        <v>477</v>
      </c>
    </row>
    <row r="15244">
      <c r="B15244" s="17" t="s">
        <v>477</v>
      </c>
      <c r="K15244" s="18" t="s">
        <v>477</v>
      </c>
    </row>
    <row r="15245">
      <c r="B15245" s="17" t="s">
        <v>477</v>
      </c>
      <c r="K15245" s="18" t="s">
        <v>477</v>
      </c>
    </row>
    <row r="15246">
      <c r="B15246" s="17" t="s">
        <v>477</v>
      </c>
      <c r="K15246" s="18" t="s">
        <v>477</v>
      </c>
    </row>
    <row r="15247">
      <c r="B15247" s="17" t="s">
        <v>477</v>
      </c>
      <c r="K15247" s="18" t="s">
        <v>477</v>
      </c>
    </row>
    <row r="15248">
      <c r="B15248" s="17" t="s">
        <v>477</v>
      </c>
      <c r="K15248" s="18" t="s">
        <v>477</v>
      </c>
    </row>
    <row r="15249">
      <c r="B15249" s="17" t="s">
        <v>477</v>
      </c>
      <c r="K15249" s="18" t="s">
        <v>477</v>
      </c>
    </row>
    <row r="15250">
      <c r="B15250" s="17" t="s">
        <v>477</v>
      </c>
      <c r="K15250" s="18" t="s">
        <v>477</v>
      </c>
    </row>
    <row r="15251">
      <c r="B15251" s="17" t="s">
        <v>477</v>
      </c>
      <c r="K15251" s="18" t="s">
        <v>477</v>
      </c>
    </row>
    <row r="15252">
      <c r="B15252" s="17" t="s">
        <v>477</v>
      </c>
      <c r="K15252" s="18" t="s">
        <v>477</v>
      </c>
    </row>
    <row r="15253">
      <c r="B15253" s="17" t="s">
        <v>477</v>
      </c>
      <c r="K15253" s="18" t="s">
        <v>477</v>
      </c>
    </row>
    <row r="15254">
      <c r="B15254" s="17" t="s">
        <v>477</v>
      </c>
      <c r="K15254" s="18" t="s">
        <v>477</v>
      </c>
    </row>
    <row r="15255">
      <c r="B15255" s="17" t="s">
        <v>477</v>
      </c>
      <c r="K15255" s="18" t="s">
        <v>477</v>
      </c>
    </row>
    <row r="15256">
      <c r="B15256" s="17" t="s">
        <v>477</v>
      </c>
      <c r="K15256" s="18" t="s">
        <v>477</v>
      </c>
    </row>
    <row r="15257">
      <c r="B15257" s="17" t="s">
        <v>477</v>
      </c>
      <c r="K15257" s="18" t="s">
        <v>477</v>
      </c>
    </row>
    <row r="15258">
      <c r="B15258" s="17" t="s">
        <v>477</v>
      </c>
      <c r="K15258" s="18" t="s">
        <v>477</v>
      </c>
    </row>
    <row r="15259">
      <c r="B15259" s="17" t="s">
        <v>477</v>
      </c>
      <c r="K15259" s="18" t="s">
        <v>477</v>
      </c>
    </row>
    <row r="15260">
      <c r="B15260" s="17" t="s">
        <v>477</v>
      </c>
      <c r="K15260" s="18" t="s">
        <v>477</v>
      </c>
    </row>
    <row r="15261">
      <c r="B15261" s="17" t="s">
        <v>477</v>
      </c>
      <c r="K15261" s="18" t="s">
        <v>477</v>
      </c>
    </row>
    <row r="15262">
      <c r="B15262" s="17" t="s">
        <v>477</v>
      </c>
      <c r="K15262" s="18" t="s">
        <v>477</v>
      </c>
    </row>
    <row r="15263">
      <c r="B15263" s="17" t="s">
        <v>477</v>
      </c>
      <c r="K15263" s="18" t="s">
        <v>477</v>
      </c>
    </row>
    <row r="15264">
      <c r="B15264" s="17" t="s">
        <v>477</v>
      </c>
      <c r="K15264" s="18" t="s">
        <v>477</v>
      </c>
    </row>
    <row r="15265">
      <c r="B15265" s="17" t="s">
        <v>477</v>
      </c>
      <c r="K15265" s="18" t="s">
        <v>477</v>
      </c>
    </row>
    <row r="15266">
      <c r="B15266" s="17" t="s">
        <v>477</v>
      </c>
      <c r="K15266" s="18" t="s">
        <v>477</v>
      </c>
    </row>
    <row r="15267">
      <c r="B15267" s="17" t="s">
        <v>477</v>
      </c>
      <c r="K15267" s="18" t="s">
        <v>477</v>
      </c>
    </row>
    <row r="15268">
      <c r="B15268" s="17" t="s">
        <v>477</v>
      </c>
      <c r="K15268" s="18" t="s">
        <v>477</v>
      </c>
    </row>
    <row r="15269">
      <c r="B15269" s="17" t="s">
        <v>477</v>
      </c>
      <c r="K15269" s="18" t="s">
        <v>477</v>
      </c>
    </row>
    <row r="15270">
      <c r="B15270" s="17" t="s">
        <v>477</v>
      </c>
      <c r="K15270" s="18" t="s">
        <v>477</v>
      </c>
    </row>
    <row r="15271">
      <c r="B15271" s="17" t="s">
        <v>477</v>
      </c>
      <c r="K15271" s="18" t="s">
        <v>477</v>
      </c>
    </row>
    <row r="15272">
      <c r="B15272" s="17" t="s">
        <v>477</v>
      </c>
      <c r="K15272" s="18" t="s">
        <v>477</v>
      </c>
    </row>
    <row r="15273">
      <c r="B15273" s="17" t="s">
        <v>477</v>
      </c>
      <c r="K15273" s="18" t="s">
        <v>477</v>
      </c>
    </row>
    <row r="15274">
      <c r="B15274" s="17" t="s">
        <v>477</v>
      </c>
      <c r="K15274" s="18" t="s">
        <v>477</v>
      </c>
    </row>
    <row r="15275">
      <c r="B15275" s="17" t="s">
        <v>477</v>
      </c>
      <c r="K15275" s="18" t="s">
        <v>477</v>
      </c>
    </row>
    <row r="15276">
      <c r="B15276" s="17" t="s">
        <v>477</v>
      </c>
      <c r="K15276" s="18" t="s">
        <v>477</v>
      </c>
    </row>
    <row r="15277">
      <c r="B15277" s="17" t="s">
        <v>477</v>
      </c>
      <c r="K15277" s="18" t="s">
        <v>477</v>
      </c>
    </row>
    <row r="15278">
      <c r="B15278" s="17" t="s">
        <v>477</v>
      </c>
      <c r="K15278" s="18" t="s">
        <v>477</v>
      </c>
    </row>
    <row r="15279">
      <c r="B15279" s="17" t="s">
        <v>477</v>
      </c>
      <c r="K15279" s="18" t="s">
        <v>477</v>
      </c>
    </row>
    <row r="15280">
      <c r="B15280" s="17" t="s">
        <v>477</v>
      </c>
      <c r="K15280" s="18" t="s">
        <v>477</v>
      </c>
    </row>
    <row r="15281">
      <c r="B15281" s="17" t="s">
        <v>477</v>
      </c>
      <c r="K15281" s="18" t="s">
        <v>477</v>
      </c>
    </row>
    <row r="15282">
      <c r="B15282" s="17" t="s">
        <v>477</v>
      </c>
      <c r="K15282" s="18" t="s">
        <v>477</v>
      </c>
    </row>
    <row r="15283">
      <c r="B15283" s="17" t="s">
        <v>477</v>
      </c>
      <c r="K15283" s="18" t="s">
        <v>477</v>
      </c>
    </row>
    <row r="15284">
      <c r="B15284" s="17" t="s">
        <v>477</v>
      </c>
      <c r="K15284" s="18" t="s">
        <v>477</v>
      </c>
    </row>
    <row r="15285">
      <c r="B15285" s="17" t="s">
        <v>477</v>
      </c>
      <c r="K15285" s="18" t="s">
        <v>477</v>
      </c>
    </row>
    <row r="15286">
      <c r="B15286" s="17" t="s">
        <v>477</v>
      </c>
      <c r="K15286" s="18" t="s">
        <v>477</v>
      </c>
    </row>
    <row r="15287">
      <c r="B15287" s="17" t="s">
        <v>477</v>
      </c>
      <c r="K15287" s="18" t="s">
        <v>477</v>
      </c>
    </row>
    <row r="15288">
      <c r="B15288" s="17" t="s">
        <v>477</v>
      </c>
      <c r="K15288" s="18" t="s">
        <v>477</v>
      </c>
    </row>
    <row r="15289">
      <c r="B15289" s="17" t="s">
        <v>477</v>
      </c>
      <c r="K15289" s="18" t="s">
        <v>477</v>
      </c>
    </row>
    <row r="15290">
      <c r="B15290" s="17" t="s">
        <v>477</v>
      </c>
      <c r="K15290" s="18" t="s">
        <v>477</v>
      </c>
    </row>
    <row r="15291">
      <c r="B15291" s="17" t="s">
        <v>477</v>
      </c>
      <c r="K15291" s="18" t="s">
        <v>477</v>
      </c>
    </row>
    <row r="15292">
      <c r="B15292" s="17" t="s">
        <v>477</v>
      </c>
      <c r="K15292" s="18" t="s">
        <v>477</v>
      </c>
    </row>
    <row r="15293">
      <c r="B15293" s="17" t="s">
        <v>477</v>
      </c>
      <c r="K15293" s="18" t="s">
        <v>477</v>
      </c>
    </row>
    <row r="15294">
      <c r="B15294" s="17" t="s">
        <v>477</v>
      </c>
      <c r="K15294" s="18" t="s">
        <v>477</v>
      </c>
    </row>
    <row r="15295">
      <c r="B15295" s="17" t="s">
        <v>477</v>
      </c>
      <c r="K15295" s="18" t="s">
        <v>477</v>
      </c>
    </row>
    <row r="15296">
      <c r="B15296" s="17" t="s">
        <v>477</v>
      </c>
      <c r="K15296" s="18" t="s">
        <v>477</v>
      </c>
    </row>
    <row r="15297">
      <c r="B15297" s="17" t="s">
        <v>477</v>
      </c>
      <c r="K15297" s="18" t="s">
        <v>477</v>
      </c>
    </row>
    <row r="15298">
      <c r="B15298" s="17" t="s">
        <v>477</v>
      </c>
      <c r="K15298" s="18" t="s">
        <v>477</v>
      </c>
    </row>
    <row r="15299">
      <c r="B15299" s="17" t="s">
        <v>477</v>
      </c>
      <c r="K15299" s="18" t="s">
        <v>477</v>
      </c>
    </row>
    <row r="15300">
      <c r="B15300" s="17" t="s">
        <v>477</v>
      </c>
      <c r="K15300" s="18" t="s">
        <v>477</v>
      </c>
    </row>
    <row r="15301">
      <c r="B15301" s="17" t="s">
        <v>477</v>
      </c>
      <c r="K15301" s="18" t="s">
        <v>477</v>
      </c>
    </row>
    <row r="15302">
      <c r="B15302" s="17" t="s">
        <v>477</v>
      </c>
      <c r="K15302" s="18" t="s">
        <v>477</v>
      </c>
    </row>
    <row r="15303">
      <c r="B15303" s="17" t="s">
        <v>477</v>
      </c>
      <c r="K15303" s="18" t="s">
        <v>477</v>
      </c>
    </row>
    <row r="15304">
      <c r="B15304" s="17" t="s">
        <v>477</v>
      </c>
      <c r="K15304" s="18" t="s">
        <v>477</v>
      </c>
    </row>
    <row r="15305">
      <c r="B15305" s="17" t="s">
        <v>477</v>
      </c>
      <c r="K15305" s="18" t="s">
        <v>477</v>
      </c>
    </row>
    <row r="15306">
      <c r="B15306" s="17" t="s">
        <v>477</v>
      </c>
      <c r="K15306" s="18" t="s">
        <v>477</v>
      </c>
    </row>
    <row r="15307">
      <c r="B15307" s="17" t="s">
        <v>477</v>
      </c>
      <c r="K15307" s="18" t="s">
        <v>477</v>
      </c>
    </row>
    <row r="15308">
      <c r="B15308" s="17" t="s">
        <v>477</v>
      </c>
      <c r="K15308" s="18" t="s">
        <v>477</v>
      </c>
    </row>
    <row r="15309">
      <c r="B15309" s="17" t="s">
        <v>477</v>
      </c>
      <c r="K15309" s="18" t="s">
        <v>477</v>
      </c>
    </row>
    <row r="15310">
      <c r="B15310" s="17" t="s">
        <v>477</v>
      </c>
      <c r="K15310" s="18" t="s">
        <v>477</v>
      </c>
    </row>
    <row r="15311">
      <c r="B15311" s="17" t="s">
        <v>477</v>
      </c>
      <c r="K15311" s="18" t="s">
        <v>477</v>
      </c>
    </row>
    <row r="15312">
      <c r="B15312" s="17" t="s">
        <v>477</v>
      </c>
      <c r="K15312" s="18" t="s">
        <v>477</v>
      </c>
    </row>
    <row r="15313">
      <c r="B15313" s="17" t="s">
        <v>477</v>
      </c>
      <c r="K15313" s="18" t="s">
        <v>477</v>
      </c>
    </row>
    <row r="15314">
      <c r="B15314" s="17" t="s">
        <v>477</v>
      </c>
      <c r="K15314" s="18" t="s">
        <v>477</v>
      </c>
    </row>
    <row r="15315">
      <c r="B15315" s="17" t="s">
        <v>477</v>
      </c>
      <c r="K15315" s="18" t="s">
        <v>477</v>
      </c>
    </row>
    <row r="15316">
      <c r="B15316" s="17" t="s">
        <v>477</v>
      </c>
      <c r="K15316" s="18" t="s">
        <v>477</v>
      </c>
    </row>
    <row r="15317">
      <c r="B15317" s="17" t="s">
        <v>477</v>
      </c>
      <c r="K15317" s="18" t="s">
        <v>477</v>
      </c>
    </row>
    <row r="15318">
      <c r="B15318" s="17" t="s">
        <v>477</v>
      </c>
      <c r="K15318" s="18" t="s">
        <v>477</v>
      </c>
    </row>
    <row r="15319">
      <c r="B15319" s="17" t="s">
        <v>477</v>
      </c>
      <c r="K15319" s="18" t="s">
        <v>477</v>
      </c>
    </row>
    <row r="15320">
      <c r="B15320" s="17" t="s">
        <v>477</v>
      </c>
      <c r="K15320" s="18" t="s">
        <v>477</v>
      </c>
    </row>
    <row r="15321">
      <c r="B15321" s="17" t="s">
        <v>477</v>
      </c>
      <c r="K15321" s="18" t="s">
        <v>477</v>
      </c>
    </row>
    <row r="15322">
      <c r="B15322" s="17" t="s">
        <v>477</v>
      </c>
      <c r="K15322" s="18" t="s">
        <v>477</v>
      </c>
    </row>
    <row r="15323">
      <c r="B15323" s="17" t="s">
        <v>477</v>
      </c>
      <c r="K15323" s="18" t="s">
        <v>477</v>
      </c>
    </row>
    <row r="15324">
      <c r="B15324" s="17" t="s">
        <v>477</v>
      </c>
      <c r="K15324" s="18" t="s">
        <v>477</v>
      </c>
    </row>
    <row r="15325">
      <c r="B15325" s="17" t="s">
        <v>477</v>
      </c>
      <c r="K15325" s="18" t="s">
        <v>477</v>
      </c>
    </row>
    <row r="15326">
      <c r="B15326" s="17" t="s">
        <v>477</v>
      </c>
      <c r="K15326" s="18" t="s">
        <v>477</v>
      </c>
    </row>
    <row r="15327">
      <c r="B15327" s="17" t="s">
        <v>477</v>
      </c>
      <c r="K15327" s="18" t="s">
        <v>477</v>
      </c>
    </row>
    <row r="15328">
      <c r="B15328" s="17" t="s">
        <v>477</v>
      </c>
      <c r="K15328" s="18" t="s">
        <v>477</v>
      </c>
    </row>
    <row r="15329">
      <c r="B15329" s="17" t="s">
        <v>477</v>
      </c>
      <c r="K15329" s="18" t="s">
        <v>477</v>
      </c>
    </row>
    <row r="15330">
      <c r="B15330" s="17" t="s">
        <v>477</v>
      </c>
      <c r="K15330" s="18" t="s">
        <v>477</v>
      </c>
    </row>
    <row r="15331">
      <c r="B15331" s="17" t="s">
        <v>477</v>
      </c>
      <c r="K15331" s="18" t="s">
        <v>477</v>
      </c>
    </row>
    <row r="15332">
      <c r="B15332" s="17" t="s">
        <v>477</v>
      </c>
      <c r="K15332" s="18" t="s">
        <v>477</v>
      </c>
    </row>
    <row r="15333">
      <c r="B15333" s="17" t="s">
        <v>477</v>
      </c>
      <c r="K15333" s="18" t="s">
        <v>477</v>
      </c>
    </row>
    <row r="15334">
      <c r="B15334" s="17" t="s">
        <v>477</v>
      </c>
      <c r="K15334" s="18" t="s">
        <v>477</v>
      </c>
    </row>
    <row r="15335">
      <c r="B15335" s="17" t="s">
        <v>477</v>
      </c>
      <c r="K15335" s="18" t="s">
        <v>477</v>
      </c>
    </row>
    <row r="15336">
      <c r="B15336" s="17" t="s">
        <v>477</v>
      </c>
      <c r="K15336" s="18" t="s">
        <v>477</v>
      </c>
    </row>
    <row r="15337">
      <c r="B15337" s="17" t="s">
        <v>477</v>
      </c>
      <c r="K15337" s="18" t="s">
        <v>477</v>
      </c>
    </row>
    <row r="15338">
      <c r="B15338" s="17" t="s">
        <v>477</v>
      </c>
      <c r="K15338" s="18" t="s">
        <v>477</v>
      </c>
    </row>
    <row r="15339">
      <c r="B15339" s="17" t="s">
        <v>477</v>
      </c>
      <c r="K15339" s="18" t="s">
        <v>477</v>
      </c>
    </row>
    <row r="15340">
      <c r="B15340" s="17" t="s">
        <v>477</v>
      </c>
      <c r="K15340" s="18" t="s">
        <v>477</v>
      </c>
    </row>
    <row r="15341">
      <c r="B15341" s="17" t="s">
        <v>477</v>
      </c>
      <c r="K15341" s="18" t="s">
        <v>477</v>
      </c>
    </row>
    <row r="15342">
      <c r="B15342" s="17" t="s">
        <v>477</v>
      </c>
      <c r="K15342" s="18" t="s">
        <v>477</v>
      </c>
    </row>
    <row r="15343">
      <c r="B15343" s="17" t="s">
        <v>477</v>
      </c>
      <c r="K15343" s="18" t="s">
        <v>477</v>
      </c>
    </row>
    <row r="15344">
      <c r="B15344" s="17" t="s">
        <v>477</v>
      </c>
      <c r="K15344" s="18" t="s">
        <v>477</v>
      </c>
    </row>
    <row r="15345">
      <c r="B15345" s="17" t="s">
        <v>477</v>
      </c>
      <c r="K15345" s="18" t="s">
        <v>477</v>
      </c>
    </row>
    <row r="15346">
      <c r="B15346" s="17" t="s">
        <v>477</v>
      </c>
      <c r="K15346" s="18" t="s">
        <v>477</v>
      </c>
    </row>
    <row r="15347">
      <c r="B15347" s="17" t="s">
        <v>477</v>
      </c>
      <c r="K15347" s="18" t="s">
        <v>477</v>
      </c>
    </row>
    <row r="15348">
      <c r="B15348" s="17" t="s">
        <v>477</v>
      </c>
      <c r="K15348" s="18" t="s">
        <v>477</v>
      </c>
    </row>
    <row r="15349">
      <c r="B15349" s="17" t="s">
        <v>477</v>
      </c>
      <c r="K15349" s="18" t="s">
        <v>477</v>
      </c>
    </row>
    <row r="15350">
      <c r="B15350" s="17" t="s">
        <v>477</v>
      </c>
      <c r="K15350" s="18" t="s">
        <v>477</v>
      </c>
    </row>
    <row r="15351">
      <c r="B15351" s="17" t="s">
        <v>477</v>
      </c>
      <c r="K15351" s="18" t="s">
        <v>477</v>
      </c>
    </row>
    <row r="15352">
      <c r="B15352" s="17" t="s">
        <v>477</v>
      </c>
      <c r="K15352" s="18" t="s">
        <v>477</v>
      </c>
    </row>
    <row r="15353">
      <c r="B15353" s="17" t="s">
        <v>477</v>
      </c>
      <c r="K15353" s="18" t="s">
        <v>477</v>
      </c>
    </row>
    <row r="15354">
      <c r="B15354" s="17" t="s">
        <v>477</v>
      </c>
      <c r="K15354" s="18" t="s">
        <v>477</v>
      </c>
    </row>
    <row r="15355">
      <c r="B15355" s="17" t="s">
        <v>477</v>
      </c>
      <c r="K15355" s="18" t="s">
        <v>477</v>
      </c>
    </row>
    <row r="15356">
      <c r="B15356" s="17" t="s">
        <v>477</v>
      </c>
      <c r="K15356" s="18" t="s">
        <v>477</v>
      </c>
    </row>
    <row r="15357">
      <c r="B15357" s="17" t="s">
        <v>477</v>
      </c>
      <c r="K15357" s="18" t="s">
        <v>477</v>
      </c>
    </row>
    <row r="15358">
      <c r="B15358" s="17" t="s">
        <v>477</v>
      </c>
      <c r="K15358" s="18" t="s">
        <v>477</v>
      </c>
    </row>
    <row r="15359">
      <c r="B15359" s="17" t="s">
        <v>477</v>
      </c>
      <c r="K15359" s="18" t="s">
        <v>477</v>
      </c>
    </row>
    <row r="15360">
      <c r="B15360" s="17" t="s">
        <v>477</v>
      </c>
      <c r="K15360" s="18" t="s">
        <v>477</v>
      </c>
    </row>
    <row r="15361">
      <c r="B15361" s="17" t="s">
        <v>477</v>
      </c>
      <c r="K15361" s="18" t="s">
        <v>477</v>
      </c>
    </row>
    <row r="15362">
      <c r="B15362" s="17" t="s">
        <v>477</v>
      </c>
      <c r="K15362" s="18" t="s">
        <v>477</v>
      </c>
    </row>
    <row r="15363">
      <c r="B15363" s="17" t="s">
        <v>477</v>
      </c>
      <c r="K15363" s="18" t="s">
        <v>477</v>
      </c>
    </row>
    <row r="15364">
      <c r="B15364" s="17" t="s">
        <v>477</v>
      </c>
      <c r="K15364" s="18" t="s">
        <v>477</v>
      </c>
    </row>
    <row r="15365">
      <c r="B15365" s="17" t="s">
        <v>477</v>
      </c>
      <c r="K15365" s="18" t="s">
        <v>477</v>
      </c>
    </row>
    <row r="15366">
      <c r="B15366" s="17" t="s">
        <v>477</v>
      </c>
      <c r="K15366" s="18" t="s">
        <v>477</v>
      </c>
    </row>
    <row r="15367">
      <c r="B15367" s="17" t="s">
        <v>477</v>
      </c>
      <c r="K15367" s="18" t="s">
        <v>477</v>
      </c>
    </row>
    <row r="15368">
      <c r="B15368" s="17" t="s">
        <v>477</v>
      </c>
      <c r="K15368" s="18" t="s">
        <v>477</v>
      </c>
    </row>
    <row r="15369">
      <c r="B15369" s="17" t="s">
        <v>477</v>
      </c>
      <c r="K15369" s="18" t="s">
        <v>477</v>
      </c>
    </row>
    <row r="15370">
      <c r="B15370" s="17" t="s">
        <v>477</v>
      </c>
      <c r="K15370" s="18" t="s">
        <v>477</v>
      </c>
    </row>
    <row r="15371">
      <c r="B15371" s="17" t="s">
        <v>477</v>
      </c>
      <c r="K15371" s="18" t="s">
        <v>477</v>
      </c>
    </row>
    <row r="15372">
      <c r="B15372" s="17" t="s">
        <v>477</v>
      </c>
      <c r="K15372" s="18" t="s">
        <v>477</v>
      </c>
    </row>
    <row r="15373">
      <c r="B15373" s="17" t="s">
        <v>477</v>
      </c>
      <c r="K15373" s="18" t="s">
        <v>477</v>
      </c>
    </row>
    <row r="15374">
      <c r="B15374" s="17" t="s">
        <v>477</v>
      </c>
      <c r="K15374" s="18" t="s">
        <v>477</v>
      </c>
    </row>
    <row r="15375">
      <c r="B15375" s="17" t="s">
        <v>477</v>
      </c>
      <c r="K15375" s="18" t="s">
        <v>477</v>
      </c>
    </row>
    <row r="15376">
      <c r="B15376" s="17" t="s">
        <v>477</v>
      </c>
      <c r="K15376" s="18" t="s">
        <v>477</v>
      </c>
    </row>
    <row r="15377">
      <c r="B15377" s="17" t="s">
        <v>477</v>
      </c>
      <c r="K15377" s="18" t="s">
        <v>477</v>
      </c>
    </row>
    <row r="15378">
      <c r="B15378" s="17" t="s">
        <v>477</v>
      </c>
      <c r="K15378" s="18" t="s">
        <v>477</v>
      </c>
    </row>
    <row r="15379">
      <c r="B15379" s="17" t="s">
        <v>477</v>
      </c>
      <c r="K15379" s="18" t="s">
        <v>477</v>
      </c>
    </row>
    <row r="15380">
      <c r="B15380" s="17" t="s">
        <v>477</v>
      </c>
      <c r="K15380" s="18" t="s">
        <v>477</v>
      </c>
    </row>
    <row r="15381">
      <c r="B15381" s="17" t="s">
        <v>477</v>
      </c>
      <c r="K15381" s="18" t="s">
        <v>477</v>
      </c>
    </row>
    <row r="15382">
      <c r="B15382" s="17" t="s">
        <v>477</v>
      </c>
      <c r="K15382" s="18" t="s">
        <v>477</v>
      </c>
    </row>
    <row r="15383">
      <c r="B15383" s="17" t="s">
        <v>477</v>
      </c>
      <c r="K15383" s="18" t="s">
        <v>477</v>
      </c>
    </row>
    <row r="15384">
      <c r="B15384" s="17" t="s">
        <v>477</v>
      </c>
      <c r="K15384" s="18" t="s">
        <v>477</v>
      </c>
    </row>
    <row r="15385">
      <c r="B15385" s="17" t="s">
        <v>477</v>
      </c>
      <c r="K15385" s="18" t="s">
        <v>477</v>
      </c>
    </row>
    <row r="15386">
      <c r="B15386" s="17" t="s">
        <v>477</v>
      </c>
      <c r="K15386" s="18" t="s">
        <v>477</v>
      </c>
    </row>
    <row r="15387">
      <c r="B15387" s="17" t="s">
        <v>477</v>
      </c>
      <c r="K15387" s="18" t="s">
        <v>477</v>
      </c>
    </row>
    <row r="15388">
      <c r="B15388" s="17" t="s">
        <v>477</v>
      </c>
      <c r="K15388" s="18" t="s">
        <v>477</v>
      </c>
    </row>
    <row r="15389">
      <c r="B15389" s="17" t="s">
        <v>477</v>
      </c>
      <c r="K15389" s="18" t="s">
        <v>477</v>
      </c>
    </row>
    <row r="15390">
      <c r="B15390" s="17" t="s">
        <v>477</v>
      </c>
      <c r="K15390" s="18" t="s">
        <v>477</v>
      </c>
    </row>
    <row r="15391">
      <c r="B15391" s="17" t="s">
        <v>477</v>
      </c>
      <c r="K15391" s="18" t="s">
        <v>477</v>
      </c>
    </row>
    <row r="15392">
      <c r="B15392" s="17" t="s">
        <v>477</v>
      </c>
      <c r="K15392" s="18" t="s">
        <v>477</v>
      </c>
    </row>
    <row r="15393">
      <c r="B15393" s="17" t="s">
        <v>477</v>
      </c>
      <c r="K15393" s="18" t="s">
        <v>477</v>
      </c>
    </row>
    <row r="15394">
      <c r="B15394" s="17" t="s">
        <v>477</v>
      </c>
      <c r="K15394" s="18" t="s">
        <v>477</v>
      </c>
    </row>
    <row r="15395">
      <c r="B15395" s="17" t="s">
        <v>477</v>
      </c>
      <c r="K15395" s="18" t="s">
        <v>477</v>
      </c>
    </row>
    <row r="15396">
      <c r="B15396" s="17" t="s">
        <v>477</v>
      </c>
      <c r="K15396" s="18" t="s">
        <v>477</v>
      </c>
    </row>
    <row r="15397">
      <c r="B15397" s="17" t="s">
        <v>477</v>
      </c>
      <c r="K15397" s="18" t="s">
        <v>477</v>
      </c>
    </row>
    <row r="15398">
      <c r="B15398" s="17" t="s">
        <v>477</v>
      </c>
      <c r="K15398" s="18" t="s">
        <v>477</v>
      </c>
    </row>
    <row r="15399">
      <c r="B15399" s="17" t="s">
        <v>477</v>
      </c>
      <c r="K15399" s="18" t="s">
        <v>477</v>
      </c>
    </row>
    <row r="15400">
      <c r="B15400" s="17" t="s">
        <v>477</v>
      </c>
      <c r="K15400" s="18" t="s">
        <v>477</v>
      </c>
    </row>
    <row r="15401">
      <c r="B15401" s="17" t="s">
        <v>477</v>
      </c>
      <c r="K15401" s="18" t="s">
        <v>477</v>
      </c>
    </row>
    <row r="15402">
      <c r="B15402" s="17" t="s">
        <v>477</v>
      </c>
      <c r="K15402" s="18" t="s">
        <v>477</v>
      </c>
    </row>
    <row r="15403">
      <c r="B15403" s="17" t="s">
        <v>477</v>
      </c>
      <c r="K15403" s="18" t="s">
        <v>477</v>
      </c>
    </row>
    <row r="15404">
      <c r="B15404" s="17" t="s">
        <v>477</v>
      </c>
      <c r="K15404" s="18" t="s">
        <v>477</v>
      </c>
    </row>
    <row r="15405">
      <c r="B15405" s="17" t="s">
        <v>477</v>
      </c>
      <c r="K15405" s="18" t="s">
        <v>477</v>
      </c>
    </row>
    <row r="15406">
      <c r="B15406" s="17" t="s">
        <v>477</v>
      </c>
      <c r="K15406" s="18" t="s">
        <v>477</v>
      </c>
    </row>
    <row r="15407">
      <c r="B15407" s="17" t="s">
        <v>477</v>
      </c>
      <c r="K15407" s="18" t="s">
        <v>477</v>
      </c>
    </row>
    <row r="15408">
      <c r="B15408" s="17" t="s">
        <v>477</v>
      </c>
      <c r="K15408" s="18" t="s">
        <v>477</v>
      </c>
    </row>
    <row r="15409">
      <c r="B15409" s="17" t="s">
        <v>477</v>
      </c>
      <c r="K15409" s="18" t="s">
        <v>477</v>
      </c>
    </row>
    <row r="15410">
      <c r="B15410" s="17" t="s">
        <v>477</v>
      </c>
      <c r="K15410" s="18" t="s">
        <v>477</v>
      </c>
    </row>
    <row r="15411">
      <c r="B15411" s="17" t="s">
        <v>477</v>
      </c>
      <c r="K15411" s="18" t="s">
        <v>477</v>
      </c>
    </row>
    <row r="15412">
      <c r="B15412" s="17" t="s">
        <v>477</v>
      </c>
      <c r="K15412" s="18" t="s">
        <v>477</v>
      </c>
    </row>
    <row r="15413">
      <c r="B15413" s="17" t="s">
        <v>477</v>
      </c>
      <c r="K15413" s="18" t="s">
        <v>477</v>
      </c>
    </row>
    <row r="15414">
      <c r="B15414" s="17" t="s">
        <v>477</v>
      </c>
      <c r="K15414" s="18" t="s">
        <v>477</v>
      </c>
    </row>
    <row r="15415">
      <c r="B15415" s="17" t="s">
        <v>477</v>
      </c>
      <c r="K15415" s="18" t="s">
        <v>477</v>
      </c>
    </row>
    <row r="15416">
      <c r="B15416" s="17" t="s">
        <v>477</v>
      </c>
      <c r="K15416" s="18" t="s">
        <v>477</v>
      </c>
    </row>
    <row r="15417">
      <c r="B15417" s="17" t="s">
        <v>477</v>
      </c>
      <c r="K15417" s="18" t="s">
        <v>477</v>
      </c>
    </row>
    <row r="15418">
      <c r="B15418" s="17" t="s">
        <v>477</v>
      </c>
      <c r="K15418" s="18" t="s">
        <v>477</v>
      </c>
    </row>
    <row r="15419">
      <c r="B15419" s="17" t="s">
        <v>477</v>
      </c>
      <c r="K15419" s="18" t="s">
        <v>477</v>
      </c>
    </row>
    <row r="15420">
      <c r="B15420" s="17" t="s">
        <v>477</v>
      </c>
      <c r="K15420" s="18" t="s">
        <v>477</v>
      </c>
    </row>
    <row r="15421">
      <c r="B15421" s="17" t="s">
        <v>477</v>
      </c>
      <c r="K15421" s="18" t="s">
        <v>477</v>
      </c>
    </row>
    <row r="15422">
      <c r="B15422" s="17" t="s">
        <v>477</v>
      </c>
      <c r="K15422" s="18" t="s">
        <v>477</v>
      </c>
    </row>
    <row r="15423">
      <c r="B15423" s="17" t="s">
        <v>477</v>
      </c>
      <c r="K15423" s="18" t="s">
        <v>477</v>
      </c>
    </row>
    <row r="15424">
      <c r="B15424" s="17" t="s">
        <v>477</v>
      </c>
      <c r="K15424" s="18" t="s">
        <v>477</v>
      </c>
    </row>
    <row r="15425">
      <c r="B15425" s="17" t="s">
        <v>477</v>
      </c>
      <c r="K15425" s="18" t="s">
        <v>477</v>
      </c>
    </row>
    <row r="15426">
      <c r="B15426" s="17" t="s">
        <v>477</v>
      </c>
      <c r="K15426" s="18" t="s">
        <v>477</v>
      </c>
    </row>
    <row r="15427">
      <c r="B15427" s="17" t="s">
        <v>477</v>
      </c>
      <c r="K15427" s="18" t="s">
        <v>477</v>
      </c>
    </row>
    <row r="15428">
      <c r="B15428" s="17" t="s">
        <v>477</v>
      </c>
      <c r="K15428" s="18" t="s">
        <v>477</v>
      </c>
    </row>
    <row r="15429">
      <c r="B15429" s="17" t="s">
        <v>477</v>
      </c>
      <c r="K15429" s="18" t="s">
        <v>477</v>
      </c>
    </row>
    <row r="15430">
      <c r="B15430" s="17" t="s">
        <v>477</v>
      </c>
      <c r="K15430" s="18" t="s">
        <v>477</v>
      </c>
    </row>
    <row r="15431">
      <c r="B15431" s="17" t="s">
        <v>477</v>
      </c>
      <c r="K15431" s="18" t="s">
        <v>477</v>
      </c>
    </row>
    <row r="15432">
      <c r="B15432" s="17" t="s">
        <v>477</v>
      </c>
      <c r="K15432" s="18" t="s">
        <v>477</v>
      </c>
    </row>
    <row r="15433">
      <c r="B15433" s="17" t="s">
        <v>477</v>
      </c>
      <c r="K15433" s="18" t="s">
        <v>477</v>
      </c>
    </row>
    <row r="15434">
      <c r="B15434" s="17" t="s">
        <v>477</v>
      </c>
      <c r="K15434" s="18" t="s">
        <v>477</v>
      </c>
    </row>
    <row r="15435">
      <c r="B15435" s="17" t="s">
        <v>477</v>
      </c>
      <c r="K15435" s="18" t="s">
        <v>477</v>
      </c>
    </row>
    <row r="15436">
      <c r="B15436" s="17" t="s">
        <v>477</v>
      </c>
      <c r="K15436" s="18" t="s">
        <v>477</v>
      </c>
    </row>
    <row r="15437">
      <c r="B15437" s="17" t="s">
        <v>477</v>
      </c>
      <c r="K15437" s="18" t="s">
        <v>477</v>
      </c>
    </row>
    <row r="15438">
      <c r="B15438" s="17" t="s">
        <v>477</v>
      </c>
      <c r="K15438" s="18" t="s">
        <v>477</v>
      </c>
    </row>
    <row r="15439">
      <c r="B15439" s="17" t="s">
        <v>477</v>
      </c>
      <c r="K15439" s="18" t="s">
        <v>477</v>
      </c>
    </row>
    <row r="15440">
      <c r="B15440" s="17" t="s">
        <v>477</v>
      </c>
      <c r="K15440" s="18" t="s">
        <v>477</v>
      </c>
    </row>
    <row r="15441">
      <c r="B15441" s="17" t="s">
        <v>477</v>
      </c>
      <c r="K15441" s="18" t="s">
        <v>477</v>
      </c>
    </row>
    <row r="15442">
      <c r="B15442" s="17" t="s">
        <v>477</v>
      </c>
      <c r="K15442" s="18" t="s">
        <v>477</v>
      </c>
    </row>
    <row r="15443">
      <c r="B15443" s="17" t="s">
        <v>477</v>
      </c>
      <c r="K15443" s="18" t="s">
        <v>477</v>
      </c>
    </row>
    <row r="15444">
      <c r="B15444" s="17" t="s">
        <v>477</v>
      </c>
      <c r="K15444" s="18" t="s">
        <v>477</v>
      </c>
    </row>
    <row r="15445">
      <c r="B15445" s="17" t="s">
        <v>477</v>
      </c>
      <c r="K15445" s="18" t="s">
        <v>477</v>
      </c>
    </row>
    <row r="15446">
      <c r="B15446" s="17" t="s">
        <v>477</v>
      </c>
      <c r="K15446" s="18" t="s">
        <v>477</v>
      </c>
    </row>
    <row r="15447">
      <c r="B15447" s="17" t="s">
        <v>477</v>
      </c>
      <c r="K15447" s="18" t="s">
        <v>477</v>
      </c>
    </row>
    <row r="15448">
      <c r="B15448" s="17" t="s">
        <v>477</v>
      </c>
      <c r="K15448" s="18" t="s">
        <v>477</v>
      </c>
    </row>
    <row r="15449">
      <c r="B15449" s="17" t="s">
        <v>477</v>
      </c>
      <c r="K15449" s="18" t="s">
        <v>477</v>
      </c>
    </row>
    <row r="15450">
      <c r="B15450" s="17" t="s">
        <v>477</v>
      </c>
      <c r="K15450" s="18" t="s">
        <v>477</v>
      </c>
    </row>
    <row r="15451">
      <c r="B15451" s="17" t="s">
        <v>477</v>
      </c>
      <c r="K15451" s="18" t="s">
        <v>477</v>
      </c>
    </row>
    <row r="15452">
      <c r="B15452" s="17" t="s">
        <v>477</v>
      </c>
      <c r="K15452" s="18" t="s">
        <v>477</v>
      </c>
    </row>
    <row r="15453">
      <c r="B15453" s="17" t="s">
        <v>477</v>
      </c>
      <c r="K15453" s="18" t="s">
        <v>477</v>
      </c>
    </row>
    <row r="15454">
      <c r="B15454" s="17" t="s">
        <v>477</v>
      </c>
      <c r="K15454" s="18" t="s">
        <v>477</v>
      </c>
    </row>
    <row r="15455">
      <c r="B15455" s="17" t="s">
        <v>477</v>
      </c>
      <c r="K15455" s="18" t="s">
        <v>477</v>
      </c>
    </row>
    <row r="15456">
      <c r="B15456" s="17" t="s">
        <v>477</v>
      </c>
      <c r="K15456" s="18" t="s">
        <v>477</v>
      </c>
    </row>
    <row r="15457">
      <c r="B15457" s="17" t="s">
        <v>477</v>
      </c>
      <c r="K15457" s="18" t="s">
        <v>477</v>
      </c>
    </row>
    <row r="15458">
      <c r="B15458" s="17" t="s">
        <v>477</v>
      </c>
      <c r="K15458" s="18" t="s">
        <v>477</v>
      </c>
    </row>
    <row r="15459">
      <c r="B15459" s="17" t="s">
        <v>477</v>
      </c>
      <c r="K15459" s="18" t="s">
        <v>477</v>
      </c>
    </row>
    <row r="15460">
      <c r="B15460" s="17" t="s">
        <v>477</v>
      </c>
      <c r="K15460" s="18" t="s">
        <v>477</v>
      </c>
    </row>
    <row r="15461">
      <c r="B15461" s="17" t="s">
        <v>477</v>
      </c>
      <c r="K15461" s="18" t="s">
        <v>477</v>
      </c>
    </row>
    <row r="15462">
      <c r="B15462" s="17" t="s">
        <v>477</v>
      </c>
      <c r="K15462" s="18" t="s">
        <v>477</v>
      </c>
    </row>
    <row r="15463">
      <c r="B15463" s="17" t="s">
        <v>477</v>
      </c>
      <c r="K15463" s="18" t="s">
        <v>477</v>
      </c>
    </row>
    <row r="15464">
      <c r="B15464" s="17" t="s">
        <v>477</v>
      </c>
      <c r="K15464" s="18" t="s">
        <v>477</v>
      </c>
    </row>
    <row r="15465">
      <c r="B15465" s="17" t="s">
        <v>477</v>
      </c>
      <c r="K15465" s="18" t="s">
        <v>477</v>
      </c>
    </row>
    <row r="15466">
      <c r="B15466" s="17" t="s">
        <v>477</v>
      </c>
      <c r="K15466" s="18" t="s">
        <v>477</v>
      </c>
    </row>
    <row r="15467">
      <c r="B15467" s="17" t="s">
        <v>477</v>
      </c>
      <c r="K15467" s="18" t="s">
        <v>477</v>
      </c>
    </row>
    <row r="15468">
      <c r="B15468" s="17" t="s">
        <v>477</v>
      </c>
      <c r="K15468" s="18" t="s">
        <v>477</v>
      </c>
    </row>
    <row r="15469">
      <c r="B15469" s="17" t="s">
        <v>477</v>
      </c>
      <c r="K15469" s="18" t="s">
        <v>477</v>
      </c>
    </row>
    <row r="15470">
      <c r="B15470" s="17" t="s">
        <v>477</v>
      </c>
      <c r="K15470" s="18" t="s">
        <v>477</v>
      </c>
    </row>
    <row r="15471">
      <c r="B15471" s="17" t="s">
        <v>477</v>
      </c>
      <c r="K15471" s="18" t="s">
        <v>477</v>
      </c>
    </row>
    <row r="15472">
      <c r="B15472" s="17" t="s">
        <v>477</v>
      </c>
      <c r="K15472" s="18" t="s">
        <v>477</v>
      </c>
    </row>
    <row r="15473">
      <c r="B15473" s="17" t="s">
        <v>477</v>
      </c>
      <c r="K15473" s="18" t="s">
        <v>477</v>
      </c>
    </row>
    <row r="15474">
      <c r="B15474" s="17" t="s">
        <v>477</v>
      </c>
      <c r="K15474" s="18" t="s">
        <v>477</v>
      </c>
    </row>
    <row r="15475">
      <c r="B15475" s="17" t="s">
        <v>477</v>
      </c>
      <c r="K15475" s="18" t="s">
        <v>477</v>
      </c>
    </row>
    <row r="15476">
      <c r="B15476" s="17" t="s">
        <v>477</v>
      </c>
      <c r="K15476" s="18" t="s">
        <v>477</v>
      </c>
    </row>
    <row r="15477">
      <c r="B15477" s="17" t="s">
        <v>477</v>
      </c>
      <c r="K15477" s="18" t="s">
        <v>477</v>
      </c>
    </row>
    <row r="15478">
      <c r="B15478" s="17" t="s">
        <v>477</v>
      </c>
      <c r="K15478" s="18" t="s">
        <v>477</v>
      </c>
    </row>
    <row r="15479">
      <c r="B15479" s="17" t="s">
        <v>477</v>
      </c>
      <c r="K15479" s="18" t="s">
        <v>477</v>
      </c>
    </row>
    <row r="15480">
      <c r="B15480" s="17" t="s">
        <v>477</v>
      </c>
      <c r="K15480" s="18" t="s">
        <v>477</v>
      </c>
    </row>
    <row r="15481">
      <c r="B15481" s="17" t="s">
        <v>477</v>
      </c>
      <c r="K15481" s="18" t="s">
        <v>477</v>
      </c>
    </row>
    <row r="15482">
      <c r="B15482" s="17" t="s">
        <v>477</v>
      </c>
      <c r="K15482" s="18" t="s">
        <v>477</v>
      </c>
    </row>
    <row r="15483">
      <c r="B15483" s="17" t="s">
        <v>477</v>
      </c>
      <c r="K15483" s="18" t="s">
        <v>477</v>
      </c>
    </row>
    <row r="15484">
      <c r="B15484" s="17" t="s">
        <v>477</v>
      </c>
      <c r="K15484" s="18" t="s">
        <v>477</v>
      </c>
    </row>
    <row r="15485">
      <c r="B15485" s="17" t="s">
        <v>477</v>
      </c>
      <c r="K15485" s="18" t="s">
        <v>477</v>
      </c>
    </row>
    <row r="15486">
      <c r="B15486" s="17" t="s">
        <v>477</v>
      </c>
      <c r="K15486" s="18" t="s">
        <v>477</v>
      </c>
    </row>
    <row r="15487">
      <c r="B15487" s="17" t="s">
        <v>477</v>
      </c>
      <c r="K15487" s="18" t="s">
        <v>477</v>
      </c>
    </row>
    <row r="15488">
      <c r="B15488" s="17" t="s">
        <v>477</v>
      </c>
      <c r="K15488" s="18" t="s">
        <v>477</v>
      </c>
    </row>
    <row r="15489">
      <c r="B15489" s="17" t="s">
        <v>477</v>
      </c>
      <c r="K15489" s="18" t="s">
        <v>477</v>
      </c>
    </row>
    <row r="15490">
      <c r="B15490" s="17" t="s">
        <v>477</v>
      </c>
      <c r="K15490" s="18" t="s">
        <v>477</v>
      </c>
    </row>
    <row r="15491">
      <c r="B15491" s="17" t="s">
        <v>477</v>
      </c>
      <c r="K15491" s="18" t="s">
        <v>477</v>
      </c>
    </row>
    <row r="15492">
      <c r="B15492" s="17" t="s">
        <v>477</v>
      </c>
      <c r="K15492" s="18" t="s">
        <v>477</v>
      </c>
    </row>
    <row r="15493">
      <c r="B15493" s="17" t="s">
        <v>477</v>
      </c>
      <c r="K15493" s="18" t="s">
        <v>477</v>
      </c>
    </row>
    <row r="15494">
      <c r="B15494" s="17" t="s">
        <v>477</v>
      </c>
      <c r="K15494" s="18" t="s">
        <v>477</v>
      </c>
    </row>
    <row r="15495">
      <c r="B15495" s="17" t="s">
        <v>477</v>
      </c>
      <c r="K15495" s="18" t="s">
        <v>477</v>
      </c>
    </row>
    <row r="15496">
      <c r="B15496" s="17" t="s">
        <v>477</v>
      </c>
      <c r="K15496" s="18" t="s">
        <v>477</v>
      </c>
    </row>
    <row r="15497">
      <c r="B15497" s="17" t="s">
        <v>477</v>
      </c>
      <c r="K15497" s="18" t="s">
        <v>477</v>
      </c>
    </row>
    <row r="15498">
      <c r="B15498" s="17" t="s">
        <v>477</v>
      </c>
      <c r="K15498" s="18" t="s">
        <v>477</v>
      </c>
    </row>
    <row r="15499">
      <c r="B15499" s="17" t="s">
        <v>477</v>
      </c>
      <c r="K15499" s="18" t="s">
        <v>477</v>
      </c>
    </row>
    <row r="15500">
      <c r="B15500" s="17" t="s">
        <v>477</v>
      </c>
      <c r="K15500" s="18" t="s">
        <v>477</v>
      </c>
    </row>
    <row r="15501">
      <c r="B15501" s="17" t="s">
        <v>477</v>
      </c>
      <c r="K15501" s="18" t="s">
        <v>477</v>
      </c>
    </row>
    <row r="15502">
      <c r="B15502" s="17" t="s">
        <v>477</v>
      </c>
      <c r="K15502" s="18" t="s">
        <v>477</v>
      </c>
    </row>
    <row r="15503">
      <c r="B15503" s="17" t="s">
        <v>477</v>
      </c>
      <c r="K15503" s="18" t="s">
        <v>477</v>
      </c>
    </row>
    <row r="15504">
      <c r="B15504" s="17" t="s">
        <v>477</v>
      </c>
      <c r="K15504" s="18" t="s">
        <v>477</v>
      </c>
    </row>
    <row r="15505">
      <c r="B15505" s="17" t="s">
        <v>477</v>
      </c>
      <c r="K15505" s="18" t="s">
        <v>477</v>
      </c>
    </row>
    <row r="15506">
      <c r="B15506" s="17" t="s">
        <v>477</v>
      </c>
      <c r="K15506" s="18" t="s">
        <v>477</v>
      </c>
    </row>
    <row r="15507">
      <c r="B15507" s="17" t="s">
        <v>477</v>
      </c>
      <c r="K15507" s="18" t="s">
        <v>477</v>
      </c>
    </row>
    <row r="15508">
      <c r="B15508" s="17" t="s">
        <v>477</v>
      </c>
      <c r="K15508" s="18" t="s">
        <v>477</v>
      </c>
    </row>
    <row r="15509">
      <c r="B15509" s="17" t="s">
        <v>477</v>
      </c>
      <c r="K15509" s="18" t="s">
        <v>477</v>
      </c>
    </row>
    <row r="15510">
      <c r="B15510" s="17" t="s">
        <v>477</v>
      </c>
      <c r="K15510" s="18" t="s">
        <v>477</v>
      </c>
    </row>
    <row r="15511">
      <c r="B15511" s="17" t="s">
        <v>477</v>
      </c>
      <c r="K15511" s="18" t="s">
        <v>477</v>
      </c>
    </row>
    <row r="15512">
      <c r="B15512" s="17" t="s">
        <v>477</v>
      </c>
      <c r="K15512" s="18" t="s">
        <v>477</v>
      </c>
    </row>
    <row r="15513">
      <c r="B15513" s="17" t="s">
        <v>477</v>
      </c>
      <c r="K15513" s="18" t="s">
        <v>477</v>
      </c>
    </row>
    <row r="15514">
      <c r="B15514" s="17" t="s">
        <v>477</v>
      </c>
      <c r="K15514" s="18" t="s">
        <v>477</v>
      </c>
    </row>
    <row r="15515">
      <c r="B15515" s="17" t="s">
        <v>477</v>
      </c>
      <c r="K15515" s="18" t="s">
        <v>477</v>
      </c>
    </row>
    <row r="15516">
      <c r="B15516" s="17" t="s">
        <v>477</v>
      </c>
      <c r="K15516" s="18" t="s">
        <v>477</v>
      </c>
    </row>
    <row r="15517">
      <c r="B15517" s="17" t="s">
        <v>477</v>
      </c>
      <c r="K15517" s="18" t="s">
        <v>477</v>
      </c>
    </row>
    <row r="15518">
      <c r="B15518" s="17" t="s">
        <v>477</v>
      </c>
      <c r="K15518" s="18" t="s">
        <v>477</v>
      </c>
    </row>
    <row r="15519">
      <c r="B15519" s="17" t="s">
        <v>477</v>
      </c>
      <c r="K15519" s="18" t="s">
        <v>477</v>
      </c>
    </row>
    <row r="15520">
      <c r="B15520" s="17" t="s">
        <v>477</v>
      </c>
      <c r="K15520" s="18" t="s">
        <v>477</v>
      </c>
    </row>
    <row r="15521">
      <c r="B15521" s="17" t="s">
        <v>477</v>
      </c>
      <c r="K15521" s="18" t="s">
        <v>477</v>
      </c>
    </row>
    <row r="15522">
      <c r="B15522" s="17" t="s">
        <v>477</v>
      </c>
      <c r="K15522" s="18" t="s">
        <v>477</v>
      </c>
    </row>
    <row r="15523">
      <c r="B15523" s="17" t="s">
        <v>477</v>
      </c>
      <c r="K15523" s="18" t="s">
        <v>477</v>
      </c>
    </row>
    <row r="15524">
      <c r="B15524" s="17" t="s">
        <v>477</v>
      </c>
      <c r="K15524" s="18" t="s">
        <v>477</v>
      </c>
    </row>
    <row r="15525">
      <c r="B15525" s="17" t="s">
        <v>477</v>
      </c>
      <c r="K15525" s="18" t="s">
        <v>477</v>
      </c>
    </row>
    <row r="15526">
      <c r="B15526" s="17" t="s">
        <v>477</v>
      </c>
      <c r="K15526" s="18" t="s">
        <v>477</v>
      </c>
    </row>
    <row r="15527">
      <c r="B15527" s="17" t="s">
        <v>477</v>
      </c>
      <c r="K15527" s="18" t="s">
        <v>477</v>
      </c>
    </row>
    <row r="15528">
      <c r="B15528" s="17" t="s">
        <v>477</v>
      </c>
      <c r="K15528" s="18" t="s">
        <v>477</v>
      </c>
    </row>
    <row r="15529">
      <c r="B15529" s="17" t="s">
        <v>477</v>
      </c>
      <c r="K15529" s="18" t="s">
        <v>477</v>
      </c>
    </row>
    <row r="15530">
      <c r="B15530" s="17" t="s">
        <v>477</v>
      </c>
      <c r="K15530" s="18" t="s">
        <v>477</v>
      </c>
    </row>
    <row r="15531">
      <c r="B15531" s="17" t="s">
        <v>477</v>
      </c>
      <c r="K15531" s="18" t="s">
        <v>477</v>
      </c>
    </row>
    <row r="15532">
      <c r="B15532" s="17" t="s">
        <v>477</v>
      </c>
      <c r="K15532" s="18" t="s">
        <v>477</v>
      </c>
    </row>
    <row r="15533">
      <c r="B15533" s="17" t="s">
        <v>477</v>
      </c>
      <c r="K15533" s="18" t="s">
        <v>477</v>
      </c>
    </row>
    <row r="15534">
      <c r="B15534" s="17" t="s">
        <v>477</v>
      </c>
      <c r="K15534" s="18" t="s">
        <v>477</v>
      </c>
    </row>
    <row r="15535">
      <c r="B15535" s="17" t="s">
        <v>477</v>
      </c>
      <c r="K15535" s="18" t="s">
        <v>477</v>
      </c>
    </row>
    <row r="15536">
      <c r="B15536" s="17" t="s">
        <v>477</v>
      </c>
      <c r="K15536" s="18" t="s">
        <v>477</v>
      </c>
    </row>
    <row r="15537">
      <c r="B15537" s="17" t="s">
        <v>477</v>
      </c>
      <c r="K15537" s="18" t="s">
        <v>477</v>
      </c>
    </row>
    <row r="15538">
      <c r="B15538" s="17" t="s">
        <v>477</v>
      </c>
      <c r="K15538" s="18" t="s">
        <v>477</v>
      </c>
    </row>
    <row r="15539">
      <c r="B15539" s="17" t="s">
        <v>477</v>
      </c>
      <c r="K15539" s="18" t="s">
        <v>477</v>
      </c>
    </row>
    <row r="15540">
      <c r="B15540" s="17" t="s">
        <v>477</v>
      </c>
      <c r="K15540" s="18" t="s">
        <v>477</v>
      </c>
    </row>
    <row r="15541">
      <c r="B15541" s="17" t="s">
        <v>477</v>
      </c>
      <c r="K15541" s="18" t="s">
        <v>477</v>
      </c>
    </row>
    <row r="15542">
      <c r="B15542" s="17" t="s">
        <v>477</v>
      </c>
      <c r="K15542" s="18" t="s">
        <v>477</v>
      </c>
    </row>
    <row r="15543">
      <c r="B15543" s="17" t="s">
        <v>477</v>
      </c>
      <c r="K15543" s="18" t="s">
        <v>477</v>
      </c>
    </row>
    <row r="15544">
      <c r="B15544" s="17" t="s">
        <v>477</v>
      </c>
      <c r="K15544" s="18" t="s">
        <v>477</v>
      </c>
    </row>
    <row r="15545">
      <c r="B15545" s="17" t="s">
        <v>477</v>
      </c>
      <c r="K15545" s="18" t="s">
        <v>477</v>
      </c>
    </row>
    <row r="15546">
      <c r="B15546" s="17" t="s">
        <v>477</v>
      </c>
      <c r="K15546" s="18" t="s">
        <v>477</v>
      </c>
    </row>
    <row r="15547">
      <c r="B15547" s="17" t="s">
        <v>477</v>
      </c>
      <c r="K15547" s="18" t="s">
        <v>477</v>
      </c>
    </row>
    <row r="15548">
      <c r="B15548" s="17" t="s">
        <v>477</v>
      </c>
      <c r="K15548" s="18" t="s">
        <v>477</v>
      </c>
    </row>
    <row r="15549">
      <c r="B15549" s="17" t="s">
        <v>477</v>
      </c>
      <c r="K15549" s="18" t="s">
        <v>477</v>
      </c>
    </row>
    <row r="15550">
      <c r="B15550" s="17" t="s">
        <v>477</v>
      </c>
      <c r="K15550" s="18" t="s">
        <v>477</v>
      </c>
    </row>
    <row r="15551">
      <c r="B15551" s="17" t="s">
        <v>477</v>
      </c>
      <c r="K15551" s="18" t="s">
        <v>477</v>
      </c>
    </row>
    <row r="15552">
      <c r="B15552" s="17" t="s">
        <v>477</v>
      </c>
      <c r="K15552" s="18" t="s">
        <v>477</v>
      </c>
    </row>
    <row r="15553">
      <c r="B15553" s="17" t="s">
        <v>477</v>
      </c>
      <c r="K15553" s="18" t="s">
        <v>477</v>
      </c>
    </row>
    <row r="15554">
      <c r="B15554" s="17" t="s">
        <v>477</v>
      </c>
      <c r="K15554" s="18" t="s">
        <v>477</v>
      </c>
    </row>
    <row r="15555">
      <c r="B15555" s="17" t="s">
        <v>477</v>
      </c>
      <c r="K15555" s="18" t="s">
        <v>477</v>
      </c>
    </row>
    <row r="15556">
      <c r="B15556" s="17" t="s">
        <v>477</v>
      </c>
      <c r="K15556" s="18" t="s">
        <v>477</v>
      </c>
    </row>
    <row r="15557">
      <c r="B15557" s="17" t="s">
        <v>477</v>
      </c>
      <c r="K15557" s="18" t="s">
        <v>477</v>
      </c>
    </row>
    <row r="15558">
      <c r="B15558" s="17" t="s">
        <v>477</v>
      </c>
      <c r="K15558" s="18" t="s">
        <v>477</v>
      </c>
    </row>
    <row r="15559">
      <c r="B15559" s="17" t="s">
        <v>477</v>
      </c>
      <c r="K15559" s="18" t="s">
        <v>477</v>
      </c>
    </row>
    <row r="15560">
      <c r="B15560" s="17" t="s">
        <v>477</v>
      </c>
      <c r="K15560" s="18" t="s">
        <v>477</v>
      </c>
    </row>
    <row r="15561">
      <c r="B15561" s="17" t="s">
        <v>477</v>
      </c>
      <c r="K15561" s="18" t="s">
        <v>477</v>
      </c>
    </row>
    <row r="15562">
      <c r="B15562" s="17" t="s">
        <v>477</v>
      </c>
      <c r="K15562" s="18" t="s">
        <v>477</v>
      </c>
    </row>
    <row r="15563">
      <c r="B15563" s="17" t="s">
        <v>477</v>
      </c>
      <c r="K15563" s="18" t="s">
        <v>477</v>
      </c>
    </row>
    <row r="15564">
      <c r="B15564" s="17" t="s">
        <v>477</v>
      </c>
      <c r="K15564" s="18" t="s">
        <v>477</v>
      </c>
    </row>
    <row r="15565">
      <c r="B15565" s="17" t="s">
        <v>477</v>
      </c>
      <c r="K15565" s="18" t="s">
        <v>477</v>
      </c>
    </row>
    <row r="15566">
      <c r="B15566" s="17" t="s">
        <v>477</v>
      </c>
      <c r="K15566" s="18" t="s">
        <v>477</v>
      </c>
    </row>
    <row r="15567">
      <c r="B15567" s="17" t="s">
        <v>477</v>
      </c>
      <c r="K15567" s="18" t="s">
        <v>477</v>
      </c>
    </row>
    <row r="15568">
      <c r="B15568" s="17" t="s">
        <v>477</v>
      </c>
      <c r="K15568" s="18" t="s">
        <v>477</v>
      </c>
    </row>
    <row r="15569">
      <c r="B15569" s="17" t="s">
        <v>477</v>
      </c>
      <c r="K15569" s="18" t="s">
        <v>477</v>
      </c>
    </row>
    <row r="15570">
      <c r="B15570" s="17" t="s">
        <v>477</v>
      </c>
      <c r="K15570" s="18" t="s">
        <v>477</v>
      </c>
    </row>
    <row r="15571">
      <c r="B15571" s="17" t="s">
        <v>477</v>
      </c>
      <c r="K15571" s="18" t="s">
        <v>477</v>
      </c>
    </row>
    <row r="15572">
      <c r="B15572" s="17" t="s">
        <v>477</v>
      </c>
      <c r="K15572" s="18" t="s">
        <v>477</v>
      </c>
    </row>
    <row r="15573">
      <c r="B15573" s="17" t="s">
        <v>477</v>
      </c>
      <c r="K15573" s="18" t="s">
        <v>477</v>
      </c>
    </row>
    <row r="15574">
      <c r="B15574" s="17" t="s">
        <v>477</v>
      </c>
      <c r="K15574" s="18" t="s">
        <v>477</v>
      </c>
    </row>
    <row r="15575">
      <c r="B15575" s="17" t="s">
        <v>477</v>
      </c>
      <c r="K15575" s="18" t="s">
        <v>477</v>
      </c>
    </row>
    <row r="15576">
      <c r="B15576" s="17" t="s">
        <v>477</v>
      </c>
      <c r="K15576" s="18" t="s">
        <v>477</v>
      </c>
    </row>
    <row r="15577">
      <c r="B15577" s="17" t="s">
        <v>477</v>
      </c>
      <c r="K15577" s="18" t="s">
        <v>477</v>
      </c>
    </row>
    <row r="15578">
      <c r="B15578" s="17" t="s">
        <v>477</v>
      </c>
      <c r="K15578" s="18" t="s">
        <v>477</v>
      </c>
    </row>
    <row r="15579">
      <c r="B15579" s="17" t="s">
        <v>477</v>
      </c>
      <c r="K15579" s="18" t="s">
        <v>477</v>
      </c>
    </row>
    <row r="15580">
      <c r="B15580" s="17" t="s">
        <v>477</v>
      </c>
      <c r="K15580" s="18" t="s">
        <v>477</v>
      </c>
    </row>
    <row r="15581">
      <c r="B15581" s="17" t="s">
        <v>477</v>
      </c>
      <c r="K15581" s="18" t="s">
        <v>477</v>
      </c>
    </row>
    <row r="15582">
      <c r="B15582" s="17" t="s">
        <v>477</v>
      </c>
      <c r="K15582" s="18" t="s">
        <v>477</v>
      </c>
    </row>
    <row r="15583">
      <c r="B15583" s="17" t="s">
        <v>477</v>
      </c>
      <c r="K15583" s="18" t="s">
        <v>477</v>
      </c>
    </row>
    <row r="15584">
      <c r="B15584" s="17" t="s">
        <v>477</v>
      </c>
      <c r="K15584" s="18" t="s">
        <v>477</v>
      </c>
    </row>
    <row r="15585">
      <c r="B15585" s="17" t="s">
        <v>477</v>
      </c>
      <c r="K15585" s="18" t="s">
        <v>477</v>
      </c>
    </row>
    <row r="15586">
      <c r="B15586" s="17" t="s">
        <v>477</v>
      </c>
      <c r="K15586" s="18" t="s">
        <v>477</v>
      </c>
    </row>
    <row r="15587">
      <c r="B15587" s="17" t="s">
        <v>477</v>
      </c>
      <c r="K15587" s="18" t="s">
        <v>477</v>
      </c>
    </row>
    <row r="15588">
      <c r="B15588" s="17" t="s">
        <v>477</v>
      </c>
      <c r="K15588" s="18" t="s">
        <v>477</v>
      </c>
    </row>
    <row r="15589">
      <c r="B15589" s="17" t="s">
        <v>477</v>
      </c>
      <c r="K15589" s="18" t="s">
        <v>477</v>
      </c>
    </row>
    <row r="15590">
      <c r="B15590" s="17" t="s">
        <v>477</v>
      </c>
      <c r="K15590" s="18" t="s">
        <v>477</v>
      </c>
    </row>
    <row r="15591">
      <c r="B15591" s="17" t="s">
        <v>477</v>
      </c>
      <c r="K15591" s="18" t="s">
        <v>477</v>
      </c>
    </row>
    <row r="15592">
      <c r="B15592" s="17" t="s">
        <v>477</v>
      </c>
      <c r="K15592" s="18" t="s">
        <v>477</v>
      </c>
    </row>
    <row r="15593">
      <c r="B15593" s="17" t="s">
        <v>477</v>
      </c>
      <c r="K15593" s="18" t="s">
        <v>477</v>
      </c>
    </row>
    <row r="15594">
      <c r="B15594" s="17" t="s">
        <v>477</v>
      </c>
      <c r="K15594" s="18" t="s">
        <v>477</v>
      </c>
    </row>
    <row r="15595">
      <c r="B15595" s="17" t="s">
        <v>477</v>
      </c>
      <c r="K15595" s="18" t="s">
        <v>477</v>
      </c>
    </row>
    <row r="15596">
      <c r="B15596" s="17" t="s">
        <v>477</v>
      </c>
      <c r="K15596" s="18" t="s">
        <v>477</v>
      </c>
    </row>
    <row r="15597">
      <c r="B15597" s="17" t="s">
        <v>477</v>
      </c>
      <c r="K15597" s="18" t="s">
        <v>477</v>
      </c>
    </row>
    <row r="15598">
      <c r="B15598" s="17" t="s">
        <v>477</v>
      </c>
      <c r="K15598" s="18" t="s">
        <v>477</v>
      </c>
    </row>
    <row r="15599">
      <c r="B15599" s="17" t="s">
        <v>477</v>
      </c>
      <c r="K15599" s="18" t="s">
        <v>477</v>
      </c>
    </row>
    <row r="15600">
      <c r="B15600" s="17" t="s">
        <v>477</v>
      </c>
      <c r="K15600" s="18" t="s">
        <v>477</v>
      </c>
    </row>
    <row r="15601">
      <c r="B15601" s="17" t="s">
        <v>477</v>
      </c>
      <c r="K15601" s="18" t="s">
        <v>477</v>
      </c>
    </row>
    <row r="15602">
      <c r="B15602" s="17" t="s">
        <v>477</v>
      </c>
      <c r="K15602" s="18" t="s">
        <v>477</v>
      </c>
    </row>
    <row r="15603">
      <c r="B15603" s="17" t="s">
        <v>477</v>
      </c>
      <c r="K15603" s="18" t="s">
        <v>477</v>
      </c>
    </row>
    <row r="15604">
      <c r="B15604" s="17" t="s">
        <v>477</v>
      </c>
      <c r="K15604" s="18" t="s">
        <v>477</v>
      </c>
    </row>
    <row r="15605">
      <c r="B15605" s="17" t="s">
        <v>477</v>
      </c>
      <c r="K15605" s="18" t="s">
        <v>477</v>
      </c>
    </row>
    <row r="15606">
      <c r="B15606" s="17" t="s">
        <v>477</v>
      </c>
      <c r="K15606" s="18" t="s">
        <v>477</v>
      </c>
    </row>
    <row r="15607">
      <c r="B15607" s="17" t="s">
        <v>477</v>
      </c>
      <c r="K15607" s="18" t="s">
        <v>477</v>
      </c>
    </row>
    <row r="15608">
      <c r="B15608" s="17" t="s">
        <v>477</v>
      </c>
      <c r="K15608" s="18" t="s">
        <v>477</v>
      </c>
    </row>
    <row r="15609">
      <c r="B15609" s="17" t="s">
        <v>477</v>
      </c>
      <c r="K15609" s="18" t="s">
        <v>477</v>
      </c>
    </row>
    <row r="15610">
      <c r="B15610" s="17" t="s">
        <v>477</v>
      </c>
      <c r="K15610" s="18" t="s">
        <v>477</v>
      </c>
    </row>
    <row r="15611">
      <c r="B15611" s="17" t="s">
        <v>477</v>
      </c>
      <c r="K15611" s="18" t="s">
        <v>477</v>
      </c>
    </row>
    <row r="15612">
      <c r="B15612" s="17" t="s">
        <v>477</v>
      </c>
      <c r="K15612" s="18" t="s">
        <v>477</v>
      </c>
    </row>
    <row r="15613">
      <c r="B15613" s="17" t="s">
        <v>477</v>
      </c>
      <c r="K15613" s="18" t="s">
        <v>477</v>
      </c>
    </row>
    <row r="15614">
      <c r="B15614" s="17" t="s">
        <v>477</v>
      </c>
      <c r="K15614" s="18" t="s">
        <v>477</v>
      </c>
    </row>
    <row r="15615">
      <c r="B15615" s="17" t="s">
        <v>477</v>
      </c>
      <c r="K15615" s="18" t="s">
        <v>477</v>
      </c>
    </row>
    <row r="15616">
      <c r="B15616" s="17" t="s">
        <v>477</v>
      </c>
      <c r="K15616" s="18" t="s">
        <v>477</v>
      </c>
    </row>
    <row r="15617">
      <c r="B15617" s="17" t="s">
        <v>477</v>
      </c>
      <c r="K15617" s="18" t="s">
        <v>477</v>
      </c>
    </row>
    <row r="15618">
      <c r="B15618" s="17" t="s">
        <v>477</v>
      </c>
      <c r="K15618" s="18" t="s">
        <v>477</v>
      </c>
    </row>
    <row r="15619">
      <c r="B15619" s="17" t="s">
        <v>477</v>
      </c>
      <c r="K15619" s="18" t="s">
        <v>477</v>
      </c>
    </row>
    <row r="15620">
      <c r="B15620" s="17" t="s">
        <v>477</v>
      </c>
      <c r="K15620" s="18" t="s">
        <v>477</v>
      </c>
    </row>
    <row r="15621">
      <c r="B15621" s="17" t="s">
        <v>477</v>
      </c>
      <c r="K15621" s="18" t="s">
        <v>477</v>
      </c>
    </row>
    <row r="15622">
      <c r="B15622" s="17" t="s">
        <v>477</v>
      </c>
      <c r="K15622" s="18" t="s">
        <v>477</v>
      </c>
    </row>
    <row r="15623">
      <c r="B15623" s="17" t="s">
        <v>477</v>
      </c>
      <c r="K15623" s="18" t="s">
        <v>477</v>
      </c>
    </row>
    <row r="15624">
      <c r="B15624" s="17" t="s">
        <v>477</v>
      </c>
      <c r="K15624" s="18" t="s">
        <v>477</v>
      </c>
    </row>
    <row r="15625">
      <c r="B15625" s="17" t="s">
        <v>477</v>
      </c>
      <c r="K15625" s="18" t="s">
        <v>477</v>
      </c>
    </row>
    <row r="15626">
      <c r="B15626" s="17" t="s">
        <v>477</v>
      </c>
      <c r="K15626" s="18" t="s">
        <v>477</v>
      </c>
    </row>
    <row r="15627">
      <c r="B15627" s="17" t="s">
        <v>477</v>
      </c>
      <c r="K15627" s="18" t="s">
        <v>477</v>
      </c>
    </row>
    <row r="15628">
      <c r="B15628" s="17" t="s">
        <v>477</v>
      </c>
      <c r="K15628" s="18" t="s">
        <v>477</v>
      </c>
    </row>
    <row r="15629">
      <c r="B15629" s="17" t="s">
        <v>477</v>
      </c>
      <c r="K15629" s="18" t="s">
        <v>477</v>
      </c>
    </row>
    <row r="15630">
      <c r="B15630" s="17" t="s">
        <v>477</v>
      </c>
      <c r="K15630" s="18" t="s">
        <v>477</v>
      </c>
    </row>
    <row r="15631">
      <c r="B15631" s="17" t="s">
        <v>477</v>
      </c>
      <c r="K15631" s="18" t="s">
        <v>477</v>
      </c>
    </row>
    <row r="15632">
      <c r="B15632" s="17" t="s">
        <v>477</v>
      </c>
      <c r="K15632" s="18" t="s">
        <v>477</v>
      </c>
    </row>
    <row r="15633">
      <c r="B15633" s="17" t="s">
        <v>477</v>
      </c>
      <c r="K15633" s="18" t="s">
        <v>477</v>
      </c>
    </row>
    <row r="15634">
      <c r="B15634" s="17" t="s">
        <v>477</v>
      </c>
      <c r="K15634" s="18" t="s">
        <v>477</v>
      </c>
    </row>
    <row r="15635">
      <c r="B15635" s="17" t="s">
        <v>477</v>
      </c>
      <c r="K15635" s="18" t="s">
        <v>477</v>
      </c>
    </row>
    <row r="15636">
      <c r="B15636" s="17" t="s">
        <v>477</v>
      </c>
      <c r="K15636" s="18" t="s">
        <v>477</v>
      </c>
    </row>
    <row r="15637">
      <c r="B15637" s="17" t="s">
        <v>477</v>
      </c>
      <c r="K15637" s="18" t="s">
        <v>477</v>
      </c>
    </row>
    <row r="15638">
      <c r="B15638" s="17" t="s">
        <v>477</v>
      </c>
      <c r="K15638" s="18" t="s">
        <v>477</v>
      </c>
    </row>
    <row r="15639">
      <c r="B15639" s="17" t="s">
        <v>477</v>
      </c>
      <c r="K15639" s="18" t="s">
        <v>477</v>
      </c>
    </row>
    <row r="15640">
      <c r="B15640" s="17" t="s">
        <v>477</v>
      </c>
      <c r="K15640" s="18" t="s">
        <v>477</v>
      </c>
    </row>
    <row r="15641">
      <c r="B15641" s="17" t="s">
        <v>477</v>
      </c>
      <c r="K15641" s="18" t="s">
        <v>477</v>
      </c>
    </row>
    <row r="15642">
      <c r="B15642" s="17" t="s">
        <v>477</v>
      </c>
      <c r="K15642" s="18" t="s">
        <v>477</v>
      </c>
    </row>
    <row r="15643">
      <c r="B15643" s="17" t="s">
        <v>477</v>
      </c>
      <c r="K15643" s="18" t="s">
        <v>477</v>
      </c>
    </row>
    <row r="15644">
      <c r="B15644" s="17" t="s">
        <v>477</v>
      </c>
      <c r="K15644" s="18" t="s">
        <v>477</v>
      </c>
    </row>
    <row r="15645">
      <c r="B15645" s="17" t="s">
        <v>477</v>
      </c>
      <c r="K15645" s="18" t="s">
        <v>477</v>
      </c>
    </row>
    <row r="15646">
      <c r="B15646" s="17" t="s">
        <v>477</v>
      </c>
      <c r="K15646" s="18" t="s">
        <v>477</v>
      </c>
    </row>
    <row r="15647">
      <c r="B15647" s="17" t="s">
        <v>477</v>
      </c>
      <c r="K15647" s="18" t="s">
        <v>477</v>
      </c>
    </row>
    <row r="15648">
      <c r="B15648" s="17" t="s">
        <v>477</v>
      </c>
      <c r="K15648" s="18" t="s">
        <v>477</v>
      </c>
    </row>
    <row r="15649">
      <c r="B15649" s="17" t="s">
        <v>477</v>
      </c>
      <c r="K15649" s="18" t="s">
        <v>477</v>
      </c>
    </row>
    <row r="15650">
      <c r="B15650" s="17" t="s">
        <v>477</v>
      </c>
      <c r="K15650" s="18" t="s">
        <v>477</v>
      </c>
    </row>
    <row r="15651">
      <c r="B15651" s="17" t="s">
        <v>477</v>
      </c>
      <c r="K15651" s="18" t="s">
        <v>477</v>
      </c>
    </row>
    <row r="15652">
      <c r="B15652" s="17" t="s">
        <v>477</v>
      </c>
      <c r="K15652" s="18" t="s">
        <v>477</v>
      </c>
    </row>
    <row r="15653">
      <c r="B15653" s="17" t="s">
        <v>477</v>
      </c>
      <c r="K15653" s="18" t="s">
        <v>477</v>
      </c>
    </row>
    <row r="15654">
      <c r="B15654" s="17" t="s">
        <v>477</v>
      </c>
      <c r="K15654" s="18" t="s">
        <v>477</v>
      </c>
    </row>
    <row r="15655">
      <c r="B15655" s="17" t="s">
        <v>477</v>
      </c>
      <c r="K15655" s="18" t="s">
        <v>477</v>
      </c>
    </row>
    <row r="15656">
      <c r="B15656" s="17" t="s">
        <v>477</v>
      </c>
      <c r="K15656" s="18" t="s">
        <v>477</v>
      </c>
    </row>
    <row r="15657">
      <c r="B15657" s="17" t="s">
        <v>477</v>
      </c>
      <c r="K15657" s="18" t="s">
        <v>477</v>
      </c>
    </row>
    <row r="15658">
      <c r="B15658" s="17" t="s">
        <v>477</v>
      </c>
      <c r="K15658" s="18" t="s">
        <v>477</v>
      </c>
    </row>
    <row r="15659">
      <c r="B15659" s="17" t="s">
        <v>477</v>
      </c>
      <c r="K15659" s="18" t="s">
        <v>477</v>
      </c>
    </row>
    <row r="15660">
      <c r="B15660" s="17" t="s">
        <v>477</v>
      </c>
      <c r="K15660" s="18" t="s">
        <v>477</v>
      </c>
    </row>
    <row r="15661">
      <c r="B15661" s="17" t="s">
        <v>477</v>
      </c>
      <c r="K15661" s="18" t="s">
        <v>477</v>
      </c>
    </row>
    <row r="15662">
      <c r="B15662" s="17" t="s">
        <v>477</v>
      </c>
      <c r="K15662" s="18" t="s">
        <v>477</v>
      </c>
    </row>
    <row r="15663">
      <c r="B15663" s="17" t="s">
        <v>477</v>
      </c>
      <c r="K15663" s="18" t="s">
        <v>477</v>
      </c>
    </row>
    <row r="15664">
      <c r="B15664" s="17" t="s">
        <v>477</v>
      </c>
      <c r="K15664" s="18" t="s">
        <v>477</v>
      </c>
    </row>
    <row r="15665">
      <c r="B15665" s="17" t="s">
        <v>477</v>
      </c>
      <c r="K15665" s="18" t="s">
        <v>477</v>
      </c>
    </row>
    <row r="15666">
      <c r="B15666" s="17" t="s">
        <v>477</v>
      </c>
      <c r="K15666" s="18" t="s">
        <v>477</v>
      </c>
    </row>
    <row r="15667">
      <c r="B15667" s="17" t="s">
        <v>477</v>
      </c>
      <c r="K15667" s="18" t="s">
        <v>477</v>
      </c>
    </row>
    <row r="15668">
      <c r="B15668" s="17" t="s">
        <v>477</v>
      </c>
      <c r="K15668" s="18" t="s">
        <v>477</v>
      </c>
    </row>
    <row r="15669">
      <c r="B15669" s="17" t="s">
        <v>477</v>
      </c>
      <c r="K15669" s="18" t="s">
        <v>477</v>
      </c>
    </row>
    <row r="15670">
      <c r="B15670" s="17" t="s">
        <v>477</v>
      </c>
      <c r="K15670" s="18" t="s">
        <v>477</v>
      </c>
    </row>
    <row r="15671">
      <c r="B15671" s="17" t="s">
        <v>477</v>
      </c>
      <c r="K15671" s="18" t="s">
        <v>477</v>
      </c>
    </row>
    <row r="15672">
      <c r="B15672" s="17" t="s">
        <v>477</v>
      </c>
      <c r="K15672" s="18" t="s">
        <v>477</v>
      </c>
    </row>
    <row r="15673">
      <c r="B15673" s="17" t="s">
        <v>477</v>
      </c>
      <c r="K15673" s="18" t="s">
        <v>477</v>
      </c>
    </row>
    <row r="15674">
      <c r="B15674" s="17" t="s">
        <v>477</v>
      </c>
      <c r="K15674" s="18" t="s">
        <v>477</v>
      </c>
    </row>
    <row r="15675">
      <c r="B15675" s="17" t="s">
        <v>477</v>
      </c>
      <c r="K15675" s="18" t="s">
        <v>477</v>
      </c>
    </row>
    <row r="15676">
      <c r="B15676" s="17" t="s">
        <v>477</v>
      </c>
      <c r="K15676" s="18" t="s">
        <v>477</v>
      </c>
    </row>
    <row r="15677">
      <c r="B15677" s="17" t="s">
        <v>477</v>
      </c>
      <c r="K15677" s="18" t="s">
        <v>477</v>
      </c>
    </row>
    <row r="15678">
      <c r="B15678" s="17" t="s">
        <v>477</v>
      </c>
      <c r="K15678" s="18" t="s">
        <v>477</v>
      </c>
    </row>
    <row r="15679">
      <c r="B15679" s="17" t="s">
        <v>477</v>
      </c>
      <c r="K15679" s="18" t="s">
        <v>477</v>
      </c>
    </row>
    <row r="15680">
      <c r="B15680" s="17" t="s">
        <v>477</v>
      </c>
      <c r="K15680" s="18" t="s">
        <v>477</v>
      </c>
    </row>
    <row r="15681">
      <c r="B15681" s="17" t="s">
        <v>477</v>
      </c>
      <c r="K15681" s="18" t="s">
        <v>477</v>
      </c>
    </row>
    <row r="15682">
      <c r="B15682" s="17" t="s">
        <v>477</v>
      </c>
      <c r="K15682" s="18" t="s">
        <v>477</v>
      </c>
    </row>
    <row r="15683">
      <c r="B15683" s="17" t="s">
        <v>477</v>
      </c>
      <c r="K15683" s="18" t="s">
        <v>477</v>
      </c>
    </row>
    <row r="15684">
      <c r="B15684" s="17" t="s">
        <v>477</v>
      </c>
      <c r="K15684" s="18" t="s">
        <v>477</v>
      </c>
    </row>
    <row r="15685">
      <c r="B15685" s="17" t="s">
        <v>477</v>
      </c>
      <c r="K15685" s="18" t="s">
        <v>477</v>
      </c>
    </row>
    <row r="15686">
      <c r="B15686" s="17" t="s">
        <v>477</v>
      </c>
      <c r="K15686" s="18" t="s">
        <v>477</v>
      </c>
    </row>
    <row r="15687">
      <c r="B15687" s="17" t="s">
        <v>477</v>
      </c>
      <c r="K15687" s="18" t="s">
        <v>477</v>
      </c>
    </row>
    <row r="15688">
      <c r="B15688" s="17" t="s">
        <v>477</v>
      </c>
      <c r="K15688" s="18" t="s">
        <v>477</v>
      </c>
    </row>
    <row r="15689">
      <c r="B15689" s="17" t="s">
        <v>477</v>
      </c>
      <c r="K15689" s="18" t="s">
        <v>477</v>
      </c>
    </row>
    <row r="15690">
      <c r="B15690" s="17" t="s">
        <v>477</v>
      </c>
      <c r="K15690" s="18" t="s">
        <v>477</v>
      </c>
    </row>
    <row r="15691">
      <c r="B15691" s="17" t="s">
        <v>477</v>
      </c>
      <c r="K15691" s="18" t="s">
        <v>477</v>
      </c>
    </row>
    <row r="15692">
      <c r="B15692" s="17" t="s">
        <v>477</v>
      </c>
      <c r="K15692" s="18" t="s">
        <v>477</v>
      </c>
    </row>
    <row r="15693">
      <c r="B15693" s="17" t="s">
        <v>477</v>
      </c>
      <c r="K15693" s="18" t="s">
        <v>477</v>
      </c>
    </row>
    <row r="15694">
      <c r="B15694" s="17" t="s">
        <v>477</v>
      </c>
      <c r="K15694" s="18" t="s">
        <v>477</v>
      </c>
    </row>
    <row r="15695">
      <c r="B15695" s="17" t="s">
        <v>477</v>
      </c>
      <c r="K15695" s="18" t="s">
        <v>477</v>
      </c>
    </row>
    <row r="15696">
      <c r="B15696" s="17" t="s">
        <v>477</v>
      </c>
      <c r="K15696" s="18" t="s">
        <v>477</v>
      </c>
    </row>
    <row r="15697">
      <c r="B15697" s="17" t="s">
        <v>477</v>
      </c>
      <c r="K15697" s="18" t="s">
        <v>477</v>
      </c>
    </row>
    <row r="15698">
      <c r="B15698" s="17" t="s">
        <v>477</v>
      </c>
      <c r="K15698" s="18" t="s">
        <v>477</v>
      </c>
    </row>
    <row r="15699">
      <c r="B15699" s="17" t="s">
        <v>477</v>
      </c>
      <c r="K15699" s="18" t="s">
        <v>477</v>
      </c>
    </row>
    <row r="15700">
      <c r="B15700" s="17" t="s">
        <v>477</v>
      </c>
      <c r="K15700" s="18" t="s">
        <v>477</v>
      </c>
    </row>
    <row r="15701">
      <c r="B15701" s="17" t="s">
        <v>477</v>
      </c>
      <c r="K15701" s="18" t="s">
        <v>477</v>
      </c>
    </row>
    <row r="15702">
      <c r="B15702" s="17" t="s">
        <v>477</v>
      </c>
      <c r="K15702" s="18" t="s">
        <v>477</v>
      </c>
    </row>
    <row r="15703">
      <c r="B15703" s="17" t="s">
        <v>477</v>
      </c>
      <c r="K15703" s="18" t="s">
        <v>477</v>
      </c>
    </row>
    <row r="15704">
      <c r="B15704" s="17" t="s">
        <v>477</v>
      </c>
      <c r="K15704" s="18" t="s">
        <v>477</v>
      </c>
    </row>
    <row r="15705">
      <c r="B15705" s="17" t="s">
        <v>477</v>
      </c>
      <c r="K15705" s="18" t="s">
        <v>477</v>
      </c>
    </row>
    <row r="15706">
      <c r="B15706" s="17" t="s">
        <v>477</v>
      </c>
      <c r="K15706" s="18" t="s">
        <v>477</v>
      </c>
    </row>
    <row r="15707">
      <c r="B15707" s="17" t="s">
        <v>477</v>
      </c>
      <c r="K15707" s="18" t="s">
        <v>477</v>
      </c>
    </row>
    <row r="15708">
      <c r="B15708" s="17" t="s">
        <v>477</v>
      </c>
      <c r="K15708" s="18" t="s">
        <v>477</v>
      </c>
    </row>
    <row r="15709">
      <c r="B15709" s="17" t="s">
        <v>477</v>
      </c>
      <c r="K15709" s="18" t="s">
        <v>477</v>
      </c>
    </row>
    <row r="15710">
      <c r="B15710" s="17" t="s">
        <v>477</v>
      </c>
      <c r="K15710" s="18" t="s">
        <v>477</v>
      </c>
    </row>
    <row r="15711">
      <c r="B15711" s="17" t="s">
        <v>477</v>
      </c>
      <c r="K15711" s="18" t="s">
        <v>477</v>
      </c>
    </row>
    <row r="15712">
      <c r="B15712" s="17" t="s">
        <v>477</v>
      </c>
      <c r="K15712" s="18" t="s">
        <v>477</v>
      </c>
    </row>
    <row r="15713">
      <c r="B15713" s="17" t="s">
        <v>477</v>
      </c>
      <c r="K15713" s="18" t="s">
        <v>477</v>
      </c>
    </row>
    <row r="15714">
      <c r="B15714" s="17" t="s">
        <v>477</v>
      </c>
      <c r="K15714" s="18" t="s">
        <v>477</v>
      </c>
    </row>
    <row r="15715">
      <c r="B15715" s="17" t="s">
        <v>477</v>
      </c>
      <c r="K15715" s="18" t="s">
        <v>477</v>
      </c>
    </row>
    <row r="15716">
      <c r="B15716" s="17" t="s">
        <v>477</v>
      </c>
      <c r="K15716" s="18" t="s">
        <v>477</v>
      </c>
    </row>
    <row r="15717">
      <c r="B15717" s="17" t="s">
        <v>477</v>
      </c>
      <c r="K15717" s="18" t="s">
        <v>477</v>
      </c>
    </row>
    <row r="15718">
      <c r="B15718" s="17" t="s">
        <v>477</v>
      </c>
      <c r="K15718" s="18" t="s">
        <v>477</v>
      </c>
    </row>
    <row r="15719">
      <c r="B15719" s="17" t="s">
        <v>477</v>
      </c>
      <c r="K15719" s="18" t="s">
        <v>477</v>
      </c>
    </row>
    <row r="15720">
      <c r="B15720" s="17" t="s">
        <v>477</v>
      </c>
      <c r="K15720" s="18" t="s">
        <v>477</v>
      </c>
    </row>
    <row r="15721">
      <c r="B15721" s="17" t="s">
        <v>477</v>
      </c>
      <c r="K15721" s="18" t="s">
        <v>477</v>
      </c>
    </row>
    <row r="15722">
      <c r="B15722" s="17" t="s">
        <v>477</v>
      </c>
      <c r="K15722" s="18" t="s">
        <v>477</v>
      </c>
    </row>
    <row r="15723">
      <c r="B15723" s="17" t="s">
        <v>477</v>
      </c>
      <c r="K15723" s="18" t="s">
        <v>477</v>
      </c>
    </row>
    <row r="15724">
      <c r="B15724" s="17" t="s">
        <v>477</v>
      </c>
      <c r="K15724" s="18" t="s">
        <v>477</v>
      </c>
    </row>
    <row r="15725">
      <c r="B15725" s="17" t="s">
        <v>477</v>
      </c>
      <c r="K15725" s="18" t="s">
        <v>477</v>
      </c>
    </row>
    <row r="15726">
      <c r="B15726" s="17" t="s">
        <v>477</v>
      </c>
      <c r="K15726" s="18" t="s">
        <v>477</v>
      </c>
    </row>
    <row r="15727">
      <c r="B15727" s="17" t="s">
        <v>477</v>
      </c>
      <c r="K15727" s="18" t="s">
        <v>477</v>
      </c>
    </row>
    <row r="15728">
      <c r="B15728" s="17" t="s">
        <v>477</v>
      </c>
      <c r="K15728" s="18" t="s">
        <v>477</v>
      </c>
    </row>
    <row r="15729">
      <c r="B15729" s="17" t="s">
        <v>477</v>
      </c>
      <c r="K15729" s="18" t="s">
        <v>477</v>
      </c>
    </row>
    <row r="15730">
      <c r="B15730" s="17" t="s">
        <v>477</v>
      </c>
      <c r="K15730" s="18" t="s">
        <v>477</v>
      </c>
    </row>
    <row r="15731">
      <c r="B15731" s="17" t="s">
        <v>477</v>
      </c>
      <c r="K15731" s="18" t="s">
        <v>477</v>
      </c>
    </row>
    <row r="15732">
      <c r="B15732" s="17" t="s">
        <v>477</v>
      </c>
      <c r="K15732" s="18" t="s">
        <v>477</v>
      </c>
    </row>
    <row r="15733">
      <c r="B15733" s="17" t="s">
        <v>477</v>
      </c>
      <c r="K15733" s="18" t="s">
        <v>477</v>
      </c>
    </row>
    <row r="15734">
      <c r="B15734" s="17" t="s">
        <v>477</v>
      </c>
      <c r="K15734" s="18" t="s">
        <v>477</v>
      </c>
    </row>
    <row r="15735">
      <c r="B15735" s="17" t="s">
        <v>477</v>
      </c>
      <c r="K15735" s="18" t="s">
        <v>477</v>
      </c>
    </row>
    <row r="15736">
      <c r="B15736" s="17" t="s">
        <v>477</v>
      </c>
      <c r="K15736" s="18" t="s">
        <v>477</v>
      </c>
    </row>
    <row r="15737">
      <c r="B15737" s="17" t="s">
        <v>477</v>
      </c>
      <c r="K15737" s="18" t="s">
        <v>477</v>
      </c>
    </row>
    <row r="15738">
      <c r="B15738" s="17" t="s">
        <v>477</v>
      </c>
      <c r="K15738" s="18" t="s">
        <v>477</v>
      </c>
    </row>
    <row r="15739">
      <c r="B15739" s="17" t="s">
        <v>477</v>
      </c>
      <c r="K15739" s="18" t="s">
        <v>477</v>
      </c>
    </row>
    <row r="15740">
      <c r="B15740" s="17" t="s">
        <v>477</v>
      </c>
      <c r="K15740" s="18" t="s">
        <v>477</v>
      </c>
    </row>
    <row r="15741">
      <c r="B15741" s="17" t="s">
        <v>477</v>
      </c>
      <c r="K15741" s="18" t="s">
        <v>477</v>
      </c>
    </row>
    <row r="15742">
      <c r="B15742" s="17" t="s">
        <v>477</v>
      </c>
      <c r="K15742" s="18" t="s">
        <v>477</v>
      </c>
    </row>
    <row r="15743">
      <c r="B15743" s="17" t="s">
        <v>477</v>
      </c>
      <c r="K15743" s="18" t="s">
        <v>477</v>
      </c>
    </row>
    <row r="15744">
      <c r="B15744" s="17" t="s">
        <v>477</v>
      </c>
      <c r="K15744" s="18" t="s">
        <v>477</v>
      </c>
    </row>
    <row r="15745">
      <c r="B15745" s="17" t="s">
        <v>477</v>
      </c>
      <c r="K15745" s="18" t="s">
        <v>477</v>
      </c>
    </row>
    <row r="15746">
      <c r="B15746" s="17" t="s">
        <v>477</v>
      </c>
      <c r="K15746" s="18" t="s">
        <v>477</v>
      </c>
    </row>
    <row r="15747">
      <c r="B15747" s="17" t="s">
        <v>477</v>
      </c>
      <c r="K15747" s="18" t="s">
        <v>477</v>
      </c>
    </row>
    <row r="15748">
      <c r="B15748" s="17" t="s">
        <v>477</v>
      </c>
      <c r="K15748" s="18" t="s">
        <v>477</v>
      </c>
    </row>
    <row r="15749">
      <c r="B15749" s="17" t="s">
        <v>477</v>
      </c>
      <c r="K15749" s="18" t="s">
        <v>477</v>
      </c>
    </row>
    <row r="15750">
      <c r="B15750" s="17" t="s">
        <v>477</v>
      </c>
      <c r="K15750" s="18" t="s">
        <v>477</v>
      </c>
    </row>
    <row r="15751">
      <c r="B15751" s="17" t="s">
        <v>477</v>
      </c>
      <c r="K15751" s="18" t="s">
        <v>477</v>
      </c>
    </row>
    <row r="15752">
      <c r="B15752" s="17" t="s">
        <v>477</v>
      </c>
      <c r="K15752" s="18" t="s">
        <v>477</v>
      </c>
    </row>
    <row r="15753">
      <c r="B15753" s="17" t="s">
        <v>477</v>
      </c>
      <c r="K15753" s="18" t="s">
        <v>477</v>
      </c>
    </row>
    <row r="15754">
      <c r="B15754" s="17" t="s">
        <v>477</v>
      </c>
      <c r="K15754" s="18" t="s">
        <v>477</v>
      </c>
    </row>
    <row r="15755">
      <c r="B15755" s="17" t="s">
        <v>477</v>
      </c>
      <c r="K15755" s="18" t="s">
        <v>477</v>
      </c>
    </row>
    <row r="15756">
      <c r="B15756" s="17" t="s">
        <v>477</v>
      </c>
      <c r="K15756" s="18" t="s">
        <v>477</v>
      </c>
    </row>
    <row r="15757">
      <c r="B15757" s="17" t="s">
        <v>477</v>
      </c>
      <c r="K15757" s="18" t="s">
        <v>477</v>
      </c>
    </row>
    <row r="15758">
      <c r="B15758" s="17" t="s">
        <v>477</v>
      </c>
      <c r="K15758" s="18" t="s">
        <v>477</v>
      </c>
    </row>
    <row r="15759">
      <c r="B15759" s="17" t="s">
        <v>477</v>
      </c>
      <c r="K15759" s="18" t="s">
        <v>477</v>
      </c>
    </row>
    <row r="15760">
      <c r="B15760" s="17" t="s">
        <v>477</v>
      </c>
      <c r="K15760" s="18" t="s">
        <v>477</v>
      </c>
    </row>
    <row r="15761">
      <c r="B15761" s="17" t="s">
        <v>477</v>
      </c>
      <c r="K15761" s="18" t="s">
        <v>477</v>
      </c>
    </row>
    <row r="15762">
      <c r="B15762" s="17" t="s">
        <v>477</v>
      </c>
      <c r="K15762" s="18" t="s">
        <v>477</v>
      </c>
    </row>
    <row r="15763">
      <c r="B15763" s="17" t="s">
        <v>477</v>
      </c>
      <c r="K15763" s="18" t="s">
        <v>477</v>
      </c>
    </row>
    <row r="15764">
      <c r="B15764" s="17" t="s">
        <v>477</v>
      </c>
      <c r="K15764" s="18" t="s">
        <v>477</v>
      </c>
    </row>
    <row r="15765">
      <c r="B15765" s="17" t="s">
        <v>477</v>
      </c>
      <c r="K15765" s="18" t="s">
        <v>477</v>
      </c>
    </row>
    <row r="15766">
      <c r="B15766" s="17" t="s">
        <v>477</v>
      </c>
      <c r="K15766" s="18" t="s">
        <v>477</v>
      </c>
    </row>
    <row r="15767">
      <c r="B15767" s="17" t="s">
        <v>477</v>
      </c>
      <c r="K15767" s="18" t="s">
        <v>477</v>
      </c>
    </row>
    <row r="15768">
      <c r="B15768" s="17" t="s">
        <v>477</v>
      </c>
      <c r="K15768" s="18" t="s">
        <v>477</v>
      </c>
    </row>
    <row r="15769">
      <c r="B15769" s="17" t="s">
        <v>477</v>
      </c>
      <c r="K15769" s="18" t="s">
        <v>477</v>
      </c>
    </row>
    <row r="15770">
      <c r="B15770" s="17" t="s">
        <v>477</v>
      </c>
      <c r="K15770" s="18" t="s">
        <v>477</v>
      </c>
    </row>
    <row r="15771">
      <c r="B15771" s="17" t="s">
        <v>477</v>
      </c>
      <c r="K15771" s="18" t="s">
        <v>477</v>
      </c>
    </row>
    <row r="15772">
      <c r="B15772" s="17" t="s">
        <v>477</v>
      </c>
      <c r="K15772" s="18" t="s">
        <v>477</v>
      </c>
    </row>
    <row r="15773">
      <c r="B15773" s="17" t="s">
        <v>477</v>
      </c>
      <c r="K15773" s="18" t="s">
        <v>477</v>
      </c>
    </row>
    <row r="15774">
      <c r="B15774" s="17" t="s">
        <v>477</v>
      </c>
      <c r="K15774" s="18" t="s">
        <v>477</v>
      </c>
    </row>
    <row r="15775">
      <c r="B15775" s="17" t="s">
        <v>477</v>
      </c>
      <c r="K15775" s="18" t="s">
        <v>477</v>
      </c>
    </row>
    <row r="15776">
      <c r="B15776" s="17" t="s">
        <v>477</v>
      </c>
      <c r="K15776" s="18" t="s">
        <v>477</v>
      </c>
    </row>
    <row r="15777">
      <c r="B15777" s="17" t="s">
        <v>477</v>
      </c>
      <c r="K15777" s="18" t="s">
        <v>477</v>
      </c>
    </row>
    <row r="15778">
      <c r="B15778" s="17" t="s">
        <v>477</v>
      </c>
      <c r="K15778" s="18" t="s">
        <v>477</v>
      </c>
    </row>
    <row r="15779">
      <c r="B15779" s="17" t="s">
        <v>477</v>
      </c>
      <c r="K15779" s="18" t="s">
        <v>477</v>
      </c>
    </row>
    <row r="15780">
      <c r="B15780" s="17" t="s">
        <v>477</v>
      </c>
      <c r="K15780" s="18" t="s">
        <v>477</v>
      </c>
    </row>
    <row r="15781">
      <c r="B15781" s="17" t="s">
        <v>477</v>
      </c>
      <c r="K15781" s="18" t="s">
        <v>477</v>
      </c>
    </row>
    <row r="15782">
      <c r="B15782" s="17" t="s">
        <v>477</v>
      </c>
      <c r="K15782" s="18" t="s">
        <v>477</v>
      </c>
    </row>
    <row r="15783">
      <c r="B15783" s="17" t="s">
        <v>477</v>
      </c>
      <c r="K15783" s="18" t="s">
        <v>477</v>
      </c>
    </row>
    <row r="15784">
      <c r="B15784" s="17" t="s">
        <v>477</v>
      </c>
      <c r="K15784" s="18" t="s">
        <v>477</v>
      </c>
    </row>
    <row r="15785">
      <c r="B15785" s="17" t="s">
        <v>477</v>
      </c>
      <c r="K15785" s="18" t="s">
        <v>477</v>
      </c>
    </row>
    <row r="15786">
      <c r="B15786" s="17" t="s">
        <v>477</v>
      </c>
      <c r="K15786" s="18" t="s">
        <v>477</v>
      </c>
    </row>
    <row r="15787">
      <c r="B15787" s="17" t="s">
        <v>477</v>
      </c>
      <c r="K15787" s="18" t="s">
        <v>477</v>
      </c>
    </row>
    <row r="15788">
      <c r="B15788" s="17" t="s">
        <v>477</v>
      </c>
      <c r="K15788" s="18" t="s">
        <v>477</v>
      </c>
    </row>
    <row r="15789">
      <c r="B15789" s="17" t="s">
        <v>477</v>
      </c>
      <c r="K15789" s="18" t="s">
        <v>477</v>
      </c>
    </row>
    <row r="15790">
      <c r="B15790" s="17" t="s">
        <v>477</v>
      </c>
      <c r="K15790" s="18" t="s">
        <v>477</v>
      </c>
    </row>
    <row r="15791">
      <c r="B15791" s="17" t="s">
        <v>477</v>
      </c>
      <c r="K15791" s="18" t="s">
        <v>477</v>
      </c>
    </row>
    <row r="15792">
      <c r="B15792" s="17" t="s">
        <v>477</v>
      </c>
      <c r="K15792" s="18" t="s">
        <v>477</v>
      </c>
    </row>
    <row r="15793">
      <c r="B15793" s="17" t="s">
        <v>477</v>
      </c>
      <c r="K15793" s="18" t="s">
        <v>477</v>
      </c>
    </row>
    <row r="15794">
      <c r="B15794" s="17" t="s">
        <v>477</v>
      </c>
      <c r="K15794" s="18" t="s">
        <v>477</v>
      </c>
    </row>
    <row r="15795">
      <c r="B15795" s="17" t="s">
        <v>477</v>
      </c>
      <c r="K15795" s="18" t="s">
        <v>477</v>
      </c>
    </row>
    <row r="15796">
      <c r="B15796" s="17" t="s">
        <v>477</v>
      </c>
      <c r="K15796" s="18" t="s">
        <v>477</v>
      </c>
    </row>
    <row r="15797">
      <c r="B15797" s="17" t="s">
        <v>477</v>
      </c>
      <c r="K15797" s="18" t="s">
        <v>477</v>
      </c>
    </row>
    <row r="15798">
      <c r="B15798" s="17" t="s">
        <v>477</v>
      </c>
      <c r="K15798" s="18" t="s">
        <v>477</v>
      </c>
    </row>
    <row r="15799">
      <c r="B15799" s="17" t="s">
        <v>477</v>
      </c>
      <c r="K15799" s="18" t="s">
        <v>477</v>
      </c>
    </row>
    <row r="15800">
      <c r="B15800" s="17" t="s">
        <v>477</v>
      </c>
      <c r="K15800" s="18" t="s">
        <v>477</v>
      </c>
    </row>
    <row r="15801">
      <c r="B15801" s="17" t="s">
        <v>477</v>
      </c>
      <c r="K15801" s="18" t="s">
        <v>477</v>
      </c>
    </row>
    <row r="15802">
      <c r="B15802" s="17" t="s">
        <v>477</v>
      </c>
      <c r="K15802" s="18" t="s">
        <v>477</v>
      </c>
    </row>
    <row r="15803">
      <c r="B15803" s="17" t="s">
        <v>477</v>
      </c>
      <c r="K15803" s="18" t="s">
        <v>477</v>
      </c>
    </row>
    <row r="15804">
      <c r="B15804" s="17" t="s">
        <v>477</v>
      </c>
      <c r="K15804" s="18" t="s">
        <v>477</v>
      </c>
    </row>
    <row r="15805">
      <c r="B15805" s="17" t="s">
        <v>477</v>
      </c>
      <c r="K15805" s="18" t="s">
        <v>477</v>
      </c>
    </row>
    <row r="15806">
      <c r="B15806" s="17" t="s">
        <v>477</v>
      </c>
      <c r="K15806" s="18" t="s">
        <v>477</v>
      </c>
    </row>
    <row r="15807">
      <c r="B15807" s="17" t="s">
        <v>477</v>
      </c>
      <c r="K15807" s="18" t="s">
        <v>477</v>
      </c>
    </row>
    <row r="15808">
      <c r="B15808" s="17" t="s">
        <v>477</v>
      </c>
      <c r="K15808" s="18" t="s">
        <v>477</v>
      </c>
    </row>
    <row r="15809">
      <c r="B15809" s="17" t="s">
        <v>477</v>
      </c>
      <c r="K15809" s="18" t="s">
        <v>477</v>
      </c>
    </row>
    <row r="15810">
      <c r="B15810" s="17" t="s">
        <v>477</v>
      </c>
      <c r="K15810" s="18" t="s">
        <v>477</v>
      </c>
    </row>
    <row r="15811">
      <c r="B15811" s="17" t="s">
        <v>477</v>
      </c>
      <c r="K15811" s="18" t="s">
        <v>477</v>
      </c>
    </row>
    <row r="15812">
      <c r="B15812" s="17" t="s">
        <v>477</v>
      </c>
      <c r="K15812" s="18" t="s">
        <v>477</v>
      </c>
    </row>
    <row r="15813">
      <c r="B15813" s="17" t="s">
        <v>477</v>
      </c>
      <c r="K15813" s="18" t="s">
        <v>477</v>
      </c>
    </row>
    <row r="15814">
      <c r="B15814" s="17" t="s">
        <v>477</v>
      </c>
      <c r="K15814" s="18" t="s">
        <v>477</v>
      </c>
    </row>
    <row r="15815">
      <c r="B15815" s="17" t="s">
        <v>477</v>
      </c>
      <c r="K15815" s="18" t="s">
        <v>477</v>
      </c>
    </row>
    <row r="15816">
      <c r="B15816" s="17" t="s">
        <v>477</v>
      </c>
      <c r="K15816" s="18" t="s">
        <v>477</v>
      </c>
    </row>
    <row r="15817">
      <c r="B15817" s="17" t="s">
        <v>477</v>
      </c>
      <c r="K15817" s="18" t="s">
        <v>477</v>
      </c>
    </row>
    <row r="15818">
      <c r="B15818" s="17" t="s">
        <v>477</v>
      </c>
      <c r="K15818" s="18" t="s">
        <v>477</v>
      </c>
    </row>
    <row r="15819">
      <c r="B15819" s="17" t="s">
        <v>477</v>
      </c>
      <c r="K15819" s="18" t="s">
        <v>477</v>
      </c>
    </row>
    <row r="15820">
      <c r="B15820" s="17" t="s">
        <v>477</v>
      </c>
      <c r="K15820" s="18" t="s">
        <v>477</v>
      </c>
    </row>
    <row r="15821">
      <c r="B15821" s="17" t="s">
        <v>477</v>
      </c>
      <c r="K15821" s="18" t="s">
        <v>477</v>
      </c>
    </row>
    <row r="15822">
      <c r="B15822" s="17" t="s">
        <v>477</v>
      </c>
      <c r="K15822" s="18" t="s">
        <v>477</v>
      </c>
    </row>
    <row r="15823">
      <c r="B15823" s="17" t="s">
        <v>477</v>
      </c>
      <c r="K15823" s="18" t="s">
        <v>477</v>
      </c>
    </row>
    <row r="15824">
      <c r="B15824" s="17" t="s">
        <v>477</v>
      </c>
      <c r="K15824" s="18" t="s">
        <v>477</v>
      </c>
    </row>
    <row r="15825">
      <c r="B15825" s="17" t="s">
        <v>477</v>
      </c>
      <c r="K15825" s="18" t="s">
        <v>477</v>
      </c>
    </row>
    <row r="15826">
      <c r="B15826" s="17" t="s">
        <v>477</v>
      </c>
      <c r="K15826" s="18" t="s">
        <v>477</v>
      </c>
    </row>
    <row r="15827">
      <c r="B15827" s="17" t="s">
        <v>477</v>
      </c>
      <c r="K15827" s="18" t="s">
        <v>477</v>
      </c>
    </row>
    <row r="15828">
      <c r="B15828" s="17" t="s">
        <v>477</v>
      </c>
      <c r="K15828" s="18" t="s">
        <v>477</v>
      </c>
    </row>
    <row r="15829">
      <c r="B15829" s="17" t="s">
        <v>477</v>
      </c>
      <c r="K15829" s="18" t="s">
        <v>477</v>
      </c>
    </row>
    <row r="15830">
      <c r="B15830" s="17" t="s">
        <v>477</v>
      </c>
      <c r="K15830" s="18" t="s">
        <v>477</v>
      </c>
    </row>
    <row r="15831">
      <c r="B15831" s="17" t="s">
        <v>477</v>
      </c>
      <c r="K15831" s="18" t="s">
        <v>477</v>
      </c>
    </row>
    <row r="15832">
      <c r="B15832" s="17" t="s">
        <v>477</v>
      </c>
      <c r="K15832" s="18" t="s">
        <v>477</v>
      </c>
    </row>
    <row r="15833">
      <c r="B15833" s="17" t="s">
        <v>477</v>
      </c>
      <c r="K15833" s="18" t="s">
        <v>477</v>
      </c>
    </row>
    <row r="15834">
      <c r="B15834" s="17" t="s">
        <v>477</v>
      </c>
      <c r="K15834" s="18" t="s">
        <v>477</v>
      </c>
    </row>
    <row r="15835">
      <c r="B15835" s="17" t="s">
        <v>477</v>
      </c>
      <c r="K15835" s="18" t="s">
        <v>477</v>
      </c>
    </row>
    <row r="15836">
      <c r="B15836" s="17" t="s">
        <v>477</v>
      </c>
      <c r="K15836" s="18" t="s">
        <v>477</v>
      </c>
    </row>
    <row r="15837">
      <c r="B15837" s="17" t="s">
        <v>477</v>
      </c>
      <c r="K15837" s="18" t="s">
        <v>477</v>
      </c>
    </row>
    <row r="15838">
      <c r="B15838" s="17" t="s">
        <v>477</v>
      </c>
      <c r="K15838" s="18" t="s">
        <v>477</v>
      </c>
    </row>
    <row r="15839">
      <c r="B15839" s="17" t="s">
        <v>477</v>
      </c>
      <c r="K15839" s="18" t="s">
        <v>477</v>
      </c>
    </row>
    <row r="15840">
      <c r="B15840" s="17" t="s">
        <v>477</v>
      </c>
      <c r="K15840" s="18" t="s">
        <v>477</v>
      </c>
    </row>
    <row r="15841">
      <c r="B15841" s="17" t="s">
        <v>477</v>
      </c>
      <c r="K15841" s="18" t="s">
        <v>477</v>
      </c>
    </row>
    <row r="15842">
      <c r="B15842" s="17" t="s">
        <v>477</v>
      </c>
      <c r="K15842" s="18" t="s">
        <v>477</v>
      </c>
    </row>
    <row r="15843">
      <c r="B15843" s="17" t="s">
        <v>477</v>
      </c>
      <c r="K15843" s="18" t="s">
        <v>477</v>
      </c>
    </row>
    <row r="15844">
      <c r="B15844" s="17" t="s">
        <v>477</v>
      </c>
      <c r="K15844" s="18" t="s">
        <v>477</v>
      </c>
    </row>
    <row r="15845">
      <c r="B15845" s="17" t="s">
        <v>477</v>
      </c>
      <c r="K15845" s="18" t="s">
        <v>477</v>
      </c>
    </row>
    <row r="15846">
      <c r="B15846" s="17" t="s">
        <v>477</v>
      </c>
      <c r="K15846" s="18" t="s">
        <v>477</v>
      </c>
    </row>
    <row r="15847">
      <c r="B15847" s="17" t="s">
        <v>477</v>
      </c>
      <c r="K15847" s="18" t="s">
        <v>477</v>
      </c>
    </row>
    <row r="15848">
      <c r="B15848" s="17" t="s">
        <v>477</v>
      </c>
      <c r="K15848" s="18" t="s">
        <v>477</v>
      </c>
    </row>
    <row r="15849">
      <c r="B15849" s="17" t="s">
        <v>477</v>
      </c>
      <c r="K15849" s="18" t="s">
        <v>477</v>
      </c>
    </row>
    <row r="15850">
      <c r="B15850" s="17" t="s">
        <v>477</v>
      </c>
      <c r="K15850" s="18" t="s">
        <v>477</v>
      </c>
    </row>
    <row r="15851">
      <c r="B15851" s="17" t="s">
        <v>477</v>
      </c>
      <c r="K15851" s="18" t="s">
        <v>477</v>
      </c>
    </row>
    <row r="15852">
      <c r="B15852" s="17" t="s">
        <v>477</v>
      </c>
      <c r="K15852" s="18" t="s">
        <v>477</v>
      </c>
    </row>
    <row r="15853">
      <c r="B15853" s="17" t="s">
        <v>477</v>
      </c>
      <c r="K15853" s="18" t="s">
        <v>477</v>
      </c>
    </row>
    <row r="15854">
      <c r="B15854" s="17" t="s">
        <v>477</v>
      </c>
      <c r="K15854" s="18" t="s">
        <v>477</v>
      </c>
    </row>
    <row r="15855">
      <c r="B15855" s="17" t="s">
        <v>477</v>
      </c>
      <c r="K15855" s="18" t="s">
        <v>477</v>
      </c>
    </row>
    <row r="15856">
      <c r="B15856" s="17" t="s">
        <v>477</v>
      </c>
      <c r="K15856" s="18" t="s">
        <v>477</v>
      </c>
    </row>
    <row r="15857">
      <c r="B15857" s="17" t="s">
        <v>477</v>
      </c>
      <c r="K15857" s="18" t="s">
        <v>477</v>
      </c>
    </row>
    <row r="15858">
      <c r="B15858" s="17" t="s">
        <v>477</v>
      </c>
      <c r="K15858" s="18" t="s">
        <v>477</v>
      </c>
    </row>
    <row r="15859">
      <c r="B15859" s="17" t="s">
        <v>477</v>
      </c>
      <c r="K15859" s="18" t="s">
        <v>477</v>
      </c>
    </row>
    <row r="15860">
      <c r="B15860" s="17" t="s">
        <v>477</v>
      </c>
      <c r="K15860" s="18" t="s">
        <v>477</v>
      </c>
    </row>
    <row r="15861">
      <c r="B15861" s="17" t="s">
        <v>477</v>
      </c>
      <c r="K15861" s="18" t="s">
        <v>477</v>
      </c>
    </row>
    <row r="15862">
      <c r="B15862" s="17" t="s">
        <v>477</v>
      </c>
      <c r="K15862" s="18" t="s">
        <v>477</v>
      </c>
    </row>
    <row r="15863">
      <c r="B15863" s="17" t="s">
        <v>477</v>
      </c>
      <c r="K15863" s="18" t="s">
        <v>477</v>
      </c>
    </row>
    <row r="15864">
      <c r="B15864" s="17" t="s">
        <v>477</v>
      </c>
      <c r="K15864" s="18" t="s">
        <v>477</v>
      </c>
    </row>
    <row r="15865">
      <c r="B15865" s="17" t="s">
        <v>477</v>
      </c>
      <c r="K15865" s="18" t="s">
        <v>477</v>
      </c>
    </row>
    <row r="15866">
      <c r="B15866" s="17" t="s">
        <v>477</v>
      </c>
      <c r="K15866" s="18" t="s">
        <v>477</v>
      </c>
    </row>
    <row r="15867">
      <c r="B15867" s="17" t="s">
        <v>477</v>
      </c>
      <c r="K15867" s="18" t="s">
        <v>477</v>
      </c>
    </row>
    <row r="15868">
      <c r="B15868" s="17" t="s">
        <v>477</v>
      </c>
      <c r="K15868" s="18" t="s">
        <v>477</v>
      </c>
    </row>
    <row r="15869">
      <c r="B15869" s="17" t="s">
        <v>477</v>
      </c>
      <c r="K15869" s="18" t="s">
        <v>477</v>
      </c>
    </row>
    <row r="15870">
      <c r="B15870" s="17" t="s">
        <v>477</v>
      </c>
      <c r="K15870" s="18" t="s">
        <v>477</v>
      </c>
    </row>
    <row r="15871">
      <c r="B15871" s="17" t="s">
        <v>477</v>
      </c>
      <c r="K15871" s="18" t="s">
        <v>477</v>
      </c>
    </row>
    <row r="15872">
      <c r="B15872" s="17" t="s">
        <v>477</v>
      </c>
      <c r="K15872" s="18" t="s">
        <v>477</v>
      </c>
    </row>
    <row r="15873">
      <c r="B15873" s="17" t="s">
        <v>477</v>
      </c>
      <c r="K15873" s="18" t="s">
        <v>477</v>
      </c>
    </row>
    <row r="15874">
      <c r="B15874" s="17" t="s">
        <v>477</v>
      </c>
      <c r="K15874" s="18" t="s">
        <v>477</v>
      </c>
    </row>
    <row r="15875">
      <c r="B15875" s="17" t="s">
        <v>477</v>
      </c>
      <c r="K15875" s="18" t="s">
        <v>477</v>
      </c>
    </row>
    <row r="15876">
      <c r="B15876" s="17" t="s">
        <v>477</v>
      </c>
      <c r="K15876" s="18" t="s">
        <v>477</v>
      </c>
    </row>
    <row r="15877">
      <c r="B15877" s="17" t="s">
        <v>477</v>
      </c>
      <c r="K15877" s="18" t="s">
        <v>477</v>
      </c>
    </row>
    <row r="15878">
      <c r="B15878" s="17" t="s">
        <v>477</v>
      </c>
      <c r="K15878" s="18" t="s">
        <v>477</v>
      </c>
    </row>
    <row r="15879">
      <c r="B15879" s="17" t="s">
        <v>477</v>
      </c>
      <c r="K15879" s="18" t="s">
        <v>477</v>
      </c>
    </row>
    <row r="15880">
      <c r="B15880" s="17" t="s">
        <v>477</v>
      </c>
      <c r="K15880" s="18" t="s">
        <v>477</v>
      </c>
    </row>
    <row r="15881">
      <c r="B15881" s="17" t="s">
        <v>477</v>
      </c>
      <c r="K15881" s="18" t="s">
        <v>477</v>
      </c>
    </row>
    <row r="15882">
      <c r="B15882" s="17" t="s">
        <v>477</v>
      </c>
      <c r="K15882" s="18" t="s">
        <v>477</v>
      </c>
    </row>
    <row r="15883">
      <c r="B15883" s="17" t="s">
        <v>477</v>
      </c>
      <c r="K15883" s="18" t="s">
        <v>477</v>
      </c>
    </row>
    <row r="15884">
      <c r="B15884" s="17" t="s">
        <v>477</v>
      </c>
      <c r="K15884" s="18" t="s">
        <v>477</v>
      </c>
    </row>
    <row r="15885">
      <c r="B15885" s="17" t="s">
        <v>477</v>
      </c>
      <c r="K15885" s="18" t="s">
        <v>477</v>
      </c>
    </row>
    <row r="15886">
      <c r="B15886" s="17" t="s">
        <v>477</v>
      </c>
      <c r="K15886" s="18" t="s">
        <v>477</v>
      </c>
    </row>
    <row r="15887">
      <c r="B15887" s="17" t="s">
        <v>477</v>
      </c>
      <c r="K15887" s="18" t="s">
        <v>477</v>
      </c>
    </row>
    <row r="15888">
      <c r="B15888" s="17" t="s">
        <v>477</v>
      </c>
      <c r="K15888" s="18" t="s">
        <v>477</v>
      </c>
    </row>
    <row r="15889">
      <c r="B15889" s="17" t="s">
        <v>477</v>
      </c>
      <c r="K15889" s="18" t="s">
        <v>477</v>
      </c>
    </row>
    <row r="15890">
      <c r="B15890" s="17" t="s">
        <v>477</v>
      </c>
      <c r="K15890" s="18" t="s">
        <v>477</v>
      </c>
    </row>
    <row r="15891">
      <c r="B15891" s="17" t="s">
        <v>477</v>
      </c>
      <c r="K15891" s="18" t="s">
        <v>477</v>
      </c>
    </row>
    <row r="15892">
      <c r="B15892" s="17" t="s">
        <v>477</v>
      </c>
      <c r="K15892" s="18" t="s">
        <v>477</v>
      </c>
    </row>
    <row r="15893">
      <c r="B15893" s="17" t="s">
        <v>477</v>
      </c>
      <c r="K15893" s="18" t="s">
        <v>477</v>
      </c>
    </row>
    <row r="15894">
      <c r="B15894" s="17" t="s">
        <v>477</v>
      </c>
      <c r="K15894" s="18" t="s">
        <v>477</v>
      </c>
    </row>
    <row r="15895">
      <c r="B15895" s="17" t="s">
        <v>477</v>
      </c>
      <c r="K15895" s="18" t="s">
        <v>477</v>
      </c>
    </row>
    <row r="15896">
      <c r="B15896" s="17" t="s">
        <v>477</v>
      </c>
      <c r="K15896" s="18" t="s">
        <v>477</v>
      </c>
    </row>
    <row r="15897">
      <c r="B15897" s="17" t="s">
        <v>477</v>
      </c>
      <c r="K15897" s="18" t="s">
        <v>477</v>
      </c>
    </row>
    <row r="15898">
      <c r="B15898" s="17" t="s">
        <v>477</v>
      </c>
      <c r="K15898" s="18" t="s">
        <v>477</v>
      </c>
    </row>
    <row r="15899">
      <c r="B15899" s="17" t="s">
        <v>477</v>
      </c>
      <c r="K15899" s="18" t="s">
        <v>477</v>
      </c>
    </row>
    <row r="15900">
      <c r="B15900" s="17" t="s">
        <v>477</v>
      </c>
      <c r="K15900" s="18" t="s">
        <v>477</v>
      </c>
    </row>
    <row r="15901">
      <c r="B15901" s="17" t="s">
        <v>477</v>
      </c>
      <c r="K15901" s="18" t="s">
        <v>477</v>
      </c>
    </row>
    <row r="15902">
      <c r="B15902" s="17" t="s">
        <v>477</v>
      </c>
      <c r="K15902" s="18" t="s">
        <v>477</v>
      </c>
    </row>
    <row r="15903">
      <c r="B15903" s="17" t="s">
        <v>477</v>
      </c>
      <c r="K15903" s="18" t="s">
        <v>477</v>
      </c>
    </row>
    <row r="15904">
      <c r="B15904" s="17" t="s">
        <v>477</v>
      </c>
      <c r="K15904" s="18" t="s">
        <v>477</v>
      </c>
    </row>
    <row r="15905">
      <c r="B15905" s="17" t="s">
        <v>477</v>
      </c>
      <c r="K15905" s="18" t="s">
        <v>477</v>
      </c>
    </row>
    <row r="15906">
      <c r="B15906" s="17" t="s">
        <v>477</v>
      </c>
      <c r="K15906" s="18" t="s">
        <v>477</v>
      </c>
    </row>
    <row r="15907">
      <c r="B15907" s="17" t="s">
        <v>477</v>
      </c>
      <c r="K15907" s="18" t="s">
        <v>477</v>
      </c>
    </row>
    <row r="15908">
      <c r="B15908" s="17" t="s">
        <v>477</v>
      </c>
      <c r="K15908" s="18" t="s">
        <v>477</v>
      </c>
    </row>
    <row r="15909">
      <c r="B15909" s="17" t="s">
        <v>477</v>
      </c>
      <c r="K15909" s="18" t="s">
        <v>477</v>
      </c>
    </row>
    <row r="15910">
      <c r="B15910" s="17" t="s">
        <v>477</v>
      </c>
      <c r="K15910" s="18" t="s">
        <v>477</v>
      </c>
    </row>
    <row r="15911">
      <c r="B15911" s="17" t="s">
        <v>477</v>
      </c>
      <c r="K15911" s="18" t="s">
        <v>477</v>
      </c>
    </row>
    <row r="15912">
      <c r="B15912" s="17" t="s">
        <v>477</v>
      </c>
      <c r="K15912" s="18" t="s">
        <v>477</v>
      </c>
    </row>
    <row r="15913">
      <c r="B15913" s="17" t="s">
        <v>477</v>
      </c>
      <c r="K15913" s="18" t="s">
        <v>477</v>
      </c>
    </row>
    <row r="15914">
      <c r="B15914" s="17" t="s">
        <v>477</v>
      </c>
      <c r="K15914" s="18" t="s">
        <v>477</v>
      </c>
    </row>
    <row r="15915">
      <c r="B15915" s="17" t="s">
        <v>477</v>
      </c>
      <c r="K15915" s="18" t="s">
        <v>477</v>
      </c>
    </row>
    <row r="15916">
      <c r="B15916" s="17" t="s">
        <v>477</v>
      </c>
      <c r="K15916" s="18" t="s">
        <v>477</v>
      </c>
    </row>
    <row r="15917">
      <c r="B15917" s="17" t="s">
        <v>477</v>
      </c>
      <c r="K15917" s="18" t="s">
        <v>477</v>
      </c>
    </row>
    <row r="15918">
      <c r="B15918" s="17" t="s">
        <v>477</v>
      </c>
      <c r="K15918" s="18" t="s">
        <v>477</v>
      </c>
    </row>
    <row r="15919">
      <c r="B15919" s="17" t="s">
        <v>477</v>
      </c>
      <c r="K15919" s="18" t="s">
        <v>477</v>
      </c>
    </row>
    <row r="15920">
      <c r="B15920" s="17" t="s">
        <v>477</v>
      </c>
      <c r="K15920" s="18" t="s">
        <v>477</v>
      </c>
    </row>
    <row r="15921">
      <c r="B15921" s="17" t="s">
        <v>477</v>
      </c>
      <c r="K15921" s="18" t="s">
        <v>477</v>
      </c>
    </row>
    <row r="15922">
      <c r="B15922" s="17" t="s">
        <v>477</v>
      </c>
      <c r="K15922" s="18" t="s">
        <v>477</v>
      </c>
    </row>
    <row r="15923">
      <c r="B15923" s="17" t="s">
        <v>477</v>
      </c>
      <c r="K15923" s="18" t="s">
        <v>477</v>
      </c>
    </row>
    <row r="15924">
      <c r="B15924" s="17" t="s">
        <v>477</v>
      </c>
      <c r="K15924" s="18" t="s">
        <v>477</v>
      </c>
    </row>
    <row r="15925">
      <c r="B15925" s="17" t="s">
        <v>477</v>
      </c>
      <c r="K15925" s="18" t="s">
        <v>477</v>
      </c>
    </row>
    <row r="15926">
      <c r="B15926" s="17" t="s">
        <v>477</v>
      </c>
      <c r="K15926" s="18" t="s">
        <v>477</v>
      </c>
    </row>
    <row r="15927">
      <c r="B15927" s="17" t="s">
        <v>477</v>
      </c>
      <c r="K15927" s="18" t="s">
        <v>477</v>
      </c>
    </row>
    <row r="15928">
      <c r="B15928" s="17" t="s">
        <v>477</v>
      </c>
      <c r="K15928" s="18" t="s">
        <v>477</v>
      </c>
    </row>
    <row r="15929">
      <c r="B15929" s="17" t="s">
        <v>477</v>
      </c>
      <c r="K15929" s="18" t="s">
        <v>477</v>
      </c>
    </row>
    <row r="15930">
      <c r="B15930" s="17" t="s">
        <v>477</v>
      </c>
      <c r="K15930" s="18" t="s">
        <v>477</v>
      </c>
    </row>
    <row r="15931">
      <c r="B15931" s="17" t="s">
        <v>477</v>
      </c>
      <c r="K15931" s="18" t="s">
        <v>477</v>
      </c>
    </row>
    <row r="15932">
      <c r="B15932" s="17" t="s">
        <v>477</v>
      </c>
      <c r="K15932" s="18" t="s">
        <v>477</v>
      </c>
    </row>
    <row r="15933">
      <c r="B15933" s="17" t="s">
        <v>477</v>
      </c>
      <c r="K15933" s="18" t="s">
        <v>477</v>
      </c>
    </row>
    <row r="15934">
      <c r="B15934" s="17" t="s">
        <v>477</v>
      </c>
      <c r="K15934" s="18" t="s">
        <v>477</v>
      </c>
    </row>
    <row r="15935">
      <c r="B15935" s="17" t="s">
        <v>477</v>
      </c>
      <c r="K15935" s="18" t="s">
        <v>477</v>
      </c>
    </row>
    <row r="15936">
      <c r="B15936" s="17" t="s">
        <v>477</v>
      </c>
      <c r="K15936" s="18" t="s">
        <v>477</v>
      </c>
    </row>
    <row r="15937">
      <c r="B15937" s="17" t="s">
        <v>477</v>
      </c>
      <c r="K15937" s="18" t="s">
        <v>477</v>
      </c>
    </row>
    <row r="15938">
      <c r="B15938" s="17" t="s">
        <v>477</v>
      </c>
      <c r="K15938" s="18" t="s">
        <v>477</v>
      </c>
    </row>
    <row r="15939">
      <c r="B15939" s="17" t="s">
        <v>477</v>
      </c>
      <c r="K15939" s="18" t="s">
        <v>477</v>
      </c>
    </row>
    <row r="15940">
      <c r="B15940" s="17" t="s">
        <v>477</v>
      </c>
      <c r="K15940" s="18" t="s">
        <v>477</v>
      </c>
    </row>
    <row r="15941">
      <c r="B15941" s="17" t="s">
        <v>477</v>
      </c>
      <c r="K15941" s="18" t="s">
        <v>477</v>
      </c>
    </row>
    <row r="15942">
      <c r="B15942" s="17" t="s">
        <v>477</v>
      </c>
      <c r="K15942" s="18" t="s">
        <v>477</v>
      </c>
    </row>
    <row r="15943">
      <c r="B15943" s="17" t="s">
        <v>477</v>
      </c>
      <c r="K15943" s="18" t="s">
        <v>477</v>
      </c>
    </row>
    <row r="15944">
      <c r="B15944" s="17" t="s">
        <v>477</v>
      </c>
      <c r="K15944" s="18" t="s">
        <v>477</v>
      </c>
    </row>
    <row r="15945">
      <c r="B15945" s="17" t="s">
        <v>477</v>
      </c>
      <c r="K15945" s="18" t="s">
        <v>477</v>
      </c>
    </row>
    <row r="15946">
      <c r="B15946" s="17" t="s">
        <v>477</v>
      </c>
      <c r="K15946" s="18" t="s">
        <v>477</v>
      </c>
    </row>
    <row r="15947">
      <c r="B15947" s="17" t="s">
        <v>477</v>
      </c>
      <c r="K15947" s="18" t="s">
        <v>477</v>
      </c>
    </row>
    <row r="15948">
      <c r="B15948" s="17" t="s">
        <v>477</v>
      </c>
      <c r="K15948" s="18" t="s">
        <v>477</v>
      </c>
    </row>
    <row r="15949">
      <c r="B15949" s="17" t="s">
        <v>477</v>
      </c>
      <c r="K15949" s="18" t="s">
        <v>477</v>
      </c>
    </row>
    <row r="15950">
      <c r="B15950" s="17" t="s">
        <v>477</v>
      </c>
      <c r="K15950" s="18" t="s">
        <v>477</v>
      </c>
    </row>
    <row r="15951">
      <c r="B15951" s="17" t="s">
        <v>477</v>
      </c>
      <c r="K15951" s="18" t="s">
        <v>477</v>
      </c>
    </row>
    <row r="15952">
      <c r="B15952" s="17" t="s">
        <v>477</v>
      </c>
      <c r="K15952" s="18" t="s">
        <v>477</v>
      </c>
    </row>
    <row r="15953">
      <c r="B15953" s="17" t="s">
        <v>477</v>
      </c>
      <c r="K15953" s="18" t="s">
        <v>477</v>
      </c>
    </row>
    <row r="15954">
      <c r="B15954" s="17" t="s">
        <v>477</v>
      </c>
      <c r="K15954" s="18" t="s">
        <v>477</v>
      </c>
    </row>
    <row r="15955">
      <c r="B15955" s="17" t="s">
        <v>477</v>
      </c>
      <c r="K15955" s="18" t="s">
        <v>477</v>
      </c>
    </row>
    <row r="15956">
      <c r="B15956" s="17" t="s">
        <v>477</v>
      </c>
      <c r="K15956" s="18" t="s">
        <v>477</v>
      </c>
    </row>
    <row r="15957">
      <c r="B15957" s="17" t="s">
        <v>477</v>
      </c>
      <c r="K15957" s="18" t="s">
        <v>477</v>
      </c>
    </row>
    <row r="15958">
      <c r="B15958" s="17" t="s">
        <v>477</v>
      </c>
      <c r="K15958" s="18" t="s">
        <v>477</v>
      </c>
    </row>
    <row r="15959">
      <c r="B15959" s="17" t="s">
        <v>477</v>
      </c>
      <c r="K15959" s="18" t="s">
        <v>477</v>
      </c>
    </row>
    <row r="15960">
      <c r="B15960" s="17" t="s">
        <v>477</v>
      </c>
      <c r="K15960" s="18" t="s">
        <v>477</v>
      </c>
    </row>
    <row r="15961">
      <c r="B15961" s="17" t="s">
        <v>477</v>
      </c>
      <c r="K15961" s="18" t="s">
        <v>477</v>
      </c>
    </row>
    <row r="15962">
      <c r="B15962" s="17" t="s">
        <v>477</v>
      </c>
      <c r="K15962" s="18" t="s">
        <v>477</v>
      </c>
    </row>
    <row r="15963">
      <c r="B15963" s="17" t="s">
        <v>477</v>
      </c>
      <c r="K15963" s="18" t="s">
        <v>477</v>
      </c>
    </row>
    <row r="15964">
      <c r="B15964" s="17" t="s">
        <v>477</v>
      </c>
      <c r="K15964" s="18" t="s">
        <v>477</v>
      </c>
    </row>
    <row r="15965">
      <c r="B15965" s="17" t="s">
        <v>477</v>
      </c>
      <c r="K15965" s="18" t="s">
        <v>477</v>
      </c>
    </row>
    <row r="15966">
      <c r="B15966" s="17" t="s">
        <v>477</v>
      </c>
      <c r="K15966" s="18" t="s">
        <v>477</v>
      </c>
    </row>
    <row r="15967">
      <c r="B15967" s="17" t="s">
        <v>477</v>
      </c>
      <c r="K15967" s="18" t="s">
        <v>477</v>
      </c>
    </row>
    <row r="15968">
      <c r="B15968" s="17" t="s">
        <v>477</v>
      </c>
      <c r="K15968" s="18" t="s">
        <v>477</v>
      </c>
    </row>
    <row r="15969">
      <c r="B15969" s="17" t="s">
        <v>477</v>
      </c>
      <c r="K15969" s="18" t="s">
        <v>477</v>
      </c>
    </row>
    <row r="15970">
      <c r="B15970" s="17" t="s">
        <v>477</v>
      </c>
      <c r="K15970" s="18" t="s">
        <v>477</v>
      </c>
    </row>
    <row r="15971">
      <c r="B15971" s="17" t="s">
        <v>477</v>
      </c>
      <c r="K15971" s="18" t="s">
        <v>477</v>
      </c>
    </row>
    <row r="15972">
      <c r="B15972" s="17" t="s">
        <v>477</v>
      </c>
      <c r="K15972" s="18" t="s">
        <v>477</v>
      </c>
    </row>
    <row r="15973">
      <c r="B15973" s="17" t="s">
        <v>477</v>
      </c>
      <c r="K15973" s="18" t="s">
        <v>477</v>
      </c>
    </row>
    <row r="15974">
      <c r="B15974" s="17" t="s">
        <v>477</v>
      </c>
      <c r="K15974" s="18" t="s">
        <v>477</v>
      </c>
    </row>
    <row r="15975">
      <c r="B15975" s="17" t="s">
        <v>477</v>
      </c>
      <c r="K15975" s="18" t="s">
        <v>477</v>
      </c>
    </row>
    <row r="15976">
      <c r="B15976" s="17" t="s">
        <v>477</v>
      </c>
      <c r="K15976" s="18" t="s">
        <v>477</v>
      </c>
    </row>
    <row r="15977">
      <c r="B15977" s="17" t="s">
        <v>477</v>
      </c>
      <c r="K15977" s="18" t="s">
        <v>477</v>
      </c>
    </row>
    <row r="15978">
      <c r="B15978" s="17" t="s">
        <v>477</v>
      </c>
      <c r="K15978" s="18" t="s">
        <v>477</v>
      </c>
    </row>
    <row r="15979">
      <c r="B15979" s="17" t="s">
        <v>477</v>
      </c>
      <c r="K15979" s="18" t="s">
        <v>477</v>
      </c>
    </row>
    <row r="15980">
      <c r="B15980" s="17" t="s">
        <v>477</v>
      </c>
      <c r="K15980" s="18" t="s">
        <v>477</v>
      </c>
    </row>
    <row r="15981">
      <c r="B15981" s="17" t="s">
        <v>477</v>
      </c>
      <c r="K15981" s="18" t="s">
        <v>477</v>
      </c>
    </row>
    <row r="15982">
      <c r="B15982" s="17" t="s">
        <v>477</v>
      </c>
      <c r="K15982" s="18" t="s">
        <v>477</v>
      </c>
    </row>
    <row r="15983">
      <c r="B15983" s="17" t="s">
        <v>477</v>
      </c>
      <c r="K15983" s="18" t="s">
        <v>477</v>
      </c>
    </row>
    <row r="15984">
      <c r="B15984" s="17" t="s">
        <v>477</v>
      </c>
      <c r="K15984" s="18" t="s">
        <v>477</v>
      </c>
    </row>
    <row r="15985">
      <c r="B15985" s="17" t="s">
        <v>477</v>
      </c>
      <c r="K15985" s="18" t="s">
        <v>477</v>
      </c>
    </row>
    <row r="15986">
      <c r="B15986" s="17" t="s">
        <v>477</v>
      </c>
      <c r="K15986" s="18" t="s">
        <v>477</v>
      </c>
    </row>
    <row r="15987">
      <c r="B15987" s="17" t="s">
        <v>477</v>
      </c>
      <c r="K15987" s="18" t="s">
        <v>477</v>
      </c>
    </row>
    <row r="15988">
      <c r="B15988" s="17" t="s">
        <v>477</v>
      </c>
      <c r="K15988" s="18" t="s">
        <v>477</v>
      </c>
    </row>
    <row r="15989">
      <c r="B15989" s="17" t="s">
        <v>477</v>
      </c>
      <c r="K15989" s="18" t="s">
        <v>477</v>
      </c>
    </row>
    <row r="15990">
      <c r="B15990" s="17" t="s">
        <v>477</v>
      </c>
      <c r="K15990" s="18" t="s">
        <v>477</v>
      </c>
    </row>
    <row r="15991">
      <c r="B15991" s="17" t="s">
        <v>477</v>
      </c>
      <c r="K15991" s="18" t="s">
        <v>477</v>
      </c>
    </row>
    <row r="15992">
      <c r="B15992" s="17" t="s">
        <v>477</v>
      </c>
      <c r="K15992" s="18" t="s">
        <v>477</v>
      </c>
    </row>
    <row r="15993">
      <c r="B15993" s="17" t="s">
        <v>477</v>
      </c>
      <c r="K15993" s="18" t="s">
        <v>477</v>
      </c>
    </row>
    <row r="15994">
      <c r="B15994" s="17" t="s">
        <v>477</v>
      </c>
      <c r="K15994" s="18" t="s">
        <v>477</v>
      </c>
    </row>
    <row r="15995">
      <c r="B15995" s="17" t="s">
        <v>477</v>
      </c>
      <c r="K15995" s="18" t="s">
        <v>477</v>
      </c>
    </row>
    <row r="15996">
      <c r="B15996" s="17" t="s">
        <v>477</v>
      </c>
      <c r="K15996" s="18" t="s">
        <v>477</v>
      </c>
    </row>
    <row r="15997">
      <c r="B15997" s="17" t="s">
        <v>477</v>
      </c>
      <c r="K15997" s="18" t="s">
        <v>477</v>
      </c>
    </row>
    <row r="15998">
      <c r="B15998" s="17" t="s">
        <v>477</v>
      </c>
      <c r="K15998" s="18" t="s">
        <v>477</v>
      </c>
    </row>
    <row r="15999">
      <c r="B15999" s="17" t="s">
        <v>477</v>
      </c>
      <c r="K15999" s="18" t="s">
        <v>477</v>
      </c>
    </row>
    <row r="16000">
      <c r="B16000" s="17" t="s">
        <v>477</v>
      </c>
      <c r="K16000" s="18" t="s">
        <v>477</v>
      </c>
    </row>
    <row r="16001">
      <c r="B16001" s="17" t="s">
        <v>477</v>
      </c>
      <c r="K16001" s="18" t="s">
        <v>477</v>
      </c>
    </row>
    <row r="16002">
      <c r="B16002" s="17" t="s">
        <v>477</v>
      </c>
      <c r="K16002" s="18" t="s">
        <v>477</v>
      </c>
    </row>
    <row r="16003">
      <c r="B16003" s="17" t="s">
        <v>477</v>
      </c>
      <c r="K16003" s="18" t="s">
        <v>477</v>
      </c>
    </row>
    <row r="16004">
      <c r="B16004" s="17" t="s">
        <v>477</v>
      </c>
      <c r="K16004" s="18" t="s">
        <v>477</v>
      </c>
    </row>
    <row r="16005">
      <c r="B16005" s="17" t="s">
        <v>477</v>
      </c>
      <c r="K16005" s="18" t="s">
        <v>477</v>
      </c>
    </row>
    <row r="16006">
      <c r="B16006" s="17" t="s">
        <v>477</v>
      </c>
      <c r="K16006" s="18" t="s">
        <v>477</v>
      </c>
    </row>
    <row r="16007">
      <c r="B16007" s="17" t="s">
        <v>477</v>
      </c>
      <c r="K16007" s="18" t="s">
        <v>477</v>
      </c>
    </row>
    <row r="16008">
      <c r="B16008" s="17" t="s">
        <v>477</v>
      </c>
      <c r="K16008" s="18" t="s">
        <v>477</v>
      </c>
    </row>
    <row r="16009">
      <c r="B16009" s="17" t="s">
        <v>477</v>
      </c>
      <c r="K16009" s="18" t="s">
        <v>477</v>
      </c>
    </row>
    <row r="16010">
      <c r="B16010" s="17" t="s">
        <v>477</v>
      </c>
      <c r="K16010" s="18" t="s">
        <v>477</v>
      </c>
    </row>
    <row r="16011">
      <c r="B16011" s="17" t="s">
        <v>477</v>
      </c>
      <c r="K16011" s="18" t="s">
        <v>477</v>
      </c>
    </row>
    <row r="16012">
      <c r="B16012" s="17" t="s">
        <v>477</v>
      </c>
      <c r="K16012" s="18" t="s">
        <v>477</v>
      </c>
    </row>
    <row r="16013">
      <c r="B16013" s="17" t="s">
        <v>477</v>
      </c>
      <c r="K16013" s="18" t="s">
        <v>477</v>
      </c>
    </row>
    <row r="16014">
      <c r="B16014" s="17" t="s">
        <v>477</v>
      </c>
      <c r="K16014" s="18" t="s">
        <v>477</v>
      </c>
    </row>
    <row r="16015">
      <c r="B16015" s="17" t="s">
        <v>477</v>
      </c>
      <c r="K16015" s="18" t="s">
        <v>477</v>
      </c>
    </row>
    <row r="16016">
      <c r="B16016" s="17" t="s">
        <v>477</v>
      </c>
      <c r="K16016" s="18" t="s">
        <v>477</v>
      </c>
    </row>
    <row r="16017">
      <c r="B16017" s="17" t="s">
        <v>477</v>
      </c>
      <c r="K16017" s="18" t="s">
        <v>477</v>
      </c>
    </row>
    <row r="16018">
      <c r="B16018" s="17" t="s">
        <v>477</v>
      </c>
      <c r="K16018" s="18" t="s">
        <v>477</v>
      </c>
    </row>
    <row r="16019">
      <c r="B16019" s="17" t="s">
        <v>477</v>
      </c>
      <c r="K16019" s="18" t="s">
        <v>477</v>
      </c>
    </row>
    <row r="16020">
      <c r="B16020" s="17" t="s">
        <v>477</v>
      </c>
      <c r="K16020" s="18" t="s">
        <v>477</v>
      </c>
    </row>
    <row r="16021">
      <c r="B16021" s="17" t="s">
        <v>477</v>
      </c>
      <c r="K16021" s="18" t="s">
        <v>477</v>
      </c>
    </row>
    <row r="16022">
      <c r="B16022" s="17" t="s">
        <v>477</v>
      </c>
      <c r="K16022" s="18" t="s">
        <v>477</v>
      </c>
    </row>
    <row r="16023">
      <c r="B16023" s="17" t="s">
        <v>477</v>
      </c>
      <c r="K16023" s="18" t="s">
        <v>477</v>
      </c>
    </row>
    <row r="16024">
      <c r="B16024" s="17" t="s">
        <v>477</v>
      </c>
      <c r="K16024" s="18" t="s">
        <v>477</v>
      </c>
    </row>
    <row r="16025">
      <c r="B16025" s="17" t="s">
        <v>477</v>
      </c>
      <c r="K16025" s="18" t="s">
        <v>477</v>
      </c>
    </row>
    <row r="16026">
      <c r="B16026" s="17" t="s">
        <v>477</v>
      </c>
      <c r="K16026" s="18" t="s">
        <v>477</v>
      </c>
    </row>
    <row r="16027">
      <c r="B16027" s="17" t="s">
        <v>477</v>
      </c>
      <c r="K16027" s="18" t="s">
        <v>477</v>
      </c>
    </row>
    <row r="16028">
      <c r="B16028" s="17" t="s">
        <v>477</v>
      </c>
      <c r="K16028" s="18" t="s">
        <v>477</v>
      </c>
    </row>
    <row r="16029">
      <c r="B16029" s="17" t="s">
        <v>477</v>
      </c>
      <c r="K16029" s="18" t="s">
        <v>477</v>
      </c>
    </row>
    <row r="16030">
      <c r="B16030" s="17" t="s">
        <v>477</v>
      </c>
      <c r="K16030" s="18" t="s">
        <v>477</v>
      </c>
    </row>
    <row r="16031">
      <c r="B16031" s="17" t="s">
        <v>477</v>
      </c>
      <c r="K16031" s="18" t="s">
        <v>477</v>
      </c>
    </row>
    <row r="16032">
      <c r="B16032" s="17" t="s">
        <v>477</v>
      </c>
      <c r="K16032" s="18" t="s">
        <v>477</v>
      </c>
    </row>
    <row r="16033">
      <c r="B16033" s="17" t="s">
        <v>477</v>
      </c>
      <c r="K16033" s="18" t="s">
        <v>477</v>
      </c>
    </row>
    <row r="16034">
      <c r="B16034" s="17" t="s">
        <v>477</v>
      </c>
      <c r="K16034" s="18" t="s">
        <v>477</v>
      </c>
    </row>
    <row r="16035">
      <c r="B16035" s="17" t="s">
        <v>477</v>
      </c>
      <c r="K16035" s="18" t="s">
        <v>477</v>
      </c>
    </row>
    <row r="16036">
      <c r="B16036" s="17" t="s">
        <v>477</v>
      </c>
      <c r="K16036" s="18" t="s">
        <v>477</v>
      </c>
    </row>
    <row r="16037">
      <c r="B16037" s="17" t="s">
        <v>477</v>
      </c>
      <c r="K16037" s="18" t="s">
        <v>477</v>
      </c>
    </row>
    <row r="16038">
      <c r="B16038" s="17" t="s">
        <v>477</v>
      </c>
      <c r="K16038" s="18" t="s">
        <v>477</v>
      </c>
    </row>
    <row r="16039">
      <c r="B16039" s="17" t="s">
        <v>477</v>
      </c>
      <c r="K16039" s="18" t="s">
        <v>477</v>
      </c>
    </row>
    <row r="16040">
      <c r="B16040" s="17" t="s">
        <v>477</v>
      </c>
      <c r="K16040" s="18" t="s">
        <v>477</v>
      </c>
    </row>
    <row r="16041">
      <c r="B16041" s="17" t="s">
        <v>477</v>
      </c>
      <c r="K16041" s="18" t="s">
        <v>477</v>
      </c>
    </row>
    <row r="16042">
      <c r="B16042" s="17" t="s">
        <v>477</v>
      </c>
      <c r="K16042" s="18" t="s">
        <v>477</v>
      </c>
    </row>
    <row r="16043">
      <c r="B16043" s="17" t="s">
        <v>477</v>
      </c>
      <c r="K16043" s="18" t="s">
        <v>477</v>
      </c>
    </row>
    <row r="16044">
      <c r="B16044" s="17" t="s">
        <v>477</v>
      </c>
      <c r="K16044" s="18" t="s">
        <v>477</v>
      </c>
    </row>
    <row r="16045">
      <c r="B16045" s="17" t="s">
        <v>477</v>
      </c>
      <c r="K16045" s="18" t="s">
        <v>477</v>
      </c>
    </row>
    <row r="16046">
      <c r="B16046" s="17" t="s">
        <v>477</v>
      </c>
      <c r="K16046" s="18" t="s">
        <v>477</v>
      </c>
    </row>
    <row r="16047">
      <c r="B16047" s="17" t="s">
        <v>477</v>
      </c>
      <c r="K16047" s="18" t="s">
        <v>477</v>
      </c>
    </row>
    <row r="16048">
      <c r="B16048" s="17" t="s">
        <v>477</v>
      </c>
      <c r="K16048" s="18" t="s">
        <v>477</v>
      </c>
    </row>
    <row r="16049">
      <c r="B16049" s="17" t="s">
        <v>477</v>
      </c>
      <c r="K16049" s="18" t="s">
        <v>477</v>
      </c>
    </row>
    <row r="16050">
      <c r="B16050" s="17" t="s">
        <v>477</v>
      </c>
      <c r="K16050" s="18" t="s">
        <v>477</v>
      </c>
    </row>
    <row r="16051">
      <c r="B16051" s="17" t="s">
        <v>477</v>
      </c>
      <c r="K16051" s="18" t="s">
        <v>477</v>
      </c>
    </row>
    <row r="16052">
      <c r="B16052" s="17" t="s">
        <v>477</v>
      </c>
      <c r="K16052" s="18" t="s">
        <v>477</v>
      </c>
    </row>
    <row r="16053">
      <c r="B16053" s="17" t="s">
        <v>477</v>
      </c>
      <c r="K16053" s="18" t="s">
        <v>477</v>
      </c>
    </row>
    <row r="16054">
      <c r="B16054" s="17" t="s">
        <v>477</v>
      </c>
      <c r="K16054" s="18" t="s">
        <v>477</v>
      </c>
    </row>
    <row r="16055">
      <c r="B16055" s="17" t="s">
        <v>477</v>
      </c>
      <c r="K16055" s="18" t="s">
        <v>477</v>
      </c>
    </row>
    <row r="16056">
      <c r="B16056" s="17" t="s">
        <v>477</v>
      </c>
      <c r="K16056" s="18" t="s">
        <v>477</v>
      </c>
    </row>
    <row r="16057">
      <c r="B16057" s="17" t="s">
        <v>477</v>
      </c>
      <c r="K16057" s="18" t="s">
        <v>477</v>
      </c>
    </row>
    <row r="16058">
      <c r="B16058" s="17" t="s">
        <v>477</v>
      </c>
      <c r="K16058" s="18" t="s">
        <v>477</v>
      </c>
    </row>
    <row r="16059">
      <c r="B16059" s="17" t="s">
        <v>477</v>
      </c>
      <c r="K16059" s="18" t="s">
        <v>477</v>
      </c>
    </row>
    <row r="16060">
      <c r="B16060" s="17" t="s">
        <v>477</v>
      </c>
      <c r="K16060" s="18" t="s">
        <v>477</v>
      </c>
    </row>
    <row r="16061">
      <c r="B16061" s="17" t="s">
        <v>477</v>
      </c>
      <c r="K16061" s="18" t="s">
        <v>477</v>
      </c>
    </row>
    <row r="16062">
      <c r="B16062" s="17" t="s">
        <v>477</v>
      </c>
      <c r="K16062" s="18" t="s">
        <v>477</v>
      </c>
    </row>
    <row r="16063">
      <c r="B16063" s="17" t="s">
        <v>477</v>
      </c>
      <c r="K16063" s="18" t="s">
        <v>477</v>
      </c>
    </row>
    <row r="16064">
      <c r="B16064" s="17" t="s">
        <v>477</v>
      </c>
      <c r="K16064" s="18" t="s">
        <v>477</v>
      </c>
    </row>
    <row r="16065">
      <c r="B16065" s="17" t="s">
        <v>477</v>
      </c>
      <c r="K16065" s="18" t="s">
        <v>477</v>
      </c>
    </row>
    <row r="16066">
      <c r="B16066" s="17" t="s">
        <v>477</v>
      </c>
      <c r="K16066" s="18" t="s">
        <v>477</v>
      </c>
    </row>
    <row r="16067">
      <c r="B16067" s="17" t="s">
        <v>477</v>
      </c>
      <c r="K16067" s="18" t="s">
        <v>477</v>
      </c>
    </row>
    <row r="16068">
      <c r="B16068" s="17" t="s">
        <v>477</v>
      </c>
      <c r="K16068" s="18" t="s">
        <v>477</v>
      </c>
    </row>
    <row r="16069">
      <c r="B16069" s="17" t="s">
        <v>477</v>
      </c>
      <c r="K16069" s="18" t="s">
        <v>477</v>
      </c>
    </row>
    <row r="16070">
      <c r="B16070" s="17" t="s">
        <v>477</v>
      </c>
      <c r="K16070" s="18" t="s">
        <v>477</v>
      </c>
    </row>
    <row r="16071">
      <c r="B16071" s="17" t="s">
        <v>477</v>
      </c>
      <c r="K16071" s="18" t="s">
        <v>477</v>
      </c>
    </row>
    <row r="16072">
      <c r="B16072" s="17" t="s">
        <v>477</v>
      </c>
      <c r="K16072" s="18" t="s">
        <v>477</v>
      </c>
    </row>
    <row r="16073">
      <c r="B16073" s="17" t="s">
        <v>477</v>
      </c>
      <c r="K16073" s="18" t="s">
        <v>477</v>
      </c>
    </row>
    <row r="16074">
      <c r="B16074" s="17" t="s">
        <v>477</v>
      </c>
      <c r="K16074" s="18" t="s">
        <v>477</v>
      </c>
    </row>
    <row r="16075">
      <c r="B16075" s="17" t="s">
        <v>477</v>
      </c>
      <c r="K16075" s="18" t="s">
        <v>477</v>
      </c>
    </row>
    <row r="16076">
      <c r="B16076" s="17" t="s">
        <v>477</v>
      </c>
      <c r="K16076" s="18" t="s">
        <v>477</v>
      </c>
    </row>
    <row r="16077">
      <c r="B16077" s="17" t="s">
        <v>477</v>
      </c>
      <c r="K16077" s="18" t="s">
        <v>477</v>
      </c>
    </row>
    <row r="16078">
      <c r="B16078" s="17" t="s">
        <v>477</v>
      </c>
      <c r="K16078" s="18" t="s">
        <v>477</v>
      </c>
    </row>
    <row r="16079">
      <c r="B16079" s="17" t="s">
        <v>477</v>
      </c>
      <c r="K16079" s="18" t="s">
        <v>477</v>
      </c>
    </row>
    <row r="16080">
      <c r="B16080" s="17" t="s">
        <v>477</v>
      </c>
      <c r="K16080" s="18" t="s">
        <v>477</v>
      </c>
    </row>
    <row r="16081">
      <c r="B16081" s="17" t="s">
        <v>477</v>
      </c>
      <c r="K16081" s="18" t="s">
        <v>477</v>
      </c>
    </row>
    <row r="16082">
      <c r="B16082" s="17" t="s">
        <v>477</v>
      </c>
      <c r="K16082" s="18" t="s">
        <v>477</v>
      </c>
    </row>
    <row r="16083">
      <c r="B16083" s="17" t="s">
        <v>477</v>
      </c>
      <c r="K16083" s="18" t="s">
        <v>477</v>
      </c>
    </row>
    <row r="16084">
      <c r="B16084" s="17" t="s">
        <v>477</v>
      </c>
      <c r="K16084" s="18" t="s">
        <v>477</v>
      </c>
    </row>
    <row r="16085">
      <c r="B16085" s="17" t="s">
        <v>477</v>
      </c>
      <c r="K16085" s="18" t="s">
        <v>477</v>
      </c>
    </row>
    <row r="16086">
      <c r="B16086" s="17" t="s">
        <v>477</v>
      </c>
      <c r="K16086" s="18" t="s">
        <v>477</v>
      </c>
    </row>
    <row r="16087">
      <c r="B16087" s="17" t="s">
        <v>477</v>
      </c>
      <c r="K16087" s="18" t="s">
        <v>477</v>
      </c>
    </row>
    <row r="16088">
      <c r="B16088" s="17" t="s">
        <v>477</v>
      </c>
      <c r="K16088" s="18" t="s">
        <v>477</v>
      </c>
    </row>
    <row r="16089">
      <c r="B16089" s="17" t="s">
        <v>477</v>
      </c>
      <c r="K16089" s="18" t="s">
        <v>477</v>
      </c>
    </row>
    <row r="16090">
      <c r="B16090" s="17" t="s">
        <v>477</v>
      </c>
      <c r="K16090" s="18" t="s">
        <v>477</v>
      </c>
    </row>
    <row r="16091">
      <c r="B16091" s="17" t="s">
        <v>477</v>
      </c>
      <c r="K16091" s="18" t="s">
        <v>477</v>
      </c>
    </row>
    <row r="16092">
      <c r="B16092" s="17" t="s">
        <v>477</v>
      </c>
      <c r="K16092" s="18" t="s">
        <v>477</v>
      </c>
    </row>
    <row r="16093">
      <c r="B16093" s="17" t="s">
        <v>477</v>
      </c>
      <c r="K16093" s="18" t="s">
        <v>477</v>
      </c>
    </row>
    <row r="16094">
      <c r="B16094" s="17" t="s">
        <v>477</v>
      </c>
      <c r="K16094" s="18" t="s">
        <v>477</v>
      </c>
    </row>
    <row r="16095">
      <c r="B16095" s="17" t="s">
        <v>477</v>
      </c>
      <c r="K16095" s="18" t="s">
        <v>477</v>
      </c>
    </row>
    <row r="16096">
      <c r="B16096" s="17" t="s">
        <v>477</v>
      </c>
      <c r="K16096" s="18" t="s">
        <v>477</v>
      </c>
    </row>
    <row r="16097">
      <c r="B16097" s="17" t="s">
        <v>477</v>
      </c>
      <c r="K16097" s="18" t="s">
        <v>477</v>
      </c>
    </row>
    <row r="16098">
      <c r="B16098" s="17" t="s">
        <v>477</v>
      </c>
      <c r="K16098" s="18" t="s">
        <v>477</v>
      </c>
    </row>
    <row r="16099">
      <c r="B16099" s="17" t="s">
        <v>477</v>
      </c>
      <c r="K16099" s="18" t="s">
        <v>477</v>
      </c>
    </row>
    <row r="16100">
      <c r="B16100" s="17" t="s">
        <v>477</v>
      </c>
      <c r="K16100" s="18" t="s">
        <v>477</v>
      </c>
    </row>
    <row r="16101">
      <c r="B16101" s="17" t="s">
        <v>477</v>
      </c>
      <c r="K16101" s="18" t="s">
        <v>477</v>
      </c>
    </row>
    <row r="16102">
      <c r="B16102" s="17" t="s">
        <v>477</v>
      </c>
      <c r="K16102" s="18" t="s">
        <v>477</v>
      </c>
    </row>
    <row r="16103">
      <c r="B16103" s="17" t="s">
        <v>477</v>
      </c>
      <c r="K16103" s="18" t="s">
        <v>477</v>
      </c>
    </row>
    <row r="16104">
      <c r="B16104" s="17" t="s">
        <v>477</v>
      </c>
      <c r="K16104" s="18" t="s">
        <v>477</v>
      </c>
    </row>
    <row r="16105">
      <c r="B16105" s="17" t="s">
        <v>477</v>
      </c>
      <c r="K16105" s="18" t="s">
        <v>477</v>
      </c>
    </row>
    <row r="16106">
      <c r="B16106" s="17" t="s">
        <v>477</v>
      </c>
      <c r="K16106" s="18" t="s">
        <v>477</v>
      </c>
    </row>
    <row r="16107">
      <c r="B16107" s="17" t="s">
        <v>477</v>
      </c>
      <c r="K16107" s="18" t="s">
        <v>477</v>
      </c>
    </row>
    <row r="16108">
      <c r="B16108" s="17" t="s">
        <v>477</v>
      </c>
      <c r="K16108" s="18" t="s">
        <v>477</v>
      </c>
    </row>
    <row r="16109">
      <c r="B16109" s="17" t="s">
        <v>477</v>
      </c>
      <c r="K16109" s="18" t="s">
        <v>477</v>
      </c>
    </row>
    <row r="16110">
      <c r="B16110" s="17" t="s">
        <v>477</v>
      </c>
      <c r="K16110" s="18" t="s">
        <v>477</v>
      </c>
    </row>
    <row r="16111">
      <c r="B16111" s="17" t="s">
        <v>477</v>
      </c>
      <c r="K16111" s="18" t="s">
        <v>477</v>
      </c>
    </row>
    <row r="16112">
      <c r="B16112" s="17" t="s">
        <v>477</v>
      </c>
      <c r="K16112" s="18" t="s">
        <v>477</v>
      </c>
    </row>
    <row r="16113">
      <c r="B16113" s="17" t="s">
        <v>477</v>
      </c>
      <c r="K16113" s="18" t="s">
        <v>477</v>
      </c>
    </row>
    <row r="16114">
      <c r="B16114" s="17" t="s">
        <v>477</v>
      </c>
      <c r="K16114" s="18" t="s">
        <v>477</v>
      </c>
    </row>
    <row r="16115">
      <c r="B16115" s="17" t="s">
        <v>477</v>
      </c>
      <c r="K16115" s="18" t="s">
        <v>477</v>
      </c>
    </row>
    <row r="16116">
      <c r="B16116" s="17" t="s">
        <v>477</v>
      </c>
      <c r="K16116" s="18" t="s">
        <v>477</v>
      </c>
    </row>
    <row r="16117">
      <c r="B16117" s="17" t="s">
        <v>477</v>
      </c>
      <c r="K16117" s="18" t="s">
        <v>477</v>
      </c>
    </row>
    <row r="16118">
      <c r="B16118" s="17" t="s">
        <v>477</v>
      </c>
      <c r="K16118" s="18" t="s">
        <v>477</v>
      </c>
    </row>
    <row r="16119">
      <c r="B16119" s="17" t="s">
        <v>477</v>
      </c>
      <c r="K16119" s="18" t="s">
        <v>477</v>
      </c>
    </row>
    <row r="16120">
      <c r="B16120" s="17" t="s">
        <v>477</v>
      </c>
      <c r="K16120" s="18" t="s">
        <v>477</v>
      </c>
    </row>
    <row r="16121">
      <c r="B16121" s="17" t="s">
        <v>477</v>
      </c>
      <c r="K16121" s="18" t="s">
        <v>477</v>
      </c>
    </row>
    <row r="16122">
      <c r="B16122" s="17" t="s">
        <v>477</v>
      </c>
      <c r="K16122" s="18" t="s">
        <v>477</v>
      </c>
    </row>
    <row r="16123">
      <c r="B16123" s="17" t="s">
        <v>477</v>
      </c>
      <c r="K16123" s="18" t="s">
        <v>477</v>
      </c>
    </row>
    <row r="16124">
      <c r="B16124" s="17" t="s">
        <v>477</v>
      </c>
      <c r="K16124" s="18" t="s">
        <v>477</v>
      </c>
    </row>
    <row r="16125">
      <c r="B16125" s="17" t="s">
        <v>477</v>
      </c>
      <c r="K16125" s="18" t="s">
        <v>477</v>
      </c>
    </row>
    <row r="16126">
      <c r="B16126" s="17" t="s">
        <v>477</v>
      </c>
      <c r="K16126" s="18" t="s">
        <v>477</v>
      </c>
    </row>
    <row r="16127">
      <c r="B16127" s="17" t="s">
        <v>477</v>
      </c>
      <c r="K16127" s="18" t="s">
        <v>477</v>
      </c>
    </row>
    <row r="16128">
      <c r="B16128" s="17" t="s">
        <v>477</v>
      </c>
      <c r="K16128" s="18" t="s">
        <v>477</v>
      </c>
    </row>
    <row r="16129">
      <c r="B16129" s="17" t="s">
        <v>477</v>
      </c>
      <c r="K16129" s="18" t="s">
        <v>477</v>
      </c>
    </row>
    <row r="16130">
      <c r="B16130" s="17" t="s">
        <v>477</v>
      </c>
      <c r="K16130" s="18" t="s">
        <v>477</v>
      </c>
    </row>
    <row r="16131">
      <c r="B16131" s="17" t="s">
        <v>477</v>
      </c>
      <c r="K16131" s="18" t="s">
        <v>477</v>
      </c>
    </row>
    <row r="16132">
      <c r="B16132" s="17" t="s">
        <v>477</v>
      </c>
      <c r="K16132" s="18" t="s">
        <v>477</v>
      </c>
    </row>
    <row r="16133">
      <c r="B16133" s="17" t="s">
        <v>477</v>
      </c>
      <c r="K16133" s="18" t="s">
        <v>477</v>
      </c>
    </row>
    <row r="16134">
      <c r="B16134" s="17" t="s">
        <v>477</v>
      </c>
      <c r="K16134" s="18" t="s">
        <v>477</v>
      </c>
    </row>
    <row r="16135">
      <c r="B16135" s="17" t="s">
        <v>477</v>
      </c>
      <c r="K16135" s="18" t="s">
        <v>477</v>
      </c>
    </row>
    <row r="16136">
      <c r="B16136" s="17" t="s">
        <v>477</v>
      </c>
      <c r="K16136" s="18" t="s">
        <v>477</v>
      </c>
    </row>
    <row r="16137">
      <c r="B16137" s="17" t="s">
        <v>477</v>
      </c>
      <c r="K16137" s="18" t="s">
        <v>477</v>
      </c>
    </row>
    <row r="16138">
      <c r="B16138" s="17" t="s">
        <v>477</v>
      </c>
      <c r="K16138" s="18" t="s">
        <v>477</v>
      </c>
    </row>
    <row r="16139">
      <c r="B16139" s="17" t="s">
        <v>477</v>
      </c>
      <c r="K16139" s="18" t="s">
        <v>477</v>
      </c>
    </row>
    <row r="16140">
      <c r="B16140" s="17" t="s">
        <v>477</v>
      </c>
      <c r="K16140" s="18" t="s">
        <v>477</v>
      </c>
    </row>
    <row r="16141">
      <c r="B16141" s="17" t="s">
        <v>477</v>
      </c>
      <c r="K16141" s="18" t="s">
        <v>477</v>
      </c>
    </row>
    <row r="16142">
      <c r="B16142" s="17" t="s">
        <v>477</v>
      </c>
      <c r="K16142" s="18" t="s">
        <v>477</v>
      </c>
    </row>
    <row r="16143">
      <c r="B16143" s="17" t="s">
        <v>477</v>
      </c>
      <c r="K16143" s="18" t="s">
        <v>477</v>
      </c>
    </row>
    <row r="16144">
      <c r="B16144" s="17" t="s">
        <v>477</v>
      </c>
      <c r="K16144" s="18" t="s">
        <v>477</v>
      </c>
    </row>
    <row r="16145">
      <c r="B16145" s="17" t="s">
        <v>477</v>
      </c>
      <c r="K16145" s="18" t="s">
        <v>477</v>
      </c>
    </row>
    <row r="16146">
      <c r="B16146" s="17" t="s">
        <v>477</v>
      </c>
      <c r="K16146" s="18" t="s">
        <v>477</v>
      </c>
    </row>
    <row r="16147">
      <c r="B16147" s="17" t="s">
        <v>477</v>
      </c>
      <c r="K16147" s="18" t="s">
        <v>477</v>
      </c>
    </row>
    <row r="16148">
      <c r="B16148" s="17" t="s">
        <v>477</v>
      </c>
      <c r="K16148" s="18" t="s">
        <v>477</v>
      </c>
    </row>
    <row r="16149">
      <c r="B16149" s="17" t="s">
        <v>477</v>
      </c>
      <c r="K16149" s="18" t="s">
        <v>477</v>
      </c>
    </row>
    <row r="16150">
      <c r="B16150" s="17" t="s">
        <v>477</v>
      </c>
      <c r="K16150" s="18" t="s">
        <v>477</v>
      </c>
    </row>
    <row r="16151">
      <c r="B16151" s="17" t="s">
        <v>477</v>
      </c>
      <c r="K16151" s="18" t="s">
        <v>477</v>
      </c>
    </row>
    <row r="16152">
      <c r="B16152" s="17" t="s">
        <v>477</v>
      </c>
      <c r="K16152" s="18" t="s">
        <v>477</v>
      </c>
    </row>
    <row r="16153">
      <c r="B16153" s="17" t="s">
        <v>477</v>
      </c>
      <c r="K16153" s="18" t="s">
        <v>477</v>
      </c>
    </row>
    <row r="16154">
      <c r="B16154" s="17" t="s">
        <v>477</v>
      </c>
      <c r="K16154" s="18" t="s">
        <v>477</v>
      </c>
    </row>
    <row r="16155">
      <c r="B16155" s="17" t="s">
        <v>477</v>
      </c>
      <c r="K16155" s="18" t="s">
        <v>477</v>
      </c>
    </row>
    <row r="16156">
      <c r="B16156" s="17" t="s">
        <v>477</v>
      </c>
      <c r="K16156" s="18" t="s">
        <v>477</v>
      </c>
    </row>
    <row r="16157">
      <c r="B16157" s="17" t="s">
        <v>477</v>
      </c>
      <c r="K16157" s="18" t="s">
        <v>477</v>
      </c>
    </row>
    <row r="16158">
      <c r="B16158" s="17" t="s">
        <v>477</v>
      </c>
      <c r="K16158" s="18" t="s">
        <v>477</v>
      </c>
    </row>
    <row r="16159">
      <c r="B16159" s="17" t="s">
        <v>477</v>
      </c>
      <c r="K16159" s="18" t="s">
        <v>477</v>
      </c>
    </row>
    <row r="16160">
      <c r="B16160" s="17" t="s">
        <v>477</v>
      </c>
      <c r="K16160" s="18" t="s">
        <v>477</v>
      </c>
    </row>
    <row r="16161">
      <c r="B16161" s="17" t="s">
        <v>477</v>
      </c>
      <c r="K16161" s="18" t="s">
        <v>477</v>
      </c>
    </row>
    <row r="16162">
      <c r="B16162" s="17" t="s">
        <v>477</v>
      </c>
      <c r="K16162" s="18" t="s">
        <v>477</v>
      </c>
    </row>
    <row r="16163">
      <c r="B16163" s="17" t="s">
        <v>477</v>
      </c>
      <c r="K16163" s="18" t="s">
        <v>477</v>
      </c>
    </row>
    <row r="16164">
      <c r="B16164" s="17" t="s">
        <v>477</v>
      </c>
      <c r="K16164" s="18" t="s">
        <v>477</v>
      </c>
    </row>
    <row r="16165">
      <c r="B16165" s="17" t="s">
        <v>477</v>
      </c>
      <c r="K16165" s="18" t="s">
        <v>477</v>
      </c>
    </row>
    <row r="16166">
      <c r="B16166" s="17" t="s">
        <v>477</v>
      </c>
      <c r="K16166" s="18" t="s">
        <v>477</v>
      </c>
    </row>
    <row r="16167">
      <c r="B16167" s="17" t="s">
        <v>477</v>
      </c>
      <c r="K16167" s="18" t="s">
        <v>477</v>
      </c>
    </row>
    <row r="16168">
      <c r="B16168" s="17" t="s">
        <v>477</v>
      </c>
      <c r="K16168" s="18" t="s">
        <v>477</v>
      </c>
    </row>
    <row r="16169">
      <c r="B16169" s="17" t="s">
        <v>477</v>
      </c>
      <c r="K16169" s="18" t="s">
        <v>477</v>
      </c>
    </row>
    <row r="16170">
      <c r="B16170" s="17" t="s">
        <v>477</v>
      </c>
      <c r="K16170" s="18" t="s">
        <v>477</v>
      </c>
    </row>
    <row r="16171">
      <c r="B16171" s="17" t="s">
        <v>477</v>
      </c>
      <c r="K16171" s="18" t="s">
        <v>477</v>
      </c>
    </row>
    <row r="16172">
      <c r="B16172" s="17" t="s">
        <v>477</v>
      </c>
      <c r="K16172" s="18" t="s">
        <v>477</v>
      </c>
    </row>
    <row r="16173">
      <c r="B16173" s="17" t="s">
        <v>477</v>
      </c>
      <c r="K16173" s="18" t="s">
        <v>477</v>
      </c>
    </row>
    <row r="16174">
      <c r="B16174" s="17" t="s">
        <v>477</v>
      </c>
      <c r="K16174" s="18" t="s">
        <v>477</v>
      </c>
    </row>
    <row r="16175">
      <c r="B16175" s="17" t="s">
        <v>477</v>
      </c>
      <c r="K16175" s="18" t="s">
        <v>477</v>
      </c>
    </row>
    <row r="16176">
      <c r="B16176" s="17" t="s">
        <v>477</v>
      </c>
      <c r="K16176" s="18" t="s">
        <v>477</v>
      </c>
    </row>
    <row r="16177">
      <c r="B16177" s="17" t="s">
        <v>477</v>
      </c>
      <c r="K16177" s="18" t="s">
        <v>477</v>
      </c>
    </row>
    <row r="16178">
      <c r="B16178" s="17" t="s">
        <v>477</v>
      </c>
      <c r="K16178" s="18" t="s">
        <v>477</v>
      </c>
    </row>
    <row r="16179">
      <c r="B16179" s="17" t="s">
        <v>477</v>
      </c>
      <c r="K16179" s="18" t="s">
        <v>477</v>
      </c>
    </row>
    <row r="16180">
      <c r="B16180" s="17" t="s">
        <v>477</v>
      </c>
      <c r="K16180" s="18" t="s">
        <v>477</v>
      </c>
    </row>
    <row r="16181">
      <c r="B16181" s="17" t="s">
        <v>477</v>
      </c>
      <c r="K16181" s="18" t="s">
        <v>477</v>
      </c>
    </row>
    <row r="16182">
      <c r="B16182" s="17" t="s">
        <v>477</v>
      </c>
      <c r="K16182" s="18" t="s">
        <v>477</v>
      </c>
    </row>
    <row r="16183">
      <c r="B16183" s="17" t="s">
        <v>477</v>
      </c>
      <c r="K16183" s="18" t="s">
        <v>477</v>
      </c>
    </row>
    <row r="16184">
      <c r="B16184" s="17" t="s">
        <v>477</v>
      </c>
      <c r="K16184" s="18" t="s">
        <v>477</v>
      </c>
    </row>
    <row r="16185">
      <c r="B16185" s="17" t="s">
        <v>477</v>
      </c>
      <c r="K16185" s="18" t="s">
        <v>477</v>
      </c>
    </row>
    <row r="16186">
      <c r="B16186" s="17" t="s">
        <v>477</v>
      </c>
      <c r="K16186" s="18" t="s">
        <v>477</v>
      </c>
    </row>
    <row r="16187">
      <c r="B16187" s="17" t="s">
        <v>477</v>
      </c>
      <c r="K16187" s="18" t="s">
        <v>477</v>
      </c>
    </row>
    <row r="16188">
      <c r="B16188" s="17" t="s">
        <v>477</v>
      </c>
      <c r="K16188" s="18" t="s">
        <v>477</v>
      </c>
    </row>
    <row r="16189">
      <c r="B16189" s="17" t="s">
        <v>477</v>
      </c>
      <c r="K16189" s="18" t="s">
        <v>477</v>
      </c>
    </row>
    <row r="16190">
      <c r="B16190" s="17" t="s">
        <v>477</v>
      </c>
      <c r="K16190" s="18" t="s">
        <v>477</v>
      </c>
    </row>
    <row r="16191">
      <c r="B16191" s="17" t="s">
        <v>477</v>
      </c>
      <c r="K16191" s="18" t="s">
        <v>477</v>
      </c>
    </row>
    <row r="16192">
      <c r="B16192" s="17" t="s">
        <v>477</v>
      </c>
      <c r="K16192" s="18" t="s">
        <v>477</v>
      </c>
    </row>
    <row r="16193">
      <c r="B16193" s="17" t="s">
        <v>477</v>
      </c>
      <c r="K16193" s="18" t="s">
        <v>477</v>
      </c>
    </row>
    <row r="16194">
      <c r="B16194" s="17" t="s">
        <v>477</v>
      </c>
      <c r="K16194" s="18" t="s">
        <v>477</v>
      </c>
    </row>
    <row r="16195">
      <c r="B16195" s="17" t="s">
        <v>477</v>
      </c>
      <c r="K16195" s="18" t="s">
        <v>477</v>
      </c>
    </row>
    <row r="16196">
      <c r="B16196" s="17" t="s">
        <v>477</v>
      </c>
      <c r="K16196" s="18" t="s">
        <v>477</v>
      </c>
    </row>
    <row r="16197">
      <c r="B16197" s="17" t="s">
        <v>477</v>
      </c>
      <c r="K16197" s="18" t="s">
        <v>477</v>
      </c>
    </row>
    <row r="16198">
      <c r="B16198" s="17" t="s">
        <v>477</v>
      </c>
      <c r="K16198" s="18" t="s">
        <v>477</v>
      </c>
    </row>
    <row r="16199">
      <c r="B16199" s="17" t="s">
        <v>477</v>
      </c>
      <c r="K16199" s="18" t="s">
        <v>477</v>
      </c>
    </row>
    <row r="16200">
      <c r="B16200" s="17" t="s">
        <v>477</v>
      </c>
      <c r="K16200" s="18" t="s">
        <v>477</v>
      </c>
    </row>
    <row r="16201">
      <c r="B16201" s="17" t="s">
        <v>477</v>
      </c>
      <c r="K16201" s="18" t="s">
        <v>477</v>
      </c>
    </row>
    <row r="16202">
      <c r="B16202" s="17" t="s">
        <v>477</v>
      </c>
      <c r="K16202" s="18" t="s">
        <v>477</v>
      </c>
    </row>
    <row r="16203">
      <c r="B16203" s="17" t="s">
        <v>477</v>
      </c>
      <c r="K16203" s="18" t="s">
        <v>477</v>
      </c>
    </row>
    <row r="16204">
      <c r="B16204" s="17" t="s">
        <v>477</v>
      </c>
      <c r="K16204" s="18" t="s">
        <v>477</v>
      </c>
    </row>
    <row r="16205">
      <c r="B16205" s="17" t="s">
        <v>477</v>
      </c>
      <c r="K16205" s="18" t="s">
        <v>477</v>
      </c>
    </row>
    <row r="16206">
      <c r="B16206" s="17" t="s">
        <v>477</v>
      </c>
      <c r="K16206" s="18" t="s">
        <v>477</v>
      </c>
    </row>
    <row r="16207">
      <c r="B16207" s="17" t="s">
        <v>477</v>
      </c>
      <c r="K16207" s="18" t="s">
        <v>477</v>
      </c>
    </row>
    <row r="16208">
      <c r="B16208" s="17" t="s">
        <v>477</v>
      </c>
      <c r="K16208" s="18" t="s">
        <v>477</v>
      </c>
    </row>
    <row r="16209">
      <c r="B16209" s="17" t="s">
        <v>477</v>
      </c>
      <c r="K16209" s="18" t="s">
        <v>477</v>
      </c>
    </row>
    <row r="16210">
      <c r="B16210" s="17" t="s">
        <v>477</v>
      </c>
      <c r="K16210" s="18" t="s">
        <v>477</v>
      </c>
    </row>
    <row r="16211">
      <c r="B16211" s="17" t="s">
        <v>477</v>
      </c>
      <c r="K16211" s="18" t="s">
        <v>477</v>
      </c>
    </row>
    <row r="16212">
      <c r="B16212" s="17" t="s">
        <v>477</v>
      </c>
      <c r="K16212" s="18" t="s">
        <v>477</v>
      </c>
    </row>
    <row r="16213">
      <c r="B16213" s="17" t="s">
        <v>477</v>
      </c>
      <c r="K16213" s="18" t="s">
        <v>477</v>
      </c>
    </row>
    <row r="16214">
      <c r="B16214" s="17" t="s">
        <v>477</v>
      </c>
      <c r="K16214" s="18" t="s">
        <v>477</v>
      </c>
    </row>
    <row r="16215">
      <c r="B16215" s="17" t="s">
        <v>477</v>
      </c>
      <c r="K16215" s="18" t="s">
        <v>477</v>
      </c>
    </row>
    <row r="16216">
      <c r="B16216" s="17" t="s">
        <v>477</v>
      </c>
      <c r="K16216" s="18" t="s">
        <v>477</v>
      </c>
    </row>
    <row r="16217">
      <c r="B16217" s="17" t="s">
        <v>477</v>
      </c>
      <c r="K16217" s="18" t="s">
        <v>477</v>
      </c>
    </row>
    <row r="16218">
      <c r="B16218" s="17" t="s">
        <v>477</v>
      </c>
      <c r="K16218" s="18" t="s">
        <v>477</v>
      </c>
    </row>
    <row r="16219">
      <c r="B16219" s="17" t="s">
        <v>477</v>
      </c>
      <c r="K16219" s="18" t="s">
        <v>477</v>
      </c>
    </row>
    <row r="16220">
      <c r="B16220" s="17" t="s">
        <v>477</v>
      </c>
      <c r="K16220" s="18" t="s">
        <v>477</v>
      </c>
    </row>
    <row r="16221">
      <c r="B16221" s="17" t="s">
        <v>477</v>
      </c>
      <c r="K16221" s="18" t="s">
        <v>477</v>
      </c>
    </row>
    <row r="16222">
      <c r="B16222" s="17" t="s">
        <v>477</v>
      </c>
      <c r="K16222" s="18" t="s">
        <v>477</v>
      </c>
    </row>
    <row r="16223">
      <c r="B16223" s="17" t="s">
        <v>477</v>
      </c>
      <c r="K16223" s="18" t="s">
        <v>477</v>
      </c>
    </row>
    <row r="16224">
      <c r="B16224" s="17" t="s">
        <v>477</v>
      </c>
      <c r="K16224" s="18" t="s">
        <v>477</v>
      </c>
    </row>
    <row r="16225">
      <c r="B16225" s="17" t="s">
        <v>477</v>
      </c>
      <c r="K16225" s="18" t="s">
        <v>477</v>
      </c>
    </row>
    <row r="16226">
      <c r="B16226" s="17" t="s">
        <v>477</v>
      </c>
      <c r="K16226" s="18" t="s">
        <v>477</v>
      </c>
    </row>
    <row r="16227">
      <c r="B16227" s="17" t="s">
        <v>477</v>
      </c>
      <c r="K16227" s="18" t="s">
        <v>477</v>
      </c>
    </row>
    <row r="16228">
      <c r="B16228" s="17" t="s">
        <v>477</v>
      </c>
      <c r="K16228" s="18" t="s">
        <v>477</v>
      </c>
    </row>
    <row r="16229">
      <c r="B16229" s="17" t="s">
        <v>477</v>
      </c>
      <c r="K16229" s="18" t="s">
        <v>477</v>
      </c>
    </row>
    <row r="16230">
      <c r="B16230" s="17" t="s">
        <v>477</v>
      </c>
      <c r="K16230" s="18" t="s">
        <v>477</v>
      </c>
    </row>
    <row r="16231">
      <c r="B16231" s="17" t="s">
        <v>477</v>
      </c>
      <c r="K16231" s="18" t="s">
        <v>477</v>
      </c>
    </row>
    <row r="16232">
      <c r="B16232" s="17" t="s">
        <v>477</v>
      </c>
      <c r="K16232" s="18" t="s">
        <v>477</v>
      </c>
    </row>
    <row r="16233">
      <c r="B16233" s="17" t="s">
        <v>477</v>
      </c>
      <c r="K16233" s="18" t="s">
        <v>477</v>
      </c>
    </row>
    <row r="16234">
      <c r="B16234" s="17" t="s">
        <v>477</v>
      </c>
      <c r="K16234" s="18" t="s">
        <v>477</v>
      </c>
    </row>
    <row r="16235">
      <c r="B16235" s="17" t="s">
        <v>477</v>
      </c>
      <c r="K16235" s="18" t="s">
        <v>477</v>
      </c>
    </row>
    <row r="16236">
      <c r="B16236" s="17" t="s">
        <v>477</v>
      </c>
      <c r="K16236" s="18" t="s">
        <v>477</v>
      </c>
    </row>
    <row r="16237">
      <c r="B16237" s="17" t="s">
        <v>477</v>
      </c>
      <c r="K16237" s="18" t="s">
        <v>477</v>
      </c>
    </row>
    <row r="16238">
      <c r="B16238" s="17" t="s">
        <v>477</v>
      </c>
      <c r="K16238" s="18" t="s">
        <v>477</v>
      </c>
    </row>
    <row r="16239">
      <c r="B16239" s="17" t="s">
        <v>477</v>
      </c>
      <c r="K16239" s="18" t="s">
        <v>477</v>
      </c>
    </row>
    <row r="16240">
      <c r="B16240" s="17" t="s">
        <v>477</v>
      </c>
      <c r="K16240" s="18" t="s">
        <v>477</v>
      </c>
    </row>
    <row r="16241">
      <c r="B16241" s="17" t="s">
        <v>477</v>
      </c>
      <c r="K16241" s="18" t="s">
        <v>477</v>
      </c>
    </row>
    <row r="16242">
      <c r="B16242" s="17" t="s">
        <v>477</v>
      </c>
      <c r="K16242" s="18" t="s">
        <v>477</v>
      </c>
    </row>
    <row r="16243">
      <c r="B16243" s="17" t="s">
        <v>477</v>
      </c>
      <c r="K16243" s="18" t="s">
        <v>477</v>
      </c>
    </row>
    <row r="16244">
      <c r="B16244" s="17" t="s">
        <v>477</v>
      </c>
      <c r="K16244" s="18" t="s">
        <v>477</v>
      </c>
    </row>
    <row r="16245">
      <c r="B16245" s="17" t="s">
        <v>477</v>
      </c>
      <c r="K16245" s="18" t="s">
        <v>477</v>
      </c>
    </row>
    <row r="16246">
      <c r="B16246" s="17" t="s">
        <v>477</v>
      </c>
      <c r="K16246" s="18" t="s">
        <v>477</v>
      </c>
    </row>
    <row r="16247">
      <c r="B16247" s="17" t="s">
        <v>477</v>
      </c>
      <c r="K16247" s="18" t="s">
        <v>477</v>
      </c>
    </row>
    <row r="16248">
      <c r="B16248" s="17" t="s">
        <v>477</v>
      </c>
      <c r="K16248" s="18" t="s">
        <v>477</v>
      </c>
    </row>
    <row r="16249">
      <c r="B16249" s="17" t="s">
        <v>477</v>
      </c>
      <c r="K16249" s="18" t="s">
        <v>477</v>
      </c>
    </row>
    <row r="16250">
      <c r="B16250" s="17" t="s">
        <v>477</v>
      </c>
      <c r="K16250" s="18" t="s">
        <v>477</v>
      </c>
    </row>
    <row r="16251">
      <c r="B16251" s="17" t="s">
        <v>477</v>
      </c>
      <c r="K16251" s="18" t="s">
        <v>477</v>
      </c>
    </row>
    <row r="16252">
      <c r="B16252" s="17" t="s">
        <v>477</v>
      </c>
      <c r="K16252" s="18" t="s">
        <v>477</v>
      </c>
    </row>
    <row r="16253">
      <c r="B16253" s="17" t="s">
        <v>477</v>
      </c>
      <c r="K16253" s="18" t="s">
        <v>477</v>
      </c>
    </row>
    <row r="16254">
      <c r="B16254" s="17" t="s">
        <v>477</v>
      </c>
      <c r="K16254" s="18" t="s">
        <v>477</v>
      </c>
    </row>
    <row r="16255">
      <c r="B16255" s="17" t="s">
        <v>477</v>
      </c>
      <c r="K16255" s="18" t="s">
        <v>477</v>
      </c>
    </row>
    <row r="16256">
      <c r="B16256" s="17" t="s">
        <v>477</v>
      </c>
      <c r="K16256" s="18" t="s">
        <v>477</v>
      </c>
    </row>
    <row r="16257">
      <c r="B16257" s="17" t="s">
        <v>477</v>
      </c>
      <c r="K16257" s="18" t="s">
        <v>477</v>
      </c>
    </row>
    <row r="16258">
      <c r="B16258" s="17" t="s">
        <v>477</v>
      </c>
      <c r="K16258" s="18" t="s">
        <v>477</v>
      </c>
    </row>
    <row r="16259">
      <c r="B16259" s="17" t="s">
        <v>477</v>
      </c>
      <c r="K16259" s="18" t="s">
        <v>477</v>
      </c>
    </row>
    <row r="16260">
      <c r="B16260" s="17" t="s">
        <v>477</v>
      </c>
      <c r="K16260" s="18" t="s">
        <v>477</v>
      </c>
    </row>
    <row r="16261">
      <c r="B16261" s="17" t="s">
        <v>477</v>
      </c>
      <c r="K16261" s="18" t="s">
        <v>477</v>
      </c>
    </row>
    <row r="16262">
      <c r="B16262" s="17" t="s">
        <v>477</v>
      </c>
      <c r="K16262" s="18" t="s">
        <v>477</v>
      </c>
    </row>
    <row r="16263">
      <c r="B16263" s="17" t="s">
        <v>477</v>
      </c>
      <c r="K16263" s="18" t="s">
        <v>477</v>
      </c>
    </row>
    <row r="16264">
      <c r="B16264" s="17" t="s">
        <v>477</v>
      </c>
      <c r="K16264" s="18" t="s">
        <v>477</v>
      </c>
    </row>
    <row r="16265">
      <c r="B16265" s="17" t="s">
        <v>477</v>
      </c>
      <c r="K16265" s="18" t="s">
        <v>477</v>
      </c>
    </row>
    <row r="16266">
      <c r="B16266" s="17" t="s">
        <v>477</v>
      </c>
      <c r="K16266" s="18" t="s">
        <v>477</v>
      </c>
    </row>
    <row r="16267">
      <c r="B16267" s="17" t="s">
        <v>477</v>
      </c>
      <c r="K16267" s="18" t="s">
        <v>477</v>
      </c>
    </row>
    <row r="16268">
      <c r="B16268" s="17" t="s">
        <v>477</v>
      </c>
      <c r="K16268" s="18" t="s">
        <v>477</v>
      </c>
    </row>
    <row r="16269">
      <c r="B16269" s="17" t="s">
        <v>477</v>
      </c>
      <c r="K16269" s="18" t="s">
        <v>477</v>
      </c>
    </row>
    <row r="16270">
      <c r="B16270" s="17" t="s">
        <v>477</v>
      </c>
      <c r="K16270" s="18" t="s">
        <v>477</v>
      </c>
    </row>
    <row r="16271">
      <c r="B16271" s="17" t="s">
        <v>477</v>
      </c>
      <c r="K16271" s="18" t="s">
        <v>477</v>
      </c>
    </row>
    <row r="16272">
      <c r="B16272" s="17" t="s">
        <v>477</v>
      </c>
      <c r="K16272" s="18" t="s">
        <v>477</v>
      </c>
    </row>
    <row r="16273">
      <c r="B16273" s="17" t="s">
        <v>477</v>
      </c>
      <c r="K16273" s="18" t="s">
        <v>477</v>
      </c>
    </row>
    <row r="16274">
      <c r="B16274" s="17" t="s">
        <v>477</v>
      </c>
      <c r="K16274" s="18" t="s">
        <v>477</v>
      </c>
    </row>
    <row r="16275">
      <c r="B16275" s="17" t="s">
        <v>477</v>
      </c>
      <c r="K16275" s="18" t="s">
        <v>477</v>
      </c>
    </row>
    <row r="16276">
      <c r="B16276" s="17" t="s">
        <v>477</v>
      </c>
      <c r="K16276" s="18" t="s">
        <v>477</v>
      </c>
    </row>
    <row r="16277">
      <c r="B16277" s="17" t="s">
        <v>477</v>
      </c>
      <c r="K16277" s="18" t="s">
        <v>477</v>
      </c>
    </row>
    <row r="16278">
      <c r="B16278" s="17" t="s">
        <v>477</v>
      </c>
      <c r="K16278" s="18" t="s">
        <v>477</v>
      </c>
    </row>
    <row r="16279">
      <c r="B16279" s="17" t="s">
        <v>477</v>
      </c>
      <c r="K16279" s="18" t="s">
        <v>477</v>
      </c>
    </row>
    <row r="16280">
      <c r="B16280" s="17" t="s">
        <v>477</v>
      </c>
      <c r="K16280" s="18" t="s">
        <v>477</v>
      </c>
    </row>
    <row r="16281">
      <c r="B16281" s="17" t="s">
        <v>477</v>
      </c>
      <c r="K16281" s="18" t="s">
        <v>477</v>
      </c>
    </row>
    <row r="16282">
      <c r="B16282" s="17" t="s">
        <v>477</v>
      </c>
      <c r="K16282" s="18" t="s">
        <v>477</v>
      </c>
    </row>
    <row r="16283">
      <c r="B16283" s="17" t="s">
        <v>477</v>
      </c>
      <c r="K16283" s="18" t="s">
        <v>477</v>
      </c>
    </row>
    <row r="16284">
      <c r="B16284" s="17" t="s">
        <v>477</v>
      </c>
      <c r="K16284" s="18" t="s">
        <v>477</v>
      </c>
    </row>
    <row r="16285">
      <c r="B16285" s="17" t="s">
        <v>477</v>
      </c>
      <c r="K16285" s="18" t="s">
        <v>477</v>
      </c>
    </row>
    <row r="16286">
      <c r="B16286" s="17" t="s">
        <v>477</v>
      </c>
      <c r="K16286" s="18" t="s">
        <v>477</v>
      </c>
    </row>
    <row r="16287">
      <c r="B16287" s="17" t="s">
        <v>477</v>
      </c>
      <c r="K16287" s="18" t="s">
        <v>477</v>
      </c>
    </row>
    <row r="16288">
      <c r="B16288" s="17" t="s">
        <v>477</v>
      </c>
      <c r="K16288" s="18" t="s">
        <v>477</v>
      </c>
    </row>
    <row r="16289">
      <c r="B16289" s="17" t="s">
        <v>477</v>
      </c>
      <c r="K16289" s="18" t="s">
        <v>477</v>
      </c>
    </row>
    <row r="16290">
      <c r="B16290" s="17" t="s">
        <v>477</v>
      </c>
      <c r="K16290" s="18" t="s">
        <v>477</v>
      </c>
    </row>
    <row r="16291">
      <c r="B16291" s="17" t="s">
        <v>477</v>
      </c>
      <c r="K16291" s="18" t="s">
        <v>477</v>
      </c>
    </row>
    <row r="16292">
      <c r="B16292" s="17" t="s">
        <v>477</v>
      </c>
      <c r="K16292" s="18" t="s">
        <v>477</v>
      </c>
    </row>
    <row r="16293">
      <c r="B16293" s="17" t="s">
        <v>477</v>
      </c>
      <c r="K16293" s="18" t="s">
        <v>477</v>
      </c>
    </row>
    <row r="16294">
      <c r="B16294" s="17" t="s">
        <v>477</v>
      </c>
      <c r="K16294" s="18" t="s">
        <v>477</v>
      </c>
    </row>
    <row r="16295">
      <c r="B16295" s="17" t="s">
        <v>477</v>
      </c>
      <c r="K16295" s="18" t="s">
        <v>477</v>
      </c>
    </row>
    <row r="16296">
      <c r="B16296" s="17" t="s">
        <v>477</v>
      </c>
      <c r="K16296" s="18" t="s">
        <v>477</v>
      </c>
    </row>
    <row r="16297">
      <c r="B16297" s="17" t="s">
        <v>477</v>
      </c>
      <c r="K16297" s="18" t="s">
        <v>477</v>
      </c>
    </row>
    <row r="16298">
      <c r="B16298" s="17" t="s">
        <v>477</v>
      </c>
      <c r="K16298" s="18" t="s">
        <v>477</v>
      </c>
    </row>
    <row r="16299">
      <c r="B16299" s="17" t="s">
        <v>477</v>
      </c>
      <c r="K16299" s="18" t="s">
        <v>477</v>
      </c>
    </row>
    <row r="16300">
      <c r="B16300" s="17" t="s">
        <v>477</v>
      </c>
      <c r="K16300" s="18" t="s">
        <v>477</v>
      </c>
    </row>
    <row r="16301">
      <c r="B16301" s="17" t="s">
        <v>477</v>
      </c>
      <c r="K16301" s="18" t="s">
        <v>477</v>
      </c>
    </row>
    <row r="16302">
      <c r="B16302" s="17" t="s">
        <v>477</v>
      </c>
      <c r="K16302" s="18" t="s">
        <v>477</v>
      </c>
    </row>
    <row r="16303">
      <c r="B16303" s="17" t="s">
        <v>477</v>
      </c>
      <c r="K16303" s="18" t="s">
        <v>477</v>
      </c>
    </row>
    <row r="16304">
      <c r="B16304" s="17" t="s">
        <v>477</v>
      </c>
      <c r="K16304" s="18" t="s">
        <v>477</v>
      </c>
    </row>
    <row r="16305">
      <c r="B16305" s="17" t="s">
        <v>477</v>
      </c>
      <c r="K16305" s="18" t="s">
        <v>477</v>
      </c>
    </row>
    <row r="16306">
      <c r="B16306" s="17" t="s">
        <v>477</v>
      </c>
      <c r="K16306" s="18" t="s">
        <v>477</v>
      </c>
    </row>
    <row r="16307">
      <c r="B16307" s="17" t="s">
        <v>477</v>
      </c>
      <c r="K16307" s="18" t="s">
        <v>477</v>
      </c>
    </row>
    <row r="16308">
      <c r="B16308" s="17" t="s">
        <v>477</v>
      </c>
      <c r="K16308" s="18" t="s">
        <v>477</v>
      </c>
    </row>
    <row r="16309">
      <c r="B16309" s="17" t="s">
        <v>477</v>
      </c>
      <c r="K16309" s="18" t="s">
        <v>477</v>
      </c>
    </row>
    <row r="16310">
      <c r="B16310" s="17" t="s">
        <v>477</v>
      </c>
      <c r="K16310" s="18" t="s">
        <v>477</v>
      </c>
    </row>
    <row r="16311">
      <c r="B16311" s="17" t="s">
        <v>477</v>
      </c>
      <c r="K16311" s="18" t="s">
        <v>477</v>
      </c>
    </row>
    <row r="16312">
      <c r="B16312" s="17" t="s">
        <v>477</v>
      </c>
      <c r="K16312" s="18" t="s">
        <v>477</v>
      </c>
    </row>
    <row r="16313">
      <c r="B16313" s="17" t="s">
        <v>477</v>
      </c>
      <c r="K16313" s="18" t="s">
        <v>477</v>
      </c>
    </row>
    <row r="16314">
      <c r="B16314" s="17" t="s">
        <v>477</v>
      </c>
      <c r="K16314" s="18" t="s">
        <v>477</v>
      </c>
    </row>
    <row r="16315">
      <c r="B16315" s="17" t="s">
        <v>477</v>
      </c>
      <c r="K16315" s="18" t="s">
        <v>477</v>
      </c>
    </row>
    <row r="16316">
      <c r="B16316" s="17" t="s">
        <v>477</v>
      </c>
      <c r="K16316" s="18" t="s">
        <v>477</v>
      </c>
    </row>
    <row r="16317">
      <c r="B16317" s="17" t="s">
        <v>477</v>
      </c>
      <c r="K16317" s="18" t="s">
        <v>477</v>
      </c>
    </row>
    <row r="16318">
      <c r="B16318" s="17" t="s">
        <v>477</v>
      </c>
      <c r="K16318" s="18" t="s">
        <v>477</v>
      </c>
    </row>
    <row r="16319">
      <c r="B16319" s="17" t="s">
        <v>477</v>
      </c>
      <c r="K16319" s="18" t="s">
        <v>477</v>
      </c>
    </row>
    <row r="16320">
      <c r="B16320" s="17" t="s">
        <v>477</v>
      </c>
      <c r="K16320" s="18" t="s">
        <v>477</v>
      </c>
    </row>
    <row r="16321">
      <c r="B16321" s="17" t="s">
        <v>477</v>
      </c>
      <c r="K16321" s="18" t="s">
        <v>477</v>
      </c>
    </row>
    <row r="16322">
      <c r="B16322" s="17" t="s">
        <v>477</v>
      </c>
      <c r="K16322" s="18" t="s">
        <v>477</v>
      </c>
    </row>
    <row r="16323">
      <c r="B16323" s="17" t="s">
        <v>477</v>
      </c>
      <c r="K16323" s="18" t="s">
        <v>477</v>
      </c>
    </row>
    <row r="16324">
      <c r="B16324" s="17" t="s">
        <v>477</v>
      </c>
      <c r="K16324" s="18" t="s">
        <v>477</v>
      </c>
    </row>
    <row r="16325">
      <c r="B16325" s="17" t="s">
        <v>477</v>
      </c>
      <c r="K16325" s="18" t="s">
        <v>477</v>
      </c>
    </row>
    <row r="16326">
      <c r="B16326" s="17" t="s">
        <v>477</v>
      </c>
      <c r="K16326" s="18" t="s">
        <v>477</v>
      </c>
    </row>
    <row r="16327">
      <c r="B16327" s="17" t="s">
        <v>477</v>
      </c>
      <c r="K16327" s="18" t="s">
        <v>477</v>
      </c>
    </row>
    <row r="16328">
      <c r="B16328" s="17" t="s">
        <v>477</v>
      </c>
      <c r="K16328" s="18" t="s">
        <v>477</v>
      </c>
    </row>
    <row r="16329">
      <c r="B16329" s="17" t="s">
        <v>477</v>
      </c>
      <c r="K16329" s="18" t="s">
        <v>477</v>
      </c>
    </row>
    <row r="16330">
      <c r="B16330" s="17" t="s">
        <v>477</v>
      </c>
      <c r="K16330" s="18" t="s">
        <v>477</v>
      </c>
    </row>
    <row r="16331">
      <c r="B16331" s="17" t="s">
        <v>477</v>
      </c>
      <c r="K16331" s="18" t="s">
        <v>477</v>
      </c>
    </row>
    <row r="16332">
      <c r="B16332" s="17" t="s">
        <v>477</v>
      </c>
      <c r="K16332" s="18" t="s">
        <v>477</v>
      </c>
    </row>
    <row r="16333">
      <c r="B16333" s="17" t="s">
        <v>477</v>
      </c>
      <c r="K16333" s="18" t="s">
        <v>477</v>
      </c>
    </row>
    <row r="16334">
      <c r="B16334" s="17" t="s">
        <v>477</v>
      </c>
      <c r="K16334" s="18" t="s">
        <v>477</v>
      </c>
    </row>
    <row r="16335">
      <c r="B16335" s="17" t="s">
        <v>477</v>
      </c>
      <c r="K16335" s="18" t="s">
        <v>477</v>
      </c>
    </row>
    <row r="16336">
      <c r="B16336" s="17" t="s">
        <v>477</v>
      </c>
      <c r="K16336" s="18" t="s">
        <v>477</v>
      </c>
    </row>
    <row r="16337">
      <c r="B16337" s="17" t="s">
        <v>477</v>
      </c>
      <c r="K16337" s="18" t="s">
        <v>477</v>
      </c>
    </row>
    <row r="16338">
      <c r="B16338" s="17" t="s">
        <v>477</v>
      </c>
      <c r="K16338" s="18" t="s">
        <v>477</v>
      </c>
    </row>
    <row r="16339">
      <c r="B16339" s="17" t="s">
        <v>477</v>
      </c>
      <c r="K16339" s="18" t="s">
        <v>477</v>
      </c>
    </row>
    <row r="16340">
      <c r="B16340" s="17" t="s">
        <v>477</v>
      </c>
      <c r="K16340" s="18" t="s">
        <v>477</v>
      </c>
    </row>
    <row r="16341">
      <c r="B16341" s="17" t="s">
        <v>477</v>
      </c>
      <c r="K16341" s="18" t="s">
        <v>477</v>
      </c>
    </row>
    <row r="16342">
      <c r="B16342" s="17" t="s">
        <v>477</v>
      </c>
      <c r="K16342" s="18" t="s">
        <v>477</v>
      </c>
    </row>
    <row r="16343">
      <c r="B16343" s="17" t="s">
        <v>477</v>
      </c>
      <c r="K16343" s="18" t="s">
        <v>477</v>
      </c>
    </row>
    <row r="16344">
      <c r="B16344" s="17" t="s">
        <v>477</v>
      </c>
      <c r="K16344" s="18" t="s">
        <v>477</v>
      </c>
    </row>
    <row r="16345">
      <c r="B16345" s="17" t="s">
        <v>477</v>
      </c>
      <c r="K16345" s="18" t="s">
        <v>477</v>
      </c>
    </row>
    <row r="16346">
      <c r="B16346" s="17" t="s">
        <v>477</v>
      </c>
      <c r="K16346" s="18" t="s">
        <v>477</v>
      </c>
    </row>
    <row r="16347">
      <c r="B16347" s="17" t="s">
        <v>477</v>
      </c>
      <c r="K16347" s="18" t="s">
        <v>477</v>
      </c>
    </row>
    <row r="16348">
      <c r="B16348" s="17" t="s">
        <v>477</v>
      </c>
      <c r="K16348" s="18" t="s">
        <v>477</v>
      </c>
    </row>
    <row r="16349">
      <c r="B16349" s="17" t="s">
        <v>477</v>
      </c>
      <c r="K16349" s="18" t="s">
        <v>477</v>
      </c>
    </row>
    <row r="16350">
      <c r="B16350" s="17" t="s">
        <v>477</v>
      </c>
      <c r="K16350" s="18" t="s">
        <v>477</v>
      </c>
    </row>
    <row r="16351">
      <c r="B16351" s="17" t="s">
        <v>477</v>
      </c>
      <c r="K16351" s="18" t="s">
        <v>477</v>
      </c>
    </row>
    <row r="16352">
      <c r="B16352" s="17" t="s">
        <v>477</v>
      </c>
      <c r="K16352" s="18" t="s">
        <v>477</v>
      </c>
    </row>
    <row r="16353">
      <c r="B16353" s="17" t="s">
        <v>477</v>
      </c>
      <c r="K16353" s="18" t="s">
        <v>477</v>
      </c>
    </row>
    <row r="16354">
      <c r="B16354" s="17" t="s">
        <v>477</v>
      </c>
      <c r="K16354" s="18" t="s">
        <v>477</v>
      </c>
    </row>
    <row r="16355">
      <c r="B16355" s="17" t="s">
        <v>477</v>
      </c>
      <c r="K16355" s="18" t="s">
        <v>477</v>
      </c>
    </row>
    <row r="16356">
      <c r="B16356" s="17" t="s">
        <v>477</v>
      </c>
      <c r="K16356" s="18" t="s">
        <v>477</v>
      </c>
    </row>
    <row r="16357">
      <c r="B16357" s="17" t="s">
        <v>477</v>
      </c>
      <c r="K16357" s="18" t="s">
        <v>477</v>
      </c>
    </row>
    <row r="16358">
      <c r="B16358" s="17" t="s">
        <v>477</v>
      </c>
      <c r="K16358" s="18" t="s">
        <v>477</v>
      </c>
    </row>
    <row r="16359">
      <c r="B16359" s="17" t="s">
        <v>477</v>
      </c>
      <c r="K16359" s="18" t="s">
        <v>477</v>
      </c>
    </row>
    <row r="16360">
      <c r="B16360" s="17" t="s">
        <v>477</v>
      </c>
      <c r="K16360" s="18" t="s">
        <v>477</v>
      </c>
    </row>
    <row r="16361">
      <c r="B16361" s="17" t="s">
        <v>477</v>
      </c>
      <c r="K16361" s="18" t="s">
        <v>477</v>
      </c>
    </row>
    <row r="16362">
      <c r="B16362" s="17" t="s">
        <v>477</v>
      </c>
      <c r="K16362" s="18" t="s">
        <v>477</v>
      </c>
    </row>
    <row r="16363">
      <c r="B16363" s="17" t="s">
        <v>477</v>
      </c>
      <c r="K16363" s="18" t="s">
        <v>477</v>
      </c>
    </row>
    <row r="16364">
      <c r="B16364" s="17" t="s">
        <v>477</v>
      </c>
      <c r="K16364" s="18" t="s">
        <v>477</v>
      </c>
    </row>
    <row r="16365">
      <c r="B16365" s="17" t="s">
        <v>477</v>
      </c>
      <c r="K16365" s="18" t="s">
        <v>477</v>
      </c>
    </row>
    <row r="16366">
      <c r="B16366" s="17" t="s">
        <v>477</v>
      </c>
      <c r="K16366" s="18" t="s">
        <v>477</v>
      </c>
    </row>
    <row r="16367">
      <c r="B16367" s="17" t="s">
        <v>477</v>
      </c>
      <c r="K16367" s="18" t="s">
        <v>477</v>
      </c>
    </row>
    <row r="16368">
      <c r="B16368" s="17" t="s">
        <v>477</v>
      </c>
      <c r="K16368" s="18" t="s">
        <v>477</v>
      </c>
    </row>
    <row r="16369">
      <c r="B16369" s="17" t="s">
        <v>477</v>
      </c>
      <c r="K16369" s="18" t="s">
        <v>477</v>
      </c>
    </row>
    <row r="16370">
      <c r="B16370" s="17" t="s">
        <v>477</v>
      </c>
      <c r="K16370" s="18" t="s">
        <v>477</v>
      </c>
    </row>
    <row r="16371">
      <c r="B16371" s="17" t="s">
        <v>477</v>
      </c>
      <c r="K16371" s="18" t="s">
        <v>477</v>
      </c>
    </row>
    <row r="16372">
      <c r="B16372" s="17" t="s">
        <v>477</v>
      </c>
      <c r="K16372" s="18" t="s">
        <v>477</v>
      </c>
    </row>
    <row r="16373">
      <c r="B16373" s="17" t="s">
        <v>477</v>
      </c>
      <c r="K16373" s="18" t="s">
        <v>477</v>
      </c>
    </row>
    <row r="16374">
      <c r="B16374" s="17" t="s">
        <v>477</v>
      </c>
      <c r="K16374" s="18" t="s">
        <v>477</v>
      </c>
    </row>
    <row r="16375">
      <c r="B16375" s="17" t="s">
        <v>477</v>
      </c>
      <c r="K16375" s="18" t="s">
        <v>477</v>
      </c>
    </row>
    <row r="16376">
      <c r="B16376" s="17" t="s">
        <v>477</v>
      </c>
      <c r="K16376" s="18" t="s">
        <v>477</v>
      </c>
    </row>
    <row r="16377">
      <c r="B16377" s="17" t="s">
        <v>477</v>
      </c>
      <c r="K16377" s="18" t="s">
        <v>477</v>
      </c>
    </row>
    <row r="16378">
      <c r="B16378" s="17" t="s">
        <v>477</v>
      </c>
      <c r="K16378" s="18" t="s">
        <v>477</v>
      </c>
    </row>
    <row r="16379">
      <c r="B16379" s="17" t="s">
        <v>477</v>
      </c>
      <c r="K16379" s="18" t="s">
        <v>477</v>
      </c>
    </row>
    <row r="16380">
      <c r="B16380" s="17" t="s">
        <v>477</v>
      </c>
      <c r="K16380" s="18" t="s">
        <v>477</v>
      </c>
    </row>
    <row r="16381">
      <c r="B16381" s="17" t="s">
        <v>477</v>
      </c>
      <c r="K16381" s="18" t="s">
        <v>477</v>
      </c>
    </row>
    <row r="16382">
      <c r="B16382" s="17" t="s">
        <v>477</v>
      </c>
      <c r="K16382" s="18" t="s">
        <v>477</v>
      </c>
    </row>
    <row r="16383">
      <c r="B16383" s="17" t="s">
        <v>477</v>
      </c>
      <c r="K16383" s="18" t="s">
        <v>477</v>
      </c>
    </row>
    <row r="16384">
      <c r="B16384" s="17" t="s">
        <v>477</v>
      </c>
      <c r="K16384" s="18" t="s">
        <v>477</v>
      </c>
    </row>
    <row r="16385">
      <c r="B16385" s="17" t="s">
        <v>477</v>
      </c>
      <c r="K16385" s="18" t="s">
        <v>477</v>
      </c>
    </row>
    <row r="16386">
      <c r="B16386" s="17" t="s">
        <v>477</v>
      </c>
      <c r="K16386" s="18" t="s">
        <v>477</v>
      </c>
    </row>
    <row r="16387">
      <c r="B16387" s="17" t="s">
        <v>477</v>
      </c>
      <c r="K16387" s="18" t="s">
        <v>477</v>
      </c>
    </row>
    <row r="16388">
      <c r="B16388" s="17" t="s">
        <v>477</v>
      </c>
      <c r="K16388" s="18" t="s">
        <v>477</v>
      </c>
    </row>
    <row r="16389">
      <c r="B16389" s="17" t="s">
        <v>477</v>
      </c>
      <c r="K16389" s="18" t="s">
        <v>477</v>
      </c>
    </row>
    <row r="16390">
      <c r="B16390" s="17" t="s">
        <v>477</v>
      </c>
      <c r="K16390" s="18" t="s">
        <v>477</v>
      </c>
    </row>
    <row r="16391">
      <c r="B16391" s="17" t="s">
        <v>477</v>
      </c>
      <c r="K16391" s="18" t="s">
        <v>477</v>
      </c>
    </row>
    <row r="16392">
      <c r="B16392" s="17" t="s">
        <v>477</v>
      </c>
      <c r="K16392" s="18" t="s">
        <v>477</v>
      </c>
    </row>
    <row r="16393">
      <c r="B16393" s="17" t="s">
        <v>477</v>
      </c>
      <c r="K16393" s="18" t="s">
        <v>477</v>
      </c>
    </row>
    <row r="16394">
      <c r="B16394" s="17" t="s">
        <v>477</v>
      </c>
      <c r="K16394" s="18" t="s">
        <v>477</v>
      </c>
    </row>
    <row r="16395">
      <c r="B16395" s="17" t="s">
        <v>477</v>
      </c>
      <c r="K16395" s="18" t="s">
        <v>477</v>
      </c>
    </row>
    <row r="16396">
      <c r="B16396" s="17" t="s">
        <v>477</v>
      </c>
      <c r="K16396" s="18" t="s">
        <v>477</v>
      </c>
    </row>
    <row r="16397">
      <c r="B16397" s="17" t="s">
        <v>477</v>
      </c>
      <c r="K16397" s="18" t="s">
        <v>477</v>
      </c>
    </row>
    <row r="16398">
      <c r="B16398" s="17" t="s">
        <v>477</v>
      </c>
      <c r="K16398" s="18" t="s">
        <v>477</v>
      </c>
    </row>
    <row r="16399">
      <c r="B16399" s="17" t="s">
        <v>477</v>
      </c>
      <c r="K16399" s="18" t="s">
        <v>477</v>
      </c>
    </row>
    <row r="16400">
      <c r="B16400" s="17" t="s">
        <v>477</v>
      </c>
      <c r="K16400" s="18" t="s">
        <v>477</v>
      </c>
    </row>
    <row r="16401">
      <c r="B16401" s="17" t="s">
        <v>477</v>
      </c>
      <c r="K16401" s="18" t="s">
        <v>477</v>
      </c>
    </row>
    <row r="16402">
      <c r="B16402" s="17" t="s">
        <v>477</v>
      </c>
      <c r="K16402" s="18" t="s">
        <v>477</v>
      </c>
    </row>
    <row r="16403">
      <c r="B16403" s="17" t="s">
        <v>477</v>
      </c>
      <c r="K16403" s="18" t="s">
        <v>477</v>
      </c>
    </row>
    <row r="16404">
      <c r="B16404" s="17" t="s">
        <v>477</v>
      </c>
      <c r="K16404" s="18" t="s">
        <v>477</v>
      </c>
    </row>
    <row r="16405">
      <c r="B16405" s="17" t="s">
        <v>477</v>
      </c>
      <c r="K16405" s="18" t="s">
        <v>477</v>
      </c>
    </row>
    <row r="16406">
      <c r="B16406" s="17" t="s">
        <v>477</v>
      </c>
      <c r="K16406" s="18" t="s">
        <v>477</v>
      </c>
    </row>
    <row r="16407">
      <c r="B16407" s="17" t="s">
        <v>477</v>
      </c>
      <c r="K16407" s="18" t="s">
        <v>477</v>
      </c>
    </row>
    <row r="16408">
      <c r="B16408" s="17" t="s">
        <v>477</v>
      </c>
      <c r="K16408" s="18" t="s">
        <v>477</v>
      </c>
    </row>
    <row r="16409">
      <c r="B16409" s="17" t="s">
        <v>477</v>
      </c>
      <c r="K16409" s="18" t="s">
        <v>477</v>
      </c>
    </row>
    <row r="16410">
      <c r="B16410" s="17" t="s">
        <v>477</v>
      </c>
      <c r="K16410" s="18" t="s">
        <v>477</v>
      </c>
    </row>
    <row r="16411">
      <c r="B16411" s="17" t="s">
        <v>477</v>
      </c>
      <c r="K16411" s="18" t="s">
        <v>477</v>
      </c>
    </row>
    <row r="16412">
      <c r="B16412" s="17" t="s">
        <v>477</v>
      </c>
      <c r="K16412" s="18" t="s">
        <v>477</v>
      </c>
    </row>
    <row r="16413">
      <c r="B16413" s="17" t="s">
        <v>477</v>
      </c>
      <c r="K16413" s="18" t="s">
        <v>477</v>
      </c>
    </row>
    <row r="16414">
      <c r="B16414" s="17" t="s">
        <v>477</v>
      </c>
      <c r="K16414" s="18" t="s">
        <v>477</v>
      </c>
    </row>
    <row r="16415">
      <c r="B16415" s="17" t="s">
        <v>477</v>
      </c>
      <c r="K16415" s="18" t="s">
        <v>477</v>
      </c>
    </row>
    <row r="16416">
      <c r="B16416" s="17" t="s">
        <v>477</v>
      </c>
      <c r="K16416" s="18" t="s">
        <v>477</v>
      </c>
    </row>
    <row r="16417">
      <c r="B16417" s="17" t="s">
        <v>477</v>
      </c>
      <c r="K16417" s="18" t="s">
        <v>477</v>
      </c>
    </row>
    <row r="16418">
      <c r="B16418" s="17" t="s">
        <v>477</v>
      </c>
      <c r="K16418" s="18" t="s">
        <v>477</v>
      </c>
    </row>
    <row r="16419">
      <c r="B16419" s="17" t="s">
        <v>477</v>
      </c>
      <c r="K16419" s="18" t="s">
        <v>477</v>
      </c>
    </row>
    <row r="16420">
      <c r="B16420" s="17" t="s">
        <v>477</v>
      </c>
      <c r="K16420" s="18" t="s">
        <v>477</v>
      </c>
    </row>
    <row r="16421">
      <c r="B16421" s="17" t="s">
        <v>477</v>
      </c>
      <c r="K16421" s="18" t="s">
        <v>477</v>
      </c>
    </row>
    <row r="16422">
      <c r="B16422" s="17" t="s">
        <v>477</v>
      </c>
      <c r="K16422" s="18" t="s">
        <v>477</v>
      </c>
    </row>
    <row r="16423">
      <c r="B16423" s="17" t="s">
        <v>477</v>
      </c>
      <c r="K16423" s="18" t="s">
        <v>477</v>
      </c>
    </row>
    <row r="16424">
      <c r="B16424" s="17" t="s">
        <v>477</v>
      </c>
      <c r="K16424" s="18" t="s">
        <v>477</v>
      </c>
    </row>
    <row r="16425">
      <c r="B16425" s="17" t="s">
        <v>477</v>
      </c>
      <c r="K16425" s="18" t="s">
        <v>477</v>
      </c>
    </row>
    <row r="16426">
      <c r="B16426" s="17" t="s">
        <v>477</v>
      </c>
      <c r="K16426" s="18" t="s">
        <v>477</v>
      </c>
    </row>
    <row r="16427">
      <c r="B16427" s="17" t="s">
        <v>477</v>
      </c>
      <c r="K16427" s="18" t="s">
        <v>477</v>
      </c>
    </row>
    <row r="16428">
      <c r="B16428" s="17" t="s">
        <v>477</v>
      </c>
      <c r="K16428" s="18" t="s">
        <v>477</v>
      </c>
    </row>
    <row r="16429">
      <c r="B16429" s="17" t="s">
        <v>477</v>
      </c>
      <c r="K16429" s="18" t="s">
        <v>477</v>
      </c>
    </row>
    <row r="16430">
      <c r="B16430" s="17" t="s">
        <v>477</v>
      </c>
      <c r="K16430" s="18" t="s">
        <v>477</v>
      </c>
    </row>
    <row r="16431">
      <c r="B16431" s="17" t="s">
        <v>477</v>
      </c>
      <c r="K16431" s="18" t="s">
        <v>477</v>
      </c>
    </row>
    <row r="16432">
      <c r="B16432" s="17" t="s">
        <v>477</v>
      </c>
      <c r="K16432" s="18" t="s">
        <v>477</v>
      </c>
    </row>
    <row r="16433">
      <c r="B16433" s="17" t="s">
        <v>477</v>
      </c>
      <c r="K16433" s="18" t="s">
        <v>477</v>
      </c>
    </row>
    <row r="16434">
      <c r="B16434" s="17" t="s">
        <v>477</v>
      </c>
      <c r="K16434" s="18" t="s">
        <v>477</v>
      </c>
    </row>
    <row r="16435">
      <c r="B16435" s="17" t="s">
        <v>477</v>
      </c>
      <c r="K16435" s="18" t="s">
        <v>477</v>
      </c>
    </row>
    <row r="16436">
      <c r="B16436" s="17" t="s">
        <v>477</v>
      </c>
      <c r="K16436" s="18" t="s">
        <v>477</v>
      </c>
    </row>
    <row r="16437">
      <c r="B16437" s="17" t="s">
        <v>477</v>
      </c>
      <c r="K16437" s="18" t="s">
        <v>477</v>
      </c>
    </row>
    <row r="16438">
      <c r="B16438" s="17" t="s">
        <v>477</v>
      </c>
      <c r="K16438" s="18" t="s">
        <v>477</v>
      </c>
    </row>
    <row r="16439">
      <c r="B16439" s="17" t="s">
        <v>477</v>
      </c>
      <c r="K16439" s="18" t="s">
        <v>477</v>
      </c>
    </row>
    <row r="16440">
      <c r="B16440" s="17" t="s">
        <v>477</v>
      </c>
      <c r="K16440" s="18" t="s">
        <v>477</v>
      </c>
    </row>
    <row r="16441">
      <c r="B16441" s="17" t="s">
        <v>477</v>
      </c>
      <c r="K16441" s="18" t="s">
        <v>477</v>
      </c>
    </row>
    <row r="16442">
      <c r="B16442" s="17" t="s">
        <v>477</v>
      </c>
      <c r="K16442" s="18" t="s">
        <v>477</v>
      </c>
    </row>
    <row r="16443">
      <c r="B16443" s="17" t="s">
        <v>477</v>
      </c>
      <c r="K16443" s="18" t="s">
        <v>477</v>
      </c>
    </row>
    <row r="16444">
      <c r="B16444" s="17" t="s">
        <v>477</v>
      </c>
      <c r="K16444" s="18" t="s">
        <v>477</v>
      </c>
    </row>
    <row r="16445">
      <c r="B16445" s="17" t="s">
        <v>477</v>
      </c>
      <c r="K16445" s="18" t="s">
        <v>477</v>
      </c>
    </row>
    <row r="16446">
      <c r="B16446" s="17" t="s">
        <v>477</v>
      </c>
      <c r="K16446" s="18" t="s">
        <v>477</v>
      </c>
    </row>
    <row r="16447">
      <c r="B16447" s="17" t="s">
        <v>477</v>
      </c>
      <c r="K16447" s="18" t="s">
        <v>477</v>
      </c>
    </row>
    <row r="16448">
      <c r="B16448" s="17" t="s">
        <v>477</v>
      </c>
      <c r="K16448" s="18" t="s">
        <v>477</v>
      </c>
    </row>
    <row r="16449">
      <c r="B16449" s="17" t="s">
        <v>477</v>
      </c>
      <c r="K16449" s="18" t="s">
        <v>477</v>
      </c>
    </row>
    <row r="16450">
      <c r="B16450" s="17" t="s">
        <v>477</v>
      </c>
      <c r="K16450" s="18" t="s">
        <v>477</v>
      </c>
    </row>
    <row r="16451">
      <c r="B16451" s="17" t="s">
        <v>477</v>
      </c>
      <c r="K16451" s="18" t="s">
        <v>477</v>
      </c>
    </row>
    <row r="16452">
      <c r="B16452" s="17" t="s">
        <v>477</v>
      </c>
      <c r="K16452" s="18" t="s">
        <v>477</v>
      </c>
    </row>
    <row r="16453">
      <c r="B16453" s="17" t="s">
        <v>477</v>
      </c>
      <c r="K16453" s="18" t="s">
        <v>477</v>
      </c>
    </row>
    <row r="16454">
      <c r="B16454" s="17" t="s">
        <v>477</v>
      </c>
      <c r="K16454" s="18" t="s">
        <v>477</v>
      </c>
    </row>
    <row r="16455">
      <c r="B16455" s="17" t="s">
        <v>477</v>
      </c>
      <c r="K16455" s="18" t="s">
        <v>477</v>
      </c>
    </row>
    <row r="16456">
      <c r="B16456" s="17" t="s">
        <v>477</v>
      </c>
      <c r="K16456" s="18" t="s">
        <v>477</v>
      </c>
    </row>
    <row r="16457">
      <c r="B16457" s="17" t="s">
        <v>477</v>
      </c>
      <c r="K16457" s="18" t="s">
        <v>477</v>
      </c>
    </row>
    <row r="16458">
      <c r="B16458" s="17" t="s">
        <v>477</v>
      </c>
      <c r="K16458" s="18" t="s">
        <v>477</v>
      </c>
    </row>
    <row r="16459">
      <c r="B16459" s="17" t="s">
        <v>477</v>
      </c>
      <c r="K16459" s="18" t="s">
        <v>477</v>
      </c>
    </row>
    <row r="16460">
      <c r="B16460" s="17" t="s">
        <v>477</v>
      </c>
      <c r="K16460" s="18" t="s">
        <v>477</v>
      </c>
    </row>
    <row r="16461">
      <c r="B16461" s="17" t="s">
        <v>477</v>
      </c>
      <c r="K16461" s="18" t="s">
        <v>477</v>
      </c>
    </row>
    <row r="16462">
      <c r="B16462" s="17" t="s">
        <v>477</v>
      </c>
      <c r="K16462" s="18" t="s">
        <v>477</v>
      </c>
    </row>
    <row r="16463">
      <c r="B16463" s="17" t="s">
        <v>477</v>
      </c>
      <c r="K16463" s="18" t="s">
        <v>477</v>
      </c>
    </row>
    <row r="16464">
      <c r="B16464" s="17" t="s">
        <v>477</v>
      </c>
      <c r="K16464" s="18" t="s">
        <v>477</v>
      </c>
    </row>
    <row r="16465">
      <c r="B16465" s="17" t="s">
        <v>477</v>
      </c>
      <c r="K16465" s="18" t="s">
        <v>477</v>
      </c>
    </row>
    <row r="16466">
      <c r="B16466" s="17" t="s">
        <v>477</v>
      </c>
      <c r="K16466" s="18" t="s">
        <v>477</v>
      </c>
    </row>
    <row r="16467">
      <c r="B16467" s="17" t="s">
        <v>477</v>
      </c>
      <c r="K16467" s="18" t="s">
        <v>477</v>
      </c>
    </row>
    <row r="16468">
      <c r="B16468" s="17" t="s">
        <v>477</v>
      </c>
      <c r="K16468" s="18" t="s">
        <v>477</v>
      </c>
    </row>
    <row r="16469">
      <c r="B16469" s="17" t="s">
        <v>477</v>
      </c>
      <c r="K16469" s="18" t="s">
        <v>477</v>
      </c>
    </row>
    <row r="16470">
      <c r="B16470" s="17" t="s">
        <v>477</v>
      </c>
      <c r="K16470" s="18" t="s">
        <v>477</v>
      </c>
    </row>
    <row r="16471">
      <c r="B16471" s="17" t="s">
        <v>477</v>
      </c>
      <c r="K16471" s="18" t="s">
        <v>477</v>
      </c>
    </row>
    <row r="16472">
      <c r="B16472" s="17" t="s">
        <v>477</v>
      </c>
      <c r="K16472" s="18" t="s">
        <v>477</v>
      </c>
    </row>
    <row r="16473">
      <c r="B16473" s="17" t="s">
        <v>477</v>
      </c>
      <c r="K16473" s="18" t="s">
        <v>477</v>
      </c>
    </row>
    <row r="16474">
      <c r="B16474" s="17" t="s">
        <v>477</v>
      </c>
      <c r="K16474" s="18" t="s">
        <v>477</v>
      </c>
    </row>
    <row r="16475">
      <c r="B16475" s="17" t="s">
        <v>477</v>
      </c>
      <c r="K16475" s="18" t="s">
        <v>477</v>
      </c>
    </row>
    <row r="16476">
      <c r="B16476" s="17" t="s">
        <v>477</v>
      </c>
      <c r="K16476" s="18" t="s">
        <v>477</v>
      </c>
    </row>
    <row r="16477">
      <c r="B16477" s="17" t="s">
        <v>477</v>
      </c>
      <c r="K16477" s="18" t="s">
        <v>477</v>
      </c>
    </row>
    <row r="16478">
      <c r="B16478" s="17" t="s">
        <v>477</v>
      </c>
      <c r="K16478" s="18" t="s">
        <v>477</v>
      </c>
    </row>
    <row r="16479">
      <c r="B16479" s="17" t="s">
        <v>477</v>
      </c>
      <c r="K16479" s="18" t="s">
        <v>477</v>
      </c>
    </row>
    <row r="16480">
      <c r="B16480" s="17" t="s">
        <v>477</v>
      </c>
      <c r="K16480" s="18" t="s">
        <v>477</v>
      </c>
    </row>
    <row r="16481">
      <c r="B16481" s="17" t="s">
        <v>477</v>
      </c>
      <c r="K16481" s="18" t="s">
        <v>477</v>
      </c>
    </row>
    <row r="16482">
      <c r="B16482" s="17" t="s">
        <v>477</v>
      </c>
      <c r="K16482" s="18" t="s">
        <v>477</v>
      </c>
    </row>
    <row r="16483">
      <c r="B16483" s="17" t="s">
        <v>477</v>
      </c>
      <c r="K16483" s="18" t="s">
        <v>477</v>
      </c>
    </row>
    <row r="16484">
      <c r="B16484" s="17" t="s">
        <v>477</v>
      </c>
      <c r="K16484" s="18" t="s">
        <v>477</v>
      </c>
    </row>
    <row r="16485">
      <c r="B16485" s="17" t="s">
        <v>477</v>
      </c>
      <c r="K16485" s="18" t="s">
        <v>477</v>
      </c>
    </row>
    <row r="16486">
      <c r="B16486" s="17" t="s">
        <v>477</v>
      </c>
      <c r="K16486" s="18" t="s">
        <v>477</v>
      </c>
    </row>
    <row r="16487">
      <c r="B16487" s="17" t="s">
        <v>477</v>
      </c>
      <c r="K16487" s="18" t="s">
        <v>477</v>
      </c>
    </row>
    <row r="16488">
      <c r="B16488" s="17" t="s">
        <v>477</v>
      </c>
      <c r="K16488" s="18" t="s">
        <v>477</v>
      </c>
    </row>
    <row r="16489">
      <c r="B16489" s="17" t="s">
        <v>477</v>
      </c>
      <c r="K16489" s="18" t="s">
        <v>477</v>
      </c>
    </row>
    <row r="16490">
      <c r="B16490" s="17" t="s">
        <v>477</v>
      </c>
      <c r="K16490" s="18" t="s">
        <v>477</v>
      </c>
    </row>
    <row r="16491">
      <c r="B16491" s="17" t="s">
        <v>477</v>
      </c>
      <c r="K16491" s="18" t="s">
        <v>477</v>
      </c>
    </row>
    <row r="16492">
      <c r="B16492" s="17" t="s">
        <v>477</v>
      </c>
      <c r="K16492" s="18" t="s">
        <v>477</v>
      </c>
    </row>
    <row r="16493">
      <c r="B16493" s="17" t="s">
        <v>477</v>
      </c>
      <c r="K16493" s="18" t="s">
        <v>477</v>
      </c>
    </row>
    <row r="16494">
      <c r="B16494" s="17" t="s">
        <v>477</v>
      </c>
      <c r="K16494" s="18" t="s">
        <v>477</v>
      </c>
    </row>
    <row r="16495">
      <c r="B16495" s="17" t="s">
        <v>477</v>
      </c>
      <c r="K16495" s="18" t="s">
        <v>477</v>
      </c>
    </row>
    <row r="16496">
      <c r="B16496" s="17" t="s">
        <v>477</v>
      </c>
      <c r="K16496" s="18" t="s">
        <v>477</v>
      </c>
    </row>
    <row r="16497">
      <c r="B16497" s="17" t="s">
        <v>477</v>
      </c>
      <c r="K16497" s="18" t="s">
        <v>477</v>
      </c>
    </row>
    <row r="16498">
      <c r="B16498" s="17" t="s">
        <v>477</v>
      </c>
      <c r="K16498" s="18" t="s">
        <v>477</v>
      </c>
    </row>
    <row r="16499">
      <c r="B16499" s="17" t="s">
        <v>477</v>
      </c>
      <c r="K16499" s="18" t="s">
        <v>477</v>
      </c>
    </row>
    <row r="16500">
      <c r="B16500" s="17" t="s">
        <v>477</v>
      </c>
      <c r="K16500" s="18" t="s">
        <v>477</v>
      </c>
    </row>
    <row r="16501">
      <c r="B16501" s="17" t="s">
        <v>477</v>
      </c>
      <c r="K16501" s="18" t="s">
        <v>477</v>
      </c>
    </row>
    <row r="16502">
      <c r="B16502" s="17" t="s">
        <v>477</v>
      </c>
      <c r="K16502" s="18" t="s">
        <v>477</v>
      </c>
    </row>
    <row r="16503">
      <c r="B16503" s="17" t="s">
        <v>477</v>
      </c>
      <c r="K16503" s="18" t="s">
        <v>477</v>
      </c>
    </row>
    <row r="16504">
      <c r="B16504" s="17" t="s">
        <v>477</v>
      </c>
      <c r="K16504" s="18" t="s">
        <v>477</v>
      </c>
    </row>
    <row r="16505">
      <c r="B16505" s="17" t="s">
        <v>477</v>
      </c>
      <c r="K16505" s="18" t="s">
        <v>477</v>
      </c>
    </row>
    <row r="16506">
      <c r="B16506" s="17" t="s">
        <v>477</v>
      </c>
      <c r="K16506" s="18" t="s">
        <v>477</v>
      </c>
    </row>
    <row r="16507">
      <c r="B16507" s="17" t="s">
        <v>477</v>
      </c>
      <c r="K16507" s="18" t="s">
        <v>477</v>
      </c>
    </row>
    <row r="16508">
      <c r="B16508" s="17" t="s">
        <v>477</v>
      </c>
      <c r="K16508" s="18" t="s">
        <v>477</v>
      </c>
    </row>
    <row r="16509">
      <c r="B16509" s="17" t="s">
        <v>477</v>
      </c>
      <c r="K16509" s="18" t="s">
        <v>477</v>
      </c>
    </row>
    <row r="16510">
      <c r="B16510" s="17" t="s">
        <v>477</v>
      </c>
      <c r="K16510" s="18" t="s">
        <v>477</v>
      </c>
    </row>
    <row r="16511">
      <c r="B16511" s="17" t="s">
        <v>477</v>
      </c>
      <c r="K16511" s="18" t="s">
        <v>477</v>
      </c>
    </row>
    <row r="16512">
      <c r="B16512" s="17" t="s">
        <v>477</v>
      </c>
      <c r="K16512" s="18" t="s">
        <v>477</v>
      </c>
    </row>
    <row r="16513">
      <c r="B16513" s="17" t="s">
        <v>477</v>
      </c>
      <c r="K16513" s="18" t="s">
        <v>477</v>
      </c>
    </row>
    <row r="16514">
      <c r="B16514" s="17" t="s">
        <v>477</v>
      </c>
      <c r="K16514" s="18" t="s">
        <v>477</v>
      </c>
    </row>
    <row r="16515">
      <c r="B16515" s="17" t="s">
        <v>477</v>
      </c>
      <c r="K16515" s="18" t="s">
        <v>477</v>
      </c>
    </row>
    <row r="16516">
      <c r="B16516" s="17" t="s">
        <v>477</v>
      </c>
      <c r="K16516" s="18" t="s">
        <v>477</v>
      </c>
    </row>
    <row r="16517">
      <c r="B16517" s="17" t="s">
        <v>477</v>
      </c>
      <c r="K16517" s="18" t="s">
        <v>477</v>
      </c>
    </row>
    <row r="16518">
      <c r="B16518" s="17" t="s">
        <v>477</v>
      </c>
      <c r="K16518" s="18" t="s">
        <v>477</v>
      </c>
    </row>
    <row r="16519">
      <c r="B16519" s="17" t="s">
        <v>477</v>
      </c>
      <c r="K16519" s="18" t="s">
        <v>477</v>
      </c>
    </row>
    <row r="16520">
      <c r="B16520" s="17" t="s">
        <v>477</v>
      </c>
      <c r="K16520" s="18" t="s">
        <v>477</v>
      </c>
    </row>
    <row r="16521">
      <c r="B16521" s="17" t="s">
        <v>477</v>
      </c>
      <c r="K16521" s="18" t="s">
        <v>477</v>
      </c>
    </row>
    <row r="16522">
      <c r="B16522" s="17" t="s">
        <v>477</v>
      </c>
      <c r="K16522" s="18" t="s">
        <v>477</v>
      </c>
    </row>
    <row r="16523">
      <c r="B16523" s="17" t="s">
        <v>477</v>
      </c>
      <c r="K16523" s="18" t="s">
        <v>477</v>
      </c>
    </row>
    <row r="16524">
      <c r="B16524" s="17" t="s">
        <v>477</v>
      </c>
      <c r="K16524" s="18" t="s">
        <v>477</v>
      </c>
    </row>
    <row r="16525">
      <c r="B16525" s="17" t="s">
        <v>477</v>
      </c>
      <c r="K16525" s="18" t="s">
        <v>477</v>
      </c>
    </row>
    <row r="16526">
      <c r="B16526" s="17" t="s">
        <v>477</v>
      </c>
      <c r="K16526" s="18" t="s">
        <v>477</v>
      </c>
    </row>
    <row r="16527">
      <c r="B16527" s="17" t="s">
        <v>477</v>
      </c>
      <c r="K16527" s="18" t="s">
        <v>477</v>
      </c>
    </row>
    <row r="16528">
      <c r="B16528" s="17" t="s">
        <v>477</v>
      </c>
      <c r="K16528" s="18" t="s">
        <v>477</v>
      </c>
    </row>
    <row r="16529">
      <c r="B16529" s="17" t="s">
        <v>477</v>
      </c>
      <c r="K16529" s="18" t="s">
        <v>477</v>
      </c>
    </row>
    <row r="16530">
      <c r="B16530" s="17" t="s">
        <v>477</v>
      </c>
      <c r="K16530" s="18" t="s">
        <v>477</v>
      </c>
    </row>
    <row r="16531">
      <c r="B16531" s="17" t="s">
        <v>477</v>
      </c>
      <c r="K16531" s="18" t="s">
        <v>477</v>
      </c>
    </row>
    <row r="16532">
      <c r="B16532" s="17" t="s">
        <v>477</v>
      </c>
      <c r="K16532" s="18" t="s">
        <v>477</v>
      </c>
    </row>
    <row r="16533">
      <c r="B16533" s="17" t="s">
        <v>477</v>
      </c>
      <c r="K16533" s="18" t="s">
        <v>477</v>
      </c>
    </row>
    <row r="16534">
      <c r="B16534" s="17" t="s">
        <v>477</v>
      </c>
      <c r="K16534" s="18" t="s">
        <v>477</v>
      </c>
    </row>
    <row r="16535">
      <c r="B16535" s="17" t="s">
        <v>477</v>
      </c>
      <c r="K16535" s="18" t="s">
        <v>477</v>
      </c>
    </row>
    <row r="16536">
      <c r="B16536" s="17" t="s">
        <v>477</v>
      </c>
      <c r="K16536" s="18" t="s">
        <v>477</v>
      </c>
    </row>
    <row r="16537">
      <c r="B16537" s="17" t="s">
        <v>477</v>
      </c>
      <c r="K16537" s="18" t="s">
        <v>477</v>
      </c>
    </row>
    <row r="16538">
      <c r="B16538" s="17" t="s">
        <v>477</v>
      </c>
      <c r="K16538" s="18" t="s">
        <v>477</v>
      </c>
    </row>
    <row r="16539">
      <c r="B16539" s="17" t="s">
        <v>477</v>
      </c>
      <c r="K16539" s="18" t="s">
        <v>477</v>
      </c>
    </row>
    <row r="16540">
      <c r="B16540" s="17" t="s">
        <v>477</v>
      </c>
      <c r="K16540" s="18" t="s">
        <v>477</v>
      </c>
    </row>
    <row r="16541">
      <c r="B16541" s="17" t="s">
        <v>477</v>
      </c>
      <c r="K16541" s="18" t="s">
        <v>477</v>
      </c>
    </row>
    <row r="16542">
      <c r="B16542" s="17" t="s">
        <v>477</v>
      </c>
      <c r="K16542" s="18" t="s">
        <v>477</v>
      </c>
    </row>
    <row r="16543">
      <c r="B16543" s="17" t="s">
        <v>477</v>
      </c>
      <c r="K16543" s="18" t="s">
        <v>477</v>
      </c>
    </row>
    <row r="16544">
      <c r="B16544" s="17" t="s">
        <v>477</v>
      </c>
      <c r="K16544" s="18" t="s">
        <v>477</v>
      </c>
    </row>
    <row r="16545">
      <c r="B16545" s="17" t="s">
        <v>477</v>
      </c>
      <c r="K16545" s="18" t="s">
        <v>477</v>
      </c>
    </row>
    <row r="16546">
      <c r="B16546" s="17" t="s">
        <v>477</v>
      </c>
      <c r="K16546" s="18" t="s">
        <v>477</v>
      </c>
    </row>
    <row r="16547">
      <c r="B16547" s="17" t="s">
        <v>477</v>
      </c>
      <c r="K16547" s="18" t="s">
        <v>477</v>
      </c>
    </row>
    <row r="16548">
      <c r="B16548" s="17" t="s">
        <v>477</v>
      </c>
      <c r="K16548" s="18" t="s">
        <v>477</v>
      </c>
    </row>
    <row r="16549">
      <c r="B16549" s="17" t="s">
        <v>477</v>
      </c>
      <c r="K16549" s="18" t="s">
        <v>477</v>
      </c>
    </row>
    <row r="16550">
      <c r="B16550" s="17" t="s">
        <v>477</v>
      </c>
      <c r="K16550" s="18" t="s">
        <v>477</v>
      </c>
    </row>
    <row r="16551">
      <c r="B16551" s="17" t="s">
        <v>477</v>
      </c>
      <c r="K16551" s="18" t="s">
        <v>477</v>
      </c>
    </row>
    <row r="16552">
      <c r="B16552" s="17" t="s">
        <v>477</v>
      </c>
      <c r="K16552" s="18" t="s">
        <v>477</v>
      </c>
    </row>
    <row r="16553">
      <c r="B16553" s="17" t="s">
        <v>477</v>
      </c>
      <c r="K16553" s="18" t="s">
        <v>477</v>
      </c>
    </row>
    <row r="16554">
      <c r="B16554" s="17" t="s">
        <v>477</v>
      </c>
      <c r="K16554" s="18" t="s">
        <v>477</v>
      </c>
    </row>
    <row r="16555">
      <c r="B16555" s="17" t="s">
        <v>477</v>
      </c>
      <c r="K16555" s="18" t="s">
        <v>477</v>
      </c>
    </row>
    <row r="16556">
      <c r="B16556" s="17" t="s">
        <v>477</v>
      </c>
      <c r="K16556" s="18" t="s">
        <v>477</v>
      </c>
    </row>
    <row r="16557">
      <c r="B16557" s="17" t="s">
        <v>477</v>
      </c>
      <c r="K16557" s="18" t="s">
        <v>477</v>
      </c>
    </row>
    <row r="16558">
      <c r="B16558" s="17" t="s">
        <v>477</v>
      </c>
      <c r="K16558" s="18" t="s">
        <v>477</v>
      </c>
    </row>
    <row r="16559">
      <c r="B16559" s="17" t="s">
        <v>477</v>
      </c>
      <c r="K16559" s="18" t="s">
        <v>477</v>
      </c>
    </row>
    <row r="16560">
      <c r="B16560" s="17" t="s">
        <v>477</v>
      </c>
      <c r="K16560" s="18" t="s">
        <v>477</v>
      </c>
    </row>
    <row r="16561">
      <c r="B16561" s="17" t="s">
        <v>477</v>
      </c>
      <c r="K16561" s="18" t="s">
        <v>477</v>
      </c>
    </row>
    <row r="16562">
      <c r="B16562" s="17" t="s">
        <v>477</v>
      </c>
      <c r="K16562" s="18" t="s">
        <v>477</v>
      </c>
    </row>
    <row r="16563">
      <c r="B16563" s="17" t="s">
        <v>477</v>
      </c>
      <c r="K16563" s="18" t="s">
        <v>477</v>
      </c>
    </row>
    <row r="16564">
      <c r="B16564" s="17" t="s">
        <v>477</v>
      </c>
      <c r="K16564" s="18" t="s">
        <v>477</v>
      </c>
    </row>
    <row r="16565">
      <c r="B16565" s="17" t="s">
        <v>477</v>
      </c>
      <c r="K16565" s="18" t="s">
        <v>477</v>
      </c>
    </row>
    <row r="16566">
      <c r="B16566" s="17" t="s">
        <v>477</v>
      </c>
      <c r="K16566" s="18" t="s">
        <v>477</v>
      </c>
    </row>
    <row r="16567">
      <c r="B16567" s="17" t="s">
        <v>477</v>
      </c>
      <c r="K16567" s="18" t="s">
        <v>477</v>
      </c>
    </row>
    <row r="16568">
      <c r="B16568" s="17" t="s">
        <v>477</v>
      </c>
      <c r="K16568" s="18" t="s">
        <v>477</v>
      </c>
    </row>
    <row r="16569">
      <c r="B16569" s="17" t="s">
        <v>477</v>
      </c>
      <c r="K16569" s="18" t="s">
        <v>477</v>
      </c>
    </row>
    <row r="16570">
      <c r="B16570" s="17" t="s">
        <v>477</v>
      </c>
      <c r="K16570" s="18" t="s">
        <v>477</v>
      </c>
    </row>
    <row r="16571">
      <c r="B16571" s="17" t="s">
        <v>477</v>
      </c>
      <c r="K16571" s="18" t="s">
        <v>477</v>
      </c>
    </row>
    <row r="16572">
      <c r="B16572" s="17" t="s">
        <v>477</v>
      </c>
      <c r="K16572" s="18" t="s">
        <v>477</v>
      </c>
    </row>
    <row r="16573">
      <c r="B16573" s="17" t="s">
        <v>477</v>
      </c>
      <c r="K16573" s="18" t="s">
        <v>477</v>
      </c>
    </row>
    <row r="16574">
      <c r="B16574" s="17" t="s">
        <v>477</v>
      </c>
      <c r="K16574" s="18" t="s">
        <v>477</v>
      </c>
    </row>
    <row r="16575">
      <c r="B16575" s="17" t="s">
        <v>477</v>
      </c>
      <c r="K16575" s="18" t="s">
        <v>477</v>
      </c>
    </row>
    <row r="16576">
      <c r="B16576" s="17" t="s">
        <v>477</v>
      </c>
      <c r="K16576" s="18" t="s">
        <v>477</v>
      </c>
    </row>
    <row r="16577">
      <c r="B16577" s="17" t="s">
        <v>477</v>
      </c>
      <c r="K16577" s="18" t="s">
        <v>477</v>
      </c>
    </row>
    <row r="16578">
      <c r="B16578" s="17" t="s">
        <v>477</v>
      </c>
      <c r="K16578" s="18" t="s">
        <v>477</v>
      </c>
    </row>
    <row r="16579">
      <c r="B16579" s="17" t="s">
        <v>477</v>
      </c>
      <c r="K16579" s="18" t="s">
        <v>477</v>
      </c>
    </row>
    <row r="16580">
      <c r="B16580" s="17" t="s">
        <v>477</v>
      </c>
      <c r="K16580" s="18" t="s">
        <v>477</v>
      </c>
    </row>
    <row r="16581">
      <c r="B16581" s="17" t="s">
        <v>477</v>
      </c>
      <c r="K16581" s="18" t="s">
        <v>477</v>
      </c>
    </row>
    <row r="16582">
      <c r="B16582" s="17" t="s">
        <v>477</v>
      </c>
      <c r="K16582" s="18" t="s">
        <v>477</v>
      </c>
    </row>
    <row r="16583">
      <c r="B16583" s="17" t="s">
        <v>477</v>
      </c>
      <c r="K16583" s="18" t="s">
        <v>477</v>
      </c>
    </row>
    <row r="16584">
      <c r="B16584" s="17" t="s">
        <v>477</v>
      </c>
      <c r="K16584" s="18" t="s">
        <v>477</v>
      </c>
    </row>
    <row r="16585">
      <c r="B16585" s="17" t="s">
        <v>477</v>
      </c>
      <c r="K16585" s="18" t="s">
        <v>477</v>
      </c>
    </row>
    <row r="16586">
      <c r="B16586" s="17" t="s">
        <v>477</v>
      </c>
      <c r="K16586" s="18" t="s">
        <v>477</v>
      </c>
    </row>
    <row r="16587">
      <c r="B16587" s="17" t="s">
        <v>477</v>
      </c>
      <c r="K16587" s="18" t="s">
        <v>477</v>
      </c>
    </row>
    <row r="16588">
      <c r="B16588" s="17" t="s">
        <v>477</v>
      </c>
      <c r="K16588" s="18" t="s">
        <v>477</v>
      </c>
    </row>
    <row r="16589">
      <c r="B16589" s="17" t="s">
        <v>477</v>
      </c>
      <c r="K16589" s="18" t="s">
        <v>477</v>
      </c>
    </row>
    <row r="16590">
      <c r="B16590" s="17" t="s">
        <v>477</v>
      </c>
      <c r="K16590" s="18" t="s">
        <v>477</v>
      </c>
    </row>
    <row r="16591">
      <c r="B16591" s="17" t="s">
        <v>477</v>
      </c>
      <c r="K16591" s="18" t="s">
        <v>477</v>
      </c>
    </row>
    <row r="16592">
      <c r="B16592" s="17" t="s">
        <v>477</v>
      </c>
      <c r="K16592" s="18" t="s">
        <v>477</v>
      </c>
    </row>
    <row r="16593">
      <c r="B16593" s="17" t="s">
        <v>477</v>
      </c>
      <c r="K16593" s="18" t="s">
        <v>477</v>
      </c>
    </row>
    <row r="16594">
      <c r="B16594" s="17" t="s">
        <v>477</v>
      </c>
      <c r="K16594" s="18" t="s">
        <v>477</v>
      </c>
    </row>
    <row r="16595">
      <c r="B16595" s="17" t="s">
        <v>477</v>
      </c>
      <c r="K16595" s="18" t="s">
        <v>477</v>
      </c>
    </row>
    <row r="16596">
      <c r="B16596" s="17" t="s">
        <v>477</v>
      </c>
      <c r="K16596" s="18" t="s">
        <v>477</v>
      </c>
    </row>
    <row r="16597">
      <c r="B16597" s="17" t="s">
        <v>477</v>
      </c>
      <c r="K16597" s="18" t="s">
        <v>477</v>
      </c>
    </row>
    <row r="16598">
      <c r="B16598" s="17" t="s">
        <v>477</v>
      </c>
      <c r="K16598" s="18" t="s">
        <v>477</v>
      </c>
    </row>
    <row r="16599">
      <c r="B16599" s="17" t="s">
        <v>477</v>
      </c>
      <c r="K16599" s="18" t="s">
        <v>477</v>
      </c>
    </row>
    <row r="16600">
      <c r="B16600" s="17" t="s">
        <v>477</v>
      </c>
      <c r="K16600" s="18" t="s">
        <v>477</v>
      </c>
    </row>
    <row r="16601">
      <c r="B16601" s="17" t="s">
        <v>477</v>
      </c>
      <c r="K16601" s="18" t="s">
        <v>477</v>
      </c>
    </row>
    <row r="16602">
      <c r="B16602" s="17" t="s">
        <v>477</v>
      </c>
      <c r="K16602" s="18" t="s">
        <v>477</v>
      </c>
    </row>
    <row r="16603">
      <c r="B16603" s="17" t="s">
        <v>477</v>
      </c>
      <c r="K16603" s="18" t="s">
        <v>477</v>
      </c>
    </row>
    <row r="16604">
      <c r="B16604" s="17" t="s">
        <v>477</v>
      </c>
      <c r="K16604" s="18" t="s">
        <v>477</v>
      </c>
    </row>
    <row r="16605">
      <c r="B16605" s="17" t="s">
        <v>477</v>
      </c>
      <c r="K16605" s="18" t="s">
        <v>477</v>
      </c>
    </row>
    <row r="16606">
      <c r="B16606" s="17" t="s">
        <v>477</v>
      </c>
      <c r="K16606" s="18" t="s">
        <v>477</v>
      </c>
    </row>
    <row r="16607">
      <c r="B16607" s="17" t="s">
        <v>477</v>
      </c>
      <c r="K16607" s="18" t="s">
        <v>477</v>
      </c>
    </row>
    <row r="16608">
      <c r="B16608" s="17" t="s">
        <v>477</v>
      </c>
      <c r="K16608" s="18" t="s">
        <v>477</v>
      </c>
    </row>
    <row r="16609">
      <c r="B16609" s="17" t="s">
        <v>477</v>
      </c>
      <c r="K16609" s="18" t="s">
        <v>477</v>
      </c>
    </row>
    <row r="16610">
      <c r="B16610" s="17" t="s">
        <v>477</v>
      </c>
      <c r="K16610" s="18" t="s">
        <v>477</v>
      </c>
    </row>
    <row r="16611">
      <c r="B16611" s="17" t="s">
        <v>477</v>
      </c>
      <c r="K16611" s="18" t="s">
        <v>477</v>
      </c>
    </row>
    <row r="16612">
      <c r="B16612" s="17" t="s">
        <v>477</v>
      </c>
      <c r="K16612" s="18" t="s">
        <v>477</v>
      </c>
    </row>
    <row r="16613">
      <c r="B16613" s="17" t="s">
        <v>477</v>
      </c>
      <c r="K16613" s="18" t="s">
        <v>477</v>
      </c>
    </row>
    <row r="16614">
      <c r="B16614" s="17" t="s">
        <v>477</v>
      </c>
      <c r="K16614" s="18" t="s">
        <v>477</v>
      </c>
    </row>
    <row r="16615">
      <c r="B16615" s="17" t="s">
        <v>477</v>
      </c>
      <c r="K16615" s="18" t="s">
        <v>477</v>
      </c>
    </row>
    <row r="16616">
      <c r="B16616" s="17" t="s">
        <v>477</v>
      </c>
      <c r="K16616" s="18" t="s">
        <v>477</v>
      </c>
    </row>
    <row r="16617">
      <c r="B16617" s="17" t="s">
        <v>477</v>
      </c>
      <c r="K16617" s="18" t="s">
        <v>477</v>
      </c>
    </row>
    <row r="16618">
      <c r="B16618" s="17" t="s">
        <v>477</v>
      </c>
      <c r="K16618" s="18" t="s">
        <v>477</v>
      </c>
    </row>
    <row r="16619">
      <c r="B16619" s="17" t="s">
        <v>477</v>
      </c>
      <c r="K16619" s="18" t="s">
        <v>477</v>
      </c>
    </row>
    <row r="16620">
      <c r="B16620" s="17" t="s">
        <v>477</v>
      </c>
      <c r="K16620" s="18" t="s">
        <v>477</v>
      </c>
    </row>
    <row r="16621">
      <c r="B16621" s="17" t="s">
        <v>477</v>
      </c>
      <c r="K16621" s="18" t="s">
        <v>477</v>
      </c>
    </row>
    <row r="16622">
      <c r="B16622" s="17" t="s">
        <v>477</v>
      </c>
      <c r="K16622" s="18" t="s">
        <v>477</v>
      </c>
    </row>
    <row r="16623">
      <c r="B16623" s="17" t="s">
        <v>477</v>
      </c>
      <c r="K16623" s="18" t="s">
        <v>477</v>
      </c>
    </row>
    <row r="16624">
      <c r="B16624" s="17" t="s">
        <v>477</v>
      </c>
      <c r="K16624" s="18" t="s">
        <v>477</v>
      </c>
    </row>
    <row r="16625">
      <c r="B16625" s="17" t="s">
        <v>477</v>
      </c>
      <c r="K16625" s="18" t="s">
        <v>477</v>
      </c>
    </row>
    <row r="16626">
      <c r="B16626" s="17" t="s">
        <v>477</v>
      </c>
      <c r="K16626" s="18" t="s">
        <v>477</v>
      </c>
    </row>
    <row r="16627">
      <c r="B16627" s="17" t="s">
        <v>477</v>
      </c>
      <c r="K16627" s="18" t="s">
        <v>477</v>
      </c>
    </row>
    <row r="16628">
      <c r="B16628" s="17" t="s">
        <v>477</v>
      </c>
      <c r="K16628" s="18" t="s">
        <v>477</v>
      </c>
    </row>
    <row r="16629">
      <c r="B16629" s="17" t="s">
        <v>477</v>
      </c>
      <c r="K16629" s="18" t="s">
        <v>477</v>
      </c>
    </row>
    <row r="16630">
      <c r="B16630" s="17" t="s">
        <v>477</v>
      </c>
      <c r="K16630" s="18" t="s">
        <v>477</v>
      </c>
    </row>
    <row r="16631">
      <c r="B16631" s="17" t="s">
        <v>477</v>
      </c>
      <c r="K16631" s="18" t="s">
        <v>477</v>
      </c>
    </row>
    <row r="16632">
      <c r="B16632" s="17" t="s">
        <v>477</v>
      </c>
      <c r="K16632" s="18" t="s">
        <v>477</v>
      </c>
    </row>
    <row r="16633">
      <c r="B16633" s="17" t="s">
        <v>477</v>
      </c>
      <c r="K16633" s="18" t="s">
        <v>477</v>
      </c>
    </row>
    <row r="16634">
      <c r="B16634" s="17" t="s">
        <v>477</v>
      </c>
      <c r="K16634" s="18" t="s">
        <v>477</v>
      </c>
    </row>
    <row r="16635">
      <c r="B16635" s="17" t="s">
        <v>477</v>
      </c>
      <c r="K16635" s="18" t="s">
        <v>477</v>
      </c>
    </row>
    <row r="16636">
      <c r="B16636" s="17" t="s">
        <v>477</v>
      </c>
      <c r="K16636" s="18" t="s">
        <v>477</v>
      </c>
    </row>
    <row r="16637">
      <c r="B16637" s="17" t="s">
        <v>477</v>
      </c>
      <c r="K16637" s="18" t="s">
        <v>477</v>
      </c>
    </row>
    <row r="16638">
      <c r="B16638" s="17" t="s">
        <v>477</v>
      </c>
      <c r="K16638" s="18" t="s">
        <v>477</v>
      </c>
    </row>
    <row r="16639">
      <c r="B16639" s="17" t="s">
        <v>477</v>
      </c>
      <c r="K16639" s="18" t="s">
        <v>477</v>
      </c>
    </row>
    <row r="16640">
      <c r="B16640" s="17" t="s">
        <v>477</v>
      </c>
      <c r="K16640" s="18" t="s">
        <v>477</v>
      </c>
    </row>
    <row r="16641">
      <c r="B16641" s="17" t="s">
        <v>477</v>
      </c>
      <c r="K16641" s="18" t="s">
        <v>477</v>
      </c>
    </row>
    <row r="16642">
      <c r="B16642" s="17" t="s">
        <v>477</v>
      </c>
      <c r="K16642" s="18" t="s">
        <v>477</v>
      </c>
    </row>
    <row r="16643">
      <c r="B16643" s="17" t="s">
        <v>477</v>
      </c>
      <c r="K16643" s="18" t="s">
        <v>477</v>
      </c>
    </row>
    <row r="16644">
      <c r="B16644" s="17" t="s">
        <v>477</v>
      </c>
      <c r="K16644" s="18" t="s">
        <v>477</v>
      </c>
    </row>
    <row r="16645">
      <c r="B16645" s="17" t="s">
        <v>477</v>
      </c>
      <c r="K16645" s="18" t="s">
        <v>477</v>
      </c>
    </row>
    <row r="16646">
      <c r="B16646" s="17" t="s">
        <v>477</v>
      </c>
      <c r="K16646" s="18" t="s">
        <v>477</v>
      </c>
    </row>
    <row r="16647">
      <c r="B16647" s="17" t="s">
        <v>477</v>
      </c>
      <c r="K16647" s="18" t="s">
        <v>477</v>
      </c>
    </row>
    <row r="16648">
      <c r="B16648" s="17" t="s">
        <v>477</v>
      </c>
      <c r="K16648" s="18" t="s">
        <v>477</v>
      </c>
    </row>
    <row r="16649">
      <c r="B16649" s="17" t="s">
        <v>477</v>
      </c>
      <c r="K16649" s="18" t="s">
        <v>477</v>
      </c>
    </row>
    <row r="16650">
      <c r="B16650" s="17" t="s">
        <v>477</v>
      </c>
      <c r="K16650" s="18" t="s">
        <v>477</v>
      </c>
    </row>
    <row r="16651">
      <c r="B16651" s="17" t="s">
        <v>477</v>
      </c>
      <c r="K16651" s="18" t="s">
        <v>477</v>
      </c>
    </row>
    <row r="16652">
      <c r="B16652" s="17" t="s">
        <v>477</v>
      </c>
      <c r="K16652" s="18" t="s">
        <v>477</v>
      </c>
    </row>
    <row r="16653">
      <c r="B16653" s="17" t="s">
        <v>477</v>
      </c>
      <c r="K16653" s="18" t="s">
        <v>477</v>
      </c>
    </row>
    <row r="16654">
      <c r="B16654" s="17" t="s">
        <v>477</v>
      </c>
      <c r="K16654" s="18" t="s">
        <v>477</v>
      </c>
    </row>
    <row r="16655">
      <c r="B16655" s="17" t="s">
        <v>477</v>
      </c>
      <c r="K16655" s="18" t="s">
        <v>477</v>
      </c>
    </row>
    <row r="16656">
      <c r="B16656" s="17" t="s">
        <v>477</v>
      </c>
      <c r="K16656" s="18" t="s">
        <v>477</v>
      </c>
    </row>
    <row r="16657">
      <c r="B16657" s="17" t="s">
        <v>477</v>
      </c>
      <c r="K16657" s="18" t="s">
        <v>477</v>
      </c>
    </row>
    <row r="16658">
      <c r="B16658" s="17" t="s">
        <v>477</v>
      </c>
      <c r="K16658" s="18" t="s">
        <v>477</v>
      </c>
    </row>
    <row r="16659">
      <c r="B16659" s="17" t="s">
        <v>477</v>
      </c>
      <c r="K16659" s="18" t="s">
        <v>477</v>
      </c>
    </row>
    <row r="16660">
      <c r="B16660" s="17" t="s">
        <v>477</v>
      </c>
      <c r="K16660" s="18" t="s">
        <v>477</v>
      </c>
    </row>
    <row r="16661">
      <c r="B16661" s="17" t="s">
        <v>477</v>
      </c>
      <c r="K16661" s="18" t="s">
        <v>477</v>
      </c>
    </row>
    <row r="16662">
      <c r="B16662" s="17" t="s">
        <v>477</v>
      </c>
      <c r="K16662" s="18" t="s">
        <v>477</v>
      </c>
    </row>
    <row r="16663">
      <c r="B16663" s="17" t="s">
        <v>477</v>
      </c>
      <c r="K16663" s="18" t="s">
        <v>477</v>
      </c>
    </row>
    <row r="16664">
      <c r="B16664" s="17" t="s">
        <v>477</v>
      </c>
      <c r="K16664" s="18" t="s">
        <v>477</v>
      </c>
    </row>
    <row r="16665">
      <c r="B16665" s="17" t="s">
        <v>477</v>
      </c>
      <c r="K16665" s="18" t="s">
        <v>477</v>
      </c>
    </row>
    <row r="16666">
      <c r="B16666" s="17" t="s">
        <v>477</v>
      </c>
      <c r="K16666" s="18" t="s">
        <v>477</v>
      </c>
    </row>
    <row r="16667">
      <c r="B16667" s="17" t="s">
        <v>477</v>
      </c>
      <c r="K16667" s="18" t="s">
        <v>477</v>
      </c>
    </row>
    <row r="16668">
      <c r="B16668" s="17" t="s">
        <v>477</v>
      </c>
      <c r="K16668" s="18" t="s">
        <v>477</v>
      </c>
    </row>
    <row r="16669">
      <c r="B16669" s="17" t="s">
        <v>477</v>
      </c>
      <c r="K16669" s="18" t="s">
        <v>477</v>
      </c>
    </row>
    <row r="16670">
      <c r="B16670" s="17" t="s">
        <v>477</v>
      </c>
      <c r="K16670" s="18" t="s">
        <v>477</v>
      </c>
    </row>
    <row r="16671">
      <c r="B16671" s="17" t="s">
        <v>477</v>
      </c>
      <c r="K16671" s="18" t="s">
        <v>477</v>
      </c>
    </row>
    <row r="16672">
      <c r="B16672" s="17" t="s">
        <v>477</v>
      </c>
      <c r="K16672" s="18" t="s">
        <v>477</v>
      </c>
    </row>
    <row r="16673">
      <c r="B16673" s="17" t="s">
        <v>477</v>
      </c>
      <c r="K16673" s="18" t="s">
        <v>477</v>
      </c>
    </row>
    <row r="16674">
      <c r="B16674" s="17" t="s">
        <v>477</v>
      </c>
      <c r="K16674" s="18" t="s">
        <v>477</v>
      </c>
    </row>
    <row r="16675">
      <c r="B16675" s="17" t="s">
        <v>477</v>
      </c>
      <c r="K16675" s="18" t="s">
        <v>477</v>
      </c>
    </row>
    <row r="16676">
      <c r="B16676" s="17" t="s">
        <v>477</v>
      </c>
      <c r="K16676" s="18" t="s">
        <v>477</v>
      </c>
    </row>
    <row r="16677">
      <c r="B16677" s="17" t="s">
        <v>477</v>
      </c>
      <c r="K16677" s="18" t="s">
        <v>477</v>
      </c>
    </row>
    <row r="16678">
      <c r="B16678" s="17" t="s">
        <v>477</v>
      </c>
      <c r="K16678" s="18" t="s">
        <v>477</v>
      </c>
    </row>
    <row r="16679">
      <c r="B16679" s="17" t="s">
        <v>477</v>
      </c>
      <c r="K16679" s="18" t="s">
        <v>477</v>
      </c>
    </row>
    <row r="16680">
      <c r="B16680" s="17" t="s">
        <v>477</v>
      </c>
      <c r="K16680" s="18" t="s">
        <v>477</v>
      </c>
    </row>
    <row r="16681">
      <c r="B16681" s="17" t="s">
        <v>477</v>
      </c>
      <c r="K16681" s="18" t="s">
        <v>477</v>
      </c>
    </row>
    <row r="16682">
      <c r="B16682" s="17" t="s">
        <v>477</v>
      </c>
      <c r="K16682" s="18" t="s">
        <v>477</v>
      </c>
    </row>
    <row r="16683">
      <c r="B16683" s="17" t="s">
        <v>477</v>
      </c>
      <c r="K16683" s="18" t="s">
        <v>477</v>
      </c>
    </row>
    <row r="16684">
      <c r="B16684" s="17" t="s">
        <v>477</v>
      </c>
      <c r="K16684" s="18" t="s">
        <v>477</v>
      </c>
    </row>
    <row r="16685">
      <c r="B16685" s="17" t="s">
        <v>477</v>
      </c>
      <c r="K16685" s="18" t="s">
        <v>477</v>
      </c>
    </row>
    <row r="16686">
      <c r="B16686" s="17" t="s">
        <v>477</v>
      </c>
      <c r="K16686" s="18" t="s">
        <v>477</v>
      </c>
    </row>
    <row r="16687">
      <c r="B16687" s="17" t="s">
        <v>477</v>
      </c>
      <c r="K16687" s="18" t="s">
        <v>477</v>
      </c>
    </row>
    <row r="16688">
      <c r="B16688" s="17" t="s">
        <v>477</v>
      </c>
      <c r="K16688" s="18" t="s">
        <v>477</v>
      </c>
    </row>
    <row r="16689">
      <c r="B16689" s="17" t="s">
        <v>477</v>
      </c>
      <c r="K16689" s="18" t="s">
        <v>477</v>
      </c>
    </row>
    <row r="16690">
      <c r="B16690" s="17" t="s">
        <v>477</v>
      </c>
      <c r="K16690" s="18" t="s">
        <v>477</v>
      </c>
    </row>
    <row r="16691">
      <c r="B16691" s="17" t="s">
        <v>477</v>
      </c>
      <c r="K16691" s="18" t="s">
        <v>477</v>
      </c>
    </row>
    <row r="16692">
      <c r="B16692" s="17" t="s">
        <v>477</v>
      </c>
      <c r="K16692" s="18" t="s">
        <v>477</v>
      </c>
    </row>
    <row r="16693">
      <c r="B16693" s="17" t="s">
        <v>477</v>
      </c>
      <c r="K16693" s="18" t="s">
        <v>477</v>
      </c>
    </row>
    <row r="16694">
      <c r="B16694" s="17" t="s">
        <v>477</v>
      </c>
      <c r="K16694" s="18" t="s">
        <v>477</v>
      </c>
    </row>
    <row r="16695">
      <c r="B16695" s="17" t="s">
        <v>477</v>
      </c>
      <c r="K16695" s="18" t="s">
        <v>477</v>
      </c>
    </row>
    <row r="16696">
      <c r="B16696" s="17" t="s">
        <v>477</v>
      </c>
      <c r="K16696" s="18" t="s">
        <v>477</v>
      </c>
    </row>
    <row r="16697">
      <c r="B16697" s="17" t="s">
        <v>477</v>
      </c>
      <c r="K16697" s="18" t="s">
        <v>477</v>
      </c>
    </row>
    <row r="16698">
      <c r="B16698" s="17" t="s">
        <v>477</v>
      </c>
      <c r="K16698" s="18" t="s">
        <v>477</v>
      </c>
    </row>
    <row r="16699">
      <c r="B16699" s="17" t="s">
        <v>477</v>
      </c>
      <c r="K16699" s="18" t="s">
        <v>477</v>
      </c>
    </row>
    <row r="16700">
      <c r="B16700" s="17" t="s">
        <v>477</v>
      </c>
      <c r="K16700" s="18" t="s">
        <v>477</v>
      </c>
    </row>
    <row r="16701">
      <c r="B16701" s="17" t="s">
        <v>477</v>
      </c>
      <c r="K16701" s="18" t="s">
        <v>477</v>
      </c>
    </row>
    <row r="16702">
      <c r="B16702" s="17" t="s">
        <v>477</v>
      </c>
      <c r="K16702" s="18" t="s">
        <v>477</v>
      </c>
    </row>
    <row r="16703">
      <c r="B16703" s="17" t="s">
        <v>477</v>
      </c>
      <c r="K16703" s="18" t="s">
        <v>477</v>
      </c>
    </row>
    <row r="16704">
      <c r="B16704" s="17" t="s">
        <v>477</v>
      </c>
      <c r="K16704" s="18" t="s">
        <v>477</v>
      </c>
    </row>
    <row r="16705">
      <c r="B16705" s="17" t="s">
        <v>477</v>
      </c>
      <c r="K16705" s="18" t="s">
        <v>477</v>
      </c>
    </row>
    <row r="16706">
      <c r="B16706" s="17" t="s">
        <v>477</v>
      </c>
      <c r="K16706" s="18" t="s">
        <v>477</v>
      </c>
    </row>
    <row r="16707">
      <c r="B16707" s="17" t="s">
        <v>477</v>
      </c>
      <c r="K16707" s="18" t="s">
        <v>477</v>
      </c>
    </row>
    <row r="16708">
      <c r="B16708" s="17" t="s">
        <v>477</v>
      </c>
      <c r="K16708" s="18" t="s">
        <v>477</v>
      </c>
    </row>
    <row r="16709">
      <c r="B16709" s="17" t="s">
        <v>477</v>
      </c>
      <c r="K16709" s="18" t="s">
        <v>477</v>
      </c>
    </row>
    <row r="16710">
      <c r="B16710" s="17" t="s">
        <v>477</v>
      </c>
      <c r="K16710" s="18" t="s">
        <v>477</v>
      </c>
    </row>
    <row r="16711">
      <c r="B16711" s="17" t="s">
        <v>477</v>
      </c>
      <c r="K16711" s="18" t="s">
        <v>477</v>
      </c>
    </row>
    <row r="16712">
      <c r="B16712" s="17" t="s">
        <v>477</v>
      </c>
      <c r="K16712" s="18" t="s">
        <v>477</v>
      </c>
    </row>
    <row r="16713">
      <c r="B16713" s="17" t="s">
        <v>477</v>
      </c>
      <c r="K16713" s="18" t="s">
        <v>477</v>
      </c>
    </row>
    <row r="16714">
      <c r="B16714" s="17" t="s">
        <v>477</v>
      </c>
      <c r="K16714" s="18" t="s">
        <v>477</v>
      </c>
    </row>
    <row r="16715">
      <c r="B16715" s="17" t="s">
        <v>477</v>
      </c>
      <c r="K16715" s="18" t="s">
        <v>477</v>
      </c>
    </row>
    <row r="16716">
      <c r="B16716" s="17" t="s">
        <v>477</v>
      </c>
      <c r="K16716" s="18" t="s">
        <v>477</v>
      </c>
    </row>
    <row r="16717">
      <c r="B16717" s="17" t="s">
        <v>477</v>
      </c>
      <c r="K16717" s="18" t="s">
        <v>477</v>
      </c>
    </row>
    <row r="16718">
      <c r="B16718" s="17" t="s">
        <v>477</v>
      </c>
      <c r="K16718" s="18" t="s">
        <v>477</v>
      </c>
    </row>
    <row r="16719">
      <c r="B16719" s="17" t="s">
        <v>477</v>
      </c>
      <c r="K16719" s="18" t="s">
        <v>477</v>
      </c>
    </row>
    <row r="16720">
      <c r="B16720" s="17" t="s">
        <v>477</v>
      </c>
      <c r="K16720" s="18" t="s">
        <v>477</v>
      </c>
    </row>
    <row r="16721">
      <c r="B16721" s="17" t="s">
        <v>477</v>
      </c>
      <c r="K16721" s="18" t="s">
        <v>477</v>
      </c>
    </row>
    <row r="16722">
      <c r="B16722" s="17" t="s">
        <v>477</v>
      </c>
      <c r="K16722" s="18" t="s">
        <v>477</v>
      </c>
    </row>
    <row r="16723">
      <c r="B16723" s="17" t="s">
        <v>477</v>
      </c>
      <c r="K16723" s="18" t="s">
        <v>477</v>
      </c>
    </row>
    <row r="16724">
      <c r="B16724" s="17" t="s">
        <v>477</v>
      </c>
      <c r="K16724" s="18" t="s">
        <v>477</v>
      </c>
    </row>
    <row r="16725">
      <c r="B16725" s="17" t="s">
        <v>477</v>
      </c>
      <c r="K16725" s="18" t="s">
        <v>477</v>
      </c>
    </row>
    <row r="16726">
      <c r="B16726" s="17" t="s">
        <v>477</v>
      </c>
      <c r="K16726" s="18" t="s">
        <v>477</v>
      </c>
    </row>
    <row r="16727">
      <c r="B16727" s="17" t="s">
        <v>477</v>
      </c>
      <c r="K16727" s="18" t="s">
        <v>477</v>
      </c>
    </row>
    <row r="16728">
      <c r="B16728" s="17" t="s">
        <v>477</v>
      </c>
      <c r="K16728" s="18" t="s">
        <v>477</v>
      </c>
    </row>
    <row r="16729">
      <c r="B16729" s="17" t="s">
        <v>477</v>
      </c>
      <c r="K16729" s="18" t="s">
        <v>477</v>
      </c>
    </row>
    <row r="16730">
      <c r="B16730" s="17" t="s">
        <v>477</v>
      </c>
      <c r="K16730" s="18" t="s">
        <v>477</v>
      </c>
    </row>
    <row r="16731">
      <c r="B16731" s="17" t="s">
        <v>477</v>
      </c>
      <c r="K16731" s="18" t="s">
        <v>477</v>
      </c>
    </row>
    <row r="16732">
      <c r="B16732" s="17" t="s">
        <v>477</v>
      </c>
      <c r="K16732" s="18" t="s">
        <v>477</v>
      </c>
    </row>
    <row r="16733">
      <c r="B16733" s="17" t="s">
        <v>477</v>
      </c>
      <c r="K16733" s="18" t="s">
        <v>477</v>
      </c>
    </row>
    <row r="16734">
      <c r="B16734" s="17" t="s">
        <v>477</v>
      </c>
      <c r="K16734" s="18" t="s">
        <v>477</v>
      </c>
    </row>
    <row r="16735">
      <c r="B16735" s="17" t="s">
        <v>477</v>
      </c>
      <c r="K16735" s="18" t="s">
        <v>477</v>
      </c>
    </row>
    <row r="16736">
      <c r="B16736" s="17" t="s">
        <v>477</v>
      </c>
      <c r="K16736" s="18" t="s">
        <v>477</v>
      </c>
    </row>
    <row r="16737">
      <c r="B16737" s="17" t="s">
        <v>477</v>
      </c>
      <c r="K16737" s="18" t="s">
        <v>477</v>
      </c>
    </row>
    <row r="16738">
      <c r="B16738" s="17" t="s">
        <v>477</v>
      </c>
      <c r="K16738" s="18" t="s">
        <v>477</v>
      </c>
    </row>
    <row r="16739">
      <c r="B16739" s="17" t="s">
        <v>477</v>
      </c>
      <c r="K16739" s="18" t="s">
        <v>477</v>
      </c>
    </row>
    <row r="16740">
      <c r="B16740" s="17" t="s">
        <v>477</v>
      </c>
      <c r="K16740" s="18" t="s">
        <v>477</v>
      </c>
    </row>
    <row r="16741">
      <c r="B16741" s="17" t="s">
        <v>477</v>
      </c>
      <c r="K16741" s="18" t="s">
        <v>477</v>
      </c>
    </row>
    <row r="16742">
      <c r="B16742" s="17" t="s">
        <v>477</v>
      </c>
      <c r="K16742" s="18" t="s">
        <v>477</v>
      </c>
    </row>
    <row r="16743">
      <c r="B16743" s="17" t="s">
        <v>477</v>
      </c>
      <c r="K16743" s="18" t="s">
        <v>477</v>
      </c>
    </row>
    <row r="16744">
      <c r="B16744" s="17" t="s">
        <v>477</v>
      </c>
      <c r="K16744" s="18" t="s">
        <v>477</v>
      </c>
    </row>
    <row r="16745">
      <c r="B16745" s="17" t="s">
        <v>477</v>
      </c>
      <c r="K16745" s="18" t="s">
        <v>477</v>
      </c>
    </row>
    <row r="16746">
      <c r="B16746" s="17" t="s">
        <v>477</v>
      </c>
      <c r="K16746" s="18" t="s">
        <v>477</v>
      </c>
    </row>
    <row r="16747">
      <c r="B16747" s="17" t="s">
        <v>477</v>
      </c>
      <c r="K16747" s="18" t="s">
        <v>477</v>
      </c>
    </row>
    <row r="16748">
      <c r="B16748" s="17" t="s">
        <v>477</v>
      </c>
      <c r="K16748" s="18" t="s">
        <v>477</v>
      </c>
    </row>
    <row r="16749">
      <c r="B16749" s="17" t="s">
        <v>477</v>
      </c>
      <c r="K16749" s="18" t="s">
        <v>477</v>
      </c>
    </row>
    <row r="16750">
      <c r="B16750" s="17" t="s">
        <v>477</v>
      </c>
      <c r="K16750" s="18" t="s">
        <v>477</v>
      </c>
    </row>
    <row r="16751">
      <c r="B16751" s="17" t="s">
        <v>477</v>
      </c>
      <c r="K16751" s="18" t="s">
        <v>477</v>
      </c>
    </row>
    <row r="16752">
      <c r="B16752" s="17" t="s">
        <v>477</v>
      </c>
      <c r="K16752" s="18" t="s">
        <v>477</v>
      </c>
    </row>
    <row r="16753">
      <c r="B16753" s="17" t="s">
        <v>477</v>
      </c>
      <c r="K16753" s="18" t="s">
        <v>477</v>
      </c>
    </row>
    <row r="16754">
      <c r="B16754" s="17" t="s">
        <v>477</v>
      </c>
      <c r="K16754" s="18" t="s">
        <v>477</v>
      </c>
    </row>
    <row r="16755">
      <c r="B16755" s="17" t="s">
        <v>477</v>
      </c>
      <c r="K16755" s="18" t="s">
        <v>477</v>
      </c>
    </row>
    <row r="16756">
      <c r="B16756" s="17" t="s">
        <v>477</v>
      </c>
      <c r="K16756" s="18" t="s">
        <v>477</v>
      </c>
    </row>
    <row r="16757">
      <c r="B16757" s="17" t="s">
        <v>477</v>
      </c>
      <c r="K16757" s="18" t="s">
        <v>477</v>
      </c>
    </row>
    <row r="16758">
      <c r="B16758" s="17" t="s">
        <v>477</v>
      </c>
      <c r="K16758" s="18" t="s">
        <v>477</v>
      </c>
    </row>
    <row r="16759">
      <c r="B16759" s="17" t="s">
        <v>477</v>
      </c>
      <c r="K16759" s="18" t="s">
        <v>477</v>
      </c>
    </row>
    <row r="16760">
      <c r="B16760" s="17" t="s">
        <v>477</v>
      </c>
      <c r="K16760" s="18" t="s">
        <v>477</v>
      </c>
    </row>
    <row r="16761">
      <c r="B16761" s="17" t="s">
        <v>477</v>
      </c>
      <c r="K16761" s="18" t="s">
        <v>477</v>
      </c>
    </row>
    <row r="16762">
      <c r="B16762" s="17" t="s">
        <v>477</v>
      </c>
      <c r="K16762" s="18" t="s">
        <v>477</v>
      </c>
    </row>
    <row r="16763">
      <c r="B16763" s="17" t="s">
        <v>477</v>
      </c>
      <c r="K16763" s="18" t="s">
        <v>477</v>
      </c>
    </row>
    <row r="16764">
      <c r="B16764" s="17" t="s">
        <v>477</v>
      </c>
      <c r="K16764" s="18" t="s">
        <v>477</v>
      </c>
    </row>
    <row r="16765">
      <c r="B16765" s="17" t="s">
        <v>477</v>
      </c>
      <c r="K16765" s="18" t="s">
        <v>477</v>
      </c>
    </row>
    <row r="16766">
      <c r="B16766" s="17" t="s">
        <v>477</v>
      </c>
      <c r="K16766" s="18" t="s">
        <v>477</v>
      </c>
    </row>
    <row r="16767">
      <c r="B16767" s="17" t="s">
        <v>477</v>
      </c>
      <c r="K16767" s="18" t="s">
        <v>477</v>
      </c>
    </row>
    <row r="16768">
      <c r="B16768" s="17" t="s">
        <v>477</v>
      </c>
      <c r="K16768" s="18" t="s">
        <v>477</v>
      </c>
    </row>
    <row r="16769">
      <c r="B16769" s="17" t="s">
        <v>477</v>
      </c>
      <c r="K16769" s="18" t="s">
        <v>477</v>
      </c>
    </row>
    <row r="16770">
      <c r="B16770" s="17" t="s">
        <v>477</v>
      </c>
      <c r="K16770" s="18" t="s">
        <v>477</v>
      </c>
    </row>
    <row r="16771">
      <c r="B16771" s="17" t="s">
        <v>477</v>
      </c>
      <c r="K16771" s="18" t="s">
        <v>477</v>
      </c>
    </row>
    <row r="16772">
      <c r="B16772" s="17" t="s">
        <v>477</v>
      </c>
      <c r="K16772" s="18" t="s">
        <v>477</v>
      </c>
    </row>
    <row r="16773">
      <c r="B16773" s="17" t="s">
        <v>477</v>
      </c>
      <c r="K16773" s="18" t="s">
        <v>477</v>
      </c>
    </row>
    <row r="16774">
      <c r="B16774" s="17" t="s">
        <v>477</v>
      </c>
      <c r="K16774" s="18" t="s">
        <v>477</v>
      </c>
    </row>
    <row r="16775">
      <c r="B16775" s="17" t="s">
        <v>477</v>
      </c>
      <c r="K16775" s="18" t="s">
        <v>477</v>
      </c>
    </row>
    <row r="16776">
      <c r="B16776" s="17" t="s">
        <v>477</v>
      </c>
      <c r="K16776" s="18" t="s">
        <v>477</v>
      </c>
    </row>
    <row r="16777">
      <c r="B16777" s="17" t="s">
        <v>477</v>
      </c>
      <c r="K16777" s="18" t="s">
        <v>477</v>
      </c>
    </row>
    <row r="16778">
      <c r="B16778" s="17" t="s">
        <v>477</v>
      </c>
      <c r="K16778" s="18" t="s">
        <v>477</v>
      </c>
    </row>
    <row r="16779">
      <c r="B16779" s="17" t="s">
        <v>477</v>
      </c>
      <c r="K16779" s="18" t="s">
        <v>477</v>
      </c>
    </row>
    <row r="16780">
      <c r="B16780" s="17" t="s">
        <v>477</v>
      </c>
      <c r="K16780" s="18" t="s">
        <v>477</v>
      </c>
    </row>
    <row r="16781">
      <c r="B16781" s="17" t="s">
        <v>477</v>
      </c>
      <c r="K16781" s="18" t="s">
        <v>477</v>
      </c>
    </row>
    <row r="16782">
      <c r="B16782" s="17" t="s">
        <v>477</v>
      </c>
      <c r="K16782" s="18" t="s">
        <v>477</v>
      </c>
    </row>
    <row r="16783">
      <c r="B16783" s="17" t="s">
        <v>477</v>
      </c>
      <c r="K16783" s="18" t="s">
        <v>477</v>
      </c>
    </row>
    <row r="16784">
      <c r="B16784" s="17" t="s">
        <v>477</v>
      </c>
      <c r="K16784" s="18" t="s">
        <v>477</v>
      </c>
    </row>
    <row r="16785">
      <c r="B16785" s="17" t="s">
        <v>477</v>
      </c>
      <c r="K16785" s="18" t="s">
        <v>477</v>
      </c>
    </row>
    <row r="16786">
      <c r="B16786" s="17" t="s">
        <v>477</v>
      </c>
      <c r="K16786" s="18" t="s">
        <v>477</v>
      </c>
    </row>
    <row r="16787">
      <c r="B16787" s="17" t="s">
        <v>477</v>
      </c>
      <c r="K16787" s="18" t="s">
        <v>477</v>
      </c>
    </row>
    <row r="16788">
      <c r="B16788" s="17" t="s">
        <v>477</v>
      </c>
      <c r="K16788" s="18" t="s">
        <v>477</v>
      </c>
    </row>
    <row r="16789">
      <c r="B16789" s="17" t="s">
        <v>477</v>
      </c>
      <c r="K16789" s="18" t="s">
        <v>477</v>
      </c>
    </row>
    <row r="16790">
      <c r="B16790" s="17" t="s">
        <v>477</v>
      </c>
      <c r="K16790" s="18" t="s">
        <v>477</v>
      </c>
    </row>
    <row r="16791">
      <c r="B16791" s="17" t="s">
        <v>477</v>
      </c>
      <c r="K16791" s="18" t="s">
        <v>477</v>
      </c>
    </row>
    <row r="16792">
      <c r="B16792" s="17" t="s">
        <v>477</v>
      </c>
      <c r="K16792" s="18" t="s">
        <v>477</v>
      </c>
    </row>
    <row r="16793">
      <c r="B16793" s="17" t="s">
        <v>477</v>
      </c>
      <c r="K16793" s="18" t="s">
        <v>477</v>
      </c>
    </row>
    <row r="16794">
      <c r="B16794" s="17" t="s">
        <v>477</v>
      </c>
      <c r="K16794" s="18" t="s">
        <v>477</v>
      </c>
    </row>
    <row r="16795">
      <c r="B16795" s="17" t="s">
        <v>477</v>
      </c>
      <c r="K16795" s="18" t="s">
        <v>477</v>
      </c>
    </row>
    <row r="16796">
      <c r="B16796" s="17" t="s">
        <v>477</v>
      </c>
      <c r="K16796" s="18" t="s">
        <v>477</v>
      </c>
    </row>
    <row r="16797">
      <c r="B16797" s="17" t="s">
        <v>477</v>
      </c>
      <c r="K16797" s="18" t="s">
        <v>477</v>
      </c>
    </row>
    <row r="16798">
      <c r="B16798" s="17" t="s">
        <v>477</v>
      </c>
      <c r="K16798" s="18" t="s">
        <v>477</v>
      </c>
    </row>
    <row r="16799">
      <c r="B16799" s="17" t="s">
        <v>477</v>
      </c>
      <c r="K16799" s="18" t="s">
        <v>477</v>
      </c>
    </row>
    <row r="16800">
      <c r="B16800" s="17" t="s">
        <v>477</v>
      </c>
      <c r="K16800" s="18" t="s">
        <v>477</v>
      </c>
    </row>
    <row r="16801">
      <c r="B16801" s="17" t="s">
        <v>477</v>
      </c>
      <c r="K16801" s="18" t="s">
        <v>477</v>
      </c>
    </row>
    <row r="16802">
      <c r="B16802" s="17" t="s">
        <v>477</v>
      </c>
      <c r="K16802" s="18" t="s">
        <v>477</v>
      </c>
    </row>
    <row r="16803">
      <c r="B16803" s="17" t="s">
        <v>477</v>
      </c>
      <c r="K16803" s="18" t="s">
        <v>477</v>
      </c>
    </row>
    <row r="16804">
      <c r="B16804" s="17" t="s">
        <v>477</v>
      </c>
      <c r="K16804" s="18" t="s">
        <v>477</v>
      </c>
    </row>
    <row r="16805">
      <c r="B16805" s="17" t="s">
        <v>477</v>
      </c>
      <c r="K16805" s="18" t="s">
        <v>477</v>
      </c>
    </row>
    <row r="16806">
      <c r="B16806" s="17" t="s">
        <v>477</v>
      </c>
      <c r="K16806" s="18" t="s">
        <v>477</v>
      </c>
    </row>
    <row r="16807">
      <c r="B16807" s="17" t="s">
        <v>477</v>
      </c>
      <c r="K16807" s="18" t="s">
        <v>477</v>
      </c>
    </row>
    <row r="16808">
      <c r="B16808" s="17" t="s">
        <v>477</v>
      </c>
      <c r="K16808" s="18" t="s">
        <v>477</v>
      </c>
    </row>
    <row r="16809">
      <c r="B16809" s="17" t="s">
        <v>477</v>
      </c>
      <c r="K16809" s="18" t="s">
        <v>477</v>
      </c>
    </row>
    <row r="16810">
      <c r="B16810" s="17" t="s">
        <v>477</v>
      </c>
      <c r="K16810" s="18" t="s">
        <v>477</v>
      </c>
    </row>
    <row r="16811">
      <c r="B16811" s="17" t="s">
        <v>477</v>
      </c>
      <c r="K16811" s="18" t="s">
        <v>477</v>
      </c>
    </row>
    <row r="16812">
      <c r="B16812" s="17" t="s">
        <v>477</v>
      </c>
      <c r="K16812" s="18" t="s">
        <v>477</v>
      </c>
    </row>
    <row r="16813">
      <c r="B16813" s="17" t="s">
        <v>477</v>
      </c>
      <c r="K16813" s="18" t="s">
        <v>477</v>
      </c>
    </row>
    <row r="16814">
      <c r="B16814" s="17" t="s">
        <v>477</v>
      </c>
      <c r="K16814" s="18" t="s">
        <v>477</v>
      </c>
    </row>
    <row r="16815">
      <c r="B16815" s="17" t="s">
        <v>477</v>
      </c>
      <c r="K16815" s="18" t="s">
        <v>477</v>
      </c>
    </row>
    <row r="16816">
      <c r="B16816" s="17" t="s">
        <v>477</v>
      </c>
      <c r="K16816" s="18" t="s">
        <v>477</v>
      </c>
    </row>
    <row r="16817">
      <c r="B16817" s="17" t="s">
        <v>477</v>
      </c>
      <c r="K16817" s="18" t="s">
        <v>477</v>
      </c>
    </row>
    <row r="16818">
      <c r="B16818" s="17" t="s">
        <v>477</v>
      </c>
      <c r="K16818" s="18" t="s">
        <v>477</v>
      </c>
    </row>
    <row r="16819">
      <c r="B16819" s="17" t="s">
        <v>477</v>
      </c>
      <c r="K16819" s="18" t="s">
        <v>477</v>
      </c>
    </row>
    <row r="16820">
      <c r="B16820" s="17" t="s">
        <v>477</v>
      </c>
      <c r="K16820" s="18" t="s">
        <v>477</v>
      </c>
    </row>
    <row r="16821">
      <c r="B16821" s="17" t="s">
        <v>477</v>
      </c>
      <c r="K16821" s="18" t="s">
        <v>477</v>
      </c>
    </row>
    <row r="16822">
      <c r="B16822" s="17" t="s">
        <v>477</v>
      </c>
      <c r="K16822" s="18" t="s">
        <v>477</v>
      </c>
    </row>
    <row r="16823">
      <c r="B16823" s="17" t="s">
        <v>477</v>
      </c>
      <c r="K16823" s="18" t="s">
        <v>477</v>
      </c>
    </row>
    <row r="16824">
      <c r="B16824" s="17" t="s">
        <v>477</v>
      </c>
      <c r="K16824" s="18" t="s">
        <v>477</v>
      </c>
    </row>
    <row r="16825">
      <c r="B16825" s="17" t="s">
        <v>477</v>
      </c>
      <c r="K16825" s="18" t="s">
        <v>477</v>
      </c>
    </row>
    <row r="16826">
      <c r="B16826" s="17" t="s">
        <v>477</v>
      </c>
      <c r="K16826" s="18" t="s">
        <v>477</v>
      </c>
    </row>
    <row r="16827">
      <c r="B16827" s="17" t="s">
        <v>477</v>
      </c>
      <c r="K16827" s="18" t="s">
        <v>477</v>
      </c>
    </row>
    <row r="16828">
      <c r="B16828" s="17" t="s">
        <v>477</v>
      </c>
      <c r="K16828" s="18" t="s">
        <v>477</v>
      </c>
    </row>
    <row r="16829">
      <c r="B16829" s="17" t="s">
        <v>477</v>
      </c>
      <c r="K16829" s="18" t="s">
        <v>477</v>
      </c>
    </row>
    <row r="16830">
      <c r="B16830" s="17" t="s">
        <v>477</v>
      </c>
      <c r="K16830" s="18" t="s">
        <v>477</v>
      </c>
    </row>
    <row r="16831">
      <c r="B16831" s="17" t="s">
        <v>477</v>
      </c>
      <c r="K16831" s="18" t="s">
        <v>477</v>
      </c>
    </row>
    <row r="16832">
      <c r="B16832" s="17" t="s">
        <v>477</v>
      </c>
      <c r="K16832" s="18" t="s">
        <v>477</v>
      </c>
    </row>
    <row r="16833">
      <c r="B16833" s="17" t="s">
        <v>477</v>
      </c>
      <c r="K16833" s="18" t="s">
        <v>477</v>
      </c>
    </row>
    <row r="16834">
      <c r="B16834" s="17" t="s">
        <v>477</v>
      </c>
      <c r="K16834" s="18" t="s">
        <v>477</v>
      </c>
    </row>
    <row r="16835">
      <c r="B16835" s="17" t="s">
        <v>477</v>
      </c>
      <c r="K16835" s="18" t="s">
        <v>477</v>
      </c>
    </row>
    <row r="16836">
      <c r="B16836" s="17" t="s">
        <v>477</v>
      </c>
      <c r="K16836" s="18" t="s">
        <v>477</v>
      </c>
    </row>
    <row r="16837">
      <c r="B16837" s="17" t="s">
        <v>477</v>
      </c>
      <c r="K16837" s="18" t="s">
        <v>477</v>
      </c>
    </row>
    <row r="16838">
      <c r="B16838" s="17" t="s">
        <v>477</v>
      </c>
      <c r="K16838" s="18" t="s">
        <v>477</v>
      </c>
    </row>
    <row r="16839">
      <c r="B16839" s="17" t="s">
        <v>477</v>
      </c>
      <c r="K16839" s="18" t="s">
        <v>477</v>
      </c>
    </row>
    <row r="16840">
      <c r="B16840" s="17" t="s">
        <v>477</v>
      </c>
      <c r="K16840" s="18" t="s">
        <v>477</v>
      </c>
    </row>
    <row r="16841">
      <c r="B16841" s="17" t="s">
        <v>477</v>
      </c>
      <c r="K16841" s="18" t="s">
        <v>477</v>
      </c>
    </row>
    <row r="16842">
      <c r="B16842" s="17" t="s">
        <v>477</v>
      </c>
      <c r="K16842" s="18" t="s">
        <v>477</v>
      </c>
    </row>
    <row r="16843">
      <c r="B16843" s="17" t="s">
        <v>477</v>
      </c>
      <c r="K16843" s="18" t="s">
        <v>477</v>
      </c>
    </row>
    <row r="16844">
      <c r="B16844" s="17" t="s">
        <v>477</v>
      </c>
      <c r="K16844" s="18" t="s">
        <v>477</v>
      </c>
    </row>
    <row r="16845">
      <c r="B16845" s="17" t="s">
        <v>477</v>
      </c>
      <c r="K16845" s="18" t="s">
        <v>477</v>
      </c>
    </row>
    <row r="16846">
      <c r="B16846" s="17" t="s">
        <v>477</v>
      </c>
      <c r="K16846" s="18" t="s">
        <v>477</v>
      </c>
    </row>
    <row r="16847">
      <c r="B16847" s="17" t="s">
        <v>477</v>
      </c>
      <c r="K16847" s="18" t="s">
        <v>477</v>
      </c>
    </row>
    <row r="16848">
      <c r="B16848" s="17" t="s">
        <v>477</v>
      </c>
      <c r="K16848" s="18" t="s">
        <v>477</v>
      </c>
    </row>
    <row r="16849">
      <c r="B16849" s="17" t="s">
        <v>477</v>
      </c>
      <c r="K16849" s="18" t="s">
        <v>477</v>
      </c>
    </row>
    <row r="16850">
      <c r="B16850" s="17" t="s">
        <v>477</v>
      </c>
      <c r="K16850" s="18" t="s">
        <v>477</v>
      </c>
    </row>
    <row r="16851">
      <c r="B16851" s="17" t="s">
        <v>477</v>
      </c>
      <c r="K16851" s="18" t="s">
        <v>477</v>
      </c>
    </row>
    <row r="16852">
      <c r="B16852" s="17" t="s">
        <v>477</v>
      </c>
      <c r="K16852" s="18" t="s">
        <v>477</v>
      </c>
    </row>
    <row r="16853">
      <c r="B16853" s="17" t="s">
        <v>477</v>
      </c>
      <c r="K16853" s="18" t="s">
        <v>477</v>
      </c>
    </row>
    <row r="16854">
      <c r="B16854" s="17" t="s">
        <v>477</v>
      </c>
      <c r="K16854" s="18" t="s">
        <v>477</v>
      </c>
    </row>
    <row r="16855">
      <c r="B16855" s="17" t="s">
        <v>477</v>
      </c>
      <c r="K16855" s="18" t="s">
        <v>477</v>
      </c>
    </row>
    <row r="16856">
      <c r="B16856" s="17" t="s">
        <v>477</v>
      </c>
      <c r="K16856" s="18" t="s">
        <v>477</v>
      </c>
    </row>
    <row r="16857">
      <c r="B16857" s="17" t="s">
        <v>477</v>
      </c>
      <c r="K16857" s="18" t="s">
        <v>477</v>
      </c>
    </row>
    <row r="16858">
      <c r="B16858" s="17" t="s">
        <v>477</v>
      </c>
      <c r="K16858" s="18" t="s">
        <v>477</v>
      </c>
    </row>
    <row r="16859">
      <c r="B16859" s="17" t="s">
        <v>477</v>
      </c>
      <c r="K16859" s="18" t="s">
        <v>477</v>
      </c>
    </row>
    <row r="16860">
      <c r="B16860" s="17" t="s">
        <v>477</v>
      </c>
      <c r="K16860" s="18" t="s">
        <v>477</v>
      </c>
    </row>
    <row r="16861">
      <c r="B16861" s="17" t="s">
        <v>477</v>
      </c>
      <c r="K16861" s="18" t="s">
        <v>477</v>
      </c>
    </row>
    <row r="16862">
      <c r="B16862" s="17" t="s">
        <v>477</v>
      </c>
      <c r="K16862" s="18" t="s">
        <v>477</v>
      </c>
    </row>
    <row r="16863">
      <c r="B16863" s="17" t="s">
        <v>477</v>
      </c>
      <c r="K16863" s="18" t="s">
        <v>477</v>
      </c>
    </row>
    <row r="16864">
      <c r="B16864" s="17" t="s">
        <v>477</v>
      </c>
      <c r="K16864" s="18" t="s">
        <v>477</v>
      </c>
    </row>
    <row r="16865">
      <c r="B16865" s="17" t="s">
        <v>477</v>
      </c>
      <c r="K16865" s="18" t="s">
        <v>477</v>
      </c>
    </row>
    <row r="16866">
      <c r="B16866" s="17" t="s">
        <v>477</v>
      </c>
      <c r="K16866" s="18" t="s">
        <v>477</v>
      </c>
    </row>
    <row r="16867">
      <c r="B16867" s="17" t="s">
        <v>477</v>
      </c>
      <c r="K16867" s="18" t="s">
        <v>477</v>
      </c>
    </row>
    <row r="16868">
      <c r="B16868" s="17" t="s">
        <v>477</v>
      </c>
      <c r="K16868" s="18" t="s">
        <v>477</v>
      </c>
    </row>
    <row r="16869">
      <c r="B16869" s="17" t="s">
        <v>477</v>
      </c>
      <c r="K16869" s="18" t="s">
        <v>477</v>
      </c>
    </row>
    <row r="16870">
      <c r="B16870" s="17" t="s">
        <v>477</v>
      </c>
      <c r="K16870" s="18" t="s">
        <v>477</v>
      </c>
    </row>
    <row r="16871">
      <c r="B16871" s="17" t="s">
        <v>477</v>
      </c>
      <c r="K16871" s="18" t="s">
        <v>477</v>
      </c>
    </row>
    <row r="16872">
      <c r="B16872" s="17" t="s">
        <v>477</v>
      </c>
      <c r="K16872" s="18" t="s">
        <v>477</v>
      </c>
    </row>
    <row r="16873">
      <c r="B16873" s="17" t="s">
        <v>477</v>
      </c>
      <c r="K16873" s="18" t="s">
        <v>477</v>
      </c>
    </row>
    <row r="16874">
      <c r="B16874" s="17" t="s">
        <v>477</v>
      </c>
      <c r="K16874" s="18" t="s">
        <v>477</v>
      </c>
    </row>
    <row r="16875">
      <c r="B16875" s="17" t="s">
        <v>477</v>
      </c>
      <c r="K16875" s="18" t="s">
        <v>477</v>
      </c>
    </row>
    <row r="16876">
      <c r="B16876" s="17" t="s">
        <v>477</v>
      </c>
      <c r="K16876" s="18" t="s">
        <v>477</v>
      </c>
    </row>
    <row r="16877">
      <c r="B16877" s="17" t="s">
        <v>477</v>
      </c>
      <c r="K16877" s="18" t="s">
        <v>477</v>
      </c>
    </row>
    <row r="16878">
      <c r="B16878" s="17" t="s">
        <v>477</v>
      </c>
      <c r="K16878" s="18" t="s">
        <v>477</v>
      </c>
    </row>
    <row r="16879">
      <c r="B16879" s="17" t="s">
        <v>477</v>
      </c>
      <c r="K16879" s="18" t="s">
        <v>477</v>
      </c>
    </row>
    <row r="16880">
      <c r="B16880" s="17" t="s">
        <v>477</v>
      </c>
      <c r="K16880" s="18" t="s">
        <v>477</v>
      </c>
    </row>
    <row r="16881">
      <c r="B16881" s="17" t="s">
        <v>477</v>
      </c>
      <c r="K16881" s="18" t="s">
        <v>477</v>
      </c>
    </row>
    <row r="16882">
      <c r="B16882" s="17" t="s">
        <v>477</v>
      </c>
      <c r="K16882" s="18" t="s">
        <v>477</v>
      </c>
    </row>
    <row r="16883">
      <c r="B16883" s="17" t="s">
        <v>477</v>
      </c>
      <c r="K16883" s="18" t="s">
        <v>477</v>
      </c>
    </row>
    <row r="16884">
      <c r="B16884" s="17" t="s">
        <v>477</v>
      </c>
      <c r="K16884" s="18" t="s">
        <v>477</v>
      </c>
    </row>
    <row r="16885">
      <c r="B16885" s="17" t="s">
        <v>477</v>
      </c>
      <c r="K16885" s="18" t="s">
        <v>477</v>
      </c>
    </row>
    <row r="16886">
      <c r="B16886" s="17" t="s">
        <v>477</v>
      </c>
      <c r="K16886" s="18" t="s">
        <v>477</v>
      </c>
    </row>
    <row r="16887">
      <c r="B16887" s="17" t="s">
        <v>477</v>
      </c>
      <c r="K16887" s="18" t="s">
        <v>477</v>
      </c>
    </row>
    <row r="16888">
      <c r="B16888" s="17" t="s">
        <v>477</v>
      </c>
      <c r="K16888" s="18" t="s">
        <v>477</v>
      </c>
    </row>
    <row r="16889">
      <c r="B16889" s="17" t="s">
        <v>477</v>
      </c>
      <c r="K16889" s="18" t="s">
        <v>477</v>
      </c>
    </row>
    <row r="16890">
      <c r="B16890" s="17" t="s">
        <v>477</v>
      </c>
      <c r="K16890" s="18" t="s">
        <v>477</v>
      </c>
    </row>
    <row r="16891">
      <c r="B16891" s="17" t="s">
        <v>477</v>
      </c>
      <c r="K16891" s="18" t="s">
        <v>477</v>
      </c>
    </row>
    <row r="16892">
      <c r="B16892" s="17" t="s">
        <v>477</v>
      </c>
      <c r="K16892" s="18" t="s">
        <v>477</v>
      </c>
    </row>
    <row r="16893">
      <c r="B16893" s="17" t="s">
        <v>477</v>
      </c>
      <c r="K16893" s="18" t="s">
        <v>477</v>
      </c>
    </row>
    <row r="16894">
      <c r="B16894" s="17" t="s">
        <v>477</v>
      </c>
      <c r="K16894" s="18" t="s">
        <v>477</v>
      </c>
    </row>
    <row r="16895">
      <c r="B16895" s="17" t="s">
        <v>477</v>
      </c>
      <c r="K16895" s="18" t="s">
        <v>477</v>
      </c>
    </row>
    <row r="16896">
      <c r="B16896" s="17" t="s">
        <v>477</v>
      </c>
      <c r="K16896" s="18" t="s">
        <v>477</v>
      </c>
    </row>
    <row r="16897">
      <c r="B16897" s="17" t="s">
        <v>477</v>
      </c>
      <c r="K16897" s="18" t="s">
        <v>477</v>
      </c>
    </row>
    <row r="16898">
      <c r="B16898" s="17" t="s">
        <v>477</v>
      </c>
      <c r="K16898" s="18" t="s">
        <v>477</v>
      </c>
    </row>
    <row r="16899">
      <c r="B16899" s="17" t="s">
        <v>477</v>
      </c>
      <c r="K16899" s="18" t="s">
        <v>477</v>
      </c>
    </row>
    <row r="16900">
      <c r="B16900" s="17" t="s">
        <v>477</v>
      </c>
      <c r="K16900" s="18" t="s">
        <v>477</v>
      </c>
    </row>
    <row r="16901">
      <c r="B16901" s="17" t="s">
        <v>477</v>
      </c>
      <c r="K16901" s="18" t="s">
        <v>477</v>
      </c>
    </row>
    <row r="16902">
      <c r="B16902" s="17" t="s">
        <v>477</v>
      </c>
      <c r="K16902" s="18" t="s">
        <v>477</v>
      </c>
    </row>
    <row r="16903">
      <c r="B16903" s="17" t="s">
        <v>477</v>
      </c>
      <c r="K16903" s="18" t="s">
        <v>477</v>
      </c>
    </row>
    <row r="16904">
      <c r="B16904" s="17" t="s">
        <v>477</v>
      </c>
      <c r="K16904" s="18" t="s">
        <v>477</v>
      </c>
    </row>
    <row r="16905">
      <c r="B16905" s="17" t="s">
        <v>477</v>
      </c>
      <c r="K16905" s="18" t="s">
        <v>477</v>
      </c>
    </row>
    <row r="16906">
      <c r="B16906" s="17" t="s">
        <v>477</v>
      </c>
      <c r="K16906" s="18" t="s">
        <v>477</v>
      </c>
    </row>
    <row r="16907">
      <c r="B16907" s="17" t="s">
        <v>477</v>
      </c>
      <c r="K16907" s="18" t="s">
        <v>477</v>
      </c>
    </row>
    <row r="16908">
      <c r="B16908" s="17" t="s">
        <v>477</v>
      </c>
      <c r="K16908" s="18" t="s">
        <v>477</v>
      </c>
    </row>
    <row r="16909">
      <c r="B16909" s="17" t="s">
        <v>477</v>
      </c>
      <c r="K16909" s="18" t="s">
        <v>477</v>
      </c>
    </row>
    <row r="16910">
      <c r="B16910" s="17" t="s">
        <v>477</v>
      </c>
      <c r="K16910" s="18" t="s">
        <v>477</v>
      </c>
    </row>
    <row r="16911">
      <c r="B16911" s="17" t="s">
        <v>477</v>
      </c>
      <c r="K16911" s="18" t="s">
        <v>477</v>
      </c>
    </row>
    <row r="16912">
      <c r="B16912" s="17" t="s">
        <v>477</v>
      </c>
      <c r="K16912" s="18" t="s">
        <v>477</v>
      </c>
    </row>
    <row r="16913">
      <c r="B16913" s="17" t="s">
        <v>477</v>
      </c>
      <c r="K16913" s="18" t="s">
        <v>477</v>
      </c>
    </row>
    <row r="16914">
      <c r="B16914" s="17" t="s">
        <v>477</v>
      </c>
      <c r="K16914" s="18" t="s">
        <v>477</v>
      </c>
    </row>
    <row r="16915">
      <c r="B16915" s="17" t="s">
        <v>477</v>
      </c>
      <c r="K16915" s="18" t="s">
        <v>477</v>
      </c>
    </row>
    <row r="16916">
      <c r="B16916" s="17" t="s">
        <v>477</v>
      </c>
      <c r="K16916" s="18" t="s">
        <v>477</v>
      </c>
    </row>
    <row r="16917">
      <c r="B16917" s="17" t="s">
        <v>477</v>
      </c>
      <c r="K16917" s="18" t="s">
        <v>477</v>
      </c>
    </row>
    <row r="16918">
      <c r="B16918" s="17" t="s">
        <v>477</v>
      </c>
      <c r="K16918" s="18" t="s">
        <v>477</v>
      </c>
    </row>
    <row r="16919">
      <c r="B16919" s="17" t="s">
        <v>477</v>
      </c>
      <c r="K16919" s="18" t="s">
        <v>477</v>
      </c>
    </row>
    <row r="16920">
      <c r="B16920" s="17" t="s">
        <v>477</v>
      </c>
      <c r="K16920" s="18" t="s">
        <v>477</v>
      </c>
    </row>
    <row r="16921">
      <c r="B16921" s="17" t="s">
        <v>477</v>
      </c>
      <c r="K16921" s="18" t="s">
        <v>477</v>
      </c>
    </row>
    <row r="16922">
      <c r="B16922" s="17" t="s">
        <v>477</v>
      </c>
      <c r="K16922" s="18" t="s">
        <v>477</v>
      </c>
    </row>
    <row r="16923">
      <c r="B16923" s="17" t="s">
        <v>477</v>
      </c>
      <c r="K16923" s="18" t="s">
        <v>477</v>
      </c>
    </row>
    <row r="16924">
      <c r="B16924" s="17" t="s">
        <v>477</v>
      </c>
      <c r="K16924" s="18" t="s">
        <v>477</v>
      </c>
    </row>
    <row r="16925">
      <c r="B16925" s="17" t="s">
        <v>477</v>
      </c>
      <c r="K16925" s="18" t="s">
        <v>477</v>
      </c>
    </row>
    <row r="16926">
      <c r="B16926" s="17" t="s">
        <v>477</v>
      </c>
      <c r="K16926" s="18" t="s">
        <v>477</v>
      </c>
    </row>
    <row r="16927">
      <c r="B16927" s="17" t="s">
        <v>477</v>
      </c>
      <c r="K16927" s="18" t="s">
        <v>477</v>
      </c>
    </row>
    <row r="16928">
      <c r="B16928" s="17" t="s">
        <v>477</v>
      </c>
      <c r="K16928" s="18" t="s">
        <v>477</v>
      </c>
    </row>
    <row r="16929">
      <c r="B16929" s="17" t="s">
        <v>477</v>
      </c>
      <c r="K16929" s="18" t="s">
        <v>477</v>
      </c>
    </row>
    <row r="16930">
      <c r="B16930" s="17" t="s">
        <v>477</v>
      </c>
      <c r="K16930" s="18" t="s">
        <v>477</v>
      </c>
    </row>
    <row r="16931">
      <c r="B16931" s="17" t="s">
        <v>477</v>
      </c>
      <c r="K16931" s="18" t="s">
        <v>477</v>
      </c>
    </row>
    <row r="16932">
      <c r="B16932" s="17" t="s">
        <v>477</v>
      </c>
      <c r="K16932" s="18" t="s">
        <v>477</v>
      </c>
    </row>
    <row r="16933">
      <c r="B16933" s="17" t="s">
        <v>477</v>
      </c>
      <c r="K16933" s="18" t="s">
        <v>477</v>
      </c>
    </row>
    <row r="16934">
      <c r="B16934" s="17" t="s">
        <v>477</v>
      </c>
      <c r="K16934" s="18" t="s">
        <v>477</v>
      </c>
    </row>
    <row r="16935">
      <c r="B16935" s="17" t="s">
        <v>477</v>
      </c>
      <c r="K16935" s="18" t="s">
        <v>477</v>
      </c>
    </row>
    <row r="16936">
      <c r="B16936" s="17" t="s">
        <v>477</v>
      </c>
      <c r="K16936" s="18" t="s">
        <v>477</v>
      </c>
    </row>
    <row r="16937">
      <c r="B16937" s="17" t="s">
        <v>477</v>
      </c>
      <c r="K16937" s="18" t="s">
        <v>477</v>
      </c>
    </row>
    <row r="16938">
      <c r="B16938" s="17" t="s">
        <v>477</v>
      </c>
      <c r="K16938" s="18" t="s">
        <v>477</v>
      </c>
    </row>
    <row r="16939">
      <c r="B16939" s="17" t="s">
        <v>477</v>
      </c>
      <c r="K16939" s="18" t="s">
        <v>477</v>
      </c>
    </row>
    <row r="16940">
      <c r="B16940" s="17" t="s">
        <v>477</v>
      </c>
      <c r="K16940" s="18" t="s">
        <v>477</v>
      </c>
    </row>
    <row r="16941">
      <c r="B16941" s="17" t="s">
        <v>477</v>
      </c>
      <c r="K16941" s="18" t="s">
        <v>477</v>
      </c>
    </row>
    <row r="16942">
      <c r="B16942" s="17" t="s">
        <v>477</v>
      </c>
      <c r="K16942" s="18" t="s">
        <v>477</v>
      </c>
    </row>
    <row r="16943">
      <c r="B16943" s="17" t="s">
        <v>477</v>
      </c>
      <c r="K16943" s="18" t="s">
        <v>477</v>
      </c>
    </row>
    <row r="16944">
      <c r="B16944" s="17" t="s">
        <v>477</v>
      </c>
      <c r="K16944" s="18" t="s">
        <v>477</v>
      </c>
    </row>
    <row r="16945">
      <c r="B16945" s="17" t="s">
        <v>477</v>
      </c>
      <c r="K16945" s="18" t="s">
        <v>477</v>
      </c>
    </row>
    <row r="16946">
      <c r="B16946" s="17" t="s">
        <v>477</v>
      </c>
      <c r="K16946" s="18" t="s">
        <v>477</v>
      </c>
    </row>
    <row r="16947">
      <c r="B16947" s="17" t="s">
        <v>477</v>
      </c>
      <c r="K16947" s="18" t="s">
        <v>477</v>
      </c>
    </row>
    <row r="16948">
      <c r="B16948" s="17" t="s">
        <v>477</v>
      </c>
      <c r="K16948" s="18" t="s">
        <v>477</v>
      </c>
    </row>
    <row r="16949">
      <c r="B16949" s="17" t="s">
        <v>477</v>
      </c>
      <c r="K16949" s="18" t="s">
        <v>477</v>
      </c>
    </row>
    <row r="16950">
      <c r="B16950" s="17" t="s">
        <v>477</v>
      </c>
      <c r="K16950" s="18" t="s">
        <v>477</v>
      </c>
    </row>
    <row r="16951">
      <c r="B16951" s="17" t="s">
        <v>477</v>
      </c>
      <c r="K16951" s="18" t="s">
        <v>477</v>
      </c>
    </row>
    <row r="16952">
      <c r="B16952" s="17" t="s">
        <v>477</v>
      </c>
      <c r="K16952" s="18" t="s">
        <v>477</v>
      </c>
    </row>
    <row r="16953">
      <c r="B16953" s="17" t="s">
        <v>477</v>
      </c>
      <c r="K16953" s="18" t="s">
        <v>477</v>
      </c>
    </row>
    <row r="16954">
      <c r="B16954" s="17" t="s">
        <v>477</v>
      </c>
      <c r="K16954" s="18" t="s">
        <v>477</v>
      </c>
    </row>
    <row r="16955">
      <c r="B16955" s="17" t="s">
        <v>477</v>
      </c>
      <c r="K16955" s="18" t="s">
        <v>477</v>
      </c>
    </row>
    <row r="16956">
      <c r="B16956" s="17" t="s">
        <v>477</v>
      </c>
      <c r="K16956" s="18" t="s">
        <v>477</v>
      </c>
    </row>
    <row r="16957">
      <c r="B16957" s="17" t="s">
        <v>477</v>
      </c>
      <c r="K16957" s="18" t="s">
        <v>477</v>
      </c>
    </row>
    <row r="16958">
      <c r="B16958" s="17" t="s">
        <v>477</v>
      </c>
      <c r="K16958" s="18" t="s">
        <v>477</v>
      </c>
    </row>
    <row r="16959">
      <c r="B16959" s="17" t="s">
        <v>477</v>
      </c>
      <c r="K16959" s="18" t="s">
        <v>477</v>
      </c>
    </row>
    <row r="16960">
      <c r="B16960" s="17" t="s">
        <v>477</v>
      </c>
      <c r="K16960" s="18" t="s">
        <v>477</v>
      </c>
    </row>
    <row r="16961">
      <c r="B16961" s="17" t="s">
        <v>477</v>
      </c>
      <c r="K16961" s="18" t="s">
        <v>477</v>
      </c>
    </row>
    <row r="16962">
      <c r="B16962" s="17" t="s">
        <v>477</v>
      </c>
      <c r="K16962" s="18" t="s">
        <v>477</v>
      </c>
    </row>
    <row r="16963">
      <c r="B16963" s="17" t="s">
        <v>477</v>
      </c>
      <c r="K16963" s="18" t="s">
        <v>477</v>
      </c>
    </row>
    <row r="16964">
      <c r="B16964" s="17" t="s">
        <v>477</v>
      </c>
      <c r="K16964" s="18" t="s">
        <v>477</v>
      </c>
    </row>
    <row r="16965">
      <c r="B16965" s="17" t="s">
        <v>477</v>
      </c>
      <c r="K16965" s="18" t="s">
        <v>477</v>
      </c>
    </row>
    <row r="16966">
      <c r="B16966" s="17" t="s">
        <v>477</v>
      </c>
      <c r="K16966" s="18" t="s">
        <v>477</v>
      </c>
    </row>
    <row r="16967">
      <c r="B16967" s="17" t="s">
        <v>477</v>
      </c>
      <c r="K16967" s="18" t="s">
        <v>477</v>
      </c>
    </row>
    <row r="16968">
      <c r="B16968" s="17" t="s">
        <v>477</v>
      </c>
      <c r="K16968" s="18" t="s">
        <v>477</v>
      </c>
    </row>
    <row r="16969">
      <c r="B16969" s="17" t="s">
        <v>477</v>
      </c>
      <c r="K16969" s="18" t="s">
        <v>477</v>
      </c>
    </row>
    <row r="16970">
      <c r="B16970" s="17" t="s">
        <v>477</v>
      </c>
      <c r="K16970" s="18" t="s">
        <v>477</v>
      </c>
    </row>
    <row r="16971">
      <c r="B16971" s="17" t="s">
        <v>477</v>
      </c>
      <c r="K16971" s="18" t="s">
        <v>477</v>
      </c>
    </row>
    <row r="16972">
      <c r="B16972" s="17" t="s">
        <v>477</v>
      </c>
      <c r="K16972" s="18" t="s">
        <v>477</v>
      </c>
    </row>
    <row r="16973">
      <c r="B16973" s="17" t="s">
        <v>477</v>
      </c>
      <c r="K16973" s="18" t="s">
        <v>477</v>
      </c>
    </row>
    <row r="16974">
      <c r="B16974" s="17" t="s">
        <v>477</v>
      </c>
      <c r="K16974" s="18" t="s">
        <v>477</v>
      </c>
    </row>
    <row r="16975">
      <c r="B16975" s="17" t="s">
        <v>477</v>
      </c>
      <c r="K16975" s="18" t="s">
        <v>477</v>
      </c>
    </row>
    <row r="16976">
      <c r="B16976" s="17" t="s">
        <v>477</v>
      </c>
      <c r="K16976" s="18" t="s">
        <v>477</v>
      </c>
    </row>
    <row r="16977">
      <c r="B16977" s="17" t="s">
        <v>477</v>
      </c>
      <c r="K16977" s="18" t="s">
        <v>477</v>
      </c>
    </row>
    <row r="16978">
      <c r="B16978" s="17" t="s">
        <v>477</v>
      </c>
      <c r="K16978" s="18" t="s">
        <v>477</v>
      </c>
    </row>
    <row r="16979">
      <c r="B16979" s="17" t="s">
        <v>477</v>
      </c>
      <c r="K16979" s="18" t="s">
        <v>477</v>
      </c>
    </row>
    <row r="16980">
      <c r="B16980" s="17" t="s">
        <v>477</v>
      </c>
      <c r="K16980" s="18" t="s">
        <v>477</v>
      </c>
    </row>
    <row r="16981">
      <c r="B16981" s="17" t="s">
        <v>477</v>
      </c>
      <c r="K16981" s="18" t="s">
        <v>477</v>
      </c>
    </row>
    <row r="16982">
      <c r="B16982" s="17" t="s">
        <v>477</v>
      </c>
      <c r="K16982" s="18" t="s">
        <v>477</v>
      </c>
    </row>
    <row r="16983">
      <c r="B16983" s="17" t="s">
        <v>477</v>
      </c>
      <c r="K16983" s="18" t="s">
        <v>477</v>
      </c>
    </row>
    <row r="16984">
      <c r="B16984" s="17" t="s">
        <v>477</v>
      </c>
      <c r="K16984" s="18" t="s">
        <v>477</v>
      </c>
    </row>
    <row r="16985">
      <c r="B16985" s="17" t="s">
        <v>477</v>
      </c>
      <c r="K16985" s="18" t="s">
        <v>477</v>
      </c>
    </row>
    <row r="16986">
      <c r="B16986" s="17" t="s">
        <v>477</v>
      </c>
      <c r="K16986" s="18" t="s">
        <v>477</v>
      </c>
    </row>
    <row r="16987">
      <c r="B16987" s="17" t="s">
        <v>477</v>
      </c>
      <c r="K16987" s="18" t="s">
        <v>477</v>
      </c>
    </row>
    <row r="16988">
      <c r="B16988" s="17" t="s">
        <v>477</v>
      </c>
      <c r="K16988" s="18" t="s">
        <v>477</v>
      </c>
    </row>
    <row r="16989">
      <c r="B16989" s="17" t="s">
        <v>477</v>
      </c>
      <c r="K16989" s="18" t="s">
        <v>477</v>
      </c>
    </row>
    <row r="16990">
      <c r="B16990" s="17" t="s">
        <v>477</v>
      </c>
      <c r="K16990" s="18" t="s">
        <v>477</v>
      </c>
    </row>
    <row r="16991">
      <c r="B16991" s="17" t="s">
        <v>477</v>
      </c>
      <c r="K16991" s="18" t="s">
        <v>477</v>
      </c>
    </row>
    <row r="16992">
      <c r="B16992" s="17" t="s">
        <v>477</v>
      </c>
      <c r="K16992" s="18" t="s">
        <v>477</v>
      </c>
    </row>
    <row r="16993">
      <c r="B16993" s="17" t="s">
        <v>477</v>
      </c>
      <c r="K16993" s="18" t="s">
        <v>477</v>
      </c>
    </row>
    <row r="16994">
      <c r="B16994" s="17" t="s">
        <v>477</v>
      </c>
      <c r="K16994" s="18" t="s">
        <v>477</v>
      </c>
    </row>
    <row r="16995">
      <c r="B16995" s="17" t="s">
        <v>477</v>
      </c>
      <c r="K16995" s="18" t="s">
        <v>477</v>
      </c>
    </row>
    <row r="16996">
      <c r="B16996" s="17" t="s">
        <v>477</v>
      </c>
      <c r="K16996" s="18" t="s">
        <v>477</v>
      </c>
    </row>
    <row r="16997">
      <c r="B16997" s="17" t="s">
        <v>477</v>
      </c>
      <c r="K16997" s="18" t="s">
        <v>477</v>
      </c>
    </row>
    <row r="16998">
      <c r="B16998" s="17" t="s">
        <v>477</v>
      </c>
      <c r="K16998" s="18" t="s">
        <v>477</v>
      </c>
    </row>
    <row r="16999">
      <c r="B16999" s="17" t="s">
        <v>477</v>
      </c>
      <c r="K16999" s="18" t="s">
        <v>477</v>
      </c>
    </row>
    <row r="17000">
      <c r="B17000" s="17" t="s">
        <v>477</v>
      </c>
      <c r="K17000" s="18" t="s">
        <v>477</v>
      </c>
    </row>
    <row r="17001">
      <c r="B17001" s="17" t="s">
        <v>477</v>
      </c>
      <c r="K17001" s="18" t="s">
        <v>477</v>
      </c>
    </row>
    <row r="17002">
      <c r="B17002" s="17" t="s">
        <v>477</v>
      </c>
      <c r="K17002" s="18" t="s">
        <v>477</v>
      </c>
    </row>
    <row r="17003">
      <c r="B17003" s="17" t="s">
        <v>477</v>
      </c>
      <c r="K17003" s="18" t="s">
        <v>477</v>
      </c>
    </row>
    <row r="17004">
      <c r="B17004" s="17" t="s">
        <v>477</v>
      </c>
      <c r="K17004" s="18" t="s">
        <v>477</v>
      </c>
    </row>
    <row r="17005">
      <c r="B17005" s="17" t="s">
        <v>477</v>
      </c>
      <c r="K17005" s="18" t="s">
        <v>477</v>
      </c>
    </row>
    <row r="17006">
      <c r="B17006" s="17" t="s">
        <v>477</v>
      </c>
      <c r="K17006" s="18" t="s">
        <v>477</v>
      </c>
    </row>
    <row r="17007">
      <c r="B17007" s="17" t="s">
        <v>477</v>
      </c>
      <c r="K17007" s="18" t="s">
        <v>477</v>
      </c>
    </row>
    <row r="17008">
      <c r="B17008" s="17" t="s">
        <v>477</v>
      </c>
      <c r="K17008" s="18" t="s">
        <v>477</v>
      </c>
    </row>
    <row r="17009">
      <c r="B17009" s="17" t="s">
        <v>477</v>
      </c>
      <c r="K17009" s="18" t="s">
        <v>477</v>
      </c>
    </row>
    <row r="17010">
      <c r="B17010" s="17" t="s">
        <v>477</v>
      </c>
      <c r="K17010" s="18" t="s">
        <v>477</v>
      </c>
    </row>
    <row r="17011">
      <c r="B17011" s="17" t="s">
        <v>477</v>
      </c>
      <c r="K17011" s="18" t="s">
        <v>477</v>
      </c>
    </row>
    <row r="17012">
      <c r="B17012" s="17" t="s">
        <v>477</v>
      </c>
      <c r="K17012" s="18" t="s">
        <v>477</v>
      </c>
    </row>
    <row r="17013">
      <c r="B17013" s="17" t="s">
        <v>477</v>
      </c>
      <c r="K17013" s="18" t="s">
        <v>477</v>
      </c>
    </row>
    <row r="17014">
      <c r="B17014" s="17" t="s">
        <v>477</v>
      </c>
      <c r="K17014" s="18" t="s">
        <v>477</v>
      </c>
    </row>
    <row r="17015">
      <c r="B17015" s="17" t="s">
        <v>477</v>
      </c>
      <c r="K17015" s="18" t="s">
        <v>477</v>
      </c>
    </row>
    <row r="17016">
      <c r="B17016" s="17" t="s">
        <v>477</v>
      </c>
      <c r="K17016" s="18" t="s">
        <v>477</v>
      </c>
    </row>
    <row r="17017">
      <c r="B17017" s="17" t="s">
        <v>477</v>
      </c>
      <c r="K17017" s="18" t="s">
        <v>477</v>
      </c>
    </row>
    <row r="17018">
      <c r="B17018" s="17" t="s">
        <v>477</v>
      </c>
      <c r="K17018" s="18" t="s">
        <v>477</v>
      </c>
    </row>
    <row r="17019">
      <c r="B17019" s="17" t="s">
        <v>477</v>
      </c>
      <c r="K17019" s="18" t="s">
        <v>477</v>
      </c>
    </row>
    <row r="17020">
      <c r="B17020" s="17" t="s">
        <v>477</v>
      </c>
      <c r="K17020" s="18" t="s">
        <v>477</v>
      </c>
    </row>
    <row r="17021">
      <c r="B17021" s="17" t="s">
        <v>477</v>
      </c>
      <c r="K17021" s="18" t="s">
        <v>477</v>
      </c>
    </row>
    <row r="17022">
      <c r="B17022" s="17" t="s">
        <v>477</v>
      </c>
      <c r="K17022" s="18" t="s">
        <v>477</v>
      </c>
    </row>
    <row r="17023">
      <c r="B17023" s="17" t="s">
        <v>477</v>
      </c>
      <c r="K17023" s="18" t="s">
        <v>477</v>
      </c>
    </row>
    <row r="17024">
      <c r="B17024" s="17" t="s">
        <v>477</v>
      </c>
      <c r="K17024" s="18" t="s">
        <v>477</v>
      </c>
    </row>
    <row r="17025">
      <c r="B17025" s="17" t="s">
        <v>477</v>
      </c>
      <c r="K17025" s="18" t="s">
        <v>477</v>
      </c>
    </row>
    <row r="17026">
      <c r="B17026" s="17" t="s">
        <v>477</v>
      </c>
      <c r="K17026" s="18" t="s">
        <v>477</v>
      </c>
    </row>
    <row r="17027">
      <c r="B17027" s="17" t="s">
        <v>477</v>
      </c>
      <c r="K17027" s="18" t="s">
        <v>477</v>
      </c>
    </row>
    <row r="17028">
      <c r="B17028" s="17" t="s">
        <v>477</v>
      </c>
      <c r="K17028" s="18" t="s">
        <v>477</v>
      </c>
    </row>
    <row r="17029">
      <c r="B17029" s="17" t="s">
        <v>477</v>
      </c>
      <c r="K17029" s="18" t="s">
        <v>477</v>
      </c>
    </row>
    <row r="17030">
      <c r="B17030" s="17" t="s">
        <v>477</v>
      </c>
      <c r="K17030" s="18" t="s">
        <v>477</v>
      </c>
    </row>
    <row r="17031">
      <c r="B17031" s="17" t="s">
        <v>477</v>
      </c>
      <c r="K17031" s="18" t="s">
        <v>477</v>
      </c>
    </row>
    <row r="17032">
      <c r="B17032" s="17" t="s">
        <v>477</v>
      </c>
      <c r="K17032" s="18" t="s">
        <v>477</v>
      </c>
    </row>
    <row r="17033">
      <c r="B17033" s="17" t="s">
        <v>477</v>
      </c>
      <c r="K17033" s="18" t="s">
        <v>477</v>
      </c>
    </row>
    <row r="17034">
      <c r="B17034" s="17" t="s">
        <v>477</v>
      </c>
      <c r="K17034" s="18" t="s">
        <v>477</v>
      </c>
    </row>
    <row r="17035">
      <c r="B17035" s="17" t="s">
        <v>477</v>
      </c>
      <c r="K17035" s="18" t="s">
        <v>477</v>
      </c>
    </row>
    <row r="17036">
      <c r="B17036" s="17" t="s">
        <v>477</v>
      </c>
      <c r="K17036" s="18" t="s">
        <v>477</v>
      </c>
    </row>
    <row r="17037">
      <c r="B17037" s="17" t="s">
        <v>477</v>
      </c>
      <c r="K17037" s="18" t="s">
        <v>477</v>
      </c>
    </row>
    <row r="17038">
      <c r="B17038" s="17" t="s">
        <v>477</v>
      </c>
      <c r="K17038" s="18" t="s">
        <v>477</v>
      </c>
    </row>
    <row r="17039">
      <c r="B17039" s="17" t="s">
        <v>477</v>
      </c>
      <c r="K17039" s="18" t="s">
        <v>477</v>
      </c>
    </row>
    <row r="17040">
      <c r="B17040" s="17" t="s">
        <v>477</v>
      </c>
      <c r="K17040" s="18" t="s">
        <v>477</v>
      </c>
    </row>
    <row r="17041">
      <c r="B17041" s="17" t="s">
        <v>477</v>
      </c>
      <c r="K17041" s="18" t="s">
        <v>477</v>
      </c>
    </row>
    <row r="17042">
      <c r="B17042" s="17" t="s">
        <v>477</v>
      </c>
      <c r="K17042" s="18" t="s">
        <v>477</v>
      </c>
    </row>
    <row r="17043">
      <c r="B17043" s="17" t="s">
        <v>477</v>
      </c>
      <c r="K17043" s="18" t="s">
        <v>477</v>
      </c>
    </row>
    <row r="17044">
      <c r="B17044" s="17" t="s">
        <v>477</v>
      </c>
      <c r="K17044" s="18" t="s">
        <v>477</v>
      </c>
    </row>
    <row r="17045">
      <c r="B17045" s="17" t="s">
        <v>477</v>
      </c>
      <c r="K17045" s="18" t="s">
        <v>477</v>
      </c>
    </row>
    <row r="17046">
      <c r="B17046" s="17" t="s">
        <v>477</v>
      </c>
      <c r="K17046" s="18" t="s">
        <v>477</v>
      </c>
    </row>
    <row r="17047">
      <c r="B17047" s="17" t="s">
        <v>477</v>
      </c>
      <c r="K17047" s="18" t="s">
        <v>477</v>
      </c>
    </row>
    <row r="17048">
      <c r="B17048" s="17" t="s">
        <v>477</v>
      </c>
      <c r="K17048" s="18" t="s">
        <v>477</v>
      </c>
    </row>
    <row r="17049">
      <c r="B17049" s="17" t="s">
        <v>477</v>
      </c>
      <c r="K17049" s="18" t="s">
        <v>477</v>
      </c>
    </row>
    <row r="17050">
      <c r="B17050" s="17" t="s">
        <v>477</v>
      </c>
      <c r="K17050" s="18" t="s">
        <v>477</v>
      </c>
    </row>
    <row r="17051">
      <c r="B17051" s="17" t="s">
        <v>477</v>
      </c>
      <c r="K17051" s="18" t="s">
        <v>477</v>
      </c>
    </row>
    <row r="17052">
      <c r="B17052" s="17" t="s">
        <v>477</v>
      </c>
      <c r="K17052" s="18" t="s">
        <v>477</v>
      </c>
    </row>
    <row r="17053">
      <c r="B17053" s="17" t="s">
        <v>477</v>
      </c>
      <c r="K17053" s="18" t="s">
        <v>477</v>
      </c>
    </row>
    <row r="17054">
      <c r="B17054" s="17" t="s">
        <v>477</v>
      </c>
      <c r="K17054" s="18" t="s">
        <v>477</v>
      </c>
    </row>
    <row r="17055">
      <c r="B17055" s="17" t="s">
        <v>477</v>
      </c>
      <c r="K17055" s="18" t="s">
        <v>477</v>
      </c>
    </row>
    <row r="17056">
      <c r="B17056" s="17" t="s">
        <v>477</v>
      </c>
      <c r="K17056" s="18" t="s">
        <v>477</v>
      </c>
    </row>
    <row r="17057">
      <c r="B17057" s="17" t="s">
        <v>477</v>
      </c>
      <c r="K17057" s="18" t="s">
        <v>477</v>
      </c>
    </row>
    <row r="17058">
      <c r="B17058" s="17" t="s">
        <v>477</v>
      </c>
      <c r="K17058" s="18" t="s">
        <v>477</v>
      </c>
    </row>
    <row r="17059">
      <c r="B17059" s="17" t="s">
        <v>477</v>
      </c>
      <c r="K17059" s="18" t="s">
        <v>477</v>
      </c>
    </row>
    <row r="17060">
      <c r="B17060" s="17" t="s">
        <v>477</v>
      </c>
      <c r="K17060" s="18" t="s">
        <v>477</v>
      </c>
    </row>
    <row r="17061">
      <c r="B17061" s="17" t="s">
        <v>477</v>
      </c>
      <c r="K17061" s="18" t="s">
        <v>477</v>
      </c>
    </row>
    <row r="17062">
      <c r="B17062" s="17" t="s">
        <v>477</v>
      </c>
      <c r="K17062" s="18" t="s">
        <v>477</v>
      </c>
    </row>
    <row r="17063">
      <c r="B17063" s="17" t="s">
        <v>477</v>
      </c>
      <c r="K17063" s="18" t="s">
        <v>477</v>
      </c>
    </row>
    <row r="17064">
      <c r="B17064" s="17" t="s">
        <v>477</v>
      </c>
      <c r="K17064" s="18" t="s">
        <v>477</v>
      </c>
    </row>
    <row r="17065">
      <c r="B17065" s="17" t="s">
        <v>477</v>
      </c>
      <c r="K17065" s="18" t="s">
        <v>477</v>
      </c>
    </row>
    <row r="17066">
      <c r="B17066" s="17" t="s">
        <v>477</v>
      </c>
      <c r="K17066" s="18" t="s">
        <v>477</v>
      </c>
    </row>
    <row r="17067">
      <c r="B17067" s="17" t="s">
        <v>477</v>
      </c>
      <c r="K17067" s="18" t="s">
        <v>477</v>
      </c>
    </row>
    <row r="17068">
      <c r="B17068" s="17" t="s">
        <v>477</v>
      </c>
      <c r="K17068" s="18" t="s">
        <v>477</v>
      </c>
    </row>
    <row r="17069">
      <c r="B17069" s="17" t="s">
        <v>477</v>
      </c>
      <c r="K17069" s="18" t="s">
        <v>477</v>
      </c>
    </row>
    <row r="17070">
      <c r="B17070" s="17" t="s">
        <v>477</v>
      </c>
      <c r="K17070" s="18" t="s">
        <v>477</v>
      </c>
    </row>
    <row r="17071">
      <c r="B17071" s="17" t="s">
        <v>477</v>
      </c>
      <c r="K17071" s="18" t="s">
        <v>477</v>
      </c>
    </row>
    <row r="17072">
      <c r="B17072" s="17" t="s">
        <v>477</v>
      </c>
      <c r="K17072" s="18" t="s">
        <v>477</v>
      </c>
    </row>
    <row r="17073">
      <c r="B17073" s="17" t="s">
        <v>477</v>
      </c>
      <c r="K17073" s="18" t="s">
        <v>477</v>
      </c>
    </row>
    <row r="17074">
      <c r="B17074" s="17" t="s">
        <v>477</v>
      </c>
      <c r="K17074" s="18" t="s">
        <v>477</v>
      </c>
    </row>
    <row r="17075">
      <c r="B17075" s="17" t="s">
        <v>477</v>
      </c>
      <c r="K17075" s="18" t="s">
        <v>477</v>
      </c>
    </row>
    <row r="17076">
      <c r="B17076" s="17" t="s">
        <v>477</v>
      </c>
      <c r="K17076" s="18" t="s">
        <v>477</v>
      </c>
    </row>
    <row r="17077">
      <c r="B17077" s="17" t="s">
        <v>477</v>
      </c>
      <c r="K17077" s="18" t="s">
        <v>477</v>
      </c>
    </row>
    <row r="17078">
      <c r="B17078" s="17" t="s">
        <v>477</v>
      </c>
      <c r="K17078" s="18" t="s">
        <v>477</v>
      </c>
    </row>
    <row r="17079">
      <c r="B17079" s="17" t="s">
        <v>477</v>
      </c>
      <c r="K17079" s="18" t="s">
        <v>477</v>
      </c>
    </row>
    <row r="17080">
      <c r="B17080" s="17" t="s">
        <v>477</v>
      </c>
      <c r="K17080" s="18" t="s">
        <v>477</v>
      </c>
    </row>
    <row r="17081">
      <c r="B17081" s="17" t="s">
        <v>477</v>
      </c>
      <c r="K17081" s="18" t="s">
        <v>477</v>
      </c>
    </row>
    <row r="17082">
      <c r="B17082" s="17" t="s">
        <v>477</v>
      </c>
      <c r="K17082" s="18" t="s">
        <v>477</v>
      </c>
    </row>
    <row r="17083">
      <c r="B17083" s="17" t="s">
        <v>477</v>
      </c>
      <c r="K17083" s="18" t="s">
        <v>477</v>
      </c>
    </row>
    <row r="17084">
      <c r="B17084" s="17" t="s">
        <v>477</v>
      </c>
      <c r="K17084" s="18" t="s">
        <v>477</v>
      </c>
    </row>
    <row r="17085">
      <c r="B17085" s="17" t="s">
        <v>477</v>
      </c>
      <c r="K17085" s="18" t="s">
        <v>477</v>
      </c>
    </row>
    <row r="17086">
      <c r="B17086" s="17" t="s">
        <v>477</v>
      </c>
      <c r="K17086" s="18" t="s">
        <v>477</v>
      </c>
    </row>
    <row r="17087">
      <c r="B17087" s="17" t="s">
        <v>477</v>
      </c>
      <c r="K17087" s="18" t="s">
        <v>477</v>
      </c>
    </row>
    <row r="17088">
      <c r="B17088" s="17" t="s">
        <v>477</v>
      </c>
      <c r="K17088" s="18" t="s">
        <v>477</v>
      </c>
    </row>
    <row r="17089">
      <c r="B17089" s="17" t="s">
        <v>477</v>
      </c>
      <c r="K17089" s="18" t="s">
        <v>477</v>
      </c>
    </row>
    <row r="17090">
      <c r="B17090" s="17" t="s">
        <v>477</v>
      </c>
      <c r="K17090" s="18" t="s">
        <v>477</v>
      </c>
    </row>
    <row r="17091">
      <c r="B17091" s="17" t="s">
        <v>477</v>
      </c>
      <c r="K17091" s="18" t="s">
        <v>477</v>
      </c>
    </row>
    <row r="17092">
      <c r="B17092" s="17" t="s">
        <v>477</v>
      </c>
      <c r="K17092" s="18" t="s">
        <v>477</v>
      </c>
    </row>
    <row r="17093">
      <c r="B17093" s="17" t="s">
        <v>477</v>
      </c>
      <c r="K17093" s="18" t="s">
        <v>477</v>
      </c>
    </row>
    <row r="17094">
      <c r="B17094" s="17" t="s">
        <v>477</v>
      </c>
      <c r="K17094" s="18" t="s">
        <v>477</v>
      </c>
    </row>
    <row r="17095">
      <c r="B17095" s="17" t="s">
        <v>477</v>
      </c>
      <c r="K17095" s="18" t="s">
        <v>477</v>
      </c>
    </row>
    <row r="17096">
      <c r="B17096" s="17" t="s">
        <v>477</v>
      </c>
      <c r="K17096" s="18" t="s">
        <v>477</v>
      </c>
    </row>
    <row r="17097">
      <c r="B17097" s="17" t="s">
        <v>477</v>
      </c>
      <c r="K17097" s="18" t="s">
        <v>477</v>
      </c>
    </row>
    <row r="17098">
      <c r="B17098" s="17" t="s">
        <v>477</v>
      </c>
      <c r="K17098" s="18" t="s">
        <v>477</v>
      </c>
    </row>
    <row r="17099">
      <c r="B17099" s="17" t="s">
        <v>477</v>
      </c>
      <c r="K17099" s="18" t="s">
        <v>477</v>
      </c>
    </row>
    <row r="17100">
      <c r="B17100" s="17" t="s">
        <v>477</v>
      </c>
      <c r="K17100" s="18" t="s">
        <v>477</v>
      </c>
    </row>
    <row r="17101">
      <c r="B17101" s="17" t="s">
        <v>477</v>
      </c>
      <c r="K17101" s="18" t="s">
        <v>477</v>
      </c>
    </row>
    <row r="17102">
      <c r="B17102" s="17" t="s">
        <v>477</v>
      </c>
      <c r="K17102" s="18" t="s">
        <v>477</v>
      </c>
    </row>
    <row r="17103">
      <c r="B17103" s="17" t="s">
        <v>477</v>
      </c>
      <c r="K17103" s="18" t="s">
        <v>477</v>
      </c>
    </row>
    <row r="17104">
      <c r="B17104" s="17" t="s">
        <v>477</v>
      </c>
      <c r="K17104" s="18" t="s">
        <v>477</v>
      </c>
    </row>
    <row r="17105">
      <c r="B17105" s="17" t="s">
        <v>477</v>
      </c>
      <c r="K17105" s="18" t="s">
        <v>477</v>
      </c>
    </row>
    <row r="17106">
      <c r="B17106" s="17" t="s">
        <v>477</v>
      </c>
      <c r="K17106" s="18" t="s">
        <v>477</v>
      </c>
    </row>
    <row r="17107">
      <c r="B17107" s="17" t="s">
        <v>477</v>
      </c>
      <c r="K17107" s="18" t="s">
        <v>477</v>
      </c>
    </row>
    <row r="17108">
      <c r="B17108" s="17" t="s">
        <v>477</v>
      </c>
      <c r="K17108" s="18" t="s">
        <v>477</v>
      </c>
    </row>
    <row r="17109">
      <c r="B17109" s="17" t="s">
        <v>477</v>
      </c>
      <c r="K17109" s="18" t="s">
        <v>477</v>
      </c>
    </row>
    <row r="17110">
      <c r="B17110" s="17" t="s">
        <v>477</v>
      </c>
      <c r="K17110" s="18" t="s">
        <v>477</v>
      </c>
    </row>
    <row r="17111">
      <c r="B17111" s="17" t="s">
        <v>477</v>
      </c>
      <c r="K17111" s="18" t="s">
        <v>477</v>
      </c>
    </row>
    <row r="17112">
      <c r="B17112" s="17" t="s">
        <v>477</v>
      </c>
      <c r="K17112" s="18" t="s">
        <v>477</v>
      </c>
    </row>
    <row r="17113">
      <c r="B17113" s="17" t="s">
        <v>477</v>
      </c>
      <c r="K17113" s="18" t="s">
        <v>477</v>
      </c>
    </row>
    <row r="17114">
      <c r="B17114" s="17" t="s">
        <v>477</v>
      </c>
      <c r="K17114" s="18" t="s">
        <v>477</v>
      </c>
    </row>
    <row r="17115">
      <c r="B17115" s="17" t="s">
        <v>477</v>
      </c>
      <c r="K17115" s="18" t="s">
        <v>477</v>
      </c>
    </row>
    <row r="17116">
      <c r="B17116" s="17" t="s">
        <v>477</v>
      </c>
      <c r="K17116" s="18" t="s">
        <v>477</v>
      </c>
    </row>
    <row r="17117">
      <c r="B17117" s="17" t="s">
        <v>477</v>
      </c>
      <c r="K17117" s="18" t="s">
        <v>477</v>
      </c>
    </row>
    <row r="17118">
      <c r="B17118" s="17" t="s">
        <v>477</v>
      </c>
      <c r="K17118" s="18" t="s">
        <v>477</v>
      </c>
    </row>
    <row r="17119">
      <c r="B17119" s="17" t="s">
        <v>477</v>
      </c>
      <c r="K17119" s="18" t="s">
        <v>477</v>
      </c>
    </row>
    <row r="17120">
      <c r="B17120" s="17" t="s">
        <v>477</v>
      </c>
      <c r="K17120" s="18" t="s">
        <v>477</v>
      </c>
    </row>
    <row r="17121">
      <c r="B17121" s="17" t="s">
        <v>477</v>
      </c>
      <c r="K17121" s="18" t="s">
        <v>477</v>
      </c>
    </row>
    <row r="17122">
      <c r="B17122" s="17" t="s">
        <v>477</v>
      </c>
      <c r="K17122" s="18" t="s">
        <v>477</v>
      </c>
    </row>
    <row r="17123">
      <c r="B17123" s="17" t="s">
        <v>477</v>
      </c>
      <c r="K17123" s="18" t="s">
        <v>477</v>
      </c>
    </row>
    <row r="17124">
      <c r="B17124" s="17" t="s">
        <v>477</v>
      </c>
      <c r="K17124" s="18" t="s">
        <v>477</v>
      </c>
    </row>
    <row r="17125">
      <c r="B17125" s="17" t="s">
        <v>477</v>
      </c>
      <c r="K17125" s="18" t="s">
        <v>477</v>
      </c>
    </row>
    <row r="17126">
      <c r="B17126" s="17" t="s">
        <v>477</v>
      </c>
      <c r="K17126" s="18" t="s">
        <v>477</v>
      </c>
    </row>
    <row r="17127">
      <c r="B17127" s="17" t="s">
        <v>477</v>
      </c>
      <c r="K17127" s="18" t="s">
        <v>477</v>
      </c>
    </row>
    <row r="17128">
      <c r="B17128" s="17" t="s">
        <v>477</v>
      </c>
      <c r="K17128" s="18" t="s">
        <v>477</v>
      </c>
    </row>
    <row r="17129">
      <c r="B17129" s="17" t="s">
        <v>477</v>
      </c>
      <c r="K17129" s="18" t="s">
        <v>477</v>
      </c>
    </row>
    <row r="17130">
      <c r="B17130" s="17" t="s">
        <v>477</v>
      </c>
      <c r="K17130" s="18" t="s">
        <v>477</v>
      </c>
    </row>
    <row r="17131">
      <c r="B17131" s="17" t="s">
        <v>477</v>
      </c>
      <c r="K17131" s="18" t="s">
        <v>477</v>
      </c>
    </row>
    <row r="17132">
      <c r="B17132" s="17" t="s">
        <v>477</v>
      </c>
      <c r="K17132" s="18" t="s">
        <v>477</v>
      </c>
    </row>
    <row r="17133">
      <c r="B17133" s="17" t="s">
        <v>477</v>
      </c>
      <c r="K17133" s="18" t="s">
        <v>477</v>
      </c>
    </row>
    <row r="17134">
      <c r="B17134" s="17" t="s">
        <v>477</v>
      </c>
      <c r="K17134" s="18" t="s">
        <v>477</v>
      </c>
    </row>
    <row r="17135">
      <c r="B17135" s="17" t="s">
        <v>477</v>
      </c>
      <c r="K17135" s="18" t="s">
        <v>477</v>
      </c>
    </row>
    <row r="17136">
      <c r="B17136" s="17" t="s">
        <v>477</v>
      </c>
      <c r="K17136" s="18" t="s">
        <v>477</v>
      </c>
    </row>
    <row r="17137">
      <c r="B17137" s="17" t="s">
        <v>477</v>
      </c>
      <c r="K17137" s="18" t="s">
        <v>477</v>
      </c>
    </row>
    <row r="17138">
      <c r="B17138" s="17" t="s">
        <v>477</v>
      </c>
      <c r="K17138" s="18" t="s">
        <v>477</v>
      </c>
    </row>
    <row r="17139">
      <c r="B17139" s="17" t="s">
        <v>477</v>
      </c>
      <c r="K17139" s="18" t="s">
        <v>477</v>
      </c>
    </row>
    <row r="17140">
      <c r="B17140" s="17" t="s">
        <v>477</v>
      </c>
      <c r="K17140" s="18" t="s">
        <v>477</v>
      </c>
    </row>
    <row r="17141">
      <c r="B17141" s="17" t="s">
        <v>477</v>
      </c>
      <c r="K17141" s="18" t="s">
        <v>477</v>
      </c>
    </row>
    <row r="17142">
      <c r="B17142" s="17" t="s">
        <v>477</v>
      </c>
      <c r="K17142" s="18" t="s">
        <v>477</v>
      </c>
    </row>
    <row r="17143">
      <c r="B17143" s="17" t="s">
        <v>477</v>
      </c>
      <c r="K17143" s="18" t="s">
        <v>477</v>
      </c>
    </row>
    <row r="17144">
      <c r="B17144" s="17" t="s">
        <v>477</v>
      </c>
      <c r="K17144" s="18" t="s">
        <v>477</v>
      </c>
    </row>
    <row r="17145">
      <c r="B17145" s="17" t="s">
        <v>477</v>
      </c>
      <c r="K17145" s="18" t="s">
        <v>477</v>
      </c>
    </row>
    <row r="17146">
      <c r="B17146" s="17" t="s">
        <v>477</v>
      </c>
      <c r="K17146" s="18" t="s">
        <v>477</v>
      </c>
    </row>
    <row r="17147">
      <c r="B17147" s="17" t="s">
        <v>477</v>
      </c>
      <c r="K17147" s="18" t="s">
        <v>477</v>
      </c>
    </row>
    <row r="17148">
      <c r="B17148" s="17" t="s">
        <v>477</v>
      </c>
      <c r="K17148" s="18" t="s">
        <v>477</v>
      </c>
    </row>
    <row r="17149">
      <c r="B17149" s="17" t="s">
        <v>477</v>
      </c>
      <c r="K17149" s="18" t="s">
        <v>477</v>
      </c>
    </row>
    <row r="17150">
      <c r="B17150" s="17" t="s">
        <v>477</v>
      </c>
      <c r="K17150" s="18" t="s">
        <v>477</v>
      </c>
    </row>
    <row r="17151">
      <c r="B17151" s="17" t="s">
        <v>477</v>
      </c>
      <c r="K17151" s="18" t="s">
        <v>477</v>
      </c>
    </row>
    <row r="17152">
      <c r="B17152" s="17" t="s">
        <v>477</v>
      </c>
      <c r="K17152" s="18" t="s">
        <v>477</v>
      </c>
    </row>
    <row r="17153">
      <c r="B17153" s="17" t="s">
        <v>477</v>
      </c>
      <c r="K17153" s="18" t="s">
        <v>477</v>
      </c>
    </row>
    <row r="17154">
      <c r="B17154" s="17" t="s">
        <v>477</v>
      </c>
      <c r="K17154" s="18" t="s">
        <v>477</v>
      </c>
    </row>
    <row r="17155">
      <c r="B17155" s="17" t="s">
        <v>477</v>
      </c>
      <c r="K17155" s="18" t="s">
        <v>477</v>
      </c>
    </row>
    <row r="17156">
      <c r="B17156" s="17" t="s">
        <v>477</v>
      </c>
      <c r="K17156" s="18" t="s">
        <v>477</v>
      </c>
    </row>
    <row r="17157">
      <c r="B17157" s="17" t="s">
        <v>477</v>
      </c>
      <c r="K17157" s="18" t="s">
        <v>477</v>
      </c>
    </row>
    <row r="17158">
      <c r="B17158" s="17" t="s">
        <v>477</v>
      </c>
      <c r="K17158" s="18" t="s">
        <v>477</v>
      </c>
    </row>
    <row r="17159">
      <c r="B17159" s="17" t="s">
        <v>477</v>
      </c>
      <c r="K17159" s="18" t="s">
        <v>477</v>
      </c>
    </row>
    <row r="17160">
      <c r="B17160" s="17" t="s">
        <v>477</v>
      </c>
      <c r="K17160" s="18" t="s">
        <v>477</v>
      </c>
    </row>
    <row r="17161">
      <c r="B17161" s="17" t="s">
        <v>477</v>
      </c>
      <c r="K17161" s="18" t="s">
        <v>477</v>
      </c>
    </row>
    <row r="17162">
      <c r="B17162" s="17" t="s">
        <v>477</v>
      </c>
      <c r="K17162" s="18" t="s">
        <v>477</v>
      </c>
    </row>
    <row r="17163">
      <c r="B17163" s="17" t="s">
        <v>477</v>
      </c>
      <c r="K17163" s="18" t="s">
        <v>477</v>
      </c>
    </row>
    <row r="17164">
      <c r="B17164" s="17" t="s">
        <v>477</v>
      </c>
      <c r="K17164" s="18" t="s">
        <v>477</v>
      </c>
    </row>
    <row r="17165">
      <c r="B17165" s="17" t="s">
        <v>477</v>
      </c>
      <c r="K17165" s="18" t="s">
        <v>477</v>
      </c>
    </row>
    <row r="17166">
      <c r="B17166" s="17" t="s">
        <v>477</v>
      </c>
      <c r="K17166" s="18" t="s">
        <v>477</v>
      </c>
    </row>
    <row r="17167">
      <c r="B17167" s="17" t="s">
        <v>477</v>
      </c>
      <c r="K17167" s="18" t="s">
        <v>477</v>
      </c>
    </row>
    <row r="17168">
      <c r="B17168" s="17" t="s">
        <v>477</v>
      </c>
      <c r="K17168" s="18" t="s">
        <v>477</v>
      </c>
    </row>
    <row r="17169">
      <c r="B17169" s="17" t="s">
        <v>477</v>
      </c>
      <c r="K17169" s="18" t="s">
        <v>477</v>
      </c>
    </row>
    <row r="17170">
      <c r="B17170" s="17" t="s">
        <v>477</v>
      </c>
      <c r="K17170" s="18" t="s">
        <v>477</v>
      </c>
    </row>
    <row r="17171">
      <c r="B17171" s="17" t="s">
        <v>477</v>
      </c>
      <c r="K17171" s="18" t="s">
        <v>477</v>
      </c>
    </row>
    <row r="17172">
      <c r="B17172" s="17" t="s">
        <v>477</v>
      </c>
      <c r="K17172" s="18" t="s">
        <v>477</v>
      </c>
    </row>
    <row r="17173">
      <c r="B17173" s="17" t="s">
        <v>477</v>
      </c>
      <c r="K17173" s="18" t="s">
        <v>477</v>
      </c>
    </row>
    <row r="17174">
      <c r="B17174" s="17" t="s">
        <v>477</v>
      </c>
      <c r="K17174" s="18" t="s">
        <v>477</v>
      </c>
    </row>
    <row r="17175">
      <c r="B17175" s="17" t="s">
        <v>477</v>
      </c>
      <c r="K17175" s="18" t="s">
        <v>477</v>
      </c>
    </row>
    <row r="17176">
      <c r="B17176" s="17" t="s">
        <v>477</v>
      </c>
      <c r="K17176" s="18" t="s">
        <v>477</v>
      </c>
    </row>
    <row r="17177">
      <c r="B17177" s="17" t="s">
        <v>477</v>
      </c>
      <c r="K17177" s="18" t="s">
        <v>477</v>
      </c>
    </row>
    <row r="17178">
      <c r="B17178" s="17" t="s">
        <v>477</v>
      </c>
      <c r="K17178" s="18" t="s">
        <v>477</v>
      </c>
    </row>
    <row r="17179">
      <c r="B17179" s="17" t="s">
        <v>477</v>
      </c>
      <c r="K17179" s="18" t="s">
        <v>477</v>
      </c>
    </row>
    <row r="17180">
      <c r="B17180" s="17" t="s">
        <v>477</v>
      </c>
      <c r="K17180" s="18" t="s">
        <v>477</v>
      </c>
    </row>
    <row r="17181">
      <c r="B17181" s="17" t="s">
        <v>477</v>
      </c>
      <c r="K17181" s="18" t="s">
        <v>477</v>
      </c>
    </row>
    <row r="17182">
      <c r="B17182" s="17" t="s">
        <v>477</v>
      </c>
      <c r="K17182" s="18" t="s">
        <v>477</v>
      </c>
    </row>
    <row r="17183">
      <c r="B17183" s="17" t="s">
        <v>477</v>
      </c>
      <c r="K17183" s="18" t="s">
        <v>477</v>
      </c>
    </row>
    <row r="17184">
      <c r="B17184" s="17" t="s">
        <v>477</v>
      </c>
      <c r="K17184" s="18" t="s">
        <v>477</v>
      </c>
    </row>
    <row r="17185">
      <c r="B17185" s="17" t="s">
        <v>477</v>
      </c>
      <c r="K17185" s="18" t="s">
        <v>477</v>
      </c>
    </row>
    <row r="17186">
      <c r="B17186" s="17" t="s">
        <v>477</v>
      </c>
      <c r="K17186" s="18" t="s">
        <v>477</v>
      </c>
    </row>
    <row r="17187">
      <c r="B17187" s="17" t="s">
        <v>477</v>
      </c>
      <c r="K17187" s="18" t="s">
        <v>477</v>
      </c>
    </row>
    <row r="17188">
      <c r="B17188" s="17" t="s">
        <v>477</v>
      </c>
      <c r="K17188" s="18" t="s">
        <v>477</v>
      </c>
    </row>
    <row r="17189">
      <c r="B17189" s="17" t="s">
        <v>477</v>
      </c>
      <c r="K17189" s="18" t="s">
        <v>477</v>
      </c>
    </row>
    <row r="17190">
      <c r="B17190" s="17" t="s">
        <v>477</v>
      </c>
      <c r="K17190" s="18" t="s">
        <v>477</v>
      </c>
    </row>
    <row r="17191">
      <c r="B17191" s="17" t="s">
        <v>477</v>
      </c>
      <c r="K17191" s="18" t="s">
        <v>477</v>
      </c>
    </row>
    <row r="17192">
      <c r="B17192" s="17" t="s">
        <v>477</v>
      </c>
      <c r="K17192" s="18" t="s">
        <v>477</v>
      </c>
    </row>
    <row r="17193">
      <c r="B17193" s="17" t="s">
        <v>477</v>
      </c>
      <c r="K17193" s="18" t="s">
        <v>477</v>
      </c>
    </row>
    <row r="17194">
      <c r="B17194" s="17" t="s">
        <v>477</v>
      </c>
      <c r="K17194" s="18" t="s">
        <v>477</v>
      </c>
    </row>
    <row r="17195">
      <c r="B17195" s="17" t="s">
        <v>477</v>
      </c>
      <c r="K17195" s="18" t="s">
        <v>477</v>
      </c>
    </row>
    <row r="17196">
      <c r="B17196" s="17" t="s">
        <v>477</v>
      </c>
      <c r="K17196" s="18" t="s">
        <v>477</v>
      </c>
    </row>
    <row r="17197">
      <c r="B17197" s="17" t="s">
        <v>477</v>
      </c>
      <c r="K17197" s="18" t="s">
        <v>477</v>
      </c>
    </row>
    <row r="17198">
      <c r="B17198" s="17" t="s">
        <v>477</v>
      </c>
      <c r="K17198" s="18" t="s">
        <v>477</v>
      </c>
    </row>
    <row r="17199">
      <c r="B17199" s="17" t="s">
        <v>477</v>
      </c>
      <c r="K17199" s="18" t="s">
        <v>477</v>
      </c>
    </row>
    <row r="17200">
      <c r="B17200" s="17" t="s">
        <v>477</v>
      </c>
      <c r="K17200" s="18" t="s">
        <v>477</v>
      </c>
    </row>
    <row r="17201">
      <c r="B17201" s="17" t="s">
        <v>477</v>
      </c>
      <c r="K17201" s="18" t="s">
        <v>477</v>
      </c>
    </row>
    <row r="17202">
      <c r="B17202" s="17" t="s">
        <v>477</v>
      </c>
      <c r="K17202" s="18" t="s">
        <v>477</v>
      </c>
    </row>
    <row r="17203">
      <c r="B17203" s="17" t="s">
        <v>477</v>
      </c>
      <c r="K17203" s="18" t="s">
        <v>477</v>
      </c>
    </row>
    <row r="17204">
      <c r="B17204" s="17" t="s">
        <v>477</v>
      </c>
      <c r="K17204" s="18" t="s">
        <v>477</v>
      </c>
    </row>
    <row r="17205">
      <c r="B17205" s="17" t="s">
        <v>477</v>
      </c>
      <c r="K17205" s="18" t="s">
        <v>477</v>
      </c>
    </row>
    <row r="17206">
      <c r="B17206" s="17" t="s">
        <v>477</v>
      </c>
      <c r="K17206" s="18" t="s">
        <v>477</v>
      </c>
    </row>
    <row r="17207">
      <c r="B17207" s="17" t="s">
        <v>477</v>
      </c>
      <c r="K17207" s="18" t="s">
        <v>477</v>
      </c>
    </row>
    <row r="17208">
      <c r="B17208" s="17" t="s">
        <v>477</v>
      </c>
      <c r="K17208" s="18" t="s">
        <v>477</v>
      </c>
    </row>
    <row r="17209">
      <c r="B17209" s="17" t="s">
        <v>477</v>
      </c>
      <c r="K17209" s="18" t="s">
        <v>477</v>
      </c>
    </row>
    <row r="17210">
      <c r="B17210" s="17" t="s">
        <v>477</v>
      </c>
      <c r="K17210" s="18" t="s">
        <v>477</v>
      </c>
    </row>
    <row r="17211">
      <c r="B17211" s="17" t="s">
        <v>477</v>
      </c>
      <c r="K17211" s="18" t="s">
        <v>477</v>
      </c>
    </row>
    <row r="17212">
      <c r="B17212" s="17" t="s">
        <v>477</v>
      </c>
      <c r="K17212" s="18" t="s">
        <v>477</v>
      </c>
    </row>
    <row r="17213">
      <c r="B17213" s="17" t="s">
        <v>477</v>
      </c>
      <c r="K17213" s="18" t="s">
        <v>477</v>
      </c>
    </row>
    <row r="17214">
      <c r="B17214" s="17" t="s">
        <v>477</v>
      </c>
      <c r="K17214" s="18" t="s">
        <v>477</v>
      </c>
    </row>
    <row r="17215">
      <c r="B17215" s="17" t="s">
        <v>477</v>
      </c>
      <c r="K17215" s="18" t="s">
        <v>477</v>
      </c>
    </row>
    <row r="17216">
      <c r="B17216" s="17" t="s">
        <v>477</v>
      </c>
      <c r="K17216" s="18" t="s">
        <v>477</v>
      </c>
    </row>
    <row r="17217">
      <c r="B17217" s="17" t="s">
        <v>477</v>
      </c>
      <c r="K17217" s="18" t="s">
        <v>477</v>
      </c>
    </row>
    <row r="17218">
      <c r="B17218" s="17" t="s">
        <v>477</v>
      </c>
      <c r="K17218" s="18" t="s">
        <v>477</v>
      </c>
    </row>
    <row r="17219">
      <c r="B17219" s="17" t="s">
        <v>477</v>
      </c>
      <c r="K17219" s="18" t="s">
        <v>477</v>
      </c>
    </row>
    <row r="17220">
      <c r="B17220" s="17" t="s">
        <v>477</v>
      </c>
      <c r="K17220" s="18" t="s">
        <v>477</v>
      </c>
    </row>
    <row r="17221">
      <c r="B17221" s="17" t="s">
        <v>477</v>
      </c>
      <c r="K17221" s="18" t="s">
        <v>477</v>
      </c>
    </row>
    <row r="17222">
      <c r="B17222" s="17" t="s">
        <v>477</v>
      </c>
      <c r="K17222" s="18" t="s">
        <v>477</v>
      </c>
    </row>
    <row r="17223">
      <c r="B17223" s="17" t="s">
        <v>477</v>
      </c>
      <c r="K17223" s="18" t="s">
        <v>477</v>
      </c>
    </row>
    <row r="17224">
      <c r="B17224" s="17" t="s">
        <v>477</v>
      </c>
      <c r="K17224" s="18" t="s">
        <v>477</v>
      </c>
    </row>
    <row r="17225">
      <c r="B17225" s="17" t="s">
        <v>477</v>
      </c>
      <c r="K17225" s="18" t="s">
        <v>477</v>
      </c>
    </row>
    <row r="17226">
      <c r="B17226" s="17" t="s">
        <v>477</v>
      </c>
      <c r="K17226" s="18" t="s">
        <v>477</v>
      </c>
    </row>
    <row r="17227">
      <c r="B17227" s="17" t="s">
        <v>477</v>
      </c>
      <c r="K17227" s="18" t="s">
        <v>477</v>
      </c>
    </row>
    <row r="17228">
      <c r="B17228" s="17" t="s">
        <v>477</v>
      </c>
      <c r="K17228" s="18" t="s">
        <v>477</v>
      </c>
    </row>
    <row r="17229">
      <c r="B17229" s="17" t="s">
        <v>477</v>
      </c>
      <c r="K17229" s="18" t="s">
        <v>477</v>
      </c>
    </row>
    <row r="17230">
      <c r="B17230" s="17" t="s">
        <v>477</v>
      </c>
      <c r="K17230" s="18" t="s">
        <v>477</v>
      </c>
    </row>
    <row r="17231">
      <c r="B17231" s="17" t="s">
        <v>477</v>
      </c>
      <c r="K17231" s="18" t="s">
        <v>477</v>
      </c>
    </row>
    <row r="17232">
      <c r="B17232" s="17" t="s">
        <v>477</v>
      </c>
      <c r="K17232" s="18" t="s">
        <v>477</v>
      </c>
    </row>
    <row r="17233">
      <c r="B17233" s="17" t="s">
        <v>477</v>
      </c>
      <c r="K17233" s="18" t="s">
        <v>477</v>
      </c>
    </row>
    <row r="17234">
      <c r="B17234" s="17" t="s">
        <v>477</v>
      </c>
      <c r="K17234" s="18" t="s">
        <v>477</v>
      </c>
    </row>
    <row r="17235">
      <c r="B17235" s="17" t="s">
        <v>477</v>
      </c>
      <c r="K17235" s="18" t="s">
        <v>477</v>
      </c>
    </row>
    <row r="17236">
      <c r="B17236" s="17" t="s">
        <v>477</v>
      </c>
      <c r="K17236" s="18" t="s">
        <v>477</v>
      </c>
    </row>
    <row r="17237">
      <c r="B17237" s="17" t="s">
        <v>477</v>
      </c>
      <c r="K17237" s="18" t="s">
        <v>477</v>
      </c>
    </row>
    <row r="17238">
      <c r="B17238" s="17" t="s">
        <v>477</v>
      </c>
      <c r="K17238" s="18" t="s">
        <v>477</v>
      </c>
    </row>
    <row r="17239">
      <c r="B17239" s="17" t="s">
        <v>477</v>
      </c>
      <c r="K17239" s="18" t="s">
        <v>477</v>
      </c>
    </row>
    <row r="17240">
      <c r="B17240" s="17" t="s">
        <v>477</v>
      </c>
      <c r="K17240" s="18" t="s">
        <v>477</v>
      </c>
    </row>
    <row r="17241">
      <c r="B17241" s="17" t="s">
        <v>477</v>
      </c>
      <c r="K17241" s="18" t="s">
        <v>477</v>
      </c>
    </row>
    <row r="17242">
      <c r="B17242" s="17" t="s">
        <v>477</v>
      </c>
      <c r="K17242" s="18" t="s">
        <v>477</v>
      </c>
    </row>
    <row r="17243">
      <c r="B17243" s="17" t="s">
        <v>477</v>
      </c>
      <c r="K17243" s="18" t="s">
        <v>477</v>
      </c>
    </row>
    <row r="17244">
      <c r="B17244" s="17" t="s">
        <v>477</v>
      </c>
      <c r="K17244" s="18" t="s">
        <v>477</v>
      </c>
    </row>
    <row r="17245">
      <c r="B17245" s="17" t="s">
        <v>477</v>
      </c>
      <c r="K17245" s="18" t="s">
        <v>477</v>
      </c>
    </row>
    <row r="17246">
      <c r="B17246" s="17" t="s">
        <v>477</v>
      </c>
      <c r="K17246" s="18" t="s">
        <v>477</v>
      </c>
    </row>
    <row r="17247">
      <c r="B17247" s="17" t="s">
        <v>477</v>
      </c>
      <c r="K17247" s="18" t="s">
        <v>477</v>
      </c>
    </row>
    <row r="17248">
      <c r="B17248" s="17" t="s">
        <v>477</v>
      </c>
      <c r="K17248" s="18" t="s">
        <v>477</v>
      </c>
    </row>
    <row r="17249">
      <c r="B17249" s="17" t="s">
        <v>477</v>
      </c>
      <c r="K17249" s="18" t="s">
        <v>477</v>
      </c>
    </row>
    <row r="17250">
      <c r="B17250" s="17" t="s">
        <v>477</v>
      </c>
      <c r="K17250" s="18" t="s">
        <v>477</v>
      </c>
    </row>
    <row r="17251">
      <c r="B17251" s="17" t="s">
        <v>477</v>
      </c>
      <c r="K17251" s="18" t="s">
        <v>477</v>
      </c>
    </row>
    <row r="17252">
      <c r="B17252" s="17" t="s">
        <v>477</v>
      </c>
      <c r="K17252" s="18" t="s">
        <v>477</v>
      </c>
    </row>
    <row r="17253">
      <c r="B17253" s="17" t="s">
        <v>477</v>
      </c>
      <c r="K17253" s="18" t="s">
        <v>477</v>
      </c>
    </row>
    <row r="17254">
      <c r="B17254" s="17" t="s">
        <v>477</v>
      </c>
      <c r="K17254" s="18" t="s">
        <v>477</v>
      </c>
    </row>
    <row r="17255">
      <c r="B17255" s="17" t="s">
        <v>477</v>
      </c>
      <c r="K17255" s="18" t="s">
        <v>477</v>
      </c>
    </row>
    <row r="17256">
      <c r="B17256" s="17" t="s">
        <v>477</v>
      </c>
      <c r="K17256" s="18" t="s">
        <v>477</v>
      </c>
    </row>
    <row r="17257">
      <c r="B17257" s="17" t="s">
        <v>477</v>
      </c>
      <c r="K17257" s="18" t="s">
        <v>477</v>
      </c>
    </row>
    <row r="17258">
      <c r="B17258" s="17" t="s">
        <v>477</v>
      </c>
      <c r="K17258" s="18" t="s">
        <v>477</v>
      </c>
    </row>
    <row r="17259">
      <c r="B17259" s="17" t="s">
        <v>477</v>
      </c>
      <c r="K17259" s="18" t="s">
        <v>477</v>
      </c>
    </row>
    <row r="17260">
      <c r="B17260" s="17" t="s">
        <v>477</v>
      </c>
      <c r="K17260" s="18" t="s">
        <v>477</v>
      </c>
    </row>
    <row r="17261">
      <c r="B17261" s="17" t="s">
        <v>477</v>
      </c>
      <c r="K17261" s="18" t="s">
        <v>477</v>
      </c>
    </row>
    <row r="17262">
      <c r="B17262" s="17" t="s">
        <v>477</v>
      </c>
      <c r="K17262" s="18" t="s">
        <v>477</v>
      </c>
    </row>
    <row r="17263">
      <c r="B17263" s="17" t="s">
        <v>477</v>
      </c>
      <c r="K17263" s="18" t="s">
        <v>477</v>
      </c>
    </row>
    <row r="17264">
      <c r="B17264" s="17" t="s">
        <v>477</v>
      </c>
      <c r="K17264" s="18" t="s">
        <v>477</v>
      </c>
    </row>
    <row r="17265">
      <c r="B17265" s="17" t="s">
        <v>477</v>
      </c>
      <c r="K17265" s="18" t="s">
        <v>477</v>
      </c>
    </row>
    <row r="17266">
      <c r="B17266" s="17" t="s">
        <v>477</v>
      </c>
      <c r="K17266" s="18" t="s">
        <v>477</v>
      </c>
    </row>
    <row r="17267">
      <c r="B17267" s="17" t="s">
        <v>477</v>
      </c>
      <c r="K17267" s="18" t="s">
        <v>477</v>
      </c>
    </row>
    <row r="17268">
      <c r="B17268" s="17" t="s">
        <v>477</v>
      </c>
      <c r="K17268" s="18" t="s">
        <v>477</v>
      </c>
    </row>
    <row r="17269">
      <c r="B17269" s="17" t="s">
        <v>477</v>
      </c>
      <c r="K17269" s="18" t="s">
        <v>477</v>
      </c>
    </row>
    <row r="17270">
      <c r="B17270" s="17" t="s">
        <v>477</v>
      </c>
      <c r="K17270" s="18" t="s">
        <v>477</v>
      </c>
    </row>
    <row r="17271">
      <c r="B17271" s="17" t="s">
        <v>477</v>
      </c>
      <c r="K17271" s="18" t="s">
        <v>477</v>
      </c>
    </row>
    <row r="17272">
      <c r="B17272" s="17" t="s">
        <v>477</v>
      </c>
      <c r="K17272" s="18" t="s">
        <v>477</v>
      </c>
    </row>
    <row r="17273">
      <c r="B17273" s="17" t="s">
        <v>477</v>
      </c>
      <c r="K17273" s="18" t="s">
        <v>477</v>
      </c>
    </row>
    <row r="17274">
      <c r="B17274" s="17" t="s">
        <v>477</v>
      </c>
      <c r="K17274" s="18" t="s">
        <v>477</v>
      </c>
    </row>
    <row r="17275">
      <c r="B17275" s="17" t="s">
        <v>477</v>
      </c>
      <c r="K17275" s="18" t="s">
        <v>477</v>
      </c>
    </row>
    <row r="17276">
      <c r="B17276" s="17" t="s">
        <v>477</v>
      </c>
      <c r="K17276" s="18" t="s">
        <v>477</v>
      </c>
    </row>
    <row r="17277">
      <c r="B17277" s="17" t="s">
        <v>477</v>
      </c>
      <c r="K17277" s="18" t="s">
        <v>477</v>
      </c>
    </row>
    <row r="17278">
      <c r="B17278" s="17" t="s">
        <v>477</v>
      </c>
      <c r="K17278" s="18" t="s">
        <v>477</v>
      </c>
    </row>
    <row r="17279">
      <c r="B17279" s="17" t="s">
        <v>477</v>
      </c>
      <c r="K17279" s="18" t="s">
        <v>477</v>
      </c>
    </row>
    <row r="17280">
      <c r="B17280" s="17" t="s">
        <v>477</v>
      </c>
      <c r="K17280" s="18" t="s">
        <v>477</v>
      </c>
    </row>
    <row r="17281">
      <c r="B17281" s="17" t="s">
        <v>477</v>
      </c>
      <c r="K17281" s="18" t="s">
        <v>477</v>
      </c>
    </row>
    <row r="17282">
      <c r="B17282" s="17" t="s">
        <v>477</v>
      </c>
      <c r="K17282" s="18" t="s">
        <v>477</v>
      </c>
    </row>
    <row r="17283">
      <c r="B17283" s="17" t="s">
        <v>477</v>
      </c>
      <c r="K17283" s="18" t="s">
        <v>477</v>
      </c>
    </row>
    <row r="17284">
      <c r="B17284" s="17" t="s">
        <v>477</v>
      </c>
      <c r="K17284" s="18" t="s">
        <v>477</v>
      </c>
    </row>
    <row r="17285">
      <c r="B17285" s="17" t="s">
        <v>477</v>
      </c>
      <c r="K17285" s="18" t="s">
        <v>477</v>
      </c>
    </row>
    <row r="17286">
      <c r="B17286" s="17" t="s">
        <v>477</v>
      </c>
      <c r="K17286" s="18" t="s">
        <v>477</v>
      </c>
    </row>
    <row r="17287">
      <c r="B17287" s="17" t="s">
        <v>477</v>
      </c>
      <c r="K17287" s="18" t="s">
        <v>477</v>
      </c>
    </row>
    <row r="17288">
      <c r="B17288" s="17" t="s">
        <v>477</v>
      </c>
      <c r="K17288" s="18" t="s">
        <v>477</v>
      </c>
    </row>
    <row r="17289">
      <c r="B17289" s="17" t="s">
        <v>477</v>
      </c>
      <c r="K17289" s="18" t="s">
        <v>477</v>
      </c>
    </row>
    <row r="17290">
      <c r="B17290" s="17" t="s">
        <v>477</v>
      </c>
      <c r="K17290" s="18" t="s">
        <v>477</v>
      </c>
    </row>
    <row r="17291">
      <c r="B17291" s="17" t="s">
        <v>477</v>
      </c>
      <c r="K17291" s="18" t="s">
        <v>477</v>
      </c>
    </row>
    <row r="17292">
      <c r="B17292" s="17" t="s">
        <v>477</v>
      </c>
      <c r="K17292" s="18" t="s">
        <v>477</v>
      </c>
    </row>
    <row r="17293">
      <c r="B17293" s="17" t="s">
        <v>477</v>
      </c>
      <c r="K17293" s="18" t="s">
        <v>477</v>
      </c>
    </row>
    <row r="17294">
      <c r="B17294" s="17" t="s">
        <v>477</v>
      </c>
      <c r="K17294" s="18" t="s">
        <v>477</v>
      </c>
    </row>
    <row r="17295">
      <c r="B17295" s="17" t="s">
        <v>477</v>
      </c>
      <c r="K17295" s="18" t="s">
        <v>477</v>
      </c>
    </row>
    <row r="17296">
      <c r="B17296" s="17" t="s">
        <v>477</v>
      </c>
      <c r="K17296" s="18" t="s">
        <v>477</v>
      </c>
    </row>
    <row r="17297">
      <c r="B17297" s="17" t="s">
        <v>477</v>
      </c>
      <c r="K17297" s="18" t="s">
        <v>477</v>
      </c>
    </row>
    <row r="17298">
      <c r="B17298" s="17" t="s">
        <v>477</v>
      </c>
      <c r="K17298" s="18" t="s">
        <v>477</v>
      </c>
    </row>
    <row r="17299">
      <c r="B17299" s="17" t="s">
        <v>477</v>
      </c>
      <c r="K17299" s="18" t="s">
        <v>477</v>
      </c>
    </row>
    <row r="17300">
      <c r="B17300" s="17" t="s">
        <v>477</v>
      </c>
      <c r="K17300" s="18" t="s">
        <v>477</v>
      </c>
    </row>
    <row r="17301">
      <c r="B17301" s="17" t="s">
        <v>477</v>
      </c>
      <c r="K17301" s="18" t="s">
        <v>477</v>
      </c>
    </row>
    <row r="17302">
      <c r="B17302" s="17" t="s">
        <v>477</v>
      </c>
      <c r="K17302" s="18" t="s">
        <v>477</v>
      </c>
    </row>
    <row r="17303">
      <c r="B17303" s="17" t="s">
        <v>477</v>
      </c>
      <c r="K17303" s="18" t="s">
        <v>477</v>
      </c>
    </row>
    <row r="17304">
      <c r="B17304" s="17" t="s">
        <v>477</v>
      </c>
      <c r="K17304" s="18" t="s">
        <v>477</v>
      </c>
    </row>
    <row r="17305">
      <c r="B17305" s="17" t="s">
        <v>477</v>
      </c>
      <c r="K17305" s="18" t="s">
        <v>477</v>
      </c>
    </row>
    <row r="17306">
      <c r="B17306" s="17" t="s">
        <v>477</v>
      </c>
      <c r="K17306" s="18" t="s">
        <v>477</v>
      </c>
    </row>
    <row r="17307">
      <c r="B17307" s="17" t="s">
        <v>477</v>
      </c>
      <c r="K17307" s="18" t="s">
        <v>477</v>
      </c>
    </row>
    <row r="17308">
      <c r="B17308" s="17" t="s">
        <v>477</v>
      </c>
      <c r="K17308" s="18" t="s">
        <v>477</v>
      </c>
    </row>
    <row r="17309">
      <c r="B17309" s="17" t="s">
        <v>477</v>
      </c>
      <c r="K17309" s="18" t="s">
        <v>477</v>
      </c>
    </row>
    <row r="17310">
      <c r="B17310" s="17" t="s">
        <v>477</v>
      </c>
      <c r="K17310" s="18" t="s">
        <v>477</v>
      </c>
    </row>
    <row r="17311">
      <c r="B17311" s="17" t="s">
        <v>477</v>
      </c>
      <c r="K17311" s="18" t="s">
        <v>477</v>
      </c>
    </row>
    <row r="17312">
      <c r="B17312" s="17" t="s">
        <v>477</v>
      </c>
      <c r="K17312" s="18" t="s">
        <v>477</v>
      </c>
    </row>
    <row r="17313">
      <c r="B17313" s="17" t="s">
        <v>477</v>
      </c>
      <c r="K17313" s="18" t="s">
        <v>477</v>
      </c>
    </row>
    <row r="17314">
      <c r="B17314" s="17" t="s">
        <v>477</v>
      </c>
      <c r="K17314" s="18" t="s">
        <v>477</v>
      </c>
    </row>
    <row r="17315">
      <c r="B17315" s="17" t="s">
        <v>477</v>
      </c>
      <c r="K17315" s="18" t="s">
        <v>477</v>
      </c>
    </row>
    <row r="17316">
      <c r="B17316" s="17" t="s">
        <v>477</v>
      </c>
      <c r="K17316" s="18" t="s">
        <v>477</v>
      </c>
    </row>
    <row r="17317">
      <c r="B17317" s="17" t="s">
        <v>477</v>
      </c>
      <c r="K17317" s="18" t="s">
        <v>477</v>
      </c>
    </row>
    <row r="17318">
      <c r="B17318" s="17" t="s">
        <v>477</v>
      </c>
      <c r="K17318" s="18" t="s">
        <v>477</v>
      </c>
    </row>
    <row r="17319">
      <c r="B17319" s="17" t="s">
        <v>477</v>
      </c>
      <c r="K17319" s="18" t="s">
        <v>477</v>
      </c>
    </row>
    <row r="17320">
      <c r="B17320" s="17" t="s">
        <v>477</v>
      </c>
      <c r="K17320" s="18" t="s">
        <v>477</v>
      </c>
    </row>
    <row r="17321">
      <c r="B17321" s="17" t="s">
        <v>477</v>
      </c>
      <c r="K17321" s="18" t="s">
        <v>477</v>
      </c>
    </row>
    <row r="17322">
      <c r="B17322" s="17" t="s">
        <v>477</v>
      </c>
      <c r="K17322" s="18" t="s">
        <v>477</v>
      </c>
    </row>
    <row r="17323">
      <c r="B17323" s="17" t="s">
        <v>477</v>
      </c>
      <c r="K17323" s="18" t="s">
        <v>477</v>
      </c>
    </row>
    <row r="17324">
      <c r="B17324" s="17" t="s">
        <v>477</v>
      </c>
      <c r="K17324" s="18" t="s">
        <v>477</v>
      </c>
    </row>
    <row r="17325">
      <c r="B17325" s="17" t="s">
        <v>477</v>
      </c>
      <c r="K17325" s="18" t="s">
        <v>477</v>
      </c>
    </row>
    <row r="17326">
      <c r="B17326" s="17" t="s">
        <v>477</v>
      </c>
      <c r="K17326" s="18" t="s">
        <v>477</v>
      </c>
    </row>
    <row r="17327">
      <c r="B17327" s="17" t="s">
        <v>477</v>
      </c>
      <c r="K17327" s="18" t="s">
        <v>477</v>
      </c>
    </row>
    <row r="17328">
      <c r="B17328" s="17" t="s">
        <v>477</v>
      </c>
      <c r="K17328" s="18" t="s">
        <v>477</v>
      </c>
    </row>
    <row r="17329">
      <c r="B17329" s="17" t="s">
        <v>477</v>
      </c>
      <c r="K17329" s="18" t="s">
        <v>477</v>
      </c>
    </row>
    <row r="17330">
      <c r="B17330" s="17" t="s">
        <v>477</v>
      </c>
      <c r="K17330" s="18" t="s">
        <v>477</v>
      </c>
    </row>
    <row r="17331">
      <c r="B17331" s="17" t="s">
        <v>477</v>
      </c>
      <c r="K17331" s="18" t="s">
        <v>477</v>
      </c>
    </row>
    <row r="17332">
      <c r="B17332" s="17" t="s">
        <v>477</v>
      </c>
      <c r="K17332" s="18" t="s">
        <v>477</v>
      </c>
    </row>
    <row r="17333">
      <c r="B17333" s="17" t="s">
        <v>477</v>
      </c>
      <c r="K17333" s="18" t="s">
        <v>477</v>
      </c>
    </row>
    <row r="17334">
      <c r="B17334" s="17" t="s">
        <v>477</v>
      </c>
      <c r="K17334" s="18" t="s">
        <v>477</v>
      </c>
    </row>
    <row r="17335">
      <c r="B17335" s="17" t="s">
        <v>477</v>
      </c>
      <c r="K17335" s="18" t="s">
        <v>477</v>
      </c>
    </row>
    <row r="17336">
      <c r="B17336" s="17" t="s">
        <v>477</v>
      </c>
      <c r="K17336" s="18" t="s">
        <v>477</v>
      </c>
    </row>
    <row r="17337">
      <c r="B17337" s="17" t="s">
        <v>477</v>
      </c>
      <c r="K17337" s="18" t="s">
        <v>477</v>
      </c>
    </row>
    <row r="17338">
      <c r="B17338" s="17" t="s">
        <v>477</v>
      </c>
      <c r="K17338" s="18" t="s">
        <v>477</v>
      </c>
    </row>
    <row r="17339">
      <c r="B17339" s="17" t="s">
        <v>477</v>
      </c>
      <c r="K17339" s="18" t="s">
        <v>477</v>
      </c>
    </row>
    <row r="17340">
      <c r="B17340" s="17" t="s">
        <v>477</v>
      </c>
      <c r="K17340" s="18" t="s">
        <v>477</v>
      </c>
    </row>
    <row r="17341">
      <c r="B17341" s="17" t="s">
        <v>477</v>
      </c>
      <c r="K17341" s="18" t="s">
        <v>477</v>
      </c>
    </row>
    <row r="17342">
      <c r="B17342" s="17" t="s">
        <v>477</v>
      </c>
      <c r="K17342" s="18" t="s">
        <v>477</v>
      </c>
    </row>
    <row r="17343">
      <c r="B17343" s="17" t="s">
        <v>477</v>
      </c>
      <c r="K17343" s="18" t="s">
        <v>477</v>
      </c>
    </row>
    <row r="17344">
      <c r="B17344" s="17" t="s">
        <v>477</v>
      </c>
      <c r="K17344" s="18" t="s">
        <v>477</v>
      </c>
    </row>
    <row r="17345">
      <c r="B17345" s="17" t="s">
        <v>477</v>
      </c>
      <c r="K17345" s="18" t="s">
        <v>477</v>
      </c>
    </row>
    <row r="17346">
      <c r="B17346" s="17" t="s">
        <v>477</v>
      </c>
      <c r="K17346" s="18" t="s">
        <v>477</v>
      </c>
    </row>
    <row r="17347">
      <c r="B17347" s="17" t="s">
        <v>477</v>
      </c>
      <c r="K17347" s="18" t="s">
        <v>477</v>
      </c>
    </row>
    <row r="17348">
      <c r="B17348" s="17" t="s">
        <v>477</v>
      </c>
      <c r="K17348" s="18" t="s">
        <v>477</v>
      </c>
    </row>
    <row r="17349">
      <c r="B17349" s="17" t="s">
        <v>477</v>
      </c>
      <c r="K17349" s="18" t="s">
        <v>477</v>
      </c>
    </row>
    <row r="17350">
      <c r="B17350" s="17" t="s">
        <v>477</v>
      </c>
      <c r="K17350" s="18" t="s">
        <v>477</v>
      </c>
    </row>
    <row r="17351">
      <c r="B17351" s="17" t="s">
        <v>477</v>
      </c>
      <c r="K17351" s="18" t="s">
        <v>477</v>
      </c>
    </row>
    <row r="17352">
      <c r="B17352" s="17" t="s">
        <v>477</v>
      </c>
      <c r="K17352" s="18" t="s">
        <v>477</v>
      </c>
    </row>
    <row r="17353">
      <c r="B17353" s="17" t="s">
        <v>477</v>
      </c>
      <c r="K17353" s="18" t="s">
        <v>477</v>
      </c>
    </row>
    <row r="17354">
      <c r="B17354" s="17" t="s">
        <v>477</v>
      </c>
      <c r="K17354" s="18" t="s">
        <v>477</v>
      </c>
    </row>
    <row r="17355">
      <c r="B17355" s="17" t="s">
        <v>477</v>
      </c>
      <c r="K17355" s="18" t="s">
        <v>477</v>
      </c>
    </row>
    <row r="17356">
      <c r="B17356" s="17" t="s">
        <v>477</v>
      </c>
      <c r="K17356" s="18" t="s">
        <v>477</v>
      </c>
    </row>
    <row r="17357">
      <c r="B17357" s="17" t="s">
        <v>477</v>
      </c>
      <c r="K17357" s="18" t="s">
        <v>477</v>
      </c>
    </row>
    <row r="17358">
      <c r="B17358" s="17" t="s">
        <v>477</v>
      </c>
      <c r="K17358" s="18" t="s">
        <v>477</v>
      </c>
    </row>
    <row r="17359">
      <c r="B17359" s="17" t="s">
        <v>477</v>
      </c>
      <c r="K17359" s="18" t="s">
        <v>477</v>
      </c>
    </row>
    <row r="17360">
      <c r="B17360" s="17" t="s">
        <v>477</v>
      </c>
      <c r="K17360" s="18" t="s">
        <v>477</v>
      </c>
    </row>
    <row r="17361">
      <c r="B17361" s="17" t="s">
        <v>477</v>
      </c>
      <c r="K17361" s="18" t="s">
        <v>477</v>
      </c>
    </row>
    <row r="17362">
      <c r="B17362" s="17" t="s">
        <v>477</v>
      </c>
      <c r="K17362" s="18" t="s">
        <v>477</v>
      </c>
    </row>
    <row r="17363">
      <c r="B17363" s="17" t="s">
        <v>477</v>
      </c>
      <c r="K17363" s="18" t="s">
        <v>477</v>
      </c>
    </row>
    <row r="17364">
      <c r="B17364" s="17" t="s">
        <v>477</v>
      </c>
      <c r="K17364" s="18" t="s">
        <v>477</v>
      </c>
    </row>
    <row r="17365">
      <c r="B17365" s="17" t="s">
        <v>477</v>
      </c>
      <c r="K17365" s="18" t="s">
        <v>477</v>
      </c>
    </row>
    <row r="17366">
      <c r="B17366" s="17" t="s">
        <v>477</v>
      </c>
      <c r="K17366" s="18" t="s">
        <v>477</v>
      </c>
    </row>
    <row r="17367">
      <c r="B17367" s="17" t="s">
        <v>477</v>
      </c>
      <c r="K17367" s="18" t="s">
        <v>477</v>
      </c>
    </row>
    <row r="17368">
      <c r="B17368" s="17" t="s">
        <v>477</v>
      </c>
      <c r="K17368" s="18" t="s">
        <v>477</v>
      </c>
    </row>
    <row r="17369">
      <c r="B17369" s="17" t="s">
        <v>477</v>
      </c>
      <c r="K17369" s="18" t="s">
        <v>477</v>
      </c>
    </row>
    <row r="17370">
      <c r="B17370" s="17" t="s">
        <v>477</v>
      </c>
      <c r="K17370" s="18" t="s">
        <v>477</v>
      </c>
    </row>
    <row r="17371">
      <c r="B17371" s="17" t="s">
        <v>477</v>
      </c>
      <c r="K17371" s="18" t="s">
        <v>477</v>
      </c>
    </row>
    <row r="17372">
      <c r="B17372" s="17" t="s">
        <v>477</v>
      </c>
      <c r="K17372" s="18" t="s">
        <v>477</v>
      </c>
    </row>
    <row r="17373">
      <c r="B17373" s="17" t="s">
        <v>477</v>
      </c>
      <c r="K17373" s="18" t="s">
        <v>477</v>
      </c>
    </row>
    <row r="17374">
      <c r="B17374" s="17" t="s">
        <v>477</v>
      </c>
      <c r="K17374" s="18" t="s">
        <v>477</v>
      </c>
    </row>
    <row r="17375">
      <c r="B17375" s="17" t="s">
        <v>477</v>
      </c>
      <c r="K17375" s="18" t="s">
        <v>477</v>
      </c>
    </row>
    <row r="17376">
      <c r="B17376" s="17" t="s">
        <v>477</v>
      </c>
      <c r="K17376" s="18" t="s">
        <v>477</v>
      </c>
    </row>
    <row r="17377">
      <c r="B17377" s="17" t="s">
        <v>477</v>
      </c>
      <c r="K17377" s="18" t="s">
        <v>477</v>
      </c>
    </row>
    <row r="17378">
      <c r="B17378" s="17" t="s">
        <v>477</v>
      </c>
      <c r="K17378" s="18" t="s">
        <v>477</v>
      </c>
    </row>
    <row r="17379">
      <c r="B17379" s="17" t="s">
        <v>477</v>
      </c>
      <c r="K17379" s="18" t="s">
        <v>477</v>
      </c>
    </row>
    <row r="17380">
      <c r="B17380" s="17" t="s">
        <v>477</v>
      </c>
      <c r="K17380" s="18" t="s">
        <v>477</v>
      </c>
    </row>
    <row r="17381">
      <c r="B17381" s="17" t="s">
        <v>477</v>
      </c>
      <c r="K17381" s="18" t="s">
        <v>477</v>
      </c>
    </row>
    <row r="17382">
      <c r="B17382" s="17" t="s">
        <v>477</v>
      </c>
      <c r="K17382" s="18" t="s">
        <v>477</v>
      </c>
    </row>
    <row r="17383">
      <c r="B17383" s="17" t="s">
        <v>477</v>
      </c>
      <c r="K17383" s="18" t="s">
        <v>477</v>
      </c>
    </row>
    <row r="17384">
      <c r="B17384" s="17" t="s">
        <v>477</v>
      </c>
      <c r="K17384" s="18" t="s">
        <v>477</v>
      </c>
    </row>
    <row r="17385">
      <c r="B17385" s="17" t="s">
        <v>477</v>
      </c>
      <c r="K17385" s="18" t="s">
        <v>477</v>
      </c>
    </row>
    <row r="17386">
      <c r="B17386" s="17" t="s">
        <v>477</v>
      </c>
      <c r="K17386" s="18" t="s">
        <v>477</v>
      </c>
    </row>
    <row r="17387">
      <c r="B17387" s="17" t="s">
        <v>477</v>
      </c>
      <c r="K17387" s="18" t="s">
        <v>477</v>
      </c>
    </row>
    <row r="17388">
      <c r="B17388" s="17" t="s">
        <v>477</v>
      </c>
      <c r="K17388" s="18" t="s">
        <v>477</v>
      </c>
    </row>
    <row r="17389">
      <c r="B17389" s="17" t="s">
        <v>477</v>
      </c>
      <c r="K17389" s="18" t="s">
        <v>477</v>
      </c>
    </row>
    <row r="17390">
      <c r="B17390" s="17" t="s">
        <v>477</v>
      </c>
      <c r="K17390" s="18" t="s">
        <v>477</v>
      </c>
    </row>
    <row r="17391">
      <c r="B17391" s="17" t="s">
        <v>477</v>
      </c>
      <c r="K17391" s="18" t="s">
        <v>477</v>
      </c>
    </row>
    <row r="17392">
      <c r="B17392" s="17" t="s">
        <v>477</v>
      </c>
      <c r="K17392" s="18" t="s">
        <v>477</v>
      </c>
    </row>
    <row r="17393">
      <c r="B17393" s="17" t="s">
        <v>477</v>
      </c>
      <c r="K17393" s="18" t="s">
        <v>477</v>
      </c>
    </row>
    <row r="17394">
      <c r="B17394" s="17" t="s">
        <v>477</v>
      </c>
      <c r="K17394" s="18" t="s">
        <v>477</v>
      </c>
    </row>
    <row r="17395">
      <c r="B17395" s="17" t="s">
        <v>477</v>
      </c>
      <c r="K17395" s="18" t="s">
        <v>477</v>
      </c>
    </row>
    <row r="17396">
      <c r="B17396" s="17" t="s">
        <v>477</v>
      </c>
      <c r="K17396" s="18" t="s">
        <v>477</v>
      </c>
    </row>
    <row r="17397">
      <c r="B17397" s="17" t="s">
        <v>477</v>
      </c>
      <c r="K17397" s="18" t="s">
        <v>477</v>
      </c>
    </row>
    <row r="17398">
      <c r="B17398" s="17" t="s">
        <v>477</v>
      </c>
      <c r="K17398" s="18" t="s">
        <v>477</v>
      </c>
    </row>
    <row r="17399">
      <c r="B17399" s="17" t="s">
        <v>477</v>
      </c>
      <c r="K17399" s="18" t="s">
        <v>477</v>
      </c>
    </row>
    <row r="17400">
      <c r="B17400" s="17" t="s">
        <v>477</v>
      </c>
      <c r="K17400" s="18" t="s">
        <v>477</v>
      </c>
    </row>
    <row r="17401">
      <c r="B17401" s="17" t="s">
        <v>477</v>
      </c>
      <c r="K17401" s="18" t="s">
        <v>477</v>
      </c>
    </row>
    <row r="17402">
      <c r="B17402" s="17" t="s">
        <v>477</v>
      </c>
      <c r="K17402" s="18" t="s">
        <v>477</v>
      </c>
    </row>
    <row r="17403">
      <c r="B17403" s="17" t="s">
        <v>477</v>
      </c>
      <c r="K17403" s="18" t="s">
        <v>477</v>
      </c>
    </row>
    <row r="17404">
      <c r="B17404" s="17" t="s">
        <v>477</v>
      </c>
      <c r="K17404" s="18" t="s">
        <v>477</v>
      </c>
    </row>
    <row r="17405">
      <c r="B17405" s="17" t="s">
        <v>477</v>
      </c>
      <c r="K17405" s="18" t="s">
        <v>477</v>
      </c>
    </row>
    <row r="17406">
      <c r="B17406" s="17" t="s">
        <v>477</v>
      </c>
      <c r="K17406" s="18" t="s">
        <v>477</v>
      </c>
    </row>
    <row r="17407">
      <c r="B17407" s="17" t="s">
        <v>477</v>
      </c>
      <c r="K17407" s="18" t="s">
        <v>477</v>
      </c>
    </row>
    <row r="17408">
      <c r="B17408" s="17" t="s">
        <v>477</v>
      </c>
      <c r="K17408" s="18" t="s">
        <v>477</v>
      </c>
    </row>
    <row r="17409">
      <c r="B17409" s="17" t="s">
        <v>477</v>
      </c>
      <c r="K17409" s="18" t="s">
        <v>477</v>
      </c>
    </row>
    <row r="17410">
      <c r="B17410" s="17" t="s">
        <v>477</v>
      </c>
      <c r="K17410" s="18" t="s">
        <v>477</v>
      </c>
    </row>
    <row r="17411">
      <c r="B17411" s="17" t="s">
        <v>477</v>
      </c>
      <c r="K17411" s="18" t="s">
        <v>477</v>
      </c>
    </row>
    <row r="17412">
      <c r="B17412" s="17" t="s">
        <v>477</v>
      </c>
      <c r="K17412" s="18" t="s">
        <v>477</v>
      </c>
    </row>
    <row r="17413">
      <c r="B17413" s="17" t="s">
        <v>477</v>
      </c>
      <c r="K17413" s="18" t="s">
        <v>477</v>
      </c>
    </row>
    <row r="17414">
      <c r="B17414" s="17" t="s">
        <v>477</v>
      </c>
      <c r="K17414" s="18" t="s">
        <v>477</v>
      </c>
    </row>
    <row r="17415">
      <c r="B17415" s="17" t="s">
        <v>477</v>
      </c>
      <c r="K17415" s="18" t="s">
        <v>477</v>
      </c>
    </row>
    <row r="17416">
      <c r="B17416" s="17" t="s">
        <v>477</v>
      </c>
      <c r="K17416" s="18" t="s">
        <v>477</v>
      </c>
    </row>
    <row r="17417">
      <c r="B17417" s="17" t="s">
        <v>477</v>
      </c>
      <c r="K17417" s="18" t="s">
        <v>477</v>
      </c>
    </row>
    <row r="17418">
      <c r="B17418" s="17" t="s">
        <v>477</v>
      </c>
      <c r="K17418" s="18" t="s">
        <v>477</v>
      </c>
    </row>
    <row r="17419">
      <c r="B17419" s="17" t="s">
        <v>477</v>
      </c>
      <c r="K17419" s="18" t="s">
        <v>477</v>
      </c>
    </row>
    <row r="17420">
      <c r="B17420" s="17" t="s">
        <v>477</v>
      </c>
      <c r="K17420" s="18" t="s">
        <v>477</v>
      </c>
    </row>
    <row r="17421">
      <c r="B17421" s="17" t="s">
        <v>477</v>
      </c>
      <c r="K17421" s="18" t="s">
        <v>477</v>
      </c>
    </row>
    <row r="17422">
      <c r="B17422" s="17" t="s">
        <v>477</v>
      </c>
      <c r="K17422" s="18" t="s">
        <v>477</v>
      </c>
    </row>
    <row r="17423">
      <c r="B17423" s="17" t="s">
        <v>477</v>
      </c>
      <c r="K17423" s="18" t="s">
        <v>477</v>
      </c>
    </row>
    <row r="17424">
      <c r="B17424" s="17" t="s">
        <v>477</v>
      </c>
      <c r="K17424" s="18" t="s">
        <v>477</v>
      </c>
    </row>
    <row r="17425">
      <c r="B17425" s="17" t="s">
        <v>477</v>
      </c>
      <c r="K17425" s="18" t="s">
        <v>477</v>
      </c>
    </row>
    <row r="17426">
      <c r="B17426" s="17" t="s">
        <v>477</v>
      </c>
      <c r="K17426" s="18" t="s">
        <v>477</v>
      </c>
    </row>
    <row r="17427">
      <c r="B17427" s="17" t="s">
        <v>477</v>
      </c>
      <c r="K17427" s="18" t="s">
        <v>477</v>
      </c>
    </row>
    <row r="17428">
      <c r="B17428" s="17" t="s">
        <v>477</v>
      </c>
      <c r="K17428" s="18" t="s">
        <v>477</v>
      </c>
    </row>
    <row r="17429">
      <c r="B17429" s="17" t="s">
        <v>477</v>
      </c>
      <c r="K17429" s="18" t="s">
        <v>477</v>
      </c>
    </row>
    <row r="17430">
      <c r="B17430" s="17" t="s">
        <v>477</v>
      </c>
      <c r="K17430" s="18" t="s">
        <v>477</v>
      </c>
    </row>
    <row r="17431">
      <c r="B17431" s="17" t="s">
        <v>477</v>
      </c>
      <c r="K17431" s="18" t="s">
        <v>477</v>
      </c>
    </row>
    <row r="17432">
      <c r="B17432" s="17" t="s">
        <v>477</v>
      </c>
      <c r="K17432" s="18" t="s">
        <v>477</v>
      </c>
    </row>
    <row r="17433">
      <c r="B17433" s="17" t="s">
        <v>477</v>
      </c>
      <c r="K17433" s="18" t="s">
        <v>477</v>
      </c>
    </row>
    <row r="17434">
      <c r="B17434" s="17" t="s">
        <v>477</v>
      </c>
      <c r="K17434" s="18" t="s">
        <v>477</v>
      </c>
    </row>
    <row r="17435">
      <c r="B17435" s="17" t="s">
        <v>477</v>
      </c>
      <c r="K17435" s="18" t="s">
        <v>477</v>
      </c>
    </row>
    <row r="17436">
      <c r="B17436" s="17" t="s">
        <v>477</v>
      </c>
      <c r="K17436" s="18" t="s">
        <v>477</v>
      </c>
    </row>
    <row r="17437">
      <c r="B17437" s="17" t="s">
        <v>477</v>
      </c>
      <c r="K17437" s="18" t="s">
        <v>477</v>
      </c>
    </row>
    <row r="17438">
      <c r="B17438" s="17" t="s">
        <v>477</v>
      </c>
      <c r="K17438" s="18" t="s">
        <v>477</v>
      </c>
    </row>
    <row r="17439">
      <c r="B17439" s="17" t="s">
        <v>477</v>
      </c>
      <c r="K17439" s="18" t="s">
        <v>477</v>
      </c>
    </row>
    <row r="17440">
      <c r="B17440" s="17" t="s">
        <v>477</v>
      </c>
      <c r="K17440" s="18" t="s">
        <v>477</v>
      </c>
    </row>
    <row r="17441">
      <c r="B17441" s="17" t="s">
        <v>477</v>
      </c>
      <c r="K17441" s="18" t="s">
        <v>477</v>
      </c>
    </row>
    <row r="17442">
      <c r="B17442" s="17" t="s">
        <v>477</v>
      </c>
      <c r="K17442" s="18" t="s">
        <v>477</v>
      </c>
    </row>
    <row r="17443">
      <c r="B17443" s="17" t="s">
        <v>477</v>
      </c>
      <c r="K17443" s="18" t="s">
        <v>477</v>
      </c>
    </row>
    <row r="17444">
      <c r="B17444" s="17" t="s">
        <v>477</v>
      </c>
      <c r="K17444" s="18" t="s">
        <v>477</v>
      </c>
    </row>
    <row r="17445">
      <c r="B17445" s="17" t="s">
        <v>477</v>
      </c>
      <c r="K17445" s="18" t="s">
        <v>477</v>
      </c>
    </row>
    <row r="17446">
      <c r="B17446" s="17" t="s">
        <v>477</v>
      </c>
      <c r="K17446" s="18" t="s">
        <v>477</v>
      </c>
    </row>
    <row r="17447">
      <c r="B17447" s="17" t="s">
        <v>477</v>
      </c>
      <c r="K17447" s="18" t="s">
        <v>477</v>
      </c>
    </row>
    <row r="17448">
      <c r="B17448" s="17" t="s">
        <v>477</v>
      </c>
      <c r="K17448" s="18" t="s">
        <v>477</v>
      </c>
    </row>
    <row r="17449">
      <c r="B17449" s="17" t="s">
        <v>477</v>
      </c>
      <c r="K17449" s="18" t="s">
        <v>477</v>
      </c>
    </row>
    <row r="17450">
      <c r="B17450" s="17" t="s">
        <v>477</v>
      </c>
      <c r="K17450" s="18" t="s">
        <v>477</v>
      </c>
    </row>
    <row r="17451">
      <c r="B17451" s="17" t="s">
        <v>477</v>
      </c>
      <c r="K17451" s="18" t="s">
        <v>477</v>
      </c>
    </row>
    <row r="17452">
      <c r="B17452" s="17" t="s">
        <v>477</v>
      </c>
      <c r="K17452" s="18" t="s">
        <v>477</v>
      </c>
    </row>
    <row r="17453">
      <c r="B17453" s="17" t="s">
        <v>477</v>
      </c>
      <c r="K17453" s="18" t="s">
        <v>477</v>
      </c>
    </row>
    <row r="17454">
      <c r="B17454" s="17" t="s">
        <v>477</v>
      </c>
      <c r="K17454" s="18" t="s">
        <v>477</v>
      </c>
    </row>
    <row r="17455">
      <c r="B17455" s="17" t="s">
        <v>477</v>
      </c>
      <c r="K17455" s="18" t="s">
        <v>477</v>
      </c>
    </row>
    <row r="17456">
      <c r="B17456" s="17" t="s">
        <v>477</v>
      </c>
      <c r="K17456" s="18" t="s">
        <v>477</v>
      </c>
    </row>
    <row r="17457">
      <c r="B17457" s="17" t="s">
        <v>477</v>
      </c>
      <c r="K17457" s="18" t="s">
        <v>477</v>
      </c>
    </row>
    <row r="17458">
      <c r="B17458" s="17" t="s">
        <v>477</v>
      </c>
      <c r="K17458" s="18" t="s">
        <v>477</v>
      </c>
    </row>
    <row r="17459">
      <c r="B17459" s="17" t="s">
        <v>477</v>
      </c>
      <c r="K17459" s="18" t="s">
        <v>477</v>
      </c>
    </row>
    <row r="17460">
      <c r="B17460" s="17" t="s">
        <v>477</v>
      </c>
      <c r="K17460" s="18" t="s">
        <v>477</v>
      </c>
    </row>
    <row r="17461">
      <c r="B17461" s="17" t="s">
        <v>477</v>
      </c>
      <c r="K17461" s="18" t="s">
        <v>477</v>
      </c>
    </row>
    <row r="17462">
      <c r="B17462" s="17" t="s">
        <v>477</v>
      </c>
      <c r="K17462" s="18" t="s">
        <v>477</v>
      </c>
    </row>
    <row r="17463">
      <c r="B17463" s="17" t="s">
        <v>477</v>
      </c>
      <c r="K17463" s="18" t="s">
        <v>477</v>
      </c>
    </row>
    <row r="17464">
      <c r="B17464" s="17" t="s">
        <v>477</v>
      </c>
      <c r="K17464" s="18" t="s">
        <v>477</v>
      </c>
    </row>
    <row r="17465">
      <c r="B17465" s="17" t="s">
        <v>477</v>
      </c>
      <c r="K17465" s="18" t="s">
        <v>477</v>
      </c>
    </row>
    <row r="17466">
      <c r="B17466" s="17" t="s">
        <v>477</v>
      </c>
      <c r="K17466" s="18" t="s">
        <v>477</v>
      </c>
    </row>
    <row r="17467">
      <c r="B17467" s="17" t="s">
        <v>477</v>
      </c>
      <c r="K17467" s="18" t="s">
        <v>477</v>
      </c>
    </row>
    <row r="17468">
      <c r="B17468" s="17" t="s">
        <v>477</v>
      </c>
      <c r="K17468" s="18" t="s">
        <v>477</v>
      </c>
    </row>
    <row r="17469">
      <c r="B17469" s="17" t="s">
        <v>477</v>
      </c>
      <c r="K17469" s="18" t="s">
        <v>477</v>
      </c>
    </row>
    <row r="17470">
      <c r="B17470" s="17" t="s">
        <v>477</v>
      </c>
      <c r="K17470" s="18" t="s">
        <v>477</v>
      </c>
    </row>
    <row r="17471">
      <c r="B17471" s="17" t="s">
        <v>477</v>
      </c>
      <c r="K17471" s="18" t="s">
        <v>477</v>
      </c>
    </row>
    <row r="17472">
      <c r="B17472" s="17" t="s">
        <v>477</v>
      </c>
      <c r="K17472" s="18" t="s">
        <v>477</v>
      </c>
    </row>
    <row r="17473">
      <c r="B17473" s="17" t="s">
        <v>477</v>
      </c>
      <c r="K17473" s="18" t="s">
        <v>477</v>
      </c>
    </row>
    <row r="17474">
      <c r="B17474" s="17" t="s">
        <v>477</v>
      </c>
      <c r="K17474" s="18" t="s">
        <v>477</v>
      </c>
    </row>
    <row r="17475">
      <c r="B17475" s="17" t="s">
        <v>477</v>
      </c>
      <c r="K17475" s="18" t="s">
        <v>477</v>
      </c>
    </row>
    <row r="17476">
      <c r="B17476" s="17" t="s">
        <v>477</v>
      </c>
      <c r="K17476" s="18" t="s">
        <v>477</v>
      </c>
    </row>
    <row r="17477">
      <c r="B17477" s="17" t="s">
        <v>477</v>
      </c>
      <c r="K17477" s="18" t="s">
        <v>477</v>
      </c>
    </row>
    <row r="17478">
      <c r="B17478" s="17" t="s">
        <v>477</v>
      </c>
      <c r="K17478" s="18" t="s">
        <v>477</v>
      </c>
    </row>
    <row r="17479">
      <c r="B17479" s="17" t="s">
        <v>477</v>
      </c>
      <c r="K17479" s="18" t="s">
        <v>477</v>
      </c>
    </row>
    <row r="17480">
      <c r="B17480" s="17" t="s">
        <v>477</v>
      </c>
      <c r="K17480" s="18" t="s">
        <v>477</v>
      </c>
    </row>
    <row r="17481">
      <c r="B17481" s="17" t="s">
        <v>477</v>
      </c>
      <c r="K17481" s="18" t="s">
        <v>477</v>
      </c>
    </row>
    <row r="17482">
      <c r="B17482" s="17" t="s">
        <v>477</v>
      </c>
      <c r="K17482" s="18" t="s">
        <v>477</v>
      </c>
    </row>
    <row r="17483">
      <c r="B17483" s="17" t="s">
        <v>477</v>
      </c>
      <c r="K17483" s="18" t="s">
        <v>477</v>
      </c>
    </row>
    <row r="17484">
      <c r="B17484" s="17" t="s">
        <v>477</v>
      </c>
      <c r="K17484" s="18" t="s">
        <v>477</v>
      </c>
    </row>
    <row r="17485">
      <c r="B17485" s="17" t="s">
        <v>477</v>
      </c>
      <c r="K17485" s="18" t="s">
        <v>477</v>
      </c>
    </row>
    <row r="17486">
      <c r="B17486" s="17" t="s">
        <v>477</v>
      </c>
      <c r="K17486" s="18" t="s">
        <v>477</v>
      </c>
    </row>
    <row r="17487">
      <c r="B17487" s="17" t="s">
        <v>477</v>
      </c>
      <c r="K17487" s="18" t="s">
        <v>477</v>
      </c>
    </row>
    <row r="17488">
      <c r="B17488" s="17" t="s">
        <v>477</v>
      </c>
      <c r="K17488" s="18" t="s">
        <v>477</v>
      </c>
    </row>
    <row r="17489">
      <c r="B17489" s="17" t="s">
        <v>477</v>
      </c>
      <c r="K17489" s="18" t="s">
        <v>477</v>
      </c>
    </row>
    <row r="17490">
      <c r="B17490" s="17" t="s">
        <v>477</v>
      </c>
      <c r="K17490" s="18" t="s">
        <v>477</v>
      </c>
    </row>
    <row r="17491">
      <c r="B17491" s="17" t="s">
        <v>477</v>
      </c>
      <c r="K17491" s="18" t="s">
        <v>477</v>
      </c>
    </row>
    <row r="17492">
      <c r="B17492" s="17" t="s">
        <v>477</v>
      </c>
      <c r="K17492" s="18" t="s">
        <v>477</v>
      </c>
    </row>
    <row r="17493">
      <c r="B17493" s="17" t="s">
        <v>477</v>
      </c>
      <c r="K17493" s="18" t="s">
        <v>477</v>
      </c>
    </row>
    <row r="17494">
      <c r="B17494" s="17" t="s">
        <v>477</v>
      </c>
      <c r="K17494" s="18" t="s">
        <v>477</v>
      </c>
    </row>
    <row r="17495">
      <c r="B17495" s="17" t="s">
        <v>477</v>
      </c>
      <c r="K17495" s="18" t="s">
        <v>477</v>
      </c>
    </row>
    <row r="17496">
      <c r="B17496" s="17" t="s">
        <v>477</v>
      </c>
      <c r="K17496" s="18" t="s">
        <v>477</v>
      </c>
    </row>
    <row r="17497">
      <c r="B17497" s="17" t="s">
        <v>477</v>
      </c>
      <c r="K17497" s="18" t="s">
        <v>477</v>
      </c>
    </row>
    <row r="17498">
      <c r="B17498" s="17" t="s">
        <v>477</v>
      </c>
      <c r="K17498" s="18" t="s">
        <v>477</v>
      </c>
    </row>
    <row r="17499">
      <c r="B17499" s="17" t="s">
        <v>477</v>
      </c>
      <c r="K17499" s="18" t="s">
        <v>477</v>
      </c>
    </row>
    <row r="17500">
      <c r="B17500" s="17" t="s">
        <v>477</v>
      </c>
      <c r="K17500" s="18" t="s">
        <v>477</v>
      </c>
    </row>
    <row r="17501">
      <c r="B17501" s="17" t="s">
        <v>477</v>
      </c>
      <c r="K17501" s="18" t="s">
        <v>477</v>
      </c>
    </row>
    <row r="17502">
      <c r="B17502" s="17" t="s">
        <v>477</v>
      </c>
      <c r="K17502" s="18" t="s">
        <v>477</v>
      </c>
    </row>
    <row r="17503">
      <c r="B17503" s="17" t="s">
        <v>477</v>
      </c>
      <c r="K17503" s="18" t="s">
        <v>477</v>
      </c>
    </row>
    <row r="17504">
      <c r="B17504" s="17" t="s">
        <v>477</v>
      </c>
      <c r="K17504" s="18" t="s">
        <v>477</v>
      </c>
    </row>
    <row r="17505">
      <c r="B17505" s="17" t="s">
        <v>477</v>
      </c>
      <c r="K17505" s="18" t="s">
        <v>477</v>
      </c>
    </row>
    <row r="17506">
      <c r="B17506" s="17" t="s">
        <v>477</v>
      </c>
      <c r="K17506" s="18" t="s">
        <v>477</v>
      </c>
    </row>
    <row r="17507">
      <c r="B17507" s="17" t="s">
        <v>477</v>
      </c>
      <c r="K17507" s="18" t="s">
        <v>477</v>
      </c>
    </row>
    <row r="17508">
      <c r="B17508" s="17" t="s">
        <v>477</v>
      </c>
      <c r="K17508" s="18" t="s">
        <v>477</v>
      </c>
    </row>
    <row r="17509">
      <c r="B17509" s="17" t="s">
        <v>477</v>
      </c>
      <c r="K17509" s="18" t="s">
        <v>477</v>
      </c>
    </row>
    <row r="17510">
      <c r="B17510" s="17" t="s">
        <v>477</v>
      </c>
      <c r="K17510" s="18" t="s">
        <v>477</v>
      </c>
    </row>
    <row r="17511">
      <c r="B17511" s="17" t="s">
        <v>477</v>
      </c>
      <c r="K17511" s="18" t="s">
        <v>477</v>
      </c>
    </row>
    <row r="17512">
      <c r="B17512" s="17" t="s">
        <v>477</v>
      </c>
      <c r="K17512" s="18" t="s">
        <v>477</v>
      </c>
    </row>
    <row r="17513">
      <c r="B17513" s="17" t="s">
        <v>477</v>
      </c>
      <c r="K17513" s="18" t="s">
        <v>477</v>
      </c>
    </row>
    <row r="17514">
      <c r="B17514" s="17" t="s">
        <v>477</v>
      </c>
      <c r="K17514" s="18" t="s">
        <v>477</v>
      </c>
    </row>
    <row r="17515">
      <c r="B17515" s="17" t="s">
        <v>477</v>
      </c>
      <c r="K17515" s="18" t="s">
        <v>477</v>
      </c>
    </row>
    <row r="17516">
      <c r="B17516" s="17" t="s">
        <v>477</v>
      </c>
      <c r="K17516" s="18" t="s">
        <v>477</v>
      </c>
    </row>
    <row r="17517">
      <c r="B17517" s="17" t="s">
        <v>477</v>
      </c>
      <c r="K17517" s="18" t="s">
        <v>477</v>
      </c>
    </row>
    <row r="17518">
      <c r="B17518" s="17" t="s">
        <v>477</v>
      </c>
      <c r="K17518" s="18" t="s">
        <v>477</v>
      </c>
    </row>
    <row r="17519">
      <c r="B17519" s="17" t="s">
        <v>477</v>
      </c>
      <c r="K17519" s="18" t="s">
        <v>477</v>
      </c>
    </row>
    <row r="17520">
      <c r="B17520" s="17" t="s">
        <v>477</v>
      </c>
      <c r="K17520" s="18" t="s">
        <v>477</v>
      </c>
    </row>
    <row r="17521">
      <c r="B17521" s="17" t="s">
        <v>477</v>
      </c>
      <c r="K17521" s="18" t="s">
        <v>477</v>
      </c>
    </row>
    <row r="17522">
      <c r="B17522" s="17" t="s">
        <v>477</v>
      </c>
      <c r="K17522" s="18" t="s">
        <v>477</v>
      </c>
    </row>
    <row r="17523">
      <c r="B17523" s="17" t="s">
        <v>477</v>
      </c>
      <c r="K17523" s="18" t="s">
        <v>477</v>
      </c>
    </row>
    <row r="17524">
      <c r="B17524" s="17" t="s">
        <v>477</v>
      </c>
      <c r="K17524" s="18" t="s">
        <v>477</v>
      </c>
    </row>
    <row r="17525">
      <c r="B17525" s="17" t="s">
        <v>477</v>
      </c>
      <c r="K17525" s="18" t="s">
        <v>477</v>
      </c>
    </row>
    <row r="17526">
      <c r="B17526" s="17" t="s">
        <v>477</v>
      </c>
      <c r="K17526" s="18" t="s">
        <v>477</v>
      </c>
    </row>
    <row r="17527">
      <c r="B17527" s="17" t="s">
        <v>477</v>
      </c>
      <c r="K17527" s="18" t="s">
        <v>477</v>
      </c>
    </row>
    <row r="17528">
      <c r="B17528" s="17" t="s">
        <v>477</v>
      </c>
      <c r="K17528" s="18" t="s">
        <v>477</v>
      </c>
    </row>
    <row r="17529">
      <c r="B17529" s="17" t="s">
        <v>477</v>
      </c>
      <c r="K17529" s="18" t="s">
        <v>477</v>
      </c>
    </row>
    <row r="17530">
      <c r="B17530" s="17" t="s">
        <v>477</v>
      </c>
      <c r="K17530" s="18" t="s">
        <v>477</v>
      </c>
    </row>
    <row r="17531">
      <c r="B17531" s="17" t="s">
        <v>477</v>
      </c>
      <c r="K17531" s="18" t="s">
        <v>477</v>
      </c>
    </row>
    <row r="17532">
      <c r="B17532" s="17" t="s">
        <v>477</v>
      </c>
      <c r="K17532" s="18" t="s">
        <v>477</v>
      </c>
    </row>
    <row r="17533">
      <c r="B17533" s="17" t="s">
        <v>477</v>
      </c>
      <c r="K17533" s="18" t="s">
        <v>477</v>
      </c>
    </row>
    <row r="17534">
      <c r="B17534" s="17" t="s">
        <v>477</v>
      </c>
      <c r="K17534" s="18" t="s">
        <v>477</v>
      </c>
    </row>
    <row r="17535">
      <c r="B17535" s="17" t="s">
        <v>477</v>
      </c>
      <c r="K17535" s="18" t="s">
        <v>477</v>
      </c>
    </row>
    <row r="17536">
      <c r="B17536" s="17" t="s">
        <v>477</v>
      </c>
      <c r="K17536" s="18" t="s">
        <v>477</v>
      </c>
    </row>
    <row r="17537">
      <c r="B17537" s="17" t="s">
        <v>477</v>
      </c>
      <c r="K17537" s="18" t="s">
        <v>477</v>
      </c>
    </row>
    <row r="17538">
      <c r="B17538" s="17" t="s">
        <v>477</v>
      </c>
      <c r="K17538" s="18" t="s">
        <v>477</v>
      </c>
    </row>
    <row r="17539">
      <c r="B17539" s="17" t="s">
        <v>477</v>
      </c>
      <c r="K17539" s="18" t="s">
        <v>477</v>
      </c>
    </row>
    <row r="17540">
      <c r="B17540" s="17" t="s">
        <v>477</v>
      </c>
      <c r="K17540" s="18" t="s">
        <v>477</v>
      </c>
    </row>
    <row r="17541">
      <c r="B17541" s="17" t="s">
        <v>477</v>
      </c>
      <c r="K17541" s="18" t="s">
        <v>477</v>
      </c>
    </row>
    <row r="17542">
      <c r="B17542" s="17" t="s">
        <v>477</v>
      </c>
      <c r="K17542" s="18" t="s">
        <v>477</v>
      </c>
    </row>
    <row r="17543">
      <c r="B17543" s="17" t="s">
        <v>477</v>
      </c>
      <c r="K17543" s="18" t="s">
        <v>477</v>
      </c>
    </row>
    <row r="17544">
      <c r="B17544" s="17" t="s">
        <v>477</v>
      </c>
      <c r="K17544" s="18" t="s">
        <v>477</v>
      </c>
    </row>
    <row r="17545">
      <c r="B17545" s="17" t="s">
        <v>477</v>
      </c>
      <c r="K17545" s="18" t="s">
        <v>477</v>
      </c>
    </row>
    <row r="17546">
      <c r="B17546" s="17" t="s">
        <v>477</v>
      </c>
      <c r="K17546" s="18" t="s">
        <v>477</v>
      </c>
    </row>
    <row r="17547">
      <c r="B17547" s="17" t="s">
        <v>477</v>
      </c>
      <c r="K17547" s="18" t="s">
        <v>477</v>
      </c>
    </row>
    <row r="17548">
      <c r="B17548" s="17" t="s">
        <v>477</v>
      </c>
      <c r="K17548" s="18" t="s">
        <v>477</v>
      </c>
    </row>
    <row r="17549">
      <c r="B17549" s="17" t="s">
        <v>477</v>
      </c>
      <c r="K17549" s="18" t="s">
        <v>477</v>
      </c>
    </row>
    <row r="17550">
      <c r="B17550" s="17" t="s">
        <v>477</v>
      </c>
      <c r="K17550" s="18" t="s">
        <v>477</v>
      </c>
    </row>
    <row r="17551">
      <c r="B17551" s="17" t="s">
        <v>477</v>
      </c>
      <c r="K17551" s="18" t="s">
        <v>477</v>
      </c>
    </row>
    <row r="17552">
      <c r="B17552" s="17" t="s">
        <v>477</v>
      </c>
      <c r="K17552" s="18" t="s">
        <v>477</v>
      </c>
    </row>
    <row r="17553">
      <c r="B17553" s="17" t="s">
        <v>477</v>
      </c>
      <c r="K17553" s="18" t="s">
        <v>477</v>
      </c>
    </row>
    <row r="17554">
      <c r="B17554" s="17" t="s">
        <v>477</v>
      </c>
      <c r="K17554" s="18" t="s">
        <v>477</v>
      </c>
    </row>
    <row r="17555">
      <c r="B17555" s="17" t="s">
        <v>477</v>
      </c>
      <c r="K17555" s="18" t="s">
        <v>477</v>
      </c>
    </row>
    <row r="17556">
      <c r="B17556" s="17" t="s">
        <v>477</v>
      </c>
      <c r="K17556" s="18" t="s">
        <v>477</v>
      </c>
    </row>
    <row r="17557">
      <c r="B17557" s="17" t="s">
        <v>477</v>
      </c>
      <c r="K17557" s="18" t="s">
        <v>477</v>
      </c>
    </row>
    <row r="17558">
      <c r="B17558" s="17" t="s">
        <v>477</v>
      </c>
      <c r="K17558" s="18" t="s">
        <v>477</v>
      </c>
    </row>
    <row r="17559">
      <c r="B17559" s="17" t="s">
        <v>477</v>
      </c>
      <c r="K17559" s="18" t="s">
        <v>477</v>
      </c>
    </row>
    <row r="17560">
      <c r="B17560" s="17" t="s">
        <v>477</v>
      </c>
      <c r="K17560" s="18" t="s">
        <v>477</v>
      </c>
    </row>
    <row r="17561">
      <c r="B17561" s="17" t="s">
        <v>477</v>
      </c>
      <c r="K17561" s="18" t="s">
        <v>477</v>
      </c>
    </row>
    <row r="17562">
      <c r="B17562" s="17" t="s">
        <v>477</v>
      </c>
      <c r="K17562" s="18" t="s">
        <v>477</v>
      </c>
    </row>
    <row r="17563">
      <c r="B17563" s="17" t="s">
        <v>477</v>
      </c>
      <c r="K17563" s="18" t="s">
        <v>477</v>
      </c>
    </row>
    <row r="17564">
      <c r="B17564" s="17" t="s">
        <v>477</v>
      </c>
      <c r="K17564" s="18" t="s">
        <v>477</v>
      </c>
    </row>
    <row r="17565">
      <c r="B17565" s="17" t="s">
        <v>477</v>
      </c>
      <c r="K17565" s="18" t="s">
        <v>477</v>
      </c>
    </row>
    <row r="17566">
      <c r="B17566" s="17" t="s">
        <v>477</v>
      </c>
      <c r="K17566" s="18" t="s">
        <v>477</v>
      </c>
    </row>
    <row r="17567">
      <c r="B17567" s="17" t="s">
        <v>477</v>
      </c>
      <c r="K17567" s="18" t="s">
        <v>477</v>
      </c>
    </row>
    <row r="17568">
      <c r="B17568" s="17" t="s">
        <v>477</v>
      </c>
      <c r="K17568" s="18" t="s">
        <v>477</v>
      </c>
    </row>
    <row r="17569">
      <c r="B17569" s="17" t="s">
        <v>477</v>
      </c>
      <c r="K17569" s="18" t="s">
        <v>477</v>
      </c>
    </row>
    <row r="17570">
      <c r="B17570" s="17" t="s">
        <v>477</v>
      </c>
      <c r="K17570" s="18" t="s">
        <v>477</v>
      </c>
    </row>
    <row r="17571">
      <c r="B17571" s="17" t="s">
        <v>477</v>
      </c>
      <c r="K17571" s="18" t="s">
        <v>477</v>
      </c>
    </row>
    <row r="17572">
      <c r="B17572" s="17" t="s">
        <v>477</v>
      </c>
      <c r="K17572" s="18" t="s">
        <v>477</v>
      </c>
    </row>
    <row r="17573">
      <c r="B17573" s="17" t="s">
        <v>477</v>
      </c>
      <c r="K17573" s="18" t="s">
        <v>477</v>
      </c>
    </row>
    <row r="17574">
      <c r="B17574" s="17" t="s">
        <v>477</v>
      </c>
      <c r="K17574" s="18" t="s">
        <v>477</v>
      </c>
    </row>
    <row r="17575">
      <c r="B17575" s="17" t="s">
        <v>477</v>
      </c>
      <c r="K17575" s="18" t="s">
        <v>477</v>
      </c>
    </row>
    <row r="17576">
      <c r="B17576" s="17" t="s">
        <v>477</v>
      </c>
      <c r="K17576" s="18" t="s">
        <v>477</v>
      </c>
    </row>
    <row r="17577">
      <c r="B17577" s="17" t="s">
        <v>477</v>
      </c>
      <c r="K17577" s="18" t="s">
        <v>477</v>
      </c>
    </row>
    <row r="17578">
      <c r="B17578" s="17" t="s">
        <v>477</v>
      </c>
      <c r="K17578" s="18" t="s">
        <v>477</v>
      </c>
    </row>
    <row r="17579">
      <c r="B17579" s="17" t="s">
        <v>477</v>
      </c>
      <c r="K17579" s="18" t="s">
        <v>477</v>
      </c>
    </row>
    <row r="17580">
      <c r="B17580" s="17" t="s">
        <v>477</v>
      </c>
      <c r="K17580" s="18" t="s">
        <v>477</v>
      </c>
    </row>
    <row r="17581">
      <c r="B17581" s="17" t="s">
        <v>477</v>
      </c>
      <c r="K17581" s="18" t="s">
        <v>477</v>
      </c>
    </row>
    <row r="17582">
      <c r="B17582" s="17" t="s">
        <v>477</v>
      </c>
      <c r="K17582" s="18" t="s">
        <v>477</v>
      </c>
    </row>
    <row r="17583">
      <c r="B17583" s="17" t="s">
        <v>477</v>
      </c>
      <c r="K17583" s="18" t="s">
        <v>477</v>
      </c>
    </row>
    <row r="17584">
      <c r="B17584" s="17" t="s">
        <v>477</v>
      </c>
      <c r="K17584" s="18" t="s">
        <v>477</v>
      </c>
    </row>
    <row r="17585">
      <c r="B17585" s="17" t="s">
        <v>477</v>
      </c>
      <c r="K17585" s="18" t="s">
        <v>477</v>
      </c>
    </row>
    <row r="17586">
      <c r="B17586" s="17" t="s">
        <v>477</v>
      </c>
      <c r="K17586" s="18" t="s">
        <v>477</v>
      </c>
    </row>
    <row r="17587">
      <c r="B17587" s="17" t="s">
        <v>477</v>
      </c>
      <c r="K17587" s="18" t="s">
        <v>477</v>
      </c>
    </row>
    <row r="17588">
      <c r="B17588" s="17" t="s">
        <v>477</v>
      </c>
      <c r="K17588" s="18" t="s">
        <v>477</v>
      </c>
    </row>
    <row r="17589">
      <c r="B17589" s="17" t="s">
        <v>477</v>
      </c>
      <c r="K17589" s="18" t="s">
        <v>477</v>
      </c>
    </row>
    <row r="17590">
      <c r="B17590" s="17" t="s">
        <v>477</v>
      </c>
      <c r="K17590" s="18" t="s">
        <v>477</v>
      </c>
    </row>
    <row r="17591">
      <c r="B17591" s="17" t="s">
        <v>477</v>
      </c>
      <c r="K17591" s="18" t="s">
        <v>477</v>
      </c>
    </row>
    <row r="17592">
      <c r="B17592" s="17" t="s">
        <v>477</v>
      </c>
      <c r="K17592" s="18" t="s">
        <v>477</v>
      </c>
    </row>
    <row r="17593">
      <c r="B17593" s="17" t="s">
        <v>477</v>
      </c>
      <c r="K17593" s="18" t="s">
        <v>477</v>
      </c>
    </row>
    <row r="17594">
      <c r="B17594" s="17" t="s">
        <v>477</v>
      </c>
      <c r="K17594" s="18" t="s">
        <v>477</v>
      </c>
    </row>
    <row r="17595">
      <c r="B17595" s="17" t="s">
        <v>477</v>
      </c>
      <c r="K17595" s="18" t="s">
        <v>477</v>
      </c>
    </row>
    <row r="17596">
      <c r="B17596" s="17" t="s">
        <v>477</v>
      </c>
      <c r="K17596" s="18" t="s">
        <v>477</v>
      </c>
    </row>
    <row r="17597">
      <c r="B17597" s="17" t="s">
        <v>477</v>
      </c>
      <c r="K17597" s="18" t="s">
        <v>477</v>
      </c>
    </row>
    <row r="17598">
      <c r="B17598" s="17" t="s">
        <v>477</v>
      </c>
      <c r="K17598" s="18" t="s">
        <v>477</v>
      </c>
    </row>
    <row r="17599">
      <c r="B17599" s="17" t="s">
        <v>477</v>
      </c>
      <c r="K17599" s="18" t="s">
        <v>477</v>
      </c>
    </row>
    <row r="17600">
      <c r="B17600" s="17" t="s">
        <v>477</v>
      </c>
      <c r="K17600" s="18" t="s">
        <v>477</v>
      </c>
    </row>
    <row r="17601">
      <c r="B17601" s="17" t="s">
        <v>477</v>
      </c>
      <c r="K17601" s="18" t="s">
        <v>477</v>
      </c>
    </row>
    <row r="17602">
      <c r="B17602" s="17" t="s">
        <v>477</v>
      </c>
      <c r="K17602" s="18" t="s">
        <v>477</v>
      </c>
    </row>
    <row r="17603">
      <c r="B17603" s="17" t="s">
        <v>477</v>
      </c>
      <c r="K17603" s="18" t="s">
        <v>477</v>
      </c>
    </row>
    <row r="17604">
      <c r="B17604" s="17" t="s">
        <v>477</v>
      </c>
      <c r="K17604" s="18" t="s">
        <v>477</v>
      </c>
    </row>
    <row r="17605">
      <c r="B17605" s="17" t="s">
        <v>477</v>
      </c>
      <c r="K17605" s="18" t="s">
        <v>477</v>
      </c>
    </row>
    <row r="17606">
      <c r="B17606" s="17" t="s">
        <v>477</v>
      </c>
      <c r="K17606" s="18" t="s">
        <v>477</v>
      </c>
    </row>
    <row r="17607">
      <c r="B17607" s="17" t="s">
        <v>477</v>
      </c>
      <c r="K17607" s="18" t="s">
        <v>477</v>
      </c>
    </row>
    <row r="17608">
      <c r="B17608" s="17" t="s">
        <v>477</v>
      </c>
      <c r="K17608" s="18" t="s">
        <v>477</v>
      </c>
    </row>
    <row r="17609">
      <c r="B17609" s="17" t="s">
        <v>477</v>
      </c>
      <c r="K17609" s="18" t="s">
        <v>477</v>
      </c>
    </row>
    <row r="17610">
      <c r="B17610" s="17" t="s">
        <v>477</v>
      </c>
      <c r="K17610" s="18" t="s">
        <v>477</v>
      </c>
    </row>
    <row r="17611">
      <c r="B17611" s="17" t="s">
        <v>477</v>
      </c>
      <c r="K17611" s="18" t="s">
        <v>477</v>
      </c>
    </row>
    <row r="17612">
      <c r="B17612" s="17" t="s">
        <v>477</v>
      </c>
      <c r="K17612" s="18" t="s">
        <v>477</v>
      </c>
    </row>
    <row r="17613">
      <c r="B17613" s="17" t="s">
        <v>477</v>
      </c>
      <c r="K17613" s="18" t="s">
        <v>477</v>
      </c>
    </row>
    <row r="17614">
      <c r="B17614" s="17" t="s">
        <v>477</v>
      </c>
      <c r="K17614" s="18" t="s">
        <v>477</v>
      </c>
    </row>
    <row r="17615">
      <c r="B17615" s="17" t="s">
        <v>477</v>
      </c>
      <c r="K17615" s="18" t="s">
        <v>477</v>
      </c>
    </row>
    <row r="17616">
      <c r="B17616" s="17" t="s">
        <v>477</v>
      </c>
      <c r="K17616" s="18" t="s">
        <v>477</v>
      </c>
    </row>
    <row r="17617">
      <c r="B17617" s="17" t="s">
        <v>477</v>
      </c>
      <c r="K17617" s="18" t="s">
        <v>477</v>
      </c>
    </row>
    <row r="17618">
      <c r="B17618" s="17" t="s">
        <v>477</v>
      </c>
      <c r="K17618" s="18" t="s">
        <v>477</v>
      </c>
    </row>
    <row r="17619">
      <c r="B17619" s="17" t="s">
        <v>477</v>
      </c>
      <c r="K17619" s="18" t="s">
        <v>477</v>
      </c>
    </row>
    <row r="17620">
      <c r="B17620" s="17" t="s">
        <v>477</v>
      </c>
      <c r="K17620" s="18" t="s">
        <v>477</v>
      </c>
    </row>
    <row r="17621">
      <c r="B17621" s="17" t="s">
        <v>477</v>
      </c>
      <c r="K17621" s="18" t="s">
        <v>477</v>
      </c>
    </row>
    <row r="17622">
      <c r="B17622" s="17" t="s">
        <v>477</v>
      </c>
      <c r="K17622" s="18" t="s">
        <v>477</v>
      </c>
    </row>
    <row r="17623">
      <c r="B17623" s="17" t="s">
        <v>477</v>
      </c>
      <c r="K17623" s="18" t="s">
        <v>477</v>
      </c>
    </row>
    <row r="17624">
      <c r="B17624" s="17" t="s">
        <v>477</v>
      </c>
      <c r="K17624" s="18" t="s">
        <v>477</v>
      </c>
    </row>
    <row r="17625">
      <c r="B17625" s="17" t="s">
        <v>477</v>
      </c>
      <c r="K17625" s="18" t="s">
        <v>477</v>
      </c>
    </row>
    <row r="17626">
      <c r="B17626" s="17" t="s">
        <v>477</v>
      </c>
      <c r="K17626" s="18" t="s">
        <v>477</v>
      </c>
    </row>
    <row r="17627">
      <c r="B17627" s="17" t="s">
        <v>477</v>
      </c>
      <c r="K17627" s="18" t="s">
        <v>477</v>
      </c>
    </row>
    <row r="17628">
      <c r="B17628" s="17" t="s">
        <v>477</v>
      </c>
      <c r="K17628" s="18" t="s">
        <v>477</v>
      </c>
    </row>
    <row r="17629">
      <c r="B17629" s="17" t="s">
        <v>477</v>
      </c>
      <c r="K17629" s="18" t="s">
        <v>477</v>
      </c>
    </row>
    <row r="17630">
      <c r="B17630" s="17" t="s">
        <v>477</v>
      </c>
      <c r="K17630" s="18" t="s">
        <v>477</v>
      </c>
    </row>
    <row r="17631">
      <c r="B17631" s="17" t="s">
        <v>477</v>
      </c>
      <c r="K17631" s="18" t="s">
        <v>477</v>
      </c>
    </row>
    <row r="17632">
      <c r="B17632" s="17" t="s">
        <v>477</v>
      </c>
      <c r="K17632" s="18" t="s">
        <v>477</v>
      </c>
    </row>
    <row r="17633">
      <c r="B17633" s="17" t="s">
        <v>477</v>
      </c>
      <c r="K17633" s="18" t="s">
        <v>477</v>
      </c>
    </row>
    <row r="17634">
      <c r="B17634" s="17" t="s">
        <v>477</v>
      </c>
      <c r="K17634" s="18" t="s">
        <v>477</v>
      </c>
    </row>
    <row r="17635">
      <c r="B17635" s="17" t="s">
        <v>477</v>
      </c>
      <c r="K17635" s="18" t="s">
        <v>477</v>
      </c>
    </row>
    <row r="17636">
      <c r="B17636" s="17" t="s">
        <v>477</v>
      </c>
      <c r="K17636" s="18" t="s">
        <v>477</v>
      </c>
    </row>
    <row r="17637">
      <c r="B17637" s="17" t="s">
        <v>477</v>
      </c>
      <c r="K17637" s="18" t="s">
        <v>477</v>
      </c>
    </row>
    <row r="17638">
      <c r="B17638" s="17" t="s">
        <v>477</v>
      </c>
      <c r="K17638" s="18" t="s">
        <v>477</v>
      </c>
    </row>
    <row r="17639">
      <c r="B17639" s="17" t="s">
        <v>477</v>
      </c>
      <c r="K17639" s="18" t="s">
        <v>477</v>
      </c>
    </row>
    <row r="17640">
      <c r="B17640" s="17" t="s">
        <v>477</v>
      </c>
      <c r="K17640" s="18" t="s">
        <v>477</v>
      </c>
    </row>
    <row r="17641">
      <c r="B17641" s="17" t="s">
        <v>477</v>
      </c>
      <c r="K17641" s="18" t="s">
        <v>477</v>
      </c>
    </row>
    <row r="17642">
      <c r="B17642" s="17" t="s">
        <v>477</v>
      </c>
      <c r="K17642" s="18" t="s">
        <v>477</v>
      </c>
    </row>
    <row r="17643">
      <c r="B17643" s="17" t="s">
        <v>477</v>
      </c>
      <c r="K17643" s="18" t="s">
        <v>477</v>
      </c>
    </row>
    <row r="17644">
      <c r="B17644" s="17" t="s">
        <v>477</v>
      </c>
      <c r="K17644" s="18" t="s">
        <v>477</v>
      </c>
    </row>
    <row r="17645">
      <c r="B17645" s="17" t="s">
        <v>477</v>
      </c>
      <c r="K17645" s="18" t="s">
        <v>477</v>
      </c>
    </row>
    <row r="17646">
      <c r="B17646" s="17" t="s">
        <v>477</v>
      </c>
      <c r="K17646" s="18" t="s">
        <v>477</v>
      </c>
    </row>
    <row r="17647">
      <c r="B17647" s="17" t="s">
        <v>477</v>
      </c>
      <c r="K17647" s="18" t="s">
        <v>477</v>
      </c>
    </row>
    <row r="17648">
      <c r="B17648" s="17" t="s">
        <v>477</v>
      </c>
      <c r="K17648" s="18" t="s">
        <v>477</v>
      </c>
    </row>
    <row r="17649">
      <c r="B17649" s="17" t="s">
        <v>477</v>
      </c>
      <c r="K17649" s="18" t="s">
        <v>477</v>
      </c>
    </row>
    <row r="17650">
      <c r="B17650" s="17" t="s">
        <v>477</v>
      </c>
      <c r="K17650" s="18" t="s">
        <v>477</v>
      </c>
    </row>
    <row r="17651">
      <c r="B17651" s="17" t="s">
        <v>477</v>
      </c>
      <c r="K17651" s="18" t="s">
        <v>477</v>
      </c>
    </row>
    <row r="17652">
      <c r="B17652" s="17" t="s">
        <v>477</v>
      </c>
      <c r="K17652" s="18" t="s">
        <v>477</v>
      </c>
    </row>
    <row r="17653">
      <c r="B17653" s="17" t="s">
        <v>477</v>
      </c>
      <c r="K17653" s="18" t="s">
        <v>477</v>
      </c>
    </row>
    <row r="17654">
      <c r="B17654" s="17" t="s">
        <v>477</v>
      </c>
      <c r="K17654" s="18" t="s">
        <v>477</v>
      </c>
    </row>
    <row r="17655">
      <c r="B17655" s="17" t="s">
        <v>477</v>
      </c>
      <c r="K17655" s="18" t="s">
        <v>477</v>
      </c>
    </row>
    <row r="17656">
      <c r="B17656" s="17" t="s">
        <v>477</v>
      </c>
      <c r="K17656" s="18" t="s">
        <v>477</v>
      </c>
    </row>
    <row r="17657">
      <c r="B17657" s="17" t="s">
        <v>477</v>
      </c>
      <c r="K17657" s="18" t="s">
        <v>477</v>
      </c>
    </row>
    <row r="17658">
      <c r="B17658" s="17" t="s">
        <v>477</v>
      </c>
      <c r="K17658" s="18" t="s">
        <v>477</v>
      </c>
    </row>
    <row r="17659">
      <c r="B17659" s="17" t="s">
        <v>477</v>
      </c>
      <c r="K17659" s="18" t="s">
        <v>477</v>
      </c>
    </row>
    <row r="17660">
      <c r="B17660" s="17" t="s">
        <v>477</v>
      </c>
      <c r="K17660" s="18" t="s">
        <v>477</v>
      </c>
    </row>
    <row r="17661">
      <c r="B17661" s="17" t="s">
        <v>477</v>
      </c>
      <c r="K17661" s="18" t="s">
        <v>477</v>
      </c>
    </row>
    <row r="17662">
      <c r="B17662" s="17" t="s">
        <v>477</v>
      </c>
      <c r="K17662" s="18" t="s">
        <v>477</v>
      </c>
    </row>
    <row r="17663">
      <c r="B17663" s="17" t="s">
        <v>477</v>
      </c>
      <c r="K17663" s="18" t="s">
        <v>477</v>
      </c>
    </row>
    <row r="17664">
      <c r="B17664" s="17" t="s">
        <v>477</v>
      </c>
      <c r="K17664" s="18" t="s">
        <v>477</v>
      </c>
    </row>
    <row r="17665">
      <c r="B17665" s="17" t="s">
        <v>477</v>
      </c>
      <c r="K17665" s="18" t="s">
        <v>477</v>
      </c>
    </row>
    <row r="17666">
      <c r="B17666" s="17" t="s">
        <v>477</v>
      </c>
      <c r="K17666" s="18" t="s">
        <v>477</v>
      </c>
    </row>
    <row r="17667">
      <c r="B17667" s="17" t="s">
        <v>477</v>
      </c>
      <c r="K17667" s="18" t="s">
        <v>477</v>
      </c>
    </row>
    <row r="17668">
      <c r="B17668" s="17" t="s">
        <v>477</v>
      </c>
      <c r="K17668" s="18" t="s">
        <v>477</v>
      </c>
    </row>
    <row r="17669">
      <c r="B17669" s="17" t="s">
        <v>477</v>
      </c>
      <c r="K17669" s="18" t="s">
        <v>477</v>
      </c>
    </row>
    <row r="17670">
      <c r="B17670" s="17" t="s">
        <v>477</v>
      </c>
      <c r="K17670" s="18" t="s">
        <v>477</v>
      </c>
    </row>
    <row r="17671">
      <c r="B17671" s="17" t="s">
        <v>477</v>
      </c>
      <c r="K17671" s="18" t="s">
        <v>477</v>
      </c>
    </row>
    <row r="17672">
      <c r="B17672" s="17" t="s">
        <v>477</v>
      </c>
      <c r="K17672" s="18" t="s">
        <v>477</v>
      </c>
    </row>
    <row r="17673">
      <c r="B17673" s="17" t="s">
        <v>477</v>
      </c>
      <c r="K17673" s="18" t="s">
        <v>477</v>
      </c>
    </row>
    <row r="17674">
      <c r="B17674" s="17" t="s">
        <v>477</v>
      </c>
      <c r="K17674" s="18" t="s">
        <v>477</v>
      </c>
    </row>
    <row r="17675">
      <c r="B17675" s="17" t="s">
        <v>477</v>
      </c>
      <c r="K17675" s="18" t="s">
        <v>477</v>
      </c>
    </row>
    <row r="17676">
      <c r="B17676" s="17" t="s">
        <v>477</v>
      </c>
      <c r="K17676" s="18" t="s">
        <v>477</v>
      </c>
    </row>
    <row r="17677">
      <c r="B17677" s="17" t="s">
        <v>477</v>
      </c>
      <c r="K17677" s="18" t="s">
        <v>477</v>
      </c>
    </row>
    <row r="17678">
      <c r="B17678" s="17" t="s">
        <v>477</v>
      </c>
      <c r="K17678" s="18" t="s">
        <v>477</v>
      </c>
    </row>
    <row r="17679">
      <c r="B17679" s="17" t="s">
        <v>477</v>
      </c>
      <c r="K17679" s="18" t="s">
        <v>477</v>
      </c>
    </row>
    <row r="17680">
      <c r="B17680" s="17" t="s">
        <v>477</v>
      </c>
      <c r="K17680" s="18" t="s">
        <v>477</v>
      </c>
    </row>
    <row r="17681">
      <c r="B17681" s="17" t="s">
        <v>477</v>
      </c>
      <c r="K17681" s="18" t="s">
        <v>477</v>
      </c>
    </row>
    <row r="17682">
      <c r="B17682" s="17" t="s">
        <v>477</v>
      </c>
      <c r="K17682" s="18" t="s">
        <v>477</v>
      </c>
    </row>
    <row r="17683">
      <c r="B17683" s="17" t="s">
        <v>477</v>
      </c>
      <c r="K17683" s="18" t="s">
        <v>477</v>
      </c>
    </row>
    <row r="17684">
      <c r="B17684" s="17" t="s">
        <v>477</v>
      </c>
      <c r="K17684" s="18" t="s">
        <v>477</v>
      </c>
    </row>
    <row r="17685">
      <c r="B17685" s="17" t="s">
        <v>477</v>
      </c>
      <c r="K17685" s="18" t="s">
        <v>477</v>
      </c>
    </row>
    <row r="17686">
      <c r="B17686" s="17" t="s">
        <v>477</v>
      </c>
      <c r="K17686" s="18" t="s">
        <v>477</v>
      </c>
    </row>
    <row r="17687">
      <c r="B17687" s="17" t="s">
        <v>477</v>
      </c>
      <c r="K17687" s="18" t="s">
        <v>477</v>
      </c>
    </row>
    <row r="17688">
      <c r="B17688" s="17" t="s">
        <v>477</v>
      </c>
      <c r="K17688" s="18" t="s">
        <v>477</v>
      </c>
    </row>
    <row r="17689">
      <c r="B17689" s="17" t="s">
        <v>477</v>
      </c>
      <c r="K17689" s="18" t="s">
        <v>477</v>
      </c>
    </row>
    <row r="17690">
      <c r="B17690" s="17" t="s">
        <v>477</v>
      </c>
      <c r="K17690" s="18" t="s">
        <v>477</v>
      </c>
    </row>
    <row r="17691">
      <c r="B17691" s="17" t="s">
        <v>477</v>
      </c>
      <c r="K17691" s="18" t="s">
        <v>477</v>
      </c>
    </row>
    <row r="17692">
      <c r="B17692" s="17" t="s">
        <v>477</v>
      </c>
      <c r="K17692" s="18" t="s">
        <v>477</v>
      </c>
    </row>
    <row r="17693">
      <c r="B17693" s="17" t="s">
        <v>477</v>
      </c>
      <c r="K17693" s="18" t="s">
        <v>477</v>
      </c>
    </row>
    <row r="17694">
      <c r="B17694" s="17" t="s">
        <v>477</v>
      </c>
      <c r="K17694" s="18" t="s">
        <v>477</v>
      </c>
    </row>
    <row r="17695">
      <c r="B17695" s="17" t="s">
        <v>477</v>
      </c>
      <c r="K17695" s="18" t="s">
        <v>477</v>
      </c>
    </row>
    <row r="17696">
      <c r="B17696" s="17" t="s">
        <v>477</v>
      </c>
      <c r="K17696" s="18" t="s">
        <v>477</v>
      </c>
    </row>
    <row r="17697">
      <c r="B17697" s="17" t="s">
        <v>477</v>
      </c>
      <c r="K17697" s="18" t="s">
        <v>477</v>
      </c>
    </row>
    <row r="17698">
      <c r="B17698" s="17" t="s">
        <v>477</v>
      </c>
      <c r="K17698" s="18" t="s">
        <v>477</v>
      </c>
    </row>
    <row r="17699">
      <c r="B17699" s="17" t="s">
        <v>477</v>
      </c>
      <c r="K17699" s="18" t="s">
        <v>477</v>
      </c>
    </row>
    <row r="17700">
      <c r="B17700" s="17" t="s">
        <v>477</v>
      </c>
      <c r="K17700" s="18" t="s">
        <v>477</v>
      </c>
    </row>
    <row r="17701">
      <c r="B17701" s="17" t="s">
        <v>477</v>
      </c>
      <c r="K17701" s="18" t="s">
        <v>477</v>
      </c>
    </row>
    <row r="17702">
      <c r="B17702" s="17" t="s">
        <v>477</v>
      </c>
      <c r="K17702" s="18" t="s">
        <v>477</v>
      </c>
    </row>
    <row r="17703">
      <c r="B17703" s="17" t="s">
        <v>477</v>
      </c>
      <c r="K17703" s="18" t="s">
        <v>477</v>
      </c>
    </row>
    <row r="17704">
      <c r="B17704" s="17" t="s">
        <v>477</v>
      </c>
      <c r="K17704" s="18" t="s">
        <v>477</v>
      </c>
    </row>
    <row r="17705">
      <c r="B17705" s="17" t="s">
        <v>477</v>
      </c>
      <c r="K17705" s="18" t="s">
        <v>477</v>
      </c>
    </row>
    <row r="17706">
      <c r="B17706" s="17" t="s">
        <v>477</v>
      </c>
      <c r="K17706" s="18" t="s">
        <v>477</v>
      </c>
    </row>
    <row r="17707">
      <c r="B17707" s="17" t="s">
        <v>477</v>
      </c>
      <c r="K17707" s="18" t="s">
        <v>477</v>
      </c>
    </row>
    <row r="17708">
      <c r="B17708" s="17" t="s">
        <v>477</v>
      </c>
      <c r="K17708" s="18" t="s">
        <v>477</v>
      </c>
    </row>
    <row r="17709">
      <c r="B17709" s="17" t="s">
        <v>477</v>
      </c>
      <c r="K17709" s="18" t="s">
        <v>477</v>
      </c>
    </row>
    <row r="17710">
      <c r="B17710" s="17" t="s">
        <v>477</v>
      </c>
      <c r="K17710" s="18" t="s">
        <v>477</v>
      </c>
    </row>
    <row r="17711">
      <c r="B17711" s="17" t="s">
        <v>477</v>
      </c>
      <c r="K17711" s="18" t="s">
        <v>477</v>
      </c>
    </row>
    <row r="17712">
      <c r="B17712" s="17" t="s">
        <v>477</v>
      </c>
      <c r="K17712" s="18" t="s">
        <v>477</v>
      </c>
    </row>
    <row r="17713">
      <c r="B17713" s="17" t="s">
        <v>477</v>
      </c>
      <c r="K17713" s="18" t="s">
        <v>477</v>
      </c>
    </row>
    <row r="17714">
      <c r="B17714" s="17" t="s">
        <v>477</v>
      </c>
      <c r="K17714" s="18" t="s">
        <v>477</v>
      </c>
    </row>
    <row r="17715">
      <c r="B17715" s="17" t="s">
        <v>477</v>
      </c>
      <c r="K17715" s="18" t="s">
        <v>477</v>
      </c>
    </row>
    <row r="17716">
      <c r="B17716" s="17" t="s">
        <v>477</v>
      </c>
      <c r="K17716" s="18" t="s">
        <v>477</v>
      </c>
    </row>
    <row r="17717">
      <c r="B17717" s="17" t="s">
        <v>477</v>
      </c>
      <c r="K17717" s="18" t="s">
        <v>477</v>
      </c>
    </row>
    <row r="17718">
      <c r="B17718" s="17" t="s">
        <v>477</v>
      </c>
      <c r="K17718" s="18" t="s">
        <v>477</v>
      </c>
    </row>
    <row r="17719">
      <c r="B17719" s="17" t="s">
        <v>477</v>
      </c>
      <c r="K17719" s="18" t="s">
        <v>477</v>
      </c>
    </row>
    <row r="17720">
      <c r="B17720" s="17" t="s">
        <v>477</v>
      </c>
      <c r="K17720" s="18" t="s">
        <v>477</v>
      </c>
    </row>
    <row r="17721">
      <c r="B17721" s="17" t="s">
        <v>477</v>
      </c>
      <c r="K17721" s="18" t="s">
        <v>477</v>
      </c>
    </row>
    <row r="17722">
      <c r="B17722" s="17" t="s">
        <v>477</v>
      </c>
      <c r="K17722" s="18" t="s">
        <v>477</v>
      </c>
    </row>
    <row r="17723">
      <c r="B17723" s="17" t="s">
        <v>477</v>
      </c>
      <c r="K17723" s="18" t="s">
        <v>477</v>
      </c>
    </row>
    <row r="17724">
      <c r="B17724" s="17" t="s">
        <v>477</v>
      </c>
      <c r="K17724" s="18" t="s">
        <v>477</v>
      </c>
    </row>
    <row r="17725">
      <c r="B17725" s="17" t="s">
        <v>477</v>
      </c>
      <c r="K17725" s="18" t="s">
        <v>477</v>
      </c>
    </row>
    <row r="17726">
      <c r="B17726" s="17" t="s">
        <v>477</v>
      </c>
      <c r="K17726" s="18" t="s">
        <v>477</v>
      </c>
    </row>
    <row r="17727">
      <c r="B17727" s="17" t="s">
        <v>477</v>
      </c>
      <c r="K17727" s="18" t="s">
        <v>477</v>
      </c>
    </row>
    <row r="17728">
      <c r="B17728" s="17" t="s">
        <v>477</v>
      </c>
      <c r="K17728" s="18" t="s">
        <v>477</v>
      </c>
    </row>
    <row r="17729">
      <c r="B17729" s="17" t="s">
        <v>477</v>
      </c>
      <c r="K17729" s="18" t="s">
        <v>477</v>
      </c>
    </row>
    <row r="17730">
      <c r="B17730" s="17" t="s">
        <v>477</v>
      </c>
      <c r="K17730" s="18" t="s">
        <v>477</v>
      </c>
    </row>
    <row r="17731">
      <c r="B17731" s="17" t="s">
        <v>477</v>
      </c>
      <c r="K17731" s="18" t="s">
        <v>477</v>
      </c>
    </row>
    <row r="17732">
      <c r="B17732" s="17" t="s">
        <v>477</v>
      </c>
      <c r="K17732" s="18" t="s">
        <v>477</v>
      </c>
    </row>
    <row r="17733">
      <c r="B17733" s="17" t="s">
        <v>477</v>
      </c>
      <c r="K17733" s="18" t="s">
        <v>477</v>
      </c>
    </row>
    <row r="17734">
      <c r="B17734" s="17" t="s">
        <v>477</v>
      </c>
      <c r="K17734" s="18" t="s">
        <v>477</v>
      </c>
    </row>
    <row r="17735">
      <c r="B17735" s="17" t="s">
        <v>477</v>
      </c>
      <c r="K17735" s="18" t="s">
        <v>477</v>
      </c>
    </row>
    <row r="17736">
      <c r="B17736" s="17" t="s">
        <v>477</v>
      </c>
      <c r="K17736" s="18" t="s">
        <v>477</v>
      </c>
    </row>
    <row r="17737">
      <c r="B17737" s="17" t="s">
        <v>477</v>
      </c>
      <c r="K17737" s="18" t="s">
        <v>477</v>
      </c>
    </row>
    <row r="17738">
      <c r="B17738" s="17" t="s">
        <v>477</v>
      </c>
      <c r="K17738" s="18" t="s">
        <v>477</v>
      </c>
    </row>
    <row r="17739">
      <c r="B17739" s="17" t="s">
        <v>477</v>
      </c>
      <c r="K17739" s="18" t="s">
        <v>477</v>
      </c>
    </row>
    <row r="17740">
      <c r="B17740" s="17" t="s">
        <v>477</v>
      </c>
      <c r="K17740" s="18" t="s">
        <v>477</v>
      </c>
    </row>
    <row r="17741">
      <c r="B17741" s="17" t="s">
        <v>477</v>
      </c>
      <c r="K17741" s="18" t="s">
        <v>477</v>
      </c>
    </row>
    <row r="17742">
      <c r="B17742" s="17" t="s">
        <v>477</v>
      </c>
      <c r="K17742" s="18" t="s">
        <v>477</v>
      </c>
    </row>
    <row r="17743">
      <c r="B17743" s="17" t="s">
        <v>477</v>
      </c>
      <c r="K17743" s="18" t="s">
        <v>477</v>
      </c>
    </row>
    <row r="17744">
      <c r="B17744" s="17" t="s">
        <v>477</v>
      </c>
      <c r="K17744" s="18" t="s">
        <v>477</v>
      </c>
    </row>
    <row r="17745">
      <c r="B17745" s="17" t="s">
        <v>477</v>
      </c>
      <c r="K17745" s="18" t="s">
        <v>477</v>
      </c>
    </row>
    <row r="17746">
      <c r="B17746" s="17" t="s">
        <v>477</v>
      </c>
      <c r="K17746" s="18" t="s">
        <v>477</v>
      </c>
    </row>
    <row r="17747">
      <c r="B17747" s="17" t="s">
        <v>477</v>
      </c>
      <c r="K17747" s="18" t="s">
        <v>477</v>
      </c>
    </row>
    <row r="17748">
      <c r="B17748" s="17" t="s">
        <v>477</v>
      </c>
      <c r="K17748" s="18" t="s">
        <v>477</v>
      </c>
    </row>
    <row r="17749">
      <c r="B17749" s="17" t="s">
        <v>477</v>
      </c>
      <c r="K17749" s="18" t="s">
        <v>477</v>
      </c>
    </row>
    <row r="17750">
      <c r="B17750" s="17" t="s">
        <v>477</v>
      </c>
      <c r="K17750" s="18" t="s">
        <v>477</v>
      </c>
    </row>
    <row r="17751">
      <c r="B17751" s="17" t="s">
        <v>477</v>
      </c>
      <c r="K17751" s="18" t="s">
        <v>477</v>
      </c>
    </row>
    <row r="17752">
      <c r="B17752" s="17" t="s">
        <v>477</v>
      </c>
      <c r="K17752" s="18" t="s">
        <v>477</v>
      </c>
    </row>
    <row r="17753">
      <c r="B17753" s="17" t="s">
        <v>477</v>
      </c>
      <c r="K17753" s="18" t="s">
        <v>477</v>
      </c>
    </row>
    <row r="17754">
      <c r="B17754" s="17" t="s">
        <v>477</v>
      </c>
      <c r="K17754" s="18" t="s">
        <v>477</v>
      </c>
    </row>
    <row r="17755">
      <c r="B17755" s="17" t="s">
        <v>477</v>
      </c>
      <c r="K17755" s="18" t="s">
        <v>477</v>
      </c>
    </row>
    <row r="17756">
      <c r="B17756" s="17" t="s">
        <v>477</v>
      </c>
      <c r="K17756" s="18" t="s">
        <v>477</v>
      </c>
    </row>
    <row r="17757">
      <c r="B17757" s="17" t="s">
        <v>477</v>
      </c>
      <c r="K17757" s="18" t="s">
        <v>477</v>
      </c>
    </row>
    <row r="17758">
      <c r="B17758" s="17" t="s">
        <v>477</v>
      </c>
      <c r="K17758" s="18" t="s">
        <v>477</v>
      </c>
    </row>
    <row r="17759">
      <c r="B17759" s="17" t="s">
        <v>477</v>
      </c>
      <c r="K17759" s="18" t="s">
        <v>477</v>
      </c>
    </row>
    <row r="17760">
      <c r="B17760" s="17" t="s">
        <v>477</v>
      </c>
      <c r="K17760" s="18" t="s">
        <v>477</v>
      </c>
    </row>
    <row r="17761">
      <c r="B17761" s="17" t="s">
        <v>477</v>
      </c>
      <c r="K17761" s="18" t="s">
        <v>477</v>
      </c>
    </row>
    <row r="17762">
      <c r="B17762" s="17" t="s">
        <v>477</v>
      </c>
      <c r="K17762" s="18" t="s">
        <v>477</v>
      </c>
    </row>
    <row r="17763">
      <c r="B17763" s="17" t="s">
        <v>477</v>
      </c>
      <c r="K17763" s="18" t="s">
        <v>477</v>
      </c>
    </row>
    <row r="17764">
      <c r="B17764" s="17" t="s">
        <v>477</v>
      </c>
      <c r="K17764" s="18" t="s">
        <v>477</v>
      </c>
    </row>
    <row r="17765">
      <c r="B17765" s="17" t="s">
        <v>477</v>
      </c>
      <c r="K17765" s="18" t="s">
        <v>477</v>
      </c>
    </row>
    <row r="17766">
      <c r="B17766" s="17" t="s">
        <v>477</v>
      </c>
      <c r="K17766" s="18" t="s">
        <v>477</v>
      </c>
    </row>
    <row r="17767">
      <c r="B17767" s="17" t="s">
        <v>477</v>
      </c>
      <c r="K17767" s="18" t="s">
        <v>477</v>
      </c>
    </row>
    <row r="17768">
      <c r="B17768" s="17" t="s">
        <v>477</v>
      </c>
      <c r="K17768" s="18" t="s">
        <v>477</v>
      </c>
    </row>
    <row r="17769">
      <c r="B17769" s="17" t="s">
        <v>477</v>
      </c>
      <c r="K17769" s="18" t="s">
        <v>477</v>
      </c>
    </row>
    <row r="17770">
      <c r="B17770" s="17" t="s">
        <v>477</v>
      </c>
      <c r="K17770" s="18" t="s">
        <v>477</v>
      </c>
    </row>
    <row r="17771">
      <c r="B17771" s="17" t="s">
        <v>477</v>
      </c>
      <c r="K17771" s="18" t="s">
        <v>477</v>
      </c>
    </row>
    <row r="17772">
      <c r="B17772" s="17" t="s">
        <v>477</v>
      </c>
      <c r="K17772" s="18" t="s">
        <v>477</v>
      </c>
    </row>
    <row r="17773">
      <c r="B17773" s="17" t="s">
        <v>477</v>
      </c>
      <c r="K17773" s="18" t="s">
        <v>477</v>
      </c>
    </row>
    <row r="17774">
      <c r="B17774" s="17" t="s">
        <v>477</v>
      </c>
      <c r="K17774" s="18" t="s">
        <v>477</v>
      </c>
    </row>
    <row r="17775">
      <c r="B17775" s="17" t="s">
        <v>477</v>
      </c>
      <c r="K17775" s="18" t="s">
        <v>477</v>
      </c>
    </row>
    <row r="17776">
      <c r="B17776" s="17" t="s">
        <v>477</v>
      </c>
      <c r="K17776" s="18" t="s">
        <v>477</v>
      </c>
    </row>
    <row r="17777">
      <c r="B17777" s="17" t="s">
        <v>477</v>
      </c>
      <c r="K17777" s="18" t="s">
        <v>477</v>
      </c>
    </row>
    <row r="17778">
      <c r="B17778" s="17" t="s">
        <v>477</v>
      </c>
      <c r="K17778" s="18" t="s">
        <v>477</v>
      </c>
    </row>
    <row r="17779">
      <c r="B17779" s="17" t="s">
        <v>477</v>
      </c>
      <c r="K17779" s="18" t="s">
        <v>477</v>
      </c>
    </row>
    <row r="17780">
      <c r="B17780" s="17" t="s">
        <v>477</v>
      </c>
      <c r="K17780" s="18" t="s">
        <v>477</v>
      </c>
    </row>
    <row r="17781">
      <c r="B17781" s="17" t="s">
        <v>477</v>
      </c>
      <c r="K17781" s="18" t="s">
        <v>477</v>
      </c>
    </row>
    <row r="17782">
      <c r="B17782" s="17" t="s">
        <v>477</v>
      </c>
      <c r="K17782" s="18" t="s">
        <v>477</v>
      </c>
    </row>
    <row r="17783">
      <c r="B17783" s="17" t="s">
        <v>477</v>
      </c>
      <c r="K17783" s="18" t="s">
        <v>477</v>
      </c>
    </row>
    <row r="17784">
      <c r="B17784" s="17" t="s">
        <v>477</v>
      </c>
      <c r="K17784" s="18" t="s">
        <v>477</v>
      </c>
    </row>
    <row r="17785">
      <c r="B17785" s="17" t="s">
        <v>477</v>
      </c>
      <c r="K17785" s="18" t="s">
        <v>477</v>
      </c>
    </row>
    <row r="17786">
      <c r="B17786" s="17" t="s">
        <v>477</v>
      </c>
      <c r="K17786" s="18" t="s">
        <v>477</v>
      </c>
    </row>
    <row r="17787">
      <c r="B17787" s="17" t="s">
        <v>477</v>
      </c>
      <c r="K17787" s="18" t="s">
        <v>477</v>
      </c>
    </row>
    <row r="17788">
      <c r="B17788" s="17" t="s">
        <v>477</v>
      </c>
      <c r="K17788" s="18" t="s">
        <v>477</v>
      </c>
    </row>
    <row r="17789">
      <c r="B17789" s="17" t="s">
        <v>477</v>
      </c>
      <c r="K17789" s="18" t="s">
        <v>477</v>
      </c>
    </row>
    <row r="17790">
      <c r="B17790" s="17" t="s">
        <v>477</v>
      </c>
      <c r="K17790" s="18" t="s">
        <v>477</v>
      </c>
    </row>
    <row r="17791">
      <c r="B17791" s="17" t="s">
        <v>477</v>
      </c>
      <c r="K17791" s="18" t="s">
        <v>477</v>
      </c>
    </row>
    <row r="17792">
      <c r="B17792" s="17" t="s">
        <v>477</v>
      </c>
      <c r="K17792" s="18" t="s">
        <v>477</v>
      </c>
    </row>
    <row r="17793">
      <c r="B17793" s="17" t="s">
        <v>477</v>
      </c>
      <c r="K17793" s="18" t="s">
        <v>477</v>
      </c>
    </row>
    <row r="17794">
      <c r="B17794" s="17" t="s">
        <v>477</v>
      </c>
      <c r="K17794" s="18" t="s">
        <v>477</v>
      </c>
    </row>
    <row r="17795">
      <c r="B17795" s="17" t="s">
        <v>477</v>
      </c>
      <c r="K17795" s="18" t="s">
        <v>477</v>
      </c>
    </row>
    <row r="17796">
      <c r="B17796" s="17" t="s">
        <v>477</v>
      </c>
      <c r="K17796" s="18" t="s">
        <v>477</v>
      </c>
    </row>
    <row r="17797">
      <c r="B17797" s="17" t="s">
        <v>477</v>
      </c>
      <c r="K17797" s="18" t="s">
        <v>477</v>
      </c>
    </row>
    <row r="17798">
      <c r="B17798" s="17" t="s">
        <v>477</v>
      </c>
      <c r="K17798" s="18" t="s">
        <v>477</v>
      </c>
    </row>
    <row r="17799">
      <c r="B17799" s="17" t="s">
        <v>477</v>
      </c>
      <c r="K17799" s="18" t="s">
        <v>477</v>
      </c>
    </row>
    <row r="17800">
      <c r="B17800" s="17" t="s">
        <v>477</v>
      </c>
      <c r="K17800" s="18" t="s">
        <v>477</v>
      </c>
    </row>
    <row r="17801">
      <c r="B17801" s="17" t="s">
        <v>477</v>
      </c>
      <c r="K17801" s="18" t="s">
        <v>477</v>
      </c>
    </row>
    <row r="17802">
      <c r="B17802" s="17" t="s">
        <v>477</v>
      </c>
      <c r="K17802" s="18" t="s">
        <v>477</v>
      </c>
    </row>
    <row r="17803">
      <c r="B17803" s="17" t="s">
        <v>477</v>
      </c>
      <c r="K17803" s="18" t="s">
        <v>477</v>
      </c>
    </row>
    <row r="17804">
      <c r="B17804" s="17" t="s">
        <v>477</v>
      </c>
      <c r="K17804" s="18" t="s">
        <v>477</v>
      </c>
    </row>
    <row r="17805">
      <c r="B17805" s="17" t="s">
        <v>477</v>
      </c>
      <c r="K17805" s="18" t="s">
        <v>477</v>
      </c>
    </row>
    <row r="17806">
      <c r="B17806" s="17" t="s">
        <v>477</v>
      </c>
      <c r="K17806" s="18" t="s">
        <v>477</v>
      </c>
    </row>
    <row r="17807">
      <c r="B17807" s="17" t="s">
        <v>477</v>
      </c>
      <c r="K17807" s="18" t="s">
        <v>477</v>
      </c>
    </row>
    <row r="17808">
      <c r="B17808" s="17" t="s">
        <v>477</v>
      </c>
      <c r="K17808" s="18" t="s">
        <v>477</v>
      </c>
    </row>
    <row r="17809">
      <c r="B17809" s="17" t="s">
        <v>477</v>
      </c>
      <c r="K17809" s="18" t="s">
        <v>477</v>
      </c>
    </row>
    <row r="17810">
      <c r="B17810" s="17" t="s">
        <v>477</v>
      </c>
      <c r="K17810" s="18" t="s">
        <v>477</v>
      </c>
    </row>
    <row r="17811">
      <c r="B17811" s="17" t="s">
        <v>477</v>
      </c>
      <c r="K17811" s="18" t="s">
        <v>477</v>
      </c>
    </row>
    <row r="17812">
      <c r="B17812" s="17" t="s">
        <v>477</v>
      </c>
      <c r="K17812" s="18" t="s">
        <v>477</v>
      </c>
    </row>
    <row r="17813">
      <c r="B17813" s="17" t="s">
        <v>477</v>
      </c>
      <c r="K17813" s="18" t="s">
        <v>477</v>
      </c>
    </row>
    <row r="17814">
      <c r="B17814" s="17" t="s">
        <v>477</v>
      </c>
      <c r="K17814" s="18" t="s">
        <v>477</v>
      </c>
    </row>
    <row r="17815">
      <c r="B17815" s="17" t="s">
        <v>477</v>
      </c>
      <c r="K17815" s="18" t="s">
        <v>477</v>
      </c>
    </row>
    <row r="17816">
      <c r="B17816" s="17" t="s">
        <v>477</v>
      </c>
      <c r="K17816" s="18" t="s">
        <v>477</v>
      </c>
    </row>
    <row r="17817">
      <c r="B17817" s="17" t="s">
        <v>477</v>
      </c>
      <c r="K17817" s="18" t="s">
        <v>477</v>
      </c>
    </row>
    <row r="17818">
      <c r="B17818" s="17" t="s">
        <v>477</v>
      </c>
      <c r="K17818" s="18" t="s">
        <v>477</v>
      </c>
    </row>
    <row r="17819">
      <c r="B17819" s="17" t="s">
        <v>477</v>
      </c>
      <c r="K17819" s="18" t="s">
        <v>477</v>
      </c>
    </row>
    <row r="17820">
      <c r="B17820" s="17" t="s">
        <v>477</v>
      </c>
      <c r="K17820" s="18" t="s">
        <v>477</v>
      </c>
    </row>
    <row r="17821">
      <c r="B17821" s="17" t="s">
        <v>477</v>
      </c>
      <c r="K17821" s="18" t="s">
        <v>477</v>
      </c>
    </row>
    <row r="17822">
      <c r="B17822" s="17" t="s">
        <v>477</v>
      </c>
      <c r="K17822" s="18" t="s">
        <v>477</v>
      </c>
    </row>
    <row r="17823">
      <c r="B17823" s="17" t="s">
        <v>477</v>
      </c>
      <c r="K17823" s="18" t="s">
        <v>477</v>
      </c>
    </row>
    <row r="17824">
      <c r="B17824" s="17" t="s">
        <v>477</v>
      </c>
      <c r="K17824" s="18" t="s">
        <v>477</v>
      </c>
    </row>
    <row r="17825">
      <c r="B17825" s="17" t="s">
        <v>477</v>
      </c>
      <c r="K17825" s="18" t="s">
        <v>477</v>
      </c>
    </row>
    <row r="17826">
      <c r="B17826" s="17" t="s">
        <v>477</v>
      </c>
      <c r="K17826" s="18" t="s">
        <v>477</v>
      </c>
    </row>
    <row r="17827">
      <c r="B17827" s="17" t="s">
        <v>477</v>
      </c>
      <c r="K17827" s="18" t="s">
        <v>477</v>
      </c>
    </row>
    <row r="17828">
      <c r="B17828" s="17" t="s">
        <v>477</v>
      </c>
      <c r="K17828" s="18" t="s">
        <v>477</v>
      </c>
    </row>
    <row r="17829">
      <c r="B17829" s="17" t="s">
        <v>477</v>
      </c>
      <c r="K17829" s="18" t="s">
        <v>477</v>
      </c>
    </row>
    <row r="17830">
      <c r="B17830" s="17" t="s">
        <v>477</v>
      </c>
      <c r="K17830" s="18" t="s">
        <v>477</v>
      </c>
    </row>
    <row r="17831">
      <c r="B17831" s="17" t="s">
        <v>477</v>
      </c>
      <c r="K17831" s="18" t="s">
        <v>477</v>
      </c>
    </row>
    <row r="17832">
      <c r="B17832" s="17" t="s">
        <v>477</v>
      </c>
      <c r="K17832" s="18" t="s">
        <v>477</v>
      </c>
    </row>
    <row r="17833">
      <c r="B17833" s="17" t="s">
        <v>477</v>
      </c>
      <c r="K17833" s="18" t="s">
        <v>477</v>
      </c>
    </row>
    <row r="17834">
      <c r="B17834" s="17" t="s">
        <v>477</v>
      </c>
      <c r="K17834" s="18" t="s">
        <v>477</v>
      </c>
    </row>
    <row r="17835">
      <c r="B17835" s="17" t="s">
        <v>477</v>
      </c>
      <c r="K17835" s="18" t="s">
        <v>477</v>
      </c>
    </row>
    <row r="17836">
      <c r="B17836" s="17" t="s">
        <v>477</v>
      </c>
      <c r="K17836" s="18" t="s">
        <v>477</v>
      </c>
    </row>
    <row r="17837">
      <c r="B17837" s="17" t="s">
        <v>477</v>
      </c>
      <c r="K17837" s="18" t="s">
        <v>477</v>
      </c>
    </row>
    <row r="17838">
      <c r="B17838" s="17" t="s">
        <v>477</v>
      </c>
      <c r="K17838" s="18" t="s">
        <v>477</v>
      </c>
    </row>
    <row r="17839">
      <c r="B17839" s="17" t="s">
        <v>477</v>
      </c>
      <c r="K17839" s="18" t="s">
        <v>477</v>
      </c>
    </row>
    <row r="17840">
      <c r="B17840" s="17" t="s">
        <v>477</v>
      </c>
      <c r="K17840" s="18" t="s">
        <v>477</v>
      </c>
    </row>
    <row r="17841">
      <c r="B17841" s="17" t="s">
        <v>477</v>
      </c>
      <c r="K17841" s="18" t="s">
        <v>477</v>
      </c>
    </row>
    <row r="17842">
      <c r="B17842" s="17" t="s">
        <v>477</v>
      </c>
      <c r="K17842" s="18" t="s">
        <v>477</v>
      </c>
    </row>
    <row r="17843">
      <c r="B17843" s="17" t="s">
        <v>477</v>
      </c>
      <c r="K17843" s="18" t="s">
        <v>477</v>
      </c>
    </row>
    <row r="17844">
      <c r="B17844" s="17" t="s">
        <v>477</v>
      </c>
      <c r="K17844" s="18" t="s">
        <v>477</v>
      </c>
    </row>
    <row r="17845">
      <c r="B17845" s="17" t="s">
        <v>477</v>
      </c>
      <c r="K17845" s="18" t="s">
        <v>477</v>
      </c>
    </row>
    <row r="17846">
      <c r="B17846" s="17" t="s">
        <v>477</v>
      </c>
      <c r="K17846" s="18" t="s">
        <v>477</v>
      </c>
    </row>
    <row r="17847">
      <c r="B17847" s="17" t="s">
        <v>477</v>
      </c>
      <c r="K17847" s="18" t="s">
        <v>477</v>
      </c>
    </row>
    <row r="17848">
      <c r="B17848" s="17" t="s">
        <v>477</v>
      </c>
      <c r="K17848" s="18" t="s">
        <v>477</v>
      </c>
    </row>
    <row r="17849">
      <c r="B17849" s="17" t="s">
        <v>477</v>
      </c>
      <c r="K17849" s="18" t="s">
        <v>477</v>
      </c>
    </row>
    <row r="17850">
      <c r="B17850" s="17" t="s">
        <v>477</v>
      </c>
      <c r="K17850" s="18" t="s">
        <v>477</v>
      </c>
    </row>
    <row r="17851">
      <c r="B17851" s="17" t="s">
        <v>477</v>
      </c>
      <c r="K17851" s="18" t="s">
        <v>477</v>
      </c>
    </row>
    <row r="17852">
      <c r="B17852" s="17" t="s">
        <v>477</v>
      </c>
      <c r="K17852" s="18" t="s">
        <v>477</v>
      </c>
    </row>
    <row r="17853">
      <c r="B17853" s="17" t="s">
        <v>477</v>
      </c>
      <c r="K17853" s="18" t="s">
        <v>477</v>
      </c>
    </row>
    <row r="17854">
      <c r="B17854" s="17" t="s">
        <v>477</v>
      </c>
      <c r="K17854" s="18" t="s">
        <v>477</v>
      </c>
    </row>
    <row r="17855">
      <c r="B17855" s="17" t="s">
        <v>477</v>
      </c>
      <c r="K17855" s="18" t="s">
        <v>477</v>
      </c>
    </row>
    <row r="17856">
      <c r="B17856" s="17" t="s">
        <v>477</v>
      </c>
      <c r="K17856" s="18" t="s">
        <v>477</v>
      </c>
    </row>
    <row r="17857">
      <c r="B17857" s="17" t="s">
        <v>477</v>
      </c>
      <c r="K17857" s="18" t="s">
        <v>477</v>
      </c>
    </row>
    <row r="17858">
      <c r="B17858" s="17" t="s">
        <v>477</v>
      </c>
      <c r="K17858" s="18" t="s">
        <v>477</v>
      </c>
    </row>
    <row r="17859">
      <c r="B17859" s="17" t="s">
        <v>477</v>
      </c>
      <c r="K17859" s="18" t="s">
        <v>477</v>
      </c>
    </row>
    <row r="17860">
      <c r="B17860" s="17" t="s">
        <v>477</v>
      </c>
      <c r="K17860" s="18" t="s">
        <v>477</v>
      </c>
    </row>
    <row r="17861">
      <c r="B17861" s="17" t="s">
        <v>477</v>
      </c>
      <c r="K17861" s="18" t="s">
        <v>477</v>
      </c>
    </row>
    <row r="17862">
      <c r="B17862" s="17" t="s">
        <v>477</v>
      </c>
      <c r="K17862" s="18" t="s">
        <v>477</v>
      </c>
    </row>
    <row r="17863">
      <c r="B17863" s="17" t="s">
        <v>477</v>
      </c>
      <c r="K17863" s="18" t="s">
        <v>477</v>
      </c>
    </row>
    <row r="17864">
      <c r="B17864" s="17" t="s">
        <v>477</v>
      </c>
      <c r="K17864" s="18" t="s">
        <v>477</v>
      </c>
    </row>
    <row r="17865">
      <c r="B17865" s="17" t="s">
        <v>477</v>
      </c>
      <c r="K17865" s="18" t="s">
        <v>477</v>
      </c>
    </row>
    <row r="17866">
      <c r="B17866" s="17" t="s">
        <v>477</v>
      </c>
      <c r="K17866" s="18" t="s">
        <v>477</v>
      </c>
    </row>
    <row r="17867">
      <c r="B17867" s="17" t="s">
        <v>477</v>
      </c>
      <c r="K17867" s="18" t="s">
        <v>477</v>
      </c>
    </row>
    <row r="17868">
      <c r="B17868" s="17" t="s">
        <v>477</v>
      </c>
      <c r="K17868" s="18" t="s">
        <v>477</v>
      </c>
    </row>
    <row r="17869">
      <c r="B17869" s="17" t="s">
        <v>477</v>
      </c>
      <c r="K17869" s="18" t="s">
        <v>477</v>
      </c>
    </row>
    <row r="17870">
      <c r="B17870" s="17" t="s">
        <v>477</v>
      </c>
      <c r="K17870" s="18" t="s">
        <v>477</v>
      </c>
    </row>
    <row r="17871">
      <c r="B17871" s="17" t="s">
        <v>477</v>
      </c>
      <c r="K17871" s="18" t="s">
        <v>477</v>
      </c>
    </row>
    <row r="17872">
      <c r="B17872" s="17" t="s">
        <v>477</v>
      </c>
      <c r="K17872" s="18" t="s">
        <v>477</v>
      </c>
    </row>
    <row r="17873">
      <c r="B17873" s="17" t="s">
        <v>477</v>
      </c>
      <c r="K17873" s="18" t="s">
        <v>477</v>
      </c>
    </row>
    <row r="17874">
      <c r="B17874" s="17" t="s">
        <v>477</v>
      </c>
      <c r="K17874" s="18" t="s">
        <v>477</v>
      </c>
    </row>
    <row r="17875">
      <c r="B17875" s="17" t="s">
        <v>477</v>
      </c>
      <c r="K17875" s="18" t="s">
        <v>477</v>
      </c>
    </row>
    <row r="17876">
      <c r="B17876" s="17" t="s">
        <v>477</v>
      </c>
      <c r="K17876" s="18" t="s">
        <v>477</v>
      </c>
    </row>
    <row r="17877">
      <c r="B17877" s="17" t="s">
        <v>477</v>
      </c>
      <c r="K17877" s="18" t="s">
        <v>477</v>
      </c>
    </row>
    <row r="17878">
      <c r="B17878" s="17" t="s">
        <v>477</v>
      </c>
      <c r="K17878" s="18" t="s">
        <v>477</v>
      </c>
    </row>
    <row r="17879">
      <c r="B17879" s="17" t="s">
        <v>477</v>
      </c>
      <c r="K17879" s="18" t="s">
        <v>477</v>
      </c>
    </row>
    <row r="17880">
      <c r="B17880" s="17" t="s">
        <v>477</v>
      </c>
      <c r="K17880" s="18" t="s">
        <v>477</v>
      </c>
    </row>
    <row r="17881">
      <c r="B17881" s="17" t="s">
        <v>477</v>
      </c>
      <c r="K17881" s="18" t="s">
        <v>477</v>
      </c>
    </row>
    <row r="17882">
      <c r="B17882" s="17" t="s">
        <v>477</v>
      </c>
      <c r="K17882" s="18" t="s">
        <v>477</v>
      </c>
    </row>
    <row r="17883">
      <c r="B17883" s="17" t="s">
        <v>477</v>
      </c>
      <c r="K17883" s="18" t="s">
        <v>477</v>
      </c>
    </row>
    <row r="17884">
      <c r="B17884" s="17" t="s">
        <v>477</v>
      </c>
      <c r="K17884" s="18" t="s">
        <v>477</v>
      </c>
    </row>
    <row r="17885">
      <c r="B17885" s="17" t="s">
        <v>477</v>
      </c>
      <c r="K17885" s="18" t="s">
        <v>477</v>
      </c>
    </row>
    <row r="17886">
      <c r="B17886" s="17" t="s">
        <v>477</v>
      </c>
      <c r="K17886" s="18" t="s">
        <v>477</v>
      </c>
    </row>
    <row r="17887">
      <c r="B17887" s="17" t="s">
        <v>477</v>
      </c>
      <c r="K17887" s="18" t="s">
        <v>477</v>
      </c>
    </row>
    <row r="17888">
      <c r="B17888" s="17" t="s">
        <v>477</v>
      </c>
      <c r="K17888" s="18" t="s">
        <v>477</v>
      </c>
    </row>
    <row r="17889">
      <c r="B17889" s="17" t="s">
        <v>477</v>
      </c>
      <c r="K17889" s="18" t="s">
        <v>477</v>
      </c>
    </row>
    <row r="17890">
      <c r="B17890" s="17" t="s">
        <v>477</v>
      </c>
      <c r="K17890" s="18" t="s">
        <v>477</v>
      </c>
    </row>
    <row r="17891">
      <c r="B17891" s="17" t="s">
        <v>477</v>
      </c>
      <c r="K17891" s="18" t="s">
        <v>477</v>
      </c>
    </row>
    <row r="17892">
      <c r="B17892" s="17" t="s">
        <v>477</v>
      </c>
      <c r="K17892" s="18" t="s">
        <v>477</v>
      </c>
    </row>
    <row r="17893">
      <c r="B17893" s="17" t="s">
        <v>477</v>
      </c>
      <c r="K17893" s="18" t="s">
        <v>477</v>
      </c>
    </row>
    <row r="17894">
      <c r="B17894" s="17" t="s">
        <v>477</v>
      </c>
      <c r="K17894" s="18" t="s">
        <v>477</v>
      </c>
    </row>
    <row r="17895">
      <c r="B17895" s="17" t="s">
        <v>477</v>
      </c>
      <c r="K17895" s="18" t="s">
        <v>477</v>
      </c>
    </row>
    <row r="17896">
      <c r="B17896" s="17" t="s">
        <v>477</v>
      </c>
      <c r="K17896" s="18" t="s">
        <v>477</v>
      </c>
    </row>
    <row r="17897">
      <c r="B17897" s="17" t="s">
        <v>477</v>
      </c>
      <c r="K17897" s="18" t="s">
        <v>477</v>
      </c>
    </row>
    <row r="17898">
      <c r="B17898" s="17" t="s">
        <v>477</v>
      </c>
      <c r="K17898" s="18" t="s">
        <v>477</v>
      </c>
    </row>
    <row r="17899">
      <c r="B17899" s="17" t="s">
        <v>477</v>
      </c>
      <c r="K17899" s="18" t="s">
        <v>477</v>
      </c>
    </row>
    <row r="17900">
      <c r="B17900" s="17" t="s">
        <v>477</v>
      </c>
      <c r="K17900" s="18" t="s">
        <v>477</v>
      </c>
    </row>
    <row r="17901">
      <c r="B17901" s="17" t="s">
        <v>477</v>
      </c>
      <c r="K17901" s="18" t="s">
        <v>477</v>
      </c>
    </row>
    <row r="17902">
      <c r="B17902" s="17" t="s">
        <v>477</v>
      </c>
      <c r="K17902" s="18" t="s">
        <v>477</v>
      </c>
    </row>
    <row r="17903">
      <c r="B17903" s="17" t="s">
        <v>477</v>
      </c>
      <c r="K17903" s="18" t="s">
        <v>477</v>
      </c>
    </row>
    <row r="17904">
      <c r="B17904" s="17" t="s">
        <v>477</v>
      </c>
      <c r="K17904" s="18" t="s">
        <v>477</v>
      </c>
    </row>
    <row r="17905">
      <c r="B17905" s="17" t="s">
        <v>477</v>
      </c>
      <c r="K17905" s="18" t="s">
        <v>477</v>
      </c>
    </row>
    <row r="17906">
      <c r="B17906" s="17" t="s">
        <v>477</v>
      </c>
      <c r="K17906" s="18" t="s">
        <v>477</v>
      </c>
    </row>
    <row r="17907">
      <c r="B17907" s="17" t="s">
        <v>477</v>
      </c>
      <c r="K17907" s="18" t="s">
        <v>477</v>
      </c>
    </row>
    <row r="17908">
      <c r="B17908" s="17" t="s">
        <v>477</v>
      </c>
      <c r="K17908" s="18" t="s">
        <v>477</v>
      </c>
    </row>
    <row r="17909">
      <c r="B17909" s="17" t="s">
        <v>477</v>
      </c>
      <c r="K17909" s="18" t="s">
        <v>477</v>
      </c>
    </row>
    <row r="17910">
      <c r="B17910" s="17" t="s">
        <v>477</v>
      </c>
      <c r="K17910" s="18" t="s">
        <v>477</v>
      </c>
    </row>
    <row r="17911">
      <c r="B17911" s="17" t="s">
        <v>477</v>
      </c>
      <c r="K17911" s="18" t="s">
        <v>477</v>
      </c>
    </row>
    <row r="17912">
      <c r="B17912" s="17" t="s">
        <v>477</v>
      </c>
      <c r="K17912" s="18" t="s">
        <v>477</v>
      </c>
    </row>
    <row r="17913">
      <c r="B17913" s="17" t="s">
        <v>477</v>
      </c>
      <c r="K17913" s="18" t="s">
        <v>477</v>
      </c>
    </row>
    <row r="17914">
      <c r="B17914" s="17" t="s">
        <v>477</v>
      </c>
      <c r="K17914" s="18" t="s">
        <v>477</v>
      </c>
    </row>
    <row r="17915">
      <c r="B17915" s="17" t="s">
        <v>477</v>
      </c>
      <c r="K17915" s="18" t="s">
        <v>477</v>
      </c>
    </row>
    <row r="17916">
      <c r="B17916" s="17" t="s">
        <v>477</v>
      </c>
      <c r="K17916" s="18" t="s">
        <v>477</v>
      </c>
    </row>
    <row r="17917">
      <c r="B17917" s="17" t="s">
        <v>477</v>
      </c>
      <c r="K17917" s="18" t="s">
        <v>477</v>
      </c>
    </row>
    <row r="17918">
      <c r="B17918" s="17" t="s">
        <v>477</v>
      </c>
      <c r="K17918" s="18" t="s">
        <v>477</v>
      </c>
    </row>
    <row r="17919">
      <c r="B17919" s="17" t="s">
        <v>477</v>
      </c>
      <c r="K17919" s="18" t="s">
        <v>477</v>
      </c>
    </row>
    <row r="17920">
      <c r="B17920" s="17" t="s">
        <v>477</v>
      </c>
      <c r="K17920" s="18" t="s">
        <v>477</v>
      </c>
    </row>
    <row r="17921">
      <c r="B17921" s="17" t="s">
        <v>477</v>
      </c>
      <c r="K17921" s="18" t="s">
        <v>477</v>
      </c>
    </row>
    <row r="17922">
      <c r="B17922" s="17" t="s">
        <v>477</v>
      </c>
      <c r="K17922" s="18" t="s">
        <v>477</v>
      </c>
    </row>
    <row r="17923">
      <c r="B17923" s="17" t="s">
        <v>477</v>
      </c>
      <c r="K17923" s="18" t="s">
        <v>477</v>
      </c>
    </row>
    <row r="17924">
      <c r="B17924" s="17" t="s">
        <v>477</v>
      </c>
      <c r="K17924" s="18" t="s">
        <v>477</v>
      </c>
    </row>
    <row r="17925">
      <c r="B17925" s="17" t="s">
        <v>477</v>
      </c>
      <c r="K17925" s="18" t="s">
        <v>477</v>
      </c>
    </row>
    <row r="17926">
      <c r="B17926" s="17" t="s">
        <v>477</v>
      </c>
      <c r="K17926" s="18" t="s">
        <v>477</v>
      </c>
    </row>
    <row r="17927">
      <c r="B17927" s="17" t="s">
        <v>477</v>
      </c>
      <c r="K17927" s="18" t="s">
        <v>477</v>
      </c>
    </row>
    <row r="17928">
      <c r="B17928" s="17" t="s">
        <v>477</v>
      </c>
      <c r="K17928" s="18" t="s">
        <v>477</v>
      </c>
    </row>
    <row r="17929">
      <c r="B17929" s="17" t="s">
        <v>477</v>
      </c>
      <c r="K17929" s="18" t="s">
        <v>477</v>
      </c>
    </row>
    <row r="17930">
      <c r="B17930" s="17" t="s">
        <v>477</v>
      </c>
      <c r="K17930" s="18" t="s">
        <v>477</v>
      </c>
    </row>
    <row r="17931">
      <c r="B17931" s="17" t="s">
        <v>477</v>
      </c>
      <c r="K17931" s="18" t="s">
        <v>477</v>
      </c>
    </row>
    <row r="17932">
      <c r="B17932" s="17" t="s">
        <v>477</v>
      </c>
      <c r="K17932" s="18" t="s">
        <v>477</v>
      </c>
    </row>
    <row r="17933">
      <c r="B17933" s="17" t="s">
        <v>477</v>
      </c>
      <c r="K17933" s="18" t="s">
        <v>477</v>
      </c>
    </row>
    <row r="17934">
      <c r="B17934" s="17" t="s">
        <v>477</v>
      </c>
      <c r="K17934" s="18" t="s">
        <v>477</v>
      </c>
    </row>
    <row r="17935">
      <c r="B17935" s="17" t="s">
        <v>477</v>
      </c>
      <c r="K17935" s="18" t="s">
        <v>477</v>
      </c>
    </row>
    <row r="17936">
      <c r="B17936" s="17" t="s">
        <v>477</v>
      </c>
      <c r="K17936" s="18" t="s">
        <v>477</v>
      </c>
    </row>
    <row r="17937">
      <c r="B17937" s="17" t="s">
        <v>477</v>
      </c>
      <c r="K17937" s="18" t="s">
        <v>477</v>
      </c>
    </row>
    <row r="17938">
      <c r="B17938" s="17" t="s">
        <v>477</v>
      </c>
      <c r="K17938" s="18" t="s">
        <v>477</v>
      </c>
    </row>
    <row r="17939">
      <c r="B17939" s="17" t="s">
        <v>477</v>
      </c>
      <c r="K17939" s="18" t="s">
        <v>477</v>
      </c>
    </row>
    <row r="17940">
      <c r="B17940" s="17" t="s">
        <v>477</v>
      </c>
      <c r="K17940" s="18" t="s">
        <v>477</v>
      </c>
    </row>
    <row r="17941">
      <c r="B17941" s="17" t="s">
        <v>477</v>
      </c>
      <c r="K17941" s="18" t="s">
        <v>477</v>
      </c>
    </row>
    <row r="17942">
      <c r="B17942" s="17" t="s">
        <v>477</v>
      </c>
      <c r="K17942" s="18" t="s">
        <v>477</v>
      </c>
    </row>
    <row r="17943">
      <c r="B17943" s="17" t="s">
        <v>477</v>
      </c>
      <c r="K17943" s="18" t="s">
        <v>477</v>
      </c>
    </row>
    <row r="17944">
      <c r="B17944" s="17" t="s">
        <v>477</v>
      </c>
      <c r="K17944" s="18" t="s">
        <v>477</v>
      </c>
    </row>
    <row r="17945">
      <c r="B17945" s="17" t="s">
        <v>477</v>
      </c>
      <c r="K17945" s="18" t="s">
        <v>477</v>
      </c>
    </row>
    <row r="17946">
      <c r="B17946" s="17" t="s">
        <v>477</v>
      </c>
      <c r="K17946" s="18" t="s">
        <v>477</v>
      </c>
    </row>
    <row r="17947">
      <c r="B17947" s="17" t="s">
        <v>477</v>
      </c>
      <c r="K17947" s="18" t="s">
        <v>477</v>
      </c>
    </row>
    <row r="17948">
      <c r="B17948" s="17" t="s">
        <v>477</v>
      </c>
      <c r="K17948" s="18" t="s">
        <v>477</v>
      </c>
    </row>
    <row r="17949">
      <c r="B17949" s="17" t="s">
        <v>477</v>
      </c>
      <c r="K17949" s="18" t="s">
        <v>477</v>
      </c>
    </row>
    <row r="17950">
      <c r="B17950" s="17" t="s">
        <v>477</v>
      </c>
      <c r="K17950" s="18" t="s">
        <v>477</v>
      </c>
    </row>
    <row r="17951">
      <c r="B17951" s="17" t="s">
        <v>477</v>
      </c>
      <c r="K17951" s="18" t="s">
        <v>477</v>
      </c>
    </row>
    <row r="17952">
      <c r="B17952" s="17" t="s">
        <v>477</v>
      </c>
      <c r="K17952" s="18" t="s">
        <v>477</v>
      </c>
    </row>
    <row r="17953">
      <c r="B17953" s="17" t="s">
        <v>477</v>
      </c>
      <c r="K17953" s="18" t="s">
        <v>477</v>
      </c>
    </row>
    <row r="17954">
      <c r="B17954" s="17" t="s">
        <v>477</v>
      </c>
      <c r="K17954" s="18" t="s">
        <v>477</v>
      </c>
    </row>
    <row r="17955">
      <c r="B17955" s="17" t="s">
        <v>477</v>
      </c>
      <c r="K17955" s="18" t="s">
        <v>477</v>
      </c>
    </row>
    <row r="17956">
      <c r="B17956" s="17" t="s">
        <v>477</v>
      </c>
      <c r="K17956" s="18" t="s">
        <v>477</v>
      </c>
    </row>
    <row r="17957">
      <c r="B17957" s="17" t="s">
        <v>477</v>
      </c>
      <c r="K17957" s="18" t="s">
        <v>477</v>
      </c>
    </row>
    <row r="17958">
      <c r="B17958" s="17" t="s">
        <v>477</v>
      </c>
      <c r="K17958" s="18" t="s">
        <v>477</v>
      </c>
    </row>
    <row r="17959">
      <c r="B17959" s="17" t="s">
        <v>477</v>
      </c>
      <c r="K17959" s="18" t="s">
        <v>477</v>
      </c>
    </row>
    <row r="17960">
      <c r="B17960" s="17" t="s">
        <v>477</v>
      </c>
      <c r="K17960" s="18" t="s">
        <v>477</v>
      </c>
    </row>
    <row r="17961">
      <c r="B17961" s="17" t="s">
        <v>477</v>
      </c>
      <c r="K17961" s="18" t="s">
        <v>477</v>
      </c>
    </row>
    <row r="17962">
      <c r="B17962" s="17" t="s">
        <v>477</v>
      </c>
      <c r="K17962" s="18" t="s">
        <v>477</v>
      </c>
    </row>
    <row r="17963">
      <c r="B17963" s="17" t="s">
        <v>477</v>
      </c>
      <c r="K17963" s="18" t="s">
        <v>477</v>
      </c>
    </row>
    <row r="17964">
      <c r="B17964" s="17" t="s">
        <v>477</v>
      </c>
      <c r="K17964" s="18" t="s">
        <v>477</v>
      </c>
    </row>
    <row r="17965">
      <c r="B17965" s="17" t="s">
        <v>477</v>
      </c>
      <c r="K17965" s="18" t="s">
        <v>477</v>
      </c>
    </row>
    <row r="17966">
      <c r="B17966" s="17" t="s">
        <v>477</v>
      </c>
      <c r="K17966" s="18" t="s">
        <v>477</v>
      </c>
    </row>
    <row r="17967">
      <c r="B17967" s="17" t="s">
        <v>477</v>
      </c>
      <c r="K17967" s="18" t="s">
        <v>477</v>
      </c>
    </row>
    <row r="17968">
      <c r="B17968" s="17" t="s">
        <v>477</v>
      </c>
      <c r="K17968" s="18" t="s">
        <v>477</v>
      </c>
    </row>
    <row r="17969">
      <c r="B17969" s="17" t="s">
        <v>477</v>
      </c>
      <c r="K17969" s="18" t="s">
        <v>477</v>
      </c>
    </row>
    <row r="17970">
      <c r="B17970" s="17" t="s">
        <v>477</v>
      </c>
      <c r="K17970" s="18" t="s">
        <v>477</v>
      </c>
    </row>
    <row r="17971">
      <c r="B17971" s="17" t="s">
        <v>477</v>
      </c>
      <c r="K17971" s="18" t="s">
        <v>477</v>
      </c>
    </row>
    <row r="17972">
      <c r="B17972" s="17" t="s">
        <v>477</v>
      </c>
      <c r="K17972" s="18" t="s">
        <v>477</v>
      </c>
    </row>
    <row r="17973">
      <c r="B17973" s="17" t="s">
        <v>477</v>
      </c>
      <c r="K17973" s="18" t="s">
        <v>477</v>
      </c>
    </row>
    <row r="17974">
      <c r="B17974" s="17" t="s">
        <v>477</v>
      </c>
      <c r="K17974" s="18" t="s">
        <v>477</v>
      </c>
    </row>
    <row r="17975">
      <c r="B17975" s="17" t="s">
        <v>477</v>
      </c>
      <c r="K17975" s="18" t="s">
        <v>477</v>
      </c>
    </row>
    <row r="17976">
      <c r="B17976" s="17" t="s">
        <v>477</v>
      </c>
      <c r="K17976" s="18" t="s">
        <v>477</v>
      </c>
    </row>
    <row r="17977">
      <c r="B17977" s="17" t="s">
        <v>477</v>
      </c>
      <c r="K17977" s="18" t="s">
        <v>477</v>
      </c>
    </row>
    <row r="17978">
      <c r="B17978" s="17" t="s">
        <v>477</v>
      </c>
      <c r="K17978" s="18" t="s">
        <v>477</v>
      </c>
    </row>
    <row r="17979">
      <c r="B17979" s="17" t="s">
        <v>477</v>
      </c>
      <c r="K17979" s="18" t="s">
        <v>477</v>
      </c>
    </row>
    <row r="17980">
      <c r="B17980" s="17" t="s">
        <v>477</v>
      </c>
      <c r="K17980" s="18" t="s">
        <v>477</v>
      </c>
    </row>
    <row r="17981">
      <c r="B17981" s="17" t="s">
        <v>477</v>
      </c>
      <c r="K17981" s="18" t="s">
        <v>477</v>
      </c>
    </row>
    <row r="17982">
      <c r="B17982" s="17" t="s">
        <v>477</v>
      </c>
      <c r="K17982" s="18" t="s">
        <v>477</v>
      </c>
    </row>
    <row r="17983">
      <c r="B17983" s="17" t="s">
        <v>477</v>
      </c>
      <c r="K17983" s="18" t="s">
        <v>477</v>
      </c>
    </row>
    <row r="17984">
      <c r="B17984" s="17" t="s">
        <v>477</v>
      </c>
      <c r="K17984" s="18" t="s">
        <v>477</v>
      </c>
    </row>
    <row r="17985">
      <c r="B17985" s="17" t="s">
        <v>477</v>
      </c>
      <c r="K17985" s="18" t="s">
        <v>477</v>
      </c>
    </row>
    <row r="17986">
      <c r="B17986" s="17" t="s">
        <v>477</v>
      </c>
      <c r="K17986" s="18" t="s">
        <v>477</v>
      </c>
    </row>
    <row r="17987">
      <c r="B17987" s="17" t="s">
        <v>477</v>
      </c>
      <c r="K17987" s="18" t="s">
        <v>477</v>
      </c>
    </row>
    <row r="17988">
      <c r="B17988" s="17" t="s">
        <v>477</v>
      </c>
      <c r="K17988" s="18" t="s">
        <v>477</v>
      </c>
    </row>
    <row r="17989">
      <c r="B17989" s="17" t="s">
        <v>477</v>
      </c>
      <c r="K17989" s="18" t="s">
        <v>477</v>
      </c>
    </row>
    <row r="17990">
      <c r="B17990" s="17" t="s">
        <v>477</v>
      </c>
      <c r="K17990" s="18" t="s">
        <v>477</v>
      </c>
    </row>
    <row r="17991">
      <c r="B17991" s="17" t="s">
        <v>477</v>
      </c>
      <c r="K17991" s="18" t="s">
        <v>477</v>
      </c>
    </row>
    <row r="17992">
      <c r="B17992" s="17" t="s">
        <v>477</v>
      </c>
      <c r="K17992" s="18" t="s">
        <v>477</v>
      </c>
    </row>
    <row r="17993">
      <c r="B17993" s="17" t="s">
        <v>477</v>
      </c>
      <c r="K17993" s="18" t="s">
        <v>477</v>
      </c>
    </row>
    <row r="17994">
      <c r="B17994" s="17" t="s">
        <v>477</v>
      </c>
      <c r="K17994" s="18" t="s">
        <v>477</v>
      </c>
    </row>
    <row r="17995">
      <c r="B17995" s="17" t="s">
        <v>477</v>
      </c>
      <c r="K17995" s="18" t="s">
        <v>477</v>
      </c>
    </row>
    <row r="17996">
      <c r="B17996" s="17" t="s">
        <v>477</v>
      </c>
      <c r="K17996" s="18" t="s">
        <v>477</v>
      </c>
    </row>
    <row r="17997">
      <c r="B17997" s="17" t="s">
        <v>477</v>
      </c>
      <c r="K17997" s="18" t="s">
        <v>477</v>
      </c>
    </row>
    <row r="17998">
      <c r="B17998" s="17" t="s">
        <v>477</v>
      </c>
      <c r="K17998" s="18" t="s">
        <v>477</v>
      </c>
    </row>
    <row r="17999">
      <c r="B17999" s="17" t="s">
        <v>477</v>
      </c>
      <c r="K17999" s="18" t="s">
        <v>477</v>
      </c>
    </row>
    <row r="18000">
      <c r="B18000" s="17" t="s">
        <v>477</v>
      </c>
      <c r="K18000" s="18" t="s">
        <v>477</v>
      </c>
    </row>
    <row r="18001">
      <c r="B18001" s="17" t="s">
        <v>477</v>
      </c>
      <c r="K18001" s="18" t="s">
        <v>477</v>
      </c>
    </row>
    <row r="18002">
      <c r="B18002" s="17" t="s">
        <v>477</v>
      </c>
      <c r="K18002" s="18" t="s">
        <v>477</v>
      </c>
    </row>
    <row r="18003">
      <c r="B18003" s="17" t="s">
        <v>477</v>
      </c>
      <c r="K18003" s="18" t="s">
        <v>477</v>
      </c>
    </row>
    <row r="18004">
      <c r="B18004" s="17" t="s">
        <v>477</v>
      </c>
      <c r="K18004" s="18" t="s">
        <v>477</v>
      </c>
    </row>
    <row r="18005">
      <c r="B18005" s="17" t="s">
        <v>477</v>
      </c>
      <c r="K18005" s="18" t="s">
        <v>477</v>
      </c>
    </row>
    <row r="18006">
      <c r="B18006" s="17" t="s">
        <v>477</v>
      </c>
      <c r="K18006" s="18" t="s">
        <v>477</v>
      </c>
    </row>
    <row r="18007">
      <c r="B18007" s="17" t="s">
        <v>477</v>
      </c>
      <c r="K18007" s="18" t="s">
        <v>477</v>
      </c>
    </row>
    <row r="18008">
      <c r="B18008" s="17" t="s">
        <v>477</v>
      </c>
      <c r="K18008" s="18" t="s">
        <v>477</v>
      </c>
    </row>
    <row r="18009">
      <c r="B18009" s="17" t="s">
        <v>477</v>
      </c>
      <c r="K18009" s="18" t="s">
        <v>477</v>
      </c>
    </row>
    <row r="18010">
      <c r="B18010" s="17" t="s">
        <v>477</v>
      </c>
      <c r="K18010" s="18" t="s">
        <v>477</v>
      </c>
    </row>
    <row r="18011">
      <c r="B18011" s="17" t="s">
        <v>477</v>
      </c>
      <c r="K18011" s="18" t="s">
        <v>477</v>
      </c>
    </row>
    <row r="18012">
      <c r="B18012" s="17" t="s">
        <v>477</v>
      </c>
      <c r="K18012" s="18" t="s">
        <v>477</v>
      </c>
    </row>
    <row r="18013">
      <c r="B18013" s="17" t="s">
        <v>477</v>
      </c>
      <c r="K18013" s="18" t="s">
        <v>477</v>
      </c>
    </row>
    <row r="18014">
      <c r="B18014" s="17" t="s">
        <v>477</v>
      </c>
      <c r="K18014" s="18" t="s">
        <v>477</v>
      </c>
    </row>
    <row r="18015">
      <c r="B18015" s="17" t="s">
        <v>477</v>
      </c>
      <c r="K18015" s="18" t="s">
        <v>477</v>
      </c>
    </row>
    <row r="18016">
      <c r="B18016" s="17" t="s">
        <v>477</v>
      </c>
      <c r="K18016" s="18" t="s">
        <v>477</v>
      </c>
    </row>
    <row r="18017">
      <c r="B18017" s="17" t="s">
        <v>477</v>
      </c>
      <c r="K18017" s="18" t="s">
        <v>477</v>
      </c>
    </row>
    <row r="18018">
      <c r="B18018" s="17" t="s">
        <v>477</v>
      </c>
      <c r="K18018" s="18" t="s">
        <v>477</v>
      </c>
    </row>
    <row r="18019">
      <c r="B18019" s="17" t="s">
        <v>477</v>
      </c>
      <c r="K18019" s="18" t="s">
        <v>477</v>
      </c>
    </row>
    <row r="18020">
      <c r="B18020" s="17" t="s">
        <v>477</v>
      </c>
      <c r="K18020" s="18" t="s">
        <v>477</v>
      </c>
    </row>
    <row r="18021">
      <c r="B18021" s="17" t="s">
        <v>477</v>
      </c>
      <c r="K18021" s="18" t="s">
        <v>477</v>
      </c>
    </row>
    <row r="18022">
      <c r="B18022" s="17" t="s">
        <v>477</v>
      </c>
      <c r="K18022" s="18" t="s">
        <v>477</v>
      </c>
    </row>
    <row r="18023">
      <c r="B18023" s="17" t="s">
        <v>477</v>
      </c>
      <c r="K18023" s="18" t="s">
        <v>477</v>
      </c>
    </row>
    <row r="18024">
      <c r="B18024" s="17" t="s">
        <v>477</v>
      </c>
      <c r="K18024" s="18" t="s">
        <v>477</v>
      </c>
    </row>
    <row r="18025">
      <c r="B18025" s="17" t="s">
        <v>477</v>
      </c>
      <c r="K18025" s="18" t="s">
        <v>477</v>
      </c>
    </row>
    <row r="18026">
      <c r="B18026" s="17" t="s">
        <v>477</v>
      </c>
      <c r="K18026" s="18" t="s">
        <v>477</v>
      </c>
    </row>
    <row r="18027">
      <c r="B18027" s="17" t="s">
        <v>477</v>
      </c>
      <c r="K18027" s="18" t="s">
        <v>477</v>
      </c>
    </row>
    <row r="18028">
      <c r="B18028" s="17" t="s">
        <v>477</v>
      </c>
      <c r="K18028" s="18" t="s">
        <v>477</v>
      </c>
    </row>
    <row r="18029">
      <c r="B18029" s="17" t="s">
        <v>477</v>
      </c>
      <c r="K18029" s="18" t="s">
        <v>477</v>
      </c>
    </row>
    <row r="18030">
      <c r="B18030" s="17" t="s">
        <v>477</v>
      </c>
      <c r="K18030" s="18" t="s">
        <v>477</v>
      </c>
    </row>
    <row r="18031">
      <c r="B18031" s="17" t="s">
        <v>477</v>
      </c>
      <c r="K18031" s="18" t="s">
        <v>477</v>
      </c>
    </row>
    <row r="18032">
      <c r="B18032" s="17" t="s">
        <v>477</v>
      </c>
      <c r="K18032" s="18" t="s">
        <v>477</v>
      </c>
    </row>
    <row r="18033">
      <c r="B18033" s="17" t="s">
        <v>477</v>
      </c>
      <c r="K18033" s="18" t="s">
        <v>477</v>
      </c>
    </row>
    <row r="18034">
      <c r="B18034" s="17" t="s">
        <v>477</v>
      </c>
      <c r="K18034" s="18" t="s">
        <v>477</v>
      </c>
    </row>
    <row r="18035">
      <c r="B18035" s="17" t="s">
        <v>477</v>
      </c>
      <c r="K18035" s="18" t="s">
        <v>477</v>
      </c>
    </row>
    <row r="18036">
      <c r="B18036" s="17" t="s">
        <v>477</v>
      </c>
      <c r="K18036" s="18" t="s">
        <v>477</v>
      </c>
    </row>
    <row r="18037">
      <c r="B18037" s="17" t="s">
        <v>477</v>
      </c>
      <c r="K18037" s="18" t="s">
        <v>477</v>
      </c>
    </row>
    <row r="18038">
      <c r="B18038" s="17" t="s">
        <v>477</v>
      </c>
      <c r="K18038" s="18" t="s">
        <v>477</v>
      </c>
    </row>
    <row r="18039">
      <c r="B18039" s="17" t="s">
        <v>477</v>
      </c>
      <c r="K18039" s="18" t="s">
        <v>477</v>
      </c>
    </row>
    <row r="18040">
      <c r="B18040" s="17" t="s">
        <v>477</v>
      </c>
      <c r="K18040" s="18" t="s">
        <v>477</v>
      </c>
    </row>
    <row r="18041">
      <c r="B18041" s="17" t="s">
        <v>477</v>
      </c>
      <c r="K18041" s="18" t="s">
        <v>477</v>
      </c>
    </row>
    <row r="18042">
      <c r="B18042" s="17" t="s">
        <v>477</v>
      </c>
      <c r="K18042" s="18" t="s">
        <v>477</v>
      </c>
    </row>
    <row r="18043">
      <c r="B18043" s="17" t="s">
        <v>477</v>
      </c>
      <c r="K18043" s="18" t="s">
        <v>477</v>
      </c>
    </row>
    <row r="18044">
      <c r="B18044" s="17" t="s">
        <v>477</v>
      </c>
      <c r="K18044" s="18" t="s">
        <v>477</v>
      </c>
    </row>
    <row r="18045">
      <c r="B18045" s="17" t="s">
        <v>477</v>
      </c>
      <c r="K18045" s="18" t="s">
        <v>477</v>
      </c>
    </row>
    <row r="18046">
      <c r="B18046" s="17" t="s">
        <v>477</v>
      </c>
      <c r="K18046" s="18" t="s">
        <v>477</v>
      </c>
    </row>
    <row r="18047">
      <c r="B18047" s="17" t="s">
        <v>477</v>
      </c>
      <c r="K18047" s="18" t="s">
        <v>477</v>
      </c>
    </row>
    <row r="18048">
      <c r="B18048" s="17" t="s">
        <v>477</v>
      </c>
      <c r="K18048" s="18" t="s">
        <v>477</v>
      </c>
    </row>
    <row r="18049">
      <c r="B18049" s="17" t="s">
        <v>477</v>
      </c>
      <c r="K18049" s="18" t="s">
        <v>477</v>
      </c>
    </row>
    <row r="18050">
      <c r="B18050" s="17" t="s">
        <v>477</v>
      </c>
      <c r="K18050" s="18" t="s">
        <v>477</v>
      </c>
    </row>
    <row r="18051">
      <c r="B18051" s="17" t="s">
        <v>477</v>
      </c>
      <c r="K18051" s="18" t="s">
        <v>477</v>
      </c>
    </row>
    <row r="18052">
      <c r="B18052" s="17" t="s">
        <v>477</v>
      </c>
      <c r="K18052" s="18" t="s">
        <v>477</v>
      </c>
    </row>
    <row r="18053">
      <c r="B18053" s="17" t="s">
        <v>477</v>
      </c>
      <c r="K18053" s="18" t="s">
        <v>477</v>
      </c>
    </row>
    <row r="18054">
      <c r="B18054" s="17" t="s">
        <v>477</v>
      </c>
      <c r="K18054" s="18" t="s">
        <v>477</v>
      </c>
    </row>
    <row r="18055">
      <c r="B18055" s="17" t="s">
        <v>477</v>
      </c>
      <c r="K18055" s="18" t="s">
        <v>477</v>
      </c>
    </row>
    <row r="18056">
      <c r="B18056" s="17" t="s">
        <v>477</v>
      </c>
      <c r="K18056" s="18" t="s">
        <v>477</v>
      </c>
    </row>
    <row r="18057">
      <c r="B18057" s="17" t="s">
        <v>477</v>
      </c>
      <c r="K18057" s="18" t="s">
        <v>477</v>
      </c>
    </row>
    <row r="18058">
      <c r="B18058" s="17" t="s">
        <v>477</v>
      </c>
      <c r="K18058" s="18" t="s">
        <v>477</v>
      </c>
    </row>
    <row r="18059">
      <c r="B18059" s="17" t="s">
        <v>477</v>
      </c>
      <c r="K18059" s="18" t="s">
        <v>477</v>
      </c>
    </row>
    <row r="18060">
      <c r="B18060" s="17" t="s">
        <v>477</v>
      </c>
      <c r="K18060" s="18" t="s">
        <v>477</v>
      </c>
    </row>
    <row r="18061">
      <c r="B18061" s="17" t="s">
        <v>477</v>
      </c>
      <c r="K18061" s="18" t="s">
        <v>477</v>
      </c>
    </row>
    <row r="18062">
      <c r="B18062" s="17" t="s">
        <v>477</v>
      </c>
      <c r="K18062" s="18" t="s">
        <v>477</v>
      </c>
    </row>
    <row r="18063">
      <c r="B18063" s="17" t="s">
        <v>477</v>
      </c>
      <c r="K18063" s="18" t="s">
        <v>477</v>
      </c>
    </row>
    <row r="18064">
      <c r="B18064" s="17" t="s">
        <v>477</v>
      </c>
      <c r="K18064" s="18" t="s">
        <v>477</v>
      </c>
    </row>
    <row r="18065">
      <c r="B18065" s="17" t="s">
        <v>477</v>
      </c>
      <c r="K18065" s="18" t="s">
        <v>477</v>
      </c>
    </row>
    <row r="18066">
      <c r="B18066" s="17" t="s">
        <v>477</v>
      </c>
      <c r="K18066" s="18" t="s">
        <v>477</v>
      </c>
    </row>
    <row r="18067">
      <c r="B18067" s="17" t="s">
        <v>477</v>
      </c>
      <c r="K18067" s="18" t="s">
        <v>477</v>
      </c>
    </row>
    <row r="18068">
      <c r="B18068" s="17" t="s">
        <v>477</v>
      </c>
      <c r="K18068" s="18" t="s">
        <v>477</v>
      </c>
    </row>
    <row r="18069">
      <c r="B18069" s="17" t="s">
        <v>477</v>
      </c>
      <c r="K18069" s="18" t="s">
        <v>477</v>
      </c>
    </row>
    <row r="18070">
      <c r="B18070" s="17" t="s">
        <v>477</v>
      </c>
      <c r="K18070" s="18" t="s">
        <v>477</v>
      </c>
    </row>
    <row r="18071">
      <c r="B18071" s="17" t="s">
        <v>477</v>
      </c>
      <c r="K18071" s="18" t="s">
        <v>477</v>
      </c>
    </row>
    <row r="18072">
      <c r="B18072" s="17" t="s">
        <v>477</v>
      </c>
      <c r="K18072" s="18" t="s">
        <v>477</v>
      </c>
    </row>
    <row r="18073">
      <c r="B18073" s="17" t="s">
        <v>477</v>
      </c>
      <c r="K18073" s="18" t="s">
        <v>477</v>
      </c>
    </row>
    <row r="18074">
      <c r="B18074" s="17" t="s">
        <v>477</v>
      </c>
      <c r="K18074" s="18" t="s">
        <v>477</v>
      </c>
    </row>
    <row r="18075">
      <c r="B18075" s="17" t="s">
        <v>477</v>
      </c>
      <c r="K18075" s="18" t="s">
        <v>477</v>
      </c>
    </row>
    <row r="18076">
      <c r="B18076" s="17" t="s">
        <v>477</v>
      </c>
      <c r="K18076" s="18" t="s">
        <v>477</v>
      </c>
    </row>
    <row r="18077">
      <c r="B18077" s="17" t="s">
        <v>477</v>
      </c>
      <c r="K18077" s="18" t="s">
        <v>477</v>
      </c>
    </row>
    <row r="18078">
      <c r="B18078" s="17" t="s">
        <v>477</v>
      </c>
      <c r="K18078" s="18" t="s">
        <v>477</v>
      </c>
    </row>
    <row r="18079">
      <c r="B18079" s="17" t="s">
        <v>477</v>
      </c>
      <c r="K18079" s="18" t="s">
        <v>477</v>
      </c>
    </row>
    <row r="18080">
      <c r="B18080" s="17" t="s">
        <v>477</v>
      </c>
      <c r="K18080" s="18" t="s">
        <v>477</v>
      </c>
    </row>
    <row r="18081">
      <c r="B18081" s="17" t="s">
        <v>477</v>
      </c>
      <c r="K18081" s="18" t="s">
        <v>477</v>
      </c>
    </row>
    <row r="18082">
      <c r="B18082" s="17" t="s">
        <v>477</v>
      </c>
      <c r="K18082" s="18" t="s">
        <v>477</v>
      </c>
    </row>
    <row r="18083">
      <c r="B18083" s="17" t="s">
        <v>477</v>
      </c>
      <c r="K18083" s="18" t="s">
        <v>477</v>
      </c>
    </row>
    <row r="18084">
      <c r="B18084" s="17" t="s">
        <v>477</v>
      </c>
      <c r="K18084" s="18" t="s">
        <v>477</v>
      </c>
    </row>
    <row r="18085">
      <c r="B18085" s="17" t="s">
        <v>477</v>
      </c>
      <c r="K18085" s="18" t="s">
        <v>477</v>
      </c>
    </row>
    <row r="18086">
      <c r="B18086" s="17" t="s">
        <v>477</v>
      </c>
      <c r="K18086" s="18" t="s">
        <v>477</v>
      </c>
    </row>
    <row r="18087">
      <c r="B18087" s="17" t="s">
        <v>477</v>
      </c>
      <c r="K18087" s="18" t="s">
        <v>477</v>
      </c>
    </row>
    <row r="18088">
      <c r="B18088" s="17" t="s">
        <v>477</v>
      </c>
      <c r="K18088" s="18" t="s">
        <v>477</v>
      </c>
    </row>
    <row r="18089">
      <c r="B18089" s="17" t="s">
        <v>477</v>
      </c>
      <c r="K18089" s="18" t="s">
        <v>477</v>
      </c>
    </row>
    <row r="18090">
      <c r="B18090" s="17" t="s">
        <v>477</v>
      </c>
      <c r="K18090" s="18" t="s">
        <v>477</v>
      </c>
    </row>
    <row r="18091">
      <c r="B18091" s="17" t="s">
        <v>477</v>
      </c>
      <c r="K18091" s="18" t="s">
        <v>477</v>
      </c>
    </row>
    <row r="18092">
      <c r="B18092" s="17" t="s">
        <v>477</v>
      </c>
      <c r="K18092" s="18" t="s">
        <v>477</v>
      </c>
    </row>
    <row r="18093">
      <c r="B18093" s="17" t="s">
        <v>477</v>
      </c>
      <c r="K18093" s="18" t="s">
        <v>477</v>
      </c>
    </row>
    <row r="18094">
      <c r="B18094" s="17" t="s">
        <v>477</v>
      </c>
      <c r="K18094" s="18" t="s">
        <v>477</v>
      </c>
    </row>
    <row r="18095">
      <c r="B18095" s="17" t="s">
        <v>477</v>
      </c>
      <c r="K18095" s="18" t="s">
        <v>477</v>
      </c>
    </row>
    <row r="18096">
      <c r="B18096" s="17" t="s">
        <v>477</v>
      </c>
      <c r="K18096" s="18" t="s">
        <v>477</v>
      </c>
    </row>
    <row r="18097">
      <c r="B18097" s="17" t="s">
        <v>477</v>
      </c>
      <c r="K18097" s="18" t="s">
        <v>477</v>
      </c>
    </row>
    <row r="18098">
      <c r="B18098" s="17" t="s">
        <v>477</v>
      </c>
      <c r="K18098" s="18" t="s">
        <v>477</v>
      </c>
    </row>
    <row r="18099">
      <c r="B18099" s="17" t="s">
        <v>477</v>
      </c>
      <c r="K18099" s="18" t="s">
        <v>477</v>
      </c>
    </row>
    <row r="18100">
      <c r="B18100" s="17" t="s">
        <v>477</v>
      </c>
      <c r="K18100" s="18" t="s">
        <v>477</v>
      </c>
    </row>
    <row r="18101">
      <c r="B18101" s="17" t="s">
        <v>477</v>
      </c>
      <c r="K18101" s="18" t="s">
        <v>477</v>
      </c>
    </row>
    <row r="18102">
      <c r="B18102" s="17" t="s">
        <v>477</v>
      </c>
      <c r="K18102" s="18" t="s">
        <v>477</v>
      </c>
    </row>
    <row r="18103">
      <c r="B18103" s="17" t="s">
        <v>477</v>
      </c>
      <c r="K18103" s="18" t="s">
        <v>477</v>
      </c>
    </row>
    <row r="18104">
      <c r="B18104" s="17" t="s">
        <v>477</v>
      </c>
      <c r="K18104" s="18" t="s">
        <v>477</v>
      </c>
    </row>
    <row r="18105">
      <c r="B18105" s="17" t="s">
        <v>477</v>
      </c>
      <c r="K18105" s="18" t="s">
        <v>477</v>
      </c>
    </row>
    <row r="18106">
      <c r="B18106" s="17" t="s">
        <v>477</v>
      </c>
      <c r="K18106" s="18" t="s">
        <v>477</v>
      </c>
    </row>
    <row r="18107">
      <c r="B18107" s="17" t="s">
        <v>477</v>
      </c>
      <c r="K18107" s="18" t="s">
        <v>477</v>
      </c>
    </row>
    <row r="18108">
      <c r="B18108" s="17" t="s">
        <v>477</v>
      </c>
      <c r="K18108" s="18" t="s">
        <v>477</v>
      </c>
    </row>
    <row r="18109">
      <c r="B18109" s="17" t="s">
        <v>477</v>
      </c>
      <c r="K18109" s="18" t="s">
        <v>477</v>
      </c>
    </row>
    <row r="18110">
      <c r="B18110" s="17" t="s">
        <v>477</v>
      </c>
      <c r="K18110" s="18" t="s">
        <v>477</v>
      </c>
    </row>
    <row r="18111">
      <c r="B18111" s="17" t="s">
        <v>477</v>
      </c>
      <c r="K18111" s="18" t="s">
        <v>477</v>
      </c>
    </row>
    <row r="18112">
      <c r="B18112" s="17" t="s">
        <v>477</v>
      </c>
      <c r="K18112" s="18" t="s">
        <v>477</v>
      </c>
    </row>
    <row r="18113">
      <c r="B18113" s="17" t="s">
        <v>477</v>
      </c>
      <c r="K18113" s="18" t="s">
        <v>477</v>
      </c>
    </row>
    <row r="18114">
      <c r="B18114" s="17" t="s">
        <v>477</v>
      </c>
      <c r="K18114" s="18" t="s">
        <v>477</v>
      </c>
    </row>
    <row r="18115">
      <c r="B18115" s="17" t="s">
        <v>477</v>
      </c>
      <c r="K18115" s="18" t="s">
        <v>477</v>
      </c>
    </row>
    <row r="18116">
      <c r="B18116" s="17" t="s">
        <v>477</v>
      </c>
      <c r="K18116" s="18" t="s">
        <v>477</v>
      </c>
    </row>
    <row r="18117">
      <c r="B18117" s="17" t="s">
        <v>477</v>
      </c>
      <c r="K18117" s="18" t="s">
        <v>477</v>
      </c>
    </row>
    <row r="18118">
      <c r="B18118" s="17" t="s">
        <v>477</v>
      </c>
      <c r="K18118" s="18" t="s">
        <v>477</v>
      </c>
    </row>
    <row r="18119">
      <c r="B18119" s="17" t="s">
        <v>477</v>
      </c>
      <c r="K18119" s="18" t="s">
        <v>477</v>
      </c>
    </row>
    <row r="18120">
      <c r="B18120" s="17" t="s">
        <v>477</v>
      </c>
      <c r="K18120" s="18" t="s">
        <v>477</v>
      </c>
    </row>
    <row r="18121">
      <c r="B18121" s="17" t="s">
        <v>477</v>
      </c>
      <c r="K18121" s="18" t="s">
        <v>477</v>
      </c>
    </row>
    <row r="18122">
      <c r="B18122" s="17" t="s">
        <v>477</v>
      </c>
      <c r="K18122" s="18" t="s">
        <v>477</v>
      </c>
    </row>
    <row r="18123">
      <c r="B18123" s="17" t="s">
        <v>477</v>
      </c>
      <c r="K18123" s="18" t="s">
        <v>477</v>
      </c>
    </row>
    <row r="18124">
      <c r="B18124" s="17" t="s">
        <v>477</v>
      </c>
      <c r="K18124" s="18" t="s">
        <v>477</v>
      </c>
    </row>
    <row r="18125">
      <c r="B18125" s="17" t="s">
        <v>477</v>
      </c>
      <c r="K18125" s="18" t="s">
        <v>477</v>
      </c>
    </row>
    <row r="18126">
      <c r="B18126" s="17" t="s">
        <v>477</v>
      </c>
      <c r="K18126" s="18" t="s">
        <v>477</v>
      </c>
    </row>
    <row r="18127">
      <c r="B18127" s="17" t="s">
        <v>477</v>
      </c>
      <c r="K18127" s="18" t="s">
        <v>477</v>
      </c>
    </row>
    <row r="18128">
      <c r="B18128" s="17" t="s">
        <v>477</v>
      </c>
      <c r="K18128" s="18" t="s">
        <v>477</v>
      </c>
    </row>
    <row r="18129">
      <c r="B18129" s="17" t="s">
        <v>477</v>
      </c>
      <c r="K18129" s="18" t="s">
        <v>477</v>
      </c>
    </row>
    <row r="18130">
      <c r="B18130" s="17" t="s">
        <v>477</v>
      </c>
      <c r="K18130" s="18" t="s">
        <v>477</v>
      </c>
    </row>
    <row r="18131">
      <c r="B18131" s="17" t="s">
        <v>477</v>
      </c>
      <c r="K18131" s="18" t="s">
        <v>477</v>
      </c>
    </row>
    <row r="18132">
      <c r="B18132" s="17" t="s">
        <v>477</v>
      </c>
      <c r="K18132" s="18" t="s">
        <v>477</v>
      </c>
    </row>
    <row r="18133">
      <c r="B18133" s="17" t="s">
        <v>477</v>
      </c>
      <c r="K18133" s="18" t="s">
        <v>477</v>
      </c>
    </row>
    <row r="18134">
      <c r="B18134" s="17" t="s">
        <v>477</v>
      </c>
      <c r="K18134" s="18" t="s">
        <v>477</v>
      </c>
    </row>
    <row r="18135">
      <c r="B18135" s="17" t="s">
        <v>477</v>
      </c>
      <c r="K18135" s="18" t="s">
        <v>477</v>
      </c>
    </row>
    <row r="18136">
      <c r="B18136" s="17" t="s">
        <v>477</v>
      </c>
      <c r="K18136" s="18" t="s">
        <v>477</v>
      </c>
    </row>
    <row r="18137">
      <c r="B18137" s="17" t="s">
        <v>477</v>
      </c>
      <c r="K18137" s="18" t="s">
        <v>477</v>
      </c>
    </row>
    <row r="18138">
      <c r="B18138" s="17" t="s">
        <v>477</v>
      </c>
      <c r="K18138" s="18" t="s">
        <v>477</v>
      </c>
    </row>
    <row r="18139">
      <c r="B18139" s="17" t="s">
        <v>477</v>
      </c>
      <c r="K18139" s="18" t="s">
        <v>477</v>
      </c>
    </row>
    <row r="18140">
      <c r="B18140" s="17" t="s">
        <v>477</v>
      </c>
      <c r="K18140" s="18" t="s">
        <v>477</v>
      </c>
    </row>
    <row r="18141">
      <c r="B18141" s="17" t="s">
        <v>477</v>
      </c>
      <c r="K18141" s="18" t="s">
        <v>477</v>
      </c>
    </row>
    <row r="18142">
      <c r="B18142" s="17" t="s">
        <v>477</v>
      </c>
      <c r="K18142" s="18" t="s">
        <v>477</v>
      </c>
    </row>
    <row r="18143">
      <c r="B18143" s="17" t="s">
        <v>477</v>
      </c>
      <c r="K18143" s="18" t="s">
        <v>477</v>
      </c>
    </row>
    <row r="18144">
      <c r="B18144" s="17" t="s">
        <v>477</v>
      </c>
      <c r="K18144" s="18" t="s">
        <v>477</v>
      </c>
    </row>
    <row r="18145">
      <c r="B18145" s="17" t="s">
        <v>477</v>
      </c>
      <c r="K18145" s="18" t="s">
        <v>477</v>
      </c>
    </row>
    <row r="18146">
      <c r="B18146" s="17" t="s">
        <v>477</v>
      </c>
      <c r="K18146" s="18" t="s">
        <v>477</v>
      </c>
    </row>
    <row r="18147">
      <c r="B18147" s="17" t="s">
        <v>477</v>
      </c>
      <c r="K18147" s="18" t="s">
        <v>477</v>
      </c>
    </row>
    <row r="18148">
      <c r="B18148" s="17" t="s">
        <v>477</v>
      </c>
      <c r="K18148" s="18" t="s">
        <v>477</v>
      </c>
    </row>
    <row r="18149">
      <c r="B18149" s="17" t="s">
        <v>477</v>
      </c>
      <c r="K18149" s="18" t="s">
        <v>477</v>
      </c>
    </row>
    <row r="18150">
      <c r="B18150" s="17" t="s">
        <v>477</v>
      </c>
      <c r="K18150" s="18" t="s">
        <v>477</v>
      </c>
    </row>
    <row r="18151">
      <c r="B18151" s="17" t="s">
        <v>477</v>
      </c>
      <c r="K18151" s="18" t="s">
        <v>477</v>
      </c>
    </row>
    <row r="18152">
      <c r="B18152" s="17" t="s">
        <v>477</v>
      </c>
      <c r="K18152" s="18" t="s">
        <v>477</v>
      </c>
    </row>
    <row r="18153">
      <c r="B18153" s="17" t="s">
        <v>477</v>
      </c>
      <c r="K18153" s="18" t="s">
        <v>477</v>
      </c>
    </row>
    <row r="18154">
      <c r="B18154" s="17" t="s">
        <v>477</v>
      </c>
      <c r="K18154" s="18" t="s">
        <v>477</v>
      </c>
    </row>
    <row r="18155">
      <c r="B18155" s="17" t="s">
        <v>477</v>
      </c>
      <c r="K18155" s="18" t="s">
        <v>477</v>
      </c>
    </row>
    <row r="18156">
      <c r="B18156" s="17" t="s">
        <v>477</v>
      </c>
      <c r="K18156" s="18" t="s">
        <v>477</v>
      </c>
    </row>
    <row r="18157">
      <c r="B18157" s="17" t="s">
        <v>477</v>
      </c>
      <c r="K18157" s="18" t="s">
        <v>477</v>
      </c>
    </row>
    <row r="18158">
      <c r="B18158" s="17" t="s">
        <v>477</v>
      </c>
      <c r="K18158" s="18" t="s">
        <v>477</v>
      </c>
    </row>
    <row r="18159">
      <c r="B18159" s="17" t="s">
        <v>477</v>
      </c>
      <c r="K18159" s="18" t="s">
        <v>477</v>
      </c>
    </row>
    <row r="18160">
      <c r="B18160" s="17" t="s">
        <v>477</v>
      </c>
      <c r="K18160" s="18" t="s">
        <v>477</v>
      </c>
    </row>
    <row r="18161">
      <c r="B18161" s="17" t="s">
        <v>477</v>
      </c>
      <c r="K18161" s="18" t="s">
        <v>477</v>
      </c>
    </row>
    <row r="18162">
      <c r="B18162" s="17" t="s">
        <v>477</v>
      </c>
      <c r="K18162" s="18" t="s">
        <v>477</v>
      </c>
    </row>
    <row r="18163">
      <c r="B18163" s="17" t="s">
        <v>477</v>
      </c>
      <c r="K18163" s="18" t="s">
        <v>477</v>
      </c>
    </row>
    <row r="18164">
      <c r="B18164" s="17" t="s">
        <v>477</v>
      </c>
      <c r="K18164" s="18" t="s">
        <v>477</v>
      </c>
    </row>
    <row r="18165">
      <c r="B18165" s="17" t="s">
        <v>477</v>
      </c>
      <c r="K18165" s="18" t="s">
        <v>477</v>
      </c>
    </row>
    <row r="18166">
      <c r="B18166" s="17" t="s">
        <v>477</v>
      </c>
      <c r="K18166" s="18" t="s">
        <v>477</v>
      </c>
    </row>
    <row r="18167">
      <c r="B18167" s="17" t="s">
        <v>477</v>
      </c>
      <c r="K18167" s="18" t="s">
        <v>477</v>
      </c>
    </row>
    <row r="18168">
      <c r="B18168" s="17" t="s">
        <v>477</v>
      </c>
      <c r="K18168" s="18" t="s">
        <v>477</v>
      </c>
    </row>
    <row r="18169">
      <c r="B18169" s="17" t="s">
        <v>477</v>
      </c>
      <c r="K18169" s="18" t="s">
        <v>477</v>
      </c>
    </row>
    <row r="18170">
      <c r="B18170" s="17" t="s">
        <v>477</v>
      </c>
      <c r="K18170" s="18" t="s">
        <v>477</v>
      </c>
    </row>
    <row r="18171">
      <c r="B18171" s="17" t="s">
        <v>477</v>
      </c>
      <c r="K18171" s="18" t="s">
        <v>477</v>
      </c>
    </row>
    <row r="18172">
      <c r="B18172" s="17" t="s">
        <v>477</v>
      </c>
      <c r="K18172" s="18" t="s">
        <v>477</v>
      </c>
    </row>
    <row r="18173">
      <c r="B18173" s="17" t="s">
        <v>477</v>
      </c>
      <c r="K18173" s="18" t="s">
        <v>477</v>
      </c>
    </row>
    <row r="18174">
      <c r="B18174" s="17" t="s">
        <v>477</v>
      </c>
      <c r="K18174" s="18" t="s">
        <v>477</v>
      </c>
    </row>
    <row r="18175">
      <c r="B18175" s="17" t="s">
        <v>477</v>
      </c>
      <c r="K18175" s="18" t="s">
        <v>477</v>
      </c>
    </row>
    <row r="18176">
      <c r="B18176" s="17" t="s">
        <v>477</v>
      </c>
      <c r="K18176" s="18" t="s">
        <v>477</v>
      </c>
    </row>
    <row r="18177">
      <c r="B18177" s="17" t="s">
        <v>477</v>
      </c>
      <c r="K18177" s="18" t="s">
        <v>477</v>
      </c>
    </row>
    <row r="18178">
      <c r="B18178" s="17" t="s">
        <v>477</v>
      </c>
      <c r="K18178" s="18" t="s">
        <v>477</v>
      </c>
    </row>
    <row r="18179">
      <c r="B18179" s="17" t="s">
        <v>477</v>
      </c>
      <c r="K18179" s="18" t="s">
        <v>477</v>
      </c>
    </row>
    <row r="18180">
      <c r="B18180" s="17" t="s">
        <v>477</v>
      </c>
      <c r="K18180" s="18" t="s">
        <v>477</v>
      </c>
    </row>
    <row r="18181">
      <c r="B18181" s="17" t="s">
        <v>477</v>
      </c>
      <c r="K18181" s="18" t="s">
        <v>477</v>
      </c>
    </row>
    <row r="18182">
      <c r="B18182" s="17" t="s">
        <v>477</v>
      </c>
      <c r="K18182" s="18" t="s">
        <v>477</v>
      </c>
    </row>
    <row r="18183">
      <c r="B18183" s="17" t="s">
        <v>477</v>
      </c>
      <c r="K18183" s="18" t="s">
        <v>477</v>
      </c>
    </row>
    <row r="18184">
      <c r="B18184" s="17" t="s">
        <v>477</v>
      </c>
      <c r="K18184" s="18" t="s">
        <v>477</v>
      </c>
    </row>
    <row r="18185">
      <c r="B18185" s="17" t="s">
        <v>477</v>
      </c>
      <c r="K18185" s="18" t="s">
        <v>477</v>
      </c>
    </row>
    <row r="18186">
      <c r="B18186" s="17" t="s">
        <v>477</v>
      </c>
      <c r="K18186" s="18" t="s">
        <v>477</v>
      </c>
    </row>
    <row r="18187">
      <c r="B18187" s="17" t="s">
        <v>477</v>
      </c>
      <c r="K18187" s="18" t="s">
        <v>477</v>
      </c>
    </row>
    <row r="18188">
      <c r="B18188" s="17" t="s">
        <v>477</v>
      </c>
      <c r="K18188" s="18" t="s">
        <v>477</v>
      </c>
    </row>
    <row r="18189">
      <c r="B18189" s="17" t="s">
        <v>477</v>
      </c>
      <c r="K18189" s="18" t="s">
        <v>477</v>
      </c>
    </row>
    <row r="18190">
      <c r="B18190" s="17" t="s">
        <v>477</v>
      </c>
      <c r="K18190" s="18" t="s">
        <v>477</v>
      </c>
    </row>
    <row r="18191">
      <c r="B18191" s="17" t="s">
        <v>477</v>
      </c>
      <c r="K18191" s="18" t="s">
        <v>477</v>
      </c>
    </row>
    <row r="18192">
      <c r="B18192" s="17" t="s">
        <v>477</v>
      </c>
      <c r="K18192" s="18" t="s">
        <v>477</v>
      </c>
    </row>
    <row r="18193">
      <c r="B18193" s="17" t="s">
        <v>477</v>
      </c>
      <c r="K18193" s="18" t="s">
        <v>477</v>
      </c>
    </row>
    <row r="18194">
      <c r="B18194" s="17" t="s">
        <v>477</v>
      </c>
      <c r="K18194" s="18" t="s">
        <v>477</v>
      </c>
    </row>
    <row r="18195">
      <c r="B18195" s="17" t="s">
        <v>477</v>
      </c>
      <c r="K18195" s="18" t="s">
        <v>477</v>
      </c>
    </row>
    <row r="18196">
      <c r="B18196" s="17" t="s">
        <v>477</v>
      </c>
      <c r="K18196" s="18" t="s">
        <v>477</v>
      </c>
    </row>
    <row r="18197">
      <c r="B18197" s="17" t="s">
        <v>477</v>
      </c>
      <c r="K18197" s="18" t="s">
        <v>477</v>
      </c>
    </row>
    <row r="18198">
      <c r="B18198" s="17" t="s">
        <v>477</v>
      </c>
      <c r="K18198" s="18" t="s">
        <v>477</v>
      </c>
    </row>
    <row r="18199">
      <c r="B18199" s="17" t="s">
        <v>477</v>
      </c>
      <c r="K18199" s="18" t="s">
        <v>477</v>
      </c>
    </row>
    <row r="18200">
      <c r="B18200" s="17" t="s">
        <v>477</v>
      </c>
      <c r="K18200" s="18" t="s">
        <v>477</v>
      </c>
    </row>
    <row r="18201">
      <c r="B18201" s="17" t="s">
        <v>477</v>
      </c>
      <c r="K18201" s="18" t="s">
        <v>477</v>
      </c>
    </row>
    <row r="18202">
      <c r="B18202" s="17" t="s">
        <v>477</v>
      </c>
      <c r="K18202" s="18" t="s">
        <v>477</v>
      </c>
    </row>
    <row r="18203">
      <c r="B18203" s="17" t="s">
        <v>477</v>
      </c>
      <c r="K18203" s="18" t="s">
        <v>477</v>
      </c>
    </row>
    <row r="18204">
      <c r="B18204" s="17" t="s">
        <v>477</v>
      </c>
      <c r="K18204" s="18" t="s">
        <v>477</v>
      </c>
    </row>
    <row r="18205">
      <c r="B18205" s="17" t="s">
        <v>477</v>
      </c>
      <c r="K18205" s="18" t="s">
        <v>477</v>
      </c>
    </row>
    <row r="18206">
      <c r="B18206" s="17" t="s">
        <v>477</v>
      </c>
      <c r="K18206" s="18" t="s">
        <v>477</v>
      </c>
    </row>
    <row r="18207">
      <c r="B18207" s="17" t="s">
        <v>477</v>
      </c>
      <c r="K18207" s="18" t="s">
        <v>477</v>
      </c>
    </row>
    <row r="18208">
      <c r="B18208" s="17" t="s">
        <v>477</v>
      </c>
      <c r="K18208" s="18" t="s">
        <v>477</v>
      </c>
    </row>
    <row r="18209">
      <c r="B18209" s="17" t="s">
        <v>477</v>
      </c>
      <c r="K18209" s="18" t="s">
        <v>477</v>
      </c>
    </row>
    <row r="18210">
      <c r="B18210" s="17" t="s">
        <v>477</v>
      </c>
      <c r="K18210" s="18" t="s">
        <v>477</v>
      </c>
    </row>
    <row r="18211">
      <c r="B18211" s="17" t="s">
        <v>477</v>
      </c>
      <c r="K18211" s="18" t="s">
        <v>477</v>
      </c>
    </row>
    <row r="18212">
      <c r="B18212" s="17" t="s">
        <v>477</v>
      </c>
      <c r="K18212" s="18" t="s">
        <v>477</v>
      </c>
    </row>
    <row r="18213">
      <c r="B18213" s="17" t="s">
        <v>477</v>
      </c>
      <c r="K18213" s="18" t="s">
        <v>477</v>
      </c>
    </row>
    <row r="18214">
      <c r="B18214" s="17" t="s">
        <v>477</v>
      </c>
      <c r="K18214" s="18" t="s">
        <v>477</v>
      </c>
    </row>
    <row r="18215">
      <c r="B18215" s="17" t="s">
        <v>477</v>
      </c>
      <c r="K18215" s="18" t="s">
        <v>477</v>
      </c>
    </row>
    <row r="18216">
      <c r="B18216" s="17" t="s">
        <v>477</v>
      </c>
      <c r="K18216" s="18" t="s">
        <v>477</v>
      </c>
    </row>
    <row r="18217">
      <c r="B18217" s="17" t="s">
        <v>477</v>
      </c>
      <c r="K18217" s="18" t="s">
        <v>477</v>
      </c>
    </row>
    <row r="18218">
      <c r="B18218" s="17" t="s">
        <v>477</v>
      </c>
      <c r="K18218" s="18" t="s">
        <v>477</v>
      </c>
    </row>
    <row r="18219">
      <c r="B18219" s="17" t="s">
        <v>477</v>
      </c>
      <c r="K18219" s="18" t="s">
        <v>477</v>
      </c>
    </row>
    <row r="18220">
      <c r="B18220" s="17" t="s">
        <v>477</v>
      </c>
      <c r="K18220" s="18" t="s">
        <v>477</v>
      </c>
    </row>
    <row r="18221">
      <c r="B18221" s="17" t="s">
        <v>477</v>
      </c>
      <c r="K18221" s="18" t="s">
        <v>477</v>
      </c>
    </row>
    <row r="18222">
      <c r="B18222" s="17" t="s">
        <v>477</v>
      </c>
      <c r="K18222" s="18" t="s">
        <v>477</v>
      </c>
    </row>
    <row r="18223">
      <c r="B18223" s="17" t="s">
        <v>477</v>
      </c>
      <c r="K18223" s="18" t="s">
        <v>477</v>
      </c>
    </row>
    <row r="18224">
      <c r="B18224" s="17" t="s">
        <v>477</v>
      </c>
      <c r="K18224" s="18" t="s">
        <v>477</v>
      </c>
    </row>
    <row r="18225">
      <c r="B18225" s="17" t="s">
        <v>477</v>
      </c>
      <c r="K18225" s="18" t="s">
        <v>477</v>
      </c>
    </row>
    <row r="18226">
      <c r="B18226" s="17" t="s">
        <v>477</v>
      </c>
      <c r="K18226" s="18" t="s">
        <v>477</v>
      </c>
    </row>
    <row r="18227">
      <c r="B18227" s="17" t="s">
        <v>477</v>
      </c>
      <c r="K18227" s="18" t="s">
        <v>477</v>
      </c>
    </row>
    <row r="18228">
      <c r="B18228" s="17" t="s">
        <v>477</v>
      </c>
      <c r="K18228" s="18" t="s">
        <v>477</v>
      </c>
    </row>
    <row r="18229">
      <c r="B18229" s="17" t="s">
        <v>477</v>
      </c>
      <c r="K18229" s="18" t="s">
        <v>477</v>
      </c>
    </row>
    <row r="18230">
      <c r="B18230" s="17" t="s">
        <v>477</v>
      </c>
      <c r="K18230" s="18" t="s">
        <v>477</v>
      </c>
    </row>
    <row r="18231">
      <c r="B18231" s="17" t="s">
        <v>477</v>
      </c>
      <c r="K18231" s="18" t="s">
        <v>477</v>
      </c>
    </row>
    <row r="18232">
      <c r="B18232" s="17" t="s">
        <v>477</v>
      </c>
      <c r="K18232" s="18" t="s">
        <v>477</v>
      </c>
    </row>
    <row r="18233">
      <c r="B18233" s="17" t="s">
        <v>477</v>
      </c>
      <c r="K18233" s="18" t="s">
        <v>477</v>
      </c>
    </row>
    <row r="18234">
      <c r="B18234" s="17" t="s">
        <v>477</v>
      </c>
      <c r="K18234" s="18" t="s">
        <v>477</v>
      </c>
    </row>
    <row r="18235">
      <c r="B18235" s="17" t="s">
        <v>477</v>
      </c>
      <c r="K18235" s="18" t="s">
        <v>477</v>
      </c>
    </row>
    <row r="18236">
      <c r="B18236" s="17" t="s">
        <v>477</v>
      </c>
      <c r="K18236" s="18" t="s">
        <v>477</v>
      </c>
    </row>
    <row r="18237">
      <c r="B18237" s="17" t="s">
        <v>477</v>
      </c>
      <c r="K18237" s="18" t="s">
        <v>477</v>
      </c>
    </row>
    <row r="18238">
      <c r="B18238" s="17" t="s">
        <v>477</v>
      </c>
      <c r="K18238" s="18" t="s">
        <v>477</v>
      </c>
    </row>
    <row r="18239">
      <c r="B18239" s="17" t="s">
        <v>477</v>
      </c>
      <c r="K18239" s="18" t="s">
        <v>477</v>
      </c>
    </row>
    <row r="18240">
      <c r="B18240" s="17" t="s">
        <v>477</v>
      </c>
      <c r="K18240" s="18" t="s">
        <v>477</v>
      </c>
    </row>
    <row r="18241">
      <c r="B18241" s="17" t="s">
        <v>477</v>
      </c>
      <c r="K18241" s="18" t="s">
        <v>477</v>
      </c>
    </row>
    <row r="18242">
      <c r="B18242" s="17" t="s">
        <v>477</v>
      </c>
      <c r="K18242" s="18" t="s">
        <v>477</v>
      </c>
    </row>
    <row r="18243">
      <c r="B18243" s="17" t="s">
        <v>477</v>
      </c>
      <c r="K18243" s="18" t="s">
        <v>477</v>
      </c>
    </row>
    <row r="18244">
      <c r="B18244" s="17" t="s">
        <v>477</v>
      </c>
      <c r="K18244" s="18" t="s">
        <v>477</v>
      </c>
    </row>
    <row r="18245">
      <c r="B18245" s="17" t="s">
        <v>477</v>
      </c>
      <c r="K18245" s="18" t="s">
        <v>477</v>
      </c>
    </row>
    <row r="18246">
      <c r="B18246" s="17" t="s">
        <v>477</v>
      </c>
      <c r="K18246" s="18" t="s">
        <v>477</v>
      </c>
    </row>
    <row r="18247">
      <c r="B18247" s="17" t="s">
        <v>477</v>
      </c>
      <c r="K18247" s="18" t="s">
        <v>477</v>
      </c>
    </row>
    <row r="18248">
      <c r="B18248" s="17" t="s">
        <v>477</v>
      </c>
      <c r="K18248" s="18" t="s">
        <v>477</v>
      </c>
    </row>
    <row r="18249">
      <c r="B18249" s="17" t="s">
        <v>477</v>
      </c>
      <c r="K18249" s="18" t="s">
        <v>477</v>
      </c>
    </row>
    <row r="18250">
      <c r="B18250" s="17" t="s">
        <v>477</v>
      </c>
      <c r="K18250" s="18" t="s">
        <v>477</v>
      </c>
    </row>
    <row r="18251">
      <c r="B18251" s="17" t="s">
        <v>477</v>
      </c>
      <c r="K18251" s="18" t="s">
        <v>477</v>
      </c>
    </row>
    <row r="18252">
      <c r="B18252" s="17" t="s">
        <v>477</v>
      </c>
      <c r="K18252" s="18" t="s">
        <v>477</v>
      </c>
    </row>
    <row r="18253">
      <c r="B18253" s="17" t="s">
        <v>477</v>
      </c>
      <c r="K18253" s="18" t="s">
        <v>477</v>
      </c>
    </row>
    <row r="18254">
      <c r="B18254" s="17" t="s">
        <v>477</v>
      </c>
      <c r="K18254" s="18" t="s">
        <v>477</v>
      </c>
    </row>
    <row r="18255">
      <c r="B18255" s="17" t="s">
        <v>477</v>
      </c>
      <c r="K18255" s="18" t="s">
        <v>477</v>
      </c>
    </row>
    <row r="18256">
      <c r="B18256" s="17" t="s">
        <v>477</v>
      </c>
      <c r="K18256" s="18" t="s">
        <v>477</v>
      </c>
    </row>
    <row r="18257">
      <c r="B18257" s="17" t="s">
        <v>477</v>
      </c>
      <c r="K18257" s="18" t="s">
        <v>477</v>
      </c>
    </row>
    <row r="18258">
      <c r="B18258" s="17" t="s">
        <v>477</v>
      </c>
      <c r="K18258" s="18" t="s">
        <v>477</v>
      </c>
    </row>
    <row r="18259">
      <c r="B18259" s="17" t="s">
        <v>477</v>
      </c>
      <c r="K18259" s="18" t="s">
        <v>477</v>
      </c>
    </row>
    <row r="18260">
      <c r="B18260" s="17" t="s">
        <v>477</v>
      </c>
      <c r="K18260" s="18" t="s">
        <v>477</v>
      </c>
    </row>
    <row r="18261">
      <c r="B18261" s="17" t="s">
        <v>477</v>
      </c>
      <c r="K18261" s="18" t="s">
        <v>477</v>
      </c>
    </row>
    <row r="18262">
      <c r="B18262" s="17" t="s">
        <v>477</v>
      </c>
      <c r="K18262" s="18" t="s">
        <v>477</v>
      </c>
    </row>
    <row r="18263">
      <c r="B18263" s="17" t="s">
        <v>477</v>
      </c>
      <c r="K18263" s="18" t="s">
        <v>477</v>
      </c>
    </row>
    <row r="18264">
      <c r="B18264" s="17" t="s">
        <v>477</v>
      </c>
      <c r="K18264" s="18" t="s">
        <v>477</v>
      </c>
    </row>
    <row r="18265">
      <c r="B18265" s="17" t="s">
        <v>477</v>
      </c>
      <c r="K18265" s="18" t="s">
        <v>477</v>
      </c>
    </row>
    <row r="18266">
      <c r="B18266" s="17" t="s">
        <v>477</v>
      </c>
      <c r="K18266" s="18" t="s">
        <v>477</v>
      </c>
    </row>
    <row r="18267">
      <c r="B18267" s="17" t="s">
        <v>477</v>
      </c>
      <c r="K18267" s="18" t="s">
        <v>477</v>
      </c>
    </row>
    <row r="18268">
      <c r="B18268" s="17" t="s">
        <v>477</v>
      </c>
      <c r="K18268" s="18" t="s">
        <v>477</v>
      </c>
    </row>
    <row r="18269">
      <c r="B18269" s="17" t="s">
        <v>477</v>
      </c>
      <c r="K18269" s="18" t="s">
        <v>477</v>
      </c>
    </row>
    <row r="18270">
      <c r="B18270" s="17" t="s">
        <v>477</v>
      </c>
      <c r="K18270" s="18" t="s">
        <v>477</v>
      </c>
    </row>
    <row r="18271">
      <c r="B18271" s="17" t="s">
        <v>477</v>
      </c>
      <c r="K18271" s="18" t="s">
        <v>477</v>
      </c>
    </row>
    <row r="18272">
      <c r="B18272" s="17" t="s">
        <v>477</v>
      </c>
      <c r="K18272" s="18" t="s">
        <v>477</v>
      </c>
    </row>
    <row r="18273">
      <c r="B18273" s="17" t="s">
        <v>477</v>
      </c>
      <c r="K18273" s="18" t="s">
        <v>477</v>
      </c>
    </row>
    <row r="18274">
      <c r="B18274" s="17" t="s">
        <v>477</v>
      </c>
      <c r="K18274" s="18" t="s">
        <v>477</v>
      </c>
    </row>
    <row r="18275">
      <c r="B18275" s="17" t="s">
        <v>477</v>
      </c>
      <c r="K18275" s="18" t="s">
        <v>477</v>
      </c>
    </row>
    <row r="18276">
      <c r="B18276" s="17" t="s">
        <v>477</v>
      </c>
      <c r="K18276" s="18" t="s">
        <v>477</v>
      </c>
    </row>
    <row r="18277">
      <c r="B18277" s="17" t="s">
        <v>477</v>
      </c>
      <c r="K18277" s="18" t="s">
        <v>477</v>
      </c>
    </row>
    <row r="18278">
      <c r="B18278" s="17" t="s">
        <v>477</v>
      </c>
      <c r="K18278" s="18" t="s">
        <v>477</v>
      </c>
    </row>
    <row r="18279">
      <c r="B18279" s="17" t="s">
        <v>477</v>
      </c>
      <c r="K18279" s="18" t="s">
        <v>477</v>
      </c>
    </row>
    <row r="18280">
      <c r="B18280" s="17" t="s">
        <v>477</v>
      </c>
      <c r="K18280" s="18" t="s">
        <v>477</v>
      </c>
    </row>
    <row r="18281">
      <c r="B18281" s="17" t="s">
        <v>477</v>
      </c>
      <c r="K18281" s="18" t="s">
        <v>477</v>
      </c>
    </row>
    <row r="18282">
      <c r="B18282" s="17" t="s">
        <v>477</v>
      </c>
      <c r="K18282" s="18" t="s">
        <v>477</v>
      </c>
    </row>
    <row r="18283">
      <c r="B18283" s="17" t="s">
        <v>477</v>
      </c>
      <c r="K18283" s="18" t="s">
        <v>477</v>
      </c>
    </row>
    <row r="18284">
      <c r="B18284" s="17" t="s">
        <v>477</v>
      </c>
      <c r="K18284" s="18" t="s">
        <v>477</v>
      </c>
    </row>
    <row r="18285">
      <c r="B18285" s="17" t="s">
        <v>477</v>
      </c>
      <c r="K18285" s="18" t="s">
        <v>477</v>
      </c>
    </row>
    <row r="18286">
      <c r="B18286" s="17" t="s">
        <v>477</v>
      </c>
      <c r="K18286" s="18" t="s">
        <v>477</v>
      </c>
    </row>
    <row r="18287">
      <c r="B18287" s="17" t="s">
        <v>477</v>
      </c>
      <c r="K18287" s="18" t="s">
        <v>477</v>
      </c>
    </row>
    <row r="18288">
      <c r="B18288" s="17" t="s">
        <v>477</v>
      </c>
      <c r="K18288" s="18" t="s">
        <v>477</v>
      </c>
    </row>
    <row r="18289">
      <c r="B18289" s="17" t="s">
        <v>477</v>
      </c>
      <c r="K18289" s="18" t="s">
        <v>477</v>
      </c>
    </row>
    <row r="18290">
      <c r="B18290" s="17" t="s">
        <v>477</v>
      </c>
      <c r="K18290" s="18" t="s">
        <v>477</v>
      </c>
    </row>
    <row r="18291">
      <c r="B18291" s="17" t="s">
        <v>477</v>
      </c>
      <c r="K18291" s="18" t="s">
        <v>477</v>
      </c>
    </row>
    <row r="18292">
      <c r="B18292" s="17" t="s">
        <v>477</v>
      </c>
      <c r="K18292" s="18" t="s">
        <v>477</v>
      </c>
    </row>
    <row r="18293">
      <c r="B18293" s="17" t="s">
        <v>477</v>
      </c>
      <c r="K18293" s="18" t="s">
        <v>477</v>
      </c>
    </row>
    <row r="18294">
      <c r="B18294" s="17" t="s">
        <v>477</v>
      </c>
      <c r="K18294" s="18" t="s">
        <v>477</v>
      </c>
    </row>
    <row r="18295">
      <c r="B18295" s="17" t="s">
        <v>477</v>
      </c>
      <c r="K18295" s="18" t="s">
        <v>477</v>
      </c>
    </row>
    <row r="18296">
      <c r="B18296" s="17" t="s">
        <v>477</v>
      </c>
      <c r="K18296" s="18" t="s">
        <v>477</v>
      </c>
    </row>
    <row r="18297">
      <c r="B18297" s="17" t="s">
        <v>477</v>
      </c>
      <c r="K18297" s="18" t="s">
        <v>477</v>
      </c>
    </row>
    <row r="18298">
      <c r="B18298" s="17" t="s">
        <v>477</v>
      </c>
      <c r="K18298" s="18" t="s">
        <v>477</v>
      </c>
    </row>
    <row r="18299">
      <c r="B18299" s="17" t="s">
        <v>477</v>
      </c>
      <c r="K18299" s="18" t="s">
        <v>477</v>
      </c>
    </row>
    <row r="18300">
      <c r="B18300" s="17" t="s">
        <v>477</v>
      </c>
      <c r="K18300" s="18" t="s">
        <v>477</v>
      </c>
    </row>
    <row r="18301">
      <c r="B18301" s="17" t="s">
        <v>477</v>
      </c>
      <c r="K18301" s="18" t="s">
        <v>477</v>
      </c>
    </row>
    <row r="18302">
      <c r="B18302" s="17" t="s">
        <v>477</v>
      </c>
      <c r="K18302" s="18" t="s">
        <v>477</v>
      </c>
    </row>
    <row r="18303">
      <c r="B18303" s="17" t="s">
        <v>477</v>
      </c>
      <c r="K18303" s="18" t="s">
        <v>477</v>
      </c>
    </row>
    <row r="18304">
      <c r="B18304" s="17" t="s">
        <v>477</v>
      </c>
      <c r="K18304" s="18" t="s">
        <v>477</v>
      </c>
    </row>
    <row r="18305">
      <c r="B18305" s="17" t="s">
        <v>477</v>
      </c>
      <c r="K18305" s="18" t="s">
        <v>477</v>
      </c>
    </row>
    <row r="18306">
      <c r="B18306" s="17" t="s">
        <v>477</v>
      </c>
      <c r="K18306" s="18" t="s">
        <v>477</v>
      </c>
    </row>
    <row r="18307">
      <c r="B18307" s="17" t="s">
        <v>477</v>
      </c>
      <c r="K18307" s="18" t="s">
        <v>477</v>
      </c>
    </row>
    <row r="18308">
      <c r="B18308" s="17" t="s">
        <v>477</v>
      </c>
      <c r="K18308" s="18" t="s">
        <v>477</v>
      </c>
    </row>
    <row r="18309">
      <c r="B18309" s="17" t="s">
        <v>477</v>
      </c>
      <c r="K18309" s="18" t="s">
        <v>477</v>
      </c>
    </row>
    <row r="18310">
      <c r="B18310" s="17" t="s">
        <v>477</v>
      </c>
      <c r="K18310" s="18" t="s">
        <v>477</v>
      </c>
    </row>
    <row r="18311">
      <c r="B18311" s="17" t="s">
        <v>477</v>
      </c>
      <c r="K18311" s="18" t="s">
        <v>477</v>
      </c>
    </row>
    <row r="18312">
      <c r="B18312" s="17" t="s">
        <v>477</v>
      </c>
      <c r="K18312" s="18" t="s">
        <v>477</v>
      </c>
    </row>
    <row r="18313">
      <c r="B18313" s="17" t="s">
        <v>477</v>
      </c>
      <c r="K18313" s="18" t="s">
        <v>477</v>
      </c>
    </row>
    <row r="18314">
      <c r="B18314" s="17" t="s">
        <v>477</v>
      </c>
      <c r="K18314" s="18" t="s">
        <v>477</v>
      </c>
    </row>
    <row r="18315">
      <c r="B18315" s="17" t="s">
        <v>477</v>
      </c>
      <c r="K18315" s="18" t="s">
        <v>477</v>
      </c>
    </row>
    <row r="18316">
      <c r="B18316" s="17" t="s">
        <v>477</v>
      </c>
      <c r="K18316" s="18" t="s">
        <v>477</v>
      </c>
    </row>
    <row r="18317">
      <c r="B18317" s="17" t="s">
        <v>477</v>
      </c>
      <c r="K18317" s="18" t="s">
        <v>477</v>
      </c>
    </row>
    <row r="18318">
      <c r="B18318" s="17" t="s">
        <v>477</v>
      </c>
      <c r="K18318" s="18" t="s">
        <v>477</v>
      </c>
    </row>
    <row r="18319">
      <c r="B18319" s="17" t="s">
        <v>477</v>
      </c>
      <c r="K18319" s="18" t="s">
        <v>477</v>
      </c>
    </row>
    <row r="18320">
      <c r="B18320" s="17" t="s">
        <v>477</v>
      </c>
      <c r="K18320" s="18" t="s">
        <v>477</v>
      </c>
    </row>
    <row r="18321">
      <c r="B18321" s="17" t="s">
        <v>477</v>
      </c>
      <c r="K18321" s="18" t="s">
        <v>477</v>
      </c>
    </row>
    <row r="18322">
      <c r="B18322" s="17" t="s">
        <v>477</v>
      </c>
      <c r="K18322" s="18" t="s">
        <v>477</v>
      </c>
    </row>
    <row r="18323">
      <c r="B18323" s="17" t="s">
        <v>477</v>
      </c>
      <c r="K18323" s="18" t="s">
        <v>477</v>
      </c>
    </row>
    <row r="18324">
      <c r="B18324" s="17" t="s">
        <v>477</v>
      </c>
      <c r="K18324" s="18" t="s">
        <v>477</v>
      </c>
    </row>
    <row r="18325">
      <c r="B18325" s="17" t="s">
        <v>477</v>
      </c>
      <c r="K18325" s="18" t="s">
        <v>477</v>
      </c>
    </row>
    <row r="18326">
      <c r="B18326" s="17" t="s">
        <v>477</v>
      </c>
      <c r="K18326" s="18" t="s">
        <v>477</v>
      </c>
    </row>
    <row r="18327">
      <c r="B18327" s="17" t="s">
        <v>477</v>
      </c>
      <c r="K18327" s="18" t="s">
        <v>477</v>
      </c>
    </row>
    <row r="18328">
      <c r="B18328" s="17" t="s">
        <v>477</v>
      </c>
      <c r="K18328" s="18" t="s">
        <v>477</v>
      </c>
    </row>
    <row r="18329">
      <c r="B18329" s="17" t="s">
        <v>477</v>
      </c>
      <c r="K18329" s="18" t="s">
        <v>477</v>
      </c>
    </row>
    <row r="18330">
      <c r="B18330" s="17" t="s">
        <v>477</v>
      </c>
      <c r="K18330" s="18" t="s">
        <v>477</v>
      </c>
    </row>
    <row r="18331">
      <c r="B18331" s="17" t="s">
        <v>477</v>
      </c>
      <c r="K18331" s="18" t="s">
        <v>477</v>
      </c>
    </row>
    <row r="18332">
      <c r="B18332" s="17" t="s">
        <v>477</v>
      </c>
      <c r="K18332" s="18" t="s">
        <v>477</v>
      </c>
    </row>
    <row r="18333">
      <c r="B18333" s="17" t="s">
        <v>477</v>
      </c>
      <c r="K18333" s="18" t="s">
        <v>477</v>
      </c>
    </row>
    <row r="18334">
      <c r="B18334" s="17" t="s">
        <v>477</v>
      </c>
      <c r="K18334" s="18" t="s">
        <v>477</v>
      </c>
    </row>
    <row r="18335">
      <c r="B18335" s="17" t="s">
        <v>477</v>
      </c>
      <c r="K18335" s="18" t="s">
        <v>477</v>
      </c>
    </row>
    <row r="18336">
      <c r="B18336" s="17" t="s">
        <v>477</v>
      </c>
      <c r="K18336" s="18" t="s">
        <v>477</v>
      </c>
    </row>
    <row r="18337">
      <c r="B18337" s="17" t="s">
        <v>477</v>
      </c>
      <c r="K18337" s="18" t="s">
        <v>477</v>
      </c>
    </row>
    <row r="18338">
      <c r="B18338" s="17" t="s">
        <v>477</v>
      </c>
      <c r="K18338" s="18" t="s">
        <v>477</v>
      </c>
    </row>
    <row r="18339">
      <c r="B18339" s="17" t="s">
        <v>477</v>
      </c>
      <c r="K18339" s="18" t="s">
        <v>477</v>
      </c>
    </row>
    <row r="18340">
      <c r="B18340" s="17" t="s">
        <v>477</v>
      </c>
      <c r="K18340" s="18" t="s">
        <v>477</v>
      </c>
    </row>
    <row r="18341">
      <c r="B18341" s="17" t="s">
        <v>477</v>
      </c>
      <c r="K18341" s="18" t="s">
        <v>477</v>
      </c>
    </row>
    <row r="18342">
      <c r="B18342" s="17" t="s">
        <v>477</v>
      </c>
      <c r="K18342" s="18" t="s">
        <v>477</v>
      </c>
    </row>
    <row r="18343">
      <c r="B18343" s="17" t="s">
        <v>477</v>
      </c>
      <c r="K18343" s="18" t="s">
        <v>477</v>
      </c>
    </row>
    <row r="18344">
      <c r="B18344" s="17" t="s">
        <v>477</v>
      </c>
      <c r="K18344" s="18" t="s">
        <v>477</v>
      </c>
    </row>
    <row r="18345">
      <c r="B18345" s="17" t="s">
        <v>477</v>
      </c>
      <c r="K18345" s="18" t="s">
        <v>477</v>
      </c>
    </row>
    <row r="18346">
      <c r="B18346" s="17" t="s">
        <v>477</v>
      </c>
      <c r="K18346" s="18" t="s">
        <v>477</v>
      </c>
    </row>
    <row r="18347">
      <c r="B18347" s="17" t="s">
        <v>477</v>
      </c>
      <c r="K18347" s="18" t="s">
        <v>477</v>
      </c>
    </row>
    <row r="18348">
      <c r="B18348" s="17" t="s">
        <v>477</v>
      </c>
      <c r="K18348" s="18" t="s">
        <v>477</v>
      </c>
    </row>
    <row r="18349">
      <c r="B18349" s="17" t="s">
        <v>477</v>
      </c>
      <c r="K18349" s="18" t="s">
        <v>477</v>
      </c>
    </row>
    <row r="18350">
      <c r="B18350" s="17" t="s">
        <v>477</v>
      </c>
      <c r="K18350" s="18" t="s">
        <v>477</v>
      </c>
    </row>
    <row r="18351">
      <c r="B18351" s="17" t="s">
        <v>477</v>
      </c>
      <c r="K18351" s="18" t="s">
        <v>477</v>
      </c>
    </row>
    <row r="18352">
      <c r="B18352" s="17" t="s">
        <v>477</v>
      </c>
      <c r="K18352" s="18" t="s">
        <v>477</v>
      </c>
    </row>
    <row r="18353">
      <c r="B18353" s="17" t="s">
        <v>477</v>
      </c>
      <c r="K18353" s="18" t="s">
        <v>477</v>
      </c>
    </row>
    <row r="18354">
      <c r="B18354" s="17" t="s">
        <v>477</v>
      </c>
      <c r="K18354" s="18" t="s">
        <v>477</v>
      </c>
    </row>
    <row r="18355">
      <c r="B18355" s="17" t="s">
        <v>477</v>
      </c>
      <c r="K18355" s="18" t="s">
        <v>477</v>
      </c>
    </row>
    <row r="18356">
      <c r="B18356" s="17" t="s">
        <v>477</v>
      </c>
      <c r="K18356" s="18" t="s">
        <v>477</v>
      </c>
    </row>
    <row r="18357">
      <c r="B18357" s="17" t="s">
        <v>477</v>
      </c>
      <c r="K18357" s="18" t="s">
        <v>477</v>
      </c>
    </row>
    <row r="18358">
      <c r="B18358" s="17" t="s">
        <v>477</v>
      </c>
      <c r="K18358" s="18" t="s">
        <v>477</v>
      </c>
    </row>
    <row r="18359">
      <c r="B18359" s="17" t="s">
        <v>477</v>
      </c>
      <c r="K18359" s="18" t="s">
        <v>477</v>
      </c>
    </row>
    <row r="18360">
      <c r="B18360" s="17" t="s">
        <v>477</v>
      </c>
      <c r="K18360" s="18" t="s">
        <v>477</v>
      </c>
    </row>
    <row r="18361">
      <c r="B18361" s="17" t="s">
        <v>477</v>
      </c>
      <c r="K18361" s="18" t="s">
        <v>477</v>
      </c>
    </row>
    <row r="18362">
      <c r="B18362" s="17" t="s">
        <v>477</v>
      </c>
      <c r="K18362" s="18" t="s">
        <v>477</v>
      </c>
    </row>
    <row r="18363">
      <c r="B18363" s="17" t="s">
        <v>477</v>
      </c>
      <c r="K18363" s="18" t="s">
        <v>477</v>
      </c>
    </row>
    <row r="18364">
      <c r="B18364" s="17" t="s">
        <v>477</v>
      </c>
      <c r="K18364" s="18" t="s">
        <v>477</v>
      </c>
    </row>
    <row r="18365">
      <c r="B18365" s="17" t="s">
        <v>477</v>
      </c>
      <c r="K18365" s="18" t="s">
        <v>477</v>
      </c>
    </row>
    <row r="18366">
      <c r="B18366" s="17" t="s">
        <v>477</v>
      </c>
      <c r="K18366" s="18" t="s">
        <v>477</v>
      </c>
    </row>
    <row r="18367">
      <c r="B18367" s="17" t="s">
        <v>477</v>
      </c>
      <c r="K18367" s="18" t="s">
        <v>477</v>
      </c>
    </row>
    <row r="18368">
      <c r="B18368" s="17" t="s">
        <v>477</v>
      </c>
      <c r="K18368" s="18" t="s">
        <v>477</v>
      </c>
    </row>
    <row r="18369">
      <c r="B18369" s="17" t="s">
        <v>477</v>
      </c>
      <c r="K18369" s="18" t="s">
        <v>477</v>
      </c>
    </row>
    <row r="18370">
      <c r="B18370" s="17" t="s">
        <v>477</v>
      </c>
      <c r="K18370" s="18" t="s">
        <v>477</v>
      </c>
    </row>
    <row r="18371">
      <c r="B18371" s="17" t="s">
        <v>477</v>
      </c>
      <c r="K18371" s="18" t="s">
        <v>477</v>
      </c>
    </row>
    <row r="18372">
      <c r="B18372" s="17" t="s">
        <v>477</v>
      </c>
      <c r="K18372" s="18" t="s">
        <v>477</v>
      </c>
    </row>
    <row r="18373">
      <c r="B18373" s="17" t="s">
        <v>477</v>
      </c>
      <c r="K18373" s="18" t="s">
        <v>477</v>
      </c>
    </row>
    <row r="18374">
      <c r="B18374" s="17" t="s">
        <v>477</v>
      </c>
      <c r="K18374" s="18" t="s">
        <v>477</v>
      </c>
    </row>
    <row r="18375">
      <c r="B18375" s="17" t="s">
        <v>477</v>
      </c>
      <c r="K18375" s="18" t="s">
        <v>477</v>
      </c>
    </row>
    <row r="18376">
      <c r="B18376" s="17" t="s">
        <v>477</v>
      </c>
      <c r="K18376" s="18" t="s">
        <v>477</v>
      </c>
    </row>
    <row r="18377">
      <c r="B18377" s="17" t="s">
        <v>477</v>
      </c>
      <c r="K18377" s="18" t="s">
        <v>477</v>
      </c>
    </row>
    <row r="18378">
      <c r="B18378" s="17" t="s">
        <v>477</v>
      </c>
      <c r="K18378" s="18" t="s">
        <v>477</v>
      </c>
    </row>
    <row r="18379">
      <c r="B18379" s="17" t="s">
        <v>477</v>
      </c>
      <c r="K18379" s="18" t="s">
        <v>477</v>
      </c>
    </row>
    <row r="18380">
      <c r="B18380" s="17" t="s">
        <v>477</v>
      </c>
      <c r="K18380" s="18" t="s">
        <v>477</v>
      </c>
    </row>
    <row r="18381">
      <c r="B18381" s="17" t="s">
        <v>477</v>
      </c>
      <c r="K18381" s="18" t="s">
        <v>477</v>
      </c>
    </row>
    <row r="18382">
      <c r="B18382" s="17" t="s">
        <v>477</v>
      </c>
      <c r="K18382" s="18" t="s">
        <v>477</v>
      </c>
    </row>
    <row r="18383">
      <c r="B18383" s="17" t="s">
        <v>477</v>
      </c>
      <c r="K18383" s="18" t="s">
        <v>477</v>
      </c>
    </row>
    <row r="18384">
      <c r="B18384" s="17" t="s">
        <v>477</v>
      </c>
      <c r="K18384" s="18" t="s">
        <v>477</v>
      </c>
    </row>
    <row r="18385">
      <c r="B18385" s="17" t="s">
        <v>477</v>
      </c>
      <c r="K18385" s="18" t="s">
        <v>477</v>
      </c>
    </row>
    <row r="18386">
      <c r="B18386" s="17" t="s">
        <v>477</v>
      </c>
      <c r="K18386" s="18" t="s">
        <v>477</v>
      </c>
    </row>
    <row r="18387">
      <c r="B18387" s="17" t="s">
        <v>477</v>
      </c>
      <c r="K18387" s="18" t="s">
        <v>477</v>
      </c>
    </row>
    <row r="18388">
      <c r="B18388" s="17" t="s">
        <v>477</v>
      </c>
      <c r="K18388" s="18" t="s">
        <v>477</v>
      </c>
    </row>
    <row r="18389">
      <c r="B18389" s="17" t="s">
        <v>477</v>
      </c>
      <c r="K18389" s="18" t="s">
        <v>477</v>
      </c>
    </row>
    <row r="18390">
      <c r="B18390" s="17" t="s">
        <v>477</v>
      </c>
      <c r="K18390" s="18" t="s">
        <v>477</v>
      </c>
    </row>
    <row r="18391">
      <c r="B18391" s="17" t="s">
        <v>477</v>
      </c>
      <c r="K18391" s="18" t="s">
        <v>477</v>
      </c>
    </row>
    <row r="18392">
      <c r="B18392" s="17" t="s">
        <v>477</v>
      </c>
      <c r="K18392" s="18" t="s">
        <v>477</v>
      </c>
    </row>
    <row r="18393">
      <c r="B18393" s="17" t="s">
        <v>477</v>
      </c>
      <c r="K18393" s="18" t="s">
        <v>477</v>
      </c>
    </row>
    <row r="18394">
      <c r="B18394" s="17" t="s">
        <v>477</v>
      </c>
      <c r="K18394" s="18" t="s">
        <v>477</v>
      </c>
    </row>
    <row r="18395">
      <c r="B18395" s="17" t="s">
        <v>477</v>
      </c>
      <c r="K18395" s="18" t="s">
        <v>477</v>
      </c>
    </row>
    <row r="18396">
      <c r="B18396" s="17" t="s">
        <v>477</v>
      </c>
      <c r="K18396" s="18" t="s">
        <v>477</v>
      </c>
    </row>
    <row r="18397">
      <c r="B18397" s="17" t="s">
        <v>477</v>
      </c>
      <c r="K18397" s="18" t="s">
        <v>477</v>
      </c>
    </row>
    <row r="18398">
      <c r="B18398" s="17" t="s">
        <v>477</v>
      </c>
      <c r="K18398" s="18" t="s">
        <v>477</v>
      </c>
    </row>
    <row r="18399">
      <c r="B18399" s="17" t="s">
        <v>477</v>
      </c>
      <c r="K18399" s="18" t="s">
        <v>477</v>
      </c>
    </row>
    <row r="18400">
      <c r="B18400" s="17" t="s">
        <v>477</v>
      </c>
      <c r="K18400" s="18" t="s">
        <v>477</v>
      </c>
    </row>
    <row r="18401">
      <c r="B18401" s="17" t="s">
        <v>477</v>
      </c>
      <c r="K18401" s="18" t="s">
        <v>477</v>
      </c>
    </row>
    <row r="18402">
      <c r="B18402" s="17" t="s">
        <v>477</v>
      </c>
      <c r="K18402" s="18" t="s">
        <v>477</v>
      </c>
    </row>
    <row r="18403">
      <c r="B18403" s="17" t="s">
        <v>477</v>
      </c>
      <c r="K18403" s="18" t="s">
        <v>477</v>
      </c>
    </row>
    <row r="18404">
      <c r="B18404" s="17" t="s">
        <v>477</v>
      </c>
      <c r="K18404" s="18" t="s">
        <v>477</v>
      </c>
    </row>
    <row r="18405">
      <c r="B18405" s="17" t="s">
        <v>477</v>
      </c>
      <c r="K18405" s="18" t="s">
        <v>477</v>
      </c>
    </row>
    <row r="18406">
      <c r="B18406" s="17" t="s">
        <v>477</v>
      </c>
      <c r="K18406" s="18" t="s">
        <v>477</v>
      </c>
    </row>
    <row r="18407">
      <c r="B18407" s="17" t="s">
        <v>477</v>
      </c>
      <c r="K18407" s="18" t="s">
        <v>477</v>
      </c>
    </row>
    <row r="18408">
      <c r="B18408" s="17" t="s">
        <v>477</v>
      </c>
      <c r="K18408" s="18" t="s">
        <v>477</v>
      </c>
    </row>
    <row r="18409">
      <c r="B18409" s="17" t="s">
        <v>477</v>
      </c>
      <c r="K18409" s="18" t="s">
        <v>477</v>
      </c>
    </row>
    <row r="18410">
      <c r="B18410" s="17" t="s">
        <v>477</v>
      </c>
      <c r="K18410" s="18" t="s">
        <v>477</v>
      </c>
    </row>
    <row r="18411">
      <c r="B18411" s="17" t="s">
        <v>477</v>
      </c>
      <c r="K18411" s="18" t="s">
        <v>477</v>
      </c>
    </row>
    <row r="18412">
      <c r="B18412" s="17" t="s">
        <v>477</v>
      </c>
      <c r="K18412" s="18" t="s">
        <v>477</v>
      </c>
    </row>
    <row r="18413">
      <c r="B18413" s="17" t="s">
        <v>477</v>
      </c>
      <c r="K18413" s="18" t="s">
        <v>477</v>
      </c>
    </row>
    <row r="18414">
      <c r="B18414" s="17" t="s">
        <v>477</v>
      </c>
      <c r="K18414" s="18" t="s">
        <v>477</v>
      </c>
    </row>
    <row r="18415">
      <c r="B18415" s="17" t="s">
        <v>477</v>
      </c>
      <c r="K18415" s="18" t="s">
        <v>477</v>
      </c>
    </row>
    <row r="18416">
      <c r="B18416" s="17" t="s">
        <v>477</v>
      </c>
      <c r="K18416" s="18" t="s">
        <v>477</v>
      </c>
    </row>
    <row r="18417">
      <c r="B18417" s="17" t="s">
        <v>477</v>
      </c>
      <c r="K18417" s="18" t="s">
        <v>477</v>
      </c>
    </row>
    <row r="18418">
      <c r="B18418" s="17" t="s">
        <v>477</v>
      </c>
      <c r="K18418" s="18" t="s">
        <v>477</v>
      </c>
    </row>
    <row r="18419">
      <c r="B18419" s="17" t="s">
        <v>477</v>
      </c>
      <c r="K18419" s="18" t="s">
        <v>477</v>
      </c>
    </row>
    <row r="18420">
      <c r="B18420" s="17" t="s">
        <v>477</v>
      </c>
      <c r="K18420" s="18" t="s">
        <v>477</v>
      </c>
    </row>
    <row r="18421">
      <c r="B18421" s="17" t="s">
        <v>477</v>
      </c>
      <c r="K18421" s="18" t="s">
        <v>477</v>
      </c>
    </row>
    <row r="18422">
      <c r="B18422" s="17" t="s">
        <v>477</v>
      </c>
      <c r="K18422" s="18" t="s">
        <v>477</v>
      </c>
    </row>
    <row r="18423">
      <c r="B18423" s="17" t="s">
        <v>477</v>
      </c>
      <c r="K18423" s="18" t="s">
        <v>477</v>
      </c>
    </row>
    <row r="18424">
      <c r="B18424" s="17" t="s">
        <v>477</v>
      </c>
      <c r="K18424" s="18" t="s">
        <v>477</v>
      </c>
    </row>
    <row r="18425">
      <c r="B18425" s="17" t="s">
        <v>477</v>
      </c>
      <c r="K18425" s="18" t="s">
        <v>477</v>
      </c>
    </row>
    <row r="18426">
      <c r="B18426" s="17" t="s">
        <v>477</v>
      </c>
      <c r="K18426" s="18" t="s">
        <v>477</v>
      </c>
    </row>
    <row r="18427">
      <c r="B18427" s="17" t="s">
        <v>477</v>
      </c>
      <c r="K18427" s="18" t="s">
        <v>477</v>
      </c>
    </row>
    <row r="18428">
      <c r="B18428" s="17" t="s">
        <v>477</v>
      </c>
      <c r="K18428" s="18" t="s">
        <v>477</v>
      </c>
    </row>
    <row r="18429">
      <c r="B18429" s="17" t="s">
        <v>477</v>
      </c>
      <c r="K18429" s="18" t="s">
        <v>477</v>
      </c>
    </row>
    <row r="18430">
      <c r="B18430" s="17" t="s">
        <v>477</v>
      </c>
      <c r="K18430" s="18" t="s">
        <v>477</v>
      </c>
    </row>
    <row r="18431">
      <c r="B18431" s="17" t="s">
        <v>477</v>
      </c>
      <c r="K18431" s="18" t="s">
        <v>477</v>
      </c>
    </row>
    <row r="18432">
      <c r="B18432" s="17" t="s">
        <v>477</v>
      </c>
      <c r="K18432" s="18" t="s">
        <v>477</v>
      </c>
    </row>
    <row r="18433">
      <c r="B18433" s="17" t="s">
        <v>477</v>
      </c>
      <c r="K18433" s="18" t="s">
        <v>477</v>
      </c>
    </row>
    <row r="18434">
      <c r="B18434" s="17" t="s">
        <v>477</v>
      </c>
      <c r="K18434" s="18" t="s">
        <v>477</v>
      </c>
    </row>
    <row r="18435">
      <c r="B18435" s="17" t="s">
        <v>477</v>
      </c>
      <c r="K18435" s="18" t="s">
        <v>477</v>
      </c>
    </row>
    <row r="18436">
      <c r="B18436" s="17" t="s">
        <v>477</v>
      </c>
      <c r="K18436" s="18" t="s">
        <v>477</v>
      </c>
    </row>
    <row r="18437">
      <c r="B18437" s="17" t="s">
        <v>477</v>
      </c>
      <c r="K18437" s="18" t="s">
        <v>477</v>
      </c>
    </row>
    <row r="18438">
      <c r="B18438" s="17" t="s">
        <v>477</v>
      </c>
      <c r="K18438" s="18" t="s">
        <v>477</v>
      </c>
    </row>
    <row r="18439">
      <c r="B18439" s="17" t="s">
        <v>477</v>
      </c>
      <c r="K18439" s="18" t="s">
        <v>477</v>
      </c>
    </row>
    <row r="18440">
      <c r="B18440" s="17" t="s">
        <v>477</v>
      </c>
      <c r="K18440" s="18" t="s">
        <v>477</v>
      </c>
    </row>
    <row r="18441">
      <c r="B18441" s="17" t="s">
        <v>477</v>
      </c>
      <c r="K18441" s="18" t="s">
        <v>477</v>
      </c>
    </row>
    <row r="18442">
      <c r="B18442" s="17" t="s">
        <v>477</v>
      </c>
      <c r="K18442" s="18" t="s">
        <v>477</v>
      </c>
    </row>
    <row r="18443">
      <c r="B18443" s="17" t="s">
        <v>477</v>
      </c>
      <c r="K18443" s="18" t="s">
        <v>477</v>
      </c>
    </row>
    <row r="18444">
      <c r="B18444" s="17" t="s">
        <v>477</v>
      </c>
      <c r="K18444" s="18" t="s">
        <v>477</v>
      </c>
    </row>
    <row r="18445">
      <c r="B18445" s="17" t="s">
        <v>477</v>
      </c>
      <c r="K18445" s="18" t="s">
        <v>477</v>
      </c>
    </row>
    <row r="18446">
      <c r="B18446" s="17" t="s">
        <v>477</v>
      </c>
      <c r="K18446" s="18" t="s">
        <v>477</v>
      </c>
    </row>
    <row r="18447">
      <c r="B18447" s="17" t="s">
        <v>477</v>
      </c>
      <c r="K18447" s="18" t="s">
        <v>477</v>
      </c>
    </row>
    <row r="18448">
      <c r="B18448" s="17" t="s">
        <v>477</v>
      </c>
      <c r="K18448" s="18" t="s">
        <v>477</v>
      </c>
    </row>
    <row r="18449">
      <c r="B18449" s="17" t="s">
        <v>477</v>
      </c>
      <c r="K18449" s="18" t="s">
        <v>477</v>
      </c>
    </row>
    <row r="18450">
      <c r="B18450" s="17" t="s">
        <v>477</v>
      </c>
      <c r="K18450" s="18" t="s">
        <v>477</v>
      </c>
    </row>
    <row r="18451">
      <c r="B18451" s="17" t="s">
        <v>477</v>
      </c>
      <c r="K18451" s="18" t="s">
        <v>477</v>
      </c>
    </row>
    <row r="18452">
      <c r="B18452" s="17" t="s">
        <v>477</v>
      </c>
      <c r="K18452" s="18" t="s">
        <v>477</v>
      </c>
    </row>
    <row r="18453">
      <c r="B18453" s="17" t="s">
        <v>477</v>
      </c>
      <c r="K18453" s="18" t="s">
        <v>477</v>
      </c>
    </row>
    <row r="18454">
      <c r="B18454" s="17" t="s">
        <v>477</v>
      </c>
      <c r="K18454" s="18" t="s">
        <v>477</v>
      </c>
    </row>
    <row r="18455">
      <c r="B18455" s="17" t="s">
        <v>477</v>
      </c>
      <c r="K18455" s="18" t="s">
        <v>477</v>
      </c>
    </row>
    <row r="18456">
      <c r="B18456" s="17" t="s">
        <v>477</v>
      </c>
      <c r="K18456" s="18" t="s">
        <v>477</v>
      </c>
    </row>
    <row r="18457">
      <c r="B18457" s="17" t="s">
        <v>477</v>
      </c>
      <c r="K18457" s="18" t="s">
        <v>477</v>
      </c>
    </row>
    <row r="18458">
      <c r="B18458" s="17" t="s">
        <v>477</v>
      </c>
      <c r="K18458" s="18" t="s">
        <v>477</v>
      </c>
    </row>
    <row r="18459">
      <c r="B18459" s="17" t="s">
        <v>477</v>
      </c>
      <c r="K18459" s="18" t="s">
        <v>477</v>
      </c>
    </row>
    <row r="18460">
      <c r="B18460" s="17" t="s">
        <v>477</v>
      </c>
      <c r="K18460" s="18" t="s">
        <v>477</v>
      </c>
    </row>
    <row r="18461">
      <c r="B18461" s="17" t="s">
        <v>477</v>
      </c>
      <c r="K18461" s="18" t="s">
        <v>477</v>
      </c>
    </row>
    <row r="18462">
      <c r="B18462" s="17" t="s">
        <v>477</v>
      </c>
      <c r="K18462" s="18" t="s">
        <v>477</v>
      </c>
    </row>
    <row r="18463">
      <c r="B18463" s="17" t="s">
        <v>477</v>
      </c>
      <c r="K18463" s="18" t="s">
        <v>477</v>
      </c>
    </row>
    <row r="18464">
      <c r="B18464" s="17" t="s">
        <v>477</v>
      </c>
      <c r="K18464" s="18" t="s">
        <v>477</v>
      </c>
    </row>
    <row r="18465">
      <c r="B18465" s="17" t="s">
        <v>477</v>
      </c>
      <c r="K18465" s="18" t="s">
        <v>477</v>
      </c>
    </row>
    <row r="18466">
      <c r="B18466" s="17" t="s">
        <v>477</v>
      </c>
      <c r="K18466" s="18" t="s">
        <v>477</v>
      </c>
    </row>
    <row r="18467">
      <c r="B18467" s="17" t="s">
        <v>477</v>
      </c>
      <c r="K18467" s="18" t="s">
        <v>477</v>
      </c>
    </row>
    <row r="18468">
      <c r="B18468" s="17" t="s">
        <v>477</v>
      </c>
      <c r="K18468" s="18" t="s">
        <v>477</v>
      </c>
    </row>
    <row r="18469">
      <c r="B18469" s="17" t="s">
        <v>477</v>
      </c>
      <c r="K18469" s="18" t="s">
        <v>477</v>
      </c>
    </row>
    <row r="18470">
      <c r="B18470" s="17" t="s">
        <v>477</v>
      </c>
      <c r="K18470" s="18" t="s">
        <v>477</v>
      </c>
    </row>
    <row r="18471">
      <c r="B18471" s="17" t="s">
        <v>477</v>
      </c>
      <c r="K18471" s="18" t="s">
        <v>477</v>
      </c>
    </row>
    <row r="18472">
      <c r="B18472" s="17" t="s">
        <v>477</v>
      </c>
      <c r="K18472" s="18" t="s">
        <v>477</v>
      </c>
    </row>
    <row r="18473">
      <c r="B18473" s="17" t="s">
        <v>477</v>
      </c>
      <c r="K18473" s="18" t="s">
        <v>477</v>
      </c>
    </row>
    <row r="18474">
      <c r="B18474" s="17" t="s">
        <v>477</v>
      </c>
      <c r="K18474" s="18" t="s">
        <v>477</v>
      </c>
    </row>
    <row r="18475">
      <c r="B18475" s="17" t="s">
        <v>477</v>
      </c>
      <c r="K18475" s="18" t="s">
        <v>477</v>
      </c>
    </row>
    <row r="18476">
      <c r="B18476" s="17" t="s">
        <v>477</v>
      </c>
      <c r="K18476" s="18" t="s">
        <v>477</v>
      </c>
    </row>
    <row r="18477">
      <c r="B18477" s="17" t="s">
        <v>477</v>
      </c>
      <c r="K18477" s="18" t="s">
        <v>477</v>
      </c>
    </row>
    <row r="18478">
      <c r="B18478" s="17" t="s">
        <v>477</v>
      </c>
      <c r="K18478" s="18" t="s">
        <v>477</v>
      </c>
    </row>
    <row r="18479">
      <c r="B18479" s="17" t="s">
        <v>477</v>
      </c>
      <c r="K18479" s="18" t="s">
        <v>477</v>
      </c>
    </row>
    <row r="18480">
      <c r="B18480" s="17" t="s">
        <v>477</v>
      </c>
      <c r="K18480" s="18" t="s">
        <v>477</v>
      </c>
    </row>
    <row r="18481">
      <c r="B18481" s="17" t="s">
        <v>477</v>
      </c>
      <c r="K18481" s="18" t="s">
        <v>477</v>
      </c>
    </row>
    <row r="18482">
      <c r="B18482" s="17" t="s">
        <v>477</v>
      </c>
      <c r="K18482" s="18" t="s">
        <v>477</v>
      </c>
    </row>
    <row r="18483">
      <c r="B18483" s="17" t="s">
        <v>477</v>
      </c>
      <c r="K18483" s="18" t="s">
        <v>477</v>
      </c>
    </row>
    <row r="18484">
      <c r="B18484" s="17" t="s">
        <v>477</v>
      </c>
      <c r="K18484" s="18" t="s">
        <v>477</v>
      </c>
    </row>
    <row r="18485">
      <c r="B18485" s="17" t="s">
        <v>477</v>
      </c>
      <c r="K18485" s="18" t="s">
        <v>477</v>
      </c>
    </row>
    <row r="18486">
      <c r="B18486" s="17" t="s">
        <v>477</v>
      </c>
      <c r="K18486" s="18" t="s">
        <v>477</v>
      </c>
    </row>
    <row r="18487">
      <c r="B18487" s="17" t="s">
        <v>477</v>
      </c>
      <c r="K18487" s="18" t="s">
        <v>477</v>
      </c>
    </row>
    <row r="18488">
      <c r="B18488" s="17" t="s">
        <v>477</v>
      </c>
      <c r="K18488" s="18" t="s">
        <v>477</v>
      </c>
    </row>
    <row r="18489">
      <c r="B18489" s="17" t="s">
        <v>477</v>
      </c>
      <c r="K18489" s="18" t="s">
        <v>477</v>
      </c>
    </row>
    <row r="18490">
      <c r="B18490" s="17" t="s">
        <v>477</v>
      </c>
      <c r="K18490" s="18" t="s">
        <v>477</v>
      </c>
    </row>
    <row r="18491">
      <c r="B18491" s="17" t="s">
        <v>477</v>
      </c>
      <c r="K18491" s="18" t="s">
        <v>477</v>
      </c>
    </row>
    <row r="18492">
      <c r="B18492" s="17" t="s">
        <v>477</v>
      </c>
      <c r="K18492" s="18" t="s">
        <v>477</v>
      </c>
    </row>
    <row r="18493">
      <c r="B18493" s="17" t="s">
        <v>477</v>
      </c>
      <c r="K18493" s="18" t="s">
        <v>477</v>
      </c>
    </row>
    <row r="18494">
      <c r="B18494" s="17" t="s">
        <v>477</v>
      </c>
      <c r="K18494" s="18" t="s">
        <v>477</v>
      </c>
    </row>
    <row r="18495">
      <c r="B18495" s="17" t="s">
        <v>477</v>
      </c>
      <c r="K18495" s="18" t="s">
        <v>477</v>
      </c>
    </row>
    <row r="18496">
      <c r="B18496" s="17" t="s">
        <v>477</v>
      </c>
      <c r="K18496" s="18" t="s">
        <v>477</v>
      </c>
    </row>
    <row r="18497">
      <c r="B18497" s="17" t="s">
        <v>477</v>
      </c>
      <c r="K18497" s="18" t="s">
        <v>477</v>
      </c>
    </row>
    <row r="18498">
      <c r="B18498" s="17" t="s">
        <v>477</v>
      </c>
      <c r="K18498" s="18" t="s">
        <v>477</v>
      </c>
    </row>
    <row r="18499">
      <c r="B18499" s="17" t="s">
        <v>477</v>
      </c>
      <c r="K18499" s="18" t="s">
        <v>477</v>
      </c>
    </row>
    <row r="18500">
      <c r="B18500" s="17" t="s">
        <v>477</v>
      </c>
      <c r="K18500" s="18" t="s">
        <v>477</v>
      </c>
    </row>
    <row r="18501">
      <c r="B18501" s="17" t="s">
        <v>477</v>
      </c>
      <c r="K18501" s="18" t="s">
        <v>477</v>
      </c>
    </row>
    <row r="18502">
      <c r="B18502" s="17" t="s">
        <v>477</v>
      </c>
      <c r="K18502" s="18" t="s">
        <v>477</v>
      </c>
    </row>
    <row r="18503">
      <c r="B18503" s="17" t="s">
        <v>477</v>
      </c>
      <c r="K18503" s="18" t="s">
        <v>477</v>
      </c>
    </row>
    <row r="18504">
      <c r="B18504" s="17" t="s">
        <v>477</v>
      </c>
      <c r="K18504" s="18" t="s">
        <v>477</v>
      </c>
    </row>
    <row r="18505">
      <c r="B18505" s="17" t="s">
        <v>477</v>
      </c>
      <c r="K18505" s="18" t="s">
        <v>477</v>
      </c>
    </row>
    <row r="18506">
      <c r="B18506" s="17" t="s">
        <v>477</v>
      </c>
      <c r="K18506" s="18" t="s">
        <v>477</v>
      </c>
    </row>
    <row r="18507">
      <c r="B18507" s="17" t="s">
        <v>477</v>
      </c>
      <c r="K18507" s="18" t="s">
        <v>477</v>
      </c>
    </row>
    <row r="18508">
      <c r="B18508" s="17" t="s">
        <v>477</v>
      </c>
      <c r="K18508" s="18" t="s">
        <v>477</v>
      </c>
    </row>
    <row r="18509">
      <c r="B18509" s="17" t="s">
        <v>477</v>
      </c>
      <c r="K18509" s="18" t="s">
        <v>477</v>
      </c>
    </row>
    <row r="18510">
      <c r="B18510" s="17" t="s">
        <v>477</v>
      </c>
      <c r="K18510" s="18" t="s">
        <v>477</v>
      </c>
    </row>
    <row r="18511">
      <c r="B18511" s="17" t="s">
        <v>477</v>
      </c>
      <c r="K18511" s="18" t="s">
        <v>477</v>
      </c>
    </row>
    <row r="18512">
      <c r="B18512" s="17" t="s">
        <v>477</v>
      </c>
      <c r="K18512" s="18" t="s">
        <v>477</v>
      </c>
    </row>
    <row r="18513">
      <c r="B18513" s="17" t="s">
        <v>477</v>
      </c>
      <c r="K18513" s="18" t="s">
        <v>477</v>
      </c>
    </row>
    <row r="18514">
      <c r="B18514" s="17" t="s">
        <v>477</v>
      </c>
      <c r="K18514" s="18" t="s">
        <v>477</v>
      </c>
    </row>
    <row r="18515">
      <c r="B18515" s="17" t="s">
        <v>477</v>
      </c>
      <c r="K18515" s="18" t="s">
        <v>477</v>
      </c>
    </row>
    <row r="18516">
      <c r="B18516" s="17" t="s">
        <v>477</v>
      </c>
      <c r="K18516" s="18" t="s">
        <v>477</v>
      </c>
    </row>
    <row r="18517">
      <c r="B18517" s="17" t="s">
        <v>477</v>
      </c>
      <c r="K18517" s="18" t="s">
        <v>477</v>
      </c>
    </row>
    <row r="18518">
      <c r="B18518" s="17" t="s">
        <v>477</v>
      </c>
      <c r="K18518" s="18" t="s">
        <v>477</v>
      </c>
    </row>
    <row r="18519">
      <c r="B18519" s="17" t="s">
        <v>477</v>
      </c>
      <c r="K18519" s="18" t="s">
        <v>477</v>
      </c>
    </row>
    <row r="18520">
      <c r="B18520" s="17" t="s">
        <v>477</v>
      </c>
      <c r="K18520" s="18" t="s">
        <v>477</v>
      </c>
    </row>
    <row r="18521">
      <c r="B18521" s="17" t="s">
        <v>477</v>
      </c>
      <c r="K18521" s="18" t="s">
        <v>477</v>
      </c>
    </row>
    <row r="18522">
      <c r="B18522" s="17" t="s">
        <v>477</v>
      </c>
      <c r="K18522" s="18" t="s">
        <v>477</v>
      </c>
    </row>
    <row r="18523">
      <c r="B18523" s="17" t="s">
        <v>477</v>
      </c>
      <c r="K18523" s="18" t="s">
        <v>477</v>
      </c>
    </row>
    <row r="18524">
      <c r="B18524" s="17" t="s">
        <v>477</v>
      </c>
      <c r="K18524" s="18" t="s">
        <v>477</v>
      </c>
    </row>
    <row r="18525">
      <c r="B18525" s="17" t="s">
        <v>477</v>
      </c>
      <c r="K18525" s="18" t="s">
        <v>477</v>
      </c>
    </row>
    <row r="18526">
      <c r="B18526" s="17" t="s">
        <v>477</v>
      </c>
      <c r="K18526" s="18" t="s">
        <v>477</v>
      </c>
    </row>
    <row r="18527">
      <c r="B18527" s="17" t="s">
        <v>477</v>
      </c>
      <c r="K18527" s="18" t="s">
        <v>477</v>
      </c>
    </row>
    <row r="18528">
      <c r="B18528" s="17" t="s">
        <v>477</v>
      </c>
      <c r="K18528" s="18" t="s">
        <v>477</v>
      </c>
    </row>
    <row r="18529">
      <c r="B18529" s="17" t="s">
        <v>477</v>
      </c>
      <c r="K18529" s="18" t="s">
        <v>477</v>
      </c>
    </row>
    <row r="18530">
      <c r="B18530" s="17" t="s">
        <v>477</v>
      </c>
      <c r="K18530" s="18" t="s">
        <v>477</v>
      </c>
    </row>
    <row r="18531">
      <c r="B18531" s="17" t="s">
        <v>477</v>
      </c>
      <c r="K18531" s="18" t="s">
        <v>477</v>
      </c>
    </row>
    <row r="18532">
      <c r="B18532" s="17" t="s">
        <v>477</v>
      </c>
      <c r="K18532" s="18" t="s">
        <v>477</v>
      </c>
    </row>
    <row r="18533">
      <c r="B18533" s="17" t="s">
        <v>477</v>
      </c>
      <c r="K18533" s="18" t="s">
        <v>477</v>
      </c>
    </row>
    <row r="18534">
      <c r="B18534" s="17" t="s">
        <v>477</v>
      </c>
      <c r="K18534" s="18" t="s">
        <v>477</v>
      </c>
    </row>
    <row r="18535">
      <c r="B18535" s="17" t="s">
        <v>477</v>
      </c>
      <c r="K18535" s="18" t="s">
        <v>477</v>
      </c>
    </row>
    <row r="18536">
      <c r="B18536" s="17" t="s">
        <v>477</v>
      </c>
      <c r="K18536" s="18" t="s">
        <v>477</v>
      </c>
    </row>
    <row r="18537">
      <c r="B18537" s="17" t="s">
        <v>477</v>
      </c>
      <c r="K18537" s="18" t="s">
        <v>477</v>
      </c>
    </row>
    <row r="18538">
      <c r="B18538" s="17" t="s">
        <v>477</v>
      </c>
      <c r="K18538" s="18" t="s">
        <v>477</v>
      </c>
    </row>
    <row r="18539">
      <c r="B18539" s="17" t="s">
        <v>477</v>
      </c>
      <c r="K18539" s="18" t="s">
        <v>477</v>
      </c>
    </row>
    <row r="18540">
      <c r="B18540" s="17" t="s">
        <v>477</v>
      </c>
      <c r="K18540" s="18" t="s">
        <v>477</v>
      </c>
    </row>
    <row r="18541">
      <c r="B18541" s="17" t="s">
        <v>477</v>
      </c>
      <c r="K18541" s="18" t="s">
        <v>477</v>
      </c>
    </row>
    <row r="18542">
      <c r="B18542" s="17" t="s">
        <v>477</v>
      </c>
      <c r="K18542" s="18" t="s">
        <v>477</v>
      </c>
    </row>
    <row r="18543">
      <c r="B18543" s="17" t="s">
        <v>477</v>
      </c>
      <c r="K18543" s="18" t="s">
        <v>477</v>
      </c>
    </row>
    <row r="18544">
      <c r="B18544" s="17" t="s">
        <v>477</v>
      </c>
      <c r="K18544" s="18" t="s">
        <v>477</v>
      </c>
    </row>
    <row r="18545">
      <c r="B18545" s="17" t="s">
        <v>477</v>
      </c>
      <c r="K18545" s="18" t="s">
        <v>477</v>
      </c>
    </row>
    <row r="18546">
      <c r="B18546" s="17" t="s">
        <v>477</v>
      </c>
      <c r="K18546" s="18" t="s">
        <v>477</v>
      </c>
    </row>
    <row r="18547">
      <c r="B18547" s="17" t="s">
        <v>477</v>
      </c>
      <c r="K18547" s="18" t="s">
        <v>477</v>
      </c>
    </row>
    <row r="18548">
      <c r="B18548" s="17" t="s">
        <v>477</v>
      </c>
      <c r="K18548" s="18" t="s">
        <v>477</v>
      </c>
    </row>
    <row r="18549">
      <c r="B18549" s="17" t="s">
        <v>477</v>
      </c>
      <c r="K18549" s="18" t="s">
        <v>477</v>
      </c>
    </row>
    <row r="18550">
      <c r="B18550" s="17" t="s">
        <v>477</v>
      </c>
      <c r="K18550" s="18" t="s">
        <v>477</v>
      </c>
    </row>
    <row r="18551">
      <c r="B18551" s="17" t="s">
        <v>477</v>
      </c>
      <c r="K18551" s="18" t="s">
        <v>477</v>
      </c>
    </row>
    <row r="18552">
      <c r="B18552" s="17" t="s">
        <v>477</v>
      </c>
      <c r="K18552" s="18" t="s">
        <v>477</v>
      </c>
    </row>
    <row r="18553">
      <c r="B18553" s="17" t="s">
        <v>477</v>
      </c>
      <c r="K18553" s="18" t="s">
        <v>477</v>
      </c>
    </row>
    <row r="18554">
      <c r="B18554" s="17" t="s">
        <v>477</v>
      </c>
      <c r="K18554" s="18" t="s">
        <v>477</v>
      </c>
    </row>
    <row r="18555">
      <c r="B18555" s="17" t="s">
        <v>477</v>
      </c>
      <c r="K18555" s="18" t="s">
        <v>477</v>
      </c>
    </row>
    <row r="18556">
      <c r="B18556" s="17" t="s">
        <v>477</v>
      </c>
      <c r="K18556" s="18" t="s">
        <v>477</v>
      </c>
    </row>
    <row r="18557">
      <c r="B18557" s="17" t="s">
        <v>477</v>
      </c>
      <c r="K18557" s="18" t="s">
        <v>477</v>
      </c>
    </row>
    <row r="18558">
      <c r="B18558" s="17" t="s">
        <v>477</v>
      </c>
      <c r="K18558" s="18" t="s">
        <v>477</v>
      </c>
    </row>
    <row r="18559">
      <c r="B18559" s="17" t="s">
        <v>477</v>
      </c>
      <c r="K18559" s="18" t="s">
        <v>477</v>
      </c>
    </row>
    <row r="18560">
      <c r="B18560" s="17" t="s">
        <v>477</v>
      </c>
      <c r="K18560" s="18" t="s">
        <v>477</v>
      </c>
    </row>
    <row r="18561">
      <c r="B18561" s="17" t="s">
        <v>477</v>
      </c>
      <c r="K18561" s="18" t="s">
        <v>477</v>
      </c>
    </row>
    <row r="18562">
      <c r="B18562" s="17" t="s">
        <v>477</v>
      </c>
      <c r="K18562" s="18" t="s">
        <v>477</v>
      </c>
    </row>
    <row r="18563">
      <c r="B18563" s="17" t="s">
        <v>477</v>
      </c>
      <c r="K18563" s="18" t="s">
        <v>477</v>
      </c>
    </row>
    <row r="18564">
      <c r="B18564" s="17" t="s">
        <v>477</v>
      </c>
      <c r="K18564" s="18" t="s">
        <v>477</v>
      </c>
    </row>
    <row r="18565">
      <c r="B18565" s="17" t="s">
        <v>477</v>
      </c>
      <c r="K18565" s="18" t="s">
        <v>477</v>
      </c>
    </row>
    <row r="18566">
      <c r="B18566" s="17" t="s">
        <v>477</v>
      </c>
      <c r="K18566" s="18" t="s">
        <v>477</v>
      </c>
    </row>
    <row r="18567">
      <c r="B18567" s="17" t="s">
        <v>477</v>
      </c>
      <c r="K18567" s="18" t="s">
        <v>477</v>
      </c>
    </row>
    <row r="18568">
      <c r="B18568" s="17" t="s">
        <v>477</v>
      </c>
      <c r="K18568" s="18" t="s">
        <v>477</v>
      </c>
    </row>
    <row r="18569">
      <c r="B18569" s="17" t="s">
        <v>477</v>
      </c>
      <c r="K18569" s="18" t="s">
        <v>477</v>
      </c>
    </row>
    <row r="18570">
      <c r="B18570" s="17" t="s">
        <v>477</v>
      </c>
      <c r="K18570" s="18" t="s">
        <v>477</v>
      </c>
    </row>
    <row r="18571">
      <c r="B18571" s="17" t="s">
        <v>477</v>
      </c>
      <c r="K18571" s="18" t="s">
        <v>477</v>
      </c>
    </row>
    <row r="18572">
      <c r="B18572" s="17" t="s">
        <v>477</v>
      </c>
      <c r="K18572" s="18" t="s">
        <v>477</v>
      </c>
    </row>
    <row r="18573">
      <c r="B18573" s="17" t="s">
        <v>477</v>
      </c>
      <c r="K18573" s="18" t="s">
        <v>477</v>
      </c>
    </row>
    <row r="18574">
      <c r="B18574" s="17" t="s">
        <v>477</v>
      </c>
      <c r="K18574" s="18" t="s">
        <v>477</v>
      </c>
    </row>
    <row r="18575">
      <c r="B18575" s="17" t="s">
        <v>477</v>
      </c>
      <c r="K18575" s="18" t="s">
        <v>477</v>
      </c>
    </row>
    <row r="18576">
      <c r="B18576" s="17" t="s">
        <v>477</v>
      </c>
      <c r="K18576" s="18" t="s">
        <v>477</v>
      </c>
    </row>
    <row r="18577">
      <c r="B18577" s="17" t="s">
        <v>477</v>
      </c>
      <c r="K18577" s="18" t="s">
        <v>477</v>
      </c>
    </row>
    <row r="18578">
      <c r="B18578" s="17" t="s">
        <v>477</v>
      </c>
      <c r="K18578" s="18" t="s">
        <v>477</v>
      </c>
    </row>
    <row r="18579">
      <c r="B18579" s="17" t="s">
        <v>477</v>
      </c>
      <c r="K18579" s="18" t="s">
        <v>477</v>
      </c>
    </row>
    <row r="18580">
      <c r="B18580" s="17" t="s">
        <v>477</v>
      </c>
      <c r="K18580" s="18" t="s">
        <v>477</v>
      </c>
    </row>
    <row r="18581">
      <c r="B18581" s="17" t="s">
        <v>477</v>
      </c>
      <c r="K18581" s="18" t="s">
        <v>477</v>
      </c>
    </row>
    <row r="18582">
      <c r="B18582" s="17" t="s">
        <v>477</v>
      </c>
      <c r="K18582" s="18" t="s">
        <v>477</v>
      </c>
    </row>
    <row r="18583">
      <c r="B18583" s="17" t="s">
        <v>477</v>
      </c>
      <c r="K18583" s="18" t="s">
        <v>477</v>
      </c>
    </row>
    <row r="18584">
      <c r="B18584" s="17" t="s">
        <v>477</v>
      </c>
      <c r="K18584" s="18" t="s">
        <v>477</v>
      </c>
    </row>
    <row r="18585">
      <c r="B18585" s="17" t="s">
        <v>477</v>
      </c>
      <c r="K18585" s="18" t="s">
        <v>477</v>
      </c>
    </row>
    <row r="18586">
      <c r="B18586" s="17" t="s">
        <v>477</v>
      </c>
      <c r="K18586" s="18" t="s">
        <v>477</v>
      </c>
    </row>
    <row r="18587">
      <c r="B18587" s="17" t="s">
        <v>477</v>
      </c>
      <c r="K18587" s="18" t="s">
        <v>477</v>
      </c>
    </row>
    <row r="18588">
      <c r="B18588" s="17" t="s">
        <v>477</v>
      </c>
      <c r="K18588" s="18" t="s">
        <v>477</v>
      </c>
    </row>
    <row r="18589">
      <c r="B18589" s="17" t="s">
        <v>477</v>
      </c>
      <c r="K18589" s="18" t="s">
        <v>477</v>
      </c>
    </row>
    <row r="18590">
      <c r="B18590" s="17" t="s">
        <v>477</v>
      </c>
      <c r="K18590" s="18" t="s">
        <v>477</v>
      </c>
    </row>
    <row r="18591">
      <c r="B18591" s="17" t="s">
        <v>477</v>
      </c>
      <c r="K18591" s="18" t="s">
        <v>477</v>
      </c>
    </row>
    <row r="18592">
      <c r="B18592" s="17" t="s">
        <v>477</v>
      </c>
      <c r="K18592" s="18" t="s">
        <v>477</v>
      </c>
    </row>
    <row r="18593">
      <c r="B18593" s="17" t="s">
        <v>477</v>
      </c>
      <c r="K18593" s="18" t="s">
        <v>477</v>
      </c>
    </row>
    <row r="18594">
      <c r="B18594" s="17" t="s">
        <v>477</v>
      </c>
      <c r="K18594" s="18" t="s">
        <v>477</v>
      </c>
    </row>
    <row r="18595">
      <c r="B18595" s="17" t="s">
        <v>477</v>
      </c>
      <c r="K18595" s="18" t="s">
        <v>477</v>
      </c>
    </row>
    <row r="18596">
      <c r="B18596" s="17" t="s">
        <v>477</v>
      </c>
      <c r="K18596" s="18" t="s">
        <v>477</v>
      </c>
    </row>
    <row r="18597">
      <c r="B18597" s="17" t="s">
        <v>477</v>
      </c>
      <c r="K18597" s="18" t="s">
        <v>477</v>
      </c>
    </row>
    <row r="18598">
      <c r="B18598" s="17" t="s">
        <v>477</v>
      </c>
      <c r="K18598" s="18" t="s">
        <v>477</v>
      </c>
    </row>
    <row r="18599">
      <c r="B18599" s="17" t="s">
        <v>477</v>
      </c>
      <c r="K18599" s="18" t="s">
        <v>477</v>
      </c>
    </row>
    <row r="18600">
      <c r="B18600" s="17" t="s">
        <v>477</v>
      </c>
      <c r="K18600" s="18" t="s">
        <v>477</v>
      </c>
    </row>
    <row r="18601">
      <c r="B18601" s="17" t="s">
        <v>477</v>
      </c>
      <c r="K18601" s="18" t="s">
        <v>477</v>
      </c>
    </row>
    <row r="18602">
      <c r="B18602" s="17" t="s">
        <v>477</v>
      </c>
      <c r="K18602" s="18" t="s">
        <v>477</v>
      </c>
    </row>
    <row r="18603">
      <c r="B18603" s="17" t="s">
        <v>477</v>
      </c>
      <c r="K18603" s="18" t="s">
        <v>477</v>
      </c>
    </row>
    <row r="18604">
      <c r="B18604" s="17" t="s">
        <v>477</v>
      </c>
      <c r="K18604" s="18" t="s">
        <v>477</v>
      </c>
    </row>
    <row r="18605">
      <c r="B18605" s="17" t="s">
        <v>477</v>
      </c>
      <c r="K18605" s="18" t="s">
        <v>477</v>
      </c>
    </row>
    <row r="18606">
      <c r="B18606" s="17" t="s">
        <v>477</v>
      </c>
      <c r="K18606" s="18" t="s">
        <v>477</v>
      </c>
    </row>
    <row r="18607">
      <c r="B18607" s="17" t="s">
        <v>477</v>
      </c>
      <c r="K18607" s="18" t="s">
        <v>477</v>
      </c>
    </row>
    <row r="18608">
      <c r="B18608" s="17" t="s">
        <v>477</v>
      </c>
      <c r="K18608" s="18" t="s">
        <v>477</v>
      </c>
    </row>
    <row r="18609">
      <c r="B18609" s="17" t="s">
        <v>477</v>
      </c>
      <c r="K18609" s="18" t="s">
        <v>477</v>
      </c>
    </row>
    <row r="18610">
      <c r="B18610" s="17" t="s">
        <v>477</v>
      </c>
      <c r="K18610" s="18" t="s">
        <v>477</v>
      </c>
    </row>
    <row r="18611">
      <c r="B18611" s="17" t="s">
        <v>477</v>
      </c>
      <c r="K18611" s="18" t="s">
        <v>477</v>
      </c>
    </row>
    <row r="18612">
      <c r="B18612" s="17" t="s">
        <v>477</v>
      </c>
      <c r="K18612" s="18" t="s">
        <v>477</v>
      </c>
    </row>
    <row r="18613">
      <c r="B18613" s="17" t="s">
        <v>477</v>
      </c>
      <c r="K18613" s="18" t="s">
        <v>477</v>
      </c>
    </row>
    <row r="18614">
      <c r="B18614" s="17" t="s">
        <v>477</v>
      </c>
      <c r="K18614" s="18" t="s">
        <v>477</v>
      </c>
    </row>
    <row r="18615">
      <c r="B18615" s="17" t="s">
        <v>477</v>
      </c>
      <c r="K18615" s="18" t="s">
        <v>477</v>
      </c>
    </row>
    <row r="18616">
      <c r="B18616" s="17" t="s">
        <v>477</v>
      </c>
      <c r="K18616" s="18" t="s">
        <v>477</v>
      </c>
    </row>
    <row r="18617">
      <c r="B18617" s="17" t="s">
        <v>477</v>
      </c>
      <c r="K18617" s="18" t="s">
        <v>477</v>
      </c>
    </row>
    <row r="18618">
      <c r="B18618" s="17" t="s">
        <v>477</v>
      </c>
      <c r="K18618" s="18" t="s">
        <v>477</v>
      </c>
    </row>
    <row r="18619">
      <c r="B18619" s="17" t="s">
        <v>477</v>
      </c>
      <c r="K18619" s="18" t="s">
        <v>477</v>
      </c>
    </row>
    <row r="18620">
      <c r="B18620" s="17" t="s">
        <v>477</v>
      </c>
      <c r="K18620" s="18" t="s">
        <v>477</v>
      </c>
    </row>
    <row r="18621">
      <c r="B18621" s="17" t="s">
        <v>477</v>
      </c>
      <c r="K18621" s="18" t="s">
        <v>477</v>
      </c>
    </row>
    <row r="18622">
      <c r="B18622" s="17" t="s">
        <v>477</v>
      </c>
      <c r="K18622" s="18" t="s">
        <v>477</v>
      </c>
    </row>
    <row r="18623">
      <c r="B18623" s="17" t="s">
        <v>477</v>
      </c>
      <c r="K18623" s="18" t="s">
        <v>477</v>
      </c>
    </row>
    <row r="18624">
      <c r="B18624" s="17" t="s">
        <v>477</v>
      </c>
      <c r="K18624" s="18" t="s">
        <v>477</v>
      </c>
    </row>
    <row r="18625">
      <c r="B18625" s="17" t="s">
        <v>477</v>
      </c>
      <c r="K18625" s="18" t="s">
        <v>477</v>
      </c>
    </row>
    <row r="18626">
      <c r="B18626" s="17" t="s">
        <v>477</v>
      </c>
      <c r="K18626" s="18" t="s">
        <v>477</v>
      </c>
    </row>
    <row r="18627">
      <c r="B18627" s="17" t="s">
        <v>477</v>
      </c>
      <c r="K18627" s="18" t="s">
        <v>477</v>
      </c>
    </row>
    <row r="18628">
      <c r="B18628" s="17" t="s">
        <v>477</v>
      </c>
      <c r="K18628" s="18" t="s">
        <v>477</v>
      </c>
    </row>
    <row r="18629">
      <c r="B18629" s="17" t="s">
        <v>477</v>
      </c>
      <c r="K18629" s="18" t="s">
        <v>477</v>
      </c>
    </row>
    <row r="18630">
      <c r="B18630" s="17" t="s">
        <v>477</v>
      </c>
      <c r="K18630" s="18" t="s">
        <v>477</v>
      </c>
    </row>
    <row r="18631">
      <c r="B18631" s="17" t="s">
        <v>477</v>
      </c>
      <c r="K18631" s="18" t="s">
        <v>477</v>
      </c>
    </row>
    <row r="18632">
      <c r="B18632" s="17" t="s">
        <v>477</v>
      </c>
      <c r="K18632" s="18" t="s">
        <v>477</v>
      </c>
    </row>
    <row r="18633">
      <c r="B18633" s="17" t="s">
        <v>477</v>
      </c>
      <c r="K18633" s="18" t="s">
        <v>477</v>
      </c>
    </row>
    <row r="18634">
      <c r="B18634" s="17" t="s">
        <v>477</v>
      </c>
      <c r="K18634" s="18" t="s">
        <v>477</v>
      </c>
    </row>
    <row r="18635">
      <c r="B18635" s="17" t="s">
        <v>477</v>
      </c>
      <c r="K18635" s="18" t="s">
        <v>477</v>
      </c>
    </row>
    <row r="18636">
      <c r="B18636" s="17" t="s">
        <v>477</v>
      </c>
      <c r="K18636" s="18" t="s">
        <v>477</v>
      </c>
    </row>
    <row r="18637">
      <c r="B18637" s="17" t="s">
        <v>477</v>
      </c>
      <c r="K18637" s="18" t="s">
        <v>477</v>
      </c>
    </row>
    <row r="18638">
      <c r="B18638" s="17" t="s">
        <v>477</v>
      </c>
      <c r="K18638" s="18" t="s">
        <v>477</v>
      </c>
    </row>
    <row r="18639">
      <c r="B18639" s="17" t="s">
        <v>477</v>
      </c>
      <c r="K18639" s="18" t="s">
        <v>477</v>
      </c>
    </row>
    <row r="18640">
      <c r="B18640" s="17" t="s">
        <v>477</v>
      </c>
      <c r="K18640" s="18" t="s">
        <v>477</v>
      </c>
    </row>
    <row r="18641">
      <c r="B18641" s="17" t="s">
        <v>477</v>
      </c>
      <c r="K18641" s="18" t="s">
        <v>477</v>
      </c>
    </row>
    <row r="18642">
      <c r="B18642" s="17" t="s">
        <v>477</v>
      </c>
      <c r="K18642" s="18" t="s">
        <v>477</v>
      </c>
    </row>
    <row r="18643">
      <c r="B18643" s="17" t="s">
        <v>477</v>
      </c>
      <c r="K18643" s="18" t="s">
        <v>477</v>
      </c>
    </row>
    <row r="18644">
      <c r="B18644" s="17" t="s">
        <v>477</v>
      </c>
      <c r="K18644" s="18" t="s">
        <v>477</v>
      </c>
    </row>
    <row r="18645">
      <c r="B18645" s="17" t="s">
        <v>477</v>
      </c>
      <c r="K18645" s="18" t="s">
        <v>477</v>
      </c>
    </row>
    <row r="18646">
      <c r="B18646" s="17" t="s">
        <v>477</v>
      </c>
      <c r="K18646" s="18" t="s">
        <v>477</v>
      </c>
    </row>
    <row r="18647">
      <c r="B18647" s="17" t="s">
        <v>477</v>
      </c>
      <c r="K18647" s="18" t="s">
        <v>477</v>
      </c>
    </row>
    <row r="18648">
      <c r="B18648" s="17" t="s">
        <v>477</v>
      </c>
      <c r="K18648" s="18" t="s">
        <v>477</v>
      </c>
    </row>
    <row r="18649">
      <c r="B18649" s="17" t="s">
        <v>477</v>
      </c>
      <c r="K18649" s="18" t="s">
        <v>477</v>
      </c>
    </row>
    <row r="18650">
      <c r="B18650" s="17" t="s">
        <v>477</v>
      </c>
      <c r="K18650" s="18" t="s">
        <v>477</v>
      </c>
    </row>
    <row r="18651">
      <c r="B18651" s="17" t="s">
        <v>477</v>
      </c>
      <c r="K18651" s="18" t="s">
        <v>477</v>
      </c>
    </row>
    <row r="18652">
      <c r="B18652" s="17" t="s">
        <v>477</v>
      </c>
      <c r="K18652" s="18" t="s">
        <v>477</v>
      </c>
    </row>
    <row r="18653">
      <c r="B18653" s="17" t="s">
        <v>477</v>
      </c>
      <c r="K18653" s="18" t="s">
        <v>477</v>
      </c>
    </row>
    <row r="18654">
      <c r="B18654" s="17" t="s">
        <v>477</v>
      </c>
      <c r="K18654" s="18" t="s">
        <v>477</v>
      </c>
    </row>
    <row r="18655">
      <c r="B18655" s="17" t="s">
        <v>477</v>
      </c>
      <c r="K18655" s="18" t="s">
        <v>477</v>
      </c>
    </row>
    <row r="18656">
      <c r="B18656" s="17" t="s">
        <v>477</v>
      </c>
      <c r="K18656" s="18" t="s">
        <v>477</v>
      </c>
    </row>
    <row r="18657">
      <c r="B18657" s="17" t="s">
        <v>477</v>
      </c>
      <c r="K18657" s="18" t="s">
        <v>477</v>
      </c>
    </row>
    <row r="18658">
      <c r="B18658" s="17" t="s">
        <v>477</v>
      </c>
      <c r="K18658" s="18" t="s">
        <v>477</v>
      </c>
    </row>
    <row r="18659">
      <c r="B18659" s="17" t="s">
        <v>477</v>
      </c>
      <c r="K18659" s="18" t="s">
        <v>477</v>
      </c>
    </row>
    <row r="18660">
      <c r="B18660" s="17" t="s">
        <v>477</v>
      </c>
      <c r="K18660" s="18" t="s">
        <v>477</v>
      </c>
    </row>
    <row r="18661">
      <c r="B18661" s="17" t="s">
        <v>477</v>
      </c>
      <c r="K18661" s="18" t="s">
        <v>477</v>
      </c>
    </row>
    <row r="18662">
      <c r="B18662" s="17" t="s">
        <v>477</v>
      </c>
      <c r="K18662" s="18" t="s">
        <v>477</v>
      </c>
    </row>
    <row r="18663">
      <c r="B18663" s="17" t="s">
        <v>477</v>
      </c>
      <c r="K18663" s="18" t="s">
        <v>477</v>
      </c>
    </row>
    <row r="18664">
      <c r="B18664" s="17" t="s">
        <v>477</v>
      </c>
      <c r="K18664" s="18" t="s">
        <v>477</v>
      </c>
    </row>
    <row r="18665">
      <c r="B18665" s="17" t="s">
        <v>477</v>
      </c>
      <c r="K18665" s="18" t="s">
        <v>477</v>
      </c>
    </row>
    <row r="18666">
      <c r="B18666" s="17" t="s">
        <v>477</v>
      </c>
      <c r="K18666" s="18" t="s">
        <v>477</v>
      </c>
    </row>
    <row r="18667">
      <c r="B18667" s="17" t="s">
        <v>477</v>
      </c>
      <c r="K18667" s="18" t="s">
        <v>477</v>
      </c>
    </row>
    <row r="18668">
      <c r="B18668" s="17" t="s">
        <v>477</v>
      </c>
      <c r="K18668" s="18" t="s">
        <v>477</v>
      </c>
    </row>
    <row r="18669">
      <c r="B18669" s="17" t="s">
        <v>477</v>
      </c>
      <c r="K18669" s="18" t="s">
        <v>477</v>
      </c>
    </row>
    <row r="18670">
      <c r="B18670" s="17" t="s">
        <v>477</v>
      </c>
      <c r="K18670" s="18" t="s">
        <v>477</v>
      </c>
    </row>
    <row r="18671">
      <c r="B18671" s="17" t="s">
        <v>477</v>
      </c>
      <c r="K18671" s="18" t="s">
        <v>477</v>
      </c>
    </row>
    <row r="18672">
      <c r="B18672" s="17" t="s">
        <v>477</v>
      </c>
      <c r="K18672" s="18" t="s">
        <v>477</v>
      </c>
    </row>
    <row r="18673">
      <c r="B18673" s="17" t="s">
        <v>477</v>
      </c>
      <c r="K18673" s="18" t="s">
        <v>477</v>
      </c>
    </row>
    <row r="18674">
      <c r="B18674" s="17" t="s">
        <v>477</v>
      </c>
      <c r="K18674" s="18" t="s">
        <v>477</v>
      </c>
    </row>
    <row r="18675">
      <c r="B18675" s="17" t="s">
        <v>477</v>
      </c>
      <c r="K18675" s="18" t="s">
        <v>477</v>
      </c>
    </row>
    <row r="18676">
      <c r="B18676" s="17" t="s">
        <v>477</v>
      </c>
      <c r="K18676" s="18" t="s">
        <v>477</v>
      </c>
    </row>
    <row r="18677">
      <c r="B18677" s="17" t="s">
        <v>477</v>
      </c>
      <c r="K18677" s="18" t="s">
        <v>477</v>
      </c>
    </row>
    <row r="18678">
      <c r="B18678" s="17" t="s">
        <v>477</v>
      </c>
      <c r="K18678" s="18" t="s">
        <v>477</v>
      </c>
    </row>
    <row r="18679">
      <c r="B18679" s="17" t="s">
        <v>477</v>
      </c>
      <c r="K18679" s="18" t="s">
        <v>477</v>
      </c>
    </row>
    <row r="18680">
      <c r="B18680" s="17" t="s">
        <v>477</v>
      </c>
      <c r="K18680" s="18" t="s">
        <v>477</v>
      </c>
    </row>
    <row r="18681">
      <c r="B18681" s="17" t="s">
        <v>477</v>
      </c>
      <c r="K18681" s="18" t="s">
        <v>477</v>
      </c>
    </row>
    <row r="18682">
      <c r="B18682" s="17" t="s">
        <v>477</v>
      </c>
      <c r="K18682" s="18" t="s">
        <v>477</v>
      </c>
    </row>
    <row r="18683">
      <c r="B18683" s="17" t="s">
        <v>477</v>
      </c>
      <c r="K18683" s="18" t="s">
        <v>477</v>
      </c>
    </row>
    <row r="18684">
      <c r="B18684" s="17" t="s">
        <v>477</v>
      </c>
      <c r="K18684" s="18" t="s">
        <v>477</v>
      </c>
    </row>
    <row r="18685">
      <c r="B18685" s="17" t="s">
        <v>477</v>
      </c>
      <c r="K18685" s="18" t="s">
        <v>477</v>
      </c>
    </row>
    <row r="18686">
      <c r="B18686" s="17" t="s">
        <v>477</v>
      </c>
      <c r="K18686" s="18" t="s">
        <v>477</v>
      </c>
    </row>
    <row r="18687">
      <c r="B18687" s="17" t="s">
        <v>477</v>
      </c>
      <c r="K18687" s="18" t="s">
        <v>477</v>
      </c>
    </row>
    <row r="18688">
      <c r="B18688" s="17" t="s">
        <v>477</v>
      </c>
      <c r="K18688" s="18" t="s">
        <v>477</v>
      </c>
    </row>
    <row r="18689">
      <c r="B18689" s="17" t="s">
        <v>477</v>
      </c>
      <c r="K18689" s="18" t="s">
        <v>477</v>
      </c>
    </row>
    <row r="18690">
      <c r="B18690" s="17" t="s">
        <v>477</v>
      </c>
      <c r="K18690" s="18" t="s">
        <v>477</v>
      </c>
    </row>
    <row r="18691">
      <c r="B18691" s="17" t="s">
        <v>477</v>
      </c>
      <c r="K18691" s="18" t="s">
        <v>477</v>
      </c>
    </row>
    <row r="18692">
      <c r="B18692" s="17" t="s">
        <v>477</v>
      </c>
      <c r="K18692" s="18" t="s">
        <v>477</v>
      </c>
    </row>
    <row r="18693">
      <c r="B18693" s="17" t="s">
        <v>477</v>
      </c>
      <c r="K18693" s="18" t="s">
        <v>477</v>
      </c>
    </row>
    <row r="18694">
      <c r="B18694" s="17" t="s">
        <v>477</v>
      </c>
      <c r="K18694" s="18" t="s">
        <v>477</v>
      </c>
    </row>
    <row r="18695">
      <c r="B18695" s="17" t="s">
        <v>477</v>
      </c>
      <c r="K18695" s="18" t="s">
        <v>477</v>
      </c>
    </row>
    <row r="18696">
      <c r="B18696" s="17" t="s">
        <v>477</v>
      </c>
      <c r="K18696" s="18" t="s">
        <v>477</v>
      </c>
    </row>
    <row r="18697">
      <c r="B18697" s="17" t="s">
        <v>477</v>
      </c>
      <c r="K18697" s="18" t="s">
        <v>477</v>
      </c>
    </row>
    <row r="18698">
      <c r="B18698" s="17" t="s">
        <v>477</v>
      </c>
      <c r="K18698" s="18" t="s">
        <v>477</v>
      </c>
    </row>
    <row r="18699">
      <c r="B18699" s="17" t="s">
        <v>477</v>
      </c>
      <c r="K18699" s="18" t="s">
        <v>477</v>
      </c>
    </row>
    <row r="18700">
      <c r="B18700" s="17" t="s">
        <v>477</v>
      </c>
      <c r="K18700" s="18" t="s">
        <v>477</v>
      </c>
    </row>
    <row r="18701">
      <c r="B18701" s="17" t="s">
        <v>477</v>
      </c>
      <c r="K18701" s="18" t="s">
        <v>477</v>
      </c>
    </row>
    <row r="18702">
      <c r="B18702" s="17" t="s">
        <v>477</v>
      </c>
      <c r="K18702" s="18" t="s">
        <v>477</v>
      </c>
    </row>
    <row r="18703">
      <c r="B18703" s="17" t="s">
        <v>477</v>
      </c>
      <c r="K18703" s="18" t="s">
        <v>477</v>
      </c>
    </row>
    <row r="18704">
      <c r="B18704" s="17" t="s">
        <v>477</v>
      </c>
      <c r="K18704" s="18" t="s">
        <v>477</v>
      </c>
    </row>
    <row r="18705">
      <c r="B18705" s="17" t="s">
        <v>477</v>
      </c>
      <c r="K18705" s="18" t="s">
        <v>477</v>
      </c>
    </row>
    <row r="18706">
      <c r="B18706" s="17" t="s">
        <v>477</v>
      </c>
      <c r="K18706" s="18" t="s">
        <v>477</v>
      </c>
    </row>
    <row r="18707">
      <c r="B18707" s="17" t="s">
        <v>477</v>
      </c>
      <c r="K18707" s="18" t="s">
        <v>477</v>
      </c>
    </row>
    <row r="18708">
      <c r="B18708" s="17" t="s">
        <v>477</v>
      </c>
      <c r="K18708" s="18" t="s">
        <v>477</v>
      </c>
    </row>
    <row r="18709">
      <c r="B18709" s="17" t="s">
        <v>477</v>
      </c>
      <c r="K18709" s="18" t="s">
        <v>477</v>
      </c>
    </row>
    <row r="18710">
      <c r="B18710" s="17" t="s">
        <v>477</v>
      </c>
      <c r="K18710" s="18" t="s">
        <v>477</v>
      </c>
    </row>
    <row r="18711">
      <c r="B18711" s="17" t="s">
        <v>477</v>
      </c>
      <c r="K18711" s="18" t="s">
        <v>477</v>
      </c>
    </row>
    <row r="18712">
      <c r="B18712" s="17" t="s">
        <v>477</v>
      </c>
      <c r="K18712" s="18" t="s">
        <v>477</v>
      </c>
    </row>
    <row r="18713">
      <c r="B18713" s="17" t="s">
        <v>477</v>
      </c>
      <c r="K18713" s="18" t="s">
        <v>477</v>
      </c>
    </row>
    <row r="18714">
      <c r="B18714" s="17" t="s">
        <v>477</v>
      </c>
      <c r="K18714" s="18" t="s">
        <v>477</v>
      </c>
    </row>
    <row r="18715">
      <c r="B18715" s="17" t="s">
        <v>477</v>
      </c>
      <c r="K18715" s="18" t="s">
        <v>477</v>
      </c>
    </row>
    <row r="18716">
      <c r="B18716" s="17" t="s">
        <v>477</v>
      </c>
      <c r="K18716" s="18" t="s">
        <v>477</v>
      </c>
    </row>
    <row r="18717">
      <c r="B18717" s="17" t="s">
        <v>477</v>
      </c>
      <c r="K18717" s="18" t="s">
        <v>477</v>
      </c>
    </row>
    <row r="18718">
      <c r="B18718" s="17" t="s">
        <v>477</v>
      </c>
      <c r="K18718" s="18" t="s">
        <v>477</v>
      </c>
    </row>
    <row r="18719">
      <c r="B18719" s="17" t="s">
        <v>477</v>
      </c>
      <c r="K18719" s="18" t="s">
        <v>477</v>
      </c>
    </row>
    <row r="18720">
      <c r="B18720" s="17" t="s">
        <v>477</v>
      </c>
      <c r="K18720" s="18" t="s">
        <v>477</v>
      </c>
    </row>
    <row r="18721">
      <c r="B18721" s="17" t="s">
        <v>477</v>
      </c>
      <c r="K18721" s="18" t="s">
        <v>477</v>
      </c>
    </row>
    <row r="18722">
      <c r="B18722" s="17" t="s">
        <v>477</v>
      </c>
      <c r="K18722" s="18" t="s">
        <v>477</v>
      </c>
    </row>
    <row r="18723">
      <c r="B18723" s="17" t="s">
        <v>477</v>
      </c>
      <c r="K18723" s="18" t="s">
        <v>477</v>
      </c>
    </row>
    <row r="18724">
      <c r="B18724" s="17" t="s">
        <v>477</v>
      </c>
      <c r="K18724" s="18" t="s">
        <v>477</v>
      </c>
    </row>
    <row r="18725">
      <c r="B18725" s="17" t="s">
        <v>477</v>
      </c>
      <c r="K18725" s="18" t="s">
        <v>477</v>
      </c>
    </row>
    <row r="18726">
      <c r="B18726" s="17" t="s">
        <v>477</v>
      </c>
      <c r="K18726" s="18" t="s">
        <v>477</v>
      </c>
    </row>
    <row r="18727">
      <c r="B18727" s="17" t="s">
        <v>477</v>
      </c>
      <c r="K18727" s="18" t="s">
        <v>477</v>
      </c>
    </row>
    <row r="18728">
      <c r="B18728" s="17" t="s">
        <v>477</v>
      </c>
      <c r="K18728" s="18" t="s">
        <v>477</v>
      </c>
    </row>
    <row r="18729">
      <c r="B18729" s="17" t="s">
        <v>477</v>
      </c>
      <c r="K18729" s="18" t="s">
        <v>477</v>
      </c>
    </row>
    <row r="18730">
      <c r="B18730" s="17" t="s">
        <v>477</v>
      </c>
      <c r="K18730" s="18" t="s">
        <v>477</v>
      </c>
    </row>
    <row r="18731">
      <c r="B18731" s="17" t="s">
        <v>477</v>
      </c>
      <c r="K18731" s="18" t="s">
        <v>477</v>
      </c>
    </row>
    <row r="18732">
      <c r="B18732" s="17" t="s">
        <v>477</v>
      </c>
      <c r="K18732" s="18" t="s">
        <v>477</v>
      </c>
    </row>
    <row r="18733">
      <c r="B18733" s="17" t="s">
        <v>477</v>
      </c>
      <c r="K18733" s="18" t="s">
        <v>477</v>
      </c>
    </row>
    <row r="18734">
      <c r="B18734" s="17" t="s">
        <v>477</v>
      </c>
      <c r="K18734" s="18" t="s">
        <v>477</v>
      </c>
    </row>
    <row r="18735">
      <c r="B18735" s="17" t="s">
        <v>477</v>
      </c>
      <c r="K18735" s="18" t="s">
        <v>477</v>
      </c>
    </row>
    <row r="18736">
      <c r="B18736" s="17" t="s">
        <v>477</v>
      </c>
      <c r="K18736" s="18" t="s">
        <v>477</v>
      </c>
    </row>
    <row r="18737">
      <c r="B18737" s="17" t="s">
        <v>477</v>
      </c>
      <c r="K18737" s="18" t="s">
        <v>477</v>
      </c>
    </row>
    <row r="18738">
      <c r="B18738" s="17" t="s">
        <v>477</v>
      </c>
      <c r="K18738" s="18" t="s">
        <v>477</v>
      </c>
    </row>
    <row r="18739">
      <c r="B18739" s="17" t="s">
        <v>477</v>
      </c>
      <c r="K18739" s="18" t="s">
        <v>477</v>
      </c>
    </row>
    <row r="18740">
      <c r="B18740" s="17" t="s">
        <v>477</v>
      </c>
      <c r="K18740" s="18" t="s">
        <v>477</v>
      </c>
    </row>
    <row r="18741">
      <c r="B18741" s="17" t="s">
        <v>477</v>
      </c>
      <c r="K18741" s="18" t="s">
        <v>477</v>
      </c>
    </row>
    <row r="18742">
      <c r="B18742" s="17" t="s">
        <v>477</v>
      </c>
      <c r="K18742" s="18" t="s">
        <v>477</v>
      </c>
    </row>
    <row r="18743">
      <c r="B18743" s="17" t="s">
        <v>477</v>
      </c>
      <c r="K18743" s="18" t="s">
        <v>477</v>
      </c>
    </row>
    <row r="18744">
      <c r="B18744" s="17" t="s">
        <v>477</v>
      </c>
      <c r="K18744" s="18" t="s">
        <v>477</v>
      </c>
    </row>
    <row r="18745">
      <c r="B18745" s="17" t="s">
        <v>477</v>
      </c>
      <c r="K18745" s="18" t="s">
        <v>477</v>
      </c>
    </row>
    <row r="18746">
      <c r="B18746" s="17" t="s">
        <v>477</v>
      </c>
      <c r="K18746" s="18" t="s">
        <v>477</v>
      </c>
    </row>
    <row r="18747">
      <c r="B18747" s="17" t="s">
        <v>477</v>
      </c>
      <c r="K18747" s="18" t="s">
        <v>477</v>
      </c>
    </row>
    <row r="18748">
      <c r="B18748" s="17" t="s">
        <v>477</v>
      </c>
      <c r="K18748" s="18" t="s">
        <v>477</v>
      </c>
    </row>
    <row r="18749">
      <c r="B18749" s="17" t="s">
        <v>477</v>
      </c>
      <c r="K18749" s="18" t="s">
        <v>477</v>
      </c>
    </row>
    <row r="18750">
      <c r="B18750" s="17" t="s">
        <v>477</v>
      </c>
      <c r="K18750" s="18" t="s">
        <v>477</v>
      </c>
    </row>
    <row r="18751">
      <c r="B18751" s="17" t="s">
        <v>477</v>
      </c>
      <c r="K18751" s="18" t="s">
        <v>477</v>
      </c>
    </row>
    <row r="18752">
      <c r="B18752" s="17" t="s">
        <v>477</v>
      </c>
      <c r="K18752" s="18" t="s">
        <v>477</v>
      </c>
    </row>
    <row r="18753">
      <c r="B18753" s="17" t="s">
        <v>477</v>
      </c>
      <c r="K18753" s="18" t="s">
        <v>477</v>
      </c>
    </row>
    <row r="18754">
      <c r="B18754" s="17" t="s">
        <v>477</v>
      </c>
      <c r="K18754" s="18" t="s">
        <v>477</v>
      </c>
    </row>
    <row r="18755">
      <c r="B18755" s="17" t="s">
        <v>477</v>
      </c>
      <c r="K18755" s="18" t="s">
        <v>477</v>
      </c>
    </row>
    <row r="18756">
      <c r="B18756" s="17" t="s">
        <v>477</v>
      </c>
      <c r="K18756" s="18" t="s">
        <v>477</v>
      </c>
    </row>
    <row r="18757">
      <c r="B18757" s="17" t="s">
        <v>477</v>
      </c>
      <c r="K18757" s="18" t="s">
        <v>477</v>
      </c>
    </row>
    <row r="18758">
      <c r="B18758" s="17" t="s">
        <v>477</v>
      </c>
      <c r="K18758" s="18" t="s">
        <v>477</v>
      </c>
    </row>
    <row r="18759">
      <c r="B18759" s="17" t="s">
        <v>477</v>
      </c>
      <c r="K18759" s="18" t="s">
        <v>477</v>
      </c>
    </row>
    <row r="18760">
      <c r="B18760" s="17" t="s">
        <v>477</v>
      </c>
      <c r="K18760" s="18" t="s">
        <v>477</v>
      </c>
    </row>
    <row r="18761">
      <c r="B18761" s="17" t="s">
        <v>477</v>
      </c>
      <c r="K18761" s="18" t="s">
        <v>477</v>
      </c>
    </row>
    <row r="18762">
      <c r="B18762" s="17" t="s">
        <v>477</v>
      </c>
      <c r="K18762" s="18" t="s">
        <v>477</v>
      </c>
    </row>
    <row r="18763">
      <c r="B18763" s="17" t="s">
        <v>477</v>
      </c>
      <c r="K18763" s="18" t="s">
        <v>477</v>
      </c>
    </row>
    <row r="18764">
      <c r="B18764" s="17" t="s">
        <v>477</v>
      </c>
      <c r="K18764" s="18" t="s">
        <v>477</v>
      </c>
    </row>
    <row r="18765">
      <c r="B18765" s="17" t="s">
        <v>477</v>
      </c>
      <c r="K18765" s="18" t="s">
        <v>477</v>
      </c>
    </row>
    <row r="18766">
      <c r="B18766" s="17" t="s">
        <v>477</v>
      </c>
      <c r="K18766" s="18" t="s">
        <v>477</v>
      </c>
    </row>
    <row r="18767">
      <c r="B18767" s="17" t="s">
        <v>477</v>
      </c>
      <c r="K18767" s="18" t="s">
        <v>477</v>
      </c>
    </row>
    <row r="18768">
      <c r="B18768" s="17" t="s">
        <v>477</v>
      </c>
      <c r="K18768" s="18" t="s">
        <v>477</v>
      </c>
    </row>
    <row r="18769">
      <c r="B18769" s="17" t="s">
        <v>477</v>
      </c>
      <c r="K18769" s="18" t="s">
        <v>477</v>
      </c>
    </row>
    <row r="18770">
      <c r="B18770" s="17" t="s">
        <v>477</v>
      </c>
      <c r="K18770" s="18" t="s">
        <v>477</v>
      </c>
    </row>
    <row r="18771">
      <c r="B18771" s="17" t="s">
        <v>477</v>
      </c>
      <c r="K18771" s="18" t="s">
        <v>477</v>
      </c>
    </row>
    <row r="18772">
      <c r="B18772" s="17" t="s">
        <v>477</v>
      </c>
      <c r="K18772" s="18" t="s">
        <v>477</v>
      </c>
    </row>
    <row r="18773">
      <c r="B18773" s="17" t="s">
        <v>477</v>
      </c>
      <c r="K18773" s="18" t="s">
        <v>477</v>
      </c>
    </row>
    <row r="18774">
      <c r="B18774" s="17" t="s">
        <v>477</v>
      </c>
      <c r="K18774" s="18" t="s">
        <v>477</v>
      </c>
    </row>
    <row r="18775">
      <c r="B18775" s="17" t="s">
        <v>477</v>
      </c>
      <c r="K18775" s="18" t="s">
        <v>477</v>
      </c>
    </row>
    <row r="18776">
      <c r="B18776" s="17" t="s">
        <v>477</v>
      </c>
      <c r="K18776" s="18" t="s">
        <v>477</v>
      </c>
    </row>
    <row r="18777">
      <c r="B18777" s="17" t="s">
        <v>477</v>
      </c>
      <c r="K18777" s="18" t="s">
        <v>477</v>
      </c>
    </row>
    <row r="18778">
      <c r="B18778" s="17" t="s">
        <v>477</v>
      </c>
      <c r="K18778" s="18" t="s">
        <v>477</v>
      </c>
    </row>
    <row r="18779">
      <c r="B18779" s="17" t="s">
        <v>477</v>
      </c>
      <c r="K18779" s="18" t="s">
        <v>477</v>
      </c>
    </row>
    <row r="18780">
      <c r="B18780" s="17" t="s">
        <v>477</v>
      </c>
      <c r="K18780" s="18" t="s">
        <v>477</v>
      </c>
    </row>
    <row r="18781">
      <c r="B18781" s="17" t="s">
        <v>477</v>
      </c>
      <c r="K18781" s="18" t="s">
        <v>477</v>
      </c>
    </row>
    <row r="18782">
      <c r="B18782" s="17" t="s">
        <v>477</v>
      </c>
      <c r="K18782" s="18" t="s">
        <v>477</v>
      </c>
    </row>
    <row r="18783">
      <c r="B18783" s="17" t="s">
        <v>477</v>
      </c>
      <c r="K18783" s="18" t="s">
        <v>477</v>
      </c>
    </row>
    <row r="18784">
      <c r="B18784" s="17" t="s">
        <v>477</v>
      </c>
      <c r="K18784" s="18" t="s">
        <v>477</v>
      </c>
    </row>
    <row r="18785">
      <c r="B18785" s="17" t="s">
        <v>477</v>
      </c>
      <c r="K18785" s="18" t="s">
        <v>477</v>
      </c>
    </row>
    <row r="18786">
      <c r="B18786" s="17" t="s">
        <v>477</v>
      </c>
      <c r="K18786" s="18" t="s">
        <v>477</v>
      </c>
    </row>
    <row r="18787">
      <c r="B18787" s="17" t="s">
        <v>477</v>
      </c>
      <c r="K18787" s="18" t="s">
        <v>477</v>
      </c>
    </row>
    <row r="18788">
      <c r="B18788" s="17" t="s">
        <v>477</v>
      </c>
      <c r="K18788" s="18" t="s">
        <v>477</v>
      </c>
    </row>
    <row r="18789">
      <c r="B18789" s="17" t="s">
        <v>477</v>
      </c>
      <c r="K18789" s="18" t="s">
        <v>477</v>
      </c>
    </row>
    <row r="18790">
      <c r="B18790" s="17" t="s">
        <v>477</v>
      </c>
      <c r="K18790" s="18" t="s">
        <v>477</v>
      </c>
    </row>
    <row r="18791">
      <c r="B18791" s="17" t="s">
        <v>477</v>
      </c>
      <c r="K18791" s="18" t="s">
        <v>477</v>
      </c>
    </row>
    <row r="18792">
      <c r="B18792" s="17" t="s">
        <v>477</v>
      </c>
      <c r="K18792" s="18" t="s">
        <v>477</v>
      </c>
    </row>
    <row r="18793">
      <c r="B18793" s="17" t="s">
        <v>477</v>
      </c>
      <c r="K18793" s="18" t="s">
        <v>477</v>
      </c>
    </row>
    <row r="18794">
      <c r="B18794" s="17" t="s">
        <v>477</v>
      </c>
      <c r="K18794" s="18" t="s">
        <v>477</v>
      </c>
    </row>
    <row r="18795">
      <c r="B18795" s="17" t="s">
        <v>477</v>
      </c>
      <c r="K18795" s="18" t="s">
        <v>477</v>
      </c>
    </row>
    <row r="18796">
      <c r="B18796" s="17" t="s">
        <v>477</v>
      </c>
      <c r="K18796" s="18" t="s">
        <v>477</v>
      </c>
    </row>
    <row r="18797">
      <c r="B18797" s="17" t="s">
        <v>477</v>
      </c>
      <c r="K18797" s="18" t="s">
        <v>477</v>
      </c>
    </row>
    <row r="18798">
      <c r="B18798" s="17" t="s">
        <v>477</v>
      </c>
      <c r="K18798" s="18" t="s">
        <v>477</v>
      </c>
    </row>
    <row r="18799">
      <c r="B18799" s="17" t="s">
        <v>477</v>
      </c>
      <c r="K18799" s="18" t="s">
        <v>477</v>
      </c>
    </row>
    <row r="18800">
      <c r="B18800" s="17" t="s">
        <v>477</v>
      </c>
      <c r="K18800" s="18" t="s">
        <v>477</v>
      </c>
    </row>
    <row r="18801">
      <c r="B18801" s="17" t="s">
        <v>477</v>
      </c>
      <c r="K18801" s="18" t="s">
        <v>477</v>
      </c>
    </row>
    <row r="18802">
      <c r="B18802" s="17" t="s">
        <v>477</v>
      </c>
      <c r="K18802" s="18" t="s">
        <v>477</v>
      </c>
    </row>
    <row r="18803">
      <c r="B18803" s="17" t="s">
        <v>477</v>
      </c>
      <c r="K18803" s="18" t="s">
        <v>477</v>
      </c>
    </row>
    <row r="18804">
      <c r="B18804" s="17" t="s">
        <v>477</v>
      </c>
      <c r="K18804" s="18" t="s">
        <v>477</v>
      </c>
    </row>
    <row r="18805">
      <c r="B18805" s="17" t="s">
        <v>477</v>
      </c>
      <c r="K18805" s="18" t="s">
        <v>477</v>
      </c>
    </row>
    <row r="18806">
      <c r="B18806" s="17" t="s">
        <v>477</v>
      </c>
      <c r="K18806" s="18" t="s">
        <v>477</v>
      </c>
    </row>
    <row r="18807">
      <c r="B18807" s="17" t="s">
        <v>477</v>
      </c>
      <c r="K18807" s="18" t="s">
        <v>477</v>
      </c>
    </row>
    <row r="18808">
      <c r="B18808" s="17" t="s">
        <v>477</v>
      </c>
      <c r="K18808" s="18" t="s">
        <v>477</v>
      </c>
    </row>
    <row r="18809">
      <c r="B18809" s="17" t="s">
        <v>477</v>
      </c>
      <c r="K18809" s="18" t="s">
        <v>477</v>
      </c>
    </row>
    <row r="18810">
      <c r="B18810" s="17" t="s">
        <v>477</v>
      </c>
      <c r="K18810" s="18" t="s">
        <v>477</v>
      </c>
    </row>
    <row r="18811">
      <c r="B18811" s="17" t="s">
        <v>477</v>
      </c>
      <c r="K18811" s="18" t="s">
        <v>477</v>
      </c>
    </row>
    <row r="18812">
      <c r="B18812" s="17" t="s">
        <v>477</v>
      </c>
      <c r="K18812" s="18" t="s">
        <v>477</v>
      </c>
    </row>
    <row r="18813">
      <c r="B18813" s="17" t="s">
        <v>477</v>
      </c>
      <c r="K18813" s="18" t="s">
        <v>477</v>
      </c>
    </row>
    <row r="18814">
      <c r="B18814" s="17" t="s">
        <v>477</v>
      </c>
      <c r="K18814" s="18" t="s">
        <v>477</v>
      </c>
    </row>
    <row r="18815">
      <c r="B18815" s="17" t="s">
        <v>477</v>
      </c>
      <c r="K18815" s="18" t="s">
        <v>477</v>
      </c>
    </row>
    <row r="18816">
      <c r="B18816" s="17" t="s">
        <v>477</v>
      </c>
      <c r="K18816" s="18" t="s">
        <v>477</v>
      </c>
    </row>
    <row r="18817">
      <c r="B18817" s="17" t="s">
        <v>477</v>
      </c>
      <c r="K18817" s="18" t="s">
        <v>477</v>
      </c>
    </row>
    <row r="18818">
      <c r="B18818" s="17" t="s">
        <v>477</v>
      </c>
      <c r="K18818" s="18" t="s">
        <v>477</v>
      </c>
    </row>
    <row r="18819">
      <c r="B18819" s="17" t="s">
        <v>477</v>
      </c>
      <c r="K18819" s="18" t="s">
        <v>477</v>
      </c>
    </row>
    <row r="18820">
      <c r="B18820" s="17" t="s">
        <v>477</v>
      </c>
      <c r="K18820" s="18" t="s">
        <v>477</v>
      </c>
    </row>
    <row r="18821">
      <c r="B18821" s="17" t="s">
        <v>477</v>
      </c>
      <c r="K18821" s="18" t="s">
        <v>477</v>
      </c>
    </row>
    <row r="18822">
      <c r="B18822" s="17" t="s">
        <v>477</v>
      </c>
      <c r="K18822" s="18" t="s">
        <v>477</v>
      </c>
    </row>
    <row r="18823">
      <c r="B18823" s="17" t="s">
        <v>477</v>
      </c>
      <c r="K18823" s="18" t="s">
        <v>477</v>
      </c>
    </row>
    <row r="18824">
      <c r="B18824" s="17" t="s">
        <v>477</v>
      </c>
      <c r="K18824" s="18" t="s">
        <v>477</v>
      </c>
    </row>
    <row r="18825">
      <c r="B18825" s="17" t="s">
        <v>477</v>
      </c>
      <c r="K18825" s="18" t="s">
        <v>477</v>
      </c>
    </row>
    <row r="18826">
      <c r="B18826" s="17" t="s">
        <v>477</v>
      </c>
      <c r="K18826" s="18" t="s">
        <v>477</v>
      </c>
    </row>
    <row r="18827">
      <c r="B18827" s="17" t="s">
        <v>477</v>
      </c>
      <c r="K18827" s="18" t="s">
        <v>477</v>
      </c>
    </row>
    <row r="18828">
      <c r="B18828" s="17" t="s">
        <v>477</v>
      </c>
      <c r="K18828" s="18" t="s">
        <v>477</v>
      </c>
    </row>
    <row r="18829">
      <c r="B18829" s="17" t="s">
        <v>477</v>
      </c>
      <c r="K18829" s="18" t="s">
        <v>477</v>
      </c>
    </row>
    <row r="18830">
      <c r="B18830" s="17" t="s">
        <v>477</v>
      </c>
      <c r="K18830" s="18" t="s">
        <v>477</v>
      </c>
    </row>
    <row r="18831">
      <c r="B18831" s="17" t="s">
        <v>477</v>
      </c>
      <c r="K18831" s="18" t="s">
        <v>477</v>
      </c>
    </row>
    <row r="18832">
      <c r="B18832" s="17" t="s">
        <v>477</v>
      </c>
      <c r="K18832" s="18" t="s">
        <v>477</v>
      </c>
    </row>
    <row r="18833">
      <c r="B18833" s="17" t="s">
        <v>477</v>
      </c>
      <c r="K18833" s="18" t="s">
        <v>477</v>
      </c>
    </row>
    <row r="18834">
      <c r="B18834" s="17" t="s">
        <v>477</v>
      </c>
      <c r="K18834" s="18" t="s">
        <v>477</v>
      </c>
    </row>
    <row r="18835">
      <c r="B18835" s="17" t="s">
        <v>477</v>
      </c>
      <c r="K18835" s="18" t="s">
        <v>477</v>
      </c>
    </row>
    <row r="18836">
      <c r="B18836" s="17" t="s">
        <v>477</v>
      </c>
      <c r="K18836" s="18" t="s">
        <v>477</v>
      </c>
    </row>
    <row r="18837">
      <c r="B18837" s="17" t="s">
        <v>477</v>
      </c>
      <c r="K18837" s="18" t="s">
        <v>477</v>
      </c>
    </row>
    <row r="18838">
      <c r="B18838" s="17" t="s">
        <v>477</v>
      </c>
      <c r="K18838" s="18" t="s">
        <v>477</v>
      </c>
    </row>
    <row r="18839">
      <c r="B18839" s="17" t="s">
        <v>477</v>
      </c>
      <c r="K18839" s="18" t="s">
        <v>477</v>
      </c>
    </row>
    <row r="18840">
      <c r="B18840" s="17" t="s">
        <v>477</v>
      </c>
      <c r="K18840" s="18" t="s">
        <v>477</v>
      </c>
    </row>
    <row r="18841">
      <c r="B18841" s="17" t="s">
        <v>477</v>
      </c>
      <c r="K18841" s="18" t="s">
        <v>477</v>
      </c>
    </row>
    <row r="18842">
      <c r="B18842" s="17" t="s">
        <v>477</v>
      </c>
      <c r="K18842" s="18" t="s">
        <v>477</v>
      </c>
    </row>
    <row r="18843">
      <c r="B18843" s="17" t="s">
        <v>477</v>
      </c>
      <c r="K18843" s="18" t="s">
        <v>477</v>
      </c>
    </row>
    <row r="18844">
      <c r="B18844" s="17" t="s">
        <v>477</v>
      </c>
      <c r="K18844" s="18" t="s">
        <v>477</v>
      </c>
    </row>
    <row r="18845">
      <c r="B18845" s="17" t="s">
        <v>477</v>
      </c>
      <c r="K18845" s="18" t="s">
        <v>477</v>
      </c>
    </row>
    <row r="18846">
      <c r="B18846" s="17" t="s">
        <v>477</v>
      </c>
      <c r="K18846" s="18" t="s">
        <v>477</v>
      </c>
    </row>
    <row r="18847">
      <c r="B18847" s="17" t="s">
        <v>477</v>
      </c>
      <c r="K18847" s="18" t="s">
        <v>477</v>
      </c>
    </row>
    <row r="18848">
      <c r="B18848" s="17" t="s">
        <v>477</v>
      </c>
      <c r="K18848" s="18" t="s">
        <v>477</v>
      </c>
    </row>
    <row r="18849">
      <c r="B18849" s="17" t="s">
        <v>477</v>
      </c>
      <c r="K18849" s="18" t="s">
        <v>477</v>
      </c>
    </row>
    <row r="18850">
      <c r="B18850" s="17" t="s">
        <v>477</v>
      </c>
      <c r="K18850" s="18" t="s">
        <v>477</v>
      </c>
    </row>
    <row r="18851">
      <c r="B18851" s="17" t="s">
        <v>477</v>
      </c>
      <c r="K18851" s="18" t="s">
        <v>477</v>
      </c>
    </row>
    <row r="18852">
      <c r="B18852" s="17" t="s">
        <v>477</v>
      </c>
      <c r="K18852" s="18" t="s">
        <v>477</v>
      </c>
    </row>
    <row r="18853">
      <c r="B18853" s="17" t="s">
        <v>477</v>
      </c>
      <c r="K18853" s="18" t="s">
        <v>477</v>
      </c>
    </row>
    <row r="18854">
      <c r="B18854" s="17" t="s">
        <v>477</v>
      </c>
      <c r="K18854" s="18" t="s">
        <v>477</v>
      </c>
    </row>
    <row r="18855">
      <c r="B18855" s="17" t="s">
        <v>477</v>
      </c>
      <c r="K18855" s="18" t="s">
        <v>477</v>
      </c>
    </row>
    <row r="18856">
      <c r="B18856" s="17" t="s">
        <v>477</v>
      </c>
      <c r="K18856" s="18" t="s">
        <v>477</v>
      </c>
    </row>
    <row r="18857">
      <c r="B18857" s="17" t="s">
        <v>477</v>
      </c>
      <c r="K18857" s="18" t="s">
        <v>477</v>
      </c>
    </row>
    <row r="18858">
      <c r="B18858" s="17" t="s">
        <v>477</v>
      </c>
      <c r="K18858" s="18" t="s">
        <v>477</v>
      </c>
    </row>
    <row r="18859">
      <c r="B18859" s="17" t="s">
        <v>477</v>
      </c>
      <c r="K18859" s="18" t="s">
        <v>477</v>
      </c>
    </row>
    <row r="18860">
      <c r="B18860" s="17" t="s">
        <v>477</v>
      </c>
      <c r="K18860" s="18" t="s">
        <v>477</v>
      </c>
    </row>
    <row r="18861">
      <c r="B18861" s="17" t="s">
        <v>477</v>
      </c>
      <c r="K18861" s="18" t="s">
        <v>477</v>
      </c>
    </row>
    <row r="18862">
      <c r="B18862" s="17" t="s">
        <v>477</v>
      </c>
      <c r="K18862" s="18" t="s">
        <v>477</v>
      </c>
    </row>
    <row r="18863">
      <c r="B18863" s="17" t="s">
        <v>477</v>
      </c>
      <c r="K18863" s="18" t="s">
        <v>477</v>
      </c>
    </row>
    <row r="18864">
      <c r="B18864" s="17" t="s">
        <v>477</v>
      </c>
      <c r="K18864" s="18" t="s">
        <v>477</v>
      </c>
    </row>
    <row r="18865">
      <c r="B18865" s="17" t="s">
        <v>477</v>
      </c>
      <c r="K18865" s="18" t="s">
        <v>477</v>
      </c>
    </row>
    <row r="18866">
      <c r="B18866" s="17" t="s">
        <v>477</v>
      </c>
      <c r="K18866" s="18" t="s">
        <v>477</v>
      </c>
    </row>
    <row r="18867">
      <c r="B18867" s="17" t="s">
        <v>477</v>
      </c>
      <c r="K18867" s="18" t="s">
        <v>477</v>
      </c>
    </row>
    <row r="18868">
      <c r="B18868" s="17" t="s">
        <v>477</v>
      </c>
      <c r="K18868" s="18" t="s">
        <v>477</v>
      </c>
    </row>
    <row r="18869">
      <c r="B18869" s="17" t="s">
        <v>477</v>
      </c>
      <c r="K18869" s="18" t="s">
        <v>477</v>
      </c>
    </row>
    <row r="18870">
      <c r="B18870" s="17" t="s">
        <v>477</v>
      </c>
      <c r="K18870" s="18" t="s">
        <v>477</v>
      </c>
    </row>
    <row r="18871">
      <c r="B18871" s="17" t="s">
        <v>477</v>
      </c>
      <c r="K18871" s="18" t="s">
        <v>477</v>
      </c>
    </row>
    <row r="18872">
      <c r="B18872" s="17" t="s">
        <v>477</v>
      </c>
      <c r="K18872" s="18" t="s">
        <v>477</v>
      </c>
    </row>
    <row r="18873">
      <c r="B18873" s="17" t="s">
        <v>477</v>
      </c>
      <c r="K18873" s="18" t="s">
        <v>477</v>
      </c>
    </row>
    <row r="18874">
      <c r="B18874" s="17" t="s">
        <v>477</v>
      </c>
      <c r="K18874" s="18" t="s">
        <v>477</v>
      </c>
    </row>
    <row r="18875">
      <c r="B18875" s="17" t="s">
        <v>477</v>
      </c>
      <c r="K18875" s="18" t="s">
        <v>477</v>
      </c>
    </row>
    <row r="18876">
      <c r="B18876" s="17" t="s">
        <v>477</v>
      </c>
      <c r="K18876" s="18" t="s">
        <v>477</v>
      </c>
    </row>
    <row r="18877">
      <c r="B18877" s="17" t="s">
        <v>477</v>
      </c>
      <c r="K18877" s="18" t="s">
        <v>477</v>
      </c>
    </row>
    <row r="18878">
      <c r="B18878" s="17" t="s">
        <v>477</v>
      </c>
      <c r="K18878" s="18" t="s">
        <v>477</v>
      </c>
    </row>
    <row r="18879">
      <c r="B18879" s="17" t="s">
        <v>477</v>
      </c>
      <c r="K18879" s="18" t="s">
        <v>477</v>
      </c>
    </row>
    <row r="18880">
      <c r="B18880" s="17" t="s">
        <v>477</v>
      </c>
      <c r="K18880" s="18" t="s">
        <v>477</v>
      </c>
    </row>
    <row r="18881">
      <c r="B18881" s="17" t="s">
        <v>477</v>
      </c>
      <c r="K18881" s="18" t="s">
        <v>477</v>
      </c>
    </row>
    <row r="18882">
      <c r="B18882" s="17" t="s">
        <v>477</v>
      </c>
      <c r="K18882" s="18" t="s">
        <v>477</v>
      </c>
    </row>
    <row r="18883">
      <c r="B18883" s="17" t="s">
        <v>477</v>
      </c>
      <c r="K18883" s="18" t="s">
        <v>477</v>
      </c>
    </row>
    <row r="18884">
      <c r="B18884" s="17" t="s">
        <v>477</v>
      </c>
      <c r="K18884" s="18" t="s">
        <v>477</v>
      </c>
    </row>
    <row r="18885">
      <c r="B18885" s="17" t="s">
        <v>477</v>
      </c>
      <c r="K18885" s="18" t="s">
        <v>477</v>
      </c>
    </row>
    <row r="18886">
      <c r="B18886" s="17" t="s">
        <v>477</v>
      </c>
      <c r="K18886" s="18" t="s">
        <v>477</v>
      </c>
    </row>
    <row r="18887">
      <c r="B18887" s="17" t="s">
        <v>477</v>
      </c>
      <c r="K18887" s="18" t="s">
        <v>477</v>
      </c>
    </row>
    <row r="18888">
      <c r="B18888" s="17" t="s">
        <v>477</v>
      </c>
      <c r="K18888" s="18" t="s">
        <v>477</v>
      </c>
    </row>
    <row r="18889">
      <c r="B18889" s="17" t="s">
        <v>477</v>
      </c>
      <c r="K18889" s="18" t="s">
        <v>477</v>
      </c>
    </row>
    <row r="18890">
      <c r="B18890" s="17" t="s">
        <v>477</v>
      </c>
      <c r="K18890" s="18" t="s">
        <v>477</v>
      </c>
    </row>
    <row r="18891">
      <c r="B18891" s="17" t="s">
        <v>477</v>
      </c>
      <c r="K18891" s="18" t="s">
        <v>477</v>
      </c>
    </row>
    <row r="18892">
      <c r="B18892" s="17" t="s">
        <v>477</v>
      </c>
      <c r="K18892" s="18" t="s">
        <v>477</v>
      </c>
    </row>
    <row r="18893">
      <c r="B18893" s="17" t="s">
        <v>477</v>
      </c>
      <c r="K18893" s="18" t="s">
        <v>477</v>
      </c>
    </row>
    <row r="18894">
      <c r="B18894" s="17" t="s">
        <v>477</v>
      </c>
      <c r="K18894" s="18" t="s">
        <v>477</v>
      </c>
    </row>
    <row r="18895">
      <c r="B18895" s="17" t="s">
        <v>477</v>
      </c>
      <c r="K18895" s="18" t="s">
        <v>477</v>
      </c>
    </row>
    <row r="18896">
      <c r="B18896" s="17" t="s">
        <v>477</v>
      </c>
      <c r="K18896" s="18" t="s">
        <v>477</v>
      </c>
    </row>
    <row r="18897">
      <c r="B18897" s="17" t="s">
        <v>477</v>
      </c>
      <c r="K18897" s="18" t="s">
        <v>477</v>
      </c>
    </row>
    <row r="18898">
      <c r="B18898" s="17" t="s">
        <v>477</v>
      </c>
      <c r="K18898" s="18" t="s">
        <v>477</v>
      </c>
    </row>
    <row r="18899">
      <c r="B18899" s="17" t="s">
        <v>477</v>
      </c>
      <c r="K18899" s="18" t="s">
        <v>477</v>
      </c>
    </row>
    <row r="18900">
      <c r="B18900" s="17" t="s">
        <v>477</v>
      </c>
      <c r="K18900" s="18" t="s">
        <v>477</v>
      </c>
    </row>
    <row r="18901">
      <c r="B18901" s="17" t="s">
        <v>477</v>
      </c>
      <c r="K18901" s="18" t="s">
        <v>477</v>
      </c>
    </row>
    <row r="18902">
      <c r="B18902" s="17" t="s">
        <v>477</v>
      </c>
      <c r="K18902" s="18" t="s">
        <v>477</v>
      </c>
    </row>
    <row r="18903">
      <c r="B18903" s="17" t="s">
        <v>477</v>
      </c>
      <c r="K18903" s="18" t="s">
        <v>477</v>
      </c>
    </row>
    <row r="18904">
      <c r="B18904" s="17" t="s">
        <v>477</v>
      </c>
      <c r="K18904" s="18" t="s">
        <v>477</v>
      </c>
    </row>
    <row r="18905">
      <c r="B18905" s="17" t="s">
        <v>477</v>
      </c>
      <c r="K18905" s="18" t="s">
        <v>477</v>
      </c>
    </row>
    <row r="18906">
      <c r="B18906" s="17" t="s">
        <v>477</v>
      </c>
      <c r="K18906" s="18" t="s">
        <v>477</v>
      </c>
    </row>
    <row r="18907">
      <c r="B18907" s="17" t="s">
        <v>477</v>
      </c>
      <c r="K18907" s="18" t="s">
        <v>477</v>
      </c>
    </row>
    <row r="18908">
      <c r="B18908" s="17" t="s">
        <v>477</v>
      </c>
      <c r="K18908" s="18" t="s">
        <v>477</v>
      </c>
    </row>
    <row r="18909">
      <c r="B18909" s="17" t="s">
        <v>477</v>
      </c>
      <c r="K18909" s="18" t="s">
        <v>477</v>
      </c>
    </row>
    <row r="18910">
      <c r="B18910" s="17" t="s">
        <v>477</v>
      </c>
      <c r="K18910" s="18" t="s">
        <v>477</v>
      </c>
    </row>
    <row r="18911">
      <c r="B18911" s="17" t="s">
        <v>477</v>
      </c>
      <c r="K18911" s="18" t="s">
        <v>477</v>
      </c>
    </row>
    <row r="18912">
      <c r="B18912" s="17" t="s">
        <v>477</v>
      </c>
      <c r="K18912" s="18" t="s">
        <v>477</v>
      </c>
    </row>
    <row r="18913">
      <c r="B18913" s="17" t="s">
        <v>477</v>
      </c>
      <c r="K18913" s="18" t="s">
        <v>477</v>
      </c>
    </row>
    <row r="18914">
      <c r="B18914" s="17" t="s">
        <v>477</v>
      </c>
      <c r="K18914" s="18" t="s">
        <v>477</v>
      </c>
    </row>
    <row r="18915">
      <c r="B18915" s="17" t="s">
        <v>477</v>
      </c>
      <c r="K18915" s="18" t="s">
        <v>477</v>
      </c>
    </row>
    <row r="18916">
      <c r="B18916" s="17" t="s">
        <v>477</v>
      </c>
      <c r="K18916" s="18" t="s">
        <v>477</v>
      </c>
    </row>
    <row r="18917">
      <c r="B18917" s="17" t="s">
        <v>477</v>
      </c>
      <c r="K18917" s="18" t="s">
        <v>477</v>
      </c>
    </row>
    <row r="18918">
      <c r="B18918" s="17" t="s">
        <v>477</v>
      </c>
      <c r="K18918" s="18" t="s">
        <v>477</v>
      </c>
    </row>
    <row r="18919">
      <c r="B18919" s="17" t="s">
        <v>477</v>
      </c>
      <c r="K18919" s="18" t="s">
        <v>477</v>
      </c>
    </row>
    <row r="18920">
      <c r="B18920" s="17" t="s">
        <v>477</v>
      </c>
      <c r="K18920" s="18" t="s">
        <v>477</v>
      </c>
    </row>
    <row r="18921">
      <c r="B18921" s="17" t="s">
        <v>477</v>
      </c>
      <c r="K18921" s="18" t="s">
        <v>477</v>
      </c>
    </row>
    <row r="18922">
      <c r="B18922" s="17" t="s">
        <v>477</v>
      </c>
      <c r="K18922" s="18" t="s">
        <v>477</v>
      </c>
    </row>
    <row r="18923">
      <c r="B18923" s="17" t="s">
        <v>477</v>
      </c>
      <c r="K18923" s="18" t="s">
        <v>477</v>
      </c>
    </row>
    <row r="18924">
      <c r="B18924" s="17" t="s">
        <v>477</v>
      </c>
      <c r="K18924" s="18" t="s">
        <v>477</v>
      </c>
    </row>
    <row r="18925">
      <c r="B18925" s="17" t="s">
        <v>477</v>
      </c>
      <c r="K18925" s="18" t="s">
        <v>477</v>
      </c>
    </row>
    <row r="18926">
      <c r="B18926" s="17" t="s">
        <v>477</v>
      </c>
      <c r="K18926" s="18" t="s">
        <v>477</v>
      </c>
    </row>
    <row r="18927">
      <c r="B18927" s="17" t="s">
        <v>477</v>
      </c>
      <c r="K18927" s="18" t="s">
        <v>477</v>
      </c>
    </row>
    <row r="18928">
      <c r="B18928" s="17" t="s">
        <v>477</v>
      </c>
      <c r="K18928" s="18" t="s">
        <v>477</v>
      </c>
    </row>
    <row r="18929">
      <c r="B18929" s="17" t="s">
        <v>477</v>
      </c>
      <c r="K18929" s="18" t="s">
        <v>477</v>
      </c>
    </row>
    <row r="18930">
      <c r="B18930" s="17" t="s">
        <v>477</v>
      </c>
      <c r="K18930" s="18" t="s">
        <v>477</v>
      </c>
    </row>
    <row r="18931">
      <c r="B18931" s="17" t="s">
        <v>477</v>
      </c>
      <c r="K18931" s="18" t="s">
        <v>477</v>
      </c>
    </row>
    <row r="18932">
      <c r="B18932" s="17" t="s">
        <v>477</v>
      </c>
      <c r="K18932" s="18" t="s">
        <v>477</v>
      </c>
    </row>
    <row r="18933">
      <c r="B18933" s="17" t="s">
        <v>477</v>
      </c>
      <c r="K18933" s="18" t="s">
        <v>477</v>
      </c>
    </row>
    <row r="18934">
      <c r="B18934" s="17" t="s">
        <v>477</v>
      </c>
      <c r="K18934" s="18" t="s">
        <v>477</v>
      </c>
    </row>
    <row r="18935">
      <c r="B18935" s="17" t="s">
        <v>477</v>
      </c>
      <c r="K18935" s="18" t="s">
        <v>477</v>
      </c>
    </row>
    <row r="18936">
      <c r="B18936" s="17" t="s">
        <v>477</v>
      </c>
      <c r="K18936" s="18" t="s">
        <v>477</v>
      </c>
    </row>
    <row r="18937">
      <c r="B18937" s="17" t="s">
        <v>477</v>
      </c>
      <c r="K18937" s="18" t="s">
        <v>477</v>
      </c>
    </row>
    <row r="18938">
      <c r="B18938" s="17" t="s">
        <v>477</v>
      </c>
      <c r="K18938" s="18" t="s">
        <v>477</v>
      </c>
    </row>
    <row r="18939">
      <c r="B18939" s="17" t="s">
        <v>477</v>
      </c>
      <c r="K18939" s="18" t="s">
        <v>477</v>
      </c>
    </row>
    <row r="18940">
      <c r="B18940" s="17" t="s">
        <v>477</v>
      </c>
      <c r="K18940" s="18" t="s">
        <v>477</v>
      </c>
    </row>
    <row r="18941">
      <c r="B18941" s="17" t="s">
        <v>477</v>
      </c>
      <c r="K18941" s="18" t="s">
        <v>477</v>
      </c>
    </row>
    <row r="18942">
      <c r="B18942" s="17" t="s">
        <v>477</v>
      </c>
      <c r="K18942" s="18" t="s">
        <v>477</v>
      </c>
    </row>
    <row r="18943">
      <c r="B18943" s="17" t="s">
        <v>477</v>
      </c>
      <c r="K18943" s="18" t="s">
        <v>477</v>
      </c>
    </row>
    <row r="18944">
      <c r="B18944" s="17" t="s">
        <v>477</v>
      </c>
      <c r="K18944" s="18" t="s">
        <v>477</v>
      </c>
    </row>
    <row r="18945">
      <c r="B18945" s="17" t="s">
        <v>477</v>
      </c>
      <c r="K18945" s="18" t="s">
        <v>477</v>
      </c>
    </row>
    <row r="18946">
      <c r="B18946" s="17" t="s">
        <v>477</v>
      </c>
      <c r="K18946" s="18" t="s">
        <v>477</v>
      </c>
    </row>
    <row r="18947">
      <c r="B18947" s="17" t="s">
        <v>477</v>
      </c>
      <c r="K18947" s="18" t="s">
        <v>477</v>
      </c>
    </row>
    <row r="18948">
      <c r="B18948" s="17" t="s">
        <v>477</v>
      </c>
      <c r="K18948" s="18" t="s">
        <v>477</v>
      </c>
    </row>
    <row r="18949">
      <c r="B18949" s="17" t="s">
        <v>477</v>
      </c>
      <c r="K18949" s="18" t="s">
        <v>477</v>
      </c>
    </row>
    <row r="18950">
      <c r="B18950" s="17" t="s">
        <v>477</v>
      </c>
      <c r="K18950" s="18" t="s">
        <v>477</v>
      </c>
    </row>
    <row r="18951">
      <c r="B18951" s="17" t="s">
        <v>477</v>
      </c>
      <c r="K18951" s="18" t="s">
        <v>477</v>
      </c>
    </row>
    <row r="18952">
      <c r="B18952" s="17" t="s">
        <v>477</v>
      </c>
      <c r="K18952" s="18" t="s">
        <v>477</v>
      </c>
    </row>
    <row r="18953">
      <c r="B18953" s="17" t="s">
        <v>477</v>
      </c>
      <c r="K18953" s="18" t="s">
        <v>477</v>
      </c>
    </row>
    <row r="18954">
      <c r="B18954" s="17" t="s">
        <v>477</v>
      </c>
      <c r="K18954" s="18" t="s">
        <v>477</v>
      </c>
    </row>
    <row r="18955">
      <c r="B18955" s="17" t="s">
        <v>477</v>
      </c>
      <c r="K18955" s="18" t="s">
        <v>477</v>
      </c>
    </row>
    <row r="18956">
      <c r="B18956" s="17" t="s">
        <v>477</v>
      </c>
      <c r="K18956" s="18" t="s">
        <v>477</v>
      </c>
    </row>
    <row r="18957">
      <c r="B18957" s="17" t="s">
        <v>477</v>
      </c>
      <c r="K18957" s="18" t="s">
        <v>477</v>
      </c>
    </row>
    <row r="18958">
      <c r="B18958" s="17" t="s">
        <v>477</v>
      </c>
      <c r="K18958" s="18" t="s">
        <v>477</v>
      </c>
    </row>
    <row r="18959">
      <c r="B18959" s="17" t="s">
        <v>477</v>
      </c>
      <c r="K18959" s="18" t="s">
        <v>477</v>
      </c>
    </row>
    <row r="18960">
      <c r="B18960" s="17" t="s">
        <v>477</v>
      </c>
      <c r="K18960" s="18" t="s">
        <v>477</v>
      </c>
    </row>
    <row r="18961">
      <c r="B18961" s="17" t="s">
        <v>477</v>
      </c>
      <c r="K18961" s="18" t="s">
        <v>477</v>
      </c>
    </row>
    <row r="18962">
      <c r="B18962" s="17" t="s">
        <v>477</v>
      </c>
      <c r="K18962" s="18" t="s">
        <v>477</v>
      </c>
    </row>
    <row r="18963">
      <c r="B18963" s="17" t="s">
        <v>477</v>
      </c>
      <c r="K18963" s="18" t="s">
        <v>477</v>
      </c>
    </row>
    <row r="18964">
      <c r="B18964" s="17" t="s">
        <v>477</v>
      </c>
      <c r="K18964" s="18" t="s">
        <v>477</v>
      </c>
    </row>
    <row r="18965">
      <c r="B18965" s="17" t="s">
        <v>477</v>
      </c>
      <c r="K18965" s="18" t="s">
        <v>477</v>
      </c>
    </row>
    <row r="18966">
      <c r="B18966" s="17" t="s">
        <v>477</v>
      </c>
      <c r="K18966" s="18" t="s">
        <v>477</v>
      </c>
    </row>
    <row r="18967">
      <c r="B18967" s="17" t="s">
        <v>477</v>
      </c>
      <c r="K18967" s="18" t="s">
        <v>477</v>
      </c>
    </row>
    <row r="18968">
      <c r="B18968" s="17" t="s">
        <v>477</v>
      </c>
      <c r="K18968" s="18" t="s">
        <v>477</v>
      </c>
    </row>
    <row r="18969">
      <c r="B18969" s="17" t="s">
        <v>477</v>
      </c>
      <c r="K18969" s="18" t="s">
        <v>477</v>
      </c>
    </row>
    <row r="18970">
      <c r="B18970" s="17" t="s">
        <v>477</v>
      </c>
      <c r="K18970" s="18" t="s">
        <v>477</v>
      </c>
    </row>
    <row r="18971">
      <c r="B18971" s="17" t="s">
        <v>477</v>
      </c>
      <c r="K18971" s="18" t="s">
        <v>477</v>
      </c>
    </row>
    <row r="18972">
      <c r="B18972" s="17" t="s">
        <v>477</v>
      </c>
      <c r="K18972" s="18" t="s">
        <v>477</v>
      </c>
    </row>
    <row r="18973">
      <c r="B18973" s="17" t="s">
        <v>477</v>
      </c>
      <c r="K18973" s="18" t="s">
        <v>477</v>
      </c>
    </row>
    <row r="18974">
      <c r="B18974" s="17" t="s">
        <v>477</v>
      </c>
      <c r="K18974" s="18" t="s">
        <v>477</v>
      </c>
    </row>
    <row r="18975">
      <c r="B18975" s="17" t="s">
        <v>477</v>
      </c>
      <c r="K18975" s="18" t="s">
        <v>477</v>
      </c>
    </row>
    <row r="18976">
      <c r="B18976" s="17" t="s">
        <v>477</v>
      </c>
      <c r="K18976" s="18" t="s">
        <v>477</v>
      </c>
    </row>
    <row r="18977">
      <c r="B18977" s="17" t="s">
        <v>477</v>
      </c>
      <c r="K18977" s="18" t="s">
        <v>477</v>
      </c>
    </row>
    <row r="18978">
      <c r="B18978" s="17" t="s">
        <v>477</v>
      </c>
      <c r="K18978" s="18" t="s">
        <v>477</v>
      </c>
    </row>
    <row r="18979">
      <c r="B18979" s="17" t="s">
        <v>477</v>
      </c>
      <c r="K18979" s="18" t="s">
        <v>477</v>
      </c>
    </row>
    <row r="18980">
      <c r="B18980" s="17" t="s">
        <v>477</v>
      </c>
      <c r="K18980" s="18" t="s">
        <v>477</v>
      </c>
    </row>
    <row r="18981">
      <c r="B18981" s="17" t="s">
        <v>477</v>
      </c>
      <c r="K18981" s="18" t="s">
        <v>477</v>
      </c>
    </row>
    <row r="18982">
      <c r="B18982" s="17" t="s">
        <v>477</v>
      </c>
      <c r="K18982" s="18" t="s">
        <v>477</v>
      </c>
    </row>
    <row r="18983">
      <c r="B18983" s="17" t="s">
        <v>477</v>
      </c>
      <c r="K18983" s="18" t="s">
        <v>477</v>
      </c>
    </row>
    <row r="18984">
      <c r="B18984" s="17" t="s">
        <v>477</v>
      </c>
      <c r="K18984" s="18" t="s">
        <v>477</v>
      </c>
    </row>
    <row r="18985">
      <c r="B18985" s="17" t="s">
        <v>477</v>
      </c>
      <c r="K18985" s="18" t="s">
        <v>477</v>
      </c>
    </row>
    <row r="18986">
      <c r="B18986" s="17" t="s">
        <v>477</v>
      </c>
      <c r="K18986" s="18" t="s">
        <v>477</v>
      </c>
    </row>
    <row r="18987">
      <c r="B18987" s="17" t="s">
        <v>477</v>
      </c>
      <c r="K18987" s="18" t="s">
        <v>477</v>
      </c>
    </row>
    <row r="18988">
      <c r="B18988" s="17" t="s">
        <v>477</v>
      </c>
      <c r="K18988" s="18" t="s">
        <v>477</v>
      </c>
    </row>
    <row r="18989">
      <c r="B18989" s="17" t="s">
        <v>477</v>
      </c>
      <c r="K18989" s="18" t="s">
        <v>477</v>
      </c>
    </row>
    <row r="18990">
      <c r="B18990" s="17" t="s">
        <v>477</v>
      </c>
      <c r="K18990" s="18" t="s">
        <v>477</v>
      </c>
    </row>
    <row r="18991">
      <c r="B18991" s="17" t="s">
        <v>477</v>
      </c>
      <c r="K18991" s="18" t="s">
        <v>477</v>
      </c>
    </row>
    <row r="18992">
      <c r="B18992" s="17" t="s">
        <v>477</v>
      </c>
      <c r="K18992" s="18" t="s">
        <v>477</v>
      </c>
    </row>
    <row r="18993">
      <c r="B18993" s="17" t="s">
        <v>477</v>
      </c>
      <c r="K18993" s="18" t="s">
        <v>477</v>
      </c>
    </row>
    <row r="18994">
      <c r="B18994" s="17" t="s">
        <v>477</v>
      </c>
      <c r="K18994" s="18" t="s">
        <v>477</v>
      </c>
    </row>
    <row r="18995">
      <c r="B18995" s="17" t="s">
        <v>477</v>
      </c>
      <c r="K18995" s="18" t="s">
        <v>477</v>
      </c>
    </row>
    <row r="18996">
      <c r="B18996" s="17" t="s">
        <v>477</v>
      </c>
      <c r="K18996" s="18" t="s">
        <v>477</v>
      </c>
    </row>
    <row r="18997">
      <c r="B18997" s="17" t="s">
        <v>477</v>
      </c>
      <c r="K18997" s="18" t="s">
        <v>477</v>
      </c>
    </row>
    <row r="18998">
      <c r="B18998" s="17" t="s">
        <v>477</v>
      </c>
      <c r="K18998" s="18" t="s">
        <v>477</v>
      </c>
    </row>
    <row r="18999">
      <c r="B18999" s="17" t="s">
        <v>477</v>
      </c>
      <c r="K18999" s="18" t="s">
        <v>477</v>
      </c>
    </row>
    <row r="19000">
      <c r="B19000" s="17" t="s">
        <v>477</v>
      </c>
      <c r="K19000" s="18" t="s">
        <v>477</v>
      </c>
    </row>
    <row r="19001">
      <c r="B19001" s="17" t="s">
        <v>477</v>
      </c>
      <c r="K19001" s="18" t="s">
        <v>477</v>
      </c>
    </row>
    <row r="19002">
      <c r="B19002" s="17" t="s">
        <v>477</v>
      </c>
      <c r="K19002" s="18" t="s">
        <v>477</v>
      </c>
    </row>
    <row r="19003">
      <c r="B19003" s="17" t="s">
        <v>477</v>
      </c>
      <c r="K19003" s="18" t="s">
        <v>477</v>
      </c>
    </row>
    <row r="19004">
      <c r="B19004" s="17" t="s">
        <v>477</v>
      </c>
      <c r="K19004" s="18" t="s">
        <v>477</v>
      </c>
    </row>
    <row r="19005">
      <c r="B19005" s="17" t="s">
        <v>477</v>
      </c>
      <c r="K19005" s="18" t="s">
        <v>477</v>
      </c>
    </row>
    <row r="19006">
      <c r="B19006" s="17" t="s">
        <v>477</v>
      </c>
      <c r="K19006" s="18" t="s">
        <v>477</v>
      </c>
    </row>
    <row r="19007">
      <c r="B19007" s="17" t="s">
        <v>477</v>
      </c>
      <c r="K19007" s="18" t="s">
        <v>477</v>
      </c>
    </row>
    <row r="19008">
      <c r="B19008" s="17" t="s">
        <v>477</v>
      </c>
      <c r="K19008" s="18" t="s">
        <v>477</v>
      </c>
    </row>
    <row r="19009">
      <c r="B19009" s="17" t="s">
        <v>477</v>
      </c>
      <c r="K19009" s="18" t="s">
        <v>477</v>
      </c>
    </row>
    <row r="19010">
      <c r="B19010" s="17" t="s">
        <v>477</v>
      </c>
      <c r="K19010" s="18" t="s">
        <v>477</v>
      </c>
    </row>
    <row r="19011">
      <c r="B19011" s="17" t="s">
        <v>477</v>
      </c>
      <c r="K19011" s="18" t="s">
        <v>477</v>
      </c>
    </row>
    <row r="19012">
      <c r="B19012" s="17" t="s">
        <v>477</v>
      </c>
      <c r="K19012" s="18" t="s">
        <v>477</v>
      </c>
    </row>
    <row r="19013">
      <c r="B19013" s="17" t="s">
        <v>477</v>
      </c>
      <c r="K19013" s="18" t="s">
        <v>477</v>
      </c>
    </row>
    <row r="19014">
      <c r="B19014" s="17" t="s">
        <v>477</v>
      </c>
      <c r="K19014" s="18" t="s">
        <v>477</v>
      </c>
    </row>
    <row r="19015">
      <c r="B19015" s="17" t="s">
        <v>477</v>
      </c>
      <c r="K19015" s="18" t="s">
        <v>477</v>
      </c>
    </row>
    <row r="19016">
      <c r="B19016" s="17" t="s">
        <v>477</v>
      </c>
      <c r="K19016" s="18" t="s">
        <v>477</v>
      </c>
    </row>
    <row r="19017">
      <c r="B19017" s="17" t="s">
        <v>477</v>
      </c>
      <c r="K19017" s="18" t="s">
        <v>477</v>
      </c>
    </row>
    <row r="19018">
      <c r="B19018" s="17" t="s">
        <v>477</v>
      </c>
      <c r="K19018" s="18" t="s">
        <v>477</v>
      </c>
    </row>
    <row r="19019">
      <c r="B19019" s="17" t="s">
        <v>477</v>
      </c>
      <c r="K19019" s="18" t="s">
        <v>477</v>
      </c>
    </row>
    <row r="19020">
      <c r="B19020" s="17" t="s">
        <v>477</v>
      </c>
      <c r="K19020" s="18" t="s">
        <v>477</v>
      </c>
    </row>
    <row r="19021">
      <c r="B19021" s="17" t="s">
        <v>477</v>
      </c>
      <c r="K19021" s="18" t="s">
        <v>477</v>
      </c>
    </row>
    <row r="19022">
      <c r="B19022" s="17" t="s">
        <v>477</v>
      </c>
      <c r="K19022" s="18" t="s">
        <v>477</v>
      </c>
    </row>
    <row r="19023">
      <c r="B19023" s="17" t="s">
        <v>477</v>
      </c>
      <c r="K19023" s="18" t="s">
        <v>477</v>
      </c>
    </row>
    <row r="19024">
      <c r="B19024" s="17" t="s">
        <v>477</v>
      </c>
      <c r="K19024" s="18" t="s">
        <v>477</v>
      </c>
    </row>
    <row r="19025">
      <c r="B19025" s="17" t="s">
        <v>477</v>
      </c>
      <c r="K19025" s="18" t="s">
        <v>477</v>
      </c>
    </row>
    <row r="19026">
      <c r="B19026" s="17" t="s">
        <v>477</v>
      </c>
      <c r="K19026" s="18" t="s">
        <v>477</v>
      </c>
    </row>
    <row r="19027">
      <c r="B19027" s="17" t="s">
        <v>477</v>
      </c>
      <c r="K19027" s="18" t="s">
        <v>477</v>
      </c>
    </row>
    <row r="19028">
      <c r="B19028" s="17" t="s">
        <v>477</v>
      </c>
      <c r="K19028" s="18" t="s">
        <v>477</v>
      </c>
    </row>
    <row r="19029">
      <c r="B19029" s="17" t="s">
        <v>477</v>
      </c>
      <c r="K19029" s="18" t="s">
        <v>477</v>
      </c>
    </row>
    <row r="19030">
      <c r="B19030" s="17" t="s">
        <v>477</v>
      </c>
      <c r="K19030" s="18" t="s">
        <v>477</v>
      </c>
    </row>
    <row r="19031">
      <c r="B19031" s="17" t="s">
        <v>477</v>
      </c>
      <c r="K19031" s="18" t="s">
        <v>477</v>
      </c>
    </row>
    <row r="19032">
      <c r="B19032" s="17" t="s">
        <v>477</v>
      </c>
      <c r="K19032" s="18" t="s">
        <v>477</v>
      </c>
    </row>
    <row r="19033">
      <c r="B19033" s="17" t="s">
        <v>477</v>
      </c>
      <c r="K19033" s="18" t="s">
        <v>477</v>
      </c>
    </row>
    <row r="19034">
      <c r="B19034" s="17" t="s">
        <v>477</v>
      </c>
      <c r="K19034" s="18" t="s">
        <v>477</v>
      </c>
    </row>
    <row r="19035">
      <c r="B19035" s="17" t="s">
        <v>477</v>
      </c>
      <c r="K19035" s="18" t="s">
        <v>477</v>
      </c>
    </row>
    <row r="19036">
      <c r="B19036" s="17" t="s">
        <v>477</v>
      </c>
      <c r="K19036" s="18" t="s">
        <v>477</v>
      </c>
    </row>
    <row r="19037">
      <c r="B19037" s="17" t="s">
        <v>477</v>
      </c>
      <c r="K19037" s="18" t="s">
        <v>477</v>
      </c>
    </row>
    <row r="19038">
      <c r="B19038" s="17" t="s">
        <v>477</v>
      </c>
      <c r="K19038" s="18" t="s">
        <v>477</v>
      </c>
    </row>
    <row r="19039">
      <c r="B19039" s="17" t="s">
        <v>477</v>
      </c>
      <c r="K19039" s="18" t="s">
        <v>477</v>
      </c>
    </row>
    <row r="19040">
      <c r="B19040" s="17" t="s">
        <v>477</v>
      </c>
      <c r="K19040" s="18" t="s">
        <v>477</v>
      </c>
    </row>
    <row r="19041">
      <c r="B19041" s="17" t="s">
        <v>477</v>
      </c>
      <c r="K19041" s="18" t="s">
        <v>477</v>
      </c>
    </row>
    <row r="19042">
      <c r="B19042" s="17" t="s">
        <v>477</v>
      </c>
      <c r="K19042" s="18" t="s">
        <v>477</v>
      </c>
    </row>
    <row r="19043">
      <c r="B19043" s="17" t="s">
        <v>477</v>
      </c>
      <c r="K19043" s="18" t="s">
        <v>477</v>
      </c>
    </row>
    <row r="19044">
      <c r="B19044" s="17" t="s">
        <v>477</v>
      </c>
      <c r="K19044" s="18" t="s">
        <v>477</v>
      </c>
    </row>
    <row r="19045">
      <c r="B19045" s="17" t="s">
        <v>477</v>
      </c>
      <c r="K19045" s="18" t="s">
        <v>477</v>
      </c>
    </row>
    <row r="19046">
      <c r="B19046" s="17" t="s">
        <v>477</v>
      </c>
      <c r="K19046" s="18" t="s">
        <v>477</v>
      </c>
    </row>
    <row r="19047">
      <c r="B19047" s="17" t="s">
        <v>477</v>
      </c>
      <c r="K19047" s="18" t="s">
        <v>477</v>
      </c>
    </row>
    <row r="19048">
      <c r="B19048" s="17" t="s">
        <v>477</v>
      </c>
      <c r="K19048" s="18" t="s">
        <v>477</v>
      </c>
    </row>
    <row r="19049">
      <c r="B19049" s="17" t="s">
        <v>477</v>
      </c>
      <c r="K19049" s="18" t="s">
        <v>477</v>
      </c>
    </row>
    <row r="19050">
      <c r="B19050" s="17" t="s">
        <v>477</v>
      </c>
      <c r="K19050" s="18" t="s">
        <v>477</v>
      </c>
    </row>
    <row r="19051">
      <c r="B19051" s="17" t="s">
        <v>477</v>
      </c>
      <c r="K19051" s="18" t="s">
        <v>477</v>
      </c>
    </row>
    <row r="19052">
      <c r="B19052" s="17" t="s">
        <v>477</v>
      </c>
      <c r="K19052" s="18" t="s">
        <v>477</v>
      </c>
    </row>
    <row r="19053">
      <c r="B19053" s="17" t="s">
        <v>477</v>
      </c>
      <c r="K19053" s="18" t="s">
        <v>477</v>
      </c>
    </row>
    <row r="19054">
      <c r="B19054" s="17" t="s">
        <v>477</v>
      </c>
      <c r="K19054" s="18" t="s">
        <v>477</v>
      </c>
    </row>
    <row r="19055">
      <c r="B19055" s="17" t="s">
        <v>477</v>
      </c>
      <c r="K19055" s="18" t="s">
        <v>477</v>
      </c>
    </row>
    <row r="19056">
      <c r="B19056" s="17" t="s">
        <v>477</v>
      </c>
      <c r="K19056" s="18" t="s">
        <v>477</v>
      </c>
    </row>
    <row r="19057">
      <c r="B19057" s="17" t="s">
        <v>477</v>
      </c>
      <c r="K19057" s="18" t="s">
        <v>477</v>
      </c>
    </row>
    <row r="19058">
      <c r="B19058" s="17" t="s">
        <v>477</v>
      </c>
      <c r="K19058" s="18" t="s">
        <v>477</v>
      </c>
    </row>
    <row r="19059">
      <c r="B19059" s="17" t="s">
        <v>477</v>
      </c>
      <c r="K19059" s="18" t="s">
        <v>477</v>
      </c>
    </row>
    <row r="19060">
      <c r="B19060" s="17" t="s">
        <v>477</v>
      </c>
      <c r="K19060" s="18" t="s">
        <v>477</v>
      </c>
    </row>
    <row r="19061">
      <c r="B19061" s="17" t="s">
        <v>477</v>
      </c>
      <c r="K19061" s="18" t="s">
        <v>477</v>
      </c>
    </row>
    <row r="19062">
      <c r="B19062" s="17" t="s">
        <v>477</v>
      </c>
      <c r="K19062" s="18" t="s">
        <v>477</v>
      </c>
    </row>
    <row r="19063">
      <c r="B19063" s="17" t="s">
        <v>477</v>
      </c>
      <c r="K19063" s="18" t="s">
        <v>477</v>
      </c>
    </row>
    <row r="19064">
      <c r="B19064" s="17" t="s">
        <v>477</v>
      </c>
      <c r="K19064" s="18" t="s">
        <v>477</v>
      </c>
    </row>
    <row r="19065">
      <c r="B19065" s="17" t="s">
        <v>477</v>
      </c>
      <c r="K19065" s="18" t="s">
        <v>477</v>
      </c>
    </row>
    <row r="19066">
      <c r="B19066" s="17" t="s">
        <v>477</v>
      </c>
      <c r="K19066" s="18" t="s">
        <v>477</v>
      </c>
    </row>
    <row r="19067">
      <c r="B19067" s="17" t="s">
        <v>477</v>
      </c>
      <c r="K19067" s="18" t="s">
        <v>477</v>
      </c>
    </row>
    <row r="19068">
      <c r="B19068" s="17" t="s">
        <v>477</v>
      </c>
      <c r="K19068" s="18" t="s">
        <v>477</v>
      </c>
    </row>
    <row r="19069">
      <c r="B19069" s="17" t="s">
        <v>477</v>
      </c>
      <c r="K19069" s="18" t="s">
        <v>477</v>
      </c>
    </row>
    <row r="19070">
      <c r="B19070" s="17" t="s">
        <v>477</v>
      </c>
      <c r="K19070" s="18" t="s">
        <v>477</v>
      </c>
    </row>
    <row r="19071">
      <c r="B19071" s="17" t="s">
        <v>477</v>
      </c>
      <c r="K19071" s="18" t="s">
        <v>477</v>
      </c>
    </row>
    <row r="19072">
      <c r="B19072" s="17" t="s">
        <v>477</v>
      </c>
      <c r="K19072" s="18" t="s">
        <v>477</v>
      </c>
    </row>
    <row r="19073">
      <c r="B19073" s="17" t="s">
        <v>477</v>
      </c>
      <c r="K19073" s="18" t="s">
        <v>477</v>
      </c>
    </row>
    <row r="19074">
      <c r="B19074" s="17" t="s">
        <v>477</v>
      </c>
      <c r="K19074" s="18" t="s">
        <v>477</v>
      </c>
    </row>
    <row r="19075">
      <c r="B19075" s="17" t="s">
        <v>477</v>
      </c>
      <c r="K19075" s="18" t="s">
        <v>477</v>
      </c>
    </row>
    <row r="19076">
      <c r="B19076" s="17" t="s">
        <v>477</v>
      </c>
      <c r="K19076" s="18" t="s">
        <v>477</v>
      </c>
    </row>
    <row r="19077">
      <c r="B19077" s="17" t="s">
        <v>477</v>
      </c>
      <c r="K19077" s="18" t="s">
        <v>477</v>
      </c>
    </row>
    <row r="19078">
      <c r="B19078" s="17" t="s">
        <v>477</v>
      </c>
      <c r="K19078" s="18" t="s">
        <v>477</v>
      </c>
    </row>
    <row r="19079">
      <c r="B19079" s="17" t="s">
        <v>477</v>
      </c>
      <c r="K19079" s="18" t="s">
        <v>477</v>
      </c>
    </row>
    <row r="19080">
      <c r="B19080" s="17" t="s">
        <v>477</v>
      </c>
      <c r="K19080" s="18" t="s">
        <v>477</v>
      </c>
    </row>
    <row r="19081">
      <c r="B19081" s="17" t="s">
        <v>477</v>
      </c>
      <c r="K19081" s="18" t="s">
        <v>477</v>
      </c>
    </row>
    <row r="19082">
      <c r="B19082" s="17" t="s">
        <v>477</v>
      </c>
      <c r="K19082" s="18" t="s">
        <v>477</v>
      </c>
    </row>
    <row r="19083">
      <c r="B19083" s="17" t="s">
        <v>477</v>
      </c>
      <c r="K19083" s="18" t="s">
        <v>477</v>
      </c>
    </row>
    <row r="19084">
      <c r="B19084" s="17" t="s">
        <v>477</v>
      </c>
      <c r="K19084" s="18" t="s">
        <v>477</v>
      </c>
    </row>
    <row r="19085">
      <c r="B19085" s="17" t="s">
        <v>477</v>
      </c>
      <c r="K19085" s="18" t="s">
        <v>477</v>
      </c>
    </row>
    <row r="19086">
      <c r="B19086" s="17" t="s">
        <v>477</v>
      </c>
      <c r="K19086" s="18" t="s">
        <v>477</v>
      </c>
    </row>
    <row r="19087">
      <c r="B19087" s="17" t="s">
        <v>477</v>
      </c>
      <c r="K19087" s="18" t="s">
        <v>477</v>
      </c>
    </row>
    <row r="19088">
      <c r="B19088" s="17" t="s">
        <v>477</v>
      </c>
      <c r="K19088" s="18" t="s">
        <v>477</v>
      </c>
    </row>
    <row r="19089">
      <c r="B19089" s="17" t="s">
        <v>477</v>
      </c>
      <c r="K19089" s="18" t="s">
        <v>477</v>
      </c>
    </row>
    <row r="19090">
      <c r="B19090" s="17" t="s">
        <v>477</v>
      </c>
      <c r="K19090" s="18" t="s">
        <v>477</v>
      </c>
    </row>
    <row r="19091">
      <c r="B19091" s="17" t="s">
        <v>477</v>
      </c>
      <c r="K19091" s="18" t="s">
        <v>477</v>
      </c>
    </row>
    <row r="19092">
      <c r="B19092" s="17" t="s">
        <v>477</v>
      </c>
      <c r="K19092" s="18" t="s">
        <v>477</v>
      </c>
    </row>
    <row r="19093">
      <c r="B19093" s="17" t="s">
        <v>477</v>
      </c>
      <c r="K19093" s="18" t="s">
        <v>477</v>
      </c>
    </row>
    <row r="19094">
      <c r="B19094" s="17" t="s">
        <v>477</v>
      </c>
      <c r="K19094" s="18" t="s">
        <v>477</v>
      </c>
    </row>
    <row r="19095">
      <c r="B19095" s="17" t="s">
        <v>477</v>
      </c>
      <c r="K19095" s="18" t="s">
        <v>477</v>
      </c>
    </row>
    <row r="19096">
      <c r="B19096" s="17" t="s">
        <v>477</v>
      </c>
      <c r="K19096" s="18" t="s">
        <v>477</v>
      </c>
    </row>
    <row r="19097">
      <c r="B19097" s="17" t="s">
        <v>477</v>
      </c>
      <c r="K19097" s="18" t="s">
        <v>477</v>
      </c>
    </row>
    <row r="19098">
      <c r="B19098" s="17" t="s">
        <v>477</v>
      </c>
      <c r="K19098" s="18" t="s">
        <v>477</v>
      </c>
    </row>
    <row r="19099">
      <c r="B19099" s="17" t="s">
        <v>477</v>
      </c>
      <c r="K19099" s="18" t="s">
        <v>477</v>
      </c>
    </row>
    <row r="19100">
      <c r="B19100" s="17" t="s">
        <v>477</v>
      </c>
      <c r="K19100" s="18" t="s">
        <v>477</v>
      </c>
    </row>
    <row r="19101">
      <c r="B19101" s="17" t="s">
        <v>477</v>
      </c>
      <c r="K19101" s="18" t="s">
        <v>477</v>
      </c>
    </row>
    <row r="19102">
      <c r="B19102" s="17" t="s">
        <v>477</v>
      </c>
      <c r="K19102" s="18" t="s">
        <v>477</v>
      </c>
    </row>
    <row r="19103">
      <c r="B19103" s="17" t="s">
        <v>477</v>
      </c>
      <c r="K19103" s="18" t="s">
        <v>477</v>
      </c>
    </row>
    <row r="19104">
      <c r="B19104" s="17" t="s">
        <v>477</v>
      </c>
      <c r="K19104" s="18" t="s">
        <v>477</v>
      </c>
    </row>
    <row r="19105">
      <c r="B19105" s="17" t="s">
        <v>477</v>
      </c>
      <c r="K19105" s="18" t="s">
        <v>477</v>
      </c>
    </row>
    <row r="19106">
      <c r="B19106" s="17" t="s">
        <v>477</v>
      </c>
      <c r="K19106" s="18" t="s">
        <v>477</v>
      </c>
    </row>
    <row r="19107">
      <c r="B19107" s="17" t="s">
        <v>477</v>
      </c>
      <c r="K19107" s="18" t="s">
        <v>477</v>
      </c>
    </row>
    <row r="19108">
      <c r="B19108" s="17" t="s">
        <v>477</v>
      </c>
      <c r="K19108" s="18" t="s">
        <v>477</v>
      </c>
    </row>
    <row r="19109">
      <c r="B19109" s="17" t="s">
        <v>477</v>
      </c>
      <c r="K19109" s="18" t="s">
        <v>477</v>
      </c>
    </row>
    <row r="19110">
      <c r="B19110" s="17" t="s">
        <v>477</v>
      </c>
      <c r="K19110" s="18" t="s">
        <v>477</v>
      </c>
    </row>
    <row r="19111">
      <c r="B19111" s="17" t="s">
        <v>477</v>
      </c>
      <c r="K19111" s="18" t="s">
        <v>477</v>
      </c>
    </row>
    <row r="19112">
      <c r="B19112" s="17" t="s">
        <v>477</v>
      </c>
      <c r="K19112" s="18" t="s">
        <v>477</v>
      </c>
    </row>
    <row r="19113">
      <c r="B19113" s="17" t="s">
        <v>477</v>
      </c>
      <c r="K19113" s="18" t="s">
        <v>477</v>
      </c>
    </row>
    <row r="19114">
      <c r="B19114" s="17" t="s">
        <v>477</v>
      </c>
      <c r="K19114" s="18" t="s">
        <v>477</v>
      </c>
    </row>
    <row r="19115">
      <c r="B19115" s="17" t="s">
        <v>477</v>
      </c>
      <c r="K19115" s="18" t="s">
        <v>477</v>
      </c>
    </row>
    <row r="19116">
      <c r="B19116" s="17" t="s">
        <v>477</v>
      </c>
      <c r="K19116" s="18" t="s">
        <v>477</v>
      </c>
    </row>
    <row r="19117">
      <c r="B19117" s="17" t="s">
        <v>477</v>
      </c>
      <c r="K19117" s="18" t="s">
        <v>477</v>
      </c>
    </row>
    <row r="19118">
      <c r="B19118" s="17" t="s">
        <v>477</v>
      </c>
      <c r="K19118" s="18" t="s">
        <v>477</v>
      </c>
    </row>
    <row r="19119">
      <c r="B19119" s="17" t="s">
        <v>477</v>
      </c>
      <c r="K19119" s="18" t="s">
        <v>477</v>
      </c>
    </row>
    <row r="19120">
      <c r="B19120" s="17" t="s">
        <v>477</v>
      </c>
      <c r="K19120" s="18" t="s">
        <v>477</v>
      </c>
    </row>
    <row r="19121">
      <c r="B19121" s="17" t="s">
        <v>477</v>
      </c>
      <c r="K19121" s="18" t="s">
        <v>477</v>
      </c>
    </row>
    <row r="19122">
      <c r="B19122" s="17" t="s">
        <v>477</v>
      </c>
      <c r="K19122" s="18" t="s">
        <v>477</v>
      </c>
    </row>
    <row r="19123">
      <c r="B19123" s="17" t="s">
        <v>477</v>
      </c>
      <c r="K19123" s="18" t="s">
        <v>477</v>
      </c>
    </row>
    <row r="19124">
      <c r="B19124" s="17" t="s">
        <v>477</v>
      </c>
      <c r="K19124" s="18" t="s">
        <v>477</v>
      </c>
    </row>
    <row r="19125">
      <c r="B19125" s="17" t="s">
        <v>477</v>
      </c>
      <c r="K19125" s="18" t="s">
        <v>477</v>
      </c>
    </row>
    <row r="19126">
      <c r="B19126" s="17" t="s">
        <v>477</v>
      </c>
      <c r="K19126" s="18" t="s">
        <v>477</v>
      </c>
    </row>
    <row r="19127">
      <c r="B19127" s="17" t="s">
        <v>477</v>
      </c>
      <c r="K19127" s="18" t="s">
        <v>477</v>
      </c>
    </row>
    <row r="19128">
      <c r="B19128" s="17" t="s">
        <v>477</v>
      </c>
      <c r="K19128" s="18" t="s">
        <v>477</v>
      </c>
    </row>
    <row r="19129">
      <c r="B19129" s="17" t="s">
        <v>477</v>
      </c>
      <c r="K19129" s="18" t="s">
        <v>477</v>
      </c>
    </row>
    <row r="19130">
      <c r="B19130" s="17" t="s">
        <v>477</v>
      </c>
      <c r="K19130" s="18" t="s">
        <v>477</v>
      </c>
    </row>
    <row r="19131">
      <c r="B19131" s="17" t="s">
        <v>477</v>
      </c>
      <c r="K19131" s="18" t="s">
        <v>477</v>
      </c>
    </row>
    <row r="19132">
      <c r="B19132" s="17" t="s">
        <v>477</v>
      </c>
      <c r="K19132" s="18" t="s">
        <v>477</v>
      </c>
    </row>
    <row r="19133">
      <c r="B19133" s="17" t="s">
        <v>477</v>
      </c>
      <c r="K19133" s="18" t="s">
        <v>477</v>
      </c>
    </row>
    <row r="19134">
      <c r="B19134" s="17" t="s">
        <v>477</v>
      </c>
      <c r="K19134" s="18" t="s">
        <v>477</v>
      </c>
    </row>
    <row r="19135">
      <c r="B19135" s="17" t="s">
        <v>477</v>
      </c>
      <c r="K19135" s="18" t="s">
        <v>477</v>
      </c>
    </row>
    <row r="19136">
      <c r="B19136" s="17" t="s">
        <v>477</v>
      </c>
      <c r="K19136" s="18" t="s">
        <v>477</v>
      </c>
    </row>
    <row r="19137">
      <c r="B19137" s="17" t="s">
        <v>477</v>
      </c>
      <c r="K19137" s="18" t="s">
        <v>477</v>
      </c>
    </row>
    <row r="19138">
      <c r="B19138" s="17" t="s">
        <v>477</v>
      </c>
      <c r="K19138" s="18" t="s">
        <v>477</v>
      </c>
    </row>
    <row r="19139">
      <c r="B19139" s="17" t="s">
        <v>477</v>
      </c>
      <c r="K19139" s="18" t="s">
        <v>477</v>
      </c>
    </row>
    <row r="19140">
      <c r="B19140" s="17" t="s">
        <v>477</v>
      </c>
      <c r="K19140" s="18" t="s">
        <v>477</v>
      </c>
    </row>
    <row r="19141">
      <c r="B19141" s="17" t="s">
        <v>477</v>
      </c>
      <c r="K19141" s="18" t="s">
        <v>477</v>
      </c>
    </row>
    <row r="19142">
      <c r="B19142" s="17" t="s">
        <v>477</v>
      </c>
      <c r="K19142" s="18" t="s">
        <v>477</v>
      </c>
    </row>
    <row r="19143">
      <c r="B19143" s="17" t="s">
        <v>477</v>
      </c>
      <c r="K19143" s="18" t="s">
        <v>477</v>
      </c>
    </row>
    <row r="19144">
      <c r="B19144" s="17" t="s">
        <v>477</v>
      </c>
      <c r="K19144" s="18" t="s">
        <v>477</v>
      </c>
    </row>
    <row r="19145">
      <c r="B19145" s="17" t="s">
        <v>477</v>
      </c>
      <c r="K19145" s="18" t="s">
        <v>477</v>
      </c>
    </row>
    <row r="19146">
      <c r="B19146" s="17" t="s">
        <v>477</v>
      </c>
      <c r="K19146" s="18" t="s">
        <v>477</v>
      </c>
    </row>
    <row r="19147">
      <c r="B19147" s="17" t="s">
        <v>477</v>
      </c>
      <c r="K19147" s="18" t="s">
        <v>477</v>
      </c>
    </row>
    <row r="19148">
      <c r="B19148" s="17" t="s">
        <v>477</v>
      </c>
      <c r="K19148" s="18" t="s">
        <v>477</v>
      </c>
    </row>
    <row r="19149">
      <c r="B19149" s="17" t="s">
        <v>477</v>
      </c>
      <c r="K19149" s="18" t="s">
        <v>477</v>
      </c>
    </row>
    <row r="19150">
      <c r="B19150" s="17" t="s">
        <v>477</v>
      </c>
      <c r="K19150" s="18" t="s">
        <v>477</v>
      </c>
    </row>
    <row r="19151">
      <c r="B19151" s="17" t="s">
        <v>477</v>
      </c>
      <c r="K19151" s="18" t="s">
        <v>477</v>
      </c>
    </row>
    <row r="19152">
      <c r="B19152" s="17" t="s">
        <v>477</v>
      </c>
      <c r="K19152" s="18" t="s">
        <v>477</v>
      </c>
    </row>
    <row r="19153">
      <c r="B19153" s="17" t="s">
        <v>477</v>
      </c>
      <c r="K19153" s="18" t="s">
        <v>477</v>
      </c>
    </row>
    <row r="19154">
      <c r="B19154" s="17" t="s">
        <v>477</v>
      </c>
      <c r="K19154" s="18" t="s">
        <v>477</v>
      </c>
    </row>
    <row r="19155">
      <c r="B19155" s="17" t="s">
        <v>477</v>
      </c>
      <c r="K19155" s="18" t="s">
        <v>477</v>
      </c>
    </row>
    <row r="19156">
      <c r="B19156" s="17" t="s">
        <v>477</v>
      </c>
      <c r="K19156" s="18" t="s">
        <v>477</v>
      </c>
    </row>
    <row r="19157">
      <c r="B19157" s="17" t="s">
        <v>477</v>
      </c>
      <c r="K19157" s="18" t="s">
        <v>477</v>
      </c>
    </row>
    <row r="19158">
      <c r="B19158" s="17" t="s">
        <v>477</v>
      </c>
      <c r="K19158" s="18" t="s">
        <v>477</v>
      </c>
    </row>
    <row r="19159">
      <c r="B19159" s="17" t="s">
        <v>477</v>
      </c>
      <c r="K19159" s="18" t="s">
        <v>477</v>
      </c>
    </row>
    <row r="19160">
      <c r="B19160" s="17" t="s">
        <v>477</v>
      </c>
      <c r="K19160" s="18" t="s">
        <v>477</v>
      </c>
    </row>
    <row r="19161">
      <c r="B19161" s="17" t="s">
        <v>477</v>
      </c>
      <c r="K19161" s="18" t="s">
        <v>477</v>
      </c>
    </row>
    <row r="19162">
      <c r="B19162" s="17" t="s">
        <v>477</v>
      </c>
      <c r="K19162" s="18" t="s">
        <v>477</v>
      </c>
    </row>
    <row r="19163">
      <c r="B19163" s="17" t="s">
        <v>477</v>
      </c>
      <c r="K19163" s="18" t="s">
        <v>477</v>
      </c>
    </row>
    <row r="19164">
      <c r="B19164" s="17" t="s">
        <v>477</v>
      </c>
      <c r="K19164" s="18" t="s">
        <v>477</v>
      </c>
    </row>
    <row r="19165">
      <c r="B19165" s="17" t="s">
        <v>477</v>
      </c>
      <c r="K19165" s="18" t="s">
        <v>477</v>
      </c>
    </row>
    <row r="19166">
      <c r="B19166" s="17" t="s">
        <v>477</v>
      </c>
      <c r="K19166" s="18" t="s">
        <v>477</v>
      </c>
    </row>
    <row r="19167">
      <c r="B19167" s="17" t="s">
        <v>477</v>
      </c>
      <c r="K19167" s="18" t="s">
        <v>477</v>
      </c>
    </row>
    <row r="19168">
      <c r="B19168" s="17" t="s">
        <v>477</v>
      </c>
      <c r="K19168" s="18" t="s">
        <v>477</v>
      </c>
    </row>
    <row r="19169">
      <c r="B19169" s="17" t="s">
        <v>477</v>
      </c>
      <c r="K19169" s="18" t="s">
        <v>477</v>
      </c>
    </row>
    <row r="19170">
      <c r="B19170" s="17" t="s">
        <v>477</v>
      </c>
      <c r="K19170" s="18" t="s">
        <v>477</v>
      </c>
    </row>
    <row r="19171">
      <c r="B19171" s="17" t="s">
        <v>477</v>
      </c>
      <c r="K19171" s="18" t="s">
        <v>477</v>
      </c>
    </row>
    <row r="19172">
      <c r="B19172" s="17" t="s">
        <v>477</v>
      </c>
      <c r="K19172" s="18" t="s">
        <v>477</v>
      </c>
    </row>
    <row r="19173">
      <c r="B19173" s="17" t="s">
        <v>477</v>
      </c>
      <c r="K19173" s="18" t="s">
        <v>477</v>
      </c>
    </row>
    <row r="19174">
      <c r="B19174" s="17" t="s">
        <v>477</v>
      </c>
      <c r="K19174" s="18" t="s">
        <v>477</v>
      </c>
    </row>
    <row r="19175">
      <c r="B19175" s="17" t="s">
        <v>477</v>
      </c>
      <c r="K19175" s="18" t="s">
        <v>477</v>
      </c>
    </row>
    <row r="19176">
      <c r="B19176" s="17" t="s">
        <v>477</v>
      </c>
      <c r="K19176" s="18" t="s">
        <v>477</v>
      </c>
    </row>
    <row r="19177">
      <c r="B19177" s="17" t="s">
        <v>477</v>
      </c>
      <c r="K19177" s="18" t="s">
        <v>477</v>
      </c>
    </row>
    <row r="19178">
      <c r="B19178" s="17" t="s">
        <v>477</v>
      </c>
      <c r="K19178" s="18" t="s">
        <v>477</v>
      </c>
    </row>
    <row r="19179">
      <c r="B19179" s="17" t="s">
        <v>477</v>
      </c>
      <c r="K19179" s="18" t="s">
        <v>477</v>
      </c>
    </row>
    <row r="19180">
      <c r="B19180" s="17" t="s">
        <v>477</v>
      </c>
      <c r="K19180" s="18" t="s">
        <v>477</v>
      </c>
    </row>
    <row r="19181">
      <c r="B19181" s="17" t="s">
        <v>477</v>
      </c>
      <c r="K19181" s="18" t="s">
        <v>477</v>
      </c>
    </row>
    <row r="19182">
      <c r="B19182" s="17" t="s">
        <v>477</v>
      </c>
      <c r="K19182" s="18" t="s">
        <v>477</v>
      </c>
    </row>
    <row r="19183">
      <c r="B19183" s="17" t="s">
        <v>477</v>
      </c>
      <c r="K19183" s="18" t="s">
        <v>477</v>
      </c>
    </row>
    <row r="19184">
      <c r="B19184" s="17" t="s">
        <v>477</v>
      </c>
      <c r="K19184" s="18" t="s">
        <v>477</v>
      </c>
    </row>
    <row r="19185">
      <c r="B19185" s="17" t="s">
        <v>477</v>
      </c>
      <c r="K19185" s="18" t="s">
        <v>477</v>
      </c>
    </row>
    <row r="19186">
      <c r="B19186" s="17" t="s">
        <v>477</v>
      </c>
      <c r="K19186" s="18" t="s">
        <v>477</v>
      </c>
    </row>
    <row r="19187">
      <c r="B19187" s="17" t="s">
        <v>477</v>
      </c>
      <c r="K19187" s="18" t="s">
        <v>477</v>
      </c>
    </row>
    <row r="19188">
      <c r="B19188" s="17" t="s">
        <v>477</v>
      </c>
      <c r="K19188" s="18" t="s">
        <v>477</v>
      </c>
    </row>
    <row r="19189">
      <c r="B19189" s="17" t="s">
        <v>477</v>
      </c>
      <c r="K19189" s="18" t="s">
        <v>477</v>
      </c>
    </row>
    <row r="19190">
      <c r="B19190" s="17" t="s">
        <v>477</v>
      </c>
      <c r="K19190" s="18" t="s">
        <v>477</v>
      </c>
    </row>
    <row r="19191">
      <c r="B19191" s="17" t="s">
        <v>477</v>
      </c>
      <c r="K19191" s="18" t="s">
        <v>477</v>
      </c>
    </row>
    <row r="19192">
      <c r="B19192" s="17" t="s">
        <v>477</v>
      </c>
      <c r="K19192" s="18" t="s">
        <v>477</v>
      </c>
    </row>
    <row r="19193">
      <c r="B19193" s="17" t="s">
        <v>477</v>
      </c>
      <c r="K19193" s="18" t="s">
        <v>477</v>
      </c>
    </row>
    <row r="19194">
      <c r="B19194" s="17" t="s">
        <v>477</v>
      </c>
      <c r="K19194" s="18" t="s">
        <v>477</v>
      </c>
    </row>
    <row r="19195">
      <c r="B19195" s="17" t="s">
        <v>477</v>
      </c>
      <c r="K19195" s="18" t="s">
        <v>477</v>
      </c>
    </row>
    <row r="19196">
      <c r="B19196" s="17" t="s">
        <v>477</v>
      </c>
      <c r="K19196" s="18" t="s">
        <v>477</v>
      </c>
    </row>
    <row r="19197">
      <c r="B19197" s="17" t="s">
        <v>477</v>
      </c>
      <c r="K19197" s="18" t="s">
        <v>477</v>
      </c>
    </row>
    <row r="19198">
      <c r="B19198" s="17" t="s">
        <v>477</v>
      </c>
      <c r="K19198" s="18" t="s">
        <v>477</v>
      </c>
    </row>
    <row r="19199">
      <c r="B19199" s="17" t="s">
        <v>477</v>
      </c>
      <c r="K19199" s="18" t="s">
        <v>477</v>
      </c>
    </row>
    <row r="19200">
      <c r="B19200" s="17" t="s">
        <v>477</v>
      </c>
      <c r="K19200" s="18" t="s">
        <v>477</v>
      </c>
    </row>
    <row r="19201">
      <c r="B19201" s="17" t="s">
        <v>477</v>
      </c>
      <c r="K19201" s="18" t="s">
        <v>477</v>
      </c>
    </row>
    <row r="19202">
      <c r="B19202" s="17" t="s">
        <v>477</v>
      </c>
      <c r="K19202" s="18" t="s">
        <v>477</v>
      </c>
    </row>
    <row r="19203">
      <c r="B19203" s="17" t="s">
        <v>477</v>
      </c>
      <c r="K19203" s="18" t="s">
        <v>477</v>
      </c>
    </row>
    <row r="19204">
      <c r="B19204" s="17" t="s">
        <v>477</v>
      </c>
      <c r="K19204" s="18" t="s">
        <v>477</v>
      </c>
    </row>
    <row r="19205">
      <c r="B19205" s="17" t="s">
        <v>477</v>
      </c>
      <c r="K19205" s="18" t="s">
        <v>477</v>
      </c>
    </row>
    <row r="19206">
      <c r="B19206" s="17" t="s">
        <v>477</v>
      </c>
      <c r="K19206" s="18" t="s">
        <v>477</v>
      </c>
    </row>
    <row r="19207">
      <c r="B19207" s="17" t="s">
        <v>477</v>
      </c>
      <c r="K19207" s="18" t="s">
        <v>477</v>
      </c>
    </row>
    <row r="19208">
      <c r="B19208" s="17" t="s">
        <v>477</v>
      </c>
      <c r="K19208" s="18" t="s">
        <v>477</v>
      </c>
    </row>
    <row r="19209">
      <c r="B19209" s="17" t="s">
        <v>477</v>
      </c>
      <c r="K19209" s="18" t="s">
        <v>477</v>
      </c>
    </row>
    <row r="19210">
      <c r="B19210" s="17" t="s">
        <v>477</v>
      </c>
      <c r="K19210" s="18" t="s">
        <v>477</v>
      </c>
    </row>
    <row r="19211">
      <c r="B19211" s="17" t="s">
        <v>477</v>
      </c>
      <c r="K19211" s="18" t="s">
        <v>477</v>
      </c>
    </row>
    <row r="19212">
      <c r="B19212" s="17" t="s">
        <v>477</v>
      </c>
      <c r="K19212" s="18" t="s">
        <v>477</v>
      </c>
    </row>
    <row r="19213">
      <c r="B19213" s="17" t="s">
        <v>477</v>
      </c>
      <c r="K19213" s="18" t="s">
        <v>477</v>
      </c>
    </row>
    <row r="19214">
      <c r="B19214" s="17" t="s">
        <v>477</v>
      </c>
      <c r="K19214" s="18" t="s">
        <v>477</v>
      </c>
    </row>
    <row r="19215">
      <c r="B19215" s="17" t="s">
        <v>477</v>
      </c>
      <c r="K19215" s="18" t="s">
        <v>477</v>
      </c>
    </row>
    <row r="19216">
      <c r="B19216" s="17" t="s">
        <v>477</v>
      </c>
      <c r="K19216" s="18" t="s">
        <v>477</v>
      </c>
    </row>
    <row r="19217">
      <c r="B19217" s="17" t="s">
        <v>477</v>
      </c>
      <c r="K19217" s="18" t="s">
        <v>477</v>
      </c>
    </row>
    <row r="19218">
      <c r="B19218" s="17" t="s">
        <v>477</v>
      </c>
      <c r="K19218" s="18" t="s">
        <v>477</v>
      </c>
    </row>
    <row r="19219">
      <c r="B19219" s="17" t="s">
        <v>477</v>
      </c>
      <c r="K19219" s="18" t="s">
        <v>477</v>
      </c>
    </row>
    <row r="19220">
      <c r="B19220" s="17" t="s">
        <v>477</v>
      </c>
      <c r="K19220" s="18" t="s">
        <v>477</v>
      </c>
    </row>
    <row r="19221">
      <c r="B19221" s="17" t="s">
        <v>477</v>
      </c>
      <c r="K19221" s="18" t="s">
        <v>477</v>
      </c>
    </row>
    <row r="19222">
      <c r="B19222" s="17" t="s">
        <v>477</v>
      </c>
      <c r="K19222" s="18" t="s">
        <v>477</v>
      </c>
    </row>
    <row r="19223">
      <c r="B19223" s="17" t="s">
        <v>477</v>
      </c>
      <c r="K19223" s="18" t="s">
        <v>477</v>
      </c>
    </row>
    <row r="19224">
      <c r="B19224" s="17" t="s">
        <v>477</v>
      </c>
      <c r="K19224" s="18" t="s">
        <v>477</v>
      </c>
    </row>
    <row r="19225">
      <c r="B19225" s="17" t="s">
        <v>477</v>
      </c>
      <c r="K19225" s="18" t="s">
        <v>477</v>
      </c>
    </row>
    <row r="19226">
      <c r="B19226" s="17" t="s">
        <v>477</v>
      </c>
      <c r="K19226" s="18" t="s">
        <v>477</v>
      </c>
    </row>
    <row r="19227">
      <c r="B19227" s="17" t="s">
        <v>477</v>
      </c>
      <c r="K19227" s="18" t="s">
        <v>477</v>
      </c>
    </row>
    <row r="19228">
      <c r="B19228" s="17" t="s">
        <v>477</v>
      </c>
      <c r="K19228" s="18" t="s">
        <v>477</v>
      </c>
    </row>
    <row r="19229">
      <c r="B19229" s="17" t="s">
        <v>477</v>
      </c>
      <c r="K19229" s="18" t="s">
        <v>477</v>
      </c>
    </row>
    <row r="19230">
      <c r="B19230" s="17" t="s">
        <v>477</v>
      </c>
      <c r="K19230" s="18" t="s">
        <v>477</v>
      </c>
    </row>
    <row r="19231">
      <c r="B19231" s="17" t="s">
        <v>477</v>
      </c>
      <c r="K19231" s="18" t="s">
        <v>477</v>
      </c>
    </row>
    <row r="19232">
      <c r="B19232" s="17" t="s">
        <v>477</v>
      </c>
      <c r="K19232" s="18" t="s">
        <v>477</v>
      </c>
    </row>
    <row r="19233">
      <c r="B19233" s="17" t="s">
        <v>477</v>
      </c>
      <c r="K19233" s="18" t="s">
        <v>477</v>
      </c>
    </row>
    <row r="19234">
      <c r="B19234" s="17" t="s">
        <v>477</v>
      </c>
      <c r="K19234" s="18" t="s">
        <v>477</v>
      </c>
    </row>
    <row r="19235">
      <c r="B19235" s="17" t="s">
        <v>477</v>
      </c>
      <c r="K19235" s="18" t="s">
        <v>477</v>
      </c>
    </row>
    <row r="19236">
      <c r="B19236" s="17" t="s">
        <v>477</v>
      </c>
      <c r="K19236" s="18" t="s">
        <v>477</v>
      </c>
    </row>
    <row r="19237">
      <c r="B19237" s="17" t="s">
        <v>477</v>
      </c>
      <c r="K19237" s="18" t="s">
        <v>477</v>
      </c>
    </row>
    <row r="19238">
      <c r="B19238" s="17" t="s">
        <v>477</v>
      </c>
      <c r="K19238" s="18" t="s">
        <v>477</v>
      </c>
    </row>
    <row r="19239">
      <c r="B19239" s="17" t="s">
        <v>477</v>
      </c>
      <c r="K19239" s="18" t="s">
        <v>477</v>
      </c>
    </row>
    <row r="19240">
      <c r="B19240" s="17" t="s">
        <v>477</v>
      </c>
      <c r="K19240" s="18" t="s">
        <v>477</v>
      </c>
    </row>
    <row r="19241">
      <c r="B19241" s="17" t="s">
        <v>477</v>
      </c>
      <c r="K19241" s="18" t="s">
        <v>477</v>
      </c>
    </row>
    <row r="19242">
      <c r="B19242" s="17" t="s">
        <v>477</v>
      </c>
      <c r="K19242" s="18" t="s">
        <v>477</v>
      </c>
    </row>
    <row r="19243">
      <c r="B19243" s="17" t="s">
        <v>477</v>
      </c>
      <c r="K19243" s="18" t="s">
        <v>477</v>
      </c>
    </row>
    <row r="19244">
      <c r="B19244" s="17" t="s">
        <v>477</v>
      </c>
      <c r="K19244" s="18" t="s">
        <v>477</v>
      </c>
    </row>
    <row r="19245">
      <c r="B19245" s="17" t="s">
        <v>477</v>
      </c>
      <c r="K19245" s="18" t="s">
        <v>477</v>
      </c>
    </row>
    <row r="19246">
      <c r="B19246" s="17" t="s">
        <v>477</v>
      </c>
      <c r="K19246" s="18" t="s">
        <v>477</v>
      </c>
    </row>
    <row r="19247">
      <c r="B19247" s="17" t="s">
        <v>477</v>
      </c>
      <c r="K19247" s="18" t="s">
        <v>477</v>
      </c>
    </row>
    <row r="19248">
      <c r="B19248" s="17" t="s">
        <v>477</v>
      </c>
      <c r="K19248" s="18" t="s">
        <v>477</v>
      </c>
    </row>
    <row r="19249">
      <c r="B19249" s="17" t="s">
        <v>477</v>
      </c>
      <c r="K19249" s="18" t="s">
        <v>477</v>
      </c>
    </row>
    <row r="19250">
      <c r="B19250" s="17" t="s">
        <v>477</v>
      </c>
      <c r="K19250" s="18" t="s">
        <v>477</v>
      </c>
    </row>
    <row r="19251">
      <c r="B19251" s="17" t="s">
        <v>477</v>
      </c>
      <c r="K19251" s="18" t="s">
        <v>477</v>
      </c>
    </row>
    <row r="19252">
      <c r="B19252" s="17" t="s">
        <v>477</v>
      </c>
      <c r="K19252" s="18" t="s">
        <v>477</v>
      </c>
    </row>
    <row r="19253">
      <c r="B19253" s="17" t="s">
        <v>477</v>
      </c>
      <c r="K19253" s="18" t="s">
        <v>477</v>
      </c>
    </row>
    <row r="19254">
      <c r="B19254" s="17" t="s">
        <v>477</v>
      </c>
      <c r="K19254" s="18" t="s">
        <v>477</v>
      </c>
    </row>
    <row r="19255">
      <c r="B19255" s="17" t="s">
        <v>477</v>
      </c>
      <c r="K19255" s="18" t="s">
        <v>477</v>
      </c>
    </row>
    <row r="19256">
      <c r="B19256" s="17" t="s">
        <v>477</v>
      </c>
      <c r="K19256" s="18" t="s">
        <v>477</v>
      </c>
    </row>
    <row r="19257">
      <c r="B19257" s="17" t="s">
        <v>477</v>
      </c>
      <c r="K19257" s="18" t="s">
        <v>477</v>
      </c>
    </row>
    <row r="19258">
      <c r="B19258" s="17" t="s">
        <v>477</v>
      </c>
      <c r="K19258" s="18" t="s">
        <v>477</v>
      </c>
    </row>
    <row r="19259">
      <c r="B19259" s="17" t="s">
        <v>477</v>
      </c>
      <c r="K19259" s="18" t="s">
        <v>477</v>
      </c>
    </row>
    <row r="19260">
      <c r="B19260" s="17" t="s">
        <v>477</v>
      </c>
      <c r="K19260" s="18" t="s">
        <v>477</v>
      </c>
    </row>
    <row r="19261">
      <c r="B19261" s="17" t="s">
        <v>477</v>
      </c>
      <c r="K19261" s="18" t="s">
        <v>477</v>
      </c>
    </row>
    <row r="19262">
      <c r="B19262" s="17" t="s">
        <v>477</v>
      </c>
      <c r="K19262" s="18" t="s">
        <v>477</v>
      </c>
    </row>
    <row r="19263">
      <c r="B19263" s="17" t="s">
        <v>477</v>
      </c>
      <c r="K19263" s="18" t="s">
        <v>477</v>
      </c>
    </row>
    <row r="19264">
      <c r="B19264" s="17" t="s">
        <v>477</v>
      </c>
      <c r="K19264" s="18" t="s">
        <v>477</v>
      </c>
    </row>
    <row r="19265">
      <c r="B19265" s="17" t="s">
        <v>477</v>
      </c>
      <c r="K19265" s="18" t="s">
        <v>477</v>
      </c>
    </row>
    <row r="19266">
      <c r="B19266" s="17" t="s">
        <v>477</v>
      </c>
      <c r="K19266" s="18" t="s">
        <v>477</v>
      </c>
    </row>
    <row r="19267">
      <c r="B19267" s="17" t="s">
        <v>477</v>
      </c>
      <c r="K19267" s="18" t="s">
        <v>477</v>
      </c>
    </row>
    <row r="19268">
      <c r="B19268" s="17" t="s">
        <v>477</v>
      </c>
      <c r="K19268" s="18" t="s">
        <v>477</v>
      </c>
    </row>
    <row r="19269">
      <c r="B19269" s="17" t="s">
        <v>477</v>
      </c>
      <c r="K19269" s="18" t="s">
        <v>477</v>
      </c>
    </row>
    <row r="19270">
      <c r="B19270" s="17" t="s">
        <v>477</v>
      </c>
      <c r="K19270" s="18" t="s">
        <v>477</v>
      </c>
    </row>
    <row r="19271">
      <c r="B19271" s="17" t="s">
        <v>477</v>
      </c>
      <c r="K19271" s="18" t="s">
        <v>477</v>
      </c>
    </row>
    <row r="19272">
      <c r="B19272" s="17" t="s">
        <v>477</v>
      </c>
      <c r="K19272" s="18" t="s">
        <v>477</v>
      </c>
    </row>
    <row r="19273">
      <c r="B19273" s="17" t="s">
        <v>477</v>
      </c>
      <c r="K19273" s="18" t="s">
        <v>477</v>
      </c>
    </row>
    <row r="19274">
      <c r="B19274" s="17" t="s">
        <v>477</v>
      </c>
      <c r="K19274" s="18" t="s">
        <v>477</v>
      </c>
    </row>
    <row r="19275">
      <c r="B19275" s="17" t="s">
        <v>477</v>
      </c>
      <c r="K19275" s="18" t="s">
        <v>477</v>
      </c>
    </row>
    <row r="19276">
      <c r="B19276" s="17" t="s">
        <v>477</v>
      </c>
      <c r="K19276" s="18" t="s">
        <v>477</v>
      </c>
    </row>
    <row r="19277">
      <c r="B19277" s="17" t="s">
        <v>477</v>
      </c>
      <c r="K19277" s="18" t="s">
        <v>477</v>
      </c>
    </row>
    <row r="19278">
      <c r="B19278" s="17" t="s">
        <v>477</v>
      </c>
      <c r="K19278" s="18" t="s">
        <v>477</v>
      </c>
    </row>
    <row r="19279">
      <c r="B19279" s="17" t="s">
        <v>477</v>
      </c>
      <c r="K19279" s="18" t="s">
        <v>477</v>
      </c>
    </row>
    <row r="19280">
      <c r="B19280" s="17" t="s">
        <v>477</v>
      </c>
      <c r="K19280" s="18" t="s">
        <v>477</v>
      </c>
    </row>
    <row r="19281">
      <c r="B19281" s="17" t="s">
        <v>477</v>
      </c>
      <c r="K19281" s="18" t="s">
        <v>477</v>
      </c>
    </row>
    <row r="19282">
      <c r="B19282" s="17" t="s">
        <v>477</v>
      </c>
      <c r="K19282" s="18" t="s">
        <v>477</v>
      </c>
    </row>
    <row r="19283">
      <c r="B19283" s="17" t="s">
        <v>477</v>
      </c>
      <c r="K19283" s="18" t="s">
        <v>477</v>
      </c>
    </row>
    <row r="19284">
      <c r="B19284" s="17" t="s">
        <v>477</v>
      </c>
      <c r="K19284" s="18" t="s">
        <v>477</v>
      </c>
    </row>
    <row r="19285">
      <c r="B19285" s="17" t="s">
        <v>477</v>
      </c>
      <c r="K19285" s="18" t="s">
        <v>477</v>
      </c>
    </row>
    <row r="19286">
      <c r="B19286" s="17" t="s">
        <v>477</v>
      </c>
      <c r="K19286" s="18" t="s">
        <v>477</v>
      </c>
    </row>
    <row r="19287">
      <c r="B19287" s="17" t="s">
        <v>477</v>
      </c>
      <c r="K19287" s="18" t="s">
        <v>477</v>
      </c>
    </row>
    <row r="19288">
      <c r="B19288" s="17" t="s">
        <v>477</v>
      </c>
      <c r="K19288" s="18" t="s">
        <v>477</v>
      </c>
    </row>
    <row r="19289">
      <c r="B19289" s="17" t="s">
        <v>477</v>
      </c>
      <c r="K19289" s="18" t="s">
        <v>477</v>
      </c>
    </row>
    <row r="19290">
      <c r="B19290" s="17" t="s">
        <v>477</v>
      </c>
      <c r="K19290" s="18" t="s">
        <v>477</v>
      </c>
    </row>
    <row r="19291">
      <c r="B19291" s="17" t="s">
        <v>477</v>
      </c>
      <c r="K19291" s="18" t="s">
        <v>477</v>
      </c>
    </row>
    <row r="19292">
      <c r="B19292" s="17" t="s">
        <v>477</v>
      </c>
      <c r="K19292" s="18" t="s">
        <v>477</v>
      </c>
    </row>
    <row r="19293">
      <c r="B19293" s="17" t="s">
        <v>477</v>
      </c>
      <c r="K19293" s="18" t="s">
        <v>477</v>
      </c>
    </row>
    <row r="19294">
      <c r="B19294" s="17" t="s">
        <v>477</v>
      </c>
      <c r="K19294" s="18" t="s">
        <v>477</v>
      </c>
    </row>
    <row r="19295">
      <c r="B19295" s="17" t="s">
        <v>477</v>
      </c>
      <c r="K19295" s="18" t="s">
        <v>477</v>
      </c>
    </row>
    <row r="19296">
      <c r="B19296" s="17" t="s">
        <v>477</v>
      </c>
      <c r="K19296" s="18" t="s">
        <v>477</v>
      </c>
    </row>
    <row r="19297">
      <c r="B19297" s="17" t="s">
        <v>477</v>
      </c>
      <c r="K19297" s="18" t="s">
        <v>477</v>
      </c>
    </row>
    <row r="19298">
      <c r="B19298" s="17" t="s">
        <v>477</v>
      </c>
      <c r="K19298" s="18" t="s">
        <v>477</v>
      </c>
    </row>
    <row r="19299">
      <c r="B19299" s="17" t="s">
        <v>477</v>
      </c>
      <c r="K19299" s="18" t="s">
        <v>477</v>
      </c>
    </row>
    <row r="19300">
      <c r="B19300" s="17" t="s">
        <v>477</v>
      </c>
      <c r="K19300" s="18" t="s">
        <v>477</v>
      </c>
    </row>
    <row r="19301">
      <c r="B19301" s="17" t="s">
        <v>477</v>
      </c>
      <c r="K19301" s="18" t="s">
        <v>477</v>
      </c>
    </row>
    <row r="19302">
      <c r="B19302" s="17" t="s">
        <v>477</v>
      </c>
      <c r="K19302" s="18" t="s">
        <v>477</v>
      </c>
    </row>
    <row r="19303">
      <c r="B19303" s="17" t="s">
        <v>477</v>
      </c>
      <c r="K19303" s="18" t="s">
        <v>477</v>
      </c>
    </row>
    <row r="19304">
      <c r="B19304" s="17" t="s">
        <v>477</v>
      </c>
      <c r="K19304" s="18" t="s">
        <v>477</v>
      </c>
    </row>
    <row r="19305">
      <c r="B19305" s="17" t="s">
        <v>477</v>
      </c>
      <c r="K19305" s="18" t="s">
        <v>477</v>
      </c>
    </row>
    <row r="19306">
      <c r="B19306" s="17" t="s">
        <v>477</v>
      </c>
      <c r="K19306" s="18" t="s">
        <v>477</v>
      </c>
    </row>
    <row r="19307">
      <c r="B19307" s="17" t="s">
        <v>477</v>
      </c>
      <c r="K19307" s="18" t="s">
        <v>477</v>
      </c>
    </row>
    <row r="19308">
      <c r="B19308" s="17" t="s">
        <v>477</v>
      </c>
      <c r="K19308" s="18" t="s">
        <v>477</v>
      </c>
    </row>
    <row r="19309">
      <c r="B19309" s="17" t="s">
        <v>477</v>
      </c>
      <c r="K19309" s="18" t="s">
        <v>477</v>
      </c>
    </row>
    <row r="19310">
      <c r="B19310" s="17" t="s">
        <v>477</v>
      </c>
      <c r="K19310" s="18" t="s">
        <v>477</v>
      </c>
    </row>
    <row r="19311">
      <c r="B19311" s="17" t="s">
        <v>477</v>
      </c>
      <c r="K19311" s="18" t="s">
        <v>477</v>
      </c>
    </row>
    <row r="19312">
      <c r="B19312" s="17" t="s">
        <v>477</v>
      </c>
      <c r="K19312" s="18" t="s">
        <v>477</v>
      </c>
    </row>
    <row r="19313">
      <c r="B19313" s="17" t="s">
        <v>477</v>
      </c>
      <c r="K19313" s="18" t="s">
        <v>477</v>
      </c>
    </row>
    <row r="19314">
      <c r="B19314" s="17" t="s">
        <v>477</v>
      </c>
      <c r="K19314" s="18" t="s">
        <v>477</v>
      </c>
    </row>
    <row r="19315">
      <c r="B19315" s="17" t="s">
        <v>477</v>
      </c>
      <c r="K19315" s="18" t="s">
        <v>477</v>
      </c>
    </row>
    <row r="19316">
      <c r="B19316" s="17" t="s">
        <v>477</v>
      </c>
      <c r="K19316" s="18" t="s">
        <v>477</v>
      </c>
    </row>
    <row r="19317">
      <c r="B19317" s="17" t="s">
        <v>477</v>
      </c>
      <c r="K19317" s="18" t="s">
        <v>477</v>
      </c>
    </row>
    <row r="19318">
      <c r="B19318" s="17" t="s">
        <v>477</v>
      </c>
      <c r="K19318" s="18" t="s">
        <v>477</v>
      </c>
    </row>
    <row r="19319">
      <c r="B19319" s="17" t="s">
        <v>477</v>
      </c>
      <c r="K19319" s="18" t="s">
        <v>477</v>
      </c>
    </row>
    <row r="19320">
      <c r="B19320" s="17" t="s">
        <v>477</v>
      </c>
      <c r="K19320" s="18" t="s">
        <v>477</v>
      </c>
    </row>
    <row r="19321">
      <c r="B19321" s="17" t="s">
        <v>477</v>
      </c>
      <c r="K19321" s="18" t="s">
        <v>477</v>
      </c>
    </row>
    <row r="19322">
      <c r="B19322" s="17" t="s">
        <v>477</v>
      </c>
      <c r="K19322" s="18" t="s">
        <v>477</v>
      </c>
    </row>
    <row r="19323">
      <c r="B19323" s="17" t="s">
        <v>477</v>
      </c>
      <c r="K19323" s="18" t="s">
        <v>477</v>
      </c>
    </row>
    <row r="19324">
      <c r="B19324" s="17" t="s">
        <v>477</v>
      </c>
      <c r="K19324" s="18" t="s">
        <v>477</v>
      </c>
    </row>
    <row r="19325">
      <c r="B19325" s="17" t="s">
        <v>477</v>
      </c>
      <c r="K19325" s="18" t="s">
        <v>477</v>
      </c>
    </row>
    <row r="19326">
      <c r="B19326" s="17" t="s">
        <v>477</v>
      </c>
      <c r="K19326" s="18" t="s">
        <v>477</v>
      </c>
    </row>
    <row r="19327">
      <c r="B19327" s="17" t="s">
        <v>477</v>
      </c>
      <c r="K19327" s="18" t="s">
        <v>477</v>
      </c>
    </row>
    <row r="19328">
      <c r="B19328" s="17" t="s">
        <v>477</v>
      </c>
      <c r="K19328" s="18" t="s">
        <v>477</v>
      </c>
    </row>
    <row r="19329">
      <c r="B19329" s="17" t="s">
        <v>477</v>
      </c>
      <c r="K19329" s="18" t="s">
        <v>477</v>
      </c>
    </row>
    <row r="19330">
      <c r="B19330" s="17" t="s">
        <v>477</v>
      </c>
      <c r="K19330" s="18" t="s">
        <v>477</v>
      </c>
    </row>
    <row r="19331">
      <c r="B19331" s="17" t="s">
        <v>477</v>
      </c>
      <c r="K19331" s="18" t="s">
        <v>477</v>
      </c>
    </row>
    <row r="19332">
      <c r="B19332" s="17" t="s">
        <v>477</v>
      </c>
      <c r="K19332" s="18" t="s">
        <v>477</v>
      </c>
    </row>
    <row r="19333">
      <c r="B19333" s="17" t="s">
        <v>477</v>
      </c>
      <c r="K19333" s="18" t="s">
        <v>477</v>
      </c>
    </row>
    <row r="19334">
      <c r="B19334" s="17" t="s">
        <v>477</v>
      </c>
      <c r="K19334" s="18" t="s">
        <v>477</v>
      </c>
    </row>
    <row r="19335">
      <c r="B19335" s="17" t="s">
        <v>477</v>
      </c>
      <c r="K19335" s="18" t="s">
        <v>477</v>
      </c>
    </row>
    <row r="19336">
      <c r="B19336" s="17" t="s">
        <v>477</v>
      </c>
      <c r="K19336" s="18" t="s">
        <v>477</v>
      </c>
    </row>
    <row r="19337">
      <c r="B19337" s="17" t="s">
        <v>477</v>
      </c>
      <c r="K19337" s="18" t="s">
        <v>477</v>
      </c>
    </row>
    <row r="19338">
      <c r="B19338" s="17" t="s">
        <v>477</v>
      </c>
      <c r="K19338" s="18" t="s">
        <v>477</v>
      </c>
    </row>
    <row r="19339">
      <c r="B19339" s="17" t="s">
        <v>477</v>
      </c>
      <c r="K19339" s="18" t="s">
        <v>477</v>
      </c>
    </row>
    <row r="19340">
      <c r="B19340" s="17" t="s">
        <v>477</v>
      </c>
      <c r="K19340" s="18" t="s">
        <v>477</v>
      </c>
    </row>
    <row r="19341">
      <c r="B19341" s="17" t="s">
        <v>477</v>
      </c>
      <c r="K19341" s="18" t="s">
        <v>477</v>
      </c>
    </row>
    <row r="19342">
      <c r="B19342" s="17" t="s">
        <v>477</v>
      </c>
      <c r="K19342" s="18" t="s">
        <v>477</v>
      </c>
    </row>
    <row r="19343">
      <c r="B19343" s="17" t="s">
        <v>477</v>
      </c>
      <c r="K19343" s="18" t="s">
        <v>477</v>
      </c>
    </row>
    <row r="19344">
      <c r="B19344" s="17" t="s">
        <v>477</v>
      </c>
      <c r="K19344" s="18" t="s">
        <v>477</v>
      </c>
    </row>
    <row r="19345">
      <c r="B19345" s="17" t="s">
        <v>477</v>
      </c>
      <c r="K19345" s="18" t="s">
        <v>477</v>
      </c>
    </row>
    <row r="19346">
      <c r="B19346" s="17" t="s">
        <v>477</v>
      </c>
      <c r="K19346" s="18" t="s">
        <v>477</v>
      </c>
    </row>
    <row r="19347">
      <c r="B19347" s="17" t="s">
        <v>477</v>
      </c>
      <c r="K19347" s="18" t="s">
        <v>477</v>
      </c>
    </row>
    <row r="19348">
      <c r="B19348" s="17" t="s">
        <v>477</v>
      </c>
      <c r="K19348" s="18" t="s">
        <v>477</v>
      </c>
    </row>
    <row r="19349">
      <c r="B19349" s="17" t="s">
        <v>477</v>
      </c>
      <c r="K19349" s="18" t="s">
        <v>477</v>
      </c>
    </row>
    <row r="19350">
      <c r="B19350" s="17" t="s">
        <v>477</v>
      </c>
      <c r="K19350" s="18" t="s">
        <v>477</v>
      </c>
    </row>
    <row r="19351">
      <c r="B19351" s="17" t="s">
        <v>477</v>
      </c>
      <c r="K19351" s="18" t="s">
        <v>477</v>
      </c>
    </row>
    <row r="19352">
      <c r="B19352" s="17" t="s">
        <v>477</v>
      </c>
      <c r="K19352" s="18" t="s">
        <v>477</v>
      </c>
    </row>
    <row r="19353">
      <c r="B19353" s="17" t="s">
        <v>477</v>
      </c>
      <c r="K19353" s="18" t="s">
        <v>477</v>
      </c>
    </row>
    <row r="19354">
      <c r="B19354" s="17" t="s">
        <v>477</v>
      </c>
      <c r="K19354" s="18" t="s">
        <v>477</v>
      </c>
    </row>
    <row r="19355">
      <c r="B19355" s="17" t="s">
        <v>477</v>
      </c>
      <c r="K19355" s="18" t="s">
        <v>477</v>
      </c>
    </row>
    <row r="19356">
      <c r="B19356" s="17" t="s">
        <v>477</v>
      </c>
      <c r="K19356" s="18" t="s">
        <v>477</v>
      </c>
    </row>
    <row r="19357">
      <c r="B19357" s="17" t="s">
        <v>477</v>
      </c>
      <c r="K19357" s="18" t="s">
        <v>477</v>
      </c>
    </row>
    <row r="19358">
      <c r="B19358" s="17" t="s">
        <v>477</v>
      </c>
      <c r="K19358" s="18" t="s">
        <v>477</v>
      </c>
    </row>
    <row r="19359">
      <c r="B19359" s="17" t="s">
        <v>477</v>
      </c>
      <c r="K19359" s="18" t="s">
        <v>477</v>
      </c>
    </row>
    <row r="19360">
      <c r="B19360" s="17" t="s">
        <v>477</v>
      </c>
      <c r="K19360" s="18" t="s">
        <v>477</v>
      </c>
    </row>
    <row r="19361">
      <c r="B19361" s="17" t="s">
        <v>477</v>
      </c>
      <c r="K19361" s="18" t="s">
        <v>477</v>
      </c>
    </row>
    <row r="19362">
      <c r="B19362" s="17" t="s">
        <v>477</v>
      </c>
      <c r="K19362" s="18" t="s">
        <v>477</v>
      </c>
    </row>
    <row r="19363">
      <c r="B19363" s="17" t="s">
        <v>477</v>
      </c>
      <c r="K19363" s="18" t="s">
        <v>477</v>
      </c>
    </row>
    <row r="19364">
      <c r="B19364" s="17" t="s">
        <v>477</v>
      </c>
      <c r="K19364" s="18" t="s">
        <v>477</v>
      </c>
    </row>
    <row r="19365">
      <c r="B19365" s="17" t="s">
        <v>477</v>
      </c>
      <c r="K19365" s="18" t="s">
        <v>477</v>
      </c>
    </row>
    <row r="19366">
      <c r="B19366" s="17" t="s">
        <v>477</v>
      </c>
      <c r="K19366" s="18" t="s">
        <v>477</v>
      </c>
    </row>
    <row r="19367">
      <c r="B19367" s="17" t="s">
        <v>477</v>
      </c>
      <c r="K19367" s="18" t="s">
        <v>477</v>
      </c>
    </row>
    <row r="19368">
      <c r="B19368" s="17" t="s">
        <v>477</v>
      </c>
      <c r="K19368" s="18" t="s">
        <v>477</v>
      </c>
    </row>
    <row r="19369">
      <c r="B19369" s="17" t="s">
        <v>477</v>
      </c>
      <c r="K19369" s="18" t="s">
        <v>477</v>
      </c>
    </row>
    <row r="19370">
      <c r="B19370" s="17" t="s">
        <v>477</v>
      </c>
      <c r="K19370" s="18" t="s">
        <v>477</v>
      </c>
    </row>
    <row r="19371">
      <c r="B19371" s="17" t="s">
        <v>477</v>
      </c>
      <c r="K19371" s="18" t="s">
        <v>477</v>
      </c>
    </row>
    <row r="19372">
      <c r="B19372" s="17" t="s">
        <v>477</v>
      </c>
      <c r="K19372" s="18" t="s">
        <v>477</v>
      </c>
    </row>
    <row r="19373">
      <c r="B19373" s="17" t="s">
        <v>477</v>
      </c>
      <c r="K19373" s="18" t="s">
        <v>477</v>
      </c>
    </row>
    <row r="19374">
      <c r="B19374" s="17" t="s">
        <v>477</v>
      </c>
      <c r="K19374" s="18" t="s">
        <v>477</v>
      </c>
    </row>
    <row r="19375">
      <c r="B19375" s="17" t="s">
        <v>477</v>
      </c>
      <c r="K19375" s="18" t="s">
        <v>477</v>
      </c>
    </row>
    <row r="19376">
      <c r="B19376" s="17" t="s">
        <v>477</v>
      </c>
      <c r="K19376" s="18" t="s">
        <v>477</v>
      </c>
    </row>
    <row r="19377">
      <c r="B19377" s="17" t="s">
        <v>477</v>
      </c>
      <c r="K19377" s="18" t="s">
        <v>477</v>
      </c>
    </row>
    <row r="19378">
      <c r="B19378" s="17" t="s">
        <v>477</v>
      </c>
      <c r="K19378" s="18" t="s">
        <v>477</v>
      </c>
    </row>
    <row r="19379">
      <c r="B19379" s="17" t="s">
        <v>477</v>
      </c>
      <c r="K19379" s="18" t="s">
        <v>477</v>
      </c>
    </row>
    <row r="19380">
      <c r="B19380" s="17" t="s">
        <v>477</v>
      </c>
      <c r="K19380" s="18" t="s">
        <v>477</v>
      </c>
    </row>
    <row r="19381">
      <c r="B19381" s="17" t="s">
        <v>477</v>
      </c>
      <c r="K19381" s="18" t="s">
        <v>477</v>
      </c>
    </row>
    <row r="19382">
      <c r="B19382" s="17" t="s">
        <v>477</v>
      </c>
      <c r="K19382" s="18" t="s">
        <v>477</v>
      </c>
    </row>
    <row r="19383">
      <c r="B19383" s="17" t="s">
        <v>477</v>
      </c>
      <c r="K19383" s="18" t="s">
        <v>477</v>
      </c>
    </row>
    <row r="19384">
      <c r="B19384" s="17" t="s">
        <v>477</v>
      </c>
      <c r="K19384" s="18" t="s">
        <v>477</v>
      </c>
    </row>
    <row r="19385">
      <c r="B19385" s="17" t="s">
        <v>477</v>
      </c>
      <c r="K19385" s="18" t="s">
        <v>477</v>
      </c>
    </row>
    <row r="19386">
      <c r="B19386" s="17" t="s">
        <v>477</v>
      </c>
      <c r="K19386" s="18" t="s">
        <v>477</v>
      </c>
    </row>
    <row r="19387">
      <c r="B19387" s="17" t="s">
        <v>477</v>
      </c>
      <c r="K19387" s="18" t="s">
        <v>477</v>
      </c>
    </row>
    <row r="19388">
      <c r="B19388" s="17" t="s">
        <v>477</v>
      </c>
      <c r="K19388" s="18" t="s">
        <v>477</v>
      </c>
    </row>
    <row r="19389">
      <c r="B19389" s="17" t="s">
        <v>477</v>
      </c>
      <c r="K19389" s="18" t="s">
        <v>477</v>
      </c>
    </row>
    <row r="19390">
      <c r="B19390" s="17" t="s">
        <v>477</v>
      </c>
      <c r="K19390" s="18" t="s">
        <v>477</v>
      </c>
    </row>
    <row r="19391">
      <c r="B19391" s="17" t="s">
        <v>477</v>
      </c>
      <c r="K19391" s="18" t="s">
        <v>477</v>
      </c>
    </row>
    <row r="19392">
      <c r="B19392" s="17" t="s">
        <v>477</v>
      </c>
      <c r="K19392" s="18" t="s">
        <v>477</v>
      </c>
    </row>
    <row r="19393">
      <c r="B19393" s="17" t="s">
        <v>477</v>
      </c>
      <c r="K19393" s="18" t="s">
        <v>477</v>
      </c>
    </row>
    <row r="19394">
      <c r="B19394" s="17" t="s">
        <v>477</v>
      </c>
      <c r="K19394" s="18" t="s">
        <v>477</v>
      </c>
    </row>
    <row r="19395">
      <c r="B19395" s="17" t="s">
        <v>477</v>
      </c>
      <c r="K19395" s="18" t="s">
        <v>477</v>
      </c>
    </row>
    <row r="19396">
      <c r="B19396" s="17" t="s">
        <v>477</v>
      </c>
      <c r="K19396" s="18" t="s">
        <v>477</v>
      </c>
    </row>
    <row r="19397">
      <c r="B19397" s="17" t="s">
        <v>477</v>
      </c>
      <c r="K19397" s="18" t="s">
        <v>477</v>
      </c>
    </row>
    <row r="19398">
      <c r="B19398" s="17" t="s">
        <v>477</v>
      </c>
      <c r="K19398" s="18" t="s">
        <v>477</v>
      </c>
    </row>
    <row r="19399">
      <c r="B19399" s="17" t="s">
        <v>477</v>
      </c>
      <c r="K19399" s="18" t="s">
        <v>477</v>
      </c>
    </row>
    <row r="19400">
      <c r="B19400" s="17" t="s">
        <v>477</v>
      </c>
      <c r="K19400" s="18" t="s">
        <v>477</v>
      </c>
    </row>
    <row r="19401">
      <c r="B19401" s="17" t="s">
        <v>477</v>
      </c>
      <c r="K19401" s="18" t="s">
        <v>477</v>
      </c>
    </row>
    <row r="19402">
      <c r="B19402" s="17" t="s">
        <v>477</v>
      </c>
      <c r="K19402" s="18" t="s">
        <v>477</v>
      </c>
    </row>
    <row r="19403">
      <c r="B19403" s="17" t="s">
        <v>477</v>
      </c>
      <c r="K19403" s="18" t="s">
        <v>477</v>
      </c>
    </row>
    <row r="19404">
      <c r="B19404" s="17" t="s">
        <v>477</v>
      </c>
      <c r="K19404" s="18" t="s">
        <v>477</v>
      </c>
    </row>
    <row r="19405">
      <c r="B19405" s="17" t="s">
        <v>477</v>
      </c>
      <c r="K19405" s="18" t="s">
        <v>477</v>
      </c>
    </row>
    <row r="19406">
      <c r="B19406" s="17" t="s">
        <v>477</v>
      </c>
      <c r="K19406" s="18" t="s">
        <v>477</v>
      </c>
    </row>
    <row r="19407">
      <c r="B19407" s="17" t="s">
        <v>477</v>
      </c>
      <c r="K19407" s="18" t="s">
        <v>477</v>
      </c>
    </row>
    <row r="19408">
      <c r="B19408" s="17" t="s">
        <v>477</v>
      </c>
      <c r="K19408" s="18" t="s">
        <v>477</v>
      </c>
    </row>
    <row r="19409">
      <c r="B19409" s="17" t="s">
        <v>477</v>
      </c>
      <c r="K19409" s="18" t="s">
        <v>477</v>
      </c>
    </row>
    <row r="19410">
      <c r="B19410" s="17" t="s">
        <v>477</v>
      </c>
      <c r="K19410" s="18" t="s">
        <v>477</v>
      </c>
    </row>
    <row r="19411">
      <c r="B19411" s="17" t="s">
        <v>477</v>
      </c>
      <c r="K19411" s="18" t="s">
        <v>477</v>
      </c>
    </row>
    <row r="19412">
      <c r="B19412" s="17" t="s">
        <v>477</v>
      </c>
      <c r="K19412" s="18" t="s">
        <v>477</v>
      </c>
    </row>
    <row r="19413">
      <c r="B19413" s="17" t="s">
        <v>477</v>
      </c>
      <c r="K19413" s="18" t="s">
        <v>477</v>
      </c>
    </row>
    <row r="19414">
      <c r="B19414" s="17" t="s">
        <v>477</v>
      </c>
      <c r="K19414" s="18" t="s">
        <v>477</v>
      </c>
    </row>
    <row r="19415">
      <c r="B19415" s="17" t="s">
        <v>477</v>
      </c>
      <c r="K19415" s="18" t="s">
        <v>477</v>
      </c>
    </row>
    <row r="19416">
      <c r="B19416" s="17" t="s">
        <v>477</v>
      </c>
      <c r="K19416" s="18" t="s">
        <v>477</v>
      </c>
    </row>
    <row r="19417">
      <c r="B19417" s="17" t="s">
        <v>477</v>
      </c>
      <c r="K19417" s="18" t="s">
        <v>477</v>
      </c>
    </row>
    <row r="19418">
      <c r="B19418" s="17" t="s">
        <v>477</v>
      </c>
      <c r="K19418" s="18" t="s">
        <v>477</v>
      </c>
    </row>
    <row r="19419">
      <c r="B19419" s="17" t="s">
        <v>477</v>
      </c>
      <c r="K19419" s="18" t="s">
        <v>477</v>
      </c>
    </row>
    <row r="19420">
      <c r="B19420" s="17" t="s">
        <v>477</v>
      </c>
      <c r="K19420" s="18" t="s">
        <v>477</v>
      </c>
    </row>
    <row r="19421">
      <c r="B19421" s="17" t="s">
        <v>477</v>
      </c>
      <c r="K19421" s="18" t="s">
        <v>477</v>
      </c>
    </row>
    <row r="19422">
      <c r="B19422" s="17" t="s">
        <v>477</v>
      </c>
      <c r="K19422" s="18" t="s">
        <v>477</v>
      </c>
    </row>
    <row r="19423">
      <c r="B19423" s="17" t="s">
        <v>477</v>
      </c>
      <c r="K19423" s="18" t="s">
        <v>477</v>
      </c>
    </row>
    <row r="19424">
      <c r="B19424" s="17" t="s">
        <v>477</v>
      </c>
      <c r="K19424" s="18" t="s">
        <v>477</v>
      </c>
    </row>
    <row r="19425">
      <c r="B19425" s="17" t="s">
        <v>477</v>
      </c>
      <c r="K19425" s="18" t="s">
        <v>477</v>
      </c>
    </row>
    <row r="19426">
      <c r="B19426" s="17" t="s">
        <v>477</v>
      </c>
      <c r="K19426" s="18" t="s">
        <v>477</v>
      </c>
    </row>
    <row r="19427">
      <c r="B19427" s="17" t="s">
        <v>477</v>
      </c>
      <c r="K19427" s="18" t="s">
        <v>477</v>
      </c>
    </row>
    <row r="19428">
      <c r="B19428" s="17" t="s">
        <v>477</v>
      </c>
      <c r="K19428" s="18" t="s">
        <v>477</v>
      </c>
    </row>
    <row r="19429">
      <c r="B19429" s="17" t="s">
        <v>477</v>
      </c>
      <c r="K19429" s="18" t="s">
        <v>477</v>
      </c>
    </row>
    <row r="19430">
      <c r="B19430" s="17" t="s">
        <v>477</v>
      </c>
      <c r="K19430" s="18" t="s">
        <v>477</v>
      </c>
    </row>
    <row r="19431">
      <c r="B19431" s="17" t="s">
        <v>477</v>
      </c>
      <c r="K19431" s="18" t="s">
        <v>477</v>
      </c>
    </row>
    <row r="19432">
      <c r="B19432" s="17" t="s">
        <v>477</v>
      </c>
      <c r="K19432" s="18" t="s">
        <v>477</v>
      </c>
    </row>
    <row r="19433">
      <c r="B19433" s="17" t="s">
        <v>477</v>
      </c>
      <c r="K19433" s="18" t="s">
        <v>477</v>
      </c>
    </row>
    <row r="19434">
      <c r="B19434" s="17" t="s">
        <v>477</v>
      </c>
      <c r="K19434" s="18" t="s">
        <v>477</v>
      </c>
    </row>
    <row r="19435">
      <c r="B19435" s="17" t="s">
        <v>477</v>
      </c>
      <c r="K19435" s="18" t="s">
        <v>477</v>
      </c>
    </row>
    <row r="19436">
      <c r="B19436" s="17" t="s">
        <v>477</v>
      </c>
      <c r="K19436" s="18" t="s">
        <v>477</v>
      </c>
    </row>
    <row r="19437">
      <c r="B19437" s="17" t="s">
        <v>477</v>
      </c>
      <c r="K19437" s="18" t="s">
        <v>477</v>
      </c>
    </row>
    <row r="19438">
      <c r="B19438" s="17" t="s">
        <v>477</v>
      </c>
      <c r="K19438" s="18" t="s">
        <v>477</v>
      </c>
    </row>
    <row r="19439">
      <c r="B19439" s="17" t="s">
        <v>477</v>
      </c>
      <c r="K19439" s="18" t="s">
        <v>477</v>
      </c>
    </row>
    <row r="19440">
      <c r="B19440" s="17" t="s">
        <v>477</v>
      </c>
      <c r="K19440" s="18" t="s">
        <v>477</v>
      </c>
    </row>
    <row r="19441">
      <c r="B19441" s="17" t="s">
        <v>477</v>
      </c>
      <c r="K19441" s="18" t="s">
        <v>477</v>
      </c>
    </row>
    <row r="19442">
      <c r="B19442" s="17" t="s">
        <v>477</v>
      </c>
      <c r="K19442" s="18" t="s">
        <v>477</v>
      </c>
    </row>
    <row r="19443">
      <c r="B19443" s="17" t="s">
        <v>477</v>
      </c>
      <c r="K19443" s="18" t="s">
        <v>477</v>
      </c>
    </row>
    <row r="19444">
      <c r="B19444" s="17" t="s">
        <v>477</v>
      </c>
      <c r="K19444" s="18" t="s">
        <v>477</v>
      </c>
    </row>
    <row r="19445">
      <c r="B19445" s="17" t="s">
        <v>477</v>
      </c>
      <c r="K19445" s="18" t="s">
        <v>477</v>
      </c>
    </row>
    <row r="19446">
      <c r="B19446" s="17" t="s">
        <v>477</v>
      </c>
      <c r="K19446" s="18" t="s">
        <v>477</v>
      </c>
    </row>
    <row r="19447">
      <c r="B19447" s="17" t="s">
        <v>477</v>
      </c>
      <c r="K19447" s="18" t="s">
        <v>477</v>
      </c>
    </row>
    <row r="19448">
      <c r="B19448" s="17" t="s">
        <v>477</v>
      </c>
      <c r="K19448" s="18" t="s">
        <v>477</v>
      </c>
    </row>
    <row r="19449">
      <c r="B19449" s="17" t="s">
        <v>477</v>
      </c>
      <c r="K19449" s="18" t="s">
        <v>477</v>
      </c>
    </row>
    <row r="19450">
      <c r="B19450" s="17" t="s">
        <v>477</v>
      </c>
      <c r="K19450" s="18" t="s">
        <v>477</v>
      </c>
    </row>
    <row r="19451">
      <c r="B19451" s="17" t="s">
        <v>477</v>
      </c>
      <c r="K19451" s="18" t="s">
        <v>477</v>
      </c>
    </row>
    <row r="19452">
      <c r="B19452" s="17" t="s">
        <v>477</v>
      </c>
      <c r="K19452" s="18" t="s">
        <v>477</v>
      </c>
    </row>
    <row r="19453">
      <c r="B19453" s="17" t="s">
        <v>477</v>
      </c>
      <c r="K19453" s="18" t="s">
        <v>477</v>
      </c>
    </row>
    <row r="19454">
      <c r="B19454" s="17" t="s">
        <v>477</v>
      </c>
      <c r="K19454" s="18" t="s">
        <v>477</v>
      </c>
    </row>
    <row r="19455">
      <c r="B19455" s="17" t="s">
        <v>477</v>
      </c>
      <c r="K19455" s="18" t="s">
        <v>477</v>
      </c>
    </row>
    <row r="19456">
      <c r="B19456" s="17" t="s">
        <v>477</v>
      </c>
      <c r="K19456" s="18" t="s">
        <v>477</v>
      </c>
    </row>
    <row r="19457">
      <c r="B19457" s="17" t="s">
        <v>477</v>
      </c>
      <c r="K19457" s="18" t="s">
        <v>477</v>
      </c>
    </row>
    <row r="19458">
      <c r="B19458" s="17" t="s">
        <v>477</v>
      </c>
      <c r="K19458" s="18" t="s">
        <v>477</v>
      </c>
    </row>
    <row r="19459">
      <c r="B19459" s="17" t="s">
        <v>477</v>
      </c>
      <c r="K19459" s="18" t="s">
        <v>477</v>
      </c>
    </row>
    <row r="19460">
      <c r="B19460" s="17" t="s">
        <v>477</v>
      </c>
      <c r="K19460" s="18" t="s">
        <v>477</v>
      </c>
    </row>
    <row r="19461">
      <c r="B19461" s="17" t="s">
        <v>477</v>
      </c>
      <c r="K19461" s="18" t="s">
        <v>477</v>
      </c>
    </row>
    <row r="19462">
      <c r="B19462" s="17" t="s">
        <v>477</v>
      </c>
      <c r="K19462" s="18" t="s">
        <v>477</v>
      </c>
    </row>
    <row r="19463">
      <c r="B19463" s="17" t="s">
        <v>477</v>
      </c>
      <c r="K19463" s="18" t="s">
        <v>477</v>
      </c>
    </row>
    <row r="19464">
      <c r="B19464" s="17" t="s">
        <v>477</v>
      </c>
      <c r="K19464" s="18" t="s">
        <v>477</v>
      </c>
    </row>
    <row r="19465">
      <c r="B19465" s="17" t="s">
        <v>477</v>
      </c>
      <c r="K19465" s="18" t="s">
        <v>477</v>
      </c>
    </row>
    <row r="19466">
      <c r="B19466" s="17" t="s">
        <v>477</v>
      </c>
      <c r="K19466" s="18" t="s">
        <v>477</v>
      </c>
    </row>
    <row r="19467">
      <c r="B19467" s="17" t="s">
        <v>477</v>
      </c>
      <c r="K19467" s="18" t="s">
        <v>477</v>
      </c>
    </row>
    <row r="19468">
      <c r="B19468" s="17" t="s">
        <v>477</v>
      </c>
      <c r="K19468" s="18" t="s">
        <v>477</v>
      </c>
    </row>
    <row r="19469">
      <c r="B19469" s="17" t="s">
        <v>477</v>
      </c>
      <c r="K19469" s="18" t="s">
        <v>477</v>
      </c>
    </row>
    <row r="19470">
      <c r="B19470" s="17" t="s">
        <v>477</v>
      </c>
      <c r="K19470" s="18" t="s">
        <v>477</v>
      </c>
    </row>
    <row r="19471">
      <c r="B19471" s="17" t="s">
        <v>477</v>
      </c>
      <c r="K19471" s="18" t="s">
        <v>477</v>
      </c>
    </row>
    <row r="19472">
      <c r="B19472" s="17" t="s">
        <v>477</v>
      </c>
      <c r="K19472" s="18" t="s">
        <v>477</v>
      </c>
    </row>
    <row r="19473">
      <c r="B19473" s="17" t="s">
        <v>477</v>
      </c>
      <c r="K19473" s="18" t="s">
        <v>477</v>
      </c>
    </row>
    <row r="19474">
      <c r="B19474" s="17" t="s">
        <v>477</v>
      </c>
      <c r="K19474" s="18" t="s">
        <v>477</v>
      </c>
    </row>
    <row r="19475">
      <c r="B19475" s="17" t="s">
        <v>477</v>
      </c>
      <c r="K19475" s="18" t="s">
        <v>477</v>
      </c>
    </row>
    <row r="19476">
      <c r="B19476" s="17" t="s">
        <v>477</v>
      </c>
      <c r="K19476" s="18" t="s">
        <v>477</v>
      </c>
    </row>
    <row r="19477">
      <c r="B19477" s="17" t="s">
        <v>477</v>
      </c>
      <c r="K19477" s="18" t="s">
        <v>477</v>
      </c>
    </row>
    <row r="19478">
      <c r="B19478" s="17" t="s">
        <v>477</v>
      </c>
      <c r="K19478" s="18" t="s">
        <v>477</v>
      </c>
    </row>
    <row r="19479">
      <c r="B19479" s="17" t="s">
        <v>477</v>
      </c>
      <c r="K19479" s="18" t="s">
        <v>477</v>
      </c>
    </row>
    <row r="19480">
      <c r="B19480" s="17" t="s">
        <v>477</v>
      </c>
      <c r="K19480" s="18" t="s">
        <v>477</v>
      </c>
    </row>
    <row r="19481">
      <c r="B19481" s="17" t="s">
        <v>477</v>
      </c>
      <c r="K19481" s="18" t="s">
        <v>477</v>
      </c>
    </row>
    <row r="19482">
      <c r="B19482" s="17" t="s">
        <v>477</v>
      </c>
      <c r="K19482" s="18" t="s">
        <v>477</v>
      </c>
    </row>
    <row r="19483">
      <c r="B19483" s="17" t="s">
        <v>477</v>
      </c>
      <c r="K19483" s="18" t="s">
        <v>477</v>
      </c>
    </row>
    <row r="19484">
      <c r="B19484" s="17" t="s">
        <v>477</v>
      </c>
      <c r="K19484" s="18" t="s">
        <v>477</v>
      </c>
    </row>
    <row r="19485">
      <c r="B19485" s="17" t="s">
        <v>477</v>
      </c>
      <c r="K19485" s="18" t="s">
        <v>477</v>
      </c>
    </row>
    <row r="19486">
      <c r="B19486" s="17" t="s">
        <v>477</v>
      </c>
      <c r="K19486" s="18" t="s">
        <v>477</v>
      </c>
    </row>
    <row r="19487">
      <c r="B19487" s="17" t="s">
        <v>477</v>
      </c>
      <c r="K19487" s="18" t="s">
        <v>477</v>
      </c>
    </row>
    <row r="19488">
      <c r="B19488" s="17" t="s">
        <v>477</v>
      </c>
      <c r="K19488" s="18" t="s">
        <v>477</v>
      </c>
    </row>
    <row r="19489">
      <c r="B19489" s="17" t="s">
        <v>477</v>
      </c>
      <c r="K19489" s="18" t="s">
        <v>477</v>
      </c>
    </row>
    <row r="19490">
      <c r="B19490" s="17" t="s">
        <v>477</v>
      </c>
      <c r="K19490" s="18" t="s">
        <v>477</v>
      </c>
    </row>
    <row r="19491">
      <c r="B19491" s="17" t="s">
        <v>477</v>
      </c>
      <c r="K19491" s="18" t="s">
        <v>477</v>
      </c>
    </row>
    <row r="19492">
      <c r="B19492" s="17" t="s">
        <v>477</v>
      </c>
      <c r="K19492" s="18" t="s">
        <v>477</v>
      </c>
    </row>
    <row r="19493">
      <c r="B19493" s="17" t="s">
        <v>477</v>
      </c>
      <c r="K19493" s="18" t="s">
        <v>477</v>
      </c>
    </row>
    <row r="19494">
      <c r="B19494" s="17" t="s">
        <v>477</v>
      </c>
      <c r="K19494" s="18" t="s">
        <v>477</v>
      </c>
    </row>
    <row r="19495">
      <c r="B19495" s="17" t="s">
        <v>477</v>
      </c>
      <c r="K19495" s="18" t="s">
        <v>477</v>
      </c>
    </row>
    <row r="19496">
      <c r="B19496" s="17" t="s">
        <v>477</v>
      </c>
      <c r="K19496" s="18" t="s">
        <v>477</v>
      </c>
    </row>
    <row r="19497">
      <c r="B19497" s="17" t="s">
        <v>477</v>
      </c>
      <c r="K19497" s="18" t="s">
        <v>477</v>
      </c>
    </row>
    <row r="19498">
      <c r="B19498" s="17" t="s">
        <v>477</v>
      </c>
      <c r="K19498" s="18" t="s">
        <v>477</v>
      </c>
    </row>
    <row r="19499">
      <c r="B19499" s="17" t="s">
        <v>477</v>
      </c>
      <c r="K19499" s="18" t="s">
        <v>477</v>
      </c>
    </row>
    <row r="19500">
      <c r="B19500" s="17" t="s">
        <v>477</v>
      </c>
      <c r="K19500" s="18" t="s">
        <v>477</v>
      </c>
    </row>
    <row r="19501">
      <c r="B19501" s="17" t="s">
        <v>477</v>
      </c>
      <c r="K19501" s="18" t="s">
        <v>477</v>
      </c>
    </row>
    <row r="19502">
      <c r="B19502" s="17" t="s">
        <v>477</v>
      </c>
      <c r="K19502" s="18" t="s">
        <v>477</v>
      </c>
    </row>
    <row r="19503">
      <c r="B19503" s="17" t="s">
        <v>477</v>
      </c>
      <c r="K19503" s="18" t="s">
        <v>477</v>
      </c>
    </row>
    <row r="19504">
      <c r="B19504" s="17" t="s">
        <v>477</v>
      </c>
      <c r="K19504" s="18" t="s">
        <v>477</v>
      </c>
    </row>
    <row r="19505">
      <c r="B19505" s="17" t="s">
        <v>477</v>
      </c>
      <c r="K19505" s="18" t="s">
        <v>477</v>
      </c>
    </row>
    <row r="19506">
      <c r="B19506" s="17" t="s">
        <v>477</v>
      </c>
      <c r="K19506" s="18" t="s">
        <v>477</v>
      </c>
    </row>
    <row r="19507">
      <c r="B19507" s="17" t="s">
        <v>477</v>
      </c>
      <c r="K19507" s="18" t="s">
        <v>477</v>
      </c>
    </row>
    <row r="19508">
      <c r="B19508" s="17" t="s">
        <v>477</v>
      </c>
      <c r="K19508" s="18" t="s">
        <v>477</v>
      </c>
    </row>
    <row r="19509">
      <c r="B19509" s="17" t="s">
        <v>477</v>
      </c>
      <c r="K19509" s="18" t="s">
        <v>477</v>
      </c>
    </row>
    <row r="19510">
      <c r="B19510" s="17" t="s">
        <v>477</v>
      </c>
      <c r="K19510" s="18" t="s">
        <v>477</v>
      </c>
    </row>
    <row r="19511">
      <c r="B19511" s="17" t="s">
        <v>477</v>
      </c>
      <c r="K19511" s="18" t="s">
        <v>477</v>
      </c>
    </row>
    <row r="19512">
      <c r="B19512" s="17" t="s">
        <v>477</v>
      </c>
      <c r="K19512" s="18" t="s">
        <v>477</v>
      </c>
    </row>
    <row r="19513">
      <c r="B19513" s="17" t="s">
        <v>477</v>
      </c>
      <c r="K19513" s="18" t="s">
        <v>477</v>
      </c>
    </row>
    <row r="19514">
      <c r="B19514" s="17" t="s">
        <v>477</v>
      </c>
      <c r="K19514" s="18" t="s">
        <v>477</v>
      </c>
    </row>
    <row r="19515">
      <c r="B19515" s="17" t="s">
        <v>477</v>
      </c>
      <c r="K19515" s="18" t="s">
        <v>477</v>
      </c>
    </row>
    <row r="19516">
      <c r="B19516" s="17" t="s">
        <v>477</v>
      </c>
      <c r="K19516" s="18" t="s">
        <v>477</v>
      </c>
    </row>
    <row r="19517">
      <c r="B19517" s="17" t="s">
        <v>477</v>
      </c>
      <c r="K19517" s="18" t="s">
        <v>477</v>
      </c>
    </row>
    <row r="19518">
      <c r="B19518" s="17" t="s">
        <v>477</v>
      </c>
      <c r="K19518" s="18" t="s">
        <v>477</v>
      </c>
    </row>
    <row r="19519">
      <c r="B19519" s="17" t="s">
        <v>477</v>
      </c>
      <c r="K19519" s="18" t="s">
        <v>477</v>
      </c>
    </row>
    <row r="19520">
      <c r="B19520" s="17" t="s">
        <v>477</v>
      </c>
      <c r="K19520" s="18" t="s">
        <v>477</v>
      </c>
    </row>
    <row r="19521">
      <c r="B19521" s="17" t="s">
        <v>477</v>
      </c>
      <c r="K19521" s="18" t="s">
        <v>477</v>
      </c>
    </row>
    <row r="19522">
      <c r="B19522" s="17" t="s">
        <v>477</v>
      </c>
      <c r="K19522" s="18" t="s">
        <v>477</v>
      </c>
    </row>
    <row r="19523">
      <c r="B19523" s="17" t="s">
        <v>477</v>
      </c>
      <c r="K19523" s="18" t="s">
        <v>477</v>
      </c>
    </row>
    <row r="19524">
      <c r="B19524" s="17" t="s">
        <v>477</v>
      </c>
      <c r="K19524" s="18" t="s">
        <v>477</v>
      </c>
    </row>
    <row r="19525">
      <c r="B19525" s="17" t="s">
        <v>477</v>
      </c>
      <c r="K19525" s="18" t="s">
        <v>477</v>
      </c>
    </row>
    <row r="19526">
      <c r="B19526" s="17" t="s">
        <v>477</v>
      </c>
      <c r="K19526" s="18" t="s">
        <v>477</v>
      </c>
    </row>
    <row r="19527">
      <c r="B19527" s="17" t="s">
        <v>477</v>
      </c>
      <c r="K19527" s="18" t="s">
        <v>477</v>
      </c>
    </row>
    <row r="19528">
      <c r="B19528" s="17" t="s">
        <v>477</v>
      </c>
      <c r="K19528" s="18" t="s">
        <v>477</v>
      </c>
    </row>
    <row r="19529">
      <c r="B19529" s="17" t="s">
        <v>477</v>
      </c>
      <c r="K19529" s="18" t="s">
        <v>477</v>
      </c>
    </row>
    <row r="19530">
      <c r="B19530" s="17" t="s">
        <v>477</v>
      </c>
      <c r="K19530" s="18" t="s">
        <v>477</v>
      </c>
    </row>
    <row r="19531">
      <c r="B19531" s="17" t="s">
        <v>477</v>
      </c>
      <c r="K19531" s="18" t="s">
        <v>477</v>
      </c>
    </row>
    <row r="19532">
      <c r="B19532" s="17" t="s">
        <v>477</v>
      </c>
      <c r="K19532" s="18" t="s">
        <v>477</v>
      </c>
    </row>
    <row r="19533">
      <c r="B19533" s="17" t="s">
        <v>477</v>
      </c>
      <c r="K19533" s="18" t="s">
        <v>477</v>
      </c>
    </row>
    <row r="19534">
      <c r="B19534" s="17" t="s">
        <v>477</v>
      </c>
      <c r="K19534" s="18" t="s">
        <v>477</v>
      </c>
    </row>
    <row r="19535">
      <c r="B19535" s="17" t="s">
        <v>477</v>
      </c>
      <c r="K19535" s="18" t="s">
        <v>477</v>
      </c>
    </row>
    <row r="19536">
      <c r="B19536" s="17" t="s">
        <v>477</v>
      </c>
      <c r="K19536" s="18" t="s">
        <v>477</v>
      </c>
    </row>
    <row r="19537">
      <c r="B19537" s="17" t="s">
        <v>477</v>
      </c>
      <c r="K19537" s="18" t="s">
        <v>477</v>
      </c>
    </row>
    <row r="19538">
      <c r="B19538" s="17" t="s">
        <v>477</v>
      </c>
      <c r="K19538" s="18" t="s">
        <v>477</v>
      </c>
    </row>
    <row r="19539">
      <c r="B19539" s="17" t="s">
        <v>477</v>
      </c>
      <c r="K19539" s="18" t="s">
        <v>477</v>
      </c>
    </row>
    <row r="19540">
      <c r="B19540" s="17" t="s">
        <v>477</v>
      </c>
      <c r="K19540" s="18" t="s">
        <v>477</v>
      </c>
    </row>
    <row r="19541">
      <c r="B19541" s="17" t="s">
        <v>477</v>
      </c>
      <c r="K19541" s="18" t="s">
        <v>477</v>
      </c>
    </row>
    <row r="19542">
      <c r="B19542" s="17" t="s">
        <v>477</v>
      </c>
      <c r="K19542" s="18" t="s">
        <v>477</v>
      </c>
    </row>
    <row r="19543">
      <c r="B19543" s="17" t="s">
        <v>477</v>
      </c>
      <c r="K19543" s="18" t="s">
        <v>477</v>
      </c>
    </row>
    <row r="19544">
      <c r="B19544" s="17" t="s">
        <v>477</v>
      </c>
      <c r="K19544" s="18" t="s">
        <v>477</v>
      </c>
    </row>
    <row r="19545">
      <c r="B19545" s="17" t="s">
        <v>477</v>
      </c>
      <c r="K19545" s="18" t="s">
        <v>477</v>
      </c>
    </row>
    <row r="19546">
      <c r="B19546" s="17" t="s">
        <v>477</v>
      </c>
      <c r="K19546" s="18" t="s">
        <v>477</v>
      </c>
    </row>
    <row r="19547">
      <c r="B19547" s="17" t="s">
        <v>477</v>
      </c>
      <c r="K19547" s="18" t="s">
        <v>477</v>
      </c>
    </row>
    <row r="19548">
      <c r="B19548" s="17" t="s">
        <v>477</v>
      </c>
      <c r="K19548" s="18" t="s">
        <v>477</v>
      </c>
    </row>
    <row r="19549">
      <c r="B19549" s="17" t="s">
        <v>477</v>
      </c>
      <c r="K19549" s="18" t="s">
        <v>477</v>
      </c>
    </row>
    <row r="19550">
      <c r="B19550" s="17" t="s">
        <v>477</v>
      </c>
      <c r="K19550" s="18" t="s">
        <v>477</v>
      </c>
    </row>
    <row r="19551">
      <c r="B19551" s="17" t="s">
        <v>477</v>
      </c>
      <c r="K19551" s="18" t="s">
        <v>477</v>
      </c>
    </row>
    <row r="19552">
      <c r="B19552" s="17" t="s">
        <v>477</v>
      </c>
      <c r="K19552" s="18" t="s">
        <v>477</v>
      </c>
    </row>
    <row r="19553">
      <c r="B19553" s="17" t="s">
        <v>477</v>
      </c>
      <c r="K19553" s="18" t="s">
        <v>477</v>
      </c>
    </row>
    <row r="19554">
      <c r="B19554" s="17" t="s">
        <v>477</v>
      </c>
      <c r="K19554" s="18" t="s">
        <v>477</v>
      </c>
    </row>
    <row r="19555">
      <c r="B19555" s="17" t="s">
        <v>477</v>
      </c>
      <c r="K19555" s="18" t="s">
        <v>477</v>
      </c>
    </row>
    <row r="19556">
      <c r="B19556" s="17" t="s">
        <v>477</v>
      </c>
      <c r="K19556" s="18" t="s">
        <v>477</v>
      </c>
    </row>
    <row r="19557">
      <c r="B19557" s="17" t="s">
        <v>477</v>
      </c>
      <c r="K19557" s="18" t="s">
        <v>477</v>
      </c>
    </row>
    <row r="19558">
      <c r="B19558" s="17" t="s">
        <v>477</v>
      </c>
      <c r="K19558" s="18" t="s">
        <v>477</v>
      </c>
    </row>
    <row r="19559">
      <c r="B19559" s="17" t="s">
        <v>477</v>
      </c>
      <c r="K19559" s="18" t="s">
        <v>477</v>
      </c>
    </row>
    <row r="19560">
      <c r="B19560" s="17" t="s">
        <v>477</v>
      </c>
      <c r="K19560" s="18" t="s">
        <v>477</v>
      </c>
    </row>
    <row r="19561">
      <c r="B19561" s="17" t="s">
        <v>477</v>
      </c>
      <c r="K19561" s="18" t="s">
        <v>477</v>
      </c>
    </row>
    <row r="19562">
      <c r="B19562" s="17" t="s">
        <v>477</v>
      </c>
      <c r="K19562" s="18" t="s">
        <v>477</v>
      </c>
    </row>
    <row r="19563">
      <c r="B19563" s="17" t="s">
        <v>477</v>
      </c>
      <c r="K19563" s="18" t="s">
        <v>477</v>
      </c>
    </row>
    <row r="19564">
      <c r="B19564" s="17" t="s">
        <v>477</v>
      </c>
      <c r="K19564" s="18" t="s">
        <v>477</v>
      </c>
    </row>
    <row r="19565">
      <c r="B19565" s="17" t="s">
        <v>477</v>
      </c>
      <c r="K19565" s="18" t="s">
        <v>477</v>
      </c>
    </row>
    <row r="19566">
      <c r="B19566" s="17" t="s">
        <v>477</v>
      </c>
      <c r="K19566" s="18" t="s">
        <v>477</v>
      </c>
    </row>
    <row r="19567">
      <c r="B19567" s="17" t="s">
        <v>477</v>
      </c>
      <c r="K19567" s="18" t="s">
        <v>477</v>
      </c>
    </row>
    <row r="19568">
      <c r="B19568" s="17" t="s">
        <v>477</v>
      </c>
      <c r="K19568" s="18" t="s">
        <v>477</v>
      </c>
    </row>
    <row r="19569">
      <c r="B19569" s="17" t="s">
        <v>477</v>
      </c>
      <c r="K19569" s="18" t="s">
        <v>477</v>
      </c>
    </row>
    <row r="19570">
      <c r="B19570" s="17" t="s">
        <v>477</v>
      </c>
      <c r="K19570" s="18" t="s">
        <v>477</v>
      </c>
    </row>
    <row r="19571">
      <c r="B19571" s="17" t="s">
        <v>477</v>
      </c>
      <c r="K19571" s="18" t="s">
        <v>477</v>
      </c>
    </row>
    <row r="19572">
      <c r="B19572" s="17" t="s">
        <v>477</v>
      </c>
      <c r="K19572" s="18" t="s">
        <v>477</v>
      </c>
    </row>
    <row r="19573">
      <c r="B19573" s="17" t="s">
        <v>477</v>
      </c>
      <c r="K19573" s="18" t="s">
        <v>477</v>
      </c>
    </row>
    <row r="19574">
      <c r="B19574" s="17" t="s">
        <v>477</v>
      </c>
      <c r="K19574" s="18" t="s">
        <v>477</v>
      </c>
    </row>
    <row r="19575">
      <c r="B19575" s="17" t="s">
        <v>477</v>
      </c>
      <c r="K19575" s="18" t="s">
        <v>477</v>
      </c>
    </row>
    <row r="19576">
      <c r="B19576" s="17" t="s">
        <v>477</v>
      </c>
      <c r="K19576" s="18" t="s">
        <v>477</v>
      </c>
    </row>
    <row r="19577">
      <c r="B19577" s="17" t="s">
        <v>477</v>
      </c>
      <c r="K19577" s="18" t="s">
        <v>477</v>
      </c>
    </row>
    <row r="19578">
      <c r="B19578" s="17" t="s">
        <v>477</v>
      </c>
      <c r="K19578" s="18" t="s">
        <v>477</v>
      </c>
    </row>
    <row r="19579">
      <c r="B19579" s="17" t="s">
        <v>477</v>
      </c>
      <c r="K19579" s="18" t="s">
        <v>477</v>
      </c>
    </row>
    <row r="19580">
      <c r="B19580" s="17" t="s">
        <v>477</v>
      </c>
      <c r="K19580" s="18" t="s">
        <v>477</v>
      </c>
    </row>
    <row r="19581">
      <c r="B19581" s="17" t="s">
        <v>477</v>
      </c>
      <c r="K19581" s="18" t="s">
        <v>477</v>
      </c>
    </row>
    <row r="19582">
      <c r="B19582" s="17" t="s">
        <v>477</v>
      </c>
      <c r="K19582" s="18" t="s">
        <v>477</v>
      </c>
    </row>
    <row r="19583">
      <c r="B19583" s="17" t="s">
        <v>477</v>
      </c>
      <c r="K19583" s="18" t="s">
        <v>477</v>
      </c>
    </row>
    <row r="19584">
      <c r="B19584" s="17" t="s">
        <v>477</v>
      </c>
      <c r="K19584" s="18" t="s">
        <v>477</v>
      </c>
    </row>
    <row r="19585">
      <c r="B19585" s="17" t="s">
        <v>477</v>
      </c>
      <c r="K19585" s="18" t="s">
        <v>477</v>
      </c>
    </row>
    <row r="19586">
      <c r="B19586" s="17" t="s">
        <v>477</v>
      </c>
      <c r="K19586" s="18" t="s">
        <v>477</v>
      </c>
    </row>
    <row r="19587">
      <c r="B19587" s="17" t="s">
        <v>477</v>
      </c>
      <c r="K19587" s="18" t="s">
        <v>477</v>
      </c>
    </row>
    <row r="19588">
      <c r="B19588" s="17" t="s">
        <v>477</v>
      </c>
      <c r="K19588" s="18" t="s">
        <v>477</v>
      </c>
    </row>
    <row r="19589">
      <c r="B19589" s="17" t="s">
        <v>477</v>
      </c>
      <c r="K19589" s="18" t="s">
        <v>477</v>
      </c>
    </row>
    <row r="19590">
      <c r="B19590" s="17" t="s">
        <v>477</v>
      </c>
      <c r="K19590" s="18" t="s">
        <v>477</v>
      </c>
    </row>
    <row r="19591">
      <c r="B19591" s="17" t="s">
        <v>477</v>
      </c>
      <c r="K19591" s="18" t="s">
        <v>477</v>
      </c>
    </row>
    <row r="19592">
      <c r="B19592" s="17" t="s">
        <v>477</v>
      </c>
      <c r="K19592" s="18" t="s">
        <v>477</v>
      </c>
    </row>
    <row r="19593">
      <c r="B19593" s="17" t="s">
        <v>477</v>
      </c>
      <c r="K19593" s="18" t="s">
        <v>477</v>
      </c>
    </row>
    <row r="19594">
      <c r="B19594" s="17" t="s">
        <v>477</v>
      </c>
      <c r="K19594" s="18" t="s">
        <v>477</v>
      </c>
    </row>
    <row r="19595">
      <c r="B19595" s="17" t="s">
        <v>477</v>
      </c>
      <c r="K19595" s="18" t="s">
        <v>477</v>
      </c>
    </row>
    <row r="19596">
      <c r="B19596" s="17" t="s">
        <v>477</v>
      </c>
      <c r="K19596" s="18" t="s">
        <v>477</v>
      </c>
    </row>
    <row r="19597">
      <c r="B19597" s="17" t="s">
        <v>477</v>
      </c>
      <c r="K19597" s="18" t="s">
        <v>477</v>
      </c>
    </row>
    <row r="19598">
      <c r="B19598" s="17" t="s">
        <v>477</v>
      </c>
      <c r="K19598" s="18" t="s">
        <v>477</v>
      </c>
    </row>
    <row r="19599">
      <c r="B19599" s="17" t="s">
        <v>477</v>
      </c>
      <c r="K19599" s="18" t="s">
        <v>477</v>
      </c>
    </row>
    <row r="19600">
      <c r="B19600" s="17" t="s">
        <v>477</v>
      </c>
      <c r="K19600" s="18" t="s">
        <v>477</v>
      </c>
    </row>
    <row r="19601">
      <c r="B19601" s="17" t="s">
        <v>477</v>
      </c>
      <c r="K19601" s="18" t="s">
        <v>477</v>
      </c>
    </row>
    <row r="19602">
      <c r="B19602" s="17" t="s">
        <v>477</v>
      </c>
      <c r="K19602" s="18" t="s">
        <v>477</v>
      </c>
    </row>
    <row r="19603">
      <c r="B19603" s="17" t="s">
        <v>477</v>
      </c>
      <c r="K19603" s="18" t="s">
        <v>477</v>
      </c>
    </row>
    <row r="19604">
      <c r="B19604" s="17" t="s">
        <v>477</v>
      </c>
      <c r="K19604" s="18" t="s">
        <v>477</v>
      </c>
    </row>
    <row r="19605">
      <c r="B19605" s="17" t="s">
        <v>477</v>
      </c>
      <c r="K19605" s="18" t="s">
        <v>477</v>
      </c>
    </row>
    <row r="19606">
      <c r="B19606" s="17" t="s">
        <v>477</v>
      </c>
      <c r="K19606" s="18" t="s">
        <v>477</v>
      </c>
    </row>
    <row r="19607">
      <c r="B19607" s="17" t="s">
        <v>477</v>
      </c>
      <c r="K19607" s="18" t="s">
        <v>477</v>
      </c>
    </row>
    <row r="19608">
      <c r="B19608" s="17" t="s">
        <v>477</v>
      </c>
      <c r="K19608" s="18" t="s">
        <v>477</v>
      </c>
    </row>
    <row r="19609">
      <c r="B19609" s="17" t="s">
        <v>477</v>
      </c>
      <c r="K19609" s="18" t="s">
        <v>477</v>
      </c>
    </row>
    <row r="19610">
      <c r="B19610" s="17" t="s">
        <v>477</v>
      </c>
      <c r="K19610" s="18" t="s">
        <v>477</v>
      </c>
    </row>
    <row r="19611">
      <c r="B19611" s="17" t="s">
        <v>477</v>
      </c>
      <c r="K19611" s="18" t="s">
        <v>477</v>
      </c>
    </row>
    <row r="19612">
      <c r="B19612" s="17" t="s">
        <v>477</v>
      </c>
      <c r="K19612" s="18" t="s">
        <v>477</v>
      </c>
    </row>
    <row r="19613">
      <c r="B19613" s="17" t="s">
        <v>477</v>
      </c>
      <c r="K19613" s="18" t="s">
        <v>477</v>
      </c>
    </row>
    <row r="19614">
      <c r="B19614" s="17" t="s">
        <v>477</v>
      </c>
      <c r="K19614" s="18" t="s">
        <v>477</v>
      </c>
    </row>
    <row r="19615">
      <c r="B19615" s="17" t="s">
        <v>477</v>
      </c>
      <c r="K19615" s="18" t="s">
        <v>477</v>
      </c>
    </row>
    <row r="19616">
      <c r="B19616" s="17" t="s">
        <v>477</v>
      </c>
      <c r="K19616" s="18" t="s">
        <v>477</v>
      </c>
    </row>
    <row r="19617">
      <c r="B19617" s="17" t="s">
        <v>477</v>
      </c>
      <c r="K19617" s="18" t="s">
        <v>477</v>
      </c>
    </row>
    <row r="19618">
      <c r="B19618" s="17" t="s">
        <v>477</v>
      </c>
      <c r="K19618" s="18" t="s">
        <v>477</v>
      </c>
    </row>
    <row r="19619">
      <c r="B19619" s="17" t="s">
        <v>477</v>
      </c>
      <c r="K19619" s="18" t="s">
        <v>477</v>
      </c>
    </row>
    <row r="19620">
      <c r="B19620" s="17" t="s">
        <v>477</v>
      </c>
      <c r="K19620" s="18" t="s">
        <v>477</v>
      </c>
    </row>
    <row r="19621">
      <c r="B19621" s="17" t="s">
        <v>477</v>
      </c>
      <c r="K19621" s="18" t="s">
        <v>477</v>
      </c>
    </row>
    <row r="19622">
      <c r="B19622" s="17" t="s">
        <v>477</v>
      </c>
      <c r="K19622" s="18" t="s">
        <v>477</v>
      </c>
    </row>
    <row r="19623">
      <c r="B19623" s="17" t="s">
        <v>477</v>
      </c>
      <c r="K19623" s="18" t="s">
        <v>477</v>
      </c>
    </row>
    <row r="19624">
      <c r="B19624" s="17" t="s">
        <v>477</v>
      </c>
      <c r="K19624" s="18" t="s">
        <v>477</v>
      </c>
    </row>
    <row r="19625">
      <c r="B19625" s="17" t="s">
        <v>477</v>
      </c>
      <c r="K19625" s="18" t="s">
        <v>477</v>
      </c>
    </row>
    <row r="19626">
      <c r="B19626" s="17" t="s">
        <v>477</v>
      </c>
      <c r="K19626" s="18" t="s">
        <v>477</v>
      </c>
    </row>
    <row r="19627">
      <c r="B19627" s="17" t="s">
        <v>477</v>
      </c>
      <c r="K19627" s="18" t="s">
        <v>477</v>
      </c>
    </row>
    <row r="19628">
      <c r="B19628" s="17" t="s">
        <v>477</v>
      </c>
      <c r="K19628" s="18" t="s">
        <v>477</v>
      </c>
    </row>
    <row r="19629">
      <c r="B19629" s="17" t="s">
        <v>477</v>
      </c>
      <c r="K19629" s="18" t="s">
        <v>477</v>
      </c>
    </row>
    <row r="19630">
      <c r="B19630" s="17" t="s">
        <v>477</v>
      </c>
      <c r="K19630" s="18" t="s">
        <v>477</v>
      </c>
    </row>
    <row r="19631">
      <c r="B19631" s="17" t="s">
        <v>477</v>
      </c>
      <c r="K19631" s="18" t="s">
        <v>477</v>
      </c>
    </row>
    <row r="19632">
      <c r="B19632" s="17" t="s">
        <v>477</v>
      </c>
      <c r="K19632" s="18" t="s">
        <v>477</v>
      </c>
    </row>
    <row r="19633">
      <c r="B19633" s="17" t="s">
        <v>477</v>
      </c>
      <c r="K19633" s="18" t="s">
        <v>477</v>
      </c>
    </row>
    <row r="19634">
      <c r="B19634" s="17" t="s">
        <v>477</v>
      </c>
      <c r="K19634" s="18" t="s">
        <v>477</v>
      </c>
    </row>
    <row r="19635">
      <c r="B19635" s="17" t="s">
        <v>477</v>
      </c>
      <c r="K19635" s="18" t="s">
        <v>477</v>
      </c>
    </row>
    <row r="19636">
      <c r="B19636" s="17" t="s">
        <v>477</v>
      </c>
      <c r="K19636" s="18" t="s">
        <v>477</v>
      </c>
    </row>
    <row r="19637">
      <c r="B19637" s="17" t="s">
        <v>477</v>
      </c>
      <c r="K19637" s="18" t="s">
        <v>477</v>
      </c>
    </row>
    <row r="19638">
      <c r="B19638" s="17" t="s">
        <v>477</v>
      </c>
      <c r="K19638" s="18" t="s">
        <v>477</v>
      </c>
    </row>
    <row r="19639">
      <c r="B19639" s="17" t="s">
        <v>477</v>
      </c>
      <c r="K19639" s="18" t="s">
        <v>477</v>
      </c>
    </row>
    <row r="19640">
      <c r="B19640" s="17" t="s">
        <v>477</v>
      </c>
      <c r="K19640" s="18" t="s">
        <v>477</v>
      </c>
    </row>
    <row r="19641">
      <c r="B19641" s="17" t="s">
        <v>477</v>
      </c>
      <c r="K19641" s="18" t="s">
        <v>477</v>
      </c>
    </row>
    <row r="19642">
      <c r="B19642" s="17" t="s">
        <v>477</v>
      </c>
      <c r="K19642" s="18" t="s">
        <v>477</v>
      </c>
    </row>
    <row r="19643">
      <c r="B19643" s="17" t="s">
        <v>477</v>
      </c>
      <c r="K19643" s="18" t="s">
        <v>477</v>
      </c>
    </row>
    <row r="19644">
      <c r="B19644" s="17" t="s">
        <v>477</v>
      </c>
      <c r="K19644" s="18" t="s">
        <v>477</v>
      </c>
    </row>
    <row r="19645">
      <c r="B19645" s="17" t="s">
        <v>477</v>
      </c>
      <c r="K19645" s="18" t="s">
        <v>477</v>
      </c>
    </row>
    <row r="19646">
      <c r="B19646" s="17" t="s">
        <v>477</v>
      </c>
      <c r="K19646" s="18" t="s">
        <v>477</v>
      </c>
    </row>
    <row r="19647">
      <c r="B19647" s="17" t="s">
        <v>477</v>
      </c>
      <c r="K19647" s="18" t="s">
        <v>477</v>
      </c>
    </row>
    <row r="19648">
      <c r="B19648" s="17" t="s">
        <v>477</v>
      </c>
      <c r="K19648" s="18" t="s">
        <v>477</v>
      </c>
    </row>
    <row r="19649">
      <c r="B19649" s="17" t="s">
        <v>477</v>
      </c>
      <c r="K19649" s="18" t="s">
        <v>477</v>
      </c>
    </row>
    <row r="19650">
      <c r="B19650" s="17" t="s">
        <v>477</v>
      </c>
      <c r="K19650" s="18" t="s">
        <v>477</v>
      </c>
    </row>
    <row r="19651">
      <c r="B19651" s="17" t="s">
        <v>477</v>
      </c>
      <c r="K19651" s="18" t="s">
        <v>477</v>
      </c>
    </row>
    <row r="19652">
      <c r="B19652" s="17" t="s">
        <v>477</v>
      </c>
      <c r="K19652" s="18" t="s">
        <v>477</v>
      </c>
    </row>
    <row r="19653">
      <c r="B19653" s="17" t="s">
        <v>477</v>
      </c>
      <c r="K19653" s="18" t="s">
        <v>477</v>
      </c>
    </row>
    <row r="19654">
      <c r="B19654" s="17" t="s">
        <v>477</v>
      </c>
      <c r="K19654" s="18" t="s">
        <v>477</v>
      </c>
    </row>
    <row r="19655">
      <c r="B19655" s="17" t="s">
        <v>477</v>
      </c>
      <c r="K19655" s="18" t="s">
        <v>477</v>
      </c>
    </row>
    <row r="19656">
      <c r="B19656" s="17" t="s">
        <v>477</v>
      </c>
      <c r="K19656" s="18" t="s">
        <v>477</v>
      </c>
    </row>
    <row r="19657">
      <c r="B19657" s="17" t="s">
        <v>477</v>
      </c>
      <c r="K19657" s="18" t="s">
        <v>477</v>
      </c>
    </row>
    <row r="19658">
      <c r="B19658" s="17" t="s">
        <v>477</v>
      </c>
      <c r="K19658" s="18" t="s">
        <v>477</v>
      </c>
    </row>
    <row r="19659">
      <c r="B19659" s="17" t="s">
        <v>477</v>
      </c>
      <c r="K19659" s="18" t="s">
        <v>477</v>
      </c>
    </row>
    <row r="19660">
      <c r="B19660" s="17" t="s">
        <v>477</v>
      </c>
      <c r="K19660" s="18" t="s">
        <v>477</v>
      </c>
    </row>
    <row r="19661">
      <c r="B19661" s="17" t="s">
        <v>477</v>
      </c>
      <c r="K19661" s="18" t="s">
        <v>477</v>
      </c>
    </row>
    <row r="19662">
      <c r="B19662" s="17" t="s">
        <v>477</v>
      </c>
      <c r="K19662" s="18" t="s">
        <v>477</v>
      </c>
    </row>
    <row r="19663">
      <c r="B19663" s="17" t="s">
        <v>477</v>
      </c>
      <c r="K19663" s="18" t="s">
        <v>477</v>
      </c>
    </row>
    <row r="19664">
      <c r="B19664" s="17" t="s">
        <v>477</v>
      </c>
      <c r="K19664" s="18" t="s">
        <v>477</v>
      </c>
    </row>
    <row r="19665">
      <c r="B19665" s="17" t="s">
        <v>477</v>
      </c>
      <c r="K19665" s="18" t="s">
        <v>477</v>
      </c>
    </row>
    <row r="19666">
      <c r="B19666" s="17" t="s">
        <v>477</v>
      </c>
      <c r="K19666" s="18" t="s">
        <v>477</v>
      </c>
    </row>
    <row r="19667">
      <c r="B19667" s="17" t="s">
        <v>477</v>
      </c>
      <c r="K19667" s="18" t="s">
        <v>477</v>
      </c>
    </row>
    <row r="19668">
      <c r="B19668" s="17" t="s">
        <v>477</v>
      </c>
      <c r="K19668" s="18" t="s">
        <v>477</v>
      </c>
    </row>
    <row r="19669">
      <c r="B19669" s="17" t="s">
        <v>477</v>
      </c>
      <c r="K19669" s="18" t="s">
        <v>477</v>
      </c>
    </row>
    <row r="19670">
      <c r="B19670" s="17" t="s">
        <v>477</v>
      </c>
      <c r="K19670" s="18" t="s">
        <v>477</v>
      </c>
    </row>
    <row r="19671">
      <c r="B19671" s="17" t="s">
        <v>477</v>
      </c>
      <c r="K19671" s="18" t="s">
        <v>477</v>
      </c>
    </row>
    <row r="19672">
      <c r="B19672" s="17" t="s">
        <v>477</v>
      </c>
      <c r="K19672" s="18" t="s">
        <v>477</v>
      </c>
    </row>
    <row r="19673">
      <c r="B19673" s="17" t="s">
        <v>477</v>
      </c>
      <c r="K19673" s="18" t="s">
        <v>477</v>
      </c>
    </row>
    <row r="19674">
      <c r="B19674" s="17" t="s">
        <v>477</v>
      </c>
      <c r="K19674" s="18" t="s">
        <v>477</v>
      </c>
    </row>
    <row r="19675">
      <c r="B19675" s="17" t="s">
        <v>477</v>
      </c>
      <c r="K19675" s="18" t="s">
        <v>477</v>
      </c>
    </row>
    <row r="19676">
      <c r="B19676" s="17" t="s">
        <v>477</v>
      </c>
      <c r="K19676" s="18" t="s">
        <v>477</v>
      </c>
    </row>
    <row r="19677">
      <c r="B19677" s="17" t="s">
        <v>477</v>
      </c>
      <c r="K19677" s="18" t="s">
        <v>477</v>
      </c>
    </row>
    <row r="19678">
      <c r="B19678" s="17" t="s">
        <v>477</v>
      </c>
      <c r="K19678" s="18" t="s">
        <v>477</v>
      </c>
    </row>
    <row r="19679">
      <c r="B19679" s="17" t="s">
        <v>477</v>
      </c>
      <c r="K19679" s="18" t="s">
        <v>477</v>
      </c>
    </row>
    <row r="19680">
      <c r="B19680" s="17" t="s">
        <v>477</v>
      </c>
      <c r="K19680" s="18" t="s">
        <v>477</v>
      </c>
    </row>
    <row r="19681">
      <c r="B19681" s="17" t="s">
        <v>477</v>
      </c>
      <c r="K19681" s="18" t="s">
        <v>477</v>
      </c>
    </row>
    <row r="19682">
      <c r="B19682" s="17" t="s">
        <v>477</v>
      </c>
      <c r="K19682" s="18" t="s">
        <v>477</v>
      </c>
    </row>
    <row r="19683">
      <c r="B19683" s="17" t="s">
        <v>477</v>
      </c>
      <c r="K19683" s="18" t="s">
        <v>477</v>
      </c>
    </row>
    <row r="19684">
      <c r="B19684" s="17" t="s">
        <v>477</v>
      </c>
      <c r="K19684" s="18" t="s">
        <v>477</v>
      </c>
    </row>
    <row r="19685">
      <c r="B19685" s="17" t="s">
        <v>477</v>
      </c>
      <c r="K19685" s="18" t="s">
        <v>477</v>
      </c>
    </row>
    <row r="19686">
      <c r="B19686" s="17" t="s">
        <v>477</v>
      </c>
      <c r="K19686" s="18" t="s">
        <v>477</v>
      </c>
    </row>
    <row r="19687">
      <c r="B19687" s="17" t="s">
        <v>477</v>
      </c>
      <c r="K19687" s="18" t="s">
        <v>477</v>
      </c>
    </row>
    <row r="19688">
      <c r="B19688" s="17" t="s">
        <v>477</v>
      </c>
      <c r="K19688" s="18" t="s">
        <v>477</v>
      </c>
    </row>
    <row r="19689">
      <c r="B19689" s="17" t="s">
        <v>477</v>
      </c>
      <c r="K19689" s="18" t="s">
        <v>477</v>
      </c>
    </row>
    <row r="19690">
      <c r="B19690" s="17" t="s">
        <v>477</v>
      </c>
      <c r="K19690" s="18" t="s">
        <v>477</v>
      </c>
    </row>
    <row r="19691">
      <c r="B19691" s="17" t="s">
        <v>477</v>
      </c>
      <c r="K19691" s="18" t="s">
        <v>477</v>
      </c>
    </row>
    <row r="19692">
      <c r="B19692" s="17" t="s">
        <v>477</v>
      </c>
      <c r="K19692" s="18" t="s">
        <v>477</v>
      </c>
    </row>
    <row r="19693">
      <c r="B19693" s="17" t="s">
        <v>477</v>
      </c>
      <c r="K19693" s="18" t="s">
        <v>477</v>
      </c>
    </row>
    <row r="19694">
      <c r="B19694" s="17" t="s">
        <v>477</v>
      </c>
      <c r="K19694" s="18" t="s">
        <v>477</v>
      </c>
    </row>
    <row r="19695">
      <c r="B19695" s="17" t="s">
        <v>477</v>
      </c>
      <c r="K19695" s="18" t="s">
        <v>477</v>
      </c>
    </row>
    <row r="19696">
      <c r="B19696" s="17" t="s">
        <v>477</v>
      </c>
      <c r="K19696" s="18" t="s">
        <v>477</v>
      </c>
    </row>
    <row r="19697">
      <c r="B19697" s="17" t="s">
        <v>477</v>
      </c>
      <c r="K19697" s="18" t="s">
        <v>477</v>
      </c>
    </row>
    <row r="19698">
      <c r="B19698" s="17" t="s">
        <v>477</v>
      </c>
      <c r="K19698" s="18" t="s">
        <v>477</v>
      </c>
    </row>
    <row r="19699">
      <c r="B19699" s="17" t="s">
        <v>477</v>
      </c>
      <c r="K19699" s="18" t="s">
        <v>477</v>
      </c>
    </row>
    <row r="19700">
      <c r="B19700" s="17" t="s">
        <v>477</v>
      </c>
      <c r="K19700" s="18" t="s">
        <v>477</v>
      </c>
    </row>
    <row r="19701">
      <c r="B19701" s="17" t="s">
        <v>477</v>
      </c>
      <c r="K19701" s="18" t="s">
        <v>477</v>
      </c>
    </row>
    <row r="19702">
      <c r="B19702" s="17" t="s">
        <v>477</v>
      </c>
      <c r="K19702" s="18" t="s">
        <v>477</v>
      </c>
    </row>
    <row r="19703">
      <c r="B19703" s="17" t="s">
        <v>477</v>
      </c>
      <c r="K19703" s="18" t="s">
        <v>477</v>
      </c>
    </row>
    <row r="19704">
      <c r="B19704" s="17" t="s">
        <v>477</v>
      </c>
      <c r="K19704" s="18" t="s">
        <v>477</v>
      </c>
    </row>
    <row r="19705">
      <c r="B19705" s="17" t="s">
        <v>477</v>
      </c>
      <c r="K19705" s="18" t="s">
        <v>477</v>
      </c>
    </row>
    <row r="19706">
      <c r="B19706" s="17" t="s">
        <v>477</v>
      </c>
      <c r="K19706" s="18" t="s">
        <v>477</v>
      </c>
    </row>
    <row r="19707">
      <c r="B19707" s="17" t="s">
        <v>477</v>
      </c>
      <c r="K19707" s="18" t="s">
        <v>477</v>
      </c>
    </row>
    <row r="19708">
      <c r="B19708" s="17" t="s">
        <v>477</v>
      </c>
      <c r="K19708" s="18" t="s">
        <v>477</v>
      </c>
    </row>
    <row r="19709">
      <c r="B19709" s="17" t="s">
        <v>477</v>
      </c>
      <c r="K19709" s="18" t="s">
        <v>477</v>
      </c>
    </row>
    <row r="19710">
      <c r="B19710" s="17" t="s">
        <v>477</v>
      </c>
      <c r="K19710" s="18" t="s">
        <v>477</v>
      </c>
    </row>
    <row r="19711">
      <c r="B19711" s="17" t="s">
        <v>477</v>
      </c>
      <c r="K19711" s="18" t="s">
        <v>477</v>
      </c>
    </row>
    <row r="19712">
      <c r="B19712" s="17" t="s">
        <v>477</v>
      </c>
      <c r="K19712" s="18" t="s">
        <v>477</v>
      </c>
    </row>
    <row r="19713">
      <c r="B19713" s="17" t="s">
        <v>477</v>
      </c>
      <c r="K19713" s="18" t="s">
        <v>477</v>
      </c>
    </row>
    <row r="19714">
      <c r="B19714" s="17" t="s">
        <v>477</v>
      </c>
      <c r="K19714" s="18" t="s">
        <v>477</v>
      </c>
    </row>
    <row r="19715">
      <c r="B19715" s="17" t="s">
        <v>477</v>
      </c>
      <c r="K19715" s="18" t="s">
        <v>477</v>
      </c>
    </row>
    <row r="19716">
      <c r="B19716" s="17" t="s">
        <v>477</v>
      </c>
      <c r="K19716" s="18" t="s">
        <v>477</v>
      </c>
    </row>
    <row r="19717">
      <c r="B19717" s="17" t="s">
        <v>477</v>
      </c>
      <c r="K19717" s="18" t="s">
        <v>477</v>
      </c>
    </row>
    <row r="19718">
      <c r="B19718" s="17" t="s">
        <v>477</v>
      </c>
      <c r="K19718" s="18" t="s">
        <v>477</v>
      </c>
    </row>
    <row r="19719">
      <c r="B19719" s="17" t="s">
        <v>477</v>
      </c>
      <c r="K19719" s="18" t="s">
        <v>477</v>
      </c>
    </row>
    <row r="19720">
      <c r="B19720" s="17" t="s">
        <v>477</v>
      </c>
      <c r="K19720" s="18" t="s">
        <v>477</v>
      </c>
    </row>
    <row r="19721">
      <c r="B19721" s="17" t="s">
        <v>477</v>
      </c>
      <c r="K19721" s="18" t="s">
        <v>477</v>
      </c>
    </row>
    <row r="19722">
      <c r="B19722" s="17" t="s">
        <v>477</v>
      </c>
      <c r="K19722" s="18" t="s">
        <v>477</v>
      </c>
    </row>
    <row r="19723">
      <c r="B19723" s="17" t="s">
        <v>477</v>
      </c>
      <c r="K19723" s="18" t="s">
        <v>477</v>
      </c>
    </row>
    <row r="19724">
      <c r="B19724" s="17" t="s">
        <v>477</v>
      </c>
      <c r="K19724" s="18" t="s">
        <v>477</v>
      </c>
    </row>
    <row r="19725">
      <c r="B19725" s="17" t="s">
        <v>477</v>
      </c>
      <c r="K19725" s="18" t="s">
        <v>477</v>
      </c>
    </row>
    <row r="19726">
      <c r="B19726" s="17" t="s">
        <v>477</v>
      </c>
      <c r="K19726" s="18" t="s">
        <v>477</v>
      </c>
    </row>
    <row r="19727">
      <c r="B19727" s="17" t="s">
        <v>477</v>
      </c>
      <c r="K19727" s="18" t="s">
        <v>477</v>
      </c>
    </row>
    <row r="19728">
      <c r="B19728" s="17" t="s">
        <v>477</v>
      </c>
      <c r="K19728" s="18" t="s">
        <v>477</v>
      </c>
    </row>
    <row r="19729">
      <c r="B19729" s="17" t="s">
        <v>477</v>
      </c>
      <c r="K19729" s="18" t="s">
        <v>477</v>
      </c>
    </row>
    <row r="19730">
      <c r="B19730" s="17" t="s">
        <v>477</v>
      </c>
      <c r="K19730" s="18" t="s">
        <v>477</v>
      </c>
    </row>
    <row r="19731">
      <c r="B19731" s="17" t="s">
        <v>477</v>
      </c>
      <c r="K19731" s="18" t="s">
        <v>477</v>
      </c>
    </row>
    <row r="19732">
      <c r="B19732" s="17" t="s">
        <v>477</v>
      </c>
      <c r="K19732" s="18" t="s">
        <v>477</v>
      </c>
    </row>
    <row r="19733">
      <c r="B19733" s="17" t="s">
        <v>477</v>
      </c>
      <c r="K19733" s="18" t="s">
        <v>477</v>
      </c>
    </row>
    <row r="19734">
      <c r="B19734" s="17" t="s">
        <v>477</v>
      </c>
      <c r="K19734" s="18" t="s">
        <v>477</v>
      </c>
    </row>
    <row r="19735">
      <c r="B19735" s="17" t="s">
        <v>477</v>
      </c>
      <c r="K19735" s="18" t="s">
        <v>477</v>
      </c>
    </row>
    <row r="19736">
      <c r="B19736" s="17" t="s">
        <v>477</v>
      </c>
      <c r="K19736" s="18" t="s">
        <v>477</v>
      </c>
    </row>
    <row r="19737">
      <c r="B19737" s="17" t="s">
        <v>477</v>
      </c>
      <c r="K19737" s="18" t="s">
        <v>477</v>
      </c>
    </row>
    <row r="19738">
      <c r="B19738" s="17" t="s">
        <v>477</v>
      </c>
      <c r="K19738" s="18" t="s">
        <v>477</v>
      </c>
    </row>
    <row r="19739">
      <c r="B19739" s="17" t="s">
        <v>477</v>
      </c>
      <c r="K19739" s="18" t="s">
        <v>477</v>
      </c>
    </row>
    <row r="19740">
      <c r="B19740" s="17" t="s">
        <v>477</v>
      </c>
      <c r="K19740" s="18" t="s">
        <v>477</v>
      </c>
    </row>
    <row r="19741">
      <c r="B19741" s="17" t="s">
        <v>477</v>
      </c>
      <c r="K19741" s="18" t="s">
        <v>477</v>
      </c>
    </row>
    <row r="19742">
      <c r="B19742" s="17" t="s">
        <v>477</v>
      </c>
      <c r="K19742" s="18" t="s">
        <v>477</v>
      </c>
    </row>
    <row r="19743">
      <c r="B19743" s="17" t="s">
        <v>477</v>
      </c>
      <c r="K19743" s="18" t="s">
        <v>477</v>
      </c>
    </row>
    <row r="19744">
      <c r="B19744" s="17" t="s">
        <v>477</v>
      </c>
      <c r="K19744" s="18" t="s">
        <v>477</v>
      </c>
    </row>
    <row r="19745">
      <c r="B19745" s="17" t="s">
        <v>477</v>
      </c>
      <c r="K19745" s="18" t="s">
        <v>477</v>
      </c>
    </row>
    <row r="19746">
      <c r="B19746" s="17" t="s">
        <v>477</v>
      </c>
      <c r="K19746" s="18" t="s">
        <v>477</v>
      </c>
    </row>
    <row r="19747">
      <c r="B19747" s="17" t="s">
        <v>477</v>
      </c>
      <c r="K19747" s="18" t="s">
        <v>477</v>
      </c>
    </row>
    <row r="19748">
      <c r="B19748" s="17" t="s">
        <v>477</v>
      </c>
      <c r="K19748" s="18" t="s">
        <v>477</v>
      </c>
    </row>
    <row r="19749">
      <c r="B19749" s="17" t="s">
        <v>477</v>
      </c>
      <c r="K19749" s="18" t="s">
        <v>477</v>
      </c>
    </row>
    <row r="19750">
      <c r="B19750" s="17" t="s">
        <v>477</v>
      </c>
      <c r="K19750" s="18" t="s">
        <v>477</v>
      </c>
    </row>
    <row r="19751">
      <c r="B19751" s="17" t="s">
        <v>477</v>
      </c>
      <c r="K19751" s="18" t="s">
        <v>477</v>
      </c>
    </row>
    <row r="19752">
      <c r="B19752" s="17" t="s">
        <v>477</v>
      </c>
      <c r="K19752" s="18" t="s">
        <v>477</v>
      </c>
    </row>
    <row r="19753">
      <c r="B19753" s="17" t="s">
        <v>477</v>
      </c>
      <c r="K19753" s="18" t="s">
        <v>477</v>
      </c>
    </row>
    <row r="19754">
      <c r="B19754" s="17" t="s">
        <v>477</v>
      </c>
      <c r="K19754" s="18" t="s">
        <v>477</v>
      </c>
    </row>
    <row r="19755">
      <c r="B19755" s="17" t="s">
        <v>477</v>
      </c>
      <c r="K19755" s="18" t="s">
        <v>477</v>
      </c>
    </row>
    <row r="19756">
      <c r="B19756" s="17" t="s">
        <v>477</v>
      </c>
      <c r="K19756" s="18" t="s">
        <v>477</v>
      </c>
    </row>
    <row r="19757">
      <c r="B19757" s="17" t="s">
        <v>477</v>
      </c>
      <c r="K19757" s="18" t="s">
        <v>477</v>
      </c>
    </row>
    <row r="19758">
      <c r="B19758" s="17" t="s">
        <v>477</v>
      </c>
      <c r="K19758" s="18" t="s">
        <v>477</v>
      </c>
    </row>
    <row r="19759">
      <c r="B19759" s="17" t="s">
        <v>477</v>
      </c>
      <c r="K19759" s="18" t="s">
        <v>477</v>
      </c>
    </row>
    <row r="19760">
      <c r="B19760" s="17" t="s">
        <v>477</v>
      </c>
      <c r="K19760" s="18" t="s">
        <v>477</v>
      </c>
    </row>
    <row r="19761">
      <c r="B19761" s="17" t="s">
        <v>477</v>
      </c>
      <c r="K19761" s="18" t="s">
        <v>477</v>
      </c>
    </row>
    <row r="19762">
      <c r="B19762" s="17" t="s">
        <v>477</v>
      </c>
      <c r="K19762" s="18" t="s">
        <v>477</v>
      </c>
    </row>
    <row r="19763">
      <c r="B19763" s="17" t="s">
        <v>477</v>
      </c>
      <c r="K19763" s="18" t="s">
        <v>477</v>
      </c>
    </row>
    <row r="19764">
      <c r="B19764" s="17" t="s">
        <v>477</v>
      </c>
      <c r="K19764" s="18" t="s">
        <v>477</v>
      </c>
    </row>
    <row r="19765">
      <c r="B19765" s="17" t="s">
        <v>477</v>
      </c>
      <c r="K19765" s="18" t="s">
        <v>477</v>
      </c>
    </row>
    <row r="19766">
      <c r="B19766" s="17" t="s">
        <v>477</v>
      </c>
      <c r="K19766" s="18" t="s">
        <v>477</v>
      </c>
    </row>
    <row r="19767">
      <c r="B19767" s="17" t="s">
        <v>477</v>
      </c>
      <c r="K19767" s="18" t="s">
        <v>477</v>
      </c>
    </row>
    <row r="19768">
      <c r="B19768" s="17" t="s">
        <v>477</v>
      </c>
      <c r="K19768" s="18" t="s">
        <v>477</v>
      </c>
    </row>
    <row r="19769">
      <c r="B19769" s="17" t="s">
        <v>477</v>
      </c>
      <c r="K19769" s="18" t="s">
        <v>477</v>
      </c>
    </row>
    <row r="19770">
      <c r="B19770" s="17" t="s">
        <v>477</v>
      </c>
      <c r="K19770" s="18" t="s">
        <v>477</v>
      </c>
    </row>
    <row r="19771">
      <c r="B19771" s="17" t="s">
        <v>477</v>
      </c>
      <c r="K19771" s="18" t="s">
        <v>477</v>
      </c>
    </row>
    <row r="19772">
      <c r="B19772" s="17" t="s">
        <v>477</v>
      </c>
      <c r="K19772" s="18" t="s">
        <v>477</v>
      </c>
    </row>
    <row r="19773">
      <c r="B19773" s="17" t="s">
        <v>477</v>
      </c>
      <c r="K19773" s="18" t="s">
        <v>477</v>
      </c>
    </row>
    <row r="19774">
      <c r="B19774" s="17" t="s">
        <v>477</v>
      </c>
      <c r="K19774" s="18" t="s">
        <v>477</v>
      </c>
    </row>
    <row r="19775">
      <c r="B19775" s="17" t="s">
        <v>477</v>
      </c>
      <c r="K19775" s="18" t="s">
        <v>477</v>
      </c>
    </row>
    <row r="19776">
      <c r="B19776" s="17" t="s">
        <v>477</v>
      </c>
      <c r="K19776" s="18" t="s">
        <v>477</v>
      </c>
    </row>
    <row r="19777">
      <c r="B19777" s="17" t="s">
        <v>477</v>
      </c>
      <c r="K19777" s="18" t="s">
        <v>477</v>
      </c>
    </row>
    <row r="19778">
      <c r="B19778" s="17" t="s">
        <v>477</v>
      </c>
      <c r="K19778" s="18" t="s">
        <v>477</v>
      </c>
    </row>
    <row r="19779">
      <c r="B19779" s="17" t="s">
        <v>477</v>
      </c>
      <c r="K19779" s="18" t="s">
        <v>477</v>
      </c>
    </row>
    <row r="19780">
      <c r="B19780" s="17" t="s">
        <v>477</v>
      </c>
      <c r="K19780" s="18" t="s">
        <v>477</v>
      </c>
    </row>
    <row r="19781">
      <c r="B19781" s="17" t="s">
        <v>477</v>
      </c>
      <c r="K19781" s="18" t="s">
        <v>477</v>
      </c>
    </row>
    <row r="19782">
      <c r="B19782" s="17" t="s">
        <v>477</v>
      </c>
      <c r="K19782" s="18" t="s">
        <v>477</v>
      </c>
    </row>
    <row r="19783">
      <c r="B19783" s="17" t="s">
        <v>477</v>
      </c>
      <c r="K19783" s="18" t="s">
        <v>477</v>
      </c>
    </row>
    <row r="19784">
      <c r="B19784" s="17" t="s">
        <v>477</v>
      </c>
      <c r="K19784" s="18" t="s">
        <v>477</v>
      </c>
    </row>
    <row r="19785">
      <c r="B19785" s="17" t="s">
        <v>477</v>
      </c>
      <c r="K19785" s="18" t="s">
        <v>477</v>
      </c>
    </row>
    <row r="19786">
      <c r="B19786" s="17" t="s">
        <v>477</v>
      </c>
      <c r="K19786" s="18" t="s">
        <v>477</v>
      </c>
    </row>
    <row r="19787">
      <c r="B19787" s="17" t="s">
        <v>477</v>
      </c>
      <c r="K19787" s="18" t="s">
        <v>477</v>
      </c>
    </row>
    <row r="19788">
      <c r="B19788" s="17" t="s">
        <v>477</v>
      </c>
      <c r="K19788" s="18" t="s">
        <v>477</v>
      </c>
    </row>
    <row r="19789">
      <c r="B19789" s="17" t="s">
        <v>477</v>
      </c>
      <c r="K19789" s="18" t="s">
        <v>477</v>
      </c>
    </row>
    <row r="19790">
      <c r="B19790" s="17" t="s">
        <v>477</v>
      </c>
      <c r="K19790" s="18" t="s">
        <v>477</v>
      </c>
    </row>
    <row r="19791">
      <c r="B19791" s="17" t="s">
        <v>477</v>
      </c>
      <c r="K19791" s="18" t="s">
        <v>477</v>
      </c>
    </row>
    <row r="19792">
      <c r="B19792" s="17" t="s">
        <v>477</v>
      </c>
      <c r="K19792" s="18" t="s">
        <v>477</v>
      </c>
    </row>
    <row r="19793">
      <c r="B19793" s="17" t="s">
        <v>477</v>
      </c>
      <c r="K19793" s="18" t="s">
        <v>477</v>
      </c>
    </row>
    <row r="19794">
      <c r="B19794" s="17" t="s">
        <v>477</v>
      </c>
      <c r="K19794" s="18" t="s">
        <v>477</v>
      </c>
    </row>
    <row r="19795">
      <c r="B19795" s="17" t="s">
        <v>477</v>
      </c>
      <c r="K19795" s="18" t="s">
        <v>477</v>
      </c>
    </row>
    <row r="19796">
      <c r="B19796" s="17" t="s">
        <v>477</v>
      </c>
      <c r="K19796" s="18" t="s">
        <v>477</v>
      </c>
    </row>
    <row r="19797">
      <c r="B19797" s="17" t="s">
        <v>477</v>
      </c>
      <c r="K19797" s="18" t="s">
        <v>477</v>
      </c>
    </row>
    <row r="19798">
      <c r="B19798" s="17" t="s">
        <v>477</v>
      </c>
      <c r="K19798" s="18" t="s">
        <v>477</v>
      </c>
    </row>
    <row r="19799">
      <c r="B19799" s="17" t="s">
        <v>477</v>
      </c>
      <c r="K19799" s="18" t="s">
        <v>477</v>
      </c>
    </row>
    <row r="19800">
      <c r="B19800" s="17" t="s">
        <v>477</v>
      </c>
      <c r="K19800" s="18" t="s">
        <v>477</v>
      </c>
    </row>
    <row r="19801">
      <c r="B19801" s="17" t="s">
        <v>477</v>
      </c>
      <c r="K19801" s="18" t="s">
        <v>477</v>
      </c>
    </row>
    <row r="19802">
      <c r="B19802" s="17" t="s">
        <v>477</v>
      </c>
      <c r="K19802" s="18" t="s">
        <v>477</v>
      </c>
    </row>
    <row r="19803">
      <c r="B19803" s="17" t="s">
        <v>477</v>
      </c>
      <c r="K19803" s="18" t="s">
        <v>477</v>
      </c>
    </row>
    <row r="19804">
      <c r="B19804" s="17" t="s">
        <v>477</v>
      </c>
      <c r="K19804" s="18" t="s">
        <v>477</v>
      </c>
    </row>
    <row r="19805">
      <c r="B19805" s="17" t="s">
        <v>477</v>
      </c>
      <c r="K19805" s="18" t="s">
        <v>477</v>
      </c>
    </row>
    <row r="19806">
      <c r="B19806" s="17" t="s">
        <v>477</v>
      </c>
      <c r="K19806" s="18" t="s">
        <v>477</v>
      </c>
    </row>
    <row r="19807">
      <c r="B19807" s="17" t="s">
        <v>477</v>
      </c>
      <c r="K19807" s="18" t="s">
        <v>477</v>
      </c>
    </row>
    <row r="19808">
      <c r="B19808" s="17" t="s">
        <v>477</v>
      </c>
      <c r="K19808" s="18" t="s">
        <v>477</v>
      </c>
    </row>
    <row r="19809">
      <c r="B19809" s="17" t="s">
        <v>477</v>
      </c>
      <c r="K19809" s="18" t="s">
        <v>477</v>
      </c>
    </row>
    <row r="19810">
      <c r="B19810" s="17" t="s">
        <v>477</v>
      </c>
      <c r="K19810" s="18" t="s">
        <v>477</v>
      </c>
    </row>
    <row r="19811">
      <c r="B19811" s="17" t="s">
        <v>477</v>
      </c>
      <c r="K19811" s="18" t="s">
        <v>477</v>
      </c>
    </row>
    <row r="19812">
      <c r="B19812" s="17" t="s">
        <v>477</v>
      </c>
      <c r="K19812" s="18" t="s">
        <v>477</v>
      </c>
    </row>
    <row r="19813">
      <c r="B19813" s="17" t="s">
        <v>477</v>
      </c>
      <c r="K19813" s="18" t="s">
        <v>477</v>
      </c>
    </row>
    <row r="19814">
      <c r="B19814" s="17" t="s">
        <v>477</v>
      </c>
      <c r="K19814" s="18" t="s">
        <v>477</v>
      </c>
    </row>
    <row r="19815">
      <c r="B19815" s="17" t="s">
        <v>477</v>
      </c>
      <c r="K19815" s="18" t="s">
        <v>477</v>
      </c>
    </row>
    <row r="19816">
      <c r="B19816" s="17" t="s">
        <v>477</v>
      </c>
      <c r="K19816" s="18" t="s">
        <v>477</v>
      </c>
    </row>
    <row r="19817">
      <c r="B19817" s="17" t="s">
        <v>477</v>
      </c>
      <c r="K19817" s="18" t="s">
        <v>477</v>
      </c>
    </row>
    <row r="19818">
      <c r="B19818" s="17" t="s">
        <v>477</v>
      </c>
      <c r="K19818" s="18" t="s">
        <v>477</v>
      </c>
    </row>
    <row r="19819">
      <c r="B19819" s="17" t="s">
        <v>477</v>
      </c>
      <c r="K19819" s="18" t="s">
        <v>477</v>
      </c>
    </row>
    <row r="19820">
      <c r="B19820" s="17" t="s">
        <v>477</v>
      </c>
      <c r="K19820" s="18" t="s">
        <v>477</v>
      </c>
    </row>
    <row r="19821">
      <c r="B19821" s="17" t="s">
        <v>477</v>
      </c>
      <c r="K19821" s="18" t="s">
        <v>477</v>
      </c>
    </row>
    <row r="19822">
      <c r="B19822" s="17" t="s">
        <v>477</v>
      </c>
      <c r="K19822" s="18" t="s">
        <v>477</v>
      </c>
    </row>
    <row r="19823">
      <c r="B19823" s="17" t="s">
        <v>477</v>
      </c>
      <c r="K19823" s="18" t="s">
        <v>477</v>
      </c>
    </row>
    <row r="19824">
      <c r="B19824" s="17" t="s">
        <v>477</v>
      </c>
      <c r="K19824" s="18" t="s">
        <v>477</v>
      </c>
    </row>
    <row r="19825">
      <c r="B19825" s="17" t="s">
        <v>477</v>
      </c>
      <c r="K19825" s="18" t="s">
        <v>477</v>
      </c>
    </row>
    <row r="19826">
      <c r="B19826" s="17" t="s">
        <v>477</v>
      </c>
      <c r="K19826" s="18" t="s">
        <v>477</v>
      </c>
    </row>
    <row r="19827">
      <c r="B19827" s="17" t="s">
        <v>477</v>
      </c>
      <c r="K19827" s="18" t="s">
        <v>477</v>
      </c>
    </row>
    <row r="19828">
      <c r="B19828" s="17" t="s">
        <v>477</v>
      </c>
      <c r="K19828" s="18" t="s">
        <v>477</v>
      </c>
    </row>
    <row r="19829">
      <c r="B19829" s="17" t="s">
        <v>477</v>
      </c>
      <c r="K19829" s="18" t="s">
        <v>477</v>
      </c>
    </row>
    <row r="19830">
      <c r="B19830" s="17" t="s">
        <v>477</v>
      </c>
      <c r="K19830" s="18" t="s">
        <v>477</v>
      </c>
    </row>
    <row r="19831">
      <c r="B19831" s="17" t="s">
        <v>477</v>
      </c>
      <c r="K19831" s="18" t="s">
        <v>477</v>
      </c>
    </row>
    <row r="19832">
      <c r="B19832" s="17" t="s">
        <v>477</v>
      </c>
      <c r="K19832" s="18" t="s">
        <v>477</v>
      </c>
    </row>
    <row r="19833">
      <c r="B19833" s="17" t="s">
        <v>477</v>
      </c>
      <c r="K19833" s="18" t="s">
        <v>477</v>
      </c>
    </row>
    <row r="19834">
      <c r="B19834" s="17" t="s">
        <v>477</v>
      </c>
      <c r="K19834" s="18" t="s">
        <v>477</v>
      </c>
    </row>
    <row r="19835">
      <c r="B19835" s="17" t="s">
        <v>477</v>
      </c>
      <c r="K19835" s="18" t="s">
        <v>477</v>
      </c>
    </row>
    <row r="19836">
      <c r="B19836" s="17" t="s">
        <v>477</v>
      </c>
      <c r="K19836" s="18" t="s">
        <v>477</v>
      </c>
    </row>
    <row r="19837">
      <c r="B19837" s="17" t="s">
        <v>477</v>
      </c>
      <c r="K19837" s="18" t="s">
        <v>477</v>
      </c>
    </row>
    <row r="19838">
      <c r="B19838" s="17" t="s">
        <v>477</v>
      </c>
      <c r="K19838" s="18" t="s">
        <v>477</v>
      </c>
    </row>
    <row r="19839">
      <c r="B19839" s="17" t="s">
        <v>477</v>
      </c>
      <c r="K19839" s="18" t="s">
        <v>477</v>
      </c>
    </row>
    <row r="19840">
      <c r="B19840" s="17" t="s">
        <v>477</v>
      </c>
      <c r="K19840" s="18" t="s">
        <v>477</v>
      </c>
    </row>
    <row r="19841">
      <c r="B19841" s="17" t="s">
        <v>477</v>
      </c>
      <c r="K19841" s="18" t="s">
        <v>477</v>
      </c>
    </row>
    <row r="19842">
      <c r="B19842" s="17" t="s">
        <v>477</v>
      </c>
      <c r="K19842" s="18" t="s">
        <v>477</v>
      </c>
    </row>
    <row r="19843">
      <c r="B19843" s="17" t="s">
        <v>477</v>
      </c>
      <c r="K19843" s="18" t="s">
        <v>477</v>
      </c>
    </row>
    <row r="19844">
      <c r="B19844" s="17" t="s">
        <v>477</v>
      </c>
      <c r="K19844" s="18" t="s">
        <v>477</v>
      </c>
    </row>
    <row r="19845">
      <c r="B19845" s="17" t="s">
        <v>477</v>
      </c>
      <c r="K19845" s="18" t="s">
        <v>477</v>
      </c>
    </row>
    <row r="19846">
      <c r="B19846" s="17" t="s">
        <v>477</v>
      </c>
      <c r="K19846" s="18" t="s">
        <v>477</v>
      </c>
    </row>
    <row r="19847">
      <c r="B19847" s="17" t="s">
        <v>477</v>
      </c>
      <c r="K19847" s="18" t="s">
        <v>477</v>
      </c>
    </row>
    <row r="19848">
      <c r="B19848" s="17" t="s">
        <v>477</v>
      </c>
      <c r="K19848" s="18" t="s">
        <v>477</v>
      </c>
    </row>
    <row r="19849">
      <c r="B19849" s="17" t="s">
        <v>477</v>
      </c>
      <c r="K19849" s="18" t="s">
        <v>477</v>
      </c>
    </row>
    <row r="19850">
      <c r="B19850" s="17" t="s">
        <v>477</v>
      </c>
      <c r="K19850" s="18" t="s">
        <v>477</v>
      </c>
    </row>
    <row r="19851">
      <c r="B19851" s="17" t="s">
        <v>477</v>
      </c>
      <c r="K19851" s="18" t="s">
        <v>477</v>
      </c>
    </row>
    <row r="19852">
      <c r="B19852" s="17" t="s">
        <v>477</v>
      </c>
      <c r="K19852" s="18" t="s">
        <v>477</v>
      </c>
    </row>
    <row r="19853">
      <c r="B19853" s="17" t="s">
        <v>477</v>
      </c>
      <c r="K19853" s="18" t="s">
        <v>477</v>
      </c>
    </row>
    <row r="19854">
      <c r="B19854" s="17" t="s">
        <v>477</v>
      </c>
      <c r="K19854" s="18" t="s">
        <v>477</v>
      </c>
    </row>
    <row r="19855">
      <c r="B19855" s="17" t="s">
        <v>477</v>
      </c>
      <c r="K19855" s="18" t="s">
        <v>477</v>
      </c>
    </row>
    <row r="19856">
      <c r="B19856" s="17" t="s">
        <v>477</v>
      </c>
      <c r="K19856" s="18" t="s">
        <v>477</v>
      </c>
    </row>
    <row r="19857">
      <c r="B19857" s="17" t="s">
        <v>477</v>
      </c>
      <c r="K19857" s="18" t="s">
        <v>477</v>
      </c>
    </row>
    <row r="19858">
      <c r="B19858" s="17" t="s">
        <v>477</v>
      </c>
      <c r="K19858" s="18" t="s">
        <v>477</v>
      </c>
    </row>
    <row r="19859">
      <c r="B19859" s="17" t="s">
        <v>477</v>
      </c>
      <c r="K19859" s="18" t="s">
        <v>477</v>
      </c>
    </row>
    <row r="19860">
      <c r="B19860" s="17" t="s">
        <v>477</v>
      </c>
      <c r="K19860" s="18" t="s">
        <v>477</v>
      </c>
    </row>
    <row r="19861">
      <c r="B19861" s="17" t="s">
        <v>477</v>
      </c>
      <c r="K19861" s="18" t="s">
        <v>477</v>
      </c>
    </row>
    <row r="19862">
      <c r="B19862" s="17" t="s">
        <v>477</v>
      </c>
      <c r="K19862" s="18" t="s">
        <v>477</v>
      </c>
    </row>
    <row r="19863">
      <c r="B19863" s="17" t="s">
        <v>477</v>
      </c>
      <c r="K19863" s="18" t="s">
        <v>477</v>
      </c>
    </row>
    <row r="19864">
      <c r="B19864" s="17" t="s">
        <v>477</v>
      </c>
      <c r="K19864" s="18" t="s">
        <v>477</v>
      </c>
    </row>
    <row r="19865">
      <c r="B19865" s="17" t="s">
        <v>477</v>
      </c>
      <c r="K19865" s="18" t="s">
        <v>477</v>
      </c>
    </row>
    <row r="19866">
      <c r="B19866" s="17" t="s">
        <v>477</v>
      </c>
      <c r="K19866" s="18" t="s">
        <v>477</v>
      </c>
    </row>
    <row r="19867">
      <c r="B19867" s="17" t="s">
        <v>477</v>
      </c>
      <c r="K19867" s="18" t="s">
        <v>477</v>
      </c>
    </row>
    <row r="19868">
      <c r="B19868" s="17" t="s">
        <v>477</v>
      </c>
      <c r="K19868" s="18" t="s">
        <v>477</v>
      </c>
    </row>
    <row r="19869">
      <c r="B19869" s="17" t="s">
        <v>477</v>
      </c>
      <c r="K19869" s="18" t="s">
        <v>477</v>
      </c>
    </row>
    <row r="19870">
      <c r="B19870" s="17" t="s">
        <v>477</v>
      </c>
      <c r="K19870" s="18" t="s">
        <v>477</v>
      </c>
    </row>
    <row r="19871">
      <c r="B19871" s="17" t="s">
        <v>477</v>
      </c>
      <c r="K19871" s="18" t="s">
        <v>477</v>
      </c>
    </row>
    <row r="19872">
      <c r="B19872" s="17" t="s">
        <v>477</v>
      </c>
      <c r="K19872" s="18" t="s">
        <v>477</v>
      </c>
    </row>
    <row r="19873">
      <c r="B19873" s="17" t="s">
        <v>477</v>
      </c>
      <c r="K19873" s="18" t="s">
        <v>477</v>
      </c>
    </row>
    <row r="19874">
      <c r="B19874" s="17" t="s">
        <v>477</v>
      </c>
      <c r="K19874" s="18" t="s">
        <v>477</v>
      </c>
    </row>
    <row r="19875">
      <c r="B19875" s="17" t="s">
        <v>477</v>
      </c>
      <c r="K19875" s="18" t="s">
        <v>477</v>
      </c>
    </row>
    <row r="19876">
      <c r="B19876" s="17" t="s">
        <v>477</v>
      </c>
      <c r="K19876" s="18" t="s">
        <v>477</v>
      </c>
    </row>
    <row r="19877">
      <c r="B19877" s="17" t="s">
        <v>477</v>
      </c>
      <c r="K19877" s="18" t="s">
        <v>477</v>
      </c>
    </row>
    <row r="19878">
      <c r="B19878" s="17" t="s">
        <v>477</v>
      </c>
      <c r="K19878" s="18" t="s">
        <v>477</v>
      </c>
    </row>
    <row r="19879">
      <c r="B19879" s="17" t="s">
        <v>477</v>
      </c>
      <c r="K19879" s="18" t="s">
        <v>477</v>
      </c>
    </row>
    <row r="19880">
      <c r="B19880" s="17" t="s">
        <v>477</v>
      </c>
      <c r="K19880" s="18" t="s">
        <v>477</v>
      </c>
    </row>
    <row r="19881">
      <c r="B19881" s="17" t="s">
        <v>477</v>
      </c>
      <c r="K19881" s="18" t="s">
        <v>477</v>
      </c>
    </row>
    <row r="19882">
      <c r="B19882" s="17" t="s">
        <v>477</v>
      </c>
      <c r="K19882" s="18" t="s">
        <v>477</v>
      </c>
    </row>
    <row r="19883">
      <c r="B19883" s="17" t="s">
        <v>477</v>
      </c>
      <c r="K19883" s="18" t="s">
        <v>477</v>
      </c>
    </row>
    <row r="19884">
      <c r="B19884" s="17" t="s">
        <v>477</v>
      </c>
      <c r="K19884" s="18" t="s">
        <v>477</v>
      </c>
    </row>
    <row r="19885">
      <c r="B19885" s="17" t="s">
        <v>477</v>
      </c>
      <c r="K19885" s="18" t="s">
        <v>477</v>
      </c>
    </row>
    <row r="19886">
      <c r="B19886" s="17" t="s">
        <v>477</v>
      </c>
      <c r="K19886" s="18" t="s">
        <v>477</v>
      </c>
    </row>
    <row r="19887">
      <c r="B19887" s="17" t="s">
        <v>477</v>
      </c>
      <c r="K19887" s="18" t="s">
        <v>477</v>
      </c>
    </row>
    <row r="19888">
      <c r="B19888" s="17" t="s">
        <v>477</v>
      </c>
      <c r="K19888" s="18" t="s">
        <v>477</v>
      </c>
    </row>
    <row r="19889">
      <c r="B19889" s="17" t="s">
        <v>477</v>
      </c>
      <c r="K19889" s="18" t="s">
        <v>477</v>
      </c>
    </row>
    <row r="19890">
      <c r="B19890" s="17" t="s">
        <v>477</v>
      </c>
      <c r="K19890" s="18" t="s">
        <v>477</v>
      </c>
    </row>
    <row r="19891">
      <c r="B19891" s="17" t="s">
        <v>477</v>
      </c>
      <c r="K19891" s="18" t="s">
        <v>477</v>
      </c>
    </row>
    <row r="19892">
      <c r="B19892" s="17" t="s">
        <v>477</v>
      </c>
      <c r="K19892" s="18" t="s">
        <v>477</v>
      </c>
    </row>
    <row r="19893">
      <c r="B19893" s="17" t="s">
        <v>477</v>
      </c>
      <c r="K19893" s="18" t="s">
        <v>477</v>
      </c>
    </row>
    <row r="19894">
      <c r="B19894" s="17" t="s">
        <v>477</v>
      </c>
      <c r="K19894" s="18" t="s">
        <v>477</v>
      </c>
    </row>
    <row r="19895">
      <c r="B19895" s="17" t="s">
        <v>477</v>
      </c>
      <c r="K19895" s="18" t="s">
        <v>477</v>
      </c>
    </row>
    <row r="19896">
      <c r="B19896" s="17" t="s">
        <v>477</v>
      </c>
      <c r="K19896" s="18" t="s">
        <v>477</v>
      </c>
    </row>
    <row r="19897">
      <c r="B19897" s="17" t="s">
        <v>477</v>
      </c>
      <c r="K19897" s="18" t="s">
        <v>477</v>
      </c>
    </row>
    <row r="19898">
      <c r="B19898" s="17" t="s">
        <v>477</v>
      </c>
      <c r="K19898" s="18" t="s">
        <v>477</v>
      </c>
    </row>
    <row r="19899">
      <c r="B19899" s="17" t="s">
        <v>477</v>
      </c>
      <c r="K19899" s="18" t="s">
        <v>477</v>
      </c>
    </row>
    <row r="19900">
      <c r="B19900" s="17" t="s">
        <v>477</v>
      </c>
      <c r="K19900" s="18" t="s">
        <v>477</v>
      </c>
    </row>
    <row r="19901">
      <c r="B19901" s="17" t="s">
        <v>477</v>
      </c>
      <c r="K19901" s="18" t="s">
        <v>477</v>
      </c>
    </row>
    <row r="19902">
      <c r="B19902" s="17" t="s">
        <v>477</v>
      </c>
      <c r="K19902" s="18" t="s">
        <v>477</v>
      </c>
    </row>
    <row r="19903">
      <c r="B19903" s="17" t="s">
        <v>477</v>
      </c>
      <c r="K19903" s="18" t="s">
        <v>477</v>
      </c>
    </row>
    <row r="19904">
      <c r="B19904" s="17" t="s">
        <v>477</v>
      </c>
      <c r="K19904" s="18" t="s">
        <v>477</v>
      </c>
    </row>
    <row r="19905">
      <c r="B19905" s="17" t="s">
        <v>477</v>
      </c>
      <c r="K19905" s="18" t="s">
        <v>477</v>
      </c>
    </row>
    <row r="19906">
      <c r="B19906" s="17" t="s">
        <v>477</v>
      </c>
      <c r="K19906" s="18" t="s">
        <v>477</v>
      </c>
    </row>
    <row r="19907">
      <c r="B19907" s="17" t="s">
        <v>477</v>
      </c>
      <c r="K19907" s="18" t="s">
        <v>477</v>
      </c>
    </row>
    <row r="19908">
      <c r="B19908" s="17" t="s">
        <v>477</v>
      </c>
      <c r="K19908" s="18" t="s">
        <v>477</v>
      </c>
    </row>
    <row r="19909">
      <c r="B19909" s="17" t="s">
        <v>477</v>
      </c>
      <c r="K19909" s="18" t="s">
        <v>477</v>
      </c>
    </row>
    <row r="19910">
      <c r="B19910" s="17" t="s">
        <v>477</v>
      </c>
      <c r="K19910" s="18" t="s">
        <v>477</v>
      </c>
    </row>
    <row r="19911">
      <c r="B19911" s="17" t="s">
        <v>477</v>
      </c>
      <c r="K19911" s="18" t="s">
        <v>477</v>
      </c>
    </row>
    <row r="19912">
      <c r="B19912" s="17" t="s">
        <v>477</v>
      </c>
      <c r="K19912" s="18" t="s">
        <v>477</v>
      </c>
    </row>
    <row r="19913">
      <c r="B19913" s="17" t="s">
        <v>477</v>
      </c>
      <c r="K19913" s="18" t="s">
        <v>477</v>
      </c>
    </row>
    <row r="19914">
      <c r="B19914" s="17" t="s">
        <v>477</v>
      </c>
      <c r="K19914" s="18" t="s">
        <v>477</v>
      </c>
    </row>
    <row r="19915">
      <c r="B19915" s="17" t="s">
        <v>477</v>
      </c>
      <c r="K19915" s="18" t="s">
        <v>477</v>
      </c>
    </row>
    <row r="19916">
      <c r="B19916" s="17" t="s">
        <v>477</v>
      </c>
      <c r="K19916" s="18" t="s">
        <v>477</v>
      </c>
    </row>
    <row r="19917">
      <c r="B19917" s="17" t="s">
        <v>477</v>
      </c>
      <c r="K19917" s="18" t="s">
        <v>477</v>
      </c>
    </row>
    <row r="19918">
      <c r="B19918" s="17" t="s">
        <v>477</v>
      </c>
      <c r="K19918" s="18" t="s">
        <v>477</v>
      </c>
    </row>
    <row r="19919">
      <c r="B19919" s="17" t="s">
        <v>477</v>
      </c>
      <c r="K19919" s="18" t="s">
        <v>477</v>
      </c>
    </row>
    <row r="19920">
      <c r="B19920" s="17" t="s">
        <v>477</v>
      </c>
      <c r="K19920" s="18" t="s">
        <v>477</v>
      </c>
    </row>
    <row r="19921">
      <c r="B19921" s="17" t="s">
        <v>477</v>
      </c>
      <c r="K19921" s="18" t="s">
        <v>477</v>
      </c>
    </row>
    <row r="19922">
      <c r="B19922" s="17" t="s">
        <v>477</v>
      </c>
      <c r="K19922" s="18" t="s">
        <v>477</v>
      </c>
    </row>
    <row r="19923">
      <c r="B19923" s="17" t="s">
        <v>477</v>
      </c>
      <c r="K19923" s="18" t="s">
        <v>477</v>
      </c>
    </row>
    <row r="19924">
      <c r="B19924" s="17" t="s">
        <v>477</v>
      </c>
      <c r="K19924" s="18" t="s">
        <v>477</v>
      </c>
    </row>
    <row r="19925">
      <c r="B19925" s="17" t="s">
        <v>477</v>
      </c>
      <c r="K19925" s="18" t="s">
        <v>477</v>
      </c>
    </row>
    <row r="19926">
      <c r="B19926" s="17" t="s">
        <v>477</v>
      </c>
      <c r="K19926" s="18" t="s">
        <v>477</v>
      </c>
    </row>
    <row r="19927">
      <c r="B19927" s="17" t="s">
        <v>477</v>
      </c>
      <c r="K19927" s="18" t="s">
        <v>477</v>
      </c>
    </row>
    <row r="19928">
      <c r="B19928" s="17" t="s">
        <v>477</v>
      </c>
      <c r="K19928" s="18" t="s">
        <v>477</v>
      </c>
    </row>
    <row r="19929">
      <c r="B19929" s="17" t="s">
        <v>477</v>
      </c>
      <c r="K19929" s="18" t="s">
        <v>477</v>
      </c>
    </row>
    <row r="19930">
      <c r="B19930" s="17" t="s">
        <v>477</v>
      </c>
      <c r="K19930" s="18" t="s">
        <v>477</v>
      </c>
    </row>
    <row r="19931">
      <c r="B19931" s="17" t="s">
        <v>477</v>
      </c>
      <c r="K19931" s="18" t="s">
        <v>477</v>
      </c>
    </row>
    <row r="19932">
      <c r="B19932" s="17" t="s">
        <v>477</v>
      </c>
      <c r="K19932" s="18" t="s">
        <v>477</v>
      </c>
    </row>
    <row r="19933">
      <c r="B19933" s="17" t="s">
        <v>477</v>
      </c>
      <c r="K19933" s="18" t="s">
        <v>477</v>
      </c>
    </row>
    <row r="19934">
      <c r="B19934" s="17" t="s">
        <v>477</v>
      </c>
      <c r="K19934" s="18" t="s">
        <v>477</v>
      </c>
    </row>
    <row r="19935">
      <c r="B19935" s="17" t="s">
        <v>477</v>
      </c>
      <c r="K19935" s="18" t="s">
        <v>477</v>
      </c>
    </row>
    <row r="19936">
      <c r="B19936" s="17" t="s">
        <v>477</v>
      </c>
      <c r="K19936" s="18" t="s">
        <v>477</v>
      </c>
    </row>
    <row r="19937">
      <c r="B19937" s="17" t="s">
        <v>477</v>
      </c>
      <c r="K19937" s="18" t="s">
        <v>477</v>
      </c>
    </row>
    <row r="19938">
      <c r="B19938" s="17" t="s">
        <v>477</v>
      </c>
      <c r="K19938" s="18" t="s">
        <v>477</v>
      </c>
    </row>
    <row r="19939">
      <c r="B19939" s="17" t="s">
        <v>477</v>
      </c>
      <c r="K19939" s="18" t="s">
        <v>477</v>
      </c>
    </row>
    <row r="19940">
      <c r="B19940" s="17" t="s">
        <v>477</v>
      </c>
      <c r="K19940" s="18" t="s">
        <v>477</v>
      </c>
    </row>
    <row r="19941">
      <c r="B19941" s="17" t="s">
        <v>477</v>
      </c>
      <c r="K19941" s="18" t="s">
        <v>477</v>
      </c>
    </row>
    <row r="19942">
      <c r="B19942" s="17" t="s">
        <v>477</v>
      </c>
      <c r="K19942" s="18" t="s">
        <v>477</v>
      </c>
    </row>
    <row r="19943">
      <c r="B19943" s="17" t="s">
        <v>477</v>
      </c>
      <c r="K19943" s="18" t="s">
        <v>477</v>
      </c>
    </row>
    <row r="19944">
      <c r="B19944" s="17" t="s">
        <v>477</v>
      </c>
      <c r="K19944" s="18" t="s">
        <v>477</v>
      </c>
    </row>
    <row r="19945">
      <c r="B19945" s="17" t="s">
        <v>477</v>
      </c>
      <c r="K19945" s="18" t="s">
        <v>477</v>
      </c>
    </row>
    <row r="19946">
      <c r="B19946" s="17" t="s">
        <v>477</v>
      </c>
      <c r="K19946" s="18" t="s">
        <v>477</v>
      </c>
    </row>
    <row r="19947">
      <c r="B19947" s="17" t="s">
        <v>477</v>
      </c>
      <c r="K19947" s="18" t="s">
        <v>477</v>
      </c>
    </row>
    <row r="19948">
      <c r="B19948" s="17" t="s">
        <v>477</v>
      </c>
      <c r="K19948" s="18" t="s">
        <v>477</v>
      </c>
    </row>
    <row r="19949">
      <c r="B19949" s="17" t="s">
        <v>477</v>
      </c>
      <c r="K19949" s="18" t="s">
        <v>477</v>
      </c>
    </row>
    <row r="19950">
      <c r="B19950" s="17" t="s">
        <v>477</v>
      </c>
      <c r="K19950" s="18" t="s">
        <v>477</v>
      </c>
    </row>
    <row r="19951">
      <c r="B19951" s="17" t="s">
        <v>477</v>
      </c>
      <c r="K19951" s="18" t="s">
        <v>477</v>
      </c>
    </row>
    <row r="19952">
      <c r="B19952" s="17" t="s">
        <v>477</v>
      </c>
      <c r="K19952" s="18" t="s">
        <v>477</v>
      </c>
    </row>
    <row r="19953">
      <c r="B19953" s="17" t="s">
        <v>477</v>
      </c>
      <c r="K19953" s="18" t="s">
        <v>477</v>
      </c>
    </row>
    <row r="19954">
      <c r="B19954" s="17" t="s">
        <v>477</v>
      </c>
      <c r="K19954" s="18" t="s">
        <v>477</v>
      </c>
    </row>
    <row r="19955">
      <c r="B19955" s="17" t="s">
        <v>477</v>
      </c>
      <c r="K19955" s="18" t="s">
        <v>477</v>
      </c>
    </row>
    <row r="19956">
      <c r="B19956" s="17" t="s">
        <v>477</v>
      </c>
      <c r="K19956" s="18" t="s">
        <v>477</v>
      </c>
    </row>
    <row r="19957">
      <c r="B19957" s="17" t="s">
        <v>477</v>
      </c>
      <c r="K19957" s="18" t="s">
        <v>477</v>
      </c>
    </row>
    <row r="19958">
      <c r="B19958" s="17" t="s">
        <v>477</v>
      </c>
      <c r="K19958" s="18" t="s">
        <v>477</v>
      </c>
    </row>
    <row r="19959">
      <c r="B19959" s="17" t="s">
        <v>477</v>
      </c>
      <c r="K19959" s="18" t="s">
        <v>477</v>
      </c>
    </row>
    <row r="19960">
      <c r="B19960" s="17" t="s">
        <v>477</v>
      </c>
      <c r="K19960" s="18" t="s">
        <v>477</v>
      </c>
    </row>
    <row r="19961">
      <c r="B19961" s="17" t="s">
        <v>477</v>
      </c>
      <c r="K19961" s="18" t="s">
        <v>477</v>
      </c>
    </row>
    <row r="19962">
      <c r="B19962" s="17" t="s">
        <v>477</v>
      </c>
      <c r="K19962" s="18" t="s">
        <v>477</v>
      </c>
    </row>
    <row r="19963">
      <c r="B19963" s="17" t="s">
        <v>477</v>
      </c>
      <c r="K19963" s="18" t="s">
        <v>477</v>
      </c>
    </row>
    <row r="19964">
      <c r="B19964" s="17" t="s">
        <v>477</v>
      </c>
      <c r="K19964" s="18" t="s">
        <v>477</v>
      </c>
    </row>
    <row r="19965">
      <c r="B19965" s="17" t="s">
        <v>477</v>
      </c>
      <c r="K19965" s="18" t="s">
        <v>477</v>
      </c>
    </row>
    <row r="19966">
      <c r="B19966" s="17" t="s">
        <v>477</v>
      </c>
      <c r="K19966" s="18" t="s">
        <v>477</v>
      </c>
    </row>
    <row r="19967">
      <c r="B19967" s="17" t="s">
        <v>477</v>
      </c>
      <c r="K19967" s="18" t="s">
        <v>477</v>
      </c>
    </row>
    <row r="19968">
      <c r="B19968" s="17" t="s">
        <v>477</v>
      </c>
      <c r="K19968" s="18" t="s">
        <v>477</v>
      </c>
    </row>
    <row r="19969">
      <c r="B19969" s="17" t="s">
        <v>477</v>
      </c>
      <c r="K19969" s="18" t="s">
        <v>477</v>
      </c>
    </row>
    <row r="19970">
      <c r="B19970" s="17" t="s">
        <v>477</v>
      </c>
      <c r="K19970" s="18" t="s">
        <v>477</v>
      </c>
    </row>
    <row r="19971">
      <c r="B19971" s="17" t="s">
        <v>477</v>
      </c>
      <c r="K19971" s="18" t="s">
        <v>477</v>
      </c>
    </row>
    <row r="19972">
      <c r="B19972" s="17" t="s">
        <v>477</v>
      </c>
      <c r="K19972" s="18" t="s">
        <v>477</v>
      </c>
    </row>
    <row r="19973">
      <c r="B19973" s="17" t="s">
        <v>477</v>
      </c>
      <c r="K19973" s="18" t="s">
        <v>477</v>
      </c>
    </row>
    <row r="19974">
      <c r="B19974" s="17" t="s">
        <v>477</v>
      </c>
      <c r="K19974" s="18" t="s">
        <v>477</v>
      </c>
    </row>
    <row r="19975">
      <c r="B19975" s="17" t="s">
        <v>477</v>
      </c>
      <c r="K19975" s="18" t="s">
        <v>477</v>
      </c>
    </row>
    <row r="19976">
      <c r="B19976" s="17" t="s">
        <v>477</v>
      </c>
      <c r="K19976" s="18" t="s">
        <v>477</v>
      </c>
    </row>
    <row r="19977">
      <c r="B19977" s="17" t="s">
        <v>477</v>
      </c>
      <c r="K19977" s="18" t="s">
        <v>477</v>
      </c>
    </row>
    <row r="19978">
      <c r="B19978" s="17" t="s">
        <v>477</v>
      </c>
      <c r="K19978" s="18" t="s">
        <v>477</v>
      </c>
    </row>
    <row r="19979">
      <c r="B19979" s="17" t="s">
        <v>477</v>
      </c>
      <c r="K19979" s="18" t="s">
        <v>477</v>
      </c>
    </row>
    <row r="19980">
      <c r="B19980" s="17" t="s">
        <v>477</v>
      </c>
      <c r="K19980" s="18" t="s">
        <v>477</v>
      </c>
    </row>
    <row r="19981">
      <c r="B19981" s="17" t="s">
        <v>477</v>
      </c>
      <c r="K19981" s="18" t="s">
        <v>477</v>
      </c>
    </row>
    <row r="19982">
      <c r="B19982" s="17" t="s">
        <v>477</v>
      </c>
      <c r="K19982" s="18" t="s">
        <v>477</v>
      </c>
    </row>
    <row r="19983">
      <c r="B19983" s="17" t="s">
        <v>477</v>
      </c>
      <c r="K19983" s="18" t="s">
        <v>477</v>
      </c>
    </row>
    <row r="19984">
      <c r="B19984" s="17" t="s">
        <v>477</v>
      </c>
      <c r="K19984" s="18" t="s">
        <v>477</v>
      </c>
    </row>
    <row r="19985">
      <c r="B19985" s="17" t="s">
        <v>477</v>
      </c>
      <c r="K19985" s="18" t="s">
        <v>477</v>
      </c>
    </row>
    <row r="19986">
      <c r="B19986" s="17" t="s">
        <v>477</v>
      </c>
      <c r="K19986" s="18" t="s">
        <v>477</v>
      </c>
    </row>
    <row r="19987">
      <c r="B19987" s="17" t="s">
        <v>477</v>
      </c>
      <c r="K19987" s="18" t="s">
        <v>477</v>
      </c>
    </row>
    <row r="19988">
      <c r="B19988" s="17" t="s">
        <v>477</v>
      </c>
      <c r="K19988" s="18" t="s">
        <v>477</v>
      </c>
    </row>
    <row r="19989">
      <c r="B19989" s="17" t="s">
        <v>477</v>
      </c>
      <c r="K19989" s="18" t="s">
        <v>477</v>
      </c>
    </row>
    <row r="19990">
      <c r="B19990" s="17" t="s">
        <v>477</v>
      </c>
      <c r="K19990" s="18" t="s">
        <v>477</v>
      </c>
    </row>
    <row r="19991">
      <c r="B19991" s="17" t="s">
        <v>477</v>
      </c>
      <c r="K19991" s="18" t="s">
        <v>477</v>
      </c>
    </row>
    <row r="19992">
      <c r="B19992" s="17" t="s">
        <v>477</v>
      </c>
      <c r="K19992" s="18" t="s">
        <v>477</v>
      </c>
    </row>
    <row r="19993">
      <c r="B19993" s="17" t="s">
        <v>477</v>
      </c>
      <c r="K19993" s="18" t="s">
        <v>477</v>
      </c>
    </row>
    <row r="19994">
      <c r="B19994" s="17" t="s">
        <v>477</v>
      </c>
      <c r="K19994" s="18" t="s">
        <v>477</v>
      </c>
    </row>
    <row r="19995">
      <c r="B19995" s="17" t="s">
        <v>477</v>
      </c>
      <c r="K19995" s="18" t="s">
        <v>477</v>
      </c>
    </row>
    <row r="19996">
      <c r="B19996" s="17" t="s">
        <v>477</v>
      </c>
      <c r="K19996" s="18" t="s">
        <v>477</v>
      </c>
    </row>
    <row r="19997">
      <c r="B19997" s="17" t="s">
        <v>477</v>
      </c>
      <c r="K19997" s="18" t="s">
        <v>477</v>
      </c>
    </row>
    <row r="19998">
      <c r="B19998" s="17" t="s">
        <v>477</v>
      </c>
      <c r="K19998" s="18" t="s">
        <v>477</v>
      </c>
    </row>
    <row r="19999">
      <c r="B19999" s="17" t="s">
        <v>477</v>
      </c>
      <c r="K19999" s="18" t="s">
        <v>477</v>
      </c>
    </row>
    <row r="20000">
      <c r="B20000" s="17" t="s">
        <v>477</v>
      </c>
      <c r="K20000" s="18" t="s">
        <v>477</v>
      </c>
    </row>
    <row r="20001">
      <c r="B20001" s="17" t="s">
        <v>477</v>
      </c>
      <c r="K20001" s="18" t="s">
        <v>477</v>
      </c>
    </row>
    <row r="20002">
      <c r="B20002" s="17" t="s">
        <v>477</v>
      </c>
      <c r="K20002" s="18" t="s">
        <v>477</v>
      </c>
    </row>
    <row r="20003">
      <c r="B20003" s="17" t="s">
        <v>477</v>
      </c>
      <c r="K20003" s="18" t="s">
        <v>477</v>
      </c>
    </row>
    <row r="20004">
      <c r="B20004" s="17" t="s">
        <v>477</v>
      </c>
      <c r="K20004" s="18" t="s">
        <v>477</v>
      </c>
    </row>
    <row r="20005">
      <c r="B20005" s="17" t="s">
        <v>477</v>
      </c>
      <c r="K20005" s="18" t="s">
        <v>477</v>
      </c>
    </row>
    <row r="20006">
      <c r="B20006" s="17" t="s">
        <v>477</v>
      </c>
      <c r="K20006" s="18" t="s">
        <v>477</v>
      </c>
    </row>
    <row r="20007">
      <c r="B20007" s="17" t="s">
        <v>477</v>
      </c>
      <c r="K20007" s="18" t="s">
        <v>477</v>
      </c>
    </row>
    <row r="20008">
      <c r="B20008" s="17" t="s">
        <v>477</v>
      </c>
      <c r="K20008" s="18" t="s">
        <v>477</v>
      </c>
    </row>
    <row r="20009">
      <c r="B20009" s="17" t="s">
        <v>477</v>
      </c>
      <c r="K20009" s="18" t="s">
        <v>477</v>
      </c>
    </row>
    <row r="20010">
      <c r="B20010" s="17" t="s">
        <v>477</v>
      </c>
      <c r="K20010" s="18" t="s">
        <v>477</v>
      </c>
    </row>
    <row r="20011">
      <c r="B20011" s="17" t="s">
        <v>477</v>
      </c>
      <c r="K20011" s="18" t="s">
        <v>477</v>
      </c>
    </row>
    <row r="20012">
      <c r="B20012" s="17" t="s">
        <v>477</v>
      </c>
      <c r="K20012" s="18" t="s">
        <v>477</v>
      </c>
    </row>
    <row r="20013">
      <c r="B20013" s="17" t="s">
        <v>477</v>
      </c>
      <c r="K20013" s="18" t="s">
        <v>477</v>
      </c>
    </row>
    <row r="20014">
      <c r="B20014" s="17" t="s">
        <v>477</v>
      </c>
      <c r="K20014" s="18" t="s">
        <v>477</v>
      </c>
    </row>
    <row r="20015">
      <c r="B20015" s="17" t="s">
        <v>477</v>
      </c>
      <c r="K20015" s="18" t="s">
        <v>477</v>
      </c>
    </row>
    <row r="20016">
      <c r="B20016" s="17" t="s">
        <v>477</v>
      </c>
      <c r="K20016" s="18" t="s">
        <v>477</v>
      </c>
    </row>
    <row r="20017">
      <c r="B20017" s="17" t="s">
        <v>477</v>
      </c>
      <c r="K20017" s="18" t="s">
        <v>477</v>
      </c>
    </row>
    <row r="20018">
      <c r="B20018" s="17" t="s">
        <v>477</v>
      </c>
      <c r="K20018" s="18" t="s">
        <v>477</v>
      </c>
    </row>
    <row r="20019">
      <c r="B20019" s="17" t="s">
        <v>477</v>
      </c>
      <c r="K20019" s="18" t="s">
        <v>477</v>
      </c>
    </row>
    <row r="20020">
      <c r="B20020" s="17" t="s">
        <v>477</v>
      </c>
      <c r="K20020" s="18" t="s">
        <v>477</v>
      </c>
    </row>
    <row r="20021">
      <c r="B20021" s="17" t="s">
        <v>477</v>
      </c>
      <c r="K20021" s="18" t="s">
        <v>477</v>
      </c>
    </row>
    <row r="20022">
      <c r="B20022" s="17" t="s">
        <v>477</v>
      </c>
      <c r="K20022" s="18" t="s">
        <v>477</v>
      </c>
    </row>
    <row r="20023">
      <c r="B20023" s="17" t="s">
        <v>477</v>
      </c>
      <c r="K20023" s="18" t="s">
        <v>477</v>
      </c>
    </row>
    <row r="20024">
      <c r="B20024" s="17" t="s">
        <v>477</v>
      </c>
      <c r="K20024" s="18" t="s">
        <v>477</v>
      </c>
    </row>
    <row r="20025">
      <c r="B20025" s="17" t="s">
        <v>477</v>
      </c>
      <c r="K20025" s="18" t="s">
        <v>477</v>
      </c>
    </row>
    <row r="20026">
      <c r="B20026" s="17" t="s">
        <v>477</v>
      </c>
      <c r="K20026" s="18" t="s">
        <v>477</v>
      </c>
    </row>
    <row r="20027">
      <c r="B20027" s="17" t="s">
        <v>477</v>
      </c>
      <c r="K20027" s="18" t="s">
        <v>477</v>
      </c>
    </row>
    <row r="20028">
      <c r="B20028" s="17" t="s">
        <v>477</v>
      </c>
      <c r="K20028" s="18" t="s">
        <v>477</v>
      </c>
    </row>
    <row r="20029">
      <c r="B20029" s="17" t="s">
        <v>477</v>
      </c>
      <c r="K20029" s="18" t="s">
        <v>477</v>
      </c>
    </row>
    <row r="20030">
      <c r="B20030" s="17" t="s">
        <v>477</v>
      </c>
      <c r="K20030" s="18" t="s">
        <v>477</v>
      </c>
    </row>
    <row r="20031">
      <c r="B20031" s="17" t="s">
        <v>477</v>
      </c>
      <c r="K20031" s="18" t="s">
        <v>477</v>
      </c>
    </row>
    <row r="20032">
      <c r="B20032" s="17" t="s">
        <v>477</v>
      </c>
      <c r="K20032" s="18" t="s">
        <v>477</v>
      </c>
    </row>
    <row r="20033">
      <c r="B20033" s="17" t="s">
        <v>477</v>
      </c>
      <c r="K20033" s="18" t="s">
        <v>477</v>
      </c>
    </row>
    <row r="20034">
      <c r="B20034" s="17" t="s">
        <v>477</v>
      </c>
      <c r="K20034" s="18" t="s">
        <v>477</v>
      </c>
    </row>
    <row r="20035">
      <c r="B20035" s="17" t="s">
        <v>477</v>
      </c>
      <c r="K20035" s="18" t="s">
        <v>477</v>
      </c>
    </row>
    <row r="20036">
      <c r="B20036" s="17" t="s">
        <v>477</v>
      </c>
      <c r="K20036" s="18" t="s">
        <v>477</v>
      </c>
    </row>
    <row r="20037">
      <c r="B20037" s="17" t="s">
        <v>477</v>
      </c>
      <c r="K20037" s="18" t="s">
        <v>477</v>
      </c>
    </row>
    <row r="20038">
      <c r="B20038" s="17" t="s">
        <v>477</v>
      </c>
      <c r="K20038" s="18" t="s">
        <v>477</v>
      </c>
    </row>
    <row r="20039">
      <c r="B20039" s="17" t="s">
        <v>477</v>
      </c>
      <c r="K20039" s="18" t="s">
        <v>477</v>
      </c>
    </row>
    <row r="20040">
      <c r="B20040" s="17" t="s">
        <v>477</v>
      </c>
      <c r="K20040" s="18" t="s">
        <v>477</v>
      </c>
    </row>
    <row r="20041">
      <c r="B20041" s="17" t="s">
        <v>477</v>
      </c>
      <c r="K20041" s="18" t="s">
        <v>477</v>
      </c>
    </row>
    <row r="20042">
      <c r="B20042" s="17" t="s">
        <v>477</v>
      </c>
      <c r="K20042" s="18" t="s">
        <v>477</v>
      </c>
    </row>
    <row r="20043">
      <c r="B20043" s="17" t="s">
        <v>477</v>
      </c>
      <c r="K20043" s="18" t="s">
        <v>477</v>
      </c>
    </row>
    <row r="20044">
      <c r="B20044" s="17" t="s">
        <v>477</v>
      </c>
      <c r="K20044" s="18" t="s">
        <v>477</v>
      </c>
    </row>
    <row r="20045">
      <c r="B20045" s="17" t="s">
        <v>477</v>
      </c>
      <c r="K20045" s="18" t="s">
        <v>477</v>
      </c>
    </row>
    <row r="20046">
      <c r="B20046" s="17" t="s">
        <v>477</v>
      </c>
      <c r="K20046" s="18" t="s">
        <v>477</v>
      </c>
    </row>
    <row r="20047">
      <c r="B20047" s="17" t="s">
        <v>477</v>
      </c>
      <c r="K20047" s="18" t="s">
        <v>477</v>
      </c>
    </row>
    <row r="20048">
      <c r="B20048" s="17" t="s">
        <v>477</v>
      </c>
      <c r="K20048" s="18" t="s">
        <v>477</v>
      </c>
    </row>
    <row r="20049">
      <c r="B20049" s="17" t="s">
        <v>477</v>
      </c>
      <c r="K20049" s="18" t="s">
        <v>477</v>
      </c>
    </row>
    <row r="20050">
      <c r="B20050" s="17" t="s">
        <v>477</v>
      </c>
      <c r="K20050" s="18" t="s">
        <v>477</v>
      </c>
    </row>
    <row r="20051">
      <c r="B20051" s="17" t="s">
        <v>477</v>
      </c>
      <c r="K20051" s="18" t="s">
        <v>477</v>
      </c>
    </row>
    <row r="20052">
      <c r="B20052" s="17" t="s">
        <v>477</v>
      </c>
      <c r="K20052" s="18" t="s">
        <v>477</v>
      </c>
    </row>
    <row r="20053">
      <c r="B20053" s="17" t="s">
        <v>477</v>
      </c>
      <c r="K20053" s="18" t="s">
        <v>477</v>
      </c>
    </row>
    <row r="20054">
      <c r="B20054" s="17" t="s">
        <v>477</v>
      </c>
      <c r="K20054" s="18" t="s">
        <v>477</v>
      </c>
    </row>
    <row r="20055">
      <c r="B20055" s="17" t="s">
        <v>477</v>
      </c>
      <c r="K20055" s="18" t="s">
        <v>477</v>
      </c>
    </row>
    <row r="20056">
      <c r="B20056" s="17" t="s">
        <v>477</v>
      </c>
      <c r="K20056" s="18" t="s">
        <v>477</v>
      </c>
    </row>
    <row r="20057">
      <c r="B20057" s="17" t="s">
        <v>477</v>
      </c>
      <c r="K20057" s="18" t="s">
        <v>477</v>
      </c>
    </row>
    <row r="20058">
      <c r="B20058" s="17" t="s">
        <v>477</v>
      </c>
      <c r="K20058" s="18" t="s">
        <v>477</v>
      </c>
    </row>
    <row r="20059">
      <c r="B20059" s="17" t="s">
        <v>477</v>
      </c>
      <c r="K20059" s="18" t="s">
        <v>477</v>
      </c>
    </row>
    <row r="20060">
      <c r="B20060" s="17" t="s">
        <v>477</v>
      </c>
      <c r="K20060" s="18" t="s">
        <v>477</v>
      </c>
    </row>
    <row r="20061">
      <c r="B20061" s="17" t="s">
        <v>477</v>
      </c>
      <c r="K20061" s="18" t="s">
        <v>477</v>
      </c>
    </row>
    <row r="20062">
      <c r="B20062" s="17" t="s">
        <v>477</v>
      </c>
      <c r="K20062" s="18" t="s">
        <v>477</v>
      </c>
    </row>
    <row r="20063">
      <c r="B20063" s="17" t="s">
        <v>477</v>
      </c>
      <c r="K20063" s="18" t="s">
        <v>477</v>
      </c>
    </row>
    <row r="20064">
      <c r="B20064" s="17" t="s">
        <v>477</v>
      </c>
      <c r="K20064" s="18" t="s">
        <v>477</v>
      </c>
    </row>
    <row r="20065">
      <c r="B20065" s="17" t="s">
        <v>477</v>
      </c>
      <c r="K20065" s="18" t="s">
        <v>477</v>
      </c>
    </row>
    <row r="20066">
      <c r="B20066" s="17" t="s">
        <v>477</v>
      </c>
      <c r="K20066" s="18" t="s">
        <v>477</v>
      </c>
    </row>
    <row r="20067">
      <c r="B20067" s="17" t="s">
        <v>477</v>
      </c>
      <c r="K20067" s="18" t="s">
        <v>477</v>
      </c>
    </row>
    <row r="20068">
      <c r="B20068" s="17" t="s">
        <v>477</v>
      </c>
      <c r="K20068" s="18" t="s">
        <v>477</v>
      </c>
    </row>
    <row r="20069">
      <c r="B20069" s="17" t="s">
        <v>477</v>
      </c>
      <c r="K20069" s="18" t="s">
        <v>477</v>
      </c>
    </row>
    <row r="20070">
      <c r="B20070" s="17" t="s">
        <v>477</v>
      </c>
      <c r="K20070" s="18" t="s">
        <v>477</v>
      </c>
    </row>
    <row r="20071">
      <c r="B20071" s="17" t="s">
        <v>477</v>
      </c>
      <c r="K20071" s="18" t="s">
        <v>477</v>
      </c>
    </row>
    <row r="20072">
      <c r="B20072" s="17" t="s">
        <v>477</v>
      </c>
      <c r="K20072" s="18" t="s">
        <v>477</v>
      </c>
    </row>
    <row r="20073">
      <c r="B20073" s="17" t="s">
        <v>477</v>
      </c>
      <c r="K20073" s="18" t="s">
        <v>477</v>
      </c>
    </row>
    <row r="20074">
      <c r="B20074" s="17" t="s">
        <v>477</v>
      </c>
      <c r="K20074" s="18" t="s">
        <v>477</v>
      </c>
    </row>
    <row r="20075">
      <c r="B20075" s="17" t="s">
        <v>477</v>
      </c>
      <c r="K20075" s="18" t="s">
        <v>477</v>
      </c>
    </row>
    <row r="20076">
      <c r="B20076" s="17" t="s">
        <v>477</v>
      </c>
      <c r="K20076" s="18" t="s">
        <v>477</v>
      </c>
    </row>
    <row r="20077">
      <c r="B20077" s="17" t="s">
        <v>477</v>
      </c>
      <c r="K20077" s="18" t="s">
        <v>477</v>
      </c>
    </row>
    <row r="20078">
      <c r="B20078" s="17" t="s">
        <v>477</v>
      </c>
      <c r="K20078" s="18" t="s">
        <v>477</v>
      </c>
    </row>
    <row r="20079">
      <c r="B20079" s="17" t="s">
        <v>477</v>
      </c>
      <c r="K20079" s="18" t="s">
        <v>477</v>
      </c>
    </row>
    <row r="20080">
      <c r="B20080" s="17" t="s">
        <v>477</v>
      </c>
      <c r="K20080" s="18" t="s">
        <v>477</v>
      </c>
    </row>
    <row r="20081">
      <c r="B20081" s="17" t="s">
        <v>477</v>
      </c>
      <c r="K20081" s="18" t="s">
        <v>477</v>
      </c>
    </row>
    <row r="20082">
      <c r="B20082" s="17" t="s">
        <v>477</v>
      </c>
      <c r="K20082" s="18" t="s">
        <v>477</v>
      </c>
    </row>
    <row r="20083">
      <c r="B20083" s="17" t="s">
        <v>477</v>
      </c>
      <c r="K20083" s="18" t="s">
        <v>477</v>
      </c>
    </row>
    <row r="20084">
      <c r="B20084" s="17" t="s">
        <v>477</v>
      </c>
      <c r="K20084" s="18" t="s">
        <v>477</v>
      </c>
    </row>
    <row r="20085">
      <c r="B20085" s="17" t="s">
        <v>477</v>
      </c>
      <c r="K20085" s="18" t="s">
        <v>477</v>
      </c>
    </row>
    <row r="20086">
      <c r="B20086" s="17" t="s">
        <v>477</v>
      </c>
      <c r="K20086" s="18" t="s">
        <v>477</v>
      </c>
    </row>
    <row r="20087">
      <c r="B20087" s="17" t="s">
        <v>477</v>
      </c>
      <c r="K20087" s="18" t="s">
        <v>477</v>
      </c>
    </row>
    <row r="20088">
      <c r="B20088" s="17" t="s">
        <v>477</v>
      </c>
      <c r="K20088" s="18" t="s">
        <v>477</v>
      </c>
    </row>
    <row r="20089">
      <c r="B20089" s="17" t="s">
        <v>477</v>
      </c>
      <c r="K20089" s="18" t="s">
        <v>477</v>
      </c>
    </row>
    <row r="20090">
      <c r="B20090" s="17" t="s">
        <v>477</v>
      </c>
      <c r="K20090" s="18" t="s">
        <v>477</v>
      </c>
    </row>
    <row r="20091">
      <c r="B20091" s="17" t="s">
        <v>477</v>
      </c>
      <c r="K20091" s="18" t="s">
        <v>477</v>
      </c>
    </row>
    <row r="20092">
      <c r="B20092" s="17" t="s">
        <v>477</v>
      </c>
      <c r="K20092" s="18" t="s">
        <v>477</v>
      </c>
    </row>
    <row r="20093">
      <c r="B20093" s="17" t="s">
        <v>477</v>
      </c>
      <c r="K20093" s="18" t="s">
        <v>477</v>
      </c>
    </row>
    <row r="20094">
      <c r="B20094" s="17" t="s">
        <v>477</v>
      </c>
      <c r="K20094" s="18" t="s">
        <v>477</v>
      </c>
    </row>
    <row r="20095">
      <c r="B20095" s="17" t="s">
        <v>477</v>
      </c>
      <c r="K20095" s="18" t="s">
        <v>477</v>
      </c>
    </row>
    <row r="20096">
      <c r="B20096" s="17" t="s">
        <v>477</v>
      </c>
      <c r="K20096" s="18" t="s">
        <v>477</v>
      </c>
    </row>
    <row r="20097">
      <c r="B20097" s="17" t="s">
        <v>477</v>
      </c>
      <c r="K20097" s="18" t="s">
        <v>477</v>
      </c>
    </row>
    <row r="20098">
      <c r="B20098" s="17" t="s">
        <v>477</v>
      </c>
      <c r="K20098" s="18" t="s">
        <v>477</v>
      </c>
    </row>
    <row r="20099">
      <c r="B20099" s="17" t="s">
        <v>477</v>
      </c>
      <c r="K20099" s="18" t="s">
        <v>477</v>
      </c>
    </row>
    <row r="20100">
      <c r="B20100" s="17" t="s">
        <v>477</v>
      </c>
      <c r="K20100" s="18" t="s">
        <v>477</v>
      </c>
    </row>
    <row r="20101">
      <c r="B20101" s="17" t="s">
        <v>477</v>
      </c>
      <c r="K20101" s="18" t="s">
        <v>477</v>
      </c>
    </row>
    <row r="20102">
      <c r="B20102" s="17" t="s">
        <v>477</v>
      </c>
      <c r="K20102" s="18" t="s">
        <v>477</v>
      </c>
    </row>
    <row r="20103">
      <c r="B20103" s="17" t="s">
        <v>477</v>
      </c>
      <c r="K20103" s="18" t="s">
        <v>477</v>
      </c>
    </row>
    <row r="20104">
      <c r="B20104" s="17" t="s">
        <v>477</v>
      </c>
      <c r="K20104" s="18" t="s">
        <v>477</v>
      </c>
    </row>
    <row r="20105">
      <c r="B20105" s="17" t="s">
        <v>477</v>
      </c>
      <c r="K20105" s="18" t="s">
        <v>477</v>
      </c>
    </row>
    <row r="20106">
      <c r="B20106" s="17" t="s">
        <v>477</v>
      </c>
      <c r="K20106" s="18" t="s">
        <v>477</v>
      </c>
    </row>
    <row r="20107">
      <c r="B20107" s="17" t="s">
        <v>477</v>
      </c>
      <c r="K20107" s="18" t="s">
        <v>477</v>
      </c>
    </row>
    <row r="20108">
      <c r="B20108" s="17" t="s">
        <v>477</v>
      </c>
      <c r="K20108" s="18" t="s">
        <v>477</v>
      </c>
    </row>
    <row r="20109">
      <c r="B20109" s="17" t="s">
        <v>477</v>
      </c>
      <c r="K20109" s="18" t="s">
        <v>477</v>
      </c>
    </row>
    <row r="20110">
      <c r="B20110" s="17" t="s">
        <v>477</v>
      </c>
      <c r="K20110" s="18" t="s">
        <v>477</v>
      </c>
    </row>
    <row r="20111">
      <c r="B20111" s="17" t="s">
        <v>477</v>
      </c>
      <c r="K20111" s="18" t="s">
        <v>477</v>
      </c>
    </row>
    <row r="20112">
      <c r="B20112" s="17" t="s">
        <v>477</v>
      </c>
      <c r="K20112" s="18" t="s">
        <v>477</v>
      </c>
    </row>
    <row r="20113">
      <c r="B20113" s="17" t="s">
        <v>477</v>
      </c>
      <c r="K20113" s="18" t="s">
        <v>477</v>
      </c>
    </row>
    <row r="20114">
      <c r="B20114" s="17" t="s">
        <v>477</v>
      </c>
      <c r="K20114" s="18" t="s">
        <v>477</v>
      </c>
    </row>
    <row r="20115">
      <c r="B20115" s="17" t="s">
        <v>477</v>
      </c>
      <c r="K20115" s="18" t="s">
        <v>477</v>
      </c>
    </row>
    <row r="20116">
      <c r="B20116" s="17" t="s">
        <v>477</v>
      </c>
      <c r="K20116" s="18" t="s">
        <v>477</v>
      </c>
    </row>
    <row r="20117">
      <c r="B20117" s="17" t="s">
        <v>477</v>
      </c>
      <c r="K20117" s="18" t="s">
        <v>477</v>
      </c>
    </row>
    <row r="20118">
      <c r="B20118" s="17" t="s">
        <v>477</v>
      </c>
      <c r="K20118" s="18" t="s">
        <v>477</v>
      </c>
    </row>
    <row r="20119">
      <c r="B20119" s="17" t="s">
        <v>477</v>
      </c>
      <c r="K20119" s="18" t="s">
        <v>477</v>
      </c>
    </row>
    <row r="20120">
      <c r="B20120" s="17" t="s">
        <v>477</v>
      </c>
      <c r="K20120" s="18" t="s">
        <v>477</v>
      </c>
    </row>
    <row r="20121">
      <c r="B20121" s="17" t="s">
        <v>477</v>
      </c>
      <c r="K20121" s="18" t="s">
        <v>477</v>
      </c>
    </row>
    <row r="20122">
      <c r="B20122" s="17" t="s">
        <v>477</v>
      </c>
      <c r="K20122" s="18" t="s">
        <v>477</v>
      </c>
    </row>
    <row r="20123">
      <c r="B20123" s="17" t="s">
        <v>477</v>
      </c>
      <c r="K20123" s="18" t="s">
        <v>477</v>
      </c>
    </row>
    <row r="20124">
      <c r="B20124" s="17" t="s">
        <v>477</v>
      </c>
      <c r="K20124" s="18" t="s">
        <v>477</v>
      </c>
    </row>
    <row r="20125">
      <c r="B20125" s="17" t="s">
        <v>477</v>
      </c>
      <c r="K20125" s="18" t="s">
        <v>477</v>
      </c>
    </row>
    <row r="20126">
      <c r="B20126" s="17" t="s">
        <v>477</v>
      </c>
      <c r="K20126" s="18" t="s">
        <v>477</v>
      </c>
    </row>
    <row r="20127">
      <c r="B20127" s="17" t="s">
        <v>477</v>
      </c>
      <c r="K20127" s="18" t="s">
        <v>477</v>
      </c>
    </row>
    <row r="20128">
      <c r="B20128" s="17" t="s">
        <v>477</v>
      </c>
      <c r="K20128" s="18" t="s">
        <v>477</v>
      </c>
    </row>
    <row r="20129">
      <c r="B20129" s="17" t="s">
        <v>477</v>
      </c>
      <c r="K20129" s="18" t="s">
        <v>477</v>
      </c>
    </row>
    <row r="20130">
      <c r="B20130" s="17" t="s">
        <v>477</v>
      </c>
      <c r="K20130" s="18" t="s">
        <v>477</v>
      </c>
    </row>
    <row r="20131">
      <c r="B20131" s="17" t="s">
        <v>477</v>
      </c>
      <c r="K20131" s="18" t="s">
        <v>477</v>
      </c>
    </row>
    <row r="20132">
      <c r="B20132" s="17" t="s">
        <v>477</v>
      </c>
      <c r="K20132" s="18" t="s">
        <v>477</v>
      </c>
    </row>
    <row r="20133">
      <c r="B20133" s="17" t="s">
        <v>477</v>
      </c>
      <c r="K20133" s="18" t="s">
        <v>477</v>
      </c>
    </row>
    <row r="20134">
      <c r="B20134" s="17" t="s">
        <v>477</v>
      </c>
      <c r="K20134" s="18" t="s">
        <v>477</v>
      </c>
    </row>
    <row r="20135">
      <c r="B20135" s="17" t="s">
        <v>477</v>
      </c>
      <c r="K20135" s="18" t="s">
        <v>477</v>
      </c>
    </row>
    <row r="20136">
      <c r="B20136" s="17" t="s">
        <v>477</v>
      </c>
      <c r="K20136" s="18" t="s">
        <v>477</v>
      </c>
    </row>
    <row r="20137">
      <c r="B20137" s="17" t="s">
        <v>477</v>
      </c>
      <c r="K20137" s="18" t="s">
        <v>477</v>
      </c>
    </row>
    <row r="20138">
      <c r="B20138" s="17" t="s">
        <v>477</v>
      </c>
      <c r="K20138" s="18" t="s">
        <v>477</v>
      </c>
    </row>
    <row r="20139">
      <c r="B20139" s="17" t="s">
        <v>477</v>
      </c>
      <c r="K20139" s="18" t="s">
        <v>477</v>
      </c>
    </row>
    <row r="20140">
      <c r="B20140" s="17" t="s">
        <v>477</v>
      </c>
      <c r="K20140" s="18" t="s">
        <v>477</v>
      </c>
    </row>
    <row r="20141">
      <c r="B20141" s="17" t="s">
        <v>477</v>
      </c>
      <c r="K20141" s="18" t="s">
        <v>477</v>
      </c>
    </row>
    <row r="20142">
      <c r="B20142" s="17" t="s">
        <v>477</v>
      </c>
      <c r="K20142" s="18" t="s">
        <v>477</v>
      </c>
    </row>
    <row r="20143">
      <c r="B20143" s="17" t="s">
        <v>477</v>
      </c>
      <c r="K20143" s="18" t="s">
        <v>477</v>
      </c>
    </row>
    <row r="20144">
      <c r="B20144" s="17" t="s">
        <v>477</v>
      </c>
      <c r="K20144" s="18" t="s">
        <v>477</v>
      </c>
    </row>
    <row r="20145">
      <c r="B20145" s="17" t="s">
        <v>477</v>
      </c>
      <c r="K20145" s="18" t="s">
        <v>477</v>
      </c>
    </row>
    <row r="20146">
      <c r="B20146" s="17" t="s">
        <v>477</v>
      </c>
      <c r="K20146" s="18" t="s">
        <v>477</v>
      </c>
    </row>
    <row r="20147">
      <c r="B20147" s="17" t="s">
        <v>477</v>
      </c>
      <c r="K20147" s="18" t="s">
        <v>477</v>
      </c>
    </row>
    <row r="20148">
      <c r="B20148" s="17" t="s">
        <v>477</v>
      </c>
      <c r="K20148" s="18" t="s">
        <v>477</v>
      </c>
    </row>
    <row r="20149">
      <c r="B20149" s="17" t="s">
        <v>477</v>
      </c>
      <c r="K20149" s="18" t="s">
        <v>477</v>
      </c>
    </row>
    <row r="20150">
      <c r="B20150" s="17" t="s">
        <v>477</v>
      </c>
      <c r="K20150" s="18" t="s">
        <v>477</v>
      </c>
    </row>
    <row r="20151">
      <c r="B20151" s="17" t="s">
        <v>477</v>
      </c>
      <c r="K20151" s="18" t="s">
        <v>477</v>
      </c>
    </row>
    <row r="20152">
      <c r="B20152" s="17" t="s">
        <v>477</v>
      </c>
      <c r="K20152" s="18" t="s">
        <v>477</v>
      </c>
    </row>
    <row r="20153">
      <c r="B20153" s="17" t="s">
        <v>477</v>
      </c>
      <c r="K20153" s="18" t="s">
        <v>477</v>
      </c>
    </row>
    <row r="20154">
      <c r="B20154" s="17" t="s">
        <v>477</v>
      </c>
      <c r="K20154" s="18" t="s">
        <v>477</v>
      </c>
    </row>
    <row r="20155">
      <c r="B20155" s="17" t="s">
        <v>477</v>
      </c>
      <c r="K20155" s="18" t="s">
        <v>477</v>
      </c>
    </row>
    <row r="20156">
      <c r="B20156" s="17" t="s">
        <v>477</v>
      </c>
      <c r="K20156" s="18" t="s">
        <v>477</v>
      </c>
    </row>
    <row r="20157">
      <c r="B20157" s="17" t="s">
        <v>477</v>
      </c>
      <c r="K20157" s="18" t="s">
        <v>477</v>
      </c>
    </row>
    <row r="20158">
      <c r="B20158" s="17" t="s">
        <v>477</v>
      </c>
      <c r="K20158" s="18" t="s">
        <v>477</v>
      </c>
    </row>
    <row r="20159">
      <c r="B20159" s="17" t="s">
        <v>477</v>
      </c>
      <c r="K20159" s="18" t="s">
        <v>477</v>
      </c>
    </row>
    <row r="20160">
      <c r="B20160" s="17" t="s">
        <v>477</v>
      </c>
      <c r="K20160" s="18" t="s">
        <v>477</v>
      </c>
    </row>
    <row r="20161">
      <c r="B20161" s="17" t="s">
        <v>477</v>
      </c>
      <c r="K20161" s="18" t="s">
        <v>477</v>
      </c>
    </row>
    <row r="20162">
      <c r="B20162" s="17" t="s">
        <v>477</v>
      </c>
      <c r="K20162" s="18" t="s">
        <v>477</v>
      </c>
    </row>
    <row r="20163">
      <c r="B20163" s="17" t="s">
        <v>477</v>
      </c>
      <c r="K20163" s="18" t="s">
        <v>477</v>
      </c>
    </row>
    <row r="20164">
      <c r="B20164" s="17" t="s">
        <v>477</v>
      </c>
      <c r="K20164" s="18" t="s">
        <v>477</v>
      </c>
    </row>
    <row r="20165">
      <c r="B20165" s="17" t="s">
        <v>477</v>
      </c>
      <c r="K20165" s="18" t="s">
        <v>477</v>
      </c>
    </row>
    <row r="20166">
      <c r="B20166" s="17" t="s">
        <v>477</v>
      </c>
      <c r="K20166" s="18" t="s">
        <v>477</v>
      </c>
    </row>
    <row r="20167">
      <c r="B20167" s="17" t="s">
        <v>477</v>
      </c>
      <c r="K20167" s="18" t="s">
        <v>477</v>
      </c>
    </row>
    <row r="20168">
      <c r="B20168" s="17" t="s">
        <v>477</v>
      </c>
      <c r="K20168" s="18" t="s">
        <v>477</v>
      </c>
    </row>
    <row r="20169">
      <c r="B20169" s="17" t="s">
        <v>477</v>
      </c>
      <c r="K20169" s="18" t="s">
        <v>477</v>
      </c>
    </row>
    <row r="20170">
      <c r="B20170" s="17" t="s">
        <v>477</v>
      </c>
      <c r="K20170" s="18" t="s">
        <v>477</v>
      </c>
    </row>
    <row r="20171">
      <c r="B20171" s="17" t="s">
        <v>477</v>
      </c>
      <c r="K20171" s="18" t="s">
        <v>477</v>
      </c>
    </row>
    <row r="20172">
      <c r="B20172" s="17" t="s">
        <v>477</v>
      </c>
      <c r="K20172" s="18" t="s">
        <v>477</v>
      </c>
    </row>
    <row r="20173">
      <c r="B20173" s="17" t="s">
        <v>477</v>
      </c>
      <c r="K20173" s="18" t="s">
        <v>477</v>
      </c>
    </row>
    <row r="20174">
      <c r="B20174" s="17" t="s">
        <v>477</v>
      </c>
      <c r="K20174" s="18" t="s">
        <v>477</v>
      </c>
    </row>
    <row r="20175">
      <c r="B20175" s="17" t="s">
        <v>477</v>
      </c>
      <c r="K20175" s="18" t="s">
        <v>477</v>
      </c>
    </row>
    <row r="20176">
      <c r="B20176" s="17" t="s">
        <v>477</v>
      </c>
      <c r="K20176" s="18" t="s">
        <v>477</v>
      </c>
    </row>
    <row r="20177">
      <c r="B20177" s="17" t="s">
        <v>477</v>
      </c>
      <c r="K20177" s="18" t="s">
        <v>477</v>
      </c>
    </row>
    <row r="20178">
      <c r="B20178" s="17" t="s">
        <v>477</v>
      </c>
      <c r="K20178" s="18" t="s">
        <v>477</v>
      </c>
    </row>
    <row r="20179">
      <c r="B20179" s="17" t="s">
        <v>477</v>
      </c>
      <c r="K20179" s="18" t="s">
        <v>477</v>
      </c>
    </row>
    <row r="20180">
      <c r="B20180" s="17" t="s">
        <v>477</v>
      </c>
      <c r="K20180" s="18" t="s">
        <v>477</v>
      </c>
    </row>
    <row r="20181">
      <c r="B20181" s="17" t="s">
        <v>477</v>
      </c>
      <c r="K20181" s="18" t="s">
        <v>477</v>
      </c>
    </row>
    <row r="20182">
      <c r="B20182" s="17" t="s">
        <v>477</v>
      </c>
      <c r="K20182" s="18" t="s">
        <v>477</v>
      </c>
    </row>
    <row r="20183">
      <c r="B20183" s="17" t="s">
        <v>477</v>
      </c>
      <c r="K20183" s="18" t="s">
        <v>477</v>
      </c>
    </row>
    <row r="20184">
      <c r="B20184" s="17" t="s">
        <v>477</v>
      </c>
      <c r="K20184" s="18" t="s">
        <v>477</v>
      </c>
    </row>
    <row r="20185">
      <c r="B20185" s="17" t="s">
        <v>477</v>
      </c>
      <c r="K20185" s="18" t="s">
        <v>477</v>
      </c>
    </row>
    <row r="20186">
      <c r="B20186" s="17" t="s">
        <v>477</v>
      </c>
      <c r="K20186" s="18" t="s">
        <v>477</v>
      </c>
    </row>
    <row r="20187">
      <c r="B20187" s="17" t="s">
        <v>477</v>
      </c>
      <c r="K20187" s="18" t="s">
        <v>477</v>
      </c>
    </row>
    <row r="20188">
      <c r="B20188" s="17" t="s">
        <v>477</v>
      </c>
      <c r="K20188" s="18" t="s">
        <v>477</v>
      </c>
    </row>
    <row r="20189">
      <c r="B20189" s="17" t="s">
        <v>477</v>
      </c>
      <c r="K20189" s="18" t="s">
        <v>477</v>
      </c>
    </row>
    <row r="20190">
      <c r="B20190" s="17" t="s">
        <v>477</v>
      </c>
      <c r="K20190" s="18" t="s">
        <v>477</v>
      </c>
    </row>
    <row r="20191">
      <c r="B20191" s="17" t="s">
        <v>477</v>
      </c>
      <c r="K20191" s="18" t="s">
        <v>477</v>
      </c>
    </row>
    <row r="20192">
      <c r="B20192" s="17" t="s">
        <v>477</v>
      </c>
      <c r="K20192" s="18" t="s">
        <v>477</v>
      </c>
    </row>
    <row r="20193">
      <c r="B20193" s="17" t="s">
        <v>477</v>
      </c>
      <c r="K20193" s="18" t="s">
        <v>477</v>
      </c>
    </row>
    <row r="20194">
      <c r="B20194" s="17" t="s">
        <v>477</v>
      </c>
      <c r="K20194" s="18" t="s">
        <v>477</v>
      </c>
    </row>
    <row r="20195">
      <c r="B20195" s="17" t="s">
        <v>477</v>
      </c>
      <c r="K20195" s="18" t="s">
        <v>477</v>
      </c>
    </row>
    <row r="20196">
      <c r="B20196" s="17" t="s">
        <v>477</v>
      </c>
      <c r="K20196" s="18" t="s">
        <v>477</v>
      </c>
    </row>
    <row r="20197">
      <c r="B20197" s="17" t="s">
        <v>477</v>
      </c>
      <c r="K20197" s="18" t="s">
        <v>477</v>
      </c>
    </row>
    <row r="20198">
      <c r="B20198" s="17" t="s">
        <v>477</v>
      </c>
      <c r="K20198" s="18" t="s">
        <v>477</v>
      </c>
    </row>
    <row r="20199">
      <c r="B20199" s="17" t="s">
        <v>477</v>
      </c>
      <c r="K20199" s="18" t="s">
        <v>477</v>
      </c>
    </row>
    <row r="20200">
      <c r="B20200" s="17" t="s">
        <v>477</v>
      </c>
      <c r="K20200" s="18" t="s">
        <v>477</v>
      </c>
    </row>
    <row r="20201">
      <c r="B20201" s="17" t="s">
        <v>477</v>
      </c>
      <c r="K20201" s="18" t="s">
        <v>477</v>
      </c>
    </row>
    <row r="20202">
      <c r="B20202" s="17" t="s">
        <v>477</v>
      </c>
      <c r="K20202" s="18" t="s">
        <v>477</v>
      </c>
    </row>
    <row r="20203">
      <c r="B20203" s="17" t="s">
        <v>477</v>
      </c>
      <c r="K20203" s="18" t="s">
        <v>477</v>
      </c>
    </row>
    <row r="20204">
      <c r="B20204" s="17" t="s">
        <v>477</v>
      </c>
      <c r="K20204" s="18" t="s">
        <v>477</v>
      </c>
    </row>
    <row r="20205">
      <c r="B20205" s="17" t="s">
        <v>477</v>
      </c>
      <c r="K20205" s="18" t="s">
        <v>477</v>
      </c>
    </row>
    <row r="20206">
      <c r="B20206" s="17" t="s">
        <v>477</v>
      </c>
      <c r="K20206" s="18" t="s">
        <v>477</v>
      </c>
    </row>
    <row r="20207">
      <c r="B20207" s="17" t="s">
        <v>477</v>
      </c>
      <c r="K20207" s="18" t="s">
        <v>477</v>
      </c>
    </row>
    <row r="20208">
      <c r="B20208" s="17" t="s">
        <v>477</v>
      </c>
      <c r="K20208" s="18" t="s">
        <v>477</v>
      </c>
    </row>
    <row r="20209">
      <c r="B20209" s="17" t="s">
        <v>477</v>
      </c>
      <c r="K20209" s="18" t="s">
        <v>477</v>
      </c>
    </row>
    <row r="20210">
      <c r="B20210" s="17" t="s">
        <v>477</v>
      </c>
      <c r="K20210" s="18" t="s">
        <v>477</v>
      </c>
    </row>
    <row r="20211">
      <c r="B20211" s="17" t="s">
        <v>477</v>
      </c>
      <c r="K20211" s="18" t="s">
        <v>477</v>
      </c>
    </row>
    <row r="20212">
      <c r="B20212" s="17" t="s">
        <v>477</v>
      </c>
      <c r="K20212" s="18" t="s">
        <v>477</v>
      </c>
    </row>
    <row r="20213">
      <c r="B20213" s="17" t="s">
        <v>477</v>
      </c>
      <c r="K20213" s="18" t="s">
        <v>477</v>
      </c>
    </row>
    <row r="20214">
      <c r="B20214" s="17" t="s">
        <v>477</v>
      </c>
      <c r="K20214" s="18" t="s">
        <v>477</v>
      </c>
    </row>
    <row r="20215">
      <c r="B20215" s="17" t="s">
        <v>477</v>
      </c>
      <c r="K20215" s="18" t="s">
        <v>477</v>
      </c>
    </row>
    <row r="20216">
      <c r="B20216" s="17" t="s">
        <v>477</v>
      </c>
      <c r="K20216" s="18" t="s">
        <v>477</v>
      </c>
    </row>
    <row r="20217">
      <c r="B20217" s="17" t="s">
        <v>477</v>
      </c>
      <c r="K20217" s="18" t="s">
        <v>477</v>
      </c>
    </row>
    <row r="20218">
      <c r="B20218" s="17" t="s">
        <v>477</v>
      </c>
      <c r="K20218" s="18" t="s">
        <v>477</v>
      </c>
    </row>
    <row r="20219">
      <c r="B20219" s="17" t="s">
        <v>477</v>
      </c>
      <c r="K20219" s="18" t="s">
        <v>477</v>
      </c>
    </row>
    <row r="20220">
      <c r="B20220" s="17" t="s">
        <v>477</v>
      </c>
      <c r="K20220" s="18" t="s">
        <v>477</v>
      </c>
    </row>
    <row r="20221">
      <c r="B20221" s="17" t="s">
        <v>477</v>
      </c>
      <c r="K20221" s="18" t="s">
        <v>477</v>
      </c>
    </row>
    <row r="20222">
      <c r="B20222" s="17" t="s">
        <v>477</v>
      </c>
      <c r="K20222" s="18" t="s">
        <v>477</v>
      </c>
    </row>
    <row r="20223">
      <c r="B20223" s="17" t="s">
        <v>477</v>
      </c>
      <c r="K20223" s="18" t="s">
        <v>477</v>
      </c>
    </row>
    <row r="20224">
      <c r="B20224" s="17" t="s">
        <v>477</v>
      </c>
      <c r="K20224" s="18" t="s">
        <v>477</v>
      </c>
    </row>
    <row r="20225">
      <c r="B20225" s="17" t="s">
        <v>477</v>
      </c>
      <c r="K20225" s="18" t="s">
        <v>477</v>
      </c>
    </row>
    <row r="20226">
      <c r="B20226" s="17" t="s">
        <v>477</v>
      </c>
      <c r="K20226" s="18" t="s">
        <v>477</v>
      </c>
    </row>
    <row r="20227">
      <c r="B20227" s="17" t="s">
        <v>477</v>
      </c>
      <c r="K20227" s="18" t="s">
        <v>477</v>
      </c>
    </row>
    <row r="20228">
      <c r="B20228" s="17" t="s">
        <v>477</v>
      </c>
      <c r="K20228" s="18" t="s">
        <v>477</v>
      </c>
    </row>
    <row r="20229">
      <c r="B20229" s="17" t="s">
        <v>477</v>
      </c>
      <c r="K20229" s="18" t="s">
        <v>477</v>
      </c>
    </row>
    <row r="20230">
      <c r="B20230" s="17" t="s">
        <v>477</v>
      </c>
      <c r="K20230" s="18" t="s">
        <v>477</v>
      </c>
    </row>
    <row r="20231">
      <c r="B20231" s="17" t="s">
        <v>477</v>
      </c>
      <c r="K20231" s="18" t="s">
        <v>477</v>
      </c>
    </row>
    <row r="20232">
      <c r="B20232" s="17" t="s">
        <v>477</v>
      </c>
      <c r="K20232" s="18" t="s">
        <v>477</v>
      </c>
    </row>
    <row r="20233">
      <c r="B20233" s="17" t="s">
        <v>477</v>
      </c>
      <c r="K20233" s="18" t="s">
        <v>477</v>
      </c>
    </row>
    <row r="20234">
      <c r="B20234" s="17" t="s">
        <v>477</v>
      </c>
      <c r="K20234" s="18" t="s">
        <v>477</v>
      </c>
    </row>
    <row r="20235">
      <c r="B20235" s="17" t="s">
        <v>477</v>
      </c>
      <c r="K20235" s="18" t="s">
        <v>477</v>
      </c>
    </row>
    <row r="20236">
      <c r="B20236" s="17" t="s">
        <v>477</v>
      </c>
      <c r="K20236" s="18" t="s">
        <v>477</v>
      </c>
    </row>
    <row r="20237">
      <c r="B20237" s="17" t="s">
        <v>477</v>
      </c>
      <c r="K20237" s="18" t="s">
        <v>477</v>
      </c>
    </row>
    <row r="20238">
      <c r="B20238" s="17" t="s">
        <v>477</v>
      </c>
      <c r="K20238" s="18" t="s">
        <v>477</v>
      </c>
    </row>
    <row r="20239">
      <c r="B20239" s="17" t="s">
        <v>477</v>
      </c>
      <c r="K20239" s="18" t="s">
        <v>477</v>
      </c>
    </row>
    <row r="20240">
      <c r="B20240" s="17" t="s">
        <v>477</v>
      </c>
      <c r="K20240" s="18" t="s">
        <v>477</v>
      </c>
    </row>
    <row r="20241">
      <c r="B20241" s="17" t="s">
        <v>477</v>
      </c>
      <c r="K20241" s="18" t="s">
        <v>477</v>
      </c>
    </row>
    <row r="20242">
      <c r="B20242" s="17" t="s">
        <v>477</v>
      </c>
      <c r="K20242" s="18" t="s">
        <v>477</v>
      </c>
    </row>
    <row r="20243">
      <c r="B20243" s="17" t="s">
        <v>477</v>
      </c>
      <c r="K20243" s="18" t="s">
        <v>477</v>
      </c>
    </row>
    <row r="20244">
      <c r="B20244" s="17" t="s">
        <v>477</v>
      </c>
      <c r="K20244" s="18" t="s">
        <v>477</v>
      </c>
    </row>
    <row r="20245">
      <c r="B20245" s="17" t="s">
        <v>477</v>
      </c>
      <c r="K20245" s="18" t="s">
        <v>477</v>
      </c>
    </row>
    <row r="20246">
      <c r="B20246" s="17" t="s">
        <v>477</v>
      </c>
      <c r="K20246" s="18" t="s">
        <v>477</v>
      </c>
    </row>
    <row r="20247">
      <c r="B20247" s="17" t="s">
        <v>477</v>
      </c>
      <c r="K20247" s="18" t="s">
        <v>477</v>
      </c>
    </row>
    <row r="20248">
      <c r="B20248" s="17" t="s">
        <v>477</v>
      </c>
      <c r="K20248" s="18" t="s">
        <v>477</v>
      </c>
    </row>
    <row r="20249">
      <c r="B20249" s="17" t="s">
        <v>477</v>
      </c>
      <c r="K20249" s="18" t="s">
        <v>477</v>
      </c>
    </row>
    <row r="20250">
      <c r="B20250" s="17" t="s">
        <v>477</v>
      </c>
      <c r="K20250" s="18" t="s">
        <v>477</v>
      </c>
    </row>
    <row r="20251">
      <c r="B20251" s="17" t="s">
        <v>477</v>
      </c>
      <c r="K20251" s="18" t="s">
        <v>477</v>
      </c>
    </row>
    <row r="20252">
      <c r="B20252" s="17" t="s">
        <v>477</v>
      </c>
      <c r="K20252" s="18" t="s">
        <v>477</v>
      </c>
    </row>
    <row r="20253">
      <c r="B20253" s="17" t="s">
        <v>477</v>
      </c>
      <c r="K20253" s="18" t="s">
        <v>477</v>
      </c>
    </row>
    <row r="20254">
      <c r="B20254" s="17" t="s">
        <v>477</v>
      </c>
      <c r="K20254" s="18" t="s">
        <v>477</v>
      </c>
    </row>
    <row r="20255">
      <c r="B20255" s="17" t="s">
        <v>477</v>
      </c>
      <c r="K20255" s="18" t="s">
        <v>477</v>
      </c>
    </row>
    <row r="20256">
      <c r="B20256" s="17" t="s">
        <v>477</v>
      </c>
      <c r="K20256" s="18" t="s">
        <v>477</v>
      </c>
    </row>
    <row r="20257">
      <c r="B20257" s="17" t="s">
        <v>477</v>
      </c>
      <c r="K20257" s="18" t="s">
        <v>477</v>
      </c>
    </row>
    <row r="20258">
      <c r="B20258" s="17" t="s">
        <v>477</v>
      </c>
      <c r="K20258" s="18" t="s">
        <v>477</v>
      </c>
    </row>
    <row r="20259">
      <c r="B20259" s="17" t="s">
        <v>477</v>
      </c>
      <c r="K20259" s="18" t="s">
        <v>477</v>
      </c>
    </row>
    <row r="20260">
      <c r="B20260" s="17" t="s">
        <v>477</v>
      </c>
      <c r="K20260" s="18" t="s">
        <v>477</v>
      </c>
    </row>
    <row r="20261">
      <c r="B20261" s="17" t="s">
        <v>477</v>
      </c>
      <c r="K20261" s="18" t="s">
        <v>477</v>
      </c>
    </row>
    <row r="20262">
      <c r="B20262" s="17" t="s">
        <v>477</v>
      </c>
      <c r="K20262" s="18" t="s">
        <v>477</v>
      </c>
    </row>
    <row r="20263">
      <c r="B20263" s="17" t="s">
        <v>477</v>
      </c>
      <c r="K20263" s="18" t="s">
        <v>477</v>
      </c>
    </row>
    <row r="20264">
      <c r="B20264" s="17" t="s">
        <v>477</v>
      </c>
      <c r="K20264" s="18" t="s">
        <v>477</v>
      </c>
    </row>
    <row r="20265">
      <c r="B20265" s="17" t="s">
        <v>477</v>
      </c>
      <c r="K20265" s="18" t="s">
        <v>477</v>
      </c>
    </row>
    <row r="20266">
      <c r="B20266" s="17" t="s">
        <v>477</v>
      </c>
      <c r="K20266" s="18" t="s">
        <v>477</v>
      </c>
    </row>
    <row r="20267">
      <c r="B20267" s="17" t="s">
        <v>477</v>
      </c>
      <c r="K20267" s="18" t="s">
        <v>477</v>
      </c>
    </row>
    <row r="20268">
      <c r="B20268" s="17" t="s">
        <v>477</v>
      </c>
      <c r="K20268" s="18" t="s">
        <v>477</v>
      </c>
    </row>
    <row r="20269">
      <c r="B20269" s="17" t="s">
        <v>477</v>
      </c>
      <c r="K20269" s="18" t="s">
        <v>477</v>
      </c>
    </row>
    <row r="20270">
      <c r="B20270" s="17" t="s">
        <v>477</v>
      </c>
      <c r="K20270" s="18" t="s">
        <v>477</v>
      </c>
    </row>
    <row r="20271">
      <c r="B20271" s="17" t="s">
        <v>477</v>
      </c>
      <c r="K20271" s="18" t="s">
        <v>477</v>
      </c>
    </row>
    <row r="20272">
      <c r="B20272" s="17" t="s">
        <v>477</v>
      </c>
      <c r="K20272" s="18" t="s">
        <v>477</v>
      </c>
    </row>
    <row r="20273">
      <c r="B20273" s="17" t="s">
        <v>477</v>
      </c>
      <c r="K20273" s="18" t="s">
        <v>477</v>
      </c>
    </row>
    <row r="20274">
      <c r="B20274" s="17" t="s">
        <v>477</v>
      </c>
      <c r="K20274" s="18" t="s">
        <v>477</v>
      </c>
    </row>
    <row r="20275">
      <c r="B20275" s="17" t="s">
        <v>477</v>
      </c>
      <c r="K20275" s="18" t="s">
        <v>477</v>
      </c>
    </row>
    <row r="20276">
      <c r="B20276" s="17" t="s">
        <v>477</v>
      </c>
      <c r="K20276" s="18" t="s">
        <v>477</v>
      </c>
    </row>
    <row r="20277">
      <c r="B20277" s="17" t="s">
        <v>477</v>
      </c>
      <c r="K20277" s="18" t="s">
        <v>477</v>
      </c>
    </row>
    <row r="20278">
      <c r="B20278" s="17" t="s">
        <v>477</v>
      </c>
      <c r="K20278" s="18" t="s">
        <v>477</v>
      </c>
    </row>
    <row r="20279">
      <c r="B20279" s="17" t="s">
        <v>477</v>
      </c>
      <c r="K20279" s="18" t="s">
        <v>477</v>
      </c>
    </row>
    <row r="20280">
      <c r="B20280" s="17" t="s">
        <v>477</v>
      </c>
      <c r="K20280" s="18" t="s">
        <v>477</v>
      </c>
    </row>
    <row r="20281">
      <c r="B20281" s="17" t="s">
        <v>477</v>
      </c>
      <c r="K20281" s="18" t="s">
        <v>477</v>
      </c>
    </row>
    <row r="20282">
      <c r="B20282" s="17" t="s">
        <v>477</v>
      </c>
      <c r="K20282" s="18" t="s">
        <v>477</v>
      </c>
    </row>
    <row r="20283">
      <c r="B20283" s="17" t="s">
        <v>477</v>
      </c>
      <c r="K20283" s="18" t="s">
        <v>477</v>
      </c>
    </row>
    <row r="20284">
      <c r="B20284" s="17" t="s">
        <v>477</v>
      </c>
      <c r="K20284" s="18" t="s">
        <v>477</v>
      </c>
    </row>
    <row r="20285">
      <c r="B20285" s="17" t="s">
        <v>477</v>
      </c>
      <c r="K20285" s="18" t="s">
        <v>477</v>
      </c>
    </row>
    <row r="20286">
      <c r="B20286" s="17" t="s">
        <v>477</v>
      </c>
      <c r="K20286" s="18" t="s">
        <v>477</v>
      </c>
    </row>
    <row r="20287">
      <c r="B20287" s="17" t="s">
        <v>477</v>
      </c>
      <c r="K20287" s="18" t="s">
        <v>477</v>
      </c>
    </row>
    <row r="20288">
      <c r="B20288" s="17" t="s">
        <v>477</v>
      </c>
      <c r="K20288" s="18" t="s">
        <v>477</v>
      </c>
    </row>
    <row r="20289">
      <c r="B20289" s="17" t="s">
        <v>477</v>
      </c>
      <c r="K20289" s="18" t="s">
        <v>477</v>
      </c>
    </row>
    <row r="20290">
      <c r="B20290" s="17" t="s">
        <v>477</v>
      </c>
      <c r="K20290" s="18" t="s">
        <v>477</v>
      </c>
    </row>
    <row r="20291">
      <c r="B20291" s="17" t="s">
        <v>477</v>
      </c>
      <c r="K20291" s="18" t="s">
        <v>477</v>
      </c>
    </row>
    <row r="20292">
      <c r="B20292" s="17" t="s">
        <v>477</v>
      </c>
      <c r="K20292" s="18" t="s">
        <v>477</v>
      </c>
    </row>
    <row r="20293">
      <c r="B20293" s="17" t="s">
        <v>477</v>
      </c>
      <c r="K20293" s="18" t="s">
        <v>477</v>
      </c>
    </row>
    <row r="20294">
      <c r="B20294" s="17" t="s">
        <v>477</v>
      </c>
      <c r="K20294" s="18" t="s">
        <v>477</v>
      </c>
    </row>
    <row r="20295">
      <c r="B20295" s="17" t="s">
        <v>477</v>
      </c>
      <c r="K20295" s="18" t="s">
        <v>477</v>
      </c>
    </row>
    <row r="20296">
      <c r="B20296" s="17" t="s">
        <v>477</v>
      </c>
      <c r="K20296" s="18" t="s">
        <v>477</v>
      </c>
    </row>
    <row r="20297">
      <c r="B20297" s="17" t="s">
        <v>477</v>
      </c>
      <c r="K20297" s="18" t="s">
        <v>477</v>
      </c>
    </row>
    <row r="20298">
      <c r="B20298" s="17" t="s">
        <v>477</v>
      </c>
      <c r="K20298" s="18" t="s">
        <v>477</v>
      </c>
    </row>
    <row r="20299">
      <c r="B20299" s="17" t="s">
        <v>477</v>
      </c>
      <c r="K20299" s="18" t="s">
        <v>477</v>
      </c>
    </row>
    <row r="20300">
      <c r="B20300" s="17" t="s">
        <v>477</v>
      </c>
      <c r="K20300" s="18" t="s">
        <v>477</v>
      </c>
    </row>
    <row r="20301">
      <c r="B20301" s="17" t="s">
        <v>477</v>
      </c>
      <c r="K20301" s="18" t="s">
        <v>477</v>
      </c>
    </row>
    <row r="20302">
      <c r="B20302" s="17" t="s">
        <v>477</v>
      </c>
      <c r="K20302" s="18" t="s">
        <v>477</v>
      </c>
    </row>
    <row r="20303">
      <c r="B20303" s="17" t="s">
        <v>477</v>
      </c>
      <c r="K20303" s="18" t="s">
        <v>477</v>
      </c>
    </row>
    <row r="20304">
      <c r="B20304" s="17" t="s">
        <v>477</v>
      </c>
      <c r="K20304" s="18" t="s">
        <v>477</v>
      </c>
    </row>
    <row r="20305">
      <c r="B20305" s="17" t="s">
        <v>477</v>
      </c>
      <c r="K20305" s="18" t="s">
        <v>477</v>
      </c>
    </row>
    <row r="20306">
      <c r="B20306" s="17" t="s">
        <v>477</v>
      </c>
      <c r="K20306" s="18" t="s">
        <v>477</v>
      </c>
    </row>
    <row r="20307">
      <c r="B20307" s="17" t="s">
        <v>477</v>
      </c>
      <c r="K20307" s="18" t="s">
        <v>477</v>
      </c>
    </row>
    <row r="20308">
      <c r="B20308" s="17" t="s">
        <v>477</v>
      </c>
      <c r="K20308" s="18" t="s">
        <v>477</v>
      </c>
    </row>
    <row r="20309">
      <c r="B20309" s="17" t="s">
        <v>477</v>
      </c>
      <c r="K20309" s="18" t="s">
        <v>477</v>
      </c>
    </row>
    <row r="20310">
      <c r="B20310" s="17" t="s">
        <v>477</v>
      </c>
      <c r="K20310" s="18" t="s">
        <v>477</v>
      </c>
    </row>
    <row r="20311">
      <c r="B20311" s="17" t="s">
        <v>477</v>
      </c>
      <c r="K20311" s="18" t="s">
        <v>477</v>
      </c>
    </row>
    <row r="20312">
      <c r="B20312" s="17" t="s">
        <v>477</v>
      </c>
      <c r="K20312" s="18" t="s">
        <v>477</v>
      </c>
    </row>
    <row r="20313">
      <c r="B20313" s="17" t="s">
        <v>477</v>
      </c>
      <c r="K20313" s="18" t="s">
        <v>477</v>
      </c>
    </row>
    <row r="20314">
      <c r="B20314" s="17" t="s">
        <v>477</v>
      </c>
      <c r="K20314" s="18" t="s">
        <v>477</v>
      </c>
    </row>
    <row r="20315">
      <c r="B20315" s="17" t="s">
        <v>477</v>
      </c>
      <c r="K20315" s="18" t="s">
        <v>477</v>
      </c>
    </row>
    <row r="20316">
      <c r="B20316" s="17" t="s">
        <v>477</v>
      </c>
      <c r="K20316" s="18" t="s">
        <v>477</v>
      </c>
    </row>
    <row r="20317">
      <c r="B20317" s="17" t="s">
        <v>477</v>
      </c>
      <c r="K20317" s="18" t="s">
        <v>477</v>
      </c>
    </row>
    <row r="20318">
      <c r="B20318" s="17" t="s">
        <v>477</v>
      </c>
      <c r="K20318" s="18" t="s">
        <v>477</v>
      </c>
    </row>
    <row r="20319">
      <c r="B20319" s="17" t="s">
        <v>477</v>
      </c>
      <c r="K20319" s="18" t="s">
        <v>477</v>
      </c>
    </row>
    <row r="20320">
      <c r="B20320" s="17" t="s">
        <v>477</v>
      </c>
      <c r="K20320" s="18" t="s">
        <v>477</v>
      </c>
    </row>
    <row r="20321">
      <c r="B20321" s="17" t="s">
        <v>477</v>
      </c>
      <c r="K20321" s="18" t="s">
        <v>477</v>
      </c>
    </row>
    <row r="20322">
      <c r="B20322" s="17" t="s">
        <v>477</v>
      </c>
      <c r="K20322" s="18" t="s">
        <v>477</v>
      </c>
    </row>
    <row r="20323">
      <c r="B20323" s="17" t="s">
        <v>477</v>
      </c>
      <c r="K20323" s="18" t="s">
        <v>477</v>
      </c>
    </row>
    <row r="20324">
      <c r="B20324" s="17" t="s">
        <v>477</v>
      </c>
      <c r="K20324" s="18" t="s">
        <v>477</v>
      </c>
    </row>
    <row r="20325">
      <c r="B20325" s="17" t="s">
        <v>477</v>
      </c>
      <c r="K20325" s="18" t="s">
        <v>477</v>
      </c>
    </row>
    <row r="20326">
      <c r="B20326" s="17" t="s">
        <v>477</v>
      </c>
      <c r="K20326" s="18" t="s">
        <v>477</v>
      </c>
    </row>
    <row r="20327">
      <c r="B20327" s="17" t="s">
        <v>477</v>
      </c>
      <c r="K20327" s="18" t="s">
        <v>477</v>
      </c>
    </row>
    <row r="20328">
      <c r="B20328" s="17" t="s">
        <v>477</v>
      </c>
      <c r="K20328" s="18" t="s">
        <v>477</v>
      </c>
    </row>
    <row r="20329">
      <c r="B20329" s="17" t="s">
        <v>477</v>
      </c>
      <c r="K20329" s="18" t="s">
        <v>477</v>
      </c>
    </row>
    <row r="20330">
      <c r="B20330" s="17" t="s">
        <v>477</v>
      </c>
      <c r="K20330" s="18" t="s">
        <v>477</v>
      </c>
    </row>
    <row r="20331">
      <c r="B20331" s="17" t="s">
        <v>477</v>
      </c>
      <c r="K20331" s="18" t="s">
        <v>477</v>
      </c>
    </row>
    <row r="20332">
      <c r="B20332" s="17" t="s">
        <v>477</v>
      </c>
      <c r="K20332" s="18" t="s">
        <v>477</v>
      </c>
    </row>
    <row r="20333">
      <c r="B20333" s="17" t="s">
        <v>477</v>
      </c>
      <c r="K20333" s="18" t="s">
        <v>477</v>
      </c>
    </row>
    <row r="20334">
      <c r="B20334" s="17" t="s">
        <v>477</v>
      </c>
      <c r="K20334" s="18" t="s">
        <v>477</v>
      </c>
    </row>
    <row r="20335">
      <c r="B20335" s="17" t="s">
        <v>477</v>
      </c>
      <c r="K20335" s="18" t="s">
        <v>477</v>
      </c>
    </row>
    <row r="20336">
      <c r="B20336" s="17" t="s">
        <v>477</v>
      </c>
      <c r="K20336" s="18" t="s">
        <v>477</v>
      </c>
    </row>
    <row r="20337">
      <c r="B20337" s="17" t="s">
        <v>477</v>
      </c>
      <c r="K20337" s="18" t="s">
        <v>477</v>
      </c>
    </row>
    <row r="20338">
      <c r="B20338" s="17" t="s">
        <v>477</v>
      </c>
      <c r="K20338" s="18" t="s">
        <v>477</v>
      </c>
    </row>
    <row r="20339">
      <c r="B20339" s="17" t="s">
        <v>477</v>
      </c>
      <c r="K20339" s="18" t="s">
        <v>477</v>
      </c>
    </row>
    <row r="20340">
      <c r="B20340" s="17" t="s">
        <v>477</v>
      </c>
      <c r="K20340" s="18" t="s">
        <v>477</v>
      </c>
    </row>
    <row r="20341">
      <c r="B20341" s="17" t="s">
        <v>477</v>
      </c>
      <c r="K20341" s="18" t="s">
        <v>477</v>
      </c>
    </row>
    <row r="20342">
      <c r="B20342" s="17" t="s">
        <v>477</v>
      </c>
      <c r="K20342" s="18" t="s">
        <v>477</v>
      </c>
    </row>
    <row r="20343">
      <c r="B20343" s="17" t="s">
        <v>477</v>
      </c>
      <c r="K20343" s="18" t="s">
        <v>477</v>
      </c>
    </row>
    <row r="20344">
      <c r="B20344" s="17" t="s">
        <v>477</v>
      </c>
      <c r="K20344" s="18" t="s">
        <v>477</v>
      </c>
    </row>
    <row r="20345">
      <c r="B20345" s="17" t="s">
        <v>477</v>
      </c>
      <c r="K20345" s="18" t="s">
        <v>477</v>
      </c>
    </row>
    <row r="20346">
      <c r="B20346" s="17" t="s">
        <v>477</v>
      </c>
      <c r="K20346" s="18" t="s">
        <v>477</v>
      </c>
    </row>
    <row r="20347">
      <c r="B20347" s="17" t="s">
        <v>477</v>
      </c>
      <c r="K20347" s="18" t="s">
        <v>477</v>
      </c>
    </row>
    <row r="20348">
      <c r="B20348" s="17" t="s">
        <v>477</v>
      </c>
      <c r="K20348" s="18" t="s">
        <v>477</v>
      </c>
    </row>
    <row r="20349">
      <c r="B20349" s="17" t="s">
        <v>477</v>
      </c>
      <c r="K20349" s="18" t="s">
        <v>477</v>
      </c>
    </row>
    <row r="20350">
      <c r="B20350" s="17" t="s">
        <v>477</v>
      </c>
      <c r="K20350" s="18" t="s">
        <v>477</v>
      </c>
    </row>
    <row r="20351">
      <c r="B20351" s="17" t="s">
        <v>477</v>
      </c>
      <c r="K20351" s="18" t="s">
        <v>477</v>
      </c>
    </row>
    <row r="20352">
      <c r="B20352" s="17" t="s">
        <v>477</v>
      </c>
      <c r="K20352" s="18" t="s">
        <v>477</v>
      </c>
    </row>
    <row r="20353">
      <c r="B20353" s="17" t="s">
        <v>477</v>
      </c>
      <c r="K20353" s="18" t="s">
        <v>477</v>
      </c>
    </row>
    <row r="20354">
      <c r="B20354" s="17" t="s">
        <v>477</v>
      </c>
      <c r="K20354" s="18" t="s">
        <v>477</v>
      </c>
    </row>
    <row r="20355">
      <c r="B20355" s="17" t="s">
        <v>477</v>
      </c>
      <c r="K20355" s="18" t="s">
        <v>477</v>
      </c>
    </row>
    <row r="20356">
      <c r="B20356" s="17" t="s">
        <v>477</v>
      </c>
      <c r="K20356" s="18" t="s">
        <v>477</v>
      </c>
    </row>
    <row r="20357">
      <c r="B20357" s="17" t="s">
        <v>477</v>
      </c>
      <c r="K20357" s="18" t="s">
        <v>477</v>
      </c>
    </row>
    <row r="20358">
      <c r="B20358" s="17" t="s">
        <v>477</v>
      </c>
      <c r="K20358" s="18" t="s">
        <v>477</v>
      </c>
    </row>
    <row r="20359">
      <c r="B20359" s="17" t="s">
        <v>477</v>
      </c>
      <c r="K20359" s="18" t="s">
        <v>477</v>
      </c>
    </row>
    <row r="20360">
      <c r="B20360" s="17" t="s">
        <v>477</v>
      </c>
      <c r="K20360" s="18" t="s">
        <v>477</v>
      </c>
    </row>
    <row r="20361">
      <c r="B20361" s="17" t="s">
        <v>477</v>
      </c>
      <c r="K20361" s="18" t="s">
        <v>477</v>
      </c>
    </row>
    <row r="20362">
      <c r="B20362" s="17" t="s">
        <v>477</v>
      </c>
      <c r="K20362" s="18" t="s">
        <v>477</v>
      </c>
    </row>
    <row r="20363">
      <c r="B20363" s="17" t="s">
        <v>477</v>
      </c>
      <c r="K20363" s="18" t="s">
        <v>477</v>
      </c>
    </row>
    <row r="20364">
      <c r="B20364" s="17" t="s">
        <v>477</v>
      </c>
      <c r="K20364" s="18" t="s">
        <v>477</v>
      </c>
    </row>
    <row r="20365">
      <c r="B20365" s="17" t="s">
        <v>477</v>
      </c>
      <c r="K20365" s="18" t="s">
        <v>477</v>
      </c>
    </row>
    <row r="20366">
      <c r="B20366" s="17" t="s">
        <v>477</v>
      </c>
      <c r="K20366" s="18" t="s">
        <v>477</v>
      </c>
    </row>
    <row r="20367">
      <c r="B20367" s="17" t="s">
        <v>477</v>
      </c>
      <c r="K20367" s="18" t="s">
        <v>477</v>
      </c>
    </row>
    <row r="20368">
      <c r="B20368" s="17" t="s">
        <v>477</v>
      </c>
      <c r="K20368" s="18" t="s">
        <v>477</v>
      </c>
    </row>
    <row r="20369">
      <c r="B20369" s="17" t="s">
        <v>477</v>
      </c>
      <c r="K20369" s="18" t="s">
        <v>477</v>
      </c>
    </row>
    <row r="20370">
      <c r="B20370" s="17" t="s">
        <v>477</v>
      </c>
      <c r="K20370" s="18" t="s">
        <v>477</v>
      </c>
    </row>
    <row r="20371">
      <c r="B20371" s="17" t="s">
        <v>477</v>
      </c>
      <c r="K20371" s="18" t="s">
        <v>477</v>
      </c>
    </row>
    <row r="20372">
      <c r="B20372" s="17" t="s">
        <v>477</v>
      </c>
      <c r="K20372" s="18" t="s">
        <v>477</v>
      </c>
    </row>
    <row r="20373">
      <c r="B20373" s="17" t="s">
        <v>477</v>
      </c>
      <c r="K20373" s="18" t="s">
        <v>477</v>
      </c>
    </row>
    <row r="20374">
      <c r="B20374" s="17" t="s">
        <v>477</v>
      </c>
      <c r="K20374" s="18" t="s">
        <v>477</v>
      </c>
    </row>
    <row r="20375">
      <c r="B20375" s="17" t="s">
        <v>477</v>
      </c>
      <c r="K20375" s="18" t="s">
        <v>477</v>
      </c>
    </row>
    <row r="20376">
      <c r="B20376" s="17" t="s">
        <v>477</v>
      </c>
      <c r="K20376" s="18" t="s">
        <v>477</v>
      </c>
    </row>
    <row r="20377">
      <c r="B20377" s="17" t="s">
        <v>477</v>
      </c>
      <c r="K20377" s="18" t="s">
        <v>477</v>
      </c>
    </row>
    <row r="20378">
      <c r="B20378" s="17" t="s">
        <v>477</v>
      </c>
      <c r="K20378" s="18" t="s">
        <v>477</v>
      </c>
    </row>
    <row r="20379">
      <c r="B20379" s="17" t="s">
        <v>477</v>
      </c>
      <c r="K20379" s="18" t="s">
        <v>477</v>
      </c>
    </row>
    <row r="20380">
      <c r="B20380" s="17" t="s">
        <v>477</v>
      </c>
      <c r="K20380" s="18" t="s">
        <v>477</v>
      </c>
    </row>
    <row r="20381">
      <c r="B20381" s="17" t="s">
        <v>477</v>
      </c>
      <c r="K20381" s="18" t="s">
        <v>477</v>
      </c>
    </row>
    <row r="20382">
      <c r="B20382" s="17" t="s">
        <v>477</v>
      </c>
      <c r="K20382" s="18" t="s">
        <v>477</v>
      </c>
    </row>
    <row r="20383">
      <c r="B20383" s="17" t="s">
        <v>477</v>
      </c>
      <c r="K20383" s="18" t="s">
        <v>477</v>
      </c>
    </row>
    <row r="20384">
      <c r="B20384" s="17" t="s">
        <v>477</v>
      </c>
      <c r="K20384" s="18" t="s">
        <v>477</v>
      </c>
    </row>
    <row r="20385">
      <c r="B20385" s="17" t="s">
        <v>477</v>
      </c>
      <c r="K20385" s="18" t="s">
        <v>477</v>
      </c>
    </row>
    <row r="20386">
      <c r="B20386" s="17" t="s">
        <v>477</v>
      </c>
      <c r="K20386" s="18" t="s">
        <v>477</v>
      </c>
    </row>
    <row r="20387">
      <c r="B20387" s="17" t="s">
        <v>477</v>
      </c>
      <c r="K20387" s="18" t="s">
        <v>477</v>
      </c>
    </row>
    <row r="20388">
      <c r="B20388" s="17" t="s">
        <v>477</v>
      </c>
      <c r="K20388" s="18" t="s">
        <v>477</v>
      </c>
    </row>
    <row r="20389">
      <c r="B20389" s="17" t="s">
        <v>477</v>
      </c>
      <c r="K20389" s="18" t="s">
        <v>477</v>
      </c>
    </row>
    <row r="20390">
      <c r="B20390" s="17" t="s">
        <v>477</v>
      </c>
      <c r="K20390" s="18" t="s">
        <v>477</v>
      </c>
    </row>
    <row r="20391">
      <c r="B20391" s="17" t="s">
        <v>477</v>
      </c>
      <c r="K20391" s="18" t="s">
        <v>477</v>
      </c>
    </row>
    <row r="20392">
      <c r="B20392" s="17" t="s">
        <v>477</v>
      </c>
      <c r="K20392" s="18" t="s">
        <v>477</v>
      </c>
    </row>
    <row r="20393">
      <c r="B20393" s="17" t="s">
        <v>477</v>
      </c>
      <c r="K20393" s="18" t="s">
        <v>477</v>
      </c>
    </row>
    <row r="20394">
      <c r="B20394" s="17" t="s">
        <v>477</v>
      </c>
      <c r="K20394" s="18" t="s">
        <v>477</v>
      </c>
    </row>
    <row r="20395">
      <c r="B20395" s="17" t="s">
        <v>477</v>
      </c>
      <c r="K20395" s="18" t="s">
        <v>477</v>
      </c>
    </row>
    <row r="20396">
      <c r="B20396" s="17" t="s">
        <v>477</v>
      </c>
      <c r="K20396" s="18" t="s">
        <v>477</v>
      </c>
    </row>
    <row r="20397">
      <c r="B20397" s="17" t="s">
        <v>477</v>
      </c>
      <c r="K20397" s="18" t="s">
        <v>477</v>
      </c>
    </row>
    <row r="20398">
      <c r="B20398" s="17" t="s">
        <v>477</v>
      </c>
      <c r="K20398" s="18" t="s">
        <v>477</v>
      </c>
    </row>
    <row r="20399">
      <c r="B20399" s="17" t="s">
        <v>477</v>
      </c>
      <c r="K20399" s="18" t="s">
        <v>477</v>
      </c>
    </row>
    <row r="20400">
      <c r="B20400" s="17" t="s">
        <v>477</v>
      </c>
      <c r="K20400" s="18" t="s">
        <v>477</v>
      </c>
    </row>
    <row r="20401">
      <c r="B20401" s="17" t="s">
        <v>477</v>
      </c>
      <c r="K20401" s="18" t="s">
        <v>477</v>
      </c>
    </row>
    <row r="20402">
      <c r="B20402" s="17" t="s">
        <v>477</v>
      </c>
      <c r="K20402" s="18" t="s">
        <v>477</v>
      </c>
    </row>
    <row r="20403">
      <c r="B20403" s="17" t="s">
        <v>477</v>
      </c>
      <c r="K20403" s="18" t="s">
        <v>477</v>
      </c>
    </row>
    <row r="20404">
      <c r="B20404" s="17" t="s">
        <v>477</v>
      </c>
      <c r="K20404" s="18" t="s">
        <v>477</v>
      </c>
    </row>
    <row r="20405">
      <c r="B20405" s="17" t="s">
        <v>477</v>
      </c>
      <c r="K20405" s="18" t="s">
        <v>477</v>
      </c>
    </row>
    <row r="20406">
      <c r="B20406" s="17" t="s">
        <v>477</v>
      </c>
      <c r="K20406" s="18" t="s">
        <v>477</v>
      </c>
    </row>
    <row r="20407">
      <c r="B20407" s="17" t="s">
        <v>477</v>
      </c>
      <c r="K20407" s="18" t="s">
        <v>477</v>
      </c>
    </row>
    <row r="20408">
      <c r="B20408" s="17" t="s">
        <v>477</v>
      </c>
      <c r="K20408" s="18" t="s">
        <v>477</v>
      </c>
    </row>
    <row r="20409">
      <c r="B20409" s="17" t="s">
        <v>477</v>
      </c>
      <c r="K20409" s="18" t="s">
        <v>477</v>
      </c>
    </row>
    <row r="20410">
      <c r="B20410" s="17" t="s">
        <v>477</v>
      </c>
      <c r="K20410" s="18" t="s">
        <v>477</v>
      </c>
    </row>
    <row r="20411">
      <c r="B20411" s="17" t="s">
        <v>477</v>
      </c>
      <c r="K20411" s="18" t="s">
        <v>477</v>
      </c>
    </row>
    <row r="20412">
      <c r="B20412" s="17" t="s">
        <v>477</v>
      </c>
      <c r="K20412" s="18" t="s">
        <v>477</v>
      </c>
    </row>
    <row r="20413">
      <c r="B20413" s="17" t="s">
        <v>477</v>
      </c>
      <c r="K20413" s="18" t="s">
        <v>477</v>
      </c>
    </row>
    <row r="20414">
      <c r="B20414" s="17" t="s">
        <v>477</v>
      </c>
      <c r="K20414" s="18" t="s">
        <v>477</v>
      </c>
    </row>
    <row r="20415">
      <c r="B20415" s="17" t="s">
        <v>477</v>
      </c>
      <c r="K20415" s="18" t="s">
        <v>477</v>
      </c>
    </row>
    <row r="20416">
      <c r="B20416" s="17" t="s">
        <v>477</v>
      </c>
      <c r="K20416" s="18" t="s">
        <v>477</v>
      </c>
    </row>
    <row r="20417">
      <c r="B20417" s="17" t="s">
        <v>477</v>
      </c>
      <c r="K20417" s="18" t="s">
        <v>477</v>
      </c>
    </row>
    <row r="20418">
      <c r="B20418" s="17" t="s">
        <v>477</v>
      </c>
      <c r="K20418" s="18" t="s">
        <v>477</v>
      </c>
    </row>
    <row r="20419">
      <c r="B20419" s="17" t="s">
        <v>477</v>
      </c>
      <c r="K20419" s="18" t="s">
        <v>477</v>
      </c>
    </row>
    <row r="20420">
      <c r="B20420" s="17" t="s">
        <v>477</v>
      </c>
      <c r="K20420" s="18" t="s">
        <v>477</v>
      </c>
    </row>
    <row r="20421">
      <c r="B20421" s="17" t="s">
        <v>477</v>
      </c>
      <c r="K20421" s="18" t="s">
        <v>477</v>
      </c>
    </row>
    <row r="20422">
      <c r="B20422" s="17" t="s">
        <v>477</v>
      </c>
      <c r="K20422" s="18" t="s">
        <v>477</v>
      </c>
    </row>
    <row r="20423">
      <c r="B20423" s="17" t="s">
        <v>477</v>
      </c>
      <c r="K20423" s="18" t="s">
        <v>477</v>
      </c>
    </row>
    <row r="20424">
      <c r="B20424" s="17" t="s">
        <v>477</v>
      </c>
      <c r="K20424" s="18" t="s">
        <v>477</v>
      </c>
    </row>
    <row r="20425">
      <c r="B20425" s="17" t="s">
        <v>477</v>
      </c>
      <c r="K20425" s="18" t="s">
        <v>477</v>
      </c>
    </row>
    <row r="20426">
      <c r="B20426" s="17" t="s">
        <v>477</v>
      </c>
      <c r="K20426" s="18" t="s">
        <v>477</v>
      </c>
    </row>
    <row r="20427">
      <c r="B20427" s="17" t="s">
        <v>477</v>
      </c>
      <c r="K20427" s="18" t="s">
        <v>477</v>
      </c>
    </row>
    <row r="20428">
      <c r="B20428" s="17" t="s">
        <v>477</v>
      </c>
      <c r="K20428" s="18" t="s">
        <v>477</v>
      </c>
    </row>
    <row r="20429">
      <c r="B20429" s="17" t="s">
        <v>477</v>
      </c>
      <c r="K20429" s="18" t="s">
        <v>477</v>
      </c>
    </row>
    <row r="20430">
      <c r="B20430" s="17" t="s">
        <v>477</v>
      </c>
      <c r="K20430" s="18" t="s">
        <v>477</v>
      </c>
    </row>
    <row r="20431">
      <c r="B20431" s="17" t="s">
        <v>477</v>
      </c>
      <c r="K20431" s="18" t="s">
        <v>477</v>
      </c>
    </row>
    <row r="20432">
      <c r="B20432" s="17" t="s">
        <v>477</v>
      </c>
      <c r="K20432" s="18" t="s">
        <v>477</v>
      </c>
    </row>
    <row r="20433">
      <c r="B20433" s="17" t="s">
        <v>477</v>
      </c>
      <c r="K20433" s="18" t="s">
        <v>477</v>
      </c>
    </row>
    <row r="20434">
      <c r="B20434" s="17" t="s">
        <v>477</v>
      </c>
      <c r="K20434" s="18" t="s">
        <v>477</v>
      </c>
    </row>
    <row r="20435">
      <c r="B20435" s="17" t="s">
        <v>477</v>
      </c>
      <c r="K20435" s="18" t="s">
        <v>477</v>
      </c>
    </row>
    <row r="20436">
      <c r="B20436" s="17" t="s">
        <v>477</v>
      </c>
      <c r="K20436" s="18" t="s">
        <v>477</v>
      </c>
    </row>
    <row r="20437">
      <c r="B20437" s="17" t="s">
        <v>477</v>
      </c>
      <c r="K20437" s="18" t="s">
        <v>477</v>
      </c>
    </row>
    <row r="20438">
      <c r="B20438" s="17" t="s">
        <v>477</v>
      </c>
      <c r="K20438" s="18" t="s">
        <v>477</v>
      </c>
    </row>
    <row r="20439">
      <c r="B20439" s="17" t="s">
        <v>477</v>
      </c>
      <c r="K20439" s="18" t="s">
        <v>477</v>
      </c>
    </row>
    <row r="20440">
      <c r="B20440" s="17" t="s">
        <v>477</v>
      </c>
      <c r="K20440" s="18" t="s">
        <v>477</v>
      </c>
    </row>
    <row r="20441">
      <c r="B20441" s="17" t="s">
        <v>477</v>
      </c>
      <c r="K20441" s="18" t="s">
        <v>477</v>
      </c>
    </row>
    <row r="20442">
      <c r="B20442" s="17" t="s">
        <v>477</v>
      </c>
      <c r="K20442" s="18" t="s">
        <v>477</v>
      </c>
    </row>
    <row r="20443">
      <c r="B20443" s="17" t="s">
        <v>477</v>
      </c>
      <c r="K20443" s="18" t="s">
        <v>477</v>
      </c>
    </row>
    <row r="20444">
      <c r="B20444" s="17" t="s">
        <v>477</v>
      </c>
      <c r="K20444" s="18" t="s">
        <v>477</v>
      </c>
    </row>
    <row r="20445">
      <c r="B20445" s="17" t="s">
        <v>477</v>
      </c>
      <c r="K20445" s="18" t="s">
        <v>477</v>
      </c>
    </row>
    <row r="20446">
      <c r="B20446" s="17" t="s">
        <v>477</v>
      </c>
      <c r="K20446" s="18" t="s">
        <v>477</v>
      </c>
    </row>
    <row r="20447">
      <c r="B20447" s="17" t="s">
        <v>477</v>
      </c>
      <c r="K20447" s="18" t="s">
        <v>477</v>
      </c>
    </row>
    <row r="20448">
      <c r="B20448" s="17" t="s">
        <v>477</v>
      </c>
      <c r="K20448" s="18" t="s">
        <v>477</v>
      </c>
    </row>
    <row r="20449">
      <c r="B20449" s="17" t="s">
        <v>477</v>
      </c>
      <c r="K20449" s="18" t="s">
        <v>477</v>
      </c>
    </row>
    <row r="20450">
      <c r="B20450" s="17" t="s">
        <v>477</v>
      </c>
      <c r="K20450" s="18" t="s">
        <v>477</v>
      </c>
    </row>
    <row r="20451">
      <c r="B20451" s="17" t="s">
        <v>477</v>
      </c>
      <c r="K20451" s="18" t="s">
        <v>477</v>
      </c>
    </row>
    <row r="20452">
      <c r="B20452" s="17" t="s">
        <v>477</v>
      </c>
      <c r="K20452" s="18" t="s">
        <v>477</v>
      </c>
    </row>
    <row r="20453">
      <c r="B20453" s="17" t="s">
        <v>477</v>
      </c>
      <c r="K20453" s="18" t="s">
        <v>477</v>
      </c>
    </row>
    <row r="20454">
      <c r="B20454" s="17" t="s">
        <v>477</v>
      </c>
      <c r="K20454" s="18" t="s">
        <v>477</v>
      </c>
    </row>
    <row r="20455">
      <c r="B20455" s="17" t="s">
        <v>477</v>
      </c>
      <c r="K20455" s="18" t="s">
        <v>477</v>
      </c>
    </row>
    <row r="20456">
      <c r="B20456" s="17" t="s">
        <v>477</v>
      </c>
      <c r="K20456" s="18" t="s">
        <v>477</v>
      </c>
    </row>
    <row r="20457">
      <c r="B20457" s="17" t="s">
        <v>477</v>
      </c>
      <c r="K20457" s="18" t="s">
        <v>477</v>
      </c>
    </row>
    <row r="20458">
      <c r="B20458" s="17" t="s">
        <v>477</v>
      </c>
      <c r="K20458" s="18" t="s">
        <v>477</v>
      </c>
    </row>
    <row r="20459">
      <c r="B20459" s="17" t="s">
        <v>477</v>
      </c>
      <c r="K20459" s="18" t="s">
        <v>477</v>
      </c>
    </row>
    <row r="20460">
      <c r="B20460" s="17" t="s">
        <v>477</v>
      </c>
      <c r="K20460" s="18" t="s">
        <v>477</v>
      </c>
    </row>
    <row r="20461">
      <c r="B20461" s="17" t="s">
        <v>477</v>
      </c>
      <c r="K20461" s="18" t="s">
        <v>477</v>
      </c>
    </row>
    <row r="20462">
      <c r="B20462" s="17" t="s">
        <v>477</v>
      </c>
      <c r="K20462" s="18" t="s">
        <v>477</v>
      </c>
    </row>
    <row r="20463">
      <c r="B20463" s="17" t="s">
        <v>477</v>
      </c>
      <c r="K20463" s="18" t="s">
        <v>477</v>
      </c>
    </row>
    <row r="20464">
      <c r="B20464" s="17" t="s">
        <v>477</v>
      </c>
      <c r="K20464" s="18" t="s">
        <v>477</v>
      </c>
    </row>
    <row r="20465">
      <c r="B20465" s="17" t="s">
        <v>477</v>
      </c>
      <c r="K20465" s="18" t="s">
        <v>477</v>
      </c>
    </row>
    <row r="20466">
      <c r="B20466" s="17" t="s">
        <v>477</v>
      </c>
      <c r="K20466" s="18" t="s">
        <v>477</v>
      </c>
    </row>
    <row r="20467">
      <c r="B20467" s="17" t="s">
        <v>477</v>
      </c>
      <c r="K20467" s="18" t="s">
        <v>477</v>
      </c>
    </row>
    <row r="20468">
      <c r="B20468" s="17" t="s">
        <v>477</v>
      </c>
      <c r="K20468" s="18" t="s">
        <v>477</v>
      </c>
    </row>
    <row r="20469">
      <c r="B20469" s="17" t="s">
        <v>477</v>
      </c>
      <c r="K20469" s="18" t="s">
        <v>477</v>
      </c>
    </row>
    <row r="20470">
      <c r="B20470" s="17" t="s">
        <v>477</v>
      </c>
      <c r="K20470" s="18" t="s">
        <v>477</v>
      </c>
    </row>
    <row r="20471">
      <c r="B20471" s="17" t="s">
        <v>477</v>
      </c>
      <c r="K20471" s="18" t="s">
        <v>477</v>
      </c>
    </row>
    <row r="20472">
      <c r="B20472" s="17" t="s">
        <v>477</v>
      </c>
      <c r="K20472" s="18" t="s">
        <v>477</v>
      </c>
    </row>
    <row r="20473">
      <c r="B20473" s="17" t="s">
        <v>477</v>
      </c>
      <c r="K20473" s="18" t="s">
        <v>477</v>
      </c>
    </row>
    <row r="20474">
      <c r="B20474" s="17" t="s">
        <v>477</v>
      </c>
      <c r="K20474" s="18" t="s">
        <v>477</v>
      </c>
    </row>
    <row r="20475">
      <c r="B20475" s="17" t="s">
        <v>477</v>
      </c>
      <c r="K20475" s="18" t="s">
        <v>477</v>
      </c>
    </row>
    <row r="20476">
      <c r="B20476" s="17" t="s">
        <v>477</v>
      </c>
      <c r="K20476" s="18" t="s">
        <v>477</v>
      </c>
    </row>
    <row r="20477">
      <c r="B20477" s="17" t="s">
        <v>477</v>
      </c>
      <c r="K20477" s="18" t="s">
        <v>477</v>
      </c>
    </row>
    <row r="20478">
      <c r="B20478" s="17" t="s">
        <v>477</v>
      </c>
      <c r="K20478" s="18" t="s">
        <v>477</v>
      </c>
    </row>
    <row r="20479">
      <c r="B20479" s="17" t="s">
        <v>477</v>
      </c>
      <c r="K20479" s="18" t="s">
        <v>477</v>
      </c>
    </row>
    <row r="20480">
      <c r="B20480" s="17" t="s">
        <v>477</v>
      </c>
      <c r="K20480" s="18" t="s">
        <v>477</v>
      </c>
    </row>
    <row r="20481">
      <c r="B20481" s="17" t="s">
        <v>477</v>
      </c>
      <c r="K20481" s="18" t="s">
        <v>477</v>
      </c>
    </row>
    <row r="20482">
      <c r="B20482" s="17" t="s">
        <v>477</v>
      </c>
      <c r="K20482" s="18" t="s">
        <v>477</v>
      </c>
    </row>
    <row r="20483">
      <c r="B20483" s="17" t="s">
        <v>477</v>
      </c>
      <c r="K20483" s="18" t="s">
        <v>477</v>
      </c>
    </row>
    <row r="20484">
      <c r="B20484" s="17" t="s">
        <v>477</v>
      </c>
      <c r="K20484" s="18" t="s">
        <v>477</v>
      </c>
    </row>
    <row r="20485">
      <c r="B20485" s="17" t="s">
        <v>477</v>
      </c>
      <c r="K20485" s="18" t="s">
        <v>477</v>
      </c>
    </row>
    <row r="20486">
      <c r="B20486" s="17" t="s">
        <v>477</v>
      </c>
      <c r="K20486" s="18" t="s">
        <v>477</v>
      </c>
    </row>
    <row r="20487">
      <c r="B20487" s="17" t="s">
        <v>477</v>
      </c>
      <c r="K20487" s="18" t="s">
        <v>477</v>
      </c>
    </row>
    <row r="20488">
      <c r="B20488" s="17" t="s">
        <v>477</v>
      </c>
      <c r="K20488" s="18" t="s">
        <v>477</v>
      </c>
    </row>
    <row r="20489">
      <c r="B20489" s="17" t="s">
        <v>477</v>
      </c>
      <c r="K20489" s="18" t="s">
        <v>477</v>
      </c>
    </row>
    <row r="20490">
      <c r="B20490" s="17" t="s">
        <v>477</v>
      </c>
      <c r="K20490" s="18" t="s">
        <v>477</v>
      </c>
    </row>
    <row r="20491">
      <c r="B20491" s="17" t="s">
        <v>477</v>
      </c>
      <c r="K20491" s="18" t="s">
        <v>477</v>
      </c>
    </row>
    <row r="20492">
      <c r="B20492" s="17" t="s">
        <v>477</v>
      </c>
      <c r="K20492" s="18" t="s">
        <v>477</v>
      </c>
    </row>
    <row r="20493">
      <c r="B20493" s="17" t="s">
        <v>477</v>
      </c>
      <c r="K20493" s="18" t="s">
        <v>477</v>
      </c>
    </row>
    <row r="20494">
      <c r="B20494" s="17" t="s">
        <v>477</v>
      </c>
      <c r="K20494" s="18" t="s">
        <v>477</v>
      </c>
    </row>
    <row r="20495">
      <c r="B20495" s="17" t="s">
        <v>477</v>
      </c>
      <c r="K20495" s="18" t="s">
        <v>477</v>
      </c>
    </row>
    <row r="20496">
      <c r="B20496" s="17" t="s">
        <v>477</v>
      </c>
      <c r="K20496" s="18" t="s">
        <v>477</v>
      </c>
    </row>
    <row r="20497">
      <c r="B20497" s="17" t="s">
        <v>477</v>
      </c>
      <c r="K20497" s="18" t="s">
        <v>477</v>
      </c>
    </row>
    <row r="20498">
      <c r="B20498" s="17" t="s">
        <v>477</v>
      </c>
      <c r="K20498" s="18" t="s">
        <v>477</v>
      </c>
    </row>
    <row r="20499">
      <c r="B20499" s="17" t="s">
        <v>477</v>
      </c>
      <c r="K20499" s="18" t="s">
        <v>477</v>
      </c>
    </row>
    <row r="20500">
      <c r="B20500" s="17" t="s">
        <v>477</v>
      </c>
      <c r="K20500" s="18" t="s">
        <v>477</v>
      </c>
    </row>
    <row r="20501">
      <c r="B20501" s="17" t="s">
        <v>477</v>
      </c>
      <c r="K20501" s="18" t="s">
        <v>477</v>
      </c>
    </row>
    <row r="20502">
      <c r="B20502" s="17" t="s">
        <v>477</v>
      </c>
      <c r="K20502" s="18" t="s">
        <v>477</v>
      </c>
    </row>
    <row r="20503">
      <c r="B20503" s="17" t="s">
        <v>477</v>
      </c>
      <c r="K20503" s="18" t="s">
        <v>477</v>
      </c>
    </row>
    <row r="20504">
      <c r="B20504" s="17" t="s">
        <v>477</v>
      </c>
      <c r="K20504" s="18" t="s">
        <v>477</v>
      </c>
    </row>
    <row r="20505">
      <c r="B20505" s="17" t="s">
        <v>477</v>
      </c>
      <c r="K20505" s="18" t="s">
        <v>477</v>
      </c>
    </row>
    <row r="20506">
      <c r="B20506" s="17" t="s">
        <v>477</v>
      </c>
      <c r="K20506" s="18" t="s">
        <v>477</v>
      </c>
    </row>
    <row r="20507">
      <c r="B20507" s="17" t="s">
        <v>477</v>
      </c>
      <c r="K20507" s="18" t="s">
        <v>477</v>
      </c>
    </row>
    <row r="20508">
      <c r="B20508" s="17" t="s">
        <v>477</v>
      </c>
      <c r="K20508" s="18" t="s">
        <v>477</v>
      </c>
    </row>
    <row r="20509">
      <c r="B20509" s="17" t="s">
        <v>477</v>
      </c>
      <c r="K20509" s="18" t="s">
        <v>477</v>
      </c>
    </row>
    <row r="20510">
      <c r="B20510" s="17" t="s">
        <v>477</v>
      </c>
      <c r="K20510" s="18" t="s">
        <v>477</v>
      </c>
    </row>
    <row r="20511">
      <c r="B20511" s="17" t="s">
        <v>477</v>
      </c>
      <c r="K20511" s="18" t="s">
        <v>477</v>
      </c>
    </row>
    <row r="20512">
      <c r="B20512" s="17" t="s">
        <v>477</v>
      </c>
      <c r="K20512" s="18" t="s">
        <v>477</v>
      </c>
    </row>
    <row r="20513">
      <c r="B20513" s="17" t="s">
        <v>477</v>
      </c>
      <c r="K20513" s="18" t="s">
        <v>477</v>
      </c>
    </row>
    <row r="20514">
      <c r="B20514" s="17" t="s">
        <v>477</v>
      </c>
      <c r="K20514" s="18" t="s">
        <v>477</v>
      </c>
    </row>
    <row r="20515">
      <c r="B20515" s="17" t="s">
        <v>477</v>
      </c>
      <c r="K20515" s="18" t="s">
        <v>477</v>
      </c>
    </row>
    <row r="20516">
      <c r="B20516" s="17" t="s">
        <v>477</v>
      </c>
      <c r="K20516" s="18" t="s">
        <v>477</v>
      </c>
    </row>
    <row r="20517">
      <c r="B20517" s="17" t="s">
        <v>477</v>
      </c>
      <c r="K20517" s="18" t="s">
        <v>477</v>
      </c>
    </row>
    <row r="20518">
      <c r="B20518" s="17" t="s">
        <v>477</v>
      </c>
      <c r="K20518" s="18" t="s">
        <v>477</v>
      </c>
    </row>
    <row r="20519">
      <c r="B20519" s="17" t="s">
        <v>477</v>
      </c>
      <c r="K20519" s="18" t="s">
        <v>477</v>
      </c>
    </row>
    <row r="20520">
      <c r="B20520" s="17" t="s">
        <v>477</v>
      </c>
      <c r="K20520" s="18" t="s">
        <v>477</v>
      </c>
    </row>
    <row r="20521">
      <c r="B20521" s="17" t="s">
        <v>477</v>
      </c>
      <c r="K20521" s="18" t="s">
        <v>477</v>
      </c>
    </row>
    <row r="20522">
      <c r="B20522" s="17" t="s">
        <v>477</v>
      </c>
      <c r="K20522" s="18" t="s">
        <v>477</v>
      </c>
    </row>
    <row r="20523">
      <c r="B20523" s="17" t="s">
        <v>477</v>
      </c>
      <c r="K20523" s="18" t="s">
        <v>477</v>
      </c>
    </row>
    <row r="20524">
      <c r="B20524" s="17" t="s">
        <v>477</v>
      </c>
      <c r="K20524" s="18" t="s">
        <v>477</v>
      </c>
    </row>
    <row r="20525">
      <c r="B20525" s="17" t="s">
        <v>477</v>
      </c>
      <c r="K20525" s="18" t="s">
        <v>477</v>
      </c>
    </row>
    <row r="20526">
      <c r="B20526" s="17" t="s">
        <v>477</v>
      </c>
      <c r="K20526" s="18" t="s">
        <v>477</v>
      </c>
    </row>
    <row r="20527">
      <c r="B20527" s="17" t="s">
        <v>477</v>
      </c>
      <c r="K20527" s="18" t="s">
        <v>477</v>
      </c>
    </row>
    <row r="20528">
      <c r="B20528" s="17" t="s">
        <v>477</v>
      </c>
      <c r="K20528" s="18" t="s">
        <v>477</v>
      </c>
    </row>
    <row r="20529">
      <c r="B20529" s="17" t="s">
        <v>477</v>
      </c>
      <c r="K20529" s="18" t="s">
        <v>477</v>
      </c>
    </row>
    <row r="20530">
      <c r="B20530" s="17" t="s">
        <v>477</v>
      </c>
      <c r="K20530" s="18" t="s">
        <v>477</v>
      </c>
    </row>
    <row r="20531">
      <c r="B20531" s="17" t="s">
        <v>477</v>
      </c>
      <c r="K20531" s="18" t="s">
        <v>477</v>
      </c>
    </row>
    <row r="20532">
      <c r="B20532" s="17" t="s">
        <v>477</v>
      </c>
      <c r="K20532" s="18" t="s">
        <v>477</v>
      </c>
    </row>
    <row r="20533">
      <c r="B20533" s="17" t="s">
        <v>477</v>
      </c>
      <c r="K20533" s="18" t="s">
        <v>477</v>
      </c>
    </row>
    <row r="20534">
      <c r="B20534" s="17" t="s">
        <v>477</v>
      </c>
      <c r="K20534" s="18" t="s">
        <v>477</v>
      </c>
    </row>
    <row r="20535">
      <c r="B20535" s="17" t="s">
        <v>477</v>
      </c>
      <c r="K20535" s="18" t="s">
        <v>477</v>
      </c>
    </row>
    <row r="20536">
      <c r="B20536" s="17" t="s">
        <v>477</v>
      </c>
      <c r="K20536" s="18" t="s">
        <v>477</v>
      </c>
    </row>
    <row r="20537">
      <c r="B20537" s="17" t="s">
        <v>477</v>
      </c>
      <c r="K20537" s="18" t="s">
        <v>477</v>
      </c>
    </row>
    <row r="20538">
      <c r="B20538" s="17" t="s">
        <v>477</v>
      </c>
      <c r="K20538" s="18" t="s">
        <v>477</v>
      </c>
    </row>
    <row r="20539">
      <c r="B20539" s="17" t="s">
        <v>477</v>
      </c>
      <c r="K20539" s="18" t="s">
        <v>477</v>
      </c>
    </row>
    <row r="20540">
      <c r="B20540" s="17" t="s">
        <v>477</v>
      </c>
      <c r="K20540" s="18" t="s">
        <v>477</v>
      </c>
    </row>
    <row r="20541">
      <c r="B20541" s="17" t="s">
        <v>477</v>
      </c>
      <c r="K20541" s="18" t="s">
        <v>477</v>
      </c>
    </row>
    <row r="20542">
      <c r="B20542" s="17" t="s">
        <v>477</v>
      </c>
      <c r="K20542" s="18" t="s">
        <v>477</v>
      </c>
    </row>
    <row r="20543">
      <c r="B20543" s="17" t="s">
        <v>477</v>
      </c>
      <c r="K20543" s="18" t="s">
        <v>477</v>
      </c>
    </row>
    <row r="20544">
      <c r="B20544" s="17" t="s">
        <v>477</v>
      </c>
      <c r="K20544" s="18" t="s">
        <v>477</v>
      </c>
    </row>
    <row r="20545">
      <c r="B20545" s="17" t="s">
        <v>477</v>
      </c>
      <c r="K20545" s="18" t="s">
        <v>477</v>
      </c>
    </row>
    <row r="20546">
      <c r="B20546" s="17" t="s">
        <v>477</v>
      </c>
      <c r="K20546" s="18" t="s">
        <v>477</v>
      </c>
    </row>
    <row r="20547">
      <c r="B20547" s="17" t="s">
        <v>477</v>
      </c>
      <c r="K20547" s="18" t="s">
        <v>477</v>
      </c>
    </row>
    <row r="20548">
      <c r="B20548" s="17" t="s">
        <v>477</v>
      </c>
      <c r="K20548" s="18" t="s">
        <v>477</v>
      </c>
    </row>
    <row r="20549">
      <c r="B20549" s="17" t="s">
        <v>477</v>
      </c>
      <c r="K20549" s="18" t="s">
        <v>477</v>
      </c>
    </row>
    <row r="20550">
      <c r="B20550" s="17" t="s">
        <v>477</v>
      </c>
      <c r="K20550" s="18" t="s">
        <v>477</v>
      </c>
    </row>
    <row r="20551">
      <c r="B20551" s="17" t="s">
        <v>477</v>
      </c>
      <c r="K20551" s="18" t="s">
        <v>477</v>
      </c>
    </row>
    <row r="20552">
      <c r="B20552" s="17" t="s">
        <v>477</v>
      </c>
      <c r="K20552" s="18" t="s">
        <v>477</v>
      </c>
    </row>
    <row r="20553">
      <c r="B20553" s="17" t="s">
        <v>477</v>
      </c>
      <c r="K20553" s="18" t="s">
        <v>477</v>
      </c>
    </row>
    <row r="20554">
      <c r="B20554" s="17" t="s">
        <v>477</v>
      </c>
      <c r="K20554" s="18" t="s">
        <v>477</v>
      </c>
    </row>
    <row r="20555">
      <c r="B20555" s="17" t="s">
        <v>477</v>
      </c>
      <c r="K20555" s="18" t="s">
        <v>477</v>
      </c>
    </row>
    <row r="20556">
      <c r="B20556" s="17" t="s">
        <v>477</v>
      </c>
      <c r="K20556" s="18" t="s">
        <v>477</v>
      </c>
    </row>
    <row r="20557">
      <c r="B20557" s="17" t="s">
        <v>477</v>
      </c>
      <c r="K20557" s="18" t="s">
        <v>477</v>
      </c>
    </row>
    <row r="20558">
      <c r="B20558" s="17" t="s">
        <v>477</v>
      </c>
      <c r="K20558" s="18" t="s">
        <v>477</v>
      </c>
    </row>
    <row r="20559">
      <c r="B20559" s="17" t="s">
        <v>477</v>
      </c>
      <c r="K20559" s="18" t="s">
        <v>477</v>
      </c>
    </row>
    <row r="20560">
      <c r="B20560" s="17" t="s">
        <v>477</v>
      </c>
      <c r="K20560" s="18" t="s">
        <v>477</v>
      </c>
    </row>
    <row r="20561">
      <c r="B20561" s="17" t="s">
        <v>477</v>
      </c>
      <c r="K20561" s="18" t="s">
        <v>477</v>
      </c>
    </row>
    <row r="20562">
      <c r="B20562" s="17" t="s">
        <v>477</v>
      </c>
      <c r="K20562" s="18" t="s">
        <v>477</v>
      </c>
    </row>
    <row r="20563">
      <c r="B20563" s="17" t="s">
        <v>477</v>
      </c>
      <c r="K20563" s="18" t="s">
        <v>477</v>
      </c>
    </row>
    <row r="20564">
      <c r="B20564" s="17" t="s">
        <v>477</v>
      </c>
      <c r="K20564" s="18" t="s">
        <v>477</v>
      </c>
    </row>
    <row r="20565">
      <c r="B20565" s="17" t="s">
        <v>477</v>
      </c>
      <c r="K20565" s="18" t="s">
        <v>477</v>
      </c>
    </row>
    <row r="20566">
      <c r="B20566" s="17" t="s">
        <v>477</v>
      </c>
      <c r="K20566" s="18" t="s">
        <v>477</v>
      </c>
    </row>
    <row r="20567">
      <c r="B20567" s="17" t="s">
        <v>477</v>
      </c>
      <c r="K20567" s="18" t="s">
        <v>477</v>
      </c>
    </row>
    <row r="20568">
      <c r="B20568" s="17" t="s">
        <v>477</v>
      </c>
      <c r="K20568" s="18" t="s">
        <v>477</v>
      </c>
    </row>
    <row r="20569">
      <c r="B20569" s="17" t="s">
        <v>477</v>
      </c>
      <c r="K20569" s="18" t="s">
        <v>477</v>
      </c>
    </row>
    <row r="20570">
      <c r="B20570" s="17" t="s">
        <v>477</v>
      </c>
      <c r="K20570" s="18" t="s">
        <v>477</v>
      </c>
    </row>
    <row r="20571">
      <c r="B20571" s="17" t="s">
        <v>477</v>
      </c>
      <c r="K20571" s="18" t="s">
        <v>477</v>
      </c>
    </row>
    <row r="20572">
      <c r="B20572" s="17" t="s">
        <v>477</v>
      </c>
      <c r="K20572" s="18" t="s">
        <v>477</v>
      </c>
    </row>
    <row r="20573">
      <c r="B20573" s="17" t="s">
        <v>477</v>
      </c>
      <c r="K20573" s="18" t="s">
        <v>477</v>
      </c>
    </row>
    <row r="20574">
      <c r="B20574" s="17" t="s">
        <v>477</v>
      </c>
      <c r="K20574" s="18" t="s">
        <v>477</v>
      </c>
    </row>
    <row r="20575">
      <c r="B20575" s="17" t="s">
        <v>477</v>
      </c>
      <c r="K20575" s="18" t="s">
        <v>477</v>
      </c>
    </row>
    <row r="20576">
      <c r="B20576" s="17" t="s">
        <v>477</v>
      </c>
      <c r="K20576" s="18" t="s">
        <v>477</v>
      </c>
    </row>
    <row r="20577">
      <c r="B20577" s="17" t="s">
        <v>477</v>
      </c>
      <c r="K20577" s="18" t="s">
        <v>477</v>
      </c>
    </row>
    <row r="20578">
      <c r="B20578" s="17" t="s">
        <v>477</v>
      </c>
      <c r="K20578" s="18" t="s">
        <v>477</v>
      </c>
    </row>
    <row r="20579">
      <c r="B20579" s="17" t="s">
        <v>477</v>
      </c>
      <c r="K20579" s="18" t="s">
        <v>477</v>
      </c>
    </row>
    <row r="20580">
      <c r="B20580" s="17" t="s">
        <v>477</v>
      </c>
      <c r="K20580" s="18" t="s">
        <v>477</v>
      </c>
    </row>
    <row r="20581">
      <c r="B20581" s="17" t="s">
        <v>477</v>
      </c>
      <c r="K20581" s="18" t="s">
        <v>477</v>
      </c>
    </row>
    <row r="20582">
      <c r="B20582" s="17" t="s">
        <v>477</v>
      </c>
      <c r="K20582" s="18" t="s">
        <v>477</v>
      </c>
    </row>
    <row r="20583">
      <c r="B20583" s="17" t="s">
        <v>477</v>
      </c>
      <c r="K20583" s="18" t="s">
        <v>477</v>
      </c>
    </row>
    <row r="20584">
      <c r="B20584" s="17" t="s">
        <v>477</v>
      </c>
      <c r="K20584" s="18" t="s">
        <v>477</v>
      </c>
    </row>
    <row r="20585">
      <c r="B20585" s="17" t="s">
        <v>477</v>
      </c>
      <c r="K20585" s="18" t="s">
        <v>477</v>
      </c>
    </row>
    <row r="20586">
      <c r="B20586" s="17" t="s">
        <v>477</v>
      </c>
      <c r="K20586" s="18" t="s">
        <v>477</v>
      </c>
    </row>
    <row r="20587">
      <c r="B20587" s="17" t="s">
        <v>477</v>
      </c>
      <c r="K20587" s="18" t="s">
        <v>477</v>
      </c>
    </row>
    <row r="20588">
      <c r="B20588" s="17" t="s">
        <v>477</v>
      </c>
      <c r="K20588" s="18" t="s">
        <v>477</v>
      </c>
    </row>
    <row r="20589">
      <c r="B20589" s="17" t="s">
        <v>477</v>
      </c>
      <c r="K20589" s="18" t="s">
        <v>477</v>
      </c>
    </row>
    <row r="20590">
      <c r="B20590" s="17" t="s">
        <v>477</v>
      </c>
      <c r="K20590" s="18" t="s">
        <v>477</v>
      </c>
    </row>
    <row r="20591">
      <c r="B20591" s="17" t="s">
        <v>477</v>
      </c>
      <c r="K20591" s="18" t="s">
        <v>477</v>
      </c>
    </row>
    <row r="20592">
      <c r="B20592" s="17" t="s">
        <v>477</v>
      </c>
      <c r="K20592" s="18" t="s">
        <v>477</v>
      </c>
    </row>
    <row r="20593">
      <c r="B20593" s="17" t="s">
        <v>477</v>
      </c>
      <c r="K20593" s="18" t="s">
        <v>477</v>
      </c>
    </row>
    <row r="20594">
      <c r="B20594" s="17" t="s">
        <v>477</v>
      </c>
      <c r="K20594" s="18" t="s">
        <v>477</v>
      </c>
    </row>
    <row r="20595">
      <c r="B20595" s="17" t="s">
        <v>477</v>
      </c>
      <c r="K20595" s="18" t="s">
        <v>477</v>
      </c>
    </row>
    <row r="20596">
      <c r="B20596" s="17" t="s">
        <v>477</v>
      </c>
      <c r="K20596" s="18" t="s">
        <v>477</v>
      </c>
    </row>
    <row r="20597">
      <c r="B20597" s="17" t="s">
        <v>477</v>
      </c>
      <c r="K20597" s="18" t="s">
        <v>477</v>
      </c>
    </row>
    <row r="20598">
      <c r="B20598" s="17" t="s">
        <v>477</v>
      </c>
      <c r="K20598" s="18" t="s">
        <v>477</v>
      </c>
    </row>
    <row r="20599">
      <c r="B20599" s="17" t="s">
        <v>477</v>
      </c>
      <c r="K20599" s="18" t="s">
        <v>477</v>
      </c>
    </row>
    <row r="20600">
      <c r="B20600" s="17" t="s">
        <v>477</v>
      </c>
      <c r="K20600" s="18" t="s">
        <v>477</v>
      </c>
    </row>
    <row r="20601">
      <c r="B20601" s="17" t="s">
        <v>477</v>
      </c>
      <c r="K20601" s="18" t="s">
        <v>477</v>
      </c>
    </row>
    <row r="20602">
      <c r="B20602" s="17" t="s">
        <v>477</v>
      </c>
      <c r="K20602" s="18" t="s">
        <v>477</v>
      </c>
    </row>
    <row r="20603">
      <c r="B20603" s="17" t="s">
        <v>477</v>
      </c>
      <c r="K20603" s="18" t="s">
        <v>477</v>
      </c>
    </row>
    <row r="20604">
      <c r="B20604" s="17" t="s">
        <v>477</v>
      </c>
      <c r="K20604" s="18" t="s">
        <v>477</v>
      </c>
    </row>
    <row r="20605">
      <c r="B20605" s="17" t="s">
        <v>477</v>
      </c>
      <c r="K20605" s="18" t="s">
        <v>477</v>
      </c>
    </row>
    <row r="20606">
      <c r="B20606" s="17" t="s">
        <v>477</v>
      </c>
      <c r="K20606" s="18" t="s">
        <v>477</v>
      </c>
    </row>
    <row r="20607">
      <c r="B20607" s="17" t="s">
        <v>477</v>
      </c>
      <c r="K20607" s="18" t="s">
        <v>477</v>
      </c>
    </row>
    <row r="20608">
      <c r="B20608" s="17" t="s">
        <v>477</v>
      </c>
      <c r="K20608" s="18" t="s">
        <v>477</v>
      </c>
    </row>
    <row r="20609">
      <c r="B20609" s="17" t="s">
        <v>477</v>
      </c>
      <c r="K20609" s="18" t="s">
        <v>477</v>
      </c>
    </row>
    <row r="20610">
      <c r="B20610" s="17" t="s">
        <v>477</v>
      </c>
      <c r="K20610" s="18" t="s">
        <v>477</v>
      </c>
    </row>
    <row r="20611">
      <c r="B20611" s="17" t="s">
        <v>477</v>
      </c>
      <c r="K20611" s="18" t="s">
        <v>477</v>
      </c>
    </row>
    <row r="20612">
      <c r="B20612" s="17" t="s">
        <v>477</v>
      </c>
      <c r="K20612" s="18" t="s">
        <v>477</v>
      </c>
    </row>
    <row r="20613">
      <c r="B20613" s="17" t="s">
        <v>477</v>
      </c>
      <c r="K20613" s="18" t="s">
        <v>477</v>
      </c>
    </row>
    <row r="20614">
      <c r="B20614" s="17" t="s">
        <v>477</v>
      </c>
      <c r="K20614" s="18" t="s">
        <v>477</v>
      </c>
    </row>
    <row r="20615">
      <c r="B20615" s="17" t="s">
        <v>477</v>
      </c>
      <c r="K20615" s="18" t="s">
        <v>477</v>
      </c>
    </row>
    <row r="20616">
      <c r="B20616" s="17" t="s">
        <v>477</v>
      </c>
      <c r="K20616" s="18" t="s">
        <v>477</v>
      </c>
    </row>
    <row r="20617">
      <c r="B20617" s="17" t="s">
        <v>477</v>
      </c>
      <c r="K20617" s="18" t="s">
        <v>477</v>
      </c>
    </row>
    <row r="20618">
      <c r="B20618" s="17" t="s">
        <v>477</v>
      </c>
      <c r="K20618" s="18" t="s">
        <v>477</v>
      </c>
    </row>
    <row r="20619">
      <c r="B20619" s="17" t="s">
        <v>477</v>
      </c>
      <c r="K20619" s="18" t="s">
        <v>477</v>
      </c>
    </row>
    <row r="20620">
      <c r="B20620" s="17" t="s">
        <v>477</v>
      </c>
      <c r="K20620" s="18" t="s">
        <v>477</v>
      </c>
    </row>
    <row r="20621">
      <c r="B20621" s="17" t="s">
        <v>477</v>
      </c>
      <c r="K20621" s="18" t="s">
        <v>477</v>
      </c>
    </row>
    <row r="20622">
      <c r="B20622" s="17" t="s">
        <v>477</v>
      </c>
      <c r="K20622" s="18" t="s">
        <v>477</v>
      </c>
    </row>
    <row r="20623">
      <c r="B20623" s="17" t="s">
        <v>477</v>
      </c>
      <c r="K20623" s="18" t="s">
        <v>477</v>
      </c>
    </row>
    <row r="20624">
      <c r="B20624" s="17" t="s">
        <v>477</v>
      </c>
      <c r="K20624" s="18" t="s">
        <v>477</v>
      </c>
    </row>
    <row r="20625">
      <c r="B20625" s="17" t="s">
        <v>477</v>
      </c>
      <c r="K20625" s="18" t="s">
        <v>477</v>
      </c>
    </row>
    <row r="20626">
      <c r="B20626" s="17" t="s">
        <v>477</v>
      </c>
      <c r="K20626" s="18" t="s">
        <v>477</v>
      </c>
    </row>
    <row r="20627">
      <c r="B20627" s="17" t="s">
        <v>477</v>
      </c>
      <c r="K20627" s="18" t="s">
        <v>477</v>
      </c>
    </row>
    <row r="20628">
      <c r="B20628" s="17" t="s">
        <v>477</v>
      </c>
      <c r="K20628" s="18" t="s">
        <v>477</v>
      </c>
    </row>
    <row r="20629">
      <c r="B20629" s="17" t="s">
        <v>477</v>
      </c>
      <c r="K20629" s="18" t="s">
        <v>477</v>
      </c>
    </row>
    <row r="20630">
      <c r="B20630" s="17" t="s">
        <v>477</v>
      </c>
      <c r="K20630" s="18" t="s">
        <v>477</v>
      </c>
    </row>
    <row r="20631">
      <c r="B20631" s="17" t="s">
        <v>477</v>
      </c>
      <c r="K20631" s="18" t="s">
        <v>477</v>
      </c>
    </row>
    <row r="20632">
      <c r="B20632" s="17" t="s">
        <v>477</v>
      </c>
      <c r="K20632" s="18" t="s">
        <v>477</v>
      </c>
    </row>
    <row r="20633">
      <c r="B20633" s="17" t="s">
        <v>477</v>
      </c>
      <c r="K20633" s="18" t="s">
        <v>477</v>
      </c>
    </row>
    <row r="20634">
      <c r="B20634" s="17" t="s">
        <v>477</v>
      </c>
      <c r="K20634" s="18" t="s">
        <v>477</v>
      </c>
    </row>
    <row r="20635">
      <c r="B20635" s="17" t="s">
        <v>477</v>
      </c>
      <c r="K20635" s="18" t="s">
        <v>477</v>
      </c>
    </row>
    <row r="20636">
      <c r="B20636" s="17" t="s">
        <v>477</v>
      </c>
      <c r="K20636" s="18" t="s">
        <v>477</v>
      </c>
    </row>
    <row r="20637">
      <c r="B20637" s="17" t="s">
        <v>477</v>
      </c>
      <c r="K20637" s="18" t="s">
        <v>477</v>
      </c>
    </row>
    <row r="20638">
      <c r="B20638" s="17" t="s">
        <v>477</v>
      </c>
      <c r="K20638" s="18" t="s">
        <v>477</v>
      </c>
    </row>
    <row r="20639">
      <c r="B20639" s="17" t="s">
        <v>477</v>
      </c>
      <c r="K20639" s="18" t="s">
        <v>477</v>
      </c>
    </row>
    <row r="20640">
      <c r="B20640" s="17" t="s">
        <v>477</v>
      </c>
      <c r="K20640" s="18" t="s">
        <v>477</v>
      </c>
    </row>
    <row r="20641">
      <c r="B20641" s="17" t="s">
        <v>477</v>
      </c>
      <c r="K20641" s="18" t="s">
        <v>477</v>
      </c>
    </row>
    <row r="20642">
      <c r="B20642" s="17" t="s">
        <v>477</v>
      </c>
      <c r="K20642" s="18" t="s">
        <v>477</v>
      </c>
    </row>
    <row r="20643">
      <c r="B20643" s="17" t="s">
        <v>477</v>
      </c>
      <c r="K20643" s="18" t="s">
        <v>477</v>
      </c>
    </row>
    <row r="20644">
      <c r="B20644" s="17" t="s">
        <v>477</v>
      </c>
      <c r="K20644" s="18" t="s">
        <v>477</v>
      </c>
    </row>
    <row r="20645">
      <c r="B20645" s="17" t="s">
        <v>477</v>
      </c>
      <c r="K20645" s="18" t="s">
        <v>477</v>
      </c>
    </row>
    <row r="20646">
      <c r="B20646" s="17" t="s">
        <v>477</v>
      </c>
      <c r="K20646" s="18" t="s">
        <v>477</v>
      </c>
    </row>
    <row r="20647">
      <c r="B20647" s="17" t="s">
        <v>477</v>
      </c>
      <c r="K20647" s="18" t="s">
        <v>477</v>
      </c>
    </row>
    <row r="20648">
      <c r="B20648" s="17" t="s">
        <v>477</v>
      </c>
      <c r="K20648" s="18" t="s">
        <v>477</v>
      </c>
    </row>
    <row r="20649">
      <c r="B20649" s="17" t="s">
        <v>477</v>
      </c>
      <c r="K20649" s="18" t="s">
        <v>477</v>
      </c>
    </row>
    <row r="20650">
      <c r="B20650" s="17" t="s">
        <v>477</v>
      </c>
      <c r="K20650" s="18" t="s">
        <v>477</v>
      </c>
    </row>
    <row r="20651">
      <c r="B20651" s="17" t="s">
        <v>477</v>
      </c>
      <c r="K20651" s="18" t="s">
        <v>477</v>
      </c>
    </row>
    <row r="20652">
      <c r="B20652" s="17" t="s">
        <v>477</v>
      </c>
      <c r="K20652" s="18" t="s">
        <v>477</v>
      </c>
    </row>
    <row r="20653">
      <c r="B20653" s="17" t="s">
        <v>477</v>
      </c>
      <c r="K20653" s="18" t="s">
        <v>477</v>
      </c>
    </row>
    <row r="20654">
      <c r="B20654" s="17" t="s">
        <v>477</v>
      </c>
      <c r="K20654" s="18" t="s">
        <v>477</v>
      </c>
    </row>
    <row r="20655">
      <c r="B20655" s="17" t="s">
        <v>477</v>
      </c>
      <c r="K20655" s="18" t="s">
        <v>477</v>
      </c>
    </row>
    <row r="20656">
      <c r="B20656" s="17" t="s">
        <v>477</v>
      </c>
      <c r="K20656" s="18" t="s">
        <v>477</v>
      </c>
    </row>
    <row r="20657">
      <c r="B20657" s="17" t="s">
        <v>477</v>
      </c>
      <c r="K20657" s="18" t="s">
        <v>477</v>
      </c>
    </row>
    <row r="20658">
      <c r="B20658" s="17" t="s">
        <v>477</v>
      </c>
      <c r="K20658" s="18" t="s">
        <v>477</v>
      </c>
    </row>
    <row r="20659">
      <c r="B20659" s="17" t="s">
        <v>477</v>
      </c>
      <c r="K20659" s="18" t="s">
        <v>477</v>
      </c>
    </row>
    <row r="20660">
      <c r="B20660" s="17" t="s">
        <v>477</v>
      </c>
      <c r="K20660" s="18" t="s">
        <v>477</v>
      </c>
    </row>
    <row r="20661">
      <c r="B20661" s="17" t="s">
        <v>477</v>
      </c>
      <c r="K20661" s="18" t="s">
        <v>477</v>
      </c>
    </row>
    <row r="20662">
      <c r="B20662" s="17" t="s">
        <v>477</v>
      </c>
      <c r="K20662" s="18" t="s">
        <v>477</v>
      </c>
    </row>
    <row r="20663">
      <c r="B20663" s="17" t="s">
        <v>477</v>
      </c>
      <c r="K20663" s="18" t="s">
        <v>477</v>
      </c>
    </row>
    <row r="20664">
      <c r="B20664" s="17" t="s">
        <v>477</v>
      </c>
      <c r="K20664" s="18" t="s">
        <v>477</v>
      </c>
    </row>
    <row r="20665">
      <c r="B20665" s="17" t="s">
        <v>477</v>
      </c>
      <c r="K20665" s="18" t="s">
        <v>477</v>
      </c>
    </row>
    <row r="20666">
      <c r="B20666" s="17" t="s">
        <v>477</v>
      </c>
      <c r="K20666" s="18" t="s">
        <v>477</v>
      </c>
    </row>
    <row r="20667">
      <c r="B20667" s="17" t="s">
        <v>477</v>
      </c>
      <c r="K20667" s="18" t="s">
        <v>477</v>
      </c>
    </row>
    <row r="20668">
      <c r="B20668" s="17" t="s">
        <v>477</v>
      </c>
      <c r="K20668" s="18" t="s">
        <v>477</v>
      </c>
    </row>
    <row r="20669">
      <c r="B20669" s="17" t="s">
        <v>477</v>
      </c>
      <c r="K20669" s="18" t="s">
        <v>477</v>
      </c>
    </row>
    <row r="20670">
      <c r="B20670" s="17" t="s">
        <v>477</v>
      </c>
      <c r="K20670" s="18" t="s">
        <v>477</v>
      </c>
    </row>
    <row r="20671">
      <c r="B20671" s="17" t="s">
        <v>477</v>
      </c>
      <c r="K20671" s="18" t="s">
        <v>477</v>
      </c>
    </row>
    <row r="20672">
      <c r="B20672" s="17" t="s">
        <v>477</v>
      </c>
      <c r="K20672" s="18" t="s">
        <v>477</v>
      </c>
    </row>
    <row r="20673">
      <c r="B20673" s="17" t="s">
        <v>477</v>
      </c>
      <c r="K20673" s="18" t="s">
        <v>477</v>
      </c>
    </row>
    <row r="20674">
      <c r="B20674" s="17" t="s">
        <v>477</v>
      </c>
      <c r="K20674" s="18" t="s">
        <v>477</v>
      </c>
    </row>
    <row r="20675">
      <c r="B20675" s="17" t="s">
        <v>477</v>
      </c>
      <c r="K20675" s="18" t="s">
        <v>477</v>
      </c>
    </row>
    <row r="20676">
      <c r="B20676" s="17" t="s">
        <v>477</v>
      </c>
      <c r="K20676" s="18" t="s">
        <v>477</v>
      </c>
    </row>
    <row r="20677">
      <c r="B20677" s="17" t="s">
        <v>477</v>
      </c>
      <c r="K20677" s="18" t="s">
        <v>477</v>
      </c>
    </row>
    <row r="20678">
      <c r="B20678" s="17" t="s">
        <v>477</v>
      </c>
      <c r="K20678" s="18" t="s">
        <v>477</v>
      </c>
    </row>
    <row r="20679">
      <c r="B20679" s="17" t="s">
        <v>477</v>
      </c>
      <c r="K20679" s="18" t="s">
        <v>477</v>
      </c>
    </row>
    <row r="20680">
      <c r="B20680" s="17" t="s">
        <v>477</v>
      </c>
      <c r="K20680" s="18" t="s">
        <v>477</v>
      </c>
    </row>
    <row r="20681">
      <c r="B20681" s="17" t="s">
        <v>477</v>
      </c>
      <c r="K20681" s="18" t="s">
        <v>477</v>
      </c>
    </row>
    <row r="20682">
      <c r="B20682" s="17" t="s">
        <v>477</v>
      </c>
      <c r="K20682" s="18" t="s">
        <v>477</v>
      </c>
    </row>
    <row r="20683">
      <c r="B20683" s="17" t="s">
        <v>477</v>
      </c>
      <c r="K20683" s="18" t="s">
        <v>477</v>
      </c>
    </row>
    <row r="20684">
      <c r="B20684" s="17" t="s">
        <v>477</v>
      </c>
      <c r="K20684" s="18" t="s">
        <v>477</v>
      </c>
    </row>
    <row r="20685">
      <c r="B20685" s="17" t="s">
        <v>477</v>
      </c>
      <c r="K20685" s="18" t="s">
        <v>477</v>
      </c>
    </row>
    <row r="20686">
      <c r="B20686" s="17" t="s">
        <v>477</v>
      </c>
      <c r="K20686" s="18" t="s">
        <v>477</v>
      </c>
    </row>
    <row r="20687">
      <c r="B20687" s="17" t="s">
        <v>477</v>
      </c>
      <c r="K20687" s="18" t="s">
        <v>477</v>
      </c>
    </row>
    <row r="20688">
      <c r="B20688" s="17" t="s">
        <v>477</v>
      </c>
      <c r="K20688" s="18" t="s">
        <v>477</v>
      </c>
    </row>
    <row r="20689">
      <c r="B20689" s="17" t="s">
        <v>477</v>
      </c>
      <c r="K20689" s="18" t="s">
        <v>477</v>
      </c>
    </row>
    <row r="20690">
      <c r="B20690" s="17" t="s">
        <v>477</v>
      </c>
      <c r="K20690" s="18" t="s">
        <v>477</v>
      </c>
    </row>
    <row r="20691">
      <c r="B20691" s="17" t="s">
        <v>477</v>
      </c>
      <c r="K20691" s="18" t="s">
        <v>477</v>
      </c>
    </row>
    <row r="20692">
      <c r="B20692" s="17" t="s">
        <v>477</v>
      </c>
      <c r="K20692" s="18" t="s">
        <v>477</v>
      </c>
    </row>
    <row r="20693">
      <c r="B20693" s="17" t="s">
        <v>477</v>
      </c>
      <c r="K20693" s="18" t="s">
        <v>477</v>
      </c>
    </row>
    <row r="20694">
      <c r="B20694" s="17" t="s">
        <v>477</v>
      </c>
      <c r="K20694" s="18" t="s">
        <v>477</v>
      </c>
    </row>
    <row r="20695">
      <c r="B20695" s="17" t="s">
        <v>477</v>
      </c>
      <c r="K20695" s="18" t="s">
        <v>477</v>
      </c>
    </row>
    <row r="20696">
      <c r="B20696" s="17" t="s">
        <v>477</v>
      </c>
      <c r="K20696" s="18" t="s">
        <v>477</v>
      </c>
    </row>
    <row r="20697">
      <c r="B20697" s="17" t="s">
        <v>477</v>
      </c>
      <c r="K20697" s="18" t="s">
        <v>477</v>
      </c>
    </row>
    <row r="20698">
      <c r="B20698" s="17" t="s">
        <v>477</v>
      </c>
      <c r="K20698" s="18" t="s">
        <v>477</v>
      </c>
    </row>
    <row r="20699">
      <c r="B20699" s="17" t="s">
        <v>477</v>
      </c>
      <c r="K20699" s="18" t="s">
        <v>477</v>
      </c>
    </row>
    <row r="20700">
      <c r="B20700" s="17" t="s">
        <v>477</v>
      </c>
      <c r="K20700" s="18" t="s">
        <v>477</v>
      </c>
    </row>
    <row r="20701">
      <c r="B20701" s="17" t="s">
        <v>477</v>
      </c>
      <c r="K20701" s="18" t="s">
        <v>477</v>
      </c>
    </row>
    <row r="20702">
      <c r="B20702" s="17" t="s">
        <v>477</v>
      </c>
      <c r="K20702" s="18" t="s">
        <v>477</v>
      </c>
    </row>
    <row r="20703">
      <c r="B20703" s="17" t="s">
        <v>477</v>
      </c>
      <c r="K20703" s="18" t="s">
        <v>477</v>
      </c>
    </row>
    <row r="20704">
      <c r="B20704" s="17" t="s">
        <v>477</v>
      </c>
      <c r="K20704" s="18" t="s">
        <v>477</v>
      </c>
    </row>
    <row r="20705">
      <c r="B20705" s="17" t="s">
        <v>477</v>
      </c>
      <c r="K20705" s="18" t="s">
        <v>477</v>
      </c>
    </row>
    <row r="20706">
      <c r="B20706" s="17" t="s">
        <v>477</v>
      </c>
      <c r="K20706" s="18" t="s">
        <v>477</v>
      </c>
    </row>
    <row r="20707">
      <c r="B20707" s="17" t="s">
        <v>477</v>
      </c>
      <c r="K20707" s="18" t="s">
        <v>477</v>
      </c>
    </row>
    <row r="20708">
      <c r="B20708" s="17" t="s">
        <v>477</v>
      </c>
      <c r="K20708" s="18" t="s">
        <v>477</v>
      </c>
    </row>
    <row r="20709">
      <c r="B20709" s="17" t="s">
        <v>477</v>
      </c>
      <c r="K20709" s="18" t="s">
        <v>477</v>
      </c>
    </row>
    <row r="20710">
      <c r="B20710" s="17" t="s">
        <v>477</v>
      </c>
      <c r="K20710" s="18" t="s">
        <v>477</v>
      </c>
    </row>
    <row r="20711">
      <c r="B20711" s="17" t="s">
        <v>477</v>
      </c>
      <c r="K20711" s="18" t="s">
        <v>477</v>
      </c>
    </row>
    <row r="20712">
      <c r="B20712" s="17" t="s">
        <v>477</v>
      </c>
      <c r="K20712" s="18" t="s">
        <v>477</v>
      </c>
    </row>
    <row r="20713">
      <c r="B20713" s="17" t="s">
        <v>477</v>
      </c>
      <c r="K20713" s="18" t="s">
        <v>477</v>
      </c>
    </row>
    <row r="20714">
      <c r="B20714" s="17" t="s">
        <v>477</v>
      </c>
      <c r="K20714" s="18" t="s">
        <v>477</v>
      </c>
    </row>
    <row r="20715">
      <c r="B20715" s="17" t="s">
        <v>477</v>
      </c>
      <c r="K20715" s="18" t="s">
        <v>477</v>
      </c>
    </row>
    <row r="20716">
      <c r="B20716" s="17" t="s">
        <v>477</v>
      </c>
      <c r="K20716" s="18" t="s">
        <v>477</v>
      </c>
    </row>
    <row r="20717">
      <c r="B20717" s="17" t="s">
        <v>477</v>
      </c>
      <c r="K20717" s="18" t="s">
        <v>477</v>
      </c>
    </row>
    <row r="20718">
      <c r="B20718" s="17" t="s">
        <v>477</v>
      </c>
      <c r="K20718" s="18" t="s">
        <v>477</v>
      </c>
    </row>
    <row r="20719">
      <c r="B20719" s="17" t="s">
        <v>477</v>
      </c>
      <c r="K20719" s="18" t="s">
        <v>477</v>
      </c>
    </row>
    <row r="20720">
      <c r="B20720" s="17" t="s">
        <v>477</v>
      </c>
      <c r="K20720" s="18" t="s">
        <v>477</v>
      </c>
    </row>
    <row r="20721">
      <c r="B20721" s="17" t="s">
        <v>477</v>
      </c>
      <c r="K20721" s="18" t="s">
        <v>477</v>
      </c>
    </row>
    <row r="20722">
      <c r="B20722" s="17" t="s">
        <v>477</v>
      </c>
      <c r="K20722" s="18" t="s">
        <v>477</v>
      </c>
    </row>
    <row r="20723">
      <c r="B20723" s="17" t="s">
        <v>477</v>
      </c>
      <c r="K20723" s="18" t="s">
        <v>477</v>
      </c>
    </row>
    <row r="20724">
      <c r="B20724" s="17" t="s">
        <v>477</v>
      </c>
      <c r="K20724" s="18" t="s">
        <v>477</v>
      </c>
    </row>
    <row r="20725">
      <c r="B20725" s="17" t="s">
        <v>477</v>
      </c>
      <c r="K20725" s="18" t="s">
        <v>477</v>
      </c>
    </row>
    <row r="20726">
      <c r="B20726" s="17" t="s">
        <v>477</v>
      </c>
      <c r="K20726" s="18" t="s">
        <v>477</v>
      </c>
    </row>
    <row r="20727">
      <c r="B20727" s="17" t="s">
        <v>477</v>
      </c>
      <c r="K20727" s="18" t="s">
        <v>477</v>
      </c>
    </row>
    <row r="20728">
      <c r="B20728" s="17" t="s">
        <v>477</v>
      </c>
      <c r="K20728" s="18" t="s">
        <v>477</v>
      </c>
    </row>
    <row r="20729">
      <c r="B20729" s="17" t="s">
        <v>477</v>
      </c>
      <c r="K20729" s="18" t="s">
        <v>477</v>
      </c>
    </row>
    <row r="20730">
      <c r="B20730" s="17" t="s">
        <v>477</v>
      </c>
      <c r="K20730" s="18" t="s">
        <v>477</v>
      </c>
    </row>
    <row r="20731">
      <c r="B20731" s="17" t="s">
        <v>477</v>
      </c>
      <c r="K20731" s="18" t="s">
        <v>477</v>
      </c>
    </row>
    <row r="20732">
      <c r="B20732" s="17" t="s">
        <v>477</v>
      </c>
      <c r="K20732" s="18" t="s">
        <v>477</v>
      </c>
    </row>
    <row r="20733">
      <c r="B20733" s="17" t="s">
        <v>477</v>
      </c>
      <c r="K20733" s="18" t="s">
        <v>477</v>
      </c>
    </row>
    <row r="20734">
      <c r="B20734" s="17" t="s">
        <v>477</v>
      </c>
      <c r="K20734" s="18" t="s">
        <v>477</v>
      </c>
    </row>
    <row r="20735">
      <c r="B20735" s="17" t="s">
        <v>477</v>
      </c>
      <c r="K20735" s="18" t="s">
        <v>477</v>
      </c>
    </row>
    <row r="20736">
      <c r="B20736" s="17" t="s">
        <v>477</v>
      </c>
      <c r="K20736" s="18" t="s">
        <v>477</v>
      </c>
    </row>
    <row r="20737">
      <c r="B20737" s="17" t="s">
        <v>477</v>
      </c>
      <c r="K20737" s="18" t="s">
        <v>477</v>
      </c>
    </row>
    <row r="20738">
      <c r="B20738" s="17" t="s">
        <v>477</v>
      </c>
      <c r="K20738" s="18" t="s">
        <v>477</v>
      </c>
    </row>
    <row r="20739">
      <c r="B20739" s="17" t="s">
        <v>477</v>
      </c>
      <c r="K20739" s="18" t="s">
        <v>477</v>
      </c>
    </row>
    <row r="20740">
      <c r="B20740" s="17" t="s">
        <v>477</v>
      </c>
      <c r="K20740" s="18" t="s">
        <v>477</v>
      </c>
    </row>
    <row r="20741">
      <c r="B20741" s="17" t="s">
        <v>477</v>
      </c>
      <c r="K20741" s="18" t="s">
        <v>477</v>
      </c>
    </row>
    <row r="20742">
      <c r="B20742" s="17" t="s">
        <v>477</v>
      </c>
      <c r="K20742" s="18" t="s">
        <v>477</v>
      </c>
    </row>
    <row r="20743">
      <c r="B20743" s="17" t="s">
        <v>477</v>
      </c>
      <c r="K20743" s="18" t="s">
        <v>477</v>
      </c>
    </row>
    <row r="20744">
      <c r="B20744" s="17" t="s">
        <v>477</v>
      </c>
      <c r="K20744" s="18" t="s">
        <v>477</v>
      </c>
    </row>
    <row r="20745">
      <c r="B20745" s="17" t="s">
        <v>477</v>
      </c>
      <c r="K20745" s="18" t="s">
        <v>477</v>
      </c>
    </row>
    <row r="20746">
      <c r="B20746" s="17" t="s">
        <v>477</v>
      </c>
      <c r="K20746" s="18" t="s">
        <v>477</v>
      </c>
    </row>
    <row r="20747">
      <c r="B20747" s="17" t="s">
        <v>477</v>
      </c>
      <c r="K20747" s="18" t="s">
        <v>477</v>
      </c>
    </row>
    <row r="20748">
      <c r="B20748" s="17" t="s">
        <v>477</v>
      </c>
      <c r="K20748" s="18" t="s">
        <v>477</v>
      </c>
    </row>
    <row r="20749">
      <c r="B20749" s="17" t="s">
        <v>477</v>
      </c>
      <c r="K20749" s="18" t="s">
        <v>477</v>
      </c>
    </row>
    <row r="20750">
      <c r="B20750" s="17" t="s">
        <v>477</v>
      </c>
      <c r="K20750" s="18" t="s">
        <v>477</v>
      </c>
    </row>
    <row r="20751">
      <c r="B20751" s="17" t="s">
        <v>477</v>
      </c>
      <c r="K20751" s="18" t="s">
        <v>477</v>
      </c>
    </row>
    <row r="20752">
      <c r="B20752" s="17" t="s">
        <v>477</v>
      </c>
      <c r="K20752" s="18" t="s">
        <v>477</v>
      </c>
    </row>
    <row r="20753">
      <c r="B20753" s="17" t="s">
        <v>477</v>
      </c>
      <c r="K20753" s="18" t="s">
        <v>477</v>
      </c>
    </row>
    <row r="20754">
      <c r="B20754" s="17" t="s">
        <v>477</v>
      </c>
      <c r="K20754" s="18" t="s">
        <v>477</v>
      </c>
    </row>
    <row r="20755">
      <c r="B20755" s="17" t="s">
        <v>477</v>
      </c>
      <c r="K20755" s="18" t="s">
        <v>477</v>
      </c>
    </row>
    <row r="20756">
      <c r="B20756" s="17" t="s">
        <v>477</v>
      </c>
      <c r="K20756" s="18" t="s">
        <v>477</v>
      </c>
    </row>
    <row r="20757">
      <c r="B20757" s="17" t="s">
        <v>477</v>
      </c>
      <c r="K20757" s="18" t="s">
        <v>477</v>
      </c>
    </row>
    <row r="20758">
      <c r="B20758" s="17" t="s">
        <v>477</v>
      </c>
      <c r="K20758" s="18" t="s">
        <v>477</v>
      </c>
    </row>
    <row r="20759">
      <c r="B20759" s="17" t="s">
        <v>477</v>
      </c>
      <c r="K20759" s="18" t="s">
        <v>477</v>
      </c>
    </row>
    <row r="20760">
      <c r="B20760" s="17" t="s">
        <v>477</v>
      </c>
      <c r="K20760" s="18" t="s">
        <v>477</v>
      </c>
    </row>
    <row r="20761">
      <c r="B20761" s="17" t="s">
        <v>477</v>
      </c>
      <c r="K20761" s="18" t="s">
        <v>477</v>
      </c>
    </row>
    <row r="20762">
      <c r="B20762" s="17" t="s">
        <v>477</v>
      </c>
      <c r="K20762" s="18" t="s">
        <v>477</v>
      </c>
    </row>
    <row r="20763">
      <c r="B20763" s="17" t="s">
        <v>477</v>
      </c>
      <c r="K20763" s="18" t="s">
        <v>477</v>
      </c>
    </row>
    <row r="20764">
      <c r="B20764" s="17" t="s">
        <v>477</v>
      </c>
      <c r="K20764" s="18" t="s">
        <v>477</v>
      </c>
    </row>
    <row r="20765">
      <c r="B20765" s="17" t="s">
        <v>477</v>
      </c>
      <c r="K20765" s="18" t="s">
        <v>477</v>
      </c>
    </row>
    <row r="20766">
      <c r="B20766" s="17" t="s">
        <v>477</v>
      </c>
      <c r="K20766" s="18" t="s">
        <v>477</v>
      </c>
    </row>
    <row r="20767">
      <c r="B20767" s="17" t="s">
        <v>477</v>
      </c>
      <c r="K20767" s="18" t="s">
        <v>477</v>
      </c>
    </row>
    <row r="20768">
      <c r="B20768" s="17" t="s">
        <v>477</v>
      </c>
      <c r="K20768" s="18" t="s">
        <v>477</v>
      </c>
    </row>
    <row r="20769">
      <c r="B20769" s="17" t="s">
        <v>477</v>
      </c>
      <c r="K20769" s="18" t="s">
        <v>477</v>
      </c>
    </row>
    <row r="20770">
      <c r="B20770" s="17" t="s">
        <v>477</v>
      </c>
      <c r="K20770" s="18" t="s">
        <v>477</v>
      </c>
    </row>
    <row r="20771">
      <c r="B20771" s="17" t="s">
        <v>477</v>
      </c>
      <c r="K20771" s="18" t="s">
        <v>477</v>
      </c>
    </row>
    <row r="20772">
      <c r="B20772" s="17" t="s">
        <v>477</v>
      </c>
      <c r="K20772" s="18" t="s">
        <v>477</v>
      </c>
    </row>
    <row r="20773">
      <c r="B20773" s="17" t="s">
        <v>477</v>
      </c>
      <c r="K20773" s="18" t="s">
        <v>477</v>
      </c>
    </row>
    <row r="20774">
      <c r="B20774" s="17" t="s">
        <v>477</v>
      </c>
      <c r="K20774" s="18" t="s">
        <v>477</v>
      </c>
    </row>
    <row r="20775">
      <c r="B20775" s="17" t="s">
        <v>477</v>
      </c>
      <c r="K20775" s="18" t="s">
        <v>477</v>
      </c>
    </row>
    <row r="20776">
      <c r="B20776" s="17" t="s">
        <v>477</v>
      </c>
      <c r="K20776" s="18" t="s">
        <v>477</v>
      </c>
    </row>
    <row r="20777">
      <c r="B20777" s="17" t="s">
        <v>477</v>
      </c>
      <c r="K20777" s="18" t="s">
        <v>477</v>
      </c>
    </row>
    <row r="20778">
      <c r="B20778" s="17" t="s">
        <v>477</v>
      </c>
      <c r="K20778" s="18" t="s">
        <v>477</v>
      </c>
    </row>
    <row r="20779">
      <c r="B20779" s="17" t="s">
        <v>477</v>
      </c>
      <c r="K20779" s="18" t="s">
        <v>477</v>
      </c>
    </row>
    <row r="20780">
      <c r="B20780" s="17" t="s">
        <v>477</v>
      </c>
      <c r="K20780" s="18" t="s">
        <v>477</v>
      </c>
    </row>
    <row r="20781">
      <c r="B20781" s="17" t="s">
        <v>477</v>
      </c>
      <c r="K20781" s="18" t="s">
        <v>477</v>
      </c>
    </row>
    <row r="20782">
      <c r="B20782" s="17" t="s">
        <v>477</v>
      </c>
      <c r="K20782" s="18" t="s">
        <v>477</v>
      </c>
    </row>
    <row r="20783">
      <c r="B20783" s="17" t="s">
        <v>477</v>
      </c>
      <c r="K20783" s="18" t="s">
        <v>477</v>
      </c>
    </row>
    <row r="20784">
      <c r="B20784" s="17" t="s">
        <v>477</v>
      </c>
      <c r="K20784" s="18" t="s">
        <v>477</v>
      </c>
    </row>
    <row r="20785">
      <c r="B20785" s="17" t="s">
        <v>477</v>
      </c>
      <c r="K20785" s="18" t="s">
        <v>477</v>
      </c>
    </row>
    <row r="20786">
      <c r="B20786" s="17" t="s">
        <v>477</v>
      </c>
      <c r="K20786" s="18" t="s">
        <v>477</v>
      </c>
    </row>
    <row r="20787">
      <c r="B20787" s="17" t="s">
        <v>477</v>
      </c>
      <c r="K20787" s="18" t="s">
        <v>477</v>
      </c>
    </row>
    <row r="20788">
      <c r="B20788" s="17" t="s">
        <v>477</v>
      </c>
      <c r="K20788" s="18" t="s">
        <v>477</v>
      </c>
    </row>
    <row r="20789">
      <c r="B20789" s="17" t="s">
        <v>477</v>
      </c>
      <c r="K20789" s="18" t="s">
        <v>477</v>
      </c>
    </row>
    <row r="20790">
      <c r="B20790" s="17" t="s">
        <v>477</v>
      </c>
      <c r="K20790" s="18" t="s">
        <v>477</v>
      </c>
    </row>
    <row r="20791">
      <c r="B20791" s="17" t="s">
        <v>477</v>
      </c>
      <c r="K20791" s="18" t="s">
        <v>477</v>
      </c>
    </row>
    <row r="20792">
      <c r="B20792" s="17" t="s">
        <v>477</v>
      </c>
      <c r="K20792" s="18" t="s">
        <v>477</v>
      </c>
    </row>
    <row r="20793">
      <c r="B20793" s="17" t="s">
        <v>477</v>
      </c>
      <c r="K20793" s="18" t="s">
        <v>477</v>
      </c>
    </row>
    <row r="20794">
      <c r="B20794" s="17" t="s">
        <v>477</v>
      </c>
      <c r="K20794" s="18" t="s">
        <v>477</v>
      </c>
    </row>
    <row r="20795">
      <c r="B20795" s="17" t="s">
        <v>477</v>
      </c>
      <c r="K20795" s="18" t="s">
        <v>477</v>
      </c>
    </row>
    <row r="20796">
      <c r="B20796" s="17" t="s">
        <v>477</v>
      </c>
      <c r="K20796" s="18" t="s">
        <v>477</v>
      </c>
    </row>
    <row r="20797">
      <c r="B20797" s="17" t="s">
        <v>477</v>
      </c>
      <c r="K20797" s="18" t="s">
        <v>477</v>
      </c>
    </row>
    <row r="20798">
      <c r="B20798" s="17" t="s">
        <v>477</v>
      </c>
      <c r="K20798" s="18" t="s">
        <v>477</v>
      </c>
    </row>
    <row r="20799">
      <c r="B20799" s="17" t="s">
        <v>477</v>
      </c>
      <c r="K20799" s="18" t="s">
        <v>477</v>
      </c>
    </row>
    <row r="20800">
      <c r="B20800" s="17" t="s">
        <v>477</v>
      </c>
      <c r="K20800" s="18" t="s">
        <v>477</v>
      </c>
    </row>
    <row r="20801">
      <c r="B20801" s="17" t="s">
        <v>477</v>
      </c>
      <c r="K20801" s="18" t="s">
        <v>477</v>
      </c>
    </row>
    <row r="20802">
      <c r="B20802" s="17" t="s">
        <v>477</v>
      </c>
      <c r="K20802" s="18" t="s">
        <v>477</v>
      </c>
    </row>
    <row r="20803">
      <c r="B20803" s="17" t="s">
        <v>477</v>
      </c>
      <c r="K20803" s="18" t="s">
        <v>477</v>
      </c>
    </row>
    <row r="20804">
      <c r="B20804" s="17" t="s">
        <v>477</v>
      </c>
      <c r="K20804" s="18" t="s">
        <v>477</v>
      </c>
    </row>
    <row r="20805">
      <c r="B20805" s="17" t="s">
        <v>477</v>
      </c>
      <c r="K20805" s="18" t="s">
        <v>477</v>
      </c>
    </row>
    <row r="20806">
      <c r="B20806" s="17" t="s">
        <v>477</v>
      </c>
      <c r="K20806" s="18" t="s">
        <v>477</v>
      </c>
    </row>
    <row r="20807">
      <c r="B20807" s="17" t="s">
        <v>477</v>
      </c>
      <c r="K20807" s="18" t="s">
        <v>477</v>
      </c>
    </row>
    <row r="20808">
      <c r="B20808" s="17" t="s">
        <v>477</v>
      </c>
      <c r="K20808" s="18" t="s">
        <v>477</v>
      </c>
    </row>
    <row r="20809">
      <c r="B20809" s="17" t="s">
        <v>477</v>
      </c>
      <c r="K20809" s="18" t="s">
        <v>477</v>
      </c>
    </row>
    <row r="20810">
      <c r="B20810" s="17" t="s">
        <v>477</v>
      </c>
      <c r="K20810" s="18" t="s">
        <v>477</v>
      </c>
    </row>
    <row r="20811">
      <c r="B20811" s="17" t="s">
        <v>477</v>
      </c>
      <c r="K20811" s="18" t="s">
        <v>477</v>
      </c>
    </row>
    <row r="20812">
      <c r="B20812" s="17" t="s">
        <v>477</v>
      </c>
      <c r="K20812" s="18" t="s">
        <v>477</v>
      </c>
    </row>
    <row r="20813">
      <c r="B20813" s="17" t="s">
        <v>477</v>
      </c>
      <c r="K20813" s="18" t="s">
        <v>477</v>
      </c>
    </row>
    <row r="20814">
      <c r="B20814" s="17" t="s">
        <v>477</v>
      </c>
      <c r="K20814" s="18" t="s">
        <v>477</v>
      </c>
    </row>
    <row r="20815">
      <c r="B20815" s="17" t="s">
        <v>477</v>
      </c>
      <c r="K20815" s="18" t="s">
        <v>477</v>
      </c>
    </row>
    <row r="20816">
      <c r="B20816" s="17" t="s">
        <v>477</v>
      </c>
      <c r="K20816" s="18" t="s">
        <v>477</v>
      </c>
    </row>
    <row r="20817">
      <c r="B20817" s="17" t="s">
        <v>477</v>
      </c>
      <c r="K20817" s="18" t="s">
        <v>477</v>
      </c>
    </row>
    <row r="20818">
      <c r="B20818" s="17" t="s">
        <v>477</v>
      </c>
      <c r="K20818" s="18" t="s">
        <v>477</v>
      </c>
    </row>
    <row r="20819">
      <c r="B20819" s="17" t="s">
        <v>477</v>
      </c>
      <c r="K20819" s="18" t="s">
        <v>477</v>
      </c>
    </row>
    <row r="20820">
      <c r="B20820" s="17" t="s">
        <v>477</v>
      </c>
      <c r="K20820" s="18" t="s">
        <v>477</v>
      </c>
    </row>
    <row r="20821">
      <c r="B20821" s="17" t="s">
        <v>477</v>
      </c>
      <c r="K20821" s="18" t="s">
        <v>477</v>
      </c>
    </row>
    <row r="20822">
      <c r="B20822" s="17" t="s">
        <v>477</v>
      </c>
      <c r="K20822" s="18" t="s">
        <v>477</v>
      </c>
    </row>
    <row r="20823">
      <c r="B20823" s="17" t="s">
        <v>477</v>
      </c>
      <c r="K20823" s="18" t="s">
        <v>477</v>
      </c>
    </row>
    <row r="20824">
      <c r="B20824" s="17" t="s">
        <v>477</v>
      </c>
      <c r="K20824" s="18" t="s">
        <v>477</v>
      </c>
    </row>
    <row r="20825">
      <c r="B20825" s="17" t="s">
        <v>477</v>
      </c>
      <c r="K20825" s="18" t="s">
        <v>477</v>
      </c>
    </row>
    <row r="20826">
      <c r="B20826" s="17" t="s">
        <v>477</v>
      </c>
      <c r="K20826" s="18" t="s">
        <v>477</v>
      </c>
    </row>
    <row r="20827">
      <c r="B20827" s="17" t="s">
        <v>477</v>
      </c>
      <c r="K20827" s="18" t="s">
        <v>477</v>
      </c>
    </row>
    <row r="20828">
      <c r="B20828" s="17" t="s">
        <v>477</v>
      </c>
      <c r="K20828" s="18" t="s">
        <v>477</v>
      </c>
    </row>
    <row r="20829">
      <c r="B20829" s="17" t="s">
        <v>477</v>
      </c>
      <c r="K20829" s="18" t="s">
        <v>477</v>
      </c>
    </row>
    <row r="20830">
      <c r="B20830" s="17" t="s">
        <v>477</v>
      </c>
      <c r="K20830" s="18" t="s">
        <v>477</v>
      </c>
    </row>
    <row r="20831">
      <c r="B20831" s="17" t="s">
        <v>477</v>
      </c>
      <c r="K20831" s="18" t="s">
        <v>477</v>
      </c>
    </row>
    <row r="20832">
      <c r="B20832" s="17" t="s">
        <v>477</v>
      </c>
      <c r="K20832" s="18" t="s">
        <v>477</v>
      </c>
    </row>
    <row r="20833">
      <c r="B20833" s="17" t="s">
        <v>477</v>
      </c>
      <c r="K20833" s="18" t="s">
        <v>477</v>
      </c>
    </row>
    <row r="20834">
      <c r="B20834" s="17" t="s">
        <v>477</v>
      </c>
      <c r="K20834" s="18" t="s">
        <v>477</v>
      </c>
    </row>
    <row r="20835">
      <c r="B20835" s="17" t="s">
        <v>477</v>
      </c>
      <c r="K20835" s="18" t="s">
        <v>477</v>
      </c>
    </row>
    <row r="20836">
      <c r="B20836" s="17" t="s">
        <v>477</v>
      </c>
      <c r="K20836" s="18" t="s">
        <v>477</v>
      </c>
    </row>
    <row r="20837">
      <c r="B20837" s="17" t="s">
        <v>477</v>
      </c>
      <c r="K20837" s="18" t="s">
        <v>477</v>
      </c>
    </row>
    <row r="20838">
      <c r="B20838" s="17" t="s">
        <v>477</v>
      </c>
      <c r="K20838" s="18" t="s">
        <v>477</v>
      </c>
    </row>
    <row r="20839">
      <c r="B20839" s="17" t="s">
        <v>477</v>
      </c>
      <c r="K20839" s="18" t="s">
        <v>477</v>
      </c>
    </row>
    <row r="20840">
      <c r="B20840" s="17" t="s">
        <v>477</v>
      </c>
      <c r="K20840" s="18" t="s">
        <v>477</v>
      </c>
    </row>
    <row r="20841">
      <c r="B20841" s="17" t="s">
        <v>477</v>
      </c>
      <c r="K20841" s="18" t="s">
        <v>477</v>
      </c>
    </row>
    <row r="20842">
      <c r="B20842" s="17" t="s">
        <v>477</v>
      </c>
      <c r="K20842" s="18" t="s">
        <v>477</v>
      </c>
    </row>
    <row r="20843">
      <c r="B20843" s="17" t="s">
        <v>477</v>
      </c>
      <c r="K20843" s="18" t="s">
        <v>477</v>
      </c>
    </row>
    <row r="20844">
      <c r="B20844" s="17" t="s">
        <v>477</v>
      </c>
      <c r="K20844" s="18" t="s">
        <v>477</v>
      </c>
    </row>
    <row r="20845">
      <c r="B20845" s="17" t="s">
        <v>477</v>
      </c>
      <c r="K20845" s="18" t="s">
        <v>477</v>
      </c>
    </row>
    <row r="20846">
      <c r="B20846" s="17" t="s">
        <v>477</v>
      </c>
      <c r="K20846" s="18" t="s">
        <v>477</v>
      </c>
    </row>
    <row r="20847">
      <c r="B20847" s="17" t="s">
        <v>477</v>
      </c>
      <c r="K20847" s="18" t="s">
        <v>477</v>
      </c>
    </row>
    <row r="20848">
      <c r="B20848" s="17" t="s">
        <v>477</v>
      </c>
      <c r="K20848" s="18" t="s">
        <v>477</v>
      </c>
    </row>
    <row r="20849">
      <c r="B20849" s="17" t="s">
        <v>477</v>
      </c>
      <c r="K20849" s="18" t="s">
        <v>477</v>
      </c>
    </row>
    <row r="20850">
      <c r="B20850" s="17" t="s">
        <v>477</v>
      </c>
      <c r="K20850" s="18" t="s">
        <v>477</v>
      </c>
    </row>
    <row r="20851">
      <c r="B20851" s="17" t="s">
        <v>477</v>
      </c>
      <c r="K20851" s="18" t="s">
        <v>477</v>
      </c>
    </row>
    <row r="20852">
      <c r="B20852" s="17" t="s">
        <v>477</v>
      </c>
      <c r="K20852" s="18" t="s">
        <v>477</v>
      </c>
    </row>
    <row r="20853">
      <c r="B20853" s="17" t="s">
        <v>477</v>
      </c>
      <c r="K20853" s="18" t="s">
        <v>477</v>
      </c>
    </row>
    <row r="20854">
      <c r="B20854" s="17" t="s">
        <v>477</v>
      </c>
      <c r="K20854" s="18" t="s">
        <v>477</v>
      </c>
    </row>
    <row r="20855">
      <c r="B20855" s="17" t="s">
        <v>477</v>
      </c>
      <c r="K20855" s="18" t="s">
        <v>477</v>
      </c>
    </row>
    <row r="20856">
      <c r="B20856" s="17" t="s">
        <v>477</v>
      </c>
      <c r="K20856" s="18" t="s">
        <v>477</v>
      </c>
    </row>
    <row r="20857">
      <c r="B20857" s="17" t="s">
        <v>477</v>
      </c>
      <c r="K20857" s="18" t="s">
        <v>477</v>
      </c>
    </row>
    <row r="20858">
      <c r="B20858" s="17" t="s">
        <v>477</v>
      </c>
      <c r="K20858" s="18" t="s">
        <v>477</v>
      </c>
    </row>
    <row r="20859">
      <c r="B20859" s="17" t="s">
        <v>477</v>
      </c>
      <c r="K20859" s="18" t="s">
        <v>477</v>
      </c>
    </row>
    <row r="20860">
      <c r="B20860" s="17" t="s">
        <v>477</v>
      </c>
      <c r="K20860" s="18" t="s">
        <v>477</v>
      </c>
    </row>
    <row r="20861">
      <c r="B20861" s="17" t="s">
        <v>477</v>
      </c>
      <c r="K20861" s="18" t="s">
        <v>477</v>
      </c>
    </row>
    <row r="20862">
      <c r="B20862" s="17" t="s">
        <v>477</v>
      </c>
      <c r="K20862" s="18" t="s">
        <v>477</v>
      </c>
    </row>
    <row r="20863">
      <c r="B20863" s="17" t="s">
        <v>477</v>
      </c>
      <c r="K20863" s="18" t="s">
        <v>477</v>
      </c>
    </row>
    <row r="20864">
      <c r="B20864" s="17" t="s">
        <v>477</v>
      </c>
      <c r="K20864" s="18" t="s">
        <v>477</v>
      </c>
    </row>
    <row r="20865">
      <c r="B20865" s="17" t="s">
        <v>477</v>
      </c>
      <c r="K20865" s="18" t="s">
        <v>477</v>
      </c>
    </row>
    <row r="20866">
      <c r="B20866" s="17" t="s">
        <v>477</v>
      </c>
      <c r="K20866" s="18" t="s">
        <v>477</v>
      </c>
    </row>
    <row r="20867">
      <c r="B20867" s="17" t="s">
        <v>477</v>
      </c>
      <c r="K20867" s="18" t="s">
        <v>477</v>
      </c>
    </row>
    <row r="20868">
      <c r="B20868" s="17" t="s">
        <v>477</v>
      </c>
      <c r="K20868" s="18" t="s">
        <v>477</v>
      </c>
    </row>
    <row r="20869">
      <c r="B20869" s="17" t="s">
        <v>477</v>
      </c>
      <c r="K20869" s="18" t="s">
        <v>477</v>
      </c>
    </row>
    <row r="20870">
      <c r="B20870" s="17" t="s">
        <v>477</v>
      </c>
      <c r="K20870" s="18" t="s">
        <v>477</v>
      </c>
    </row>
    <row r="20871">
      <c r="B20871" s="17" t="s">
        <v>477</v>
      </c>
      <c r="K20871" s="18" t="s">
        <v>477</v>
      </c>
    </row>
    <row r="20872">
      <c r="B20872" s="17" t="s">
        <v>477</v>
      </c>
      <c r="K20872" s="18" t="s">
        <v>477</v>
      </c>
    </row>
    <row r="20873">
      <c r="B20873" s="17" t="s">
        <v>477</v>
      </c>
      <c r="K20873" s="18" t="s">
        <v>477</v>
      </c>
    </row>
    <row r="20874">
      <c r="B20874" s="17" t="s">
        <v>477</v>
      </c>
      <c r="K20874" s="18" t="s">
        <v>477</v>
      </c>
    </row>
    <row r="20875">
      <c r="B20875" s="17" t="s">
        <v>477</v>
      </c>
      <c r="K20875" s="18" t="s">
        <v>477</v>
      </c>
    </row>
    <row r="20876">
      <c r="B20876" s="17" t="s">
        <v>477</v>
      </c>
      <c r="K20876" s="18" t="s">
        <v>477</v>
      </c>
    </row>
    <row r="20877">
      <c r="B20877" s="17" t="s">
        <v>477</v>
      </c>
      <c r="K20877" s="18" t="s">
        <v>477</v>
      </c>
    </row>
    <row r="20878">
      <c r="B20878" s="17" t="s">
        <v>477</v>
      </c>
      <c r="K20878" s="18" t="s">
        <v>477</v>
      </c>
    </row>
    <row r="20879">
      <c r="B20879" s="17" t="s">
        <v>477</v>
      </c>
      <c r="K20879" s="18" t="s">
        <v>477</v>
      </c>
    </row>
    <row r="20880">
      <c r="B20880" s="17" t="s">
        <v>477</v>
      </c>
      <c r="K20880" s="18" t="s">
        <v>477</v>
      </c>
    </row>
    <row r="20881">
      <c r="B20881" s="17" t="s">
        <v>477</v>
      </c>
      <c r="K20881" s="18" t="s">
        <v>477</v>
      </c>
    </row>
    <row r="20882">
      <c r="B20882" s="17" t="s">
        <v>477</v>
      </c>
      <c r="K20882" s="18" t="s">
        <v>477</v>
      </c>
    </row>
    <row r="20883">
      <c r="B20883" s="17" t="s">
        <v>477</v>
      </c>
      <c r="K20883" s="18" t="s">
        <v>477</v>
      </c>
    </row>
    <row r="20884">
      <c r="B20884" s="17" t="s">
        <v>477</v>
      </c>
      <c r="K20884" s="18" t="s">
        <v>477</v>
      </c>
    </row>
    <row r="20885">
      <c r="B20885" s="17" t="s">
        <v>477</v>
      </c>
      <c r="K20885" s="18" t="s">
        <v>477</v>
      </c>
    </row>
    <row r="20886">
      <c r="B20886" s="17" t="s">
        <v>477</v>
      </c>
      <c r="K20886" s="18" t="s">
        <v>477</v>
      </c>
    </row>
    <row r="20887">
      <c r="B20887" s="17" t="s">
        <v>477</v>
      </c>
      <c r="K20887" s="18" t="s">
        <v>477</v>
      </c>
    </row>
    <row r="20888">
      <c r="B20888" s="17" t="s">
        <v>477</v>
      </c>
      <c r="K20888" s="18" t="s">
        <v>477</v>
      </c>
    </row>
    <row r="20889">
      <c r="B20889" s="17" t="s">
        <v>477</v>
      </c>
      <c r="K20889" s="18" t="s">
        <v>477</v>
      </c>
    </row>
    <row r="20890">
      <c r="B20890" s="17" t="s">
        <v>477</v>
      </c>
      <c r="K20890" s="18" t="s">
        <v>477</v>
      </c>
    </row>
    <row r="20891">
      <c r="B20891" s="17" t="s">
        <v>477</v>
      </c>
      <c r="K20891" s="18" t="s">
        <v>477</v>
      </c>
    </row>
    <row r="20892">
      <c r="B20892" s="17" t="s">
        <v>477</v>
      </c>
      <c r="K20892" s="18" t="s">
        <v>477</v>
      </c>
    </row>
    <row r="20893">
      <c r="B20893" s="17" t="s">
        <v>477</v>
      </c>
      <c r="K20893" s="18" t="s">
        <v>477</v>
      </c>
    </row>
    <row r="20894">
      <c r="B20894" s="17" t="s">
        <v>477</v>
      </c>
      <c r="K20894" s="18" t="s">
        <v>477</v>
      </c>
    </row>
    <row r="20895">
      <c r="B20895" s="17" t="s">
        <v>477</v>
      </c>
      <c r="K20895" s="18" t="s">
        <v>477</v>
      </c>
    </row>
    <row r="20896">
      <c r="B20896" s="17" t="s">
        <v>477</v>
      </c>
      <c r="K20896" s="18" t="s">
        <v>477</v>
      </c>
    </row>
    <row r="20897">
      <c r="B20897" s="17" t="s">
        <v>477</v>
      </c>
      <c r="K20897" s="18" t="s">
        <v>477</v>
      </c>
    </row>
    <row r="20898">
      <c r="B20898" s="17" t="s">
        <v>477</v>
      </c>
      <c r="K20898" s="18" t="s">
        <v>477</v>
      </c>
    </row>
    <row r="20899">
      <c r="B20899" s="17" t="s">
        <v>477</v>
      </c>
      <c r="K20899" s="18" t="s">
        <v>477</v>
      </c>
    </row>
    <row r="20900">
      <c r="B20900" s="17" t="s">
        <v>477</v>
      </c>
      <c r="K20900" s="18" t="s">
        <v>477</v>
      </c>
    </row>
    <row r="20901">
      <c r="B20901" s="17" t="s">
        <v>477</v>
      </c>
      <c r="K20901" s="18" t="s">
        <v>477</v>
      </c>
    </row>
    <row r="20902">
      <c r="B20902" s="17" t="s">
        <v>477</v>
      </c>
      <c r="K20902" s="18" t="s">
        <v>477</v>
      </c>
    </row>
    <row r="20903">
      <c r="B20903" s="17" t="s">
        <v>477</v>
      </c>
      <c r="K20903" s="18" t="s">
        <v>477</v>
      </c>
    </row>
    <row r="20904">
      <c r="B20904" s="17" t="s">
        <v>477</v>
      </c>
      <c r="K20904" s="18" t="s">
        <v>477</v>
      </c>
    </row>
    <row r="20905">
      <c r="B20905" s="17" t="s">
        <v>477</v>
      </c>
      <c r="K20905" s="18" t="s">
        <v>477</v>
      </c>
    </row>
    <row r="20906">
      <c r="B20906" s="17" t="s">
        <v>477</v>
      </c>
      <c r="K20906" s="18" t="s">
        <v>477</v>
      </c>
    </row>
    <row r="20907">
      <c r="B20907" s="17" t="s">
        <v>477</v>
      </c>
      <c r="K20907" s="18" t="s">
        <v>477</v>
      </c>
    </row>
    <row r="20908">
      <c r="B20908" s="17" t="s">
        <v>477</v>
      </c>
      <c r="K20908" s="18" t="s">
        <v>477</v>
      </c>
    </row>
    <row r="20909">
      <c r="B20909" s="17" t="s">
        <v>477</v>
      </c>
      <c r="K20909" s="18" t="s">
        <v>477</v>
      </c>
    </row>
    <row r="20910">
      <c r="B20910" s="17" t="s">
        <v>477</v>
      </c>
      <c r="K20910" s="18" t="s">
        <v>477</v>
      </c>
    </row>
    <row r="20911">
      <c r="B20911" s="17" t="s">
        <v>477</v>
      </c>
      <c r="K20911" s="18" t="s">
        <v>477</v>
      </c>
    </row>
    <row r="20912">
      <c r="B20912" s="17" t="s">
        <v>477</v>
      </c>
      <c r="K20912" s="18" t="s">
        <v>477</v>
      </c>
    </row>
    <row r="20913">
      <c r="B20913" s="17" t="s">
        <v>477</v>
      </c>
      <c r="K20913" s="18" t="s">
        <v>477</v>
      </c>
    </row>
    <row r="20914">
      <c r="B20914" s="17" t="s">
        <v>477</v>
      </c>
      <c r="K20914" s="18" t="s">
        <v>477</v>
      </c>
    </row>
    <row r="20915">
      <c r="B20915" s="17" t="s">
        <v>477</v>
      </c>
      <c r="K20915" s="18" t="s">
        <v>477</v>
      </c>
    </row>
    <row r="20916">
      <c r="B20916" s="17" t="s">
        <v>477</v>
      </c>
      <c r="K20916" s="18" t="s">
        <v>477</v>
      </c>
    </row>
    <row r="20917">
      <c r="B20917" s="17" t="s">
        <v>477</v>
      </c>
      <c r="K20917" s="18" t="s">
        <v>477</v>
      </c>
    </row>
    <row r="20918">
      <c r="B20918" s="17" t="s">
        <v>477</v>
      </c>
      <c r="K20918" s="18" t="s">
        <v>477</v>
      </c>
    </row>
    <row r="20919">
      <c r="B20919" s="17" t="s">
        <v>477</v>
      </c>
      <c r="K20919" s="18" t="s">
        <v>477</v>
      </c>
    </row>
    <row r="20920">
      <c r="B20920" s="17" t="s">
        <v>477</v>
      </c>
      <c r="K20920" s="18" t="s">
        <v>477</v>
      </c>
    </row>
    <row r="20921">
      <c r="B20921" s="17" t="s">
        <v>477</v>
      </c>
      <c r="K20921" s="18" t="s">
        <v>477</v>
      </c>
    </row>
    <row r="20922">
      <c r="B20922" s="17" t="s">
        <v>477</v>
      </c>
      <c r="K20922" s="18" t="s">
        <v>477</v>
      </c>
    </row>
    <row r="20923">
      <c r="B20923" s="17" t="s">
        <v>477</v>
      </c>
      <c r="K20923" s="18" t="s">
        <v>477</v>
      </c>
    </row>
    <row r="20924">
      <c r="B20924" s="17" t="s">
        <v>477</v>
      </c>
      <c r="K20924" s="18" t="s">
        <v>477</v>
      </c>
    </row>
    <row r="20925">
      <c r="B20925" s="17" t="s">
        <v>477</v>
      </c>
      <c r="K20925" s="18" t="s">
        <v>477</v>
      </c>
    </row>
    <row r="20926">
      <c r="B20926" s="17" t="s">
        <v>477</v>
      </c>
      <c r="K20926" s="18" t="s">
        <v>477</v>
      </c>
    </row>
    <row r="20927">
      <c r="B20927" s="17" t="s">
        <v>477</v>
      </c>
      <c r="K20927" s="18" t="s">
        <v>477</v>
      </c>
    </row>
    <row r="20928">
      <c r="B20928" s="17" t="s">
        <v>477</v>
      </c>
      <c r="K20928" s="18" t="s">
        <v>477</v>
      </c>
    </row>
    <row r="20929">
      <c r="B20929" s="17" t="s">
        <v>477</v>
      </c>
      <c r="K20929" s="18" t="s">
        <v>477</v>
      </c>
    </row>
    <row r="20930">
      <c r="B20930" s="17" t="s">
        <v>477</v>
      </c>
      <c r="K20930" s="18" t="s">
        <v>477</v>
      </c>
    </row>
    <row r="20931">
      <c r="B20931" s="17" t="s">
        <v>477</v>
      </c>
      <c r="K20931" s="18" t="s">
        <v>477</v>
      </c>
    </row>
    <row r="20932">
      <c r="B20932" s="17" t="s">
        <v>477</v>
      </c>
      <c r="K20932" s="18" t="s">
        <v>477</v>
      </c>
    </row>
    <row r="20933">
      <c r="B20933" s="17" t="s">
        <v>477</v>
      </c>
      <c r="K20933" s="18" t="s">
        <v>477</v>
      </c>
    </row>
    <row r="20934">
      <c r="B20934" s="17" t="s">
        <v>477</v>
      </c>
      <c r="K20934" s="18" t="s">
        <v>477</v>
      </c>
    </row>
    <row r="20935">
      <c r="B20935" s="17" t="s">
        <v>477</v>
      </c>
      <c r="K20935" s="18" t="s">
        <v>477</v>
      </c>
    </row>
    <row r="20936">
      <c r="B20936" s="17" t="s">
        <v>477</v>
      </c>
      <c r="K20936" s="18" t="s">
        <v>477</v>
      </c>
    </row>
    <row r="20937">
      <c r="B20937" s="17" t="s">
        <v>477</v>
      </c>
      <c r="K20937" s="18" t="s">
        <v>477</v>
      </c>
    </row>
    <row r="20938">
      <c r="B20938" s="17" t="s">
        <v>477</v>
      </c>
      <c r="K20938" s="18" t="s">
        <v>477</v>
      </c>
    </row>
    <row r="20939">
      <c r="B20939" s="17" t="s">
        <v>477</v>
      </c>
      <c r="K20939" s="18" t="s">
        <v>477</v>
      </c>
    </row>
    <row r="20940">
      <c r="B20940" s="17" t="s">
        <v>477</v>
      </c>
      <c r="K20940" s="18" t="s">
        <v>477</v>
      </c>
    </row>
    <row r="20941">
      <c r="B20941" s="17" t="s">
        <v>477</v>
      </c>
      <c r="K20941" s="18" t="s">
        <v>477</v>
      </c>
    </row>
    <row r="20942">
      <c r="B20942" s="17" t="s">
        <v>477</v>
      </c>
      <c r="K20942" s="18" t="s">
        <v>477</v>
      </c>
    </row>
    <row r="20943">
      <c r="B20943" s="17" t="s">
        <v>477</v>
      </c>
      <c r="K20943" s="18" t="s">
        <v>477</v>
      </c>
    </row>
    <row r="20944">
      <c r="B20944" s="17" t="s">
        <v>477</v>
      </c>
      <c r="K20944" s="18" t="s">
        <v>477</v>
      </c>
    </row>
    <row r="20945">
      <c r="B20945" s="17" t="s">
        <v>477</v>
      </c>
      <c r="K20945" s="18" t="s">
        <v>477</v>
      </c>
    </row>
    <row r="20946">
      <c r="B20946" s="17" t="s">
        <v>477</v>
      </c>
      <c r="K20946" s="18" t="s">
        <v>477</v>
      </c>
    </row>
    <row r="20947">
      <c r="B20947" s="17" t="s">
        <v>477</v>
      </c>
      <c r="K20947" s="18" t="s">
        <v>477</v>
      </c>
    </row>
    <row r="20948">
      <c r="B20948" s="17" t="s">
        <v>477</v>
      </c>
      <c r="K20948" s="18" t="s">
        <v>477</v>
      </c>
    </row>
    <row r="20949">
      <c r="B20949" s="17" t="s">
        <v>477</v>
      </c>
      <c r="K20949" s="18" t="s">
        <v>477</v>
      </c>
    </row>
    <row r="20950">
      <c r="B20950" s="17" t="s">
        <v>477</v>
      </c>
      <c r="K20950" s="18" t="s">
        <v>477</v>
      </c>
    </row>
    <row r="20951">
      <c r="B20951" s="17" t="s">
        <v>477</v>
      </c>
      <c r="K20951" s="18" t="s">
        <v>477</v>
      </c>
    </row>
    <row r="20952">
      <c r="B20952" s="17" t="s">
        <v>477</v>
      </c>
      <c r="K20952" s="18" t="s">
        <v>477</v>
      </c>
    </row>
    <row r="20953">
      <c r="B20953" s="17" t="s">
        <v>477</v>
      </c>
      <c r="K20953" s="18" t="s">
        <v>477</v>
      </c>
    </row>
    <row r="20954">
      <c r="B20954" s="17" t="s">
        <v>477</v>
      </c>
      <c r="K20954" s="18" t="s">
        <v>477</v>
      </c>
    </row>
    <row r="20955">
      <c r="B20955" s="17" t="s">
        <v>477</v>
      </c>
      <c r="K20955" s="18" t="s">
        <v>477</v>
      </c>
    </row>
    <row r="20956">
      <c r="B20956" s="17" t="s">
        <v>477</v>
      </c>
      <c r="K20956" s="18" t="s">
        <v>477</v>
      </c>
    </row>
    <row r="20957">
      <c r="B20957" s="17" t="s">
        <v>477</v>
      </c>
      <c r="K20957" s="18" t="s">
        <v>477</v>
      </c>
    </row>
    <row r="20958">
      <c r="B20958" s="17" t="s">
        <v>477</v>
      </c>
      <c r="K20958" s="18" t="s">
        <v>477</v>
      </c>
    </row>
    <row r="20959">
      <c r="B20959" s="17" t="s">
        <v>477</v>
      </c>
      <c r="K20959" s="18" t="s">
        <v>477</v>
      </c>
    </row>
    <row r="20960">
      <c r="B20960" s="17" t="s">
        <v>477</v>
      </c>
      <c r="K20960" s="18" t="s">
        <v>477</v>
      </c>
    </row>
    <row r="20961">
      <c r="B20961" s="17" t="s">
        <v>477</v>
      </c>
      <c r="K20961" s="18" t="s">
        <v>477</v>
      </c>
    </row>
    <row r="20962">
      <c r="B20962" s="17" t="s">
        <v>477</v>
      </c>
      <c r="K20962" s="18" t="s">
        <v>477</v>
      </c>
    </row>
    <row r="20963">
      <c r="B20963" s="17" t="s">
        <v>477</v>
      </c>
      <c r="K20963" s="18" t="s">
        <v>477</v>
      </c>
    </row>
    <row r="20964">
      <c r="B20964" s="17" t="s">
        <v>477</v>
      </c>
      <c r="K20964" s="18" t="s">
        <v>477</v>
      </c>
    </row>
    <row r="20965">
      <c r="B20965" s="17" t="s">
        <v>477</v>
      </c>
      <c r="K20965" s="18" t="s">
        <v>477</v>
      </c>
    </row>
    <row r="20966">
      <c r="B20966" s="17" t="s">
        <v>477</v>
      </c>
      <c r="K20966" s="18" t="s">
        <v>477</v>
      </c>
    </row>
    <row r="20967">
      <c r="B20967" s="17" t="s">
        <v>477</v>
      </c>
      <c r="K20967" s="18" t="s">
        <v>477</v>
      </c>
    </row>
    <row r="20968">
      <c r="B20968" s="17" t="s">
        <v>477</v>
      </c>
      <c r="K20968" s="18" t="s">
        <v>477</v>
      </c>
    </row>
    <row r="20969">
      <c r="B20969" s="17" t="s">
        <v>477</v>
      </c>
      <c r="K20969" s="18" t="s">
        <v>477</v>
      </c>
    </row>
    <row r="20970">
      <c r="B20970" s="17" t="s">
        <v>477</v>
      </c>
      <c r="K20970" s="18" t="s">
        <v>477</v>
      </c>
    </row>
    <row r="20971">
      <c r="B20971" s="17" t="s">
        <v>477</v>
      </c>
      <c r="K20971" s="18" t="s">
        <v>477</v>
      </c>
    </row>
    <row r="20972">
      <c r="B20972" s="17" t="s">
        <v>477</v>
      </c>
      <c r="K20972" s="18" t="s">
        <v>477</v>
      </c>
    </row>
    <row r="20973">
      <c r="B20973" s="17" t="s">
        <v>477</v>
      </c>
      <c r="K20973" s="18" t="s">
        <v>477</v>
      </c>
    </row>
    <row r="20974">
      <c r="B20974" s="17" t="s">
        <v>477</v>
      </c>
      <c r="K20974" s="18" t="s">
        <v>477</v>
      </c>
    </row>
    <row r="20975">
      <c r="B20975" s="17" t="s">
        <v>477</v>
      </c>
      <c r="K20975" s="18" t="s">
        <v>477</v>
      </c>
    </row>
    <row r="20976">
      <c r="B20976" s="17" t="s">
        <v>477</v>
      </c>
      <c r="K20976" s="18" t="s">
        <v>477</v>
      </c>
    </row>
    <row r="20977">
      <c r="B20977" s="17" t="s">
        <v>477</v>
      </c>
      <c r="K20977" s="18" t="s">
        <v>477</v>
      </c>
    </row>
    <row r="20978">
      <c r="B20978" s="17" t="s">
        <v>477</v>
      </c>
      <c r="K20978" s="18" t="s">
        <v>477</v>
      </c>
    </row>
    <row r="20979">
      <c r="B20979" s="17" t="s">
        <v>477</v>
      </c>
      <c r="K20979" s="18" t="s">
        <v>477</v>
      </c>
    </row>
    <row r="20980">
      <c r="B20980" s="17" t="s">
        <v>477</v>
      </c>
      <c r="K20980" s="18" t="s">
        <v>477</v>
      </c>
    </row>
    <row r="20981">
      <c r="B20981" s="17" t="s">
        <v>477</v>
      </c>
      <c r="K20981" s="18" t="s">
        <v>477</v>
      </c>
    </row>
    <row r="20982">
      <c r="B20982" s="17" t="s">
        <v>477</v>
      </c>
      <c r="K20982" s="18" t="s">
        <v>477</v>
      </c>
    </row>
    <row r="20983">
      <c r="B20983" s="17" t="s">
        <v>477</v>
      </c>
      <c r="K20983" s="18" t="s">
        <v>477</v>
      </c>
    </row>
    <row r="20984">
      <c r="B20984" s="17" t="s">
        <v>477</v>
      </c>
      <c r="K20984" s="18" t="s">
        <v>477</v>
      </c>
    </row>
    <row r="20985">
      <c r="B20985" s="17" t="s">
        <v>477</v>
      </c>
      <c r="K20985" s="18" t="s">
        <v>477</v>
      </c>
    </row>
    <row r="20986">
      <c r="B20986" s="17" t="s">
        <v>477</v>
      </c>
      <c r="K20986" s="18" t="s">
        <v>477</v>
      </c>
    </row>
    <row r="20987">
      <c r="B20987" s="17" t="s">
        <v>477</v>
      </c>
      <c r="K20987" s="18" t="s">
        <v>477</v>
      </c>
    </row>
    <row r="20988">
      <c r="B20988" s="17" t="s">
        <v>477</v>
      </c>
      <c r="K20988" s="18" t="s">
        <v>477</v>
      </c>
    </row>
    <row r="20989">
      <c r="B20989" s="17" t="s">
        <v>477</v>
      </c>
      <c r="K20989" s="18" t="s">
        <v>477</v>
      </c>
    </row>
    <row r="20990">
      <c r="B20990" s="17" t="s">
        <v>477</v>
      </c>
      <c r="K20990" s="18" t="s">
        <v>477</v>
      </c>
    </row>
    <row r="20991">
      <c r="B20991" s="17" t="s">
        <v>477</v>
      </c>
      <c r="K20991" s="18" t="s">
        <v>477</v>
      </c>
    </row>
    <row r="20992">
      <c r="B20992" s="17" t="s">
        <v>477</v>
      </c>
      <c r="K20992" s="18" t="s">
        <v>477</v>
      </c>
    </row>
    <row r="20993">
      <c r="B20993" s="17" t="s">
        <v>477</v>
      </c>
      <c r="K20993" s="18" t="s">
        <v>477</v>
      </c>
    </row>
    <row r="20994">
      <c r="B20994" s="17" t="s">
        <v>477</v>
      </c>
      <c r="K20994" s="18" t="s">
        <v>477</v>
      </c>
    </row>
    <row r="20995">
      <c r="B20995" s="17" t="s">
        <v>477</v>
      </c>
      <c r="K20995" s="18" t="s">
        <v>477</v>
      </c>
    </row>
    <row r="20996">
      <c r="B20996" s="17" t="s">
        <v>477</v>
      </c>
      <c r="K20996" s="18" t="s">
        <v>477</v>
      </c>
    </row>
    <row r="20997">
      <c r="B20997" s="17" t="s">
        <v>477</v>
      </c>
      <c r="K20997" s="18" t="s">
        <v>477</v>
      </c>
    </row>
    <row r="20998">
      <c r="B20998" s="17" t="s">
        <v>477</v>
      </c>
      <c r="K20998" s="18" t="s">
        <v>477</v>
      </c>
    </row>
    <row r="20999">
      <c r="B20999" s="17" t="s">
        <v>477</v>
      </c>
      <c r="K20999" s="18" t="s">
        <v>477</v>
      </c>
    </row>
    <row r="21000">
      <c r="B21000" s="17" t="s">
        <v>477</v>
      </c>
      <c r="K21000" s="18" t="s">
        <v>477</v>
      </c>
    </row>
    <row r="21001">
      <c r="B21001" s="17" t="s">
        <v>477</v>
      </c>
      <c r="K21001" s="18" t="s">
        <v>477</v>
      </c>
    </row>
    <row r="21002">
      <c r="B21002" s="17" t="s">
        <v>477</v>
      </c>
      <c r="K21002" s="18" t="s">
        <v>477</v>
      </c>
    </row>
    <row r="21003">
      <c r="B21003" s="17" t="s">
        <v>477</v>
      </c>
      <c r="K21003" s="18" t="s">
        <v>477</v>
      </c>
    </row>
    <row r="21004">
      <c r="B21004" s="17" t="s">
        <v>477</v>
      </c>
      <c r="K21004" s="18" t="s">
        <v>477</v>
      </c>
    </row>
    <row r="21005">
      <c r="B21005" s="17" t="s">
        <v>477</v>
      </c>
      <c r="K21005" s="18" t="s">
        <v>477</v>
      </c>
    </row>
    <row r="21006">
      <c r="B21006" s="17" t="s">
        <v>477</v>
      </c>
      <c r="K21006" s="18" t="s">
        <v>477</v>
      </c>
    </row>
    <row r="21007">
      <c r="B21007" s="17" t="s">
        <v>477</v>
      </c>
      <c r="K21007" s="18" t="s">
        <v>477</v>
      </c>
    </row>
    <row r="21008">
      <c r="B21008" s="17" t="s">
        <v>477</v>
      </c>
      <c r="K21008" s="18" t="s">
        <v>477</v>
      </c>
    </row>
    <row r="21009">
      <c r="B21009" s="17" t="s">
        <v>477</v>
      </c>
      <c r="K21009" s="18" t="s">
        <v>477</v>
      </c>
    </row>
    <row r="21010">
      <c r="B21010" s="17" t="s">
        <v>477</v>
      </c>
      <c r="K21010" s="18" t="s">
        <v>477</v>
      </c>
    </row>
    <row r="21011">
      <c r="B21011" s="17" t="s">
        <v>477</v>
      </c>
      <c r="K21011" s="18" t="s">
        <v>477</v>
      </c>
    </row>
    <row r="21012">
      <c r="B21012" s="17" t="s">
        <v>477</v>
      </c>
      <c r="K21012" s="18" t="s">
        <v>477</v>
      </c>
    </row>
    <row r="21013">
      <c r="B21013" s="17" t="s">
        <v>477</v>
      </c>
      <c r="K21013" s="18" t="s">
        <v>477</v>
      </c>
    </row>
    <row r="21014">
      <c r="B21014" s="17" t="s">
        <v>477</v>
      </c>
      <c r="K21014" s="18" t="s">
        <v>477</v>
      </c>
    </row>
    <row r="21015">
      <c r="B21015" s="17" t="s">
        <v>477</v>
      </c>
      <c r="K21015" s="18" t="s">
        <v>477</v>
      </c>
    </row>
    <row r="21016">
      <c r="B21016" s="17" t="s">
        <v>477</v>
      </c>
      <c r="K21016" s="18" t="s">
        <v>477</v>
      </c>
    </row>
    <row r="21017">
      <c r="B21017" s="17" t="s">
        <v>477</v>
      </c>
      <c r="K21017" s="18" t="s">
        <v>477</v>
      </c>
    </row>
    <row r="21018">
      <c r="B21018" s="17" t="s">
        <v>477</v>
      </c>
      <c r="K21018" s="18" t="s">
        <v>477</v>
      </c>
    </row>
    <row r="21019">
      <c r="B21019" s="17" t="s">
        <v>477</v>
      </c>
      <c r="K21019" s="18" t="s">
        <v>477</v>
      </c>
    </row>
    <row r="21020">
      <c r="B21020" s="17" t="s">
        <v>477</v>
      </c>
      <c r="K21020" s="18" t="s">
        <v>477</v>
      </c>
    </row>
    <row r="21021">
      <c r="B21021" s="17" t="s">
        <v>477</v>
      </c>
      <c r="K21021" s="18" t="s">
        <v>477</v>
      </c>
    </row>
    <row r="21022">
      <c r="B21022" s="17" t="s">
        <v>477</v>
      </c>
      <c r="K21022" s="18" t="s">
        <v>477</v>
      </c>
    </row>
    <row r="21023">
      <c r="B21023" s="17" t="s">
        <v>477</v>
      </c>
      <c r="K21023" s="18" t="s">
        <v>477</v>
      </c>
    </row>
    <row r="21024">
      <c r="B21024" s="17" t="s">
        <v>477</v>
      </c>
      <c r="K21024" s="18" t="s">
        <v>477</v>
      </c>
    </row>
    <row r="21025">
      <c r="B21025" s="17" t="s">
        <v>477</v>
      </c>
      <c r="K21025" s="18" t="s">
        <v>477</v>
      </c>
    </row>
    <row r="21026">
      <c r="B21026" s="17" t="s">
        <v>477</v>
      </c>
      <c r="K21026" s="18" t="s">
        <v>477</v>
      </c>
    </row>
    <row r="21027">
      <c r="B21027" s="17" t="s">
        <v>477</v>
      </c>
      <c r="K21027" s="18" t="s">
        <v>477</v>
      </c>
    </row>
    <row r="21028">
      <c r="B21028" s="17" t="s">
        <v>477</v>
      </c>
      <c r="K21028" s="18" t="s">
        <v>477</v>
      </c>
    </row>
    <row r="21029">
      <c r="B21029" s="17" t="s">
        <v>477</v>
      </c>
      <c r="K21029" s="18" t="s">
        <v>477</v>
      </c>
    </row>
    <row r="21030">
      <c r="B21030" s="17" t="s">
        <v>477</v>
      </c>
      <c r="K21030" s="18" t="s">
        <v>477</v>
      </c>
    </row>
    <row r="21031">
      <c r="B21031" s="17" t="s">
        <v>477</v>
      </c>
      <c r="K21031" s="18" t="s">
        <v>477</v>
      </c>
    </row>
    <row r="21032">
      <c r="B21032" s="17" t="s">
        <v>477</v>
      </c>
      <c r="K21032" s="18" t="s">
        <v>477</v>
      </c>
    </row>
    <row r="21033">
      <c r="B21033" s="17" t="s">
        <v>477</v>
      </c>
      <c r="K21033" s="18" t="s">
        <v>477</v>
      </c>
    </row>
    <row r="21034">
      <c r="B21034" s="17" t="s">
        <v>477</v>
      </c>
      <c r="K21034" s="18" t="s">
        <v>477</v>
      </c>
    </row>
    <row r="21035">
      <c r="B21035" s="17" t="s">
        <v>477</v>
      </c>
      <c r="K21035" s="18" t="s">
        <v>477</v>
      </c>
    </row>
    <row r="21036">
      <c r="B21036" s="17" t="s">
        <v>477</v>
      </c>
      <c r="K21036" s="18" t="s">
        <v>477</v>
      </c>
    </row>
    <row r="21037">
      <c r="B21037" s="17" t="s">
        <v>477</v>
      </c>
      <c r="K21037" s="18" t="s">
        <v>477</v>
      </c>
    </row>
    <row r="21038">
      <c r="B21038" s="17" t="s">
        <v>477</v>
      </c>
      <c r="K21038" s="18" t="s">
        <v>477</v>
      </c>
    </row>
    <row r="21039">
      <c r="B21039" s="17" t="s">
        <v>477</v>
      </c>
      <c r="K21039" s="18" t="s">
        <v>477</v>
      </c>
    </row>
    <row r="21040">
      <c r="B21040" s="17" t="s">
        <v>477</v>
      </c>
      <c r="K21040" s="18" t="s">
        <v>477</v>
      </c>
    </row>
    <row r="21041">
      <c r="B21041" s="17" t="s">
        <v>477</v>
      </c>
      <c r="K21041" s="18" t="s">
        <v>477</v>
      </c>
    </row>
    <row r="21042">
      <c r="B21042" s="17" t="s">
        <v>477</v>
      </c>
      <c r="K21042" s="18" t="s">
        <v>477</v>
      </c>
    </row>
    <row r="21043">
      <c r="B21043" s="17" t="s">
        <v>477</v>
      </c>
      <c r="K21043" s="18" t="s">
        <v>477</v>
      </c>
    </row>
    <row r="21044">
      <c r="B21044" s="17" t="s">
        <v>477</v>
      </c>
      <c r="K21044" s="18" t="s">
        <v>477</v>
      </c>
    </row>
    <row r="21045">
      <c r="B21045" s="17" t="s">
        <v>477</v>
      </c>
      <c r="K21045" s="18" t="s">
        <v>477</v>
      </c>
    </row>
    <row r="21046">
      <c r="B21046" s="17" t="s">
        <v>477</v>
      </c>
      <c r="K21046" s="18" t="s">
        <v>477</v>
      </c>
    </row>
    <row r="21047">
      <c r="B21047" s="17" t="s">
        <v>477</v>
      </c>
      <c r="K21047" s="18" t="s">
        <v>477</v>
      </c>
    </row>
    <row r="21048">
      <c r="B21048" s="17" t="s">
        <v>477</v>
      </c>
      <c r="K21048" s="18" t="s">
        <v>477</v>
      </c>
    </row>
    <row r="21049">
      <c r="B21049" s="17" t="s">
        <v>477</v>
      </c>
      <c r="K21049" s="18" t="s">
        <v>477</v>
      </c>
    </row>
    <row r="21050">
      <c r="B21050" s="17" t="s">
        <v>477</v>
      </c>
      <c r="K21050" s="18" t="s">
        <v>477</v>
      </c>
    </row>
    <row r="21051">
      <c r="B21051" s="17" t="s">
        <v>477</v>
      </c>
      <c r="K21051" s="18" t="s">
        <v>477</v>
      </c>
    </row>
    <row r="21052">
      <c r="B21052" s="17" t="s">
        <v>477</v>
      </c>
      <c r="K21052" s="18" t="s">
        <v>477</v>
      </c>
    </row>
    <row r="21053">
      <c r="B21053" s="17" t="s">
        <v>477</v>
      </c>
      <c r="K21053" s="18" t="s">
        <v>477</v>
      </c>
    </row>
    <row r="21054">
      <c r="B21054" s="17" t="s">
        <v>477</v>
      </c>
      <c r="K21054" s="18" t="s">
        <v>477</v>
      </c>
    </row>
    <row r="21055">
      <c r="B21055" s="17" t="s">
        <v>477</v>
      </c>
      <c r="K21055" s="18" t="s">
        <v>477</v>
      </c>
    </row>
    <row r="21056">
      <c r="B21056" s="17" t="s">
        <v>477</v>
      </c>
      <c r="K21056" s="18" t="s">
        <v>477</v>
      </c>
    </row>
    <row r="21057">
      <c r="B21057" s="17" t="s">
        <v>477</v>
      </c>
      <c r="K21057" s="18" t="s">
        <v>477</v>
      </c>
    </row>
    <row r="21058">
      <c r="B21058" s="17" t="s">
        <v>477</v>
      </c>
      <c r="K21058" s="18" t="s">
        <v>477</v>
      </c>
    </row>
    <row r="21059">
      <c r="B21059" s="17" t="s">
        <v>477</v>
      </c>
      <c r="K21059" s="18" t="s">
        <v>477</v>
      </c>
    </row>
    <row r="21060">
      <c r="B21060" s="17" t="s">
        <v>477</v>
      </c>
      <c r="K21060" s="18" t="s">
        <v>477</v>
      </c>
    </row>
    <row r="21061">
      <c r="B21061" s="17" t="s">
        <v>477</v>
      </c>
      <c r="K21061" s="18" t="s">
        <v>477</v>
      </c>
    </row>
    <row r="21062">
      <c r="B21062" s="17" t="s">
        <v>477</v>
      </c>
      <c r="K21062" s="18" t="s">
        <v>477</v>
      </c>
    </row>
    <row r="21063">
      <c r="B21063" s="17" t="s">
        <v>477</v>
      </c>
      <c r="K21063" s="18" t="s">
        <v>477</v>
      </c>
    </row>
    <row r="21064">
      <c r="B21064" s="17" t="s">
        <v>477</v>
      </c>
      <c r="K21064" s="18" t="s">
        <v>477</v>
      </c>
    </row>
    <row r="21065">
      <c r="B21065" s="17" t="s">
        <v>477</v>
      </c>
      <c r="K21065" s="18" t="s">
        <v>477</v>
      </c>
    </row>
    <row r="21066">
      <c r="B21066" s="17" t="s">
        <v>477</v>
      </c>
      <c r="K21066" s="18" t="s">
        <v>477</v>
      </c>
    </row>
    <row r="21067">
      <c r="B21067" s="17" t="s">
        <v>477</v>
      </c>
      <c r="K21067" s="18" t="s">
        <v>477</v>
      </c>
    </row>
    <row r="21068">
      <c r="B21068" s="17" t="s">
        <v>477</v>
      </c>
      <c r="K21068" s="18" t="s">
        <v>477</v>
      </c>
    </row>
    <row r="21069">
      <c r="B21069" s="17" t="s">
        <v>477</v>
      </c>
      <c r="K21069" s="18" t="s">
        <v>477</v>
      </c>
    </row>
    <row r="21070">
      <c r="B21070" s="17" t="s">
        <v>477</v>
      </c>
      <c r="K21070" s="18" t="s">
        <v>477</v>
      </c>
    </row>
    <row r="21071">
      <c r="B21071" s="17" t="s">
        <v>477</v>
      </c>
      <c r="K21071" s="18" t="s">
        <v>477</v>
      </c>
    </row>
    <row r="21072">
      <c r="B21072" s="17" t="s">
        <v>477</v>
      </c>
      <c r="K21072" s="18" t="s">
        <v>477</v>
      </c>
    </row>
    <row r="21073">
      <c r="B21073" s="17" t="s">
        <v>477</v>
      </c>
      <c r="K21073" s="18" t="s">
        <v>477</v>
      </c>
    </row>
    <row r="21074">
      <c r="B21074" s="17" t="s">
        <v>477</v>
      </c>
      <c r="K21074" s="18" t="s">
        <v>477</v>
      </c>
    </row>
    <row r="21075">
      <c r="B21075" s="17" t="s">
        <v>477</v>
      </c>
      <c r="K21075" s="18" t="s">
        <v>477</v>
      </c>
    </row>
    <row r="21076">
      <c r="B21076" s="17" t="s">
        <v>477</v>
      </c>
      <c r="K21076" s="18" t="s">
        <v>477</v>
      </c>
    </row>
    <row r="21077">
      <c r="B21077" s="17" t="s">
        <v>477</v>
      </c>
      <c r="K21077" s="18" t="s">
        <v>477</v>
      </c>
    </row>
    <row r="21078">
      <c r="B21078" s="17" t="s">
        <v>477</v>
      </c>
      <c r="K21078" s="18" t="s">
        <v>477</v>
      </c>
    </row>
    <row r="21079">
      <c r="B21079" s="17" t="s">
        <v>477</v>
      </c>
      <c r="K21079" s="18" t="s">
        <v>477</v>
      </c>
    </row>
    <row r="21080">
      <c r="B21080" s="17" t="s">
        <v>477</v>
      </c>
      <c r="K21080" s="18" t="s">
        <v>477</v>
      </c>
    </row>
    <row r="21081">
      <c r="B21081" s="17" t="s">
        <v>477</v>
      </c>
      <c r="K21081" s="18" t="s">
        <v>477</v>
      </c>
    </row>
    <row r="21082">
      <c r="B21082" s="17" t="s">
        <v>477</v>
      </c>
      <c r="K21082" s="18" t="s">
        <v>477</v>
      </c>
    </row>
    <row r="21083">
      <c r="B21083" s="17" t="s">
        <v>477</v>
      </c>
      <c r="K21083" s="18" t="s">
        <v>477</v>
      </c>
    </row>
    <row r="21084">
      <c r="B21084" s="17" t="s">
        <v>477</v>
      </c>
      <c r="K21084" s="18" t="s">
        <v>477</v>
      </c>
    </row>
    <row r="21085">
      <c r="B21085" s="17" t="s">
        <v>477</v>
      </c>
      <c r="K21085" s="18" t="s">
        <v>477</v>
      </c>
    </row>
    <row r="21086">
      <c r="B21086" s="17" t="s">
        <v>477</v>
      </c>
      <c r="K21086" s="18" t="s">
        <v>477</v>
      </c>
    </row>
    <row r="21087">
      <c r="B21087" s="17" t="s">
        <v>477</v>
      </c>
      <c r="K21087" s="18" t="s">
        <v>477</v>
      </c>
    </row>
    <row r="21088">
      <c r="B21088" s="17" t="s">
        <v>477</v>
      </c>
      <c r="K21088" s="18" t="s">
        <v>477</v>
      </c>
    </row>
    <row r="21089">
      <c r="B21089" s="17" t="s">
        <v>477</v>
      </c>
      <c r="K21089" s="18" t="s">
        <v>477</v>
      </c>
    </row>
    <row r="21090">
      <c r="B21090" s="17" t="s">
        <v>477</v>
      </c>
      <c r="K21090" s="18" t="s">
        <v>477</v>
      </c>
    </row>
    <row r="21091">
      <c r="B21091" s="17" t="s">
        <v>477</v>
      </c>
      <c r="K21091" s="18" t="s">
        <v>477</v>
      </c>
    </row>
    <row r="21092">
      <c r="B21092" s="17" t="s">
        <v>477</v>
      </c>
      <c r="K21092" s="18" t="s">
        <v>477</v>
      </c>
    </row>
    <row r="21093">
      <c r="B21093" s="17" t="s">
        <v>477</v>
      </c>
      <c r="K21093" s="18" t="s">
        <v>477</v>
      </c>
    </row>
    <row r="21094">
      <c r="B21094" s="17" t="s">
        <v>477</v>
      </c>
      <c r="K21094" s="18" t="s">
        <v>477</v>
      </c>
    </row>
    <row r="21095">
      <c r="B21095" s="17" t="s">
        <v>477</v>
      </c>
      <c r="K21095" s="18" t="s">
        <v>477</v>
      </c>
    </row>
    <row r="21096">
      <c r="B21096" s="17" t="s">
        <v>477</v>
      </c>
      <c r="K21096" s="18" t="s">
        <v>477</v>
      </c>
    </row>
    <row r="21097">
      <c r="B21097" s="17" t="s">
        <v>477</v>
      </c>
      <c r="K21097" s="18" t="s">
        <v>477</v>
      </c>
    </row>
    <row r="21098">
      <c r="B21098" s="17" t="s">
        <v>477</v>
      </c>
      <c r="K21098" s="18" t="s">
        <v>477</v>
      </c>
    </row>
    <row r="21099">
      <c r="B21099" s="17" t="s">
        <v>477</v>
      </c>
      <c r="K21099" s="18" t="s">
        <v>477</v>
      </c>
    </row>
    <row r="21100">
      <c r="B21100" s="17" t="s">
        <v>477</v>
      </c>
      <c r="K21100" s="18" t="s">
        <v>477</v>
      </c>
    </row>
    <row r="21101">
      <c r="B21101" s="17" t="s">
        <v>477</v>
      </c>
      <c r="K21101" s="18" t="s">
        <v>477</v>
      </c>
    </row>
    <row r="21102">
      <c r="B21102" s="17" t="s">
        <v>477</v>
      </c>
      <c r="K21102" s="18" t="s">
        <v>477</v>
      </c>
    </row>
    <row r="21103">
      <c r="B21103" s="17" t="s">
        <v>477</v>
      </c>
      <c r="K21103" s="18" t="s">
        <v>477</v>
      </c>
    </row>
    <row r="21104">
      <c r="B21104" s="17" t="s">
        <v>477</v>
      </c>
      <c r="K21104" s="18" t="s">
        <v>477</v>
      </c>
    </row>
    <row r="21105">
      <c r="B21105" s="17" t="s">
        <v>477</v>
      </c>
      <c r="K21105" s="18" t="s">
        <v>477</v>
      </c>
    </row>
    <row r="21106">
      <c r="B21106" s="17" t="s">
        <v>477</v>
      </c>
      <c r="K21106" s="18" t="s">
        <v>477</v>
      </c>
    </row>
    <row r="21107">
      <c r="B21107" s="17" t="s">
        <v>477</v>
      </c>
      <c r="K21107" s="18" t="s">
        <v>477</v>
      </c>
    </row>
    <row r="21108">
      <c r="B21108" s="17" t="s">
        <v>477</v>
      </c>
      <c r="K21108" s="18" t="s">
        <v>477</v>
      </c>
    </row>
    <row r="21109">
      <c r="B21109" s="17" t="s">
        <v>477</v>
      </c>
      <c r="K21109" s="18" t="s">
        <v>477</v>
      </c>
    </row>
    <row r="21110">
      <c r="B21110" s="17" t="s">
        <v>477</v>
      </c>
      <c r="K21110" s="18" t="s">
        <v>477</v>
      </c>
    </row>
    <row r="21111">
      <c r="B21111" s="17" t="s">
        <v>477</v>
      </c>
      <c r="K21111" s="18" t="s">
        <v>477</v>
      </c>
    </row>
    <row r="21112">
      <c r="B21112" s="17" t="s">
        <v>477</v>
      </c>
      <c r="K21112" s="18" t="s">
        <v>477</v>
      </c>
    </row>
    <row r="21113">
      <c r="B21113" s="17" t="s">
        <v>477</v>
      </c>
      <c r="K21113" s="18" t="s">
        <v>477</v>
      </c>
    </row>
    <row r="21114">
      <c r="B21114" s="17" t="s">
        <v>477</v>
      </c>
      <c r="K21114" s="18" t="s">
        <v>477</v>
      </c>
    </row>
    <row r="21115">
      <c r="B21115" s="17" t="s">
        <v>477</v>
      </c>
      <c r="K21115" s="18" t="s">
        <v>477</v>
      </c>
    </row>
    <row r="21116">
      <c r="B21116" s="17" t="s">
        <v>477</v>
      </c>
      <c r="K21116" s="18" t="s">
        <v>477</v>
      </c>
    </row>
    <row r="21117">
      <c r="B21117" s="17" t="s">
        <v>477</v>
      </c>
      <c r="K21117" s="18" t="s">
        <v>477</v>
      </c>
    </row>
    <row r="21118">
      <c r="B21118" s="17" t="s">
        <v>477</v>
      </c>
      <c r="K21118" s="18" t="s">
        <v>477</v>
      </c>
    </row>
    <row r="21119">
      <c r="B21119" s="17" t="s">
        <v>477</v>
      </c>
      <c r="K21119" s="18" t="s">
        <v>477</v>
      </c>
    </row>
    <row r="21120">
      <c r="B21120" s="17" t="s">
        <v>477</v>
      </c>
      <c r="K21120" s="18" t="s">
        <v>477</v>
      </c>
    </row>
    <row r="21121">
      <c r="B21121" s="17" t="s">
        <v>477</v>
      </c>
      <c r="K21121" s="18" t="s">
        <v>477</v>
      </c>
    </row>
    <row r="21122">
      <c r="B21122" s="17" t="s">
        <v>477</v>
      </c>
      <c r="K21122" s="18" t="s">
        <v>477</v>
      </c>
    </row>
    <row r="21123">
      <c r="B21123" s="17" t="s">
        <v>477</v>
      </c>
      <c r="K21123" s="18" t="s">
        <v>477</v>
      </c>
    </row>
    <row r="21124">
      <c r="B21124" s="17" t="s">
        <v>477</v>
      </c>
      <c r="K21124" s="18" t="s">
        <v>477</v>
      </c>
    </row>
    <row r="21125">
      <c r="B21125" s="17" t="s">
        <v>477</v>
      </c>
      <c r="K21125" s="18" t="s">
        <v>477</v>
      </c>
    </row>
    <row r="21126">
      <c r="B21126" s="17" t="s">
        <v>477</v>
      </c>
      <c r="K21126" s="18" t="s">
        <v>477</v>
      </c>
    </row>
    <row r="21127">
      <c r="B21127" s="17" t="s">
        <v>477</v>
      </c>
      <c r="K21127" s="18" t="s">
        <v>477</v>
      </c>
    </row>
    <row r="21128">
      <c r="B21128" s="17" t="s">
        <v>477</v>
      </c>
      <c r="K21128" s="18" t="s">
        <v>477</v>
      </c>
    </row>
    <row r="21129">
      <c r="B21129" s="17" t="s">
        <v>477</v>
      </c>
      <c r="K21129" s="18" t="s">
        <v>477</v>
      </c>
    </row>
    <row r="21130">
      <c r="B21130" s="17" t="s">
        <v>477</v>
      </c>
      <c r="K21130" s="18" t="s">
        <v>477</v>
      </c>
    </row>
    <row r="21131">
      <c r="B21131" s="17" t="s">
        <v>477</v>
      </c>
      <c r="K21131" s="18" t="s">
        <v>477</v>
      </c>
    </row>
    <row r="21132">
      <c r="B21132" s="17" t="s">
        <v>477</v>
      </c>
      <c r="K21132" s="18" t="s">
        <v>477</v>
      </c>
    </row>
    <row r="21133">
      <c r="B21133" s="17" t="s">
        <v>477</v>
      </c>
      <c r="K21133" s="18" t="s">
        <v>477</v>
      </c>
    </row>
    <row r="21134">
      <c r="B21134" s="17" t="s">
        <v>477</v>
      </c>
      <c r="K21134" s="18" t="s">
        <v>477</v>
      </c>
    </row>
    <row r="21135">
      <c r="B21135" s="17" t="s">
        <v>477</v>
      </c>
      <c r="K21135" s="18" t="s">
        <v>477</v>
      </c>
    </row>
    <row r="21136">
      <c r="B21136" s="17" t="s">
        <v>477</v>
      </c>
      <c r="K21136" s="18" t="s">
        <v>477</v>
      </c>
    </row>
    <row r="21137">
      <c r="B21137" s="17" t="s">
        <v>477</v>
      </c>
      <c r="K21137" s="18" t="s">
        <v>477</v>
      </c>
    </row>
    <row r="21138">
      <c r="B21138" s="17" t="s">
        <v>477</v>
      </c>
      <c r="K21138" s="18" t="s">
        <v>477</v>
      </c>
    </row>
    <row r="21139">
      <c r="B21139" s="17" t="s">
        <v>477</v>
      </c>
      <c r="K21139" s="18" t="s">
        <v>477</v>
      </c>
    </row>
    <row r="21140">
      <c r="B21140" s="17" t="s">
        <v>477</v>
      </c>
      <c r="K21140" s="18" t="s">
        <v>477</v>
      </c>
    </row>
    <row r="21141">
      <c r="B21141" s="17" t="s">
        <v>477</v>
      </c>
      <c r="K21141" s="18" t="s">
        <v>477</v>
      </c>
    </row>
    <row r="21142">
      <c r="B21142" s="17" t="s">
        <v>477</v>
      </c>
      <c r="K21142" s="18" t="s">
        <v>477</v>
      </c>
    </row>
    <row r="21143">
      <c r="B21143" s="17" t="s">
        <v>477</v>
      </c>
      <c r="K21143" s="18" t="s">
        <v>477</v>
      </c>
    </row>
    <row r="21144">
      <c r="B21144" s="17" t="s">
        <v>477</v>
      </c>
      <c r="K21144" s="18" t="s">
        <v>477</v>
      </c>
    </row>
    <row r="21145">
      <c r="B21145" s="17" t="s">
        <v>477</v>
      </c>
      <c r="K21145" s="18" t="s">
        <v>477</v>
      </c>
    </row>
    <row r="21146">
      <c r="B21146" s="17" t="s">
        <v>477</v>
      </c>
      <c r="K21146" s="18" t="s">
        <v>477</v>
      </c>
    </row>
    <row r="21147">
      <c r="B21147" s="17" t="s">
        <v>477</v>
      </c>
      <c r="K21147" s="18" t="s">
        <v>477</v>
      </c>
    </row>
    <row r="21148">
      <c r="B21148" s="17" t="s">
        <v>477</v>
      </c>
      <c r="K21148" s="18" t="s">
        <v>477</v>
      </c>
    </row>
    <row r="21149">
      <c r="B21149" s="17" t="s">
        <v>477</v>
      </c>
      <c r="K21149" s="18" t="s">
        <v>477</v>
      </c>
    </row>
    <row r="21150">
      <c r="B21150" s="17" t="s">
        <v>477</v>
      </c>
      <c r="K21150" s="18" t="s">
        <v>477</v>
      </c>
    </row>
    <row r="21151">
      <c r="B21151" s="17" t="s">
        <v>477</v>
      </c>
      <c r="K21151" s="18" t="s">
        <v>477</v>
      </c>
    </row>
    <row r="21152">
      <c r="B21152" s="17" t="s">
        <v>477</v>
      </c>
      <c r="K21152" s="18" t="s">
        <v>477</v>
      </c>
    </row>
    <row r="21153">
      <c r="B21153" s="17" t="s">
        <v>477</v>
      </c>
      <c r="K21153" s="18" t="s">
        <v>477</v>
      </c>
    </row>
    <row r="21154">
      <c r="B21154" s="17" t="s">
        <v>477</v>
      </c>
      <c r="K21154" s="18" t="s">
        <v>477</v>
      </c>
    </row>
    <row r="21155">
      <c r="B21155" s="17" t="s">
        <v>477</v>
      </c>
      <c r="K21155" s="18" t="s">
        <v>477</v>
      </c>
    </row>
    <row r="21156">
      <c r="B21156" s="17" t="s">
        <v>477</v>
      </c>
      <c r="K21156" s="18" t="s">
        <v>477</v>
      </c>
    </row>
    <row r="21157">
      <c r="B21157" s="17" t="s">
        <v>477</v>
      </c>
      <c r="K21157" s="18" t="s">
        <v>477</v>
      </c>
    </row>
    <row r="21158">
      <c r="B21158" s="17" t="s">
        <v>477</v>
      </c>
      <c r="K21158" s="18" t="s">
        <v>477</v>
      </c>
    </row>
    <row r="21159">
      <c r="B21159" s="17" t="s">
        <v>477</v>
      </c>
      <c r="K21159" s="18" t="s">
        <v>477</v>
      </c>
    </row>
    <row r="21160">
      <c r="B21160" s="17" t="s">
        <v>477</v>
      </c>
      <c r="K21160" s="18" t="s">
        <v>477</v>
      </c>
    </row>
    <row r="21161">
      <c r="B21161" s="17" t="s">
        <v>477</v>
      </c>
      <c r="K21161" s="18" t="s">
        <v>477</v>
      </c>
    </row>
    <row r="21162">
      <c r="B21162" s="17" t="s">
        <v>477</v>
      </c>
      <c r="K21162" s="18" t="s">
        <v>477</v>
      </c>
    </row>
    <row r="21163">
      <c r="B21163" s="17" t="s">
        <v>477</v>
      </c>
      <c r="K21163" s="18" t="s">
        <v>477</v>
      </c>
    </row>
    <row r="21164">
      <c r="B21164" s="17" t="s">
        <v>477</v>
      </c>
      <c r="K21164" s="18" t="s">
        <v>477</v>
      </c>
    </row>
    <row r="21165">
      <c r="B21165" s="17" t="s">
        <v>477</v>
      </c>
      <c r="K21165" s="18" t="s">
        <v>477</v>
      </c>
    </row>
    <row r="21166">
      <c r="B21166" s="17" t="s">
        <v>477</v>
      </c>
      <c r="K21166" s="18" t="s">
        <v>477</v>
      </c>
    </row>
    <row r="21167">
      <c r="B21167" s="17" t="s">
        <v>477</v>
      </c>
      <c r="K21167" s="18" t="s">
        <v>477</v>
      </c>
    </row>
    <row r="21168">
      <c r="B21168" s="17" t="s">
        <v>477</v>
      </c>
      <c r="K21168" s="18" t="s">
        <v>477</v>
      </c>
    </row>
    <row r="21169">
      <c r="B21169" s="17" t="s">
        <v>477</v>
      </c>
      <c r="K21169" s="18" t="s">
        <v>477</v>
      </c>
    </row>
    <row r="21170">
      <c r="B21170" s="17" t="s">
        <v>477</v>
      </c>
      <c r="K21170" s="18" t="s">
        <v>477</v>
      </c>
    </row>
    <row r="21171">
      <c r="B21171" s="17" t="s">
        <v>477</v>
      </c>
      <c r="K21171" s="18" t="s">
        <v>477</v>
      </c>
    </row>
    <row r="21172">
      <c r="B21172" s="17" t="s">
        <v>477</v>
      </c>
      <c r="K21172" s="18" t="s">
        <v>477</v>
      </c>
    </row>
    <row r="21173">
      <c r="B21173" s="17" t="s">
        <v>477</v>
      </c>
      <c r="K21173" s="18" t="s">
        <v>477</v>
      </c>
    </row>
    <row r="21174">
      <c r="B21174" s="17" t="s">
        <v>477</v>
      </c>
      <c r="K21174" s="18" t="s">
        <v>477</v>
      </c>
    </row>
    <row r="21175">
      <c r="B21175" s="17" t="s">
        <v>477</v>
      </c>
      <c r="K21175" s="18" t="s">
        <v>477</v>
      </c>
    </row>
    <row r="21176">
      <c r="B21176" s="17" t="s">
        <v>477</v>
      </c>
      <c r="K21176" s="18" t="s">
        <v>477</v>
      </c>
    </row>
    <row r="21177">
      <c r="B21177" s="17" t="s">
        <v>477</v>
      </c>
      <c r="K21177" s="18" t="s">
        <v>477</v>
      </c>
    </row>
    <row r="21178">
      <c r="B21178" s="17" t="s">
        <v>477</v>
      </c>
      <c r="K21178" s="18" t="s">
        <v>477</v>
      </c>
    </row>
    <row r="21179">
      <c r="B21179" s="17" t="s">
        <v>477</v>
      </c>
      <c r="K21179" s="18" t="s">
        <v>477</v>
      </c>
    </row>
    <row r="21180">
      <c r="B21180" s="17" t="s">
        <v>477</v>
      </c>
      <c r="K21180" s="18" t="s">
        <v>477</v>
      </c>
    </row>
    <row r="21181">
      <c r="B21181" s="17" t="s">
        <v>477</v>
      </c>
      <c r="K21181" s="18" t="s">
        <v>477</v>
      </c>
    </row>
    <row r="21182">
      <c r="B21182" s="17" t="s">
        <v>477</v>
      </c>
      <c r="K21182" s="18" t="s">
        <v>477</v>
      </c>
    </row>
    <row r="21183">
      <c r="B21183" s="17" t="s">
        <v>477</v>
      </c>
      <c r="K21183" s="18" t="s">
        <v>477</v>
      </c>
    </row>
    <row r="21184">
      <c r="B21184" s="17" t="s">
        <v>477</v>
      </c>
      <c r="K21184" s="18" t="s">
        <v>477</v>
      </c>
    </row>
    <row r="21185">
      <c r="B21185" s="17" t="s">
        <v>477</v>
      </c>
      <c r="K21185" s="18" t="s">
        <v>477</v>
      </c>
    </row>
    <row r="21186">
      <c r="B21186" s="17" t="s">
        <v>477</v>
      </c>
      <c r="K21186" s="18" t="s">
        <v>477</v>
      </c>
    </row>
    <row r="21187">
      <c r="B21187" s="17" t="s">
        <v>477</v>
      </c>
      <c r="K21187" s="18" t="s">
        <v>477</v>
      </c>
    </row>
    <row r="21188">
      <c r="B21188" s="17" t="s">
        <v>477</v>
      </c>
      <c r="K21188" s="18" t="s">
        <v>477</v>
      </c>
    </row>
    <row r="21189">
      <c r="B21189" s="17" t="s">
        <v>477</v>
      </c>
      <c r="K21189" s="18" t="s">
        <v>477</v>
      </c>
    </row>
    <row r="21190">
      <c r="B21190" s="17" t="s">
        <v>477</v>
      </c>
      <c r="K21190" s="18" t="s">
        <v>477</v>
      </c>
    </row>
    <row r="21191">
      <c r="B21191" s="17" t="s">
        <v>477</v>
      </c>
      <c r="K21191" s="18" t="s">
        <v>477</v>
      </c>
    </row>
    <row r="21192">
      <c r="B21192" s="17" t="s">
        <v>477</v>
      </c>
      <c r="K21192" s="18" t="s">
        <v>477</v>
      </c>
    </row>
    <row r="21193">
      <c r="B21193" s="17" t="s">
        <v>477</v>
      </c>
      <c r="K21193" s="18" t="s">
        <v>477</v>
      </c>
    </row>
    <row r="21194">
      <c r="B21194" s="17" t="s">
        <v>477</v>
      </c>
      <c r="K21194" s="18" t="s">
        <v>477</v>
      </c>
    </row>
    <row r="21195">
      <c r="B21195" s="17" t="s">
        <v>477</v>
      </c>
      <c r="K21195" s="18" t="s">
        <v>477</v>
      </c>
    </row>
    <row r="21196">
      <c r="B21196" s="17" t="s">
        <v>477</v>
      </c>
      <c r="K21196" s="18" t="s">
        <v>477</v>
      </c>
    </row>
    <row r="21197">
      <c r="B21197" s="17" t="s">
        <v>477</v>
      </c>
      <c r="K21197" s="18" t="s">
        <v>477</v>
      </c>
    </row>
    <row r="21198">
      <c r="B21198" s="17" t="s">
        <v>477</v>
      </c>
      <c r="K21198" s="18" t="s">
        <v>477</v>
      </c>
    </row>
    <row r="21199">
      <c r="B21199" s="17" t="s">
        <v>477</v>
      </c>
      <c r="K21199" s="18" t="s">
        <v>477</v>
      </c>
    </row>
    <row r="21200">
      <c r="B21200" s="17" t="s">
        <v>477</v>
      </c>
      <c r="K21200" s="18" t="s">
        <v>477</v>
      </c>
    </row>
    <row r="21201">
      <c r="B21201" s="17" t="s">
        <v>477</v>
      </c>
      <c r="K21201" s="18" t="s">
        <v>477</v>
      </c>
    </row>
    <row r="21202">
      <c r="B21202" s="17" t="s">
        <v>477</v>
      </c>
      <c r="K21202" s="18" t="s">
        <v>477</v>
      </c>
    </row>
    <row r="21203">
      <c r="B21203" s="17" t="s">
        <v>477</v>
      </c>
      <c r="K21203" s="18" t="s">
        <v>477</v>
      </c>
    </row>
    <row r="21204">
      <c r="B21204" s="17" t="s">
        <v>477</v>
      </c>
      <c r="K21204" s="18" t="s">
        <v>477</v>
      </c>
    </row>
    <row r="21205">
      <c r="B21205" s="17" t="s">
        <v>477</v>
      </c>
      <c r="K21205" s="18" t="s">
        <v>477</v>
      </c>
    </row>
    <row r="21206">
      <c r="B21206" s="17" t="s">
        <v>477</v>
      </c>
      <c r="K21206" s="18" t="s">
        <v>477</v>
      </c>
    </row>
    <row r="21207">
      <c r="B21207" s="17" t="s">
        <v>477</v>
      </c>
      <c r="K21207" s="18" t="s">
        <v>477</v>
      </c>
    </row>
    <row r="21208">
      <c r="B21208" s="17" t="s">
        <v>477</v>
      </c>
      <c r="K21208" s="18" t="s">
        <v>477</v>
      </c>
    </row>
    <row r="21209">
      <c r="B21209" s="17" t="s">
        <v>477</v>
      </c>
      <c r="K21209" s="18" t="s">
        <v>477</v>
      </c>
    </row>
    <row r="21210">
      <c r="B21210" s="17" t="s">
        <v>477</v>
      </c>
      <c r="K21210" s="18" t="s">
        <v>477</v>
      </c>
    </row>
    <row r="21211">
      <c r="B21211" s="17" t="s">
        <v>477</v>
      </c>
      <c r="K21211" s="18" t="s">
        <v>477</v>
      </c>
    </row>
    <row r="21212">
      <c r="B21212" s="17" t="s">
        <v>477</v>
      </c>
      <c r="K21212" s="18" t="s">
        <v>477</v>
      </c>
    </row>
    <row r="21213">
      <c r="B21213" s="17" t="s">
        <v>477</v>
      </c>
      <c r="K21213" s="18" t="s">
        <v>477</v>
      </c>
    </row>
    <row r="21214">
      <c r="B21214" s="17" t="s">
        <v>477</v>
      </c>
      <c r="K21214" s="18" t="s">
        <v>477</v>
      </c>
    </row>
    <row r="21215">
      <c r="B21215" s="17" t="s">
        <v>477</v>
      </c>
      <c r="K21215" s="18" t="s">
        <v>477</v>
      </c>
    </row>
    <row r="21216">
      <c r="B21216" s="17" t="s">
        <v>477</v>
      </c>
      <c r="K21216" s="18" t="s">
        <v>477</v>
      </c>
    </row>
    <row r="21217">
      <c r="B21217" s="17" t="s">
        <v>477</v>
      </c>
      <c r="K21217" s="18" t="s">
        <v>477</v>
      </c>
    </row>
    <row r="21218">
      <c r="B21218" s="17" t="s">
        <v>477</v>
      </c>
      <c r="K21218" s="18" t="s">
        <v>477</v>
      </c>
    </row>
    <row r="21219">
      <c r="B21219" s="17" t="s">
        <v>477</v>
      </c>
      <c r="K21219" s="18" t="s">
        <v>477</v>
      </c>
    </row>
    <row r="21220">
      <c r="B21220" s="17" t="s">
        <v>477</v>
      </c>
      <c r="K21220" s="18" t="s">
        <v>477</v>
      </c>
    </row>
    <row r="21221">
      <c r="B21221" s="17" t="s">
        <v>477</v>
      </c>
      <c r="K21221" s="18" t="s">
        <v>477</v>
      </c>
    </row>
    <row r="21222">
      <c r="B21222" s="17" t="s">
        <v>477</v>
      </c>
      <c r="K21222" s="18" t="s">
        <v>477</v>
      </c>
    </row>
    <row r="21223">
      <c r="B21223" s="17" t="s">
        <v>477</v>
      </c>
      <c r="K21223" s="18" t="s">
        <v>477</v>
      </c>
    </row>
    <row r="21224">
      <c r="B21224" s="17" t="s">
        <v>477</v>
      </c>
      <c r="K21224" s="18" t="s">
        <v>477</v>
      </c>
    </row>
    <row r="21225">
      <c r="B21225" s="17" t="s">
        <v>477</v>
      </c>
      <c r="K21225" s="18" t="s">
        <v>477</v>
      </c>
    </row>
    <row r="21226">
      <c r="B21226" s="17" t="s">
        <v>477</v>
      </c>
      <c r="K21226" s="18" t="s">
        <v>477</v>
      </c>
    </row>
    <row r="21227">
      <c r="B21227" s="17" t="s">
        <v>477</v>
      </c>
      <c r="K21227" s="18" t="s">
        <v>477</v>
      </c>
    </row>
    <row r="21228">
      <c r="B21228" s="17" t="s">
        <v>477</v>
      </c>
      <c r="K21228" s="18" t="s">
        <v>477</v>
      </c>
    </row>
    <row r="21229">
      <c r="B21229" s="17" t="s">
        <v>477</v>
      </c>
      <c r="K21229" s="18" t="s">
        <v>477</v>
      </c>
    </row>
    <row r="21230">
      <c r="B21230" s="17" t="s">
        <v>477</v>
      </c>
      <c r="K21230" s="18" t="s">
        <v>477</v>
      </c>
    </row>
    <row r="21231">
      <c r="B21231" s="17" t="s">
        <v>477</v>
      </c>
      <c r="K21231" s="18" t="s">
        <v>477</v>
      </c>
    </row>
    <row r="21232">
      <c r="B21232" s="17" t="s">
        <v>477</v>
      </c>
      <c r="K21232" s="18" t="s">
        <v>477</v>
      </c>
    </row>
    <row r="21233">
      <c r="B21233" s="17" t="s">
        <v>477</v>
      </c>
      <c r="K21233" s="18" t="s">
        <v>477</v>
      </c>
    </row>
    <row r="21234">
      <c r="B21234" s="17" t="s">
        <v>477</v>
      </c>
      <c r="K21234" s="18" t="s">
        <v>477</v>
      </c>
    </row>
    <row r="21235">
      <c r="B21235" s="17" t="s">
        <v>477</v>
      </c>
      <c r="K21235" s="18" t="s">
        <v>477</v>
      </c>
    </row>
    <row r="21236">
      <c r="B21236" s="17" t="s">
        <v>477</v>
      </c>
      <c r="K21236" s="18" t="s">
        <v>477</v>
      </c>
    </row>
    <row r="21237">
      <c r="B21237" s="17" t="s">
        <v>477</v>
      </c>
      <c r="K21237" s="18" t="s">
        <v>477</v>
      </c>
    </row>
    <row r="21238">
      <c r="B21238" s="17" t="s">
        <v>477</v>
      </c>
      <c r="K21238" s="18" t="s">
        <v>477</v>
      </c>
    </row>
    <row r="21239">
      <c r="B21239" s="17" t="s">
        <v>477</v>
      </c>
      <c r="K21239" s="18" t="s">
        <v>477</v>
      </c>
    </row>
    <row r="21240">
      <c r="B21240" s="17" t="s">
        <v>477</v>
      </c>
      <c r="K21240" s="18" t="s">
        <v>477</v>
      </c>
    </row>
    <row r="21241">
      <c r="B21241" s="17" t="s">
        <v>477</v>
      </c>
      <c r="K21241" s="18" t="s">
        <v>477</v>
      </c>
    </row>
    <row r="21242">
      <c r="B21242" s="17" t="s">
        <v>477</v>
      </c>
      <c r="K21242" s="18" t="s">
        <v>477</v>
      </c>
    </row>
    <row r="21243">
      <c r="B21243" s="17" t="s">
        <v>477</v>
      </c>
      <c r="K21243" s="18" t="s">
        <v>477</v>
      </c>
    </row>
    <row r="21244">
      <c r="B21244" s="17" t="s">
        <v>477</v>
      </c>
      <c r="K21244" s="18" t="s">
        <v>477</v>
      </c>
    </row>
    <row r="21245">
      <c r="B21245" s="17" t="s">
        <v>477</v>
      </c>
      <c r="K21245" s="18" t="s">
        <v>477</v>
      </c>
    </row>
    <row r="21246">
      <c r="B21246" s="17" t="s">
        <v>477</v>
      </c>
      <c r="K21246" s="18" t="s">
        <v>477</v>
      </c>
    </row>
    <row r="21247">
      <c r="B21247" s="17" t="s">
        <v>477</v>
      </c>
      <c r="K21247" s="18" t="s">
        <v>477</v>
      </c>
    </row>
    <row r="21248">
      <c r="B21248" s="17" t="s">
        <v>477</v>
      </c>
      <c r="K21248" s="18" t="s">
        <v>477</v>
      </c>
    </row>
    <row r="21249">
      <c r="B21249" s="17" t="s">
        <v>477</v>
      </c>
      <c r="K21249" s="18" t="s">
        <v>477</v>
      </c>
    </row>
    <row r="21250">
      <c r="B21250" s="17" t="s">
        <v>477</v>
      </c>
      <c r="K21250" s="18" t="s">
        <v>477</v>
      </c>
    </row>
    <row r="21251">
      <c r="B21251" s="17" t="s">
        <v>477</v>
      </c>
      <c r="K21251" s="18" t="s">
        <v>477</v>
      </c>
    </row>
    <row r="21252">
      <c r="B21252" s="17" t="s">
        <v>477</v>
      </c>
      <c r="K21252" s="18" t="s">
        <v>477</v>
      </c>
    </row>
    <row r="21253">
      <c r="B21253" s="17" t="s">
        <v>477</v>
      </c>
      <c r="K21253" s="18" t="s">
        <v>477</v>
      </c>
    </row>
    <row r="21254">
      <c r="B21254" s="17" t="s">
        <v>477</v>
      </c>
      <c r="K21254" s="18" t="s">
        <v>477</v>
      </c>
    </row>
    <row r="21255">
      <c r="B21255" s="17" t="s">
        <v>477</v>
      </c>
      <c r="K21255" s="18" t="s">
        <v>477</v>
      </c>
    </row>
    <row r="21256">
      <c r="B21256" s="17" t="s">
        <v>477</v>
      </c>
      <c r="K21256" s="18" t="s">
        <v>477</v>
      </c>
    </row>
    <row r="21257">
      <c r="B21257" s="17" t="s">
        <v>477</v>
      </c>
      <c r="K21257" s="18" t="s">
        <v>477</v>
      </c>
    </row>
    <row r="21258">
      <c r="B21258" s="17" t="s">
        <v>477</v>
      </c>
      <c r="K21258" s="18" t="s">
        <v>477</v>
      </c>
    </row>
    <row r="21259">
      <c r="B21259" s="17" t="s">
        <v>477</v>
      </c>
      <c r="K21259" s="18" t="s">
        <v>477</v>
      </c>
    </row>
    <row r="21260">
      <c r="B21260" s="17" t="s">
        <v>477</v>
      </c>
      <c r="K21260" s="18" t="s">
        <v>477</v>
      </c>
    </row>
    <row r="21261">
      <c r="B21261" s="17" t="s">
        <v>477</v>
      </c>
      <c r="K21261" s="18" t="s">
        <v>477</v>
      </c>
    </row>
    <row r="21262">
      <c r="B21262" s="17" t="s">
        <v>477</v>
      </c>
      <c r="K21262" s="18" t="s">
        <v>477</v>
      </c>
    </row>
    <row r="21263">
      <c r="B21263" s="17" t="s">
        <v>477</v>
      </c>
      <c r="K21263" s="18" t="s">
        <v>477</v>
      </c>
    </row>
    <row r="21264">
      <c r="B21264" s="17" t="s">
        <v>477</v>
      </c>
      <c r="K21264" s="18" t="s">
        <v>477</v>
      </c>
    </row>
    <row r="21265">
      <c r="B21265" s="17" t="s">
        <v>477</v>
      </c>
      <c r="K21265" s="18" t="s">
        <v>477</v>
      </c>
    </row>
    <row r="21266">
      <c r="B21266" s="17" t="s">
        <v>477</v>
      </c>
      <c r="K21266" s="18" t="s">
        <v>477</v>
      </c>
    </row>
    <row r="21267">
      <c r="B21267" s="17" t="s">
        <v>477</v>
      </c>
      <c r="K21267" s="18" t="s">
        <v>477</v>
      </c>
    </row>
    <row r="21268">
      <c r="B21268" s="17" t="s">
        <v>477</v>
      </c>
      <c r="K21268" s="18" t="s">
        <v>477</v>
      </c>
    </row>
    <row r="21269">
      <c r="B21269" s="17" t="s">
        <v>477</v>
      </c>
      <c r="K21269" s="18" t="s">
        <v>477</v>
      </c>
    </row>
    <row r="21270">
      <c r="B21270" s="17" t="s">
        <v>477</v>
      </c>
      <c r="K21270" s="18" t="s">
        <v>477</v>
      </c>
    </row>
    <row r="21271">
      <c r="B21271" s="17" t="s">
        <v>477</v>
      </c>
      <c r="K21271" s="18" t="s">
        <v>477</v>
      </c>
    </row>
    <row r="21272">
      <c r="B21272" s="17" t="s">
        <v>477</v>
      </c>
      <c r="K21272" s="18" t="s">
        <v>477</v>
      </c>
    </row>
    <row r="21273">
      <c r="B21273" s="17" t="s">
        <v>477</v>
      </c>
      <c r="K21273" s="18" t="s">
        <v>477</v>
      </c>
    </row>
    <row r="21274">
      <c r="B21274" s="17" t="s">
        <v>477</v>
      </c>
      <c r="K21274" s="18" t="s">
        <v>477</v>
      </c>
    </row>
    <row r="21275">
      <c r="B21275" s="17" t="s">
        <v>477</v>
      </c>
      <c r="K21275" s="18" t="s">
        <v>477</v>
      </c>
    </row>
    <row r="21276">
      <c r="B21276" s="17" t="s">
        <v>477</v>
      </c>
      <c r="K21276" s="18" t="s">
        <v>477</v>
      </c>
    </row>
    <row r="21277">
      <c r="B21277" s="17" t="s">
        <v>477</v>
      </c>
      <c r="K21277" s="18" t="s">
        <v>477</v>
      </c>
    </row>
    <row r="21278">
      <c r="B21278" s="17" t="s">
        <v>477</v>
      </c>
      <c r="K21278" s="18" t="s">
        <v>477</v>
      </c>
    </row>
    <row r="21279">
      <c r="B21279" s="17" t="s">
        <v>477</v>
      </c>
      <c r="K21279" s="18" t="s">
        <v>477</v>
      </c>
    </row>
    <row r="21280">
      <c r="B21280" s="17" t="s">
        <v>477</v>
      </c>
      <c r="K21280" s="18" t="s">
        <v>477</v>
      </c>
    </row>
    <row r="21281">
      <c r="B21281" s="17" t="s">
        <v>477</v>
      </c>
      <c r="K21281" s="18" t="s">
        <v>477</v>
      </c>
    </row>
    <row r="21282">
      <c r="B21282" s="17" t="s">
        <v>477</v>
      </c>
      <c r="K21282" s="18" t="s">
        <v>477</v>
      </c>
    </row>
    <row r="21283">
      <c r="B21283" s="17" t="s">
        <v>477</v>
      </c>
      <c r="K21283" s="18" t="s">
        <v>477</v>
      </c>
    </row>
    <row r="21284">
      <c r="B21284" s="17" t="s">
        <v>477</v>
      </c>
      <c r="K21284" s="18" t="s">
        <v>477</v>
      </c>
    </row>
    <row r="21285">
      <c r="B21285" s="17" t="s">
        <v>477</v>
      </c>
      <c r="K21285" s="18" t="s">
        <v>477</v>
      </c>
    </row>
    <row r="21286">
      <c r="B21286" s="17" t="s">
        <v>477</v>
      </c>
      <c r="K21286" s="18" t="s">
        <v>477</v>
      </c>
    </row>
    <row r="21287">
      <c r="B21287" s="17" t="s">
        <v>477</v>
      </c>
      <c r="K21287" s="18" t="s">
        <v>477</v>
      </c>
    </row>
    <row r="21288">
      <c r="B21288" s="17" t="s">
        <v>477</v>
      </c>
      <c r="K21288" s="18" t="s">
        <v>477</v>
      </c>
    </row>
    <row r="21289">
      <c r="B21289" s="17" t="s">
        <v>477</v>
      </c>
      <c r="K21289" s="18" t="s">
        <v>477</v>
      </c>
    </row>
    <row r="21290">
      <c r="B21290" s="17" t="s">
        <v>477</v>
      </c>
      <c r="K21290" s="18" t="s">
        <v>477</v>
      </c>
    </row>
    <row r="21291">
      <c r="B21291" s="17" t="s">
        <v>477</v>
      </c>
      <c r="K21291" s="18" t="s">
        <v>477</v>
      </c>
    </row>
    <row r="21292">
      <c r="B21292" s="17" t="s">
        <v>477</v>
      </c>
      <c r="K21292" s="18" t="s">
        <v>477</v>
      </c>
    </row>
    <row r="21293">
      <c r="B21293" s="17" t="s">
        <v>477</v>
      </c>
      <c r="K21293" s="18" t="s">
        <v>477</v>
      </c>
    </row>
    <row r="21294">
      <c r="B21294" s="17" t="s">
        <v>477</v>
      </c>
      <c r="K21294" s="18" t="s">
        <v>477</v>
      </c>
    </row>
    <row r="21295">
      <c r="B21295" s="17" t="s">
        <v>477</v>
      </c>
      <c r="K21295" s="18" t="s">
        <v>477</v>
      </c>
    </row>
    <row r="21296">
      <c r="B21296" s="17" t="s">
        <v>477</v>
      </c>
      <c r="K21296" s="18" t="s">
        <v>477</v>
      </c>
    </row>
    <row r="21297">
      <c r="B21297" s="17" t="s">
        <v>477</v>
      </c>
      <c r="K21297" s="18" t="s">
        <v>477</v>
      </c>
    </row>
    <row r="21298">
      <c r="B21298" s="17" t="s">
        <v>477</v>
      </c>
      <c r="K21298" s="18" t="s">
        <v>477</v>
      </c>
    </row>
    <row r="21299">
      <c r="B21299" s="17" t="s">
        <v>477</v>
      </c>
      <c r="K21299" s="18" t="s">
        <v>477</v>
      </c>
    </row>
    <row r="21300">
      <c r="B21300" s="17" t="s">
        <v>477</v>
      </c>
      <c r="K21300" s="18" t="s">
        <v>477</v>
      </c>
    </row>
    <row r="21301">
      <c r="B21301" s="17" t="s">
        <v>477</v>
      </c>
      <c r="K21301" s="18" t="s">
        <v>477</v>
      </c>
    </row>
    <row r="21302">
      <c r="B21302" s="17" t="s">
        <v>477</v>
      </c>
      <c r="K21302" s="18" t="s">
        <v>477</v>
      </c>
    </row>
    <row r="21303">
      <c r="B21303" s="17" t="s">
        <v>477</v>
      </c>
      <c r="K21303" s="18" t="s">
        <v>477</v>
      </c>
    </row>
    <row r="21304">
      <c r="B21304" s="17" t="s">
        <v>477</v>
      </c>
      <c r="K21304" s="18" t="s">
        <v>477</v>
      </c>
    </row>
    <row r="21305">
      <c r="B21305" s="17" t="s">
        <v>477</v>
      </c>
      <c r="K21305" s="18" t="s">
        <v>477</v>
      </c>
    </row>
    <row r="21306">
      <c r="B21306" s="17" t="s">
        <v>477</v>
      </c>
      <c r="K21306" s="18" t="s">
        <v>477</v>
      </c>
    </row>
    <row r="21307">
      <c r="B21307" s="17" t="s">
        <v>477</v>
      </c>
      <c r="K21307" s="18" t="s">
        <v>477</v>
      </c>
    </row>
    <row r="21308">
      <c r="B21308" s="17" t="s">
        <v>477</v>
      </c>
      <c r="K21308" s="18" t="s">
        <v>477</v>
      </c>
    </row>
    <row r="21309">
      <c r="B21309" s="17" t="s">
        <v>477</v>
      </c>
      <c r="K21309" s="18" t="s">
        <v>477</v>
      </c>
    </row>
    <row r="21310">
      <c r="B21310" s="17" t="s">
        <v>477</v>
      </c>
      <c r="K21310" s="18" t="s">
        <v>477</v>
      </c>
    </row>
    <row r="21311">
      <c r="B21311" s="17" t="s">
        <v>477</v>
      </c>
      <c r="K21311" s="18" t="s">
        <v>477</v>
      </c>
    </row>
    <row r="21312">
      <c r="B21312" s="17" t="s">
        <v>477</v>
      </c>
      <c r="K21312" s="18" t="s">
        <v>477</v>
      </c>
    </row>
    <row r="21313">
      <c r="B21313" s="17" t="s">
        <v>477</v>
      </c>
      <c r="K21313" s="18" t="s">
        <v>477</v>
      </c>
    </row>
    <row r="21314">
      <c r="B21314" s="17" t="s">
        <v>477</v>
      </c>
      <c r="K21314" s="18" t="s">
        <v>477</v>
      </c>
    </row>
    <row r="21315">
      <c r="B21315" s="17" t="s">
        <v>477</v>
      </c>
      <c r="K21315" s="18" t="s">
        <v>477</v>
      </c>
    </row>
    <row r="21316">
      <c r="B21316" s="17" t="s">
        <v>477</v>
      </c>
      <c r="K21316" s="18" t="s">
        <v>477</v>
      </c>
    </row>
    <row r="21317">
      <c r="B21317" s="17" t="s">
        <v>477</v>
      </c>
      <c r="K21317" s="18" t="s">
        <v>477</v>
      </c>
    </row>
    <row r="21318">
      <c r="B21318" s="17" t="s">
        <v>477</v>
      </c>
      <c r="K21318" s="18" t="s">
        <v>477</v>
      </c>
    </row>
    <row r="21319">
      <c r="B21319" s="17" t="s">
        <v>477</v>
      </c>
      <c r="K21319" s="18" t="s">
        <v>477</v>
      </c>
    </row>
    <row r="21320">
      <c r="B21320" s="17" t="s">
        <v>477</v>
      </c>
      <c r="K21320" s="18" t="s">
        <v>477</v>
      </c>
    </row>
    <row r="21321">
      <c r="B21321" s="17" t="s">
        <v>477</v>
      </c>
      <c r="K21321" s="18" t="s">
        <v>477</v>
      </c>
    </row>
    <row r="21322">
      <c r="B21322" s="17" t="s">
        <v>477</v>
      </c>
      <c r="K21322" s="18" t="s">
        <v>477</v>
      </c>
    </row>
    <row r="21323">
      <c r="B21323" s="17" t="s">
        <v>477</v>
      </c>
      <c r="K21323" s="18" t="s">
        <v>477</v>
      </c>
    </row>
    <row r="21324">
      <c r="B21324" s="17" t="s">
        <v>477</v>
      </c>
      <c r="K21324" s="18" t="s">
        <v>477</v>
      </c>
    </row>
    <row r="21325">
      <c r="B21325" s="17" t="s">
        <v>477</v>
      </c>
      <c r="K21325" s="18" t="s">
        <v>477</v>
      </c>
    </row>
    <row r="21326">
      <c r="B21326" s="17" t="s">
        <v>477</v>
      </c>
      <c r="K21326" s="18" t="s">
        <v>477</v>
      </c>
    </row>
    <row r="21327">
      <c r="B21327" s="17" t="s">
        <v>477</v>
      </c>
      <c r="K21327" s="18" t="s">
        <v>477</v>
      </c>
    </row>
    <row r="21328">
      <c r="B21328" s="17" t="s">
        <v>477</v>
      </c>
      <c r="K21328" s="18" t="s">
        <v>477</v>
      </c>
    </row>
    <row r="21329">
      <c r="B21329" s="17" t="s">
        <v>477</v>
      </c>
      <c r="K21329" s="18" t="s">
        <v>477</v>
      </c>
    </row>
    <row r="21330">
      <c r="B21330" s="17" t="s">
        <v>477</v>
      </c>
      <c r="K21330" s="18" t="s">
        <v>477</v>
      </c>
    </row>
    <row r="21331">
      <c r="B21331" s="17" t="s">
        <v>477</v>
      </c>
      <c r="K21331" s="18" t="s">
        <v>477</v>
      </c>
    </row>
    <row r="21332">
      <c r="B21332" s="17" t="s">
        <v>477</v>
      </c>
      <c r="K21332" s="18" t="s">
        <v>477</v>
      </c>
    </row>
    <row r="21333">
      <c r="B21333" s="17" t="s">
        <v>477</v>
      </c>
      <c r="K21333" s="18" t="s">
        <v>477</v>
      </c>
    </row>
    <row r="21334">
      <c r="B21334" s="17" t="s">
        <v>477</v>
      </c>
      <c r="K21334" s="18" t="s">
        <v>477</v>
      </c>
    </row>
    <row r="21335">
      <c r="B21335" s="17" t="s">
        <v>477</v>
      </c>
      <c r="K21335" s="18" t="s">
        <v>477</v>
      </c>
    </row>
    <row r="21336">
      <c r="B21336" s="17" t="s">
        <v>477</v>
      </c>
      <c r="K21336" s="18" t="s">
        <v>477</v>
      </c>
    </row>
    <row r="21337">
      <c r="B21337" s="17" t="s">
        <v>477</v>
      </c>
      <c r="K21337" s="18" t="s">
        <v>477</v>
      </c>
    </row>
    <row r="21338">
      <c r="B21338" s="17" t="s">
        <v>477</v>
      </c>
      <c r="K21338" s="18" t="s">
        <v>477</v>
      </c>
    </row>
    <row r="21339">
      <c r="B21339" s="17" t="s">
        <v>477</v>
      </c>
      <c r="K21339" s="18" t="s">
        <v>477</v>
      </c>
    </row>
    <row r="21340">
      <c r="B21340" s="17" t="s">
        <v>477</v>
      </c>
      <c r="K21340" s="18" t="s">
        <v>477</v>
      </c>
    </row>
    <row r="21341">
      <c r="B21341" s="17" t="s">
        <v>477</v>
      </c>
      <c r="K21341" s="18" t="s">
        <v>477</v>
      </c>
    </row>
    <row r="21342">
      <c r="B21342" s="17" t="s">
        <v>477</v>
      </c>
      <c r="K21342" s="18" t="s">
        <v>477</v>
      </c>
    </row>
    <row r="21343">
      <c r="B21343" s="17" t="s">
        <v>477</v>
      </c>
      <c r="K21343" s="18" t="s">
        <v>477</v>
      </c>
    </row>
    <row r="21344">
      <c r="B21344" s="17" t="s">
        <v>477</v>
      </c>
      <c r="K21344" s="18" t="s">
        <v>477</v>
      </c>
    </row>
    <row r="21345">
      <c r="B21345" s="17" t="s">
        <v>477</v>
      </c>
      <c r="K21345" s="18" t="s">
        <v>477</v>
      </c>
    </row>
    <row r="21346">
      <c r="B21346" s="17" t="s">
        <v>477</v>
      </c>
      <c r="K21346" s="18" t="s">
        <v>477</v>
      </c>
    </row>
    <row r="21347">
      <c r="B21347" s="17" t="s">
        <v>477</v>
      </c>
      <c r="K21347" s="18" t="s">
        <v>477</v>
      </c>
    </row>
    <row r="21348">
      <c r="B21348" s="17" t="s">
        <v>477</v>
      </c>
      <c r="K21348" s="18" t="s">
        <v>477</v>
      </c>
    </row>
    <row r="21349">
      <c r="B21349" s="17" t="s">
        <v>477</v>
      </c>
      <c r="K21349" s="18" t="s">
        <v>477</v>
      </c>
    </row>
    <row r="21350">
      <c r="B21350" s="17" t="s">
        <v>477</v>
      </c>
      <c r="K21350" s="18" t="s">
        <v>477</v>
      </c>
    </row>
    <row r="21351">
      <c r="B21351" s="17" t="s">
        <v>477</v>
      </c>
      <c r="K21351" s="18" t="s">
        <v>477</v>
      </c>
    </row>
    <row r="21352">
      <c r="B21352" s="17" t="s">
        <v>477</v>
      </c>
      <c r="K21352" s="18" t="s">
        <v>477</v>
      </c>
    </row>
    <row r="21353">
      <c r="B21353" s="17" t="s">
        <v>477</v>
      </c>
      <c r="K21353" s="18" t="s">
        <v>477</v>
      </c>
    </row>
    <row r="21354">
      <c r="B21354" s="17" t="s">
        <v>477</v>
      </c>
      <c r="K21354" s="18" t="s">
        <v>477</v>
      </c>
    </row>
    <row r="21355">
      <c r="B21355" s="17" t="s">
        <v>477</v>
      </c>
      <c r="K21355" s="18" t="s">
        <v>477</v>
      </c>
    </row>
    <row r="21356">
      <c r="B21356" s="17" t="s">
        <v>477</v>
      </c>
      <c r="K21356" s="18" t="s">
        <v>477</v>
      </c>
    </row>
    <row r="21357">
      <c r="B21357" s="17" t="s">
        <v>477</v>
      </c>
      <c r="K21357" s="18" t="s">
        <v>477</v>
      </c>
    </row>
    <row r="21358">
      <c r="B21358" s="17" t="s">
        <v>477</v>
      </c>
      <c r="K21358" s="18" t="s">
        <v>477</v>
      </c>
    </row>
    <row r="21359">
      <c r="B21359" s="17" t="s">
        <v>477</v>
      </c>
      <c r="K21359" s="18" t="s">
        <v>477</v>
      </c>
    </row>
    <row r="21360">
      <c r="B21360" s="17" t="s">
        <v>477</v>
      </c>
      <c r="K21360" s="18" t="s">
        <v>477</v>
      </c>
    </row>
    <row r="21361">
      <c r="B21361" s="17" t="s">
        <v>477</v>
      </c>
      <c r="K21361" s="18" t="s">
        <v>477</v>
      </c>
    </row>
    <row r="21362">
      <c r="B21362" s="17" t="s">
        <v>477</v>
      </c>
      <c r="K21362" s="18" t="s">
        <v>477</v>
      </c>
    </row>
    <row r="21363">
      <c r="B21363" s="17" t="s">
        <v>477</v>
      </c>
      <c r="K21363" s="18" t="s">
        <v>477</v>
      </c>
    </row>
    <row r="21364">
      <c r="B21364" s="17" t="s">
        <v>477</v>
      </c>
      <c r="K21364" s="18" t="s">
        <v>477</v>
      </c>
    </row>
    <row r="21365">
      <c r="B21365" s="17" t="s">
        <v>477</v>
      </c>
      <c r="K21365" s="18" t="s">
        <v>477</v>
      </c>
    </row>
    <row r="21366">
      <c r="B21366" s="17" t="s">
        <v>477</v>
      </c>
      <c r="K21366" s="18" t="s">
        <v>477</v>
      </c>
    </row>
    <row r="21367">
      <c r="B21367" s="17" t="s">
        <v>477</v>
      </c>
      <c r="K21367" s="18" t="s">
        <v>477</v>
      </c>
    </row>
    <row r="21368">
      <c r="B21368" s="17" t="s">
        <v>477</v>
      </c>
      <c r="K21368" s="18" t="s">
        <v>477</v>
      </c>
    </row>
    <row r="21369">
      <c r="B21369" s="17" t="s">
        <v>477</v>
      </c>
      <c r="K21369" s="18" t="s">
        <v>477</v>
      </c>
    </row>
    <row r="21370">
      <c r="B21370" s="17" t="s">
        <v>477</v>
      </c>
      <c r="K21370" s="18" t="s">
        <v>477</v>
      </c>
    </row>
    <row r="21371">
      <c r="B21371" s="17" t="s">
        <v>477</v>
      </c>
      <c r="K21371" s="18" t="s">
        <v>477</v>
      </c>
    </row>
    <row r="21372">
      <c r="B21372" s="17" t="s">
        <v>477</v>
      </c>
      <c r="K21372" s="18" t="s">
        <v>477</v>
      </c>
    </row>
    <row r="21373">
      <c r="B21373" s="17" t="s">
        <v>477</v>
      </c>
      <c r="K21373" s="18" t="s">
        <v>477</v>
      </c>
    </row>
    <row r="21374">
      <c r="B21374" s="17" t="s">
        <v>477</v>
      </c>
      <c r="K21374" s="18" t="s">
        <v>477</v>
      </c>
    </row>
    <row r="21375">
      <c r="B21375" s="17" t="s">
        <v>477</v>
      </c>
      <c r="K21375" s="18" t="s">
        <v>477</v>
      </c>
    </row>
    <row r="21376">
      <c r="B21376" s="17" t="s">
        <v>477</v>
      </c>
      <c r="K21376" s="18" t="s">
        <v>477</v>
      </c>
    </row>
    <row r="21377">
      <c r="B21377" s="17" t="s">
        <v>477</v>
      </c>
      <c r="K21377" s="18" t="s">
        <v>477</v>
      </c>
    </row>
    <row r="21378">
      <c r="B21378" s="17" t="s">
        <v>477</v>
      </c>
      <c r="K21378" s="18" t="s">
        <v>477</v>
      </c>
    </row>
    <row r="21379">
      <c r="B21379" s="17" t="s">
        <v>477</v>
      </c>
      <c r="K21379" s="18" t="s">
        <v>477</v>
      </c>
    </row>
    <row r="21380">
      <c r="B21380" s="17" t="s">
        <v>477</v>
      </c>
      <c r="K21380" s="18" t="s">
        <v>477</v>
      </c>
    </row>
    <row r="21381">
      <c r="B21381" s="17" t="s">
        <v>477</v>
      </c>
      <c r="K21381" s="18" t="s">
        <v>477</v>
      </c>
    </row>
    <row r="21382">
      <c r="B21382" s="17" t="s">
        <v>477</v>
      </c>
      <c r="K21382" s="18" t="s">
        <v>477</v>
      </c>
    </row>
    <row r="21383">
      <c r="B21383" s="17" t="s">
        <v>477</v>
      </c>
      <c r="K21383" s="18" t="s">
        <v>477</v>
      </c>
    </row>
    <row r="21384">
      <c r="B21384" s="17" t="s">
        <v>477</v>
      </c>
      <c r="K21384" s="18" t="s">
        <v>477</v>
      </c>
    </row>
    <row r="21385">
      <c r="B21385" s="17" t="s">
        <v>477</v>
      </c>
      <c r="K21385" s="18" t="s">
        <v>477</v>
      </c>
    </row>
    <row r="21386">
      <c r="B21386" s="17" t="s">
        <v>477</v>
      </c>
      <c r="K21386" s="18" t="s">
        <v>477</v>
      </c>
    </row>
    <row r="21387">
      <c r="B21387" s="17" t="s">
        <v>477</v>
      </c>
      <c r="K21387" s="18" t="s">
        <v>477</v>
      </c>
    </row>
    <row r="21388">
      <c r="B21388" s="17" t="s">
        <v>477</v>
      </c>
      <c r="K21388" s="18" t="s">
        <v>477</v>
      </c>
    </row>
    <row r="21389">
      <c r="B21389" s="17" t="s">
        <v>477</v>
      </c>
      <c r="K21389" s="18" t="s">
        <v>477</v>
      </c>
    </row>
    <row r="21390">
      <c r="B21390" s="17" t="s">
        <v>477</v>
      </c>
      <c r="K21390" s="18" t="s">
        <v>477</v>
      </c>
    </row>
    <row r="21391">
      <c r="B21391" s="17" t="s">
        <v>477</v>
      </c>
      <c r="K21391" s="18" t="s">
        <v>477</v>
      </c>
    </row>
    <row r="21392">
      <c r="B21392" s="17" t="s">
        <v>477</v>
      </c>
      <c r="K21392" s="18" t="s">
        <v>477</v>
      </c>
    </row>
    <row r="21393">
      <c r="B21393" s="17" t="s">
        <v>477</v>
      </c>
      <c r="K21393" s="18" t="s">
        <v>477</v>
      </c>
    </row>
    <row r="21394">
      <c r="B21394" s="17" t="s">
        <v>477</v>
      </c>
      <c r="K21394" s="18" t="s">
        <v>477</v>
      </c>
    </row>
    <row r="21395">
      <c r="B21395" s="17" t="s">
        <v>477</v>
      </c>
      <c r="K21395" s="18" t="s">
        <v>477</v>
      </c>
    </row>
    <row r="21396">
      <c r="B21396" s="17" t="s">
        <v>477</v>
      </c>
      <c r="K21396" s="18" t="s">
        <v>477</v>
      </c>
    </row>
    <row r="21397">
      <c r="B21397" s="17" t="s">
        <v>477</v>
      </c>
      <c r="K21397" s="18" t="s">
        <v>477</v>
      </c>
    </row>
    <row r="21398">
      <c r="B21398" s="17" t="s">
        <v>477</v>
      </c>
      <c r="K21398" s="18" t="s">
        <v>477</v>
      </c>
    </row>
    <row r="21399">
      <c r="B21399" s="17" t="s">
        <v>477</v>
      </c>
      <c r="K21399" s="18" t="s">
        <v>477</v>
      </c>
    </row>
    <row r="21400">
      <c r="B21400" s="17" t="s">
        <v>477</v>
      </c>
      <c r="K21400" s="18" t="s">
        <v>477</v>
      </c>
    </row>
    <row r="21401">
      <c r="B21401" s="17" t="s">
        <v>477</v>
      </c>
      <c r="K21401" s="18" t="s">
        <v>477</v>
      </c>
    </row>
    <row r="21402">
      <c r="B21402" s="17" t="s">
        <v>477</v>
      </c>
      <c r="K21402" s="18" t="s">
        <v>477</v>
      </c>
    </row>
    <row r="21403">
      <c r="B21403" s="17" t="s">
        <v>477</v>
      </c>
      <c r="K21403" s="18" t="s">
        <v>477</v>
      </c>
    </row>
    <row r="21404">
      <c r="B21404" s="17" t="s">
        <v>477</v>
      </c>
      <c r="K21404" s="18" t="s">
        <v>477</v>
      </c>
    </row>
    <row r="21405">
      <c r="B21405" s="17" t="s">
        <v>477</v>
      </c>
      <c r="K21405" s="18" t="s">
        <v>477</v>
      </c>
    </row>
    <row r="21406">
      <c r="B21406" s="17" t="s">
        <v>477</v>
      </c>
      <c r="K21406" s="18" t="s">
        <v>477</v>
      </c>
    </row>
    <row r="21407">
      <c r="B21407" s="17" t="s">
        <v>477</v>
      </c>
      <c r="K21407" s="18" t="s">
        <v>477</v>
      </c>
    </row>
    <row r="21408">
      <c r="B21408" s="17" t="s">
        <v>477</v>
      </c>
      <c r="K21408" s="18" t="s">
        <v>477</v>
      </c>
    </row>
    <row r="21409">
      <c r="B21409" s="17" t="s">
        <v>477</v>
      </c>
      <c r="K21409" s="18" t="s">
        <v>477</v>
      </c>
    </row>
    <row r="21410">
      <c r="B21410" s="17" t="s">
        <v>477</v>
      </c>
      <c r="K21410" s="18" t="s">
        <v>477</v>
      </c>
    </row>
    <row r="21411">
      <c r="B21411" s="17" t="s">
        <v>477</v>
      </c>
      <c r="K21411" s="18" t="s">
        <v>477</v>
      </c>
    </row>
    <row r="21412">
      <c r="B21412" s="17" t="s">
        <v>477</v>
      </c>
      <c r="K21412" s="18" t="s">
        <v>477</v>
      </c>
    </row>
    <row r="21413">
      <c r="B21413" s="17" t="s">
        <v>477</v>
      </c>
      <c r="K21413" s="18" t="s">
        <v>477</v>
      </c>
    </row>
    <row r="21414">
      <c r="B21414" s="17" t="s">
        <v>477</v>
      </c>
      <c r="K21414" s="18" t="s">
        <v>477</v>
      </c>
    </row>
    <row r="21415">
      <c r="B21415" s="17" t="s">
        <v>477</v>
      </c>
      <c r="K21415" s="18" t="s">
        <v>477</v>
      </c>
    </row>
    <row r="21416">
      <c r="B21416" s="17" t="s">
        <v>477</v>
      </c>
      <c r="K21416" s="18" t="s">
        <v>477</v>
      </c>
    </row>
    <row r="21417">
      <c r="B21417" s="17" t="s">
        <v>477</v>
      </c>
      <c r="K21417" s="18" t="s">
        <v>477</v>
      </c>
    </row>
    <row r="21418">
      <c r="B21418" s="17" t="s">
        <v>477</v>
      </c>
      <c r="K21418" s="18" t="s">
        <v>477</v>
      </c>
    </row>
    <row r="21419">
      <c r="B21419" s="17" t="s">
        <v>477</v>
      </c>
      <c r="K21419" s="18" t="s">
        <v>477</v>
      </c>
    </row>
    <row r="21420">
      <c r="B21420" s="17" t="s">
        <v>477</v>
      </c>
      <c r="K21420" s="18" t="s">
        <v>477</v>
      </c>
    </row>
    <row r="21421">
      <c r="B21421" s="17" t="s">
        <v>477</v>
      </c>
      <c r="K21421" s="18" t="s">
        <v>477</v>
      </c>
    </row>
    <row r="21422">
      <c r="B21422" s="17" t="s">
        <v>477</v>
      </c>
      <c r="K21422" s="18" t="s">
        <v>477</v>
      </c>
    </row>
    <row r="21423">
      <c r="B21423" s="17" t="s">
        <v>477</v>
      </c>
      <c r="K21423" s="18" t="s">
        <v>477</v>
      </c>
    </row>
    <row r="21424">
      <c r="B21424" s="17" t="s">
        <v>477</v>
      </c>
      <c r="K21424" s="18" t="s">
        <v>477</v>
      </c>
    </row>
    <row r="21425">
      <c r="B21425" s="17" t="s">
        <v>477</v>
      </c>
      <c r="K21425" s="18" t="s">
        <v>477</v>
      </c>
    </row>
    <row r="21426">
      <c r="B21426" s="17" t="s">
        <v>477</v>
      </c>
      <c r="K21426" s="18" t="s">
        <v>477</v>
      </c>
    </row>
    <row r="21427">
      <c r="B21427" s="17" t="s">
        <v>477</v>
      </c>
      <c r="K21427" s="18" t="s">
        <v>477</v>
      </c>
    </row>
    <row r="21428">
      <c r="B21428" s="17" t="s">
        <v>477</v>
      </c>
      <c r="K21428" s="18" t="s">
        <v>477</v>
      </c>
    </row>
    <row r="21429">
      <c r="B21429" s="17" t="s">
        <v>477</v>
      </c>
      <c r="K21429" s="18" t="s">
        <v>477</v>
      </c>
    </row>
    <row r="21430">
      <c r="B21430" s="17" t="s">
        <v>477</v>
      </c>
      <c r="K21430" s="18" t="s">
        <v>477</v>
      </c>
    </row>
    <row r="21431">
      <c r="B21431" s="17" t="s">
        <v>477</v>
      </c>
      <c r="K21431" s="18" t="s">
        <v>477</v>
      </c>
    </row>
    <row r="21432">
      <c r="B21432" s="17" t="s">
        <v>477</v>
      </c>
      <c r="K21432" s="18" t="s">
        <v>477</v>
      </c>
    </row>
    <row r="21433">
      <c r="B21433" s="17" t="s">
        <v>477</v>
      </c>
      <c r="K21433" s="18" t="s">
        <v>477</v>
      </c>
    </row>
    <row r="21434">
      <c r="B21434" s="17" t="s">
        <v>477</v>
      </c>
      <c r="K21434" s="18" t="s">
        <v>477</v>
      </c>
    </row>
    <row r="21435">
      <c r="B21435" s="17" t="s">
        <v>477</v>
      </c>
      <c r="K21435" s="18" t="s">
        <v>477</v>
      </c>
    </row>
    <row r="21436">
      <c r="B21436" s="17" t="s">
        <v>477</v>
      </c>
      <c r="K21436" s="18" t="s">
        <v>477</v>
      </c>
    </row>
    <row r="21437">
      <c r="B21437" s="17" t="s">
        <v>477</v>
      </c>
      <c r="K21437" s="18" t="s">
        <v>477</v>
      </c>
    </row>
    <row r="21438">
      <c r="B21438" s="17" t="s">
        <v>477</v>
      </c>
      <c r="K21438" s="18" t="s">
        <v>477</v>
      </c>
    </row>
    <row r="21439">
      <c r="B21439" s="17" t="s">
        <v>477</v>
      </c>
      <c r="K21439" s="18" t="s">
        <v>477</v>
      </c>
    </row>
    <row r="21440">
      <c r="B21440" s="17" t="s">
        <v>477</v>
      </c>
      <c r="K21440" s="18" t="s">
        <v>477</v>
      </c>
    </row>
    <row r="21441">
      <c r="B21441" s="17" t="s">
        <v>477</v>
      </c>
      <c r="K21441" s="18" t="s">
        <v>477</v>
      </c>
    </row>
    <row r="21442">
      <c r="B21442" s="17" t="s">
        <v>477</v>
      </c>
      <c r="K21442" s="18" t="s">
        <v>477</v>
      </c>
    </row>
    <row r="21443">
      <c r="B21443" s="17" t="s">
        <v>477</v>
      </c>
      <c r="K21443" s="18" t="s">
        <v>477</v>
      </c>
    </row>
    <row r="21444">
      <c r="B21444" s="17" t="s">
        <v>477</v>
      </c>
      <c r="K21444" s="18" t="s">
        <v>477</v>
      </c>
    </row>
    <row r="21445">
      <c r="B21445" s="17" t="s">
        <v>477</v>
      </c>
      <c r="K21445" s="18" t="s">
        <v>477</v>
      </c>
    </row>
    <row r="21446">
      <c r="B21446" s="17" t="s">
        <v>477</v>
      </c>
      <c r="K21446" s="18" t="s">
        <v>477</v>
      </c>
    </row>
    <row r="21447">
      <c r="B21447" s="17" t="s">
        <v>477</v>
      </c>
      <c r="K21447" s="18" t="s">
        <v>477</v>
      </c>
    </row>
    <row r="21448">
      <c r="B21448" s="17" t="s">
        <v>477</v>
      </c>
      <c r="K21448" s="18" t="s">
        <v>477</v>
      </c>
    </row>
    <row r="21449">
      <c r="B21449" s="17" t="s">
        <v>477</v>
      </c>
      <c r="K21449" s="18" t="s">
        <v>477</v>
      </c>
    </row>
    <row r="21450">
      <c r="B21450" s="17" t="s">
        <v>477</v>
      </c>
      <c r="K21450" s="18" t="s">
        <v>477</v>
      </c>
    </row>
    <row r="21451">
      <c r="B21451" s="17" t="s">
        <v>477</v>
      </c>
      <c r="K21451" s="18" t="s">
        <v>477</v>
      </c>
    </row>
    <row r="21452">
      <c r="B21452" s="17" t="s">
        <v>477</v>
      </c>
      <c r="K21452" s="18" t="s">
        <v>477</v>
      </c>
    </row>
    <row r="21453">
      <c r="B21453" s="17" t="s">
        <v>477</v>
      </c>
      <c r="K21453" s="18" t="s">
        <v>477</v>
      </c>
    </row>
    <row r="21454">
      <c r="B21454" s="17" t="s">
        <v>477</v>
      </c>
      <c r="K21454" s="18" t="s">
        <v>477</v>
      </c>
    </row>
    <row r="21455">
      <c r="B21455" s="17" t="s">
        <v>477</v>
      </c>
      <c r="K21455" s="18" t="s">
        <v>477</v>
      </c>
    </row>
    <row r="21456">
      <c r="B21456" s="17" t="s">
        <v>477</v>
      </c>
      <c r="K21456" s="18" t="s">
        <v>477</v>
      </c>
    </row>
    <row r="21457">
      <c r="B21457" s="17" t="s">
        <v>477</v>
      </c>
      <c r="K21457" s="18" t="s">
        <v>477</v>
      </c>
    </row>
    <row r="21458">
      <c r="B21458" s="17" t="s">
        <v>477</v>
      </c>
      <c r="K21458" s="18" t="s">
        <v>477</v>
      </c>
    </row>
    <row r="21459">
      <c r="B21459" s="17" t="s">
        <v>477</v>
      </c>
      <c r="K21459" s="18" t="s">
        <v>477</v>
      </c>
    </row>
    <row r="21460">
      <c r="B21460" s="17" t="s">
        <v>477</v>
      </c>
      <c r="K21460" s="18" t="s">
        <v>477</v>
      </c>
    </row>
    <row r="21461">
      <c r="B21461" s="17" t="s">
        <v>477</v>
      </c>
      <c r="K21461" s="18" t="s">
        <v>477</v>
      </c>
    </row>
    <row r="21462">
      <c r="B21462" s="17" t="s">
        <v>477</v>
      </c>
      <c r="K21462" s="18" t="s">
        <v>477</v>
      </c>
    </row>
    <row r="21463">
      <c r="B21463" s="17" t="s">
        <v>477</v>
      </c>
      <c r="K21463" s="18" t="s">
        <v>477</v>
      </c>
    </row>
    <row r="21464">
      <c r="B21464" s="17" t="s">
        <v>477</v>
      </c>
      <c r="K21464" s="18" t="s">
        <v>477</v>
      </c>
    </row>
    <row r="21465">
      <c r="B21465" s="17" t="s">
        <v>477</v>
      </c>
      <c r="K21465" s="18" t="s">
        <v>477</v>
      </c>
    </row>
    <row r="21466">
      <c r="B21466" s="17" t="s">
        <v>477</v>
      </c>
      <c r="K21466" s="18" t="s">
        <v>477</v>
      </c>
    </row>
    <row r="21467">
      <c r="B21467" s="17" t="s">
        <v>477</v>
      </c>
      <c r="K21467" s="18" t="s">
        <v>477</v>
      </c>
    </row>
    <row r="21468">
      <c r="B21468" s="17" t="s">
        <v>477</v>
      </c>
      <c r="K21468" s="18" t="s">
        <v>477</v>
      </c>
    </row>
    <row r="21469">
      <c r="B21469" s="17" t="s">
        <v>477</v>
      </c>
      <c r="K21469" s="18" t="s">
        <v>477</v>
      </c>
    </row>
    <row r="21470">
      <c r="B21470" s="17" t="s">
        <v>477</v>
      </c>
      <c r="K21470" s="18" t="s">
        <v>477</v>
      </c>
    </row>
    <row r="21471">
      <c r="B21471" s="17" t="s">
        <v>477</v>
      </c>
      <c r="K21471" s="18" t="s">
        <v>477</v>
      </c>
    </row>
    <row r="21472">
      <c r="B21472" s="17" t="s">
        <v>477</v>
      </c>
      <c r="K21472" s="18" t="s">
        <v>477</v>
      </c>
    </row>
    <row r="21473">
      <c r="B21473" s="17" t="s">
        <v>477</v>
      </c>
      <c r="K21473" s="18" t="s">
        <v>477</v>
      </c>
    </row>
    <row r="21474">
      <c r="B21474" s="17" t="s">
        <v>477</v>
      </c>
      <c r="K21474" s="18" t="s">
        <v>477</v>
      </c>
    </row>
    <row r="21475">
      <c r="B21475" s="17" t="s">
        <v>477</v>
      </c>
      <c r="K21475" s="18" t="s">
        <v>477</v>
      </c>
    </row>
    <row r="21476">
      <c r="B21476" s="17" t="s">
        <v>477</v>
      </c>
      <c r="K21476" s="18" t="s">
        <v>477</v>
      </c>
    </row>
    <row r="21477">
      <c r="B21477" s="17" t="s">
        <v>477</v>
      </c>
      <c r="K21477" s="18" t="s">
        <v>477</v>
      </c>
    </row>
    <row r="21478">
      <c r="B21478" s="17" t="s">
        <v>477</v>
      </c>
      <c r="K21478" s="18" t="s">
        <v>477</v>
      </c>
    </row>
    <row r="21479">
      <c r="B21479" s="17" t="s">
        <v>477</v>
      </c>
      <c r="K21479" s="18" t="s">
        <v>477</v>
      </c>
    </row>
    <row r="21480">
      <c r="B21480" s="17" t="s">
        <v>477</v>
      </c>
      <c r="K21480" s="18" t="s">
        <v>477</v>
      </c>
    </row>
    <row r="21481">
      <c r="B21481" s="17" t="s">
        <v>477</v>
      </c>
      <c r="K21481" s="18" t="s">
        <v>477</v>
      </c>
    </row>
    <row r="21482">
      <c r="B21482" s="17" t="s">
        <v>477</v>
      </c>
      <c r="K21482" s="18" t="s">
        <v>477</v>
      </c>
    </row>
    <row r="21483">
      <c r="B21483" s="17" t="s">
        <v>477</v>
      </c>
      <c r="K21483" s="18" t="s">
        <v>477</v>
      </c>
    </row>
    <row r="21484">
      <c r="B21484" s="17" t="s">
        <v>477</v>
      </c>
      <c r="K21484" s="18" t="s">
        <v>477</v>
      </c>
    </row>
    <row r="21485">
      <c r="B21485" s="17" t="s">
        <v>477</v>
      </c>
      <c r="K21485" s="18" t="s">
        <v>477</v>
      </c>
    </row>
    <row r="21486">
      <c r="B21486" s="17" t="s">
        <v>477</v>
      </c>
      <c r="K21486" s="18" t="s">
        <v>477</v>
      </c>
    </row>
    <row r="21487">
      <c r="B21487" s="17" t="s">
        <v>477</v>
      </c>
      <c r="K21487" s="18" t="s">
        <v>477</v>
      </c>
    </row>
    <row r="21488">
      <c r="B21488" s="17" t="s">
        <v>477</v>
      </c>
      <c r="K21488" s="18" t="s">
        <v>477</v>
      </c>
    </row>
    <row r="21489">
      <c r="B21489" s="17" t="s">
        <v>477</v>
      </c>
      <c r="K21489" s="18" t="s">
        <v>477</v>
      </c>
    </row>
    <row r="21490">
      <c r="B21490" s="17" t="s">
        <v>477</v>
      </c>
      <c r="K21490" s="18" t="s">
        <v>477</v>
      </c>
    </row>
    <row r="21491">
      <c r="B21491" s="17" t="s">
        <v>477</v>
      </c>
      <c r="K21491" s="18" t="s">
        <v>477</v>
      </c>
    </row>
    <row r="21492">
      <c r="B21492" s="17" t="s">
        <v>477</v>
      </c>
      <c r="K21492" s="18" t="s">
        <v>477</v>
      </c>
    </row>
    <row r="21493">
      <c r="B21493" s="17" t="s">
        <v>477</v>
      </c>
      <c r="K21493" s="18" t="s">
        <v>477</v>
      </c>
    </row>
    <row r="21494">
      <c r="B21494" s="17" t="s">
        <v>477</v>
      </c>
      <c r="K21494" s="18" t="s">
        <v>477</v>
      </c>
    </row>
    <row r="21495">
      <c r="B21495" s="17" t="s">
        <v>477</v>
      </c>
      <c r="K21495" s="18" t="s">
        <v>477</v>
      </c>
    </row>
    <row r="21496">
      <c r="B21496" s="17" t="s">
        <v>477</v>
      </c>
      <c r="K21496" s="18" t="s">
        <v>477</v>
      </c>
    </row>
    <row r="21497">
      <c r="B21497" s="17" t="s">
        <v>477</v>
      </c>
      <c r="K21497" s="18" t="s">
        <v>477</v>
      </c>
    </row>
    <row r="21498">
      <c r="B21498" s="17" t="s">
        <v>477</v>
      </c>
      <c r="K21498" s="18" t="s">
        <v>477</v>
      </c>
    </row>
    <row r="21499">
      <c r="B21499" s="17" t="s">
        <v>477</v>
      </c>
      <c r="K21499" s="18" t="s">
        <v>477</v>
      </c>
    </row>
    <row r="21500">
      <c r="B21500" s="17" t="s">
        <v>477</v>
      </c>
      <c r="K21500" s="18" t="s">
        <v>477</v>
      </c>
    </row>
    <row r="21501">
      <c r="B21501" s="17" t="s">
        <v>477</v>
      </c>
      <c r="K21501" s="18" t="s">
        <v>477</v>
      </c>
    </row>
    <row r="21502">
      <c r="B21502" s="17" t="s">
        <v>477</v>
      </c>
      <c r="K21502" s="18" t="s">
        <v>477</v>
      </c>
    </row>
    <row r="21503">
      <c r="B21503" s="17" t="s">
        <v>477</v>
      </c>
      <c r="K21503" s="18" t="s">
        <v>477</v>
      </c>
    </row>
    <row r="21504">
      <c r="B21504" s="17" t="s">
        <v>477</v>
      </c>
      <c r="K21504" s="18" t="s">
        <v>477</v>
      </c>
    </row>
    <row r="21505">
      <c r="B21505" s="17" t="s">
        <v>477</v>
      </c>
      <c r="K21505" s="18" t="s">
        <v>477</v>
      </c>
    </row>
    <row r="21506">
      <c r="B21506" s="17" t="s">
        <v>477</v>
      </c>
      <c r="K21506" s="18" t="s">
        <v>477</v>
      </c>
    </row>
    <row r="21507">
      <c r="B21507" s="17" t="s">
        <v>477</v>
      </c>
      <c r="K21507" s="18" t="s">
        <v>477</v>
      </c>
    </row>
    <row r="21508">
      <c r="B21508" s="17" t="s">
        <v>477</v>
      </c>
      <c r="K21508" s="18" t="s">
        <v>477</v>
      </c>
    </row>
    <row r="21509">
      <c r="B21509" s="17" t="s">
        <v>477</v>
      </c>
      <c r="K21509" s="18" t="s">
        <v>477</v>
      </c>
    </row>
    <row r="21510">
      <c r="B21510" s="17" t="s">
        <v>477</v>
      </c>
      <c r="K21510" s="18" t="s">
        <v>477</v>
      </c>
    </row>
    <row r="21511">
      <c r="B21511" s="17" t="s">
        <v>477</v>
      </c>
      <c r="K21511" s="18" t="s">
        <v>477</v>
      </c>
    </row>
    <row r="21512">
      <c r="B21512" s="17" t="s">
        <v>477</v>
      </c>
      <c r="K21512" s="18" t="s">
        <v>477</v>
      </c>
    </row>
    <row r="21513">
      <c r="B21513" s="17" t="s">
        <v>477</v>
      </c>
      <c r="K21513" s="18" t="s">
        <v>477</v>
      </c>
    </row>
    <row r="21514">
      <c r="B21514" s="17" t="s">
        <v>477</v>
      </c>
      <c r="K21514" s="18" t="s">
        <v>477</v>
      </c>
    </row>
    <row r="21515">
      <c r="B21515" s="17" t="s">
        <v>477</v>
      </c>
      <c r="K21515" s="18" t="s">
        <v>477</v>
      </c>
    </row>
    <row r="21516">
      <c r="B21516" s="17" t="s">
        <v>477</v>
      </c>
      <c r="K21516" s="18" t="s">
        <v>477</v>
      </c>
    </row>
    <row r="21517">
      <c r="B21517" s="17" t="s">
        <v>477</v>
      </c>
      <c r="K21517" s="18" t="s">
        <v>477</v>
      </c>
    </row>
    <row r="21518">
      <c r="B21518" s="17" t="s">
        <v>477</v>
      </c>
      <c r="K21518" s="18" t="s">
        <v>477</v>
      </c>
    </row>
    <row r="21519">
      <c r="B21519" s="17" t="s">
        <v>477</v>
      </c>
      <c r="K21519" s="18" t="s">
        <v>477</v>
      </c>
    </row>
    <row r="21520">
      <c r="B21520" s="17" t="s">
        <v>477</v>
      </c>
      <c r="K21520" s="18" t="s">
        <v>477</v>
      </c>
    </row>
    <row r="21521">
      <c r="B21521" s="17" t="s">
        <v>477</v>
      </c>
      <c r="K21521" s="18" t="s">
        <v>477</v>
      </c>
    </row>
    <row r="21522">
      <c r="B21522" s="17" t="s">
        <v>477</v>
      </c>
      <c r="K21522" s="18" t="s">
        <v>477</v>
      </c>
    </row>
    <row r="21523">
      <c r="B21523" s="17" t="s">
        <v>477</v>
      </c>
      <c r="K21523" s="18" t="s">
        <v>477</v>
      </c>
    </row>
    <row r="21524">
      <c r="B21524" s="17" t="s">
        <v>477</v>
      </c>
      <c r="K21524" s="18" t="s">
        <v>477</v>
      </c>
    </row>
    <row r="21525">
      <c r="B21525" s="17" t="s">
        <v>477</v>
      </c>
      <c r="K21525" s="18" t="s">
        <v>477</v>
      </c>
    </row>
    <row r="21526">
      <c r="B21526" s="17" t="s">
        <v>477</v>
      </c>
      <c r="K21526" s="18" t="s">
        <v>477</v>
      </c>
    </row>
    <row r="21527">
      <c r="B21527" s="17" t="s">
        <v>477</v>
      </c>
      <c r="K21527" s="18" t="s">
        <v>477</v>
      </c>
    </row>
    <row r="21528">
      <c r="B21528" s="17" t="s">
        <v>477</v>
      </c>
      <c r="K21528" s="18" t="s">
        <v>477</v>
      </c>
    </row>
    <row r="21529">
      <c r="B21529" s="17" t="s">
        <v>477</v>
      </c>
      <c r="K21529" s="18" t="s">
        <v>477</v>
      </c>
    </row>
    <row r="21530">
      <c r="B21530" s="17" t="s">
        <v>477</v>
      </c>
      <c r="K21530" s="18" t="s">
        <v>477</v>
      </c>
    </row>
    <row r="21531">
      <c r="B21531" s="17" t="s">
        <v>477</v>
      </c>
      <c r="K21531" s="18" t="s">
        <v>477</v>
      </c>
    </row>
    <row r="21532">
      <c r="B21532" s="17" t="s">
        <v>477</v>
      </c>
      <c r="K21532" s="18" t="s">
        <v>477</v>
      </c>
    </row>
    <row r="21533">
      <c r="B21533" s="17" t="s">
        <v>477</v>
      </c>
      <c r="K21533" s="18" t="s">
        <v>477</v>
      </c>
    </row>
    <row r="21534">
      <c r="B21534" s="17" t="s">
        <v>477</v>
      </c>
      <c r="K21534" s="18" t="s">
        <v>477</v>
      </c>
    </row>
    <row r="21535">
      <c r="B21535" s="17" t="s">
        <v>477</v>
      </c>
      <c r="K21535" s="18" t="s">
        <v>477</v>
      </c>
    </row>
    <row r="21536">
      <c r="B21536" s="17" t="s">
        <v>477</v>
      </c>
      <c r="K21536" s="18" t="s">
        <v>477</v>
      </c>
    </row>
    <row r="21537">
      <c r="B21537" s="17" t="s">
        <v>477</v>
      </c>
      <c r="K21537" s="18" t="s">
        <v>477</v>
      </c>
    </row>
    <row r="21538">
      <c r="B21538" s="17" t="s">
        <v>477</v>
      </c>
      <c r="K21538" s="18" t="s">
        <v>477</v>
      </c>
    </row>
    <row r="21539">
      <c r="B21539" s="17" t="s">
        <v>477</v>
      </c>
      <c r="K21539" s="18" t="s">
        <v>477</v>
      </c>
    </row>
    <row r="21540">
      <c r="B21540" s="17" t="s">
        <v>477</v>
      </c>
      <c r="K21540" s="18" t="s">
        <v>477</v>
      </c>
    </row>
    <row r="21541">
      <c r="B21541" s="17" t="s">
        <v>477</v>
      </c>
      <c r="K21541" s="18" t="s">
        <v>477</v>
      </c>
    </row>
    <row r="21542">
      <c r="B21542" s="17" t="s">
        <v>477</v>
      </c>
      <c r="K21542" s="18" t="s">
        <v>477</v>
      </c>
    </row>
    <row r="21543">
      <c r="B21543" s="17" t="s">
        <v>477</v>
      </c>
      <c r="K21543" s="18" t="s">
        <v>477</v>
      </c>
    </row>
    <row r="21544">
      <c r="B21544" s="17" t="s">
        <v>477</v>
      </c>
      <c r="K21544" s="18" t="s">
        <v>477</v>
      </c>
    </row>
    <row r="21545">
      <c r="B21545" s="17" t="s">
        <v>477</v>
      </c>
      <c r="K21545" s="18" t="s">
        <v>477</v>
      </c>
    </row>
    <row r="21546">
      <c r="B21546" s="17" t="s">
        <v>477</v>
      </c>
      <c r="K21546" s="18" t="s">
        <v>477</v>
      </c>
    </row>
    <row r="21547">
      <c r="B21547" s="17" t="s">
        <v>477</v>
      </c>
      <c r="K21547" s="18" t="s">
        <v>477</v>
      </c>
    </row>
    <row r="21548">
      <c r="B21548" s="17" t="s">
        <v>477</v>
      </c>
      <c r="K21548" s="18" t="s">
        <v>477</v>
      </c>
    </row>
    <row r="21549">
      <c r="B21549" s="17" t="s">
        <v>477</v>
      </c>
      <c r="K21549" s="18" t="s">
        <v>477</v>
      </c>
    </row>
    <row r="21550">
      <c r="B21550" s="17" t="s">
        <v>477</v>
      </c>
      <c r="K21550" s="18" t="s">
        <v>477</v>
      </c>
    </row>
    <row r="21551">
      <c r="B21551" s="17" t="s">
        <v>477</v>
      </c>
      <c r="K21551" s="18" t="s">
        <v>477</v>
      </c>
    </row>
    <row r="21552">
      <c r="B21552" s="17" t="s">
        <v>477</v>
      </c>
      <c r="K21552" s="18" t="s">
        <v>477</v>
      </c>
    </row>
    <row r="21553">
      <c r="B21553" s="17" t="s">
        <v>477</v>
      </c>
      <c r="K21553" s="18" t="s">
        <v>477</v>
      </c>
    </row>
    <row r="21554">
      <c r="B21554" s="17" t="s">
        <v>477</v>
      </c>
      <c r="K21554" s="18" t="s">
        <v>477</v>
      </c>
    </row>
    <row r="21555">
      <c r="B21555" s="17" t="s">
        <v>477</v>
      </c>
      <c r="K21555" s="18" t="s">
        <v>477</v>
      </c>
    </row>
    <row r="21556">
      <c r="B21556" s="17" t="s">
        <v>477</v>
      </c>
      <c r="K21556" s="18" t="s">
        <v>477</v>
      </c>
    </row>
    <row r="21557">
      <c r="B21557" s="17" t="s">
        <v>477</v>
      </c>
      <c r="K21557" s="18" t="s">
        <v>477</v>
      </c>
    </row>
    <row r="21558">
      <c r="B21558" s="17" t="s">
        <v>477</v>
      </c>
      <c r="K21558" s="18" t="s">
        <v>477</v>
      </c>
    </row>
    <row r="21559">
      <c r="B21559" s="17" t="s">
        <v>477</v>
      </c>
      <c r="K21559" s="18" t="s">
        <v>477</v>
      </c>
    </row>
    <row r="21560">
      <c r="B21560" s="17" t="s">
        <v>477</v>
      </c>
      <c r="K21560" s="18" t="s">
        <v>477</v>
      </c>
    </row>
    <row r="21561">
      <c r="B21561" s="17" t="s">
        <v>477</v>
      </c>
      <c r="K21561" s="18" t="s">
        <v>477</v>
      </c>
    </row>
    <row r="21562">
      <c r="B21562" s="17" t="s">
        <v>477</v>
      </c>
      <c r="K21562" s="18" t="s">
        <v>477</v>
      </c>
    </row>
    <row r="21563">
      <c r="B21563" s="17" t="s">
        <v>477</v>
      </c>
      <c r="K21563" s="18" t="s">
        <v>477</v>
      </c>
    </row>
    <row r="21564">
      <c r="B21564" s="17" t="s">
        <v>477</v>
      </c>
      <c r="K21564" s="18" t="s">
        <v>477</v>
      </c>
    </row>
    <row r="21565">
      <c r="B21565" s="17" t="s">
        <v>477</v>
      </c>
      <c r="K21565" s="18" t="s">
        <v>477</v>
      </c>
    </row>
    <row r="21566">
      <c r="B21566" s="17" t="s">
        <v>477</v>
      </c>
      <c r="K21566" s="18" t="s">
        <v>477</v>
      </c>
    </row>
    <row r="21567">
      <c r="B21567" s="17" t="s">
        <v>477</v>
      </c>
      <c r="K21567" s="18" t="s">
        <v>477</v>
      </c>
    </row>
    <row r="21568">
      <c r="B21568" s="17" t="s">
        <v>477</v>
      </c>
      <c r="K21568" s="18" t="s">
        <v>477</v>
      </c>
    </row>
    <row r="21569">
      <c r="B21569" s="17" t="s">
        <v>477</v>
      </c>
      <c r="K21569" s="18" t="s">
        <v>477</v>
      </c>
    </row>
    <row r="21570">
      <c r="B21570" s="17" t="s">
        <v>477</v>
      </c>
      <c r="K21570" s="18" t="s">
        <v>477</v>
      </c>
    </row>
    <row r="21571">
      <c r="B21571" s="17" t="s">
        <v>477</v>
      </c>
      <c r="K21571" s="18" t="s">
        <v>477</v>
      </c>
    </row>
    <row r="21572">
      <c r="B21572" s="17" t="s">
        <v>477</v>
      </c>
      <c r="K21572" s="18" t="s">
        <v>477</v>
      </c>
    </row>
    <row r="21573">
      <c r="B21573" s="17" t="s">
        <v>477</v>
      </c>
      <c r="K21573" s="18" t="s">
        <v>477</v>
      </c>
    </row>
    <row r="21574">
      <c r="B21574" s="17" t="s">
        <v>477</v>
      </c>
      <c r="K21574" s="18" t="s">
        <v>477</v>
      </c>
    </row>
    <row r="21575">
      <c r="B21575" s="17" t="s">
        <v>477</v>
      </c>
      <c r="K21575" s="18" t="s">
        <v>477</v>
      </c>
    </row>
    <row r="21576">
      <c r="B21576" s="17" t="s">
        <v>477</v>
      </c>
      <c r="K21576" s="18" t="s">
        <v>477</v>
      </c>
    </row>
    <row r="21577">
      <c r="B21577" s="17" t="s">
        <v>477</v>
      </c>
      <c r="K21577" s="18" t="s">
        <v>477</v>
      </c>
    </row>
    <row r="21578">
      <c r="B21578" s="17" t="s">
        <v>477</v>
      </c>
      <c r="K21578" s="18" t="s">
        <v>477</v>
      </c>
    </row>
    <row r="21579">
      <c r="B21579" s="17" t="s">
        <v>477</v>
      </c>
      <c r="K21579" s="18" t="s">
        <v>477</v>
      </c>
    </row>
    <row r="21580">
      <c r="B21580" s="17" t="s">
        <v>477</v>
      </c>
      <c r="K21580" s="18" t="s">
        <v>477</v>
      </c>
    </row>
    <row r="21581">
      <c r="B21581" s="17" t="s">
        <v>477</v>
      </c>
      <c r="K21581" s="18" t="s">
        <v>477</v>
      </c>
    </row>
    <row r="21582">
      <c r="B21582" s="17" t="s">
        <v>477</v>
      </c>
      <c r="K21582" s="18" t="s">
        <v>477</v>
      </c>
    </row>
    <row r="21583">
      <c r="B21583" s="17" t="s">
        <v>477</v>
      </c>
      <c r="K21583" s="18" t="s">
        <v>477</v>
      </c>
    </row>
    <row r="21584">
      <c r="B21584" s="17" t="s">
        <v>477</v>
      </c>
      <c r="K21584" s="18" t="s">
        <v>477</v>
      </c>
    </row>
    <row r="21585">
      <c r="B21585" s="17" t="s">
        <v>477</v>
      </c>
      <c r="K21585" s="18" t="s">
        <v>477</v>
      </c>
    </row>
    <row r="21586">
      <c r="B21586" s="17" t="s">
        <v>477</v>
      </c>
      <c r="K21586" s="18" t="s">
        <v>477</v>
      </c>
    </row>
    <row r="21587">
      <c r="B21587" s="17" t="s">
        <v>477</v>
      </c>
      <c r="K21587" s="18" t="s">
        <v>477</v>
      </c>
    </row>
    <row r="21588">
      <c r="B21588" s="17" t="s">
        <v>477</v>
      </c>
      <c r="K21588" s="18" t="s">
        <v>477</v>
      </c>
    </row>
    <row r="21589">
      <c r="B21589" s="17" t="s">
        <v>477</v>
      </c>
      <c r="K21589" s="18" t="s">
        <v>477</v>
      </c>
    </row>
    <row r="21590">
      <c r="B21590" s="17" t="s">
        <v>477</v>
      </c>
      <c r="K21590" s="18" t="s">
        <v>477</v>
      </c>
    </row>
    <row r="21591">
      <c r="B21591" s="17" t="s">
        <v>477</v>
      </c>
      <c r="K21591" s="18" t="s">
        <v>477</v>
      </c>
    </row>
    <row r="21592">
      <c r="B21592" s="17" t="s">
        <v>477</v>
      </c>
      <c r="K21592" s="18" t="s">
        <v>477</v>
      </c>
    </row>
    <row r="21593">
      <c r="B21593" s="17" t="s">
        <v>477</v>
      </c>
      <c r="K21593" s="18" t="s">
        <v>477</v>
      </c>
    </row>
    <row r="21594">
      <c r="B21594" s="17" t="s">
        <v>477</v>
      </c>
      <c r="K21594" s="18" t="s">
        <v>477</v>
      </c>
    </row>
    <row r="21595">
      <c r="B21595" s="17" t="s">
        <v>477</v>
      </c>
      <c r="K21595" s="18" t="s">
        <v>477</v>
      </c>
    </row>
    <row r="21596">
      <c r="B21596" s="17" t="s">
        <v>477</v>
      </c>
      <c r="K21596" s="18" t="s">
        <v>477</v>
      </c>
    </row>
    <row r="21597">
      <c r="B21597" s="17" t="s">
        <v>477</v>
      </c>
      <c r="K21597" s="18" t="s">
        <v>477</v>
      </c>
    </row>
    <row r="21598">
      <c r="B21598" s="17" t="s">
        <v>477</v>
      </c>
      <c r="K21598" s="18" t="s">
        <v>477</v>
      </c>
    </row>
    <row r="21599">
      <c r="B21599" s="17" t="s">
        <v>477</v>
      </c>
      <c r="K21599" s="18" t="s">
        <v>477</v>
      </c>
    </row>
    <row r="21600">
      <c r="B21600" s="17" t="s">
        <v>477</v>
      </c>
      <c r="K21600" s="18" t="s">
        <v>477</v>
      </c>
    </row>
    <row r="21601">
      <c r="B21601" s="17" t="s">
        <v>477</v>
      </c>
      <c r="K21601" s="18" t="s">
        <v>477</v>
      </c>
    </row>
    <row r="21602">
      <c r="B21602" s="17" t="s">
        <v>477</v>
      </c>
      <c r="K21602" s="18" t="s">
        <v>477</v>
      </c>
    </row>
    <row r="21603">
      <c r="B21603" s="17" t="s">
        <v>477</v>
      </c>
      <c r="K21603" s="18" t="s">
        <v>477</v>
      </c>
    </row>
    <row r="21604">
      <c r="B21604" s="17" t="s">
        <v>477</v>
      </c>
      <c r="K21604" s="18" t="s">
        <v>477</v>
      </c>
    </row>
    <row r="21605">
      <c r="B21605" s="17" t="s">
        <v>477</v>
      </c>
      <c r="K21605" s="18" t="s">
        <v>477</v>
      </c>
    </row>
    <row r="21606">
      <c r="B21606" s="17" t="s">
        <v>477</v>
      </c>
      <c r="K21606" s="18" t="s">
        <v>477</v>
      </c>
    </row>
    <row r="21607">
      <c r="B21607" s="17" t="s">
        <v>477</v>
      </c>
      <c r="K21607" s="18" t="s">
        <v>477</v>
      </c>
    </row>
    <row r="21608">
      <c r="B21608" s="17" t="s">
        <v>477</v>
      </c>
      <c r="K21608" s="18" t="s">
        <v>477</v>
      </c>
    </row>
    <row r="21609">
      <c r="B21609" s="17" t="s">
        <v>477</v>
      </c>
      <c r="K21609" s="18" t="s">
        <v>477</v>
      </c>
    </row>
    <row r="21610">
      <c r="B21610" s="17" t="s">
        <v>477</v>
      </c>
      <c r="K21610" s="18" t="s">
        <v>477</v>
      </c>
    </row>
    <row r="21611">
      <c r="B21611" s="17" t="s">
        <v>477</v>
      </c>
      <c r="K21611" s="18" t="s">
        <v>477</v>
      </c>
    </row>
    <row r="21612">
      <c r="B21612" s="17" t="s">
        <v>477</v>
      </c>
      <c r="K21612" s="18" t="s">
        <v>477</v>
      </c>
    </row>
    <row r="21613">
      <c r="B21613" s="17" t="s">
        <v>477</v>
      </c>
      <c r="K21613" s="18" t="s">
        <v>477</v>
      </c>
    </row>
    <row r="21614">
      <c r="B21614" s="17" t="s">
        <v>477</v>
      </c>
      <c r="K21614" s="18" t="s">
        <v>477</v>
      </c>
    </row>
    <row r="21615">
      <c r="B21615" s="17" t="s">
        <v>477</v>
      </c>
      <c r="K21615" s="18" t="s">
        <v>477</v>
      </c>
    </row>
    <row r="21616">
      <c r="B21616" s="17" t="s">
        <v>477</v>
      </c>
      <c r="K21616" s="18" t="s">
        <v>477</v>
      </c>
    </row>
    <row r="21617">
      <c r="B21617" s="17" t="s">
        <v>477</v>
      </c>
      <c r="K21617" s="18" t="s">
        <v>477</v>
      </c>
    </row>
    <row r="21618">
      <c r="B21618" s="17" t="s">
        <v>477</v>
      </c>
      <c r="K21618" s="18" t="s">
        <v>477</v>
      </c>
    </row>
    <row r="21619">
      <c r="B21619" s="17" t="s">
        <v>477</v>
      </c>
      <c r="K21619" s="18" t="s">
        <v>477</v>
      </c>
    </row>
    <row r="21620">
      <c r="B21620" s="17" t="s">
        <v>477</v>
      </c>
      <c r="K21620" s="18" t="s">
        <v>477</v>
      </c>
    </row>
    <row r="21621">
      <c r="B21621" s="17" t="s">
        <v>477</v>
      </c>
      <c r="K21621" s="18" t="s">
        <v>477</v>
      </c>
    </row>
    <row r="21622">
      <c r="B21622" s="17" t="s">
        <v>477</v>
      </c>
      <c r="K21622" s="18" t="s">
        <v>477</v>
      </c>
    </row>
    <row r="21623">
      <c r="B21623" s="17" t="s">
        <v>477</v>
      </c>
      <c r="K21623" s="18" t="s">
        <v>477</v>
      </c>
    </row>
    <row r="21624">
      <c r="B21624" s="17" t="s">
        <v>477</v>
      </c>
      <c r="K21624" s="18" t="s">
        <v>477</v>
      </c>
    </row>
    <row r="21625">
      <c r="B21625" s="17" t="s">
        <v>477</v>
      </c>
      <c r="K21625" s="18" t="s">
        <v>477</v>
      </c>
    </row>
    <row r="21626">
      <c r="B21626" s="17" t="s">
        <v>477</v>
      </c>
      <c r="K21626" s="18" t="s">
        <v>477</v>
      </c>
    </row>
    <row r="21627">
      <c r="B21627" s="17" t="s">
        <v>477</v>
      </c>
      <c r="K21627" s="18" t="s">
        <v>477</v>
      </c>
    </row>
    <row r="21628">
      <c r="B21628" s="17" t="s">
        <v>477</v>
      </c>
      <c r="K21628" s="18" t="s">
        <v>477</v>
      </c>
    </row>
    <row r="21629">
      <c r="B21629" s="17" t="s">
        <v>477</v>
      </c>
      <c r="K21629" s="18" t="s">
        <v>477</v>
      </c>
    </row>
    <row r="21630">
      <c r="B21630" s="17" t="s">
        <v>477</v>
      </c>
      <c r="K21630" s="18" t="s">
        <v>477</v>
      </c>
    </row>
    <row r="21631">
      <c r="B21631" s="17" t="s">
        <v>477</v>
      </c>
      <c r="K21631" s="18" t="s">
        <v>477</v>
      </c>
    </row>
    <row r="21632">
      <c r="B21632" s="17" t="s">
        <v>477</v>
      </c>
      <c r="K21632" s="18" t="s">
        <v>477</v>
      </c>
    </row>
    <row r="21633">
      <c r="B21633" s="17" t="s">
        <v>477</v>
      </c>
      <c r="K21633" s="18" t="s">
        <v>477</v>
      </c>
    </row>
    <row r="21634">
      <c r="B21634" s="17" t="s">
        <v>477</v>
      </c>
      <c r="K21634" s="18" t="s">
        <v>477</v>
      </c>
    </row>
    <row r="21635">
      <c r="B21635" s="17" t="s">
        <v>477</v>
      </c>
      <c r="K21635" s="18" t="s">
        <v>477</v>
      </c>
    </row>
    <row r="21636">
      <c r="B21636" s="17" t="s">
        <v>477</v>
      </c>
      <c r="K21636" s="18" t="s">
        <v>477</v>
      </c>
    </row>
    <row r="21637">
      <c r="B21637" s="17" t="s">
        <v>477</v>
      </c>
      <c r="K21637" s="18" t="s">
        <v>477</v>
      </c>
    </row>
    <row r="21638">
      <c r="B21638" s="17" t="s">
        <v>477</v>
      </c>
      <c r="K21638" s="18" t="s">
        <v>477</v>
      </c>
    </row>
    <row r="21639">
      <c r="B21639" s="17" t="s">
        <v>477</v>
      </c>
      <c r="K21639" s="18" t="s">
        <v>477</v>
      </c>
    </row>
    <row r="21640">
      <c r="B21640" s="17" t="s">
        <v>477</v>
      </c>
      <c r="K21640" s="18" t="s">
        <v>477</v>
      </c>
    </row>
    <row r="21641">
      <c r="B21641" s="17" t="s">
        <v>477</v>
      </c>
      <c r="K21641" s="18" t="s">
        <v>477</v>
      </c>
    </row>
    <row r="21642">
      <c r="B21642" s="17" t="s">
        <v>477</v>
      </c>
      <c r="K21642" s="18" t="s">
        <v>477</v>
      </c>
    </row>
    <row r="21643">
      <c r="B21643" s="17" t="s">
        <v>477</v>
      </c>
      <c r="K21643" s="18" t="s">
        <v>477</v>
      </c>
    </row>
    <row r="21644">
      <c r="B21644" s="17" t="s">
        <v>477</v>
      </c>
      <c r="K21644" s="18" t="s">
        <v>477</v>
      </c>
    </row>
    <row r="21645">
      <c r="B21645" s="17" t="s">
        <v>477</v>
      </c>
      <c r="K21645" s="18" t="s">
        <v>477</v>
      </c>
    </row>
    <row r="21646">
      <c r="B21646" s="17" t="s">
        <v>477</v>
      </c>
      <c r="K21646" s="18" t="s">
        <v>477</v>
      </c>
    </row>
    <row r="21647">
      <c r="B21647" s="17" t="s">
        <v>477</v>
      </c>
      <c r="K21647" s="18" t="s">
        <v>477</v>
      </c>
    </row>
    <row r="21648">
      <c r="B21648" s="17" t="s">
        <v>477</v>
      </c>
      <c r="K21648" s="18" t="s">
        <v>477</v>
      </c>
    </row>
    <row r="21649">
      <c r="B21649" s="17" t="s">
        <v>477</v>
      </c>
      <c r="K21649" s="18" t="s">
        <v>477</v>
      </c>
    </row>
    <row r="21650">
      <c r="B21650" s="17" t="s">
        <v>477</v>
      </c>
      <c r="K21650" s="18" t="s">
        <v>477</v>
      </c>
    </row>
    <row r="21651">
      <c r="B21651" s="17" t="s">
        <v>477</v>
      </c>
      <c r="K21651" s="18" t="s">
        <v>477</v>
      </c>
    </row>
    <row r="21652">
      <c r="B21652" s="17" t="s">
        <v>477</v>
      </c>
      <c r="K21652" s="18" t="s">
        <v>477</v>
      </c>
    </row>
    <row r="21653">
      <c r="B21653" s="17" t="s">
        <v>477</v>
      </c>
      <c r="K21653" s="18" t="s">
        <v>477</v>
      </c>
    </row>
    <row r="21654">
      <c r="B21654" s="17" t="s">
        <v>477</v>
      </c>
      <c r="K21654" s="18" t="s">
        <v>477</v>
      </c>
    </row>
    <row r="21655">
      <c r="B21655" s="17" t="s">
        <v>477</v>
      </c>
      <c r="K21655" s="18" t="s">
        <v>477</v>
      </c>
    </row>
    <row r="21656">
      <c r="B21656" s="17" t="s">
        <v>477</v>
      </c>
      <c r="K21656" s="18" t="s">
        <v>477</v>
      </c>
    </row>
    <row r="21657">
      <c r="B21657" s="17" t="s">
        <v>477</v>
      </c>
      <c r="K21657" s="18" t="s">
        <v>477</v>
      </c>
    </row>
    <row r="21658">
      <c r="B21658" s="17" t="s">
        <v>477</v>
      </c>
      <c r="K21658" s="18" t="s">
        <v>477</v>
      </c>
    </row>
    <row r="21659">
      <c r="B21659" s="17" t="s">
        <v>477</v>
      </c>
      <c r="K21659" s="18" t="s">
        <v>477</v>
      </c>
    </row>
    <row r="21660">
      <c r="B21660" s="17" t="s">
        <v>477</v>
      </c>
      <c r="K21660" s="18" t="s">
        <v>477</v>
      </c>
    </row>
    <row r="21661">
      <c r="B21661" s="17" t="s">
        <v>477</v>
      </c>
      <c r="K21661" s="18" t="s">
        <v>477</v>
      </c>
    </row>
    <row r="21662">
      <c r="B21662" s="17" t="s">
        <v>477</v>
      </c>
      <c r="K21662" s="18" t="s">
        <v>477</v>
      </c>
    </row>
    <row r="21663">
      <c r="B21663" s="17" t="s">
        <v>477</v>
      </c>
      <c r="K21663" s="18" t="s">
        <v>477</v>
      </c>
    </row>
    <row r="21664">
      <c r="B21664" s="17" t="s">
        <v>477</v>
      </c>
      <c r="K21664" s="18" t="s">
        <v>477</v>
      </c>
    </row>
    <row r="21665">
      <c r="B21665" s="17" t="s">
        <v>477</v>
      </c>
      <c r="K21665" s="18" t="s">
        <v>477</v>
      </c>
    </row>
    <row r="21666">
      <c r="B21666" s="17" t="s">
        <v>477</v>
      </c>
      <c r="K21666" s="18" t="s">
        <v>477</v>
      </c>
    </row>
    <row r="21667">
      <c r="B21667" s="17" t="s">
        <v>477</v>
      </c>
      <c r="K21667" s="18" t="s">
        <v>477</v>
      </c>
    </row>
    <row r="21668">
      <c r="B21668" s="17" t="s">
        <v>477</v>
      </c>
      <c r="K21668" s="18" t="s">
        <v>477</v>
      </c>
    </row>
    <row r="21669">
      <c r="B21669" s="17" t="s">
        <v>477</v>
      </c>
      <c r="K21669" s="18" t="s">
        <v>477</v>
      </c>
    </row>
    <row r="21670">
      <c r="B21670" s="17" t="s">
        <v>477</v>
      </c>
      <c r="K21670" s="18" t="s">
        <v>477</v>
      </c>
    </row>
    <row r="21671">
      <c r="B21671" s="17" t="s">
        <v>477</v>
      </c>
      <c r="K21671" s="18" t="s">
        <v>477</v>
      </c>
    </row>
    <row r="21672">
      <c r="B21672" s="17" t="s">
        <v>477</v>
      </c>
      <c r="K21672" s="18" t="s">
        <v>477</v>
      </c>
    </row>
    <row r="21673">
      <c r="B21673" s="17" t="s">
        <v>477</v>
      </c>
      <c r="K21673" s="18" t="s">
        <v>477</v>
      </c>
    </row>
    <row r="21674">
      <c r="B21674" s="17" t="s">
        <v>477</v>
      </c>
      <c r="K21674" s="18" t="s">
        <v>477</v>
      </c>
    </row>
    <row r="21675">
      <c r="B21675" s="17" t="s">
        <v>477</v>
      </c>
      <c r="K21675" s="18" t="s">
        <v>477</v>
      </c>
    </row>
    <row r="21676">
      <c r="B21676" s="17" t="s">
        <v>477</v>
      </c>
      <c r="K21676" s="18" t="s">
        <v>477</v>
      </c>
    </row>
    <row r="21677">
      <c r="B21677" s="17" t="s">
        <v>477</v>
      </c>
      <c r="K21677" s="18" t="s">
        <v>477</v>
      </c>
    </row>
    <row r="21678">
      <c r="B21678" s="17" t="s">
        <v>477</v>
      </c>
      <c r="K21678" s="18" t="s">
        <v>477</v>
      </c>
    </row>
    <row r="21679">
      <c r="B21679" s="17" t="s">
        <v>477</v>
      </c>
      <c r="K21679" s="18" t="s">
        <v>477</v>
      </c>
    </row>
    <row r="21680">
      <c r="B21680" s="17" t="s">
        <v>477</v>
      </c>
      <c r="K21680" s="18" t="s">
        <v>477</v>
      </c>
    </row>
    <row r="21681">
      <c r="B21681" s="17" t="s">
        <v>477</v>
      </c>
      <c r="K21681" s="18" t="s">
        <v>477</v>
      </c>
    </row>
    <row r="21682">
      <c r="B21682" s="17" t="s">
        <v>477</v>
      </c>
      <c r="K21682" s="18" t="s">
        <v>477</v>
      </c>
    </row>
    <row r="21683">
      <c r="B21683" s="17" t="s">
        <v>477</v>
      </c>
      <c r="K21683" s="18" t="s">
        <v>477</v>
      </c>
    </row>
    <row r="21684">
      <c r="B21684" s="17" t="s">
        <v>477</v>
      </c>
      <c r="K21684" s="18" t="s">
        <v>477</v>
      </c>
    </row>
    <row r="21685">
      <c r="B21685" s="17" t="s">
        <v>477</v>
      </c>
      <c r="K21685" s="18" t="s">
        <v>477</v>
      </c>
    </row>
    <row r="21686">
      <c r="B21686" s="17" t="s">
        <v>477</v>
      </c>
      <c r="K21686" s="18" t="s">
        <v>477</v>
      </c>
    </row>
    <row r="21687">
      <c r="B21687" s="17" t="s">
        <v>477</v>
      </c>
      <c r="K21687" s="18" t="s">
        <v>477</v>
      </c>
    </row>
    <row r="21688">
      <c r="B21688" s="17" t="s">
        <v>477</v>
      </c>
      <c r="K21688" s="18" t="s">
        <v>477</v>
      </c>
    </row>
    <row r="21689">
      <c r="B21689" s="17" t="s">
        <v>477</v>
      </c>
      <c r="K21689" s="18" t="s">
        <v>477</v>
      </c>
    </row>
    <row r="21690">
      <c r="B21690" s="17" t="s">
        <v>477</v>
      </c>
      <c r="K21690" s="18" t="s">
        <v>477</v>
      </c>
    </row>
    <row r="21691">
      <c r="B21691" s="17" t="s">
        <v>477</v>
      </c>
      <c r="K21691" s="18" t="s">
        <v>477</v>
      </c>
    </row>
    <row r="21692">
      <c r="B21692" s="17" t="s">
        <v>477</v>
      </c>
      <c r="K21692" s="18" t="s">
        <v>477</v>
      </c>
    </row>
    <row r="21693">
      <c r="B21693" s="17" t="s">
        <v>477</v>
      </c>
      <c r="K21693" s="18" t="s">
        <v>477</v>
      </c>
    </row>
    <row r="21694">
      <c r="B21694" s="17" t="s">
        <v>477</v>
      </c>
      <c r="K21694" s="18" t="s">
        <v>477</v>
      </c>
    </row>
    <row r="21695">
      <c r="B21695" s="17" t="s">
        <v>477</v>
      </c>
      <c r="K21695" s="18" t="s">
        <v>477</v>
      </c>
    </row>
    <row r="21696">
      <c r="B21696" s="17" t="s">
        <v>477</v>
      </c>
      <c r="K21696" s="18" t="s">
        <v>477</v>
      </c>
    </row>
    <row r="21697">
      <c r="B21697" s="17" t="s">
        <v>477</v>
      </c>
      <c r="K21697" s="18" t="s">
        <v>477</v>
      </c>
    </row>
    <row r="21698">
      <c r="B21698" s="17" t="s">
        <v>477</v>
      </c>
      <c r="K21698" s="18" t="s">
        <v>477</v>
      </c>
    </row>
    <row r="21699">
      <c r="B21699" s="17" t="s">
        <v>477</v>
      </c>
      <c r="K21699" s="18" t="s">
        <v>477</v>
      </c>
    </row>
    <row r="21700">
      <c r="B21700" s="17" t="s">
        <v>477</v>
      </c>
      <c r="K21700" s="18" t="s">
        <v>477</v>
      </c>
    </row>
    <row r="21701">
      <c r="B21701" s="17" t="s">
        <v>477</v>
      </c>
      <c r="K21701" s="18" t="s">
        <v>477</v>
      </c>
    </row>
    <row r="21702">
      <c r="B21702" s="17" t="s">
        <v>477</v>
      </c>
      <c r="K21702" s="18" t="s">
        <v>477</v>
      </c>
    </row>
    <row r="21703">
      <c r="B21703" s="17" t="s">
        <v>477</v>
      </c>
      <c r="K21703" s="18" t="s">
        <v>477</v>
      </c>
    </row>
    <row r="21704">
      <c r="B21704" s="17" t="s">
        <v>477</v>
      </c>
      <c r="K21704" s="18" t="s">
        <v>477</v>
      </c>
    </row>
    <row r="21705">
      <c r="B21705" s="17" t="s">
        <v>477</v>
      </c>
      <c r="K21705" s="18" t="s">
        <v>477</v>
      </c>
    </row>
    <row r="21706">
      <c r="B21706" s="17" t="s">
        <v>477</v>
      </c>
      <c r="K21706" s="18" t="s">
        <v>477</v>
      </c>
    </row>
    <row r="21707">
      <c r="B21707" s="17" t="s">
        <v>477</v>
      </c>
      <c r="K21707" s="18" t="s">
        <v>477</v>
      </c>
    </row>
    <row r="21708">
      <c r="B21708" s="17" t="s">
        <v>477</v>
      </c>
      <c r="K21708" s="18" t="s">
        <v>477</v>
      </c>
    </row>
    <row r="21709">
      <c r="B21709" s="17" t="s">
        <v>477</v>
      </c>
      <c r="K21709" s="18" t="s">
        <v>477</v>
      </c>
    </row>
    <row r="21710">
      <c r="B21710" s="17" t="s">
        <v>477</v>
      </c>
      <c r="K21710" s="18" t="s">
        <v>477</v>
      </c>
    </row>
    <row r="21711">
      <c r="B21711" s="17" t="s">
        <v>477</v>
      </c>
      <c r="K21711" s="18" t="s">
        <v>477</v>
      </c>
    </row>
    <row r="21712">
      <c r="B21712" s="17" t="s">
        <v>477</v>
      </c>
      <c r="K21712" s="18" t="s">
        <v>477</v>
      </c>
    </row>
    <row r="21713">
      <c r="B21713" s="17" t="s">
        <v>477</v>
      </c>
      <c r="K21713" s="18" t="s">
        <v>477</v>
      </c>
    </row>
    <row r="21714">
      <c r="B21714" s="17" t="s">
        <v>477</v>
      </c>
      <c r="K21714" s="18" t="s">
        <v>477</v>
      </c>
    </row>
    <row r="21715">
      <c r="B21715" s="17" t="s">
        <v>477</v>
      </c>
      <c r="K21715" s="18" t="s">
        <v>477</v>
      </c>
    </row>
    <row r="21716">
      <c r="B21716" s="17" t="s">
        <v>477</v>
      </c>
      <c r="K21716" s="18" t="s">
        <v>477</v>
      </c>
    </row>
    <row r="21717">
      <c r="B21717" s="17" t="s">
        <v>477</v>
      </c>
      <c r="K21717" s="18" t="s">
        <v>477</v>
      </c>
    </row>
    <row r="21718">
      <c r="B21718" s="17" t="s">
        <v>477</v>
      </c>
      <c r="K21718" s="18" t="s">
        <v>477</v>
      </c>
    </row>
    <row r="21719">
      <c r="B21719" s="17" t="s">
        <v>477</v>
      </c>
      <c r="K21719" s="18" t="s">
        <v>477</v>
      </c>
    </row>
    <row r="21720">
      <c r="B21720" s="17" t="s">
        <v>477</v>
      </c>
      <c r="K21720" s="18" t="s">
        <v>477</v>
      </c>
    </row>
    <row r="21721">
      <c r="B21721" s="17" t="s">
        <v>477</v>
      </c>
      <c r="K21721" s="18" t="s">
        <v>477</v>
      </c>
    </row>
    <row r="21722">
      <c r="B21722" s="17" t="s">
        <v>477</v>
      </c>
      <c r="K21722" s="18" t="s">
        <v>477</v>
      </c>
    </row>
    <row r="21723">
      <c r="B21723" s="17" t="s">
        <v>477</v>
      </c>
      <c r="K21723" s="18" t="s">
        <v>477</v>
      </c>
    </row>
    <row r="21724">
      <c r="B21724" s="17" t="s">
        <v>477</v>
      </c>
      <c r="K21724" s="18" t="s">
        <v>477</v>
      </c>
    </row>
    <row r="21725">
      <c r="B21725" s="17" t="s">
        <v>477</v>
      </c>
      <c r="K21725" s="18" t="s">
        <v>477</v>
      </c>
    </row>
    <row r="21726">
      <c r="B21726" s="17" t="s">
        <v>477</v>
      </c>
      <c r="K21726" s="18" t="s">
        <v>477</v>
      </c>
    </row>
    <row r="21727">
      <c r="B21727" s="17" t="s">
        <v>477</v>
      </c>
      <c r="K21727" s="18" t="s">
        <v>477</v>
      </c>
    </row>
    <row r="21728">
      <c r="B21728" s="17" t="s">
        <v>477</v>
      </c>
      <c r="K21728" s="18" t="s">
        <v>477</v>
      </c>
    </row>
    <row r="21729">
      <c r="B21729" s="17" t="s">
        <v>477</v>
      </c>
      <c r="K21729" s="18" t="s">
        <v>477</v>
      </c>
    </row>
    <row r="21730">
      <c r="B21730" s="17" t="s">
        <v>477</v>
      </c>
      <c r="K21730" s="18" t="s">
        <v>477</v>
      </c>
    </row>
    <row r="21731">
      <c r="B21731" s="17" t="s">
        <v>477</v>
      </c>
      <c r="K21731" s="18" t="s">
        <v>477</v>
      </c>
    </row>
    <row r="21732">
      <c r="B21732" s="17" t="s">
        <v>477</v>
      </c>
      <c r="K21732" s="18" t="s">
        <v>477</v>
      </c>
    </row>
    <row r="21733">
      <c r="B21733" s="17" t="s">
        <v>477</v>
      </c>
      <c r="K21733" s="18" t="s">
        <v>477</v>
      </c>
    </row>
    <row r="21734">
      <c r="B21734" s="17" t="s">
        <v>477</v>
      </c>
      <c r="K21734" s="18" t="s">
        <v>477</v>
      </c>
    </row>
    <row r="21735">
      <c r="B21735" s="17" t="s">
        <v>477</v>
      </c>
      <c r="K21735" s="18" t="s">
        <v>477</v>
      </c>
    </row>
    <row r="21736">
      <c r="B21736" s="17" t="s">
        <v>477</v>
      </c>
      <c r="K21736" s="18" t="s">
        <v>477</v>
      </c>
    </row>
    <row r="21737">
      <c r="B21737" s="17" t="s">
        <v>477</v>
      </c>
      <c r="K21737" s="18" t="s">
        <v>477</v>
      </c>
    </row>
    <row r="21738">
      <c r="B21738" s="17" t="s">
        <v>477</v>
      </c>
      <c r="K21738" s="18" t="s">
        <v>477</v>
      </c>
    </row>
    <row r="21739">
      <c r="B21739" s="17" t="s">
        <v>477</v>
      </c>
      <c r="K21739" s="18" t="s">
        <v>477</v>
      </c>
    </row>
    <row r="21740">
      <c r="B21740" s="17" t="s">
        <v>477</v>
      </c>
      <c r="K21740" s="18" t="s">
        <v>477</v>
      </c>
    </row>
    <row r="21741">
      <c r="B21741" s="17" t="s">
        <v>477</v>
      </c>
      <c r="K21741" s="18" t="s">
        <v>477</v>
      </c>
    </row>
    <row r="21742">
      <c r="B21742" s="17" t="s">
        <v>477</v>
      </c>
      <c r="K21742" s="18" t="s">
        <v>477</v>
      </c>
    </row>
    <row r="21743">
      <c r="B21743" s="17" t="s">
        <v>477</v>
      </c>
      <c r="K21743" s="18" t="s">
        <v>477</v>
      </c>
    </row>
    <row r="21744">
      <c r="B21744" s="17" t="s">
        <v>477</v>
      </c>
      <c r="K21744" s="18" t="s">
        <v>477</v>
      </c>
    </row>
    <row r="21745">
      <c r="B21745" s="17" t="s">
        <v>477</v>
      </c>
      <c r="K21745" s="18" t="s">
        <v>477</v>
      </c>
    </row>
    <row r="21746">
      <c r="B21746" s="17" t="s">
        <v>477</v>
      </c>
      <c r="K21746" s="18" t="s">
        <v>477</v>
      </c>
    </row>
    <row r="21747">
      <c r="B21747" s="17" t="s">
        <v>477</v>
      </c>
      <c r="K21747" s="18" t="s">
        <v>477</v>
      </c>
    </row>
    <row r="21748">
      <c r="B21748" s="17" t="s">
        <v>477</v>
      </c>
      <c r="K21748" s="18" t="s">
        <v>477</v>
      </c>
    </row>
    <row r="21749">
      <c r="B21749" s="17" t="s">
        <v>477</v>
      </c>
      <c r="K21749" s="18" t="s">
        <v>477</v>
      </c>
    </row>
    <row r="21750">
      <c r="B21750" s="17" t="s">
        <v>477</v>
      </c>
      <c r="K21750" s="18" t="s">
        <v>477</v>
      </c>
    </row>
    <row r="21751">
      <c r="B21751" s="17" t="s">
        <v>477</v>
      </c>
      <c r="K21751" s="18" t="s">
        <v>477</v>
      </c>
    </row>
    <row r="21752">
      <c r="B21752" s="17" t="s">
        <v>477</v>
      </c>
      <c r="K21752" s="18" t="s">
        <v>477</v>
      </c>
    </row>
    <row r="21753">
      <c r="B21753" s="17" t="s">
        <v>477</v>
      </c>
      <c r="K21753" s="18" t="s">
        <v>477</v>
      </c>
    </row>
    <row r="21754">
      <c r="B21754" s="17" t="s">
        <v>477</v>
      </c>
      <c r="K21754" s="18" t="s">
        <v>477</v>
      </c>
    </row>
    <row r="21755">
      <c r="B21755" s="17" t="s">
        <v>477</v>
      </c>
      <c r="K21755" s="18" t="s">
        <v>477</v>
      </c>
    </row>
    <row r="21756">
      <c r="B21756" s="17" t="s">
        <v>477</v>
      </c>
      <c r="K21756" s="18" t="s">
        <v>477</v>
      </c>
    </row>
    <row r="21757">
      <c r="B21757" s="17" t="s">
        <v>477</v>
      </c>
      <c r="K21757" s="18" t="s">
        <v>477</v>
      </c>
    </row>
    <row r="21758">
      <c r="B21758" s="17" t="s">
        <v>477</v>
      </c>
      <c r="K21758" s="18" t="s">
        <v>477</v>
      </c>
    </row>
    <row r="21759">
      <c r="B21759" s="17" t="s">
        <v>477</v>
      </c>
      <c r="K21759" s="18" t="s">
        <v>477</v>
      </c>
    </row>
    <row r="21760">
      <c r="B21760" s="17" t="s">
        <v>477</v>
      </c>
      <c r="K21760" s="18" t="s">
        <v>477</v>
      </c>
    </row>
    <row r="21761">
      <c r="B21761" s="17" t="s">
        <v>477</v>
      </c>
      <c r="K21761" s="18" t="s">
        <v>477</v>
      </c>
    </row>
    <row r="21762">
      <c r="B21762" s="17" t="s">
        <v>477</v>
      </c>
      <c r="K21762" s="18" t="s">
        <v>477</v>
      </c>
    </row>
    <row r="21763">
      <c r="B21763" s="17" t="s">
        <v>477</v>
      </c>
      <c r="K21763" s="18" t="s">
        <v>477</v>
      </c>
    </row>
    <row r="21764">
      <c r="B21764" s="17" t="s">
        <v>477</v>
      </c>
      <c r="K21764" s="18" t="s">
        <v>477</v>
      </c>
    </row>
    <row r="21765">
      <c r="B21765" s="17" t="s">
        <v>477</v>
      </c>
      <c r="K21765" s="18" t="s">
        <v>477</v>
      </c>
    </row>
    <row r="21766">
      <c r="B21766" s="17" t="s">
        <v>477</v>
      </c>
      <c r="K21766" s="18" t="s">
        <v>477</v>
      </c>
    </row>
    <row r="21767">
      <c r="B21767" s="17" t="s">
        <v>477</v>
      </c>
      <c r="K21767" s="18" t="s">
        <v>477</v>
      </c>
    </row>
    <row r="21768">
      <c r="B21768" s="17" t="s">
        <v>477</v>
      </c>
      <c r="K21768" s="18" t="s">
        <v>477</v>
      </c>
    </row>
    <row r="21769">
      <c r="B21769" s="17" t="s">
        <v>477</v>
      </c>
      <c r="K21769" s="18" t="s">
        <v>477</v>
      </c>
    </row>
    <row r="21770">
      <c r="B21770" s="17" t="s">
        <v>477</v>
      </c>
      <c r="K21770" s="18" t="s">
        <v>477</v>
      </c>
    </row>
    <row r="21771">
      <c r="B21771" s="17" t="s">
        <v>477</v>
      </c>
      <c r="K21771" s="18" t="s">
        <v>477</v>
      </c>
    </row>
    <row r="21772">
      <c r="B21772" s="17" t="s">
        <v>477</v>
      </c>
      <c r="K21772" s="18" t="s">
        <v>477</v>
      </c>
    </row>
    <row r="21773">
      <c r="B21773" s="17" t="s">
        <v>477</v>
      </c>
      <c r="K21773" s="18" t="s">
        <v>477</v>
      </c>
    </row>
    <row r="21774">
      <c r="B21774" s="17" t="s">
        <v>477</v>
      </c>
      <c r="K21774" s="18" t="s">
        <v>477</v>
      </c>
    </row>
    <row r="21775">
      <c r="B21775" s="17" t="s">
        <v>477</v>
      </c>
      <c r="K21775" s="18" t="s">
        <v>477</v>
      </c>
    </row>
    <row r="21776">
      <c r="B21776" s="17" t="s">
        <v>477</v>
      </c>
      <c r="K21776" s="18" t="s">
        <v>477</v>
      </c>
    </row>
    <row r="21777">
      <c r="B21777" s="17" t="s">
        <v>477</v>
      </c>
      <c r="K21777" s="18" t="s">
        <v>477</v>
      </c>
    </row>
    <row r="21778">
      <c r="B21778" s="17" t="s">
        <v>477</v>
      </c>
      <c r="K21778" s="18" t="s">
        <v>477</v>
      </c>
    </row>
    <row r="21779">
      <c r="B21779" s="17" t="s">
        <v>477</v>
      </c>
      <c r="K21779" s="18" t="s">
        <v>477</v>
      </c>
    </row>
    <row r="21780">
      <c r="B21780" s="17" t="s">
        <v>477</v>
      </c>
      <c r="K21780" s="18" t="s">
        <v>477</v>
      </c>
    </row>
    <row r="21781">
      <c r="B21781" s="17" t="s">
        <v>477</v>
      </c>
      <c r="K21781" s="18" t="s">
        <v>477</v>
      </c>
    </row>
    <row r="21782">
      <c r="B21782" s="17" t="s">
        <v>477</v>
      </c>
      <c r="K21782" s="18" t="s">
        <v>477</v>
      </c>
    </row>
    <row r="21783">
      <c r="B21783" s="17" t="s">
        <v>477</v>
      </c>
      <c r="K21783" s="18" t="s">
        <v>477</v>
      </c>
    </row>
    <row r="21784">
      <c r="B21784" s="17" t="s">
        <v>477</v>
      </c>
      <c r="K21784" s="18" t="s">
        <v>477</v>
      </c>
    </row>
    <row r="21785">
      <c r="B21785" s="17" t="s">
        <v>477</v>
      </c>
      <c r="K21785" s="18" t="s">
        <v>477</v>
      </c>
    </row>
    <row r="21786">
      <c r="B21786" s="17" t="s">
        <v>477</v>
      </c>
      <c r="K21786" s="18" t="s">
        <v>477</v>
      </c>
    </row>
    <row r="21787">
      <c r="B21787" s="17" t="s">
        <v>477</v>
      </c>
      <c r="K21787" s="18" t="s">
        <v>477</v>
      </c>
    </row>
    <row r="21788">
      <c r="B21788" s="17" t="s">
        <v>477</v>
      </c>
      <c r="K21788" s="18" t="s">
        <v>477</v>
      </c>
    </row>
    <row r="21789">
      <c r="B21789" s="17" t="s">
        <v>477</v>
      </c>
      <c r="K21789" s="18" t="s">
        <v>477</v>
      </c>
    </row>
    <row r="21790">
      <c r="B21790" s="17" t="s">
        <v>477</v>
      </c>
      <c r="K21790" s="18" t="s">
        <v>477</v>
      </c>
    </row>
    <row r="21791">
      <c r="B21791" s="17" t="s">
        <v>477</v>
      </c>
      <c r="K21791" s="18" t="s">
        <v>477</v>
      </c>
    </row>
    <row r="21792">
      <c r="B21792" s="17" t="s">
        <v>477</v>
      </c>
      <c r="K21792" s="18" t="s">
        <v>477</v>
      </c>
    </row>
    <row r="21793">
      <c r="B21793" s="17" t="s">
        <v>477</v>
      </c>
      <c r="K21793" s="18" t="s">
        <v>477</v>
      </c>
    </row>
    <row r="21794">
      <c r="B21794" s="17" t="s">
        <v>477</v>
      </c>
      <c r="K21794" s="18" t="s">
        <v>477</v>
      </c>
    </row>
    <row r="21795">
      <c r="B21795" s="17" t="s">
        <v>477</v>
      </c>
      <c r="K21795" s="18" t="s">
        <v>477</v>
      </c>
    </row>
    <row r="21796">
      <c r="B21796" s="17" t="s">
        <v>477</v>
      </c>
      <c r="K21796" s="18" t="s">
        <v>477</v>
      </c>
    </row>
    <row r="21797">
      <c r="B21797" s="17" t="s">
        <v>477</v>
      </c>
      <c r="K21797" s="18" t="s">
        <v>477</v>
      </c>
    </row>
    <row r="21798">
      <c r="B21798" s="17" t="s">
        <v>477</v>
      </c>
      <c r="K21798" s="18" t="s">
        <v>477</v>
      </c>
    </row>
    <row r="21799">
      <c r="B21799" s="17" t="s">
        <v>477</v>
      </c>
      <c r="K21799" s="18" t="s">
        <v>477</v>
      </c>
    </row>
    <row r="21800">
      <c r="B21800" s="17" t="s">
        <v>477</v>
      </c>
      <c r="K21800" s="18" t="s">
        <v>477</v>
      </c>
    </row>
    <row r="21801">
      <c r="B21801" s="17" t="s">
        <v>477</v>
      </c>
      <c r="K21801" s="18" t="s">
        <v>477</v>
      </c>
    </row>
    <row r="21802">
      <c r="B21802" s="17" t="s">
        <v>477</v>
      </c>
      <c r="K21802" s="18" t="s">
        <v>477</v>
      </c>
    </row>
    <row r="21803">
      <c r="B21803" s="17" t="s">
        <v>477</v>
      </c>
      <c r="K21803" s="18" t="s">
        <v>477</v>
      </c>
    </row>
    <row r="21804">
      <c r="B21804" s="17" t="s">
        <v>477</v>
      </c>
      <c r="K21804" s="18" t="s">
        <v>477</v>
      </c>
    </row>
    <row r="21805">
      <c r="B21805" s="17" t="s">
        <v>477</v>
      </c>
      <c r="K21805" s="18" t="s">
        <v>477</v>
      </c>
    </row>
    <row r="21806">
      <c r="B21806" s="17" t="s">
        <v>477</v>
      </c>
      <c r="K21806" s="18" t="s">
        <v>477</v>
      </c>
    </row>
    <row r="21807">
      <c r="B21807" s="17" t="s">
        <v>477</v>
      </c>
      <c r="K21807" s="18" t="s">
        <v>477</v>
      </c>
    </row>
    <row r="21808">
      <c r="B21808" s="17" t="s">
        <v>477</v>
      </c>
      <c r="K21808" s="18" t="s">
        <v>477</v>
      </c>
    </row>
    <row r="21809">
      <c r="B21809" s="17" t="s">
        <v>477</v>
      </c>
      <c r="K21809" s="18" t="s">
        <v>477</v>
      </c>
    </row>
    <row r="21810">
      <c r="B21810" s="17" t="s">
        <v>477</v>
      </c>
      <c r="K21810" s="18" t="s">
        <v>477</v>
      </c>
    </row>
    <row r="21811">
      <c r="B21811" s="17" t="s">
        <v>477</v>
      </c>
      <c r="K21811" s="18" t="s">
        <v>477</v>
      </c>
    </row>
    <row r="21812">
      <c r="B21812" s="17" t="s">
        <v>477</v>
      </c>
      <c r="K21812" s="18" t="s">
        <v>477</v>
      </c>
    </row>
    <row r="21813">
      <c r="B21813" s="17" t="s">
        <v>477</v>
      </c>
      <c r="K21813" s="18" t="s">
        <v>477</v>
      </c>
    </row>
    <row r="21814">
      <c r="B21814" s="17" t="s">
        <v>477</v>
      </c>
      <c r="K21814" s="18" t="s">
        <v>477</v>
      </c>
    </row>
    <row r="21815">
      <c r="B21815" s="17" t="s">
        <v>477</v>
      </c>
      <c r="K21815" s="18" t="s">
        <v>477</v>
      </c>
    </row>
    <row r="21816">
      <c r="B21816" s="17" t="s">
        <v>477</v>
      </c>
      <c r="K21816" s="18" t="s">
        <v>477</v>
      </c>
    </row>
    <row r="21817">
      <c r="B21817" s="17" t="s">
        <v>477</v>
      </c>
      <c r="K21817" s="18" t="s">
        <v>477</v>
      </c>
    </row>
    <row r="21818">
      <c r="B21818" s="17" t="s">
        <v>477</v>
      </c>
      <c r="K21818" s="18" t="s">
        <v>477</v>
      </c>
    </row>
    <row r="21819">
      <c r="B21819" s="17" t="s">
        <v>477</v>
      </c>
      <c r="K21819" s="18" t="s">
        <v>477</v>
      </c>
    </row>
    <row r="21820">
      <c r="B21820" s="17" t="s">
        <v>477</v>
      </c>
      <c r="K21820" s="18" t="s">
        <v>477</v>
      </c>
    </row>
    <row r="21821">
      <c r="B21821" s="17" t="s">
        <v>477</v>
      </c>
      <c r="K21821" s="18" t="s">
        <v>477</v>
      </c>
    </row>
    <row r="21822">
      <c r="B21822" s="17" t="s">
        <v>477</v>
      </c>
      <c r="K21822" s="18" t="s">
        <v>477</v>
      </c>
    </row>
    <row r="21823">
      <c r="B21823" s="17" t="s">
        <v>477</v>
      </c>
      <c r="K21823" s="18" t="s">
        <v>477</v>
      </c>
    </row>
    <row r="21824">
      <c r="B21824" s="17" t="s">
        <v>477</v>
      </c>
      <c r="K21824" s="18" t="s">
        <v>477</v>
      </c>
    </row>
    <row r="21825">
      <c r="B21825" s="17" t="s">
        <v>477</v>
      </c>
      <c r="K21825" s="18" t="s">
        <v>477</v>
      </c>
    </row>
    <row r="21826">
      <c r="B21826" s="17" t="s">
        <v>477</v>
      </c>
      <c r="K21826" s="18" t="s">
        <v>477</v>
      </c>
    </row>
    <row r="21827">
      <c r="B21827" s="17" t="s">
        <v>477</v>
      </c>
      <c r="K21827" s="18" t="s">
        <v>477</v>
      </c>
    </row>
    <row r="21828">
      <c r="B21828" s="17" t="s">
        <v>477</v>
      </c>
      <c r="K21828" s="18" t="s">
        <v>477</v>
      </c>
    </row>
    <row r="21829">
      <c r="B21829" s="17" t="s">
        <v>477</v>
      </c>
      <c r="K21829" s="18" t="s">
        <v>477</v>
      </c>
    </row>
    <row r="21830">
      <c r="B21830" s="17" t="s">
        <v>477</v>
      </c>
      <c r="K21830" s="18" t="s">
        <v>477</v>
      </c>
    </row>
    <row r="21831">
      <c r="B21831" s="17" t="s">
        <v>477</v>
      </c>
      <c r="K21831" s="18" t="s">
        <v>477</v>
      </c>
    </row>
    <row r="21832">
      <c r="B21832" s="17" t="s">
        <v>477</v>
      </c>
      <c r="K21832" s="18" t="s">
        <v>477</v>
      </c>
    </row>
    <row r="21833">
      <c r="B21833" s="17" t="s">
        <v>477</v>
      </c>
      <c r="K21833" s="18" t="s">
        <v>477</v>
      </c>
    </row>
    <row r="21834">
      <c r="B21834" s="17" t="s">
        <v>477</v>
      </c>
      <c r="K21834" s="18" t="s">
        <v>477</v>
      </c>
    </row>
    <row r="21835">
      <c r="B21835" s="17" t="s">
        <v>477</v>
      </c>
      <c r="K21835" s="18" t="s">
        <v>477</v>
      </c>
    </row>
    <row r="21836">
      <c r="B21836" s="17" t="s">
        <v>477</v>
      </c>
      <c r="K21836" s="18" t="s">
        <v>477</v>
      </c>
    </row>
    <row r="21837">
      <c r="B21837" s="17" t="s">
        <v>477</v>
      </c>
      <c r="K21837" s="18" t="s">
        <v>477</v>
      </c>
    </row>
    <row r="21838">
      <c r="B21838" s="17" t="s">
        <v>477</v>
      </c>
      <c r="K21838" s="18" t="s">
        <v>477</v>
      </c>
    </row>
    <row r="21839">
      <c r="B21839" s="17" t="s">
        <v>477</v>
      </c>
      <c r="K21839" s="18" t="s">
        <v>477</v>
      </c>
    </row>
    <row r="21840">
      <c r="B21840" s="17" t="s">
        <v>477</v>
      </c>
      <c r="K21840" s="18" t="s">
        <v>477</v>
      </c>
    </row>
    <row r="21841">
      <c r="B21841" s="17" t="s">
        <v>477</v>
      </c>
      <c r="K21841" s="18" t="s">
        <v>477</v>
      </c>
    </row>
    <row r="21842">
      <c r="B21842" s="17" t="s">
        <v>477</v>
      </c>
      <c r="K21842" s="18" t="s">
        <v>477</v>
      </c>
    </row>
    <row r="21843">
      <c r="B21843" s="17" t="s">
        <v>477</v>
      </c>
      <c r="K21843" s="18" t="s">
        <v>477</v>
      </c>
    </row>
    <row r="21844">
      <c r="B21844" s="17" t="s">
        <v>477</v>
      </c>
      <c r="K21844" s="18" t="s">
        <v>477</v>
      </c>
    </row>
    <row r="21845">
      <c r="B21845" s="17" t="s">
        <v>477</v>
      </c>
      <c r="K21845" s="18" t="s">
        <v>477</v>
      </c>
    </row>
    <row r="21846">
      <c r="B21846" s="17" t="s">
        <v>477</v>
      </c>
      <c r="K21846" s="18" t="s">
        <v>477</v>
      </c>
    </row>
    <row r="21847">
      <c r="B21847" s="17" t="s">
        <v>477</v>
      </c>
      <c r="K21847" s="18" t="s">
        <v>477</v>
      </c>
    </row>
    <row r="21848">
      <c r="B21848" s="17" t="s">
        <v>477</v>
      </c>
      <c r="K21848" s="18" t="s">
        <v>477</v>
      </c>
    </row>
    <row r="21849">
      <c r="B21849" s="17" t="s">
        <v>477</v>
      </c>
      <c r="K21849" s="18" t="s">
        <v>477</v>
      </c>
    </row>
    <row r="21850">
      <c r="B21850" s="17" t="s">
        <v>477</v>
      </c>
      <c r="K21850" s="18" t="s">
        <v>477</v>
      </c>
    </row>
    <row r="21851">
      <c r="B21851" s="17" t="s">
        <v>477</v>
      </c>
      <c r="K21851" s="18" t="s">
        <v>477</v>
      </c>
    </row>
    <row r="21852">
      <c r="B21852" s="17" t="s">
        <v>477</v>
      </c>
      <c r="K21852" s="18" t="s">
        <v>477</v>
      </c>
    </row>
    <row r="21853">
      <c r="B21853" s="17" t="s">
        <v>477</v>
      </c>
      <c r="K21853" s="18" t="s">
        <v>477</v>
      </c>
    </row>
    <row r="21854">
      <c r="B21854" s="17" t="s">
        <v>477</v>
      </c>
      <c r="K21854" s="18" t="s">
        <v>477</v>
      </c>
    </row>
    <row r="21855">
      <c r="B21855" s="17" t="s">
        <v>477</v>
      </c>
      <c r="K21855" s="18" t="s">
        <v>477</v>
      </c>
    </row>
    <row r="21856">
      <c r="B21856" s="17" t="s">
        <v>477</v>
      </c>
      <c r="K21856" s="18" t="s">
        <v>477</v>
      </c>
    </row>
    <row r="21857">
      <c r="B21857" s="17" t="s">
        <v>477</v>
      </c>
      <c r="K21857" s="18" t="s">
        <v>477</v>
      </c>
    </row>
    <row r="21858">
      <c r="B21858" s="17" t="s">
        <v>477</v>
      </c>
      <c r="K21858" s="18" t="s">
        <v>477</v>
      </c>
    </row>
    <row r="21859">
      <c r="B21859" s="17" t="s">
        <v>477</v>
      </c>
      <c r="K21859" s="18" t="s">
        <v>477</v>
      </c>
    </row>
    <row r="21860">
      <c r="B21860" s="17" t="s">
        <v>477</v>
      </c>
      <c r="K21860" s="18" t="s">
        <v>477</v>
      </c>
    </row>
    <row r="21861">
      <c r="B21861" s="17" t="s">
        <v>477</v>
      </c>
      <c r="K21861" s="18" t="s">
        <v>477</v>
      </c>
    </row>
    <row r="21862">
      <c r="B21862" s="17" t="s">
        <v>477</v>
      </c>
      <c r="K21862" s="18" t="s">
        <v>477</v>
      </c>
    </row>
    <row r="21863">
      <c r="B21863" s="17" t="s">
        <v>477</v>
      </c>
      <c r="K21863" s="18" t="s">
        <v>477</v>
      </c>
    </row>
    <row r="21864">
      <c r="B21864" s="17" t="s">
        <v>477</v>
      </c>
      <c r="K21864" s="18" t="s">
        <v>477</v>
      </c>
    </row>
    <row r="21865">
      <c r="B21865" s="17" t="s">
        <v>477</v>
      </c>
      <c r="K21865" s="18" t="s">
        <v>477</v>
      </c>
    </row>
    <row r="21866">
      <c r="B21866" s="17" t="s">
        <v>477</v>
      </c>
      <c r="K21866" s="18" t="s">
        <v>477</v>
      </c>
    </row>
    <row r="21867">
      <c r="B21867" s="17" t="s">
        <v>477</v>
      </c>
      <c r="K21867" s="18" t="s">
        <v>477</v>
      </c>
    </row>
    <row r="21868">
      <c r="B21868" s="17" t="s">
        <v>477</v>
      </c>
      <c r="K21868" s="18" t="s">
        <v>477</v>
      </c>
    </row>
    <row r="21869">
      <c r="B21869" s="17" t="s">
        <v>477</v>
      </c>
      <c r="K21869" s="18" t="s">
        <v>477</v>
      </c>
    </row>
    <row r="21870">
      <c r="B21870" s="17" t="s">
        <v>477</v>
      </c>
      <c r="K21870" s="18" t="s">
        <v>477</v>
      </c>
    </row>
    <row r="21871">
      <c r="B21871" s="17" t="s">
        <v>477</v>
      </c>
      <c r="K21871" s="18" t="s">
        <v>477</v>
      </c>
    </row>
    <row r="21872">
      <c r="B21872" s="17" t="s">
        <v>477</v>
      </c>
      <c r="K21872" s="18" t="s">
        <v>477</v>
      </c>
    </row>
    <row r="21873">
      <c r="B21873" s="17" t="s">
        <v>477</v>
      </c>
      <c r="K21873" s="18" t="s">
        <v>477</v>
      </c>
    </row>
    <row r="21874">
      <c r="B21874" s="17" t="s">
        <v>477</v>
      </c>
      <c r="K21874" s="18" t="s">
        <v>477</v>
      </c>
    </row>
    <row r="21875">
      <c r="B21875" s="17" t="s">
        <v>477</v>
      </c>
      <c r="K21875" s="18" t="s">
        <v>477</v>
      </c>
    </row>
    <row r="21876">
      <c r="B21876" s="17" t="s">
        <v>477</v>
      </c>
      <c r="K21876" s="18" t="s">
        <v>477</v>
      </c>
    </row>
    <row r="21877">
      <c r="B21877" s="17" t="s">
        <v>477</v>
      </c>
      <c r="K21877" s="18" t="s">
        <v>477</v>
      </c>
    </row>
    <row r="21878">
      <c r="B21878" s="17" t="s">
        <v>477</v>
      </c>
      <c r="K21878" s="18" t="s">
        <v>477</v>
      </c>
    </row>
    <row r="21879">
      <c r="B21879" s="17" t="s">
        <v>477</v>
      </c>
      <c r="K21879" s="18" t="s">
        <v>477</v>
      </c>
    </row>
    <row r="21880">
      <c r="B21880" s="17" t="s">
        <v>477</v>
      </c>
      <c r="K21880" s="18" t="s">
        <v>477</v>
      </c>
    </row>
    <row r="21881">
      <c r="B21881" s="17" t="s">
        <v>477</v>
      </c>
      <c r="K21881" s="18" t="s">
        <v>477</v>
      </c>
    </row>
    <row r="21882">
      <c r="B21882" s="17" t="s">
        <v>477</v>
      </c>
      <c r="K21882" s="18" t="s">
        <v>477</v>
      </c>
    </row>
    <row r="21883">
      <c r="B21883" s="17" t="s">
        <v>477</v>
      </c>
      <c r="K21883" s="18" t="s">
        <v>477</v>
      </c>
    </row>
    <row r="21884">
      <c r="B21884" s="17" t="s">
        <v>477</v>
      </c>
      <c r="K21884" s="18" t="s">
        <v>477</v>
      </c>
    </row>
    <row r="21885">
      <c r="B21885" s="17" t="s">
        <v>477</v>
      </c>
      <c r="K21885" s="18" t="s">
        <v>477</v>
      </c>
    </row>
    <row r="21886">
      <c r="B21886" s="17" t="s">
        <v>477</v>
      </c>
      <c r="K21886" s="18" t="s">
        <v>477</v>
      </c>
    </row>
    <row r="21887">
      <c r="B21887" s="17" t="s">
        <v>477</v>
      </c>
      <c r="K21887" s="18" t="s">
        <v>477</v>
      </c>
    </row>
    <row r="21888">
      <c r="B21888" s="17" t="s">
        <v>477</v>
      </c>
      <c r="K21888" s="18" t="s">
        <v>477</v>
      </c>
    </row>
    <row r="21889">
      <c r="B21889" s="17" t="s">
        <v>477</v>
      </c>
      <c r="K21889" s="18" t="s">
        <v>477</v>
      </c>
    </row>
    <row r="21890">
      <c r="B21890" s="17" t="s">
        <v>477</v>
      </c>
      <c r="K21890" s="18" t="s">
        <v>477</v>
      </c>
    </row>
    <row r="21891">
      <c r="B21891" s="17" t="s">
        <v>477</v>
      </c>
      <c r="K21891" s="18" t="s">
        <v>477</v>
      </c>
    </row>
    <row r="21892">
      <c r="B21892" s="17" t="s">
        <v>477</v>
      </c>
      <c r="K21892" s="18" t="s">
        <v>477</v>
      </c>
    </row>
    <row r="21893">
      <c r="B21893" s="17" t="s">
        <v>477</v>
      </c>
      <c r="K21893" s="18" t="s">
        <v>477</v>
      </c>
    </row>
    <row r="21894">
      <c r="B21894" s="17" t="s">
        <v>477</v>
      </c>
      <c r="K21894" s="18" t="s">
        <v>477</v>
      </c>
    </row>
    <row r="21895">
      <c r="B21895" s="17" t="s">
        <v>477</v>
      </c>
      <c r="K21895" s="18" t="s">
        <v>477</v>
      </c>
    </row>
    <row r="21896">
      <c r="B21896" s="17" t="s">
        <v>477</v>
      </c>
      <c r="K21896" s="18" t="s">
        <v>477</v>
      </c>
    </row>
    <row r="21897">
      <c r="B21897" s="17" t="s">
        <v>477</v>
      </c>
      <c r="K21897" s="18" t="s">
        <v>477</v>
      </c>
    </row>
    <row r="21898">
      <c r="B21898" s="17" t="s">
        <v>477</v>
      </c>
      <c r="K21898" s="18" t="s">
        <v>477</v>
      </c>
    </row>
    <row r="21899">
      <c r="B21899" s="17" t="s">
        <v>477</v>
      </c>
      <c r="K21899" s="18" t="s">
        <v>477</v>
      </c>
    </row>
    <row r="21900">
      <c r="B21900" s="17" t="s">
        <v>477</v>
      </c>
      <c r="K21900" s="18" t="s">
        <v>477</v>
      </c>
    </row>
    <row r="21901">
      <c r="B21901" s="17" t="s">
        <v>477</v>
      </c>
      <c r="K21901" s="18" t="s">
        <v>477</v>
      </c>
    </row>
    <row r="21902">
      <c r="B21902" s="17" t="s">
        <v>477</v>
      </c>
      <c r="K21902" s="18" t="s">
        <v>477</v>
      </c>
    </row>
    <row r="21903">
      <c r="B21903" s="17" t="s">
        <v>477</v>
      </c>
      <c r="K21903" s="18" t="s">
        <v>477</v>
      </c>
    </row>
    <row r="21904">
      <c r="B21904" s="17" t="s">
        <v>477</v>
      </c>
      <c r="K21904" s="18" t="s">
        <v>477</v>
      </c>
    </row>
    <row r="21905">
      <c r="B21905" s="17" t="s">
        <v>477</v>
      </c>
      <c r="K21905" s="18" t="s">
        <v>477</v>
      </c>
    </row>
    <row r="21906">
      <c r="B21906" s="17" t="s">
        <v>477</v>
      </c>
      <c r="K21906" s="18" t="s">
        <v>477</v>
      </c>
    </row>
    <row r="21907">
      <c r="B21907" s="17" t="s">
        <v>477</v>
      </c>
      <c r="K21907" s="18" t="s">
        <v>477</v>
      </c>
    </row>
    <row r="21908">
      <c r="B21908" s="17" t="s">
        <v>477</v>
      </c>
      <c r="K21908" s="18" t="s">
        <v>477</v>
      </c>
    </row>
    <row r="21909">
      <c r="B21909" s="17" t="s">
        <v>477</v>
      </c>
      <c r="K21909" s="18" t="s">
        <v>477</v>
      </c>
    </row>
    <row r="21910">
      <c r="B21910" s="17" t="s">
        <v>477</v>
      </c>
      <c r="K21910" s="18" t="s">
        <v>477</v>
      </c>
    </row>
    <row r="21911">
      <c r="B21911" s="17" t="s">
        <v>477</v>
      </c>
      <c r="K21911" s="18" t="s">
        <v>477</v>
      </c>
    </row>
    <row r="21912">
      <c r="B21912" s="17" t="s">
        <v>477</v>
      </c>
      <c r="K21912" s="18" t="s">
        <v>477</v>
      </c>
    </row>
    <row r="21913">
      <c r="B21913" s="17" t="s">
        <v>477</v>
      </c>
      <c r="K21913" s="18" t="s">
        <v>477</v>
      </c>
    </row>
    <row r="21914">
      <c r="B21914" s="17" t="s">
        <v>477</v>
      </c>
      <c r="K21914" s="18" t="s">
        <v>477</v>
      </c>
    </row>
    <row r="21915">
      <c r="B21915" s="17" t="s">
        <v>477</v>
      </c>
      <c r="K21915" s="18" t="s">
        <v>477</v>
      </c>
    </row>
    <row r="21916">
      <c r="B21916" s="17" t="s">
        <v>477</v>
      </c>
      <c r="K21916" s="18" t="s">
        <v>477</v>
      </c>
    </row>
    <row r="21917">
      <c r="B21917" s="17" t="s">
        <v>477</v>
      </c>
      <c r="K21917" s="18" t="s">
        <v>477</v>
      </c>
    </row>
    <row r="21918">
      <c r="B21918" s="17" t="s">
        <v>477</v>
      </c>
      <c r="K21918" s="18" t="s">
        <v>477</v>
      </c>
    </row>
    <row r="21919">
      <c r="B21919" s="17" t="s">
        <v>477</v>
      </c>
      <c r="K21919" s="18" t="s">
        <v>477</v>
      </c>
    </row>
    <row r="21920">
      <c r="B21920" s="17" t="s">
        <v>477</v>
      </c>
      <c r="K21920" s="18" t="s">
        <v>477</v>
      </c>
    </row>
    <row r="21921">
      <c r="B21921" s="17" t="s">
        <v>477</v>
      </c>
      <c r="K21921" s="18" t="s">
        <v>477</v>
      </c>
    </row>
    <row r="21922">
      <c r="B21922" s="17" t="s">
        <v>477</v>
      </c>
      <c r="K21922" s="18" t="s">
        <v>477</v>
      </c>
    </row>
    <row r="21923">
      <c r="B21923" s="17" t="s">
        <v>477</v>
      </c>
      <c r="K21923" s="18" t="s">
        <v>477</v>
      </c>
    </row>
    <row r="21924">
      <c r="B21924" s="17" t="s">
        <v>477</v>
      </c>
      <c r="K21924" s="18" t="s">
        <v>477</v>
      </c>
    </row>
    <row r="21925">
      <c r="B21925" s="17" t="s">
        <v>477</v>
      </c>
      <c r="K21925" s="18" t="s">
        <v>477</v>
      </c>
    </row>
    <row r="21926">
      <c r="B21926" s="17" t="s">
        <v>477</v>
      </c>
      <c r="K21926" s="18" t="s">
        <v>477</v>
      </c>
    </row>
    <row r="21927">
      <c r="B21927" s="17" t="s">
        <v>477</v>
      </c>
      <c r="K21927" s="18" t="s">
        <v>477</v>
      </c>
    </row>
    <row r="21928">
      <c r="B21928" s="17" t="s">
        <v>477</v>
      </c>
      <c r="K21928" s="18" t="s">
        <v>477</v>
      </c>
    </row>
    <row r="21929">
      <c r="B21929" s="17" t="s">
        <v>477</v>
      </c>
      <c r="K21929" s="18" t="s">
        <v>477</v>
      </c>
    </row>
    <row r="21930">
      <c r="B21930" s="17" t="s">
        <v>477</v>
      </c>
      <c r="K21930" s="18" t="s">
        <v>477</v>
      </c>
    </row>
    <row r="21931">
      <c r="B21931" s="17" t="s">
        <v>477</v>
      </c>
      <c r="K21931" s="18" t="s">
        <v>477</v>
      </c>
    </row>
    <row r="21932">
      <c r="B21932" s="17" t="s">
        <v>477</v>
      </c>
      <c r="K21932" s="18" t="s">
        <v>477</v>
      </c>
    </row>
    <row r="21933">
      <c r="B21933" s="17" t="s">
        <v>477</v>
      </c>
      <c r="K21933" s="18" t="s">
        <v>477</v>
      </c>
    </row>
    <row r="21934">
      <c r="B21934" s="17" t="s">
        <v>477</v>
      </c>
      <c r="K21934" s="18" t="s">
        <v>477</v>
      </c>
    </row>
    <row r="21935">
      <c r="B21935" s="17" t="s">
        <v>477</v>
      </c>
      <c r="K21935" s="18" t="s">
        <v>477</v>
      </c>
    </row>
    <row r="21936">
      <c r="B21936" s="17" t="s">
        <v>477</v>
      </c>
      <c r="K21936" s="18" t="s">
        <v>477</v>
      </c>
    </row>
    <row r="21937">
      <c r="B21937" s="17" t="s">
        <v>477</v>
      </c>
      <c r="K21937" s="18" t="s">
        <v>477</v>
      </c>
    </row>
    <row r="21938">
      <c r="B21938" s="17" t="s">
        <v>477</v>
      </c>
      <c r="K21938" s="18" t="s">
        <v>477</v>
      </c>
    </row>
    <row r="21939">
      <c r="B21939" s="17" t="s">
        <v>477</v>
      </c>
      <c r="K21939" s="18" t="s">
        <v>477</v>
      </c>
    </row>
    <row r="21940">
      <c r="B21940" s="17" t="s">
        <v>477</v>
      </c>
      <c r="K21940" s="18" t="s">
        <v>477</v>
      </c>
    </row>
    <row r="21941">
      <c r="B21941" s="17" t="s">
        <v>477</v>
      </c>
      <c r="K21941" s="18" t="s">
        <v>477</v>
      </c>
    </row>
    <row r="21942">
      <c r="B21942" s="17" t="s">
        <v>477</v>
      </c>
      <c r="K21942" s="18" t="s">
        <v>477</v>
      </c>
    </row>
    <row r="21943">
      <c r="B21943" s="17" t="s">
        <v>477</v>
      </c>
      <c r="K21943" s="18" t="s">
        <v>477</v>
      </c>
    </row>
    <row r="21944">
      <c r="B21944" s="17" t="s">
        <v>477</v>
      </c>
      <c r="K21944" s="18" t="s">
        <v>477</v>
      </c>
    </row>
    <row r="21945">
      <c r="B21945" s="17" t="s">
        <v>477</v>
      </c>
      <c r="K21945" s="18" t="s">
        <v>477</v>
      </c>
    </row>
    <row r="21946">
      <c r="B21946" s="17" t="s">
        <v>477</v>
      </c>
      <c r="K21946" s="18" t="s">
        <v>477</v>
      </c>
    </row>
    <row r="21947">
      <c r="B21947" s="17" t="s">
        <v>477</v>
      </c>
      <c r="K21947" s="18" t="s">
        <v>477</v>
      </c>
    </row>
    <row r="21948">
      <c r="B21948" s="17" t="s">
        <v>477</v>
      </c>
      <c r="K21948" s="18" t="s">
        <v>477</v>
      </c>
    </row>
    <row r="21949">
      <c r="B21949" s="17" t="s">
        <v>477</v>
      </c>
      <c r="K21949" s="18" t="s">
        <v>477</v>
      </c>
    </row>
    <row r="21950">
      <c r="B21950" s="17" t="s">
        <v>477</v>
      </c>
      <c r="K21950" s="18" t="s">
        <v>477</v>
      </c>
    </row>
    <row r="21951">
      <c r="B21951" s="17" t="s">
        <v>477</v>
      </c>
      <c r="K21951" s="18" t="s">
        <v>477</v>
      </c>
    </row>
    <row r="21952">
      <c r="B21952" s="17" t="s">
        <v>477</v>
      </c>
      <c r="K21952" s="18" t="s">
        <v>477</v>
      </c>
    </row>
    <row r="21953">
      <c r="B21953" s="17" t="s">
        <v>477</v>
      </c>
      <c r="K21953" s="18" t="s">
        <v>477</v>
      </c>
    </row>
    <row r="21954">
      <c r="B21954" s="17" t="s">
        <v>477</v>
      </c>
      <c r="K21954" s="18" t="s">
        <v>477</v>
      </c>
    </row>
    <row r="21955">
      <c r="B21955" s="17" t="s">
        <v>477</v>
      </c>
      <c r="K21955" s="18" t="s">
        <v>477</v>
      </c>
    </row>
    <row r="21956">
      <c r="B21956" s="17" t="s">
        <v>477</v>
      </c>
      <c r="K21956" s="18" t="s">
        <v>477</v>
      </c>
    </row>
    <row r="21957">
      <c r="B21957" s="17" t="s">
        <v>477</v>
      </c>
      <c r="K21957" s="18" t="s">
        <v>477</v>
      </c>
    </row>
    <row r="21958">
      <c r="B21958" s="17" t="s">
        <v>477</v>
      </c>
      <c r="K21958" s="18" t="s">
        <v>477</v>
      </c>
    </row>
    <row r="21959">
      <c r="B21959" s="17" t="s">
        <v>477</v>
      </c>
      <c r="K21959" s="18" t="s">
        <v>477</v>
      </c>
    </row>
    <row r="21960">
      <c r="B21960" s="17" t="s">
        <v>477</v>
      </c>
      <c r="K21960" s="18" t="s">
        <v>477</v>
      </c>
    </row>
    <row r="21961">
      <c r="B21961" s="17" t="s">
        <v>477</v>
      </c>
      <c r="K21961" s="18" t="s">
        <v>477</v>
      </c>
    </row>
    <row r="21962">
      <c r="B21962" s="17" t="s">
        <v>477</v>
      </c>
      <c r="K21962" s="18" t="s">
        <v>477</v>
      </c>
    </row>
    <row r="21963">
      <c r="B21963" s="17" t="s">
        <v>477</v>
      </c>
      <c r="K21963" s="18" t="s">
        <v>477</v>
      </c>
    </row>
    <row r="21964">
      <c r="B21964" s="17" t="s">
        <v>477</v>
      </c>
      <c r="K21964" s="18" t="s">
        <v>477</v>
      </c>
    </row>
    <row r="21965">
      <c r="B21965" s="17" t="s">
        <v>477</v>
      </c>
      <c r="K21965" s="18" t="s">
        <v>477</v>
      </c>
    </row>
    <row r="21966">
      <c r="B21966" s="17" t="s">
        <v>477</v>
      </c>
      <c r="K21966" s="18" t="s">
        <v>477</v>
      </c>
    </row>
    <row r="21967">
      <c r="B21967" s="17" t="s">
        <v>477</v>
      </c>
      <c r="K21967" s="18" t="s">
        <v>477</v>
      </c>
    </row>
    <row r="21968">
      <c r="B21968" s="17" t="s">
        <v>477</v>
      </c>
      <c r="K21968" s="18" t="s">
        <v>477</v>
      </c>
    </row>
    <row r="21969">
      <c r="B21969" s="17" t="s">
        <v>477</v>
      </c>
      <c r="K21969" s="18" t="s">
        <v>477</v>
      </c>
    </row>
    <row r="21970">
      <c r="B21970" s="17" t="s">
        <v>477</v>
      </c>
      <c r="K21970" s="18" t="s">
        <v>477</v>
      </c>
    </row>
    <row r="21971">
      <c r="B21971" s="17" t="s">
        <v>477</v>
      </c>
      <c r="K21971" s="18" t="s">
        <v>477</v>
      </c>
    </row>
    <row r="21972">
      <c r="B21972" s="17" t="s">
        <v>477</v>
      </c>
      <c r="K21972" s="18" t="s">
        <v>477</v>
      </c>
    </row>
    <row r="21973">
      <c r="B21973" s="17" t="s">
        <v>477</v>
      </c>
      <c r="K21973" s="18" t="s">
        <v>477</v>
      </c>
    </row>
    <row r="21974">
      <c r="B21974" s="17" t="s">
        <v>477</v>
      </c>
      <c r="K21974" s="18" t="s">
        <v>477</v>
      </c>
    </row>
    <row r="21975">
      <c r="B21975" s="17" t="s">
        <v>477</v>
      </c>
      <c r="K21975" s="18" t="s">
        <v>477</v>
      </c>
    </row>
    <row r="21976">
      <c r="B21976" s="17" t="s">
        <v>477</v>
      </c>
      <c r="K21976" s="18" t="s">
        <v>477</v>
      </c>
    </row>
    <row r="21977">
      <c r="B21977" s="17" t="s">
        <v>477</v>
      </c>
      <c r="K21977" s="18" t="s">
        <v>477</v>
      </c>
    </row>
    <row r="21978">
      <c r="B21978" s="17" t="s">
        <v>477</v>
      </c>
      <c r="K21978" s="18" t="s">
        <v>477</v>
      </c>
    </row>
    <row r="21979">
      <c r="B21979" s="17" t="s">
        <v>477</v>
      </c>
      <c r="K21979" s="18" t="s">
        <v>477</v>
      </c>
    </row>
    <row r="21980">
      <c r="B21980" s="17" t="s">
        <v>477</v>
      </c>
      <c r="K21980" s="18" t="s">
        <v>477</v>
      </c>
    </row>
    <row r="21981">
      <c r="B21981" s="17" t="s">
        <v>477</v>
      </c>
      <c r="K21981" s="18" t="s">
        <v>477</v>
      </c>
    </row>
    <row r="21982">
      <c r="B21982" s="17" t="s">
        <v>477</v>
      </c>
      <c r="K21982" s="18" t="s">
        <v>477</v>
      </c>
    </row>
    <row r="21983">
      <c r="B21983" s="17" t="s">
        <v>477</v>
      </c>
      <c r="K21983" s="18" t="s">
        <v>477</v>
      </c>
    </row>
    <row r="21984">
      <c r="B21984" s="17" t="s">
        <v>477</v>
      </c>
      <c r="K21984" s="18" t="s">
        <v>477</v>
      </c>
    </row>
    <row r="21985">
      <c r="B21985" s="17" t="s">
        <v>477</v>
      </c>
      <c r="K21985" s="18" t="s">
        <v>477</v>
      </c>
    </row>
    <row r="21986">
      <c r="B21986" s="17" t="s">
        <v>477</v>
      </c>
      <c r="K21986" s="18" t="s">
        <v>477</v>
      </c>
    </row>
    <row r="21987">
      <c r="B21987" s="17" t="s">
        <v>477</v>
      </c>
      <c r="K21987" s="18" t="s">
        <v>477</v>
      </c>
    </row>
    <row r="21988">
      <c r="B21988" s="17" t="s">
        <v>477</v>
      </c>
      <c r="K21988" s="18" t="s">
        <v>477</v>
      </c>
    </row>
    <row r="21989">
      <c r="B21989" s="17" t="s">
        <v>477</v>
      </c>
      <c r="K21989" s="18" t="s">
        <v>477</v>
      </c>
    </row>
    <row r="21990">
      <c r="B21990" s="17" t="s">
        <v>477</v>
      </c>
      <c r="K21990" s="18" t="s">
        <v>477</v>
      </c>
    </row>
    <row r="21991">
      <c r="B21991" s="17" t="s">
        <v>477</v>
      </c>
      <c r="K21991" s="18" t="s">
        <v>477</v>
      </c>
    </row>
    <row r="21992">
      <c r="B21992" s="17" t="s">
        <v>477</v>
      </c>
      <c r="K21992" s="18" t="s">
        <v>477</v>
      </c>
    </row>
    <row r="21993">
      <c r="B21993" s="17" t="s">
        <v>477</v>
      </c>
      <c r="K21993" s="18" t="s">
        <v>477</v>
      </c>
    </row>
    <row r="21994">
      <c r="B21994" s="17" t="s">
        <v>477</v>
      </c>
      <c r="K21994" s="18" t="s">
        <v>477</v>
      </c>
    </row>
    <row r="21995">
      <c r="B21995" s="17" t="s">
        <v>477</v>
      </c>
      <c r="K21995" s="18" t="s">
        <v>477</v>
      </c>
    </row>
    <row r="21996">
      <c r="B21996" s="17" t="s">
        <v>477</v>
      </c>
      <c r="K21996" s="18" t="s">
        <v>477</v>
      </c>
    </row>
    <row r="21997">
      <c r="B21997" s="17" t="s">
        <v>477</v>
      </c>
      <c r="K21997" s="18" t="s">
        <v>477</v>
      </c>
    </row>
    <row r="21998">
      <c r="B21998" s="17" t="s">
        <v>477</v>
      </c>
      <c r="K21998" s="18" t="s">
        <v>477</v>
      </c>
    </row>
    <row r="21999">
      <c r="B21999" s="17" t="s">
        <v>477</v>
      </c>
      <c r="K21999" s="18" t="s">
        <v>477</v>
      </c>
    </row>
    <row r="22000">
      <c r="B22000" s="17" t="s">
        <v>477</v>
      </c>
      <c r="K22000" s="18" t="s">
        <v>477</v>
      </c>
    </row>
    <row r="22001">
      <c r="B22001" s="17" t="s">
        <v>477</v>
      </c>
      <c r="K22001" s="18" t="s">
        <v>477</v>
      </c>
    </row>
    <row r="22002">
      <c r="B22002" s="17" t="s">
        <v>477</v>
      </c>
      <c r="K22002" s="18" t="s">
        <v>477</v>
      </c>
    </row>
    <row r="22003">
      <c r="B22003" s="17" t="s">
        <v>477</v>
      </c>
      <c r="K22003" s="18" t="s">
        <v>477</v>
      </c>
    </row>
    <row r="22004">
      <c r="B22004" s="17" t="s">
        <v>477</v>
      </c>
      <c r="K22004" s="18" t="s">
        <v>477</v>
      </c>
    </row>
    <row r="22005">
      <c r="B22005" s="17" t="s">
        <v>477</v>
      </c>
      <c r="K22005" s="18" t="s">
        <v>477</v>
      </c>
    </row>
    <row r="22006">
      <c r="B22006" s="17" t="s">
        <v>477</v>
      </c>
      <c r="K22006" s="18" t="s">
        <v>477</v>
      </c>
    </row>
    <row r="22007">
      <c r="B22007" s="17" t="s">
        <v>477</v>
      </c>
      <c r="K22007" s="18" t="s">
        <v>477</v>
      </c>
    </row>
    <row r="22008">
      <c r="B22008" s="17" t="s">
        <v>477</v>
      </c>
      <c r="K22008" s="18" t="s">
        <v>477</v>
      </c>
    </row>
    <row r="22009">
      <c r="B22009" s="17" t="s">
        <v>477</v>
      </c>
      <c r="K22009" s="18" t="s">
        <v>477</v>
      </c>
    </row>
    <row r="22010">
      <c r="B22010" s="17" t="s">
        <v>477</v>
      </c>
      <c r="K22010" s="18" t="s">
        <v>477</v>
      </c>
    </row>
    <row r="22011">
      <c r="B22011" s="17" t="s">
        <v>477</v>
      </c>
      <c r="K22011" s="18" t="s">
        <v>477</v>
      </c>
    </row>
    <row r="22012">
      <c r="B22012" s="17" t="s">
        <v>477</v>
      </c>
      <c r="K22012" s="18" t="s">
        <v>477</v>
      </c>
    </row>
    <row r="22013">
      <c r="B22013" s="17" t="s">
        <v>477</v>
      </c>
      <c r="K22013" s="18" t="s">
        <v>477</v>
      </c>
    </row>
    <row r="22014">
      <c r="B22014" s="17" t="s">
        <v>477</v>
      </c>
      <c r="K22014" s="18" t="s">
        <v>477</v>
      </c>
    </row>
    <row r="22015">
      <c r="B22015" s="17" t="s">
        <v>477</v>
      </c>
      <c r="K22015" s="18" t="s">
        <v>477</v>
      </c>
    </row>
    <row r="22016">
      <c r="B22016" s="17" t="s">
        <v>477</v>
      </c>
      <c r="K22016" s="18" t="s">
        <v>477</v>
      </c>
    </row>
    <row r="22017">
      <c r="B22017" s="17" t="s">
        <v>477</v>
      </c>
      <c r="K22017" s="18" t="s">
        <v>477</v>
      </c>
    </row>
    <row r="22018">
      <c r="B22018" s="17" t="s">
        <v>477</v>
      </c>
      <c r="K22018" s="18" t="s">
        <v>477</v>
      </c>
    </row>
    <row r="22019">
      <c r="B22019" s="17" t="s">
        <v>477</v>
      </c>
      <c r="K22019" s="18" t="s">
        <v>477</v>
      </c>
    </row>
    <row r="22020">
      <c r="B22020" s="17" t="s">
        <v>477</v>
      </c>
      <c r="K22020" s="18" t="s">
        <v>477</v>
      </c>
    </row>
    <row r="22021">
      <c r="B22021" s="17" t="s">
        <v>477</v>
      </c>
      <c r="K22021" s="18" t="s">
        <v>477</v>
      </c>
    </row>
    <row r="22022">
      <c r="B22022" s="17" t="s">
        <v>477</v>
      </c>
      <c r="K22022" s="18" t="s">
        <v>477</v>
      </c>
    </row>
    <row r="22023">
      <c r="B22023" s="17" t="s">
        <v>477</v>
      </c>
      <c r="K22023" s="18" t="s">
        <v>477</v>
      </c>
    </row>
    <row r="22024">
      <c r="B22024" s="17" t="s">
        <v>477</v>
      </c>
      <c r="K22024" s="18" t="s">
        <v>477</v>
      </c>
    </row>
    <row r="22025">
      <c r="B22025" s="17" t="s">
        <v>477</v>
      </c>
      <c r="K22025" s="18" t="s">
        <v>477</v>
      </c>
    </row>
    <row r="22026">
      <c r="B22026" s="17" t="s">
        <v>477</v>
      </c>
      <c r="K22026" s="18" t="s">
        <v>477</v>
      </c>
    </row>
    <row r="22027">
      <c r="B22027" s="17" t="s">
        <v>477</v>
      </c>
      <c r="K22027" s="18" t="s">
        <v>477</v>
      </c>
    </row>
    <row r="22028">
      <c r="B22028" s="17" t="s">
        <v>477</v>
      </c>
      <c r="K22028" s="18" t="s">
        <v>477</v>
      </c>
    </row>
    <row r="22029">
      <c r="B22029" s="17" t="s">
        <v>477</v>
      </c>
      <c r="K22029" s="18" t="s">
        <v>477</v>
      </c>
    </row>
    <row r="22030">
      <c r="B22030" s="17" t="s">
        <v>477</v>
      </c>
      <c r="K22030" s="18" t="s">
        <v>477</v>
      </c>
    </row>
    <row r="22031">
      <c r="B22031" s="17" t="s">
        <v>477</v>
      </c>
      <c r="K22031" s="18" t="s">
        <v>477</v>
      </c>
    </row>
    <row r="22032">
      <c r="B22032" s="17" t="s">
        <v>477</v>
      </c>
      <c r="K22032" s="18" t="s">
        <v>477</v>
      </c>
    </row>
    <row r="22033">
      <c r="B22033" s="17" t="s">
        <v>477</v>
      </c>
      <c r="K22033" s="18" t="s">
        <v>477</v>
      </c>
    </row>
    <row r="22034">
      <c r="B22034" s="17" t="s">
        <v>477</v>
      </c>
      <c r="K22034" s="18" t="s">
        <v>477</v>
      </c>
    </row>
    <row r="22035">
      <c r="B22035" s="17" t="s">
        <v>477</v>
      </c>
      <c r="K22035" s="18" t="s">
        <v>477</v>
      </c>
    </row>
    <row r="22036">
      <c r="B22036" s="17" t="s">
        <v>477</v>
      </c>
      <c r="K22036" s="18" t="s">
        <v>477</v>
      </c>
    </row>
    <row r="22037">
      <c r="B22037" s="17" t="s">
        <v>477</v>
      </c>
      <c r="K22037" s="18" t="s">
        <v>477</v>
      </c>
    </row>
    <row r="22038">
      <c r="B22038" s="17" t="s">
        <v>477</v>
      </c>
      <c r="K22038" s="18" t="s">
        <v>477</v>
      </c>
    </row>
    <row r="22039">
      <c r="B22039" s="17" t="s">
        <v>477</v>
      </c>
      <c r="K22039" s="18" t="s">
        <v>477</v>
      </c>
    </row>
    <row r="22040">
      <c r="B22040" s="17" t="s">
        <v>477</v>
      </c>
      <c r="K22040" s="18" t="s">
        <v>477</v>
      </c>
    </row>
    <row r="22041">
      <c r="B22041" s="17" t="s">
        <v>477</v>
      </c>
      <c r="K22041" s="18" t="s">
        <v>477</v>
      </c>
    </row>
    <row r="22042">
      <c r="B22042" s="17" t="s">
        <v>477</v>
      </c>
      <c r="K22042" s="18" t="s">
        <v>477</v>
      </c>
    </row>
    <row r="22043">
      <c r="B22043" s="17" t="s">
        <v>477</v>
      </c>
      <c r="K22043" s="18" t="s">
        <v>477</v>
      </c>
    </row>
    <row r="22044">
      <c r="B22044" s="17" t="s">
        <v>477</v>
      </c>
      <c r="K22044" s="18" t="s">
        <v>477</v>
      </c>
    </row>
    <row r="22045">
      <c r="B22045" s="17" t="s">
        <v>477</v>
      </c>
      <c r="K22045" s="18" t="s">
        <v>477</v>
      </c>
    </row>
    <row r="22046">
      <c r="B22046" s="17" t="s">
        <v>477</v>
      </c>
      <c r="K22046" s="18" t="s">
        <v>477</v>
      </c>
    </row>
    <row r="22047">
      <c r="B22047" s="17" t="s">
        <v>477</v>
      </c>
      <c r="K22047" s="18" t="s">
        <v>477</v>
      </c>
    </row>
    <row r="22048">
      <c r="B22048" s="17" t="s">
        <v>477</v>
      </c>
      <c r="K22048" s="18" t="s">
        <v>477</v>
      </c>
    </row>
    <row r="22049">
      <c r="B22049" s="17" t="s">
        <v>477</v>
      </c>
      <c r="K22049" s="18" t="s">
        <v>477</v>
      </c>
    </row>
    <row r="22050">
      <c r="B22050" s="17" t="s">
        <v>477</v>
      </c>
      <c r="K22050" s="18" t="s">
        <v>477</v>
      </c>
    </row>
    <row r="22051">
      <c r="B22051" s="17" t="s">
        <v>477</v>
      </c>
      <c r="K22051" s="18" t="s">
        <v>477</v>
      </c>
    </row>
    <row r="22052">
      <c r="B22052" s="17" t="s">
        <v>477</v>
      </c>
      <c r="K22052" s="18" t="s">
        <v>477</v>
      </c>
    </row>
    <row r="22053">
      <c r="B22053" s="17" t="s">
        <v>477</v>
      </c>
      <c r="K22053" s="18" t="s">
        <v>477</v>
      </c>
    </row>
    <row r="22054">
      <c r="B22054" s="17" t="s">
        <v>477</v>
      </c>
      <c r="K22054" s="18" t="s">
        <v>477</v>
      </c>
    </row>
    <row r="22055">
      <c r="B22055" s="17" t="s">
        <v>477</v>
      </c>
      <c r="K22055" s="18" t="s">
        <v>477</v>
      </c>
    </row>
    <row r="22056">
      <c r="B22056" s="17" t="s">
        <v>477</v>
      </c>
      <c r="K22056" s="18" t="s">
        <v>477</v>
      </c>
    </row>
    <row r="22057">
      <c r="B22057" s="17" t="s">
        <v>477</v>
      </c>
      <c r="K22057" s="18" t="s">
        <v>477</v>
      </c>
    </row>
    <row r="22058">
      <c r="B22058" s="17" t="s">
        <v>477</v>
      </c>
      <c r="K22058" s="18" t="s">
        <v>477</v>
      </c>
    </row>
    <row r="22059">
      <c r="B22059" s="17" t="s">
        <v>477</v>
      </c>
      <c r="K22059" s="18" t="s">
        <v>477</v>
      </c>
    </row>
    <row r="22060">
      <c r="B22060" s="17" t="s">
        <v>477</v>
      </c>
      <c r="K22060" s="18" t="s">
        <v>477</v>
      </c>
    </row>
    <row r="22061">
      <c r="B22061" s="17" t="s">
        <v>477</v>
      </c>
      <c r="K22061" s="18" t="s">
        <v>477</v>
      </c>
    </row>
    <row r="22062">
      <c r="B22062" s="17" t="s">
        <v>477</v>
      </c>
      <c r="K22062" s="18" t="s">
        <v>477</v>
      </c>
    </row>
    <row r="22063">
      <c r="B22063" s="17" t="s">
        <v>477</v>
      </c>
      <c r="K22063" s="18" t="s">
        <v>477</v>
      </c>
    </row>
    <row r="22064">
      <c r="B22064" s="17" t="s">
        <v>477</v>
      </c>
      <c r="K22064" s="18" t="s">
        <v>477</v>
      </c>
    </row>
    <row r="22065">
      <c r="B22065" s="17" t="s">
        <v>477</v>
      </c>
      <c r="K22065" s="18" t="s">
        <v>477</v>
      </c>
    </row>
    <row r="22066">
      <c r="B22066" s="17" t="s">
        <v>477</v>
      </c>
      <c r="K22066" s="18" t="s">
        <v>477</v>
      </c>
    </row>
    <row r="22067">
      <c r="B22067" s="17" t="s">
        <v>477</v>
      </c>
      <c r="K22067" s="18" t="s">
        <v>477</v>
      </c>
    </row>
    <row r="22068">
      <c r="B22068" s="17" t="s">
        <v>477</v>
      </c>
      <c r="K22068" s="18" t="s">
        <v>477</v>
      </c>
    </row>
    <row r="22069">
      <c r="B22069" s="17" t="s">
        <v>477</v>
      </c>
      <c r="K22069" s="18" t="s">
        <v>477</v>
      </c>
    </row>
    <row r="22070">
      <c r="B22070" s="17" t="s">
        <v>477</v>
      </c>
      <c r="K22070" s="18" t="s">
        <v>477</v>
      </c>
    </row>
    <row r="22071">
      <c r="B22071" s="17" t="s">
        <v>477</v>
      </c>
      <c r="K22071" s="18" t="s">
        <v>477</v>
      </c>
    </row>
    <row r="22072">
      <c r="B22072" s="17" t="s">
        <v>477</v>
      </c>
      <c r="K22072" s="18" t="s">
        <v>477</v>
      </c>
    </row>
    <row r="22073">
      <c r="B22073" s="17" t="s">
        <v>477</v>
      </c>
      <c r="K22073" s="18" t="s">
        <v>477</v>
      </c>
    </row>
    <row r="22074">
      <c r="B22074" s="17" t="s">
        <v>477</v>
      </c>
      <c r="K22074" s="18" t="s">
        <v>477</v>
      </c>
    </row>
    <row r="22075">
      <c r="B22075" s="17" t="s">
        <v>477</v>
      </c>
      <c r="K22075" s="18" t="s">
        <v>477</v>
      </c>
    </row>
    <row r="22076">
      <c r="B22076" s="17" t="s">
        <v>477</v>
      </c>
      <c r="K22076" s="18" t="s">
        <v>477</v>
      </c>
    </row>
    <row r="22077">
      <c r="B22077" s="17" t="s">
        <v>477</v>
      </c>
      <c r="K22077" s="18" t="s">
        <v>477</v>
      </c>
    </row>
    <row r="22078">
      <c r="B22078" s="17" t="s">
        <v>477</v>
      </c>
      <c r="K22078" s="18" t="s">
        <v>477</v>
      </c>
    </row>
    <row r="22079">
      <c r="B22079" s="17" t="s">
        <v>477</v>
      </c>
      <c r="K22079" s="18" t="s">
        <v>477</v>
      </c>
    </row>
    <row r="22080">
      <c r="B22080" s="17" t="s">
        <v>477</v>
      </c>
      <c r="K22080" s="18" t="s">
        <v>477</v>
      </c>
    </row>
    <row r="22081">
      <c r="B22081" s="17" t="s">
        <v>477</v>
      </c>
      <c r="K22081" s="18" t="s">
        <v>477</v>
      </c>
    </row>
    <row r="22082">
      <c r="B22082" s="17" t="s">
        <v>477</v>
      </c>
      <c r="K22082" s="18" t="s">
        <v>477</v>
      </c>
    </row>
    <row r="22083">
      <c r="B22083" s="17" t="s">
        <v>477</v>
      </c>
      <c r="K22083" s="18" t="s">
        <v>477</v>
      </c>
    </row>
    <row r="22084">
      <c r="B22084" s="17" t="s">
        <v>477</v>
      </c>
      <c r="K22084" s="18" t="s">
        <v>477</v>
      </c>
    </row>
    <row r="22085">
      <c r="B22085" s="17" t="s">
        <v>477</v>
      </c>
      <c r="K22085" s="18" t="s">
        <v>477</v>
      </c>
    </row>
    <row r="22086">
      <c r="B22086" s="17" t="s">
        <v>477</v>
      </c>
      <c r="K22086" s="18" t="s">
        <v>477</v>
      </c>
    </row>
    <row r="22087">
      <c r="B22087" s="17" t="s">
        <v>477</v>
      </c>
      <c r="K22087" s="18" t="s">
        <v>477</v>
      </c>
    </row>
    <row r="22088">
      <c r="B22088" s="17" t="s">
        <v>477</v>
      </c>
      <c r="K22088" s="18" t="s">
        <v>477</v>
      </c>
    </row>
    <row r="22089">
      <c r="B22089" s="17" t="s">
        <v>477</v>
      </c>
      <c r="K22089" s="18" t="s">
        <v>477</v>
      </c>
    </row>
    <row r="22090">
      <c r="B22090" s="17" t="s">
        <v>477</v>
      </c>
      <c r="K22090" s="18" t="s">
        <v>477</v>
      </c>
    </row>
    <row r="22091">
      <c r="B22091" s="17" t="s">
        <v>477</v>
      </c>
      <c r="K22091" s="18" t="s">
        <v>477</v>
      </c>
    </row>
    <row r="22092">
      <c r="B22092" s="17" t="s">
        <v>477</v>
      </c>
      <c r="K22092" s="18" t="s">
        <v>477</v>
      </c>
    </row>
    <row r="22093">
      <c r="B22093" s="17" t="s">
        <v>477</v>
      </c>
      <c r="K22093" s="18" t="s">
        <v>477</v>
      </c>
    </row>
    <row r="22094">
      <c r="B22094" s="17" t="s">
        <v>477</v>
      </c>
      <c r="K22094" s="18" t="s">
        <v>477</v>
      </c>
    </row>
    <row r="22095">
      <c r="B22095" s="17" t="s">
        <v>477</v>
      </c>
      <c r="K22095" s="18" t="s">
        <v>477</v>
      </c>
    </row>
    <row r="22096">
      <c r="B22096" s="17" t="s">
        <v>477</v>
      </c>
      <c r="K22096" s="18" t="s">
        <v>477</v>
      </c>
    </row>
    <row r="22097">
      <c r="B22097" s="17" t="s">
        <v>477</v>
      </c>
      <c r="K22097" s="18" t="s">
        <v>477</v>
      </c>
    </row>
    <row r="22098">
      <c r="B22098" s="17" t="s">
        <v>477</v>
      </c>
      <c r="K22098" s="18" t="s">
        <v>477</v>
      </c>
    </row>
    <row r="22099">
      <c r="B22099" s="17" t="s">
        <v>477</v>
      </c>
      <c r="K22099" s="18" t="s">
        <v>477</v>
      </c>
    </row>
    <row r="22100">
      <c r="B22100" s="17" t="s">
        <v>477</v>
      </c>
      <c r="K22100" s="18" t="s">
        <v>477</v>
      </c>
    </row>
    <row r="22101">
      <c r="B22101" s="17" t="s">
        <v>477</v>
      </c>
      <c r="K22101" s="18" t="s">
        <v>477</v>
      </c>
    </row>
    <row r="22102">
      <c r="B22102" s="17" t="s">
        <v>477</v>
      </c>
      <c r="K22102" s="18" t="s">
        <v>477</v>
      </c>
    </row>
    <row r="22103">
      <c r="B22103" s="17" t="s">
        <v>477</v>
      </c>
      <c r="K22103" s="18" t="s">
        <v>477</v>
      </c>
    </row>
    <row r="22104">
      <c r="B22104" s="17" t="s">
        <v>477</v>
      </c>
      <c r="K22104" s="18" t="s">
        <v>477</v>
      </c>
    </row>
    <row r="22105">
      <c r="B22105" s="17" t="s">
        <v>477</v>
      </c>
      <c r="K22105" s="18" t="s">
        <v>477</v>
      </c>
    </row>
    <row r="22106">
      <c r="B22106" s="17" t="s">
        <v>477</v>
      </c>
      <c r="K22106" s="18" t="s">
        <v>477</v>
      </c>
    </row>
    <row r="22107">
      <c r="B22107" s="17" t="s">
        <v>477</v>
      </c>
      <c r="K22107" s="18" t="s">
        <v>477</v>
      </c>
    </row>
    <row r="22108">
      <c r="B22108" s="17" t="s">
        <v>477</v>
      </c>
      <c r="K22108" s="18" t="s">
        <v>477</v>
      </c>
    </row>
    <row r="22109">
      <c r="B22109" s="17" t="s">
        <v>477</v>
      </c>
      <c r="K22109" s="18" t="s">
        <v>477</v>
      </c>
    </row>
    <row r="22110">
      <c r="B22110" s="17" t="s">
        <v>477</v>
      </c>
      <c r="K22110" s="18" t="s">
        <v>477</v>
      </c>
    </row>
    <row r="22111">
      <c r="B22111" s="17" t="s">
        <v>477</v>
      </c>
      <c r="K22111" s="18" t="s">
        <v>477</v>
      </c>
    </row>
    <row r="22112">
      <c r="B22112" s="17" t="s">
        <v>477</v>
      </c>
      <c r="K22112" s="18" t="s">
        <v>477</v>
      </c>
    </row>
    <row r="22113">
      <c r="B22113" s="17" t="s">
        <v>477</v>
      </c>
      <c r="K22113" s="18" t="s">
        <v>477</v>
      </c>
    </row>
    <row r="22114">
      <c r="B22114" s="17" t="s">
        <v>477</v>
      </c>
      <c r="K22114" s="18" t="s">
        <v>477</v>
      </c>
    </row>
    <row r="22115">
      <c r="B22115" s="17" t="s">
        <v>477</v>
      </c>
      <c r="K22115" s="18" t="s">
        <v>477</v>
      </c>
    </row>
    <row r="22116">
      <c r="B22116" s="17" t="s">
        <v>477</v>
      </c>
      <c r="K22116" s="18" t="s">
        <v>477</v>
      </c>
    </row>
    <row r="22117">
      <c r="B22117" s="17" t="s">
        <v>477</v>
      </c>
      <c r="K22117" s="18" t="s">
        <v>477</v>
      </c>
    </row>
    <row r="22118">
      <c r="B22118" s="17" t="s">
        <v>477</v>
      </c>
      <c r="K22118" s="18" t="s">
        <v>477</v>
      </c>
    </row>
    <row r="22119">
      <c r="B22119" s="17" t="s">
        <v>477</v>
      </c>
      <c r="K22119" s="18" t="s">
        <v>477</v>
      </c>
    </row>
    <row r="22120">
      <c r="B22120" s="17" t="s">
        <v>477</v>
      </c>
      <c r="K22120" s="18" t="s">
        <v>477</v>
      </c>
    </row>
    <row r="22121">
      <c r="B22121" s="17" t="s">
        <v>477</v>
      </c>
      <c r="K22121" s="18" t="s">
        <v>477</v>
      </c>
    </row>
    <row r="22122">
      <c r="B22122" s="17" t="s">
        <v>477</v>
      </c>
      <c r="K22122" s="18" t="s">
        <v>477</v>
      </c>
    </row>
    <row r="22123">
      <c r="B22123" s="17" t="s">
        <v>477</v>
      </c>
      <c r="K22123" s="18" t="s">
        <v>477</v>
      </c>
    </row>
    <row r="22124">
      <c r="B22124" s="17" t="s">
        <v>477</v>
      </c>
      <c r="K22124" s="18" t="s">
        <v>477</v>
      </c>
    </row>
    <row r="22125">
      <c r="B22125" s="17" t="s">
        <v>477</v>
      </c>
      <c r="K22125" s="18" t="s">
        <v>477</v>
      </c>
    </row>
    <row r="22126">
      <c r="B22126" s="17" t="s">
        <v>477</v>
      </c>
      <c r="K22126" s="18" t="s">
        <v>477</v>
      </c>
    </row>
    <row r="22127">
      <c r="B22127" s="17" t="s">
        <v>477</v>
      </c>
      <c r="K22127" s="18" t="s">
        <v>477</v>
      </c>
    </row>
    <row r="22128">
      <c r="B22128" s="17" t="s">
        <v>477</v>
      </c>
      <c r="K22128" s="18" t="s">
        <v>477</v>
      </c>
    </row>
    <row r="22129">
      <c r="B22129" s="17" t="s">
        <v>477</v>
      </c>
      <c r="K22129" s="18" t="s">
        <v>477</v>
      </c>
    </row>
    <row r="22130">
      <c r="B22130" s="17" t="s">
        <v>477</v>
      </c>
      <c r="K22130" s="18" t="s">
        <v>477</v>
      </c>
    </row>
    <row r="22131">
      <c r="B22131" s="17" t="s">
        <v>477</v>
      </c>
      <c r="K22131" s="18" t="s">
        <v>477</v>
      </c>
    </row>
    <row r="22132">
      <c r="B22132" s="17" t="s">
        <v>477</v>
      </c>
      <c r="K22132" s="18" t="s">
        <v>477</v>
      </c>
    </row>
    <row r="22133">
      <c r="B22133" s="17" t="s">
        <v>477</v>
      </c>
      <c r="K22133" s="18" t="s">
        <v>477</v>
      </c>
    </row>
    <row r="22134">
      <c r="B22134" s="17" t="s">
        <v>477</v>
      </c>
      <c r="K22134" s="18" t="s">
        <v>477</v>
      </c>
    </row>
    <row r="22135">
      <c r="B22135" s="17" t="s">
        <v>477</v>
      </c>
      <c r="K22135" s="18" t="s">
        <v>477</v>
      </c>
    </row>
    <row r="22136">
      <c r="B22136" s="17" t="s">
        <v>477</v>
      </c>
      <c r="K22136" s="18" t="s">
        <v>477</v>
      </c>
    </row>
    <row r="22137">
      <c r="B22137" s="17" t="s">
        <v>477</v>
      </c>
      <c r="K22137" s="18" t="s">
        <v>477</v>
      </c>
    </row>
    <row r="22138">
      <c r="B22138" s="17" t="s">
        <v>477</v>
      </c>
      <c r="K22138" s="18" t="s">
        <v>477</v>
      </c>
    </row>
    <row r="22139">
      <c r="B22139" s="17" t="s">
        <v>477</v>
      </c>
      <c r="K22139" s="18" t="s">
        <v>477</v>
      </c>
    </row>
    <row r="22140">
      <c r="B22140" s="17" t="s">
        <v>477</v>
      </c>
      <c r="K22140" s="18" t="s">
        <v>477</v>
      </c>
    </row>
    <row r="22141">
      <c r="B22141" s="17" t="s">
        <v>477</v>
      </c>
      <c r="K22141" s="18" t="s">
        <v>477</v>
      </c>
    </row>
    <row r="22142">
      <c r="B22142" s="17" t="s">
        <v>477</v>
      </c>
      <c r="K22142" s="18" t="s">
        <v>477</v>
      </c>
    </row>
    <row r="22143">
      <c r="B22143" s="17" t="s">
        <v>477</v>
      </c>
      <c r="K22143" s="18" t="s">
        <v>477</v>
      </c>
    </row>
    <row r="22144">
      <c r="B22144" s="17" t="s">
        <v>477</v>
      </c>
      <c r="K22144" s="18" t="s">
        <v>477</v>
      </c>
    </row>
    <row r="22145">
      <c r="B22145" s="17" t="s">
        <v>477</v>
      </c>
      <c r="K22145" s="18" t="s">
        <v>477</v>
      </c>
    </row>
    <row r="22146">
      <c r="B22146" s="17" t="s">
        <v>477</v>
      </c>
      <c r="K22146" s="18" t="s">
        <v>477</v>
      </c>
    </row>
    <row r="22147">
      <c r="B22147" s="17" t="s">
        <v>477</v>
      </c>
      <c r="K22147" s="18" t="s">
        <v>477</v>
      </c>
    </row>
    <row r="22148">
      <c r="B22148" s="17" t="s">
        <v>477</v>
      </c>
      <c r="K22148" s="18" t="s">
        <v>477</v>
      </c>
    </row>
    <row r="22149">
      <c r="B22149" s="17" t="s">
        <v>477</v>
      </c>
      <c r="K22149" s="18" t="s">
        <v>477</v>
      </c>
    </row>
    <row r="22150">
      <c r="B22150" s="17" t="s">
        <v>477</v>
      </c>
      <c r="K22150" s="18" t="s">
        <v>477</v>
      </c>
    </row>
    <row r="22151">
      <c r="B22151" s="17" t="s">
        <v>477</v>
      </c>
      <c r="K22151" s="18" t="s">
        <v>477</v>
      </c>
    </row>
    <row r="22152">
      <c r="B22152" s="17" t="s">
        <v>477</v>
      </c>
      <c r="K22152" s="18" t="s">
        <v>477</v>
      </c>
    </row>
    <row r="22153">
      <c r="B22153" s="17" t="s">
        <v>477</v>
      </c>
      <c r="K22153" s="18" t="s">
        <v>477</v>
      </c>
    </row>
    <row r="22154">
      <c r="B22154" s="17" t="s">
        <v>477</v>
      </c>
      <c r="K22154" s="18" t="s">
        <v>477</v>
      </c>
    </row>
    <row r="22155">
      <c r="B22155" s="17" t="s">
        <v>477</v>
      </c>
      <c r="K22155" s="18" t="s">
        <v>477</v>
      </c>
    </row>
    <row r="22156">
      <c r="B22156" s="17" t="s">
        <v>477</v>
      </c>
      <c r="K22156" s="18" t="s">
        <v>477</v>
      </c>
    </row>
    <row r="22157">
      <c r="B22157" s="17" t="s">
        <v>477</v>
      </c>
      <c r="K22157" s="18" t="s">
        <v>477</v>
      </c>
    </row>
    <row r="22158">
      <c r="B22158" s="17" t="s">
        <v>477</v>
      </c>
      <c r="K22158" s="18" t="s">
        <v>477</v>
      </c>
    </row>
    <row r="22159">
      <c r="B22159" s="17" t="s">
        <v>477</v>
      </c>
      <c r="K22159" s="18" t="s">
        <v>477</v>
      </c>
    </row>
    <row r="22160">
      <c r="B22160" s="17" t="s">
        <v>477</v>
      </c>
      <c r="K22160" s="18" t="s">
        <v>477</v>
      </c>
    </row>
    <row r="22161">
      <c r="B22161" s="17" t="s">
        <v>477</v>
      </c>
      <c r="K22161" s="18" t="s">
        <v>477</v>
      </c>
    </row>
    <row r="22162">
      <c r="B22162" s="17" t="s">
        <v>477</v>
      </c>
      <c r="K22162" s="18" t="s">
        <v>477</v>
      </c>
    </row>
    <row r="22163">
      <c r="B22163" s="17" t="s">
        <v>477</v>
      </c>
      <c r="K22163" s="18" t="s">
        <v>477</v>
      </c>
    </row>
    <row r="22164">
      <c r="B22164" s="17" t="s">
        <v>477</v>
      </c>
      <c r="K22164" s="18" t="s">
        <v>477</v>
      </c>
    </row>
    <row r="22165">
      <c r="B22165" s="17" t="s">
        <v>477</v>
      </c>
      <c r="K22165" s="18" t="s">
        <v>477</v>
      </c>
    </row>
    <row r="22166">
      <c r="B22166" s="17" t="s">
        <v>477</v>
      </c>
      <c r="K22166" s="18" t="s">
        <v>477</v>
      </c>
    </row>
    <row r="22167">
      <c r="B22167" s="17" t="s">
        <v>477</v>
      </c>
      <c r="K22167" s="18" t="s">
        <v>477</v>
      </c>
    </row>
    <row r="22168">
      <c r="B22168" s="17" t="s">
        <v>477</v>
      </c>
      <c r="K22168" s="18" t="s">
        <v>477</v>
      </c>
    </row>
    <row r="22169">
      <c r="B22169" s="17" t="s">
        <v>477</v>
      </c>
      <c r="K22169" s="18" t="s">
        <v>477</v>
      </c>
    </row>
    <row r="22170">
      <c r="B22170" s="17" t="s">
        <v>477</v>
      </c>
      <c r="K22170" s="18" t="s">
        <v>477</v>
      </c>
    </row>
    <row r="22171">
      <c r="B22171" s="17" t="s">
        <v>477</v>
      </c>
      <c r="K22171" s="18" t="s">
        <v>477</v>
      </c>
    </row>
    <row r="22172">
      <c r="B22172" s="17" t="s">
        <v>477</v>
      </c>
      <c r="K22172" s="18" t="s">
        <v>477</v>
      </c>
    </row>
    <row r="22173">
      <c r="B22173" s="17" t="s">
        <v>477</v>
      </c>
      <c r="K22173" s="18" t="s">
        <v>477</v>
      </c>
    </row>
    <row r="22174">
      <c r="B22174" s="17" t="s">
        <v>477</v>
      </c>
      <c r="K22174" s="18" t="s">
        <v>477</v>
      </c>
    </row>
    <row r="22175">
      <c r="B22175" s="17" t="s">
        <v>477</v>
      </c>
      <c r="K22175" s="18" t="s">
        <v>477</v>
      </c>
    </row>
    <row r="22176">
      <c r="B22176" s="17" t="s">
        <v>477</v>
      </c>
      <c r="K22176" s="18" t="s">
        <v>477</v>
      </c>
    </row>
    <row r="22177">
      <c r="B22177" s="17" t="s">
        <v>477</v>
      </c>
      <c r="K22177" s="18" t="s">
        <v>477</v>
      </c>
    </row>
    <row r="22178">
      <c r="B22178" s="17" t="s">
        <v>477</v>
      </c>
      <c r="K22178" s="18" t="s">
        <v>477</v>
      </c>
    </row>
    <row r="22179">
      <c r="B22179" s="17" t="s">
        <v>477</v>
      </c>
      <c r="K22179" s="18" t="s">
        <v>477</v>
      </c>
    </row>
    <row r="22180">
      <c r="B22180" s="17" t="s">
        <v>477</v>
      </c>
      <c r="K22180" s="18" t="s">
        <v>477</v>
      </c>
    </row>
    <row r="22181">
      <c r="B22181" s="17" t="s">
        <v>477</v>
      </c>
      <c r="K22181" s="18" t="s">
        <v>477</v>
      </c>
    </row>
    <row r="22182">
      <c r="B22182" s="17" t="s">
        <v>477</v>
      </c>
      <c r="K22182" s="18" t="s">
        <v>477</v>
      </c>
    </row>
    <row r="22183">
      <c r="B22183" s="17" t="s">
        <v>477</v>
      </c>
      <c r="K22183" s="18" t="s">
        <v>477</v>
      </c>
    </row>
    <row r="22184">
      <c r="B22184" s="17" t="s">
        <v>477</v>
      </c>
      <c r="K22184" s="18" t="s">
        <v>477</v>
      </c>
    </row>
    <row r="22185">
      <c r="B22185" s="17" t="s">
        <v>477</v>
      </c>
      <c r="K22185" s="18" t="s">
        <v>477</v>
      </c>
    </row>
    <row r="22186">
      <c r="B22186" s="17" t="s">
        <v>477</v>
      </c>
      <c r="K22186" s="18" t="s">
        <v>477</v>
      </c>
    </row>
    <row r="22187">
      <c r="B22187" s="17" t="s">
        <v>477</v>
      </c>
      <c r="K22187" s="18" t="s">
        <v>477</v>
      </c>
    </row>
    <row r="22188">
      <c r="B22188" s="17" t="s">
        <v>477</v>
      </c>
      <c r="K22188" s="18" t="s">
        <v>477</v>
      </c>
    </row>
    <row r="22189">
      <c r="B22189" s="17" t="s">
        <v>477</v>
      </c>
      <c r="K22189" s="18" t="s">
        <v>477</v>
      </c>
    </row>
    <row r="22190">
      <c r="B22190" s="17" t="s">
        <v>477</v>
      </c>
      <c r="K22190" s="18" t="s">
        <v>477</v>
      </c>
    </row>
    <row r="22191">
      <c r="B22191" s="17" t="s">
        <v>477</v>
      </c>
      <c r="K22191" s="18" t="s">
        <v>477</v>
      </c>
    </row>
    <row r="22192">
      <c r="B22192" s="17" t="s">
        <v>477</v>
      </c>
      <c r="K22192" s="18" t="s">
        <v>477</v>
      </c>
    </row>
    <row r="22193">
      <c r="B22193" s="17" t="s">
        <v>477</v>
      </c>
      <c r="K22193" s="18" t="s">
        <v>477</v>
      </c>
    </row>
    <row r="22194">
      <c r="B22194" s="17" t="s">
        <v>477</v>
      </c>
      <c r="K22194" s="18" t="s">
        <v>477</v>
      </c>
    </row>
    <row r="22195">
      <c r="B22195" s="17" t="s">
        <v>477</v>
      </c>
      <c r="K22195" s="18" t="s">
        <v>477</v>
      </c>
    </row>
    <row r="22196">
      <c r="B22196" s="17" t="s">
        <v>477</v>
      </c>
      <c r="K22196" s="18" t="s">
        <v>477</v>
      </c>
    </row>
    <row r="22197">
      <c r="B22197" s="17" t="s">
        <v>477</v>
      </c>
      <c r="K22197" s="18" t="s">
        <v>477</v>
      </c>
    </row>
    <row r="22198">
      <c r="B22198" s="17" t="s">
        <v>477</v>
      </c>
      <c r="K22198" s="18" t="s">
        <v>477</v>
      </c>
    </row>
    <row r="22199">
      <c r="B22199" s="17" t="s">
        <v>477</v>
      </c>
      <c r="K22199" s="18" t="s">
        <v>477</v>
      </c>
    </row>
    <row r="22200">
      <c r="B22200" s="17" t="s">
        <v>477</v>
      </c>
      <c r="K22200" s="18" t="s">
        <v>477</v>
      </c>
    </row>
    <row r="22201">
      <c r="B22201" s="17" t="s">
        <v>477</v>
      </c>
      <c r="K22201" s="18" t="s">
        <v>477</v>
      </c>
    </row>
    <row r="22202">
      <c r="B22202" s="17" t="s">
        <v>477</v>
      </c>
      <c r="K22202" s="18" t="s">
        <v>477</v>
      </c>
    </row>
    <row r="22203">
      <c r="B22203" s="17" t="s">
        <v>477</v>
      </c>
      <c r="K22203" s="18" t="s">
        <v>477</v>
      </c>
    </row>
    <row r="22204">
      <c r="B22204" s="17" t="s">
        <v>477</v>
      </c>
      <c r="K22204" s="18" t="s">
        <v>477</v>
      </c>
    </row>
    <row r="22205">
      <c r="B22205" s="17" t="s">
        <v>477</v>
      </c>
      <c r="K22205" s="18" t="s">
        <v>477</v>
      </c>
    </row>
    <row r="22206">
      <c r="B22206" s="17" t="s">
        <v>477</v>
      </c>
      <c r="K22206" s="18" t="s">
        <v>477</v>
      </c>
    </row>
    <row r="22207">
      <c r="B22207" s="17" t="s">
        <v>477</v>
      </c>
      <c r="K22207" s="18" t="s">
        <v>477</v>
      </c>
    </row>
    <row r="22208">
      <c r="B22208" s="17" t="s">
        <v>477</v>
      </c>
      <c r="K22208" s="18" t="s">
        <v>477</v>
      </c>
    </row>
    <row r="22209">
      <c r="B22209" s="17" t="s">
        <v>477</v>
      </c>
      <c r="K22209" s="18" t="s">
        <v>477</v>
      </c>
    </row>
    <row r="22210">
      <c r="B22210" s="17" t="s">
        <v>477</v>
      </c>
      <c r="K22210" s="18" t="s">
        <v>477</v>
      </c>
    </row>
    <row r="22211">
      <c r="B22211" s="17" t="s">
        <v>477</v>
      </c>
      <c r="K22211" s="18" t="s">
        <v>477</v>
      </c>
    </row>
    <row r="22212">
      <c r="B22212" s="17" t="s">
        <v>477</v>
      </c>
      <c r="K22212" s="18" t="s">
        <v>477</v>
      </c>
    </row>
    <row r="22213">
      <c r="B22213" s="17" t="s">
        <v>477</v>
      </c>
      <c r="K22213" s="18" t="s">
        <v>477</v>
      </c>
    </row>
    <row r="22214">
      <c r="B22214" s="17" t="s">
        <v>477</v>
      </c>
      <c r="K22214" s="18" t="s">
        <v>477</v>
      </c>
    </row>
    <row r="22215">
      <c r="B22215" s="17" t="s">
        <v>477</v>
      </c>
      <c r="K22215" s="18" t="s">
        <v>477</v>
      </c>
    </row>
    <row r="22216">
      <c r="B22216" s="17" t="s">
        <v>477</v>
      </c>
      <c r="K22216" s="18" t="s">
        <v>477</v>
      </c>
    </row>
    <row r="22217">
      <c r="B22217" s="17" t="s">
        <v>477</v>
      </c>
      <c r="K22217" s="18" t="s">
        <v>477</v>
      </c>
    </row>
    <row r="22218">
      <c r="B22218" s="17" t="s">
        <v>477</v>
      </c>
      <c r="K22218" s="18" t="s">
        <v>477</v>
      </c>
    </row>
    <row r="22219">
      <c r="B22219" s="17" t="s">
        <v>477</v>
      </c>
      <c r="K22219" s="18" t="s">
        <v>477</v>
      </c>
    </row>
    <row r="22220">
      <c r="B22220" s="17" t="s">
        <v>477</v>
      </c>
      <c r="K22220" s="18" t="s">
        <v>477</v>
      </c>
    </row>
    <row r="22221">
      <c r="B22221" s="17" t="s">
        <v>477</v>
      </c>
      <c r="K22221" s="18" t="s">
        <v>477</v>
      </c>
    </row>
    <row r="22222">
      <c r="B22222" s="17" t="s">
        <v>477</v>
      </c>
      <c r="K22222" s="18" t="s">
        <v>477</v>
      </c>
    </row>
    <row r="22223">
      <c r="B22223" s="17" t="s">
        <v>477</v>
      </c>
      <c r="K22223" s="18" t="s">
        <v>477</v>
      </c>
    </row>
    <row r="22224">
      <c r="B22224" s="17" t="s">
        <v>477</v>
      </c>
      <c r="K22224" s="18" t="s">
        <v>477</v>
      </c>
    </row>
    <row r="22225">
      <c r="B22225" s="17" t="s">
        <v>477</v>
      </c>
      <c r="K22225" s="18" t="s">
        <v>477</v>
      </c>
    </row>
    <row r="22226">
      <c r="B22226" s="17" t="s">
        <v>477</v>
      </c>
      <c r="K22226" s="18" t="s">
        <v>477</v>
      </c>
    </row>
    <row r="22227">
      <c r="B22227" s="17" t="s">
        <v>477</v>
      </c>
      <c r="K22227" s="18" t="s">
        <v>477</v>
      </c>
    </row>
    <row r="22228">
      <c r="B22228" s="17" t="s">
        <v>477</v>
      </c>
      <c r="K22228" s="18" t="s">
        <v>477</v>
      </c>
    </row>
    <row r="22229">
      <c r="B22229" s="17" t="s">
        <v>477</v>
      </c>
      <c r="K22229" s="18" t="s">
        <v>477</v>
      </c>
    </row>
    <row r="22230">
      <c r="B22230" s="17" t="s">
        <v>477</v>
      </c>
      <c r="K22230" s="18" t="s">
        <v>477</v>
      </c>
    </row>
    <row r="22231">
      <c r="B22231" s="17" t="s">
        <v>477</v>
      </c>
      <c r="K22231" s="18" t="s">
        <v>477</v>
      </c>
    </row>
    <row r="22232">
      <c r="B22232" s="17" t="s">
        <v>477</v>
      </c>
      <c r="K22232" s="18" t="s">
        <v>477</v>
      </c>
    </row>
    <row r="22233">
      <c r="B22233" s="17" t="s">
        <v>477</v>
      </c>
      <c r="K22233" s="18" t="s">
        <v>477</v>
      </c>
    </row>
    <row r="22234">
      <c r="B22234" s="17" t="s">
        <v>477</v>
      </c>
      <c r="K22234" s="18" t="s">
        <v>477</v>
      </c>
    </row>
    <row r="22235">
      <c r="B22235" s="17" t="s">
        <v>477</v>
      </c>
      <c r="K22235" s="18" t="s">
        <v>477</v>
      </c>
    </row>
    <row r="22236">
      <c r="B22236" s="17" t="s">
        <v>477</v>
      </c>
      <c r="K22236" s="18" t="s">
        <v>477</v>
      </c>
    </row>
    <row r="22237">
      <c r="B22237" s="17" t="s">
        <v>477</v>
      </c>
      <c r="K22237" s="18" t="s">
        <v>477</v>
      </c>
    </row>
    <row r="22238">
      <c r="B22238" s="17" t="s">
        <v>477</v>
      </c>
      <c r="K22238" s="18" t="s">
        <v>477</v>
      </c>
    </row>
    <row r="22239">
      <c r="B22239" s="17" t="s">
        <v>477</v>
      </c>
      <c r="K22239" s="18" t="s">
        <v>477</v>
      </c>
    </row>
    <row r="22240">
      <c r="B22240" s="17" t="s">
        <v>477</v>
      </c>
      <c r="K22240" s="18" t="s">
        <v>477</v>
      </c>
    </row>
    <row r="22241">
      <c r="B22241" s="17" t="s">
        <v>477</v>
      </c>
      <c r="K22241" s="18" t="s">
        <v>477</v>
      </c>
    </row>
    <row r="22242">
      <c r="B22242" s="17" t="s">
        <v>477</v>
      </c>
      <c r="K22242" s="18" t="s">
        <v>477</v>
      </c>
    </row>
    <row r="22243">
      <c r="B22243" s="17" t="s">
        <v>477</v>
      </c>
      <c r="K22243" s="18" t="s">
        <v>477</v>
      </c>
    </row>
    <row r="22244">
      <c r="B22244" s="17" t="s">
        <v>477</v>
      </c>
      <c r="K22244" s="18" t="s">
        <v>477</v>
      </c>
    </row>
    <row r="22245">
      <c r="B22245" s="17" t="s">
        <v>477</v>
      </c>
      <c r="K22245" s="18" t="s">
        <v>477</v>
      </c>
    </row>
    <row r="22246">
      <c r="B22246" s="17" t="s">
        <v>477</v>
      </c>
      <c r="K22246" s="18" t="s">
        <v>477</v>
      </c>
    </row>
    <row r="22247">
      <c r="B22247" s="17" t="s">
        <v>477</v>
      </c>
      <c r="K22247" s="18" t="s">
        <v>477</v>
      </c>
    </row>
    <row r="22248">
      <c r="B22248" s="17" t="s">
        <v>477</v>
      </c>
      <c r="K22248" s="18" t="s">
        <v>477</v>
      </c>
    </row>
    <row r="22249">
      <c r="B22249" s="17" t="s">
        <v>477</v>
      </c>
      <c r="K22249" s="18" t="s">
        <v>477</v>
      </c>
    </row>
    <row r="22250">
      <c r="B22250" s="17" t="s">
        <v>477</v>
      </c>
      <c r="K22250" s="18" t="s">
        <v>477</v>
      </c>
    </row>
    <row r="22251">
      <c r="B22251" s="17" t="s">
        <v>477</v>
      </c>
      <c r="K22251" s="18" t="s">
        <v>477</v>
      </c>
    </row>
    <row r="22252">
      <c r="B22252" s="17" t="s">
        <v>477</v>
      </c>
      <c r="K22252" s="18" t="s">
        <v>477</v>
      </c>
    </row>
    <row r="22253">
      <c r="B22253" s="17" t="s">
        <v>477</v>
      </c>
      <c r="K22253" s="18" t="s">
        <v>477</v>
      </c>
    </row>
    <row r="22254">
      <c r="B22254" s="17" t="s">
        <v>477</v>
      </c>
      <c r="K22254" s="18" t="s">
        <v>477</v>
      </c>
    </row>
    <row r="22255">
      <c r="B22255" s="17" t="s">
        <v>477</v>
      </c>
      <c r="K22255" s="18" t="s">
        <v>477</v>
      </c>
    </row>
    <row r="22256">
      <c r="B22256" s="17" t="s">
        <v>477</v>
      </c>
      <c r="K22256" s="18" t="s">
        <v>477</v>
      </c>
    </row>
    <row r="22257">
      <c r="B22257" s="17" t="s">
        <v>477</v>
      </c>
      <c r="K22257" s="18" t="s">
        <v>477</v>
      </c>
    </row>
    <row r="22258">
      <c r="B22258" s="17" t="s">
        <v>477</v>
      </c>
      <c r="K22258" s="18" t="s">
        <v>477</v>
      </c>
    </row>
    <row r="22259">
      <c r="B22259" s="17" t="s">
        <v>477</v>
      </c>
      <c r="K22259" s="18" t="s">
        <v>477</v>
      </c>
    </row>
    <row r="22260">
      <c r="B22260" s="17" t="s">
        <v>477</v>
      </c>
      <c r="K22260" s="18" t="s">
        <v>477</v>
      </c>
    </row>
    <row r="22261">
      <c r="B22261" s="17" t="s">
        <v>477</v>
      </c>
      <c r="K22261" s="18" t="s">
        <v>477</v>
      </c>
    </row>
    <row r="22262">
      <c r="B22262" s="17" t="s">
        <v>477</v>
      </c>
      <c r="K22262" s="18" t="s">
        <v>477</v>
      </c>
    </row>
    <row r="22263">
      <c r="B22263" s="17" t="s">
        <v>477</v>
      </c>
      <c r="K22263" s="18" t="s">
        <v>477</v>
      </c>
    </row>
    <row r="22264">
      <c r="B22264" s="17" t="s">
        <v>477</v>
      </c>
      <c r="K22264" s="18" t="s">
        <v>477</v>
      </c>
    </row>
    <row r="22265">
      <c r="B22265" s="17" t="s">
        <v>477</v>
      </c>
      <c r="K22265" s="18" t="s">
        <v>477</v>
      </c>
    </row>
    <row r="22266">
      <c r="B22266" s="17" t="s">
        <v>477</v>
      </c>
      <c r="K22266" s="18" t="s">
        <v>477</v>
      </c>
    </row>
    <row r="22267">
      <c r="B22267" s="17" t="s">
        <v>477</v>
      </c>
      <c r="K22267" s="18" t="s">
        <v>477</v>
      </c>
    </row>
    <row r="22268">
      <c r="B22268" s="17" t="s">
        <v>477</v>
      </c>
      <c r="K22268" s="18" t="s">
        <v>477</v>
      </c>
    </row>
    <row r="22269">
      <c r="B22269" s="17" t="s">
        <v>477</v>
      </c>
      <c r="K22269" s="18" t="s">
        <v>477</v>
      </c>
    </row>
    <row r="22270">
      <c r="B22270" s="17" t="s">
        <v>477</v>
      </c>
      <c r="K22270" s="18" t="s">
        <v>477</v>
      </c>
    </row>
    <row r="22271">
      <c r="B22271" s="17" t="s">
        <v>477</v>
      </c>
      <c r="K22271" s="18" t="s">
        <v>477</v>
      </c>
    </row>
    <row r="22272">
      <c r="B22272" s="17" t="s">
        <v>477</v>
      </c>
      <c r="K22272" s="18" t="s">
        <v>477</v>
      </c>
    </row>
    <row r="22273">
      <c r="B22273" s="17" t="s">
        <v>477</v>
      </c>
      <c r="K22273" s="18" t="s">
        <v>477</v>
      </c>
    </row>
    <row r="22274">
      <c r="B22274" s="17" t="s">
        <v>477</v>
      </c>
      <c r="K22274" s="18" t="s">
        <v>477</v>
      </c>
    </row>
    <row r="22275">
      <c r="B22275" s="17" t="s">
        <v>477</v>
      </c>
      <c r="K22275" s="18" t="s">
        <v>477</v>
      </c>
    </row>
    <row r="22276">
      <c r="B22276" s="17" t="s">
        <v>477</v>
      </c>
      <c r="K22276" s="18" t="s">
        <v>477</v>
      </c>
    </row>
    <row r="22277">
      <c r="B22277" s="17" t="s">
        <v>477</v>
      </c>
      <c r="K22277" s="18" t="s">
        <v>477</v>
      </c>
    </row>
    <row r="22278">
      <c r="B22278" s="17" t="s">
        <v>477</v>
      </c>
      <c r="K22278" s="18" t="s">
        <v>477</v>
      </c>
    </row>
    <row r="22279">
      <c r="B22279" s="17" t="s">
        <v>477</v>
      </c>
      <c r="K22279" s="18" t="s">
        <v>477</v>
      </c>
    </row>
    <row r="22280">
      <c r="B22280" s="17" t="s">
        <v>477</v>
      </c>
      <c r="K22280" s="18" t="s">
        <v>477</v>
      </c>
    </row>
    <row r="22281">
      <c r="B22281" s="17" t="s">
        <v>477</v>
      </c>
      <c r="K22281" s="18" t="s">
        <v>477</v>
      </c>
    </row>
    <row r="22282">
      <c r="B22282" s="17" t="s">
        <v>477</v>
      </c>
      <c r="K22282" s="18" t="s">
        <v>477</v>
      </c>
    </row>
    <row r="22283">
      <c r="B22283" s="17" t="s">
        <v>477</v>
      </c>
      <c r="K22283" s="18" t="s">
        <v>477</v>
      </c>
    </row>
    <row r="22284">
      <c r="B22284" s="17" t="s">
        <v>477</v>
      </c>
      <c r="K22284" s="18" t="s">
        <v>477</v>
      </c>
    </row>
    <row r="22285">
      <c r="B22285" s="17" t="s">
        <v>477</v>
      </c>
      <c r="K22285" s="18" t="s">
        <v>477</v>
      </c>
    </row>
    <row r="22286">
      <c r="B22286" s="17" t="s">
        <v>477</v>
      </c>
      <c r="K22286" s="18" t="s">
        <v>477</v>
      </c>
    </row>
    <row r="22287">
      <c r="B22287" s="17" t="s">
        <v>477</v>
      </c>
      <c r="K22287" s="18" t="s">
        <v>477</v>
      </c>
    </row>
    <row r="22288">
      <c r="B22288" s="17" t="s">
        <v>477</v>
      </c>
      <c r="K22288" s="18" t="s">
        <v>477</v>
      </c>
    </row>
    <row r="22289">
      <c r="B22289" s="17" t="s">
        <v>477</v>
      </c>
      <c r="K22289" s="18" t="s">
        <v>477</v>
      </c>
    </row>
    <row r="22290">
      <c r="B22290" s="17" t="s">
        <v>477</v>
      </c>
      <c r="K22290" s="18" t="s">
        <v>477</v>
      </c>
    </row>
    <row r="22291">
      <c r="B22291" s="17" t="s">
        <v>477</v>
      </c>
      <c r="K22291" s="18" t="s">
        <v>477</v>
      </c>
    </row>
    <row r="22292">
      <c r="B22292" s="17" t="s">
        <v>477</v>
      </c>
      <c r="K22292" s="18" t="s">
        <v>477</v>
      </c>
    </row>
    <row r="22293">
      <c r="B22293" s="17" t="s">
        <v>477</v>
      </c>
      <c r="K22293" s="18" t="s">
        <v>477</v>
      </c>
    </row>
    <row r="22294">
      <c r="B22294" s="17" t="s">
        <v>477</v>
      </c>
      <c r="K22294" s="18" t="s">
        <v>477</v>
      </c>
    </row>
    <row r="22295">
      <c r="B22295" s="17" t="s">
        <v>477</v>
      </c>
      <c r="K22295" s="18" t="s">
        <v>477</v>
      </c>
    </row>
    <row r="22296">
      <c r="B22296" s="17" t="s">
        <v>477</v>
      </c>
      <c r="K22296" s="18" t="s">
        <v>477</v>
      </c>
    </row>
    <row r="22297">
      <c r="B22297" s="17" t="s">
        <v>477</v>
      </c>
      <c r="K22297" s="18" t="s">
        <v>477</v>
      </c>
    </row>
    <row r="22298">
      <c r="B22298" s="17" t="s">
        <v>477</v>
      </c>
      <c r="K22298" s="18" t="s">
        <v>477</v>
      </c>
    </row>
    <row r="22299">
      <c r="B22299" s="17" t="s">
        <v>477</v>
      </c>
      <c r="K22299" s="18" t="s">
        <v>477</v>
      </c>
    </row>
    <row r="22300">
      <c r="B22300" s="17" t="s">
        <v>477</v>
      </c>
      <c r="K22300" s="18" t="s">
        <v>477</v>
      </c>
    </row>
    <row r="22301">
      <c r="B22301" s="17" t="s">
        <v>477</v>
      </c>
      <c r="K22301" s="18" t="s">
        <v>477</v>
      </c>
    </row>
    <row r="22302">
      <c r="B22302" s="17" t="s">
        <v>477</v>
      </c>
      <c r="K22302" s="18" t="s">
        <v>477</v>
      </c>
    </row>
    <row r="22303">
      <c r="B22303" s="17" t="s">
        <v>477</v>
      </c>
      <c r="K22303" s="18" t="s">
        <v>477</v>
      </c>
    </row>
    <row r="22304">
      <c r="B22304" s="17" t="s">
        <v>477</v>
      </c>
      <c r="K22304" s="18" t="s">
        <v>477</v>
      </c>
    </row>
    <row r="22305">
      <c r="B22305" s="17" t="s">
        <v>477</v>
      </c>
      <c r="K22305" s="18" t="s">
        <v>477</v>
      </c>
    </row>
    <row r="22306">
      <c r="B22306" s="17" t="s">
        <v>477</v>
      </c>
      <c r="K22306" s="18" t="s">
        <v>477</v>
      </c>
    </row>
    <row r="22307">
      <c r="B22307" s="17" t="s">
        <v>477</v>
      </c>
      <c r="K22307" s="18" t="s">
        <v>477</v>
      </c>
    </row>
    <row r="22308">
      <c r="B22308" s="17" t="s">
        <v>477</v>
      </c>
      <c r="K22308" s="18" t="s">
        <v>477</v>
      </c>
    </row>
    <row r="22309">
      <c r="B22309" s="17" t="s">
        <v>477</v>
      </c>
      <c r="K22309" s="18" t="s">
        <v>477</v>
      </c>
    </row>
    <row r="22310">
      <c r="B22310" s="17" t="s">
        <v>477</v>
      </c>
      <c r="K22310" s="18" t="s">
        <v>477</v>
      </c>
    </row>
    <row r="22311">
      <c r="B22311" s="17" t="s">
        <v>477</v>
      </c>
      <c r="K22311" s="18" t="s">
        <v>477</v>
      </c>
    </row>
    <row r="22312">
      <c r="B22312" s="17" t="s">
        <v>477</v>
      </c>
      <c r="K22312" s="18" t="s">
        <v>477</v>
      </c>
    </row>
    <row r="22313">
      <c r="B22313" s="17" t="s">
        <v>477</v>
      </c>
      <c r="K22313" s="18" t="s">
        <v>477</v>
      </c>
    </row>
    <row r="22314">
      <c r="B22314" s="17" t="s">
        <v>477</v>
      </c>
      <c r="K22314" s="18" t="s">
        <v>477</v>
      </c>
    </row>
    <row r="22315">
      <c r="B22315" s="17" t="s">
        <v>477</v>
      </c>
      <c r="K22315" s="18" t="s">
        <v>477</v>
      </c>
    </row>
    <row r="22316">
      <c r="B22316" s="17" t="s">
        <v>477</v>
      </c>
      <c r="K22316" s="18" t="s">
        <v>477</v>
      </c>
    </row>
    <row r="22317">
      <c r="B22317" s="17" t="s">
        <v>477</v>
      </c>
      <c r="K22317" s="18" t="s">
        <v>477</v>
      </c>
    </row>
    <row r="22318">
      <c r="B22318" s="17" t="s">
        <v>477</v>
      </c>
      <c r="K22318" s="18" t="s">
        <v>477</v>
      </c>
    </row>
    <row r="22319">
      <c r="B22319" s="17" t="s">
        <v>477</v>
      </c>
      <c r="K22319" s="18" t="s">
        <v>477</v>
      </c>
    </row>
    <row r="22320">
      <c r="B22320" s="17" t="s">
        <v>477</v>
      </c>
      <c r="K22320" s="18" t="s">
        <v>477</v>
      </c>
    </row>
    <row r="22321">
      <c r="B22321" s="17" t="s">
        <v>477</v>
      </c>
      <c r="K22321" s="18" t="s">
        <v>477</v>
      </c>
    </row>
    <row r="22322">
      <c r="B22322" s="17" t="s">
        <v>477</v>
      </c>
      <c r="K22322" s="18" t="s">
        <v>477</v>
      </c>
    </row>
    <row r="22323">
      <c r="B22323" s="17" t="s">
        <v>477</v>
      </c>
      <c r="K22323" s="18" t="s">
        <v>477</v>
      </c>
    </row>
    <row r="22324">
      <c r="B22324" s="17" t="s">
        <v>477</v>
      </c>
      <c r="K22324" s="18" t="s">
        <v>477</v>
      </c>
    </row>
    <row r="22325">
      <c r="B22325" s="17" t="s">
        <v>477</v>
      </c>
      <c r="K22325" s="18" t="s">
        <v>477</v>
      </c>
    </row>
    <row r="22326">
      <c r="B22326" s="17" t="s">
        <v>477</v>
      </c>
      <c r="K22326" s="18" t="s">
        <v>477</v>
      </c>
    </row>
    <row r="22327">
      <c r="B22327" s="17" t="s">
        <v>477</v>
      </c>
      <c r="K22327" s="18" t="s">
        <v>477</v>
      </c>
    </row>
    <row r="22328">
      <c r="B22328" s="17" t="s">
        <v>477</v>
      </c>
      <c r="K22328" s="18" t="s">
        <v>477</v>
      </c>
    </row>
    <row r="22329">
      <c r="B22329" s="17" t="s">
        <v>477</v>
      </c>
      <c r="K22329" s="18" t="s">
        <v>477</v>
      </c>
    </row>
    <row r="22330">
      <c r="B22330" s="17" t="s">
        <v>477</v>
      </c>
      <c r="K22330" s="18" t="s">
        <v>477</v>
      </c>
    </row>
    <row r="22331">
      <c r="B22331" s="17" t="s">
        <v>477</v>
      </c>
      <c r="K22331" s="18" t="s">
        <v>477</v>
      </c>
    </row>
    <row r="22332">
      <c r="B22332" s="17" t="s">
        <v>477</v>
      </c>
      <c r="K22332" s="18" t="s">
        <v>477</v>
      </c>
    </row>
    <row r="22333">
      <c r="B22333" s="17" t="s">
        <v>477</v>
      </c>
      <c r="K22333" s="18" t="s">
        <v>477</v>
      </c>
    </row>
    <row r="22334">
      <c r="B22334" s="17" t="s">
        <v>477</v>
      </c>
      <c r="K22334" s="18" t="s">
        <v>477</v>
      </c>
    </row>
    <row r="22335">
      <c r="B22335" s="17" t="s">
        <v>477</v>
      </c>
      <c r="K22335" s="18" t="s">
        <v>477</v>
      </c>
    </row>
    <row r="22336">
      <c r="B22336" s="17" t="s">
        <v>477</v>
      </c>
      <c r="K22336" s="18" t="s">
        <v>477</v>
      </c>
    </row>
    <row r="22337">
      <c r="B22337" s="17" t="s">
        <v>477</v>
      </c>
      <c r="K22337" s="18" t="s">
        <v>477</v>
      </c>
    </row>
    <row r="22338">
      <c r="B22338" s="17" t="s">
        <v>477</v>
      </c>
      <c r="K22338" s="18" t="s">
        <v>477</v>
      </c>
    </row>
    <row r="22339">
      <c r="B22339" s="17" t="s">
        <v>477</v>
      </c>
      <c r="K22339" s="18" t="s">
        <v>477</v>
      </c>
    </row>
    <row r="22340">
      <c r="B22340" s="17" t="s">
        <v>477</v>
      </c>
      <c r="K22340" s="18" t="s">
        <v>477</v>
      </c>
    </row>
    <row r="22341">
      <c r="B22341" s="17" t="s">
        <v>477</v>
      </c>
      <c r="K22341" s="18" t="s">
        <v>477</v>
      </c>
    </row>
    <row r="22342">
      <c r="B22342" s="17" t="s">
        <v>477</v>
      </c>
      <c r="K22342" s="18" t="s">
        <v>477</v>
      </c>
    </row>
    <row r="22343">
      <c r="B22343" s="17" t="s">
        <v>477</v>
      </c>
      <c r="K22343" s="18" t="s">
        <v>477</v>
      </c>
    </row>
    <row r="22344">
      <c r="B22344" s="17" t="s">
        <v>477</v>
      </c>
      <c r="K22344" s="18" t="s">
        <v>477</v>
      </c>
    </row>
    <row r="22345">
      <c r="B22345" s="17" t="s">
        <v>477</v>
      </c>
      <c r="K22345" s="18" t="s">
        <v>477</v>
      </c>
    </row>
    <row r="22346">
      <c r="B22346" s="17" t="s">
        <v>477</v>
      </c>
      <c r="K22346" s="18" t="s">
        <v>477</v>
      </c>
    </row>
    <row r="22347">
      <c r="B22347" s="17" t="s">
        <v>477</v>
      </c>
      <c r="K22347" s="18" t="s">
        <v>477</v>
      </c>
    </row>
    <row r="22348">
      <c r="B22348" s="17" t="s">
        <v>477</v>
      </c>
      <c r="K22348" s="18" t="s">
        <v>477</v>
      </c>
    </row>
    <row r="22349">
      <c r="B22349" s="17" t="s">
        <v>477</v>
      </c>
      <c r="K22349" s="18" t="s">
        <v>477</v>
      </c>
    </row>
    <row r="22350">
      <c r="B22350" s="17" t="s">
        <v>477</v>
      </c>
      <c r="K22350" s="18" t="s">
        <v>477</v>
      </c>
    </row>
    <row r="22351">
      <c r="B22351" s="17" t="s">
        <v>477</v>
      </c>
      <c r="K22351" s="18" t="s">
        <v>477</v>
      </c>
    </row>
    <row r="22352">
      <c r="B22352" s="17" t="s">
        <v>477</v>
      </c>
      <c r="K22352" s="18" t="s">
        <v>477</v>
      </c>
    </row>
    <row r="22353">
      <c r="B22353" s="17" t="s">
        <v>477</v>
      </c>
      <c r="K22353" s="18" t="s">
        <v>477</v>
      </c>
    </row>
    <row r="22354">
      <c r="B22354" s="17" t="s">
        <v>477</v>
      </c>
      <c r="K22354" s="18" t="s">
        <v>477</v>
      </c>
    </row>
    <row r="22355">
      <c r="B22355" s="17" t="s">
        <v>477</v>
      </c>
      <c r="K22355" s="18" t="s">
        <v>477</v>
      </c>
    </row>
    <row r="22356">
      <c r="B22356" s="17" t="s">
        <v>477</v>
      </c>
      <c r="K22356" s="18" t="s">
        <v>477</v>
      </c>
    </row>
    <row r="22357">
      <c r="B22357" s="17" t="s">
        <v>477</v>
      </c>
      <c r="K22357" s="18" t="s">
        <v>477</v>
      </c>
    </row>
    <row r="22358">
      <c r="B22358" s="17" t="s">
        <v>477</v>
      </c>
      <c r="K22358" s="18" t="s">
        <v>477</v>
      </c>
    </row>
    <row r="22359">
      <c r="B22359" s="17" t="s">
        <v>477</v>
      </c>
      <c r="K22359" s="18" t="s">
        <v>477</v>
      </c>
    </row>
    <row r="22360">
      <c r="B22360" s="17" t="s">
        <v>477</v>
      </c>
      <c r="K22360" s="18" t="s">
        <v>477</v>
      </c>
    </row>
    <row r="22361">
      <c r="B22361" s="17" t="s">
        <v>477</v>
      </c>
      <c r="K22361" s="18" t="s">
        <v>477</v>
      </c>
    </row>
    <row r="22362">
      <c r="B22362" s="17" t="s">
        <v>477</v>
      </c>
      <c r="K22362" s="18" t="s">
        <v>477</v>
      </c>
    </row>
    <row r="22363">
      <c r="B22363" s="17" t="s">
        <v>477</v>
      </c>
      <c r="K22363" s="18" t="s">
        <v>477</v>
      </c>
    </row>
    <row r="22364">
      <c r="B22364" s="17" t="s">
        <v>477</v>
      </c>
      <c r="K22364" s="18" t="s">
        <v>477</v>
      </c>
    </row>
    <row r="22365">
      <c r="B22365" s="17" t="s">
        <v>477</v>
      </c>
      <c r="K22365" s="18" t="s">
        <v>477</v>
      </c>
    </row>
    <row r="22366">
      <c r="B22366" s="17" t="s">
        <v>477</v>
      </c>
      <c r="K22366" s="18" t="s">
        <v>477</v>
      </c>
    </row>
    <row r="22367">
      <c r="B22367" s="17" t="s">
        <v>477</v>
      </c>
      <c r="K22367" s="18" t="s">
        <v>477</v>
      </c>
    </row>
    <row r="22368">
      <c r="B22368" s="17" t="s">
        <v>477</v>
      </c>
      <c r="K22368" s="18" t="s">
        <v>477</v>
      </c>
    </row>
    <row r="22369">
      <c r="B22369" s="17" t="s">
        <v>477</v>
      </c>
      <c r="K22369" s="18" t="s">
        <v>477</v>
      </c>
    </row>
    <row r="22370">
      <c r="B22370" s="17" t="s">
        <v>477</v>
      </c>
      <c r="K22370" s="18" t="s">
        <v>477</v>
      </c>
    </row>
    <row r="22371">
      <c r="B22371" s="17" t="s">
        <v>477</v>
      </c>
      <c r="K22371" s="18" t="s">
        <v>477</v>
      </c>
    </row>
    <row r="22372">
      <c r="B22372" s="17" t="s">
        <v>477</v>
      </c>
      <c r="K22372" s="18" t="s">
        <v>477</v>
      </c>
    </row>
    <row r="22373">
      <c r="B22373" s="17" t="s">
        <v>477</v>
      </c>
      <c r="K22373" s="18" t="s">
        <v>477</v>
      </c>
    </row>
    <row r="22374">
      <c r="B22374" s="17" t="s">
        <v>477</v>
      </c>
      <c r="K22374" s="18" t="s">
        <v>477</v>
      </c>
    </row>
    <row r="22375">
      <c r="B22375" s="17" t="s">
        <v>477</v>
      </c>
      <c r="K22375" s="18" t="s">
        <v>477</v>
      </c>
    </row>
    <row r="22376">
      <c r="B22376" s="17" t="s">
        <v>477</v>
      </c>
      <c r="K22376" s="18" t="s">
        <v>477</v>
      </c>
    </row>
    <row r="22377">
      <c r="B22377" s="17" t="s">
        <v>477</v>
      </c>
      <c r="K22377" s="18" t="s">
        <v>477</v>
      </c>
    </row>
    <row r="22378">
      <c r="B22378" s="17" t="s">
        <v>477</v>
      </c>
      <c r="K22378" s="18" t="s">
        <v>477</v>
      </c>
    </row>
    <row r="22379">
      <c r="B22379" s="17" t="s">
        <v>477</v>
      </c>
      <c r="K22379" s="18" t="s">
        <v>477</v>
      </c>
    </row>
    <row r="22380">
      <c r="B22380" s="17" t="s">
        <v>477</v>
      </c>
      <c r="K22380" s="18" t="s">
        <v>477</v>
      </c>
    </row>
    <row r="22381">
      <c r="B22381" s="17" t="s">
        <v>477</v>
      </c>
      <c r="K22381" s="18" t="s">
        <v>477</v>
      </c>
    </row>
    <row r="22382">
      <c r="B22382" s="17" t="s">
        <v>477</v>
      </c>
      <c r="K22382" s="18" t="s">
        <v>477</v>
      </c>
    </row>
    <row r="22383">
      <c r="B22383" s="17" t="s">
        <v>477</v>
      </c>
      <c r="K22383" s="18" t="s">
        <v>477</v>
      </c>
    </row>
    <row r="22384">
      <c r="B22384" s="17" t="s">
        <v>477</v>
      </c>
      <c r="K22384" s="18" t="s">
        <v>477</v>
      </c>
    </row>
    <row r="22385">
      <c r="B22385" s="17" t="s">
        <v>477</v>
      </c>
      <c r="K22385" s="18" t="s">
        <v>477</v>
      </c>
    </row>
    <row r="22386">
      <c r="B22386" s="17" t="s">
        <v>477</v>
      </c>
      <c r="K22386" s="18" t="s">
        <v>477</v>
      </c>
    </row>
    <row r="22387">
      <c r="B22387" s="17" t="s">
        <v>477</v>
      </c>
      <c r="K22387" s="18" t="s">
        <v>477</v>
      </c>
    </row>
    <row r="22388">
      <c r="B22388" s="17" t="s">
        <v>477</v>
      </c>
      <c r="K22388" s="18" t="s">
        <v>477</v>
      </c>
    </row>
    <row r="22389">
      <c r="B22389" s="17" t="s">
        <v>477</v>
      </c>
      <c r="K22389" s="18" t="s">
        <v>477</v>
      </c>
    </row>
    <row r="22390">
      <c r="B22390" s="17" t="s">
        <v>477</v>
      </c>
      <c r="K22390" s="18" t="s">
        <v>477</v>
      </c>
    </row>
    <row r="22391">
      <c r="B22391" s="17" t="s">
        <v>477</v>
      </c>
      <c r="K22391" s="18" t="s">
        <v>477</v>
      </c>
    </row>
    <row r="22392">
      <c r="B22392" s="17" t="s">
        <v>477</v>
      </c>
      <c r="K22392" s="18" t="s">
        <v>477</v>
      </c>
    </row>
    <row r="22393">
      <c r="B22393" s="17" t="s">
        <v>477</v>
      </c>
      <c r="K22393" s="18" t="s">
        <v>477</v>
      </c>
    </row>
    <row r="22394">
      <c r="B22394" s="17" t="s">
        <v>477</v>
      </c>
      <c r="K22394" s="18" t="s">
        <v>477</v>
      </c>
    </row>
    <row r="22395">
      <c r="B22395" s="17" t="s">
        <v>477</v>
      </c>
      <c r="K22395" s="18" t="s">
        <v>477</v>
      </c>
    </row>
    <row r="22396">
      <c r="B22396" s="17" t="s">
        <v>477</v>
      </c>
      <c r="K22396" s="18" t="s">
        <v>477</v>
      </c>
    </row>
    <row r="22397">
      <c r="B22397" s="17" t="s">
        <v>477</v>
      </c>
      <c r="K22397" s="18" t="s">
        <v>477</v>
      </c>
    </row>
    <row r="22398">
      <c r="B22398" s="17" t="s">
        <v>477</v>
      </c>
      <c r="K22398" s="18" t="s">
        <v>477</v>
      </c>
    </row>
    <row r="22399">
      <c r="B22399" s="17" t="s">
        <v>477</v>
      </c>
      <c r="K22399" s="18" t="s">
        <v>477</v>
      </c>
    </row>
    <row r="22400">
      <c r="B22400" s="17" t="s">
        <v>477</v>
      </c>
      <c r="K22400" s="18" t="s">
        <v>477</v>
      </c>
    </row>
    <row r="22401">
      <c r="B22401" s="17" t="s">
        <v>477</v>
      </c>
      <c r="K22401" s="18" t="s">
        <v>477</v>
      </c>
    </row>
    <row r="22402">
      <c r="B22402" s="17" t="s">
        <v>477</v>
      </c>
      <c r="K22402" s="18" t="s">
        <v>477</v>
      </c>
    </row>
    <row r="22403">
      <c r="B22403" s="17" t="s">
        <v>477</v>
      </c>
      <c r="K22403" s="18" t="s">
        <v>477</v>
      </c>
    </row>
    <row r="22404">
      <c r="B22404" s="17" t="s">
        <v>477</v>
      </c>
      <c r="K22404" s="18" t="s">
        <v>477</v>
      </c>
    </row>
    <row r="22405">
      <c r="B22405" s="17" t="s">
        <v>477</v>
      </c>
      <c r="K22405" s="18" t="s">
        <v>477</v>
      </c>
    </row>
    <row r="22406">
      <c r="B22406" s="17" t="s">
        <v>477</v>
      </c>
      <c r="K22406" s="18" t="s">
        <v>477</v>
      </c>
    </row>
    <row r="22407">
      <c r="B22407" s="17" t="s">
        <v>477</v>
      </c>
      <c r="K22407" s="18" t="s">
        <v>477</v>
      </c>
    </row>
    <row r="22408">
      <c r="B22408" s="17" t="s">
        <v>477</v>
      </c>
      <c r="K22408" s="18" t="s">
        <v>477</v>
      </c>
    </row>
    <row r="22409">
      <c r="B22409" s="17" t="s">
        <v>477</v>
      </c>
      <c r="K22409" s="18" t="s">
        <v>477</v>
      </c>
    </row>
    <row r="22410">
      <c r="B22410" s="17" t="s">
        <v>477</v>
      </c>
      <c r="K22410" s="18" t="s">
        <v>477</v>
      </c>
    </row>
    <row r="22411">
      <c r="B22411" s="17" t="s">
        <v>477</v>
      </c>
      <c r="K22411" s="18" t="s">
        <v>477</v>
      </c>
    </row>
    <row r="22412">
      <c r="B22412" s="17" t="s">
        <v>477</v>
      </c>
      <c r="K22412" s="18" t="s">
        <v>477</v>
      </c>
    </row>
    <row r="22413">
      <c r="B22413" s="17" t="s">
        <v>477</v>
      </c>
      <c r="K22413" s="18" t="s">
        <v>477</v>
      </c>
    </row>
    <row r="22414">
      <c r="B22414" s="17" t="s">
        <v>477</v>
      </c>
      <c r="K22414" s="18" t="s">
        <v>477</v>
      </c>
    </row>
    <row r="22415">
      <c r="B22415" s="17" t="s">
        <v>477</v>
      </c>
      <c r="K22415" s="18" t="s">
        <v>477</v>
      </c>
    </row>
    <row r="22416">
      <c r="B22416" s="17" t="s">
        <v>477</v>
      </c>
      <c r="K22416" s="18" t="s">
        <v>477</v>
      </c>
    </row>
    <row r="22417">
      <c r="B22417" s="17" t="s">
        <v>477</v>
      </c>
      <c r="K22417" s="18" t="s">
        <v>477</v>
      </c>
    </row>
    <row r="22418">
      <c r="B22418" s="17" t="s">
        <v>477</v>
      </c>
      <c r="K22418" s="18" t="s">
        <v>477</v>
      </c>
    </row>
    <row r="22419">
      <c r="B22419" s="17" t="s">
        <v>477</v>
      </c>
      <c r="K22419" s="18" t="s">
        <v>477</v>
      </c>
    </row>
    <row r="22420">
      <c r="B22420" s="17" t="s">
        <v>477</v>
      </c>
      <c r="K22420" s="18" t="s">
        <v>477</v>
      </c>
    </row>
    <row r="22421">
      <c r="B22421" s="17" t="s">
        <v>477</v>
      </c>
      <c r="K22421" s="18" t="s">
        <v>477</v>
      </c>
    </row>
    <row r="22422">
      <c r="B22422" s="17" t="s">
        <v>477</v>
      </c>
      <c r="K22422" s="18" t="s">
        <v>477</v>
      </c>
    </row>
    <row r="22423">
      <c r="B22423" s="17" t="s">
        <v>477</v>
      </c>
      <c r="K22423" s="18" t="s">
        <v>477</v>
      </c>
    </row>
    <row r="22424">
      <c r="B22424" s="17" t="s">
        <v>477</v>
      </c>
      <c r="K22424" s="18" t="s">
        <v>477</v>
      </c>
    </row>
    <row r="22425">
      <c r="B22425" s="17" t="s">
        <v>477</v>
      </c>
      <c r="K22425" s="18" t="s">
        <v>477</v>
      </c>
    </row>
    <row r="22426">
      <c r="B22426" s="17" t="s">
        <v>477</v>
      </c>
      <c r="K22426" s="18" t="s">
        <v>477</v>
      </c>
    </row>
    <row r="22427">
      <c r="B22427" s="17" t="s">
        <v>477</v>
      </c>
      <c r="K22427" s="18" t="s">
        <v>477</v>
      </c>
    </row>
    <row r="22428">
      <c r="B22428" s="17" t="s">
        <v>477</v>
      </c>
      <c r="K22428" s="18" t="s">
        <v>477</v>
      </c>
    </row>
    <row r="22429">
      <c r="B22429" s="17" t="s">
        <v>477</v>
      </c>
      <c r="K22429" s="18" t="s">
        <v>477</v>
      </c>
    </row>
    <row r="22430">
      <c r="B22430" s="17" t="s">
        <v>477</v>
      </c>
      <c r="K22430" s="18" t="s">
        <v>477</v>
      </c>
    </row>
    <row r="22431">
      <c r="B22431" s="17" t="s">
        <v>477</v>
      </c>
      <c r="K22431" s="18" t="s">
        <v>477</v>
      </c>
    </row>
    <row r="22432">
      <c r="B22432" s="17" t="s">
        <v>477</v>
      </c>
      <c r="K22432" s="18" t="s">
        <v>477</v>
      </c>
    </row>
    <row r="22433">
      <c r="B22433" s="17" t="s">
        <v>477</v>
      </c>
      <c r="K22433" s="18" t="s">
        <v>477</v>
      </c>
    </row>
    <row r="22434">
      <c r="B22434" s="17" t="s">
        <v>477</v>
      </c>
      <c r="K22434" s="18" t="s">
        <v>477</v>
      </c>
    </row>
    <row r="22435">
      <c r="B22435" s="17" t="s">
        <v>477</v>
      </c>
      <c r="K22435" s="18" t="s">
        <v>477</v>
      </c>
    </row>
    <row r="22436">
      <c r="B22436" s="17" t="s">
        <v>477</v>
      </c>
      <c r="K22436" s="18" t="s">
        <v>477</v>
      </c>
    </row>
    <row r="22437">
      <c r="B22437" s="17" t="s">
        <v>477</v>
      </c>
      <c r="K22437" s="18" t="s">
        <v>477</v>
      </c>
    </row>
    <row r="22438">
      <c r="B22438" s="17" t="s">
        <v>477</v>
      </c>
      <c r="K22438" s="18" t="s">
        <v>477</v>
      </c>
    </row>
    <row r="22439">
      <c r="B22439" s="17" t="s">
        <v>477</v>
      </c>
      <c r="K22439" s="18" t="s">
        <v>477</v>
      </c>
    </row>
    <row r="22440">
      <c r="B22440" s="17" t="s">
        <v>477</v>
      </c>
      <c r="K22440" s="18" t="s">
        <v>477</v>
      </c>
    </row>
    <row r="22441">
      <c r="B22441" s="17" t="s">
        <v>477</v>
      </c>
      <c r="K22441" s="18" t="s">
        <v>477</v>
      </c>
    </row>
    <row r="22442">
      <c r="B22442" s="17" t="s">
        <v>477</v>
      </c>
      <c r="K22442" s="18" t="s">
        <v>477</v>
      </c>
    </row>
    <row r="22443">
      <c r="B22443" s="17" t="s">
        <v>477</v>
      </c>
      <c r="K22443" s="18" t="s">
        <v>477</v>
      </c>
    </row>
    <row r="22444">
      <c r="B22444" s="17" t="s">
        <v>477</v>
      </c>
      <c r="K22444" s="18" t="s">
        <v>477</v>
      </c>
    </row>
    <row r="22445">
      <c r="B22445" s="17" t="s">
        <v>477</v>
      </c>
      <c r="K22445" s="18" t="s">
        <v>477</v>
      </c>
    </row>
    <row r="22446">
      <c r="B22446" s="17" t="s">
        <v>477</v>
      </c>
      <c r="K22446" s="18" t="s">
        <v>477</v>
      </c>
    </row>
    <row r="22447">
      <c r="B22447" s="17" t="s">
        <v>477</v>
      </c>
      <c r="K22447" s="18" t="s">
        <v>477</v>
      </c>
    </row>
    <row r="22448">
      <c r="B22448" s="17" t="s">
        <v>477</v>
      </c>
      <c r="K22448" s="18" t="s">
        <v>477</v>
      </c>
    </row>
    <row r="22449">
      <c r="B22449" s="17" t="s">
        <v>477</v>
      </c>
      <c r="K22449" s="18" t="s">
        <v>477</v>
      </c>
    </row>
    <row r="22450">
      <c r="B22450" s="17" t="s">
        <v>477</v>
      </c>
      <c r="K22450" s="18" t="s">
        <v>477</v>
      </c>
    </row>
    <row r="22451">
      <c r="B22451" s="17" t="s">
        <v>477</v>
      </c>
      <c r="K22451" s="18" t="s">
        <v>477</v>
      </c>
    </row>
    <row r="22452">
      <c r="B22452" s="17" t="s">
        <v>477</v>
      </c>
      <c r="K22452" s="18" t="s">
        <v>477</v>
      </c>
    </row>
    <row r="22453">
      <c r="B22453" s="17" t="s">
        <v>477</v>
      </c>
      <c r="K22453" s="18" t="s">
        <v>477</v>
      </c>
    </row>
    <row r="22454">
      <c r="B22454" s="17" t="s">
        <v>477</v>
      </c>
      <c r="K22454" s="18" t="s">
        <v>477</v>
      </c>
    </row>
    <row r="22455">
      <c r="B22455" s="17" t="s">
        <v>477</v>
      </c>
      <c r="K22455" s="18" t="s">
        <v>477</v>
      </c>
    </row>
    <row r="22456">
      <c r="B22456" s="17" t="s">
        <v>477</v>
      </c>
      <c r="K22456" s="18" t="s">
        <v>477</v>
      </c>
    </row>
    <row r="22457">
      <c r="B22457" s="17" t="s">
        <v>477</v>
      </c>
      <c r="K22457" s="18" t="s">
        <v>477</v>
      </c>
    </row>
    <row r="22458">
      <c r="B22458" s="17" t="s">
        <v>477</v>
      </c>
      <c r="K22458" s="18" t="s">
        <v>477</v>
      </c>
    </row>
    <row r="22459">
      <c r="B22459" s="17" t="s">
        <v>477</v>
      </c>
      <c r="K22459" s="18" t="s">
        <v>477</v>
      </c>
    </row>
    <row r="22460">
      <c r="B22460" s="17" t="s">
        <v>477</v>
      </c>
      <c r="K22460" s="18" t="s">
        <v>477</v>
      </c>
    </row>
    <row r="22461">
      <c r="B22461" s="17" t="s">
        <v>477</v>
      </c>
      <c r="K22461" s="18" t="s">
        <v>477</v>
      </c>
    </row>
    <row r="22462">
      <c r="B22462" s="17" t="s">
        <v>477</v>
      </c>
      <c r="K22462" s="18" t="s">
        <v>477</v>
      </c>
    </row>
    <row r="22463">
      <c r="B22463" s="17" t="s">
        <v>477</v>
      </c>
      <c r="K22463" s="18" t="s">
        <v>477</v>
      </c>
    </row>
    <row r="22464">
      <c r="B22464" s="17" t="s">
        <v>477</v>
      </c>
      <c r="K22464" s="18" t="s">
        <v>477</v>
      </c>
    </row>
    <row r="22465">
      <c r="B22465" s="17" t="s">
        <v>477</v>
      </c>
      <c r="K22465" s="18" t="s">
        <v>477</v>
      </c>
    </row>
    <row r="22466">
      <c r="B22466" s="17" t="s">
        <v>477</v>
      </c>
      <c r="K22466" s="18" t="s">
        <v>477</v>
      </c>
    </row>
    <row r="22467">
      <c r="B22467" s="17" t="s">
        <v>477</v>
      </c>
      <c r="K22467" s="18" t="s">
        <v>477</v>
      </c>
    </row>
    <row r="22468">
      <c r="B22468" s="17" t="s">
        <v>477</v>
      </c>
      <c r="K22468" s="18" t="s">
        <v>477</v>
      </c>
    </row>
    <row r="22469">
      <c r="B22469" s="17" t="s">
        <v>477</v>
      </c>
      <c r="K22469" s="18" t="s">
        <v>477</v>
      </c>
    </row>
    <row r="22470">
      <c r="B22470" s="17" t="s">
        <v>477</v>
      </c>
      <c r="K22470" s="18" t="s">
        <v>477</v>
      </c>
    </row>
    <row r="22471">
      <c r="B22471" s="17" t="s">
        <v>477</v>
      </c>
      <c r="K22471" s="18" t="s">
        <v>477</v>
      </c>
    </row>
    <row r="22472">
      <c r="B22472" s="17" t="s">
        <v>477</v>
      </c>
      <c r="K22472" s="18" t="s">
        <v>477</v>
      </c>
    </row>
    <row r="22473">
      <c r="B22473" s="17" t="s">
        <v>477</v>
      </c>
      <c r="K22473" s="18" t="s">
        <v>477</v>
      </c>
    </row>
    <row r="22474">
      <c r="B22474" s="17" t="s">
        <v>477</v>
      </c>
      <c r="K22474" s="18" t="s">
        <v>477</v>
      </c>
    </row>
    <row r="22475">
      <c r="B22475" s="17" t="s">
        <v>477</v>
      </c>
      <c r="K22475" s="18" t="s">
        <v>477</v>
      </c>
    </row>
    <row r="22476">
      <c r="B22476" s="17" t="s">
        <v>477</v>
      </c>
      <c r="K22476" s="18" t="s">
        <v>477</v>
      </c>
    </row>
    <row r="22477">
      <c r="B22477" s="17" t="s">
        <v>477</v>
      </c>
      <c r="K22477" s="18" t="s">
        <v>477</v>
      </c>
    </row>
    <row r="22478">
      <c r="B22478" s="17" t="s">
        <v>477</v>
      </c>
      <c r="K22478" s="18" t="s">
        <v>477</v>
      </c>
    </row>
    <row r="22479">
      <c r="B22479" s="17" t="s">
        <v>477</v>
      </c>
      <c r="K22479" s="18" t="s">
        <v>477</v>
      </c>
    </row>
    <row r="22480">
      <c r="B22480" s="17" t="s">
        <v>477</v>
      </c>
      <c r="K22480" s="18" t="s">
        <v>477</v>
      </c>
    </row>
    <row r="22481">
      <c r="B22481" s="17" t="s">
        <v>477</v>
      </c>
      <c r="K22481" s="18" t="s">
        <v>477</v>
      </c>
    </row>
    <row r="22482">
      <c r="B22482" s="17" t="s">
        <v>477</v>
      </c>
      <c r="K22482" s="18" t="s">
        <v>477</v>
      </c>
    </row>
    <row r="22483">
      <c r="B22483" s="17" t="s">
        <v>477</v>
      </c>
      <c r="K22483" s="18" t="s">
        <v>477</v>
      </c>
    </row>
    <row r="22484">
      <c r="B22484" s="17" t="s">
        <v>477</v>
      </c>
      <c r="K22484" s="18" t="s">
        <v>477</v>
      </c>
    </row>
    <row r="22485">
      <c r="B22485" s="17" t="s">
        <v>477</v>
      </c>
      <c r="K22485" s="18" t="s">
        <v>477</v>
      </c>
    </row>
    <row r="22486">
      <c r="B22486" s="17" t="s">
        <v>477</v>
      </c>
      <c r="K22486" s="18" t="s">
        <v>477</v>
      </c>
    </row>
    <row r="22487">
      <c r="B22487" s="17" t="s">
        <v>477</v>
      </c>
      <c r="K22487" s="18" t="s">
        <v>477</v>
      </c>
    </row>
    <row r="22488">
      <c r="B22488" s="17" t="s">
        <v>477</v>
      </c>
      <c r="K22488" s="18" t="s">
        <v>477</v>
      </c>
    </row>
    <row r="22489">
      <c r="B22489" s="17" t="s">
        <v>477</v>
      </c>
      <c r="K22489" s="18" t="s">
        <v>477</v>
      </c>
    </row>
    <row r="22490">
      <c r="B22490" s="17" t="s">
        <v>477</v>
      </c>
      <c r="K22490" s="18" t="s">
        <v>477</v>
      </c>
    </row>
    <row r="22491">
      <c r="B22491" s="17" t="s">
        <v>477</v>
      </c>
      <c r="K22491" s="18" t="s">
        <v>477</v>
      </c>
    </row>
    <row r="22492">
      <c r="B22492" s="17" t="s">
        <v>477</v>
      </c>
      <c r="K22492" s="18" t="s">
        <v>477</v>
      </c>
    </row>
    <row r="22493">
      <c r="B22493" s="17" t="s">
        <v>477</v>
      </c>
      <c r="K22493" s="18" t="s">
        <v>477</v>
      </c>
    </row>
    <row r="22494">
      <c r="B22494" s="17" t="s">
        <v>477</v>
      </c>
      <c r="K22494" s="18" t="s">
        <v>477</v>
      </c>
    </row>
    <row r="22495">
      <c r="B22495" s="17" t="s">
        <v>477</v>
      </c>
      <c r="K22495" s="18" t="s">
        <v>477</v>
      </c>
    </row>
    <row r="22496">
      <c r="B22496" s="17" t="s">
        <v>477</v>
      </c>
      <c r="K22496" s="18" t="s">
        <v>477</v>
      </c>
    </row>
    <row r="22497">
      <c r="B22497" s="17" t="s">
        <v>477</v>
      </c>
      <c r="K22497" s="18" t="s">
        <v>477</v>
      </c>
    </row>
    <row r="22498">
      <c r="B22498" s="17" t="s">
        <v>477</v>
      </c>
      <c r="K22498" s="18" t="s">
        <v>477</v>
      </c>
    </row>
    <row r="22499">
      <c r="B22499" s="17" t="s">
        <v>477</v>
      </c>
      <c r="K22499" s="18" t="s">
        <v>477</v>
      </c>
    </row>
    <row r="22500">
      <c r="B22500" s="17" t="s">
        <v>477</v>
      </c>
      <c r="K22500" s="18" t="s">
        <v>477</v>
      </c>
    </row>
    <row r="22501">
      <c r="B22501" s="17" t="s">
        <v>477</v>
      </c>
      <c r="K22501" s="18" t="s">
        <v>477</v>
      </c>
    </row>
    <row r="22502">
      <c r="B22502" s="17" t="s">
        <v>477</v>
      </c>
      <c r="K22502" s="18" t="s">
        <v>477</v>
      </c>
    </row>
    <row r="22503">
      <c r="B22503" s="17" t="s">
        <v>477</v>
      </c>
      <c r="K22503" s="18" t="s">
        <v>477</v>
      </c>
    </row>
    <row r="22504">
      <c r="B22504" s="17" t="s">
        <v>477</v>
      </c>
      <c r="K22504" s="18" t="s">
        <v>477</v>
      </c>
    </row>
    <row r="22505">
      <c r="B22505" s="17" t="s">
        <v>477</v>
      </c>
      <c r="K22505" s="18" t="s">
        <v>477</v>
      </c>
    </row>
    <row r="22506">
      <c r="B22506" s="17" t="s">
        <v>477</v>
      </c>
      <c r="K22506" s="18" t="s">
        <v>477</v>
      </c>
    </row>
    <row r="22507">
      <c r="B22507" s="17" t="s">
        <v>477</v>
      </c>
      <c r="K22507" s="18" t="s">
        <v>477</v>
      </c>
    </row>
    <row r="22508">
      <c r="B22508" s="17" t="s">
        <v>477</v>
      </c>
      <c r="K22508" s="18" t="s">
        <v>477</v>
      </c>
    </row>
    <row r="22509">
      <c r="B22509" s="17" t="s">
        <v>477</v>
      </c>
      <c r="K22509" s="18" t="s">
        <v>477</v>
      </c>
    </row>
    <row r="22510">
      <c r="B22510" s="17" t="s">
        <v>477</v>
      </c>
      <c r="K22510" s="18" t="s">
        <v>477</v>
      </c>
    </row>
    <row r="22511">
      <c r="B22511" s="17" t="s">
        <v>477</v>
      </c>
      <c r="K22511" s="18" t="s">
        <v>477</v>
      </c>
    </row>
    <row r="22512">
      <c r="B22512" s="17" t="s">
        <v>477</v>
      </c>
      <c r="K22512" s="18" t="s">
        <v>477</v>
      </c>
    </row>
    <row r="22513">
      <c r="B22513" s="17" t="s">
        <v>477</v>
      </c>
      <c r="K22513" s="18" t="s">
        <v>477</v>
      </c>
    </row>
    <row r="22514">
      <c r="B22514" s="17" t="s">
        <v>477</v>
      </c>
      <c r="K22514" s="18" t="s">
        <v>477</v>
      </c>
    </row>
    <row r="22515">
      <c r="B22515" s="17" t="s">
        <v>477</v>
      </c>
      <c r="K22515" s="18" t="s">
        <v>477</v>
      </c>
    </row>
    <row r="22516">
      <c r="B22516" s="17" t="s">
        <v>477</v>
      </c>
      <c r="K22516" s="18" t="s">
        <v>477</v>
      </c>
    </row>
    <row r="22517">
      <c r="B22517" s="17" t="s">
        <v>477</v>
      </c>
      <c r="K22517" s="18" t="s">
        <v>477</v>
      </c>
    </row>
    <row r="22518">
      <c r="B22518" s="17" t="s">
        <v>477</v>
      </c>
      <c r="K22518" s="18" t="s">
        <v>477</v>
      </c>
    </row>
    <row r="22519">
      <c r="B22519" s="17" t="s">
        <v>477</v>
      </c>
      <c r="K22519" s="18" t="s">
        <v>477</v>
      </c>
    </row>
    <row r="22520">
      <c r="B22520" s="17" t="s">
        <v>477</v>
      </c>
      <c r="K22520" s="18" t="s">
        <v>477</v>
      </c>
    </row>
    <row r="22521">
      <c r="B22521" s="17" t="s">
        <v>477</v>
      </c>
      <c r="K22521" s="18" t="s">
        <v>477</v>
      </c>
    </row>
    <row r="22522">
      <c r="B22522" s="17" t="s">
        <v>477</v>
      </c>
      <c r="K22522" s="18" t="s">
        <v>477</v>
      </c>
    </row>
    <row r="22523">
      <c r="B22523" s="17" t="s">
        <v>477</v>
      </c>
      <c r="K22523" s="18" t="s">
        <v>477</v>
      </c>
    </row>
    <row r="22524">
      <c r="B22524" s="17" t="s">
        <v>477</v>
      </c>
      <c r="K22524" s="18" t="s">
        <v>477</v>
      </c>
    </row>
    <row r="22525">
      <c r="B22525" s="17" t="s">
        <v>477</v>
      </c>
      <c r="K22525" s="18" t="s">
        <v>477</v>
      </c>
    </row>
    <row r="22526">
      <c r="B22526" s="17" t="s">
        <v>477</v>
      </c>
      <c r="K22526" s="18" t="s">
        <v>477</v>
      </c>
    </row>
    <row r="22527">
      <c r="B22527" s="17" t="s">
        <v>477</v>
      </c>
      <c r="K22527" s="18" t="s">
        <v>477</v>
      </c>
    </row>
    <row r="22528">
      <c r="B22528" s="17" t="s">
        <v>477</v>
      </c>
      <c r="K22528" s="18" t="s">
        <v>477</v>
      </c>
    </row>
    <row r="22529">
      <c r="B22529" s="17" t="s">
        <v>477</v>
      </c>
      <c r="K22529" s="18" t="s">
        <v>477</v>
      </c>
    </row>
    <row r="22530">
      <c r="B22530" s="17" t="s">
        <v>477</v>
      </c>
      <c r="K22530" s="18" t="s">
        <v>477</v>
      </c>
    </row>
    <row r="22531">
      <c r="B22531" s="17" t="s">
        <v>477</v>
      </c>
      <c r="K22531" s="18" t="s">
        <v>477</v>
      </c>
    </row>
    <row r="22532">
      <c r="B22532" s="17" t="s">
        <v>477</v>
      </c>
      <c r="K22532" s="18" t="s">
        <v>477</v>
      </c>
    </row>
    <row r="22533">
      <c r="B22533" s="17" t="s">
        <v>477</v>
      </c>
      <c r="K22533" s="18" t="s">
        <v>477</v>
      </c>
    </row>
    <row r="22534">
      <c r="B22534" s="17" t="s">
        <v>477</v>
      </c>
      <c r="K22534" s="18" t="s">
        <v>477</v>
      </c>
    </row>
    <row r="22535">
      <c r="B22535" s="17" t="s">
        <v>477</v>
      </c>
      <c r="K22535" s="18" t="s">
        <v>477</v>
      </c>
    </row>
    <row r="22536">
      <c r="B22536" s="17" t="s">
        <v>477</v>
      </c>
      <c r="K22536" s="18" t="s">
        <v>477</v>
      </c>
    </row>
    <row r="22537">
      <c r="B22537" s="17" t="s">
        <v>477</v>
      </c>
      <c r="K22537" s="18" t="s">
        <v>477</v>
      </c>
    </row>
    <row r="22538">
      <c r="B22538" s="17" t="s">
        <v>477</v>
      </c>
      <c r="K22538" s="18" t="s">
        <v>477</v>
      </c>
    </row>
    <row r="22539">
      <c r="B22539" s="17" t="s">
        <v>477</v>
      </c>
      <c r="K22539" s="18" t="s">
        <v>477</v>
      </c>
    </row>
    <row r="22540">
      <c r="B22540" s="17" t="s">
        <v>477</v>
      </c>
      <c r="K22540" s="18" t="s">
        <v>477</v>
      </c>
    </row>
    <row r="22541">
      <c r="B22541" s="17" t="s">
        <v>477</v>
      </c>
      <c r="K22541" s="18" t="s">
        <v>477</v>
      </c>
    </row>
    <row r="22542">
      <c r="B22542" s="17" t="s">
        <v>477</v>
      </c>
      <c r="K22542" s="18" t="s">
        <v>477</v>
      </c>
    </row>
    <row r="22543">
      <c r="B22543" s="17" t="s">
        <v>477</v>
      </c>
      <c r="K22543" s="18" t="s">
        <v>477</v>
      </c>
    </row>
    <row r="22544">
      <c r="B22544" s="17" t="s">
        <v>477</v>
      </c>
      <c r="K22544" s="18" t="s">
        <v>477</v>
      </c>
    </row>
    <row r="22545">
      <c r="B22545" s="17" t="s">
        <v>477</v>
      </c>
      <c r="K22545" s="18" t="s">
        <v>477</v>
      </c>
    </row>
    <row r="22546">
      <c r="B22546" s="17" t="s">
        <v>477</v>
      </c>
      <c r="K22546" s="18" t="s">
        <v>477</v>
      </c>
    </row>
    <row r="22547">
      <c r="B22547" s="17" t="s">
        <v>477</v>
      </c>
      <c r="K22547" s="18" t="s">
        <v>477</v>
      </c>
    </row>
    <row r="22548">
      <c r="B22548" s="17" t="s">
        <v>477</v>
      </c>
      <c r="K22548" s="18" t="s">
        <v>477</v>
      </c>
    </row>
    <row r="22549">
      <c r="B22549" s="17" t="s">
        <v>477</v>
      </c>
      <c r="K22549" s="18" t="s">
        <v>477</v>
      </c>
    </row>
    <row r="22550">
      <c r="B22550" s="17" t="s">
        <v>477</v>
      </c>
      <c r="K22550" s="18" t="s">
        <v>477</v>
      </c>
    </row>
    <row r="22551">
      <c r="B22551" s="17" t="s">
        <v>477</v>
      </c>
      <c r="K22551" s="18" t="s">
        <v>477</v>
      </c>
    </row>
    <row r="22552">
      <c r="B22552" s="17" t="s">
        <v>477</v>
      </c>
      <c r="K22552" s="18" t="s">
        <v>477</v>
      </c>
    </row>
    <row r="22553">
      <c r="B22553" s="17" t="s">
        <v>477</v>
      </c>
      <c r="K22553" s="18" t="s">
        <v>477</v>
      </c>
    </row>
    <row r="22554">
      <c r="B22554" s="17" t="s">
        <v>477</v>
      </c>
      <c r="K22554" s="18" t="s">
        <v>477</v>
      </c>
    </row>
    <row r="22555">
      <c r="B22555" s="17" t="s">
        <v>477</v>
      </c>
      <c r="K22555" s="18" t="s">
        <v>477</v>
      </c>
    </row>
    <row r="22556">
      <c r="B22556" s="17" t="s">
        <v>477</v>
      </c>
      <c r="K22556" s="18" t="s">
        <v>477</v>
      </c>
    </row>
    <row r="22557">
      <c r="B22557" s="17" t="s">
        <v>477</v>
      </c>
      <c r="K22557" s="18" t="s">
        <v>477</v>
      </c>
    </row>
    <row r="22558">
      <c r="B22558" s="17" t="s">
        <v>477</v>
      </c>
      <c r="K22558" s="18" t="s">
        <v>477</v>
      </c>
    </row>
    <row r="22559">
      <c r="B22559" s="17" t="s">
        <v>477</v>
      </c>
      <c r="K22559" s="18" t="s">
        <v>477</v>
      </c>
    </row>
    <row r="22560">
      <c r="B22560" s="17" t="s">
        <v>477</v>
      </c>
      <c r="K22560" s="18" t="s">
        <v>477</v>
      </c>
    </row>
    <row r="22561">
      <c r="B22561" s="17" t="s">
        <v>477</v>
      </c>
      <c r="K22561" s="18" t="s">
        <v>477</v>
      </c>
    </row>
    <row r="22562">
      <c r="B22562" s="17" t="s">
        <v>477</v>
      </c>
      <c r="K22562" s="18" t="s">
        <v>477</v>
      </c>
    </row>
    <row r="22563">
      <c r="B22563" s="17" t="s">
        <v>477</v>
      </c>
      <c r="K22563" s="18" t="s">
        <v>477</v>
      </c>
    </row>
    <row r="22564">
      <c r="B22564" s="17" t="s">
        <v>477</v>
      </c>
      <c r="K22564" s="18" t="s">
        <v>477</v>
      </c>
    </row>
    <row r="22565">
      <c r="B22565" s="17" t="s">
        <v>477</v>
      </c>
      <c r="K22565" s="18" t="s">
        <v>477</v>
      </c>
    </row>
    <row r="22566">
      <c r="B22566" s="17" t="s">
        <v>477</v>
      </c>
      <c r="K22566" s="18" t="s">
        <v>477</v>
      </c>
    </row>
    <row r="22567">
      <c r="B22567" s="17" t="s">
        <v>477</v>
      </c>
      <c r="K22567" s="18" t="s">
        <v>477</v>
      </c>
    </row>
    <row r="22568">
      <c r="B22568" s="17" t="s">
        <v>477</v>
      </c>
      <c r="K22568" s="18" t="s">
        <v>477</v>
      </c>
    </row>
    <row r="22569">
      <c r="B22569" s="17" t="s">
        <v>477</v>
      </c>
      <c r="K22569" s="18" t="s">
        <v>477</v>
      </c>
    </row>
    <row r="22570">
      <c r="B22570" s="17" t="s">
        <v>477</v>
      </c>
      <c r="K22570" s="18" t="s">
        <v>477</v>
      </c>
    </row>
    <row r="22571">
      <c r="B22571" s="17" t="s">
        <v>477</v>
      </c>
      <c r="K22571" s="18" t="s">
        <v>477</v>
      </c>
    </row>
    <row r="22572">
      <c r="B22572" s="17" t="s">
        <v>477</v>
      </c>
      <c r="K22572" s="18" t="s">
        <v>477</v>
      </c>
    </row>
    <row r="22573">
      <c r="B22573" s="17" t="s">
        <v>477</v>
      </c>
      <c r="K22573" s="18" t="s">
        <v>477</v>
      </c>
    </row>
    <row r="22574">
      <c r="B22574" s="17" t="s">
        <v>477</v>
      </c>
      <c r="K22574" s="18" t="s">
        <v>477</v>
      </c>
    </row>
    <row r="22575">
      <c r="B22575" s="17" t="s">
        <v>477</v>
      </c>
      <c r="K22575" s="18" t="s">
        <v>477</v>
      </c>
    </row>
    <row r="22576">
      <c r="B22576" s="17" t="s">
        <v>477</v>
      </c>
      <c r="K22576" s="18" t="s">
        <v>477</v>
      </c>
    </row>
    <row r="22577">
      <c r="B22577" s="17" t="s">
        <v>477</v>
      </c>
      <c r="K22577" s="18" t="s">
        <v>477</v>
      </c>
    </row>
    <row r="22578">
      <c r="B22578" s="17" t="s">
        <v>477</v>
      </c>
      <c r="K22578" s="18" t="s">
        <v>477</v>
      </c>
    </row>
    <row r="22579">
      <c r="B22579" s="17" t="s">
        <v>477</v>
      </c>
      <c r="K22579" s="18" t="s">
        <v>477</v>
      </c>
    </row>
    <row r="22580">
      <c r="B22580" s="17" t="s">
        <v>477</v>
      </c>
      <c r="K22580" s="18" t="s">
        <v>477</v>
      </c>
    </row>
    <row r="22581">
      <c r="B22581" s="17" t="s">
        <v>477</v>
      </c>
      <c r="K22581" s="18" t="s">
        <v>477</v>
      </c>
    </row>
    <row r="22582">
      <c r="B22582" s="17" t="s">
        <v>477</v>
      </c>
      <c r="K22582" s="18" t="s">
        <v>477</v>
      </c>
    </row>
    <row r="22583">
      <c r="B22583" s="17" t="s">
        <v>477</v>
      </c>
      <c r="K22583" s="18" t="s">
        <v>477</v>
      </c>
    </row>
    <row r="22584">
      <c r="B22584" s="17" t="s">
        <v>477</v>
      </c>
      <c r="K22584" s="18" t="s">
        <v>477</v>
      </c>
    </row>
    <row r="22585">
      <c r="B22585" s="17" t="s">
        <v>477</v>
      </c>
      <c r="K22585" s="18" t="s">
        <v>477</v>
      </c>
    </row>
    <row r="22586">
      <c r="B22586" s="17" t="s">
        <v>477</v>
      </c>
      <c r="K22586" s="18" t="s">
        <v>477</v>
      </c>
    </row>
    <row r="22587">
      <c r="B22587" s="17" t="s">
        <v>477</v>
      </c>
      <c r="K22587" s="18" t="s">
        <v>477</v>
      </c>
    </row>
    <row r="22588">
      <c r="B22588" s="17" t="s">
        <v>477</v>
      </c>
      <c r="K22588" s="18" t="s">
        <v>477</v>
      </c>
    </row>
    <row r="22589">
      <c r="B22589" s="17" t="s">
        <v>477</v>
      </c>
      <c r="K22589" s="18" t="s">
        <v>477</v>
      </c>
    </row>
    <row r="22590">
      <c r="B22590" s="17" t="s">
        <v>477</v>
      </c>
      <c r="K22590" s="18" t="s">
        <v>477</v>
      </c>
    </row>
    <row r="22591">
      <c r="B22591" s="17" t="s">
        <v>477</v>
      </c>
      <c r="K22591" s="18" t="s">
        <v>477</v>
      </c>
    </row>
    <row r="22592">
      <c r="B22592" s="17" t="s">
        <v>477</v>
      </c>
      <c r="K22592" s="18" t="s">
        <v>477</v>
      </c>
    </row>
    <row r="22593">
      <c r="B22593" s="17" t="s">
        <v>477</v>
      </c>
      <c r="K22593" s="18" t="s">
        <v>477</v>
      </c>
    </row>
    <row r="22594">
      <c r="B22594" s="17" t="s">
        <v>477</v>
      </c>
      <c r="K22594" s="18" t="s">
        <v>477</v>
      </c>
    </row>
    <row r="22595">
      <c r="B22595" s="17" t="s">
        <v>477</v>
      </c>
      <c r="K22595" s="18" t="s">
        <v>477</v>
      </c>
    </row>
    <row r="22596">
      <c r="B22596" s="17" t="s">
        <v>477</v>
      </c>
      <c r="K22596" s="18" t="s">
        <v>477</v>
      </c>
    </row>
    <row r="22597">
      <c r="B22597" s="17" t="s">
        <v>477</v>
      </c>
      <c r="K22597" s="18" t="s">
        <v>477</v>
      </c>
    </row>
    <row r="22598">
      <c r="B22598" s="17" t="s">
        <v>477</v>
      </c>
      <c r="K22598" s="18" t="s">
        <v>477</v>
      </c>
    </row>
    <row r="22599">
      <c r="B22599" s="17" t="s">
        <v>477</v>
      </c>
      <c r="K22599" s="18" t="s">
        <v>477</v>
      </c>
    </row>
    <row r="22600">
      <c r="B22600" s="17" t="s">
        <v>477</v>
      </c>
      <c r="K22600" s="18" t="s">
        <v>477</v>
      </c>
    </row>
    <row r="22601">
      <c r="B22601" s="17" t="s">
        <v>477</v>
      </c>
      <c r="K22601" s="18" t="s">
        <v>477</v>
      </c>
    </row>
    <row r="22602">
      <c r="B22602" s="17" t="s">
        <v>477</v>
      </c>
      <c r="K22602" s="18" t="s">
        <v>477</v>
      </c>
    </row>
    <row r="22603">
      <c r="B22603" s="17" t="s">
        <v>477</v>
      </c>
      <c r="K22603" s="18" t="s">
        <v>477</v>
      </c>
    </row>
    <row r="22604">
      <c r="B22604" s="17" t="s">
        <v>477</v>
      </c>
      <c r="K22604" s="18" t="s">
        <v>477</v>
      </c>
    </row>
    <row r="22605">
      <c r="B22605" s="17" t="s">
        <v>477</v>
      </c>
      <c r="K22605" s="18" t="s">
        <v>477</v>
      </c>
    </row>
    <row r="22606">
      <c r="B22606" s="17" t="s">
        <v>477</v>
      </c>
      <c r="K22606" s="18" t="s">
        <v>477</v>
      </c>
    </row>
    <row r="22607">
      <c r="B22607" s="17" t="s">
        <v>477</v>
      </c>
      <c r="K22607" s="18" t="s">
        <v>477</v>
      </c>
    </row>
    <row r="22608">
      <c r="B22608" s="17" t="s">
        <v>477</v>
      </c>
      <c r="K22608" s="18" t="s">
        <v>477</v>
      </c>
    </row>
    <row r="22609">
      <c r="B22609" s="17" t="s">
        <v>477</v>
      </c>
      <c r="K22609" s="18" t="s">
        <v>477</v>
      </c>
    </row>
    <row r="22610">
      <c r="B22610" s="17" t="s">
        <v>477</v>
      </c>
      <c r="K22610" s="18" t="s">
        <v>477</v>
      </c>
    </row>
    <row r="22611">
      <c r="B22611" s="17" t="s">
        <v>477</v>
      </c>
      <c r="K22611" s="18" t="s">
        <v>477</v>
      </c>
    </row>
    <row r="22612">
      <c r="B22612" s="17" t="s">
        <v>477</v>
      </c>
      <c r="K22612" s="18" t="s">
        <v>477</v>
      </c>
    </row>
    <row r="22613">
      <c r="B22613" s="17" t="s">
        <v>477</v>
      </c>
      <c r="K22613" s="18" t="s">
        <v>477</v>
      </c>
    </row>
    <row r="22614">
      <c r="B22614" s="17" t="s">
        <v>477</v>
      </c>
      <c r="K22614" s="18" t="s">
        <v>477</v>
      </c>
    </row>
    <row r="22615">
      <c r="B22615" s="17" t="s">
        <v>477</v>
      </c>
      <c r="K22615" s="18" t="s">
        <v>477</v>
      </c>
    </row>
    <row r="22616">
      <c r="B22616" s="17" t="s">
        <v>477</v>
      </c>
      <c r="K22616" s="18" t="s">
        <v>477</v>
      </c>
    </row>
    <row r="22617">
      <c r="B22617" s="17" t="s">
        <v>477</v>
      </c>
      <c r="K22617" s="18" t="s">
        <v>477</v>
      </c>
    </row>
    <row r="22618">
      <c r="B22618" s="17" t="s">
        <v>477</v>
      </c>
      <c r="K22618" s="18" t="s">
        <v>477</v>
      </c>
    </row>
    <row r="22619">
      <c r="B22619" s="17" t="s">
        <v>477</v>
      </c>
      <c r="K22619" s="18" t="s">
        <v>477</v>
      </c>
    </row>
    <row r="22620">
      <c r="B22620" s="17" t="s">
        <v>477</v>
      </c>
      <c r="K22620" s="18" t="s">
        <v>477</v>
      </c>
    </row>
    <row r="22621">
      <c r="B22621" s="17" t="s">
        <v>477</v>
      </c>
      <c r="K22621" s="18" t="s">
        <v>477</v>
      </c>
    </row>
    <row r="22622">
      <c r="B22622" s="17" t="s">
        <v>477</v>
      </c>
      <c r="K22622" s="18" t="s">
        <v>477</v>
      </c>
    </row>
    <row r="22623">
      <c r="B22623" s="17" t="s">
        <v>477</v>
      </c>
      <c r="K22623" s="18" t="s">
        <v>477</v>
      </c>
    </row>
    <row r="22624">
      <c r="B22624" s="17" t="s">
        <v>477</v>
      </c>
      <c r="K22624" s="18" t="s">
        <v>477</v>
      </c>
    </row>
    <row r="22625">
      <c r="B22625" s="17" t="s">
        <v>477</v>
      </c>
      <c r="K22625" s="18" t="s">
        <v>477</v>
      </c>
    </row>
    <row r="22626">
      <c r="B22626" s="17" t="s">
        <v>477</v>
      </c>
      <c r="K22626" s="18" t="s">
        <v>477</v>
      </c>
    </row>
    <row r="22627">
      <c r="B22627" s="17" t="s">
        <v>477</v>
      </c>
      <c r="K22627" s="18" t="s">
        <v>477</v>
      </c>
    </row>
    <row r="22628">
      <c r="B22628" s="17" t="s">
        <v>477</v>
      </c>
      <c r="K22628" s="18" t="s">
        <v>477</v>
      </c>
    </row>
    <row r="22629">
      <c r="B22629" s="17" t="s">
        <v>477</v>
      </c>
      <c r="K22629" s="18" t="s">
        <v>477</v>
      </c>
    </row>
    <row r="22630">
      <c r="B22630" s="17" t="s">
        <v>477</v>
      </c>
      <c r="K22630" s="18" t="s">
        <v>477</v>
      </c>
    </row>
    <row r="22631">
      <c r="B22631" s="17" t="s">
        <v>477</v>
      </c>
      <c r="K22631" s="18" t="s">
        <v>477</v>
      </c>
    </row>
    <row r="22632">
      <c r="B22632" s="17" t="s">
        <v>477</v>
      </c>
      <c r="K22632" s="18" t="s">
        <v>477</v>
      </c>
    </row>
    <row r="22633">
      <c r="B22633" s="17" t="s">
        <v>477</v>
      </c>
      <c r="K22633" s="18" t="s">
        <v>477</v>
      </c>
    </row>
    <row r="22634">
      <c r="B22634" s="17" t="s">
        <v>477</v>
      </c>
      <c r="K22634" s="18" t="s">
        <v>477</v>
      </c>
    </row>
    <row r="22635">
      <c r="B22635" s="17" t="s">
        <v>477</v>
      </c>
      <c r="K22635" s="18" t="s">
        <v>477</v>
      </c>
    </row>
    <row r="22636">
      <c r="B22636" s="17" t="s">
        <v>477</v>
      </c>
      <c r="K22636" s="18" t="s">
        <v>477</v>
      </c>
    </row>
    <row r="22637">
      <c r="B22637" s="17" t="s">
        <v>477</v>
      </c>
      <c r="K22637" s="18" t="s">
        <v>477</v>
      </c>
    </row>
    <row r="22638">
      <c r="B22638" s="17" t="s">
        <v>477</v>
      </c>
      <c r="K22638" s="18" t="s">
        <v>477</v>
      </c>
    </row>
    <row r="22639">
      <c r="B22639" s="17" t="s">
        <v>477</v>
      </c>
      <c r="K22639" s="18" t="s">
        <v>477</v>
      </c>
    </row>
    <row r="22640">
      <c r="B22640" s="17" t="s">
        <v>477</v>
      </c>
      <c r="K22640" s="18" t="s">
        <v>477</v>
      </c>
    </row>
    <row r="22641">
      <c r="B22641" s="17" t="s">
        <v>477</v>
      </c>
      <c r="K22641" s="18" t="s">
        <v>477</v>
      </c>
    </row>
    <row r="22642">
      <c r="B22642" s="17" t="s">
        <v>477</v>
      </c>
      <c r="K22642" s="18" t="s">
        <v>477</v>
      </c>
    </row>
    <row r="22643">
      <c r="B22643" s="17" t="s">
        <v>477</v>
      </c>
      <c r="K22643" s="18" t="s">
        <v>477</v>
      </c>
    </row>
    <row r="22644">
      <c r="B22644" s="17" t="s">
        <v>477</v>
      </c>
      <c r="K22644" s="18" t="s">
        <v>477</v>
      </c>
    </row>
    <row r="22645">
      <c r="B22645" s="17" t="s">
        <v>477</v>
      </c>
      <c r="K22645" s="18" t="s">
        <v>477</v>
      </c>
    </row>
    <row r="22646">
      <c r="B22646" s="17" t="s">
        <v>477</v>
      </c>
      <c r="K22646" s="18" t="s">
        <v>477</v>
      </c>
    </row>
    <row r="22647">
      <c r="B22647" s="17" t="s">
        <v>477</v>
      </c>
      <c r="K22647" s="18" t="s">
        <v>477</v>
      </c>
    </row>
    <row r="22648">
      <c r="B22648" s="17" t="s">
        <v>477</v>
      </c>
      <c r="K22648" s="18" t="s">
        <v>477</v>
      </c>
    </row>
    <row r="22649">
      <c r="B22649" s="17" t="s">
        <v>477</v>
      </c>
      <c r="K22649" s="18" t="s">
        <v>477</v>
      </c>
    </row>
    <row r="22650">
      <c r="B22650" s="17" t="s">
        <v>477</v>
      </c>
      <c r="K22650" s="18" t="s">
        <v>477</v>
      </c>
    </row>
    <row r="22651">
      <c r="B22651" s="17" t="s">
        <v>477</v>
      </c>
      <c r="K22651" s="18" t="s">
        <v>477</v>
      </c>
    </row>
    <row r="22652">
      <c r="B22652" s="17" t="s">
        <v>477</v>
      </c>
      <c r="K22652" s="18" t="s">
        <v>477</v>
      </c>
    </row>
    <row r="22653">
      <c r="B22653" s="17" t="s">
        <v>477</v>
      </c>
      <c r="K22653" s="18" t="s">
        <v>477</v>
      </c>
    </row>
    <row r="22654">
      <c r="B22654" s="17" t="s">
        <v>477</v>
      </c>
      <c r="K22654" s="18" t="s">
        <v>477</v>
      </c>
    </row>
    <row r="22655">
      <c r="B22655" s="17" t="s">
        <v>477</v>
      </c>
      <c r="K22655" s="18" t="s">
        <v>477</v>
      </c>
    </row>
    <row r="22656">
      <c r="B22656" s="17" t="s">
        <v>477</v>
      </c>
      <c r="K22656" s="18" t="s">
        <v>477</v>
      </c>
    </row>
    <row r="22657">
      <c r="B22657" s="17" t="s">
        <v>477</v>
      </c>
      <c r="K22657" s="18" t="s">
        <v>477</v>
      </c>
    </row>
    <row r="22658">
      <c r="B22658" s="17" t="s">
        <v>477</v>
      </c>
      <c r="K22658" s="18" t="s">
        <v>477</v>
      </c>
    </row>
    <row r="22659">
      <c r="B22659" s="17" t="s">
        <v>477</v>
      </c>
      <c r="K22659" s="18" t="s">
        <v>477</v>
      </c>
    </row>
    <row r="22660">
      <c r="B22660" s="17" t="s">
        <v>477</v>
      </c>
      <c r="K22660" s="18" t="s">
        <v>477</v>
      </c>
    </row>
    <row r="22661">
      <c r="B22661" s="17" t="s">
        <v>477</v>
      </c>
      <c r="K22661" s="18" t="s">
        <v>477</v>
      </c>
    </row>
    <row r="22662">
      <c r="B22662" s="17" t="s">
        <v>477</v>
      </c>
      <c r="K22662" s="18" t="s">
        <v>477</v>
      </c>
    </row>
    <row r="22663">
      <c r="B22663" s="17" t="s">
        <v>477</v>
      </c>
      <c r="K22663" s="18" t="s">
        <v>477</v>
      </c>
    </row>
    <row r="22664">
      <c r="B22664" s="17" t="s">
        <v>477</v>
      </c>
      <c r="K22664" s="18" t="s">
        <v>477</v>
      </c>
    </row>
    <row r="22665">
      <c r="B22665" s="17" t="s">
        <v>477</v>
      </c>
      <c r="K22665" s="18" t="s">
        <v>477</v>
      </c>
    </row>
    <row r="22666">
      <c r="B22666" s="17" t="s">
        <v>477</v>
      </c>
      <c r="K22666" s="18" t="s">
        <v>477</v>
      </c>
    </row>
    <row r="22667">
      <c r="B22667" s="17" t="s">
        <v>477</v>
      </c>
      <c r="K22667" s="18" t="s">
        <v>477</v>
      </c>
    </row>
    <row r="22668">
      <c r="B22668" s="17" t="s">
        <v>477</v>
      </c>
      <c r="K22668" s="18" t="s">
        <v>477</v>
      </c>
    </row>
    <row r="22669">
      <c r="B22669" s="17" t="s">
        <v>477</v>
      </c>
      <c r="K22669" s="18" t="s">
        <v>477</v>
      </c>
    </row>
    <row r="22670">
      <c r="B22670" s="17" t="s">
        <v>477</v>
      </c>
      <c r="K22670" s="18" t="s">
        <v>477</v>
      </c>
    </row>
    <row r="22671">
      <c r="B22671" s="17" t="s">
        <v>477</v>
      </c>
      <c r="K22671" s="18" t="s">
        <v>477</v>
      </c>
    </row>
    <row r="22672">
      <c r="B22672" s="17" t="s">
        <v>477</v>
      </c>
      <c r="K22672" s="18" t="s">
        <v>477</v>
      </c>
    </row>
    <row r="22673">
      <c r="B22673" s="17" t="s">
        <v>477</v>
      </c>
      <c r="K22673" s="18" t="s">
        <v>477</v>
      </c>
    </row>
    <row r="22674">
      <c r="B22674" s="17" t="s">
        <v>477</v>
      </c>
      <c r="K22674" s="18" t="s">
        <v>477</v>
      </c>
    </row>
    <row r="22675">
      <c r="B22675" s="17" t="s">
        <v>477</v>
      </c>
      <c r="K22675" s="18" t="s">
        <v>477</v>
      </c>
    </row>
    <row r="22676">
      <c r="B22676" s="17" t="s">
        <v>477</v>
      </c>
      <c r="K22676" s="18" t="s">
        <v>477</v>
      </c>
    </row>
    <row r="22677">
      <c r="B22677" s="17" t="s">
        <v>477</v>
      </c>
      <c r="K22677" s="18" t="s">
        <v>477</v>
      </c>
    </row>
    <row r="22678">
      <c r="B22678" s="17" t="s">
        <v>477</v>
      </c>
      <c r="K22678" s="18" t="s">
        <v>477</v>
      </c>
    </row>
    <row r="22679">
      <c r="B22679" s="17" t="s">
        <v>477</v>
      </c>
      <c r="K22679" s="18" t="s">
        <v>477</v>
      </c>
    </row>
    <row r="22680">
      <c r="B22680" s="17" t="s">
        <v>477</v>
      </c>
      <c r="K22680" s="18" t="s">
        <v>477</v>
      </c>
    </row>
    <row r="22681">
      <c r="B22681" s="17" t="s">
        <v>477</v>
      </c>
      <c r="K22681" s="18" t="s">
        <v>477</v>
      </c>
    </row>
    <row r="22682">
      <c r="B22682" s="17" t="s">
        <v>477</v>
      </c>
      <c r="K22682" s="18" t="s">
        <v>477</v>
      </c>
    </row>
    <row r="22683">
      <c r="B22683" s="17" t="s">
        <v>477</v>
      </c>
      <c r="K22683" s="18" t="s">
        <v>477</v>
      </c>
    </row>
    <row r="22684">
      <c r="B22684" s="17" t="s">
        <v>477</v>
      </c>
      <c r="K22684" s="18" t="s">
        <v>477</v>
      </c>
    </row>
    <row r="22685">
      <c r="B22685" s="17" t="s">
        <v>477</v>
      </c>
      <c r="K22685" s="18" t="s">
        <v>477</v>
      </c>
    </row>
    <row r="22686">
      <c r="B22686" s="17" t="s">
        <v>477</v>
      </c>
      <c r="K22686" s="18" t="s">
        <v>477</v>
      </c>
    </row>
    <row r="22687">
      <c r="B22687" s="17" t="s">
        <v>477</v>
      </c>
      <c r="K22687" s="18" t="s">
        <v>477</v>
      </c>
    </row>
    <row r="22688">
      <c r="B22688" s="17" t="s">
        <v>477</v>
      </c>
      <c r="K22688" s="18" t="s">
        <v>477</v>
      </c>
    </row>
    <row r="22689">
      <c r="B22689" s="17" t="s">
        <v>477</v>
      </c>
      <c r="K22689" s="18" t="s">
        <v>477</v>
      </c>
    </row>
    <row r="22690">
      <c r="B22690" s="17" t="s">
        <v>477</v>
      </c>
      <c r="K22690" s="18" t="s">
        <v>477</v>
      </c>
    </row>
    <row r="22691">
      <c r="B22691" s="17" t="s">
        <v>477</v>
      </c>
      <c r="K22691" s="18" t="s">
        <v>477</v>
      </c>
    </row>
    <row r="22692">
      <c r="B22692" s="17" t="s">
        <v>477</v>
      </c>
      <c r="K22692" s="18" t="s">
        <v>477</v>
      </c>
    </row>
    <row r="22693">
      <c r="B22693" s="17" t="s">
        <v>477</v>
      </c>
      <c r="K22693" s="18" t="s">
        <v>477</v>
      </c>
    </row>
    <row r="22694">
      <c r="B22694" s="17" t="s">
        <v>477</v>
      </c>
      <c r="K22694" s="18" t="s">
        <v>477</v>
      </c>
    </row>
    <row r="22695">
      <c r="B22695" s="17" t="s">
        <v>477</v>
      </c>
      <c r="K22695" s="18" t="s">
        <v>477</v>
      </c>
    </row>
    <row r="22696">
      <c r="B22696" s="17" t="s">
        <v>477</v>
      </c>
      <c r="K22696" s="18" t="s">
        <v>477</v>
      </c>
    </row>
    <row r="22697">
      <c r="B22697" s="17" t="s">
        <v>477</v>
      </c>
      <c r="K22697" s="18" t="s">
        <v>477</v>
      </c>
    </row>
    <row r="22698">
      <c r="B22698" s="17" t="s">
        <v>477</v>
      </c>
      <c r="K22698" s="18" t="s">
        <v>477</v>
      </c>
    </row>
    <row r="22699">
      <c r="B22699" s="17" t="s">
        <v>477</v>
      </c>
      <c r="K22699" s="18" t="s">
        <v>477</v>
      </c>
    </row>
    <row r="22700">
      <c r="B22700" s="17" t="s">
        <v>477</v>
      </c>
      <c r="K22700" s="18" t="s">
        <v>477</v>
      </c>
    </row>
    <row r="22701">
      <c r="B22701" s="17" t="s">
        <v>477</v>
      </c>
      <c r="K22701" s="18" t="s">
        <v>477</v>
      </c>
    </row>
    <row r="22702">
      <c r="B22702" s="17" t="s">
        <v>477</v>
      </c>
      <c r="K22702" s="18" t="s">
        <v>477</v>
      </c>
    </row>
    <row r="22703">
      <c r="B22703" s="17" t="s">
        <v>477</v>
      </c>
      <c r="K22703" s="18" t="s">
        <v>477</v>
      </c>
    </row>
    <row r="22704">
      <c r="B22704" s="17" t="s">
        <v>477</v>
      </c>
      <c r="K22704" s="18" t="s">
        <v>477</v>
      </c>
    </row>
    <row r="22705">
      <c r="B22705" s="17" t="s">
        <v>477</v>
      </c>
      <c r="K22705" s="18" t="s">
        <v>477</v>
      </c>
    </row>
    <row r="22706">
      <c r="B22706" s="17" t="s">
        <v>477</v>
      </c>
      <c r="K22706" s="18" t="s">
        <v>477</v>
      </c>
    </row>
    <row r="22707">
      <c r="B22707" s="17" t="s">
        <v>477</v>
      </c>
      <c r="K22707" s="18" t="s">
        <v>477</v>
      </c>
    </row>
    <row r="22708">
      <c r="B22708" s="17" t="s">
        <v>477</v>
      </c>
      <c r="K22708" s="18" t="s">
        <v>477</v>
      </c>
    </row>
    <row r="22709">
      <c r="B22709" s="17" t="s">
        <v>477</v>
      </c>
      <c r="K22709" s="18" t="s">
        <v>477</v>
      </c>
    </row>
    <row r="22710">
      <c r="B22710" s="17" t="s">
        <v>477</v>
      </c>
      <c r="K22710" s="18" t="s">
        <v>477</v>
      </c>
    </row>
    <row r="22711">
      <c r="B22711" s="17" t="s">
        <v>477</v>
      </c>
      <c r="K22711" s="18" t="s">
        <v>477</v>
      </c>
    </row>
    <row r="22712">
      <c r="B22712" s="17" t="s">
        <v>477</v>
      </c>
      <c r="K22712" s="18" t="s">
        <v>477</v>
      </c>
    </row>
    <row r="22713">
      <c r="B22713" s="17" t="s">
        <v>477</v>
      </c>
      <c r="K22713" s="18" t="s">
        <v>477</v>
      </c>
    </row>
    <row r="22714">
      <c r="B22714" s="17" t="s">
        <v>477</v>
      </c>
      <c r="K22714" s="18" t="s">
        <v>477</v>
      </c>
    </row>
    <row r="22715">
      <c r="B22715" s="17" t="s">
        <v>477</v>
      </c>
      <c r="K22715" s="18" t="s">
        <v>477</v>
      </c>
    </row>
    <row r="22716">
      <c r="B22716" s="17" t="s">
        <v>477</v>
      </c>
      <c r="K22716" s="18" t="s">
        <v>477</v>
      </c>
    </row>
    <row r="22717">
      <c r="B22717" s="17" t="s">
        <v>477</v>
      </c>
      <c r="K22717" s="18" t="s">
        <v>477</v>
      </c>
    </row>
    <row r="22718">
      <c r="B22718" s="17" t="s">
        <v>477</v>
      </c>
      <c r="K22718" s="18" t="s">
        <v>477</v>
      </c>
    </row>
    <row r="22719">
      <c r="B22719" s="17" t="s">
        <v>477</v>
      </c>
      <c r="K22719" s="18" t="s">
        <v>477</v>
      </c>
    </row>
    <row r="22720">
      <c r="B22720" s="17" t="s">
        <v>477</v>
      </c>
      <c r="K22720" s="18" t="s">
        <v>477</v>
      </c>
    </row>
    <row r="22721">
      <c r="B22721" s="17" t="s">
        <v>477</v>
      </c>
      <c r="K22721" s="18" t="s">
        <v>477</v>
      </c>
    </row>
    <row r="22722">
      <c r="B22722" s="17" t="s">
        <v>477</v>
      </c>
      <c r="K22722" s="18" t="s">
        <v>477</v>
      </c>
    </row>
    <row r="22723">
      <c r="B22723" s="17" t="s">
        <v>477</v>
      </c>
      <c r="K22723" s="18" t="s">
        <v>477</v>
      </c>
    </row>
    <row r="22724">
      <c r="B22724" s="17" t="s">
        <v>477</v>
      </c>
      <c r="K22724" s="18" t="s">
        <v>477</v>
      </c>
    </row>
    <row r="22725">
      <c r="B22725" s="17" t="s">
        <v>477</v>
      </c>
      <c r="K22725" s="18" t="s">
        <v>477</v>
      </c>
    </row>
    <row r="22726">
      <c r="B22726" s="17" t="s">
        <v>477</v>
      </c>
      <c r="K22726" s="18" t="s">
        <v>477</v>
      </c>
    </row>
    <row r="22727">
      <c r="B22727" s="17" t="s">
        <v>477</v>
      </c>
      <c r="K22727" s="18" t="s">
        <v>477</v>
      </c>
    </row>
    <row r="22728">
      <c r="B22728" s="17" t="s">
        <v>477</v>
      </c>
      <c r="K22728" s="18" t="s">
        <v>477</v>
      </c>
    </row>
    <row r="22729">
      <c r="B22729" s="17" t="s">
        <v>477</v>
      </c>
      <c r="K22729" s="18" t="s">
        <v>477</v>
      </c>
    </row>
    <row r="22730">
      <c r="B22730" s="17" t="s">
        <v>477</v>
      </c>
      <c r="K22730" s="18" t="s">
        <v>477</v>
      </c>
    </row>
    <row r="22731">
      <c r="B22731" s="17" t="s">
        <v>477</v>
      </c>
      <c r="K22731" s="18" t="s">
        <v>477</v>
      </c>
    </row>
    <row r="22732">
      <c r="B22732" s="17" t="s">
        <v>477</v>
      </c>
      <c r="K22732" s="18" t="s">
        <v>477</v>
      </c>
    </row>
    <row r="22733">
      <c r="B22733" s="17" t="s">
        <v>477</v>
      </c>
      <c r="K22733" s="18" t="s">
        <v>477</v>
      </c>
    </row>
    <row r="22734">
      <c r="B22734" s="17" t="s">
        <v>477</v>
      </c>
      <c r="K22734" s="18" t="s">
        <v>477</v>
      </c>
    </row>
    <row r="22735">
      <c r="B22735" s="17" t="s">
        <v>477</v>
      </c>
      <c r="K22735" s="18" t="s">
        <v>477</v>
      </c>
    </row>
    <row r="22736">
      <c r="B22736" s="17" t="s">
        <v>477</v>
      </c>
      <c r="K22736" s="18" t="s">
        <v>477</v>
      </c>
    </row>
    <row r="22737">
      <c r="B22737" s="17" t="s">
        <v>477</v>
      </c>
      <c r="K22737" s="18" t="s">
        <v>477</v>
      </c>
    </row>
    <row r="22738">
      <c r="B22738" s="17" t="s">
        <v>477</v>
      </c>
      <c r="K22738" s="18" t="s">
        <v>477</v>
      </c>
    </row>
    <row r="22739">
      <c r="B22739" s="17" t="s">
        <v>477</v>
      </c>
      <c r="K22739" s="18" t="s">
        <v>477</v>
      </c>
    </row>
    <row r="22740">
      <c r="B22740" s="17" t="s">
        <v>477</v>
      </c>
      <c r="K22740" s="18" t="s">
        <v>477</v>
      </c>
    </row>
    <row r="22741">
      <c r="B22741" s="17" t="s">
        <v>477</v>
      </c>
      <c r="K22741" s="18" t="s">
        <v>477</v>
      </c>
    </row>
    <row r="22742">
      <c r="B22742" s="17" t="s">
        <v>477</v>
      </c>
      <c r="K22742" s="18" t="s">
        <v>477</v>
      </c>
    </row>
    <row r="22743">
      <c r="B22743" s="17" t="s">
        <v>477</v>
      </c>
      <c r="K22743" s="18" t="s">
        <v>477</v>
      </c>
    </row>
    <row r="22744">
      <c r="B22744" s="17" t="s">
        <v>477</v>
      </c>
      <c r="K22744" s="18" t="s">
        <v>477</v>
      </c>
    </row>
    <row r="22745">
      <c r="B22745" s="17" t="s">
        <v>477</v>
      </c>
      <c r="K22745" s="18" t="s">
        <v>477</v>
      </c>
    </row>
    <row r="22746">
      <c r="B22746" s="17" t="s">
        <v>477</v>
      </c>
      <c r="K22746" s="18" t="s">
        <v>477</v>
      </c>
    </row>
    <row r="22747">
      <c r="B22747" s="17" t="s">
        <v>477</v>
      </c>
      <c r="K22747" s="18" t="s">
        <v>477</v>
      </c>
    </row>
    <row r="22748">
      <c r="B22748" s="17" t="s">
        <v>477</v>
      </c>
      <c r="K22748" s="18" t="s">
        <v>477</v>
      </c>
    </row>
    <row r="22749">
      <c r="B22749" s="17" t="s">
        <v>477</v>
      </c>
      <c r="K22749" s="18" t="s">
        <v>477</v>
      </c>
    </row>
    <row r="22750">
      <c r="B22750" s="17" t="s">
        <v>477</v>
      </c>
      <c r="K22750" s="18" t="s">
        <v>477</v>
      </c>
    </row>
    <row r="22751">
      <c r="B22751" s="17" t="s">
        <v>477</v>
      </c>
      <c r="K22751" s="18" t="s">
        <v>477</v>
      </c>
    </row>
    <row r="22752">
      <c r="B22752" s="17" t="s">
        <v>477</v>
      </c>
      <c r="K22752" s="18" t="s">
        <v>477</v>
      </c>
    </row>
    <row r="22753">
      <c r="B22753" s="17" t="s">
        <v>477</v>
      </c>
      <c r="K22753" s="18" t="s">
        <v>477</v>
      </c>
    </row>
    <row r="22754">
      <c r="B22754" s="17" t="s">
        <v>477</v>
      </c>
      <c r="K22754" s="18" t="s">
        <v>477</v>
      </c>
    </row>
    <row r="22755">
      <c r="B22755" s="17" t="s">
        <v>477</v>
      </c>
      <c r="K22755" s="18" t="s">
        <v>477</v>
      </c>
    </row>
    <row r="22756">
      <c r="B22756" s="17" t="s">
        <v>477</v>
      </c>
      <c r="K22756" s="18" t="s">
        <v>477</v>
      </c>
    </row>
    <row r="22757">
      <c r="B22757" s="17" t="s">
        <v>477</v>
      </c>
      <c r="K22757" s="18" t="s">
        <v>477</v>
      </c>
    </row>
    <row r="22758">
      <c r="B22758" s="17" t="s">
        <v>477</v>
      </c>
      <c r="K22758" s="18" t="s">
        <v>477</v>
      </c>
    </row>
    <row r="22759">
      <c r="B22759" s="17" t="s">
        <v>477</v>
      </c>
      <c r="K22759" s="18" t="s">
        <v>477</v>
      </c>
    </row>
    <row r="22760">
      <c r="B22760" s="17" t="s">
        <v>477</v>
      </c>
      <c r="K22760" s="18" t="s">
        <v>477</v>
      </c>
    </row>
    <row r="22761">
      <c r="B22761" s="17" t="s">
        <v>477</v>
      </c>
      <c r="K22761" s="18" t="s">
        <v>477</v>
      </c>
    </row>
    <row r="22762">
      <c r="B22762" s="17" t="s">
        <v>477</v>
      </c>
      <c r="K22762" s="18" t="s">
        <v>477</v>
      </c>
    </row>
    <row r="22763">
      <c r="B22763" s="17" t="s">
        <v>477</v>
      </c>
      <c r="K22763" s="18" t="s">
        <v>477</v>
      </c>
    </row>
    <row r="22764">
      <c r="B22764" s="17" t="s">
        <v>477</v>
      </c>
      <c r="K22764" s="18" t="s">
        <v>477</v>
      </c>
    </row>
    <row r="22765">
      <c r="B22765" s="17" t="s">
        <v>477</v>
      </c>
      <c r="K22765" s="18" t="s">
        <v>477</v>
      </c>
    </row>
    <row r="22766">
      <c r="B22766" s="17" t="s">
        <v>477</v>
      </c>
      <c r="K22766" s="18" t="s">
        <v>477</v>
      </c>
    </row>
    <row r="22767">
      <c r="B22767" s="17" t="s">
        <v>477</v>
      </c>
      <c r="K22767" s="18" t="s">
        <v>477</v>
      </c>
    </row>
    <row r="22768">
      <c r="B22768" s="17" t="s">
        <v>477</v>
      </c>
      <c r="K22768" s="18" t="s">
        <v>477</v>
      </c>
    </row>
    <row r="22769">
      <c r="B22769" s="17" t="s">
        <v>477</v>
      </c>
      <c r="K22769" s="18" t="s">
        <v>477</v>
      </c>
    </row>
    <row r="22770">
      <c r="B22770" s="17" t="s">
        <v>477</v>
      </c>
      <c r="K22770" s="18" t="s">
        <v>477</v>
      </c>
    </row>
    <row r="22771">
      <c r="B22771" s="17" t="s">
        <v>477</v>
      </c>
      <c r="K22771" s="18" t="s">
        <v>477</v>
      </c>
    </row>
    <row r="22772">
      <c r="B22772" s="17" t="s">
        <v>477</v>
      </c>
      <c r="K22772" s="18" t="s">
        <v>477</v>
      </c>
    </row>
    <row r="22773">
      <c r="B22773" s="17" t="s">
        <v>477</v>
      </c>
      <c r="K22773" s="18" t="s">
        <v>477</v>
      </c>
    </row>
    <row r="22774">
      <c r="B22774" s="17" t="s">
        <v>477</v>
      </c>
      <c r="K22774" s="18" t="s">
        <v>477</v>
      </c>
    </row>
    <row r="22775">
      <c r="B22775" s="17" t="s">
        <v>477</v>
      </c>
      <c r="K22775" s="18" t="s">
        <v>477</v>
      </c>
    </row>
    <row r="22776">
      <c r="B22776" s="17" t="s">
        <v>477</v>
      </c>
      <c r="K22776" s="18" t="s">
        <v>477</v>
      </c>
    </row>
    <row r="22777">
      <c r="B22777" s="17" t="s">
        <v>477</v>
      </c>
      <c r="K22777" s="18" t="s">
        <v>477</v>
      </c>
    </row>
    <row r="22778">
      <c r="B22778" s="17" t="s">
        <v>477</v>
      </c>
      <c r="K22778" s="18" t="s">
        <v>477</v>
      </c>
    </row>
    <row r="22779">
      <c r="B22779" s="17" t="s">
        <v>477</v>
      </c>
      <c r="K22779" s="18" t="s">
        <v>477</v>
      </c>
    </row>
    <row r="22780">
      <c r="B22780" s="17" t="s">
        <v>477</v>
      </c>
      <c r="K22780" s="18" t="s">
        <v>477</v>
      </c>
    </row>
    <row r="22781">
      <c r="B22781" s="17" t="s">
        <v>477</v>
      </c>
      <c r="K22781" s="18" t="s">
        <v>477</v>
      </c>
    </row>
    <row r="22782">
      <c r="B22782" s="17" t="s">
        <v>477</v>
      </c>
      <c r="K22782" s="18" t="s">
        <v>477</v>
      </c>
    </row>
    <row r="22783">
      <c r="B22783" s="17" t="s">
        <v>477</v>
      </c>
      <c r="K22783" s="18" t="s">
        <v>477</v>
      </c>
    </row>
    <row r="22784">
      <c r="B22784" s="17" t="s">
        <v>477</v>
      </c>
      <c r="K22784" s="18" t="s">
        <v>477</v>
      </c>
    </row>
    <row r="22785">
      <c r="B22785" s="17" t="s">
        <v>477</v>
      </c>
      <c r="K22785" s="18" t="s">
        <v>477</v>
      </c>
    </row>
    <row r="22786">
      <c r="B22786" s="17" t="s">
        <v>477</v>
      </c>
      <c r="K22786" s="18" t="s">
        <v>477</v>
      </c>
    </row>
    <row r="22787">
      <c r="B22787" s="17" t="s">
        <v>477</v>
      </c>
      <c r="K22787" s="18" t="s">
        <v>477</v>
      </c>
    </row>
    <row r="22788">
      <c r="B22788" s="17" t="s">
        <v>477</v>
      </c>
      <c r="K22788" s="18" t="s">
        <v>477</v>
      </c>
    </row>
    <row r="22789">
      <c r="B22789" s="17" t="s">
        <v>477</v>
      </c>
      <c r="K22789" s="18" t="s">
        <v>477</v>
      </c>
    </row>
    <row r="22790">
      <c r="B22790" s="17" t="s">
        <v>477</v>
      </c>
      <c r="K22790" s="18" t="s">
        <v>477</v>
      </c>
    </row>
    <row r="22791">
      <c r="B22791" s="17" t="s">
        <v>477</v>
      </c>
      <c r="K22791" s="18" t="s">
        <v>477</v>
      </c>
    </row>
    <row r="22792">
      <c r="B22792" s="17" t="s">
        <v>477</v>
      </c>
      <c r="K22792" s="18" t="s">
        <v>477</v>
      </c>
    </row>
    <row r="22793">
      <c r="B22793" s="17" t="s">
        <v>477</v>
      </c>
      <c r="K22793" s="18" t="s">
        <v>477</v>
      </c>
    </row>
    <row r="22794">
      <c r="B22794" s="17" t="s">
        <v>477</v>
      </c>
      <c r="K22794" s="18" t="s">
        <v>477</v>
      </c>
    </row>
    <row r="22795">
      <c r="B22795" s="17" t="s">
        <v>477</v>
      </c>
      <c r="K22795" s="18" t="s">
        <v>477</v>
      </c>
    </row>
    <row r="22796">
      <c r="B22796" s="17" t="s">
        <v>477</v>
      </c>
      <c r="K22796" s="18" t="s">
        <v>477</v>
      </c>
    </row>
    <row r="22797">
      <c r="B22797" s="17" t="s">
        <v>477</v>
      </c>
      <c r="K22797" s="18" t="s">
        <v>477</v>
      </c>
    </row>
    <row r="22798">
      <c r="B22798" s="17" t="s">
        <v>477</v>
      </c>
      <c r="K22798" s="18" t="s">
        <v>477</v>
      </c>
    </row>
    <row r="22799">
      <c r="B22799" s="17" t="s">
        <v>477</v>
      </c>
      <c r="K22799" s="18" t="s">
        <v>477</v>
      </c>
    </row>
    <row r="22800">
      <c r="B22800" s="17" t="s">
        <v>477</v>
      </c>
      <c r="K22800" s="18" t="s">
        <v>477</v>
      </c>
    </row>
    <row r="22801">
      <c r="B22801" s="17" t="s">
        <v>477</v>
      </c>
      <c r="K22801" s="18" t="s">
        <v>477</v>
      </c>
    </row>
    <row r="22802">
      <c r="B22802" s="17" t="s">
        <v>477</v>
      </c>
      <c r="K22802" s="18" t="s">
        <v>477</v>
      </c>
    </row>
    <row r="22803">
      <c r="B22803" s="17" t="s">
        <v>477</v>
      </c>
      <c r="K22803" s="18" t="s">
        <v>477</v>
      </c>
    </row>
    <row r="22804">
      <c r="B22804" s="17" t="s">
        <v>477</v>
      </c>
      <c r="K22804" s="18" t="s">
        <v>477</v>
      </c>
    </row>
    <row r="22805">
      <c r="B22805" s="17" t="s">
        <v>477</v>
      </c>
      <c r="K22805" s="18" t="s">
        <v>477</v>
      </c>
    </row>
    <row r="22806">
      <c r="B22806" s="17" t="s">
        <v>477</v>
      </c>
      <c r="K22806" s="18" t="s">
        <v>477</v>
      </c>
    </row>
    <row r="22807">
      <c r="B22807" s="17" t="s">
        <v>477</v>
      </c>
      <c r="K22807" s="18" t="s">
        <v>477</v>
      </c>
    </row>
    <row r="22808">
      <c r="B22808" s="17" t="s">
        <v>477</v>
      </c>
      <c r="K22808" s="18" t="s">
        <v>477</v>
      </c>
    </row>
    <row r="22809">
      <c r="B22809" s="17" t="s">
        <v>477</v>
      </c>
      <c r="K22809" s="18" t="s">
        <v>477</v>
      </c>
    </row>
    <row r="22810">
      <c r="B22810" s="17" t="s">
        <v>477</v>
      </c>
      <c r="K22810" s="18" t="s">
        <v>477</v>
      </c>
    </row>
    <row r="22811">
      <c r="B22811" s="17" t="s">
        <v>477</v>
      </c>
      <c r="K22811" s="18" t="s">
        <v>477</v>
      </c>
    </row>
    <row r="22812">
      <c r="B22812" s="17" t="s">
        <v>477</v>
      </c>
      <c r="K22812" s="18" t="s">
        <v>477</v>
      </c>
    </row>
    <row r="22813">
      <c r="B22813" s="17" t="s">
        <v>477</v>
      </c>
      <c r="K22813" s="18" t="s">
        <v>477</v>
      </c>
    </row>
    <row r="22814">
      <c r="B22814" s="17" t="s">
        <v>477</v>
      </c>
      <c r="K22814" s="18" t="s">
        <v>477</v>
      </c>
    </row>
    <row r="22815">
      <c r="B22815" s="17" t="s">
        <v>477</v>
      </c>
      <c r="K22815" s="18" t="s">
        <v>477</v>
      </c>
    </row>
    <row r="22816">
      <c r="B22816" s="17" t="s">
        <v>477</v>
      </c>
      <c r="K22816" s="18" t="s">
        <v>477</v>
      </c>
    </row>
    <row r="22817">
      <c r="B22817" s="17" t="s">
        <v>477</v>
      </c>
      <c r="K22817" s="18" t="s">
        <v>477</v>
      </c>
    </row>
    <row r="22818">
      <c r="B22818" s="17" t="s">
        <v>477</v>
      </c>
      <c r="K22818" s="18" t="s">
        <v>477</v>
      </c>
    </row>
    <row r="22819">
      <c r="B22819" s="17" t="s">
        <v>477</v>
      </c>
      <c r="K22819" s="18" t="s">
        <v>477</v>
      </c>
    </row>
    <row r="22820">
      <c r="B22820" s="17" t="s">
        <v>477</v>
      </c>
      <c r="K22820" s="18" t="s">
        <v>477</v>
      </c>
    </row>
    <row r="22821">
      <c r="B22821" s="17" t="s">
        <v>477</v>
      </c>
      <c r="K22821" s="18" t="s">
        <v>477</v>
      </c>
    </row>
    <row r="22822">
      <c r="B22822" s="17" t="s">
        <v>477</v>
      </c>
      <c r="K22822" s="18" t="s">
        <v>477</v>
      </c>
    </row>
    <row r="22823">
      <c r="B22823" s="17" t="s">
        <v>477</v>
      </c>
      <c r="K22823" s="18" t="s">
        <v>477</v>
      </c>
    </row>
    <row r="22824">
      <c r="B22824" s="17" t="s">
        <v>477</v>
      </c>
      <c r="K22824" s="18" t="s">
        <v>477</v>
      </c>
    </row>
    <row r="22825">
      <c r="B22825" s="17" t="s">
        <v>477</v>
      </c>
      <c r="K22825" s="18" t="s">
        <v>477</v>
      </c>
    </row>
    <row r="22826">
      <c r="B22826" s="17" t="s">
        <v>477</v>
      </c>
      <c r="K22826" s="18" t="s">
        <v>477</v>
      </c>
    </row>
    <row r="22827">
      <c r="B22827" s="17" t="s">
        <v>477</v>
      </c>
      <c r="K22827" s="18" t="s">
        <v>477</v>
      </c>
    </row>
    <row r="22828">
      <c r="B22828" s="17" t="s">
        <v>477</v>
      </c>
      <c r="K22828" s="18" t="s">
        <v>477</v>
      </c>
    </row>
    <row r="22829">
      <c r="B22829" s="17" t="s">
        <v>477</v>
      </c>
      <c r="K22829" s="18" t="s">
        <v>477</v>
      </c>
    </row>
    <row r="22830">
      <c r="B22830" s="17" t="s">
        <v>477</v>
      </c>
      <c r="K22830" s="18" t="s">
        <v>477</v>
      </c>
    </row>
    <row r="22831">
      <c r="B22831" s="17" t="s">
        <v>477</v>
      </c>
      <c r="K22831" s="18" t="s">
        <v>477</v>
      </c>
    </row>
    <row r="22832">
      <c r="B22832" s="17" t="s">
        <v>477</v>
      </c>
      <c r="K22832" s="18" t="s">
        <v>477</v>
      </c>
    </row>
    <row r="22833">
      <c r="B22833" s="17" t="s">
        <v>477</v>
      </c>
      <c r="K22833" s="18" t="s">
        <v>477</v>
      </c>
    </row>
    <row r="22834">
      <c r="B22834" s="17" t="s">
        <v>477</v>
      </c>
      <c r="K22834" s="18" t="s">
        <v>477</v>
      </c>
    </row>
    <row r="22835">
      <c r="B22835" s="17" t="s">
        <v>477</v>
      </c>
      <c r="K22835" s="18" t="s">
        <v>477</v>
      </c>
    </row>
    <row r="22836">
      <c r="B22836" s="17" t="s">
        <v>477</v>
      </c>
      <c r="K22836" s="18" t="s">
        <v>477</v>
      </c>
    </row>
    <row r="22837">
      <c r="B22837" s="17" t="s">
        <v>477</v>
      </c>
      <c r="K22837" s="18" t="s">
        <v>477</v>
      </c>
    </row>
    <row r="22838">
      <c r="B22838" s="17" t="s">
        <v>477</v>
      </c>
      <c r="K22838" s="18" t="s">
        <v>477</v>
      </c>
    </row>
    <row r="22839">
      <c r="B22839" s="17" t="s">
        <v>477</v>
      </c>
      <c r="K22839" s="18" t="s">
        <v>477</v>
      </c>
    </row>
    <row r="22840">
      <c r="B22840" s="17" t="s">
        <v>477</v>
      </c>
      <c r="K22840" s="18" t="s">
        <v>477</v>
      </c>
    </row>
    <row r="22841">
      <c r="B22841" s="17" t="s">
        <v>477</v>
      </c>
      <c r="K22841" s="18" t="s">
        <v>477</v>
      </c>
    </row>
    <row r="22842">
      <c r="B22842" s="17" t="s">
        <v>477</v>
      </c>
      <c r="K22842" s="18" t="s">
        <v>477</v>
      </c>
    </row>
    <row r="22843">
      <c r="B22843" s="17" t="s">
        <v>477</v>
      </c>
      <c r="K22843" s="18" t="s">
        <v>477</v>
      </c>
    </row>
    <row r="22844">
      <c r="B22844" s="17" t="s">
        <v>477</v>
      </c>
      <c r="K22844" s="18" t="s">
        <v>477</v>
      </c>
    </row>
    <row r="22845">
      <c r="B22845" s="17" t="s">
        <v>477</v>
      </c>
      <c r="K22845" s="18" t="s">
        <v>477</v>
      </c>
    </row>
    <row r="22846">
      <c r="B22846" s="17" t="s">
        <v>477</v>
      </c>
      <c r="K22846" s="18" t="s">
        <v>477</v>
      </c>
    </row>
    <row r="22847">
      <c r="B22847" s="17" t="s">
        <v>477</v>
      </c>
      <c r="K22847" s="18" t="s">
        <v>477</v>
      </c>
    </row>
    <row r="22848">
      <c r="B22848" s="17" t="s">
        <v>477</v>
      </c>
      <c r="K22848" s="18" t="s">
        <v>477</v>
      </c>
    </row>
    <row r="22849">
      <c r="B22849" s="17" t="s">
        <v>477</v>
      </c>
      <c r="K22849" s="18" t="s">
        <v>477</v>
      </c>
    </row>
    <row r="22850">
      <c r="B22850" s="17" t="s">
        <v>477</v>
      </c>
      <c r="K22850" s="18" t="s">
        <v>477</v>
      </c>
    </row>
    <row r="22851">
      <c r="B22851" s="17" t="s">
        <v>477</v>
      </c>
      <c r="K22851" s="18" t="s">
        <v>477</v>
      </c>
    </row>
    <row r="22852">
      <c r="B22852" s="17" t="s">
        <v>477</v>
      </c>
      <c r="K22852" s="18" t="s">
        <v>477</v>
      </c>
    </row>
    <row r="22853">
      <c r="B22853" s="17" t="s">
        <v>477</v>
      </c>
      <c r="K22853" s="18" t="s">
        <v>477</v>
      </c>
    </row>
    <row r="22854">
      <c r="B22854" s="17" t="s">
        <v>477</v>
      </c>
      <c r="K22854" s="18" t="s">
        <v>477</v>
      </c>
    </row>
    <row r="22855">
      <c r="B22855" s="17" t="s">
        <v>477</v>
      </c>
      <c r="K22855" s="18" t="s">
        <v>477</v>
      </c>
    </row>
    <row r="22856">
      <c r="B22856" s="17" t="s">
        <v>477</v>
      </c>
      <c r="K22856" s="18" t="s">
        <v>477</v>
      </c>
    </row>
    <row r="22857">
      <c r="B22857" s="17" t="s">
        <v>477</v>
      </c>
      <c r="K22857" s="18" t="s">
        <v>477</v>
      </c>
    </row>
    <row r="22858">
      <c r="B22858" s="17" t="s">
        <v>477</v>
      </c>
      <c r="K22858" s="18" t="s">
        <v>477</v>
      </c>
    </row>
    <row r="22859">
      <c r="B22859" s="17" t="s">
        <v>477</v>
      </c>
      <c r="K22859" s="18" t="s">
        <v>477</v>
      </c>
    </row>
    <row r="22860">
      <c r="B22860" s="17" t="s">
        <v>477</v>
      </c>
      <c r="K22860" s="18" t="s">
        <v>477</v>
      </c>
    </row>
    <row r="22861">
      <c r="B22861" s="17" t="s">
        <v>477</v>
      </c>
      <c r="K22861" s="18" t="s">
        <v>477</v>
      </c>
    </row>
    <row r="22862">
      <c r="B22862" s="17" t="s">
        <v>477</v>
      </c>
      <c r="K22862" s="18" t="s">
        <v>477</v>
      </c>
    </row>
    <row r="22863">
      <c r="B22863" s="17" t="s">
        <v>477</v>
      </c>
      <c r="K22863" s="18" t="s">
        <v>477</v>
      </c>
    </row>
    <row r="22864">
      <c r="B22864" s="17" t="s">
        <v>477</v>
      </c>
      <c r="K22864" s="18" t="s">
        <v>477</v>
      </c>
    </row>
    <row r="22865">
      <c r="B22865" s="17" t="s">
        <v>477</v>
      </c>
      <c r="K22865" s="18" t="s">
        <v>477</v>
      </c>
    </row>
    <row r="22866">
      <c r="B22866" s="17" t="s">
        <v>477</v>
      </c>
      <c r="K22866" s="18" t="s">
        <v>477</v>
      </c>
    </row>
    <row r="22867">
      <c r="B22867" s="17" t="s">
        <v>477</v>
      </c>
      <c r="K22867" s="18" t="s">
        <v>477</v>
      </c>
    </row>
    <row r="22868">
      <c r="B22868" s="17" t="s">
        <v>477</v>
      </c>
      <c r="K22868" s="18" t="s">
        <v>477</v>
      </c>
    </row>
    <row r="22869">
      <c r="B22869" s="17" t="s">
        <v>477</v>
      </c>
      <c r="K22869" s="18" t="s">
        <v>477</v>
      </c>
    </row>
    <row r="22870">
      <c r="B22870" s="17" t="s">
        <v>477</v>
      </c>
      <c r="K22870" s="18" t="s">
        <v>477</v>
      </c>
    </row>
    <row r="22871">
      <c r="B22871" s="17" t="s">
        <v>477</v>
      </c>
      <c r="K22871" s="18" t="s">
        <v>477</v>
      </c>
    </row>
    <row r="22872">
      <c r="B22872" s="17" t="s">
        <v>477</v>
      </c>
      <c r="K22872" s="18" t="s">
        <v>477</v>
      </c>
    </row>
    <row r="22873">
      <c r="B22873" s="17" t="s">
        <v>477</v>
      </c>
      <c r="K22873" s="18" t="s">
        <v>477</v>
      </c>
    </row>
    <row r="22874">
      <c r="B22874" s="17" t="s">
        <v>477</v>
      </c>
      <c r="K22874" s="18" t="s">
        <v>477</v>
      </c>
    </row>
    <row r="22875">
      <c r="B22875" s="17" t="s">
        <v>477</v>
      </c>
      <c r="K22875" s="18" t="s">
        <v>477</v>
      </c>
    </row>
    <row r="22876">
      <c r="B22876" s="17" t="s">
        <v>477</v>
      </c>
      <c r="K22876" s="18" t="s">
        <v>477</v>
      </c>
    </row>
    <row r="22877">
      <c r="B22877" s="17" t="s">
        <v>477</v>
      </c>
      <c r="K22877" s="18" t="s">
        <v>477</v>
      </c>
    </row>
    <row r="22878">
      <c r="B22878" s="17" t="s">
        <v>477</v>
      </c>
      <c r="K22878" s="18" t="s">
        <v>477</v>
      </c>
    </row>
    <row r="22879">
      <c r="B22879" s="17" t="s">
        <v>477</v>
      </c>
      <c r="K22879" s="18" t="s">
        <v>477</v>
      </c>
    </row>
    <row r="22880">
      <c r="B22880" s="17" t="s">
        <v>477</v>
      </c>
      <c r="K22880" s="18" t="s">
        <v>477</v>
      </c>
    </row>
    <row r="22881">
      <c r="B22881" s="17" t="s">
        <v>477</v>
      </c>
      <c r="K22881" s="18" t="s">
        <v>477</v>
      </c>
    </row>
    <row r="22882">
      <c r="B22882" s="17" t="s">
        <v>477</v>
      </c>
      <c r="K22882" s="18" t="s">
        <v>477</v>
      </c>
    </row>
    <row r="22883">
      <c r="B22883" s="17" t="s">
        <v>477</v>
      </c>
      <c r="K22883" s="18" t="s">
        <v>477</v>
      </c>
    </row>
    <row r="22884">
      <c r="B22884" s="17" t="s">
        <v>477</v>
      </c>
      <c r="K22884" s="18" t="s">
        <v>477</v>
      </c>
    </row>
    <row r="22885">
      <c r="B22885" s="17" t="s">
        <v>477</v>
      </c>
      <c r="K22885" s="18" t="s">
        <v>477</v>
      </c>
    </row>
    <row r="22886">
      <c r="B22886" s="17" t="s">
        <v>477</v>
      </c>
      <c r="K22886" s="18" t="s">
        <v>477</v>
      </c>
    </row>
    <row r="22887">
      <c r="B22887" s="17" t="s">
        <v>477</v>
      </c>
      <c r="K22887" s="18" t="s">
        <v>477</v>
      </c>
    </row>
    <row r="22888">
      <c r="B22888" s="17" t="s">
        <v>477</v>
      </c>
      <c r="K22888" s="18" t="s">
        <v>477</v>
      </c>
    </row>
    <row r="22889">
      <c r="B22889" s="17" t="s">
        <v>477</v>
      </c>
      <c r="K22889" s="18" t="s">
        <v>477</v>
      </c>
    </row>
    <row r="22890">
      <c r="B22890" s="17" t="s">
        <v>477</v>
      </c>
      <c r="K22890" s="18" t="s">
        <v>477</v>
      </c>
    </row>
    <row r="22891">
      <c r="B22891" s="17" t="s">
        <v>477</v>
      </c>
      <c r="K22891" s="18" t="s">
        <v>477</v>
      </c>
    </row>
    <row r="22892">
      <c r="B22892" s="17" t="s">
        <v>477</v>
      </c>
      <c r="K22892" s="18" t="s">
        <v>477</v>
      </c>
    </row>
    <row r="22893">
      <c r="B22893" s="17" t="s">
        <v>477</v>
      </c>
      <c r="K22893" s="18" t="s">
        <v>477</v>
      </c>
    </row>
    <row r="22894">
      <c r="B22894" s="17" t="s">
        <v>477</v>
      </c>
      <c r="K22894" s="18" t="s">
        <v>477</v>
      </c>
    </row>
    <row r="22895">
      <c r="B22895" s="17" t="s">
        <v>477</v>
      </c>
      <c r="K22895" s="18" t="s">
        <v>477</v>
      </c>
    </row>
    <row r="22896">
      <c r="B22896" s="17" t="s">
        <v>477</v>
      </c>
      <c r="K22896" s="18" t="s">
        <v>477</v>
      </c>
    </row>
    <row r="22897">
      <c r="B22897" s="17" t="s">
        <v>477</v>
      </c>
      <c r="K22897" s="18" t="s">
        <v>477</v>
      </c>
    </row>
    <row r="22898">
      <c r="B22898" s="17" t="s">
        <v>477</v>
      </c>
      <c r="K22898" s="18" t="s">
        <v>477</v>
      </c>
    </row>
    <row r="22899">
      <c r="B22899" s="17" t="s">
        <v>477</v>
      </c>
      <c r="K22899" s="18" t="s">
        <v>477</v>
      </c>
    </row>
    <row r="22900">
      <c r="B22900" s="17" t="s">
        <v>477</v>
      </c>
      <c r="K22900" s="18" t="s">
        <v>477</v>
      </c>
    </row>
    <row r="22901">
      <c r="B22901" s="17" t="s">
        <v>477</v>
      </c>
      <c r="K22901" s="18" t="s">
        <v>477</v>
      </c>
    </row>
    <row r="22902">
      <c r="B22902" s="17" t="s">
        <v>477</v>
      </c>
      <c r="K22902" s="18" t="s">
        <v>477</v>
      </c>
    </row>
    <row r="22903">
      <c r="B22903" s="17" t="s">
        <v>477</v>
      </c>
      <c r="K22903" s="18" t="s">
        <v>477</v>
      </c>
    </row>
    <row r="22904">
      <c r="B22904" s="17" t="s">
        <v>477</v>
      </c>
      <c r="K22904" s="18" t="s">
        <v>477</v>
      </c>
    </row>
    <row r="22905">
      <c r="B22905" s="17" t="s">
        <v>477</v>
      </c>
      <c r="K22905" s="18" t="s">
        <v>477</v>
      </c>
    </row>
    <row r="22906">
      <c r="B22906" s="17" t="s">
        <v>477</v>
      </c>
      <c r="K22906" s="18" t="s">
        <v>477</v>
      </c>
    </row>
    <row r="22907">
      <c r="B22907" s="17" t="s">
        <v>477</v>
      </c>
      <c r="K22907" s="18" t="s">
        <v>477</v>
      </c>
    </row>
    <row r="22908">
      <c r="B22908" s="17" t="s">
        <v>477</v>
      </c>
      <c r="K22908" s="18" t="s">
        <v>477</v>
      </c>
    </row>
    <row r="22909">
      <c r="B22909" s="17" t="s">
        <v>477</v>
      </c>
      <c r="K22909" s="18" t="s">
        <v>477</v>
      </c>
    </row>
    <row r="22910">
      <c r="B22910" s="17" t="s">
        <v>477</v>
      </c>
      <c r="K22910" s="18" t="s">
        <v>477</v>
      </c>
    </row>
    <row r="22911">
      <c r="B22911" s="17" t="s">
        <v>477</v>
      </c>
      <c r="K22911" s="18" t="s">
        <v>477</v>
      </c>
    </row>
    <row r="22912">
      <c r="B22912" s="17" t="s">
        <v>477</v>
      </c>
      <c r="K22912" s="18" t="s">
        <v>477</v>
      </c>
    </row>
    <row r="22913">
      <c r="B22913" s="17" t="s">
        <v>477</v>
      </c>
      <c r="K22913" s="18" t="s">
        <v>477</v>
      </c>
    </row>
    <row r="22914">
      <c r="B22914" s="17" t="s">
        <v>477</v>
      </c>
      <c r="K22914" s="18" t="s">
        <v>477</v>
      </c>
    </row>
    <row r="22915">
      <c r="B22915" s="17" t="s">
        <v>477</v>
      </c>
      <c r="K22915" s="18" t="s">
        <v>477</v>
      </c>
    </row>
    <row r="22916">
      <c r="B22916" s="17" t="s">
        <v>477</v>
      </c>
      <c r="K22916" s="18" t="s">
        <v>477</v>
      </c>
    </row>
    <row r="22917">
      <c r="B22917" s="17" t="s">
        <v>477</v>
      </c>
      <c r="K22917" s="18" t="s">
        <v>477</v>
      </c>
    </row>
    <row r="22918">
      <c r="B22918" s="17" t="s">
        <v>477</v>
      </c>
      <c r="K22918" s="18" t="s">
        <v>477</v>
      </c>
    </row>
    <row r="22919">
      <c r="B22919" s="17" t="s">
        <v>477</v>
      </c>
      <c r="K22919" s="18" t="s">
        <v>477</v>
      </c>
    </row>
    <row r="22920">
      <c r="B22920" s="17" t="s">
        <v>477</v>
      </c>
      <c r="K22920" s="18" t="s">
        <v>477</v>
      </c>
    </row>
    <row r="22921">
      <c r="B22921" s="17" t="s">
        <v>477</v>
      </c>
      <c r="K22921" s="18" t="s">
        <v>477</v>
      </c>
    </row>
    <row r="22922">
      <c r="B22922" s="17" t="s">
        <v>477</v>
      </c>
      <c r="K22922" s="18" t="s">
        <v>477</v>
      </c>
    </row>
    <row r="22923">
      <c r="B22923" s="17" t="s">
        <v>477</v>
      </c>
      <c r="K22923" s="18" t="s">
        <v>477</v>
      </c>
    </row>
    <row r="22924">
      <c r="B22924" s="17" t="s">
        <v>477</v>
      </c>
      <c r="K22924" s="18" t="s">
        <v>477</v>
      </c>
    </row>
    <row r="22925">
      <c r="B22925" s="17" t="s">
        <v>477</v>
      </c>
      <c r="K22925" s="18" t="s">
        <v>477</v>
      </c>
    </row>
    <row r="22926">
      <c r="B22926" s="17" t="s">
        <v>477</v>
      </c>
      <c r="K22926" s="18" t="s">
        <v>477</v>
      </c>
    </row>
    <row r="22927">
      <c r="B22927" s="17" t="s">
        <v>477</v>
      </c>
      <c r="K22927" s="18" t="s">
        <v>477</v>
      </c>
    </row>
    <row r="22928">
      <c r="B22928" s="17" t="s">
        <v>477</v>
      </c>
      <c r="K22928" s="18" t="s">
        <v>477</v>
      </c>
    </row>
    <row r="22929">
      <c r="B22929" s="17" t="s">
        <v>477</v>
      </c>
      <c r="K22929" s="18" t="s">
        <v>477</v>
      </c>
    </row>
    <row r="22930">
      <c r="B22930" s="17" t="s">
        <v>477</v>
      </c>
      <c r="K22930" s="18" t="s">
        <v>477</v>
      </c>
    </row>
    <row r="22931">
      <c r="B22931" s="17" t="s">
        <v>477</v>
      </c>
      <c r="K22931" s="18" t="s">
        <v>477</v>
      </c>
    </row>
    <row r="22932">
      <c r="B22932" s="17" t="s">
        <v>477</v>
      </c>
      <c r="K22932" s="18" t="s">
        <v>477</v>
      </c>
    </row>
    <row r="22933">
      <c r="B22933" s="17" t="s">
        <v>477</v>
      </c>
      <c r="K22933" s="18" t="s">
        <v>477</v>
      </c>
    </row>
    <row r="22934">
      <c r="B22934" s="17" t="s">
        <v>477</v>
      </c>
      <c r="K22934" s="18" t="s">
        <v>477</v>
      </c>
    </row>
    <row r="22935">
      <c r="B22935" s="17" t="s">
        <v>477</v>
      </c>
      <c r="K22935" s="18" t="s">
        <v>477</v>
      </c>
    </row>
    <row r="22936">
      <c r="B22936" s="17" t="s">
        <v>477</v>
      </c>
      <c r="K22936" s="18" t="s">
        <v>477</v>
      </c>
    </row>
    <row r="22937">
      <c r="B22937" s="17" t="s">
        <v>477</v>
      </c>
      <c r="K22937" s="18" t="s">
        <v>477</v>
      </c>
    </row>
    <row r="22938">
      <c r="B22938" s="17" t="s">
        <v>477</v>
      </c>
      <c r="K22938" s="18" t="s">
        <v>477</v>
      </c>
    </row>
    <row r="22939">
      <c r="B22939" s="17" t="s">
        <v>477</v>
      </c>
      <c r="K22939" s="18" t="s">
        <v>477</v>
      </c>
    </row>
    <row r="22940">
      <c r="B22940" s="17" t="s">
        <v>477</v>
      </c>
      <c r="K22940" s="18" t="s">
        <v>477</v>
      </c>
    </row>
    <row r="22941">
      <c r="B22941" s="17" t="s">
        <v>477</v>
      </c>
      <c r="K22941" s="18" t="s">
        <v>477</v>
      </c>
    </row>
    <row r="22942">
      <c r="B22942" s="17" t="s">
        <v>477</v>
      </c>
      <c r="K22942" s="18" t="s">
        <v>477</v>
      </c>
    </row>
    <row r="22943">
      <c r="B22943" s="17" t="s">
        <v>477</v>
      </c>
      <c r="K22943" s="18" t="s">
        <v>477</v>
      </c>
    </row>
    <row r="22944">
      <c r="B22944" s="17" t="s">
        <v>477</v>
      </c>
      <c r="K22944" s="18" t="s">
        <v>477</v>
      </c>
    </row>
    <row r="22945">
      <c r="B22945" s="17" t="s">
        <v>477</v>
      </c>
      <c r="K22945" s="18" t="s">
        <v>477</v>
      </c>
    </row>
    <row r="22946">
      <c r="B22946" s="17" t="s">
        <v>477</v>
      </c>
      <c r="K22946" s="18" t="s">
        <v>477</v>
      </c>
    </row>
    <row r="22947">
      <c r="B22947" s="17" t="s">
        <v>477</v>
      </c>
      <c r="K22947" s="18" t="s">
        <v>477</v>
      </c>
    </row>
    <row r="22948">
      <c r="B22948" s="17" t="s">
        <v>477</v>
      </c>
      <c r="K22948" s="18" t="s">
        <v>477</v>
      </c>
    </row>
    <row r="22949">
      <c r="B22949" s="17" t="s">
        <v>477</v>
      </c>
      <c r="K22949" s="18" t="s">
        <v>477</v>
      </c>
    </row>
    <row r="22950">
      <c r="B22950" s="17" t="s">
        <v>477</v>
      </c>
      <c r="K22950" s="18" t="s">
        <v>477</v>
      </c>
    </row>
    <row r="22951">
      <c r="B22951" s="17" t="s">
        <v>477</v>
      </c>
      <c r="K22951" s="18" t="s">
        <v>477</v>
      </c>
    </row>
    <row r="22952">
      <c r="B22952" s="17" t="s">
        <v>477</v>
      </c>
      <c r="K22952" s="18" t="s">
        <v>477</v>
      </c>
    </row>
    <row r="22953">
      <c r="B22953" s="17" t="s">
        <v>477</v>
      </c>
      <c r="K22953" s="18" t="s">
        <v>477</v>
      </c>
    </row>
    <row r="22954">
      <c r="B22954" s="17" t="s">
        <v>477</v>
      </c>
      <c r="K22954" s="18" t="s">
        <v>477</v>
      </c>
    </row>
    <row r="22955">
      <c r="B22955" s="17" t="s">
        <v>477</v>
      </c>
      <c r="K22955" s="18" t="s">
        <v>477</v>
      </c>
    </row>
    <row r="22956">
      <c r="B22956" s="17" t="s">
        <v>477</v>
      </c>
      <c r="K22956" s="18" t="s">
        <v>477</v>
      </c>
    </row>
    <row r="22957">
      <c r="B22957" s="17" t="s">
        <v>477</v>
      </c>
      <c r="K22957" s="18" t="s">
        <v>477</v>
      </c>
    </row>
    <row r="22958">
      <c r="B22958" s="17" t="s">
        <v>477</v>
      </c>
      <c r="K22958" s="18" t="s">
        <v>477</v>
      </c>
    </row>
    <row r="22959">
      <c r="B22959" s="17" t="s">
        <v>477</v>
      </c>
      <c r="K22959" s="18" t="s">
        <v>477</v>
      </c>
    </row>
    <row r="22960">
      <c r="B22960" s="17" t="s">
        <v>477</v>
      </c>
      <c r="K22960" s="18" t="s">
        <v>477</v>
      </c>
    </row>
    <row r="22961">
      <c r="B22961" s="17" t="s">
        <v>477</v>
      </c>
      <c r="K22961" s="18" t="s">
        <v>477</v>
      </c>
    </row>
    <row r="22962">
      <c r="B22962" s="17" t="s">
        <v>477</v>
      </c>
      <c r="K22962" s="18" t="s">
        <v>477</v>
      </c>
    </row>
    <row r="22963">
      <c r="B22963" s="17" t="s">
        <v>477</v>
      </c>
      <c r="K22963" s="18" t="s">
        <v>477</v>
      </c>
    </row>
    <row r="22964">
      <c r="B22964" s="17" t="s">
        <v>477</v>
      </c>
      <c r="K22964" s="18" t="s">
        <v>477</v>
      </c>
    </row>
    <row r="22965">
      <c r="B22965" s="17" t="s">
        <v>477</v>
      </c>
      <c r="K22965" s="18" t="s">
        <v>477</v>
      </c>
    </row>
    <row r="22966">
      <c r="B22966" s="17" t="s">
        <v>477</v>
      </c>
      <c r="K22966" s="18" t="s">
        <v>477</v>
      </c>
    </row>
    <row r="22967">
      <c r="B22967" s="17" t="s">
        <v>477</v>
      </c>
      <c r="K22967" s="18" t="s">
        <v>477</v>
      </c>
    </row>
    <row r="22968">
      <c r="B22968" s="17" t="s">
        <v>477</v>
      </c>
      <c r="K22968" s="18" t="s">
        <v>477</v>
      </c>
    </row>
    <row r="22969">
      <c r="B22969" s="17" t="s">
        <v>477</v>
      </c>
      <c r="K22969" s="18" t="s">
        <v>477</v>
      </c>
    </row>
    <row r="22970">
      <c r="B22970" s="17" t="s">
        <v>477</v>
      </c>
      <c r="K22970" s="18" t="s">
        <v>477</v>
      </c>
    </row>
    <row r="22971">
      <c r="B22971" s="17" t="s">
        <v>477</v>
      </c>
      <c r="K22971" s="18" t="s">
        <v>477</v>
      </c>
    </row>
    <row r="22972">
      <c r="B22972" s="17" t="s">
        <v>477</v>
      </c>
      <c r="K22972" s="18" t="s">
        <v>477</v>
      </c>
    </row>
    <row r="22973">
      <c r="B22973" s="17" t="s">
        <v>477</v>
      </c>
      <c r="K22973" s="18" t="s">
        <v>477</v>
      </c>
    </row>
    <row r="22974">
      <c r="B22974" s="17" t="s">
        <v>477</v>
      </c>
      <c r="K22974" s="18" t="s">
        <v>477</v>
      </c>
    </row>
    <row r="22975">
      <c r="B22975" s="17" t="s">
        <v>477</v>
      </c>
      <c r="K22975" s="18" t="s">
        <v>477</v>
      </c>
    </row>
    <row r="22976">
      <c r="B22976" s="17" t="s">
        <v>477</v>
      </c>
      <c r="K22976" s="18" t="s">
        <v>477</v>
      </c>
    </row>
    <row r="22977">
      <c r="B22977" s="17" t="s">
        <v>477</v>
      </c>
      <c r="K22977" s="18" t="s">
        <v>477</v>
      </c>
    </row>
    <row r="22978">
      <c r="B22978" s="17" t="s">
        <v>477</v>
      </c>
      <c r="K22978" s="18" t="s">
        <v>477</v>
      </c>
    </row>
    <row r="22979">
      <c r="B22979" s="17" t="s">
        <v>477</v>
      </c>
      <c r="K22979" s="18" t="s">
        <v>477</v>
      </c>
    </row>
    <row r="22980">
      <c r="B22980" s="17" t="s">
        <v>477</v>
      </c>
      <c r="K22980" s="18" t="s">
        <v>477</v>
      </c>
    </row>
    <row r="22981">
      <c r="B22981" s="17" t="s">
        <v>477</v>
      </c>
      <c r="K22981" s="18" t="s">
        <v>477</v>
      </c>
    </row>
    <row r="22982">
      <c r="B22982" s="17" t="s">
        <v>477</v>
      </c>
      <c r="K22982" s="18" t="s">
        <v>477</v>
      </c>
    </row>
    <row r="22983">
      <c r="B22983" s="17" t="s">
        <v>477</v>
      </c>
      <c r="K22983" s="18" t="s">
        <v>477</v>
      </c>
    </row>
    <row r="22984">
      <c r="B22984" s="17" t="s">
        <v>477</v>
      </c>
      <c r="K22984" s="18" t="s">
        <v>477</v>
      </c>
    </row>
    <row r="22985">
      <c r="B22985" s="17" t="s">
        <v>477</v>
      </c>
      <c r="K22985" s="18" t="s">
        <v>477</v>
      </c>
    </row>
    <row r="22986">
      <c r="B22986" s="17" t="s">
        <v>477</v>
      </c>
      <c r="K22986" s="18" t="s">
        <v>477</v>
      </c>
    </row>
    <row r="22987">
      <c r="B22987" s="17" t="s">
        <v>477</v>
      </c>
      <c r="K22987" s="18" t="s">
        <v>477</v>
      </c>
    </row>
    <row r="22988">
      <c r="B22988" s="17" t="s">
        <v>477</v>
      </c>
      <c r="K22988" s="18" t="s">
        <v>477</v>
      </c>
    </row>
    <row r="22989">
      <c r="B22989" s="17" t="s">
        <v>477</v>
      </c>
      <c r="K22989" s="18" t="s">
        <v>477</v>
      </c>
    </row>
    <row r="22990">
      <c r="B22990" s="17" t="s">
        <v>477</v>
      </c>
      <c r="K22990" s="18" t="s">
        <v>477</v>
      </c>
    </row>
    <row r="22991">
      <c r="B22991" s="17" t="s">
        <v>477</v>
      </c>
      <c r="K22991" s="18" t="s">
        <v>477</v>
      </c>
    </row>
    <row r="22992">
      <c r="B22992" s="17" t="s">
        <v>477</v>
      </c>
      <c r="K22992" s="18" t="s">
        <v>477</v>
      </c>
    </row>
    <row r="22993">
      <c r="B22993" s="17" t="s">
        <v>477</v>
      </c>
      <c r="K22993" s="18" t="s">
        <v>477</v>
      </c>
    </row>
    <row r="22994">
      <c r="B22994" s="17" t="s">
        <v>477</v>
      </c>
      <c r="K22994" s="18" t="s">
        <v>477</v>
      </c>
    </row>
    <row r="22995">
      <c r="B22995" s="17" t="s">
        <v>477</v>
      </c>
      <c r="K22995" s="18" t="s">
        <v>477</v>
      </c>
    </row>
    <row r="22996">
      <c r="B22996" s="17" t="s">
        <v>477</v>
      </c>
      <c r="K22996" s="18" t="s">
        <v>477</v>
      </c>
    </row>
    <row r="22997">
      <c r="B22997" s="17" t="s">
        <v>477</v>
      </c>
      <c r="K22997" s="18" t="s">
        <v>477</v>
      </c>
    </row>
    <row r="22998">
      <c r="B22998" s="17" t="s">
        <v>477</v>
      </c>
      <c r="K22998" s="18" t="s">
        <v>477</v>
      </c>
    </row>
    <row r="22999">
      <c r="B22999" s="17" t="s">
        <v>477</v>
      </c>
      <c r="K22999" s="18" t="s">
        <v>477</v>
      </c>
    </row>
    <row r="23000">
      <c r="B23000" s="17" t="s">
        <v>477</v>
      </c>
      <c r="K23000" s="18" t="s">
        <v>477</v>
      </c>
    </row>
    <row r="23001">
      <c r="B23001" s="17" t="s">
        <v>477</v>
      </c>
      <c r="K23001" s="18" t="s">
        <v>477</v>
      </c>
    </row>
    <row r="23002">
      <c r="B23002" s="17" t="s">
        <v>477</v>
      </c>
      <c r="K23002" s="18" t="s">
        <v>477</v>
      </c>
    </row>
    <row r="23003">
      <c r="B23003" s="17" t="s">
        <v>477</v>
      </c>
      <c r="K23003" s="18" t="s">
        <v>477</v>
      </c>
    </row>
    <row r="23004">
      <c r="B23004" s="17" t="s">
        <v>477</v>
      </c>
      <c r="K23004" s="18" t="s">
        <v>477</v>
      </c>
    </row>
    <row r="23005">
      <c r="B23005" s="17" t="s">
        <v>477</v>
      </c>
      <c r="K23005" s="18" t="s">
        <v>477</v>
      </c>
    </row>
    <row r="23006">
      <c r="B23006" s="17" t="s">
        <v>477</v>
      </c>
      <c r="K23006" s="18" t="s">
        <v>477</v>
      </c>
    </row>
    <row r="23007">
      <c r="B23007" s="17" t="s">
        <v>477</v>
      </c>
      <c r="K23007" s="18" t="s">
        <v>477</v>
      </c>
    </row>
    <row r="23008">
      <c r="B23008" s="17" t="s">
        <v>477</v>
      </c>
      <c r="K23008" s="18" t="s">
        <v>477</v>
      </c>
    </row>
    <row r="23009">
      <c r="B23009" s="17" t="s">
        <v>477</v>
      </c>
      <c r="K23009" s="18" t="s">
        <v>477</v>
      </c>
    </row>
    <row r="23010">
      <c r="B23010" s="17" t="s">
        <v>477</v>
      </c>
      <c r="K23010" s="18" t="s">
        <v>477</v>
      </c>
    </row>
    <row r="23011">
      <c r="B23011" s="17" t="s">
        <v>477</v>
      </c>
      <c r="K23011" s="18" t="s">
        <v>477</v>
      </c>
    </row>
    <row r="23012">
      <c r="B23012" s="17" t="s">
        <v>477</v>
      </c>
      <c r="K23012" s="18" t="s">
        <v>477</v>
      </c>
    </row>
    <row r="23013">
      <c r="B23013" s="17" t="s">
        <v>477</v>
      </c>
      <c r="K23013" s="18" t="s">
        <v>477</v>
      </c>
    </row>
    <row r="23014">
      <c r="B23014" s="17" t="s">
        <v>477</v>
      </c>
      <c r="K23014" s="18" t="s">
        <v>477</v>
      </c>
    </row>
    <row r="23015">
      <c r="B23015" s="17" t="s">
        <v>477</v>
      </c>
      <c r="K23015" s="18" t="s">
        <v>477</v>
      </c>
    </row>
    <row r="23016">
      <c r="B23016" s="17" t="s">
        <v>477</v>
      </c>
      <c r="K23016" s="18" t="s">
        <v>477</v>
      </c>
    </row>
    <row r="23017">
      <c r="B23017" s="17" t="s">
        <v>477</v>
      </c>
      <c r="K23017" s="18" t="s">
        <v>477</v>
      </c>
    </row>
    <row r="23018">
      <c r="B23018" s="17" t="s">
        <v>477</v>
      </c>
      <c r="K23018" s="18" t="s">
        <v>477</v>
      </c>
    </row>
    <row r="23019">
      <c r="B23019" s="17" t="s">
        <v>477</v>
      </c>
      <c r="K23019" s="18" t="s">
        <v>477</v>
      </c>
    </row>
    <row r="23020">
      <c r="B23020" s="17" t="s">
        <v>477</v>
      </c>
      <c r="K23020" s="18" t="s">
        <v>477</v>
      </c>
    </row>
    <row r="23021">
      <c r="B23021" s="17" t="s">
        <v>477</v>
      </c>
      <c r="K23021" s="18" t="s">
        <v>477</v>
      </c>
    </row>
    <row r="23022">
      <c r="B23022" s="17" t="s">
        <v>477</v>
      </c>
      <c r="K23022" s="18" t="s">
        <v>477</v>
      </c>
    </row>
    <row r="23023">
      <c r="B23023" s="17" t="s">
        <v>477</v>
      </c>
      <c r="K23023" s="18" t="s">
        <v>477</v>
      </c>
    </row>
    <row r="23024">
      <c r="B23024" s="17" t="s">
        <v>477</v>
      </c>
      <c r="K23024" s="18" t="s">
        <v>477</v>
      </c>
    </row>
    <row r="23025">
      <c r="B23025" s="17" t="s">
        <v>477</v>
      </c>
      <c r="K23025" s="18" t="s">
        <v>477</v>
      </c>
    </row>
    <row r="23026">
      <c r="B23026" s="17" t="s">
        <v>477</v>
      </c>
      <c r="K23026" s="18" t="s">
        <v>477</v>
      </c>
    </row>
    <row r="23027">
      <c r="B23027" s="17" t="s">
        <v>477</v>
      </c>
      <c r="K23027" s="18" t="s">
        <v>477</v>
      </c>
    </row>
    <row r="23028">
      <c r="B23028" s="17" t="s">
        <v>477</v>
      </c>
      <c r="K23028" s="18" t="s">
        <v>477</v>
      </c>
    </row>
    <row r="23029">
      <c r="B23029" s="17" t="s">
        <v>477</v>
      </c>
      <c r="K23029" s="18" t="s">
        <v>477</v>
      </c>
    </row>
    <row r="23030">
      <c r="B23030" s="17" t="s">
        <v>477</v>
      </c>
      <c r="K23030" s="18" t="s">
        <v>477</v>
      </c>
    </row>
    <row r="23031">
      <c r="B23031" s="17" t="s">
        <v>477</v>
      </c>
      <c r="K23031" s="18" t="s">
        <v>477</v>
      </c>
    </row>
    <row r="23032">
      <c r="B23032" s="17" t="s">
        <v>477</v>
      </c>
      <c r="K23032" s="18" t="s">
        <v>477</v>
      </c>
    </row>
    <row r="23033">
      <c r="B23033" s="17" t="s">
        <v>477</v>
      </c>
      <c r="K23033" s="18" t="s">
        <v>477</v>
      </c>
    </row>
    <row r="23034">
      <c r="B23034" s="17" t="s">
        <v>477</v>
      </c>
      <c r="K23034" s="18" t="s">
        <v>477</v>
      </c>
    </row>
    <row r="23035">
      <c r="B23035" s="17" t="s">
        <v>477</v>
      </c>
      <c r="K23035" s="18" t="s">
        <v>477</v>
      </c>
    </row>
    <row r="23036">
      <c r="B23036" s="17" t="s">
        <v>477</v>
      </c>
      <c r="K23036" s="18" t="s">
        <v>477</v>
      </c>
    </row>
    <row r="23037">
      <c r="B23037" s="17" t="s">
        <v>477</v>
      </c>
      <c r="K23037" s="18" t="s">
        <v>477</v>
      </c>
    </row>
    <row r="23038">
      <c r="B23038" s="17" t="s">
        <v>477</v>
      </c>
      <c r="K23038" s="18" t="s">
        <v>477</v>
      </c>
    </row>
    <row r="23039">
      <c r="B23039" s="17" t="s">
        <v>477</v>
      </c>
      <c r="K23039" s="18" t="s">
        <v>477</v>
      </c>
    </row>
    <row r="23040">
      <c r="B23040" s="17" t="s">
        <v>477</v>
      </c>
      <c r="K23040" s="18" t="s">
        <v>477</v>
      </c>
    </row>
    <row r="23041">
      <c r="B23041" s="17" t="s">
        <v>477</v>
      </c>
      <c r="K23041" s="18" t="s">
        <v>477</v>
      </c>
    </row>
    <row r="23042">
      <c r="B23042" s="17" t="s">
        <v>477</v>
      </c>
      <c r="K23042" s="18" t="s">
        <v>477</v>
      </c>
    </row>
    <row r="23043">
      <c r="B23043" s="17" t="s">
        <v>477</v>
      </c>
      <c r="K23043" s="18" t="s">
        <v>477</v>
      </c>
    </row>
    <row r="23044">
      <c r="B23044" s="17" t="s">
        <v>477</v>
      </c>
      <c r="K23044" s="18" t="s">
        <v>477</v>
      </c>
    </row>
    <row r="23045">
      <c r="B23045" s="17" t="s">
        <v>477</v>
      </c>
      <c r="K23045" s="18" t="s">
        <v>477</v>
      </c>
    </row>
    <row r="23046">
      <c r="B23046" s="17" t="s">
        <v>477</v>
      </c>
      <c r="K23046" s="18" t="s">
        <v>477</v>
      </c>
    </row>
    <row r="23047">
      <c r="B23047" s="17" t="s">
        <v>477</v>
      </c>
      <c r="K23047" s="18" t="s">
        <v>477</v>
      </c>
    </row>
    <row r="23048">
      <c r="B23048" s="17" t="s">
        <v>477</v>
      </c>
      <c r="K23048" s="18" t="s">
        <v>477</v>
      </c>
    </row>
    <row r="23049">
      <c r="B23049" s="17" t="s">
        <v>477</v>
      </c>
      <c r="K23049" s="18" t="s">
        <v>477</v>
      </c>
    </row>
    <row r="23050">
      <c r="B23050" s="17" t="s">
        <v>477</v>
      </c>
      <c r="K23050" s="18" t="s">
        <v>477</v>
      </c>
    </row>
    <row r="23051">
      <c r="B23051" s="17" t="s">
        <v>477</v>
      </c>
      <c r="K23051" s="18" t="s">
        <v>477</v>
      </c>
    </row>
    <row r="23052">
      <c r="B23052" s="17" t="s">
        <v>477</v>
      </c>
      <c r="K23052" s="18" t="s">
        <v>477</v>
      </c>
    </row>
    <row r="23053">
      <c r="B23053" s="17" t="s">
        <v>477</v>
      </c>
      <c r="K23053" s="18" t="s">
        <v>477</v>
      </c>
    </row>
    <row r="23054">
      <c r="B23054" s="17" t="s">
        <v>477</v>
      </c>
      <c r="K23054" s="18" t="s">
        <v>477</v>
      </c>
    </row>
    <row r="23055">
      <c r="B23055" s="17" t="s">
        <v>477</v>
      </c>
      <c r="K23055" s="18" t="s">
        <v>477</v>
      </c>
    </row>
    <row r="23056">
      <c r="B23056" s="17" t="s">
        <v>477</v>
      </c>
      <c r="K23056" s="18" t="s">
        <v>477</v>
      </c>
    </row>
    <row r="23057">
      <c r="B23057" s="17" t="s">
        <v>477</v>
      </c>
      <c r="K23057" s="18" t="s">
        <v>477</v>
      </c>
    </row>
    <row r="23058">
      <c r="B23058" s="17" t="s">
        <v>477</v>
      </c>
      <c r="K23058" s="18" t="s">
        <v>477</v>
      </c>
    </row>
    <row r="23059">
      <c r="B23059" s="17" t="s">
        <v>477</v>
      </c>
      <c r="K23059" s="18" t="s">
        <v>477</v>
      </c>
    </row>
    <row r="23060">
      <c r="B23060" s="17" t="s">
        <v>477</v>
      </c>
      <c r="K23060" s="18" t="s">
        <v>477</v>
      </c>
    </row>
    <row r="23061">
      <c r="B23061" s="17" t="s">
        <v>477</v>
      </c>
      <c r="K23061" s="18" t="s">
        <v>477</v>
      </c>
    </row>
    <row r="23062">
      <c r="B23062" s="17" t="s">
        <v>477</v>
      </c>
      <c r="K23062" s="18" t="s">
        <v>477</v>
      </c>
    </row>
    <row r="23063">
      <c r="B23063" s="17" t="s">
        <v>477</v>
      </c>
      <c r="K23063" s="18" t="s">
        <v>477</v>
      </c>
    </row>
    <row r="23064">
      <c r="B23064" s="17" t="s">
        <v>477</v>
      </c>
      <c r="K23064" s="18" t="s">
        <v>477</v>
      </c>
    </row>
    <row r="23065">
      <c r="B23065" s="17" t="s">
        <v>477</v>
      </c>
      <c r="K23065" s="18" t="s">
        <v>477</v>
      </c>
    </row>
    <row r="23066">
      <c r="B23066" s="17" t="s">
        <v>477</v>
      </c>
      <c r="K23066" s="18" t="s">
        <v>477</v>
      </c>
    </row>
    <row r="23067">
      <c r="B23067" s="17" t="s">
        <v>477</v>
      </c>
      <c r="K23067" s="18" t="s">
        <v>477</v>
      </c>
    </row>
    <row r="23068">
      <c r="B23068" s="17" t="s">
        <v>477</v>
      </c>
      <c r="K23068" s="18" t="s">
        <v>477</v>
      </c>
    </row>
    <row r="23069">
      <c r="B23069" s="17" t="s">
        <v>477</v>
      </c>
      <c r="K23069" s="18" t="s">
        <v>477</v>
      </c>
    </row>
    <row r="23070">
      <c r="B23070" s="17" t="s">
        <v>477</v>
      </c>
      <c r="K23070" s="18" t="s">
        <v>477</v>
      </c>
    </row>
    <row r="23071">
      <c r="B23071" s="17" t="s">
        <v>477</v>
      </c>
      <c r="K23071" s="18" t="s">
        <v>477</v>
      </c>
    </row>
    <row r="23072">
      <c r="B23072" s="17" t="s">
        <v>477</v>
      </c>
      <c r="K23072" s="18" t="s">
        <v>477</v>
      </c>
    </row>
    <row r="23073">
      <c r="B23073" s="17" t="s">
        <v>477</v>
      </c>
      <c r="K23073" s="18" t="s">
        <v>477</v>
      </c>
    </row>
    <row r="23074">
      <c r="B23074" s="17" t="s">
        <v>477</v>
      </c>
      <c r="K23074" s="18" t="s">
        <v>477</v>
      </c>
    </row>
    <row r="23075">
      <c r="B23075" s="17" t="s">
        <v>477</v>
      </c>
      <c r="K23075" s="18" t="s">
        <v>477</v>
      </c>
    </row>
    <row r="23076">
      <c r="B23076" s="17" t="s">
        <v>477</v>
      </c>
      <c r="K23076" s="18" t="s">
        <v>477</v>
      </c>
    </row>
    <row r="23077">
      <c r="B23077" s="17" t="s">
        <v>477</v>
      </c>
      <c r="K23077" s="18" t="s">
        <v>477</v>
      </c>
    </row>
    <row r="23078">
      <c r="B23078" s="17" t="s">
        <v>477</v>
      </c>
      <c r="K23078" s="18" t="s">
        <v>477</v>
      </c>
    </row>
    <row r="23079">
      <c r="B23079" s="17" t="s">
        <v>477</v>
      </c>
      <c r="K23079" s="18" t="s">
        <v>477</v>
      </c>
    </row>
    <row r="23080">
      <c r="B23080" s="17" t="s">
        <v>477</v>
      </c>
      <c r="K23080" s="18" t="s">
        <v>477</v>
      </c>
    </row>
    <row r="23081">
      <c r="B23081" s="17" t="s">
        <v>477</v>
      </c>
      <c r="K23081" s="18" t="s">
        <v>477</v>
      </c>
    </row>
    <row r="23082">
      <c r="B23082" s="17" t="s">
        <v>477</v>
      </c>
      <c r="K23082" s="18" t="s">
        <v>477</v>
      </c>
    </row>
    <row r="23083">
      <c r="B23083" s="17" t="s">
        <v>477</v>
      </c>
      <c r="K23083" s="18" t="s">
        <v>477</v>
      </c>
    </row>
    <row r="23084">
      <c r="B23084" s="17" t="s">
        <v>477</v>
      </c>
      <c r="K23084" s="18" t="s">
        <v>477</v>
      </c>
    </row>
    <row r="23085">
      <c r="B23085" s="17" t="s">
        <v>477</v>
      </c>
      <c r="K23085" s="18" t="s">
        <v>477</v>
      </c>
    </row>
    <row r="23086">
      <c r="B23086" s="17" t="s">
        <v>477</v>
      </c>
      <c r="K23086" s="18" t="s">
        <v>477</v>
      </c>
    </row>
    <row r="23087">
      <c r="B23087" s="17" t="s">
        <v>477</v>
      </c>
      <c r="K23087" s="18" t="s">
        <v>477</v>
      </c>
    </row>
    <row r="23088">
      <c r="B23088" s="17" t="s">
        <v>477</v>
      </c>
      <c r="K23088" s="18" t="s">
        <v>477</v>
      </c>
    </row>
    <row r="23089">
      <c r="B23089" s="17" t="s">
        <v>477</v>
      </c>
      <c r="K23089" s="18" t="s">
        <v>477</v>
      </c>
    </row>
    <row r="23090">
      <c r="B23090" s="17" t="s">
        <v>477</v>
      </c>
      <c r="K23090" s="18" t="s">
        <v>477</v>
      </c>
    </row>
    <row r="23091">
      <c r="B23091" s="17" t="s">
        <v>477</v>
      </c>
      <c r="K23091" s="18" t="s">
        <v>477</v>
      </c>
    </row>
    <row r="23092">
      <c r="B23092" s="17" t="s">
        <v>477</v>
      </c>
      <c r="K23092" s="18" t="s">
        <v>477</v>
      </c>
    </row>
    <row r="23093">
      <c r="B23093" s="17" t="s">
        <v>477</v>
      </c>
      <c r="K23093" s="18" t="s">
        <v>477</v>
      </c>
    </row>
    <row r="23094">
      <c r="B23094" s="17" t="s">
        <v>477</v>
      </c>
      <c r="K23094" s="18" t="s">
        <v>477</v>
      </c>
    </row>
    <row r="23095">
      <c r="B23095" s="17" t="s">
        <v>477</v>
      </c>
      <c r="K23095" s="18" t="s">
        <v>477</v>
      </c>
    </row>
    <row r="23096">
      <c r="B23096" s="17" t="s">
        <v>477</v>
      </c>
      <c r="K23096" s="18" t="s">
        <v>477</v>
      </c>
    </row>
    <row r="23097">
      <c r="B23097" s="17" t="s">
        <v>477</v>
      </c>
      <c r="K23097" s="18" t="s">
        <v>477</v>
      </c>
    </row>
    <row r="23098">
      <c r="B23098" s="17" t="s">
        <v>477</v>
      </c>
      <c r="K23098" s="18" t="s">
        <v>477</v>
      </c>
    </row>
    <row r="23099">
      <c r="B23099" s="17" t="s">
        <v>477</v>
      </c>
      <c r="K23099" s="18" t="s">
        <v>477</v>
      </c>
    </row>
    <row r="23100">
      <c r="B23100" s="17" t="s">
        <v>477</v>
      </c>
      <c r="K23100" s="18" t="s">
        <v>477</v>
      </c>
    </row>
    <row r="23101">
      <c r="B23101" s="17" t="s">
        <v>477</v>
      </c>
      <c r="K23101" s="18" t="s">
        <v>477</v>
      </c>
    </row>
    <row r="23102">
      <c r="B23102" s="17" t="s">
        <v>477</v>
      </c>
      <c r="K23102" s="18" t="s">
        <v>477</v>
      </c>
    </row>
    <row r="23103">
      <c r="B23103" s="17" t="s">
        <v>477</v>
      </c>
      <c r="K23103" s="18" t="s">
        <v>477</v>
      </c>
    </row>
    <row r="23104">
      <c r="B23104" s="17" t="s">
        <v>477</v>
      </c>
      <c r="K23104" s="18" t="s">
        <v>477</v>
      </c>
    </row>
    <row r="23105">
      <c r="B23105" s="17" t="s">
        <v>477</v>
      </c>
      <c r="K23105" s="18" t="s">
        <v>477</v>
      </c>
    </row>
    <row r="23106">
      <c r="B23106" s="17" t="s">
        <v>477</v>
      </c>
      <c r="K23106" s="18" t="s">
        <v>477</v>
      </c>
    </row>
    <row r="23107">
      <c r="B23107" s="17" t="s">
        <v>477</v>
      </c>
      <c r="K23107" s="18" t="s">
        <v>477</v>
      </c>
    </row>
    <row r="23108">
      <c r="B23108" s="17" t="s">
        <v>477</v>
      </c>
      <c r="K23108" s="18" t="s">
        <v>477</v>
      </c>
    </row>
    <row r="23109">
      <c r="B23109" s="17" t="s">
        <v>477</v>
      </c>
      <c r="K23109" s="18" t="s">
        <v>477</v>
      </c>
    </row>
    <row r="23110">
      <c r="B23110" s="17" t="s">
        <v>477</v>
      </c>
      <c r="K23110" s="18" t="s">
        <v>477</v>
      </c>
    </row>
    <row r="23111">
      <c r="B23111" s="17" t="s">
        <v>477</v>
      </c>
      <c r="K23111" s="18" t="s">
        <v>477</v>
      </c>
    </row>
    <row r="23112">
      <c r="B23112" s="17" t="s">
        <v>477</v>
      </c>
      <c r="K23112" s="18" t="s">
        <v>477</v>
      </c>
    </row>
    <row r="23113">
      <c r="B23113" s="17" t="s">
        <v>477</v>
      </c>
      <c r="K23113" s="18" t="s">
        <v>477</v>
      </c>
    </row>
    <row r="23114">
      <c r="B23114" s="17" t="s">
        <v>477</v>
      </c>
      <c r="K23114" s="18" t="s">
        <v>477</v>
      </c>
    </row>
    <row r="23115">
      <c r="B23115" s="17" t="s">
        <v>477</v>
      </c>
      <c r="K23115" s="18" t="s">
        <v>477</v>
      </c>
    </row>
    <row r="23116">
      <c r="B23116" s="17" t="s">
        <v>477</v>
      </c>
      <c r="K23116" s="18" t="s">
        <v>477</v>
      </c>
    </row>
    <row r="23117">
      <c r="B23117" s="17" t="s">
        <v>477</v>
      </c>
      <c r="K23117" s="18" t="s">
        <v>477</v>
      </c>
    </row>
    <row r="23118">
      <c r="B23118" s="17" t="s">
        <v>477</v>
      </c>
      <c r="K23118" s="18" t="s">
        <v>477</v>
      </c>
    </row>
    <row r="23119">
      <c r="B23119" s="17" t="s">
        <v>477</v>
      </c>
      <c r="K23119" s="18" t="s">
        <v>477</v>
      </c>
    </row>
    <row r="23120">
      <c r="B23120" s="17" t="s">
        <v>477</v>
      </c>
      <c r="K23120" s="18" t="s">
        <v>477</v>
      </c>
    </row>
    <row r="23121">
      <c r="B23121" s="17" t="s">
        <v>477</v>
      </c>
      <c r="K23121" s="18" t="s">
        <v>477</v>
      </c>
    </row>
    <row r="23122">
      <c r="B23122" s="17" t="s">
        <v>477</v>
      </c>
      <c r="K23122" s="18" t="s">
        <v>477</v>
      </c>
    </row>
    <row r="23123">
      <c r="B23123" s="17" t="s">
        <v>477</v>
      </c>
      <c r="K23123" s="18" t="s">
        <v>477</v>
      </c>
    </row>
    <row r="23124">
      <c r="B23124" s="17" t="s">
        <v>477</v>
      </c>
      <c r="K23124" s="18" t="s">
        <v>477</v>
      </c>
    </row>
    <row r="23125">
      <c r="B23125" s="17" t="s">
        <v>477</v>
      </c>
      <c r="K23125" s="18" t="s">
        <v>477</v>
      </c>
    </row>
    <row r="23126">
      <c r="B23126" s="17" t="s">
        <v>477</v>
      </c>
      <c r="K23126" s="18" t="s">
        <v>477</v>
      </c>
    </row>
    <row r="23127">
      <c r="B23127" s="17" t="s">
        <v>477</v>
      </c>
      <c r="K23127" s="18" t="s">
        <v>477</v>
      </c>
    </row>
    <row r="23128">
      <c r="B23128" s="17" t="s">
        <v>477</v>
      </c>
      <c r="K23128" s="18" t="s">
        <v>477</v>
      </c>
    </row>
    <row r="23129">
      <c r="B23129" s="17" t="s">
        <v>477</v>
      </c>
      <c r="K23129" s="18" t="s">
        <v>477</v>
      </c>
    </row>
    <row r="23130">
      <c r="B23130" s="17" t="s">
        <v>477</v>
      </c>
      <c r="K23130" s="18" t="s">
        <v>477</v>
      </c>
    </row>
    <row r="23131">
      <c r="B23131" s="17" t="s">
        <v>477</v>
      </c>
      <c r="K23131" s="18" t="s">
        <v>477</v>
      </c>
    </row>
    <row r="23132">
      <c r="B23132" s="17" t="s">
        <v>477</v>
      </c>
      <c r="K23132" s="18" t="s">
        <v>477</v>
      </c>
    </row>
    <row r="23133">
      <c r="B23133" s="17" t="s">
        <v>477</v>
      </c>
      <c r="K23133" s="18" t="s">
        <v>477</v>
      </c>
    </row>
    <row r="23134">
      <c r="B23134" s="17" t="s">
        <v>477</v>
      </c>
      <c r="K23134" s="18" t="s">
        <v>477</v>
      </c>
    </row>
    <row r="23135">
      <c r="B23135" s="17" t="s">
        <v>477</v>
      </c>
      <c r="K23135" s="18" t="s">
        <v>477</v>
      </c>
    </row>
    <row r="23136">
      <c r="B23136" s="17" t="s">
        <v>477</v>
      </c>
      <c r="K23136" s="18" t="s">
        <v>477</v>
      </c>
    </row>
    <row r="23137">
      <c r="B23137" s="17" t="s">
        <v>477</v>
      </c>
      <c r="K23137" s="18" t="s">
        <v>477</v>
      </c>
    </row>
    <row r="23138">
      <c r="B23138" s="17" t="s">
        <v>477</v>
      </c>
      <c r="K23138" s="18" t="s">
        <v>477</v>
      </c>
    </row>
    <row r="23139">
      <c r="B23139" s="17" t="s">
        <v>477</v>
      </c>
      <c r="K23139" s="18" t="s">
        <v>477</v>
      </c>
    </row>
    <row r="23140">
      <c r="B23140" s="17" t="s">
        <v>477</v>
      </c>
      <c r="K23140" s="18" t="s">
        <v>477</v>
      </c>
    </row>
    <row r="23141">
      <c r="B23141" s="17" t="s">
        <v>477</v>
      </c>
      <c r="K23141" s="18" t="s">
        <v>477</v>
      </c>
    </row>
    <row r="23142">
      <c r="B23142" s="17" t="s">
        <v>477</v>
      </c>
      <c r="K23142" s="18" t="s">
        <v>477</v>
      </c>
    </row>
    <row r="23143">
      <c r="B23143" s="17" t="s">
        <v>477</v>
      </c>
      <c r="K23143" s="18" t="s">
        <v>477</v>
      </c>
    </row>
    <row r="23144">
      <c r="B23144" s="17" t="s">
        <v>477</v>
      </c>
      <c r="K23144" s="18" t="s">
        <v>477</v>
      </c>
    </row>
    <row r="23145">
      <c r="B23145" s="17" t="s">
        <v>477</v>
      </c>
      <c r="K23145" s="18" t="s">
        <v>477</v>
      </c>
    </row>
    <row r="23146">
      <c r="B23146" s="17" t="s">
        <v>477</v>
      </c>
      <c r="K23146" s="18" t="s">
        <v>477</v>
      </c>
    </row>
    <row r="23147">
      <c r="B23147" s="17" t="s">
        <v>477</v>
      </c>
      <c r="K23147" s="18" t="s">
        <v>477</v>
      </c>
    </row>
    <row r="23148">
      <c r="B23148" s="17" t="s">
        <v>477</v>
      </c>
      <c r="K23148" s="18" t="s">
        <v>477</v>
      </c>
    </row>
    <row r="23149">
      <c r="B23149" s="17" t="s">
        <v>477</v>
      </c>
      <c r="K23149" s="18" t="s">
        <v>477</v>
      </c>
    </row>
    <row r="23150">
      <c r="B23150" s="17" t="s">
        <v>477</v>
      </c>
      <c r="K23150" s="18" t="s">
        <v>477</v>
      </c>
    </row>
    <row r="23151">
      <c r="B23151" s="17" t="s">
        <v>477</v>
      </c>
      <c r="K23151" s="18" t="s">
        <v>477</v>
      </c>
    </row>
    <row r="23152">
      <c r="B23152" s="17" t="s">
        <v>477</v>
      </c>
      <c r="K23152" s="18" t="s">
        <v>477</v>
      </c>
    </row>
    <row r="23153">
      <c r="B23153" s="17" t="s">
        <v>477</v>
      </c>
      <c r="K23153" s="18" t="s">
        <v>477</v>
      </c>
    </row>
    <row r="23154">
      <c r="B23154" s="17" t="s">
        <v>477</v>
      </c>
      <c r="K23154" s="18" t="s">
        <v>477</v>
      </c>
    </row>
    <row r="23155">
      <c r="B23155" s="17" t="s">
        <v>477</v>
      </c>
      <c r="K23155" s="18" t="s">
        <v>477</v>
      </c>
    </row>
    <row r="23156">
      <c r="B23156" s="17" t="s">
        <v>477</v>
      </c>
      <c r="K23156" s="18" t="s">
        <v>477</v>
      </c>
    </row>
    <row r="23157">
      <c r="B23157" s="17" t="s">
        <v>477</v>
      </c>
      <c r="K23157" s="18" t="s">
        <v>477</v>
      </c>
    </row>
    <row r="23158">
      <c r="B23158" s="17" t="s">
        <v>477</v>
      </c>
      <c r="K23158" s="18" t="s">
        <v>477</v>
      </c>
    </row>
    <row r="23159">
      <c r="B23159" s="17" t="s">
        <v>477</v>
      </c>
      <c r="K23159" s="18" t="s">
        <v>477</v>
      </c>
    </row>
    <row r="23160">
      <c r="B23160" s="17" t="s">
        <v>477</v>
      </c>
      <c r="K23160" s="18" t="s">
        <v>477</v>
      </c>
    </row>
    <row r="23161">
      <c r="B23161" s="17" t="s">
        <v>477</v>
      </c>
      <c r="K23161" s="18" t="s">
        <v>477</v>
      </c>
    </row>
    <row r="23162">
      <c r="B23162" s="17" t="s">
        <v>477</v>
      </c>
      <c r="K23162" s="18" t="s">
        <v>477</v>
      </c>
    </row>
    <row r="23163">
      <c r="B23163" s="17" t="s">
        <v>477</v>
      </c>
      <c r="K23163" s="18" t="s">
        <v>477</v>
      </c>
    </row>
    <row r="23164">
      <c r="B23164" s="17" t="s">
        <v>477</v>
      </c>
      <c r="K23164" s="18" t="s">
        <v>477</v>
      </c>
    </row>
    <row r="23165">
      <c r="B23165" s="17" t="s">
        <v>477</v>
      </c>
      <c r="K23165" s="18" t="s">
        <v>477</v>
      </c>
    </row>
    <row r="23166">
      <c r="B23166" s="17" t="s">
        <v>477</v>
      </c>
      <c r="K23166" s="18" t="s">
        <v>477</v>
      </c>
    </row>
    <row r="23167">
      <c r="B23167" s="17" t="s">
        <v>477</v>
      </c>
      <c r="K23167" s="18" t="s">
        <v>477</v>
      </c>
    </row>
    <row r="23168">
      <c r="B23168" s="17" t="s">
        <v>477</v>
      </c>
      <c r="K23168" s="18" t="s">
        <v>477</v>
      </c>
    </row>
    <row r="23169">
      <c r="B23169" s="17" t="s">
        <v>477</v>
      </c>
      <c r="K23169" s="18" t="s">
        <v>477</v>
      </c>
    </row>
    <row r="23170">
      <c r="B23170" s="17" t="s">
        <v>477</v>
      </c>
      <c r="K23170" s="18" t="s">
        <v>477</v>
      </c>
    </row>
    <row r="23171">
      <c r="B23171" s="17" t="s">
        <v>477</v>
      </c>
      <c r="K23171" s="18" t="s">
        <v>477</v>
      </c>
    </row>
    <row r="23172">
      <c r="B23172" s="17" t="s">
        <v>477</v>
      </c>
      <c r="K23172" s="18" t="s">
        <v>477</v>
      </c>
    </row>
    <row r="23173">
      <c r="B23173" s="17" t="s">
        <v>477</v>
      </c>
      <c r="K23173" s="18" t="s">
        <v>477</v>
      </c>
    </row>
    <row r="23174">
      <c r="B23174" s="17" t="s">
        <v>477</v>
      </c>
      <c r="K23174" s="18" t="s">
        <v>477</v>
      </c>
    </row>
    <row r="23175">
      <c r="B23175" s="17" t="s">
        <v>477</v>
      </c>
      <c r="K23175" s="18" t="s">
        <v>477</v>
      </c>
    </row>
    <row r="23176">
      <c r="B23176" s="17" t="s">
        <v>477</v>
      </c>
      <c r="K23176" s="18" t="s">
        <v>477</v>
      </c>
    </row>
    <row r="23177">
      <c r="B23177" s="17" t="s">
        <v>477</v>
      </c>
      <c r="K23177" s="18" t="s">
        <v>477</v>
      </c>
    </row>
    <row r="23178">
      <c r="B23178" s="17" t="s">
        <v>477</v>
      </c>
      <c r="K23178" s="18" t="s">
        <v>477</v>
      </c>
    </row>
    <row r="23179">
      <c r="B23179" s="17" t="s">
        <v>477</v>
      </c>
      <c r="K23179" s="18" t="s">
        <v>477</v>
      </c>
    </row>
    <row r="23180">
      <c r="B23180" s="17" t="s">
        <v>477</v>
      </c>
      <c r="K23180" s="18" t="s">
        <v>477</v>
      </c>
    </row>
    <row r="23181">
      <c r="B23181" s="17" t="s">
        <v>477</v>
      </c>
      <c r="K23181" s="18" t="s">
        <v>477</v>
      </c>
    </row>
    <row r="23182">
      <c r="B23182" s="17" t="s">
        <v>477</v>
      </c>
      <c r="K23182" s="18" t="s">
        <v>477</v>
      </c>
    </row>
    <row r="23183">
      <c r="B23183" s="17" t="s">
        <v>477</v>
      </c>
      <c r="K23183" s="18" t="s">
        <v>477</v>
      </c>
    </row>
    <row r="23184">
      <c r="B23184" s="17" t="s">
        <v>477</v>
      </c>
      <c r="K23184" s="18" t="s">
        <v>477</v>
      </c>
    </row>
    <row r="23185">
      <c r="B23185" s="17" t="s">
        <v>477</v>
      </c>
      <c r="K23185" s="18" t="s">
        <v>477</v>
      </c>
    </row>
    <row r="23186">
      <c r="B23186" s="17" t="s">
        <v>477</v>
      </c>
      <c r="K23186" s="18" t="s">
        <v>477</v>
      </c>
    </row>
    <row r="23187">
      <c r="B23187" s="17" t="s">
        <v>477</v>
      </c>
      <c r="K23187" s="18" t="s">
        <v>477</v>
      </c>
    </row>
    <row r="23188">
      <c r="B23188" s="17" t="s">
        <v>477</v>
      </c>
      <c r="K23188" s="18" t="s">
        <v>477</v>
      </c>
    </row>
    <row r="23189">
      <c r="B23189" s="17" t="s">
        <v>477</v>
      </c>
      <c r="K23189" s="18" t="s">
        <v>477</v>
      </c>
    </row>
    <row r="23190">
      <c r="B23190" s="17" t="s">
        <v>477</v>
      </c>
      <c r="K23190" s="18" t="s">
        <v>477</v>
      </c>
    </row>
    <row r="23191">
      <c r="B23191" s="17" t="s">
        <v>477</v>
      </c>
      <c r="K23191" s="18" t="s">
        <v>477</v>
      </c>
    </row>
    <row r="23192">
      <c r="B23192" s="17" t="s">
        <v>477</v>
      </c>
      <c r="K23192" s="18" t="s">
        <v>477</v>
      </c>
    </row>
    <row r="23193">
      <c r="B23193" s="17" t="s">
        <v>477</v>
      </c>
      <c r="K23193" s="18" t="s">
        <v>477</v>
      </c>
    </row>
    <row r="23194">
      <c r="B23194" s="17" t="s">
        <v>477</v>
      </c>
      <c r="K23194" s="18" t="s">
        <v>477</v>
      </c>
    </row>
    <row r="23195">
      <c r="B23195" s="17" t="s">
        <v>477</v>
      </c>
      <c r="K23195" s="18" t="s">
        <v>477</v>
      </c>
    </row>
    <row r="23196">
      <c r="B23196" s="17" t="s">
        <v>477</v>
      </c>
      <c r="K23196" s="18" t="s">
        <v>477</v>
      </c>
    </row>
    <row r="23197">
      <c r="B23197" s="17" t="s">
        <v>477</v>
      </c>
      <c r="K23197" s="18" t="s">
        <v>477</v>
      </c>
    </row>
    <row r="23198">
      <c r="B23198" s="17" t="s">
        <v>477</v>
      </c>
      <c r="K23198" s="18" t="s">
        <v>477</v>
      </c>
    </row>
    <row r="23199">
      <c r="B23199" s="17" t="s">
        <v>477</v>
      </c>
      <c r="K23199" s="18" t="s">
        <v>477</v>
      </c>
    </row>
    <row r="23200">
      <c r="B23200" s="17" t="s">
        <v>477</v>
      </c>
      <c r="K23200" s="18" t="s">
        <v>477</v>
      </c>
    </row>
    <row r="23201">
      <c r="B23201" s="17" t="s">
        <v>477</v>
      </c>
      <c r="K23201" s="18" t="s">
        <v>477</v>
      </c>
    </row>
    <row r="23202">
      <c r="B23202" s="17" t="s">
        <v>477</v>
      </c>
      <c r="K23202" s="18" t="s">
        <v>477</v>
      </c>
    </row>
    <row r="23203">
      <c r="B23203" s="17" t="s">
        <v>477</v>
      </c>
      <c r="K23203" s="18" t="s">
        <v>477</v>
      </c>
    </row>
    <row r="23204">
      <c r="B23204" s="17" t="s">
        <v>477</v>
      </c>
      <c r="K23204" s="18" t="s">
        <v>477</v>
      </c>
    </row>
    <row r="23205">
      <c r="B23205" s="17" t="s">
        <v>477</v>
      </c>
      <c r="K23205" s="18" t="s">
        <v>477</v>
      </c>
    </row>
    <row r="23206">
      <c r="B23206" s="17" t="s">
        <v>477</v>
      </c>
      <c r="K23206" s="18" t="s">
        <v>477</v>
      </c>
    </row>
    <row r="23207">
      <c r="B23207" s="17" t="s">
        <v>477</v>
      </c>
      <c r="K23207" s="18" t="s">
        <v>477</v>
      </c>
    </row>
    <row r="23208">
      <c r="B23208" s="17" t="s">
        <v>477</v>
      </c>
      <c r="K23208" s="18" t="s">
        <v>477</v>
      </c>
    </row>
    <row r="23209">
      <c r="B23209" s="17" t="s">
        <v>477</v>
      </c>
      <c r="K23209" s="18" t="s">
        <v>477</v>
      </c>
    </row>
    <row r="23210">
      <c r="B23210" s="17" t="s">
        <v>477</v>
      </c>
      <c r="K23210" s="18" t="s">
        <v>477</v>
      </c>
    </row>
    <row r="23211">
      <c r="B23211" s="17" t="s">
        <v>477</v>
      </c>
      <c r="K23211" s="18" t="s">
        <v>477</v>
      </c>
    </row>
    <row r="23212">
      <c r="B23212" s="17" t="s">
        <v>477</v>
      </c>
      <c r="K23212" s="18" t="s">
        <v>477</v>
      </c>
    </row>
    <row r="23213">
      <c r="B23213" s="17" t="s">
        <v>477</v>
      </c>
      <c r="K23213" s="18" t="s">
        <v>477</v>
      </c>
    </row>
    <row r="23214">
      <c r="B23214" s="17" t="s">
        <v>477</v>
      </c>
      <c r="K23214" s="18" t="s">
        <v>477</v>
      </c>
    </row>
    <row r="23215">
      <c r="B23215" s="17" t="s">
        <v>477</v>
      </c>
      <c r="K23215" s="18" t="s">
        <v>477</v>
      </c>
    </row>
    <row r="23216">
      <c r="B23216" s="17" t="s">
        <v>477</v>
      </c>
      <c r="K23216" s="18" t="s">
        <v>477</v>
      </c>
    </row>
    <row r="23217">
      <c r="B23217" s="17" t="s">
        <v>477</v>
      </c>
      <c r="K23217" s="18" t="s">
        <v>477</v>
      </c>
    </row>
    <row r="23218">
      <c r="B23218" s="17" t="s">
        <v>477</v>
      </c>
      <c r="K23218" s="18" t="s">
        <v>477</v>
      </c>
    </row>
    <row r="23219">
      <c r="B23219" s="17" t="s">
        <v>477</v>
      </c>
      <c r="K23219" s="18" t="s">
        <v>477</v>
      </c>
    </row>
    <row r="23220">
      <c r="B23220" s="17" t="s">
        <v>477</v>
      </c>
      <c r="K23220" s="18" t="s">
        <v>477</v>
      </c>
    </row>
    <row r="23221">
      <c r="B23221" s="17" t="s">
        <v>477</v>
      </c>
      <c r="K23221" s="18" t="s">
        <v>477</v>
      </c>
    </row>
    <row r="23222">
      <c r="B23222" s="17" t="s">
        <v>477</v>
      </c>
      <c r="K23222" s="18" t="s">
        <v>477</v>
      </c>
    </row>
    <row r="23223">
      <c r="B23223" s="17" t="s">
        <v>477</v>
      </c>
      <c r="K23223" s="18" t="s">
        <v>477</v>
      </c>
    </row>
    <row r="23224">
      <c r="B23224" s="17" t="s">
        <v>477</v>
      </c>
      <c r="K23224" s="18" t="s">
        <v>477</v>
      </c>
    </row>
    <row r="23225">
      <c r="B23225" s="17" t="s">
        <v>477</v>
      </c>
      <c r="K23225" s="18" t="s">
        <v>477</v>
      </c>
    </row>
    <row r="23226">
      <c r="B23226" s="17" t="s">
        <v>477</v>
      </c>
      <c r="K23226" s="18" t="s">
        <v>477</v>
      </c>
    </row>
    <row r="23227">
      <c r="B23227" s="17" t="s">
        <v>477</v>
      </c>
      <c r="K23227" s="18" t="s">
        <v>477</v>
      </c>
    </row>
    <row r="23228">
      <c r="B23228" s="17" t="s">
        <v>477</v>
      </c>
      <c r="K23228" s="18" t="s">
        <v>477</v>
      </c>
    </row>
    <row r="23229">
      <c r="B23229" s="17" t="s">
        <v>477</v>
      </c>
      <c r="K23229" s="18" t="s">
        <v>477</v>
      </c>
    </row>
    <row r="23230">
      <c r="B23230" s="17" t="s">
        <v>477</v>
      </c>
      <c r="K23230" s="18" t="s">
        <v>477</v>
      </c>
    </row>
    <row r="23231">
      <c r="B23231" s="17" t="s">
        <v>477</v>
      </c>
      <c r="K23231" s="18" t="s">
        <v>477</v>
      </c>
    </row>
    <row r="23232">
      <c r="B23232" s="17" t="s">
        <v>477</v>
      </c>
      <c r="K23232" s="18" t="s">
        <v>477</v>
      </c>
    </row>
    <row r="23233">
      <c r="B23233" s="17" t="s">
        <v>477</v>
      </c>
      <c r="K23233" s="18" t="s">
        <v>477</v>
      </c>
    </row>
    <row r="23234">
      <c r="B23234" s="17" t="s">
        <v>477</v>
      </c>
      <c r="K23234" s="18" t="s">
        <v>477</v>
      </c>
    </row>
    <row r="23235">
      <c r="B23235" s="17" t="s">
        <v>477</v>
      </c>
      <c r="K23235" s="18" t="s">
        <v>477</v>
      </c>
    </row>
    <row r="23236">
      <c r="B23236" s="17" t="s">
        <v>477</v>
      </c>
      <c r="K23236" s="18" t="s">
        <v>477</v>
      </c>
    </row>
    <row r="23237">
      <c r="B23237" s="17" t="s">
        <v>477</v>
      </c>
      <c r="K23237" s="18" t="s">
        <v>477</v>
      </c>
    </row>
    <row r="23238">
      <c r="B23238" s="17" t="s">
        <v>477</v>
      </c>
      <c r="K23238" s="18" t="s">
        <v>477</v>
      </c>
    </row>
    <row r="23239">
      <c r="B23239" s="17" t="s">
        <v>477</v>
      </c>
      <c r="K23239" s="18" t="s">
        <v>477</v>
      </c>
    </row>
    <row r="23240">
      <c r="B23240" s="17" t="s">
        <v>477</v>
      </c>
      <c r="K23240" s="18" t="s">
        <v>477</v>
      </c>
    </row>
    <row r="23241">
      <c r="B23241" s="17" t="s">
        <v>477</v>
      </c>
      <c r="K23241" s="18" t="s">
        <v>477</v>
      </c>
    </row>
    <row r="23242">
      <c r="B23242" s="17" t="s">
        <v>477</v>
      </c>
      <c r="K23242" s="18" t="s">
        <v>477</v>
      </c>
    </row>
    <row r="23243">
      <c r="B23243" s="17" t="s">
        <v>477</v>
      </c>
      <c r="K23243" s="18" t="s">
        <v>477</v>
      </c>
    </row>
    <row r="23244">
      <c r="B23244" s="17" t="s">
        <v>477</v>
      </c>
      <c r="K23244" s="18" t="s">
        <v>477</v>
      </c>
    </row>
    <row r="23245">
      <c r="B23245" s="17" t="s">
        <v>477</v>
      </c>
      <c r="K23245" s="18" t="s">
        <v>477</v>
      </c>
    </row>
    <row r="23246">
      <c r="B23246" s="17" t="s">
        <v>477</v>
      </c>
      <c r="K23246" s="18" t="s">
        <v>477</v>
      </c>
    </row>
    <row r="23247">
      <c r="B23247" s="17" t="s">
        <v>477</v>
      </c>
      <c r="K23247" s="18" t="s">
        <v>477</v>
      </c>
    </row>
    <row r="23248">
      <c r="B23248" s="17" t="s">
        <v>477</v>
      </c>
      <c r="K23248" s="18" t="s">
        <v>477</v>
      </c>
    </row>
    <row r="23249">
      <c r="B23249" s="17" t="s">
        <v>477</v>
      </c>
      <c r="K23249" s="18" t="s">
        <v>477</v>
      </c>
    </row>
    <row r="23250">
      <c r="B23250" s="17" t="s">
        <v>477</v>
      </c>
      <c r="K23250" s="18" t="s">
        <v>477</v>
      </c>
    </row>
    <row r="23251">
      <c r="B23251" s="17" t="s">
        <v>477</v>
      </c>
      <c r="K23251" s="18" t="s">
        <v>477</v>
      </c>
    </row>
    <row r="23252">
      <c r="B23252" s="17" t="s">
        <v>477</v>
      </c>
      <c r="K23252" s="18" t="s">
        <v>477</v>
      </c>
    </row>
    <row r="23253">
      <c r="B23253" s="17" t="s">
        <v>477</v>
      </c>
      <c r="K23253" s="18" t="s">
        <v>477</v>
      </c>
    </row>
    <row r="23254">
      <c r="B23254" s="17" t="s">
        <v>477</v>
      </c>
      <c r="K23254" s="18" t="s">
        <v>477</v>
      </c>
    </row>
    <row r="23255">
      <c r="B23255" s="17" t="s">
        <v>477</v>
      </c>
      <c r="K23255" s="18" t="s">
        <v>477</v>
      </c>
    </row>
    <row r="23256">
      <c r="B23256" s="17" t="s">
        <v>477</v>
      </c>
      <c r="K23256" s="18" t="s">
        <v>477</v>
      </c>
    </row>
    <row r="23257">
      <c r="B23257" s="17" t="s">
        <v>477</v>
      </c>
      <c r="K23257" s="18" t="s">
        <v>477</v>
      </c>
    </row>
    <row r="23258">
      <c r="B23258" s="17" t="s">
        <v>477</v>
      </c>
      <c r="K23258" s="18" t="s">
        <v>477</v>
      </c>
    </row>
    <row r="23259">
      <c r="B23259" s="17" t="s">
        <v>477</v>
      </c>
      <c r="K23259" s="18" t="s">
        <v>477</v>
      </c>
    </row>
    <row r="23260">
      <c r="B23260" s="17" t="s">
        <v>477</v>
      </c>
      <c r="K23260" s="18" t="s">
        <v>477</v>
      </c>
    </row>
    <row r="23261">
      <c r="B23261" s="17" t="s">
        <v>477</v>
      </c>
      <c r="K23261" s="18" t="s">
        <v>477</v>
      </c>
    </row>
    <row r="23262">
      <c r="B23262" s="17" t="s">
        <v>477</v>
      </c>
      <c r="K23262" s="18" t="s">
        <v>477</v>
      </c>
    </row>
    <row r="23263">
      <c r="B23263" s="17" t="s">
        <v>477</v>
      </c>
      <c r="K23263" s="18" t="s">
        <v>477</v>
      </c>
    </row>
    <row r="23264">
      <c r="B23264" s="17" t="s">
        <v>477</v>
      </c>
      <c r="K23264" s="18" t="s">
        <v>477</v>
      </c>
    </row>
    <row r="23265">
      <c r="B23265" s="17" t="s">
        <v>477</v>
      </c>
      <c r="K23265" s="18" t="s">
        <v>477</v>
      </c>
    </row>
    <row r="23266">
      <c r="B23266" s="17" t="s">
        <v>477</v>
      </c>
      <c r="K23266" s="18" t="s">
        <v>477</v>
      </c>
    </row>
    <row r="23267">
      <c r="B23267" s="17" t="s">
        <v>477</v>
      </c>
      <c r="K23267" s="18" t="s">
        <v>477</v>
      </c>
    </row>
    <row r="23268">
      <c r="B23268" s="17" t="s">
        <v>477</v>
      </c>
      <c r="K23268" s="18" t="s">
        <v>477</v>
      </c>
    </row>
    <row r="23269">
      <c r="B23269" s="17" t="s">
        <v>477</v>
      </c>
      <c r="K23269" s="18" t="s">
        <v>477</v>
      </c>
    </row>
    <row r="23270">
      <c r="B23270" s="17" t="s">
        <v>477</v>
      </c>
      <c r="K23270" s="18" t="s">
        <v>477</v>
      </c>
    </row>
    <row r="23271">
      <c r="B23271" s="17" t="s">
        <v>477</v>
      </c>
      <c r="K23271" s="18" t="s">
        <v>477</v>
      </c>
    </row>
    <row r="23272">
      <c r="B23272" s="17" t="s">
        <v>477</v>
      </c>
      <c r="K23272" s="18" t="s">
        <v>477</v>
      </c>
    </row>
    <row r="23273">
      <c r="B23273" s="17" t="s">
        <v>477</v>
      </c>
      <c r="K23273" s="18" t="s">
        <v>477</v>
      </c>
    </row>
    <row r="23274">
      <c r="B23274" s="17" t="s">
        <v>477</v>
      </c>
      <c r="K23274" s="18" t="s">
        <v>477</v>
      </c>
    </row>
    <row r="23275">
      <c r="B23275" s="17" t="s">
        <v>477</v>
      </c>
      <c r="K23275" s="18" t="s">
        <v>477</v>
      </c>
    </row>
    <row r="23276">
      <c r="B23276" s="17" t="s">
        <v>477</v>
      </c>
      <c r="K23276" s="18" t="s">
        <v>477</v>
      </c>
    </row>
    <row r="23277">
      <c r="B23277" s="17" t="s">
        <v>477</v>
      </c>
      <c r="K23277" s="18" t="s">
        <v>477</v>
      </c>
    </row>
    <row r="23278">
      <c r="B23278" s="17" t="s">
        <v>477</v>
      </c>
      <c r="K23278" s="18" t="s">
        <v>477</v>
      </c>
    </row>
    <row r="23279">
      <c r="B23279" s="17" t="s">
        <v>477</v>
      </c>
      <c r="K23279" s="18" t="s">
        <v>477</v>
      </c>
    </row>
    <row r="23280">
      <c r="B23280" s="17" t="s">
        <v>477</v>
      </c>
      <c r="K23280" s="18" t="s">
        <v>477</v>
      </c>
    </row>
    <row r="23281">
      <c r="B23281" s="17" t="s">
        <v>477</v>
      </c>
      <c r="K23281" s="18" t="s">
        <v>477</v>
      </c>
    </row>
    <row r="23282">
      <c r="B23282" s="17" t="s">
        <v>477</v>
      </c>
      <c r="K23282" s="18" t="s">
        <v>477</v>
      </c>
    </row>
    <row r="23283">
      <c r="B23283" s="17" t="s">
        <v>477</v>
      </c>
      <c r="K23283" s="18" t="s">
        <v>477</v>
      </c>
    </row>
    <row r="23284">
      <c r="B23284" s="17" t="s">
        <v>477</v>
      </c>
      <c r="K23284" s="18" t="s">
        <v>477</v>
      </c>
    </row>
    <row r="23285">
      <c r="B23285" s="17" t="s">
        <v>477</v>
      </c>
      <c r="K23285" s="18" t="s">
        <v>477</v>
      </c>
    </row>
    <row r="23286">
      <c r="B23286" s="17" t="s">
        <v>477</v>
      </c>
      <c r="K23286" s="18" t="s">
        <v>477</v>
      </c>
    </row>
    <row r="23287">
      <c r="B23287" s="17" t="s">
        <v>477</v>
      </c>
      <c r="K23287" s="18" t="s">
        <v>477</v>
      </c>
    </row>
    <row r="23288">
      <c r="B23288" s="17" t="s">
        <v>477</v>
      </c>
      <c r="K23288" s="18" t="s">
        <v>477</v>
      </c>
    </row>
    <row r="23289">
      <c r="B23289" s="17" t="s">
        <v>477</v>
      </c>
      <c r="K23289" s="18" t="s">
        <v>477</v>
      </c>
    </row>
    <row r="23290">
      <c r="B23290" s="17" t="s">
        <v>477</v>
      </c>
      <c r="K23290" s="18" t="s">
        <v>477</v>
      </c>
    </row>
    <row r="23291">
      <c r="B23291" s="17" t="s">
        <v>477</v>
      </c>
      <c r="K23291" s="18" t="s">
        <v>477</v>
      </c>
    </row>
    <row r="23292">
      <c r="B23292" s="17" t="s">
        <v>477</v>
      </c>
      <c r="K23292" s="18" t="s">
        <v>477</v>
      </c>
    </row>
    <row r="23293">
      <c r="B23293" s="17" t="s">
        <v>477</v>
      </c>
      <c r="K23293" s="18" t="s">
        <v>477</v>
      </c>
    </row>
    <row r="23294">
      <c r="B23294" s="17" t="s">
        <v>477</v>
      </c>
      <c r="K23294" s="18" t="s">
        <v>477</v>
      </c>
    </row>
    <row r="23295">
      <c r="B23295" s="17" t="s">
        <v>477</v>
      </c>
      <c r="K23295" s="18" t="s">
        <v>477</v>
      </c>
    </row>
    <row r="23296">
      <c r="B23296" s="17" t="s">
        <v>477</v>
      </c>
      <c r="K23296" s="18" t="s">
        <v>477</v>
      </c>
    </row>
    <row r="23297">
      <c r="B23297" s="17" t="s">
        <v>477</v>
      </c>
      <c r="K23297" s="18" t="s">
        <v>477</v>
      </c>
    </row>
    <row r="23298">
      <c r="B23298" s="17" t="s">
        <v>477</v>
      </c>
      <c r="K23298" s="18" t="s">
        <v>477</v>
      </c>
    </row>
    <row r="23299">
      <c r="B23299" s="17" t="s">
        <v>477</v>
      </c>
      <c r="K23299" s="18" t="s">
        <v>477</v>
      </c>
    </row>
    <row r="23300">
      <c r="B23300" s="17" t="s">
        <v>477</v>
      </c>
      <c r="K23300" s="18" t="s">
        <v>477</v>
      </c>
    </row>
    <row r="23301">
      <c r="B23301" s="17" t="s">
        <v>477</v>
      </c>
      <c r="K23301" s="18" t="s">
        <v>477</v>
      </c>
    </row>
    <row r="23302">
      <c r="B23302" s="17" t="s">
        <v>477</v>
      </c>
      <c r="K23302" s="18" t="s">
        <v>477</v>
      </c>
    </row>
    <row r="23303">
      <c r="B23303" s="17" t="s">
        <v>477</v>
      </c>
      <c r="K23303" s="18" t="s">
        <v>477</v>
      </c>
    </row>
    <row r="23304">
      <c r="B23304" s="17" t="s">
        <v>477</v>
      </c>
      <c r="K23304" s="18" t="s">
        <v>477</v>
      </c>
    </row>
    <row r="23305">
      <c r="B23305" s="17" t="s">
        <v>477</v>
      </c>
      <c r="K23305" s="18" t="s">
        <v>477</v>
      </c>
    </row>
    <row r="23306">
      <c r="B23306" s="17" t="s">
        <v>477</v>
      </c>
      <c r="K23306" s="18" t="s">
        <v>477</v>
      </c>
    </row>
    <row r="23307">
      <c r="B23307" s="17" t="s">
        <v>477</v>
      </c>
      <c r="K23307" s="18" t="s">
        <v>477</v>
      </c>
    </row>
    <row r="23308">
      <c r="B23308" s="17" t="s">
        <v>477</v>
      </c>
      <c r="K23308" s="18" t="s">
        <v>477</v>
      </c>
    </row>
    <row r="23309">
      <c r="B23309" s="17" t="s">
        <v>477</v>
      </c>
      <c r="K23309" s="18" t="s">
        <v>477</v>
      </c>
    </row>
    <row r="23310">
      <c r="B23310" s="17" t="s">
        <v>477</v>
      </c>
      <c r="K23310" s="18" t="s">
        <v>477</v>
      </c>
    </row>
    <row r="23311">
      <c r="B23311" s="17" t="s">
        <v>477</v>
      </c>
      <c r="K23311" s="18" t="s">
        <v>477</v>
      </c>
    </row>
    <row r="23312">
      <c r="B23312" s="17" t="s">
        <v>477</v>
      </c>
      <c r="K23312" s="18" t="s">
        <v>477</v>
      </c>
    </row>
    <row r="23313">
      <c r="B23313" s="17" t="s">
        <v>477</v>
      </c>
      <c r="K23313" s="18" t="s">
        <v>477</v>
      </c>
    </row>
    <row r="23314">
      <c r="B23314" s="17" t="s">
        <v>477</v>
      </c>
      <c r="K23314" s="18" t="s">
        <v>477</v>
      </c>
    </row>
    <row r="23315">
      <c r="B23315" s="17" t="s">
        <v>477</v>
      </c>
      <c r="K23315" s="18" t="s">
        <v>477</v>
      </c>
    </row>
    <row r="23316">
      <c r="B23316" s="17" t="s">
        <v>477</v>
      </c>
      <c r="K23316" s="18" t="s">
        <v>477</v>
      </c>
    </row>
    <row r="23317">
      <c r="B23317" s="17" t="s">
        <v>477</v>
      </c>
      <c r="K23317" s="18" t="s">
        <v>477</v>
      </c>
    </row>
    <row r="23318">
      <c r="B23318" s="17" t="s">
        <v>477</v>
      </c>
      <c r="K23318" s="18" t="s">
        <v>477</v>
      </c>
    </row>
    <row r="23319">
      <c r="B23319" s="17" t="s">
        <v>477</v>
      </c>
      <c r="K23319" s="18" t="s">
        <v>477</v>
      </c>
    </row>
    <row r="23320">
      <c r="B23320" s="17" t="s">
        <v>477</v>
      </c>
      <c r="K23320" s="18" t="s">
        <v>477</v>
      </c>
    </row>
    <row r="23321">
      <c r="B23321" s="17" t="s">
        <v>477</v>
      </c>
      <c r="K23321" s="18" t="s">
        <v>477</v>
      </c>
    </row>
    <row r="23322">
      <c r="B23322" s="17" t="s">
        <v>477</v>
      </c>
      <c r="K23322" s="18" t="s">
        <v>477</v>
      </c>
    </row>
    <row r="23323">
      <c r="B23323" s="17" t="s">
        <v>477</v>
      </c>
      <c r="K23323" s="18" t="s">
        <v>477</v>
      </c>
    </row>
    <row r="23324">
      <c r="B23324" s="17" t="s">
        <v>477</v>
      </c>
      <c r="K23324" s="18" t="s">
        <v>477</v>
      </c>
    </row>
    <row r="23325">
      <c r="B23325" s="17" t="s">
        <v>477</v>
      </c>
      <c r="K23325" s="18" t="s">
        <v>477</v>
      </c>
    </row>
    <row r="23326">
      <c r="B23326" s="17" t="s">
        <v>477</v>
      </c>
      <c r="K23326" s="18" t="s">
        <v>477</v>
      </c>
    </row>
    <row r="23327">
      <c r="B23327" s="17" t="s">
        <v>477</v>
      </c>
      <c r="K23327" s="18" t="s">
        <v>477</v>
      </c>
    </row>
    <row r="23328">
      <c r="B23328" s="17" t="s">
        <v>477</v>
      </c>
      <c r="K23328" s="18" t="s">
        <v>477</v>
      </c>
    </row>
    <row r="23329">
      <c r="B23329" s="17" t="s">
        <v>477</v>
      </c>
      <c r="K23329" s="18" t="s">
        <v>477</v>
      </c>
    </row>
    <row r="23330">
      <c r="B23330" s="17" t="s">
        <v>477</v>
      </c>
      <c r="K23330" s="18" t="s">
        <v>477</v>
      </c>
    </row>
    <row r="23331">
      <c r="B23331" s="17" t="s">
        <v>477</v>
      </c>
      <c r="K23331" s="18" t="s">
        <v>477</v>
      </c>
    </row>
    <row r="23332">
      <c r="B23332" s="17" t="s">
        <v>477</v>
      </c>
      <c r="K23332" s="18" t="s">
        <v>477</v>
      </c>
    </row>
    <row r="23333">
      <c r="B23333" s="17" t="s">
        <v>477</v>
      </c>
      <c r="K23333" s="18" t="s">
        <v>477</v>
      </c>
    </row>
    <row r="23334">
      <c r="B23334" s="17" t="s">
        <v>477</v>
      </c>
      <c r="K23334" s="18" t="s">
        <v>477</v>
      </c>
    </row>
    <row r="23335">
      <c r="B23335" s="17" t="s">
        <v>477</v>
      </c>
      <c r="K23335" s="18" t="s">
        <v>477</v>
      </c>
    </row>
    <row r="23336">
      <c r="B23336" s="17" t="s">
        <v>477</v>
      </c>
      <c r="K23336" s="18" t="s">
        <v>477</v>
      </c>
    </row>
    <row r="23337">
      <c r="B23337" s="17" t="s">
        <v>477</v>
      </c>
      <c r="K23337" s="18" t="s">
        <v>477</v>
      </c>
    </row>
    <row r="23338">
      <c r="B23338" s="17" t="s">
        <v>477</v>
      </c>
      <c r="K23338" s="18" t="s">
        <v>477</v>
      </c>
    </row>
    <row r="23339">
      <c r="B23339" s="17" t="s">
        <v>477</v>
      </c>
      <c r="K23339" s="18" t="s">
        <v>477</v>
      </c>
    </row>
    <row r="23340">
      <c r="B23340" s="17" t="s">
        <v>477</v>
      </c>
      <c r="K23340" s="18" t="s">
        <v>477</v>
      </c>
    </row>
    <row r="23341">
      <c r="B23341" s="17" t="s">
        <v>477</v>
      </c>
      <c r="K23341" s="18" t="s">
        <v>477</v>
      </c>
    </row>
    <row r="23342">
      <c r="B23342" s="17" t="s">
        <v>477</v>
      </c>
      <c r="K23342" s="18" t="s">
        <v>477</v>
      </c>
    </row>
    <row r="23343">
      <c r="B23343" s="17" t="s">
        <v>477</v>
      </c>
      <c r="K23343" s="18" t="s">
        <v>477</v>
      </c>
    </row>
    <row r="23344">
      <c r="B23344" s="17" t="s">
        <v>477</v>
      </c>
      <c r="K23344" s="18" t="s">
        <v>477</v>
      </c>
    </row>
    <row r="23345">
      <c r="B23345" s="17" t="s">
        <v>477</v>
      </c>
      <c r="K23345" s="18" t="s">
        <v>477</v>
      </c>
    </row>
    <row r="23346">
      <c r="B23346" s="17" t="s">
        <v>477</v>
      </c>
      <c r="K23346" s="18" t="s">
        <v>477</v>
      </c>
    </row>
    <row r="23347">
      <c r="B23347" s="17" t="s">
        <v>477</v>
      </c>
      <c r="K23347" s="18" t="s">
        <v>477</v>
      </c>
    </row>
    <row r="23348">
      <c r="B23348" s="17" t="s">
        <v>477</v>
      </c>
      <c r="K23348" s="18" t="s">
        <v>477</v>
      </c>
    </row>
    <row r="23349">
      <c r="B23349" s="17" t="s">
        <v>477</v>
      </c>
      <c r="K23349" s="18" t="s">
        <v>477</v>
      </c>
    </row>
    <row r="23350">
      <c r="B23350" s="17" t="s">
        <v>477</v>
      </c>
      <c r="K23350" s="18" t="s">
        <v>477</v>
      </c>
    </row>
    <row r="23351">
      <c r="B23351" s="17" t="s">
        <v>477</v>
      </c>
      <c r="K23351" s="18" t="s">
        <v>477</v>
      </c>
    </row>
    <row r="23352">
      <c r="B23352" s="17" t="s">
        <v>477</v>
      </c>
      <c r="K23352" s="18" t="s">
        <v>477</v>
      </c>
    </row>
    <row r="23353">
      <c r="B23353" s="17" t="s">
        <v>477</v>
      </c>
      <c r="K23353" s="18" t="s">
        <v>477</v>
      </c>
    </row>
    <row r="23354">
      <c r="B23354" s="17" t="s">
        <v>477</v>
      </c>
      <c r="K23354" s="18" t="s">
        <v>477</v>
      </c>
    </row>
    <row r="23355">
      <c r="B23355" s="17" t="s">
        <v>477</v>
      </c>
      <c r="K23355" s="18" t="s">
        <v>477</v>
      </c>
    </row>
    <row r="23356">
      <c r="B23356" s="17" t="s">
        <v>477</v>
      </c>
      <c r="K23356" s="18" t="s">
        <v>477</v>
      </c>
    </row>
    <row r="23357">
      <c r="B23357" s="17" t="s">
        <v>477</v>
      </c>
      <c r="K23357" s="18" t="s">
        <v>477</v>
      </c>
    </row>
    <row r="23358">
      <c r="B23358" s="17" t="s">
        <v>477</v>
      </c>
      <c r="K23358" s="18" t="s">
        <v>477</v>
      </c>
    </row>
    <row r="23359">
      <c r="B23359" s="17" t="s">
        <v>477</v>
      </c>
      <c r="K23359" s="18" t="s">
        <v>477</v>
      </c>
    </row>
    <row r="23360">
      <c r="B23360" s="17" t="s">
        <v>477</v>
      </c>
      <c r="K23360" s="18" t="s">
        <v>477</v>
      </c>
    </row>
    <row r="23361">
      <c r="B23361" s="17" t="s">
        <v>477</v>
      </c>
      <c r="K23361" s="18" t="s">
        <v>477</v>
      </c>
    </row>
    <row r="23362">
      <c r="B23362" s="17" t="s">
        <v>477</v>
      </c>
      <c r="K23362" s="18" t="s">
        <v>477</v>
      </c>
    </row>
    <row r="23363">
      <c r="B23363" s="17" t="s">
        <v>477</v>
      </c>
      <c r="K23363" s="18" t="s">
        <v>477</v>
      </c>
    </row>
    <row r="23364">
      <c r="B23364" s="17" t="s">
        <v>477</v>
      </c>
      <c r="K23364" s="18" t="s">
        <v>477</v>
      </c>
    </row>
    <row r="23365">
      <c r="B23365" s="17" t="s">
        <v>477</v>
      </c>
      <c r="K23365" s="18" t="s">
        <v>477</v>
      </c>
    </row>
    <row r="23366">
      <c r="B23366" s="17" t="s">
        <v>477</v>
      </c>
      <c r="K23366" s="18" t="s">
        <v>477</v>
      </c>
    </row>
    <row r="23367">
      <c r="B23367" s="17" t="s">
        <v>477</v>
      </c>
      <c r="K23367" s="18" t="s">
        <v>477</v>
      </c>
    </row>
    <row r="23368">
      <c r="B23368" s="17" t="s">
        <v>477</v>
      </c>
      <c r="K23368" s="18" t="s">
        <v>477</v>
      </c>
    </row>
    <row r="23369">
      <c r="B23369" s="17" t="s">
        <v>477</v>
      </c>
      <c r="K23369" s="18" t="s">
        <v>477</v>
      </c>
    </row>
    <row r="23370">
      <c r="B23370" s="17" t="s">
        <v>477</v>
      </c>
      <c r="K23370" s="18" t="s">
        <v>477</v>
      </c>
    </row>
    <row r="23371">
      <c r="B23371" s="17" t="s">
        <v>477</v>
      </c>
      <c r="K23371" s="18" t="s">
        <v>477</v>
      </c>
    </row>
    <row r="23372">
      <c r="B23372" s="17" t="s">
        <v>477</v>
      </c>
      <c r="K23372" s="18" t="s">
        <v>477</v>
      </c>
    </row>
    <row r="23373">
      <c r="B23373" s="17" t="s">
        <v>477</v>
      </c>
      <c r="K23373" s="18" t="s">
        <v>477</v>
      </c>
    </row>
    <row r="23374">
      <c r="B23374" s="17" t="s">
        <v>477</v>
      </c>
      <c r="K23374" s="18" t="s">
        <v>477</v>
      </c>
    </row>
    <row r="23375">
      <c r="B23375" s="17" t="s">
        <v>477</v>
      </c>
      <c r="K23375" s="18" t="s">
        <v>477</v>
      </c>
    </row>
    <row r="23376">
      <c r="B23376" s="17" t="s">
        <v>477</v>
      </c>
      <c r="K23376" s="18" t="s">
        <v>477</v>
      </c>
    </row>
    <row r="23377">
      <c r="B23377" s="17" t="s">
        <v>477</v>
      </c>
      <c r="K23377" s="18" t="s">
        <v>477</v>
      </c>
    </row>
    <row r="23378">
      <c r="B23378" s="17" t="s">
        <v>477</v>
      </c>
      <c r="K23378" s="18" t="s">
        <v>477</v>
      </c>
    </row>
    <row r="23379">
      <c r="B23379" s="17" t="s">
        <v>477</v>
      </c>
      <c r="K23379" s="18" t="s">
        <v>477</v>
      </c>
    </row>
    <row r="23380">
      <c r="B23380" s="17" t="s">
        <v>477</v>
      </c>
      <c r="K23380" s="18" t="s">
        <v>477</v>
      </c>
    </row>
    <row r="23381">
      <c r="B23381" s="17" t="s">
        <v>477</v>
      </c>
      <c r="K23381" s="18" t="s">
        <v>477</v>
      </c>
    </row>
    <row r="23382">
      <c r="B23382" s="17" t="s">
        <v>477</v>
      </c>
      <c r="K23382" s="18" t="s">
        <v>477</v>
      </c>
    </row>
    <row r="23383">
      <c r="B23383" s="17" t="s">
        <v>477</v>
      </c>
      <c r="K23383" s="18" t="s">
        <v>477</v>
      </c>
    </row>
    <row r="23384">
      <c r="B23384" s="17" t="s">
        <v>477</v>
      </c>
      <c r="K23384" s="18" t="s">
        <v>477</v>
      </c>
    </row>
    <row r="23385">
      <c r="B23385" s="17" t="s">
        <v>477</v>
      </c>
      <c r="K23385" s="18" t="s">
        <v>477</v>
      </c>
    </row>
    <row r="23386">
      <c r="B23386" s="17" t="s">
        <v>477</v>
      </c>
      <c r="K23386" s="18" t="s">
        <v>477</v>
      </c>
    </row>
    <row r="23387">
      <c r="B23387" s="17" t="s">
        <v>477</v>
      </c>
      <c r="K23387" s="18" t="s">
        <v>477</v>
      </c>
    </row>
    <row r="23388">
      <c r="B23388" s="17" t="s">
        <v>477</v>
      </c>
      <c r="K23388" s="18" t="s">
        <v>477</v>
      </c>
    </row>
    <row r="23389">
      <c r="B23389" s="17" t="s">
        <v>477</v>
      </c>
      <c r="K23389" s="18" t="s">
        <v>477</v>
      </c>
    </row>
    <row r="23390">
      <c r="B23390" s="17" t="s">
        <v>477</v>
      </c>
      <c r="K23390" s="18" t="s">
        <v>477</v>
      </c>
    </row>
    <row r="23391">
      <c r="B23391" s="17" t="s">
        <v>477</v>
      </c>
      <c r="K23391" s="18" t="s">
        <v>477</v>
      </c>
    </row>
    <row r="23392">
      <c r="B23392" s="17" t="s">
        <v>477</v>
      </c>
      <c r="K23392" s="18" t="s">
        <v>477</v>
      </c>
    </row>
    <row r="23393">
      <c r="B23393" s="17" t="s">
        <v>477</v>
      </c>
      <c r="K23393" s="18" t="s">
        <v>477</v>
      </c>
    </row>
    <row r="23394">
      <c r="B23394" s="17" t="s">
        <v>477</v>
      </c>
      <c r="K23394" s="18" t="s">
        <v>477</v>
      </c>
    </row>
    <row r="23395">
      <c r="B23395" s="17" t="s">
        <v>477</v>
      </c>
      <c r="K23395" s="18" t="s">
        <v>477</v>
      </c>
    </row>
    <row r="23396">
      <c r="B23396" s="17" t="s">
        <v>477</v>
      </c>
      <c r="K23396" s="18" t="s">
        <v>477</v>
      </c>
    </row>
    <row r="23397">
      <c r="B23397" s="17" t="s">
        <v>477</v>
      </c>
      <c r="K23397" s="18" t="s">
        <v>477</v>
      </c>
    </row>
    <row r="23398">
      <c r="B23398" s="17" t="s">
        <v>477</v>
      </c>
      <c r="K23398" s="18" t="s">
        <v>477</v>
      </c>
    </row>
    <row r="23399">
      <c r="B23399" s="17" t="s">
        <v>477</v>
      </c>
      <c r="K23399" s="18" t="s">
        <v>477</v>
      </c>
    </row>
    <row r="23400">
      <c r="B23400" s="17" t="s">
        <v>477</v>
      </c>
      <c r="K23400" s="18" t="s">
        <v>477</v>
      </c>
    </row>
    <row r="23401">
      <c r="B23401" s="17" t="s">
        <v>477</v>
      </c>
      <c r="K23401" s="18" t="s">
        <v>477</v>
      </c>
    </row>
    <row r="23402">
      <c r="B23402" s="17" t="s">
        <v>477</v>
      </c>
      <c r="K23402" s="18" t="s">
        <v>477</v>
      </c>
    </row>
    <row r="23403">
      <c r="B23403" s="17" t="s">
        <v>477</v>
      </c>
      <c r="K23403" s="18" t="s">
        <v>477</v>
      </c>
    </row>
    <row r="23404">
      <c r="B23404" s="17" t="s">
        <v>477</v>
      </c>
      <c r="K23404" s="18" t="s">
        <v>477</v>
      </c>
    </row>
    <row r="23405">
      <c r="B23405" s="17" t="s">
        <v>477</v>
      </c>
      <c r="K23405" s="18" t="s">
        <v>477</v>
      </c>
    </row>
    <row r="23406">
      <c r="B23406" s="17" t="s">
        <v>477</v>
      </c>
      <c r="K23406" s="18" t="s">
        <v>477</v>
      </c>
    </row>
    <row r="23407">
      <c r="B23407" s="17" t="s">
        <v>477</v>
      </c>
      <c r="K23407" s="18" t="s">
        <v>477</v>
      </c>
    </row>
    <row r="23408">
      <c r="B23408" s="17" t="s">
        <v>477</v>
      </c>
      <c r="K23408" s="18" t="s">
        <v>477</v>
      </c>
    </row>
    <row r="23409">
      <c r="B23409" s="17" t="s">
        <v>477</v>
      </c>
      <c r="K23409" s="18" t="s">
        <v>477</v>
      </c>
    </row>
    <row r="23410">
      <c r="B23410" s="17" t="s">
        <v>477</v>
      </c>
      <c r="K23410" s="18" t="s">
        <v>477</v>
      </c>
    </row>
    <row r="23411">
      <c r="B23411" s="17" t="s">
        <v>477</v>
      </c>
      <c r="K23411" s="18" t="s">
        <v>477</v>
      </c>
    </row>
    <row r="23412">
      <c r="B23412" s="17" t="s">
        <v>477</v>
      </c>
      <c r="K23412" s="18" t="s">
        <v>477</v>
      </c>
    </row>
    <row r="23413">
      <c r="B23413" s="17" t="s">
        <v>477</v>
      </c>
      <c r="K23413" s="18" t="s">
        <v>477</v>
      </c>
    </row>
    <row r="23414">
      <c r="B23414" s="17" t="s">
        <v>477</v>
      </c>
      <c r="K23414" s="18" t="s">
        <v>477</v>
      </c>
    </row>
    <row r="23415">
      <c r="B23415" s="17" t="s">
        <v>477</v>
      </c>
      <c r="K23415" s="18" t="s">
        <v>477</v>
      </c>
    </row>
    <row r="23416">
      <c r="B23416" s="17" t="s">
        <v>477</v>
      </c>
      <c r="K23416" s="18" t="s">
        <v>477</v>
      </c>
    </row>
    <row r="23417">
      <c r="B23417" s="17" t="s">
        <v>477</v>
      </c>
      <c r="K23417" s="18" t="s">
        <v>477</v>
      </c>
    </row>
    <row r="23418">
      <c r="B23418" s="17" t="s">
        <v>477</v>
      </c>
      <c r="K23418" s="18" t="s">
        <v>477</v>
      </c>
    </row>
    <row r="23419">
      <c r="B23419" s="17" t="s">
        <v>477</v>
      </c>
      <c r="K23419" s="18" t="s">
        <v>477</v>
      </c>
    </row>
    <row r="23420">
      <c r="B23420" s="17" t="s">
        <v>477</v>
      </c>
      <c r="K23420" s="18" t="s">
        <v>477</v>
      </c>
    </row>
    <row r="23421">
      <c r="B23421" s="17" t="s">
        <v>477</v>
      </c>
      <c r="K23421" s="18" t="s">
        <v>477</v>
      </c>
    </row>
    <row r="23422">
      <c r="B23422" s="17" t="s">
        <v>477</v>
      </c>
      <c r="K23422" s="18" t="s">
        <v>477</v>
      </c>
    </row>
    <row r="23423">
      <c r="B23423" s="17" t="s">
        <v>477</v>
      </c>
      <c r="K23423" s="18" t="s">
        <v>477</v>
      </c>
    </row>
    <row r="23424">
      <c r="B23424" s="17" t="s">
        <v>477</v>
      </c>
      <c r="K23424" s="18" t="s">
        <v>477</v>
      </c>
    </row>
    <row r="23425">
      <c r="B23425" s="17" t="s">
        <v>477</v>
      </c>
      <c r="K23425" s="18" t="s">
        <v>477</v>
      </c>
    </row>
    <row r="23426">
      <c r="B23426" s="17" t="s">
        <v>477</v>
      </c>
      <c r="K23426" s="18" t="s">
        <v>477</v>
      </c>
    </row>
    <row r="23427">
      <c r="B23427" s="17" t="s">
        <v>477</v>
      </c>
      <c r="K23427" s="18" t="s">
        <v>477</v>
      </c>
    </row>
    <row r="23428">
      <c r="B23428" s="17" t="s">
        <v>477</v>
      </c>
      <c r="K23428" s="18" t="s">
        <v>477</v>
      </c>
    </row>
    <row r="23429">
      <c r="B23429" s="17" t="s">
        <v>477</v>
      </c>
      <c r="K23429" s="18" t="s">
        <v>477</v>
      </c>
    </row>
    <row r="23430">
      <c r="B23430" s="17" t="s">
        <v>477</v>
      </c>
      <c r="K23430" s="18" t="s">
        <v>477</v>
      </c>
    </row>
    <row r="23431">
      <c r="B23431" s="17" t="s">
        <v>477</v>
      </c>
      <c r="K23431" s="18" t="s">
        <v>477</v>
      </c>
    </row>
    <row r="23432">
      <c r="B23432" s="17" t="s">
        <v>477</v>
      </c>
      <c r="K23432" s="18" t="s">
        <v>477</v>
      </c>
    </row>
    <row r="23433">
      <c r="B23433" s="17" t="s">
        <v>477</v>
      </c>
      <c r="K23433" s="18" t="s">
        <v>477</v>
      </c>
    </row>
    <row r="23434">
      <c r="B23434" s="17" t="s">
        <v>477</v>
      </c>
      <c r="K23434" s="18" t="s">
        <v>477</v>
      </c>
    </row>
    <row r="23435">
      <c r="B23435" s="17" t="s">
        <v>477</v>
      </c>
      <c r="K23435" s="18" t="s">
        <v>477</v>
      </c>
    </row>
    <row r="23436">
      <c r="B23436" s="17" t="s">
        <v>477</v>
      </c>
      <c r="K23436" s="18" t="s">
        <v>477</v>
      </c>
    </row>
    <row r="23437">
      <c r="B23437" s="17" t="s">
        <v>477</v>
      </c>
      <c r="K23437" s="18" t="s">
        <v>477</v>
      </c>
    </row>
    <row r="23438">
      <c r="B23438" s="17" t="s">
        <v>477</v>
      </c>
      <c r="K23438" s="18" t="s">
        <v>477</v>
      </c>
    </row>
    <row r="23439">
      <c r="B23439" s="17" t="s">
        <v>477</v>
      </c>
      <c r="K23439" s="18" t="s">
        <v>477</v>
      </c>
    </row>
    <row r="23440">
      <c r="B23440" s="17" t="s">
        <v>477</v>
      </c>
      <c r="K23440" s="18" t="s">
        <v>477</v>
      </c>
    </row>
    <row r="23441">
      <c r="B23441" s="17" t="s">
        <v>477</v>
      </c>
      <c r="K23441" s="18" t="s">
        <v>477</v>
      </c>
    </row>
    <row r="23442">
      <c r="B23442" s="17" t="s">
        <v>477</v>
      </c>
      <c r="K23442" s="18" t="s">
        <v>477</v>
      </c>
    </row>
    <row r="23443">
      <c r="B23443" s="17" t="s">
        <v>477</v>
      </c>
      <c r="K23443" s="18" t="s">
        <v>477</v>
      </c>
    </row>
    <row r="23444">
      <c r="B23444" s="17" t="s">
        <v>477</v>
      </c>
      <c r="K23444" s="18" t="s">
        <v>477</v>
      </c>
    </row>
    <row r="23445">
      <c r="B23445" s="17" t="s">
        <v>477</v>
      </c>
      <c r="K23445" s="18" t="s">
        <v>477</v>
      </c>
    </row>
    <row r="23446">
      <c r="B23446" s="17" t="s">
        <v>477</v>
      </c>
      <c r="K23446" s="18" t="s">
        <v>477</v>
      </c>
    </row>
    <row r="23447">
      <c r="B23447" s="17" t="s">
        <v>477</v>
      </c>
      <c r="K23447" s="18" t="s">
        <v>477</v>
      </c>
    </row>
    <row r="23448">
      <c r="B23448" s="17" t="s">
        <v>477</v>
      </c>
      <c r="K23448" s="18" t="s">
        <v>477</v>
      </c>
    </row>
    <row r="23449">
      <c r="B23449" s="17" t="s">
        <v>477</v>
      </c>
      <c r="K23449" s="18" t="s">
        <v>477</v>
      </c>
    </row>
    <row r="23450">
      <c r="B23450" s="17" t="s">
        <v>477</v>
      </c>
      <c r="K23450" s="18" t="s">
        <v>477</v>
      </c>
    </row>
    <row r="23451">
      <c r="B23451" s="17" t="s">
        <v>477</v>
      </c>
      <c r="K23451" s="18" t="s">
        <v>477</v>
      </c>
    </row>
    <row r="23452">
      <c r="B23452" s="17" t="s">
        <v>477</v>
      </c>
      <c r="K23452" s="18" t="s">
        <v>477</v>
      </c>
    </row>
    <row r="23453">
      <c r="B23453" s="17" t="s">
        <v>477</v>
      </c>
      <c r="K23453" s="18" t="s">
        <v>477</v>
      </c>
    </row>
    <row r="23454">
      <c r="B23454" s="17" t="s">
        <v>477</v>
      </c>
      <c r="K23454" s="18" t="s">
        <v>477</v>
      </c>
    </row>
    <row r="23455">
      <c r="B23455" s="17" t="s">
        <v>477</v>
      </c>
      <c r="K23455" s="18" t="s">
        <v>477</v>
      </c>
    </row>
    <row r="23456">
      <c r="B23456" s="17" t="s">
        <v>477</v>
      </c>
      <c r="K23456" s="18" t="s">
        <v>477</v>
      </c>
    </row>
    <row r="23457">
      <c r="B23457" s="17" t="s">
        <v>477</v>
      </c>
      <c r="K23457" s="18" t="s">
        <v>477</v>
      </c>
    </row>
    <row r="23458">
      <c r="B23458" s="17" t="s">
        <v>477</v>
      </c>
      <c r="K23458" s="18" t="s">
        <v>477</v>
      </c>
    </row>
    <row r="23459">
      <c r="B23459" s="17" t="s">
        <v>477</v>
      </c>
      <c r="K23459" s="18" t="s">
        <v>477</v>
      </c>
    </row>
    <row r="23460">
      <c r="B23460" s="17" t="s">
        <v>477</v>
      </c>
      <c r="K23460" s="18" t="s">
        <v>477</v>
      </c>
    </row>
    <row r="23461">
      <c r="B23461" s="17" t="s">
        <v>477</v>
      </c>
      <c r="K23461" s="18" t="s">
        <v>477</v>
      </c>
    </row>
    <row r="23462">
      <c r="B23462" s="17" t="s">
        <v>477</v>
      </c>
      <c r="K23462" s="18" t="s">
        <v>477</v>
      </c>
    </row>
    <row r="23463">
      <c r="B23463" s="17" t="s">
        <v>477</v>
      </c>
      <c r="K23463" s="18" t="s">
        <v>477</v>
      </c>
    </row>
    <row r="23464">
      <c r="B23464" s="17" t="s">
        <v>477</v>
      </c>
      <c r="K23464" s="18" t="s">
        <v>477</v>
      </c>
    </row>
    <row r="23465">
      <c r="B23465" s="17" t="s">
        <v>477</v>
      </c>
      <c r="K23465" s="18" t="s">
        <v>477</v>
      </c>
    </row>
    <row r="23466">
      <c r="B23466" s="17" t="s">
        <v>477</v>
      </c>
      <c r="K23466" s="18" t="s">
        <v>477</v>
      </c>
    </row>
    <row r="23467">
      <c r="B23467" s="17" t="s">
        <v>477</v>
      </c>
      <c r="K23467" s="18" t="s">
        <v>477</v>
      </c>
    </row>
    <row r="23468">
      <c r="B23468" s="17" t="s">
        <v>477</v>
      </c>
      <c r="K23468" s="18" t="s">
        <v>477</v>
      </c>
    </row>
    <row r="23469">
      <c r="B23469" s="17" t="s">
        <v>477</v>
      </c>
      <c r="K23469" s="18" t="s">
        <v>477</v>
      </c>
    </row>
    <row r="23470">
      <c r="B23470" s="17" t="s">
        <v>477</v>
      </c>
      <c r="K23470" s="18" t="s">
        <v>477</v>
      </c>
    </row>
    <row r="23471">
      <c r="B23471" s="17" t="s">
        <v>477</v>
      </c>
      <c r="K23471" s="18" t="s">
        <v>477</v>
      </c>
    </row>
    <row r="23472">
      <c r="B23472" s="17" t="s">
        <v>477</v>
      </c>
      <c r="K23472" s="18" t="s">
        <v>477</v>
      </c>
    </row>
    <row r="23473">
      <c r="B23473" s="17" t="s">
        <v>477</v>
      </c>
      <c r="K23473" s="18" t="s">
        <v>477</v>
      </c>
    </row>
    <row r="23474">
      <c r="B23474" s="17" t="s">
        <v>477</v>
      </c>
      <c r="K23474" s="18" t="s">
        <v>477</v>
      </c>
    </row>
    <row r="23475">
      <c r="B23475" s="17" t="s">
        <v>477</v>
      </c>
      <c r="K23475" s="18" t="s">
        <v>477</v>
      </c>
    </row>
    <row r="23476">
      <c r="B23476" s="17" t="s">
        <v>477</v>
      </c>
      <c r="K23476" s="18" t="s">
        <v>477</v>
      </c>
    </row>
    <row r="23477">
      <c r="B23477" s="17" t="s">
        <v>477</v>
      </c>
      <c r="K23477" s="18" t="s">
        <v>477</v>
      </c>
    </row>
    <row r="23478">
      <c r="B23478" s="17" t="s">
        <v>477</v>
      </c>
      <c r="K23478" s="18" t="s">
        <v>477</v>
      </c>
    </row>
    <row r="23479">
      <c r="B23479" s="17" t="s">
        <v>477</v>
      </c>
      <c r="K23479" s="18" t="s">
        <v>477</v>
      </c>
    </row>
    <row r="23480">
      <c r="B23480" s="17" t="s">
        <v>477</v>
      </c>
      <c r="K23480" s="18" t="s">
        <v>477</v>
      </c>
    </row>
    <row r="23481">
      <c r="B23481" s="17" t="s">
        <v>477</v>
      </c>
      <c r="K23481" s="18" t="s">
        <v>477</v>
      </c>
    </row>
    <row r="23482">
      <c r="B23482" s="17" t="s">
        <v>477</v>
      </c>
      <c r="K23482" s="18" t="s">
        <v>477</v>
      </c>
    </row>
    <row r="23483">
      <c r="B23483" s="17" t="s">
        <v>477</v>
      </c>
      <c r="K23483" s="18" t="s">
        <v>477</v>
      </c>
    </row>
    <row r="23484">
      <c r="B23484" s="17" t="s">
        <v>477</v>
      </c>
      <c r="K23484" s="18" t="s">
        <v>477</v>
      </c>
    </row>
    <row r="23485">
      <c r="B23485" s="17" t="s">
        <v>477</v>
      </c>
      <c r="K23485" s="18" t="s">
        <v>477</v>
      </c>
    </row>
    <row r="23486">
      <c r="B23486" s="17" t="s">
        <v>477</v>
      </c>
      <c r="K23486" s="18" t="s">
        <v>477</v>
      </c>
    </row>
    <row r="23487">
      <c r="B23487" s="17" t="s">
        <v>477</v>
      </c>
      <c r="K23487" s="18" t="s">
        <v>477</v>
      </c>
    </row>
    <row r="23488">
      <c r="B23488" s="17" t="s">
        <v>477</v>
      </c>
      <c r="K23488" s="18" t="s">
        <v>477</v>
      </c>
    </row>
    <row r="23489">
      <c r="B23489" s="17" t="s">
        <v>477</v>
      </c>
      <c r="K23489" s="18" t="s">
        <v>477</v>
      </c>
    </row>
    <row r="23490">
      <c r="B23490" s="17" t="s">
        <v>477</v>
      </c>
      <c r="K23490" s="18" t="s">
        <v>477</v>
      </c>
    </row>
    <row r="23491">
      <c r="B23491" s="17" t="s">
        <v>477</v>
      </c>
      <c r="K23491" s="18" t="s">
        <v>477</v>
      </c>
    </row>
    <row r="23492">
      <c r="B23492" s="17" t="s">
        <v>477</v>
      </c>
      <c r="K23492" s="18" t="s">
        <v>477</v>
      </c>
    </row>
    <row r="23493">
      <c r="B23493" s="17" t="s">
        <v>477</v>
      </c>
      <c r="K23493" s="18" t="s">
        <v>477</v>
      </c>
    </row>
    <row r="23494">
      <c r="B23494" s="17" t="s">
        <v>477</v>
      </c>
      <c r="K23494" s="18" t="s">
        <v>477</v>
      </c>
    </row>
    <row r="23495">
      <c r="B23495" s="17" t="s">
        <v>477</v>
      </c>
      <c r="K23495" s="18" t="s">
        <v>477</v>
      </c>
    </row>
    <row r="23496">
      <c r="B23496" s="17" t="s">
        <v>477</v>
      </c>
      <c r="K23496" s="18" t="s">
        <v>477</v>
      </c>
    </row>
    <row r="23497">
      <c r="B23497" s="17" t="s">
        <v>477</v>
      </c>
      <c r="K23497" s="18" t="s">
        <v>477</v>
      </c>
    </row>
    <row r="23498">
      <c r="B23498" s="17" t="s">
        <v>477</v>
      </c>
      <c r="K23498" s="18" t="s">
        <v>477</v>
      </c>
    </row>
    <row r="23499">
      <c r="B23499" s="17" t="s">
        <v>477</v>
      </c>
      <c r="K23499" s="18" t="s">
        <v>477</v>
      </c>
    </row>
    <row r="23500">
      <c r="B23500" s="17" t="s">
        <v>477</v>
      </c>
      <c r="K23500" s="18" t="s">
        <v>477</v>
      </c>
    </row>
    <row r="23501">
      <c r="B23501" s="17" t="s">
        <v>477</v>
      </c>
      <c r="K23501" s="18" t="s">
        <v>477</v>
      </c>
    </row>
    <row r="23502">
      <c r="B23502" s="17" t="s">
        <v>477</v>
      </c>
      <c r="K23502" s="18" t="s">
        <v>477</v>
      </c>
    </row>
    <row r="23503">
      <c r="B23503" s="17" t="s">
        <v>477</v>
      </c>
      <c r="K23503" s="18" t="s">
        <v>477</v>
      </c>
    </row>
    <row r="23504">
      <c r="B23504" s="17" t="s">
        <v>477</v>
      </c>
      <c r="K23504" s="18" t="s">
        <v>477</v>
      </c>
    </row>
    <row r="23505">
      <c r="B23505" s="17" t="s">
        <v>477</v>
      </c>
      <c r="K23505" s="18" t="s">
        <v>477</v>
      </c>
    </row>
    <row r="23506">
      <c r="B23506" s="17" t="s">
        <v>477</v>
      </c>
      <c r="K23506" s="18" t="s">
        <v>477</v>
      </c>
    </row>
    <row r="23507">
      <c r="B23507" s="17" t="s">
        <v>477</v>
      </c>
      <c r="K23507" s="18" t="s">
        <v>477</v>
      </c>
    </row>
    <row r="23508">
      <c r="B23508" s="17" t="s">
        <v>477</v>
      </c>
      <c r="K23508" s="18" t="s">
        <v>477</v>
      </c>
    </row>
    <row r="23509">
      <c r="B23509" s="17" t="s">
        <v>477</v>
      </c>
      <c r="K23509" s="18" t="s">
        <v>477</v>
      </c>
    </row>
    <row r="23510">
      <c r="B23510" s="17" t="s">
        <v>477</v>
      </c>
      <c r="K23510" s="18" t="s">
        <v>477</v>
      </c>
    </row>
    <row r="23511">
      <c r="B23511" s="17" t="s">
        <v>477</v>
      </c>
      <c r="K23511" s="18" t="s">
        <v>477</v>
      </c>
    </row>
    <row r="23512">
      <c r="B23512" s="17" t="s">
        <v>477</v>
      </c>
      <c r="K23512" s="18" t="s">
        <v>477</v>
      </c>
    </row>
    <row r="23513">
      <c r="B23513" s="17" t="s">
        <v>477</v>
      </c>
      <c r="K23513" s="18" t="s">
        <v>477</v>
      </c>
    </row>
    <row r="23514">
      <c r="B23514" s="17" t="s">
        <v>477</v>
      </c>
      <c r="K23514" s="18" t="s">
        <v>477</v>
      </c>
    </row>
    <row r="23515">
      <c r="B23515" s="17" t="s">
        <v>477</v>
      </c>
      <c r="K23515" s="18" t="s">
        <v>477</v>
      </c>
    </row>
    <row r="23516">
      <c r="B23516" s="17" t="s">
        <v>477</v>
      </c>
      <c r="K23516" s="18" t="s">
        <v>477</v>
      </c>
    </row>
    <row r="23517">
      <c r="B23517" s="17" t="s">
        <v>477</v>
      </c>
      <c r="K23517" s="18" t="s">
        <v>477</v>
      </c>
    </row>
    <row r="23518">
      <c r="B23518" s="17" t="s">
        <v>477</v>
      </c>
      <c r="K23518" s="18" t="s">
        <v>477</v>
      </c>
    </row>
    <row r="23519">
      <c r="B23519" s="17" t="s">
        <v>477</v>
      </c>
      <c r="K23519" s="18" t="s">
        <v>477</v>
      </c>
    </row>
    <row r="23520">
      <c r="B23520" s="17" t="s">
        <v>477</v>
      </c>
      <c r="K23520" s="18" t="s">
        <v>477</v>
      </c>
    </row>
    <row r="23521">
      <c r="B23521" s="17" t="s">
        <v>477</v>
      </c>
      <c r="K23521" s="18" t="s">
        <v>477</v>
      </c>
    </row>
    <row r="23522">
      <c r="B23522" s="17" t="s">
        <v>477</v>
      </c>
      <c r="K23522" s="18" t="s">
        <v>477</v>
      </c>
    </row>
    <row r="23523">
      <c r="B23523" s="17" t="s">
        <v>477</v>
      </c>
      <c r="K23523" s="18" t="s">
        <v>477</v>
      </c>
    </row>
    <row r="23524">
      <c r="B23524" s="17" t="s">
        <v>477</v>
      </c>
      <c r="K23524" s="18" t="s">
        <v>477</v>
      </c>
    </row>
    <row r="23525">
      <c r="B23525" s="17" t="s">
        <v>477</v>
      </c>
      <c r="K23525" s="18" t="s">
        <v>477</v>
      </c>
    </row>
    <row r="23526">
      <c r="B23526" s="17" t="s">
        <v>477</v>
      </c>
      <c r="K23526" s="18" t="s">
        <v>477</v>
      </c>
    </row>
    <row r="23527">
      <c r="B23527" s="17" t="s">
        <v>477</v>
      </c>
      <c r="K23527" s="18" t="s">
        <v>477</v>
      </c>
    </row>
    <row r="23528">
      <c r="B23528" s="17" t="s">
        <v>477</v>
      </c>
      <c r="K23528" s="18" t="s">
        <v>477</v>
      </c>
    </row>
    <row r="23529">
      <c r="B23529" s="17" t="s">
        <v>477</v>
      </c>
      <c r="K23529" s="18" t="s">
        <v>477</v>
      </c>
    </row>
    <row r="23530">
      <c r="B23530" s="17" t="s">
        <v>477</v>
      </c>
      <c r="K23530" s="18" t="s">
        <v>477</v>
      </c>
    </row>
    <row r="23531">
      <c r="B23531" s="17" t="s">
        <v>477</v>
      </c>
      <c r="K23531" s="18" t="s">
        <v>477</v>
      </c>
    </row>
    <row r="23532">
      <c r="B23532" s="17" t="s">
        <v>477</v>
      </c>
      <c r="K23532" s="18" t="s">
        <v>477</v>
      </c>
    </row>
    <row r="23533">
      <c r="B23533" s="17" t="s">
        <v>477</v>
      </c>
      <c r="K23533" s="18" t="s">
        <v>477</v>
      </c>
    </row>
    <row r="23534">
      <c r="B23534" s="17" t="s">
        <v>477</v>
      </c>
      <c r="K23534" s="18" t="s">
        <v>477</v>
      </c>
    </row>
    <row r="23535">
      <c r="B23535" s="17" t="s">
        <v>477</v>
      </c>
      <c r="K23535" s="18" t="s">
        <v>477</v>
      </c>
    </row>
    <row r="23536">
      <c r="B23536" s="17" t="s">
        <v>477</v>
      </c>
      <c r="K23536" s="18" t="s">
        <v>477</v>
      </c>
    </row>
    <row r="23537">
      <c r="B23537" s="17" t="s">
        <v>477</v>
      </c>
      <c r="K23537" s="18" t="s">
        <v>477</v>
      </c>
    </row>
    <row r="23538">
      <c r="B23538" s="17" t="s">
        <v>477</v>
      </c>
      <c r="K23538" s="18" t="s">
        <v>477</v>
      </c>
    </row>
    <row r="23539">
      <c r="B23539" s="17" t="s">
        <v>477</v>
      </c>
      <c r="K23539" s="18" t="s">
        <v>477</v>
      </c>
    </row>
    <row r="23540">
      <c r="B23540" s="17" t="s">
        <v>477</v>
      </c>
      <c r="K23540" s="18" t="s">
        <v>477</v>
      </c>
    </row>
    <row r="23541">
      <c r="B23541" s="17" t="s">
        <v>477</v>
      </c>
      <c r="K23541" s="18" t="s">
        <v>477</v>
      </c>
    </row>
    <row r="23542">
      <c r="B23542" s="17" t="s">
        <v>477</v>
      </c>
      <c r="K23542" s="18" t="s">
        <v>477</v>
      </c>
    </row>
    <row r="23543">
      <c r="B23543" s="17" t="s">
        <v>477</v>
      </c>
      <c r="K23543" s="18" t="s">
        <v>477</v>
      </c>
    </row>
    <row r="23544">
      <c r="B23544" s="17" t="s">
        <v>477</v>
      </c>
      <c r="K23544" s="18" t="s">
        <v>477</v>
      </c>
    </row>
    <row r="23545">
      <c r="B23545" s="17" t="s">
        <v>477</v>
      </c>
      <c r="K23545" s="18" t="s">
        <v>477</v>
      </c>
    </row>
    <row r="23546">
      <c r="B23546" s="17" t="s">
        <v>477</v>
      </c>
      <c r="K23546" s="18" t="s">
        <v>477</v>
      </c>
    </row>
    <row r="23547">
      <c r="B23547" s="17" t="s">
        <v>477</v>
      </c>
      <c r="K23547" s="18" t="s">
        <v>477</v>
      </c>
    </row>
    <row r="23548">
      <c r="B23548" s="17" t="s">
        <v>477</v>
      </c>
      <c r="K23548" s="18" t="s">
        <v>477</v>
      </c>
    </row>
    <row r="23549">
      <c r="B23549" s="17" t="s">
        <v>477</v>
      </c>
      <c r="K23549" s="18" t="s">
        <v>477</v>
      </c>
    </row>
    <row r="23550">
      <c r="B23550" s="17" t="s">
        <v>477</v>
      </c>
      <c r="K23550" s="18" t="s">
        <v>477</v>
      </c>
    </row>
    <row r="23551">
      <c r="B23551" s="17" t="s">
        <v>477</v>
      </c>
      <c r="K23551" s="18" t="s">
        <v>477</v>
      </c>
    </row>
    <row r="23552">
      <c r="B23552" s="17" t="s">
        <v>477</v>
      </c>
      <c r="K23552" s="18" t="s">
        <v>477</v>
      </c>
    </row>
    <row r="23553">
      <c r="B23553" s="17" t="s">
        <v>477</v>
      </c>
      <c r="K23553" s="18" t="s">
        <v>477</v>
      </c>
    </row>
    <row r="23554">
      <c r="B23554" s="17" t="s">
        <v>477</v>
      </c>
      <c r="K23554" s="18" t="s">
        <v>477</v>
      </c>
    </row>
    <row r="23555">
      <c r="B23555" s="17" t="s">
        <v>477</v>
      </c>
      <c r="K23555" s="18" t="s">
        <v>477</v>
      </c>
    </row>
    <row r="23556">
      <c r="B23556" s="17" t="s">
        <v>477</v>
      </c>
      <c r="K23556" s="18" t="s">
        <v>477</v>
      </c>
    </row>
    <row r="23557">
      <c r="B23557" s="17" t="s">
        <v>477</v>
      </c>
      <c r="K23557" s="18" t="s">
        <v>477</v>
      </c>
    </row>
    <row r="23558">
      <c r="B23558" s="17" t="s">
        <v>477</v>
      </c>
      <c r="K23558" s="18" t="s">
        <v>477</v>
      </c>
    </row>
    <row r="23559">
      <c r="B23559" s="17" t="s">
        <v>477</v>
      </c>
      <c r="K23559" s="18" t="s">
        <v>477</v>
      </c>
    </row>
    <row r="23560">
      <c r="B23560" s="17" t="s">
        <v>477</v>
      </c>
      <c r="K23560" s="18" t="s">
        <v>477</v>
      </c>
    </row>
    <row r="23561">
      <c r="B23561" s="17" t="s">
        <v>477</v>
      </c>
      <c r="K23561" s="18" t="s">
        <v>477</v>
      </c>
    </row>
    <row r="23562">
      <c r="B23562" s="17" t="s">
        <v>477</v>
      </c>
      <c r="K23562" s="18" t="s">
        <v>477</v>
      </c>
    </row>
    <row r="23563">
      <c r="B23563" s="17" t="s">
        <v>477</v>
      </c>
      <c r="K23563" s="18" t="s">
        <v>477</v>
      </c>
    </row>
    <row r="23564">
      <c r="B23564" s="17" t="s">
        <v>477</v>
      </c>
      <c r="K23564" s="18" t="s">
        <v>477</v>
      </c>
    </row>
    <row r="23565">
      <c r="B23565" s="17" t="s">
        <v>477</v>
      </c>
      <c r="K23565" s="18" t="s">
        <v>477</v>
      </c>
    </row>
    <row r="23566">
      <c r="B23566" s="17" t="s">
        <v>477</v>
      </c>
      <c r="K23566" s="18" t="s">
        <v>477</v>
      </c>
    </row>
    <row r="23567">
      <c r="B23567" s="17" t="s">
        <v>477</v>
      </c>
      <c r="K23567" s="18" t="s">
        <v>477</v>
      </c>
    </row>
    <row r="23568">
      <c r="B23568" s="17" t="s">
        <v>477</v>
      </c>
      <c r="K23568" s="18" t="s">
        <v>477</v>
      </c>
    </row>
    <row r="23569">
      <c r="B23569" s="17" t="s">
        <v>477</v>
      </c>
      <c r="K23569" s="18" t="s">
        <v>477</v>
      </c>
    </row>
    <row r="23570">
      <c r="B23570" s="17" t="s">
        <v>477</v>
      </c>
      <c r="K23570" s="18" t="s">
        <v>477</v>
      </c>
    </row>
    <row r="23571">
      <c r="B23571" s="17" t="s">
        <v>477</v>
      </c>
      <c r="K23571" s="18" t="s">
        <v>477</v>
      </c>
    </row>
    <row r="23572">
      <c r="B23572" s="17" t="s">
        <v>477</v>
      </c>
      <c r="K23572" s="18" t="s">
        <v>477</v>
      </c>
    </row>
    <row r="23573">
      <c r="B23573" s="17" t="s">
        <v>477</v>
      </c>
      <c r="K23573" s="18" t="s">
        <v>477</v>
      </c>
    </row>
    <row r="23574">
      <c r="B23574" s="17" t="s">
        <v>477</v>
      </c>
      <c r="K23574" s="18" t="s">
        <v>477</v>
      </c>
    </row>
    <row r="23575">
      <c r="B23575" s="17" t="s">
        <v>477</v>
      </c>
      <c r="K23575" s="18" t="s">
        <v>477</v>
      </c>
    </row>
    <row r="23576">
      <c r="B23576" s="17" t="s">
        <v>477</v>
      </c>
      <c r="K23576" s="18" t="s">
        <v>477</v>
      </c>
    </row>
    <row r="23577">
      <c r="B23577" s="17" t="s">
        <v>477</v>
      </c>
      <c r="K23577" s="18" t="s">
        <v>477</v>
      </c>
    </row>
    <row r="23578">
      <c r="B23578" s="17" t="s">
        <v>477</v>
      </c>
      <c r="K23578" s="18" t="s">
        <v>477</v>
      </c>
    </row>
    <row r="23579">
      <c r="B23579" s="17" t="s">
        <v>477</v>
      </c>
      <c r="K23579" s="18" t="s">
        <v>477</v>
      </c>
    </row>
    <row r="23580">
      <c r="B23580" s="17" t="s">
        <v>477</v>
      </c>
      <c r="K23580" s="18" t="s">
        <v>477</v>
      </c>
    </row>
    <row r="23581">
      <c r="B23581" s="17" t="s">
        <v>477</v>
      </c>
      <c r="K23581" s="18" t="s">
        <v>477</v>
      </c>
    </row>
    <row r="23582">
      <c r="B23582" s="17" t="s">
        <v>477</v>
      </c>
      <c r="K23582" s="18" t="s">
        <v>477</v>
      </c>
    </row>
    <row r="23583">
      <c r="B23583" s="17" t="s">
        <v>477</v>
      </c>
      <c r="K23583" s="18" t="s">
        <v>477</v>
      </c>
    </row>
    <row r="23584">
      <c r="B23584" s="17" t="s">
        <v>477</v>
      </c>
      <c r="K23584" s="18" t="s">
        <v>477</v>
      </c>
    </row>
    <row r="23585">
      <c r="B23585" s="17" t="s">
        <v>477</v>
      </c>
      <c r="K23585" s="18" t="s">
        <v>477</v>
      </c>
    </row>
    <row r="23586">
      <c r="B23586" s="17" t="s">
        <v>477</v>
      </c>
      <c r="K23586" s="18" t="s">
        <v>477</v>
      </c>
    </row>
    <row r="23587">
      <c r="B23587" s="17" t="s">
        <v>477</v>
      </c>
      <c r="K23587" s="18" t="s">
        <v>477</v>
      </c>
    </row>
    <row r="23588">
      <c r="B23588" s="17" t="s">
        <v>477</v>
      </c>
      <c r="K23588" s="18" t="s">
        <v>477</v>
      </c>
    </row>
    <row r="23589">
      <c r="B23589" s="17" t="s">
        <v>477</v>
      </c>
      <c r="K23589" s="18" t="s">
        <v>477</v>
      </c>
    </row>
    <row r="23590">
      <c r="B23590" s="17" t="s">
        <v>477</v>
      </c>
      <c r="K23590" s="18" t="s">
        <v>477</v>
      </c>
    </row>
    <row r="23591">
      <c r="B23591" s="17" t="s">
        <v>477</v>
      </c>
      <c r="K23591" s="18" t="s">
        <v>477</v>
      </c>
    </row>
    <row r="23592">
      <c r="B23592" s="17" t="s">
        <v>477</v>
      </c>
      <c r="K23592" s="18" t="s">
        <v>477</v>
      </c>
    </row>
    <row r="23593">
      <c r="B23593" s="17" t="s">
        <v>477</v>
      </c>
      <c r="K23593" s="18" t="s">
        <v>477</v>
      </c>
    </row>
    <row r="23594">
      <c r="B23594" s="17" t="s">
        <v>477</v>
      </c>
      <c r="K23594" s="18" t="s">
        <v>477</v>
      </c>
    </row>
    <row r="23595">
      <c r="B23595" s="17" t="s">
        <v>477</v>
      </c>
      <c r="K23595" s="18" t="s">
        <v>477</v>
      </c>
    </row>
    <row r="23596">
      <c r="B23596" s="17" t="s">
        <v>477</v>
      </c>
      <c r="K23596" s="18" t="s">
        <v>477</v>
      </c>
    </row>
    <row r="23597">
      <c r="B23597" s="17" t="s">
        <v>477</v>
      </c>
      <c r="K23597" s="18" t="s">
        <v>477</v>
      </c>
    </row>
    <row r="23598">
      <c r="B23598" s="17" t="s">
        <v>477</v>
      </c>
      <c r="K23598" s="18" t="s">
        <v>477</v>
      </c>
    </row>
    <row r="23599">
      <c r="B23599" s="17" t="s">
        <v>477</v>
      </c>
      <c r="K23599" s="18" t="s">
        <v>477</v>
      </c>
    </row>
    <row r="23600">
      <c r="B23600" s="17" t="s">
        <v>477</v>
      </c>
      <c r="K23600" s="18" t="s">
        <v>477</v>
      </c>
    </row>
    <row r="23601">
      <c r="B23601" s="17" t="s">
        <v>477</v>
      </c>
      <c r="K23601" s="18" t="s">
        <v>477</v>
      </c>
    </row>
    <row r="23602">
      <c r="B23602" s="17" t="s">
        <v>477</v>
      </c>
      <c r="K23602" s="18" t="s">
        <v>477</v>
      </c>
    </row>
    <row r="23603">
      <c r="B23603" s="17" t="s">
        <v>477</v>
      </c>
      <c r="K23603" s="18" t="s">
        <v>477</v>
      </c>
    </row>
    <row r="23604">
      <c r="B23604" s="17" t="s">
        <v>477</v>
      </c>
      <c r="K23604" s="18" t="s">
        <v>477</v>
      </c>
    </row>
    <row r="23605">
      <c r="B23605" s="17" t="s">
        <v>477</v>
      </c>
      <c r="K23605" s="18" t="s">
        <v>477</v>
      </c>
    </row>
    <row r="23606">
      <c r="B23606" s="17" t="s">
        <v>477</v>
      </c>
      <c r="K23606" s="18" t="s">
        <v>477</v>
      </c>
    </row>
    <row r="23607">
      <c r="B23607" s="17" t="s">
        <v>477</v>
      </c>
      <c r="K23607" s="18" t="s">
        <v>477</v>
      </c>
    </row>
    <row r="23608">
      <c r="B23608" s="17" t="s">
        <v>477</v>
      </c>
      <c r="K23608" s="18" t="s">
        <v>477</v>
      </c>
    </row>
    <row r="23609">
      <c r="B23609" s="17" t="s">
        <v>477</v>
      </c>
      <c r="K23609" s="18" t="s">
        <v>477</v>
      </c>
    </row>
    <row r="23610">
      <c r="B23610" s="17" t="s">
        <v>477</v>
      </c>
      <c r="K23610" s="18" t="s">
        <v>477</v>
      </c>
    </row>
    <row r="23611">
      <c r="B23611" s="17" t="s">
        <v>477</v>
      </c>
      <c r="K23611" s="18" t="s">
        <v>477</v>
      </c>
    </row>
    <row r="23612">
      <c r="B23612" s="17" t="s">
        <v>477</v>
      </c>
      <c r="K23612" s="18" t="s">
        <v>477</v>
      </c>
    </row>
    <row r="23613">
      <c r="B23613" s="17" t="s">
        <v>477</v>
      </c>
      <c r="K23613" s="18" t="s">
        <v>477</v>
      </c>
    </row>
    <row r="23614">
      <c r="B23614" s="17" t="s">
        <v>477</v>
      </c>
      <c r="K23614" s="18" t="s">
        <v>477</v>
      </c>
    </row>
    <row r="23615">
      <c r="B23615" s="17" t="s">
        <v>477</v>
      </c>
      <c r="K23615" s="18" t="s">
        <v>477</v>
      </c>
    </row>
    <row r="23616">
      <c r="B23616" s="17" t="s">
        <v>477</v>
      </c>
      <c r="K23616" s="18" t="s">
        <v>477</v>
      </c>
    </row>
    <row r="23617">
      <c r="B23617" s="17" t="s">
        <v>477</v>
      </c>
      <c r="K23617" s="18" t="s">
        <v>477</v>
      </c>
    </row>
    <row r="23618">
      <c r="B23618" s="17" t="s">
        <v>477</v>
      </c>
      <c r="K23618" s="18" t="s">
        <v>477</v>
      </c>
    </row>
    <row r="23619">
      <c r="B23619" s="17" t="s">
        <v>477</v>
      </c>
      <c r="K23619" s="18" t="s">
        <v>477</v>
      </c>
    </row>
    <row r="23620">
      <c r="B23620" s="17" t="s">
        <v>477</v>
      </c>
      <c r="K23620" s="18" t="s">
        <v>477</v>
      </c>
    </row>
    <row r="23621">
      <c r="B23621" s="17" t="s">
        <v>477</v>
      </c>
      <c r="K23621" s="18" t="s">
        <v>477</v>
      </c>
    </row>
    <row r="23622">
      <c r="B23622" s="17" t="s">
        <v>477</v>
      </c>
      <c r="K23622" s="18" t="s">
        <v>477</v>
      </c>
    </row>
    <row r="23623">
      <c r="B23623" s="17" t="s">
        <v>477</v>
      </c>
      <c r="K23623" s="18" t="s">
        <v>477</v>
      </c>
    </row>
    <row r="23624">
      <c r="B23624" s="17" t="s">
        <v>477</v>
      </c>
      <c r="K23624" s="18" t="s">
        <v>477</v>
      </c>
    </row>
    <row r="23625">
      <c r="B23625" s="17" t="s">
        <v>477</v>
      </c>
      <c r="K23625" s="18" t="s">
        <v>477</v>
      </c>
    </row>
    <row r="23626">
      <c r="B23626" s="17" t="s">
        <v>477</v>
      </c>
      <c r="K23626" s="18" t="s">
        <v>477</v>
      </c>
    </row>
    <row r="23627">
      <c r="B23627" s="17" t="s">
        <v>477</v>
      </c>
      <c r="K23627" s="18" t="s">
        <v>477</v>
      </c>
    </row>
    <row r="23628">
      <c r="B23628" s="17" t="s">
        <v>477</v>
      </c>
      <c r="K23628" s="18" t="s">
        <v>477</v>
      </c>
    </row>
    <row r="23629">
      <c r="B23629" s="17" t="s">
        <v>477</v>
      </c>
      <c r="K23629" s="18" t="s">
        <v>477</v>
      </c>
    </row>
    <row r="23630">
      <c r="B23630" s="17" t="s">
        <v>477</v>
      </c>
      <c r="K23630" s="18" t="s">
        <v>477</v>
      </c>
    </row>
    <row r="23631">
      <c r="B23631" s="17" t="s">
        <v>477</v>
      </c>
      <c r="K23631" s="18" t="s">
        <v>477</v>
      </c>
    </row>
    <row r="23632">
      <c r="B23632" s="17" t="s">
        <v>477</v>
      </c>
      <c r="K23632" s="18" t="s">
        <v>477</v>
      </c>
    </row>
    <row r="23633">
      <c r="B23633" s="17" t="s">
        <v>477</v>
      </c>
      <c r="K23633" s="18" t="s">
        <v>477</v>
      </c>
    </row>
    <row r="23634">
      <c r="B23634" s="17" t="s">
        <v>477</v>
      </c>
      <c r="K23634" s="18" t="s">
        <v>477</v>
      </c>
    </row>
    <row r="23635">
      <c r="B23635" s="17" t="s">
        <v>477</v>
      </c>
      <c r="K23635" s="18" t="s">
        <v>477</v>
      </c>
    </row>
    <row r="23636">
      <c r="B23636" s="17" t="s">
        <v>477</v>
      </c>
      <c r="K23636" s="18" t="s">
        <v>477</v>
      </c>
    </row>
    <row r="23637">
      <c r="B23637" s="17" t="s">
        <v>477</v>
      </c>
      <c r="K23637" s="18" t="s">
        <v>477</v>
      </c>
    </row>
    <row r="23638">
      <c r="B23638" s="17" t="s">
        <v>477</v>
      </c>
      <c r="K23638" s="18" t="s">
        <v>477</v>
      </c>
    </row>
    <row r="23639">
      <c r="B23639" s="17" t="s">
        <v>477</v>
      </c>
      <c r="K23639" s="18" t="s">
        <v>477</v>
      </c>
    </row>
    <row r="23640">
      <c r="B23640" s="17" t="s">
        <v>477</v>
      </c>
      <c r="K23640" s="18" t="s">
        <v>477</v>
      </c>
    </row>
    <row r="23641">
      <c r="B23641" s="17" t="s">
        <v>477</v>
      </c>
      <c r="K23641" s="18" t="s">
        <v>477</v>
      </c>
    </row>
    <row r="23642">
      <c r="B23642" s="17" t="s">
        <v>477</v>
      </c>
      <c r="K23642" s="18" t="s">
        <v>477</v>
      </c>
    </row>
    <row r="23643">
      <c r="B23643" s="17" t="s">
        <v>477</v>
      </c>
      <c r="K23643" s="18" t="s">
        <v>477</v>
      </c>
    </row>
    <row r="23644">
      <c r="B23644" s="17" t="s">
        <v>477</v>
      </c>
      <c r="K23644" s="18" t="s">
        <v>477</v>
      </c>
    </row>
    <row r="23645">
      <c r="B23645" s="17" t="s">
        <v>477</v>
      </c>
      <c r="K23645" s="18" t="s">
        <v>477</v>
      </c>
    </row>
    <row r="23646">
      <c r="B23646" s="17" t="s">
        <v>477</v>
      </c>
      <c r="K23646" s="18" t="s">
        <v>477</v>
      </c>
    </row>
    <row r="23647">
      <c r="B23647" s="17" t="s">
        <v>477</v>
      </c>
      <c r="K23647" s="18" t="s">
        <v>477</v>
      </c>
    </row>
    <row r="23648">
      <c r="B23648" s="17" t="s">
        <v>477</v>
      </c>
      <c r="K23648" s="18" t="s">
        <v>477</v>
      </c>
    </row>
    <row r="23649">
      <c r="B23649" s="17" t="s">
        <v>477</v>
      </c>
      <c r="K23649" s="18" t="s">
        <v>477</v>
      </c>
    </row>
    <row r="23650">
      <c r="B23650" s="17" t="s">
        <v>477</v>
      </c>
      <c r="K23650" s="18" t="s">
        <v>477</v>
      </c>
    </row>
    <row r="23651">
      <c r="B23651" s="17" t="s">
        <v>477</v>
      </c>
      <c r="K23651" s="18" t="s">
        <v>477</v>
      </c>
    </row>
    <row r="23652">
      <c r="B23652" s="17" t="s">
        <v>477</v>
      </c>
      <c r="K23652" s="18" t="s">
        <v>477</v>
      </c>
    </row>
    <row r="23653">
      <c r="B23653" s="17" t="s">
        <v>477</v>
      </c>
      <c r="K23653" s="18" t="s">
        <v>477</v>
      </c>
    </row>
    <row r="23654">
      <c r="B23654" s="17" t="s">
        <v>477</v>
      </c>
      <c r="K23654" s="18" t="s">
        <v>477</v>
      </c>
    </row>
    <row r="23655">
      <c r="B23655" s="17" t="s">
        <v>477</v>
      </c>
      <c r="K23655" s="18" t="s">
        <v>477</v>
      </c>
    </row>
    <row r="23656">
      <c r="B23656" s="17" t="s">
        <v>477</v>
      </c>
      <c r="K23656" s="18" t="s">
        <v>477</v>
      </c>
    </row>
    <row r="23657">
      <c r="B23657" s="17" t="s">
        <v>477</v>
      </c>
      <c r="K23657" s="18" t="s">
        <v>477</v>
      </c>
    </row>
    <row r="23658">
      <c r="B23658" s="17" t="s">
        <v>477</v>
      </c>
      <c r="K23658" s="18" t="s">
        <v>477</v>
      </c>
    </row>
    <row r="23659">
      <c r="B23659" s="17" t="s">
        <v>477</v>
      </c>
      <c r="K23659" s="18" t="s">
        <v>477</v>
      </c>
    </row>
    <row r="23660">
      <c r="B23660" s="17" t="s">
        <v>477</v>
      </c>
      <c r="K23660" s="18" t="s">
        <v>477</v>
      </c>
    </row>
    <row r="23661">
      <c r="B23661" s="17" t="s">
        <v>477</v>
      </c>
      <c r="K23661" s="18" t="s">
        <v>477</v>
      </c>
    </row>
    <row r="23662">
      <c r="B23662" s="17" t="s">
        <v>477</v>
      </c>
      <c r="K23662" s="18" t="s">
        <v>477</v>
      </c>
    </row>
    <row r="23663">
      <c r="B23663" s="17" t="s">
        <v>477</v>
      </c>
      <c r="K23663" s="18" t="s">
        <v>477</v>
      </c>
    </row>
    <row r="23664">
      <c r="B23664" s="17" t="s">
        <v>477</v>
      </c>
      <c r="K23664" s="18" t="s">
        <v>477</v>
      </c>
    </row>
    <row r="23665">
      <c r="B23665" s="17" t="s">
        <v>477</v>
      </c>
      <c r="K23665" s="18" t="s">
        <v>477</v>
      </c>
    </row>
    <row r="23666">
      <c r="B23666" s="17" t="s">
        <v>477</v>
      </c>
      <c r="K23666" s="18" t="s">
        <v>477</v>
      </c>
    </row>
    <row r="23667">
      <c r="B23667" s="17" t="s">
        <v>477</v>
      </c>
      <c r="K23667" s="18" t="s">
        <v>477</v>
      </c>
    </row>
    <row r="23668">
      <c r="B23668" s="17" t="s">
        <v>477</v>
      </c>
      <c r="K23668" s="18" t="s">
        <v>477</v>
      </c>
    </row>
    <row r="23669">
      <c r="B23669" s="17" t="s">
        <v>477</v>
      </c>
      <c r="K23669" s="18" t="s">
        <v>477</v>
      </c>
    </row>
    <row r="23670">
      <c r="B23670" s="17" t="s">
        <v>477</v>
      </c>
      <c r="K23670" s="18" t="s">
        <v>477</v>
      </c>
    </row>
    <row r="23671">
      <c r="B23671" s="17" t="s">
        <v>477</v>
      </c>
      <c r="K23671" s="18" t="s">
        <v>477</v>
      </c>
    </row>
    <row r="23672">
      <c r="B23672" s="17" t="s">
        <v>477</v>
      </c>
      <c r="K23672" s="18" t="s">
        <v>477</v>
      </c>
    </row>
    <row r="23673">
      <c r="B23673" s="17" t="s">
        <v>477</v>
      </c>
      <c r="K23673" s="18" t="s">
        <v>477</v>
      </c>
    </row>
    <row r="23674">
      <c r="B23674" s="17" t="s">
        <v>477</v>
      </c>
      <c r="K23674" s="18" t="s">
        <v>477</v>
      </c>
    </row>
    <row r="23675">
      <c r="B23675" s="17" t="s">
        <v>477</v>
      </c>
      <c r="K23675" s="18" t="s">
        <v>477</v>
      </c>
    </row>
    <row r="23676">
      <c r="B23676" s="17" t="s">
        <v>477</v>
      </c>
      <c r="K23676" s="18" t="s">
        <v>477</v>
      </c>
    </row>
    <row r="23677">
      <c r="B23677" s="17" t="s">
        <v>477</v>
      </c>
      <c r="K23677" s="18" t="s">
        <v>477</v>
      </c>
    </row>
    <row r="23678">
      <c r="B23678" s="17" t="s">
        <v>477</v>
      </c>
      <c r="K23678" s="18" t="s">
        <v>477</v>
      </c>
    </row>
    <row r="23679">
      <c r="B23679" s="17" t="s">
        <v>477</v>
      </c>
      <c r="K23679" s="18" t="s">
        <v>477</v>
      </c>
    </row>
    <row r="23680">
      <c r="B23680" s="17" t="s">
        <v>477</v>
      </c>
      <c r="K23680" s="18" t="s">
        <v>477</v>
      </c>
    </row>
    <row r="23681">
      <c r="B23681" s="17" t="s">
        <v>477</v>
      </c>
      <c r="K23681" s="18" t="s">
        <v>477</v>
      </c>
    </row>
    <row r="23682">
      <c r="B23682" s="17" t="s">
        <v>477</v>
      </c>
      <c r="K23682" s="18" t="s">
        <v>477</v>
      </c>
    </row>
    <row r="23683">
      <c r="B23683" s="17" t="s">
        <v>477</v>
      </c>
      <c r="K23683" s="18" t="s">
        <v>477</v>
      </c>
    </row>
    <row r="23684">
      <c r="B23684" s="17" t="s">
        <v>477</v>
      </c>
      <c r="K23684" s="18" t="s">
        <v>477</v>
      </c>
    </row>
    <row r="23685">
      <c r="B23685" s="17" t="s">
        <v>477</v>
      </c>
      <c r="K23685" s="18" t="s">
        <v>477</v>
      </c>
    </row>
    <row r="23686">
      <c r="B23686" s="17" t="s">
        <v>477</v>
      </c>
      <c r="K23686" s="18" t="s">
        <v>477</v>
      </c>
    </row>
    <row r="23687">
      <c r="B23687" s="17" t="s">
        <v>477</v>
      </c>
      <c r="K23687" s="18" t="s">
        <v>477</v>
      </c>
    </row>
    <row r="23688">
      <c r="B23688" s="17" t="s">
        <v>477</v>
      </c>
      <c r="K23688" s="18" t="s">
        <v>477</v>
      </c>
    </row>
    <row r="23689">
      <c r="B23689" s="17" t="s">
        <v>477</v>
      </c>
      <c r="K23689" s="18" t="s">
        <v>477</v>
      </c>
    </row>
    <row r="23690">
      <c r="B23690" s="17" t="s">
        <v>477</v>
      </c>
      <c r="K23690" s="18" t="s">
        <v>477</v>
      </c>
    </row>
    <row r="23691">
      <c r="B23691" s="17" t="s">
        <v>477</v>
      </c>
      <c r="K23691" s="18" t="s">
        <v>477</v>
      </c>
    </row>
    <row r="23692">
      <c r="B23692" s="17" t="s">
        <v>477</v>
      </c>
      <c r="K23692" s="18" t="s">
        <v>477</v>
      </c>
    </row>
    <row r="23693">
      <c r="B23693" s="17" t="s">
        <v>477</v>
      </c>
      <c r="K23693" s="18" t="s">
        <v>477</v>
      </c>
    </row>
    <row r="23694">
      <c r="B23694" s="17" t="s">
        <v>477</v>
      </c>
      <c r="K23694" s="18" t="s">
        <v>477</v>
      </c>
    </row>
    <row r="23695">
      <c r="B23695" s="17" t="s">
        <v>477</v>
      </c>
      <c r="K23695" s="18" t="s">
        <v>477</v>
      </c>
    </row>
    <row r="23696">
      <c r="B23696" s="17" t="s">
        <v>477</v>
      </c>
      <c r="K23696" s="18" t="s">
        <v>477</v>
      </c>
    </row>
    <row r="23697">
      <c r="B23697" s="17" t="s">
        <v>477</v>
      </c>
      <c r="K23697" s="18" t="s">
        <v>477</v>
      </c>
    </row>
    <row r="23698">
      <c r="B23698" s="17" t="s">
        <v>477</v>
      </c>
      <c r="K23698" s="18" t="s">
        <v>477</v>
      </c>
    </row>
    <row r="23699">
      <c r="B23699" s="17" t="s">
        <v>477</v>
      </c>
      <c r="K23699" s="18" t="s">
        <v>477</v>
      </c>
    </row>
    <row r="23700">
      <c r="B23700" s="17" t="s">
        <v>477</v>
      </c>
      <c r="K23700" s="18" t="s">
        <v>477</v>
      </c>
    </row>
    <row r="23701">
      <c r="B23701" s="17" t="s">
        <v>477</v>
      </c>
      <c r="K23701" s="18" t="s">
        <v>477</v>
      </c>
    </row>
    <row r="23702">
      <c r="B23702" s="17" t="s">
        <v>477</v>
      </c>
      <c r="K23702" s="18" t="s">
        <v>477</v>
      </c>
    </row>
    <row r="23703">
      <c r="B23703" s="17" t="s">
        <v>477</v>
      </c>
      <c r="K23703" s="18" t="s">
        <v>477</v>
      </c>
    </row>
    <row r="23704">
      <c r="B23704" s="17" t="s">
        <v>477</v>
      </c>
      <c r="K23704" s="18" t="s">
        <v>477</v>
      </c>
    </row>
    <row r="23705">
      <c r="B23705" s="17" t="s">
        <v>477</v>
      </c>
      <c r="K23705" s="18" t="s">
        <v>477</v>
      </c>
    </row>
    <row r="23706">
      <c r="B23706" s="17" t="s">
        <v>477</v>
      </c>
      <c r="K23706" s="18" t="s">
        <v>477</v>
      </c>
    </row>
    <row r="23707">
      <c r="B23707" s="17" t="s">
        <v>477</v>
      </c>
      <c r="K23707" s="18" t="s">
        <v>477</v>
      </c>
    </row>
    <row r="23708">
      <c r="B23708" s="17" t="s">
        <v>477</v>
      </c>
      <c r="K23708" s="18" t="s">
        <v>477</v>
      </c>
    </row>
    <row r="23709">
      <c r="B23709" s="17" t="s">
        <v>477</v>
      </c>
      <c r="K23709" s="18" t="s">
        <v>477</v>
      </c>
    </row>
    <row r="23710">
      <c r="B23710" s="17" t="s">
        <v>477</v>
      </c>
      <c r="K23710" s="18" t="s">
        <v>477</v>
      </c>
    </row>
    <row r="23711">
      <c r="B23711" s="17" t="s">
        <v>477</v>
      </c>
      <c r="K23711" s="18" t="s">
        <v>477</v>
      </c>
    </row>
    <row r="23712">
      <c r="B23712" s="17" t="s">
        <v>477</v>
      </c>
      <c r="K23712" s="18" t="s">
        <v>477</v>
      </c>
    </row>
    <row r="23713">
      <c r="B23713" s="17" t="s">
        <v>477</v>
      </c>
      <c r="K23713" s="18" t="s">
        <v>477</v>
      </c>
    </row>
    <row r="23714">
      <c r="B23714" s="17" t="s">
        <v>477</v>
      </c>
      <c r="K23714" s="18" t="s">
        <v>477</v>
      </c>
    </row>
    <row r="23715">
      <c r="B23715" s="17" t="s">
        <v>477</v>
      </c>
      <c r="K23715" s="18" t="s">
        <v>477</v>
      </c>
    </row>
    <row r="23716">
      <c r="B23716" s="17" t="s">
        <v>477</v>
      </c>
      <c r="K23716" s="18" t="s">
        <v>477</v>
      </c>
    </row>
    <row r="23717">
      <c r="B23717" s="17" t="s">
        <v>477</v>
      </c>
      <c r="K23717" s="18" t="s">
        <v>477</v>
      </c>
    </row>
    <row r="23718">
      <c r="B23718" s="17" t="s">
        <v>477</v>
      </c>
      <c r="K23718" s="18" t="s">
        <v>477</v>
      </c>
    </row>
    <row r="23719">
      <c r="B23719" s="17" t="s">
        <v>477</v>
      </c>
      <c r="K23719" s="18" t="s">
        <v>477</v>
      </c>
    </row>
    <row r="23720">
      <c r="B23720" s="17" t="s">
        <v>477</v>
      </c>
      <c r="K23720" s="18" t="s">
        <v>477</v>
      </c>
    </row>
    <row r="23721">
      <c r="B23721" s="17" t="s">
        <v>477</v>
      </c>
      <c r="K23721" s="18" t="s">
        <v>477</v>
      </c>
    </row>
    <row r="23722">
      <c r="B23722" s="17" t="s">
        <v>477</v>
      </c>
      <c r="K23722" s="18" t="s">
        <v>477</v>
      </c>
    </row>
    <row r="23723">
      <c r="B23723" s="17" t="s">
        <v>477</v>
      </c>
      <c r="K23723" s="18" t="s">
        <v>477</v>
      </c>
    </row>
    <row r="23724">
      <c r="B23724" s="17" t="s">
        <v>477</v>
      </c>
      <c r="K23724" s="18" t="s">
        <v>477</v>
      </c>
    </row>
    <row r="23725">
      <c r="B23725" s="17" t="s">
        <v>477</v>
      </c>
      <c r="K23725" s="18" t="s">
        <v>477</v>
      </c>
    </row>
    <row r="23726">
      <c r="B23726" s="17" t="s">
        <v>477</v>
      </c>
      <c r="K23726" s="18" t="s">
        <v>477</v>
      </c>
    </row>
    <row r="23727">
      <c r="B23727" s="17" t="s">
        <v>477</v>
      </c>
      <c r="K23727" s="18" t="s">
        <v>477</v>
      </c>
    </row>
    <row r="23728">
      <c r="B23728" s="17" t="s">
        <v>477</v>
      </c>
      <c r="K23728" s="18" t="s">
        <v>477</v>
      </c>
    </row>
    <row r="23729">
      <c r="B23729" s="17" t="s">
        <v>477</v>
      </c>
      <c r="K23729" s="18" t="s">
        <v>477</v>
      </c>
    </row>
    <row r="23730">
      <c r="B23730" s="17" t="s">
        <v>477</v>
      </c>
      <c r="K23730" s="18" t="s">
        <v>477</v>
      </c>
    </row>
    <row r="23731">
      <c r="B23731" s="17" t="s">
        <v>477</v>
      </c>
      <c r="K23731" s="18" t="s">
        <v>477</v>
      </c>
    </row>
    <row r="23732">
      <c r="B23732" s="17" t="s">
        <v>477</v>
      </c>
      <c r="K23732" s="18" t="s">
        <v>477</v>
      </c>
    </row>
    <row r="23733">
      <c r="B23733" s="17" t="s">
        <v>477</v>
      </c>
      <c r="K23733" s="18" t="s">
        <v>477</v>
      </c>
    </row>
    <row r="23734">
      <c r="B23734" s="17" t="s">
        <v>477</v>
      </c>
      <c r="K23734" s="18" t="s">
        <v>477</v>
      </c>
    </row>
    <row r="23735">
      <c r="B23735" s="17" t="s">
        <v>477</v>
      </c>
      <c r="K23735" s="18" t="s">
        <v>477</v>
      </c>
    </row>
    <row r="23736">
      <c r="B23736" s="17" t="s">
        <v>477</v>
      </c>
      <c r="K23736" s="18" t="s">
        <v>477</v>
      </c>
    </row>
    <row r="23737">
      <c r="B23737" s="17" t="s">
        <v>477</v>
      </c>
      <c r="K23737" s="18" t="s">
        <v>477</v>
      </c>
    </row>
    <row r="23738">
      <c r="B23738" s="17" t="s">
        <v>477</v>
      </c>
      <c r="K23738" s="18" t="s">
        <v>477</v>
      </c>
    </row>
    <row r="23739">
      <c r="B23739" s="17" t="s">
        <v>477</v>
      </c>
      <c r="K23739" s="18" t="s">
        <v>477</v>
      </c>
    </row>
    <row r="23740">
      <c r="B23740" s="17" t="s">
        <v>477</v>
      </c>
      <c r="K23740" s="18" t="s">
        <v>477</v>
      </c>
    </row>
    <row r="23741">
      <c r="B23741" s="17" t="s">
        <v>477</v>
      </c>
      <c r="K23741" s="18" t="s">
        <v>477</v>
      </c>
    </row>
    <row r="23742">
      <c r="B23742" s="17" t="s">
        <v>477</v>
      </c>
      <c r="K23742" s="18" t="s">
        <v>477</v>
      </c>
    </row>
    <row r="23743">
      <c r="B23743" s="17" t="s">
        <v>477</v>
      </c>
      <c r="K23743" s="18" t="s">
        <v>477</v>
      </c>
    </row>
    <row r="23744">
      <c r="B23744" s="17" t="s">
        <v>477</v>
      </c>
      <c r="K23744" s="18" t="s">
        <v>477</v>
      </c>
    </row>
    <row r="23745">
      <c r="B23745" s="17" t="s">
        <v>477</v>
      </c>
      <c r="K23745" s="18" t="s">
        <v>477</v>
      </c>
    </row>
    <row r="23746">
      <c r="B23746" s="17" t="s">
        <v>477</v>
      </c>
      <c r="K23746" s="18" t="s">
        <v>477</v>
      </c>
    </row>
    <row r="23747">
      <c r="B23747" s="17" t="s">
        <v>477</v>
      </c>
      <c r="K23747" s="18" t="s">
        <v>477</v>
      </c>
    </row>
    <row r="23748">
      <c r="B23748" s="17" t="s">
        <v>477</v>
      </c>
      <c r="K23748" s="18" t="s">
        <v>477</v>
      </c>
    </row>
    <row r="23749">
      <c r="B23749" s="17" t="s">
        <v>477</v>
      </c>
      <c r="K23749" s="18" t="s">
        <v>477</v>
      </c>
    </row>
    <row r="23750">
      <c r="B23750" s="17" t="s">
        <v>477</v>
      </c>
      <c r="K23750" s="18" t="s">
        <v>477</v>
      </c>
    </row>
    <row r="23751">
      <c r="B23751" s="17" t="s">
        <v>477</v>
      </c>
      <c r="K23751" s="18" t="s">
        <v>477</v>
      </c>
    </row>
    <row r="23752">
      <c r="B23752" s="17" t="s">
        <v>477</v>
      </c>
      <c r="K23752" s="18" t="s">
        <v>477</v>
      </c>
    </row>
    <row r="23753">
      <c r="B23753" s="17" t="s">
        <v>477</v>
      </c>
      <c r="K23753" s="18" t="s">
        <v>477</v>
      </c>
    </row>
    <row r="23754">
      <c r="B23754" s="17" t="s">
        <v>477</v>
      </c>
      <c r="K23754" s="18" t="s">
        <v>477</v>
      </c>
    </row>
    <row r="23755">
      <c r="B23755" s="17" t="s">
        <v>477</v>
      </c>
      <c r="K23755" s="18" t="s">
        <v>477</v>
      </c>
    </row>
    <row r="23756">
      <c r="B23756" s="17" t="s">
        <v>477</v>
      </c>
      <c r="K23756" s="18" t="s">
        <v>477</v>
      </c>
    </row>
    <row r="23757">
      <c r="B23757" s="17" t="s">
        <v>477</v>
      </c>
      <c r="K23757" s="18" t="s">
        <v>477</v>
      </c>
    </row>
    <row r="23758">
      <c r="B23758" s="17" t="s">
        <v>477</v>
      </c>
      <c r="K23758" s="18" t="s">
        <v>477</v>
      </c>
    </row>
    <row r="23759">
      <c r="B23759" s="17" t="s">
        <v>477</v>
      </c>
      <c r="K23759" s="18" t="s">
        <v>477</v>
      </c>
    </row>
    <row r="23760">
      <c r="B23760" s="17" t="s">
        <v>477</v>
      </c>
      <c r="K23760" s="18" t="s">
        <v>477</v>
      </c>
    </row>
    <row r="23761">
      <c r="B23761" s="17" t="s">
        <v>477</v>
      </c>
      <c r="K23761" s="18" t="s">
        <v>477</v>
      </c>
    </row>
    <row r="23762">
      <c r="B23762" s="17" t="s">
        <v>477</v>
      </c>
      <c r="K23762" s="18" t="s">
        <v>477</v>
      </c>
    </row>
    <row r="23763">
      <c r="B23763" s="17" t="s">
        <v>477</v>
      </c>
      <c r="K23763" s="18" t="s">
        <v>477</v>
      </c>
    </row>
    <row r="23764">
      <c r="B23764" s="17" t="s">
        <v>477</v>
      </c>
      <c r="K23764" s="18" t="s">
        <v>477</v>
      </c>
    </row>
    <row r="23765">
      <c r="B23765" s="17" t="s">
        <v>477</v>
      </c>
      <c r="K23765" s="18" t="s">
        <v>477</v>
      </c>
    </row>
    <row r="23766">
      <c r="B23766" s="17" t="s">
        <v>477</v>
      </c>
      <c r="K23766" s="18" t="s">
        <v>477</v>
      </c>
    </row>
    <row r="23767">
      <c r="B23767" s="17" t="s">
        <v>477</v>
      </c>
      <c r="K23767" s="18" t="s">
        <v>477</v>
      </c>
    </row>
    <row r="23768">
      <c r="B23768" s="17" t="s">
        <v>477</v>
      </c>
      <c r="K23768" s="18" t="s">
        <v>477</v>
      </c>
    </row>
    <row r="23769">
      <c r="B23769" s="17" t="s">
        <v>477</v>
      </c>
      <c r="K23769" s="18" t="s">
        <v>477</v>
      </c>
    </row>
    <row r="23770">
      <c r="B23770" s="17" t="s">
        <v>477</v>
      </c>
      <c r="K23770" s="18" t="s">
        <v>477</v>
      </c>
    </row>
    <row r="23771">
      <c r="B23771" s="17" t="s">
        <v>477</v>
      </c>
      <c r="K23771" s="18" t="s">
        <v>477</v>
      </c>
    </row>
    <row r="23772">
      <c r="B23772" s="17" t="s">
        <v>477</v>
      </c>
      <c r="K23772" s="18" t="s">
        <v>477</v>
      </c>
    </row>
    <row r="23773">
      <c r="B23773" s="17" t="s">
        <v>477</v>
      </c>
      <c r="K23773" s="18" t="s">
        <v>477</v>
      </c>
    </row>
    <row r="23774">
      <c r="B23774" s="17" t="s">
        <v>477</v>
      </c>
      <c r="K23774" s="18" t="s">
        <v>477</v>
      </c>
    </row>
    <row r="23775">
      <c r="B23775" s="17" t="s">
        <v>477</v>
      </c>
      <c r="K23775" s="18" t="s">
        <v>477</v>
      </c>
    </row>
    <row r="23776">
      <c r="B23776" s="17" t="s">
        <v>477</v>
      </c>
      <c r="K23776" s="18" t="s">
        <v>477</v>
      </c>
    </row>
    <row r="23777">
      <c r="B23777" s="17" t="s">
        <v>477</v>
      </c>
      <c r="K23777" s="18" t="s">
        <v>477</v>
      </c>
    </row>
    <row r="23778">
      <c r="B23778" s="17" t="s">
        <v>477</v>
      </c>
      <c r="K23778" s="18" t="s">
        <v>477</v>
      </c>
    </row>
    <row r="23779">
      <c r="B23779" s="17" t="s">
        <v>477</v>
      </c>
      <c r="K23779" s="18" t="s">
        <v>477</v>
      </c>
    </row>
    <row r="23780">
      <c r="B23780" s="17" t="s">
        <v>477</v>
      </c>
      <c r="K23780" s="18" t="s">
        <v>477</v>
      </c>
    </row>
    <row r="23781">
      <c r="B23781" s="17" t="s">
        <v>477</v>
      </c>
      <c r="K23781" s="18" t="s">
        <v>477</v>
      </c>
    </row>
    <row r="23782">
      <c r="B23782" s="17" t="s">
        <v>477</v>
      </c>
      <c r="K23782" s="18" t="s">
        <v>477</v>
      </c>
    </row>
    <row r="23783">
      <c r="B23783" s="17" t="s">
        <v>477</v>
      </c>
      <c r="K23783" s="18" t="s">
        <v>477</v>
      </c>
    </row>
    <row r="23784">
      <c r="B23784" s="17" t="s">
        <v>477</v>
      </c>
      <c r="K23784" s="18" t="s">
        <v>477</v>
      </c>
    </row>
    <row r="23785">
      <c r="B23785" s="17" t="s">
        <v>477</v>
      </c>
      <c r="K23785" s="18" t="s">
        <v>477</v>
      </c>
    </row>
    <row r="23786">
      <c r="B23786" s="17" t="s">
        <v>477</v>
      </c>
      <c r="K23786" s="18" t="s">
        <v>477</v>
      </c>
    </row>
    <row r="23787">
      <c r="B23787" s="17" t="s">
        <v>477</v>
      </c>
      <c r="K23787" s="18" t="s">
        <v>477</v>
      </c>
    </row>
    <row r="23788">
      <c r="B23788" s="17" t="s">
        <v>477</v>
      </c>
      <c r="K23788" s="18" t="s">
        <v>477</v>
      </c>
    </row>
    <row r="23789">
      <c r="B23789" s="17" t="s">
        <v>477</v>
      </c>
      <c r="K23789" s="18" t="s">
        <v>477</v>
      </c>
    </row>
    <row r="23790">
      <c r="B23790" s="17" t="s">
        <v>477</v>
      </c>
      <c r="K23790" s="18" t="s">
        <v>477</v>
      </c>
    </row>
    <row r="23791">
      <c r="B23791" s="17" t="s">
        <v>477</v>
      </c>
      <c r="K23791" s="18" t="s">
        <v>477</v>
      </c>
    </row>
    <row r="23792">
      <c r="B23792" s="17" t="s">
        <v>477</v>
      </c>
      <c r="K23792" s="18" t="s">
        <v>477</v>
      </c>
    </row>
    <row r="23793">
      <c r="B23793" s="17" t="s">
        <v>477</v>
      </c>
      <c r="K23793" s="18" t="s">
        <v>477</v>
      </c>
    </row>
    <row r="23794">
      <c r="B23794" s="17" t="s">
        <v>477</v>
      </c>
      <c r="K23794" s="18" t="s">
        <v>477</v>
      </c>
    </row>
    <row r="23795">
      <c r="B23795" s="17" t="s">
        <v>477</v>
      </c>
      <c r="K23795" s="18" t="s">
        <v>477</v>
      </c>
    </row>
    <row r="23796">
      <c r="B23796" s="17" t="s">
        <v>477</v>
      </c>
      <c r="K23796" s="18" t="s">
        <v>477</v>
      </c>
    </row>
    <row r="23797">
      <c r="B23797" s="17" t="s">
        <v>477</v>
      </c>
      <c r="K23797" s="18" t="s">
        <v>477</v>
      </c>
    </row>
    <row r="23798">
      <c r="B23798" s="17" t="s">
        <v>477</v>
      </c>
      <c r="K23798" s="18" t="s">
        <v>477</v>
      </c>
    </row>
    <row r="23799">
      <c r="B23799" s="17" t="s">
        <v>477</v>
      </c>
      <c r="K23799" s="18" t="s">
        <v>477</v>
      </c>
    </row>
    <row r="23800">
      <c r="B23800" s="17" t="s">
        <v>477</v>
      </c>
      <c r="K23800" s="18" t="s">
        <v>477</v>
      </c>
    </row>
    <row r="23801">
      <c r="B23801" s="17" t="s">
        <v>477</v>
      </c>
      <c r="K23801" s="18" t="s">
        <v>477</v>
      </c>
    </row>
    <row r="23802">
      <c r="B23802" s="17" t="s">
        <v>477</v>
      </c>
      <c r="K23802" s="18" t="s">
        <v>477</v>
      </c>
    </row>
    <row r="23803">
      <c r="B23803" s="17" t="s">
        <v>477</v>
      </c>
      <c r="K23803" s="18" t="s">
        <v>477</v>
      </c>
    </row>
    <row r="23804">
      <c r="B23804" s="17" t="s">
        <v>477</v>
      </c>
      <c r="K23804" s="18" t="s">
        <v>477</v>
      </c>
    </row>
    <row r="23805">
      <c r="B23805" s="17" t="s">
        <v>477</v>
      </c>
      <c r="K23805" s="18" t="s">
        <v>477</v>
      </c>
    </row>
    <row r="23806">
      <c r="B23806" s="17" t="s">
        <v>477</v>
      </c>
      <c r="K23806" s="18" t="s">
        <v>477</v>
      </c>
    </row>
    <row r="23807">
      <c r="B23807" s="17" t="s">
        <v>477</v>
      </c>
      <c r="K23807" s="18" t="s">
        <v>477</v>
      </c>
    </row>
    <row r="23808">
      <c r="B23808" s="17" t="s">
        <v>477</v>
      </c>
      <c r="K23808" s="18" t="s">
        <v>477</v>
      </c>
    </row>
    <row r="23809">
      <c r="B23809" s="17" t="s">
        <v>477</v>
      </c>
      <c r="K23809" s="18" t="s">
        <v>477</v>
      </c>
    </row>
    <row r="23810">
      <c r="B23810" s="17" t="s">
        <v>477</v>
      </c>
      <c r="K23810" s="18" t="s">
        <v>477</v>
      </c>
    </row>
    <row r="23811">
      <c r="B23811" s="17" t="s">
        <v>477</v>
      </c>
      <c r="K23811" s="18" t="s">
        <v>477</v>
      </c>
    </row>
    <row r="23812">
      <c r="B23812" s="17" t="s">
        <v>477</v>
      </c>
      <c r="K23812" s="18" t="s">
        <v>477</v>
      </c>
    </row>
    <row r="23813">
      <c r="B23813" s="17" t="s">
        <v>477</v>
      </c>
      <c r="K23813" s="18" t="s">
        <v>477</v>
      </c>
    </row>
    <row r="23814">
      <c r="B23814" s="17" t="s">
        <v>477</v>
      </c>
      <c r="K23814" s="18" t="s">
        <v>477</v>
      </c>
    </row>
    <row r="23815">
      <c r="B23815" s="17" t="s">
        <v>477</v>
      </c>
      <c r="K23815" s="18" t="s">
        <v>477</v>
      </c>
    </row>
    <row r="23816">
      <c r="B23816" s="17" t="s">
        <v>477</v>
      </c>
      <c r="K23816" s="18" t="s">
        <v>477</v>
      </c>
    </row>
    <row r="23817">
      <c r="B23817" s="17" t="s">
        <v>477</v>
      </c>
      <c r="K23817" s="18" t="s">
        <v>477</v>
      </c>
    </row>
    <row r="23818">
      <c r="B23818" s="17" t="s">
        <v>477</v>
      </c>
      <c r="K23818" s="18" t="s">
        <v>477</v>
      </c>
    </row>
    <row r="23819">
      <c r="B23819" s="17" t="s">
        <v>477</v>
      </c>
      <c r="K23819" s="18" t="s">
        <v>477</v>
      </c>
    </row>
    <row r="23820">
      <c r="B23820" s="17" t="s">
        <v>477</v>
      </c>
      <c r="K23820" s="18" t="s">
        <v>477</v>
      </c>
    </row>
    <row r="23821">
      <c r="B23821" s="17" t="s">
        <v>477</v>
      </c>
      <c r="K23821" s="18" t="s">
        <v>477</v>
      </c>
    </row>
    <row r="23822">
      <c r="B23822" s="17" t="s">
        <v>477</v>
      </c>
      <c r="K23822" s="18" t="s">
        <v>477</v>
      </c>
    </row>
    <row r="23823">
      <c r="B23823" s="17" t="s">
        <v>477</v>
      </c>
      <c r="K23823" s="18" t="s">
        <v>477</v>
      </c>
    </row>
    <row r="23824">
      <c r="B23824" s="17" t="s">
        <v>477</v>
      </c>
      <c r="K23824" s="18" t="s">
        <v>477</v>
      </c>
    </row>
    <row r="23825">
      <c r="B23825" s="17" t="s">
        <v>477</v>
      </c>
      <c r="K23825" s="18" t="s">
        <v>477</v>
      </c>
    </row>
    <row r="23826">
      <c r="B23826" s="17" t="s">
        <v>477</v>
      </c>
      <c r="K23826" s="18" t="s">
        <v>477</v>
      </c>
    </row>
    <row r="23827">
      <c r="B23827" s="17" t="s">
        <v>477</v>
      </c>
      <c r="K23827" s="18" t="s">
        <v>477</v>
      </c>
    </row>
    <row r="23828">
      <c r="B23828" s="17" t="s">
        <v>477</v>
      </c>
      <c r="K23828" s="18" t="s">
        <v>477</v>
      </c>
    </row>
    <row r="23829">
      <c r="B23829" s="17" t="s">
        <v>477</v>
      </c>
      <c r="K23829" s="18" t="s">
        <v>477</v>
      </c>
    </row>
    <row r="23830">
      <c r="B23830" s="17" t="s">
        <v>477</v>
      </c>
      <c r="K23830" s="18" t="s">
        <v>477</v>
      </c>
    </row>
    <row r="23831">
      <c r="B23831" s="17" t="s">
        <v>477</v>
      </c>
      <c r="K23831" s="18" t="s">
        <v>477</v>
      </c>
    </row>
    <row r="23832">
      <c r="B23832" s="17" t="s">
        <v>477</v>
      </c>
      <c r="K23832" s="18" t="s">
        <v>477</v>
      </c>
    </row>
    <row r="23833">
      <c r="B23833" s="17" t="s">
        <v>477</v>
      </c>
      <c r="K23833" s="18" t="s">
        <v>477</v>
      </c>
    </row>
    <row r="23834">
      <c r="B23834" s="17" t="s">
        <v>477</v>
      </c>
      <c r="K23834" s="18" t="s">
        <v>477</v>
      </c>
    </row>
    <row r="23835">
      <c r="B23835" s="17" t="s">
        <v>477</v>
      </c>
      <c r="K23835" s="18" t="s">
        <v>477</v>
      </c>
    </row>
    <row r="23836">
      <c r="B23836" s="17" t="s">
        <v>477</v>
      </c>
      <c r="K23836" s="18" t="s">
        <v>477</v>
      </c>
    </row>
    <row r="23837">
      <c r="B23837" s="17" t="s">
        <v>477</v>
      </c>
      <c r="K23837" s="18" t="s">
        <v>477</v>
      </c>
    </row>
    <row r="23838">
      <c r="B23838" s="17" t="s">
        <v>477</v>
      </c>
      <c r="K23838" s="18" t="s">
        <v>477</v>
      </c>
    </row>
    <row r="23839">
      <c r="B23839" s="17" t="s">
        <v>477</v>
      </c>
      <c r="K23839" s="18" t="s">
        <v>477</v>
      </c>
    </row>
    <row r="23840">
      <c r="B23840" s="17" t="s">
        <v>477</v>
      </c>
      <c r="K23840" s="18" t="s">
        <v>477</v>
      </c>
    </row>
    <row r="23841">
      <c r="B23841" s="17" t="s">
        <v>477</v>
      </c>
      <c r="K23841" s="18" t="s">
        <v>477</v>
      </c>
    </row>
    <row r="23842">
      <c r="B23842" s="17" t="s">
        <v>477</v>
      </c>
      <c r="K23842" s="18" t="s">
        <v>477</v>
      </c>
    </row>
    <row r="23843">
      <c r="B23843" s="17" t="s">
        <v>477</v>
      </c>
      <c r="K23843" s="18" t="s">
        <v>477</v>
      </c>
    </row>
    <row r="23844">
      <c r="B23844" s="17" t="s">
        <v>477</v>
      </c>
      <c r="K23844" s="18" t="s">
        <v>477</v>
      </c>
    </row>
    <row r="23845">
      <c r="B23845" s="17" t="s">
        <v>477</v>
      </c>
      <c r="K23845" s="18" t="s">
        <v>477</v>
      </c>
    </row>
    <row r="23846">
      <c r="B23846" s="17" t="s">
        <v>477</v>
      </c>
      <c r="K23846" s="18" t="s">
        <v>477</v>
      </c>
    </row>
    <row r="23847">
      <c r="B23847" s="17" t="s">
        <v>477</v>
      </c>
      <c r="K23847" s="18" t="s">
        <v>477</v>
      </c>
    </row>
    <row r="23848">
      <c r="B23848" s="17" t="s">
        <v>477</v>
      </c>
      <c r="K23848" s="18" t="s">
        <v>477</v>
      </c>
    </row>
    <row r="23849">
      <c r="B23849" s="17" t="s">
        <v>477</v>
      </c>
      <c r="K23849" s="18" t="s">
        <v>477</v>
      </c>
    </row>
    <row r="23850">
      <c r="B23850" s="17" t="s">
        <v>477</v>
      </c>
      <c r="K23850" s="18" t="s">
        <v>477</v>
      </c>
    </row>
    <row r="23851">
      <c r="B23851" s="17" t="s">
        <v>477</v>
      </c>
      <c r="K23851" s="18" t="s">
        <v>477</v>
      </c>
    </row>
    <row r="23852">
      <c r="B23852" s="17" t="s">
        <v>477</v>
      </c>
      <c r="K23852" s="18" t="s">
        <v>477</v>
      </c>
    </row>
    <row r="23853">
      <c r="B23853" s="17" t="s">
        <v>477</v>
      </c>
      <c r="K23853" s="18" t="s">
        <v>477</v>
      </c>
    </row>
    <row r="23854">
      <c r="B23854" s="17" t="s">
        <v>477</v>
      </c>
      <c r="K23854" s="18" t="s">
        <v>477</v>
      </c>
    </row>
    <row r="23855">
      <c r="B23855" s="17" t="s">
        <v>477</v>
      </c>
      <c r="K23855" s="18" t="s">
        <v>477</v>
      </c>
    </row>
    <row r="23856">
      <c r="B23856" s="17" t="s">
        <v>477</v>
      </c>
      <c r="K23856" s="18" t="s">
        <v>477</v>
      </c>
    </row>
    <row r="23857">
      <c r="B23857" s="17" t="s">
        <v>477</v>
      </c>
      <c r="K23857" s="18" t="s">
        <v>477</v>
      </c>
    </row>
    <row r="23858">
      <c r="B23858" s="17" t="s">
        <v>477</v>
      </c>
      <c r="K23858" s="18" t="s">
        <v>477</v>
      </c>
    </row>
    <row r="23859">
      <c r="B23859" s="17" t="s">
        <v>477</v>
      </c>
      <c r="K23859" s="18" t="s">
        <v>477</v>
      </c>
    </row>
    <row r="23860">
      <c r="B23860" s="17" t="s">
        <v>477</v>
      </c>
      <c r="K23860" s="18" t="s">
        <v>477</v>
      </c>
    </row>
    <row r="23861">
      <c r="B23861" s="17" t="s">
        <v>477</v>
      </c>
      <c r="K23861" s="18" t="s">
        <v>477</v>
      </c>
    </row>
    <row r="23862">
      <c r="B23862" s="17" t="s">
        <v>477</v>
      </c>
      <c r="K23862" s="18" t="s">
        <v>477</v>
      </c>
    </row>
    <row r="23863">
      <c r="B23863" s="17" t="s">
        <v>477</v>
      </c>
      <c r="K23863" s="18" t="s">
        <v>477</v>
      </c>
    </row>
    <row r="23864">
      <c r="B23864" s="17" t="s">
        <v>477</v>
      </c>
      <c r="K23864" s="18" t="s">
        <v>477</v>
      </c>
    </row>
    <row r="23865">
      <c r="B23865" s="17" t="s">
        <v>477</v>
      </c>
      <c r="K23865" s="18" t="s">
        <v>477</v>
      </c>
    </row>
    <row r="23866">
      <c r="B23866" s="17" t="s">
        <v>477</v>
      </c>
      <c r="K23866" s="18" t="s">
        <v>477</v>
      </c>
    </row>
    <row r="23867">
      <c r="B23867" s="17" t="s">
        <v>477</v>
      </c>
      <c r="K23867" s="18" t="s">
        <v>477</v>
      </c>
    </row>
    <row r="23868">
      <c r="B23868" s="17" t="s">
        <v>477</v>
      </c>
      <c r="K23868" s="18" t="s">
        <v>477</v>
      </c>
    </row>
    <row r="23869">
      <c r="B23869" s="17" t="s">
        <v>477</v>
      </c>
      <c r="K23869" s="18" t="s">
        <v>477</v>
      </c>
    </row>
    <row r="23870">
      <c r="B23870" s="17" t="s">
        <v>477</v>
      </c>
      <c r="K23870" s="18" t="s">
        <v>477</v>
      </c>
    </row>
    <row r="23871">
      <c r="B23871" s="17" t="s">
        <v>477</v>
      </c>
      <c r="K23871" s="18" t="s">
        <v>477</v>
      </c>
    </row>
    <row r="23872">
      <c r="B23872" s="17" t="s">
        <v>477</v>
      </c>
      <c r="K23872" s="18" t="s">
        <v>477</v>
      </c>
    </row>
    <row r="23873">
      <c r="B23873" s="17" t="s">
        <v>477</v>
      </c>
      <c r="K23873" s="18" t="s">
        <v>477</v>
      </c>
    </row>
    <row r="23874">
      <c r="B23874" s="17" t="s">
        <v>477</v>
      </c>
      <c r="K23874" s="18" t="s">
        <v>477</v>
      </c>
    </row>
    <row r="23875">
      <c r="B23875" s="17" t="s">
        <v>477</v>
      </c>
      <c r="K23875" s="18" t="s">
        <v>477</v>
      </c>
    </row>
    <row r="23876">
      <c r="B23876" s="17" t="s">
        <v>477</v>
      </c>
      <c r="K23876" s="18" t="s">
        <v>477</v>
      </c>
    </row>
    <row r="23877">
      <c r="B23877" s="17" t="s">
        <v>477</v>
      </c>
      <c r="K23877" s="18" t="s">
        <v>477</v>
      </c>
    </row>
    <row r="23878">
      <c r="B23878" s="17" t="s">
        <v>477</v>
      </c>
      <c r="K23878" s="18" t="s">
        <v>477</v>
      </c>
    </row>
    <row r="23879">
      <c r="B23879" s="17" t="s">
        <v>477</v>
      </c>
      <c r="K23879" s="18" t="s">
        <v>477</v>
      </c>
    </row>
    <row r="23880">
      <c r="B23880" s="17" t="s">
        <v>477</v>
      </c>
      <c r="K23880" s="18" t="s">
        <v>477</v>
      </c>
    </row>
    <row r="23881">
      <c r="B23881" s="17" t="s">
        <v>477</v>
      </c>
      <c r="K23881" s="18" t="s">
        <v>477</v>
      </c>
    </row>
    <row r="23882">
      <c r="B23882" s="17" t="s">
        <v>477</v>
      </c>
      <c r="K23882" s="18" t="s">
        <v>477</v>
      </c>
    </row>
    <row r="23883">
      <c r="B23883" s="17" t="s">
        <v>477</v>
      </c>
      <c r="K23883" s="18" t="s">
        <v>477</v>
      </c>
    </row>
    <row r="23884">
      <c r="B23884" s="17" t="s">
        <v>477</v>
      </c>
      <c r="K23884" s="18" t="s">
        <v>477</v>
      </c>
    </row>
    <row r="23885">
      <c r="B23885" s="17" t="s">
        <v>477</v>
      </c>
      <c r="K23885" s="18" t="s">
        <v>477</v>
      </c>
    </row>
    <row r="23886">
      <c r="B23886" s="17" t="s">
        <v>477</v>
      </c>
      <c r="K23886" s="18" t="s">
        <v>477</v>
      </c>
    </row>
    <row r="23887">
      <c r="B23887" s="17" t="s">
        <v>477</v>
      </c>
      <c r="K23887" s="18" t="s">
        <v>477</v>
      </c>
    </row>
    <row r="23888">
      <c r="B23888" s="17" t="s">
        <v>477</v>
      </c>
      <c r="K23888" s="18" t="s">
        <v>477</v>
      </c>
    </row>
    <row r="23889">
      <c r="B23889" s="17" t="s">
        <v>477</v>
      </c>
      <c r="K23889" s="18" t="s">
        <v>477</v>
      </c>
    </row>
    <row r="23890">
      <c r="B23890" s="17" t="s">
        <v>477</v>
      </c>
      <c r="K23890" s="18" t="s">
        <v>477</v>
      </c>
    </row>
    <row r="23891">
      <c r="B23891" s="17" t="s">
        <v>477</v>
      </c>
      <c r="K23891" s="18" t="s">
        <v>477</v>
      </c>
    </row>
    <row r="23892">
      <c r="B23892" s="17" t="s">
        <v>477</v>
      </c>
      <c r="K23892" s="18" t="s">
        <v>477</v>
      </c>
    </row>
    <row r="23893">
      <c r="B23893" s="17" t="s">
        <v>477</v>
      </c>
      <c r="K23893" s="18" t="s">
        <v>477</v>
      </c>
    </row>
    <row r="23894">
      <c r="B23894" s="17" t="s">
        <v>477</v>
      </c>
      <c r="K23894" s="18" t="s">
        <v>477</v>
      </c>
    </row>
    <row r="23895">
      <c r="B23895" s="17" t="s">
        <v>477</v>
      </c>
      <c r="K23895" s="18" t="s">
        <v>477</v>
      </c>
    </row>
    <row r="23896">
      <c r="B23896" s="17" t="s">
        <v>477</v>
      </c>
      <c r="K23896" s="18" t="s">
        <v>477</v>
      </c>
    </row>
    <row r="23897">
      <c r="B23897" s="17" t="s">
        <v>477</v>
      </c>
      <c r="K23897" s="18" t="s">
        <v>477</v>
      </c>
    </row>
    <row r="23898">
      <c r="B23898" s="17" t="s">
        <v>477</v>
      </c>
      <c r="K23898" s="18" t="s">
        <v>477</v>
      </c>
    </row>
    <row r="23899">
      <c r="B23899" s="17" t="s">
        <v>477</v>
      </c>
      <c r="K23899" s="18" t="s">
        <v>477</v>
      </c>
    </row>
    <row r="23900">
      <c r="B23900" s="17" t="s">
        <v>477</v>
      </c>
      <c r="K23900" s="18" t="s">
        <v>477</v>
      </c>
    </row>
    <row r="23901">
      <c r="B23901" s="17" t="s">
        <v>477</v>
      </c>
      <c r="K23901" s="18" t="s">
        <v>477</v>
      </c>
    </row>
    <row r="23902">
      <c r="B23902" s="17" t="s">
        <v>477</v>
      </c>
      <c r="K23902" s="18" t="s">
        <v>477</v>
      </c>
    </row>
    <row r="23903">
      <c r="B23903" s="17" t="s">
        <v>477</v>
      </c>
      <c r="K23903" s="18" t="s">
        <v>477</v>
      </c>
    </row>
    <row r="23904">
      <c r="B23904" s="17" t="s">
        <v>477</v>
      </c>
      <c r="K23904" s="18" t="s">
        <v>477</v>
      </c>
    </row>
    <row r="23905">
      <c r="B23905" s="17" t="s">
        <v>477</v>
      </c>
      <c r="K23905" s="18" t="s">
        <v>477</v>
      </c>
    </row>
    <row r="23906">
      <c r="B23906" s="17" t="s">
        <v>477</v>
      </c>
      <c r="K23906" s="18" t="s">
        <v>477</v>
      </c>
    </row>
    <row r="23907">
      <c r="B23907" s="17" t="s">
        <v>477</v>
      </c>
      <c r="K23907" s="18" t="s">
        <v>477</v>
      </c>
    </row>
    <row r="23908">
      <c r="B23908" s="17" t="s">
        <v>477</v>
      </c>
      <c r="K23908" s="18" t="s">
        <v>477</v>
      </c>
    </row>
    <row r="23909">
      <c r="B23909" s="17" t="s">
        <v>477</v>
      </c>
      <c r="K23909" s="18" t="s">
        <v>477</v>
      </c>
    </row>
    <row r="23910">
      <c r="B23910" s="17" t="s">
        <v>477</v>
      </c>
      <c r="K23910" s="18" t="s">
        <v>477</v>
      </c>
    </row>
    <row r="23911">
      <c r="B23911" s="17" t="s">
        <v>477</v>
      </c>
      <c r="K23911" s="18" t="s">
        <v>477</v>
      </c>
    </row>
    <row r="23912">
      <c r="B23912" s="17" t="s">
        <v>477</v>
      </c>
      <c r="K23912" s="18" t="s">
        <v>477</v>
      </c>
    </row>
    <row r="23913">
      <c r="B23913" s="17" t="s">
        <v>477</v>
      </c>
      <c r="K23913" s="18" t="s">
        <v>477</v>
      </c>
    </row>
    <row r="23914">
      <c r="B23914" s="17" t="s">
        <v>477</v>
      </c>
      <c r="K23914" s="18" t="s">
        <v>477</v>
      </c>
    </row>
    <row r="23915">
      <c r="B23915" s="17" t="s">
        <v>477</v>
      </c>
      <c r="K23915" s="18" t="s">
        <v>477</v>
      </c>
    </row>
    <row r="23916">
      <c r="B23916" s="17" t="s">
        <v>477</v>
      </c>
      <c r="K23916" s="18" t="s">
        <v>477</v>
      </c>
    </row>
    <row r="23917">
      <c r="B23917" s="17" t="s">
        <v>477</v>
      </c>
      <c r="K23917" s="18" t="s">
        <v>477</v>
      </c>
    </row>
    <row r="23918">
      <c r="B23918" s="17" t="s">
        <v>477</v>
      </c>
      <c r="K23918" s="18" t="s">
        <v>477</v>
      </c>
    </row>
    <row r="23919">
      <c r="B23919" s="17" t="s">
        <v>477</v>
      </c>
      <c r="K23919" s="18" t="s">
        <v>477</v>
      </c>
    </row>
    <row r="23920">
      <c r="B23920" s="17" t="s">
        <v>477</v>
      </c>
      <c r="K23920" s="18" t="s">
        <v>477</v>
      </c>
    </row>
    <row r="23921">
      <c r="B23921" s="17" t="s">
        <v>477</v>
      </c>
      <c r="K23921" s="18" t="s">
        <v>477</v>
      </c>
    </row>
    <row r="23922">
      <c r="B23922" s="17" t="s">
        <v>477</v>
      </c>
      <c r="K23922" s="18" t="s">
        <v>477</v>
      </c>
    </row>
    <row r="23923">
      <c r="B23923" s="17" t="s">
        <v>477</v>
      </c>
      <c r="K23923" s="18" t="s">
        <v>477</v>
      </c>
    </row>
    <row r="23924">
      <c r="B23924" s="17" t="s">
        <v>477</v>
      </c>
      <c r="K23924" s="18" t="s">
        <v>477</v>
      </c>
    </row>
    <row r="23925">
      <c r="B23925" s="17" t="s">
        <v>477</v>
      </c>
      <c r="K23925" s="18" t="s">
        <v>477</v>
      </c>
    </row>
    <row r="23926">
      <c r="B23926" s="17" t="s">
        <v>477</v>
      </c>
      <c r="K23926" s="18" t="s">
        <v>477</v>
      </c>
    </row>
    <row r="23927">
      <c r="B23927" s="17" t="s">
        <v>477</v>
      </c>
      <c r="K23927" s="18" t="s">
        <v>477</v>
      </c>
    </row>
    <row r="23928">
      <c r="B23928" s="17" t="s">
        <v>477</v>
      </c>
      <c r="K23928" s="18" t="s">
        <v>477</v>
      </c>
    </row>
    <row r="23929">
      <c r="B23929" s="17" t="s">
        <v>477</v>
      </c>
      <c r="K23929" s="18" t="s">
        <v>477</v>
      </c>
    </row>
    <row r="23930">
      <c r="B23930" s="17" t="s">
        <v>477</v>
      </c>
      <c r="K23930" s="18" t="s">
        <v>477</v>
      </c>
    </row>
    <row r="23931">
      <c r="B23931" s="17" t="s">
        <v>477</v>
      </c>
      <c r="K23931" s="18" t="s">
        <v>477</v>
      </c>
    </row>
    <row r="23932">
      <c r="B23932" s="17" t="s">
        <v>477</v>
      </c>
      <c r="K23932" s="18" t="s">
        <v>477</v>
      </c>
    </row>
    <row r="23933">
      <c r="B23933" s="17" t="s">
        <v>477</v>
      </c>
      <c r="K23933" s="18" t="s">
        <v>477</v>
      </c>
    </row>
    <row r="23934">
      <c r="B23934" s="17" t="s">
        <v>477</v>
      </c>
      <c r="K23934" s="18" t="s">
        <v>477</v>
      </c>
    </row>
    <row r="23935">
      <c r="B23935" s="17" t="s">
        <v>477</v>
      </c>
      <c r="K23935" s="18" t="s">
        <v>477</v>
      </c>
    </row>
    <row r="23936">
      <c r="B23936" s="17" t="s">
        <v>477</v>
      </c>
      <c r="K23936" s="18" t="s">
        <v>477</v>
      </c>
    </row>
    <row r="23937">
      <c r="B23937" s="17" t="s">
        <v>477</v>
      </c>
      <c r="K23937" s="18" t="s">
        <v>477</v>
      </c>
    </row>
    <row r="23938">
      <c r="B23938" s="17" t="s">
        <v>477</v>
      </c>
      <c r="K23938" s="18" t="s">
        <v>477</v>
      </c>
    </row>
    <row r="23939">
      <c r="B23939" s="17" t="s">
        <v>477</v>
      </c>
      <c r="K23939" s="18" t="s">
        <v>477</v>
      </c>
    </row>
    <row r="23940">
      <c r="B23940" s="17" t="s">
        <v>477</v>
      </c>
      <c r="K23940" s="18" t="s">
        <v>477</v>
      </c>
    </row>
    <row r="23941">
      <c r="B23941" s="17" t="s">
        <v>477</v>
      </c>
      <c r="K23941" s="18" t="s">
        <v>477</v>
      </c>
    </row>
    <row r="23942">
      <c r="B23942" s="17" t="s">
        <v>477</v>
      </c>
      <c r="K23942" s="18" t="s">
        <v>477</v>
      </c>
    </row>
    <row r="23943">
      <c r="B23943" s="17" t="s">
        <v>477</v>
      </c>
      <c r="K23943" s="18" t="s">
        <v>477</v>
      </c>
    </row>
    <row r="23944">
      <c r="B23944" s="17" t="s">
        <v>477</v>
      </c>
      <c r="K23944" s="18" t="s">
        <v>477</v>
      </c>
    </row>
    <row r="23945">
      <c r="B23945" s="17" t="s">
        <v>477</v>
      </c>
      <c r="K23945" s="18" t="s">
        <v>477</v>
      </c>
    </row>
    <row r="23946">
      <c r="B23946" s="17" t="s">
        <v>477</v>
      </c>
      <c r="K23946" s="18" t="s">
        <v>477</v>
      </c>
    </row>
    <row r="23947">
      <c r="B23947" s="17" t="s">
        <v>477</v>
      </c>
      <c r="K23947" s="18" t="s">
        <v>477</v>
      </c>
    </row>
    <row r="23948">
      <c r="B23948" s="17" t="s">
        <v>477</v>
      </c>
      <c r="K23948" s="18" t="s">
        <v>477</v>
      </c>
    </row>
    <row r="23949">
      <c r="B23949" s="17" t="s">
        <v>477</v>
      </c>
      <c r="K23949" s="18" t="s">
        <v>477</v>
      </c>
    </row>
    <row r="23950">
      <c r="B23950" s="17" t="s">
        <v>477</v>
      </c>
      <c r="K23950" s="18" t="s">
        <v>477</v>
      </c>
    </row>
    <row r="23951">
      <c r="B23951" s="17" t="s">
        <v>477</v>
      </c>
      <c r="K23951" s="18" t="s">
        <v>477</v>
      </c>
    </row>
    <row r="23952">
      <c r="B23952" s="17" t="s">
        <v>477</v>
      </c>
      <c r="K23952" s="18" t="s">
        <v>477</v>
      </c>
    </row>
    <row r="23953">
      <c r="B23953" s="17" t="s">
        <v>477</v>
      </c>
      <c r="K23953" s="18" t="s">
        <v>477</v>
      </c>
    </row>
    <row r="23954">
      <c r="B23954" s="17" t="s">
        <v>477</v>
      </c>
      <c r="K23954" s="18" t="s">
        <v>477</v>
      </c>
    </row>
    <row r="23955">
      <c r="B23955" s="17" t="s">
        <v>477</v>
      </c>
      <c r="K23955" s="18" t="s">
        <v>477</v>
      </c>
    </row>
    <row r="23956">
      <c r="B23956" s="17" t="s">
        <v>477</v>
      </c>
      <c r="K23956" s="18" t="s">
        <v>477</v>
      </c>
    </row>
    <row r="23957">
      <c r="B23957" s="17" t="s">
        <v>477</v>
      </c>
      <c r="K23957" s="18" t="s">
        <v>477</v>
      </c>
    </row>
    <row r="23958">
      <c r="B23958" s="17" t="s">
        <v>477</v>
      </c>
      <c r="K23958" s="18" t="s">
        <v>477</v>
      </c>
    </row>
    <row r="23959">
      <c r="B23959" s="17" t="s">
        <v>477</v>
      </c>
      <c r="K23959" s="18" t="s">
        <v>477</v>
      </c>
    </row>
    <row r="23960">
      <c r="B23960" s="17" t="s">
        <v>477</v>
      </c>
      <c r="K23960" s="18" t="s">
        <v>477</v>
      </c>
    </row>
    <row r="23961">
      <c r="B23961" s="17" t="s">
        <v>477</v>
      </c>
      <c r="K23961" s="18" t="s">
        <v>477</v>
      </c>
    </row>
    <row r="23962">
      <c r="B23962" s="17" t="s">
        <v>477</v>
      </c>
      <c r="K23962" s="18" t="s">
        <v>477</v>
      </c>
    </row>
    <row r="23963">
      <c r="B23963" s="17" t="s">
        <v>477</v>
      </c>
      <c r="K23963" s="18" t="s">
        <v>477</v>
      </c>
    </row>
    <row r="23964">
      <c r="B23964" s="17" t="s">
        <v>477</v>
      </c>
      <c r="K23964" s="18" t="s">
        <v>477</v>
      </c>
    </row>
    <row r="23965">
      <c r="B23965" s="17" t="s">
        <v>477</v>
      </c>
      <c r="K23965" s="18" t="s">
        <v>477</v>
      </c>
    </row>
    <row r="23966">
      <c r="B23966" s="17" t="s">
        <v>477</v>
      </c>
      <c r="K23966" s="18" t="s">
        <v>477</v>
      </c>
    </row>
    <row r="23967">
      <c r="B23967" s="17" t="s">
        <v>477</v>
      </c>
      <c r="K23967" s="18" t="s">
        <v>477</v>
      </c>
    </row>
    <row r="23968">
      <c r="B23968" s="17" t="s">
        <v>477</v>
      </c>
      <c r="K23968" s="18" t="s">
        <v>477</v>
      </c>
    </row>
    <row r="23969">
      <c r="B23969" s="17" t="s">
        <v>477</v>
      </c>
      <c r="K23969" s="18" t="s">
        <v>477</v>
      </c>
    </row>
    <row r="23970">
      <c r="B23970" s="17" t="s">
        <v>477</v>
      </c>
      <c r="K23970" s="18" t="s">
        <v>477</v>
      </c>
    </row>
    <row r="23971">
      <c r="B23971" s="17" t="s">
        <v>477</v>
      </c>
      <c r="K23971" s="18" t="s">
        <v>477</v>
      </c>
    </row>
    <row r="23972">
      <c r="B23972" s="17" t="s">
        <v>477</v>
      </c>
      <c r="K23972" s="18" t="s">
        <v>477</v>
      </c>
    </row>
    <row r="23973">
      <c r="B23973" s="17" t="s">
        <v>477</v>
      </c>
      <c r="K23973" s="18" t="s">
        <v>477</v>
      </c>
    </row>
    <row r="23974">
      <c r="B23974" s="17" t="s">
        <v>477</v>
      </c>
      <c r="K23974" s="18" t="s">
        <v>477</v>
      </c>
    </row>
    <row r="23975">
      <c r="B23975" s="17" t="s">
        <v>477</v>
      </c>
      <c r="K23975" s="18" t="s">
        <v>477</v>
      </c>
    </row>
    <row r="23976">
      <c r="B23976" s="17" t="s">
        <v>477</v>
      </c>
      <c r="K23976" s="18" t="s">
        <v>477</v>
      </c>
    </row>
    <row r="23977">
      <c r="B23977" s="17" t="s">
        <v>477</v>
      </c>
      <c r="K23977" s="18" t="s">
        <v>477</v>
      </c>
    </row>
    <row r="23978">
      <c r="B23978" s="17" t="s">
        <v>477</v>
      </c>
      <c r="K23978" s="18" t="s">
        <v>477</v>
      </c>
    </row>
    <row r="23979">
      <c r="B23979" s="17" t="s">
        <v>477</v>
      </c>
      <c r="K23979" s="18" t="s">
        <v>477</v>
      </c>
    </row>
    <row r="23980">
      <c r="B23980" s="17" t="s">
        <v>477</v>
      </c>
      <c r="K23980" s="18" t="s">
        <v>477</v>
      </c>
    </row>
    <row r="23981">
      <c r="B23981" s="17" t="s">
        <v>477</v>
      </c>
      <c r="K23981" s="18" t="s">
        <v>477</v>
      </c>
    </row>
    <row r="23982">
      <c r="B23982" s="17" t="s">
        <v>477</v>
      </c>
      <c r="K23982" s="18" t="s">
        <v>477</v>
      </c>
    </row>
    <row r="23983">
      <c r="B23983" s="17" t="s">
        <v>477</v>
      </c>
      <c r="K23983" s="18" t="s">
        <v>477</v>
      </c>
    </row>
    <row r="23984">
      <c r="B23984" s="17" t="s">
        <v>477</v>
      </c>
      <c r="K23984" s="18" t="s">
        <v>477</v>
      </c>
    </row>
    <row r="23985">
      <c r="B23985" s="17" t="s">
        <v>477</v>
      </c>
      <c r="K23985" s="18" t="s">
        <v>477</v>
      </c>
    </row>
    <row r="23986">
      <c r="B23986" s="17" t="s">
        <v>477</v>
      </c>
      <c r="K23986" s="18" t="s">
        <v>477</v>
      </c>
    </row>
    <row r="23987">
      <c r="B23987" s="17" t="s">
        <v>477</v>
      </c>
      <c r="K23987" s="18" t="s">
        <v>477</v>
      </c>
    </row>
    <row r="23988">
      <c r="B23988" s="17" t="s">
        <v>477</v>
      </c>
      <c r="K23988" s="18" t="s">
        <v>477</v>
      </c>
    </row>
    <row r="23989">
      <c r="B23989" s="17" t="s">
        <v>477</v>
      </c>
      <c r="K23989" s="18" t="s">
        <v>477</v>
      </c>
    </row>
    <row r="23990">
      <c r="B23990" s="17" t="s">
        <v>477</v>
      </c>
      <c r="K23990" s="18" t="s">
        <v>477</v>
      </c>
    </row>
    <row r="23991">
      <c r="B23991" s="17" t="s">
        <v>477</v>
      </c>
      <c r="K23991" s="18" t="s">
        <v>477</v>
      </c>
    </row>
    <row r="23992">
      <c r="B23992" s="17" t="s">
        <v>477</v>
      </c>
      <c r="K23992" s="18" t="s">
        <v>477</v>
      </c>
    </row>
    <row r="23993">
      <c r="B23993" s="17" t="s">
        <v>477</v>
      </c>
      <c r="K23993" s="18" t="s">
        <v>477</v>
      </c>
    </row>
    <row r="23994">
      <c r="B23994" s="17" t="s">
        <v>477</v>
      </c>
      <c r="K23994" s="18" t="s">
        <v>477</v>
      </c>
    </row>
    <row r="23995">
      <c r="B23995" s="17" t="s">
        <v>477</v>
      </c>
      <c r="K23995" s="18" t="s">
        <v>477</v>
      </c>
    </row>
    <row r="23996">
      <c r="B23996" s="17" t="s">
        <v>477</v>
      </c>
      <c r="K23996" s="18" t="s">
        <v>477</v>
      </c>
    </row>
    <row r="23997">
      <c r="B23997" s="17" t="s">
        <v>477</v>
      </c>
      <c r="K23997" s="18" t="s">
        <v>477</v>
      </c>
    </row>
    <row r="23998">
      <c r="B23998" s="17" t="s">
        <v>477</v>
      </c>
      <c r="K23998" s="18" t="s">
        <v>477</v>
      </c>
    </row>
    <row r="23999">
      <c r="B23999" s="17" t="s">
        <v>477</v>
      </c>
      <c r="K23999" s="18" t="s">
        <v>477</v>
      </c>
    </row>
    <row r="24000">
      <c r="B24000" s="17" t="s">
        <v>477</v>
      </c>
      <c r="K24000" s="18" t="s">
        <v>477</v>
      </c>
    </row>
    <row r="24001">
      <c r="B24001" s="17" t="s">
        <v>477</v>
      </c>
      <c r="K24001" s="18" t="s">
        <v>477</v>
      </c>
    </row>
    <row r="24002">
      <c r="B24002" s="17" t="s">
        <v>477</v>
      </c>
      <c r="K24002" s="18" t="s">
        <v>477</v>
      </c>
    </row>
    <row r="24003">
      <c r="B24003" s="17" t="s">
        <v>477</v>
      </c>
      <c r="K24003" s="18" t="s">
        <v>477</v>
      </c>
    </row>
    <row r="24004">
      <c r="B24004" s="17" t="s">
        <v>477</v>
      </c>
      <c r="K24004" s="18" t="s">
        <v>477</v>
      </c>
    </row>
    <row r="24005">
      <c r="B24005" s="17" t="s">
        <v>477</v>
      </c>
      <c r="K24005" s="18" t="s">
        <v>477</v>
      </c>
    </row>
    <row r="24006">
      <c r="B24006" s="17" t="s">
        <v>477</v>
      </c>
      <c r="K24006" s="18" t="s">
        <v>477</v>
      </c>
    </row>
    <row r="24007">
      <c r="B24007" s="17" t="s">
        <v>477</v>
      </c>
      <c r="K24007" s="18" t="s">
        <v>477</v>
      </c>
    </row>
    <row r="24008">
      <c r="B24008" s="17" t="s">
        <v>477</v>
      </c>
      <c r="K24008" s="18" t="s">
        <v>477</v>
      </c>
    </row>
    <row r="24009">
      <c r="B24009" s="17" t="s">
        <v>477</v>
      </c>
      <c r="K24009" s="18" t="s">
        <v>477</v>
      </c>
    </row>
    <row r="24010">
      <c r="B24010" s="17" t="s">
        <v>477</v>
      </c>
      <c r="K24010" s="18" t="s">
        <v>477</v>
      </c>
    </row>
    <row r="24011">
      <c r="B24011" s="17" t="s">
        <v>477</v>
      </c>
      <c r="K24011" s="18" t="s">
        <v>477</v>
      </c>
    </row>
    <row r="24012">
      <c r="B24012" s="17" t="s">
        <v>477</v>
      </c>
      <c r="K24012" s="18" t="s">
        <v>477</v>
      </c>
    </row>
    <row r="24013">
      <c r="B24013" s="17" t="s">
        <v>477</v>
      </c>
      <c r="K24013" s="18" t="s">
        <v>477</v>
      </c>
    </row>
    <row r="24014">
      <c r="B24014" s="17" t="s">
        <v>477</v>
      </c>
      <c r="K24014" s="18" t="s">
        <v>477</v>
      </c>
    </row>
    <row r="24015">
      <c r="B24015" s="17" t="s">
        <v>477</v>
      </c>
      <c r="K24015" s="18" t="s">
        <v>477</v>
      </c>
    </row>
    <row r="24016">
      <c r="B24016" s="17" t="s">
        <v>477</v>
      </c>
      <c r="K24016" s="18" t="s">
        <v>477</v>
      </c>
    </row>
    <row r="24017">
      <c r="B24017" s="17" t="s">
        <v>477</v>
      </c>
      <c r="K24017" s="18" t="s">
        <v>477</v>
      </c>
    </row>
    <row r="24018">
      <c r="B24018" s="17" t="s">
        <v>477</v>
      </c>
      <c r="K24018" s="18" t="s">
        <v>477</v>
      </c>
    </row>
    <row r="24019">
      <c r="B24019" s="17" t="s">
        <v>477</v>
      </c>
      <c r="K24019" s="18" t="s">
        <v>477</v>
      </c>
    </row>
    <row r="24020">
      <c r="B24020" s="17" t="s">
        <v>477</v>
      </c>
      <c r="K24020" s="18" t="s">
        <v>477</v>
      </c>
    </row>
    <row r="24021">
      <c r="B24021" s="17" t="s">
        <v>477</v>
      </c>
      <c r="K24021" s="18" t="s">
        <v>477</v>
      </c>
    </row>
    <row r="24022">
      <c r="B24022" s="17" t="s">
        <v>477</v>
      </c>
      <c r="K24022" s="18" t="s">
        <v>477</v>
      </c>
    </row>
    <row r="24023">
      <c r="B24023" s="17" t="s">
        <v>477</v>
      </c>
      <c r="K24023" s="18" t="s">
        <v>477</v>
      </c>
    </row>
    <row r="24024">
      <c r="B24024" s="17" t="s">
        <v>477</v>
      </c>
      <c r="K24024" s="18" t="s">
        <v>477</v>
      </c>
    </row>
    <row r="24025">
      <c r="B24025" s="17" t="s">
        <v>477</v>
      </c>
      <c r="K24025" s="18" t="s">
        <v>477</v>
      </c>
    </row>
    <row r="24026">
      <c r="B24026" s="17" t="s">
        <v>477</v>
      </c>
      <c r="K24026" s="18" t="s">
        <v>477</v>
      </c>
    </row>
    <row r="24027">
      <c r="B24027" s="17" t="s">
        <v>477</v>
      </c>
      <c r="K24027" s="18" t="s">
        <v>477</v>
      </c>
    </row>
    <row r="24028">
      <c r="B24028" s="17" t="s">
        <v>477</v>
      </c>
      <c r="K24028" s="18" t="s">
        <v>477</v>
      </c>
    </row>
    <row r="24029">
      <c r="B24029" s="17" t="s">
        <v>477</v>
      </c>
      <c r="K24029" s="18" t="s">
        <v>477</v>
      </c>
    </row>
    <row r="24030">
      <c r="B24030" s="17" t="s">
        <v>477</v>
      </c>
      <c r="K24030" s="18" t="s">
        <v>477</v>
      </c>
    </row>
    <row r="24031">
      <c r="B24031" s="17" t="s">
        <v>477</v>
      </c>
      <c r="K24031" s="18" t="s">
        <v>477</v>
      </c>
    </row>
    <row r="24032">
      <c r="B24032" s="17" t="s">
        <v>477</v>
      </c>
      <c r="K24032" s="18" t="s">
        <v>477</v>
      </c>
    </row>
    <row r="24033">
      <c r="B24033" s="17" t="s">
        <v>477</v>
      </c>
      <c r="K24033" s="18" t="s">
        <v>477</v>
      </c>
    </row>
    <row r="24034">
      <c r="B24034" s="17" t="s">
        <v>477</v>
      </c>
      <c r="K24034" s="18" t="s">
        <v>477</v>
      </c>
    </row>
    <row r="24035">
      <c r="B24035" s="17" t="s">
        <v>477</v>
      </c>
      <c r="K24035" s="18" t="s">
        <v>477</v>
      </c>
    </row>
    <row r="24036">
      <c r="B24036" s="17" t="s">
        <v>477</v>
      </c>
      <c r="K24036" s="18" t="s">
        <v>477</v>
      </c>
    </row>
    <row r="24037">
      <c r="B24037" s="17" t="s">
        <v>477</v>
      </c>
      <c r="K24037" s="18" t="s">
        <v>477</v>
      </c>
    </row>
    <row r="24038">
      <c r="B24038" s="17" t="s">
        <v>477</v>
      </c>
      <c r="K24038" s="18" t="s">
        <v>477</v>
      </c>
    </row>
    <row r="24039">
      <c r="B24039" s="17" t="s">
        <v>477</v>
      </c>
      <c r="K24039" s="18" t="s">
        <v>477</v>
      </c>
    </row>
    <row r="24040">
      <c r="B24040" s="17" t="s">
        <v>477</v>
      </c>
      <c r="K24040" s="18" t="s">
        <v>477</v>
      </c>
    </row>
    <row r="24041">
      <c r="B24041" s="17" t="s">
        <v>477</v>
      </c>
      <c r="K24041" s="18" t="s">
        <v>477</v>
      </c>
    </row>
    <row r="24042">
      <c r="B24042" s="17" t="s">
        <v>477</v>
      </c>
      <c r="K24042" s="18" t="s">
        <v>477</v>
      </c>
    </row>
    <row r="24043">
      <c r="B24043" s="17" t="s">
        <v>477</v>
      </c>
      <c r="K24043" s="18" t="s">
        <v>477</v>
      </c>
    </row>
    <row r="24044">
      <c r="B24044" s="17" t="s">
        <v>477</v>
      </c>
      <c r="K24044" s="18" t="s">
        <v>477</v>
      </c>
    </row>
    <row r="24045">
      <c r="B24045" s="17" t="s">
        <v>477</v>
      </c>
      <c r="K24045" s="18" t="s">
        <v>477</v>
      </c>
    </row>
    <row r="24046">
      <c r="B24046" s="17" t="s">
        <v>477</v>
      </c>
      <c r="K24046" s="18" t="s">
        <v>477</v>
      </c>
    </row>
    <row r="24047">
      <c r="B24047" s="17" t="s">
        <v>477</v>
      </c>
      <c r="K24047" s="18" t="s">
        <v>477</v>
      </c>
    </row>
    <row r="24048">
      <c r="B24048" s="17" t="s">
        <v>477</v>
      </c>
      <c r="K24048" s="18" t="s">
        <v>477</v>
      </c>
    </row>
    <row r="24049">
      <c r="B24049" s="17" t="s">
        <v>477</v>
      </c>
      <c r="K24049" s="18" t="s">
        <v>477</v>
      </c>
    </row>
    <row r="24050">
      <c r="B24050" s="17" t="s">
        <v>477</v>
      </c>
      <c r="K24050" s="18" t="s">
        <v>477</v>
      </c>
    </row>
    <row r="24051">
      <c r="B24051" s="17" t="s">
        <v>477</v>
      </c>
      <c r="K24051" s="18" t="s">
        <v>477</v>
      </c>
    </row>
    <row r="24052">
      <c r="B24052" s="17" t="s">
        <v>477</v>
      </c>
      <c r="K24052" s="18" t="s">
        <v>477</v>
      </c>
    </row>
    <row r="24053">
      <c r="B24053" s="17" t="s">
        <v>477</v>
      </c>
      <c r="K24053" s="18" t="s">
        <v>477</v>
      </c>
    </row>
    <row r="24054">
      <c r="B24054" s="17" t="s">
        <v>477</v>
      </c>
      <c r="K24054" s="18" t="s">
        <v>477</v>
      </c>
    </row>
    <row r="24055">
      <c r="B24055" s="17" t="s">
        <v>477</v>
      </c>
      <c r="K24055" s="18" t="s">
        <v>477</v>
      </c>
    </row>
    <row r="24056">
      <c r="B24056" s="17" t="s">
        <v>477</v>
      </c>
      <c r="K24056" s="18" t="s">
        <v>477</v>
      </c>
    </row>
    <row r="24057">
      <c r="B24057" s="17" t="s">
        <v>477</v>
      </c>
      <c r="K24057" s="18" t="s">
        <v>477</v>
      </c>
    </row>
    <row r="24058">
      <c r="B24058" s="17" t="s">
        <v>477</v>
      </c>
      <c r="K24058" s="18" t="s">
        <v>477</v>
      </c>
    </row>
    <row r="24059">
      <c r="B24059" s="17" t="s">
        <v>477</v>
      </c>
      <c r="K24059" s="18" t="s">
        <v>477</v>
      </c>
    </row>
    <row r="24060">
      <c r="B24060" s="17" t="s">
        <v>477</v>
      </c>
      <c r="K24060" s="18" t="s">
        <v>477</v>
      </c>
    </row>
    <row r="24061">
      <c r="B24061" s="17" t="s">
        <v>477</v>
      </c>
      <c r="K24061" s="18" t="s">
        <v>477</v>
      </c>
    </row>
    <row r="24062">
      <c r="B24062" s="17" t="s">
        <v>477</v>
      </c>
      <c r="K24062" s="18" t="s">
        <v>477</v>
      </c>
    </row>
    <row r="24063">
      <c r="B24063" s="17" t="s">
        <v>477</v>
      </c>
      <c r="K24063" s="18" t="s">
        <v>477</v>
      </c>
    </row>
    <row r="24064">
      <c r="B24064" s="17" t="s">
        <v>477</v>
      </c>
      <c r="K24064" s="18" t="s">
        <v>477</v>
      </c>
    </row>
    <row r="24065">
      <c r="B24065" s="17" t="s">
        <v>477</v>
      </c>
      <c r="K24065" s="18" t="s">
        <v>477</v>
      </c>
    </row>
    <row r="24066">
      <c r="B24066" s="17" t="s">
        <v>477</v>
      </c>
      <c r="K24066" s="18" t="s">
        <v>477</v>
      </c>
    </row>
    <row r="24067">
      <c r="B24067" s="17" t="s">
        <v>477</v>
      </c>
      <c r="K24067" s="18" t="s">
        <v>477</v>
      </c>
    </row>
    <row r="24068">
      <c r="B24068" s="17" t="s">
        <v>477</v>
      </c>
      <c r="K24068" s="18" t="s">
        <v>477</v>
      </c>
    </row>
    <row r="24069">
      <c r="B24069" s="17" t="s">
        <v>477</v>
      </c>
      <c r="K24069" s="18" t="s">
        <v>477</v>
      </c>
    </row>
    <row r="24070">
      <c r="B24070" s="17" t="s">
        <v>477</v>
      </c>
      <c r="K24070" s="18" t="s">
        <v>477</v>
      </c>
    </row>
    <row r="24071">
      <c r="B24071" s="17" t="s">
        <v>477</v>
      </c>
      <c r="K24071" s="18" t="s">
        <v>477</v>
      </c>
    </row>
    <row r="24072">
      <c r="B24072" s="17" t="s">
        <v>477</v>
      </c>
      <c r="K24072" s="18" t="s">
        <v>477</v>
      </c>
    </row>
    <row r="24073">
      <c r="B24073" s="17" t="s">
        <v>477</v>
      </c>
      <c r="K24073" s="18" t="s">
        <v>477</v>
      </c>
    </row>
    <row r="24074">
      <c r="B24074" s="17" t="s">
        <v>477</v>
      </c>
      <c r="K24074" s="18" t="s">
        <v>477</v>
      </c>
    </row>
    <row r="24075">
      <c r="B24075" s="17" t="s">
        <v>477</v>
      </c>
      <c r="K24075" s="18" t="s">
        <v>477</v>
      </c>
    </row>
    <row r="24076">
      <c r="B24076" s="17" t="s">
        <v>477</v>
      </c>
      <c r="K24076" s="18" t="s">
        <v>477</v>
      </c>
    </row>
    <row r="24077">
      <c r="B24077" s="17" t="s">
        <v>477</v>
      </c>
      <c r="K24077" s="18" t="s">
        <v>477</v>
      </c>
    </row>
    <row r="24078">
      <c r="B24078" s="17" t="s">
        <v>477</v>
      </c>
      <c r="K24078" s="18" t="s">
        <v>477</v>
      </c>
    </row>
    <row r="24079">
      <c r="B24079" s="17" t="s">
        <v>477</v>
      </c>
      <c r="K24079" s="18" t="s">
        <v>477</v>
      </c>
    </row>
    <row r="24080">
      <c r="B24080" s="17" t="s">
        <v>477</v>
      </c>
      <c r="K24080" s="18" t="s">
        <v>477</v>
      </c>
    </row>
    <row r="24081">
      <c r="B24081" s="17" t="s">
        <v>477</v>
      </c>
      <c r="K24081" s="18" t="s">
        <v>477</v>
      </c>
    </row>
    <row r="24082">
      <c r="B24082" s="17" t="s">
        <v>477</v>
      </c>
      <c r="K24082" s="18" t="s">
        <v>477</v>
      </c>
    </row>
    <row r="24083">
      <c r="B24083" s="17" t="s">
        <v>477</v>
      </c>
      <c r="K24083" s="18" t="s">
        <v>477</v>
      </c>
    </row>
    <row r="24084">
      <c r="B24084" s="17" t="s">
        <v>477</v>
      </c>
      <c r="K24084" s="18" t="s">
        <v>477</v>
      </c>
    </row>
    <row r="24085">
      <c r="B24085" s="17" t="s">
        <v>477</v>
      </c>
      <c r="K24085" s="18" t="s">
        <v>477</v>
      </c>
    </row>
    <row r="24086">
      <c r="B24086" s="17" t="s">
        <v>477</v>
      </c>
      <c r="K24086" s="18" t="s">
        <v>477</v>
      </c>
    </row>
    <row r="24087">
      <c r="B24087" s="17" t="s">
        <v>477</v>
      </c>
      <c r="K24087" s="18" t="s">
        <v>477</v>
      </c>
    </row>
    <row r="24088">
      <c r="B24088" s="17" t="s">
        <v>477</v>
      </c>
      <c r="K24088" s="18" t="s">
        <v>477</v>
      </c>
    </row>
    <row r="24089">
      <c r="B24089" s="17" t="s">
        <v>477</v>
      </c>
      <c r="K24089" s="18" t="s">
        <v>477</v>
      </c>
    </row>
    <row r="24090">
      <c r="B24090" s="17" t="s">
        <v>477</v>
      </c>
      <c r="K24090" s="18" t="s">
        <v>477</v>
      </c>
    </row>
    <row r="24091">
      <c r="B24091" s="17" t="s">
        <v>477</v>
      </c>
      <c r="K24091" s="18" t="s">
        <v>477</v>
      </c>
    </row>
    <row r="24092">
      <c r="B24092" s="17" t="s">
        <v>477</v>
      </c>
      <c r="K24092" s="18" t="s">
        <v>477</v>
      </c>
    </row>
    <row r="24093">
      <c r="B24093" s="17" t="s">
        <v>477</v>
      </c>
      <c r="K24093" s="18" t="s">
        <v>477</v>
      </c>
    </row>
    <row r="24094">
      <c r="B24094" s="17" t="s">
        <v>477</v>
      </c>
      <c r="K24094" s="18" t="s">
        <v>477</v>
      </c>
    </row>
    <row r="24095">
      <c r="B24095" s="17" t="s">
        <v>477</v>
      </c>
      <c r="K24095" s="18" t="s">
        <v>477</v>
      </c>
    </row>
    <row r="24096">
      <c r="B24096" s="17" t="s">
        <v>477</v>
      </c>
      <c r="K24096" s="18" t="s">
        <v>477</v>
      </c>
    </row>
    <row r="24097">
      <c r="B24097" s="17" t="s">
        <v>477</v>
      </c>
      <c r="K24097" s="18" t="s">
        <v>477</v>
      </c>
    </row>
    <row r="24098">
      <c r="B24098" s="17" t="s">
        <v>477</v>
      </c>
      <c r="K24098" s="18" t="s">
        <v>477</v>
      </c>
    </row>
    <row r="24099">
      <c r="B24099" s="17" t="s">
        <v>477</v>
      </c>
      <c r="K24099" s="18" t="s">
        <v>477</v>
      </c>
    </row>
    <row r="24100">
      <c r="B24100" s="17" t="s">
        <v>477</v>
      </c>
      <c r="K24100" s="18" t="s">
        <v>477</v>
      </c>
    </row>
    <row r="24101">
      <c r="B24101" s="17" t="s">
        <v>477</v>
      </c>
      <c r="K24101" s="18" t="s">
        <v>477</v>
      </c>
    </row>
    <row r="24102">
      <c r="B24102" s="17" t="s">
        <v>477</v>
      </c>
      <c r="K24102" s="18" t="s">
        <v>477</v>
      </c>
    </row>
    <row r="24103">
      <c r="B24103" s="17" t="s">
        <v>477</v>
      </c>
      <c r="K24103" s="18" t="s">
        <v>477</v>
      </c>
    </row>
    <row r="24104">
      <c r="B24104" s="17" t="s">
        <v>477</v>
      </c>
      <c r="K24104" s="18" t="s">
        <v>477</v>
      </c>
    </row>
    <row r="24105">
      <c r="B24105" s="17" t="s">
        <v>477</v>
      </c>
      <c r="K24105" s="18" t="s">
        <v>477</v>
      </c>
    </row>
    <row r="24106">
      <c r="B24106" s="17" t="s">
        <v>477</v>
      </c>
      <c r="K24106" s="18" t="s">
        <v>477</v>
      </c>
    </row>
    <row r="24107">
      <c r="B24107" s="17" t="s">
        <v>477</v>
      </c>
      <c r="K24107" s="18" t="s">
        <v>477</v>
      </c>
    </row>
    <row r="24108">
      <c r="B24108" s="17" t="s">
        <v>477</v>
      </c>
      <c r="K24108" s="18" t="s">
        <v>477</v>
      </c>
    </row>
    <row r="24109">
      <c r="B24109" s="17" t="s">
        <v>477</v>
      </c>
      <c r="K24109" s="18" t="s">
        <v>477</v>
      </c>
    </row>
    <row r="24110">
      <c r="B24110" s="17" t="s">
        <v>477</v>
      </c>
      <c r="K24110" s="18" t="s">
        <v>477</v>
      </c>
    </row>
    <row r="24111">
      <c r="B24111" s="17" t="s">
        <v>477</v>
      </c>
      <c r="K24111" s="18" t="s">
        <v>477</v>
      </c>
    </row>
    <row r="24112">
      <c r="B24112" s="17" t="s">
        <v>477</v>
      </c>
      <c r="K24112" s="18" t="s">
        <v>477</v>
      </c>
    </row>
    <row r="24113">
      <c r="B24113" s="17" t="s">
        <v>477</v>
      </c>
      <c r="K24113" s="18" t="s">
        <v>477</v>
      </c>
    </row>
    <row r="24114">
      <c r="B24114" s="17" t="s">
        <v>477</v>
      </c>
      <c r="K24114" s="18" t="s">
        <v>477</v>
      </c>
    </row>
    <row r="24115">
      <c r="B24115" s="17" t="s">
        <v>477</v>
      </c>
      <c r="K24115" s="18" t="s">
        <v>477</v>
      </c>
    </row>
    <row r="24116">
      <c r="B24116" s="17" t="s">
        <v>477</v>
      </c>
      <c r="K24116" s="18" t="s">
        <v>477</v>
      </c>
    </row>
    <row r="24117">
      <c r="B24117" s="17" t="s">
        <v>477</v>
      </c>
      <c r="K24117" s="18" t="s">
        <v>477</v>
      </c>
    </row>
    <row r="24118">
      <c r="B24118" s="17" t="s">
        <v>477</v>
      </c>
      <c r="K24118" s="18" t="s">
        <v>477</v>
      </c>
    </row>
    <row r="24119">
      <c r="B24119" s="17" t="s">
        <v>477</v>
      </c>
      <c r="K24119" s="18" t="s">
        <v>477</v>
      </c>
    </row>
    <row r="24120">
      <c r="B24120" s="17" t="s">
        <v>477</v>
      </c>
      <c r="K24120" s="18" t="s">
        <v>477</v>
      </c>
    </row>
    <row r="24121">
      <c r="B24121" s="17" t="s">
        <v>477</v>
      </c>
      <c r="K24121" s="18" t="s">
        <v>477</v>
      </c>
    </row>
    <row r="24122">
      <c r="B24122" s="17" t="s">
        <v>477</v>
      </c>
      <c r="K24122" s="18" t="s">
        <v>477</v>
      </c>
    </row>
    <row r="24123">
      <c r="B24123" s="17" t="s">
        <v>477</v>
      </c>
      <c r="K24123" s="18" t="s">
        <v>477</v>
      </c>
    </row>
    <row r="24124">
      <c r="B24124" s="17" t="s">
        <v>477</v>
      </c>
      <c r="K24124" s="18" t="s">
        <v>477</v>
      </c>
    </row>
    <row r="24125">
      <c r="B24125" s="17" t="s">
        <v>477</v>
      </c>
      <c r="K24125" s="18" t="s">
        <v>477</v>
      </c>
    </row>
    <row r="24126">
      <c r="B24126" s="17" t="s">
        <v>477</v>
      </c>
      <c r="K24126" s="18" t="s">
        <v>477</v>
      </c>
    </row>
    <row r="24127">
      <c r="B24127" s="17" t="s">
        <v>477</v>
      </c>
      <c r="K24127" s="18" t="s">
        <v>477</v>
      </c>
    </row>
    <row r="24128">
      <c r="B24128" s="17" t="s">
        <v>477</v>
      </c>
      <c r="K24128" s="18" t="s">
        <v>477</v>
      </c>
    </row>
    <row r="24129">
      <c r="B24129" s="17" t="s">
        <v>477</v>
      </c>
      <c r="K24129" s="18" t="s">
        <v>477</v>
      </c>
    </row>
    <row r="24130">
      <c r="B24130" s="17" t="s">
        <v>477</v>
      </c>
      <c r="K24130" s="18" t="s">
        <v>477</v>
      </c>
    </row>
    <row r="24131">
      <c r="B24131" s="17" t="s">
        <v>477</v>
      </c>
      <c r="K24131" s="18" t="s">
        <v>477</v>
      </c>
    </row>
    <row r="24132">
      <c r="B24132" s="17" t="s">
        <v>477</v>
      </c>
      <c r="K24132" s="18" t="s">
        <v>477</v>
      </c>
    </row>
    <row r="24133">
      <c r="B24133" s="17" t="s">
        <v>477</v>
      </c>
      <c r="K24133" s="18" t="s">
        <v>477</v>
      </c>
    </row>
    <row r="24134">
      <c r="B24134" s="17" t="s">
        <v>477</v>
      </c>
      <c r="K24134" s="18" t="s">
        <v>477</v>
      </c>
    </row>
    <row r="24135">
      <c r="B24135" s="17" t="s">
        <v>477</v>
      </c>
      <c r="K24135" s="18" t="s">
        <v>477</v>
      </c>
    </row>
    <row r="24136">
      <c r="B24136" s="17" t="s">
        <v>477</v>
      </c>
      <c r="K24136" s="18" t="s">
        <v>477</v>
      </c>
    </row>
    <row r="24137">
      <c r="B24137" s="17" t="s">
        <v>477</v>
      </c>
      <c r="K24137" s="18" t="s">
        <v>477</v>
      </c>
    </row>
    <row r="24138">
      <c r="B24138" s="17" t="s">
        <v>477</v>
      </c>
      <c r="K24138" s="18" t="s">
        <v>477</v>
      </c>
    </row>
    <row r="24139">
      <c r="B24139" s="17" t="s">
        <v>477</v>
      </c>
      <c r="K24139" s="18" t="s">
        <v>477</v>
      </c>
    </row>
    <row r="24140">
      <c r="B24140" s="17" t="s">
        <v>477</v>
      </c>
      <c r="K24140" s="18" t="s">
        <v>477</v>
      </c>
    </row>
    <row r="24141">
      <c r="B24141" s="17" t="s">
        <v>477</v>
      </c>
      <c r="K24141" s="18" t="s">
        <v>477</v>
      </c>
    </row>
    <row r="24142">
      <c r="B24142" s="17" t="s">
        <v>477</v>
      </c>
      <c r="K24142" s="18" t="s">
        <v>477</v>
      </c>
    </row>
    <row r="24143">
      <c r="B24143" s="17" t="s">
        <v>477</v>
      </c>
      <c r="K24143" s="18" t="s">
        <v>477</v>
      </c>
    </row>
    <row r="24144">
      <c r="B24144" s="17" t="s">
        <v>477</v>
      </c>
      <c r="K24144" s="18" t="s">
        <v>477</v>
      </c>
    </row>
    <row r="24145">
      <c r="B24145" s="17" t="s">
        <v>477</v>
      </c>
      <c r="K24145" s="18" t="s">
        <v>477</v>
      </c>
    </row>
    <row r="24146">
      <c r="B24146" s="17" t="s">
        <v>477</v>
      </c>
      <c r="K24146" s="18" t="s">
        <v>477</v>
      </c>
    </row>
    <row r="24147">
      <c r="B24147" s="17" t="s">
        <v>477</v>
      </c>
      <c r="K24147" s="18" t="s">
        <v>477</v>
      </c>
    </row>
    <row r="24148">
      <c r="B24148" s="17" t="s">
        <v>477</v>
      </c>
      <c r="K24148" s="18" t="s">
        <v>477</v>
      </c>
    </row>
    <row r="24149">
      <c r="B24149" s="17" t="s">
        <v>477</v>
      </c>
      <c r="K24149" s="18" t="s">
        <v>477</v>
      </c>
    </row>
    <row r="24150">
      <c r="B24150" s="17" t="s">
        <v>477</v>
      </c>
      <c r="K24150" s="18" t="s">
        <v>477</v>
      </c>
    </row>
    <row r="24151">
      <c r="B24151" s="17" t="s">
        <v>477</v>
      </c>
      <c r="K24151" s="18" t="s">
        <v>477</v>
      </c>
    </row>
    <row r="24152">
      <c r="B24152" s="17" t="s">
        <v>477</v>
      </c>
      <c r="K24152" s="18" t="s">
        <v>477</v>
      </c>
    </row>
    <row r="24153">
      <c r="B24153" s="17" t="s">
        <v>477</v>
      </c>
      <c r="K24153" s="18" t="s">
        <v>477</v>
      </c>
    </row>
    <row r="24154">
      <c r="B24154" s="17" t="s">
        <v>477</v>
      </c>
      <c r="K24154" s="18" t="s">
        <v>477</v>
      </c>
    </row>
    <row r="24155">
      <c r="B24155" s="17" t="s">
        <v>477</v>
      </c>
      <c r="K24155" s="18" t="s">
        <v>477</v>
      </c>
    </row>
    <row r="24156">
      <c r="B24156" s="17" t="s">
        <v>477</v>
      </c>
      <c r="K24156" s="18" t="s">
        <v>477</v>
      </c>
    </row>
    <row r="24157">
      <c r="B24157" s="17" t="s">
        <v>477</v>
      </c>
      <c r="K24157" s="18" t="s">
        <v>477</v>
      </c>
    </row>
    <row r="24158">
      <c r="B24158" s="17" t="s">
        <v>477</v>
      </c>
      <c r="K24158" s="18" t="s">
        <v>477</v>
      </c>
    </row>
    <row r="24159">
      <c r="B24159" s="17" t="s">
        <v>477</v>
      </c>
      <c r="K24159" s="18" t="s">
        <v>477</v>
      </c>
    </row>
    <row r="24160">
      <c r="B24160" s="17" t="s">
        <v>477</v>
      </c>
      <c r="K24160" s="18" t="s">
        <v>477</v>
      </c>
    </row>
    <row r="24161">
      <c r="B24161" s="17" t="s">
        <v>477</v>
      </c>
      <c r="K24161" s="18" t="s">
        <v>477</v>
      </c>
    </row>
    <row r="24162">
      <c r="B24162" s="17" t="s">
        <v>477</v>
      </c>
      <c r="K24162" s="18" t="s">
        <v>477</v>
      </c>
    </row>
    <row r="24163">
      <c r="B24163" s="17" t="s">
        <v>477</v>
      </c>
      <c r="K24163" s="18" t="s">
        <v>477</v>
      </c>
    </row>
    <row r="24164">
      <c r="B24164" s="17" t="s">
        <v>477</v>
      </c>
      <c r="K24164" s="18" t="s">
        <v>477</v>
      </c>
    </row>
    <row r="24165">
      <c r="B24165" s="17" t="s">
        <v>477</v>
      </c>
      <c r="K24165" s="18" t="s">
        <v>477</v>
      </c>
    </row>
    <row r="24166">
      <c r="B24166" s="17" t="s">
        <v>477</v>
      </c>
      <c r="K24166" s="18" t="s">
        <v>477</v>
      </c>
    </row>
    <row r="24167">
      <c r="B24167" s="17" t="s">
        <v>477</v>
      </c>
      <c r="K24167" s="18" t="s">
        <v>477</v>
      </c>
    </row>
    <row r="24168">
      <c r="B24168" s="17" t="s">
        <v>477</v>
      </c>
      <c r="K24168" s="18" t="s">
        <v>477</v>
      </c>
    </row>
    <row r="24169">
      <c r="B24169" s="17" t="s">
        <v>477</v>
      </c>
      <c r="K24169" s="18" t="s">
        <v>477</v>
      </c>
    </row>
    <row r="24170">
      <c r="B24170" s="17" t="s">
        <v>477</v>
      </c>
      <c r="K24170" s="18" t="s">
        <v>477</v>
      </c>
    </row>
    <row r="24171">
      <c r="B24171" s="17" t="s">
        <v>477</v>
      </c>
      <c r="K24171" s="18" t="s">
        <v>477</v>
      </c>
    </row>
    <row r="24172">
      <c r="B24172" s="17" t="s">
        <v>477</v>
      </c>
      <c r="K24172" s="18" t="s">
        <v>477</v>
      </c>
    </row>
    <row r="24173">
      <c r="B24173" s="17" t="s">
        <v>477</v>
      </c>
      <c r="K24173" s="18" t="s">
        <v>477</v>
      </c>
    </row>
    <row r="24174">
      <c r="B24174" s="17" t="s">
        <v>477</v>
      </c>
      <c r="K24174" s="18" t="s">
        <v>477</v>
      </c>
    </row>
    <row r="24175">
      <c r="B24175" s="17" t="s">
        <v>477</v>
      </c>
      <c r="K24175" s="18" t="s">
        <v>477</v>
      </c>
    </row>
    <row r="24176">
      <c r="B24176" s="17" t="s">
        <v>477</v>
      </c>
      <c r="K24176" s="18" t="s">
        <v>477</v>
      </c>
    </row>
    <row r="24177">
      <c r="B24177" s="17" t="s">
        <v>477</v>
      </c>
      <c r="K24177" s="18" t="s">
        <v>477</v>
      </c>
    </row>
    <row r="24178">
      <c r="B24178" s="17" t="s">
        <v>477</v>
      </c>
      <c r="K24178" s="18" t="s">
        <v>477</v>
      </c>
    </row>
    <row r="24179">
      <c r="B24179" s="17" t="s">
        <v>477</v>
      </c>
      <c r="K24179" s="18" t="s">
        <v>477</v>
      </c>
    </row>
    <row r="24180">
      <c r="B24180" s="17" t="s">
        <v>477</v>
      </c>
      <c r="K24180" s="18" t="s">
        <v>477</v>
      </c>
    </row>
    <row r="24181">
      <c r="B24181" s="17" t="s">
        <v>477</v>
      </c>
      <c r="K24181" s="18" t="s">
        <v>477</v>
      </c>
    </row>
    <row r="24182">
      <c r="B24182" s="17" t="s">
        <v>477</v>
      </c>
      <c r="K24182" s="18" t="s">
        <v>477</v>
      </c>
    </row>
    <row r="24183">
      <c r="B24183" s="17" t="s">
        <v>477</v>
      </c>
      <c r="K24183" s="18" t="s">
        <v>477</v>
      </c>
    </row>
    <row r="24184">
      <c r="B24184" s="17" t="s">
        <v>477</v>
      </c>
      <c r="K24184" s="18" t="s">
        <v>477</v>
      </c>
    </row>
    <row r="24185">
      <c r="B24185" s="17" t="s">
        <v>477</v>
      </c>
      <c r="K24185" s="18" t="s">
        <v>477</v>
      </c>
    </row>
    <row r="24186">
      <c r="B24186" s="17" t="s">
        <v>477</v>
      </c>
      <c r="K24186" s="18" t="s">
        <v>477</v>
      </c>
    </row>
    <row r="24187">
      <c r="B24187" s="17" t="s">
        <v>477</v>
      </c>
      <c r="K24187" s="18" t="s">
        <v>477</v>
      </c>
    </row>
    <row r="24188">
      <c r="B24188" s="17" t="s">
        <v>477</v>
      </c>
      <c r="K24188" s="18" t="s">
        <v>477</v>
      </c>
    </row>
    <row r="24189">
      <c r="B24189" s="17" t="s">
        <v>477</v>
      </c>
      <c r="K24189" s="18" t="s">
        <v>477</v>
      </c>
    </row>
    <row r="24190">
      <c r="B24190" s="17" t="s">
        <v>477</v>
      </c>
      <c r="K24190" s="18" t="s">
        <v>477</v>
      </c>
    </row>
    <row r="24191">
      <c r="B24191" s="17" t="s">
        <v>477</v>
      </c>
      <c r="K24191" s="18" t="s">
        <v>477</v>
      </c>
    </row>
    <row r="24192">
      <c r="B24192" s="17" t="s">
        <v>477</v>
      </c>
      <c r="K24192" s="18" t="s">
        <v>477</v>
      </c>
    </row>
    <row r="24193">
      <c r="B24193" s="17" t="s">
        <v>477</v>
      </c>
      <c r="K24193" s="18" t="s">
        <v>477</v>
      </c>
    </row>
    <row r="24194">
      <c r="B24194" s="17" t="s">
        <v>477</v>
      </c>
      <c r="K24194" s="18" t="s">
        <v>477</v>
      </c>
    </row>
    <row r="24195">
      <c r="B24195" s="17" t="s">
        <v>477</v>
      </c>
      <c r="K24195" s="18" t="s">
        <v>477</v>
      </c>
    </row>
    <row r="24196">
      <c r="B24196" s="17" t="s">
        <v>477</v>
      </c>
      <c r="K24196" s="18" t="s">
        <v>477</v>
      </c>
    </row>
    <row r="24197">
      <c r="B24197" s="17" t="s">
        <v>477</v>
      </c>
      <c r="K24197" s="18" t="s">
        <v>477</v>
      </c>
    </row>
    <row r="24198">
      <c r="B24198" s="17" t="s">
        <v>477</v>
      </c>
      <c r="K24198" s="18" t="s">
        <v>477</v>
      </c>
    </row>
    <row r="24199">
      <c r="B24199" s="17" t="s">
        <v>477</v>
      </c>
      <c r="K24199" s="18" t="s">
        <v>477</v>
      </c>
    </row>
    <row r="24200">
      <c r="B24200" s="17" t="s">
        <v>477</v>
      </c>
      <c r="K24200" s="18" t="s">
        <v>477</v>
      </c>
    </row>
    <row r="24201">
      <c r="B24201" s="17" t="s">
        <v>477</v>
      </c>
      <c r="K24201" s="18" t="s">
        <v>477</v>
      </c>
    </row>
    <row r="24202">
      <c r="B24202" s="17" t="s">
        <v>477</v>
      </c>
      <c r="K24202" s="18" t="s">
        <v>477</v>
      </c>
    </row>
    <row r="24203">
      <c r="B24203" s="17" t="s">
        <v>477</v>
      </c>
      <c r="K24203" s="18" t="s">
        <v>477</v>
      </c>
    </row>
    <row r="24204">
      <c r="B24204" s="17" t="s">
        <v>477</v>
      </c>
      <c r="K24204" s="18" t="s">
        <v>477</v>
      </c>
    </row>
    <row r="24205">
      <c r="B24205" s="17" t="s">
        <v>477</v>
      </c>
      <c r="K24205" s="18" t="s">
        <v>477</v>
      </c>
    </row>
    <row r="24206">
      <c r="B24206" s="17" t="s">
        <v>477</v>
      </c>
      <c r="K24206" s="18" t="s">
        <v>477</v>
      </c>
    </row>
    <row r="24207">
      <c r="B24207" s="17" t="s">
        <v>477</v>
      </c>
      <c r="K24207" s="18" t="s">
        <v>477</v>
      </c>
    </row>
    <row r="24208">
      <c r="B24208" s="17" t="s">
        <v>477</v>
      </c>
      <c r="K24208" s="18" t="s">
        <v>477</v>
      </c>
    </row>
    <row r="24209">
      <c r="B24209" s="17" t="s">
        <v>477</v>
      </c>
      <c r="K24209" s="18" t="s">
        <v>477</v>
      </c>
    </row>
    <row r="24210">
      <c r="B24210" s="17" t="s">
        <v>477</v>
      </c>
      <c r="K24210" s="18" t="s">
        <v>477</v>
      </c>
    </row>
    <row r="24211">
      <c r="B24211" s="17" t="s">
        <v>477</v>
      </c>
      <c r="K24211" s="18" t="s">
        <v>477</v>
      </c>
    </row>
    <row r="24212">
      <c r="B24212" s="17" t="s">
        <v>477</v>
      </c>
      <c r="K24212" s="18" t="s">
        <v>477</v>
      </c>
    </row>
    <row r="24213">
      <c r="B24213" s="17" t="s">
        <v>477</v>
      </c>
      <c r="K24213" s="18" t="s">
        <v>477</v>
      </c>
    </row>
    <row r="24214">
      <c r="B24214" s="17" t="s">
        <v>477</v>
      </c>
      <c r="K24214" s="18" t="s">
        <v>477</v>
      </c>
    </row>
    <row r="24215">
      <c r="B24215" s="17" t="s">
        <v>477</v>
      </c>
      <c r="K24215" s="18" t="s">
        <v>477</v>
      </c>
    </row>
    <row r="24216">
      <c r="B24216" s="17" t="s">
        <v>477</v>
      </c>
      <c r="K24216" s="18" t="s">
        <v>477</v>
      </c>
    </row>
    <row r="24217">
      <c r="B24217" s="17" t="s">
        <v>477</v>
      </c>
      <c r="K24217" s="18" t="s">
        <v>477</v>
      </c>
    </row>
    <row r="24218">
      <c r="B24218" s="17" t="s">
        <v>477</v>
      </c>
      <c r="K24218" s="18" t="s">
        <v>477</v>
      </c>
    </row>
    <row r="24219">
      <c r="B24219" s="17" t="s">
        <v>477</v>
      </c>
      <c r="K24219" s="18" t="s">
        <v>477</v>
      </c>
    </row>
    <row r="24220">
      <c r="B24220" s="17" t="s">
        <v>477</v>
      </c>
      <c r="K24220" s="18" t="s">
        <v>477</v>
      </c>
    </row>
    <row r="24221">
      <c r="B24221" s="17" t="s">
        <v>477</v>
      </c>
      <c r="K24221" s="18" t="s">
        <v>477</v>
      </c>
    </row>
    <row r="24222">
      <c r="B24222" s="17" t="s">
        <v>477</v>
      </c>
      <c r="K24222" s="18" t="s">
        <v>477</v>
      </c>
    </row>
    <row r="24223">
      <c r="B24223" s="17" t="s">
        <v>477</v>
      </c>
      <c r="K24223" s="18" t="s">
        <v>477</v>
      </c>
    </row>
    <row r="24224">
      <c r="B24224" s="17" t="s">
        <v>477</v>
      </c>
      <c r="K24224" s="18" t="s">
        <v>477</v>
      </c>
    </row>
    <row r="24225">
      <c r="B24225" s="17" t="s">
        <v>477</v>
      </c>
      <c r="K24225" s="18" t="s">
        <v>477</v>
      </c>
    </row>
    <row r="24226">
      <c r="B24226" s="17" t="s">
        <v>477</v>
      </c>
      <c r="K24226" s="18" t="s">
        <v>477</v>
      </c>
    </row>
    <row r="24227">
      <c r="B24227" s="17" t="s">
        <v>477</v>
      </c>
      <c r="K24227" s="18" t="s">
        <v>477</v>
      </c>
    </row>
    <row r="24228">
      <c r="B24228" s="17" t="s">
        <v>477</v>
      </c>
      <c r="K24228" s="18" t="s">
        <v>477</v>
      </c>
    </row>
    <row r="24229">
      <c r="B24229" s="17" t="s">
        <v>477</v>
      </c>
      <c r="K24229" s="18" t="s">
        <v>477</v>
      </c>
    </row>
    <row r="24230">
      <c r="B24230" s="17" t="s">
        <v>477</v>
      </c>
      <c r="K24230" s="18" t="s">
        <v>477</v>
      </c>
    </row>
    <row r="24231">
      <c r="B24231" s="17" t="s">
        <v>477</v>
      </c>
      <c r="K24231" s="18" t="s">
        <v>477</v>
      </c>
    </row>
    <row r="24232">
      <c r="B24232" s="17" t="s">
        <v>477</v>
      </c>
      <c r="K24232" s="18" t="s">
        <v>477</v>
      </c>
    </row>
    <row r="24233">
      <c r="B24233" s="17" t="s">
        <v>477</v>
      </c>
      <c r="K24233" s="18" t="s">
        <v>477</v>
      </c>
    </row>
    <row r="24234">
      <c r="B24234" s="17" t="s">
        <v>477</v>
      </c>
      <c r="K24234" s="18" t="s">
        <v>477</v>
      </c>
    </row>
    <row r="24235">
      <c r="B24235" s="17" t="s">
        <v>477</v>
      </c>
      <c r="K24235" s="18" t="s">
        <v>477</v>
      </c>
    </row>
    <row r="24236">
      <c r="B24236" s="17" t="s">
        <v>477</v>
      </c>
      <c r="K24236" s="18" t="s">
        <v>477</v>
      </c>
    </row>
    <row r="24237">
      <c r="B24237" s="17" t="s">
        <v>477</v>
      </c>
      <c r="K24237" s="18" t="s">
        <v>477</v>
      </c>
    </row>
    <row r="24238">
      <c r="B24238" s="17" t="s">
        <v>477</v>
      </c>
      <c r="K24238" s="18" t="s">
        <v>477</v>
      </c>
    </row>
    <row r="24239">
      <c r="B24239" s="17" t="s">
        <v>477</v>
      </c>
      <c r="K24239" s="18" t="s">
        <v>477</v>
      </c>
    </row>
    <row r="24240">
      <c r="B24240" s="17" t="s">
        <v>477</v>
      </c>
      <c r="K24240" s="18" t="s">
        <v>477</v>
      </c>
    </row>
    <row r="24241">
      <c r="B24241" s="17" t="s">
        <v>477</v>
      </c>
      <c r="K24241" s="18" t="s">
        <v>477</v>
      </c>
    </row>
    <row r="24242">
      <c r="B24242" s="17" t="s">
        <v>477</v>
      </c>
      <c r="K24242" s="18" t="s">
        <v>477</v>
      </c>
    </row>
    <row r="24243">
      <c r="B24243" s="17" t="s">
        <v>477</v>
      </c>
      <c r="K24243" s="18" t="s">
        <v>477</v>
      </c>
    </row>
    <row r="24244">
      <c r="B24244" s="17" t="s">
        <v>477</v>
      </c>
      <c r="K24244" s="18" t="s">
        <v>477</v>
      </c>
    </row>
    <row r="24245">
      <c r="B24245" s="17" t="s">
        <v>477</v>
      </c>
      <c r="K24245" s="18" t="s">
        <v>477</v>
      </c>
    </row>
    <row r="24246">
      <c r="B24246" s="17" t="s">
        <v>477</v>
      </c>
      <c r="K24246" s="18" t="s">
        <v>477</v>
      </c>
    </row>
    <row r="24247">
      <c r="B24247" s="17" t="s">
        <v>477</v>
      </c>
      <c r="K24247" s="18" t="s">
        <v>477</v>
      </c>
    </row>
    <row r="24248">
      <c r="B24248" s="17" t="s">
        <v>477</v>
      </c>
      <c r="K24248" s="18" t="s">
        <v>477</v>
      </c>
    </row>
    <row r="24249">
      <c r="B24249" s="17" t="s">
        <v>477</v>
      </c>
      <c r="K24249" s="18" t="s">
        <v>477</v>
      </c>
    </row>
    <row r="24250">
      <c r="B24250" s="17" t="s">
        <v>477</v>
      </c>
      <c r="K24250" s="18" t="s">
        <v>477</v>
      </c>
    </row>
    <row r="24251">
      <c r="B24251" s="17" t="s">
        <v>477</v>
      </c>
      <c r="K24251" s="18" t="s">
        <v>477</v>
      </c>
    </row>
    <row r="24252">
      <c r="B24252" s="17" t="s">
        <v>477</v>
      </c>
      <c r="K24252" s="18" t="s">
        <v>477</v>
      </c>
    </row>
    <row r="24253">
      <c r="B24253" s="17" t="s">
        <v>477</v>
      </c>
      <c r="K24253" s="18" t="s">
        <v>477</v>
      </c>
    </row>
    <row r="24254">
      <c r="B24254" s="17" t="s">
        <v>477</v>
      </c>
      <c r="K24254" s="18" t="s">
        <v>477</v>
      </c>
    </row>
    <row r="24255">
      <c r="B24255" s="17" t="s">
        <v>477</v>
      </c>
      <c r="K24255" s="18" t="s">
        <v>477</v>
      </c>
    </row>
    <row r="24256">
      <c r="B24256" s="17" t="s">
        <v>477</v>
      </c>
      <c r="K24256" s="18" t="s">
        <v>477</v>
      </c>
    </row>
    <row r="24257">
      <c r="B24257" s="17" t="s">
        <v>477</v>
      </c>
      <c r="K24257" s="18" t="s">
        <v>477</v>
      </c>
    </row>
    <row r="24258">
      <c r="B24258" s="17" t="s">
        <v>477</v>
      </c>
      <c r="K24258" s="18" t="s">
        <v>477</v>
      </c>
    </row>
    <row r="24259">
      <c r="B24259" s="17" t="s">
        <v>477</v>
      </c>
      <c r="K24259" s="18" t="s">
        <v>477</v>
      </c>
    </row>
    <row r="24260">
      <c r="B24260" s="17" t="s">
        <v>477</v>
      </c>
      <c r="K24260" s="18" t="s">
        <v>477</v>
      </c>
    </row>
    <row r="24261">
      <c r="B24261" s="17" t="s">
        <v>477</v>
      </c>
      <c r="K24261" s="18" t="s">
        <v>477</v>
      </c>
    </row>
    <row r="24262">
      <c r="B24262" s="17" t="s">
        <v>477</v>
      </c>
      <c r="K24262" s="18" t="s">
        <v>477</v>
      </c>
    </row>
    <row r="24263">
      <c r="B24263" s="17" t="s">
        <v>477</v>
      </c>
      <c r="K24263" s="18" t="s">
        <v>477</v>
      </c>
    </row>
    <row r="24264">
      <c r="B24264" s="17" t="s">
        <v>477</v>
      </c>
      <c r="K24264" s="18" t="s">
        <v>477</v>
      </c>
    </row>
    <row r="24265">
      <c r="B24265" s="17" t="s">
        <v>477</v>
      </c>
      <c r="K24265" s="18" t="s">
        <v>477</v>
      </c>
    </row>
    <row r="24266">
      <c r="B24266" s="17" t="s">
        <v>477</v>
      </c>
      <c r="K24266" s="18" t="s">
        <v>477</v>
      </c>
    </row>
    <row r="24267">
      <c r="B24267" s="17" t="s">
        <v>477</v>
      </c>
      <c r="K24267" s="18" t="s">
        <v>477</v>
      </c>
    </row>
    <row r="24268">
      <c r="B24268" s="17" t="s">
        <v>477</v>
      </c>
      <c r="K24268" s="18" t="s">
        <v>477</v>
      </c>
    </row>
    <row r="24269">
      <c r="B24269" s="17" t="s">
        <v>477</v>
      </c>
      <c r="K24269" s="18" t="s">
        <v>477</v>
      </c>
    </row>
    <row r="24270">
      <c r="B24270" s="17" t="s">
        <v>477</v>
      </c>
      <c r="K24270" s="18" t="s">
        <v>477</v>
      </c>
    </row>
    <row r="24271">
      <c r="B24271" s="17" t="s">
        <v>477</v>
      </c>
      <c r="K24271" s="18" t="s">
        <v>477</v>
      </c>
    </row>
    <row r="24272">
      <c r="B24272" s="17" t="s">
        <v>477</v>
      </c>
      <c r="K24272" s="18" t="s">
        <v>477</v>
      </c>
    </row>
    <row r="24273">
      <c r="B24273" s="17" t="s">
        <v>477</v>
      </c>
      <c r="K24273" s="18" t="s">
        <v>477</v>
      </c>
    </row>
    <row r="24274">
      <c r="B24274" s="17" t="s">
        <v>477</v>
      </c>
      <c r="K24274" s="18" t="s">
        <v>477</v>
      </c>
    </row>
    <row r="24275">
      <c r="B24275" s="17" t="s">
        <v>477</v>
      </c>
      <c r="K24275" s="18" t="s">
        <v>477</v>
      </c>
    </row>
    <row r="24276">
      <c r="B24276" s="17" t="s">
        <v>477</v>
      </c>
      <c r="K24276" s="18" t="s">
        <v>477</v>
      </c>
    </row>
    <row r="24277">
      <c r="B24277" s="17" t="s">
        <v>477</v>
      </c>
      <c r="K24277" s="18" t="s">
        <v>477</v>
      </c>
    </row>
    <row r="24278">
      <c r="B24278" s="17" t="s">
        <v>477</v>
      </c>
      <c r="K24278" s="18" t="s">
        <v>477</v>
      </c>
    </row>
    <row r="24279">
      <c r="B24279" s="17" t="s">
        <v>477</v>
      </c>
      <c r="K24279" s="18" t="s">
        <v>477</v>
      </c>
    </row>
    <row r="24280">
      <c r="B24280" s="17" t="s">
        <v>477</v>
      </c>
      <c r="K24280" s="18" t="s">
        <v>477</v>
      </c>
    </row>
    <row r="24281">
      <c r="B24281" s="17" t="s">
        <v>477</v>
      </c>
      <c r="K24281" s="18" t="s">
        <v>477</v>
      </c>
    </row>
    <row r="24282">
      <c r="B24282" s="17" t="s">
        <v>477</v>
      </c>
      <c r="K24282" s="18" t="s">
        <v>477</v>
      </c>
    </row>
    <row r="24283">
      <c r="B24283" s="17" t="s">
        <v>477</v>
      </c>
      <c r="K24283" s="18" t="s">
        <v>477</v>
      </c>
    </row>
    <row r="24284">
      <c r="B24284" s="17" t="s">
        <v>477</v>
      </c>
      <c r="K24284" s="18" t="s">
        <v>477</v>
      </c>
    </row>
    <row r="24285">
      <c r="B24285" s="17" t="s">
        <v>477</v>
      </c>
      <c r="K24285" s="18" t="s">
        <v>477</v>
      </c>
    </row>
    <row r="24286">
      <c r="B24286" s="17" t="s">
        <v>477</v>
      </c>
      <c r="K24286" s="18" t="s">
        <v>477</v>
      </c>
    </row>
    <row r="24287">
      <c r="B24287" s="17" t="s">
        <v>477</v>
      </c>
      <c r="K24287" s="18" t="s">
        <v>477</v>
      </c>
    </row>
    <row r="24288">
      <c r="B24288" s="17" t="s">
        <v>477</v>
      </c>
      <c r="K24288" s="18" t="s">
        <v>477</v>
      </c>
    </row>
    <row r="24289">
      <c r="B24289" s="17" t="s">
        <v>477</v>
      </c>
      <c r="K24289" s="18" t="s">
        <v>477</v>
      </c>
    </row>
    <row r="24290">
      <c r="B24290" s="17" t="s">
        <v>477</v>
      </c>
      <c r="K24290" s="18" t="s">
        <v>477</v>
      </c>
    </row>
    <row r="24291">
      <c r="B24291" s="17" t="s">
        <v>477</v>
      </c>
      <c r="K24291" s="18" t="s">
        <v>477</v>
      </c>
    </row>
    <row r="24292">
      <c r="B24292" s="17" t="s">
        <v>477</v>
      </c>
      <c r="K24292" s="18" t="s">
        <v>477</v>
      </c>
    </row>
    <row r="24293">
      <c r="B24293" s="17" t="s">
        <v>477</v>
      </c>
      <c r="K24293" s="18" t="s">
        <v>477</v>
      </c>
    </row>
    <row r="24294">
      <c r="B24294" s="17" t="s">
        <v>477</v>
      </c>
      <c r="K24294" s="18" t="s">
        <v>477</v>
      </c>
    </row>
    <row r="24295">
      <c r="B24295" s="17" t="s">
        <v>477</v>
      </c>
      <c r="K24295" s="18" t="s">
        <v>477</v>
      </c>
    </row>
    <row r="24296">
      <c r="B24296" s="17" t="s">
        <v>477</v>
      </c>
      <c r="K24296" s="18" t="s">
        <v>477</v>
      </c>
    </row>
    <row r="24297">
      <c r="B24297" s="17" t="s">
        <v>477</v>
      </c>
      <c r="K24297" s="18" t="s">
        <v>477</v>
      </c>
    </row>
    <row r="24298">
      <c r="B24298" s="17" t="s">
        <v>477</v>
      </c>
      <c r="K24298" s="18" t="s">
        <v>477</v>
      </c>
    </row>
    <row r="24299">
      <c r="B24299" s="17" t="s">
        <v>477</v>
      </c>
      <c r="K24299" s="18" t="s">
        <v>477</v>
      </c>
    </row>
    <row r="24300">
      <c r="B24300" s="17" t="s">
        <v>477</v>
      </c>
      <c r="K24300" s="18" t="s">
        <v>477</v>
      </c>
    </row>
    <row r="24301">
      <c r="B24301" s="17" t="s">
        <v>477</v>
      </c>
      <c r="K24301" s="18" t="s">
        <v>477</v>
      </c>
    </row>
    <row r="24302">
      <c r="B24302" s="17" t="s">
        <v>477</v>
      </c>
      <c r="K24302" s="18" t="s">
        <v>477</v>
      </c>
    </row>
    <row r="24303">
      <c r="B24303" s="17" t="s">
        <v>477</v>
      </c>
      <c r="K24303" s="18" t="s">
        <v>477</v>
      </c>
    </row>
    <row r="24304">
      <c r="B24304" s="17" t="s">
        <v>477</v>
      </c>
      <c r="K24304" s="18" t="s">
        <v>477</v>
      </c>
    </row>
    <row r="24305">
      <c r="B24305" s="17" t="s">
        <v>477</v>
      </c>
      <c r="K24305" s="18" t="s">
        <v>477</v>
      </c>
    </row>
    <row r="24306">
      <c r="B24306" s="17" t="s">
        <v>477</v>
      </c>
      <c r="K24306" s="18" t="s">
        <v>477</v>
      </c>
    </row>
    <row r="24307">
      <c r="B24307" s="17" t="s">
        <v>477</v>
      </c>
      <c r="K24307" s="18" t="s">
        <v>477</v>
      </c>
    </row>
    <row r="24308">
      <c r="B24308" s="17" t="s">
        <v>477</v>
      </c>
      <c r="K24308" s="18" t="s">
        <v>477</v>
      </c>
    </row>
    <row r="24309">
      <c r="B24309" s="17" t="s">
        <v>477</v>
      </c>
      <c r="K24309" s="18" t="s">
        <v>477</v>
      </c>
    </row>
    <row r="24310">
      <c r="B24310" s="17" t="s">
        <v>477</v>
      </c>
      <c r="K24310" s="18" t="s">
        <v>477</v>
      </c>
    </row>
    <row r="24311">
      <c r="B24311" s="17" t="s">
        <v>477</v>
      </c>
      <c r="K24311" s="18" t="s">
        <v>477</v>
      </c>
    </row>
    <row r="24312">
      <c r="B24312" s="17" t="s">
        <v>477</v>
      </c>
      <c r="K24312" s="18" t="s">
        <v>477</v>
      </c>
    </row>
    <row r="24313">
      <c r="B24313" s="17" t="s">
        <v>477</v>
      </c>
      <c r="K24313" s="18" t="s">
        <v>477</v>
      </c>
    </row>
    <row r="24314">
      <c r="B24314" s="17" t="s">
        <v>477</v>
      </c>
      <c r="K24314" s="18" t="s">
        <v>477</v>
      </c>
    </row>
    <row r="24315">
      <c r="B24315" s="17" t="s">
        <v>477</v>
      </c>
      <c r="K24315" s="18" t="s">
        <v>477</v>
      </c>
    </row>
    <row r="24316">
      <c r="B24316" s="17" t="s">
        <v>477</v>
      </c>
      <c r="K24316" s="18" t="s">
        <v>477</v>
      </c>
    </row>
    <row r="24317">
      <c r="B24317" s="17" t="s">
        <v>477</v>
      </c>
      <c r="K24317" s="18" t="s">
        <v>477</v>
      </c>
    </row>
    <row r="24318">
      <c r="B24318" s="17" t="s">
        <v>477</v>
      </c>
      <c r="K24318" s="18" t="s">
        <v>477</v>
      </c>
    </row>
    <row r="24319">
      <c r="B24319" s="17" t="s">
        <v>477</v>
      </c>
      <c r="K24319" s="18" t="s">
        <v>477</v>
      </c>
    </row>
    <row r="24320">
      <c r="B24320" s="17" t="s">
        <v>477</v>
      </c>
      <c r="K24320" s="18" t="s">
        <v>477</v>
      </c>
    </row>
    <row r="24321">
      <c r="B24321" s="17" t="s">
        <v>477</v>
      </c>
      <c r="K24321" s="18" t="s">
        <v>477</v>
      </c>
    </row>
    <row r="24322">
      <c r="B24322" s="17" t="s">
        <v>477</v>
      </c>
      <c r="K24322" s="18" t="s">
        <v>477</v>
      </c>
    </row>
    <row r="24323">
      <c r="B24323" s="17" t="s">
        <v>477</v>
      </c>
      <c r="K24323" s="18" t="s">
        <v>477</v>
      </c>
    </row>
    <row r="24324">
      <c r="B24324" s="17" t="s">
        <v>477</v>
      </c>
      <c r="K24324" s="18" t="s">
        <v>477</v>
      </c>
    </row>
    <row r="24325">
      <c r="B24325" s="17" t="s">
        <v>477</v>
      </c>
      <c r="K24325" s="18" t="s">
        <v>477</v>
      </c>
    </row>
    <row r="24326">
      <c r="B24326" s="17" t="s">
        <v>477</v>
      </c>
      <c r="K24326" s="18" t="s">
        <v>477</v>
      </c>
    </row>
    <row r="24327">
      <c r="B24327" s="17" t="s">
        <v>477</v>
      </c>
      <c r="K24327" s="18" t="s">
        <v>477</v>
      </c>
    </row>
    <row r="24328">
      <c r="B24328" s="17" t="s">
        <v>477</v>
      </c>
      <c r="K24328" s="18" t="s">
        <v>477</v>
      </c>
    </row>
    <row r="24329">
      <c r="B24329" s="17" t="s">
        <v>477</v>
      </c>
      <c r="K24329" s="18" t="s">
        <v>477</v>
      </c>
    </row>
    <row r="24330">
      <c r="B24330" s="17" t="s">
        <v>477</v>
      </c>
      <c r="K24330" s="18" t="s">
        <v>477</v>
      </c>
    </row>
    <row r="24331">
      <c r="B24331" s="17" t="s">
        <v>477</v>
      </c>
      <c r="K24331" s="18" t="s">
        <v>477</v>
      </c>
    </row>
    <row r="24332">
      <c r="B24332" s="17" t="s">
        <v>477</v>
      </c>
      <c r="K24332" s="18" t="s">
        <v>477</v>
      </c>
    </row>
    <row r="24333">
      <c r="B24333" s="17" t="s">
        <v>477</v>
      </c>
      <c r="K24333" s="18" t="s">
        <v>477</v>
      </c>
    </row>
    <row r="24334">
      <c r="B24334" s="17" t="s">
        <v>477</v>
      </c>
      <c r="K24334" s="18" t="s">
        <v>477</v>
      </c>
    </row>
    <row r="24335">
      <c r="B24335" s="17" t="s">
        <v>477</v>
      </c>
      <c r="K24335" s="18" t="s">
        <v>477</v>
      </c>
    </row>
    <row r="24336">
      <c r="B24336" s="17" t="s">
        <v>477</v>
      </c>
      <c r="K24336" s="18" t="s">
        <v>477</v>
      </c>
    </row>
    <row r="24337">
      <c r="B24337" s="17" t="s">
        <v>477</v>
      </c>
      <c r="K24337" s="18" t="s">
        <v>477</v>
      </c>
    </row>
    <row r="24338">
      <c r="B24338" s="17" t="s">
        <v>477</v>
      </c>
      <c r="K24338" s="18" t="s">
        <v>477</v>
      </c>
    </row>
    <row r="24339">
      <c r="B24339" s="17" t="s">
        <v>477</v>
      </c>
      <c r="K24339" s="18" t="s">
        <v>477</v>
      </c>
    </row>
    <row r="24340">
      <c r="B24340" s="17" t="s">
        <v>477</v>
      </c>
      <c r="K24340" s="18" t="s">
        <v>477</v>
      </c>
    </row>
    <row r="24341">
      <c r="B24341" s="17" t="s">
        <v>477</v>
      </c>
      <c r="K24341" s="18" t="s">
        <v>477</v>
      </c>
    </row>
    <row r="24342">
      <c r="B24342" s="17" t="s">
        <v>477</v>
      </c>
      <c r="K24342" s="18" t="s">
        <v>477</v>
      </c>
    </row>
    <row r="24343">
      <c r="B24343" s="17" t="s">
        <v>477</v>
      </c>
      <c r="K24343" s="18" t="s">
        <v>477</v>
      </c>
    </row>
    <row r="24344">
      <c r="B24344" s="17" t="s">
        <v>477</v>
      </c>
      <c r="K24344" s="18" t="s">
        <v>477</v>
      </c>
    </row>
    <row r="24345">
      <c r="B24345" s="17" t="s">
        <v>477</v>
      </c>
      <c r="K24345" s="18" t="s">
        <v>477</v>
      </c>
    </row>
    <row r="24346">
      <c r="B24346" s="17" t="s">
        <v>477</v>
      </c>
      <c r="K24346" s="18" t="s">
        <v>477</v>
      </c>
    </row>
    <row r="24347">
      <c r="B24347" s="17" t="s">
        <v>477</v>
      </c>
      <c r="K24347" s="18" t="s">
        <v>477</v>
      </c>
    </row>
    <row r="24348">
      <c r="B24348" s="17" t="s">
        <v>477</v>
      </c>
      <c r="K24348" s="18" t="s">
        <v>477</v>
      </c>
    </row>
    <row r="24349">
      <c r="B24349" s="17" t="s">
        <v>477</v>
      </c>
      <c r="K24349" s="18" t="s">
        <v>477</v>
      </c>
    </row>
    <row r="24350">
      <c r="B24350" s="17" t="s">
        <v>477</v>
      </c>
      <c r="K24350" s="18" t="s">
        <v>477</v>
      </c>
    </row>
    <row r="24351">
      <c r="B24351" s="17" t="s">
        <v>477</v>
      </c>
      <c r="K24351" s="18" t="s">
        <v>477</v>
      </c>
    </row>
    <row r="24352">
      <c r="B24352" s="17" t="s">
        <v>477</v>
      </c>
      <c r="K24352" s="18" t="s">
        <v>477</v>
      </c>
    </row>
    <row r="24353">
      <c r="B24353" s="17" t="s">
        <v>477</v>
      </c>
      <c r="K24353" s="18" t="s">
        <v>477</v>
      </c>
    </row>
    <row r="24354">
      <c r="B24354" s="17" t="s">
        <v>477</v>
      </c>
      <c r="K24354" s="18" t="s">
        <v>477</v>
      </c>
    </row>
    <row r="24355">
      <c r="B24355" s="17" t="s">
        <v>477</v>
      </c>
      <c r="K24355" s="18" t="s">
        <v>477</v>
      </c>
    </row>
    <row r="24356">
      <c r="B24356" s="17" t="s">
        <v>477</v>
      </c>
      <c r="K24356" s="18" t="s">
        <v>477</v>
      </c>
    </row>
    <row r="24357">
      <c r="B24357" s="17" t="s">
        <v>477</v>
      </c>
      <c r="K24357" s="18" t="s">
        <v>477</v>
      </c>
    </row>
    <row r="24358">
      <c r="B24358" s="17" t="s">
        <v>477</v>
      </c>
      <c r="K24358" s="18" t="s">
        <v>477</v>
      </c>
    </row>
    <row r="24359">
      <c r="B24359" s="17" t="s">
        <v>477</v>
      </c>
      <c r="K24359" s="18" t="s">
        <v>477</v>
      </c>
    </row>
    <row r="24360">
      <c r="B24360" s="17" t="s">
        <v>477</v>
      </c>
      <c r="K24360" s="18" t="s">
        <v>477</v>
      </c>
    </row>
    <row r="24361">
      <c r="B24361" s="17" t="s">
        <v>477</v>
      </c>
      <c r="K24361" s="18" t="s">
        <v>477</v>
      </c>
    </row>
    <row r="24362">
      <c r="B24362" s="17" t="s">
        <v>477</v>
      </c>
      <c r="K24362" s="18" t="s">
        <v>477</v>
      </c>
    </row>
    <row r="24363">
      <c r="B24363" s="17" t="s">
        <v>477</v>
      </c>
      <c r="K24363" s="18" t="s">
        <v>477</v>
      </c>
    </row>
    <row r="24364">
      <c r="B24364" s="17" t="s">
        <v>477</v>
      </c>
      <c r="K24364" s="18" t="s">
        <v>477</v>
      </c>
    </row>
    <row r="24365">
      <c r="B24365" s="17" t="s">
        <v>477</v>
      </c>
      <c r="K24365" s="18" t="s">
        <v>477</v>
      </c>
    </row>
    <row r="24366">
      <c r="B24366" s="17" t="s">
        <v>477</v>
      </c>
      <c r="K24366" s="18" t="s">
        <v>477</v>
      </c>
    </row>
    <row r="24367">
      <c r="B24367" s="17" t="s">
        <v>477</v>
      </c>
      <c r="K24367" s="18" t="s">
        <v>477</v>
      </c>
    </row>
    <row r="24368">
      <c r="B24368" s="17" t="s">
        <v>477</v>
      </c>
      <c r="K24368" s="18" t="s">
        <v>477</v>
      </c>
    </row>
    <row r="24369">
      <c r="B24369" s="17" t="s">
        <v>477</v>
      </c>
      <c r="K24369" s="18" t="s">
        <v>477</v>
      </c>
    </row>
    <row r="24370">
      <c r="B24370" s="17" t="s">
        <v>477</v>
      </c>
      <c r="K24370" s="18" t="s">
        <v>477</v>
      </c>
    </row>
    <row r="24371">
      <c r="B24371" s="17" t="s">
        <v>477</v>
      </c>
      <c r="K24371" s="18" t="s">
        <v>477</v>
      </c>
    </row>
    <row r="24372">
      <c r="B24372" s="17" t="s">
        <v>477</v>
      </c>
      <c r="K24372" s="18" t="s">
        <v>477</v>
      </c>
    </row>
    <row r="24373">
      <c r="B24373" s="17" t="s">
        <v>477</v>
      </c>
      <c r="K24373" s="18" t="s">
        <v>477</v>
      </c>
    </row>
    <row r="24374">
      <c r="B24374" s="17" t="s">
        <v>477</v>
      </c>
      <c r="K24374" s="18" t="s">
        <v>477</v>
      </c>
    </row>
    <row r="24375">
      <c r="B24375" s="17" t="s">
        <v>477</v>
      </c>
      <c r="K24375" s="18" t="s">
        <v>477</v>
      </c>
    </row>
    <row r="24376">
      <c r="B24376" s="17" t="s">
        <v>477</v>
      </c>
      <c r="K24376" s="18" t="s">
        <v>477</v>
      </c>
    </row>
    <row r="24377">
      <c r="B24377" s="17" t="s">
        <v>477</v>
      </c>
      <c r="K24377" s="18" t="s">
        <v>477</v>
      </c>
    </row>
    <row r="24378">
      <c r="B24378" s="17" t="s">
        <v>477</v>
      </c>
      <c r="K24378" s="18" t="s">
        <v>477</v>
      </c>
    </row>
    <row r="24379">
      <c r="B24379" s="17" t="s">
        <v>477</v>
      </c>
      <c r="K24379" s="18" t="s">
        <v>477</v>
      </c>
    </row>
    <row r="24380">
      <c r="B24380" s="17" t="s">
        <v>477</v>
      </c>
      <c r="K24380" s="18" t="s">
        <v>477</v>
      </c>
    </row>
    <row r="24381">
      <c r="B24381" s="17" t="s">
        <v>477</v>
      </c>
      <c r="K24381" s="18" t="s">
        <v>477</v>
      </c>
    </row>
    <row r="24382">
      <c r="B24382" s="17" t="s">
        <v>477</v>
      </c>
      <c r="K24382" s="18" t="s">
        <v>477</v>
      </c>
    </row>
    <row r="24383">
      <c r="B24383" s="17" t="s">
        <v>477</v>
      </c>
      <c r="K24383" s="18" t="s">
        <v>477</v>
      </c>
    </row>
    <row r="24384">
      <c r="B24384" s="17" t="s">
        <v>477</v>
      </c>
      <c r="K24384" s="18" t="s">
        <v>477</v>
      </c>
    </row>
    <row r="24385">
      <c r="B24385" s="17" t="s">
        <v>477</v>
      </c>
      <c r="K24385" s="18" t="s">
        <v>477</v>
      </c>
    </row>
    <row r="24386">
      <c r="B24386" s="17" t="s">
        <v>477</v>
      </c>
      <c r="K24386" s="18" t="s">
        <v>477</v>
      </c>
    </row>
    <row r="24387">
      <c r="B24387" s="17" t="s">
        <v>477</v>
      </c>
      <c r="K24387" s="18" t="s">
        <v>477</v>
      </c>
    </row>
    <row r="24388">
      <c r="B24388" s="17" t="s">
        <v>477</v>
      </c>
      <c r="K24388" s="18" t="s">
        <v>477</v>
      </c>
    </row>
    <row r="24389">
      <c r="B24389" s="17" t="s">
        <v>477</v>
      </c>
      <c r="K24389" s="18" t="s">
        <v>477</v>
      </c>
    </row>
    <row r="24390">
      <c r="B24390" s="17" t="s">
        <v>477</v>
      </c>
      <c r="K24390" s="18" t="s">
        <v>477</v>
      </c>
    </row>
    <row r="24391">
      <c r="B24391" s="17" t="s">
        <v>477</v>
      </c>
      <c r="K24391" s="18" t="s">
        <v>477</v>
      </c>
    </row>
    <row r="24392">
      <c r="B24392" s="17" t="s">
        <v>477</v>
      </c>
      <c r="K24392" s="18" t="s">
        <v>477</v>
      </c>
    </row>
    <row r="24393">
      <c r="B24393" s="17" t="s">
        <v>477</v>
      </c>
      <c r="K24393" s="18" t="s">
        <v>477</v>
      </c>
    </row>
    <row r="24394">
      <c r="B24394" s="17" t="s">
        <v>477</v>
      </c>
      <c r="K24394" s="18" t="s">
        <v>477</v>
      </c>
    </row>
    <row r="24395">
      <c r="B24395" s="17" t="s">
        <v>477</v>
      </c>
      <c r="K24395" s="18" t="s">
        <v>477</v>
      </c>
    </row>
    <row r="24396">
      <c r="B24396" s="17" t="s">
        <v>477</v>
      </c>
      <c r="K24396" s="18" t="s">
        <v>477</v>
      </c>
    </row>
    <row r="24397">
      <c r="B24397" s="17" t="s">
        <v>477</v>
      </c>
      <c r="K24397" s="18" t="s">
        <v>477</v>
      </c>
    </row>
    <row r="24398">
      <c r="B24398" s="17" t="s">
        <v>477</v>
      </c>
      <c r="K24398" s="18" t="s">
        <v>477</v>
      </c>
    </row>
    <row r="24399">
      <c r="B24399" s="17" t="s">
        <v>477</v>
      </c>
      <c r="K24399" s="18" t="s">
        <v>477</v>
      </c>
    </row>
    <row r="24400">
      <c r="B24400" s="17" t="s">
        <v>477</v>
      </c>
      <c r="K24400" s="18" t="s">
        <v>477</v>
      </c>
    </row>
    <row r="24401">
      <c r="B24401" s="17" t="s">
        <v>477</v>
      </c>
      <c r="K24401" s="18" t="s">
        <v>477</v>
      </c>
    </row>
    <row r="24402">
      <c r="B24402" s="17" t="s">
        <v>477</v>
      </c>
      <c r="K24402" s="18" t="s">
        <v>477</v>
      </c>
    </row>
    <row r="24403">
      <c r="B24403" s="17" t="s">
        <v>477</v>
      </c>
      <c r="K24403" s="18" t="s">
        <v>477</v>
      </c>
    </row>
    <row r="24404">
      <c r="B24404" s="17" t="s">
        <v>477</v>
      </c>
      <c r="K24404" s="18" t="s">
        <v>477</v>
      </c>
    </row>
    <row r="24405">
      <c r="B24405" s="17" t="s">
        <v>477</v>
      </c>
      <c r="K24405" s="18" t="s">
        <v>477</v>
      </c>
    </row>
    <row r="24406">
      <c r="B24406" s="17" t="s">
        <v>477</v>
      </c>
      <c r="K24406" s="18" t="s">
        <v>477</v>
      </c>
    </row>
    <row r="24407">
      <c r="B24407" s="17" t="s">
        <v>477</v>
      </c>
      <c r="K24407" s="18" t="s">
        <v>477</v>
      </c>
    </row>
    <row r="24408">
      <c r="B24408" s="17" t="s">
        <v>477</v>
      </c>
      <c r="K24408" s="18" t="s">
        <v>477</v>
      </c>
    </row>
    <row r="24409">
      <c r="B24409" s="17" t="s">
        <v>477</v>
      </c>
      <c r="K24409" s="18" t="s">
        <v>477</v>
      </c>
    </row>
    <row r="24410">
      <c r="B24410" s="17" t="s">
        <v>477</v>
      </c>
      <c r="K24410" s="18" t="s">
        <v>477</v>
      </c>
    </row>
    <row r="24411">
      <c r="B24411" s="17" t="s">
        <v>477</v>
      </c>
      <c r="K24411" s="18" t="s">
        <v>477</v>
      </c>
    </row>
    <row r="24412">
      <c r="B24412" s="17" t="s">
        <v>477</v>
      </c>
      <c r="K24412" s="18" t="s">
        <v>477</v>
      </c>
    </row>
    <row r="24413">
      <c r="B24413" s="17" t="s">
        <v>477</v>
      </c>
      <c r="K24413" s="18" t="s">
        <v>477</v>
      </c>
    </row>
    <row r="24414">
      <c r="B24414" s="17" t="s">
        <v>477</v>
      </c>
      <c r="K24414" s="18" t="s">
        <v>477</v>
      </c>
    </row>
    <row r="24415">
      <c r="B24415" s="17" t="s">
        <v>477</v>
      </c>
      <c r="K24415" s="18" t="s">
        <v>477</v>
      </c>
    </row>
    <row r="24416">
      <c r="B24416" s="17" t="s">
        <v>477</v>
      </c>
      <c r="K24416" s="18" t="s">
        <v>477</v>
      </c>
    </row>
    <row r="24417">
      <c r="B24417" s="17" t="s">
        <v>477</v>
      </c>
      <c r="K24417" s="18" t="s">
        <v>477</v>
      </c>
    </row>
    <row r="24418">
      <c r="B24418" s="17" t="s">
        <v>477</v>
      </c>
      <c r="K24418" s="18" t="s">
        <v>477</v>
      </c>
    </row>
    <row r="24419">
      <c r="B24419" s="17" t="s">
        <v>477</v>
      </c>
      <c r="K24419" s="18" t="s">
        <v>477</v>
      </c>
    </row>
    <row r="24420">
      <c r="B24420" s="17" t="s">
        <v>477</v>
      </c>
      <c r="K24420" s="18" t="s">
        <v>477</v>
      </c>
    </row>
    <row r="24421">
      <c r="B24421" s="17" t="s">
        <v>477</v>
      </c>
      <c r="K24421" s="18" t="s">
        <v>477</v>
      </c>
    </row>
    <row r="24422">
      <c r="B24422" s="17" t="s">
        <v>477</v>
      </c>
      <c r="K24422" s="18" t="s">
        <v>477</v>
      </c>
    </row>
    <row r="24423">
      <c r="B24423" s="17" t="s">
        <v>477</v>
      </c>
      <c r="K24423" s="18" t="s">
        <v>477</v>
      </c>
    </row>
    <row r="24424">
      <c r="B24424" s="17" t="s">
        <v>477</v>
      </c>
      <c r="K24424" s="18" t="s">
        <v>477</v>
      </c>
    </row>
    <row r="24425">
      <c r="B24425" s="17" t="s">
        <v>477</v>
      </c>
      <c r="K24425" s="18" t="s">
        <v>477</v>
      </c>
    </row>
    <row r="24426">
      <c r="B24426" s="17" t="s">
        <v>477</v>
      </c>
      <c r="K24426" s="18" t="s">
        <v>477</v>
      </c>
    </row>
    <row r="24427">
      <c r="B24427" s="17" t="s">
        <v>477</v>
      </c>
      <c r="K24427" s="18" t="s">
        <v>477</v>
      </c>
    </row>
    <row r="24428">
      <c r="B24428" s="17" t="s">
        <v>477</v>
      </c>
      <c r="K24428" s="18" t="s">
        <v>477</v>
      </c>
    </row>
    <row r="24429">
      <c r="B24429" s="17" t="s">
        <v>477</v>
      </c>
      <c r="K24429" s="18" t="s">
        <v>477</v>
      </c>
    </row>
    <row r="24430">
      <c r="B24430" s="17" t="s">
        <v>477</v>
      </c>
      <c r="K24430" s="18" t="s">
        <v>477</v>
      </c>
    </row>
    <row r="24431">
      <c r="B24431" s="17" t="s">
        <v>477</v>
      </c>
      <c r="K24431" s="18" t="s">
        <v>477</v>
      </c>
    </row>
    <row r="24432">
      <c r="B24432" s="17" t="s">
        <v>477</v>
      </c>
      <c r="K24432" s="18" t="s">
        <v>477</v>
      </c>
    </row>
    <row r="24433">
      <c r="B24433" s="17" t="s">
        <v>477</v>
      </c>
      <c r="K24433" s="18" t="s">
        <v>477</v>
      </c>
    </row>
    <row r="24434">
      <c r="B24434" s="17" t="s">
        <v>477</v>
      </c>
      <c r="K24434" s="18" t="s">
        <v>477</v>
      </c>
    </row>
    <row r="24435">
      <c r="B24435" s="17" t="s">
        <v>477</v>
      </c>
      <c r="K24435" s="18" t="s">
        <v>477</v>
      </c>
    </row>
    <row r="24436">
      <c r="B24436" s="17" t="s">
        <v>477</v>
      </c>
      <c r="K24436" s="18" t="s">
        <v>477</v>
      </c>
    </row>
    <row r="24437">
      <c r="B24437" s="17" t="s">
        <v>477</v>
      </c>
      <c r="K24437" s="18" t="s">
        <v>477</v>
      </c>
    </row>
    <row r="24438">
      <c r="B24438" s="17" t="s">
        <v>477</v>
      </c>
      <c r="K24438" s="18" t="s">
        <v>477</v>
      </c>
    </row>
    <row r="24439">
      <c r="B24439" s="17" t="s">
        <v>477</v>
      </c>
      <c r="K24439" s="18" t="s">
        <v>477</v>
      </c>
    </row>
    <row r="24440">
      <c r="B24440" s="17" t="s">
        <v>477</v>
      </c>
      <c r="K24440" s="18" t="s">
        <v>477</v>
      </c>
    </row>
    <row r="24441">
      <c r="B24441" s="17" t="s">
        <v>477</v>
      </c>
      <c r="K24441" s="18" t="s">
        <v>477</v>
      </c>
    </row>
    <row r="24442">
      <c r="B24442" s="17" t="s">
        <v>477</v>
      </c>
      <c r="K24442" s="18" t="s">
        <v>477</v>
      </c>
    </row>
    <row r="24443">
      <c r="B24443" s="17" t="s">
        <v>477</v>
      </c>
      <c r="K24443" s="18" t="s">
        <v>477</v>
      </c>
    </row>
    <row r="24444">
      <c r="B24444" s="17" t="s">
        <v>477</v>
      </c>
      <c r="K24444" s="18" t="s">
        <v>477</v>
      </c>
    </row>
    <row r="24445">
      <c r="B24445" s="17" t="s">
        <v>477</v>
      </c>
      <c r="K24445" s="18" t="s">
        <v>477</v>
      </c>
    </row>
    <row r="24446">
      <c r="B24446" s="17" t="s">
        <v>477</v>
      </c>
      <c r="K24446" s="18" t="s">
        <v>477</v>
      </c>
    </row>
    <row r="24447">
      <c r="B24447" s="17" t="s">
        <v>477</v>
      </c>
      <c r="K24447" s="18" t="s">
        <v>477</v>
      </c>
    </row>
    <row r="24448">
      <c r="B24448" s="17" t="s">
        <v>477</v>
      </c>
      <c r="K24448" s="18" t="s">
        <v>477</v>
      </c>
    </row>
    <row r="24449">
      <c r="B24449" s="17" t="s">
        <v>477</v>
      </c>
      <c r="K24449" s="18" t="s">
        <v>477</v>
      </c>
    </row>
    <row r="24450">
      <c r="B24450" s="17" t="s">
        <v>477</v>
      </c>
      <c r="K24450" s="18" t="s">
        <v>477</v>
      </c>
    </row>
    <row r="24451">
      <c r="B24451" s="17" t="s">
        <v>477</v>
      </c>
      <c r="K24451" s="18" t="s">
        <v>477</v>
      </c>
    </row>
    <row r="24452">
      <c r="B24452" s="17" t="s">
        <v>477</v>
      </c>
      <c r="K24452" s="18" t="s">
        <v>477</v>
      </c>
    </row>
    <row r="24453">
      <c r="B24453" s="17" t="s">
        <v>477</v>
      </c>
      <c r="K24453" s="18" t="s">
        <v>477</v>
      </c>
    </row>
    <row r="24454">
      <c r="B24454" s="17" t="s">
        <v>477</v>
      </c>
      <c r="K24454" s="18" t="s">
        <v>477</v>
      </c>
    </row>
    <row r="24455">
      <c r="B24455" s="17" t="s">
        <v>477</v>
      </c>
      <c r="K24455" s="18" t="s">
        <v>477</v>
      </c>
    </row>
    <row r="24456">
      <c r="B24456" s="17" t="s">
        <v>477</v>
      </c>
      <c r="K24456" s="18" t="s">
        <v>477</v>
      </c>
    </row>
    <row r="24457">
      <c r="B24457" s="17" t="s">
        <v>477</v>
      </c>
      <c r="K24457" s="18" t="s">
        <v>477</v>
      </c>
    </row>
    <row r="24458">
      <c r="B24458" s="17" t="s">
        <v>477</v>
      </c>
      <c r="K24458" s="18" t="s">
        <v>477</v>
      </c>
    </row>
    <row r="24459">
      <c r="B24459" s="17" t="s">
        <v>477</v>
      </c>
      <c r="K24459" s="18" t="s">
        <v>477</v>
      </c>
    </row>
    <row r="24460">
      <c r="B24460" s="17" t="s">
        <v>477</v>
      </c>
      <c r="K24460" s="18" t="s">
        <v>477</v>
      </c>
    </row>
    <row r="24461">
      <c r="B24461" s="17" t="s">
        <v>477</v>
      </c>
      <c r="K24461" s="18" t="s">
        <v>477</v>
      </c>
    </row>
    <row r="24462">
      <c r="B24462" s="17" t="s">
        <v>477</v>
      </c>
      <c r="K24462" s="18" t="s">
        <v>477</v>
      </c>
    </row>
    <row r="24463">
      <c r="B24463" s="17" t="s">
        <v>477</v>
      </c>
      <c r="K24463" s="18" t="s">
        <v>477</v>
      </c>
    </row>
    <row r="24464">
      <c r="B24464" s="17" t="s">
        <v>477</v>
      </c>
      <c r="K24464" s="18" t="s">
        <v>477</v>
      </c>
    </row>
    <row r="24465">
      <c r="B24465" s="17" t="s">
        <v>477</v>
      </c>
      <c r="K24465" s="18" t="s">
        <v>477</v>
      </c>
    </row>
    <row r="24466">
      <c r="B24466" s="17" t="s">
        <v>477</v>
      </c>
      <c r="K24466" s="18" t="s">
        <v>477</v>
      </c>
    </row>
    <row r="24467">
      <c r="B24467" s="17" t="s">
        <v>477</v>
      </c>
      <c r="K24467" s="18" t="s">
        <v>477</v>
      </c>
    </row>
    <row r="24468">
      <c r="B24468" s="17" t="s">
        <v>477</v>
      </c>
      <c r="K24468" s="18" t="s">
        <v>477</v>
      </c>
    </row>
    <row r="24469">
      <c r="B24469" s="17" t="s">
        <v>477</v>
      </c>
      <c r="K24469" s="18" t="s">
        <v>477</v>
      </c>
    </row>
    <row r="24470">
      <c r="B24470" s="17" t="s">
        <v>477</v>
      </c>
      <c r="K24470" s="18" t="s">
        <v>477</v>
      </c>
    </row>
    <row r="24471">
      <c r="B24471" s="17" t="s">
        <v>477</v>
      </c>
      <c r="K24471" s="18" t="s">
        <v>477</v>
      </c>
    </row>
    <row r="24472">
      <c r="B24472" s="17" t="s">
        <v>477</v>
      </c>
      <c r="K24472" s="18" t="s">
        <v>477</v>
      </c>
    </row>
    <row r="24473">
      <c r="B24473" s="17" t="s">
        <v>477</v>
      </c>
      <c r="K24473" s="18" t="s">
        <v>477</v>
      </c>
    </row>
    <row r="24474">
      <c r="B24474" s="17" t="s">
        <v>477</v>
      </c>
      <c r="K24474" s="18" t="s">
        <v>477</v>
      </c>
    </row>
    <row r="24475">
      <c r="B24475" s="17" t="s">
        <v>477</v>
      </c>
      <c r="K24475" s="18" t="s">
        <v>477</v>
      </c>
    </row>
    <row r="24476">
      <c r="B24476" s="17" t="s">
        <v>477</v>
      </c>
      <c r="K24476" s="18" t="s">
        <v>477</v>
      </c>
    </row>
    <row r="24477">
      <c r="B24477" s="17" t="s">
        <v>477</v>
      </c>
      <c r="K24477" s="18" t="s">
        <v>477</v>
      </c>
    </row>
    <row r="24478">
      <c r="B24478" s="17" t="s">
        <v>477</v>
      </c>
      <c r="K24478" s="18" t="s">
        <v>477</v>
      </c>
    </row>
    <row r="24479">
      <c r="B24479" s="17" t="s">
        <v>477</v>
      </c>
      <c r="K24479" s="18" t="s">
        <v>477</v>
      </c>
    </row>
    <row r="24480">
      <c r="B24480" s="17" t="s">
        <v>477</v>
      </c>
      <c r="K24480" s="18" t="s">
        <v>477</v>
      </c>
    </row>
    <row r="24481">
      <c r="B24481" s="17" t="s">
        <v>477</v>
      </c>
      <c r="K24481" s="18" t="s">
        <v>477</v>
      </c>
    </row>
    <row r="24482">
      <c r="B24482" s="17" t="s">
        <v>477</v>
      </c>
      <c r="K24482" s="18" t="s">
        <v>477</v>
      </c>
    </row>
    <row r="24483">
      <c r="B24483" s="17" t="s">
        <v>477</v>
      </c>
      <c r="K24483" s="18" t="s">
        <v>477</v>
      </c>
    </row>
    <row r="24484">
      <c r="B24484" s="17" t="s">
        <v>477</v>
      </c>
      <c r="K24484" s="18" t="s">
        <v>477</v>
      </c>
    </row>
    <row r="24485">
      <c r="B24485" s="17" t="s">
        <v>477</v>
      </c>
      <c r="K24485" s="18" t="s">
        <v>477</v>
      </c>
    </row>
    <row r="24486">
      <c r="B24486" s="17" t="s">
        <v>477</v>
      </c>
      <c r="K24486" s="18" t="s">
        <v>477</v>
      </c>
    </row>
    <row r="24487">
      <c r="B24487" s="17" t="s">
        <v>477</v>
      </c>
      <c r="K24487" s="18" t="s">
        <v>477</v>
      </c>
    </row>
    <row r="24488">
      <c r="B24488" s="17" t="s">
        <v>477</v>
      </c>
      <c r="K24488" s="18" t="s">
        <v>477</v>
      </c>
    </row>
    <row r="24489">
      <c r="B24489" s="17" t="s">
        <v>477</v>
      </c>
      <c r="K24489" s="18" t="s">
        <v>477</v>
      </c>
    </row>
    <row r="24490">
      <c r="B24490" s="17" t="s">
        <v>477</v>
      </c>
      <c r="K24490" s="18" t="s">
        <v>477</v>
      </c>
    </row>
    <row r="24491">
      <c r="B24491" s="17" t="s">
        <v>477</v>
      </c>
      <c r="K24491" s="18" t="s">
        <v>477</v>
      </c>
    </row>
    <row r="24492">
      <c r="B24492" s="17" t="s">
        <v>477</v>
      </c>
      <c r="K24492" s="18" t="s">
        <v>477</v>
      </c>
    </row>
    <row r="24493">
      <c r="B24493" s="17" t="s">
        <v>477</v>
      </c>
      <c r="K24493" s="18" t="s">
        <v>477</v>
      </c>
    </row>
    <row r="24494">
      <c r="B24494" s="17" t="s">
        <v>477</v>
      </c>
      <c r="K24494" s="18" t="s">
        <v>477</v>
      </c>
    </row>
    <row r="24495">
      <c r="B24495" s="17" t="s">
        <v>477</v>
      </c>
      <c r="K24495" s="18" t="s">
        <v>477</v>
      </c>
    </row>
    <row r="24496">
      <c r="B24496" s="17" t="s">
        <v>477</v>
      </c>
      <c r="K24496" s="18" t="s">
        <v>477</v>
      </c>
    </row>
    <row r="24497">
      <c r="B24497" s="17" t="s">
        <v>477</v>
      </c>
      <c r="K24497" s="18" t="s">
        <v>477</v>
      </c>
    </row>
    <row r="24498">
      <c r="B24498" s="17" t="s">
        <v>477</v>
      </c>
      <c r="K24498" s="18" t="s">
        <v>477</v>
      </c>
    </row>
    <row r="24499">
      <c r="B24499" s="17" t="s">
        <v>477</v>
      </c>
      <c r="K24499" s="18" t="s">
        <v>477</v>
      </c>
    </row>
    <row r="24500">
      <c r="B24500" s="17" t="s">
        <v>477</v>
      </c>
      <c r="K24500" s="18" t="s">
        <v>477</v>
      </c>
    </row>
    <row r="24501">
      <c r="B24501" s="17" t="s">
        <v>477</v>
      </c>
      <c r="K24501" s="18" t="s">
        <v>477</v>
      </c>
    </row>
    <row r="24502">
      <c r="B24502" s="17" t="s">
        <v>477</v>
      </c>
      <c r="K24502" s="18" t="s">
        <v>477</v>
      </c>
    </row>
    <row r="24503">
      <c r="B24503" s="17" t="s">
        <v>477</v>
      </c>
      <c r="K24503" s="18" t="s">
        <v>477</v>
      </c>
    </row>
    <row r="24504">
      <c r="B24504" s="17" t="s">
        <v>477</v>
      </c>
      <c r="K24504" s="18" t="s">
        <v>477</v>
      </c>
    </row>
    <row r="24505">
      <c r="B24505" s="17" t="s">
        <v>477</v>
      </c>
      <c r="K24505" s="18" t="s">
        <v>477</v>
      </c>
    </row>
    <row r="24506">
      <c r="B24506" s="17" t="s">
        <v>477</v>
      </c>
      <c r="K24506" s="18" t="s">
        <v>477</v>
      </c>
    </row>
    <row r="24507">
      <c r="B24507" s="17" t="s">
        <v>477</v>
      </c>
      <c r="K24507" s="18" t="s">
        <v>477</v>
      </c>
    </row>
    <row r="24508">
      <c r="B24508" s="17" t="s">
        <v>477</v>
      </c>
      <c r="K24508" s="18" t="s">
        <v>477</v>
      </c>
    </row>
    <row r="24509">
      <c r="B24509" s="17" t="s">
        <v>477</v>
      </c>
      <c r="K24509" s="18" t="s">
        <v>477</v>
      </c>
    </row>
    <row r="24510">
      <c r="B24510" s="17" t="s">
        <v>477</v>
      </c>
      <c r="K24510" s="18" t="s">
        <v>477</v>
      </c>
    </row>
    <row r="24511">
      <c r="B24511" s="17" t="s">
        <v>477</v>
      </c>
      <c r="K24511" s="18" t="s">
        <v>477</v>
      </c>
    </row>
    <row r="24512">
      <c r="B24512" s="17" t="s">
        <v>477</v>
      </c>
      <c r="K24512" s="18" t="s">
        <v>477</v>
      </c>
    </row>
    <row r="24513">
      <c r="B24513" s="17" t="s">
        <v>477</v>
      </c>
      <c r="K24513" s="18" t="s">
        <v>477</v>
      </c>
    </row>
    <row r="24514">
      <c r="B24514" s="17" t="s">
        <v>477</v>
      </c>
      <c r="K24514" s="18" t="s">
        <v>477</v>
      </c>
    </row>
    <row r="24515">
      <c r="B24515" s="17" t="s">
        <v>477</v>
      </c>
      <c r="K24515" s="18" t="s">
        <v>477</v>
      </c>
    </row>
    <row r="24516">
      <c r="B24516" s="17" t="s">
        <v>477</v>
      </c>
      <c r="K24516" s="18" t="s">
        <v>477</v>
      </c>
    </row>
    <row r="24517">
      <c r="B24517" s="17" t="s">
        <v>477</v>
      </c>
      <c r="K24517" s="18" t="s">
        <v>477</v>
      </c>
    </row>
    <row r="24518">
      <c r="B24518" s="17" t="s">
        <v>477</v>
      </c>
      <c r="K24518" s="18" t="s">
        <v>477</v>
      </c>
    </row>
    <row r="24519">
      <c r="B24519" s="17" t="s">
        <v>477</v>
      </c>
      <c r="K24519" s="18" t="s">
        <v>477</v>
      </c>
    </row>
    <row r="24520">
      <c r="B24520" s="17" t="s">
        <v>477</v>
      </c>
      <c r="K24520" s="18" t="s">
        <v>477</v>
      </c>
    </row>
    <row r="24521">
      <c r="B24521" s="17" t="s">
        <v>477</v>
      </c>
      <c r="K24521" s="18" t="s">
        <v>477</v>
      </c>
    </row>
    <row r="24522">
      <c r="B24522" s="17" t="s">
        <v>477</v>
      </c>
      <c r="K24522" s="18" t="s">
        <v>477</v>
      </c>
    </row>
    <row r="24523">
      <c r="B24523" s="17" t="s">
        <v>477</v>
      </c>
      <c r="K24523" s="18" t="s">
        <v>477</v>
      </c>
    </row>
    <row r="24524">
      <c r="B24524" s="17" t="s">
        <v>477</v>
      </c>
      <c r="K24524" s="18" t="s">
        <v>477</v>
      </c>
    </row>
    <row r="24525">
      <c r="B24525" s="17" t="s">
        <v>477</v>
      </c>
      <c r="K24525" s="18" t="s">
        <v>477</v>
      </c>
    </row>
    <row r="24526">
      <c r="B24526" s="17" t="s">
        <v>477</v>
      </c>
      <c r="K24526" s="18" t="s">
        <v>477</v>
      </c>
    </row>
    <row r="24527">
      <c r="B24527" s="17" t="s">
        <v>477</v>
      </c>
      <c r="K24527" s="18" t="s">
        <v>477</v>
      </c>
    </row>
    <row r="24528">
      <c r="B24528" s="17" t="s">
        <v>477</v>
      </c>
      <c r="K24528" s="18" t="s">
        <v>477</v>
      </c>
    </row>
    <row r="24529">
      <c r="B24529" s="17" t="s">
        <v>477</v>
      </c>
      <c r="K24529" s="18" t="s">
        <v>477</v>
      </c>
    </row>
    <row r="24530">
      <c r="B24530" s="17" t="s">
        <v>477</v>
      </c>
      <c r="K24530" s="18" t="s">
        <v>477</v>
      </c>
    </row>
    <row r="24531">
      <c r="B24531" s="17" t="s">
        <v>477</v>
      </c>
      <c r="K24531" s="18" t="s">
        <v>477</v>
      </c>
    </row>
    <row r="24532">
      <c r="B24532" s="17" t="s">
        <v>477</v>
      </c>
      <c r="K24532" s="18" t="s">
        <v>477</v>
      </c>
    </row>
    <row r="24533">
      <c r="B24533" s="17" t="s">
        <v>477</v>
      </c>
      <c r="K24533" s="18" t="s">
        <v>477</v>
      </c>
    </row>
    <row r="24534">
      <c r="B24534" s="17" t="s">
        <v>477</v>
      </c>
      <c r="K24534" s="18" t="s">
        <v>477</v>
      </c>
    </row>
    <row r="24535">
      <c r="B24535" s="17" t="s">
        <v>477</v>
      </c>
      <c r="K24535" s="18" t="s">
        <v>477</v>
      </c>
    </row>
    <row r="24536">
      <c r="B24536" s="17" t="s">
        <v>477</v>
      </c>
      <c r="K24536" s="18" t="s">
        <v>477</v>
      </c>
    </row>
    <row r="24537">
      <c r="B24537" s="17" t="s">
        <v>477</v>
      </c>
      <c r="K24537" s="18" t="s">
        <v>477</v>
      </c>
    </row>
    <row r="24538">
      <c r="B24538" s="17" t="s">
        <v>477</v>
      </c>
      <c r="K24538" s="18" t="s">
        <v>477</v>
      </c>
    </row>
    <row r="24539">
      <c r="B24539" s="17" t="s">
        <v>477</v>
      </c>
      <c r="K24539" s="18" t="s">
        <v>477</v>
      </c>
    </row>
    <row r="24540">
      <c r="B24540" s="17" t="s">
        <v>477</v>
      </c>
      <c r="K24540" s="18" t="s">
        <v>477</v>
      </c>
    </row>
    <row r="24541">
      <c r="B24541" s="17" t="s">
        <v>477</v>
      </c>
      <c r="K24541" s="18" t="s">
        <v>477</v>
      </c>
    </row>
    <row r="24542">
      <c r="B24542" s="17" t="s">
        <v>477</v>
      </c>
      <c r="K24542" s="18" t="s">
        <v>477</v>
      </c>
    </row>
    <row r="24543">
      <c r="B24543" s="17" t="s">
        <v>477</v>
      </c>
      <c r="K24543" s="18" t="s">
        <v>477</v>
      </c>
    </row>
    <row r="24544">
      <c r="B24544" s="17" t="s">
        <v>477</v>
      </c>
      <c r="K24544" s="18" t="s">
        <v>477</v>
      </c>
    </row>
    <row r="24545">
      <c r="B24545" s="17" t="s">
        <v>477</v>
      </c>
      <c r="K24545" s="18" t="s">
        <v>477</v>
      </c>
    </row>
    <row r="24546">
      <c r="B24546" s="17" t="s">
        <v>477</v>
      </c>
      <c r="K24546" s="18" t="s">
        <v>477</v>
      </c>
    </row>
    <row r="24547">
      <c r="B24547" s="17" t="s">
        <v>477</v>
      </c>
      <c r="K24547" s="18" t="s">
        <v>477</v>
      </c>
    </row>
    <row r="24548">
      <c r="B24548" s="17" t="s">
        <v>477</v>
      </c>
      <c r="K24548" s="18" t="s">
        <v>477</v>
      </c>
    </row>
    <row r="24549">
      <c r="B24549" s="17" t="s">
        <v>477</v>
      </c>
      <c r="K24549" s="18" t="s">
        <v>477</v>
      </c>
    </row>
    <row r="24550">
      <c r="B24550" s="17" t="s">
        <v>477</v>
      </c>
      <c r="K24550" s="18" t="s">
        <v>477</v>
      </c>
    </row>
    <row r="24551">
      <c r="B24551" s="17" t="s">
        <v>477</v>
      </c>
      <c r="K24551" s="18" t="s">
        <v>477</v>
      </c>
    </row>
    <row r="24552">
      <c r="B24552" s="17" t="s">
        <v>477</v>
      </c>
      <c r="K24552" s="18" t="s">
        <v>477</v>
      </c>
    </row>
    <row r="24553">
      <c r="B24553" s="17" t="s">
        <v>477</v>
      </c>
      <c r="K24553" s="18" t="s">
        <v>477</v>
      </c>
    </row>
    <row r="24554">
      <c r="B24554" s="17" t="s">
        <v>477</v>
      </c>
      <c r="K24554" s="18" t="s">
        <v>477</v>
      </c>
    </row>
    <row r="24555">
      <c r="B24555" s="17" t="s">
        <v>477</v>
      </c>
      <c r="K24555" s="18" t="s">
        <v>477</v>
      </c>
    </row>
    <row r="24556">
      <c r="B24556" s="17" t="s">
        <v>477</v>
      </c>
      <c r="K24556" s="18" t="s">
        <v>477</v>
      </c>
    </row>
    <row r="24557">
      <c r="B24557" s="17" t="s">
        <v>477</v>
      </c>
      <c r="K24557" s="18" t="s">
        <v>477</v>
      </c>
    </row>
    <row r="24558">
      <c r="B24558" s="17" t="s">
        <v>477</v>
      </c>
      <c r="K24558" s="18" t="s">
        <v>477</v>
      </c>
    </row>
    <row r="24559">
      <c r="B24559" s="17" t="s">
        <v>477</v>
      </c>
      <c r="K24559" s="18" t="s">
        <v>477</v>
      </c>
    </row>
    <row r="24560">
      <c r="B24560" s="17" t="s">
        <v>477</v>
      </c>
      <c r="K24560" s="18" t="s">
        <v>477</v>
      </c>
    </row>
    <row r="24561">
      <c r="B24561" s="17" t="s">
        <v>477</v>
      </c>
      <c r="K24561" s="18" t="s">
        <v>477</v>
      </c>
    </row>
    <row r="24562">
      <c r="B24562" s="17" t="s">
        <v>477</v>
      </c>
      <c r="K24562" s="18" t="s">
        <v>477</v>
      </c>
    </row>
    <row r="24563">
      <c r="B24563" s="17" t="s">
        <v>477</v>
      </c>
      <c r="K24563" s="18" t="s">
        <v>477</v>
      </c>
    </row>
    <row r="24564">
      <c r="B24564" s="17" t="s">
        <v>477</v>
      </c>
      <c r="K24564" s="18" t="s">
        <v>477</v>
      </c>
    </row>
    <row r="24565">
      <c r="B24565" s="17" t="s">
        <v>477</v>
      </c>
      <c r="K24565" s="18" t="s">
        <v>477</v>
      </c>
    </row>
    <row r="24566">
      <c r="B24566" s="17" t="s">
        <v>477</v>
      </c>
      <c r="K24566" s="18" t="s">
        <v>477</v>
      </c>
    </row>
    <row r="24567">
      <c r="B24567" s="17" t="s">
        <v>477</v>
      </c>
      <c r="K24567" s="18" t="s">
        <v>477</v>
      </c>
    </row>
    <row r="24568">
      <c r="B24568" s="17" t="s">
        <v>477</v>
      </c>
      <c r="K24568" s="18" t="s">
        <v>477</v>
      </c>
    </row>
    <row r="24569">
      <c r="B24569" s="17" t="s">
        <v>477</v>
      </c>
      <c r="K24569" s="18" t="s">
        <v>477</v>
      </c>
    </row>
    <row r="24570">
      <c r="B24570" s="17" t="s">
        <v>477</v>
      </c>
      <c r="K24570" s="18" t="s">
        <v>477</v>
      </c>
    </row>
    <row r="24571">
      <c r="B24571" s="17" t="s">
        <v>477</v>
      </c>
      <c r="K24571" s="18" t="s">
        <v>477</v>
      </c>
    </row>
    <row r="24572">
      <c r="B24572" s="17" t="s">
        <v>477</v>
      </c>
      <c r="K24572" s="18" t="s">
        <v>477</v>
      </c>
    </row>
    <row r="24573">
      <c r="B24573" s="17" t="s">
        <v>477</v>
      </c>
      <c r="K24573" s="18" t="s">
        <v>477</v>
      </c>
    </row>
    <row r="24574">
      <c r="B24574" s="17" t="s">
        <v>477</v>
      </c>
      <c r="K24574" s="18" t="s">
        <v>477</v>
      </c>
    </row>
    <row r="24575">
      <c r="B24575" s="17" t="s">
        <v>477</v>
      </c>
      <c r="K24575" s="18" t="s">
        <v>477</v>
      </c>
    </row>
    <row r="24576">
      <c r="B24576" s="17" t="s">
        <v>477</v>
      </c>
      <c r="K24576" s="18" t="s">
        <v>477</v>
      </c>
    </row>
    <row r="24577">
      <c r="B24577" s="17" t="s">
        <v>477</v>
      </c>
      <c r="K24577" s="18" t="s">
        <v>477</v>
      </c>
    </row>
    <row r="24578">
      <c r="B24578" s="17" t="s">
        <v>477</v>
      </c>
      <c r="K24578" s="18" t="s">
        <v>477</v>
      </c>
    </row>
    <row r="24579">
      <c r="B24579" s="17" t="s">
        <v>477</v>
      </c>
      <c r="K24579" s="18" t="s">
        <v>477</v>
      </c>
    </row>
    <row r="24580">
      <c r="B24580" s="17" t="s">
        <v>477</v>
      </c>
      <c r="K24580" s="18" t="s">
        <v>477</v>
      </c>
    </row>
    <row r="24581">
      <c r="B24581" s="17" t="s">
        <v>477</v>
      </c>
      <c r="K24581" s="18" t="s">
        <v>477</v>
      </c>
    </row>
    <row r="24582">
      <c r="B24582" s="17" t="s">
        <v>477</v>
      </c>
      <c r="K24582" s="18" t="s">
        <v>477</v>
      </c>
    </row>
    <row r="24583">
      <c r="B24583" s="17" t="s">
        <v>477</v>
      </c>
      <c r="K24583" s="18" t="s">
        <v>477</v>
      </c>
    </row>
    <row r="24584">
      <c r="B24584" s="17" t="s">
        <v>477</v>
      </c>
      <c r="K24584" s="18" t="s">
        <v>477</v>
      </c>
    </row>
    <row r="24585">
      <c r="B24585" s="17" t="s">
        <v>477</v>
      </c>
      <c r="K24585" s="18" t="s">
        <v>477</v>
      </c>
    </row>
    <row r="24586">
      <c r="B24586" s="17" t="s">
        <v>477</v>
      </c>
      <c r="K24586" s="18" t="s">
        <v>477</v>
      </c>
    </row>
    <row r="24587">
      <c r="B24587" s="17" t="s">
        <v>477</v>
      </c>
      <c r="K24587" s="18" t="s">
        <v>477</v>
      </c>
    </row>
    <row r="24588">
      <c r="B24588" s="17" t="s">
        <v>477</v>
      </c>
      <c r="K24588" s="18" t="s">
        <v>477</v>
      </c>
    </row>
    <row r="24589">
      <c r="B24589" s="17" t="s">
        <v>477</v>
      </c>
      <c r="K24589" s="18" t="s">
        <v>477</v>
      </c>
    </row>
    <row r="24590">
      <c r="B24590" s="17" t="s">
        <v>477</v>
      </c>
      <c r="K24590" s="18" t="s">
        <v>477</v>
      </c>
    </row>
    <row r="24591">
      <c r="B24591" s="17" t="s">
        <v>477</v>
      </c>
      <c r="K24591" s="18" t="s">
        <v>477</v>
      </c>
    </row>
    <row r="24592">
      <c r="B24592" s="17" t="s">
        <v>477</v>
      </c>
      <c r="K24592" s="18" t="s">
        <v>477</v>
      </c>
    </row>
    <row r="24593">
      <c r="B24593" s="17" t="s">
        <v>477</v>
      </c>
      <c r="K24593" s="18" t="s">
        <v>477</v>
      </c>
    </row>
    <row r="24594">
      <c r="B24594" s="17" t="s">
        <v>477</v>
      </c>
      <c r="K24594" s="18" t="s">
        <v>477</v>
      </c>
    </row>
    <row r="24595">
      <c r="B24595" s="17" t="s">
        <v>477</v>
      </c>
      <c r="K24595" s="18" t="s">
        <v>477</v>
      </c>
    </row>
    <row r="24596">
      <c r="B24596" s="17" t="s">
        <v>477</v>
      </c>
      <c r="K24596" s="18" t="s">
        <v>477</v>
      </c>
    </row>
    <row r="24597">
      <c r="B24597" s="17" t="s">
        <v>477</v>
      </c>
      <c r="K24597" s="18" t="s">
        <v>477</v>
      </c>
    </row>
    <row r="24598">
      <c r="B24598" s="17" t="s">
        <v>477</v>
      </c>
      <c r="K24598" s="18" t="s">
        <v>477</v>
      </c>
    </row>
    <row r="24599">
      <c r="B24599" s="17" t="s">
        <v>477</v>
      </c>
      <c r="K24599" s="18" t="s">
        <v>477</v>
      </c>
    </row>
    <row r="24600">
      <c r="B24600" s="17" t="s">
        <v>477</v>
      </c>
      <c r="K24600" s="18" t="s">
        <v>477</v>
      </c>
    </row>
    <row r="24601">
      <c r="B24601" s="17" t="s">
        <v>477</v>
      </c>
      <c r="K24601" s="18" t="s">
        <v>477</v>
      </c>
    </row>
    <row r="24602">
      <c r="B24602" s="17" t="s">
        <v>477</v>
      </c>
      <c r="K24602" s="18" t="s">
        <v>477</v>
      </c>
    </row>
    <row r="24603">
      <c r="B24603" s="17" t="s">
        <v>477</v>
      </c>
      <c r="K24603" s="18" t="s">
        <v>477</v>
      </c>
    </row>
    <row r="24604">
      <c r="B24604" s="17" t="s">
        <v>477</v>
      </c>
      <c r="K24604" s="18" t="s">
        <v>477</v>
      </c>
    </row>
    <row r="24605">
      <c r="B24605" s="17" t="s">
        <v>477</v>
      </c>
      <c r="K24605" s="18" t="s">
        <v>477</v>
      </c>
    </row>
    <row r="24606">
      <c r="B24606" s="17" t="s">
        <v>477</v>
      </c>
      <c r="K24606" s="18" t="s">
        <v>477</v>
      </c>
    </row>
    <row r="24607">
      <c r="B24607" s="17" t="s">
        <v>477</v>
      </c>
      <c r="K24607" s="18" t="s">
        <v>477</v>
      </c>
    </row>
    <row r="24608">
      <c r="B24608" s="17" t="s">
        <v>477</v>
      </c>
      <c r="K24608" s="18" t="s">
        <v>477</v>
      </c>
    </row>
    <row r="24609">
      <c r="B24609" s="17" t="s">
        <v>477</v>
      </c>
      <c r="K24609" s="18" t="s">
        <v>477</v>
      </c>
    </row>
    <row r="24610">
      <c r="B24610" s="17" t="s">
        <v>477</v>
      </c>
      <c r="K24610" s="18" t="s">
        <v>477</v>
      </c>
    </row>
    <row r="24611">
      <c r="B24611" s="17" t="s">
        <v>477</v>
      </c>
      <c r="K24611" s="18" t="s">
        <v>477</v>
      </c>
    </row>
    <row r="24612">
      <c r="B24612" s="17" t="s">
        <v>477</v>
      </c>
      <c r="K24612" s="18" t="s">
        <v>477</v>
      </c>
    </row>
    <row r="24613">
      <c r="B24613" s="17" t="s">
        <v>477</v>
      </c>
      <c r="K24613" s="18" t="s">
        <v>477</v>
      </c>
    </row>
    <row r="24614">
      <c r="B24614" s="17" t="s">
        <v>477</v>
      </c>
      <c r="K24614" s="18" t="s">
        <v>477</v>
      </c>
    </row>
    <row r="24615">
      <c r="B24615" s="17" t="s">
        <v>477</v>
      </c>
      <c r="K24615" s="18" t="s">
        <v>477</v>
      </c>
    </row>
    <row r="24616">
      <c r="B24616" s="17" t="s">
        <v>477</v>
      </c>
      <c r="K24616" s="18" t="s">
        <v>477</v>
      </c>
    </row>
    <row r="24617">
      <c r="B24617" s="17" t="s">
        <v>477</v>
      </c>
      <c r="K24617" s="18" t="s">
        <v>477</v>
      </c>
    </row>
    <row r="24618">
      <c r="B24618" s="17" t="s">
        <v>477</v>
      </c>
      <c r="K24618" s="18" t="s">
        <v>477</v>
      </c>
    </row>
    <row r="24619">
      <c r="B24619" s="17" t="s">
        <v>477</v>
      </c>
      <c r="K24619" s="18" t="s">
        <v>477</v>
      </c>
    </row>
    <row r="24620">
      <c r="B24620" s="17" t="s">
        <v>477</v>
      </c>
      <c r="K24620" s="18" t="s">
        <v>477</v>
      </c>
    </row>
    <row r="24621">
      <c r="B24621" s="17" t="s">
        <v>477</v>
      </c>
      <c r="K24621" s="18" t="s">
        <v>477</v>
      </c>
    </row>
    <row r="24622">
      <c r="B24622" s="17" t="s">
        <v>477</v>
      </c>
      <c r="K24622" s="18" t="s">
        <v>477</v>
      </c>
    </row>
    <row r="24623">
      <c r="B24623" s="17" t="s">
        <v>477</v>
      </c>
      <c r="K24623" s="18" t="s">
        <v>477</v>
      </c>
    </row>
    <row r="24624">
      <c r="B24624" s="17" t="s">
        <v>477</v>
      </c>
      <c r="K24624" s="18" t="s">
        <v>477</v>
      </c>
    </row>
    <row r="24625">
      <c r="B24625" s="17" t="s">
        <v>477</v>
      </c>
      <c r="K24625" s="18" t="s">
        <v>477</v>
      </c>
    </row>
    <row r="24626">
      <c r="B24626" s="17" t="s">
        <v>477</v>
      </c>
      <c r="K24626" s="18" t="s">
        <v>477</v>
      </c>
    </row>
    <row r="24627">
      <c r="B24627" s="17" t="s">
        <v>477</v>
      </c>
      <c r="K24627" s="18" t="s">
        <v>477</v>
      </c>
    </row>
    <row r="24628">
      <c r="B24628" s="17" t="s">
        <v>477</v>
      </c>
      <c r="K24628" s="18" t="s">
        <v>477</v>
      </c>
    </row>
    <row r="24629">
      <c r="B24629" s="17" t="s">
        <v>477</v>
      </c>
      <c r="K24629" s="18" t="s">
        <v>477</v>
      </c>
    </row>
    <row r="24630">
      <c r="B24630" s="17" t="s">
        <v>477</v>
      </c>
      <c r="K24630" s="18" t="s">
        <v>477</v>
      </c>
    </row>
    <row r="24631">
      <c r="B24631" s="17" t="s">
        <v>477</v>
      </c>
      <c r="K24631" s="18" t="s">
        <v>477</v>
      </c>
    </row>
    <row r="24632">
      <c r="B24632" s="17" t="s">
        <v>477</v>
      </c>
      <c r="K24632" s="18" t="s">
        <v>477</v>
      </c>
    </row>
    <row r="24633">
      <c r="B24633" s="17" t="s">
        <v>477</v>
      </c>
      <c r="K24633" s="18" t="s">
        <v>477</v>
      </c>
    </row>
    <row r="24634">
      <c r="B24634" s="17" t="s">
        <v>477</v>
      </c>
      <c r="K24634" s="18" t="s">
        <v>477</v>
      </c>
    </row>
    <row r="24635">
      <c r="B24635" s="17" t="s">
        <v>477</v>
      </c>
      <c r="K24635" s="18" t="s">
        <v>477</v>
      </c>
    </row>
    <row r="24636">
      <c r="B24636" s="17" t="s">
        <v>477</v>
      </c>
      <c r="K24636" s="18" t="s">
        <v>477</v>
      </c>
    </row>
    <row r="24637">
      <c r="B24637" s="17" t="s">
        <v>477</v>
      </c>
      <c r="K24637" s="18" t="s">
        <v>477</v>
      </c>
    </row>
    <row r="24638">
      <c r="B24638" s="17" t="s">
        <v>477</v>
      </c>
      <c r="K24638" s="18" t="s">
        <v>477</v>
      </c>
    </row>
    <row r="24639">
      <c r="B24639" s="17" t="s">
        <v>477</v>
      </c>
      <c r="K24639" s="18" t="s">
        <v>477</v>
      </c>
    </row>
    <row r="24640">
      <c r="B24640" s="17" t="s">
        <v>477</v>
      </c>
      <c r="K24640" s="18" t="s">
        <v>477</v>
      </c>
    </row>
    <row r="24641">
      <c r="B24641" s="17" t="s">
        <v>477</v>
      </c>
      <c r="K24641" s="18" t="s">
        <v>477</v>
      </c>
    </row>
    <row r="24642">
      <c r="B24642" s="17" t="s">
        <v>477</v>
      </c>
      <c r="K24642" s="18" t="s">
        <v>477</v>
      </c>
    </row>
    <row r="24643">
      <c r="B24643" s="17" t="s">
        <v>477</v>
      </c>
      <c r="K24643" s="18" t="s">
        <v>477</v>
      </c>
    </row>
    <row r="24644">
      <c r="B24644" s="17" t="s">
        <v>477</v>
      </c>
      <c r="K24644" s="18" t="s">
        <v>477</v>
      </c>
    </row>
    <row r="24645">
      <c r="B24645" s="17" t="s">
        <v>477</v>
      </c>
      <c r="K24645" s="18" t="s">
        <v>477</v>
      </c>
    </row>
    <row r="24646">
      <c r="B24646" s="17" t="s">
        <v>477</v>
      </c>
      <c r="K24646" s="18" t="s">
        <v>477</v>
      </c>
    </row>
    <row r="24647">
      <c r="B24647" s="17" t="s">
        <v>477</v>
      </c>
      <c r="K24647" s="18" t="s">
        <v>477</v>
      </c>
    </row>
    <row r="24648">
      <c r="B24648" s="17" t="s">
        <v>477</v>
      </c>
      <c r="K24648" s="18" t="s">
        <v>477</v>
      </c>
    </row>
    <row r="24649">
      <c r="B24649" s="17" t="s">
        <v>477</v>
      </c>
      <c r="K24649" s="18" t="s">
        <v>477</v>
      </c>
    </row>
    <row r="24650">
      <c r="B24650" s="17" t="s">
        <v>477</v>
      </c>
      <c r="K24650" s="18" t="s">
        <v>477</v>
      </c>
    </row>
    <row r="24651">
      <c r="B24651" s="17" t="s">
        <v>477</v>
      </c>
      <c r="K24651" s="18" t="s">
        <v>477</v>
      </c>
    </row>
    <row r="24652">
      <c r="B24652" s="17" t="s">
        <v>477</v>
      </c>
      <c r="K24652" s="18" t="s">
        <v>477</v>
      </c>
    </row>
    <row r="24653">
      <c r="B24653" s="17" t="s">
        <v>477</v>
      </c>
      <c r="K24653" s="18" t="s">
        <v>477</v>
      </c>
    </row>
    <row r="24654">
      <c r="B24654" s="17" t="s">
        <v>477</v>
      </c>
      <c r="K24654" s="18" t="s">
        <v>477</v>
      </c>
    </row>
    <row r="24655">
      <c r="B24655" s="17" t="s">
        <v>477</v>
      </c>
      <c r="K24655" s="18" t="s">
        <v>477</v>
      </c>
    </row>
    <row r="24656">
      <c r="B24656" s="17" t="s">
        <v>477</v>
      </c>
      <c r="K24656" s="18" t="s">
        <v>477</v>
      </c>
    </row>
    <row r="24657">
      <c r="B24657" s="17" t="s">
        <v>477</v>
      </c>
      <c r="K24657" s="18" t="s">
        <v>477</v>
      </c>
    </row>
    <row r="24658">
      <c r="B24658" s="17" t="s">
        <v>477</v>
      </c>
      <c r="K24658" s="18" t="s">
        <v>477</v>
      </c>
    </row>
    <row r="24659">
      <c r="B24659" s="17" t="s">
        <v>477</v>
      </c>
      <c r="K24659" s="18" t="s">
        <v>477</v>
      </c>
    </row>
    <row r="24660">
      <c r="B24660" s="17" t="s">
        <v>477</v>
      </c>
      <c r="K24660" s="18" t="s">
        <v>477</v>
      </c>
    </row>
    <row r="24661">
      <c r="B24661" s="17" t="s">
        <v>477</v>
      </c>
      <c r="K24661" s="18" t="s">
        <v>477</v>
      </c>
    </row>
    <row r="24662">
      <c r="B24662" s="17" t="s">
        <v>477</v>
      </c>
      <c r="K24662" s="18" t="s">
        <v>477</v>
      </c>
    </row>
    <row r="24663">
      <c r="B24663" s="17" t="s">
        <v>477</v>
      </c>
      <c r="K24663" s="18" t="s">
        <v>477</v>
      </c>
    </row>
    <row r="24664">
      <c r="B24664" s="17" t="s">
        <v>477</v>
      </c>
      <c r="K24664" s="18" t="s">
        <v>477</v>
      </c>
    </row>
    <row r="24665">
      <c r="B24665" s="17" t="s">
        <v>477</v>
      </c>
      <c r="K24665" s="18" t="s">
        <v>477</v>
      </c>
    </row>
    <row r="24666">
      <c r="B24666" s="17" t="s">
        <v>477</v>
      </c>
      <c r="K24666" s="18" t="s">
        <v>477</v>
      </c>
    </row>
    <row r="24667">
      <c r="B24667" s="17" t="s">
        <v>477</v>
      </c>
      <c r="K24667" s="18" t="s">
        <v>477</v>
      </c>
    </row>
    <row r="24668">
      <c r="B24668" s="17" t="s">
        <v>477</v>
      </c>
      <c r="K24668" s="18" t="s">
        <v>477</v>
      </c>
    </row>
    <row r="24669">
      <c r="B24669" s="17" t="s">
        <v>477</v>
      </c>
      <c r="K24669" s="18" t="s">
        <v>477</v>
      </c>
    </row>
    <row r="24670">
      <c r="B24670" s="17" t="s">
        <v>477</v>
      </c>
      <c r="K24670" s="18" t="s">
        <v>477</v>
      </c>
    </row>
    <row r="24671">
      <c r="B24671" s="17" t="s">
        <v>477</v>
      </c>
      <c r="K24671" s="18" t="s">
        <v>477</v>
      </c>
    </row>
    <row r="24672">
      <c r="B24672" s="17" t="s">
        <v>477</v>
      </c>
      <c r="K24672" s="18" t="s">
        <v>477</v>
      </c>
    </row>
    <row r="24673">
      <c r="B24673" s="17" t="s">
        <v>477</v>
      </c>
      <c r="K24673" s="18" t="s">
        <v>477</v>
      </c>
    </row>
    <row r="24674">
      <c r="B24674" s="17" t="s">
        <v>477</v>
      </c>
      <c r="K24674" s="18" t="s">
        <v>477</v>
      </c>
    </row>
    <row r="24675">
      <c r="B24675" s="17" t="s">
        <v>477</v>
      </c>
      <c r="K24675" s="18" t="s">
        <v>477</v>
      </c>
    </row>
    <row r="24676">
      <c r="B24676" s="17" t="s">
        <v>477</v>
      </c>
      <c r="K24676" s="18" t="s">
        <v>477</v>
      </c>
    </row>
    <row r="24677">
      <c r="B24677" s="17" t="s">
        <v>477</v>
      </c>
      <c r="K24677" s="18" t="s">
        <v>477</v>
      </c>
    </row>
    <row r="24678">
      <c r="B24678" s="17" t="s">
        <v>477</v>
      </c>
      <c r="K24678" s="18" t="s">
        <v>477</v>
      </c>
    </row>
    <row r="24679">
      <c r="B24679" s="17" t="s">
        <v>477</v>
      </c>
      <c r="K24679" s="18" t="s">
        <v>477</v>
      </c>
    </row>
    <row r="24680">
      <c r="B24680" s="17" t="s">
        <v>477</v>
      </c>
      <c r="K24680" s="18" t="s">
        <v>477</v>
      </c>
    </row>
    <row r="24681">
      <c r="B24681" s="17" t="s">
        <v>477</v>
      </c>
      <c r="K24681" s="18" t="s">
        <v>477</v>
      </c>
    </row>
    <row r="24682">
      <c r="B24682" s="17" t="s">
        <v>477</v>
      </c>
      <c r="K24682" s="18" t="s">
        <v>477</v>
      </c>
    </row>
    <row r="24683">
      <c r="B24683" s="17" t="s">
        <v>477</v>
      </c>
      <c r="K24683" s="18" t="s">
        <v>477</v>
      </c>
    </row>
    <row r="24684">
      <c r="B24684" s="17" t="s">
        <v>477</v>
      </c>
      <c r="K24684" s="18" t="s">
        <v>477</v>
      </c>
    </row>
    <row r="24685">
      <c r="B24685" s="17" t="s">
        <v>477</v>
      </c>
      <c r="K24685" s="18" t="s">
        <v>477</v>
      </c>
    </row>
    <row r="24686">
      <c r="B24686" s="17" t="s">
        <v>477</v>
      </c>
      <c r="K24686" s="18" t="s">
        <v>477</v>
      </c>
    </row>
    <row r="24687">
      <c r="B24687" s="17" t="s">
        <v>477</v>
      </c>
      <c r="K24687" s="18" t="s">
        <v>477</v>
      </c>
    </row>
    <row r="24688">
      <c r="B24688" s="17" t="s">
        <v>477</v>
      </c>
      <c r="K24688" s="18" t="s">
        <v>477</v>
      </c>
    </row>
    <row r="24689">
      <c r="B24689" s="17" t="s">
        <v>477</v>
      </c>
      <c r="K24689" s="18" t="s">
        <v>477</v>
      </c>
    </row>
    <row r="24690">
      <c r="B24690" s="17" t="s">
        <v>477</v>
      </c>
      <c r="K24690" s="18" t="s">
        <v>477</v>
      </c>
    </row>
    <row r="24691">
      <c r="B24691" s="17" t="s">
        <v>477</v>
      </c>
      <c r="K24691" s="18" t="s">
        <v>477</v>
      </c>
    </row>
    <row r="24692">
      <c r="B24692" s="17" t="s">
        <v>477</v>
      </c>
      <c r="K24692" s="18" t="s">
        <v>477</v>
      </c>
    </row>
    <row r="24693">
      <c r="B24693" s="17" t="s">
        <v>477</v>
      </c>
      <c r="K24693" s="18" t="s">
        <v>477</v>
      </c>
    </row>
    <row r="24694">
      <c r="B24694" s="17" t="s">
        <v>477</v>
      </c>
      <c r="K24694" s="18" t="s">
        <v>477</v>
      </c>
    </row>
    <row r="24695">
      <c r="B24695" s="17" t="s">
        <v>477</v>
      </c>
      <c r="K24695" s="18" t="s">
        <v>477</v>
      </c>
    </row>
    <row r="24696">
      <c r="B24696" s="17" t="s">
        <v>477</v>
      </c>
      <c r="K24696" s="18" t="s">
        <v>477</v>
      </c>
    </row>
    <row r="24697">
      <c r="B24697" s="17" t="s">
        <v>477</v>
      </c>
      <c r="K24697" s="18" t="s">
        <v>477</v>
      </c>
    </row>
    <row r="24698">
      <c r="B24698" s="17" t="s">
        <v>477</v>
      </c>
      <c r="K24698" s="18" t="s">
        <v>477</v>
      </c>
    </row>
    <row r="24699">
      <c r="B24699" s="17" t="s">
        <v>477</v>
      </c>
      <c r="K24699" s="18" t="s">
        <v>477</v>
      </c>
    </row>
    <row r="24700">
      <c r="B24700" s="17" t="s">
        <v>477</v>
      </c>
      <c r="K24700" s="18" t="s">
        <v>477</v>
      </c>
    </row>
    <row r="24701">
      <c r="B24701" s="17" t="s">
        <v>477</v>
      </c>
      <c r="K24701" s="18" t="s">
        <v>477</v>
      </c>
    </row>
    <row r="24702">
      <c r="B24702" s="17" t="s">
        <v>477</v>
      </c>
      <c r="K24702" s="18" t="s">
        <v>477</v>
      </c>
    </row>
    <row r="24703">
      <c r="B24703" s="17" t="s">
        <v>477</v>
      </c>
      <c r="K24703" s="18" t="s">
        <v>477</v>
      </c>
    </row>
    <row r="24704">
      <c r="B24704" s="17" t="s">
        <v>477</v>
      </c>
      <c r="K24704" s="18" t="s">
        <v>477</v>
      </c>
    </row>
    <row r="24705">
      <c r="B24705" s="17" t="s">
        <v>477</v>
      </c>
      <c r="K24705" s="18" t="s">
        <v>477</v>
      </c>
    </row>
    <row r="24706">
      <c r="B24706" s="17" t="s">
        <v>477</v>
      </c>
      <c r="K24706" s="18" t="s">
        <v>477</v>
      </c>
    </row>
    <row r="24707">
      <c r="B24707" s="17" t="s">
        <v>477</v>
      </c>
      <c r="K24707" s="18" t="s">
        <v>477</v>
      </c>
    </row>
    <row r="24708">
      <c r="B24708" s="17" t="s">
        <v>477</v>
      </c>
      <c r="K24708" s="18" t="s">
        <v>477</v>
      </c>
    </row>
    <row r="24709">
      <c r="B24709" s="17" t="s">
        <v>477</v>
      </c>
      <c r="K24709" s="18" t="s">
        <v>477</v>
      </c>
    </row>
    <row r="24710">
      <c r="B24710" s="17" t="s">
        <v>477</v>
      </c>
      <c r="K24710" s="18" t="s">
        <v>477</v>
      </c>
    </row>
    <row r="24711">
      <c r="B24711" s="17" t="s">
        <v>477</v>
      </c>
      <c r="K24711" s="18" t="s">
        <v>477</v>
      </c>
    </row>
    <row r="24712">
      <c r="B24712" s="17" t="s">
        <v>477</v>
      </c>
      <c r="K24712" s="18" t="s">
        <v>477</v>
      </c>
    </row>
    <row r="24713">
      <c r="B24713" s="17" t="s">
        <v>477</v>
      </c>
      <c r="K24713" s="18" t="s">
        <v>477</v>
      </c>
    </row>
    <row r="24714">
      <c r="B24714" s="17" t="s">
        <v>477</v>
      </c>
      <c r="K24714" s="18" t="s">
        <v>477</v>
      </c>
    </row>
    <row r="24715">
      <c r="B24715" s="17" t="s">
        <v>477</v>
      </c>
      <c r="K24715" s="18" t="s">
        <v>477</v>
      </c>
    </row>
    <row r="24716">
      <c r="B24716" s="17" t="s">
        <v>477</v>
      </c>
      <c r="K24716" s="18" t="s">
        <v>477</v>
      </c>
    </row>
    <row r="24717">
      <c r="B24717" s="17" t="s">
        <v>477</v>
      </c>
      <c r="K24717" s="18" t="s">
        <v>477</v>
      </c>
    </row>
    <row r="24718">
      <c r="B24718" s="17" t="s">
        <v>477</v>
      </c>
      <c r="K24718" s="18" t="s">
        <v>477</v>
      </c>
    </row>
    <row r="24719">
      <c r="B24719" s="17" t="s">
        <v>477</v>
      </c>
      <c r="K24719" s="18" t="s">
        <v>477</v>
      </c>
    </row>
    <row r="24720">
      <c r="B24720" s="17" t="s">
        <v>477</v>
      </c>
      <c r="K24720" s="18" t="s">
        <v>477</v>
      </c>
    </row>
    <row r="24721">
      <c r="B24721" s="17" t="s">
        <v>477</v>
      </c>
      <c r="K24721" s="18" t="s">
        <v>477</v>
      </c>
    </row>
    <row r="24722">
      <c r="B24722" s="17" t="s">
        <v>477</v>
      </c>
      <c r="K24722" s="18" t="s">
        <v>477</v>
      </c>
    </row>
    <row r="24723">
      <c r="B24723" s="17" t="s">
        <v>477</v>
      </c>
      <c r="K24723" s="18" t="s">
        <v>477</v>
      </c>
    </row>
    <row r="24724">
      <c r="B24724" s="17" t="s">
        <v>477</v>
      </c>
      <c r="K24724" s="18" t="s">
        <v>477</v>
      </c>
    </row>
    <row r="24725">
      <c r="B24725" s="17" t="s">
        <v>477</v>
      </c>
      <c r="K24725" s="18" t="s">
        <v>477</v>
      </c>
    </row>
    <row r="24726">
      <c r="B24726" s="17" t="s">
        <v>477</v>
      </c>
      <c r="K24726" s="18" t="s">
        <v>477</v>
      </c>
    </row>
    <row r="24727">
      <c r="B24727" s="17" t="s">
        <v>477</v>
      </c>
      <c r="K24727" s="18" t="s">
        <v>477</v>
      </c>
    </row>
    <row r="24728">
      <c r="B24728" s="17" t="s">
        <v>477</v>
      </c>
      <c r="K24728" s="18" t="s">
        <v>477</v>
      </c>
    </row>
    <row r="24729">
      <c r="B24729" s="17" t="s">
        <v>477</v>
      </c>
      <c r="K24729" s="18" t="s">
        <v>477</v>
      </c>
    </row>
    <row r="24730">
      <c r="B24730" s="17" t="s">
        <v>477</v>
      </c>
      <c r="K24730" s="18" t="s">
        <v>477</v>
      </c>
    </row>
    <row r="24731">
      <c r="B24731" s="17" t="s">
        <v>477</v>
      </c>
      <c r="K24731" s="18" t="s">
        <v>477</v>
      </c>
    </row>
    <row r="24732">
      <c r="B24732" s="17" t="s">
        <v>477</v>
      </c>
      <c r="K24732" s="18" t="s">
        <v>477</v>
      </c>
    </row>
    <row r="24733">
      <c r="B24733" s="17" t="s">
        <v>477</v>
      </c>
      <c r="K24733" s="18" t="s">
        <v>477</v>
      </c>
    </row>
    <row r="24734">
      <c r="B24734" s="17" t="s">
        <v>477</v>
      </c>
      <c r="K24734" s="18" t="s">
        <v>477</v>
      </c>
    </row>
    <row r="24735">
      <c r="B24735" s="17" t="s">
        <v>477</v>
      </c>
      <c r="K24735" s="18" t="s">
        <v>477</v>
      </c>
    </row>
    <row r="24736">
      <c r="B24736" s="17" t="s">
        <v>477</v>
      </c>
      <c r="K24736" s="18" t="s">
        <v>477</v>
      </c>
    </row>
    <row r="24737">
      <c r="B24737" s="17" t="s">
        <v>477</v>
      </c>
      <c r="K24737" s="18" t="s">
        <v>477</v>
      </c>
    </row>
    <row r="24738">
      <c r="B24738" s="17" t="s">
        <v>477</v>
      </c>
      <c r="K24738" s="18" t="s">
        <v>477</v>
      </c>
    </row>
    <row r="24739">
      <c r="B24739" s="17" t="s">
        <v>477</v>
      </c>
      <c r="K24739" s="18" t="s">
        <v>477</v>
      </c>
    </row>
    <row r="24740">
      <c r="B24740" s="17" t="s">
        <v>477</v>
      </c>
      <c r="K24740" s="18" t="s">
        <v>477</v>
      </c>
    </row>
    <row r="24741">
      <c r="B24741" s="17" t="s">
        <v>477</v>
      </c>
      <c r="K24741" s="18" t="s">
        <v>477</v>
      </c>
    </row>
    <row r="24742">
      <c r="B24742" s="17" t="s">
        <v>477</v>
      </c>
      <c r="K24742" s="18" t="s">
        <v>477</v>
      </c>
    </row>
    <row r="24743">
      <c r="B24743" s="17" t="s">
        <v>477</v>
      </c>
      <c r="K24743" s="18" t="s">
        <v>477</v>
      </c>
    </row>
    <row r="24744">
      <c r="B24744" s="17" t="s">
        <v>477</v>
      </c>
      <c r="K24744" s="18" t="s">
        <v>477</v>
      </c>
    </row>
    <row r="24745">
      <c r="B24745" s="17" t="s">
        <v>477</v>
      </c>
      <c r="K24745" s="18" t="s">
        <v>477</v>
      </c>
    </row>
    <row r="24746">
      <c r="B24746" s="17" t="s">
        <v>477</v>
      </c>
      <c r="K24746" s="18" t="s">
        <v>477</v>
      </c>
    </row>
    <row r="24747">
      <c r="B24747" s="17" t="s">
        <v>477</v>
      </c>
      <c r="K24747" s="18" t="s">
        <v>477</v>
      </c>
    </row>
    <row r="24748">
      <c r="B24748" s="17" t="s">
        <v>477</v>
      </c>
      <c r="K24748" s="18" t="s">
        <v>477</v>
      </c>
    </row>
    <row r="24749">
      <c r="B24749" s="17" t="s">
        <v>477</v>
      </c>
      <c r="K24749" s="18" t="s">
        <v>477</v>
      </c>
    </row>
    <row r="24750">
      <c r="B24750" s="17" t="s">
        <v>477</v>
      </c>
      <c r="K24750" s="18" t="s">
        <v>477</v>
      </c>
    </row>
    <row r="24751">
      <c r="B24751" s="17" t="s">
        <v>477</v>
      </c>
      <c r="K24751" s="18" t="s">
        <v>477</v>
      </c>
    </row>
    <row r="24752">
      <c r="B24752" s="17" t="s">
        <v>477</v>
      </c>
      <c r="K24752" s="18" t="s">
        <v>477</v>
      </c>
    </row>
    <row r="24753">
      <c r="B24753" s="17" t="s">
        <v>477</v>
      </c>
      <c r="K24753" s="18" t="s">
        <v>477</v>
      </c>
    </row>
    <row r="24754">
      <c r="B24754" s="17" t="s">
        <v>477</v>
      </c>
      <c r="K24754" s="18" t="s">
        <v>477</v>
      </c>
    </row>
    <row r="24755">
      <c r="B24755" s="17" t="s">
        <v>477</v>
      </c>
      <c r="K24755" s="18" t="s">
        <v>477</v>
      </c>
    </row>
    <row r="24756">
      <c r="B24756" s="17" t="s">
        <v>477</v>
      </c>
      <c r="K24756" s="18" t="s">
        <v>477</v>
      </c>
    </row>
    <row r="24757">
      <c r="B24757" s="17" t="s">
        <v>477</v>
      </c>
      <c r="K24757" s="18" t="s">
        <v>477</v>
      </c>
    </row>
    <row r="24758">
      <c r="B24758" s="17" t="s">
        <v>477</v>
      </c>
      <c r="K24758" s="18" t="s">
        <v>477</v>
      </c>
    </row>
    <row r="24759">
      <c r="B24759" s="17" t="s">
        <v>477</v>
      </c>
      <c r="K24759" s="18" t="s">
        <v>477</v>
      </c>
    </row>
    <row r="24760">
      <c r="B24760" s="17" t="s">
        <v>477</v>
      </c>
      <c r="K24760" s="18" t="s">
        <v>477</v>
      </c>
    </row>
    <row r="24761">
      <c r="B24761" s="17" t="s">
        <v>477</v>
      </c>
      <c r="K24761" s="18" t="s">
        <v>477</v>
      </c>
    </row>
    <row r="24762">
      <c r="B24762" s="17" t="s">
        <v>477</v>
      </c>
      <c r="K24762" s="18" t="s">
        <v>477</v>
      </c>
    </row>
    <row r="24763">
      <c r="B24763" s="17" t="s">
        <v>477</v>
      </c>
      <c r="K24763" s="18" t="s">
        <v>477</v>
      </c>
    </row>
    <row r="24764">
      <c r="B24764" s="17" t="s">
        <v>477</v>
      </c>
      <c r="K24764" s="18" t="s">
        <v>477</v>
      </c>
    </row>
    <row r="24765">
      <c r="B24765" s="17" t="s">
        <v>477</v>
      </c>
      <c r="K24765" s="18" t="s">
        <v>477</v>
      </c>
    </row>
    <row r="24766">
      <c r="B24766" s="17" t="s">
        <v>477</v>
      </c>
      <c r="K24766" s="18" t="s">
        <v>477</v>
      </c>
    </row>
    <row r="24767">
      <c r="B24767" s="17" t="s">
        <v>477</v>
      </c>
      <c r="K24767" s="18" t="s">
        <v>477</v>
      </c>
    </row>
    <row r="24768">
      <c r="B24768" s="17" t="s">
        <v>477</v>
      </c>
      <c r="K24768" s="18" t="s">
        <v>477</v>
      </c>
    </row>
    <row r="24769">
      <c r="B24769" s="17" t="s">
        <v>477</v>
      </c>
      <c r="K24769" s="18" t="s">
        <v>477</v>
      </c>
    </row>
    <row r="24770">
      <c r="B24770" s="17" t="s">
        <v>477</v>
      </c>
      <c r="K24770" s="18" t="s">
        <v>477</v>
      </c>
    </row>
    <row r="24771">
      <c r="B24771" s="17" t="s">
        <v>477</v>
      </c>
      <c r="K24771" s="18" t="s">
        <v>477</v>
      </c>
    </row>
    <row r="24772">
      <c r="B24772" s="17" t="s">
        <v>477</v>
      </c>
      <c r="K24772" s="18" t="s">
        <v>477</v>
      </c>
    </row>
    <row r="24773">
      <c r="B24773" s="17" t="s">
        <v>477</v>
      </c>
      <c r="K24773" s="18" t="s">
        <v>477</v>
      </c>
    </row>
    <row r="24774">
      <c r="B24774" s="17" t="s">
        <v>477</v>
      </c>
      <c r="K24774" s="18" t="s">
        <v>477</v>
      </c>
    </row>
    <row r="24775">
      <c r="B24775" s="17" t="s">
        <v>477</v>
      </c>
      <c r="K24775" s="18" t="s">
        <v>477</v>
      </c>
    </row>
    <row r="24776">
      <c r="B24776" s="17" t="s">
        <v>477</v>
      </c>
      <c r="K24776" s="18" t="s">
        <v>477</v>
      </c>
    </row>
    <row r="24777">
      <c r="B24777" s="17" t="s">
        <v>477</v>
      </c>
      <c r="K24777" s="18" t="s">
        <v>477</v>
      </c>
    </row>
    <row r="24778">
      <c r="B24778" s="17" t="s">
        <v>477</v>
      </c>
      <c r="K24778" s="18" t="s">
        <v>477</v>
      </c>
    </row>
    <row r="24779">
      <c r="B24779" s="17" t="s">
        <v>477</v>
      </c>
      <c r="K24779" s="18" t="s">
        <v>477</v>
      </c>
    </row>
    <row r="24780">
      <c r="B24780" s="17" t="s">
        <v>477</v>
      </c>
      <c r="K24780" s="18" t="s">
        <v>477</v>
      </c>
    </row>
    <row r="24781">
      <c r="B24781" s="17" t="s">
        <v>477</v>
      </c>
      <c r="K24781" s="18" t="s">
        <v>477</v>
      </c>
    </row>
    <row r="24782">
      <c r="B24782" s="17" t="s">
        <v>477</v>
      </c>
      <c r="K24782" s="18" t="s">
        <v>477</v>
      </c>
    </row>
    <row r="24783">
      <c r="B24783" s="17" t="s">
        <v>477</v>
      </c>
      <c r="K24783" s="18" t="s">
        <v>477</v>
      </c>
    </row>
    <row r="24784">
      <c r="B24784" s="17" t="s">
        <v>477</v>
      </c>
      <c r="K24784" s="18" t="s">
        <v>477</v>
      </c>
    </row>
    <row r="24785">
      <c r="B24785" s="17" t="s">
        <v>477</v>
      </c>
      <c r="K24785" s="18" t="s">
        <v>477</v>
      </c>
    </row>
    <row r="24786">
      <c r="B24786" s="17" t="s">
        <v>477</v>
      </c>
      <c r="K24786" s="18" t="s">
        <v>477</v>
      </c>
    </row>
    <row r="24787">
      <c r="B24787" s="17" t="s">
        <v>477</v>
      </c>
      <c r="K24787" s="18" t="s">
        <v>477</v>
      </c>
    </row>
    <row r="24788">
      <c r="B24788" s="17" t="s">
        <v>477</v>
      </c>
      <c r="K24788" s="18" t="s">
        <v>477</v>
      </c>
    </row>
    <row r="24789">
      <c r="B24789" s="17" t="s">
        <v>477</v>
      </c>
      <c r="K24789" s="18" t="s">
        <v>477</v>
      </c>
    </row>
    <row r="24790">
      <c r="B24790" s="17" t="s">
        <v>477</v>
      </c>
      <c r="K24790" s="18" t="s">
        <v>477</v>
      </c>
    </row>
    <row r="24791">
      <c r="B24791" s="17" t="s">
        <v>477</v>
      </c>
      <c r="K24791" s="18" t="s">
        <v>477</v>
      </c>
    </row>
    <row r="24792">
      <c r="B24792" s="17" t="s">
        <v>477</v>
      </c>
      <c r="K24792" s="18" t="s">
        <v>477</v>
      </c>
    </row>
    <row r="24793">
      <c r="B24793" s="17" t="s">
        <v>477</v>
      </c>
      <c r="K24793" s="18" t="s">
        <v>477</v>
      </c>
    </row>
    <row r="24794">
      <c r="B24794" s="17" t="s">
        <v>477</v>
      </c>
      <c r="K24794" s="18" t="s">
        <v>477</v>
      </c>
    </row>
    <row r="24795">
      <c r="B24795" s="17" t="s">
        <v>477</v>
      </c>
      <c r="K24795" s="18" t="s">
        <v>477</v>
      </c>
    </row>
    <row r="24796">
      <c r="B24796" s="17" t="s">
        <v>477</v>
      </c>
      <c r="K24796" s="18" t="s">
        <v>477</v>
      </c>
    </row>
    <row r="24797">
      <c r="B24797" s="17" t="s">
        <v>477</v>
      </c>
      <c r="K24797" s="18" t="s">
        <v>477</v>
      </c>
    </row>
    <row r="24798">
      <c r="B24798" s="17" t="s">
        <v>477</v>
      </c>
      <c r="K24798" s="18" t="s">
        <v>477</v>
      </c>
    </row>
    <row r="24799">
      <c r="B24799" s="17" t="s">
        <v>477</v>
      </c>
      <c r="K24799" s="18" t="s">
        <v>477</v>
      </c>
    </row>
    <row r="24800">
      <c r="B24800" s="17" t="s">
        <v>477</v>
      </c>
      <c r="K24800" s="18" t="s">
        <v>477</v>
      </c>
    </row>
    <row r="24801">
      <c r="B24801" s="17" t="s">
        <v>477</v>
      </c>
      <c r="K24801" s="18" t="s">
        <v>477</v>
      </c>
    </row>
    <row r="24802">
      <c r="B24802" s="17" t="s">
        <v>477</v>
      </c>
      <c r="K24802" s="18" t="s">
        <v>477</v>
      </c>
    </row>
    <row r="24803">
      <c r="B24803" s="17" t="s">
        <v>477</v>
      </c>
      <c r="K24803" s="18" t="s">
        <v>477</v>
      </c>
    </row>
    <row r="24804">
      <c r="B24804" s="17" t="s">
        <v>477</v>
      </c>
      <c r="K24804" s="18" t="s">
        <v>477</v>
      </c>
    </row>
    <row r="24805">
      <c r="B24805" s="17" t="s">
        <v>477</v>
      </c>
      <c r="K24805" s="18" t="s">
        <v>477</v>
      </c>
    </row>
    <row r="24806">
      <c r="B24806" s="17" t="s">
        <v>477</v>
      </c>
      <c r="K24806" s="18" t="s">
        <v>477</v>
      </c>
    </row>
    <row r="24807">
      <c r="B24807" s="17" t="s">
        <v>477</v>
      </c>
      <c r="K24807" s="18" t="s">
        <v>477</v>
      </c>
    </row>
    <row r="24808">
      <c r="B24808" s="17" t="s">
        <v>477</v>
      </c>
      <c r="K24808" s="18" t="s">
        <v>477</v>
      </c>
    </row>
    <row r="24809">
      <c r="B24809" s="17" t="s">
        <v>477</v>
      </c>
      <c r="K24809" s="18" t="s">
        <v>477</v>
      </c>
    </row>
    <row r="24810">
      <c r="B24810" s="17" t="s">
        <v>477</v>
      </c>
      <c r="K24810" s="18" t="s">
        <v>477</v>
      </c>
    </row>
    <row r="24811">
      <c r="B24811" s="17" t="s">
        <v>477</v>
      </c>
      <c r="K24811" s="18" t="s">
        <v>477</v>
      </c>
    </row>
    <row r="24812">
      <c r="B24812" s="17" t="s">
        <v>477</v>
      </c>
      <c r="K24812" s="18" t="s">
        <v>477</v>
      </c>
    </row>
    <row r="24813">
      <c r="B24813" s="17" t="s">
        <v>477</v>
      </c>
      <c r="K24813" s="18" t="s">
        <v>477</v>
      </c>
    </row>
    <row r="24814">
      <c r="B24814" s="17" t="s">
        <v>477</v>
      </c>
      <c r="K24814" s="18" t="s">
        <v>477</v>
      </c>
    </row>
    <row r="24815">
      <c r="B24815" s="17" t="s">
        <v>477</v>
      </c>
      <c r="K24815" s="18" t="s">
        <v>477</v>
      </c>
    </row>
    <row r="24816">
      <c r="B24816" s="17" t="s">
        <v>477</v>
      </c>
      <c r="K24816" s="18" t="s">
        <v>477</v>
      </c>
    </row>
    <row r="24817">
      <c r="B24817" s="17" t="s">
        <v>477</v>
      </c>
      <c r="K24817" s="18" t="s">
        <v>477</v>
      </c>
    </row>
    <row r="24818">
      <c r="B24818" s="17" t="s">
        <v>477</v>
      </c>
      <c r="K24818" s="18" t="s">
        <v>477</v>
      </c>
    </row>
    <row r="24819">
      <c r="B24819" s="17" t="s">
        <v>477</v>
      </c>
      <c r="K24819" s="18" t="s">
        <v>477</v>
      </c>
    </row>
    <row r="24820">
      <c r="B24820" s="17" t="s">
        <v>477</v>
      </c>
      <c r="K24820" s="18" t="s">
        <v>477</v>
      </c>
    </row>
    <row r="24821">
      <c r="B24821" s="17" t="s">
        <v>477</v>
      </c>
      <c r="K24821" s="18" t="s">
        <v>477</v>
      </c>
    </row>
    <row r="24822">
      <c r="B24822" s="17" t="s">
        <v>477</v>
      </c>
      <c r="K24822" s="18" t="s">
        <v>477</v>
      </c>
    </row>
    <row r="24823">
      <c r="B24823" s="17" t="s">
        <v>477</v>
      </c>
      <c r="K24823" s="18" t="s">
        <v>477</v>
      </c>
    </row>
    <row r="24824">
      <c r="B24824" s="17" t="s">
        <v>477</v>
      </c>
      <c r="K24824" s="18" t="s">
        <v>477</v>
      </c>
    </row>
    <row r="24825">
      <c r="B24825" s="17" t="s">
        <v>477</v>
      </c>
      <c r="K24825" s="18" t="s">
        <v>477</v>
      </c>
    </row>
    <row r="24826">
      <c r="B24826" s="17" t="s">
        <v>477</v>
      </c>
      <c r="K24826" s="18" t="s">
        <v>477</v>
      </c>
    </row>
    <row r="24827">
      <c r="B24827" s="17" t="s">
        <v>477</v>
      </c>
      <c r="K24827" s="18" t="s">
        <v>477</v>
      </c>
    </row>
    <row r="24828">
      <c r="B24828" s="17" t="s">
        <v>477</v>
      </c>
      <c r="K24828" s="18" t="s">
        <v>477</v>
      </c>
    </row>
    <row r="24829">
      <c r="B24829" s="17" t="s">
        <v>477</v>
      </c>
      <c r="K24829" s="18" t="s">
        <v>477</v>
      </c>
    </row>
    <row r="24830">
      <c r="B24830" s="17" t="s">
        <v>477</v>
      </c>
      <c r="K24830" s="18" t="s">
        <v>477</v>
      </c>
    </row>
    <row r="24831">
      <c r="B24831" s="17" t="s">
        <v>477</v>
      </c>
      <c r="K24831" s="18" t="s">
        <v>477</v>
      </c>
    </row>
    <row r="24832">
      <c r="B24832" s="17" t="s">
        <v>477</v>
      </c>
      <c r="K24832" s="18" t="s">
        <v>477</v>
      </c>
    </row>
    <row r="24833">
      <c r="B24833" s="17" t="s">
        <v>477</v>
      </c>
      <c r="K24833" s="18" t="s">
        <v>477</v>
      </c>
    </row>
    <row r="24834">
      <c r="B24834" s="17" t="s">
        <v>477</v>
      </c>
      <c r="K24834" s="18" t="s">
        <v>477</v>
      </c>
    </row>
    <row r="24835">
      <c r="B24835" s="17" t="s">
        <v>477</v>
      </c>
      <c r="K24835" s="18" t="s">
        <v>477</v>
      </c>
    </row>
    <row r="24836">
      <c r="B24836" s="17" t="s">
        <v>477</v>
      </c>
      <c r="K24836" s="18" t="s">
        <v>477</v>
      </c>
    </row>
    <row r="24837">
      <c r="B24837" s="17" t="s">
        <v>477</v>
      </c>
      <c r="K24837" s="18" t="s">
        <v>477</v>
      </c>
    </row>
    <row r="24838">
      <c r="B24838" s="17" t="s">
        <v>477</v>
      </c>
      <c r="K24838" s="18" t="s">
        <v>477</v>
      </c>
    </row>
    <row r="24839">
      <c r="B24839" s="17" t="s">
        <v>477</v>
      </c>
      <c r="K24839" s="18" t="s">
        <v>477</v>
      </c>
    </row>
    <row r="24840">
      <c r="B24840" s="17" t="s">
        <v>477</v>
      </c>
      <c r="K24840" s="18" t="s">
        <v>477</v>
      </c>
    </row>
    <row r="24841">
      <c r="B24841" s="17" t="s">
        <v>477</v>
      </c>
      <c r="K24841" s="18" t="s">
        <v>477</v>
      </c>
    </row>
    <row r="24842">
      <c r="B24842" s="17" t="s">
        <v>477</v>
      </c>
      <c r="K24842" s="18" t="s">
        <v>477</v>
      </c>
    </row>
    <row r="24843">
      <c r="B24843" s="17" t="s">
        <v>477</v>
      </c>
      <c r="K24843" s="18" t="s">
        <v>477</v>
      </c>
    </row>
    <row r="24844">
      <c r="B24844" s="17" t="s">
        <v>477</v>
      </c>
      <c r="K24844" s="18" t="s">
        <v>477</v>
      </c>
    </row>
    <row r="24845">
      <c r="B24845" s="17" t="s">
        <v>477</v>
      </c>
      <c r="K24845" s="18" t="s">
        <v>477</v>
      </c>
    </row>
    <row r="24846">
      <c r="B24846" s="17" t="s">
        <v>477</v>
      </c>
      <c r="K24846" s="18" t="s">
        <v>477</v>
      </c>
    </row>
    <row r="24847">
      <c r="B24847" s="17" t="s">
        <v>477</v>
      </c>
      <c r="K24847" s="18" t="s">
        <v>477</v>
      </c>
    </row>
    <row r="24848">
      <c r="B24848" s="17" t="s">
        <v>477</v>
      </c>
      <c r="K24848" s="18" t="s">
        <v>477</v>
      </c>
    </row>
    <row r="24849">
      <c r="B24849" s="17" t="s">
        <v>477</v>
      </c>
      <c r="K24849" s="18" t="s">
        <v>477</v>
      </c>
    </row>
    <row r="24850">
      <c r="B24850" s="17" t="s">
        <v>477</v>
      </c>
      <c r="K24850" s="18" t="s">
        <v>477</v>
      </c>
    </row>
    <row r="24851">
      <c r="B24851" s="17" t="s">
        <v>477</v>
      </c>
      <c r="K24851" s="18" t="s">
        <v>477</v>
      </c>
    </row>
    <row r="24852">
      <c r="B24852" s="17" t="s">
        <v>477</v>
      </c>
      <c r="K24852" s="18" t="s">
        <v>477</v>
      </c>
    </row>
    <row r="24853">
      <c r="B24853" s="17" t="s">
        <v>477</v>
      </c>
      <c r="K24853" s="18" t="s">
        <v>477</v>
      </c>
    </row>
    <row r="24854">
      <c r="B24854" s="17" t="s">
        <v>477</v>
      </c>
      <c r="K24854" s="18" t="s">
        <v>477</v>
      </c>
    </row>
    <row r="24855">
      <c r="B24855" s="17" t="s">
        <v>477</v>
      </c>
      <c r="K24855" s="18" t="s">
        <v>477</v>
      </c>
    </row>
    <row r="24856">
      <c r="B24856" s="17" t="s">
        <v>477</v>
      </c>
      <c r="K24856" s="18" t="s">
        <v>477</v>
      </c>
    </row>
    <row r="24857">
      <c r="B24857" s="17" t="s">
        <v>477</v>
      </c>
      <c r="K24857" s="18" t="s">
        <v>477</v>
      </c>
    </row>
    <row r="24858">
      <c r="B24858" s="17" t="s">
        <v>477</v>
      </c>
      <c r="K24858" s="18" t="s">
        <v>477</v>
      </c>
    </row>
    <row r="24859">
      <c r="B24859" s="17" t="s">
        <v>477</v>
      </c>
      <c r="K24859" s="18" t="s">
        <v>477</v>
      </c>
    </row>
    <row r="24860">
      <c r="B24860" s="17" t="s">
        <v>477</v>
      </c>
      <c r="K24860" s="18" t="s">
        <v>477</v>
      </c>
    </row>
    <row r="24861">
      <c r="B24861" s="17" t="s">
        <v>477</v>
      </c>
      <c r="K24861" s="18" t="s">
        <v>477</v>
      </c>
    </row>
    <row r="24862">
      <c r="B24862" s="17" t="s">
        <v>477</v>
      </c>
      <c r="K24862" s="18" t="s">
        <v>477</v>
      </c>
    </row>
    <row r="24863">
      <c r="B24863" s="17" t="s">
        <v>477</v>
      </c>
      <c r="K24863" s="18" t="s">
        <v>477</v>
      </c>
    </row>
    <row r="24864">
      <c r="B24864" s="17" t="s">
        <v>477</v>
      </c>
      <c r="K24864" s="18" t="s">
        <v>477</v>
      </c>
    </row>
    <row r="24865">
      <c r="B24865" s="17" t="s">
        <v>477</v>
      </c>
      <c r="K24865" s="18" t="s">
        <v>477</v>
      </c>
    </row>
    <row r="24866">
      <c r="B24866" s="17" t="s">
        <v>477</v>
      </c>
      <c r="K24866" s="18" t="s">
        <v>477</v>
      </c>
    </row>
    <row r="24867">
      <c r="B24867" s="17" t="s">
        <v>477</v>
      </c>
      <c r="K24867" s="18" t="s">
        <v>477</v>
      </c>
    </row>
    <row r="24868">
      <c r="B24868" s="17" t="s">
        <v>477</v>
      </c>
      <c r="K24868" s="18" t="s">
        <v>477</v>
      </c>
    </row>
    <row r="24869">
      <c r="B24869" s="17" t="s">
        <v>477</v>
      </c>
      <c r="K24869" s="18" t="s">
        <v>477</v>
      </c>
    </row>
    <row r="24870">
      <c r="B24870" s="17" t="s">
        <v>477</v>
      </c>
      <c r="K24870" s="18" t="s">
        <v>477</v>
      </c>
    </row>
    <row r="24871">
      <c r="B24871" s="17" t="s">
        <v>477</v>
      </c>
      <c r="K24871" s="18" t="s">
        <v>477</v>
      </c>
    </row>
    <row r="24872">
      <c r="B24872" s="17" t="s">
        <v>477</v>
      </c>
      <c r="K24872" s="18" t="s">
        <v>477</v>
      </c>
    </row>
    <row r="24873">
      <c r="B24873" s="17" t="s">
        <v>477</v>
      </c>
      <c r="K24873" s="18" t="s">
        <v>477</v>
      </c>
    </row>
    <row r="24874">
      <c r="B24874" s="17" t="s">
        <v>477</v>
      </c>
      <c r="K24874" s="18" t="s">
        <v>477</v>
      </c>
    </row>
    <row r="24875">
      <c r="B24875" s="17" t="s">
        <v>477</v>
      </c>
      <c r="K24875" s="18" t="s">
        <v>477</v>
      </c>
    </row>
    <row r="24876">
      <c r="B24876" s="17" t="s">
        <v>477</v>
      </c>
      <c r="K24876" s="18" t="s">
        <v>477</v>
      </c>
    </row>
    <row r="24877">
      <c r="B24877" s="17" t="s">
        <v>477</v>
      </c>
      <c r="K24877" s="18" t="s">
        <v>477</v>
      </c>
    </row>
    <row r="24878">
      <c r="B24878" s="17" t="s">
        <v>477</v>
      </c>
      <c r="K24878" s="18" t="s">
        <v>477</v>
      </c>
    </row>
    <row r="24879">
      <c r="B24879" s="17" t="s">
        <v>477</v>
      </c>
      <c r="K24879" s="18" t="s">
        <v>477</v>
      </c>
    </row>
    <row r="24880">
      <c r="B24880" s="17" t="s">
        <v>477</v>
      </c>
      <c r="K24880" s="18" t="s">
        <v>477</v>
      </c>
    </row>
    <row r="24881">
      <c r="B24881" s="17" t="s">
        <v>477</v>
      </c>
      <c r="K24881" s="18" t="s">
        <v>477</v>
      </c>
    </row>
    <row r="24882">
      <c r="B24882" s="17" t="s">
        <v>477</v>
      </c>
      <c r="K24882" s="18" t="s">
        <v>477</v>
      </c>
    </row>
    <row r="24883">
      <c r="B24883" s="17" t="s">
        <v>477</v>
      </c>
      <c r="K24883" s="18" t="s">
        <v>477</v>
      </c>
    </row>
    <row r="24884">
      <c r="B24884" s="17" t="s">
        <v>477</v>
      </c>
      <c r="K24884" s="18" t="s">
        <v>477</v>
      </c>
    </row>
    <row r="24885">
      <c r="B24885" s="17" t="s">
        <v>477</v>
      </c>
      <c r="K24885" s="18" t="s">
        <v>477</v>
      </c>
    </row>
    <row r="24886">
      <c r="B24886" s="17" t="s">
        <v>477</v>
      </c>
      <c r="K24886" s="18" t="s">
        <v>477</v>
      </c>
    </row>
    <row r="24887">
      <c r="B24887" s="17" t="s">
        <v>477</v>
      </c>
      <c r="K24887" s="18" t="s">
        <v>477</v>
      </c>
    </row>
    <row r="24888">
      <c r="B24888" s="17" t="s">
        <v>477</v>
      </c>
      <c r="K24888" s="18" t="s">
        <v>477</v>
      </c>
    </row>
    <row r="24889">
      <c r="B24889" s="17" t="s">
        <v>477</v>
      </c>
      <c r="K24889" s="18" t="s">
        <v>477</v>
      </c>
    </row>
    <row r="24890">
      <c r="B24890" s="17" t="s">
        <v>477</v>
      </c>
      <c r="K24890" s="18" t="s">
        <v>477</v>
      </c>
    </row>
    <row r="24891">
      <c r="B24891" s="17" t="s">
        <v>477</v>
      </c>
      <c r="K24891" s="18" t="s">
        <v>477</v>
      </c>
    </row>
    <row r="24892">
      <c r="B24892" s="17" t="s">
        <v>477</v>
      </c>
      <c r="K24892" s="18" t="s">
        <v>477</v>
      </c>
    </row>
    <row r="24893">
      <c r="B24893" s="17" t="s">
        <v>477</v>
      </c>
      <c r="K24893" s="18" t="s">
        <v>477</v>
      </c>
    </row>
    <row r="24894">
      <c r="B24894" s="17" t="s">
        <v>477</v>
      </c>
      <c r="K24894" s="18" t="s">
        <v>477</v>
      </c>
    </row>
    <row r="24895">
      <c r="B24895" s="17" t="s">
        <v>477</v>
      </c>
      <c r="K24895" s="18" t="s">
        <v>477</v>
      </c>
    </row>
    <row r="24896">
      <c r="B24896" s="17" t="s">
        <v>477</v>
      </c>
      <c r="K24896" s="18" t="s">
        <v>477</v>
      </c>
    </row>
    <row r="24897">
      <c r="B24897" s="17" t="s">
        <v>477</v>
      </c>
      <c r="K24897" s="18" t="s">
        <v>477</v>
      </c>
    </row>
    <row r="24898">
      <c r="B24898" s="17" t="s">
        <v>477</v>
      </c>
      <c r="K24898" s="18" t="s">
        <v>477</v>
      </c>
    </row>
    <row r="24899">
      <c r="B24899" s="17" t="s">
        <v>477</v>
      </c>
      <c r="K24899" s="18" t="s">
        <v>477</v>
      </c>
    </row>
    <row r="24900">
      <c r="B24900" s="17" t="s">
        <v>477</v>
      </c>
      <c r="K24900" s="18" t="s">
        <v>477</v>
      </c>
    </row>
    <row r="24901">
      <c r="B24901" s="17" t="s">
        <v>477</v>
      </c>
      <c r="K24901" s="18" t="s">
        <v>477</v>
      </c>
    </row>
    <row r="24902">
      <c r="B24902" s="17" t="s">
        <v>477</v>
      </c>
      <c r="K24902" s="18" t="s">
        <v>477</v>
      </c>
    </row>
    <row r="24903">
      <c r="B24903" s="17" t="s">
        <v>477</v>
      </c>
      <c r="K24903" s="18" t="s">
        <v>477</v>
      </c>
    </row>
    <row r="24904">
      <c r="B24904" s="17" t="s">
        <v>477</v>
      </c>
      <c r="K24904" s="18" t="s">
        <v>477</v>
      </c>
    </row>
    <row r="24905">
      <c r="B24905" s="17" t="s">
        <v>477</v>
      </c>
      <c r="K24905" s="18" t="s">
        <v>477</v>
      </c>
    </row>
    <row r="24906">
      <c r="B24906" s="17" t="s">
        <v>477</v>
      </c>
      <c r="K24906" s="18" t="s">
        <v>477</v>
      </c>
    </row>
    <row r="24907">
      <c r="B24907" s="17" t="s">
        <v>477</v>
      </c>
      <c r="K24907" s="18" t="s">
        <v>477</v>
      </c>
    </row>
    <row r="24908">
      <c r="B24908" s="17" t="s">
        <v>477</v>
      </c>
      <c r="K24908" s="18" t="s">
        <v>477</v>
      </c>
    </row>
    <row r="24909">
      <c r="B24909" s="17" t="s">
        <v>477</v>
      </c>
      <c r="K24909" s="18" t="s">
        <v>477</v>
      </c>
    </row>
    <row r="24910">
      <c r="B24910" s="17" t="s">
        <v>477</v>
      </c>
      <c r="K24910" s="18" t="s">
        <v>477</v>
      </c>
    </row>
    <row r="24911">
      <c r="B24911" s="17" t="s">
        <v>477</v>
      </c>
      <c r="K24911" s="18" t="s">
        <v>477</v>
      </c>
    </row>
    <row r="24912">
      <c r="B24912" s="17" t="s">
        <v>477</v>
      </c>
      <c r="K24912" s="18" t="s">
        <v>477</v>
      </c>
    </row>
    <row r="24913">
      <c r="B24913" s="17" t="s">
        <v>477</v>
      </c>
      <c r="K24913" s="18" t="s">
        <v>477</v>
      </c>
    </row>
    <row r="24914">
      <c r="B24914" s="17" t="s">
        <v>477</v>
      </c>
      <c r="K24914" s="18" t="s">
        <v>477</v>
      </c>
    </row>
    <row r="24915">
      <c r="B24915" s="17" t="s">
        <v>477</v>
      </c>
      <c r="K24915" s="18" t="s">
        <v>477</v>
      </c>
    </row>
    <row r="24916">
      <c r="B24916" s="17" t="s">
        <v>477</v>
      </c>
      <c r="K24916" s="18" t="s">
        <v>477</v>
      </c>
    </row>
    <row r="24917">
      <c r="B24917" s="17" t="s">
        <v>477</v>
      </c>
      <c r="K24917" s="18" t="s">
        <v>477</v>
      </c>
    </row>
    <row r="24918">
      <c r="B24918" s="17" t="s">
        <v>477</v>
      </c>
      <c r="K24918" s="18" t="s">
        <v>477</v>
      </c>
    </row>
    <row r="24919">
      <c r="B24919" s="17" t="s">
        <v>477</v>
      </c>
      <c r="K24919" s="18" t="s">
        <v>477</v>
      </c>
    </row>
    <row r="24920">
      <c r="B24920" s="17" t="s">
        <v>477</v>
      </c>
      <c r="K24920" s="18" t="s">
        <v>477</v>
      </c>
    </row>
    <row r="24921">
      <c r="B24921" s="17" t="s">
        <v>477</v>
      </c>
      <c r="K24921" s="18" t="s">
        <v>477</v>
      </c>
    </row>
    <row r="24922">
      <c r="B24922" s="17" t="s">
        <v>477</v>
      </c>
      <c r="K24922" s="18" t="s">
        <v>477</v>
      </c>
    </row>
    <row r="24923">
      <c r="B24923" s="17" t="s">
        <v>477</v>
      </c>
      <c r="K24923" s="18" t="s">
        <v>477</v>
      </c>
    </row>
    <row r="24924">
      <c r="B24924" s="17" t="s">
        <v>477</v>
      </c>
      <c r="K24924" s="18" t="s">
        <v>477</v>
      </c>
    </row>
    <row r="24925">
      <c r="B24925" s="17" t="s">
        <v>477</v>
      </c>
      <c r="K24925" s="18" t="s">
        <v>477</v>
      </c>
    </row>
    <row r="24926">
      <c r="B24926" s="17" t="s">
        <v>477</v>
      </c>
      <c r="K24926" s="18" t="s">
        <v>477</v>
      </c>
    </row>
    <row r="24927">
      <c r="B24927" s="17" t="s">
        <v>477</v>
      </c>
      <c r="K24927" s="18" t="s">
        <v>477</v>
      </c>
    </row>
    <row r="24928">
      <c r="B24928" s="17" t="s">
        <v>477</v>
      </c>
      <c r="K24928" s="18" t="s">
        <v>477</v>
      </c>
    </row>
    <row r="24929">
      <c r="B24929" s="17" t="s">
        <v>477</v>
      </c>
      <c r="K24929" s="18" t="s">
        <v>477</v>
      </c>
    </row>
    <row r="24930">
      <c r="B24930" s="17" t="s">
        <v>477</v>
      </c>
      <c r="K24930" s="18" t="s">
        <v>477</v>
      </c>
    </row>
    <row r="24931">
      <c r="B24931" s="17" t="s">
        <v>477</v>
      </c>
      <c r="K24931" s="18" t="s">
        <v>477</v>
      </c>
    </row>
    <row r="24932">
      <c r="B24932" s="17" t="s">
        <v>477</v>
      </c>
      <c r="K24932" s="18" t="s">
        <v>477</v>
      </c>
    </row>
    <row r="24933">
      <c r="B24933" s="17" t="s">
        <v>477</v>
      </c>
      <c r="K24933" s="18" t="s">
        <v>477</v>
      </c>
    </row>
    <row r="24934">
      <c r="B24934" s="17" t="s">
        <v>477</v>
      </c>
      <c r="K24934" s="18" t="s">
        <v>477</v>
      </c>
    </row>
    <row r="24935">
      <c r="B24935" s="17" t="s">
        <v>477</v>
      </c>
      <c r="K24935" s="18" t="s">
        <v>477</v>
      </c>
    </row>
    <row r="24936">
      <c r="B24936" s="17" t="s">
        <v>477</v>
      </c>
      <c r="K24936" s="18" t="s">
        <v>477</v>
      </c>
    </row>
    <row r="24937">
      <c r="B24937" s="17" t="s">
        <v>477</v>
      </c>
      <c r="K24937" s="18" t="s">
        <v>477</v>
      </c>
    </row>
    <row r="24938">
      <c r="B24938" s="17" t="s">
        <v>477</v>
      </c>
      <c r="K24938" s="18" t="s">
        <v>477</v>
      </c>
    </row>
    <row r="24939">
      <c r="B24939" s="17" t="s">
        <v>477</v>
      </c>
      <c r="K24939" s="18" t="s">
        <v>477</v>
      </c>
    </row>
    <row r="24940">
      <c r="B24940" s="17" t="s">
        <v>477</v>
      </c>
      <c r="K24940" s="18" t="s">
        <v>477</v>
      </c>
    </row>
    <row r="24941">
      <c r="B24941" s="17" t="s">
        <v>477</v>
      </c>
      <c r="K24941" s="18" t="s">
        <v>477</v>
      </c>
    </row>
    <row r="24942">
      <c r="B24942" s="17" t="s">
        <v>477</v>
      </c>
      <c r="K24942" s="18" t="s">
        <v>477</v>
      </c>
    </row>
    <row r="24943">
      <c r="B24943" s="17" t="s">
        <v>477</v>
      </c>
      <c r="K24943" s="18" t="s">
        <v>477</v>
      </c>
    </row>
    <row r="24944">
      <c r="B24944" s="17" t="s">
        <v>477</v>
      </c>
      <c r="K24944" s="18" t="s">
        <v>477</v>
      </c>
    </row>
    <row r="24945">
      <c r="B24945" s="17" t="s">
        <v>477</v>
      </c>
      <c r="K24945" s="18" t="s">
        <v>477</v>
      </c>
    </row>
    <row r="24946">
      <c r="B24946" s="17" t="s">
        <v>477</v>
      </c>
      <c r="K24946" s="18" t="s">
        <v>477</v>
      </c>
    </row>
    <row r="24947">
      <c r="B24947" s="17" t="s">
        <v>477</v>
      </c>
      <c r="K24947" s="18" t="s">
        <v>477</v>
      </c>
    </row>
    <row r="24948">
      <c r="B24948" s="17" t="s">
        <v>477</v>
      </c>
      <c r="K24948" s="18" t="s">
        <v>477</v>
      </c>
    </row>
    <row r="24949">
      <c r="B24949" s="17" t="s">
        <v>477</v>
      </c>
      <c r="K24949" s="18" t="s">
        <v>477</v>
      </c>
    </row>
    <row r="24950">
      <c r="B24950" s="17" t="s">
        <v>477</v>
      </c>
      <c r="K24950" s="18" t="s">
        <v>477</v>
      </c>
    </row>
    <row r="24951">
      <c r="B24951" s="17" t="s">
        <v>477</v>
      </c>
      <c r="K24951" s="18" t="s">
        <v>477</v>
      </c>
    </row>
    <row r="24952">
      <c r="B24952" s="17" t="s">
        <v>477</v>
      </c>
      <c r="K24952" s="18" t="s">
        <v>477</v>
      </c>
    </row>
    <row r="24953">
      <c r="B24953" s="17" t="s">
        <v>477</v>
      </c>
      <c r="K24953" s="18" t="s">
        <v>477</v>
      </c>
    </row>
    <row r="24954">
      <c r="B24954" s="17" t="s">
        <v>477</v>
      </c>
      <c r="K24954" s="18" t="s">
        <v>477</v>
      </c>
    </row>
    <row r="24955">
      <c r="B24955" s="17" t="s">
        <v>477</v>
      </c>
      <c r="K24955" s="18" t="s">
        <v>477</v>
      </c>
    </row>
    <row r="24956">
      <c r="B24956" s="17" t="s">
        <v>477</v>
      </c>
      <c r="K24956" s="18" t="s">
        <v>477</v>
      </c>
    </row>
    <row r="24957">
      <c r="B24957" s="17" t="s">
        <v>477</v>
      </c>
      <c r="K24957" s="18" t="s">
        <v>477</v>
      </c>
    </row>
    <row r="24958">
      <c r="B24958" s="17" t="s">
        <v>477</v>
      </c>
      <c r="K24958" s="18" t="s">
        <v>477</v>
      </c>
    </row>
    <row r="24959">
      <c r="B24959" s="17" t="s">
        <v>477</v>
      </c>
      <c r="K24959" s="18" t="s">
        <v>477</v>
      </c>
    </row>
    <row r="24960">
      <c r="B24960" s="17" t="s">
        <v>477</v>
      </c>
      <c r="K24960" s="18" t="s">
        <v>477</v>
      </c>
    </row>
    <row r="24961">
      <c r="B24961" s="17" t="s">
        <v>477</v>
      </c>
      <c r="K24961" s="18" t="s">
        <v>477</v>
      </c>
    </row>
    <row r="24962">
      <c r="B24962" s="17" t="s">
        <v>477</v>
      </c>
      <c r="K24962" s="18" t="s">
        <v>477</v>
      </c>
    </row>
    <row r="24963">
      <c r="B24963" s="17" t="s">
        <v>477</v>
      </c>
      <c r="K24963" s="18" t="s">
        <v>477</v>
      </c>
    </row>
    <row r="24964">
      <c r="B24964" s="17" t="s">
        <v>477</v>
      </c>
      <c r="K24964" s="18" t="s">
        <v>477</v>
      </c>
    </row>
    <row r="24965">
      <c r="B24965" s="17" t="s">
        <v>477</v>
      </c>
      <c r="K24965" s="18" t="s">
        <v>477</v>
      </c>
    </row>
    <row r="24966">
      <c r="B24966" s="17" t="s">
        <v>477</v>
      </c>
      <c r="K24966" s="18" t="s">
        <v>477</v>
      </c>
    </row>
    <row r="24967">
      <c r="B24967" s="17" t="s">
        <v>477</v>
      </c>
      <c r="K24967" s="18" t="s">
        <v>477</v>
      </c>
    </row>
    <row r="24968">
      <c r="B24968" s="17" t="s">
        <v>477</v>
      </c>
      <c r="K24968" s="18" t="s">
        <v>477</v>
      </c>
    </row>
    <row r="24969">
      <c r="B24969" s="17" t="s">
        <v>477</v>
      </c>
      <c r="K24969" s="18" t="s">
        <v>477</v>
      </c>
    </row>
    <row r="24970">
      <c r="B24970" s="17" t="s">
        <v>477</v>
      </c>
      <c r="K24970" s="18" t="s">
        <v>477</v>
      </c>
    </row>
    <row r="24971">
      <c r="B24971" s="17" t="s">
        <v>477</v>
      </c>
      <c r="K24971" s="18" t="s">
        <v>477</v>
      </c>
    </row>
    <row r="24972">
      <c r="B24972" s="17" t="s">
        <v>477</v>
      </c>
      <c r="K24972" s="18" t="s">
        <v>477</v>
      </c>
    </row>
    <row r="24973">
      <c r="B24973" s="17" t="s">
        <v>477</v>
      </c>
      <c r="K24973" s="18" t="s">
        <v>477</v>
      </c>
    </row>
    <row r="24974">
      <c r="B24974" s="17" t="s">
        <v>477</v>
      </c>
      <c r="K24974" s="18" t="s">
        <v>477</v>
      </c>
    </row>
    <row r="24975">
      <c r="B24975" s="17" t="s">
        <v>477</v>
      </c>
      <c r="K24975" s="18" t="s">
        <v>477</v>
      </c>
    </row>
    <row r="24976">
      <c r="B24976" s="17" t="s">
        <v>477</v>
      </c>
      <c r="K24976" s="18" t="s">
        <v>477</v>
      </c>
    </row>
    <row r="24977">
      <c r="B24977" s="17" t="s">
        <v>477</v>
      </c>
      <c r="K24977" s="18" t="s">
        <v>477</v>
      </c>
    </row>
    <row r="24978">
      <c r="B24978" s="17" t="s">
        <v>477</v>
      </c>
      <c r="K24978" s="18" t="s">
        <v>477</v>
      </c>
    </row>
    <row r="24979">
      <c r="B24979" s="17" t="s">
        <v>477</v>
      </c>
      <c r="K24979" s="18" t="s">
        <v>477</v>
      </c>
    </row>
    <row r="24980">
      <c r="B24980" s="17" t="s">
        <v>477</v>
      </c>
      <c r="K24980" s="18" t="s">
        <v>477</v>
      </c>
    </row>
    <row r="24981">
      <c r="B24981" s="17" t="s">
        <v>477</v>
      </c>
      <c r="K24981" s="18" t="s">
        <v>477</v>
      </c>
    </row>
    <row r="24982">
      <c r="B24982" s="17" t="s">
        <v>477</v>
      </c>
      <c r="K24982" s="18" t="s">
        <v>477</v>
      </c>
    </row>
    <row r="24983">
      <c r="B24983" s="17" t="s">
        <v>477</v>
      </c>
      <c r="K24983" s="18" t="s">
        <v>477</v>
      </c>
    </row>
    <row r="24984">
      <c r="B24984" s="17" t="s">
        <v>477</v>
      </c>
      <c r="K24984" s="18" t="s">
        <v>477</v>
      </c>
    </row>
    <row r="24985">
      <c r="B24985" s="17" t="s">
        <v>477</v>
      </c>
      <c r="K24985" s="18" t="s">
        <v>477</v>
      </c>
    </row>
    <row r="24986">
      <c r="B24986" s="17" t="s">
        <v>477</v>
      </c>
      <c r="K24986" s="18" t="s">
        <v>477</v>
      </c>
    </row>
    <row r="24987">
      <c r="B24987" s="17" t="s">
        <v>477</v>
      </c>
      <c r="K24987" s="18" t="s">
        <v>477</v>
      </c>
    </row>
    <row r="24988">
      <c r="B24988" s="17" t="s">
        <v>477</v>
      </c>
      <c r="K24988" s="18" t="s">
        <v>477</v>
      </c>
    </row>
    <row r="24989">
      <c r="B24989" s="17" t="s">
        <v>477</v>
      </c>
      <c r="K24989" s="18" t="s">
        <v>477</v>
      </c>
    </row>
    <row r="24990">
      <c r="B24990" s="17" t="s">
        <v>477</v>
      </c>
      <c r="K24990" s="18" t="s">
        <v>477</v>
      </c>
    </row>
    <row r="24991">
      <c r="B24991" s="17" t="s">
        <v>477</v>
      </c>
      <c r="K24991" s="18" t="s">
        <v>477</v>
      </c>
    </row>
    <row r="24992">
      <c r="B24992" s="17" t="s">
        <v>477</v>
      </c>
      <c r="K24992" s="18" t="s">
        <v>477</v>
      </c>
    </row>
    <row r="24993">
      <c r="B24993" s="17" t="s">
        <v>477</v>
      </c>
      <c r="K24993" s="18" t="s">
        <v>477</v>
      </c>
    </row>
    <row r="24994">
      <c r="B24994" s="17" t="s">
        <v>477</v>
      </c>
      <c r="K24994" s="18" t="s">
        <v>477</v>
      </c>
    </row>
    <row r="24995">
      <c r="B24995" s="17" t="s">
        <v>477</v>
      </c>
      <c r="K24995" s="18" t="s">
        <v>477</v>
      </c>
    </row>
    <row r="24996">
      <c r="B24996" s="17" t="s">
        <v>477</v>
      </c>
      <c r="K24996" s="18" t="s">
        <v>477</v>
      </c>
    </row>
    <row r="24997">
      <c r="B24997" s="17" t="s">
        <v>477</v>
      </c>
      <c r="K24997" s="18" t="s">
        <v>477</v>
      </c>
    </row>
    <row r="24998">
      <c r="B24998" s="17" t="s">
        <v>477</v>
      </c>
      <c r="K24998" s="18" t="s">
        <v>477</v>
      </c>
    </row>
    <row r="24999">
      <c r="B24999" s="17" t="s">
        <v>477</v>
      </c>
      <c r="K24999" s="18" t="s">
        <v>477</v>
      </c>
    </row>
    <row r="25000">
      <c r="B25000" s="17" t="s">
        <v>477</v>
      </c>
      <c r="K25000" s="18" t="s">
        <v>477</v>
      </c>
    </row>
    <row r="25001">
      <c r="B25001" s="17" t="s">
        <v>477</v>
      </c>
      <c r="K25001" s="18" t="s">
        <v>477</v>
      </c>
    </row>
    <row r="25002">
      <c r="B25002" s="17" t="s">
        <v>477</v>
      </c>
      <c r="K25002" s="18" t="s">
        <v>477</v>
      </c>
    </row>
    <row r="25003">
      <c r="B25003" s="17" t="s">
        <v>477</v>
      </c>
      <c r="K25003" s="18" t="s">
        <v>477</v>
      </c>
    </row>
    <row r="25004">
      <c r="B25004" s="17" t="s">
        <v>477</v>
      </c>
      <c r="K25004" s="18" t="s">
        <v>477</v>
      </c>
    </row>
    <row r="25005">
      <c r="B25005" s="17" t="s">
        <v>477</v>
      </c>
      <c r="K25005" s="18" t="s">
        <v>477</v>
      </c>
    </row>
    <row r="25006">
      <c r="B25006" s="17" t="s">
        <v>477</v>
      </c>
      <c r="K25006" s="18" t="s">
        <v>477</v>
      </c>
    </row>
    <row r="25007">
      <c r="B25007" s="17" t="s">
        <v>477</v>
      </c>
      <c r="K25007" s="18" t="s">
        <v>477</v>
      </c>
    </row>
    <row r="25008">
      <c r="B25008" s="17" t="s">
        <v>477</v>
      </c>
      <c r="K25008" s="18" t="s">
        <v>477</v>
      </c>
    </row>
    <row r="25009">
      <c r="B25009" s="17" t="s">
        <v>477</v>
      </c>
      <c r="K25009" s="18" t="s">
        <v>477</v>
      </c>
    </row>
    <row r="25010">
      <c r="B25010" s="17" t="s">
        <v>477</v>
      </c>
      <c r="K25010" s="18" t="s">
        <v>477</v>
      </c>
    </row>
    <row r="25011">
      <c r="B25011" s="17" t="s">
        <v>477</v>
      </c>
      <c r="K25011" s="18" t="s">
        <v>477</v>
      </c>
    </row>
    <row r="25012">
      <c r="B25012" s="17" t="s">
        <v>477</v>
      </c>
      <c r="K25012" s="18" t="s">
        <v>477</v>
      </c>
    </row>
    <row r="25013">
      <c r="B25013" s="17" t="s">
        <v>477</v>
      </c>
      <c r="K25013" s="18" t="s">
        <v>477</v>
      </c>
    </row>
    <row r="25014">
      <c r="B25014" s="17" t="s">
        <v>477</v>
      </c>
      <c r="K25014" s="18" t="s">
        <v>477</v>
      </c>
    </row>
    <row r="25015">
      <c r="B25015" s="17" t="s">
        <v>477</v>
      </c>
      <c r="K25015" s="18" t="s">
        <v>477</v>
      </c>
    </row>
    <row r="25016">
      <c r="B25016" s="17" t="s">
        <v>477</v>
      </c>
      <c r="K25016" s="18" t="s">
        <v>477</v>
      </c>
    </row>
    <row r="25017">
      <c r="B25017" s="17" t="s">
        <v>477</v>
      </c>
      <c r="K25017" s="18" t="s">
        <v>477</v>
      </c>
    </row>
    <row r="25018">
      <c r="B25018" s="17" t="s">
        <v>477</v>
      </c>
      <c r="K25018" s="18" t="s">
        <v>477</v>
      </c>
    </row>
    <row r="25019">
      <c r="B25019" s="17" t="s">
        <v>477</v>
      </c>
      <c r="K25019" s="18" t="s">
        <v>477</v>
      </c>
    </row>
    <row r="25020">
      <c r="B25020" s="17" t="s">
        <v>477</v>
      </c>
      <c r="K25020" s="18" t="s">
        <v>477</v>
      </c>
    </row>
    <row r="25021">
      <c r="B25021" s="17" t="s">
        <v>477</v>
      </c>
      <c r="K25021" s="18" t="s">
        <v>477</v>
      </c>
    </row>
    <row r="25022">
      <c r="B25022" s="17" t="s">
        <v>477</v>
      </c>
      <c r="K25022" s="18" t="s">
        <v>477</v>
      </c>
    </row>
    <row r="25023">
      <c r="B25023" s="17" t="s">
        <v>477</v>
      </c>
      <c r="K25023" s="18" t="s">
        <v>477</v>
      </c>
    </row>
    <row r="25024">
      <c r="B25024" s="17" t="s">
        <v>477</v>
      </c>
      <c r="K25024" s="18" t="s">
        <v>477</v>
      </c>
    </row>
    <row r="25025">
      <c r="B25025" s="17" t="s">
        <v>477</v>
      </c>
      <c r="K25025" s="18" t="s">
        <v>477</v>
      </c>
    </row>
    <row r="25026">
      <c r="B25026" s="17" t="s">
        <v>477</v>
      </c>
      <c r="K25026" s="18" t="s">
        <v>477</v>
      </c>
    </row>
    <row r="25027">
      <c r="B25027" s="17" t="s">
        <v>477</v>
      </c>
      <c r="K25027" s="18" t="s">
        <v>477</v>
      </c>
    </row>
    <row r="25028">
      <c r="B25028" s="17" t="s">
        <v>477</v>
      </c>
      <c r="K25028" s="18" t="s">
        <v>477</v>
      </c>
    </row>
    <row r="25029">
      <c r="B25029" s="17" t="s">
        <v>477</v>
      </c>
      <c r="K25029" s="18" t="s">
        <v>477</v>
      </c>
    </row>
    <row r="25030">
      <c r="B25030" s="17" t="s">
        <v>477</v>
      </c>
      <c r="K25030" s="18" t="s">
        <v>477</v>
      </c>
    </row>
    <row r="25031">
      <c r="B25031" s="17" t="s">
        <v>477</v>
      </c>
      <c r="K25031" s="18" t="s">
        <v>477</v>
      </c>
    </row>
    <row r="25032">
      <c r="B25032" s="17" t="s">
        <v>477</v>
      </c>
      <c r="K25032" s="18" t="s">
        <v>477</v>
      </c>
    </row>
    <row r="25033">
      <c r="B25033" s="17" t="s">
        <v>477</v>
      </c>
      <c r="K25033" s="18" t="s">
        <v>477</v>
      </c>
    </row>
    <row r="25034">
      <c r="B25034" s="17" t="s">
        <v>477</v>
      </c>
      <c r="K25034" s="18" t="s">
        <v>477</v>
      </c>
    </row>
    <row r="25035">
      <c r="B25035" s="17" t="s">
        <v>477</v>
      </c>
      <c r="K25035" s="18" t="s">
        <v>477</v>
      </c>
    </row>
    <row r="25036">
      <c r="B25036" s="17" t="s">
        <v>477</v>
      </c>
      <c r="K25036" s="18" t="s">
        <v>477</v>
      </c>
    </row>
    <row r="25037">
      <c r="B25037" s="17" t="s">
        <v>477</v>
      </c>
      <c r="K25037" s="18" t="s">
        <v>477</v>
      </c>
    </row>
    <row r="25038">
      <c r="B25038" s="17" t="s">
        <v>477</v>
      </c>
      <c r="K25038" s="18" t="s">
        <v>477</v>
      </c>
    </row>
    <row r="25039">
      <c r="B25039" s="17" t="s">
        <v>477</v>
      </c>
      <c r="K25039" s="18" t="s">
        <v>477</v>
      </c>
    </row>
    <row r="25040">
      <c r="B25040" s="17" t="s">
        <v>477</v>
      </c>
      <c r="K25040" s="18" t="s">
        <v>477</v>
      </c>
    </row>
    <row r="25041">
      <c r="B25041" s="17" t="s">
        <v>477</v>
      </c>
      <c r="K25041" s="18" t="s">
        <v>477</v>
      </c>
    </row>
    <row r="25042">
      <c r="B25042" s="17" t="s">
        <v>477</v>
      </c>
      <c r="K25042" s="18" t="s">
        <v>477</v>
      </c>
    </row>
    <row r="25043">
      <c r="B25043" s="17" t="s">
        <v>477</v>
      </c>
      <c r="K25043" s="18" t="s">
        <v>477</v>
      </c>
    </row>
    <row r="25044">
      <c r="B25044" s="17" t="s">
        <v>477</v>
      </c>
      <c r="K25044" s="18" t="s">
        <v>477</v>
      </c>
    </row>
    <row r="25045">
      <c r="B25045" s="17" t="s">
        <v>477</v>
      </c>
      <c r="K25045" s="18" t="s">
        <v>477</v>
      </c>
    </row>
    <row r="25046">
      <c r="B25046" s="17" t="s">
        <v>477</v>
      </c>
      <c r="K25046" s="18" t="s">
        <v>477</v>
      </c>
    </row>
    <row r="25047">
      <c r="B25047" s="17" t="s">
        <v>477</v>
      </c>
      <c r="K25047" s="18" t="s">
        <v>477</v>
      </c>
    </row>
    <row r="25048">
      <c r="B25048" s="17" t="s">
        <v>477</v>
      </c>
      <c r="K25048" s="18" t="s">
        <v>477</v>
      </c>
    </row>
    <row r="25049">
      <c r="B25049" s="17" t="s">
        <v>477</v>
      </c>
      <c r="K25049" s="18" t="s">
        <v>477</v>
      </c>
    </row>
    <row r="25050">
      <c r="B25050" s="17" t="s">
        <v>477</v>
      </c>
      <c r="K25050" s="18" t="s">
        <v>477</v>
      </c>
    </row>
    <row r="25051">
      <c r="B25051" s="17" t="s">
        <v>477</v>
      </c>
      <c r="K25051" s="18" t="s">
        <v>477</v>
      </c>
    </row>
    <row r="25052">
      <c r="B25052" s="17" t="s">
        <v>477</v>
      </c>
      <c r="K25052" s="18" t="s">
        <v>477</v>
      </c>
    </row>
    <row r="25053">
      <c r="B25053" s="17" t="s">
        <v>477</v>
      </c>
      <c r="K25053" s="18" t="s">
        <v>477</v>
      </c>
    </row>
    <row r="25054">
      <c r="B25054" s="17" t="s">
        <v>477</v>
      </c>
      <c r="K25054" s="18" t="s">
        <v>477</v>
      </c>
    </row>
    <row r="25055">
      <c r="B25055" s="17" t="s">
        <v>477</v>
      </c>
      <c r="K25055" s="18" t="s">
        <v>477</v>
      </c>
    </row>
    <row r="25056">
      <c r="B25056" s="17" t="s">
        <v>477</v>
      </c>
      <c r="K25056" s="18" t="s">
        <v>477</v>
      </c>
    </row>
    <row r="25057">
      <c r="B25057" s="17" t="s">
        <v>477</v>
      </c>
      <c r="K25057" s="18" t="s">
        <v>477</v>
      </c>
    </row>
    <row r="25058">
      <c r="B25058" s="17" t="s">
        <v>477</v>
      </c>
      <c r="K25058" s="18" t="s">
        <v>477</v>
      </c>
    </row>
    <row r="25059">
      <c r="B25059" s="17" t="s">
        <v>477</v>
      </c>
      <c r="K25059" s="18" t="s">
        <v>477</v>
      </c>
    </row>
    <row r="25060">
      <c r="B25060" s="17" t="s">
        <v>477</v>
      </c>
      <c r="K25060" s="18" t="s">
        <v>477</v>
      </c>
    </row>
    <row r="25061">
      <c r="B25061" s="17" t="s">
        <v>477</v>
      </c>
      <c r="K25061" s="18" t="s">
        <v>477</v>
      </c>
    </row>
    <row r="25062">
      <c r="B25062" s="17" t="s">
        <v>477</v>
      </c>
      <c r="K25062" s="18" t="s">
        <v>477</v>
      </c>
    </row>
    <row r="25063">
      <c r="B25063" s="17" t="s">
        <v>477</v>
      </c>
      <c r="K25063" s="18" t="s">
        <v>477</v>
      </c>
    </row>
    <row r="25064">
      <c r="B25064" s="17" t="s">
        <v>477</v>
      </c>
      <c r="K25064" s="18" t="s">
        <v>477</v>
      </c>
    </row>
    <row r="25065">
      <c r="B25065" s="17" t="s">
        <v>477</v>
      </c>
      <c r="K25065" s="18" t="s">
        <v>477</v>
      </c>
    </row>
    <row r="25066">
      <c r="B25066" s="17" t="s">
        <v>477</v>
      </c>
      <c r="K25066" s="18" t="s">
        <v>477</v>
      </c>
    </row>
    <row r="25067">
      <c r="B25067" s="17" t="s">
        <v>477</v>
      </c>
      <c r="K25067" s="18" t="s">
        <v>477</v>
      </c>
    </row>
    <row r="25068">
      <c r="B25068" s="17" t="s">
        <v>477</v>
      </c>
      <c r="K25068" s="18" t="s">
        <v>477</v>
      </c>
    </row>
    <row r="25069">
      <c r="B25069" s="17" t="s">
        <v>477</v>
      </c>
      <c r="K25069" s="18" t="s">
        <v>477</v>
      </c>
    </row>
    <row r="25070">
      <c r="B25070" s="17" t="s">
        <v>477</v>
      </c>
      <c r="K25070" s="18" t="s">
        <v>477</v>
      </c>
    </row>
    <row r="25071">
      <c r="B25071" s="17" t="s">
        <v>477</v>
      </c>
      <c r="K25071" s="18" t="s">
        <v>477</v>
      </c>
    </row>
    <row r="25072">
      <c r="B25072" s="17" t="s">
        <v>477</v>
      </c>
      <c r="K25072" s="18" t="s">
        <v>477</v>
      </c>
    </row>
    <row r="25073">
      <c r="B25073" s="17" t="s">
        <v>477</v>
      </c>
      <c r="K25073" s="18" t="s">
        <v>477</v>
      </c>
    </row>
    <row r="25074">
      <c r="B25074" s="17" t="s">
        <v>477</v>
      </c>
      <c r="K25074" s="18" t="s">
        <v>477</v>
      </c>
    </row>
    <row r="25075">
      <c r="B25075" s="17" t="s">
        <v>477</v>
      </c>
      <c r="K25075" s="18" t="s">
        <v>477</v>
      </c>
    </row>
    <row r="25076">
      <c r="B25076" s="17" t="s">
        <v>477</v>
      </c>
      <c r="K25076" s="18" t="s">
        <v>477</v>
      </c>
    </row>
    <row r="25077">
      <c r="B25077" s="17" t="s">
        <v>477</v>
      </c>
      <c r="K25077" s="18" t="s">
        <v>477</v>
      </c>
    </row>
    <row r="25078">
      <c r="B25078" s="17" t="s">
        <v>477</v>
      </c>
      <c r="K25078" s="18" t="s">
        <v>477</v>
      </c>
    </row>
    <row r="25079">
      <c r="B25079" s="17" t="s">
        <v>477</v>
      </c>
      <c r="K25079" s="18" t="s">
        <v>477</v>
      </c>
    </row>
    <row r="25080">
      <c r="B25080" s="17" t="s">
        <v>477</v>
      </c>
      <c r="K25080" s="18" t="s">
        <v>477</v>
      </c>
    </row>
    <row r="25081">
      <c r="B25081" s="17" t="s">
        <v>477</v>
      </c>
      <c r="K25081" s="18" t="s">
        <v>477</v>
      </c>
    </row>
    <row r="25082">
      <c r="B25082" s="17" t="s">
        <v>477</v>
      </c>
      <c r="K25082" s="18" t="s">
        <v>477</v>
      </c>
    </row>
    <row r="25083">
      <c r="B25083" s="17" t="s">
        <v>477</v>
      </c>
      <c r="K25083" s="18" t="s">
        <v>477</v>
      </c>
    </row>
    <row r="25084">
      <c r="B25084" s="17" t="s">
        <v>477</v>
      </c>
      <c r="K25084" s="18" t="s">
        <v>477</v>
      </c>
    </row>
    <row r="25085">
      <c r="B25085" s="17" t="s">
        <v>477</v>
      </c>
      <c r="K25085" s="18" t="s">
        <v>477</v>
      </c>
    </row>
    <row r="25086">
      <c r="B25086" s="17" t="s">
        <v>477</v>
      </c>
      <c r="K25086" s="18" t="s">
        <v>477</v>
      </c>
    </row>
    <row r="25087">
      <c r="B25087" s="17" t="s">
        <v>477</v>
      </c>
      <c r="K25087" s="18" t="s">
        <v>477</v>
      </c>
    </row>
    <row r="25088">
      <c r="B25088" s="17" t="s">
        <v>477</v>
      </c>
      <c r="K25088" s="18" t="s">
        <v>477</v>
      </c>
    </row>
    <row r="25089">
      <c r="B25089" s="17" t="s">
        <v>477</v>
      </c>
      <c r="K25089" s="18" t="s">
        <v>477</v>
      </c>
    </row>
    <row r="25090">
      <c r="B25090" s="17" t="s">
        <v>477</v>
      </c>
      <c r="K25090" s="18" t="s">
        <v>477</v>
      </c>
    </row>
    <row r="25091">
      <c r="B25091" s="17" t="s">
        <v>477</v>
      </c>
      <c r="K25091" s="18" t="s">
        <v>477</v>
      </c>
    </row>
    <row r="25092">
      <c r="B25092" s="17" t="s">
        <v>477</v>
      </c>
      <c r="K25092" s="18" t="s">
        <v>477</v>
      </c>
    </row>
    <row r="25093">
      <c r="B25093" s="17" t="s">
        <v>477</v>
      </c>
      <c r="K25093" s="18" t="s">
        <v>477</v>
      </c>
    </row>
    <row r="25094">
      <c r="B25094" s="17" t="s">
        <v>477</v>
      </c>
      <c r="K25094" s="18" t="s">
        <v>477</v>
      </c>
    </row>
    <row r="25095">
      <c r="B25095" s="17" t="s">
        <v>477</v>
      </c>
      <c r="K25095" s="18" t="s">
        <v>477</v>
      </c>
    </row>
    <row r="25096">
      <c r="B25096" s="17" t="s">
        <v>477</v>
      </c>
      <c r="K25096" s="18" t="s">
        <v>477</v>
      </c>
    </row>
    <row r="25097">
      <c r="B25097" s="17" t="s">
        <v>477</v>
      </c>
      <c r="K25097" s="18" t="s">
        <v>477</v>
      </c>
    </row>
    <row r="25098">
      <c r="B25098" s="17" t="s">
        <v>477</v>
      </c>
      <c r="K25098" s="18" t="s">
        <v>477</v>
      </c>
    </row>
    <row r="25099">
      <c r="B25099" s="17" t="s">
        <v>477</v>
      </c>
      <c r="K25099" s="18" t="s">
        <v>477</v>
      </c>
    </row>
    <row r="25100">
      <c r="B25100" s="17" t="s">
        <v>477</v>
      </c>
      <c r="K25100" s="18" t="s">
        <v>477</v>
      </c>
    </row>
    <row r="25101">
      <c r="B25101" s="17" t="s">
        <v>477</v>
      </c>
      <c r="K25101" s="18" t="s">
        <v>477</v>
      </c>
    </row>
    <row r="25102">
      <c r="B25102" s="17" t="s">
        <v>477</v>
      </c>
      <c r="K25102" s="18" t="s">
        <v>477</v>
      </c>
    </row>
    <row r="25103">
      <c r="B25103" s="17" t="s">
        <v>477</v>
      </c>
      <c r="K25103" s="18" t="s">
        <v>477</v>
      </c>
    </row>
    <row r="25104">
      <c r="B25104" s="17" t="s">
        <v>477</v>
      </c>
      <c r="K25104" s="18" t="s">
        <v>477</v>
      </c>
    </row>
    <row r="25105">
      <c r="B25105" s="17" t="s">
        <v>477</v>
      </c>
      <c r="K25105" s="18" t="s">
        <v>477</v>
      </c>
    </row>
    <row r="25106">
      <c r="B25106" s="17" t="s">
        <v>477</v>
      </c>
      <c r="K25106" s="18" t="s">
        <v>477</v>
      </c>
    </row>
    <row r="25107">
      <c r="B25107" s="17" t="s">
        <v>477</v>
      </c>
      <c r="K25107" s="18" t="s">
        <v>477</v>
      </c>
    </row>
    <row r="25108">
      <c r="B25108" s="17" t="s">
        <v>477</v>
      </c>
      <c r="K25108" s="18" t="s">
        <v>477</v>
      </c>
    </row>
    <row r="25109">
      <c r="B25109" s="17" t="s">
        <v>477</v>
      </c>
      <c r="K25109" s="18" t="s">
        <v>477</v>
      </c>
    </row>
    <row r="25110">
      <c r="B25110" s="17" t="s">
        <v>477</v>
      </c>
      <c r="K25110" s="18" t="s">
        <v>477</v>
      </c>
    </row>
    <row r="25111">
      <c r="B25111" s="17" t="s">
        <v>477</v>
      </c>
      <c r="K25111" s="18" t="s">
        <v>477</v>
      </c>
    </row>
    <row r="25112">
      <c r="B25112" s="17" t="s">
        <v>477</v>
      </c>
      <c r="K25112" s="18" t="s">
        <v>477</v>
      </c>
    </row>
    <row r="25113">
      <c r="B25113" s="17" t="s">
        <v>477</v>
      </c>
      <c r="K25113" s="18" t="s">
        <v>477</v>
      </c>
    </row>
    <row r="25114">
      <c r="B25114" s="17" t="s">
        <v>477</v>
      </c>
      <c r="K25114" s="18" t="s">
        <v>477</v>
      </c>
    </row>
    <row r="25115">
      <c r="B25115" s="17" t="s">
        <v>477</v>
      </c>
      <c r="K25115" s="18" t="s">
        <v>477</v>
      </c>
    </row>
    <row r="25116">
      <c r="B25116" s="17" t="s">
        <v>477</v>
      </c>
      <c r="K25116" s="18" t="s">
        <v>477</v>
      </c>
    </row>
    <row r="25117">
      <c r="B25117" s="17" t="s">
        <v>477</v>
      </c>
      <c r="K25117" s="18" t="s">
        <v>477</v>
      </c>
    </row>
    <row r="25118">
      <c r="B25118" s="17" t="s">
        <v>477</v>
      </c>
      <c r="K25118" s="18" t="s">
        <v>477</v>
      </c>
    </row>
    <row r="25119">
      <c r="B25119" s="17" t="s">
        <v>477</v>
      </c>
      <c r="K25119" s="18" t="s">
        <v>477</v>
      </c>
    </row>
    <row r="25120">
      <c r="B25120" s="17" t="s">
        <v>477</v>
      </c>
      <c r="K25120" s="18" t="s">
        <v>477</v>
      </c>
    </row>
    <row r="25121">
      <c r="B25121" s="17" t="s">
        <v>477</v>
      </c>
      <c r="K25121" s="18" t="s">
        <v>477</v>
      </c>
    </row>
    <row r="25122">
      <c r="B25122" s="17" t="s">
        <v>477</v>
      </c>
      <c r="K25122" s="18" t="s">
        <v>477</v>
      </c>
    </row>
    <row r="25123">
      <c r="B25123" s="17" t="s">
        <v>477</v>
      </c>
      <c r="K25123" s="18" t="s">
        <v>477</v>
      </c>
    </row>
    <row r="25124">
      <c r="B25124" s="17" t="s">
        <v>477</v>
      </c>
      <c r="K25124" s="18" t="s">
        <v>477</v>
      </c>
    </row>
    <row r="25125">
      <c r="B25125" s="17" t="s">
        <v>477</v>
      </c>
      <c r="K25125" s="18" t="s">
        <v>477</v>
      </c>
    </row>
    <row r="25126">
      <c r="B25126" s="17" t="s">
        <v>477</v>
      </c>
      <c r="K25126" s="18" t="s">
        <v>477</v>
      </c>
    </row>
    <row r="25127">
      <c r="B25127" s="17" t="s">
        <v>477</v>
      </c>
      <c r="K25127" s="18" t="s">
        <v>477</v>
      </c>
    </row>
    <row r="25128">
      <c r="B25128" s="17" t="s">
        <v>477</v>
      </c>
      <c r="K25128" s="18" t="s">
        <v>477</v>
      </c>
    </row>
    <row r="25129">
      <c r="B25129" s="17" t="s">
        <v>477</v>
      </c>
      <c r="K25129" s="18" t="s">
        <v>477</v>
      </c>
    </row>
    <row r="25130">
      <c r="B25130" s="17" t="s">
        <v>477</v>
      </c>
      <c r="K25130" s="18" t="s">
        <v>477</v>
      </c>
    </row>
    <row r="25131">
      <c r="B25131" s="17" t="s">
        <v>477</v>
      </c>
      <c r="K25131" s="18" t="s">
        <v>477</v>
      </c>
    </row>
    <row r="25132">
      <c r="B25132" s="17" t="s">
        <v>477</v>
      </c>
      <c r="K25132" s="18" t="s">
        <v>477</v>
      </c>
    </row>
    <row r="25133">
      <c r="B25133" s="17" t="s">
        <v>477</v>
      </c>
      <c r="K25133" s="18" t="s">
        <v>477</v>
      </c>
    </row>
    <row r="25134">
      <c r="B25134" s="17" t="s">
        <v>477</v>
      </c>
      <c r="K25134" s="18" t="s">
        <v>477</v>
      </c>
    </row>
    <row r="25135">
      <c r="B25135" s="17" t="s">
        <v>477</v>
      </c>
      <c r="K25135" s="18" t="s">
        <v>477</v>
      </c>
    </row>
    <row r="25136">
      <c r="B25136" s="17" t="s">
        <v>477</v>
      </c>
      <c r="K25136" s="18" t="s">
        <v>477</v>
      </c>
    </row>
    <row r="25137">
      <c r="B25137" s="17" t="s">
        <v>477</v>
      </c>
      <c r="K25137" s="18" t="s">
        <v>477</v>
      </c>
    </row>
    <row r="25138">
      <c r="B25138" s="17" t="s">
        <v>477</v>
      </c>
      <c r="K25138" s="18" t="s">
        <v>477</v>
      </c>
    </row>
    <row r="25139">
      <c r="B25139" s="17" t="s">
        <v>477</v>
      </c>
      <c r="K25139" s="18" t="s">
        <v>477</v>
      </c>
    </row>
    <row r="25140">
      <c r="B25140" s="17" t="s">
        <v>477</v>
      </c>
      <c r="K25140" s="18" t="s">
        <v>477</v>
      </c>
    </row>
    <row r="25141">
      <c r="B25141" s="17" t="s">
        <v>477</v>
      </c>
      <c r="K25141" s="18" t="s">
        <v>477</v>
      </c>
    </row>
    <row r="25142">
      <c r="B25142" s="17" t="s">
        <v>477</v>
      </c>
      <c r="K25142" s="18" t="s">
        <v>477</v>
      </c>
    </row>
    <row r="25143">
      <c r="B25143" s="17" t="s">
        <v>477</v>
      </c>
      <c r="K25143" s="18" t="s">
        <v>477</v>
      </c>
    </row>
    <row r="25144">
      <c r="B25144" s="17" t="s">
        <v>477</v>
      </c>
      <c r="K25144" s="18" t="s">
        <v>477</v>
      </c>
    </row>
    <row r="25145">
      <c r="B25145" s="17" t="s">
        <v>477</v>
      </c>
      <c r="K25145" s="18" t="s">
        <v>477</v>
      </c>
    </row>
    <row r="25146">
      <c r="B25146" s="17" t="s">
        <v>477</v>
      </c>
      <c r="K25146" s="18" t="s">
        <v>477</v>
      </c>
    </row>
    <row r="25147">
      <c r="B25147" s="17" t="s">
        <v>477</v>
      </c>
      <c r="K25147" s="18" t="s">
        <v>477</v>
      </c>
    </row>
    <row r="25148">
      <c r="B25148" s="17" t="s">
        <v>477</v>
      </c>
      <c r="K25148" s="18" t="s">
        <v>477</v>
      </c>
    </row>
    <row r="25149">
      <c r="B25149" s="17" t="s">
        <v>477</v>
      </c>
      <c r="K25149" s="18" t="s">
        <v>477</v>
      </c>
    </row>
    <row r="25150">
      <c r="B25150" s="17" t="s">
        <v>477</v>
      </c>
      <c r="K25150" s="18" t="s">
        <v>477</v>
      </c>
    </row>
    <row r="25151">
      <c r="B25151" s="17" t="s">
        <v>477</v>
      </c>
      <c r="K25151" s="18" t="s">
        <v>477</v>
      </c>
    </row>
    <row r="25152">
      <c r="B25152" s="17" t="s">
        <v>477</v>
      </c>
      <c r="K25152" s="18" t="s">
        <v>477</v>
      </c>
    </row>
    <row r="25153">
      <c r="B25153" s="17" t="s">
        <v>477</v>
      </c>
      <c r="K25153" s="18" t="s">
        <v>477</v>
      </c>
    </row>
    <row r="25154">
      <c r="B25154" s="17" t="s">
        <v>477</v>
      </c>
      <c r="K25154" s="18" t="s">
        <v>477</v>
      </c>
    </row>
    <row r="25155">
      <c r="B25155" s="17" t="s">
        <v>477</v>
      </c>
      <c r="K25155" s="18" t="s">
        <v>477</v>
      </c>
    </row>
    <row r="25156">
      <c r="B25156" s="17" t="s">
        <v>477</v>
      </c>
      <c r="K25156" s="18" t="s">
        <v>477</v>
      </c>
    </row>
    <row r="25157">
      <c r="B25157" s="17" t="s">
        <v>477</v>
      </c>
      <c r="K25157" s="18" t="s">
        <v>477</v>
      </c>
    </row>
    <row r="25158">
      <c r="B25158" s="17" t="s">
        <v>477</v>
      </c>
      <c r="K25158" s="18" t="s">
        <v>477</v>
      </c>
    </row>
    <row r="25159">
      <c r="B25159" s="17" t="s">
        <v>477</v>
      </c>
      <c r="K25159" s="18" t="s">
        <v>477</v>
      </c>
    </row>
    <row r="25160">
      <c r="B25160" s="17" t="s">
        <v>477</v>
      </c>
      <c r="K25160" s="18" t="s">
        <v>477</v>
      </c>
    </row>
    <row r="25161">
      <c r="B25161" s="17" t="s">
        <v>477</v>
      </c>
      <c r="K25161" s="18" t="s">
        <v>477</v>
      </c>
    </row>
    <row r="25162">
      <c r="B25162" s="17" t="s">
        <v>477</v>
      </c>
      <c r="K25162" s="18" t="s">
        <v>477</v>
      </c>
    </row>
    <row r="25163">
      <c r="B25163" s="17" t="s">
        <v>477</v>
      </c>
      <c r="K25163" s="18" t="s">
        <v>477</v>
      </c>
    </row>
    <row r="25164">
      <c r="B25164" s="17" t="s">
        <v>477</v>
      </c>
      <c r="K25164" s="18" t="s">
        <v>477</v>
      </c>
    </row>
    <row r="25165">
      <c r="B25165" s="17" t="s">
        <v>477</v>
      </c>
      <c r="K25165" s="18" t="s">
        <v>477</v>
      </c>
    </row>
    <row r="25166">
      <c r="B25166" s="17" t="s">
        <v>477</v>
      </c>
      <c r="K25166" s="18" t="s">
        <v>477</v>
      </c>
    </row>
    <row r="25167">
      <c r="B25167" s="17" t="s">
        <v>477</v>
      </c>
      <c r="K25167" s="18" t="s">
        <v>477</v>
      </c>
    </row>
    <row r="25168">
      <c r="B25168" s="17" t="s">
        <v>477</v>
      </c>
      <c r="K25168" s="18" t="s">
        <v>477</v>
      </c>
    </row>
    <row r="25169">
      <c r="B25169" s="17" t="s">
        <v>477</v>
      </c>
      <c r="K25169" s="18" t="s">
        <v>477</v>
      </c>
    </row>
    <row r="25170">
      <c r="B25170" s="17" t="s">
        <v>477</v>
      </c>
      <c r="K25170" s="18" t="s">
        <v>477</v>
      </c>
    </row>
    <row r="25171">
      <c r="B25171" s="17" t="s">
        <v>477</v>
      </c>
      <c r="K25171" s="18" t="s">
        <v>477</v>
      </c>
    </row>
    <row r="25172">
      <c r="B25172" s="17" t="s">
        <v>477</v>
      </c>
      <c r="K25172" s="18" t="s">
        <v>477</v>
      </c>
    </row>
    <row r="25173">
      <c r="B25173" s="17" t="s">
        <v>477</v>
      </c>
      <c r="K25173" s="18" t="s">
        <v>477</v>
      </c>
    </row>
    <row r="25174">
      <c r="B25174" s="17" t="s">
        <v>477</v>
      </c>
      <c r="K25174" s="18" t="s">
        <v>477</v>
      </c>
    </row>
    <row r="25175">
      <c r="B25175" s="17" t="s">
        <v>477</v>
      </c>
      <c r="K25175" s="18" t="s">
        <v>477</v>
      </c>
    </row>
    <row r="25176">
      <c r="B25176" s="17" t="s">
        <v>477</v>
      </c>
      <c r="K25176" s="18" t="s">
        <v>477</v>
      </c>
    </row>
    <row r="25177">
      <c r="B25177" s="17" t="s">
        <v>477</v>
      </c>
      <c r="K25177" s="18" t="s">
        <v>477</v>
      </c>
    </row>
    <row r="25178">
      <c r="B25178" s="17" t="s">
        <v>477</v>
      </c>
      <c r="K25178" s="18" t="s">
        <v>477</v>
      </c>
    </row>
    <row r="25179">
      <c r="B25179" s="17" t="s">
        <v>477</v>
      </c>
      <c r="K25179" s="18" t="s">
        <v>477</v>
      </c>
    </row>
    <row r="25180">
      <c r="B25180" s="17" t="s">
        <v>477</v>
      </c>
      <c r="K25180" s="18" t="s">
        <v>477</v>
      </c>
    </row>
    <row r="25181">
      <c r="B25181" s="17" t="s">
        <v>477</v>
      </c>
      <c r="K25181" s="18" t="s">
        <v>477</v>
      </c>
    </row>
    <row r="25182">
      <c r="B25182" s="17" t="s">
        <v>477</v>
      </c>
      <c r="K25182" s="18" t="s">
        <v>477</v>
      </c>
    </row>
    <row r="25183">
      <c r="B25183" s="17" t="s">
        <v>477</v>
      </c>
      <c r="K25183" s="18" t="s">
        <v>477</v>
      </c>
    </row>
    <row r="25184">
      <c r="B25184" s="17" t="s">
        <v>477</v>
      </c>
      <c r="K25184" s="18" t="s">
        <v>477</v>
      </c>
    </row>
    <row r="25185">
      <c r="B25185" s="17" t="s">
        <v>477</v>
      </c>
      <c r="K25185" s="18" t="s">
        <v>477</v>
      </c>
    </row>
    <row r="25186">
      <c r="B25186" s="17" t="s">
        <v>477</v>
      </c>
      <c r="K25186" s="18" t="s">
        <v>477</v>
      </c>
    </row>
    <row r="25187">
      <c r="B25187" s="17" t="s">
        <v>477</v>
      </c>
      <c r="K25187" s="18" t="s">
        <v>477</v>
      </c>
    </row>
    <row r="25188">
      <c r="B25188" s="17" t="s">
        <v>477</v>
      </c>
      <c r="K25188" s="18" t="s">
        <v>477</v>
      </c>
    </row>
    <row r="25189">
      <c r="B25189" s="17" t="s">
        <v>477</v>
      </c>
      <c r="K25189" s="18" t="s">
        <v>477</v>
      </c>
    </row>
    <row r="25190">
      <c r="B25190" s="17" t="s">
        <v>477</v>
      </c>
      <c r="K25190" s="18" t="s">
        <v>477</v>
      </c>
    </row>
    <row r="25191">
      <c r="B25191" s="17" t="s">
        <v>477</v>
      </c>
      <c r="K25191" s="18" t="s">
        <v>477</v>
      </c>
    </row>
    <row r="25192">
      <c r="B25192" s="17" t="s">
        <v>477</v>
      </c>
      <c r="K25192" s="18" t="s">
        <v>477</v>
      </c>
    </row>
    <row r="25193">
      <c r="B25193" s="17" t="s">
        <v>477</v>
      </c>
      <c r="K25193" s="18" t="s">
        <v>477</v>
      </c>
    </row>
    <row r="25194">
      <c r="B25194" s="17" t="s">
        <v>477</v>
      </c>
      <c r="K25194" s="18" t="s">
        <v>477</v>
      </c>
    </row>
    <row r="25195">
      <c r="B25195" s="17" t="s">
        <v>477</v>
      </c>
      <c r="K25195" s="18" t="s">
        <v>477</v>
      </c>
    </row>
    <row r="25196">
      <c r="B25196" s="17" t="s">
        <v>477</v>
      </c>
      <c r="K25196" s="18" t="s">
        <v>477</v>
      </c>
    </row>
    <row r="25197">
      <c r="B25197" s="17" t="s">
        <v>477</v>
      </c>
      <c r="K25197" s="18" t="s">
        <v>477</v>
      </c>
    </row>
    <row r="25198">
      <c r="B25198" s="17" t="s">
        <v>477</v>
      </c>
      <c r="K25198" s="18" t="s">
        <v>477</v>
      </c>
    </row>
    <row r="25199">
      <c r="B25199" s="17" t="s">
        <v>477</v>
      </c>
      <c r="K25199" s="18" t="s">
        <v>477</v>
      </c>
    </row>
    <row r="25200">
      <c r="B25200" s="17" t="s">
        <v>477</v>
      </c>
      <c r="K25200" s="18" t="s">
        <v>477</v>
      </c>
    </row>
    <row r="25201">
      <c r="B25201" s="17" t="s">
        <v>477</v>
      </c>
      <c r="K25201" s="18" t="s">
        <v>477</v>
      </c>
    </row>
    <row r="25202">
      <c r="B25202" s="17" t="s">
        <v>477</v>
      </c>
      <c r="K25202" s="18" t="s">
        <v>477</v>
      </c>
    </row>
    <row r="25203">
      <c r="B25203" s="17" t="s">
        <v>477</v>
      </c>
      <c r="K25203" s="18" t="s">
        <v>477</v>
      </c>
    </row>
    <row r="25204">
      <c r="B25204" s="17" t="s">
        <v>477</v>
      </c>
      <c r="K25204" s="18" t="s">
        <v>477</v>
      </c>
    </row>
    <row r="25205">
      <c r="B25205" s="17" t="s">
        <v>477</v>
      </c>
      <c r="K25205" s="18" t="s">
        <v>477</v>
      </c>
    </row>
    <row r="25206">
      <c r="B25206" s="17" t="s">
        <v>477</v>
      </c>
      <c r="K25206" s="18" t="s">
        <v>477</v>
      </c>
    </row>
    <row r="25207">
      <c r="B25207" s="17" t="s">
        <v>477</v>
      </c>
      <c r="K25207" s="18" t="s">
        <v>477</v>
      </c>
    </row>
    <row r="25208">
      <c r="B25208" s="17" t="s">
        <v>477</v>
      </c>
      <c r="K25208" s="18" t="s">
        <v>477</v>
      </c>
    </row>
    <row r="25209">
      <c r="B25209" s="17" t="s">
        <v>477</v>
      </c>
      <c r="K25209" s="18" t="s">
        <v>477</v>
      </c>
    </row>
    <row r="25210">
      <c r="B25210" s="17" t="s">
        <v>477</v>
      </c>
      <c r="K25210" s="18" t="s">
        <v>477</v>
      </c>
    </row>
    <row r="25211">
      <c r="B25211" s="17" t="s">
        <v>477</v>
      </c>
      <c r="K25211" s="18" t="s">
        <v>477</v>
      </c>
    </row>
    <row r="25212">
      <c r="B25212" s="17" t="s">
        <v>477</v>
      </c>
      <c r="K25212" s="18" t="s">
        <v>477</v>
      </c>
    </row>
    <row r="25213">
      <c r="B25213" s="17" t="s">
        <v>477</v>
      </c>
      <c r="K25213" s="18" t="s">
        <v>477</v>
      </c>
    </row>
    <row r="25214">
      <c r="B25214" s="17" t="s">
        <v>477</v>
      </c>
      <c r="K25214" s="18" t="s">
        <v>477</v>
      </c>
    </row>
    <row r="25215">
      <c r="B25215" s="17" t="s">
        <v>477</v>
      </c>
      <c r="K25215" s="18" t="s">
        <v>477</v>
      </c>
    </row>
    <row r="25216">
      <c r="B25216" s="17" t="s">
        <v>477</v>
      </c>
      <c r="K25216" s="18" t="s">
        <v>477</v>
      </c>
    </row>
    <row r="25217">
      <c r="B25217" s="17" t="s">
        <v>477</v>
      </c>
      <c r="K25217" s="18" t="s">
        <v>477</v>
      </c>
    </row>
    <row r="25218">
      <c r="B25218" s="17" t="s">
        <v>477</v>
      </c>
      <c r="K25218" s="18" t="s">
        <v>477</v>
      </c>
    </row>
    <row r="25219">
      <c r="B25219" s="17" t="s">
        <v>477</v>
      </c>
      <c r="K25219" s="18" t="s">
        <v>477</v>
      </c>
    </row>
    <row r="25220">
      <c r="B25220" s="17" t="s">
        <v>477</v>
      </c>
      <c r="K25220" s="18" t="s">
        <v>477</v>
      </c>
    </row>
    <row r="25221">
      <c r="B25221" s="17" t="s">
        <v>477</v>
      </c>
      <c r="K25221" s="18" t="s">
        <v>477</v>
      </c>
    </row>
    <row r="25222">
      <c r="B25222" s="17" t="s">
        <v>477</v>
      </c>
      <c r="K25222" s="18" t="s">
        <v>477</v>
      </c>
    </row>
    <row r="25223">
      <c r="B25223" s="17" t="s">
        <v>477</v>
      </c>
      <c r="K25223" s="18" t="s">
        <v>477</v>
      </c>
    </row>
    <row r="25224">
      <c r="B25224" s="17" t="s">
        <v>477</v>
      </c>
      <c r="K25224" s="18" t="s">
        <v>477</v>
      </c>
    </row>
    <row r="25225">
      <c r="B25225" s="17" t="s">
        <v>477</v>
      </c>
      <c r="K25225" s="18" t="s">
        <v>477</v>
      </c>
    </row>
    <row r="25226">
      <c r="B25226" s="17" t="s">
        <v>477</v>
      </c>
      <c r="K25226" s="18" t="s">
        <v>477</v>
      </c>
    </row>
    <row r="25227">
      <c r="B25227" s="17" t="s">
        <v>477</v>
      </c>
      <c r="K25227" s="18" t="s">
        <v>477</v>
      </c>
    </row>
    <row r="25228">
      <c r="B25228" s="17" t="s">
        <v>477</v>
      </c>
      <c r="K25228" s="18" t="s">
        <v>477</v>
      </c>
    </row>
    <row r="25229">
      <c r="B25229" s="17" t="s">
        <v>477</v>
      </c>
      <c r="K25229" s="18" t="s">
        <v>477</v>
      </c>
    </row>
    <row r="25230">
      <c r="B25230" s="17" t="s">
        <v>477</v>
      </c>
      <c r="K25230" s="18" t="s">
        <v>477</v>
      </c>
    </row>
    <row r="25231">
      <c r="B25231" s="17" t="s">
        <v>477</v>
      </c>
      <c r="K25231" s="18" t="s">
        <v>477</v>
      </c>
    </row>
    <row r="25232">
      <c r="B25232" s="17" t="s">
        <v>477</v>
      </c>
      <c r="K25232" s="18" t="s">
        <v>477</v>
      </c>
    </row>
    <row r="25233">
      <c r="B25233" s="17" t="s">
        <v>477</v>
      </c>
      <c r="K25233" s="18" t="s">
        <v>477</v>
      </c>
    </row>
    <row r="25234">
      <c r="B25234" s="17" t="s">
        <v>477</v>
      </c>
      <c r="K25234" s="18" t="s">
        <v>477</v>
      </c>
    </row>
    <row r="25235">
      <c r="B25235" s="17" t="s">
        <v>477</v>
      </c>
      <c r="K25235" s="18" t="s">
        <v>477</v>
      </c>
    </row>
    <row r="25236">
      <c r="B25236" s="17" t="s">
        <v>477</v>
      </c>
      <c r="K25236" s="18" t="s">
        <v>477</v>
      </c>
    </row>
    <row r="25237">
      <c r="B25237" s="17" t="s">
        <v>477</v>
      </c>
      <c r="K25237" s="18" t="s">
        <v>477</v>
      </c>
    </row>
    <row r="25238">
      <c r="B25238" s="17" t="s">
        <v>477</v>
      </c>
      <c r="K25238" s="18" t="s">
        <v>477</v>
      </c>
    </row>
    <row r="25239">
      <c r="B25239" s="17" t="s">
        <v>477</v>
      </c>
      <c r="K25239" s="18" t="s">
        <v>477</v>
      </c>
    </row>
    <row r="25240">
      <c r="B25240" s="17" t="s">
        <v>477</v>
      </c>
      <c r="K25240" s="18" t="s">
        <v>477</v>
      </c>
    </row>
    <row r="25241">
      <c r="B25241" s="17" t="s">
        <v>477</v>
      </c>
      <c r="K25241" s="18" t="s">
        <v>477</v>
      </c>
    </row>
    <row r="25242">
      <c r="B25242" s="17" t="s">
        <v>477</v>
      </c>
      <c r="K25242" s="18" t="s">
        <v>477</v>
      </c>
    </row>
    <row r="25243">
      <c r="B25243" s="17" t="s">
        <v>477</v>
      </c>
      <c r="K25243" s="18" t="s">
        <v>477</v>
      </c>
    </row>
    <row r="25244">
      <c r="B25244" s="17" t="s">
        <v>477</v>
      </c>
      <c r="K25244" s="18" t="s">
        <v>477</v>
      </c>
    </row>
    <row r="25245">
      <c r="B25245" s="17" t="s">
        <v>477</v>
      </c>
      <c r="K25245" s="18" t="s">
        <v>477</v>
      </c>
    </row>
    <row r="25246">
      <c r="B25246" s="17" t="s">
        <v>477</v>
      </c>
      <c r="K25246" s="18" t="s">
        <v>477</v>
      </c>
    </row>
    <row r="25247">
      <c r="B25247" s="17" t="s">
        <v>477</v>
      </c>
      <c r="K25247" s="18" t="s">
        <v>477</v>
      </c>
    </row>
    <row r="25248">
      <c r="B25248" s="17" t="s">
        <v>477</v>
      </c>
      <c r="K25248" s="18" t="s">
        <v>477</v>
      </c>
    </row>
    <row r="25249">
      <c r="B25249" s="17" t="s">
        <v>477</v>
      </c>
      <c r="K25249" s="18" t="s">
        <v>477</v>
      </c>
    </row>
    <row r="25250">
      <c r="B25250" s="17" t="s">
        <v>477</v>
      </c>
      <c r="K25250" s="18" t="s">
        <v>477</v>
      </c>
    </row>
    <row r="25251">
      <c r="B25251" s="17" t="s">
        <v>477</v>
      </c>
      <c r="K25251" s="18" t="s">
        <v>477</v>
      </c>
    </row>
    <row r="25252">
      <c r="B25252" s="17" t="s">
        <v>477</v>
      </c>
      <c r="K25252" s="18" t="s">
        <v>477</v>
      </c>
    </row>
    <row r="25253">
      <c r="B25253" s="17" t="s">
        <v>477</v>
      </c>
      <c r="K25253" s="18" t="s">
        <v>477</v>
      </c>
    </row>
    <row r="25254">
      <c r="B25254" s="17" t="s">
        <v>477</v>
      </c>
      <c r="K25254" s="18" t="s">
        <v>477</v>
      </c>
    </row>
    <row r="25255">
      <c r="B25255" s="17" t="s">
        <v>477</v>
      </c>
      <c r="K25255" s="18" t="s">
        <v>477</v>
      </c>
    </row>
    <row r="25256">
      <c r="B25256" s="17" t="s">
        <v>477</v>
      </c>
      <c r="K25256" s="18" t="s">
        <v>477</v>
      </c>
    </row>
    <row r="25257">
      <c r="B25257" s="17" t="s">
        <v>477</v>
      </c>
      <c r="K25257" s="18" t="s">
        <v>477</v>
      </c>
    </row>
    <row r="25258">
      <c r="B25258" s="17" t="s">
        <v>477</v>
      </c>
      <c r="K25258" s="18" t="s">
        <v>477</v>
      </c>
    </row>
    <row r="25259">
      <c r="B25259" s="17" t="s">
        <v>477</v>
      </c>
      <c r="K25259" s="18" t="s">
        <v>477</v>
      </c>
    </row>
    <row r="25260">
      <c r="B25260" s="17" t="s">
        <v>477</v>
      </c>
      <c r="K25260" s="18" t="s">
        <v>477</v>
      </c>
    </row>
    <row r="25261">
      <c r="B25261" s="17" t="s">
        <v>477</v>
      </c>
      <c r="K25261" s="18" t="s">
        <v>477</v>
      </c>
    </row>
    <row r="25262">
      <c r="B25262" s="17" t="s">
        <v>477</v>
      </c>
      <c r="K25262" s="18" t="s">
        <v>477</v>
      </c>
    </row>
    <row r="25263">
      <c r="B25263" s="17" t="s">
        <v>477</v>
      </c>
      <c r="K25263" s="18" t="s">
        <v>477</v>
      </c>
    </row>
    <row r="25264">
      <c r="B25264" s="17" t="s">
        <v>477</v>
      </c>
      <c r="K25264" s="18" t="s">
        <v>477</v>
      </c>
    </row>
    <row r="25265">
      <c r="B25265" s="17" t="s">
        <v>477</v>
      </c>
      <c r="K25265" s="18" t="s">
        <v>477</v>
      </c>
    </row>
    <row r="25266">
      <c r="B25266" s="17" t="s">
        <v>477</v>
      </c>
      <c r="K25266" s="18" t="s">
        <v>477</v>
      </c>
    </row>
    <row r="25267">
      <c r="B25267" s="17" t="s">
        <v>477</v>
      </c>
      <c r="K25267" s="18" t="s">
        <v>477</v>
      </c>
    </row>
    <row r="25268">
      <c r="B25268" s="17" t="s">
        <v>477</v>
      </c>
      <c r="K25268" s="18" t="s">
        <v>477</v>
      </c>
    </row>
    <row r="25269">
      <c r="B25269" s="17" t="s">
        <v>477</v>
      </c>
      <c r="K25269" s="18" t="s">
        <v>477</v>
      </c>
    </row>
    <row r="25270">
      <c r="B25270" s="17" t="s">
        <v>477</v>
      </c>
      <c r="K25270" s="18" t="s">
        <v>477</v>
      </c>
    </row>
    <row r="25271">
      <c r="B25271" s="17" t="s">
        <v>477</v>
      </c>
      <c r="K25271" s="18" t="s">
        <v>477</v>
      </c>
    </row>
    <row r="25272">
      <c r="B25272" s="17" t="s">
        <v>477</v>
      </c>
      <c r="K25272" s="18" t="s">
        <v>477</v>
      </c>
    </row>
    <row r="25273">
      <c r="B25273" s="17" t="s">
        <v>477</v>
      </c>
      <c r="K25273" s="18" t="s">
        <v>477</v>
      </c>
    </row>
    <row r="25274">
      <c r="B25274" s="17" t="s">
        <v>477</v>
      </c>
      <c r="K25274" s="18" t="s">
        <v>477</v>
      </c>
    </row>
    <row r="25275">
      <c r="B25275" s="17" t="s">
        <v>477</v>
      </c>
      <c r="K25275" s="18" t="s">
        <v>477</v>
      </c>
    </row>
    <row r="25276">
      <c r="B25276" s="17" t="s">
        <v>477</v>
      </c>
      <c r="K25276" s="18" t="s">
        <v>477</v>
      </c>
    </row>
    <row r="25277">
      <c r="B25277" s="17" t="s">
        <v>477</v>
      </c>
      <c r="K25277" s="18" t="s">
        <v>477</v>
      </c>
    </row>
    <row r="25278">
      <c r="B25278" s="17" t="s">
        <v>477</v>
      </c>
      <c r="K25278" s="18" t="s">
        <v>477</v>
      </c>
    </row>
    <row r="25279">
      <c r="B25279" s="17" t="s">
        <v>477</v>
      </c>
      <c r="K25279" s="18" t="s">
        <v>477</v>
      </c>
    </row>
    <row r="25280">
      <c r="B25280" s="17" t="s">
        <v>477</v>
      </c>
      <c r="K25280" s="18" t="s">
        <v>477</v>
      </c>
    </row>
    <row r="25281">
      <c r="B25281" s="17" t="s">
        <v>477</v>
      </c>
      <c r="K25281" s="18" t="s">
        <v>477</v>
      </c>
    </row>
    <row r="25282">
      <c r="B25282" s="17" t="s">
        <v>477</v>
      </c>
      <c r="K25282" s="18" t="s">
        <v>477</v>
      </c>
    </row>
    <row r="25283">
      <c r="B25283" s="17" t="s">
        <v>477</v>
      </c>
      <c r="K25283" s="18" t="s">
        <v>477</v>
      </c>
    </row>
    <row r="25284">
      <c r="B25284" s="17" t="s">
        <v>477</v>
      </c>
      <c r="K25284" s="18" t="s">
        <v>477</v>
      </c>
    </row>
    <row r="25285">
      <c r="B25285" s="17" t="s">
        <v>477</v>
      </c>
      <c r="K25285" s="18" t="s">
        <v>477</v>
      </c>
    </row>
    <row r="25286">
      <c r="B25286" s="17" t="s">
        <v>477</v>
      </c>
      <c r="K25286" s="18" t="s">
        <v>477</v>
      </c>
    </row>
    <row r="25287">
      <c r="B25287" s="17" t="s">
        <v>477</v>
      </c>
      <c r="K25287" s="18" t="s">
        <v>477</v>
      </c>
    </row>
    <row r="25288">
      <c r="B25288" s="17" t="s">
        <v>477</v>
      </c>
      <c r="K25288" s="18" t="s">
        <v>477</v>
      </c>
    </row>
    <row r="25289">
      <c r="B25289" s="17" t="s">
        <v>477</v>
      </c>
      <c r="K25289" s="18" t="s">
        <v>477</v>
      </c>
    </row>
    <row r="25290">
      <c r="B25290" s="17" t="s">
        <v>477</v>
      </c>
      <c r="K25290" s="18" t="s">
        <v>477</v>
      </c>
    </row>
    <row r="25291">
      <c r="B25291" s="17" t="s">
        <v>477</v>
      </c>
      <c r="K25291" s="18" t="s">
        <v>477</v>
      </c>
    </row>
    <row r="25292">
      <c r="B25292" s="17" t="s">
        <v>477</v>
      </c>
      <c r="K25292" s="18" t="s">
        <v>477</v>
      </c>
    </row>
    <row r="25293">
      <c r="B25293" s="17" t="s">
        <v>477</v>
      </c>
      <c r="K25293" s="18" t="s">
        <v>477</v>
      </c>
    </row>
    <row r="25294">
      <c r="B25294" s="17" t="s">
        <v>477</v>
      </c>
      <c r="K25294" s="18" t="s">
        <v>477</v>
      </c>
    </row>
    <row r="25295">
      <c r="B25295" s="17" t="s">
        <v>477</v>
      </c>
      <c r="K25295" s="18" t="s">
        <v>477</v>
      </c>
    </row>
    <row r="25296">
      <c r="B25296" s="17" t="s">
        <v>477</v>
      </c>
      <c r="K25296" s="18" t="s">
        <v>477</v>
      </c>
    </row>
    <row r="25297">
      <c r="B25297" s="17" t="s">
        <v>477</v>
      </c>
      <c r="K25297" s="18" t="s">
        <v>477</v>
      </c>
    </row>
    <row r="25298">
      <c r="B25298" s="17" t="s">
        <v>477</v>
      </c>
      <c r="K25298" s="18" t="s">
        <v>477</v>
      </c>
    </row>
    <row r="25299">
      <c r="B25299" s="17" t="s">
        <v>477</v>
      </c>
      <c r="K25299" s="18" t="s">
        <v>477</v>
      </c>
    </row>
    <row r="25300">
      <c r="B25300" s="17" t="s">
        <v>477</v>
      </c>
      <c r="K25300" s="18" t="s">
        <v>477</v>
      </c>
    </row>
    <row r="25301">
      <c r="B25301" s="17" t="s">
        <v>477</v>
      </c>
      <c r="K25301" s="18" t="s">
        <v>477</v>
      </c>
    </row>
    <row r="25302">
      <c r="B25302" s="17" t="s">
        <v>477</v>
      </c>
      <c r="K25302" s="18" t="s">
        <v>477</v>
      </c>
    </row>
    <row r="25303">
      <c r="B25303" s="17" t="s">
        <v>477</v>
      </c>
      <c r="K25303" s="18" t="s">
        <v>477</v>
      </c>
    </row>
    <row r="25304">
      <c r="B25304" s="17" t="s">
        <v>477</v>
      </c>
      <c r="K25304" s="18" t="s">
        <v>477</v>
      </c>
    </row>
    <row r="25305">
      <c r="B25305" s="17" t="s">
        <v>477</v>
      </c>
      <c r="K25305" s="18" t="s">
        <v>477</v>
      </c>
    </row>
    <row r="25306">
      <c r="B25306" s="17" t="s">
        <v>477</v>
      </c>
      <c r="K25306" s="18" t="s">
        <v>477</v>
      </c>
    </row>
    <row r="25307">
      <c r="B25307" s="17" t="s">
        <v>477</v>
      </c>
      <c r="K25307" s="18" t="s">
        <v>477</v>
      </c>
    </row>
    <row r="25308">
      <c r="B25308" s="17" t="s">
        <v>477</v>
      </c>
      <c r="K25308" s="18" t="s">
        <v>477</v>
      </c>
    </row>
    <row r="25309">
      <c r="B25309" s="17" t="s">
        <v>477</v>
      </c>
      <c r="K25309" s="18" t="s">
        <v>477</v>
      </c>
    </row>
    <row r="25310">
      <c r="B25310" s="17" t="s">
        <v>477</v>
      </c>
      <c r="K25310" s="18" t="s">
        <v>477</v>
      </c>
    </row>
    <row r="25311">
      <c r="B25311" s="17" t="s">
        <v>477</v>
      </c>
      <c r="K25311" s="18" t="s">
        <v>477</v>
      </c>
    </row>
    <row r="25312">
      <c r="B25312" s="17" t="s">
        <v>477</v>
      </c>
      <c r="K25312" s="18" t="s">
        <v>477</v>
      </c>
    </row>
    <row r="25313">
      <c r="B25313" s="17" t="s">
        <v>477</v>
      </c>
      <c r="K25313" s="18" t="s">
        <v>477</v>
      </c>
    </row>
    <row r="25314">
      <c r="B25314" s="17" t="s">
        <v>477</v>
      </c>
      <c r="K25314" s="18" t="s">
        <v>477</v>
      </c>
    </row>
    <row r="25315">
      <c r="B25315" s="17" t="s">
        <v>477</v>
      </c>
      <c r="K25315" s="18" t="s">
        <v>477</v>
      </c>
    </row>
    <row r="25316">
      <c r="B25316" s="17" t="s">
        <v>477</v>
      </c>
      <c r="K25316" s="18" t="s">
        <v>477</v>
      </c>
    </row>
    <row r="25317">
      <c r="B25317" s="17" t="s">
        <v>477</v>
      </c>
      <c r="K25317" s="18" t="s">
        <v>477</v>
      </c>
    </row>
    <row r="25318">
      <c r="B25318" s="17" t="s">
        <v>477</v>
      </c>
      <c r="K25318" s="18" t="s">
        <v>477</v>
      </c>
    </row>
    <row r="25319">
      <c r="B25319" s="17" t="s">
        <v>477</v>
      </c>
      <c r="K25319" s="18" t="s">
        <v>477</v>
      </c>
    </row>
    <row r="25320">
      <c r="B25320" s="17" t="s">
        <v>477</v>
      </c>
      <c r="K25320" s="18" t="s">
        <v>477</v>
      </c>
    </row>
    <row r="25321">
      <c r="B25321" s="17" t="s">
        <v>477</v>
      </c>
      <c r="K25321" s="18" t="s">
        <v>477</v>
      </c>
    </row>
    <row r="25322">
      <c r="B25322" s="17" t="s">
        <v>477</v>
      </c>
      <c r="K25322" s="18" t="s">
        <v>477</v>
      </c>
    </row>
    <row r="25323">
      <c r="B25323" s="17" t="s">
        <v>477</v>
      </c>
      <c r="K25323" s="18" t="s">
        <v>477</v>
      </c>
    </row>
    <row r="25324">
      <c r="B25324" s="17" t="s">
        <v>477</v>
      </c>
      <c r="K25324" s="18" t="s">
        <v>477</v>
      </c>
    </row>
    <row r="25325">
      <c r="B25325" s="17" t="s">
        <v>477</v>
      </c>
      <c r="K25325" s="18" t="s">
        <v>477</v>
      </c>
    </row>
    <row r="25326">
      <c r="B25326" s="17" t="s">
        <v>477</v>
      </c>
      <c r="K25326" s="18" t="s">
        <v>477</v>
      </c>
    </row>
    <row r="25327">
      <c r="B25327" s="17" t="s">
        <v>477</v>
      </c>
      <c r="K25327" s="18" t="s">
        <v>477</v>
      </c>
    </row>
    <row r="25328">
      <c r="B25328" s="17" t="s">
        <v>477</v>
      </c>
      <c r="K25328" s="18" t="s">
        <v>477</v>
      </c>
    </row>
    <row r="25329">
      <c r="B25329" s="17" t="s">
        <v>477</v>
      </c>
      <c r="K25329" s="18" t="s">
        <v>477</v>
      </c>
    </row>
    <row r="25330">
      <c r="B25330" s="17" t="s">
        <v>477</v>
      </c>
      <c r="K25330" s="18" t="s">
        <v>477</v>
      </c>
    </row>
    <row r="25331">
      <c r="B25331" s="17" t="s">
        <v>477</v>
      </c>
      <c r="K25331" s="18" t="s">
        <v>477</v>
      </c>
    </row>
    <row r="25332">
      <c r="B25332" s="17" t="s">
        <v>477</v>
      </c>
      <c r="K25332" s="18" t="s">
        <v>477</v>
      </c>
    </row>
    <row r="25333">
      <c r="B25333" s="17" t="s">
        <v>477</v>
      </c>
      <c r="K25333" s="18" t="s">
        <v>477</v>
      </c>
    </row>
    <row r="25334">
      <c r="B25334" s="17" t="s">
        <v>477</v>
      </c>
      <c r="K25334" s="18" t="s">
        <v>477</v>
      </c>
    </row>
    <row r="25335">
      <c r="B25335" s="17" t="s">
        <v>477</v>
      </c>
      <c r="K25335" s="18" t="s">
        <v>477</v>
      </c>
    </row>
    <row r="25336">
      <c r="B25336" s="17" t="s">
        <v>477</v>
      </c>
      <c r="K25336" s="18" t="s">
        <v>477</v>
      </c>
    </row>
    <row r="25337">
      <c r="B25337" s="17" t="s">
        <v>477</v>
      </c>
      <c r="K25337" s="18" t="s">
        <v>477</v>
      </c>
    </row>
    <row r="25338">
      <c r="B25338" s="17" t="s">
        <v>477</v>
      </c>
      <c r="K25338" s="18" t="s">
        <v>477</v>
      </c>
    </row>
    <row r="25339">
      <c r="B25339" s="17" t="s">
        <v>477</v>
      </c>
      <c r="K25339" s="18" t="s">
        <v>477</v>
      </c>
    </row>
    <row r="25340">
      <c r="B25340" s="17" t="s">
        <v>477</v>
      </c>
      <c r="K25340" s="18" t="s">
        <v>477</v>
      </c>
    </row>
    <row r="25341">
      <c r="B25341" s="17" t="s">
        <v>477</v>
      </c>
      <c r="K25341" s="18" t="s">
        <v>477</v>
      </c>
    </row>
    <row r="25342">
      <c r="B25342" s="17" t="s">
        <v>477</v>
      </c>
      <c r="K25342" s="18" t="s">
        <v>477</v>
      </c>
    </row>
    <row r="25343">
      <c r="B25343" s="17" t="s">
        <v>477</v>
      </c>
      <c r="K25343" s="18" t="s">
        <v>477</v>
      </c>
    </row>
    <row r="25344">
      <c r="B25344" s="17" t="s">
        <v>477</v>
      </c>
      <c r="K25344" s="18" t="s">
        <v>477</v>
      </c>
    </row>
    <row r="25345">
      <c r="B25345" s="17" t="s">
        <v>477</v>
      </c>
      <c r="K25345" s="18" t="s">
        <v>477</v>
      </c>
    </row>
    <row r="25346">
      <c r="B25346" s="17" t="s">
        <v>477</v>
      </c>
      <c r="K25346" s="18" t="s">
        <v>477</v>
      </c>
    </row>
    <row r="25347">
      <c r="B25347" s="17" t="s">
        <v>477</v>
      </c>
      <c r="K25347" s="18" t="s">
        <v>477</v>
      </c>
    </row>
    <row r="25348">
      <c r="B25348" s="17" t="s">
        <v>477</v>
      </c>
      <c r="K25348" s="18" t="s">
        <v>477</v>
      </c>
    </row>
    <row r="25349">
      <c r="B25349" s="17" t="s">
        <v>477</v>
      </c>
      <c r="K25349" s="18" t="s">
        <v>477</v>
      </c>
    </row>
    <row r="25350">
      <c r="B25350" s="17" t="s">
        <v>477</v>
      </c>
      <c r="K25350" s="18" t="s">
        <v>477</v>
      </c>
    </row>
    <row r="25351">
      <c r="B25351" s="17" t="s">
        <v>477</v>
      </c>
      <c r="K25351" s="18" t="s">
        <v>477</v>
      </c>
    </row>
    <row r="25352">
      <c r="B25352" s="17" t="s">
        <v>477</v>
      </c>
      <c r="K25352" s="18" t="s">
        <v>477</v>
      </c>
    </row>
    <row r="25353">
      <c r="B25353" s="17" t="s">
        <v>477</v>
      </c>
      <c r="K25353" s="18" t="s">
        <v>477</v>
      </c>
    </row>
    <row r="25354">
      <c r="B25354" s="17" t="s">
        <v>477</v>
      </c>
      <c r="K25354" s="18" t="s">
        <v>477</v>
      </c>
    </row>
    <row r="25355">
      <c r="B25355" s="17" t="s">
        <v>477</v>
      </c>
      <c r="K25355" s="18" t="s">
        <v>477</v>
      </c>
    </row>
    <row r="25356">
      <c r="B25356" s="17" t="s">
        <v>477</v>
      </c>
      <c r="K25356" s="18" t="s">
        <v>477</v>
      </c>
    </row>
    <row r="25357">
      <c r="B25357" s="17" t="s">
        <v>477</v>
      </c>
      <c r="K25357" s="18" t="s">
        <v>477</v>
      </c>
    </row>
    <row r="25358">
      <c r="B25358" s="17" t="s">
        <v>477</v>
      </c>
      <c r="K25358" s="18" t="s">
        <v>477</v>
      </c>
    </row>
    <row r="25359">
      <c r="B25359" s="17" t="s">
        <v>477</v>
      </c>
      <c r="K25359" s="18" t="s">
        <v>477</v>
      </c>
    </row>
    <row r="25360">
      <c r="B25360" s="17" t="s">
        <v>477</v>
      </c>
      <c r="K25360" s="18" t="s">
        <v>477</v>
      </c>
    </row>
    <row r="25361">
      <c r="B25361" s="17" t="s">
        <v>477</v>
      </c>
      <c r="K25361" s="18" t="s">
        <v>477</v>
      </c>
    </row>
    <row r="25362">
      <c r="B25362" s="17" t="s">
        <v>477</v>
      </c>
      <c r="K25362" s="18" t="s">
        <v>477</v>
      </c>
    </row>
    <row r="25363">
      <c r="B25363" s="17" t="s">
        <v>477</v>
      </c>
      <c r="K25363" s="18" t="s">
        <v>477</v>
      </c>
    </row>
    <row r="25364">
      <c r="B25364" s="17" t="s">
        <v>477</v>
      </c>
      <c r="K25364" s="18" t="s">
        <v>477</v>
      </c>
    </row>
    <row r="25365">
      <c r="B25365" s="17" t="s">
        <v>477</v>
      </c>
      <c r="K25365" s="18" t="s">
        <v>477</v>
      </c>
    </row>
    <row r="25366">
      <c r="B25366" s="17" t="s">
        <v>477</v>
      </c>
      <c r="K25366" s="18" t="s">
        <v>477</v>
      </c>
    </row>
    <row r="25367">
      <c r="B25367" s="17" t="s">
        <v>477</v>
      </c>
      <c r="K25367" s="18" t="s">
        <v>477</v>
      </c>
    </row>
    <row r="25368">
      <c r="B25368" s="17" t="s">
        <v>477</v>
      </c>
      <c r="K25368" s="18" t="s">
        <v>477</v>
      </c>
    </row>
    <row r="25369">
      <c r="B25369" s="17" t="s">
        <v>477</v>
      </c>
      <c r="K25369" s="18" t="s">
        <v>477</v>
      </c>
    </row>
    <row r="25370">
      <c r="B25370" s="17" t="s">
        <v>477</v>
      </c>
      <c r="K25370" s="18" t="s">
        <v>477</v>
      </c>
    </row>
    <row r="25371">
      <c r="B25371" s="17" t="s">
        <v>477</v>
      </c>
      <c r="K25371" s="18" t="s">
        <v>477</v>
      </c>
    </row>
    <row r="25372">
      <c r="B25372" s="17" t="s">
        <v>477</v>
      </c>
      <c r="K25372" s="18" t="s">
        <v>477</v>
      </c>
    </row>
    <row r="25373">
      <c r="B25373" s="17" t="s">
        <v>477</v>
      </c>
      <c r="K25373" s="18" t="s">
        <v>477</v>
      </c>
    </row>
    <row r="25374">
      <c r="B25374" s="17" t="s">
        <v>477</v>
      </c>
      <c r="K25374" s="18" t="s">
        <v>477</v>
      </c>
    </row>
    <row r="25375">
      <c r="B25375" s="17" t="s">
        <v>477</v>
      </c>
      <c r="K25375" s="18" t="s">
        <v>477</v>
      </c>
    </row>
    <row r="25376">
      <c r="B25376" s="17" t="s">
        <v>477</v>
      </c>
      <c r="K25376" s="18" t="s">
        <v>477</v>
      </c>
    </row>
    <row r="25377">
      <c r="B25377" s="17" t="s">
        <v>477</v>
      </c>
      <c r="K25377" s="18" t="s">
        <v>477</v>
      </c>
    </row>
    <row r="25378">
      <c r="B25378" s="17" t="s">
        <v>477</v>
      </c>
      <c r="K25378" s="18" t="s">
        <v>477</v>
      </c>
    </row>
    <row r="25379">
      <c r="B25379" s="17" t="s">
        <v>477</v>
      </c>
      <c r="K25379" s="18" t="s">
        <v>477</v>
      </c>
    </row>
    <row r="25380">
      <c r="B25380" s="17" t="s">
        <v>477</v>
      </c>
      <c r="K25380" s="18" t="s">
        <v>477</v>
      </c>
    </row>
    <row r="25381">
      <c r="B25381" s="17" t="s">
        <v>477</v>
      </c>
      <c r="K25381" s="18" t="s">
        <v>477</v>
      </c>
    </row>
    <row r="25382">
      <c r="B25382" s="17" t="s">
        <v>477</v>
      </c>
      <c r="K25382" s="18" t="s">
        <v>477</v>
      </c>
    </row>
    <row r="25383">
      <c r="B25383" s="17" t="s">
        <v>477</v>
      </c>
      <c r="K25383" s="18" t="s">
        <v>477</v>
      </c>
    </row>
    <row r="25384">
      <c r="B25384" s="17" t="s">
        <v>477</v>
      </c>
      <c r="K25384" s="18" t="s">
        <v>477</v>
      </c>
    </row>
    <row r="25385">
      <c r="B25385" s="17" t="s">
        <v>477</v>
      </c>
      <c r="K25385" s="18" t="s">
        <v>477</v>
      </c>
    </row>
    <row r="25386">
      <c r="B25386" s="17" t="s">
        <v>477</v>
      </c>
      <c r="K25386" s="18" t="s">
        <v>477</v>
      </c>
    </row>
    <row r="25387">
      <c r="B25387" s="17" t="s">
        <v>477</v>
      </c>
      <c r="K25387" s="18" t="s">
        <v>477</v>
      </c>
    </row>
    <row r="25388">
      <c r="B25388" s="17" t="s">
        <v>477</v>
      </c>
      <c r="K25388" s="18" t="s">
        <v>477</v>
      </c>
    </row>
    <row r="25389">
      <c r="B25389" s="17" t="s">
        <v>477</v>
      </c>
      <c r="K25389" s="18" t="s">
        <v>477</v>
      </c>
    </row>
    <row r="25390">
      <c r="B25390" s="17" t="s">
        <v>477</v>
      </c>
      <c r="K25390" s="18" t="s">
        <v>477</v>
      </c>
    </row>
    <row r="25391">
      <c r="B25391" s="17" t="s">
        <v>477</v>
      </c>
      <c r="K25391" s="18" t="s">
        <v>477</v>
      </c>
    </row>
    <row r="25392">
      <c r="B25392" s="17" t="s">
        <v>477</v>
      </c>
      <c r="K25392" s="18" t="s">
        <v>477</v>
      </c>
    </row>
    <row r="25393">
      <c r="B25393" s="17" t="s">
        <v>477</v>
      </c>
      <c r="K25393" s="18" t="s">
        <v>477</v>
      </c>
    </row>
    <row r="25394">
      <c r="B25394" s="17" t="s">
        <v>477</v>
      </c>
      <c r="K25394" s="18" t="s">
        <v>477</v>
      </c>
    </row>
    <row r="25395">
      <c r="B25395" s="17" t="s">
        <v>477</v>
      </c>
      <c r="K25395" s="18" t="s">
        <v>477</v>
      </c>
    </row>
    <row r="25396">
      <c r="B25396" s="17" t="s">
        <v>477</v>
      </c>
      <c r="K25396" s="18" t="s">
        <v>477</v>
      </c>
    </row>
    <row r="25397">
      <c r="B25397" s="17" t="s">
        <v>477</v>
      </c>
      <c r="K25397" s="18" t="s">
        <v>477</v>
      </c>
    </row>
    <row r="25398">
      <c r="B25398" s="17" t="s">
        <v>477</v>
      </c>
      <c r="K25398" s="18" t="s">
        <v>477</v>
      </c>
    </row>
    <row r="25399">
      <c r="B25399" s="17" t="s">
        <v>477</v>
      </c>
      <c r="K25399" s="18" t="s">
        <v>477</v>
      </c>
    </row>
    <row r="25400">
      <c r="B25400" s="17" t="s">
        <v>477</v>
      </c>
      <c r="K25400" s="18" t="s">
        <v>477</v>
      </c>
    </row>
    <row r="25401">
      <c r="B25401" s="17" t="s">
        <v>477</v>
      </c>
      <c r="K25401" s="18" t="s">
        <v>477</v>
      </c>
    </row>
    <row r="25402">
      <c r="B25402" s="17" t="s">
        <v>477</v>
      </c>
      <c r="K25402" s="18" t="s">
        <v>477</v>
      </c>
    </row>
    <row r="25403">
      <c r="B25403" s="17" t="s">
        <v>477</v>
      </c>
      <c r="K25403" s="18" t="s">
        <v>477</v>
      </c>
    </row>
    <row r="25404">
      <c r="B25404" s="17" t="s">
        <v>477</v>
      </c>
      <c r="K25404" s="18" t="s">
        <v>477</v>
      </c>
    </row>
    <row r="25405">
      <c r="B25405" s="17" t="s">
        <v>477</v>
      </c>
      <c r="K25405" s="18" t="s">
        <v>477</v>
      </c>
    </row>
    <row r="25406">
      <c r="B25406" s="17" t="s">
        <v>477</v>
      </c>
      <c r="K25406" s="18" t="s">
        <v>477</v>
      </c>
    </row>
    <row r="25407">
      <c r="B25407" s="17" t="s">
        <v>477</v>
      </c>
      <c r="K25407" s="18" t="s">
        <v>477</v>
      </c>
    </row>
    <row r="25408">
      <c r="B25408" s="17" t="s">
        <v>477</v>
      </c>
      <c r="K25408" s="18" t="s">
        <v>477</v>
      </c>
    </row>
    <row r="25409">
      <c r="B25409" s="17" t="s">
        <v>477</v>
      </c>
      <c r="K25409" s="18" t="s">
        <v>477</v>
      </c>
    </row>
    <row r="25410">
      <c r="B25410" s="17" t="s">
        <v>477</v>
      </c>
      <c r="K25410" s="18" t="s">
        <v>477</v>
      </c>
    </row>
    <row r="25411">
      <c r="B25411" s="17" t="s">
        <v>477</v>
      </c>
      <c r="K25411" s="18" t="s">
        <v>477</v>
      </c>
    </row>
    <row r="25412">
      <c r="B25412" s="17" t="s">
        <v>477</v>
      </c>
      <c r="K25412" s="18" t="s">
        <v>477</v>
      </c>
    </row>
    <row r="25413">
      <c r="B25413" s="17" t="s">
        <v>477</v>
      </c>
      <c r="K25413" s="18" t="s">
        <v>477</v>
      </c>
    </row>
    <row r="25414">
      <c r="B25414" s="17" t="s">
        <v>477</v>
      </c>
      <c r="K25414" s="18" t="s">
        <v>477</v>
      </c>
    </row>
    <row r="25415">
      <c r="B25415" s="17" t="s">
        <v>477</v>
      </c>
      <c r="K25415" s="18" t="s">
        <v>477</v>
      </c>
    </row>
    <row r="25416">
      <c r="B25416" s="17" t="s">
        <v>477</v>
      </c>
      <c r="K25416" s="18" t="s">
        <v>477</v>
      </c>
    </row>
    <row r="25417">
      <c r="B25417" s="17" t="s">
        <v>477</v>
      </c>
      <c r="K25417" s="18" t="s">
        <v>477</v>
      </c>
    </row>
    <row r="25418">
      <c r="B25418" s="17" t="s">
        <v>477</v>
      </c>
      <c r="K25418" s="18" t="s">
        <v>477</v>
      </c>
    </row>
    <row r="25419">
      <c r="B25419" s="17" t="s">
        <v>477</v>
      </c>
      <c r="K25419" s="18" t="s">
        <v>477</v>
      </c>
    </row>
    <row r="25420">
      <c r="B25420" s="17" t="s">
        <v>477</v>
      </c>
      <c r="K25420" s="18" t="s">
        <v>477</v>
      </c>
    </row>
    <row r="25421">
      <c r="B25421" s="17" t="s">
        <v>477</v>
      </c>
      <c r="K25421" s="18" t="s">
        <v>477</v>
      </c>
    </row>
    <row r="25422">
      <c r="B25422" s="17" t="s">
        <v>477</v>
      </c>
      <c r="K25422" s="18" t="s">
        <v>477</v>
      </c>
    </row>
    <row r="25423">
      <c r="B25423" s="17" t="s">
        <v>477</v>
      </c>
      <c r="K25423" s="18" t="s">
        <v>477</v>
      </c>
    </row>
    <row r="25424">
      <c r="B25424" s="17" t="s">
        <v>477</v>
      </c>
      <c r="K25424" s="18" t="s">
        <v>477</v>
      </c>
    </row>
    <row r="25425">
      <c r="B25425" s="17" t="s">
        <v>477</v>
      </c>
      <c r="K25425" s="18" t="s">
        <v>477</v>
      </c>
    </row>
    <row r="25426">
      <c r="B25426" s="17" t="s">
        <v>477</v>
      </c>
      <c r="K25426" s="18" t="s">
        <v>477</v>
      </c>
    </row>
    <row r="25427">
      <c r="B25427" s="17" t="s">
        <v>477</v>
      </c>
      <c r="K25427" s="18" t="s">
        <v>477</v>
      </c>
    </row>
    <row r="25428">
      <c r="B25428" s="17" t="s">
        <v>477</v>
      </c>
      <c r="K25428" s="18" t="s">
        <v>477</v>
      </c>
    </row>
    <row r="25429">
      <c r="B25429" s="17" t="s">
        <v>477</v>
      </c>
      <c r="K25429" s="18" t="s">
        <v>477</v>
      </c>
    </row>
    <row r="25430">
      <c r="B25430" s="17" t="s">
        <v>477</v>
      </c>
      <c r="K25430" s="18" t="s">
        <v>477</v>
      </c>
    </row>
    <row r="25431">
      <c r="B25431" s="17" t="s">
        <v>477</v>
      </c>
      <c r="K25431" s="18" t="s">
        <v>477</v>
      </c>
    </row>
    <row r="25432">
      <c r="B25432" s="17" t="s">
        <v>477</v>
      </c>
      <c r="K25432" s="18" t="s">
        <v>477</v>
      </c>
    </row>
    <row r="25433">
      <c r="B25433" s="17" t="s">
        <v>477</v>
      </c>
      <c r="K25433" s="18" t="s">
        <v>477</v>
      </c>
    </row>
    <row r="25434">
      <c r="B25434" s="17" t="s">
        <v>477</v>
      </c>
      <c r="K25434" s="18" t="s">
        <v>477</v>
      </c>
    </row>
    <row r="25435">
      <c r="B25435" s="17" t="s">
        <v>477</v>
      </c>
      <c r="K25435" s="18" t="s">
        <v>477</v>
      </c>
    </row>
    <row r="25436">
      <c r="B25436" s="17" t="s">
        <v>477</v>
      </c>
      <c r="K25436" s="18" t="s">
        <v>477</v>
      </c>
    </row>
    <row r="25437">
      <c r="B25437" s="17" t="s">
        <v>477</v>
      </c>
      <c r="K25437" s="18" t="s">
        <v>477</v>
      </c>
    </row>
    <row r="25438">
      <c r="B25438" s="17" t="s">
        <v>477</v>
      </c>
      <c r="K25438" s="18" t="s">
        <v>477</v>
      </c>
    </row>
    <row r="25439">
      <c r="B25439" s="17" t="s">
        <v>477</v>
      </c>
      <c r="K25439" s="18" t="s">
        <v>477</v>
      </c>
    </row>
    <row r="25440">
      <c r="B25440" s="17" t="s">
        <v>477</v>
      </c>
      <c r="K25440" s="18" t="s">
        <v>477</v>
      </c>
    </row>
    <row r="25441">
      <c r="B25441" s="17" t="s">
        <v>477</v>
      </c>
      <c r="K25441" s="18" t="s">
        <v>477</v>
      </c>
    </row>
    <row r="25442">
      <c r="B25442" s="17" t="s">
        <v>477</v>
      </c>
      <c r="K25442" s="18" t="s">
        <v>477</v>
      </c>
    </row>
    <row r="25443">
      <c r="B25443" s="17" t="s">
        <v>477</v>
      </c>
      <c r="K25443" s="18" t="s">
        <v>477</v>
      </c>
    </row>
    <row r="25444">
      <c r="B25444" s="17" t="s">
        <v>477</v>
      </c>
      <c r="K25444" s="18" t="s">
        <v>477</v>
      </c>
    </row>
    <row r="25445">
      <c r="B25445" s="17" t="s">
        <v>477</v>
      </c>
      <c r="K25445" s="18" t="s">
        <v>477</v>
      </c>
    </row>
    <row r="25446">
      <c r="B25446" s="17" t="s">
        <v>477</v>
      </c>
      <c r="K25446" s="18" t="s">
        <v>477</v>
      </c>
    </row>
    <row r="25447">
      <c r="B25447" s="17" t="s">
        <v>477</v>
      </c>
      <c r="K25447" s="18" t="s">
        <v>477</v>
      </c>
    </row>
    <row r="25448">
      <c r="B25448" s="17" t="s">
        <v>477</v>
      </c>
      <c r="K25448" s="18" t="s">
        <v>477</v>
      </c>
    </row>
    <row r="25449">
      <c r="B25449" s="17" t="s">
        <v>477</v>
      </c>
      <c r="K25449" s="18" t="s">
        <v>477</v>
      </c>
    </row>
    <row r="25450">
      <c r="B25450" s="17" t="s">
        <v>477</v>
      </c>
      <c r="K25450" s="18" t="s">
        <v>477</v>
      </c>
    </row>
    <row r="25451">
      <c r="B25451" s="17" t="s">
        <v>477</v>
      </c>
      <c r="K25451" s="18" t="s">
        <v>477</v>
      </c>
    </row>
    <row r="25452">
      <c r="B25452" s="17" t="s">
        <v>477</v>
      </c>
      <c r="K25452" s="18" t="s">
        <v>477</v>
      </c>
    </row>
    <row r="25453">
      <c r="B25453" s="17" t="s">
        <v>477</v>
      </c>
      <c r="K25453" s="18" t="s">
        <v>477</v>
      </c>
    </row>
    <row r="25454">
      <c r="B25454" s="17" t="s">
        <v>477</v>
      </c>
      <c r="K25454" s="18" t="s">
        <v>477</v>
      </c>
    </row>
    <row r="25455">
      <c r="B25455" s="17" t="s">
        <v>477</v>
      </c>
      <c r="K25455" s="18" t="s">
        <v>477</v>
      </c>
    </row>
    <row r="25456">
      <c r="B25456" s="17" t="s">
        <v>477</v>
      </c>
      <c r="K25456" s="18" t="s">
        <v>477</v>
      </c>
    </row>
    <row r="25457">
      <c r="B25457" s="17" t="s">
        <v>477</v>
      </c>
      <c r="K25457" s="18" t="s">
        <v>477</v>
      </c>
    </row>
    <row r="25458">
      <c r="B25458" s="17" t="s">
        <v>477</v>
      </c>
      <c r="K25458" s="18" t="s">
        <v>477</v>
      </c>
    </row>
    <row r="25459">
      <c r="B25459" s="17" t="s">
        <v>477</v>
      </c>
      <c r="K25459" s="18" t="s">
        <v>477</v>
      </c>
    </row>
    <row r="25460">
      <c r="B25460" s="17" t="s">
        <v>477</v>
      </c>
      <c r="K25460" s="18" t="s">
        <v>477</v>
      </c>
    </row>
    <row r="25461">
      <c r="B25461" s="17" t="s">
        <v>477</v>
      </c>
      <c r="K25461" s="18" t="s">
        <v>477</v>
      </c>
    </row>
    <row r="25462">
      <c r="B25462" s="17" t="s">
        <v>477</v>
      </c>
      <c r="K25462" s="18" t="s">
        <v>477</v>
      </c>
    </row>
    <row r="25463">
      <c r="B25463" s="17" t="s">
        <v>477</v>
      </c>
      <c r="K25463" s="18" t="s">
        <v>477</v>
      </c>
    </row>
    <row r="25464">
      <c r="B25464" s="17" t="s">
        <v>477</v>
      </c>
      <c r="K25464" s="18" t="s">
        <v>477</v>
      </c>
    </row>
    <row r="25465">
      <c r="B25465" s="17" t="s">
        <v>477</v>
      </c>
      <c r="K25465" s="18" t="s">
        <v>477</v>
      </c>
    </row>
    <row r="25466">
      <c r="B25466" s="17" t="s">
        <v>477</v>
      </c>
      <c r="K25466" s="18" t="s">
        <v>477</v>
      </c>
    </row>
    <row r="25467">
      <c r="B25467" s="17" t="s">
        <v>477</v>
      </c>
      <c r="K25467" s="18" t="s">
        <v>477</v>
      </c>
    </row>
    <row r="25468">
      <c r="B25468" s="17" t="s">
        <v>477</v>
      </c>
      <c r="K25468" s="18" t="s">
        <v>477</v>
      </c>
    </row>
    <row r="25469">
      <c r="B25469" s="17" t="s">
        <v>477</v>
      </c>
      <c r="K25469" s="18" t="s">
        <v>477</v>
      </c>
    </row>
    <row r="25470">
      <c r="B25470" s="17" t="s">
        <v>477</v>
      </c>
      <c r="K25470" s="18" t="s">
        <v>477</v>
      </c>
    </row>
    <row r="25471">
      <c r="B25471" s="17" t="s">
        <v>477</v>
      </c>
      <c r="K25471" s="18" t="s">
        <v>477</v>
      </c>
    </row>
    <row r="25472">
      <c r="B25472" s="17" t="s">
        <v>477</v>
      </c>
      <c r="K25472" s="18" t="s">
        <v>477</v>
      </c>
    </row>
    <row r="25473">
      <c r="B25473" s="17" t="s">
        <v>477</v>
      </c>
      <c r="K25473" s="18" t="s">
        <v>477</v>
      </c>
    </row>
    <row r="25474">
      <c r="B25474" s="17" t="s">
        <v>477</v>
      </c>
      <c r="K25474" s="18" t="s">
        <v>477</v>
      </c>
    </row>
    <row r="25475">
      <c r="B25475" s="17" t="s">
        <v>477</v>
      </c>
      <c r="K25475" s="18" t="s">
        <v>477</v>
      </c>
    </row>
    <row r="25476">
      <c r="B25476" s="17" t="s">
        <v>477</v>
      </c>
      <c r="K25476" s="18" t="s">
        <v>477</v>
      </c>
    </row>
    <row r="25477">
      <c r="B25477" s="17" t="s">
        <v>477</v>
      </c>
      <c r="K25477" s="18" t="s">
        <v>477</v>
      </c>
    </row>
    <row r="25478">
      <c r="B25478" s="17" t="s">
        <v>477</v>
      </c>
      <c r="K25478" s="18" t="s">
        <v>477</v>
      </c>
    </row>
    <row r="25479">
      <c r="B25479" s="17" t="s">
        <v>477</v>
      </c>
      <c r="K25479" s="18" t="s">
        <v>477</v>
      </c>
    </row>
    <row r="25480">
      <c r="B25480" s="17" t="s">
        <v>477</v>
      </c>
      <c r="K25480" s="18" t="s">
        <v>477</v>
      </c>
    </row>
    <row r="25481">
      <c r="B25481" s="17" t="s">
        <v>477</v>
      </c>
      <c r="K25481" s="18" t="s">
        <v>477</v>
      </c>
    </row>
    <row r="25482">
      <c r="B25482" s="17" t="s">
        <v>477</v>
      </c>
      <c r="K25482" s="18" t="s">
        <v>477</v>
      </c>
    </row>
    <row r="25483">
      <c r="B25483" s="17" t="s">
        <v>477</v>
      </c>
      <c r="K25483" s="18" t="s">
        <v>477</v>
      </c>
    </row>
    <row r="25484">
      <c r="B25484" s="17" t="s">
        <v>477</v>
      </c>
      <c r="K25484" s="18" t="s">
        <v>477</v>
      </c>
    </row>
    <row r="25485">
      <c r="B25485" s="17" t="s">
        <v>477</v>
      </c>
      <c r="K25485" s="18" t="s">
        <v>477</v>
      </c>
    </row>
    <row r="25486">
      <c r="B25486" s="17" t="s">
        <v>477</v>
      </c>
      <c r="K25486" s="18" t="s">
        <v>477</v>
      </c>
    </row>
    <row r="25487">
      <c r="B25487" s="17" t="s">
        <v>477</v>
      </c>
      <c r="K25487" s="18" t="s">
        <v>477</v>
      </c>
    </row>
    <row r="25488">
      <c r="B25488" s="17" t="s">
        <v>477</v>
      </c>
      <c r="K25488" s="18" t="s">
        <v>477</v>
      </c>
    </row>
    <row r="25489">
      <c r="B25489" s="17" t="s">
        <v>477</v>
      </c>
      <c r="K25489" s="18" t="s">
        <v>477</v>
      </c>
    </row>
    <row r="25490">
      <c r="B25490" s="17" t="s">
        <v>477</v>
      </c>
      <c r="K25490" s="18" t="s">
        <v>477</v>
      </c>
    </row>
    <row r="25491">
      <c r="B25491" s="17" t="s">
        <v>477</v>
      </c>
      <c r="K25491" s="18" t="s">
        <v>477</v>
      </c>
    </row>
    <row r="25492">
      <c r="B25492" s="17" t="s">
        <v>477</v>
      </c>
      <c r="K25492" s="18" t="s">
        <v>477</v>
      </c>
    </row>
    <row r="25493">
      <c r="B25493" s="17" t="s">
        <v>477</v>
      </c>
      <c r="K25493" s="18" t="s">
        <v>477</v>
      </c>
    </row>
    <row r="25494">
      <c r="B25494" s="17" t="s">
        <v>477</v>
      </c>
      <c r="K25494" s="18" t="s">
        <v>477</v>
      </c>
    </row>
    <row r="25495">
      <c r="B25495" s="17" t="s">
        <v>477</v>
      </c>
      <c r="K25495" s="18" t="s">
        <v>477</v>
      </c>
    </row>
    <row r="25496">
      <c r="B25496" s="17" t="s">
        <v>477</v>
      </c>
      <c r="K25496" s="18" t="s">
        <v>477</v>
      </c>
    </row>
    <row r="25497">
      <c r="B25497" s="17" t="s">
        <v>477</v>
      </c>
      <c r="K25497" s="18" t="s">
        <v>477</v>
      </c>
    </row>
    <row r="25498">
      <c r="B25498" s="17" t="s">
        <v>477</v>
      </c>
      <c r="K25498" s="18" t="s">
        <v>477</v>
      </c>
    </row>
    <row r="25499">
      <c r="B25499" s="17" t="s">
        <v>477</v>
      </c>
      <c r="K25499" s="18" t="s">
        <v>477</v>
      </c>
    </row>
    <row r="25500">
      <c r="B25500" s="17" t="s">
        <v>477</v>
      </c>
      <c r="K25500" s="18" t="s">
        <v>477</v>
      </c>
    </row>
    <row r="25501">
      <c r="B25501" s="17" t="s">
        <v>477</v>
      </c>
      <c r="K25501" s="18" t="s">
        <v>477</v>
      </c>
    </row>
    <row r="25502">
      <c r="B25502" s="17" t="s">
        <v>477</v>
      </c>
      <c r="K25502" s="18" t="s">
        <v>477</v>
      </c>
    </row>
    <row r="25503">
      <c r="B25503" s="17" t="s">
        <v>477</v>
      </c>
      <c r="K25503" s="18" t="s">
        <v>477</v>
      </c>
    </row>
    <row r="25504">
      <c r="B25504" s="17" t="s">
        <v>477</v>
      </c>
      <c r="K25504" s="18" t="s">
        <v>477</v>
      </c>
    </row>
    <row r="25505">
      <c r="B25505" s="17" t="s">
        <v>477</v>
      </c>
      <c r="K25505" s="18" t="s">
        <v>477</v>
      </c>
    </row>
    <row r="25506">
      <c r="B25506" s="17" t="s">
        <v>477</v>
      </c>
      <c r="K25506" s="18" t="s">
        <v>477</v>
      </c>
    </row>
    <row r="25507">
      <c r="B25507" s="17" t="s">
        <v>477</v>
      </c>
      <c r="K25507" s="18" t="s">
        <v>477</v>
      </c>
    </row>
    <row r="25508">
      <c r="B25508" s="17" t="s">
        <v>477</v>
      </c>
      <c r="K25508" s="18" t="s">
        <v>477</v>
      </c>
    </row>
    <row r="25509">
      <c r="B25509" s="17" t="s">
        <v>477</v>
      </c>
      <c r="K25509" s="18" t="s">
        <v>477</v>
      </c>
    </row>
    <row r="25510">
      <c r="B25510" s="17" t="s">
        <v>477</v>
      </c>
      <c r="K25510" s="18" t="s">
        <v>477</v>
      </c>
    </row>
    <row r="25511">
      <c r="B25511" s="17" t="s">
        <v>477</v>
      </c>
      <c r="K25511" s="18" t="s">
        <v>477</v>
      </c>
    </row>
    <row r="25512">
      <c r="B25512" s="17" t="s">
        <v>477</v>
      </c>
      <c r="K25512" s="18" t="s">
        <v>477</v>
      </c>
    </row>
    <row r="25513">
      <c r="B25513" s="17" t="s">
        <v>477</v>
      </c>
      <c r="K25513" s="18" t="s">
        <v>477</v>
      </c>
    </row>
    <row r="25514">
      <c r="B25514" s="17" t="s">
        <v>477</v>
      </c>
      <c r="K25514" s="18" t="s">
        <v>477</v>
      </c>
    </row>
    <row r="25515">
      <c r="B25515" s="17" t="s">
        <v>477</v>
      </c>
      <c r="K25515" s="18" t="s">
        <v>477</v>
      </c>
    </row>
    <row r="25516">
      <c r="B25516" s="17" t="s">
        <v>477</v>
      </c>
      <c r="K25516" s="18" t="s">
        <v>477</v>
      </c>
    </row>
    <row r="25517">
      <c r="B25517" s="17" t="s">
        <v>477</v>
      </c>
      <c r="K25517" s="18" t="s">
        <v>477</v>
      </c>
    </row>
    <row r="25518">
      <c r="B25518" s="17" t="s">
        <v>477</v>
      </c>
      <c r="K25518" s="18" t="s">
        <v>477</v>
      </c>
    </row>
    <row r="25519">
      <c r="B25519" s="17" t="s">
        <v>477</v>
      </c>
      <c r="K25519" s="18" t="s">
        <v>477</v>
      </c>
    </row>
    <row r="25520">
      <c r="B25520" s="17" t="s">
        <v>477</v>
      </c>
      <c r="K25520" s="18" t="s">
        <v>477</v>
      </c>
    </row>
    <row r="25521">
      <c r="B25521" s="17" t="s">
        <v>477</v>
      </c>
      <c r="K25521" s="18" t="s">
        <v>477</v>
      </c>
    </row>
    <row r="25522">
      <c r="B25522" s="17" t="s">
        <v>477</v>
      </c>
      <c r="K25522" s="18" t="s">
        <v>477</v>
      </c>
    </row>
    <row r="25523">
      <c r="B25523" s="17" t="s">
        <v>477</v>
      </c>
      <c r="K25523" s="18" t="s">
        <v>477</v>
      </c>
    </row>
    <row r="25524">
      <c r="B25524" s="17" t="s">
        <v>477</v>
      </c>
      <c r="K25524" s="18" t="s">
        <v>477</v>
      </c>
    </row>
    <row r="25525">
      <c r="B25525" s="17" t="s">
        <v>477</v>
      </c>
      <c r="K25525" s="18" t="s">
        <v>477</v>
      </c>
    </row>
    <row r="25526">
      <c r="B25526" s="17" t="s">
        <v>477</v>
      </c>
      <c r="K25526" s="18" t="s">
        <v>477</v>
      </c>
    </row>
    <row r="25527">
      <c r="B25527" s="17" t="s">
        <v>477</v>
      </c>
      <c r="K25527" s="18" t="s">
        <v>477</v>
      </c>
    </row>
    <row r="25528">
      <c r="B25528" s="17" t="s">
        <v>477</v>
      </c>
      <c r="K25528" s="18" t="s">
        <v>477</v>
      </c>
    </row>
    <row r="25529">
      <c r="B25529" s="17" t="s">
        <v>477</v>
      </c>
      <c r="K25529" s="18" t="s">
        <v>477</v>
      </c>
    </row>
    <row r="25530">
      <c r="B25530" s="17" t="s">
        <v>477</v>
      </c>
      <c r="K25530" s="18" t="s">
        <v>477</v>
      </c>
    </row>
    <row r="25531">
      <c r="B25531" s="17" t="s">
        <v>477</v>
      </c>
      <c r="K25531" s="18" t="s">
        <v>477</v>
      </c>
    </row>
    <row r="25532">
      <c r="B25532" s="17" t="s">
        <v>477</v>
      </c>
      <c r="K25532" s="18" t="s">
        <v>477</v>
      </c>
    </row>
    <row r="25533">
      <c r="B25533" s="17" t="s">
        <v>477</v>
      </c>
      <c r="K25533" s="18" t="s">
        <v>477</v>
      </c>
    </row>
    <row r="25534">
      <c r="B25534" s="17" t="s">
        <v>477</v>
      </c>
      <c r="K25534" s="18" t="s">
        <v>477</v>
      </c>
    </row>
    <row r="25535">
      <c r="B25535" s="17" t="s">
        <v>477</v>
      </c>
      <c r="K25535" s="18" t="s">
        <v>477</v>
      </c>
    </row>
    <row r="25536">
      <c r="B25536" s="17" t="s">
        <v>477</v>
      </c>
      <c r="K25536" s="18" t="s">
        <v>477</v>
      </c>
    </row>
    <row r="25537">
      <c r="B25537" s="17" t="s">
        <v>477</v>
      </c>
      <c r="K25537" s="18" t="s">
        <v>477</v>
      </c>
    </row>
    <row r="25538">
      <c r="B25538" s="17" t="s">
        <v>477</v>
      </c>
      <c r="K25538" s="18" t="s">
        <v>477</v>
      </c>
    </row>
    <row r="25539">
      <c r="B25539" s="17" t="s">
        <v>477</v>
      </c>
      <c r="K25539" s="18" t="s">
        <v>477</v>
      </c>
    </row>
    <row r="25540">
      <c r="B25540" s="17" t="s">
        <v>477</v>
      </c>
      <c r="K25540" s="18" t="s">
        <v>477</v>
      </c>
    </row>
    <row r="25541">
      <c r="B25541" s="17" t="s">
        <v>477</v>
      </c>
      <c r="K25541" s="18" t="s">
        <v>477</v>
      </c>
    </row>
    <row r="25542">
      <c r="B25542" s="17" t="s">
        <v>477</v>
      </c>
      <c r="K25542" s="18" t="s">
        <v>477</v>
      </c>
    </row>
    <row r="25543">
      <c r="B25543" s="17" t="s">
        <v>477</v>
      </c>
      <c r="K25543" s="18" t="s">
        <v>477</v>
      </c>
    </row>
    <row r="25544">
      <c r="B25544" s="17" t="s">
        <v>477</v>
      </c>
      <c r="K25544" s="18" t="s">
        <v>477</v>
      </c>
    </row>
    <row r="25545">
      <c r="B25545" s="17" t="s">
        <v>477</v>
      </c>
      <c r="K25545" s="18" t="s">
        <v>477</v>
      </c>
    </row>
    <row r="25546">
      <c r="B25546" s="17" t="s">
        <v>477</v>
      </c>
      <c r="K25546" s="18" t="s">
        <v>477</v>
      </c>
    </row>
    <row r="25547">
      <c r="B25547" s="17" t="s">
        <v>477</v>
      </c>
      <c r="K25547" s="18" t="s">
        <v>477</v>
      </c>
    </row>
    <row r="25548">
      <c r="B25548" s="17" t="s">
        <v>477</v>
      </c>
      <c r="K25548" s="18" t="s">
        <v>477</v>
      </c>
    </row>
    <row r="25549">
      <c r="B25549" s="17" t="s">
        <v>477</v>
      </c>
      <c r="K25549" s="18" t="s">
        <v>477</v>
      </c>
    </row>
    <row r="25550">
      <c r="B25550" s="17" t="s">
        <v>477</v>
      </c>
      <c r="K25550" s="18" t="s">
        <v>477</v>
      </c>
    </row>
    <row r="25551">
      <c r="B25551" s="17" t="s">
        <v>477</v>
      </c>
      <c r="K25551" s="18" t="s">
        <v>477</v>
      </c>
    </row>
    <row r="25552">
      <c r="B25552" s="17" t="s">
        <v>477</v>
      </c>
      <c r="K25552" s="18" t="s">
        <v>477</v>
      </c>
    </row>
    <row r="25553">
      <c r="B25553" s="17" t="s">
        <v>477</v>
      </c>
      <c r="K25553" s="18" t="s">
        <v>477</v>
      </c>
    </row>
    <row r="25554">
      <c r="B25554" s="17" t="s">
        <v>477</v>
      </c>
      <c r="K25554" s="18" t="s">
        <v>477</v>
      </c>
    </row>
    <row r="25555">
      <c r="B25555" s="17" t="s">
        <v>477</v>
      </c>
      <c r="K25555" s="18" t="s">
        <v>477</v>
      </c>
    </row>
    <row r="25556">
      <c r="B25556" s="17" t="s">
        <v>477</v>
      </c>
      <c r="K25556" s="18" t="s">
        <v>477</v>
      </c>
    </row>
    <row r="25557">
      <c r="B25557" s="17" t="s">
        <v>477</v>
      </c>
      <c r="K25557" s="18" t="s">
        <v>477</v>
      </c>
    </row>
    <row r="25558">
      <c r="B25558" s="17" t="s">
        <v>477</v>
      </c>
      <c r="K25558" s="18" t="s">
        <v>477</v>
      </c>
    </row>
    <row r="25559">
      <c r="B25559" s="17" t="s">
        <v>477</v>
      </c>
      <c r="K25559" s="18" t="s">
        <v>477</v>
      </c>
    </row>
    <row r="25560">
      <c r="B25560" s="17" t="s">
        <v>477</v>
      </c>
      <c r="K25560" s="18" t="s">
        <v>477</v>
      </c>
    </row>
    <row r="25561">
      <c r="B25561" s="17" t="s">
        <v>477</v>
      </c>
      <c r="K25561" s="18" t="s">
        <v>477</v>
      </c>
    </row>
    <row r="25562">
      <c r="B25562" s="17" t="s">
        <v>477</v>
      </c>
      <c r="K25562" s="18" t="s">
        <v>477</v>
      </c>
    </row>
    <row r="25563">
      <c r="B25563" s="17" t="s">
        <v>477</v>
      </c>
      <c r="K25563" s="18" t="s">
        <v>477</v>
      </c>
    </row>
    <row r="25564">
      <c r="B25564" s="17" t="s">
        <v>477</v>
      </c>
      <c r="K25564" s="18" t="s">
        <v>477</v>
      </c>
    </row>
    <row r="25565">
      <c r="B25565" s="17" t="s">
        <v>477</v>
      </c>
      <c r="K25565" s="18" t="s">
        <v>477</v>
      </c>
    </row>
    <row r="25566">
      <c r="B25566" s="17" t="s">
        <v>477</v>
      </c>
      <c r="K25566" s="18" t="s">
        <v>477</v>
      </c>
    </row>
    <row r="25567">
      <c r="B25567" s="17" t="s">
        <v>477</v>
      </c>
      <c r="K25567" s="18" t="s">
        <v>477</v>
      </c>
    </row>
    <row r="25568">
      <c r="B25568" s="17" t="s">
        <v>477</v>
      </c>
      <c r="K25568" s="18" t="s">
        <v>477</v>
      </c>
    </row>
    <row r="25569">
      <c r="B25569" s="17" t="s">
        <v>477</v>
      </c>
      <c r="K25569" s="18" t="s">
        <v>477</v>
      </c>
    </row>
    <row r="25570">
      <c r="B25570" s="17" t="s">
        <v>477</v>
      </c>
      <c r="K25570" s="18" t="s">
        <v>477</v>
      </c>
    </row>
    <row r="25571">
      <c r="B25571" s="17" t="s">
        <v>477</v>
      </c>
      <c r="K25571" s="18" t="s">
        <v>477</v>
      </c>
    </row>
    <row r="25572">
      <c r="B25572" s="17" t="s">
        <v>477</v>
      </c>
      <c r="K25572" s="18" t="s">
        <v>477</v>
      </c>
    </row>
    <row r="25573">
      <c r="B25573" s="17" t="s">
        <v>477</v>
      </c>
      <c r="K25573" s="18" t="s">
        <v>477</v>
      </c>
    </row>
    <row r="25574">
      <c r="B25574" s="17" t="s">
        <v>477</v>
      </c>
      <c r="K25574" s="18" t="s">
        <v>477</v>
      </c>
    </row>
    <row r="25575">
      <c r="B25575" s="17" t="s">
        <v>477</v>
      </c>
      <c r="K25575" s="18" t="s">
        <v>477</v>
      </c>
    </row>
    <row r="25576">
      <c r="B25576" s="17" t="s">
        <v>477</v>
      </c>
      <c r="K25576" s="18" t="s">
        <v>477</v>
      </c>
    </row>
    <row r="25577">
      <c r="B25577" s="17" t="s">
        <v>477</v>
      </c>
      <c r="K25577" s="18" t="s">
        <v>477</v>
      </c>
    </row>
    <row r="25578">
      <c r="B25578" s="17" t="s">
        <v>477</v>
      </c>
      <c r="K25578" s="18" t="s">
        <v>477</v>
      </c>
    </row>
    <row r="25579">
      <c r="B25579" s="17" t="s">
        <v>477</v>
      </c>
      <c r="K25579" s="18" t="s">
        <v>477</v>
      </c>
    </row>
    <row r="25580">
      <c r="B25580" s="17" t="s">
        <v>477</v>
      </c>
      <c r="K25580" s="18" t="s">
        <v>477</v>
      </c>
    </row>
    <row r="25581">
      <c r="B25581" s="17" t="s">
        <v>477</v>
      </c>
      <c r="K25581" s="18" t="s">
        <v>477</v>
      </c>
    </row>
    <row r="25582">
      <c r="B25582" s="17" t="s">
        <v>477</v>
      </c>
      <c r="K25582" s="18" t="s">
        <v>477</v>
      </c>
    </row>
    <row r="25583">
      <c r="B25583" s="17" t="s">
        <v>477</v>
      </c>
      <c r="K25583" s="18" t="s">
        <v>477</v>
      </c>
    </row>
    <row r="25584">
      <c r="B25584" s="17" t="s">
        <v>477</v>
      </c>
      <c r="K25584" s="18" t="s">
        <v>477</v>
      </c>
    </row>
    <row r="25585">
      <c r="B25585" s="17" t="s">
        <v>477</v>
      </c>
      <c r="K25585" s="18" t="s">
        <v>477</v>
      </c>
    </row>
    <row r="25586">
      <c r="B25586" s="17" t="s">
        <v>477</v>
      </c>
      <c r="K25586" s="18" t="s">
        <v>477</v>
      </c>
    </row>
    <row r="25587">
      <c r="B25587" s="17" t="s">
        <v>477</v>
      </c>
      <c r="K25587" s="18" t="s">
        <v>477</v>
      </c>
    </row>
    <row r="25588">
      <c r="B25588" s="17" t="s">
        <v>477</v>
      </c>
      <c r="K25588" s="18" t="s">
        <v>477</v>
      </c>
    </row>
    <row r="25589">
      <c r="B25589" s="17" t="s">
        <v>477</v>
      </c>
      <c r="K25589" s="18" t="s">
        <v>477</v>
      </c>
    </row>
    <row r="25590">
      <c r="B25590" s="17" t="s">
        <v>477</v>
      </c>
      <c r="K25590" s="18" t="s">
        <v>477</v>
      </c>
    </row>
    <row r="25591">
      <c r="B25591" s="17" t="s">
        <v>477</v>
      </c>
      <c r="K25591" s="18" t="s">
        <v>477</v>
      </c>
    </row>
    <row r="25592">
      <c r="B25592" s="17" t="s">
        <v>477</v>
      </c>
      <c r="K25592" s="18" t="s">
        <v>477</v>
      </c>
    </row>
    <row r="25593">
      <c r="B25593" s="17" t="s">
        <v>477</v>
      </c>
      <c r="K25593" s="18" t="s">
        <v>477</v>
      </c>
    </row>
    <row r="25594">
      <c r="B25594" s="17" t="s">
        <v>477</v>
      </c>
      <c r="K25594" s="18" t="s">
        <v>477</v>
      </c>
    </row>
    <row r="25595">
      <c r="B25595" s="17" t="s">
        <v>477</v>
      </c>
      <c r="K25595" s="18" t="s">
        <v>477</v>
      </c>
    </row>
    <row r="25596">
      <c r="B25596" s="17" t="s">
        <v>477</v>
      </c>
      <c r="K25596" s="18" t="s">
        <v>477</v>
      </c>
    </row>
    <row r="25597">
      <c r="B25597" s="17" t="s">
        <v>477</v>
      </c>
      <c r="K25597" s="18" t="s">
        <v>477</v>
      </c>
    </row>
    <row r="25598">
      <c r="B25598" s="17" t="s">
        <v>477</v>
      </c>
      <c r="K25598" s="18" t="s">
        <v>477</v>
      </c>
    </row>
    <row r="25599">
      <c r="B25599" s="17" t="s">
        <v>477</v>
      </c>
      <c r="K25599" s="18" t="s">
        <v>477</v>
      </c>
    </row>
    <row r="25600">
      <c r="B25600" s="17" t="s">
        <v>477</v>
      </c>
      <c r="K25600" s="18" t="s">
        <v>477</v>
      </c>
    </row>
    <row r="25601">
      <c r="B25601" s="17" t="s">
        <v>477</v>
      </c>
      <c r="K25601" s="18" t="s">
        <v>477</v>
      </c>
    </row>
    <row r="25602">
      <c r="B25602" s="17" t="s">
        <v>477</v>
      </c>
      <c r="K25602" s="18" t="s">
        <v>477</v>
      </c>
    </row>
    <row r="25603">
      <c r="B25603" s="17" t="s">
        <v>477</v>
      </c>
      <c r="K25603" s="18" t="s">
        <v>477</v>
      </c>
    </row>
    <row r="25604">
      <c r="B25604" s="17" t="s">
        <v>477</v>
      </c>
      <c r="K25604" s="18" t="s">
        <v>477</v>
      </c>
    </row>
    <row r="25605">
      <c r="B25605" s="17" t="s">
        <v>477</v>
      </c>
      <c r="K25605" s="18" t="s">
        <v>477</v>
      </c>
    </row>
    <row r="25606">
      <c r="B25606" s="17" t="s">
        <v>477</v>
      </c>
      <c r="K25606" s="18" t="s">
        <v>477</v>
      </c>
    </row>
    <row r="25607">
      <c r="B25607" s="17" t="s">
        <v>477</v>
      </c>
      <c r="K25607" s="18" t="s">
        <v>477</v>
      </c>
    </row>
    <row r="25608">
      <c r="B25608" s="17" t="s">
        <v>477</v>
      </c>
      <c r="K25608" s="18" t="s">
        <v>477</v>
      </c>
    </row>
    <row r="25609">
      <c r="B25609" s="17" t="s">
        <v>477</v>
      </c>
      <c r="K25609" s="18" t="s">
        <v>477</v>
      </c>
    </row>
    <row r="25610">
      <c r="B25610" s="17" t="s">
        <v>477</v>
      </c>
      <c r="K25610" s="18" t="s">
        <v>477</v>
      </c>
    </row>
    <row r="25611">
      <c r="B25611" s="17" t="s">
        <v>477</v>
      </c>
      <c r="K25611" s="18" t="s">
        <v>477</v>
      </c>
    </row>
    <row r="25612">
      <c r="B25612" s="17" t="s">
        <v>477</v>
      </c>
      <c r="K25612" s="18" t="s">
        <v>477</v>
      </c>
    </row>
    <row r="25613">
      <c r="B25613" s="17" t="s">
        <v>477</v>
      </c>
      <c r="K25613" s="18" t="s">
        <v>477</v>
      </c>
    </row>
    <row r="25614">
      <c r="B25614" s="17" t="s">
        <v>477</v>
      </c>
      <c r="K25614" s="18" t="s">
        <v>477</v>
      </c>
    </row>
    <row r="25615">
      <c r="B25615" s="17" t="s">
        <v>477</v>
      </c>
      <c r="K25615" s="18" t="s">
        <v>477</v>
      </c>
    </row>
    <row r="25616">
      <c r="B25616" s="17" t="s">
        <v>477</v>
      </c>
      <c r="K25616" s="18" t="s">
        <v>477</v>
      </c>
    </row>
    <row r="25617">
      <c r="B25617" s="17" t="s">
        <v>477</v>
      </c>
      <c r="K25617" s="18" t="s">
        <v>477</v>
      </c>
    </row>
    <row r="25618">
      <c r="B25618" s="17" t="s">
        <v>477</v>
      </c>
      <c r="K25618" s="18" t="s">
        <v>477</v>
      </c>
    </row>
    <row r="25619">
      <c r="B25619" s="17" t="s">
        <v>477</v>
      </c>
      <c r="K25619" s="18" t="s">
        <v>477</v>
      </c>
    </row>
    <row r="25620">
      <c r="B25620" s="17" t="s">
        <v>477</v>
      </c>
      <c r="K25620" s="18" t="s">
        <v>477</v>
      </c>
    </row>
    <row r="25621">
      <c r="B25621" s="17" t="s">
        <v>477</v>
      </c>
      <c r="K25621" s="18" t="s">
        <v>477</v>
      </c>
    </row>
    <row r="25622">
      <c r="B25622" s="17" t="s">
        <v>477</v>
      </c>
      <c r="K25622" s="18" t="s">
        <v>477</v>
      </c>
    </row>
    <row r="25623">
      <c r="B25623" s="17" t="s">
        <v>477</v>
      </c>
      <c r="K25623" s="18" t="s">
        <v>477</v>
      </c>
    </row>
    <row r="25624">
      <c r="B25624" s="17" t="s">
        <v>477</v>
      </c>
      <c r="K25624" s="18" t="s">
        <v>477</v>
      </c>
    </row>
    <row r="25625">
      <c r="B25625" s="17" t="s">
        <v>477</v>
      </c>
      <c r="K25625" s="18" t="s">
        <v>477</v>
      </c>
    </row>
    <row r="25626">
      <c r="B25626" s="17" t="s">
        <v>477</v>
      </c>
      <c r="K25626" s="18" t="s">
        <v>477</v>
      </c>
    </row>
    <row r="25627">
      <c r="B25627" s="17" t="s">
        <v>477</v>
      </c>
      <c r="K25627" s="18" t="s">
        <v>477</v>
      </c>
    </row>
    <row r="25628">
      <c r="B25628" s="17" t="s">
        <v>477</v>
      </c>
      <c r="K25628" s="18" t="s">
        <v>477</v>
      </c>
    </row>
    <row r="25629">
      <c r="B25629" s="17" t="s">
        <v>477</v>
      </c>
      <c r="K25629" s="18" t="s">
        <v>477</v>
      </c>
    </row>
    <row r="25630">
      <c r="B25630" s="17" t="s">
        <v>477</v>
      </c>
      <c r="K25630" s="18" t="s">
        <v>477</v>
      </c>
    </row>
    <row r="25631">
      <c r="B25631" s="17" t="s">
        <v>477</v>
      </c>
      <c r="K25631" s="18" t="s">
        <v>477</v>
      </c>
    </row>
    <row r="25632">
      <c r="B25632" s="17" t="s">
        <v>477</v>
      </c>
      <c r="K25632" s="18" t="s">
        <v>477</v>
      </c>
    </row>
    <row r="25633">
      <c r="B25633" s="17" t="s">
        <v>477</v>
      </c>
      <c r="K25633" s="18" t="s">
        <v>477</v>
      </c>
    </row>
    <row r="25634">
      <c r="B25634" s="17" t="s">
        <v>477</v>
      </c>
      <c r="K25634" s="18" t="s">
        <v>477</v>
      </c>
    </row>
    <row r="25635">
      <c r="B25635" s="17" t="s">
        <v>477</v>
      </c>
      <c r="K25635" s="18" t="s">
        <v>477</v>
      </c>
    </row>
    <row r="25636">
      <c r="B25636" s="17" t="s">
        <v>477</v>
      </c>
      <c r="K25636" s="18" t="s">
        <v>477</v>
      </c>
    </row>
    <row r="25637">
      <c r="B25637" s="17" t="s">
        <v>477</v>
      </c>
      <c r="K25637" s="18" t="s">
        <v>477</v>
      </c>
    </row>
    <row r="25638">
      <c r="B25638" s="17" t="s">
        <v>477</v>
      </c>
      <c r="K25638" s="18" t="s">
        <v>477</v>
      </c>
    </row>
    <row r="25639">
      <c r="B25639" s="17" t="s">
        <v>477</v>
      </c>
      <c r="K25639" s="18" t="s">
        <v>477</v>
      </c>
    </row>
    <row r="25640">
      <c r="B25640" s="17" t="s">
        <v>477</v>
      </c>
      <c r="K25640" s="18" t="s">
        <v>477</v>
      </c>
    </row>
    <row r="25641">
      <c r="B25641" s="17" t="s">
        <v>477</v>
      </c>
      <c r="K25641" s="18" t="s">
        <v>477</v>
      </c>
    </row>
    <row r="25642">
      <c r="B25642" s="17" t="s">
        <v>477</v>
      </c>
      <c r="K25642" s="18" t="s">
        <v>477</v>
      </c>
    </row>
    <row r="25643">
      <c r="B25643" s="17" t="s">
        <v>477</v>
      </c>
      <c r="K25643" s="18" t="s">
        <v>477</v>
      </c>
    </row>
    <row r="25644">
      <c r="B25644" s="17" t="s">
        <v>477</v>
      </c>
      <c r="K25644" s="18" t="s">
        <v>477</v>
      </c>
    </row>
    <row r="25645">
      <c r="B25645" s="17" t="s">
        <v>477</v>
      </c>
      <c r="K25645" s="18" t="s">
        <v>477</v>
      </c>
    </row>
    <row r="25646">
      <c r="B25646" s="17" t="s">
        <v>477</v>
      </c>
      <c r="K25646" s="18" t="s">
        <v>477</v>
      </c>
    </row>
    <row r="25647">
      <c r="B25647" s="17" t="s">
        <v>477</v>
      </c>
      <c r="K25647" s="18" t="s">
        <v>477</v>
      </c>
    </row>
    <row r="25648">
      <c r="B25648" s="17" t="s">
        <v>477</v>
      </c>
      <c r="K25648" s="18" t="s">
        <v>477</v>
      </c>
    </row>
    <row r="25649">
      <c r="B25649" s="17" t="s">
        <v>477</v>
      </c>
      <c r="K25649" s="18" t="s">
        <v>477</v>
      </c>
    </row>
    <row r="25650">
      <c r="B25650" s="17" t="s">
        <v>477</v>
      </c>
      <c r="K25650" s="18" t="s">
        <v>477</v>
      </c>
    </row>
    <row r="25651">
      <c r="B25651" s="17" t="s">
        <v>477</v>
      </c>
      <c r="K25651" s="18" t="s">
        <v>477</v>
      </c>
    </row>
    <row r="25652">
      <c r="B25652" s="17" t="s">
        <v>477</v>
      </c>
      <c r="K25652" s="18" t="s">
        <v>477</v>
      </c>
    </row>
    <row r="25653">
      <c r="B25653" s="17" t="s">
        <v>477</v>
      </c>
      <c r="K25653" s="18" t="s">
        <v>477</v>
      </c>
    </row>
    <row r="25654">
      <c r="B25654" s="17" t="s">
        <v>477</v>
      </c>
      <c r="K25654" s="18" t="s">
        <v>477</v>
      </c>
    </row>
    <row r="25655">
      <c r="B25655" s="17" t="s">
        <v>477</v>
      </c>
      <c r="K25655" s="18" t="s">
        <v>477</v>
      </c>
    </row>
    <row r="25656">
      <c r="B25656" s="17" t="s">
        <v>477</v>
      </c>
      <c r="K25656" s="18" t="s">
        <v>477</v>
      </c>
    </row>
    <row r="25657">
      <c r="B25657" s="17" t="s">
        <v>477</v>
      </c>
      <c r="K25657" s="18" t="s">
        <v>477</v>
      </c>
    </row>
    <row r="25658">
      <c r="B25658" s="17" t="s">
        <v>477</v>
      </c>
      <c r="K25658" s="18" t="s">
        <v>477</v>
      </c>
    </row>
    <row r="25659">
      <c r="B25659" s="17" t="s">
        <v>477</v>
      </c>
      <c r="K25659" s="18" t="s">
        <v>477</v>
      </c>
    </row>
    <row r="25660">
      <c r="B25660" s="17" t="s">
        <v>477</v>
      </c>
      <c r="K25660" s="18" t="s">
        <v>477</v>
      </c>
    </row>
    <row r="25661">
      <c r="B25661" s="17" t="s">
        <v>477</v>
      </c>
      <c r="K25661" s="18" t="s">
        <v>477</v>
      </c>
    </row>
    <row r="25662">
      <c r="B25662" s="17" t="s">
        <v>477</v>
      </c>
      <c r="K25662" s="18" t="s">
        <v>477</v>
      </c>
    </row>
    <row r="25663">
      <c r="B25663" s="17" t="s">
        <v>477</v>
      </c>
      <c r="K25663" s="18" t="s">
        <v>477</v>
      </c>
    </row>
    <row r="25664">
      <c r="B25664" s="17" t="s">
        <v>477</v>
      </c>
      <c r="K25664" s="18" t="s">
        <v>477</v>
      </c>
    </row>
    <row r="25665">
      <c r="B25665" s="17" t="s">
        <v>477</v>
      </c>
      <c r="K25665" s="18" t="s">
        <v>477</v>
      </c>
    </row>
    <row r="25666">
      <c r="B25666" s="17" t="s">
        <v>477</v>
      </c>
      <c r="K25666" s="18" t="s">
        <v>477</v>
      </c>
    </row>
    <row r="25667">
      <c r="B25667" s="17" t="s">
        <v>477</v>
      </c>
      <c r="K25667" s="18" t="s">
        <v>477</v>
      </c>
    </row>
    <row r="25668">
      <c r="B25668" s="17" t="s">
        <v>477</v>
      </c>
      <c r="K25668" s="18" t="s">
        <v>477</v>
      </c>
    </row>
    <row r="25669">
      <c r="B25669" s="17" t="s">
        <v>477</v>
      </c>
      <c r="K25669" s="18" t="s">
        <v>477</v>
      </c>
    </row>
    <row r="25670">
      <c r="B25670" s="17" t="s">
        <v>477</v>
      </c>
      <c r="K25670" s="18" t="s">
        <v>477</v>
      </c>
    </row>
    <row r="25671">
      <c r="B25671" s="17" t="s">
        <v>477</v>
      </c>
      <c r="K25671" s="18" t="s">
        <v>477</v>
      </c>
    </row>
    <row r="25672">
      <c r="B25672" s="17" t="s">
        <v>477</v>
      </c>
      <c r="K25672" s="18" t="s">
        <v>477</v>
      </c>
    </row>
    <row r="25673">
      <c r="B25673" s="17" t="s">
        <v>477</v>
      </c>
      <c r="K25673" s="18" t="s">
        <v>477</v>
      </c>
    </row>
    <row r="25674">
      <c r="B25674" s="17" t="s">
        <v>477</v>
      </c>
      <c r="K25674" s="18" t="s">
        <v>477</v>
      </c>
    </row>
    <row r="25675">
      <c r="B25675" s="17" t="s">
        <v>477</v>
      </c>
      <c r="K25675" s="18" t="s">
        <v>477</v>
      </c>
    </row>
    <row r="25676">
      <c r="B25676" s="17" t="s">
        <v>477</v>
      </c>
      <c r="K25676" s="18" t="s">
        <v>477</v>
      </c>
    </row>
    <row r="25677">
      <c r="B25677" s="17" t="s">
        <v>477</v>
      </c>
      <c r="K25677" s="18" t="s">
        <v>477</v>
      </c>
    </row>
    <row r="25678">
      <c r="B25678" s="17" t="s">
        <v>477</v>
      </c>
      <c r="K25678" s="18" t="s">
        <v>477</v>
      </c>
    </row>
    <row r="25679">
      <c r="B25679" s="17" t="s">
        <v>477</v>
      </c>
      <c r="K25679" s="18" t="s">
        <v>477</v>
      </c>
    </row>
    <row r="25680">
      <c r="B25680" s="17" t="s">
        <v>477</v>
      </c>
      <c r="K25680" s="18" t="s">
        <v>477</v>
      </c>
    </row>
    <row r="25681">
      <c r="B25681" s="17" t="s">
        <v>477</v>
      </c>
      <c r="K25681" s="18" t="s">
        <v>477</v>
      </c>
    </row>
    <row r="25682">
      <c r="B25682" s="17" t="s">
        <v>477</v>
      </c>
      <c r="K25682" s="18" t="s">
        <v>477</v>
      </c>
    </row>
    <row r="25683">
      <c r="B25683" s="17" t="s">
        <v>477</v>
      </c>
      <c r="K25683" s="18" t="s">
        <v>477</v>
      </c>
    </row>
    <row r="25684">
      <c r="B25684" s="17" t="s">
        <v>477</v>
      </c>
      <c r="K25684" s="18" t="s">
        <v>477</v>
      </c>
    </row>
    <row r="25685">
      <c r="B25685" s="17" t="s">
        <v>477</v>
      </c>
      <c r="K25685" s="18" t="s">
        <v>477</v>
      </c>
    </row>
    <row r="25686">
      <c r="B25686" s="17" t="s">
        <v>477</v>
      </c>
      <c r="K25686" s="18" t="s">
        <v>477</v>
      </c>
    </row>
    <row r="25687">
      <c r="B25687" s="17" t="s">
        <v>477</v>
      </c>
      <c r="K25687" s="18" t="s">
        <v>477</v>
      </c>
    </row>
    <row r="25688">
      <c r="B25688" s="17" t="s">
        <v>477</v>
      </c>
      <c r="K25688" s="18" t="s">
        <v>477</v>
      </c>
    </row>
    <row r="25689">
      <c r="B25689" s="17" t="s">
        <v>477</v>
      </c>
      <c r="K25689" s="18" t="s">
        <v>477</v>
      </c>
    </row>
    <row r="25690">
      <c r="B25690" s="17" t="s">
        <v>477</v>
      </c>
      <c r="K25690" s="18" t="s">
        <v>477</v>
      </c>
    </row>
    <row r="25691">
      <c r="B25691" s="17" t="s">
        <v>477</v>
      </c>
      <c r="K25691" s="18" t="s">
        <v>477</v>
      </c>
    </row>
    <row r="25692">
      <c r="B25692" s="17" t="s">
        <v>477</v>
      </c>
      <c r="K25692" s="18" t="s">
        <v>477</v>
      </c>
    </row>
    <row r="25693">
      <c r="B25693" s="17" t="s">
        <v>477</v>
      </c>
      <c r="K25693" s="18" t="s">
        <v>477</v>
      </c>
    </row>
    <row r="25694">
      <c r="B25694" s="17" t="s">
        <v>477</v>
      </c>
      <c r="K25694" s="18" t="s">
        <v>477</v>
      </c>
    </row>
    <row r="25695">
      <c r="B25695" s="17" t="s">
        <v>477</v>
      </c>
      <c r="K25695" s="18" t="s">
        <v>477</v>
      </c>
    </row>
    <row r="25696">
      <c r="B25696" s="17" t="s">
        <v>477</v>
      </c>
      <c r="K25696" s="18" t="s">
        <v>477</v>
      </c>
    </row>
    <row r="25697">
      <c r="B25697" s="17" t="s">
        <v>477</v>
      </c>
      <c r="K25697" s="18" t="s">
        <v>477</v>
      </c>
    </row>
    <row r="25698">
      <c r="B25698" s="17" t="s">
        <v>477</v>
      </c>
      <c r="K25698" s="18" t="s">
        <v>477</v>
      </c>
    </row>
    <row r="25699">
      <c r="B25699" s="17" t="s">
        <v>477</v>
      </c>
      <c r="K25699" s="18" t="s">
        <v>477</v>
      </c>
    </row>
    <row r="25700">
      <c r="B25700" s="17" t="s">
        <v>477</v>
      </c>
      <c r="K25700" s="18" t="s">
        <v>477</v>
      </c>
    </row>
    <row r="25701">
      <c r="B25701" s="17" t="s">
        <v>477</v>
      </c>
      <c r="K25701" s="18" t="s">
        <v>477</v>
      </c>
    </row>
    <row r="25702">
      <c r="B25702" s="17" t="s">
        <v>477</v>
      </c>
      <c r="K25702" s="18" t="s">
        <v>477</v>
      </c>
    </row>
    <row r="25703">
      <c r="B25703" s="17" t="s">
        <v>477</v>
      </c>
      <c r="K25703" s="18" t="s">
        <v>477</v>
      </c>
    </row>
    <row r="25704">
      <c r="B25704" s="17" t="s">
        <v>477</v>
      </c>
      <c r="K25704" s="18" t="s">
        <v>477</v>
      </c>
    </row>
    <row r="25705">
      <c r="B25705" s="17" t="s">
        <v>477</v>
      </c>
      <c r="K25705" s="18" t="s">
        <v>477</v>
      </c>
    </row>
    <row r="25706">
      <c r="B25706" s="17" t="s">
        <v>477</v>
      </c>
      <c r="K25706" s="18" t="s">
        <v>477</v>
      </c>
    </row>
    <row r="25707">
      <c r="B25707" s="17" t="s">
        <v>477</v>
      </c>
      <c r="K25707" s="18" t="s">
        <v>477</v>
      </c>
    </row>
    <row r="25708">
      <c r="B25708" s="17" t="s">
        <v>477</v>
      </c>
      <c r="K25708" s="18" t="s">
        <v>477</v>
      </c>
    </row>
    <row r="25709">
      <c r="B25709" s="17" t="s">
        <v>477</v>
      </c>
      <c r="K25709" s="18" t="s">
        <v>477</v>
      </c>
    </row>
    <row r="25710">
      <c r="B25710" s="17" t="s">
        <v>477</v>
      </c>
      <c r="K25710" s="18" t="s">
        <v>477</v>
      </c>
    </row>
    <row r="25711">
      <c r="B25711" s="17" t="s">
        <v>477</v>
      </c>
      <c r="K25711" s="18" t="s">
        <v>477</v>
      </c>
    </row>
    <row r="25712">
      <c r="B25712" s="17" t="s">
        <v>477</v>
      </c>
      <c r="K25712" s="18" t="s">
        <v>477</v>
      </c>
    </row>
    <row r="25713">
      <c r="B25713" s="17" t="s">
        <v>477</v>
      </c>
      <c r="K25713" s="18" t="s">
        <v>477</v>
      </c>
    </row>
    <row r="25714">
      <c r="B25714" s="17" t="s">
        <v>477</v>
      </c>
      <c r="K25714" s="18" t="s">
        <v>477</v>
      </c>
    </row>
    <row r="25715">
      <c r="B25715" s="17" t="s">
        <v>477</v>
      </c>
      <c r="K25715" s="18" t="s">
        <v>477</v>
      </c>
    </row>
    <row r="25716">
      <c r="B25716" s="17" t="s">
        <v>477</v>
      </c>
      <c r="K25716" s="18" t="s">
        <v>477</v>
      </c>
    </row>
    <row r="25717">
      <c r="B25717" s="17" t="s">
        <v>477</v>
      </c>
      <c r="K25717" s="18" t="s">
        <v>477</v>
      </c>
    </row>
    <row r="25718">
      <c r="B25718" s="17" t="s">
        <v>477</v>
      </c>
      <c r="K25718" s="18" t="s">
        <v>477</v>
      </c>
    </row>
    <row r="25719">
      <c r="B25719" s="17" t="s">
        <v>477</v>
      </c>
      <c r="K25719" s="18" t="s">
        <v>477</v>
      </c>
    </row>
    <row r="25720">
      <c r="B25720" s="17" t="s">
        <v>477</v>
      </c>
      <c r="K25720" s="18" t="s">
        <v>477</v>
      </c>
    </row>
    <row r="25721">
      <c r="B25721" s="17" t="s">
        <v>477</v>
      </c>
      <c r="K25721" s="18" t="s">
        <v>477</v>
      </c>
    </row>
    <row r="25722">
      <c r="B25722" s="17" t="s">
        <v>477</v>
      </c>
      <c r="K25722" s="18" t="s">
        <v>477</v>
      </c>
    </row>
    <row r="25723">
      <c r="B25723" s="17" t="s">
        <v>477</v>
      </c>
      <c r="K25723" s="18" t="s">
        <v>477</v>
      </c>
    </row>
    <row r="25724">
      <c r="B25724" s="17" t="s">
        <v>477</v>
      </c>
      <c r="K25724" s="18" t="s">
        <v>477</v>
      </c>
    </row>
    <row r="25725">
      <c r="B25725" s="17" t="s">
        <v>477</v>
      </c>
      <c r="K25725" s="18" t="s">
        <v>477</v>
      </c>
    </row>
    <row r="25726">
      <c r="B25726" s="17" t="s">
        <v>477</v>
      </c>
      <c r="K25726" s="18" t="s">
        <v>477</v>
      </c>
    </row>
    <row r="25727">
      <c r="B25727" s="17" t="s">
        <v>477</v>
      </c>
      <c r="K25727" s="18" t="s">
        <v>477</v>
      </c>
    </row>
    <row r="25728">
      <c r="B25728" s="17" t="s">
        <v>477</v>
      </c>
      <c r="K25728" s="18" t="s">
        <v>477</v>
      </c>
    </row>
    <row r="25729">
      <c r="B25729" s="17" t="s">
        <v>477</v>
      </c>
      <c r="K25729" s="18" t="s">
        <v>477</v>
      </c>
    </row>
    <row r="25730">
      <c r="B25730" s="17" t="s">
        <v>477</v>
      </c>
      <c r="K25730" s="18" t="s">
        <v>477</v>
      </c>
    </row>
    <row r="25731">
      <c r="B25731" s="17" t="s">
        <v>477</v>
      </c>
      <c r="K25731" s="18" t="s">
        <v>477</v>
      </c>
    </row>
    <row r="25732">
      <c r="B25732" s="17" t="s">
        <v>477</v>
      </c>
      <c r="K25732" s="18" t="s">
        <v>477</v>
      </c>
    </row>
    <row r="25733">
      <c r="B25733" s="17" t="s">
        <v>477</v>
      </c>
      <c r="K25733" s="18" t="s">
        <v>477</v>
      </c>
    </row>
    <row r="25734">
      <c r="B25734" s="17" t="s">
        <v>477</v>
      </c>
      <c r="K25734" s="18" t="s">
        <v>477</v>
      </c>
    </row>
    <row r="25735">
      <c r="B25735" s="17" t="s">
        <v>477</v>
      </c>
      <c r="K25735" s="18" t="s">
        <v>477</v>
      </c>
    </row>
    <row r="25736">
      <c r="B25736" s="17" t="s">
        <v>477</v>
      </c>
      <c r="K25736" s="18" t="s">
        <v>477</v>
      </c>
    </row>
    <row r="25737">
      <c r="B25737" s="17" t="s">
        <v>477</v>
      </c>
      <c r="K25737" s="18" t="s">
        <v>477</v>
      </c>
    </row>
    <row r="25738">
      <c r="B25738" s="17" t="s">
        <v>477</v>
      </c>
      <c r="K25738" s="18" t="s">
        <v>477</v>
      </c>
    </row>
    <row r="25739">
      <c r="B25739" s="17" t="s">
        <v>477</v>
      </c>
      <c r="K25739" s="18" t="s">
        <v>477</v>
      </c>
    </row>
    <row r="25740">
      <c r="B25740" s="17" t="s">
        <v>477</v>
      </c>
      <c r="K25740" s="18" t="s">
        <v>477</v>
      </c>
    </row>
    <row r="25741">
      <c r="B25741" s="17" t="s">
        <v>477</v>
      </c>
      <c r="K25741" s="18" t="s">
        <v>477</v>
      </c>
    </row>
    <row r="25742">
      <c r="B25742" s="17" t="s">
        <v>477</v>
      </c>
      <c r="K25742" s="18" t="s">
        <v>477</v>
      </c>
    </row>
    <row r="25743">
      <c r="B25743" s="17" t="s">
        <v>477</v>
      </c>
      <c r="K25743" s="18" t="s">
        <v>477</v>
      </c>
    </row>
    <row r="25744">
      <c r="B25744" s="17" t="s">
        <v>477</v>
      </c>
      <c r="K25744" s="18" t="s">
        <v>477</v>
      </c>
    </row>
    <row r="25745">
      <c r="B25745" s="17" t="s">
        <v>477</v>
      </c>
      <c r="K25745" s="18" t="s">
        <v>477</v>
      </c>
    </row>
    <row r="25746">
      <c r="B25746" s="17" t="s">
        <v>477</v>
      </c>
      <c r="K25746" s="18" t="s">
        <v>477</v>
      </c>
    </row>
    <row r="25747">
      <c r="B25747" s="17" t="s">
        <v>477</v>
      </c>
      <c r="K25747" s="18" t="s">
        <v>477</v>
      </c>
    </row>
    <row r="25748">
      <c r="B25748" s="17" t="s">
        <v>477</v>
      </c>
      <c r="K25748" s="18" t="s">
        <v>477</v>
      </c>
    </row>
    <row r="25749">
      <c r="B25749" s="17" t="s">
        <v>477</v>
      </c>
      <c r="K25749" s="18" t="s">
        <v>477</v>
      </c>
    </row>
    <row r="25750">
      <c r="B25750" s="17" t="s">
        <v>477</v>
      </c>
      <c r="K25750" s="18" t="s">
        <v>477</v>
      </c>
    </row>
    <row r="25751">
      <c r="B25751" s="17" t="s">
        <v>477</v>
      </c>
      <c r="K25751" s="18" t="s">
        <v>477</v>
      </c>
    </row>
    <row r="25752">
      <c r="B25752" s="17" t="s">
        <v>477</v>
      </c>
      <c r="K25752" s="18" t="s">
        <v>477</v>
      </c>
    </row>
    <row r="25753">
      <c r="B25753" s="17" t="s">
        <v>477</v>
      </c>
      <c r="K25753" s="18" t="s">
        <v>477</v>
      </c>
    </row>
    <row r="25754">
      <c r="B25754" s="17" t="s">
        <v>477</v>
      </c>
      <c r="K25754" s="18" t="s">
        <v>477</v>
      </c>
    </row>
    <row r="25755">
      <c r="B25755" s="17" t="s">
        <v>477</v>
      </c>
      <c r="K25755" s="18" t="s">
        <v>477</v>
      </c>
    </row>
    <row r="25756">
      <c r="B25756" s="17" t="s">
        <v>477</v>
      </c>
      <c r="K25756" s="18" t="s">
        <v>477</v>
      </c>
    </row>
    <row r="25757">
      <c r="B25757" s="17" t="s">
        <v>477</v>
      </c>
      <c r="K25757" s="18" t="s">
        <v>477</v>
      </c>
    </row>
    <row r="25758">
      <c r="B25758" s="17" t="s">
        <v>477</v>
      </c>
      <c r="K25758" s="18" t="s">
        <v>477</v>
      </c>
    </row>
    <row r="25759">
      <c r="B25759" s="17" t="s">
        <v>477</v>
      </c>
      <c r="K25759" s="18" t="s">
        <v>477</v>
      </c>
    </row>
    <row r="25760">
      <c r="B25760" s="17" t="s">
        <v>477</v>
      </c>
      <c r="K25760" s="18" t="s">
        <v>477</v>
      </c>
    </row>
    <row r="25761">
      <c r="B25761" s="17" t="s">
        <v>477</v>
      </c>
      <c r="K25761" s="18" t="s">
        <v>477</v>
      </c>
    </row>
    <row r="25762">
      <c r="B25762" s="17" t="s">
        <v>477</v>
      </c>
      <c r="K25762" s="18" t="s">
        <v>477</v>
      </c>
    </row>
    <row r="25763">
      <c r="B25763" s="17" t="s">
        <v>477</v>
      </c>
      <c r="K25763" s="18" t="s">
        <v>477</v>
      </c>
    </row>
    <row r="25764">
      <c r="B25764" s="17" t="s">
        <v>477</v>
      </c>
      <c r="K25764" s="18" t="s">
        <v>477</v>
      </c>
    </row>
    <row r="25765">
      <c r="B25765" s="17" t="s">
        <v>477</v>
      </c>
      <c r="K25765" s="18" t="s">
        <v>477</v>
      </c>
    </row>
    <row r="25766">
      <c r="B25766" s="17" t="s">
        <v>477</v>
      </c>
      <c r="K25766" s="18" t="s">
        <v>477</v>
      </c>
    </row>
    <row r="25767">
      <c r="B25767" s="17" t="s">
        <v>477</v>
      </c>
      <c r="K25767" s="18" t="s">
        <v>477</v>
      </c>
    </row>
    <row r="25768">
      <c r="B25768" s="17" t="s">
        <v>477</v>
      </c>
      <c r="K25768" s="18" t="s">
        <v>477</v>
      </c>
    </row>
    <row r="25769">
      <c r="B25769" s="17" t="s">
        <v>477</v>
      </c>
      <c r="K25769" s="18" t="s">
        <v>477</v>
      </c>
    </row>
    <row r="25770">
      <c r="B25770" s="17" t="s">
        <v>477</v>
      </c>
      <c r="K25770" s="18" t="s">
        <v>477</v>
      </c>
    </row>
    <row r="25771">
      <c r="B25771" s="17" t="s">
        <v>477</v>
      </c>
      <c r="K25771" s="18" t="s">
        <v>477</v>
      </c>
    </row>
    <row r="25772">
      <c r="B25772" s="17" t="s">
        <v>477</v>
      </c>
      <c r="K25772" s="18" t="s">
        <v>477</v>
      </c>
    </row>
    <row r="25773">
      <c r="B25773" s="17" t="s">
        <v>477</v>
      </c>
      <c r="K25773" s="18" t="s">
        <v>477</v>
      </c>
    </row>
    <row r="25774">
      <c r="B25774" s="17" t="s">
        <v>477</v>
      </c>
      <c r="K25774" s="18" t="s">
        <v>477</v>
      </c>
    </row>
    <row r="25775">
      <c r="B25775" s="17" t="s">
        <v>477</v>
      </c>
      <c r="K25775" s="18" t="s">
        <v>477</v>
      </c>
    </row>
    <row r="25776">
      <c r="B25776" s="17" t="s">
        <v>477</v>
      </c>
      <c r="K25776" s="18" t="s">
        <v>477</v>
      </c>
    </row>
    <row r="25777">
      <c r="B25777" s="17" t="s">
        <v>477</v>
      </c>
      <c r="K25777" s="18" t="s">
        <v>477</v>
      </c>
    </row>
    <row r="25778">
      <c r="B25778" s="17" t="s">
        <v>477</v>
      </c>
      <c r="K25778" s="18" t="s">
        <v>477</v>
      </c>
    </row>
    <row r="25779">
      <c r="B25779" s="17" t="s">
        <v>477</v>
      </c>
      <c r="K25779" s="18" t="s">
        <v>477</v>
      </c>
    </row>
    <row r="25780">
      <c r="B25780" s="17" t="s">
        <v>477</v>
      </c>
      <c r="K25780" s="18" t="s">
        <v>477</v>
      </c>
    </row>
    <row r="25781">
      <c r="B25781" s="17" t="s">
        <v>477</v>
      </c>
      <c r="K25781" s="18" t="s">
        <v>477</v>
      </c>
    </row>
    <row r="25782">
      <c r="B25782" s="17" t="s">
        <v>477</v>
      </c>
      <c r="K25782" s="18" t="s">
        <v>477</v>
      </c>
    </row>
    <row r="25783">
      <c r="B25783" s="17" t="s">
        <v>477</v>
      </c>
      <c r="K25783" s="18" t="s">
        <v>477</v>
      </c>
    </row>
    <row r="25784">
      <c r="B25784" s="17" t="s">
        <v>477</v>
      </c>
      <c r="K25784" s="18" t="s">
        <v>477</v>
      </c>
    </row>
    <row r="25785">
      <c r="B25785" s="17" t="s">
        <v>477</v>
      </c>
      <c r="K25785" s="18" t="s">
        <v>477</v>
      </c>
    </row>
    <row r="25786">
      <c r="B25786" s="17" t="s">
        <v>477</v>
      </c>
      <c r="K25786" s="18" t="s">
        <v>477</v>
      </c>
    </row>
    <row r="25787">
      <c r="B25787" s="17" t="s">
        <v>477</v>
      </c>
      <c r="K25787" s="18" t="s">
        <v>477</v>
      </c>
    </row>
    <row r="25788">
      <c r="B25788" s="17" t="s">
        <v>477</v>
      </c>
      <c r="K25788" s="18" t="s">
        <v>477</v>
      </c>
    </row>
    <row r="25789">
      <c r="B25789" s="17" t="s">
        <v>477</v>
      </c>
      <c r="K25789" s="18" t="s">
        <v>477</v>
      </c>
    </row>
    <row r="25790">
      <c r="B25790" s="17" t="s">
        <v>477</v>
      </c>
      <c r="K25790" s="18" t="s">
        <v>477</v>
      </c>
    </row>
    <row r="25791">
      <c r="B25791" s="17" t="s">
        <v>477</v>
      </c>
      <c r="K25791" s="18" t="s">
        <v>477</v>
      </c>
    </row>
    <row r="25792">
      <c r="B25792" s="17" t="s">
        <v>477</v>
      </c>
      <c r="K25792" s="18" t="s">
        <v>477</v>
      </c>
    </row>
    <row r="25793">
      <c r="B25793" s="17" t="s">
        <v>477</v>
      </c>
      <c r="K25793" s="18" t="s">
        <v>477</v>
      </c>
    </row>
    <row r="25794">
      <c r="B25794" s="17" t="s">
        <v>477</v>
      </c>
      <c r="K25794" s="18" t="s">
        <v>477</v>
      </c>
    </row>
    <row r="25795">
      <c r="B25795" s="17" t="s">
        <v>477</v>
      </c>
      <c r="K25795" s="18" t="s">
        <v>477</v>
      </c>
    </row>
    <row r="25796">
      <c r="B25796" s="17" t="s">
        <v>477</v>
      </c>
      <c r="K25796" s="18" t="s">
        <v>477</v>
      </c>
    </row>
    <row r="25797">
      <c r="B25797" s="17" t="s">
        <v>477</v>
      </c>
      <c r="K25797" s="18" t="s">
        <v>477</v>
      </c>
    </row>
    <row r="25798">
      <c r="B25798" s="17" t="s">
        <v>477</v>
      </c>
      <c r="K25798" s="18" t="s">
        <v>477</v>
      </c>
    </row>
    <row r="25799">
      <c r="B25799" s="17" t="s">
        <v>477</v>
      </c>
      <c r="K25799" s="18" t="s">
        <v>477</v>
      </c>
    </row>
    <row r="25800">
      <c r="B25800" s="17" t="s">
        <v>477</v>
      </c>
      <c r="K25800" s="18" t="s">
        <v>477</v>
      </c>
    </row>
    <row r="25801">
      <c r="B25801" s="17" t="s">
        <v>477</v>
      </c>
      <c r="K25801" s="18" t="s">
        <v>477</v>
      </c>
    </row>
    <row r="25802">
      <c r="B25802" s="17" t="s">
        <v>477</v>
      </c>
      <c r="K25802" s="18" t="s">
        <v>477</v>
      </c>
    </row>
    <row r="25803">
      <c r="B25803" s="17" t="s">
        <v>477</v>
      </c>
      <c r="K25803" s="18" t="s">
        <v>477</v>
      </c>
    </row>
    <row r="25804">
      <c r="B25804" s="17" t="s">
        <v>477</v>
      </c>
      <c r="K25804" s="18" t="s">
        <v>477</v>
      </c>
    </row>
    <row r="25805">
      <c r="B25805" s="17" t="s">
        <v>477</v>
      </c>
      <c r="K25805" s="18" t="s">
        <v>477</v>
      </c>
    </row>
    <row r="25806">
      <c r="B25806" s="17" t="s">
        <v>477</v>
      </c>
      <c r="K25806" s="18" t="s">
        <v>477</v>
      </c>
    </row>
    <row r="25807">
      <c r="B25807" s="17" t="s">
        <v>477</v>
      </c>
      <c r="K25807" s="18" t="s">
        <v>477</v>
      </c>
    </row>
    <row r="25808">
      <c r="B25808" s="17" t="s">
        <v>477</v>
      </c>
      <c r="K25808" s="18" t="s">
        <v>477</v>
      </c>
    </row>
    <row r="25809">
      <c r="B25809" s="17" t="s">
        <v>477</v>
      </c>
      <c r="K25809" s="18" t="s">
        <v>477</v>
      </c>
    </row>
    <row r="25810">
      <c r="B25810" s="17" t="s">
        <v>477</v>
      </c>
      <c r="K25810" s="18" t="s">
        <v>477</v>
      </c>
    </row>
    <row r="25811">
      <c r="B25811" s="17" t="s">
        <v>477</v>
      </c>
      <c r="K25811" s="18" t="s">
        <v>477</v>
      </c>
    </row>
    <row r="25812">
      <c r="B25812" s="17" t="s">
        <v>477</v>
      </c>
      <c r="K25812" s="18" t="s">
        <v>477</v>
      </c>
    </row>
    <row r="25813">
      <c r="B25813" s="17" t="s">
        <v>477</v>
      </c>
      <c r="K25813" s="18" t="s">
        <v>477</v>
      </c>
    </row>
    <row r="25814">
      <c r="B25814" s="17" t="s">
        <v>477</v>
      </c>
      <c r="K25814" s="18" t="s">
        <v>477</v>
      </c>
    </row>
    <row r="25815">
      <c r="B25815" s="17" t="s">
        <v>477</v>
      </c>
      <c r="K25815" s="18" t="s">
        <v>477</v>
      </c>
    </row>
    <row r="25816">
      <c r="B25816" s="17" t="s">
        <v>477</v>
      </c>
      <c r="K25816" s="18" t="s">
        <v>477</v>
      </c>
    </row>
    <row r="25817">
      <c r="B25817" s="17" t="s">
        <v>477</v>
      </c>
      <c r="K25817" s="18" t="s">
        <v>477</v>
      </c>
    </row>
    <row r="25818">
      <c r="B25818" s="17" t="s">
        <v>477</v>
      </c>
      <c r="K25818" s="18" t="s">
        <v>477</v>
      </c>
    </row>
    <row r="25819">
      <c r="B25819" s="17" t="s">
        <v>477</v>
      </c>
      <c r="K25819" s="18" t="s">
        <v>477</v>
      </c>
    </row>
    <row r="25820">
      <c r="B25820" s="17" t="s">
        <v>477</v>
      </c>
      <c r="K25820" s="18" t="s">
        <v>477</v>
      </c>
    </row>
    <row r="25821">
      <c r="B25821" s="17" t="s">
        <v>477</v>
      </c>
      <c r="K25821" s="18" t="s">
        <v>477</v>
      </c>
    </row>
    <row r="25822">
      <c r="B25822" s="17" t="s">
        <v>477</v>
      </c>
      <c r="K25822" s="18" t="s">
        <v>477</v>
      </c>
    </row>
    <row r="25823">
      <c r="B25823" s="17" t="s">
        <v>477</v>
      </c>
      <c r="K25823" s="18" t="s">
        <v>477</v>
      </c>
    </row>
    <row r="25824">
      <c r="B25824" s="17" t="s">
        <v>477</v>
      </c>
      <c r="K25824" s="18" t="s">
        <v>477</v>
      </c>
    </row>
    <row r="25825">
      <c r="B25825" s="17" t="s">
        <v>477</v>
      </c>
      <c r="K25825" s="18" t="s">
        <v>477</v>
      </c>
    </row>
    <row r="25826">
      <c r="B25826" s="17" t="s">
        <v>477</v>
      </c>
      <c r="K25826" s="18" t="s">
        <v>477</v>
      </c>
    </row>
    <row r="25827">
      <c r="B25827" s="17" t="s">
        <v>477</v>
      </c>
      <c r="K25827" s="18" t="s">
        <v>477</v>
      </c>
    </row>
    <row r="25828">
      <c r="B25828" s="17" t="s">
        <v>477</v>
      </c>
      <c r="K25828" s="18" t="s">
        <v>477</v>
      </c>
    </row>
    <row r="25829">
      <c r="B25829" s="17" t="s">
        <v>477</v>
      </c>
      <c r="K25829" s="18" t="s">
        <v>477</v>
      </c>
    </row>
    <row r="25830">
      <c r="B25830" s="17" t="s">
        <v>477</v>
      </c>
      <c r="K25830" s="18" t="s">
        <v>477</v>
      </c>
    </row>
    <row r="25831">
      <c r="B25831" s="17" t="s">
        <v>477</v>
      </c>
      <c r="K25831" s="18" t="s">
        <v>477</v>
      </c>
    </row>
    <row r="25832">
      <c r="B25832" s="17" t="s">
        <v>477</v>
      </c>
      <c r="K25832" s="18" t="s">
        <v>477</v>
      </c>
    </row>
    <row r="25833">
      <c r="B25833" s="17" t="s">
        <v>477</v>
      </c>
      <c r="K25833" s="18" t="s">
        <v>477</v>
      </c>
    </row>
    <row r="25834">
      <c r="B25834" s="17" t="s">
        <v>477</v>
      </c>
      <c r="K25834" s="18" t="s">
        <v>477</v>
      </c>
    </row>
    <row r="25835">
      <c r="B25835" s="17" t="s">
        <v>477</v>
      </c>
      <c r="K25835" s="18" t="s">
        <v>477</v>
      </c>
    </row>
    <row r="25836">
      <c r="B25836" s="17" t="s">
        <v>477</v>
      </c>
      <c r="K25836" s="18" t="s">
        <v>477</v>
      </c>
    </row>
    <row r="25837">
      <c r="B25837" s="17" t="s">
        <v>477</v>
      </c>
      <c r="K25837" s="18" t="s">
        <v>477</v>
      </c>
    </row>
    <row r="25838">
      <c r="B25838" s="17" t="s">
        <v>477</v>
      </c>
      <c r="K25838" s="18" t="s">
        <v>477</v>
      </c>
    </row>
    <row r="25839">
      <c r="B25839" s="17" t="s">
        <v>477</v>
      </c>
      <c r="K25839" s="18" t="s">
        <v>477</v>
      </c>
    </row>
    <row r="25840">
      <c r="B25840" s="17" t="s">
        <v>477</v>
      </c>
      <c r="K25840" s="18" t="s">
        <v>477</v>
      </c>
    </row>
    <row r="25841">
      <c r="B25841" s="17" t="s">
        <v>477</v>
      </c>
      <c r="K25841" s="18" t="s">
        <v>477</v>
      </c>
    </row>
    <row r="25842">
      <c r="B25842" s="17" t="s">
        <v>477</v>
      </c>
      <c r="K25842" s="18" t="s">
        <v>477</v>
      </c>
    </row>
    <row r="25843">
      <c r="B25843" s="17" t="s">
        <v>477</v>
      </c>
      <c r="K25843" s="18" t="s">
        <v>477</v>
      </c>
    </row>
    <row r="25844">
      <c r="B25844" s="17" t="s">
        <v>477</v>
      </c>
      <c r="K25844" s="18" t="s">
        <v>477</v>
      </c>
    </row>
    <row r="25845">
      <c r="B25845" s="17" t="s">
        <v>477</v>
      </c>
      <c r="K25845" s="18" t="s">
        <v>477</v>
      </c>
    </row>
    <row r="25846">
      <c r="B25846" s="17" t="s">
        <v>477</v>
      </c>
      <c r="K25846" s="18" t="s">
        <v>477</v>
      </c>
    </row>
    <row r="25847">
      <c r="B25847" s="17" t="s">
        <v>477</v>
      </c>
      <c r="K25847" s="18" t="s">
        <v>477</v>
      </c>
    </row>
    <row r="25848">
      <c r="B25848" s="17" t="s">
        <v>477</v>
      </c>
      <c r="K25848" s="18" t="s">
        <v>477</v>
      </c>
    </row>
    <row r="25849">
      <c r="B25849" s="17" t="s">
        <v>477</v>
      </c>
      <c r="K25849" s="18" t="s">
        <v>477</v>
      </c>
    </row>
    <row r="25850">
      <c r="B25850" s="17" t="s">
        <v>477</v>
      </c>
      <c r="K25850" s="18" t="s">
        <v>477</v>
      </c>
    </row>
    <row r="25851">
      <c r="B25851" s="17" t="s">
        <v>477</v>
      </c>
      <c r="K25851" s="18" t="s">
        <v>477</v>
      </c>
    </row>
    <row r="25852">
      <c r="B25852" s="17" t="s">
        <v>477</v>
      </c>
      <c r="K25852" s="18" t="s">
        <v>477</v>
      </c>
    </row>
    <row r="25853">
      <c r="B25853" s="17" t="s">
        <v>477</v>
      </c>
      <c r="K25853" s="18" t="s">
        <v>477</v>
      </c>
    </row>
    <row r="25854">
      <c r="B25854" s="17" t="s">
        <v>477</v>
      </c>
      <c r="K25854" s="18" t="s">
        <v>477</v>
      </c>
    </row>
    <row r="25855">
      <c r="B25855" s="17" t="s">
        <v>477</v>
      </c>
      <c r="K25855" s="18" t="s">
        <v>477</v>
      </c>
    </row>
    <row r="25856">
      <c r="B25856" s="17" t="s">
        <v>477</v>
      </c>
      <c r="K25856" s="18" t="s">
        <v>477</v>
      </c>
    </row>
    <row r="25857">
      <c r="B25857" s="17" t="s">
        <v>477</v>
      </c>
      <c r="K25857" s="18" t="s">
        <v>477</v>
      </c>
    </row>
    <row r="25858">
      <c r="B25858" s="17" t="s">
        <v>477</v>
      </c>
      <c r="K25858" s="18" t="s">
        <v>477</v>
      </c>
    </row>
    <row r="25859">
      <c r="B25859" s="17" t="s">
        <v>477</v>
      </c>
      <c r="K25859" s="18" t="s">
        <v>477</v>
      </c>
    </row>
    <row r="25860">
      <c r="B25860" s="17" t="s">
        <v>477</v>
      </c>
      <c r="K25860" s="18" t="s">
        <v>477</v>
      </c>
    </row>
    <row r="25861">
      <c r="B25861" s="17" t="s">
        <v>477</v>
      </c>
      <c r="K25861" s="18" t="s">
        <v>477</v>
      </c>
    </row>
    <row r="25862">
      <c r="B25862" s="17" t="s">
        <v>477</v>
      </c>
      <c r="K25862" s="18" t="s">
        <v>477</v>
      </c>
    </row>
    <row r="25863">
      <c r="B25863" s="17" t="s">
        <v>477</v>
      </c>
      <c r="K25863" s="18" t="s">
        <v>477</v>
      </c>
    </row>
    <row r="25864">
      <c r="B25864" s="17" t="s">
        <v>477</v>
      </c>
      <c r="K25864" s="18" t="s">
        <v>477</v>
      </c>
    </row>
    <row r="25865">
      <c r="B25865" s="17" t="s">
        <v>477</v>
      </c>
      <c r="K25865" s="18" t="s">
        <v>477</v>
      </c>
    </row>
    <row r="25866">
      <c r="B25866" s="17" t="s">
        <v>477</v>
      </c>
      <c r="K25866" s="18" t="s">
        <v>477</v>
      </c>
    </row>
    <row r="25867">
      <c r="B25867" s="17" t="s">
        <v>477</v>
      </c>
      <c r="K25867" s="18" t="s">
        <v>477</v>
      </c>
    </row>
    <row r="25868">
      <c r="B25868" s="17" t="s">
        <v>477</v>
      </c>
      <c r="K25868" s="18" t="s">
        <v>477</v>
      </c>
    </row>
    <row r="25869">
      <c r="B25869" s="17" t="s">
        <v>477</v>
      </c>
      <c r="K25869" s="18" t="s">
        <v>477</v>
      </c>
    </row>
    <row r="25870">
      <c r="B25870" s="17" t="s">
        <v>477</v>
      </c>
      <c r="K25870" s="18" t="s">
        <v>477</v>
      </c>
    </row>
    <row r="25871">
      <c r="B25871" s="17" t="s">
        <v>477</v>
      </c>
      <c r="K25871" s="18" t="s">
        <v>477</v>
      </c>
    </row>
    <row r="25872">
      <c r="B25872" s="17" t="s">
        <v>477</v>
      </c>
      <c r="K25872" s="18" t="s">
        <v>477</v>
      </c>
    </row>
    <row r="25873">
      <c r="B25873" s="17" t="s">
        <v>477</v>
      </c>
      <c r="K25873" s="18" t="s">
        <v>477</v>
      </c>
    </row>
    <row r="25874">
      <c r="B25874" s="17" t="s">
        <v>477</v>
      </c>
      <c r="K25874" s="18" t="s">
        <v>477</v>
      </c>
    </row>
    <row r="25875">
      <c r="B25875" s="17" t="s">
        <v>477</v>
      </c>
      <c r="K25875" s="18" t="s">
        <v>477</v>
      </c>
    </row>
    <row r="25876">
      <c r="B25876" s="17" t="s">
        <v>477</v>
      </c>
      <c r="K25876" s="18" t="s">
        <v>477</v>
      </c>
    </row>
    <row r="25877">
      <c r="B25877" s="17" t="s">
        <v>477</v>
      </c>
      <c r="K25877" s="18" t="s">
        <v>477</v>
      </c>
    </row>
    <row r="25878">
      <c r="B25878" s="17" t="s">
        <v>477</v>
      </c>
      <c r="K25878" s="18" t="s">
        <v>477</v>
      </c>
    </row>
    <row r="25879">
      <c r="B25879" s="17" t="s">
        <v>477</v>
      </c>
      <c r="K25879" s="18" t="s">
        <v>477</v>
      </c>
    </row>
    <row r="25880">
      <c r="B25880" s="17" t="s">
        <v>477</v>
      </c>
      <c r="K25880" s="18" t="s">
        <v>477</v>
      </c>
    </row>
    <row r="25881">
      <c r="B25881" s="17" t="s">
        <v>477</v>
      </c>
      <c r="K25881" s="18" t="s">
        <v>477</v>
      </c>
    </row>
    <row r="25882">
      <c r="B25882" s="17" t="s">
        <v>477</v>
      </c>
      <c r="K25882" s="18" t="s">
        <v>477</v>
      </c>
    </row>
    <row r="25883">
      <c r="B25883" s="17" t="s">
        <v>477</v>
      </c>
      <c r="K25883" s="18" t="s">
        <v>477</v>
      </c>
    </row>
    <row r="25884">
      <c r="B25884" s="17" t="s">
        <v>477</v>
      </c>
      <c r="K25884" s="18" t="s">
        <v>477</v>
      </c>
    </row>
    <row r="25885">
      <c r="B25885" s="17" t="s">
        <v>477</v>
      </c>
      <c r="K25885" s="18" t="s">
        <v>477</v>
      </c>
    </row>
    <row r="25886">
      <c r="B25886" s="17" t="s">
        <v>477</v>
      </c>
      <c r="K25886" s="18" t="s">
        <v>477</v>
      </c>
    </row>
    <row r="25887">
      <c r="B25887" s="17" t="s">
        <v>477</v>
      </c>
      <c r="K25887" s="18" t="s">
        <v>477</v>
      </c>
    </row>
    <row r="25888">
      <c r="B25888" s="17" t="s">
        <v>477</v>
      </c>
      <c r="K25888" s="18" t="s">
        <v>477</v>
      </c>
    </row>
    <row r="25889">
      <c r="B25889" s="17" t="s">
        <v>477</v>
      </c>
      <c r="K25889" s="18" t="s">
        <v>477</v>
      </c>
    </row>
    <row r="25890">
      <c r="B25890" s="17" t="s">
        <v>477</v>
      </c>
      <c r="K25890" s="18" t="s">
        <v>477</v>
      </c>
    </row>
    <row r="25891">
      <c r="B25891" s="17" t="s">
        <v>477</v>
      </c>
      <c r="K25891" s="18" t="s">
        <v>477</v>
      </c>
    </row>
    <row r="25892">
      <c r="B25892" s="17" t="s">
        <v>477</v>
      </c>
      <c r="K25892" s="18" t="s">
        <v>477</v>
      </c>
    </row>
    <row r="25893">
      <c r="B25893" s="17" t="s">
        <v>477</v>
      </c>
      <c r="K25893" s="18" t="s">
        <v>477</v>
      </c>
    </row>
    <row r="25894">
      <c r="B25894" s="17" t="s">
        <v>477</v>
      </c>
      <c r="K25894" s="18" t="s">
        <v>477</v>
      </c>
    </row>
    <row r="25895">
      <c r="B25895" s="17" t="s">
        <v>477</v>
      </c>
      <c r="K25895" s="18" t="s">
        <v>477</v>
      </c>
    </row>
    <row r="25896">
      <c r="B25896" s="17" t="s">
        <v>477</v>
      </c>
      <c r="K25896" s="18" t="s">
        <v>477</v>
      </c>
    </row>
    <row r="25897">
      <c r="B25897" s="17" t="s">
        <v>477</v>
      </c>
      <c r="K25897" s="18" t="s">
        <v>477</v>
      </c>
    </row>
    <row r="25898">
      <c r="B25898" s="17" t="s">
        <v>477</v>
      </c>
      <c r="K25898" s="18" t="s">
        <v>477</v>
      </c>
    </row>
    <row r="25899">
      <c r="B25899" s="17" t="s">
        <v>477</v>
      </c>
      <c r="K25899" s="18" t="s">
        <v>477</v>
      </c>
    </row>
    <row r="25900">
      <c r="B25900" s="17" t="s">
        <v>477</v>
      </c>
      <c r="K25900" s="18" t="s">
        <v>477</v>
      </c>
    </row>
    <row r="25901">
      <c r="B25901" s="17" t="s">
        <v>477</v>
      </c>
      <c r="K25901" s="18" t="s">
        <v>477</v>
      </c>
    </row>
    <row r="25902">
      <c r="B25902" s="17" t="s">
        <v>477</v>
      </c>
      <c r="K25902" s="18" t="s">
        <v>477</v>
      </c>
    </row>
    <row r="25903">
      <c r="B25903" s="17" t="s">
        <v>477</v>
      </c>
      <c r="K25903" s="18" t="s">
        <v>477</v>
      </c>
    </row>
    <row r="25904">
      <c r="B25904" s="17" t="s">
        <v>477</v>
      </c>
      <c r="K25904" s="18" t="s">
        <v>477</v>
      </c>
    </row>
    <row r="25905">
      <c r="B25905" s="17" t="s">
        <v>477</v>
      </c>
      <c r="K25905" s="18" t="s">
        <v>477</v>
      </c>
    </row>
    <row r="25906">
      <c r="B25906" s="17" t="s">
        <v>477</v>
      </c>
      <c r="K25906" s="18" t="s">
        <v>477</v>
      </c>
    </row>
    <row r="25907">
      <c r="B25907" s="17" t="s">
        <v>477</v>
      </c>
      <c r="K25907" s="18" t="s">
        <v>477</v>
      </c>
    </row>
    <row r="25908">
      <c r="B25908" s="17" t="s">
        <v>477</v>
      </c>
      <c r="K25908" s="18" t="s">
        <v>477</v>
      </c>
    </row>
    <row r="25909">
      <c r="B25909" s="17" t="s">
        <v>477</v>
      </c>
      <c r="K25909" s="18" t="s">
        <v>477</v>
      </c>
    </row>
    <row r="25910">
      <c r="B25910" s="17" t="s">
        <v>477</v>
      </c>
      <c r="K25910" s="18" t="s">
        <v>477</v>
      </c>
    </row>
    <row r="25911">
      <c r="B25911" s="17" t="s">
        <v>477</v>
      </c>
      <c r="K25911" s="18" t="s">
        <v>477</v>
      </c>
    </row>
    <row r="25912">
      <c r="B25912" s="17" t="s">
        <v>477</v>
      </c>
      <c r="K25912" s="18" t="s">
        <v>477</v>
      </c>
    </row>
    <row r="25913">
      <c r="B25913" s="17" t="s">
        <v>477</v>
      </c>
      <c r="K25913" s="18" t="s">
        <v>477</v>
      </c>
    </row>
    <row r="25914">
      <c r="B25914" s="17" t="s">
        <v>477</v>
      </c>
      <c r="K25914" s="18" t="s">
        <v>477</v>
      </c>
    </row>
    <row r="25915">
      <c r="B25915" s="17" t="s">
        <v>477</v>
      </c>
      <c r="K25915" s="18" t="s">
        <v>477</v>
      </c>
    </row>
    <row r="25916">
      <c r="B25916" s="17" t="s">
        <v>477</v>
      </c>
      <c r="K25916" s="18" t="s">
        <v>477</v>
      </c>
    </row>
    <row r="25917">
      <c r="B25917" s="17" t="s">
        <v>477</v>
      </c>
      <c r="K25917" s="18" t="s">
        <v>477</v>
      </c>
    </row>
    <row r="25918">
      <c r="B25918" s="17" t="s">
        <v>477</v>
      </c>
      <c r="K25918" s="18" t="s">
        <v>477</v>
      </c>
    </row>
    <row r="25919">
      <c r="B25919" s="17" t="s">
        <v>477</v>
      </c>
      <c r="K25919" s="18" t="s">
        <v>477</v>
      </c>
    </row>
    <row r="25920">
      <c r="B25920" s="17" t="s">
        <v>477</v>
      </c>
      <c r="K25920" s="18" t="s">
        <v>477</v>
      </c>
    </row>
    <row r="25921">
      <c r="B25921" s="17" t="s">
        <v>477</v>
      </c>
      <c r="K25921" s="18" t="s">
        <v>477</v>
      </c>
    </row>
    <row r="25922">
      <c r="B25922" s="17" t="s">
        <v>477</v>
      </c>
      <c r="K25922" s="18" t="s">
        <v>477</v>
      </c>
    </row>
    <row r="25923">
      <c r="B25923" s="17" t="s">
        <v>477</v>
      </c>
      <c r="K25923" s="18" t="s">
        <v>477</v>
      </c>
    </row>
    <row r="25924">
      <c r="B25924" s="17" t="s">
        <v>477</v>
      </c>
      <c r="K25924" s="18" t="s">
        <v>477</v>
      </c>
    </row>
    <row r="25925">
      <c r="B25925" s="17" t="s">
        <v>477</v>
      </c>
      <c r="K25925" s="18" t="s">
        <v>477</v>
      </c>
    </row>
    <row r="25926">
      <c r="B25926" s="17" t="s">
        <v>477</v>
      </c>
      <c r="K25926" s="18" t="s">
        <v>477</v>
      </c>
    </row>
    <row r="25927">
      <c r="B25927" s="17" t="s">
        <v>477</v>
      </c>
      <c r="K25927" s="18" t="s">
        <v>477</v>
      </c>
    </row>
    <row r="25928">
      <c r="B25928" s="17" t="s">
        <v>477</v>
      </c>
      <c r="K25928" s="18" t="s">
        <v>477</v>
      </c>
    </row>
    <row r="25929">
      <c r="B25929" s="17" t="s">
        <v>477</v>
      </c>
      <c r="K25929" s="18" t="s">
        <v>477</v>
      </c>
    </row>
    <row r="25930">
      <c r="B25930" s="17" t="s">
        <v>477</v>
      </c>
      <c r="K25930" s="18" t="s">
        <v>477</v>
      </c>
    </row>
    <row r="25931">
      <c r="B25931" s="17" t="s">
        <v>477</v>
      </c>
      <c r="K25931" s="18" t="s">
        <v>477</v>
      </c>
    </row>
    <row r="25932">
      <c r="B25932" s="17" t="s">
        <v>477</v>
      </c>
      <c r="K25932" s="18" t="s">
        <v>477</v>
      </c>
    </row>
    <row r="25933">
      <c r="B25933" s="17" t="s">
        <v>477</v>
      </c>
      <c r="K25933" s="18" t="s">
        <v>477</v>
      </c>
    </row>
    <row r="25934">
      <c r="B25934" s="17" t="s">
        <v>477</v>
      </c>
      <c r="K25934" s="18" t="s">
        <v>477</v>
      </c>
    </row>
    <row r="25935">
      <c r="B25935" s="17" t="s">
        <v>477</v>
      </c>
      <c r="K25935" s="18" t="s">
        <v>477</v>
      </c>
    </row>
    <row r="25936">
      <c r="B25936" s="17" t="s">
        <v>477</v>
      </c>
      <c r="K25936" s="18" t="s">
        <v>477</v>
      </c>
    </row>
    <row r="25937">
      <c r="B25937" s="17" t="s">
        <v>477</v>
      </c>
      <c r="K25937" s="18" t="s">
        <v>477</v>
      </c>
    </row>
    <row r="25938">
      <c r="B25938" s="17" t="s">
        <v>477</v>
      </c>
      <c r="K25938" s="18" t="s">
        <v>477</v>
      </c>
    </row>
    <row r="25939">
      <c r="B25939" s="17" t="s">
        <v>477</v>
      </c>
      <c r="K25939" s="18" t="s">
        <v>477</v>
      </c>
    </row>
    <row r="25940">
      <c r="B25940" s="17" t="s">
        <v>477</v>
      </c>
      <c r="K25940" s="18" t="s">
        <v>477</v>
      </c>
    </row>
    <row r="25941">
      <c r="B25941" s="17" t="s">
        <v>477</v>
      </c>
      <c r="K25941" s="18" t="s">
        <v>477</v>
      </c>
    </row>
    <row r="25942">
      <c r="B25942" s="17" t="s">
        <v>477</v>
      </c>
      <c r="K25942" s="18" t="s">
        <v>477</v>
      </c>
    </row>
    <row r="25943">
      <c r="B25943" s="17" t="s">
        <v>477</v>
      </c>
      <c r="K25943" s="18" t="s">
        <v>477</v>
      </c>
    </row>
    <row r="25944">
      <c r="B25944" s="17" t="s">
        <v>477</v>
      </c>
      <c r="K25944" s="18" t="s">
        <v>477</v>
      </c>
    </row>
    <row r="25945">
      <c r="B25945" s="17" t="s">
        <v>477</v>
      </c>
      <c r="K25945" s="18" t="s">
        <v>477</v>
      </c>
    </row>
    <row r="25946">
      <c r="B25946" s="17" t="s">
        <v>477</v>
      </c>
      <c r="K25946" s="18" t="s">
        <v>477</v>
      </c>
    </row>
    <row r="25947">
      <c r="B25947" s="17" t="s">
        <v>477</v>
      </c>
      <c r="K25947" s="18" t="s">
        <v>477</v>
      </c>
    </row>
    <row r="25948">
      <c r="B25948" s="17" t="s">
        <v>477</v>
      </c>
      <c r="K25948" s="18" t="s">
        <v>477</v>
      </c>
    </row>
    <row r="25949">
      <c r="B25949" s="17" t="s">
        <v>477</v>
      </c>
      <c r="K25949" s="18" t="s">
        <v>477</v>
      </c>
    </row>
    <row r="25950">
      <c r="B25950" s="17" t="s">
        <v>477</v>
      </c>
      <c r="K25950" s="18" t="s">
        <v>477</v>
      </c>
    </row>
    <row r="25951">
      <c r="B25951" s="17" t="s">
        <v>477</v>
      </c>
      <c r="K25951" s="18" t="s">
        <v>477</v>
      </c>
    </row>
    <row r="25952">
      <c r="B25952" s="17" t="s">
        <v>477</v>
      </c>
      <c r="K25952" s="18" t="s">
        <v>477</v>
      </c>
    </row>
    <row r="25953">
      <c r="B25953" s="17" t="s">
        <v>477</v>
      </c>
      <c r="K25953" s="18" t="s">
        <v>477</v>
      </c>
    </row>
    <row r="25954">
      <c r="B25954" s="17" t="s">
        <v>477</v>
      </c>
      <c r="K25954" s="18" t="s">
        <v>477</v>
      </c>
    </row>
    <row r="25955">
      <c r="B25955" s="17" t="s">
        <v>477</v>
      </c>
      <c r="K25955" s="18" t="s">
        <v>477</v>
      </c>
    </row>
    <row r="25956">
      <c r="B25956" s="17" t="s">
        <v>477</v>
      </c>
      <c r="K25956" s="18" t="s">
        <v>477</v>
      </c>
    </row>
    <row r="25957">
      <c r="B25957" s="17" t="s">
        <v>477</v>
      </c>
      <c r="K25957" s="18" t="s">
        <v>477</v>
      </c>
    </row>
    <row r="25958">
      <c r="B25958" s="17" t="s">
        <v>477</v>
      </c>
      <c r="K25958" s="18" t="s">
        <v>477</v>
      </c>
    </row>
    <row r="25959">
      <c r="B25959" s="17" t="s">
        <v>477</v>
      </c>
      <c r="K25959" s="18" t="s">
        <v>477</v>
      </c>
    </row>
    <row r="25960">
      <c r="B25960" s="17" t="s">
        <v>477</v>
      </c>
      <c r="K25960" s="18" t="s">
        <v>477</v>
      </c>
    </row>
    <row r="25961">
      <c r="B25961" s="17" t="s">
        <v>477</v>
      </c>
      <c r="K25961" s="18" t="s">
        <v>477</v>
      </c>
    </row>
    <row r="25962">
      <c r="B25962" s="17" t="s">
        <v>477</v>
      </c>
      <c r="K25962" s="18" t="s">
        <v>477</v>
      </c>
    </row>
    <row r="25963">
      <c r="B25963" s="17" t="s">
        <v>477</v>
      </c>
      <c r="K25963" s="18" t="s">
        <v>477</v>
      </c>
    </row>
    <row r="25964">
      <c r="B25964" s="17" t="s">
        <v>477</v>
      </c>
      <c r="K25964" s="18" t="s">
        <v>477</v>
      </c>
    </row>
    <row r="25965">
      <c r="B25965" s="17" t="s">
        <v>477</v>
      </c>
      <c r="K25965" s="18" t="s">
        <v>477</v>
      </c>
    </row>
    <row r="25966">
      <c r="B25966" s="17" t="s">
        <v>477</v>
      </c>
      <c r="K25966" s="18" t="s">
        <v>477</v>
      </c>
    </row>
    <row r="25967">
      <c r="B25967" s="17" t="s">
        <v>477</v>
      </c>
      <c r="K25967" s="18" t="s">
        <v>477</v>
      </c>
    </row>
    <row r="25968">
      <c r="B25968" s="17" t="s">
        <v>477</v>
      </c>
      <c r="K25968" s="18" t="s">
        <v>477</v>
      </c>
    </row>
    <row r="25969">
      <c r="B25969" s="17" t="s">
        <v>477</v>
      </c>
      <c r="K25969" s="18" t="s">
        <v>477</v>
      </c>
    </row>
    <row r="25970">
      <c r="B25970" s="17" t="s">
        <v>477</v>
      </c>
      <c r="K25970" s="18" t="s">
        <v>477</v>
      </c>
    </row>
    <row r="25971">
      <c r="B25971" s="17" t="s">
        <v>477</v>
      </c>
      <c r="K25971" s="18" t="s">
        <v>477</v>
      </c>
    </row>
    <row r="25972">
      <c r="B25972" s="17" t="s">
        <v>477</v>
      </c>
      <c r="K25972" s="18" t="s">
        <v>477</v>
      </c>
    </row>
    <row r="25973">
      <c r="B25973" s="17" t="s">
        <v>477</v>
      </c>
      <c r="K25973" s="18" t="s">
        <v>477</v>
      </c>
    </row>
    <row r="25974">
      <c r="B25974" s="17" t="s">
        <v>477</v>
      </c>
      <c r="K25974" s="18" t="s">
        <v>477</v>
      </c>
    </row>
    <row r="25975">
      <c r="B25975" s="17" t="s">
        <v>477</v>
      </c>
      <c r="K25975" s="18" t="s">
        <v>477</v>
      </c>
    </row>
    <row r="25976">
      <c r="B25976" s="17" t="s">
        <v>477</v>
      </c>
      <c r="K25976" s="18" t="s">
        <v>477</v>
      </c>
    </row>
    <row r="25977">
      <c r="B25977" s="17" t="s">
        <v>477</v>
      </c>
      <c r="K25977" s="18" t="s">
        <v>477</v>
      </c>
    </row>
    <row r="25978">
      <c r="B25978" s="17" t="s">
        <v>477</v>
      </c>
      <c r="K25978" s="18" t="s">
        <v>477</v>
      </c>
    </row>
    <row r="25979">
      <c r="B25979" s="17" t="s">
        <v>477</v>
      </c>
      <c r="K25979" s="18" t="s">
        <v>477</v>
      </c>
    </row>
    <row r="25980">
      <c r="B25980" s="17" t="s">
        <v>477</v>
      </c>
      <c r="K25980" s="18" t="s">
        <v>477</v>
      </c>
    </row>
    <row r="25981">
      <c r="B25981" s="17" t="s">
        <v>477</v>
      </c>
      <c r="K25981" s="18" t="s">
        <v>477</v>
      </c>
    </row>
    <row r="25982">
      <c r="B25982" s="17" t="s">
        <v>477</v>
      </c>
      <c r="K25982" s="18" t="s">
        <v>477</v>
      </c>
    </row>
    <row r="25983">
      <c r="B25983" s="17" t="s">
        <v>477</v>
      </c>
      <c r="K25983" s="18" t="s">
        <v>477</v>
      </c>
    </row>
    <row r="25984">
      <c r="B25984" s="17" t="s">
        <v>477</v>
      </c>
      <c r="K25984" s="18" t="s">
        <v>477</v>
      </c>
    </row>
    <row r="25985">
      <c r="B25985" s="17" t="s">
        <v>477</v>
      </c>
      <c r="K25985" s="18" t="s">
        <v>477</v>
      </c>
    </row>
    <row r="25986">
      <c r="B25986" s="17" t="s">
        <v>477</v>
      </c>
      <c r="K25986" s="18" t="s">
        <v>477</v>
      </c>
    </row>
    <row r="25987">
      <c r="B25987" s="17" t="s">
        <v>477</v>
      </c>
      <c r="K25987" s="18" t="s">
        <v>477</v>
      </c>
    </row>
    <row r="25988">
      <c r="B25988" s="17" t="s">
        <v>477</v>
      </c>
      <c r="K25988" s="18" t="s">
        <v>477</v>
      </c>
    </row>
    <row r="25989">
      <c r="B25989" s="17" t="s">
        <v>477</v>
      </c>
      <c r="K25989" s="18" t="s">
        <v>477</v>
      </c>
    </row>
    <row r="25990">
      <c r="B25990" s="17" t="s">
        <v>477</v>
      </c>
      <c r="K25990" s="18" t="s">
        <v>477</v>
      </c>
    </row>
    <row r="25991">
      <c r="B25991" s="17" t="s">
        <v>477</v>
      </c>
      <c r="K25991" s="18" t="s">
        <v>477</v>
      </c>
    </row>
    <row r="25992">
      <c r="B25992" s="17" t="s">
        <v>477</v>
      </c>
      <c r="K25992" s="18" t="s">
        <v>477</v>
      </c>
    </row>
    <row r="25993">
      <c r="B25993" s="17" t="s">
        <v>477</v>
      </c>
      <c r="K25993" s="18" t="s">
        <v>477</v>
      </c>
    </row>
    <row r="25994">
      <c r="B25994" s="17" t="s">
        <v>477</v>
      </c>
      <c r="K25994" s="18" t="s">
        <v>477</v>
      </c>
    </row>
    <row r="25995">
      <c r="B25995" s="17" t="s">
        <v>477</v>
      </c>
      <c r="K25995" s="18" t="s">
        <v>477</v>
      </c>
    </row>
    <row r="25996">
      <c r="B25996" s="17" t="s">
        <v>477</v>
      </c>
      <c r="K25996" s="18" t="s">
        <v>477</v>
      </c>
    </row>
    <row r="25997">
      <c r="B25997" s="17" t="s">
        <v>477</v>
      </c>
      <c r="K25997" s="18" t="s">
        <v>477</v>
      </c>
    </row>
    <row r="25998">
      <c r="B25998" s="17" t="s">
        <v>477</v>
      </c>
      <c r="K25998" s="18" t="s">
        <v>477</v>
      </c>
    </row>
    <row r="25999">
      <c r="B25999" s="17" t="s">
        <v>477</v>
      </c>
      <c r="K25999" s="18" t="s">
        <v>477</v>
      </c>
    </row>
    <row r="26000">
      <c r="B26000" s="17" t="s">
        <v>477</v>
      </c>
      <c r="K26000" s="18" t="s">
        <v>477</v>
      </c>
    </row>
    <row r="26001">
      <c r="B26001" s="17" t="s">
        <v>477</v>
      </c>
      <c r="K26001" s="18" t="s">
        <v>477</v>
      </c>
    </row>
    <row r="26002">
      <c r="B26002" s="17" t="s">
        <v>477</v>
      </c>
      <c r="K26002" s="18" t="s">
        <v>477</v>
      </c>
    </row>
    <row r="26003">
      <c r="B26003" s="17" t="s">
        <v>477</v>
      </c>
      <c r="K26003" s="18" t="s">
        <v>477</v>
      </c>
    </row>
    <row r="26004">
      <c r="B26004" s="17" t="s">
        <v>477</v>
      </c>
      <c r="K26004" s="18" t="s">
        <v>477</v>
      </c>
    </row>
    <row r="26005">
      <c r="B26005" s="17" t="s">
        <v>477</v>
      </c>
      <c r="K26005" s="18" t="s">
        <v>477</v>
      </c>
    </row>
    <row r="26006">
      <c r="B26006" s="17" t="s">
        <v>477</v>
      </c>
      <c r="K26006" s="18" t="s">
        <v>477</v>
      </c>
    </row>
    <row r="26007">
      <c r="B26007" s="17" t="s">
        <v>477</v>
      </c>
      <c r="K26007" s="18" t="s">
        <v>477</v>
      </c>
    </row>
    <row r="26008">
      <c r="B26008" s="17" t="s">
        <v>477</v>
      </c>
      <c r="K26008" s="18" t="s">
        <v>477</v>
      </c>
    </row>
    <row r="26009">
      <c r="B26009" s="17" t="s">
        <v>477</v>
      </c>
      <c r="K26009" s="18" t="s">
        <v>477</v>
      </c>
    </row>
    <row r="26010">
      <c r="B26010" s="17" t="s">
        <v>477</v>
      </c>
      <c r="K26010" s="18" t="s">
        <v>477</v>
      </c>
    </row>
    <row r="26011">
      <c r="B26011" s="17" t="s">
        <v>477</v>
      </c>
      <c r="K26011" s="18" t="s">
        <v>477</v>
      </c>
    </row>
    <row r="26012">
      <c r="B26012" s="17" t="s">
        <v>477</v>
      </c>
      <c r="K26012" s="18" t="s">
        <v>477</v>
      </c>
    </row>
    <row r="26013">
      <c r="B26013" s="17" t="s">
        <v>477</v>
      </c>
      <c r="K26013" s="18" t="s">
        <v>477</v>
      </c>
    </row>
    <row r="26014">
      <c r="B26014" s="17" t="s">
        <v>477</v>
      </c>
      <c r="K26014" s="18" t="s">
        <v>477</v>
      </c>
    </row>
    <row r="26015">
      <c r="B26015" s="17" t="s">
        <v>477</v>
      </c>
      <c r="K26015" s="18" t="s">
        <v>477</v>
      </c>
    </row>
    <row r="26016">
      <c r="B26016" s="17" t="s">
        <v>477</v>
      </c>
      <c r="K26016" s="18" t="s">
        <v>477</v>
      </c>
    </row>
    <row r="26017">
      <c r="B26017" s="17" t="s">
        <v>477</v>
      </c>
      <c r="K26017" s="18" t="s">
        <v>477</v>
      </c>
    </row>
    <row r="26018">
      <c r="B26018" s="17" t="s">
        <v>477</v>
      </c>
      <c r="K26018" s="18" t="s">
        <v>477</v>
      </c>
    </row>
    <row r="26019">
      <c r="B26019" s="17" t="s">
        <v>477</v>
      </c>
      <c r="K26019" s="18" t="s">
        <v>477</v>
      </c>
    </row>
    <row r="26020">
      <c r="B26020" s="17" t="s">
        <v>477</v>
      </c>
      <c r="K26020" s="18" t="s">
        <v>477</v>
      </c>
    </row>
    <row r="26021">
      <c r="B26021" s="17" t="s">
        <v>477</v>
      </c>
      <c r="K26021" s="18" t="s">
        <v>477</v>
      </c>
    </row>
    <row r="26022">
      <c r="B26022" s="17" t="s">
        <v>477</v>
      </c>
      <c r="K26022" s="18" t="s">
        <v>477</v>
      </c>
    </row>
    <row r="26023">
      <c r="B26023" s="17" t="s">
        <v>477</v>
      </c>
      <c r="K26023" s="18" t="s">
        <v>477</v>
      </c>
    </row>
    <row r="26024">
      <c r="B26024" s="17" t="s">
        <v>477</v>
      </c>
      <c r="K26024" s="18" t="s">
        <v>477</v>
      </c>
    </row>
    <row r="26025">
      <c r="B26025" s="17" t="s">
        <v>477</v>
      </c>
      <c r="K26025" s="18" t="s">
        <v>477</v>
      </c>
    </row>
    <row r="26026">
      <c r="B26026" s="17" t="s">
        <v>477</v>
      </c>
      <c r="K26026" s="18" t="s">
        <v>477</v>
      </c>
    </row>
    <row r="26027">
      <c r="B26027" s="17" t="s">
        <v>477</v>
      </c>
      <c r="K26027" s="18" t="s">
        <v>477</v>
      </c>
    </row>
    <row r="26028">
      <c r="B26028" s="17" t="s">
        <v>477</v>
      </c>
      <c r="K26028" s="18" t="s">
        <v>477</v>
      </c>
    </row>
    <row r="26029">
      <c r="B26029" s="17" t="s">
        <v>477</v>
      </c>
      <c r="K26029" s="18" t="s">
        <v>477</v>
      </c>
    </row>
    <row r="26030">
      <c r="B26030" s="17" t="s">
        <v>477</v>
      </c>
      <c r="K26030" s="18" t="s">
        <v>477</v>
      </c>
    </row>
    <row r="26031">
      <c r="B26031" s="17" t="s">
        <v>477</v>
      </c>
      <c r="K26031" s="18" t="s">
        <v>477</v>
      </c>
    </row>
    <row r="26032">
      <c r="B26032" s="17" t="s">
        <v>477</v>
      </c>
      <c r="K26032" s="18" t="s">
        <v>477</v>
      </c>
    </row>
    <row r="26033">
      <c r="B26033" s="17" t="s">
        <v>477</v>
      </c>
      <c r="K26033" s="18" t="s">
        <v>477</v>
      </c>
    </row>
    <row r="26034">
      <c r="B26034" s="17" t="s">
        <v>477</v>
      </c>
      <c r="K26034" s="18" t="s">
        <v>477</v>
      </c>
    </row>
    <row r="26035">
      <c r="B26035" s="17" t="s">
        <v>477</v>
      </c>
      <c r="K26035" s="18" t="s">
        <v>477</v>
      </c>
    </row>
    <row r="26036">
      <c r="B26036" s="17" t="s">
        <v>477</v>
      </c>
      <c r="K26036" s="18" t="s">
        <v>477</v>
      </c>
    </row>
    <row r="26037">
      <c r="B26037" s="17" t="s">
        <v>477</v>
      </c>
      <c r="K26037" s="18" t="s">
        <v>477</v>
      </c>
    </row>
    <row r="26038">
      <c r="B26038" s="17" t="s">
        <v>477</v>
      </c>
      <c r="K26038" s="18" t="s">
        <v>477</v>
      </c>
    </row>
    <row r="26039">
      <c r="B26039" s="17" t="s">
        <v>477</v>
      </c>
      <c r="K26039" s="18" t="s">
        <v>477</v>
      </c>
    </row>
    <row r="26040">
      <c r="B26040" s="17" t="s">
        <v>477</v>
      </c>
      <c r="K26040" s="18" t="s">
        <v>477</v>
      </c>
    </row>
    <row r="26041">
      <c r="B26041" s="17" t="s">
        <v>477</v>
      </c>
      <c r="K26041" s="18" t="s">
        <v>477</v>
      </c>
    </row>
    <row r="26042">
      <c r="B26042" s="17" t="s">
        <v>477</v>
      </c>
      <c r="K26042" s="18" t="s">
        <v>477</v>
      </c>
    </row>
    <row r="26043">
      <c r="B26043" s="17" t="s">
        <v>477</v>
      </c>
      <c r="K26043" s="18" t="s">
        <v>477</v>
      </c>
    </row>
    <row r="26044">
      <c r="B26044" s="17" t="s">
        <v>477</v>
      </c>
      <c r="K26044" s="18" t="s">
        <v>477</v>
      </c>
    </row>
    <row r="26045">
      <c r="B26045" s="17" t="s">
        <v>477</v>
      </c>
      <c r="K26045" s="18" t="s">
        <v>477</v>
      </c>
    </row>
    <row r="26046">
      <c r="B26046" s="17" t="s">
        <v>477</v>
      </c>
      <c r="K26046" s="18" t="s">
        <v>477</v>
      </c>
    </row>
    <row r="26047">
      <c r="B26047" s="17" t="s">
        <v>477</v>
      </c>
      <c r="K26047" s="18" t="s">
        <v>477</v>
      </c>
    </row>
    <row r="26048">
      <c r="B26048" s="17" t="s">
        <v>477</v>
      </c>
      <c r="K26048" s="18" t="s">
        <v>477</v>
      </c>
    </row>
    <row r="26049">
      <c r="B26049" s="17" t="s">
        <v>477</v>
      </c>
      <c r="K26049" s="18" t="s">
        <v>477</v>
      </c>
    </row>
    <row r="26050">
      <c r="B26050" s="17" t="s">
        <v>477</v>
      </c>
      <c r="K26050" s="18" t="s">
        <v>477</v>
      </c>
    </row>
    <row r="26051">
      <c r="B26051" s="17" t="s">
        <v>477</v>
      </c>
      <c r="K26051" s="18" t="s">
        <v>477</v>
      </c>
    </row>
    <row r="26052">
      <c r="B26052" s="17" t="s">
        <v>477</v>
      </c>
      <c r="K26052" s="18" t="s">
        <v>477</v>
      </c>
    </row>
    <row r="26053">
      <c r="B26053" s="17" t="s">
        <v>477</v>
      </c>
      <c r="K26053" s="18" t="s">
        <v>477</v>
      </c>
    </row>
    <row r="26054">
      <c r="B26054" s="17" t="s">
        <v>477</v>
      </c>
      <c r="K26054" s="18" t="s">
        <v>477</v>
      </c>
    </row>
    <row r="26055">
      <c r="B26055" s="17" t="s">
        <v>477</v>
      </c>
      <c r="K26055" s="18" t="s">
        <v>477</v>
      </c>
    </row>
    <row r="26056">
      <c r="B26056" s="17" t="s">
        <v>477</v>
      </c>
      <c r="K26056" s="18" t="s">
        <v>477</v>
      </c>
    </row>
    <row r="26057">
      <c r="B26057" s="17" t="s">
        <v>477</v>
      </c>
      <c r="K26057" s="18" t="s">
        <v>477</v>
      </c>
    </row>
    <row r="26058">
      <c r="B26058" s="17" t="s">
        <v>477</v>
      </c>
      <c r="K26058" s="18" t="s">
        <v>477</v>
      </c>
    </row>
    <row r="26059">
      <c r="B26059" s="17" t="s">
        <v>477</v>
      </c>
      <c r="K26059" s="18" t="s">
        <v>477</v>
      </c>
    </row>
    <row r="26060">
      <c r="B26060" s="17" t="s">
        <v>477</v>
      </c>
      <c r="K26060" s="18" t="s">
        <v>477</v>
      </c>
    </row>
    <row r="26061">
      <c r="B26061" s="17" t="s">
        <v>477</v>
      </c>
      <c r="K26061" s="18" t="s">
        <v>477</v>
      </c>
    </row>
    <row r="26062">
      <c r="B26062" s="17" t="s">
        <v>477</v>
      </c>
      <c r="K26062" s="18" t="s">
        <v>477</v>
      </c>
    </row>
    <row r="26063">
      <c r="B26063" s="17" t="s">
        <v>477</v>
      </c>
      <c r="K26063" s="18" t="s">
        <v>477</v>
      </c>
    </row>
    <row r="26064">
      <c r="B26064" s="17" t="s">
        <v>477</v>
      </c>
      <c r="K26064" s="18" t="s">
        <v>477</v>
      </c>
    </row>
    <row r="26065">
      <c r="B26065" s="17" t="s">
        <v>477</v>
      </c>
      <c r="K26065" s="18" t="s">
        <v>477</v>
      </c>
    </row>
    <row r="26066">
      <c r="B26066" s="17" t="s">
        <v>477</v>
      </c>
      <c r="K26066" s="18" t="s">
        <v>477</v>
      </c>
    </row>
    <row r="26067">
      <c r="B26067" s="17" t="s">
        <v>477</v>
      </c>
      <c r="K26067" s="18" t="s">
        <v>477</v>
      </c>
    </row>
    <row r="26068">
      <c r="B26068" s="17" t="s">
        <v>477</v>
      </c>
      <c r="K26068" s="18" t="s">
        <v>477</v>
      </c>
    </row>
    <row r="26069">
      <c r="B26069" s="17" t="s">
        <v>477</v>
      </c>
      <c r="K26069" s="18" t="s">
        <v>477</v>
      </c>
    </row>
    <row r="26070">
      <c r="B26070" s="17" t="s">
        <v>477</v>
      </c>
      <c r="K26070" s="18" t="s">
        <v>477</v>
      </c>
    </row>
    <row r="26071">
      <c r="B26071" s="17" t="s">
        <v>477</v>
      </c>
      <c r="K26071" s="18" t="s">
        <v>477</v>
      </c>
    </row>
    <row r="26072">
      <c r="B26072" s="17" t="s">
        <v>477</v>
      </c>
      <c r="K26072" s="18" t="s">
        <v>477</v>
      </c>
    </row>
    <row r="26073">
      <c r="B26073" s="17" t="s">
        <v>477</v>
      </c>
      <c r="K26073" s="18" t="s">
        <v>477</v>
      </c>
    </row>
    <row r="26074">
      <c r="B26074" s="17" t="s">
        <v>477</v>
      </c>
      <c r="K26074" s="18" t="s">
        <v>477</v>
      </c>
    </row>
    <row r="26075">
      <c r="B26075" s="17" t="s">
        <v>477</v>
      </c>
      <c r="K26075" s="18" t="s">
        <v>477</v>
      </c>
    </row>
    <row r="26076">
      <c r="B26076" s="17" t="s">
        <v>477</v>
      </c>
      <c r="K26076" s="18" t="s">
        <v>477</v>
      </c>
    </row>
    <row r="26077">
      <c r="B26077" s="17" t="s">
        <v>477</v>
      </c>
      <c r="K26077" s="18" t="s">
        <v>477</v>
      </c>
    </row>
    <row r="26078">
      <c r="B26078" s="17" t="s">
        <v>477</v>
      </c>
      <c r="K26078" s="18" t="s">
        <v>477</v>
      </c>
    </row>
    <row r="26079">
      <c r="B26079" s="17" t="s">
        <v>477</v>
      </c>
      <c r="K26079" s="18" t="s">
        <v>477</v>
      </c>
    </row>
    <row r="26080">
      <c r="B26080" s="17" t="s">
        <v>477</v>
      </c>
      <c r="K26080" s="18" t="s">
        <v>477</v>
      </c>
    </row>
    <row r="26081">
      <c r="B26081" s="17" t="s">
        <v>477</v>
      </c>
      <c r="K26081" s="18" t="s">
        <v>477</v>
      </c>
    </row>
    <row r="26082">
      <c r="B26082" s="17" t="s">
        <v>477</v>
      </c>
      <c r="K26082" s="18" t="s">
        <v>477</v>
      </c>
    </row>
    <row r="26083">
      <c r="B26083" s="17" t="s">
        <v>477</v>
      </c>
      <c r="K26083" s="18" t="s">
        <v>477</v>
      </c>
    </row>
    <row r="26084">
      <c r="B26084" s="17" t="s">
        <v>477</v>
      </c>
      <c r="K26084" s="18" t="s">
        <v>477</v>
      </c>
    </row>
    <row r="26085">
      <c r="B26085" s="17" t="s">
        <v>477</v>
      </c>
      <c r="K26085" s="18" t="s">
        <v>477</v>
      </c>
    </row>
    <row r="26086">
      <c r="B26086" s="17" t="s">
        <v>477</v>
      </c>
      <c r="K26086" s="18" t="s">
        <v>477</v>
      </c>
    </row>
    <row r="26087">
      <c r="B26087" s="17" t="s">
        <v>477</v>
      </c>
      <c r="K26087" s="18" t="s">
        <v>477</v>
      </c>
    </row>
    <row r="26088">
      <c r="B26088" s="17" t="s">
        <v>477</v>
      </c>
      <c r="K26088" s="18" t="s">
        <v>477</v>
      </c>
    </row>
    <row r="26089">
      <c r="B26089" s="17" t="s">
        <v>477</v>
      </c>
      <c r="K26089" s="18" t="s">
        <v>477</v>
      </c>
    </row>
    <row r="26090">
      <c r="B26090" s="17" t="s">
        <v>477</v>
      </c>
      <c r="K26090" s="18" t="s">
        <v>477</v>
      </c>
    </row>
    <row r="26091">
      <c r="B26091" s="17" t="s">
        <v>477</v>
      </c>
      <c r="K26091" s="18" t="s">
        <v>477</v>
      </c>
    </row>
    <row r="26092">
      <c r="B26092" s="17" t="s">
        <v>477</v>
      </c>
      <c r="K26092" s="18" t="s">
        <v>477</v>
      </c>
    </row>
    <row r="26093">
      <c r="B26093" s="17" t="s">
        <v>477</v>
      </c>
      <c r="K26093" s="18" t="s">
        <v>477</v>
      </c>
    </row>
    <row r="26094">
      <c r="B26094" s="17" t="s">
        <v>477</v>
      </c>
      <c r="K26094" s="18" t="s">
        <v>477</v>
      </c>
    </row>
    <row r="26095">
      <c r="B26095" s="17" t="s">
        <v>477</v>
      </c>
      <c r="K26095" s="18" t="s">
        <v>477</v>
      </c>
    </row>
    <row r="26096">
      <c r="B26096" s="17" t="s">
        <v>477</v>
      </c>
      <c r="K26096" s="18" t="s">
        <v>477</v>
      </c>
    </row>
    <row r="26097">
      <c r="B26097" s="17" t="s">
        <v>477</v>
      </c>
      <c r="K26097" s="18" t="s">
        <v>477</v>
      </c>
    </row>
    <row r="26098">
      <c r="B26098" s="17" t="s">
        <v>477</v>
      </c>
      <c r="K26098" s="18" t="s">
        <v>477</v>
      </c>
    </row>
    <row r="26099">
      <c r="B26099" s="17" t="s">
        <v>477</v>
      </c>
      <c r="K26099" s="18" t="s">
        <v>477</v>
      </c>
    </row>
    <row r="26100">
      <c r="B26100" s="17" t="s">
        <v>477</v>
      </c>
      <c r="K26100" s="18" t="s">
        <v>477</v>
      </c>
    </row>
    <row r="26101">
      <c r="B26101" s="17" t="s">
        <v>477</v>
      </c>
      <c r="K26101" s="18" t="s">
        <v>477</v>
      </c>
    </row>
    <row r="26102">
      <c r="B26102" s="17" t="s">
        <v>477</v>
      </c>
      <c r="K26102" s="18" t="s">
        <v>477</v>
      </c>
    </row>
    <row r="26103">
      <c r="B26103" s="17" t="s">
        <v>477</v>
      </c>
      <c r="K26103" s="18" t="s">
        <v>477</v>
      </c>
    </row>
    <row r="26104">
      <c r="B26104" s="17" t="s">
        <v>477</v>
      </c>
      <c r="K26104" s="18" t="s">
        <v>477</v>
      </c>
    </row>
    <row r="26105">
      <c r="B26105" s="17" t="s">
        <v>477</v>
      </c>
      <c r="K26105" s="18" t="s">
        <v>477</v>
      </c>
    </row>
    <row r="26106">
      <c r="B26106" s="17" t="s">
        <v>477</v>
      </c>
      <c r="K26106" s="18" t="s">
        <v>477</v>
      </c>
    </row>
    <row r="26107">
      <c r="B26107" s="17" t="s">
        <v>477</v>
      </c>
      <c r="K26107" s="18" t="s">
        <v>477</v>
      </c>
    </row>
    <row r="26108">
      <c r="B26108" s="17" t="s">
        <v>477</v>
      </c>
      <c r="K26108" s="18" t="s">
        <v>477</v>
      </c>
    </row>
    <row r="26109">
      <c r="B26109" s="17" t="s">
        <v>477</v>
      </c>
      <c r="K26109" s="18" t="s">
        <v>477</v>
      </c>
    </row>
    <row r="26110">
      <c r="B26110" s="17" t="s">
        <v>477</v>
      </c>
      <c r="K26110" s="18" t="s">
        <v>477</v>
      </c>
    </row>
    <row r="26111">
      <c r="B26111" s="17" t="s">
        <v>477</v>
      </c>
      <c r="K26111" s="18" t="s">
        <v>477</v>
      </c>
    </row>
    <row r="26112">
      <c r="B26112" s="17" t="s">
        <v>477</v>
      </c>
      <c r="K26112" s="18" t="s">
        <v>477</v>
      </c>
    </row>
    <row r="26113">
      <c r="B26113" s="17" t="s">
        <v>477</v>
      </c>
      <c r="K26113" s="18" t="s">
        <v>477</v>
      </c>
    </row>
    <row r="26114">
      <c r="B26114" s="17" t="s">
        <v>477</v>
      </c>
      <c r="K26114" s="18" t="s">
        <v>477</v>
      </c>
    </row>
    <row r="26115">
      <c r="B26115" s="17" t="s">
        <v>477</v>
      </c>
      <c r="K26115" s="18" t="s">
        <v>477</v>
      </c>
    </row>
    <row r="26116">
      <c r="B26116" s="17" t="s">
        <v>477</v>
      </c>
      <c r="K26116" s="18" t="s">
        <v>477</v>
      </c>
    </row>
    <row r="26117">
      <c r="B26117" s="17" t="s">
        <v>477</v>
      </c>
      <c r="K26117" s="18" t="s">
        <v>477</v>
      </c>
    </row>
    <row r="26118">
      <c r="B26118" s="17" t="s">
        <v>477</v>
      </c>
      <c r="K26118" s="18" t="s">
        <v>477</v>
      </c>
    </row>
    <row r="26119">
      <c r="B26119" s="17" t="s">
        <v>477</v>
      </c>
      <c r="K26119" s="18" t="s">
        <v>477</v>
      </c>
    </row>
    <row r="26120">
      <c r="B26120" s="17" t="s">
        <v>477</v>
      </c>
      <c r="K26120" s="18" t="s">
        <v>477</v>
      </c>
    </row>
    <row r="26121">
      <c r="B26121" s="17" t="s">
        <v>477</v>
      </c>
      <c r="K26121" s="18" t="s">
        <v>477</v>
      </c>
    </row>
    <row r="26122">
      <c r="B26122" s="17" t="s">
        <v>477</v>
      </c>
      <c r="K26122" s="18" t="s">
        <v>477</v>
      </c>
    </row>
    <row r="26123">
      <c r="B26123" s="17" t="s">
        <v>477</v>
      </c>
      <c r="K26123" s="18" t="s">
        <v>477</v>
      </c>
    </row>
    <row r="26124">
      <c r="B26124" s="17" t="s">
        <v>477</v>
      </c>
      <c r="K26124" s="18" t="s">
        <v>477</v>
      </c>
    </row>
    <row r="26125">
      <c r="B26125" s="17" t="s">
        <v>477</v>
      </c>
      <c r="K26125" s="18" t="s">
        <v>477</v>
      </c>
    </row>
    <row r="26126">
      <c r="B26126" s="17" t="s">
        <v>477</v>
      </c>
      <c r="K26126" s="18" t="s">
        <v>477</v>
      </c>
    </row>
    <row r="26127">
      <c r="B26127" s="17" t="s">
        <v>477</v>
      </c>
      <c r="K26127" s="18" t="s">
        <v>477</v>
      </c>
    </row>
    <row r="26128">
      <c r="B26128" s="17" t="s">
        <v>477</v>
      </c>
      <c r="K26128" s="18" t="s">
        <v>477</v>
      </c>
    </row>
    <row r="26129">
      <c r="B26129" s="17" t="s">
        <v>477</v>
      </c>
      <c r="K26129" s="18" t="s">
        <v>477</v>
      </c>
    </row>
    <row r="26130">
      <c r="B26130" s="17" t="s">
        <v>477</v>
      </c>
      <c r="K26130" s="18" t="s">
        <v>477</v>
      </c>
    </row>
    <row r="26131">
      <c r="B26131" s="17" t="s">
        <v>477</v>
      </c>
      <c r="K26131" s="18" t="s">
        <v>477</v>
      </c>
    </row>
    <row r="26132">
      <c r="B26132" s="17" t="s">
        <v>477</v>
      </c>
      <c r="K26132" s="18" t="s">
        <v>477</v>
      </c>
    </row>
    <row r="26133">
      <c r="B26133" s="17" t="s">
        <v>477</v>
      </c>
      <c r="K26133" s="18" t="s">
        <v>477</v>
      </c>
    </row>
    <row r="26134">
      <c r="B26134" s="17" t="s">
        <v>477</v>
      </c>
      <c r="K26134" s="18" t="s">
        <v>477</v>
      </c>
    </row>
    <row r="26135">
      <c r="B26135" s="17" t="s">
        <v>477</v>
      </c>
      <c r="K26135" s="18" t="s">
        <v>477</v>
      </c>
    </row>
    <row r="26136">
      <c r="B26136" s="17" t="s">
        <v>477</v>
      </c>
      <c r="K26136" s="18" t="s">
        <v>477</v>
      </c>
    </row>
    <row r="26137">
      <c r="B26137" s="17" t="s">
        <v>477</v>
      </c>
      <c r="K26137" s="18" t="s">
        <v>477</v>
      </c>
    </row>
    <row r="26138">
      <c r="B26138" s="17" t="s">
        <v>477</v>
      </c>
      <c r="K26138" s="18" t="s">
        <v>477</v>
      </c>
    </row>
    <row r="26139">
      <c r="B26139" s="17" t="s">
        <v>477</v>
      </c>
      <c r="K26139" s="18" t="s">
        <v>477</v>
      </c>
    </row>
    <row r="26140">
      <c r="B26140" s="17" t="s">
        <v>477</v>
      </c>
      <c r="K26140" s="18" t="s">
        <v>477</v>
      </c>
    </row>
    <row r="26141">
      <c r="B26141" s="17" t="s">
        <v>477</v>
      </c>
      <c r="K26141" s="18" t="s">
        <v>477</v>
      </c>
    </row>
    <row r="26142">
      <c r="B26142" s="17" t="s">
        <v>477</v>
      </c>
      <c r="K26142" s="18" t="s">
        <v>477</v>
      </c>
    </row>
    <row r="26143">
      <c r="B26143" s="17" t="s">
        <v>477</v>
      </c>
      <c r="K26143" s="18" t="s">
        <v>477</v>
      </c>
    </row>
    <row r="26144">
      <c r="B26144" s="17" t="s">
        <v>477</v>
      </c>
      <c r="K26144" s="18" t="s">
        <v>477</v>
      </c>
    </row>
    <row r="26145">
      <c r="B26145" s="17" t="s">
        <v>477</v>
      </c>
      <c r="K26145" s="18" t="s">
        <v>477</v>
      </c>
    </row>
    <row r="26146">
      <c r="B26146" s="17" t="s">
        <v>477</v>
      </c>
      <c r="K26146" s="18" t="s">
        <v>477</v>
      </c>
    </row>
    <row r="26147">
      <c r="B26147" s="17" t="s">
        <v>477</v>
      </c>
      <c r="K26147" s="18" t="s">
        <v>477</v>
      </c>
    </row>
    <row r="26148">
      <c r="B26148" s="17" t="s">
        <v>477</v>
      </c>
      <c r="K26148" s="18" t="s">
        <v>477</v>
      </c>
    </row>
    <row r="26149">
      <c r="B26149" s="17" t="s">
        <v>477</v>
      </c>
      <c r="K26149" s="18" t="s">
        <v>477</v>
      </c>
    </row>
    <row r="26150">
      <c r="B26150" s="17" t="s">
        <v>477</v>
      </c>
      <c r="K26150" s="18" t="s">
        <v>477</v>
      </c>
    </row>
    <row r="26151">
      <c r="B26151" s="17" t="s">
        <v>477</v>
      </c>
      <c r="K26151" s="18" t="s">
        <v>477</v>
      </c>
    </row>
    <row r="26152">
      <c r="B26152" s="17" t="s">
        <v>477</v>
      </c>
      <c r="K26152" s="18" t="s">
        <v>477</v>
      </c>
    </row>
    <row r="26153">
      <c r="B26153" s="17" t="s">
        <v>477</v>
      </c>
      <c r="K26153" s="18" t="s">
        <v>477</v>
      </c>
    </row>
    <row r="26154">
      <c r="B26154" s="17" t="s">
        <v>477</v>
      </c>
      <c r="K26154" s="18" t="s">
        <v>477</v>
      </c>
    </row>
    <row r="26155">
      <c r="B26155" s="17" t="s">
        <v>477</v>
      </c>
      <c r="K26155" s="18" t="s">
        <v>477</v>
      </c>
    </row>
    <row r="26156">
      <c r="B26156" s="17" t="s">
        <v>477</v>
      </c>
      <c r="K26156" s="18" t="s">
        <v>477</v>
      </c>
    </row>
    <row r="26157">
      <c r="B26157" s="17" t="s">
        <v>477</v>
      </c>
      <c r="K26157" s="18" t="s">
        <v>477</v>
      </c>
    </row>
    <row r="26158">
      <c r="B26158" s="17" t="s">
        <v>477</v>
      </c>
      <c r="K26158" s="18" t="s">
        <v>477</v>
      </c>
    </row>
    <row r="26159">
      <c r="B26159" s="17" t="s">
        <v>477</v>
      </c>
      <c r="K26159" s="18" t="s">
        <v>477</v>
      </c>
    </row>
    <row r="26160">
      <c r="B26160" s="17" t="s">
        <v>477</v>
      </c>
      <c r="K26160" s="18" t="s">
        <v>477</v>
      </c>
    </row>
    <row r="26161">
      <c r="B26161" s="17" t="s">
        <v>477</v>
      </c>
      <c r="K26161" s="18" t="s">
        <v>477</v>
      </c>
    </row>
    <row r="26162">
      <c r="B26162" s="17" t="s">
        <v>477</v>
      </c>
      <c r="K26162" s="18" t="s">
        <v>477</v>
      </c>
    </row>
    <row r="26163">
      <c r="B26163" s="17" t="s">
        <v>477</v>
      </c>
      <c r="K26163" s="18" t="s">
        <v>477</v>
      </c>
    </row>
    <row r="26164">
      <c r="B26164" s="17" t="s">
        <v>477</v>
      </c>
      <c r="K26164" s="18" t="s">
        <v>477</v>
      </c>
    </row>
    <row r="26165">
      <c r="B26165" s="17" t="s">
        <v>477</v>
      </c>
      <c r="K26165" s="18" t="s">
        <v>477</v>
      </c>
    </row>
    <row r="26166">
      <c r="B26166" s="17" t="s">
        <v>477</v>
      </c>
      <c r="K26166" s="18" t="s">
        <v>477</v>
      </c>
    </row>
    <row r="26167">
      <c r="B26167" s="17" t="s">
        <v>477</v>
      </c>
      <c r="K26167" s="18" t="s">
        <v>477</v>
      </c>
    </row>
    <row r="26168">
      <c r="B26168" s="17" t="s">
        <v>477</v>
      </c>
      <c r="K26168" s="18" t="s">
        <v>477</v>
      </c>
    </row>
    <row r="26169">
      <c r="B26169" s="17" t="s">
        <v>477</v>
      </c>
      <c r="K26169" s="18" t="s">
        <v>477</v>
      </c>
    </row>
    <row r="26170">
      <c r="B26170" s="17" t="s">
        <v>477</v>
      </c>
      <c r="K26170" s="18" t="s">
        <v>477</v>
      </c>
    </row>
    <row r="26171">
      <c r="B26171" s="17" t="s">
        <v>477</v>
      </c>
      <c r="K26171" s="18" t="s">
        <v>477</v>
      </c>
    </row>
    <row r="26172">
      <c r="B26172" s="17" t="s">
        <v>477</v>
      </c>
      <c r="K26172" s="18" t="s">
        <v>477</v>
      </c>
    </row>
    <row r="26173">
      <c r="B26173" s="17" t="s">
        <v>477</v>
      </c>
      <c r="K26173" s="18" t="s">
        <v>477</v>
      </c>
    </row>
    <row r="26174">
      <c r="B26174" s="17" t="s">
        <v>477</v>
      </c>
      <c r="K26174" s="18" t="s">
        <v>477</v>
      </c>
    </row>
    <row r="26175">
      <c r="B26175" s="17" t="s">
        <v>477</v>
      </c>
      <c r="K26175" s="18" t="s">
        <v>477</v>
      </c>
    </row>
    <row r="26176">
      <c r="B26176" s="17" t="s">
        <v>477</v>
      </c>
      <c r="K26176" s="18" t="s">
        <v>477</v>
      </c>
    </row>
    <row r="26177">
      <c r="B26177" s="17" t="s">
        <v>477</v>
      </c>
      <c r="K26177" s="18" t="s">
        <v>477</v>
      </c>
    </row>
    <row r="26178">
      <c r="B26178" s="17" t="s">
        <v>477</v>
      </c>
      <c r="K26178" s="18" t="s">
        <v>477</v>
      </c>
    </row>
    <row r="26179">
      <c r="B26179" s="17" t="s">
        <v>477</v>
      </c>
      <c r="K26179" s="18" t="s">
        <v>477</v>
      </c>
    </row>
    <row r="26180">
      <c r="B26180" s="17" t="s">
        <v>477</v>
      </c>
      <c r="K26180" s="18" t="s">
        <v>477</v>
      </c>
    </row>
    <row r="26181">
      <c r="B26181" s="17" t="s">
        <v>477</v>
      </c>
      <c r="K26181" s="18" t="s">
        <v>477</v>
      </c>
    </row>
    <row r="26182">
      <c r="B26182" s="17" t="s">
        <v>477</v>
      </c>
      <c r="K26182" s="18" t="s">
        <v>477</v>
      </c>
    </row>
    <row r="26183">
      <c r="B26183" s="17" t="s">
        <v>477</v>
      </c>
      <c r="K26183" s="18" t="s">
        <v>477</v>
      </c>
    </row>
    <row r="26184">
      <c r="B26184" s="17" t="s">
        <v>477</v>
      </c>
      <c r="K26184" s="18" t="s">
        <v>477</v>
      </c>
    </row>
    <row r="26185">
      <c r="B26185" s="17" t="s">
        <v>477</v>
      </c>
      <c r="K26185" s="18" t="s">
        <v>477</v>
      </c>
    </row>
    <row r="26186">
      <c r="B26186" s="17" t="s">
        <v>477</v>
      </c>
      <c r="K26186" s="18" t="s">
        <v>477</v>
      </c>
    </row>
    <row r="26187">
      <c r="B26187" s="17" t="s">
        <v>477</v>
      </c>
      <c r="K26187" s="18" t="s">
        <v>477</v>
      </c>
    </row>
    <row r="26188">
      <c r="B26188" s="17" t="s">
        <v>477</v>
      </c>
      <c r="K26188" s="18" t="s">
        <v>477</v>
      </c>
    </row>
    <row r="26189">
      <c r="B26189" s="17" t="s">
        <v>477</v>
      </c>
      <c r="K26189" s="18" t="s">
        <v>477</v>
      </c>
    </row>
    <row r="26190">
      <c r="B26190" s="17" t="s">
        <v>477</v>
      </c>
      <c r="K26190" s="18" t="s">
        <v>477</v>
      </c>
    </row>
    <row r="26191">
      <c r="B26191" s="17" t="s">
        <v>477</v>
      </c>
      <c r="K26191" s="18" t="s">
        <v>477</v>
      </c>
    </row>
    <row r="26192">
      <c r="B26192" s="17" t="s">
        <v>477</v>
      </c>
      <c r="K26192" s="18" t="s">
        <v>477</v>
      </c>
    </row>
    <row r="26193">
      <c r="B26193" s="17" t="s">
        <v>477</v>
      </c>
      <c r="K26193" s="18" t="s">
        <v>477</v>
      </c>
    </row>
    <row r="26194">
      <c r="B26194" s="17" t="s">
        <v>477</v>
      </c>
      <c r="K26194" s="18" t="s">
        <v>477</v>
      </c>
    </row>
    <row r="26195">
      <c r="B26195" s="17" t="s">
        <v>477</v>
      </c>
      <c r="K26195" s="18" t="s">
        <v>477</v>
      </c>
    </row>
    <row r="26196">
      <c r="B26196" s="17" t="s">
        <v>477</v>
      </c>
      <c r="K26196" s="18" t="s">
        <v>477</v>
      </c>
    </row>
    <row r="26197">
      <c r="B26197" s="17" t="s">
        <v>477</v>
      </c>
      <c r="K26197" s="18" t="s">
        <v>477</v>
      </c>
    </row>
    <row r="26198">
      <c r="B26198" s="17" t="s">
        <v>477</v>
      </c>
      <c r="K26198" s="18" t="s">
        <v>477</v>
      </c>
    </row>
    <row r="26199">
      <c r="B26199" s="17" t="s">
        <v>477</v>
      </c>
      <c r="K26199" s="18" t="s">
        <v>477</v>
      </c>
    </row>
    <row r="26200">
      <c r="B26200" s="17" t="s">
        <v>477</v>
      </c>
      <c r="K26200" s="18" t="s">
        <v>477</v>
      </c>
    </row>
    <row r="26201">
      <c r="B26201" s="17" t="s">
        <v>477</v>
      </c>
      <c r="K26201" s="18" t="s">
        <v>477</v>
      </c>
    </row>
    <row r="26202">
      <c r="B26202" s="17" t="s">
        <v>477</v>
      </c>
      <c r="K26202" s="18" t="s">
        <v>477</v>
      </c>
    </row>
    <row r="26203">
      <c r="B26203" s="17" t="s">
        <v>477</v>
      </c>
      <c r="K26203" s="18" t="s">
        <v>477</v>
      </c>
    </row>
    <row r="26204">
      <c r="B26204" s="17" t="s">
        <v>477</v>
      </c>
      <c r="K26204" s="18" t="s">
        <v>477</v>
      </c>
    </row>
    <row r="26205">
      <c r="B26205" s="17" t="s">
        <v>477</v>
      </c>
      <c r="K26205" s="18" t="s">
        <v>477</v>
      </c>
    </row>
    <row r="26206">
      <c r="B26206" s="17" t="s">
        <v>477</v>
      </c>
      <c r="K26206" s="18" t="s">
        <v>477</v>
      </c>
    </row>
    <row r="26207">
      <c r="B26207" s="17" t="s">
        <v>477</v>
      </c>
      <c r="K26207" s="18" t="s">
        <v>477</v>
      </c>
    </row>
    <row r="26208">
      <c r="B26208" s="17" t="s">
        <v>477</v>
      </c>
      <c r="K26208" s="18" t="s">
        <v>477</v>
      </c>
    </row>
    <row r="26209">
      <c r="B26209" s="17" t="s">
        <v>477</v>
      </c>
      <c r="K26209" s="18" t="s">
        <v>477</v>
      </c>
    </row>
    <row r="26210">
      <c r="B26210" s="17" t="s">
        <v>477</v>
      </c>
      <c r="K26210" s="18" t="s">
        <v>477</v>
      </c>
    </row>
    <row r="26211">
      <c r="B26211" s="17" t="s">
        <v>477</v>
      </c>
      <c r="K26211" s="18" t="s">
        <v>477</v>
      </c>
    </row>
    <row r="26212">
      <c r="B26212" s="17" t="s">
        <v>477</v>
      </c>
      <c r="K26212" s="18" t="s">
        <v>477</v>
      </c>
    </row>
    <row r="26213">
      <c r="B26213" s="17" t="s">
        <v>477</v>
      </c>
      <c r="K26213" s="18" t="s">
        <v>477</v>
      </c>
    </row>
    <row r="26214">
      <c r="B26214" s="17" t="s">
        <v>477</v>
      </c>
      <c r="K26214" s="18" t="s">
        <v>477</v>
      </c>
    </row>
    <row r="26215">
      <c r="B26215" s="17" t="s">
        <v>477</v>
      </c>
      <c r="K26215" s="18" t="s">
        <v>477</v>
      </c>
    </row>
    <row r="26216">
      <c r="B26216" s="17" t="s">
        <v>477</v>
      </c>
      <c r="K26216" s="18" t="s">
        <v>477</v>
      </c>
    </row>
    <row r="26217">
      <c r="B26217" s="17" t="s">
        <v>477</v>
      </c>
      <c r="K26217" s="18" t="s">
        <v>477</v>
      </c>
    </row>
    <row r="26218">
      <c r="B26218" s="17" t="s">
        <v>477</v>
      </c>
      <c r="K26218" s="18" t="s">
        <v>477</v>
      </c>
    </row>
    <row r="26219">
      <c r="B26219" s="17" t="s">
        <v>477</v>
      </c>
      <c r="K26219" s="18" t="s">
        <v>477</v>
      </c>
    </row>
    <row r="26220">
      <c r="B26220" s="17" t="s">
        <v>477</v>
      </c>
      <c r="K26220" s="18" t="s">
        <v>477</v>
      </c>
    </row>
    <row r="26221">
      <c r="B26221" s="17" t="s">
        <v>477</v>
      </c>
      <c r="K26221" s="18" t="s">
        <v>477</v>
      </c>
    </row>
    <row r="26222">
      <c r="B26222" s="17" t="s">
        <v>477</v>
      </c>
      <c r="K26222" s="18" t="s">
        <v>477</v>
      </c>
    </row>
    <row r="26223">
      <c r="B26223" s="17" t="s">
        <v>477</v>
      </c>
      <c r="K26223" s="18" t="s">
        <v>477</v>
      </c>
    </row>
    <row r="26224">
      <c r="B26224" s="17" t="s">
        <v>477</v>
      </c>
      <c r="K26224" s="18" t="s">
        <v>477</v>
      </c>
    </row>
    <row r="26225">
      <c r="B26225" s="17" t="s">
        <v>477</v>
      </c>
      <c r="K26225" s="18" t="s">
        <v>477</v>
      </c>
    </row>
    <row r="26226">
      <c r="B26226" s="17" t="s">
        <v>477</v>
      </c>
      <c r="K26226" s="18" t="s">
        <v>477</v>
      </c>
    </row>
    <row r="26227">
      <c r="B26227" s="17" t="s">
        <v>477</v>
      </c>
      <c r="K26227" s="18" t="s">
        <v>477</v>
      </c>
    </row>
    <row r="26228">
      <c r="B26228" s="17" t="s">
        <v>477</v>
      </c>
      <c r="K26228" s="18" t="s">
        <v>477</v>
      </c>
    </row>
    <row r="26229">
      <c r="B26229" s="17" t="s">
        <v>477</v>
      </c>
      <c r="K26229" s="18" t="s">
        <v>477</v>
      </c>
    </row>
    <row r="26230">
      <c r="B26230" s="17" t="s">
        <v>477</v>
      </c>
      <c r="K26230" s="18" t="s">
        <v>477</v>
      </c>
    </row>
    <row r="26231">
      <c r="B26231" s="17" t="s">
        <v>477</v>
      </c>
      <c r="K26231" s="18" t="s">
        <v>477</v>
      </c>
    </row>
    <row r="26232">
      <c r="B26232" s="17" t="s">
        <v>477</v>
      </c>
      <c r="K26232" s="18" t="s">
        <v>477</v>
      </c>
    </row>
    <row r="26233">
      <c r="B26233" s="17" t="s">
        <v>477</v>
      </c>
      <c r="K26233" s="18" t="s">
        <v>477</v>
      </c>
    </row>
    <row r="26234">
      <c r="B26234" s="17" t="s">
        <v>477</v>
      </c>
      <c r="K26234" s="18" t="s">
        <v>477</v>
      </c>
    </row>
    <row r="26235">
      <c r="B26235" s="17" t="s">
        <v>477</v>
      </c>
      <c r="K26235" s="18" t="s">
        <v>477</v>
      </c>
    </row>
    <row r="26236">
      <c r="B26236" s="17" t="s">
        <v>477</v>
      </c>
      <c r="K26236" s="18" t="s">
        <v>477</v>
      </c>
    </row>
    <row r="26237">
      <c r="B26237" s="17" t="s">
        <v>477</v>
      </c>
      <c r="K26237" s="18" t="s">
        <v>477</v>
      </c>
    </row>
    <row r="26238">
      <c r="B26238" s="17" t="s">
        <v>477</v>
      </c>
      <c r="K26238" s="18" t="s">
        <v>477</v>
      </c>
    </row>
    <row r="26239">
      <c r="B26239" s="17" t="s">
        <v>477</v>
      </c>
      <c r="K26239" s="18" t="s">
        <v>477</v>
      </c>
    </row>
    <row r="26240">
      <c r="B26240" s="17" t="s">
        <v>477</v>
      </c>
      <c r="K26240" s="18" t="s">
        <v>477</v>
      </c>
    </row>
    <row r="26241">
      <c r="B26241" s="17" t="s">
        <v>477</v>
      </c>
      <c r="K26241" s="18" t="s">
        <v>477</v>
      </c>
    </row>
    <row r="26242">
      <c r="B26242" s="17" t="s">
        <v>477</v>
      </c>
      <c r="K26242" s="18" t="s">
        <v>477</v>
      </c>
    </row>
    <row r="26243">
      <c r="B26243" s="17" t="s">
        <v>477</v>
      </c>
      <c r="K26243" s="18" t="s">
        <v>477</v>
      </c>
    </row>
    <row r="26244">
      <c r="B26244" s="17" t="s">
        <v>477</v>
      </c>
      <c r="K26244" s="18" t="s">
        <v>477</v>
      </c>
    </row>
    <row r="26245">
      <c r="B26245" s="17" t="s">
        <v>477</v>
      </c>
      <c r="K26245" s="18" t="s">
        <v>477</v>
      </c>
    </row>
    <row r="26246">
      <c r="B26246" s="17" t="s">
        <v>477</v>
      </c>
      <c r="K26246" s="18" t="s">
        <v>477</v>
      </c>
    </row>
    <row r="26247">
      <c r="B26247" s="17" t="s">
        <v>477</v>
      </c>
      <c r="K26247" s="18" t="s">
        <v>477</v>
      </c>
    </row>
    <row r="26248">
      <c r="B26248" s="17" t="s">
        <v>477</v>
      </c>
      <c r="K26248" s="18" t="s">
        <v>477</v>
      </c>
    </row>
    <row r="26249">
      <c r="B26249" s="17" t="s">
        <v>477</v>
      </c>
      <c r="K26249" s="18" t="s">
        <v>477</v>
      </c>
    </row>
    <row r="26250">
      <c r="B26250" s="17" t="s">
        <v>477</v>
      </c>
      <c r="K26250" s="18" t="s">
        <v>477</v>
      </c>
    </row>
    <row r="26251">
      <c r="B26251" s="17" t="s">
        <v>477</v>
      </c>
      <c r="K26251" s="18" t="s">
        <v>477</v>
      </c>
    </row>
    <row r="26252">
      <c r="B26252" s="17" t="s">
        <v>477</v>
      </c>
      <c r="K26252" s="18" t="s">
        <v>477</v>
      </c>
    </row>
    <row r="26253">
      <c r="B26253" s="17" t="s">
        <v>477</v>
      </c>
      <c r="K26253" s="18" t="s">
        <v>477</v>
      </c>
    </row>
    <row r="26254">
      <c r="B26254" s="17" t="s">
        <v>477</v>
      </c>
      <c r="K26254" s="18" t="s">
        <v>477</v>
      </c>
    </row>
    <row r="26255">
      <c r="B26255" s="17" t="s">
        <v>477</v>
      </c>
      <c r="K26255" s="18" t="s">
        <v>477</v>
      </c>
    </row>
    <row r="26256">
      <c r="B26256" s="17" t="s">
        <v>477</v>
      </c>
      <c r="K26256" s="18" t="s">
        <v>477</v>
      </c>
    </row>
    <row r="26257">
      <c r="B26257" s="17" t="s">
        <v>477</v>
      </c>
      <c r="K26257" s="18" t="s">
        <v>477</v>
      </c>
    </row>
    <row r="26258">
      <c r="B26258" s="17" t="s">
        <v>477</v>
      </c>
      <c r="K26258" s="18" t="s">
        <v>477</v>
      </c>
    </row>
    <row r="26259">
      <c r="B26259" s="17" t="s">
        <v>477</v>
      </c>
      <c r="K26259" s="18" t="s">
        <v>477</v>
      </c>
    </row>
    <row r="26260">
      <c r="B26260" s="17" t="s">
        <v>477</v>
      </c>
      <c r="K26260" s="18" t="s">
        <v>477</v>
      </c>
    </row>
    <row r="26261">
      <c r="B26261" s="17" t="s">
        <v>477</v>
      </c>
      <c r="K26261" s="18" t="s">
        <v>477</v>
      </c>
    </row>
    <row r="26262">
      <c r="B26262" s="17" t="s">
        <v>477</v>
      </c>
      <c r="K26262" s="18" t="s">
        <v>477</v>
      </c>
    </row>
    <row r="26263">
      <c r="B26263" s="17" t="s">
        <v>477</v>
      </c>
      <c r="K26263" s="18" t="s">
        <v>477</v>
      </c>
    </row>
    <row r="26264">
      <c r="B26264" s="17" t="s">
        <v>477</v>
      </c>
      <c r="K26264" s="18" t="s">
        <v>477</v>
      </c>
    </row>
    <row r="26265">
      <c r="B26265" s="17" t="s">
        <v>477</v>
      </c>
      <c r="K26265" s="18" t="s">
        <v>477</v>
      </c>
    </row>
    <row r="26266">
      <c r="B26266" s="17" t="s">
        <v>477</v>
      </c>
      <c r="K26266" s="18" t="s">
        <v>477</v>
      </c>
    </row>
    <row r="26267">
      <c r="B26267" s="17" t="s">
        <v>477</v>
      </c>
      <c r="K26267" s="18" t="s">
        <v>477</v>
      </c>
    </row>
    <row r="26268">
      <c r="B26268" s="17" t="s">
        <v>477</v>
      </c>
      <c r="K26268" s="18" t="s">
        <v>477</v>
      </c>
    </row>
    <row r="26269">
      <c r="B26269" s="17" t="s">
        <v>477</v>
      </c>
      <c r="K26269" s="18" t="s">
        <v>477</v>
      </c>
    </row>
    <row r="26270">
      <c r="B26270" s="17" t="s">
        <v>477</v>
      </c>
      <c r="K26270" s="18" t="s">
        <v>477</v>
      </c>
    </row>
    <row r="26271">
      <c r="B26271" s="17" t="s">
        <v>477</v>
      </c>
      <c r="K26271" s="18" t="s">
        <v>477</v>
      </c>
    </row>
    <row r="26272">
      <c r="B26272" s="17" t="s">
        <v>477</v>
      </c>
      <c r="K26272" s="18" t="s">
        <v>477</v>
      </c>
    </row>
    <row r="26273">
      <c r="B26273" s="17" t="s">
        <v>477</v>
      </c>
      <c r="K26273" s="18" t="s">
        <v>477</v>
      </c>
    </row>
    <row r="26274">
      <c r="B26274" s="17" t="s">
        <v>477</v>
      </c>
      <c r="K26274" s="18" t="s">
        <v>477</v>
      </c>
    </row>
    <row r="26275">
      <c r="B26275" s="17" t="s">
        <v>477</v>
      </c>
      <c r="K26275" s="18" t="s">
        <v>477</v>
      </c>
    </row>
    <row r="26276">
      <c r="B26276" s="17" t="s">
        <v>477</v>
      </c>
      <c r="K26276" s="18" t="s">
        <v>477</v>
      </c>
    </row>
    <row r="26277">
      <c r="B26277" s="17" t="s">
        <v>477</v>
      </c>
      <c r="K26277" s="18" t="s">
        <v>477</v>
      </c>
    </row>
    <row r="26278">
      <c r="B26278" s="17" t="s">
        <v>477</v>
      </c>
      <c r="K26278" s="18" t="s">
        <v>477</v>
      </c>
    </row>
    <row r="26279">
      <c r="B26279" s="17" t="s">
        <v>477</v>
      </c>
      <c r="K26279" s="18" t="s">
        <v>477</v>
      </c>
    </row>
    <row r="26280">
      <c r="B26280" s="17" t="s">
        <v>477</v>
      </c>
      <c r="K26280" s="18" t="s">
        <v>477</v>
      </c>
    </row>
    <row r="26281">
      <c r="B26281" s="17" t="s">
        <v>477</v>
      </c>
      <c r="K26281" s="18" t="s">
        <v>477</v>
      </c>
    </row>
    <row r="26282">
      <c r="B26282" s="17" t="s">
        <v>477</v>
      </c>
      <c r="K26282" s="18" t="s">
        <v>477</v>
      </c>
    </row>
    <row r="26283">
      <c r="B26283" s="17" t="s">
        <v>477</v>
      </c>
      <c r="K26283" s="18" t="s">
        <v>477</v>
      </c>
    </row>
    <row r="26284">
      <c r="B26284" s="17" t="s">
        <v>477</v>
      </c>
      <c r="K26284" s="18" t="s">
        <v>477</v>
      </c>
    </row>
    <row r="26285">
      <c r="B26285" s="17" t="s">
        <v>477</v>
      </c>
      <c r="K26285" s="18" t="s">
        <v>477</v>
      </c>
    </row>
    <row r="26286">
      <c r="B26286" s="17" t="s">
        <v>477</v>
      </c>
      <c r="K26286" s="18" t="s">
        <v>477</v>
      </c>
    </row>
    <row r="26287">
      <c r="B26287" s="17" t="s">
        <v>477</v>
      </c>
      <c r="K26287" s="18" t="s">
        <v>477</v>
      </c>
    </row>
    <row r="26288">
      <c r="B26288" s="17" t="s">
        <v>477</v>
      </c>
      <c r="K26288" s="18" t="s">
        <v>477</v>
      </c>
    </row>
    <row r="26289">
      <c r="B26289" s="17" t="s">
        <v>477</v>
      </c>
      <c r="K26289" s="18" t="s">
        <v>477</v>
      </c>
    </row>
    <row r="26290">
      <c r="B26290" s="17" t="s">
        <v>477</v>
      </c>
      <c r="K26290" s="18" t="s">
        <v>477</v>
      </c>
    </row>
    <row r="26291">
      <c r="B26291" s="17" t="s">
        <v>477</v>
      </c>
      <c r="K26291" s="18" t="s">
        <v>477</v>
      </c>
    </row>
    <row r="26292">
      <c r="B26292" s="17" t="s">
        <v>477</v>
      </c>
      <c r="K26292" s="18" t="s">
        <v>477</v>
      </c>
    </row>
    <row r="26293">
      <c r="B26293" s="17" t="s">
        <v>477</v>
      </c>
      <c r="K26293" s="18" t="s">
        <v>477</v>
      </c>
    </row>
    <row r="26294">
      <c r="B26294" s="17" t="s">
        <v>477</v>
      </c>
      <c r="K26294" s="18" t="s">
        <v>477</v>
      </c>
    </row>
    <row r="26295">
      <c r="B26295" s="17" t="s">
        <v>477</v>
      </c>
      <c r="K26295" s="18" t="s">
        <v>477</v>
      </c>
    </row>
    <row r="26296">
      <c r="B26296" s="17" t="s">
        <v>477</v>
      </c>
      <c r="K26296" s="18" t="s">
        <v>477</v>
      </c>
    </row>
    <row r="26297">
      <c r="B26297" s="17" t="s">
        <v>477</v>
      </c>
      <c r="K26297" s="18" t="s">
        <v>477</v>
      </c>
    </row>
    <row r="26298">
      <c r="B26298" s="17" t="s">
        <v>477</v>
      </c>
      <c r="K26298" s="18" t="s">
        <v>477</v>
      </c>
    </row>
    <row r="26299">
      <c r="B26299" s="17" t="s">
        <v>477</v>
      </c>
      <c r="K26299" s="18" t="s">
        <v>477</v>
      </c>
    </row>
    <row r="26300">
      <c r="B26300" s="17" t="s">
        <v>477</v>
      </c>
      <c r="K26300" s="18" t="s">
        <v>477</v>
      </c>
    </row>
    <row r="26301">
      <c r="B26301" s="17" t="s">
        <v>477</v>
      </c>
      <c r="K26301" s="18" t="s">
        <v>477</v>
      </c>
    </row>
    <row r="26302">
      <c r="B26302" s="17" t="s">
        <v>477</v>
      </c>
      <c r="K26302" s="18" t="s">
        <v>477</v>
      </c>
    </row>
    <row r="26303">
      <c r="B26303" s="17" t="s">
        <v>477</v>
      </c>
      <c r="K26303" s="18" t="s">
        <v>477</v>
      </c>
    </row>
    <row r="26304">
      <c r="B26304" s="17" t="s">
        <v>477</v>
      </c>
      <c r="K26304" s="18" t="s">
        <v>477</v>
      </c>
    </row>
    <row r="26305">
      <c r="B26305" s="17" t="s">
        <v>477</v>
      </c>
      <c r="K26305" s="18" t="s">
        <v>477</v>
      </c>
    </row>
    <row r="26306">
      <c r="B26306" s="17" t="s">
        <v>477</v>
      </c>
      <c r="K26306" s="18" t="s">
        <v>477</v>
      </c>
    </row>
    <row r="26307">
      <c r="B26307" s="17" t="s">
        <v>477</v>
      </c>
      <c r="K26307" s="18" t="s">
        <v>477</v>
      </c>
    </row>
    <row r="26308">
      <c r="B26308" s="17" t="s">
        <v>477</v>
      </c>
      <c r="K26308" s="18" t="s">
        <v>477</v>
      </c>
    </row>
    <row r="26309">
      <c r="B26309" s="17" t="s">
        <v>477</v>
      </c>
      <c r="K26309" s="18" t="s">
        <v>477</v>
      </c>
    </row>
    <row r="26310">
      <c r="B26310" s="17" t="s">
        <v>477</v>
      </c>
      <c r="K26310" s="18" t="s">
        <v>477</v>
      </c>
    </row>
    <row r="26311">
      <c r="B26311" s="17" t="s">
        <v>477</v>
      </c>
      <c r="K26311" s="18" t="s">
        <v>477</v>
      </c>
    </row>
    <row r="26312">
      <c r="B26312" s="17" t="s">
        <v>477</v>
      </c>
      <c r="K26312" s="18" t="s">
        <v>477</v>
      </c>
    </row>
    <row r="26313">
      <c r="B26313" s="17" t="s">
        <v>477</v>
      </c>
      <c r="K26313" s="18" t="s">
        <v>477</v>
      </c>
    </row>
    <row r="26314">
      <c r="B26314" s="17" t="s">
        <v>477</v>
      </c>
      <c r="K26314" s="18" t="s">
        <v>477</v>
      </c>
    </row>
    <row r="26315">
      <c r="B26315" s="17" t="s">
        <v>477</v>
      </c>
      <c r="K26315" s="18" t="s">
        <v>477</v>
      </c>
    </row>
    <row r="26316">
      <c r="B26316" s="17" t="s">
        <v>477</v>
      </c>
      <c r="K26316" s="18" t="s">
        <v>477</v>
      </c>
    </row>
    <row r="26317">
      <c r="B26317" s="17" t="s">
        <v>477</v>
      </c>
      <c r="K26317" s="18" t="s">
        <v>477</v>
      </c>
    </row>
    <row r="26318">
      <c r="B26318" s="17" t="s">
        <v>477</v>
      </c>
      <c r="K26318" s="18" t="s">
        <v>477</v>
      </c>
    </row>
    <row r="26319">
      <c r="B26319" s="17" t="s">
        <v>477</v>
      </c>
      <c r="K26319" s="18" t="s">
        <v>477</v>
      </c>
    </row>
    <row r="26320">
      <c r="B26320" s="17" t="s">
        <v>477</v>
      </c>
      <c r="K26320" s="18" t="s">
        <v>477</v>
      </c>
    </row>
    <row r="26321">
      <c r="B26321" s="17" t="s">
        <v>477</v>
      </c>
      <c r="K26321" s="18" t="s">
        <v>477</v>
      </c>
    </row>
    <row r="26322">
      <c r="B26322" s="17" t="s">
        <v>477</v>
      </c>
      <c r="K26322" s="18" t="s">
        <v>477</v>
      </c>
    </row>
    <row r="26323">
      <c r="B26323" s="17" t="s">
        <v>477</v>
      </c>
      <c r="K26323" s="18" t="s">
        <v>477</v>
      </c>
    </row>
    <row r="26324">
      <c r="B26324" s="17" t="s">
        <v>477</v>
      </c>
      <c r="K26324" s="18" t="s">
        <v>477</v>
      </c>
    </row>
    <row r="26325">
      <c r="B26325" s="17" t="s">
        <v>477</v>
      </c>
      <c r="K26325" s="18" t="s">
        <v>477</v>
      </c>
    </row>
    <row r="26326">
      <c r="B26326" s="17" t="s">
        <v>477</v>
      </c>
      <c r="K26326" s="18" t="s">
        <v>477</v>
      </c>
    </row>
    <row r="26327">
      <c r="B26327" s="17" t="s">
        <v>477</v>
      </c>
      <c r="K26327" s="18" t="s">
        <v>477</v>
      </c>
    </row>
    <row r="26328">
      <c r="B26328" s="17" t="s">
        <v>477</v>
      </c>
      <c r="K26328" s="18" t="s">
        <v>477</v>
      </c>
    </row>
    <row r="26329">
      <c r="B26329" s="17" t="s">
        <v>477</v>
      </c>
      <c r="K26329" s="18" t="s">
        <v>477</v>
      </c>
    </row>
    <row r="26330">
      <c r="B26330" s="17" t="s">
        <v>477</v>
      </c>
      <c r="K26330" s="18" t="s">
        <v>477</v>
      </c>
    </row>
    <row r="26331">
      <c r="B26331" s="17" t="s">
        <v>477</v>
      </c>
      <c r="K26331" s="18" t="s">
        <v>477</v>
      </c>
    </row>
    <row r="26332">
      <c r="B26332" s="17" t="s">
        <v>477</v>
      </c>
      <c r="K26332" s="18" t="s">
        <v>477</v>
      </c>
    </row>
    <row r="26333">
      <c r="B26333" s="17" t="s">
        <v>477</v>
      </c>
      <c r="K26333" s="18" t="s">
        <v>477</v>
      </c>
    </row>
    <row r="26334">
      <c r="B26334" s="17" t="s">
        <v>477</v>
      </c>
      <c r="K26334" s="18" t="s">
        <v>477</v>
      </c>
    </row>
    <row r="26335">
      <c r="B26335" s="17" t="s">
        <v>477</v>
      </c>
      <c r="K26335" s="18" t="s">
        <v>477</v>
      </c>
    </row>
    <row r="26336">
      <c r="B26336" s="17" t="s">
        <v>477</v>
      </c>
      <c r="K26336" s="18" t="s">
        <v>477</v>
      </c>
    </row>
    <row r="26337">
      <c r="B26337" s="17" t="s">
        <v>477</v>
      </c>
      <c r="K26337" s="18" t="s">
        <v>477</v>
      </c>
    </row>
    <row r="26338">
      <c r="B26338" s="17" t="s">
        <v>477</v>
      </c>
      <c r="K26338" s="18" t="s">
        <v>477</v>
      </c>
    </row>
    <row r="26339">
      <c r="B26339" s="17" t="s">
        <v>477</v>
      </c>
      <c r="K26339" s="18" t="s">
        <v>477</v>
      </c>
    </row>
    <row r="26340">
      <c r="B26340" s="17" t="s">
        <v>477</v>
      </c>
      <c r="K26340" s="18" t="s">
        <v>477</v>
      </c>
    </row>
    <row r="26341">
      <c r="B26341" s="17" t="s">
        <v>477</v>
      </c>
      <c r="K26341" s="18" t="s">
        <v>477</v>
      </c>
    </row>
    <row r="26342">
      <c r="B26342" s="17" t="s">
        <v>477</v>
      </c>
      <c r="K26342" s="18" t="s">
        <v>477</v>
      </c>
    </row>
    <row r="26343">
      <c r="B26343" s="17" t="s">
        <v>477</v>
      </c>
      <c r="K26343" s="18" t="s">
        <v>477</v>
      </c>
    </row>
    <row r="26344">
      <c r="B26344" s="17" t="s">
        <v>477</v>
      </c>
      <c r="K26344" s="18" t="s">
        <v>477</v>
      </c>
    </row>
    <row r="26345">
      <c r="B26345" s="17" t="s">
        <v>477</v>
      </c>
      <c r="K26345" s="18" t="s">
        <v>477</v>
      </c>
    </row>
    <row r="26346">
      <c r="B26346" s="17" t="s">
        <v>477</v>
      </c>
      <c r="K26346" s="18" t="s">
        <v>477</v>
      </c>
    </row>
    <row r="26347">
      <c r="B26347" s="17" t="s">
        <v>477</v>
      </c>
      <c r="K26347" s="18" t="s">
        <v>477</v>
      </c>
    </row>
    <row r="26348">
      <c r="B26348" s="17" t="s">
        <v>477</v>
      </c>
      <c r="K26348" s="18" t="s">
        <v>477</v>
      </c>
    </row>
    <row r="26349">
      <c r="B26349" s="17" t="s">
        <v>477</v>
      </c>
      <c r="K26349" s="18" t="s">
        <v>477</v>
      </c>
    </row>
    <row r="26350">
      <c r="B26350" s="17" t="s">
        <v>477</v>
      </c>
      <c r="K26350" s="18" t="s">
        <v>477</v>
      </c>
    </row>
    <row r="26351">
      <c r="B26351" s="17" t="s">
        <v>477</v>
      </c>
      <c r="K26351" s="18" t="s">
        <v>477</v>
      </c>
    </row>
    <row r="26352">
      <c r="B26352" s="17" t="s">
        <v>477</v>
      </c>
      <c r="K26352" s="18" t="s">
        <v>477</v>
      </c>
    </row>
    <row r="26353">
      <c r="B26353" s="17" t="s">
        <v>477</v>
      </c>
      <c r="K26353" s="18" t="s">
        <v>477</v>
      </c>
    </row>
    <row r="26354">
      <c r="B26354" s="17" t="s">
        <v>477</v>
      </c>
      <c r="K26354" s="18" t="s">
        <v>477</v>
      </c>
    </row>
    <row r="26355">
      <c r="B26355" s="17" t="s">
        <v>477</v>
      </c>
      <c r="K26355" s="18" t="s">
        <v>477</v>
      </c>
    </row>
    <row r="26356">
      <c r="B26356" s="17" t="s">
        <v>477</v>
      </c>
      <c r="K26356" s="18" t="s">
        <v>477</v>
      </c>
    </row>
    <row r="26357">
      <c r="B26357" s="17" t="s">
        <v>477</v>
      </c>
      <c r="K26357" s="18" t="s">
        <v>477</v>
      </c>
    </row>
    <row r="26358">
      <c r="B26358" s="17" t="s">
        <v>477</v>
      </c>
      <c r="K26358" s="18" t="s">
        <v>477</v>
      </c>
    </row>
    <row r="26359">
      <c r="B26359" s="17" t="s">
        <v>477</v>
      </c>
      <c r="K26359" s="18" t="s">
        <v>477</v>
      </c>
    </row>
    <row r="26360">
      <c r="B26360" s="17" t="s">
        <v>477</v>
      </c>
      <c r="K26360" s="18" t="s">
        <v>477</v>
      </c>
    </row>
    <row r="26361">
      <c r="B26361" s="17" t="s">
        <v>477</v>
      </c>
      <c r="K26361" s="18" t="s">
        <v>477</v>
      </c>
    </row>
    <row r="26362">
      <c r="B26362" s="17" t="s">
        <v>477</v>
      </c>
      <c r="K26362" s="18" t="s">
        <v>477</v>
      </c>
    </row>
    <row r="26363">
      <c r="B26363" s="17" t="s">
        <v>477</v>
      </c>
      <c r="K26363" s="18" t="s">
        <v>477</v>
      </c>
    </row>
    <row r="26364">
      <c r="B26364" s="17" t="s">
        <v>477</v>
      </c>
      <c r="K26364" s="18" t="s">
        <v>477</v>
      </c>
    </row>
    <row r="26365">
      <c r="B26365" s="17" t="s">
        <v>477</v>
      </c>
      <c r="K26365" s="18" t="s">
        <v>477</v>
      </c>
    </row>
    <row r="26366">
      <c r="B26366" s="17" t="s">
        <v>477</v>
      </c>
      <c r="K26366" s="18" t="s">
        <v>477</v>
      </c>
    </row>
    <row r="26367">
      <c r="B26367" s="17" t="s">
        <v>477</v>
      </c>
      <c r="K26367" s="18" t="s">
        <v>477</v>
      </c>
    </row>
    <row r="26368">
      <c r="B26368" s="17" t="s">
        <v>477</v>
      </c>
      <c r="K26368" s="18" t="s">
        <v>477</v>
      </c>
    </row>
    <row r="26369">
      <c r="B26369" s="17" t="s">
        <v>477</v>
      </c>
      <c r="K26369" s="18" t="s">
        <v>477</v>
      </c>
    </row>
    <row r="26370">
      <c r="B26370" s="17" t="s">
        <v>477</v>
      </c>
      <c r="K26370" s="18" t="s">
        <v>477</v>
      </c>
    </row>
    <row r="26371">
      <c r="B26371" s="17" t="s">
        <v>477</v>
      </c>
      <c r="K26371" s="18" t="s">
        <v>477</v>
      </c>
    </row>
    <row r="26372">
      <c r="B26372" s="17" t="s">
        <v>477</v>
      </c>
      <c r="K26372" s="18" t="s">
        <v>477</v>
      </c>
    </row>
    <row r="26373">
      <c r="B26373" s="17" t="s">
        <v>477</v>
      </c>
      <c r="K26373" s="18" t="s">
        <v>477</v>
      </c>
    </row>
    <row r="26374">
      <c r="B26374" s="17" t="s">
        <v>477</v>
      </c>
      <c r="K26374" s="18" t="s">
        <v>477</v>
      </c>
    </row>
    <row r="26375">
      <c r="B26375" s="17" t="s">
        <v>477</v>
      </c>
      <c r="K26375" s="18" t="s">
        <v>477</v>
      </c>
    </row>
    <row r="26376">
      <c r="B26376" s="17" t="s">
        <v>477</v>
      </c>
      <c r="K26376" s="18" t="s">
        <v>477</v>
      </c>
    </row>
    <row r="26377">
      <c r="B26377" s="17" t="s">
        <v>477</v>
      </c>
      <c r="K26377" s="18" t="s">
        <v>477</v>
      </c>
    </row>
    <row r="26378">
      <c r="B26378" s="17" t="s">
        <v>477</v>
      </c>
      <c r="K26378" s="18" t="s">
        <v>477</v>
      </c>
    </row>
    <row r="26379">
      <c r="B26379" s="17" t="s">
        <v>477</v>
      </c>
      <c r="K26379" s="18" t="s">
        <v>477</v>
      </c>
    </row>
    <row r="26380">
      <c r="B26380" s="17" t="s">
        <v>477</v>
      </c>
      <c r="K26380" s="18" t="s">
        <v>477</v>
      </c>
    </row>
    <row r="26381">
      <c r="B26381" s="17" t="s">
        <v>477</v>
      </c>
      <c r="K26381" s="18" t="s">
        <v>477</v>
      </c>
    </row>
    <row r="26382">
      <c r="B26382" s="17" t="s">
        <v>477</v>
      </c>
      <c r="K26382" s="18" t="s">
        <v>477</v>
      </c>
    </row>
    <row r="26383">
      <c r="B26383" s="17" t="s">
        <v>477</v>
      </c>
      <c r="K26383" s="18" t="s">
        <v>477</v>
      </c>
    </row>
    <row r="26384">
      <c r="B26384" s="17" t="s">
        <v>477</v>
      </c>
      <c r="K26384" s="18" t="s">
        <v>477</v>
      </c>
    </row>
    <row r="26385">
      <c r="B26385" s="17" t="s">
        <v>477</v>
      </c>
      <c r="K26385" s="18" t="s">
        <v>477</v>
      </c>
    </row>
    <row r="26386">
      <c r="B26386" s="17" t="s">
        <v>477</v>
      </c>
      <c r="K26386" s="18" t="s">
        <v>477</v>
      </c>
    </row>
    <row r="26387">
      <c r="B26387" s="17" t="s">
        <v>477</v>
      </c>
      <c r="K26387" s="18" t="s">
        <v>477</v>
      </c>
    </row>
    <row r="26388">
      <c r="B26388" s="17" t="s">
        <v>477</v>
      </c>
      <c r="K26388" s="18" t="s">
        <v>477</v>
      </c>
    </row>
    <row r="26389">
      <c r="B26389" s="17" t="s">
        <v>477</v>
      </c>
      <c r="K26389" s="18" t="s">
        <v>477</v>
      </c>
    </row>
    <row r="26390">
      <c r="B26390" s="17" t="s">
        <v>477</v>
      </c>
      <c r="K26390" s="18" t="s">
        <v>477</v>
      </c>
    </row>
    <row r="26391">
      <c r="B26391" s="17" t="s">
        <v>477</v>
      </c>
      <c r="K26391" s="18" t="s">
        <v>477</v>
      </c>
    </row>
    <row r="26392">
      <c r="B26392" s="17" t="s">
        <v>477</v>
      </c>
      <c r="K26392" s="18" t="s">
        <v>477</v>
      </c>
    </row>
    <row r="26393">
      <c r="B26393" s="17" t="s">
        <v>477</v>
      </c>
      <c r="K26393" s="18" t="s">
        <v>477</v>
      </c>
    </row>
    <row r="26394">
      <c r="B26394" s="17" t="s">
        <v>477</v>
      </c>
      <c r="K26394" s="18" t="s">
        <v>477</v>
      </c>
    </row>
    <row r="26395">
      <c r="B26395" s="17" t="s">
        <v>477</v>
      </c>
      <c r="K26395" s="18" t="s">
        <v>477</v>
      </c>
    </row>
    <row r="26396">
      <c r="B26396" s="17" t="s">
        <v>477</v>
      </c>
      <c r="K26396" s="18" t="s">
        <v>477</v>
      </c>
    </row>
    <row r="26397">
      <c r="B26397" s="17" t="s">
        <v>477</v>
      </c>
      <c r="K26397" s="18" t="s">
        <v>477</v>
      </c>
    </row>
    <row r="26398">
      <c r="B26398" s="17" t="s">
        <v>477</v>
      </c>
      <c r="K26398" s="18" t="s">
        <v>477</v>
      </c>
    </row>
    <row r="26399">
      <c r="B26399" s="17" t="s">
        <v>477</v>
      </c>
      <c r="K26399" s="18" t="s">
        <v>477</v>
      </c>
    </row>
    <row r="26400">
      <c r="B26400" s="17" t="s">
        <v>477</v>
      </c>
      <c r="K26400" s="18" t="s">
        <v>477</v>
      </c>
    </row>
    <row r="26401">
      <c r="B26401" s="17" t="s">
        <v>477</v>
      </c>
      <c r="K26401" s="18" t="s">
        <v>477</v>
      </c>
    </row>
    <row r="26402">
      <c r="B26402" s="17" t="s">
        <v>477</v>
      </c>
      <c r="K26402" s="18" t="s">
        <v>477</v>
      </c>
    </row>
    <row r="26403">
      <c r="B26403" s="17" t="s">
        <v>477</v>
      </c>
      <c r="K26403" s="18" t="s">
        <v>477</v>
      </c>
    </row>
    <row r="26404">
      <c r="B26404" s="17" t="s">
        <v>477</v>
      </c>
      <c r="K26404" s="18" t="s">
        <v>477</v>
      </c>
    </row>
    <row r="26405">
      <c r="B26405" s="17" t="s">
        <v>477</v>
      </c>
      <c r="K26405" s="18" t="s">
        <v>477</v>
      </c>
    </row>
    <row r="26406">
      <c r="B26406" s="17" t="s">
        <v>477</v>
      </c>
      <c r="K26406" s="18" t="s">
        <v>477</v>
      </c>
    </row>
    <row r="26407">
      <c r="B26407" s="17" t="s">
        <v>477</v>
      </c>
      <c r="K26407" s="18" t="s">
        <v>477</v>
      </c>
    </row>
    <row r="26408">
      <c r="B26408" s="17" t="s">
        <v>477</v>
      </c>
      <c r="K26408" s="18" t="s">
        <v>477</v>
      </c>
    </row>
    <row r="26409">
      <c r="B26409" s="17" t="s">
        <v>477</v>
      </c>
      <c r="K26409" s="18" t="s">
        <v>477</v>
      </c>
    </row>
    <row r="26410">
      <c r="B26410" s="17" t="s">
        <v>477</v>
      </c>
      <c r="K26410" s="18" t="s">
        <v>477</v>
      </c>
    </row>
    <row r="26411">
      <c r="B26411" s="17" t="s">
        <v>477</v>
      </c>
      <c r="K26411" s="18" t="s">
        <v>477</v>
      </c>
    </row>
    <row r="26412">
      <c r="B26412" s="17" t="s">
        <v>477</v>
      </c>
      <c r="K26412" s="18" t="s">
        <v>477</v>
      </c>
    </row>
    <row r="26413">
      <c r="B26413" s="17" t="s">
        <v>477</v>
      </c>
      <c r="K26413" s="18" t="s">
        <v>477</v>
      </c>
    </row>
    <row r="26414">
      <c r="B26414" s="17" t="s">
        <v>477</v>
      </c>
      <c r="K26414" s="18" t="s">
        <v>477</v>
      </c>
    </row>
    <row r="26415">
      <c r="B26415" s="17" t="s">
        <v>477</v>
      </c>
      <c r="K26415" s="18" t="s">
        <v>477</v>
      </c>
    </row>
    <row r="26416">
      <c r="B26416" s="17" t="s">
        <v>477</v>
      </c>
      <c r="K26416" s="18" t="s">
        <v>477</v>
      </c>
    </row>
    <row r="26417">
      <c r="B26417" s="17" t="s">
        <v>477</v>
      </c>
      <c r="K26417" s="18" t="s">
        <v>477</v>
      </c>
    </row>
    <row r="26418">
      <c r="B26418" s="17" t="s">
        <v>477</v>
      </c>
      <c r="K26418" s="18" t="s">
        <v>477</v>
      </c>
    </row>
    <row r="26419">
      <c r="B26419" s="17" t="s">
        <v>477</v>
      </c>
      <c r="K26419" s="18" t="s">
        <v>477</v>
      </c>
    </row>
    <row r="26420">
      <c r="B26420" s="17" t="s">
        <v>477</v>
      </c>
      <c r="K26420" s="18" t="s">
        <v>477</v>
      </c>
    </row>
    <row r="26421">
      <c r="B26421" s="17" t="s">
        <v>477</v>
      </c>
      <c r="K26421" s="18" t="s">
        <v>477</v>
      </c>
    </row>
    <row r="26422">
      <c r="B26422" s="17" t="s">
        <v>477</v>
      </c>
      <c r="K26422" s="18" t="s">
        <v>477</v>
      </c>
    </row>
    <row r="26423">
      <c r="B26423" s="17" t="s">
        <v>477</v>
      </c>
      <c r="K26423" s="18" t="s">
        <v>477</v>
      </c>
    </row>
    <row r="26424">
      <c r="B26424" s="17" t="s">
        <v>477</v>
      </c>
      <c r="K26424" s="18" t="s">
        <v>477</v>
      </c>
    </row>
    <row r="26425">
      <c r="B26425" s="17" t="s">
        <v>477</v>
      </c>
      <c r="K26425" s="18" t="s">
        <v>477</v>
      </c>
    </row>
    <row r="26426">
      <c r="B26426" s="17" t="s">
        <v>477</v>
      </c>
      <c r="K26426" s="18" t="s">
        <v>477</v>
      </c>
    </row>
    <row r="26427">
      <c r="B26427" s="17" t="s">
        <v>477</v>
      </c>
      <c r="K26427" s="18" t="s">
        <v>477</v>
      </c>
    </row>
    <row r="26428">
      <c r="B26428" s="17" t="s">
        <v>477</v>
      </c>
      <c r="K26428" s="18" t="s">
        <v>477</v>
      </c>
    </row>
    <row r="26429">
      <c r="B26429" s="17" t="s">
        <v>477</v>
      </c>
      <c r="K26429" s="18" t="s">
        <v>477</v>
      </c>
    </row>
    <row r="26430">
      <c r="B26430" s="17" t="s">
        <v>477</v>
      </c>
      <c r="K26430" s="18" t="s">
        <v>477</v>
      </c>
    </row>
    <row r="26431">
      <c r="B26431" s="17" t="s">
        <v>477</v>
      </c>
      <c r="K26431" s="18" t="s">
        <v>477</v>
      </c>
    </row>
    <row r="26432">
      <c r="B26432" s="17" t="s">
        <v>477</v>
      </c>
      <c r="K26432" s="18" t="s">
        <v>477</v>
      </c>
    </row>
    <row r="26433">
      <c r="B26433" s="17" t="s">
        <v>477</v>
      </c>
      <c r="K26433" s="18" t="s">
        <v>477</v>
      </c>
    </row>
    <row r="26434">
      <c r="B26434" s="17" t="s">
        <v>477</v>
      </c>
      <c r="K26434" s="18" t="s">
        <v>477</v>
      </c>
    </row>
    <row r="26435">
      <c r="B26435" s="17" t="s">
        <v>477</v>
      </c>
      <c r="K26435" s="18" t="s">
        <v>477</v>
      </c>
    </row>
    <row r="26436">
      <c r="B26436" s="17" t="s">
        <v>477</v>
      </c>
      <c r="K26436" s="18" t="s">
        <v>477</v>
      </c>
    </row>
    <row r="26437">
      <c r="B26437" s="17" t="s">
        <v>477</v>
      </c>
      <c r="K26437" s="18" t="s">
        <v>477</v>
      </c>
    </row>
    <row r="26438">
      <c r="B26438" s="17" t="s">
        <v>477</v>
      </c>
      <c r="K26438" s="18" t="s">
        <v>477</v>
      </c>
    </row>
    <row r="26439">
      <c r="B26439" s="17" t="s">
        <v>477</v>
      </c>
      <c r="K26439" s="18" t="s">
        <v>477</v>
      </c>
    </row>
    <row r="26440">
      <c r="B26440" s="17" t="s">
        <v>477</v>
      </c>
      <c r="K26440" s="18" t="s">
        <v>477</v>
      </c>
    </row>
    <row r="26441">
      <c r="B26441" s="17" t="s">
        <v>477</v>
      </c>
      <c r="K26441" s="18" t="s">
        <v>477</v>
      </c>
    </row>
    <row r="26442">
      <c r="B26442" s="17" t="s">
        <v>477</v>
      </c>
      <c r="K26442" s="18" t="s">
        <v>477</v>
      </c>
    </row>
    <row r="26443">
      <c r="B26443" s="17" t="s">
        <v>477</v>
      </c>
      <c r="K26443" s="18" t="s">
        <v>477</v>
      </c>
    </row>
    <row r="26444">
      <c r="B26444" s="17" t="s">
        <v>477</v>
      </c>
      <c r="K26444" s="18" t="s">
        <v>477</v>
      </c>
    </row>
    <row r="26445">
      <c r="B26445" s="17" t="s">
        <v>477</v>
      </c>
      <c r="K26445" s="18" t="s">
        <v>477</v>
      </c>
    </row>
    <row r="26446">
      <c r="B26446" s="17" t="s">
        <v>477</v>
      </c>
      <c r="K26446" s="18" t="s">
        <v>477</v>
      </c>
    </row>
    <row r="26447">
      <c r="B26447" s="17" t="s">
        <v>477</v>
      </c>
      <c r="K26447" s="18" t="s">
        <v>477</v>
      </c>
    </row>
    <row r="26448">
      <c r="B26448" s="17" t="s">
        <v>477</v>
      </c>
      <c r="K26448" s="18" t="s">
        <v>477</v>
      </c>
    </row>
    <row r="26449">
      <c r="B26449" s="17" t="s">
        <v>477</v>
      </c>
      <c r="K26449" s="18" t="s">
        <v>477</v>
      </c>
    </row>
    <row r="26450">
      <c r="B26450" s="17" t="s">
        <v>477</v>
      </c>
      <c r="K26450" s="18" t="s">
        <v>477</v>
      </c>
    </row>
    <row r="26451">
      <c r="B26451" s="17" t="s">
        <v>477</v>
      </c>
      <c r="K26451" s="18" t="s">
        <v>477</v>
      </c>
    </row>
    <row r="26452">
      <c r="B26452" s="17" t="s">
        <v>477</v>
      </c>
      <c r="K26452" s="18" t="s">
        <v>477</v>
      </c>
    </row>
    <row r="26453">
      <c r="B26453" s="17" t="s">
        <v>477</v>
      </c>
      <c r="K26453" s="18" t="s">
        <v>477</v>
      </c>
    </row>
    <row r="26454">
      <c r="B26454" s="17" t="s">
        <v>477</v>
      </c>
      <c r="K26454" s="18" t="s">
        <v>477</v>
      </c>
    </row>
    <row r="26455">
      <c r="B26455" s="17" t="s">
        <v>477</v>
      </c>
      <c r="K26455" s="18" t="s">
        <v>477</v>
      </c>
    </row>
    <row r="26456">
      <c r="B26456" s="17" t="s">
        <v>477</v>
      </c>
      <c r="K26456" s="18" t="s">
        <v>477</v>
      </c>
    </row>
    <row r="26457">
      <c r="B26457" s="17" t="s">
        <v>477</v>
      </c>
      <c r="K26457" s="18" t="s">
        <v>477</v>
      </c>
    </row>
    <row r="26458">
      <c r="B26458" s="17" t="s">
        <v>477</v>
      </c>
      <c r="K26458" s="18" t="s">
        <v>477</v>
      </c>
    </row>
    <row r="26459">
      <c r="B26459" s="17" t="s">
        <v>477</v>
      </c>
      <c r="K26459" s="18" t="s">
        <v>477</v>
      </c>
    </row>
    <row r="26460">
      <c r="B26460" s="17" t="s">
        <v>477</v>
      </c>
      <c r="K26460" s="18" t="s">
        <v>477</v>
      </c>
    </row>
    <row r="26461">
      <c r="B26461" s="17" t="s">
        <v>477</v>
      </c>
      <c r="K26461" s="18" t="s">
        <v>477</v>
      </c>
    </row>
    <row r="26462">
      <c r="B26462" s="17" t="s">
        <v>477</v>
      </c>
      <c r="K26462" s="18" t="s">
        <v>477</v>
      </c>
    </row>
    <row r="26463">
      <c r="B26463" s="17" t="s">
        <v>477</v>
      </c>
      <c r="K26463" s="18" t="s">
        <v>477</v>
      </c>
    </row>
    <row r="26464">
      <c r="B26464" s="17" t="s">
        <v>477</v>
      </c>
      <c r="K26464" s="18" t="s">
        <v>477</v>
      </c>
    </row>
    <row r="26465">
      <c r="B26465" s="17" t="s">
        <v>477</v>
      </c>
      <c r="K26465" s="18" t="s">
        <v>477</v>
      </c>
    </row>
    <row r="26466">
      <c r="B26466" s="17" t="s">
        <v>477</v>
      </c>
      <c r="K26466" s="18" t="s">
        <v>477</v>
      </c>
    </row>
    <row r="26467">
      <c r="B26467" s="17" t="s">
        <v>477</v>
      </c>
      <c r="K26467" s="18" t="s">
        <v>477</v>
      </c>
    </row>
    <row r="26468">
      <c r="B26468" s="17" t="s">
        <v>477</v>
      </c>
      <c r="K26468" s="18" t="s">
        <v>477</v>
      </c>
    </row>
    <row r="26469">
      <c r="B26469" s="17" t="s">
        <v>477</v>
      </c>
      <c r="K26469" s="18" t="s">
        <v>477</v>
      </c>
    </row>
    <row r="26470">
      <c r="B26470" s="17" t="s">
        <v>477</v>
      </c>
      <c r="K26470" s="18" t="s">
        <v>477</v>
      </c>
    </row>
    <row r="26471">
      <c r="B26471" s="17" t="s">
        <v>477</v>
      </c>
      <c r="K26471" s="18" t="s">
        <v>477</v>
      </c>
    </row>
    <row r="26472">
      <c r="B26472" s="17" t="s">
        <v>477</v>
      </c>
      <c r="K26472" s="18" t="s">
        <v>477</v>
      </c>
    </row>
    <row r="26473">
      <c r="B26473" s="17" t="s">
        <v>477</v>
      </c>
      <c r="K26473" s="18" t="s">
        <v>477</v>
      </c>
    </row>
    <row r="26474">
      <c r="B26474" s="17" t="s">
        <v>477</v>
      </c>
      <c r="K26474" s="18" t="s">
        <v>477</v>
      </c>
    </row>
    <row r="26475">
      <c r="B26475" s="17" t="s">
        <v>477</v>
      </c>
      <c r="K26475" s="18" t="s">
        <v>477</v>
      </c>
    </row>
    <row r="26476">
      <c r="B26476" s="17" t="s">
        <v>477</v>
      </c>
      <c r="K26476" s="18" t="s">
        <v>477</v>
      </c>
    </row>
    <row r="26477">
      <c r="B26477" s="17" t="s">
        <v>477</v>
      </c>
      <c r="K26477" s="18" t="s">
        <v>477</v>
      </c>
    </row>
    <row r="26478">
      <c r="B26478" s="17" t="s">
        <v>477</v>
      </c>
      <c r="K26478" s="18" t="s">
        <v>477</v>
      </c>
    </row>
    <row r="26479">
      <c r="B26479" s="17" t="s">
        <v>477</v>
      </c>
      <c r="K26479" s="18" t="s">
        <v>477</v>
      </c>
    </row>
    <row r="26480">
      <c r="B26480" s="17" t="s">
        <v>477</v>
      </c>
      <c r="K26480" s="18" t="s">
        <v>477</v>
      </c>
    </row>
    <row r="26481">
      <c r="B26481" s="17" t="s">
        <v>477</v>
      </c>
      <c r="K26481" s="18" t="s">
        <v>477</v>
      </c>
    </row>
    <row r="26482">
      <c r="B26482" s="17" t="s">
        <v>477</v>
      </c>
      <c r="K26482" s="18" t="s">
        <v>477</v>
      </c>
    </row>
    <row r="26483">
      <c r="B26483" s="17" t="s">
        <v>477</v>
      </c>
      <c r="K26483" s="18" t="s">
        <v>477</v>
      </c>
    </row>
    <row r="26484">
      <c r="B26484" s="17" t="s">
        <v>477</v>
      </c>
      <c r="K26484" s="18" t="s">
        <v>477</v>
      </c>
    </row>
    <row r="26485">
      <c r="B26485" s="17" t="s">
        <v>477</v>
      </c>
      <c r="K26485" s="18" t="s">
        <v>477</v>
      </c>
    </row>
    <row r="26486">
      <c r="B26486" s="17" t="s">
        <v>477</v>
      </c>
      <c r="K26486" s="18" t="s">
        <v>477</v>
      </c>
    </row>
    <row r="26487">
      <c r="B26487" s="17" t="s">
        <v>477</v>
      </c>
      <c r="K26487" s="18" t="s">
        <v>477</v>
      </c>
    </row>
    <row r="26488">
      <c r="B26488" s="17" t="s">
        <v>477</v>
      </c>
      <c r="K26488" s="18" t="s">
        <v>477</v>
      </c>
    </row>
    <row r="26489">
      <c r="B26489" s="17" t="s">
        <v>477</v>
      </c>
      <c r="K26489" s="18" t="s">
        <v>477</v>
      </c>
    </row>
    <row r="26490">
      <c r="B26490" s="17" t="s">
        <v>477</v>
      </c>
      <c r="K26490" s="18" t="s">
        <v>477</v>
      </c>
    </row>
    <row r="26491">
      <c r="B26491" s="17" t="s">
        <v>477</v>
      </c>
      <c r="K26491" s="18" t="s">
        <v>477</v>
      </c>
    </row>
    <row r="26492">
      <c r="B26492" s="17" t="s">
        <v>477</v>
      </c>
      <c r="K26492" s="18" t="s">
        <v>477</v>
      </c>
    </row>
    <row r="26493">
      <c r="B26493" s="17" t="s">
        <v>477</v>
      </c>
      <c r="K26493" s="18" t="s">
        <v>477</v>
      </c>
    </row>
    <row r="26494">
      <c r="B26494" s="17" t="s">
        <v>477</v>
      </c>
      <c r="K26494" s="18" t="s">
        <v>477</v>
      </c>
    </row>
    <row r="26495">
      <c r="B26495" s="17" t="s">
        <v>477</v>
      </c>
      <c r="K26495" s="18" t="s">
        <v>477</v>
      </c>
    </row>
    <row r="26496">
      <c r="B26496" s="17" t="s">
        <v>477</v>
      </c>
      <c r="K26496" s="18" t="s">
        <v>477</v>
      </c>
    </row>
    <row r="26497">
      <c r="B26497" s="17" t="s">
        <v>477</v>
      </c>
      <c r="K26497" s="18" t="s">
        <v>477</v>
      </c>
    </row>
    <row r="26498">
      <c r="B26498" s="17" t="s">
        <v>477</v>
      </c>
      <c r="K26498" s="18" t="s">
        <v>477</v>
      </c>
    </row>
    <row r="26499">
      <c r="B26499" s="17" t="s">
        <v>477</v>
      </c>
      <c r="K26499" s="18" t="s">
        <v>477</v>
      </c>
    </row>
    <row r="26500">
      <c r="B26500" s="17" t="s">
        <v>477</v>
      </c>
      <c r="K26500" s="18" t="s">
        <v>477</v>
      </c>
    </row>
    <row r="26501">
      <c r="B26501" s="17" t="s">
        <v>477</v>
      </c>
      <c r="K26501" s="18" t="s">
        <v>477</v>
      </c>
    </row>
    <row r="26502">
      <c r="B26502" s="17" t="s">
        <v>477</v>
      </c>
      <c r="K26502" s="18" t="s">
        <v>477</v>
      </c>
    </row>
    <row r="26503">
      <c r="B26503" s="17" t="s">
        <v>477</v>
      </c>
      <c r="K26503" s="18" t="s">
        <v>477</v>
      </c>
    </row>
    <row r="26504">
      <c r="B26504" s="17" t="s">
        <v>477</v>
      </c>
      <c r="K26504" s="18" t="s">
        <v>477</v>
      </c>
    </row>
    <row r="26505">
      <c r="B26505" s="17" t="s">
        <v>477</v>
      </c>
      <c r="K26505" s="18" t="s">
        <v>477</v>
      </c>
    </row>
    <row r="26506">
      <c r="B26506" s="17" t="s">
        <v>477</v>
      </c>
      <c r="K26506" s="18" t="s">
        <v>477</v>
      </c>
    </row>
    <row r="26507">
      <c r="B26507" s="17" t="s">
        <v>477</v>
      </c>
      <c r="K26507" s="18" t="s">
        <v>477</v>
      </c>
    </row>
    <row r="26508">
      <c r="B26508" s="17" t="s">
        <v>477</v>
      </c>
      <c r="K26508" s="18" t="s">
        <v>477</v>
      </c>
    </row>
    <row r="26509">
      <c r="B26509" s="17" t="s">
        <v>477</v>
      </c>
      <c r="K26509" s="18" t="s">
        <v>477</v>
      </c>
    </row>
    <row r="26510">
      <c r="B26510" s="17" t="s">
        <v>477</v>
      </c>
      <c r="K26510" s="18" t="s">
        <v>477</v>
      </c>
    </row>
    <row r="26511">
      <c r="B26511" s="17" t="s">
        <v>477</v>
      </c>
      <c r="K26511" s="18" t="s">
        <v>477</v>
      </c>
    </row>
    <row r="26512">
      <c r="B26512" s="17" t="s">
        <v>477</v>
      </c>
      <c r="K26512" s="18" t="s">
        <v>477</v>
      </c>
    </row>
    <row r="26513">
      <c r="B26513" s="17" t="s">
        <v>477</v>
      </c>
      <c r="K26513" s="18" t="s">
        <v>477</v>
      </c>
    </row>
    <row r="26514">
      <c r="B26514" s="17" t="s">
        <v>477</v>
      </c>
      <c r="K26514" s="18" t="s">
        <v>477</v>
      </c>
    </row>
    <row r="26515">
      <c r="B26515" s="17" t="s">
        <v>477</v>
      </c>
      <c r="K26515" s="18" t="s">
        <v>477</v>
      </c>
    </row>
    <row r="26516">
      <c r="B26516" s="17" t="s">
        <v>477</v>
      </c>
      <c r="K26516" s="18" t="s">
        <v>477</v>
      </c>
    </row>
    <row r="26517">
      <c r="B26517" s="17" t="s">
        <v>477</v>
      </c>
      <c r="K26517" s="18" t="s">
        <v>477</v>
      </c>
    </row>
    <row r="26518">
      <c r="B26518" s="17" t="s">
        <v>477</v>
      </c>
      <c r="K26518" s="18" t="s">
        <v>477</v>
      </c>
    </row>
    <row r="26519">
      <c r="B26519" s="17" t="s">
        <v>477</v>
      </c>
      <c r="K26519" s="18" t="s">
        <v>477</v>
      </c>
    </row>
    <row r="26520">
      <c r="B26520" s="17" t="s">
        <v>477</v>
      </c>
      <c r="K26520" s="18" t="s">
        <v>477</v>
      </c>
    </row>
    <row r="26521">
      <c r="B26521" s="17" t="s">
        <v>477</v>
      </c>
      <c r="K26521" s="18" t="s">
        <v>477</v>
      </c>
    </row>
    <row r="26522">
      <c r="B26522" s="17" t="s">
        <v>477</v>
      </c>
      <c r="K26522" s="18" t="s">
        <v>477</v>
      </c>
    </row>
    <row r="26523">
      <c r="B26523" s="17" t="s">
        <v>477</v>
      </c>
      <c r="K26523" s="18" t="s">
        <v>477</v>
      </c>
    </row>
    <row r="26524">
      <c r="B26524" s="17" t="s">
        <v>477</v>
      </c>
      <c r="K26524" s="18" t="s">
        <v>477</v>
      </c>
    </row>
    <row r="26525">
      <c r="B26525" s="17" t="s">
        <v>477</v>
      </c>
      <c r="K26525" s="18" t="s">
        <v>477</v>
      </c>
    </row>
    <row r="26526">
      <c r="B26526" s="17" t="s">
        <v>477</v>
      </c>
      <c r="K26526" s="18" t="s">
        <v>477</v>
      </c>
    </row>
    <row r="26527">
      <c r="B26527" s="17" t="s">
        <v>477</v>
      </c>
      <c r="K26527" s="18" t="s">
        <v>477</v>
      </c>
    </row>
    <row r="26528">
      <c r="B26528" s="17" t="s">
        <v>477</v>
      </c>
      <c r="K26528" s="18" t="s">
        <v>477</v>
      </c>
    </row>
    <row r="26529">
      <c r="B26529" s="17" t="s">
        <v>477</v>
      </c>
      <c r="K26529" s="18" t="s">
        <v>477</v>
      </c>
    </row>
    <row r="26530">
      <c r="B26530" s="17" t="s">
        <v>477</v>
      </c>
      <c r="K26530" s="18" t="s">
        <v>477</v>
      </c>
    </row>
    <row r="26531">
      <c r="B26531" s="17" t="s">
        <v>477</v>
      </c>
      <c r="K26531" s="18" t="s">
        <v>477</v>
      </c>
    </row>
    <row r="26532">
      <c r="B26532" s="17" t="s">
        <v>477</v>
      </c>
      <c r="K26532" s="18" t="s">
        <v>477</v>
      </c>
    </row>
    <row r="26533">
      <c r="B26533" s="17" t="s">
        <v>477</v>
      </c>
      <c r="K26533" s="18" t="s">
        <v>477</v>
      </c>
    </row>
    <row r="26534">
      <c r="B26534" s="17" t="s">
        <v>477</v>
      </c>
      <c r="K26534" s="18" t="s">
        <v>477</v>
      </c>
    </row>
    <row r="26535">
      <c r="B26535" s="17" t="s">
        <v>477</v>
      </c>
      <c r="K26535" s="18" t="s">
        <v>477</v>
      </c>
    </row>
    <row r="26536">
      <c r="B26536" s="17" t="s">
        <v>477</v>
      </c>
      <c r="K26536" s="18" t="s">
        <v>477</v>
      </c>
    </row>
    <row r="26537">
      <c r="B26537" s="17" t="s">
        <v>477</v>
      </c>
      <c r="K26537" s="18" t="s">
        <v>477</v>
      </c>
    </row>
    <row r="26538">
      <c r="B26538" s="17" t="s">
        <v>477</v>
      </c>
      <c r="K26538" s="18" t="s">
        <v>477</v>
      </c>
    </row>
    <row r="26539">
      <c r="B26539" s="17" t="s">
        <v>477</v>
      </c>
      <c r="K26539" s="18" t="s">
        <v>477</v>
      </c>
    </row>
    <row r="26540">
      <c r="B26540" s="17" t="s">
        <v>477</v>
      </c>
      <c r="K26540" s="18" t="s">
        <v>477</v>
      </c>
    </row>
    <row r="26541">
      <c r="B26541" s="17" t="s">
        <v>477</v>
      </c>
      <c r="K26541" s="18" t="s">
        <v>477</v>
      </c>
    </row>
    <row r="26542">
      <c r="B26542" s="17" t="s">
        <v>477</v>
      </c>
      <c r="K26542" s="18" t="s">
        <v>477</v>
      </c>
    </row>
    <row r="26543">
      <c r="B26543" s="17" t="s">
        <v>477</v>
      </c>
      <c r="K26543" s="18" t="s">
        <v>477</v>
      </c>
    </row>
    <row r="26544">
      <c r="B26544" s="17" t="s">
        <v>477</v>
      </c>
      <c r="K26544" s="18" t="s">
        <v>477</v>
      </c>
    </row>
    <row r="26545">
      <c r="B26545" s="17" t="s">
        <v>477</v>
      </c>
      <c r="K26545" s="18" t="s">
        <v>477</v>
      </c>
    </row>
    <row r="26546">
      <c r="B26546" s="17" t="s">
        <v>477</v>
      </c>
      <c r="K26546" s="18" t="s">
        <v>477</v>
      </c>
    </row>
    <row r="26547">
      <c r="B26547" s="17" t="s">
        <v>477</v>
      </c>
      <c r="K26547" s="18" t="s">
        <v>477</v>
      </c>
    </row>
    <row r="26548">
      <c r="B26548" s="17" t="s">
        <v>477</v>
      </c>
      <c r="K26548" s="18" t="s">
        <v>477</v>
      </c>
    </row>
    <row r="26549">
      <c r="B26549" s="17" t="s">
        <v>477</v>
      </c>
      <c r="K26549" s="18" t="s">
        <v>477</v>
      </c>
    </row>
    <row r="26550">
      <c r="B26550" s="17" t="s">
        <v>477</v>
      </c>
      <c r="K26550" s="18" t="s">
        <v>477</v>
      </c>
    </row>
    <row r="26551">
      <c r="B26551" s="17" t="s">
        <v>477</v>
      </c>
      <c r="K26551" s="18" t="s">
        <v>477</v>
      </c>
    </row>
    <row r="26552">
      <c r="B26552" s="17" t="s">
        <v>477</v>
      </c>
      <c r="K26552" s="18" t="s">
        <v>477</v>
      </c>
    </row>
    <row r="26553">
      <c r="B26553" s="17" t="s">
        <v>477</v>
      </c>
      <c r="K26553" s="18" t="s">
        <v>477</v>
      </c>
    </row>
    <row r="26554">
      <c r="B26554" s="17" t="s">
        <v>477</v>
      </c>
      <c r="K26554" s="18" t="s">
        <v>477</v>
      </c>
    </row>
    <row r="26555">
      <c r="B26555" s="17" t="s">
        <v>477</v>
      </c>
      <c r="K26555" s="18" t="s">
        <v>477</v>
      </c>
    </row>
    <row r="26556">
      <c r="B26556" s="17" t="s">
        <v>477</v>
      </c>
      <c r="K26556" s="18" t="s">
        <v>477</v>
      </c>
    </row>
    <row r="26557">
      <c r="B26557" s="17" t="s">
        <v>477</v>
      </c>
      <c r="K26557" s="18" t="s">
        <v>477</v>
      </c>
    </row>
    <row r="26558">
      <c r="B26558" s="17" t="s">
        <v>477</v>
      </c>
      <c r="K26558" s="18" t="s">
        <v>477</v>
      </c>
    </row>
    <row r="26559">
      <c r="B26559" s="17" t="s">
        <v>477</v>
      </c>
      <c r="K26559" s="18" t="s">
        <v>477</v>
      </c>
    </row>
    <row r="26560">
      <c r="B26560" s="17" t="s">
        <v>477</v>
      </c>
      <c r="K26560" s="18" t="s">
        <v>477</v>
      </c>
    </row>
    <row r="26561">
      <c r="B26561" s="17" t="s">
        <v>477</v>
      </c>
      <c r="K26561" s="18" t="s">
        <v>477</v>
      </c>
    </row>
    <row r="26562">
      <c r="B26562" s="17" t="s">
        <v>477</v>
      </c>
      <c r="K26562" s="18" t="s">
        <v>477</v>
      </c>
    </row>
    <row r="26563">
      <c r="B26563" s="17" t="s">
        <v>477</v>
      </c>
      <c r="K26563" s="18" t="s">
        <v>477</v>
      </c>
    </row>
    <row r="26564">
      <c r="B26564" s="17" t="s">
        <v>477</v>
      </c>
      <c r="K26564" s="18" t="s">
        <v>477</v>
      </c>
    </row>
    <row r="26565">
      <c r="B26565" s="17" t="s">
        <v>477</v>
      </c>
      <c r="K26565" s="18" t="s">
        <v>477</v>
      </c>
    </row>
    <row r="26566">
      <c r="B26566" s="17" t="s">
        <v>477</v>
      </c>
      <c r="K26566" s="18" t="s">
        <v>477</v>
      </c>
    </row>
    <row r="26567">
      <c r="B26567" s="17" t="s">
        <v>477</v>
      </c>
      <c r="K26567" s="18" t="s">
        <v>477</v>
      </c>
    </row>
    <row r="26568">
      <c r="B26568" s="17" t="s">
        <v>477</v>
      </c>
      <c r="K26568" s="18" t="s">
        <v>477</v>
      </c>
    </row>
    <row r="26569">
      <c r="B26569" s="17" t="s">
        <v>477</v>
      </c>
      <c r="K26569" s="18" t="s">
        <v>477</v>
      </c>
    </row>
    <row r="26570">
      <c r="B26570" s="17" t="s">
        <v>477</v>
      </c>
      <c r="K26570" s="18" t="s">
        <v>477</v>
      </c>
    </row>
    <row r="26571">
      <c r="B26571" s="17" t="s">
        <v>477</v>
      </c>
      <c r="K26571" s="18" t="s">
        <v>477</v>
      </c>
    </row>
    <row r="26572">
      <c r="B26572" s="17" t="s">
        <v>477</v>
      </c>
      <c r="K26572" s="18" t="s">
        <v>477</v>
      </c>
    </row>
    <row r="26573">
      <c r="B26573" s="17" t="s">
        <v>477</v>
      </c>
      <c r="K26573" s="18" t="s">
        <v>477</v>
      </c>
    </row>
    <row r="26574">
      <c r="B26574" s="17" t="s">
        <v>477</v>
      </c>
      <c r="K26574" s="18" t="s">
        <v>477</v>
      </c>
    </row>
    <row r="26575">
      <c r="B26575" s="17" t="s">
        <v>477</v>
      </c>
      <c r="K26575" s="18" t="s">
        <v>477</v>
      </c>
    </row>
    <row r="26576">
      <c r="B26576" s="17" t="s">
        <v>477</v>
      </c>
      <c r="K26576" s="18" t="s">
        <v>477</v>
      </c>
    </row>
    <row r="26577">
      <c r="B26577" s="17" t="s">
        <v>477</v>
      </c>
      <c r="K26577" s="18" t="s">
        <v>477</v>
      </c>
    </row>
    <row r="26578">
      <c r="B26578" s="17" t="s">
        <v>477</v>
      </c>
      <c r="K26578" s="18" t="s">
        <v>477</v>
      </c>
    </row>
    <row r="26579">
      <c r="B26579" s="17" t="s">
        <v>477</v>
      </c>
      <c r="K26579" s="18" t="s">
        <v>477</v>
      </c>
    </row>
    <row r="26580">
      <c r="B26580" s="17" t="s">
        <v>477</v>
      </c>
      <c r="K26580" s="18" t="s">
        <v>477</v>
      </c>
    </row>
    <row r="26581">
      <c r="B26581" s="17" t="s">
        <v>477</v>
      </c>
      <c r="K26581" s="18" t="s">
        <v>477</v>
      </c>
    </row>
    <row r="26582">
      <c r="B26582" s="17" t="s">
        <v>477</v>
      </c>
      <c r="K26582" s="18" t="s">
        <v>477</v>
      </c>
    </row>
    <row r="26583">
      <c r="B26583" s="17" t="s">
        <v>477</v>
      </c>
      <c r="K26583" s="18" t="s">
        <v>477</v>
      </c>
    </row>
    <row r="26584">
      <c r="B26584" s="17" t="s">
        <v>477</v>
      </c>
      <c r="K26584" s="18" t="s">
        <v>477</v>
      </c>
    </row>
    <row r="26585">
      <c r="B26585" s="17" t="s">
        <v>477</v>
      </c>
      <c r="K26585" s="18" t="s">
        <v>477</v>
      </c>
    </row>
    <row r="26586">
      <c r="B26586" s="17" t="s">
        <v>477</v>
      </c>
      <c r="K26586" s="18" t="s">
        <v>477</v>
      </c>
    </row>
    <row r="26587">
      <c r="B26587" s="17" t="s">
        <v>477</v>
      </c>
      <c r="K26587" s="18" t="s">
        <v>477</v>
      </c>
    </row>
    <row r="26588">
      <c r="B26588" s="17" t="s">
        <v>477</v>
      </c>
      <c r="K26588" s="18" t="s">
        <v>477</v>
      </c>
    </row>
    <row r="26589">
      <c r="B26589" s="17" t="s">
        <v>477</v>
      </c>
      <c r="K26589" s="18" t="s">
        <v>477</v>
      </c>
    </row>
    <row r="26590">
      <c r="B26590" s="17" t="s">
        <v>477</v>
      </c>
      <c r="K26590" s="18" t="s">
        <v>477</v>
      </c>
    </row>
    <row r="26591">
      <c r="B26591" s="17" t="s">
        <v>477</v>
      </c>
      <c r="K26591" s="18" t="s">
        <v>477</v>
      </c>
    </row>
    <row r="26592">
      <c r="B26592" s="17" t="s">
        <v>477</v>
      </c>
      <c r="K26592" s="18" t="s">
        <v>477</v>
      </c>
    </row>
    <row r="26593">
      <c r="B26593" s="17" t="s">
        <v>477</v>
      </c>
      <c r="K26593" s="18" t="s">
        <v>477</v>
      </c>
    </row>
    <row r="26594">
      <c r="B26594" s="17" t="s">
        <v>477</v>
      </c>
      <c r="K26594" s="18" t="s">
        <v>477</v>
      </c>
    </row>
    <row r="26595">
      <c r="B26595" s="17" t="s">
        <v>477</v>
      </c>
      <c r="K26595" s="18" t="s">
        <v>477</v>
      </c>
    </row>
    <row r="26596">
      <c r="B26596" s="17" t="s">
        <v>477</v>
      </c>
      <c r="K26596" s="18" t="s">
        <v>477</v>
      </c>
    </row>
    <row r="26597">
      <c r="B26597" s="17" t="s">
        <v>477</v>
      </c>
      <c r="K26597" s="18" t="s">
        <v>477</v>
      </c>
    </row>
    <row r="26598">
      <c r="B26598" s="17" t="s">
        <v>477</v>
      </c>
      <c r="K26598" s="18" t="s">
        <v>477</v>
      </c>
    </row>
    <row r="26599">
      <c r="B26599" s="17" t="s">
        <v>477</v>
      </c>
      <c r="K26599" s="18" t="s">
        <v>477</v>
      </c>
    </row>
    <row r="26600">
      <c r="B26600" s="17" t="s">
        <v>477</v>
      </c>
      <c r="K26600" s="18" t="s">
        <v>477</v>
      </c>
    </row>
    <row r="26601">
      <c r="B26601" s="17" t="s">
        <v>477</v>
      </c>
      <c r="K26601" s="18" t="s">
        <v>477</v>
      </c>
    </row>
    <row r="26602">
      <c r="B26602" s="17" t="s">
        <v>477</v>
      </c>
      <c r="K26602" s="18" t="s">
        <v>477</v>
      </c>
    </row>
    <row r="26603">
      <c r="B26603" s="17" t="s">
        <v>477</v>
      </c>
      <c r="K26603" s="18" t="s">
        <v>477</v>
      </c>
    </row>
    <row r="26604">
      <c r="B26604" s="17" t="s">
        <v>477</v>
      </c>
      <c r="K26604" s="18" t="s">
        <v>477</v>
      </c>
    </row>
    <row r="26605">
      <c r="B26605" s="17" t="s">
        <v>477</v>
      </c>
      <c r="K26605" s="18" t="s">
        <v>477</v>
      </c>
    </row>
    <row r="26606">
      <c r="B26606" s="17" t="s">
        <v>477</v>
      </c>
      <c r="K26606" s="18" t="s">
        <v>477</v>
      </c>
    </row>
    <row r="26607">
      <c r="B26607" s="17" t="s">
        <v>477</v>
      </c>
      <c r="K26607" s="18" t="s">
        <v>477</v>
      </c>
    </row>
    <row r="26608">
      <c r="B26608" s="17" t="s">
        <v>477</v>
      </c>
      <c r="K26608" s="18" t="s">
        <v>477</v>
      </c>
    </row>
    <row r="26609">
      <c r="B26609" s="17" t="s">
        <v>477</v>
      </c>
      <c r="K26609" s="18" t="s">
        <v>477</v>
      </c>
    </row>
    <row r="26610">
      <c r="B26610" s="17" t="s">
        <v>477</v>
      </c>
      <c r="K26610" s="18" t="s">
        <v>477</v>
      </c>
    </row>
    <row r="26611">
      <c r="B26611" s="17" t="s">
        <v>477</v>
      </c>
      <c r="K26611" s="18" t="s">
        <v>477</v>
      </c>
    </row>
    <row r="26612">
      <c r="B26612" s="17" t="s">
        <v>477</v>
      </c>
      <c r="K26612" s="18" t="s">
        <v>477</v>
      </c>
    </row>
    <row r="26613">
      <c r="B26613" s="17" t="s">
        <v>477</v>
      </c>
      <c r="K26613" s="18" t="s">
        <v>477</v>
      </c>
    </row>
    <row r="26614">
      <c r="B26614" s="17" t="s">
        <v>477</v>
      </c>
      <c r="K26614" s="18" t="s">
        <v>477</v>
      </c>
    </row>
    <row r="26615">
      <c r="B26615" s="17" t="s">
        <v>477</v>
      </c>
      <c r="K26615" s="18" t="s">
        <v>477</v>
      </c>
    </row>
    <row r="26616">
      <c r="B26616" s="17" t="s">
        <v>477</v>
      </c>
      <c r="K26616" s="18" t="s">
        <v>477</v>
      </c>
    </row>
    <row r="26617">
      <c r="B26617" s="17" t="s">
        <v>477</v>
      </c>
      <c r="K26617" s="18" t="s">
        <v>477</v>
      </c>
    </row>
    <row r="26618">
      <c r="B26618" s="17" t="s">
        <v>477</v>
      </c>
      <c r="K26618" s="18" t="s">
        <v>477</v>
      </c>
    </row>
    <row r="26619">
      <c r="B26619" s="17" t="s">
        <v>477</v>
      </c>
      <c r="K26619" s="18" t="s">
        <v>477</v>
      </c>
    </row>
    <row r="26620">
      <c r="B26620" s="17" t="s">
        <v>477</v>
      </c>
      <c r="K26620" s="18" t="s">
        <v>477</v>
      </c>
    </row>
    <row r="26621">
      <c r="B26621" s="17" t="s">
        <v>477</v>
      </c>
      <c r="K26621" s="18" t="s">
        <v>477</v>
      </c>
    </row>
    <row r="26622">
      <c r="B26622" s="17" t="s">
        <v>477</v>
      </c>
      <c r="K26622" s="18" t="s">
        <v>477</v>
      </c>
    </row>
    <row r="26623">
      <c r="B26623" s="17" t="s">
        <v>477</v>
      </c>
      <c r="K26623" s="18" t="s">
        <v>477</v>
      </c>
    </row>
    <row r="26624">
      <c r="B26624" s="17" t="s">
        <v>477</v>
      </c>
      <c r="K26624" s="18" t="s">
        <v>477</v>
      </c>
    </row>
    <row r="26625">
      <c r="B26625" s="17" t="s">
        <v>477</v>
      </c>
      <c r="K26625" s="18" t="s">
        <v>477</v>
      </c>
    </row>
    <row r="26626">
      <c r="B26626" s="17" t="s">
        <v>477</v>
      </c>
      <c r="K26626" s="18" t="s">
        <v>477</v>
      </c>
    </row>
    <row r="26627">
      <c r="B26627" s="17" t="s">
        <v>477</v>
      </c>
      <c r="K26627" s="18" t="s">
        <v>477</v>
      </c>
    </row>
    <row r="26628">
      <c r="B26628" s="17" t="s">
        <v>477</v>
      </c>
      <c r="K26628" s="18" t="s">
        <v>477</v>
      </c>
    </row>
    <row r="26629">
      <c r="B26629" s="17" t="s">
        <v>477</v>
      </c>
      <c r="K26629" s="18" t="s">
        <v>477</v>
      </c>
    </row>
    <row r="26630">
      <c r="B26630" s="17" t="s">
        <v>477</v>
      </c>
      <c r="K26630" s="18" t="s">
        <v>477</v>
      </c>
    </row>
    <row r="26631">
      <c r="B26631" s="17" t="s">
        <v>477</v>
      </c>
      <c r="K26631" s="18" t="s">
        <v>477</v>
      </c>
    </row>
    <row r="26632">
      <c r="B26632" s="17" t="s">
        <v>477</v>
      </c>
      <c r="K26632" s="18" t="s">
        <v>477</v>
      </c>
    </row>
    <row r="26633">
      <c r="B26633" s="17" t="s">
        <v>477</v>
      </c>
      <c r="K26633" s="18" t="s">
        <v>477</v>
      </c>
    </row>
    <row r="26634">
      <c r="B26634" s="17" t="s">
        <v>477</v>
      </c>
      <c r="K26634" s="18" t="s">
        <v>477</v>
      </c>
    </row>
    <row r="26635">
      <c r="B26635" s="17" t="s">
        <v>477</v>
      </c>
      <c r="K26635" s="18" t="s">
        <v>477</v>
      </c>
    </row>
    <row r="26636">
      <c r="B26636" s="17" t="s">
        <v>477</v>
      </c>
      <c r="K26636" s="18" t="s">
        <v>477</v>
      </c>
    </row>
    <row r="26637">
      <c r="B26637" s="17" t="s">
        <v>477</v>
      </c>
      <c r="K26637" s="18" t="s">
        <v>477</v>
      </c>
    </row>
    <row r="26638">
      <c r="B26638" s="17" t="s">
        <v>477</v>
      </c>
      <c r="K26638" s="18" t="s">
        <v>477</v>
      </c>
    </row>
    <row r="26639">
      <c r="B26639" s="17" t="s">
        <v>477</v>
      </c>
      <c r="K26639" s="18" t="s">
        <v>477</v>
      </c>
    </row>
    <row r="26640">
      <c r="B26640" s="17" t="s">
        <v>477</v>
      </c>
      <c r="K26640" s="18" t="s">
        <v>477</v>
      </c>
    </row>
    <row r="26641">
      <c r="B26641" s="17" t="s">
        <v>477</v>
      </c>
      <c r="K26641" s="18" t="s">
        <v>477</v>
      </c>
    </row>
    <row r="26642">
      <c r="B26642" s="17" t="s">
        <v>477</v>
      </c>
      <c r="K26642" s="18" t="s">
        <v>477</v>
      </c>
    </row>
    <row r="26643">
      <c r="B26643" s="17" t="s">
        <v>477</v>
      </c>
      <c r="K26643" s="18" t="s">
        <v>477</v>
      </c>
    </row>
    <row r="26644">
      <c r="B26644" s="17" t="s">
        <v>477</v>
      </c>
      <c r="K26644" s="18" t="s">
        <v>477</v>
      </c>
    </row>
    <row r="26645">
      <c r="B26645" s="17" t="s">
        <v>477</v>
      </c>
      <c r="K26645" s="18" t="s">
        <v>477</v>
      </c>
    </row>
    <row r="26646">
      <c r="B26646" s="17" t="s">
        <v>477</v>
      </c>
      <c r="K26646" s="18" t="s">
        <v>477</v>
      </c>
    </row>
    <row r="26647">
      <c r="B26647" s="17" t="s">
        <v>477</v>
      </c>
      <c r="K26647" s="18" t="s">
        <v>477</v>
      </c>
    </row>
    <row r="26648">
      <c r="B26648" s="17" t="s">
        <v>477</v>
      </c>
      <c r="K26648" s="18" t="s">
        <v>477</v>
      </c>
    </row>
    <row r="26649">
      <c r="B26649" s="17" t="s">
        <v>477</v>
      </c>
      <c r="K26649" s="18" t="s">
        <v>477</v>
      </c>
    </row>
    <row r="26650">
      <c r="B26650" s="17" t="s">
        <v>477</v>
      </c>
      <c r="K26650" s="18" t="s">
        <v>477</v>
      </c>
    </row>
    <row r="26651">
      <c r="B26651" s="17" t="s">
        <v>477</v>
      </c>
      <c r="K26651" s="18" t="s">
        <v>477</v>
      </c>
    </row>
    <row r="26652">
      <c r="B26652" s="17" t="s">
        <v>477</v>
      </c>
      <c r="K26652" s="18" t="s">
        <v>477</v>
      </c>
    </row>
    <row r="26653">
      <c r="B26653" s="17" t="s">
        <v>477</v>
      </c>
      <c r="K26653" s="18" t="s">
        <v>477</v>
      </c>
    </row>
    <row r="26654">
      <c r="B26654" s="17" t="s">
        <v>477</v>
      </c>
      <c r="K26654" s="18" t="s">
        <v>477</v>
      </c>
    </row>
    <row r="26655">
      <c r="B26655" s="17" t="s">
        <v>477</v>
      </c>
      <c r="K26655" s="18" t="s">
        <v>477</v>
      </c>
    </row>
    <row r="26656">
      <c r="B26656" s="17" t="s">
        <v>477</v>
      </c>
      <c r="K26656" s="18" t="s">
        <v>477</v>
      </c>
    </row>
    <row r="26657">
      <c r="B26657" s="17" t="s">
        <v>477</v>
      </c>
      <c r="K26657" s="18" t="s">
        <v>477</v>
      </c>
    </row>
    <row r="26658">
      <c r="B26658" s="17" t="s">
        <v>477</v>
      </c>
      <c r="K26658" s="18" t="s">
        <v>477</v>
      </c>
    </row>
    <row r="26659">
      <c r="B26659" s="17" t="s">
        <v>477</v>
      </c>
      <c r="K26659" s="18" t="s">
        <v>477</v>
      </c>
    </row>
    <row r="26660">
      <c r="B26660" s="17" t="s">
        <v>477</v>
      </c>
      <c r="K26660" s="18" t="s">
        <v>477</v>
      </c>
    </row>
    <row r="26661">
      <c r="B26661" s="17" t="s">
        <v>477</v>
      </c>
      <c r="K26661" s="18" t="s">
        <v>477</v>
      </c>
    </row>
    <row r="26662">
      <c r="B26662" s="17" t="s">
        <v>477</v>
      </c>
      <c r="K26662" s="18" t="s">
        <v>477</v>
      </c>
    </row>
    <row r="26663">
      <c r="B26663" s="17" t="s">
        <v>477</v>
      </c>
      <c r="K26663" s="18" t="s">
        <v>477</v>
      </c>
    </row>
    <row r="26664">
      <c r="B26664" s="17" t="s">
        <v>477</v>
      </c>
      <c r="K26664" s="18" t="s">
        <v>477</v>
      </c>
    </row>
    <row r="26665">
      <c r="B26665" s="17" t="s">
        <v>477</v>
      </c>
      <c r="K26665" s="18" t="s">
        <v>477</v>
      </c>
    </row>
    <row r="26666">
      <c r="B26666" s="17" t="s">
        <v>477</v>
      </c>
      <c r="K26666" s="18" t="s">
        <v>477</v>
      </c>
    </row>
    <row r="26667">
      <c r="B26667" s="17" t="s">
        <v>477</v>
      </c>
      <c r="K26667" s="18" t="s">
        <v>477</v>
      </c>
    </row>
    <row r="26668">
      <c r="B26668" s="17" t="s">
        <v>477</v>
      </c>
      <c r="K26668" s="18" t="s">
        <v>477</v>
      </c>
    </row>
    <row r="26669">
      <c r="B26669" s="17" t="s">
        <v>477</v>
      </c>
      <c r="K26669" s="18" t="s">
        <v>477</v>
      </c>
    </row>
    <row r="26670">
      <c r="B26670" s="17" t="s">
        <v>477</v>
      </c>
      <c r="K26670" s="18" t="s">
        <v>477</v>
      </c>
    </row>
    <row r="26671">
      <c r="B26671" s="17" t="s">
        <v>477</v>
      </c>
      <c r="K26671" s="18" t="s">
        <v>477</v>
      </c>
    </row>
    <row r="26672">
      <c r="B26672" s="17" t="s">
        <v>477</v>
      </c>
      <c r="K26672" s="18" t="s">
        <v>477</v>
      </c>
    </row>
    <row r="26673">
      <c r="B26673" s="17" t="s">
        <v>477</v>
      </c>
      <c r="K26673" s="18" t="s">
        <v>477</v>
      </c>
    </row>
    <row r="26674">
      <c r="B26674" s="17" t="s">
        <v>477</v>
      </c>
      <c r="K26674" s="18" t="s">
        <v>477</v>
      </c>
    </row>
    <row r="26675">
      <c r="B26675" s="17" t="s">
        <v>477</v>
      </c>
      <c r="K26675" s="18" t="s">
        <v>477</v>
      </c>
    </row>
    <row r="26676">
      <c r="B26676" s="17" t="s">
        <v>477</v>
      </c>
      <c r="K26676" s="18" t="s">
        <v>477</v>
      </c>
    </row>
    <row r="26677">
      <c r="B26677" s="17" t="s">
        <v>477</v>
      </c>
      <c r="K26677" s="18" t="s">
        <v>477</v>
      </c>
    </row>
    <row r="26678">
      <c r="B26678" s="17" t="s">
        <v>477</v>
      </c>
      <c r="K26678" s="18" t="s">
        <v>477</v>
      </c>
    </row>
    <row r="26679">
      <c r="B26679" s="17" t="s">
        <v>477</v>
      </c>
      <c r="K26679" s="18" t="s">
        <v>477</v>
      </c>
    </row>
    <row r="26680">
      <c r="B26680" s="17" t="s">
        <v>477</v>
      </c>
      <c r="K26680" s="18" t="s">
        <v>477</v>
      </c>
    </row>
    <row r="26681">
      <c r="B26681" s="17" t="s">
        <v>477</v>
      </c>
      <c r="K26681" s="18" t="s">
        <v>477</v>
      </c>
    </row>
    <row r="26682">
      <c r="B26682" s="17" t="s">
        <v>477</v>
      </c>
      <c r="K26682" s="18" t="s">
        <v>477</v>
      </c>
    </row>
    <row r="26683">
      <c r="B26683" s="17" t="s">
        <v>477</v>
      </c>
      <c r="K26683" s="18" t="s">
        <v>477</v>
      </c>
    </row>
    <row r="26684">
      <c r="B26684" s="17" t="s">
        <v>477</v>
      </c>
      <c r="K26684" s="18" t="s">
        <v>477</v>
      </c>
    </row>
    <row r="26685">
      <c r="B26685" s="17" t="s">
        <v>477</v>
      </c>
      <c r="K26685" s="18" t="s">
        <v>477</v>
      </c>
    </row>
    <row r="26686">
      <c r="B26686" s="17" t="s">
        <v>477</v>
      </c>
      <c r="K26686" s="18" t="s">
        <v>477</v>
      </c>
    </row>
    <row r="26687">
      <c r="B26687" s="17" t="s">
        <v>477</v>
      </c>
      <c r="K26687" s="18" t="s">
        <v>477</v>
      </c>
    </row>
    <row r="26688">
      <c r="B26688" s="17" t="s">
        <v>477</v>
      </c>
      <c r="K26688" s="18" t="s">
        <v>477</v>
      </c>
    </row>
    <row r="26689">
      <c r="B26689" s="17" t="s">
        <v>477</v>
      </c>
      <c r="K26689" s="18" t="s">
        <v>477</v>
      </c>
    </row>
    <row r="26690">
      <c r="B26690" s="17" t="s">
        <v>477</v>
      </c>
      <c r="K26690" s="18" t="s">
        <v>477</v>
      </c>
    </row>
    <row r="26691">
      <c r="B26691" s="17" t="s">
        <v>477</v>
      </c>
      <c r="K26691" s="18" t="s">
        <v>477</v>
      </c>
    </row>
    <row r="26692">
      <c r="B26692" s="17" t="s">
        <v>477</v>
      </c>
      <c r="K26692" s="18" t="s">
        <v>477</v>
      </c>
    </row>
    <row r="26693">
      <c r="B26693" s="17" t="s">
        <v>477</v>
      </c>
      <c r="K26693" s="18" t="s">
        <v>477</v>
      </c>
    </row>
    <row r="26694">
      <c r="B26694" s="17" t="s">
        <v>477</v>
      </c>
      <c r="K26694" s="18" t="s">
        <v>477</v>
      </c>
    </row>
    <row r="26695">
      <c r="B26695" s="17" t="s">
        <v>477</v>
      </c>
      <c r="K26695" s="18" t="s">
        <v>477</v>
      </c>
    </row>
    <row r="26696">
      <c r="B26696" s="17" t="s">
        <v>477</v>
      </c>
      <c r="K26696" s="18" t="s">
        <v>477</v>
      </c>
    </row>
    <row r="26697">
      <c r="B26697" s="17" t="s">
        <v>477</v>
      </c>
      <c r="K26697" s="18" t="s">
        <v>477</v>
      </c>
    </row>
    <row r="26698">
      <c r="B26698" s="17" t="s">
        <v>477</v>
      </c>
      <c r="K26698" s="18" t="s">
        <v>477</v>
      </c>
    </row>
    <row r="26699">
      <c r="B26699" s="17" t="s">
        <v>477</v>
      </c>
      <c r="K26699" s="18" t="s">
        <v>477</v>
      </c>
    </row>
    <row r="26700">
      <c r="B26700" s="17" t="s">
        <v>477</v>
      </c>
      <c r="K26700" s="18" t="s">
        <v>477</v>
      </c>
    </row>
    <row r="26701">
      <c r="B26701" s="17" t="s">
        <v>477</v>
      </c>
      <c r="K26701" s="18" t="s">
        <v>477</v>
      </c>
    </row>
    <row r="26702">
      <c r="B26702" s="17" t="s">
        <v>477</v>
      </c>
      <c r="K26702" s="18" t="s">
        <v>477</v>
      </c>
    </row>
    <row r="26703">
      <c r="B26703" s="17" t="s">
        <v>477</v>
      </c>
      <c r="K26703" s="18" t="s">
        <v>477</v>
      </c>
    </row>
    <row r="26704">
      <c r="B26704" s="17" t="s">
        <v>477</v>
      </c>
      <c r="K26704" s="18" t="s">
        <v>477</v>
      </c>
    </row>
    <row r="26705">
      <c r="B26705" s="17" t="s">
        <v>477</v>
      </c>
      <c r="K26705" s="18" t="s">
        <v>477</v>
      </c>
    </row>
    <row r="26706">
      <c r="B26706" s="17" t="s">
        <v>477</v>
      </c>
      <c r="K26706" s="18" t="s">
        <v>477</v>
      </c>
    </row>
    <row r="26707">
      <c r="B26707" s="17" t="s">
        <v>477</v>
      </c>
      <c r="K26707" s="18" t="s">
        <v>477</v>
      </c>
    </row>
    <row r="26708">
      <c r="B26708" s="17" t="s">
        <v>477</v>
      </c>
      <c r="K26708" s="18" t="s">
        <v>477</v>
      </c>
    </row>
    <row r="26709">
      <c r="B26709" s="17" t="s">
        <v>477</v>
      </c>
      <c r="K26709" s="18" t="s">
        <v>477</v>
      </c>
    </row>
    <row r="26710">
      <c r="B26710" s="17" t="s">
        <v>477</v>
      </c>
      <c r="K26710" s="18" t="s">
        <v>477</v>
      </c>
    </row>
    <row r="26711">
      <c r="B26711" s="17" t="s">
        <v>477</v>
      </c>
      <c r="K26711" s="18" t="s">
        <v>477</v>
      </c>
    </row>
    <row r="26712">
      <c r="B26712" s="17" t="s">
        <v>477</v>
      </c>
      <c r="K26712" s="18" t="s">
        <v>477</v>
      </c>
    </row>
    <row r="26713">
      <c r="B26713" s="17" t="s">
        <v>477</v>
      </c>
      <c r="K26713" s="18" t="s">
        <v>477</v>
      </c>
    </row>
    <row r="26714">
      <c r="B26714" s="17" t="s">
        <v>477</v>
      </c>
      <c r="K26714" s="18" t="s">
        <v>477</v>
      </c>
    </row>
    <row r="26715">
      <c r="B26715" s="17" t="s">
        <v>477</v>
      </c>
      <c r="K26715" s="18" t="s">
        <v>477</v>
      </c>
    </row>
    <row r="26716">
      <c r="B26716" s="17" t="s">
        <v>477</v>
      </c>
      <c r="K26716" s="18" t="s">
        <v>477</v>
      </c>
    </row>
    <row r="26717">
      <c r="B26717" s="17" t="s">
        <v>477</v>
      </c>
      <c r="K26717" s="18" t="s">
        <v>477</v>
      </c>
    </row>
    <row r="26718">
      <c r="B26718" s="17" t="s">
        <v>477</v>
      </c>
      <c r="K26718" s="18" t="s">
        <v>477</v>
      </c>
    </row>
    <row r="26719">
      <c r="B26719" s="17" t="s">
        <v>477</v>
      </c>
      <c r="K26719" s="18" t="s">
        <v>477</v>
      </c>
    </row>
    <row r="26720">
      <c r="B26720" s="17" t="s">
        <v>477</v>
      </c>
      <c r="K26720" s="18" t="s">
        <v>477</v>
      </c>
    </row>
    <row r="26721">
      <c r="B26721" s="17" t="s">
        <v>477</v>
      </c>
      <c r="K26721" s="18" t="s">
        <v>477</v>
      </c>
    </row>
    <row r="26722">
      <c r="B26722" s="17" t="s">
        <v>477</v>
      </c>
      <c r="K26722" s="18" t="s">
        <v>477</v>
      </c>
    </row>
    <row r="26723">
      <c r="B26723" s="17" t="s">
        <v>477</v>
      </c>
      <c r="K26723" s="18" t="s">
        <v>477</v>
      </c>
    </row>
    <row r="26724">
      <c r="B26724" s="17" t="s">
        <v>477</v>
      </c>
      <c r="K26724" s="18" t="s">
        <v>477</v>
      </c>
    </row>
    <row r="26725">
      <c r="B26725" s="17" t="s">
        <v>477</v>
      </c>
      <c r="K26725" s="18" t="s">
        <v>477</v>
      </c>
    </row>
    <row r="26726">
      <c r="B26726" s="17" t="s">
        <v>477</v>
      </c>
      <c r="K26726" s="18" t="s">
        <v>477</v>
      </c>
    </row>
    <row r="26727">
      <c r="B26727" s="17" t="s">
        <v>477</v>
      </c>
      <c r="K26727" s="18" t="s">
        <v>477</v>
      </c>
    </row>
    <row r="26728">
      <c r="B26728" s="17" t="s">
        <v>477</v>
      </c>
      <c r="K26728" s="18" t="s">
        <v>477</v>
      </c>
    </row>
    <row r="26729">
      <c r="B26729" s="17" t="s">
        <v>477</v>
      </c>
      <c r="K26729" s="18" t="s">
        <v>477</v>
      </c>
    </row>
    <row r="26730">
      <c r="B26730" s="17" t="s">
        <v>477</v>
      </c>
      <c r="K26730" s="18" t="s">
        <v>477</v>
      </c>
    </row>
    <row r="26731">
      <c r="B26731" s="17" t="s">
        <v>477</v>
      </c>
      <c r="K26731" s="18" t="s">
        <v>477</v>
      </c>
    </row>
    <row r="26732">
      <c r="B26732" s="17" t="s">
        <v>477</v>
      </c>
      <c r="K26732" s="18" t="s">
        <v>477</v>
      </c>
    </row>
    <row r="26733">
      <c r="B26733" s="17" t="s">
        <v>477</v>
      </c>
      <c r="K26733" s="18" t="s">
        <v>477</v>
      </c>
    </row>
    <row r="26734">
      <c r="B26734" s="17" t="s">
        <v>477</v>
      </c>
      <c r="K26734" s="18" t="s">
        <v>477</v>
      </c>
    </row>
    <row r="26735">
      <c r="B26735" s="17" t="s">
        <v>477</v>
      </c>
      <c r="K26735" s="18" t="s">
        <v>477</v>
      </c>
    </row>
    <row r="26736">
      <c r="B26736" s="17" t="s">
        <v>477</v>
      </c>
      <c r="K26736" s="18" t="s">
        <v>477</v>
      </c>
    </row>
    <row r="26737">
      <c r="B26737" s="17" t="s">
        <v>477</v>
      </c>
      <c r="K26737" s="18" t="s">
        <v>477</v>
      </c>
    </row>
    <row r="26738">
      <c r="B26738" s="17" t="s">
        <v>477</v>
      </c>
      <c r="K26738" s="18" t="s">
        <v>477</v>
      </c>
    </row>
    <row r="26739">
      <c r="B26739" s="17" t="s">
        <v>477</v>
      </c>
      <c r="K26739" s="18" t="s">
        <v>477</v>
      </c>
    </row>
    <row r="26740">
      <c r="B26740" s="17" t="s">
        <v>477</v>
      </c>
      <c r="K26740" s="18" t="s">
        <v>477</v>
      </c>
    </row>
    <row r="26741">
      <c r="B26741" s="17" t="s">
        <v>477</v>
      </c>
      <c r="K26741" s="18" t="s">
        <v>477</v>
      </c>
    </row>
    <row r="26742">
      <c r="B26742" s="17" t="s">
        <v>477</v>
      </c>
      <c r="K26742" s="18" t="s">
        <v>477</v>
      </c>
    </row>
    <row r="26743">
      <c r="B26743" s="17" t="s">
        <v>477</v>
      </c>
      <c r="K26743" s="18" t="s">
        <v>477</v>
      </c>
    </row>
    <row r="26744">
      <c r="B26744" s="17" t="s">
        <v>477</v>
      </c>
      <c r="K26744" s="18" t="s">
        <v>477</v>
      </c>
    </row>
    <row r="26745">
      <c r="B26745" s="17" t="s">
        <v>477</v>
      </c>
      <c r="K26745" s="18" t="s">
        <v>477</v>
      </c>
    </row>
    <row r="26746">
      <c r="B26746" s="17" t="s">
        <v>477</v>
      </c>
      <c r="K26746" s="18" t="s">
        <v>477</v>
      </c>
    </row>
    <row r="26747">
      <c r="B26747" s="17" t="s">
        <v>477</v>
      </c>
      <c r="K26747" s="18" t="s">
        <v>477</v>
      </c>
    </row>
    <row r="26748">
      <c r="B26748" s="17" t="s">
        <v>477</v>
      </c>
      <c r="K26748" s="18" t="s">
        <v>477</v>
      </c>
    </row>
    <row r="26749">
      <c r="B26749" s="17" t="s">
        <v>477</v>
      </c>
      <c r="K26749" s="18" t="s">
        <v>477</v>
      </c>
    </row>
    <row r="26750">
      <c r="B26750" s="17" t="s">
        <v>477</v>
      </c>
      <c r="K26750" s="18" t="s">
        <v>477</v>
      </c>
    </row>
    <row r="26751">
      <c r="B26751" s="17" t="s">
        <v>477</v>
      </c>
      <c r="K26751" s="18" t="s">
        <v>477</v>
      </c>
    </row>
    <row r="26752">
      <c r="B26752" s="17" t="s">
        <v>477</v>
      </c>
      <c r="K26752" s="18" t="s">
        <v>477</v>
      </c>
    </row>
    <row r="26753">
      <c r="B26753" s="17" t="s">
        <v>477</v>
      </c>
      <c r="K26753" s="18" t="s">
        <v>477</v>
      </c>
    </row>
    <row r="26754">
      <c r="B26754" s="17" t="s">
        <v>477</v>
      </c>
      <c r="K26754" s="18" t="s">
        <v>477</v>
      </c>
    </row>
    <row r="26755">
      <c r="B26755" s="17" t="s">
        <v>477</v>
      </c>
      <c r="K26755" s="18" t="s">
        <v>477</v>
      </c>
    </row>
    <row r="26756">
      <c r="B26756" s="17" t="s">
        <v>477</v>
      </c>
      <c r="K26756" s="18" t="s">
        <v>477</v>
      </c>
    </row>
    <row r="26757">
      <c r="B26757" s="17" t="s">
        <v>477</v>
      </c>
      <c r="K26757" s="18" t="s">
        <v>477</v>
      </c>
    </row>
    <row r="26758">
      <c r="B26758" s="17" t="s">
        <v>477</v>
      </c>
      <c r="K26758" s="18" t="s">
        <v>477</v>
      </c>
    </row>
    <row r="26759">
      <c r="B26759" s="17" t="s">
        <v>477</v>
      </c>
      <c r="K26759" s="18" t="s">
        <v>477</v>
      </c>
    </row>
    <row r="26760">
      <c r="B26760" s="17" t="s">
        <v>477</v>
      </c>
      <c r="K26760" s="18" t="s">
        <v>477</v>
      </c>
    </row>
    <row r="26761">
      <c r="B26761" s="17" t="s">
        <v>477</v>
      </c>
      <c r="K26761" s="18" t="s">
        <v>477</v>
      </c>
    </row>
    <row r="26762">
      <c r="B26762" s="17" t="s">
        <v>477</v>
      </c>
      <c r="K26762" s="18" t="s">
        <v>477</v>
      </c>
    </row>
    <row r="26763">
      <c r="B26763" s="17" t="s">
        <v>477</v>
      </c>
      <c r="K26763" s="18" t="s">
        <v>477</v>
      </c>
    </row>
    <row r="26764">
      <c r="B26764" s="17" t="s">
        <v>477</v>
      </c>
      <c r="K26764" s="18" t="s">
        <v>477</v>
      </c>
    </row>
    <row r="26765">
      <c r="B26765" s="17" t="s">
        <v>477</v>
      </c>
      <c r="K26765" s="18" t="s">
        <v>477</v>
      </c>
    </row>
    <row r="26766">
      <c r="B26766" s="17" t="s">
        <v>477</v>
      </c>
      <c r="K26766" s="18" t="s">
        <v>477</v>
      </c>
    </row>
    <row r="26767">
      <c r="B26767" s="17" t="s">
        <v>477</v>
      </c>
      <c r="K26767" s="18" t="s">
        <v>477</v>
      </c>
    </row>
    <row r="26768">
      <c r="B26768" s="17" t="s">
        <v>477</v>
      </c>
      <c r="K26768" s="18" t="s">
        <v>477</v>
      </c>
    </row>
    <row r="26769">
      <c r="B26769" s="17" t="s">
        <v>477</v>
      </c>
      <c r="K26769" s="18" t="s">
        <v>477</v>
      </c>
    </row>
    <row r="26770">
      <c r="B26770" s="17" t="s">
        <v>477</v>
      </c>
      <c r="K26770" s="18" t="s">
        <v>477</v>
      </c>
    </row>
    <row r="26771">
      <c r="B26771" s="17" t="s">
        <v>477</v>
      </c>
      <c r="K26771" s="18" t="s">
        <v>477</v>
      </c>
    </row>
    <row r="26772">
      <c r="B26772" s="17" t="s">
        <v>477</v>
      </c>
      <c r="K26772" s="18" t="s">
        <v>477</v>
      </c>
    </row>
    <row r="26773">
      <c r="B26773" s="17" t="s">
        <v>477</v>
      </c>
      <c r="K26773" s="18" t="s">
        <v>477</v>
      </c>
    </row>
    <row r="26774">
      <c r="B26774" s="17" t="s">
        <v>477</v>
      </c>
      <c r="K26774" s="18" t="s">
        <v>477</v>
      </c>
    </row>
    <row r="26775">
      <c r="B26775" s="17" t="s">
        <v>477</v>
      </c>
      <c r="K26775" s="18" t="s">
        <v>477</v>
      </c>
    </row>
    <row r="26776">
      <c r="B26776" s="17" t="s">
        <v>477</v>
      </c>
      <c r="K26776" s="18" t="s">
        <v>477</v>
      </c>
    </row>
    <row r="26777">
      <c r="B26777" s="17" t="s">
        <v>477</v>
      </c>
      <c r="K26777" s="18" t="s">
        <v>477</v>
      </c>
    </row>
    <row r="26778">
      <c r="B26778" s="17" t="s">
        <v>477</v>
      </c>
      <c r="K26778" s="18" t="s">
        <v>477</v>
      </c>
    </row>
    <row r="26779">
      <c r="B26779" s="17" t="s">
        <v>477</v>
      </c>
      <c r="K26779" s="18" t="s">
        <v>477</v>
      </c>
    </row>
    <row r="26780">
      <c r="B26780" s="17" t="s">
        <v>477</v>
      </c>
      <c r="K26780" s="18" t="s">
        <v>477</v>
      </c>
    </row>
    <row r="26781">
      <c r="B26781" s="17" t="s">
        <v>477</v>
      </c>
      <c r="K26781" s="18" t="s">
        <v>477</v>
      </c>
    </row>
    <row r="26782">
      <c r="B26782" s="17" t="s">
        <v>477</v>
      </c>
      <c r="K26782" s="18" t="s">
        <v>477</v>
      </c>
    </row>
    <row r="26783">
      <c r="B26783" s="17" t="s">
        <v>477</v>
      </c>
      <c r="K26783" s="18" t="s">
        <v>477</v>
      </c>
    </row>
    <row r="26784">
      <c r="B26784" s="17" t="s">
        <v>477</v>
      </c>
      <c r="K26784" s="18" t="s">
        <v>477</v>
      </c>
    </row>
    <row r="26785">
      <c r="B26785" s="17" t="s">
        <v>477</v>
      </c>
      <c r="K26785" s="18" t="s">
        <v>477</v>
      </c>
    </row>
    <row r="26786">
      <c r="B26786" s="17" t="s">
        <v>477</v>
      </c>
      <c r="K26786" s="18" t="s">
        <v>477</v>
      </c>
    </row>
    <row r="26787">
      <c r="B26787" s="17" t="s">
        <v>477</v>
      </c>
      <c r="K26787" s="18" t="s">
        <v>477</v>
      </c>
    </row>
    <row r="26788">
      <c r="B26788" s="17" t="s">
        <v>477</v>
      </c>
      <c r="K26788" s="18" t="s">
        <v>477</v>
      </c>
    </row>
    <row r="26789">
      <c r="B26789" s="17" t="s">
        <v>477</v>
      </c>
      <c r="K26789" s="18" t="s">
        <v>477</v>
      </c>
    </row>
    <row r="26790">
      <c r="B26790" s="17" t="s">
        <v>477</v>
      </c>
      <c r="K26790" s="18" t="s">
        <v>477</v>
      </c>
    </row>
    <row r="26791">
      <c r="B26791" s="17" t="s">
        <v>477</v>
      </c>
      <c r="K26791" s="18" t="s">
        <v>477</v>
      </c>
    </row>
    <row r="26792">
      <c r="B26792" s="17" t="s">
        <v>477</v>
      </c>
      <c r="K26792" s="18" t="s">
        <v>477</v>
      </c>
    </row>
    <row r="26793">
      <c r="B26793" s="17" t="s">
        <v>477</v>
      </c>
      <c r="K26793" s="18" t="s">
        <v>477</v>
      </c>
    </row>
    <row r="26794">
      <c r="B26794" s="17" t="s">
        <v>477</v>
      </c>
      <c r="K26794" s="18" t="s">
        <v>477</v>
      </c>
    </row>
    <row r="26795">
      <c r="B26795" s="17" t="s">
        <v>477</v>
      </c>
      <c r="K26795" s="18" t="s">
        <v>477</v>
      </c>
    </row>
    <row r="26796">
      <c r="B26796" s="17" t="s">
        <v>477</v>
      </c>
      <c r="K26796" s="18" t="s">
        <v>477</v>
      </c>
    </row>
    <row r="26797">
      <c r="B26797" s="17" t="s">
        <v>477</v>
      </c>
      <c r="K26797" s="18" t="s">
        <v>477</v>
      </c>
    </row>
    <row r="26798">
      <c r="B26798" s="17" t="s">
        <v>477</v>
      </c>
      <c r="K26798" s="18" t="s">
        <v>477</v>
      </c>
    </row>
    <row r="26799">
      <c r="B26799" s="17" t="s">
        <v>477</v>
      </c>
      <c r="K26799" s="18" t="s">
        <v>477</v>
      </c>
    </row>
    <row r="26800">
      <c r="B26800" s="17" t="s">
        <v>477</v>
      </c>
      <c r="K26800" s="18" t="s">
        <v>477</v>
      </c>
    </row>
    <row r="26801">
      <c r="B26801" s="17" t="s">
        <v>477</v>
      </c>
      <c r="K26801" s="18" t="s">
        <v>477</v>
      </c>
    </row>
    <row r="26802">
      <c r="B26802" s="17" t="s">
        <v>477</v>
      </c>
      <c r="K26802" s="18" t="s">
        <v>477</v>
      </c>
    </row>
    <row r="26803">
      <c r="B26803" s="17" t="s">
        <v>477</v>
      </c>
      <c r="K26803" s="18" t="s">
        <v>477</v>
      </c>
    </row>
    <row r="26804">
      <c r="B26804" s="17" t="s">
        <v>477</v>
      </c>
      <c r="K26804" s="18" t="s">
        <v>477</v>
      </c>
    </row>
    <row r="26805">
      <c r="B26805" s="17" t="s">
        <v>477</v>
      </c>
      <c r="K26805" s="18" t="s">
        <v>477</v>
      </c>
    </row>
    <row r="26806">
      <c r="B26806" s="17" t="s">
        <v>477</v>
      </c>
      <c r="K26806" s="18" t="s">
        <v>477</v>
      </c>
    </row>
    <row r="26807">
      <c r="B26807" s="17" t="s">
        <v>477</v>
      </c>
      <c r="K26807" s="18" t="s">
        <v>477</v>
      </c>
    </row>
    <row r="26808">
      <c r="B26808" s="17" t="s">
        <v>477</v>
      </c>
      <c r="K26808" s="18" t="s">
        <v>477</v>
      </c>
    </row>
    <row r="26809">
      <c r="B26809" s="17" t="s">
        <v>477</v>
      </c>
      <c r="K26809" s="18" t="s">
        <v>477</v>
      </c>
    </row>
    <row r="26810">
      <c r="B26810" s="17" t="s">
        <v>477</v>
      </c>
      <c r="K26810" s="18" t="s">
        <v>477</v>
      </c>
    </row>
    <row r="26811">
      <c r="B26811" s="17" t="s">
        <v>477</v>
      </c>
      <c r="K26811" s="18" t="s">
        <v>477</v>
      </c>
    </row>
    <row r="26812">
      <c r="B26812" s="17" t="s">
        <v>477</v>
      </c>
      <c r="K26812" s="18" t="s">
        <v>477</v>
      </c>
    </row>
    <row r="26813">
      <c r="B26813" s="17" t="s">
        <v>477</v>
      </c>
      <c r="K26813" s="18" t="s">
        <v>477</v>
      </c>
    </row>
    <row r="26814">
      <c r="B26814" s="17" t="s">
        <v>477</v>
      </c>
      <c r="K26814" s="18" t="s">
        <v>477</v>
      </c>
    </row>
    <row r="26815">
      <c r="B26815" s="17" t="s">
        <v>477</v>
      </c>
      <c r="K26815" s="18" t="s">
        <v>477</v>
      </c>
    </row>
    <row r="26816">
      <c r="B26816" s="17" t="s">
        <v>477</v>
      </c>
      <c r="K26816" s="18" t="s">
        <v>477</v>
      </c>
    </row>
    <row r="26817">
      <c r="B26817" s="17" t="s">
        <v>477</v>
      </c>
      <c r="K26817" s="18" t="s">
        <v>477</v>
      </c>
    </row>
    <row r="26818">
      <c r="B26818" s="17" t="s">
        <v>477</v>
      </c>
      <c r="K26818" s="18" t="s">
        <v>477</v>
      </c>
    </row>
    <row r="26819">
      <c r="B26819" s="17" t="s">
        <v>477</v>
      </c>
      <c r="K26819" s="18" t="s">
        <v>477</v>
      </c>
    </row>
    <row r="26820">
      <c r="B26820" s="17" t="s">
        <v>477</v>
      </c>
      <c r="K26820" s="18" t="s">
        <v>477</v>
      </c>
    </row>
    <row r="26821">
      <c r="B26821" s="17" t="s">
        <v>477</v>
      </c>
      <c r="K26821" s="18" t="s">
        <v>477</v>
      </c>
    </row>
    <row r="26822">
      <c r="B26822" s="17" t="s">
        <v>477</v>
      </c>
      <c r="K26822" s="18" t="s">
        <v>477</v>
      </c>
    </row>
    <row r="26823">
      <c r="B26823" s="17" t="s">
        <v>477</v>
      </c>
      <c r="K26823" s="18" t="s">
        <v>477</v>
      </c>
    </row>
    <row r="26824">
      <c r="B26824" s="17" t="s">
        <v>477</v>
      </c>
      <c r="K26824" s="18" t="s">
        <v>477</v>
      </c>
    </row>
    <row r="26825">
      <c r="B26825" s="17" t="s">
        <v>477</v>
      </c>
      <c r="K26825" s="18" t="s">
        <v>477</v>
      </c>
    </row>
    <row r="26826">
      <c r="B26826" s="17" t="s">
        <v>477</v>
      </c>
      <c r="K26826" s="18" t="s">
        <v>477</v>
      </c>
    </row>
    <row r="26827">
      <c r="B26827" s="17" t="s">
        <v>477</v>
      </c>
      <c r="K26827" s="18" t="s">
        <v>477</v>
      </c>
    </row>
    <row r="26828">
      <c r="B26828" s="17" t="s">
        <v>477</v>
      </c>
      <c r="K26828" s="18" t="s">
        <v>477</v>
      </c>
    </row>
    <row r="26829">
      <c r="B26829" s="17" t="s">
        <v>477</v>
      </c>
      <c r="K26829" s="18" t="s">
        <v>477</v>
      </c>
    </row>
    <row r="26830">
      <c r="B26830" s="17" t="s">
        <v>477</v>
      </c>
      <c r="K26830" s="18" t="s">
        <v>477</v>
      </c>
    </row>
    <row r="26831">
      <c r="B26831" s="17" t="s">
        <v>477</v>
      </c>
      <c r="K26831" s="18" t="s">
        <v>477</v>
      </c>
    </row>
    <row r="26832">
      <c r="B26832" s="17" t="s">
        <v>477</v>
      </c>
      <c r="K26832" s="18" t="s">
        <v>477</v>
      </c>
    </row>
    <row r="26833">
      <c r="B26833" s="17" t="s">
        <v>477</v>
      </c>
      <c r="K26833" s="18" t="s">
        <v>477</v>
      </c>
    </row>
    <row r="26834">
      <c r="B26834" s="17" t="s">
        <v>477</v>
      </c>
      <c r="K26834" s="18" t="s">
        <v>477</v>
      </c>
    </row>
    <row r="26835">
      <c r="B26835" s="17" t="s">
        <v>477</v>
      </c>
      <c r="K26835" s="18" t="s">
        <v>477</v>
      </c>
    </row>
    <row r="26836">
      <c r="B26836" s="17" t="s">
        <v>477</v>
      </c>
      <c r="K26836" s="18" t="s">
        <v>477</v>
      </c>
    </row>
    <row r="26837">
      <c r="B26837" s="17" t="s">
        <v>477</v>
      </c>
      <c r="K26837" s="18" t="s">
        <v>477</v>
      </c>
    </row>
    <row r="26838">
      <c r="B26838" s="17" t="s">
        <v>477</v>
      </c>
      <c r="K26838" s="18" t="s">
        <v>477</v>
      </c>
    </row>
    <row r="26839">
      <c r="B26839" s="17" t="s">
        <v>477</v>
      </c>
      <c r="K26839" s="18" t="s">
        <v>477</v>
      </c>
    </row>
    <row r="26840">
      <c r="B26840" s="17" t="s">
        <v>477</v>
      </c>
      <c r="K26840" s="18" t="s">
        <v>477</v>
      </c>
    </row>
    <row r="26841">
      <c r="B26841" s="17" t="s">
        <v>477</v>
      </c>
      <c r="K26841" s="18" t="s">
        <v>477</v>
      </c>
    </row>
    <row r="26842">
      <c r="B26842" s="17" t="s">
        <v>477</v>
      </c>
      <c r="K26842" s="18" t="s">
        <v>477</v>
      </c>
    </row>
    <row r="26843">
      <c r="B26843" s="17" t="s">
        <v>477</v>
      </c>
      <c r="K26843" s="18" t="s">
        <v>477</v>
      </c>
    </row>
    <row r="26844">
      <c r="B26844" s="17" t="s">
        <v>477</v>
      </c>
      <c r="K26844" s="18" t="s">
        <v>477</v>
      </c>
    </row>
    <row r="26845">
      <c r="B26845" s="17" t="s">
        <v>477</v>
      </c>
      <c r="K26845" s="18" t="s">
        <v>477</v>
      </c>
    </row>
    <row r="26846">
      <c r="B26846" s="17" t="s">
        <v>477</v>
      </c>
      <c r="K26846" s="18" t="s">
        <v>477</v>
      </c>
    </row>
    <row r="26847">
      <c r="B26847" s="17" t="s">
        <v>477</v>
      </c>
      <c r="K26847" s="18" t="s">
        <v>477</v>
      </c>
    </row>
    <row r="26848">
      <c r="B26848" s="17" t="s">
        <v>477</v>
      </c>
      <c r="K26848" s="18" t="s">
        <v>477</v>
      </c>
    </row>
    <row r="26849">
      <c r="B26849" s="17" t="s">
        <v>477</v>
      </c>
      <c r="K26849" s="18" t="s">
        <v>477</v>
      </c>
    </row>
    <row r="26850">
      <c r="B26850" s="17" t="s">
        <v>477</v>
      </c>
      <c r="K26850" s="18" t="s">
        <v>477</v>
      </c>
    </row>
    <row r="26851">
      <c r="B26851" s="17" t="s">
        <v>477</v>
      </c>
      <c r="K26851" s="18" t="s">
        <v>477</v>
      </c>
    </row>
    <row r="26852">
      <c r="B26852" s="17" t="s">
        <v>477</v>
      </c>
      <c r="K26852" s="18" t="s">
        <v>477</v>
      </c>
    </row>
    <row r="26853">
      <c r="B26853" s="17" t="s">
        <v>477</v>
      </c>
      <c r="K26853" s="18" t="s">
        <v>477</v>
      </c>
    </row>
    <row r="26854">
      <c r="B26854" s="17" t="s">
        <v>477</v>
      </c>
      <c r="K26854" s="18" t="s">
        <v>477</v>
      </c>
    </row>
    <row r="26855">
      <c r="B26855" s="17" t="s">
        <v>477</v>
      </c>
      <c r="K26855" s="18" t="s">
        <v>477</v>
      </c>
    </row>
    <row r="26856">
      <c r="B26856" s="17" t="s">
        <v>477</v>
      </c>
      <c r="K26856" s="18" t="s">
        <v>477</v>
      </c>
    </row>
    <row r="26857">
      <c r="B26857" s="17" t="s">
        <v>477</v>
      </c>
      <c r="K26857" s="18" t="s">
        <v>477</v>
      </c>
    </row>
    <row r="26858">
      <c r="B26858" s="17" t="s">
        <v>477</v>
      </c>
      <c r="K26858" s="18" t="s">
        <v>477</v>
      </c>
    </row>
    <row r="26859">
      <c r="B26859" s="17" t="s">
        <v>477</v>
      </c>
      <c r="K26859" s="18" t="s">
        <v>477</v>
      </c>
    </row>
    <row r="26860">
      <c r="B26860" s="17" t="s">
        <v>477</v>
      </c>
      <c r="K26860" s="18" t="s">
        <v>477</v>
      </c>
    </row>
    <row r="26861">
      <c r="B26861" s="17" t="s">
        <v>477</v>
      </c>
      <c r="K26861" s="18" t="s">
        <v>477</v>
      </c>
    </row>
    <row r="26862">
      <c r="B26862" s="17" t="s">
        <v>477</v>
      </c>
      <c r="K26862" s="18" t="s">
        <v>477</v>
      </c>
    </row>
    <row r="26863">
      <c r="B26863" s="17" t="s">
        <v>477</v>
      </c>
      <c r="K26863" s="18" t="s">
        <v>477</v>
      </c>
    </row>
    <row r="26864">
      <c r="B26864" s="17" t="s">
        <v>477</v>
      </c>
      <c r="K26864" s="18" t="s">
        <v>477</v>
      </c>
    </row>
    <row r="26865">
      <c r="B26865" s="17" t="s">
        <v>477</v>
      </c>
      <c r="K26865" s="18" t="s">
        <v>477</v>
      </c>
    </row>
    <row r="26866">
      <c r="B26866" s="17" t="s">
        <v>477</v>
      </c>
      <c r="K26866" s="18" t="s">
        <v>477</v>
      </c>
    </row>
    <row r="26867">
      <c r="B26867" s="17" t="s">
        <v>477</v>
      </c>
      <c r="K26867" s="18" t="s">
        <v>477</v>
      </c>
    </row>
    <row r="26868">
      <c r="B26868" s="17" t="s">
        <v>477</v>
      </c>
      <c r="K26868" s="18" t="s">
        <v>477</v>
      </c>
    </row>
    <row r="26869">
      <c r="B26869" s="17" t="s">
        <v>477</v>
      </c>
      <c r="K26869" s="18" t="s">
        <v>477</v>
      </c>
    </row>
    <row r="26870">
      <c r="B26870" s="17" t="s">
        <v>477</v>
      </c>
      <c r="K26870" s="18" t="s">
        <v>477</v>
      </c>
    </row>
    <row r="26871">
      <c r="B26871" s="17" t="s">
        <v>477</v>
      </c>
      <c r="K26871" s="18" t="s">
        <v>477</v>
      </c>
    </row>
    <row r="26872">
      <c r="B26872" s="17" t="s">
        <v>477</v>
      </c>
      <c r="K26872" s="18" t="s">
        <v>477</v>
      </c>
    </row>
    <row r="26873">
      <c r="B26873" s="17" t="s">
        <v>477</v>
      </c>
      <c r="K26873" s="18" t="s">
        <v>477</v>
      </c>
    </row>
    <row r="26874">
      <c r="B26874" s="17" t="s">
        <v>477</v>
      </c>
      <c r="K26874" s="18" t="s">
        <v>477</v>
      </c>
    </row>
    <row r="26875">
      <c r="B26875" s="17" t="s">
        <v>477</v>
      </c>
      <c r="K26875" s="18" t="s">
        <v>477</v>
      </c>
    </row>
    <row r="26876">
      <c r="B26876" s="17" t="s">
        <v>477</v>
      </c>
      <c r="K26876" s="18" t="s">
        <v>477</v>
      </c>
    </row>
    <row r="26877">
      <c r="B26877" s="17" t="s">
        <v>477</v>
      </c>
      <c r="K26877" s="18" t="s">
        <v>477</v>
      </c>
    </row>
    <row r="26878">
      <c r="B26878" s="17" t="s">
        <v>477</v>
      </c>
      <c r="K26878" s="18" t="s">
        <v>477</v>
      </c>
    </row>
    <row r="26879">
      <c r="B26879" s="17" t="s">
        <v>477</v>
      </c>
      <c r="K26879" s="18" t="s">
        <v>477</v>
      </c>
    </row>
    <row r="26880">
      <c r="B26880" s="17" t="s">
        <v>477</v>
      </c>
      <c r="K26880" s="18" t="s">
        <v>477</v>
      </c>
    </row>
    <row r="26881">
      <c r="B26881" s="17" t="s">
        <v>477</v>
      </c>
      <c r="K26881" s="18" t="s">
        <v>477</v>
      </c>
    </row>
    <row r="26882">
      <c r="B26882" s="17" t="s">
        <v>477</v>
      </c>
      <c r="K26882" s="18" t="s">
        <v>477</v>
      </c>
    </row>
    <row r="26883">
      <c r="B26883" s="17" t="s">
        <v>477</v>
      </c>
      <c r="K26883" s="18" t="s">
        <v>477</v>
      </c>
    </row>
    <row r="26884">
      <c r="B26884" s="17" t="s">
        <v>477</v>
      </c>
      <c r="K26884" s="18" t="s">
        <v>477</v>
      </c>
    </row>
    <row r="26885">
      <c r="B26885" s="17" t="s">
        <v>477</v>
      </c>
      <c r="K26885" s="18" t="s">
        <v>477</v>
      </c>
    </row>
    <row r="26886">
      <c r="B26886" s="17" t="s">
        <v>477</v>
      </c>
      <c r="K26886" s="18" t="s">
        <v>477</v>
      </c>
    </row>
    <row r="26887">
      <c r="B26887" s="17" t="s">
        <v>477</v>
      </c>
      <c r="K26887" s="18" t="s">
        <v>477</v>
      </c>
    </row>
    <row r="26888">
      <c r="B26888" s="17" t="s">
        <v>477</v>
      </c>
      <c r="K26888" s="18" t="s">
        <v>477</v>
      </c>
    </row>
    <row r="26889">
      <c r="B26889" s="17" t="s">
        <v>477</v>
      </c>
      <c r="K26889" s="18" t="s">
        <v>477</v>
      </c>
    </row>
    <row r="26890">
      <c r="B26890" s="17" t="s">
        <v>477</v>
      </c>
      <c r="K26890" s="18" t="s">
        <v>477</v>
      </c>
    </row>
    <row r="26891">
      <c r="B26891" s="17" t="s">
        <v>477</v>
      </c>
      <c r="K26891" s="18" t="s">
        <v>477</v>
      </c>
    </row>
    <row r="26892">
      <c r="B26892" s="17" t="s">
        <v>477</v>
      </c>
      <c r="K26892" s="18" t="s">
        <v>477</v>
      </c>
    </row>
    <row r="26893">
      <c r="B26893" s="17" t="s">
        <v>477</v>
      </c>
      <c r="K26893" s="18" t="s">
        <v>477</v>
      </c>
    </row>
    <row r="26894">
      <c r="B26894" s="17" t="s">
        <v>477</v>
      </c>
      <c r="K26894" s="18" t="s">
        <v>477</v>
      </c>
    </row>
    <row r="26895">
      <c r="B26895" s="17" t="s">
        <v>477</v>
      </c>
      <c r="K26895" s="18" t="s">
        <v>477</v>
      </c>
    </row>
    <row r="26896">
      <c r="B26896" s="17" t="s">
        <v>477</v>
      </c>
      <c r="K26896" s="18" t="s">
        <v>477</v>
      </c>
    </row>
    <row r="26897">
      <c r="B26897" s="17" t="s">
        <v>477</v>
      </c>
      <c r="K26897" s="18" t="s">
        <v>477</v>
      </c>
    </row>
    <row r="26898">
      <c r="B26898" s="17" t="s">
        <v>477</v>
      </c>
      <c r="K26898" s="18" t="s">
        <v>477</v>
      </c>
    </row>
    <row r="26899">
      <c r="B26899" s="17" t="s">
        <v>477</v>
      </c>
      <c r="K26899" s="18" t="s">
        <v>477</v>
      </c>
    </row>
    <row r="26900">
      <c r="B26900" s="17" t="s">
        <v>477</v>
      </c>
      <c r="K26900" s="18" t="s">
        <v>477</v>
      </c>
    </row>
    <row r="26901">
      <c r="B26901" s="17" t="s">
        <v>477</v>
      </c>
      <c r="K26901" s="18" t="s">
        <v>477</v>
      </c>
    </row>
    <row r="26902">
      <c r="B26902" s="17" t="s">
        <v>477</v>
      </c>
      <c r="K26902" s="18" t="s">
        <v>477</v>
      </c>
    </row>
    <row r="26903">
      <c r="B26903" s="17" t="s">
        <v>477</v>
      </c>
      <c r="K26903" s="18" t="s">
        <v>477</v>
      </c>
    </row>
    <row r="26904">
      <c r="B26904" s="17" t="s">
        <v>477</v>
      </c>
      <c r="K26904" s="18" t="s">
        <v>477</v>
      </c>
    </row>
    <row r="26905">
      <c r="B26905" s="17" t="s">
        <v>477</v>
      </c>
      <c r="K26905" s="18" t="s">
        <v>477</v>
      </c>
    </row>
    <row r="26906">
      <c r="B26906" s="17" t="s">
        <v>477</v>
      </c>
      <c r="K26906" s="18" t="s">
        <v>477</v>
      </c>
    </row>
    <row r="26907">
      <c r="B26907" s="17" t="s">
        <v>477</v>
      </c>
      <c r="K26907" s="18" t="s">
        <v>477</v>
      </c>
    </row>
    <row r="26908">
      <c r="B26908" s="17" t="s">
        <v>477</v>
      </c>
      <c r="K26908" s="18" t="s">
        <v>477</v>
      </c>
    </row>
    <row r="26909">
      <c r="B26909" s="17" t="s">
        <v>477</v>
      </c>
      <c r="K26909" s="18" t="s">
        <v>477</v>
      </c>
    </row>
    <row r="26910">
      <c r="B26910" s="17" t="s">
        <v>477</v>
      </c>
      <c r="K26910" s="18" t="s">
        <v>477</v>
      </c>
    </row>
    <row r="26911">
      <c r="B26911" s="17" t="s">
        <v>477</v>
      </c>
      <c r="K26911" s="18" t="s">
        <v>477</v>
      </c>
    </row>
    <row r="26912">
      <c r="B26912" s="17" t="s">
        <v>477</v>
      </c>
      <c r="K26912" s="18" t="s">
        <v>477</v>
      </c>
    </row>
    <row r="26913">
      <c r="B26913" s="17" t="s">
        <v>477</v>
      </c>
      <c r="K26913" s="18" t="s">
        <v>477</v>
      </c>
    </row>
    <row r="26914">
      <c r="B26914" s="17" t="s">
        <v>477</v>
      </c>
      <c r="K26914" s="18" t="s">
        <v>477</v>
      </c>
    </row>
    <row r="26915">
      <c r="B26915" s="17" t="s">
        <v>477</v>
      </c>
      <c r="K26915" s="18" t="s">
        <v>477</v>
      </c>
    </row>
    <row r="26916">
      <c r="B26916" s="17" t="s">
        <v>477</v>
      </c>
      <c r="K26916" s="18" t="s">
        <v>477</v>
      </c>
    </row>
    <row r="26917">
      <c r="B26917" s="17" t="s">
        <v>477</v>
      </c>
      <c r="K26917" s="18" t="s">
        <v>477</v>
      </c>
    </row>
    <row r="26918">
      <c r="B26918" s="17" t="s">
        <v>477</v>
      </c>
      <c r="K26918" s="18" t="s">
        <v>477</v>
      </c>
    </row>
    <row r="26919">
      <c r="B26919" s="17" t="s">
        <v>477</v>
      </c>
      <c r="K26919" s="18" t="s">
        <v>477</v>
      </c>
    </row>
    <row r="26920">
      <c r="B26920" s="17" t="s">
        <v>477</v>
      </c>
      <c r="K26920" s="18" t="s">
        <v>477</v>
      </c>
    </row>
    <row r="26921">
      <c r="B26921" s="17" t="s">
        <v>477</v>
      </c>
      <c r="K26921" s="18" t="s">
        <v>477</v>
      </c>
    </row>
    <row r="26922">
      <c r="B26922" s="17" t="s">
        <v>477</v>
      </c>
      <c r="K26922" s="18" t="s">
        <v>477</v>
      </c>
    </row>
    <row r="26923">
      <c r="B26923" s="17" t="s">
        <v>477</v>
      </c>
      <c r="K26923" s="18" t="s">
        <v>477</v>
      </c>
    </row>
    <row r="26924">
      <c r="B26924" s="17" t="s">
        <v>477</v>
      </c>
      <c r="K26924" s="18" t="s">
        <v>477</v>
      </c>
    </row>
    <row r="26925">
      <c r="B26925" s="17" t="s">
        <v>477</v>
      </c>
      <c r="K26925" s="18" t="s">
        <v>477</v>
      </c>
    </row>
    <row r="26926">
      <c r="B26926" s="17" t="s">
        <v>477</v>
      </c>
      <c r="K26926" s="18" t="s">
        <v>477</v>
      </c>
    </row>
    <row r="26927">
      <c r="B26927" s="17" t="s">
        <v>477</v>
      </c>
      <c r="K26927" s="18" t="s">
        <v>477</v>
      </c>
    </row>
    <row r="26928">
      <c r="B26928" s="17" t="s">
        <v>477</v>
      </c>
      <c r="K26928" s="18" t="s">
        <v>477</v>
      </c>
    </row>
    <row r="26929">
      <c r="B26929" s="17" t="s">
        <v>477</v>
      </c>
      <c r="K26929" s="18" t="s">
        <v>477</v>
      </c>
    </row>
    <row r="26930">
      <c r="B26930" s="17" t="s">
        <v>477</v>
      </c>
      <c r="K26930" s="18" t="s">
        <v>477</v>
      </c>
    </row>
    <row r="26931">
      <c r="B26931" s="17" t="s">
        <v>477</v>
      </c>
      <c r="K26931" s="18" t="s">
        <v>477</v>
      </c>
    </row>
    <row r="26932">
      <c r="B26932" s="17" t="s">
        <v>477</v>
      </c>
      <c r="K26932" s="18" t="s">
        <v>477</v>
      </c>
    </row>
    <row r="26933">
      <c r="B26933" s="17" t="s">
        <v>477</v>
      </c>
      <c r="K26933" s="18" t="s">
        <v>477</v>
      </c>
    </row>
    <row r="26934">
      <c r="B26934" s="17" t="s">
        <v>477</v>
      </c>
      <c r="K26934" s="18" t="s">
        <v>477</v>
      </c>
    </row>
    <row r="26935">
      <c r="B26935" s="17" t="s">
        <v>477</v>
      </c>
      <c r="K26935" s="18" t="s">
        <v>477</v>
      </c>
    </row>
    <row r="26936">
      <c r="B26936" s="17" t="s">
        <v>477</v>
      </c>
      <c r="K26936" s="18" t="s">
        <v>477</v>
      </c>
    </row>
    <row r="26937">
      <c r="B26937" s="17" t="s">
        <v>477</v>
      </c>
      <c r="K26937" s="18" t="s">
        <v>477</v>
      </c>
    </row>
    <row r="26938">
      <c r="B26938" s="17" t="s">
        <v>477</v>
      </c>
      <c r="K26938" s="18" t="s">
        <v>477</v>
      </c>
    </row>
    <row r="26939">
      <c r="B26939" s="17" t="s">
        <v>477</v>
      </c>
      <c r="K26939" s="18" t="s">
        <v>477</v>
      </c>
    </row>
    <row r="26940">
      <c r="B26940" s="17" t="s">
        <v>477</v>
      </c>
      <c r="K26940" s="18" t="s">
        <v>477</v>
      </c>
    </row>
    <row r="26941">
      <c r="B26941" s="17" t="s">
        <v>477</v>
      </c>
      <c r="K26941" s="18" t="s">
        <v>477</v>
      </c>
    </row>
    <row r="26942">
      <c r="B26942" s="17" t="s">
        <v>477</v>
      </c>
      <c r="K26942" s="18" t="s">
        <v>477</v>
      </c>
    </row>
    <row r="26943">
      <c r="B26943" s="17" t="s">
        <v>477</v>
      </c>
      <c r="K26943" s="18" t="s">
        <v>477</v>
      </c>
    </row>
    <row r="26944">
      <c r="B26944" s="17" t="s">
        <v>477</v>
      </c>
      <c r="K26944" s="18" t="s">
        <v>477</v>
      </c>
    </row>
    <row r="26945">
      <c r="B26945" s="17" t="s">
        <v>477</v>
      </c>
      <c r="K26945" s="18" t="s">
        <v>477</v>
      </c>
    </row>
    <row r="26946">
      <c r="B26946" s="17" t="s">
        <v>477</v>
      </c>
      <c r="K26946" s="18" t="s">
        <v>477</v>
      </c>
    </row>
    <row r="26947">
      <c r="B26947" s="17" t="s">
        <v>477</v>
      </c>
      <c r="K26947" s="18" t="s">
        <v>477</v>
      </c>
    </row>
    <row r="26948">
      <c r="B26948" s="17" t="s">
        <v>477</v>
      </c>
      <c r="K26948" s="18" t="s">
        <v>477</v>
      </c>
    </row>
    <row r="26949">
      <c r="B26949" s="17" t="s">
        <v>477</v>
      </c>
      <c r="K26949" s="18" t="s">
        <v>477</v>
      </c>
    </row>
    <row r="26950">
      <c r="B26950" s="17" t="s">
        <v>477</v>
      </c>
      <c r="K26950" s="18" t="s">
        <v>477</v>
      </c>
    </row>
    <row r="26951">
      <c r="B26951" s="17" t="s">
        <v>477</v>
      </c>
      <c r="K26951" s="18" t="s">
        <v>477</v>
      </c>
    </row>
    <row r="26952">
      <c r="B26952" s="17" t="s">
        <v>477</v>
      </c>
      <c r="K26952" s="18" t="s">
        <v>477</v>
      </c>
    </row>
    <row r="26953">
      <c r="B26953" s="17" t="s">
        <v>477</v>
      </c>
      <c r="K26953" s="18" t="s">
        <v>477</v>
      </c>
    </row>
    <row r="26954">
      <c r="B26954" s="17" t="s">
        <v>477</v>
      </c>
      <c r="K26954" s="18" t="s">
        <v>477</v>
      </c>
    </row>
    <row r="26955">
      <c r="B26955" s="17" t="s">
        <v>477</v>
      </c>
      <c r="K26955" s="18" t="s">
        <v>477</v>
      </c>
    </row>
    <row r="26956">
      <c r="B26956" s="17" t="s">
        <v>477</v>
      </c>
      <c r="K26956" s="18" t="s">
        <v>477</v>
      </c>
    </row>
    <row r="26957">
      <c r="B26957" s="17" t="s">
        <v>477</v>
      </c>
      <c r="K26957" s="18" t="s">
        <v>477</v>
      </c>
    </row>
    <row r="26958">
      <c r="B26958" s="17" t="s">
        <v>477</v>
      </c>
      <c r="K26958" s="18" t="s">
        <v>477</v>
      </c>
    </row>
    <row r="26959">
      <c r="B26959" s="17" t="s">
        <v>477</v>
      </c>
      <c r="K26959" s="18" t="s">
        <v>477</v>
      </c>
    </row>
    <row r="26960">
      <c r="B26960" s="17" t="s">
        <v>477</v>
      </c>
      <c r="K26960" s="18" t="s">
        <v>477</v>
      </c>
    </row>
    <row r="26961">
      <c r="B26961" s="17" t="s">
        <v>477</v>
      </c>
      <c r="K26961" s="18" t="s">
        <v>477</v>
      </c>
    </row>
    <row r="26962">
      <c r="B26962" s="17" t="s">
        <v>477</v>
      </c>
      <c r="K26962" s="18" t="s">
        <v>477</v>
      </c>
    </row>
    <row r="26963">
      <c r="B26963" s="17" t="s">
        <v>477</v>
      </c>
      <c r="K26963" s="18" t="s">
        <v>477</v>
      </c>
    </row>
    <row r="26964">
      <c r="B26964" s="17" t="s">
        <v>477</v>
      </c>
      <c r="K26964" s="18" t="s">
        <v>477</v>
      </c>
    </row>
    <row r="26965">
      <c r="B26965" s="17" t="s">
        <v>477</v>
      </c>
      <c r="K26965" s="18" t="s">
        <v>477</v>
      </c>
    </row>
    <row r="26966">
      <c r="B26966" s="17" t="s">
        <v>477</v>
      </c>
      <c r="K26966" s="18" t="s">
        <v>477</v>
      </c>
    </row>
    <row r="26967">
      <c r="B26967" s="17" t="s">
        <v>477</v>
      </c>
      <c r="K26967" s="18" t="s">
        <v>477</v>
      </c>
    </row>
    <row r="26968">
      <c r="B26968" s="17" t="s">
        <v>477</v>
      </c>
      <c r="K26968" s="18" t="s">
        <v>477</v>
      </c>
    </row>
    <row r="26969">
      <c r="B26969" s="17" t="s">
        <v>477</v>
      </c>
      <c r="K26969" s="18" t="s">
        <v>477</v>
      </c>
    </row>
    <row r="26970">
      <c r="B26970" s="17" t="s">
        <v>477</v>
      </c>
      <c r="K26970" s="18" t="s">
        <v>477</v>
      </c>
    </row>
    <row r="26971">
      <c r="B26971" s="17" t="s">
        <v>477</v>
      </c>
      <c r="K26971" s="18" t="s">
        <v>477</v>
      </c>
    </row>
    <row r="26972">
      <c r="B26972" s="17" t="s">
        <v>477</v>
      </c>
      <c r="K26972" s="18" t="s">
        <v>477</v>
      </c>
    </row>
    <row r="26973">
      <c r="B26973" s="17" t="s">
        <v>477</v>
      </c>
      <c r="K26973" s="18" t="s">
        <v>477</v>
      </c>
    </row>
    <row r="26974">
      <c r="B26974" s="17" t="s">
        <v>477</v>
      </c>
      <c r="K26974" s="18" t="s">
        <v>477</v>
      </c>
    </row>
    <row r="26975">
      <c r="B26975" s="17" t="s">
        <v>477</v>
      </c>
      <c r="K26975" s="18" t="s">
        <v>477</v>
      </c>
    </row>
    <row r="26976">
      <c r="B26976" s="17" t="s">
        <v>477</v>
      </c>
      <c r="K26976" s="18" t="s">
        <v>477</v>
      </c>
    </row>
    <row r="26977">
      <c r="B26977" s="17" t="s">
        <v>477</v>
      </c>
      <c r="K26977" s="18" t="s">
        <v>477</v>
      </c>
    </row>
    <row r="26978">
      <c r="B26978" s="17" t="s">
        <v>477</v>
      </c>
      <c r="K26978" s="18" t="s">
        <v>477</v>
      </c>
    </row>
    <row r="26979">
      <c r="B26979" s="17" t="s">
        <v>477</v>
      </c>
      <c r="K26979" s="18" t="s">
        <v>477</v>
      </c>
    </row>
    <row r="26980">
      <c r="B26980" s="17" t="s">
        <v>477</v>
      </c>
      <c r="K26980" s="18" t="s">
        <v>477</v>
      </c>
    </row>
    <row r="26981">
      <c r="B26981" s="17" t="s">
        <v>477</v>
      </c>
      <c r="K26981" s="18" t="s">
        <v>477</v>
      </c>
    </row>
    <row r="26982">
      <c r="B26982" s="17" t="s">
        <v>477</v>
      </c>
      <c r="K26982" s="18" t="s">
        <v>477</v>
      </c>
    </row>
    <row r="26983">
      <c r="B26983" s="17" t="s">
        <v>477</v>
      </c>
      <c r="K26983" s="18" t="s">
        <v>477</v>
      </c>
    </row>
    <row r="26984">
      <c r="B26984" s="17" t="s">
        <v>477</v>
      </c>
      <c r="K26984" s="18" t="s">
        <v>477</v>
      </c>
    </row>
    <row r="26985">
      <c r="B26985" s="17" t="s">
        <v>477</v>
      </c>
      <c r="K26985" s="18" t="s">
        <v>477</v>
      </c>
    </row>
    <row r="26986">
      <c r="B26986" s="17" t="s">
        <v>477</v>
      </c>
      <c r="K26986" s="18" t="s">
        <v>477</v>
      </c>
    </row>
    <row r="26987">
      <c r="B26987" s="17" t="s">
        <v>477</v>
      </c>
      <c r="K26987" s="18" t="s">
        <v>477</v>
      </c>
    </row>
    <row r="26988">
      <c r="B26988" s="17" t="s">
        <v>477</v>
      </c>
      <c r="K26988" s="18" t="s">
        <v>477</v>
      </c>
    </row>
    <row r="26989">
      <c r="B26989" s="17" t="s">
        <v>477</v>
      </c>
      <c r="K26989" s="18" t="s">
        <v>477</v>
      </c>
    </row>
    <row r="26990">
      <c r="B26990" s="17" t="s">
        <v>477</v>
      </c>
      <c r="K26990" s="18" t="s">
        <v>477</v>
      </c>
    </row>
    <row r="26991">
      <c r="B26991" s="17" t="s">
        <v>477</v>
      </c>
      <c r="K26991" s="18" t="s">
        <v>477</v>
      </c>
    </row>
    <row r="26992">
      <c r="B26992" s="17" t="s">
        <v>477</v>
      </c>
      <c r="K26992" s="18" t="s">
        <v>477</v>
      </c>
    </row>
    <row r="26993">
      <c r="B26993" s="17" t="s">
        <v>477</v>
      </c>
      <c r="K26993" s="18" t="s">
        <v>477</v>
      </c>
    </row>
    <row r="26994">
      <c r="B26994" s="17" t="s">
        <v>477</v>
      </c>
      <c r="K26994" s="18" t="s">
        <v>477</v>
      </c>
    </row>
    <row r="26995">
      <c r="B26995" s="17" t="s">
        <v>477</v>
      </c>
      <c r="K26995" s="18" t="s">
        <v>477</v>
      </c>
    </row>
    <row r="26996">
      <c r="B26996" s="17" t="s">
        <v>477</v>
      </c>
      <c r="K26996" s="18" t="s">
        <v>477</v>
      </c>
    </row>
    <row r="26997">
      <c r="B26997" s="17" t="s">
        <v>477</v>
      </c>
      <c r="K26997" s="18" t="s">
        <v>477</v>
      </c>
    </row>
    <row r="26998">
      <c r="B26998" s="17" t="s">
        <v>477</v>
      </c>
      <c r="K26998" s="18" t="s">
        <v>477</v>
      </c>
    </row>
    <row r="26999">
      <c r="B26999" s="17" t="s">
        <v>477</v>
      </c>
      <c r="K26999" s="18" t="s">
        <v>477</v>
      </c>
    </row>
    <row r="27000">
      <c r="B27000" s="17" t="s">
        <v>477</v>
      </c>
      <c r="K27000" s="18" t="s">
        <v>477</v>
      </c>
    </row>
    <row r="27001">
      <c r="B27001" s="17" t="s">
        <v>477</v>
      </c>
      <c r="K27001" s="18" t="s">
        <v>477</v>
      </c>
    </row>
    <row r="27002">
      <c r="B27002" s="17" t="s">
        <v>477</v>
      </c>
      <c r="K27002" s="18" t="s">
        <v>477</v>
      </c>
    </row>
    <row r="27003">
      <c r="B27003" s="17" t="s">
        <v>477</v>
      </c>
      <c r="K27003" s="18" t="s">
        <v>477</v>
      </c>
    </row>
    <row r="27004">
      <c r="B27004" s="17" t="s">
        <v>477</v>
      </c>
      <c r="K27004" s="18" t="s">
        <v>477</v>
      </c>
    </row>
    <row r="27005">
      <c r="B27005" s="17" t="s">
        <v>477</v>
      </c>
      <c r="K27005" s="18" t="s">
        <v>477</v>
      </c>
    </row>
    <row r="27006">
      <c r="B27006" s="17" t="s">
        <v>477</v>
      </c>
      <c r="K27006" s="18" t="s">
        <v>477</v>
      </c>
    </row>
    <row r="27007">
      <c r="B27007" s="17" t="s">
        <v>477</v>
      </c>
      <c r="K27007" s="18" t="s">
        <v>477</v>
      </c>
    </row>
    <row r="27008">
      <c r="B27008" s="17" t="s">
        <v>477</v>
      </c>
      <c r="K27008" s="18" t="s">
        <v>477</v>
      </c>
    </row>
    <row r="27009">
      <c r="B27009" s="17" t="s">
        <v>477</v>
      </c>
      <c r="K27009" s="18" t="s">
        <v>477</v>
      </c>
    </row>
    <row r="27010">
      <c r="B27010" s="17" t="s">
        <v>477</v>
      </c>
      <c r="K27010" s="18" t="s">
        <v>477</v>
      </c>
    </row>
    <row r="27011">
      <c r="B27011" s="17" t="s">
        <v>477</v>
      </c>
      <c r="K27011" s="18" t="s">
        <v>477</v>
      </c>
    </row>
    <row r="27012">
      <c r="B27012" s="17" t="s">
        <v>477</v>
      </c>
      <c r="K27012" s="18" t="s">
        <v>477</v>
      </c>
    </row>
    <row r="27013">
      <c r="B27013" s="17" t="s">
        <v>477</v>
      </c>
      <c r="K27013" s="18" t="s">
        <v>477</v>
      </c>
    </row>
    <row r="27014">
      <c r="B27014" s="17" t="s">
        <v>477</v>
      </c>
      <c r="K27014" s="18" t="s">
        <v>477</v>
      </c>
    </row>
    <row r="27015">
      <c r="B27015" s="17" t="s">
        <v>477</v>
      </c>
      <c r="K27015" s="18" t="s">
        <v>477</v>
      </c>
    </row>
    <row r="27016">
      <c r="B27016" s="17" t="s">
        <v>477</v>
      </c>
      <c r="K27016" s="18" t="s">
        <v>477</v>
      </c>
    </row>
    <row r="27017">
      <c r="B27017" s="17" t="s">
        <v>477</v>
      </c>
      <c r="K27017" s="18" t="s">
        <v>477</v>
      </c>
    </row>
    <row r="27018">
      <c r="B27018" s="17" t="s">
        <v>477</v>
      </c>
      <c r="K27018" s="18" t="s">
        <v>477</v>
      </c>
    </row>
    <row r="27019">
      <c r="B27019" s="17" t="s">
        <v>477</v>
      </c>
      <c r="K27019" s="18" t="s">
        <v>477</v>
      </c>
    </row>
    <row r="27020">
      <c r="B27020" s="17" t="s">
        <v>477</v>
      </c>
      <c r="K27020" s="18" t="s">
        <v>477</v>
      </c>
    </row>
    <row r="27021">
      <c r="B27021" s="17" t="s">
        <v>477</v>
      </c>
      <c r="K27021" s="18" t="s">
        <v>477</v>
      </c>
    </row>
    <row r="27022">
      <c r="B27022" s="17" t="s">
        <v>477</v>
      </c>
      <c r="K27022" s="18" t="s">
        <v>477</v>
      </c>
    </row>
    <row r="27023">
      <c r="B27023" s="17" t="s">
        <v>477</v>
      </c>
      <c r="K27023" s="18" t="s">
        <v>477</v>
      </c>
    </row>
    <row r="27024">
      <c r="B27024" s="17" t="s">
        <v>477</v>
      </c>
      <c r="K27024" s="18" t="s">
        <v>477</v>
      </c>
    </row>
    <row r="27025">
      <c r="B27025" s="17" t="s">
        <v>477</v>
      </c>
      <c r="K27025" s="18" t="s">
        <v>477</v>
      </c>
    </row>
    <row r="27026">
      <c r="B27026" s="17" t="s">
        <v>477</v>
      </c>
      <c r="K27026" s="18" t="s">
        <v>477</v>
      </c>
    </row>
    <row r="27027">
      <c r="B27027" s="17" t="s">
        <v>477</v>
      </c>
      <c r="K27027" s="18" t="s">
        <v>477</v>
      </c>
    </row>
    <row r="27028">
      <c r="B27028" s="17" t="s">
        <v>477</v>
      </c>
      <c r="K27028" s="18" t="s">
        <v>477</v>
      </c>
    </row>
    <row r="27029">
      <c r="B27029" s="17" t="s">
        <v>477</v>
      </c>
      <c r="K27029" s="18" t="s">
        <v>477</v>
      </c>
    </row>
    <row r="27030">
      <c r="B27030" s="17" t="s">
        <v>477</v>
      </c>
      <c r="K27030" s="18" t="s">
        <v>477</v>
      </c>
    </row>
    <row r="27031">
      <c r="B27031" s="17" t="s">
        <v>477</v>
      </c>
      <c r="K27031" s="18" t="s">
        <v>477</v>
      </c>
    </row>
    <row r="27032">
      <c r="B27032" s="17" t="s">
        <v>477</v>
      </c>
      <c r="K27032" s="18" t="s">
        <v>477</v>
      </c>
    </row>
    <row r="27033">
      <c r="B27033" s="17" t="s">
        <v>477</v>
      </c>
      <c r="K27033" s="18" t="s">
        <v>477</v>
      </c>
    </row>
    <row r="27034">
      <c r="B27034" s="17" t="s">
        <v>477</v>
      </c>
      <c r="K27034" s="18" t="s">
        <v>477</v>
      </c>
    </row>
    <row r="27035">
      <c r="B27035" s="17" t="s">
        <v>477</v>
      </c>
      <c r="K27035" s="18" t="s">
        <v>477</v>
      </c>
    </row>
    <row r="27036">
      <c r="B27036" s="17" t="s">
        <v>477</v>
      </c>
      <c r="K27036" s="18" t="s">
        <v>477</v>
      </c>
    </row>
    <row r="27037">
      <c r="B27037" s="17" t="s">
        <v>477</v>
      </c>
      <c r="K27037" s="18" t="s">
        <v>477</v>
      </c>
    </row>
    <row r="27038">
      <c r="B27038" s="17" t="s">
        <v>477</v>
      </c>
      <c r="K27038" s="18" t="s">
        <v>477</v>
      </c>
    </row>
    <row r="27039">
      <c r="B27039" s="17" t="s">
        <v>477</v>
      </c>
      <c r="K27039" s="18" t="s">
        <v>477</v>
      </c>
    </row>
    <row r="27040">
      <c r="B27040" s="17" t="s">
        <v>477</v>
      </c>
      <c r="K27040" s="18" t="s">
        <v>477</v>
      </c>
    </row>
    <row r="27041">
      <c r="B27041" s="17" t="s">
        <v>477</v>
      </c>
      <c r="K27041" s="18" t="s">
        <v>477</v>
      </c>
    </row>
    <row r="27042">
      <c r="B27042" s="17" t="s">
        <v>477</v>
      </c>
      <c r="K27042" s="18" t="s">
        <v>477</v>
      </c>
    </row>
    <row r="27043">
      <c r="B27043" s="17" t="s">
        <v>477</v>
      </c>
      <c r="K27043" s="18" t="s">
        <v>477</v>
      </c>
    </row>
    <row r="27044">
      <c r="B27044" s="17" t="s">
        <v>477</v>
      </c>
      <c r="K27044" s="18" t="s">
        <v>477</v>
      </c>
    </row>
    <row r="27045">
      <c r="B27045" s="17" t="s">
        <v>477</v>
      </c>
      <c r="K27045" s="18" t="s">
        <v>477</v>
      </c>
    </row>
    <row r="27046">
      <c r="B27046" s="17" t="s">
        <v>477</v>
      </c>
      <c r="K27046" s="18" t="s">
        <v>477</v>
      </c>
    </row>
    <row r="27047">
      <c r="B27047" s="17" t="s">
        <v>477</v>
      </c>
      <c r="K27047" s="18" t="s">
        <v>477</v>
      </c>
    </row>
    <row r="27048">
      <c r="B27048" s="17" t="s">
        <v>477</v>
      </c>
      <c r="K27048" s="18" t="s">
        <v>477</v>
      </c>
    </row>
    <row r="27049">
      <c r="B27049" s="17" t="s">
        <v>477</v>
      </c>
      <c r="K27049" s="18" t="s">
        <v>477</v>
      </c>
    </row>
    <row r="27050">
      <c r="B27050" s="17" t="s">
        <v>477</v>
      </c>
      <c r="K27050" s="18" t="s">
        <v>477</v>
      </c>
    </row>
    <row r="27051">
      <c r="B27051" s="17" t="s">
        <v>477</v>
      </c>
      <c r="K27051" s="18" t="s">
        <v>477</v>
      </c>
    </row>
    <row r="27052">
      <c r="B27052" s="17" t="s">
        <v>477</v>
      </c>
      <c r="K27052" s="18" t="s">
        <v>477</v>
      </c>
    </row>
    <row r="27053">
      <c r="B27053" s="17" t="s">
        <v>477</v>
      </c>
      <c r="K27053" s="18" t="s">
        <v>477</v>
      </c>
    </row>
    <row r="27054">
      <c r="B27054" s="17" t="s">
        <v>477</v>
      </c>
      <c r="K27054" s="18" t="s">
        <v>477</v>
      </c>
    </row>
    <row r="27055">
      <c r="B27055" s="17" t="s">
        <v>477</v>
      </c>
      <c r="K27055" s="18" t="s">
        <v>477</v>
      </c>
    </row>
    <row r="27056">
      <c r="B27056" s="17" t="s">
        <v>477</v>
      </c>
      <c r="K27056" s="18" t="s">
        <v>477</v>
      </c>
    </row>
    <row r="27057">
      <c r="B27057" s="17" t="s">
        <v>477</v>
      </c>
      <c r="K27057" s="18" t="s">
        <v>477</v>
      </c>
    </row>
    <row r="27058">
      <c r="B27058" s="17" t="s">
        <v>477</v>
      </c>
      <c r="K27058" s="18" t="s">
        <v>477</v>
      </c>
    </row>
    <row r="27059">
      <c r="B27059" s="17" t="s">
        <v>477</v>
      </c>
      <c r="K27059" s="18" t="s">
        <v>477</v>
      </c>
    </row>
    <row r="27060">
      <c r="B27060" s="17" t="s">
        <v>477</v>
      </c>
      <c r="K27060" s="18" t="s">
        <v>477</v>
      </c>
    </row>
    <row r="27061">
      <c r="B27061" s="17" t="s">
        <v>477</v>
      </c>
      <c r="K27061" s="18" t="s">
        <v>477</v>
      </c>
    </row>
    <row r="27062">
      <c r="B27062" s="17" t="s">
        <v>477</v>
      </c>
      <c r="K27062" s="18" t="s">
        <v>477</v>
      </c>
    </row>
    <row r="27063">
      <c r="B27063" s="17" t="s">
        <v>477</v>
      </c>
      <c r="K27063" s="18" t="s">
        <v>477</v>
      </c>
    </row>
    <row r="27064">
      <c r="B27064" s="17" t="s">
        <v>477</v>
      </c>
      <c r="K27064" s="18" t="s">
        <v>477</v>
      </c>
    </row>
    <row r="27065">
      <c r="B27065" s="17" t="s">
        <v>477</v>
      </c>
      <c r="K27065" s="18" t="s">
        <v>477</v>
      </c>
    </row>
    <row r="27066">
      <c r="B27066" s="17" t="s">
        <v>477</v>
      </c>
      <c r="K27066" s="18" t="s">
        <v>477</v>
      </c>
    </row>
    <row r="27067">
      <c r="B27067" s="17" t="s">
        <v>477</v>
      </c>
      <c r="K27067" s="18" t="s">
        <v>477</v>
      </c>
    </row>
    <row r="27068">
      <c r="B27068" s="17" t="s">
        <v>477</v>
      </c>
      <c r="K27068" s="18" t="s">
        <v>477</v>
      </c>
    </row>
    <row r="27069">
      <c r="B27069" s="17" t="s">
        <v>477</v>
      </c>
      <c r="K27069" s="18" t="s">
        <v>477</v>
      </c>
    </row>
    <row r="27070">
      <c r="B27070" s="17" t="s">
        <v>477</v>
      </c>
      <c r="K27070" s="18" t="s">
        <v>477</v>
      </c>
    </row>
    <row r="27071">
      <c r="B27071" s="17" t="s">
        <v>477</v>
      </c>
      <c r="K27071" s="18" t="s">
        <v>477</v>
      </c>
    </row>
    <row r="27072">
      <c r="B27072" s="17" t="s">
        <v>477</v>
      </c>
      <c r="K27072" s="18" t="s">
        <v>477</v>
      </c>
    </row>
    <row r="27073">
      <c r="B27073" s="17" t="s">
        <v>477</v>
      </c>
      <c r="K27073" s="18" t="s">
        <v>477</v>
      </c>
    </row>
    <row r="27074">
      <c r="B27074" s="17" t="s">
        <v>477</v>
      </c>
      <c r="K27074" s="18" t="s">
        <v>477</v>
      </c>
    </row>
    <row r="27075">
      <c r="B27075" s="17" t="s">
        <v>477</v>
      </c>
      <c r="K27075" s="18" t="s">
        <v>477</v>
      </c>
    </row>
    <row r="27076">
      <c r="B27076" s="17" t="s">
        <v>477</v>
      </c>
      <c r="K27076" s="18" t="s">
        <v>477</v>
      </c>
    </row>
    <row r="27077">
      <c r="B27077" s="17" t="s">
        <v>477</v>
      </c>
      <c r="K27077" s="18" t="s">
        <v>477</v>
      </c>
    </row>
    <row r="27078">
      <c r="B27078" s="17" t="s">
        <v>477</v>
      </c>
      <c r="K27078" s="18" t="s">
        <v>477</v>
      </c>
    </row>
    <row r="27079">
      <c r="B27079" s="17" t="s">
        <v>477</v>
      </c>
      <c r="K27079" s="18" t="s">
        <v>477</v>
      </c>
    </row>
    <row r="27080">
      <c r="B27080" s="17" t="s">
        <v>477</v>
      </c>
      <c r="K27080" s="18" t="s">
        <v>477</v>
      </c>
    </row>
    <row r="27081">
      <c r="B27081" s="17" t="s">
        <v>477</v>
      </c>
      <c r="K27081" s="18" t="s">
        <v>477</v>
      </c>
    </row>
    <row r="27082">
      <c r="B27082" s="17" t="s">
        <v>477</v>
      </c>
      <c r="K27082" s="18" t="s">
        <v>477</v>
      </c>
    </row>
    <row r="27083">
      <c r="B27083" s="17" t="s">
        <v>477</v>
      </c>
      <c r="K27083" s="18" t="s">
        <v>477</v>
      </c>
    </row>
    <row r="27084">
      <c r="B27084" s="17" t="s">
        <v>477</v>
      </c>
      <c r="K27084" s="18" t="s">
        <v>477</v>
      </c>
    </row>
    <row r="27085">
      <c r="B27085" s="17" t="s">
        <v>477</v>
      </c>
      <c r="K27085" s="18" t="s">
        <v>477</v>
      </c>
    </row>
    <row r="27086">
      <c r="B27086" s="17" t="s">
        <v>477</v>
      </c>
      <c r="K27086" s="18" t="s">
        <v>477</v>
      </c>
    </row>
    <row r="27087">
      <c r="B27087" s="17" t="s">
        <v>477</v>
      </c>
      <c r="K27087" s="18" t="s">
        <v>477</v>
      </c>
    </row>
    <row r="27088">
      <c r="B27088" s="17" t="s">
        <v>477</v>
      </c>
      <c r="K27088" s="18" t="s">
        <v>477</v>
      </c>
    </row>
    <row r="27089">
      <c r="B27089" s="17" t="s">
        <v>477</v>
      </c>
      <c r="K27089" s="18" t="s">
        <v>477</v>
      </c>
    </row>
    <row r="27090">
      <c r="B27090" s="17" t="s">
        <v>477</v>
      </c>
      <c r="K27090" s="18" t="s">
        <v>477</v>
      </c>
    </row>
    <row r="27091">
      <c r="B27091" s="17" t="s">
        <v>477</v>
      </c>
      <c r="K27091" s="18" t="s">
        <v>477</v>
      </c>
    </row>
    <row r="27092">
      <c r="B27092" s="17" t="s">
        <v>477</v>
      </c>
      <c r="K27092" s="18" t="s">
        <v>477</v>
      </c>
    </row>
    <row r="27093">
      <c r="B27093" s="17" t="s">
        <v>477</v>
      </c>
      <c r="K27093" s="18" t="s">
        <v>477</v>
      </c>
    </row>
    <row r="27094">
      <c r="B27094" s="17" t="s">
        <v>477</v>
      </c>
      <c r="K27094" s="18" t="s">
        <v>477</v>
      </c>
    </row>
    <row r="27095">
      <c r="B27095" s="17" t="s">
        <v>477</v>
      </c>
      <c r="K27095" s="18" t="s">
        <v>477</v>
      </c>
    </row>
    <row r="27096">
      <c r="B27096" s="17" t="s">
        <v>477</v>
      </c>
      <c r="K27096" s="18" t="s">
        <v>477</v>
      </c>
    </row>
    <row r="27097">
      <c r="B27097" s="17" t="s">
        <v>477</v>
      </c>
      <c r="K27097" s="18" t="s">
        <v>477</v>
      </c>
    </row>
    <row r="27098">
      <c r="B27098" s="17" t="s">
        <v>477</v>
      </c>
      <c r="K27098" s="18" t="s">
        <v>477</v>
      </c>
    </row>
    <row r="27099">
      <c r="B27099" s="17" t="s">
        <v>477</v>
      </c>
      <c r="K27099" s="18" t="s">
        <v>477</v>
      </c>
    </row>
    <row r="27100">
      <c r="B27100" s="17" t="s">
        <v>477</v>
      </c>
      <c r="K27100" s="18" t="s">
        <v>477</v>
      </c>
    </row>
    <row r="27101">
      <c r="B27101" s="17" t="s">
        <v>477</v>
      </c>
      <c r="K27101" s="18" t="s">
        <v>477</v>
      </c>
    </row>
    <row r="27102">
      <c r="B27102" s="17" t="s">
        <v>477</v>
      </c>
      <c r="K27102" s="18" t="s">
        <v>477</v>
      </c>
    </row>
    <row r="27103">
      <c r="B27103" s="17" t="s">
        <v>477</v>
      </c>
      <c r="K27103" s="18" t="s">
        <v>477</v>
      </c>
    </row>
    <row r="27104">
      <c r="B27104" s="17" t="s">
        <v>477</v>
      </c>
      <c r="K27104" s="18" t="s">
        <v>477</v>
      </c>
    </row>
    <row r="27105">
      <c r="B27105" s="17" t="s">
        <v>477</v>
      </c>
      <c r="K27105" s="18" t="s">
        <v>477</v>
      </c>
    </row>
    <row r="27106">
      <c r="B27106" s="17" t="s">
        <v>477</v>
      </c>
      <c r="K27106" s="18" t="s">
        <v>477</v>
      </c>
    </row>
    <row r="27107">
      <c r="B27107" s="17" t="s">
        <v>477</v>
      </c>
      <c r="K27107" s="18" t="s">
        <v>477</v>
      </c>
    </row>
    <row r="27108">
      <c r="B27108" s="17" t="s">
        <v>477</v>
      </c>
      <c r="K27108" s="18" t="s">
        <v>477</v>
      </c>
    </row>
    <row r="27109">
      <c r="B27109" s="17" t="s">
        <v>477</v>
      </c>
      <c r="K27109" s="18" t="s">
        <v>477</v>
      </c>
    </row>
    <row r="27110">
      <c r="B27110" s="17" t="s">
        <v>477</v>
      </c>
      <c r="K27110" s="18" t="s">
        <v>477</v>
      </c>
    </row>
    <row r="27111">
      <c r="B27111" s="17" t="s">
        <v>477</v>
      </c>
      <c r="K27111" s="18" t="s">
        <v>477</v>
      </c>
    </row>
    <row r="27112">
      <c r="B27112" s="17" t="s">
        <v>477</v>
      </c>
      <c r="K27112" s="18" t="s">
        <v>477</v>
      </c>
    </row>
    <row r="27113">
      <c r="B27113" s="17" t="s">
        <v>477</v>
      </c>
      <c r="K27113" s="18" t="s">
        <v>477</v>
      </c>
    </row>
    <row r="27114">
      <c r="B27114" s="17" t="s">
        <v>477</v>
      </c>
      <c r="K27114" s="18" t="s">
        <v>477</v>
      </c>
    </row>
    <row r="27115">
      <c r="B27115" s="17" t="s">
        <v>477</v>
      </c>
      <c r="K27115" s="18" t="s">
        <v>477</v>
      </c>
    </row>
    <row r="27116">
      <c r="B27116" s="17" t="s">
        <v>477</v>
      </c>
      <c r="K27116" s="18" t="s">
        <v>477</v>
      </c>
    </row>
    <row r="27117">
      <c r="B27117" s="17" t="s">
        <v>477</v>
      </c>
      <c r="K27117" s="18" t="s">
        <v>477</v>
      </c>
    </row>
    <row r="27118">
      <c r="B27118" s="17" t="s">
        <v>477</v>
      </c>
      <c r="K27118" s="18" t="s">
        <v>477</v>
      </c>
    </row>
    <row r="27119">
      <c r="B27119" s="17" t="s">
        <v>477</v>
      </c>
      <c r="K27119" s="18" t="s">
        <v>477</v>
      </c>
    </row>
    <row r="27120">
      <c r="B27120" s="17" t="s">
        <v>477</v>
      </c>
      <c r="K27120" s="18" t="s">
        <v>477</v>
      </c>
    </row>
    <row r="27121">
      <c r="B27121" s="17" t="s">
        <v>477</v>
      </c>
      <c r="K27121" s="18" t="s">
        <v>477</v>
      </c>
    </row>
    <row r="27122">
      <c r="B27122" s="17" t="s">
        <v>477</v>
      </c>
      <c r="K27122" s="18" t="s">
        <v>477</v>
      </c>
    </row>
    <row r="27123">
      <c r="B27123" s="17" t="s">
        <v>477</v>
      </c>
      <c r="K27123" s="18" t="s">
        <v>477</v>
      </c>
    </row>
    <row r="27124">
      <c r="B27124" s="17" t="s">
        <v>477</v>
      </c>
      <c r="K27124" s="18" t="s">
        <v>477</v>
      </c>
    </row>
    <row r="27125">
      <c r="B27125" s="17" t="s">
        <v>477</v>
      </c>
      <c r="K27125" s="18" t="s">
        <v>477</v>
      </c>
    </row>
    <row r="27126">
      <c r="B27126" s="17" t="s">
        <v>477</v>
      </c>
      <c r="K27126" s="18" t="s">
        <v>477</v>
      </c>
    </row>
    <row r="27127">
      <c r="B27127" s="17" t="s">
        <v>477</v>
      </c>
      <c r="K27127" s="18" t="s">
        <v>477</v>
      </c>
    </row>
    <row r="27128">
      <c r="B27128" s="17" t="s">
        <v>477</v>
      </c>
      <c r="K27128" s="18" t="s">
        <v>477</v>
      </c>
    </row>
    <row r="27129">
      <c r="B27129" s="17" t="s">
        <v>477</v>
      </c>
      <c r="K27129" s="18" t="s">
        <v>477</v>
      </c>
    </row>
    <row r="27130">
      <c r="B27130" s="17" t="s">
        <v>477</v>
      </c>
      <c r="K27130" s="18" t="s">
        <v>477</v>
      </c>
    </row>
    <row r="27131">
      <c r="B27131" s="17" t="s">
        <v>477</v>
      </c>
      <c r="K27131" s="18" t="s">
        <v>477</v>
      </c>
    </row>
    <row r="27132">
      <c r="B27132" s="17" t="s">
        <v>477</v>
      </c>
      <c r="K27132" s="18" t="s">
        <v>477</v>
      </c>
    </row>
    <row r="27133">
      <c r="B27133" s="17" t="s">
        <v>477</v>
      </c>
      <c r="K27133" s="18" t="s">
        <v>477</v>
      </c>
    </row>
    <row r="27134">
      <c r="B27134" s="17" t="s">
        <v>477</v>
      </c>
      <c r="K27134" s="18" t="s">
        <v>477</v>
      </c>
    </row>
    <row r="27135">
      <c r="B27135" s="17" t="s">
        <v>477</v>
      </c>
      <c r="K27135" s="18" t="s">
        <v>477</v>
      </c>
    </row>
    <row r="27136">
      <c r="B27136" s="17" t="s">
        <v>477</v>
      </c>
      <c r="K27136" s="18" t="s">
        <v>477</v>
      </c>
    </row>
    <row r="27137">
      <c r="B27137" s="17" t="s">
        <v>477</v>
      </c>
      <c r="K27137" s="18" t="s">
        <v>477</v>
      </c>
    </row>
    <row r="27138">
      <c r="B27138" s="17" t="s">
        <v>477</v>
      </c>
      <c r="K27138" s="18" t="s">
        <v>477</v>
      </c>
    </row>
    <row r="27139">
      <c r="B27139" s="17" t="s">
        <v>477</v>
      </c>
      <c r="K27139" s="18" t="s">
        <v>477</v>
      </c>
    </row>
    <row r="27140">
      <c r="B27140" s="17" t="s">
        <v>477</v>
      </c>
      <c r="K27140" s="18" t="s">
        <v>477</v>
      </c>
    </row>
    <row r="27141">
      <c r="B27141" s="17" t="s">
        <v>477</v>
      </c>
      <c r="K27141" s="18" t="s">
        <v>477</v>
      </c>
    </row>
    <row r="27142">
      <c r="B27142" s="17" t="s">
        <v>477</v>
      </c>
      <c r="K27142" s="18" t="s">
        <v>477</v>
      </c>
    </row>
    <row r="27143">
      <c r="B27143" s="17" t="s">
        <v>477</v>
      </c>
      <c r="K27143" s="18" t="s">
        <v>477</v>
      </c>
    </row>
    <row r="27144">
      <c r="B27144" s="17" t="s">
        <v>477</v>
      </c>
      <c r="K27144" s="18" t="s">
        <v>477</v>
      </c>
    </row>
    <row r="27145">
      <c r="B27145" s="17" t="s">
        <v>477</v>
      </c>
      <c r="K27145" s="18" t="s">
        <v>477</v>
      </c>
    </row>
    <row r="27146">
      <c r="B27146" s="17" t="s">
        <v>477</v>
      </c>
      <c r="K27146" s="18" t="s">
        <v>477</v>
      </c>
    </row>
    <row r="27147">
      <c r="B27147" s="17" t="s">
        <v>477</v>
      </c>
      <c r="K27147" s="18" t="s">
        <v>477</v>
      </c>
    </row>
    <row r="27148">
      <c r="B27148" s="17" t="s">
        <v>477</v>
      </c>
      <c r="K27148" s="18" t="s">
        <v>477</v>
      </c>
    </row>
    <row r="27149">
      <c r="B27149" s="17" t="s">
        <v>477</v>
      </c>
      <c r="K27149" s="18" t="s">
        <v>477</v>
      </c>
    </row>
    <row r="27150">
      <c r="B27150" s="17" t="s">
        <v>477</v>
      </c>
      <c r="K27150" s="18" t="s">
        <v>477</v>
      </c>
    </row>
    <row r="27151">
      <c r="B27151" s="17" t="s">
        <v>477</v>
      </c>
      <c r="K27151" s="18" t="s">
        <v>477</v>
      </c>
    </row>
    <row r="27152">
      <c r="B27152" s="17" t="s">
        <v>477</v>
      </c>
      <c r="K27152" s="18" t="s">
        <v>477</v>
      </c>
    </row>
    <row r="27153">
      <c r="B27153" s="17" t="s">
        <v>477</v>
      </c>
      <c r="K27153" s="18" t="s">
        <v>477</v>
      </c>
    </row>
    <row r="27154">
      <c r="B27154" s="17" t="s">
        <v>477</v>
      </c>
      <c r="K27154" s="18" t="s">
        <v>477</v>
      </c>
    </row>
    <row r="27155">
      <c r="B27155" s="17" t="s">
        <v>477</v>
      </c>
      <c r="K27155" s="18" t="s">
        <v>477</v>
      </c>
    </row>
    <row r="27156">
      <c r="B27156" s="17" t="s">
        <v>477</v>
      </c>
      <c r="K27156" s="18" t="s">
        <v>477</v>
      </c>
    </row>
    <row r="27157">
      <c r="B27157" s="17" t="s">
        <v>477</v>
      </c>
      <c r="K27157" s="18" t="s">
        <v>477</v>
      </c>
    </row>
    <row r="27158">
      <c r="B27158" s="17" t="s">
        <v>477</v>
      </c>
      <c r="K27158" s="18" t="s">
        <v>477</v>
      </c>
    </row>
    <row r="27159">
      <c r="B27159" s="17" t="s">
        <v>477</v>
      </c>
      <c r="K27159" s="18" t="s">
        <v>477</v>
      </c>
    </row>
    <row r="27160">
      <c r="B27160" s="17" t="s">
        <v>477</v>
      </c>
      <c r="K27160" s="18" t="s">
        <v>477</v>
      </c>
    </row>
    <row r="27161">
      <c r="B27161" s="17" t="s">
        <v>477</v>
      </c>
      <c r="K27161" s="18" t="s">
        <v>477</v>
      </c>
    </row>
    <row r="27162">
      <c r="B27162" s="17" t="s">
        <v>477</v>
      </c>
      <c r="K27162" s="18" t="s">
        <v>477</v>
      </c>
    </row>
    <row r="27163">
      <c r="B27163" s="17" t="s">
        <v>477</v>
      </c>
      <c r="K27163" s="18" t="s">
        <v>477</v>
      </c>
    </row>
    <row r="27164">
      <c r="B27164" s="17" t="s">
        <v>477</v>
      </c>
      <c r="K27164" s="18" t="s">
        <v>477</v>
      </c>
    </row>
    <row r="27165">
      <c r="B27165" s="17" t="s">
        <v>477</v>
      </c>
      <c r="K27165" s="18" t="s">
        <v>477</v>
      </c>
    </row>
    <row r="27166">
      <c r="B27166" s="17" t="s">
        <v>477</v>
      </c>
      <c r="K27166" s="18" t="s">
        <v>477</v>
      </c>
    </row>
    <row r="27167">
      <c r="B27167" s="17" t="s">
        <v>477</v>
      </c>
      <c r="K27167" s="18" t="s">
        <v>477</v>
      </c>
    </row>
    <row r="27168">
      <c r="B27168" s="17" t="s">
        <v>477</v>
      </c>
      <c r="K27168" s="18" t="s">
        <v>477</v>
      </c>
    </row>
    <row r="27169">
      <c r="B27169" s="17" t="s">
        <v>477</v>
      </c>
      <c r="K27169" s="18" t="s">
        <v>477</v>
      </c>
    </row>
    <row r="27170">
      <c r="B27170" s="17" t="s">
        <v>477</v>
      </c>
      <c r="K27170" s="18" t="s">
        <v>477</v>
      </c>
    </row>
    <row r="27171">
      <c r="B27171" s="17" t="s">
        <v>477</v>
      </c>
      <c r="K27171" s="18" t="s">
        <v>477</v>
      </c>
    </row>
    <row r="27172">
      <c r="B27172" s="17" t="s">
        <v>477</v>
      </c>
      <c r="K27172" s="18" t="s">
        <v>477</v>
      </c>
    </row>
    <row r="27173">
      <c r="B27173" s="17" t="s">
        <v>477</v>
      </c>
      <c r="K27173" s="18" t="s">
        <v>477</v>
      </c>
    </row>
    <row r="27174">
      <c r="B27174" s="17" t="s">
        <v>477</v>
      </c>
      <c r="K27174" s="18" t="s">
        <v>477</v>
      </c>
    </row>
    <row r="27175">
      <c r="B27175" s="17" t="s">
        <v>477</v>
      </c>
      <c r="K27175" s="18" t="s">
        <v>477</v>
      </c>
    </row>
    <row r="27176">
      <c r="B27176" s="17" t="s">
        <v>477</v>
      </c>
      <c r="K27176" s="18" t="s">
        <v>477</v>
      </c>
    </row>
    <row r="27177">
      <c r="B27177" s="17" t="s">
        <v>477</v>
      </c>
      <c r="K27177" s="18" t="s">
        <v>477</v>
      </c>
    </row>
    <row r="27178">
      <c r="B27178" s="17" t="s">
        <v>477</v>
      </c>
      <c r="K27178" s="18" t="s">
        <v>477</v>
      </c>
    </row>
    <row r="27179">
      <c r="B27179" s="17" t="s">
        <v>477</v>
      </c>
      <c r="K27179" s="18" t="s">
        <v>477</v>
      </c>
    </row>
    <row r="27180">
      <c r="B27180" s="17" t="s">
        <v>477</v>
      </c>
      <c r="K27180" s="18" t="s">
        <v>477</v>
      </c>
    </row>
    <row r="27181">
      <c r="B27181" s="17" t="s">
        <v>477</v>
      </c>
      <c r="K27181" s="18" t="s">
        <v>477</v>
      </c>
    </row>
    <row r="27182">
      <c r="B27182" s="17" t="s">
        <v>477</v>
      </c>
      <c r="K27182" s="18" t="s">
        <v>477</v>
      </c>
    </row>
    <row r="27183">
      <c r="B27183" s="17" t="s">
        <v>477</v>
      </c>
      <c r="K27183" s="18" t="s">
        <v>477</v>
      </c>
    </row>
    <row r="27184">
      <c r="B27184" s="17" t="s">
        <v>477</v>
      </c>
      <c r="K27184" s="18" t="s">
        <v>477</v>
      </c>
    </row>
    <row r="27185">
      <c r="B27185" s="17" t="s">
        <v>477</v>
      </c>
      <c r="K27185" s="18" t="s">
        <v>477</v>
      </c>
    </row>
    <row r="27186">
      <c r="B27186" s="17" t="s">
        <v>477</v>
      </c>
      <c r="K27186" s="18" t="s">
        <v>477</v>
      </c>
    </row>
    <row r="27187">
      <c r="B27187" s="17" t="s">
        <v>477</v>
      </c>
      <c r="K27187" s="18" t="s">
        <v>477</v>
      </c>
    </row>
    <row r="27188">
      <c r="B27188" s="17" t="s">
        <v>477</v>
      </c>
      <c r="K27188" s="18" t="s">
        <v>477</v>
      </c>
    </row>
    <row r="27189">
      <c r="B27189" s="17" t="s">
        <v>477</v>
      </c>
      <c r="K27189" s="18" t="s">
        <v>477</v>
      </c>
    </row>
    <row r="27190">
      <c r="B27190" s="17" t="s">
        <v>477</v>
      </c>
      <c r="K27190" s="18" t="s">
        <v>477</v>
      </c>
    </row>
    <row r="27191">
      <c r="B27191" s="17" t="s">
        <v>477</v>
      </c>
      <c r="K27191" s="18" t="s">
        <v>477</v>
      </c>
    </row>
    <row r="27192">
      <c r="B27192" s="17" t="s">
        <v>477</v>
      </c>
      <c r="K27192" s="18" t="s">
        <v>477</v>
      </c>
    </row>
    <row r="27193">
      <c r="B27193" s="17" t="s">
        <v>477</v>
      </c>
      <c r="K27193" s="18" t="s">
        <v>477</v>
      </c>
    </row>
    <row r="27194">
      <c r="B27194" s="17" t="s">
        <v>477</v>
      </c>
      <c r="K27194" s="18" t="s">
        <v>477</v>
      </c>
    </row>
    <row r="27195">
      <c r="B27195" s="17" t="s">
        <v>477</v>
      </c>
      <c r="K27195" s="18" t="s">
        <v>477</v>
      </c>
    </row>
    <row r="27196">
      <c r="B27196" s="17" t="s">
        <v>477</v>
      </c>
      <c r="K27196" s="18" t="s">
        <v>477</v>
      </c>
    </row>
    <row r="27197">
      <c r="B27197" s="17" t="s">
        <v>477</v>
      </c>
      <c r="K27197" s="18" t="s">
        <v>477</v>
      </c>
    </row>
    <row r="27198">
      <c r="B27198" s="17" t="s">
        <v>477</v>
      </c>
      <c r="K27198" s="18" t="s">
        <v>477</v>
      </c>
    </row>
    <row r="27199">
      <c r="B27199" s="17" t="s">
        <v>477</v>
      </c>
      <c r="K27199" s="18" t="s">
        <v>477</v>
      </c>
    </row>
    <row r="27200">
      <c r="B27200" s="17" t="s">
        <v>477</v>
      </c>
      <c r="K27200" s="18" t="s">
        <v>477</v>
      </c>
    </row>
    <row r="27201">
      <c r="B27201" s="17" t="s">
        <v>477</v>
      </c>
      <c r="K27201" s="18" t="s">
        <v>477</v>
      </c>
    </row>
    <row r="27202">
      <c r="B27202" s="17" t="s">
        <v>477</v>
      </c>
      <c r="K27202" s="18" t="s">
        <v>477</v>
      </c>
    </row>
    <row r="27203">
      <c r="B27203" s="17" t="s">
        <v>477</v>
      </c>
      <c r="K27203" s="18" t="s">
        <v>477</v>
      </c>
    </row>
    <row r="27204">
      <c r="B27204" s="17" t="s">
        <v>477</v>
      </c>
      <c r="K27204" s="18" t="s">
        <v>477</v>
      </c>
    </row>
    <row r="27205">
      <c r="B27205" s="17" t="s">
        <v>477</v>
      </c>
      <c r="K27205" s="18" t="s">
        <v>477</v>
      </c>
    </row>
    <row r="27206">
      <c r="B27206" s="17" t="s">
        <v>477</v>
      </c>
      <c r="K27206" s="18" t="s">
        <v>477</v>
      </c>
    </row>
    <row r="27207">
      <c r="B27207" s="17" t="s">
        <v>477</v>
      </c>
      <c r="K27207" s="18" t="s">
        <v>477</v>
      </c>
    </row>
    <row r="27208">
      <c r="B27208" s="17" t="s">
        <v>477</v>
      </c>
      <c r="K27208" s="18" t="s">
        <v>477</v>
      </c>
    </row>
    <row r="27209">
      <c r="B27209" s="17" t="s">
        <v>477</v>
      </c>
      <c r="K27209" s="18" t="s">
        <v>477</v>
      </c>
    </row>
    <row r="27210">
      <c r="B27210" s="17" t="s">
        <v>477</v>
      </c>
      <c r="K27210" s="18" t="s">
        <v>477</v>
      </c>
    </row>
    <row r="27211">
      <c r="B27211" s="17" t="s">
        <v>477</v>
      </c>
      <c r="K27211" s="18" t="s">
        <v>477</v>
      </c>
    </row>
    <row r="27212">
      <c r="B27212" s="17" t="s">
        <v>477</v>
      </c>
      <c r="K27212" s="18" t="s">
        <v>477</v>
      </c>
    </row>
    <row r="27213">
      <c r="B27213" s="17" t="s">
        <v>477</v>
      </c>
      <c r="K27213" s="18" t="s">
        <v>477</v>
      </c>
    </row>
    <row r="27214">
      <c r="B27214" s="17" t="s">
        <v>477</v>
      </c>
      <c r="K27214" s="18" t="s">
        <v>477</v>
      </c>
    </row>
    <row r="27215">
      <c r="B27215" s="17" t="s">
        <v>477</v>
      </c>
      <c r="K27215" s="18" t="s">
        <v>477</v>
      </c>
    </row>
    <row r="27216">
      <c r="B27216" s="17" t="s">
        <v>477</v>
      </c>
      <c r="K27216" s="18" t="s">
        <v>477</v>
      </c>
    </row>
    <row r="27217">
      <c r="B27217" s="17" t="s">
        <v>477</v>
      </c>
      <c r="K27217" s="18" t="s">
        <v>477</v>
      </c>
    </row>
    <row r="27218">
      <c r="B27218" s="17" t="s">
        <v>477</v>
      </c>
      <c r="K27218" s="18" t="s">
        <v>477</v>
      </c>
    </row>
    <row r="27219">
      <c r="B27219" s="17" t="s">
        <v>477</v>
      </c>
      <c r="K27219" s="18" t="s">
        <v>477</v>
      </c>
    </row>
    <row r="27220">
      <c r="B27220" s="17" t="s">
        <v>477</v>
      </c>
      <c r="K27220" s="18" t="s">
        <v>477</v>
      </c>
    </row>
    <row r="27221">
      <c r="B27221" s="17" t="s">
        <v>477</v>
      </c>
      <c r="K27221" s="18" t="s">
        <v>477</v>
      </c>
    </row>
    <row r="27222">
      <c r="B27222" s="17" t="s">
        <v>477</v>
      </c>
      <c r="K27222" s="18" t="s">
        <v>477</v>
      </c>
    </row>
    <row r="27223">
      <c r="B27223" s="17" t="s">
        <v>477</v>
      </c>
      <c r="K27223" s="18" t="s">
        <v>477</v>
      </c>
    </row>
    <row r="27224">
      <c r="B27224" s="17" t="s">
        <v>477</v>
      </c>
      <c r="K27224" s="18" t="s">
        <v>477</v>
      </c>
    </row>
    <row r="27225">
      <c r="B27225" s="17" t="s">
        <v>477</v>
      </c>
      <c r="K27225" s="18" t="s">
        <v>477</v>
      </c>
    </row>
    <row r="27226">
      <c r="B27226" s="17" t="s">
        <v>477</v>
      </c>
      <c r="K27226" s="18" t="s">
        <v>477</v>
      </c>
    </row>
    <row r="27227">
      <c r="B27227" s="17" t="s">
        <v>477</v>
      </c>
      <c r="K27227" s="18" t="s">
        <v>477</v>
      </c>
    </row>
    <row r="27228">
      <c r="B27228" s="17" t="s">
        <v>477</v>
      </c>
      <c r="K27228" s="18" t="s">
        <v>477</v>
      </c>
    </row>
    <row r="27229">
      <c r="B27229" s="17" t="s">
        <v>477</v>
      </c>
      <c r="K27229" s="18" t="s">
        <v>477</v>
      </c>
    </row>
    <row r="27230">
      <c r="B27230" s="17" t="s">
        <v>477</v>
      </c>
      <c r="K27230" s="18" t="s">
        <v>477</v>
      </c>
    </row>
    <row r="27231">
      <c r="B27231" s="17" t="s">
        <v>477</v>
      </c>
      <c r="K27231" s="18" t="s">
        <v>477</v>
      </c>
    </row>
    <row r="27232">
      <c r="B27232" s="17" t="s">
        <v>477</v>
      </c>
      <c r="K27232" s="18" t="s">
        <v>477</v>
      </c>
    </row>
    <row r="27233">
      <c r="B27233" s="17" t="s">
        <v>477</v>
      </c>
      <c r="K27233" s="18" t="s">
        <v>477</v>
      </c>
    </row>
    <row r="27234">
      <c r="B27234" s="17" t="s">
        <v>477</v>
      </c>
      <c r="K27234" s="18" t="s">
        <v>477</v>
      </c>
    </row>
    <row r="27235">
      <c r="B27235" s="17" t="s">
        <v>477</v>
      </c>
      <c r="K27235" s="18" t="s">
        <v>477</v>
      </c>
    </row>
    <row r="27236">
      <c r="B27236" s="17" t="s">
        <v>477</v>
      </c>
      <c r="K27236" s="18" t="s">
        <v>477</v>
      </c>
    </row>
    <row r="27237">
      <c r="B27237" s="17" t="s">
        <v>477</v>
      </c>
      <c r="K27237" s="18" t="s">
        <v>477</v>
      </c>
    </row>
    <row r="27238">
      <c r="B27238" s="17" t="s">
        <v>477</v>
      </c>
      <c r="K27238" s="18" t="s">
        <v>477</v>
      </c>
    </row>
    <row r="27239">
      <c r="B27239" s="17" t="s">
        <v>477</v>
      </c>
      <c r="K27239" s="18" t="s">
        <v>477</v>
      </c>
    </row>
    <row r="27240">
      <c r="B27240" s="17" t="s">
        <v>477</v>
      </c>
      <c r="K27240" s="18" t="s">
        <v>477</v>
      </c>
    </row>
    <row r="27241">
      <c r="B27241" s="17" t="s">
        <v>477</v>
      </c>
      <c r="K27241" s="18" t="s">
        <v>477</v>
      </c>
    </row>
    <row r="27242">
      <c r="B27242" s="17" t="s">
        <v>477</v>
      </c>
      <c r="K27242" s="18" t="s">
        <v>477</v>
      </c>
    </row>
    <row r="27243">
      <c r="B27243" s="17" t="s">
        <v>477</v>
      </c>
      <c r="K27243" s="18" t="s">
        <v>477</v>
      </c>
    </row>
    <row r="27244">
      <c r="B27244" s="17" t="s">
        <v>477</v>
      </c>
      <c r="K27244" s="18" t="s">
        <v>477</v>
      </c>
    </row>
    <row r="27245">
      <c r="B27245" s="17" t="s">
        <v>477</v>
      </c>
      <c r="K27245" s="18" t="s">
        <v>477</v>
      </c>
    </row>
    <row r="27246">
      <c r="B27246" s="17" t="s">
        <v>477</v>
      </c>
      <c r="K27246" s="18" t="s">
        <v>477</v>
      </c>
    </row>
    <row r="27247">
      <c r="B27247" s="17" t="s">
        <v>477</v>
      </c>
      <c r="K27247" s="18" t="s">
        <v>477</v>
      </c>
    </row>
    <row r="27248">
      <c r="B27248" s="17" t="s">
        <v>477</v>
      </c>
      <c r="K27248" s="18" t="s">
        <v>477</v>
      </c>
    </row>
    <row r="27249">
      <c r="B27249" s="17" t="s">
        <v>477</v>
      </c>
      <c r="K27249" s="18" t="s">
        <v>477</v>
      </c>
    </row>
    <row r="27250">
      <c r="B27250" s="17" t="s">
        <v>477</v>
      </c>
      <c r="K27250" s="18" t="s">
        <v>477</v>
      </c>
    </row>
    <row r="27251">
      <c r="B27251" s="17" t="s">
        <v>477</v>
      </c>
      <c r="K27251" s="18" t="s">
        <v>477</v>
      </c>
    </row>
    <row r="27252">
      <c r="B27252" s="17" t="s">
        <v>477</v>
      </c>
      <c r="K27252" s="18" t="s">
        <v>477</v>
      </c>
    </row>
    <row r="27253">
      <c r="B27253" s="17" t="s">
        <v>477</v>
      </c>
      <c r="K27253" s="18" t="s">
        <v>477</v>
      </c>
    </row>
    <row r="27254">
      <c r="B27254" s="17" t="s">
        <v>477</v>
      </c>
      <c r="K27254" s="18" t="s">
        <v>477</v>
      </c>
    </row>
    <row r="27255">
      <c r="B27255" s="17" t="s">
        <v>477</v>
      </c>
      <c r="K27255" s="18" t="s">
        <v>477</v>
      </c>
    </row>
    <row r="27256">
      <c r="B27256" s="17" t="s">
        <v>477</v>
      </c>
      <c r="K27256" s="18" t="s">
        <v>477</v>
      </c>
    </row>
    <row r="27257">
      <c r="B27257" s="17" t="s">
        <v>477</v>
      </c>
      <c r="K27257" s="18" t="s">
        <v>477</v>
      </c>
    </row>
    <row r="27258">
      <c r="B27258" s="17" t="s">
        <v>477</v>
      </c>
      <c r="K27258" s="18" t="s">
        <v>477</v>
      </c>
    </row>
    <row r="27259">
      <c r="B27259" s="17" t="s">
        <v>477</v>
      </c>
      <c r="K27259" s="18" t="s">
        <v>477</v>
      </c>
    </row>
    <row r="27260">
      <c r="B27260" s="17" t="s">
        <v>477</v>
      </c>
      <c r="K27260" s="18" t="s">
        <v>477</v>
      </c>
    </row>
    <row r="27261">
      <c r="B27261" s="17" t="s">
        <v>477</v>
      </c>
      <c r="K27261" s="18" t="s">
        <v>477</v>
      </c>
    </row>
    <row r="27262">
      <c r="B27262" s="17" t="s">
        <v>477</v>
      </c>
      <c r="K27262" s="18" t="s">
        <v>477</v>
      </c>
    </row>
    <row r="27263">
      <c r="B27263" s="17" t="s">
        <v>477</v>
      </c>
      <c r="K27263" s="18" t="s">
        <v>477</v>
      </c>
    </row>
    <row r="27264">
      <c r="B27264" s="17" t="s">
        <v>477</v>
      </c>
      <c r="K27264" s="18" t="s">
        <v>477</v>
      </c>
    </row>
    <row r="27265">
      <c r="B27265" s="17" t="s">
        <v>477</v>
      </c>
      <c r="K27265" s="18" t="s">
        <v>477</v>
      </c>
    </row>
    <row r="27266">
      <c r="B27266" s="17" t="s">
        <v>477</v>
      </c>
      <c r="K27266" s="18" t="s">
        <v>477</v>
      </c>
    </row>
    <row r="27267">
      <c r="B27267" s="17" t="s">
        <v>477</v>
      </c>
      <c r="K27267" s="18" t="s">
        <v>477</v>
      </c>
    </row>
    <row r="27268">
      <c r="B27268" s="17" t="s">
        <v>477</v>
      </c>
      <c r="K27268" s="18" t="s">
        <v>477</v>
      </c>
    </row>
    <row r="27269">
      <c r="B27269" s="17" t="s">
        <v>477</v>
      </c>
      <c r="K27269" s="18" t="s">
        <v>477</v>
      </c>
    </row>
    <row r="27270">
      <c r="B27270" s="17" t="s">
        <v>477</v>
      </c>
      <c r="K27270" s="18" t="s">
        <v>477</v>
      </c>
    </row>
    <row r="27271">
      <c r="B27271" s="17" t="s">
        <v>477</v>
      </c>
      <c r="K27271" s="18" t="s">
        <v>477</v>
      </c>
    </row>
    <row r="27272">
      <c r="B27272" s="17" t="s">
        <v>477</v>
      </c>
      <c r="K27272" s="18" t="s">
        <v>477</v>
      </c>
    </row>
    <row r="27273">
      <c r="B27273" s="17" t="s">
        <v>477</v>
      </c>
      <c r="K27273" s="18" t="s">
        <v>477</v>
      </c>
    </row>
    <row r="27274">
      <c r="B27274" s="17" t="s">
        <v>477</v>
      </c>
      <c r="K27274" s="18" t="s">
        <v>477</v>
      </c>
    </row>
    <row r="27275">
      <c r="B27275" s="17" t="s">
        <v>477</v>
      </c>
      <c r="K27275" s="18" t="s">
        <v>477</v>
      </c>
    </row>
    <row r="27276">
      <c r="B27276" s="17" t="s">
        <v>477</v>
      </c>
      <c r="K27276" s="18" t="s">
        <v>477</v>
      </c>
    </row>
    <row r="27277">
      <c r="B27277" s="17" t="s">
        <v>477</v>
      </c>
      <c r="K27277" s="18" t="s">
        <v>477</v>
      </c>
    </row>
    <row r="27278">
      <c r="B27278" s="17" t="s">
        <v>477</v>
      </c>
      <c r="K27278" s="18" t="s">
        <v>477</v>
      </c>
    </row>
    <row r="27279">
      <c r="B27279" s="17" t="s">
        <v>477</v>
      </c>
      <c r="K27279" s="18" t="s">
        <v>477</v>
      </c>
    </row>
    <row r="27280">
      <c r="B27280" s="17" t="s">
        <v>477</v>
      </c>
      <c r="K27280" s="18" t="s">
        <v>477</v>
      </c>
    </row>
    <row r="27281">
      <c r="B27281" s="17" t="s">
        <v>477</v>
      </c>
      <c r="K27281" s="18" t="s">
        <v>477</v>
      </c>
    </row>
    <row r="27282">
      <c r="B27282" s="17" t="s">
        <v>477</v>
      </c>
      <c r="K27282" s="18" t="s">
        <v>477</v>
      </c>
    </row>
    <row r="27283">
      <c r="B27283" s="17" t="s">
        <v>477</v>
      </c>
      <c r="K27283" s="18" t="s">
        <v>477</v>
      </c>
    </row>
    <row r="27284">
      <c r="B27284" s="17" t="s">
        <v>477</v>
      </c>
      <c r="K27284" s="18" t="s">
        <v>477</v>
      </c>
    </row>
    <row r="27285">
      <c r="B27285" s="17" t="s">
        <v>477</v>
      </c>
      <c r="K27285" s="18" t="s">
        <v>477</v>
      </c>
    </row>
    <row r="27286">
      <c r="B27286" s="17" t="s">
        <v>477</v>
      </c>
      <c r="K27286" s="18" t="s">
        <v>477</v>
      </c>
    </row>
    <row r="27287">
      <c r="B27287" s="17" t="s">
        <v>477</v>
      </c>
      <c r="K27287" s="18" t="s">
        <v>477</v>
      </c>
    </row>
    <row r="27288">
      <c r="B27288" s="17" t="s">
        <v>477</v>
      </c>
      <c r="K27288" s="18" t="s">
        <v>477</v>
      </c>
    </row>
    <row r="27289">
      <c r="B27289" s="17" t="s">
        <v>477</v>
      </c>
      <c r="K27289" s="18" t="s">
        <v>477</v>
      </c>
    </row>
    <row r="27290">
      <c r="B27290" s="17" t="s">
        <v>477</v>
      </c>
      <c r="K27290" s="18" t="s">
        <v>477</v>
      </c>
    </row>
    <row r="27291">
      <c r="B27291" s="17" t="s">
        <v>477</v>
      </c>
      <c r="K27291" s="18" t="s">
        <v>477</v>
      </c>
    </row>
    <row r="27292">
      <c r="B27292" s="17" t="s">
        <v>477</v>
      </c>
      <c r="K27292" s="18" t="s">
        <v>477</v>
      </c>
    </row>
    <row r="27293">
      <c r="B27293" s="17" t="s">
        <v>477</v>
      </c>
      <c r="K27293" s="18" t="s">
        <v>477</v>
      </c>
    </row>
    <row r="27294">
      <c r="B27294" s="17" t="s">
        <v>477</v>
      </c>
      <c r="K27294" s="18" t="s">
        <v>477</v>
      </c>
    </row>
    <row r="27295">
      <c r="B27295" s="17" t="s">
        <v>477</v>
      </c>
      <c r="K27295" s="18" t="s">
        <v>477</v>
      </c>
    </row>
    <row r="27296">
      <c r="B27296" s="17" t="s">
        <v>477</v>
      </c>
      <c r="K27296" s="18" t="s">
        <v>477</v>
      </c>
    </row>
    <row r="27297">
      <c r="B27297" s="17" t="s">
        <v>477</v>
      </c>
      <c r="K27297" s="18" t="s">
        <v>477</v>
      </c>
    </row>
    <row r="27298">
      <c r="B27298" s="17" t="s">
        <v>477</v>
      </c>
      <c r="K27298" s="18" t="s">
        <v>477</v>
      </c>
    </row>
    <row r="27299">
      <c r="B27299" s="17" t="s">
        <v>477</v>
      </c>
      <c r="K27299" s="18" t="s">
        <v>477</v>
      </c>
    </row>
    <row r="27300">
      <c r="B27300" s="17" t="s">
        <v>477</v>
      </c>
      <c r="K27300" s="18" t="s">
        <v>477</v>
      </c>
    </row>
    <row r="27301">
      <c r="B27301" s="17" t="s">
        <v>477</v>
      </c>
      <c r="K27301" s="18" t="s">
        <v>477</v>
      </c>
    </row>
    <row r="27302">
      <c r="B27302" s="17" t="s">
        <v>477</v>
      </c>
      <c r="K27302" s="18" t="s">
        <v>477</v>
      </c>
    </row>
    <row r="27303">
      <c r="B27303" s="17" t="s">
        <v>477</v>
      </c>
      <c r="K27303" s="18" t="s">
        <v>477</v>
      </c>
    </row>
    <row r="27304">
      <c r="B27304" s="17" t="s">
        <v>477</v>
      </c>
      <c r="K27304" s="18" t="s">
        <v>477</v>
      </c>
    </row>
    <row r="27305">
      <c r="B27305" s="17" t="s">
        <v>477</v>
      </c>
      <c r="K27305" s="18" t="s">
        <v>477</v>
      </c>
    </row>
    <row r="27306">
      <c r="B27306" s="17" t="s">
        <v>477</v>
      </c>
      <c r="K27306" s="18" t="s">
        <v>477</v>
      </c>
    </row>
    <row r="27307">
      <c r="B27307" s="17" t="s">
        <v>477</v>
      </c>
      <c r="K27307" s="18" t="s">
        <v>477</v>
      </c>
    </row>
    <row r="27308">
      <c r="B27308" s="17" t="s">
        <v>477</v>
      </c>
      <c r="K27308" s="18" t="s">
        <v>477</v>
      </c>
    </row>
    <row r="27309">
      <c r="B27309" s="17" t="s">
        <v>477</v>
      </c>
      <c r="K27309" s="18" t="s">
        <v>477</v>
      </c>
    </row>
    <row r="27310">
      <c r="B27310" s="17" t="s">
        <v>477</v>
      </c>
      <c r="K27310" s="18" t="s">
        <v>477</v>
      </c>
    </row>
    <row r="27311">
      <c r="B27311" s="17" t="s">
        <v>477</v>
      </c>
      <c r="K27311" s="18" t="s">
        <v>477</v>
      </c>
    </row>
    <row r="27312">
      <c r="B27312" s="17" t="s">
        <v>477</v>
      </c>
      <c r="K27312" s="18" t="s">
        <v>477</v>
      </c>
    </row>
    <row r="27313">
      <c r="B27313" s="17" t="s">
        <v>477</v>
      </c>
      <c r="K27313" s="18" t="s">
        <v>477</v>
      </c>
    </row>
    <row r="27314">
      <c r="B27314" s="17" t="s">
        <v>477</v>
      </c>
      <c r="K27314" s="18" t="s">
        <v>477</v>
      </c>
    </row>
    <row r="27315">
      <c r="B27315" s="17" t="s">
        <v>477</v>
      </c>
      <c r="K27315" s="18" t="s">
        <v>477</v>
      </c>
    </row>
    <row r="27316">
      <c r="B27316" s="17" t="s">
        <v>477</v>
      </c>
      <c r="K27316" s="18" t="s">
        <v>477</v>
      </c>
    </row>
    <row r="27317">
      <c r="B27317" s="17" t="s">
        <v>477</v>
      </c>
      <c r="K27317" s="18" t="s">
        <v>477</v>
      </c>
    </row>
    <row r="27318">
      <c r="B27318" s="17" t="s">
        <v>477</v>
      </c>
      <c r="K27318" s="18" t="s">
        <v>477</v>
      </c>
    </row>
    <row r="27319">
      <c r="B27319" s="17" t="s">
        <v>477</v>
      </c>
      <c r="K27319" s="18" t="s">
        <v>477</v>
      </c>
    </row>
    <row r="27320">
      <c r="B27320" s="17" t="s">
        <v>477</v>
      </c>
      <c r="K27320" s="18" t="s">
        <v>477</v>
      </c>
    </row>
    <row r="27321">
      <c r="B27321" s="17" t="s">
        <v>477</v>
      </c>
      <c r="K27321" s="18" t="s">
        <v>477</v>
      </c>
    </row>
    <row r="27322">
      <c r="B27322" s="17" t="s">
        <v>477</v>
      </c>
      <c r="K27322" s="18" t="s">
        <v>477</v>
      </c>
    </row>
    <row r="27323">
      <c r="B27323" s="17" t="s">
        <v>477</v>
      </c>
      <c r="K27323" s="18" t="s">
        <v>477</v>
      </c>
    </row>
    <row r="27324">
      <c r="B27324" s="17" t="s">
        <v>477</v>
      </c>
      <c r="K27324" s="18" t="s">
        <v>477</v>
      </c>
    </row>
    <row r="27325">
      <c r="B27325" s="17" t="s">
        <v>477</v>
      </c>
      <c r="K27325" s="18" t="s">
        <v>477</v>
      </c>
    </row>
    <row r="27326">
      <c r="B27326" s="17" t="s">
        <v>477</v>
      </c>
      <c r="K27326" s="18" t="s">
        <v>477</v>
      </c>
    </row>
    <row r="27327">
      <c r="B27327" s="17" t="s">
        <v>477</v>
      </c>
      <c r="K27327" s="18" t="s">
        <v>477</v>
      </c>
    </row>
    <row r="27328">
      <c r="B27328" s="17" t="s">
        <v>477</v>
      </c>
      <c r="K27328" s="18" t="s">
        <v>477</v>
      </c>
    </row>
    <row r="27329">
      <c r="B27329" s="17" t="s">
        <v>477</v>
      </c>
      <c r="K27329" s="18" t="s">
        <v>477</v>
      </c>
    </row>
    <row r="27330">
      <c r="B27330" s="17" t="s">
        <v>477</v>
      </c>
      <c r="K27330" s="18" t="s">
        <v>477</v>
      </c>
    </row>
    <row r="27331">
      <c r="B27331" s="17" t="s">
        <v>477</v>
      </c>
      <c r="K27331" s="18" t="s">
        <v>477</v>
      </c>
    </row>
    <row r="27332">
      <c r="B27332" s="17" t="s">
        <v>477</v>
      </c>
      <c r="K27332" s="18" t="s">
        <v>477</v>
      </c>
    </row>
    <row r="27333">
      <c r="B27333" s="17" t="s">
        <v>477</v>
      </c>
      <c r="K27333" s="18" t="s">
        <v>477</v>
      </c>
    </row>
    <row r="27334">
      <c r="B27334" s="17" t="s">
        <v>477</v>
      </c>
      <c r="K27334" s="18" t="s">
        <v>477</v>
      </c>
    </row>
    <row r="27335">
      <c r="B27335" s="17" t="s">
        <v>477</v>
      </c>
      <c r="K27335" s="18" t="s">
        <v>477</v>
      </c>
    </row>
    <row r="27336">
      <c r="B27336" s="17" t="s">
        <v>477</v>
      </c>
      <c r="K27336" s="18" t="s">
        <v>477</v>
      </c>
    </row>
    <row r="27337">
      <c r="B27337" s="17" t="s">
        <v>477</v>
      </c>
      <c r="K27337" s="18" t="s">
        <v>477</v>
      </c>
    </row>
    <row r="27338">
      <c r="B27338" s="17" t="s">
        <v>477</v>
      </c>
      <c r="K27338" s="18" t="s">
        <v>477</v>
      </c>
    </row>
    <row r="27339">
      <c r="B27339" s="17" t="s">
        <v>477</v>
      </c>
      <c r="K27339" s="18" t="s">
        <v>477</v>
      </c>
    </row>
    <row r="27340">
      <c r="B27340" s="17" t="s">
        <v>477</v>
      </c>
      <c r="K27340" s="18" t="s">
        <v>477</v>
      </c>
    </row>
    <row r="27341">
      <c r="B27341" s="17" t="s">
        <v>477</v>
      </c>
      <c r="K27341" s="18" t="s">
        <v>477</v>
      </c>
    </row>
    <row r="27342">
      <c r="B27342" s="17" t="s">
        <v>477</v>
      </c>
      <c r="K27342" s="18" t="s">
        <v>477</v>
      </c>
    </row>
    <row r="27343">
      <c r="B27343" s="17" t="s">
        <v>477</v>
      </c>
      <c r="K27343" s="18" t="s">
        <v>477</v>
      </c>
    </row>
    <row r="27344">
      <c r="B27344" s="17" t="s">
        <v>477</v>
      </c>
      <c r="K27344" s="18" t="s">
        <v>477</v>
      </c>
    </row>
    <row r="27345">
      <c r="B27345" s="17" t="s">
        <v>477</v>
      </c>
      <c r="K27345" s="18" t="s">
        <v>477</v>
      </c>
    </row>
    <row r="27346">
      <c r="B27346" s="17" t="s">
        <v>477</v>
      </c>
      <c r="K27346" s="18" t="s">
        <v>477</v>
      </c>
    </row>
    <row r="27347">
      <c r="B27347" s="17" t="s">
        <v>477</v>
      </c>
      <c r="K27347" s="18" t="s">
        <v>477</v>
      </c>
    </row>
    <row r="27348">
      <c r="B27348" s="17" t="s">
        <v>477</v>
      </c>
      <c r="K27348" s="18" t="s">
        <v>477</v>
      </c>
    </row>
    <row r="27349">
      <c r="B27349" s="17" t="s">
        <v>477</v>
      </c>
      <c r="K27349" s="18" t="s">
        <v>477</v>
      </c>
    </row>
    <row r="27350">
      <c r="B27350" s="17" t="s">
        <v>477</v>
      </c>
      <c r="K27350" s="18" t="s">
        <v>477</v>
      </c>
    </row>
    <row r="27351">
      <c r="B27351" s="17" t="s">
        <v>477</v>
      </c>
      <c r="K27351" s="18" t="s">
        <v>477</v>
      </c>
    </row>
    <row r="27352">
      <c r="B27352" s="17" t="s">
        <v>477</v>
      </c>
      <c r="K27352" s="18" t="s">
        <v>477</v>
      </c>
    </row>
    <row r="27353">
      <c r="B27353" s="17" t="s">
        <v>477</v>
      </c>
      <c r="K27353" s="18" t="s">
        <v>477</v>
      </c>
    </row>
    <row r="27354">
      <c r="B27354" s="17" t="s">
        <v>477</v>
      </c>
      <c r="K27354" s="18" t="s">
        <v>477</v>
      </c>
    </row>
    <row r="27355">
      <c r="B27355" s="17" t="s">
        <v>477</v>
      </c>
      <c r="K27355" s="18" t="s">
        <v>477</v>
      </c>
    </row>
    <row r="27356">
      <c r="B27356" s="17" t="s">
        <v>477</v>
      </c>
      <c r="K27356" s="18" t="s">
        <v>477</v>
      </c>
    </row>
    <row r="27357">
      <c r="B27357" s="17" t="s">
        <v>477</v>
      </c>
      <c r="K27357" s="18" t="s">
        <v>477</v>
      </c>
    </row>
    <row r="27358">
      <c r="B27358" s="17" t="s">
        <v>477</v>
      </c>
      <c r="K27358" s="18" t="s">
        <v>477</v>
      </c>
    </row>
    <row r="27359">
      <c r="B27359" s="17" t="s">
        <v>477</v>
      </c>
      <c r="K27359" s="18" t="s">
        <v>477</v>
      </c>
    </row>
    <row r="27360">
      <c r="B27360" s="17" t="s">
        <v>477</v>
      </c>
      <c r="K27360" s="18" t="s">
        <v>477</v>
      </c>
    </row>
    <row r="27361">
      <c r="B27361" s="17" t="s">
        <v>477</v>
      </c>
      <c r="K27361" s="18" t="s">
        <v>477</v>
      </c>
    </row>
    <row r="27362">
      <c r="B27362" s="17" t="s">
        <v>477</v>
      </c>
      <c r="K27362" s="18" t="s">
        <v>477</v>
      </c>
    </row>
    <row r="27363">
      <c r="B27363" s="17" t="s">
        <v>477</v>
      </c>
      <c r="K27363" s="18" t="s">
        <v>477</v>
      </c>
    </row>
    <row r="27364">
      <c r="B27364" s="17" t="s">
        <v>477</v>
      </c>
      <c r="K27364" s="18" t="s">
        <v>477</v>
      </c>
    </row>
    <row r="27365">
      <c r="B27365" s="17" t="s">
        <v>477</v>
      </c>
      <c r="K27365" s="18" t="s">
        <v>477</v>
      </c>
    </row>
    <row r="27366">
      <c r="B27366" s="17" t="s">
        <v>477</v>
      </c>
      <c r="K27366" s="18" t="s">
        <v>477</v>
      </c>
    </row>
    <row r="27367">
      <c r="B27367" s="17" t="s">
        <v>477</v>
      </c>
      <c r="K27367" s="18" t="s">
        <v>477</v>
      </c>
    </row>
    <row r="27368">
      <c r="B27368" s="17" t="s">
        <v>477</v>
      </c>
      <c r="K27368" s="18" t="s">
        <v>477</v>
      </c>
    </row>
    <row r="27369">
      <c r="B27369" s="17" t="s">
        <v>477</v>
      </c>
      <c r="K27369" s="18" t="s">
        <v>477</v>
      </c>
    </row>
    <row r="27370">
      <c r="B27370" s="17" t="s">
        <v>477</v>
      </c>
      <c r="K27370" s="18" t="s">
        <v>477</v>
      </c>
    </row>
    <row r="27371">
      <c r="B27371" s="17" t="s">
        <v>477</v>
      </c>
      <c r="K27371" s="18" t="s">
        <v>477</v>
      </c>
    </row>
    <row r="27372">
      <c r="B27372" s="17" t="s">
        <v>477</v>
      </c>
      <c r="K27372" s="18" t="s">
        <v>477</v>
      </c>
    </row>
    <row r="27373">
      <c r="B27373" s="17" t="s">
        <v>477</v>
      </c>
      <c r="K27373" s="18" t="s">
        <v>477</v>
      </c>
    </row>
    <row r="27374">
      <c r="B27374" s="17" t="s">
        <v>477</v>
      </c>
      <c r="K27374" s="18" t="s">
        <v>477</v>
      </c>
    </row>
    <row r="27375">
      <c r="B27375" s="17" t="s">
        <v>477</v>
      </c>
      <c r="K27375" s="18" t="s">
        <v>477</v>
      </c>
    </row>
    <row r="27376">
      <c r="B27376" s="17" t="s">
        <v>477</v>
      </c>
      <c r="K27376" s="18" t="s">
        <v>477</v>
      </c>
    </row>
    <row r="27377">
      <c r="B27377" s="17" t="s">
        <v>477</v>
      </c>
      <c r="K27377" s="18" t="s">
        <v>477</v>
      </c>
    </row>
    <row r="27378">
      <c r="B27378" s="17" t="s">
        <v>477</v>
      </c>
      <c r="K27378" s="18" t="s">
        <v>477</v>
      </c>
    </row>
    <row r="27379">
      <c r="B27379" s="17" t="s">
        <v>477</v>
      </c>
      <c r="K27379" s="18" t="s">
        <v>477</v>
      </c>
    </row>
    <row r="27380">
      <c r="B27380" s="17" t="s">
        <v>477</v>
      </c>
      <c r="K27380" s="18" t="s">
        <v>477</v>
      </c>
    </row>
    <row r="27381">
      <c r="B27381" s="17" t="s">
        <v>477</v>
      </c>
      <c r="K27381" s="18" t="s">
        <v>477</v>
      </c>
    </row>
    <row r="27382">
      <c r="B27382" s="17" t="s">
        <v>477</v>
      </c>
      <c r="K27382" s="18" t="s">
        <v>477</v>
      </c>
    </row>
    <row r="27383">
      <c r="B27383" s="17" t="s">
        <v>477</v>
      </c>
      <c r="K27383" s="18" t="s">
        <v>477</v>
      </c>
    </row>
    <row r="27384">
      <c r="B27384" s="17" t="s">
        <v>477</v>
      </c>
      <c r="K27384" s="18" t="s">
        <v>477</v>
      </c>
    </row>
    <row r="27385">
      <c r="B27385" s="17" t="s">
        <v>477</v>
      </c>
      <c r="K27385" s="18" t="s">
        <v>477</v>
      </c>
    </row>
    <row r="27386">
      <c r="B27386" s="17" t="s">
        <v>477</v>
      </c>
      <c r="K27386" s="18" t="s">
        <v>477</v>
      </c>
    </row>
    <row r="27387">
      <c r="B27387" s="17" t="s">
        <v>477</v>
      </c>
      <c r="K27387" s="18" t="s">
        <v>477</v>
      </c>
    </row>
    <row r="27388">
      <c r="B27388" s="17" t="s">
        <v>477</v>
      </c>
      <c r="K27388" s="18" t="s">
        <v>477</v>
      </c>
    </row>
    <row r="27389">
      <c r="B27389" s="17" t="s">
        <v>477</v>
      </c>
      <c r="K27389" s="18" t="s">
        <v>477</v>
      </c>
    </row>
    <row r="27390">
      <c r="B27390" s="17" t="s">
        <v>477</v>
      </c>
      <c r="K27390" s="18" t="s">
        <v>477</v>
      </c>
    </row>
    <row r="27391">
      <c r="B27391" s="17" t="s">
        <v>477</v>
      </c>
      <c r="K27391" s="18" t="s">
        <v>477</v>
      </c>
    </row>
    <row r="27392">
      <c r="B27392" s="17" t="s">
        <v>477</v>
      </c>
      <c r="K27392" s="18" t="s">
        <v>477</v>
      </c>
    </row>
    <row r="27393">
      <c r="B27393" s="17" t="s">
        <v>477</v>
      </c>
      <c r="K27393" s="18" t="s">
        <v>477</v>
      </c>
    </row>
    <row r="27394">
      <c r="B27394" s="17" t="s">
        <v>477</v>
      </c>
      <c r="K27394" s="18" t="s">
        <v>477</v>
      </c>
    </row>
    <row r="27395">
      <c r="B27395" s="17" t="s">
        <v>477</v>
      </c>
      <c r="K27395" s="18" t="s">
        <v>477</v>
      </c>
    </row>
    <row r="27396">
      <c r="B27396" s="17" t="s">
        <v>477</v>
      </c>
      <c r="K27396" s="18" t="s">
        <v>477</v>
      </c>
    </row>
    <row r="27397">
      <c r="B27397" s="17" t="s">
        <v>477</v>
      </c>
      <c r="K27397" s="18" t="s">
        <v>477</v>
      </c>
    </row>
    <row r="27398">
      <c r="B27398" s="17" t="s">
        <v>477</v>
      </c>
      <c r="K27398" s="18" t="s">
        <v>477</v>
      </c>
    </row>
    <row r="27399">
      <c r="B27399" s="17" t="s">
        <v>477</v>
      </c>
      <c r="K27399" s="18" t="s">
        <v>477</v>
      </c>
    </row>
    <row r="27400">
      <c r="B27400" s="17" t="s">
        <v>477</v>
      </c>
      <c r="K27400" s="18" t="s">
        <v>477</v>
      </c>
    </row>
    <row r="27401">
      <c r="B27401" s="17" t="s">
        <v>477</v>
      </c>
      <c r="K27401" s="18" t="s">
        <v>477</v>
      </c>
    </row>
    <row r="27402">
      <c r="B27402" s="17" t="s">
        <v>477</v>
      </c>
      <c r="K27402" s="18" t="s">
        <v>477</v>
      </c>
    </row>
    <row r="27403">
      <c r="B27403" s="17" t="s">
        <v>477</v>
      </c>
      <c r="K27403" s="18" t="s">
        <v>477</v>
      </c>
    </row>
    <row r="27404">
      <c r="B27404" s="17" t="s">
        <v>477</v>
      </c>
      <c r="K27404" s="18" t="s">
        <v>477</v>
      </c>
    </row>
    <row r="27405">
      <c r="B27405" s="17" t="s">
        <v>477</v>
      </c>
      <c r="K27405" s="18" t="s">
        <v>477</v>
      </c>
    </row>
    <row r="27406">
      <c r="B27406" s="17" t="s">
        <v>477</v>
      </c>
      <c r="K27406" s="18" t="s">
        <v>477</v>
      </c>
    </row>
    <row r="27407">
      <c r="B27407" s="17" t="s">
        <v>477</v>
      </c>
      <c r="K27407" s="18" t="s">
        <v>477</v>
      </c>
    </row>
    <row r="27408">
      <c r="B27408" s="17" t="s">
        <v>477</v>
      </c>
      <c r="K27408" s="18" t="s">
        <v>477</v>
      </c>
    </row>
    <row r="27409">
      <c r="B27409" s="17" t="s">
        <v>477</v>
      </c>
      <c r="K27409" s="18" t="s">
        <v>477</v>
      </c>
    </row>
    <row r="27410">
      <c r="B27410" s="17" t="s">
        <v>477</v>
      </c>
      <c r="K27410" s="18" t="s">
        <v>477</v>
      </c>
    </row>
    <row r="27411">
      <c r="B27411" s="17" t="s">
        <v>477</v>
      </c>
      <c r="K27411" s="18" t="s">
        <v>477</v>
      </c>
    </row>
    <row r="27412">
      <c r="B27412" s="17" t="s">
        <v>477</v>
      </c>
      <c r="K27412" s="18" t="s">
        <v>477</v>
      </c>
    </row>
    <row r="27413">
      <c r="B27413" s="17" t="s">
        <v>477</v>
      </c>
      <c r="K27413" s="18" t="s">
        <v>477</v>
      </c>
    </row>
    <row r="27414">
      <c r="B27414" s="17" t="s">
        <v>477</v>
      </c>
      <c r="K27414" s="18" t="s">
        <v>477</v>
      </c>
    </row>
    <row r="27415">
      <c r="B27415" s="17" t="s">
        <v>477</v>
      </c>
      <c r="K27415" s="18" t="s">
        <v>477</v>
      </c>
    </row>
    <row r="27416">
      <c r="B27416" s="17" t="s">
        <v>477</v>
      </c>
      <c r="K27416" s="18" t="s">
        <v>477</v>
      </c>
    </row>
    <row r="27417">
      <c r="B27417" s="17" t="s">
        <v>477</v>
      </c>
      <c r="K27417" s="18" t="s">
        <v>477</v>
      </c>
    </row>
    <row r="27418">
      <c r="B27418" s="17" t="s">
        <v>477</v>
      </c>
      <c r="K27418" s="18" t="s">
        <v>477</v>
      </c>
    </row>
    <row r="27419">
      <c r="B27419" s="17" t="s">
        <v>477</v>
      </c>
      <c r="K27419" s="18" t="s">
        <v>477</v>
      </c>
    </row>
    <row r="27420">
      <c r="B27420" s="17" t="s">
        <v>477</v>
      </c>
      <c r="K27420" s="18" t="s">
        <v>477</v>
      </c>
    </row>
    <row r="27421">
      <c r="B27421" s="17" t="s">
        <v>477</v>
      </c>
      <c r="K27421" s="18" t="s">
        <v>477</v>
      </c>
    </row>
    <row r="27422">
      <c r="B27422" s="17" t="s">
        <v>477</v>
      </c>
      <c r="K27422" s="18" t="s">
        <v>477</v>
      </c>
    </row>
    <row r="27423">
      <c r="B27423" s="17" t="s">
        <v>477</v>
      </c>
      <c r="K27423" s="18" t="s">
        <v>477</v>
      </c>
    </row>
    <row r="27424">
      <c r="B27424" s="17" t="s">
        <v>477</v>
      </c>
      <c r="K27424" s="18" t="s">
        <v>477</v>
      </c>
    </row>
    <row r="27425">
      <c r="B27425" s="17" t="s">
        <v>477</v>
      </c>
      <c r="K27425" s="18" t="s">
        <v>477</v>
      </c>
    </row>
    <row r="27426">
      <c r="B27426" s="17" t="s">
        <v>477</v>
      </c>
      <c r="K27426" s="18" t="s">
        <v>477</v>
      </c>
    </row>
    <row r="27427">
      <c r="B27427" s="17" t="s">
        <v>477</v>
      </c>
      <c r="K27427" s="18" t="s">
        <v>477</v>
      </c>
    </row>
    <row r="27428">
      <c r="B27428" s="17" t="s">
        <v>477</v>
      </c>
      <c r="K27428" s="18" t="s">
        <v>477</v>
      </c>
    </row>
    <row r="27429">
      <c r="B27429" s="17" t="s">
        <v>477</v>
      </c>
      <c r="K27429" s="18" t="s">
        <v>477</v>
      </c>
    </row>
    <row r="27430">
      <c r="B27430" s="17" t="s">
        <v>477</v>
      </c>
      <c r="K27430" s="18" t="s">
        <v>477</v>
      </c>
    </row>
    <row r="27431">
      <c r="B27431" s="17" t="s">
        <v>477</v>
      </c>
      <c r="K27431" s="18" t="s">
        <v>477</v>
      </c>
    </row>
    <row r="27432">
      <c r="B27432" s="17" t="s">
        <v>477</v>
      </c>
      <c r="K27432" s="18" t="s">
        <v>477</v>
      </c>
    </row>
    <row r="27433">
      <c r="B27433" s="17" t="s">
        <v>477</v>
      </c>
      <c r="K27433" s="18" t="s">
        <v>477</v>
      </c>
    </row>
    <row r="27434">
      <c r="B27434" s="17" t="s">
        <v>477</v>
      </c>
      <c r="K27434" s="18" t="s">
        <v>477</v>
      </c>
    </row>
    <row r="27435">
      <c r="B27435" s="17" t="s">
        <v>477</v>
      </c>
      <c r="K27435" s="18" t="s">
        <v>477</v>
      </c>
    </row>
    <row r="27436">
      <c r="B27436" s="17" t="s">
        <v>477</v>
      </c>
      <c r="K27436" s="18" t="s">
        <v>477</v>
      </c>
    </row>
    <row r="27437">
      <c r="B27437" s="17" t="s">
        <v>477</v>
      </c>
      <c r="K27437" s="18" t="s">
        <v>477</v>
      </c>
    </row>
    <row r="27438">
      <c r="B27438" s="17" t="s">
        <v>477</v>
      </c>
      <c r="K27438" s="18" t="s">
        <v>477</v>
      </c>
    </row>
    <row r="27439">
      <c r="B27439" s="17" t="s">
        <v>477</v>
      </c>
      <c r="K27439" s="18" t="s">
        <v>477</v>
      </c>
    </row>
    <row r="27440">
      <c r="B27440" s="17" t="s">
        <v>477</v>
      </c>
      <c r="K27440" s="18" t="s">
        <v>477</v>
      </c>
    </row>
    <row r="27441">
      <c r="B27441" s="17" t="s">
        <v>477</v>
      </c>
      <c r="K27441" s="18" t="s">
        <v>477</v>
      </c>
    </row>
    <row r="27442">
      <c r="B27442" s="17" t="s">
        <v>477</v>
      </c>
      <c r="K27442" s="18" t="s">
        <v>477</v>
      </c>
    </row>
    <row r="27443">
      <c r="B27443" s="17" t="s">
        <v>477</v>
      </c>
      <c r="K27443" s="18" t="s">
        <v>477</v>
      </c>
    </row>
    <row r="27444">
      <c r="B27444" s="17" t="s">
        <v>477</v>
      </c>
      <c r="K27444" s="18" t="s">
        <v>477</v>
      </c>
    </row>
    <row r="27445">
      <c r="B27445" s="17" t="s">
        <v>477</v>
      </c>
      <c r="K27445" s="18" t="s">
        <v>477</v>
      </c>
    </row>
    <row r="27446">
      <c r="B27446" s="17" t="s">
        <v>477</v>
      </c>
      <c r="K27446" s="18" t="s">
        <v>477</v>
      </c>
    </row>
    <row r="27447">
      <c r="B27447" s="17" t="s">
        <v>477</v>
      </c>
      <c r="K27447" s="18" t="s">
        <v>477</v>
      </c>
    </row>
    <row r="27448">
      <c r="B27448" s="17" t="s">
        <v>477</v>
      </c>
      <c r="K27448" s="18" t="s">
        <v>477</v>
      </c>
    </row>
    <row r="27449">
      <c r="B27449" s="17" t="s">
        <v>477</v>
      </c>
      <c r="K27449" s="18" t="s">
        <v>477</v>
      </c>
    </row>
    <row r="27450">
      <c r="B27450" s="17" t="s">
        <v>477</v>
      </c>
      <c r="K27450" s="18" t="s">
        <v>477</v>
      </c>
    </row>
    <row r="27451">
      <c r="B27451" s="17" t="s">
        <v>477</v>
      </c>
      <c r="K27451" s="18" t="s">
        <v>477</v>
      </c>
    </row>
    <row r="27452">
      <c r="B27452" s="17" t="s">
        <v>477</v>
      </c>
      <c r="K27452" s="18" t="s">
        <v>477</v>
      </c>
    </row>
    <row r="27453">
      <c r="B27453" s="17" t="s">
        <v>477</v>
      </c>
      <c r="K27453" s="18" t="s">
        <v>477</v>
      </c>
    </row>
    <row r="27454">
      <c r="B27454" s="17" t="s">
        <v>477</v>
      </c>
      <c r="K27454" s="18" t="s">
        <v>477</v>
      </c>
    </row>
    <row r="27455">
      <c r="B27455" s="17" t="s">
        <v>477</v>
      </c>
      <c r="K27455" s="18" t="s">
        <v>477</v>
      </c>
    </row>
    <row r="27456">
      <c r="B27456" s="17" t="s">
        <v>477</v>
      </c>
      <c r="K27456" s="18" t="s">
        <v>477</v>
      </c>
    </row>
    <row r="27457">
      <c r="B27457" s="17" t="s">
        <v>477</v>
      </c>
      <c r="K27457" s="18" t="s">
        <v>477</v>
      </c>
    </row>
    <row r="27458">
      <c r="B27458" s="17" t="s">
        <v>477</v>
      </c>
      <c r="K27458" s="18" t="s">
        <v>477</v>
      </c>
    </row>
    <row r="27459">
      <c r="B27459" s="17" t="s">
        <v>477</v>
      </c>
      <c r="K27459" s="18" t="s">
        <v>477</v>
      </c>
    </row>
    <row r="27460">
      <c r="B27460" s="17" t="s">
        <v>477</v>
      </c>
      <c r="K27460" s="18" t="s">
        <v>477</v>
      </c>
    </row>
    <row r="27461">
      <c r="B27461" s="17" t="s">
        <v>477</v>
      </c>
      <c r="K27461" s="18" t="s">
        <v>477</v>
      </c>
    </row>
    <row r="27462">
      <c r="B27462" s="17" t="s">
        <v>477</v>
      </c>
      <c r="K27462" s="18" t="s">
        <v>477</v>
      </c>
    </row>
    <row r="27463">
      <c r="B27463" s="17" t="s">
        <v>477</v>
      </c>
      <c r="K27463" s="18" t="s">
        <v>477</v>
      </c>
    </row>
    <row r="27464">
      <c r="B27464" s="17" t="s">
        <v>477</v>
      </c>
      <c r="K27464" s="18" t="s">
        <v>477</v>
      </c>
    </row>
    <row r="27465">
      <c r="B27465" s="17" t="s">
        <v>477</v>
      </c>
      <c r="K27465" s="18" t="s">
        <v>477</v>
      </c>
    </row>
    <row r="27466">
      <c r="B27466" s="17" t="s">
        <v>477</v>
      </c>
      <c r="K27466" s="18" t="s">
        <v>477</v>
      </c>
    </row>
    <row r="27467">
      <c r="B27467" s="17" t="s">
        <v>477</v>
      </c>
      <c r="K27467" s="18" t="s">
        <v>477</v>
      </c>
    </row>
    <row r="27468">
      <c r="B27468" s="17" t="s">
        <v>477</v>
      </c>
      <c r="K27468" s="18" t="s">
        <v>477</v>
      </c>
    </row>
    <row r="27469">
      <c r="B27469" s="17" t="s">
        <v>477</v>
      </c>
      <c r="K27469" s="18" t="s">
        <v>477</v>
      </c>
    </row>
    <row r="27470">
      <c r="B27470" s="17" t="s">
        <v>477</v>
      </c>
      <c r="K27470" s="18" t="s">
        <v>477</v>
      </c>
    </row>
    <row r="27471">
      <c r="B27471" s="17" t="s">
        <v>477</v>
      </c>
      <c r="K27471" s="18" t="s">
        <v>477</v>
      </c>
    </row>
    <row r="27472">
      <c r="B27472" s="17" t="s">
        <v>477</v>
      </c>
      <c r="K27472" s="18" t="s">
        <v>477</v>
      </c>
    </row>
    <row r="27473">
      <c r="B27473" s="17" t="s">
        <v>477</v>
      </c>
      <c r="K27473" s="18" t="s">
        <v>477</v>
      </c>
    </row>
    <row r="27474">
      <c r="B27474" s="17" t="s">
        <v>477</v>
      </c>
      <c r="K27474" s="18" t="s">
        <v>477</v>
      </c>
    </row>
    <row r="27475">
      <c r="B27475" s="17" t="s">
        <v>477</v>
      </c>
      <c r="K27475" s="18" t="s">
        <v>477</v>
      </c>
    </row>
    <row r="27476">
      <c r="B27476" s="17" t="s">
        <v>477</v>
      </c>
      <c r="K27476" s="18" t="s">
        <v>477</v>
      </c>
    </row>
    <row r="27477">
      <c r="B27477" s="17" t="s">
        <v>477</v>
      </c>
      <c r="K27477" s="18" t="s">
        <v>477</v>
      </c>
    </row>
    <row r="27478">
      <c r="B27478" s="17" t="s">
        <v>477</v>
      </c>
      <c r="K27478" s="18" t="s">
        <v>477</v>
      </c>
    </row>
    <row r="27479">
      <c r="B27479" s="17" t="s">
        <v>477</v>
      </c>
      <c r="K27479" s="18" t="s">
        <v>477</v>
      </c>
    </row>
    <row r="27480">
      <c r="B27480" s="17" t="s">
        <v>477</v>
      </c>
      <c r="K27480" s="18" t="s">
        <v>477</v>
      </c>
    </row>
    <row r="27481">
      <c r="B27481" s="17" t="s">
        <v>477</v>
      </c>
      <c r="K27481" s="18" t="s">
        <v>477</v>
      </c>
    </row>
    <row r="27482">
      <c r="B27482" s="17" t="s">
        <v>477</v>
      </c>
      <c r="K27482" s="18" t="s">
        <v>477</v>
      </c>
    </row>
    <row r="27483">
      <c r="B27483" s="17" t="s">
        <v>477</v>
      </c>
      <c r="K27483" s="18" t="s">
        <v>477</v>
      </c>
    </row>
    <row r="27484">
      <c r="B27484" s="17" t="s">
        <v>477</v>
      </c>
      <c r="K27484" s="18" t="s">
        <v>477</v>
      </c>
    </row>
    <row r="27485">
      <c r="B27485" s="17" t="s">
        <v>477</v>
      </c>
      <c r="K27485" s="18" t="s">
        <v>477</v>
      </c>
    </row>
    <row r="27486">
      <c r="B27486" s="17" t="s">
        <v>477</v>
      </c>
      <c r="K27486" s="18" t="s">
        <v>477</v>
      </c>
    </row>
    <row r="27487">
      <c r="B27487" s="17" t="s">
        <v>477</v>
      </c>
      <c r="K27487" s="18" t="s">
        <v>477</v>
      </c>
    </row>
    <row r="27488">
      <c r="B27488" s="17" t="s">
        <v>477</v>
      </c>
      <c r="K27488" s="18" t="s">
        <v>477</v>
      </c>
    </row>
    <row r="27489">
      <c r="B27489" s="17" t="s">
        <v>477</v>
      </c>
      <c r="K27489" s="18" t="s">
        <v>477</v>
      </c>
    </row>
    <row r="27490">
      <c r="B27490" s="17" t="s">
        <v>477</v>
      </c>
      <c r="K27490" s="18" t="s">
        <v>477</v>
      </c>
    </row>
    <row r="27491">
      <c r="B27491" s="17" t="s">
        <v>477</v>
      </c>
      <c r="K27491" s="18" t="s">
        <v>477</v>
      </c>
    </row>
    <row r="27492">
      <c r="B27492" s="17" t="s">
        <v>477</v>
      </c>
      <c r="K27492" s="18" t="s">
        <v>477</v>
      </c>
    </row>
    <row r="27493">
      <c r="B27493" s="17" t="s">
        <v>477</v>
      </c>
      <c r="K27493" s="18" t="s">
        <v>477</v>
      </c>
    </row>
    <row r="27494">
      <c r="B27494" s="17" t="s">
        <v>477</v>
      </c>
      <c r="K27494" s="18" t="s">
        <v>477</v>
      </c>
    </row>
    <row r="27495">
      <c r="B27495" s="17" t="s">
        <v>477</v>
      </c>
      <c r="K27495" s="18" t="s">
        <v>477</v>
      </c>
    </row>
    <row r="27496">
      <c r="B27496" s="17" t="s">
        <v>477</v>
      </c>
      <c r="K27496" s="18" t="s">
        <v>477</v>
      </c>
    </row>
    <row r="27497">
      <c r="B27497" s="17" t="s">
        <v>477</v>
      </c>
      <c r="K27497" s="18" t="s">
        <v>477</v>
      </c>
    </row>
    <row r="27498">
      <c r="B27498" s="17" t="s">
        <v>477</v>
      </c>
      <c r="K27498" s="18" t="s">
        <v>477</v>
      </c>
    </row>
    <row r="27499">
      <c r="B27499" s="17" t="s">
        <v>477</v>
      </c>
      <c r="K27499" s="18" t="s">
        <v>477</v>
      </c>
    </row>
    <row r="27500">
      <c r="B27500" s="17" t="s">
        <v>477</v>
      </c>
      <c r="K27500" s="18" t="s">
        <v>477</v>
      </c>
    </row>
    <row r="27501">
      <c r="B27501" s="17" t="s">
        <v>477</v>
      </c>
      <c r="K27501" s="18" t="s">
        <v>477</v>
      </c>
    </row>
    <row r="27502">
      <c r="B27502" s="17" t="s">
        <v>477</v>
      </c>
      <c r="K27502" s="18" t="s">
        <v>477</v>
      </c>
    </row>
    <row r="27503">
      <c r="B27503" s="17" t="s">
        <v>477</v>
      </c>
      <c r="K27503" s="18" t="s">
        <v>477</v>
      </c>
    </row>
    <row r="27504">
      <c r="B27504" s="17" t="s">
        <v>477</v>
      </c>
      <c r="K27504" s="18" t="s">
        <v>477</v>
      </c>
    </row>
    <row r="27505">
      <c r="B27505" s="17" t="s">
        <v>477</v>
      </c>
      <c r="K27505" s="18" t="s">
        <v>477</v>
      </c>
    </row>
    <row r="27506">
      <c r="B27506" s="17" t="s">
        <v>477</v>
      </c>
      <c r="K27506" s="18" t="s">
        <v>477</v>
      </c>
    </row>
    <row r="27507">
      <c r="B27507" s="17" t="s">
        <v>477</v>
      </c>
      <c r="K27507" s="18" t="s">
        <v>477</v>
      </c>
    </row>
    <row r="27508">
      <c r="B27508" s="17" t="s">
        <v>477</v>
      </c>
      <c r="K27508" s="18" t="s">
        <v>477</v>
      </c>
    </row>
    <row r="27509">
      <c r="B27509" s="17" t="s">
        <v>477</v>
      </c>
      <c r="K27509" s="18" t="s">
        <v>477</v>
      </c>
    </row>
    <row r="27510">
      <c r="B27510" s="17" t="s">
        <v>477</v>
      </c>
      <c r="K27510" s="18" t="s">
        <v>477</v>
      </c>
    </row>
    <row r="27511">
      <c r="B27511" s="17" t="s">
        <v>477</v>
      </c>
      <c r="K27511" s="18" t="s">
        <v>477</v>
      </c>
    </row>
    <row r="27512">
      <c r="B27512" s="17" t="s">
        <v>477</v>
      </c>
      <c r="K27512" s="18" t="s">
        <v>477</v>
      </c>
    </row>
    <row r="27513">
      <c r="B27513" s="17" t="s">
        <v>477</v>
      </c>
      <c r="K27513" s="18" t="s">
        <v>477</v>
      </c>
    </row>
    <row r="27514">
      <c r="B27514" s="17" t="s">
        <v>477</v>
      </c>
      <c r="K27514" s="18" t="s">
        <v>477</v>
      </c>
    </row>
    <row r="27515">
      <c r="B27515" s="17" t="s">
        <v>477</v>
      </c>
      <c r="K27515" s="18" t="s">
        <v>477</v>
      </c>
    </row>
    <row r="27516">
      <c r="B27516" s="17" t="s">
        <v>477</v>
      </c>
      <c r="K27516" s="18" t="s">
        <v>477</v>
      </c>
    </row>
    <row r="27517">
      <c r="B27517" s="17" t="s">
        <v>477</v>
      </c>
      <c r="K27517" s="18" t="s">
        <v>477</v>
      </c>
    </row>
    <row r="27518">
      <c r="B27518" s="17" t="s">
        <v>477</v>
      </c>
      <c r="K27518" s="18" t="s">
        <v>477</v>
      </c>
    </row>
    <row r="27519">
      <c r="B27519" s="17" t="s">
        <v>477</v>
      </c>
      <c r="K27519" s="18" t="s">
        <v>477</v>
      </c>
    </row>
    <row r="27520">
      <c r="B27520" s="17" t="s">
        <v>477</v>
      </c>
      <c r="K27520" s="18" t="s">
        <v>477</v>
      </c>
    </row>
    <row r="27521">
      <c r="B27521" s="17" t="s">
        <v>477</v>
      </c>
      <c r="K27521" s="18" t="s">
        <v>477</v>
      </c>
    </row>
    <row r="27522">
      <c r="B27522" s="17" t="s">
        <v>477</v>
      </c>
      <c r="K27522" s="18" t="s">
        <v>477</v>
      </c>
    </row>
    <row r="27523">
      <c r="B27523" s="17" t="s">
        <v>477</v>
      </c>
      <c r="K27523" s="18" t="s">
        <v>477</v>
      </c>
    </row>
    <row r="27524">
      <c r="B27524" s="17" t="s">
        <v>477</v>
      </c>
      <c r="K27524" s="18" t="s">
        <v>477</v>
      </c>
    </row>
    <row r="27525">
      <c r="B27525" s="17" t="s">
        <v>477</v>
      </c>
      <c r="K27525" s="18" t="s">
        <v>477</v>
      </c>
    </row>
    <row r="27526">
      <c r="B27526" s="17" t="s">
        <v>477</v>
      </c>
      <c r="K27526" s="18" t="s">
        <v>477</v>
      </c>
    </row>
    <row r="27527">
      <c r="B27527" s="17" t="s">
        <v>477</v>
      </c>
      <c r="K27527" s="18" t="s">
        <v>477</v>
      </c>
    </row>
    <row r="27528">
      <c r="B27528" s="17" t="s">
        <v>477</v>
      </c>
      <c r="K27528" s="18" t="s">
        <v>477</v>
      </c>
    </row>
    <row r="27529">
      <c r="B27529" s="17" t="s">
        <v>477</v>
      </c>
      <c r="K27529" s="18" t="s">
        <v>477</v>
      </c>
    </row>
    <row r="27530">
      <c r="B27530" s="17" t="s">
        <v>477</v>
      </c>
      <c r="K27530" s="18" t="s">
        <v>477</v>
      </c>
    </row>
    <row r="27531">
      <c r="B27531" s="17" t="s">
        <v>477</v>
      </c>
      <c r="K27531" s="18" t="s">
        <v>477</v>
      </c>
    </row>
    <row r="27532">
      <c r="B27532" s="17" t="s">
        <v>477</v>
      </c>
      <c r="K27532" s="18" t="s">
        <v>477</v>
      </c>
    </row>
    <row r="27533">
      <c r="B27533" s="17" t="s">
        <v>477</v>
      </c>
      <c r="K27533" s="18" t="s">
        <v>477</v>
      </c>
    </row>
    <row r="27534">
      <c r="B27534" s="17" t="s">
        <v>477</v>
      </c>
      <c r="K27534" s="18" t="s">
        <v>477</v>
      </c>
    </row>
    <row r="27535">
      <c r="B27535" s="17" t="s">
        <v>477</v>
      </c>
      <c r="K27535" s="18" t="s">
        <v>477</v>
      </c>
    </row>
    <row r="27536">
      <c r="B27536" s="17" t="s">
        <v>477</v>
      </c>
      <c r="K27536" s="18" t="s">
        <v>477</v>
      </c>
    </row>
    <row r="27537">
      <c r="B27537" s="17" t="s">
        <v>477</v>
      </c>
      <c r="K27537" s="18" t="s">
        <v>477</v>
      </c>
    </row>
    <row r="27538">
      <c r="B27538" s="17" t="s">
        <v>477</v>
      </c>
      <c r="K27538" s="18" t="s">
        <v>477</v>
      </c>
    </row>
    <row r="27539">
      <c r="B27539" s="17" t="s">
        <v>477</v>
      </c>
      <c r="K27539" s="18" t="s">
        <v>477</v>
      </c>
    </row>
    <row r="27540">
      <c r="B27540" s="17" t="s">
        <v>477</v>
      </c>
      <c r="K27540" s="18" t="s">
        <v>477</v>
      </c>
    </row>
    <row r="27541">
      <c r="B27541" s="17" t="s">
        <v>477</v>
      </c>
      <c r="K27541" s="18" t="s">
        <v>477</v>
      </c>
    </row>
    <row r="27542">
      <c r="B27542" s="17" t="s">
        <v>477</v>
      </c>
      <c r="K27542" s="18" t="s">
        <v>477</v>
      </c>
    </row>
    <row r="27543">
      <c r="B27543" s="17" t="s">
        <v>477</v>
      </c>
      <c r="K27543" s="18" t="s">
        <v>477</v>
      </c>
    </row>
    <row r="27544">
      <c r="B27544" s="17" t="s">
        <v>477</v>
      </c>
      <c r="K27544" s="18" t="s">
        <v>477</v>
      </c>
    </row>
    <row r="27545">
      <c r="B27545" s="17" t="s">
        <v>477</v>
      </c>
      <c r="K27545" s="18" t="s">
        <v>477</v>
      </c>
    </row>
    <row r="27546">
      <c r="B27546" s="17" t="s">
        <v>477</v>
      </c>
      <c r="K27546" s="18" t="s">
        <v>477</v>
      </c>
    </row>
    <row r="27547">
      <c r="B27547" s="17" t="s">
        <v>477</v>
      </c>
      <c r="K27547" s="18" t="s">
        <v>477</v>
      </c>
    </row>
    <row r="27548">
      <c r="B27548" s="17" t="s">
        <v>477</v>
      </c>
      <c r="K27548" s="18" t="s">
        <v>477</v>
      </c>
    </row>
    <row r="27549">
      <c r="B27549" s="17" t="s">
        <v>477</v>
      </c>
      <c r="K27549" s="18" t="s">
        <v>477</v>
      </c>
    </row>
    <row r="27550">
      <c r="B27550" s="17" t="s">
        <v>477</v>
      </c>
      <c r="K27550" s="18" t="s">
        <v>477</v>
      </c>
    </row>
    <row r="27551">
      <c r="B27551" s="17" t="s">
        <v>477</v>
      </c>
      <c r="K27551" s="18" t="s">
        <v>477</v>
      </c>
    </row>
    <row r="27552">
      <c r="B27552" s="17" t="s">
        <v>477</v>
      </c>
      <c r="K27552" s="18" t="s">
        <v>477</v>
      </c>
    </row>
    <row r="27553">
      <c r="B27553" s="17" t="s">
        <v>477</v>
      </c>
      <c r="K27553" s="18" t="s">
        <v>477</v>
      </c>
    </row>
    <row r="27554">
      <c r="B27554" s="17" t="s">
        <v>477</v>
      </c>
      <c r="K27554" s="18" t="s">
        <v>477</v>
      </c>
    </row>
    <row r="27555">
      <c r="B27555" s="17" t="s">
        <v>477</v>
      </c>
      <c r="K27555" s="18" t="s">
        <v>477</v>
      </c>
    </row>
    <row r="27556">
      <c r="B27556" s="17" t="s">
        <v>477</v>
      </c>
      <c r="K27556" s="18" t="s">
        <v>477</v>
      </c>
    </row>
    <row r="27557">
      <c r="B27557" s="17" t="s">
        <v>477</v>
      </c>
      <c r="K27557" s="18" t="s">
        <v>477</v>
      </c>
    </row>
    <row r="27558">
      <c r="B27558" s="17" t="s">
        <v>477</v>
      </c>
      <c r="K27558" s="18" t="s">
        <v>477</v>
      </c>
    </row>
    <row r="27559">
      <c r="B27559" s="17" t="s">
        <v>477</v>
      </c>
      <c r="K27559" s="18" t="s">
        <v>477</v>
      </c>
    </row>
    <row r="27560">
      <c r="B27560" s="17" t="s">
        <v>477</v>
      </c>
      <c r="K27560" s="18" t="s">
        <v>477</v>
      </c>
    </row>
    <row r="27561">
      <c r="B27561" s="17" t="s">
        <v>477</v>
      </c>
      <c r="K27561" s="18" t="s">
        <v>477</v>
      </c>
    </row>
    <row r="27562">
      <c r="B27562" s="17" t="s">
        <v>477</v>
      </c>
      <c r="K27562" s="18" t="s">
        <v>477</v>
      </c>
    </row>
    <row r="27563">
      <c r="B27563" s="17" t="s">
        <v>477</v>
      </c>
      <c r="K27563" s="18" t="s">
        <v>477</v>
      </c>
    </row>
    <row r="27564">
      <c r="B27564" s="17" t="s">
        <v>477</v>
      </c>
      <c r="K27564" s="18" t="s">
        <v>477</v>
      </c>
    </row>
    <row r="27565">
      <c r="B27565" s="17" t="s">
        <v>477</v>
      </c>
      <c r="K27565" s="18" t="s">
        <v>477</v>
      </c>
    </row>
    <row r="27566">
      <c r="B27566" s="17" t="s">
        <v>477</v>
      </c>
      <c r="K27566" s="18" t="s">
        <v>477</v>
      </c>
    </row>
    <row r="27567">
      <c r="B27567" s="17" t="s">
        <v>477</v>
      </c>
      <c r="K27567" s="18" t="s">
        <v>477</v>
      </c>
    </row>
    <row r="27568">
      <c r="B27568" s="17" t="s">
        <v>477</v>
      </c>
      <c r="K27568" s="18" t="s">
        <v>477</v>
      </c>
    </row>
    <row r="27569">
      <c r="B27569" s="17" t="s">
        <v>477</v>
      </c>
      <c r="K27569" s="18" t="s">
        <v>477</v>
      </c>
    </row>
    <row r="27570">
      <c r="B27570" s="17" t="s">
        <v>477</v>
      </c>
      <c r="K27570" s="18" t="s">
        <v>477</v>
      </c>
    </row>
    <row r="27571">
      <c r="B27571" s="17" t="s">
        <v>477</v>
      </c>
      <c r="K27571" s="18" t="s">
        <v>477</v>
      </c>
    </row>
    <row r="27572">
      <c r="B27572" s="17" t="s">
        <v>477</v>
      </c>
      <c r="K27572" s="18" t="s">
        <v>477</v>
      </c>
    </row>
    <row r="27573">
      <c r="B27573" s="17" t="s">
        <v>477</v>
      </c>
      <c r="K27573" s="18" t="s">
        <v>477</v>
      </c>
    </row>
    <row r="27574">
      <c r="B27574" s="17" t="s">
        <v>477</v>
      </c>
      <c r="K27574" s="18" t="s">
        <v>477</v>
      </c>
    </row>
    <row r="27575">
      <c r="B27575" s="17" t="s">
        <v>477</v>
      </c>
      <c r="K27575" s="18" t="s">
        <v>477</v>
      </c>
    </row>
    <row r="27576">
      <c r="B27576" s="17" t="s">
        <v>477</v>
      </c>
      <c r="K27576" s="18" t="s">
        <v>477</v>
      </c>
    </row>
    <row r="27577">
      <c r="B27577" s="17" t="s">
        <v>477</v>
      </c>
      <c r="K27577" s="18" t="s">
        <v>477</v>
      </c>
    </row>
    <row r="27578">
      <c r="B27578" s="17" t="s">
        <v>477</v>
      </c>
      <c r="K27578" s="18" t="s">
        <v>477</v>
      </c>
    </row>
    <row r="27579">
      <c r="B27579" s="17" t="s">
        <v>477</v>
      </c>
      <c r="K27579" s="18" t="s">
        <v>477</v>
      </c>
    </row>
    <row r="27580">
      <c r="B27580" s="17" t="s">
        <v>477</v>
      </c>
      <c r="K27580" s="18" t="s">
        <v>477</v>
      </c>
    </row>
    <row r="27581">
      <c r="B27581" s="17" t="s">
        <v>477</v>
      </c>
      <c r="K27581" s="18" t="s">
        <v>477</v>
      </c>
    </row>
    <row r="27582">
      <c r="B27582" s="17" t="s">
        <v>477</v>
      </c>
      <c r="K27582" s="18" t="s">
        <v>477</v>
      </c>
    </row>
    <row r="27583">
      <c r="B27583" s="17" t="s">
        <v>477</v>
      </c>
      <c r="K27583" s="18" t="s">
        <v>477</v>
      </c>
    </row>
    <row r="27584">
      <c r="B27584" s="17" t="s">
        <v>477</v>
      </c>
      <c r="K27584" s="18" t="s">
        <v>477</v>
      </c>
    </row>
    <row r="27585">
      <c r="B27585" s="17" t="s">
        <v>477</v>
      </c>
      <c r="K27585" s="18" t="s">
        <v>477</v>
      </c>
    </row>
    <row r="27586">
      <c r="B27586" s="17" t="s">
        <v>477</v>
      </c>
      <c r="K27586" s="18" t="s">
        <v>477</v>
      </c>
    </row>
    <row r="27587">
      <c r="B27587" s="17" t="s">
        <v>477</v>
      </c>
      <c r="K27587" s="18" t="s">
        <v>477</v>
      </c>
    </row>
    <row r="27588">
      <c r="B27588" s="17" t="s">
        <v>477</v>
      </c>
      <c r="K27588" s="18" t="s">
        <v>477</v>
      </c>
    </row>
    <row r="27589">
      <c r="B27589" s="17" t="s">
        <v>477</v>
      </c>
      <c r="K27589" s="18" t="s">
        <v>477</v>
      </c>
    </row>
    <row r="27590">
      <c r="B27590" s="17" t="s">
        <v>477</v>
      </c>
      <c r="K27590" s="18" t="s">
        <v>477</v>
      </c>
    </row>
    <row r="27591">
      <c r="B27591" s="17" t="s">
        <v>477</v>
      </c>
      <c r="K27591" s="18" t="s">
        <v>477</v>
      </c>
    </row>
    <row r="27592">
      <c r="B27592" s="17" t="s">
        <v>477</v>
      </c>
      <c r="K27592" s="18" t="s">
        <v>477</v>
      </c>
    </row>
    <row r="27593">
      <c r="B27593" s="17" t="s">
        <v>477</v>
      </c>
      <c r="K27593" s="18" t="s">
        <v>477</v>
      </c>
    </row>
    <row r="27594">
      <c r="B27594" s="17" t="s">
        <v>477</v>
      </c>
      <c r="K27594" s="18" t="s">
        <v>477</v>
      </c>
    </row>
    <row r="27595">
      <c r="B27595" s="17" t="s">
        <v>477</v>
      </c>
      <c r="K27595" s="18" t="s">
        <v>477</v>
      </c>
    </row>
    <row r="27596">
      <c r="B27596" s="17" t="s">
        <v>477</v>
      </c>
      <c r="K27596" s="18" t="s">
        <v>477</v>
      </c>
    </row>
    <row r="27597">
      <c r="B27597" s="17" t="s">
        <v>477</v>
      </c>
      <c r="K27597" s="18" t="s">
        <v>477</v>
      </c>
    </row>
    <row r="27598">
      <c r="B27598" s="17" t="s">
        <v>477</v>
      </c>
      <c r="K27598" s="18" t="s">
        <v>477</v>
      </c>
    </row>
    <row r="27599">
      <c r="B27599" s="17" t="s">
        <v>477</v>
      </c>
      <c r="K27599" s="18" t="s">
        <v>477</v>
      </c>
    </row>
    <row r="27600">
      <c r="B27600" s="17" t="s">
        <v>477</v>
      </c>
      <c r="K27600" s="18" t="s">
        <v>477</v>
      </c>
    </row>
    <row r="27601">
      <c r="B27601" s="17" t="s">
        <v>477</v>
      </c>
      <c r="K27601" s="18" t="s">
        <v>477</v>
      </c>
    </row>
    <row r="27602">
      <c r="B27602" s="17" t="s">
        <v>477</v>
      </c>
      <c r="K27602" s="18" t="s">
        <v>477</v>
      </c>
    </row>
    <row r="27603">
      <c r="B27603" s="17" t="s">
        <v>477</v>
      </c>
      <c r="K27603" s="18" t="s">
        <v>477</v>
      </c>
    </row>
    <row r="27604">
      <c r="B27604" s="17" t="s">
        <v>477</v>
      </c>
      <c r="K27604" s="18" t="s">
        <v>477</v>
      </c>
    </row>
    <row r="27605">
      <c r="B27605" s="17" t="s">
        <v>477</v>
      </c>
      <c r="K27605" s="18" t="s">
        <v>477</v>
      </c>
    </row>
    <row r="27606">
      <c r="B27606" s="17" t="s">
        <v>477</v>
      </c>
      <c r="K27606" s="18" t="s">
        <v>477</v>
      </c>
    </row>
    <row r="27607">
      <c r="B27607" s="17" t="s">
        <v>477</v>
      </c>
      <c r="K27607" s="18" t="s">
        <v>477</v>
      </c>
    </row>
    <row r="27608">
      <c r="B27608" s="17" t="s">
        <v>477</v>
      </c>
      <c r="K27608" s="18" t="s">
        <v>477</v>
      </c>
    </row>
    <row r="27609">
      <c r="B27609" s="17" t="s">
        <v>477</v>
      </c>
      <c r="K27609" s="18" t="s">
        <v>477</v>
      </c>
    </row>
    <row r="27610">
      <c r="B27610" s="17" t="s">
        <v>477</v>
      </c>
      <c r="K27610" s="18" t="s">
        <v>477</v>
      </c>
    </row>
    <row r="27611">
      <c r="B27611" s="17" t="s">
        <v>477</v>
      </c>
      <c r="K27611" s="18" t="s">
        <v>477</v>
      </c>
    </row>
    <row r="27612">
      <c r="B27612" s="17" t="s">
        <v>477</v>
      </c>
      <c r="K27612" s="18" t="s">
        <v>477</v>
      </c>
    </row>
    <row r="27613">
      <c r="B27613" s="17" t="s">
        <v>477</v>
      </c>
      <c r="K27613" s="18" t="s">
        <v>477</v>
      </c>
    </row>
    <row r="27614">
      <c r="B27614" s="17" t="s">
        <v>477</v>
      </c>
      <c r="K27614" s="18" t="s">
        <v>477</v>
      </c>
    </row>
    <row r="27615">
      <c r="B27615" s="17" t="s">
        <v>477</v>
      </c>
      <c r="K27615" s="18" t="s">
        <v>477</v>
      </c>
    </row>
    <row r="27616">
      <c r="B27616" s="17" t="s">
        <v>477</v>
      </c>
      <c r="K27616" s="18" t="s">
        <v>477</v>
      </c>
    </row>
    <row r="27617">
      <c r="B27617" s="17" t="s">
        <v>477</v>
      </c>
      <c r="K27617" s="18" t="s">
        <v>477</v>
      </c>
    </row>
    <row r="27618">
      <c r="B27618" s="17" t="s">
        <v>477</v>
      </c>
      <c r="K27618" s="18" t="s">
        <v>477</v>
      </c>
    </row>
    <row r="27619">
      <c r="B27619" s="17" t="s">
        <v>477</v>
      </c>
      <c r="K27619" s="18" t="s">
        <v>477</v>
      </c>
    </row>
    <row r="27620">
      <c r="B27620" s="17" t="s">
        <v>477</v>
      </c>
      <c r="K27620" s="18" t="s">
        <v>477</v>
      </c>
    </row>
    <row r="27621">
      <c r="B27621" s="17" t="s">
        <v>477</v>
      </c>
      <c r="K27621" s="18" t="s">
        <v>477</v>
      </c>
    </row>
    <row r="27622">
      <c r="B27622" s="17" t="s">
        <v>477</v>
      </c>
      <c r="K27622" s="18" t="s">
        <v>477</v>
      </c>
    </row>
    <row r="27623">
      <c r="B27623" s="17" t="s">
        <v>477</v>
      </c>
      <c r="K27623" s="18" t="s">
        <v>477</v>
      </c>
    </row>
    <row r="27624">
      <c r="B27624" s="17" t="s">
        <v>477</v>
      </c>
      <c r="K27624" s="18" t="s">
        <v>477</v>
      </c>
    </row>
    <row r="27625">
      <c r="B27625" s="17" t="s">
        <v>477</v>
      </c>
      <c r="K27625" s="18" t="s">
        <v>477</v>
      </c>
    </row>
    <row r="27626">
      <c r="B27626" s="17" t="s">
        <v>477</v>
      </c>
      <c r="K27626" s="18" t="s">
        <v>477</v>
      </c>
    </row>
    <row r="27627">
      <c r="B27627" s="17" t="s">
        <v>477</v>
      </c>
      <c r="K27627" s="18" t="s">
        <v>477</v>
      </c>
    </row>
    <row r="27628">
      <c r="B27628" s="17" t="s">
        <v>477</v>
      </c>
      <c r="K27628" s="18" t="s">
        <v>477</v>
      </c>
    </row>
    <row r="27629">
      <c r="B27629" s="17" t="s">
        <v>477</v>
      </c>
      <c r="K27629" s="18" t="s">
        <v>477</v>
      </c>
    </row>
    <row r="27630">
      <c r="B27630" s="17" t="s">
        <v>477</v>
      </c>
      <c r="K27630" s="18" t="s">
        <v>477</v>
      </c>
    </row>
    <row r="27631">
      <c r="B27631" s="17" t="s">
        <v>477</v>
      </c>
      <c r="K27631" s="18" t="s">
        <v>477</v>
      </c>
    </row>
    <row r="27632">
      <c r="B27632" s="17" t="s">
        <v>477</v>
      </c>
      <c r="K27632" s="18" t="s">
        <v>477</v>
      </c>
    </row>
    <row r="27633">
      <c r="B27633" s="17" t="s">
        <v>477</v>
      </c>
      <c r="K27633" s="18" t="s">
        <v>477</v>
      </c>
    </row>
    <row r="27634">
      <c r="B27634" s="17" t="s">
        <v>477</v>
      </c>
      <c r="K27634" s="18" t="s">
        <v>477</v>
      </c>
    </row>
    <row r="27635">
      <c r="B27635" s="17" t="s">
        <v>477</v>
      </c>
      <c r="K27635" s="18" t="s">
        <v>477</v>
      </c>
    </row>
    <row r="27636">
      <c r="B27636" s="17" t="s">
        <v>477</v>
      </c>
      <c r="K27636" s="18" t="s">
        <v>477</v>
      </c>
    </row>
    <row r="27637">
      <c r="B27637" s="17" t="s">
        <v>477</v>
      </c>
      <c r="K27637" s="18" t="s">
        <v>477</v>
      </c>
    </row>
    <row r="27638">
      <c r="B27638" s="17" t="s">
        <v>477</v>
      </c>
      <c r="K27638" s="18" t="s">
        <v>477</v>
      </c>
    </row>
    <row r="27639">
      <c r="B27639" s="17" t="s">
        <v>477</v>
      </c>
      <c r="K27639" s="18" t="s">
        <v>477</v>
      </c>
    </row>
    <row r="27640">
      <c r="B27640" s="17" t="s">
        <v>477</v>
      </c>
      <c r="K27640" s="18" t="s">
        <v>477</v>
      </c>
    </row>
    <row r="27641">
      <c r="B27641" s="17" t="s">
        <v>477</v>
      </c>
      <c r="K27641" s="18" t="s">
        <v>477</v>
      </c>
    </row>
    <row r="27642">
      <c r="B27642" s="17" t="s">
        <v>477</v>
      </c>
      <c r="K27642" s="18" t="s">
        <v>477</v>
      </c>
    </row>
    <row r="27643">
      <c r="B27643" s="17" t="s">
        <v>477</v>
      </c>
      <c r="K27643" s="18" t="s">
        <v>477</v>
      </c>
    </row>
    <row r="27644">
      <c r="B27644" s="17" t="s">
        <v>477</v>
      </c>
      <c r="K27644" s="18" t="s">
        <v>477</v>
      </c>
    </row>
    <row r="27645">
      <c r="B27645" s="17" t="s">
        <v>477</v>
      </c>
      <c r="K27645" s="18" t="s">
        <v>477</v>
      </c>
    </row>
    <row r="27646">
      <c r="B27646" s="17" t="s">
        <v>477</v>
      </c>
      <c r="K27646" s="18" t="s">
        <v>477</v>
      </c>
    </row>
    <row r="27647">
      <c r="B27647" s="17" t="s">
        <v>477</v>
      </c>
      <c r="K27647" s="18" t="s">
        <v>477</v>
      </c>
    </row>
    <row r="27648">
      <c r="B27648" s="17" t="s">
        <v>477</v>
      </c>
      <c r="K27648" s="18" t="s">
        <v>477</v>
      </c>
    </row>
    <row r="27649">
      <c r="B27649" s="17" t="s">
        <v>477</v>
      </c>
      <c r="K27649" s="18" t="s">
        <v>477</v>
      </c>
    </row>
    <row r="27650">
      <c r="B27650" s="17" t="s">
        <v>477</v>
      </c>
      <c r="K27650" s="18" t="s">
        <v>477</v>
      </c>
    </row>
    <row r="27651">
      <c r="B27651" s="17" t="s">
        <v>477</v>
      </c>
      <c r="K27651" s="18" t="s">
        <v>477</v>
      </c>
    </row>
    <row r="27652">
      <c r="B27652" s="17" t="s">
        <v>477</v>
      </c>
      <c r="K27652" s="18" t="s">
        <v>477</v>
      </c>
    </row>
    <row r="27653">
      <c r="B27653" s="17" t="s">
        <v>477</v>
      </c>
      <c r="K27653" s="18" t="s">
        <v>477</v>
      </c>
    </row>
    <row r="27654">
      <c r="B27654" s="17" t="s">
        <v>477</v>
      </c>
      <c r="K27654" s="18" t="s">
        <v>477</v>
      </c>
    </row>
    <row r="27655">
      <c r="B27655" s="17" t="s">
        <v>477</v>
      </c>
      <c r="K27655" s="18" t="s">
        <v>477</v>
      </c>
    </row>
    <row r="27656">
      <c r="B27656" s="17" t="s">
        <v>477</v>
      </c>
      <c r="K27656" s="18" t="s">
        <v>477</v>
      </c>
    </row>
    <row r="27657">
      <c r="B27657" s="17" t="s">
        <v>477</v>
      </c>
      <c r="K27657" s="18" t="s">
        <v>477</v>
      </c>
    </row>
    <row r="27658">
      <c r="B27658" s="17" t="s">
        <v>477</v>
      </c>
      <c r="K27658" s="18" t="s">
        <v>477</v>
      </c>
    </row>
    <row r="27659">
      <c r="B27659" s="17" t="s">
        <v>477</v>
      </c>
      <c r="K27659" s="18" t="s">
        <v>477</v>
      </c>
    </row>
    <row r="27660">
      <c r="B27660" s="17" t="s">
        <v>477</v>
      </c>
      <c r="K27660" s="18" t="s">
        <v>477</v>
      </c>
    </row>
    <row r="27661">
      <c r="B27661" s="17" t="s">
        <v>477</v>
      </c>
      <c r="K27661" s="18" t="s">
        <v>477</v>
      </c>
    </row>
    <row r="27662">
      <c r="B27662" s="17" t="s">
        <v>477</v>
      </c>
      <c r="K27662" s="18" t="s">
        <v>477</v>
      </c>
    </row>
    <row r="27663">
      <c r="B27663" s="17" t="s">
        <v>477</v>
      </c>
      <c r="K27663" s="18" t="s">
        <v>477</v>
      </c>
    </row>
    <row r="27664">
      <c r="B27664" s="17" t="s">
        <v>477</v>
      </c>
      <c r="K27664" s="18" t="s">
        <v>477</v>
      </c>
    </row>
    <row r="27665">
      <c r="B27665" s="17" t="s">
        <v>477</v>
      </c>
      <c r="K27665" s="18" t="s">
        <v>477</v>
      </c>
    </row>
    <row r="27666">
      <c r="B27666" s="17" t="s">
        <v>477</v>
      </c>
      <c r="K27666" s="18" t="s">
        <v>477</v>
      </c>
    </row>
    <row r="27667">
      <c r="B27667" s="17" t="s">
        <v>477</v>
      </c>
      <c r="K27667" s="18" t="s">
        <v>477</v>
      </c>
    </row>
    <row r="27668">
      <c r="B27668" s="17" t="s">
        <v>477</v>
      </c>
      <c r="K27668" s="18" t="s">
        <v>477</v>
      </c>
    </row>
    <row r="27669">
      <c r="B27669" s="17" t="s">
        <v>477</v>
      </c>
      <c r="K27669" s="18" t="s">
        <v>477</v>
      </c>
    </row>
    <row r="27670">
      <c r="B27670" s="17" t="s">
        <v>477</v>
      </c>
      <c r="K27670" s="18" t="s">
        <v>477</v>
      </c>
    </row>
    <row r="27671">
      <c r="B27671" s="17" t="s">
        <v>477</v>
      </c>
      <c r="K27671" s="18" t="s">
        <v>477</v>
      </c>
    </row>
    <row r="27672">
      <c r="B27672" s="17" t="s">
        <v>477</v>
      </c>
      <c r="K27672" s="18" t="s">
        <v>477</v>
      </c>
    </row>
    <row r="27673">
      <c r="B27673" s="17" t="s">
        <v>477</v>
      </c>
      <c r="K27673" s="18" t="s">
        <v>477</v>
      </c>
    </row>
    <row r="27674">
      <c r="B27674" s="17" t="s">
        <v>477</v>
      </c>
      <c r="K27674" s="18" t="s">
        <v>477</v>
      </c>
    </row>
    <row r="27675">
      <c r="B27675" s="17" t="s">
        <v>477</v>
      </c>
      <c r="K27675" s="18" t="s">
        <v>477</v>
      </c>
    </row>
    <row r="27676">
      <c r="B27676" s="17" t="s">
        <v>477</v>
      </c>
      <c r="K27676" s="18" t="s">
        <v>477</v>
      </c>
    </row>
    <row r="27677">
      <c r="B27677" s="17" t="s">
        <v>477</v>
      </c>
      <c r="K27677" s="18" t="s">
        <v>477</v>
      </c>
    </row>
    <row r="27678">
      <c r="B27678" s="17" t="s">
        <v>477</v>
      </c>
      <c r="K27678" s="18" t="s">
        <v>477</v>
      </c>
    </row>
    <row r="27679">
      <c r="B27679" s="17" t="s">
        <v>477</v>
      </c>
      <c r="K27679" s="18" t="s">
        <v>477</v>
      </c>
    </row>
    <row r="27680">
      <c r="B27680" s="17" t="s">
        <v>477</v>
      </c>
      <c r="K27680" s="18" t="s">
        <v>477</v>
      </c>
    </row>
    <row r="27681">
      <c r="B27681" s="17" t="s">
        <v>477</v>
      </c>
      <c r="K27681" s="18" t="s">
        <v>477</v>
      </c>
    </row>
    <row r="27682">
      <c r="B27682" s="17" t="s">
        <v>477</v>
      </c>
      <c r="K27682" s="18" t="s">
        <v>477</v>
      </c>
    </row>
    <row r="27683">
      <c r="B27683" s="17" t="s">
        <v>477</v>
      </c>
      <c r="K27683" s="18" t="s">
        <v>477</v>
      </c>
    </row>
    <row r="27684">
      <c r="B27684" s="17" t="s">
        <v>477</v>
      </c>
      <c r="K27684" s="18" t="s">
        <v>477</v>
      </c>
    </row>
    <row r="27685">
      <c r="B27685" s="17" t="s">
        <v>477</v>
      </c>
      <c r="K27685" s="18" t="s">
        <v>477</v>
      </c>
    </row>
    <row r="27686">
      <c r="B27686" s="17" t="s">
        <v>477</v>
      </c>
      <c r="K27686" s="18" t="s">
        <v>477</v>
      </c>
    </row>
    <row r="27687">
      <c r="B27687" s="17" t="s">
        <v>477</v>
      </c>
      <c r="K27687" s="18" t="s">
        <v>477</v>
      </c>
    </row>
    <row r="27688">
      <c r="B27688" s="17" t="s">
        <v>477</v>
      </c>
      <c r="K27688" s="18" t="s">
        <v>477</v>
      </c>
    </row>
    <row r="27689">
      <c r="B27689" s="17" t="s">
        <v>477</v>
      </c>
      <c r="K27689" s="18" t="s">
        <v>477</v>
      </c>
    </row>
    <row r="27690">
      <c r="B27690" s="17" t="s">
        <v>477</v>
      </c>
      <c r="K27690" s="18" t="s">
        <v>477</v>
      </c>
    </row>
    <row r="27691">
      <c r="B27691" s="17" t="s">
        <v>477</v>
      </c>
      <c r="K27691" s="18" t="s">
        <v>477</v>
      </c>
    </row>
    <row r="27692">
      <c r="B27692" s="17" t="s">
        <v>477</v>
      </c>
      <c r="K27692" s="18" t="s">
        <v>477</v>
      </c>
    </row>
    <row r="27693">
      <c r="B27693" s="17" t="s">
        <v>477</v>
      </c>
      <c r="K27693" s="18" t="s">
        <v>477</v>
      </c>
    </row>
    <row r="27694">
      <c r="B27694" s="17" t="s">
        <v>477</v>
      </c>
      <c r="K27694" s="18" t="s">
        <v>477</v>
      </c>
    </row>
    <row r="27695">
      <c r="B27695" s="17" t="s">
        <v>477</v>
      </c>
      <c r="K27695" s="18" t="s">
        <v>477</v>
      </c>
    </row>
    <row r="27696">
      <c r="B27696" s="17" t="s">
        <v>477</v>
      </c>
      <c r="K27696" s="18" t="s">
        <v>477</v>
      </c>
    </row>
    <row r="27697">
      <c r="B27697" s="17" t="s">
        <v>477</v>
      </c>
      <c r="K27697" s="18" t="s">
        <v>477</v>
      </c>
    </row>
    <row r="27698">
      <c r="B27698" s="17" t="s">
        <v>477</v>
      </c>
      <c r="K27698" s="18" t="s">
        <v>477</v>
      </c>
    </row>
    <row r="27699">
      <c r="B27699" s="17" t="s">
        <v>477</v>
      </c>
      <c r="K27699" s="18" t="s">
        <v>477</v>
      </c>
    </row>
    <row r="27700">
      <c r="B27700" s="17" t="s">
        <v>477</v>
      </c>
      <c r="K27700" s="18" t="s">
        <v>477</v>
      </c>
    </row>
    <row r="27701">
      <c r="B27701" s="17" t="s">
        <v>477</v>
      </c>
      <c r="K27701" s="18" t="s">
        <v>477</v>
      </c>
    </row>
    <row r="27702">
      <c r="B27702" s="17" t="s">
        <v>477</v>
      </c>
      <c r="K27702" s="18" t="s">
        <v>477</v>
      </c>
    </row>
    <row r="27703">
      <c r="B27703" s="17" t="s">
        <v>477</v>
      </c>
      <c r="K27703" s="18" t="s">
        <v>477</v>
      </c>
    </row>
    <row r="27704">
      <c r="B27704" s="17" t="s">
        <v>477</v>
      </c>
      <c r="K27704" s="18" t="s">
        <v>477</v>
      </c>
    </row>
    <row r="27705">
      <c r="B27705" s="17" t="s">
        <v>477</v>
      </c>
      <c r="K27705" s="18" t="s">
        <v>477</v>
      </c>
    </row>
    <row r="27706">
      <c r="B27706" s="17" t="s">
        <v>477</v>
      </c>
      <c r="K27706" s="18" t="s">
        <v>477</v>
      </c>
    </row>
    <row r="27707">
      <c r="B27707" s="17" t="s">
        <v>477</v>
      </c>
      <c r="K27707" s="18" t="s">
        <v>477</v>
      </c>
    </row>
    <row r="27708">
      <c r="B27708" s="17" t="s">
        <v>477</v>
      </c>
      <c r="K27708" s="18" t="s">
        <v>477</v>
      </c>
    </row>
    <row r="27709">
      <c r="B27709" s="17" t="s">
        <v>477</v>
      </c>
      <c r="K27709" s="18" t="s">
        <v>477</v>
      </c>
    </row>
    <row r="27710">
      <c r="B27710" s="17" t="s">
        <v>477</v>
      </c>
      <c r="K27710" s="18" t="s">
        <v>477</v>
      </c>
    </row>
    <row r="27711">
      <c r="B27711" s="17" t="s">
        <v>477</v>
      </c>
      <c r="K27711" s="18" t="s">
        <v>477</v>
      </c>
    </row>
    <row r="27712">
      <c r="B27712" s="17" t="s">
        <v>477</v>
      </c>
      <c r="K27712" s="18" t="s">
        <v>477</v>
      </c>
    </row>
    <row r="27713">
      <c r="B27713" s="17" t="s">
        <v>477</v>
      </c>
      <c r="K27713" s="18" t="s">
        <v>477</v>
      </c>
    </row>
    <row r="27714">
      <c r="B27714" s="17" t="s">
        <v>477</v>
      </c>
      <c r="K27714" s="18" t="s">
        <v>477</v>
      </c>
    </row>
    <row r="27715">
      <c r="B27715" s="17" t="s">
        <v>477</v>
      </c>
      <c r="K27715" s="18" t="s">
        <v>477</v>
      </c>
    </row>
    <row r="27716">
      <c r="B27716" s="17" t="s">
        <v>477</v>
      </c>
      <c r="K27716" s="18" t="s">
        <v>477</v>
      </c>
    </row>
    <row r="27717">
      <c r="B27717" s="17" t="s">
        <v>477</v>
      </c>
      <c r="K27717" s="18" t="s">
        <v>477</v>
      </c>
    </row>
    <row r="27718">
      <c r="B27718" s="17" t="s">
        <v>477</v>
      </c>
      <c r="K27718" s="18" t="s">
        <v>477</v>
      </c>
    </row>
    <row r="27719">
      <c r="B27719" s="17" t="s">
        <v>477</v>
      </c>
      <c r="K27719" s="18" t="s">
        <v>477</v>
      </c>
    </row>
    <row r="27720">
      <c r="B27720" s="17" t="s">
        <v>477</v>
      </c>
      <c r="K27720" s="18" t="s">
        <v>477</v>
      </c>
    </row>
    <row r="27721">
      <c r="B27721" s="17" t="s">
        <v>477</v>
      </c>
      <c r="K27721" s="18" t="s">
        <v>477</v>
      </c>
    </row>
    <row r="27722">
      <c r="B27722" s="17" t="s">
        <v>477</v>
      </c>
      <c r="K27722" s="18" t="s">
        <v>477</v>
      </c>
    </row>
    <row r="27723">
      <c r="B27723" s="17" t="s">
        <v>477</v>
      </c>
      <c r="K27723" s="18" t="s">
        <v>477</v>
      </c>
    </row>
    <row r="27724">
      <c r="B27724" s="17" t="s">
        <v>477</v>
      </c>
      <c r="K27724" s="18" t="s">
        <v>477</v>
      </c>
    </row>
    <row r="27725">
      <c r="B27725" s="17" t="s">
        <v>477</v>
      </c>
      <c r="K27725" s="18" t="s">
        <v>477</v>
      </c>
    </row>
    <row r="27726">
      <c r="B27726" s="17" t="s">
        <v>477</v>
      </c>
      <c r="K27726" s="18" t="s">
        <v>477</v>
      </c>
    </row>
    <row r="27727">
      <c r="B27727" s="17" t="s">
        <v>477</v>
      </c>
      <c r="K27727" s="18" t="s">
        <v>477</v>
      </c>
    </row>
    <row r="27728">
      <c r="B27728" s="17" t="s">
        <v>477</v>
      </c>
      <c r="K27728" s="18" t="s">
        <v>477</v>
      </c>
    </row>
    <row r="27729">
      <c r="B27729" s="17" t="s">
        <v>477</v>
      </c>
      <c r="K27729" s="18" t="s">
        <v>477</v>
      </c>
    </row>
    <row r="27730">
      <c r="B27730" s="17" t="s">
        <v>477</v>
      </c>
      <c r="K27730" s="18" t="s">
        <v>477</v>
      </c>
    </row>
    <row r="27731">
      <c r="B27731" s="17" t="s">
        <v>477</v>
      </c>
      <c r="K27731" s="18" t="s">
        <v>477</v>
      </c>
    </row>
    <row r="27732">
      <c r="B27732" s="17" t="s">
        <v>477</v>
      </c>
      <c r="K27732" s="18" t="s">
        <v>477</v>
      </c>
    </row>
    <row r="27733">
      <c r="B27733" s="17" t="s">
        <v>477</v>
      </c>
      <c r="K27733" s="18" t="s">
        <v>477</v>
      </c>
    </row>
    <row r="27734">
      <c r="B27734" s="17" t="s">
        <v>477</v>
      </c>
      <c r="K27734" s="18" t="s">
        <v>477</v>
      </c>
    </row>
    <row r="27735">
      <c r="B27735" s="17" t="s">
        <v>477</v>
      </c>
      <c r="K27735" s="18" t="s">
        <v>477</v>
      </c>
    </row>
    <row r="27736">
      <c r="B27736" s="17" t="s">
        <v>477</v>
      </c>
      <c r="K27736" s="18" t="s">
        <v>477</v>
      </c>
    </row>
    <row r="27737">
      <c r="B27737" s="17" t="s">
        <v>477</v>
      </c>
      <c r="K27737" s="18" t="s">
        <v>477</v>
      </c>
    </row>
    <row r="27738">
      <c r="B27738" s="17" t="s">
        <v>477</v>
      </c>
      <c r="K27738" s="18" t="s">
        <v>477</v>
      </c>
    </row>
    <row r="27739">
      <c r="B27739" s="17" t="s">
        <v>477</v>
      </c>
      <c r="K27739" s="18" t="s">
        <v>477</v>
      </c>
    </row>
    <row r="27740">
      <c r="B27740" s="17" t="s">
        <v>477</v>
      </c>
      <c r="K27740" s="18" t="s">
        <v>477</v>
      </c>
    </row>
    <row r="27741">
      <c r="B27741" s="17" t="s">
        <v>477</v>
      </c>
      <c r="K27741" s="18" t="s">
        <v>477</v>
      </c>
    </row>
    <row r="27742">
      <c r="B27742" s="17" t="s">
        <v>477</v>
      </c>
      <c r="K27742" s="18" t="s">
        <v>477</v>
      </c>
    </row>
    <row r="27743">
      <c r="B27743" s="17" t="s">
        <v>477</v>
      </c>
      <c r="K27743" s="18" t="s">
        <v>477</v>
      </c>
    </row>
    <row r="27744">
      <c r="B27744" s="17" t="s">
        <v>477</v>
      </c>
      <c r="K27744" s="18" t="s">
        <v>477</v>
      </c>
    </row>
    <row r="27745">
      <c r="B27745" s="17" t="s">
        <v>477</v>
      </c>
      <c r="K27745" s="18" t="s">
        <v>477</v>
      </c>
    </row>
    <row r="27746">
      <c r="B27746" s="17" t="s">
        <v>477</v>
      </c>
      <c r="K27746" s="18" t="s">
        <v>477</v>
      </c>
    </row>
    <row r="27747">
      <c r="B27747" s="17" t="s">
        <v>477</v>
      </c>
      <c r="K27747" s="18" t="s">
        <v>477</v>
      </c>
    </row>
    <row r="27748">
      <c r="B27748" s="17" t="s">
        <v>477</v>
      </c>
      <c r="K27748" s="18" t="s">
        <v>477</v>
      </c>
    </row>
    <row r="27749">
      <c r="B27749" s="17" t="s">
        <v>477</v>
      </c>
      <c r="K27749" s="18" t="s">
        <v>477</v>
      </c>
    </row>
    <row r="27750">
      <c r="B27750" s="17" t="s">
        <v>477</v>
      </c>
      <c r="K27750" s="18" t="s">
        <v>477</v>
      </c>
    </row>
    <row r="27751">
      <c r="B27751" s="17" t="s">
        <v>477</v>
      </c>
      <c r="K27751" s="18" t="s">
        <v>477</v>
      </c>
    </row>
    <row r="27752">
      <c r="B27752" s="17" t="s">
        <v>477</v>
      </c>
      <c r="K27752" s="18" t="s">
        <v>477</v>
      </c>
    </row>
    <row r="27753">
      <c r="B27753" s="17" t="s">
        <v>477</v>
      </c>
      <c r="K27753" s="18" t="s">
        <v>477</v>
      </c>
    </row>
    <row r="27754">
      <c r="B27754" s="17" t="s">
        <v>477</v>
      </c>
      <c r="K27754" s="18" t="s">
        <v>477</v>
      </c>
    </row>
    <row r="27755">
      <c r="B27755" s="17" t="s">
        <v>477</v>
      </c>
      <c r="K27755" s="18" t="s">
        <v>477</v>
      </c>
    </row>
    <row r="27756">
      <c r="B27756" s="17" t="s">
        <v>477</v>
      </c>
      <c r="K27756" s="18" t="s">
        <v>477</v>
      </c>
    </row>
    <row r="27757">
      <c r="B27757" s="17" t="s">
        <v>477</v>
      </c>
      <c r="K27757" s="18" t="s">
        <v>477</v>
      </c>
    </row>
    <row r="27758">
      <c r="B27758" s="17" t="s">
        <v>477</v>
      </c>
      <c r="K27758" s="18" t="s">
        <v>477</v>
      </c>
    </row>
    <row r="27759">
      <c r="B27759" s="17" t="s">
        <v>477</v>
      </c>
      <c r="K27759" s="18" t="s">
        <v>477</v>
      </c>
    </row>
    <row r="27760">
      <c r="B27760" s="17" t="s">
        <v>477</v>
      </c>
      <c r="K27760" s="18" t="s">
        <v>477</v>
      </c>
    </row>
    <row r="27761">
      <c r="B27761" s="17" t="s">
        <v>477</v>
      </c>
      <c r="K27761" s="18" t="s">
        <v>477</v>
      </c>
    </row>
    <row r="27762">
      <c r="B27762" s="17" t="s">
        <v>477</v>
      </c>
      <c r="K27762" s="18" t="s">
        <v>477</v>
      </c>
    </row>
    <row r="27763">
      <c r="B27763" s="17" t="s">
        <v>477</v>
      </c>
      <c r="K27763" s="18" t="s">
        <v>477</v>
      </c>
    </row>
    <row r="27764">
      <c r="B27764" s="17" t="s">
        <v>477</v>
      </c>
      <c r="K27764" s="18" t="s">
        <v>477</v>
      </c>
    </row>
    <row r="27765">
      <c r="B27765" s="17" t="s">
        <v>477</v>
      </c>
      <c r="K27765" s="18" t="s">
        <v>477</v>
      </c>
    </row>
    <row r="27766">
      <c r="B27766" s="17" t="s">
        <v>477</v>
      </c>
      <c r="K27766" s="18" t="s">
        <v>477</v>
      </c>
    </row>
    <row r="27767">
      <c r="B27767" s="17" t="s">
        <v>477</v>
      </c>
      <c r="K27767" s="18" t="s">
        <v>477</v>
      </c>
    </row>
    <row r="27768">
      <c r="B27768" s="17" t="s">
        <v>477</v>
      </c>
      <c r="K27768" s="18" t="s">
        <v>477</v>
      </c>
    </row>
    <row r="27769">
      <c r="B27769" s="17" t="s">
        <v>477</v>
      </c>
      <c r="K27769" s="18" t="s">
        <v>477</v>
      </c>
    </row>
    <row r="27770">
      <c r="B27770" s="17" t="s">
        <v>477</v>
      </c>
      <c r="K27770" s="18" t="s">
        <v>477</v>
      </c>
    </row>
    <row r="27771">
      <c r="B27771" s="17" t="s">
        <v>477</v>
      </c>
      <c r="K27771" s="18" t="s">
        <v>477</v>
      </c>
    </row>
    <row r="27772">
      <c r="B27772" s="17" t="s">
        <v>477</v>
      </c>
      <c r="K27772" s="18" t="s">
        <v>477</v>
      </c>
    </row>
    <row r="27773">
      <c r="B27773" s="17" t="s">
        <v>477</v>
      </c>
      <c r="K27773" s="18" t="s">
        <v>477</v>
      </c>
    </row>
    <row r="27774">
      <c r="B27774" s="17" t="s">
        <v>477</v>
      </c>
      <c r="K27774" s="18" t="s">
        <v>477</v>
      </c>
    </row>
    <row r="27775">
      <c r="B27775" s="17" t="s">
        <v>477</v>
      </c>
      <c r="K27775" s="18" t="s">
        <v>477</v>
      </c>
    </row>
    <row r="27776">
      <c r="B27776" s="17" t="s">
        <v>477</v>
      </c>
      <c r="K27776" s="18" t="s">
        <v>477</v>
      </c>
    </row>
    <row r="27777">
      <c r="B27777" s="17" t="s">
        <v>477</v>
      </c>
      <c r="K27777" s="18" t="s">
        <v>477</v>
      </c>
    </row>
    <row r="27778">
      <c r="B27778" s="17" t="s">
        <v>477</v>
      </c>
      <c r="K27778" s="18" t="s">
        <v>477</v>
      </c>
    </row>
    <row r="27779">
      <c r="B27779" s="17" t="s">
        <v>477</v>
      </c>
      <c r="K27779" s="18" t="s">
        <v>477</v>
      </c>
    </row>
    <row r="27780">
      <c r="B27780" s="17" t="s">
        <v>477</v>
      </c>
      <c r="K27780" s="18" t="s">
        <v>477</v>
      </c>
    </row>
    <row r="27781">
      <c r="B27781" s="17" t="s">
        <v>477</v>
      </c>
      <c r="K27781" s="18" t="s">
        <v>477</v>
      </c>
    </row>
    <row r="27782">
      <c r="B27782" s="17" t="s">
        <v>477</v>
      </c>
      <c r="K27782" s="18" t="s">
        <v>477</v>
      </c>
    </row>
    <row r="27783">
      <c r="B27783" s="17" t="s">
        <v>477</v>
      </c>
      <c r="K27783" s="18" t="s">
        <v>477</v>
      </c>
    </row>
    <row r="27784">
      <c r="B27784" s="17" t="s">
        <v>477</v>
      </c>
      <c r="K27784" s="18" t="s">
        <v>477</v>
      </c>
    </row>
    <row r="27785">
      <c r="B27785" s="17" t="s">
        <v>477</v>
      </c>
      <c r="K27785" s="18" t="s">
        <v>477</v>
      </c>
    </row>
    <row r="27786">
      <c r="B27786" s="17" t="s">
        <v>477</v>
      </c>
      <c r="K27786" s="18" t="s">
        <v>477</v>
      </c>
    </row>
    <row r="27787">
      <c r="B27787" s="17" t="s">
        <v>477</v>
      </c>
      <c r="K27787" s="18" t="s">
        <v>477</v>
      </c>
    </row>
    <row r="27788">
      <c r="B27788" s="17" t="s">
        <v>477</v>
      </c>
      <c r="K27788" s="18" t="s">
        <v>477</v>
      </c>
    </row>
    <row r="27789">
      <c r="B27789" s="17" t="s">
        <v>477</v>
      </c>
      <c r="K27789" s="18" t="s">
        <v>477</v>
      </c>
    </row>
    <row r="27790">
      <c r="B27790" s="17" t="s">
        <v>477</v>
      </c>
      <c r="K27790" s="18" t="s">
        <v>477</v>
      </c>
    </row>
    <row r="27791">
      <c r="B27791" s="17" t="s">
        <v>477</v>
      </c>
      <c r="K27791" s="18" t="s">
        <v>477</v>
      </c>
    </row>
    <row r="27792">
      <c r="B27792" s="17" t="s">
        <v>477</v>
      </c>
      <c r="K27792" s="18" t="s">
        <v>477</v>
      </c>
    </row>
    <row r="27793">
      <c r="B27793" s="17" t="s">
        <v>477</v>
      </c>
      <c r="K27793" s="18" t="s">
        <v>477</v>
      </c>
    </row>
    <row r="27794">
      <c r="B27794" s="17" t="s">
        <v>477</v>
      </c>
      <c r="K27794" s="18" t="s">
        <v>477</v>
      </c>
    </row>
    <row r="27795">
      <c r="B27795" s="17" t="s">
        <v>477</v>
      </c>
      <c r="K27795" s="18" t="s">
        <v>477</v>
      </c>
    </row>
    <row r="27796">
      <c r="B27796" s="17" t="s">
        <v>477</v>
      </c>
      <c r="K27796" s="18" t="s">
        <v>477</v>
      </c>
    </row>
    <row r="27797">
      <c r="B27797" s="17" t="s">
        <v>477</v>
      </c>
      <c r="K27797" s="18" t="s">
        <v>477</v>
      </c>
    </row>
    <row r="27798">
      <c r="B27798" s="17" t="s">
        <v>477</v>
      </c>
      <c r="K27798" s="18" t="s">
        <v>477</v>
      </c>
    </row>
    <row r="27799">
      <c r="B27799" s="17" t="s">
        <v>477</v>
      </c>
      <c r="K27799" s="18" t="s">
        <v>477</v>
      </c>
    </row>
    <row r="27800">
      <c r="B27800" s="17" t="s">
        <v>477</v>
      </c>
      <c r="K27800" s="18" t="s">
        <v>477</v>
      </c>
    </row>
    <row r="27801">
      <c r="B27801" s="17" t="s">
        <v>477</v>
      </c>
      <c r="K27801" s="18" t="s">
        <v>477</v>
      </c>
    </row>
    <row r="27802">
      <c r="B27802" s="17" t="s">
        <v>477</v>
      </c>
      <c r="K27802" s="18" t="s">
        <v>477</v>
      </c>
    </row>
    <row r="27803">
      <c r="B27803" s="17" t="s">
        <v>477</v>
      </c>
      <c r="K27803" s="18" t="s">
        <v>477</v>
      </c>
    </row>
    <row r="27804">
      <c r="B27804" s="17" t="s">
        <v>477</v>
      </c>
      <c r="K27804" s="18" t="s">
        <v>477</v>
      </c>
    </row>
    <row r="27805">
      <c r="B27805" s="17" t="s">
        <v>477</v>
      </c>
      <c r="K27805" s="18" t="s">
        <v>477</v>
      </c>
    </row>
    <row r="27806">
      <c r="B27806" s="17" t="s">
        <v>477</v>
      </c>
      <c r="K27806" s="18" t="s">
        <v>477</v>
      </c>
    </row>
    <row r="27807">
      <c r="B27807" s="17" t="s">
        <v>477</v>
      </c>
      <c r="K27807" s="18" t="s">
        <v>477</v>
      </c>
    </row>
    <row r="27808">
      <c r="B27808" s="17" t="s">
        <v>477</v>
      </c>
      <c r="K27808" s="18" t="s">
        <v>477</v>
      </c>
    </row>
    <row r="27809">
      <c r="B27809" s="17" t="s">
        <v>477</v>
      </c>
      <c r="K27809" s="18" t="s">
        <v>477</v>
      </c>
    </row>
    <row r="27810">
      <c r="B27810" s="17" t="s">
        <v>477</v>
      </c>
      <c r="K27810" s="18" t="s">
        <v>477</v>
      </c>
    </row>
    <row r="27811">
      <c r="B27811" s="17" t="s">
        <v>477</v>
      </c>
      <c r="K27811" s="18" t="s">
        <v>477</v>
      </c>
    </row>
    <row r="27812">
      <c r="B27812" s="17" t="s">
        <v>477</v>
      </c>
      <c r="K27812" s="18" t="s">
        <v>477</v>
      </c>
    </row>
    <row r="27813">
      <c r="B27813" s="17" t="s">
        <v>477</v>
      </c>
      <c r="K27813" s="18" t="s">
        <v>477</v>
      </c>
    </row>
    <row r="27814">
      <c r="B27814" s="17" t="s">
        <v>477</v>
      </c>
      <c r="K27814" s="18" t="s">
        <v>477</v>
      </c>
    </row>
    <row r="27815">
      <c r="B27815" s="17" t="s">
        <v>477</v>
      </c>
      <c r="K27815" s="18" t="s">
        <v>477</v>
      </c>
    </row>
    <row r="27816">
      <c r="B27816" s="17" t="s">
        <v>477</v>
      </c>
      <c r="K27816" s="18" t="s">
        <v>477</v>
      </c>
    </row>
    <row r="27817">
      <c r="B27817" s="17" t="s">
        <v>477</v>
      </c>
      <c r="K27817" s="18" t="s">
        <v>477</v>
      </c>
    </row>
    <row r="27818">
      <c r="B27818" s="17" t="s">
        <v>477</v>
      </c>
      <c r="K27818" s="18" t="s">
        <v>477</v>
      </c>
    </row>
    <row r="27819">
      <c r="B27819" s="17" t="s">
        <v>477</v>
      </c>
      <c r="K27819" s="18" t="s">
        <v>477</v>
      </c>
    </row>
    <row r="27820">
      <c r="B27820" s="17" t="s">
        <v>477</v>
      </c>
      <c r="K27820" s="18" t="s">
        <v>477</v>
      </c>
    </row>
    <row r="27821">
      <c r="B27821" s="17" t="s">
        <v>477</v>
      </c>
      <c r="K27821" s="18" t="s">
        <v>477</v>
      </c>
    </row>
    <row r="27822">
      <c r="B27822" s="17" t="s">
        <v>477</v>
      </c>
      <c r="K27822" s="18" t="s">
        <v>477</v>
      </c>
    </row>
    <row r="27823">
      <c r="B27823" s="17" t="s">
        <v>477</v>
      </c>
      <c r="K27823" s="18" t="s">
        <v>477</v>
      </c>
    </row>
    <row r="27824">
      <c r="B27824" s="17" t="s">
        <v>477</v>
      </c>
      <c r="K27824" s="18" t="s">
        <v>477</v>
      </c>
    </row>
    <row r="27825">
      <c r="B27825" s="17" t="s">
        <v>477</v>
      </c>
      <c r="K27825" s="18" t="s">
        <v>477</v>
      </c>
    </row>
    <row r="27826">
      <c r="B27826" s="17" t="s">
        <v>477</v>
      </c>
      <c r="K27826" s="18" t="s">
        <v>477</v>
      </c>
    </row>
    <row r="27827">
      <c r="B27827" s="17" t="s">
        <v>477</v>
      </c>
      <c r="K27827" s="18" t="s">
        <v>477</v>
      </c>
    </row>
    <row r="27828">
      <c r="B27828" s="17" t="s">
        <v>477</v>
      </c>
      <c r="K27828" s="18" t="s">
        <v>477</v>
      </c>
    </row>
    <row r="27829">
      <c r="B27829" s="17" t="s">
        <v>477</v>
      </c>
      <c r="K27829" s="18" t="s">
        <v>477</v>
      </c>
    </row>
    <row r="27830">
      <c r="B27830" s="17" t="s">
        <v>477</v>
      </c>
      <c r="K27830" s="18" t="s">
        <v>477</v>
      </c>
    </row>
    <row r="27831">
      <c r="B27831" s="17" t="s">
        <v>477</v>
      </c>
      <c r="K27831" s="18" t="s">
        <v>477</v>
      </c>
    </row>
    <row r="27832">
      <c r="B27832" s="17" t="s">
        <v>477</v>
      </c>
      <c r="K27832" s="18" t="s">
        <v>477</v>
      </c>
    </row>
    <row r="27833">
      <c r="B27833" s="17" t="s">
        <v>477</v>
      </c>
      <c r="K27833" s="18" t="s">
        <v>477</v>
      </c>
    </row>
    <row r="27834">
      <c r="B27834" s="17" t="s">
        <v>477</v>
      </c>
      <c r="K27834" s="18" t="s">
        <v>477</v>
      </c>
    </row>
    <row r="27835">
      <c r="B27835" s="17" t="s">
        <v>477</v>
      </c>
      <c r="K27835" s="18" t="s">
        <v>477</v>
      </c>
    </row>
    <row r="27836">
      <c r="B27836" s="17" t="s">
        <v>477</v>
      </c>
      <c r="K27836" s="18" t="s">
        <v>477</v>
      </c>
    </row>
    <row r="27837">
      <c r="B27837" s="17" t="s">
        <v>477</v>
      </c>
      <c r="K27837" s="18" t="s">
        <v>477</v>
      </c>
    </row>
    <row r="27838">
      <c r="B27838" s="17" t="s">
        <v>477</v>
      </c>
      <c r="K27838" s="18" t="s">
        <v>477</v>
      </c>
    </row>
    <row r="27839">
      <c r="B27839" s="17" t="s">
        <v>477</v>
      </c>
      <c r="K27839" s="18" t="s">
        <v>477</v>
      </c>
    </row>
    <row r="27840">
      <c r="B27840" s="17" t="s">
        <v>477</v>
      </c>
      <c r="K27840" s="18" t="s">
        <v>477</v>
      </c>
    </row>
    <row r="27841">
      <c r="B27841" s="17" t="s">
        <v>477</v>
      </c>
      <c r="K27841" s="18" t="s">
        <v>477</v>
      </c>
    </row>
    <row r="27842">
      <c r="B27842" s="17" t="s">
        <v>477</v>
      </c>
      <c r="K27842" s="18" t="s">
        <v>477</v>
      </c>
    </row>
    <row r="27843">
      <c r="B27843" s="17" t="s">
        <v>477</v>
      </c>
      <c r="K27843" s="18" t="s">
        <v>477</v>
      </c>
    </row>
    <row r="27844">
      <c r="B27844" s="17" t="s">
        <v>477</v>
      </c>
      <c r="K27844" s="18" t="s">
        <v>477</v>
      </c>
    </row>
    <row r="27845">
      <c r="B27845" s="17" t="s">
        <v>477</v>
      </c>
      <c r="K27845" s="18" t="s">
        <v>477</v>
      </c>
    </row>
    <row r="27846">
      <c r="B27846" s="17" t="s">
        <v>477</v>
      </c>
      <c r="K27846" s="18" t="s">
        <v>477</v>
      </c>
    </row>
    <row r="27847">
      <c r="B27847" s="17" t="s">
        <v>477</v>
      </c>
      <c r="K27847" s="18" t="s">
        <v>477</v>
      </c>
    </row>
    <row r="27848">
      <c r="B27848" s="17" t="s">
        <v>477</v>
      </c>
      <c r="K27848" s="18" t="s">
        <v>477</v>
      </c>
    </row>
    <row r="27849">
      <c r="B27849" s="17" t="s">
        <v>477</v>
      </c>
      <c r="K27849" s="18" t="s">
        <v>477</v>
      </c>
    </row>
    <row r="27850">
      <c r="B27850" s="17" t="s">
        <v>477</v>
      </c>
      <c r="K27850" s="18" t="s">
        <v>477</v>
      </c>
    </row>
    <row r="27851">
      <c r="B27851" s="17" t="s">
        <v>477</v>
      </c>
      <c r="K27851" s="18" t="s">
        <v>477</v>
      </c>
    </row>
    <row r="27852">
      <c r="B27852" s="17" t="s">
        <v>477</v>
      </c>
      <c r="K27852" s="18" t="s">
        <v>477</v>
      </c>
    </row>
    <row r="27853">
      <c r="B27853" s="17" t="s">
        <v>477</v>
      </c>
      <c r="K27853" s="18" t="s">
        <v>477</v>
      </c>
    </row>
    <row r="27854">
      <c r="B27854" s="17" t="s">
        <v>477</v>
      </c>
      <c r="K27854" s="18" t="s">
        <v>477</v>
      </c>
    </row>
    <row r="27855">
      <c r="B27855" s="17" t="s">
        <v>477</v>
      </c>
      <c r="K27855" s="18" t="s">
        <v>477</v>
      </c>
    </row>
    <row r="27856">
      <c r="B27856" s="17" t="s">
        <v>477</v>
      </c>
      <c r="K27856" s="18" t="s">
        <v>477</v>
      </c>
    </row>
    <row r="27857">
      <c r="B27857" s="17" t="s">
        <v>477</v>
      </c>
      <c r="K27857" s="18" t="s">
        <v>477</v>
      </c>
    </row>
    <row r="27858">
      <c r="B27858" s="17" t="s">
        <v>477</v>
      </c>
      <c r="K27858" s="18" t="s">
        <v>477</v>
      </c>
    </row>
    <row r="27859">
      <c r="B27859" s="17" t="s">
        <v>477</v>
      </c>
      <c r="K27859" s="18" t="s">
        <v>477</v>
      </c>
    </row>
    <row r="27860">
      <c r="B27860" s="17" t="s">
        <v>477</v>
      </c>
      <c r="K27860" s="18" t="s">
        <v>477</v>
      </c>
    </row>
    <row r="27861">
      <c r="B27861" s="17" t="s">
        <v>477</v>
      </c>
      <c r="K27861" s="18" t="s">
        <v>477</v>
      </c>
    </row>
    <row r="27862">
      <c r="B27862" s="17" t="s">
        <v>477</v>
      </c>
      <c r="K27862" s="18" t="s">
        <v>477</v>
      </c>
    </row>
    <row r="27863">
      <c r="B27863" s="17" t="s">
        <v>477</v>
      </c>
      <c r="K27863" s="18" t="s">
        <v>477</v>
      </c>
    </row>
    <row r="27864">
      <c r="B27864" s="17" t="s">
        <v>477</v>
      </c>
      <c r="K27864" s="18" t="s">
        <v>477</v>
      </c>
    </row>
    <row r="27865">
      <c r="B27865" s="17" t="s">
        <v>477</v>
      </c>
      <c r="K27865" s="18" t="s">
        <v>477</v>
      </c>
    </row>
    <row r="27866">
      <c r="B27866" s="17" t="s">
        <v>477</v>
      </c>
      <c r="K27866" s="18" t="s">
        <v>477</v>
      </c>
    </row>
    <row r="27867">
      <c r="B27867" s="17" t="s">
        <v>477</v>
      </c>
      <c r="K27867" s="18" t="s">
        <v>477</v>
      </c>
    </row>
    <row r="27868">
      <c r="B27868" s="17" t="s">
        <v>477</v>
      </c>
      <c r="K27868" s="18" t="s">
        <v>477</v>
      </c>
    </row>
    <row r="27869">
      <c r="B27869" s="17" t="s">
        <v>477</v>
      </c>
      <c r="K27869" s="18" t="s">
        <v>477</v>
      </c>
    </row>
    <row r="27870">
      <c r="B27870" s="17" t="s">
        <v>477</v>
      </c>
      <c r="K27870" s="18" t="s">
        <v>477</v>
      </c>
    </row>
    <row r="27871">
      <c r="B27871" s="17" t="s">
        <v>477</v>
      </c>
      <c r="K27871" s="18" t="s">
        <v>477</v>
      </c>
    </row>
    <row r="27872">
      <c r="B27872" s="17" t="s">
        <v>477</v>
      </c>
      <c r="K27872" s="18" t="s">
        <v>477</v>
      </c>
    </row>
    <row r="27873">
      <c r="B27873" s="17" t="s">
        <v>477</v>
      </c>
      <c r="K27873" s="18" t="s">
        <v>477</v>
      </c>
    </row>
    <row r="27874">
      <c r="B27874" s="17" t="s">
        <v>477</v>
      </c>
      <c r="K27874" s="18" t="s">
        <v>477</v>
      </c>
    </row>
    <row r="27875">
      <c r="B27875" s="17" t="s">
        <v>477</v>
      </c>
      <c r="K27875" s="18" t="s">
        <v>477</v>
      </c>
    </row>
    <row r="27876">
      <c r="B27876" s="17" t="s">
        <v>477</v>
      </c>
      <c r="K27876" s="18" t="s">
        <v>477</v>
      </c>
    </row>
    <row r="27877">
      <c r="B27877" s="17" t="s">
        <v>477</v>
      </c>
      <c r="K27877" s="18" t="s">
        <v>477</v>
      </c>
    </row>
    <row r="27878">
      <c r="B27878" s="17" t="s">
        <v>477</v>
      </c>
      <c r="K27878" s="18" t="s">
        <v>477</v>
      </c>
    </row>
    <row r="27879">
      <c r="B27879" s="17" t="s">
        <v>477</v>
      </c>
      <c r="K27879" s="18" t="s">
        <v>477</v>
      </c>
    </row>
    <row r="27880">
      <c r="B27880" s="17" t="s">
        <v>477</v>
      </c>
      <c r="K27880" s="18" t="s">
        <v>477</v>
      </c>
    </row>
    <row r="27881">
      <c r="B27881" s="17" t="s">
        <v>477</v>
      </c>
      <c r="K27881" s="18" t="s">
        <v>477</v>
      </c>
    </row>
    <row r="27882">
      <c r="B27882" s="17" t="s">
        <v>477</v>
      </c>
      <c r="K27882" s="18" t="s">
        <v>477</v>
      </c>
    </row>
    <row r="27883">
      <c r="B27883" s="17" t="s">
        <v>477</v>
      </c>
      <c r="K27883" s="18" t="s">
        <v>477</v>
      </c>
    </row>
    <row r="27884">
      <c r="B27884" s="17" t="s">
        <v>477</v>
      </c>
      <c r="K27884" s="18" t="s">
        <v>477</v>
      </c>
    </row>
    <row r="27885">
      <c r="B27885" s="17" t="s">
        <v>477</v>
      </c>
      <c r="K27885" s="18" t="s">
        <v>477</v>
      </c>
    </row>
    <row r="27886">
      <c r="B27886" s="17" t="s">
        <v>477</v>
      </c>
      <c r="K27886" s="18" t="s">
        <v>477</v>
      </c>
    </row>
    <row r="27887">
      <c r="B27887" s="17" t="s">
        <v>477</v>
      </c>
      <c r="K27887" s="18" t="s">
        <v>477</v>
      </c>
    </row>
    <row r="27888">
      <c r="B27888" s="17" t="s">
        <v>477</v>
      </c>
      <c r="K27888" s="18" t="s">
        <v>477</v>
      </c>
    </row>
    <row r="27889">
      <c r="B27889" s="17" t="s">
        <v>477</v>
      </c>
      <c r="K27889" s="18" t="s">
        <v>477</v>
      </c>
    </row>
    <row r="27890">
      <c r="B27890" s="17" t="s">
        <v>477</v>
      </c>
      <c r="K27890" s="18" t="s">
        <v>477</v>
      </c>
    </row>
    <row r="27891">
      <c r="B27891" s="17" t="s">
        <v>477</v>
      </c>
      <c r="K27891" s="18" t="s">
        <v>477</v>
      </c>
    </row>
    <row r="27892">
      <c r="B27892" s="17" t="s">
        <v>477</v>
      </c>
      <c r="K27892" s="18" t="s">
        <v>477</v>
      </c>
    </row>
    <row r="27893">
      <c r="B27893" s="17" t="s">
        <v>477</v>
      </c>
      <c r="K27893" s="18" t="s">
        <v>477</v>
      </c>
    </row>
    <row r="27894">
      <c r="B27894" s="17" t="s">
        <v>477</v>
      </c>
      <c r="K27894" s="18" t="s">
        <v>477</v>
      </c>
    </row>
    <row r="27895">
      <c r="B27895" s="17" t="s">
        <v>477</v>
      </c>
      <c r="K27895" s="18" t="s">
        <v>477</v>
      </c>
    </row>
    <row r="27896">
      <c r="B27896" s="17" t="s">
        <v>477</v>
      </c>
      <c r="K27896" s="18" t="s">
        <v>477</v>
      </c>
    </row>
    <row r="27897">
      <c r="B27897" s="17" t="s">
        <v>477</v>
      </c>
      <c r="K27897" s="18" t="s">
        <v>477</v>
      </c>
    </row>
    <row r="27898">
      <c r="B27898" s="17" t="s">
        <v>477</v>
      </c>
      <c r="K27898" s="18" t="s">
        <v>477</v>
      </c>
    </row>
    <row r="27899">
      <c r="B27899" s="17" t="s">
        <v>477</v>
      </c>
      <c r="K27899" s="18" t="s">
        <v>477</v>
      </c>
    </row>
    <row r="27900">
      <c r="B27900" s="17" t="s">
        <v>477</v>
      </c>
      <c r="K27900" s="18" t="s">
        <v>477</v>
      </c>
    </row>
    <row r="27901">
      <c r="B27901" s="17" t="s">
        <v>477</v>
      </c>
      <c r="K27901" s="18" t="s">
        <v>477</v>
      </c>
    </row>
    <row r="27902">
      <c r="B27902" s="17" t="s">
        <v>477</v>
      </c>
      <c r="K27902" s="18" t="s">
        <v>477</v>
      </c>
    </row>
    <row r="27903">
      <c r="B27903" s="17" t="s">
        <v>477</v>
      </c>
      <c r="K27903" s="18" t="s">
        <v>477</v>
      </c>
    </row>
    <row r="27904">
      <c r="B27904" s="17" t="s">
        <v>477</v>
      </c>
      <c r="K27904" s="18" t="s">
        <v>477</v>
      </c>
    </row>
    <row r="27905">
      <c r="B27905" s="17" t="s">
        <v>477</v>
      </c>
      <c r="K27905" s="18" t="s">
        <v>477</v>
      </c>
    </row>
    <row r="27906">
      <c r="B27906" s="17" t="s">
        <v>477</v>
      </c>
      <c r="K27906" s="18" t="s">
        <v>477</v>
      </c>
    </row>
    <row r="27907">
      <c r="B27907" s="17" t="s">
        <v>477</v>
      </c>
      <c r="K27907" s="18" t="s">
        <v>477</v>
      </c>
    </row>
    <row r="27908">
      <c r="B27908" s="17" t="s">
        <v>477</v>
      </c>
      <c r="K27908" s="18" t="s">
        <v>477</v>
      </c>
    </row>
    <row r="27909">
      <c r="B27909" s="17" t="s">
        <v>477</v>
      </c>
      <c r="K27909" s="18" t="s">
        <v>477</v>
      </c>
    </row>
    <row r="27910">
      <c r="B27910" s="17" t="s">
        <v>477</v>
      </c>
      <c r="K27910" s="18" t="s">
        <v>477</v>
      </c>
    </row>
    <row r="27911">
      <c r="B27911" s="17" t="s">
        <v>477</v>
      </c>
      <c r="K27911" s="18" t="s">
        <v>477</v>
      </c>
    </row>
    <row r="27912">
      <c r="B27912" s="17" t="s">
        <v>477</v>
      </c>
      <c r="K27912" s="18" t="s">
        <v>477</v>
      </c>
    </row>
    <row r="27913">
      <c r="B27913" s="17" t="s">
        <v>477</v>
      </c>
      <c r="K27913" s="18" t="s">
        <v>477</v>
      </c>
    </row>
    <row r="27914">
      <c r="B27914" s="17" t="s">
        <v>477</v>
      </c>
      <c r="K27914" s="18" t="s">
        <v>477</v>
      </c>
    </row>
    <row r="27915">
      <c r="B27915" s="17" t="s">
        <v>477</v>
      </c>
      <c r="K27915" s="18" t="s">
        <v>477</v>
      </c>
    </row>
    <row r="27916">
      <c r="B27916" s="17" t="s">
        <v>477</v>
      </c>
      <c r="K27916" s="18" t="s">
        <v>477</v>
      </c>
    </row>
    <row r="27917">
      <c r="B27917" s="17" t="s">
        <v>477</v>
      </c>
      <c r="K27917" s="18" t="s">
        <v>477</v>
      </c>
    </row>
    <row r="27918">
      <c r="B27918" s="17" t="s">
        <v>477</v>
      </c>
      <c r="K27918" s="18" t="s">
        <v>477</v>
      </c>
    </row>
    <row r="27919">
      <c r="B27919" s="17" t="s">
        <v>477</v>
      </c>
      <c r="K27919" s="18" t="s">
        <v>477</v>
      </c>
    </row>
    <row r="27920">
      <c r="B27920" s="17" t="s">
        <v>477</v>
      </c>
      <c r="K27920" s="18" t="s">
        <v>477</v>
      </c>
    </row>
    <row r="27921">
      <c r="B27921" s="17" t="s">
        <v>477</v>
      </c>
      <c r="K27921" s="18" t="s">
        <v>477</v>
      </c>
    </row>
    <row r="27922">
      <c r="B27922" s="17" t="s">
        <v>477</v>
      </c>
      <c r="K27922" s="18" t="s">
        <v>477</v>
      </c>
    </row>
    <row r="27923">
      <c r="B27923" s="17" t="s">
        <v>477</v>
      </c>
      <c r="K27923" s="18" t="s">
        <v>477</v>
      </c>
    </row>
    <row r="27924">
      <c r="B27924" s="17" t="s">
        <v>477</v>
      </c>
      <c r="K27924" s="18" t="s">
        <v>477</v>
      </c>
    </row>
    <row r="27925">
      <c r="B27925" s="17" t="s">
        <v>477</v>
      </c>
      <c r="K27925" s="18" t="s">
        <v>477</v>
      </c>
    </row>
    <row r="27926">
      <c r="B27926" s="17" t="s">
        <v>477</v>
      </c>
      <c r="K27926" s="18" t="s">
        <v>477</v>
      </c>
    </row>
    <row r="27927">
      <c r="B27927" s="17" t="s">
        <v>477</v>
      </c>
      <c r="K27927" s="18" t="s">
        <v>477</v>
      </c>
    </row>
    <row r="27928">
      <c r="B27928" s="17" t="s">
        <v>477</v>
      </c>
      <c r="K27928" s="18" t="s">
        <v>477</v>
      </c>
    </row>
    <row r="27929">
      <c r="B27929" s="17" t="s">
        <v>477</v>
      </c>
      <c r="K27929" s="18" t="s">
        <v>477</v>
      </c>
    </row>
    <row r="27930">
      <c r="B27930" s="17" t="s">
        <v>477</v>
      </c>
      <c r="K27930" s="18" t="s">
        <v>477</v>
      </c>
    </row>
    <row r="27931">
      <c r="B27931" s="17" t="s">
        <v>477</v>
      </c>
      <c r="K27931" s="18" t="s">
        <v>477</v>
      </c>
    </row>
    <row r="27932">
      <c r="B27932" s="17" t="s">
        <v>477</v>
      </c>
      <c r="K27932" s="18" t="s">
        <v>477</v>
      </c>
    </row>
    <row r="27933">
      <c r="B27933" s="17" t="s">
        <v>477</v>
      </c>
      <c r="K27933" s="18" t="s">
        <v>477</v>
      </c>
    </row>
    <row r="27934">
      <c r="B27934" s="17" t="s">
        <v>477</v>
      </c>
      <c r="K27934" s="18" t="s">
        <v>477</v>
      </c>
    </row>
    <row r="27935">
      <c r="B27935" s="17" t="s">
        <v>477</v>
      </c>
      <c r="K27935" s="18" t="s">
        <v>477</v>
      </c>
    </row>
    <row r="27936">
      <c r="B27936" s="17" t="s">
        <v>477</v>
      </c>
      <c r="K27936" s="18" t="s">
        <v>477</v>
      </c>
    </row>
    <row r="27937">
      <c r="B27937" s="17" t="s">
        <v>477</v>
      </c>
      <c r="K27937" s="18" t="s">
        <v>477</v>
      </c>
    </row>
    <row r="27938">
      <c r="B27938" s="17" t="s">
        <v>477</v>
      </c>
      <c r="K27938" s="18" t="s">
        <v>477</v>
      </c>
    </row>
    <row r="27939">
      <c r="B27939" s="17" t="s">
        <v>477</v>
      </c>
      <c r="K27939" s="18" t="s">
        <v>477</v>
      </c>
    </row>
    <row r="27940">
      <c r="B27940" s="17" t="s">
        <v>477</v>
      </c>
      <c r="K27940" s="18" t="s">
        <v>477</v>
      </c>
    </row>
    <row r="27941">
      <c r="B27941" s="17" t="s">
        <v>477</v>
      </c>
      <c r="K27941" s="18" t="s">
        <v>477</v>
      </c>
    </row>
    <row r="27942">
      <c r="B27942" s="17" t="s">
        <v>477</v>
      </c>
      <c r="K27942" s="18" t="s">
        <v>477</v>
      </c>
    </row>
    <row r="27943">
      <c r="B27943" s="17" t="s">
        <v>477</v>
      </c>
      <c r="K27943" s="18" t="s">
        <v>477</v>
      </c>
    </row>
    <row r="27944">
      <c r="B27944" s="17" t="s">
        <v>477</v>
      </c>
      <c r="K27944" s="18" t="s">
        <v>477</v>
      </c>
    </row>
    <row r="27945">
      <c r="B27945" s="17" t="s">
        <v>477</v>
      </c>
      <c r="K27945" s="18" t="s">
        <v>477</v>
      </c>
    </row>
    <row r="27946">
      <c r="B27946" s="17" t="s">
        <v>477</v>
      </c>
      <c r="K27946" s="18" t="s">
        <v>477</v>
      </c>
    </row>
    <row r="27947">
      <c r="B27947" s="17" t="s">
        <v>477</v>
      </c>
      <c r="K27947" s="18" t="s">
        <v>477</v>
      </c>
    </row>
    <row r="27948">
      <c r="B27948" s="17" t="s">
        <v>477</v>
      </c>
      <c r="K27948" s="18" t="s">
        <v>477</v>
      </c>
    </row>
    <row r="27949">
      <c r="B27949" s="17" t="s">
        <v>477</v>
      </c>
      <c r="K27949" s="18" t="s">
        <v>477</v>
      </c>
    </row>
    <row r="27950">
      <c r="B27950" s="17" t="s">
        <v>477</v>
      </c>
      <c r="K27950" s="18" t="s">
        <v>477</v>
      </c>
    </row>
    <row r="27951">
      <c r="B27951" s="17" t="s">
        <v>477</v>
      </c>
      <c r="K27951" s="18" t="s">
        <v>477</v>
      </c>
    </row>
    <row r="27952">
      <c r="B27952" s="17" t="s">
        <v>477</v>
      </c>
      <c r="K27952" s="18" t="s">
        <v>477</v>
      </c>
    </row>
    <row r="27953">
      <c r="B27953" s="17" t="s">
        <v>477</v>
      </c>
      <c r="K27953" s="18" t="s">
        <v>477</v>
      </c>
    </row>
    <row r="27954">
      <c r="B27954" s="17" t="s">
        <v>477</v>
      </c>
      <c r="K27954" s="18" t="s">
        <v>477</v>
      </c>
    </row>
    <row r="27955">
      <c r="B27955" s="17" t="s">
        <v>477</v>
      </c>
      <c r="K27955" s="18" t="s">
        <v>477</v>
      </c>
    </row>
    <row r="27956">
      <c r="B27956" s="17" t="s">
        <v>477</v>
      </c>
      <c r="K27956" s="18" t="s">
        <v>477</v>
      </c>
    </row>
    <row r="27957">
      <c r="B27957" s="17" t="s">
        <v>477</v>
      </c>
      <c r="K27957" s="18" t="s">
        <v>477</v>
      </c>
    </row>
    <row r="27958">
      <c r="B27958" s="17" t="s">
        <v>477</v>
      </c>
      <c r="K27958" s="18" t="s">
        <v>477</v>
      </c>
    </row>
    <row r="27959">
      <c r="B27959" s="17" t="s">
        <v>477</v>
      </c>
      <c r="K27959" s="18" t="s">
        <v>477</v>
      </c>
    </row>
    <row r="27960">
      <c r="B27960" s="17" t="s">
        <v>477</v>
      </c>
      <c r="K27960" s="18" t="s">
        <v>477</v>
      </c>
    </row>
    <row r="27961">
      <c r="B27961" s="17" t="s">
        <v>477</v>
      </c>
      <c r="K27961" s="18" t="s">
        <v>477</v>
      </c>
    </row>
    <row r="27962">
      <c r="B27962" s="17" t="s">
        <v>477</v>
      </c>
      <c r="K27962" s="18" t="s">
        <v>477</v>
      </c>
    </row>
    <row r="27963">
      <c r="B27963" s="17" t="s">
        <v>477</v>
      </c>
      <c r="K27963" s="18" t="s">
        <v>477</v>
      </c>
    </row>
    <row r="27964">
      <c r="B27964" s="17" t="s">
        <v>477</v>
      </c>
      <c r="K27964" s="18" t="s">
        <v>477</v>
      </c>
    </row>
    <row r="27965">
      <c r="B27965" s="17" t="s">
        <v>477</v>
      </c>
      <c r="K27965" s="18" t="s">
        <v>477</v>
      </c>
    </row>
    <row r="27966">
      <c r="B27966" s="17" t="s">
        <v>477</v>
      </c>
      <c r="K27966" s="18" t="s">
        <v>477</v>
      </c>
    </row>
    <row r="27967">
      <c r="B27967" s="17" t="s">
        <v>477</v>
      </c>
      <c r="K27967" s="18" t="s">
        <v>477</v>
      </c>
    </row>
    <row r="27968">
      <c r="B27968" s="17" t="s">
        <v>477</v>
      </c>
      <c r="K27968" s="18" t="s">
        <v>477</v>
      </c>
    </row>
    <row r="27969">
      <c r="B27969" s="17" t="s">
        <v>477</v>
      </c>
      <c r="K27969" s="18" t="s">
        <v>477</v>
      </c>
    </row>
    <row r="27970">
      <c r="B27970" s="17" t="s">
        <v>477</v>
      </c>
      <c r="K27970" s="18" t="s">
        <v>477</v>
      </c>
    </row>
    <row r="27971">
      <c r="B27971" s="17" t="s">
        <v>477</v>
      </c>
      <c r="K27971" s="18" t="s">
        <v>477</v>
      </c>
    </row>
    <row r="27972">
      <c r="B27972" s="17" t="s">
        <v>477</v>
      </c>
      <c r="K27972" s="18" t="s">
        <v>477</v>
      </c>
    </row>
    <row r="27973">
      <c r="B27973" s="17" t="s">
        <v>477</v>
      </c>
      <c r="K27973" s="18" t="s">
        <v>477</v>
      </c>
    </row>
    <row r="27974">
      <c r="B27974" s="17" t="s">
        <v>477</v>
      </c>
      <c r="K27974" s="18" t="s">
        <v>477</v>
      </c>
    </row>
    <row r="27975">
      <c r="B27975" s="17" t="s">
        <v>477</v>
      </c>
      <c r="K27975" s="18" t="s">
        <v>477</v>
      </c>
    </row>
    <row r="27976">
      <c r="B27976" s="17" t="s">
        <v>477</v>
      </c>
      <c r="K27976" s="18" t="s">
        <v>477</v>
      </c>
    </row>
    <row r="27977">
      <c r="B27977" s="17" t="s">
        <v>477</v>
      </c>
      <c r="K27977" s="18" t="s">
        <v>477</v>
      </c>
    </row>
    <row r="27978">
      <c r="B27978" s="17" t="s">
        <v>477</v>
      </c>
      <c r="K27978" s="18" t="s">
        <v>477</v>
      </c>
    </row>
    <row r="27979">
      <c r="B27979" s="17" t="s">
        <v>477</v>
      </c>
      <c r="K27979" s="18" t="s">
        <v>477</v>
      </c>
    </row>
    <row r="27980">
      <c r="B27980" s="17" t="s">
        <v>477</v>
      </c>
      <c r="K27980" s="18" t="s">
        <v>477</v>
      </c>
    </row>
    <row r="27981">
      <c r="B27981" s="17" t="s">
        <v>477</v>
      </c>
      <c r="K27981" s="18" t="s">
        <v>477</v>
      </c>
    </row>
    <row r="27982">
      <c r="B27982" s="17" t="s">
        <v>477</v>
      </c>
      <c r="K27982" s="18" t="s">
        <v>477</v>
      </c>
    </row>
    <row r="27983">
      <c r="B27983" s="17" t="s">
        <v>477</v>
      </c>
      <c r="K27983" s="18" t="s">
        <v>477</v>
      </c>
    </row>
    <row r="27984">
      <c r="B27984" s="17" t="s">
        <v>477</v>
      </c>
      <c r="K27984" s="18" t="s">
        <v>477</v>
      </c>
    </row>
    <row r="27985">
      <c r="B27985" s="17" t="s">
        <v>477</v>
      </c>
      <c r="K27985" s="18" t="s">
        <v>477</v>
      </c>
    </row>
    <row r="27986">
      <c r="B27986" s="17" t="s">
        <v>477</v>
      </c>
      <c r="K27986" s="18" t="s">
        <v>477</v>
      </c>
    </row>
    <row r="27987">
      <c r="B27987" s="17" t="s">
        <v>477</v>
      </c>
      <c r="K27987" s="18" t="s">
        <v>477</v>
      </c>
    </row>
    <row r="27988">
      <c r="B27988" s="17" t="s">
        <v>477</v>
      </c>
      <c r="K27988" s="18" t="s">
        <v>477</v>
      </c>
    </row>
    <row r="27989">
      <c r="B27989" s="17" t="s">
        <v>477</v>
      </c>
      <c r="K27989" s="18" t="s">
        <v>477</v>
      </c>
    </row>
    <row r="27990">
      <c r="B27990" s="17" t="s">
        <v>477</v>
      </c>
      <c r="K27990" s="18" t="s">
        <v>477</v>
      </c>
    </row>
    <row r="27991">
      <c r="B27991" s="17" t="s">
        <v>477</v>
      </c>
      <c r="K27991" s="18" t="s">
        <v>477</v>
      </c>
    </row>
    <row r="27992">
      <c r="B27992" s="17" t="s">
        <v>477</v>
      </c>
      <c r="K27992" s="18" t="s">
        <v>477</v>
      </c>
    </row>
    <row r="27993">
      <c r="B27993" s="17" t="s">
        <v>477</v>
      </c>
      <c r="K27993" s="18" t="s">
        <v>477</v>
      </c>
    </row>
    <row r="27994">
      <c r="B27994" s="17" t="s">
        <v>477</v>
      </c>
      <c r="K27994" s="18" t="s">
        <v>477</v>
      </c>
    </row>
    <row r="27995">
      <c r="B27995" s="17" t="s">
        <v>477</v>
      </c>
      <c r="K27995" s="18" t="s">
        <v>477</v>
      </c>
    </row>
    <row r="27996">
      <c r="B27996" s="17" t="s">
        <v>477</v>
      </c>
      <c r="K27996" s="18" t="s">
        <v>477</v>
      </c>
    </row>
    <row r="27997">
      <c r="B27997" s="17" t="s">
        <v>477</v>
      </c>
      <c r="K27997" s="18" t="s">
        <v>477</v>
      </c>
    </row>
    <row r="27998">
      <c r="B27998" s="17" t="s">
        <v>477</v>
      </c>
      <c r="K27998" s="18" t="s">
        <v>477</v>
      </c>
    </row>
    <row r="27999">
      <c r="B27999" s="17" t="s">
        <v>477</v>
      </c>
      <c r="K27999" s="18" t="s">
        <v>477</v>
      </c>
    </row>
    <row r="28000">
      <c r="B28000" s="17" t="s">
        <v>477</v>
      </c>
      <c r="K28000" s="18" t="s">
        <v>477</v>
      </c>
    </row>
    <row r="28001">
      <c r="B28001" s="17" t="s">
        <v>477</v>
      </c>
      <c r="K28001" s="18" t="s">
        <v>477</v>
      </c>
    </row>
    <row r="28002">
      <c r="B28002" s="17" t="s">
        <v>477</v>
      </c>
      <c r="K28002" s="18" t="s">
        <v>477</v>
      </c>
    </row>
    <row r="28003">
      <c r="B28003" s="17" t="s">
        <v>477</v>
      </c>
      <c r="K28003" s="18" t="s">
        <v>477</v>
      </c>
    </row>
    <row r="28004">
      <c r="B28004" s="17" t="s">
        <v>477</v>
      </c>
      <c r="K28004" s="18" t="s">
        <v>477</v>
      </c>
    </row>
    <row r="28005">
      <c r="B28005" s="17" t="s">
        <v>477</v>
      </c>
      <c r="K28005" s="18" t="s">
        <v>477</v>
      </c>
    </row>
    <row r="28006">
      <c r="B28006" s="17" t="s">
        <v>477</v>
      </c>
      <c r="K28006" s="18" t="s">
        <v>477</v>
      </c>
    </row>
    <row r="28007">
      <c r="B28007" s="17" t="s">
        <v>477</v>
      </c>
      <c r="K28007" s="18" t="s">
        <v>477</v>
      </c>
    </row>
    <row r="28008">
      <c r="B28008" s="17" t="s">
        <v>477</v>
      </c>
      <c r="K28008" s="18" t="s">
        <v>477</v>
      </c>
    </row>
    <row r="28009">
      <c r="B28009" s="17" t="s">
        <v>477</v>
      </c>
      <c r="K28009" s="18" t="s">
        <v>477</v>
      </c>
    </row>
    <row r="28010">
      <c r="B28010" s="17" t="s">
        <v>477</v>
      </c>
      <c r="K28010" s="18" t="s">
        <v>477</v>
      </c>
    </row>
    <row r="28011">
      <c r="B28011" s="17" t="s">
        <v>477</v>
      </c>
      <c r="K28011" s="18" t="s">
        <v>477</v>
      </c>
    </row>
    <row r="28012">
      <c r="B28012" s="17" t="s">
        <v>477</v>
      </c>
      <c r="K28012" s="18" t="s">
        <v>477</v>
      </c>
    </row>
    <row r="28013">
      <c r="B28013" s="17" t="s">
        <v>477</v>
      </c>
      <c r="K28013" s="18" t="s">
        <v>477</v>
      </c>
    </row>
    <row r="28014">
      <c r="B28014" s="17" t="s">
        <v>477</v>
      </c>
      <c r="K28014" s="18" t="s">
        <v>477</v>
      </c>
    </row>
    <row r="28015">
      <c r="B28015" s="17" t="s">
        <v>477</v>
      </c>
      <c r="K28015" s="18" t="s">
        <v>477</v>
      </c>
    </row>
    <row r="28016">
      <c r="B28016" s="17" t="s">
        <v>477</v>
      </c>
      <c r="K28016" s="18" t="s">
        <v>477</v>
      </c>
    </row>
    <row r="28017">
      <c r="B28017" s="17" t="s">
        <v>477</v>
      </c>
      <c r="K28017" s="18" t="s">
        <v>477</v>
      </c>
    </row>
    <row r="28018">
      <c r="B28018" s="17" t="s">
        <v>477</v>
      </c>
      <c r="K28018" s="18" t="s">
        <v>477</v>
      </c>
    </row>
    <row r="28019">
      <c r="B28019" s="17" t="s">
        <v>477</v>
      </c>
      <c r="K28019" s="18" t="s">
        <v>477</v>
      </c>
    </row>
    <row r="28020">
      <c r="B28020" s="17" t="s">
        <v>477</v>
      </c>
      <c r="K28020" s="18" t="s">
        <v>477</v>
      </c>
    </row>
    <row r="28021">
      <c r="B28021" s="17" t="s">
        <v>477</v>
      </c>
      <c r="K28021" s="18" t="s">
        <v>477</v>
      </c>
    </row>
    <row r="28022">
      <c r="B28022" s="17" t="s">
        <v>477</v>
      </c>
      <c r="K28022" s="18" t="s">
        <v>477</v>
      </c>
    </row>
    <row r="28023">
      <c r="B28023" s="17" t="s">
        <v>477</v>
      </c>
      <c r="K28023" s="18" t="s">
        <v>477</v>
      </c>
    </row>
    <row r="28024">
      <c r="B28024" s="17" t="s">
        <v>477</v>
      </c>
      <c r="K28024" s="18" t="s">
        <v>477</v>
      </c>
    </row>
    <row r="28025">
      <c r="B28025" s="17" t="s">
        <v>477</v>
      </c>
      <c r="K28025" s="18" t="s">
        <v>477</v>
      </c>
    </row>
    <row r="28026">
      <c r="B28026" s="17" t="s">
        <v>477</v>
      </c>
      <c r="K28026" s="18" t="s">
        <v>477</v>
      </c>
    </row>
    <row r="28027">
      <c r="B28027" s="17" t="s">
        <v>477</v>
      </c>
      <c r="K28027" s="18" t="s">
        <v>477</v>
      </c>
    </row>
    <row r="28028">
      <c r="B28028" s="17" t="s">
        <v>477</v>
      </c>
      <c r="K28028" s="18" t="s">
        <v>477</v>
      </c>
    </row>
    <row r="28029">
      <c r="B28029" s="17" t="s">
        <v>477</v>
      </c>
      <c r="K28029" s="18" t="s">
        <v>477</v>
      </c>
    </row>
    <row r="28030">
      <c r="B28030" s="17" t="s">
        <v>477</v>
      </c>
      <c r="K28030" s="18" t="s">
        <v>477</v>
      </c>
    </row>
    <row r="28031">
      <c r="B28031" s="17" t="s">
        <v>477</v>
      </c>
      <c r="K28031" s="18" t="s">
        <v>477</v>
      </c>
    </row>
    <row r="28032">
      <c r="B28032" s="17" t="s">
        <v>477</v>
      </c>
      <c r="K28032" s="18" t="s">
        <v>477</v>
      </c>
    </row>
    <row r="28033">
      <c r="B28033" s="17" t="s">
        <v>477</v>
      </c>
      <c r="K28033" s="18" t="s">
        <v>477</v>
      </c>
    </row>
    <row r="28034">
      <c r="B28034" s="17" t="s">
        <v>477</v>
      </c>
      <c r="K28034" s="18" t="s">
        <v>477</v>
      </c>
    </row>
    <row r="28035">
      <c r="B28035" s="17" t="s">
        <v>477</v>
      </c>
      <c r="K28035" s="18" t="s">
        <v>477</v>
      </c>
    </row>
    <row r="28036">
      <c r="B28036" s="17" t="s">
        <v>477</v>
      </c>
      <c r="K28036" s="18" t="s">
        <v>477</v>
      </c>
    </row>
    <row r="28037">
      <c r="B28037" s="17" t="s">
        <v>477</v>
      </c>
      <c r="K28037" s="18" t="s">
        <v>477</v>
      </c>
    </row>
    <row r="28038">
      <c r="B28038" s="17" t="s">
        <v>477</v>
      </c>
      <c r="K28038" s="18" t="s">
        <v>477</v>
      </c>
    </row>
    <row r="28039">
      <c r="B28039" s="17" t="s">
        <v>477</v>
      </c>
      <c r="K28039" s="18" t="s">
        <v>477</v>
      </c>
    </row>
    <row r="28040">
      <c r="B28040" s="17" t="s">
        <v>477</v>
      </c>
      <c r="K28040" s="18" t="s">
        <v>477</v>
      </c>
    </row>
    <row r="28041">
      <c r="B28041" s="17" t="s">
        <v>477</v>
      </c>
      <c r="K28041" s="18" t="s">
        <v>477</v>
      </c>
    </row>
    <row r="28042">
      <c r="B28042" s="17" t="s">
        <v>477</v>
      </c>
      <c r="K28042" s="18" t="s">
        <v>477</v>
      </c>
    </row>
    <row r="28043">
      <c r="B28043" s="17" t="s">
        <v>477</v>
      </c>
      <c r="K28043" s="18" t="s">
        <v>477</v>
      </c>
    </row>
    <row r="28044">
      <c r="B28044" s="17" t="s">
        <v>477</v>
      </c>
      <c r="K28044" s="18" t="s">
        <v>477</v>
      </c>
    </row>
    <row r="28045">
      <c r="B28045" s="17" t="s">
        <v>477</v>
      </c>
      <c r="K28045" s="18" t="s">
        <v>477</v>
      </c>
    </row>
    <row r="28046">
      <c r="B28046" s="17" t="s">
        <v>477</v>
      </c>
      <c r="K28046" s="18" t="s">
        <v>477</v>
      </c>
    </row>
    <row r="28047">
      <c r="B28047" s="17" t="s">
        <v>477</v>
      </c>
      <c r="K28047" s="18" t="s">
        <v>477</v>
      </c>
    </row>
    <row r="28048">
      <c r="B28048" s="17" t="s">
        <v>477</v>
      </c>
      <c r="K28048" s="18" t="s">
        <v>477</v>
      </c>
    </row>
    <row r="28049">
      <c r="B28049" s="17" t="s">
        <v>477</v>
      </c>
      <c r="K28049" s="18" t="s">
        <v>477</v>
      </c>
    </row>
    <row r="28050">
      <c r="B28050" s="17" t="s">
        <v>477</v>
      </c>
      <c r="K28050" s="18" t="s">
        <v>477</v>
      </c>
    </row>
    <row r="28051">
      <c r="B28051" s="17" t="s">
        <v>477</v>
      </c>
      <c r="K28051" s="18" t="s">
        <v>477</v>
      </c>
    </row>
    <row r="28052">
      <c r="B28052" s="17" t="s">
        <v>477</v>
      </c>
      <c r="K28052" s="18" t="s">
        <v>477</v>
      </c>
    </row>
    <row r="28053">
      <c r="B28053" s="17" t="s">
        <v>477</v>
      </c>
      <c r="K28053" s="18" t="s">
        <v>477</v>
      </c>
    </row>
    <row r="28054">
      <c r="B28054" s="17" t="s">
        <v>477</v>
      </c>
      <c r="K28054" s="18" t="s">
        <v>477</v>
      </c>
    </row>
    <row r="28055">
      <c r="B28055" s="17" t="s">
        <v>477</v>
      </c>
      <c r="K28055" s="18" t="s">
        <v>477</v>
      </c>
    </row>
    <row r="28056">
      <c r="B28056" s="17" t="s">
        <v>477</v>
      </c>
      <c r="K28056" s="18" t="s">
        <v>477</v>
      </c>
    </row>
    <row r="28057">
      <c r="B28057" s="17" t="s">
        <v>477</v>
      </c>
      <c r="K28057" s="18" t="s">
        <v>477</v>
      </c>
    </row>
    <row r="28058">
      <c r="B28058" s="17" t="s">
        <v>477</v>
      </c>
      <c r="K28058" s="18" t="s">
        <v>477</v>
      </c>
    </row>
    <row r="28059">
      <c r="B28059" s="17" t="s">
        <v>477</v>
      </c>
      <c r="K28059" s="18" t="s">
        <v>477</v>
      </c>
    </row>
    <row r="28060">
      <c r="B28060" s="17" t="s">
        <v>477</v>
      </c>
      <c r="K28060" s="18" t="s">
        <v>477</v>
      </c>
    </row>
    <row r="28061">
      <c r="B28061" s="17" t="s">
        <v>477</v>
      </c>
      <c r="K28061" s="18" t="s">
        <v>477</v>
      </c>
    </row>
    <row r="28062">
      <c r="B28062" s="17" t="s">
        <v>477</v>
      </c>
      <c r="K28062" s="18" t="s">
        <v>477</v>
      </c>
    </row>
    <row r="28063">
      <c r="B28063" s="17" t="s">
        <v>477</v>
      </c>
      <c r="K28063" s="18" t="s">
        <v>477</v>
      </c>
    </row>
    <row r="28064">
      <c r="B28064" s="17" t="s">
        <v>477</v>
      </c>
      <c r="K28064" s="18" t="s">
        <v>477</v>
      </c>
    </row>
    <row r="28065">
      <c r="B28065" s="17" t="s">
        <v>477</v>
      </c>
      <c r="K28065" s="18" t="s">
        <v>477</v>
      </c>
    </row>
    <row r="28066">
      <c r="B28066" s="17" t="s">
        <v>477</v>
      </c>
      <c r="K28066" s="18" t="s">
        <v>477</v>
      </c>
    </row>
    <row r="28067">
      <c r="B28067" s="17" t="s">
        <v>477</v>
      </c>
      <c r="K28067" s="18" t="s">
        <v>477</v>
      </c>
    </row>
    <row r="28068">
      <c r="B28068" s="17" t="s">
        <v>477</v>
      </c>
      <c r="K28068" s="18" t="s">
        <v>477</v>
      </c>
    </row>
    <row r="28069">
      <c r="B28069" s="17" t="s">
        <v>477</v>
      </c>
      <c r="K28069" s="18" t="s">
        <v>477</v>
      </c>
    </row>
    <row r="28070">
      <c r="B28070" s="17" t="s">
        <v>477</v>
      </c>
      <c r="K28070" s="18" t="s">
        <v>477</v>
      </c>
    </row>
    <row r="28071">
      <c r="B28071" s="17" t="s">
        <v>477</v>
      </c>
      <c r="K28071" s="18" t="s">
        <v>477</v>
      </c>
    </row>
    <row r="28072">
      <c r="B28072" s="17" t="s">
        <v>477</v>
      </c>
      <c r="K28072" s="18" t="s">
        <v>477</v>
      </c>
    </row>
    <row r="28073">
      <c r="B28073" s="17" t="s">
        <v>477</v>
      </c>
      <c r="K28073" s="18" t="s">
        <v>477</v>
      </c>
    </row>
    <row r="28074">
      <c r="B28074" s="17" t="s">
        <v>477</v>
      </c>
      <c r="K28074" s="18" t="s">
        <v>477</v>
      </c>
    </row>
    <row r="28075">
      <c r="B28075" s="17" t="s">
        <v>477</v>
      </c>
      <c r="K28075" s="18" t="s">
        <v>477</v>
      </c>
    </row>
    <row r="28076">
      <c r="B28076" s="17" t="s">
        <v>477</v>
      </c>
      <c r="K28076" s="18" t="s">
        <v>477</v>
      </c>
    </row>
    <row r="28077">
      <c r="B28077" s="17" t="s">
        <v>477</v>
      </c>
      <c r="K28077" s="18" t="s">
        <v>477</v>
      </c>
    </row>
    <row r="28078">
      <c r="B28078" s="17" t="s">
        <v>477</v>
      </c>
      <c r="K28078" s="18" t="s">
        <v>477</v>
      </c>
    </row>
    <row r="28079">
      <c r="B28079" s="17" t="s">
        <v>477</v>
      </c>
      <c r="K28079" s="18" t="s">
        <v>477</v>
      </c>
    </row>
    <row r="28080">
      <c r="B28080" s="17" t="s">
        <v>477</v>
      </c>
      <c r="K28080" s="18" t="s">
        <v>477</v>
      </c>
    </row>
    <row r="28081">
      <c r="B28081" s="17" t="s">
        <v>477</v>
      </c>
      <c r="K28081" s="18" t="s">
        <v>477</v>
      </c>
    </row>
    <row r="28082">
      <c r="B28082" s="17" t="s">
        <v>477</v>
      </c>
      <c r="K28082" s="18" t="s">
        <v>477</v>
      </c>
    </row>
    <row r="28083">
      <c r="B28083" s="17" t="s">
        <v>477</v>
      </c>
      <c r="K28083" s="18" t="s">
        <v>477</v>
      </c>
    </row>
    <row r="28084">
      <c r="B28084" s="17" t="s">
        <v>477</v>
      </c>
      <c r="K28084" s="18" t="s">
        <v>477</v>
      </c>
    </row>
    <row r="28085">
      <c r="B28085" s="17" t="s">
        <v>477</v>
      </c>
      <c r="K28085" s="18" t="s">
        <v>477</v>
      </c>
    </row>
    <row r="28086">
      <c r="B28086" s="17" t="s">
        <v>477</v>
      </c>
      <c r="K28086" s="18" t="s">
        <v>477</v>
      </c>
    </row>
    <row r="28087">
      <c r="B28087" s="17" t="s">
        <v>477</v>
      </c>
      <c r="K28087" s="18" t="s">
        <v>477</v>
      </c>
    </row>
    <row r="28088">
      <c r="B28088" s="17" t="s">
        <v>477</v>
      </c>
      <c r="K28088" s="18" t="s">
        <v>477</v>
      </c>
    </row>
    <row r="28089">
      <c r="B28089" s="17" t="s">
        <v>477</v>
      </c>
      <c r="K28089" s="18" t="s">
        <v>477</v>
      </c>
    </row>
    <row r="28090">
      <c r="B28090" s="17" t="s">
        <v>477</v>
      </c>
      <c r="K28090" s="18" t="s">
        <v>477</v>
      </c>
    </row>
    <row r="28091">
      <c r="B28091" s="17" t="s">
        <v>477</v>
      </c>
      <c r="K28091" s="18" t="s">
        <v>477</v>
      </c>
    </row>
    <row r="28092">
      <c r="B28092" s="17" t="s">
        <v>477</v>
      </c>
      <c r="K28092" s="18" t="s">
        <v>477</v>
      </c>
    </row>
    <row r="28093">
      <c r="B28093" s="17" t="s">
        <v>477</v>
      </c>
      <c r="K28093" s="18" t="s">
        <v>477</v>
      </c>
    </row>
    <row r="28094">
      <c r="B28094" s="17" t="s">
        <v>477</v>
      </c>
      <c r="K28094" s="18" t="s">
        <v>477</v>
      </c>
    </row>
    <row r="28095">
      <c r="B28095" s="17" t="s">
        <v>477</v>
      </c>
      <c r="K28095" s="18" t="s">
        <v>477</v>
      </c>
    </row>
    <row r="28096">
      <c r="B28096" s="17" t="s">
        <v>477</v>
      </c>
      <c r="K28096" s="18" t="s">
        <v>477</v>
      </c>
    </row>
    <row r="28097">
      <c r="B28097" s="17" t="s">
        <v>477</v>
      </c>
      <c r="K28097" s="18" t="s">
        <v>477</v>
      </c>
    </row>
    <row r="28098">
      <c r="B28098" s="17" t="s">
        <v>477</v>
      </c>
      <c r="K28098" s="18" t="s">
        <v>477</v>
      </c>
    </row>
    <row r="28099">
      <c r="B28099" s="17" t="s">
        <v>477</v>
      </c>
      <c r="K28099" s="18" t="s">
        <v>477</v>
      </c>
    </row>
    <row r="28100">
      <c r="B28100" s="17" t="s">
        <v>477</v>
      </c>
      <c r="K28100" s="18" t="s">
        <v>477</v>
      </c>
    </row>
    <row r="28101">
      <c r="B28101" s="17" t="s">
        <v>477</v>
      </c>
      <c r="K28101" s="18" t="s">
        <v>477</v>
      </c>
    </row>
    <row r="28102">
      <c r="B28102" s="17" t="s">
        <v>477</v>
      </c>
      <c r="K28102" s="18" t="s">
        <v>477</v>
      </c>
    </row>
    <row r="28103">
      <c r="B28103" s="17" t="s">
        <v>477</v>
      </c>
      <c r="K28103" s="18" t="s">
        <v>477</v>
      </c>
    </row>
    <row r="28104">
      <c r="B28104" s="17" t="s">
        <v>477</v>
      </c>
      <c r="K28104" s="18" t="s">
        <v>477</v>
      </c>
    </row>
    <row r="28105">
      <c r="B28105" s="17" t="s">
        <v>477</v>
      </c>
      <c r="K28105" s="18" t="s">
        <v>477</v>
      </c>
    </row>
    <row r="28106">
      <c r="B28106" s="17" t="s">
        <v>477</v>
      </c>
      <c r="K28106" s="18" t="s">
        <v>477</v>
      </c>
    </row>
    <row r="28107">
      <c r="B28107" s="17" t="s">
        <v>477</v>
      </c>
      <c r="K28107" s="18" t="s">
        <v>477</v>
      </c>
    </row>
    <row r="28108">
      <c r="B28108" s="17" t="s">
        <v>477</v>
      </c>
      <c r="K28108" s="18" t="s">
        <v>477</v>
      </c>
    </row>
    <row r="28109">
      <c r="B28109" s="17" t="s">
        <v>477</v>
      </c>
      <c r="K28109" s="18" t="s">
        <v>477</v>
      </c>
    </row>
    <row r="28110">
      <c r="B28110" s="17" t="s">
        <v>477</v>
      </c>
      <c r="K28110" s="18" t="s">
        <v>477</v>
      </c>
    </row>
    <row r="28111">
      <c r="B28111" s="17" t="s">
        <v>477</v>
      </c>
      <c r="K28111" s="18" t="s">
        <v>477</v>
      </c>
    </row>
    <row r="28112">
      <c r="B28112" s="17" t="s">
        <v>477</v>
      </c>
      <c r="K28112" s="18" t="s">
        <v>477</v>
      </c>
    </row>
    <row r="28113">
      <c r="B28113" s="17" t="s">
        <v>477</v>
      </c>
      <c r="K28113" s="18" t="s">
        <v>477</v>
      </c>
    </row>
    <row r="28114">
      <c r="B28114" s="17" t="s">
        <v>477</v>
      </c>
      <c r="K28114" s="18" t="s">
        <v>477</v>
      </c>
    </row>
    <row r="28115">
      <c r="B28115" s="17" t="s">
        <v>477</v>
      </c>
      <c r="K28115" s="18" t="s">
        <v>477</v>
      </c>
    </row>
    <row r="28116">
      <c r="B28116" s="17" t="s">
        <v>477</v>
      </c>
      <c r="K28116" s="18" t="s">
        <v>477</v>
      </c>
    </row>
    <row r="28117">
      <c r="B28117" s="17" t="s">
        <v>477</v>
      </c>
      <c r="K28117" s="18" t="s">
        <v>477</v>
      </c>
    </row>
    <row r="28118">
      <c r="B28118" s="17" t="s">
        <v>477</v>
      </c>
      <c r="K28118" s="18" t="s">
        <v>477</v>
      </c>
    </row>
    <row r="28119">
      <c r="B28119" s="17" t="s">
        <v>477</v>
      </c>
      <c r="K28119" s="18" t="s">
        <v>477</v>
      </c>
    </row>
    <row r="28120">
      <c r="B28120" s="17" t="s">
        <v>477</v>
      </c>
      <c r="K28120" s="18" t="s">
        <v>477</v>
      </c>
    </row>
    <row r="28121">
      <c r="B28121" s="17" t="s">
        <v>477</v>
      </c>
      <c r="K28121" s="18" t="s">
        <v>477</v>
      </c>
    </row>
    <row r="28122">
      <c r="B28122" s="17" t="s">
        <v>477</v>
      </c>
      <c r="K28122" s="18" t="s">
        <v>477</v>
      </c>
    </row>
    <row r="28123">
      <c r="B28123" s="17" t="s">
        <v>477</v>
      </c>
      <c r="K28123" s="18" t="s">
        <v>477</v>
      </c>
    </row>
    <row r="28124">
      <c r="B28124" s="17" t="s">
        <v>477</v>
      </c>
      <c r="K28124" s="18" t="s">
        <v>477</v>
      </c>
    </row>
    <row r="28125">
      <c r="B28125" s="17" t="s">
        <v>477</v>
      </c>
      <c r="K28125" s="18" t="s">
        <v>477</v>
      </c>
    </row>
    <row r="28126">
      <c r="B28126" s="17" t="s">
        <v>477</v>
      </c>
      <c r="K28126" s="18" t="s">
        <v>477</v>
      </c>
    </row>
    <row r="28127">
      <c r="B28127" s="17" t="s">
        <v>477</v>
      </c>
      <c r="K28127" s="18" t="s">
        <v>477</v>
      </c>
    </row>
    <row r="28128">
      <c r="B28128" s="17" t="s">
        <v>477</v>
      </c>
      <c r="K28128" s="18" t="s">
        <v>477</v>
      </c>
    </row>
    <row r="28129">
      <c r="B28129" s="17" t="s">
        <v>477</v>
      </c>
      <c r="K28129" s="18" t="s">
        <v>477</v>
      </c>
    </row>
    <row r="28130">
      <c r="B28130" s="17" t="s">
        <v>477</v>
      </c>
      <c r="K28130" s="18" t="s">
        <v>477</v>
      </c>
    </row>
    <row r="28131">
      <c r="B28131" s="17" t="s">
        <v>477</v>
      </c>
      <c r="K28131" s="18" t="s">
        <v>477</v>
      </c>
    </row>
    <row r="28132">
      <c r="B28132" s="17" t="s">
        <v>477</v>
      </c>
      <c r="K28132" s="18" t="s">
        <v>477</v>
      </c>
    </row>
    <row r="28133">
      <c r="B28133" s="17" t="s">
        <v>477</v>
      </c>
      <c r="K28133" s="18" t="s">
        <v>477</v>
      </c>
    </row>
    <row r="28134">
      <c r="B28134" s="17" t="s">
        <v>477</v>
      </c>
      <c r="K28134" s="18" t="s">
        <v>477</v>
      </c>
    </row>
    <row r="28135">
      <c r="B28135" s="17" t="s">
        <v>477</v>
      </c>
      <c r="K28135" s="18" t="s">
        <v>477</v>
      </c>
    </row>
    <row r="28136">
      <c r="B28136" s="17" t="s">
        <v>477</v>
      </c>
      <c r="K28136" s="18" t="s">
        <v>477</v>
      </c>
    </row>
    <row r="28137">
      <c r="B28137" s="17" t="s">
        <v>477</v>
      </c>
      <c r="K28137" s="18" t="s">
        <v>477</v>
      </c>
    </row>
    <row r="28138">
      <c r="B28138" s="17" t="s">
        <v>477</v>
      </c>
      <c r="K28138" s="18" t="s">
        <v>477</v>
      </c>
    </row>
    <row r="28139">
      <c r="B28139" s="17" t="s">
        <v>477</v>
      </c>
      <c r="K28139" s="18" t="s">
        <v>477</v>
      </c>
    </row>
    <row r="28140">
      <c r="B28140" s="17" t="s">
        <v>477</v>
      </c>
      <c r="K28140" s="18" t="s">
        <v>477</v>
      </c>
    </row>
    <row r="28141">
      <c r="B28141" s="17" t="s">
        <v>477</v>
      </c>
      <c r="K28141" s="18" t="s">
        <v>477</v>
      </c>
    </row>
    <row r="28142">
      <c r="B28142" s="17" t="s">
        <v>477</v>
      </c>
      <c r="K28142" s="18" t="s">
        <v>477</v>
      </c>
    </row>
    <row r="28143">
      <c r="B28143" s="17" t="s">
        <v>477</v>
      </c>
      <c r="K28143" s="18" t="s">
        <v>477</v>
      </c>
    </row>
    <row r="28144">
      <c r="B28144" s="17" t="s">
        <v>477</v>
      </c>
      <c r="K28144" s="18" t="s">
        <v>477</v>
      </c>
    </row>
    <row r="28145">
      <c r="B28145" s="17" t="s">
        <v>477</v>
      </c>
      <c r="K28145" s="18" t="s">
        <v>477</v>
      </c>
    </row>
    <row r="28146">
      <c r="B28146" s="17" t="s">
        <v>477</v>
      </c>
      <c r="K28146" s="18" t="s">
        <v>477</v>
      </c>
    </row>
    <row r="28147">
      <c r="B28147" s="17" t="s">
        <v>477</v>
      </c>
      <c r="K28147" s="18" t="s">
        <v>477</v>
      </c>
    </row>
    <row r="28148">
      <c r="B28148" s="17" t="s">
        <v>477</v>
      </c>
      <c r="K28148" s="18" t="s">
        <v>477</v>
      </c>
    </row>
    <row r="28149">
      <c r="B28149" s="17" t="s">
        <v>477</v>
      </c>
      <c r="K28149" s="18" t="s">
        <v>477</v>
      </c>
    </row>
    <row r="28150">
      <c r="B28150" s="17" t="s">
        <v>477</v>
      </c>
      <c r="K28150" s="18" t="s">
        <v>477</v>
      </c>
    </row>
    <row r="28151">
      <c r="B28151" s="17" t="s">
        <v>477</v>
      </c>
      <c r="K28151" s="18" t="s">
        <v>477</v>
      </c>
    </row>
    <row r="28152">
      <c r="B28152" s="17" t="s">
        <v>477</v>
      </c>
      <c r="K28152" s="18" t="s">
        <v>477</v>
      </c>
    </row>
    <row r="28153">
      <c r="B28153" s="17" t="s">
        <v>477</v>
      </c>
      <c r="K28153" s="18" t="s">
        <v>477</v>
      </c>
    </row>
    <row r="28154">
      <c r="B28154" s="17" t="s">
        <v>477</v>
      </c>
      <c r="K28154" s="18" t="s">
        <v>477</v>
      </c>
    </row>
    <row r="28155">
      <c r="B28155" s="17" t="s">
        <v>477</v>
      </c>
      <c r="K28155" s="18" t="s">
        <v>477</v>
      </c>
    </row>
    <row r="28156">
      <c r="B28156" s="17" t="s">
        <v>477</v>
      </c>
      <c r="K28156" s="18" t="s">
        <v>477</v>
      </c>
    </row>
    <row r="28157">
      <c r="B28157" s="17" t="s">
        <v>477</v>
      </c>
      <c r="K28157" s="18" t="s">
        <v>477</v>
      </c>
    </row>
    <row r="28158">
      <c r="B28158" s="17" t="s">
        <v>477</v>
      </c>
      <c r="K28158" s="18" t="s">
        <v>477</v>
      </c>
    </row>
    <row r="28159">
      <c r="B28159" s="17" t="s">
        <v>477</v>
      </c>
      <c r="K28159" s="18" t="s">
        <v>477</v>
      </c>
    </row>
    <row r="28160">
      <c r="B28160" s="17" t="s">
        <v>477</v>
      </c>
      <c r="K28160" s="18" t="s">
        <v>477</v>
      </c>
    </row>
    <row r="28161">
      <c r="B28161" s="17" t="s">
        <v>477</v>
      </c>
      <c r="K28161" s="18" t="s">
        <v>477</v>
      </c>
    </row>
    <row r="28162">
      <c r="B28162" s="17" t="s">
        <v>477</v>
      </c>
      <c r="K28162" s="18" t="s">
        <v>477</v>
      </c>
    </row>
    <row r="28163">
      <c r="B28163" s="17" t="s">
        <v>477</v>
      </c>
      <c r="K28163" s="18" t="s">
        <v>477</v>
      </c>
    </row>
    <row r="28164">
      <c r="B28164" s="17" t="s">
        <v>477</v>
      </c>
      <c r="K28164" s="18" t="s">
        <v>477</v>
      </c>
    </row>
    <row r="28165">
      <c r="B28165" s="17" t="s">
        <v>477</v>
      </c>
      <c r="K28165" s="18" t="s">
        <v>477</v>
      </c>
    </row>
    <row r="28166">
      <c r="B28166" s="17" t="s">
        <v>477</v>
      </c>
      <c r="K28166" s="18" t="s">
        <v>477</v>
      </c>
    </row>
    <row r="28167">
      <c r="B28167" s="17" t="s">
        <v>477</v>
      </c>
      <c r="K28167" s="18" t="s">
        <v>477</v>
      </c>
    </row>
    <row r="28168">
      <c r="B28168" s="17" t="s">
        <v>477</v>
      </c>
      <c r="K28168" s="18" t="s">
        <v>477</v>
      </c>
    </row>
    <row r="28169">
      <c r="B28169" s="17" t="s">
        <v>477</v>
      </c>
      <c r="K28169" s="18" t="s">
        <v>477</v>
      </c>
    </row>
    <row r="28170">
      <c r="B28170" s="17" t="s">
        <v>477</v>
      </c>
      <c r="K28170" s="18" t="s">
        <v>477</v>
      </c>
    </row>
    <row r="28171">
      <c r="B28171" s="17" t="s">
        <v>477</v>
      </c>
      <c r="K28171" s="18" t="s">
        <v>477</v>
      </c>
    </row>
    <row r="28172">
      <c r="B28172" s="17" t="s">
        <v>477</v>
      </c>
      <c r="K28172" s="18" t="s">
        <v>477</v>
      </c>
    </row>
    <row r="28173">
      <c r="B28173" s="17" t="s">
        <v>477</v>
      </c>
      <c r="K28173" s="18" t="s">
        <v>477</v>
      </c>
    </row>
    <row r="28174">
      <c r="B28174" s="17" t="s">
        <v>477</v>
      </c>
      <c r="K28174" s="18" t="s">
        <v>477</v>
      </c>
    </row>
    <row r="28175">
      <c r="B28175" s="17" t="s">
        <v>477</v>
      </c>
      <c r="K28175" s="18" t="s">
        <v>477</v>
      </c>
    </row>
    <row r="28176">
      <c r="B28176" s="17" t="s">
        <v>477</v>
      </c>
      <c r="K28176" s="18" t="s">
        <v>477</v>
      </c>
    </row>
    <row r="28177">
      <c r="B28177" s="17" t="s">
        <v>477</v>
      </c>
      <c r="K28177" s="18" t="s">
        <v>477</v>
      </c>
    </row>
    <row r="28178">
      <c r="B28178" s="17" t="s">
        <v>477</v>
      </c>
      <c r="K28178" s="18" t="s">
        <v>477</v>
      </c>
    </row>
    <row r="28179">
      <c r="B28179" s="17" t="s">
        <v>477</v>
      </c>
      <c r="K28179" s="18" t="s">
        <v>477</v>
      </c>
    </row>
    <row r="28180">
      <c r="B28180" s="17" t="s">
        <v>477</v>
      </c>
      <c r="K28180" s="18" t="s">
        <v>477</v>
      </c>
    </row>
    <row r="28181">
      <c r="B28181" s="17" t="s">
        <v>477</v>
      </c>
      <c r="K28181" s="18" t="s">
        <v>477</v>
      </c>
    </row>
    <row r="28182">
      <c r="B28182" s="17" t="s">
        <v>477</v>
      </c>
      <c r="K28182" s="18" t="s">
        <v>477</v>
      </c>
    </row>
    <row r="28183">
      <c r="B28183" s="17" t="s">
        <v>477</v>
      </c>
      <c r="K28183" s="18" t="s">
        <v>477</v>
      </c>
    </row>
    <row r="28184">
      <c r="B28184" s="17" t="s">
        <v>477</v>
      </c>
      <c r="K28184" s="18" t="s">
        <v>477</v>
      </c>
    </row>
    <row r="28185">
      <c r="B28185" s="17" t="s">
        <v>477</v>
      </c>
      <c r="K28185" s="18" t="s">
        <v>477</v>
      </c>
    </row>
    <row r="28186">
      <c r="B28186" s="17" t="s">
        <v>477</v>
      </c>
      <c r="K28186" s="18" t="s">
        <v>477</v>
      </c>
    </row>
    <row r="28187">
      <c r="B28187" s="17" t="s">
        <v>477</v>
      </c>
      <c r="K28187" s="18" t="s">
        <v>477</v>
      </c>
    </row>
    <row r="28188">
      <c r="B28188" s="17" t="s">
        <v>477</v>
      </c>
      <c r="K28188" s="18" t="s">
        <v>477</v>
      </c>
    </row>
    <row r="28189">
      <c r="B28189" s="17" t="s">
        <v>477</v>
      </c>
      <c r="K28189" s="18" t="s">
        <v>477</v>
      </c>
    </row>
    <row r="28190">
      <c r="B28190" s="17" t="s">
        <v>477</v>
      </c>
      <c r="K28190" s="18" t="s">
        <v>477</v>
      </c>
    </row>
    <row r="28191">
      <c r="B28191" s="17" t="s">
        <v>477</v>
      </c>
      <c r="K28191" s="18" t="s">
        <v>477</v>
      </c>
    </row>
    <row r="28192">
      <c r="B28192" s="17" t="s">
        <v>477</v>
      </c>
      <c r="K28192" s="18" t="s">
        <v>477</v>
      </c>
    </row>
    <row r="28193">
      <c r="B28193" s="17" t="s">
        <v>477</v>
      </c>
      <c r="K28193" s="18" t="s">
        <v>477</v>
      </c>
    </row>
    <row r="28194">
      <c r="B28194" s="17" t="s">
        <v>477</v>
      </c>
      <c r="K28194" s="18" t="s">
        <v>477</v>
      </c>
    </row>
    <row r="28195">
      <c r="B28195" s="17" t="s">
        <v>477</v>
      </c>
      <c r="K28195" s="18" t="s">
        <v>477</v>
      </c>
    </row>
    <row r="28196">
      <c r="B28196" s="17" t="s">
        <v>477</v>
      </c>
      <c r="K28196" s="18" t="s">
        <v>477</v>
      </c>
    </row>
    <row r="28197">
      <c r="B28197" s="17" t="s">
        <v>477</v>
      </c>
      <c r="K28197" s="18" t="s">
        <v>477</v>
      </c>
    </row>
    <row r="28198">
      <c r="B28198" s="17" t="s">
        <v>477</v>
      </c>
      <c r="K28198" s="18" t="s">
        <v>477</v>
      </c>
    </row>
    <row r="28199">
      <c r="B28199" s="17" t="s">
        <v>477</v>
      </c>
      <c r="K28199" s="18" t="s">
        <v>477</v>
      </c>
    </row>
    <row r="28200">
      <c r="B28200" s="17" t="s">
        <v>477</v>
      </c>
      <c r="K28200" s="18" t="s">
        <v>477</v>
      </c>
    </row>
    <row r="28201">
      <c r="B28201" s="17" t="s">
        <v>477</v>
      </c>
      <c r="K28201" s="18" t="s">
        <v>477</v>
      </c>
    </row>
    <row r="28202">
      <c r="B28202" s="17" t="s">
        <v>477</v>
      </c>
      <c r="K28202" s="18" t="s">
        <v>477</v>
      </c>
    </row>
    <row r="28203">
      <c r="B28203" s="17" t="s">
        <v>477</v>
      </c>
      <c r="K28203" s="18" t="s">
        <v>477</v>
      </c>
    </row>
    <row r="28204">
      <c r="B28204" s="17" t="s">
        <v>477</v>
      </c>
      <c r="K28204" s="18" t="s">
        <v>477</v>
      </c>
    </row>
    <row r="28205">
      <c r="B28205" s="17" t="s">
        <v>477</v>
      </c>
      <c r="K28205" s="18" t="s">
        <v>477</v>
      </c>
    </row>
    <row r="28206">
      <c r="B28206" s="17" t="s">
        <v>477</v>
      </c>
      <c r="K28206" s="18" t="s">
        <v>477</v>
      </c>
    </row>
    <row r="28207">
      <c r="B28207" s="17" t="s">
        <v>477</v>
      </c>
      <c r="K28207" s="18" t="s">
        <v>477</v>
      </c>
    </row>
    <row r="28208">
      <c r="B28208" s="17" t="s">
        <v>477</v>
      </c>
      <c r="K28208" s="18" t="s">
        <v>477</v>
      </c>
    </row>
    <row r="28209">
      <c r="B28209" s="17" t="s">
        <v>477</v>
      </c>
      <c r="K28209" s="18" t="s">
        <v>477</v>
      </c>
    </row>
    <row r="28210">
      <c r="B28210" s="17" t="s">
        <v>477</v>
      </c>
      <c r="K28210" s="18" t="s">
        <v>477</v>
      </c>
    </row>
    <row r="28211">
      <c r="B28211" s="17" t="s">
        <v>477</v>
      </c>
      <c r="K28211" s="18" t="s">
        <v>477</v>
      </c>
    </row>
    <row r="28212">
      <c r="B28212" s="17" t="s">
        <v>477</v>
      </c>
      <c r="K28212" s="18" t="s">
        <v>477</v>
      </c>
    </row>
    <row r="28213">
      <c r="B28213" s="17" t="s">
        <v>477</v>
      </c>
      <c r="K28213" s="18" t="s">
        <v>477</v>
      </c>
    </row>
    <row r="28214">
      <c r="B28214" s="17" t="s">
        <v>477</v>
      </c>
      <c r="K28214" s="18" t="s">
        <v>477</v>
      </c>
    </row>
    <row r="28215">
      <c r="B28215" s="17" t="s">
        <v>477</v>
      </c>
      <c r="K28215" s="18" t="s">
        <v>477</v>
      </c>
    </row>
    <row r="28216">
      <c r="B28216" s="17" t="s">
        <v>477</v>
      </c>
      <c r="K28216" s="18" t="s">
        <v>477</v>
      </c>
    </row>
    <row r="28217">
      <c r="B28217" s="17" t="s">
        <v>477</v>
      </c>
      <c r="K28217" s="18" t="s">
        <v>477</v>
      </c>
    </row>
    <row r="28218">
      <c r="B28218" s="17" t="s">
        <v>477</v>
      </c>
      <c r="K28218" s="18" t="s">
        <v>477</v>
      </c>
    </row>
    <row r="28219">
      <c r="B28219" s="17" t="s">
        <v>477</v>
      </c>
      <c r="K28219" s="18" t="s">
        <v>477</v>
      </c>
    </row>
    <row r="28220">
      <c r="B28220" s="17" t="s">
        <v>477</v>
      </c>
      <c r="K28220" s="18" t="s">
        <v>477</v>
      </c>
    </row>
    <row r="28221">
      <c r="B28221" s="17" t="s">
        <v>477</v>
      </c>
      <c r="K28221" s="18" t="s">
        <v>477</v>
      </c>
    </row>
    <row r="28222">
      <c r="B28222" s="17" t="s">
        <v>477</v>
      </c>
      <c r="K28222" s="18" t="s">
        <v>477</v>
      </c>
    </row>
    <row r="28223">
      <c r="B28223" s="17" t="s">
        <v>477</v>
      </c>
      <c r="K28223" s="18" t="s">
        <v>477</v>
      </c>
    </row>
    <row r="28224">
      <c r="B28224" s="17" t="s">
        <v>477</v>
      </c>
      <c r="K28224" s="18" t="s">
        <v>477</v>
      </c>
    </row>
    <row r="28225">
      <c r="B28225" s="17" t="s">
        <v>477</v>
      </c>
      <c r="K28225" s="18" t="s">
        <v>477</v>
      </c>
    </row>
    <row r="28226">
      <c r="B28226" s="17" t="s">
        <v>477</v>
      </c>
      <c r="K28226" s="18" t="s">
        <v>477</v>
      </c>
    </row>
    <row r="28227">
      <c r="B28227" s="17" t="s">
        <v>477</v>
      </c>
      <c r="K28227" s="18" t="s">
        <v>477</v>
      </c>
    </row>
    <row r="28228">
      <c r="B28228" s="17" t="s">
        <v>477</v>
      </c>
      <c r="K28228" s="18" t="s">
        <v>477</v>
      </c>
    </row>
    <row r="28229">
      <c r="B28229" s="17" t="s">
        <v>477</v>
      </c>
      <c r="K28229" s="18" t="s">
        <v>477</v>
      </c>
    </row>
    <row r="28230">
      <c r="B28230" s="17" t="s">
        <v>477</v>
      </c>
      <c r="K28230" s="18" t="s">
        <v>477</v>
      </c>
    </row>
    <row r="28231">
      <c r="B28231" s="17" t="s">
        <v>477</v>
      </c>
      <c r="K28231" s="18" t="s">
        <v>477</v>
      </c>
    </row>
    <row r="28232">
      <c r="B28232" s="17" t="s">
        <v>477</v>
      </c>
      <c r="K28232" s="18" t="s">
        <v>477</v>
      </c>
    </row>
    <row r="28233">
      <c r="B28233" s="17" t="s">
        <v>477</v>
      </c>
      <c r="K28233" s="18" t="s">
        <v>477</v>
      </c>
    </row>
    <row r="28234">
      <c r="B28234" s="17" t="s">
        <v>477</v>
      </c>
      <c r="K28234" s="18" t="s">
        <v>477</v>
      </c>
    </row>
    <row r="28235">
      <c r="B28235" s="17" t="s">
        <v>477</v>
      </c>
      <c r="K28235" s="18" t="s">
        <v>477</v>
      </c>
    </row>
    <row r="28236">
      <c r="B28236" s="17" t="s">
        <v>477</v>
      </c>
      <c r="K28236" s="18" t="s">
        <v>477</v>
      </c>
    </row>
    <row r="28237">
      <c r="B28237" s="17" t="s">
        <v>477</v>
      </c>
      <c r="K28237" s="18" t="s">
        <v>477</v>
      </c>
    </row>
    <row r="28238">
      <c r="B28238" s="17" t="s">
        <v>477</v>
      </c>
      <c r="K28238" s="18" t="s">
        <v>477</v>
      </c>
    </row>
    <row r="28239">
      <c r="B28239" s="17" t="s">
        <v>477</v>
      </c>
      <c r="K28239" s="18" t="s">
        <v>477</v>
      </c>
    </row>
    <row r="28240">
      <c r="B28240" s="17" t="s">
        <v>477</v>
      </c>
      <c r="K28240" s="18" t="s">
        <v>477</v>
      </c>
    </row>
    <row r="28241">
      <c r="B28241" s="17" t="s">
        <v>477</v>
      </c>
      <c r="K28241" s="18" t="s">
        <v>477</v>
      </c>
    </row>
    <row r="28242">
      <c r="B28242" s="17" t="s">
        <v>477</v>
      </c>
      <c r="K28242" s="18" t="s">
        <v>477</v>
      </c>
    </row>
    <row r="28243">
      <c r="B28243" s="17" t="s">
        <v>477</v>
      </c>
      <c r="K28243" s="18" t="s">
        <v>477</v>
      </c>
    </row>
    <row r="28244">
      <c r="B28244" s="17" t="s">
        <v>477</v>
      </c>
      <c r="K28244" s="18" t="s">
        <v>477</v>
      </c>
    </row>
    <row r="28245">
      <c r="B28245" s="17" t="s">
        <v>477</v>
      </c>
      <c r="K28245" s="18" t="s">
        <v>477</v>
      </c>
    </row>
    <row r="28246">
      <c r="B28246" s="17" t="s">
        <v>477</v>
      </c>
      <c r="K28246" s="18" t="s">
        <v>477</v>
      </c>
    </row>
    <row r="28247">
      <c r="B28247" s="17" t="s">
        <v>477</v>
      </c>
      <c r="K28247" s="18" t="s">
        <v>477</v>
      </c>
    </row>
    <row r="28248">
      <c r="B28248" s="17" t="s">
        <v>477</v>
      </c>
      <c r="K28248" s="18" t="s">
        <v>477</v>
      </c>
    </row>
    <row r="28249">
      <c r="B28249" s="17" t="s">
        <v>477</v>
      </c>
      <c r="K28249" s="18" t="s">
        <v>477</v>
      </c>
    </row>
    <row r="28250">
      <c r="B28250" s="17" t="s">
        <v>477</v>
      </c>
      <c r="K28250" s="18" t="s">
        <v>477</v>
      </c>
    </row>
    <row r="28251">
      <c r="B28251" s="17" t="s">
        <v>477</v>
      </c>
      <c r="K28251" s="18" t="s">
        <v>477</v>
      </c>
    </row>
    <row r="28252">
      <c r="B28252" s="17" t="s">
        <v>477</v>
      </c>
      <c r="K28252" s="18" t="s">
        <v>477</v>
      </c>
    </row>
    <row r="28253">
      <c r="B28253" s="17" t="s">
        <v>477</v>
      </c>
      <c r="K28253" s="18" t="s">
        <v>477</v>
      </c>
    </row>
    <row r="28254">
      <c r="B28254" s="17" t="s">
        <v>477</v>
      </c>
      <c r="K28254" s="18" t="s">
        <v>477</v>
      </c>
    </row>
    <row r="28255">
      <c r="B28255" s="17" t="s">
        <v>477</v>
      </c>
      <c r="K28255" s="18" t="s">
        <v>477</v>
      </c>
    </row>
    <row r="28256">
      <c r="B28256" s="17" t="s">
        <v>477</v>
      </c>
      <c r="K28256" s="18" t="s">
        <v>477</v>
      </c>
    </row>
    <row r="28257">
      <c r="B28257" s="17" t="s">
        <v>477</v>
      </c>
      <c r="K28257" s="18" t="s">
        <v>477</v>
      </c>
    </row>
    <row r="28258">
      <c r="B28258" s="17" t="s">
        <v>477</v>
      </c>
      <c r="K28258" s="18" t="s">
        <v>477</v>
      </c>
    </row>
    <row r="28259">
      <c r="B28259" s="17" t="s">
        <v>477</v>
      </c>
      <c r="K28259" s="18" t="s">
        <v>477</v>
      </c>
    </row>
    <row r="28260">
      <c r="B28260" s="17" t="s">
        <v>477</v>
      </c>
      <c r="K28260" s="18" t="s">
        <v>477</v>
      </c>
    </row>
    <row r="28261">
      <c r="B28261" s="17" t="s">
        <v>477</v>
      </c>
      <c r="K28261" s="18" t="s">
        <v>477</v>
      </c>
    </row>
    <row r="28262">
      <c r="B28262" s="17" t="s">
        <v>477</v>
      </c>
      <c r="K28262" s="18" t="s">
        <v>477</v>
      </c>
    </row>
    <row r="28263">
      <c r="B28263" s="17" t="s">
        <v>477</v>
      </c>
      <c r="K28263" s="18" t="s">
        <v>477</v>
      </c>
    </row>
    <row r="28264">
      <c r="B28264" s="17" t="s">
        <v>477</v>
      </c>
      <c r="K28264" s="18" t="s">
        <v>477</v>
      </c>
    </row>
    <row r="28265">
      <c r="B28265" s="17" t="s">
        <v>477</v>
      </c>
      <c r="K28265" s="18" t="s">
        <v>477</v>
      </c>
    </row>
    <row r="28266">
      <c r="B28266" s="17" t="s">
        <v>477</v>
      </c>
      <c r="K28266" s="18" t="s">
        <v>477</v>
      </c>
    </row>
    <row r="28267">
      <c r="B28267" s="17" t="s">
        <v>477</v>
      </c>
      <c r="K28267" s="18" t="s">
        <v>477</v>
      </c>
    </row>
    <row r="28268">
      <c r="B28268" s="17" t="s">
        <v>477</v>
      </c>
      <c r="K28268" s="18" t="s">
        <v>477</v>
      </c>
    </row>
    <row r="28269">
      <c r="B28269" s="17" t="s">
        <v>477</v>
      </c>
      <c r="K28269" s="18" t="s">
        <v>477</v>
      </c>
    </row>
    <row r="28270">
      <c r="B28270" s="17" t="s">
        <v>477</v>
      </c>
      <c r="K28270" s="18" t="s">
        <v>477</v>
      </c>
    </row>
    <row r="28271">
      <c r="B28271" s="17" t="s">
        <v>477</v>
      </c>
      <c r="K28271" s="18" t="s">
        <v>477</v>
      </c>
    </row>
    <row r="28272">
      <c r="B28272" s="17" t="s">
        <v>477</v>
      </c>
      <c r="K28272" s="18" t="s">
        <v>477</v>
      </c>
    </row>
    <row r="28273">
      <c r="B28273" s="17" t="s">
        <v>477</v>
      </c>
      <c r="K28273" s="18" t="s">
        <v>477</v>
      </c>
    </row>
    <row r="28274">
      <c r="B28274" s="17" t="s">
        <v>477</v>
      </c>
      <c r="K28274" s="18" t="s">
        <v>477</v>
      </c>
    </row>
    <row r="28275">
      <c r="B28275" s="17" t="s">
        <v>477</v>
      </c>
      <c r="K28275" s="18" t="s">
        <v>477</v>
      </c>
    </row>
    <row r="28276">
      <c r="B28276" s="17" t="s">
        <v>477</v>
      </c>
      <c r="K28276" s="18" t="s">
        <v>477</v>
      </c>
    </row>
    <row r="28277">
      <c r="B28277" s="17" t="s">
        <v>477</v>
      </c>
      <c r="K28277" s="18" t="s">
        <v>477</v>
      </c>
    </row>
    <row r="28278">
      <c r="B28278" s="17" t="s">
        <v>477</v>
      </c>
      <c r="K28278" s="18" t="s">
        <v>477</v>
      </c>
    </row>
    <row r="28279">
      <c r="B28279" s="17" t="s">
        <v>477</v>
      </c>
      <c r="K28279" s="18" t="s">
        <v>477</v>
      </c>
    </row>
    <row r="28280">
      <c r="B28280" s="17" t="s">
        <v>477</v>
      </c>
      <c r="K28280" s="18" t="s">
        <v>477</v>
      </c>
    </row>
    <row r="28281">
      <c r="B28281" s="17" t="s">
        <v>477</v>
      </c>
      <c r="K28281" s="18" t="s">
        <v>477</v>
      </c>
    </row>
    <row r="28282">
      <c r="B28282" s="17" t="s">
        <v>477</v>
      </c>
      <c r="K28282" s="18" t="s">
        <v>477</v>
      </c>
    </row>
    <row r="28283">
      <c r="B28283" s="17" t="s">
        <v>477</v>
      </c>
      <c r="K28283" s="18" t="s">
        <v>477</v>
      </c>
    </row>
    <row r="28284">
      <c r="B28284" s="17" t="s">
        <v>477</v>
      </c>
      <c r="K28284" s="18" t="s">
        <v>477</v>
      </c>
    </row>
    <row r="28285">
      <c r="B28285" s="17" t="s">
        <v>477</v>
      </c>
      <c r="K28285" s="18" t="s">
        <v>477</v>
      </c>
    </row>
    <row r="28286">
      <c r="B28286" s="17" t="s">
        <v>477</v>
      </c>
      <c r="K28286" s="18" t="s">
        <v>477</v>
      </c>
    </row>
    <row r="28287">
      <c r="B28287" s="17" t="s">
        <v>477</v>
      </c>
      <c r="K28287" s="18" t="s">
        <v>477</v>
      </c>
    </row>
    <row r="28288">
      <c r="B28288" s="17" t="s">
        <v>477</v>
      </c>
      <c r="K28288" s="18" t="s">
        <v>477</v>
      </c>
    </row>
    <row r="28289">
      <c r="B28289" s="17" t="s">
        <v>477</v>
      </c>
      <c r="K28289" s="18" t="s">
        <v>477</v>
      </c>
    </row>
    <row r="28290">
      <c r="B28290" s="17" t="s">
        <v>477</v>
      </c>
      <c r="K28290" s="18" t="s">
        <v>477</v>
      </c>
    </row>
    <row r="28291">
      <c r="B28291" s="17" t="s">
        <v>477</v>
      </c>
      <c r="K28291" s="18" t="s">
        <v>477</v>
      </c>
    </row>
    <row r="28292">
      <c r="B28292" s="17" t="s">
        <v>477</v>
      </c>
      <c r="K28292" s="18" t="s">
        <v>477</v>
      </c>
    </row>
    <row r="28293">
      <c r="B28293" s="17" t="s">
        <v>477</v>
      </c>
      <c r="K28293" s="18" t="s">
        <v>477</v>
      </c>
    </row>
    <row r="28294">
      <c r="B28294" s="17" t="s">
        <v>477</v>
      </c>
      <c r="K28294" s="18" t="s">
        <v>477</v>
      </c>
    </row>
    <row r="28295">
      <c r="B28295" s="17" t="s">
        <v>477</v>
      </c>
      <c r="K28295" s="18" t="s">
        <v>477</v>
      </c>
    </row>
    <row r="28296">
      <c r="B28296" s="17" t="s">
        <v>477</v>
      </c>
      <c r="K28296" s="18" t="s">
        <v>477</v>
      </c>
    </row>
    <row r="28297">
      <c r="B28297" s="17" t="s">
        <v>477</v>
      </c>
      <c r="K28297" s="18" t="s">
        <v>477</v>
      </c>
    </row>
    <row r="28298">
      <c r="B28298" s="17" t="s">
        <v>477</v>
      </c>
      <c r="K28298" s="18" t="s">
        <v>477</v>
      </c>
    </row>
    <row r="28299">
      <c r="B28299" s="17" t="s">
        <v>477</v>
      </c>
      <c r="K28299" s="18" t="s">
        <v>477</v>
      </c>
    </row>
    <row r="28300">
      <c r="B28300" s="17" t="s">
        <v>477</v>
      </c>
      <c r="K28300" s="18" t="s">
        <v>477</v>
      </c>
    </row>
    <row r="28301">
      <c r="B28301" s="17" t="s">
        <v>477</v>
      </c>
      <c r="K28301" s="18" t="s">
        <v>477</v>
      </c>
    </row>
    <row r="28302">
      <c r="B28302" s="17" t="s">
        <v>477</v>
      </c>
      <c r="K28302" s="18" t="s">
        <v>477</v>
      </c>
    </row>
    <row r="28303">
      <c r="B28303" s="17" t="s">
        <v>477</v>
      </c>
      <c r="K28303" s="18" t="s">
        <v>477</v>
      </c>
    </row>
    <row r="28304">
      <c r="B28304" s="17" t="s">
        <v>477</v>
      </c>
      <c r="K28304" s="18" t="s">
        <v>477</v>
      </c>
    </row>
    <row r="28305">
      <c r="B28305" s="17" t="s">
        <v>477</v>
      </c>
      <c r="K28305" s="18" t="s">
        <v>477</v>
      </c>
    </row>
    <row r="28306">
      <c r="B28306" s="17" t="s">
        <v>477</v>
      </c>
      <c r="K28306" s="18" t="s">
        <v>477</v>
      </c>
    </row>
    <row r="28307">
      <c r="B28307" s="17" t="s">
        <v>477</v>
      </c>
      <c r="K28307" s="18" t="s">
        <v>477</v>
      </c>
    </row>
    <row r="28308">
      <c r="B28308" s="17" t="s">
        <v>477</v>
      </c>
      <c r="K28308" s="18" t="s">
        <v>477</v>
      </c>
    </row>
    <row r="28309">
      <c r="B28309" s="17" t="s">
        <v>477</v>
      </c>
      <c r="K28309" s="18" t="s">
        <v>477</v>
      </c>
    </row>
    <row r="28310">
      <c r="B28310" s="17" t="s">
        <v>477</v>
      </c>
      <c r="K28310" s="18" t="s">
        <v>477</v>
      </c>
    </row>
    <row r="28311">
      <c r="B28311" s="17" t="s">
        <v>477</v>
      </c>
      <c r="K28311" s="18" t="s">
        <v>477</v>
      </c>
    </row>
    <row r="28312">
      <c r="B28312" s="17" t="s">
        <v>477</v>
      </c>
      <c r="K28312" s="18" t="s">
        <v>477</v>
      </c>
    </row>
    <row r="28313">
      <c r="B28313" s="17" t="s">
        <v>477</v>
      </c>
      <c r="K28313" s="18" t="s">
        <v>477</v>
      </c>
    </row>
    <row r="28314">
      <c r="B28314" s="17" t="s">
        <v>477</v>
      </c>
      <c r="K28314" s="18" t="s">
        <v>477</v>
      </c>
    </row>
    <row r="28315">
      <c r="B28315" s="17" t="s">
        <v>477</v>
      </c>
      <c r="K28315" s="18" t="s">
        <v>477</v>
      </c>
    </row>
    <row r="28316">
      <c r="B28316" s="17" t="s">
        <v>477</v>
      </c>
      <c r="K28316" s="18" t="s">
        <v>477</v>
      </c>
    </row>
    <row r="28317">
      <c r="B28317" s="17" t="s">
        <v>477</v>
      </c>
      <c r="K28317" s="18" t="s">
        <v>477</v>
      </c>
    </row>
    <row r="28318">
      <c r="B28318" s="17" t="s">
        <v>477</v>
      </c>
      <c r="K28318" s="18" t="s">
        <v>477</v>
      </c>
    </row>
    <row r="28319">
      <c r="B28319" s="17" t="s">
        <v>477</v>
      </c>
      <c r="K28319" s="18" t="s">
        <v>477</v>
      </c>
    </row>
    <row r="28320">
      <c r="B28320" s="17" t="s">
        <v>477</v>
      </c>
      <c r="K28320" s="18" t="s">
        <v>477</v>
      </c>
    </row>
    <row r="28321">
      <c r="B28321" s="17" t="s">
        <v>477</v>
      </c>
      <c r="K28321" s="18" t="s">
        <v>477</v>
      </c>
    </row>
    <row r="28322">
      <c r="B28322" s="17" t="s">
        <v>477</v>
      </c>
      <c r="K28322" s="18" t="s">
        <v>477</v>
      </c>
    </row>
    <row r="28323">
      <c r="B28323" s="17" t="s">
        <v>477</v>
      </c>
      <c r="K28323" s="18" t="s">
        <v>477</v>
      </c>
    </row>
    <row r="28324">
      <c r="B28324" s="17" t="s">
        <v>477</v>
      </c>
      <c r="K28324" s="18" t="s">
        <v>477</v>
      </c>
    </row>
    <row r="28325">
      <c r="B28325" s="17" t="s">
        <v>477</v>
      </c>
      <c r="K28325" s="18" t="s">
        <v>477</v>
      </c>
    </row>
    <row r="28326">
      <c r="B28326" s="17" t="s">
        <v>477</v>
      </c>
      <c r="K28326" s="18" t="s">
        <v>477</v>
      </c>
    </row>
    <row r="28327">
      <c r="B28327" s="17" t="s">
        <v>477</v>
      </c>
      <c r="K28327" s="18" t="s">
        <v>477</v>
      </c>
    </row>
    <row r="28328">
      <c r="B28328" s="17" t="s">
        <v>477</v>
      </c>
      <c r="K28328" s="18" t="s">
        <v>477</v>
      </c>
    </row>
    <row r="28329">
      <c r="B28329" s="17" t="s">
        <v>477</v>
      </c>
      <c r="K28329" s="18" t="s">
        <v>477</v>
      </c>
    </row>
    <row r="28330">
      <c r="B28330" s="17" t="s">
        <v>477</v>
      </c>
      <c r="K28330" s="18" t="s">
        <v>477</v>
      </c>
    </row>
    <row r="28331">
      <c r="B28331" s="17" t="s">
        <v>477</v>
      </c>
      <c r="K28331" s="18" t="s">
        <v>477</v>
      </c>
    </row>
    <row r="28332">
      <c r="B28332" s="17" t="s">
        <v>477</v>
      </c>
      <c r="K28332" s="18" t="s">
        <v>477</v>
      </c>
    </row>
    <row r="28333">
      <c r="B28333" s="17" t="s">
        <v>477</v>
      </c>
      <c r="K28333" s="18" t="s">
        <v>477</v>
      </c>
    </row>
    <row r="28334">
      <c r="B28334" s="17" t="s">
        <v>477</v>
      </c>
      <c r="K28334" s="18" t="s">
        <v>477</v>
      </c>
    </row>
    <row r="28335">
      <c r="B28335" s="17" t="s">
        <v>477</v>
      </c>
      <c r="K28335" s="18" t="s">
        <v>477</v>
      </c>
    </row>
    <row r="28336">
      <c r="B28336" s="17" t="s">
        <v>477</v>
      </c>
      <c r="K28336" s="18" t="s">
        <v>477</v>
      </c>
    </row>
    <row r="28337">
      <c r="B28337" s="17" t="s">
        <v>477</v>
      </c>
      <c r="K28337" s="18" t="s">
        <v>477</v>
      </c>
    </row>
    <row r="28338">
      <c r="B28338" s="17" t="s">
        <v>477</v>
      </c>
      <c r="K28338" s="18" t="s">
        <v>477</v>
      </c>
    </row>
    <row r="28339">
      <c r="B28339" s="17" t="s">
        <v>477</v>
      </c>
      <c r="K28339" s="18" t="s">
        <v>477</v>
      </c>
    </row>
    <row r="28340">
      <c r="B28340" s="17" t="s">
        <v>477</v>
      </c>
      <c r="K28340" s="18" t="s">
        <v>477</v>
      </c>
    </row>
    <row r="28341">
      <c r="B28341" s="17" t="s">
        <v>477</v>
      </c>
      <c r="K28341" s="18" t="s">
        <v>477</v>
      </c>
    </row>
    <row r="28342">
      <c r="B28342" s="17" t="s">
        <v>477</v>
      </c>
      <c r="K28342" s="18" t="s">
        <v>477</v>
      </c>
    </row>
    <row r="28343">
      <c r="B28343" s="17" t="s">
        <v>477</v>
      </c>
      <c r="K28343" s="18" t="s">
        <v>477</v>
      </c>
    </row>
    <row r="28344">
      <c r="B28344" s="17" t="s">
        <v>477</v>
      </c>
      <c r="K28344" s="18" t="s">
        <v>477</v>
      </c>
    </row>
    <row r="28345">
      <c r="B28345" s="17" t="s">
        <v>477</v>
      </c>
      <c r="K28345" s="18" t="s">
        <v>477</v>
      </c>
    </row>
    <row r="28346">
      <c r="B28346" s="17" t="s">
        <v>477</v>
      </c>
      <c r="K28346" s="18" t="s">
        <v>477</v>
      </c>
    </row>
    <row r="28347">
      <c r="B28347" s="17" t="s">
        <v>477</v>
      </c>
      <c r="K28347" s="18" t="s">
        <v>477</v>
      </c>
    </row>
    <row r="28348">
      <c r="B28348" s="17" t="s">
        <v>477</v>
      </c>
      <c r="K28348" s="18" t="s">
        <v>477</v>
      </c>
    </row>
    <row r="28349">
      <c r="B28349" s="17" t="s">
        <v>477</v>
      </c>
      <c r="K28349" s="18" t="s">
        <v>477</v>
      </c>
    </row>
    <row r="28350">
      <c r="B28350" s="17" t="s">
        <v>477</v>
      </c>
      <c r="K28350" s="18" t="s">
        <v>477</v>
      </c>
    </row>
    <row r="28351">
      <c r="B28351" s="17" t="s">
        <v>477</v>
      </c>
      <c r="K28351" s="18" t="s">
        <v>477</v>
      </c>
    </row>
    <row r="28352">
      <c r="B28352" s="17" t="s">
        <v>477</v>
      </c>
      <c r="K28352" s="18" t="s">
        <v>477</v>
      </c>
    </row>
    <row r="28353">
      <c r="B28353" s="17" t="s">
        <v>477</v>
      </c>
      <c r="K28353" s="18" t="s">
        <v>477</v>
      </c>
    </row>
    <row r="28354">
      <c r="B28354" s="17" t="s">
        <v>477</v>
      </c>
      <c r="K28354" s="18" t="s">
        <v>477</v>
      </c>
    </row>
    <row r="28355">
      <c r="B28355" s="17" t="s">
        <v>477</v>
      </c>
      <c r="K28355" s="18" t="s">
        <v>477</v>
      </c>
    </row>
    <row r="28356">
      <c r="B28356" s="17" t="s">
        <v>477</v>
      </c>
      <c r="K28356" s="18" t="s">
        <v>477</v>
      </c>
    </row>
    <row r="28357">
      <c r="B28357" s="17" t="s">
        <v>477</v>
      </c>
      <c r="K28357" s="18" t="s">
        <v>477</v>
      </c>
    </row>
    <row r="28358">
      <c r="B28358" s="17" t="s">
        <v>477</v>
      </c>
      <c r="K28358" s="18" t="s">
        <v>477</v>
      </c>
    </row>
    <row r="28359">
      <c r="B28359" s="17" t="s">
        <v>477</v>
      </c>
      <c r="K28359" s="18" t="s">
        <v>477</v>
      </c>
    </row>
    <row r="28360">
      <c r="B28360" s="17" t="s">
        <v>477</v>
      </c>
      <c r="K28360" s="18" t="s">
        <v>477</v>
      </c>
    </row>
    <row r="28361">
      <c r="B28361" s="17" t="s">
        <v>477</v>
      </c>
      <c r="K28361" s="18" t="s">
        <v>477</v>
      </c>
    </row>
    <row r="28362">
      <c r="B28362" s="17" t="s">
        <v>477</v>
      </c>
      <c r="K28362" s="18" t="s">
        <v>477</v>
      </c>
    </row>
    <row r="28363">
      <c r="B28363" s="17" t="s">
        <v>477</v>
      </c>
      <c r="K28363" s="18" t="s">
        <v>477</v>
      </c>
    </row>
    <row r="28364">
      <c r="B28364" s="17" t="s">
        <v>477</v>
      </c>
      <c r="K28364" s="18" t="s">
        <v>477</v>
      </c>
    </row>
    <row r="28365">
      <c r="B28365" s="17" t="s">
        <v>477</v>
      </c>
      <c r="K28365" s="18" t="s">
        <v>477</v>
      </c>
    </row>
    <row r="28366">
      <c r="B28366" s="17" t="s">
        <v>477</v>
      </c>
      <c r="K28366" s="18" t="s">
        <v>477</v>
      </c>
    </row>
    <row r="28367">
      <c r="B28367" s="17" t="s">
        <v>477</v>
      </c>
      <c r="K28367" s="18" t="s">
        <v>477</v>
      </c>
    </row>
    <row r="28368">
      <c r="B28368" s="17" t="s">
        <v>477</v>
      </c>
      <c r="K28368" s="18" t="s">
        <v>477</v>
      </c>
    </row>
    <row r="28369">
      <c r="B28369" s="17" t="s">
        <v>477</v>
      </c>
      <c r="K28369" s="18" t="s">
        <v>477</v>
      </c>
    </row>
    <row r="28370">
      <c r="B28370" s="17" t="s">
        <v>477</v>
      </c>
      <c r="K28370" s="18" t="s">
        <v>477</v>
      </c>
    </row>
    <row r="28371">
      <c r="B28371" s="17" t="s">
        <v>477</v>
      </c>
      <c r="K28371" s="18" t="s">
        <v>477</v>
      </c>
    </row>
    <row r="28372">
      <c r="B28372" s="17" t="s">
        <v>477</v>
      </c>
      <c r="K28372" s="18" t="s">
        <v>477</v>
      </c>
    </row>
    <row r="28373">
      <c r="B28373" s="17" t="s">
        <v>477</v>
      </c>
      <c r="K28373" s="18" t="s">
        <v>477</v>
      </c>
    </row>
    <row r="28374">
      <c r="B28374" s="17" t="s">
        <v>477</v>
      </c>
      <c r="K28374" s="18" t="s">
        <v>477</v>
      </c>
    </row>
    <row r="28375">
      <c r="B28375" s="17" t="s">
        <v>477</v>
      </c>
      <c r="K28375" s="18" t="s">
        <v>477</v>
      </c>
    </row>
    <row r="28376">
      <c r="B28376" s="17" t="s">
        <v>477</v>
      </c>
      <c r="K28376" s="18" t="s">
        <v>477</v>
      </c>
    </row>
    <row r="28377">
      <c r="B28377" s="17" t="s">
        <v>477</v>
      </c>
      <c r="K28377" s="18" t="s">
        <v>477</v>
      </c>
    </row>
    <row r="28378">
      <c r="B28378" s="17" t="s">
        <v>477</v>
      </c>
      <c r="K28378" s="18" t="s">
        <v>477</v>
      </c>
    </row>
    <row r="28379">
      <c r="B28379" s="17" t="s">
        <v>477</v>
      </c>
      <c r="K28379" s="18" t="s">
        <v>477</v>
      </c>
    </row>
    <row r="28380">
      <c r="B28380" s="17" t="s">
        <v>477</v>
      </c>
      <c r="K28380" s="18" t="s">
        <v>477</v>
      </c>
    </row>
    <row r="28381">
      <c r="B28381" s="17" t="s">
        <v>477</v>
      </c>
      <c r="K28381" s="18" t="s">
        <v>477</v>
      </c>
    </row>
    <row r="28382">
      <c r="B28382" s="17" t="s">
        <v>477</v>
      </c>
      <c r="K28382" s="18" t="s">
        <v>477</v>
      </c>
    </row>
    <row r="28383">
      <c r="B28383" s="17" t="s">
        <v>477</v>
      </c>
      <c r="K28383" s="18" t="s">
        <v>477</v>
      </c>
    </row>
    <row r="28384">
      <c r="B28384" s="17" t="s">
        <v>477</v>
      </c>
      <c r="K28384" s="18" t="s">
        <v>477</v>
      </c>
    </row>
    <row r="28385">
      <c r="B28385" s="17" t="s">
        <v>477</v>
      </c>
      <c r="K28385" s="18" t="s">
        <v>477</v>
      </c>
    </row>
    <row r="28386">
      <c r="B28386" s="17" t="s">
        <v>477</v>
      </c>
      <c r="K28386" s="18" t="s">
        <v>477</v>
      </c>
    </row>
    <row r="28387">
      <c r="B28387" s="17" t="s">
        <v>477</v>
      </c>
      <c r="K28387" s="18" t="s">
        <v>477</v>
      </c>
    </row>
    <row r="28388">
      <c r="B28388" s="17" t="s">
        <v>477</v>
      </c>
      <c r="K28388" s="18" t="s">
        <v>477</v>
      </c>
    </row>
    <row r="28389">
      <c r="B28389" s="17" t="s">
        <v>477</v>
      </c>
      <c r="K28389" s="18" t="s">
        <v>477</v>
      </c>
    </row>
    <row r="28390">
      <c r="B28390" s="17" t="s">
        <v>477</v>
      </c>
      <c r="K28390" s="18" t="s">
        <v>477</v>
      </c>
    </row>
    <row r="28391">
      <c r="B28391" s="17" t="s">
        <v>477</v>
      </c>
      <c r="K28391" s="18" t="s">
        <v>477</v>
      </c>
    </row>
    <row r="28392">
      <c r="B28392" s="17" t="s">
        <v>477</v>
      </c>
      <c r="K28392" s="18" t="s">
        <v>477</v>
      </c>
    </row>
    <row r="28393">
      <c r="B28393" s="17" t="s">
        <v>477</v>
      </c>
      <c r="K28393" s="18" t="s">
        <v>477</v>
      </c>
    </row>
    <row r="28394">
      <c r="B28394" s="17" t="s">
        <v>477</v>
      </c>
      <c r="K28394" s="18" t="s">
        <v>477</v>
      </c>
    </row>
    <row r="28395">
      <c r="B28395" s="17" t="s">
        <v>477</v>
      </c>
      <c r="K28395" s="18" t="s">
        <v>477</v>
      </c>
    </row>
    <row r="28396">
      <c r="B28396" s="17" t="s">
        <v>477</v>
      </c>
      <c r="K28396" s="18" t="s">
        <v>477</v>
      </c>
    </row>
    <row r="28397">
      <c r="B28397" s="17" t="s">
        <v>477</v>
      </c>
      <c r="K28397" s="18" t="s">
        <v>477</v>
      </c>
    </row>
    <row r="28398">
      <c r="B28398" s="17" t="s">
        <v>477</v>
      </c>
      <c r="K28398" s="18" t="s">
        <v>477</v>
      </c>
    </row>
    <row r="28399">
      <c r="B28399" s="17" t="s">
        <v>477</v>
      </c>
      <c r="K28399" s="18" t="s">
        <v>477</v>
      </c>
    </row>
    <row r="28400">
      <c r="B28400" s="17" t="s">
        <v>477</v>
      </c>
      <c r="K28400" s="18" t="s">
        <v>477</v>
      </c>
    </row>
    <row r="28401">
      <c r="B28401" s="17" t="s">
        <v>477</v>
      </c>
      <c r="K28401" s="18" t="s">
        <v>477</v>
      </c>
    </row>
    <row r="28402">
      <c r="B28402" s="17" t="s">
        <v>477</v>
      </c>
      <c r="K28402" s="18" t="s">
        <v>477</v>
      </c>
    </row>
    <row r="28403">
      <c r="B28403" s="17" t="s">
        <v>477</v>
      </c>
      <c r="K28403" s="18" t="s">
        <v>477</v>
      </c>
    </row>
    <row r="28404">
      <c r="B28404" s="17" t="s">
        <v>477</v>
      </c>
      <c r="K28404" s="18" t="s">
        <v>477</v>
      </c>
    </row>
    <row r="28405">
      <c r="B28405" s="17" t="s">
        <v>477</v>
      </c>
      <c r="K28405" s="18" t="s">
        <v>477</v>
      </c>
    </row>
    <row r="28406">
      <c r="B28406" s="17" t="s">
        <v>477</v>
      </c>
      <c r="K28406" s="18" t="s">
        <v>477</v>
      </c>
    </row>
    <row r="28407">
      <c r="B28407" s="17" t="s">
        <v>477</v>
      </c>
      <c r="K28407" s="18" t="s">
        <v>477</v>
      </c>
    </row>
    <row r="28408">
      <c r="B28408" s="17" t="s">
        <v>477</v>
      </c>
      <c r="K28408" s="18" t="s">
        <v>477</v>
      </c>
    </row>
    <row r="28409">
      <c r="B28409" s="17" t="s">
        <v>477</v>
      </c>
      <c r="K28409" s="18" t="s">
        <v>477</v>
      </c>
    </row>
    <row r="28410">
      <c r="B28410" s="17" t="s">
        <v>477</v>
      </c>
      <c r="K28410" s="18" t="s">
        <v>477</v>
      </c>
    </row>
    <row r="28411">
      <c r="B28411" s="17" t="s">
        <v>477</v>
      </c>
      <c r="K28411" s="18" t="s">
        <v>477</v>
      </c>
    </row>
    <row r="28412">
      <c r="B28412" s="17" t="s">
        <v>477</v>
      </c>
      <c r="K28412" s="18" t="s">
        <v>477</v>
      </c>
    </row>
    <row r="28413">
      <c r="B28413" s="17" t="s">
        <v>477</v>
      </c>
      <c r="K28413" s="18" t="s">
        <v>477</v>
      </c>
    </row>
    <row r="28414">
      <c r="B28414" s="17" t="s">
        <v>477</v>
      </c>
      <c r="K28414" s="18" t="s">
        <v>477</v>
      </c>
    </row>
    <row r="28415">
      <c r="B28415" s="17" t="s">
        <v>477</v>
      </c>
      <c r="K28415" s="18" t="s">
        <v>477</v>
      </c>
    </row>
    <row r="28416">
      <c r="B28416" s="17" t="s">
        <v>477</v>
      </c>
      <c r="K28416" s="18" t="s">
        <v>477</v>
      </c>
    </row>
    <row r="28417">
      <c r="B28417" s="17" t="s">
        <v>477</v>
      </c>
      <c r="K28417" s="18" t="s">
        <v>477</v>
      </c>
    </row>
    <row r="28418">
      <c r="B28418" s="17" t="s">
        <v>477</v>
      </c>
      <c r="K28418" s="18" t="s">
        <v>477</v>
      </c>
    </row>
    <row r="28419">
      <c r="B28419" s="17" t="s">
        <v>477</v>
      </c>
      <c r="K28419" s="18" t="s">
        <v>477</v>
      </c>
    </row>
    <row r="28420">
      <c r="B28420" s="17" t="s">
        <v>477</v>
      </c>
      <c r="K28420" s="18" t="s">
        <v>477</v>
      </c>
    </row>
    <row r="28421">
      <c r="B28421" s="17" t="s">
        <v>477</v>
      </c>
      <c r="K28421" s="18" t="s">
        <v>477</v>
      </c>
    </row>
    <row r="28422">
      <c r="B28422" s="17" t="s">
        <v>477</v>
      </c>
      <c r="K28422" s="18" t="s">
        <v>477</v>
      </c>
    </row>
    <row r="28423">
      <c r="B28423" s="17" t="s">
        <v>477</v>
      </c>
      <c r="K28423" s="18" t="s">
        <v>477</v>
      </c>
    </row>
    <row r="28424">
      <c r="B28424" s="17" t="s">
        <v>477</v>
      </c>
      <c r="K28424" s="18" t="s">
        <v>477</v>
      </c>
    </row>
    <row r="28425">
      <c r="B28425" s="17" t="s">
        <v>477</v>
      </c>
      <c r="K28425" s="18" t="s">
        <v>477</v>
      </c>
    </row>
    <row r="28426">
      <c r="B28426" s="17" t="s">
        <v>477</v>
      </c>
      <c r="K28426" s="18" t="s">
        <v>477</v>
      </c>
    </row>
    <row r="28427">
      <c r="B28427" s="17" t="s">
        <v>477</v>
      </c>
      <c r="K28427" s="18" t="s">
        <v>477</v>
      </c>
    </row>
    <row r="28428">
      <c r="B28428" s="17" t="s">
        <v>477</v>
      </c>
      <c r="K28428" s="18" t="s">
        <v>477</v>
      </c>
    </row>
    <row r="28429">
      <c r="B28429" s="17" t="s">
        <v>477</v>
      </c>
      <c r="K28429" s="18" t="s">
        <v>477</v>
      </c>
    </row>
    <row r="28430">
      <c r="B28430" s="17" t="s">
        <v>477</v>
      </c>
      <c r="K28430" s="18" t="s">
        <v>477</v>
      </c>
    </row>
    <row r="28431">
      <c r="B28431" s="17" t="s">
        <v>477</v>
      </c>
      <c r="K28431" s="18" t="s">
        <v>477</v>
      </c>
    </row>
    <row r="28432">
      <c r="B28432" s="17" t="s">
        <v>477</v>
      </c>
      <c r="K28432" s="18" t="s">
        <v>477</v>
      </c>
    </row>
    <row r="28433">
      <c r="B28433" s="17" t="s">
        <v>477</v>
      </c>
      <c r="K28433" s="18" t="s">
        <v>477</v>
      </c>
    </row>
    <row r="28434">
      <c r="B28434" s="17" t="s">
        <v>477</v>
      </c>
      <c r="K28434" s="18" t="s">
        <v>477</v>
      </c>
    </row>
    <row r="28435">
      <c r="B28435" s="17" t="s">
        <v>477</v>
      </c>
      <c r="K28435" s="18" t="s">
        <v>477</v>
      </c>
    </row>
    <row r="28436">
      <c r="B28436" s="17" t="s">
        <v>477</v>
      </c>
      <c r="K28436" s="18" t="s">
        <v>477</v>
      </c>
    </row>
    <row r="28437">
      <c r="B28437" s="17" t="s">
        <v>477</v>
      </c>
      <c r="K28437" s="18" t="s">
        <v>477</v>
      </c>
    </row>
    <row r="28438">
      <c r="B28438" s="17" t="s">
        <v>477</v>
      </c>
      <c r="K28438" s="18" t="s">
        <v>477</v>
      </c>
    </row>
    <row r="28439">
      <c r="B28439" s="17" t="s">
        <v>477</v>
      </c>
      <c r="K28439" s="18" t="s">
        <v>477</v>
      </c>
    </row>
    <row r="28440">
      <c r="B28440" s="17" t="s">
        <v>477</v>
      </c>
      <c r="K28440" s="18" t="s">
        <v>477</v>
      </c>
    </row>
    <row r="28441">
      <c r="B28441" s="17" t="s">
        <v>477</v>
      </c>
      <c r="K28441" s="18" t="s">
        <v>477</v>
      </c>
    </row>
    <row r="28442">
      <c r="B28442" s="17" t="s">
        <v>477</v>
      </c>
      <c r="K28442" s="18" t="s">
        <v>477</v>
      </c>
    </row>
    <row r="28443">
      <c r="B28443" s="17" t="s">
        <v>477</v>
      </c>
      <c r="K28443" s="18" t="s">
        <v>477</v>
      </c>
    </row>
    <row r="28444">
      <c r="B28444" s="17" t="s">
        <v>477</v>
      </c>
      <c r="K28444" s="18" t="s">
        <v>477</v>
      </c>
    </row>
    <row r="28445">
      <c r="B28445" s="17" t="s">
        <v>477</v>
      </c>
      <c r="K28445" s="18" t="s">
        <v>477</v>
      </c>
    </row>
    <row r="28446">
      <c r="B28446" s="17" t="s">
        <v>477</v>
      </c>
      <c r="K28446" s="18" t="s">
        <v>477</v>
      </c>
    </row>
    <row r="28447">
      <c r="B28447" s="17" t="s">
        <v>477</v>
      </c>
      <c r="K28447" s="18" t="s">
        <v>477</v>
      </c>
    </row>
    <row r="28448">
      <c r="B28448" s="17" t="s">
        <v>477</v>
      </c>
      <c r="K28448" s="18" t="s">
        <v>477</v>
      </c>
    </row>
    <row r="28449">
      <c r="B28449" s="17" t="s">
        <v>477</v>
      </c>
      <c r="K28449" s="18" t="s">
        <v>477</v>
      </c>
    </row>
    <row r="28450">
      <c r="B28450" s="17" t="s">
        <v>477</v>
      </c>
      <c r="K28450" s="18" t="s">
        <v>477</v>
      </c>
    </row>
    <row r="28451">
      <c r="B28451" s="17" t="s">
        <v>477</v>
      </c>
      <c r="K28451" s="18" t="s">
        <v>477</v>
      </c>
    </row>
    <row r="28452">
      <c r="B28452" s="17" t="s">
        <v>477</v>
      </c>
      <c r="K28452" s="18" t="s">
        <v>477</v>
      </c>
    </row>
    <row r="28453">
      <c r="B28453" s="17" t="s">
        <v>477</v>
      </c>
      <c r="K28453" s="18" t="s">
        <v>477</v>
      </c>
    </row>
    <row r="28454">
      <c r="B28454" s="17" t="s">
        <v>477</v>
      </c>
      <c r="K28454" s="18" t="s">
        <v>477</v>
      </c>
    </row>
    <row r="28455">
      <c r="B28455" s="17" t="s">
        <v>477</v>
      </c>
      <c r="K28455" s="18" t="s">
        <v>477</v>
      </c>
    </row>
    <row r="28456">
      <c r="B28456" s="17" t="s">
        <v>477</v>
      </c>
      <c r="K28456" s="18" t="s">
        <v>477</v>
      </c>
    </row>
    <row r="28457">
      <c r="B28457" s="17" t="s">
        <v>477</v>
      </c>
      <c r="K28457" s="18" t="s">
        <v>477</v>
      </c>
    </row>
    <row r="28458">
      <c r="B28458" s="17" t="s">
        <v>477</v>
      </c>
      <c r="K28458" s="18" t="s">
        <v>477</v>
      </c>
    </row>
    <row r="28459">
      <c r="B28459" s="17" t="s">
        <v>477</v>
      </c>
      <c r="K28459" s="18" t="s">
        <v>477</v>
      </c>
    </row>
    <row r="28460">
      <c r="B28460" s="17" t="s">
        <v>477</v>
      </c>
      <c r="K28460" s="18" t="s">
        <v>477</v>
      </c>
    </row>
    <row r="28461">
      <c r="B28461" s="17" t="s">
        <v>477</v>
      </c>
      <c r="K28461" s="18" t="s">
        <v>477</v>
      </c>
    </row>
    <row r="28462">
      <c r="B28462" s="17" t="s">
        <v>477</v>
      </c>
      <c r="K28462" s="18" t="s">
        <v>477</v>
      </c>
    </row>
    <row r="28463">
      <c r="B28463" s="17" t="s">
        <v>477</v>
      </c>
      <c r="K28463" s="18" t="s">
        <v>477</v>
      </c>
    </row>
    <row r="28464">
      <c r="B28464" s="17" t="s">
        <v>477</v>
      </c>
      <c r="K28464" s="18" t="s">
        <v>477</v>
      </c>
    </row>
    <row r="28465">
      <c r="B28465" s="17" t="s">
        <v>477</v>
      </c>
      <c r="K28465" s="18" t="s">
        <v>477</v>
      </c>
    </row>
    <row r="28466">
      <c r="B28466" s="17" t="s">
        <v>477</v>
      </c>
      <c r="K28466" s="18" t="s">
        <v>477</v>
      </c>
    </row>
    <row r="28467">
      <c r="B28467" s="17" t="s">
        <v>477</v>
      </c>
      <c r="K28467" s="18" t="s">
        <v>477</v>
      </c>
    </row>
    <row r="28468">
      <c r="B28468" s="17" t="s">
        <v>477</v>
      </c>
      <c r="K28468" s="18" t="s">
        <v>477</v>
      </c>
    </row>
    <row r="28469">
      <c r="B28469" s="17" t="s">
        <v>477</v>
      </c>
      <c r="K28469" s="18" t="s">
        <v>477</v>
      </c>
    </row>
    <row r="28470">
      <c r="B28470" s="17" t="s">
        <v>477</v>
      </c>
      <c r="K28470" s="18" t="s">
        <v>477</v>
      </c>
    </row>
    <row r="28471">
      <c r="B28471" s="17" t="s">
        <v>477</v>
      </c>
      <c r="K28471" s="18" t="s">
        <v>477</v>
      </c>
    </row>
    <row r="28472">
      <c r="B28472" s="17" t="s">
        <v>477</v>
      </c>
      <c r="K28472" s="18" t="s">
        <v>477</v>
      </c>
    </row>
    <row r="28473">
      <c r="B28473" s="17" t="s">
        <v>477</v>
      </c>
      <c r="K28473" s="18" t="s">
        <v>477</v>
      </c>
    </row>
    <row r="28474">
      <c r="B28474" s="17" t="s">
        <v>477</v>
      </c>
      <c r="K28474" s="18" t="s">
        <v>477</v>
      </c>
    </row>
    <row r="28475">
      <c r="B28475" s="17" t="s">
        <v>477</v>
      </c>
      <c r="K28475" s="18" t="s">
        <v>477</v>
      </c>
    </row>
    <row r="28476">
      <c r="B28476" s="17" t="s">
        <v>477</v>
      </c>
      <c r="K28476" s="18" t="s">
        <v>477</v>
      </c>
    </row>
    <row r="28477">
      <c r="B28477" s="17" t="s">
        <v>477</v>
      </c>
      <c r="K28477" s="18" t="s">
        <v>477</v>
      </c>
    </row>
    <row r="28478">
      <c r="B28478" s="17" t="s">
        <v>477</v>
      </c>
      <c r="K28478" s="18" t="s">
        <v>477</v>
      </c>
    </row>
    <row r="28479">
      <c r="B28479" s="17" t="s">
        <v>477</v>
      </c>
      <c r="K28479" s="18" t="s">
        <v>477</v>
      </c>
    </row>
    <row r="28480">
      <c r="B28480" s="17" t="s">
        <v>477</v>
      </c>
      <c r="K28480" s="18" t="s">
        <v>477</v>
      </c>
    </row>
    <row r="28481">
      <c r="B28481" s="17" t="s">
        <v>477</v>
      </c>
      <c r="K28481" s="18" t="s">
        <v>477</v>
      </c>
    </row>
    <row r="28482">
      <c r="B28482" s="17" t="s">
        <v>477</v>
      </c>
      <c r="K28482" s="18" t="s">
        <v>477</v>
      </c>
    </row>
    <row r="28483">
      <c r="B28483" s="17" t="s">
        <v>477</v>
      </c>
      <c r="K28483" s="18" t="s">
        <v>477</v>
      </c>
    </row>
    <row r="28484">
      <c r="B28484" s="17" t="s">
        <v>477</v>
      </c>
      <c r="K28484" s="18" t="s">
        <v>477</v>
      </c>
    </row>
    <row r="28485">
      <c r="B28485" s="17" t="s">
        <v>477</v>
      </c>
      <c r="K28485" s="18" t="s">
        <v>477</v>
      </c>
    </row>
    <row r="28486">
      <c r="B28486" s="17" t="s">
        <v>477</v>
      </c>
      <c r="K28486" s="18" t="s">
        <v>477</v>
      </c>
    </row>
    <row r="28487">
      <c r="B28487" s="17" t="s">
        <v>477</v>
      </c>
      <c r="K28487" s="18" t="s">
        <v>477</v>
      </c>
    </row>
    <row r="28488">
      <c r="B28488" s="17" t="s">
        <v>477</v>
      </c>
      <c r="K28488" s="18" t="s">
        <v>477</v>
      </c>
    </row>
    <row r="28489">
      <c r="B28489" s="17" t="s">
        <v>477</v>
      </c>
      <c r="K28489" s="18" t="s">
        <v>477</v>
      </c>
    </row>
    <row r="28490">
      <c r="B28490" s="17" t="s">
        <v>477</v>
      </c>
      <c r="K28490" s="18" t="s">
        <v>477</v>
      </c>
    </row>
    <row r="28491">
      <c r="B28491" s="17" t="s">
        <v>477</v>
      </c>
      <c r="K28491" s="18" t="s">
        <v>477</v>
      </c>
    </row>
    <row r="28492">
      <c r="B28492" s="17" t="s">
        <v>477</v>
      </c>
      <c r="K28492" s="18" t="s">
        <v>477</v>
      </c>
    </row>
    <row r="28493">
      <c r="B28493" s="17" t="s">
        <v>477</v>
      </c>
      <c r="K28493" s="18" t="s">
        <v>477</v>
      </c>
    </row>
    <row r="28494">
      <c r="B28494" s="17" t="s">
        <v>477</v>
      </c>
      <c r="K28494" s="18" t="s">
        <v>477</v>
      </c>
    </row>
    <row r="28495">
      <c r="B28495" s="17" t="s">
        <v>477</v>
      </c>
      <c r="K28495" s="18" t="s">
        <v>477</v>
      </c>
    </row>
    <row r="28496">
      <c r="B28496" s="17" t="s">
        <v>477</v>
      </c>
      <c r="K28496" s="18" t="s">
        <v>477</v>
      </c>
    </row>
    <row r="28497">
      <c r="B28497" s="17" t="s">
        <v>477</v>
      </c>
      <c r="K28497" s="18" t="s">
        <v>477</v>
      </c>
    </row>
    <row r="28498">
      <c r="B28498" s="17" t="s">
        <v>477</v>
      </c>
      <c r="K28498" s="18" t="s">
        <v>477</v>
      </c>
    </row>
    <row r="28499">
      <c r="B28499" s="17" t="s">
        <v>477</v>
      </c>
      <c r="K28499" s="18" t="s">
        <v>477</v>
      </c>
    </row>
    <row r="28500">
      <c r="B28500" s="17" t="s">
        <v>477</v>
      </c>
      <c r="K28500" s="18" t="s">
        <v>477</v>
      </c>
    </row>
    <row r="28501">
      <c r="B28501" s="17" t="s">
        <v>477</v>
      </c>
      <c r="K28501" s="18" t="s">
        <v>477</v>
      </c>
    </row>
    <row r="28502">
      <c r="B28502" s="17" t="s">
        <v>477</v>
      </c>
      <c r="K28502" s="18" t="s">
        <v>477</v>
      </c>
    </row>
    <row r="28503">
      <c r="B28503" s="17" t="s">
        <v>477</v>
      </c>
      <c r="K28503" s="18" t="s">
        <v>477</v>
      </c>
    </row>
    <row r="28504">
      <c r="B28504" s="17" t="s">
        <v>477</v>
      </c>
      <c r="K28504" s="18" t="s">
        <v>477</v>
      </c>
    </row>
    <row r="28505">
      <c r="B28505" s="17" t="s">
        <v>477</v>
      </c>
      <c r="K28505" s="18" t="s">
        <v>477</v>
      </c>
    </row>
    <row r="28506">
      <c r="B28506" s="17" t="s">
        <v>477</v>
      </c>
      <c r="K28506" s="18" t="s">
        <v>477</v>
      </c>
    </row>
    <row r="28507">
      <c r="B28507" s="17" t="s">
        <v>477</v>
      </c>
      <c r="K28507" s="18" t="s">
        <v>477</v>
      </c>
    </row>
    <row r="28508">
      <c r="B28508" s="17" t="s">
        <v>477</v>
      </c>
      <c r="K28508" s="18" t="s">
        <v>477</v>
      </c>
    </row>
    <row r="28509">
      <c r="B28509" s="17" t="s">
        <v>477</v>
      </c>
      <c r="K28509" s="18" t="s">
        <v>477</v>
      </c>
    </row>
    <row r="28510">
      <c r="B28510" s="17" t="s">
        <v>477</v>
      </c>
      <c r="K28510" s="18" t="s">
        <v>477</v>
      </c>
    </row>
    <row r="28511">
      <c r="B28511" s="17" t="s">
        <v>477</v>
      </c>
      <c r="K28511" s="18" t="s">
        <v>477</v>
      </c>
    </row>
    <row r="28512">
      <c r="B28512" s="17" t="s">
        <v>477</v>
      </c>
      <c r="K28512" s="18" t="s">
        <v>477</v>
      </c>
    </row>
    <row r="28513">
      <c r="B28513" s="17" t="s">
        <v>477</v>
      </c>
      <c r="K28513" s="18" t="s">
        <v>477</v>
      </c>
    </row>
    <row r="28514">
      <c r="B28514" s="17" t="s">
        <v>477</v>
      </c>
      <c r="K28514" s="18" t="s">
        <v>477</v>
      </c>
    </row>
    <row r="28515">
      <c r="B28515" s="17" t="s">
        <v>477</v>
      </c>
      <c r="K28515" s="18" t="s">
        <v>477</v>
      </c>
    </row>
    <row r="28516">
      <c r="B28516" s="17" t="s">
        <v>477</v>
      </c>
      <c r="K28516" s="18" t="s">
        <v>477</v>
      </c>
    </row>
    <row r="28517">
      <c r="B28517" s="17" t="s">
        <v>477</v>
      </c>
      <c r="K28517" s="18" t="s">
        <v>477</v>
      </c>
    </row>
    <row r="28518">
      <c r="B28518" s="17" t="s">
        <v>477</v>
      </c>
      <c r="K28518" s="18" t="s">
        <v>477</v>
      </c>
    </row>
    <row r="28519">
      <c r="B28519" s="17" t="s">
        <v>477</v>
      </c>
      <c r="K28519" s="18" t="s">
        <v>477</v>
      </c>
    </row>
    <row r="28520">
      <c r="B28520" s="17" t="s">
        <v>477</v>
      </c>
      <c r="K28520" s="18" t="s">
        <v>477</v>
      </c>
    </row>
    <row r="28521">
      <c r="B28521" s="17" t="s">
        <v>477</v>
      </c>
      <c r="K28521" s="18" t="s">
        <v>477</v>
      </c>
    </row>
    <row r="28522">
      <c r="B28522" s="17" t="s">
        <v>477</v>
      </c>
      <c r="K28522" s="18" t="s">
        <v>477</v>
      </c>
    </row>
    <row r="28523">
      <c r="B28523" s="17" t="s">
        <v>477</v>
      </c>
      <c r="K28523" s="18" t="s">
        <v>477</v>
      </c>
    </row>
    <row r="28524">
      <c r="B28524" s="17" t="s">
        <v>477</v>
      </c>
      <c r="K28524" s="18" t="s">
        <v>477</v>
      </c>
    </row>
    <row r="28525">
      <c r="B28525" s="17" t="s">
        <v>477</v>
      </c>
      <c r="K28525" s="18" t="s">
        <v>477</v>
      </c>
    </row>
    <row r="28526">
      <c r="B28526" s="17" t="s">
        <v>477</v>
      </c>
      <c r="K28526" s="18" t="s">
        <v>477</v>
      </c>
    </row>
    <row r="28527">
      <c r="B28527" s="17" t="s">
        <v>477</v>
      </c>
      <c r="K28527" s="18" t="s">
        <v>477</v>
      </c>
    </row>
    <row r="28528">
      <c r="B28528" s="17" t="s">
        <v>477</v>
      </c>
      <c r="K28528" s="18" t="s">
        <v>477</v>
      </c>
    </row>
    <row r="28529">
      <c r="B28529" s="17" t="s">
        <v>477</v>
      </c>
      <c r="K28529" s="18" t="s">
        <v>477</v>
      </c>
    </row>
    <row r="28530">
      <c r="B28530" s="17" t="s">
        <v>477</v>
      </c>
      <c r="K28530" s="18" t="s">
        <v>477</v>
      </c>
    </row>
    <row r="28531">
      <c r="B28531" s="17" t="s">
        <v>477</v>
      </c>
      <c r="K28531" s="18" t="s">
        <v>477</v>
      </c>
    </row>
    <row r="28532">
      <c r="B28532" s="17" t="s">
        <v>477</v>
      </c>
      <c r="K28532" s="18" t="s">
        <v>477</v>
      </c>
    </row>
    <row r="28533">
      <c r="B28533" s="17" t="s">
        <v>477</v>
      </c>
      <c r="K28533" s="18" t="s">
        <v>477</v>
      </c>
    </row>
    <row r="28534">
      <c r="B28534" s="17" t="s">
        <v>477</v>
      </c>
      <c r="K28534" s="18" t="s">
        <v>477</v>
      </c>
    </row>
    <row r="28535">
      <c r="B28535" s="17" t="s">
        <v>477</v>
      </c>
      <c r="K28535" s="18" t="s">
        <v>477</v>
      </c>
    </row>
    <row r="28536">
      <c r="B28536" s="17" t="s">
        <v>477</v>
      </c>
      <c r="K28536" s="18" t="s">
        <v>477</v>
      </c>
    </row>
    <row r="28537">
      <c r="B28537" s="17" t="s">
        <v>477</v>
      </c>
      <c r="K28537" s="18" t="s">
        <v>477</v>
      </c>
    </row>
    <row r="28538">
      <c r="B28538" s="17" t="s">
        <v>477</v>
      </c>
      <c r="K28538" s="18" t="s">
        <v>477</v>
      </c>
    </row>
    <row r="28539">
      <c r="B28539" s="17" t="s">
        <v>477</v>
      </c>
      <c r="K28539" s="18" t="s">
        <v>477</v>
      </c>
    </row>
    <row r="28540">
      <c r="B28540" s="17" t="s">
        <v>477</v>
      </c>
      <c r="K28540" s="18" t="s">
        <v>477</v>
      </c>
    </row>
    <row r="28541">
      <c r="B28541" s="17" t="s">
        <v>477</v>
      </c>
      <c r="K28541" s="18" t="s">
        <v>477</v>
      </c>
    </row>
    <row r="28542">
      <c r="B28542" s="17" t="s">
        <v>477</v>
      </c>
      <c r="K28542" s="18" t="s">
        <v>477</v>
      </c>
    </row>
    <row r="28543">
      <c r="B28543" s="17" t="s">
        <v>477</v>
      </c>
      <c r="K28543" s="18" t="s">
        <v>477</v>
      </c>
    </row>
    <row r="28544">
      <c r="B28544" s="17" t="s">
        <v>477</v>
      </c>
      <c r="K28544" s="18" t="s">
        <v>477</v>
      </c>
    </row>
    <row r="28545">
      <c r="B28545" s="17" t="s">
        <v>477</v>
      </c>
      <c r="K28545" s="18" t="s">
        <v>477</v>
      </c>
    </row>
    <row r="28546">
      <c r="B28546" s="17" t="s">
        <v>477</v>
      </c>
      <c r="K28546" s="18" t="s">
        <v>477</v>
      </c>
    </row>
    <row r="28547">
      <c r="B28547" s="17" t="s">
        <v>477</v>
      </c>
      <c r="K28547" s="18" t="s">
        <v>477</v>
      </c>
    </row>
    <row r="28548">
      <c r="B28548" s="17" t="s">
        <v>477</v>
      </c>
      <c r="K28548" s="18" t="s">
        <v>477</v>
      </c>
    </row>
    <row r="28549">
      <c r="B28549" s="17" t="s">
        <v>477</v>
      </c>
      <c r="K28549" s="18" t="s">
        <v>477</v>
      </c>
    </row>
    <row r="28550">
      <c r="B28550" s="17" t="s">
        <v>477</v>
      </c>
      <c r="K28550" s="18" t="s">
        <v>477</v>
      </c>
    </row>
    <row r="28551">
      <c r="B28551" s="17" t="s">
        <v>477</v>
      </c>
      <c r="K28551" s="18" t="s">
        <v>477</v>
      </c>
    </row>
    <row r="28552">
      <c r="B28552" s="17" t="s">
        <v>477</v>
      </c>
      <c r="K28552" s="18" t="s">
        <v>477</v>
      </c>
    </row>
    <row r="28553">
      <c r="B28553" s="17" t="s">
        <v>477</v>
      </c>
      <c r="K28553" s="18" t="s">
        <v>477</v>
      </c>
    </row>
    <row r="28554">
      <c r="B28554" s="17" t="s">
        <v>477</v>
      </c>
      <c r="K28554" s="18" t="s">
        <v>477</v>
      </c>
    </row>
    <row r="28555">
      <c r="B28555" s="17" t="s">
        <v>477</v>
      </c>
      <c r="K28555" s="18" t="s">
        <v>477</v>
      </c>
    </row>
    <row r="28556">
      <c r="B28556" s="17" t="s">
        <v>477</v>
      </c>
      <c r="K28556" s="18" t="s">
        <v>477</v>
      </c>
    </row>
    <row r="28557">
      <c r="B28557" s="17" t="s">
        <v>477</v>
      </c>
      <c r="K28557" s="18" t="s">
        <v>477</v>
      </c>
    </row>
    <row r="28558">
      <c r="B28558" s="17" t="s">
        <v>477</v>
      </c>
      <c r="K28558" s="18" t="s">
        <v>477</v>
      </c>
    </row>
    <row r="28559">
      <c r="B28559" s="17" t="s">
        <v>477</v>
      </c>
      <c r="K28559" s="18" t="s">
        <v>477</v>
      </c>
    </row>
    <row r="28560">
      <c r="B28560" s="17" t="s">
        <v>477</v>
      </c>
      <c r="K28560" s="18" t="s">
        <v>477</v>
      </c>
    </row>
    <row r="28561">
      <c r="B28561" s="17" t="s">
        <v>477</v>
      </c>
      <c r="K28561" s="18" t="s">
        <v>477</v>
      </c>
    </row>
    <row r="28562">
      <c r="B28562" s="17" t="s">
        <v>477</v>
      </c>
      <c r="K28562" s="18" t="s">
        <v>477</v>
      </c>
    </row>
    <row r="28563">
      <c r="B28563" s="17" t="s">
        <v>477</v>
      </c>
      <c r="K28563" s="18" t="s">
        <v>477</v>
      </c>
    </row>
    <row r="28564">
      <c r="B28564" s="17" t="s">
        <v>477</v>
      </c>
      <c r="K28564" s="18" t="s">
        <v>477</v>
      </c>
    </row>
    <row r="28565">
      <c r="B28565" s="17" t="s">
        <v>477</v>
      </c>
      <c r="K28565" s="18" t="s">
        <v>477</v>
      </c>
    </row>
    <row r="28566">
      <c r="B28566" s="17" t="s">
        <v>477</v>
      </c>
      <c r="K28566" s="18" t="s">
        <v>477</v>
      </c>
    </row>
    <row r="28567">
      <c r="B28567" s="17" t="s">
        <v>477</v>
      </c>
      <c r="K28567" s="18" t="s">
        <v>477</v>
      </c>
    </row>
    <row r="28568">
      <c r="B28568" s="17" t="s">
        <v>477</v>
      </c>
      <c r="K28568" s="18" t="s">
        <v>477</v>
      </c>
    </row>
    <row r="28569">
      <c r="B28569" s="17" t="s">
        <v>477</v>
      </c>
      <c r="K28569" s="18" t="s">
        <v>477</v>
      </c>
    </row>
    <row r="28570">
      <c r="B28570" s="17" t="s">
        <v>477</v>
      </c>
      <c r="K28570" s="18" t="s">
        <v>477</v>
      </c>
    </row>
    <row r="28571">
      <c r="B28571" s="17" t="s">
        <v>477</v>
      </c>
      <c r="K28571" s="18" t="s">
        <v>477</v>
      </c>
    </row>
    <row r="28572">
      <c r="B28572" s="17" t="s">
        <v>477</v>
      </c>
      <c r="K28572" s="18" t="s">
        <v>477</v>
      </c>
    </row>
    <row r="28573">
      <c r="B28573" s="17" t="s">
        <v>477</v>
      </c>
      <c r="K28573" s="18" t="s">
        <v>477</v>
      </c>
    </row>
    <row r="28574">
      <c r="B28574" s="17" t="s">
        <v>477</v>
      </c>
      <c r="K28574" s="18" t="s">
        <v>477</v>
      </c>
    </row>
    <row r="28575">
      <c r="B28575" s="17" t="s">
        <v>477</v>
      </c>
      <c r="K28575" s="18" t="s">
        <v>477</v>
      </c>
    </row>
    <row r="28576">
      <c r="B28576" s="17" t="s">
        <v>477</v>
      </c>
      <c r="K28576" s="18" t="s">
        <v>477</v>
      </c>
    </row>
    <row r="28577">
      <c r="B28577" s="17" t="s">
        <v>477</v>
      </c>
      <c r="K28577" s="18" t="s">
        <v>477</v>
      </c>
    </row>
    <row r="28578">
      <c r="B28578" s="17" t="s">
        <v>477</v>
      </c>
      <c r="K28578" s="18" t="s">
        <v>477</v>
      </c>
    </row>
    <row r="28579">
      <c r="B28579" s="17" t="s">
        <v>477</v>
      </c>
      <c r="K28579" s="18" t="s">
        <v>477</v>
      </c>
    </row>
    <row r="28580">
      <c r="B28580" s="17" t="s">
        <v>477</v>
      </c>
      <c r="K28580" s="18" t="s">
        <v>477</v>
      </c>
    </row>
    <row r="28581">
      <c r="B28581" s="17" t="s">
        <v>477</v>
      </c>
      <c r="K28581" s="18" t="s">
        <v>477</v>
      </c>
    </row>
    <row r="28582">
      <c r="B28582" s="17" t="s">
        <v>477</v>
      </c>
      <c r="K28582" s="18" t="s">
        <v>477</v>
      </c>
    </row>
    <row r="28583">
      <c r="B28583" s="17" t="s">
        <v>477</v>
      </c>
      <c r="K28583" s="18" t="s">
        <v>477</v>
      </c>
    </row>
    <row r="28584">
      <c r="B28584" s="17" t="s">
        <v>477</v>
      </c>
      <c r="K28584" s="18" t="s">
        <v>477</v>
      </c>
    </row>
    <row r="28585">
      <c r="B28585" s="17" t="s">
        <v>477</v>
      </c>
      <c r="K28585" s="18" t="s">
        <v>477</v>
      </c>
    </row>
    <row r="28586">
      <c r="B28586" s="17" t="s">
        <v>477</v>
      </c>
      <c r="K28586" s="18" t="s">
        <v>477</v>
      </c>
    </row>
    <row r="28587">
      <c r="B28587" s="17" t="s">
        <v>477</v>
      </c>
      <c r="K28587" s="18" t="s">
        <v>477</v>
      </c>
    </row>
    <row r="28588">
      <c r="B28588" s="17" t="s">
        <v>477</v>
      </c>
      <c r="K28588" s="18" t="s">
        <v>477</v>
      </c>
    </row>
    <row r="28589">
      <c r="B28589" s="17" t="s">
        <v>477</v>
      </c>
      <c r="K28589" s="18" t="s">
        <v>477</v>
      </c>
    </row>
    <row r="28590">
      <c r="B28590" s="17" t="s">
        <v>477</v>
      </c>
      <c r="K28590" s="18" t="s">
        <v>477</v>
      </c>
    </row>
    <row r="28591">
      <c r="B28591" s="17" t="s">
        <v>477</v>
      </c>
      <c r="K28591" s="18" t="s">
        <v>477</v>
      </c>
    </row>
    <row r="28592">
      <c r="B28592" s="17" t="s">
        <v>477</v>
      </c>
      <c r="K28592" s="18" t="s">
        <v>477</v>
      </c>
    </row>
    <row r="28593">
      <c r="B28593" s="17" t="s">
        <v>477</v>
      </c>
      <c r="K28593" s="18" t="s">
        <v>477</v>
      </c>
    </row>
    <row r="28594">
      <c r="B28594" s="17" t="s">
        <v>477</v>
      </c>
      <c r="K28594" s="18" t="s">
        <v>477</v>
      </c>
    </row>
    <row r="28595">
      <c r="B28595" s="17" t="s">
        <v>477</v>
      </c>
      <c r="K28595" s="18" t="s">
        <v>477</v>
      </c>
    </row>
    <row r="28596">
      <c r="B28596" s="17" t="s">
        <v>477</v>
      </c>
      <c r="K28596" s="18" t="s">
        <v>477</v>
      </c>
    </row>
    <row r="28597">
      <c r="B28597" s="17" t="s">
        <v>477</v>
      </c>
      <c r="K28597" s="18" t="s">
        <v>477</v>
      </c>
    </row>
    <row r="28598">
      <c r="B28598" s="17" t="s">
        <v>477</v>
      </c>
      <c r="K28598" s="18" t="s">
        <v>477</v>
      </c>
    </row>
    <row r="28599">
      <c r="B28599" s="17" t="s">
        <v>477</v>
      </c>
      <c r="K28599" s="18" t="s">
        <v>477</v>
      </c>
    </row>
    <row r="28600">
      <c r="B28600" s="17" t="s">
        <v>477</v>
      </c>
      <c r="K28600" s="18" t="s">
        <v>477</v>
      </c>
    </row>
    <row r="28601">
      <c r="B28601" s="17" t="s">
        <v>477</v>
      </c>
      <c r="K28601" s="18" t="s">
        <v>477</v>
      </c>
    </row>
    <row r="28602">
      <c r="B28602" s="17" t="s">
        <v>477</v>
      </c>
      <c r="K28602" s="18" t="s">
        <v>477</v>
      </c>
    </row>
    <row r="28603">
      <c r="B28603" s="17" t="s">
        <v>477</v>
      </c>
      <c r="K28603" s="18" t="s">
        <v>477</v>
      </c>
    </row>
    <row r="28604">
      <c r="B28604" s="17" t="s">
        <v>477</v>
      </c>
      <c r="K28604" s="18" t="s">
        <v>477</v>
      </c>
    </row>
    <row r="28605">
      <c r="B28605" s="17" t="s">
        <v>477</v>
      </c>
      <c r="K28605" s="18" t="s">
        <v>477</v>
      </c>
    </row>
    <row r="28606">
      <c r="B28606" s="17" t="s">
        <v>477</v>
      </c>
      <c r="K28606" s="18" t="s">
        <v>477</v>
      </c>
    </row>
    <row r="28607">
      <c r="B28607" s="17" t="s">
        <v>477</v>
      </c>
      <c r="K28607" s="18" t="s">
        <v>477</v>
      </c>
    </row>
    <row r="28608">
      <c r="B28608" s="17" t="s">
        <v>477</v>
      </c>
      <c r="K28608" s="18" t="s">
        <v>477</v>
      </c>
    </row>
    <row r="28609">
      <c r="B28609" s="17" t="s">
        <v>477</v>
      </c>
      <c r="K28609" s="18" t="s">
        <v>477</v>
      </c>
    </row>
    <row r="28610">
      <c r="B28610" s="17" t="s">
        <v>477</v>
      </c>
      <c r="K28610" s="18" t="s">
        <v>477</v>
      </c>
    </row>
    <row r="28611">
      <c r="B28611" s="17" t="s">
        <v>477</v>
      </c>
      <c r="K28611" s="18" t="s">
        <v>477</v>
      </c>
    </row>
    <row r="28612">
      <c r="B28612" s="17" t="s">
        <v>477</v>
      </c>
      <c r="K28612" s="18" t="s">
        <v>477</v>
      </c>
    </row>
    <row r="28613">
      <c r="B28613" s="17" t="s">
        <v>477</v>
      </c>
      <c r="K28613" s="18" t="s">
        <v>477</v>
      </c>
    </row>
    <row r="28614">
      <c r="B28614" s="17" t="s">
        <v>477</v>
      </c>
      <c r="K28614" s="18" t="s">
        <v>477</v>
      </c>
    </row>
    <row r="28615">
      <c r="B28615" s="17" t="s">
        <v>477</v>
      </c>
      <c r="K28615" s="18" t="s">
        <v>477</v>
      </c>
    </row>
    <row r="28616">
      <c r="B28616" s="17" t="s">
        <v>477</v>
      </c>
      <c r="K28616" s="18" t="s">
        <v>477</v>
      </c>
    </row>
    <row r="28617">
      <c r="B28617" s="17" t="s">
        <v>477</v>
      </c>
      <c r="K28617" s="18" t="s">
        <v>477</v>
      </c>
    </row>
    <row r="28618">
      <c r="B28618" s="17" t="s">
        <v>477</v>
      </c>
      <c r="K28618" s="18" t="s">
        <v>477</v>
      </c>
    </row>
    <row r="28619">
      <c r="B28619" s="17" t="s">
        <v>477</v>
      </c>
      <c r="K28619" s="18" t="s">
        <v>477</v>
      </c>
    </row>
    <row r="28620">
      <c r="B28620" s="17" t="s">
        <v>477</v>
      </c>
      <c r="K28620" s="18" t="s">
        <v>477</v>
      </c>
    </row>
    <row r="28621">
      <c r="B28621" s="17" t="s">
        <v>477</v>
      </c>
      <c r="K28621" s="18" t="s">
        <v>477</v>
      </c>
    </row>
    <row r="28622">
      <c r="B28622" s="17" t="s">
        <v>477</v>
      </c>
      <c r="K28622" s="18" t="s">
        <v>477</v>
      </c>
    </row>
    <row r="28623">
      <c r="B28623" s="17" t="s">
        <v>477</v>
      </c>
      <c r="K28623" s="18" t="s">
        <v>477</v>
      </c>
    </row>
    <row r="28624">
      <c r="B28624" s="17" t="s">
        <v>477</v>
      </c>
      <c r="K28624" s="18" t="s">
        <v>477</v>
      </c>
    </row>
    <row r="28625">
      <c r="B28625" s="17" t="s">
        <v>477</v>
      </c>
      <c r="K28625" s="18" t="s">
        <v>477</v>
      </c>
    </row>
    <row r="28626">
      <c r="B28626" s="17" t="s">
        <v>477</v>
      </c>
      <c r="K28626" s="18" t="s">
        <v>477</v>
      </c>
    </row>
    <row r="28627">
      <c r="B28627" s="17" t="s">
        <v>477</v>
      </c>
      <c r="K28627" s="18" t="s">
        <v>477</v>
      </c>
    </row>
    <row r="28628">
      <c r="B28628" s="17" t="s">
        <v>477</v>
      </c>
      <c r="K28628" s="18" t="s">
        <v>477</v>
      </c>
    </row>
    <row r="28629">
      <c r="B28629" s="17" t="s">
        <v>477</v>
      </c>
      <c r="K28629" s="18" t="s">
        <v>477</v>
      </c>
    </row>
    <row r="28630">
      <c r="B28630" s="17" t="s">
        <v>477</v>
      </c>
      <c r="K28630" s="18" t="s">
        <v>477</v>
      </c>
    </row>
    <row r="28631">
      <c r="B28631" s="17" t="s">
        <v>477</v>
      </c>
      <c r="K28631" s="18" t="s">
        <v>477</v>
      </c>
    </row>
    <row r="28632">
      <c r="B28632" s="17" t="s">
        <v>477</v>
      </c>
      <c r="K28632" s="18" t="s">
        <v>477</v>
      </c>
    </row>
    <row r="28633">
      <c r="B28633" s="17" t="s">
        <v>477</v>
      </c>
      <c r="K28633" s="18" t="s">
        <v>477</v>
      </c>
    </row>
    <row r="28634">
      <c r="B28634" s="17" t="s">
        <v>477</v>
      </c>
      <c r="K28634" s="18" t="s">
        <v>477</v>
      </c>
    </row>
    <row r="28635">
      <c r="B28635" s="17" t="s">
        <v>477</v>
      </c>
      <c r="K28635" s="18" t="s">
        <v>477</v>
      </c>
    </row>
    <row r="28636">
      <c r="B28636" s="17" t="s">
        <v>477</v>
      </c>
      <c r="K28636" s="18" t="s">
        <v>477</v>
      </c>
    </row>
    <row r="28637">
      <c r="B28637" s="17" t="s">
        <v>477</v>
      </c>
      <c r="K28637" s="18" t="s">
        <v>477</v>
      </c>
    </row>
    <row r="28638">
      <c r="B28638" s="17" t="s">
        <v>477</v>
      </c>
      <c r="K28638" s="18" t="s">
        <v>477</v>
      </c>
    </row>
    <row r="28639">
      <c r="B28639" s="17" t="s">
        <v>477</v>
      </c>
      <c r="K28639" s="18" t="s">
        <v>477</v>
      </c>
    </row>
    <row r="28640">
      <c r="B28640" s="17" t="s">
        <v>477</v>
      </c>
      <c r="K28640" s="18" t="s">
        <v>477</v>
      </c>
    </row>
    <row r="28641">
      <c r="B28641" s="17" t="s">
        <v>477</v>
      </c>
      <c r="K28641" s="18" t="s">
        <v>477</v>
      </c>
    </row>
    <row r="28642">
      <c r="B28642" s="17" t="s">
        <v>477</v>
      </c>
      <c r="K28642" s="18" t="s">
        <v>477</v>
      </c>
    </row>
    <row r="28643">
      <c r="B28643" s="17" t="s">
        <v>477</v>
      </c>
      <c r="K28643" s="18" t="s">
        <v>477</v>
      </c>
    </row>
    <row r="28644">
      <c r="B28644" s="17" t="s">
        <v>477</v>
      </c>
      <c r="K28644" s="18" t="s">
        <v>477</v>
      </c>
    </row>
    <row r="28645">
      <c r="B28645" s="17" t="s">
        <v>477</v>
      </c>
      <c r="K28645" s="18" t="s">
        <v>477</v>
      </c>
    </row>
    <row r="28646">
      <c r="B28646" s="17" t="s">
        <v>477</v>
      </c>
      <c r="K28646" s="18" t="s">
        <v>477</v>
      </c>
    </row>
    <row r="28647">
      <c r="B28647" s="17" t="s">
        <v>477</v>
      </c>
      <c r="K28647" s="18" t="s">
        <v>477</v>
      </c>
    </row>
    <row r="28648">
      <c r="B28648" s="17" t="s">
        <v>477</v>
      </c>
      <c r="K28648" s="18" t="s">
        <v>477</v>
      </c>
    </row>
    <row r="28649">
      <c r="B28649" s="17" t="s">
        <v>477</v>
      </c>
      <c r="K28649" s="18" t="s">
        <v>477</v>
      </c>
    </row>
    <row r="28650">
      <c r="B28650" s="17" t="s">
        <v>477</v>
      </c>
      <c r="K28650" s="18" t="s">
        <v>477</v>
      </c>
    </row>
    <row r="28651">
      <c r="B28651" s="17" t="s">
        <v>477</v>
      </c>
      <c r="K28651" s="18" t="s">
        <v>477</v>
      </c>
    </row>
    <row r="28652">
      <c r="B28652" s="17" t="s">
        <v>477</v>
      </c>
      <c r="K28652" s="18" t="s">
        <v>477</v>
      </c>
    </row>
    <row r="28653">
      <c r="B28653" s="17" t="s">
        <v>477</v>
      </c>
      <c r="K28653" s="18" t="s">
        <v>477</v>
      </c>
    </row>
    <row r="28654">
      <c r="B28654" s="17" t="s">
        <v>477</v>
      </c>
      <c r="K28654" s="18" t="s">
        <v>477</v>
      </c>
    </row>
    <row r="28655">
      <c r="B28655" s="17" t="s">
        <v>477</v>
      </c>
      <c r="K28655" s="18" t="s">
        <v>477</v>
      </c>
    </row>
    <row r="28656">
      <c r="B28656" s="17" t="s">
        <v>477</v>
      </c>
      <c r="K28656" s="18" t="s">
        <v>477</v>
      </c>
    </row>
    <row r="28657">
      <c r="B28657" s="17" t="s">
        <v>477</v>
      </c>
      <c r="K28657" s="18" t="s">
        <v>477</v>
      </c>
    </row>
    <row r="28658">
      <c r="B28658" s="17" t="s">
        <v>477</v>
      </c>
      <c r="K28658" s="18" t="s">
        <v>477</v>
      </c>
    </row>
    <row r="28659">
      <c r="B28659" s="17" t="s">
        <v>477</v>
      </c>
      <c r="K28659" s="18" t="s">
        <v>477</v>
      </c>
    </row>
    <row r="28660">
      <c r="B28660" s="17" t="s">
        <v>477</v>
      </c>
      <c r="K28660" s="18" t="s">
        <v>477</v>
      </c>
    </row>
    <row r="28661">
      <c r="B28661" s="17" t="s">
        <v>477</v>
      </c>
      <c r="K28661" s="18" t="s">
        <v>477</v>
      </c>
    </row>
    <row r="28662">
      <c r="B28662" s="17" t="s">
        <v>477</v>
      </c>
      <c r="K28662" s="18" t="s">
        <v>477</v>
      </c>
    </row>
    <row r="28663">
      <c r="B28663" s="17" t="s">
        <v>477</v>
      </c>
      <c r="K28663" s="18" t="s">
        <v>477</v>
      </c>
    </row>
    <row r="28664">
      <c r="B28664" s="17" t="s">
        <v>477</v>
      </c>
      <c r="K28664" s="18" t="s">
        <v>477</v>
      </c>
    </row>
    <row r="28665">
      <c r="B28665" s="17" t="s">
        <v>477</v>
      </c>
      <c r="K28665" s="18" t="s">
        <v>477</v>
      </c>
    </row>
    <row r="28666">
      <c r="B28666" s="17" t="s">
        <v>477</v>
      </c>
      <c r="K28666" s="18" t="s">
        <v>477</v>
      </c>
    </row>
    <row r="28667">
      <c r="B28667" s="17" t="s">
        <v>477</v>
      </c>
      <c r="K28667" s="18" t="s">
        <v>477</v>
      </c>
    </row>
    <row r="28668">
      <c r="B28668" s="17" t="s">
        <v>477</v>
      </c>
      <c r="K28668" s="18" t="s">
        <v>477</v>
      </c>
    </row>
    <row r="28669">
      <c r="B28669" s="17" t="s">
        <v>477</v>
      </c>
      <c r="K28669" s="18" t="s">
        <v>477</v>
      </c>
    </row>
    <row r="28670">
      <c r="B28670" s="17" t="s">
        <v>477</v>
      </c>
      <c r="K28670" s="18" t="s">
        <v>477</v>
      </c>
    </row>
    <row r="28671">
      <c r="B28671" s="17" t="s">
        <v>477</v>
      </c>
      <c r="K28671" s="18" t="s">
        <v>477</v>
      </c>
    </row>
    <row r="28672">
      <c r="B28672" s="17" t="s">
        <v>477</v>
      </c>
      <c r="K28672" s="18" t="s">
        <v>477</v>
      </c>
    </row>
    <row r="28673">
      <c r="B28673" s="17" t="s">
        <v>477</v>
      </c>
      <c r="K28673" s="18" t="s">
        <v>477</v>
      </c>
    </row>
    <row r="28674">
      <c r="B28674" s="17" t="s">
        <v>477</v>
      </c>
      <c r="K28674" s="18" t="s">
        <v>477</v>
      </c>
    </row>
    <row r="28675">
      <c r="B28675" s="17" t="s">
        <v>477</v>
      </c>
      <c r="K28675" s="18" t="s">
        <v>477</v>
      </c>
    </row>
    <row r="28676">
      <c r="B28676" s="17" t="s">
        <v>477</v>
      </c>
      <c r="K28676" s="18" t="s">
        <v>477</v>
      </c>
    </row>
    <row r="28677">
      <c r="B28677" s="17" t="s">
        <v>477</v>
      </c>
      <c r="K28677" s="18" t="s">
        <v>477</v>
      </c>
    </row>
    <row r="28678">
      <c r="B28678" s="17" t="s">
        <v>477</v>
      </c>
      <c r="K28678" s="18" t="s">
        <v>477</v>
      </c>
    </row>
    <row r="28679">
      <c r="B28679" s="17" t="s">
        <v>477</v>
      </c>
      <c r="K28679" s="18" t="s">
        <v>477</v>
      </c>
    </row>
    <row r="28680">
      <c r="B28680" s="17" t="s">
        <v>477</v>
      </c>
      <c r="K28680" s="18" t="s">
        <v>477</v>
      </c>
    </row>
    <row r="28681">
      <c r="B28681" s="17" t="s">
        <v>477</v>
      </c>
      <c r="K28681" s="18" t="s">
        <v>477</v>
      </c>
    </row>
    <row r="28682">
      <c r="B28682" s="17" t="s">
        <v>477</v>
      </c>
      <c r="K28682" s="18" t="s">
        <v>477</v>
      </c>
    </row>
    <row r="28683">
      <c r="B28683" s="17" t="s">
        <v>477</v>
      </c>
      <c r="K28683" s="18" t="s">
        <v>477</v>
      </c>
    </row>
    <row r="28684">
      <c r="B28684" s="17" t="s">
        <v>477</v>
      </c>
      <c r="K28684" s="18" t="s">
        <v>477</v>
      </c>
    </row>
    <row r="28685">
      <c r="B28685" s="17" t="s">
        <v>477</v>
      </c>
      <c r="K28685" s="18" t="s">
        <v>477</v>
      </c>
    </row>
    <row r="28686">
      <c r="B28686" s="17" t="s">
        <v>477</v>
      </c>
      <c r="K28686" s="18" t="s">
        <v>477</v>
      </c>
    </row>
    <row r="28687">
      <c r="B28687" s="17" t="s">
        <v>477</v>
      </c>
      <c r="K28687" s="18" t="s">
        <v>477</v>
      </c>
    </row>
    <row r="28688">
      <c r="B28688" s="17" t="s">
        <v>477</v>
      </c>
      <c r="K28688" s="18" t="s">
        <v>477</v>
      </c>
    </row>
    <row r="28689">
      <c r="B28689" s="17" t="s">
        <v>477</v>
      </c>
      <c r="K28689" s="18" t="s">
        <v>477</v>
      </c>
    </row>
    <row r="28690">
      <c r="B28690" s="17" t="s">
        <v>477</v>
      </c>
      <c r="K28690" s="18" t="s">
        <v>477</v>
      </c>
    </row>
    <row r="28691">
      <c r="B28691" s="17" t="s">
        <v>477</v>
      </c>
      <c r="K28691" s="18" t="s">
        <v>477</v>
      </c>
    </row>
    <row r="28692">
      <c r="B28692" s="17" t="s">
        <v>477</v>
      </c>
      <c r="K28692" s="18" t="s">
        <v>477</v>
      </c>
    </row>
    <row r="28693">
      <c r="B28693" s="17" t="s">
        <v>477</v>
      </c>
      <c r="K28693" s="18" t="s">
        <v>477</v>
      </c>
    </row>
    <row r="28694">
      <c r="B28694" s="17" t="s">
        <v>477</v>
      </c>
      <c r="K28694" s="18" t="s">
        <v>477</v>
      </c>
    </row>
    <row r="28695">
      <c r="B28695" s="17" t="s">
        <v>477</v>
      </c>
      <c r="K28695" s="18" t="s">
        <v>477</v>
      </c>
    </row>
    <row r="28696">
      <c r="B28696" s="17" t="s">
        <v>477</v>
      </c>
      <c r="K28696" s="18" t="s">
        <v>477</v>
      </c>
    </row>
    <row r="28697">
      <c r="B28697" s="17" t="s">
        <v>477</v>
      </c>
      <c r="K28697" s="18" t="s">
        <v>477</v>
      </c>
    </row>
    <row r="28698">
      <c r="B28698" s="17" t="s">
        <v>477</v>
      </c>
      <c r="K28698" s="18" t="s">
        <v>477</v>
      </c>
    </row>
    <row r="28699">
      <c r="B28699" s="17" t="s">
        <v>477</v>
      </c>
      <c r="K28699" s="18" t="s">
        <v>477</v>
      </c>
    </row>
    <row r="28700">
      <c r="B28700" s="17" t="s">
        <v>477</v>
      </c>
      <c r="K28700" s="18" t="s">
        <v>477</v>
      </c>
    </row>
    <row r="28701">
      <c r="B28701" s="17" t="s">
        <v>477</v>
      </c>
      <c r="K28701" s="18" t="s">
        <v>477</v>
      </c>
    </row>
    <row r="28702">
      <c r="B28702" s="17" t="s">
        <v>477</v>
      </c>
      <c r="K28702" s="18" t="s">
        <v>477</v>
      </c>
    </row>
    <row r="28703">
      <c r="B28703" s="17" t="s">
        <v>477</v>
      </c>
      <c r="K28703" s="18" t="s">
        <v>477</v>
      </c>
    </row>
    <row r="28704">
      <c r="B28704" s="17" t="s">
        <v>477</v>
      </c>
      <c r="K28704" s="18" t="s">
        <v>477</v>
      </c>
    </row>
    <row r="28705">
      <c r="B28705" s="17" t="s">
        <v>477</v>
      </c>
      <c r="K28705" s="18" t="s">
        <v>477</v>
      </c>
    </row>
    <row r="28706">
      <c r="B28706" s="17" t="s">
        <v>477</v>
      </c>
      <c r="K28706" s="18" t="s">
        <v>477</v>
      </c>
    </row>
    <row r="28707">
      <c r="B28707" s="17" t="s">
        <v>477</v>
      </c>
      <c r="K28707" s="18" t="s">
        <v>477</v>
      </c>
    </row>
    <row r="28708">
      <c r="B28708" s="17" t="s">
        <v>477</v>
      </c>
      <c r="K28708" s="18" t="s">
        <v>477</v>
      </c>
    </row>
    <row r="28709">
      <c r="B28709" s="17" t="s">
        <v>477</v>
      </c>
      <c r="K28709" s="18" t="s">
        <v>477</v>
      </c>
    </row>
    <row r="28710">
      <c r="B28710" s="17" t="s">
        <v>477</v>
      </c>
      <c r="K28710" s="18" t="s">
        <v>477</v>
      </c>
    </row>
    <row r="28711">
      <c r="B28711" s="17" t="s">
        <v>477</v>
      </c>
      <c r="K28711" s="18" t="s">
        <v>477</v>
      </c>
    </row>
    <row r="28712">
      <c r="B28712" s="17" t="s">
        <v>477</v>
      </c>
      <c r="K28712" s="18" t="s">
        <v>477</v>
      </c>
    </row>
    <row r="28713">
      <c r="B28713" s="17" t="s">
        <v>477</v>
      </c>
      <c r="K28713" s="18" t="s">
        <v>477</v>
      </c>
    </row>
    <row r="28714">
      <c r="B28714" s="17" t="s">
        <v>477</v>
      </c>
      <c r="K28714" s="18" t="s">
        <v>477</v>
      </c>
    </row>
    <row r="28715">
      <c r="B28715" s="17" t="s">
        <v>477</v>
      </c>
      <c r="K28715" s="18" t="s">
        <v>477</v>
      </c>
    </row>
    <row r="28716">
      <c r="B28716" s="17" t="s">
        <v>477</v>
      </c>
      <c r="K28716" s="18" t="s">
        <v>477</v>
      </c>
    </row>
    <row r="28717">
      <c r="B28717" s="17" t="s">
        <v>477</v>
      </c>
      <c r="K28717" s="18" t="s">
        <v>477</v>
      </c>
    </row>
    <row r="28718">
      <c r="B28718" s="17" t="s">
        <v>477</v>
      </c>
      <c r="K28718" s="18" t="s">
        <v>477</v>
      </c>
    </row>
    <row r="28719">
      <c r="B28719" s="17" t="s">
        <v>477</v>
      </c>
      <c r="K28719" s="18" t="s">
        <v>477</v>
      </c>
    </row>
    <row r="28720">
      <c r="B28720" s="17" t="s">
        <v>477</v>
      </c>
      <c r="K28720" s="18" t="s">
        <v>477</v>
      </c>
    </row>
    <row r="28721">
      <c r="B28721" s="17" t="s">
        <v>477</v>
      </c>
      <c r="K28721" s="18" t="s">
        <v>477</v>
      </c>
    </row>
    <row r="28722">
      <c r="B28722" s="17" t="s">
        <v>477</v>
      </c>
      <c r="K28722" s="18" t="s">
        <v>477</v>
      </c>
    </row>
    <row r="28723">
      <c r="B28723" s="17" t="s">
        <v>477</v>
      </c>
      <c r="K28723" s="18" t="s">
        <v>477</v>
      </c>
    </row>
    <row r="28724">
      <c r="B28724" s="17" t="s">
        <v>477</v>
      </c>
      <c r="K28724" s="18" t="s">
        <v>477</v>
      </c>
    </row>
    <row r="28725">
      <c r="B28725" s="17" t="s">
        <v>477</v>
      </c>
      <c r="K28725" s="18" t="s">
        <v>477</v>
      </c>
    </row>
    <row r="28726">
      <c r="B28726" s="17" t="s">
        <v>477</v>
      </c>
      <c r="K28726" s="18" t="s">
        <v>477</v>
      </c>
    </row>
    <row r="28727">
      <c r="B28727" s="17" t="s">
        <v>477</v>
      </c>
      <c r="K28727" s="18" t="s">
        <v>477</v>
      </c>
    </row>
    <row r="28728">
      <c r="B28728" s="17" t="s">
        <v>477</v>
      </c>
      <c r="K28728" s="18" t="s">
        <v>477</v>
      </c>
    </row>
    <row r="28729">
      <c r="B28729" s="17" t="s">
        <v>477</v>
      </c>
      <c r="K28729" s="18" t="s">
        <v>477</v>
      </c>
    </row>
    <row r="28730">
      <c r="B28730" s="17" t="s">
        <v>477</v>
      </c>
      <c r="K28730" s="18" t="s">
        <v>477</v>
      </c>
    </row>
    <row r="28731">
      <c r="B28731" s="17" t="s">
        <v>477</v>
      </c>
      <c r="K28731" s="18" t="s">
        <v>477</v>
      </c>
    </row>
    <row r="28732">
      <c r="B28732" s="17" t="s">
        <v>477</v>
      </c>
      <c r="K28732" s="18" t="s">
        <v>477</v>
      </c>
    </row>
    <row r="28733">
      <c r="B28733" s="17" t="s">
        <v>477</v>
      </c>
      <c r="K28733" s="18" t="s">
        <v>477</v>
      </c>
    </row>
    <row r="28734">
      <c r="B28734" s="17" t="s">
        <v>477</v>
      </c>
      <c r="K28734" s="18" t="s">
        <v>477</v>
      </c>
    </row>
    <row r="28735">
      <c r="B28735" s="17" t="s">
        <v>477</v>
      </c>
      <c r="K28735" s="18" t="s">
        <v>477</v>
      </c>
    </row>
    <row r="28736">
      <c r="B28736" s="17" t="s">
        <v>477</v>
      </c>
      <c r="K28736" s="18" t="s">
        <v>477</v>
      </c>
    </row>
    <row r="28737">
      <c r="B28737" s="17" t="s">
        <v>477</v>
      </c>
      <c r="K28737" s="18" t="s">
        <v>477</v>
      </c>
    </row>
    <row r="28738">
      <c r="B28738" s="17" t="s">
        <v>477</v>
      </c>
      <c r="K28738" s="18" t="s">
        <v>477</v>
      </c>
    </row>
    <row r="28739">
      <c r="B28739" s="17" t="s">
        <v>477</v>
      </c>
      <c r="K28739" s="18" t="s">
        <v>477</v>
      </c>
    </row>
    <row r="28740">
      <c r="B28740" s="17" t="s">
        <v>477</v>
      </c>
      <c r="K28740" s="18" t="s">
        <v>477</v>
      </c>
    </row>
    <row r="28741">
      <c r="B28741" s="17" t="s">
        <v>477</v>
      </c>
      <c r="K28741" s="18" t="s">
        <v>477</v>
      </c>
    </row>
    <row r="28742">
      <c r="B28742" s="17" t="s">
        <v>477</v>
      </c>
      <c r="K28742" s="18" t="s">
        <v>477</v>
      </c>
    </row>
    <row r="28743">
      <c r="B28743" s="17" t="s">
        <v>477</v>
      </c>
      <c r="K28743" s="18" t="s">
        <v>477</v>
      </c>
    </row>
    <row r="28744">
      <c r="B28744" s="17" t="s">
        <v>477</v>
      </c>
      <c r="K28744" s="18" t="s">
        <v>477</v>
      </c>
    </row>
    <row r="28745">
      <c r="B28745" s="17" t="s">
        <v>477</v>
      </c>
      <c r="K28745" s="18" t="s">
        <v>477</v>
      </c>
    </row>
    <row r="28746">
      <c r="B28746" s="17" t="s">
        <v>477</v>
      </c>
      <c r="K28746" s="18" t="s">
        <v>477</v>
      </c>
    </row>
    <row r="28747">
      <c r="B28747" s="17" t="s">
        <v>477</v>
      </c>
      <c r="K28747" s="18" t="s">
        <v>477</v>
      </c>
    </row>
    <row r="28748">
      <c r="B28748" s="17" t="s">
        <v>477</v>
      </c>
      <c r="K28748" s="18" t="s">
        <v>477</v>
      </c>
    </row>
    <row r="28749">
      <c r="B28749" s="17" t="s">
        <v>477</v>
      </c>
      <c r="K28749" s="18" t="s">
        <v>477</v>
      </c>
    </row>
    <row r="28750">
      <c r="B28750" s="17" t="s">
        <v>477</v>
      </c>
      <c r="K28750" s="18" t="s">
        <v>477</v>
      </c>
    </row>
    <row r="28751">
      <c r="B28751" s="17" t="s">
        <v>477</v>
      </c>
      <c r="K28751" s="18" t="s">
        <v>477</v>
      </c>
    </row>
    <row r="28752">
      <c r="B28752" s="17" t="s">
        <v>477</v>
      </c>
      <c r="K28752" s="18" t="s">
        <v>477</v>
      </c>
    </row>
    <row r="28753">
      <c r="B28753" s="17" t="s">
        <v>477</v>
      </c>
      <c r="K28753" s="18" t="s">
        <v>477</v>
      </c>
    </row>
    <row r="28754">
      <c r="B28754" s="17" t="s">
        <v>477</v>
      </c>
      <c r="K28754" s="18" t="s">
        <v>477</v>
      </c>
    </row>
    <row r="28755">
      <c r="B28755" s="17" t="s">
        <v>477</v>
      </c>
      <c r="K28755" s="18" t="s">
        <v>477</v>
      </c>
    </row>
    <row r="28756">
      <c r="B28756" s="17" t="s">
        <v>477</v>
      </c>
      <c r="K28756" s="18" t="s">
        <v>477</v>
      </c>
    </row>
    <row r="28757">
      <c r="B28757" s="17" t="s">
        <v>477</v>
      </c>
      <c r="K28757" s="18" t="s">
        <v>477</v>
      </c>
    </row>
    <row r="28758">
      <c r="B28758" s="17" t="s">
        <v>477</v>
      </c>
      <c r="K28758" s="18" t="s">
        <v>477</v>
      </c>
    </row>
    <row r="28759">
      <c r="B28759" s="17" t="s">
        <v>477</v>
      </c>
      <c r="K28759" s="18" t="s">
        <v>477</v>
      </c>
    </row>
    <row r="28760">
      <c r="B28760" s="17" t="s">
        <v>477</v>
      </c>
      <c r="K28760" s="18" t="s">
        <v>477</v>
      </c>
    </row>
    <row r="28761">
      <c r="B28761" s="17" t="s">
        <v>477</v>
      </c>
      <c r="K28761" s="18" t="s">
        <v>477</v>
      </c>
    </row>
    <row r="28762">
      <c r="B28762" s="17" t="s">
        <v>477</v>
      </c>
      <c r="K28762" s="18" t="s">
        <v>477</v>
      </c>
    </row>
    <row r="28763">
      <c r="B28763" s="17" t="s">
        <v>477</v>
      </c>
      <c r="K28763" s="18" t="s">
        <v>477</v>
      </c>
    </row>
    <row r="28764">
      <c r="B28764" s="17" t="s">
        <v>477</v>
      </c>
      <c r="K28764" s="18" t="s">
        <v>477</v>
      </c>
    </row>
    <row r="28765">
      <c r="B28765" s="17" t="s">
        <v>477</v>
      </c>
      <c r="K28765" s="18" t="s">
        <v>477</v>
      </c>
    </row>
    <row r="28766">
      <c r="B28766" s="17" t="s">
        <v>477</v>
      </c>
      <c r="K28766" s="18" t="s">
        <v>477</v>
      </c>
    </row>
    <row r="28767">
      <c r="B28767" s="17" t="s">
        <v>477</v>
      </c>
      <c r="K28767" s="18" t="s">
        <v>477</v>
      </c>
    </row>
    <row r="28768">
      <c r="B28768" s="17" t="s">
        <v>477</v>
      </c>
      <c r="K28768" s="18" t="s">
        <v>477</v>
      </c>
    </row>
    <row r="28769">
      <c r="B28769" s="17" t="s">
        <v>477</v>
      </c>
      <c r="K28769" s="18" t="s">
        <v>477</v>
      </c>
    </row>
    <row r="28770">
      <c r="B28770" s="17" t="s">
        <v>477</v>
      </c>
      <c r="K28770" s="18" t="s">
        <v>477</v>
      </c>
    </row>
    <row r="28771">
      <c r="B28771" s="17" t="s">
        <v>477</v>
      </c>
      <c r="K28771" s="18" t="s">
        <v>477</v>
      </c>
    </row>
    <row r="28772">
      <c r="B28772" s="17" t="s">
        <v>477</v>
      </c>
      <c r="K28772" s="18" t="s">
        <v>477</v>
      </c>
    </row>
    <row r="28773">
      <c r="B28773" s="17" t="s">
        <v>477</v>
      </c>
      <c r="K28773" s="18" t="s">
        <v>477</v>
      </c>
    </row>
    <row r="28774">
      <c r="B28774" s="17" t="s">
        <v>477</v>
      </c>
      <c r="K28774" s="18" t="s">
        <v>477</v>
      </c>
    </row>
    <row r="28775">
      <c r="B28775" s="17" t="s">
        <v>477</v>
      </c>
      <c r="K28775" s="18" t="s">
        <v>477</v>
      </c>
    </row>
    <row r="28776">
      <c r="B28776" s="17" t="s">
        <v>477</v>
      </c>
      <c r="K28776" s="18" t="s">
        <v>477</v>
      </c>
    </row>
    <row r="28777">
      <c r="B28777" s="17" t="s">
        <v>477</v>
      </c>
      <c r="K28777" s="18" t="s">
        <v>477</v>
      </c>
    </row>
    <row r="28778">
      <c r="B28778" s="17" t="s">
        <v>477</v>
      </c>
      <c r="K28778" s="18" t="s">
        <v>477</v>
      </c>
    </row>
    <row r="28779">
      <c r="B28779" s="17" t="s">
        <v>477</v>
      </c>
      <c r="K28779" s="18" t="s">
        <v>477</v>
      </c>
    </row>
    <row r="28780">
      <c r="B28780" s="17" t="s">
        <v>477</v>
      </c>
      <c r="K28780" s="18" t="s">
        <v>477</v>
      </c>
    </row>
    <row r="28781">
      <c r="B28781" s="17" t="s">
        <v>477</v>
      </c>
      <c r="K28781" s="18" t="s">
        <v>477</v>
      </c>
    </row>
    <row r="28782">
      <c r="B28782" s="17" t="s">
        <v>477</v>
      </c>
      <c r="K28782" s="18" t="s">
        <v>477</v>
      </c>
    </row>
    <row r="28783">
      <c r="B28783" s="17" t="s">
        <v>477</v>
      </c>
      <c r="K28783" s="18" t="s">
        <v>477</v>
      </c>
    </row>
    <row r="28784">
      <c r="B28784" s="17" t="s">
        <v>477</v>
      </c>
      <c r="K28784" s="18" t="s">
        <v>477</v>
      </c>
    </row>
    <row r="28785">
      <c r="B28785" s="17" t="s">
        <v>477</v>
      </c>
      <c r="K28785" s="18" t="s">
        <v>477</v>
      </c>
    </row>
    <row r="28786">
      <c r="B28786" s="17" t="s">
        <v>477</v>
      </c>
      <c r="K28786" s="18" t="s">
        <v>477</v>
      </c>
    </row>
    <row r="28787">
      <c r="B28787" s="17" t="s">
        <v>477</v>
      </c>
      <c r="K28787" s="18" t="s">
        <v>477</v>
      </c>
    </row>
    <row r="28788">
      <c r="B28788" s="17" t="s">
        <v>477</v>
      </c>
      <c r="K28788" s="18" t="s">
        <v>477</v>
      </c>
    </row>
    <row r="28789">
      <c r="B28789" s="17" t="s">
        <v>477</v>
      </c>
      <c r="K28789" s="18" t="s">
        <v>477</v>
      </c>
    </row>
    <row r="28790">
      <c r="B28790" s="17" t="s">
        <v>477</v>
      </c>
      <c r="K28790" s="18" t="s">
        <v>477</v>
      </c>
    </row>
    <row r="28791">
      <c r="B28791" s="17" t="s">
        <v>477</v>
      </c>
      <c r="K28791" s="18" t="s">
        <v>477</v>
      </c>
    </row>
    <row r="28792">
      <c r="B28792" s="17" t="s">
        <v>477</v>
      </c>
      <c r="K28792" s="18" t="s">
        <v>477</v>
      </c>
    </row>
    <row r="28793">
      <c r="B28793" s="17" t="s">
        <v>477</v>
      </c>
      <c r="K28793" s="18" t="s">
        <v>477</v>
      </c>
    </row>
    <row r="28794">
      <c r="B28794" s="17" t="s">
        <v>477</v>
      </c>
      <c r="K28794" s="18" t="s">
        <v>477</v>
      </c>
    </row>
    <row r="28795">
      <c r="B28795" s="17" t="s">
        <v>477</v>
      </c>
      <c r="K28795" s="18" t="s">
        <v>477</v>
      </c>
    </row>
    <row r="28796">
      <c r="B28796" s="17" t="s">
        <v>477</v>
      </c>
      <c r="K28796" s="18" t="s">
        <v>477</v>
      </c>
    </row>
    <row r="28797">
      <c r="B28797" s="17" t="s">
        <v>477</v>
      </c>
      <c r="K28797" s="18" t="s">
        <v>477</v>
      </c>
    </row>
    <row r="28798">
      <c r="B28798" s="17" t="s">
        <v>477</v>
      </c>
      <c r="K28798" s="18" t="s">
        <v>477</v>
      </c>
    </row>
    <row r="28799">
      <c r="B28799" s="17" t="s">
        <v>477</v>
      </c>
      <c r="K28799" s="18" t="s">
        <v>477</v>
      </c>
    </row>
    <row r="28800">
      <c r="B28800" s="17" t="s">
        <v>477</v>
      </c>
      <c r="K28800" s="18" t="s">
        <v>477</v>
      </c>
    </row>
    <row r="28801">
      <c r="B28801" s="17" t="s">
        <v>477</v>
      </c>
      <c r="K28801" s="18" t="s">
        <v>477</v>
      </c>
    </row>
    <row r="28802">
      <c r="B28802" s="17" t="s">
        <v>477</v>
      </c>
      <c r="K28802" s="18" t="s">
        <v>477</v>
      </c>
    </row>
    <row r="28803">
      <c r="B28803" s="17" t="s">
        <v>477</v>
      </c>
      <c r="K28803" s="18" t="s">
        <v>477</v>
      </c>
    </row>
    <row r="28804">
      <c r="B28804" s="17" t="s">
        <v>477</v>
      </c>
      <c r="K28804" s="18" t="s">
        <v>477</v>
      </c>
    </row>
    <row r="28805">
      <c r="B28805" s="17" t="s">
        <v>477</v>
      </c>
      <c r="K28805" s="18" t="s">
        <v>477</v>
      </c>
    </row>
    <row r="28806">
      <c r="B28806" s="17" t="s">
        <v>477</v>
      </c>
      <c r="K28806" s="18" t="s">
        <v>477</v>
      </c>
    </row>
    <row r="28807">
      <c r="B28807" s="17" t="s">
        <v>477</v>
      </c>
      <c r="K28807" s="18" t="s">
        <v>477</v>
      </c>
    </row>
    <row r="28808">
      <c r="B28808" s="17" t="s">
        <v>477</v>
      </c>
      <c r="K28808" s="18" t="s">
        <v>477</v>
      </c>
    </row>
    <row r="28809">
      <c r="B28809" s="17" t="s">
        <v>477</v>
      </c>
      <c r="K28809" s="18" t="s">
        <v>477</v>
      </c>
    </row>
    <row r="28810">
      <c r="B28810" s="17" t="s">
        <v>477</v>
      </c>
      <c r="K28810" s="18" t="s">
        <v>477</v>
      </c>
    </row>
    <row r="28811">
      <c r="B28811" s="17" t="s">
        <v>477</v>
      </c>
      <c r="K28811" s="18" t="s">
        <v>477</v>
      </c>
    </row>
    <row r="28812">
      <c r="B28812" s="17" t="s">
        <v>477</v>
      </c>
      <c r="K28812" s="18" t="s">
        <v>477</v>
      </c>
    </row>
    <row r="28813">
      <c r="B28813" s="17" t="s">
        <v>477</v>
      </c>
      <c r="K28813" s="18" t="s">
        <v>477</v>
      </c>
    </row>
    <row r="28814">
      <c r="B28814" s="17" t="s">
        <v>477</v>
      </c>
      <c r="K28814" s="18" t="s">
        <v>477</v>
      </c>
    </row>
    <row r="28815">
      <c r="B28815" s="17" t="s">
        <v>477</v>
      </c>
      <c r="K28815" s="18" t="s">
        <v>477</v>
      </c>
    </row>
    <row r="28816">
      <c r="B28816" s="17" t="s">
        <v>477</v>
      </c>
      <c r="K28816" s="18" t="s">
        <v>477</v>
      </c>
    </row>
    <row r="28817">
      <c r="B28817" s="17" t="s">
        <v>477</v>
      </c>
      <c r="K28817" s="18" t="s">
        <v>477</v>
      </c>
    </row>
    <row r="28818">
      <c r="B28818" s="17" t="s">
        <v>477</v>
      </c>
      <c r="K28818" s="18" t="s">
        <v>477</v>
      </c>
    </row>
    <row r="28819">
      <c r="B28819" s="17" t="s">
        <v>477</v>
      </c>
      <c r="K28819" s="18" t="s">
        <v>477</v>
      </c>
    </row>
    <row r="28820">
      <c r="B28820" s="17" t="s">
        <v>477</v>
      </c>
      <c r="K28820" s="18" t="s">
        <v>477</v>
      </c>
    </row>
    <row r="28821">
      <c r="B28821" s="17" t="s">
        <v>477</v>
      </c>
      <c r="K28821" s="18" t="s">
        <v>477</v>
      </c>
    </row>
    <row r="28822">
      <c r="B28822" s="17" t="s">
        <v>477</v>
      </c>
      <c r="K28822" s="18" t="s">
        <v>477</v>
      </c>
    </row>
    <row r="28823">
      <c r="B28823" s="17" t="s">
        <v>477</v>
      </c>
      <c r="K28823" s="18" t="s">
        <v>477</v>
      </c>
    </row>
    <row r="28824">
      <c r="B28824" s="17" t="s">
        <v>477</v>
      </c>
      <c r="K28824" s="18" t="s">
        <v>477</v>
      </c>
    </row>
    <row r="28825">
      <c r="B28825" s="17" t="s">
        <v>477</v>
      </c>
      <c r="K28825" s="18" t="s">
        <v>477</v>
      </c>
    </row>
    <row r="28826">
      <c r="B28826" s="17" t="s">
        <v>477</v>
      </c>
      <c r="K28826" s="18" t="s">
        <v>477</v>
      </c>
    </row>
    <row r="28827">
      <c r="B28827" s="17" t="s">
        <v>477</v>
      </c>
      <c r="K28827" s="18" t="s">
        <v>477</v>
      </c>
    </row>
    <row r="28828">
      <c r="B28828" s="17" t="s">
        <v>477</v>
      </c>
      <c r="K28828" s="18" t="s">
        <v>477</v>
      </c>
    </row>
    <row r="28829">
      <c r="B28829" s="17" t="s">
        <v>477</v>
      </c>
      <c r="K28829" s="18" t="s">
        <v>477</v>
      </c>
    </row>
    <row r="28830">
      <c r="B28830" s="17" t="s">
        <v>477</v>
      </c>
      <c r="K28830" s="18" t="s">
        <v>477</v>
      </c>
    </row>
    <row r="28831">
      <c r="B28831" s="17" t="s">
        <v>477</v>
      </c>
      <c r="K28831" s="18" t="s">
        <v>477</v>
      </c>
    </row>
    <row r="28832">
      <c r="B28832" s="17" t="s">
        <v>477</v>
      </c>
      <c r="K28832" s="18" t="s">
        <v>477</v>
      </c>
    </row>
    <row r="28833">
      <c r="B28833" s="17" t="s">
        <v>477</v>
      </c>
      <c r="K28833" s="18" t="s">
        <v>477</v>
      </c>
    </row>
    <row r="28834">
      <c r="B28834" s="17" t="s">
        <v>477</v>
      </c>
      <c r="K28834" s="18" t="s">
        <v>477</v>
      </c>
    </row>
    <row r="28835">
      <c r="B28835" s="17" t="s">
        <v>477</v>
      </c>
      <c r="K28835" s="18" t="s">
        <v>477</v>
      </c>
    </row>
    <row r="28836">
      <c r="B28836" s="17" t="s">
        <v>477</v>
      </c>
      <c r="K28836" s="18" t="s">
        <v>477</v>
      </c>
    </row>
    <row r="28837">
      <c r="B28837" s="17" t="s">
        <v>477</v>
      </c>
      <c r="K28837" s="18" t="s">
        <v>477</v>
      </c>
    </row>
    <row r="28838">
      <c r="B28838" s="17" t="s">
        <v>477</v>
      </c>
      <c r="K28838" s="18" t="s">
        <v>477</v>
      </c>
    </row>
    <row r="28839">
      <c r="B28839" s="17" t="s">
        <v>477</v>
      </c>
      <c r="K28839" s="18" t="s">
        <v>477</v>
      </c>
    </row>
    <row r="28840">
      <c r="B28840" s="17" t="s">
        <v>477</v>
      </c>
      <c r="K28840" s="18" t="s">
        <v>477</v>
      </c>
    </row>
    <row r="28841">
      <c r="B28841" s="17" t="s">
        <v>477</v>
      </c>
      <c r="K28841" s="18" t="s">
        <v>477</v>
      </c>
    </row>
    <row r="28842">
      <c r="B28842" s="17" t="s">
        <v>477</v>
      </c>
      <c r="K28842" s="18" t="s">
        <v>477</v>
      </c>
    </row>
    <row r="28843">
      <c r="B28843" s="17" t="s">
        <v>477</v>
      </c>
      <c r="K28843" s="18" t="s">
        <v>477</v>
      </c>
    </row>
    <row r="28844">
      <c r="B28844" s="17" t="s">
        <v>477</v>
      </c>
      <c r="K28844" s="18" t="s">
        <v>477</v>
      </c>
    </row>
    <row r="28845">
      <c r="B28845" s="17" t="s">
        <v>477</v>
      </c>
      <c r="K28845" s="18" t="s">
        <v>477</v>
      </c>
    </row>
    <row r="28846">
      <c r="B28846" s="17" t="s">
        <v>477</v>
      </c>
      <c r="K28846" s="18" t="s">
        <v>477</v>
      </c>
    </row>
    <row r="28847">
      <c r="B28847" s="17" t="s">
        <v>477</v>
      </c>
      <c r="K28847" s="18" t="s">
        <v>477</v>
      </c>
    </row>
    <row r="28848">
      <c r="B28848" s="17" t="s">
        <v>477</v>
      </c>
      <c r="K28848" s="18" t="s">
        <v>477</v>
      </c>
    </row>
    <row r="28849">
      <c r="B28849" s="17" t="s">
        <v>477</v>
      </c>
      <c r="K28849" s="18" t="s">
        <v>477</v>
      </c>
    </row>
    <row r="28850">
      <c r="B28850" s="17" t="s">
        <v>477</v>
      </c>
      <c r="K28850" s="18" t="s">
        <v>477</v>
      </c>
    </row>
    <row r="28851">
      <c r="B28851" s="17" t="s">
        <v>477</v>
      </c>
      <c r="K28851" s="18" t="s">
        <v>477</v>
      </c>
    </row>
    <row r="28852">
      <c r="B28852" s="17" t="s">
        <v>477</v>
      </c>
      <c r="K28852" s="18" t="s">
        <v>477</v>
      </c>
    </row>
    <row r="28853">
      <c r="B28853" s="17" t="s">
        <v>477</v>
      </c>
      <c r="K28853" s="18" t="s">
        <v>477</v>
      </c>
    </row>
    <row r="28854">
      <c r="B28854" s="17" t="s">
        <v>477</v>
      </c>
      <c r="K28854" s="18" t="s">
        <v>477</v>
      </c>
    </row>
    <row r="28855">
      <c r="B28855" s="17" t="s">
        <v>477</v>
      </c>
      <c r="K28855" s="18" t="s">
        <v>477</v>
      </c>
    </row>
    <row r="28856">
      <c r="B28856" s="17" t="s">
        <v>477</v>
      </c>
      <c r="K28856" s="18" t="s">
        <v>477</v>
      </c>
    </row>
    <row r="28857">
      <c r="B28857" s="17" t="s">
        <v>477</v>
      </c>
      <c r="K28857" s="18" t="s">
        <v>477</v>
      </c>
    </row>
    <row r="28858">
      <c r="B28858" s="17" t="s">
        <v>477</v>
      </c>
      <c r="K28858" s="18" t="s">
        <v>477</v>
      </c>
    </row>
    <row r="28859">
      <c r="B28859" s="17" t="s">
        <v>477</v>
      </c>
      <c r="K28859" s="18" t="s">
        <v>477</v>
      </c>
    </row>
    <row r="28860">
      <c r="B28860" s="17" t="s">
        <v>477</v>
      </c>
      <c r="K28860" s="18" t="s">
        <v>477</v>
      </c>
    </row>
    <row r="28861">
      <c r="B28861" s="17" t="s">
        <v>477</v>
      </c>
      <c r="K28861" s="18" t="s">
        <v>477</v>
      </c>
    </row>
    <row r="28862">
      <c r="B28862" s="17" t="s">
        <v>477</v>
      </c>
      <c r="K28862" s="18" t="s">
        <v>477</v>
      </c>
    </row>
    <row r="28863">
      <c r="B28863" s="17" t="s">
        <v>477</v>
      </c>
      <c r="K28863" s="18" t="s">
        <v>477</v>
      </c>
    </row>
    <row r="28864">
      <c r="B28864" s="17" t="s">
        <v>477</v>
      </c>
      <c r="K28864" s="18" t="s">
        <v>477</v>
      </c>
    </row>
    <row r="28865">
      <c r="B28865" s="17" t="s">
        <v>477</v>
      </c>
      <c r="K28865" s="18" t="s">
        <v>477</v>
      </c>
    </row>
    <row r="28866">
      <c r="B28866" s="17" t="s">
        <v>477</v>
      </c>
      <c r="K28866" s="18" t="s">
        <v>477</v>
      </c>
    </row>
    <row r="28867">
      <c r="B28867" s="17" t="s">
        <v>477</v>
      </c>
      <c r="K28867" s="18" t="s">
        <v>477</v>
      </c>
    </row>
    <row r="28868">
      <c r="B28868" s="17" t="s">
        <v>477</v>
      </c>
      <c r="K28868" s="18" t="s">
        <v>477</v>
      </c>
    </row>
    <row r="28869">
      <c r="B28869" s="17" t="s">
        <v>477</v>
      </c>
      <c r="K28869" s="18" t="s">
        <v>477</v>
      </c>
    </row>
    <row r="28870">
      <c r="B28870" s="17" t="s">
        <v>477</v>
      </c>
      <c r="K28870" s="18" t="s">
        <v>477</v>
      </c>
    </row>
    <row r="28871">
      <c r="B28871" s="17" t="s">
        <v>477</v>
      </c>
      <c r="K28871" s="18" t="s">
        <v>477</v>
      </c>
    </row>
    <row r="28872">
      <c r="B28872" s="17" t="s">
        <v>477</v>
      </c>
      <c r="K28872" s="18" t="s">
        <v>477</v>
      </c>
    </row>
    <row r="28873">
      <c r="B28873" s="17" t="s">
        <v>477</v>
      </c>
      <c r="K28873" s="18" t="s">
        <v>477</v>
      </c>
    </row>
    <row r="28874">
      <c r="B28874" s="17" t="s">
        <v>477</v>
      </c>
      <c r="K28874" s="18" t="s">
        <v>477</v>
      </c>
    </row>
    <row r="28875">
      <c r="B28875" s="17" t="s">
        <v>477</v>
      </c>
      <c r="K28875" s="18" t="s">
        <v>477</v>
      </c>
    </row>
    <row r="28876">
      <c r="B28876" s="17" t="s">
        <v>477</v>
      </c>
      <c r="K28876" s="18" t="s">
        <v>477</v>
      </c>
    </row>
    <row r="28877">
      <c r="B28877" s="17" t="s">
        <v>477</v>
      </c>
      <c r="K28877" s="18" t="s">
        <v>477</v>
      </c>
    </row>
    <row r="28878">
      <c r="B28878" s="17" t="s">
        <v>477</v>
      </c>
      <c r="K28878" s="18" t="s">
        <v>477</v>
      </c>
    </row>
    <row r="28879">
      <c r="B28879" s="17" t="s">
        <v>477</v>
      </c>
      <c r="K28879" s="18" t="s">
        <v>477</v>
      </c>
    </row>
    <row r="28880">
      <c r="B28880" s="17" t="s">
        <v>477</v>
      </c>
      <c r="K28880" s="18" t="s">
        <v>477</v>
      </c>
    </row>
    <row r="28881">
      <c r="B28881" s="17" t="s">
        <v>477</v>
      </c>
      <c r="K28881" s="18" t="s">
        <v>477</v>
      </c>
    </row>
    <row r="28882">
      <c r="B28882" s="17" t="s">
        <v>477</v>
      </c>
      <c r="K28882" s="18" t="s">
        <v>477</v>
      </c>
    </row>
    <row r="28883">
      <c r="B28883" s="17" t="s">
        <v>477</v>
      </c>
      <c r="K28883" s="18" t="s">
        <v>477</v>
      </c>
    </row>
    <row r="28884">
      <c r="B28884" s="17" t="s">
        <v>477</v>
      </c>
      <c r="K28884" s="18" t="s">
        <v>477</v>
      </c>
    </row>
    <row r="28885">
      <c r="B28885" s="17" t="s">
        <v>477</v>
      </c>
      <c r="K28885" s="18" t="s">
        <v>477</v>
      </c>
    </row>
    <row r="28886">
      <c r="B28886" s="17" t="s">
        <v>477</v>
      </c>
      <c r="K28886" s="18" t="s">
        <v>477</v>
      </c>
    </row>
    <row r="28887">
      <c r="B28887" s="17" t="s">
        <v>477</v>
      </c>
      <c r="K28887" s="18" t="s">
        <v>477</v>
      </c>
    </row>
    <row r="28888">
      <c r="B28888" s="17" t="s">
        <v>477</v>
      </c>
      <c r="K28888" s="18" t="s">
        <v>477</v>
      </c>
    </row>
    <row r="28889">
      <c r="B28889" s="17" t="s">
        <v>477</v>
      </c>
      <c r="K28889" s="18" t="s">
        <v>477</v>
      </c>
    </row>
    <row r="28890">
      <c r="B28890" s="17" t="s">
        <v>477</v>
      </c>
      <c r="K28890" s="18" t="s">
        <v>477</v>
      </c>
    </row>
    <row r="28891">
      <c r="B28891" s="17" t="s">
        <v>477</v>
      </c>
      <c r="K28891" s="18" t="s">
        <v>477</v>
      </c>
    </row>
    <row r="28892">
      <c r="B28892" s="17" t="s">
        <v>477</v>
      </c>
      <c r="K28892" s="18" t="s">
        <v>477</v>
      </c>
    </row>
    <row r="28893">
      <c r="B28893" s="17" t="s">
        <v>477</v>
      </c>
      <c r="K28893" s="18" t="s">
        <v>477</v>
      </c>
    </row>
    <row r="28894">
      <c r="B28894" s="17" t="s">
        <v>477</v>
      </c>
      <c r="K28894" s="18" t="s">
        <v>477</v>
      </c>
    </row>
    <row r="28895">
      <c r="B28895" s="17" t="s">
        <v>477</v>
      </c>
      <c r="K28895" s="18" t="s">
        <v>477</v>
      </c>
    </row>
    <row r="28896">
      <c r="B28896" s="17" t="s">
        <v>477</v>
      </c>
      <c r="K28896" s="18" t="s">
        <v>477</v>
      </c>
    </row>
    <row r="28897">
      <c r="B28897" s="17" t="s">
        <v>477</v>
      </c>
      <c r="K28897" s="18" t="s">
        <v>477</v>
      </c>
    </row>
    <row r="28898">
      <c r="B28898" s="17" t="s">
        <v>477</v>
      </c>
      <c r="K28898" s="18" t="s">
        <v>477</v>
      </c>
    </row>
    <row r="28899">
      <c r="B28899" s="17" t="s">
        <v>477</v>
      </c>
      <c r="K28899" s="18" t="s">
        <v>477</v>
      </c>
    </row>
    <row r="28900">
      <c r="B28900" s="17" t="s">
        <v>477</v>
      </c>
      <c r="K28900" s="18" t="s">
        <v>477</v>
      </c>
    </row>
    <row r="28901">
      <c r="B28901" s="17" t="s">
        <v>477</v>
      </c>
      <c r="K28901" s="18" t="s">
        <v>477</v>
      </c>
    </row>
    <row r="28902">
      <c r="B28902" s="17" t="s">
        <v>477</v>
      </c>
      <c r="K28902" s="18" t="s">
        <v>477</v>
      </c>
    </row>
    <row r="28903">
      <c r="B28903" s="17" t="s">
        <v>477</v>
      </c>
      <c r="K28903" s="18" t="s">
        <v>477</v>
      </c>
    </row>
    <row r="28904">
      <c r="B28904" s="17" t="s">
        <v>477</v>
      </c>
      <c r="K28904" s="18" t="s">
        <v>477</v>
      </c>
    </row>
    <row r="28905">
      <c r="B28905" s="17" t="s">
        <v>477</v>
      </c>
      <c r="K28905" s="18" t="s">
        <v>477</v>
      </c>
    </row>
    <row r="28906">
      <c r="B28906" s="17" t="s">
        <v>477</v>
      </c>
      <c r="K28906" s="18" t="s">
        <v>477</v>
      </c>
    </row>
    <row r="28907">
      <c r="B28907" s="17" t="s">
        <v>477</v>
      </c>
      <c r="K28907" s="18" t="s">
        <v>477</v>
      </c>
    </row>
    <row r="28908">
      <c r="B28908" s="17" t="s">
        <v>477</v>
      </c>
      <c r="K28908" s="18" t="s">
        <v>477</v>
      </c>
    </row>
    <row r="28909">
      <c r="B28909" s="17" t="s">
        <v>477</v>
      </c>
      <c r="K28909" s="18" t="s">
        <v>477</v>
      </c>
    </row>
    <row r="28910">
      <c r="B28910" s="17" t="s">
        <v>477</v>
      </c>
      <c r="K28910" s="18" t="s">
        <v>477</v>
      </c>
    </row>
    <row r="28911">
      <c r="B28911" s="17" t="s">
        <v>477</v>
      </c>
      <c r="K28911" s="18" t="s">
        <v>477</v>
      </c>
    </row>
    <row r="28912">
      <c r="B28912" s="17" t="s">
        <v>477</v>
      </c>
      <c r="K28912" s="18" t="s">
        <v>477</v>
      </c>
    </row>
    <row r="28913">
      <c r="B28913" s="17" t="s">
        <v>477</v>
      </c>
      <c r="K28913" s="18" t="s">
        <v>477</v>
      </c>
    </row>
    <row r="28914">
      <c r="B28914" s="17" t="s">
        <v>477</v>
      </c>
      <c r="K28914" s="18" t="s">
        <v>477</v>
      </c>
    </row>
    <row r="28915">
      <c r="B28915" s="17" t="s">
        <v>477</v>
      </c>
      <c r="K28915" s="18" t="s">
        <v>477</v>
      </c>
    </row>
    <row r="28916">
      <c r="B28916" s="17" t="s">
        <v>477</v>
      </c>
      <c r="K28916" s="18" t="s">
        <v>477</v>
      </c>
    </row>
    <row r="28917">
      <c r="B28917" s="17" t="s">
        <v>477</v>
      </c>
      <c r="K28917" s="18" t="s">
        <v>477</v>
      </c>
    </row>
    <row r="28918">
      <c r="B28918" s="17" t="s">
        <v>477</v>
      </c>
      <c r="K28918" s="18" t="s">
        <v>477</v>
      </c>
    </row>
    <row r="28919">
      <c r="B28919" s="17" t="s">
        <v>477</v>
      </c>
      <c r="K28919" s="18" t="s">
        <v>477</v>
      </c>
    </row>
    <row r="28920">
      <c r="B28920" s="17" t="s">
        <v>477</v>
      </c>
      <c r="K28920" s="18" t="s">
        <v>477</v>
      </c>
    </row>
    <row r="28921">
      <c r="B28921" s="17" t="s">
        <v>477</v>
      </c>
      <c r="K28921" s="18" t="s">
        <v>477</v>
      </c>
    </row>
    <row r="28922">
      <c r="B28922" s="17" t="s">
        <v>477</v>
      </c>
      <c r="K28922" s="18" t="s">
        <v>477</v>
      </c>
    </row>
    <row r="28923">
      <c r="B28923" s="17" t="s">
        <v>477</v>
      </c>
      <c r="K28923" s="18" t="s">
        <v>477</v>
      </c>
    </row>
    <row r="28924">
      <c r="B28924" s="17" t="s">
        <v>477</v>
      </c>
      <c r="K28924" s="18" t="s">
        <v>477</v>
      </c>
    </row>
    <row r="28925">
      <c r="B28925" s="17" t="s">
        <v>477</v>
      </c>
      <c r="K28925" s="18" t="s">
        <v>477</v>
      </c>
    </row>
    <row r="28926">
      <c r="B28926" s="17" t="s">
        <v>477</v>
      </c>
      <c r="K28926" s="18" t="s">
        <v>477</v>
      </c>
    </row>
    <row r="28927">
      <c r="B28927" s="17" t="s">
        <v>477</v>
      </c>
      <c r="K28927" s="18" t="s">
        <v>477</v>
      </c>
    </row>
    <row r="28928">
      <c r="B28928" s="17" t="s">
        <v>477</v>
      </c>
      <c r="K28928" s="18" t="s">
        <v>477</v>
      </c>
    </row>
    <row r="28929">
      <c r="B28929" s="17" t="s">
        <v>477</v>
      </c>
      <c r="K28929" s="18" t="s">
        <v>477</v>
      </c>
    </row>
    <row r="28930">
      <c r="B28930" s="17" t="s">
        <v>477</v>
      </c>
      <c r="K28930" s="18" t="s">
        <v>477</v>
      </c>
    </row>
    <row r="28931">
      <c r="B28931" s="17" t="s">
        <v>477</v>
      </c>
      <c r="K28931" s="18" t="s">
        <v>477</v>
      </c>
    </row>
    <row r="28932">
      <c r="B28932" s="17" t="s">
        <v>477</v>
      </c>
      <c r="K28932" s="18" t="s">
        <v>477</v>
      </c>
    </row>
    <row r="28933">
      <c r="B28933" s="17" t="s">
        <v>477</v>
      </c>
      <c r="K28933" s="18" t="s">
        <v>477</v>
      </c>
    </row>
    <row r="28934">
      <c r="B28934" s="17" t="s">
        <v>477</v>
      </c>
      <c r="K28934" s="18" t="s">
        <v>477</v>
      </c>
    </row>
    <row r="28935">
      <c r="B28935" s="17" t="s">
        <v>477</v>
      </c>
      <c r="K28935" s="18" t="s">
        <v>477</v>
      </c>
    </row>
    <row r="28936">
      <c r="B28936" s="17" t="s">
        <v>477</v>
      </c>
      <c r="K28936" s="18" t="s">
        <v>477</v>
      </c>
    </row>
    <row r="28937">
      <c r="B28937" s="17" t="s">
        <v>477</v>
      </c>
      <c r="K28937" s="18" t="s">
        <v>477</v>
      </c>
    </row>
    <row r="28938">
      <c r="B28938" s="17" t="s">
        <v>477</v>
      </c>
      <c r="K28938" s="18" t="s">
        <v>477</v>
      </c>
    </row>
    <row r="28939">
      <c r="B28939" s="17" t="s">
        <v>477</v>
      </c>
      <c r="K28939" s="18" t="s">
        <v>477</v>
      </c>
    </row>
    <row r="28940">
      <c r="B28940" s="17" t="s">
        <v>477</v>
      </c>
      <c r="K28940" s="18" t="s">
        <v>477</v>
      </c>
    </row>
    <row r="28941">
      <c r="B28941" s="17" t="s">
        <v>477</v>
      </c>
      <c r="K28941" s="18" t="s">
        <v>477</v>
      </c>
    </row>
    <row r="28942">
      <c r="B28942" s="17" t="s">
        <v>477</v>
      </c>
      <c r="K28942" s="18" t="s">
        <v>477</v>
      </c>
    </row>
    <row r="28943">
      <c r="B28943" s="17" t="s">
        <v>477</v>
      </c>
      <c r="K28943" s="18" t="s">
        <v>477</v>
      </c>
    </row>
    <row r="28944">
      <c r="B28944" s="17" t="s">
        <v>477</v>
      </c>
      <c r="K28944" s="18" t="s">
        <v>477</v>
      </c>
    </row>
    <row r="28945">
      <c r="B28945" s="17" t="s">
        <v>477</v>
      </c>
      <c r="K28945" s="18" t="s">
        <v>477</v>
      </c>
    </row>
    <row r="28946">
      <c r="B28946" s="17" t="s">
        <v>477</v>
      </c>
      <c r="K28946" s="18" t="s">
        <v>477</v>
      </c>
    </row>
    <row r="28947">
      <c r="B28947" s="17" t="s">
        <v>477</v>
      </c>
      <c r="K28947" s="18" t="s">
        <v>477</v>
      </c>
    </row>
    <row r="28948">
      <c r="B28948" s="17" t="s">
        <v>477</v>
      </c>
      <c r="K28948" s="18" t="s">
        <v>477</v>
      </c>
    </row>
    <row r="28949">
      <c r="B28949" s="17" t="s">
        <v>477</v>
      </c>
      <c r="K28949" s="18" t="s">
        <v>477</v>
      </c>
    </row>
    <row r="28950">
      <c r="B28950" s="17" t="s">
        <v>477</v>
      </c>
      <c r="K28950" s="18" t="s">
        <v>477</v>
      </c>
    </row>
    <row r="28951">
      <c r="B28951" s="17" t="s">
        <v>477</v>
      </c>
      <c r="K28951" s="18" t="s">
        <v>477</v>
      </c>
    </row>
    <row r="28952">
      <c r="B28952" s="17" t="s">
        <v>477</v>
      </c>
      <c r="K28952" s="18" t="s">
        <v>477</v>
      </c>
    </row>
    <row r="28953">
      <c r="B28953" s="17" t="s">
        <v>477</v>
      </c>
      <c r="K28953" s="18" t="s">
        <v>477</v>
      </c>
    </row>
    <row r="28954">
      <c r="B28954" s="17" t="s">
        <v>477</v>
      </c>
      <c r="K28954" s="18" t="s">
        <v>477</v>
      </c>
    </row>
    <row r="28955">
      <c r="B28955" s="17" t="s">
        <v>477</v>
      </c>
      <c r="K28955" s="18" t="s">
        <v>477</v>
      </c>
    </row>
    <row r="28956">
      <c r="B28956" s="17" t="s">
        <v>477</v>
      </c>
      <c r="K28956" s="18" t="s">
        <v>477</v>
      </c>
    </row>
    <row r="28957">
      <c r="B28957" s="17" t="s">
        <v>477</v>
      </c>
      <c r="K28957" s="18" t="s">
        <v>477</v>
      </c>
    </row>
    <row r="28958">
      <c r="B28958" s="17" t="s">
        <v>477</v>
      </c>
      <c r="K28958" s="18" t="s">
        <v>477</v>
      </c>
    </row>
    <row r="28959">
      <c r="B28959" s="17" t="s">
        <v>477</v>
      </c>
      <c r="K28959" s="18" t="s">
        <v>477</v>
      </c>
    </row>
    <row r="28960">
      <c r="B28960" s="17" t="s">
        <v>477</v>
      </c>
      <c r="K28960" s="18" t="s">
        <v>477</v>
      </c>
    </row>
    <row r="28961">
      <c r="B28961" s="17" t="s">
        <v>477</v>
      </c>
      <c r="K28961" s="18" t="s">
        <v>477</v>
      </c>
    </row>
    <row r="28962">
      <c r="B28962" s="17" t="s">
        <v>477</v>
      </c>
      <c r="K28962" s="18" t="s">
        <v>477</v>
      </c>
    </row>
    <row r="28963">
      <c r="B28963" s="17" t="s">
        <v>477</v>
      </c>
      <c r="K28963" s="18" t="s">
        <v>477</v>
      </c>
    </row>
    <row r="28964">
      <c r="B28964" s="17" t="s">
        <v>477</v>
      </c>
      <c r="K28964" s="18" t="s">
        <v>477</v>
      </c>
    </row>
    <row r="28965">
      <c r="B28965" s="17" t="s">
        <v>477</v>
      </c>
      <c r="K28965" s="18" t="s">
        <v>477</v>
      </c>
    </row>
    <row r="28966">
      <c r="B28966" s="17" t="s">
        <v>477</v>
      </c>
      <c r="K28966" s="18" t="s">
        <v>477</v>
      </c>
    </row>
    <row r="28967">
      <c r="B28967" s="17" t="s">
        <v>477</v>
      </c>
      <c r="K28967" s="18" t="s">
        <v>477</v>
      </c>
    </row>
    <row r="28968">
      <c r="B28968" s="17" t="s">
        <v>477</v>
      </c>
      <c r="K28968" s="18" t="s">
        <v>477</v>
      </c>
    </row>
    <row r="28969">
      <c r="B28969" s="17" t="s">
        <v>477</v>
      </c>
      <c r="K28969" s="18" t="s">
        <v>477</v>
      </c>
    </row>
    <row r="28970">
      <c r="B28970" s="17" t="s">
        <v>477</v>
      </c>
      <c r="K28970" s="18" t="s">
        <v>477</v>
      </c>
    </row>
    <row r="28971">
      <c r="B28971" s="17" t="s">
        <v>477</v>
      </c>
      <c r="K28971" s="18" t="s">
        <v>477</v>
      </c>
    </row>
    <row r="28972">
      <c r="B28972" s="17" t="s">
        <v>477</v>
      </c>
      <c r="K28972" s="18" t="s">
        <v>477</v>
      </c>
    </row>
    <row r="28973">
      <c r="B28973" s="17" t="s">
        <v>477</v>
      </c>
      <c r="K28973" s="18" t="s">
        <v>477</v>
      </c>
    </row>
    <row r="28974">
      <c r="B28974" s="17" t="s">
        <v>477</v>
      </c>
      <c r="K28974" s="18" t="s">
        <v>477</v>
      </c>
    </row>
    <row r="28975">
      <c r="B28975" s="17" t="s">
        <v>477</v>
      </c>
      <c r="K28975" s="18" t="s">
        <v>477</v>
      </c>
    </row>
    <row r="28976">
      <c r="B28976" s="17" t="s">
        <v>477</v>
      </c>
      <c r="K28976" s="18" t="s">
        <v>477</v>
      </c>
    </row>
    <row r="28977">
      <c r="B28977" s="17" t="s">
        <v>477</v>
      </c>
      <c r="K28977" s="18" t="s">
        <v>477</v>
      </c>
    </row>
    <row r="28978">
      <c r="B28978" s="17" t="s">
        <v>477</v>
      </c>
      <c r="K28978" s="18" t="s">
        <v>477</v>
      </c>
    </row>
    <row r="28979">
      <c r="B28979" s="17" t="s">
        <v>477</v>
      </c>
      <c r="K28979" s="18" t="s">
        <v>477</v>
      </c>
    </row>
    <row r="28980">
      <c r="B28980" s="17" t="s">
        <v>477</v>
      </c>
      <c r="K28980" s="18" t="s">
        <v>477</v>
      </c>
    </row>
    <row r="28981">
      <c r="B28981" s="17" t="s">
        <v>477</v>
      </c>
      <c r="K28981" s="18" t="s">
        <v>477</v>
      </c>
    </row>
    <row r="28982">
      <c r="B28982" s="17" t="s">
        <v>477</v>
      </c>
      <c r="K28982" s="18" t="s">
        <v>477</v>
      </c>
    </row>
    <row r="28983">
      <c r="B28983" s="17" t="s">
        <v>477</v>
      </c>
      <c r="K28983" s="18" t="s">
        <v>477</v>
      </c>
    </row>
    <row r="28984">
      <c r="B28984" s="17" t="s">
        <v>477</v>
      </c>
      <c r="K28984" s="18" t="s">
        <v>477</v>
      </c>
    </row>
    <row r="28985">
      <c r="B28985" s="17" t="s">
        <v>477</v>
      </c>
      <c r="K28985" s="18" t="s">
        <v>477</v>
      </c>
    </row>
    <row r="28986">
      <c r="B28986" s="17" t="s">
        <v>477</v>
      </c>
      <c r="K28986" s="18" t="s">
        <v>477</v>
      </c>
    </row>
    <row r="28987">
      <c r="B28987" s="17" t="s">
        <v>477</v>
      </c>
      <c r="K28987" s="18" t="s">
        <v>477</v>
      </c>
    </row>
    <row r="28988">
      <c r="B28988" s="17" t="s">
        <v>477</v>
      </c>
      <c r="K28988" s="18" t="s">
        <v>477</v>
      </c>
    </row>
    <row r="28989">
      <c r="B28989" s="17" t="s">
        <v>477</v>
      </c>
      <c r="K28989" s="18" t="s">
        <v>477</v>
      </c>
    </row>
    <row r="28990">
      <c r="B28990" s="17" t="s">
        <v>477</v>
      </c>
      <c r="K28990" s="18" t="s">
        <v>477</v>
      </c>
    </row>
    <row r="28991">
      <c r="B28991" s="17" t="s">
        <v>477</v>
      </c>
      <c r="K28991" s="18" t="s">
        <v>477</v>
      </c>
    </row>
    <row r="28992">
      <c r="B28992" s="17" t="s">
        <v>477</v>
      </c>
      <c r="K28992" s="18" t="s">
        <v>477</v>
      </c>
    </row>
    <row r="28993">
      <c r="B28993" s="17" t="s">
        <v>477</v>
      </c>
      <c r="K28993" s="18" t="s">
        <v>477</v>
      </c>
    </row>
    <row r="28994">
      <c r="B28994" s="17" t="s">
        <v>477</v>
      </c>
      <c r="K28994" s="18" t="s">
        <v>477</v>
      </c>
    </row>
    <row r="28995">
      <c r="B28995" s="17" t="s">
        <v>477</v>
      </c>
      <c r="K28995" s="18" t="s">
        <v>477</v>
      </c>
    </row>
    <row r="28996">
      <c r="B28996" s="17" t="s">
        <v>477</v>
      </c>
      <c r="K28996" s="18" t="s">
        <v>477</v>
      </c>
    </row>
    <row r="28997">
      <c r="B28997" s="17" t="s">
        <v>477</v>
      </c>
      <c r="K28997" s="18" t="s">
        <v>477</v>
      </c>
    </row>
    <row r="28998">
      <c r="B28998" s="17" t="s">
        <v>477</v>
      </c>
      <c r="K28998" s="18" t="s">
        <v>477</v>
      </c>
    </row>
    <row r="28999">
      <c r="B28999" s="17" t="s">
        <v>477</v>
      </c>
      <c r="K28999" s="18" t="s">
        <v>477</v>
      </c>
    </row>
    <row r="29000">
      <c r="B29000" s="17" t="s">
        <v>477</v>
      </c>
      <c r="K29000" s="18" t="s">
        <v>477</v>
      </c>
    </row>
    <row r="29001">
      <c r="B29001" s="17" t="s">
        <v>477</v>
      </c>
      <c r="K29001" s="18" t="s">
        <v>477</v>
      </c>
    </row>
    <row r="29002">
      <c r="B29002" s="17" t="s">
        <v>477</v>
      </c>
      <c r="K29002" s="18" t="s">
        <v>477</v>
      </c>
    </row>
    <row r="29003">
      <c r="B29003" s="17" t="s">
        <v>477</v>
      </c>
      <c r="K29003" s="18" t="s">
        <v>477</v>
      </c>
    </row>
    <row r="29004">
      <c r="B29004" s="17" t="s">
        <v>477</v>
      </c>
      <c r="K29004" s="18" t="s">
        <v>477</v>
      </c>
    </row>
    <row r="29005">
      <c r="B29005" s="17" t="s">
        <v>477</v>
      </c>
      <c r="K29005" s="18" t="s">
        <v>477</v>
      </c>
    </row>
    <row r="29006">
      <c r="B29006" s="17" t="s">
        <v>477</v>
      </c>
      <c r="K29006" s="18" t="s">
        <v>477</v>
      </c>
    </row>
    <row r="29007">
      <c r="B29007" s="17" t="s">
        <v>477</v>
      </c>
      <c r="K29007" s="18" t="s">
        <v>477</v>
      </c>
    </row>
    <row r="29008">
      <c r="B29008" s="17" t="s">
        <v>477</v>
      </c>
      <c r="K29008" s="18" t="s">
        <v>477</v>
      </c>
    </row>
    <row r="29009">
      <c r="B29009" s="17" t="s">
        <v>477</v>
      </c>
      <c r="K29009" s="18" t="s">
        <v>477</v>
      </c>
    </row>
    <row r="29010">
      <c r="B29010" s="17" t="s">
        <v>477</v>
      </c>
      <c r="K29010" s="18" t="s">
        <v>477</v>
      </c>
    </row>
    <row r="29011">
      <c r="B29011" s="17" t="s">
        <v>477</v>
      </c>
      <c r="K29011" s="18" t="s">
        <v>477</v>
      </c>
    </row>
    <row r="29012">
      <c r="B29012" s="17" t="s">
        <v>477</v>
      </c>
      <c r="K29012" s="18" t="s">
        <v>477</v>
      </c>
    </row>
    <row r="29013">
      <c r="B29013" s="17" t="s">
        <v>477</v>
      </c>
      <c r="K29013" s="18" t="s">
        <v>477</v>
      </c>
    </row>
    <row r="29014">
      <c r="B29014" s="17" t="s">
        <v>477</v>
      </c>
      <c r="K29014" s="18" t="s">
        <v>477</v>
      </c>
    </row>
    <row r="29015">
      <c r="B29015" s="17" t="s">
        <v>477</v>
      </c>
      <c r="K29015" s="18" t="s">
        <v>477</v>
      </c>
    </row>
    <row r="29016">
      <c r="B29016" s="17" t="s">
        <v>477</v>
      </c>
      <c r="K29016" s="18" t="s">
        <v>477</v>
      </c>
    </row>
    <row r="29017">
      <c r="B29017" s="17" t="s">
        <v>477</v>
      </c>
      <c r="K29017" s="18" t="s">
        <v>477</v>
      </c>
    </row>
    <row r="29018">
      <c r="B29018" s="17" t="s">
        <v>477</v>
      </c>
      <c r="K29018" s="18" t="s">
        <v>477</v>
      </c>
    </row>
    <row r="29019">
      <c r="B29019" s="17" t="s">
        <v>477</v>
      </c>
      <c r="K29019" s="18" t="s">
        <v>477</v>
      </c>
    </row>
    <row r="29020">
      <c r="B29020" s="17" t="s">
        <v>477</v>
      </c>
      <c r="K29020" s="18" t="s">
        <v>477</v>
      </c>
    </row>
    <row r="29021">
      <c r="B29021" s="17" t="s">
        <v>477</v>
      </c>
      <c r="K29021" s="18" t="s">
        <v>477</v>
      </c>
    </row>
    <row r="29022">
      <c r="B29022" s="17" t="s">
        <v>477</v>
      </c>
      <c r="K29022" s="18" t="s">
        <v>477</v>
      </c>
    </row>
    <row r="29023">
      <c r="B29023" s="17" t="s">
        <v>477</v>
      </c>
      <c r="K29023" s="18" t="s">
        <v>477</v>
      </c>
    </row>
    <row r="29024">
      <c r="B29024" s="17" t="s">
        <v>477</v>
      </c>
      <c r="K29024" s="18" t="s">
        <v>477</v>
      </c>
    </row>
    <row r="29025">
      <c r="B29025" s="17" t="s">
        <v>477</v>
      </c>
      <c r="K29025" s="18" t="s">
        <v>477</v>
      </c>
    </row>
    <row r="29026">
      <c r="B29026" s="17" t="s">
        <v>477</v>
      </c>
      <c r="K29026" s="18" t="s">
        <v>477</v>
      </c>
    </row>
    <row r="29027">
      <c r="B29027" s="17" t="s">
        <v>477</v>
      </c>
      <c r="K29027" s="18" t="s">
        <v>477</v>
      </c>
    </row>
    <row r="29028">
      <c r="B29028" s="17" t="s">
        <v>477</v>
      </c>
      <c r="K29028" s="18" t="s">
        <v>477</v>
      </c>
    </row>
    <row r="29029">
      <c r="B29029" s="17" t="s">
        <v>477</v>
      </c>
      <c r="K29029" s="18" t="s">
        <v>477</v>
      </c>
    </row>
    <row r="29030">
      <c r="B29030" s="17" t="s">
        <v>477</v>
      </c>
      <c r="K29030" s="18" t="s">
        <v>477</v>
      </c>
    </row>
    <row r="29031">
      <c r="B29031" s="17" t="s">
        <v>477</v>
      </c>
      <c r="K29031" s="18" t="s">
        <v>477</v>
      </c>
    </row>
    <row r="29032">
      <c r="B29032" s="17" t="s">
        <v>477</v>
      </c>
      <c r="K29032" s="18" t="s">
        <v>477</v>
      </c>
    </row>
    <row r="29033">
      <c r="B29033" s="17" t="s">
        <v>477</v>
      </c>
      <c r="K29033" s="18" t="s">
        <v>477</v>
      </c>
    </row>
    <row r="29034">
      <c r="B29034" s="17" t="s">
        <v>477</v>
      </c>
      <c r="K29034" s="18" t="s">
        <v>477</v>
      </c>
    </row>
    <row r="29035">
      <c r="B29035" s="17" t="s">
        <v>477</v>
      </c>
      <c r="K29035" s="18" t="s">
        <v>477</v>
      </c>
    </row>
    <row r="29036">
      <c r="B29036" s="17" t="s">
        <v>477</v>
      </c>
      <c r="K29036" s="18" t="s">
        <v>477</v>
      </c>
    </row>
    <row r="29037">
      <c r="B29037" s="17" t="s">
        <v>477</v>
      </c>
      <c r="K29037" s="18" t="s">
        <v>477</v>
      </c>
    </row>
    <row r="29038">
      <c r="B29038" s="17" t="s">
        <v>477</v>
      </c>
      <c r="K29038" s="18" t="s">
        <v>477</v>
      </c>
    </row>
    <row r="29039">
      <c r="B29039" s="17" t="s">
        <v>477</v>
      </c>
      <c r="K29039" s="18" t="s">
        <v>477</v>
      </c>
    </row>
    <row r="29040">
      <c r="B29040" s="17" t="s">
        <v>477</v>
      </c>
      <c r="K29040" s="18" t="s">
        <v>477</v>
      </c>
    </row>
    <row r="29041">
      <c r="B29041" s="17" t="s">
        <v>477</v>
      </c>
      <c r="K29041" s="18" t="s">
        <v>477</v>
      </c>
    </row>
    <row r="29042">
      <c r="B29042" s="17" t="s">
        <v>477</v>
      </c>
      <c r="K29042" s="18" t="s">
        <v>477</v>
      </c>
    </row>
    <row r="29043">
      <c r="B29043" s="17" t="s">
        <v>477</v>
      </c>
      <c r="K29043" s="18" t="s">
        <v>477</v>
      </c>
    </row>
    <row r="29044">
      <c r="B29044" s="17" t="s">
        <v>477</v>
      </c>
      <c r="K29044" s="18" t="s">
        <v>477</v>
      </c>
    </row>
    <row r="29045">
      <c r="B29045" s="17" t="s">
        <v>477</v>
      </c>
      <c r="K29045" s="18" t="s">
        <v>477</v>
      </c>
    </row>
    <row r="29046">
      <c r="B29046" s="17" t="s">
        <v>477</v>
      </c>
      <c r="K29046" s="18" t="s">
        <v>477</v>
      </c>
    </row>
    <row r="29047">
      <c r="B29047" s="17" t="s">
        <v>477</v>
      </c>
      <c r="K29047" s="18" t="s">
        <v>477</v>
      </c>
    </row>
    <row r="29048">
      <c r="B29048" s="17" t="s">
        <v>477</v>
      </c>
      <c r="K29048" s="18" t="s">
        <v>477</v>
      </c>
    </row>
    <row r="29049">
      <c r="B29049" s="17" t="s">
        <v>477</v>
      </c>
      <c r="K29049" s="18" t="s">
        <v>477</v>
      </c>
    </row>
    <row r="29050">
      <c r="B29050" s="17" t="s">
        <v>477</v>
      </c>
      <c r="K29050" s="18" t="s">
        <v>477</v>
      </c>
    </row>
    <row r="29051">
      <c r="B29051" s="17" t="s">
        <v>477</v>
      </c>
      <c r="K29051" s="18" t="s">
        <v>477</v>
      </c>
    </row>
    <row r="29052">
      <c r="B29052" s="17" t="s">
        <v>477</v>
      </c>
      <c r="K29052" s="18" t="s">
        <v>477</v>
      </c>
    </row>
    <row r="29053">
      <c r="B29053" s="17" t="s">
        <v>477</v>
      </c>
      <c r="K29053" s="18" t="s">
        <v>477</v>
      </c>
    </row>
    <row r="29054">
      <c r="B29054" s="17" t="s">
        <v>477</v>
      </c>
      <c r="K29054" s="18" t="s">
        <v>477</v>
      </c>
    </row>
    <row r="29055">
      <c r="B29055" s="17" t="s">
        <v>477</v>
      </c>
      <c r="K29055" s="18" t="s">
        <v>477</v>
      </c>
    </row>
    <row r="29056">
      <c r="B29056" s="17" t="s">
        <v>477</v>
      </c>
      <c r="K29056" s="18" t="s">
        <v>477</v>
      </c>
    </row>
    <row r="29057">
      <c r="B29057" s="17" t="s">
        <v>477</v>
      </c>
      <c r="K29057" s="18" t="s">
        <v>477</v>
      </c>
    </row>
    <row r="29058">
      <c r="B29058" s="17" t="s">
        <v>477</v>
      </c>
      <c r="K29058" s="18" t="s">
        <v>477</v>
      </c>
    </row>
    <row r="29059">
      <c r="B29059" s="17" t="s">
        <v>477</v>
      </c>
      <c r="K29059" s="18" t="s">
        <v>477</v>
      </c>
    </row>
    <row r="29060">
      <c r="B29060" s="17" t="s">
        <v>477</v>
      </c>
      <c r="K29060" s="18" t="s">
        <v>477</v>
      </c>
    </row>
    <row r="29061">
      <c r="B29061" s="17" t="s">
        <v>477</v>
      </c>
      <c r="K29061" s="18" t="s">
        <v>477</v>
      </c>
    </row>
    <row r="29062">
      <c r="B29062" s="17" t="s">
        <v>477</v>
      </c>
      <c r="K29062" s="18" t="s">
        <v>477</v>
      </c>
    </row>
    <row r="29063">
      <c r="B29063" s="17" t="s">
        <v>477</v>
      </c>
      <c r="K29063" s="18" t="s">
        <v>477</v>
      </c>
    </row>
    <row r="29064">
      <c r="B29064" s="17" t="s">
        <v>477</v>
      </c>
      <c r="K29064" s="18" t="s">
        <v>477</v>
      </c>
    </row>
    <row r="29065">
      <c r="B29065" s="17" t="s">
        <v>477</v>
      </c>
      <c r="K29065" s="18" t="s">
        <v>477</v>
      </c>
    </row>
    <row r="29066">
      <c r="B29066" s="17" t="s">
        <v>477</v>
      </c>
      <c r="K29066" s="18" t="s">
        <v>477</v>
      </c>
    </row>
    <row r="29067">
      <c r="B29067" s="17" t="s">
        <v>477</v>
      </c>
      <c r="K29067" s="18" t="s">
        <v>477</v>
      </c>
    </row>
    <row r="29068">
      <c r="B29068" s="17" t="s">
        <v>477</v>
      </c>
      <c r="K29068" s="18" t="s">
        <v>477</v>
      </c>
    </row>
    <row r="29069">
      <c r="B29069" s="17" t="s">
        <v>477</v>
      </c>
      <c r="K29069" s="18" t="s">
        <v>477</v>
      </c>
    </row>
    <row r="29070">
      <c r="B29070" s="17" t="s">
        <v>477</v>
      </c>
      <c r="K29070" s="18" t="s">
        <v>477</v>
      </c>
    </row>
    <row r="29071">
      <c r="B29071" s="17" t="s">
        <v>477</v>
      </c>
      <c r="K29071" s="18" t="s">
        <v>477</v>
      </c>
    </row>
    <row r="29072">
      <c r="B29072" s="17" t="s">
        <v>477</v>
      </c>
      <c r="K29072" s="18" t="s">
        <v>477</v>
      </c>
    </row>
    <row r="29073">
      <c r="B29073" s="17" t="s">
        <v>477</v>
      </c>
      <c r="K29073" s="18" t="s">
        <v>477</v>
      </c>
    </row>
    <row r="29074">
      <c r="B29074" s="17" t="s">
        <v>477</v>
      </c>
      <c r="K29074" s="18" t="s">
        <v>477</v>
      </c>
    </row>
    <row r="29075">
      <c r="B29075" s="17" t="s">
        <v>477</v>
      </c>
      <c r="K29075" s="18" t="s">
        <v>477</v>
      </c>
    </row>
    <row r="29076">
      <c r="B29076" s="17" t="s">
        <v>477</v>
      </c>
      <c r="K29076" s="18" t="s">
        <v>477</v>
      </c>
    </row>
    <row r="29077">
      <c r="B29077" s="17" t="s">
        <v>477</v>
      </c>
      <c r="K29077" s="18" t="s">
        <v>477</v>
      </c>
    </row>
    <row r="29078">
      <c r="B29078" s="17" t="s">
        <v>477</v>
      </c>
      <c r="K29078" s="18" t="s">
        <v>477</v>
      </c>
    </row>
    <row r="29079">
      <c r="B29079" s="17" t="s">
        <v>477</v>
      </c>
      <c r="K29079" s="18" t="s">
        <v>477</v>
      </c>
    </row>
    <row r="29080">
      <c r="B29080" s="17" t="s">
        <v>477</v>
      </c>
      <c r="K29080" s="18" t="s">
        <v>477</v>
      </c>
    </row>
    <row r="29081">
      <c r="B29081" s="17" t="s">
        <v>477</v>
      </c>
      <c r="K29081" s="18" t="s">
        <v>477</v>
      </c>
    </row>
    <row r="29082">
      <c r="B29082" s="17" t="s">
        <v>477</v>
      </c>
      <c r="K29082" s="18" t="s">
        <v>477</v>
      </c>
    </row>
    <row r="29083">
      <c r="B29083" s="17" t="s">
        <v>477</v>
      </c>
      <c r="K29083" s="18" t="s">
        <v>477</v>
      </c>
    </row>
    <row r="29084">
      <c r="B29084" s="17" t="s">
        <v>477</v>
      </c>
      <c r="K29084" s="18" t="s">
        <v>477</v>
      </c>
    </row>
    <row r="29085">
      <c r="B29085" s="17" t="s">
        <v>477</v>
      </c>
      <c r="K29085" s="18" t="s">
        <v>477</v>
      </c>
    </row>
    <row r="29086">
      <c r="B29086" s="17" t="s">
        <v>477</v>
      </c>
      <c r="K29086" s="18" t="s">
        <v>477</v>
      </c>
    </row>
    <row r="29087">
      <c r="B29087" s="17" t="s">
        <v>477</v>
      </c>
      <c r="K29087" s="18" t="s">
        <v>477</v>
      </c>
    </row>
    <row r="29088">
      <c r="B29088" s="17" t="s">
        <v>477</v>
      </c>
      <c r="K29088" s="18" t="s">
        <v>477</v>
      </c>
    </row>
    <row r="29089">
      <c r="B29089" s="17" t="s">
        <v>477</v>
      </c>
      <c r="K29089" s="18" t="s">
        <v>477</v>
      </c>
    </row>
    <row r="29090">
      <c r="B29090" s="17" t="s">
        <v>477</v>
      </c>
      <c r="K29090" s="18" t="s">
        <v>477</v>
      </c>
    </row>
    <row r="29091">
      <c r="B29091" s="17" t="s">
        <v>477</v>
      </c>
      <c r="K29091" s="18" t="s">
        <v>477</v>
      </c>
    </row>
    <row r="29092">
      <c r="B29092" s="17" t="s">
        <v>477</v>
      </c>
      <c r="K29092" s="18" t="s">
        <v>477</v>
      </c>
    </row>
    <row r="29093">
      <c r="B29093" s="17" t="s">
        <v>477</v>
      </c>
      <c r="K29093" s="18" t="s">
        <v>477</v>
      </c>
    </row>
    <row r="29094">
      <c r="B29094" s="17" t="s">
        <v>477</v>
      </c>
      <c r="K29094" s="18" t="s">
        <v>477</v>
      </c>
    </row>
    <row r="29095">
      <c r="B29095" s="17" t="s">
        <v>477</v>
      </c>
      <c r="K29095" s="18" t="s">
        <v>477</v>
      </c>
    </row>
    <row r="29096">
      <c r="B29096" s="17" t="s">
        <v>477</v>
      </c>
      <c r="K29096" s="18" t="s">
        <v>477</v>
      </c>
    </row>
    <row r="29097">
      <c r="B29097" s="17" t="s">
        <v>477</v>
      </c>
      <c r="K29097" s="18" t="s">
        <v>477</v>
      </c>
    </row>
    <row r="29098">
      <c r="B29098" s="17" t="s">
        <v>477</v>
      </c>
      <c r="K29098" s="18" t="s">
        <v>477</v>
      </c>
    </row>
    <row r="29099">
      <c r="B29099" s="17" t="s">
        <v>477</v>
      </c>
      <c r="K29099" s="18" t="s">
        <v>477</v>
      </c>
    </row>
    <row r="29100">
      <c r="B29100" s="17" t="s">
        <v>477</v>
      </c>
      <c r="K29100" s="18" t="s">
        <v>477</v>
      </c>
    </row>
    <row r="29101">
      <c r="B29101" s="17" t="s">
        <v>477</v>
      </c>
      <c r="K29101" s="18" t="s">
        <v>477</v>
      </c>
    </row>
    <row r="29102">
      <c r="B29102" s="17" t="s">
        <v>477</v>
      </c>
      <c r="K29102" s="18" t="s">
        <v>477</v>
      </c>
    </row>
    <row r="29103">
      <c r="B29103" s="17" t="s">
        <v>477</v>
      </c>
      <c r="K29103" s="18" t="s">
        <v>477</v>
      </c>
    </row>
    <row r="29104">
      <c r="B29104" s="17" t="s">
        <v>477</v>
      </c>
      <c r="K29104" s="18" t="s">
        <v>477</v>
      </c>
    </row>
    <row r="29105">
      <c r="B29105" s="17" t="s">
        <v>477</v>
      </c>
      <c r="K29105" s="18" t="s">
        <v>477</v>
      </c>
    </row>
    <row r="29106">
      <c r="B29106" s="17" t="s">
        <v>477</v>
      </c>
      <c r="K29106" s="18" t="s">
        <v>477</v>
      </c>
    </row>
    <row r="29107">
      <c r="B29107" s="17" t="s">
        <v>477</v>
      </c>
      <c r="K29107" s="18" t="s">
        <v>477</v>
      </c>
    </row>
    <row r="29108">
      <c r="B29108" s="17" t="s">
        <v>477</v>
      </c>
      <c r="K29108" s="18" t="s">
        <v>477</v>
      </c>
    </row>
    <row r="29109">
      <c r="B29109" s="17" t="s">
        <v>477</v>
      </c>
      <c r="K29109" s="18" t="s">
        <v>477</v>
      </c>
    </row>
    <row r="29110">
      <c r="B29110" s="17" t="s">
        <v>477</v>
      </c>
      <c r="K29110" s="18" t="s">
        <v>477</v>
      </c>
    </row>
    <row r="29111">
      <c r="B29111" s="17" t="s">
        <v>477</v>
      </c>
      <c r="K29111" s="18" t="s">
        <v>477</v>
      </c>
    </row>
    <row r="29112">
      <c r="B29112" s="17" t="s">
        <v>477</v>
      </c>
      <c r="K29112" s="18" t="s">
        <v>477</v>
      </c>
    </row>
    <row r="29113">
      <c r="B29113" s="17" t="s">
        <v>477</v>
      </c>
      <c r="K29113" s="18" t="s">
        <v>477</v>
      </c>
    </row>
    <row r="29114">
      <c r="B29114" s="17" t="s">
        <v>477</v>
      </c>
      <c r="K29114" s="18" t="s">
        <v>477</v>
      </c>
    </row>
    <row r="29115">
      <c r="B29115" s="17" t="s">
        <v>477</v>
      </c>
      <c r="K29115" s="18" t="s">
        <v>477</v>
      </c>
    </row>
    <row r="29116">
      <c r="B29116" s="17" t="s">
        <v>477</v>
      </c>
      <c r="K29116" s="18" t="s">
        <v>477</v>
      </c>
    </row>
    <row r="29117">
      <c r="B29117" s="17" t="s">
        <v>477</v>
      </c>
      <c r="K29117" s="18" t="s">
        <v>477</v>
      </c>
    </row>
    <row r="29118">
      <c r="B29118" s="17" t="s">
        <v>477</v>
      </c>
      <c r="K29118" s="18" t="s">
        <v>477</v>
      </c>
    </row>
    <row r="29119">
      <c r="B29119" s="17" t="s">
        <v>477</v>
      </c>
      <c r="K29119" s="18" t="s">
        <v>477</v>
      </c>
    </row>
    <row r="29120">
      <c r="B29120" s="17" t="s">
        <v>477</v>
      </c>
      <c r="K29120" s="18" t="s">
        <v>477</v>
      </c>
    </row>
    <row r="29121">
      <c r="B29121" s="17" t="s">
        <v>477</v>
      </c>
      <c r="K29121" s="18" t="s">
        <v>477</v>
      </c>
    </row>
    <row r="29122">
      <c r="B29122" s="17" t="s">
        <v>477</v>
      </c>
      <c r="K29122" s="18" t="s">
        <v>477</v>
      </c>
    </row>
    <row r="29123">
      <c r="B29123" s="17" t="s">
        <v>477</v>
      </c>
      <c r="K29123" s="18" t="s">
        <v>477</v>
      </c>
    </row>
    <row r="29124">
      <c r="B29124" s="17" t="s">
        <v>477</v>
      </c>
      <c r="K29124" s="18" t="s">
        <v>477</v>
      </c>
    </row>
    <row r="29125">
      <c r="B29125" s="17" t="s">
        <v>477</v>
      </c>
      <c r="K29125" s="18" t="s">
        <v>477</v>
      </c>
    </row>
    <row r="29126">
      <c r="B29126" s="17" t="s">
        <v>477</v>
      </c>
      <c r="K29126" s="18" t="s">
        <v>477</v>
      </c>
    </row>
    <row r="29127">
      <c r="B29127" s="17" t="s">
        <v>477</v>
      </c>
      <c r="K29127" s="18" t="s">
        <v>477</v>
      </c>
    </row>
    <row r="29128">
      <c r="B29128" s="17" t="s">
        <v>477</v>
      </c>
      <c r="K29128" s="18" t="s">
        <v>477</v>
      </c>
    </row>
    <row r="29129">
      <c r="B29129" s="17" t="s">
        <v>477</v>
      </c>
      <c r="K29129" s="18" t="s">
        <v>477</v>
      </c>
    </row>
    <row r="29130">
      <c r="B29130" s="17" t="s">
        <v>477</v>
      </c>
      <c r="K29130" s="18" t="s">
        <v>477</v>
      </c>
    </row>
    <row r="29131">
      <c r="B29131" s="17" t="s">
        <v>477</v>
      </c>
      <c r="K29131" s="18" t="s">
        <v>477</v>
      </c>
    </row>
    <row r="29132">
      <c r="B29132" s="17" t="s">
        <v>477</v>
      </c>
      <c r="K29132" s="18" t="s">
        <v>477</v>
      </c>
    </row>
    <row r="29133">
      <c r="B29133" s="17" t="s">
        <v>477</v>
      </c>
      <c r="K29133" s="18" t="s">
        <v>477</v>
      </c>
    </row>
    <row r="29134">
      <c r="B29134" s="17" t="s">
        <v>477</v>
      </c>
      <c r="K29134" s="18" t="s">
        <v>477</v>
      </c>
    </row>
    <row r="29135">
      <c r="B29135" s="17" t="s">
        <v>477</v>
      </c>
      <c r="K29135" s="18" t="s">
        <v>477</v>
      </c>
    </row>
    <row r="29136">
      <c r="B29136" s="17" t="s">
        <v>477</v>
      </c>
      <c r="K29136" s="18" t="s">
        <v>477</v>
      </c>
    </row>
    <row r="29137">
      <c r="B29137" s="17" t="s">
        <v>477</v>
      </c>
      <c r="K29137" s="18" t="s">
        <v>477</v>
      </c>
    </row>
    <row r="29138">
      <c r="B29138" s="17" t="s">
        <v>477</v>
      </c>
      <c r="K29138" s="18" t="s">
        <v>477</v>
      </c>
    </row>
    <row r="29139">
      <c r="B29139" s="17" t="s">
        <v>477</v>
      </c>
      <c r="K29139" s="18" t="s">
        <v>477</v>
      </c>
    </row>
    <row r="29140">
      <c r="B29140" s="17" t="s">
        <v>477</v>
      </c>
      <c r="K29140" s="18" t="s">
        <v>477</v>
      </c>
    </row>
    <row r="29141">
      <c r="B29141" s="17" t="s">
        <v>477</v>
      </c>
      <c r="K29141" s="18" t="s">
        <v>477</v>
      </c>
    </row>
    <row r="29142">
      <c r="B29142" s="17" t="s">
        <v>477</v>
      </c>
      <c r="K29142" s="18" t="s">
        <v>477</v>
      </c>
    </row>
    <row r="29143">
      <c r="B29143" s="17" t="s">
        <v>477</v>
      </c>
      <c r="K29143" s="18" t="s">
        <v>477</v>
      </c>
    </row>
    <row r="29144">
      <c r="B29144" s="17" t="s">
        <v>477</v>
      </c>
      <c r="K29144" s="18" t="s">
        <v>477</v>
      </c>
    </row>
    <row r="29145">
      <c r="B29145" s="17" t="s">
        <v>477</v>
      </c>
      <c r="K29145" s="18" t="s">
        <v>477</v>
      </c>
    </row>
    <row r="29146">
      <c r="B29146" s="17" t="s">
        <v>477</v>
      </c>
      <c r="K29146" s="18" t="s">
        <v>477</v>
      </c>
    </row>
    <row r="29147">
      <c r="B29147" s="17" t="s">
        <v>477</v>
      </c>
      <c r="K29147" s="18" t="s">
        <v>477</v>
      </c>
    </row>
    <row r="29148">
      <c r="B29148" s="17" t="s">
        <v>477</v>
      </c>
      <c r="K29148" s="18" t="s">
        <v>477</v>
      </c>
    </row>
    <row r="29149">
      <c r="B29149" s="17" t="s">
        <v>477</v>
      </c>
      <c r="K29149" s="18" t="s">
        <v>477</v>
      </c>
    </row>
    <row r="29150">
      <c r="B29150" s="17" t="s">
        <v>477</v>
      </c>
      <c r="K29150" s="18" t="s">
        <v>477</v>
      </c>
    </row>
    <row r="29151">
      <c r="B29151" s="17" t="s">
        <v>477</v>
      </c>
      <c r="K29151" s="18" t="s">
        <v>477</v>
      </c>
    </row>
    <row r="29152">
      <c r="B29152" s="17" t="s">
        <v>477</v>
      </c>
      <c r="K29152" s="18" t="s">
        <v>477</v>
      </c>
    </row>
    <row r="29153">
      <c r="B29153" s="17" t="s">
        <v>477</v>
      </c>
      <c r="K29153" s="18" t="s">
        <v>477</v>
      </c>
    </row>
    <row r="29154">
      <c r="B29154" s="17" t="s">
        <v>477</v>
      </c>
      <c r="K29154" s="18" t="s">
        <v>477</v>
      </c>
    </row>
    <row r="29155">
      <c r="B29155" s="17" t="s">
        <v>477</v>
      </c>
      <c r="K29155" s="18" t="s">
        <v>477</v>
      </c>
    </row>
    <row r="29156">
      <c r="B29156" s="17" t="s">
        <v>477</v>
      </c>
      <c r="K29156" s="18" t="s">
        <v>477</v>
      </c>
    </row>
    <row r="29157">
      <c r="B29157" s="17" t="s">
        <v>477</v>
      </c>
      <c r="K29157" s="18" t="s">
        <v>477</v>
      </c>
    </row>
    <row r="29158">
      <c r="B29158" s="17" t="s">
        <v>477</v>
      </c>
      <c r="K29158" s="18" t="s">
        <v>477</v>
      </c>
    </row>
    <row r="29159">
      <c r="B29159" s="17" t="s">
        <v>477</v>
      </c>
      <c r="K29159" s="18" t="s">
        <v>477</v>
      </c>
    </row>
    <row r="29160">
      <c r="B29160" s="17" t="s">
        <v>477</v>
      </c>
      <c r="K29160" s="18" t="s">
        <v>477</v>
      </c>
    </row>
    <row r="29161">
      <c r="B29161" s="17" t="s">
        <v>477</v>
      </c>
      <c r="K29161" s="18" t="s">
        <v>477</v>
      </c>
    </row>
    <row r="29162">
      <c r="B29162" s="17" t="s">
        <v>477</v>
      </c>
      <c r="K29162" s="18" t="s">
        <v>477</v>
      </c>
    </row>
    <row r="29163">
      <c r="B29163" s="17" t="s">
        <v>477</v>
      </c>
      <c r="K29163" s="18" t="s">
        <v>477</v>
      </c>
    </row>
    <row r="29164">
      <c r="B29164" s="17" t="s">
        <v>477</v>
      </c>
      <c r="K29164" s="18" t="s">
        <v>477</v>
      </c>
    </row>
    <row r="29165">
      <c r="B29165" s="17" t="s">
        <v>477</v>
      </c>
      <c r="K29165" s="18" t="s">
        <v>477</v>
      </c>
    </row>
    <row r="29166">
      <c r="B29166" s="17" t="s">
        <v>477</v>
      </c>
      <c r="K29166" s="18" t="s">
        <v>477</v>
      </c>
    </row>
    <row r="29167">
      <c r="B29167" s="17" t="s">
        <v>477</v>
      </c>
      <c r="K29167" s="18" t="s">
        <v>477</v>
      </c>
    </row>
    <row r="29168">
      <c r="B29168" s="17" t="s">
        <v>477</v>
      </c>
      <c r="K29168" s="18" t="s">
        <v>477</v>
      </c>
    </row>
    <row r="29169">
      <c r="B29169" s="17" t="s">
        <v>477</v>
      </c>
      <c r="K29169" s="18" t="s">
        <v>477</v>
      </c>
    </row>
    <row r="29170">
      <c r="B29170" s="17" t="s">
        <v>477</v>
      </c>
      <c r="K29170" s="18" t="s">
        <v>477</v>
      </c>
    </row>
    <row r="29171">
      <c r="B29171" s="17" t="s">
        <v>477</v>
      </c>
      <c r="K29171" s="18" t="s">
        <v>477</v>
      </c>
    </row>
    <row r="29172">
      <c r="B29172" s="17" t="s">
        <v>477</v>
      </c>
      <c r="K29172" s="18" t="s">
        <v>477</v>
      </c>
    </row>
    <row r="29173">
      <c r="B29173" s="17" t="s">
        <v>477</v>
      </c>
      <c r="K29173" s="18" t="s">
        <v>477</v>
      </c>
    </row>
    <row r="29174">
      <c r="B29174" s="17" t="s">
        <v>477</v>
      </c>
      <c r="K29174" s="18" t="s">
        <v>477</v>
      </c>
    </row>
    <row r="29175">
      <c r="B29175" s="17" t="s">
        <v>477</v>
      </c>
      <c r="K29175" s="18" t="s">
        <v>477</v>
      </c>
    </row>
    <row r="29176">
      <c r="B29176" s="17" t="s">
        <v>477</v>
      </c>
      <c r="K29176" s="18" t="s">
        <v>477</v>
      </c>
    </row>
    <row r="29177">
      <c r="B29177" s="17" t="s">
        <v>477</v>
      </c>
      <c r="K29177" s="18" t="s">
        <v>477</v>
      </c>
    </row>
    <row r="29178">
      <c r="B29178" s="17" t="s">
        <v>477</v>
      </c>
      <c r="K29178" s="18" t="s">
        <v>477</v>
      </c>
    </row>
    <row r="29179">
      <c r="B29179" s="17" t="s">
        <v>477</v>
      </c>
      <c r="K29179" s="18" t="s">
        <v>477</v>
      </c>
    </row>
    <row r="29180">
      <c r="B29180" s="17" t="s">
        <v>477</v>
      </c>
      <c r="K29180" s="18" t="s">
        <v>477</v>
      </c>
    </row>
    <row r="29181">
      <c r="B29181" s="17" t="s">
        <v>477</v>
      </c>
      <c r="K29181" s="18" t="s">
        <v>477</v>
      </c>
    </row>
    <row r="29182">
      <c r="B29182" s="17" t="s">
        <v>477</v>
      </c>
      <c r="K29182" s="18" t="s">
        <v>477</v>
      </c>
    </row>
    <row r="29183">
      <c r="B29183" s="17" t="s">
        <v>477</v>
      </c>
      <c r="K29183" s="18" t="s">
        <v>477</v>
      </c>
    </row>
    <row r="29184">
      <c r="B29184" s="17" t="s">
        <v>477</v>
      </c>
      <c r="K29184" s="18" t="s">
        <v>477</v>
      </c>
    </row>
    <row r="29185">
      <c r="B29185" s="17" t="s">
        <v>477</v>
      </c>
      <c r="K29185" s="18" t="s">
        <v>477</v>
      </c>
    </row>
    <row r="29186">
      <c r="B29186" s="17" t="s">
        <v>477</v>
      </c>
      <c r="K29186" s="18" t="s">
        <v>477</v>
      </c>
    </row>
    <row r="29187">
      <c r="B29187" s="17" t="s">
        <v>477</v>
      </c>
      <c r="K29187" s="18" t="s">
        <v>477</v>
      </c>
    </row>
    <row r="29188">
      <c r="B29188" s="17" t="s">
        <v>477</v>
      </c>
      <c r="K29188" s="18" t="s">
        <v>477</v>
      </c>
    </row>
    <row r="29189">
      <c r="B29189" s="17" t="s">
        <v>477</v>
      </c>
      <c r="K29189" s="18" t="s">
        <v>477</v>
      </c>
    </row>
    <row r="29190">
      <c r="B29190" s="17" t="s">
        <v>477</v>
      </c>
      <c r="K29190" s="18" t="s">
        <v>477</v>
      </c>
    </row>
    <row r="29191">
      <c r="B29191" s="17" t="s">
        <v>477</v>
      </c>
      <c r="K29191" s="18" t="s">
        <v>477</v>
      </c>
    </row>
    <row r="29192">
      <c r="B29192" s="17" t="s">
        <v>477</v>
      </c>
      <c r="K29192" s="18" t="s">
        <v>477</v>
      </c>
    </row>
    <row r="29193">
      <c r="B29193" s="17" t="s">
        <v>477</v>
      </c>
      <c r="K29193" s="18" t="s">
        <v>477</v>
      </c>
    </row>
    <row r="29194">
      <c r="B29194" s="17" t="s">
        <v>477</v>
      </c>
      <c r="K29194" s="18" t="s">
        <v>477</v>
      </c>
    </row>
    <row r="29195">
      <c r="B29195" s="17" t="s">
        <v>477</v>
      </c>
      <c r="K29195" s="18" t="s">
        <v>477</v>
      </c>
    </row>
    <row r="29196">
      <c r="B29196" s="17" t="s">
        <v>477</v>
      </c>
      <c r="K29196" s="18" t="s">
        <v>477</v>
      </c>
    </row>
    <row r="29197">
      <c r="B29197" s="17" t="s">
        <v>477</v>
      </c>
      <c r="K29197" s="18" t="s">
        <v>477</v>
      </c>
    </row>
    <row r="29198">
      <c r="B29198" s="17" t="s">
        <v>477</v>
      </c>
      <c r="K29198" s="18" t="s">
        <v>477</v>
      </c>
    </row>
    <row r="29199">
      <c r="B29199" s="17" t="s">
        <v>477</v>
      </c>
      <c r="K29199" s="18" t="s">
        <v>477</v>
      </c>
    </row>
    <row r="29200">
      <c r="B29200" s="17" t="s">
        <v>477</v>
      </c>
      <c r="K29200" s="18" t="s">
        <v>477</v>
      </c>
    </row>
    <row r="29201">
      <c r="B29201" s="17" t="s">
        <v>477</v>
      </c>
      <c r="K29201" s="18" t="s">
        <v>477</v>
      </c>
    </row>
    <row r="29202">
      <c r="B29202" s="17" t="s">
        <v>477</v>
      </c>
      <c r="K29202" s="18" t="s">
        <v>477</v>
      </c>
    </row>
    <row r="29203">
      <c r="B29203" s="17" t="s">
        <v>477</v>
      </c>
      <c r="K29203" s="18" t="s">
        <v>477</v>
      </c>
    </row>
    <row r="29204">
      <c r="B29204" s="17" t="s">
        <v>477</v>
      </c>
      <c r="K29204" s="18" t="s">
        <v>477</v>
      </c>
    </row>
    <row r="29205">
      <c r="B29205" s="17" t="s">
        <v>477</v>
      </c>
      <c r="K29205" s="18" t="s">
        <v>477</v>
      </c>
    </row>
    <row r="29206">
      <c r="B29206" s="17" t="s">
        <v>477</v>
      </c>
      <c r="K29206" s="18" t="s">
        <v>477</v>
      </c>
    </row>
    <row r="29207">
      <c r="B29207" s="17" t="s">
        <v>477</v>
      </c>
      <c r="K29207" s="18" t="s">
        <v>477</v>
      </c>
    </row>
    <row r="29208">
      <c r="B29208" s="17" t="s">
        <v>477</v>
      </c>
      <c r="K29208" s="18" t="s">
        <v>477</v>
      </c>
    </row>
    <row r="29209">
      <c r="B29209" s="17" t="s">
        <v>477</v>
      </c>
      <c r="K29209" s="18" t="s">
        <v>477</v>
      </c>
    </row>
    <row r="29210">
      <c r="B29210" s="17" t="s">
        <v>477</v>
      </c>
      <c r="K29210" s="18" t="s">
        <v>477</v>
      </c>
    </row>
    <row r="29211">
      <c r="B29211" s="17" t="s">
        <v>477</v>
      </c>
      <c r="K29211" s="18" t="s">
        <v>477</v>
      </c>
    </row>
    <row r="29212">
      <c r="B29212" s="17" t="s">
        <v>477</v>
      </c>
      <c r="K29212" s="18" t="s">
        <v>477</v>
      </c>
    </row>
    <row r="29213">
      <c r="B29213" s="17" t="s">
        <v>477</v>
      </c>
      <c r="K29213" s="18" t="s">
        <v>477</v>
      </c>
    </row>
    <row r="29214">
      <c r="B29214" s="17" t="s">
        <v>477</v>
      </c>
      <c r="K29214" s="18" t="s">
        <v>477</v>
      </c>
    </row>
    <row r="29215">
      <c r="B29215" s="17" t="s">
        <v>477</v>
      </c>
      <c r="K29215" s="18" t="s">
        <v>477</v>
      </c>
    </row>
    <row r="29216">
      <c r="B29216" s="17" t="s">
        <v>477</v>
      </c>
      <c r="K29216" s="18" t="s">
        <v>477</v>
      </c>
    </row>
    <row r="29217">
      <c r="B29217" s="17" t="s">
        <v>477</v>
      </c>
      <c r="K29217" s="18" t="s">
        <v>477</v>
      </c>
    </row>
    <row r="29218">
      <c r="B29218" s="17" t="s">
        <v>477</v>
      </c>
      <c r="K29218" s="18" t="s">
        <v>477</v>
      </c>
    </row>
    <row r="29219">
      <c r="B29219" s="17" t="s">
        <v>477</v>
      </c>
      <c r="K29219" s="18" t="s">
        <v>477</v>
      </c>
    </row>
    <row r="29220">
      <c r="B29220" s="17" t="s">
        <v>477</v>
      </c>
      <c r="K29220" s="18" t="s">
        <v>477</v>
      </c>
    </row>
    <row r="29221">
      <c r="B29221" s="17" t="s">
        <v>477</v>
      </c>
      <c r="K29221" s="18" t="s">
        <v>477</v>
      </c>
    </row>
    <row r="29222">
      <c r="B29222" s="17" t="s">
        <v>477</v>
      </c>
      <c r="K29222" s="18" t="s">
        <v>477</v>
      </c>
    </row>
    <row r="29223">
      <c r="B29223" s="17" t="s">
        <v>477</v>
      </c>
      <c r="K29223" s="18" t="s">
        <v>477</v>
      </c>
    </row>
    <row r="29224">
      <c r="B29224" s="17" t="s">
        <v>477</v>
      </c>
      <c r="K29224" s="18" t="s">
        <v>477</v>
      </c>
    </row>
    <row r="29225">
      <c r="B29225" s="17" t="s">
        <v>477</v>
      </c>
      <c r="K29225" s="18" t="s">
        <v>477</v>
      </c>
    </row>
    <row r="29226">
      <c r="B29226" s="17" t="s">
        <v>477</v>
      </c>
      <c r="K29226" s="18" t="s">
        <v>477</v>
      </c>
    </row>
    <row r="29227">
      <c r="B29227" s="17" t="s">
        <v>477</v>
      </c>
      <c r="K29227" s="18" t="s">
        <v>477</v>
      </c>
    </row>
    <row r="29228">
      <c r="B29228" s="17" t="s">
        <v>477</v>
      </c>
      <c r="K29228" s="18" t="s">
        <v>477</v>
      </c>
    </row>
    <row r="29229">
      <c r="B29229" s="17" t="s">
        <v>477</v>
      </c>
      <c r="K29229" s="18" t="s">
        <v>477</v>
      </c>
    </row>
    <row r="29230">
      <c r="B29230" s="17" t="s">
        <v>477</v>
      </c>
      <c r="K29230" s="18" t="s">
        <v>477</v>
      </c>
    </row>
    <row r="29231">
      <c r="B29231" s="17" t="s">
        <v>477</v>
      </c>
      <c r="K29231" s="18" t="s">
        <v>477</v>
      </c>
    </row>
    <row r="29232">
      <c r="B29232" s="17" t="s">
        <v>477</v>
      </c>
      <c r="K29232" s="18" t="s">
        <v>477</v>
      </c>
    </row>
    <row r="29233">
      <c r="B29233" s="17" t="s">
        <v>477</v>
      </c>
      <c r="K29233" s="18" t="s">
        <v>477</v>
      </c>
    </row>
    <row r="29234">
      <c r="B29234" s="17" t="s">
        <v>477</v>
      </c>
      <c r="K29234" s="18" t="s">
        <v>477</v>
      </c>
    </row>
    <row r="29235">
      <c r="B29235" s="17" t="s">
        <v>477</v>
      </c>
      <c r="K29235" s="18" t="s">
        <v>477</v>
      </c>
    </row>
    <row r="29236">
      <c r="B29236" s="17" t="s">
        <v>477</v>
      </c>
      <c r="K29236" s="18" t="s">
        <v>477</v>
      </c>
    </row>
    <row r="29237">
      <c r="B29237" s="17" t="s">
        <v>477</v>
      </c>
      <c r="K29237" s="18" t="s">
        <v>477</v>
      </c>
    </row>
    <row r="29238">
      <c r="B29238" s="17" t="s">
        <v>477</v>
      </c>
      <c r="K29238" s="18" t="s">
        <v>477</v>
      </c>
    </row>
    <row r="29239">
      <c r="B29239" s="17" t="s">
        <v>477</v>
      </c>
      <c r="K29239" s="18" t="s">
        <v>477</v>
      </c>
    </row>
    <row r="29240">
      <c r="B29240" s="17" t="s">
        <v>477</v>
      </c>
      <c r="K29240" s="18" t="s">
        <v>477</v>
      </c>
    </row>
    <row r="29241">
      <c r="B29241" s="17" t="s">
        <v>477</v>
      </c>
      <c r="K29241" s="18" t="s">
        <v>477</v>
      </c>
    </row>
    <row r="29242">
      <c r="B29242" s="17" t="s">
        <v>477</v>
      </c>
      <c r="K29242" s="18" t="s">
        <v>477</v>
      </c>
    </row>
    <row r="29243">
      <c r="B29243" s="17" t="s">
        <v>477</v>
      </c>
      <c r="K29243" s="18" t="s">
        <v>477</v>
      </c>
    </row>
    <row r="29244">
      <c r="B29244" s="17" t="s">
        <v>477</v>
      </c>
      <c r="K29244" s="18" t="s">
        <v>477</v>
      </c>
    </row>
    <row r="29245">
      <c r="B29245" s="17" t="s">
        <v>477</v>
      </c>
      <c r="K29245" s="18" t="s">
        <v>477</v>
      </c>
    </row>
    <row r="29246">
      <c r="B29246" s="17" t="s">
        <v>477</v>
      </c>
      <c r="K29246" s="18" t="s">
        <v>477</v>
      </c>
    </row>
    <row r="29247">
      <c r="B29247" s="17" t="s">
        <v>477</v>
      </c>
      <c r="K29247" s="18" t="s">
        <v>477</v>
      </c>
    </row>
    <row r="29248">
      <c r="B29248" s="17" t="s">
        <v>477</v>
      </c>
      <c r="K29248" s="18" t="s">
        <v>477</v>
      </c>
    </row>
    <row r="29249">
      <c r="B29249" s="17" t="s">
        <v>477</v>
      </c>
      <c r="K29249" s="18" t="s">
        <v>477</v>
      </c>
    </row>
    <row r="29250">
      <c r="B29250" s="17" t="s">
        <v>477</v>
      </c>
      <c r="K29250" s="18" t="s">
        <v>477</v>
      </c>
    </row>
    <row r="29251">
      <c r="B29251" s="17" t="s">
        <v>477</v>
      </c>
      <c r="K29251" s="18" t="s">
        <v>477</v>
      </c>
    </row>
    <row r="29252">
      <c r="B29252" s="17" t="s">
        <v>477</v>
      </c>
      <c r="K29252" s="18" t="s">
        <v>477</v>
      </c>
    </row>
    <row r="29253">
      <c r="B29253" s="17" t="s">
        <v>477</v>
      </c>
      <c r="K29253" s="18" t="s">
        <v>477</v>
      </c>
    </row>
    <row r="29254">
      <c r="B29254" s="17" t="s">
        <v>477</v>
      </c>
      <c r="K29254" s="18" t="s">
        <v>477</v>
      </c>
    </row>
    <row r="29255">
      <c r="B29255" s="17" t="s">
        <v>477</v>
      </c>
      <c r="K29255" s="18" t="s">
        <v>477</v>
      </c>
    </row>
    <row r="29256">
      <c r="B29256" s="17" t="s">
        <v>477</v>
      </c>
      <c r="K29256" s="18" t="s">
        <v>477</v>
      </c>
    </row>
    <row r="29257">
      <c r="B29257" s="17" t="s">
        <v>477</v>
      </c>
      <c r="K29257" s="18" t="s">
        <v>477</v>
      </c>
    </row>
    <row r="29258">
      <c r="B29258" s="17" t="s">
        <v>477</v>
      </c>
      <c r="K29258" s="18" t="s">
        <v>477</v>
      </c>
    </row>
    <row r="29259">
      <c r="B29259" s="17" t="s">
        <v>477</v>
      </c>
      <c r="K29259" s="18" t="s">
        <v>477</v>
      </c>
    </row>
    <row r="29260">
      <c r="B29260" s="17" t="s">
        <v>477</v>
      </c>
      <c r="K29260" s="18" t="s">
        <v>477</v>
      </c>
    </row>
    <row r="29261">
      <c r="B29261" s="17" t="s">
        <v>477</v>
      </c>
      <c r="K29261" s="18" t="s">
        <v>477</v>
      </c>
    </row>
    <row r="29262">
      <c r="B29262" s="17" t="s">
        <v>477</v>
      </c>
      <c r="K29262" s="18" t="s">
        <v>477</v>
      </c>
    </row>
    <row r="29263">
      <c r="B29263" s="17" t="s">
        <v>477</v>
      </c>
      <c r="K29263" s="18" t="s">
        <v>477</v>
      </c>
    </row>
    <row r="29264">
      <c r="B29264" s="17" t="s">
        <v>477</v>
      </c>
      <c r="K29264" s="18" t="s">
        <v>477</v>
      </c>
    </row>
    <row r="29265">
      <c r="B29265" s="17" t="s">
        <v>477</v>
      </c>
      <c r="K29265" s="18" t="s">
        <v>477</v>
      </c>
    </row>
    <row r="29266">
      <c r="B29266" s="17" t="s">
        <v>477</v>
      </c>
      <c r="K29266" s="18" t="s">
        <v>477</v>
      </c>
    </row>
    <row r="29267">
      <c r="B29267" s="17" t="s">
        <v>477</v>
      </c>
      <c r="K29267" s="18" t="s">
        <v>477</v>
      </c>
    </row>
    <row r="29268">
      <c r="B29268" s="17" t="s">
        <v>477</v>
      </c>
      <c r="K29268" s="18" t="s">
        <v>477</v>
      </c>
    </row>
    <row r="29269">
      <c r="B29269" s="17" t="s">
        <v>477</v>
      </c>
      <c r="K29269" s="18" t="s">
        <v>477</v>
      </c>
    </row>
    <row r="29270">
      <c r="B29270" s="17" t="s">
        <v>477</v>
      </c>
      <c r="K29270" s="18" t="s">
        <v>477</v>
      </c>
    </row>
    <row r="29271">
      <c r="B29271" s="17" t="s">
        <v>477</v>
      </c>
      <c r="K29271" s="18" t="s">
        <v>477</v>
      </c>
    </row>
    <row r="29272">
      <c r="B29272" s="17" t="s">
        <v>477</v>
      </c>
      <c r="K29272" s="18" t="s">
        <v>477</v>
      </c>
    </row>
    <row r="29273">
      <c r="B29273" s="17" t="s">
        <v>477</v>
      </c>
      <c r="K29273" s="18" t="s">
        <v>477</v>
      </c>
    </row>
    <row r="29274">
      <c r="B29274" s="17" t="s">
        <v>477</v>
      </c>
      <c r="K29274" s="18" t="s">
        <v>477</v>
      </c>
    </row>
    <row r="29275">
      <c r="B29275" s="17" t="s">
        <v>477</v>
      </c>
      <c r="K29275" s="18" t="s">
        <v>477</v>
      </c>
    </row>
    <row r="29276">
      <c r="B29276" s="17" t="s">
        <v>477</v>
      </c>
      <c r="K29276" s="18" t="s">
        <v>477</v>
      </c>
    </row>
    <row r="29277">
      <c r="B29277" s="17" t="s">
        <v>477</v>
      </c>
      <c r="K29277" s="18" t="s">
        <v>477</v>
      </c>
    </row>
    <row r="29278">
      <c r="B29278" s="17" t="s">
        <v>477</v>
      </c>
      <c r="K29278" s="18" t="s">
        <v>477</v>
      </c>
    </row>
    <row r="29279">
      <c r="B29279" s="17" t="s">
        <v>477</v>
      </c>
      <c r="K29279" s="18" t="s">
        <v>477</v>
      </c>
    </row>
    <row r="29280">
      <c r="B29280" s="17" t="s">
        <v>477</v>
      </c>
      <c r="K29280" s="18" t="s">
        <v>477</v>
      </c>
    </row>
    <row r="29281">
      <c r="B29281" s="17" t="s">
        <v>477</v>
      </c>
      <c r="K29281" s="18" t="s">
        <v>477</v>
      </c>
    </row>
    <row r="29282">
      <c r="B29282" s="17" t="s">
        <v>477</v>
      </c>
      <c r="K29282" s="18" t="s">
        <v>477</v>
      </c>
    </row>
    <row r="29283">
      <c r="B29283" s="17" t="s">
        <v>477</v>
      </c>
      <c r="K29283" s="18" t="s">
        <v>477</v>
      </c>
    </row>
    <row r="29284">
      <c r="B29284" s="17" t="s">
        <v>477</v>
      </c>
      <c r="K29284" s="18" t="s">
        <v>477</v>
      </c>
    </row>
    <row r="29285">
      <c r="B29285" s="17" t="s">
        <v>477</v>
      </c>
      <c r="K29285" s="18" t="s">
        <v>477</v>
      </c>
    </row>
    <row r="29286">
      <c r="B29286" s="17" t="s">
        <v>477</v>
      </c>
      <c r="K29286" s="18" t="s">
        <v>477</v>
      </c>
    </row>
    <row r="29287">
      <c r="B29287" s="17" t="s">
        <v>477</v>
      </c>
      <c r="K29287" s="18" t="s">
        <v>477</v>
      </c>
    </row>
    <row r="29288">
      <c r="B29288" s="17" t="s">
        <v>477</v>
      </c>
      <c r="K29288" s="18" t="s">
        <v>477</v>
      </c>
    </row>
    <row r="29289">
      <c r="B29289" s="17" t="s">
        <v>477</v>
      </c>
      <c r="K29289" s="18" t="s">
        <v>477</v>
      </c>
    </row>
    <row r="29290">
      <c r="B29290" s="17" t="s">
        <v>477</v>
      </c>
      <c r="K29290" s="18" t="s">
        <v>477</v>
      </c>
    </row>
    <row r="29291">
      <c r="B29291" s="17" t="s">
        <v>477</v>
      </c>
      <c r="K29291" s="18" t="s">
        <v>477</v>
      </c>
    </row>
    <row r="29292">
      <c r="B29292" s="17" t="s">
        <v>477</v>
      </c>
      <c r="K29292" s="18" t="s">
        <v>477</v>
      </c>
    </row>
    <row r="29293">
      <c r="B29293" s="17" t="s">
        <v>477</v>
      </c>
      <c r="K29293" s="18" t="s">
        <v>477</v>
      </c>
    </row>
    <row r="29294">
      <c r="B29294" s="17" t="s">
        <v>477</v>
      </c>
      <c r="K29294" s="18" t="s">
        <v>477</v>
      </c>
    </row>
    <row r="29295">
      <c r="B29295" s="17" t="s">
        <v>477</v>
      </c>
      <c r="K29295" s="18" t="s">
        <v>477</v>
      </c>
    </row>
    <row r="29296">
      <c r="B29296" s="17" t="s">
        <v>477</v>
      </c>
      <c r="K29296" s="18" t="s">
        <v>477</v>
      </c>
    </row>
    <row r="29297">
      <c r="B29297" s="17" t="s">
        <v>477</v>
      </c>
      <c r="K29297" s="18" t="s">
        <v>477</v>
      </c>
    </row>
    <row r="29298">
      <c r="B29298" s="17" t="s">
        <v>477</v>
      </c>
      <c r="K29298" s="18" t="s">
        <v>477</v>
      </c>
    </row>
    <row r="29299">
      <c r="B29299" s="17" t="s">
        <v>477</v>
      </c>
      <c r="K29299" s="18" t="s">
        <v>477</v>
      </c>
    </row>
    <row r="29300">
      <c r="B29300" s="17" t="s">
        <v>477</v>
      </c>
      <c r="K29300" s="18" t="s">
        <v>477</v>
      </c>
    </row>
    <row r="29301">
      <c r="B29301" s="17" t="s">
        <v>477</v>
      </c>
      <c r="K29301" s="18" t="s">
        <v>477</v>
      </c>
    </row>
    <row r="29302">
      <c r="B29302" s="17" t="s">
        <v>477</v>
      </c>
      <c r="K29302" s="18" t="s">
        <v>477</v>
      </c>
    </row>
    <row r="29303">
      <c r="B29303" s="17" t="s">
        <v>477</v>
      </c>
      <c r="K29303" s="18" t="s">
        <v>477</v>
      </c>
    </row>
    <row r="29304">
      <c r="B29304" s="17" t="s">
        <v>477</v>
      </c>
      <c r="K29304" s="18" t="s">
        <v>477</v>
      </c>
    </row>
    <row r="29305">
      <c r="B29305" s="17" t="s">
        <v>477</v>
      </c>
      <c r="K29305" s="18" t="s">
        <v>477</v>
      </c>
    </row>
    <row r="29306">
      <c r="B29306" s="17" t="s">
        <v>477</v>
      </c>
      <c r="K29306" s="18" t="s">
        <v>477</v>
      </c>
    </row>
    <row r="29307">
      <c r="B29307" s="17" t="s">
        <v>477</v>
      </c>
      <c r="K29307" s="18" t="s">
        <v>477</v>
      </c>
    </row>
    <row r="29308">
      <c r="B29308" s="17" t="s">
        <v>477</v>
      </c>
      <c r="K29308" s="18" t="s">
        <v>477</v>
      </c>
    </row>
    <row r="29309">
      <c r="B29309" s="17" t="s">
        <v>477</v>
      </c>
      <c r="K29309" s="18" t="s">
        <v>477</v>
      </c>
    </row>
    <row r="29310">
      <c r="B29310" s="17" t="s">
        <v>477</v>
      </c>
      <c r="K29310" s="18" t="s">
        <v>477</v>
      </c>
    </row>
    <row r="29311">
      <c r="B29311" s="17" t="s">
        <v>477</v>
      </c>
      <c r="K29311" s="18" t="s">
        <v>477</v>
      </c>
    </row>
    <row r="29312">
      <c r="B29312" s="17" t="s">
        <v>477</v>
      </c>
      <c r="K29312" s="18" t="s">
        <v>477</v>
      </c>
    </row>
    <row r="29313">
      <c r="B29313" s="17" t="s">
        <v>477</v>
      </c>
      <c r="K29313" s="18" t="s">
        <v>477</v>
      </c>
    </row>
    <row r="29314">
      <c r="B29314" s="17" t="s">
        <v>477</v>
      </c>
      <c r="K29314" s="18" t="s">
        <v>477</v>
      </c>
    </row>
    <row r="29315">
      <c r="B29315" s="17" t="s">
        <v>477</v>
      </c>
      <c r="K29315" s="18" t="s">
        <v>477</v>
      </c>
    </row>
    <row r="29316">
      <c r="B29316" s="17" t="s">
        <v>477</v>
      </c>
      <c r="K29316" s="18" t="s">
        <v>477</v>
      </c>
    </row>
    <row r="29317">
      <c r="B29317" s="17" t="s">
        <v>477</v>
      </c>
      <c r="K29317" s="18" t="s">
        <v>477</v>
      </c>
    </row>
    <row r="29318">
      <c r="B29318" s="17" t="s">
        <v>477</v>
      </c>
      <c r="K29318" s="18" t="s">
        <v>477</v>
      </c>
    </row>
    <row r="29319">
      <c r="B29319" s="17" t="s">
        <v>477</v>
      </c>
      <c r="K29319" s="18" t="s">
        <v>477</v>
      </c>
    </row>
    <row r="29320">
      <c r="B29320" s="17" t="s">
        <v>477</v>
      </c>
      <c r="K29320" s="18" t="s">
        <v>477</v>
      </c>
    </row>
    <row r="29321">
      <c r="B29321" s="17" t="s">
        <v>477</v>
      </c>
      <c r="K29321" s="18" t="s">
        <v>477</v>
      </c>
    </row>
    <row r="29322">
      <c r="B29322" s="17" t="s">
        <v>477</v>
      </c>
      <c r="K29322" s="18" t="s">
        <v>477</v>
      </c>
    </row>
    <row r="29323">
      <c r="B29323" s="17" t="s">
        <v>477</v>
      </c>
      <c r="K29323" s="18" t="s">
        <v>477</v>
      </c>
    </row>
    <row r="29324">
      <c r="B29324" s="17" t="s">
        <v>477</v>
      </c>
      <c r="K29324" s="18" t="s">
        <v>477</v>
      </c>
    </row>
    <row r="29325">
      <c r="B29325" s="17" t="s">
        <v>477</v>
      </c>
      <c r="K29325" s="18" t="s">
        <v>477</v>
      </c>
    </row>
    <row r="29326">
      <c r="B29326" s="17" t="s">
        <v>477</v>
      </c>
      <c r="K29326" s="18" t="s">
        <v>477</v>
      </c>
    </row>
    <row r="29327">
      <c r="B29327" s="17" t="s">
        <v>477</v>
      </c>
      <c r="K29327" s="18" t="s">
        <v>477</v>
      </c>
    </row>
    <row r="29328">
      <c r="B29328" s="17" t="s">
        <v>477</v>
      </c>
      <c r="K29328" s="18" t="s">
        <v>477</v>
      </c>
    </row>
    <row r="29329">
      <c r="B29329" s="17" t="s">
        <v>477</v>
      </c>
      <c r="K29329" s="18" t="s">
        <v>477</v>
      </c>
    </row>
    <row r="29330">
      <c r="B29330" s="17" t="s">
        <v>477</v>
      </c>
      <c r="K29330" s="18" t="s">
        <v>477</v>
      </c>
    </row>
    <row r="29331">
      <c r="B29331" s="17" t="s">
        <v>477</v>
      </c>
      <c r="K29331" s="18" t="s">
        <v>477</v>
      </c>
    </row>
    <row r="29332">
      <c r="B29332" s="17" t="s">
        <v>477</v>
      </c>
      <c r="K29332" s="18" t="s">
        <v>477</v>
      </c>
    </row>
    <row r="29333">
      <c r="B29333" s="17" t="s">
        <v>477</v>
      </c>
      <c r="K29333" s="18" t="s">
        <v>477</v>
      </c>
    </row>
    <row r="29334">
      <c r="B29334" s="17" t="s">
        <v>477</v>
      </c>
      <c r="K29334" s="18" t="s">
        <v>477</v>
      </c>
    </row>
    <row r="29335">
      <c r="B29335" s="17" t="s">
        <v>477</v>
      </c>
      <c r="K29335" s="18" t="s">
        <v>477</v>
      </c>
    </row>
    <row r="29336">
      <c r="B29336" s="17" t="s">
        <v>477</v>
      </c>
      <c r="K29336" s="18" t="s">
        <v>477</v>
      </c>
    </row>
    <row r="29337">
      <c r="B29337" s="17" t="s">
        <v>477</v>
      </c>
      <c r="K29337" s="18" t="s">
        <v>477</v>
      </c>
    </row>
    <row r="29338">
      <c r="B29338" s="17" t="s">
        <v>477</v>
      </c>
      <c r="K29338" s="18" t="s">
        <v>477</v>
      </c>
    </row>
    <row r="29339">
      <c r="B29339" s="17" t="s">
        <v>477</v>
      </c>
      <c r="K29339" s="18" t="s">
        <v>477</v>
      </c>
    </row>
    <row r="29340">
      <c r="B29340" s="17" t="s">
        <v>477</v>
      </c>
      <c r="K29340" s="18" t="s">
        <v>477</v>
      </c>
    </row>
    <row r="29341">
      <c r="B29341" s="17" t="s">
        <v>477</v>
      </c>
      <c r="K29341" s="18" t="s">
        <v>477</v>
      </c>
    </row>
    <row r="29342">
      <c r="B29342" s="17" t="s">
        <v>477</v>
      </c>
      <c r="K29342" s="18" t="s">
        <v>477</v>
      </c>
    </row>
    <row r="29343">
      <c r="B29343" s="17" t="s">
        <v>477</v>
      </c>
      <c r="K29343" s="18" t="s">
        <v>477</v>
      </c>
    </row>
    <row r="29344">
      <c r="B29344" s="17" t="s">
        <v>477</v>
      </c>
      <c r="K29344" s="18" t="s">
        <v>477</v>
      </c>
    </row>
    <row r="29345">
      <c r="B29345" s="17" t="s">
        <v>477</v>
      </c>
      <c r="K29345" s="18" t="s">
        <v>477</v>
      </c>
    </row>
    <row r="29346">
      <c r="B29346" s="17" t="s">
        <v>477</v>
      </c>
      <c r="K29346" s="18" t="s">
        <v>477</v>
      </c>
    </row>
    <row r="29347">
      <c r="B29347" s="17" t="s">
        <v>477</v>
      </c>
      <c r="K29347" s="18" t="s">
        <v>477</v>
      </c>
    </row>
    <row r="29348">
      <c r="B29348" s="17" t="s">
        <v>477</v>
      </c>
      <c r="K29348" s="18" t="s">
        <v>477</v>
      </c>
    </row>
    <row r="29349">
      <c r="B29349" s="17" t="s">
        <v>477</v>
      </c>
      <c r="K29349" s="18" t="s">
        <v>477</v>
      </c>
    </row>
    <row r="29350">
      <c r="B29350" s="17" t="s">
        <v>477</v>
      </c>
      <c r="K29350" s="18" t="s">
        <v>477</v>
      </c>
    </row>
    <row r="29351">
      <c r="B29351" s="17" t="s">
        <v>477</v>
      </c>
      <c r="K29351" s="18" t="s">
        <v>477</v>
      </c>
    </row>
    <row r="29352">
      <c r="B29352" s="17" t="s">
        <v>477</v>
      </c>
      <c r="K29352" s="18" t="s">
        <v>477</v>
      </c>
    </row>
    <row r="29353">
      <c r="B29353" s="17" t="s">
        <v>477</v>
      </c>
      <c r="K29353" s="18" t="s">
        <v>477</v>
      </c>
    </row>
    <row r="29354">
      <c r="B29354" s="17" t="s">
        <v>477</v>
      </c>
      <c r="K29354" s="18" t="s">
        <v>477</v>
      </c>
    </row>
    <row r="29355">
      <c r="B29355" s="17" t="s">
        <v>477</v>
      </c>
      <c r="K29355" s="18" t="s">
        <v>477</v>
      </c>
    </row>
    <row r="29356">
      <c r="B29356" s="17" t="s">
        <v>477</v>
      </c>
      <c r="K29356" s="18" t="s">
        <v>477</v>
      </c>
    </row>
    <row r="29357">
      <c r="B29357" s="17" t="s">
        <v>477</v>
      </c>
      <c r="K29357" s="18" t="s">
        <v>477</v>
      </c>
    </row>
    <row r="29358">
      <c r="B29358" s="17" t="s">
        <v>477</v>
      </c>
      <c r="K29358" s="18" t="s">
        <v>477</v>
      </c>
    </row>
    <row r="29359">
      <c r="B29359" s="17" t="s">
        <v>477</v>
      </c>
      <c r="K29359" s="18" t="s">
        <v>477</v>
      </c>
    </row>
    <row r="29360">
      <c r="B29360" s="17" t="s">
        <v>477</v>
      </c>
      <c r="K29360" s="18" t="s">
        <v>477</v>
      </c>
    </row>
    <row r="29361">
      <c r="B29361" s="17" t="s">
        <v>477</v>
      </c>
      <c r="K29361" s="18" t="s">
        <v>477</v>
      </c>
    </row>
    <row r="29362">
      <c r="B29362" s="17" t="s">
        <v>477</v>
      </c>
      <c r="K29362" s="18" t="s">
        <v>477</v>
      </c>
    </row>
    <row r="29363">
      <c r="B29363" s="17" t="s">
        <v>477</v>
      </c>
      <c r="K29363" s="18" t="s">
        <v>477</v>
      </c>
    </row>
    <row r="29364">
      <c r="B29364" s="17" t="s">
        <v>477</v>
      </c>
      <c r="K29364" s="18" t="s">
        <v>477</v>
      </c>
    </row>
    <row r="29365">
      <c r="B29365" s="17" t="s">
        <v>477</v>
      </c>
      <c r="K29365" s="18" t="s">
        <v>477</v>
      </c>
    </row>
    <row r="29366">
      <c r="B29366" s="17" t="s">
        <v>477</v>
      </c>
      <c r="K29366" s="18" t="s">
        <v>477</v>
      </c>
    </row>
    <row r="29367">
      <c r="B29367" s="17" t="s">
        <v>477</v>
      </c>
      <c r="K29367" s="18" t="s">
        <v>477</v>
      </c>
    </row>
    <row r="29368">
      <c r="B29368" s="17" t="s">
        <v>477</v>
      </c>
      <c r="K29368" s="18" t="s">
        <v>477</v>
      </c>
    </row>
    <row r="29369">
      <c r="B29369" s="17" t="s">
        <v>477</v>
      </c>
      <c r="K29369" s="18" t="s">
        <v>477</v>
      </c>
    </row>
    <row r="29370">
      <c r="B29370" s="17" t="s">
        <v>477</v>
      </c>
      <c r="K29370" s="18" t="s">
        <v>477</v>
      </c>
    </row>
    <row r="29371">
      <c r="B29371" s="17" t="s">
        <v>477</v>
      </c>
      <c r="K29371" s="18" t="s">
        <v>477</v>
      </c>
    </row>
    <row r="29372">
      <c r="B29372" s="17" t="s">
        <v>477</v>
      </c>
      <c r="K29372" s="18" t="s">
        <v>477</v>
      </c>
    </row>
    <row r="29373">
      <c r="B29373" s="17" t="s">
        <v>477</v>
      </c>
      <c r="K29373" s="18" t="s">
        <v>477</v>
      </c>
    </row>
    <row r="29374">
      <c r="B29374" s="17" t="s">
        <v>477</v>
      </c>
      <c r="K29374" s="18" t="s">
        <v>477</v>
      </c>
    </row>
    <row r="29375">
      <c r="B29375" s="17" t="s">
        <v>477</v>
      </c>
      <c r="K29375" s="18" t="s">
        <v>477</v>
      </c>
    </row>
    <row r="29376">
      <c r="B29376" s="17" t="s">
        <v>477</v>
      </c>
      <c r="K29376" s="18" t="s">
        <v>477</v>
      </c>
    </row>
    <row r="29377">
      <c r="B29377" s="17" t="s">
        <v>477</v>
      </c>
      <c r="K29377" s="18" t="s">
        <v>477</v>
      </c>
    </row>
    <row r="29378">
      <c r="B29378" s="17" t="s">
        <v>477</v>
      </c>
      <c r="K29378" s="18" t="s">
        <v>477</v>
      </c>
    </row>
    <row r="29379">
      <c r="B29379" s="17" t="s">
        <v>477</v>
      </c>
      <c r="K29379" s="18" t="s">
        <v>477</v>
      </c>
    </row>
    <row r="29380">
      <c r="B29380" s="17" t="s">
        <v>477</v>
      </c>
      <c r="K29380" s="18" t="s">
        <v>477</v>
      </c>
    </row>
    <row r="29381">
      <c r="B29381" s="17" t="s">
        <v>477</v>
      </c>
      <c r="K29381" s="18" t="s">
        <v>477</v>
      </c>
    </row>
    <row r="29382">
      <c r="B29382" s="17" t="s">
        <v>477</v>
      </c>
      <c r="K29382" s="18" t="s">
        <v>477</v>
      </c>
    </row>
    <row r="29383">
      <c r="B29383" s="17" t="s">
        <v>477</v>
      </c>
      <c r="K29383" s="18" t="s">
        <v>477</v>
      </c>
    </row>
    <row r="29384">
      <c r="B29384" s="17" t="s">
        <v>477</v>
      </c>
      <c r="K29384" s="18" t="s">
        <v>477</v>
      </c>
    </row>
    <row r="29385">
      <c r="B29385" s="17" t="s">
        <v>477</v>
      </c>
      <c r="K29385" s="18" t="s">
        <v>477</v>
      </c>
    </row>
    <row r="29386">
      <c r="B29386" s="17" t="s">
        <v>477</v>
      </c>
      <c r="K29386" s="18" t="s">
        <v>477</v>
      </c>
    </row>
    <row r="29387">
      <c r="B29387" s="17" t="s">
        <v>477</v>
      </c>
      <c r="K29387" s="18" t="s">
        <v>477</v>
      </c>
    </row>
    <row r="29388">
      <c r="B29388" s="17" t="s">
        <v>477</v>
      </c>
      <c r="K29388" s="18" t="s">
        <v>477</v>
      </c>
    </row>
    <row r="29389">
      <c r="B29389" s="17" t="s">
        <v>477</v>
      </c>
      <c r="K29389" s="18" t="s">
        <v>477</v>
      </c>
    </row>
    <row r="29390">
      <c r="B29390" s="17" t="s">
        <v>477</v>
      </c>
      <c r="K29390" s="18" t="s">
        <v>477</v>
      </c>
    </row>
    <row r="29391">
      <c r="B29391" s="17" t="s">
        <v>477</v>
      </c>
      <c r="K29391" s="18" t="s">
        <v>477</v>
      </c>
    </row>
    <row r="29392">
      <c r="B29392" s="17" t="s">
        <v>477</v>
      </c>
      <c r="K29392" s="18" t="s">
        <v>477</v>
      </c>
    </row>
    <row r="29393">
      <c r="B29393" s="17" t="s">
        <v>477</v>
      </c>
      <c r="K29393" s="18" t="s">
        <v>477</v>
      </c>
    </row>
    <row r="29394">
      <c r="B29394" s="17" t="s">
        <v>477</v>
      </c>
      <c r="K29394" s="18" t="s">
        <v>477</v>
      </c>
    </row>
    <row r="29395">
      <c r="B29395" s="17" t="s">
        <v>477</v>
      </c>
      <c r="K29395" s="18" t="s">
        <v>477</v>
      </c>
    </row>
    <row r="29396">
      <c r="B29396" s="17" t="s">
        <v>477</v>
      </c>
      <c r="K29396" s="18" t="s">
        <v>477</v>
      </c>
    </row>
    <row r="29397">
      <c r="B29397" s="17" t="s">
        <v>477</v>
      </c>
      <c r="K29397" s="18" t="s">
        <v>477</v>
      </c>
    </row>
    <row r="29398">
      <c r="B29398" s="17" t="s">
        <v>477</v>
      </c>
      <c r="K29398" s="18" t="s">
        <v>477</v>
      </c>
    </row>
    <row r="29399">
      <c r="B29399" s="17" t="s">
        <v>477</v>
      </c>
      <c r="K29399" s="18" t="s">
        <v>477</v>
      </c>
    </row>
    <row r="29400">
      <c r="B29400" s="17" t="s">
        <v>477</v>
      </c>
      <c r="K29400" s="18" t="s">
        <v>477</v>
      </c>
    </row>
    <row r="29401">
      <c r="B29401" s="17" t="s">
        <v>477</v>
      </c>
      <c r="K29401" s="18" t="s">
        <v>477</v>
      </c>
    </row>
    <row r="29402">
      <c r="B29402" s="17" t="s">
        <v>477</v>
      </c>
      <c r="K29402" s="18" t="s">
        <v>477</v>
      </c>
    </row>
    <row r="29403">
      <c r="B29403" s="17" t="s">
        <v>477</v>
      </c>
      <c r="K29403" s="18" t="s">
        <v>477</v>
      </c>
    </row>
    <row r="29404">
      <c r="B29404" s="17" t="s">
        <v>477</v>
      </c>
      <c r="K29404" s="18" t="s">
        <v>477</v>
      </c>
    </row>
    <row r="29405">
      <c r="B29405" s="17" t="s">
        <v>477</v>
      </c>
      <c r="K29405" s="18" t="s">
        <v>477</v>
      </c>
    </row>
    <row r="29406">
      <c r="B29406" s="17" t="s">
        <v>477</v>
      </c>
      <c r="K29406" s="18" t="s">
        <v>477</v>
      </c>
    </row>
    <row r="29407">
      <c r="B29407" s="17" t="s">
        <v>477</v>
      </c>
      <c r="K29407" s="18" t="s">
        <v>477</v>
      </c>
    </row>
    <row r="29408">
      <c r="B29408" s="17" t="s">
        <v>477</v>
      </c>
      <c r="K29408" s="18" t="s">
        <v>477</v>
      </c>
    </row>
    <row r="29409">
      <c r="B29409" s="17" t="s">
        <v>477</v>
      </c>
      <c r="K29409" s="18" t="s">
        <v>477</v>
      </c>
    </row>
    <row r="29410">
      <c r="B29410" s="17" t="s">
        <v>477</v>
      </c>
      <c r="K29410" s="18" t="s">
        <v>477</v>
      </c>
    </row>
    <row r="29411">
      <c r="B29411" s="17" t="s">
        <v>477</v>
      </c>
      <c r="K29411" s="18" t="s">
        <v>477</v>
      </c>
    </row>
    <row r="29412">
      <c r="B29412" s="17" t="s">
        <v>477</v>
      </c>
      <c r="K29412" s="18" t="s">
        <v>477</v>
      </c>
    </row>
    <row r="29413">
      <c r="B29413" s="17" t="s">
        <v>477</v>
      </c>
      <c r="K29413" s="18" t="s">
        <v>477</v>
      </c>
    </row>
    <row r="29414">
      <c r="B29414" s="17" t="s">
        <v>477</v>
      </c>
      <c r="K29414" s="18" t="s">
        <v>477</v>
      </c>
    </row>
    <row r="29415">
      <c r="B29415" s="17" t="s">
        <v>477</v>
      </c>
      <c r="K29415" s="18" t="s">
        <v>477</v>
      </c>
    </row>
    <row r="29416">
      <c r="B29416" s="17" t="s">
        <v>477</v>
      </c>
      <c r="K29416" s="18" t="s">
        <v>477</v>
      </c>
    </row>
    <row r="29417">
      <c r="B29417" s="17" t="s">
        <v>477</v>
      </c>
      <c r="K29417" s="18" t="s">
        <v>477</v>
      </c>
    </row>
    <row r="29418">
      <c r="B29418" s="17" t="s">
        <v>477</v>
      </c>
      <c r="K29418" s="18" t="s">
        <v>477</v>
      </c>
    </row>
    <row r="29419">
      <c r="B29419" s="17" t="s">
        <v>477</v>
      </c>
      <c r="K29419" s="18" t="s">
        <v>477</v>
      </c>
    </row>
    <row r="29420">
      <c r="B29420" s="17" t="s">
        <v>477</v>
      </c>
      <c r="K29420" s="18" t="s">
        <v>477</v>
      </c>
    </row>
    <row r="29421">
      <c r="B29421" s="17" t="s">
        <v>477</v>
      </c>
      <c r="K29421" s="18" t="s">
        <v>477</v>
      </c>
    </row>
    <row r="29422">
      <c r="B29422" s="17" t="s">
        <v>477</v>
      </c>
      <c r="K29422" s="18" t="s">
        <v>477</v>
      </c>
    </row>
    <row r="29423">
      <c r="B29423" s="17" t="s">
        <v>477</v>
      </c>
      <c r="K29423" s="18" t="s">
        <v>477</v>
      </c>
    </row>
    <row r="29424">
      <c r="B29424" s="17" t="s">
        <v>477</v>
      </c>
      <c r="K29424" s="18" t="s">
        <v>477</v>
      </c>
    </row>
    <row r="29425">
      <c r="B29425" s="17" t="s">
        <v>477</v>
      </c>
      <c r="K29425" s="18" t="s">
        <v>477</v>
      </c>
    </row>
    <row r="29426">
      <c r="B29426" s="17" t="s">
        <v>477</v>
      </c>
      <c r="K29426" s="18" t="s">
        <v>477</v>
      </c>
    </row>
    <row r="29427">
      <c r="B29427" s="17" t="s">
        <v>477</v>
      </c>
      <c r="K29427" s="18" t="s">
        <v>477</v>
      </c>
    </row>
    <row r="29428">
      <c r="B29428" s="17" t="s">
        <v>477</v>
      </c>
      <c r="K29428" s="18" t="s">
        <v>477</v>
      </c>
    </row>
    <row r="29429">
      <c r="B29429" s="17" t="s">
        <v>477</v>
      </c>
      <c r="K29429" s="18" t="s">
        <v>477</v>
      </c>
    </row>
    <row r="29430">
      <c r="B29430" s="17" t="s">
        <v>477</v>
      </c>
      <c r="K29430" s="18" t="s">
        <v>477</v>
      </c>
    </row>
    <row r="29431">
      <c r="B29431" s="17" t="s">
        <v>477</v>
      </c>
      <c r="K29431" s="18" t="s">
        <v>477</v>
      </c>
    </row>
    <row r="29432">
      <c r="B29432" s="17" t="s">
        <v>477</v>
      </c>
      <c r="K29432" s="18" t="s">
        <v>477</v>
      </c>
    </row>
    <row r="29433">
      <c r="B29433" s="17" t="s">
        <v>477</v>
      </c>
      <c r="K29433" s="18" t="s">
        <v>477</v>
      </c>
    </row>
    <row r="29434">
      <c r="B29434" s="17" t="s">
        <v>477</v>
      </c>
      <c r="K29434" s="18" t="s">
        <v>477</v>
      </c>
    </row>
    <row r="29435">
      <c r="B29435" s="17" t="s">
        <v>477</v>
      </c>
      <c r="K29435" s="18" t="s">
        <v>477</v>
      </c>
    </row>
    <row r="29436">
      <c r="B29436" s="17" t="s">
        <v>477</v>
      </c>
      <c r="K29436" s="18" t="s">
        <v>477</v>
      </c>
    </row>
    <row r="29437">
      <c r="B29437" s="17" t="s">
        <v>477</v>
      </c>
      <c r="K29437" s="18" t="s">
        <v>477</v>
      </c>
    </row>
    <row r="29438">
      <c r="B29438" s="17" t="s">
        <v>477</v>
      </c>
      <c r="K29438" s="18" t="s">
        <v>477</v>
      </c>
    </row>
    <row r="29439">
      <c r="B29439" s="17" t="s">
        <v>477</v>
      </c>
      <c r="K29439" s="18" t="s">
        <v>477</v>
      </c>
    </row>
    <row r="29440">
      <c r="B29440" s="17" t="s">
        <v>477</v>
      </c>
      <c r="K29440" s="18" t="s">
        <v>477</v>
      </c>
    </row>
    <row r="29441">
      <c r="B29441" s="17" t="s">
        <v>477</v>
      </c>
      <c r="K29441" s="18" t="s">
        <v>477</v>
      </c>
    </row>
    <row r="29442">
      <c r="B29442" s="17" t="s">
        <v>477</v>
      </c>
      <c r="K29442" s="18" t="s">
        <v>477</v>
      </c>
    </row>
    <row r="29443">
      <c r="B29443" s="17" t="s">
        <v>477</v>
      </c>
      <c r="K29443" s="18" t="s">
        <v>477</v>
      </c>
    </row>
    <row r="29444">
      <c r="B29444" s="17" t="s">
        <v>477</v>
      </c>
      <c r="K29444" s="18" t="s">
        <v>477</v>
      </c>
    </row>
    <row r="29445">
      <c r="B29445" s="17" t="s">
        <v>477</v>
      </c>
      <c r="K29445" s="18" t="s">
        <v>477</v>
      </c>
    </row>
    <row r="29446">
      <c r="B29446" s="17" t="s">
        <v>477</v>
      </c>
      <c r="K29446" s="18" t="s">
        <v>477</v>
      </c>
    </row>
    <row r="29447">
      <c r="B29447" s="17" t="s">
        <v>477</v>
      </c>
      <c r="K29447" s="18" t="s">
        <v>477</v>
      </c>
    </row>
    <row r="29448">
      <c r="B29448" s="17" t="s">
        <v>477</v>
      </c>
      <c r="K29448" s="18" t="s">
        <v>477</v>
      </c>
    </row>
    <row r="29449">
      <c r="B29449" s="17" t="s">
        <v>477</v>
      </c>
      <c r="K29449" s="18" t="s">
        <v>477</v>
      </c>
    </row>
    <row r="29450">
      <c r="B29450" s="17" t="s">
        <v>477</v>
      </c>
      <c r="K29450" s="18" t="s">
        <v>477</v>
      </c>
    </row>
    <row r="29451">
      <c r="B29451" s="17" t="s">
        <v>477</v>
      </c>
      <c r="K29451" s="18" t="s">
        <v>477</v>
      </c>
    </row>
    <row r="29452">
      <c r="B29452" s="17" t="s">
        <v>477</v>
      </c>
      <c r="K29452" s="18" t="s">
        <v>477</v>
      </c>
    </row>
    <row r="29453">
      <c r="B29453" s="17" t="s">
        <v>477</v>
      </c>
      <c r="K29453" s="18" t="s">
        <v>477</v>
      </c>
    </row>
    <row r="29454">
      <c r="B29454" s="17" t="s">
        <v>477</v>
      </c>
      <c r="K29454" s="18" t="s">
        <v>477</v>
      </c>
    </row>
    <row r="29455">
      <c r="B29455" s="17" t="s">
        <v>477</v>
      </c>
      <c r="K29455" s="18" t="s">
        <v>477</v>
      </c>
    </row>
    <row r="29456">
      <c r="B29456" s="17" t="s">
        <v>477</v>
      </c>
      <c r="K29456" s="18" t="s">
        <v>477</v>
      </c>
    </row>
    <row r="29457">
      <c r="B29457" s="17" t="s">
        <v>477</v>
      </c>
      <c r="K29457" s="18" t="s">
        <v>477</v>
      </c>
    </row>
    <row r="29458">
      <c r="B29458" s="17" t="s">
        <v>477</v>
      </c>
      <c r="K29458" s="18" t="s">
        <v>477</v>
      </c>
    </row>
    <row r="29459">
      <c r="B29459" s="17" t="s">
        <v>477</v>
      </c>
      <c r="K29459" s="18" t="s">
        <v>477</v>
      </c>
    </row>
    <row r="29460">
      <c r="B29460" s="17" t="s">
        <v>477</v>
      </c>
      <c r="K29460" s="18" t="s">
        <v>477</v>
      </c>
    </row>
    <row r="29461">
      <c r="B29461" s="17" t="s">
        <v>477</v>
      </c>
      <c r="K29461" s="18" t="s">
        <v>477</v>
      </c>
    </row>
    <row r="29462">
      <c r="B29462" s="17" t="s">
        <v>477</v>
      </c>
      <c r="K29462" s="18" t="s">
        <v>477</v>
      </c>
    </row>
    <row r="29463">
      <c r="B29463" s="17" t="s">
        <v>477</v>
      </c>
      <c r="K29463" s="18" t="s">
        <v>477</v>
      </c>
    </row>
    <row r="29464">
      <c r="B29464" s="17" t="s">
        <v>477</v>
      </c>
      <c r="K29464" s="18" t="s">
        <v>477</v>
      </c>
    </row>
    <row r="29465">
      <c r="B29465" s="17" t="s">
        <v>477</v>
      </c>
      <c r="K29465" s="18" t="s">
        <v>477</v>
      </c>
    </row>
    <row r="29466">
      <c r="B29466" s="17" t="s">
        <v>477</v>
      </c>
      <c r="K29466" s="18" t="s">
        <v>477</v>
      </c>
    </row>
    <row r="29467">
      <c r="B29467" s="17" t="s">
        <v>477</v>
      </c>
      <c r="K29467" s="18" t="s">
        <v>477</v>
      </c>
    </row>
    <row r="29468">
      <c r="B29468" s="17" t="s">
        <v>477</v>
      </c>
      <c r="K29468" s="18" t="s">
        <v>477</v>
      </c>
    </row>
    <row r="29469">
      <c r="B29469" s="17" t="s">
        <v>477</v>
      </c>
      <c r="K29469" s="18" t="s">
        <v>477</v>
      </c>
    </row>
    <row r="29470">
      <c r="B29470" s="17" t="s">
        <v>477</v>
      </c>
      <c r="K29470" s="18" t="s">
        <v>477</v>
      </c>
    </row>
    <row r="29471">
      <c r="B29471" s="17" t="s">
        <v>477</v>
      </c>
      <c r="K29471" s="18" t="s">
        <v>477</v>
      </c>
    </row>
    <row r="29472">
      <c r="B29472" s="17" t="s">
        <v>477</v>
      </c>
      <c r="K29472" s="18" t="s">
        <v>477</v>
      </c>
    </row>
    <row r="29473">
      <c r="B29473" s="17" t="s">
        <v>477</v>
      </c>
      <c r="K29473" s="18" t="s">
        <v>477</v>
      </c>
    </row>
    <row r="29474">
      <c r="B29474" s="17" t="s">
        <v>477</v>
      </c>
      <c r="K29474" s="18" t="s">
        <v>477</v>
      </c>
    </row>
    <row r="29475">
      <c r="B29475" s="17" t="s">
        <v>477</v>
      </c>
      <c r="K29475" s="18" t="s">
        <v>477</v>
      </c>
    </row>
    <row r="29476">
      <c r="B29476" s="17" t="s">
        <v>477</v>
      </c>
      <c r="K29476" s="18" t="s">
        <v>477</v>
      </c>
    </row>
    <row r="29477">
      <c r="B29477" s="17" t="s">
        <v>477</v>
      </c>
      <c r="K29477" s="18" t="s">
        <v>477</v>
      </c>
    </row>
    <row r="29478">
      <c r="B29478" s="17" t="s">
        <v>477</v>
      </c>
      <c r="K29478" s="18" t="s">
        <v>477</v>
      </c>
    </row>
    <row r="29479">
      <c r="B29479" s="17" t="s">
        <v>477</v>
      </c>
      <c r="K29479" s="18" t="s">
        <v>477</v>
      </c>
    </row>
    <row r="29480">
      <c r="B29480" s="17" t="s">
        <v>477</v>
      </c>
      <c r="K29480" s="18" t="s">
        <v>477</v>
      </c>
    </row>
    <row r="29481">
      <c r="B29481" s="17" t="s">
        <v>477</v>
      </c>
      <c r="K29481" s="18" t="s">
        <v>477</v>
      </c>
    </row>
    <row r="29482">
      <c r="B29482" s="17" t="s">
        <v>477</v>
      </c>
      <c r="K29482" s="18" t="s">
        <v>477</v>
      </c>
    </row>
    <row r="29483">
      <c r="B29483" s="17" t="s">
        <v>477</v>
      </c>
      <c r="K29483" s="18" t="s">
        <v>477</v>
      </c>
    </row>
    <row r="29484">
      <c r="B29484" s="17" t="s">
        <v>477</v>
      </c>
      <c r="K29484" s="18" t="s">
        <v>477</v>
      </c>
    </row>
    <row r="29485">
      <c r="B29485" s="17" t="s">
        <v>477</v>
      </c>
      <c r="K29485" s="18" t="s">
        <v>477</v>
      </c>
    </row>
    <row r="29486">
      <c r="B29486" s="17" t="s">
        <v>477</v>
      </c>
      <c r="K29486" s="18" t="s">
        <v>477</v>
      </c>
    </row>
    <row r="29487">
      <c r="B29487" s="17" t="s">
        <v>477</v>
      </c>
      <c r="K29487" s="18" t="s">
        <v>477</v>
      </c>
    </row>
    <row r="29488">
      <c r="B29488" s="17" t="s">
        <v>477</v>
      </c>
      <c r="K29488" s="18" t="s">
        <v>477</v>
      </c>
    </row>
    <row r="29489">
      <c r="B29489" s="17" t="s">
        <v>477</v>
      </c>
      <c r="K29489" s="18" t="s">
        <v>477</v>
      </c>
    </row>
    <row r="29490">
      <c r="B29490" s="17" t="s">
        <v>477</v>
      </c>
      <c r="K29490" s="18" t="s">
        <v>477</v>
      </c>
    </row>
    <row r="29491">
      <c r="B29491" s="17" t="s">
        <v>477</v>
      </c>
      <c r="K29491" s="18" t="s">
        <v>477</v>
      </c>
    </row>
    <row r="29492">
      <c r="B29492" s="17" t="s">
        <v>477</v>
      </c>
      <c r="K29492" s="18" t="s">
        <v>477</v>
      </c>
    </row>
    <row r="29493">
      <c r="B29493" s="17" t="s">
        <v>477</v>
      </c>
      <c r="K29493" s="18" t="s">
        <v>477</v>
      </c>
    </row>
    <row r="29494">
      <c r="B29494" s="17" t="s">
        <v>477</v>
      </c>
      <c r="K29494" s="18" t="s">
        <v>477</v>
      </c>
    </row>
    <row r="29495">
      <c r="B29495" s="17" t="s">
        <v>477</v>
      </c>
      <c r="K29495" s="18" t="s">
        <v>477</v>
      </c>
    </row>
    <row r="29496">
      <c r="B29496" s="17" t="s">
        <v>477</v>
      </c>
      <c r="K29496" s="18" t="s">
        <v>477</v>
      </c>
    </row>
    <row r="29497">
      <c r="B29497" s="17" t="s">
        <v>477</v>
      </c>
      <c r="K29497" s="18" t="s">
        <v>477</v>
      </c>
    </row>
    <row r="29498">
      <c r="B29498" s="17" t="s">
        <v>477</v>
      </c>
      <c r="K29498" s="18" t="s">
        <v>477</v>
      </c>
    </row>
    <row r="29499">
      <c r="B29499" s="17" t="s">
        <v>477</v>
      </c>
      <c r="K29499" s="18" t="s">
        <v>477</v>
      </c>
    </row>
    <row r="29500">
      <c r="B29500" s="17" t="s">
        <v>477</v>
      </c>
      <c r="K29500" s="18" t="s">
        <v>477</v>
      </c>
    </row>
    <row r="29501">
      <c r="B29501" s="17" t="s">
        <v>477</v>
      </c>
      <c r="K29501" s="18" t="s">
        <v>477</v>
      </c>
    </row>
    <row r="29502">
      <c r="B29502" s="17" t="s">
        <v>477</v>
      </c>
      <c r="K29502" s="18" t="s">
        <v>477</v>
      </c>
    </row>
    <row r="29503">
      <c r="B29503" s="17" t="s">
        <v>477</v>
      </c>
      <c r="K29503" s="18" t="s">
        <v>477</v>
      </c>
    </row>
    <row r="29504">
      <c r="B29504" s="17" t="s">
        <v>477</v>
      </c>
      <c r="K29504" s="18" t="s">
        <v>477</v>
      </c>
    </row>
    <row r="29505">
      <c r="B29505" s="17" t="s">
        <v>477</v>
      </c>
      <c r="K29505" s="18" t="s">
        <v>477</v>
      </c>
    </row>
    <row r="29506">
      <c r="B29506" s="17" t="s">
        <v>477</v>
      </c>
      <c r="K29506" s="18" t="s">
        <v>477</v>
      </c>
    </row>
    <row r="29507">
      <c r="B29507" s="17" t="s">
        <v>477</v>
      </c>
      <c r="K29507" s="18" t="s">
        <v>477</v>
      </c>
    </row>
    <row r="29508">
      <c r="B29508" s="17" t="s">
        <v>477</v>
      </c>
      <c r="K29508" s="18" t="s">
        <v>477</v>
      </c>
    </row>
    <row r="29509">
      <c r="B29509" s="17" t="s">
        <v>477</v>
      </c>
      <c r="K29509" s="18" t="s">
        <v>477</v>
      </c>
    </row>
    <row r="29510">
      <c r="B29510" s="17" t="s">
        <v>477</v>
      </c>
      <c r="K29510" s="18" t="s">
        <v>477</v>
      </c>
    </row>
    <row r="29511">
      <c r="B29511" s="17" t="s">
        <v>477</v>
      </c>
      <c r="K29511" s="18" t="s">
        <v>477</v>
      </c>
    </row>
    <row r="29512">
      <c r="B29512" s="17" t="s">
        <v>477</v>
      </c>
      <c r="K29512" s="18" t="s">
        <v>477</v>
      </c>
    </row>
    <row r="29513">
      <c r="B29513" s="17" t="s">
        <v>477</v>
      </c>
      <c r="K29513" s="18" t="s">
        <v>477</v>
      </c>
    </row>
    <row r="29514">
      <c r="B29514" s="17" t="s">
        <v>477</v>
      </c>
      <c r="K29514" s="18" t="s">
        <v>477</v>
      </c>
    </row>
    <row r="29515">
      <c r="B29515" s="17" t="s">
        <v>477</v>
      </c>
      <c r="K29515" s="18" t="s">
        <v>477</v>
      </c>
    </row>
    <row r="29516">
      <c r="B29516" s="17" t="s">
        <v>477</v>
      </c>
      <c r="K29516" s="18" t="s">
        <v>477</v>
      </c>
    </row>
    <row r="29517">
      <c r="B29517" s="17" t="s">
        <v>477</v>
      </c>
      <c r="K29517" s="18" t="s">
        <v>477</v>
      </c>
    </row>
    <row r="29518">
      <c r="B29518" s="17" t="s">
        <v>477</v>
      </c>
      <c r="K29518" s="18" t="s">
        <v>477</v>
      </c>
    </row>
    <row r="29519">
      <c r="B29519" s="17" t="s">
        <v>477</v>
      </c>
      <c r="K29519" s="18" t="s">
        <v>477</v>
      </c>
    </row>
    <row r="29520">
      <c r="B29520" s="17" t="s">
        <v>477</v>
      </c>
      <c r="K29520" s="18" t="s">
        <v>477</v>
      </c>
    </row>
    <row r="29521">
      <c r="B29521" s="17" t="s">
        <v>477</v>
      </c>
      <c r="K29521" s="18" t="s">
        <v>477</v>
      </c>
    </row>
    <row r="29522">
      <c r="B29522" s="17" t="s">
        <v>477</v>
      </c>
      <c r="K29522" s="18" t="s">
        <v>477</v>
      </c>
    </row>
    <row r="29523">
      <c r="B29523" s="17" t="s">
        <v>477</v>
      </c>
      <c r="K29523" s="18" t="s">
        <v>477</v>
      </c>
    </row>
    <row r="29524">
      <c r="B29524" s="17" t="s">
        <v>477</v>
      </c>
      <c r="K29524" s="18" t="s">
        <v>477</v>
      </c>
    </row>
    <row r="29525">
      <c r="B29525" s="17" t="s">
        <v>477</v>
      </c>
      <c r="K29525" s="18" t="s">
        <v>477</v>
      </c>
    </row>
    <row r="29526">
      <c r="B29526" s="17" t="s">
        <v>477</v>
      </c>
      <c r="K29526" s="18" t="s">
        <v>477</v>
      </c>
    </row>
    <row r="29527">
      <c r="B29527" s="17" t="s">
        <v>477</v>
      </c>
      <c r="K29527" s="18" t="s">
        <v>477</v>
      </c>
    </row>
    <row r="29528">
      <c r="B29528" s="17" t="s">
        <v>477</v>
      </c>
      <c r="K29528" s="18" t="s">
        <v>477</v>
      </c>
    </row>
    <row r="29529">
      <c r="B29529" s="17" t="s">
        <v>477</v>
      </c>
      <c r="K29529" s="18" t="s">
        <v>477</v>
      </c>
    </row>
    <row r="29530">
      <c r="B29530" s="17" t="s">
        <v>477</v>
      </c>
      <c r="K29530" s="18" t="s">
        <v>477</v>
      </c>
    </row>
    <row r="29531">
      <c r="B29531" s="17" t="s">
        <v>477</v>
      </c>
      <c r="K29531" s="18" t="s">
        <v>477</v>
      </c>
    </row>
    <row r="29532">
      <c r="B29532" s="17" t="s">
        <v>477</v>
      </c>
      <c r="K29532" s="18" t="s">
        <v>477</v>
      </c>
    </row>
    <row r="29533">
      <c r="B29533" s="17" t="s">
        <v>477</v>
      </c>
      <c r="K29533" s="18" t="s">
        <v>477</v>
      </c>
    </row>
    <row r="29534">
      <c r="B29534" s="17" t="s">
        <v>477</v>
      </c>
      <c r="K29534" s="18" t="s">
        <v>477</v>
      </c>
    </row>
    <row r="29535">
      <c r="B29535" s="17" t="s">
        <v>477</v>
      </c>
      <c r="K29535" s="18" t="s">
        <v>477</v>
      </c>
    </row>
    <row r="29536">
      <c r="B29536" s="17" t="s">
        <v>477</v>
      </c>
      <c r="K29536" s="18" t="s">
        <v>477</v>
      </c>
    </row>
    <row r="29537">
      <c r="B29537" s="17" t="s">
        <v>477</v>
      </c>
      <c r="K29537" s="18" t="s">
        <v>477</v>
      </c>
    </row>
    <row r="29538">
      <c r="B29538" s="17" t="s">
        <v>477</v>
      </c>
      <c r="K29538" s="18" t="s">
        <v>477</v>
      </c>
    </row>
    <row r="29539">
      <c r="B29539" s="17" t="s">
        <v>477</v>
      </c>
      <c r="K29539" s="18" t="s">
        <v>477</v>
      </c>
    </row>
    <row r="29540">
      <c r="B29540" s="17" t="s">
        <v>477</v>
      </c>
      <c r="K29540" s="18" t="s">
        <v>477</v>
      </c>
    </row>
    <row r="29541">
      <c r="B29541" s="17" t="s">
        <v>477</v>
      </c>
      <c r="K29541" s="18" t="s">
        <v>477</v>
      </c>
    </row>
    <row r="29542">
      <c r="B29542" s="17" t="s">
        <v>477</v>
      </c>
      <c r="K29542" s="18" t="s">
        <v>477</v>
      </c>
    </row>
    <row r="29543">
      <c r="B29543" s="17" t="s">
        <v>477</v>
      </c>
      <c r="K29543" s="18" t="s">
        <v>477</v>
      </c>
    </row>
    <row r="29544">
      <c r="B29544" s="17" t="s">
        <v>477</v>
      </c>
      <c r="K29544" s="18" t="s">
        <v>477</v>
      </c>
    </row>
    <row r="29545">
      <c r="B29545" s="17" t="s">
        <v>477</v>
      </c>
      <c r="K29545" s="18" t="s">
        <v>477</v>
      </c>
    </row>
    <row r="29546">
      <c r="B29546" s="17" t="s">
        <v>477</v>
      </c>
      <c r="K29546" s="18" t="s">
        <v>477</v>
      </c>
    </row>
    <row r="29547">
      <c r="B29547" s="17" t="s">
        <v>477</v>
      </c>
      <c r="K29547" s="18" t="s">
        <v>477</v>
      </c>
    </row>
    <row r="29548">
      <c r="B29548" s="17" t="s">
        <v>477</v>
      </c>
      <c r="K29548" s="18" t="s">
        <v>477</v>
      </c>
    </row>
    <row r="29549">
      <c r="B29549" s="17" t="s">
        <v>477</v>
      </c>
      <c r="K29549" s="18" t="s">
        <v>477</v>
      </c>
    </row>
    <row r="29550">
      <c r="B29550" s="17" t="s">
        <v>477</v>
      </c>
      <c r="K29550" s="18" t="s">
        <v>477</v>
      </c>
    </row>
    <row r="29551">
      <c r="B29551" s="17" t="s">
        <v>477</v>
      </c>
      <c r="K29551" s="18" t="s">
        <v>477</v>
      </c>
    </row>
    <row r="29552">
      <c r="B29552" s="17" t="s">
        <v>477</v>
      </c>
      <c r="K29552" s="18" t="s">
        <v>477</v>
      </c>
    </row>
    <row r="29553">
      <c r="B29553" s="17" t="s">
        <v>477</v>
      </c>
      <c r="K29553" s="18" t="s">
        <v>477</v>
      </c>
    </row>
    <row r="29554">
      <c r="B29554" s="17" t="s">
        <v>477</v>
      </c>
      <c r="K29554" s="18" t="s">
        <v>477</v>
      </c>
    </row>
    <row r="29555">
      <c r="B29555" s="17" t="s">
        <v>477</v>
      </c>
      <c r="K29555" s="18" t="s">
        <v>477</v>
      </c>
    </row>
    <row r="29556">
      <c r="B29556" s="17" t="s">
        <v>477</v>
      </c>
      <c r="K29556" s="18" t="s">
        <v>477</v>
      </c>
    </row>
    <row r="29557">
      <c r="B29557" s="17" t="s">
        <v>477</v>
      </c>
      <c r="K29557" s="18" t="s">
        <v>477</v>
      </c>
    </row>
    <row r="29558">
      <c r="B29558" s="17" t="s">
        <v>477</v>
      </c>
      <c r="K29558" s="18" t="s">
        <v>477</v>
      </c>
    </row>
    <row r="29559">
      <c r="B29559" s="17" t="s">
        <v>477</v>
      </c>
      <c r="K29559" s="18" t="s">
        <v>477</v>
      </c>
    </row>
    <row r="29560">
      <c r="B29560" s="17" t="s">
        <v>477</v>
      </c>
      <c r="K29560" s="18" t="s">
        <v>477</v>
      </c>
    </row>
    <row r="29561">
      <c r="B29561" s="17" t="s">
        <v>477</v>
      </c>
      <c r="K29561" s="18" t="s">
        <v>477</v>
      </c>
    </row>
    <row r="29562">
      <c r="B29562" s="17" t="s">
        <v>477</v>
      </c>
      <c r="K29562" s="18" t="s">
        <v>477</v>
      </c>
    </row>
    <row r="29563">
      <c r="B29563" s="17" t="s">
        <v>477</v>
      </c>
      <c r="K29563" s="18" t="s">
        <v>477</v>
      </c>
    </row>
    <row r="29564">
      <c r="B29564" s="17" t="s">
        <v>477</v>
      </c>
      <c r="K29564" s="18" t="s">
        <v>477</v>
      </c>
    </row>
    <row r="29565">
      <c r="B29565" s="17" t="s">
        <v>477</v>
      </c>
      <c r="K29565" s="18" t="s">
        <v>477</v>
      </c>
    </row>
    <row r="29566">
      <c r="B29566" s="17" t="s">
        <v>477</v>
      </c>
      <c r="K29566" s="18" t="s">
        <v>477</v>
      </c>
    </row>
    <row r="29567">
      <c r="B29567" s="17" t="s">
        <v>477</v>
      </c>
      <c r="K29567" s="18" t="s">
        <v>477</v>
      </c>
    </row>
    <row r="29568">
      <c r="B29568" s="17" t="s">
        <v>477</v>
      </c>
      <c r="K29568" s="18" t="s">
        <v>477</v>
      </c>
    </row>
    <row r="29569">
      <c r="B29569" s="17" t="s">
        <v>477</v>
      </c>
      <c r="K29569" s="18" t="s">
        <v>477</v>
      </c>
    </row>
    <row r="29570">
      <c r="B29570" s="17" t="s">
        <v>477</v>
      </c>
      <c r="K29570" s="18" t="s">
        <v>477</v>
      </c>
    </row>
    <row r="29571">
      <c r="B29571" s="17" t="s">
        <v>477</v>
      </c>
      <c r="K29571" s="18" t="s">
        <v>477</v>
      </c>
    </row>
    <row r="29572">
      <c r="B29572" s="17" t="s">
        <v>477</v>
      </c>
      <c r="K29572" s="18" t="s">
        <v>477</v>
      </c>
    </row>
    <row r="29573">
      <c r="B29573" s="17" t="s">
        <v>477</v>
      </c>
      <c r="K29573" s="18" t="s">
        <v>477</v>
      </c>
    </row>
    <row r="29574">
      <c r="B29574" s="17" t="s">
        <v>477</v>
      </c>
      <c r="K29574" s="18" t="s">
        <v>477</v>
      </c>
    </row>
    <row r="29575">
      <c r="B29575" s="17" t="s">
        <v>477</v>
      </c>
      <c r="K29575" s="18" t="s">
        <v>477</v>
      </c>
    </row>
    <row r="29576">
      <c r="B29576" s="17" t="s">
        <v>477</v>
      </c>
      <c r="K29576" s="18" t="s">
        <v>477</v>
      </c>
    </row>
    <row r="29577">
      <c r="B29577" s="17" t="s">
        <v>477</v>
      </c>
      <c r="K29577" s="18" t="s">
        <v>477</v>
      </c>
    </row>
    <row r="29578">
      <c r="B29578" s="17" t="s">
        <v>477</v>
      </c>
      <c r="K29578" s="18" t="s">
        <v>477</v>
      </c>
    </row>
    <row r="29579">
      <c r="B29579" s="17" t="s">
        <v>477</v>
      </c>
      <c r="K29579" s="18" t="s">
        <v>477</v>
      </c>
    </row>
    <row r="29580">
      <c r="B29580" s="17" t="s">
        <v>477</v>
      </c>
      <c r="K29580" s="18" t="s">
        <v>477</v>
      </c>
    </row>
    <row r="29581">
      <c r="B29581" s="17" t="s">
        <v>477</v>
      </c>
      <c r="K29581" s="18" t="s">
        <v>477</v>
      </c>
    </row>
    <row r="29582">
      <c r="B29582" s="17" t="s">
        <v>477</v>
      </c>
      <c r="K29582" s="18" t="s">
        <v>477</v>
      </c>
    </row>
    <row r="29583">
      <c r="B29583" s="17" t="s">
        <v>477</v>
      </c>
      <c r="K29583" s="18" t="s">
        <v>477</v>
      </c>
    </row>
    <row r="29584">
      <c r="B29584" s="17" t="s">
        <v>477</v>
      </c>
      <c r="K29584" s="18" t="s">
        <v>477</v>
      </c>
    </row>
    <row r="29585">
      <c r="B29585" s="17" t="s">
        <v>477</v>
      </c>
      <c r="K29585" s="18" t="s">
        <v>477</v>
      </c>
    </row>
    <row r="29586">
      <c r="B29586" s="17" t="s">
        <v>477</v>
      </c>
      <c r="K29586" s="18" t="s">
        <v>477</v>
      </c>
    </row>
    <row r="29587">
      <c r="B29587" s="17" t="s">
        <v>477</v>
      </c>
      <c r="K29587" s="18" t="s">
        <v>477</v>
      </c>
    </row>
    <row r="29588">
      <c r="B29588" s="17" t="s">
        <v>477</v>
      </c>
      <c r="K29588" s="18" t="s">
        <v>477</v>
      </c>
    </row>
    <row r="29589">
      <c r="B29589" s="17" t="s">
        <v>477</v>
      </c>
      <c r="K29589" s="18" t="s">
        <v>477</v>
      </c>
    </row>
    <row r="29590">
      <c r="B29590" s="17" t="s">
        <v>477</v>
      </c>
      <c r="K29590" s="18" t="s">
        <v>477</v>
      </c>
    </row>
    <row r="29591">
      <c r="B29591" s="17" t="s">
        <v>477</v>
      </c>
      <c r="K29591" s="18" t="s">
        <v>477</v>
      </c>
    </row>
    <row r="29592">
      <c r="B29592" s="17" t="s">
        <v>477</v>
      </c>
      <c r="K29592" s="18" t="s">
        <v>477</v>
      </c>
    </row>
    <row r="29593">
      <c r="B29593" s="17" t="s">
        <v>477</v>
      </c>
      <c r="K29593" s="18" t="s">
        <v>477</v>
      </c>
    </row>
    <row r="29594">
      <c r="B29594" s="17" t="s">
        <v>477</v>
      </c>
      <c r="K29594" s="18" t="s">
        <v>477</v>
      </c>
    </row>
    <row r="29595">
      <c r="B29595" s="17" t="s">
        <v>477</v>
      </c>
      <c r="K29595" s="18" t="s">
        <v>477</v>
      </c>
    </row>
    <row r="29596">
      <c r="B29596" s="17" t="s">
        <v>477</v>
      </c>
      <c r="K29596" s="18" t="s">
        <v>477</v>
      </c>
    </row>
    <row r="29597">
      <c r="B29597" s="17" t="s">
        <v>477</v>
      </c>
      <c r="K29597" s="18" t="s">
        <v>477</v>
      </c>
    </row>
    <row r="29598">
      <c r="B29598" s="17" t="s">
        <v>477</v>
      </c>
      <c r="K29598" s="18" t="s">
        <v>477</v>
      </c>
    </row>
    <row r="29599">
      <c r="B29599" s="17" t="s">
        <v>477</v>
      </c>
      <c r="K29599" s="18" t="s">
        <v>477</v>
      </c>
    </row>
    <row r="29600">
      <c r="B29600" s="17" t="s">
        <v>477</v>
      </c>
      <c r="K29600" s="18" t="s">
        <v>477</v>
      </c>
    </row>
    <row r="29601">
      <c r="B29601" s="17" t="s">
        <v>477</v>
      </c>
      <c r="K29601" s="18" t="s">
        <v>477</v>
      </c>
    </row>
    <row r="29602">
      <c r="B29602" s="17" t="s">
        <v>477</v>
      </c>
      <c r="K29602" s="18" t="s">
        <v>477</v>
      </c>
    </row>
    <row r="29603">
      <c r="B29603" s="17" t="s">
        <v>477</v>
      </c>
      <c r="K29603" s="18" t="s">
        <v>477</v>
      </c>
    </row>
    <row r="29604">
      <c r="B29604" s="17" t="s">
        <v>477</v>
      </c>
      <c r="K29604" s="18" t="s">
        <v>477</v>
      </c>
    </row>
    <row r="29605">
      <c r="B29605" s="17" t="s">
        <v>477</v>
      </c>
      <c r="K29605" s="18" t="s">
        <v>477</v>
      </c>
    </row>
    <row r="29606">
      <c r="B29606" s="17" t="s">
        <v>477</v>
      </c>
      <c r="K29606" s="18" t="s">
        <v>477</v>
      </c>
    </row>
    <row r="29607">
      <c r="B29607" s="17" t="s">
        <v>477</v>
      </c>
      <c r="K29607" s="18" t="s">
        <v>477</v>
      </c>
    </row>
    <row r="29608">
      <c r="B29608" s="17" t="s">
        <v>477</v>
      </c>
      <c r="K29608" s="18" t="s">
        <v>477</v>
      </c>
    </row>
    <row r="29609">
      <c r="B29609" s="17" t="s">
        <v>477</v>
      </c>
      <c r="K29609" s="18" t="s">
        <v>477</v>
      </c>
    </row>
    <row r="29610">
      <c r="B29610" s="17" t="s">
        <v>477</v>
      </c>
      <c r="K29610" s="18" t="s">
        <v>477</v>
      </c>
    </row>
    <row r="29611">
      <c r="B29611" s="17" t="s">
        <v>477</v>
      </c>
      <c r="K29611" s="18" t="s">
        <v>477</v>
      </c>
    </row>
    <row r="29612">
      <c r="B29612" s="17" t="s">
        <v>477</v>
      </c>
      <c r="K29612" s="18" t="s">
        <v>477</v>
      </c>
    </row>
    <row r="29613">
      <c r="B29613" s="17" t="s">
        <v>477</v>
      </c>
      <c r="K29613" s="18" t="s">
        <v>477</v>
      </c>
    </row>
    <row r="29614">
      <c r="B29614" s="17" t="s">
        <v>477</v>
      </c>
      <c r="K29614" s="18" t="s">
        <v>477</v>
      </c>
    </row>
    <row r="29615">
      <c r="B29615" s="17" t="s">
        <v>477</v>
      </c>
      <c r="K29615" s="18" t="s">
        <v>477</v>
      </c>
    </row>
    <row r="29616">
      <c r="B29616" s="17" t="s">
        <v>477</v>
      </c>
      <c r="K29616" s="18" t="s">
        <v>477</v>
      </c>
    </row>
    <row r="29617">
      <c r="B29617" s="17" t="s">
        <v>477</v>
      </c>
      <c r="K29617" s="18" t="s">
        <v>477</v>
      </c>
    </row>
    <row r="29618">
      <c r="B29618" s="17" t="s">
        <v>477</v>
      </c>
      <c r="K29618" s="18" t="s">
        <v>477</v>
      </c>
    </row>
    <row r="29619">
      <c r="B29619" s="17" t="s">
        <v>477</v>
      </c>
      <c r="K29619" s="18" t="s">
        <v>477</v>
      </c>
    </row>
    <row r="29620">
      <c r="B29620" s="17" t="s">
        <v>477</v>
      </c>
      <c r="K29620" s="18" t="s">
        <v>477</v>
      </c>
    </row>
    <row r="29621">
      <c r="B29621" s="17" t="s">
        <v>477</v>
      </c>
      <c r="K29621" s="18" t="s">
        <v>477</v>
      </c>
    </row>
    <row r="29622">
      <c r="B29622" s="17" t="s">
        <v>477</v>
      </c>
      <c r="K29622" s="18" t="s">
        <v>477</v>
      </c>
    </row>
    <row r="29623">
      <c r="B29623" s="17" t="s">
        <v>477</v>
      </c>
      <c r="K29623" s="18" t="s">
        <v>477</v>
      </c>
    </row>
    <row r="29624">
      <c r="B29624" s="17" t="s">
        <v>477</v>
      </c>
      <c r="K29624" s="18" t="s">
        <v>477</v>
      </c>
    </row>
    <row r="29625">
      <c r="B29625" s="17" t="s">
        <v>477</v>
      </c>
      <c r="K29625" s="18" t="s">
        <v>477</v>
      </c>
    </row>
    <row r="29626">
      <c r="B29626" s="17" t="s">
        <v>477</v>
      </c>
      <c r="K29626" s="18" t="s">
        <v>477</v>
      </c>
    </row>
    <row r="29627">
      <c r="B29627" s="17" t="s">
        <v>477</v>
      </c>
      <c r="K29627" s="18" t="s">
        <v>477</v>
      </c>
    </row>
    <row r="29628">
      <c r="B29628" s="17" t="s">
        <v>477</v>
      </c>
      <c r="K29628" s="18" t="s">
        <v>477</v>
      </c>
    </row>
    <row r="29629">
      <c r="B29629" s="17" t="s">
        <v>477</v>
      </c>
      <c r="K29629" s="18" t="s">
        <v>477</v>
      </c>
    </row>
    <row r="29630">
      <c r="B29630" s="17" t="s">
        <v>477</v>
      </c>
      <c r="K29630" s="18" t="s">
        <v>477</v>
      </c>
    </row>
    <row r="29631">
      <c r="B29631" s="17" t="s">
        <v>477</v>
      </c>
      <c r="K29631" s="18" t="s">
        <v>477</v>
      </c>
    </row>
    <row r="29632">
      <c r="B29632" s="17" t="s">
        <v>477</v>
      </c>
      <c r="K29632" s="18" t="s">
        <v>477</v>
      </c>
    </row>
    <row r="29633">
      <c r="B29633" s="17" t="s">
        <v>477</v>
      </c>
      <c r="K29633" s="18" t="s">
        <v>477</v>
      </c>
    </row>
    <row r="29634">
      <c r="B29634" s="17" t="s">
        <v>477</v>
      </c>
      <c r="K29634" s="18" t="s">
        <v>477</v>
      </c>
    </row>
    <row r="29635">
      <c r="B29635" s="17" t="s">
        <v>477</v>
      </c>
      <c r="K29635" s="18" t="s">
        <v>477</v>
      </c>
    </row>
    <row r="29636">
      <c r="B29636" s="17" t="s">
        <v>477</v>
      </c>
      <c r="K29636" s="18" t="s">
        <v>477</v>
      </c>
    </row>
    <row r="29637">
      <c r="B29637" s="17" t="s">
        <v>477</v>
      </c>
      <c r="K29637" s="18" t="s">
        <v>477</v>
      </c>
    </row>
    <row r="29638">
      <c r="B29638" s="17" t="s">
        <v>477</v>
      </c>
      <c r="K29638" s="18" t="s">
        <v>477</v>
      </c>
    </row>
    <row r="29639">
      <c r="B29639" s="17" t="s">
        <v>477</v>
      </c>
      <c r="K29639" s="18" t="s">
        <v>477</v>
      </c>
    </row>
    <row r="29640">
      <c r="B29640" s="17" t="s">
        <v>477</v>
      </c>
      <c r="K29640" s="18" t="s">
        <v>477</v>
      </c>
    </row>
    <row r="29641">
      <c r="B29641" s="17" t="s">
        <v>477</v>
      </c>
      <c r="K29641" s="18" t="s">
        <v>477</v>
      </c>
    </row>
    <row r="29642">
      <c r="B29642" s="17" t="s">
        <v>477</v>
      </c>
      <c r="K29642" s="18" t="s">
        <v>477</v>
      </c>
    </row>
    <row r="29643">
      <c r="B29643" s="17" t="s">
        <v>477</v>
      </c>
      <c r="K29643" s="18" t="s">
        <v>477</v>
      </c>
    </row>
    <row r="29644">
      <c r="B29644" s="17" t="s">
        <v>477</v>
      </c>
      <c r="K29644" s="18" t="s">
        <v>477</v>
      </c>
    </row>
    <row r="29645">
      <c r="B29645" s="17" t="s">
        <v>477</v>
      </c>
      <c r="K29645" s="18" t="s">
        <v>477</v>
      </c>
    </row>
    <row r="29646">
      <c r="B29646" s="17" t="s">
        <v>477</v>
      </c>
      <c r="K29646" s="18" t="s">
        <v>477</v>
      </c>
    </row>
    <row r="29647">
      <c r="B29647" s="17" t="s">
        <v>477</v>
      </c>
      <c r="K29647" s="18" t="s">
        <v>477</v>
      </c>
    </row>
    <row r="29648">
      <c r="B29648" s="17" t="s">
        <v>477</v>
      </c>
      <c r="K29648" s="18" t="s">
        <v>477</v>
      </c>
    </row>
    <row r="29649">
      <c r="B29649" s="17" t="s">
        <v>477</v>
      </c>
      <c r="K29649" s="18" t="s">
        <v>477</v>
      </c>
    </row>
    <row r="29650">
      <c r="B29650" s="17" t="s">
        <v>477</v>
      </c>
      <c r="K29650" s="18" t="s">
        <v>477</v>
      </c>
    </row>
    <row r="29651">
      <c r="B29651" s="17" t="s">
        <v>477</v>
      </c>
      <c r="K29651" s="18" t="s">
        <v>477</v>
      </c>
    </row>
    <row r="29652">
      <c r="B29652" s="17" t="s">
        <v>477</v>
      </c>
      <c r="K29652" s="18" t="s">
        <v>477</v>
      </c>
    </row>
    <row r="29653">
      <c r="B29653" s="17" t="s">
        <v>477</v>
      </c>
      <c r="K29653" s="18" t="s">
        <v>477</v>
      </c>
    </row>
    <row r="29654">
      <c r="B29654" s="17" t="s">
        <v>477</v>
      </c>
      <c r="K29654" s="18" t="s">
        <v>477</v>
      </c>
    </row>
    <row r="29655">
      <c r="B29655" s="17" t="s">
        <v>477</v>
      </c>
      <c r="K29655" s="18" t="s">
        <v>477</v>
      </c>
    </row>
    <row r="29656">
      <c r="B29656" s="17" t="s">
        <v>477</v>
      </c>
      <c r="K29656" s="18" t="s">
        <v>477</v>
      </c>
    </row>
    <row r="29657">
      <c r="B29657" s="17" t="s">
        <v>477</v>
      </c>
      <c r="K29657" s="18" t="s">
        <v>477</v>
      </c>
    </row>
    <row r="29658">
      <c r="B29658" s="17" t="s">
        <v>477</v>
      </c>
      <c r="K29658" s="18" t="s">
        <v>477</v>
      </c>
    </row>
    <row r="29659">
      <c r="B29659" s="17" t="s">
        <v>477</v>
      </c>
      <c r="K29659" s="18" t="s">
        <v>477</v>
      </c>
    </row>
    <row r="29660">
      <c r="B29660" s="17" t="s">
        <v>477</v>
      </c>
      <c r="K29660" s="18" t="s">
        <v>477</v>
      </c>
    </row>
    <row r="29661">
      <c r="B29661" s="17" t="s">
        <v>477</v>
      </c>
      <c r="K29661" s="18" t="s">
        <v>477</v>
      </c>
    </row>
    <row r="29662">
      <c r="B29662" s="17" t="s">
        <v>477</v>
      </c>
      <c r="K29662" s="18" t="s">
        <v>477</v>
      </c>
    </row>
    <row r="29663">
      <c r="B29663" s="17" t="s">
        <v>477</v>
      </c>
      <c r="K29663" s="18" t="s">
        <v>477</v>
      </c>
    </row>
    <row r="29664">
      <c r="B29664" s="17" t="s">
        <v>477</v>
      </c>
      <c r="K29664" s="18" t="s">
        <v>477</v>
      </c>
    </row>
    <row r="29665">
      <c r="B29665" s="17" t="s">
        <v>477</v>
      </c>
      <c r="K29665" s="18" t="s">
        <v>477</v>
      </c>
    </row>
    <row r="29666">
      <c r="B29666" s="17" t="s">
        <v>477</v>
      </c>
      <c r="K29666" s="18" t="s">
        <v>477</v>
      </c>
    </row>
    <row r="29667">
      <c r="B29667" s="17" t="s">
        <v>477</v>
      </c>
      <c r="K29667" s="18" t="s">
        <v>477</v>
      </c>
    </row>
    <row r="29668">
      <c r="B29668" s="17" t="s">
        <v>477</v>
      </c>
      <c r="K29668" s="18" t="s">
        <v>477</v>
      </c>
    </row>
    <row r="29669">
      <c r="B29669" s="17" t="s">
        <v>477</v>
      </c>
      <c r="K29669" s="18" t="s">
        <v>477</v>
      </c>
    </row>
    <row r="29670">
      <c r="B29670" s="17" t="s">
        <v>477</v>
      </c>
      <c r="K29670" s="18" t="s">
        <v>477</v>
      </c>
    </row>
    <row r="29671">
      <c r="B29671" s="17" t="s">
        <v>477</v>
      </c>
      <c r="K29671" s="18" t="s">
        <v>477</v>
      </c>
    </row>
    <row r="29672">
      <c r="B29672" s="17" t="s">
        <v>477</v>
      </c>
      <c r="K29672" s="18" t="s">
        <v>477</v>
      </c>
    </row>
    <row r="29673">
      <c r="B29673" s="17" t="s">
        <v>477</v>
      </c>
      <c r="K29673" s="18" t="s">
        <v>477</v>
      </c>
    </row>
    <row r="29674">
      <c r="B29674" s="17" t="s">
        <v>477</v>
      </c>
      <c r="K29674" s="18" t="s">
        <v>477</v>
      </c>
    </row>
    <row r="29675">
      <c r="B29675" s="17" t="s">
        <v>477</v>
      </c>
      <c r="K29675" s="18" t="s">
        <v>477</v>
      </c>
    </row>
    <row r="29676">
      <c r="B29676" s="17" t="s">
        <v>477</v>
      </c>
      <c r="K29676" s="18" t="s">
        <v>477</v>
      </c>
    </row>
    <row r="29677">
      <c r="B29677" s="17" t="s">
        <v>477</v>
      </c>
      <c r="K29677" s="18" t="s">
        <v>477</v>
      </c>
    </row>
    <row r="29678">
      <c r="B29678" s="17" t="s">
        <v>477</v>
      </c>
      <c r="K29678" s="18" t="s">
        <v>477</v>
      </c>
    </row>
    <row r="29679">
      <c r="B29679" s="17" t="s">
        <v>477</v>
      </c>
      <c r="K29679" s="18" t="s">
        <v>477</v>
      </c>
    </row>
    <row r="29680">
      <c r="B29680" s="17" t="s">
        <v>477</v>
      </c>
      <c r="K29680" s="18" t="s">
        <v>477</v>
      </c>
    </row>
    <row r="29681">
      <c r="B29681" s="17" t="s">
        <v>477</v>
      </c>
      <c r="K29681" s="18" t="s">
        <v>477</v>
      </c>
    </row>
    <row r="29682">
      <c r="B29682" s="17" t="s">
        <v>477</v>
      </c>
      <c r="K29682" s="18" t="s">
        <v>477</v>
      </c>
    </row>
    <row r="29683">
      <c r="B29683" s="17" t="s">
        <v>477</v>
      </c>
      <c r="K29683" s="18" t="s">
        <v>477</v>
      </c>
    </row>
    <row r="29684">
      <c r="B29684" s="17" t="s">
        <v>477</v>
      </c>
      <c r="K29684" s="18" t="s">
        <v>477</v>
      </c>
    </row>
    <row r="29685">
      <c r="B29685" s="17" t="s">
        <v>477</v>
      </c>
      <c r="K29685" s="18" t="s">
        <v>477</v>
      </c>
    </row>
    <row r="29686">
      <c r="B29686" s="17" t="s">
        <v>477</v>
      </c>
      <c r="K29686" s="18" t="s">
        <v>477</v>
      </c>
    </row>
    <row r="29687">
      <c r="B29687" s="17" t="s">
        <v>477</v>
      </c>
      <c r="K29687" s="18" t="s">
        <v>477</v>
      </c>
    </row>
    <row r="29688">
      <c r="B29688" s="17" t="s">
        <v>477</v>
      </c>
      <c r="K29688" s="18" t="s">
        <v>477</v>
      </c>
    </row>
    <row r="29689">
      <c r="B29689" s="17" t="s">
        <v>477</v>
      </c>
      <c r="K29689" s="18" t="s">
        <v>477</v>
      </c>
    </row>
    <row r="29690">
      <c r="B29690" s="17" t="s">
        <v>477</v>
      </c>
      <c r="K29690" s="18" t="s">
        <v>477</v>
      </c>
    </row>
    <row r="29691">
      <c r="B29691" s="17" t="s">
        <v>477</v>
      </c>
      <c r="K29691" s="18" t="s">
        <v>477</v>
      </c>
    </row>
    <row r="29692">
      <c r="B29692" s="17" t="s">
        <v>477</v>
      </c>
      <c r="K29692" s="18" t="s">
        <v>477</v>
      </c>
    </row>
    <row r="29693">
      <c r="B29693" s="17" t="s">
        <v>477</v>
      </c>
      <c r="K29693" s="18" t="s">
        <v>477</v>
      </c>
    </row>
    <row r="29694">
      <c r="B29694" s="17" t="s">
        <v>477</v>
      </c>
      <c r="K29694" s="18" t="s">
        <v>477</v>
      </c>
    </row>
    <row r="29695">
      <c r="B29695" s="17" t="s">
        <v>477</v>
      </c>
      <c r="K29695" s="18" t="s">
        <v>477</v>
      </c>
    </row>
    <row r="29696">
      <c r="B29696" s="17" t="s">
        <v>477</v>
      </c>
      <c r="K29696" s="18" t="s">
        <v>477</v>
      </c>
    </row>
    <row r="29697">
      <c r="B29697" s="17" t="s">
        <v>477</v>
      </c>
      <c r="K29697" s="18" t="s">
        <v>477</v>
      </c>
    </row>
    <row r="29698">
      <c r="B29698" s="17" t="s">
        <v>477</v>
      </c>
      <c r="K29698" s="18" t="s">
        <v>477</v>
      </c>
    </row>
    <row r="29699">
      <c r="B29699" s="17" t="s">
        <v>477</v>
      </c>
      <c r="K29699" s="18" t="s">
        <v>477</v>
      </c>
    </row>
    <row r="29700">
      <c r="B29700" s="17" t="s">
        <v>477</v>
      </c>
      <c r="K29700" s="18" t="s">
        <v>477</v>
      </c>
    </row>
    <row r="29701">
      <c r="B29701" s="17" t="s">
        <v>477</v>
      </c>
      <c r="K29701" s="18" t="s">
        <v>477</v>
      </c>
    </row>
    <row r="29702">
      <c r="B29702" s="17" t="s">
        <v>477</v>
      </c>
      <c r="K29702" s="18" t="s">
        <v>477</v>
      </c>
    </row>
    <row r="29703">
      <c r="B29703" s="17" t="s">
        <v>477</v>
      </c>
      <c r="K29703" s="18" t="s">
        <v>477</v>
      </c>
    </row>
    <row r="29704">
      <c r="B29704" s="17" t="s">
        <v>477</v>
      </c>
      <c r="K29704" s="18" t="s">
        <v>477</v>
      </c>
    </row>
    <row r="29705">
      <c r="B29705" s="17" t="s">
        <v>477</v>
      </c>
      <c r="K29705" s="18" t="s">
        <v>477</v>
      </c>
    </row>
    <row r="29706">
      <c r="B29706" s="17" t="s">
        <v>477</v>
      </c>
      <c r="K29706" s="18" t="s">
        <v>477</v>
      </c>
    </row>
    <row r="29707">
      <c r="B29707" s="17" t="s">
        <v>477</v>
      </c>
      <c r="K29707" s="18" t="s">
        <v>477</v>
      </c>
    </row>
    <row r="29708">
      <c r="B29708" s="17" t="s">
        <v>477</v>
      </c>
      <c r="K29708" s="18" t="s">
        <v>477</v>
      </c>
    </row>
    <row r="29709">
      <c r="B29709" s="17" t="s">
        <v>477</v>
      </c>
      <c r="K29709" s="18" t="s">
        <v>477</v>
      </c>
    </row>
    <row r="29710">
      <c r="B29710" s="17" t="s">
        <v>477</v>
      </c>
      <c r="K29710" s="18" t="s">
        <v>477</v>
      </c>
    </row>
    <row r="29711">
      <c r="B29711" s="17" t="s">
        <v>477</v>
      </c>
      <c r="K29711" s="18" t="s">
        <v>477</v>
      </c>
    </row>
    <row r="29712">
      <c r="B29712" s="17" t="s">
        <v>477</v>
      </c>
      <c r="K29712" s="18" t="s">
        <v>477</v>
      </c>
    </row>
    <row r="29713">
      <c r="B29713" s="17" t="s">
        <v>477</v>
      </c>
      <c r="K29713" s="18" t="s">
        <v>477</v>
      </c>
    </row>
    <row r="29714">
      <c r="B29714" s="17" t="s">
        <v>477</v>
      </c>
      <c r="K29714" s="18" t="s">
        <v>477</v>
      </c>
    </row>
    <row r="29715">
      <c r="B29715" s="17" t="s">
        <v>477</v>
      </c>
      <c r="K29715" s="18" t="s">
        <v>477</v>
      </c>
    </row>
    <row r="29716">
      <c r="B29716" s="17" t="s">
        <v>477</v>
      </c>
      <c r="K29716" s="18" t="s">
        <v>477</v>
      </c>
    </row>
    <row r="29717">
      <c r="B29717" s="17" t="s">
        <v>477</v>
      </c>
      <c r="K29717" s="18" t="s">
        <v>477</v>
      </c>
    </row>
    <row r="29718">
      <c r="B29718" s="17" t="s">
        <v>477</v>
      </c>
      <c r="K29718" s="18" t="s">
        <v>477</v>
      </c>
    </row>
    <row r="29719">
      <c r="B29719" s="17" t="s">
        <v>477</v>
      </c>
      <c r="K29719" s="18" t="s">
        <v>477</v>
      </c>
    </row>
    <row r="29720">
      <c r="B29720" s="17" t="s">
        <v>477</v>
      </c>
      <c r="K29720" s="18" t="s">
        <v>477</v>
      </c>
    </row>
    <row r="29721">
      <c r="B29721" s="17" t="s">
        <v>477</v>
      </c>
      <c r="K29721" s="18" t="s">
        <v>477</v>
      </c>
    </row>
    <row r="29722">
      <c r="B29722" s="17" t="s">
        <v>477</v>
      </c>
      <c r="K29722" s="18" t="s">
        <v>477</v>
      </c>
    </row>
    <row r="29723">
      <c r="B29723" s="17" t="s">
        <v>477</v>
      </c>
      <c r="K29723" s="18" t="s">
        <v>477</v>
      </c>
    </row>
    <row r="29724">
      <c r="B29724" s="17" t="s">
        <v>477</v>
      </c>
      <c r="K29724" s="18" t="s">
        <v>477</v>
      </c>
    </row>
    <row r="29725">
      <c r="B29725" s="17" t="s">
        <v>477</v>
      </c>
      <c r="K29725" s="18" t="s">
        <v>477</v>
      </c>
    </row>
    <row r="29726">
      <c r="B29726" s="17" t="s">
        <v>477</v>
      </c>
      <c r="K29726" s="18" t="s">
        <v>477</v>
      </c>
    </row>
    <row r="29727">
      <c r="B29727" s="17" t="s">
        <v>477</v>
      </c>
      <c r="K29727" s="18" t="s">
        <v>477</v>
      </c>
    </row>
    <row r="29728">
      <c r="B29728" s="17" t="s">
        <v>477</v>
      </c>
      <c r="K29728" s="18" t="s">
        <v>477</v>
      </c>
    </row>
    <row r="29729">
      <c r="B29729" s="17" t="s">
        <v>477</v>
      </c>
      <c r="K29729" s="18" t="s">
        <v>477</v>
      </c>
    </row>
    <row r="29730">
      <c r="B29730" s="17" t="s">
        <v>477</v>
      </c>
      <c r="K29730" s="18" t="s">
        <v>477</v>
      </c>
    </row>
    <row r="29731">
      <c r="B29731" s="17" t="s">
        <v>477</v>
      </c>
      <c r="K29731" s="18" t="s">
        <v>477</v>
      </c>
    </row>
    <row r="29732">
      <c r="B29732" s="17" t="s">
        <v>477</v>
      </c>
      <c r="K29732" s="18" t="s">
        <v>477</v>
      </c>
    </row>
    <row r="29733">
      <c r="B29733" s="17" t="s">
        <v>477</v>
      </c>
      <c r="K29733" s="18" t="s">
        <v>477</v>
      </c>
    </row>
    <row r="29734">
      <c r="B29734" s="17" t="s">
        <v>477</v>
      </c>
      <c r="K29734" s="18" t="s">
        <v>477</v>
      </c>
    </row>
    <row r="29735">
      <c r="B29735" s="17" t="s">
        <v>477</v>
      </c>
      <c r="K29735" s="18" t="s">
        <v>477</v>
      </c>
    </row>
    <row r="29736">
      <c r="B29736" s="17" t="s">
        <v>477</v>
      </c>
      <c r="K29736" s="18" t="s">
        <v>477</v>
      </c>
    </row>
    <row r="29737">
      <c r="B29737" s="17" t="s">
        <v>477</v>
      </c>
      <c r="K29737" s="18" t="s">
        <v>477</v>
      </c>
    </row>
    <row r="29738">
      <c r="B29738" s="17" t="s">
        <v>477</v>
      </c>
      <c r="K29738" s="18" t="s">
        <v>477</v>
      </c>
    </row>
    <row r="29739">
      <c r="B29739" s="17" t="s">
        <v>477</v>
      </c>
      <c r="K29739" s="18" t="s">
        <v>477</v>
      </c>
    </row>
    <row r="29740">
      <c r="B29740" s="17" t="s">
        <v>477</v>
      </c>
      <c r="K29740" s="18" t="s">
        <v>477</v>
      </c>
    </row>
    <row r="29741">
      <c r="B29741" s="17" t="s">
        <v>477</v>
      </c>
      <c r="K29741" s="18" t="s">
        <v>477</v>
      </c>
    </row>
    <row r="29742">
      <c r="B29742" s="17" t="s">
        <v>477</v>
      </c>
      <c r="K29742" s="18" t="s">
        <v>477</v>
      </c>
    </row>
    <row r="29743">
      <c r="B29743" s="17" t="s">
        <v>477</v>
      </c>
      <c r="K29743" s="18" t="s">
        <v>477</v>
      </c>
    </row>
    <row r="29744">
      <c r="B29744" s="17" t="s">
        <v>477</v>
      </c>
      <c r="K29744" s="18" t="s">
        <v>477</v>
      </c>
    </row>
    <row r="29745">
      <c r="B29745" s="17" t="s">
        <v>477</v>
      </c>
      <c r="K29745" s="18" t="s">
        <v>477</v>
      </c>
    </row>
    <row r="29746">
      <c r="B29746" s="17" t="s">
        <v>477</v>
      </c>
      <c r="K29746" s="18" t="s">
        <v>477</v>
      </c>
    </row>
    <row r="29747">
      <c r="B29747" s="17" t="s">
        <v>477</v>
      </c>
      <c r="K29747" s="18" t="s">
        <v>477</v>
      </c>
    </row>
    <row r="29748">
      <c r="B29748" s="17" t="s">
        <v>477</v>
      </c>
      <c r="K29748" s="18" t="s">
        <v>477</v>
      </c>
    </row>
    <row r="29749">
      <c r="B29749" s="17" t="s">
        <v>477</v>
      </c>
      <c r="K29749" s="18" t="s">
        <v>477</v>
      </c>
    </row>
    <row r="29750">
      <c r="B29750" s="17" t="s">
        <v>477</v>
      </c>
      <c r="K29750" s="18" t="s">
        <v>477</v>
      </c>
    </row>
    <row r="29751">
      <c r="B29751" s="17" t="s">
        <v>477</v>
      </c>
      <c r="K29751" s="18" t="s">
        <v>477</v>
      </c>
    </row>
    <row r="29752">
      <c r="B29752" s="17" t="s">
        <v>477</v>
      </c>
      <c r="K29752" s="18" t="s">
        <v>477</v>
      </c>
    </row>
    <row r="29753">
      <c r="B29753" s="17" t="s">
        <v>477</v>
      </c>
      <c r="K29753" s="18" t="s">
        <v>477</v>
      </c>
    </row>
    <row r="29754">
      <c r="B29754" s="17" t="s">
        <v>477</v>
      </c>
      <c r="K29754" s="18" t="s">
        <v>477</v>
      </c>
    </row>
    <row r="29755">
      <c r="B29755" s="17" t="s">
        <v>477</v>
      </c>
      <c r="K29755" s="18" t="s">
        <v>477</v>
      </c>
    </row>
    <row r="29756">
      <c r="B29756" s="17" t="s">
        <v>477</v>
      </c>
      <c r="K29756" s="18" t="s">
        <v>477</v>
      </c>
    </row>
    <row r="29757">
      <c r="B29757" s="17" t="s">
        <v>477</v>
      </c>
      <c r="K29757" s="18" t="s">
        <v>477</v>
      </c>
    </row>
    <row r="29758">
      <c r="B29758" s="17" t="s">
        <v>477</v>
      </c>
      <c r="K29758" s="18" t="s">
        <v>477</v>
      </c>
    </row>
    <row r="29759">
      <c r="B29759" s="17" t="s">
        <v>477</v>
      </c>
      <c r="K29759" s="18" t="s">
        <v>477</v>
      </c>
    </row>
    <row r="29760">
      <c r="B29760" s="17" t="s">
        <v>477</v>
      </c>
      <c r="K29760" s="18" t="s">
        <v>477</v>
      </c>
    </row>
    <row r="29761">
      <c r="B29761" s="17" t="s">
        <v>477</v>
      </c>
      <c r="K29761" s="18" t="s">
        <v>477</v>
      </c>
    </row>
    <row r="29762">
      <c r="B29762" s="17" t="s">
        <v>477</v>
      </c>
      <c r="K29762" s="18" t="s">
        <v>477</v>
      </c>
    </row>
    <row r="29763">
      <c r="B29763" s="17" t="s">
        <v>477</v>
      </c>
      <c r="K29763" s="18" t="s">
        <v>477</v>
      </c>
    </row>
    <row r="29764">
      <c r="B29764" s="17" t="s">
        <v>477</v>
      </c>
      <c r="K29764" s="18" t="s">
        <v>477</v>
      </c>
    </row>
    <row r="29765">
      <c r="B29765" s="17" t="s">
        <v>477</v>
      </c>
      <c r="K29765" s="18" t="s">
        <v>477</v>
      </c>
    </row>
    <row r="29766">
      <c r="B29766" s="17" t="s">
        <v>477</v>
      </c>
      <c r="K29766" s="18" t="s">
        <v>477</v>
      </c>
    </row>
    <row r="29767">
      <c r="B29767" s="17" t="s">
        <v>477</v>
      </c>
      <c r="K29767" s="18" t="s">
        <v>477</v>
      </c>
    </row>
    <row r="29768">
      <c r="B29768" s="17" t="s">
        <v>477</v>
      </c>
      <c r="K29768" s="18" t="s">
        <v>477</v>
      </c>
    </row>
    <row r="29769">
      <c r="B29769" s="17" t="s">
        <v>477</v>
      </c>
      <c r="K29769" s="18" t="s">
        <v>477</v>
      </c>
    </row>
    <row r="29770">
      <c r="B29770" s="17" t="s">
        <v>477</v>
      </c>
      <c r="K29770" s="18" t="s">
        <v>477</v>
      </c>
    </row>
    <row r="29771">
      <c r="B29771" s="17" t="s">
        <v>477</v>
      </c>
      <c r="K29771" s="18" t="s">
        <v>477</v>
      </c>
    </row>
    <row r="29772">
      <c r="B29772" s="17" t="s">
        <v>477</v>
      </c>
      <c r="K29772" s="18" t="s">
        <v>477</v>
      </c>
    </row>
    <row r="29773">
      <c r="B29773" s="17" t="s">
        <v>477</v>
      </c>
      <c r="K29773" s="18" t="s">
        <v>477</v>
      </c>
    </row>
    <row r="29774">
      <c r="B29774" s="17" t="s">
        <v>477</v>
      </c>
      <c r="K29774" s="18" t="s">
        <v>477</v>
      </c>
    </row>
    <row r="29775">
      <c r="B29775" s="17" t="s">
        <v>477</v>
      </c>
      <c r="K29775" s="18" t="s">
        <v>477</v>
      </c>
    </row>
    <row r="29776">
      <c r="B29776" s="17" t="s">
        <v>477</v>
      </c>
      <c r="K29776" s="18" t="s">
        <v>477</v>
      </c>
    </row>
    <row r="29777">
      <c r="B29777" s="17" t="s">
        <v>477</v>
      </c>
      <c r="K29777" s="18" t="s">
        <v>477</v>
      </c>
    </row>
    <row r="29778">
      <c r="B29778" s="17" t="s">
        <v>477</v>
      </c>
      <c r="K29778" s="18" t="s">
        <v>477</v>
      </c>
    </row>
    <row r="29779">
      <c r="B29779" s="17" t="s">
        <v>477</v>
      </c>
      <c r="K29779" s="18" t="s">
        <v>477</v>
      </c>
    </row>
    <row r="29780">
      <c r="B29780" s="17" t="s">
        <v>477</v>
      </c>
      <c r="K29780" s="18" t="s">
        <v>477</v>
      </c>
    </row>
    <row r="29781">
      <c r="B29781" s="17" t="s">
        <v>477</v>
      </c>
      <c r="K29781" s="18" t="s">
        <v>477</v>
      </c>
    </row>
    <row r="29782">
      <c r="B29782" s="17" t="s">
        <v>477</v>
      </c>
      <c r="K29782" s="18" t="s">
        <v>477</v>
      </c>
    </row>
    <row r="29783">
      <c r="B29783" s="17" t="s">
        <v>477</v>
      </c>
      <c r="K29783" s="18" t="s">
        <v>477</v>
      </c>
    </row>
    <row r="29784">
      <c r="B29784" s="17" t="s">
        <v>477</v>
      </c>
      <c r="K29784" s="18" t="s">
        <v>477</v>
      </c>
    </row>
    <row r="29785">
      <c r="B29785" s="17" t="s">
        <v>477</v>
      </c>
      <c r="K29785" s="18" t="s">
        <v>477</v>
      </c>
    </row>
    <row r="29786">
      <c r="B29786" s="17" t="s">
        <v>477</v>
      </c>
      <c r="K29786" s="18" t="s">
        <v>477</v>
      </c>
    </row>
    <row r="29787">
      <c r="B29787" s="17" t="s">
        <v>477</v>
      </c>
      <c r="K29787" s="18" t="s">
        <v>477</v>
      </c>
    </row>
    <row r="29788">
      <c r="B29788" s="17" t="s">
        <v>477</v>
      </c>
      <c r="K29788" s="18" t="s">
        <v>477</v>
      </c>
    </row>
    <row r="29789">
      <c r="B29789" s="17" t="s">
        <v>477</v>
      </c>
      <c r="K29789" s="18" t="s">
        <v>477</v>
      </c>
    </row>
    <row r="29790">
      <c r="B29790" s="17" t="s">
        <v>477</v>
      </c>
      <c r="K29790" s="18" t="s">
        <v>477</v>
      </c>
    </row>
    <row r="29791">
      <c r="B29791" s="17" t="s">
        <v>477</v>
      </c>
      <c r="K29791" s="18" t="s">
        <v>477</v>
      </c>
    </row>
    <row r="29792">
      <c r="B29792" s="17" t="s">
        <v>477</v>
      </c>
      <c r="K29792" s="18" t="s">
        <v>477</v>
      </c>
    </row>
    <row r="29793">
      <c r="B29793" s="17" t="s">
        <v>477</v>
      </c>
      <c r="K29793" s="18" t="s">
        <v>477</v>
      </c>
    </row>
    <row r="29794">
      <c r="B29794" s="17" t="s">
        <v>477</v>
      </c>
      <c r="K29794" s="18" t="s">
        <v>477</v>
      </c>
    </row>
    <row r="29795">
      <c r="B29795" s="17" t="s">
        <v>477</v>
      </c>
      <c r="K29795" s="18" t="s">
        <v>477</v>
      </c>
    </row>
    <row r="29796">
      <c r="B29796" s="17" t="s">
        <v>477</v>
      </c>
      <c r="K29796" s="18" t="s">
        <v>477</v>
      </c>
    </row>
    <row r="29797">
      <c r="B29797" s="17" t="s">
        <v>477</v>
      </c>
      <c r="K29797" s="18" t="s">
        <v>477</v>
      </c>
    </row>
    <row r="29798">
      <c r="B29798" s="17" t="s">
        <v>477</v>
      </c>
      <c r="K29798" s="18" t="s">
        <v>477</v>
      </c>
    </row>
    <row r="29799">
      <c r="B29799" s="17" t="s">
        <v>477</v>
      </c>
      <c r="K29799" s="18" t="s">
        <v>477</v>
      </c>
    </row>
    <row r="29800">
      <c r="B29800" s="17" t="s">
        <v>477</v>
      </c>
      <c r="K29800" s="18" t="s">
        <v>477</v>
      </c>
    </row>
    <row r="29801">
      <c r="B29801" s="17" t="s">
        <v>477</v>
      </c>
      <c r="K29801" s="18" t="s">
        <v>477</v>
      </c>
    </row>
    <row r="29802">
      <c r="B29802" s="17" t="s">
        <v>477</v>
      </c>
      <c r="K29802" s="18" t="s">
        <v>477</v>
      </c>
    </row>
    <row r="29803">
      <c r="B29803" s="17" t="s">
        <v>477</v>
      </c>
      <c r="K29803" s="18" t="s">
        <v>477</v>
      </c>
    </row>
    <row r="29804">
      <c r="B29804" s="17" t="s">
        <v>477</v>
      </c>
      <c r="K29804" s="18" t="s">
        <v>477</v>
      </c>
    </row>
    <row r="29805">
      <c r="B29805" s="17" t="s">
        <v>477</v>
      </c>
      <c r="K29805" s="18" t="s">
        <v>477</v>
      </c>
    </row>
    <row r="29806">
      <c r="B29806" s="17" t="s">
        <v>477</v>
      </c>
      <c r="K29806" s="18" t="s">
        <v>477</v>
      </c>
    </row>
    <row r="29807">
      <c r="B29807" s="17" t="s">
        <v>477</v>
      </c>
      <c r="K29807" s="18" t="s">
        <v>477</v>
      </c>
    </row>
    <row r="29808">
      <c r="B29808" s="17" t="s">
        <v>477</v>
      </c>
      <c r="K29808" s="18" t="s">
        <v>477</v>
      </c>
    </row>
    <row r="29809">
      <c r="B29809" s="17" t="s">
        <v>477</v>
      </c>
      <c r="K29809" s="18" t="s">
        <v>477</v>
      </c>
    </row>
    <row r="29810">
      <c r="B29810" s="17" t="s">
        <v>477</v>
      </c>
      <c r="K29810" s="18" t="s">
        <v>477</v>
      </c>
    </row>
    <row r="29811">
      <c r="B29811" s="17" t="s">
        <v>477</v>
      </c>
      <c r="K29811" s="18" t="s">
        <v>477</v>
      </c>
    </row>
    <row r="29812">
      <c r="B29812" s="17" t="s">
        <v>477</v>
      </c>
      <c r="K29812" s="18" t="s">
        <v>477</v>
      </c>
    </row>
    <row r="29813">
      <c r="B29813" s="17" t="s">
        <v>477</v>
      </c>
      <c r="K29813" s="18" t="s">
        <v>477</v>
      </c>
    </row>
    <row r="29814">
      <c r="B29814" s="17" t="s">
        <v>477</v>
      </c>
      <c r="K29814" s="18" t="s">
        <v>477</v>
      </c>
    </row>
    <row r="29815">
      <c r="B29815" s="17" t="s">
        <v>477</v>
      </c>
      <c r="K29815" s="18" t="s">
        <v>477</v>
      </c>
    </row>
    <row r="29816">
      <c r="B29816" s="17" t="s">
        <v>477</v>
      </c>
      <c r="K29816" s="18" t="s">
        <v>477</v>
      </c>
    </row>
    <row r="29817">
      <c r="B29817" s="17" t="s">
        <v>477</v>
      </c>
      <c r="K29817" s="18" t="s">
        <v>477</v>
      </c>
    </row>
    <row r="29818">
      <c r="B29818" s="17" t="s">
        <v>477</v>
      </c>
      <c r="K29818" s="18" t="s">
        <v>477</v>
      </c>
    </row>
    <row r="29819">
      <c r="B29819" s="17" t="s">
        <v>477</v>
      </c>
      <c r="K29819" s="18" t="s">
        <v>477</v>
      </c>
    </row>
    <row r="29820">
      <c r="B29820" s="17" t="s">
        <v>477</v>
      </c>
      <c r="K29820" s="18" t="s">
        <v>477</v>
      </c>
    </row>
    <row r="29821">
      <c r="B29821" s="17" t="s">
        <v>477</v>
      </c>
      <c r="K29821" s="18" t="s">
        <v>477</v>
      </c>
    </row>
    <row r="29822">
      <c r="B29822" s="17" t="s">
        <v>477</v>
      </c>
      <c r="K29822" s="18" t="s">
        <v>477</v>
      </c>
    </row>
    <row r="29823">
      <c r="B29823" s="17" t="s">
        <v>477</v>
      </c>
      <c r="K29823" s="18" t="s">
        <v>477</v>
      </c>
    </row>
    <row r="29824">
      <c r="B29824" s="17" t="s">
        <v>477</v>
      </c>
      <c r="K29824" s="18" t="s">
        <v>477</v>
      </c>
    </row>
    <row r="29825">
      <c r="B29825" s="17" t="s">
        <v>477</v>
      </c>
      <c r="K29825" s="18" t="s">
        <v>477</v>
      </c>
    </row>
    <row r="29826">
      <c r="B29826" s="17" t="s">
        <v>477</v>
      </c>
      <c r="K29826" s="18" t="s">
        <v>477</v>
      </c>
    </row>
    <row r="29827">
      <c r="B29827" s="17" t="s">
        <v>477</v>
      </c>
      <c r="K29827" s="18" t="s">
        <v>477</v>
      </c>
    </row>
    <row r="29828">
      <c r="B29828" s="17" t="s">
        <v>477</v>
      </c>
      <c r="K29828" s="18" t="s">
        <v>477</v>
      </c>
    </row>
    <row r="29829">
      <c r="B29829" s="17" t="s">
        <v>477</v>
      </c>
      <c r="K29829" s="18" t="s">
        <v>477</v>
      </c>
    </row>
    <row r="29830">
      <c r="B29830" s="17" t="s">
        <v>477</v>
      </c>
      <c r="K29830" s="18" t="s">
        <v>477</v>
      </c>
    </row>
    <row r="29831">
      <c r="B29831" s="17" t="s">
        <v>477</v>
      </c>
      <c r="K29831" s="18" t="s">
        <v>477</v>
      </c>
    </row>
    <row r="29832">
      <c r="B29832" s="17" t="s">
        <v>477</v>
      </c>
      <c r="K29832" s="18" t="s">
        <v>477</v>
      </c>
    </row>
    <row r="29833">
      <c r="B29833" s="17" t="s">
        <v>477</v>
      </c>
      <c r="K29833" s="18" t="s">
        <v>477</v>
      </c>
    </row>
    <row r="29834">
      <c r="B29834" s="17" t="s">
        <v>477</v>
      </c>
      <c r="K29834" s="18" t="s">
        <v>477</v>
      </c>
    </row>
    <row r="29835">
      <c r="B29835" s="17" t="s">
        <v>477</v>
      </c>
      <c r="K29835" s="18" t="s">
        <v>477</v>
      </c>
    </row>
    <row r="29836">
      <c r="B29836" s="17" t="s">
        <v>477</v>
      </c>
      <c r="K29836" s="18" t="s">
        <v>477</v>
      </c>
    </row>
    <row r="29837">
      <c r="B29837" s="17" t="s">
        <v>477</v>
      </c>
      <c r="K29837" s="18" t="s">
        <v>477</v>
      </c>
    </row>
    <row r="29838">
      <c r="B29838" s="17" t="s">
        <v>477</v>
      </c>
      <c r="K29838" s="18" t="s">
        <v>477</v>
      </c>
    </row>
    <row r="29839">
      <c r="B29839" s="17" t="s">
        <v>477</v>
      </c>
      <c r="K29839" s="18" t="s">
        <v>477</v>
      </c>
    </row>
    <row r="29840">
      <c r="B29840" s="17" t="s">
        <v>477</v>
      </c>
      <c r="K29840" s="18" t="s">
        <v>477</v>
      </c>
    </row>
    <row r="29841">
      <c r="B29841" s="17" t="s">
        <v>477</v>
      </c>
      <c r="K29841" s="18" t="s">
        <v>477</v>
      </c>
    </row>
    <row r="29842">
      <c r="B29842" s="17" t="s">
        <v>477</v>
      </c>
      <c r="K29842" s="18" t="s">
        <v>477</v>
      </c>
    </row>
    <row r="29843">
      <c r="B29843" s="17" t="s">
        <v>477</v>
      </c>
      <c r="K29843" s="18" t="s">
        <v>477</v>
      </c>
    </row>
    <row r="29844">
      <c r="B29844" s="17" t="s">
        <v>477</v>
      </c>
      <c r="K29844" s="18" t="s">
        <v>477</v>
      </c>
    </row>
    <row r="29845">
      <c r="B29845" s="17" t="s">
        <v>477</v>
      </c>
      <c r="K29845" s="18" t="s">
        <v>477</v>
      </c>
    </row>
    <row r="29846">
      <c r="B29846" s="17" t="s">
        <v>477</v>
      </c>
      <c r="K29846" s="18" t="s">
        <v>477</v>
      </c>
    </row>
    <row r="29847">
      <c r="B29847" s="17" t="s">
        <v>477</v>
      </c>
      <c r="K29847" s="18" t="s">
        <v>477</v>
      </c>
    </row>
    <row r="29848">
      <c r="B29848" s="17" t="s">
        <v>477</v>
      </c>
      <c r="K29848" s="18" t="s">
        <v>477</v>
      </c>
    </row>
    <row r="29849">
      <c r="B29849" s="17" t="s">
        <v>477</v>
      </c>
      <c r="K29849" s="18" t="s">
        <v>477</v>
      </c>
    </row>
    <row r="29850">
      <c r="B29850" s="17" t="s">
        <v>477</v>
      </c>
      <c r="K29850" s="18" t="s">
        <v>477</v>
      </c>
    </row>
    <row r="29851">
      <c r="B29851" s="17" t="s">
        <v>477</v>
      </c>
      <c r="K29851" s="18" t="s">
        <v>477</v>
      </c>
    </row>
    <row r="29852">
      <c r="B29852" s="17" t="s">
        <v>477</v>
      </c>
      <c r="K29852" s="18" t="s">
        <v>477</v>
      </c>
    </row>
    <row r="29853">
      <c r="B29853" s="17" t="s">
        <v>477</v>
      </c>
      <c r="K29853" s="18" t="s">
        <v>477</v>
      </c>
    </row>
    <row r="29854">
      <c r="B29854" s="17" t="s">
        <v>477</v>
      </c>
      <c r="K29854" s="18" t="s">
        <v>477</v>
      </c>
    </row>
    <row r="29855">
      <c r="B29855" s="17" t="s">
        <v>477</v>
      </c>
      <c r="K29855" s="18" t="s">
        <v>477</v>
      </c>
    </row>
    <row r="29856">
      <c r="B29856" s="17" t="s">
        <v>477</v>
      </c>
      <c r="K29856" s="18" t="s">
        <v>477</v>
      </c>
    </row>
    <row r="29857">
      <c r="B29857" s="17" t="s">
        <v>477</v>
      </c>
      <c r="K29857" s="18" t="s">
        <v>477</v>
      </c>
    </row>
    <row r="29858">
      <c r="B29858" s="17" t="s">
        <v>477</v>
      </c>
      <c r="K29858" s="18" t="s">
        <v>477</v>
      </c>
    </row>
    <row r="29859">
      <c r="B29859" s="17" t="s">
        <v>477</v>
      </c>
      <c r="K29859" s="18" t="s">
        <v>477</v>
      </c>
    </row>
    <row r="29860">
      <c r="B29860" s="17" t="s">
        <v>477</v>
      </c>
      <c r="K29860" s="18" t="s">
        <v>477</v>
      </c>
    </row>
    <row r="29861">
      <c r="B29861" s="17" t="s">
        <v>477</v>
      </c>
      <c r="K29861" s="18" t="s">
        <v>477</v>
      </c>
    </row>
    <row r="29862">
      <c r="B29862" s="17" t="s">
        <v>477</v>
      </c>
      <c r="K29862" s="18" t="s">
        <v>477</v>
      </c>
    </row>
    <row r="29863">
      <c r="B29863" s="17" t="s">
        <v>477</v>
      </c>
      <c r="K29863" s="18" t="s">
        <v>477</v>
      </c>
    </row>
    <row r="29864">
      <c r="B29864" s="17" t="s">
        <v>477</v>
      </c>
      <c r="K29864" s="18" t="s">
        <v>477</v>
      </c>
    </row>
    <row r="29865">
      <c r="B29865" s="17" t="s">
        <v>477</v>
      </c>
      <c r="K29865" s="18" t="s">
        <v>477</v>
      </c>
    </row>
    <row r="29866">
      <c r="B29866" s="17" t="s">
        <v>477</v>
      </c>
      <c r="K29866" s="18" t="s">
        <v>477</v>
      </c>
    </row>
    <row r="29867">
      <c r="B29867" s="17" t="s">
        <v>477</v>
      </c>
      <c r="K29867" s="18" t="s">
        <v>477</v>
      </c>
    </row>
    <row r="29868">
      <c r="B29868" s="17" t="s">
        <v>477</v>
      </c>
      <c r="K29868" s="18" t="s">
        <v>477</v>
      </c>
    </row>
    <row r="29869">
      <c r="B29869" s="17" t="s">
        <v>477</v>
      </c>
      <c r="K29869" s="18" t="s">
        <v>477</v>
      </c>
    </row>
    <row r="29870">
      <c r="B29870" s="17" t="s">
        <v>477</v>
      </c>
      <c r="K29870" s="18" t="s">
        <v>477</v>
      </c>
    </row>
    <row r="29871">
      <c r="B29871" s="17" t="s">
        <v>477</v>
      </c>
      <c r="K29871" s="18" t="s">
        <v>477</v>
      </c>
    </row>
    <row r="29872">
      <c r="B29872" s="17" t="s">
        <v>477</v>
      </c>
      <c r="K29872" s="18" t="s">
        <v>477</v>
      </c>
    </row>
    <row r="29873">
      <c r="B29873" s="17" t="s">
        <v>477</v>
      </c>
      <c r="K29873" s="18" t="s">
        <v>477</v>
      </c>
    </row>
    <row r="29874">
      <c r="B29874" s="17" t="s">
        <v>477</v>
      </c>
      <c r="K29874" s="18" t="s">
        <v>477</v>
      </c>
    </row>
    <row r="29875">
      <c r="B29875" s="17" t="s">
        <v>477</v>
      </c>
      <c r="K29875" s="18" t="s">
        <v>477</v>
      </c>
    </row>
    <row r="29876">
      <c r="B29876" s="17" t="s">
        <v>477</v>
      </c>
      <c r="K29876" s="18" t="s">
        <v>477</v>
      </c>
    </row>
    <row r="29877">
      <c r="B29877" s="17" t="s">
        <v>477</v>
      </c>
      <c r="K29877" s="18" t="s">
        <v>477</v>
      </c>
    </row>
    <row r="29878">
      <c r="B29878" s="17" t="s">
        <v>477</v>
      </c>
      <c r="K29878" s="18" t="s">
        <v>477</v>
      </c>
    </row>
    <row r="29879">
      <c r="B29879" s="17" t="s">
        <v>477</v>
      </c>
      <c r="K29879" s="18" t="s">
        <v>477</v>
      </c>
    </row>
    <row r="29880">
      <c r="B29880" s="17" t="s">
        <v>477</v>
      </c>
      <c r="K29880" s="18" t="s">
        <v>477</v>
      </c>
    </row>
    <row r="29881">
      <c r="B29881" s="17" t="s">
        <v>477</v>
      </c>
      <c r="K29881" s="18" t="s">
        <v>477</v>
      </c>
    </row>
    <row r="29882">
      <c r="B29882" s="17" t="s">
        <v>477</v>
      </c>
      <c r="K29882" s="18" t="s">
        <v>477</v>
      </c>
    </row>
    <row r="29883">
      <c r="B29883" s="17" t="s">
        <v>477</v>
      </c>
      <c r="K29883" s="18" t="s">
        <v>477</v>
      </c>
    </row>
    <row r="29884">
      <c r="B29884" s="17" t="s">
        <v>477</v>
      </c>
      <c r="K29884" s="18" t="s">
        <v>477</v>
      </c>
    </row>
    <row r="29885">
      <c r="B29885" s="17" t="s">
        <v>477</v>
      </c>
      <c r="K29885" s="18" t="s">
        <v>477</v>
      </c>
    </row>
    <row r="29886">
      <c r="B29886" s="17" t="s">
        <v>477</v>
      </c>
      <c r="K29886" s="18" t="s">
        <v>477</v>
      </c>
    </row>
    <row r="29887">
      <c r="B29887" s="17" t="s">
        <v>477</v>
      </c>
      <c r="K29887" s="18" t="s">
        <v>477</v>
      </c>
    </row>
    <row r="29888">
      <c r="B29888" s="17" t="s">
        <v>477</v>
      </c>
      <c r="K29888" s="18" t="s">
        <v>477</v>
      </c>
    </row>
    <row r="29889">
      <c r="B29889" s="17" t="s">
        <v>477</v>
      </c>
      <c r="K29889" s="18" t="s">
        <v>477</v>
      </c>
    </row>
    <row r="29890">
      <c r="B29890" s="17" t="s">
        <v>477</v>
      </c>
      <c r="K29890" s="18" t="s">
        <v>477</v>
      </c>
    </row>
    <row r="29891">
      <c r="B29891" s="17" t="s">
        <v>477</v>
      </c>
      <c r="K29891" s="18" t="s">
        <v>477</v>
      </c>
    </row>
    <row r="29892">
      <c r="B29892" s="17" t="s">
        <v>477</v>
      </c>
      <c r="K29892" s="18" t="s">
        <v>477</v>
      </c>
    </row>
    <row r="29893">
      <c r="B29893" s="17" t="s">
        <v>477</v>
      </c>
      <c r="K29893" s="18" t="s">
        <v>477</v>
      </c>
    </row>
    <row r="29894">
      <c r="B29894" s="17" t="s">
        <v>477</v>
      </c>
      <c r="K29894" s="18" t="s">
        <v>477</v>
      </c>
    </row>
    <row r="29895">
      <c r="B29895" s="17" t="s">
        <v>477</v>
      </c>
      <c r="K29895" s="18" t="s">
        <v>477</v>
      </c>
    </row>
    <row r="29896">
      <c r="B29896" s="17" t="s">
        <v>477</v>
      </c>
      <c r="K29896" s="18" t="s">
        <v>477</v>
      </c>
    </row>
    <row r="29897">
      <c r="B29897" s="17" t="s">
        <v>477</v>
      </c>
      <c r="K29897" s="18" t="s">
        <v>477</v>
      </c>
    </row>
    <row r="29898">
      <c r="B29898" s="17" t="s">
        <v>477</v>
      </c>
      <c r="K29898" s="18" t="s">
        <v>477</v>
      </c>
    </row>
    <row r="29899">
      <c r="B29899" s="17" t="s">
        <v>477</v>
      </c>
      <c r="K29899" s="18" t="s">
        <v>477</v>
      </c>
    </row>
    <row r="29900">
      <c r="B29900" s="17" t="s">
        <v>477</v>
      </c>
      <c r="K29900" s="18" t="s">
        <v>477</v>
      </c>
    </row>
    <row r="29901">
      <c r="B29901" s="17" t="s">
        <v>477</v>
      </c>
      <c r="K29901" s="18" t="s">
        <v>477</v>
      </c>
    </row>
    <row r="29902">
      <c r="B29902" s="17" t="s">
        <v>477</v>
      </c>
      <c r="K29902" s="18" t="s">
        <v>477</v>
      </c>
    </row>
    <row r="29903">
      <c r="B29903" s="17" t="s">
        <v>477</v>
      </c>
      <c r="K29903" s="18" t="s">
        <v>477</v>
      </c>
    </row>
    <row r="29904">
      <c r="B29904" s="17" t="s">
        <v>477</v>
      </c>
      <c r="K29904" s="18" t="s">
        <v>477</v>
      </c>
    </row>
    <row r="29905">
      <c r="B29905" s="17" t="s">
        <v>477</v>
      </c>
      <c r="K29905" s="18" t="s">
        <v>477</v>
      </c>
    </row>
    <row r="29906">
      <c r="B29906" s="17" t="s">
        <v>477</v>
      </c>
      <c r="K29906" s="18" t="s">
        <v>477</v>
      </c>
    </row>
    <row r="29907">
      <c r="B29907" s="17" t="s">
        <v>477</v>
      </c>
      <c r="K29907" s="18" t="s">
        <v>477</v>
      </c>
    </row>
    <row r="29908">
      <c r="B29908" s="17" t="s">
        <v>477</v>
      </c>
      <c r="K29908" s="18" t="s">
        <v>477</v>
      </c>
    </row>
    <row r="29909">
      <c r="B29909" s="17" t="s">
        <v>477</v>
      </c>
      <c r="K29909" s="18" t="s">
        <v>477</v>
      </c>
    </row>
    <row r="29910">
      <c r="B29910" s="17" t="s">
        <v>477</v>
      </c>
      <c r="K29910" s="18" t="s">
        <v>477</v>
      </c>
    </row>
    <row r="29911">
      <c r="B29911" s="17" t="s">
        <v>477</v>
      </c>
      <c r="K29911" s="18" t="s">
        <v>477</v>
      </c>
    </row>
    <row r="29912">
      <c r="B29912" s="17" t="s">
        <v>477</v>
      </c>
      <c r="K29912" s="18" t="s">
        <v>477</v>
      </c>
    </row>
    <row r="29913">
      <c r="B29913" s="17" t="s">
        <v>477</v>
      </c>
      <c r="K29913" s="18" t="s">
        <v>477</v>
      </c>
    </row>
    <row r="29914">
      <c r="B29914" s="17" t="s">
        <v>477</v>
      </c>
      <c r="K29914" s="18" t="s">
        <v>477</v>
      </c>
    </row>
    <row r="29915">
      <c r="B29915" s="17" t="s">
        <v>477</v>
      </c>
      <c r="K29915" s="18" t="s">
        <v>477</v>
      </c>
    </row>
    <row r="29916">
      <c r="B29916" s="17" t="s">
        <v>477</v>
      </c>
      <c r="K29916" s="18" t="s">
        <v>477</v>
      </c>
    </row>
    <row r="29917">
      <c r="B29917" s="17" t="s">
        <v>477</v>
      </c>
      <c r="K29917" s="18" t="s">
        <v>477</v>
      </c>
    </row>
    <row r="29918">
      <c r="B29918" s="17" t="s">
        <v>477</v>
      </c>
      <c r="K29918" s="18" t="s">
        <v>477</v>
      </c>
    </row>
    <row r="29919">
      <c r="B29919" s="17" t="s">
        <v>477</v>
      </c>
      <c r="K29919" s="18" t="s">
        <v>477</v>
      </c>
    </row>
    <row r="29920">
      <c r="B29920" s="17" t="s">
        <v>477</v>
      </c>
      <c r="K29920" s="18" t="s">
        <v>477</v>
      </c>
    </row>
    <row r="29921">
      <c r="B29921" s="17" t="s">
        <v>477</v>
      </c>
      <c r="K29921" s="18" t="s">
        <v>477</v>
      </c>
    </row>
    <row r="29922">
      <c r="B29922" s="17" t="s">
        <v>477</v>
      </c>
      <c r="K29922" s="18" t="s">
        <v>477</v>
      </c>
    </row>
    <row r="29923">
      <c r="B29923" s="17" t="s">
        <v>477</v>
      </c>
      <c r="K29923" s="18" t="s">
        <v>477</v>
      </c>
    </row>
    <row r="29924">
      <c r="B29924" s="17" t="s">
        <v>477</v>
      </c>
      <c r="K29924" s="18" t="s">
        <v>477</v>
      </c>
    </row>
    <row r="29925">
      <c r="B29925" s="17" t="s">
        <v>477</v>
      </c>
      <c r="K29925" s="18" t="s">
        <v>477</v>
      </c>
    </row>
    <row r="29926">
      <c r="B29926" s="17" t="s">
        <v>477</v>
      </c>
      <c r="K29926" s="18" t="s">
        <v>477</v>
      </c>
    </row>
    <row r="29927">
      <c r="B29927" s="17" t="s">
        <v>477</v>
      </c>
      <c r="K29927" s="18" t="s">
        <v>477</v>
      </c>
    </row>
    <row r="29928">
      <c r="B29928" s="17" t="s">
        <v>477</v>
      </c>
      <c r="K29928" s="18" t="s">
        <v>477</v>
      </c>
    </row>
    <row r="29929">
      <c r="B29929" s="17" t="s">
        <v>477</v>
      </c>
      <c r="K29929" s="18" t="s">
        <v>477</v>
      </c>
    </row>
    <row r="29930">
      <c r="B29930" s="17" t="s">
        <v>477</v>
      </c>
      <c r="K29930" s="18" t="s">
        <v>477</v>
      </c>
    </row>
    <row r="29931">
      <c r="B29931" s="17" t="s">
        <v>477</v>
      </c>
      <c r="K29931" s="18" t="s">
        <v>477</v>
      </c>
    </row>
    <row r="29932">
      <c r="B29932" s="17" t="s">
        <v>477</v>
      </c>
      <c r="K29932" s="18" t="s">
        <v>477</v>
      </c>
    </row>
    <row r="29933">
      <c r="B29933" s="17" t="s">
        <v>477</v>
      </c>
      <c r="K29933" s="18" t="s">
        <v>477</v>
      </c>
    </row>
    <row r="29934">
      <c r="B29934" s="17" t="s">
        <v>477</v>
      </c>
      <c r="K29934" s="18" t="s">
        <v>477</v>
      </c>
    </row>
    <row r="29935">
      <c r="B29935" s="17" t="s">
        <v>477</v>
      </c>
      <c r="K29935" s="18" t="s">
        <v>477</v>
      </c>
    </row>
    <row r="29936">
      <c r="B29936" s="17" t="s">
        <v>477</v>
      </c>
      <c r="K29936" s="18" t="s">
        <v>477</v>
      </c>
    </row>
    <row r="29937">
      <c r="B29937" s="17" t="s">
        <v>477</v>
      </c>
      <c r="K29937" s="18" t="s">
        <v>477</v>
      </c>
    </row>
    <row r="29938">
      <c r="B29938" s="17" t="s">
        <v>477</v>
      </c>
      <c r="K29938" s="18" t="s">
        <v>477</v>
      </c>
    </row>
    <row r="29939">
      <c r="B29939" s="17" t="s">
        <v>477</v>
      </c>
      <c r="K29939" s="18" t="s">
        <v>477</v>
      </c>
    </row>
    <row r="29940">
      <c r="B29940" s="17" t="s">
        <v>477</v>
      </c>
      <c r="K29940" s="18" t="s">
        <v>477</v>
      </c>
    </row>
    <row r="29941">
      <c r="B29941" s="17" t="s">
        <v>477</v>
      </c>
      <c r="K29941" s="18" t="s">
        <v>477</v>
      </c>
    </row>
    <row r="29942">
      <c r="B29942" s="17" t="s">
        <v>477</v>
      </c>
      <c r="K29942" s="18" t="s">
        <v>477</v>
      </c>
    </row>
    <row r="29943">
      <c r="B29943" s="17" t="s">
        <v>477</v>
      </c>
      <c r="K29943" s="18" t="s">
        <v>477</v>
      </c>
    </row>
    <row r="29944">
      <c r="B29944" s="17" t="s">
        <v>477</v>
      </c>
      <c r="K29944" s="18" t="s">
        <v>477</v>
      </c>
    </row>
    <row r="29945">
      <c r="B29945" s="17" t="s">
        <v>477</v>
      </c>
      <c r="K29945" s="18" t="s">
        <v>477</v>
      </c>
    </row>
    <row r="29946">
      <c r="B29946" s="17" t="s">
        <v>477</v>
      </c>
      <c r="K29946" s="18" t="s">
        <v>477</v>
      </c>
    </row>
    <row r="29947">
      <c r="B29947" s="17" t="s">
        <v>477</v>
      </c>
      <c r="K29947" s="18" t="s">
        <v>477</v>
      </c>
    </row>
    <row r="29948">
      <c r="B29948" s="17" t="s">
        <v>477</v>
      </c>
      <c r="K29948" s="18" t="s">
        <v>477</v>
      </c>
    </row>
    <row r="29949">
      <c r="B29949" s="17" t="s">
        <v>477</v>
      </c>
      <c r="K29949" s="18" t="s">
        <v>477</v>
      </c>
    </row>
    <row r="29950">
      <c r="B29950" s="17" t="s">
        <v>477</v>
      </c>
      <c r="K29950" s="18" t="s">
        <v>477</v>
      </c>
    </row>
    <row r="29951">
      <c r="B29951" s="17" t="s">
        <v>477</v>
      </c>
      <c r="K29951" s="18" t="s">
        <v>477</v>
      </c>
    </row>
    <row r="29952">
      <c r="B29952" s="17" t="s">
        <v>477</v>
      </c>
      <c r="K29952" s="18" t="s">
        <v>477</v>
      </c>
    </row>
    <row r="29953">
      <c r="B29953" s="17" t="s">
        <v>477</v>
      </c>
      <c r="K29953" s="18" t="s">
        <v>477</v>
      </c>
    </row>
    <row r="29954">
      <c r="B29954" s="17" t="s">
        <v>477</v>
      </c>
      <c r="K29954" s="18" t="s">
        <v>477</v>
      </c>
    </row>
    <row r="29955">
      <c r="B29955" s="17" t="s">
        <v>477</v>
      </c>
      <c r="K29955" s="18" t="s">
        <v>477</v>
      </c>
    </row>
    <row r="29956">
      <c r="B29956" s="17" t="s">
        <v>477</v>
      </c>
      <c r="K29956" s="18" t="s">
        <v>477</v>
      </c>
    </row>
    <row r="29957">
      <c r="B29957" s="17" t="s">
        <v>477</v>
      </c>
      <c r="K29957" s="18" t="s">
        <v>477</v>
      </c>
    </row>
    <row r="29958">
      <c r="B29958" s="17" t="s">
        <v>477</v>
      </c>
      <c r="K29958" s="18" t="s">
        <v>477</v>
      </c>
    </row>
    <row r="29959">
      <c r="B29959" s="17" t="s">
        <v>477</v>
      </c>
      <c r="K29959" s="18" t="s">
        <v>477</v>
      </c>
    </row>
    <row r="29960">
      <c r="B29960" s="17" t="s">
        <v>477</v>
      </c>
      <c r="K29960" s="18" t="s">
        <v>477</v>
      </c>
    </row>
    <row r="29961">
      <c r="B29961" s="17" t="s">
        <v>477</v>
      </c>
      <c r="K29961" s="18" t="s">
        <v>477</v>
      </c>
    </row>
    <row r="29962">
      <c r="B29962" s="17" t="s">
        <v>477</v>
      </c>
      <c r="K29962" s="18" t="s">
        <v>477</v>
      </c>
    </row>
    <row r="29963">
      <c r="B29963" s="17" t="s">
        <v>477</v>
      </c>
      <c r="K29963" s="18" t="s">
        <v>477</v>
      </c>
    </row>
    <row r="29964">
      <c r="B29964" s="17" t="s">
        <v>477</v>
      </c>
      <c r="K29964" s="18" t="s">
        <v>477</v>
      </c>
    </row>
    <row r="29965">
      <c r="B29965" s="17" t="s">
        <v>477</v>
      </c>
      <c r="K29965" s="18" t="s">
        <v>477</v>
      </c>
    </row>
    <row r="29966">
      <c r="B29966" s="17" t="s">
        <v>477</v>
      </c>
      <c r="K29966" s="18" t="s">
        <v>477</v>
      </c>
    </row>
    <row r="29967">
      <c r="B29967" s="17" t="s">
        <v>477</v>
      </c>
      <c r="K29967" s="18" t="s">
        <v>477</v>
      </c>
    </row>
    <row r="29968">
      <c r="B29968" s="17" t="s">
        <v>477</v>
      </c>
      <c r="K29968" s="18" t="s">
        <v>477</v>
      </c>
    </row>
    <row r="29969">
      <c r="B29969" s="17" t="s">
        <v>477</v>
      </c>
      <c r="K29969" s="18" t="s">
        <v>477</v>
      </c>
    </row>
    <row r="29970">
      <c r="B29970" s="17" t="s">
        <v>477</v>
      </c>
      <c r="K29970" s="18" t="s">
        <v>477</v>
      </c>
    </row>
    <row r="29971">
      <c r="B29971" s="17" t="s">
        <v>477</v>
      </c>
      <c r="K29971" s="18" t="s">
        <v>477</v>
      </c>
    </row>
    <row r="29972">
      <c r="B29972" s="17" t="s">
        <v>477</v>
      </c>
      <c r="K29972" s="18" t="s">
        <v>477</v>
      </c>
    </row>
    <row r="29973">
      <c r="B29973" s="17" t="s">
        <v>477</v>
      </c>
      <c r="K29973" s="18" t="s">
        <v>477</v>
      </c>
    </row>
    <row r="29974">
      <c r="B29974" s="17" t="s">
        <v>477</v>
      </c>
      <c r="K29974" s="18" t="s">
        <v>477</v>
      </c>
    </row>
    <row r="29975">
      <c r="B29975" s="17" t="s">
        <v>477</v>
      </c>
      <c r="K29975" s="18" t="s">
        <v>477</v>
      </c>
    </row>
    <row r="29976">
      <c r="B29976" s="17" t="s">
        <v>477</v>
      </c>
      <c r="K29976" s="18" t="s">
        <v>477</v>
      </c>
    </row>
    <row r="29977">
      <c r="B29977" s="17" t="s">
        <v>477</v>
      </c>
      <c r="K29977" s="18" t="s">
        <v>477</v>
      </c>
    </row>
    <row r="29978">
      <c r="B29978" s="17" t="s">
        <v>477</v>
      </c>
      <c r="K29978" s="18" t="s">
        <v>477</v>
      </c>
    </row>
    <row r="29979">
      <c r="B29979" s="17" t="s">
        <v>477</v>
      </c>
      <c r="K29979" s="18" t="s">
        <v>477</v>
      </c>
    </row>
    <row r="29980">
      <c r="B29980" s="17" t="s">
        <v>477</v>
      </c>
      <c r="K29980" s="18" t="s">
        <v>477</v>
      </c>
    </row>
    <row r="29981">
      <c r="B29981" s="17" t="s">
        <v>477</v>
      </c>
      <c r="K29981" s="18" t="s">
        <v>477</v>
      </c>
    </row>
    <row r="29982">
      <c r="B29982" s="17" t="s">
        <v>477</v>
      </c>
      <c r="K29982" s="18" t="s">
        <v>477</v>
      </c>
    </row>
    <row r="29983">
      <c r="B29983" s="17" t="s">
        <v>477</v>
      </c>
      <c r="K29983" s="18" t="s">
        <v>477</v>
      </c>
    </row>
    <row r="29984">
      <c r="B29984" s="17" t="s">
        <v>477</v>
      </c>
      <c r="K29984" s="18" t="s">
        <v>477</v>
      </c>
    </row>
    <row r="29985">
      <c r="B29985" s="17" t="s">
        <v>477</v>
      </c>
      <c r="K29985" s="18" t="s">
        <v>477</v>
      </c>
    </row>
    <row r="29986">
      <c r="B29986" s="17" t="s">
        <v>477</v>
      </c>
      <c r="K29986" s="18" t="s">
        <v>477</v>
      </c>
    </row>
    <row r="29987">
      <c r="B29987" s="17" t="s">
        <v>477</v>
      </c>
      <c r="K29987" s="18" t="s">
        <v>477</v>
      </c>
    </row>
    <row r="29988">
      <c r="B29988" s="17" t="s">
        <v>477</v>
      </c>
      <c r="K29988" s="18" t="s">
        <v>477</v>
      </c>
    </row>
    <row r="29989">
      <c r="B29989" s="17" t="s">
        <v>477</v>
      </c>
      <c r="K29989" s="18" t="s">
        <v>477</v>
      </c>
    </row>
    <row r="29990">
      <c r="B29990" s="17" t="s">
        <v>477</v>
      </c>
      <c r="K29990" s="18" t="s">
        <v>477</v>
      </c>
    </row>
    <row r="29991">
      <c r="B29991" s="17" t="s">
        <v>477</v>
      </c>
      <c r="K29991" s="18" t="s">
        <v>477</v>
      </c>
    </row>
    <row r="29992">
      <c r="B29992" s="17" t="s">
        <v>477</v>
      </c>
      <c r="K29992" s="18" t="s">
        <v>477</v>
      </c>
    </row>
    <row r="29993">
      <c r="B29993" s="17" t="s">
        <v>477</v>
      </c>
      <c r="K29993" s="18" t="s">
        <v>477</v>
      </c>
    </row>
    <row r="29994">
      <c r="B29994" s="17" t="s">
        <v>477</v>
      </c>
      <c r="K29994" s="18" t="s">
        <v>477</v>
      </c>
    </row>
    <row r="29995">
      <c r="B29995" s="17" t="s">
        <v>477</v>
      </c>
      <c r="K29995" s="18" t="s">
        <v>477</v>
      </c>
    </row>
    <row r="29996">
      <c r="B29996" s="17" t="s">
        <v>477</v>
      </c>
      <c r="K29996" s="18" t="s">
        <v>477</v>
      </c>
    </row>
    <row r="29997">
      <c r="B29997" s="17" t="s">
        <v>477</v>
      </c>
      <c r="K29997" s="18" t="s">
        <v>477</v>
      </c>
    </row>
    <row r="29998">
      <c r="B29998" s="17" t="s">
        <v>477</v>
      </c>
      <c r="K29998" s="18" t="s">
        <v>477</v>
      </c>
    </row>
    <row r="29999">
      <c r="B29999" s="17" t="s">
        <v>477</v>
      </c>
      <c r="K29999" s="18" t="s">
        <v>477</v>
      </c>
    </row>
    <row r="30000">
      <c r="B30000" s="17" t="s">
        <v>477</v>
      </c>
      <c r="K30000" s="18" t="s">
        <v>477</v>
      </c>
    </row>
    <row r="30001">
      <c r="B30001" s="17" t="s">
        <v>477</v>
      </c>
      <c r="K30001" s="18" t="s">
        <v>477</v>
      </c>
    </row>
    <row r="30002">
      <c r="B30002" s="17" t="s">
        <v>477</v>
      </c>
      <c r="K30002" s="18" t="s">
        <v>477</v>
      </c>
    </row>
    <row r="30003">
      <c r="B30003" s="17" t="s">
        <v>477</v>
      </c>
      <c r="K30003" s="18" t="s">
        <v>477</v>
      </c>
    </row>
    <row r="30004">
      <c r="B30004" s="17" t="s">
        <v>477</v>
      </c>
      <c r="K30004" s="18" t="s">
        <v>477</v>
      </c>
    </row>
    <row r="30005">
      <c r="B30005" s="17" t="s">
        <v>477</v>
      </c>
      <c r="K30005" s="18" t="s">
        <v>477</v>
      </c>
    </row>
    <row r="30006">
      <c r="B30006" s="17" t="s">
        <v>477</v>
      </c>
      <c r="K30006" s="18" t="s">
        <v>477</v>
      </c>
    </row>
    <row r="30007">
      <c r="B30007" s="17" t="s">
        <v>477</v>
      </c>
      <c r="K30007" s="18" t="s">
        <v>477</v>
      </c>
    </row>
    <row r="30008">
      <c r="B30008" s="17" t="s">
        <v>477</v>
      </c>
      <c r="K30008" s="18" t="s">
        <v>477</v>
      </c>
    </row>
    <row r="30009">
      <c r="B30009" s="17" t="s">
        <v>477</v>
      </c>
      <c r="K30009" s="18" t="s">
        <v>477</v>
      </c>
    </row>
    <row r="30010">
      <c r="B30010" s="17" t="s">
        <v>477</v>
      </c>
      <c r="K30010" s="18" t="s">
        <v>477</v>
      </c>
    </row>
    <row r="30011">
      <c r="B30011" s="17" t="s">
        <v>477</v>
      </c>
      <c r="K30011" s="18" t="s">
        <v>477</v>
      </c>
    </row>
    <row r="30012">
      <c r="B30012" s="17" t="s">
        <v>477</v>
      </c>
      <c r="K30012" s="18" t="s">
        <v>477</v>
      </c>
    </row>
    <row r="30013">
      <c r="B30013" s="17" t="s">
        <v>477</v>
      </c>
      <c r="K30013" s="18" t="s">
        <v>477</v>
      </c>
    </row>
    <row r="30014">
      <c r="B30014" s="17" t="s">
        <v>477</v>
      </c>
      <c r="K30014" s="18" t="s">
        <v>477</v>
      </c>
    </row>
    <row r="30015">
      <c r="B30015" s="17" t="s">
        <v>477</v>
      </c>
      <c r="K30015" s="18" t="s">
        <v>477</v>
      </c>
    </row>
    <row r="30016">
      <c r="B30016" s="17" t="s">
        <v>477</v>
      </c>
      <c r="K30016" s="18" t="s">
        <v>477</v>
      </c>
    </row>
    <row r="30017">
      <c r="B30017" s="17" t="s">
        <v>477</v>
      </c>
      <c r="K30017" s="18" t="s">
        <v>477</v>
      </c>
    </row>
    <row r="30018">
      <c r="B30018" s="17" t="s">
        <v>477</v>
      </c>
      <c r="K30018" s="18" t="s">
        <v>477</v>
      </c>
    </row>
    <row r="30019">
      <c r="B30019" s="17" t="s">
        <v>477</v>
      </c>
      <c r="K30019" s="18" t="s">
        <v>477</v>
      </c>
    </row>
    <row r="30020">
      <c r="B30020" s="17" t="s">
        <v>477</v>
      </c>
      <c r="K30020" s="18" t="s">
        <v>477</v>
      </c>
    </row>
    <row r="30021">
      <c r="B30021" s="17" t="s">
        <v>477</v>
      </c>
      <c r="K30021" s="18" t="s">
        <v>477</v>
      </c>
    </row>
    <row r="30022">
      <c r="B30022" s="17" t="s">
        <v>477</v>
      </c>
      <c r="K30022" s="18" t="s">
        <v>477</v>
      </c>
    </row>
    <row r="30023">
      <c r="B30023" s="17" t="s">
        <v>477</v>
      </c>
      <c r="K30023" s="18" t="s">
        <v>477</v>
      </c>
    </row>
    <row r="30024">
      <c r="B30024" s="17" t="s">
        <v>477</v>
      </c>
      <c r="K30024" s="18" t="s">
        <v>477</v>
      </c>
    </row>
    <row r="30025">
      <c r="B30025" s="17" t="s">
        <v>477</v>
      </c>
      <c r="K30025" s="18" t="s">
        <v>477</v>
      </c>
    </row>
    <row r="30026">
      <c r="B30026" s="17" t="s">
        <v>477</v>
      </c>
      <c r="K30026" s="18" t="s">
        <v>477</v>
      </c>
    </row>
    <row r="30027">
      <c r="B30027" s="17" t="s">
        <v>477</v>
      </c>
      <c r="K30027" s="18" t="s">
        <v>477</v>
      </c>
    </row>
    <row r="30028">
      <c r="B30028" s="17" t="s">
        <v>477</v>
      </c>
      <c r="K30028" s="18" t="s">
        <v>477</v>
      </c>
    </row>
    <row r="30029">
      <c r="B30029" s="17" t="s">
        <v>477</v>
      </c>
      <c r="K30029" s="18" t="s">
        <v>477</v>
      </c>
    </row>
    <row r="30030">
      <c r="B30030" s="17" t="s">
        <v>477</v>
      </c>
      <c r="K30030" s="18" t="s">
        <v>477</v>
      </c>
    </row>
    <row r="30031">
      <c r="B30031" s="17" t="s">
        <v>477</v>
      </c>
      <c r="K30031" s="18" t="s">
        <v>477</v>
      </c>
    </row>
    <row r="30032">
      <c r="B30032" s="17" t="s">
        <v>477</v>
      </c>
      <c r="K30032" s="18" t="s">
        <v>477</v>
      </c>
    </row>
    <row r="30033">
      <c r="B30033" s="17" t="s">
        <v>477</v>
      </c>
      <c r="K30033" s="18" t="s">
        <v>477</v>
      </c>
    </row>
    <row r="30034">
      <c r="B30034" s="17" t="s">
        <v>477</v>
      </c>
      <c r="K30034" s="18" t="s">
        <v>477</v>
      </c>
    </row>
    <row r="30035">
      <c r="B30035" s="17" t="s">
        <v>477</v>
      </c>
      <c r="K30035" s="18" t="s">
        <v>477</v>
      </c>
    </row>
    <row r="30036">
      <c r="B30036" s="17" t="s">
        <v>477</v>
      </c>
      <c r="K30036" s="18" t="s">
        <v>477</v>
      </c>
    </row>
    <row r="30037">
      <c r="B30037" s="17" t="s">
        <v>477</v>
      </c>
      <c r="K30037" s="18" t="s">
        <v>477</v>
      </c>
    </row>
    <row r="30038">
      <c r="B30038" s="17" t="s">
        <v>477</v>
      </c>
      <c r="K30038" s="18" t="s">
        <v>477</v>
      </c>
    </row>
    <row r="30039">
      <c r="B30039" s="17" t="s">
        <v>477</v>
      </c>
      <c r="K30039" s="18" t="s">
        <v>477</v>
      </c>
    </row>
    <row r="30040">
      <c r="B30040" s="17" t="s">
        <v>477</v>
      </c>
      <c r="K30040" s="18" t="s">
        <v>477</v>
      </c>
    </row>
    <row r="30041">
      <c r="B30041" s="17" t="s">
        <v>477</v>
      </c>
      <c r="K30041" s="18" t="s">
        <v>477</v>
      </c>
    </row>
    <row r="30042">
      <c r="B30042" s="17" t="s">
        <v>477</v>
      </c>
      <c r="K30042" s="18" t="s">
        <v>477</v>
      </c>
    </row>
    <row r="30043">
      <c r="B30043" s="17" t="s">
        <v>477</v>
      </c>
      <c r="K30043" s="18" t="s">
        <v>477</v>
      </c>
    </row>
    <row r="30044">
      <c r="B30044" s="17" t="s">
        <v>477</v>
      </c>
      <c r="K30044" s="18" t="s">
        <v>477</v>
      </c>
    </row>
    <row r="30045">
      <c r="B30045" s="17" t="s">
        <v>477</v>
      </c>
      <c r="K30045" s="18" t="s">
        <v>477</v>
      </c>
    </row>
    <row r="30046">
      <c r="B30046" s="17" t="s">
        <v>477</v>
      </c>
      <c r="K30046" s="18" t="s">
        <v>477</v>
      </c>
    </row>
    <row r="30047">
      <c r="B30047" s="17" t="s">
        <v>477</v>
      </c>
      <c r="K30047" s="18" t="s">
        <v>477</v>
      </c>
    </row>
    <row r="30048">
      <c r="B30048" s="17" t="s">
        <v>477</v>
      </c>
      <c r="K30048" s="18" t="s">
        <v>477</v>
      </c>
    </row>
    <row r="30049">
      <c r="B30049" s="17" t="s">
        <v>477</v>
      </c>
      <c r="K30049" s="18" t="s">
        <v>477</v>
      </c>
    </row>
    <row r="30050">
      <c r="B30050" s="17" t="s">
        <v>477</v>
      </c>
      <c r="K30050" s="18" t="s">
        <v>477</v>
      </c>
    </row>
    <row r="30051">
      <c r="B30051" s="17" t="s">
        <v>477</v>
      </c>
      <c r="K30051" s="18" t="s">
        <v>477</v>
      </c>
    </row>
    <row r="30052">
      <c r="B30052" s="17" t="s">
        <v>477</v>
      </c>
      <c r="K30052" s="18" t="s">
        <v>477</v>
      </c>
    </row>
    <row r="30053">
      <c r="B30053" s="17" t="s">
        <v>477</v>
      </c>
      <c r="K30053" s="18" t="s">
        <v>477</v>
      </c>
    </row>
    <row r="30054">
      <c r="B30054" s="17" t="s">
        <v>477</v>
      </c>
      <c r="K30054" s="18" t="s">
        <v>477</v>
      </c>
    </row>
    <row r="30055">
      <c r="B30055" s="17" t="s">
        <v>477</v>
      </c>
      <c r="K30055" s="18" t="s">
        <v>477</v>
      </c>
    </row>
    <row r="30056">
      <c r="B30056" s="17" t="s">
        <v>477</v>
      </c>
      <c r="K30056" s="18" t="s">
        <v>477</v>
      </c>
    </row>
    <row r="30057">
      <c r="B30057" s="17" t="s">
        <v>477</v>
      </c>
      <c r="K30057" s="18" t="s">
        <v>477</v>
      </c>
    </row>
    <row r="30058">
      <c r="B30058" s="17" t="s">
        <v>477</v>
      </c>
      <c r="K30058" s="18" t="s">
        <v>477</v>
      </c>
    </row>
    <row r="30059">
      <c r="B30059" s="17" t="s">
        <v>477</v>
      </c>
      <c r="K30059" s="18" t="s">
        <v>477</v>
      </c>
    </row>
    <row r="30060">
      <c r="B30060" s="17" t="s">
        <v>477</v>
      </c>
      <c r="K30060" s="18" t="s">
        <v>477</v>
      </c>
    </row>
    <row r="30061">
      <c r="B30061" s="17" t="s">
        <v>477</v>
      </c>
      <c r="K30061" s="18" t="s">
        <v>477</v>
      </c>
    </row>
    <row r="30062">
      <c r="B30062" s="17" t="s">
        <v>477</v>
      </c>
      <c r="K30062" s="18" t="s">
        <v>477</v>
      </c>
    </row>
    <row r="30063">
      <c r="B30063" s="17" t="s">
        <v>477</v>
      </c>
      <c r="K30063" s="18" t="s">
        <v>477</v>
      </c>
    </row>
    <row r="30064">
      <c r="B30064" s="17" t="s">
        <v>477</v>
      </c>
      <c r="K30064" s="18" t="s">
        <v>477</v>
      </c>
    </row>
    <row r="30065">
      <c r="B30065" s="17" t="s">
        <v>477</v>
      </c>
      <c r="K30065" s="18" t="s">
        <v>477</v>
      </c>
    </row>
    <row r="30066">
      <c r="B30066" s="17" t="s">
        <v>477</v>
      </c>
      <c r="K30066" s="18" t="s">
        <v>477</v>
      </c>
    </row>
    <row r="30067">
      <c r="B30067" s="17" t="s">
        <v>477</v>
      </c>
      <c r="K30067" s="18" t="s">
        <v>477</v>
      </c>
    </row>
    <row r="30068">
      <c r="B30068" s="17" t="s">
        <v>477</v>
      </c>
      <c r="K30068" s="18" t="s">
        <v>477</v>
      </c>
    </row>
    <row r="30069">
      <c r="B30069" s="17" t="s">
        <v>477</v>
      </c>
      <c r="K30069" s="18" t="s">
        <v>477</v>
      </c>
    </row>
    <row r="30070">
      <c r="B30070" s="17" t="s">
        <v>477</v>
      </c>
      <c r="K30070" s="18" t="s">
        <v>477</v>
      </c>
    </row>
    <row r="30071">
      <c r="B30071" s="17" t="s">
        <v>477</v>
      </c>
      <c r="K30071" s="18" t="s">
        <v>477</v>
      </c>
    </row>
    <row r="30072">
      <c r="B30072" s="17" t="s">
        <v>477</v>
      </c>
      <c r="K30072" s="18" t="s">
        <v>477</v>
      </c>
    </row>
    <row r="30073">
      <c r="B30073" s="17" t="s">
        <v>477</v>
      </c>
      <c r="K30073" s="18" t="s">
        <v>477</v>
      </c>
    </row>
    <row r="30074">
      <c r="B30074" s="17" t="s">
        <v>477</v>
      </c>
      <c r="K30074" s="18" t="s">
        <v>477</v>
      </c>
    </row>
    <row r="30075">
      <c r="B30075" s="17" t="s">
        <v>477</v>
      </c>
      <c r="K30075" s="18" t="s">
        <v>477</v>
      </c>
    </row>
    <row r="30076">
      <c r="B30076" s="17" t="s">
        <v>477</v>
      </c>
      <c r="K30076" s="18" t="s">
        <v>477</v>
      </c>
    </row>
    <row r="30077">
      <c r="B30077" s="17" t="s">
        <v>477</v>
      </c>
      <c r="K30077" s="18" t="s">
        <v>477</v>
      </c>
    </row>
    <row r="30078">
      <c r="B30078" s="17" t="s">
        <v>477</v>
      </c>
      <c r="K30078" s="18" t="s">
        <v>477</v>
      </c>
    </row>
    <row r="30079">
      <c r="B30079" s="17" t="s">
        <v>477</v>
      </c>
      <c r="K30079" s="18" t="s">
        <v>477</v>
      </c>
    </row>
    <row r="30080">
      <c r="B30080" s="17" t="s">
        <v>477</v>
      </c>
      <c r="K30080" s="18" t="s">
        <v>477</v>
      </c>
    </row>
    <row r="30081">
      <c r="B30081" s="17" t="s">
        <v>477</v>
      </c>
      <c r="K30081" s="18" t="s">
        <v>477</v>
      </c>
    </row>
    <row r="30082">
      <c r="B30082" s="17" t="s">
        <v>477</v>
      </c>
      <c r="K30082" s="18" t="s">
        <v>477</v>
      </c>
    </row>
    <row r="30083">
      <c r="B30083" s="17" t="s">
        <v>477</v>
      </c>
      <c r="K30083" s="18" t="s">
        <v>477</v>
      </c>
    </row>
    <row r="30084">
      <c r="B30084" s="17" t="s">
        <v>477</v>
      </c>
      <c r="K30084" s="18" t="s">
        <v>477</v>
      </c>
    </row>
    <row r="30085">
      <c r="B30085" s="17" t="s">
        <v>477</v>
      </c>
      <c r="K30085" s="18" t="s">
        <v>477</v>
      </c>
    </row>
    <row r="30086">
      <c r="B30086" s="17" t="s">
        <v>477</v>
      </c>
      <c r="K30086" s="18" t="s">
        <v>477</v>
      </c>
    </row>
    <row r="30087">
      <c r="B30087" s="17" t="s">
        <v>477</v>
      </c>
      <c r="K30087" s="18" t="s">
        <v>477</v>
      </c>
    </row>
    <row r="30088">
      <c r="B30088" s="17" t="s">
        <v>477</v>
      </c>
      <c r="K30088" s="18" t="s">
        <v>477</v>
      </c>
    </row>
    <row r="30089">
      <c r="B30089" s="17" t="s">
        <v>477</v>
      </c>
      <c r="K30089" s="18" t="s">
        <v>477</v>
      </c>
    </row>
    <row r="30090">
      <c r="B30090" s="17" t="s">
        <v>477</v>
      </c>
      <c r="K30090" s="18" t="s">
        <v>477</v>
      </c>
    </row>
    <row r="30091">
      <c r="B30091" s="17" t="s">
        <v>477</v>
      </c>
      <c r="K30091" s="18" t="s">
        <v>477</v>
      </c>
    </row>
    <row r="30092">
      <c r="B30092" s="17" t="s">
        <v>477</v>
      </c>
      <c r="K30092" s="18" t="s">
        <v>477</v>
      </c>
    </row>
    <row r="30093">
      <c r="B30093" s="17" t="s">
        <v>477</v>
      </c>
      <c r="K30093" s="18" t="s">
        <v>477</v>
      </c>
    </row>
    <row r="30094">
      <c r="B30094" s="17" t="s">
        <v>477</v>
      </c>
      <c r="K30094" s="18" t="s">
        <v>477</v>
      </c>
    </row>
    <row r="30095">
      <c r="B30095" s="17" t="s">
        <v>477</v>
      </c>
      <c r="K30095" s="18" t="s">
        <v>477</v>
      </c>
    </row>
    <row r="30096">
      <c r="B30096" s="17" t="s">
        <v>477</v>
      </c>
      <c r="K30096" s="18" t="s">
        <v>477</v>
      </c>
    </row>
    <row r="30097">
      <c r="B30097" s="17" t="s">
        <v>477</v>
      </c>
      <c r="K30097" s="18" t="s">
        <v>477</v>
      </c>
    </row>
    <row r="30098">
      <c r="B30098" s="17" t="s">
        <v>477</v>
      </c>
      <c r="K30098" s="18" t="s">
        <v>477</v>
      </c>
    </row>
    <row r="30099">
      <c r="B30099" s="17" t="s">
        <v>477</v>
      </c>
      <c r="K30099" s="18" t="s">
        <v>477</v>
      </c>
    </row>
    <row r="30100">
      <c r="B30100" s="17" t="s">
        <v>477</v>
      </c>
      <c r="K30100" s="18" t="s">
        <v>477</v>
      </c>
    </row>
    <row r="30101">
      <c r="B30101" s="17" t="s">
        <v>477</v>
      </c>
      <c r="K30101" s="18" t="s">
        <v>477</v>
      </c>
    </row>
    <row r="30102">
      <c r="B30102" s="17" t="s">
        <v>477</v>
      </c>
      <c r="K30102" s="18" t="s">
        <v>477</v>
      </c>
    </row>
    <row r="30103">
      <c r="B30103" s="17" t="s">
        <v>477</v>
      </c>
      <c r="K30103" s="18" t="s">
        <v>477</v>
      </c>
    </row>
    <row r="30104">
      <c r="B30104" s="17" t="s">
        <v>477</v>
      </c>
      <c r="K30104" s="18" t="s">
        <v>477</v>
      </c>
    </row>
    <row r="30105">
      <c r="B30105" s="17" t="s">
        <v>477</v>
      </c>
      <c r="K30105" s="18" t="s">
        <v>477</v>
      </c>
    </row>
    <row r="30106">
      <c r="B30106" s="17" t="s">
        <v>477</v>
      </c>
      <c r="K30106" s="18" t="s">
        <v>477</v>
      </c>
    </row>
    <row r="30107">
      <c r="B30107" s="17" t="s">
        <v>477</v>
      </c>
      <c r="K30107" s="18" t="s">
        <v>477</v>
      </c>
    </row>
    <row r="30108">
      <c r="B30108" s="17" t="s">
        <v>477</v>
      </c>
      <c r="K30108" s="18" t="s">
        <v>477</v>
      </c>
    </row>
    <row r="30109">
      <c r="B30109" s="17" t="s">
        <v>477</v>
      </c>
      <c r="K30109" s="18" t="s">
        <v>477</v>
      </c>
    </row>
    <row r="30110">
      <c r="B30110" s="17" t="s">
        <v>477</v>
      </c>
      <c r="K30110" s="18" t="s">
        <v>477</v>
      </c>
    </row>
    <row r="30111">
      <c r="B30111" s="17" t="s">
        <v>477</v>
      </c>
      <c r="K30111" s="18" t="s">
        <v>477</v>
      </c>
    </row>
    <row r="30112">
      <c r="B30112" s="17" t="s">
        <v>477</v>
      </c>
      <c r="K30112" s="18" t="s">
        <v>477</v>
      </c>
    </row>
    <row r="30113">
      <c r="B30113" s="17" t="s">
        <v>477</v>
      </c>
      <c r="K30113" s="18" t="s">
        <v>477</v>
      </c>
    </row>
    <row r="30114">
      <c r="B30114" s="17" t="s">
        <v>477</v>
      </c>
      <c r="K30114" s="18" t="s">
        <v>477</v>
      </c>
    </row>
    <row r="30115">
      <c r="B30115" s="17" t="s">
        <v>477</v>
      </c>
      <c r="K30115" s="18" t="s">
        <v>477</v>
      </c>
    </row>
    <row r="30116">
      <c r="B30116" s="17" t="s">
        <v>477</v>
      </c>
      <c r="K30116" s="18" t="s">
        <v>477</v>
      </c>
    </row>
    <row r="30117">
      <c r="B30117" s="17" t="s">
        <v>477</v>
      </c>
      <c r="K30117" s="18" t="s">
        <v>477</v>
      </c>
    </row>
    <row r="30118">
      <c r="B30118" s="17" t="s">
        <v>477</v>
      </c>
      <c r="K30118" s="18" t="s">
        <v>477</v>
      </c>
    </row>
    <row r="30119">
      <c r="B30119" s="17" t="s">
        <v>477</v>
      </c>
      <c r="K30119" s="18" t="s">
        <v>477</v>
      </c>
    </row>
    <row r="30120">
      <c r="B30120" s="17" t="s">
        <v>477</v>
      </c>
      <c r="K30120" s="18" t="s">
        <v>477</v>
      </c>
    </row>
    <row r="30121">
      <c r="B30121" s="17" t="s">
        <v>477</v>
      </c>
      <c r="K30121" s="18" t="s">
        <v>477</v>
      </c>
    </row>
    <row r="30122">
      <c r="B30122" s="17" t="s">
        <v>477</v>
      </c>
      <c r="K30122" s="18" t="s">
        <v>477</v>
      </c>
    </row>
    <row r="30123">
      <c r="B30123" s="17" t="s">
        <v>477</v>
      </c>
      <c r="K30123" s="18" t="s">
        <v>477</v>
      </c>
    </row>
    <row r="30124">
      <c r="B30124" s="17" t="s">
        <v>477</v>
      </c>
      <c r="K30124" s="18" t="s">
        <v>477</v>
      </c>
    </row>
    <row r="30125">
      <c r="B30125" s="17" t="s">
        <v>477</v>
      </c>
      <c r="K30125" s="18" t="s">
        <v>477</v>
      </c>
    </row>
    <row r="30126">
      <c r="B30126" s="17" t="s">
        <v>477</v>
      </c>
      <c r="K30126" s="18" t="s">
        <v>477</v>
      </c>
    </row>
    <row r="30127">
      <c r="B30127" s="17" t="s">
        <v>477</v>
      </c>
      <c r="K30127" s="18" t="s">
        <v>477</v>
      </c>
    </row>
    <row r="30128">
      <c r="B30128" s="17" t="s">
        <v>477</v>
      </c>
      <c r="K30128" s="18" t="s">
        <v>477</v>
      </c>
    </row>
    <row r="30129">
      <c r="B30129" s="17" t="s">
        <v>477</v>
      </c>
      <c r="K30129" s="18" t="s">
        <v>477</v>
      </c>
    </row>
    <row r="30130">
      <c r="B30130" s="17" t="s">
        <v>477</v>
      </c>
      <c r="K30130" s="18" t="s">
        <v>477</v>
      </c>
    </row>
    <row r="30131">
      <c r="B30131" s="17" t="s">
        <v>477</v>
      </c>
      <c r="K30131" s="18" t="s">
        <v>477</v>
      </c>
    </row>
    <row r="30132">
      <c r="B30132" s="17" t="s">
        <v>477</v>
      </c>
      <c r="K30132" s="18" t="s">
        <v>477</v>
      </c>
    </row>
    <row r="30133">
      <c r="B30133" s="17" t="s">
        <v>477</v>
      </c>
      <c r="K30133" s="18" t="s">
        <v>477</v>
      </c>
    </row>
    <row r="30134">
      <c r="B30134" s="17" t="s">
        <v>477</v>
      </c>
      <c r="K30134" s="18" t="s">
        <v>477</v>
      </c>
    </row>
    <row r="30135">
      <c r="B30135" s="17" t="s">
        <v>477</v>
      </c>
      <c r="K30135" s="18" t="s">
        <v>477</v>
      </c>
    </row>
    <row r="30136">
      <c r="B30136" s="17" t="s">
        <v>477</v>
      </c>
      <c r="K30136" s="18" t="s">
        <v>477</v>
      </c>
    </row>
    <row r="30137">
      <c r="B30137" s="17" t="s">
        <v>477</v>
      </c>
      <c r="K30137" s="18" t="s">
        <v>477</v>
      </c>
    </row>
    <row r="30138">
      <c r="B30138" s="17" t="s">
        <v>477</v>
      </c>
      <c r="K30138" s="18" t="s">
        <v>477</v>
      </c>
    </row>
    <row r="30139">
      <c r="B30139" s="17" t="s">
        <v>477</v>
      </c>
      <c r="K30139" s="18" t="s">
        <v>477</v>
      </c>
    </row>
    <row r="30140">
      <c r="B30140" s="17" t="s">
        <v>477</v>
      </c>
      <c r="K30140" s="18" t="s">
        <v>477</v>
      </c>
    </row>
    <row r="30141">
      <c r="B30141" s="17" t="s">
        <v>477</v>
      </c>
      <c r="K30141" s="18" t="s">
        <v>477</v>
      </c>
    </row>
    <row r="30142">
      <c r="B30142" s="17" t="s">
        <v>477</v>
      </c>
      <c r="K30142" s="18" t="s">
        <v>477</v>
      </c>
    </row>
    <row r="30143">
      <c r="B30143" s="17" t="s">
        <v>477</v>
      </c>
      <c r="K30143" s="18" t="s">
        <v>477</v>
      </c>
    </row>
    <row r="30144">
      <c r="B30144" s="17" t="s">
        <v>477</v>
      </c>
      <c r="K30144" s="18" t="s">
        <v>477</v>
      </c>
    </row>
    <row r="30145">
      <c r="B30145" s="17" t="s">
        <v>477</v>
      </c>
      <c r="K30145" s="18" t="s">
        <v>477</v>
      </c>
    </row>
    <row r="30146">
      <c r="B30146" s="17" t="s">
        <v>477</v>
      </c>
      <c r="K30146" s="18" t="s">
        <v>477</v>
      </c>
    </row>
    <row r="30147">
      <c r="B30147" s="17" t="s">
        <v>477</v>
      </c>
      <c r="K30147" s="18" t="s">
        <v>477</v>
      </c>
    </row>
    <row r="30148">
      <c r="B30148" s="17" t="s">
        <v>477</v>
      </c>
      <c r="K30148" s="18" t="s">
        <v>477</v>
      </c>
    </row>
    <row r="30149">
      <c r="B30149" s="17" t="s">
        <v>477</v>
      </c>
      <c r="K30149" s="18" t="s">
        <v>477</v>
      </c>
    </row>
    <row r="30150">
      <c r="B30150" s="17" t="s">
        <v>477</v>
      </c>
      <c r="K30150" s="18" t="s">
        <v>477</v>
      </c>
    </row>
    <row r="30151">
      <c r="B30151" s="17" t="s">
        <v>477</v>
      </c>
      <c r="K30151" s="18" t="s">
        <v>477</v>
      </c>
    </row>
    <row r="30152">
      <c r="B30152" s="17" t="s">
        <v>477</v>
      </c>
      <c r="K30152" s="18" t="s">
        <v>477</v>
      </c>
    </row>
    <row r="30153">
      <c r="B30153" s="17" t="s">
        <v>477</v>
      </c>
      <c r="K30153" s="18" t="s">
        <v>477</v>
      </c>
    </row>
    <row r="30154">
      <c r="B30154" s="17" t="s">
        <v>477</v>
      </c>
      <c r="K30154" s="18" t="s">
        <v>477</v>
      </c>
    </row>
    <row r="30155">
      <c r="B30155" s="17" t="s">
        <v>477</v>
      </c>
      <c r="K30155" s="18" t="s">
        <v>477</v>
      </c>
    </row>
    <row r="30156">
      <c r="B30156" s="17" t="s">
        <v>477</v>
      </c>
      <c r="K30156" s="18" t="s">
        <v>477</v>
      </c>
    </row>
    <row r="30157">
      <c r="B30157" s="17" t="s">
        <v>477</v>
      </c>
      <c r="K30157" s="18" t="s">
        <v>477</v>
      </c>
    </row>
    <row r="30158">
      <c r="B30158" s="17" t="s">
        <v>477</v>
      </c>
      <c r="K30158" s="18" t="s">
        <v>477</v>
      </c>
    </row>
    <row r="30159">
      <c r="B30159" s="17" t="s">
        <v>477</v>
      </c>
      <c r="K30159" s="18" t="s">
        <v>477</v>
      </c>
    </row>
    <row r="30160">
      <c r="B30160" s="17" t="s">
        <v>477</v>
      </c>
      <c r="K30160" s="18" t="s">
        <v>477</v>
      </c>
    </row>
    <row r="30161">
      <c r="B30161" s="17" t="s">
        <v>477</v>
      </c>
      <c r="K30161" s="18" t="s">
        <v>477</v>
      </c>
    </row>
    <row r="30162">
      <c r="B30162" s="17" t="s">
        <v>477</v>
      </c>
      <c r="K30162" s="18" t="s">
        <v>477</v>
      </c>
    </row>
    <row r="30163">
      <c r="B30163" s="17" t="s">
        <v>477</v>
      </c>
      <c r="K30163" s="18" t="s">
        <v>477</v>
      </c>
    </row>
    <row r="30164">
      <c r="B30164" s="17" t="s">
        <v>477</v>
      </c>
      <c r="K30164" s="18" t="s">
        <v>477</v>
      </c>
    </row>
    <row r="30165">
      <c r="B30165" s="17" t="s">
        <v>477</v>
      </c>
      <c r="K30165" s="18" t="s">
        <v>477</v>
      </c>
    </row>
    <row r="30166">
      <c r="B30166" s="17" t="s">
        <v>477</v>
      </c>
      <c r="K30166" s="18" t="s">
        <v>477</v>
      </c>
    </row>
    <row r="30167">
      <c r="B30167" s="17" t="s">
        <v>477</v>
      </c>
      <c r="K30167" s="18" t="s">
        <v>477</v>
      </c>
    </row>
    <row r="30168">
      <c r="B30168" s="17" t="s">
        <v>477</v>
      </c>
      <c r="K30168" s="18" t="s">
        <v>477</v>
      </c>
    </row>
    <row r="30169">
      <c r="B30169" s="17" t="s">
        <v>477</v>
      </c>
      <c r="K30169" s="18" t="s">
        <v>477</v>
      </c>
    </row>
    <row r="30170">
      <c r="B30170" s="17" t="s">
        <v>477</v>
      </c>
      <c r="K30170" s="18" t="s">
        <v>477</v>
      </c>
    </row>
    <row r="30171">
      <c r="B30171" s="17" t="s">
        <v>477</v>
      </c>
      <c r="K30171" s="18" t="s">
        <v>477</v>
      </c>
    </row>
    <row r="30172">
      <c r="B30172" s="17" t="s">
        <v>477</v>
      </c>
      <c r="K30172" s="18" t="s">
        <v>477</v>
      </c>
    </row>
    <row r="30173">
      <c r="B30173" s="17" t="s">
        <v>477</v>
      </c>
      <c r="K30173" s="18" t="s">
        <v>477</v>
      </c>
    </row>
    <row r="30174">
      <c r="B30174" s="17" t="s">
        <v>477</v>
      </c>
      <c r="K30174" s="18" t="s">
        <v>477</v>
      </c>
    </row>
    <row r="30175">
      <c r="B30175" s="17" t="s">
        <v>477</v>
      </c>
      <c r="K30175" s="18" t="s">
        <v>477</v>
      </c>
    </row>
    <row r="30176">
      <c r="B30176" s="17" t="s">
        <v>477</v>
      </c>
      <c r="K30176" s="18" t="s">
        <v>477</v>
      </c>
    </row>
    <row r="30177">
      <c r="B30177" s="17" t="s">
        <v>477</v>
      </c>
      <c r="K30177" s="18" t="s">
        <v>477</v>
      </c>
    </row>
    <row r="30178">
      <c r="B30178" s="17" t="s">
        <v>477</v>
      </c>
      <c r="K30178" s="18" t="s">
        <v>477</v>
      </c>
    </row>
    <row r="30179">
      <c r="B30179" s="17" t="s">
        <v>477</v>
      </c>
      <c r="K30179" s="18" t="s">
        <v>477</v>
      </c>
    </row>
    <row r="30180">
      <c r="B30180" s="17" t="s">
        <v>477</v>
      </c>
      <c r="K30180" s="18" t="s">
        <v>477</v>
      </c>
    </row>
    <row r="30181">
      <c r="B30181" s="17" t="s">
        <v>477</v>
      </c>
      <c r="K30181" s="18" t="s">
        <v>477</v>
      </c>
    </row>
    <row r="30182">
      <c r="B30182" s="17" t="s">
        <v>477</v>
      </c>
      <c r="K30182" s="18" t="s">
        <v>477</v>
      </c>
    </row>
    <row r="30183">
      <c r="B30183" s="17" t="s">
        <v>477</v>
      </c>
      <c r="K30183" s="18" t="s">
        <v>477</v>
      </c>
    </row>
    <row r="30184">
      <c r="B30184" s="17" t="s">
        <v>477</v>
      </c>
      <c r="K30184" s="18" t="s">
        <v>477</v>
      </c>
    </row>
    <row r="30185">
      <c r="B30185" s="17" t="s">
        <v>477</v>
      </c>
      <c r="K30185" s="18" t="s">
        <v>477</v>
      </c>
    </row>
    <row r="30186">
      <c r="B30186" s="17" t="s">
        <v>477</v>
      </c>
      <c r="K30186" s="18" t="s">
        <v>477</v>
      </c>
    </row>
    <row r="30187">
      <c r="B30187" s="17" t="s">
        <v>477</v>
      </c>
      <c r="K30187" s="18" t="s">
        <v>477</v>
      </c>
    </row>
    <row r="30188">
      <c r="B30188" s="17" t="s">
        <v>477</v>
      </c>
      <c r="K30188" s="18" t="s">
        <v>477</v>
      </c>
    </row>
    <row r="30189">
      <c r="B30189" s="17" t="s">
        <v>477</v>
      </c>
      <c r="K30189" s="18" t="s">
        <v>477</v>
      </c>
    </row>
    <row r="30190">
      <c r="B30190" s="17" t="s">
        <v>477</v>
      </c>
      <c r="K30190" s="18" t="s">
        <v>477</v>
      </c>
    </row>
    <row r="30191">
      <c r="B30191" s="17" t="s">
        <v>477</v>
      </c>
      <c r="K30191" s="18" t="s">
        <v>477</v>
      </c>
    </row>
    <row r="30192">
      <c r="B30192" s="17" t="s">
        <v>477</v>
      </c>
      <c r="K30192" s="18" t="s">
        <v>477</v>
      </c>
    </row>
    <row r="30193">
      <c r="B30193" s="17" t="s">
        <v>477</v>
      </c>
      <c r="K30193" s="18" t="s">
        <v>477</v>
      </c>
    </row>
    <row r="30194">
      <c r="B30194" s="17" t="s">
        <v>477</v>
      </c>
      <c r="K30194" s="18" t="s">
        <v>477</v>
      </c>
    </row>
    <row r="30195">
      <c r="B30195" s="17" t="s">
        <v>477</v>
      </c>
      <c r="K30195" s="18" t="s">
        <v>477</v>
      </c>
    </row>
    <row r="30196">
      <c r="B30196" s="17" t="s">
        <v>477</v>
      </c>
      <c r="K30196" s="18" t="s">
        <v>477</v>
      </c>
    </row>
    <row r="30197">
      <c r="B30197" s="17" t="s">
        <v>477</v>
      </c>
      <c r="K30197" s="18" t="s">
        <v>477</v>
      </c>
    </row>
    <row r="30198">
      <c r="B30198" s="17" t="s">
        <v>477</v>
      </c>
      <c r="K30198" s="18" t="s">
        <v>477</v>
      </c>
    </row>
    <row r="30199">
      <c r="B30199" s="17" t="s">
        <v>477</v>
      </c>
      <c r="K30199" s="18" t="s">
        <v>477</v>
      </c>
    </row>
    <row r="30200">
      <c r="B30200" s="17" t="s">
        <v>477</v>
      </c>
      <c r="K30200" s="18" t="s">
        <v>477</v>
      </c>
    </row>
    <row r="30201">
      <c r="B30201" s="17" t="s">
        <v>477</v>
      </c>
      <c r="K30201" s="18" t="s">
        <v>477</v>
      </c>
    </row>
    <row r="30202">
      <c r="B30202" s="17" t="s">
        <v>477</v>
      </c>
      <c r="K30202" s="18" t="s">
        <v>477</v>
      </c>
    </row>
    <row r="30203">
      <c r="B30203" s="17" t="s">
        <v>477</v>
      </c>
      <c r="K30203" s="18" t="s">
        <v>477</v>
      </c>
    </row>
    <row r="30204">
      <c r="B30204" s="17" t="s">
        <v>477</v>
      </c>
      <c r="K30204" s="18" t="s">
        <v>477</v>
      </c>
    </row>
    <row r="30205">
      <c r="B30205" s="17" t="s">
        <v>477</v>
      </c>
      <c r="K30205" s="18" t="s">
        <v>477</v>
      </c>
    </row>
    <row r="30206">
      <c r="B30206" s="17" t="s">
        <v>477</v>
      </c>
      <c r="K30206" s="18" t="s">
        <v>477</v>
      </c>
    </row>
    <row r="30207">
      <c r="B30207" s="17" t="s">
        <v>477</v>
      </c>
      <c r="K30207" s="18" t="s">
        <v>477</v>
      </c>
    </row>
    <row r="30208">
      <c r="B30208" s="17" t="s">
        <v>477</v>
      </c>
      <c r="K30208" s="18" t="s">
        <v>477</v>
      </c>
    </row>
    <row r="30209">
      <c r="B30209" s="17" t="s">
        <v>477</v>
      </c>
      <c r="K30209" s="18" t="s">
        <v>477</v>
      </c>
    </row>
    <row r="30210">
      <c r="B30210" s="17" t="s">
        <v>477</v>
      </c>
      <c r="K30210" s="18" t="s">
        <v>477</v>
      </c>
    </row>
    <row r="30211">
      <c r="B30211" s="17" t="s">
        <v>477</v>
      </c>
      <c r="K30211" s="18" t="s">
        <v>477</v>
      </c>
    </row>
    <row r="30212">
      <c r="B30212" s="17" t="s">
        <v>477</v>
      </c>
      <c r="K30212" s="18" t="s">
        <v>477</v>
      </c>
    </row>
    <row r="30213">
      <c r="B30213" s="17" t="s">
        <v>477</v>
      </c>
      <c r="K30213" s="18" t="s">
        <v>477</v>
      </c>
    </row>
    <row r="30214">
      <c r="B30214" s="17" t="s">
        <v>477</v>
      </c>
      <c r="K30214" s="18" t="s">
        <v>477</v>
      </c>
    </row>
    <row r="30215">
      <c r="B30215" s="17" t="s">
        <v>477</v>
      </c>
      <c r="K30215" s="18" t="s">
        <v>477</v>
      </c>
    </row>
    <row r="30216">
      <c r="B30216" s="17" t="s">
        <v>477</v>
      </c>
      <c r="K30216" s="18" t="s">
        <v>477</v>
      </c>
    </row>
    <row r="30217">
      <c r="B30217" s="17" t="s">
        <v>477</v>
      </c>
      <c r="K30217" s="18" t="s">
        <v>477</v>
      </c>
    </row>
    <row r="30218">
      <c r="B30218" s="17" t="s">
        <v>477</v>
      </c>
      <c r="K30218" s="18" t="s">
        <v>477</v>
      </c>
    </row>
    <row r="30219">
      <c r="B30219" s="17" t="s">
        <v>477</v>
      </c>
      <c r="K30219" s="18" t="s">
        <v>477</v>
      </c>
    </row>
    <row r="30220">
      <c r="B30220" s="17" t="s">
        <v>477</v>
      </c>
      <c r="K30220" s="18" t="s">
        <v>477</v>
      </c>
    </row>
    <row r="30221">
      <c r="B30221" s="17" t="s">
        <v>477</v>
      </c>
      <c r="K30221" s="18" t="s">
        <v>477</v>
      </c>
    </row>
    <row r="30222">
      <c r="B30222" s="17" t="s">
        <v>477</v>
      </c>
      <c r="K30222" s="18" t="s">
        <v>477</v>
      </c>
    </row>
    <row r="30223">
      <c r="B30223" s="17" t="s">
        <v>477</v>
      </c>
      <c r="K30223" s="18" t="s">
        <v>477</v>
      </c>
    </row>
    <row r="30224">
      <c r="B30224" s="17" t="s">
        <v>477</v>
      </c>
      <c r="K30224" s="18" t="s">
        <v>477</v>
      </c>
    </row>
    <row r="30225">
      <c r="B30225" s="17" t="s">
        <v>477</v>
      </c>
      <c r="K30225" s="18" t="s">
        <v>477</v>
      </c>
    </row>
    <row r="30226">
      <c r="B30226" s="17" t="s">
        <v>477</v>
      </c>
      <c r="K30226" s="18" t="s">
        <v>477</v>
      </c>
    </row>
    <row r="30227">
      <c r="B30227" s="17" t="s">
        <v>477</v>
      </c>
      <c r="K30227" s="18" t="s">
        <v>477</v>
      </c>
    </row>
    <row r="30228">
      <c r="B30228" s="17" t="s">
        <v>477</v>
      </c>
      <c r="K30228" s="18" t="s">
        <v>477</v>
      </c>
    </row>
    <row r="30229">
      <c r="B30229" s="17" t="s">
        <v>477</v>
      </c>
      <c r="K30229" s="18" t="s">
        <v>477</v>
      </c>
    </row>
    <row r="30230">
      <c r="B30230" s="17" t="s">
        <v>477</v>
      </c>
      <c r="K30230" s="18" t="s">
        <v>477</v>
      </c>
    </row>
    <row r="30231">
      <c r="B30231" s="17" t="s">
        <v>477</v>
      </c>
      <c r="K30231" s="18" t="s">
        <v>477</v>
      </c>
    </row>
    <row r="30232">
      <c r="B30232" s="17" t="s">
        <v>477</v>
      </c>
      <c r="K30232" s="18" t="s">
        <v>477</v>
      </c>
    </row>
    <row r="30233">
      <c r="B30233" s="17" t="s">
        <v>477</v>
      </c>
      <c r="K30233" s="18" t="s">
        <v>477</v>
      </c>
    </row>
    <row r="30234">
      <c r="B30234" s="17" t="s">
        <v>477</v>
      </c>
      <c r="K30234" s="18" t="s">
        <v>477</v>
      </c>
    </row>
    <row r="30235">
      <c r="B30235" s="17" t="s">
        <v>477</v>
      </c>
      <c r="K30235" s="18" t="s">
        <v>477</v>
      </c>
    </row>
    <row r="30236">
      <c r="B30236" s="17" t="s">
        <v>477</v>
      </c>
      <c r="K30236" s="18" t="s">
        <v>477</v>
      </c>
    </row>
    <row r="30237">
      <c r="B30237" s="17" t="s">
        <v>477</v>
      </c>
      <c r="K30237" s="18" t="s">
        <v>477</v>
      </c>
    </row>
    <row r="30238">
      <c r="B30238" s="17" t="s">
        <v>477</v>
      </c>
      <c r="K30238" s="18" t="s">
        <v>477</v>
      </c>
    </row>
    <row r="30239">
      <c r="B30239" s="17" t="s">
        <v>477</v>
      </c>
      <c r="K30239" s="18" t="s">
        <v>477</v>
      </c>
    </row>
    <row r="30240">
      <c r="B30240" s="17" t="s">
        <v>477</v>
      </c>
      <c r="K30240" s="18" t="s">
        <v>477</v>
      </c>
    </row>
    <row r="30241">
      <c r="B30241" s="17" t="s">
        <v>477</v>
      </c>
      <c r="K30241" s="18" t="s">
        <v>477</v>
      </c>
    </row>
    <row r="30242">
      <c r="B30242" s="17" t="s">
        <v>477</v>
      </c>
      <c r="K30242" s="18" t="s">
        <v>477</v>
      </c>
    </row>
    <row r="30243">
      <c r="B30243" s="17" t="s">
        <v>477</v>
      </c>
      <c r="K30243" s="18" t="s">
        <v>477</v>
      </c>
    </row>
    <row r="30244">
      <c r="B30244" s="17" t="s">
        <v>477</v>
      </c>
      <c r="K30244" s="18" t="s">
        <v>477</v>
      </c>
    </row>
    <row r="30245">
      <c r="B30245" s="17" t="s">
        <v>477</v>
      </c>
      <c r="K30245" s="18" t="s">
        <v>477</v>
      </c>
    </row>
    <row r="30246">
      <c r="B30246" s="17" t="s">
        <v>477</v>
      </c>
      <c r="K30246" s="18" t="s">
        <v>477</v>
      </c>
    </row>
    <row r="30247">
      <c r="B30247" s="17" t="s">
        <v>477</v>
      </c>
      <c r="K30247" s="18" t="s">
        <v>477</v>
      </c>
    </row>
    <row r="30248">
      <c r="B30248" s="17" t="s">
        <v>477</v>
      </c>
      <c r="K30248" s="18" t="s">
        <v>477</v>
      </c>
    </row>
    <row r="30249">
      <c r="B30249" s="17" t="s">
        <v>477</v>
      </c>
      <c r="K30249" s="18" t="s">
        <v>477</v>
      </c>
    </row>
    <row r="30250">
      <c r="B30250" s="17" t="s">
        <v>477</v>
      </c>
      <c r="K30250" s="18" t="s">
        <v>477</v>
      </c>
    </row>
    <row r="30251">
      <c r="B30251" s="17" t="s">
        <v>477</v>
      </c>
      <c r="K30251" s="18" t="s">
        <v>477</v>
      </c>
    </row>
    <row r="30252">
      <c r="B30252" s="17" t="s">
        <v>477</v>
      </c>
      <c r="K30252" s="18" t="s">
        <v>477</v>
      </c>
    </row>
    <row r="30253">
      <c r="B30253" s="17" t="s">
        <v>477</v>
      </c>
      <c r="K30253" s="18" t="s">
        <v>477</v>
      </c>
    </row>
    <row r="30254">
      <c r="B30254" s="17" t="s">
        <v>477</v>
      </c>
      <c r="K30254" s="18" t="s">
        <v>477</v>
      </c>
    </row>
    <row r="30255">
      <c r="B30255" s="17" t="s">
        <v>477</v>
      </c>
      <c r="K30255" s="18" t="s">
        <v>477</v>
      </c>
    </row>
    <row r="30256">
      <c r="B30256" s="17" t="s">
        <v>477</v>
      </c>
      <c r="K30256" s="18" t="s">
        <v>477</v>
      </c>
    </row>
    <row r="30257">
      <c r="B30257" s="17" t="s">
        <v>477</v>
      </c>
      <c r="K30257" s="18" t="s">
        <v>477</v>
      </c>
    </row>
    <row r="30258">
      <c r="B30258" s="17" t="s">
        <v>477</v>
      </c>
      <c r="K30258" s="18" t="s">
        <v>477</v>
      </c>
    </row>
    <row r="30259">
      <c r="B30259" s="17" t="s">
        <v>477</v>
      </c>
      <c r="K30259" s="18" t="s">
        <v>477</v>
      </c>
    </row>
    <row r="30260">
      <c r="B30260" s="17" t="s">
        <v>477</v>
      </c>
      <c r="K30260" s="18" t="s">
        <v>477</v>
      </c>
    </row>
    <row r="30261">
      <c r="B30261" s="17" t="s">
        <v>477</v>
      </c>
      <c r="K30261" s="18" t="s">
        <v>477</v>
      </c>
    </row>
    <row r="30262">
      <c r="B30262" s="17" t="s">
        <v>477</v>
      </c>
      <c r="K30262" s="18" t="s">
        <v>477</v>
      </c>
    </row>
    <row r="30263">
      <c r="B30263" s="17" t="s">
        <v>477</v>
      </c>
      <c r="K30263" s="18" t="s">
        <v>477</v>
      </c>
    </row>
    <row r="30264">
      <c r="B30264" s="17" t="s">
        <v>477</v>
      </c>
      <c r="K30264" s="18" t="s">
        <v>477</v>
      </c>
    </row>
    <row r="30265">
      <c r="B30265" s="17" t="s">
        <v>477</v>
      </c>
      <c r="K30265" s="18" t="s">
        <v>477</v>
      </c>
    </row>
    <row r="30266">
      <c r="B30266" s="17" t="s">
        <v>477</v>
      </c>
      <c r="K30266" s="18" t="s">
        <v>477</v>
      </c>
    </row>
    <row r="30267">
      <c r="B30267" s="17" t="s">
        <v>477</v>
      </c>
      <c r="K30267" s="18" t="s">
        <v>477</v>
      </c>
    </row>
    <row r="30268">
      <c r="B30268" s="17" t="s">
        <v>477</v>
      </c>
      <c r="K30268" s="18" t="s">
        <v>477</v>
      </c>
    </row>
    <row r="30269">
      <c r="B30269" s="17" t="s">
        <v>477</v>
      </c>
      <c r="K30269" s="18" t="s">
        <v>477</v>
      </c>
    </row>
    <row r="30270">
      <c r="B30270" s="17" t="s">
        <v>477</v>
      </c>
      <c r="K30270" s="18" t="s">
        <v>477</v>
      </c>
    </row>
    <row r="30271">
      <c r="B30271" s="17" t="s">
        <v>477</v>
      </c>
      <c r="K30271" s="18" t="s">
        <v>477</v>
      </c>
    </row>
    <row r="30272">
      <c r="B30272" s="17" t="s">
        <v>477</v>
      </c>
      <c r="K30272" s="18" t="s">
        <v>477</v>
      </c>
    </row>
    <row r="30273">
      <c r="B30273" s="17" t="s">
        <v>477</v>
      </c>
      <c r="K30273" s="18" t="s">
        <v>477</v>
      </c>
    </row>
    <row r="30274">
      <c r="B30274" s="17" t="s">
        <v>477</v>
      </c>
      <c r="K30274" s="18" t="s">
        <v>477</v>
      </c>
    </row>
    <row r="30275">
      <c r="B30275" s="17" t="s">
        <v>477</v>
      </c>
      <c r="K30275" s="18" t="s">
        <v>477</v>
      </c>
    </row>
    <row r="30276">
      <c r="B30276" s="17" t="s">
        <v>477</v>
      </c>
      <c r="K30276" s="18" t="s">
        <v>477</v>
      </c>
    </row>
    <row r="30277">
      <c r="B30277" s="17" t="s">
        <v>477</v>
      </c>
      <c r="K30277" s="18" t="s">
        <v>477</v>
      </c>
    </row>
    <row r="30278">
      <c r="B30278" s="17" t="s">
        <v>477</v>
      </c>
      <c r="K30278" s="18" t="s">
        <v>477</v>
      </c>
    </row>
    <row r="30279">
      <c r="B30279" s="17" t="s">
        <v>477</v>
      </c>
      <c r="K30279" s="18" t="s">
        <v>477</v>
      </c>
    </row>
    <row r="30280">
      <c r="B30280" s="17" t="s">
        <v>477</v>
      </c>
      <c r="K30280" s="18" t="s">
        <v>477</v>
      </c>
    </row>
    <row r="30281">
      <c r="B30281" s="17" t="s">
        <v>477</v>
      </c>
      <c r="K30281" s="18" t="s">
        <v>477</v>
      </c>
    </row>
    <row r="30282">
      <c r="B30282" s="17" t="s">
        <v>477</v>
      </c>
      <c r="K30282" s="18" t="s">
        <v>477</v>
      </c>
    </row>
    <row r="30283">
      <c r="B30283" s="17" t="s">
        <v>477</v>
      </c>
      <c r="K30283" s="18" t="s">
        <v>477</v>
      </c>
    </row>
    <row r="30284">
      <c r="B30284" s="17" t="s">
        <v>477</v>
      </c>
      <c r="K30284" s="18" t="s">
        <v>477</v>
      </c>
    </row>
    <row r="30285">
      <c r="B30285" s="17" t="s">
        <v>477</v>
      </c>
      <c r="K30285" s="18" t="s">
        <v>477</v>
      </c>
    </row>
    <row r="30286">
      <c r="B30286" s="17" t="s">
        <v>477</v>
      </c>
      <c r="K30286" s="18" t="s">
        <v>477</v>
      </c>
    </row>
    <row r="30287">
      <c r="B30287" s="17" t="s">
        <v>477</v>
      </c>
      <c r="K30287" s="18" t="s">
        <v>477</v>
      </c>
    </row>
    <row r="30288">
      <c r="B30288" s="17" t="s">
        <v>477</v>
      </c>
      <c r="K30288" s="18" t="s">
        <v>477</v>
      </c>
    </row>
    <row r="30289">
      <c r="B30289" s="17" t="s">
        <v>477</v>
      </c>
      <c r="K30289" s="18" t="s">
        <v>477</v>
      </c>
    </row>
    <row r="30290">
      <c r="B30290" s="17" t="s">
        <v>477</v>
      </c>
      <c r="K30290" s="18" t="s">
        <v>477</v>
      </c>
    </row>
    <row r="30291">
      <c r="B30291" s="17" t="s">
        <v>477</v>
      </c>
      <c r="K30291" s="18" t="s">
        <v>477</v>
      </c>
    </row>
    <row r="30292">
      <c r="B30292" s="17" t="s">
        <v>477</v>
      </c>
      <c r="K30292" s="18" t="s">
        <v>477</v>
      </c>
    </row>
    <row r="30293">
      <c r="B30293" s="17" t="s">
        <v>477</v>
      </c>
      <c r="K30293" s="18" t="s">
        <v>477</v>
      </c>
    </row>
    <row r="30294">
      <c r="B30294" s="17" t="s">
        <v>477</v>
      </c>
      <c r="K30294" s="18" t="s">
        <v>477</v>
      </c>
    </row>
    <row r="30295">
      <c r="B30295" s="17" t="s">
        <v>477</v>
      </c>
      <c r="K30295" s="18" t="s">
        <v>477</v>
      </c>
    </row>
    <row r="30296">
      <c r="B30296" s="17" t="s">
        <v>477</v>
      </c>
      <c r="K30296" s="18" t="s">
        <v>477</v>
      </c>
    </row>
    <row r="30297">
      <c r="B30297" s="17" t="s">
        <v>477</v>
      </c>
      <c r="K30297" s="18" t="s">
        <v>477</v>
      </c>
    </row>
    <row r="30298">
      <c r="B30298" s="17" t="s">
        <v>477</v>
      </c>
      <c r="K30298" s="18" t="s">
        <v>477</v>
      </c>
    </row>
    <row r="30299">
      <c r="B30299" s="17" t="s">
        <v>477</v>
      </c>
      <c r="K30299" s="18" t="s">
        <v>477</v>
      </c>
    </row>
    <row r="30300">
      <c r="B30300" s="17" t="s">
        <v>477</v>
      </c>
      <c r="K30300" s="18" t="s">
        <v>477</v>
      </c>
    </row>
    <row r="30301">
      <c r="B30301" s="17" t="s">
        <v>477</v>
      </c>
      <c r="K30301" s="18" t="s">
        <v>477</v>
      </c>
    </row>
    <row r="30302">
      <c r="B30302" s="17" t="s">
        <v>477</v>
      </c>
      <c r="K30302" s="18" t="s">
        <v>477</v>
      </c>
    </row>
    <row r="30303">
      <c r="B30303" s="17" t="s">
        <v>477</v>
      </c>
      <c r="K30303" s="18" t="s">
        <v>477</v>
      </c>
    </row>
    <row r="30304">
      <c r="B30304" s="17" t="s">
        <v>477</v>
      </c>
      <c r="K30304" s="18" t="s">
        <v>477</v>
      </c>
    </row>
    <row r="30305">
      <c r="B30305" s="17" t="s">
        <v>477</v>
      </c>
      <c r="K30305" s="18" t="s">
        <v>477</v>
      </c>
    </row>
    <row r="30306">
      <c r="B30306" s="17" t="s">
        <v>477</v>
      </c>
      <c r="K30306" s="18" t="s">
        <v>477</v>
      </c>
    </row>
    <row r="30307">
      <c r="B30307" s="17" t="s">
        <v>477</v>
      </c>
      <c r="K30307" s="18" t="s">
        <v>477</v>
      </c>
    </row>
    <row r="30308">
      <c r="B30308" s="17" t="s">
        <v>477</v>
      </c>
      <c r="K30308" s="18" t="s">
        <v>477</v>
      </c>
    </row>
    <row r="30309">
      <c r="B30309" s="17" t="s">
        <v>477</v>
      </c>
      <c r="K30309" s="18" t="s">
        <v>477</v>
      </c>
    </row>
    <row r="30310">
      <c r="B30310" s="17" t="s">
        <v>477</v>
      </c>
      <c r="K30310" s="18" t="s">
        <v>477</v>
      </c>
    </row>
    <row r="30311">
      <c r="B30311" s="17" t="s">
        <v>477</v>
      </c>
      <c r="K30311" s="18" t="s">
        <v>477</v>
      </c>
    </row>
    <row r="30312">
      <c r="B30312" s="17" t="s">
        <v>477</v>
      </c>
      <c r="K30312" s="18" t="s">
        <v>477</v>
      </c>
    </row>
    <row r="30313">
      <c r="B30313" s="17" t="s">
        <v>477</v>
      </c>
      <c r="K30313" s="18" t="s">
        <v>477</v>
      </c>
    </row>
    <row r="30314">
      <c r="B30314" s="17" t="s">
        <v>477</v>
      </c>
      <c r="K30314" s="18" t="s">
        <v>477</v>
      </c>
    </row>
    <row r="30315">
      <c r="B30315" s="17" t="s">
        <v>477</v>
      </c>
      <c r="K30315" s="18" t="s">
        <v>477</v>
      </c>
    </row>
    <row r="30316">
      <c r="B30316" s="17" t="s">
        <v>477</v>
      </c>
      <c r="K30316" s="18" t="s">
        <v>477</v>
      </c>
    </row>
    <row r="30317">
      <c r="B30317" s="17" t="s">
        <v>477</v>
      </c>
      <c r="K30317" s="18" t="s">
        <v>477</v>
      </c>
    </row>
    <row r="30318">
      <c r="B30318" s="17" t="s">
        <v>477</v>
      </c>
      <c r="K30318" s="18" t="s">
        <v>477</v>
      </c>
    </row>
    <row r="30319">
      <c r="B30319" s="17" t="s">
        <v>477</v>
      </c>
      <c r="K30319" s="18" t="s">
        <v>477</v>
      </c>
    </row>
    <row r="30320">
      <c r="B30320" s="17" t="s">
        <v>477</v>
      </c>
      <c r="K30320" s="18" t="s">
        <v>477</v>
      </c>
    </row>
    <row r="30321">
      <c r="B30321" s="17" t="s">
        <v>477</v>
      </c>
      <c r="K30321" s="18" t="s">
        <v>477</v>
      </c>
    </row>
    <row r="30322">
      <c r="B30322" s="17" t="s">
        <v>477</v>
      </c>
      <c r="K30322" s="18" t="s">
        <v>477</v>
      </c>
    </row>
    <row r="30323">
      <c r="B30323" s="17" t="s">
        <v>477</v>
      </c>
      <c r="K30323" s="18" t="s">
        <v>477</v>
      </c>
    </row>
    <row r="30324">
      <c r="B30324" s="17" t="s">
        <v>477</v>
      </c>
      <c r="K30324" s="18" t="s">
        <v>477</v>
      </c>
    </row>
    <row r="30325">
      <c r="B30325" s="17" t="s">
        <v>477</v>
      </c>
      <c r="K30325" s="18" t="s">
        <v>477</v>
      </c>
    </row>
    <row r="30326">
      <c r="B30326" s="17" t="s">
        <v>477</v>
      </c>
      <c r="K30326" s="18" t="s">
        <v>477</v>
      </c>
    </row>
    <row r="30327">
      <c r="B30327" s="17" t="s">
        <v>477</v>
      </c>
      <c r="K30327" s="18" t="s">
        <v>477</v>
      </c>
    </row>
    <row r="30328">
      <c r="B30328" s="17" t="s">
        <v>477</v>
      </c>
      <c r="K30328" s="18" t="s">
        <v>477</v>
      </c>
    </row>
    <row r="30329">
      <c r="B30329" s="17" t="s">
        <v>477</v>
      </c>
      <c r="K30329" s="18" t="s">
        <v>477</v>
      </c>
    </row>
    <row r="30330">
      <c r="B30330" s="17" t="s">
        <v>477</v>
      </c>
      <c r="K30330" s="18" t="s">
        <v>477</v>
      </c>
    </row>
    <row r="30331">
      <c r="B30331" s="17" t="s">
        <v>477</v>
      </c>
      <c r="K30331" s="18" t="s">
        <v>477</v>
      </c>
    </row>
    <row r="30332">
      <c r="B30332" s="17" t="s">
        <v>477</v>
      </c>
      <c r="K30332" s="18" t="s">
        <v>477</v>
      </c>
    </row>
    <row r="30333">
      <c r="B30333" s="17" t="s">
        <v>477</v>
      </c>
      <c r="K30333" s="18" t="s">
        <v>477</v>
      </c>
    </row>
    <row r="30334">
      <c r="B30334" s="17" t="s">
        <v>477</v>
      </c>
      <c r="K30334" s="18" t="s">
        <v>477</v>
      </c>
    </row>
    <row r="30335">
      <c r="B30335" s="17" t="s">
        <v>477</v>
      </c>
      <c r="K30335" s="18" t="s">
        <v>477</v>
      </c>
    </row>
    <row r="30336">
      <c r="B30336" s="17" t="s">
        <v>477</v>
      </c>
      <c r="K30336" s="18" t="s">
        <v>477</v>
      </c>
    </row>
    <row r="30337">
      <c r="B30337" s="17" t="s">
        <v>477</v>
      </c>
      <c r="K30337" s="18" t="s">
        <v>477</v>
      </c>
    </row>
    <row r="30338">
      <c r="B30338" s="17" t="s">
        <v>477</v>
      </c>
      <c r="K30338" s="18" t="s">
        <v>477</v>
      </c>
    </row>
    <row r="30339">
      <c r="B30339" s="17" t="s">
        <v>477</v>
      </c>
      <c r="K30339" s="18" t="s">
        <v>477</v>
      </c>
    </row>
    <row r="30340">
      <c r="B30340" s="17" t="s">
        <v>477</v>
      </c>
      <c r="K30340" s="18" t="s">
        <v>477</v>
      </c>
    </row>
    <row r="30341">
      <c r="B30341" s="17" t="s">
        <v>477</v>
      </c>
      <c r="K30341" s="18" t="s">
        <v>477</v>
      </c>
    </row>
    <row r="30342">
      <c r="B30342" s="17" t="s">
        <v>477</v>
      </c>
      <c r="K30342" s="18" t="s">
        <v>477</v>
      </c>
    </row>
    <row r="30343">
      <c r="B30343" s="17" t="s">
        <v>477</v>
      </c>
      <c r="K30343" s="18" t="s">
        <v>477</v>
      </c>
    </row>
    <row r="30344">
      <c r="B30344" s="17" t="s">
        <v>477</v>
      </c>
      <c r="K30344" s="18" t="s">
        <v>477</v>
      </c>
    </row>
    <row r="30345">
      <c r="B30345" s="17" t="s">
        <v>477</v>
      </c>
      <c r="K30345" s="18" t="s">
        <v>477</v>
      </c>
    </row>
    <row r="30346">
      <c r="B30346" s="17" t="s">
        <v>477</v>
      </c>
      <c r="K30346" s="18" t="s">
        <v>477</v>
      </c>
    </row>
    <row r="30347">
      <c r="B30347" s="17" t="s">
        <v>477</v>
      </c>
      <c r="K30347" s="18" t="s">
        <v>477</v>
      </c>
    </row>
    <row r="30348">
      <c r="B30348" s="17" t="s">
        <v>477</v>
      </c>
      <c r="K30348" s="18" t="s">
        <v>477</v>
      </c>
    </row>
    <row r="30349">
      <c r="B30349" s="17" t="s">
        <v>477</v>
      </c>
      <c r="K30349" s="18" t="s">
        <v>477</v>
      </c>
    </row>
    <row r="30350">
      <c r="B30350" s="17" t="s">
        <v>477</v>
      </c>
      <c r="K30350" s="18" t="s">
        <v>477</v>
      </c>
    </row>
    <row r="30351">
      <c r="B30351" s="17" t="s">
        <v>477</v>
      </c>
      <c r="K30351" s="18" t="s">
        <v>477</v>
      </c>
    </row>
    <row r="30352">
      <c r="B30352" s="17" t="s">
        <v>477</v>
      </c>
      <c r="K30352" s="18" t="s">
        <v>477</v>
      </c>
    </row>
    <row r="30353">
      <c r="B30353" s="17" t="s">
        <v>477</v>
      </c>
      <c r="K30353" s="18" t="s">
        <v>477</v>
      </c>
    </row>
    <row r="30354">
      <c r="B30354" s="17" t="s">
        <v>477</v>
      </c>
      <c r="K30354" s="18" t="s">
        <v>477</v>
      </c>
    </row>
    <row r="30355">
      <c r="B30355" s="17" t="s">
        <v>477</v>
      </c>
      <c r="K30355" s="18" t="s">
        <v>477</v>
      </c>
    </row>
    <row r="30356">
      <c r="B30356" s="17" t="s">
        <v>477</v>
      </c>
      <c r="K30356" s="18" t="s">
        <v>477</v>
      </c>
    </row>
    <row r="30357">
      <c r="B30357" s="17" t="s">
        <v>477</v>
      </c>
      <c r="K30357" s="18" t="s">
        <v>477</v>
      </c>
    </row>
    <row r="30358">
      <c r="B30358" s="17" t="s">
        <v>477</v>
      </c>
      <c r="K30358" s="18" t="s">
        <v>477</v>
      </c>
    </row>
    <row r="30359">
      <c r="B30359" s="17" t="s">
        <v>477</v>
      </c>
      <c r="K30359" s="18" t="s">
        <v>477</v>
      </c>
    </row>
    <row r="30360">
      <c r="B30360" s="17" t="s">
        <v>477</v>
      </c>
      <c r="K30360" s="18" t="s">
        <v>477</v>
      </c>
    </row>
    <row r="30361">
      <c r="B30361" s="17" t="s">
        <v>477</v>
      </c>
      <c r="K30361" s="18" t="s">
        <v>477</v>
      </c>
    </row>
    <row r="30362">
      <c r="B30362" s="17" t="s">
        <v>477</v>
      </c>
      <c r="K30362" s="18" t="s">
        <v>477</v>
      </c>
    </row>
    <row r="30363">
      <c r="B30363" s="17" t="s">
        <v>477</v>
      </c>
      <c r="K30363" s="18" t="s">
        <v>477</v>
      </c>
    </row>
    <row r="30364">
      <c r="B30364" s="17" t="s">
        <v>477</v>
      </c>
      <c r="K30364" s="18" t="s">
        <v>477</v>
      </c>
    </row>
    <row r="30365">
      <c r="B30365" s="17" t="s">
        <v>477</v>
      </c>
      <c r="K30365" s="18" t="s">
        <v>477</v>
      </c>
    </row>
    <row r="30366">
      <c r="B30366" s="17" t="s">
        <v>477</v>
      </c>
      <c r="K30366" s="18" t="s">
        <v>477</v>
      </c>
    </row>
    <row r="30367">
      <c r="B30367" s="17" t="s">
        <v>477</v>
      </c>
      <c r="K30367" s="18" t="s">
        <v>477</v>
      </c>
    </row>
    <row r="30368">
      <c r="B30368" s="17" t="s">
        <v>477</v>
      </c>
      <c r="K30368" s="18" t="s">
        <v>477</v>
      </c>
    </row>
    <row r="30369">
      <c r="B30369" s="17" t="s">
        <v>477</v>
      </c>
      <c r="K30369" s="18" t="s">
        <v>477</v>
      </c>
    </row>
    <row r="30370">
      <c r="B30370" s="17" t="s">
        <v>477</v>
      </c>
      <c r="K30370" s="18" t="s">
        <v>477</v>
      </c>
    </row>
    <row r="30371">
      <c r="B30371" s="17" t="s">
        <v>477</v>
      </c>
      <c r="K30371" s="18" t="s">
        <v>477</v>
      </c>
    </row>
    <row r="30372">
      <c r="B30372" s="17" t="s">
        <v>477</v>
      </c>
      <c r="K30372" s="18" t="s">
        <v>477</v>
      </c>
    </row>
    <row r="30373">
      <c r="B30373" s="17" t="s">
        <v>477</v>
      </c>
      <c r="K30373" s="18" t="s">
        <v>477</v>
      </c>
    </row>
    <row r="30374">
      <c r="B30374" s="17" t="s">
        <v>477</v>
      </c>
      <c r="K30374" s="18" t="s">
        <v>477</v>
      </c>
    </row>
    <row r="30375">
      <c r="B30375" s="17" t="s">
        <v>477</v>
      </c>
      <c r="K30375" s="18" t="s">
        <v>477</v>
      </c>
    </row>
    <row r="30376">
      <c r="B30376" s="17" t="s">
        <v>477</v>
      </c>
      <c r="K30376" s="18" t="s">
        <v>477</v>
      </c>
    </row>
    <row r="30377">
      <c r="B30377" s="17" t="s">
        <v>477</v>
      </c>
      <c r="K30377" s="18" t="s">
        <v>477</v>
      </c>
    </row>
    <row r="30378">
      <c r="B30378" s="17" t="s">
        <v>477</v>
      </c>
      <c r="K30378" s="18" t="s">
        <v>477</v>
      </c>
    </row>
    <row r="30379">
      <c r="B30379" s="17" t="s">
        <v>477</v>
      </c>
      <c r="K30379" s="18" t="s">
        <v>477</v>
      </c>
    </row>
    <row r="30380">
      <c r="B30380" s="17" t="s">
        <v>477</v>
      </c>
      <c r="K30380" s="18" t="s">
        <v>477</v>
      </c>
    </row>
    <row r="30381">
      <c r="B30381" s="17" t="s">
        <v>477</v>
      </c>
      <c r="K30381" s="18" t="s">
        <v>477</v>
      </c>
    </row>
    <row r="30382">
      <c r="B30382" s="17" t="s">
        <v>477</v>
      </c>
      <c r="K30382" s="18" t="s">
        <v>477</v>
      </c>
    </row>
    <row r="30383">
      <c r="B30383" s="17" t="s">
        <v>477</v>
      </c>
      <c r="K30383" s="18" t="s">
        <v>477</v>
      </c>
    </row>
    <row r="30384">
      <c r="B30384" s="17" t="s">
        <v>477</v>
      </c>
      <c r="K30384" s="18" t="s">
        <v>477</v>
      </c>
    </row>
    <row r="30385">
      <c r="B30385" s="17" t="s">
        <v>477</v>
      </c>
      <c r="K30385" s="18" t="s">
        <v>477</v>
      </c>
    </row>
    <row r="30386">
      <c r="B30386" s="17" t="s">
        <v>477</v>
      </c>
      <c r="K30386" s="18" t="s">
        <v>477</v>
      </c>
    </row>
    <row r="30387">
      <c r="B30387" s="17" t="s">
        <v>477</v>
      </c>
      <c r="K30387" s="18" t="s">
        <v>477</v>
      </c>
    </row>
    <row r="30388">
      <c r="B30388" s="17" t="s">
        <v>477</v>
      </c>
      <c r="K30388" s="18" t="s">
        <v>477</v>
      </c>
    </row>
    <row r="30389">
      <c r="B30389" s="17" t="s">
        <v>477</v>
      </c>
      <c r="K30389" s="18" t="s">
        <v>477</v>
      </c>
    </row>
    <row r="30390">
      <c r="B30390" s="17" t="s">
        <v>477</v>
      </c>
      <c r="K30390" s="18" t="s">
        <v>477</v>
      </c>
    </row>
    <row r="30391">
      <c r="B30391" s="17" t="s">
        <v>477</v>
      </c>
      <c r="K30391" s="18" t="s">
        <v>477</v>
      </c>
    </row>
    <row r="30392">
      <c r="B30392" s="17" t="s">
        <v>477</v>
      </c>
      <c r="K30392" s="18" t="s">
        <v>477</v>
      </c>
    </row>
    <row r="30393">
      <c r="B30393" s="17" t="s">
        <v>477</v>
      </c>
      <c r="K30393" s="18" t="s">
        <v>477</v>
      </c>
    </row>
    <row r="30394">
      <c r="B30394" s="17" t="s">
        <v>477</v>
      </c>
      <c r="K30394" s="18" t="s">
        <v>477</v>
      </c>
    </row>
    <row r="30395">
      <c r="B30395" s="17" t="s">
        <v>477</v>
      </c>
      <c r="K30395" s="18" t="s">
        <v>477</v>
      </c>
    </row>
    <row r="30396">
      <c r="B30396" s="17" t="s">
        <v>477</v>
      </c>
      <c r="K30396" s="18" t="s">
        <v>477</v>
      </c>
    </row>
    <row r="30397">
      <c r="B30397" s="17" t="s">
        <v>477</v>
      </c>
      <c r="K30397" s="18" t="s">
        <v>477</v>
      </c>
    </row>
    <row r="30398">
      <c r="B30398" s="17" t="s">
        <v>477</v>
      </c>
      <c r="K30398" s="18" t="s">
        <v>477</v>
      </c>
    </row>
    <row r="30399">
      <c r="B30399" s="17" t="s">
        <v>477</v>
      </c>
      <c r="K30399" s="18" t="s">
        <v>477</v>
      </c>
    </row>
    <row r="30400">
      <c r="B30400" s="17" t="s">
        <v>477</v>
      </c>
      <c r="K30400" s="18" t="s">
        <v>477</v>
      </c>
    </row>
    <row r="30401">
      <c r="B30401" s="17" t="s">
        <v>477</v>
      </c>
      <c r="K30401" s="18" t="s">
        <v>477</v>
      </c>
    </row>
    <row r="30402">
      <c r="B30402" s="17" t="s">
        <v>477</v>
      </c>
      <c r="K30402" s="18" t="s">
        <v>477</v>
      </c>
    </row>
    <row r="30403">
      <c r="B30403" s="17" t="s">
        <v>477</v>
      </c>
      <c r="K30403" s="18" t="s">
        <v>477</v>
      </c>
    </row>
    <row r="30404">
      <c r="B30404" s="17" t="s">
        <v>477</v>
      </c>
      <c r="K30404" s="18" t="s">
        <v>477</v>
      </c>
    </row>
    <row r="30405">
      <c r="B30405" s="17" t="s">
        <v>477</v>
      </c>
      <c r="K30405" s="18" t="s">
        <v>477</v>
      </c>
    </row>
    <row r="30406">
      <c r="B30406" s="17" t="s">
        <v>477</v>
      </c>
      <c r="K30406" s="18" t="s">
        <v>477</v>
      </c>
    </row>
    <row r="30407">
      <c r="B30407" s="17" t="s">
        <v>477</v>
      </c>
      <c r="K30407" s="18" t="s">
        <v>477</v>
      </c>
    </row>
    <row r="30408">
      <c r="B30408" s="17" t="s">
        <v>477</v>
      </c>
      <c r="K30408" s="18" t="s">
        <v>477</v>
      </c>
    </row>
    <row r="30409">
      <c r="B30409" s="17" t="s">
        <v>477</v>
      </c>
      <c r="K30409" s="18" t="s">
        <v>477</v>
      </c>
    </row>
    <row r="30410">
      <c r="B30410" s="17" t="s">
        <v>477</v>
      </c>
      <c r="K30410" s="18" t="s">
        <v>477</v>
      </c>
    </row>
    <row r="30411">
      <c r="B30411" s="17" t="s">
        <v>477</v>
      </c>
      <c r="K30411" s="18" t="s">
        <v>477</v>
      </c>
    </row>
    <row r="30412">
      <c r="B30412" s="17" t="s">
        <v>477</v>
      </c>
      <c r="K30412" s="18" t="s">
        <v>477</v>
      </c>
    </row>
    <row r="30413">
      <c r="B30413" s="17" t="s">
        <v>477</v>
      </c>
      <c r="K30413" s="18" t="s">
        <v>477</v>
      </c>
    </row>
    <row r="30414">
      <c r="B30414" s="17" t="s">
        <v>477</v>
      </c>
      <c r="K30414" s="18" t="s">
        <v>477</v>
      </c>
    </row>
    <row r="30415">
      <c r="B30415" s="17" t="s">
        <v>477</v>
      </c>
      <c r="K30415" s="18" t="s">
        <v>477</v>
      </c>
    </row>
    <row r="30416">
      <c r="B30416" s="17" t="s">
        <v>477</v>
      </c>
      <c r="K30416" s="18" t="s">
        <v>477</v>
      </c>
    </row>
    <row r="30417">
      <c r="B30417" s="17" t="s">
        <v>477</v>
      </c>
      <c r="K30417" s="18" t="s">
        <v>477</v>
      </c>
    </row>
    <row r="30418">
      <c r="B30418" s="17" t="s">
        <v>477</v>
      </c>
      <c r="K30418" s="18" t="s">
        <v>477</v>
      </c>
    </row>
    <row r="30419">
      <c r="B30419" s="17" t="s">
        <v>477</v>
      </c>
      <c r="K30419" s="18" t="s">
        <v>477</v>
      </c>
    </row>
    <row r="30420">
      <c r="B30420" s="17" t="s">
        <v>477</v>
      </c>
      <c r="K30420" s="18" t="s">
        <v>477</v>
      </c>
    </row>
    <row r="30421">
      <c r="B30421" s="17" t="s">
        <v>477</v>
      </c>
      <c r="K30421" s="18" t="s">
        <v>477</v>
      </c>
    </row>
    <row r="30422">
      <c r="B30422" s="17" t="s">
        <v>477</v>
      </c>
      <c r="K30422" s="18" t="s">
        <v>477</v>
      </c>
    </row>
    <row r="30423">
      <c r="B30423" s="17" t="s">
        <v>477</v>
      </c>
      <c r="K30423" s="18" t="s">
        <v>477</v>
      </c>
    </row>
    <row r="30424">
      <c r="B30424" s="17" t="s">
        <v>477</v>
      </c>
      <c r="K30424" s="18" t="s">
        <v>477</v>
      </c>
    </row>
    <row r="30425">
      <c r="B30425" s="17" t="s">
        <v>477</v>
      </c>
      <c r="K30425" s="18" t="s">
        <v>477</v>
      </c>
    </row>
    <row r="30426">
      <c r="B30426" s="17" t="s">
        <v>477</v>
      </c>
      <c r="K30426" s="18" t="s">
        <v>477</v>
      </c>
    </row>
    <row r="30427">
      <c r="B30427" s="17" t="s">
        <v>477</v>
      </c>
      <c r="K30427" s="18" t="s">
        <v>477</v>
      </c>
    </row>
    <row r="30428">
      <c r="B30428" s="17" t="s">
        <v>477</v>
      </c>
      <c r="K30428" s="18" t="s">
        <v>477</v>
      </c>
    </row>
    <row r="30429">
      <c r="B30429" s="17" t="s">
        <v>477</v>
      </c>
      <c r="K30429" s="18" t="s">
        <v>477</v>
      </c>
    </row>
    <row r="30430">
      <c r="B30430" s="17" t="s">
        <v>477</v>
      </c>
      <c r="K30430" s="18" t="s">
        <v>477</v>
      </c>
    </row>
    <row r="30431">
      <c r="B30431" s="17" t="s">
        <v>477</v>
      </c>
      <c r="K30431" s="18" t="s">
        <v>477</v>
      </c>
    </row>
    <row r="30432">
      <c r="B30432" s="17" t="s">
        <v>477</v>
      </c>
      <c r="K30432" s="18" t="s">
        <v>477</v>
      </c>
    </row>
    <row r="30433">
      <c r="B30433" s="17" t="s">
        <v>477</v>
      </c>
      <c r="K30433" s="18" t="s">
        <v>477</v>
      </c>
    </row>
    <row r="30434">
      <c r="B30434" s="17" t="s">
        <v>477</v>
      </c>
      <c r="K30434" s="18" t="s">
        <v>477</v>
      </c>
    </row>
    <row r="30435">
      <c r="B30435" s="17" t="s">
        <v>477</v>
      </c>
      <c r="K30435" s="18" t="s">
        <v>477</v>
      </c>
    </row>
    <row r="30436">
      <c r="B30436" s="17" t="s">
        <v>477</v>
      </c>
      <c r="K30436" s="18" t="s">
        <v>477</v>
      </c>
    </row>
    <row r="30437">
      <c r="B30437" s="17" t="s">
        <v>477</v>
      </c>
      <c r="K30437" s="18" t="s">
        <v>477</v>
      </c>
    </row>
    <row r="30438">
      <c r="B30438" s="17" t="s">
        <v>477</v>
      </c>
      <c r="K30438" s="18" t="s">
        <v>477</v>
      </c>
    </row>
    <row r="30439">
      <c r="B30439" s="17" t="s">
        <v>477</v>
      </c>
      <c r="K30439" s="18" t="s">
        <v>477</v>
      </c>
    </row>
    <row r="30440">
      <c r="B30440" s="17" t="s">
        <v>477</v>
      </c>
      <c r="K30440" s="18" t="s">
        <v>477</v>
      </c>
    </row>
    <row r="30441">
      <c r="B30441" s="17" t="s">
        <v>477</v>
      </c>
      <c r="K30441" s="18" t="s">
        <v>477</v>
      </c>
    </row>
    <row r="30442">
      <c r="B30442" s="17" t="s">
        <v>477</v>
      </c>
      <c r="K30442" s="18" t="s">
        <v>477</v>
      </c>
    </row>
    <row r="30443">
      <c r="B30443" s="17" t="s">
        <v>477</v>
      </c>
      <c r="K30443" s="18" t="s">
        <v>477</v>
      </c>
    </row>
    <row r="30444">
      <c r="B30444" s="17" t="s">
        <v>477</v>
      </c>
      <c r="K30444" s="18" t="s">
        <v>477</v>
      </c>
    </row>
    <row r="30445">
      <c r="B30445" s="17" t="s">
        <v>477</v>
      </c>
      <c r="K30445" s="18" t="s">
        <v>477</v>
      </c>
    </row>
    <row r="30446">
      <c r="B30446" s="17" t="s">
        <v>477</v>
      </c>
      <c r="K30446" s="18" t="s">
        <v>477</v>
      </c>
    </row>
    <row r="30447">
      <c r="B30447" s="17" t="s">
        <v>477</v>
      </c>
      <c r="K30447" s="18" t="s">
        <v>477</v>
      </c>
    </row>
    <row r="30448">
      <c r="B30448" s="17" t="s">
        <v>477</v>
      </c>
      <c r="K30448" s="18" t="s">
        <v>477</v>
      </c>
    </row>
    <row r="30449">
      <c r="B30449" s="17" t="s">
        <v>477</v>
      </c>
      <c r="K30449" s="18" t="s">
        <v>477</v>
      </c>
    </row>
    <row r="30450">
      <c r="B30450" s="17" t="s">
        <v>477</v>
      </c>
      <c r="K30450" s="18" t="s">
        <v>477</v>
      </c>
    </row>
    <row r="30451">
      <c r="B30451" s="17" t="s">
        <v>477</v>
      </c>
      <c r="K30451" s="18" t="s">
        <v>477</v>
      </c>
    </row>
    <row r="30452">
      <c r="B30452" s="17" t="s">
        <v>477</v>
      </c>
      <c r="K30452" s="18" t="s">
        <v>477</v>
      </c>
    </row>
    <row r="30453">
      <c r="B30453" s="17" t="s">
        <v>477</v>
      </c>
      <c r="K30453" s="18" t="s">
        <v>477</v>
      </c>
    </row>
    <row r="30454">
      <c r="B30454" s="17" t="s">
        <v>477</v>
      </c>
      <c r="K30454" s="18" t="s">
        <v>477</v>
      </c>
    </row>
    <row r="30455">
      <c r="B30455" s="17" t="s">
        <v>477</v>
      </c>
      <c r="K30455" s="18" t="s">
        <v>477</v>
      </c>
    </row>
    <row r="30456">
      <c r="B30456" s="17" t="s">
        <v>477</v>
      </c>
      <c r="K30456" s="18" t="s">
        <v>477</v>
      </c>
    </row>
    <row r="30457">
      <c r="B30457" s="17" t="s">
        <v>477</v>
      </c>
      <c r="K30457" s="18" t="s">
        <v>477</v>
      </c>
    </row>
    <row r="30458">
      <c r="B30458" s="17" t="s">
        <v>477</v>
      </c>
      <c r="K30458" s="18" t="s">
        <v>477</v>
      </c>
    </row>
    <row r="30459">
      <c r="B30459" s="17" t="s">
        <v>477</v>
      </c>
      <c r="K30459" s="18" t="s">
        <v>477</v>
      </c>
    </row>
    <row r="30460">
      <c r="B30460" s="17" t="s">
        <v>477</v>
      </c>
      <c r="K30460" s="18" t="s">
        <v>477</v>
      </c>
    </row>
    <row r="30461">
      <c r="B30461" s="17" t="s">
        <v>477</v>
      </c>
      <c r="K30461" s="18" t="s">
        <v>477</v>
      </c>
    </row>
    <row r="30462">
      <c r="B30462" s="17" t="s">
        <v>477</v>
      </c>
      <c r="K30462" s="18" t="s">
        <v>477</v>
      </c>
    </row>
    <row r="30463">
      <c r="B30463" s="17" t="s">
        <v>477</v>
      </c>
      <c r="K30463" s="18" t="s">
        <v>477</v>
      </c>
    </row>
    <row r="30464">
      <c r="B30464" s="17" t="s">
        <v>477</v>
      </c>
      <c r="K30464" s="18" t="s">
        <v>477</v>
      </c>
    </row>
    <row r="30465">
      <c r="B30465" s="17" t="s">
        <v>477</v>
      </c>
      <c r="K30465" s="18" t="s">
        <v>477</v>
      </c>
    </row>
    <row r="30466">
      <c r="B30466" s="17" t="s">
        <v>477</v>
      </c>
      <c r="K30466" s="18" t="s">
        <v>477</v>
      </c>
    </row>
    <row r="30467">
      <c r="B30467" s="17" t="s">
        <v>477</v>
      </c>
      <c r="K30467" s="18" t="s">
        <v>477</v>
      </c>
    </row>
    <row r="30468">
      <c r="B30468" s="17" t="s">
        <v>477</v>
      </c>
      <c r="K30468" s="18" t="s">
        <v>477</v>
      </c>
    </row>
    <row r="30469">
      <c r="B30469" s="17" t="s">
        <v>477</v>
      </c>
      <c r="K30469" s="18" t="s">
        <v>477</v>
      </c>
    </row>
    <row r="30470">
      <c r="B30470" s="17" t="s">
        <v>477</v>
      </c>
      <c r="K30470" s="18" t="s">
        <v>477</v>
      </c>
    </row>
    <row r="30471">
      <c r="B30471" s="17" t="s">
        <v>477</v>
      </c>
      <c r="K30471" s="18" t="s">
        <v>477</v>
      </c>
    </row>
    <row r="30472">
      <c r="B30472" s="17" t="s">
        <v>477</v>
      </c>
      <c r="K30472" s="18" t="s">
        <v>477</v>
      </c>
    </row>
    <row r="30473">
      <c r="B30473" s="17" t="s">
        <v>477</v>
      </c>
      <c r="K30473" s="18" t="s">
        <v>477</v>
      </c>
    </row>
    <row r="30474">
      <c r="B30474" s="17" t="s">
        <v>477</v>
      </c>
      <c r="K30474" s="18" t="s">
        <v>477</v>
      </c>
    </row>
    <row r="30475">
      <c r="B30475" s="17" t="s">
        <v>477</v>
      </c>
      <c r="K30475" s="18" t="s">
        <v>477</v>
      </c>
    </row>
    <row r="30476">
      <c r="B30476" s="17" t="s">
        <v>477</v>
      </c>
      <c r="K30476" s="18" t="s">
        <v>477</v>
      </c>
    </row>
    <row r="30477">
      <c r="B30477" s="17" t="s">
        <v>477</v>
      </c>
      <c r="K30477" s="18" t="s">
        <v>477</v>
      </c>
    </row>
    <row r="30478">
      <c r="B30478" s="17" t="s">
        <v>477</v>
      </c>
      <c r="K30478" s="18" t="s">
        <v>477</v>
      </c>
    </row>
    <row r="30479">
      <c r="B30479" s="17" t="s">
        <v>477</v>
      </c>
      <c r="K30479" s="18" t="s">
        <v>477</v>
      </c>
    </row>
    <row r="30480">
      <c r="B30480" s="17" t="s">
        <v>477</v>
      </c>
      <c r="K30480" s="18" t="s">
        <v>477</v>
      </c>
    </row>
    <row r="30481">
      <c r="B30481" s="17" t="s">
        <v>477</v>
      </c>
      <c r="K30481" s="18" t="s">
        <v>477</v>
      </c>
    </row>
    <row r="30482">
      <c r="B30482" s="17" t="s">
        <v>477</v>
      </c>
      <c r="K30482" s="18" t="s">
        <v>477</v>
      </c>
    </row>
    <row r="30483">
      <c r="B30483" s="17" t="s">
        <v>477</v>
      </c>
      <c r="K30483" s="18" t="s">
        <v>477</v>
      </c>
    </row>
    <row r="30484">
      <c r="B30484" s="17" t="s">
        <v>477</v>
      </c>
      <c r="K30484" s="18" t="s">
        <v>477</v>
      </c>
    </row>
    <row r="30485">
      <c r="B30485" s="17" t="s">
        <v>477</v>
      </c>
      <c r="K30485" s="18" t="s">
        <v>477</v>
      </c>
    </row>
    <row r="30486">
      <c r="B30486" s="17" t="s">
        <v>477</v>
      </c>
      <c r="K30486" s="18" t="s">
        <v>477</v>
      </c>
    </row>
    <row r="30487">
      <c r="B30487" s="17" t="s">
        <v>477</v>
      </c>
      <c r="K30487" s="18" t="s">
        <v>477</v>
      </c>
    </row>
    <row r="30488">
      <c r="B30488" s="17" t="s">
        <v>477</v>
      </c>
      <c r="K30488" s="18" t="s">
        <v>477</v>
      </c>
    </row>
    <row r="30489">
      <c r="B30489" s="17" t="s">
        <v>477</v>
      </c>
      <c r="K30489" s="18" t="s">
        <v>477</v>
      </c>
    </row>
    <row r="30490">
      <c r="B30490" s="17" t="s">
        <v>477</v>
      </c>
      <c r="K30490" s="18" t="s">
        <v>477</v>
      </c>
    </row>
    <row r="30491">
      <c r="B30491" s="17" t="s">
        <v>477</v>
      </c>
      <c r="K30491" s="18" t="s">
        <v>477</v>
      </c>
    </row>
    <row r="30492">
      <c r="B30492" s="17" t="s">
        <v>477</v>
      </c>
      <c r="K30492" s="18" t="s">
        <v>477</v>
      </c>
    </row>
    <row r="30493">
      <c r="B30493" s="17" t="s">
        <v>477</v>
      </c>
      <c r="K30493" s="18" t="s">
        <v>477</v>
      </c>
    </row>
    <row r="30494">
      <c r="B30494" s="17" t="s">
        <v>477</v>
      </c>
      <c r="K30494" s="18" t="s">
        <v>477</v>
      </c>
    </row>
    <row r="30495">
      <c r="B30495" s="17" t="s">
        <v>477</v>
      </c>
      <c r="K30495" s="18" t="s">
        <v>477</v>
      </c>
    </row>
    <row r="30496">
      <c r="B30496" s="17" t="s">
        <v>477</v>
      </c>
      <c r="K30496" s="18" t="s">
        <v>477</v>
      </c>
    </row>
    <row r="30497">
      <c r="B30497" s="17" t="s">
        <v>477</v>
      </c>
      <c r="K30497" s="18" t="s">
        <v>477</v>
      </c>
    </row>
    <row r="30498">
      <c r="B30498" s="17" t="s">
        <v>477</v>
      </c>
      <c r="K30498" s="18" t="s">
        <v>477</v>
      </c>
    </row>
    <row r="30499">
      <c r="B30499" s="17" t="s">
        <v>477</v>
      </c>
      <c r="K30499" s="18" t="s">
        <v>477</v>
      </c>
    </row>
    <row r="30500">
      <c r="B30500" s="17" t="s">
        <v>477</v>
      </c>
      <c r="K30500" s="18" t="s">
        <v>477</v>
      </c>
    </row>
    <row r="30501">
      <c r="B30501" s="17" t="s">
        <v>477</v>
      </c>
      <c r="K30501" s="18" t="s">
        <v>477</v>
      </c>
    </row>
    <row r="30502">
      <c r="B30502" s="17" t="s">
        <v>477</v>
      </c>
      <c r="K30502" s="18" t="s">
        <v>477</v>
      </c>
    </row>
    <row r="30503">
      <c r="B30503" s="17" t="s">
        <v>477</v>
      </c>
      <c r="K30503" s="18" t="s">
        <v>477</v>
      </c>
    </row>
    <row r="30504">
      <c r="B30504" s="17" t="s">
        <v>477</v>
      </c>
      <c r="K30504" s="18" t="s">
        <v>477</v>
      </c>
    </row>
    <row r="30505">
      <c r="B30505" s="17" t="s">
        <v>477</v>
      </c>
      <c r="K30505" s="18" t="s">
        <v>477</v>
      </c>
    </row>
    <row r="30506">
      <c r="B30506" s="17" t="s">
        <v>477</v>
      </c>
      <c r="K30506" s="18" t="s">
        <v>477</v>
      </c>
    </row>
    <row r="30507">
      <c r="B30507" s="17" t="s">
        <v>477</v>
      </c>
      <c r="K30507" s="18" t="s">
        <v>477</v>
      </c>
    </row>
    <row r="30508">
      <c r="B30508" s="17" t="s">
        <v>477</v>
      </c>
      <c r="K30508" s="18" t="s">
        <v>477</v>
      </c>
    </row>
    <row r="30509">
      <c r="B30509" s="17" t="s">
        <v>477</v>
      </c>
      <c r="K30509" s="18" t="s">
        <v>477</v>
      </c>
    </row>
    <row r="30510">
      <c r="B30510" s="17" t="s">
        <v>477</v>
      </c>
      <c r="K30510" s="18" t="s">
        <v>477</v>
      </c>
    </row>
    <row r="30511">
      <c r="B30511" s="17" t="s">
        <v>477</v>
      </c>
      <c r="K30511" s="18" t="s">
        <v>477</v>
      </c>
    </row>
    <row r="30512">
      <c r="B30512" s="17" t="s">
        <v>477</v>
      </c>
      <c r="K30512" s="18" t="s">
        <v>477</v>
      </c>
    </row>
    <row r="30513">
      <c r="B30513" s="17" t="s">
        <v>477</v>
      </c>
      <c r="K30513" s="18" t="s">
        <v>477</v>
      </c>
    </row>
    <row r="30514">
      <c r="B30514" s="17" t="s">
        <v>477</v>
      </c>
      <c r="K30514" s="18" t="s">
        <v>477</v>
      </c>
    </row>
    <row r="30515">
      <c r="B30515" s="17" t="s">
        <v>477</v>
      </c>
      <c r="K30515" s="18" t="s">
        <v>477</v>
      </c>
    </row>
    <row r="30516">
      <c r="B30516" s="17" t="s">
        <v>477</v>
      </c>
      <c r="K30516" s="18" t="s">
        <v>477</v>
      </c>
    </row>
    <row r="30517">
      <c r="B30517" s="17" t="s">
        <v>477</v>
      </c>
      <c r="K30517" s="18" t="s">
        <v>477</v>
      </c>
    </row>
    <row r="30518">
      <c r="B30518" s="17" t="s">
        <v>477</v>
      </c>
      <c r="K30518" s="18" t="s">
        <v>477</v>
      </c>
    </row>
    <row r="30519">
      <c r="B30519" s="17" t="s">
        <v>477</v>
      </c>
      <c r="K30519" s="18" t="s">
        <v>477</v>
      </c>
    </row>
    <row r="30520">
      <c r="B30520" s="17" t="s">
        <v>477</v>
      </c>
      <c r="K30520" s="18" t="s">
        <v>477</v>
      </c>
    </row>
    <row r="30521">
      <c r="B30521" s="17" t="s">
        <v>477</v>
      </c>
      <c r="K30521" s="18" t="s">
        <v>477</v>
      </c>
    </row>
    <row r="30522">
      <c r="B30522" s="17" t="s">
        <v>477</v>
      </c>
      <c r="K30522" s="18" t="s">
        <v>477</v>
      </c>
    </row>
    <row r="30523">
      <c r="B30523" s="17" t="s">
        <v>477</v>
      </c>
      <c r="K30523" s="18" t="s">
        <v>477</v>
      </c>
    </row>
    <row r="30524">
      <c r="B30524" s="17" t="s">
        <v>477</v>
      </c>
      <c r="K30524" s="18" t="s">
        <v>477</v>
      </c>
    </row>
    <row r="30525">
      <c r="B30525" s="17" t="s">
        <v>477</v>
      </c>
      <c r="K30525" s="18" t="s">
        <v>477</v>
      </c>
    </row>
    <row r="30526">
      <c r="B30526" s="17" t="s">
        <v>477</v>
      </c>
      <c r="K30526" s="18" t="s">
        <v>477</v>
      </c>
    </row>
    <row r="30527">
      <c r="B30527" s="17" t="s">
        <v>477</v>
      </c>
      <c r="K30527" s="18" t="s">
        <v>477</v>
      </c>
    </row>
    <row r="30528">
      <c r="B30528" s="17" t="s">
        <v>477</v>
      </c>
      <c r="K30528" s="18" t="s">
        <v>477</v>
      </c>
    </row>
    <row r="30529">
      <c r="B30529" s="17" t="s">
        <v>477</v>
      </c>
      <c r="K30529" s="18" t="s">
        <v>477</v>
      </c>
    </row>
    <row r="30530">
      <c r="B30530" s="17" t="s">
        <v>477</v>
      </c>
      <c r="K30530" s="18" t="s">
        <v>477</v>
      </c>
    </row>
    <row r="30531">
      <c r="B30531" s="17" t="s">
        <v>477</v>
      </c>
      <c r="K30531" s="18" t="s">
        <v>477</v>
      </c>
    </row>
    <row r="30532">
      <c r="B30532" s="17" t="s">
        <v>477</v>
      </c>
      <c r="K30532" s="18" t="s">
        <v>477</v>
      </c>
    </row>
    <row r="30533">
      <c r="B30533" s="17" t="s">
        <v>477</v>
      </c>
      <c r="K30533" s="18" t="s">
        <v>477</v>
      </c>
    </row>
    <row r="30534">
      <c r="B30534" s="17" t="s">
        <v>477</v>
      </c>
      <c r="K30534" s="18" t="s">
        <v>477</v>
      </c>
    </row>
    <row r="30535">
      <c r="B30535" s="17" t="s">
        <v>477</v>
      </c>
      <c r="K30535" s="18" t="s">
        <v>477</v>
      </c>
    </row>
    <row r="30536">
      <c r="B30536" s="17" t="s">
        <v>477</v>
      </c>
      <c r="K30536" s="18" t="s">
        <v>477</v>
      </c>
    </row>
    <row r="30537">
      <c r="B30537" s="17" t="s">
        <v>477</v>
      </c>
      <c r="K30537" s="18" t="s">
        <v>477</v>
      </c>
    </row>
    <row r="30538">
      <c r="B30538" s="17" t="s">
        <v>477</v>
      </c>
      <c r="K30538" s="18" t="s">
        <v>477</v>
      </c>
    </row>
    <row r="30539">
      <c r="B30539" s="17" t="s">
        <v>477</v>
      </c>
      <c r="K30539" s="18" t="s">
        <v>477</v>
      </c>
    </row>
    <row r="30540">
      <c r="B30540" s="17" t="s">
        <v>477</v>
      </c>
      <c r="K30540" s="18" t="s">
        <v>477</v>
      </c>
    </row>
    <row r="30541">
      <c r="B30541" s="17" t="s">
        <v>477</v>
      </c>
      <c r="K30541" s="18" t="s">
        <v>477</v>
      </c>
    </row>
    <row r="30542">
      <c r="B30542" s="17" t="s">
        <v>477</v>
      </c>
      <c r="K30542" s="18" t="s">
        <v>477</v>
      </c>
    </row>
    <row r="30543">
      <c r="B30543" s="17" t="s">
        <v>477</v>
      </c>
      <c r="K30543" s="18" t="s">
        <v>477</v>
      </c>
    </row>
    <row r="30544">
      <c r="B30544" s="17" t="s">
        <v>477</v>
      </c>
      <c r="K30544" s="18" t="s">
        <v>477</v>
      </c>
    </row>
    <row r="30545">
      <c r="B30545" s="17" t="s">
        <v>477</v>
      </c>
      <c r="K30545" s="18" t="s">
        <v>477</v>
      </c>
    </row>
    <row r="30546">
      <c r="B30546" s="17" t="s">
        <v>477</v>
      </c>
      <c r="K30546" s="18" t="s">
        <v>477</v>
      </c>
    </row>
    <row r="30547">
      <c r="B30547" s="17" t="s">
        <v>477</v>
      </c>
      <c r="K30547" s="18" t="s">
        <v>477</v>
      </c>
    </row>
    <row r="30548">
      <c r="B30548" s="17" t="s">
        <v>477</v>
      </c>
      <c r="K30548" s="18" t="s">
        <v>477</v>
      </c>
    </row>
    <row r="30549">
      <c r="B30549" s="17" t="s">
        <v>477</v>
      </c>
      <c r="K30549" s="18" t="s">
        <v>477</v>
      </c>
    </row>
    <row r="30550">
      <c r="B30550" s="17" t="s">
        <v>477</v>
      </c>
      <c r="K30550" s="18" t="s">
        <v>477</v>
      </c>
    </row>
    <row r="30551">
      <c r="B30551" s="17" t="s">
        <v>477</v>
      </c>
      <c r="K30551" s="18" t="s">
        <v>477</v>
      </c>
    </row>
    <row r="30552">
      <c r="B30552" s="17" t="s">
        <v>477</v>
      </c>
      <c r="K30552" s="18" t="s">
        <v>477</v>
      </c>
    </row>
    <row r="30553">
      <c r="B30553" s="17" t="s">
        <v>477</v>
      </c>
      <c r="K30553" s="18" t="s">
        <v>477</v>
      </c>
    </row>
    <row r="30554">
      <c r="B30554" s="17" t="s">
        <v>477</v>
      </c>
      <c r="K30554" s="18" t="s">
        <v>477</v>
      </c>
    </row>
    <row r="30555">
      <c r="B30555" s="17" t="s">
        <v>477</v>
      </c>
      <c r="K30555" s="18" t="s">
        <v>477</v>
      </c>
    </row>
    <row r="30556">
      <c r="B30556" s="17" t="s">
        <v>477</v>
      </c>
      <c r="K30556" s="18" t="s">
        <v>477</v>
      </c>
    </row>
    <row r="30557">
      <c r="B30557" s="17" t="s">
        <v>477</v>
      </c>
      <c r="K30557" s="18" t="s">
        <v>477</v>
      </c>
    </row>
    <row r="30558">
      <c r="B30558" s="17" t="s">
        <v>477</v>
      </c>
      <c r="K30558" s="18" t="s">
        <v>477</v>
      </c>
    </row>
    <row r="30559">
      <c r="B30559" s="17" t="s">
        <v>477</v>
      </c>
      <c r="K30559" s="18" t="s">
        <v>477</v>
      </c>
    </row>
    <row r="30560">
      <c r="B30560" s="17" t="s">
        <v>477</v>
      </c>
      <c r="K30560" s="18" t="s">
        <v>477</v>
      </c>
    </row>
    <row r="30561">
      <c r="B30561" s="17" t="s">
        <v>477</v>
      </c>
      <c r="K30561" s="18" t="s">
        <v>477</v>
      </c>
    </row>
    <row r="30562">
      <c r="B30562" s="17" t="s">
        <v>477</v>
      </c>
      <c r="K30562" s="18" t="s">
        <v>477</v>
      </c>
    </row>
    <row r="30563">
      <c r="B30563" s="17" t="s">
        <v>477</v>
      </c>
      <c r="K30563" s="18" t="s">
        <v>477</v>
      </c>
    </row>
    <row r="30564">
      <c r="B30564" s="17" t="s">
        <v>477</v>
      </c>
      <c r="K30564" s="18" t="s">
        <v>477</v>
      </c>
    </row>
    <row r="30565">
      <c r="B30565" s="17" t="s">
        <v>477</v>
      </c>
      <c r="K30565" s="18" t="s">
        <v>477</v>
      </c>
    </row>
    <row r="30566">
      <c r="B30566" s="17" t="s">
        <v>477</v>
      </c>
      <c r="K30566" s="18" t="s">
        <v>477</v>
      </c>
    </row>
    <row r="30567">
      <c r="B30567" s="17" t="s">
        <v>477</v>
      </c>
      <c r="K30567" s="18" t="s">
        <v>477</v>
      </c>
    </row>
    <row r="30568">
      <c r="B30568" s="17" t="s">
        <v>477</v>
      </c>
      <c r="K30568" s="18" t="s">
        <v>477</v>
      </c>
    </row>
    <row r="30569">
      <c r="B30569" s="17" t="s">
        <v>477</v>
      </c>
      <c r="K30569" s="18" t="s">
        <v>477</v>
      </c>
    </row>
    <row r="30570">
      <c r="B30570" s="17" t="s">
        <v>477</v>
      </c>
      <c r="K30570" s="18" t="s">
        <v>477</v>
      </c>
    </row>
    <row r="30571">
      <c r="B30571" s="17" t="s">
        <v>477</v>
      </c>
      <c r="K30571" s="18" t="s">
        <v>477</v>
      </c>
    </row>
    <row r="30572">
      <c r="B30572" s="17" t="s">
        <v>477</v>
      </c>
      <c r="K30572" s="18" t="s">
        <v>477</v>
      </c>
    </row>
    <row r="30573">
      <c r="B30573" s="17" t="s">
        <v>477</v>
      </c>
      <c r="K30573" s="18" t="s">
        <v>477</v>
      </c>
    </row>
    <row r="30574">
      <c r="B30574" s="17" t="s">
        <v>477</v>
      </c>
      <c r="K30574" s="18" t="s">
        <v>477</v>
      </c>
    </row>
    <row r="30575">
      <c r="B30575" s="17" t="s">
        <v>477</v>
      </c>
      <c r="K30575" s="18" t="s">
        <v>477</v>
      </c>
    </row>
    <row r="30576">
      <c r="B30576" s="17" t="s">
        <v>477</v>
      </c>
      <c r="K30576" s="18" t="s">
        <v>477</v>
      </c>
    </row>
    <row r="30577">
      <c r="B30577" s="17" t="s">
        <v>477</v>
      </c>
      <c r="K30577" s="18" t="s">
        <v>477</v>
      </c>
    </row>
    <row r="30578">
      <c r="B30578" s="17" t="s">
        <v>477</v>
      </c>
      <c r="K30578" s="18" t="s">
        <v>477</v>
      </c>
    </row>
    <row r="30579">
      <c r="B30579" s="17" t="s">
        <v>477</v>
      </c>
      <c r="K30579" s="18" t="s">
        <v>477</v>
      </c>
    </row>
    <row r="30580">
      <c r="B30580" s="17" t="s">
        <v>477</v>
      </c>
      <c r="K30580" s="18" t="s">
        <v>477</v>
      </c>
    </row>
    <row r="30581">
      <c r="B30581" s="17" t="s">
        <v>477</v>
      </c>
      <c r="K30581" s="18" t="s">
        <v>477</v>
      </c>
    </row>
    <row r="30582">
      <c r="B30582" s="17" t="s">
        <v>477</v>
      </c>
      <c r="K30582" s="18" t="s">
        <v>477</v>
      </c>
    </row>
    <row r="30583">
      <c r="B30583" s="17" t="s">
        <v>477</v>
      </c>
      <c r="K30583" s="18" t="s">
        <v>477</v>
      </c>
    </row>
    <row r="30584">
      <c r="B30584" s="17" t="s">
        <v>477</v>
      </c>
      <c r="K30584" s="18" t="s">
        <v>477</v>
      </c>
    </row>
    <row r="30585">
      <c r="B30585" s="17" t="s">
        <v>477</v>
      </c>
      <c r="K30585" s="18" t="s">
        <v>477</v>
      </c>
    </row>
    <row r="30586">
      <c r="B30586" s="17" t="s">
        <v>477</v>
      </c>
      <c r="K30586" s="18" t="s">
        <v>477</v>
      </c>
    </row>
    <row r="30587">
      <c r="B30587" s="17" t="s">
        <v>477</v>
      </c>
      <c r="K30587" s="18" t="s">
        <v>477</v>
      </c>
    </row>
    <row r="30588">
      <c r="B30588" s="17" t="s">
        <v>477</v>
      </c>
      <c r="K30588" s="18" t="s">
        <v>477</v>
      </c>
    </row>
    <row r="30589">
      <c r="B30589" s="17" t="s">
        <v>477</v>
      </c>
      <c r="K30589" s="18" t="s">
        <v>477</v>
      </c>
    </row>
    <row r="30590">
      <c r="B30590" s="17" t="s">
        <v>477</v>
      </c>
      <c r="K30590" s="18" t="s">
        <v>477</v>
      </c>
    </row>
    <row r="30591">
      <c r="B30591" s="17" t="s">
        <v>477</v>
      </c>
      <c r="K30591" s="18" t="s">
        <v>477</v>
      </c>
    </row>
    <row r="30592">
      <c r="B30592" s="17" t="s">
        <v>477</v>
      </c>
      <c r="K30592" s="18" t="s">
        <v>477</v>
      </c>
    </row>
    <row r="30593">
      <c r="B30593" s="17" t="s">
        <v>477</v>
      </c>
      <c r="K30593" s="18" t="s">
        <v>477</v>
      </c>
    </row>
    <row r="30594">
      <c r="B30594" s="17" t="s">
        <v>477</v>
      </c>
      <c r="K30594" s="18" t="s">
        <v>477</v>
      </c>
    </row>
    <row r="30595">
      <c r="B30595" s="17" t="s">
        <v>477</v>
      </c>
      <c r="K30595" s="18" t="s">
        <v>477</v>
      </c>
    </row>
    <row r="30596">
      <c r="B30596" s="17" t="s">
        <v>477</v>
      </c>
      <c r="K30596" s="18" t="s">
        <v>477</v>
      </c>
    </row>
    <row r="30597">
      <c r="B30597" s="17" t="s">
        <v>477</v>
      </c>
      <c r="K30597" s="18" t="s">
        <v>477</v>
      </c>
    </row>
    <row r="30598">
      <c r="B30598" s="17" t="s">
        <v>477</v>
      </c>
      <c r="K30598" s="18" t="s">
        <v>477</v>
      </c>
    </row>
    <row r="30599">
      <c r="B30599" s="17" t="s">
        <v>477</v>
      </c>
      <c r="K30599" s="18" t="s">
        <v>477</v>
      </c>
    </row>
    <row r="30600">
      <c r="B30600" s="17" t="s">
        <v>477</v>
      </c>
      <c r="K30600" s="18" t="s">
        <v>477</v>
      </c>
    </row>
    <row r="30601">
      <c r="B30601" s="17" t="s">
        <v>477</v>
      </c>
      <c r="K30601" s="18" t="s">
        <v>477</v>
      </c>
    </row>
    <row r="30602">
      <c r="B30602" s="17" t="s">
        <v>477</v>
      </c>
      <c r="K30602" s="18" t="s">
        <v>477</v>
      </c>
    </row>
    <row r="30603">
      <c r="B30603" s="17" t="s">
        <v>477</v>
      </c>
      <c r="K30603" s="18" t="s">
        <v>477</v>
      </c>
    </row>
    <row r="30604">
      <c r="B30604" s="17" t="s">
        <v>477</v>
      </c>
      <c r="K30604" s="18" t="s">
        <v>477</v>
      </c>
    </row>
    <row r="30605">
      <c r="B30605" s="17" t="s">
        <v>477</v>
      </c>
      <c r="K30605" s="18" t="s">
        <v>477</v>
      </c>
    </row>
    <row r="30606">
      <c r="B30606" s="17" t="s">
        <v>477</v>
      </c>
      <c r="K30606" s="18" t="s">
        <v>477</v>
      </c>
    </row>
    <row r="30607">
      <c r="B30607" s="17" t="s">
        <v>477</v>
      </c>
      <c r="K30607" s="18" t="s">
        <v>477</v>
      </c>
    </row>
    <row r="30608">
      <c r="B30608" s="17" t="s">
        <v>477</v>
      </c>
      <c r="K30608" s="18" t="s">
        <v>477</v>
      </c>
    </row>
    <row r="30609">
      <c r="B30609" s="17" t="s">
        <v>477</v>
      </c>
      <c r="K30609" s="18" t="s">
        <v>477</v>
      </c>
    </row>
    <row r="30610">
      <c r="B30610" s="17" t="s">
        <v>477</v>
      </c>
      <c r="K30610" s="18" t="s">
        <v>477</v>
      </c>
    </row>
    <row r="30611">
      <c r="B30611" s="17" t="s">
        <v>477</v>
      </c>
      <c r="K30611" s="18" t="s">
        <v>477</v>
      </c>
    </row>
    <row r="30612">
      <c r="B30612" s="17" t="s">
        <v>477</v>
      </c>
      <c r="K30612" s="18" t="s">
        <v>477</v>
      </c>
    </row>
    <row r="30613">
      <c r="B30613" s="17" t="s">
        <v>477</v>
      </c>
      <c r="K30613" s="18" t="s">
        <v>477</v>
      </c>
    </row>
    <row r="30614">
      <c r="B30614" s="17" t="s">
        <v>477</v>
      </c>
      <c r="K30614" s="18" t="s">
        <v>477</v>
      </c>
    </row>
    <row r="30615">
      <c r="B30615" s="17" t="s">
        <v>477</v>
      </c>
      <c r="K30615" s="18" t="s">
        <v>477</v>
      </c>
    </row>
    <row r="30616">
      <c r="B30616" s="17" t="s">
        <v>477</v>
      </c>
      <c r="K30616" s="18" t="s">
        <v>477</v>
      </c>
    </row>
    <row r="30617">
      <c r="B30617" s="17" t="s">
        <v>477</v>
      </c>
      <c r="K30617" s="18" t="s">
        <v>477</v>
      </c>
    </row>
    <row r="30618">
      <c r="B30618" s="17" t="s">
        <v>477</v>
      </c>
      <c r="K30618" s="18" t="s">
        <v>477</v>
      </c>
    </row>
    <row r="30619">
      <c r="B30619" s="17" t="s">
        <v>477</v>
      </c>
      <c r="K30619" s="18" t="s">
        <v>477</v>
      </c>
    </row>
    <row r="30620">
      <c r="B30620" s="17" t="s">
        <v>477</v>
      </c>
      <c r="K30620" s="18" t="s">
        <v>477</v>
      </c>
    </row>
    <row r="30621">
      <c r="B30621" s="17" t="s">
        <v>477</v>
      </c>
      <c r="K30621" s="18" t="s">
        <v>477</v>
      </c>
    </row>
    <row r="30622">
      <c r="B30622" s="17" t="s">
        <v>477</v>
      </c>
      <c r="K30622" s="18" t="s">
        <v>477</v>
      </c>
    </row>
    <row r="30623">
      <c r="B30623" s="17" t="s">
        <v>477</v>
      </c>
      <c r="K30623" s="18" t="s">
        <v>477</v>
      </c>
    </row>
    <row r="30624">
      <c r="B30624" s="17" t="s">
        <v>477</v>
      </c>
      <c r="K30624" s="18" t="s">
        <v>477</v>
      </c>
    </row>
    <row r="30625">
      <c r="B30625" s="17" t="s">
        <v>477</v>
      </c>
      <c r="K30625" s="18" t="s">
        <v>477</v>
      </c>
    </row>
    <row r="30626">
      <c r="B30626" s="17" t="s">
        <v>477</v>
      </c>
      <c r="K30626" s="18" t="s">
        <v>477</v>
      </c>
    </row>
    <row r="30627">
      <c r="B30627" s="17" t="s">
        <v>477</v>
      </c>
      <c r="K30627" s="18" t="s">
        <v>477</v>
      </c>
    </row>
    <row r="30628">
      <c r="B30628" s="17" t="s">
        <v>477</v>
      </c>
      <c r="K30628" s="18" t="s">
        <v>477</v>
      </c>
    </row>
    <row r="30629">
      <c r="B30629" s="17" t="s">
        <v>477</v>
      </c>
      <c r="K30629" s="18" t="s">
        <v>477</v>
      </c>
    </row>
    <row r="30630">
      <c r="B30630" s="17" t="s">
        <v>477</v>
      </c>
      <c r="K30630" s="18" t="s">
        <v>477</v>
      </c>
    </row>
    <row r="30631">
      <c r="B30631" s="17" t="s">
        <v>477</v>
      </c>
      <c r="K30631" s="18" t="s">
        <v>477</v>
      </c>
    </row>
    <row r="30632">
      <c r="B30632" s="17" t="s">
        <v>477</v>
      </c>
      <c r="K30632" s="18" t="s">
        <v>477</v>
      </c>
    </row>
    <row r="30633">
      <c r="B30633" s="17" t="s">
        <v>477</v>
      </c>
      <c r="K30633" s="18" t="s">
        <v>477</v>
      </c>
    </row>
    <row r="30634">
      <c r="B30634" s="17" t="s">
        <v>477</v>
      </c>
      <c r="K30634" s="18" t="s">
        <v>477</v>
      </c>
    </row>
    <row r="30635">
      <c r="B30635" s="17" t="s">
        <v>477</v>
      </c>
      <c r="K30635" s="18" t="s">
        <v>477</v>
      </c>
    </row>
    <row r="30636">
      <c r="B30636" s="17" t="s">
        <v>477</v>
      </c>
      <c r="K30636" s="18" t="s">
        <v>477</v>
      </c>
    </row>
    <row r="30637">
      <c r="B30637" s="17" t="s">
        <v>477</v>
      </c>
      <c r="K30637" s="18" t="s">
        <v>477</v>
      </c>
    </row>
    <row r="30638">
      <c r="B30638" s="17" t="s">
        <v>477</v>
      </c>
      <c r="K30638" s="18" t="s">
        <v>477</v>
      </c>
    </row>
    <row r="30639">
      <c r="B30639" s="17" t="s">
        <v>477</v>
      </c>
      <c r="K30639" s="18" t="s">
        <v>477</v>
      </c>
    </row>
    <row r="30640">
      <c r="B30640" s="17" t="s">
        <v>477</v>
      </c>
      <c r="K30640" s="18" t="s">
        <v>477</v>
      </c>
    </row>
    <row r="30641">
      <c r="B30641" s="17" t="s">
        <v>477</v>
      </c>
      <c r="K30641" s="18" t="s">
        <v>477</v>
      </c>
    </row>
    <row r="30642">
      <c r="B30642" s="17" t="s">
        <v>477</v>
      </c>
      <c r="K30642" s="18" t="s">
        <v>477</v>
      </c>
    </row>
    <row r="30643">
      <c r="B30643" s="17" t="s">
        <v>477</v>
      </c>
      <c r="K30643" s="18" t="s">
        <v>477</v>
      </c>
    </row>
    <row r="30644">
      <c r="B30644" s="17" t="s">
        <v>477</v>
      </c>
      <c r="K30644" s="18" t="s">
        <v>477</v>
      </c>
    </row>
    <row r="30645">
      <c r="B30645" s="17" t="s">
        <v>477</v>
      </c>
      <c r="K30645" s="18" t="s">
        <v>477</v>
      </c>
    </row>
    <row r="30646">
      <c r="B30646" s="17" t="s">
        <v>477</v>
      </c>
      <c r="K30646" s="18" t="s">
        <v>477</v>
      </c>
    </row>
    <row r="30647">
      <c r="B30647" s="17" t="s">
        <v>477</v>
      </c>
      <c r="K30647" s="18" t="s">
        <v>477</v>
      </c>
    </row>
    <row r="30648">
      <c r="B30648" s="17" t="s">
        <v>477</v>
      </c>
      <c r="K30648" s="18" t="s">
        <v>477</v>
      </c>
    </row>
    <row r="30649">
      <c r="B30649" s="17" t="s">
        <v>477</v>
      </c>
      <c r="K30649" s="18" t="s">
        <v>477</v>
      </c>
    </row>
    <row r="30650">
      <c r="B30650" s="17" t="s">
        <v>477</v>
      </c>
      <c r="K30650" s="18" t="s">
        <v>477</v>
      </c>
    </row>
    <row r="30651">
      <c r="B30651" s="17" t="s">
        <v>477</v>
      </c>
      <c r="K30651" s="18" t="s">
        <v>477</v>
      </c>
    </row>
    <row r="30652">
      <c r="B30652" s="17" t="s">
        <v>477</v>
      </c>
      <c r="K30652" s="18" t="s">
        <v>477</v>
      </c>
    </row>
    <row r="30653">
      <c r="B30653" s="17" t="s">
        <v>477</v>
      </c>
      <c r="K30653" s="18" t="s">
        <v>477</v>
      </c>
    </row>
    <row r="30654">
      <c r="B30654" s="17" t="s">
        <v>477</v>
      </c>
      <c r="K30654" s="18" t="s">
        <v>477</v>
      </c>
    </row>
    <row r="30655">
      <c r="B30655" s="17" t="s">
        <v>477</v>
      </c>
      <c r="K30655" s="18" t="s">
        <v>477</v>
      </c>
    </row>
    <row r="30656">
      <c r="B30656" s="17" t="s">
        <v>477</v>
      </c>
      <c r="K30656" s="18" t="s">
        <v>477</v>
      </c>
    </row>
    <row r="30657">
      <c r="B30657" s="17" t="s">
        <v>477</v>
      </c>
      <c r="K30657" s="18" t="s">
        <v>477</v>
      </c>
    </row>
    <row r="30658">
      <c r="B30658" s="17" t="s">
        <v>477</v>
      </c>
      <c r="K30658" s="18" t="s">
        <v>477</v>
      </c>
    </row>
    <row r="30659">
      <c r="B30659" s="17" t="s">
        <v>477</v>
      </c>
      <c r="K30659" s="18" t="s">
        <v>477</v>
      </c>
    </row>
    <row r="30660">
      <c r="B30660" s="17" t="s">
        <v>477</v>
      </c>
      <c r="K30660" s="18" t="s">
        <v>477</v>
      </c>
    </row>
    <row r="30661">
      <c r="B30661" s="17" t="s">
        <v>477</v>
      </c>
      <c r="K30661" s="18" t="s">
        <v>477</v>
      </c>
    </row>
    <row r="30662">
      <c r="B30662" s="17" t="s">
        <v>477</v>
      </c>
      <c r="K30662" s="18" t="s">
        <v>477</v>
      </c>
    </row>
    <row r="30663">
      <c r="B30663" s="17" t="s">
        <v>477</v>
      </c>
      <c r="K30663" s="18" t="s">
        <v>477</v>
      </c>
    </row>
    <row r="30664">
      <c r="B30664" s="17" t="s">
        <v>477</v>
      </c>
      <c r="K30664" s="18" t="s">
        <v>477</v>
      </c>
    </row>
    <row r="30665">
      <c r="B30665" s="17" t="s">
        <v>477</v>
      </c>
      <c r="K30665" s="18" t="s">
        <v>477</v>
      </c>
    </row>
    <row r="30666">
      <c r="B30666" s="17" t="s">
        <v>477</v>
      </c>
      <c r="K30666" s="18" t="s">
        <v>477</v>
      </c>
    </row>
    <row r="30667">
      <c r="B30667" s="17" t="s">
        <v>477</v>
      </c>
      <c r="K30667" s="18" t="s">
        <v>477</v>
      </c>
    </row>
    <row r="30668">
      <c r="B30668" s="17" t="s">
        <v>477</v>
      </c>
      <c r="K30668" s="18" t="s">
        <v>477</v>
      </c>
    </row>
    <row r="30669">
      <c r="B30669" s="17" t="s">
        <v>477</v>
      </c>
      <c r="K30669" s="18" t="s">
        <v>477</v>
      </c>
    </row>
    <row r="30670">
      <c r="B30670" s="17" t="s">
        <v>477</v>
      </c>
      <c r="K30670" s="18" t="s">
        <v>477</v>
      </c>
    </row>
    <row r="30671">
      <c r="B30671" s="17" t="s">
        <v>477</v>
      </c>
      <c r="K30671" s="18" t="s">
        <v>477</v>
      </c>
    </row>
    <row r="30672">
      <c r="B30672" s="17" t="s">
        <v>477</v>
      </c>
      <c r="K30672" s="18" t="s">
        <v>477</v>
      </c>
    </row>
    <row r="30673">
      <c r="B30673" s="17" t="s">
        <v>477</v>
      </c>
      <c r="K30673" s="18" t="s">
        <v>477</v>
      </c>
    </row>
    <row r="30674">
      <c r="B30674" s="17" t="s">
        <v>477</v>
      </c>
      <c r="K30674" s="18" t="s">
        <v>477</v>
      </c>
    </row>
    <row r="30675">
      <c r="B30675" s="17" t="s">
        <v>477</v>
      </c>
      <c r="K30675" s="18" t="s">
        <v>477</v>
      </c>
    </row>
    <row r="30676">
      <c r="B30676" s="17" t="s">
        <v>477</v>
      </c>
      <c r="K30676" s="18" t="s">
        <v>477</v>
      </c>
    </row>
    <row r="30677">
      <c r="B30677" s="17" t="s">
        <v>477</v>
      </c>
      <c r="K30677" s="18" t="s">
        <v>477</v>
      </c>
    </row>
    <row r="30678">
      <c r="B30678" s="17" t="s">
        <v>477</v>
      </c>
      <c r="K30678" s="18" t="s">
        <v>477</v>
      </c>
    </row>
    <row r="30679">
      <c r="B30679" s="17" t="s">
        <v>477</v>
      </c>
      <c r="K30679" s="18" t="s">
        <v>477</v>
      </c>
    </row>
    <row r="30680">
      <c r="B30680" s="17" t="s">
        <v>477</v>
      </c>
      <c r="K30680" s="18" t="s">
        <v>477</v>
      </c>
    </row>
    <row r="30681">
      <c r="B30681" s="17" t="s">
        <v>477</v>
      </c>
      <c r="K30681" s="18" t="s">
        <v>477</v>
      </c>
    </row>
    <row r="30682">
      <c r="B30682" s="17" t="s">
        <v>477</v>
      </c>
      <c r="K30682" s="18" t="s">
        <v>477</v>
      </c>
    </row>
    <row r="30683">
      <c r="B30683" s="17" t="s">
        <v>477</v>
      </c>
      <c r="K30683" s="18" t="s">
        <v>477</v>
      </c>
    </row>
    <row r="30684">
      <c r="B30684" s="17" t="s">
        <v>477</v>
      </c>
      <c r="K30684" s="18" t="s">
        <v>477</v>
      </c>
    </row>
    <row r="30685">
      <c r="B30685" s="17" t="s">
        <v>477</v>
      </c>
      <c r="K30685" s="18" t="s">
        <v>477</v>
      </c>
    </row>
    <row r="30686">
      <c r="B30686" s="17" t="s">
        <v>477</v>
      </c>
      <c r="K30686" s="18" t="s">
        <v>477</v>
      </c>
    </row>
    <row r="30687">
      <c r="B30687" s="17" t="s">
        <v>477</v>
      </c>
      <c r="K30687" s="18" t="s">
        <v>477</v>
      </c>
    </row>
    <row r="30688">
      <c r="B30688" s="17" t="s">
        <v>477</v>
      </c>
      <c r="K30688" s="18" t="s">
        <v>477</v>
      </c>
    </row>
    <row r="30689">
      <c r="B30689" s="17" t="s">
        <v>477</v>
      </c>
      <c r="K30689" s="18" t="s">
        <v>477</v>
      </c>
    </row>
    <row r="30690">
      <c r="B30690" s="17" t="s">
        <v>477</v>
      </c>
      <c r="K30690" s="18" t="s">
        <v>477</v>
      </c>
    </row>
    <row r="30691">
      <c r="B30691" s="17" t="s">
        <v>477</v>
      </c>
      <c r="K30691" s="18" t="s">
        <v>477</v>
      </c>
    </row>
    <row r="30692">
      <c r="B30692" s="17" t="s">
        <v>477</v>
      </c>
      <c r="K30692" s="18" t="s">
        <v>477</v>
      </c>
    </row>
    <row r="30693">
      <c r="B30693" s="17" t="s">
        <v>477</v>
      </c>
      <c r="K30693" s="18" t="s">
        <v>477</v>
      </c>
    </row>
    <row r="30694">
      <c r="B30694" s="17" t="s">
        <v>477</v>
      </c>
      <c r="K30694" s="18" t="s">
        <v>477</v>
      </c>
    </row>
    <row r="30695">
      <c r="B30695" s="17" t="s">
        <v>477</v>
      </c>
      <c r="K30695" s="18" t="s">
        <v>477</v>
      </c>
    </row>
    <row r="30696">
      <c r="B30696" s="17" t="s">
        <v>477</v>
      </c>
      <c r="K30696" s="18" t="s">
        <v>477</v>
      </c>
    </row>
    <row r="30697">
      <c r="B30697" s="17" t="s">
        <v>477</v>
      </c>
      <c r="K30697" s="18" t="s">
        <v>477</v>
      </c>
    </row>
    <row r="30698">
      <c r="B30698" s="17" t="s">
        <v>477</v>
      </c>
      <c r="K30698" s="18" t="s">
        <v>477</v>
      </c>
    </row>
    <row r="30699">
      <c r="B30699" s="17" t="s">
        <v>477</v>
      </c>
      <c r="K30699" s="18" t="s">
        <v>477</v>
      </c>
    </row>
    <row r="30700">
      <c r="B30700" s="17" t="s">
        <v>477</v>
      </c>
      <c r="K30700" s="18" t="s">
        <v>477</v>
      </c>
    </row>
    <row r="30701">
      <c r="B30701" s="17" t="s">
        <v>477</v>
      </c>
      <c r="K30701" s="18" t="s">
        <v>477</v>
      </c>
    </row>
    <row r="30702">
      <c r="B30702" s="17" t="s">
        <v>477</v>
      </c>
      <c r="K30702" s="18" t="s">
        <v>477</v>
      </c>
    </row>
    <row r="30703">
      <c r="B30703" s="17" t="s">
        <v>477</v>
      </c>
      <c r="K30703" s="18" t="s">
        <v>477</v>
      </c>
    </row>
    <row r="30704">
      <c r="B30704" s="17" t="s">
        <v>477</v>
      </c>
      <c r="K30704" s="18" t="s">
        <v>477</v>
      </c>
    </row>
    <row r="30705">
      <c r="B30705" s="17" t="s">
        <v>477</v>
      </c>
      <c r="K30705" s="18" t="s">
        <v>477</v>
      </c>
    </row>
    <row r="30706">
      <c r="B30706" s="17" t="s">
        <v>477</v>
      </c>
      <c r="K30706" s="18" t="s">
        <v>477</v>
      </c>
    </row>
    <row r="30707">
      <c r="B30707" s="17" t="s">
        <v>477</v>
      </c>
      <c r="K30707" s="18" t="s">
        <v>477</v>
      </c>
    </row>
    <row r="30708">
      <c r="B30708" s="17" t="s">
        <v>477</v>
      </c>
      <c r="K30708" s="18" t="s">
        <v>477</v>
      </c>
    </row>
    <row r="30709">
      <c r="B30709" s="17" t="s">
        <v>477</v>
      </c>
      <c r="K30709" s="18" t="s">
        <v>477</v>
      </c>
    </row>
    <row r="30710">
      <c r="B30710" s="17" t="s">
        <v>477</v>
      </c>
      <c r="K30710" s="18" t="s">
        <v>477</v>
      </c>
    </row>
    <row r="30711">
      <c r="B30711" s="17" t="s">
        <v>477</v>
      </c>
      <c r="K30711" s="18" t="s">
        <v>477</v>
      </c>
    </row>
    <row r="30712">
      <c r="B30712" s="17" t="s">
        <v>477</v>
      </c>
      <c r="K30712" s="18" t="s">
        <v>477</v>
      </c>
    </row>
    <row r="30713">
      <c r="B30713" s="17" t="s">
        <v>477</v>
      </c>
      <c r="K30713" s="18" t="s">
        <v>477</v>
      </c>
    </row>
    <row r="30714">
      <c r="B30714" s="17" t="s">
        <v>477</v>
      </c>
      <c r="K30714" s="18" t="s">
        <v>477</v>
      </c>
    </row>
    <row r="30715">
      <c r="B30715" s="17" t="s">
        <v>477</v>
      </c>
      <c r="K30715" s="18" t="s">
        <v>477</v>
      </c>
    </row>
    <row r="30716">
      <c r="B30716" s="17" t="s">
        <v>477</v>
      </c>
      <c r="K30716" s="18" t="s">
        <v>477</v>
      </c>
    </row>
    <row r="30717">
      <c r="B30717" s="17" t="s">
        <v>477</v>
      </c>
      <c r="K30717" s="18" t="s">
        <v>477</v>
      </c>
    </row>
    <row r="30718">
      <c r="B30718" s="17" t="s">
        <v>477</v>
      </c>
      <c r="K30718" s="18" t="s">
        <v>477</v>
      </c>
    </row>
    <row r="30719">
      <c r="B30719" s="17" t="s">
        <v>477</v>
      </c>
      <c r="K30719" s="18" t="s">
        <v>477</v>
      </c>
    </row>
    <row r="30720">
      <c r="B30720" s="17" t="s">
        <v>477</v>
      </c>
      <c r="K30720" s="18" t="s">
        <v>477</v>
      </c>
    </row>
    <row r="30721">
      <c r="B30721" s="17" t="s">
        <v>477</v>
      </c>
      <c r="K30721" s="18" t="s">
        <v>477</v>
      </c>
    </row>
    <row r="30722">
      <c r="B30722" s="17" t="s">
        <v>477</v>
      </c>
      <c r="K30722" s="18" t="s">
        <v>477</v>
      </c>
    </row>
    <row r="30723">
      <c r="B30723" s="17" t="s">
        <v>477</v>
      </c>
      <c r="K30723" s="18" t="s">
        <v>477</v>
      </c>
    </row>
    <row r="30724">
      <c r="B30724" s="17" t="s">
        <v>477</v>
      </c>
      <c r="K30724" s="18" t="s">
        <v>477</v>
      </c>
    </row>
    <row r="30725">
      <c r="B30725" s="17" t="s">
        <v>477</v>
      </c>
      <c r="K30725" s="18" t="s">
        <v>477</v>
      </c>
    </row>
    <row r="30726">
      <c r="B30726" s="17" t="s">
        <v>477</v>
      </c>
      <c r="K30726" s="18" t="s">
        <v>477</v>
      </c>
    </row>
    <row r="30727">
      <c r="B30727" s="17" t="s">
        <v>477</v>
      </c>
      <c r="K30727" s="18" t="s">
        <v>477</v>
      </c>
    </row>
    <row r="30728">
      <c r="B30728" s="17" t="s">
        <v>477</v>
      </c>
      <c r="K30728" s="18" t="s">
        <v>477</v>
      </c>
    </row>
    <row r="30729">
      <c r="B30729" s="17" t="s">
        <v>477</v>
      </c>
      <c r="K30729" s="18" t="s">
        <v>477</v>
      </c>
    </row>
    <row r="30730">
      <c r="B30730" s="17" t="s">
        <v>477</v>
      </c>
      <c r="K30730" s="18" t="s">
        <v>477</v>
      </c>
    </row>
    <row r="30731">
      <c r="B30731" s="17" t="s">
        <v>477</v>
      </c>
      <c r="K30731" s="18" t="s">
        <v>477</v>
      </c>
    </row>
    <row r="30732">
      <c r="B30732" s="17" t="s">
        <v>477</v>
      </c>
      <c r="K30732" s="18" t="s">
        <v>477</v>
      </c>
    </row>
    <row r="30733">
      <c r="B30733" s="17" t="s">
        <v>477</v>
      </c>
      <c r="K30733" s="18" t="s">
        <v>477</v>
      </c>
    </row>
    <row r="30734">
      <c r="B30734" s="17" t="s">
        <v>477</v>
      </c>
      <c r="K30734" s="18" t="s">
        <v>477</v>
      </c>
    </row>
    <row r="30735">
      <c r="B30735" s="17" t="s">
        <v>477</v>
      </c>
      <c r="K30735" s="18" t="s">
        <v>477</v>
      </c>
    </row>
    <row r="30736">
      <c r="B30736" s="17" t="s">
        <v>477</v>
      </c>
      <c r="K30736" s="18" t="s">
        <v>477</v>
      </c>
    </row>
    <row r="30737">
      <c r="B30737" s="17" t="s">
        <v>477</v>
      </c>
      <c r="K30737" s="18" t="s">
        <v>477</v>
      </c>
    </row>
    <row r="30738">
      <c r="B30738" s="17" t="s">
        <v>477</v>
      </c>
      <c r="K30738" s="18" t="s">
        <v>477</v>
      </c>
    </row>
    <row r="30739">
      <c r="B30739" s="17" t="s">
        <v>477</v>
      </c>
      <c r="K30739" s="18" t="s">
        <v>477</v>
      </c>
    </row>
    <row r="30740">
      <c r="B30740" s="17" t="s">
        <v>477</v>
      </c>
      <c r="K30740" s="18" t="s">
        <v>477</v>
      </c>
    </row>
    <row r="30741">
      <c r="B30741" s="17" t="s">
        <v>477</v>
      </c>
      <c r="K30741" s="18" t="s">
        <v>477</v>
      </c>
    </row>
    <row r="30742">
      <c r="B30742" s="17" t="s">
        <v>477</v>
      </c>
      <c r="K30742" s="18" t="s">
        <v>477</v>
      </c>
    </row>
    <row r="30743">
      <c r="B30743" s="17" t="s">
        <v>477</v>
      </c>
      <c r="K30743" s="18" t="s">
        <v>477</v>
      </c>
    </row>
    <row r="30744">
      <c r="B30744" s="17" t="s">
        <v>477</v>
      </c>
      <c r="K30744" s="18" t="s">
        <v>477</v>
      </c>
    </row>
    <row r="30745">
      <c r="B30745" s="17" t="s">
        <v>477</v>
      </c>
      <c r="K30745" s="18" t="s">
        <v>477</v>
      </c>
    </row>
    <row r="30746">
      <c r="B30746" s="17" t="s">
        <v>477</v>
      </c>
      <c r="K30746" s="18" t="s">
        <v>477</v>
      </c>
    </row>
    <row r="30747">
      <c r="B30747" s="17" t="s">
        <v>477</v>
      </c>
      <c r="K30747" s="18" t="s">
        <v>477</v>
      </c>
    </row>
    <row r="30748">
      <c r="B30748" s="17" t="s">
        <v>477</v>
      </c>
      <c r="K30748" s="18" t="s">
        <v>477</v>
      </c>
    </row>
    <row r="30749">
      <c r="B30749" s="17" t="s">
        <v>477</v>
      </c>
      <c r="K30749" s="18" t="s">
        <v>477</v>
      </c>
    </row>
    <row r="30750">
      <c r="B30750" s="17" t="s">
        <v>477</v>
      </c>
      <c r="K30750" s="18" t="s">
        <v>477</v>
      </c>
    </row>
    <row r="30751">
      <c r="B30751" s="17" t="s">
        <v>477</v>
      </c>
      <c r="K30751" s="18" t="s">
        <v>477</v>
      </c>
    </row>
    <row r="30752">
      <c r="B30752" s="17" t="s">
        <v>477</v>
      </c>
      <c r="K30752" s="18" t="s">
        <v>477</v>
      </c>
    </row>
    <row r="30753">
      <c r="B30753" s="17" t="s">
        <v>477</v>
      </c>
      <c r="K30753" s="18" t="s">
        <v>477</v>
      </c>
    </row>
    <row r="30754">
      <c r="B30754" s="17" t="s">
        <v>477</v>
      </c>
      <c r="K30754" s="18" t="s">
        <v>477</v>
      </c>
    </row>
    <row r="30755">
      <c r="B30755" s="17" t="s">
        <v>477</v>
      </c>
      <c r="K30755" s="18" t="s">
        <v>477</v>
      </c>
    </row>
    <row r="30756">
      <c r="B30756" s="17" t="s">
        <v>477</v>
      </c>
      <c r="K30756" s="18" t="s">
        <v>477</v>
      </c>
    </row>
    <row r="30757">
      <c r="B30757" s="17" t="s">
        <v>477</v>
      </c>
      <c r="K30757" s="18" t="s">
        <v>477</v>
      </c>
    </row>
    <row r="30758">
      <c r="B30758" s="17" t="s">
        <v>477</v>
      </c>
      <c r="K30758" s="18" t="s">
        <v>477</v>
      </c>
    </row>
    <row r="30759">
      <c r="B30759" s="17" t="s">
        <v>477</v>
      </c>
      <c r="K30759" s="18" t="s">
        <v>477</v>
      </c>
    </row>
    <row r="30760">
      <c r="B30760" s="17" t="s">
        <v>477</v>
      </c>
      <c r="K30760" s="18" t="s">
        <v>477</v>
      </c>
    </row>
    <row r="30761">
      <c r="B30761" s="17" t="s">
        <v>477</v>
      </c>
      <c r="K30761" s="18" t="s">
        <v>477</v>
      </c>
    </row>
    <row r="30762">
      <c r="B30762" s="17" t="s">
        <v>477</v>
      </c>
      <c r="K30762" s="18" t="s">
        <v>477</v>
      </c>
    </row>
    <row r="30763">
      <c r="B30763" s="17" t="s">
        <v>477</v>
      </c>
      <c r="K30763" s="18" t="s">
        <v>477</v>
      </c>
    </row>
    <row r="30764">
      <c r="B30764" s="17" t="s">
        <v>477</v>
      </c>
      <c r="K30764" s="18" t="s">
        <v>477</v>
      </c>
    </row>
    <row r="30765">
      <c r="B30765" s="17" t="s">
        <v>477</v>
      </c>
      <c r="K30765" s="18" t="s">
        <v>477</v>
      </c>
    </row>
    <row r="30766">
      <c r="B30766" s="17" t="s">
        <v>477</v>
      </c>
      <c r="K30766" s="18" t="s">
        <v>477</v>
      </c>
    </row>
    <row r="30767">
      <c r="B30767" s="17" t="s">
        <v>477</v>
      </c>
      <c r="K30767" s="18" t="s">
        <v>477</v>
      </c>
    </row>
    <row r="30768">
      <c r="B30768" s="17" t="s">
        <v>477</v>
      </c>
      <c r="K30768" s="18" t="s">
        <v>477</v>
      </c>
    </row>
    <row r="30769">
      <c r="B30769" s="17" t="s">
        <v>477</v>
      </c>
      <c r="K30769" s="18" t="s">
        <v>477</v>
      </c>
    </row>
    <row r="30770">
      <c r="B30770" s="17" t="s">
        <v>477</v>
      </c>
      <c r="K30770" s="18" t="s">
        <v>477</v>
      </c>
    </row>
    <row r="30771">
      <c r="B30771" s="17" t="s">
        <v>477</v>
      </c>
      <c r="K30771" s="18" t="s">
        <v>477</v>
      </c>
    </row>
    <row r="30772">
      <c r="B30772" s="17" t="s">
        <v>477</v>
      </c>
      <c r="K30772" s="18" t="s">
        <v>477</v>
      </c>
    </row>
    <row r="30773">
      <c r="B30773" s="17" t="s">
        <v>477</v>
      </c>
      <c r="K30773" s="18" t="s">
        <v>477</v>
      </c>
    </row>
    <row r="30774">
      <c r="B30774" s="17" t="s">
        <v>477</v>
      </c>
      <c r="K30774" s="18" t="s">
        <v>477</v>
      </c>
    </row>
    <row r="30775">
      <c r="B30775" s="17" t="s">
        <v>477</v>
      </c>
      <c r="K30775" s="18" t="s">
        <v>477</v>
      </c>
    </row>
    <row r="30776">
      <c r="B30776" s="17" t="s">
        <v>477</v>
      </c>
      <c r="K30776" s="18" t="s">
        <v>477</v>
      </c>
    </row>
    <row r="30777">
      <c r="B30777" s="17" t="s">
        <v>477</v>
      </c>
      <c r="K30777" s="18" t="s">
        <v>477</v>
      </c>
    </row>
    <row r="30778">
      <c r="B30778" s="17" t="s">
        <v>477</v>
      </c>
      <c r="K30778" s="18" t="s">
        <v>477</v>
      </c>
    </row>
    <row r="30779">
      <c r="B30779" s="17" t="s">
        <v>477</v>
      </c>
      <c r="K30779" s="18" t="s">
        <v>477</v>
      </c>
    </row>
    <row r="30780">
      <c r="B30780" s="17" t="s">
        <v>477</v>
      </c>
      <c r="K30780" s="18" t="s">
        <v>477</v>
      </c>
    </row>
    <row r="30781">
      <c r="B30781" s="17" t="s">
        <v>477</v>
      </c>
      <c r="K30781" s="18" t="s">
        <v>477</v>
      </c>
    </row>
    <row r="30782">
      <c r="B30782" s="17" t="s">
        <v>477</v>
      </c>
      <c r="K30782" s="18" t="s">
        <v>477</v>
      </c>
    </row>
    <row r="30783">
      <c r="B30783" s="17" t="s">
        <v>477</v>
      </c>
      <c r="K30783" s="18" t="s">
        <v>477</v>
      </c>
    </row>
    <row r="30784">
      <c r="B30784" s="17" t="s">
        <v>477</v>
      </c>
      <c r="K30784" s="18" t="s">
        <v>477</v>
      </c>
    </row>
    <row r="30785">
      <c r="B30785" s="17" t="s">
        <v>477</v>
      </c>
      <c r="K30785" s="18" t="s">
        <v>477</v>
      </c>
    </row>
    <row r="30786">
      <c r="B30786" s="17" t="s">
        <v>477</v>
      </c>
      <c r="K30786" s="18" t="s">
        <v>477</v>
      </c>
    </row>
    <row r="30787">
      <c r="B30787" s="17" t="s">
        <v>477</v>
      </c>
      <c r="K30787" s="18" t="s">
        <v>477</v>
      </c>
    </row>
    <row r="30788">
      <c r="B30788" s="17" t="s">
        <v>477</v>
      </c>
      <c r="K30788" s="18" t="s">
        <v>477</v>
      </c>
    </row>
    <row r="30789">
      <c r="B30789" s="17" t="s">
        <v>477</v>
      </c>
      <c r="K30789" s="18" t="s">
        <v>477</v>
      </c>
    </row>
    <row r="30790">
      <c r="B30790" s="17" t="s">
        <v>477</v>
      </c>
      <c r="K30790" s="18" t="s">
        <v>477</v>
      </c>
    </row>
    <row r="30791">
      <c r="B30791" s="17" t="s">
        <v>477</v>
      </c>
      <c r="K30791" s="18" t="s">
        <v>477</v>
      </c>
    </row>
    <row r="30792">
      <c r="B30792" s="17" t="s">
        <v>477</v>
      </c>
      <c r="K30792" s="18" t="s">
        <v>477</v>
      </c>
    </row>
    <row r="30793">
      <c r="B30793" s="17" t="s">
        <v>477</v>
      </c>
      <c r="K30793" s="18" t="s">
        <v>477</v>
      </c>
    </row>
    <row r="30794">
      <c r="B30794" s="17" t="s">
        <v>477</v>
      </c>
      <c r="K30794" s="18" t="s">
        <v>477</v>
      </c>
    </row>
    <row r="30795">
      <c r="B30795" s="17" t="s">
        <v>477</v>
      </c>
      <c r="K30795" s="18" t="s">
        <v>477</v>
      </c>
    </row>
    <row r="30796">
      <c r="B30796" s="17" t="s">
        <v>477</v>
      </c>
      <c r="K30796" s="18" t="s">
        <v>477</v>
      </c>
    </row>
    <row r="30797">
      <c r="B30797" s="17" t="s">
        <v>477</v>
      </c>
      <c r="K30797" s="18" t="s">
        <v>477</v>
      </c>
    </row>
    <row r="30798">
      <c r="B30798" s="17" t="s">
        <v>477</v>
      </c>
      <c r="K30798" s="18" t="s">
        <v>477</v>
      </c>
    </row>
    <row r="30799">
      <c r="B30799" s="17" t="s">
        <v>477</v>
      </c>
      <c r="K30799" s="18" t="s">
        <v>477</v>
      </c>
    </row>
    <row r="30800">
      <c r="B30800" s="17" t="s">
        <v>477</v>
      </c>
      <c r="K30800" s="18" t="s">
        <v>477</v>
      </c>
    </row>
    <row r="30801">
      <c r="B30801" s="17" t="s">
        <v>477</v>
      </c>
      <c r="K30801" s="18" t="s">
        <v>477</v>
      </c>
    </row>
    <row r="30802">
      <c r="B30802" s="17" t="s">
        <v>477</v>
      </c>
      <c r="K30802" s="18" t="s">
        <v>477</v>
      </c>
    </row>
    <row r="30803">
      <c r="B30803" s="17" t="s">
        <v>477</v>
      </c>
      <c r="K30803" s="18" t="s">
        <v>477</v>
      </c>
    </row>
    <row r="30804">
      <c r="B30804" s="17" t="s">
        <v>477</v>
      </c>
      <c r="K30804" s="18" t="s">
        <v>477</v>
      </c>
    </row>
    <row r="30805">
      <c r="B30805" s="17" t="s">
        <v>477</v>
      </c>
      <c r="K30805" s="18" t="s">
        <v>477</v>
      </c>
    </row>
    <row r="30806">
      <c r="B30806" s="17" t="s">
        <v>477</v>
      </c>
      <c r="K30806" s="18" t="s">
        <v>477</v>
      </c>
    </row>
    <row r="30807">
      <c r="B30807" s="17" t="s">
        <v>477</v>
      </c>
      <c r="K30807" s="18" t="s">
        <v>477</v>
      </c>
    </row>
    <row r="30808">
      <c r="B30808" s="17" t="s">
        <v>477</v>
      </c>
      <c r="K30808" s="18" t="s">
        <v>477</v>
      </c>
    </row>
    <row r="30809">
      <c r="B30809" s="17" t="s">
        <v>477</v>
      </c>
      <c r="K30809" s="18" t="s">
        <v>477</v>
      </c>
    </row>
    <row r="30810">
      <c r="B30810" s="17" t="s">
        <v>477</v>
      </c>
      <c r="K30810" s="18" t="s">
        <v>477</v>
      </c>
    </row>
    <row r="30811">
      <c r="B30811" s="17" t="s">
        <v>477</v>
      </c>
      <c r="K30811" s="18" t="s">
        <v>477</v>
      </c>
    </row>
    <row r="30812">
      <c r="B30812" s="17" t="s">
        <v>477</v>
      </c>
      <c r="K30812" s="18" t="s">
        <v>477</v>
      </c>
    </row>
    <row r="30813">
      <c r="B30813" s="17" t="s">
        <v>477</v>
      </c>
      <c r="K30813" s="18" t="s">
        <v>477</v>
      </c>
    </row>
    <row r="30814">
      <c r="B30814" s="17" t="s">
        <v>477</v>
      </c>
      <c r="K30814" s="18" t="s">
        <v>477</v>
      </c>
    </row>
    <row r="30815">
      <c r="B30815" s="17" t="s">
        <v>477</v>
      </c>
      <c r="K30815" s="18" t="s">
        <v>477</v>
      </c>
    </row>
    <row r="30816">
      <c r="B30816" s="17" t="s">
        <v>477</v>
      </c>
      <c r="K30816" s="18" t="s">
        <v>477</v>
      </c>
    </row>
    <row r="30817">
      <c r="B30817" s="17" t="s">
        <v>477</v>
      </c>
      <c r="K30817" s="18" t="s">
        <v>477</v>
      </c>
    </row>
    <row r="30818">
      <c r="B30818" s="17" t="s">
        <v>477</v>
      </c>
      <c r="K30818" s="18" t="s">
        <v>477</v>
      </c>
    </row>
    <row r="30819">
      <c r="B30819" s="17" t="s">
        <v>477</v>
      </c>
      <c r="K30819" s="18" t="s">
        <v>477</v>
      </c>
    </row>
    <row r="30820">
      <c r="B30820" s="17" t="s">
        <v>477</v>
      </c>
      <c r="K30820" s="18" t="s">
        <v>477</v>
      </c>
    </row>
    <row r="30821">
      <c r="B30821" s="17" t="s">
        <v>477</v>
      </c>
      <c r="K30821" s="18" t="s">
        <v>477</v>
      </c>
    </row>
    <row r="30822">
      <c r="B30822" s="17" t="s">
        <v>477</v>
      </c>
      <c r="K30822" s="18" t="s">
        <v>477</v>
      </c>
    </row>
    <row r="30823">
      <c r="B30823" s="17" t="s">
        <v>477</v>
      </c>
      <c r="K30823" s="18" t="s">
        <v>477</v>
      </c>
    </row>
    <row r="30824">
      <c r="B30824" s="17" t="s">
        <v>477</v>
      </c>
      <c r="K30824" s="18" t="s">
        <v>477</v>
      </c>
    </row>
    <row r="30825">
      <c r="B30825" s="17" t="s">
        <v>477</v>
      </c>
      <c r="K30825" s="18" t="s">
        <v>477</v>
      </c>
    </row>
    <row r="30826">
      <c r="B30826" s="17" t="s">
        <v>477</v>
      </c>
      <c r="K30826" s="18" t="s">
        <v>477</v>
      </c>
    </row>
    <row r="30827">
      <c r="B30827" s="17" t="s">
        <v>477</v>
      </c>
      <c r="K30827" s="18" t="s">
        <v>477</v>
      </c>
    </row>
    <row r="30828">
      <c r="B30828" s="17" t="s">
        <v>477</v>
      </c>
      <c r="K30828" s="18" t="s">
        <v>477</v>
      </c>
    </row>
    <row r="30829">
      <c r="B30829" s="17" t="s">
        <v>477</v>
      </c>
      <c r="K30829" s="18" t="s">
        <v>477</v>
      </c>
    </row>
    <row r="30830">
      <c r="B30830" s="17" t="s">
        <v>477</v>
      </c>
      <c r="K30830" s="18" t="s">
        <v>477</v>
      </c>
    </row>
    <row r="30831">
      <c r="B30831" s="17" t="s">
        <v>477</v>
      </c>
      <c r="K30831" s="18" t="s">
        <v>477</v>
      </c>
    </row>
    <row r="30832">
      <c r="B30832" s="17" t="s">
        <v>477</v>
      </c>
      <c r="K30832" s="18" t="s">
        <v>477</v>
      </c>
    </row>
    <row r="30833">
      <c r="B30833" s="17" t="s">
        <v>477</v>
      </c>
      <c r="K30833" s="18" t="s">
        <v>477</v>
      </c>
    </row>
    <row r="30834">
      <c r="B30834" s="17" t="s">
        <v>477</v>
      </c>
      <c r="K30834" s="18" t="s">
        <v>477</v>
      </c>
    </row>
    <row r="30835">
      <c r="B30835" s="17" t="s">
        <v>477</v>
      </c>
      <c r="K30835" s="18" t="s">
        <v>477</v>
      </c>
    </row>
    <row r="30836">
      <c r="B30836" s="17" t="s">
        <v>477</v>
      </c>
      <c r="K30836" s="18" t="s">
        <v>477</v>
      </c>
    </row>
    <row r="30837">
      <c r="B30837" s="17" t="s">
        <v>477</v>
      </c>
      <c r="K30837" s="18" t="s">
        <v>477</v>
      </c>
    </row>
    <row r="30838">
      <c r="B30838" s="17" t="s">
        <v>477</v>
      </c>
      <c r="K30838" s="18" t="s">
        <v>477</v>
      </c>
    </row>
    <row r="30839">
      <c r="B30839" s="17" t="s">
        <v>477</v>
      </c>
      <c r="K30839" s="18" t="s">
        <v>477</v>
      </c>
    </row>
    <row r="30840">
      <c r="B30840" s="17" t="s">
        <v>477</v>
      </c>
      <c r="K30840" s="18" t="s">
        <v>477</v>
      </c>
    </row>
    <row r="30841">
      <c r="B30841" s="17" t="s">
        <v>477</v>
      </c>
      <c r="K30841" s="18" t="s">
        <v>477</v>
      </c>
    </row>
    <row r="30842">
      <c r="B30842" s="17" t="s">
        <v>477</v>
      </c>
      <c r="K30842" s="18" t="s">
        <v>477</v>
      </c>
    </row>
    <row r="30843">
      <c r="B30843" s="17" t="s">
        <v>477</v>
      </c>
      <c r="K30843" s="18" t="s">
        <v>477</v>
      </c>
    </row>
    <row r="30844">
      <c r="B30844" s="17" t="s">
        <v>477</v>
      </c>
      <c r="K30844" s="18" t="s">
        <v>477</v>
      </c>
    </row>
    <row r="30845">
      <c r="B30845" s="17" t="s">
        <v>477</v>
      </c>
      <c r="K30845" s="18" t="s">
        <v>477</v>
      </c>
    </row>
    <row r="30846">
      <c r="B30846" s="17" t="s">
        <v>477</v>
      </c>
      <c r="K30846" s="18" t="s">
        <v>477</v>
      </c>
    </row>
    <row r="30847">
      <c r="B30847" s="17" t="s">
        <v>477</v>
      </c>
      <c r="K30847" s="18" t="s">
        <v>477</v>
      </c>
    </row>
    <row r="30848">
      <c r="B30848" s="17" t="s">
        <v>477</v>
      </c>
      <c r="K30848" s="18" t="s">
        <v>477</v>
      </c>
    </row>
    <row r="30849">
      <c r="B30849" s="17" t="s">
        <v>477</v>
      </c>
      <c r="K30849" s="18" t="s">
        <v>477</v>
      </c>
    </row>
    <row r="30850">
      <c r="B30850" s="17" t="s">
        <v>477</v>
      </c>
      <c r="K30850" s="18" t="s">
        <v>477</v>
      </c>
    </row>
    <row r="30851">
      <c r="B30851" s="17" t="s">
        <v>477</v>
      </c>
      <c r="K30851" s="18" t="s">
        <v>477</v>
      </c>
    </row>
    <row r="30852">
      <c r="B30852" s="17" t="s">
        <v>477</v>
      </c>
      <c r="K30852" s="18" t="s">
        <v>477</v>
      </c>
    </row>
    <row r="30853">
      <c r="B30853" s="17" t="s">
        <v>477</v>
      </c>
      <c r="K30853" s="18" t="s">
        <v>477</v>
      </c>
    </row>
    <row r="30854">
      <c r="B30854" s="17" t="s">
        <v>477</v>
      </c>
      <c r="K30854" s="18" t="s">
        <v>477</v>
      </c>
    </row>
    <row r="30855">
      <c r="B30855" s="17" t="s">
        <v>477</v>
      </c>
      <c r="K30855" s="18" t="s">
        <v>477</v>
      </c>
    </row>
    <row r="30856">
      <c r="B30856" s="17" t="s">
        <v>477</v>
      </c>
      <c r="K30856" s="18" t="s">
        <v>477</v>
      </c>
    </row>
    <row r="30857">
      <c r="B30857" s="17" t="s">
        <v>477</v>
      </c>
      <c r="K30857" s="18" t="s">
        <v>477</v>
      </c>
    </row>
    <row r="30858">
      <c r="B30858" s="17" t="s">
        <v>477</v>
      </c>
      <c r="K30858" s="18" t="s">
        <v>477</v>
      </c>
    </row>
    <row r="30859">
      <c r="B30859" s="17" t="s">
        <v>477</v>
      </c>
      <c r="K30859" s="18" t="s">
        <v>477</v>
      </c>
    </row>
    <row r="30860">
      <c r="B30860" s="17" t="s">
        <v>477</v>
      </c>
      <c r="K30860" s="18" t="s">
        <v>477</v>
      </c>
    </row>
    <row r="30861">
      <c r="B30861" s="17" t="s">
        <v>477</v>
      </c>
      <c r="K30861" s="18" t="s">
        <v>477</v>
      </c>
    </row>
    <row r="30862">
      <c r="B30862" s="17" t="s">
        <v>477</v>
      </c>
      <c r="K30862" s="18" t="s">
        <v>477</v>
      </c>
    </row>
    <row r="30863">
      <c r="B30863" s="17" t="s">
        <v>477</v>
      </c>
      <c r="K30863" s="18" t="s">
        <v>477</v>
      </c>
    </row>
    <row r="30864">
      <c r="B30864" s="17" t="s">
        <v>477</v>
      </c>
      <c r="K30864" s="18" t="s">
        <v>477</v>
      </c>
    </row>
    <row r="30865">
      <c r="B30865" s="17" t="s">
        <v>477</v>
      </c>
      <c r="K30865" s="18" t="s">
        <v>477</v>
      </c>
    </row>
    <row r="30866">
      <c r="B30866" s="17" t="s">
        <v>477</v>
      </c>
      <c r="K30866" s="18" t="s">
        <v>477</v>
      </c>
    </row>
    <row r="30867">
      <c r="B30867" s="17" t="s">
        <v>477</v>
      </c>
      <c r="K30867" s="18" t="s">
        <v>477</v>
      </c>
    </row>
    <row r="30868">
      <c r="B30868" s="17" t="s">
        <v>477</v>
      </c>
      <c r="K30868" s="18" t="s">
        <v>477</v>
      </c>
    </row>
    <row r="30869">
      <c r="B30869" s="17" t="s">
        <v>477</v>
      </c>
      <c r="K30869" s="18" t="s">
        <v>477</v>
      </c>
    </row>
    <row r="30870">
      <c r="B30870" s="17" t="s">
        <v>477</v>
      </c>
      <c r="K30870" s="18" t="s">
        <v>477</v>
      </c>
    </row>
    <row r="30871">
      <c r="B30871" s="17" t="s">
        <v>477</v>
      </c>
      <c r="K30871" s="18" t="s">
        <v>477</v>
      </c>
    </row>
    <row r="30872">
      <c r="B30872" s="17" t="s">
        <v>477</v>
      </c>
      <c r="K30872" s="18" t="s">
        <v>477</v>
      </c>
    </row>
    <row r="30873">
      <c r="B30873" s="17" t="s">
        <v>477</v>
      </c>
      <c r="K30873" s="18" t="s">
        <v>477</v>
      </c>
    </row>
    <row r="30874">
      <c r="B30874" s="17" t="s">
        <v>477</v>
      </c>
      <c r="K30874" s="18" t="s">
        <v>477</v>
      </c>
    </row>
    <row r="30875">
      <c r="B30875" s="17" t="s">
        <v>477</v>
      </c>
      <c r="K30875" s="18" t="s">
        <v>477</v>
      </c>
    </row>
    <row r="30876">
      <c r="B30876" s="17" t="s">
        <v>477</v>
      </c>
      <c r="K30876" s="18" t="s">
        <v>477</v>
      </c>
    </row>
    <row r="30877">
      <c r="B30877" s="17" t="s">
        <v>477</v>
      </c>
      <c r="K30877" s="18" t="s">
        <v>477</v>
      </c>
    </row>
    <row r="30878">
      <c r="B30878" s="17" t="s">
        <v>477</v>
      </c>
      <c r="K30878" s="18" t="s">
        <v>477</v>
      </c>
    </row>
    <row r="30879">
      <c r="B30879" s="17" t="s">
        <v>477</v>
      </c>
      <c r="K30879" s="18" t="s">
        <v>477</v>
      </c>
    </row>
    <row r="30880">
      <c r="B30880" s="17" t="s">
        <v>477</v>
      </c>
      <c r="K30880" s="18" t="s">
        <v>477</v>
      </c>
    </row>
    <row r="30881">
      <c r="B30881" s="17" t="s">
        <v>477</v>
      </c>
      <c r="K30881" s="18" t="s">
        <v>477</v>
      </c>
    </row>
    <row r="30882">
      <c r="B30882" s="17" t="s">
        <v>477</v>
      </c>
      <c r="K30882" s="18" t="s">
        <v>477</v>
      </c>
    </row>
    <row r="30883">
      <c r="B30883" s="17" t="s">
        <v>477</v>
      </c>
      <c r="K30883" s="18" t="s">
        <v>477</v>
      </c>
    </row>
    <row r="30884">
      <c r="B30884" s="17" t="s">
        <v>477</v>
      </c>
      <c r="K30884" s="18" t="s">
        <v>477</v>
      </c>
    </row>
    <row r="30885">
      <c r="B30885" s="17" t="s">
        <v>477</v>
      </c>
      <c r="K30885" s="18" t="s">
        <v>477</v>
      </c>
    </row>
    <row r="30886">
      <c r="B30886" s="17" t="s">
        <v>477</v>
      </c>
      <c r="K30886" s="18" t="s">
        <v>477</v>
      </c>
    </row>
    <row r="30887">
      <c r="B30887" s="17" t="s">
        <v>477</v>
      </c>
      <c r="K30887" s="18" t="s">
        <v>477</v>
      </c>
    </row>
    <row r="30888">
      <c r="B30888" s="17" t="s">
        <v>477</v>
      </c>
      <c r="K30888" s="18" t="s">
        <v>477</v>
      </c>
    </row>
    <row r="30889">
      <c r="B30889" s="17" t="s">
        <v>477</v>
      </c>
      <c r="K30889" s="18" t="s">
        <v>477</v>
      </c>
    </row>
    <row r="30890">
      <c r="B30890" s="17" t="s">
        <v>477</v>
      </c>
      <c r="K30890" s="18" t="s">
        <v>477</v>
      </c>
    </row>
    <row r="30891">
      <c r="B30891" s="17" t="s">
        <v>477</v>
      </c>
      <c r="K30891" s="18" t="s">
        <v>477</v>
      </c>
    </row>
    <row r="30892">
      <c r="B30892" s="17" t="s">
        <v>477</v>
      </c>
      <c r="K30892" s="18" t="s">
        <v>477</v>
      </c>
    </row>
    <row r="30893">
      <c r="B30893" s="17" t="s">
        <v>477</v>
      </c>
      <c r="K30893" s="18" t="s">
        <v>477</v>
      </c>
    </row>
    <row r="30894">
      <c r="B30894" s="17" t="s">
        <v>477</v>
      </c>
      <c r="K30894" s="18" t="s">
        <v>477</v>
      </c>
    </row>
    <row r="30895">
      <c r="B30895" s="17" t="s">
        <v>477</v>
      </c>
      <c r="K30895" s="18" t="s">
        <v>477</v>
      </c>
    </row>
    <row r="30896">
      <c r="B30896" s="17" t="s">
        <v>477</v>
      </c>
      <c r="K30896" s="18" t="s">
        <v>477</v>
      </c>
    </row>
    <row r="30897">
      <c r="B30897" s="17" t="s">
        <v>477</v>
      </c>
      <c r="K30897" s="18" t="s">
        <v>477</v>
      </c>
    </row>
    <row r="30898">
      <c r="B30898" s="17" t="s">
        <v>477</v>
      </c>
      <c r="K30898" s="18" t="s">
        <v>477</v>
      </c>
    </row>
    <row r="30899">
      <c r="B30899" s="17" t="s">
        <v>477</v>
      </c>
      <c r="K30899" s="18" t="s">
        <v>477</v>
      </c>
    </row>
    <row r="30900">
      <c r="B30900" s="17" t="s">
        <v>477</v>
      </c>
      <c r="K30900" s="18" t="s">
        <v>477</v>
      </c>
    </row>
    <row r="30901">
      <c r="B30901" s="17" t="s">
        <v>477</v>
      </c>
      <c r="K30901" s="18" t="s">
        <v>477</v>
      </c>
    </row>
    <row r="30902">
      <c r="B30902" s="17" t="s">
        <v>477</v>
      </c>
      <c r="K30902" s="18" t="s">
        <v>477</v>
      </c>
    </row>
    <row r="30903">
      <c r="B30903" s="17" t="s">
        <v>477</v>
      </c>
      <c r="K30903" s="18" t="s">
        <v>477</v>
      </c>
    </row>
    <row r="30904">
      <c r="B30904" s="17" t="s">
        <v>477</v>
      </c>
      <c r="K30904" s="18" t="s">
        <v>477</v>
      </c>
    </row>
    <row r="30905">
      <c r="B30905" s="17" t="s">
        <v>477</v>
      </c>
      <c r="K30905" s="18" t="s">
        <v>477</v>
      </c>
    </row>
    <row r="30906">
      <c r="B30906" s="17" t="s">
        <v>477</v>
      </c>
      <c r="K30906" s="18" t="s">
        <v>477</v>
      </c>
    </row>
    <row r="30907">
      <c r="B30907" s="17" t="s">
        <v>477</v>
      </c>
      <c r="K30907" s="18" t="s">
        <v>477</v>
      </c>
    </row>
    <row r="30908">
      <c r="B30908" s="17" t="s">
        <v>477</v>
      </c>
      <c r="K30908" s="18" t="s">
        <v>477</v>
      </c>
    </row>
    <row r="30909">
      <c r="B30909" s="17" t="s">
        <v>477</v>
      </c>
      <c r="K30909" s="18" t="s">
        <v>477</v>
      </c>
    </row>
    <row r="30910">
      <c r="B30910" s="17" t="s">
        <v>477</v>
      </c>
      <c r="K30910" s="18" t="s">
        <v>477</v>
      </c>
    </row>
    <row r="30911">
      <c r="B30911" s="17" t="s">
        <v>477</v>
      </c>
      <c r="K30911" s="18" t="s">
        <v>477</v>
      </c>
    </row>
    <row r="30912">
      <c r="B30912" s="17" t="s">
        <v>477</v>
      </c>
      <c r="K30912" s="18" t="s">
        <v>477</v>
      </c>
    </row>
    <row r="30913">
      <c r="B30913" s="17" t="s">
        <v>477</v>
      </c>
      <c r="K30913" s="18" t="s">
        <v>477</v>
      </c>
    </row>
    <row r="30914">
      <c r="B30914" s="17" t="s">
        <v>477</v>
      </c>
      <c r="K30914" s="18" t="s">
        <v>477</v>
      </c>
    </row>
    <row r="30915">
      <c r="B30915" s="17" t="s">
        <v>477</v>
      </c>
      <c r="K30915" s="18" t="s">
        <v>477</v>
      </c>
    </row>
    <row r="30916">
      <c r="B30916" s="17" t="s">
        <v>477</v>
      </c>
      <c r="K30916" s="18" t="s">
        <v>477</v>
      </c>
    </row>
    <row r="30917">
      <c r="B30917" s="17" t="s">
        <v>477</v>
      </c>
      <c r="K30917" s="18" t="s">
        <v>477</v>
      </c>
    </row>
    <row r="30918">
      <c r="B30918" s="17" t="s">
        <v>477</v>
      </c>
      <c r="K30918" s="18" t="s">
        <v>477</v>
      </c>
    </row>
    <row r="30919">
      <c r="B30919" s="17" t="s">
        <v>477</v>
      </c>
      <c r="K30919" s="18" t="s">
        <v>477</v>
      </c>
    </row>
    <row r="30920">
      <c r="B30920" s="17" t="s">
        <v>477</v>
      </c>
      <c r="K30920" s="18" t="s">
        <v>477</v>
      </c>
    </row>
    <row r="30921">
      <c r="B30921" s="17" t="s">
        <v>477</v>
      </c>
      <c r="K30921" s="18" t="s">
        <v>477</v>
      </c>
    </row>
    <row r="30922">
      <c r="B30922" s="17" t="s">
        <v>477</v>
      </c>
      <c r="K30922" s="18" t="s">
        <v>477</v>
      </c>
    </row>
    <row r="30923">
      <c r="B30923" s="17" t="s">
        <v>477</v>
      </c>
      <c r="K30923" s="18" t="s">
        <v>477</v>
      </c>
    </row>
    <row r="30924">
      <c r="B30924" s="17" t="s">
        <v>477</v>
      </c>
      <c r="K30924" s="18" t="s">
        <v>477</v>
      </c>
    </row>
    <row r="30925">
      <c r="B30925" s="17" t="s">
        <v>477</v>
      </c>
      <c r="K30925" s="18" t="s">
        <v>477</v>
      </c>
    </row>
    <row r="30926">
      <c r="B30926" s="17" t="s">
        <v>477</v>
      </c>
      <c r="K30926" s="18" t="s">
        <v>477</v>
      </c>
    </row>
    <row r="30927">
      <c r="B30927" s="17" t="s">
        <v>477</v>
      </c>
      <c r="K30927" s="18" t="s">
        <v>477</v>
      </c>
    </row>
    <row r="30928">
      <c r="B30928" s="17" t="s">
        <v>477</v>
      </c>
      <c r="K30928" s="18" t="s">
        <v>477</v>
      </c>
    </row>
    <row r="30929">
      <c r="B30929" s="17" t="s">
        <v>477</v>
      </c>
      <c r="K30929" s="18" t="s">
        <v>477</v>
      </c>
    </row>
    <row r="30930">
      <c r="B30930" s="17" t="s">
        <v>477</v>
      </c>
      <c r="K30930" s="18" t="s">
        <v>477</v>
      </c>
    </row>
    <row r="30931">
      <c r="B30931" s="17" t="s">
        <v>477</v>
      </c>
      <c r="K30931" s="18" t="s">
        <v>477</v>
      </c>
    </row>
    <row r="30932">
      <c r="B30932" s="17" t="s">
        <v>477</v>
      </c>
      <c r="K30932" s="18" t="s">
        <v>477</v>
      </c>
    </row>
    <row r="30933">
      <c r="B30933" s="17" t="s">
        <v>477</v>
      </c>
      <c r="K30933" s="18" t="s">
        <v>477</v>
      </c>
    </row>
    <row r="30934">
      <c r="B30934" s="17" t="s">
        <v>477</v>
      </c>
      <c r="K30934" s="18" t="s">
        <v>477</v>
      </c>
    </row>
    <row r="30935">
      <c r="B30935" s="17" t="s">
        <v>477</v>
      </c>
      <c r="K30935" s="18" t="s">
        <v>477</v>
      </c>
    </row>
    <row r="30936">
      <c r="B30936" s="17" t="s">
        <v>477</v>
      </c>
      <c r="K30936" s="18" t="s">
        <v>477</v>
      </c>
    </row>
    <row r="30937">
      <c r="B30937" s="17" t="s">
        <v>477</v>
      </c>
      <c r="K30937" s="18" t="s">
        <v>477</v>
      </c>
    </row>
    <row r="30938">
      <c r="B30938" s="17" t="s">
        <v>477</v>
      </c>
      <c r="K30938" s="18" t="s">
        <v>477</v>
      </c>
    </row>
    <row r="30939">
      <c r="B30939" s="17" t="s">
        <v>477</v>
      </c>
      <c r="K30939" s="18" t="s">
        <v>477</v>
      </c>
    </row>
    <row r="30940">
      <c r="B30940" s="17" t="s">
        <v>477</v>
      </c>
      <c r="K30940" s="18" t="s">
        <v>477</v>
      </c>
    </row>
    <row r="30941">
      <c r="B30941" s="17" t="s">
        <v>477</v>
      </c>
      <c r="K30941" s="18" t="s">
        <v>477</v>
      </c>
    </row>
    <row r="30942">
      <c r="B30942" s="17" t="s">
        <v>477</v>
      </c>
      <c r="K30942" s="18" t="s">
        <v>477</v>
      </c>
    </row>
    <row r="30943">
      <c r="B30943" s="17" t="s">
        <v>477</v>
      </c>
      <c r="K30943" s="18" t="s">
        <v>477</v>
      </c>
    </row>
    <row r="30944">
      <c r="B30944" s="17" t="s">
        <v>477</v>
      </c>
      <c r="K30944" s="18" t="s">
        <v>477</v>
      </c>
    </row>
    <row r="30945">
      <c r="B30945" s="17" t="s">
        <v>477</v>
      </c>
      <c r="K30945" s="18" t="s">
        <v>477</v>
      </c>
    </row>
    <row r="30946">
      <c r="B30946" s="17" t="s">
        <v>477</v>
      </c>
      <c r="K30946" s="18" t="s">
        <v>477</v>
      </c>
    </row>
    <row r="30947">
      <c r="B30947" s="17" t="s">
        <v>477</v>
      </c>
      <c r="K30947" s="18" t="s">
        <v>477</v>
      </c>
    </row>
    <row r="30948">
      <c r="B30948" s="17" t="s">
        <v>477</v>
      </c>
      <c r="K30948" s="18" t="s">
        <v>477</v>
      </c>
    </row>
    <row r="30949">
      <c r="B30949" s="17" t="s">
        <v>477</v>
      </c>
      <c r="K30949" s="18" t="s">
        <v>477</v>
      </c>
    </row>
    <row r="30950">
      <c r="B30950" s="17" t="s">
        <v>477</v>
      </c>
      <c r="K30950" s="18" t="s">
        <v>477</v>
      </c>
    </row>
    <row r="30951">
      <c r="B30951" s="17" t="s">
        <v>477</v>
      </c>
      <c r="K30951" s="18" t="s">
        <v>477</v>
      </c>
    </row>
    <row r="30952">
      <c r="B30952" s="17" t="s">
        <v>477</v>
      </c>
      <c r="K30952" s="18" t="s">
        <v>477</v>
      </c>
    </row>
    <row r="30953">
      <c r="B30953" s="17" t="s">
        <v>477</v>
      </c>
      <c r="K30953" s="18" t="s">
        <v>477</v>
      </c>
    </row>
    <row r="30954">
      <c r="B30954" s="17" t="s">
        <v>477</v>
      </c>
      <c r="K30954" s="18" t="s">
        <v>477</v>
      </c>
    </row>
    <row r="30955">
      <c r="B30955" s="17" t="s">
        <v>477</v>
      </c>
      <c r="K30955" s="18" t="s">
        <v>477</v>
      </c>
    </row>
    <row r="30956">
      <c r="B30956" s="17" t="s">
        <v>477</v>
      </c>
      <c r="K30956" s="18" t="s">
        <v>477</v>
      </c>
    </row>
    <row r="30957">
      <c r="B30957" s="17" t="s">
        <v>477</v>
      </c>
      <c r="K30957" s="18" t="s">
        <v>477</v>
      </c>
    </row>
    <row r="30958">
      <c r="B30958" s="17" t="s">
        <v>477</v>
      </c>
      <c r="K30958" s="18" t="s">
        <v>477</v>
      </c>
    </row>
    <row r="30959">
      <c r="B30959" s="17" t="s">
        <v>477</v>
      </c>
      <c r="K30959" s="18" t="s">
        <v>477</v>
      </c>
    </row>
    <row r="30960">
      <c r="B30960" s="17" t="s">
        <v>477</v>
      </c>
      <c r="K30960" s="18" t="s">
        <v>477</v>
      </c>
    </row>
    <row r="30961">
      <c r="B30961" s="17" t="s">
        <v>477</v>
      </c>
      <c r="K30961" s="18" t="s">
        <v>477</v>
      </c>
    </row>
    <row r="30962">
      <c r="B30962" s="17" t="s">
        <v>477</v>
      </c>
      <c r="K30962" s="18" t="s">
        <v>477</v>
      </c>
    </row>
    <row r="30963">
      <c r="B30963" s="17" t="s">
        <v>477</v>
      </c>
      <c r="K30963" s="18" t="s">
        <v>477</v>
      </c>
    </row>
    <row r="30964">
      <c r="B30964" s="17" t="s">
        <v>477</v>
      </c>
      <c r="K30964" s="18" t="s">
        <v>477</v>
      </c>
    </row>
    <row r="30965">
      <c r="B30965" s="17" t="s">
        <v>477</v>
      </c>
      <c r="K30965" s="18" t="s">
        <v>477</v>
      </c>
    </row>
    <row r="30966">
      <c r="B30966" s="17" t="s">
        <v>477</v>
      </c>
      <c r="K30966" s="18" t="s">
        <v>477</v>
      </c>
    </row>
    <row r="30967">
      <c r="B30967" s="17" t="s">
        <v>477</v>
      </c>
      <c r="K30967" s="18" t="s">
        <v>477</v>
      </c>
    </row>
    <row r="30968">
      <c r="B30968" s="17" t="s">
        <v>477</v>
      </c>
      <c r="K30968" s="18" t="s">
        <v>477</v>
      </c>
    </row>
    <row r="30969">
      <c r="B30969" s="17" t="s">
        <v>477</v>
      </c>
      <c r="K30969" s="18" t="s">
        <v>477</v>
      </c>
    </row>
    <row r="30970">
      <c r="B30970" s="17" t="s">
        <v>477</v>
      </c>
      <c r="K30970" s="18" t="s">
        <v>477</v>
      </c>
    </row>
    <row r="30971">
      <c r="B30971" s="17" t="s">
        <v>477</v>
      </c>
      <c r="K30971" s="18" t="s">
        <v>477</v>
      </c>
    </row>
    <row r="30972">
      <c r="B30972" s="17" t="s">
        <v>477</v>
      </c>
      <c r="K30972" s="18" t="s">
        <v>477</v>
      </c>
    </row>
    <row r="30973">
      <c r="B30973" s="17" t="s">
        <v>477</v>
      </c>
      <c r="K30973" s="18" t="s">
        <v>477</v>
      </c>
    </row>
    <row r="30974">
      <c r="B30974" s="17" t="s">
        <v>477</v>
      </c>
      <c r="K30974" s="18" t="s">
        <v>477</v>
      </c>
    </row>
    <row r="30975">
      <c r="B30975" s="17" t="s">
        <v>477</v>
      </c>
      <c r="K30975" s="18" t="s">
        <v>477</v>
      </c>
    </row>
    <row r="30976">
      <c r="B30976" s="17" t="s">
        <v>477</v>
      </c>
      <c r="K30976" s="18" t="s">
        <v>477</v>
      </c>
    </row>
    <row r="30977">
      <c r="B30977" s="17" t="s">
        <v>477</v>
      </c>
      <c r="K30977" s="18" t="s">
        <v>477</v>
      </c>
    </row>
    <row r="30978">
      <c r="B30978" s="17" t="s">
        <v>477</v>
      </c>
      <c r="K30978" s="18" t="s">
        <v>477</v>
      </c>
    </row>
    <row r="30979">
      <c r="B30979" s="17" t="s">
        <v>477</v>
      </c>
      <c r="K30979" s="18" t="s">
        <v>477</v>
      </c>
    </row>
    <row r="30980">
      <c r="B30980" s="17" t="s">
        <v>477</v>
      </c>
      <c r="K30980" s="18" t="s">
        <v>477</v>
      </c>
    </row>
    <row r="30981">
      <c r="B30981" s="17" t="s">
        <v>477</v>
      </c>
      <c r="K30981" s="18" t="s">
        <v>477</v>
      </c>
    </row>
    <row r="30982">
      <c r="B30982" s="17" t="s">
        <v>477</v>
      </c>
      <c r="K30982" s="18" t="s">
        <v>477</v>
      </c>
    </row>
    <row r="30983">
      <c r="B30983" s="17" t="s">
        <v>477</v>
      </c>
      <c r="K30983" s="18" t="s">
        <v>477</v>
      </c>
    </row>
    <row r="30984">
      <c r="B30984" s="17" t="s">
        <v>477</v>
      </c>
      <c r="K30984" s="18" t="s">
        <v>477</v>
      </c>
    </row>
    <row r="30985">
      <c r="B30985" s="17" t="s">
        <v>477</v>
      </c>
      <c r="K30985" s="18" t="s">
        <v>477</v>
      </c>
    </row>
    <row r="30986">
      <c r="B30986" s="17" t="s">
        <v>477</v>
      </c>
      <c r="K30986" s="18" t="s">
        <v>477</v>
      </c>
    </row>
    <row r="30987">
      <c r="B30987" s="17" t="s">
        <v>477</v>
      </c>
      <c r="K30987" s="18" t="s">
        <v>477</v>
      </c>
    </row>
    <row r="30988">
      <c r="B30988" s="17" t="s">
        <v>477</v>
      </c>
      <c r="K30988" s="18" t="s">
        <v>477</v>
      </c>
    </row>
    <row r="30989">
      <c r="B30989" s="17" t="s">
        <v>477</v>
      </c>
      <c r="K30989" s="18" t="s">
        <v>477</v>
      </c>
    </row>
    <row r="30990">
      <c r="B30990" s="17" t="s">
        <v>477</v>
      </c>
      <c r="K30990" s="18" t="s">
        <v>477</v>
      </c>
    </row>
    <row r="30991">
      <c r="B30991" s="17" t="s">
        <v>477</v>
      </c>
      <c r="K30991" s="18" t="s">
        <v>477</v>
      </c>
    </row>
    <row r="30992">
      <c r="B30992" s="17" t="s">
        <v>477</v>
      </c>
      <c r="K30992" s="18" t="s">
        <v>477</v>
      </c>
    </row>
    <row r="30993">
      <c r="B30993" s="17" t="s">
        <v>477</v>
      </c>
      <c r="K30993" s="18" t="s">
        <v>477</v>
      </c>
    </row>
    <row r="30994">
      <c r="B30994" s="17" t="s">
        <v>477</v>
      </c>
      <c r="K30994" s="18" t="s">
        <v>477</v>
      </c>
    </row>
    <row r="30995">
      <c r="B30995" s="17" t="s">
        <v>477</v>
      </c>
      <c r="K30995" s="18" t="s">
        <v>477</v>
      </c>
    </row>
    <row r="30996">
      <c r="B30996" s="17" t="s">
        <v>477</v>
      </c>
      <c r="K30996" s="18" t="s">
        <v>477</v>
      </c>
    </row>
    <row r="30997">
      <c r="B30997" s="17" t="s">
        <v>477</v>
      </c>
      <c r="K30997" s="18" t="s">
        <v>477</v>
      </c>
    </row>
    <row r="30998">
      <c r="B30998" s="17" t="s">
        <v>477</v>
      </c>
      <c r="K30998" s="18" t="s">
        <v>477</v>
      </c>
    </row>
    <row r="30999">
      <c r="B30999" s="17" t="s">
        <v>477</v>
      </c>
      <c r="K30999" s="18" t="s">
        <v>477</v>
      </c>
    </row>
    <row r="31000">
      <c r="B31000" s="17" t="s">
        <v>477</v>
      </c>
      <c r="K31000" s="18" t="s">
        <v>477</v>
      </c>
    </row>
    <row r="31001">
      <c r="B31001" s="17" t="s">
        <v>477</v>
      </c>
      <c r="K31001" s="18" t="s">
        <v>477</v>
      </c>
    </row>
    <row r="31002">
      <c r="B31002" s="17" t="s">
        <v>477</v>
      </c>
      <c r="K31002" s="18" t="s">
        <v>477</v>
      </c>
    </row>
    <row r="31003">
      <c r="B31003" s="17" t="s">
        <v>477</v>
      </c>
      <c r="K31003" s="18" t="s">
        <v>477</v>
      </c>
    </row>
    <row r="31004">
      <c r="B31004" s="17" t="s">
        <v>477</v>
      </c>
      <c r="K31004" s="18" t="s">
        <v>477</v>
      </c>
    </row>
    <row r="31005">
      <c r="B31005" s="17" t="s">
        <v>477</v>
      </c>
      <c r="K31005" s="18" t="s">
        <v>477</v>
      </c>
    </row>
    <row r="31006">
      <c r="B31006" s="17" t="s">
        <v>477</v>
      </c>
      <c r="K31006" s="18" t="s">
        <v>477</v>
      </c>
    </row>
    <row r="31007">
      <c r="B31007" s="17" t="s">
        <v>477</v>
      </c>
      <c r="K31007" s="18" t="s">
        <v>477</v>
      </c>
    </row>
    <row r="31008">
      <c r="B31008" s="17" t="s">
        <v>477</v>
      </c>
      <c r="K31008" s="18" t="s">
        <v>477</v>
      </c>
    </row>
    <row r="31009">
      <c r="B31009" s="17" t="s">
        <v>477</v>
      </c>
      <c r="K31009" s="18" t="s">
        <v>477</v>
      </c>
    </row>
    <row r="31010">
      <c r="B31010" s="17" t="s">
        <v>477</v>
      </c>
      <c r="K31010" s="18" t="s">
        <v>477</v>
      </c>
    </row>
    <row r="31011">
      <c r="B31011" s="17" t="s">
        <v>477</v>
      </c>
      <c r="K31011" s="18" t="s">
        <v>477</v>
      </c>
    </row>
    <row r="31012">
      <c r="B31012" s="17" t="s">
        <v>477</v>
      </c>
      <c r="K31012" s="18" t="s">
        <v>477</v>
      </c>
    </row>
    <row r="31013">
      <c r="B31013" s="17" t="s">
        <v>477</v>
      </c>
      <c r="K31013" s="18" t="s">
        <v>477</v>
      </c>
    </row>
    <row r="31014">
      <c r="B31014" s="17" t="s">
        <v>477</v>
      </c>
      <c r="K31014" s="18" t="s">
        <v>477</v>
      </c>
    </row>
    <row r="31015">
      <c r="B31015" s="17" t="s">
        <v>477</v>
      </c>
      <c r="K31015" s="18" t="s">
        <v>477</v>
      </c>
    </row>
    <row r="31016">
      <c r="B31016" s="17" t="s">
        <v>477</v>
      </c>
      <c r="K31016" s="18" t="s">
        <v>477</v>
      </c>
    </row>
    <row r="31017">
      <c r="B31017" s="17" t="s">
        <v>477</v>
      </c>
      <c r="K31017" s="18" t="s">
        <v>477</v>
      </c>
    </row>
    <row r="31018">
      <c r="B31018" s="17" t="s">
        <v>477</v>
      </c>
      <c r="K31018" s="18" t="s">
        <v>477</v>
      </c>
    </row>
    <row r="31019">
      <c r="B31019" s="17" t="s">
        <v>477</v>
      </c>
      <c r="K31019" s="18" t="s">
        <v>477</v>
      </c>
    </row>
    <row r="31020">
      <c r="B31020" s="17" t="s">
        <v>477</v>
      </c>
      <c r="K31020" s="18" t="s">
        <v>477</v>
      </c>
    </row>
    <row r="31021">
      <c r="B31021" s="17" t="s">
        <v>477</v>
      </c>
      <c r="K31021" s="18" t="s">
        <v>477</v>
      </c>
    </row>
    <row r="31022">
      <c r="B31022" s="17" t="s">
        <v>477</v>
      </c>
      <c r="K31022" s="18" t="s">
        <v>477</v>
      </c>
    </row>
    <row r="31023">
      <c r="B31023" s="17" t="s">
        <v>477</v>
      </c>
      <c r="K31023" s="18" t="s">
        <v>477</v>
      </c>
    </row>
    <row r="31024">
      <c r="B31024" s="17" t="s">
        <v>477</v>
      </c>
      <c r="K31024" s="18" t="s">
        <v>477</v>
      </c>
    </row>
    <row r="31025">
      <c r="B31025" s="17" t="s">
        <v>477</v>
      </c>
      <c r="K31025" s="18" t="s">
        <v>477</v>
      </c>
    </row>
    <row r="31026">
      <c r="B31026" s="17" t="s">
        <v>477</v>
      </c>
      <c r="K31026" s="18" t="s">
        <v>477</v>
      </c>
    </row>
    <row r="31027">
      <c r="B31027" s="17" t="s">
        <v>477</v>
      </c>
      <c r="K31027" s="18" t="s">
        <v>477</v>
      </c>
    </row>
    <row r="31028">
      <c r="B31028" s="17" t="s">
        <v>477</v>
      </c>
      <c r="K31028" s="18" t="s">
        <v>477</v>
      </c>
    </row>
    <row r="31029">
      <c r="B31029" s="17" t="s">
        <v>477</v>
      </c>
      <c r="K31029" s="18" t="s">
        <v>477</v>
      </c>
    </row>
    <row r="31030">
      <c r="B31030" s="17" t="s">
        <v>477</v>
      </c>
      <c r="K31030" s="18" t="s">
        <v>477</v>
      </c>
    </row>
    <row r="31031">
      <c r="B31031" s="17" t="s">
        <v>477</v>
      </c>
      <c r="K31031" s="18" t="s">
        <v>477</v>
      </c>
    </row>
    <row r="31032">
      <c r="B31032" s="17" t="s">
        <v>477</v>
      </c>
      <c r="K31032" s="18" t="s">
        <v>477</v>
      </c>
    </row>
    <row r="31033">
      <c r="B31033" s="17" t="s">
        <v>477</v>
      </c>
      <c r="K31033" s="18" t="s">
        <v>477</v>
      </c>
    </row>
    <row r="31034">
      <c r="B31034" s="17" t="s">
        <v>477</v>
      </c>
      <c r="K31034" s="18" t="s">
        <v>477</v>
      </c>
    </row>
    <row r="31035">
      <c r="B31035" s="17" t="s">
        <v>477</v>
      </c>
      <c r="K31035" s="18" t="s">
        <v>477</v>
      </c>
    </row>
    <row r="31036">
      <c r="B31036" s="17" t="s">
        <v>477</v>
      </c>
      <c r="K31036" s="18" t="s">
        <v>477</v>
      </c>
    </row>
    <row r="31037">
      <c r="B31037" s="17" t="s">
        <v>477</v>
      </c>
      <c r="K31037" s="18" t="s">
        <v>477</v>
      </c>
    </row>
    <row r="31038">
      <c r="B31038" s="17" t="s">
        <v>477</v>
      </c>
      <c r="K31038" s="18" t="s">
        <v>477</v>
      </c>
    </row>
    <row r="31039">
      <c r="B31039" s="17" t="s">
        <v>477</v>
      </c>
      <c r="K31039" s="18" t="s">
        <v>477</v>
      </c>
    </row>
    <row r="31040">
      <c r="B31040" s="17" t="s">
        <v>477</v>
      </c>
      <c r="K31040" s="18" t="s">
        <v>477</v>
      </c>
    </row>
    <row r="31041">
      <c r="B31041" s="17" t="s">
        <v>477</v>
      </c>
      <c r="K31041" s="18" t="s">
        <v>477</v>
      </c>
    </row>
    <row r="31042">
      <c r="B31042" s="17" t="s">
        <v>477</v>
      </c>
      <c r="K31042" s="18" t="s">
        <v>477</v>
      </c>
    </row>
    <row r="31043">
      <c r="B31043" s="17" t="s">
        <v>477</v>
      </c>
      <c r="K31043" s="18" t="s">
        <v>477</v>
      </c>
    </row>
    <row r="31044">
      <c r="B31044" s="17" t="s">
        <v>477</v>
      </c>
      <c r="K31044" s="18" t="s">
        <v>477</v>
      </c>
    </row>
    <row r="31045">
      <c r="B31045" s="17" t="s">
        <v>477</v>
      </c>
      <c r="K31045" s="18" t="s">
        <v>477</v>
      </c>
    </row>
    <row r="31046">
      <c r="B31046" s="17" t="s">
        <v>477</v>
      </c>
      <c r="K31046" s="18" t="s">
        <v>477</v>
      </c>
    </row>
    <row r="31047">
      <c r="B31047" s="17" t="s">
        <v>477</v>
      </c>
      <c r="K31047" s="18" t="s">
        <v>477</v>
      </c>
    </row>
    <row r="31048">
      <c r="B31048" s="17" t="s">
        <v>477</v>
      </c>
      <c r="K31048" s="18" t="s">
        <v>477</v>
      </c>
    </row>
    <row r="31049">
      <c r="B31049" s="17" t="s">
        <v>477</v>
      </c>
      <c r="K31049" s="18" t="s">
        <v>477</v>
      </c>
    </row>
    <row r="31050">
      <c r="B31050" s="17" t="s">
        <v>477</v>
      </c>
      <c r="K31050" s="18" t="s">
        <v>477</v>
      </c>
    </row>
    <row r="31051">
      <c r="B31051" s="17" t="s">
        <v>477</v>
      </c>
      <c r="K31051" s="18" t="s">
        <v>477</v>
      </c>
    </row>
    <row r="31052">
      <c r="B31052" s="17" t="s">
        <v>477</v>
      </c>
      <c r="K31052" s="18" t="s">
        <v>477</v>
      </c>
    </row>
    <row r="31053">
      <c r="B31053" s="17" t="s">
        <v>477</v>
      </c>
      <c r="K31053" s="18" t="s">
        <v>477</v>
      </c>
    </row>
    <row r="31054">
      <c r="B31054" s="17" t="s">
        <v>477</v>
      </c>
      <c r="K31054" s="18" t="s">
        <v>477</v>
      </c>
    </row>
    <row r="31055">
      <c r="B31055" s="17" t="s">
        <v>477</v>
      </c>
      <c r="K31055" s="18" t="s">
        <v>477</v>
      </c>
    </row>
    <row r="31056">
      <c r="B31056" s="17" t="s">
        <v>477</v>
      </c>
      <c r="K31056" s="18" t="s">
        <v>477</v>
      </c>
    </row>
    <row r="31057">
      <c r="B31057" s="17" t="s">
        <v>477</v>
      </c>
      <c r="K31057" s="18" t="s">
        <v>477</v>
      </c>
    </row>
    <row r="31058">
      <c r="B31058" s="17" t="s">
        <v>477</v>
      </c>
      <c r="K31058" s="18" t="s">
        <v>477</v>
      </c>
    </row>
    <row r="31059">
      <c r="B31059" s="17" t="s">
        <v>477</v>
      </c>
      <c r="K31059" s="18" t="s">
        <v>477</v>
      </c>
    </row>
    <row r="31060">
      <c r="B31060" s="17" t="s">
        <v>477</v>
      </c>
      <c r="K31060" s="18" t="s">
        <v>477</v>
      </c>
    </row>
    <row r="31061">
      <c r="B31061" s="17" t="s">
        <v>477</v>
      </c>
      <c r="K31061" s="18" t="s">
        <v>477</v>
      </c>
    </row>
    <row r="31062">
      <c r="B31062" s="17" t="s">
        <v>477</v>
      </c>
      <c r="K31062" s="18" t="s">
        <v>477</v>
      </c>
    </row>
    <row r="31063">
      <c r="B31063" s="17" t="s">
        <v>477</v>
      </c>
      <c r="K31063" s="18" t="s">
        <v>477</v>
      </c>
    </row>
    <row r="31064">
      <c r="B31064" s="17" t="s">
        <v>477</v>
      </c>
      <c r="K31064" s="18" t="s">
        <v>477</v>
      </c>
    </row>
    <row r="31065">
      <c r="B31065" s="17" t="s">
        <v>477</v>
      </c>
      <c r="K31065" s="18" t="s">
        <v>477</v>
      </c>
    </row>
    <row r="31066">
      <c r="B31066" s="17" t="s">
        <v>477</v>
      </c>
      <c r="K31066" s="18" t="s">
        <v>477</v>
      </c>
    </row>
    <row r="31067">
      <c r="B31067" s="17" t="s">
        <v>477</v>
      </c>
      <c r="K31067" s="18" t="s">
        <v>477</v>
      </c>
    </row>
    <row r="31068">
      <c r="B31068" s="17" t="s">
        <v>477</v>
      </c>
      <c r="K31068" s="18" t="s">
        <v>477</v>
      </c>
    </row>
    <row r="31069">
      <c r="B31069" s="17" t="s">
        <v>477</v>
      </c>
      <c r="K31069" s="18" t="s">
        <v>477</v>
      </c>
    </row>
    <row r="31070">
      <c r="B31070" s="17" t="s">
        <v>477</v>
      </c>
      <c r="K31070" s="18" t="s">
        <v>477</v>
      </c>
    </row>
    <row r="31071">
      <c r="B31071" s="17" t="s">
        <v>477</v>
      </c>
      <c r="K31071" s="18" t="s">
        <v>477</v>
      </c>
    </row>
    <row r="31072">
      <c r="B31072" s="17" t="s">
        <v>477</v>
      </c>
      <c r="K31072" s="18" t="s">
        <v>477</v>
      </c>
    </row>
    <row r="31073">
      <c r="B31073" s="17" t="s">
        <v>477</v>
      </c>
      <c r="K31073" s="18" t="s">
        <v>477</v>
      </c>
    </row>
    <row r="31074">
      <c r="B31074" s="17" t="s">
        <v>477</v>
      </c>
      <c r="K31074" s="18" t="s">
        <v>477</v>
      </c>
    </row>
    <row r="31075">
      <c r="B31075" s="17" t="s">
        <v>477</v>
      </c>
      <c r="K31075" s="18" t="s">
        <v>477</v>
      </c>
    </row>
    <row r="31076">
      <c r="B31076" s="17" t="s">
        <v>477</v>
      </c>
      <c r="K31076" s="18" t="s">
        <v>477</v>
      </c>
    </row>
    <row r="31077">
      <c r="B31077" s="17" t="s">
        <v>477</v>
      </c>
      <c r="K31077" s="18" t="s">
        <v>477</v>
      </c>
    </row>
    <row r="31078">
      <c r="B31078" s="17" t="s">
        <v>477</v>
      </c>
      <c r="K31078" s="18" t="s">
        <v>477</v>
      </c>
    </row>
    <row r="31079">
      <c r="B31079" s="17" t="s">
        <v>477</v>
      </c>
      <c r="K31079" s="18" t="s">
        <v>477</v>
      </c>
    </row>
    <row r="31080">
      <c r="B31080" s="17" t="s">
        <v>477</v>
      </c>
      <c r="K31080" s="18" t="s">
        <v>477</v>
      </c>
    </row>
    <row r="31081">
      <c r="B31081" s="17" t="s">
        <v>477</v>
      </c>
      <c r="K31081" s="18" t="s">
        <v>477</v>
      </c>
    </row>
    <row r="31082">
      <c r="B31082" s="17" t="s">
        <v>477</v>
      </c>
      <c r="K31082" s="18" t="s">
        <v>477</v>
      </c>
    </row>
    <row r="31083">
      <c r="B31083" s="17" t="s">
        <v>477</v>
      </c>
      <c r="K31083" s="18" t="s">
        <v>477</v>
      </c>
    </row>
    <row r="31084">
      <c r="B31084" s="17" t="s">
        <v>477</v>
      </c>
      <c r="K31084" s="18" t="s">
        <v>477</v>
      </c>
    </row>
    <row r="31085">
      <c r="B31085" s="17" t="s">
        <v>477</v>
      </c>
      <c r="K31085" s="18" t="s">
        <v>477</v>
      </c>
    </row>
    <row r="31086">
      <c r="B31086" s="17" t="s">
        <v>477</v>
      </c>
      <c r="K31086" s="18" t="s">
        <v>477</v>
      </c>
    </row>
    <row r="31087">
      <c r="B31087" s="17" t="s">
        <v>477</v>
      </c>
      <c r="K31087" s="18" t="s">
        <v>477</v>
      </c>
    </row>
    <row r="31088">
      <c r="B31088" s="17" t="s">
        <v>477</v>
      </c>
      <c r="K31088" s="18" t="s">
        <v>477</v>
      </c>
    </row>
    <row r="31089">
      <c r="B31089" s="17" t="s">
        <v>477</v>
      </c>
      <c r="K31089" s="18" t="s">
        <v>477</v>
      </c>
    </row>
    <row r="31090">
      <c r="B31090" s="17" t="s">
        <v>477</v>
      </c>
      <c r="K31090" s="18" t="s">
        <v>477</v>
      </c>
    </row>
    <row r="31091">
      <c r="B31091" s="17" t="s">
        <v>477</v>
      </c>
      <c r="K31091" s="18" t="s">
        <v>477</v>
      </c>
    </row>
    <row r="31092">
      <c r="B31092" s="17" t="s">
        <v>477</v>
      </c>
      <c r="K31092" s="18" t="s">
        <v>477</v>
      </c>
    </row>
    <row r="31093">
      <c r="B31093" s="17" t="s">
        <v>477</v>
      </c>
      <c r="K31093" s="18" t="s">
        <v>477</v>
      </c>
    </row>
    <row r="31094">
      <c r="B31094" s="17" t="s">
        <v>477</v>
      </c>
      <c r="K31094" s="18" t="s">
        <v>477</v>
      </c>
    </row>
    <row r="31095">
      <c r="B31095" s="17" t="s">
        <v>477</v>
      </c>
      <c r="K31095" s="18" t="s">
        <v>477</v>
      </c>
    </row>
    <row r="31096">
      <c r="B31096" s="17" t="s">
        <v>477</v>
      </c>
      <c r="K31096" s="18" t="s">
        <v>477</v>
      </c>
    </row>
    <row r="31097">
      <c r="B31097" s="17" t="s">
        <v>477</v>
      </c>
      <c r="K31097" s="18" t="s">
        <v>477</v>
      </c>
    </row>
    <row r="31098">
      <c r="B31098" s="17" t="s">
        <v>477</v>
      </c>
      <c r="K31098" s="18" t="s">
        <v>477</v>
      </c>
    </row>
    <row r="31099">
      <c r="B31099" s="17" t="s">
        <v>477</v>
      </c>
      <c r="K31099" s="18" t="s">
        <v>477</v>
      </c>
    </row>
    <row r="31100">
      <c r="B31100" s="17" t="s">
        <v>477</v>
      </c>
      <c r="K31100" s="18" t="s">
        <v>477</v>
      </c>
    </row>
    <row r="31101">
      <c r="B31101" s="17" t="s">
        <v>477</v>
      </c>
      <c r="K31101" s="18" t="s">
        <v>477</v>
      </c>
    </row>
    <row r="31102">
      <c r="B31102" s="17" t="s">
        <v>477</v>
      </c>
      <c r="K31102" s="18" t="s">
        <v>477</v>
      </c>
    </row>
    <row r="31103">
      <c r="B31103" s="17" t="s">
        <v>477</v>
      </c>
      <c r="K31103" s="18" t="s">
        <v>477</v>
      </c>
    </row>
    <row r="31104">
      <c r="B31104" s="17" t="s">
        <v>477</v>
      </c>
      <c r="K31104" s="18" t="s">
        <v>477</v>
      </c>
    </row>
    <row r="31105">
      <c r="B31105" s="17" t="s">
        <v>477</v>
      </c>
      <c r="K31105" s="18" t="s">
        <v>477</v>
      </c>
    </row>
    <row r="31106">
      <c r="B31106" s="17" t="s">
        <v>477</v>
      </c>
      <c r="K31106" s="18" t="s">
        <v>477</v>
      </c>
    </row>
    <row r="31107">
      <c r="B31107" s="17" t="s">
        <v>477</v>
      </c>
      <c r="K31107" s="18" t="s">
        <v>477</v>
      </c>
    </row>
    <row r="31108">
      <c r="B31108" s="17" t="s">
        <v>477</v>
      </c>
      <c r="K31108" s="18" t="s">
        <v>477</v>
      </c>
    </row>
    <row r="31109">
      <c r="B31109" s="17" t="s">
        <v>477</v>
      </c>
      <c r="K31109" s="18" t="s">
        <v>477</v>
      </c>
    </row>
    <row r="31110">
      <c r="B31110" s="17" t="s">
        <v>477</v>
      </c>
      <c r="K31110" s="18" t="s">
        <v>477</v>
      </c>
    </row>
    <row r="31111">
      <c r="B31111" s="17" t="s">
        <v>477</v>
      </c>
      <c r="K31111" s="18" t="s">
        <v>477</v>
      </c>
    </row>
    <row r="31112">
      <c r="B31112" s="17" t="s">
        <v>477</v>
      </c>
      <c r="K31112" s="18" t="s">
        <v>477</v>
      </c>
    </row>
    <row r="31113">
      <c r="B31113" s="17" t="s">
        <v>477</v>
      </c>
      <c r="K31113" s="18" t="s">
        <v>477</v>
      </c>
    </row>
    <row r="31114">
      <c r="B31114" s="17" t="s">
        <v>477</v>
      </c>
      <c r="K31114" s="18" t="s">
        <v>477</v>
      </c>
    </row>
    <row r="31115">
      <c r="B31115" s="17" t="s">
        <v>477</v>
      </c>
      <c r="K31115" s="18" t="s">
        <v>477</v>
      </c>
    </row>
    <row r="31116">
      <c r="B31116" s="17" t="s">
        <v>477</v>
      </c>
      <c r="K31116" s="18" t="s">
        <v>477</v>
      </c>
    </row>
    <row r="31117">
      <c r="B31117" s="17" t="s">
        <v>477</v>
      </c>
      <c r="K31117" s="18" t="s">
        <v>477</v>
      </c>
    </row>
    <row r="31118">
      <c r="B31118" s="17" t="s">
        <v>477</v>
      </c>
      <c r="K31118" s="18" t="s">
        <v>477</v>
      </c>
    </row>
    <row r="31119">
      <c r="B31119" s="17" t="s">
        <v>477</v>
      </c>
      <c r="K31119" s="18" t="s">
        <v>477</v>
      </c>
    </row>
    <row r="31120">
      <c r="B31120" s="17" t="s">
        <v>477</v>
      </c>
      <c r="K31120" s="18" t="s">
        <v>477</v>
      </c>
    </row>
    <row r="31121">
      <c r="B31121" s="17" t="s">
        <v>477</v>
      </c>
      <c r="K31121" s="18" t="s">
        <v>477</v>
      </c>
    </row>
    <row r="31122">
      <c r="B31122" s="17" t="s">
        <v>477</v>
      </c>
      <c r="K31122" s="18" t="s">
        <v>477</v>
      </c>
    </row>
    <row r="31123">
      <c r="B31123" s="17" t="s">
        <v>477</v>
      </c>
      <c r="K31123" s="18" t="s">
        <v>477</v>
      </c>
    </row>
    <row r="31124">
      <c r="B31124" s="17" t="s">
        <v>477</v>
      </c>
      <c r="K31124" s="18" t="s">
        <v>477</v>
      </c>
    </row>
    <row r="31125">
      <c r="B31125" s="17" t="s">
        <v>477</v>
      </c>
      <c r="K31125" s="18" t="s">
        <v>477</v>
      </c>
    </row>
    <row r="31126">
      <c r="B31126" s="17" t="s">
        <v>477</v>
      </c>
      <c r="K31126" s="18" t="s">
        <v>477</v>
      </c>
    </row>
    <row r="31127">
      <c r="B31127" s="17" t="s">
        <v>477</v>
      </c>
      <c r="K31127" s="18" t="s">
        <v>477</v>
      </c>
    </row>
    <row r="31128">
      <c r="B31128" s="17" t="s">
        <v>477</v>
      </c>
      <c r="K31128" s="18" t="s">
        <v>477</v>
      </c>
    </row>
    <row r="31129">
      <c r="B31129" s="17" t="s">
        <v>477</v>
      </c>
      <c r="K31129" s="18" t="s">
        <v>477</v>
      </c>
    </row>
    <row r="31130">
      <c r="B31130" s="17" t="s">
        <v>477</v>
      </c>
      <c r="K31130" s="18" t="s">
        <v>477</v>
      </c>
    </row>
    <row r="31131">
      <c r="B31131" s="17" t="s">
        <v>477</v>
      </c>
      <c r="K31131" s="18" t="s">
        <v>477</v>
      </c>
    </row>
    <row r="31132">
      <c r="B31132" s="17" t="s">
        <v>477</v>
      </c>
      <c r="K31132" s="18" t="s">
        <v>477</v>
      </c>
    </row>
    <row r="31133">
      <c r="B31133" s="17" t="s">
        <v>477</v>
      </c>
      <c r="K31133" s="18" t="s">
        <v>477</v>
      </c>
    </row>
    <row r="31134">
      <c r="B31134" s="17" t="s">
        <v>477</v>
      </c>
      <c r="K31134" s="18" t="s">
        <v>477</v>
      </c>
    </row>
    <row r="31135">
      <c r="B31135" s="17" t="s">
        <v>477</v>
      </c>
      <c r="K31135" s="18" t="s">
        <v>477</v>
      </c>
    </row>
    <row r="31136">
      <c r="B31136" s="17" t="s">
        <v>477</v>
      </c>
      <c r="K31136" s="18" t="s">
        <v>477</v>
      </c>
    </row>
    <row r="31137">
      <c r="B31137" s="17" t="s">
        <v>477</v>
      </c>
      <c r="K31137" s="18" t="s">
        <v>477</v>
      </c>
    </row>
    <row r="31138">
      <c r="B31138" s="17" t="s">
        <v>477</v>
      </c>
      <c r="K31138" s="18" t="s">
        <v>477</v>
      </c>
    </row>
    <row r="31139">
      <c r="B31139" s="17" t="s">
        <v>477</v>
      </c>
      <c r="K31139" s="18" t="s">
        <v>477</v>
      </c>
    </row>
    <row r="31140">
      <c r="B31140" s="17" t="s">
        <v>477</v>
      </c>
      <c r="K31140" s="18" t="s">
        <v>477</v>
      </c>
    </row>
    <row r="31141">
      <c r="B31141" s="17" t="s">
        <v>477</v>
      </c>
      <c r="K31141" s="18" t="s">
        <v>477</v>
      </c>
    </row>
    <row r="31142">
      <c r="B31142" s="17" t="s">
        <v>477</v>
      </c>
      <c r="K31142" s="18" t="s">
        <v>477</v>
      </c>
    </row>
    <row r="31143">
      <c r="B31143" s="17" t="s">
        <v>477</v>
      </c>
      <c r="K31143" s="18" t="s">
        <v>477</v>
      </c>
    </row>
    <row r="31144">
      <c r="B31144" s="17" t="s">
        <v>477</v>
      </c>
      <c r="K31144" s="18" t="s">
        <v>477</v>
      </c>
    </row>
    <row r="31145">
      <c r="B31145" s="17" t="s">
        <v>477</v>
      </c>
      <c r="K31145" s="18" t="s">
        <v>477</v>
      </c>
    </row>
    <row r="31146">
      <c r="B31146" s="17" t="s">
        <v>477</v>
      </c>
      <c r="K31146" s="18" t="s">
        <v>477</v>
      </c>
    </row>
    <row r="31147">
      <c r="B31147" s="17" t="s">
        <v>477</v>
      </c>
      <c r="K31147" s="18" t="s">
        <v>477</v>
      </c>
    </row>
    <row r="31148">
      <c r="B31148" s="17" t="s">
        <v>477</v>
      </c>
      <c r="K31148" s="18" t="s">
        <v>477</v>
      </c>
    </row>
    <row r="31149">
      <c r="B31149" s="17" t="s">
        <v>477</v>
      </c>
      <c r="K31149" s="18" t="s">
        <v>477</v>
      </c>
    </row>
    <row r="31150">
      <c r="B31150" s="17" t="s">
        <v>477</v>
      </c>
      <c r="K31150" s="18" t="s">
        <v>477</v>
      </c>
    </row>
    <row r="31151">
      <c r="B31151" s="17" t="s">
        <v>477</v>
      </c>
      <c r="K31151" s="18" t="s">
        <v>477</v>
      </c>
    </row>
    <row r="31152">
      <c r="B31152" s="17" t="s">
        <v>477</v>
      </c>
      <c r="K31152" s="18" t="s">
        <v>477</v>
      </c>
    </row>
    <row r="31153">
      <c r="B31153" s="17" t="s">
        <v>477</v>
      </c>
      <c r="K31153" s="18" t="s">
        <v>477</v>
      </c>
    </row>
    <row r="31154">
      <c r="B31154" s="17" t="s">
        <v>477</v>
      </c>
      <c r="K31154" s="18" t="s">
        <v>477</v>
      </c>
    </row>
    <row r="31155">
      <c r="B31155" s="17" t="s">
        <v>477</v>
      </c>
      <c r="K31155" s="18" t="s">
        <v>477</v>
      </c>
    </row>
    <row r="31156">
      <c r="B31156" s="17" t="s">
        <v>477</v>
      </c>
      <c r="K31156" s="18" t="s">
        <v>477</v>
      </c>
    </row>
    <row r="31157">
      <c r="B31157" s="17" t="s">
        <v>477</v>
      </c>
      <c r="K31157" s="18" t="s">
        <v>477</v>
      </c>
    </row>
    <row r="31158">
      <c r="B31158" s="17" t="s">
        <v>477</v>
      </c>
      <c r="K31158" s="18" t="s">
        <v>477</v>
      </c>
    </row>
    <row r="31159">
      <c r="B31159" s="17" t="s">
        <v>477</v>
      </c>
      <c r="K31159" s="18" t="s">
        <v>477</v>
      </c>
    </row>
    <row r="31160">
      <c r="B31160" s="17" t="s">
        <v>477</v>
      </c>
      <c r="K31160" s="18" t="s">
        <v>477</v>
      </c>
    </row>
    <row r="31161">
      <c r="B31161" s="17" t="s">
        <v>477</v>
      </c>
      <c r="K31161" s="18" t="s">
        <v>477</v>
      </c>
    </row>
    <row r="31162">
      <c r="B31162" s="17" t="s">
        <v>477</v>
      </c>
      <c r="K31162" s="18" t="s">
        <v>477</v>
      </c>
    </row>
    <row r="31163">
      <c r="B31163" s="17" t="s">
        <v>477</v>
      </c>
      <c r="K31163" s="18" t="s">
        <v>477</v>
      </c>
    </row>
    <row r="31164">
      <c r="B31164" s="17" t="s">
        <v>477</v>
      </c>
      <c r="K31164" s="18" t="s">
        <v>477</v>
      </c>
    </row>
    <row r="31165">
      <c r="B31165" s="17" t="s">
        <v>477</v>
      </c>
      <c r="K31165" s="18" t="s">
        <v>477</v>
      </c>
    </row>
    <row r="31166">
      <c r="B31166" s="17" t="s">
        <v>477</v>
      </c>
      <c r="K31166" s="18" t="s">
        <v>477</v>
      </c>
    </row>
    <row r="31167">
      <c r="B31167" s="17" t="s">
        <v>477</v>
      </c>
      <c r="K31167" s="18" t="s">
        <v>477</v>
      </c>
    </row>
    <row r="31168">
      <c r="B31168" s="17" t="s">
        <v>477</v>
      </c>
      <c r="K31168" s="18" t="s">
        <v>477</v>
      </c>
    </row>
    <row r="31169">
      <c r="B31169" s="17" t="s">
        <v>477</v>
      </c>
      <c r="K31169" s="18" t="s">
        <v>477</v>
      </c>
    </row>
    <row r="31170">
      <c r="B31170" s="17" t="s">
        <v>477</v>
      </c>
      <c r="K31170" s="18" t="s">
        <v>477</v>
      </c>
    </row>
    <row r="31171">
      <c r="B31171" s="17" t="s">
        <v>477</v>
      </c>
      <c r="K31171" s="18" t="s">
        <v>477</v>
      </c>
    </row>
    <row r="31172">
      <c r="B31172" s="17" t="s">
        <v>477</v>
      </c>
      <c r="K31172" s="18" t="s">
        <v>477</v>
      </c>
    </row>
    <row r="31173">
      <c r="B31173" s="17" t="s">
        <v>477</v>
      </c>
      <c r="K31173" s="18" t="s">
        <v>477</v>
      </c>
    </row>
    <row r="31174">
      <c r="B31174" s="17" t="s">
        <v>477</v>
      </c>
      <c r="K31174" s="18" t="s">
        <v>477</v>
      </c>
    </row>
    <row r="31175">
      <c r="B31175" s="17" t="s">
        <v>477</v>
      </c>
      <c r="K31175" s="18" t="s">
        <v>477</v>
      </c>
    </row>
    <row r="31176">
      <c r="B31176" s="17" t="s">
        <v>477</v>
      </c>
      <c r="K31176" s="18" t="s">
        <v>477</v>
      </c>
    </row>
    <row r="31177">
      <c r="B31177" s="17" t="s">
        <v>477</v>
      </c>
      <c r="K31177" s="18" t="s">
        <v>477</v>
      </c>
    </row>
    <row r="31178">
      <c r="B31178" s="17" t="s">
        <v>477</v>
      </c>
      <c r="K31178" s="18" t="s">
        <v>477</v>
      </c>
    </row>
    <row r="31179">
      <c r="B31179" s="17" t="s">
        <v>477</v>
      </c>
      <c r="K31179" s="18" t="s">
        <v>477</v>
      </c>
    </row>
    <row r="31180">
      <c r="B31180" s="17" t="s">
        <v>477</v>
      </c>
      <c r="K31180" s="18" t="s">
        <v>477</v>
      </c>
    </row>
    <row r="31181">
      <c r="B31181" s="17" t="s">
        <v>477</v>
      </c>
      <c r="K31181" s="18" t="s">
        <v>477</v>
      </c>
    </row>
    <row r="31182">
      <c r="B31182" s="17" t="s">
        <v>477</v>
      </c>
      <c r="K31182" s="18" t="s">
        <v>477</v>
      </c>
    </row>
    <row r="31183">
      <c r="B31183" s="17" t="s">
        <v>477</v>
      </c>
      <c r="K31183" s="18" t="s">
        <v>477</v>
      </c>
    </row>
    <row r="31184">
      <c r="B31184" s="17" t="s">
        <v>477</v>
      </c>
      <c r="K31184" s="18" t="s">
        <v>477</v>
      </c>
    </row>
    <row r="31185">
      <c r="B31185" s="17" t="s">
        <v>477</v>
      </c>
      <c r="K31185" s="18" t="s">
        <v>477</v>
      </c>
    </row>
    <row r="31186">
      <c r="B31186" s="17" t="s">
        <v>477</v>
      </c>
      <c r="K31186" s="18" t="s">
        <v>477</v>
      </c>
    </row>
    <row r="31187">
      <c r="B31187" s="17" t="s">
        <v>477</v>
      </c>
      <c r="K31187" s="18" t="s">
        <v>477</v>
      </c>
    </row>
    <row r="31188">
      <c r="B31188" s="17" t="s">
        <v>477</v>
      </c>
      <c r="K31188" s="18" t="s">
        <v>477</v>
      </c>
    </row>
    <row r="31189">
      <c r="B31189" s="17" t="s">
        <v>477</v>
      </c>
      <c r="K31189" s="18" t="s">
        <v>477</v>
      </c>
    </row>
    <row r="31190">
      <c r="B31190" s="17" t="s">
        <v>477</v>
      </c>
      <c r="K31190" s="18" t="s">
        <v>477</v>
      </c>
    </row>
    <row r="31191">
      <c r="B31191" s="17" t="s">
        <v>477</v>
      </c>
      <c r="K31191" s="18" t="s">
        <v>477</v>
      </c>
    </row>
    <row r="31192">
      <c r="B31192" s="17" t="s">
        <v>477</v>
      </c>
      <c r="K31192" s="18" t="s">
        <v>477</v>
      </c>
    </row>
    <row r="31193">
      <c r="B31193" s="17" t="s">
        <v>477</v>
      </c>
      <c r="K31193" s="18" t="s">
        <v>477</v>
      </c>
    </row>
    <row r="31194">
      <c r="B31194" s="17" t="s">
        <v>477</v>
      </c>
      <c r="K31194" s="18" t="s">
        <v>477</v>
      </c>
    </row>
    <row r="31195">
      <c r="B31195" s="17" t="s">
        <v>477</v>
      </c>
      <c r="K31195" s="18" t="s">
        <v>477</v>
      </c>
    </row>
    <row r="31196">
      <c r="B31196" s="17" t="s">
        <v>477</v>
      </c>
      <c r="K31196" s="18" t="s">
        <v>477</v>
      </c>
    </row>
    <row r="31197">
      <c r="B31197" s="17" t="s">
        <v>477</v>
      </c>
      <c r="K31197" s="18" t="s">
        <v>477</v>
      </c>
    </row>
    <row r="31198">
      <c r="B31198" s="17" t="s">
        <v>477</v>
      </c>
      <c r="K31198" s="18" t="s">
        <v>477</v>
      </c>
    </row>
    <row r="31199">
      <c r="B31199" s="17" t="s">
        <v>477</v>
      </c>
      <c r="K31199" s="18" t="s">
        <v>477</v>
      </c>
    </row>
    <row r="31200">
      <c r="B31200" s="17" t="s">
        <v>477</v>
      </c>
      <c r="K31200" s="18" t="s">
        <v>477</v>
      </c>
    </row>
    <row r="31201">
      <c r="B31201" s="17" t="s">
        <v>477</v>
      </c>
      <c r="K31201" s="18" t="s">
        <v>477</v>
      </c>
    </row>
    <row r="31202">
      <c r="B31202" s="17" t="s">
        <v>477</v>
      </c>
      <c r="K31202" s="18" t="s">
        <v>477</v>
      </c>
    </row>
    <row r="31203">
      <c r="B31203" s="17" t="s">
        <v>477</v>
      </c>
      <c r="K31203" s="18" t="s">
        <v>477</v>
      </c>
    </row>
    <row r="31204">
      <c r="B31204" s="17" t="s">
        <v>477</v>
      </c>
      <c r="K31204" s="18" t="s">
        <v>477</v>
      </c>
    </row>
    <row r="31205">
      <c r="B31205" s="17" t="s">
        <v>477</v>
      </c>
      <c r="K31205" s="18" t="s">
        <v>477</v>
      </c>
    </row>
    <row r="31206">
      <c r="B31206" s="17" t="s">
        <v>477</v>
      </c>
      <c r="K31206" s="18" t="s">
        <v>477</v>
      </c>
    </row>
    <row r="31207">
      <c r="B31207" s="17" t="s">
        <v>477</v>
      </c>
      <c r="K31207" s="18" t="s">
        <v>477</v>
      </c>
    </row>
    <row r="31208">
      <c r="B31208" s="17" t="s">
        <v>477</v>
      </c>
      <c r="K31208" s="18" t="s">
        <v>477</v>
      </c>
    </row>
    <row r="31209">
      <c r="B31209" s="17" t="s">
        <v>477</v>
      </c>
      <c r="K31209" s="18" t="s">
        <v>477</v>
      </c>
    </row>
    <row r="31210">
      <c r="B31210" s="17" t="s">
        <v>477</v>
      </c>
      <c r="K31210" s="18" t="s">
        <v>477</v>
      </c>
    </row>
    <row r="31211">
      <c r="B31211" s="17" t="s">
        <v>477</v>
      </c>
      <c r="K31211" s="18" t="s">
        <v>477</v>
      </c>
    </row>
    <row r="31212">
      <c r="B31212" s="17" t="s">
        <v>477</v>
      </c>
      <c r="K31212" s="18" t="s">
        <v>477</v>
      </c>
    </row>
    <row r="31213">
      <c r="B31213" s="17" t="s">
        <v>477</v>
      </c>
      <c r="K31213" s="18" t="s">
        <v>477</v>
      </c>
    </row>
    <row r="31214">
      <c r="B31214" s="17" t="s">
        <v>477</v>
      </c>
      <c r="K31214" s="18" t="s">
        <v>477</v>
      </c>
    </row>
    <row r="31215">
      <c r="B31215" s="17" t="s">
        <v>477</v>
      </c>
      <c r="K31215" s="18" t="s">
        <v>477</v>
      </c>
    </row>
    <row r="31216">
      <c r="B31216" s="17" t="s">
        <v>477</v>
      </c>
      <c r="K31216" s="18" t="s">
        <v>477</v>
      </c>
    </row>
    <row r="31217">
      <c r="B31217" s="17" t="s">
        <v>477</v>
      </c>
      <c r="K31217" s="18" t="s">
        <v>477</v>
      </c>
    </row>
    <row r="31218">
      <c r="B31218" s="17" t="s">
        <v>477</v>
      </c>
      <c r="K31218" s="18" t="s">
        <v>477</v>
      </c>
    </row>
    <row r="31219">
      <c r="B31219" s="17" t="s">
        <v>477</v>
      </c>
      <c r="K31219" s="18" t="s">
        <v>477</v>
      </c>
    </row>
    <row r="31220">
      <c r="B31220" s="17" t="s">
        <v>477</v>
      </c>
      <c r="K31220" s="18" t="s">
        <v>477</v>
      </c>
    </row>
    <row r="31221">
      <c r="B31221" s="17" t="s">
        <v>477</v>
      </c>
      <c r="K31221" s="18" t="s">
        <v>477</v>
      </c>
    </row>
    <row r="31222">
      <c r="B31222" s="17" t="s">
        <v>477</v>
      </c>
      <c r="K31222" s="18" t="s">
        <v>477</v>
      </c>
    </row>
    <row r="31223">
      <c r="B31223" s="17" t="s">
        <v>477</v>
      </c>
      <c r="K31223" s="18" t="s">
        <v>477</v>
      </c>
    </row>
    <row r="31224">
      <c r="B31224" s="17" t="s">
        <v>477</v>
      </c>
      <c r="K31224" s="18" t="s">
        <v>477</v>
      </c>
    </row>
    <row r="31225">
      <c r="B31225" s="17" t="s">
        <v>477</v>
      </c>
      <c r="K31225" s="18" t="s">
        <v>477</v>
      </c>
    </row>
    <row r="31226">
      <c r="B31226" s="17" t="s">
        <v>477</v>
      </c>
      <c r="K31226" s="18" t="s">
        <v>477</v>
      </c>
    </row>
    <row r="31227">
      <c r="B31227" s="17" t="s">
        <v>477</v>
      </c>
      <c r="K31227" s="18" t="s">
        <v>477</v>
      </c>
    </row>
    <row r="31228">
      <c r="B31228" s="17" t="s">
        <v>477</v>
      </c>
      <c r="K31228" s="18" t="s">
        <v>477</v>
      </c>
    </row>
    <row r="31229">
      <c r="B31229" s="17" t="s">
        <v>477</v>
      </c>
      <c r="K31229" s="18" t="s">
        <v>477</v>
      </c>
    </row>
    <row r="31230">
      <c r="B31230" s="17" t="s">
        <v>477</v>
      </c>
      <c r="K31230" s="18" t="s">
        <v>477</v>
      </c>
    </row>
    <row r="31231">
      <c r="B31231" s="17" t="s">
        <v>477</v>
      </c>
      <c r="K31231" s="18" t="s">
        <v>477</v>
      </c>
    </row>
    <row r="31232">
      <c r="B31232" s="17" t="s">
        <v>477</v>
      </c>
      <c r="K31232" s="18" t="s">
        <v>477</v>
      </c>
    </row>
    <row r="31233">
      <c r="B31233" s="17" t="s">
        <v>477</v>
      </c>
      <c r="K31233" s="18" t="s">
        <v>477</v>
      </c>
    </row>
    <row r="31234">
      <c r="B31234" s="17" t="s">
        <v>477</v>
      </c>
      <c r="K31234" s="18" t="s">
        <v>477</v>
      </c>
    </row>
    <row r="31235">
      <c r="B31235" s="17" t="s">
        <v>477</v>
      </c>
      <c r="K31235" s="18" t="s">
        <v>477</v>
      </c>
    </row>
    <row r="31236">
      <c r="B31236" s="17" t="s">
        <v>477</v>
      </c>
      <c r="K31236" s="18" t="s">
        <v>477</v>
      </c>
    </row>
    <row r="31237">
      <c r="B31237" s="17" t="s">
        <v>477</v>
      </c>
      <c r="K31237" s="18" t="s">
        <v>477</v>
      </c>
    </row>
    <row r="31238">
      <c r="B31238" s="17" t="s">
        <v>477</v>
      </c>
      <c r="K31238" s="18" t="s">
        <v>477</v>
      </c>
    </row>
    <row r="31239">
      <c r="B31239" s="17" t="s">
        <v>477</v>
      </c>
      <c r="K31239" s="18" t="s">
        <v>477</v>
      </c>
    </row>
    <row r="31240">
      <c r="B31240" s="17" t="s">
        <v>477</v>
      </c>
      <c r="K31240" s="18" t="s">
        <v>477</v>
      </c>
    </row>
    <row r="31241">
      <c r="B31241" s="17" t="s">
        <v>477</v>
      </c>
      <c r="K31241" s="18" t="s">
        <v>477</v>
      </c>
    </row>
    <row r="31242">
      <c r="B31242" s="17" t="s">
        <v>477</v>
      </c>
      <c r="K31242" s="18" t="s">
        <v>477</v>
      </c>
    </row>
    <row r="31243">
      <c r="B31243" s="17" t="s">
        <v>477</v>
      </c>
      <c r="K31243" s="18" t="s">
        <v>477</v>
      </c>
    </row>
    <row r="31244">
      <c r="B31244" s="17" t="s">
        <v>477</v>
      </c>
      <c r="K31244" s="18" t="s">
        <v>477</v>
      </c>
    </row>
    <row r="31245">
      <c r="B31245" s="17" t="s">
        <v>477</v>
      </c>
      <c r="K31245" s="18" t="s">
        <v>477</v>
      </c>
    </row>
    <row r="31246">
      <c r="B31246" s="17" t="s">
        <v>477</v>
      </c>
      <c r="K31246" s="18" t="s">
        <v>477</v>
      </c>
    </row>
    <row r="31247">
      <c r="B31247" s="17" t="s">
        <v>477</v>
      </c>
      <c r="K31247" s="18" t="s">
        <v>477</v>
      </c>
    </row>
    <row r="31248">
      <c r="B31248" s="17" t="s">
        <v>477</v>
      </c>
      <c r="K31248" s="18" t="s">
        <v>477</v>
      </c>
    </row>
    <row r="31249">
      <c r="B31249" s="17" t="s">
        <v>477</v>
      </c>
      <c r="K31249" s="18" t="s">
        <v>477</v>
      </c>
    </row>
    <row r="31250">
      <c r="B31250" s="17" t="s">
        <v>477</v>
      </c>
      <c r="K31250" s="18" t="s">
        <v>477</v>
      </c>
    </row>
    <row r="31251">
      <c r="B31251" s="17" t="s">
        <v>477</v>
      </c>
      <c r="K31251" s="18" t="s">
        <v>477</v>
      </c>
    </row>
    <row r="31252">
      <c r="B31252" s="17" t="s">
        <v>477</v>
      </c>
      <c r="K31252" s="18" t="s">
        <v>477</v>
      </c>
    </row>
    <row r="31253">
      <c r="B31253" s="17" t="s">
        <v>477</v>
      </c>
      <c r="K31253" s="18" t="s">
        <v>477</v>
      </c>
    </row>
    <row r="31254">
      <c r="B31254" s="17" t="s">
        <v>477</v>
      </c>
      <c r="K31254" s="18" t="s">
        <v>477</v>
      </c>
    </row>
    <row r="31255">
      <c r="B31255" s="17" t="s">
        <v>477</v>
      </c>
      <c r="K31255" s="18" t="s">
        <v>477</v>
      </c>
    </row>
    <row r="31256">
      <c r="B31256" s="17" t="s">
        <v>477</v>
      </c>
      <c r="K31256" s="18" t="s">
        <v>477</v>
      </c>
    </row>
    <row r="31257">
      <c r="B31257" s="17" t="s">
        <v>477</v>
      </c>
      <c r="K31257" s="18" t="s">
        <v>477</v>
      </c>
    </row>
    <row r="31258">
      <c r="B31258" s="17" t="s">
        <v>477</v>
      </c>
      <c r="K31258" s="18" t="s">
        <v>477</v>
      </c>
    </row>
    <row r="31259">
      <c r="B31259" s="17" t="s">
        <v>477</v>
      </c>
      <c r="K31259" s="18" t="s">
        <v>477</v>
      </c>
    </row>
    <row r="31260">
      <c r="B31260" s="17" t="s">
        <v>477</v>
      </c>
      <c r="K31260" s="18" t="s">
        <v>477</v>
      </c>
    </row>
    <row r="31261">
      <c r="B31261" s="17" t="s">
        <v>477</v>
      </c>
      <c r="K31261" s="18" t="s">
        <v>477</v>
      </c>
    </row>
    <row r="31262">
      <c r="B31262" s="17" t="s">
        <v>477</v>
      </c>
      <c r="K31262" s="18" t="s">
        <v>477</v>
      </c>
    </row>
    <row r="31263">
      <c r="B31263" s="17" t="s">
        <v>477</v>
      </c>
      <c r="K31263" s="18" t="s">
        <v>477</v>
      </c>
    </row>
    <row r="31264">
      <c r="B31264" s="17" t="s">
        <v>477</v>
      </c>
      <c r="K31264" s="18" t="s">
        <v>477</v>
      </c>
    </row>
    <row r="31265">
      <c r="B31265" s="17" t="s">
        <v>477</v>
      </c>
      <c r="K31265" s="18" t="s">
        <v>477</v>
      </c>
    </row>
    <row r="31266">
      <c r="B31266" s="17" t="s">
        <v>477</v>
      </c>
      <c r="K31266" s="18" t="s">
        <v>477</v>
      </c>
    </row>
    <row r="31267">
      <c r="B31267" s="17" t="s">
        <v>477</v>
      </c>
      <c r="K31267" s="18" t="s">
        <v>477</v>
      </c>
    </row>
    <row r="31268">
      <c r="B31268" s="17" t="s">
        <v>477</v>
      </c>
      <c r="K31268" s="18" t="s">
        <v>477</v>
      </c>
    </row>
    <row r="31269">
      <c r="B31269" s="17" t="s">
        <v>477</v>
      </c>
      <c r="K31269" s="18" t="s">
        <v>477</v>
      </c>
    </row>
    <row r="31270">
      <c r="B31270" s="17" t="s">
        <v>477</v>
      </c>
      <c r="K31270" s="18" t="s">
        <v>477</v>
      </c>
    </row>
    <row r="31271">
      <c r="B31271" s="17" t="s">
        <v>477</v>
      </c>
      <c r="K31271" s="18" t="s">
        <v>477</v>
      </c>
    </row>
    <row r="31272">
      <c r="B31272" s="17" t="s">
        <v>477</v>
      </c>
      <c r="K31272" s="18" t="s">
        <v>477</v>
      </c>
    </row>
    <row r="31273">
      <c r="B31273" s="17" t="s">
        <v>477</v>
      </c>
      <c r="K31273" s="18" t="s">
        <v>477</v>
      </c>
    </row>
    <row r="31274">
      <c r="B31274" s="17" t="s">
        <v>477</v>
      </c>
      <c r="K31274" s="18" t="s">
        <v>477</v>
      </c>
    </row>
    <row r="31275">
      <c r="B31275" s="17" t="s">
        <v>477</v>
      </c>
      <c r="K31275" s="18" t="s">
        <v>477</v>
      </c>
    </row>
    <row r="31276">
      <c r="B31276" s="17" t="s">
        <v>477</v>
      </c>
      <c r="K31276" s="18" t="s">
        <v>477</v>
      </c>
    </row>
    <row r="31277">
      <c r="B31277" s="17" t="s">
        <v>477</v>
      </c>
      <c r="K31277" s="18" t="s">
        <v>477</v>
      </c>
    </row>
    <row r="31278">
      <c r="B31278" s="17" t="s">
        <v>477</v>
      </c>
      <c r="K31278" s="18" t="s">
        <v>477</v>
      </c>
    </row>
    <row r="31279">
      <c r="B31279" s="17" t="s">
        <v>477</v>
      </c>
      <c r="K31279" s="18" t="s">
        <v>477</v>
      </c>
    </row>
    <row r="31280">
      <c r="B31280" s="17" t="s">
        <v>477</v>
      </c>
      <c r="K31280" s="18" t="s">
        <v>477</v>
      </c>
    </row>
    <row r="31281">
      <c r="B31281" s="17" t="s">
        <v>477</v>
      </c>
      <c r="K31281" s="18" t="s">
        <v>477</v>
      </c>
    </row>
    <row r="31282">
      <c r="B31282" s="17" t="s">
        <v>477</v>
      </c>
      <c r="K31282" s="18" t="s">
        <v>477</v>
      </c>
    </row>
    <row r="31283">
      <c r="B31283" s="17" t="s">
        <v>477</v>
      </c>
      <c r="K31283" s="18" t="s">
        <v>477</v>
      </c>
    </row>
    <row r="31284">
      <c r="B31284" s="17" t="s">
        <v>477</v>
      </c>
      <c r="K31284" s="18" t="s">
        <v>477</v>
      </c>
    </row>
    <row r="31285">
      <c r="B31285" s="17" t="s">
        <v>477</v>
      </c>
      <c r="K31285" s="18" t="s">
        <v>477</v>
      </c>
    </row>
    <row r="31286">
      <c r="B31286" s="17" t="s">
        <v>477</v>
      </c>
      <c r="K31286" s="18" t="s">
        <v>477</v>
      </c>
    </row>
    <row r="31287">
      <c r="B31287" s="17" t="s">
        <v>477</v>
      </c>
      <c r="K31287" s="18" t="s">
        <v>477</v>
      </c>
    </row>
    <row r="31288">
      <c r="B31288" s="17" t="s">
        <v>477</v>
      </c>
      <c r="K31288" s="18" t="s">
        <v>477</v>
      </c>
    </row>
    <row r="31289">
      <c r="B31289" s="17" t="s">
        <v>477</v>
      </c>
      <c r="K31289" s="18" t="s">
        <v>477</v>
      </c>
    </row>
    <row r="31290">
      <c r="B31290" s="17" t="s">
        <v>477</v>
      </c>
      <c r="K31290" s="18" t="s">
        <v>477</v>
      </c>
    </row>
    <row r="31291">
      <c r="B31291" s="17" t="s">
        <v>477</v>
      </c>
      <c r="K31291" s="18" t="s">
        <v>477</v>
      </c>
    </row>
    <row r="31292">
      <c r="B31292" s="17" t="s">
        <v>477</v>
      </c>
      <c r="K31292" s="18" t="s">
        <v>477</v>
      </c>
    </row>
    <row r="31293">
      <c r="B31293" s="17" t="s">
        <v>477</v>
      </c>
      <c r="K31293" s="18" t="s">
        <v>477</v>
      </c>
    </row>
    <row r="31294">
      <c r="B31294" s="17" t="s">
        <v>477</v>
      </c>
      <c r="K31294" s="18" t="s">
        <v>477</v>
      </c>
    </row>
    <row r="31295">
      <c r="B31295" s="17" t="s">
        <v>477</v>
      </c>
      <c r="K31295" s="18" t="s">
        <v>477</v>
      </c>
    </row>
    <row r="31296">
      <c r="B31296" s="17" t="s">
        <v>477</v>
      </c>
      <c r="K31296" s="18" t="s">
        <v>477</v>
      </c>
    </row>
    <row r="31297">
      <c r="B31297" s="17" t="s">
        <v>477</v>
      </c>
      <c r="K31297" s="18" t="s">
        <v>477</v>
      </c>
    </row>
    <row r="31298">
      <c r="B31298" s="17" t="s">
        <v>477</v>
      </c>
      <c r="K31298" s="18" t="s">
        <v>477</v>
      </c>
    </row>
    <row r="31299">
      <c r="B31299" s="17" t="s">
        <v>477</v>
      </c>
      <c r="K31299" s="18" t="s">
        <v>477</v>
      </c>
    </row>
    <row r="31300">
      <c r="B31300" s="17" t="s">
        <v>477</v>
      </c>
      <c r="K31300" s="18" t="s">
        <v>477</v>
      </c>
    </row>
    <row r="31301">
      <c r="B31301" s="17" t="s">
        <v>477</v>
      </c>
      <c r="K31301" s="18" t="s">
        <v>477</v>
      </c>
    </row>
    <row r="31302">
      <c r="B31302" s="17" t="s">
        <v>477</v>
      </c>
      <c r="K31302" s="18" t="s">
        <v>477</v>
      </c>
    </row>
    <row r="31303">
      <c r="B31303" s="17" t="s">
        <v>477</v>
      </c>
      <c r="K31303" s="18" t="s">
        <v>477</v>
      </c>
    </row>
    <row r="31304">
      <c r="B31304" s="17" t="s">
        <v>477</v>
      </c>
      <c r="K31304" s="18" t="s">
        <v>477</v>
      </c>
    </row>
    <row r="31305">
      <c r="B31305" s="17" t="s">
        <v>477</v>
      </c>
      <c r="K31305" s="18" t="s">
        <v>477</v>
      </c>
    </row>
    <row r="31306">
      <c r="B31306" s="17" t="s">
        <v>477</v>
      </c>
      <c r="K31306" s="18" t="s">
        <v>477</v>
      </c>
    </row>
    <row r="31307">
      <c r="B31307" s="17" t="s">
        <v>477</v>
      </c>
      <c r="K31307" s="18" t="s">
        <v>477</v>
      </c>
    </row>
    <row r="31308">
      <c r="B31308" s="17" t="s">
        <v>477</v>
      </c>
      <c r="K31308" s="18" t="s">
        <v>477</v>
      </c>
    </row>
    <row r="31309">
      <c r="B31309" s="17" t="s">
        <v>477</v>
      </c>
      <c r="K31309" s="18" t="s">
        <v>477</v>
      </c>
    </row>
    <row r="31310">
      <c r="B31310" s="17" t="s">
        <v>477</v>
      </c>
      <c r="K31310" s="18" t="s">
        <v>477</v>
      </c>
    </row>
    <row r="31311">
      <c r="B31311" s="17" t="s">
        <v>477</v>
      </c>
      <c r="K31311" s="18" t="s">
        <v>477</v>
      </c>
    </row>
    <row r="31312">
      <c r="B31312" s="17" t="s">
        <v>477</v>
      </c>
      <c r="K31312" s="18" t="s">
        <v>477</v>
      </c>
    </row>
    <row r="31313">
      <c r="B31313" s="17" t="s">
        <v>477</v>
      </c>
      <c r="K31313" s="18" t="s">
        <v>477</v>
      </c>
    </row>
    <row r="31314">
      <c r="B31314" s="17" t="s">
        <v>477</v>
      </c>
      <c r="K31314" s="18" t="s">
        <v>477</v>
      </c>
    </row>
    <row r="31315">
      <c r="B31315" s="17" t="s">
        <v>477</v>
      </c>
      <c r="K31315" s="18" t="s">
        <v>477</v>
      </c>
    </row>
    <row r="31316">
      <c r="B31316" s="17" t="s">
        <v>477</v>
      </c>
      <c r="K31316" s="18" t="s">
        <v>477</v>
      </c>
    </row>
    <row r="31317">
      <c r="B31317" s="17" t="s">
        <v>477</v>
      </c>
      <c r="K31317" s="18" t="s">
        <v>477</v>
      </c>
    </row>
    <row r="31318">
      <c r="B31318" s="17" t="s">
        <v>477</v>
      </c>
      <c r="K31318" s="18" t="s">
        <v>477</v>
      </c>
    </row>
    <row r="31319">
      <c r="B31319" s="17" t="s">
        <v>477</v>
      </c>
      <c r="K31319" s="18" t="s">
        <v>477</v>
      </c>
    </row>
    <row r="31320">
      <c r="B31320" s="17" t="s">
        <v>477</v>
      </c>
      <c r="K31320" s="18" t="s">
        <v>477</v>
      </c>
    </row>
    <row r="31321">
      <c r="B31321" s="17" t="s">
        <v>477</v>
      </c>
      <c r="K31321" s="18" t="s">
        <v>477</v>
      </c>
    </row>
    <row r="31322">
      <c r="B31322" s="17" t="s">
        <v>477</v>
      </c>
      <c r="K31322" s="18" t="s">
        <v>477</v>
      </c>
    </row>
    <row r="31323">
      <c r="B31323" s="17" t="s">
        <v>477</v>
      </c>
      <c r="K31323" s="18" t="s">
        <v>477</v>
      </c>
    </row>
    <row r="31324">
      <c r="B31324" s="17" t="s">
        <v>477</v>
      </c>
      <c r="K31324" s="18" t="s">
        <v>477</v>
      </c>
    </row>
    <row r="31325">
      <c r="B31325" s="17" t="s">
        <v>477</v>
      </c>
      <c r="K31325" s="18" t="s">
        <v>477</v>
      </c>
    </row>
    <row r="31326">
      <c r="B31326" s="17" t="s">
        <v>477</v>
      </c>
      <c r="K31326" s="18" t="s">
        <v>477</v>
      </c>
    </row>
    <row r="31327">
      <c r="B31327" s="17" t="s">
        <v>477</v>
      </c>
      <c r="K31327" s="18" t="s">
        <v>477</v>
      </c>
    </row>
    <row r="31328">
      <c r="B31328" s="17" t="s">
        <v>477</v>
      </c>
      <c r="K31328" s="18" t="s">
        <v>477</v>
      </c>
    </row>
    <row r="31329">
      <c r="B31329" s="17" t="s">
        <v>477</v>
      </c>
      <c r="K31329" s="18" t="s">
        <v>477</v>
      </c>
    </row>
    <row r="31330">
      <c r="B31330" s="17" t="s">
        <v>477</v>
      </c>
      <c r="K31330" s="18" t="s">
        <v>477</v>
      </c>
    </row>
    <row r="31331">
      <c r="B31331" s="17" t="s">
        <v>477</v>
      </c>
      <c r="K31331" s="18" t="s">
        <v>477</v>
      </c>
    </row>
    <row r="31332">
      <c r="B31332" s="17" t="s">
        <v>477</v>
      </c>
      <c r="K31332" s="18" t="s">
        <v>477</v>
      </c>
    </row>
    <row r="31333">
      <c r="B31333" s="17" t="s">
        <v>477</v>
      </c>
      <c r="K31333" s="18" t="s">
        <v>477</v>
      </c>
    </row>
    <row r="31334">
      <c r="B31334" s="17" t="s">
        <v>477</v>
      </c>
      <c r="K31334" s="18" t="s">
        <v>477</v>
      </c>
    </row>
    <row r="31335">
      <c r="B31335" s="17" t="s">
        <v>477</v>
      </c>
      <c r="K31335" s="18" t="s">
        <v>477</v>
      </c>
    </row>
    <row r="31336">
      <c r="B31336" s="17" t="s">
        <v>477</v>
      </c>
      <c r="K31336" s="18" t="s">
        <v>477</v>
      </c>
    </row>
    <row r="31337">
      <c r="B31337" s="17" t="s">
        <v>477</v>
      </c>
      <c r="K31337" s="18" t="s">
        <v>477</v>
      </c>
    </row>
    <row r="31338">
      <c r="B31338" s="17" t="s">
        <v>477</v>
      </c>
      <c r="K31338" s="18" t="s">
        <v>477</v>
      </c>
    </row>
    <row r="31339">
      <c r="B31339" s="17" t="s">
        <v>477</v>
      </c>
      <c r="K31339" s="18" t="s">
        <v>477</v>
      </c>
    </row>
    <row r="31340">
      <c r="B31340" s="17" t="s">
        <v>477</v>
      </c>
      <c r="K31340" s="18" t="s">
        <v>477</v>
      </c>
    </row>
    <row r="31341">
      <c r="B31341" s="17" t="s">
        <v>477</v>
      </c>
      <c r="K31341" s="18" t="s">
        <v>477</v>
      </c>
    </row>
    <row r="31342">
      <c r="B31342" s="17" t="s">
        <v>477</v>
      </c>
      <c r="K31342" s="18" t="s">
        <v>477</v>
      </c>
    </row>
    <row r="31343">
      <c r="B31343" s="17" t="s">
        <v>477</v>
      </c>
      <c r="K31343" s="18" t="s">
        <v>477</v>
      </c>
    </row>
    <row r="31344">
      <c r="B31344" s="17" t="s">
        <v>477</v>
      </c>
      <c r="K31344" s="18" t="s">
        <v>477</v>
      </c>
    </row>
    <row r="31345">
      <c r="B31345" s="17" t="s">
        <v>477</v>
      </c>
      <c r="K31345" s="18" t="s">
        <v>477</v>
      </c>
    </row>
    <row r="31346">
      <c r="B31346" s="17" t="s">
        <v>477</v>
      </c>
      <c r="K31346" s="18" t="s">
        <v>477</v>
      </c>
    </row>
    <row r="31347">
      <c r="B31347" s="17" t="s">
        <v>477</v>
      </c>
      <c r="K31347" s="18" t="s">
        <v>477</v>
      </c>
    </row>
    <row r="31348">
      <c r="B31348" s="17" t="s">
        <v>477</v>
      </c>
      <c r="K31348" s="18" t="s">
        <v>477</v>
      </c>
    </row>
    <row r="31349">
      <c r="B31349" s="17" t="s">
        <v>477</v>
      </c>
      <c r="K31349" s="18" t="s">
        <v>477</v>
      </c>
    </row>
    <row r="31350">
      <c r="B31350" s="17" t="s">
        <v>477</v>
      </c>
      <c r="K31350" s="18" t="s">
        <v>477</v>
      </c>
    </row>
    <row r="31351">
      <c r="B31351" s="17" t="s">
        <v>477</v>
      </c>
      <c r="K31351" s="18" t="s">
        <v>477</v>
      </c>
    </row>
    <row r="31352">
      <c r="B31352" s="17" t="s">
        <v>477</v>
      </c>
      <c r="K31352" s="18" t="s">
        <v>477</v>
      </c>
    </row>
    <row r="31353">
      <c r="B31353" s="17" t="s">
        <v>477</v>
      </c>
      <c r="K31353" s="18" t="s">
        <v>477</v>
      </c>
    </row>
    <row r="31354">
      <c r="B31354" s="17" t="s">
        <v>477</v>
      </c>
      <c r="K31354" s="18" t="s">
        <v>477</v>
      </c>
    </row>
    <row r="31355">
      <c r="B31355" s="17" t="s">
        <v>477</v>
      </c>
      <c r="K31355" s="18" t="s">
        <v>477</v>
      </c>
    </row>
    <row r="31356">
      <c r="B31356" s="17" t="s">
        <v>477</v>
      </c>
      <c r="K31356" s="18" t="s">
        <v>477</v>
      </c>
    </row>
    <row r="31357">
      <c r="B31357" s="17" t="s">
        <v>477</v>
      </c>
      <c r="K31357" s="18" t="s">
        <v>477</v>
      </c>
    </row>
    <row r="31358">
      <c r="B31358" s="17" t="s">
        <v>477</v>
      </c>
      <c r="K31358" s="18" t="s">
        <v>477</v>
      </c>
    </row>
    <row r="31359">
      <c r="B31359" s="17" t="s">
        <v>477</v>
      </c>
      <c r="K31359" s="18" t="s">
        <v>477</v>
      </c>
    </row>
    <row r="31360">
      <c r="B31360" s="17" t="s">
        <v>477</v>
      </c>
      <c r="K31360" s="18" t="s">
        <v>477</v>
      </c>
    </row>
    <row r="31361">
      <c r="B31361" s="17" t="s">
        <v>477</v>
      </c>
      <c r="K31361" s="18" t="s">
        <v>477</v>
      </c>
    </row>
    <row r="31362">
      <c r="B31362" s="17" t="s">
        <v>477</v>
      </c>
      <c r="K31362" s="18" t="s">
        <v>477</v>
      </c>
    </row>
    <row r="31363">
      <c r="B31363" s="17" t="s">
        <v>477</v>
      </c>
      <c r="K31363" s="18" t="s">
        <v>477</v>
      </c>
    </row>
    <row r="31364">
      <c r="B31364" s="17" t="s">
        <v>477</v>
      </c>
      <c r="K31364" s="18" t="s">
        <v>477</v>
      </c>
    </row>
    <row r="31365">
      <c r="B31365" s="17" t="s">
        <v>477</v>
      </c>
      <c r="K31365" s="18" t="s">
        <v>477</v>
      </c>
    </row>
    <row r="31366">
      <c r="B31366" s="17" t="s">
        <v>477</v>
      </c>
      <c r="K31366" s="18" t="s">
        <v>477</v>
      </c>
    </row>
    <row r="31367">
      <c r="B31367" s="17" t="s">
        <v>477</v>
      </c>
      <c r="K31367" s="18" t="s">
        <v>477</v>
      </c>
    </row>
    <row r="31368">
      <c r="B31368" s="17" t="s">
        <v>477</v>
      </c>
      <c r="K31368" s="18" t="s">
        <v>477</v>
      </c>
    </row>
    <row r="31369">
      <c r="B31369" s="17" t="s">
        <v>477</v>
      </c>
      <c r="K31369" s="18" t="s">
        <v>477</v>
      </c>
    </row>
    <row r="31370">
      <c r="B31370" s="17" t="s">
        <v>477</v>
      </c>
      <c r="K31370" s="18" t="s">
        <v>477</v>
      </c>
    </row>
    <row r="31371">
      <c r="B31371" s="17" t="s">
        <v>477</v>
      </c>
      <c r="K31371" s="18" t="s">
        <v>477</v>
      </c>
    </row>
    <row r="31372">
      <c r="B31372" s="17" t="s">
        <v>477</v>
      </c>
      <c r="K31372" s="18" t="s">
        <v>477</v>
      </c>
    </row>
    <row r="31373">
      <c r="B31373" s="17" t="s">
        <v>477</v>
      </c>
      <c r="K31373" s="18" t="s">
        <v>477</v>
      </c>
    </row>
    <row r="31374">
      <c r="B31374" s="17" t="s">
        <v>477</v>
      </c>
      <c r="K31374" s="18" t="s">
        <v>477</v>
      </c>
    </row>
    <row r="31375">
      <c r="B31375" s="17" t="s">
        <v>477</v>
      </c>
      <c r="K31375" s="18" t="s">
        <v>477</v>
      </c>
    </row>
    <row r="31376">
      <c r="B31376" s="17" t="s">
        <v>477</v>
      </c>
      <c r="K31376" s="18" t="s">
        <v>477</v>
      </c>
    </row>
    <row r="31377">
      <c r="B31377" s="17" t="s">
        <v>477</v>
      </c>
      <c r="K31377" s="18" t="s">
        <v>477</v>
      </c>
    </row>
    <row r="31378">
      <c r="B31378" s="17" t="s">
        <v>477</v>
      </c>
      <c r="K31378" s="18" t="s">
        <v>477</v>
      </c>
    </row>
    <row r="31379">
      <c r="B31379" s="17" t="s">
        <v>477</v>
      </c>
      <c r="K31379" s="18" t="s">
        <v>477</v>
      </c>
    </row>
    <row r="31380">
      <c r="B31380" s="17" t="s">
        <v>477</v>
      </c>
      <c r="K31380" s="18" t="s">
        <v>477</v>
      </c>
    </row>
    <row r="31381">
      <c r="B31381" s="17" t="s">
        <v>477</v>
      </c>
      <c r="K31381" s="18" t="s">
        <v>477</v>
      </c>
    </row>
    <row r="31382">
      <c r="B31382" s="17" t="s">
        <v>477</v>
      </c>
      <c r="K31382" s="18" t="s">
        <v>477</v>
      </c>
    </row>
    <row r="31383">
      <c r="B31383" s="17" t="s">
        <v>477</v>
      </c>
      <c r="K31383" s="18" t="s">
        <v>477</v>
      </c>
    </row>
    <row r="31384">
      <c r="B31384" s="17" t="s">
        <v>477</v>
      </c>
      <c r="K31384" s="18" t="s">
        <v>477</v>
      </c>
    </row>
    <row r="31385">
      <c r="B31385" s="17" t="s">
        <v>477</v>
      </c>
      <c r="K31385" s="18" t="s">
        <v>477</v>
      </c>
    </row>
    <row r="31386">
      <c r="B31386" s="17" t="s">
        <v>477</v>
      </c>
      <c r="K31386" s="18" t="s">
        <v>477</v>
      </c>
    </row>
    <row r="31387">
      <c r="B31387" s="17" t="s">
        <v>477</v>
      </c>
      <c r="K31387" s="18" t="s">
        <v>477</v>
      </c>
    </row>
    <row r="31388">
      <c r="B31388" s="17" t="s">
        <v>477</v>
      </c>
      <c r="K31388" s="18" t="s">
        <v>477</v>
      </c>
    </row>
    <row r="31389">
      <c r="B31389" s="17" t="s">
        <v>477</v>
      </c>
      <c r="K31389" s="18" t="s">
        <v>477</v>
      </c>
    </row>
    <row r="31390">
      <c r="B31390" s="17" t="s">
        <v>477</v>
      </c>
      <c r="K31390" s="18" t="s">
        <v>477</v>
      </c>
    </row>
    <row r="31391">
      <c r="B31391" s="17" t="s">
        <v>477</v>
      </c>
      <c r="K31391" s="18" t="s">
        <v>477</v>
      </c>
    </row>
    <row r="31392">
      <c r="B31392" s="17" t="s">
        <v>477</v>
      </c>
      <c r="K31392" s="18" t="s">
        <v>477</v>
      </c>
    </row>
    <row r="31393">
      <c r="B31393" s="17" t="s">
        <v>477</v>
      </c>
      <c r="K31393" s="18" t="s">
        <v>477</v>
      </c>
    </row>
    <row r="31394">
      <c r="B31394" s="17" t="s">
        <v>477</v>
      </c>
      <c r="K31394" s="18" t="s">
        <v>477</v>
      </c>
    </row>
    <row r="31395">
      <c r="B31395" s="17" t="s">
        <v>477</v>
      </c>
      <c r="K31395" s="18" t="s">
        <v>477</v>
      </c>
    </row>
    <row r="31396">
      <c r="B31396" s="17" t="s">
        <v>477</v>
      </c>
      <c r="K31396" s="18" t="s">
        <v>477</v>
      </c>
    </row>
    <row r="31397">
      <c r="B31397" s="17" t="s">
        <v>477</v>
      </c>
      <c r="K31397" s="18" t="s">
        <v>477</v>
      </c>
    </row>
    <row r="31398">
      <c r="B31398" s="17" t="s">
        <v>477</v>
      </c>
      <c r="K31398" s="18" t="s">
        <v>477</v>
      </c>
    </row>
    <row r="31399">
      <c r="B31399" s="17" t="s">
        <v>477</v>
      </c>
      <c r="K31399" s="18" t="s">
        <v>477</v>
      </c>
    </row>
    <row r="31400">
      <c r="B31400" s="17" t="s">
        <v>477</v>
      </c>
      <c r="K31400" s="18" t="s">
        <v>477</v>
      </c>
    </row>
    <row r="31401">
      <c r="B31401" s="17" t="s">
        <v>477</v>
      </c>
      <c r="K31401" s="18" t="s">
        <v>477</v>
      </c>
    </row>
    <row r="31402">
      <c r="B31402" s="17" t="s">
        <v>477</v>
      </c>
      <c r="K31402" s="18" t="s">
        <v>477</v>
      </c>
    </row>
    <row r="31403">
      <c r="B31403" s="17" t="s">
        <v>477</v>
      </c>
      <c r="K31403" s="18" t="s">
        <v>477</v>
      </c>
    </row>
    <row r="31404">
      <c r="B31404" s="17" t="s">
        <v>477</v>
      </c>
      <c r="K31404" s="18" t="s">
        <v>477</v>
      </c>
    </row>
    <row r="31405">
      <c r="B31405" s="17" t="s">
        <v>477</v>
      </c>
      <c r="K31405" s="18" t="s">
        <v>477</v>
      </c>
    </row>
    <row r="31406">
      <c r="B31406" s="17" t="s">
        <v>477</v>
      </c>
      <c r="K31406" s="18" t="s">
        <v>477</v>
      </c>
    </row>
    <row r="31407">
      <c r="B31407" s="17" t="s">
        <v>477</v>
      </c>
      <c r="K31407" s="18" t="s">
        <v>477</v>
      </c>
    </row>
    <row r="31408">
      <c r="B31408" s="17" t="s">
        <v>477</v>
      </c>
      <c r="K31408" s="18" t="s">
        <v>477</v>
      </c>
    </row>
    <row r="31409">
      <c r="B31409" s="17" t="s">
        <v>477</v>
      </c>
      <c r="K31409" s="18" t="s">
        <v>477</v>
      </c>
    </row>
    <row r="31410">
      <c r="B31410" s="17" t="s">
        <v>477</v>
      </c>
      <c r="K31410" s="18" t="s">
        <v>477</v>
      </c>
    </row>
    <row r="31411">
      <c r="B31411" s="17" t="s">
        <v>477</v>
      </c>
      <c r="K31411" s="18" t="s">
        <v>477</v>
      </c>
    </row>
    <row r="31412">
      <c r="B31412" s="17" t="s">
        <v>477</v>
      </c>
      <c r="K31412" s="18" t="s">
        <v>477</v>
      </c>
    </row>
    <row r="31413">
      <c r="B31413" s="17" t="s">
        <v>477</v>
      </c>
      <c r="K31413" s="18" t="s">
        <v>477</v>
      </c>
    </row>
    <row r="31414">
      <c r="B31414" s="17" t="s">
        <v>477</v>
      </c>
      <c r="K31414" s="18" t="s">
        <v>477</v>
      </c>
    </row>
    <row r="31415">
      <c r="B31415" s="17" t="s">
        <v>477</v>
      </c>
      <c r="K31415" s="18" t="s">
        <v>477</v>
      </c>
    </row>
    <row r="31416">
      <c r="B31416" s="17" t="s">
        <v>477</v>
      </c>
      <c r="K31416" s="18" t="s">
        <v>477</v>
      </c>
    </row>
    <row r="31417">
      <c r="B31417" s="17" t="s">
        <v>477</v>
      </c>
      <c r="K31417" s="18" t="s">
        <v>477</v>
      </c>
    </row>
    <row r="31418">
      <c r="B31418" s="17" t="s">
        <v>477</v>
      </c>
      <c r="K31418" s="18" t="s">
        <v>477</v>
      </c>
    </row>
    <row r="31419">
      <c r="B31419" s="17" t="s">
        <v>477</v>
      </c>
      <c r="K31419" s="18" t="s">
        <v>477</v>
      </c>
    </row>
    <row r="31420">
      <c r="B31420" s="17" t="s">
        <v>477</v>
      </c>
      <c r="K31420" s="18" t="s">
        <v>477</v>
      </c>
    </row>
    <row r="31421">
      <c r="B31421" s="17" t="s">
        <v>477</v>
      </c>
      <c r="K31421" s="18" t="s">
        <v>477</v>
      </c>
    </row>
    <row r="31422">
      <c r="B31422" s="17" t="s">
        <v>477</v>
      </c>
      <c r="K31422" s="18" t="s">
        <v>477</v>
      </c>
    </row>
    <row r="31423">
      <c r="B31423" s="17" t="s">
        <v>477</v>
      </c>
      <c r="K31423" s="18" t="s">
        <v>477</v>
      </c>
    </row>
    <row r="31424">
      <c r="B31424" s="17" t="s">
        <v>477</v>
      </c>
      <c r="K31424" s="18" t="s">
        <v>477</v>
      </c>
    </row>
    <row r="31425">
      <c r="B31425" s="17" t="s">
        <v>477</v>
      </c>
      <c r="K31425" s="18" t="s">
        <v>477</v>
      </c>
    </row>
    <row r="31426">
      <c r="B31426" s="17" t="s">
        <v>477</v>
      </c>
      <c r="K31426" s="18" t="s">
        <v>477</v>
      </c>
    </row>
    <row r="31427">
      <c r="B31427" s="17" t="s">
        <v>477</v>
      </c>
      <c r="K31427" s="18" t="s">
        <v>477</v>
      </c>
    </row>
    <row r="31428">
      <c r="B31428" s="17" t="s">
        <v>477</v>
      </c>
      <c r="K31428" s="18" t="s">
        <v>477</v>
      </c>
    </row>
    <row r="31429">
      <c r="B31429" s="17" t="s">
        <v>477</v>
      </c>
      <c r="K31429" s="18" t="s">
        <v>477</v>
      </c>
    </row>
    <row r="31430">
      <c r="B31430" s="17" t="s">
        <v>477</v>
      </c>
      <c r="K31430" s="18" t="s">
        <v>477</v>
      </c>
    </row>
    <row r="31431">
      <c r="B31431" s="17" t="s">
        <v>477</v>
      </c>
      <c r="K31431" s="18" t="s">
        <v>477</v>
      </c>
    </row>
    <row r="31432">
      <c r="B31432" s="17" t="s">
        <v>477</v>
      </c>
      <c r="K31432" s="18" t="s">
        <v>477</v>
      </c>
    </row>
    <row r="31433">
      <c r="B31433" s="17" t="s">
        <v>477</v>
      </c>
      <c r="K31433" s="18" t="s">
        <v>477</v>
      </c>
    </row>
    <row r="31434">
      <c r="B31434" s="17" t="s">
        <v>477</v>
      </c>
      <c r="K31434" s="18" t="s">
        <v>477</v>
      </c>
    </row>
    <row r="31435">
      <c r="B31435" s="17" t="s">
        <v>477</v>
      </c>
      <c r="K31435" s="18" t="s">
        <v>477</v>
      </c>
    </row>
    <row r="31436">
      <c r="B31436" s="17" t="s">
        <v>477</v>
      </c>
      <c r="K31436" s="18" t="s">
        <v>477</v>
      </c>
    </row>
    <row r="31437">
      <c r="B31437" s="17" t="s">
        <v>477</v>
      </c>
      <c r="K31437" s="18" t="s">
        <v>477</v>
      </c>
    </row>
    <row r="31438">
      <c r="B31438" s="17" t="s">
        <v>477</v>
      </c>
      <c r="K31438" s="18" t="s">
        <v>477</v>
      </c>
    </row>
    <row r="31439">
      <c r="B31439" s="17" t="s">
        <v>477</v>
      </c>
      <c r="K31439" s="18" t="s">
        <v>477</v>
      </c>
    </row>
    <row r="31440">
      <c r="B31440" s="17" t="s">
        <v>477</v>
      </c>
      <c r="K31440" s="18" t="s">
        <v>477</v>
      </c>
    </row>
    <row r="31441">
      <c r="B31441" s="17" t="s">
        <v>477</v>
      </c>
      <c r="K31441" s="18" t="s">
        <v>477</v>
      </c>
    </row>
    <row r="31442">
      <c r="B31442" s="17" t="s">
        <v>477</v>
      </c>
      <c r="K31442" s="18" t="s">
        <v>477</v>
      </c>
    </row>
    <row r="31443">
      <c r="B31443" s="17" t="s">
        <v>477</v>
      </c>
      <c r="K31443" s="18" t="s">
        <v>477</v>
      </c>
    </row>
    <row r="31444">
      <c r="B31444" s="17" t="s">
        <v>477</v>
      </c>
      <c r="K31444" s="18" t="s">
        <v>477</v>
      </c>
    </row>
    <row r="31445">
      <c r="B31445" s="17" t="s">
        <v>477</v>
      </c>
      <c r="K31445" s="18" t="s">
        <v>477</v>
      </c>
    </row>
    <row r="31446">
      <c r="B31446" s="17" t="s">
        <v>477</v>
      </c>
      <c r="K31446" s="18" t="s">
        <v>477</v>
      </c>
    </row>
    <row r="31447">
      <c r="B31447" s="17" t="s">
        <v>477</v>
      </c>
      <c r="K31447" s="18" t="s">
        <v>477</v>
      </c>
    </row>
    <row r="31448">
      <c r="B31448" s="17" t="s">
        <v>477</v>
      </c>
      <c r="K31448" s="18" t="s">
        <v>477</v>
      </c>
    </row>
    <row r="31449">
      <c r="B31449" s="17" t="s">
        <v>477</v>
      </c>
      <c r="K31449" s="18" t="s">
        <v>477</v>
      </c>
    </row>
    <row r="31450">
      <c r="B31450" s="17" t="s">
        <v>477</v>
      </c>
      <c r="K31450" s="18" t="s">
        <v>477</v>
      </c>
    </row>
    <row r="31451">
      <c r="B31451" s="17" t="s">
        <v>477</v>
      </c>
      <c r="K31451" s="18" t="s">
        <v>477</v>
      </c>
    </row>
    <row r="31452">
      <c r="B31452" s="17" t="s">
        <v>477</v>
      </c>
      <c r="K31452" s="18" t="s">
        <v>477</v>
      </c>
    </row>
    <row r="31453">
      <c r="B31453" s="17" t="s">
        <v>477</v>
      </c>
      <c r="K31453" s="18" t="s">
        <v>477</v>
      </c>
    </row>
    <row r="31454">
      <c r="B31454" s="17" t="s">
        <v>477</v>
      </c>
      <c r="K31454" s="18" t="s">
        <v>477</v>
      </c>
    </row>
    <row r="31455">
      <c r="B31455" s="17" t="s">
        <v>477</v>
      </c>
      <c r="K31455" s="18" t="s">
        <v>477</v>
      </c>
    </row>
    <row r="31456">
      <c r="B31456" s="17" t="s">
        <v>477</v>
      </c>
      <c r="K31456" s="18" t="s">
        <v>477</v>
      </c>
    </row>
    <row r="31457">
      <c r="B31457" s="17" t="s">
        <v>477</v>
      </c>
      <c r="K31457" s="18" t="s">
        <v>477</v>
      </c>
    </row>
    <row r="31458">
      <c r="B31458" s="17" t="s">
        <v>477</v>
      </c>
      <c r="K31458" s="18" t="s">
        <v>477</v>
      </c>
    </row>
    <row r="31459">
      <c r="B31459" s="17" t="s">
        <v>477</v>
      </c>
      <c r="K31459" s="18" t="s">
        <v>477</v>
      </c>
    </row>
    <row r="31460">
      <c r="B31460" s="17" t="s">
        <v>477</v>
      </c>
      <c r="K31460" s="18" t="s">
        <v>477</v>
      </c>
    </row>
    <row r="31461">
      <c r="B31461" s="17" t="s">
        <v>477</v>
      </c>
      <c r="K31461" s="18" t="s">
        <v>477</v>
      </c>
    </row>
    <row r="31462">
      <c r="B31462" s="17" t="s">
        <v>477</v>
      </c>
      <c r="K31462" s="18" t="s">
        <v>477</v>
      </c>
    </row>
    <row r="31463">
      <c r="B31463" s="17" t="s">
        <v>477</v>
      </c>
      <c r="K31463" s="18" t="s">
        <v>477</v>
      </c>
    </row>
    <row r="31464">
      <c r="B31464" s="17" t="s">
        <v>477</v>
      </c>
      <c r="K31464" s="18" t="s">
        <v>477</v>
      </c>
    </row>
    <row r="31465">
      <c r="B31465" s="17" t="s">
        <v>477</v>
      </c>
      <c r="K31465" s="18" t="s">
        <v>477</v>
      </c>
    </row>
    <row r="31466">
      <c r="B31466" s="17" t="s">
        <v>477</v>
      </c>
      <c r="K31466" s="18" t="s">
        <v>477</v>
      </c>
    </row>
    <row r="31467">
      <c r="B31467" s="17" t="s">
        <v>477</v>
      </c>
      <c r="K31467" s="18" t="s">
        <v>477</v>
      </c>
    </row>
    <row r="31468">
      <c r="B31468" s="17" t="s">
        <v>477</v>
      </c>
      <c r="K31468" s="18" t="s">
        <v>477</v>
      </c>
    </row>
    <row r="31469">
      <c r="B31469" s="17" t="s">
        <v>477</v>
      </c>
      <c r="K31469" s="18" t="s">
        <v>477</v>
      </c>
    </row>
    <row r="31470">
      <c r="B31470" s="17" t="s">
        <v>477</v>
      </c>
      <c r="K31470" s="18" t="s">
        <v>477</v>
      </c>
    </row>
    <row r="31471">
      <c r="B31471" s="17" t="s">
        <v>477</v>
      </c>
      <c r="K31471" s="18" t="s">
        <v>477</v>
      </c>
    </row>
    <row r="31472">
      <c r="B31472" s="17" t="s">
        <v>477</v>
      </c>
      <c r="K31472" s="18" t="s">
        <v>477</v>
      </c>
    </row>
    <row r="31473">
      <c r="B31473" s="17" t="s">
        <v>477</v>
      </c>
      <c r="K31473" s="18" t="s">
        <v>477</v>
      </c>
    </row>
    <row r="31474">
      <c r="B31474" s="17" t="s">
        <v>477</v>
      </c>
      <c r="K31474" s="18" t="s">
        <v>477</v>
      </c>
    </row>
    <row r="31475">
      <c r="B31475" s="17" t="s">
        <v>477</v>
      </c>
      <c r="K31475" s="18" t="s">
        <v>477</v>
      </c>
    </row>
    <row r="31476">
      <c r="B31476" s="17" t="s">
        <v>477</v>
      </c>
      <c r="K31476" s="18" t="s">
        <v>477</v>
      </c>
    </row>
    <row r="31477">
      <c r="B31477" s="17" t="s">
        <v>477</v>
      </c>
      <c r="K31477" s="18" t="s">
        <v>477</v>
      </c>
    </row>
    <row r="31478">
      <c r="B31478" s="17" t="s">
        <v>477</v>
      </c>
      <c r="K31478" s="18" t="s">
        <v>477</v>
      </c>
    </row>
    <row r="31479">
      <c r="B31479" s="17" t="s">
        <v>477</v>
      </c>
      <c r="K31479" s="18" t="s">
        <v>477</v>
      </c>
    </row>
    <row r="31480">
      <c r="B31480" s="17" t="s">
        <v>477</v>
      </c>
      <c r="K31480" s="18" t="s">
        <v>477</v>
      </c>
    </row>
    <row r="31481">
      <c r="B31481" s="17" t="s">
        <v>477</v>
      </c>
      <c r="K31481" s="18" t="s">
        <v>477</v>
      </c>
    </row>
    <row r="31482">
      <c r="B31482" s="17" t="s">
        <v>477</v>
      </c>
      <c r="K31482" s="18" t="s">
        <v>477</v>
      </c>
    </row>
    <row r="31483">
      <c r="B31483" s="17" t="s">
        <v>477</v>
      </c>
      <c r="K31483" s="18" t="s">
        <v>477</v>
      </c>
    </row>
    <row r="31484">
      <c r="B31484" s="17" t="s">
        <v>477</v>
      </c>
      <c r="K31484" s="18" t="s">
        <v>477</v>
      </c>
    </row>
    <row r="31485">
      <c r="B31485" s="17" t="s">
        <v>477</v>
      </c>
      <c r="K31485" s="18" t="s">
        <v>477</v>
      </c>
    </row>
    <row r="31486">
      <c r="B31486" s="17" t="s">
        <v>477</v>
      </c>
      <c r="K31486" s="18" t="s">
        <v>477</v>
      </c>
    </row>
    <row r="31487">
      <c r="B31487" s="17" t="s">
        <v>477</v>
      </c>
      <c r="K31487" s="18" t="s">
        <v>477</v>
      </c>
    </row>
    <row r="31488">
      <c r="B31488" s="17" t="s">
        <v>477</v>
      </c>
      <c r="K31488" s="18" t="s">
        <v>477</v>
      </c>
    </row>
    <row r="31489">
      <c r="B31489" s="17" t="s">
        <v>477</v>
      </c>
      <c r="K31489" s="18" t="s">
        <v>477</v>
      </c>
    </row>
    <row r="31490">
      <c r="B31490" s="17" t="s">
        <v>477</v>
      </c>
      <c r="K31490" s="18" t="s">
        <v>477</v>
      </c>
    </row>
    <row r="31491">
      <c r="B31491" s="17" t="s">
        <v>477</v>
      </c>
      <c r="K31491" s="18" t="s">
        <v>477</v>
      </c>
    </row>
    <row r="31492">
      <c r="B31492" s="17" t="s">
        <v>477</v>
      </c>
      <c r="K31492" s="18" t="s">
        <v>477</v>
      </c>
    </row>
    <row r="31493">
      <c r="B31493" s="17" t="s">
        <v>477</v>
      </c>
      <c r="K31493" s="18" t="s">
        <v>477</v>
      </c>
    </row>
    <row r="31494">
      <c r="B31494" s="17" t="s">
        <v>477</v>
      </c>
      <c r="K31494" s="18" t="s">
        <v>477</v>
      </c>
    </row>
    <row r="31495">
      <c r="B31495" s="17" t="s">
        <v>477</v>
      </c>
      <c r="K31495" s="18" t="s">
        <v>477</v>
      </c>
    </row>
    <row r="31496">
      <c r="B31496" s="17" t="s">
        <v>477</v>
      </c>
      <c r="K31496" s="18" t="s">
        <v>477</v>
      </c>
    </row>
    <row r="31497">
      <c r="B31497" s="17" t="s">
        <v>477</v>
      </c>
      <c r="K31497" s="18" t="s">
        <v>477</v>
      </c>
    </row>
    <row r="31498">
      <c r="B31498" s="17" t="s">
        <v>477</v>
      </c>
      <c r="K31498" s="18" t="s">
        <v>477</v>
      </c>
    </row>
    <row r="31499">
      <c r="B31499" s="17" t="s">
        <v>477</v>
      </c>
      <c r="K31499" s="18" t="s">
        <v>477</v>
      </c>
    </row>
    <row r="31500">
      <c r="B31500" s="17" t="s">
        <v>477</v>
      </c>
      <c r="K31500" s="18" t="s">
        <v>477</v>
      </c>
    </row>
    <row r="31501">
      <c r="B31501" s="17" t="s">
        <v>477</v>
      </c>
      <c r="K31501" s="18" t="s">
        <v>477</v>
      </c>
    </row>
    <row r="31502">
      <c r="B31502" s="17" t="s">
        <v>477</v>
      </c>
      <c r="K31502" s="18" t="s">
        <v>477</v>
      </c>
    </row>
    <row r="31503">
      <c r="B31503" s="17" t="s">
        <v>477</v>
      </c>
      <c r="K31503" s="18" t="s">
        <v>477</v>
      </c>
    </row>
    <row r="31504">
      <c r="B31504" s="17" t="s">
        <v>477</v>
      </c>
      <c r="K31504" s="18" t="s">
        <v>477</v>
      </c>
    </row>
    <row r="31505">
      <c r="B31505" s="17" t="s">
        <v>477</v>
      </c>
      <c r="K31505" s="18" t="s">
        <v>477</v>
      </c>
    </row>
    <row r="31506">
      <c r="B31506" s="17" t="s">
        <v>477</v>
      </c>
      <c r="K31506" s="18" t="s">
        <v>477</v>
      </c>
    </row>
    <row r="31507">
      <c r="B31507" s="17" t="s">
        <v>477</v>
      </c>
      <c r="K31507" s="18" t="s">
        <v>477</v>
      </c>
    </row>
    <row r="31508">
      <c r="B31508" s="17" t="s">
        <v>477</v>
      </c>
      <c r="K31508" s="18" t="s">
        <v>477</v>
      </c>
    </row>
    <row r="31509">
      <c r="B31509" s="17" t="s">
        <v>477</v>
      </c>
      <c r="K31509" s="18" t="s">
        <v>477</v>
      </c>
    </row>
    <row r="31510">
      <c r="B31510" s="17" t="s">
        <v>477</v>
      </c>
      <c r="K31510" s="18" t="s">
        <v>477</v>
      </c>
    </row>
    <row r="31511">
      <c r="B31511" s="17" t="s">
        <v>477</v>
      </c>
      <c r="K31511" s="18" t="s">
        <v>477</v>
      </c>
    </row>
    <row r="31512">
      <c r="B31512" s="17" t="s">
        <v>477</v>
      </c>
      <c r="K31512" s="18" t="s">
        <v>477</v>
      </c>
    </row>
    <row r="31513">
      <c r="B31513" s="17" t="s">
        <v>477</v>
      </c>
      <c r="K31513" s="18" t="s">
        <v>477</v>
      </c>
    </row>
    <row r="31514">
      <c r="B31514" s="17" t="s">
        <v>477</v>
      </c>
      <c r="K31514" s="18" t="s">
        <v>477</v>
      </c>
    </row>
    <row r="31515">
      <c r="B31515" s="17" t="s">
        <v>477</v>
      </c>
      <c r="K31515" s="18" t="s">
        <v>477</v>
      </c>
    </row>
    <row r="31516">
      <c r="B31516" s="17" t="s">
        <v>477</v>
      </c>
      <c r="K31516" s="18" t="s">
        <v>477</v>
      </c>
    </row>
    <row r="31517">
      <c r="B31517" s="17" t="s">
        <v>477</v>
      </c>
      <c r="K31517" s="18" t="s">
        <v>477</v>
      </c>
    </row>
    <row r="31518">
      <c r="B31518" s="17" t="s">
        <v>477</v>
      </c>
      <c r="K31518" s="18" t="s">
        <v>477</v>
      </c>
    </row>
    <row r="31519">
      <c r="B31519" s="17" t="s">
        <v>477</v>
      </c>
      <c r="K31519" s="18" t="s">
        <v>477</v>
      </c>
    </row>
    <row r="31520">
      <c r="B31520" s="17" t="s">
        <v>477</v>
      </c>
      <c r="K31520" s="18" t="s">
        <v>477</v>
      </c>
    </row>
    <row r="31521">
      <c r="B31521" s="17" t="s">
        <v>477</v>
      </c>
      <c r="K31521" s="18" t="s">
        <v>477</v>
      </c>
    </row>
    <row r="31522">
      <c r="B31522" s="17" t="s">
        <v>477</v>
      </c>
      <c r="K31522" s="18" t="s">
        <v>477</v>
      </c>
    </row>
    <row r="31523">
      <c r="B31523" s="17" t="s">
        <v>477</v>
      </c>
      <c r="K31523" s="18" t="s">
        <v>477</v>
      </c>
    </row>
    <row r="31524">
      <c r="B31524" s="17" t="s">
        <v>477</v>
      </c>
      <c r="K31524" s="18" t="s">
        <v>477</v>
      </c>
    </row>
    <row r="31525">
      <c r="B31525" s="17" t="s">
        <v>477</v>
      </c>
      <c r="K31525" s="18" t="s">
        <v>477</v>
      </c>
    </row>
    <row r="31526">
      <c r="B31526" s="17" t="s">
        <v>477</v>
      </c>
      <c r="K31526" s="18" t="s">
        <v>477</v>
      </c>
    </row>
    <row r="31527">
      <c r="B31527" s="17" t="s">
        <v>477</v>
      </c>
      <c r="K31527" s="18" t="s">
        <v>477</v>
      </c>
    </row>
    <row r="31528">
      <c r="B31528" s="17" t="s">
        <v>477</v>
      </c>
      <c r="K31528" s="18" t="s">
        <v>477</v>
      </c>
    </row>
    <row r="31529">
      <c r="B31529" s="17" t="s">
        <v>477</v>
      </c>
      <c r="K31529" s="18" t="s">
        <v>477</v>
      </c>
    </row>
    <row r="31530">
      <c r="B31530" s="17" t="s">
        <v>477</v>
      </c>
      <c r="K31530" s="18" t="s">
        <v>477</v>
      </c>
    </row>
    <row r="31531">
      <c r="B31531" s="17" t="s">
        <v>477</v>
      </c>
      <c r="K31531" s="18" t="s">
        <v>477</v>
      </c>
    </row>
    <row r="31532">
      <c r="B31532" s="17" t="s">
        <v>477</v>
      </c>
      <c r="K31532" s="18" t="s">
        <v>477</v>
      </c>
    </row>
    <row r="31533">
      <c r="B31533" s="17" t="s">
        <v>477</v>
      </c>
      <c r="K31533" s="18" t="s">
        <v>477</v>
      </c>
    </row>
    <row r="31534">
      <c r="B31534" s="17" t="s">
        <v>477</v>
      </c>
      <c r="K31534" s="18" t="s">
        <v>477</v>
      </c>
    </row>
    <row r="31535">
      <c r="B31535" s="17" t="s">
        <v>477</v>
      </c>
      <c r="K31535" s="18" t="s">
        <v>477</v>
      </c>
    </row>
    <row r="31536">
      <c r="B31536" s="17" t="s">
        <v>477</v>
      </c>
      <c r="K31536" s="18" t="s">
        <v>477</v>
      </c>
    </row>
    <row r="31537">
      <c r="B31537" s="17" t="s">
        <v>477</v>
      </c>
      <c r="K31537" s="18" t="s">
        <v>477</v>
      </c>
    </row>
    <row r="31538">
      <c r="B31538" s="17" t="s">
        <v>477</v>
      </c>
      <c r="K31538" s="18" t="s">
        <v>477</v>
      </c>
    </row>
    <row r="31539">
      <c r="B31539" s="17" t="s">
        <v>477</v>
      </c>
      <c r="K31539" s="18" t="s">
        <v>477</v>
      </c>
    </row>
    <row r="31540">
      <c r="B31540" s="17" t="s">
        <v>477</v>
      </c>
      <c r="K31540" s="18" t="s">
        <v>477</v>
      </c>
    </row>
    <row r="31541">
      <c r="B31541" s="17" t="s">
        <v>477</v>
      </c>
      <c r="K31541" s="18" t="s">
        <v>477</v>
      </c>
    </row>
    <row r="31542">
      <c r="B31542" s="17" t="s">
        <v>477</v>
      </c>
      <c r="K31542" s="18" t="s">
        <v>477</v>
      </c>
    </row>
    <row r="31543">
      <c r="B31543" s="17" t="s">
        <v>477</v>
      </c>
      <c r="K31543" s="18" t="s">
        <v>477</v>
      </c>
    </row>
    <row r="31544">
      <c r="B31544" s="17" t="s">
        <v>477</v>
      </c>
      <c r="K31544" s="18" t="s">
        <v>477</v>
      </c>
    </row>
    <row r="31545">
      <c r="B31545" s="17" t="s">
        <v>477</v>
      </c>
      <c r="K31545" s="18" t="s">
        <v>477</v>
      </c>
    </row>
    <row r="31546">
      <c r="B31546" s="17" t="s">
        <v>477</v>
      </c>
      <c r="K31546" s="18" t="s">
        <v>477</v>
      </c>
    </row>
    <row r="31547">
      <c r="B31547" s="17" t="s">
        <v>477</v>
      </c>
      <c r="K31547" s="18" t="s">
        <v>477</v>
      </c>
    </row>
    <row r="31548">
      <c r="B31548" s="17" t="s">
        <v>477</v>
      </c>
      <c r="K31548" s="18" t="s">
        <v>477</v>
      </c>
    </row>
    <row r="31549">
      <c r="B31549" s="17" t="s">
        <v>477</v>
      </c>
      <c r="K31549" s="18" t="s">
        <v>477</v>
      </c>
    </row>
    <row r="31550">
      <c r="B31550" s="17" t="s">
        <v>477</v>
      </c>
      <c r="K31550" s="18" t="s">
        <v>477</v>
      </c>
    </row>
    <row r="31551">
      <c r="B31551" s="17" t="s">
        <v>477</v>
      </c>
      <c r="K31551" s="18" t="s">
        <v>477</v>
      </c>
    </row>
    <row r="31552">
      <c r="B31552" s="17" t="s">
        <v>477</v>
      </c>
      <c r="K31552" s="18" t="s">
        <v>477</v>
      </c>
    </row>
    <row r="31553">
      <c r="B31553" s="17" t="s">
        <v>477</v>
      </c>
      <c r="K31553" s="18" t="s">
        <v>477</v>
      </c>
    </row>
    <row r="31554">
      <c r="B31554" s="17" t="s">
        <v>477</v>
      </c>
      <c r="K31554" s="18" t="s">
        <v>477</v>
      </c>
    </row>
    <row r="31555">
      <c r="B31555" s="17" t="s">
        <v>477</v>
      </c>
      <c r="K31555" s="18" t="s">
        <v>477</v>
      </c>
    </row>
    <row r="31556">
      <c r="B31556" s="17" t="s">
        <v>477</v>
      </c>
      <c r="K31556" s="18" t="s">
        <v>477</v>
      </c>
    </row>
    <row r="31557">
      <c r="B31557" s="17" t="s">
        <v>477</v>
      </c>
      <c r="K31557" s="18" t="s">
        <v>477</v>
      </c>
    </row>
    <row r="31558">
      <c r="B31558" s="17" t="s">
        <v>477</v>
      </c>
      <c r="K31558" s="18" t="s">
        <v>477</v>
      </c>
    </row>
    <row r="31559">
      <c r="B31559" s="17" t="s">
        <v>477</v>
      </c>
      <c r="K31559" s="18" t="s">
        <v>477</v>
      </c>
    </row>
    <row r="31560">
      <c r="B31560" s="17" t="s">
        <v>477</v>
      </c>
      <c r="K31560" s="18" t="s">
        <v>477</v>
      </c>
    </row>
    <row r="31561">
      <c r="B31561" s="17" t="s">
        <v>477</v>
      </c>
      <c r="K31561" s="18" t="s">
        <v>477</v>
      </c>
    </row>
    <row r="31562">
      <c r="B31562" s="17" t="s">
        <v>477</v>
      </c>
      <c r="K31562" s="18" t="s">
        <v>477</v>
      </c>
    </row>
    <row r="31563">
      <c r="B31563" s="17" t="s">
        <v>477</v>
      </c>
      <c r="K31563" s="18" t="s">
        <v>477</v>
      </c>
    </row>
    <row r="31564">
      <c r="B31564" s="17" t="s">
        <v>477</v>
      </c>
      <c r="K31564" s="18" t="s">
        <v>477</v>
      </c>
    </row>
    <row r="31565">
      <c r="B31565" s="17" t="s">
        <v>477</v>
      </c>
      <c r="K31565" s="18" t="s">
        <v>477</v>
      </c>
    </row>
    <row r="31566">
      <c r="B31566" s="17" t="s">
        <v>477</v>
      </c>
      <c r="K31566" s="18" t="s">
        <v>477</v>
      </c>
    </row>
    <row r="31567">
      <c r="B31567" s="17" t="s">
        <v>477</v>
      </c>
      <c r="K31567" s="18" t="s">
        <v>477</v>
      </c>
    </row>
    <row r="31568">
      <c r="B31568" s="17" t="s">
        <v>477</v>
      </c>
      <c r="K31568" s="18" t="s">
        <v>477</v>
      </c>
    </row>
    <row r="31569">
      <c r="B31569" s="17" t="s">
        <v>477</v>
      </c>
      <c r="K31569" s="18" t="s">
        <v>477</v>
      </c>
    </row>
    <row r="31570">
      <c r="B31570" s="17" t="s">
        <v>477</v>
      </c>
      <c r="K31570" s="18" t="s">
        <v>477</v>
      </c>
    </row>
    <row r="31571">
      <c r="B31571" s="17" t="s">
        <v>477</v>
      </c>
      <c r="K31571" s="18" t="s">
        <v>477</v>
      </c>
    </row>
    <row r="31572">
      <c r="B31572" s="17" t="s">
        <v>477</v>
      </c>
      <c r="K31572" s="18" t="s">
        <v>477</v>
      </c>
    </row>
    <row r="31573">
      <c r="B31573" s="17" t="s">
        <v>477</v>
      </c>
      <c r="K31573" s="18" t="s">
        <v>477</v>
      </c>
    </row>
    <row r="31574">
      <c r="B31574" s="17" t="s">
        <v>477</v>
      </c>
      <c r="K31574" s="18" t="s">
        <v>477</v>
      </c>
    </row>
    <row r="31575">
      <c r="B31575" s="17" t="s">
        <v>477</v>
      </c>
      <c r="K31575" s="18" t="s">
        <v>477</v>
      </c>
    </row>
    <row r="31576">
      <c r="B31576" s="17" t="s">
        <v>477</v>
      </c>
      <c r="K31576" s="18" t="s">
        <v>477</v>
      </c>
    </row>
    <row r="31577">
      <c r="B31577" s="17" t="s">
        <v>477</v>
      </c>
      <c r="K31577" s="18" t="s">
        <v>477</v>
      </c>
    </row>
    <row r="31578">
      <c r="B31578" s="17" t="s">
        <v>477</v>
      </c>
      <c r="K31578" s="18" t="s">
        <v>477</v>
      </c>
    </row>
    <row r="31579">
      <c r="B31579" s="17" t="s">
        <v>477</v>
      </c>
      <c r="K31579" s="18" t="s">
        <v>477</v>
      </c>
    </row>
    <row r="31580">
      <c r="B31580" s="17" t="s">
        <v>477</v>
      </c>
      <c r="K31580" s="18" t="s">
        <v>477</v>
      </c>
    </row>
    <row r="31581">
      <c r="B31581" s="17" t="s">
        <v>477</v>
      </c>
      <c r="K31581" s="18" t="s">
        <v>477</v>
      </c>
    </row>
    <row r="31582">
      <c r="B31582" s="17" t="s">
        <v>477</v>
      </c>
      <c r="K31582" s="18" t="s">
        <v>477</v>
      </c>
    </row>
    <row r="31583">
      <c r="B31583" s="17" t="s">
        <v>477</v>
      </c>
      <c r="K31583" s="18" t="s">
        <v>477</v>
      </c>
    </row>
    <row r="31584">
      <c r="B31584" s="17" t="s">
        <v>477</v>
      </c>
      <c r="K31584" s="18" t="s">
        <v>477</v>
      </c>
    </row>
    <row r="31585">
      <c r="B31585" s="17" t="s">
        <v>477</v>
      </c>
      <c r="K31585" s="18" t="s">
        <v>477</v>
      </c>
    </row>
    <row r="31586">
      <c r="B31586" s="17" t="s">
        <v>477</v>
      </c>
      <c r="K31586" s="18" t="s">
        <v>477</v>
      </c>
    </row>
    <row r="31587">
      <c r="B31587" s="17" t="s">
        <v>477</v>
      </c>
      <c r="K31587" s="18" t="s">
        <v>477</v>
      </c>
    </row>
    <row r="31588">
      <c r="B31588" s="17" t="s">
        <v>477</v>
      </c>
      <c r="K31588" s="18" t="s">
        <v>477</v>
      </c>
    </row>
    <row r="31589">
      <c r="B31589" s="17" t="s">
        <v>477</v>
      </c>
      <c r="K31589" s="18" t="s">
        <v>477</v>
      </c>
    </row>
    <row r="31590">
      <c r="B31590" s="17" t="s">
        <v>477</v>
      </c>
      <c r="K31590" s="18" t="s">
        <v>477</v>
      </c>
    </row>
    <row r="31591">
      <c r="B31591" s="17" t="s">
        <v>477</v>
      </c>
      <c r="K31591" s="18" t="s">
        <v>477</v>
      </c>
    </row>
    <row r="31592">
      <c r="B31592" s="17" t="s">
        <v>477</v>
      </c>
      <c r="K31592" s="18" t="s">
        <v>477</v>
      </c>
    </row>
    <row r="31593">
      <c r="B31593" s="17" t="s">
        <v>477</v>
      </c>
      <c r="K31593" s="18" t="s">
        <v>477</v>
      </c>
    </row>
    <row r="31594">
      <c r="B31594" s="17" t="s">
        <v>477</v>
      </c>
      <c r="K31594" s="18" t="s">
        <v>477</v>
      </c>
    </row>
    <row r="31595">
      <c r="B31595" s="17" t="s">
        <v>477</v>
      </c>
      <c r="K31595" s="18" t="s">
        <v>477</v>
      </c>
    </row>
    <row r="31596">
      <c r="B31596" s="17" t="s">
        <v>477</v>
      </c>
      <c r="K31596" s="18" t="s">
        <v>477</v>
      </c>
    </row>
    <row r="31597">
      <c r="B31597" s="17" t="s">
        <v>477</v>
      </c>
      <c r="K31597" s="18" t="s">
        <v>477</v>
      </c>
    </row>
    <row r="31598">
      <c r="B31598" s="17" t="s">
        <v>477</v>
      </c>
      <c r="K31598" s="18" t="s">
        <v>477</v>
      </c>
    </row>
    <row r="31599">
      <c r="B31599" s="17" t="s">
        <v>477</v>
      </c>
      <c r="K31599" s="18" t="s">
        <v>477</v>
      </c>
    </row>
    <row r="31600">
      <c r="B31600" s="17" t="s">
        <v>477</v>
      </c>
      <c r="K31600" s="18" t="s">
        <v>477</v>
      </c>
    </row>
    <row r="31601">
      <c r="B31601" s="17" t="s">
        <v>477</v>
      </c>
      <c r="K31601" s="18" t="s">
        <v>477</v>
      </c>
    </row>
    <row r="31602">
      <c r="B31602" s="17" t="s">
        <v>477</v>
      </c>
      <c r="K31602" s="18" t="s">
        <v>477</v>
      </c>
    </row>
    <row r="31603">
      <c r="B31603" s="17" t="s">
        <v>477</v>
      </c>
      <c r="K31603" s="18" t="s">
        <v>477</v>
      </c>
    </row>
    <row r="31604">
      <c r="B31604" s="17" t="s">
        <v>477</v>
      </c>
      <c r="K31604" s="18" t="s">
        <v>477</v>
      </c>
    </row>
    <row r="31605">
      <c r="B31605" s="17" t="s">
        <v>477</v>
      </c>
      <c r="K31605" s="18" t="s">
        <v>477</v>
      </c>
    </row>
    <row r="31606">
      <c r="B31606" s="17" t="s">
        <v>477</v>
      </c>
      <c r="K31606" s="18" t="s">
        <v>477</v>
      </c>
    </row>
    <row r="31607">
      <c r="B31607" s="17" t="s">
        <v>477</v>
      </c>
      <c r="K31607" s="18" t="s">
        <v>477</v>
      </c>
    </row>
    <row r="31608">
      <c r="B31608" s="17" t="s">
        <v>477</v>
      </c>
      <c r="K31608" s="18" t="s">
        <v>477</v>
      </c>
    </row>
    <row r="31609">
      <c r="B31609" s="17" t="s">
        <v>477</v>
      </c>
      <c r="K31609" s="18" t="s">
        <v>477</v>
      </c>
    </row>
    <row r="31610">
      <c r="B31610" s="17" t="s">
        <v>477</v>
      </c>
      <c r="K31610" s="18" t="s">
        <v>477</v>
      </c>
    </row>
    <row r="31611">
      <c r="B31611" s="17" t="s">
        <v>477</v>
      </c>
      <c r="K31611" s="18" t="s">
        <v>477</v>
      </c>
    </row>
    <row r="31612">
      <c r="B31612" s="17" t="s">
        <v>477</v>
      </c>
      <c r="K31612" s="18" t="s">
        <v>477</v>
      </c>
    </row>
    <row r="31613">
      <c r="B31613" s="17" t="s">
        <v>477</v>
      </c>
      <c r="K31613" s="18" t="s">
        <v>477</v>
      </c>
    </row>
    <row r="31614">
      <c r="B31614" s="17" t="s">
        <v>477</v>
      </c>
      <c r="K31614" s="18" t="s">
        <v>477</v>
      </c>
    </row>
    <row r="31615">
      <c r="B31615" s="17" t="s">
        <v>477</v>
      </c>
      <c r="K31615" s="18" t="s">
        <v>477</v>
      </c>
    </row>
    <row r="31616">
      <c r="B31616" s="17" t="s">
        <v>477</v>
      </c>
      <c r="K31616" s="18" t="s">
        <v>477</v>
      </c>
    </row>
    <row r="31617">
      <c r="B31617" s="17" t="s">
        <v>477</v>
      </c>
      <c r="K31617" s="18" t="s">
        <v>477</v>
      </c>
    </row>
    <row r="31618">
      <c r="B31618" s="17" t="s">
        <v>477</v>
      </c>
      <c r="K31618" s="18" t="s">
        <v>477</v>
      </c>
    </row>
    <row r="31619">
      <c r="B31619" s="17" t="s">
        <v>477</v>
      </c>
      <c r="K31619" s="18" t="s">
        <v>477</v>
      </c>
    </row>
    <row r="31620">
      <c r="B31620" s="17" t="s">
        <v>477</v>
      </c>
      <c r="K31620" s="18" t="s">
        <v>477</v>
      </c>
    </row>
    <row r="31621">
      <c r="B31621" s="17" t="s">
        <v>477</v>
      </c>
      <c r="K31621" s="18" t="s">
        <v>477</v>
      </c>
    </row>
    <row r="31622">
      <c r="B31622" s="17" t="s">
        <v>477</v>
      </c>
      <c r="K31622" s="18" t="s">
        <v>477</v>
      </c>
    </row>
    <row r="31623">
      <c r="B31623" s="17" t="s">
        <v>477</v>
      </c>
      <c r="K31623" s="18" t="s">
        <v>477</v>
      </c>
    </row>
    <row r="31624">
      <c r="B31624" s="17" t="s">
        <v>477</v>
      </c>
      <c r="K31624" s="18" t="s">
        <v>477</v>
      </c>
    </row>
    <row r="31625">
      <c r="B31625" s="17" t="s">
        <v>477</v>
      </c>
      <c r="K31625" s="18" t="s">
        <v>477</v>
      </c>
    </row>
    <row r="31626">
      <c r="B31626" s="17" t="s">
        <v>477</v>
      </c>
      <c r="K31626" s="18" t="s">
        <v>477</v>
      </c>
    </row>
    <row r="31627">
      <c r="B31627" s="17" t="s">
        <v>477</v>
      </c>
      <c r="K31627" s="18" t="s">
        <v>477</v>
      </c>
    </row>
    <row r="31628">
      <c r="B31628" s="17" t="s">
        <v>477</v>
      </c>
      <c r="K31628" s="18" t="s">
        <v>477</v>
      </c>
    </row>
    <row r="31629">
      <c r="B31629" s="17" t="s">
        <v>477</v>
      </c>
      <c r="K31629" s="18" t="s">
        <v>477</v>
      </c>
    </row>
    <row r="31630">
      <c r="B31630" s="17" t="s">
        <v>477</v>
      </c>
      <c r="K31630" s="18" t="s">
        <v>477</v>
      </c>
    </row>
    <row r="31631">
      <c r="B31631" s="17" t="s">
        <v>477</v>
      </c>
      <c r="K31631" s="18" t="s">
        <v>477</v>
      </c>
    </row>
    <row r="31632">
      <c r="B31632" s="17" t="s">
        <v>477</v>
      </c>
      <c r="K31632" s="18" t="s">
        <v>477</v>
      </c>
    </row>
    <row r="31633">
      <c r="B31633" s="17" t="s">
        <v>477</v>
      </c>
      <c r="K31633" s="18" t="s">
        <v>477</v>
      </c>
    </row>
    <row r="31634">
      <c r="B31634" s="17" t="s">
        <v>477</v>
      </c>
      <c r="K31634" s="18" t="s">
        <v>477</v>
      </c>
    </row>
    <row r="31635">
      <c r="B31635" s="17" t="s">
        <v>477</v>
      </c>
      <c r="K31635" s="18" t="s">
        <v>477</v>
      </c>
    </row>
    <row r="31636">
      <c r="B31636" s="17" t="s">
        <v>477</v>
      </c>
      <c r="K31636" s="18" t="s">
        <v>477</v>
      </c>
    </row>
    <row r="31637">
      <c r="B31637" s="17" t="s">
        <v>477</v>
      </c>
      <c r="K31637" s="18" t="s">
        <v>477</v>
      </c>
    </row>
    <row r="31638">
      <c r="B31638" s="17" t="s">
        <v>477</v>
      </c>
      <c r="K31638" s="18" t="s">
        <v>477</v>
      </c>
    </row>
    <row r="31639">
      <c r="B31639" s="17" t="s">
        <v>477</v>
      </c>
      <c r="K31639" s="18" t="s">
        <v>477</v>
      </c>
    </row>
    <row r="31640">
      <c r="B31640" s="17" t="s">
        <v>477</v>
      </c>
      <c r="K31640" s="18" t="s">
        <v>477</v>
      </c>
    </row>
    <row r="31641">
      <c r="B31641" s="17" t="s">
        <v>477</v>
      </c>
      <c r="K31641" s="18" t="s">
        <v>477</v>
      </c>
    </row>
    <row r="31642">
      <c r="B31642" s="17" t="s">
        <v>477</v>
      </c>
      <c r="K31642" s="18" t="s">
        <v>477</v>
      </c>
    </row>
    <row r="31643">
      <c r="B31643" s="17" t="s">
        <v>477</v>
      </c>
      <c r="K31643" s="18" t="s">
        <v>477</v>
      </c>
    </row>
    <row r="31644">
      <c r="B31644" s="17" t="s">
        <v>477</v>
      </c>
      <c r="K31644" s="18" t="s">
        <v>477</v>
      </c>
    </row>
    <row r="31645">
      <c r="B31645" s="17" t="s">
        <v>477</v>
      </c>
      <c r="K31645" s="18" t="s">
        <v>477</v>
      </c>
    </row>
    <row r="31646">
      <c r="B31646" s="17" t="s">
        <v>477</v>
      </c>
      <c r="K31646" s="18" t="s">
        <v>477</v>
      </c>
    </row>
    <row r="31647">
      <c r="B31647" s="17" t="s">
        <v>477</v>
      </c>
      <c r="K31647" s="18" t="s">
        <v>477</v>
      </c>
    </row>
    <row r="31648">
      <c r="B31648" s="17" t="s">
        <v>477</v>
      </c>
      <c r="K31648" s="18" t="s">
        <v>477</v>
      </c>
    </row>
    <row r="31649">
      <c r="B31649" s="17" t="s">
        <v>477</v>
      </c>
      <c r="K31649" s="18" t="s">
        <v>477</v>
      </c>
    </row>
    <row r="31650">
      <c r="B31650" s="17" t="s">
        <v>477</v>
      </c>
      <c r="K31650" s="18" t="s">
        <v>477</v>
      </c>
    </row>
    <row r="31651">
      <c r="B31651" s="17" t="s">
        <v>477</v>
      </c>
      <c r="K31651" s="18" t="s">
        <v>477</v>
      </c>
    </row>
    <row r="31652">
      <c r="B31652" s="17" t="s">
        <v>477</v>
      </c>
      <c r="K31652" s="18" t="s">
        <v>477</v>
      </c>
    </row>
    <row r="31653">
      <c r="B31653" s="17" t="s">
        <v>477</v>
      </c>
      <c r="K31653" s="18" t="s">
        <v>477</v>
      </c>
    </row>
    <row r="31654">
      <c r="B31654" s="17" t="s">
        <v>477</v>
      </c>
      <c r="K31654" s="18" t="s">
        <v>477</v>
      </c>
    </row>
    <row r="31655">
      <c r="B31655" s="17" t="s">
        <v>477</v>
      </c>
      <c r="K31655" s="18" t="s">
        <v>477</v>
      </c>
    </row>
    <row r="31656">
      <c r="B31656" s="17" t="s">
        <v>477</v>
      </c>
      <c r="K31656" s="18" t="s">
        <v>477</v>
      </c>
    </row>
    <row r="31657">
      <c r="B31657" s="17" t="s">
        <v>477</v>
      </c>
      <c r="K31657" s="18" t="s">
        <v>477</v>
      </c>
    </row>
    <row r="31658">
      <c r="B31658" s="17" t="s">
        <v>477</v>
      </c>
      <c r="K31658" s="18" t="s">
        <v>477</v>
      </c>
    </row>
    <row r="31659">
      <c r="B31659" s="17" t="s">
        <v>477</v>
      </c>
      <c r="K31659" s="18" t="s">
        <v>477</v>
      </c>
    </row>
    <row r="31660">
      <c r="B31660" s="17" t="s">
        <v>477</v>
      </c>
      <c r="K31660" s="18" t="s">
        <v>477</v>
      </c>
    </row>
    <row r="31661">
      <c r="B31661" s="17" t="s">
        <v>477</v>
      </c>
      <c r="K31661" s="18" t="s">
        <v>477</v>
      </c>
    </row>
    <row r="31662">
      <c r="B31662" s="17" t="s">
        <v>477</v>
      </c>
      <c r="K31662" s="18" t="s">
        <v>477</v>
      </c>
    </row>
    <row r="31663">
      <c r="B31663" s="17" t="s">
        <v>477</v>
      </c>
      <c r="K31663" s="18" t="s">
        <v>477</v>
      </c>
    </row>
    <row r="31664">
      <c r="B31664" s="17" t="s">
        <v>477</v>
      </c>
      <c r="K31664" s="18" t="s">
        <v>477</v>
      </c>
    </row>
    <row r="31665">
      <c r="B31665" s="17" t="s">
        <v>477</v>
      </c>
      <c r="K31665" s="18" t="s">
        <v>477</v>
      </c>
    </row>
    <row r="31666">
      <c r="B31666" s="17" t="s">
        <v>477</v>
      </c>
      <c r="K31666" s="18" t="s">
        <v>477</v>
      </c>
    </row>
    <row r="31667">
      <c r="B31667" s="17" t="s">
        <v>477</v>
      </c>
      <c r="K31667" s="18" t="s">
        <v>477</v>
      </c>
    </row>
    <row r="31668">
      <c r="B31668" s="17" t="s">
        <v>477</v>
      </c>
      <c r="K31668" s="18" t="s">
        <v>477</v>
      </c>
    </row>
    <row r="31669">
      <c r="B31669" s="17" t="s">
        <v>477</v>
      </c>
      <c r="K31669" s="18" t="s">
        <v>477</v>
      </c>
    </row>
    <row r="31670">
      <c r="B31670" s="17" t="s">
        <v>477</v>
      </c>
      <c r="K31670" s="18" t="s">
        <v>477</v>
      </c>
    </row>
    <row r="31671">
      <c r="B31671" s="17" t="s">
        <v>477</v>
      </c>
      <c r="K31671" s="18" t="s">
        <v>477</v>
      </c>
    </row>
    <row r="31672">
      <c r="B31672" s="17" t="s">
        <v>477</v>
      </c>
      <c r="K31672" s="18" t="s">
        <v>477</v>
      </c>
    </row>
    <row r="31673">
      <c r="B31673" s="17" t="s">
        <v>477</v>
      </c>
      <c r="K31673" s="18" t="s">
        <v>477</v>
      </c>
    </row>
    <row r="31674">
      <c r="B31674" s="17" t="s">
        <v>477</v>
      </c>
      <c r="K31674" s="18" t="s">
        <v>477</v>
      </c>
    </row>
    <row r="31675">
      <c r="B31675" s="17" t="s">
        <v>477</v>
      </c>
      <c r="K31675" s="18" t="s">
        <v>477</v>
      </c>
    </row>
    <row r="31676">
      <c r="B31676" s="17" t="s">
        <v>477</v>
      </c>
      <c r="K31676" s="18" t="s">
        <v>477</v>
      </c>
    </row>
    <row r="31677">
      <c r="B31677" s="17" t="s">
        <v>477</v>
      </c>
      <c r="K31677" s="18" t="s">
        <v>477</v>
      </c>
    </row>
    <row r="31678">
      <c r="B31678" s="17" t="s">
        <v>477</v>
      </c>
      <c r="K31678" s="18" t="s">
        <v>477</v>
      </c>
    </row>
    <row r="31679">
      <c r="B31679" s="17" t="s">
        <v>477</v>
      </c>
      <c r="K31679" s="18" t="s">
        <v>477</v>
      </c>
    </row>
    <row r="31680">
      <c r="B31680" s="17" t="s">
        <v>477</v>
      </c>
      <c r="K31680" s="18" t="s">
        <v>477</v>
      </c>
    </row>
    <row r="31681">
      <c r="B31681" s="17" t="s">
        <v>477</v>
      </c>
      <c r="K31681" s="18" t="s">
        <v>477</v>
      </c>
    </row>
    <row r="31682">
      <c r="B31682" s="17" t="s">
        <v>477</v>
      </c>
      <c r="K31682" s="18" t="s">
        <v>477</v>
      </c>
    </row>
    <row r="31683">
      <c r="B31683" s="17" t="s">
        <v>477</v>
      </c>
      <c r="K31683" s="18" t="s">
        <v>477</v>
      </c>
    </row>
    <row r="31684">
      <c r="B31684" s="17" t="s">
        <v>477</v>
      </c>
      <c r="K31684" s="18" t="s">
        <v>477</v>
      </c>
    </row>
    <row r="31685">
      <c r="B31685" s="17" t="s">
        <v>477</v>
      </c>
      <c r="K31685" s="18" t="s">
        <v>477</v>
      </c>
    </row>
    <row r="31686">
      <c r="B31686" s="17" t="s">
        <v>477</v>
      </c>
      <c r="K31686" s="18" t="s">
        <v>477</v>
      </c>
    </row>
    <row r="31687">
      <c r="B31687" s="17" t="s">
        <v>477</v>
      </c>
      <c r="K31687" s="18" t="s">
        <v>477</v>
      </c>
    </row>
    <row r="31688">
      <c r="B31688" s="17" t="s">
        <v>477</v>
      </c>
      <c r="K31688" s="18" t="s">
        <v>477</v>
      </c>
    </row>
    <row r="31689">
      <c r="B31689" s="17" t="s">
        <v>477</v>
      </c>
      <c r="K31689" s="18" t="s">
        <v>477</v>
      </c>
    </row>
    <row r="31690">
      <c r="B31690" s="17" t="s">
        <v>477</v>
      </c>
      <c r="K31690" s="18" t="s">
        <v>477</v>
      </c>
    </row>
    <row r="31691">
      <c r="B31691" s="17" t="s">
        <v>477</v>
      </c>
      <c r="K31691" s="18" t="s">
        <v>477</v>
      </c>
    </row>
    <row r="31692">
      <c r="B31692" s="17" t="s">
        <v>477</v>
      </c>
      <c r="K31692" s="18" t="s">
        <v>477</v>
      </c>
    </row>
    <row r="31693">
      <c r="B31693" s="17" t="s">
        <v>477</v>
      </c>
      <c r="K31693" s="18" t="s">
        <v>477</v>
      </c>
    </row>
    <row r="31694">
      <c r="B31694" s="17" t="s">
        <v>477</v>
      </c>
      <c r="K31694" s="18" t="s">
        <v>477</v>
      </c>
    </row>
    <row r="31695">
      <c r="B31695" s="17" t="s">
        <v>477</v>
      </c>
      <c r="K31695" s="18" t="s">
        <v>477</v>
      </c>
    </row>
    <row r="31696">
      <c r="B31696" s="17" t="s">
        <v>477</v>
      </c>
      <c r="K31696" s="18" t="s">
        <v>477</v>
      </c>
    </row>
    <row r="31697">
      <c r="B31697" s="17" t="s">
        <v>477</v>
      </c>
      <c r="K31697" s="18" t="s">
        <v>477</v>
      </c>
    </row>
    <row r="31698">
      <c r="B31698" s="17" t="s">
        <v>477</v>
      </c>
      <c r="K31698" s="18" t="s">
        <v>477</v>
      </c>
    </row>
    <row r="31699">
      <c r="B31699" s="17" t="s">
        <v>477</v>
      </c>
      <c r="K31699" s="18" t="s">
        <v>477</v>
      </c>
    </row>
    <row r="31700">
      <c r="B31700" s="17" t="s">
        <v>477</v>
      </c>
      <c r="K31700" s="18" t="s">
        <v>477</v>
      </c>
    </row>
    <row r="31701">
      <c r="B31701" s="17" t="s">
        <v>477</v>
      </c>
      <c r="K31701" s="18" t="s">
        <v>477</v>
      </c>
    </row>
    <row r="31702">
      <c r="B31702" s="17" t="s">
        <v>477</v>
      </c>
      <c r="K31702" s="18" t="s">
        <v>477</v>
      </c>
    </row>
    <row r="31703">
      <c r="B31703" s="17" t="s">
        <v>477</v>
      </c>
      <c r="K31703" s="18" t="s">
        <v>477</v>
      </c>
    </row>
    <row r="31704">
      <c r="B31704" s="17" t="s">
        <v>477</v>
      </c>
      <c r="K31704" s="18" t="s">
        <v>477</v>
      </c>
    </row>
    <row r="31705">
      <c r="B31705" s="17" t="s">
        <v>477</v>
      </c>
      <c r="K31705" s="18" t="s">
        <v>477</v>
      </c>
    </row>
    <row r="31706">
      <c r="B31706" s="17" t="s">
        <v>477</v>
      </c>
      <c r="K31706" s="18" t="s">
        <v>477</v>
      </c>
    </row>
    <row r="31707">
      <c r="B31707" s="17" t="s">
        <v>477</v>
      </c>
      <c r="K31707" s="18" t="s">
        <v>477</v>
      </c>
    </row>
    <row r="31708">
      <c r="B31708" s="17" t="s">
        <v>477</v>
      </c>
      <c r="K31708" s="18" t="s">
        <v>477</v>
      </c>
    </row>
    <row r="31709">
      <c r="B31709" s="17" t="s">
        <v>477</v>
      </c>
      <c r="K31709" s="18" t="s">
        <v>477</v>
      </c>
    </row>
    <row r="31710">
      <c r="B31710" s="17" t="s">
        <v>477</v>
      </c>
      <c r="K31710" s="18" t="s">
        <v>477</v>
      </c>
    </row>
    <row r="31711">
      <c r="B31711" s="17" t="s">
        <v>477</v>
      </c>
      <c r="K31711" s="18" t="s">
        <v>477</v>
      </c>
    </row>
    <row r="31712">
      <c r="B31712" s="17" t="s">
        <v>477</v>
      </c>
      <c r="K31712" s="18" t="s">
        <v>477</v>
      </c>
    </row>
    <row r="31713">
      <c r="B31713" s="17" t="s">
        <v>477</v>
      </c>
      <c r="K31713" s="18" t="s">
        <v>477</v>
      </c>
    </row>
    <row r="31714">
      <c r="B31714" s="17" t="s">
        <v>477</v>
      </c>
      <c r="K31714" s="18" t="s">
        <v>477</v>
      </c>
    </row>
    <row r="31715">
      <c r="B31715" s="17" t="s">
        <v>477</v>
      </c>
      <c r="K31715" s="18" t="s">
        <v>477</v>
      </c>
    </row>
    <row r="31716">
      <c r="B31716" s="17" t="s">
        <v>477</v>
      </c>
      <c r="K31716" s="18" t="s">
        <v>477</v>
      </c>
    </row>
    <row r="31717">
      <c r="B31717" s="17" t="s">
        <v>477</v>
      </c>
      <c r="K31717" s="18" t="s">
        <v>477</v>
      </c>
    </row>
    <row r="31718">
      <c r="B31718" s="17" t="s">
        <v>477</v>
      </c>
      <c r="K31718" s="18" t="s">
        <v>477</v>
      </c>
    </row>
    <row r="31719">
      <c r="B31719" s="17" t="s">
        <v>477</v>
      </c>
      <c r="K31719" s="18" t="s">
        <v>477</v>
      </c>
    </row>
    <row r="31720">
      <c r="B31720" s="17" t="s">
        <v>477</v>
      </c>
      <c r="K31720" s="18" t="s">
        <v>477</v>
      </c>
    </row>
    <row r="31721">
      <c r="B31721" s="17" t="s">
        <v>477</v>
      </c>
      <c r="K31721" s="18" t="s">
        <v>477</v>
      </c>
    </row>
    <row r="31722">
      <c r="B31722" s="17" t="s">
        <v>477</v>
      </c>
      <c r="K31722" s="18" t="s">
        <v>477</v>
      </c>
    </row>
    <row r="31723">
      <c r="B31723" s="17" t="s">
        <v>477</v>
      </c>
      <c r="K31723" s="18" t="s">
        <v>477</v>
      </c>
    </row>
    <row r="31724">
      <c r="B31724" s="17" t="s">
        <v>477</v>
      </c>
      <c r="K31724" s="18" t="s">
        <v>477</v>
      </c>
    </row>
    <row r="31725">
      <c r="B31725" s="17" t="s">
        <v>477</v>
      </c>
      <c r="K31725" s="18" t="s">
        <v>477</v>
      </c>
    </row>
    <row r="31726">
      <c r="B31726" s="17" t="s">
        <v>477</v>
      </c>
      <c r="K31726" s="18" t="s">
        <v>477</v>
      </c>
    </row>
    <row r="31727">
      <c r="B31727" s="17" t="s">
        <v>477</v>
      </c>
      <c r="K31727" s="18" t="s">
        <v>477</v>
      </c>
    </row>
    <row r="31728">
      <c r="B31728" s="17" t="s">
        <v>477</v>
      </c>
      <c r="K31728" s="18" t="s">
        <v>477</v>
      </c>
    </row>
    <row r="31729">
      <c r="B31729" s="17" t="s">
        <v>477</v>
      </c>
      <c r="K31729" s="18" t="s">
        <v>477</v>
      </c>
    </row>
    <row r="31730">
      <c r="B31730" s="17" t="s">
        <v>477</v>
      </c>
      <c r="K31730" s="18" t="s">
        <v>477</v>
      </c>
    </row>
    <row r="31731">
      <c r="B31731" s="17" t="s">
        <v>477</v>
      </c>
      <c r="K31731" s="18" t="s">
        <v>477</v>
      </c>
    </row>
    <row r="31732">
      <c r="B31732" s="17" t="s">
        <v>477</v>
      </c>
      <c r="K31732" s="18" t="s">
        <v>477</v>
      </c>
    </row>
    <row r="31733">
      <c r="B31733" s="17" t="s">
        <v>477</v>
      </c>
      <c r="K31733" s="18" t="s">
        <v>477</v>
      </c>
    </row>
    <row r="31734">
      <c r="B31734" s="17" t="s">
        <v>477</v>
      </c>
      <c r="K31734" s="18" t="s">
        <v>477</v>
      </c>
    </row>
    <row r="31735">
      <c r="B31735" s="17" t="s">
        <v>477</v>
      </c>
      <c r="K31735" s="18" t="s">
        <v>477</v>
      </c>
    </row>
    <row r="31736">
      <c r="B31736" s="17" t="s">
        <v>477</v>
      </c>
      <c r="K31736" s="18" t="s">
        <v>477</v>
      </c>
    </row>
    <row r="31737">
      <c r="B31737" s="17" t="s">
        <v>477</v>
      </c>
      <c r="K31737" s="18" t="s">
        <v>477</v>
      </c>
    </row>
    <row r="31738">
      <c r="B31738" s="17" t="s">
        <v>477</v>
      </c>
      <c r="K31738" s="18" t="s">
        <v>477</v>
      </c>
    </row>
    <row r="31739">
      <c r="B31739" s="17" t="s">
        <v>477</v>
      </c>
      <c r="K31739" s="18" t="s">
        <v>477</v>
      </c>
    </row>
    <row r="31740">
      <c r="B31740" s="17" t="s">
        <v>477</v>
      </c>
      <c r="K31740" s="18" t="s">
        <v>477</v>
      </c>
    </row>
    <row r="31741">
      <c r="B31741" s="17" t="s">
        <v>477</v>
      </c>
      <c r="K31741" s="18" t="s">
        <v>477</v>
      </c>
    </row>
    <row r="31742">
      <c r="B31742" s="17" t="s">
        <v>477</v>
      </c>
      <c r="K31742" s="18" t="s">
        <v>477</v>
      </c>
    </row>
    <row r="31743">
      <c r="B31743" s="17" t="s">
        <v>477</v>
      </c>
      <c r="K31743" s="18" t="s">
        <v>477</v>
      </c>
    </row>
    <row r="31744">
      <c r="B31744" s="17" t="s">
        <v>477</v>
      </c>
      <c r="K31744" s="18" t="s">
        <v>477</v>
      </c>
    </row>
    <row r="31745">
      <c r="B31745" s="17" t="s">
        <v>477</v>
      </c>
      <c r="K31745" s="18" t="s">
        <v>477</v>
      </c>
    </row>
    <row r="31746">
      <c r="B31746" s="17" t="s">
        <v>477</v>
      </c>
      <c r="K31746" s="18" t="s">
        <v>477</v>
      </c>
    </row>
    <row r="31747">
      <c r="B31747" s="17" t="s">
        <v>477</v>
      </c>
      <c r="K31747" s="18" t="s">
        <v>477</v>
      </c>
    </row>
    <row r="31748">
      <c r="B31748" s="17" t="s">
        <v>477</v>
      </c>
      <c r="K31748" s="18" t="s">
        <v>477</v>
      </c>
    </row>
    <row r="31749">
      <c r="B31749" s="17" t="s">
        <v>477</v>
      </c>
      <c r="K31749" s="18" t="s">
        <v>477</v>
      </c>
    </row>
    <row r="31750">
      <c r="B31750" s="17" t="s">
        <v>477</v>
      </c>
      <c r="K31750" s="18" t="s">
        <v>477</v>
      </c>
    </row>
    <row r="31751">
      <c r="B31751" s="17" t="s">
        <v>477</v>
      </c>
      <c r="K31751" s="18" t="s">
        <v>477</v>
      </c>
    </row>
    <row r="31752">
      <c r="B31752" s="17" t="s">
        <v>477</v>
      </c>
      <c r="K31752" s="18" t="s">
        <v>477</v>
      </c>
    </row>
    <row r="31753">
      <c r="B31753" s="17" t="s">
        <v>477</v>
      </c>
      <c r="K31753" s="18" t="s">
        <v>477</v>
      </c>
    </row>
    <row r="31754">
      <c r="B31754" s="17" t="s">
        <v>477</v>
      </c>
      <c r="K31754" s="18" t="s">
        <v>477</v>
      </c>
    </row>
    <row r="31755">
      <c r="B31755" s="17" t="s">
        <v>477</v>
      </c>
      <c r="K31755" s="18" t="s">
        <v>477</v>
      </c>
    </row>
    <row r="31756">
      <c r="B31756" s="17" t="s">
        <v>477</v>
      </c>
      <c r="K31756" s="18" t="s">
        <v>477</v>
      </c>
    </row>
    <row r="31757">
      <c r="B31757" s="17" t="s">
        <v>477</v>
      </c>
      <c r="K31757" s="18" t="s">
        <v>477</v>
      </c>
    </row>
    <row r="31758">
      <c r="B31758" s="17" t="s">
        <v>477</v>
      </c>
      <c r="K31758" s="18" t="s">
        <v>477</v>
      </c>
    </row>
    <row r="31759">
      <c r="B31759" s="17" t="s">
        <v>477</v>
      </c>
      <c r="K31759" s="18" t="s">
        <v>477</v>
      </c>
    </row>
    <row r="31760">
      <c r="B31760" s="17" t="s">
        <v>477</v>
      </c>
      <c r="K31760" s="18" t="s">
        <v>477</v>
      </c>
    </row>
    <row r="31761">
      <c r="B31761" s="17" t="s">
        <v>477</v>
      </c>
      <c r="K31761" s="18" t="s">
        <v>477</v>
      </c>
    </row>
    <row r="31762">
      <c r="B31762" s="17" t="s">
        <v>477</v>
      </c>
      <c r="K31762" s="18" t="s">
        <v>477</v>
      </c>
    </row>
    <row r="31763">
      <c r="B31763" s="17" t="s">
        <v>477</v>
      </c>
      <c r="K31763" s="18" t="s">
        <v>477</v>
      </c>
    </row>
    <row r="31764">
      <c r="B31764" s="17" t="s">
        <v>477</v>
      </c>
      <c r="K31764" s="18" t="s">
        <v>477</v>
      </c>
    </row>
    <row r="31765">
      <c r="B31765" s="17" t="s">
        <v>477</v>
      </c>
      <c r="K31765" s="18" t="s">
        <v>477</v>
      </c>
    </row>
    <row r="31766">
      <c r="B31766" s="17" t="s">
        <v>477</v>
      </c>
      <c r="K31766" s="18" t="s">
        <v>477</v>
      </c>
    </row>
    <row r="31767">
      <c r="B31767" s="17" t="s">
        <v>477</v>
      </c>
      <c r="K31767" s="18" t="s">
        <v>477</v>
      </c>
    </row>
    <row r="31768">
      <c r="B31768" s="17" t="s">
        <v>477</v>
      </c>
      <c r="K31768" s="18" t="s">
        <v>477</v>
      </c>
    </row>
    <row r="31769">
      <c r="B31769" s="17" t="s">
        <v>477</v>
      </c>
      <c r="K31769" s="18" t="s">
        <v>477</v>
      </c>
    </row>
    <row r="31770">
      <c r="B31770" s="17" t="s">
        <v>477</v>
      </c>
      <c r="K31770" s="18" t="s">
        <v>477</v>
      </c>
    </row>
    <row r="31771">
      <c r="B31771" s="17" t="s">
        <v>477</v>
      </c>
      <c r="K31771" s="18" t="s">
        <v>477</v>
      </c>
    </row>
    <row r="31772">
      <c r="B31772" s="17" t="s">
        <v>477</v>
      </c>
      <c r="K31772" s="18" t="s">
        <v>477</v>
      </c>
    </row>
    <row r="31773">
      <c r="B31773" s="17" t="s">
        <v>477</v>
      </c>
      <c r="K31773" s="18" t="s">
        <v>477</v>
      </c>
    </row>
    <row r="31774">
      <c r="B31774" s="17" t="s">
        <v>477</v>
      </c>
      <c r="K31774" s="18" t="s">
        <v>477</v>
      </c>
    </row>
    <row r="31775">
      <c r="B31775" s="17" t="s">
        <v>477</v>
      </c>
      <c r="K31775" s="18" t="s">
        <v>477</v>
      </c>
    </row>
    <row r="31776">
      <c r="B31776" s="17" t="s">
        <v>477</v>
      </c>
      <c r="K31776" s="18" t="s">
        <v>477</v>
      </c>
    </row>
    <row r="31777">
      <c r="B31777" s="17" t="s">
        <v>477</v>
      </c>
      <c r="K31777" s="18" t="s">
        <v>477</v>
      </c>
    </row>
    <row r="31778">
      <c r="B31778" s="17" t="s">
        <v>477</v>
      </c>
      <c r="K31778" s="18" t="s">
        <v>477</v>
      </c>
    </row>
    <row r="31779">
      <c r="B31779" s="17" t="s">
        <v>477</v>
      </c>
      <c r="K31779" s="18" t="s">
        <v>477</v>
      </c>
    </row>
    <row r="31780">
      <c r="B31780" s="17" t="s">
        <v>477</v>
      </c>
      <c r="K31780" s="18" t="s">
        <v>477</v>
      </c>
    </row>
    <row r="31781">
      <c r="B31781" s="17" t="s">
        <v>477</v>
      </c>
      <c r="K31781" s="18" t="s">
        <v>477</v>
      </c>
    </row>
    <row r="31782">
      <c r="B31782" s="17" t="s">
        <v>477</v>
      </c>
      <c r="K31782" s="18" t="s">
        <v>477</v>
      </c>
    </row>
    <row r="31783">
      <c r="B31783" s="17" t="s">
        <v>477</v>
      </c>
      <c r="K31783" s="18" t="s">
        <v>477</v>
      </c>
    </row>
    <row r="31784">
      <c r="B31784" s="17" t="s">
        <v>477</v>
      </c>
      <c r="K31784" s="18" t="s">
        <v>477</v>
      </c>
    </row>
    <row r="31785">
      <c r="B31785" s="17" t="s">
        <v>477</v>
      </c>
      <c r="K31785" s="18" t="s">
        <v>477</v>
      </c>
    </row>
    <row r="31786">
      <c r="B31786" s="17" t="s">
        <v>477</v>
      </c>
      <c r="K31786" s="18" t="s">
        <v>477</v>
      </c>
    </row>
    <row r="31787">
      <c r="B31787" s="17" t="s">
        <v>477</v>
      </c>
      <c r="K31787" s="18" t="s">
        <v>477</v>
      </c>
    </row>
    <row r="31788">
      <c r="B31788" s="17" t="s">
        <v>477</v>
      </c>
      <c r="K31788" s="18" t="s">
        <v>477</v>
      </c>
    </row>
    <row r="31789">
      <c r="B31789" s="17" t="s">
        <v>477</v>
      </c>
      <c r="K31789" s="18" t="s">
        <v>477</v>
      </c>
    </row>
    <row r="31790">
      <c r="B31790" s="17" t="s">
        <v>477</v>
      </c>
      <c r="K31790" s="18" t="s">
        <v>477</v>
      </c>
    </row>
    <row r="31791">
      <c r="B31791" s="17" t="s">
        <v>477</v>
      </c>
      <c r="K31791" s="18" t="s">
        <v>477</v>
      </c>
    </row>
    <row r="31792">
      <c r="B31792" s="17" t="s">
        <v>477</v>
      </c>
      <c r="K31792" s="18" t="s">
        <v>477</v>
      </c>
    </row>
    <row r="31793">
      <c r="B31793" s="17" t="s">
        <v>477</v>
      </c>
      <c r="K31793" s="18" t="s">
        <v>477</v>
      </c>
    </row>
    <row r="31794">
      <c r="B31794" s="17" t="s">
        <v>477</v>
      </c>
      <c r="K31794" s="18" t="s">
        <v>477</v>
      </c>
    </row>
    <row r="31795">
      <c r="B31795" s="17" t="s">
        <v>477</v>
      </c>
      <c r="K31795" s="18" t="s">
        <v>477</v>
      </c>
    </row>
    <row r="31796">
      <c r="B31796" s="17" t="s">
        <v>477</v>
      </c>
      <c r="K31796" s="18" t="s">
        <v>477</v>
      </c>
    </row>
    <row r="31797">
      <c r="B31797" s="17" t="s">
        <v>477</v>
      </c>
      <c r="K31797" s="18" t="s">
        <v>477</v>
      </c>
    </row>
    <row r="31798">
      <c r="B31798" s="17" t="s">
        <v>477</v>
      </c>
      <c r="K31798" s="18" t="s">
        <v>477</v>
      </c>
    </row>
    <row r="31799">
      <c r="B31799" s="17" t="s">
        <v>477</v>
      </c>
      <c r="K31799" s="18" t="s">
        <v>477</v>
      </c>
    </row>
    <row r="31800">
      <c r="B31800" s="17" t="s">
        <v>477</v>
      </c>
      <c r="K31800" s="18" t="s">
        <v>477</v>
      </c>
    </row>
    <row r="31801">
      <c r="B31801" s="17" t="s">
        <v>477</v>
      </c>
      <c r="K31801" s="18" t="s">
        <v>477</v>
      </c>
    </row>
    <row r="31802">
      <c r="B31802" s="17" t="s">
        <v>477</v>
      </c>
      <c r="K31802" s="18" t="s">
        <v>477</v>
      </c>
    </row>
    <row r="31803">
      <c r="B31803" s="17" t="s">
        <v>477</v>
      </c>
      <c r="K31803" s="18" t="s">
        <v>477</v>
      </c>
    </row>
    <row r="31804">
      <c r="B31804" s="17" t="s">
        <v>477</v>
      </c>
      <c r="K31804" s="18" t="s">
        <v>477</v>
      </c>
    </row>
    <row r="31805">
      <c r="B31805" s="17" t="s">
        <v>477</v>
      </c>
      <c r="K31805" s="18" t="s">
        <v>477</v>
      </c>
    </row>
    <row r="31806">
      <c r="B31806" s="17" t="s">
        <v>477</v>
      </c>
      <c r="K31806" s="18" t="s">
        <v>477</v>
      </c>
    </row>
    <row r="31807">
      <c r="B31807" s="17" t="s">
        <v>477</v>
      </c>
      <c r="K31807" s="18" t="s">
        <v>477</v>
      </c>
    </row>
    <row r="31808">
      <c r="B31808" s="17" t="s">
        <v>477</v>
      </c>
      <c r="K31808" s="18" t="s">
        <v>477</v>
      </c>
    </row>
    <row r="31809">
      <c r="B31809" s="17" t="s">
        <v>477</v>
      </c>
      <c r="K31809" s="18" t="s">
        <v>477</v>
      </c>
    </row>
    <row r="31810">
      <c r="B31810" s="17" t="s">
        <v>477</v>
      </c>
      <c r="K31810" s="18" t="s">
        <v>477</v>
      </c>
    </row>
    <row r="31811">
      <c r="B31811" s="17" t="s">
        <v>477</v>
      </c>
      <c r="K31811" s="18" t="s">
        <v>477</v>
      </c>
    </row>
    <row r="31812">
      <c r="B31812" s="17" t="s">
        <v>477</v>
      </c>
      <c r="K31812" s="18" t="s">
        <v>477</v>
      </c>
    </row>
    <row r="31813">
      <c r="B31813" s="17" t="s">
        <v>477</v>
      </c>
      <c r="K31813" s="18" t="s">
        <v>477</v>
      </c>
    </row>
    <row r="31814">
      <c r="B31814" s="17" t="s">
        <v>477</v>
      </c>
      <c r="K31814" s="18" t="s">
        <v>477</v>
      </c>
    </row>
    <row r="31815">
      <c r="B31815" s="17" t="s">
        <v>477</v>
      </c>
      <c r="K31815" s="18" t="s">
        <v>477</v>
      </c>
    </row>
    <row r="31816">
      <c r="B31816" s="17" t="s">
        <v>477</v>
      </c>
      <c r="K31816" s="18" t="s">
        <v>477</v>
      </c>
    </row>
    <row r="31817">
      <c r="B31817" s="17" t="s">
        <v>477</v>
      </c>
      <c r="K31817" s="18" t="s">
        <v>477</v>
      </c>
    </row>
    <row r="31818">
      <c r="B31818" s="17" t="s">
        <v>477</v>
      </c>
      <c r="K31818" s="18" t="s">
        <v>477</v>
      </c>
    </row>
    <row r="31819">
      <c r="B31819" s="17" t="s">
        <v>477</v>
      </c>
      <c r="K31819" s="18" t="s">
        <v>477</v>
      </c>
    </row>
    <row r="31820">
      <c r="B31820" s="17" t="s">
        <v>477</v>
      </c>
      <c r="K31820" s="18" t="s">
        <v>477</v>
      </c>
    </row>
    <row r="31821">
      <c r="B31821" s="17" t="s">
        <v>477</v>
      </c>
      <c r="K31821" s="18" t="s">
        <v>477</v>
      </c>
    </row>
    <row r="31822">
      <c r="B31822" s="17" t="s">
        <v>477</v>
      </c>
      <c r="K31822" s="18" t="s">
        <v>477</v>
      </c>
    </row>
    <row r="31823">
      <c r="B31823" s="17" t="s">
        <v>477</v>
      </c>
      <c r="K31823" s="18" t="s">
        <v>477</v>
      </c>
    </row>
    <row r="31824">
      <c r="B31824" s="17" t="s">
        <v>477</v>
      </c>
      <c r="K31824" s="18" t="s">
        <v>477</v>
      </c>
    </row>
    <row r="31825">
      <c r="B31825" s="17" t="s">
        <v>477</v>
      </c>
      <c r="K31825" s="18" t="s">
        <v>477</v>
      </c>
    </row>
    <row r="31826">
      <c r="B31826" s="17" t="s">
        <v>477</v>
      </c>
      <c r="K31826" s="18" t="s">
        <v>477</v>
      </c>
    </row>
    <row r="31827">
      <c r="B31827" s="17" t="s">
        <v>477</v>
      </c>
      <c r="K31827" s="18" t="s">
        <v>477</v>
      </c>
    </row>
    <row r="31828">
      <c r="B31828" s="17" t="s">
        <v>477</v>
      </c>
      <c r="K31828" s="18" t="s">
        <v>477</v>
      </c>
    </row>
    <row r="31829">
      <c r="B31829" s="17" t="s">
        <v>477</v>
      </c>
      <c r="K31829" s="18" t="s">
        <v>477</v>
      </c>
    </row>
    <row r="31830">
      <c r="B31830" s="17" t="s">
        <v>477</v>
      </c>
      <c r="K31830" s="18" t="s">
        <v>477</v>
      </c>
    </row>
    <row r="31831">
      <c r="B31831" s="17" t="s">
        <v>477</v>
      </c>
      <c r="K31831" s="18" t="s">
        <v>477</v>
      </c>
    </row>
    <row r="31832">
      <c r="B31832" s="17" t="s">
        <v>477</v>
      </c>
      <c r="K31832" s="18" t="s">
        <v>477</v>
      </c>
    </row>
    <row r="31833">
      <c r="B31833" s="17" t="s">
        <v>477</v>
      </c>
      <c r="K31833" s="18" t="s">
        <v>477</v>
      </c>
    </row>
    <row r="31834">
      <c r="B31834" s="17" t="s">
        <v>477</v>
      </c>
      <c r="K31834" s="18" t="s">
        <v>477</v>
      </c>
    </row>
    <row r="31835">
      <c r="B31835" s="17" t="s">
        <v>477</v>
      </c>
      <c r="K31835" s="18" t="s">
        <v>477</v>
      </c>
    </row>
    <row r="31836">
      <c r="B31836" s="17" t="s">
        <v>477</v>
      </c>
      <c r="K31836" s="18" t="s">
        <v>477</v>
      </c>
    </row>
    <row r="31837">
      <c r="B31837" s="17" t="s">
        <v>477</v>
      </c>
      <c r="K31837" s="18" t="s">
        <v>477</v>
      </c>
    </row>
    <row r="31838">
      <c r="B31838" s="17" t="s">
        <v>477</v>
      </c>
      <c r="K31838" s="18" t="s">
        <v>477</v>
      </c>
    </row>
    <row r="31839">
      <c r="B31839" s="17" t="s">
        <v>477</v>
      </c>
      <c r="K31839" s="18" t="s">
        <v>477</v>
      </c>
    </row>
    <row r="31840">
      <c r="B31840" s="17" t="s">
        <v>477</v>
      </c>
      <c r="K31840" s="18" t="s">
        <v>477</v>
      </c>
    </row>
    <row r="31841">
      <c r="B31841" s="17" t="s">
        <v>477</v>
      </c>
      <c r="K31841" s="18" t="s">
        <v>477</v>
      </c>
    </row>
    <row r="31842">
      <c r="B31842" s="17" t="s">
        <v>477</v>
      </c>
      <c r="K31842" s="18" t="s">
        <v>477</v>
      </c>
    </row>
    <row r="31843">
      <c r="B31843" s="17" t="s">
        <v>477</v>
      </c>
      <c r="K31843" s="18" t="s">
        <v>477</v>
      </c>
    </row>
    <row r="31844">
      <c r="B31844" s="17" t="s">
        <v>477</v>
      </c>
      <c r="K31844" s="18" t="s">
        <v>477</v>
      </c>
    </row>
    <row r="31845">
      <c r="B31845" s="17" t="s">
        <v>477</v>
      </c>
      <c r="K31845" s="18" t="s">
        <v>477</v>
      </c>
    </row>
    <row r="31846">
      <c r="B31846" s="17" t="s">
        <v>477</v>
      </c>
      <c r="K31846" s="18" t="s">
        <v>477</v>
      </c>
    </row>
    <row r="31847">
      <c r="B31847" s="17" t="s">
        <v>477</v>
      </c>
      <c r="K31847" s="18" t="s">
        <v>477</v>
      </c>
    </row>
    <row r="31848">
      <c r="B31848" s="17" t="s">
        <v>477</v>
      </c>
      <c r="K31848" s="18" t="s">
        <v>477</v>
      </c>
    </row>
    <row r="31849">
      <c r="B31849" s="17" t="s">
        <v>477</v>
      </c>
      <c r="K31849" s="18" t="s">
        <v>477</v>
      </c>
    </row>
    <row r="31850">
      <c r="B31850" s="17" t="s">
        <v>477</v>
      </c>
      <c r="K31850" s="18" t="s">
        <v>477</v>
      </c>
    </row>
    <row r="31851">
      <c r="B31851" s="17" t="s">
        <v>477</v>
      </c>
      <c r="K31851" s="18" t="s">
        <v>477</v>
      </c>
    </row>
    <row r="31852">
      <c r="B31852" s="17" t="s">
        <v>477</v>
      </c>
      <c r="K31852" s="18" t="s">
        <v>477</v>
      </c>
    </row>
    <row r="31853">
      <c r="B31853" s="17" t="s">
        <v>477</v>
      </c>
      <c r="K31853" s="18" t="s">
        <v>477</v>
      </c>
    </row>
    <row r="31854">
      <c r="B31854" s="17" t="s">
        <v>477</v>
      </c>
      <c r="K31854" s="18" t="s">
        <v>477</v>
      </c>
    </row>
    <row r="31855">
      <c r="B31855" s="17" t="s">
        <v>477</v>
      </c>
      <c r="K31855" s="18" t="s">
        <v>477</v>
      </c>
    </row>
    <row r="31856">
      <c r="B31856" s="17" t="s">
        <v>477</v>
      </c>
      <c r="K31856" s="18" t="s">
        <v>477</v>
      </c>
    </row>
    <row r="31857">
      <c r="B31857" s="17" t="s">
        <v>477</v>
      </c>
      <c r="K31857" s="18" t="s">
        <v>477</v>
      </c>
    </row>
    <row r="31858">
      <c r="B31858" s="17" t="s">
        <v>477</v>
      </c>
      <c r="K31858" s="18" t="s">
        <v>477</v>
      </c>
    </row>
    <row r="31859">
      <c r="B31859" s="17" t="s">
        <v>477</v>
      </c>
      <c r="K31859" s="18" t="s">
        <v>477</v>
      </c>
    </row>
    <row r="31860">
      <c r="B31860" s="17" t="s">
        <v>477</v>
      </c>
      <c r="K31860" s="18" t="s">
        <v>477</v>
      </c>
    </row>
    <row r="31861">
      <c r="B31861" s="17" t="s">
        <v>477</v>
      </c>
      <c r="K31861" s="18" t="s">
        <v>477</v>
      </c>
    </row>
    <row r="31862">
      <c r="B31862" s="17" t="s">
        <v>477</v>
      </c>
      <c r="K31862" s="18" t="s">
        <v>477</v>
      </c>
    </row>
    <row r="31863">
      <c r="B31863" s="17" t="s">
        <v>477</v>
      </c>
      <c r="K31863" s="18" t="s">
        <v>477</v>
      </c>
    </row>
    <row r="31864">
      <c r="B31864" s="17" t="s">
        <v>477</v>
      </c>
      <c r="K31864" s="18" t="s">
        <v>477</v>
      </c>
    </row>
    <row r="31865">
      <c r="B31865" s="17" t="s">
        <v>477</v>
      </c>
      <c r="K31865" s="18" t="s">
        <v>477</v>
      </c>
    </row>
    <row r="31866">
      <c r="B31866" s="17" t="s">
        <v>477</v>
      </c>
      <c r="K31866" s="18" t="s">
        <v>477</v>
      </c>
    </row>
    <row r="31867">
      <c r="B31867" s="17" t="s">
        <v>477</v>
      </c>
      <c r="K31867" s="18" t="s">
        <v>477</v>
      </c>
    </row>
    <row r="31868">
      <c r="B31868" s="17" t="s">
        <v>477</v>
      </c>
      <c r="K31868" s="18" t="s">
        <v>477</v>
      </c>
    </row>
    <row r="31869">
      <c r="B31869" s="17" t="s">
        <v>477</v>
      </c>
      <c r="K31869" s="18" t="s">
        <v>477</v>
      </c>
    </row>
    <row r="31870">
      <c r="B31870" s="17" t="s">
        <v>477</v>
      </c>
      <c r="K31870" s="18" t="s">
        <v>477</v>
      </c>
    </row>
    <row r="31871">
      <c r="B31871" s="17" t="s">
        <v>477</v>
      </c>
      <c r="K31871" s="18" t="s">
        <v>477</v>
      </c>
    </row>
    <row r="31872">
      <c r="B31872" s="17" t="s">
        <v>477</v>
      </c>
      <c r="K31872" s="18" t="s">
        <v>477</v>
      </c>
    </row>
    <row r="31873">
      <c r="B31873" s="17" t="s">
        <v>477</v>
      </c>
      <c r="K31873" s="18" t="s">
        <v>477</v>
      </c>
    </row>
    <row r="31874">
      <c r="B31874" s="17" t="s">
        <v>477</v>
      </c>
      <c r="K31874" s="18" t="s">
        <v>477</v>
      </c>
    </row>
    <row r="31875">
      <c r="B31875" s="17" t="s">
        <v>477</v>
      </c>
      <c r="K31875" s="18" t="s">
        <v>477</v>
      </c>
    </row>
    <row r="31876">
      <c r="B31876" s="17" t="s">
        <v>477</v>
      </c>
      <c r="K31876" s="18" t="s">
        <v>477</v>
      </c>
    </row>
    <row r="31877">
      <c r="B31877" s="17" t="s">
        <v>477</v>
      </c>
      <c r="K31877" s="18" t="s">
        <v>477</v>
      </c>
    </row>
    <row r="31878">
      <c r="B31878" s="17" t="s">
        <v>477</v>
      </c>
      <c r="K31878" s="18" t="s">
        <v>477</v>
      </c>
    </row>
    <row r="31879">
      <c r="B31879" s="17" t="s">
        <v>477</v>
      </c>
      <c r="K31879" s="18" t="s">
        <v>477</v>
      </c>
    </row>
    <row r="31880">
      <c r="B31880" s="17" t="s">
        <v>477</v>
      </c>
      <c r="K31880" s="18" t="s">
        <v>477</v>
      </c>
    </row>
    <row r="31881">
      <c r="B31881" s="17" t="s">
        <v>477</v>
      </c>
      <c r="K31881" s="18" t="s">
        <v>477</v>
      </c>
    </row>
    <row r="31882">
      <c r="B31882" s="17" t="s">
        <v>477</v>
      </c>
      <c r="K31882" s="18" t="s">
        <v>477</v>
      </c>
    </row>
    <row r="31883">
      <c r="B31883" s="17" t="s">
        <v>477</v>
      </c>
      <c r="K31883" s="18" t="s">
        <v>477</v>
      </c>
    </row>
    <row r="31884">
      <c r="B31884" s="17" t="s">
        <v>477</v>
      </c>
      <c r="K31884" s="18" t="s">
        <v>477</v>
      </c>
    </row>
    <row r="31885">
      <c r="B31885" s="17" t="s">
        <v>477</v>
      </c>
      <c r="K31885" s="18" t="s">
        <v>477</v>
      </c>
    </row>
    <row r="31886">
      <c r="B31886" s="17" t="s">
        <v>477</v>
      </c>
      <c r="K31886" s="18" t="s">
        <v>477</v>
      </c>
    </row>
    <row r="31887">
      <c r="B31887" s="17" t="s">
        <v>477</v>
      </c>
      <c r="K31887" s="18" t="s">
        <v>477</v>
      </c>
    </row>
    <row r="31888">
      <c r="B31888" s="17" t="s">
        <v>477</v>
      </c>
      <c r="K31888" s="18" t="s">
        <v>477</v>
      </c>
    </row>
    <row r="31889">
      <c r="B31889" s="17" t="s">
        <v>477</v>
      </c>
      <c r="K31889" s="18" t="s">
        <v>477</v>
      </c>
    </row>
    <row r="31890">
      <c r="B31890" s="17" t="s">
        <v>477</v>
      </c>
      <c r="K31890" s="18" t="s">
        <v>477</v>
      </c>
    </row>
    <row r="31891">
      <c r="B31891" s="17" t="s">
        <v>477</v>
      </c>
      <c r="K31891" s="18" t="s">
        <v>477</v>
      </c>
    </row>
    <row r="31892">
      <c r="B31892" s="17" t="s">
        <v>477</v>
      </c>
      <c r="K31892" s="18" t="s">
        <v>477</v>
      </c>
    </row>
    <row r="31893">
      <c r="B31893" s="17" t="s">
        <v>477</v>
      </c>
      <c r="K31893" s="18" t="s">
        <v>477</v>
      </c>
    </row>
    <row r="31894">
      <c r="B31894" s="17" t="s">
        <v>477</v>
      </c>
      <c r="K31894" s="18" t="s">
        <v>477</v>
      </c>
    </row>
    <row r="31895">
      <c r="B31895" s="17" t="s">
        <v>477</v>
      </c>
      <c r="K31895" s="18" t="s">
        <v>477</v>
      </c>
    </row>
    <row r="31896">
      <c r="B31896" s="17" t="s">
        <v>477</v>
      </c>
      <c r="K31896" s="18" t="s">
        <v>477</v>
      </c>
    </row>
    <row r="31897">
      <c r="B31897" s="17" t="s">
        <v>477</v>
      </c>
      <c r="K31897" s="18" t="s">
        <v>477</v>
      </c>
    </row>
    <row r="31898">
      <c r="B31898" s="17" t="s">
        <v>477</v>
      </c>
      <c r="K31898" s="18" t="s">
        <v>477</v>
      </c>
    </row>
    <row r="31899">
      <c r="B31899" s="17" t="s">
        <v>477</v>
      </c>
      <c r="K31899" s="18" t="s">
        <v>477</v>
      </c>
    </row>
    <row r="31900">
      <c r="B31900" s="17" t="s">
        <v>477</v>
      </c>
      <c r="K31900" s="18" t="s">
        <v>477</v>
      </c>
    </row>
    <row r="31901">
      <c r="B31901" s="17" t="s">
        <v>477</v>
      </c>
      <c r="K31901" s="18" t="s">
        <v>477</v>
      </c>
    </row>
    <row r="31902">
      <c r="B31902" s="17" t="s">
        <v>477</v>
      </c>
      <c r="K31902" s="18" t="s">
        <v>477</v>
      </c>
    </row>
    <row r="31903">
      <c r="B31903" s="17" t="s">
        <v>477</v>
      </c>
      <c r="K31903" s="18" t="s">
        <v>477</v>
      </c>
    </row>
    <row r="31904">
      <c r="B31904" s="17" t="s">
        <v>477</v>
      </c>
      <c r="K31904" s="18" t="s">
        <v>477</v>
      </c>
    </row>
    <row r="31905">
      <c r="B31905" s="17" t="s">
        <v>477</v>
      </c>
      <c r="K31905" s="18" t="s">
        <v>477</v>
      </c>
    </row>
    <row r="31906">
      <c r="B31906" s="17" t="s">
        <v>477</v>
      </c>
      <c r="K31906" s="18" t="s">
        <v>477</v>
      </c>
    </row>
    <row r="31907">
      <c r="B31907" s="17" t="s">
        <v>477</v>
      </c>
      <c r="K31907" s="18" t="s">
        <v>477</v>
      </c>
    </row>
    <row r="31908">
      <c r="B31908" s="17" t="s">
        <v>477</v>
      </c>
      <c r="K31908" s="18" t="s">
        <v>477</v>
      </c>
    </row>
    <row r="31909">
      <c r="B31909" s="17" t="s">
        <v>477</v>
      </c>
      <c r="K31909" s="18" t="s">
        <v>477</v>
      </c>
    </row>
    <row r="31910">
      <c r="B31910" s="17" t="s">
        <v>477</v>
      </c>
      <c r="K31910" s="18" t="s">
        <v>477</v>
      </c>
    </row>
    <row r="31911">
      <c r="B31911" s="17" t="s">
        <v>477</v>
      </c>
      <c r="K31911" s="18" t="s">
        <v>477</v>
      </c>
    </row>
    <row r="31912">
      <c r="B31912" s="17" t="s">
        <v>477</v>
      </c>
      <c r="K31912" s="18" t="s">
        <v>477</v>
      </c>
    </row>
    <row r="31913">
      <c r="B31913" s="17" t="s">
        <v>477</v>
      </c>
      <c r="K31913" s="18" t="s">
        <v>477</v>
      </c>
    </row>
    <row r="31914">
      <c r="B31914" s="17" t="s">
        <v>477</v>
      </c>
      <c r="K31914" s="18" t="s">
        <v>477</v>
      </c>
    </row>
    <row r="31915">
      <c r="B31915" s="17" t="s">
        <v>477</v>
      </c>
      <c r="K31915" s="18" t="s">
        <v>477</v>
      </c>
    </row>
    <row r="31916">
      <c r="B31916" s="17" t="s">
        <v>477</v>
      </c>
      <c r="K31916" s="18" t="s">
        <v>477</v>
      </c>
    </row>
    <row r="31917">
      <c r="B31917" s="17" t="s">
        <v>477</v>
      </c>
      <c r="K31917" s="18" t="s">
        <v>477</v>
      </c>
    </row>
    <row r="31918">
      <c r="B31918" s="17" t="s">
        <v>477</v>
      </c>
      <c r="K31918" s="18" t="s">
        <v>477</v>
      </c>
    </row>
    <row r="31919">
      <c r="B31919" s="17" t="s">
        <v>477</v>
      </c>
      <c r="K31919" s="18" t="s">
        <v>477</v>
      </c>
    </row>
    <row r="31920">
      <c r="B31920" s="17" t="s">
        <v>477</v>
      </c>
      <c r="K31920" s="18" t="s">
        <v>477</v>
      </c>
    </row>
    <row r="31921">
      <c r="B31921" s="17" t="s">
        <v>477</v>
      </c>
      <c r="K31921" s="18" t="s">
        <v>477</v>
      </c>
    </row>
    <row r="31922">
      <c r="B31922" s="17" t="s">
        <v>477</v>
      </c>
      <c r="K31922" s="18" t="s">
        <v>477</v>
      </c>
    </row>
    <row r="31923">
      <c r="B31923" s="17" t="s">
        <v>477</v>
      </c>
      <c r="K31923" s="18" t="s">
        <v>477</v>
      </c>
    </row>
    <row r="31924">
      <c r="B31924" s="17" t="s">
        <v>477</v>
      </c>
      <c r="K31924" s="18" t="s">
        <v>477</v>
      </c>
    </row>
    <row r="31925">
      <c r="B31925" s="17" t="s">
        <v>477</v>
      </c>
      <c r="K31925" s="18" t="s">
        <v>477</v>
      </c>
    </row>
    <row r="31926">
      <c r="B31926" s="17" t="s">
        <v>477</v>
      </c>
      <c r="K31926" s="18" t="s">
        <v>477</v>
      </c>
    </row>
    <row r="31927">
      <c r="B31927" s="17" t="s">
        <v>477</v>
      </c>
      <c r="K31927" s="18" t="s">
        <v>477</v>
      </c>
    </row>
    <row r="31928">
      <c r="B31928" s="17" t="s">
        <v>477</v>
      </c>
      <c r="K31928" s="18" t="s">
        <v>477</v>
      </c>
    </row>
    <row r="31929">
      <c r="B31929" s="17" t="s">
        <v>477</v>
      </c>
      <c r="K31929" s="18" t="s">
        <v>477</v>
      </c>
    </row>
    <row r="31930">
      <c r="B31930" s="17" t="s">
        <v>477</v>
      </c>
      <c r="K31930" s="18" t="s">
        <v>477</v>
      </c>
    </row>
    <row r="31931">
      <c r="B31931" s="17" t="s">
        <v>477</v>
      </c>
      <c r="K31931" s="18" t="s">
        <v>477</v>
      </c>
    </row>
    <row r="31932">
      <c r="B31932" s="17" t="s">
        <v>477</v>
      </c>
      <c r="K31932" s="18" t="s">
        <v>477</v>
      </c>
    </row>
    <row r="31933">
      <c r="B31933" s="17" t="s">
        <v>477</v>
      </c>
      <c r="K31933" s="18" t="s">
        <v>477</v>
      </c>
    </row>
    <row r="31934">
      <c r="B31934" s="17" t="s">
        <v>477</v>
      </c>
      <c r="K31934" s="18" t="s">
        <v>477</v>
      </c>
    </row>
    <row r="31935">
      <c r="B31935" s="17" t="s">
        <v>477</v>
      </c>
      <c r="K31935" s="18" t="s">
        <v>477</v>
      </c>
    </row>
    <row r="31936">
      <c r="B31936" s="17" t="s">
        <v>477</v>
      </c>
      <c r="K31936" s="18" t="s">
        <v>477</v>
      </c>
    </row>
    <row r="31937">
      <c r="B31937" s="17" t="s">
        <v>477</v>
      </c>
      <c r="K31937" s="18" t="s">
        <v>477</v>
      </c>
    </row>
    <row r="31938">
      <c r="B31938" s="17" t="s">
        <v>477</v>
      </c>
      <c r="K31938" s="18" t="s">
        <v>477</v>
      </c>
    </row>
    <row r="31939">
      <c r="B31939" s="17" t="s">
        <v>477</v>
      </c>
      <c r="K31939" s="18" t="s">
        <v>477</v>
      </c>
    </row>
    <row r="31940">
      <c r="B31940" s="17" t="s">
        <v>477</v>
      </c>
      <c r="K31940" s="18" t="s">
        <v>477</v>
      </c>
    </row>
    <row r="31941">
      <c r="B31941" s="17" t="s">
        <v>477</v>
      </c>
      <c r="K31941" s="18" t="s">
        <v>477</v>
      </c>
    </row>
    <row r="31942">
      <c r="B31942" s="17" t="s">
        <v>477</v>
      </c>
      <c r="K31942" s="18" t="s">
        <v>477</v>
      </c>
    </row>
    <row r="31943">
      <c r="B31943" s="17" t="s">
        <v>477</v>
      </c>
      <c r="K31943" s="18" t="s">
        <v>477</v>
      </c>
    </row>
    <row r="31944">
      <c r="B31944" s="17" t="s">
        <v>477</v>
      </c>
      <c r="K31944" s="18" t="s">
        <v>477</v>
      </c>
    </row>
    <row r="31945">
      <c r="B31945" s="17" t="s">
        <v>477</v>
      </c>
      <c r="K31945" s="18" t="s">
        <v>477</v>
      </c>
    </row>
    <row r="31946">
      <c r="B31946" s="17" t="s">
        <v>477</v>
      </c>
      <c r="K31946" s="18" t="s">
        <v>477</v>
      </c>
    </row>
    <row r="31947">
      <c r="B31947" s="17" t="s">
        <v>477</v>
      </c>
      <c r="K31947" s="18" t="s">
        <v>477</v>
      </c>
    </row>
    <row r="31948">
      <c r="B31948" s="17" t="s">
        <v>477</v>
      </c>
      <c r="K31948" s="18" t="s">
        <v>477</v>
      </c>
    </row>
    <row r="31949">
      <c r="B31949" s="17" t="s">
        <v>477</v>
      </c>
      <c r="K31949" s="18" t="s">
        <v>477</v>
      </c>
    </row>
    <row r="31950">
      <c r="B31950" s="17" t="s">
        <v>477</v>
      </c>
      <c r="K31950" s="18" t="s">
        <v>477</v>
      </c>
    </row>
    <row r="31951">
      <c r="B31951" s="17" t="s">
        <v>477</v>
      </c>
      <c r="K31951" s="18" t="s">
        <v>477</v>
      </c>
    </row>
    <row r="31952">
      <c r="B31952" s="17" t="s">
        <v>477</v>
      </c>
      <c r="K31952" s="18" t="s">
        <v>477</v>
      </c>
    </row>
    <row r="31953">
      <c r="B31953" s="17" t="s">
        <v>477</v>
      </c>
      <c r="K31953" s="18" t="s">
        <v>477</v>
      </c>
    </row>
    <row r="31954">
      <c r="B31954" s="17" t="s">
        <v>477</v>
      </c>
      <c r="K31954" s="18" t="s">
        <v>477</v>
      </c>
    </row>
    <row r="31955">
      <c r="B31955" s="17" t="s">
        <v>477</v>
      </c>
      <c r="K31955" s="18" t="s">
        <v>477</v>
      </c>
    </row>
    <row r="31956">
      <c r="B31956" s="17" t="s">
        <v>477</v>
      </c>
      <c r="K31956" s="18" t="s">
        <v>477</v>
      </c>
    </row>
    <row r="31957">
      <c r="B31957" s="17" t="s">
        <v>477</v>
      </c>
      <c r="K31957" s="18" t="s">
        <v>477</v>
      </c>
    </row>
    <row r="31958">
      <c r="B31958" s="17" t="s">
        <v>477</v>
      </c>
      <c r="K31958" s="18" t="s">
        <v>477</v>
      </c>
    </row>
    <row r="31959">
      <c r="B31959" s="17" t="s">
        <v>477</v>
      </c>
      <c r="K31959" s="18" t="s">
        <v>477</v>
      </c>
    </row>
    <row r="31960">
      <c r="B31960" s="17" t="s">
        <v>477</v>
      </c>
      <c r="K31960" s="18" t="s">
        <v>477</v>
      </c>
    </row>
    <row r="31961">
      <c r="B31961" s="17" t="s">
        <v>477</v>
      </c>
      <c r="K31961" s="18" t="s">
        <v>477</v>
      </c>
    </row>
    <row r="31962">
      <c r="B31962" s="17" t="s">
        <v>477</v>
      </c>
      <c r="K31962" s="18" t="s">
        <v>477</v>
      </c>
    </row>
    <row r="31963">
      <c r="B31963" s="17" t="s">
        <v>477</v>
      </c>
      <c r="K31963" s="18" t="s">
        <v>477</v>
      </c>
    </row>
    <row r="31964">
      <c r="B31964" s="17" t="s">
        <v>477</v>
      </c>
      <c r="K31964" s="18" t="s">
        <v>477</v>
      </c>
    </row>
    <row r="31965">
      <c r="B31965" s="17" t="s">
        <v>477</v>
      </c>
      <c r="K31965" s="18" t="s">
        <v>477</v>
      </c>
    </row>
    <row r="31966">
      <c r="B31966" s="17" t="s">
        <v>477</v>
      </c>
      <c r="K31966" s="18" t="s">
        <v>477</v>
      </c>
    </row>
    <row r="31967">
      <c r="B31967" s="17" t="s">
        <v>477</v>
      </c>
      <c r="K31967" s="18" t="s">
        <v>477</v>
      </c>
    </row>
    <row r="31968">
      <c r="B31968" s="17" t="s">
        <v>477</v>
      </c>
      <c r="K31968" s="18" t="s">
        <v>477</v>
      </c>
    </row>
    <row r="31969">
      <c r="B31969" s="17" t="s">
        <v>477</v>
      </c>
      <c r="K31969" s="18" t="s">
        <v>477</v>
      </c>
    </row>
    <row r="31970">
      <c r="B31970" s="17" t="s">
        <v>477</v>
      </c>
      <c r="K31970" s="18" t="s">
        <v>477</v>
      </c>
    </row>
    <row r="31971">
      <c r="B31971" s="17" t="s">
        <v>477</v>
      </c>
      <c r="K31971" s="18" t="s">
        <v>477</v>
      </c>
    </row>
    <row r="31972">
      <c r="B31972" s="17" t="s">
        <v>477</v>
      </c>
      <c r="K31972" s="18" t="s">
        <v>477</v>
      </c>
    </row>
    <row r="31973">
      <c r="B31973" s="17" t="s">
        <v>477</v>
      </c>
      <c r="K31973" s="18" t="s">
        <v>477</v>
      </c>
    </row>
    <row r="31974">
      <c r="B31974" s="17" t="s">
        <v>477</v>
      </c>
      <c r="K31974" s="18" t="s">
        <v>477</v>
      </c>
    </row>
    <row r="31975">
      <c r="B31975" s="17" t="s">
        <v>477</v>
      </c>
      <c r="K31975" s="18" t="s">
        <v>477</v>
      </c>
    </row>
    <row r="31976">
      <c r="B31976" s="17" t="s">
        <v>477</v>
      </c>
      <c r="K31976" s="18" t="s">
        <v>477</v>
      </c>
    </row>
    <row r="31977">
      <c r="B31977" s="17" t="s">
        <v>477</v>
      </c>
      <c r="K31977" s="18" t="s">
        <v>477</v>
      </c>
    </row>
    <row r="31978">
      <c r="B31978" s="17" t="s">
        <v>477</v>
      </c>
      <c r="K31978" s="18" t="s">
        <v>477</v>
      </c>
    </row>
    <row r="31979">
      <c r="B31979" s="17" t="s">
        <v>477</v>
      </c>
      <c r="K31979" s="18" t="s">
        <v>477</v>
      </c>
    </row>
    <row r="31980">
      <c r="B31980" s="17" t="s">
        <v>477</v>
      </c>
      <c r="K31980" s="18" t="s">
        <v>477</v>
      </c>
    </row>
    <row r="31981">
      <c r="B31981" s="17" t="s">
        <v>477</v>
      </c>
      <c r="K31981" s="18" t="s">
        <v>477</v>
      </c>
    </row>
    <row r="31982">
      <c r="B31982" s="17" t="s">
        <v>477</v>
      </c>
      <c r="K31982" s="18" t="s">
        <v>477</v>
      </c>
    </row>
    <row r="31983">
      <c r="B31983" s="17" t="s">
        <v>477</v>
      </c>
      <c r="K31983" s="18" t="s">
        <v>477</v>
      </c>
    </row>
    <row r="31984">
      <c r="B31984" s="17" t="s">
        <v>477</v>
      </c>
      <c r="K31984" s="18" t="s">
        <v>477</v>
      </c>
    </row>
    <row r="31985">
      <c r="B31985" s="17" t="s">
        <v>477</v>
      </c>
      <c r="K31985" s="18" t="s">
        <v>477</v>
      </c>
    </row>
    <row r="31986">
      <c r="B31986" s="17" t="s">
        <v>477</v>
      </c>
      <c r="K31986" s="18" t="s">
        <v>477</v>
      </c>
    </row>
    <row r="31987">
      <c r="B31987" s="17" t="s">
        <v>477</v>
      </c>
      <c r="K31987" s="18" t="s">
        <v>477</v>
      </c>
    </row>
    <row r="31988">
      <c r="B31988" s="17" t="s">
        <v>477</v>
      </c>
      <c r="K31988" s="18" t="s">
        <v>477</v>
      </c>
    </row>
    <row r="31989">
      <c r="B31989" s="17" t="s">
        <v>477</v>
      </c>
      <c r="K31989" s="18" t="s">
        <v>477</v>
      </c>
    </row>
    <row r="31990">
      <c r="B31990" s="17" t="s">
        <v>477</v>
      </c>
      <c r="K31990" s="18" t="s">
        <v>477</v>
      </c>
    </row>
    <row r="31991">
      <c r="B31991" s="17" t="s">
        <v>477</v>
      </c>
      <c r="K31991" s="18" t="s">
        <v>477</v>
      </c>
    </row>
    <row r="31992">
      <c r="B31992" s="17" t="s">
        <v>477</v>
      </c>
      <c r="K31992" s="18" t="s">
        <v>477</v>
      </c>
    </row>
    <row r="31993">
      <c r="B31993" s="17" t="s">
        <v>477</v>
      </c>
      <c r="K31993" s="18" t="s">
        <v>477</v>
      </c>
    </row>
    <row r="31994">
      <c r="B31994" s="17" t="s">
        <v>477</v>
      </c>
      <c r="K31994" s="18" t="s">
        <v>477</v>
      </c>
    </row>
    <row r="31995">
      <c r="B31995" s="17" t="s">
        <v>477</v>
      </c>
      <c r="K31995" s="18" t="s">
        <v>477</v>
      </c>
    </row>
    <row r="31996">
      <c r="B31996" s="17" t="s">
        <v>477</v>
      </c>
      <c r="K31996" s="18" t="s">
        <v>477</v>
      </c>
    </row>
    <row r="31997">
      <c r="B31997" s="17" t="s">
        <v>477</v>
      </c>
      <c r="K31997" s="18" t="s">
        <v>477</v>
      </c>
    </row>
    <row r="31998">
      <c r="B31998" s="17" t="s">
        <v>477</v>
      </c>
      <c r="K31998" s="18" t="s">
        <v>477</v>
      </c>
    </row>
    <row r="31999">
      <c r="B31999" s="17" t="s">
        <v>477</v>
      </c>
      <c r="K31999" s="18" t="s">
        <v>477</v>
      </c>
    </row>
    <row r="32000">
      <c r="B32000" s="17" t="s">
        <v>477</v>
      </c>
      <c r="K32000" s="18" t="s">
        <v>477</v>
      </c>
    </row>
    <row r="32001">
      <c r="B32001" s="17" t="s">
        <v>477</v>
      </c>
      <c r="K32001" s="18" t="s">
        <v>477</v>
      </c>
    </row>
    <row r="32002">
      <c r="B32002" s="17" t="s">
        <v>477</v>
      </c>
      <c r="K32002" s="18" t="s">
        <v>477</v>
      </c>
    </row>
    <row r="32003">
      <c r="B32003" s="17" t="s">
        <v>477</v>
      </c>
      <c r="K32003" s="18" t="s">
        <v>477</v>
      </c>
    </row>
    <row r="32004">
      <c r="B32004" s="17" t="s">
        <v>477</v>
      </c>
      <c r="K32004" s="18" t="s">
        <v>477</v>
      </c>
    </row>
    <row r="32005">
      <c r="B32005" s="17" t="s">
        <v>477</v>
      </c>
      <c r="K32005" s="18" t="s">
        <v>477</v>
      </c>
    </row>
    <row r="32006">
      <c r="B32006" s="17" t="s">
        <v>477</v>
      </c>
      <c r="K32006" s="18" t="s">
        <v>477</v>
      </c>
    </row>
    <row r="32007">
      <c r="B32007" s="17" t="s">
        <v>477</v>
      </c>
      <c r="K32007" s="18" t="s">
        <v>477</v>
      </c>
    </row>
    <row r="32008">
      <c r="B32008" s="17" t="s">
        <v>477</v>
      </c>
      <c r="K32008" s="18" t="s">
        <v>477</v>
      </c>
    </row>
    <row r="32009">
      <c r="B32009" s="17" t="s">
        <v>477</v>
      </c>
      <c r="K32009" s="18" t="s">
        <v>477</v>
      </c>
    </row>
    <row r="32010">
      <c r="B32010" s="17" t="s">
        <v>477</v>
      </c>
      <c r="K32010" s="18" t="s">
        <v>477</v>
      </c>
    </row>
    <row r="32011">
      <c r="B32011" s="17" t="s">
        <v>477</v>
      </c>
      <c r="K32011" s="18" t="s">
        <v>477</v>
      </c>
    </row>
    <row r="32012">
      <c r="B32012" s="17" t="s">
        <v>477</v>
      </c>
      <c r="K32012" s="18" t="s">
        <v>477</v>
      </c>
    </row>
    <row r="32013">
      <c r="B32013" s="17" t="s">
        <v>477</v>
      </c>
      <c r="K32013" s="18" t="s">
        <v>477</v>
      </c>
    </row>
    <row r="32014">
      <c r="B32014" s="17" t="s">
        <v>477</v>
      </c>
      <c r="K32014" s="18" t="s">
        <v>477</v>
      </c>
    </row>
    <row r="32015">
      <c r="B32015" s="17" t="s">
        <v>477</v>
      </c>
      <c r="K32015" s="18" t="s">
        <v>477</v>
      </c>
    </row>
    <row r="32016">
      <c r="B32016" s="17" t="s">
        <v>477</v>
      </c>
      <c r="K32016" s="18" t="s">
        <v>477</v>
      </c>
    </row>
    <row r="32017">
      <c r="B32017" s="17" t="s">
        <v>477</v>
      </c>
      <c r="K32017" s="18" t="s">
        <v>477</v>
      </c>
    </row>
    <row r="32018">
      <c r="B32018" s="17" t="s">
        <v>477</v>
      </c>
      <c r="K32018" s="18" t="s">
        <v>477</v>
      </c>
    </row>
    <row r="32019">
      <c r="B32019" s="17" t="s">
        <v>477</v>
      </c>
      <c r="K32019" s="18" t="s">
        <v>477</v>
      </c>
    </row>
    <row r="32020">
      <c r="B32020" s="17" t="s">
        <v>477</v>
      </c>
      <c r="K32020" s="18" t="s">
        <v>477</v>
      </c>
    </row>
    <row r="32021">
      <c r="B32021" s="17" t="s">
        <v>477</v>
      </c>
      <c r="K32021" s="18" t="s">
        <v>477</v>
      </c>
    </row>
    <row r="32022">
      <c r="B32022" s="17" t="s">
        <v>477</v>
      </c>
      <c r="K32022" s="18" t="s">
        <v>477</v>
      </c>
    </row>
    <row r="32023">
      <c r="B32023" s="17" t="s">
        <v>477</v>
      </c>
      <c r="K32023" s="18" t="s">
        <v>477</v>
      </c>
    </row>
    <row r="32024">
      <c r="B32024" s="17" t="s">
        <v>477</v>
      </c>
      <c r="K32024" s="18" t="s">
        <v>477</v>
      </c>
    </row>
    <row r="32025">
      <c r="B32025" s="17" t="s">
        <v>477</v>
      </c>
      <c r="K32025" s="18" t="s">
        <v>477</v>
      </c>
    </row>
    <row r="32026">
      <c r="B32026" s="17" t="s">
        <v>477</v>
      </c>
      <c r="K32026" s="18" t="s">
        <v>477</v>
      </c>
    </row>
    <row r="32027">
      <c r="B32027" s="17" t="s">
        <v>477</v>
      </c>
      <c r="K32027" s="18" t="s">
        <v>477</v>
      </c>
    </row>
    <row r="32028">
      <c r="B32028" s="17" t="s">
        <v>477</v>
      </c>
      <c r="K32028" s="18" t="s">
        <v>477</v>
      </c>
    </row>
    <row r="32029">
      <c r="B32029" s="17" t="s">
        <v>477</v>
      </c>
      <c r="K32029" s="18" t="s">
        <v>477</v>
      </c>
    </row>
    <row r="32030">
      <c r="B32030" s="17" t="s">
        <v>477</v>
      </c>
      <c r="K32030" s="18" t="s">
        <v>477</v>
      </c>
    </row>
    <row r="32031">
      <c r="B32031" s="17" t="s">
        <v>477</v>
      </c>
      <c r="K32031" s="18" t="s">
        <v>477</v>
      </c>
    </row>
    <row r="32032">
      <c r="B32032" s="17" t="s">
        <v>477</v>
      </c>
      <c r="K32032" s="18" t="s">
        <v>477</v>
      </c>
    </row>
    <row r="32033">
      <c r="B32033" s="17" t="s">
        <v>477</v>
      </c>
      <c r="K32033" s="18" t="s">
        <v>477</v>
      </c>
    </row>
    <row r="32034">
      <c r="B32034" s="17" t="s">
        <v>477</v>
      </c>
      <c r="K32034" s="18" t="s">
        <v>477</v>
      </c>
    </row>
    <row r="32035">
      <c r="B32035" s="17" t="s">
        <v>477</v>
      </c>
      <c r="K32035" s="18" t="s">
        <v>477</v>
      </c>
    </row>
    <row r="32036">
      <c r="B32036" s="17" t="s">
        <v>477</v>
      </c>
      <c r="K32036" s="18" t="s">
        <v>477</v>
      </c>
    </row>
    <row r="32037">
      <c r="B32037" s="17" t="s">
        <v>477</v>
      </c>
      <c r="K32037" s="18" t="s">
        <v>477</v>
      </c>
    </row>
    <row r="32038">
      <c r="B32038" s="17" t="s">
        <v>477</v>
      </c>
      <c r="K32038" s="18" t="s">
        <v>477</v>
      </c>
    </row>
    <row r="32039">
      <c r="B32039" s="17" t="s">
        <v>477</v>
      </c>
      <c r="K32039" s="18" t="s">
        <v>477</v>
      </c>
    </row>
    <row r="32040">
      <c r="B32040" s="17" t="s">
        <v>477</v>
      </c>
      <c r="K32040" s="18" t="s">
        <v>477</v>
      </c>
    </row>
    <row r="32041">
      <c r="B32041" s="17" t="s">
        <v>477</v>
      </c>
      <c r="K32041" s="18" t="s">
        <v>477</v>
      </c>
    </row>
    <row r="32042">
      <c r="B32042" s="17" t="s">
        <v>477</v>
      </c>
      <c r="K32042" s="18" t="s">
        <v>477</v>
      </c>
    </row>
    <row r="32043">
      <c r="B32043" s="17" t="s">
        <v>477</v>
      </c>
      <c r="K32043" s="18" t="s">
        <v>477</v>
      </c>
    </row>
    <row r="32044">
      <c r="B32044" s="17" t="s">
        <v>477</v>
      </c>
      <c r="K32044" s="18" t="s">
        <v>477</v>
      </c>
    </row>
    <row r="32045">
      <c r="B32045" s="17" t="s">
        <v>477</v>
      </c>
      <c r="K32045" s="18" t="s">
        <v>477</v>
      </c>
    </row>
    <row r="32046">
      <c r="B32046" s="17" t="s">
        <v>477</v>
      </c>
      <c r="K32046" s="18" t="s">
        <v>477</v>
      </c>
    </row>
    <row r="32047">
      <c r="B32047" s="17" t="s">
        <v>477</v>
      </c>
      <c r="K32047" s="18" t="s">
        <v>477</v>
      </c>
    </row>
    <row r="32048">
      <c r="B32048" s="17" t="s">
        <v>477</v>
      </c>
      <c r="K32048" s="18" t="s">
        <v>477</v>
      </c>
    </row>
    <row r="32049">
      <c r="B32049" s="17" t="s">
        <v>477</v>
      </c>
      <c r="K32049" s="18" t="s">
        <v>477</v>
      </c>
    </row>
    <row r="32050">
      <c r="B32050" s="17" t="s">
        <v>477</v>
      </c>
      <c r="K32050" s="18" t="s">
        <v>477</v>
      </c>
    </row>
    <row r="32051">
      <c r="B32051" s="17" t="s">
        <v>477</v>
      </c>
      <c r="K32051" s="18" t="s">
        <v>477</v>
      </c>
    </row>
    <row r="32052">
      <c r="B32052" s="17" t="s">
        <v>477</v>
      </c>
      <c r="K32052" s="18" t="s">
        <v>477</v>
      </c>
    </row>
    <row r="32053">
      <c r="B32053" s="17" t="s">
        <v>477</v>
      </c>
      <c r="K32053" s="18" t="s">
        <v>477</v>
      </c>
    </row>
    <row r="32054">
      <c r="B32054" s="17" t="s">
        <v>477</v>
      </c>
      <c r="K32054" s="18" t="s">
        <v>477</v>
      </c>
    </row>
    <row r="32055">
      <c r="B32055" s="17" t="s">
        <v>477</v>
      </c>
      <c r="K32055" s="18" t="s">
        <v>477</v>
      </c>
    </row>
    <row r="32056">
      <c r="B32056" s="17" t="s">
        <v>477</v>
      </c>
      <c r="K32056" s="18" t="s">
        <v>477</v>
      </c>
    </row>
    <row r="32057">
      <c r="B32057" s="17" t="s">
        <v>477</v>
      </c>
      <c r="K32057" s="18" t="s">
        <v>477</v>
      </c>
    </row>
    <row r="32058">
      <c r="B32058" s="17" t="s">
        <v>477</v>
      </c>
      <c r="K32058" s="18" t="s">
        <v>477</v>
      </c>
    </row>
    <row r="32059">
      <c r="B32059" s="17" t="s">
        <v>477</v>
      </c>
      <c r="K32059" s="18" t="s">
        <v>477</v>
      </c>
    </row>
    <row r="32060">
      <c r="B32060" s="17" t="s">
        <v>477</v>
      </c>
      <c r="K32060" s="18" t="s">
        <v>477</v>
      </c>
    </row>
    <row r="32061">
      <c r="B32061" s="17" t="s">
        <v>477</v>
      </c>
      <c r="K32061" s="18" t="s">
        <v>477</v>
      </c>
    </row>
    <row r="32062">
      <c r="B32062" s="17" t="s">
        <v>477</v>
      </c>
      <c r="K32062" s="18" t="s">
        <v>477</v>
      </c>
    </row>
    <row r="32063">
      <c r="B32063" s="17" t="s">
        <v>477</v>
      </c>
      <c r="K32063" s="18" t="s">
        <v>477</v>
      </c>
    </row>
    <row r="32064">
      <c r="B32064" s="17" t="s">
        <v>477</v>
      </c>
      <c r="K32064" s="18" t="s">
        <v>477</v>
      </c>
    </row>
    <row r="32065">
      <c r="B32065" s="17" t="s">
        <v>477</v>
      </c>
      <c r="K32065" s="18" t="s">
        <v>477</v>
      </c>
    </row>
    <row r="32066">
      <c r="B32066" s="17" t="s">
        <v>477</v>
      </c>
      <c r="K32066" s="18" t="s">
        <v>477</v>
      </c>
    </row>
    <row r="32067">
      <c r="B32067" s="17" t="s">
        <v>477</v>
      </c>
      <c r="K32067" s="18" t="s">
        <v>477</v>
      </c>
    </row>
    <row r="32068">
      <c r="B32068" s="17" t="s">
        <v>477</v>
      </c>
      <c r="K32068" s="18" t="s">
        <v>477</v>
      </c>
    </row>
    <row r="32069">
      <c r="B32069" s="17" t="s">
        <v>477</v>
      </c>
      <c r="K32069" s="18" t="s">
        <v>477</v>
      </c>
    </row>
    <row r="32070">
      <c r="B32070" s="17" t="s">
        <v>477</v>
      </c>
      <c r="K32070" s="18" t="s">
        <v>477</v>
      </c>
    </row>
    <row r="32071">
      <c r="B32071" s="17" t="s">
        <v>477</v>
      </c>
      <c r="K32071" s="18" t="s">
        <v>477</v>
      </c>
    </row>
    <row r="32072">
      <c r="B32072" s="17" t="s">
        <v>477</v>
      </c>
      <c r="K32072" s="18" t="s">
        <v>477</v>
      </c>
    </row>
    <row r="32073">
      <c r="B32073" s="17" t="s">
        <v>477</v>
      </c>
      <c r="K32073" s="18" t="s">
        <v>477</v>
      </c>
    </row>
    <row r="32074">
      <c r="B32074" s="17" t="s">
        <v>477</v>
      </c>
      <c r="K32074" s="18" t="s">
        <v>477</v>
      </c>
    </row>
    <row r="32075">
      <c r="B32075" s="17" t="s">
        <v>477</v>
      </c>
      <c r="K32075" s="18" t="s">
        <v>477</v>
      </c>
    </row>
    <row r="32076">
      <c r="B32076" s="17" t="s">
        <v>477</v>
      </c>
      <c r="K32076" s="18" t="s">
        <v>477</v>
      </c>
    </row>
    <row r="32077">
      <c r="B32077" s="17" t="s">
        <v>477</v>
      </c>
      <c r="K32077" s="18" t="s">
        <v>477</v>
      </c>
    </row>
    <row r="32078">
      <c r="B32078" s="17" t="s">
        <v>477</v>
      </c>
      <c r="K32078" s="18" t="s">
        <v>477</v>
      </c>
    </row>
    <row r="32079">
      <c r="B32079" s="17" t="s">
        <v>477</v>
      </c>
      <c r="K32079" s="18" t="s">
        <v>477</v>
      </c>
    </row>
    <row r="32080">
      <c r="B32080" s="17" t="s">
        <v>477</v>
      </c>
      <c r="K32080" s="18" t="s">
        <v>477</v>
      </c>
    </row>
    <row r="32081">
      <c r="B32081" s="17" t="s">
        <v>477</v>
      </c>
      <c r="K32081" s="18" t="s">
        <v>477</v>
      </c>
    </row>
    <row r="32082">
      <c r="B32082" s="17" t="s">
        <v>477</v>
      </c>
      <c r="K32082" s="18" t="s">
        <v>477</v>
      </c>
    </row>
    <row r="32083">
      <c r="B32083" s="17" t="s">
        <v>477</v>
      </c>
      <c r="K32083" s="18" t="s">
        <v>477</v>
      </c>
    </row>
    <row r="32084">
      <c r="B32084" s="17" t="s">
        <v>477</v>
      </c>
      <c r="K32084" s="18" t="s">
        <v>477</v>
      </c>
    </row>
    <row r="32085">
      <c r="B32085" s="17" t="s">
        <v>477</v>
      </c>
      <c r="K32085" s="18" t="s">
        <v>477</v>
      </c>
    </row>
    <row r="32086">
      <c r="B32086" s="17" t="s">
        <v>477</v>
      </c>
      <c r="K32086" s="18" t="s">
        <v>477</v>
      </c>
    </row>
    <row r="32087">
      <c r="B32087" s="17" t="s">
        <v>477</v>
      </c>
      <c r="K32087" s="18" t="s">
        <v>477</v>
      </c>
    </row>
    <row r="32088">
      <c r="B32088" s="17" t="s">
        <v>477</v>
      </c>
      <c r="K32088" s="18" t="s">
        <v>477</v>
      </c>
    </row>
    <row r="32089">
      <c r="B32089" s="17" t="s">
        <v>477</v>
      </c>
      <c r="K32089" s="18" t="s">
        <v>477</v>
      </c>
    </row>
    <row r="32090">
      <c r="B32090" s="17" t="s">
        <v>477</v>
      </c>
      <c r="K32090" s="18" t="s">
        <v>477</v>
      </c>
    </row>
    <row r="32091">
      <c r="B32091" s="17" t="s">
        <v>477</v>
      </c>
      <c r="K32091" s="18" t="s">
        <v>477</v>
      </c>
    </row>
    <row r="32092">
      <c r="B32092" s="17" t="s">
        <v>477</v>
      </c>
      <c r="K32092" s="18" t="s">
        <v>477</v>
      </c>
    </row>
    <row r="32093">
      <c r="B32093" s="17" t="s">
        <v>477</v>
      </c>
      <c r="K32093" s="18" t="s">
        <v>477</v>
      </c>
    </row>
    <row r="32094">
      <c r="B32094" s="17" t="s">
        <v>477</v>
      </c>
      <c r="K32094" s="18" t="s">
        <v>477</v>
      </c>
    </row>
    <row r="32095">
      <c r="B32095" s="17" t="s">
        <v>477</v>
      </c>
      <c r="K32095" s="18" t="s">
        <v>477</v>
      </c>
    </row>
    <row r="32096">
      <c r="B32096" s="17" t="s">
        <v>477</v>
      </c>
      <c r="K32096" s="18" t="s">
        <v>477</v>
      </c>
    </row>
    <row r="32097">
      <c r="B32097" s="17" t="s">
        <v>477</v>
      </c>
      <c r="K32097" s="18" t="s">
        <v>477</v>
      </c>
    </row>
    <row r="32098">
      <c r="B32098" s="17" t="s">
        <v>477</v>
      </c>
      <c r="K32098" s="18" t="s">
        <v>477</v>
      </c>
    </row>
    <row r="32099">
      <c r="B32099" s="17" t="s">
        <v>477</v>
      </c>
      <c r="K32099" s="18" t="s">
        <v>477</v>
      </c>
    </row>
    <row r="32100">
      <c r="B32100" s="17" t="s">
        <v>477</v>
      </c>
      <c r="K32100" s="18" t="s">
        <v>477</v>
      </c>
    </row>
    <row r="32101">
      <c r="B32101" s="17" t="s">
        <v>477</v>
      </c>
      <c r="K32101" s="18" t="s">
        <v>477</v>
      </c>
    </row>
    <row r="32102">
      <c r="B32102" s="17" t="s">
        <v>477</v>
      </c>
      <c r="K32102" s="18" t="s">
        <v>477</v>
      </c>
    </row>
    <row r="32103">
      <c r="B32103" s="17" t="s">
        <v>477</v>
      </c>
      <c r="K32103" s="18" t="s">
        <v>477</v>
      </c>
    </row>
    <row r="32104">
      <c r="B32104" s="17" t="s">
        <v>477</v>
      </c>
      <c r="K32104" s="18" t="s">
        <v>477</v>
      </c>
    </row>
    <row r="32105">
      <c r="B32105" s="17" t="s">
        <v>477</v>
      </c>
      <c r="K32105" s="18" t="s">
        <v>477</v>
      </c>
    </row>
    <row r="32106">
      <c r="B32106" s="17" t="s">
        <v>477</v>
      </c>
      <c r="K32106" s="18" t="s">
        <v>477</v>
      </c>
    </row>
    <row r="32107">
      <c r="B32107" s="17" t="s">
        <v>477</v>
      </c>
      <c r="K32107" s="18" t="s">
        <v>477</v>
      </c>
    </row>
    <row r="32108">
      <c r="B32108" s="17" t="s">
        <v>477</v>
      </c>
      <c r="K32108" s="18" t="s">
        <v>477</v>
      </c>
    </row>
    <row r="32109">
      <c r="B32109" s="17" t="s">
        <v>477</v>
      </c>
      <c r="K32109" s="18" t="s">
        <v>477</v>
      </c>
    </row>
    <row r="32110">
      <c r="B32110" s="17" t="s">
        <v>477</v>
      </c>
      <c r="K32110" s="18" t="s">
        <v>477</v>
      </c>
    </row>
    <row r="32111">
      <c r="B32111" s="17" t="s">
        <v>477</v>
      </c>
      <c r="K32111" s="18" t="s">
        <v>477</v>
      </c>
    </row>
    <row r="32112">
      <c r="B32112" s="17" t="s">
        <v>477</v>
      </c>
      <c r="K32112" s="18" t="s">
        <v>477</v>
      </c>
    </row>
    <row r="32113">
      <c r="B32113" s="17" t="s">
        <v>477</v>
      </c>
      <c r="K32113" s="18" t="s">
        <v>477</v>
      </c>
    </row>
    <row r="32114">
      <c r="B32114" s="17" t="s">
        <v>477</v>
      </c>
      <c r="K32114" s="18" t="s">
        <v>477</v>
      </c>
    </row>
    <row r="32115">
      <c r="B32115" s="17" t="s">
        <v>477</v>
      </c>
      <c r="K32115" s="18" t="s">
        <v>477</v>
      </c>
    </row>
    <row r="32116">
      <c r="B32116" s="17" t="s">
        <v>477</v>
      </c>
      <c r="K32116" s="18" t="s">
        <v>477</v>
      </c>
    </row>
    <row r="32117">
      <c r="B32117" s="17" t="s">
        <v>477</v>
      </c>
      <c r="K32117" s="18" t="s">
        <v>477</v>
      </c>
    </row>
    <row r="32118">
      <c r="B32118" s="17" t="s">
        <v>477</v>
      </c>
      <c r="K32118" s="18" t="s">
        <v>477</v>
      </c>
    </row>
    <row r="32119">
      <c r="B32119" s="17" t="s">
        <v>477</v>
      </c>
      <c r="K32119" s="18" t="s">
        <v>477</v>
      </c>
    </row>
    <row r="32120">
      <c r="B32120" s="17" t="s">
        <v>477</v>
      </c>
      <c r="K32120" s="18" t="s">
        <v>477</v>
      </c>
    </row>
    <row r="32121">
      <c r="B32121" s="17" t="s">
        <v>477</v>
      </c>
      <c r="K32121" s="18" t="s">
        <v>477</v>
      </c>
    </row>
    <row r="32122">
      <c r="B32122" s="17" t="s">
        <v>477</v>
      </c>
      <c r="K32122" s="18" t="s">
        <v>477</v>
      </c>
    </row>
    <row r="32123">
      <c r="B32123" s="17" t="s">
        <v>477</v>
      </c>
      <c r="K32123" s="18" t="s">
        <v>477</v>
      </c>
    </row>
    <row r="32124">
      <c r="B32124" s="17" t="s">
        <v>477</v>
      </c>
      <c r="K32124" s="18" t="s">
        <v>477</v>
      </c>
    </row>
    <row r="32125">
      <c r="B32125" s="17" t="s">
        <v>477</v>
      </c>
      <c r="K32125" s="18" t="s">
        <v>477</v>
      </c>
    </row>
    <row r="32126">
      <c r="B32126" s="17" t="s">
        <v>477</v>
      </c>
      <c r="K32126" s="18" t="s">
        <v>477</v>
      </c>
    </row>
    <row r="32127">
      <c r="B32127" s="17" t="s">
        <v>477</v>
      </c>
      <c r="K32127" s="18" t="s">
        <v>477</v>
      </c>
    </row>
    <row r="32128">
      <c r="B32128" s="17" t="s">
        <v>477</v>
      </c>
      <c r="K32128" s="18" t="s">
        <v>477</v>
      </c>
    </row>
    <row r="32129">
      <c r="B32129" s="17" t="s">
        <v>477</v>
      </c>
      <c r="K32129" s="18" t="s">
        <v>477</v>
      </c>
    </row>
    <row r="32130">
      <c r="B32130" s="17" t="s">
        <v>477</v>
      </c>
      <c r="K32130" s="18" t="s">
        <v>477</v>
      </c>
    </row>
    <row r="32131">
      <c r="B32131" s="17" t="s">
        <v>477</v>
      </c>
      <c r="K32131" s="18" t="s">
        <v>477</v>
      </c>
    </row>
    <row r="32132">
      <c r="B32132" s="17" t="s">
        <v>477</v>
      </c>
      <c r="K32132" s="18" t="s">
        <v>477</v>
      </c>
    </row>
    <row r="32133">
      <c r="B32133" s="17" t="s">
        <v>477</v>
      </c>
      <c r="K32133" s="18" t="s">
        <v>477</v>
      </c>
    </row>
    <row r="32134">
      <c r="B32134" s="17" t="s">
        <v>477</v>
      </c>
      <c r="K32134" s="18" t="s">
        <v>477</v>
      </c>
    </row>
    <row r="32135">
      <c r="B32135" s="17" t="s">
        <v>477</v>
      </c>
      <c r="K32135" s="18" t="s">
        <v>477</v>
      </c>
    </row>
    <row r="32136">
      <c r="B32136" s="17" t="s">
        <v>477</v>
      </c>
      <c r="K32136" s="18" t="s">
        <v>477</v>
      </c>
    </row>
    <row r="32137">
      <c r="B32137" s="17" t="s">
        <v>477</v>
      </c>
      <c r="K32137" s="18" t="s">
        <v>477</v>
      </c>
    </row>
    <row r="32138">
      <c r="B32138" s="17" t="s">
        <v>477</v>
      </c>
      <c r="K32138" s="18" t="s">
        <v>477</v>
      </c>
    </row>
    <row r="32139">
      <c r="B32139" s="17" t="s">
        <v>477</v>
      </c>
      <c r="K32139" s="18" t="s">
        <v>477</v>
      </c>
    </row>
    <row r="32140">
      <c r="B32140" s="17" t="s">
        <v>477</v>
      </c>
      <c r="K32140" s="18" t="s">
        <v>477</v>
      </c>
    </row>
    <row r="32141">
      <c r="B32141" s="17" t="s">
        <v>477</v>
      </c>
      <c r="K32141" s="18" t="s">
        <v>477</v>
      </c>
    </row>
    <row r="32142">
      <c r="B32142" s="17" t="s">
        <v>477</v>
      </c>
      <c r="K32142" s="18" t="s">
        <v>477</v>
      </c>
    </row>
    <row r="32143">
      <c r="B32143" s="17" t="s">
        <v>477</v>
      </c>
      <c r="K32143" s="18" t="s">
        <v>477</v>
      </c>
    </row>
    <row r="32144">
      <c r="B32144" s="17" t="s">
        <v>477</v>
      </c>
      <c r="K32144" s="18" t="s">
        <v>477</v>
      </c>
    </row>
    <row r="32145">
      <c r="B32145" s="17" t="s">
        <v>477</v>
      </c>
      <c r="K32145" s="18" t="s">
        <v>477</v>
      </c>
    </row>
    <row r="32146">
      <c r="B32146" s="17" t="s">
        <v>477</v>
      </c>
      <c r="K32146" s="18" t="s">
        <v>477</v>
      </c>
    </row>
    <row r="32147">
      <c r="B32147" s="17" t="s">
        <v>477</v>
      </c>
      <c r="K32147" s="18" t="s">
        <v>477</v>
      </c>
    </row>
    <row r="32148">
      <c r="B32148" s="17" t="s">
        <v>477</v>
      </c>
      <c r="K32148" s="18" t="s">
        <v>477</v>
      </c>
    </row>
    <row r="32149">
      <c r="B32149" s="17" t="s">
        <v>477</v>
      </c>
      <c r="K32149" s="18" t="s">
        <v>477</v>
      </c>
    </row>
    <row r="32150">
      <c r="B32150" s="17" t="s">
        <v>477</v>
      </c>
      <c r="K32150" s="18" t="s">
        <v>477</v>
      </c>
    </row>
    <row r="32151">
      <c r="B32151" s="17" t="s">
        <v>477</v>
      </c>
      <c r="K32151" s="18" t="s">
        <v>477</v>
      </c>
    </row>
    <row r="32152">
      <c r="B32152" s="17" t="s">
        <v>477</v>
      </c>
      <c r="K32152" s="18" t="s">
        <v>477</v>
      </c>
    </row>
    <row r="32153">
      <c r="B32153" s="17" t="s">
        <v>477</v>
      </c>
      <c r="K32153" s="18" t="s">
        <v>477</v>
      </c>
    </row>
    <row r="32154">
      <c r="B32154" s="17" t="s">
        <v>477</v>
      </c>
      <c r="K32154" s="18" t="s">
        <v>477</v>
      </c>
    </row>
    <row r="32155">
      <c r="B32155" s="17" t="s">
        <v>477</v>
      </c>
      <c r="K32155" s="18" t="s">
        <v>477</v>
      </c>
    </row>
    <row r="32156">
      <c r="B32156" s="17" t="s">
        <v>477</v>
      </c>
      <c r="K32156" s="18" t="s">
        <v>477</v>
      </c>
    </row>
    <row r="32157">
      <c r="B32157" s="17" t="s">
        <v>477</v>
      </c>
      <c r="K32157" s="18" t="s">
        <v>477</v>
      </c>
    </row>
    <row r="32158">
      <c r="B32158" s="17" t="s">
        <v>477</v>
      </c>
      <c r="K32158" s="18" t="s">
        <v>477</v>
      </c>
    </row>
    <row r="32159">
      <c r="B32159" s="17" t="s">
        <v>477</v>
      </c>
      <c r="K32159" s="18" t="s">
        <v>477</v>
      </c>
    </row>
    <row r="32160">
      <c r="B32160" s="17" t="s">
        <v>477</v>
      </c>
      <c r="K32160" s="18" t="s">
        <v>477</v>
      </c>
    </row>
    <row r="32161">
      <c r="B32161" s="17" t="s">
        <v>477</v>
      </c>
      <c r="K32161" s="18" t="s">
        <v>477</v>
      </c>
    </row>
    <row r="32162">
      <c r="B32162" s="17" t="s">
        <v>477</v>
      </c>
      <c r="K32162" s="18" t="s">
        <v>477</v>
      </c>
    </row>
    <row r="32163">
      <c r="B32163" s="17" t="s">
        <v>477</v>
      </c>
      <c r="K32163" s="18" t="s">
        <v>477</v>
      </c>
    </row>
    <row r="32164">
      <c r="B32164" s="17" t="s">
        <v>477</v>
      </c>
      <c r="K32164" s="18" t="s">
        <v>477</v>
      </c>
    </row>
    <row r="32165">
      <c r="B32165" s="17" t="s">
        <v>477</v>
      </c>
      <c r="K32165" s="18" t="s">
        <v>477</v>
      </c>
    </row>
    <row r="32166">
      <c r="B32166" s="17" t="s">
        <v>477</v>
      </c>
      <c r="K32166" s="18" t="s">
        <v>477</v>
      </c>
    </row>
    <row r="32167">
      <c r="B32167" s="17" t="s">
        <v>477</v>
      </c>
      <c r="K32167" s="18" t="s">
        <v>477</v>
      </c>
    </row>
    <row r="32168">
      <c r="B32168" s="17" t="s">
        <v>477</v>
      </c>
      <c r="K32168" s="18" t="s">
        <v>477</v>
      </c>
    </row>
    <row r="32169">
      <c r="B32169" s="17" t="s">
        <v>477</v>
      </c>
      <c r="K32169" s="18" t="s">
        <v>477</v>
      </c>
    </row>
    <row r="32170">
      <c r="B32170" s="17" t="s">
        <v>477</v>
      </c>
      <c r="K32170" s="18" t="s">
        <v>477</v>
      </c>
    </row>
    <row r="32171">
      <c r="B32171" s="17" t="s">
        <v>477</v>
      </c>
      <c r="K32171" s="18" t="s">
        <v>477</v>
      </c>
    </row>
    <row r="32172">
      <c r="B32172" s="17" t="s">
        <v>477</v>
      </c>
      <c r="K32172" s="18" t="s">
        <v>477</v>
      </c>
    </row>
    <row r="32173">
      <c r="B32173" s="17" t="s">
        <v>477</v>
      </c>
      <c r="K32173" s="18" t="s">
        <v>477</v>
      </c>
    </row>
    <row r="32174">
      <c r="B32174" s="17" t="s">
        <v>477</v>
      </c>
      <c r="K32174" s="18" t="s">
        <v>477</v>
      </c>
    </row>
    <row r="32175">
      <c r="B32175" s="17" t="s">
        <v>477</v>
      </c>
      <c r="K32175" s="18" t="s">
        <v>477</v>
      </c>
    </row>
    <row r="32176">
      <c r="B32176" s="17" t="s">
        <v>477</v>
      </c>
      <c r="K32176" s="18" t="s">
        <v>477</v>
      </c>
    </row>
    <row r="32177">
      <c r="B32177" s="17" t="s">
        <v>477</v>
      </c>
      <c r="K32177" s="18" t="s">
        <v>477</v>
      </c>
    </row>
    <row r="32178">
      <c r="B32178" s="17" t="s">
        <v>477</v>
      </c>
      <c r="K32178" s="18" t="s">
        <v>477</v>
      </c>
    </row>
    <row r="32179">
      <c r="B32179" s="17" t="s">
        <v>477</v>
      </c>
      <c r="K32179" s="18" t="s">
        <v>477</v>
      </c>
    </row>
    <row r="32180">
      <c r="B32180" s="17" t="s">
        <v>477</v>
      </c>
      <c r="K32180" s="18" t="s">
        <v>477</v>
      </c>
    </row>
    <row r="32181">
      <c r="B32181" s="17" t="s">
        <v>477</v>
      </c>
      <c r="K32181" s="18" t="s">
        <v>477</v>
      </c>
    </row>
    <row r="32182">
      <c r="B32182" s="17" t="s">
        <v>477</v>
      </c>
      <c r="K32182" s="18" t="s">
        <v>477</v>
      </c>
    </row>
    <row r="32183">
      <c r="B32183" s="17" t="s">
        <v>477</v>
      </c>
      <c r="K32183" s="18" t="s">
        <v>477</v>
      </c>
    </row>
    <row r="32184">
      <c r="B32184" s="17" t="s">
        <v>477</v>
      </c>
      <c r="K32184" s="18" t="s">
        <v>477</v>
      </c>
    </row>
    <row r="32185">
      <c r="B32185" s="17" t="s">
        <v>477</v>
      </c>
      <c r="K32185" s="18" t="s">
        <v>477</v>
      </c>
    </row>
    <row r="32186">
      <c r="B32186" s="17" t="s">
        <v>477</v>
      </c>
      <c r="K32186" s="18" t="s">
        <v>477</v>
      </c>
    </row>
    <row r="32187">
      <c r="B32187" s="17" t="s">
        <v>477</v>
      </c>
      <c r="K32187" s="18" t="s">
        <v>477</v>
      </c>
    </row>
    <row r="32188">
      <c r="B32188" s="17" t="s">
        <v>477</v>
      </c>
      <c r="K32188" s="18" t="s">
        <v>477</v>
      </c>
    </row>
    <row r="32189">
      <c r="B32189" s="17" t="s">
        <v>477</v>
      </c>
      <c r="K32189" s="18" t="s">
        <v>477</v>
      </c>
    </row>
    <row r="32190">
      <c r="B32190" s="17" t="s">
        <v>477</v>
      </c>
      <c r="K32190" s="18" t="s">
        <v>477</v>
      </c>
    </row>
    <row r="32191">
      <c r="B32191" s="17" t="s">
        <v>477</v>
      </c>
      <c r="K32191" s="18" t="s">
        <v>477</v>
      </c>
    </row>
    <row r="32192">
      <c r="B32192" s="17" t="s">
        <v>477</v>
      </c>
      <c r="K32192" s="18" t="s">
        <v>477</v>
      </c>
    </row>
    <row r="32193">
      <c r="B32193" s="17" t="s">
        <v>477</v>
      </c>
      <c r="K32193" s="18" t="s">
        <v>477</v>
      </c>
    </row>
    <row r="32194">
      <c r="B32194" s="17" t="s">
        <v>477</v>
      </c>
      <c r="K32194" s="18" t="s">
        <v>477</v>
      </c>
    </row>
    <row r="32195">
      <c r="B32195" s="17" t="s">
        <v>477</v>
      </c>
      <c r="K32195" s="18" t="s">
        <v>477</v>
      </c>
    </row>
    <row r="32196">
      <c r="B32196" s="17" t="s">
        <v>477</v>
      </c>
      <c r="K32196" s="18" t="s">
        <v>477</v>
      </c>
    </row>
    <row r="32197">
      <c r="B32197" s="17" t="s">
        <v>477</v>
      </c>
      <c r="K32197" s="18" t="s">
        <v>477</v>
      </c>
    </row>
    <row r="32198">
      <c r="B32198" s="17" t="s">
        <v>477</v>
      </c>
      <c r="K32198" s="18" t="s">
        <v>477</v>
      </c>
    </row>
    <row r="32199">
      <c r="B32199" s="17" t="s">
        <v>477</v>
      </c>
      <c r="K32199" s="18" t="s">
        <v>477</v>
      </c>
    </row>
    <row r="32200">
      <c r="B32200" s="17" t="s">
        <v>477</v>
      </c>
      <c r="K32200" s="18" t="s">
        <v>477</v>
      </c>
    </row>
    <row r="32201">
      <c r="B32201" s="17" t="s">
        <v>477</v>
      </c>
      <c r="K32201" s="18" t="s">
        <v>477</v>
      </c>
    </row>
    <row r="32202">
      <c r="B32202" s="17" t="s">
        <v>477</v>
      </c>
      <c r="K32202" s="18" t="s">
        <v>477</v>
      </c>
    </row>
    <row r="32203">
      <c r="B32203" s="17" t="s">
        <v>477</v>
      </c>
      <c r="K32203" s="18" t="s">
        <v>477</v>
      </c>
    </row>
    <row r="32204">
      <c r="B32204" s="17" t="s">
        <v>477</v>
      </c>
      <c r="K32204" s="18" t="s">
        <v>477</v>
      </c>
    </row>
    <row r="32205">
      <c r="B32205" s="17" t="s">
        <v>477</v>
      </c>
      <c r="K32205" s="18" t="s">
        <v>477</v>
      </c>
    </row>
    <row r="32206">
      <c r="B32206" s="17" t="s">
        <v>477</v>
      </c>
      <c r="K32206" s="18" t="s">
        <v>477</v>
      </c>
    </row>
    <row r="32207">
      <c r="B32207" s="17" t="s">
        <v>477</v>
      </c>
      <c r="K32207" s="18" t="s">
        <v>477</v>
      </c>
    </row>
    <row r="32208">
      <c r="B32208" s="17" t="s">
        <v>477</v>
      </c>
      <c r="K32208" s="18" t="s">
        <v>477</v>
      </c>
    </row>
    <row r="32209">
      <c r="B32209" s="17" t="s">
        <v>477</v>
      </c>
      <c r="K32209" s="18" t="s">
        <v>477</v>
      </c>
    </row>
    <row r="32210">
      <c r="B32210" s="17" t="s">
        <v>477</v>
      </c>
      <c r="K32210" s="18" t="s">
        <v>477</v>
      </c>
    </row>
    <row r="32211">
      <c r="B32211" s="17" t="s">
        <v>477</v>
      </c>
      <c r="K32211" s="18" t="s">
        <v>477</v>
      </c>
    </row>
    <row r="32212">
      <c r="B32212" s="17" t="s">
        <v>477</v>
      </c>
      <c r="K32212" s="18" t="s">
        <v>477</v>
      </c>
    </row>
    <row r="32213">
      <c r="B32213" s="17" t="s">
        <v>477</v>
      </c>
      <c r="K32213" s="18" t="s">
        <v>477</v>
      </c>
    </row>
    <row r="32214">
      <c r="B32214" s="17" t="s">
        <v>477</v>
      </c>
      <c r="K32214" s="18" t="s">
        <v>477</v>
      </c>
    </row>
    <row r="32215">
      <c r="B32215" s="17" t="s">
        <v>477</v>
      </c>
      <c r="K32215" s="18" t="s">
        <v>477</v>
      </c>
    </row>
    <row r="32216">
      <c r="B32216" s="17" t="s">
        <v>477</v>
      </c>
      <c r="K32216" s="18" t="s">
        <v>477</v>
      </c>
    </row>
    <row r="32217">
      <c r="B32217" s="17" t="s">
        <v>477</v>
      </c>
      <c r="K32217" s="18" t="s">
        <v>477</v>
      </c>
    </row>
    <row r="32218">
      <c r="B32218" s="17" t="s">
        <v>477</v>
      </c>
      <c r="K32218" s="18" t="s">
        <v>477</v>
      </c>
    </row>
    <row r="32219">
      <c r="B32219" s="17" t="s">
        <v>477</v>
      </c>
      <c r="K32219" s="18" t="s">
        <v>477</v>
      </c>
    </row>
    <row r="32220">
      <c r="B32220" s="17" t="s">
        <v>477</v>
      </c>
      <c r="K32220" s="18" t="s">
        <v>477</v>
      </c>
    </row>
    <row r="32221">
      <c r="B32221" s="17" t="s">
        <v>477</v>
      </c>
      <c r="K32221" s="18" t="s">
        <v>477</v>
      </c>
    </row>
    <row r="32222">
      <c r="B32222" s="17" t="s">
        <v>477</v>
      </c>
      <c r="K32222" s="18" t="s">
        <v>477</v>
      </c>
    </row>
    <row r="32223">
      <c r="B32223" s="17" t="s">
        <v>477</v>
      </c>
      <c r="K32223" s="18" t="s">
        <v>477</v>
      </c>
    </row>
    <row r="32224">
      <c r="B32224" s="17" t="s">
        <v>477</v>
      </c>
      <c r="K32224" s="18" t="s">
        <v>477</v>
      </c>
    </row>
    <row r="32225">
      <c r="B32225" s="17" t="s">
        <v>477</v>
      </c>
      <c r="K32225" s="18" t="s">
        <v>477</v>
      </c>
    </row>
    <row r="32226">
      <c r="B32226" s="17" t="s">
        <v>477</v>
      </c>
      <c r="K32226" s="18" t="s">
        <v>477</v>
      </c>
    </row>
    <row r="32227">
      <c r="B32227" s="17" t="s">
        <v>477</v>
      </c>
      <c r="K32227" s="18" t="s">
        <v>477</v>
      </c>
    </row>
    <row r="32228">
      <c r="B32228" s="17" t="s">
        <v>477</v>
      </c>
      <c r="K32228" s="18" t="s">
        <v>477</v>
      </c>
    </row>
    <row r="32229">
      <c r="B32229" s="17" t="s">
        <v>477</v>
      </c>
      <c r="K32229" s="18" t="s">
        <v>477</v>
      </c>
    </row>
    <row r="32230">
      <c r="B32230" s="17" t="s">
        <v>477</v>
      </c>
      <c r="K32230" s="18" t="s">
        <v>477</v>
      </c>
    </row>
    <row r="32231">
      <c r="B32231" s="17" t="s">
        <v>477</v>
      </c>
      <c r="K32231" s="18" t="s">
        <v>477</v>
      </c>
    </row>
    <row r="32232">
      <c r="B32232" s="17" t="s">
        <v>477</v>
      </c>
      <c r="K32232" s="18" t="s">
        <v>477</v>
      </c>
    </row>
    <row r="32233">
      <c r="B32233" s="17" t="s">
        <v>477</v>
      </c>
      <c r="K32233" s="18" t="s">
        <v>477</v>
      </c>
    </row>
    <row r="32234">
      <c r="B32234" s="17" t="s">
        <v>477</v>
      </c>
      <c r="K32234" s="18" t="s">
        <v>477</v>
      </c>
    </row>
    <row r="32235">
      <c r="B32235" s="17" t="s">
        <v>477</v>
      </c>
      <c r="K32235" s="18" t="s">
        <v>477</v>
      </c>
    </row>
    <row r="32236">
      <c r="B32236" s="17" t="s">
        <v>477</v>
      </c>
      <c r="K32236" s="18" t="s">
        <v>477</v>
      </c>
    </row>
    <row r="32237">
      <c r="B32237" s="17" t="s">
        <v>477</v>
      </c>
      <c r="K32237" s="18" t="s">
        <v>477</v>
      </c>
    </row>
    <row r="32238">
      <c r="B32238" s="17" t="s">
        <v>477</v>
      </c>
      <c r="K32238" s="18" t="s">
        <v>477</v>
      </c>
    </row>
    <row r="32239">
      <c r="B32239" s="17" t="s">
        <v>477</v>
      </c>
      <c r="K32239" s="18" t="s">
        <v>477</v>
      </c>
    </row>
    <row r="32240">
      <c r="B32240" s="17" t="s">
        <v>477</v>
      </c>
      <c r="K32240" s="18" t="s">
        <v>477</v>
      </c>
    </row>
    <row r="32241">
      <c r="B32241" s="17" t="s">
        <v>477</v>
      </c>
      <c r="K32241" s="18" t="s">
        <v>477</v>
      </c>
    </row>
    <row r="32242">
      <c r="B32242" s="17" t="s">
        <v>477</v>
      </c>
      <c r="K32242" s="18" t="s">
        <v>477</v>
      </c>
    </row>
    <row r="32243">
      <c r="B32243" s="17" t="s">
        <v>477</v>
      </c>
      <c r="K32243" s="18" t="s">
        <v>477</v>
      </c>
    </row>
    <row r="32244">
      <c r="B32244" s="17" t="s">
        <v>477</v>
      </c>
      <c r="K32244" s="18" t="s">
        <v>477</v>
      </c>
    </row>
    <row r="32245">
      <c r="B32245" s="17" t="s">
        <v>477</v>
      </c>
      <c r="K32245" s="18" t="s">
        <v>477</v>
      </c>
    </row>
    <row r="32246">
      <c r="B32246" s="17" t="s">
        <v>477</v>
      </c>
      <c r="K32246" s="18" t="s">
        <v>477</v>
      </c>
    </row>
    <row r="32247">
      <c r="B32247" s="17" t="s">
        <v>477</v>
      </c>
      <c r="K32247" s="18" t="s">
        <v>477</v>
      </c>
    </row>
    <row r="32248">
      <c r="B32248" s="17" t="s">
        <v>477</v>
      </c>
      <c r="K32248" s="18" t="s">
        <v>477</v>
      </c>
    </row>
    <row r="32249">
      <c r="B32249" s="17" t="s">
        <v>477</v>
      </c>
      <c r="K32249" s="18" t="s">
        <v>477</v>
      </c>
    </row>
    <row r="32250">
      <c r="B32250" s="17" t="s">
        <v>477</v>
      </c>
      <c r="K32250" s="18" t="s">
        <v>477</v>
      </c>
    </row>
    <row r="32251">
      <c r="B32251" s="17" t="s">
        <v>477</v>
      </c>
      <c r="K32251" s="18" t="s">
        <v>477</v>
      </c>
    </row>
    <row r="32252">
      <c r="B32252" s="17" t="s">
        <v>477</v>
      </c>
      <c r="K32252" s="18" t="s">
        <v>477</v>
      </c>
    </row>
    <row r="32253">
      <c r="B32253" s="17" t="s">
        <v>477</v>
      </c>
      <c r="K32253" s="18" t="s">
        <v>477</v>
      </c>
    </row>
    <row r="32254">
      <c r="B32254" s="17" t="s">
        <v>477</v>
      </c>
      <c r="K32254" s="18" t="s">
        <v>477</v>
      </c>
    </row>
    <row r="32255">
      <c r="B32255" s="17" t="s">
        <v>477</v>
      </c>
      <c r="K32255" s="18" t="s">
        <v>477</v>
      </c>
    </row>
    <row r="32256">
      <c r="B32256" s="17" t="s">
        <v>477</v>
      </c>
      <c r="K32256" s="18" t="s">
        <v>477</v>
      </c>
    </row>
    <row r="32257">
      <c r="B32257" s="17" t="s">
        <v>477</v>
      </c>
      <c r="K32257" s="18" t="s">
        <v>477</v>
      </c>
    </row>
    <row r="32258">
      <c r="B32258" s="17" t="s">
        <v>477</v>
      </c>
      <c r="K32258" s="18" t="s">
        <v>477</v>
      </c>
    </row>
    <row r="32259">
      <c r="B32259" s="17" t="s">
        <v>477</v>
      </c>
      <c r="K32259" s="18" t="s">
        <v>477</v>
      </c>
    </row>
    <row r="32260">
      <c r="B32260" s="17" t="s">
        <v>477</v>
      </c>
      <c r="K32260" s="18" t="s">
        <v>477</v>
      </c>
    </row>
    <row r="32261">
      <c r="B32261" s="17" t="s">
        <v>477</v>
      </c>
      <c r="K32261" s="18" t="s">
        <v>477</v>
      </c>
    </row>
    <row r="32262">
      <c r="B32262" s="17" t="s">
        <v>477</v>
      </c>
      <c r="K32262" s="18" t="s">
        <v>477</v>
      </c>
    </row>
    <row r="32263">
      <c r="B32263" s="17" t="s">
        <v>477</v>
      </c>
      <c r="K32263" s="18" t="s">
        <v>477</v>
      </c>
    </row>
    <row r="32264">
      <c r="B32264" s="17" t="s">
        <v>477</v>
      </c>
      <c r="K32264" s="18" t="s">
        <v>477</v>
      </c>
    </row>
    <row r="32265">
      <c r="B32265" s="17" t="s">
        <v>477</v>
      </c>
      <c r="K32265" s="18" t="s">
        <v>477</v>
      </c>
    </row>
    <row r="32266">
      <c r="B32266" s="17" t="s">
        <v>477</v>
      </c>
      <c r="K32266" s="18" t="s">
        <v>477</v>
      </c>
    </row>
    <row r="32267">
      <c r="B32267" s="17" t="s">
        <v>477</v>
      </c>
      <c r="K32267" s="18" t="s">
        <v>477</v>
      </c>
    </row>
    <row r="32268">
      <c r="B32268" s="17" t="s">
        <v>477</v>
      </c>
      <c r="K32268" s="18" t="s">
        <v>477</v>
      </c>
    </row>
    <row r="32269">
      <c r="B32269" s="17" t="s">
        <v>477</v>
      </c>
      <c r="K32269" s="18" t="s">
        <v>477</v>
      </c>
    </row>
    <row r="32270">
      <c r="B32270" s="17" t="s">
        <v>477</v>
      </c>
      <c r="K32270" s="18" t="s">
        <v>477</v>
      </c>
    </row>
    <row r="32271">
      <c r="B32271" s="17" t="s">
        <v>477</v>
      </c>
      <c r="K32271" s="18" t="s">
        <v>477</v>
      </c>
    </row>
    <row r="32272">
      <c r="B32272" s="17" t="s">
        <v>477</v>
      </c>
      <c r="K32272" s="18" t="s">
        <v>477</v>
      </c>
    </row>
    <row r="32273">
      <c r="B32273" s="17" t="s">
        <v>477</v>
      </c>
      <c r="K32273" s="18" t="s">
        <v>477</v>
      </c>
    </row>
    <row r="32274">
      <c r="B32274" s="17" t="s">
        <v>477</v>
      </c>
      <c r="K32274" s="18" t="s">
        <v>477</v>
      </c>
    </row>
    <row r="32275">
      <c r="B32275" s="17" t="s">
        <v>477</v>
      </c>
      <c r="K32275" s="18" t="s">
        <v>477</v>
      </c>
    </row>
    <row r="32276">
      <c r="B32276" s="17" t="s">
        <v>477</v>
      </c>
      <c r="K32276" s="18" t="s">
        <v>477</v>
      </c>
    </row>
    <row r="32277">
      <c r="B32277" s="17" t="s">
        <v>477</v>
      </c>
      <c r="K32277" s="18" t="s">
        <v>477</v>
      </c>
    </row>
    <row r="32278">
      <c r="B32278" s="17" t="s">
        <v>477</v>
      </c>
      <c r="K32278" s="18" t="s">
        <v>477</v>
      </c>
    </row>
    <row r="32279">
      <c r="B32279" s="17" t="s">
        <v>477</v>
      </c>
      <c r="K32279" s="18" t="s">
        <v>477</v>
      </c>
    </row>
    <row r="32280">
      <c r="B32280" s="17" t="s">
        <v>477</v>
      </c>
      <c r="K32280" s="18" t="s">
        <v>477</v>
      </c>
    </row>
    <row r="32281">
      <c r="B32281" s="17" t="s">
        <v>477</v>
      </c>
      <c r="K32281" s="18" t="s">
        <v>477</v>
      </c>
    </row>
    <row r="32282">
      <c r="B32282" s="17" t="s">
        <v>477</v>
      </c>
      <c r="K32282" s="18" t="s">
        <v>477</v>
      </c>
    </row>
    <row r="32283">
      <c r="B32283" s="17" t="s">
        <v>477</v>
      </c>
      <c r="K32283" s="18" t="s">
        <v>477</v>
      </c>
    </row>
    <row r="32284">
      <c r="B32284" s="17" t="s">
        <v>477</v>
      </c>
      <c r="K32284" s="18" t="s">
        <v>477</v>
      </c>
    </row>
    <row r="32285">
      <c r="B32285" s="17" t="s">
        <v>477</v>
      </c>
      <c r="K32285" s="18" t="s">
        <v>477</v>
      </c>
    </row>
    <row r="32286">
      <c r="B32286" s="17" t="s">
        <v>477</v>
      </c>
      <c r="K32286" s="18" t="s">
        <v>477</v>
      </c>
    </row>
    <row r="32287">
      <c r="B32287" s="17" t="s">
        <v>477</v>
      </c>
      <c r="K32287" s="18" t="s">
        <v>477</v>
      </c>
    </row>
    <row r="32288">
      <c r="B32288" s="17" t="s">
        <v>477</v>
      </c>
      <c r="K32288" s="18" t="s">
        <v>477</v>
      </c>
    </row>
    <row r="32289">
      <c r="B32289" s="17" t="s">
        <v>477</v>
      </c>
      <c r="K32289" s="18" t="s">
        <v>477</v>
      </c>
    </row>
    <row r="32290">
      <c r="B32290" s="17" t="s">
        <v>477</v>
      </c>
      <c r="K32290" s="18" t="s">
        <v>477</v>
      </c>
    </row>
    <row r="32291">
      <c r="B32291" s="17" t="s">
        <v>477</v>
      </c>
      <c r="K32291" s="18" t="s">
        <v>477</v>
      </c>
    </row>
    <row r="32292">
      <c r="B32292" s="17" t="s">
        <v>477</v>
      </c>
      <c r="K32292" s="18" t="s">
        <v>477</v>
      </c>
    </row>
    <row r="32293">
      <c r="B32293" s="17" t="s">
        <v>477</v>
      </c>
      <c r="K32293" s="18" t="s">
        <v>477</v>
      </c>
    </row>
    <row r="32294">
      <c r="B32294" s="17" t="s">
        <v>477</v>
      </c>
      <c r="K32294" s="18" t="s">
        <v>477</v>
      </c>
    </row>
    <row r="32295">
      <c r="B32295" s="17" t="s">
        <v>477</v>
      </c>
      <c r="K32295" s="18" t="s">
        <v>477</v>
      </c>
    </row>
    <row r="32296">
      <c r="B32296" s="17" t="s">
        <v>477</v>
      </c>
      <c r="K32296" s="18" t="s">
        <v>477</v>
      </c>
    </row>
    <row r="32297">
      <c r="B32297" s="17" t="s">
        <v>477</v>
      </c>
      <c r="K32297" s="18" t="s">
        <v>477</v>
      </c>
    </row>
    <row r="32298">
      <c r="B32298" s="17" t="s">
        <v>477</v>
      </c>
      <c r="K32298" s="18" t="s">
        <v>477</v>
      </c>
    </row>
    <row r="32299">
      <c r="B32299" s="17" t="s">
        <v>477</v>
      </c>
      <c r="K32299" s="18" t="s">
        <v>477</v>
      </c>
    </row>
    <row r="32300">
      <c r="B32300" s="17" t="s">
        <v>477</v>
      </c>
      <c r="K32300" s="18" t="s">
        <v>477</v>
      </c>
    </row>
    <row r="32301">
      <c r="B32301" s="17" t="s">
        <v>477</v>
      </c>
      <c r="K32301" s="18" t="s">
        <v>477</v>
      </c>
    </row>
    <row r="32302">
      <c r="B32302" s="17" t="s">
        <v>477</v>
      </c>
      <c r="K32302" s="18" t="s">
        <v>477</v>
      </c>
    </row>
    <row r="32303">
      <c r="B32303" s="17" t="s">
        <v>477</v>
      </c>
      <c r="K32303" s="18" t="s">
        <v>477</v>
      </c>
    </row>
    <row r="32304">
      <c r="B32304" s="17" t="s">
        <v>477</v>
      </c>
      <c r="K32304" s="18" t="s">
        <v>477</v>
      </c>
    </row>
    <row r="32305">
      <c r="B32305" s="17" t="s">
        <v>477</v>
      </c>
      <c r="K32305" s="18" t="s">
        <v>477</v>
      </c>
    </row>
    <row r="32306">
      <c r="B32306" s="17" t="s">
        <v>477</v>
      </c>
      <c r="K32306" s="18" t="s">
        <v>477</v>
      </c>
    </row>
    <row r="32307">
      <c r="B32307" s="17" t="s">
        <v>477</v>
      </c>
      <c r="K32307" s="18" t="s">
        <v>477</v>
      </c>
    </row>
    <row r="32308">
      <c r="B32308" s="17" t="s">
        <v>477</v>
      </c>
      <c r="K32308" s="18" t="s">
        <v>477</v>
      </c>
    </row>
    <row r="32309">
      <c r="B32309" s="17" t="s">
        <v>477</v>
      </c>
      <c r="K32309" s="18" t="s">
        <v>477</v>
      </c>
    </row>
    <row r="32310">
      <c r="B32310" s="17" t="s">
        <v>477</v>
      </c>
      <c r="K32310" s="18" t="s">
        <v>477</v>
      </c>
    </row>
    <row r="32311">
      <c r="B32311" s="17" t="s">
        <v>477</v>
      </c>
      <c r="K32311" s="18" t="s">
        <v>477</v>
      </c>
    </row>
    <row r="32312">
      <c r="B32312" s="17" t="s">
        <v>477</v>
      </c>
      <c r="K32312" s="18" t="s">
        <v>477</v>
      </c>
    </row>
    <row r="32313">
      <c r="B32313" s="17" t="s">
        <v>477</v>
      </c>
      <c r="K32313" s="18" t="s">
        <v>477</v>
      </c>
    </row>
    <row r="32314">
      <c r="B32314" s="17" t="s">
        <v>477</v>
      </c>
      <c r="K32314" s="18" t="s">
        <v>477</v>
      </c>
    </row>
    <row r="32315">
      <c r="B32315" s="17" t="s">
        <v>477</v>
      </c>
      <c r="K32315" s="18" t="s">
        <v>477</v>
      </c>
    </row>
    <row r="32316">
      <c r="B32316" s="17" t="s">
        <v>477</v>
      </c>
      <c r="K32316" s="18" t="s">
        <v>477</v>
      </c>
    </row>
    <row r="32317">
      <c r="B32317" s="17" t="s">
        <v>477</v>
      </c>
      <c r="K32317" s="18" t="s">
        <v>477</v>
      </c>
    </row>
    <row r="32318">
      <c r="B32318" s="17" t="s">
        <v>477</v>
      </c>
      <c r="K32318" s="18" t="s">
        <v>477</v>
      </c>
    </row>
    <row r="32319">
      <c r="B32319" s="17" t="s">
        <v>477</v>
      </c>
      <c r="K32319" s="18" t="s">
        <v>477</v>
      </c>
    </row>
    <row r="32320">
      <c r="B32320" s="17" t="s">
        <v>477</v>
      </c>
      <c r="K32320" s="18" t="s">
        <v>477</v>
      </c>
    </row>
    <row r="32321">
      <c r="B32321" s="17" t="s">
        <v>477</v>
      </c>
      <c r="K32321" s="18" t="s">
        <v>477</v>
      </c>
    </row>
    <row r="32322">
      <c r="B32322" s="17" t="s">
        <v>477</v>
      </c>
      <c r="K32322" s="18" t="s">
        <v>477</v>
      </c>
    </row>
    <row r="32323">
      <c r="B32323" s="17" t="s">
        <v>477</v>
      </c>
      <c r="K32323" s="18" t="s">
        <v>477</v>
      </c>
    </row>
    <row r="32324">
      <c r="B32324" s="17" t="s">
        <v>477</v>
      </c>
      <c r="K32324" s="18" t="s">
        <v>477</v>
      </c>
    </row>
    <row r="32325">
      <c r="B32325" s="17" t="s">
        <v>477</v>
      </c>
      <c r="K32325" s="18" t="s">
        <v>477</v>
      </c>
    </row>
    <row r="32326">
      <c r="B32326" s="17" t="s">
        <v>477</v>
      </c>
      <c r="K32326" s="18" t="s">
        <v>477</v>
      </c>
    </row>
    <row r="32327">
      <c r="B32327" s="17" t="s">
        <v>477</v>
      </c>
      <c r="K32327" s="18" t="s">
        <v>477</v>
      </c>
    </row>
    <row r="32328">
      <c r="B32328" s="17" t="s">
        <v>477</v>
      </c>
      <c r="K32328" s="18" t="s">
        <v>477</v>
      </c>
    </row>
    <row r="32329">
      <c r="B32329" s="17" t="s">
        <v>477</v>
      </c>
      <c r="K32329" s="18" t="s">
        <v>477</v>
      </c>
    </row>
    <row r="32330">
      <c r="B32330" s="17" t="s">
        <v>477</v>
      </c>
      <c r="K32330" s="18" t="s">
        <v>477</v>
      </c>
    </row>
    <row r="32331">
      <c r="B32331" s="17" t="s">
        <v>477</v>
      </c>
      <c r="K32331" s="18" t="s">
        <v>477</v>
      </c>
    </row>
    <row r="32332">
      <c r="B32332" s="17" t="s">
        <v>477</v>
      </c>
      <c r="K32332" s="18" t="s">
        <v>477</v>
      </c>
    </row>
    <row r="32333">
      <c r="B32333" s="17" t="s">
        <v>477</v>
      </c>
      <c r="K32333" s="18" t="s">
        <v>477</v>
      </c>
    </row>
    <row r="32334">
      <c r="B32334" s="17" t="s">
        <v>477</v>
      </c>
      <c r="K32334" s="18" t="s">
        <v>477</v>
      </c>
    </row>
    <row r="32335">
      <c r="B32335" s="17" t="s">
        <v>477</v>
      </c>
      <c r="K32335" s="18" t="s">
        <v>477</v>
      </c>
    </row>
    <row r="32336">
      <c r="B32336" s="17" t="s">
        <v>477</v>
      </c>
      <c r="K32336" s="18" t="s">
        <v>477</v>
      </c>
    </row>
    <row r="32337">
      <c r="B32337" s="17" t="s">
        <v>477</v>
      </c>
      <c r="K32337" s="18" t="s">
        <v>477</v>
      </c>
    </row>
    <row r="32338">
      <c r="B32338" s="17" t="s">
        <v>477</v>
      </c>
      <c r="K32338" s="18" t="s">
        <v>477</v>
      </c>
    </row>
    <row r="32339">
      <c r="B32339" s="17" t="s">
        <v>477</v>
      </c>
      <c r="K32339" s="18" t="s">
        <v>477</v>
      </c>
    </row>
    <row r="32340">
      <c r="B32340" s="17" t="s">
        <v>477</v>
      </c>
      <c r="K32340" s="18" t="s">
        <v>477</v>
      </c>
    </row>
    <row r="32341">
      <c r="B32341" s="17" t="s">
        <v>477</v>
      </c>
      <c r="K32341" s="18" t="s">
        <v>477</v>
      </c>
    </row>
    <row r="32342">
      <c r="B32342" s="17" t="s">
        <v>477</v>
      </c>
      <c r="K32342" s="18" t="s">
        <v>477</v>
      </c>
    </row>
    <row r="32343">
      <c r="B32343" s="17" t="s">
        <v>477</v>
      </c>
      <c r="K32343" s="18" t="s">
        <v>477</v>
      </c>
    </row>
    <row r="32344">
      <c r="B32344" s="17" t="s">
        <v>477</v>
      </c>
      <c r="K32344" s="18" t="s">
        <v>477</v>
      </c>
    </row>
    <row r="32345">
      <c r="B32345" s="17" t="s">
        <v>477</v>
      </c>
      <c r="K32345" s="18" t="s">
        <v>477</v>
      </c>
    </row>
    <row r="32346">
      <c r="B32346" s="17" t="s">
        <v>477</v>
      </c>
      <c r="K32346" s="18" t="s">
        <v>477</v>
      </c>
    </row>
    <row r="32347">
      <c r="B32347" s="17" t="s">
        <v>477</v>
      </c>
      <c r="K32347" s="18" t="s">
        <v>477</v>
      </c>
    </row>
    <row r="32348">
      <c r="B32348" s="17" t="s">
        <v>477</v>
      </c>
      <c r="K32348" s="18" t="s">
        <v>477</v>
      </c>
    </row>
    <row r="32349">
      <c r="B32349" s="17" t="s">
        <v>477</v>
      </c>
      <c r="K32349" s="18" t="s">
        <v>477</v>
      </c>
    </row>
    <row r="32350">
      <c r="B32350" s="17" t="s">
        <v>477</v>
      </c>
      <c r="K32350" s="18" t="s">
        <v>477</v>
      </c>
    </row>
    <row r="32351">
      <c r="B32351" s="17" t="s">
        <v>477</v>
      </c>
      <c r="K32351" s="18" t="s">
        <v>477</v>
      </c>
    </row>
    <row r="32352">
      <c r="B32352" s="17" t="s">
        <v>477</v>
      </c>
      <c r="K32352" s="18" t="s">
        <v>477</v>
      </c>
    </row>
    <row r="32353">
      <c r="B32353" s="17" t="s">
        <v>477</v>
      </c>
      <c r="K32353" s="18" t="s">
        <v>477</v>
      </c>
    </row>
    <row r="32354">
      <c r="B32354" s="17" t="s">
        <v>477</v>
      </c>
      <c r="K32354" s="18" t="s">
        <v>477</v>
      </c>
    </row>
    <row r="32355">
      <c r="B32355" s="17" t="s">
        <v>477</v>
      </c>
      <c r="K32355" s="18" t="s">
        <v>477</v>
      </c>
    </row>
    <row r="32356">
      <c r="B32356" s="17" t="s">
        <v>477</v>
      </c>
      <c r="K32356" s="18" t="s">
        <v>477</v>
      </c>
    </row>
    <row r="32357">
      <c r="B32357" s="17" t="s">
        <v>477</v>
      </c>
      <c r="K32357" s="18" t="s">
        <v>477</v>
      </c>
    </row>
    <row r="32358">
      <c r="B32358" s="17" t="s">
        <v>477</v>
      </c>
      <c r="K32358" s="18" t="s">
        <v>477</v>
      </c>
    </row>
    <row r="32359">
      <c r="B32359" s="17" t="s">
        <v>477</v>
      </c>
      <c r="K32359" s="18" t="s">
        <v>477</v>
      </c>
    </row>
    <row r="32360">
      <c r="B32360" s="17" t="s">
        <v>477</v>
      </c>
      <c r="K32360" s="18" t="s">
        <v>477</v>
      </c>
    </row>
    <row r="32361">
      <c r="B32361" s="17" t="s">
        <v>477</v>
      </c>
      <c r="K32361" s="18" t="s">
        <v>477</v>
      </c>
    </row>
    <row r="32362">
      <c r="B32362" s="17" t="s">
        <v>477</v>
      </c>
      <c r="K32362" s="18" t="s">
        <v>477</v>
      </c>
    </row>
    <row r="32363">
      <c r="B32363" s="17" t="s">
        <v>477</v>
      </c>
      <c r="K32363" s="18" t="s">
        <v>477</v>
      </c>
    </row>
    <row r="32364">
      <c r="B32364" s="17" t="s">
        <v>477</v>
      </c>
      <c r="K32364" s="18" t="s">
        <v>477</v>
      </c>
    </row>
    <row r="32365">
      <c r="B32365" s="17" t="s">
        <v>477</v>
      </c>
      <c r="K32365" s="18" t="s">
        <v>477</v>
      </c>
    </row>
    <row r="32366">
      <c r="B32366" s="17" t="s">
        <v>477</v>
      </c>
      <c r="K32366" s="18" t="s">
        <v>477</v>
      </c>
    </row>
    <row r="32367">
      <c r="B32367" s="17" t="s">
        <v>477</v>
      </c>
      <c r="K32367" s="18" t="s">
        <v>477</v>
      </c>
    </row>
    <row r="32368">
      <c r="B32368" s="17" t="s">
        <v>477</v>
      </c>
      <c r="K32368" s="18" t="s">
        <v>477</v>
      </c>
    </row>
    <row r="32369">
      <c r="B32369" s="17" t="s">
        <v>477</v>
      </c>
      <c r="K32369" s="18" t="s">
        <v>477</v>
      </c>
    </row>
    <row r="32370">
      <c r="B32370" s="17" t="s">
        <v>477</v>
      </c>
      <c r="K32370" s="18" t="s">
        <v>477</v>
      </c>
    </row>
    <row r="32371">
      <c r="B32371" s="17" t="s">
        <v>477</v>
      </c>
      <c r="K32371" s="18" t="s">
        <v>477</v>
      </c>
    </row>
    <row r="32372">
      <c r="B32372" s="17" t="s">
        <v>477</v>
      </c>
      <c r="K32372" s="18" t="s">
        <v>477</v>
      </c>
    </row>
    <row r="32373">
      <c r="B32373" s="17" t="s">
        <v>477</v>
      </c>
      <c r="K32373" s="18" t="s">
        <v>477</v>
      </c>
    </row>
    <row r="32374">
      <c r="B32374" s="17" t="s">
        <v>477</v>
      </c>
      <c r="K32374" s="18" t="s">
        <v>477</v>
      </c>
    </row>
    <row r="32375">
      <c r="B32375" s="17" t="s">
        <v>477</v>
      </c>
      <c r="K32375" s="18" t="s">
        <v>477</v>
      </c>
    </row>
    <row r="32376">
      <c r="B32376" s="17" t="s">
        <v>477</v>
      </c>
      <c r="K32376" s="18" t="s">
        <v>477</v>
      </c>
    </row>
    <row r="32377">
      <c r="B32377" s="17" t="s">
        <v>477</v>
      </c>
      <c r="K32377" s="18" t="s">
        <v>477</v>
      </c>
    </row>
    <row r="32378">
      <c r="B32378" s="17" t="s">
        <v>477</v>
      </c>
      <c r="K32378" s="18" t="s">
        <v>477</v>
      </c>
    </row>
    <row r="32379">
      <c r="B32379" s="17" t="s">
        <v>477</v>
      </c>
      <c r="K32379" s="18" t="s">
        <v>477</v>
      </c>
    </row>
    <row r="32380">
      <c r="B32380" s="17" t="s">
        <v>477</v>
      </c>
      <c r="K32380" s="18" t="s">
        <v>477</v>
      </c>
    </row>
    <row r="32381">
      <c r="B32381" s="17" t="s">
        <v>477</v>
      </c>
      <c r="K32381" s="18" t="s">
        <v>477</v>
      </c>
    </row>
    <row r="32382">
      <c r="B32382" s="17" t="s">
        <v>477</v>
      </c>
      <c r="K32382" s="18" t="s">
        <v>477</v>
      </c>
    </row>
    <row r="32383">
      <c r="B32383" s="17" t="s">
        <v>477</v>
      </c>
      <c r="K32383" s="18" t="s">
        <v>477</v>
      </c>
    </row>
    <row r="32384">
      <c r="B32384" s="17" t="s">
        <v>477</v>
      </c>
      <c r="K32384" s="18" t="s">
        <v>477</v>
      </c>
    </row>
    <row r="32385">
      <c r="B32385" s="17" t="s">
        <v>477</v>
      </c>
      <c r="K32385" s="18" t="s">
        <v>477</v>
      </c>
    </row>
    <row r="32386">
      <c r="B32386" s="17" t="s">
        <v>477</v>
      </c>
      <c r="K32386" s="18" t="s">
        <v>477</v>
      </c>
    </row>
    <row r="32387">
      <c r="B32387" s="17" t="s">
        <v>477</v>
      </c>
      <c r="K32387" s="18" t="s">
        <v>477</v>
      </c>
    </row>
    <row r="32388">
      <c r="B32388" s="17" t="s">
        <v>477</v>
      </c>
      <c r="K32388" s="18" t="s">
        <v>477</v>
      </c>
    </row>
    <row r="32389">
      <c r="B32389" s="17" t="s">
        <v>477</v>
      </c>
      <c r="K32389" s="18" t="s">
        <v>477</v>
      </c>
    </row>
    <row r="32390">
      <c r="B32390" s="17" t="s">
        <v>477</v>
      </c>
      <c r="K32390" s="18" t="s">
        <v>477</v>
      </c>
    </row>
    <row r="32391">
      <c r="B32391" s="17" t="s">
        <v>477</v>
      </c>
      <c r="K32391" s="18" t="s">
        <v>477</v>
      </c>
    </row>
    <row r="32392">
      <c r="B32392" s="17" t="s">
        <v>477</v>
      </c>
      <c r="K32392" s="18" t="s">
        <v>477</v>
      </c>
    </row>
    <row r="32393">
      <c r="B32393" s="17" t="s">
        <v>477</v>
      </c>
      <c r="K32393" s="18" t="s">
        <v>477</v>
      </c>
    </row>
    <row r="32394">
      <c r="B32394" s="17" t="s">
        <v>477</v>
      </c>
      <c r="K32394" s="18" t="s">
        <v>477</v>
      </c>
    </row>
    <row r="32395">
      <c r="B32395" s="17" t="s">
        <v>477</v>
      </c>
      <c r="K32395" s="18" t="s">
        <v>477</v>
      </c>
    </row>
    <row r="32396">
      <c r="B32396" s="17" t="s">
        <v>477</v>
      </c>
      <c r="K32396" s="18" t="s">
        <v>477</v>
      </c>
    </row>
    <row r="32397">
      <c r="B32397" s="17" t="s">
        <v>477</v>
      </c>
      <c r="K32397" s="18" t="s">
        <v>477</v>
      </c>
    </row>
    <row r="32398">
      <c r="B32398" s="17" t="s">
        <v>477</v>
      </c>
      <c r="K32398" s="18" t="s">
        <v>477</v>
      </c>
    </row>
    <row r="32399">
      <c r="B32399" s="17" t="s">
        <v>477</v>
      </c>
      <c r="K32399" s="18" t="s">
        <v>477</v>
      </c>
    </row>
    <row r="32400">
      <c r="B32400" s="17" t="s">
        <v>477</v>
      </c>
      <c r="K32400" s="18" t="s">
        <v>477</v>
      </c>
    </row>
    <row r="32401">
      <c r="B32401" s="17" t="s">
        <v>477</v>
      </c>
      <c r="K32401" s="18" t="s">
        <v>477</v>
      </c>
    </row>
    <row r="32402">
      <c r="B32402" s="17" t="s">
        <v>477</v>
      </c>
      <c r="K32402" s="18" t="s">
        <v>477</v>
      </c>
    </row>
    <row r="32403">
      <c r="B32403" s="17" t="s">
        <v>477</v>
      </c>
      <c r="K32403" s="18" t="s">
        <v>477</v>
      </c>
    </row>
    <row r="32404">
      <c r="B32404" s="17" t="s">
        <v>477</v>
      </c>
      <c r="K32404" s="18" t="s">
        <v>477</v>
      </c>
    </row>
    <row r="32405">
      <c r="B32405" s="17" t="s">
        <v>477</v>
      </c>
      <c r="K32405" s="18" t="s">
        <v>477</v>
      </c>
    </row>
    <row r="32406">
      <c r="B32406" s="17" t="s">
        <v>477</v>
      </c>
      <c r="K32406" s="18" t="s">
        <v>477</v>
      </c>
    </row>
    <row r="32407">
      <c r="B32407" s="17" t="s">
        <v>477</v>
      </c>
      <c r="K32407" s="18" t="s">
        <v>477</v>
      </c>
    </row>
    <row r="32408">
      <c r="B32408" s="17" t="s">
        <v>477</v>
      </c>
      <c r="K32408" s="18" t="s">
        <v>477</v>
      </c>
    </row>
    <row r="32409">
      <c r="B32409" s="17" t="s">
        <v>477</v>
      </c>
      <c r="K32409" s="18" t="s">
        <v>477</v>
      </c>
    </row>
    <row r="32410">
      <c r="B32410" s="17" t="s">
        <v>477</v>
      </c>
      <c r="K32410" s="18" t="s">
        <v>477</v>
      </c>
    </row>
    <row r="32411">
      <c r="B32411" s="17" t="s">
        <v>477</v>
      </c>
      <c r="K32411" s="18" t="s">
        <v>477</v>
      </c>
    </row>
    <row r="32412">
      <c r="B32412" s="17" t="s">
        <v>477</v>
      </c>
      <c r="K32412" s="18" t="s">
        <v>477</v>
      </c>
    </row>
    <row r="32413">
      <c r="B32413" s="17" t="s">
        <v>477</v>
      </c>
      <c r="K32413" s="18" t="s">
        <v>477</v>
      </c>
    </row>
    <row r="32414">
      <c r="B32414" s="17" t="s">
        <v>477</v>
      </c>
      <c r="K32414" s="18" t="s">
        <v>477</v>
      </c>
    </row>
    <row r="32415">
      <c r="B32415" s="17" t="s">
        <v>477</v>
      </c>
      <c r="K32415" s="18" t="s">
        <v>477</v>
      </c>
    </row>
    <row r="32416">
      <c r="B32416" s="17" t="s">
        <v>477</v>
      </c>
      <c r="K32416" s="18" t="s">
        <v>477</v>
      </c>
    </row>
    <row r="32417">
      <c r="B32417" s="17" t="s">
        <v>477</v>
      </c>
      <c r="K32417" s="18" t="s">
        <v>477</v>
      </c>
    </row>
    <row r="32418">
      <c r="B32418" s="17" t="s">
        <v>477</v>
      </c>
      <c r="K32418" s="18" t="s">
        <v>477</v>
      </c>
    </row>
    <row r="32419">
      <c r="B32419" s="17" t="s">
        <v>477</v>
      </c>
      <c r="K32419" s="18" t="s">
        <v>477</v>
      </c>
    </row>
    <row r="32420">
      <c r="B32420" s="17" t="s">
        <v>477</v>
      </c>
      <c r="K32420" s="18" t="s">
        <v>477</v>
      </c>
    </row>
    <row r="32421">
      <c r="B32421" s="17" t="s">
        <v>477</v>
      </c>
      <c r="K32421" s="18" t="s">
        <v>477</v>
      </c>
    </row>
    <row r="32422">
      <c r="B32422" s="17" t="s">
        <v>477</v>
      </c>
      <c r="K32422" s="18" t="s">
        <v>477</v>
      </c>
    </row>
    <row r="32423">
      <c r="B32423" s="17" t="s">
        <v>477</v>
      </c>
      <c r="K32423" s="18" t="s">
        <v>477</v>
      </c>
    </row>
    <row r="32424">
      <c r="B32424" s="17" t="s">
        <v>477</v>
      </c>
      <c r="K32424" s="18" t="s">
        <v>477</v>
      </c>
    </row>
    <row r="32425">
      <c r="B32425" s="17" t="s">
        <v>477</v>
      </c>
      <c r="K32425" s="18" t="s">
        <v>477</v>
      </c>
    </row>
    <row r="32426">
      <c r="B32426" s="17" t="s">
        <v>477</v>
      </c>
      <c r="K32426" s="18" t="s">
        <v>477</v>
      </c>
    </row>
    <row r="32427">
      <c r="B32427" s="17" t="s">
        <v>477</v>
      </c>
      <c r="K32427" s="18" t="s">
        <v>477</v>
      </c>
    </row>
    <row r="32428">
      <c r="B32428" s="17" t="s">
        <v>477</v>
      </c>
      <c r="K32428" s="18" t="s">
        <v>477</v>
      </c>
    </row>
    <row r="32429">
      <c r="B32429" s="17" t="s">
        <v>477</v>
      </c>
      <c r="K32429" s="18" t="s">
        <v>477</v>
      </c>
    </row>
    <row r="32430">
      <c r="B32430" s="17" t="s">
        <v>477</v>
      </c>
      <c r="K32430" s="18" t="s">
        <v>477</v>
      </c>
    </row>
    <row r="32431">
      <c r="B32431" s="17" t="s">
        <v>477</v>
      </c>
      <c r="K32431" s="18" t="s">
        <v>477</v>
      </c>
    </row>
    <row r="32432">
      <c r="B32432" s="17" t="s">
        <v>477</v>
      </c>
      <c r="K32432" s="18" t="s">
        <v>477</v>
      </c>
    </row>
    <row r="32433">
      <c r="B32433" s="17" t="s">
        <v>477</v>
      </c>
      <c r="K32433" s="18" t="s">
        <v>477</v>
      </c>
    </row>
    <row r="32434">
      <c r="B32434" s="17" t="s">
        <v>477</v>
      </c>
      <c r="K32434" s="18" t="s">
        <v>477</v>
      </c>
    </row>
    <row r="32435">
      <c r="B32435" s="17" t="s">
        <v>477</v>
      </c>
      <c r="K32435" s="18" t="s">
        <v>477</v>
      </c>
    </row>
    <row r="32436">
      <c r="B32436" s="17" t="s">
        <v>477</v>
      </c>
      <c r="K32436" s="18" t="s">
        <v>477</v>
      </c>
    </row>
    <row r="32437">
      <c r="B32437" s="17" t="s">
        <v>477</v>
      </c>
      <c r="K32437" s="18" t="s">
        <v>477</v>
      </c>
    </row>
    <row r="32438">
      <c r="B32438" s="17" t="s">
        <v>477</v>
      </c>
      <c r="K32438" s="18" t="s">
        <v>477</v>
      </c>
    </row>
    <row r="32439">
      <c r="B32439" s="17" t="s">
        <v>477</v>
      </c>
      <c r="K32439" s="18" t="s">
        <v>477</v>
      </c>
    </row>
    <row r="32440">
      <c r="B32440" s="17" t="s">
        <v>477</v>
      </c>
      <c r="K32440" s="18" t="s">
        <v>477</v>
      </c>
    </row>
    <row r="32441">
      <c r="B32441" s="17" t="s">
        <v>477</v>
      </c>
      <c r="K32441" s="18" t="s">
        <v>477</v>
      </c>
    </row>
    <row r="32442">
      <c r="B32442" s="17" t="s">
        <v>477</v>
      </c>
      <c r="K32442" s="18" t="s">
        <v>477</v>
      </c>
    </row>
    <row r="32443">
      <c r="B32443" s="17" t="s">
        <v>477</v>
      </c>
      <c r="K32443" s="18" t="s">
        <v>477</v>
      </c>
    </row>
    <row r="32444">
      <c r="B32444" s="17" t="s">
        <v>477</v>
      </c>
      <c r="K32444" s="18" t="s">
        <v>477</v>
      </c>
    </row>
    <row r="32445">
      <c r="B32445" s="17" t="s">
        <v>477</v>
      </c>
      <c r="K32445" s="18" t="s">
        <v>477</v>
      </c>
    </row>
    <row r="32446">
      <c r="B32446" s="17" t="s">
        <v>477</v>
      </c>
      <c r="K32446" s="18" t="s">
        <v>477</v>
      </c>
    </row>
    <row r="32447">
      <c r="B32447" s="17" t="s">
        <v>477</v>
      </c>
      <c r="K32447" s="18" t="s">
        <v>477</v>
      </c>
    </row>
    <row r="32448">
      <c r="B32448" s="17" t="s">
        <v>477</v>
      </c>
      <c r="K32448" s="18" t="s">
        <v>477</v>
      </c>
    </row>
    <row r="32449">
      <c r="B32449" s="17" t="s">
        <v>477</v>
      </c>
      <c r="K32449" s="18" t="s">
        <v>477</v>
      </c>
    </row>
    <row r="32450">
      <c r="B32450" s="17" t="s">
        <v>477</v>
      </c>
      <c r="K32450" s="18" t="s">
        <v>477</v>
      </c>
    </row>
    <row r="32451">
      <c r="B32451" s="17" t="s">
        <v>477</v>
      </c>
      <c r="K32451" s="18" t="s">
        <v>477</v>
      </c>
    </row>
    <row r="32452">
      <c r="B32452" s="17" t="s">
        <v>477</v>
      </c>
      <c r="K32452" s="18" t="s">
        <v>477</v>
      </c>
    </row>
    <row r="32453">
      <c r="B32453" s="17" t="s">
        <v>477</v>
      </c>
      <c r="K32453" s="18" t="s">
        <v>477</v>
      </c>
    </row>
    <row r="32454">
      <c r="B32454" s="17" t="s">
        <v>477</v>
      </c>
      <c r="K32454" s="18" t="s">
        <v>477</v>
      </c>
    </row>
    <row r="32455">
      <c r="B32455" s="17" t="s">
        <v>477</v>
      </c>
      <c r="K32455" s="18" t="s">
        <v>477</v>
      </c>
    </row>
    <row r="32456">
      <c r="B32456" s="17" t="s">
        <v>477</v>
      </c>
      <c r="K32456" s="18" t="s">
        <v>477</v>
      </c>
    </row>
    <row r="32457">
      <c r="B32457" s="17" t="s">
        <v>477</v>
      </c>
      <c r="K32457" s="18" t="s">
        <v>477</v>
      </c>
    </row>
    <row r="32458">
      <c r="B32458" s="17" t="s">
        <v>477</v>
      </c>
      <c r="K32458" s="18" t="s">
        <v>477</v>
      </c>
    </row>
    <row r="32459">
      <c r="B32459" s="17" t="s">
        <v>477</v>
      </c>
      <c r="K32459" s="18" t="s">
        <v>477</v>
      </c>
    </row>
    <row r="32460">
      <c r="B32460" s="17" t="s">
        <v>477</v>
      </c>
      <c r="K32460" s="18" t="s">
        <v>477</v>
      </c>
    </row>
    <row r="32461">
      <c r="B32461" s="17" t="s">
        <v>477</v>
      </c>
      <c r="K32461" s="18" t="s">
        <v>477</v>
      </c>
    </row>
    <row r="32462">
      <c r="B32462" s="17" t="s">
        <v>477</v>
      </c>
      <c r="K32462" s="18" t="s">
        <v>477</v>
      </c>
    </row>
    <row r="32463">
      <c r="B32463" s="17" t="s">
        <v>477</v>
      </c>
      <c r="K32463" s="18" t="s">
        <v>477</v>
      </c>
    </row>
    <row r="32464">
      <c r="B32464" s="17" t="s">
        <v>477</v>
      </c>
      <c r="K32464" s="18" t="s">
        <v>477</v>
      </c>
    </row>
    <row r="32465">
      <c r="B32465" s="17" t="s">
        <v>477</v>
      </c>
      <c r="K32465" s="18" t="s">
        <v>477</v>
      </c>
    </row>
    <row r="32466">
      <c r="B32466" s="17" t="s">
        <v>477</v>
      </c>
      <c r="K32466" s="18" t="s">
        <v>477</v>
      </c>
    </row>
    <row r="32467">
      <c r="B32467" s="17" t="s">
        <v>477</v>
      </c>
      <c r="K32467" s="18" t="s">
        <v>477</v>
      </c>
    </row>
    <row r="32468">
      <c r="B32468" s="17" t="s">
        <v>477</v>
      </c>
      <c r="K32468" s="18" t="s">
        <v>477</v>
      </c>
    </row>
    <row r="32469">
      <c r="B32469" s="17" t="s">
        <v>477</v>
      </c>
      <c r="K32469" s="18" t="s">
        <v>477</v>
      </c>
    </row>
    <row r="32470">
      <c r="B32470" s="17" t="s">
        <v>477</v>
      </c>
      <c r="K32470" s="18" t="s">
        <v>477</v>
      </c>
    </row>
    <row r="32471">
      <c r="B32471" s="17" t="s">
        <v>477</v>
      </c>
      <c r="K32471" s="18" t="s">
        <v>477</v>
      </c>
    </row>
    <row r="32472">
      <c r="B32472" s="17" t="s">
        <v>477</v>
      </c>
      <c r="K32472" s="18" t="s">
        <v>477</v>
      </c>
    </row>
    <row r="32473">
      <c r="B32473" s="17" t="s">
        <v>477</v>
      </c>
      <c r="K32473" s="18" t="s">
        <v>477</v>
      </c>
    </row>
    <row r="32474">
      <c r="B32474" s="17" t="s">
        <v>477</v>
      </c>
      <c r="K32474" s="18" t="s">
        <v>477</v>
      </c>
    </row>
    <row r="32475">
      <c r="B32475" s="17" t="s">
        <v>477</v>
      </c>
      <c r="K32475" s="18" t="s">
        <v>477</v>
      </c>
    </row>
    <row r="32476">
      <c r="B32476" s="17" t="s">
        <v>477</v>
      </c>
      <c r="K32476" s="18" t="s">
        <v>477</v>
      </c>
    </row>
    <row r="32477">
      <c r="B32477" s="17" t="s">
        <v>477</v>
      </c>
      <c r="K32477" s="18" t="s">
        <v>477</v>
      </c>
    </row>
    <row r="32478">
      <c r="B32478" s="17" t="s">
        <v>477</v>
      </c>
      <c r="K32478" s="18" t="s">
        <v>477</v>
      </c>
    </row>
    <row r="32479">
      <c r="B32479" s="17" t="s">
        <v>477</v>
      </c>
      <c r="K32479" s="18" t="s">
        <v>477</v>
      </c>
    </row>
    <row r="32480">
      <c r="B32480" s="17" t="s">
        <v>477</v>
      </c>
      <c r="K32480" s="18" t="s">
        <v>477</v>
      </c>
    </row>
    <row r="32481">
      <c r="B32481" s="17" t="s">
        <v>477</v>
      </c>
      <c r="K32481" s="18" t="s">
        <v>477</v>
      </c>
    </row>
    <row r="32482">
      <c r="B32482" s="17" t="s">
        <v>477</v>
      </c>
      <c r="K32482" s="18" t="s">
        <v>477</v>
      </c>
    </row>
    <row r="32483">
      <c r="B32483" s="17" t="s">
        <v>477</v>
      </c>
      <c r="K32483" s="18" t="s">
        <v>477</v>
      </c>
    </row>
    <row r="32484">
      <c r="B32484" s="17" t="s">
        <v>477</v>
      </c>
      <c r="K32484" s="18" t="s">
        <v>477</v>
      </c>
    </row>
    <row r="32485">
      <c r="B32485" s="17" t="s">
        <v>477</v>
      </c>
      <c r="K32485" s="18" t="s">
        <v>477</v>
      </c>
    </row>
    <row r="32486">
      <c r="B32486" s="17" t="s">
        <v>477</v>
      </c>
      <c r="K32486" s="18" t="s">
        <v>477</v>
      </c>
    </row>
    <row r="32487">
      <c r="B32487" s="17" t="s">
        <v>477</v>
      </c>
      <c r="K32487" s="18" t="s">
        <v>477</v>
      </c>
    </row>
    <row r="32488">
      <c r="B32488" s="17" t="s">
        <v>477</v>
      </c>
      <c r="K32488" s="18" t="s">
        <v>477</v>
      </c>
    </row>
    <row r="32489">
      <c r="B32489" s="17" t="s">
        <v>477</v>
      </c>
      <c r="K32489" s="18" t="s">
        <v>477</v>
      </c>
    </row>
    <row r="32490">
      <c r="B32490" s="17" t="s">
        <v>477</v>
      </c>
      <c r="K32490" s="18" t="s">
        <v>477</v>
      </c>
    </row>
    <row r="32491">
      <c r="B32491" s="17" t="s">
        <v>477</v>
      </c>
      <c r="K32491" s="18" t="s">
        <v>477</v>
      </c>
    </row>
    <row r="32492">
      <c r="B32492" s="17" t="s">
        <v>477</v>
      </c>
      <c r="K32492" s="18" t="s">
        <v>477</v>
      </c>
    </row>
    <row r="32493">
      <c r="B32493" s="17" t="s">
        <v>477</v>
      </c>
      <c r="K32493" s="18" t="s">
        <v>477</v>
      </c>
    </row>
    <row r="32494">
      <c r="B32494" s="17" t="s">
        <v>477</v>
      </c>
      <c r="K32494" s="18" t="s">
        <v>477</v>
      </c>
    </row>
    <row r="32495">
      <c r="B32495" s="17" t="s">
        <v>477</v>
      </c>
      <c r="K32495" s="18" t="s">
        <v>477</v>
      </c>
    </row>
    <row r="32496">
      <c r="B32496" s="17" t="s">
        <v>477</v>
      </c>
      <c r="K32496" s="18" t="s">
        <v>477</v>
      </c>
    </row>
    <row r="32497">
      <c r="B32497" s="17" t="s">
        <v>477</v>
      </c>
      <c r="K32497" s="18" t="s">
        <v>477</v>
      </c>
    </row>
    <row r="32498">
      <c r="B32498" s="17" t="s">
        <v>477</v>
      </c>
      <c r="K32498" s="18" t="s">
        <v>477</v>
      </c>
    </row>
    <row r="32499">
      <c r="B32499" s="17" t="s">
        <v>477</v>
      </c>
      <c r="K32499" s="18" t="s">
        <v>477</v>
      </c>
    </row>
    <row r="32500">
      <c r="B32500" s="17" t="s">
        <v>477</v>
      </c>
      <c r="K32500" s="18" t="s">
        <v>477</v>
      </c>
    </row>
    <row r="32501">
      <c r="B32501" s="17" t="s">
        <v>477</v>
      </c>
      <c r="K32501" s="18" t="s">
        <v>477</v>
      </c>
    </row>
    <row r="32502">
      <c r="B32502" s="17" t="s">
        <v>477</v>
      </c>
      <c r="K32502" s="18" t="s">
        <v>477</v>
      </c>
    </row>
    <row r="32503">
      <c r="B32503" s="17" t="s">
        <v>477</v>
      </c>
      <c r="K32503" s="18" t="s">
        <v>477</v>
      </c>
    </row>
    <row r="32504">
      <c r="B32504" s="17" t="s">
        <v>477</v>
      </c>
      <c r="K32504" s="18" t="s">
        <v>477</v>
      </c>
    </row>
    <row r="32505">
      <c r="B32505" s="17" t="s">
        <v>477</v>
      </c>
      <c r="K32505" s="18" t="s">
        <v>477</v>
      </c>
    </row>
    <row r="32506">
      <c r="B32506" s="17" t="s">
        <v>477</v>
      </c>
      <c r="K32506" s="18" t="s">
        <v>477</v>
      </c>
    </row>
    <row r="32507">
      <c r="B32507" s="17" t="s">
        <v>477</v>
      </c>
      <c r="K32507" s="18" t="s">
        <v>477</v>
      </c>
    </row>
    <row r="32508">
      <c r="B32508" s="17" t="s">
        <v>477</v>
      </c>
      <c r="K32508" s="18" t="s">
        <v>477</v>
      </c>
    </row>
    <row r="32509">
      <c r="B32509" s="17" t="s">
        <v>477</v>
      </c>
      <c r="K32509" s="18" t="s">
        <v>477</v>
      </c>
    </row>
    <row r="32510">
      <c r="B32510" s="17" t="s">
        <v>477</v>
      </c>
      <c r="K32510" s="18" t="s">
        <v>477</v>
      </c>
    </row>
    <row r="32511">
      <c r="B32511" s="17" t="s">
        <v>477</v>
      </c>
      <c r="K32511" s="18" t="s">
        <v>477</v>
      </c>
    </row>
    <row r="32512">
      <c r="B32512" s="17" t="s">
        <v>477</v>
      </c>
      <c r="K32512" s="18" t="s">
        <v>477</v>
      </c>
    </row>
    <row r="32513">
      <c r="B32513" s="17" t="s">
        <v>477</v>
      </c>
      <c r="K32513" s="18" t="s">
        <v>477</v>
      </c>
    </row>
    <row r="32514">
      <c r="B32514" s="17" t="s">
        <v>477</v>
      </c>
      <c r="K32514" s="18" t="s">
        <v>477</v>
      </c>
    </row>
    <row r="32515">
      <c r="B32515" s="17" t="s">
        <v>477</v>
      </c>
      <c r="K32515" s="18" t="s">
        <v>477</v>
      </c>
    </row>
    <row r="32516">
      <c r="B32516" s="17" t="s">
        <v>477</v>
      </c>
      <c r="K32516" s="18" t="s">
        <v>477</v>
      </c>
    </row>
    <row r="32517">
      <c r="B32517" s="17" t="s">
        <v>477</v>
      </c>
      <c r="K32517" s="18" t="s">
        <v>477</v>
      </c>
    </row>
    <row r="32518">
      <c r="B32518" s="17" t="s">
        <v>477</v>
      </c>
      <c r="K32518" s="18" t="s">
        <v>477</v>
      </c>
    </row>
    <row r="32519">
      <c r="B32519" s="17" t="s">
        <v>477</v>
      </c>
      <c r="K32519" s="18" t="s">
        <v>477</v>
      </c>
    </row>
    <row r="32520">
      <c r="B32520" s="17" t="s">
        <v>477</v>
      </c>
      <c r="K32520" s="18" t="s">
        <v>477</v>
      </c>
    </row>
    <row r="32521">
      <c r="B32521" s="17" t="s">
        <v>477</v>
      </c>
      <c r="K32521" s="18" t="s">
        <v>477</v>
      </c>
    </row>
    <row r="32522">
      <c r="B32522" s="17" t="s">
        <v>477</v>
      </c>
      <c r="K32522" s="18" t="s">
        <v>477</v>
      </c>
    </row>
    <row r="32523">
      <c r="B32523" s="17" t="s">
        <v>477</v>
      </c>
      <c r="K32523" s="18" t="s">
        <v>477</v>
      </c>
    </row>
    <row r="32524">
      <c r="B32524" s="17" t="s">
        <v>477</v>
      </c>
      <c r="K32524" s="18" t="s">
        <v>477</v>
      </c>
    </row>
    <row r="32525">
      <c r="B32525" s="17" t="s">
        <v>477</v>
      </c>
      <c r="K32525" s="18" t="s">
        <v>477</v>
      </c>
    </row>
    <row r="32526">
      <c r="B32526" s="17" t="s">
        <v>477</v>
      </c>
      <c r="K32526" s="18" t="s">
        <v>477</v>
      </c>
    </row>
    <row r="32527">
      <c r="B32527" s="17" t="s">
        <v>477</v>
      </c>
      <c r="K32527" s="18" t="s">
        <v>477</v>
      </c>
    </row>
    <row r="32528">
      <c r="B32528" s="17" t="s">
        <v>477</v>
      </c>
      <c r="K32528" s="18" t="s">
        <v>477</v>
      </c>
    </row>
    <row r="32529">
      <c r="B32529" s="17" t="s">
        <v>477</v>
      </c>
      <c r="K32529" s="18" t="s">
        <v>477</v>
      </c>
    </row>
    <row r="32530">
      <c r="B32530" s="17" t="s">
        <v>477</v>
      </c>
      <c r="K32530" s="18" t="s">
        <v>477</v>
      </c>
    </row>
    <row r="32531">
      <c r="B32531" s="17" t="s">
        <v>477</v>
      </c>
      <c r="K32531" s="18" t="s">
        <v>477</v>
      </c>
    </row>
    <row r="32532">
      <c r="B32532" s="17" t="s">
        <v>477</v>
      </c>
      <c r="K32532" s="18" t="s">
        <v>477</v>
      </c>
    </row>
    <row r="32533">
      <c r="B32533" s="17" t="s">
        <v>477</v>
      </c>
      <c r="K32533" s="18" t="s">
        <v>477</v>
      </c>
    </row>
    <row r="32534">
      <c r="B32534" s="17" t="s">
        <v>477</v>
      </c>
      <c r="K32534" s="18" t="s">
        <v>477</v>
      </c>
    </row>
    <row r="32535">
      <c r="B32535" s="17" t="s">
        <v>477</v>
      </c>
      <c r="K32535" s="18" t="s">
        <v>477</v>
      </c>
    </row>
    <row r="32536">
      <c r="B32536" s="17" t="s">
        <v>477</v>
      </c>
      <c r="K32536" s="18" t="s">
        <v>477</v>
      </c>
    </row>
    <row r="32537">
      <c r="B32537" s="17" t="s">
        <v>477</v>
      </c>
      <c r="K32537" s="18" t="s">
        <v>477</v>
      </c>
    </row>
    <row r="32538">
      <c r="B32538" s="17" t="s">
        <v>477</v>
      </c>
      <c r="K32538" s="18" t="s">
        <v>477</v>
      </c>
    </row>
    <row r="32539">
      <c r="B32539" s="17" t="s">
        <v>477</v>
      </c>
      <c r="K32539" s="18" t="s">
        <v>477</v>
      </c>
    </row>
    <row r="32540">
      <c r="B32540" s="17" t="s">
        <v>477</v>
      </c>
      <c r="K32540" s="18" t="s">
        <v>477</v>
      </c>
    </row>
    <row r="32541">
      <c r="B32541" s="17" t="s">
        <v>477</v>
      </c>
      <c r="K32541" s="18" t="s">
        <v>477</v>
      </c>
    </row>
    <row r="32542">
      <c r="B32542" s="17" t="s">
        <v>477</v>
      </c>
      <c r="K32542" s="18" t="s">
        <v>477</v>
      </c>
    </row>
    <row r="32543">
      <c r="B32543" s="17" t="s">
        <v>477</v>
      </c>
      <c r="K32543" s="18" t="s">
        <v>477</v>
      </c>
    </row>
    <row r="32544">
      <c r="B32544" s="17" t="s">
        <v>477</v>
      </c>
      <c r="K32544" s="18" t="s">
        <v>477</v>
      </c>
    </row>
    <row r="32545">
      <c r="B32545" s="17" t="s">
        <v>477</v>
      </c>
      <c r="K32545" s="18" t="s">
        <v>477</v>
      </c>
    </row>
    <row r="32546">
      <c r="B32546" s="17" t="s">
        <v>477</v>
      </c>
      <c r="K32546" s="18" t="s">
        <v>477</v>
      </c>
    </row>
    <row r="32547">
      <c r="B32547" s="17" t="s">
        <v>477</v>
      </c>
      <c r="K32547" s="18" t="s">
        <v>477</v>
      </c>
    </row>
    <row r="32548">
      <c r="B32548" s="17" t="s">
        <v>477</v>
      </c>
      <c r="K32548" s="18" t="s">
        <v>477</v>
      </c>
    </row>
    <row r="32549">
      <c r="B32549" s="17" t="s">
        <v>477</v>
      </c>
      <c r="K32549" s="18" t="s">
        <v>477</v>
      </c>
    </row>
    <row r="32550">
      <c r="B32550" s="17" t="s">
        <v>477</v>
      </c>
      <c r="K32550" s="18" t="s">
        <v>477</v>
      </c>
    </row>
    <row r="32551">
      <c r="B32551" s="17" t="s">
        <v>477</v>
      </c>
      <c r="K32551" s="18" t="s">
        <v>477</v>
      </c>
    </row>
    <row r="32552">
      <c r="B32552" s="17" t="s">
        <v>477</v>
      </c>
      <c r="K32552" s="18" t="s">
        <v>477</v>
      </c>
    </row>
    <row r="32553">
      <c r="B32553" s="17" t="s">
        <v>477</v>
      </c>
      <c r="K32553" s="18" t="s">
        <v>477</v>
      </c>
    </row>
    <row r="32554">
      <c r="B32554" s="17" t="s">
        <v>477</v>
      </c>
      <c r="K32554" s="18" t="s">
        <v>477</v>
      </c>
    </row>
    <row r="32555">
      <c r="B32555" s="17" t="s">
        <v>477</v>
      </c>
      <c r="K32555" s="18" t="s">
        <v>477</v>
      </c>
    </row>
    <row r="32556">
      <c r="B32556" s="17" t="s">
        <v>477</v>
      </c>
      <c r="K32556" s="18" t="s">
        <v>477</v>
      </c>
    </row>
    <row r="32557">
      <c r="B32557" s="17" t="s">
        <v>477</v>
      </c>
      <c r="K32557" s="18" t="s">
        <v>477</v>
      </c>
    </row>
    <row r="32558">
      <c r="B32558" s="17" t="s">
        <v>477</v>
      </c>
      <c r="K32558" s="18" t="s">
        <v>477</v>
      </c>
    </row>
    <row r="32559">
      <c r="B32559" s="17" t="s">
        <v>477</v>
      </c>
      <c r="K32559" s="18" t="s">
        <v>477</v>
      </c>
    </row>
    <row r="32560">
      <c r="B32560" s="17" t="s">
        <v>477</v>
      </c>
      <c r="K32560" s="18" t="s">
        <v>477</v>
      </c>
    </row>
    <row r="32561">
      <c r="B32561" s="17" t="s">
        <v>477</v>
      </c>
      <c r="K32561" s="18" t="s">
        <v>477</v>
      </c>
    </row>
    <row r="32562">
      <c r="B32562" s="17" t="s">
        <v>477</v>
      </c>
      <c r="K32562" s="18" t="s">
        <v>477</v>
      </c>
    </row>
    <row r="32563">
      <c r="B32563" s="17" t="s">
        <v>477</v>
      </c>
      <c r="K32563" s="18" t="s">
        <v>477</v>
      </c>
    </row>
    <row r="32564">
      <c r="B32564" s="17" t="s">
        <v>477</v>
      </c>
      <c r="K32564" s="18" t="s">
        <v>477</v>
      </c>
    </row>
    <row r="32565">
      <c r="B32565" s="17" t="s">
        <v>477</v>
      </c>
      <c r="K32565" s="18" t="s">
        <v>477</v>
      </c>
    </row>
    <row r="32566">
      <c r="B32566" s="17" t="s">
        <v>477</v>
      </c>
      <c r="K32566" s="18" t="s">
        <v>477</v>
      </c>
    </row>
    <row r="32567">
      <c r="B32567" s="17" t="s">
        <v>477</v>
      </c>
      <c r="K32567" s="18" t="s">
        <v>477</v>
      </c>
    </row>
    <row r="32568">
      <c r="B32568" s="17" t="s">
        <v>477</v>
      </c>
      <c r="K32568" s="18" t="s">
        <v>477</v>
      </c>
    </row>
    <row r="32569">
      <c r="B32569" s="17" t="s">
        <v>477</v>
      </c>
      <c r="K32569" s="18" t="s">
        <v>477</v>
      </c>
    </row>
    <row r="32570">
      <c r="B32570" s="17" t="s">
        <v>477</v>
      </c>
      <c r="K32570" s="18" t="s">
        <v>477</v>
      </c>
    </row>
    <row r="32571">
      <c r="B32571" s="17" t="s">
        <v>477</v>
      </c>
      <c r="K32571" s="18" t="s">
        <v>477</v>
      </c>
    </row>
    <row r="32572">
      <c r="B32572" s="17" t="s">
        <v>477</v>
      </c>
      <c r="K32572" s="18" t="s">
        <v>477</v>
      </c>
    </row>
    <row r="32573">
      <c r="B32573" s="17" t="s">
        <v>477</v>
      </c>
      <c r="K32573" s="18" t="s">
        <v>477</v>
      </c>
    </row>
    <row r="32574">
      <c r="B32574" s="17" t="s">
        <v>477</v>
      </c>
      <c r="K32574" s="18" t="s">
        <v>477</v>
      </c>
    </row>
    <row r="32575">
      <c r="B32575" s="17" t="s">
        <v>477</v>
      </c>
      <c r="K32575" s="18" t="s">
        <v>477</v>
      </c>
    </row>
    <row r="32576">
      <c r="B32576" s="17" t="s">
        <v>477</v>
      </c>
      <c r="K32576" s="18" t="s">
        <v>477</v>
      </c>
    </row>
    <row r="32577">
      <c r="B32577" s="17" t="s">
        <v>477</v>
      </c>
      <c r="K32577" s="18" t="s">
        <v>477</v>
      </c>
    </row>
    <row r="32578">
      <c r="B32578" s="17" t="s">
        <v>477</v>
      </c>
      <c r="K32578" s="18" t="s">
        <v>477</v>
      </c>
    </row>
    <row r="32579">
      <c r="B32579" s="17" t="s">
        <v>477</v>
      </c>
      <c r="K32579" s="18" t="s">
        <v>477</v>
      </c>
    </row>
    <row r="32580">
      <c r="B32580" s="17" t="s">
        <v>477</v>
      </c>
      <c r="K32580" s="18" t="s">
        <v>477</v>
      </c>
    </row>
    <row r="32581">
      <c r="B32581" s="17" t="s">
        <v>477</v>
      </c>
      <c r="K32581" s="18" t="s">
        <v>477</v>
      </c>
    </row>
    <row r="32582">
      <c r="B32582" s="17" t="s">
        <v>477</v>
      </c>
      <c r="K32582" s="18" t="s">
        <v>477</v>
      </c>
    </row>
    <row r="32583">
      <c r="B32583" s="17" t="s">
        <v>477</v>
      </c>
      <c r="K32583" s="18" t="s">
        <v>477</v>
      </c>
    </row>
    <row r="32584">
      <c r="B32584" s="17" t="s">
        <v>477</v>
      </c>
      <c r="K32584" s="18" t="s">
        <v>477</v>
      </c>
    </row>
    <row r="32585">
      <c r="B32585" s="17" t="s">
        <v>477</v>
      </c>
      <c r="K32585" s="18" t="s">
        <v>477</v>
      </c>
    </row>
    <row r="32586">
      <c r="B32586" s="17" t="s">
        <v>477</v>
      </c>
      <c r="K32586" s="18" t="s">
        <v>477</v>
      </c>
    </row>
    <row r="32587">
      <c r="B32587" s="17" t="s">
        <v>477</v>
      </c>
      <c r="K32587" s="18" t="s">
        <v>477</v>
      </c>
    </row>
    <row r="32588">
      <c r="B32588" s="17" t="s">
        <v>477</v>
      </c>
      <c r="K32588" s="18" t="s">
        <v>477</v>
      </c>
    </row>
    <row r="32589">
      <c r="B32589" s="17" t="s">
        <v>477</v>
      </c>
      <c r="K32589" s="18" t="s">
        <v>477</v>
      </c>
    </row>
    <row r="32590">
      <c r="B32590" s="17" t="s">
        <v>477</v>
      </c>
      <c r="K32590" s="18" t="s">
        <v>477</v>
      </c>
    </row>
    <row r="32591">
      <c r="B32591" s="17" t="s">
        <v>477</v>
      </c>
      <c r="K32591" s="18" t="s">
        <v>477</v>
      </c>
    </row>
    <row r="32592">
      <c r="B32592" s="17" t="s">
        <v>477</v>
      </c>
      <c r="K32592" s="18" t="s">
        <v>477</v>
      </c>
    </row>
    <row r="32593">
      <c r="B32593" s="17" t="s">
        <v>477</v>
      </c>
      <c r="K32593" s="18" t="s">
        <v>477</v>
      </c>
    </row>
    <row r="32594">
      <c r="B32594" s="17" t="s">
        <v>477</v>
      </c>
      <c r="K32594" s="18" t="s">
        <v>477</v>
      </c>
    </row>
    <row r="32595">
      <c r="B32595" s="17" t="s">
        <v>477</v>
      </c>
      <c r="K32595" s="18" t="s">
        <v>477</v>
      </c>
    </row>
    <row r="32596">
      <c r="B32596" s="17" t="s">
        <v>477</v>
      </c>
      <c r="K32596" s="18" t="s">
        <v>477</v>
      </c>
    </row>
    <row r="32597">
      <c r="B32597" s="17" t="s">
        <v>477</v>
      </c>
      <c r="K32597" s="18" t="s">
        <v>477</v>
      </c>
    </row>
    <row r="32598">
      <c r="B32598" s="17" t="s">
        <v>477</v>
      </c>
      <c r="K32598" s="18" t="s">
        <v>477</v>
      </c>
    </row>
    <row r="32599">
      <c r="B32599" s="17" t="s">
        <v>477</v>
      </c>
      <c r="K32599" s="18" t="s">
        <v>477</v>
      </c>
    </row>
    <row r="32600">
      <c r="B32600" s="17" t="s">
        <v>477</v>
      </c>
      <c r="K32600" s="18" t="s">
        <v>477</v>
      </c>
    </row>
    <row r="32601">
      <c r="B32601" s="17" t="s">
        <v>477</v>
      </c>
      <c r="K32601" s="18" t="s">
        <v>477</v>
      </c>
    </row>
    <row r="32602">
      <c r="B32602" s="17" t="s">
        <v>477</v>
      </c>
      <c r="K32602" s="18" t="s">
        <v>477</v>
      </c>
    </row>
    <row r="32603">
      <c r="B32603" s="17" t="s">
        <v>477</v>
      </c>
      <c r="K32603" s="18" t="s">
        <v>477</v>
      </c>
    </row>
    <row r="32604">
      <c r="B32604" s="17" t="s">
        <v>477</v>
      </c>
      <c r="K32604" s="18" t="s">
        <v>477</v>
      </c>
    </row>
    <row r="32605">
      <c r="B32605" s="17" t="s">
        <v>477</v>
      </c>
      <c r="K32605" s="18" t="s">
        <v>477</v>
      </c>
    </row>
    <row r="32606">
      <c r="B32606" s="17" t="s">
        <v>477</v>
      </c>
      <c r="K32606" s="18" t="s">
        <v>477</v>
      </c>
    </row>
    <row r="32607">
      <c r="B32607" s="17" t="s">
        <v>477</v>
      </c>
      <c r="K32607" s="18" t="s">
        <v>477</v>
      </c>
    </row>
    <row r="32608">
      <c r="B32608" s="17" t="s">
        <v>477</v>
      </c>
      <c r="K32608" s="18" t="s">
        <v>477</v>
      </c>
    </row>
    <row r="32609">
      <c r="B32609" s="17" t="s">
        <v>477</v>
      </c>
      <c r="K32609" s="18" t="s">
        <v>477</v>
      </c>
    </row>
    <row r="32610">
      <c r="B32610" s="17" t="s">
        <v>477</v>
      </c>
      <c r="K32610" s="18" t="s">
        <v>477</v>
      </c>
    </row>
    <row r="32611">
      <c r="B32611" s="17" t="s">
        <v>477</v>
      </c>
      <c r="K32611" s="18" t="s">
        <v>477</v>
      </c>
    </row>
    <row r="32612">
      <c r="B32612" s="17" t="s">
        <v>477</v>
      </c>
      <c r="K32612" s="18" t="s">
        <v>477</v>
      </c>
    </row>
    <row r="32613">
      <c r="B32613" s="17" t="s">
        <v>477</v>
      </c>
      <c r="K32613" s="18" t="s">
        <v>477</v>
      </c>
    </row>
    <row r="32614">
      <c r="B32614" s="17" t="s">
        <v>477</v>
      </c>
      <c r="K32614" s="18" t="s">
        <v>477</v>
      </c>
    </row>
    <row r="32615">
      <c r="B32615" s="17" t="s">
        <v>477</v>
      </c>
      <c r="K32615" s="18" t="s">
        <v>477</v>
      </c>
    </row>
    <row r="32616">
      <c r="B32616" s="17" t="s">
        <v>477</v>
      </c>
      <c r="K32616" s="18" t="s">
        <v>477</v>
      </c>
    </row>
    <row r="32617">
      <c r="B32617" s="17" t="s">
        <v>477</v>
      </c>
      <c r="K32617" s="18" t="s">
        <v>477</v>
      </c>
    </row>
    <row r="32618">
      <c r="B32618" s="17" t="s">
        <v>477</v>
      </c>
      <c r="K32618" s="18" t="s">
        <v>477</v>
      </c>
    </row>
    <row r="32619">
      <c r="B32619" s="17" t="s">
        <v>477</v>
      </c>
      <c r="K32619" s="18" t="s">
        <v>477</v>
      </c>
    </row>
    <row r="32620">
      <c r="B32620" s="17" t="s">
        <v>477</v>
      </c>
      <c r="K32620" s="18" t="s">
        <v>477</v>
      </c>
    </row>
    <row r="32621">
      <c r="B32621" s="17" t="s">
        <v>477</v>
      </c>
      <c r="K32621" s="18" t="s">
        <v>477</v>
      </c>
    </row>
    <row r="32622">
      <c r="B32622" s="17" t="s">
        <v>477</v>
      </c>
      <c r="K32622" s="18" t="s">
        <v>477</v>
      </c>
    </row>
    <row r="32623">
      <c r="B32623" s="17" t="s">
        <v>477</v>
      </c>
      <c r="K32623" s="18" t="s">
        <v>477</v>
      </c>
    </row>
    <row r="32624">
      <c r="B32624" s="17" t="s">
        <v>477</v>
      </c>
      <c r="K32624" s="18" t="s">
        <v>477</v>
      </c>
    </row>
    <row r="32625">
      <c r="B32625" s="17" t="s">
        <v>477</v>
      </c>
      <c r="K32625" s="18" t="s">
        <v>477</v>
      </c>
    </row>
    <row r="32626">
      <c r="B32626" s="17" t="s">
        <v>477</v>
      </c>
      <c r="K32626" s="18" t="s">
        <v>477</v>
      </c>
    </row>
    <row r="32627">
      <c r="B32627" s="17" t="s">
        <v>477</v>
      </c>
      <c r="K32627" s="18" t="s">
        <v>477</v>
      </c>
    </row>
    <row r="32628">
      <c r="B32628" s="17" t="s">
        <v>477</v>
      </c>
      <c r="K32628" s="18" t="s">
        <v>477</v>
      </c>
    </row>
    <row r="32629">
      <c r="B32629" s="17" t="s">
        <v>477</v>
      </c>
      <c r="K32629" s="18" t="s">
        <v>477</v>
      </c>
    </row>
    <row r="32630">
      <c r="B32630" s="17" t="s">
        <v>477</v>
      </c>
      <c r="K32630" s="18" t="s">
        <v>477</v>
      </c>
    </row>
    <row r="32631">
      <c r="B32631" s="17" t="s">
        <v>477</v>
      </c>
      <c r="K32631" s="18" t="s">
        <v>477</v>
      </c>
    </row>
    <row r="32632">
      <c r="B32632" s="17" t="s">
        <v>477</v>
      </c>
      <c r="K32632" s="18" t="s">
        <v>477</v>
      </c>
    </row>
    <row r="32633">
      <c r="B32633" s="17" t="s">
        <v>477</v>
      </c>
      <c r="K32633" s="18" t="s">
        <v>477</v>
      </c>
    </row>
    <row r="32634">
      <c r="B32634" s="17" t="s">
        <v>477</v>
      </c>
      <c r="K32634" s="18" t="s">
        <v>477</v>
      </c>
    </row>
    <row r="32635">
      <c r="B32635" s="17" t="s">
        <v>477</v>
      </c>
      <c r="K32635" s="18" t="s">
        <v>477</v>
      </c>
    </row>
    <row r="32636">
      <c r="B32636" s="17" t="s">
        <v>477</v>
      </c>
      <c r="K32636" s="18" t="s">
        <v>477</v>
      </c>
    </row>
    <row r="32637">
      <c r="B32637" s="17" t="s">
        <v>477</v>
      </c>
      <c r="K32637" s="18" t="s">
        <v>477</v>
      </c>
    </row>
    <row r="32638">
      <c r="B32638" s="17" t="s">
        <v>477</v>
      </c>
      <c r="K32638" s="18" t="s">
        <v>477</v>
      </c>
    </row>
    <row r="32639">
      <c r="B32639" s="17" t="s">
        <v>477</v>
      </c>
      <c r="K32639" s="18" t="s">
        <v>477</v>
      </c>
    </row>
    <row r="32640">
      <c r="B32640" s="17" t="s">
        <v>477</v>
      </c>
      <c r="K32640" s="18" t="s">
        <v>477</v>
      </c>
    </row>
    <row r="32641">
      <c r="B32641" s="17" t="s">
        <v>477</v>
      </c>
      <c r="K32641" s="18" t="s">
        <v>477</v>
      </c>
    </row>
    <row r="32642">
      <c r="B32642" s="17" t="s">
        <v>477</v>
      </c>
      <c r="K32642" s="18" t="s">
        <v>477</v>
      </c>
    </row>
    <row r="32643">
      <c r="B32643" s="17" t="s">
        <v>477</v>
      </c>
      <c r="K32643" s="18" t="s">
        <v>477</v>
      </c>
    </row>
    <row r="32644">
      <c r="B32644" s="17" t="s">
        <v>477</v>
      </c>
      <c r="K32644" s="18" t="s">
        <v>477</v>
      </c>
    </row>
    <row r="32645">
      <c r="B32645" s="17" t="s">
        <v>477</v>
      </c>
      <c r="K32645" s="18" t="s">
        <v>477</v>
      </c>
    </row>
    <row r="32646">
      <c r="B32646" s="17" t="s">
        <v>477</v>
      </c>
      <c r="K32646" s="18" t="s">
        <v>477</v>
      </c>
    </row>
    <row r="32647">
      <c r="B32647" s="17" t="s">
        <v>477</v>
      </c>
      <c r="K32647" s="18" t="s">
        <v>477</v>
      </c>
    </row>
    <row r="32648">
      <c r="B32648" s="17" t="s">
        <v>477</v>
      </c>
      <c r="K32648" s="18" t="s">
        <v>477</v>
      </c>
    </row>
    <row r="32649">
      <c r="B32649" s="17" t="s">
        <v>477</v>
      </c>
      <c r="K32649" s="18" t="s">
        <v>477</v>
      </c>
    </row>
    <row r="32650">
      <c r="B32650" s="17" t="s">
        <v>477</v>
      </c>
      <c r="K32650" s="18" t="s">
        <v>477</v>
      </c>
    </row>
    <row r="32651">
      <c r="B32651" s="17" t="s">
        <v>477</v>
      </c>
      <c r="K32651" s="18" t="s">
        <v>477</v>
      </c>
    </row>
    <row r="32652">
      <c r="B32652" s="17" t="s">
        <v>477</v>
      </c>
      <c r="K32652" s="18" t="s">
        <v>477</v>
      </c>
    </row>
    <row r="32653">
      <c r="B32653" s="17" t="s">
        <v>477</v>
      </c>
      <c r="K32653" s="18" t="s">
        <v>477</v>
      </c>
    </row>
    <row r="32654">
      <c r="B32654" s="17" t="s">
        <v>477</v>
      </c>
      <c r="K32654" s="18" t="s">
        <v>477</v>
      </c>
    </row>
    <row r="32655">
      <c r="B32655" s="17" t="s">
        <v>477</v>
      </c>
      <c r="K32655" s="18" t="s">
        <v>477</v>
      </c>
    </row>
    <row r="32656">
      <c r="B32656" s="17" t="s">
        <v>477</v>
      </c>
      <c r="K32656" s="18" t="s">
        <v>477</v>
      </c>
    </row>
    <row r="32657">
      <c r="B32657" s="17" t="s">
        <v>477</v>
      </c>
      <c r="K32657" s="18" t="s">
        <v>477</v>
      </c>
    </row>
    <row r="32658">
      <c r="B32658" s="17" t="s">
        <v>477</v>
      </c>
      <c r="K32658" s="18" t="s">
        <v>477</v>
      </c>
    </row>
    <row r="32659">
      <c r="B32659" s="17" t="s">
        <v>477</v>
      </c>
      <c r="K32659" s="18" t="s">
        <v>477</v>
      </c>
    </row>
    <row r="32660">
      <c r="B32660" s="17" t="s">
        <v>477</v>
      </c>
      <c r="K32660" s="18" t="s">
        <v>477</v>
      </c>
    </row>
    <row r="32661">
      <c r="B32661" s="17" t="s">
        <v>477</v>
      </c>
      <c r="K32661" s="18" t="s">
        <v>477</v>
      </c>
    </row>
    <row r="32662">
      <c r="B32662" s="17" t="s">
        <v>477</v>
      </c>
      <c r="K32662" s="18" t="s">
        <v>477</v>
      </c>
    </row>
    <row r="32663">
      <c r="B32663" s="17" t="s">
        <v>477</v>
      </c>
      <c r="K32663" s="18" t="s">
        <v>477</v>
      </c>
    </row>
    <row r="32664">
      <c r="B32664" s="17" t="s">
        <v>477</v>
      </c>
      <c r="K32664" s="18" t="s">
        <v>477</v>
      </c>
    </row>
    <row r="32665">
      <c r="B32665" s="17" t="s">
        <v>477</v>
      </c>
      <c r="K32665" s="18" t="s">
        <v>477</v>
      </c>
    </row>
    <row r="32666">
      <c r="B32666" s="17" t="s">
        <v>477</v>
      </c>
      <c r="K32666" s="18" t="s">
        <v>477</v>
      </c>
    </row>
    <row r="32667">
      <c r="B32667" s="17" t="s">
        <v>477</v>
      </c>
      <c r="K32667" s="18" t="s">
        <v>477</v>
      </c>
    </row>
    <row r="32668">
      <c r="B32668" s="17" t="s">
        <v>477</v>
      </c>
      <c r="K32668" s="18" t="s">
        <v>477</v>
      </c>
    </row>
    <row r="32669">
      <c r="B32669" s="17" t="s">
        <v>477</v>
      </c>
      <c r="K32669" s="18" t="s">
        <v>477</v>
      </c>
    </row>
    <row r="32670">
      <c r="B32670" s="17" t="s">
        <v>477</v>
      </c>
      <c r="K32670" s="18" t="s">
        <v>477</v>
      </c>
    </row>
    <row r="32671">
      <c r="B32671" s="17" t="s">
        <v>477</v>
      </c>
      <c r="K32671" s="18" t="s">
        <v>477</v>
      </c>
    </row>
    <row r="32672">
      <c r="B32672" s="17" t="s">
        <v>477</v>
      </c>
      <c r="K32672" s="18" t="s">
        <v>477</v>
      </c>
    </row>
    <row r="32673">
      <c r="B32673" s="17" t="s">
        <v>477</v>
      </c>
      <c r="K32673" s="18" t="s">
        <v>477</v>
      </c>
    </row>
    <row r="32674">
      <c r="B32674" s="17" t="s">
        <v>477</v>
      </c>
      <c r="K32674" s="18" t="s">
        <v>477</v>
      </c>
    </row>
    <row r="32675">
      <c r="B32675" s="17" t="s">
        <v>477</v>
      </c>
      <c r="K32675" s="18" t="s">
        <v>477</v>
      </c>
    </row>
    <row r="32676">
      <c r="B32676" s="17" t="s">
        <v>477</v>
      </c>
      <c r="K32676" s="18" t="s">
        <v>477</v>
      </c>
    </row>
    <row r="32677">
      <c r="B32677" s="17" t="s">
        <v>477</v>
      </c>
      <c r="K32677" s="18" t="s">
        <v>477</v>
      </c>
    </row>
    <row r="32678">
      <c r="B32678" s="17" t="s">
        <v>477</v>
      </c>
      <c r="K32678" s="18" t="s">
        <v>477</v>
      </c>
    </row>
    <row r="32679">
      <c r="B32679" s="17" t="s">
        <v>477</v>
      </c>
      <c r="K32679" s="18" t="s">
        <v>477</v>
      </c>
    </row>
    <row r="32680">
      <c r="B32680" s="17" t="s">
        <v>477</v>
      </c>
      <c r="K32680" s="18" t="s">
        <v>477</v>
      </c>
    </row>
    <row r="32681">
      <c r="B32681" s="17" t="s">
        <v>477</v>
      </c>
      <c r="K32681" s="18" t="s">
        <v>477</v>
      </c>
    </row>
    <row r="32682">
      <c r="B32682" s="17" t="s">
        <v>477</v>
      </c>
      <c r="K32682" s="18" t="s">
        <v>477</v>
      </c>
    </row>
    <row r="32683">
      <c r="B32683" s="17" t="s">
        <v>477</v>
      </c>
      <c r="K32683" s="18" t="s">
        <v>477</v>
      </c>
    </row>
    <row r="32684">
      <c r="B32684" s="17" t="s">
        <v>477</v>
      </c>
      <c r="K32684" s="18" t="s">
        <v>477</v>
      </c>
    </row>
    <row r="32685">
      <c r="B32685" s="17" t="s">
        <v>477</v>
      </c>
      <c r="K32685" s="18" t="s">
        <v>477</v>
      </c>
    </row>
    <row r="32686">
      <c r="B32686" s="17" t="s">
        <v>477</v>
      </c>
      <c r="K32686" s="18" t="s">
        <v>477</v>
      </c>
    </row>
    <row r="32687">
      <c r="B32687" s="17" t="s">
        <v>477</v>
      </c>
      <c r="K32687" s="18" t="s">
        <v>477</v>
      </c>
    </row>
    <row r="32688">
      <c r="B32688" s="17" t="s">
        <v>477</v>
      </c>
      <c r="K32688" s="18" t="s">
        <v>477</v>
      </c>
    </row>
    <row r="32689">
      <c r="B32689" s="17" t="s">
        <v>477</v>
      </c>
      <c r="K32689" s="18" t="s">
        <v>477</v>
      </c>
    </row>
    <row r="32690">
      <c r="B32690" s="17" t="s">
        <v>477</v>
      </c>
      <c r="K32690" s="18" t="s">
        <v>477</v>
      </c>
    </row>
    <row r="32691">
      <c r="B32691" s="17" t="s">
        <v>477</v>
      </c>
      <c r="K32691" s="18" t="s">
        <v>477</v>
      </c>
    </row>
    <row r="32692">
      <c r="B32692" s="17" t="s">
        <v>477</v>
      </c>
      <c r="K32692" s="18" t="s">
        <v>477</v>
      </c>
    </row>
    <row r="32693">
      <c r="B32693" s="17" t="s">
        <v>477</v>
      </c>
      <c r="K32693" s="18" t="s">
        <v>477</v>
      </c>
    </row>
    <row r="32694">
      <c r="B32694" s="17" t="s">
        <v>477</v>
      </c>
      <c r="K32694" s="18" t="s">
        <v>477</v>
      </c>
    </row>
    <row r="32695">
      <c r="B32695" s="17" t="s">
        <v>477</v>
      </c>
      <c r="K32695" s="18" t="s">
        <v>477</v>
      </c>
    </row>
    <row r="32696">
      <c r="B32696" s="17" t="s">
        <v>477</v>
      </c>
      <c r="K32696" s="18" t="s">
        <v>477</v>
      </c>
    </row>
    <row r="32697">
      <c r="B32697" s="17" t="s">
        <v>477</v>
      </c>
      <c r="K32697" s="18" t="s">
        <v>477</v>
      </c>
    </row>
    <row r="32698">
      <c r="B32698" s="17" t="s">
        <v>477</v>
      </c>
      <c r="K32698" s="18" t="s">
        <v>477</v>
      </c>
    </row>
    <row r="32699">
      <c r="B32699" s="17" t="s">
        <v>477</v>
      </c>
      <c r="K32699" s="18" t="s">
        <v>477</v>
      </c>
    </row>
    <row r="32700">
      <c r="B32700" s="17" t="s">
        <v>477</v>
      </c>
      <c r="K32700" s="18" t="s">
        <v>477</v>
      </c>
    </row>
    <row r="32701">
      <c r="B32701" s="17" t="s">
        <v>477</v>
      </c>
      <c r="K32701" s="18" t="s">
        <v>477</v>
      </c>
    </row>
    <row r="32702">
      <c r="B32702" s="17" t="s">
        <v>477</v>
      </c>
      <c r="K32702" s="18" t="s">
        <v>477</v>
      </c>
    </row>
    <row r="32703">
      <c r="B32703" s="17" t="s">
        <v>477</v>
      </c>
      <c r="K32703" s="18" t="s">
        <v>477</v>
      </c>
    </row>
    <row r="32704">
      <c r="B32704" s="17" t="s">
        <v>477</v>
      </c>
      <c r="K32704" s="18" t="s">
        <v>477</v>
      </c>
    </row>
    <row r="32705">
      <c r="B32705" s="17" t="s">
        <v>477</v>
      </c>
      <c r="K32705" s="18" t="s">
        <v>477</v>
      </c>
    </row>
    <row r="32706">
      <c r="B32706" s="17" t="s">
        <v>477</v>
      </c>
      <c r="K32706" s="18" t="s">
        <v>477</v>
      </c>
    </row>
    <row r="32707">
      <c r="B32707" s="17" t="s">
        <v>477</v>
      </c>
      <c r="K32707" s="18" t="s">
        <v>477</v>
      </c>
    </row>
    <row r="32708">
      <c r="B32708" s="17" t="s">
        <v>477</v>
      </c>
      <c r="K32708" s="18" t="s">
        <v>477</v>
      </c>
    </row>
    <row r="32709">
      <c r="B32709" s="17" t="s">
        <v>477</v>
      </c>
      <c r="K32709" s="18" t="s">
        <v>477</v>
      </c>
    </row>
    <row r="32710">
      <c r="B32710" s="17" t="s">
        <v>477</v>
      </c>
      <c r="K32710" s="18" t="s">
        <v>477</v>
      </c>
    </row>
    <row r="32711">
      <c r="B32711" s="17" t="s">
        <v>477</v>
      </c>
      <c r="K32711" s="18" t="s">
        <v>477</v>
      </c>
    </row>
    <row r="32712">
      <c r="B32712" s="17" t="s">
        <v>477</v>
      </c>
      <c r="K32712" s="18" t="s">
        <v>477</v>
      </c>
    </row>
    <row r="32713">
      <c r="B32713" s="17" t="s">
        <v>477</v>
      </c>
      <c r="K32713" s="18" t="s">
        <v>477</v>
      </c>
    </row>
    <row r="32714">
      <c r="B32714" s="17" t="s">
        <v>477</v>
      </c>
      <c r="K32714" s="18" t="s">
        <v>477</v>
      </c>
    </row>
    <row r="32715">
      <c r="B32715" s="17" t="s">
        <v>477</v>
      </c>
      <c r="K32715" s="18" t="s">
        <v>477</v>
      </c>
    </row>
    <row r="32716">
      <c r="B32716" s="17" t="s">
        <v>477</v>
      </c>
      <c r="K32716" s="18" t="s">
        <v>477</v>
      </c>
    </row>
    <row r="32717">
      <c r="B32717" s="17" t="s">
        <v>477</v>
      </c>
      <c r="K32717" s="18" t="s">
        <v>477</v>
      </c>
    </row>
    <row r="32718">
      <c r="B32718" s="17" t="s">
        <v>477</v>
      </c>
      <c r="K32718" s="18" t="s">
        <v>477</v>
      </c>
    </row>
    <row r="32719">
      <c r="B32719" s="17" t="s">
        <v>477</v>
      </c>
      <c r="K32719" s="18" t="s">
        <v>477</v>
      </c>
    </row>
    <row r="32720">
      <c r="B32720" s="17" t="s">
        <v>477</v>
      </c>
      <c r="K32720" s="18" t="s">
        <v>477</v>
      </c>
    </row>
    <row r="32721">
      <c r="B32721" s="17" t="s">
        <v>477</v>
      </c>
      <c r="K32721" s="18" t="s">
        <v>477</v>
      </c>
    </row>
    <row r="32722">
      <c r="B32722" s="17" t="s">
        <v>477</v>
      </c>
      <c r="K32722" s="18" t="s">
        <v>477</v>
      </c>
    </row>
    <row r="32723">
      <c r="B32723" s="17" t="s">
        <v>477</v>
      </c>
      <c r="K32723" s="18" t="s">
        <v>477</v>
      </c>
    </row>
    <row r="32724">
      <c r="B32724" s="17" t="s">
        <v>477</v>
      </c>
      <c r="K32724" s="18" t="s">
        <v>477</v>
      </c>
    </row>
    <row r="32725">
      <c r="B32725" s="17" t="s">
        <v>477</v>
      </c>
      <c r="K32725" s="18" t="s">
        <v>477</v>
      </c>
    </row>
    <row r="32726">
      <c r="B32726" s="17" t="s">
        <v>477</v>
      </c>
      <c r="K32726" s="18" t="s">
        <v>477</v>
      </c>
    </row>
    <row r="32727">
      <c r="B32727" s="17" t="s">
        <v>477</v>
      </c>
      <c r="K32727" s="18" t="s">
        <v>477</v>
      </c>
    </row>
    <row r="32728">
      <c r="B32728" s="17" t="s">
        <v>477</v>
      </c>
      <c r="K32728" s="18" t="s">
        <v>477</v>
      </c>
    </row>
    <row r="32729">
      <c r="B32729" s="17" t="s">
        <v>477</v>
      </c>
      <c r="K32729" s="18" t="s">
        <v>477</v>
      </c>
    </row>
    <row r="32730">
      <c r="B32730" s="17" t="s">
        <v>477</v>
      </c>
      <c r="K32730" s="18" t="s">
        <v>477</v>
      </c>
    </row>
    <row r="32731">
      <c r="B32731" s="17" t="s">
        <v>477</v>
      </c>
      <c r="K32731" s="18" t="s">
        <v>477</v>
      </c>
    </row>
    <row r="32732">
      <c r="B32732" s="17" t="s">
        <v>477</v>
      </c>
      <c r="K32732" s="18" t="s">
        <v>477</v>
      </c>
    </row>
    <row r="32733">
      <c r="B32733" s="17" t="s">
        <v>477</v>
      </c>
      <c r="K32733" s="18" t="s">
        <v>477</v>
      </c>
    </row>
    <row r="32734">
      <c r="B32734" s="17" t="s">
        <v>477</v>
      </c>
      <c r="K32734" s="18" t="s">
        <v>477</v>
      </c>
    </row>
    <row r="32735">
      <c r="B32735" s="17" t="s">
        <v>477</v>
      </c>
      <c r="K32735" s="18" t="s">
        <v>477</v>
      </c>
    </row>
    <row r="32736">
      <c r="B32736" s="17" t="s">
        <v>477</v>
      </c>
      <c r="K32736" s="18" t="s">
        <v>477</v>
      </c>
    </row>
    <row r="32737">
      <c r="B32737" s="17" t="s">
        <v>477</v>
      </c>
      <c r="K32737" s="18" t="s">
        <v>477</v>
      </c>
    </row>
    <row r="32738">
      <c r="B32738" s="17" t="s">
        <v>477</v>
      </c>
      <c r="K32738" s="18" t="s">
        <v>477</v>
      </c>
    </row>
    <row r="32739">
      <c r="B32739" s="17" t="s">
        <v>477</v>
      </c>
      <c r="K32739" s="18" t="s">
        <v>477</v>
      </c>
    </row>
    <row r="32740">
      <c r="B32740" s="17" t="s">
        <v>477</v>
      </c>
      <c r="K32740" s="18" t="s">
        <v>477</v>
      </c>
    </row>
    <row r="32741">
      <c r="B32741" s="17" t="s">
        <v>477</v>
      </c>
      <c r="K32741" s="18" t="s">
        <v>477</v>
      </c>
    </row>
    <row r="32742">
      <c r="B32742" s="17" t="s">
        <v>477</v>
      </c>
      <c r="K32742" s="18" t="s">
        <v>477</v>
      </c>
    </row>
    <row r="32743">
      <c r="B32743" s="17" t="s">
        <v>477</v>
      </c>
      <c r="K32743" s="18" t="s">
        <v>477</v>
      </c>
    </row>
    <row r="32744">
      <c r="B32744" s="17" t="s">
        <v>477</v>
      </c>
      <c r="K32744" s="18" t="s">
        <v>477</v>
      </c>
    </row>
    <row r="32745">
      <c r="B32745" s="17" t="s">
        <v>477</v>
      </c>
      <c r="K32745" s="18" t="s">
        <v>477</v>
      </c>
    </row>
    <row r="32746">
      <c r="B32746" s="17" t="s">
        <v>477</v>
      </c>
      <c r="K32746" s="18" t="s">
        <v>477</v>
      </c>
    </row>
    <row r="32747">
      <c r="B32747" s="17" t="s">
        <v>477</v>
      </c>
      <c r="K32747" s="18" t="s">
        <v>477</v>
      </c>
    </row>
    <row r="32748">
      <c r="B32748" s="17" t="s">
        <v>477</v>
      </c>
      <c r="K32748" s="18" t="s">
        <v>477</v>
      </c>
    </row>
    <row r="32749">
      <c r="B32749" s="17" t="s">
        <v>477</v>
      </c>
      <c r="K32749" s="18" t="s">
        <v>477</v>
      </c>
    </row>
    <row r="32750">
      <c r="B32750" s="17" t="s">
        <v>477</v>
      </c>
      <c r="K32750" s="18" t="s">
        <v>477</v>
      </c>
    </row>
    <row r="32751">
      <c r="B32751" s="17" t="s">
        <v>477</v>
      </c>
      <c r="K32751" s="18" t="s">
        <v>477</v>
      </c>
    </row>
    <row r="32752">
      <c r="B32752" s="17" t="s">
        <v>477</v>
      </c>
      <c r="K32752" s="18" t="s">
        <v>477</v>
      </c>
    </row>
    <row r="32753">
      <c r="B32753" s="17" t="s">
        <v>477</v>
      </c>
      <c r="K32753" s="18" t="s">
        <v>477</v>
      </c>
    </row>
    <row r="32754">
      <c r="B32754" s="17" t="s">
        <v>477</v>
      </c>
      <c r="K32754" s="18" t="s">
        <v>477</v>
      </c>
    </row>
    <row r="32755">
      <c r="B32755" s="17" t="s">
        <v>477</v>
      </c>
      <c r="K32755" s="18" t="s">
        <v>477</v>
      </c>
    </row>
    <row r="32756">
      <c r="B32756" s="17" t="s">
        <v>477</v>
      </c>
      <c r="K32756" s="18" t="s">
        <v>477</v>
      </c>
    </row>
    <row r="32757">
      <c r="B32757" s="17" t="s">
        <v>477</v>
      </c>
      <c r="K32757" s="18" t="s">
        <v>477</v>
      </c>
    </row>
    <row r="32758">
      <c r="B32758" s="17" t="s">
        <v>477</v>
      </c>
      <c r="K32758" s="18" t="s">
        <v>477</v>
      </c>
    </row>
    <row r="32759">
      <c r="B32759" s="17" t="s">
        <v>477</v>
      </c>
      <c r="K32759" s="18" t="s">
        <v>477</v>
      </c>
    </row>
    <row r="32760">
      <c r="B32760" s="17" t="s">
        <v>477</v>
      </c>
      <c r="K32760" s="18" t="s">
        <v>477</v>
      </c>
    </row>
    <row r="32761">
      <c r="B32761" s="17" t="s">
        <v>477</v>
      </c>
      <c r="K32761" s="18" t="s">
        <v>477</v>
      </c>
    </row>
    <row r="32762">
      <c r="B32762" s="17" t="s">
        <v>477</v>
      </c>
      <c r="K32762" s="18" t="s">
        <v>477</v>
      </c>
    </row>
    <row r="32763">
      <c r="B32763" s="17" t="s">
        <v>477</v>
      </c>
      <c r="K32763" s="18" t="s">
        <v>477</v>
      </c>
    </row>
    <row r="32764">
      <c r="B32764" s="17" t="s">
        <v>477</v>
      </c>
      <c r="K32764" s="18" t="s">
        <v>477</v>
      </c>
    </row>
    <row r="32765">
      <c r="B32765" s="17" t="s">
        <v>477</v>
      </c>
      <c r="K32765" s="18" t="s">
        <v>477</v>
      </c>
    </row>
    <row r="32766">
      <c r="B32766" s="17" t="s">
        <v>477</v>
      </c>
      <c r="K32766" s="18" t="s">
        <v>477</v>
      </c>
    </row>
    <row r="32767">
      <c r="B32767" s="17" t="s">
        <v>477</v>
      </c>
      <c r="K32767" s="18" t="s">
        <v>477</v>
      </c>
    </row>
    <row r="32768">
      <c r="B32768" s="17" t="s">
        <v>477</v>
      </c>
      <c r="K32768" s="18" t="s">
        <v>477</v>
      </c>
    </row>
    <row r="32769">
      <c r="B32769" s="17" t="s">
        <v>477</v>
      </c>
      <c r="K32769" s="18" t="s">
        <v>477</v>
      </c>
    </row>
    <row r="32770">
      <c r="B32770" s="17" t="s">
        <v>477</v>
      </c>
      <c r="K32770" s="18" t="s">
        <v>477</v>
      </c>
    </row>
    <row r="32771">
      <c r="B32771" s="17" t="s">
        <v>477</v>
      </c>
      <c r="K32771" s="18" t="s">
        <v>477</v>
      </c>
    </row>
    <row r="32772">
      <c r="B32772" s="17" t="s">
        <v>477</v>
      </c>
      <c r="K32772" s="18" t="s">
        <v>477</v>
      </c>
    </row>
    <row r="32773">
      <c r="B32773" s="17" t="s">
        <v>477</v>
      </c>
      <c r="K32773" s="18" t="s">
        <v>477</v>
      </c>
    </row>
    <row r="32774">
      <c r="B32774" s="17" t="s">
        <v>477</v>
      </c>
      <c r="K32774" s="18" t="s">
        <v>477</v>
      </c>
    </row>
    <row r="32775">
      <c r="B32775" s="17" t="s">
        <v>477</v>
      </c>
      <c r="K32775" s="18" t="s">
        <v>477</v>
      </c>
    </row>
    <row r="32776">
      <c r="B32776" s="17" t="s">
        <v>477</v>
      </c>
      <c r="K32776" s="18" t="s">
        <v>477</v>
      </c>
    </row>
    <row r="32777">
      <c r="B32777" s="17" t="s">
        <v>477</v>
      </c>
      <c r="K32777" s="18" t="s">
        <v>477</v>
      </c>
    </row>
    <row r="32778">
      <c r="B32778" s="17" t="s">
        <v>477</v>
      </c>
      <c r="K32778" s="18" t="s">
        <v>477</v>
      </c>
    </row>
    <row r="32779">
      <c r="B32779" s="17" t="s">
        <v>477</v>
      </c>
      <c r="K32779" s="18" t="s">
        <v>477</v>
      </c>
    </row>
    <row r="32780">
      <c r="B32780" s="17" t="s">
        <v>477</v>
      </c>
      <c r="K32780" s="18" t="s">
        <v>477</v>
      </c>
    </row>
    <row r="32781">
      <c r="B32781" s="17" t="s">
        <v>477</v>
      </c>
      <c r="K32781" s="18" t="s">
        <v>477</v>
      </c>
    </row>
    <row r="32782">
      <c r="B32782" s="17" t="s">
        <v>477</v>
      </c>
      <c r="K32782" s="18" t="s">
        <v>477</v>
      </c>
    </row>
    <row r="32783">
      <c r="B32783" s="17" t="s">
        <v>477</v>
      </c>
      <c r="K32783" s="18" t="s">
        <v>477</v>
      </c>
    </row>
    <row r="32784">
      <c r="B32784" s="17" t="s">
        <v>477</v>
      </c>
      <c r="K32784" s="18" t="s">
        <v>477</v>
      </c>
    </row>
    <row r="32785">
      <c r="B32785" s="17" t="s">
        <v>477</v>
      </c>
      <c r="K32785" s="18" t="s">
        <v>477</v>
      </c>
    </row>
    <row r="32786">
      <c r="B32786" s="17" t="s">
        <v>477</v>
      </c>
      <c r="K32786" s="18" t="s">
        <v>477</v>
      </c>
    </row>
    <row r="32787">
      <c r="B32787" s="17" t="s">
        <v>477</v>
      </c>
      <c r="K32787" s="18" t="s">
        <v>477</v>
      </c>
    </row>
    <row r="32788">
      <c r="B32788" s="17" t="s">
        <v>477</v>
      </c>
      <c r="K32788" s="18" t="s">
        <v>477</v>
      </c>
    </row>
    <row r="32789">
      <c r="B32789" s="17" t="s">
        <v>477</v>
      </c>
      <c r="K32789" s="18" t="s">
        <v>477</v>
      </c>
    </row>
    <row r="32790">
      <c r="B32790" s="17" t="s">
        <v>477</v>
      </c>
      <c r="K32790" s="18" t="s">
        <v>477</v>
      </c>
    </row>
    <row r="32791">
      <c r="B32791" s="17" t="s">
        <v>477</v>
      </c>
      <c r="K32791" s="18" t="s">
        <v>477</v>
      </c>
    </row>
    <row r="32792">
      <c r="B32792" s="17" t="s">
        <v>477</v>
      </c>
      <c r="K32792" s="18" t="s">
        <v>477</v>
      </c>
    </row>
    <row r="32793">
      <c r="B32793" s="17" t="s">
        <v>477</v>
      </c>
      <c r="K32793" s="18" t="s">
        <v>477</v>
      </c>
    </row>
    <row r="32794">
      <c r="B32794" s="17" t="s">
        <v>477</v>
      </c>
      <c r="K32794" s="18" t="s">
        <v>477</v>
      </c>
    </row>
    <row r="32795">
      <c r="B32795" s="17" t="s">
        <v>477</v>
      </c>
      <c r="K32795" s="18" t="s">
        <v>477</v>
      </c>
    </row>
    <row r="32796">
      <c r="B32796" s="17" t="s">
        <v>477</v>
      </c>
      <c r="K32796" s="18" t="s">
        <v>477</v>
      </c>
    </row>
    <row r="32797">
      <c r="B32797" s="17" t="s">
        <v>477</v>
      </c>
      <c r="K32797" s="18" t="s">
        <v>477</v>
      </c>
    </row>
    <row r="32798">
      <c r="B32798" s="17" t="s">
        <v>477</v>
      </c>
      <c r="K32798" s="18" t="s">
        <v>477</v>
      </c>
    </row>
    <row r="32799">
      <c r="B32799" s="17" t="s">
        <v>477</v>
      </c>
      <c r="K32799" s="18" t="s">
        <v>477</v>
      </c>
    </row>
    <row r="32800">
      <c r="B32800" s="17" t="s">
        <v>477</v>
      </c>
      <c r="K32800" s="18" t="s">
        <v>477</v>
      </c>
    </row>
    <row r="32801">
      <c r="B32801" s="17" t="s">
        <v>477</v>
      </c>
      <c r="K32801" s="18" t="s">
        <v>477</v>
      </c>
    </row>
    <row r="32802">
      <c r="B32802" s="17" t="s">
        <v>477</v>
      </c>
      <c r="K32802" s="18" t="s">
        <v>477</v>
      </c>
    </row>
    <row r="32803">
      <c r="B32803" s="17" t="s">
        <v>477</v>
      </c>
      <c r="K32803" s="18" t="s">
        <v>477</v>
      </c>
    </row>
    <row r="32804">
      <c r="B32804" s="17" t="s">
        <v>477</v>
      </c>
      <c r="K32804" s="18" t="s">
        <v>477</v>
      </c>
    </row>
    <row r="32805">
      <c r="B32805" s="17" t="s">
        <v>477</v>
      </c>
      <c r="K32805" s="18" t="s">
        <v>477</v>
      </c>
    </row>
    <row r="32806">
      <c r="B32806" s="17" t="s">
        <v>477</v>
      </c>
      <c r="K32806" s="18" t="s">
        <v>477</v>
      </c>
    </row>
    <row r="32807">
      <c r="B32807" s="17" t="s">
        <v>477</v>
      </c>
      <c r="K32807" s="18" t="s">
        <v>477</v>
      </c>
    </row>
    <row r="32808">
      <c r="B32808" s="17" t="s">
        <v>477</v>
      </c>
      <c r="K32808" s="18" t="s">
        <v>477</v>
      </c>
    </row>
    <row r="32809">
      <c r="B32809" s="17" t="s">
        <v>477</v>
      </c>
      <c r="K32809" s="18" t="s">
        <v>477</v>
      </c>
    </row>
    <row r="32810">
      <c r="B32810" s="17" t="s">
        <v>477</v>
      </c>
      <c r="K32810" s="18" t="s">
        <v>477</v>
      </c>
    </row>
    <row r="32811">
      <c r="B32811" s="17" t="s">
        <v>477</v>
      </c>
      <c r="K32811" s="18" t="s">
        <v>477</v>
      </c>
    </row>
    <row r="32812">
      <c r="B32812" s="17" t="s">
        <v>477</v>
      </c>
      <c r="K32812" s="18" t="s">
        <v>477</v>
      </c>
    </row>
    <row r="32813">
      <c r="B32813" s="17" t="s">
        <v>477</v>
      </c>
      <c r="K32813" s="18" t="s">
        <v>477</v>
      </c>
    </row>
    <row r="32814">
      <c r="B32814" s="17" t="s">
        <v>477</v>
      </c>
      <c r="K32814" s="18" t="s">
        <v>477</v>
      </c>
    </row>
    <row r="32815">
      <c r="B32815" s="17" t="s">
        <v>477</v>
      </c>
      <c r="K32815" s="18" t="s">
        <v>477</v>
      </c>
    </row>
    <row r="32816">
      <c r="B32816" s="17" t="s">
        <v>477</v>
      </c>
      <c r="K32816" s="18" t="s">
        <v>477</v>
      </c>
    </row>
    <row r="32817">
      <c r="B32817" s="17" t="s">
        <v>477</v>
      </c>
      <c r="K32817" s="18" t="s">
        <v>477</v>
      </c>
    </row>
    <row r="32818">
      <c r="B32818" s="17" t="s">
        <v>477</v>
      </c>
      <c r="K32818" s="18" t="s">
        <v>477</v>
      </c>
    </row>
    <row r="32819">
      <c r="B32819" s="17" t="s">
        <v>477</v>
      </c>
      <c r="K32819" s="18" t="s">
        <v>477</v>
      </c>
    </row>
    <row r="32820">
      <c r="B32820" s="17" t="s">
        <v>477</v>
      </c>
      <c r="K32820" s="18" t="s">
        <v>477</v>
      </c>
    </row>
    <row r="32821">
      <c r="B32821" s="17" t="s">
        <v>477</v>
      </c>
      <c r="K32821" s="18" t="s">
        <v>477</v>
      </c>
    </row>
    <row r="32822">
      <c r="B32822" s="17" t="s">
        <v>477</v>
      </c>
      <c r="K32822" s="18" t="s">
        <v>477</v>
      </c>
    </row>
    <row r="32823">
      <c r="B32823" s="17" t="s">
        <v>477</v>
      </c>
      <c r="K32823" s="18" t="s">
        <v>477</v>
      </c>
    </row>
    <row r="32824">
      <c r="B32824" s="17" t="s">
        <v>477</v>
      </c>
      <c r="K32824" s="18" t="s">
        <v>477</v>
      </c>
    </row>
    <row r="32825">
      <c r="B32825" s="17" t="s">
        <v>477</v>
      </c>
      <c r="K32825" s="18" t="s">
        <v>477</v>
      </c>
    </row>
    <row r="32826">
      <c r="B32826" s="17" t="s">
        <v>477</v>
      </c>
      <c r="K32826" s="18" t="s">
        <v>477</v>
      </c>
    </row>
    <row r="32827">
      <c r="B32827" s="17" t="s">
        <v>477</v>
      </c>
      <c r="K32827" s="18" t="s">
        <v>477</v>
      </c>
    </row>
    <row r="32828">
      <c r="B32828" s="17" t="s">
        <v>477</v>
      </c>
      <c r="K32828" s="18" t="s">
        <v>477</v>
      </c>
    </row>
    <row r="32829">
      <c r="B32829" s="17" t="s">
        <v>477</v>
      </c>
      <c r="K32829" s="18" t="s">
        <v>477</v>
      </c>
    </row>
    <row r="32830">
      <c r="B32830" s="17" t="s">
        <v>477</v>
      </c>
      <c r="K32830" s="18" t="s">
        <v>477</v>
      </c>
    </row>
    <row r="32831">
      <c r="B32831" s="17" t="s">
        <v>477</v>
      </c>
      <c r="K32831" s="18" t="s">
        <v>477</v>
      </c>
    </row>
    <row r="32832">
      <c r="B32832" s="17" t="s">
        <v>477</v>
      </c>
      <c r="K32832" s="18" t="s">
        <v>477</v>
      </c>
    </row>
    <row r="32833">
      <c r="B32833" s="17" t="s">
        <v>477</v>
      </c>
      <c r="K32833" s="18" t="s">
        <v>477</v>
      </c>
    </row>
    <row r="32834">
      <c r="B32834" s="17" t="s">
        <v>477</v>
      </c>
      <c r="K32834" s="18" t="s">
        <v>477</v>
      </c>
    </row>
    <row r="32835">
      <c r="B32835" s="17" t="s">
        <v>477</v>
      </c>
      <c r="K32835" s="18" t="s">
        <v>477</v>
      </c>
    </row>
    <row r="32836">
      <c r="B32836" s="17" t="s">
        <v>477</v>
      </c>
      <c r="K32836" s="18" t="s">
        <v>477</v>
      </c>
    </row>
    <row r="32837">
      <c r="B32837" s="17" t="s">
        <v>477</v>
      </c>
      <c r="K32837" s="18" t="s">
        <v>477</v>
      </c>
    </row>
    <row r="32838">
      <c r="B32838" s="17" t="s">
        <v>477</v>
      </c>
      <c r="K32838" s="18" t="s">
        <v>477</v>
      </c>
    </row>
    <row r="32839">
      <c r="B32839" s="17" t="s">
        <v>477</v>
      </c>
      <c r="K32839" s="18" t="s">
        <v>477</v>
      </c>
    </row>
    <row r="32840">
      <c r="B32840" s="17" t="s">
        <v>477</v>
      </c>
      <c r="K32840" s="18" t="s">
        <v>477</v>
      </c>
    </row>
    <row r="32841">
      <c r="B32841" s="17" t="s">
        <v>477</v>
      </c>
      <c r="K32841" s="18" t="s">
        <v>477</v>
      </c>
    </row>
    <row r="32842">
      <c r="B32842" s="17" t="s">
        <v>477</v>
      </c>
      <c r="K32842" s="18" t="s">
        <v>477</v>
      </c>
    </row>
    <row r="32843">
      <c r="B32843" s="17" t="s">
        <v>477</v>
      </c>
      <c r="K32843" s="18" t="s">
        <v>477</v>
      </c>
    </row>
    <row r="32844">
      <c r="B32844" s="17" t="s">
        <v>477</v>
      </c>
      <c r="K32844" s="18" t="s">
        <v>477</v>
      </c>
    </row>
    <row r="32845">
      <c r="B32845" s="17" t="s">
        <v>477</v>
      </c>
      <c r="K32845" s="18" t="s">
        <v>477</v>
      </c>
    </row>
    <row r="32846">
      <c r="B32846" s="17" t="s">
        <v>477</v>
      </c>
      <c r="K32846" s="18" t="s">
        <v>477</v>
      </c>
    </row>
    <row r="32847">
      <c r="B32847" s="17" t="s">
        <v>477</v>
      </c>
      <c r="K32847" s="18" t="s">
        <v>477</v>
      </c>
    </row>
    <row r="32848">
      <c r="B32848" s="17" t="s">
        <v>477</v>
      </c>
      <c r="K32848" s="18" t="s">
        <v>477</v>
      </c>
    </row>
    <row r="32849">
      <c r="B32849" s="17" t="s">
        <v>477</v>
      </c>
      <c r="K32849" s="18" t="s">
        <v>477</v>
      </c>
    </row>
    <row r="32850">
      <c r="B32850" s="17" t="s">
        <v>477</v>
      </c>
      <c r="K32850" s="18" t="s">
        <v>477</v>
      </c>
    </row>
    <row r="32851">
      <c r="B32851" s="17" t="s">
        <v>477</v>
      </c>
      <c r="K32851" s="18" t="s">
        <v>477</v>
      </c>
    </row>
    <row r="32852">
      <c r="B32852" s="17" t="s">
        <v>477</v>
      </c>
      <c r="K32852" s="18" t="s">
        <v>477</v>
      </c>
    </row>
    <row r="32853">
      <c r="B32853" s="17" t="s">
        <v>477</v>
      </c>
      <c r="K32853" s="18" t="s">
        <v>477</v>
      </c>
    </row>
    <row r="32854">
      <c r="B32854" s="17" t="s">
        <v>477</v>
      </c>
      <c r="K32854" s="18" t="s">
        <v>477</v>
      </c>
    </row>
    <row r="32855">
      <c r="B32855" s="17" t="s">
        <v>477</v>
      </c>
      <c r="K32855" s="18" t="s">
        <v>477</v>
      </c>
    </row>
    <row r="32856">
      <c r="B32856" s="17" t="s">
        <v>477</v>
      </c>
      <c r="K32856" s="18" t="s">
        <v>477</v>
      </c>
    </row>
    <row r="32857">
      <c r="B32857" s="17" t="s">
        <v>477</v>
      </c>
      <c r="K32857" s="18" t="s">
        <v>477</v>
      </c>
    </row>
    <row r="32858">
      <c r="B32858" s="17" t="s">
        <v>477</v>
      </c>
      <c r="K32858" s="18" t="s">
        <v>477</v>
      </c>
    </row>
    <row r="32859">
      <c r="B32859" s="17" t="s">
        <v>477</v>
      </c>
      <c r="K32859" s="18" t="s">
        <v>477</v>
      </c>
    </row>
    <row r="32860">
      <c r="B32860" s="17" t="s">
        <v>477</v>
      </c>
      <c r="K32860" s="18" t="s">
        <v>477</v>
      </c>
    </row>
    <row r="32861">
      <c r="B32861" s="17" t="s">
        <v>477</v>
      </c>
      <c r="K32861" s="18" t="s">
        <v>477</v>
      </c>
    </row>
    <row r="32862">
      <c r="B32862" s="17" t="s">
        <v>477</v>
      </c>
      <c r="K32862" s="18" t="s">
        <v>477</v>
      </c>
    </row>
    <row r="32863">
      <c r="B32863" s="17" t="s">
        <v>477</v>
      </c>
      <c r="K32863" s="18" t="s">
        <v>477</v>
      </c>
    </row>
    <row r="32864">
      <c r="B32864" s="17" t="s">
        <v>477</v>
      </c>
      <c r="K32864" s="18" t="s">
        <v>477</v>
      </c>
    </row>
    <row r="32865">
      <c r="B32865" s="17" t="s">
        <v>477</v>
      </c>
      <c r="K32865" s="18" t="s">
        <v>477</v>
      </c>
    </row>
    <row r="32866">
      <c r="B32866" s="17" t="s">
        <v>477</v>
      </c>
      <c r="K32866" s="18" t="s">
        <v>477</v>
      </c>
    </row>
    <row r="32867">
      <c r="B32867" s="17" t="s">
        <v>477</v>
      </c>
      <c r="K32867" s="18" t="s">
        <v>477</v>
      </c>
    </row>
    <row r="32868">
      <c r="B32868" s="17" t="s">
        <v>477</v>
      </c>
      <c r="K32868" s="18" t="s">
        <v>477</v>
      </c>
    </row>
    <row r="32869">
      <c r="B32869" s="17" t="s">
        <v>477</v>
      </c>
      <c r="K32869" s="18" t="s">
        <v>477</v>
      </c>
    </row>
    <row r="32870">
      <c r="B32870" s="17" t="s">
        <v>477</v>
      </c>
      <c r="K32870" s="18" t="s">
        <v>477</v>
      </c>
    </row>
    <row r="32871">
      <c r="B32871" s="17" t="s">
        <v>477</v>
      </c>
      <c r="K32871" s="18" t="s">
        <v>477</v>
      </c>
    </row>
    <row r="32872">
      <c r="B32872" s="17" t="s">
        <v>477</v>
      </c>
      <c r="K32872" s="18" t="s">
        <v>477</v>
      </c>
    </row>
    <row r="32873">
      <c r="B32873" s="17" t="s">
        <v>477</v>
      </c>
      <c r="K32873" s="18" t="s">
        <v>477</v>
      </c>
    </row>
    <row r="32874">
      <c r="B32874" s="17" t="s">
        <v>477</v>
      </c>
      <c r="K32874" s="18" t="s">
        <v>477</v>
      </c>
    </row>
    <row r="32875">
      <c r="B32875" s="17" t="s">
        <v>477</v>
      </c>
      <c r="K32875" s="18" t="s">
        <v>477</v>
      </c>
    </row>
    <row r="32876">
      <c r="B32876" s="17" t="s">
        <v>477</v>
      </c>
      <c r="K32876" s="18" t="s">
        <v>477</v>
      </c>
    </row>
    <row r="32877">
      <c r="B32877" s="17" t="s">
        <v>477</v>
      </c>
      <c r="K32877" s="18" t="s">
        <v>477</v>
      </c>
    </row>
    <row r="32878">
      <c r="B32878" s="17" t="s">
        <v>477</v>
      </c>
      <c r="K32878" s="18" t="s">
        <v>477</v>
      </c>
    </row>
    <row r="32879">
      <c r="B32879" s="17" t="s">
        <v>477</v>
      </c>
      <c r="K32879" s="18" t="s">
        <v>477</v>
      </c>
    </row>
    <row r="32880">
      <c r="B32880" s="17" t="s">
        <v>477</v>
      </c>
      <c r="K32880" s="18" t="s">
        <v>477</v>
      </c>
    </row>
    <row r="32881">
      <c r="B32881" s="17" t="s">
        <v>477</v>
      </c>
      <c r="K32881" s="18" t="s">
        <v>477</v>
      </c>
    </row>
    <row r="32882">
      <c r="B32882" s="17" t="s">
        <v>477</v>
      </c>
      <c r="K32882" s="18" t="s">
        <v>477</v>
      </c>
    </row>
    <row r="32883">
      <c r="B32883" s="17" t="s">
        <v>477</v>
      </c>
      <c r="K32883" s="18" t="s">
        <v>477</v>
      </c>
    </row>
    <row r="32884">
      <c r="B32884" s="17" t="s">
        <v>477</v>
      </c>
      <c r="K32884" s="18" t="s">
        <v>477</v>
      </c>
    </row>
    <row r="32885">
      <c r="B32885" s="17" t="s">
        <v>477</v>
      </c>
      <c r="K32885" s="18" t="s">
        <v>477</v>
      </c>
    </row>
    <row r="32886">
      <c r="B32886" s="17" t="s">
        <v>477</v>
      </c>
      <c r="K32886" s="18" t="s">
        <v>477</v>
      </c>
    </row>
    <row r="32887">
      <c r="B32887" s="17" t="s">
        <v>477</v>
      </c>
      <c r="K32887" s="18" t="s">
        <v>477</v>
      </c>
    </row>
    <row r="32888">
      <c r="B32888" s="17" t="s">
        <v>477</v>
      </c>
      <c r="K32888" s="18" t="s">
        <v>477</v>
      </c>
    </row>
    <row r="32889">
      <c r="B32889" s="17" t="s">
        <v>477</v>
      </c>
      <c r="K32889" s="18" t="s">
        <v>477</v>
      </c>
    </row>
    <row r="32890">
      <c r="B32890" s="17" t="s">
        <v>477</v>
      </c>
      <c r="K32890" s="18" t="s">
        <v>477</v>
      </c>
    </row>
    <row r="32891">
      <c r="B32891" s="17" t="s">
        <v>477</v>
      </c>
      <c r="K32891" s="18" t="s">
        <v>477</v>
      </c>
    </row>
    <row r="32892">
      <c r="B32892" s="17" t="s">
        <v>477</v>
      </c>
      <c r="K32892" s="18" t="s">
        <v>477</v>
      </c>
    </row>
    <row r="32893">
      <c r="B32893" s="17" t="s">
        <v>477</v>
      </c>
      <c r="K32893" s="18" t="s">
        <v>477</v>
      </c>
    </row>
    <row r="32894">
      <c r="B32894" s="17" t="s">
        <v>477</v>
      </c>
      <c r="K32894" s="18" t="s">
        <v>477</v>
      </c>
    </row>
    <row r="32895">
      <c r="B32895" s="17" t="s">
        <v>477</v>
      </c>
      <c r="K32895" s="18" t="s">
        <v>477</v>
      </c>
    </row>
    <row r="32896">
      <c r="B32896" s="17" t="s">
        <v>477</v>
      </c>
      <c r="K32896" s="18" t="s">
        <v>477</v>
      </c>
    </row>
    <row r="32897">
      <c r="B32897" s="17" t="s">
        <v>477</v>
      </c>
      <c r="K32897" s="18" t="s">
        <v>477</v>
      </c>
    </row>
    <row r="32898">
      <c r="B32898" s="17" t="s">
        <v>477</v>
      </c>
      <c r="K32898" s="18" t="s">
        <v>477</v>
      </c>
    </row>
    <row r="32899">
      <c r="B32899" s="17" t="s">
        <v>477</v>
      </c>
      <c r="K32899" s="18" t="s">
        <v>477</v>
      </c>
    </row>
    <row r="32900">
      <c r="B32900" s="17" t="s">
        <v>477</v>
      </c>
      <c r="K32900" s="18" t="s">
        <v>477</v>
      </c>
    </row>
    <row r="32901">
      <c r="B32901" s="17" t="s">
        <v>477</v>
      </c>
      <c r="K32901" s="18" t="s">
        <v>477</v>
      </c>
    </row>
    <row r="32902">
      <c r="B32902" s="17" t="s">
        <v>477</v>
      </c>
      <c r="K32902" s="18" t="s">
        <v>477</v>
      </c>
    </row>
    <row r="32903">
      <c r="B32903" s="17" t="s">
        <v>477</v>
      </c>
      <c r="K32903" s="18" t="s">
        <v>477</v>
      </c>
    </row>
    <row r="32904">
      <c r="B32904" s="17" t="s">
        <v>477</v>
      </c>
      <c r="K32904" s="18" t="s">
        <v>477</v>
      </c>
    </row>
    <row r="32905">
      <c r="B32905" s="17" t="s">
        <v>477</v>
      </c>
      <c r="K32905" s="18" t="s">
        <v>477</v>
      </c>
    </row>
    <row r="32906">
      <c r="B32906" s="17" t="s">
        <v>477</v>
      </c>
      <c r="K32906" s="18" t="s">
        <v>477</v>
      </c>
    </row>
    <row r="32907">
      <c r="B32907" s="17" t="s">
        <v>477</v>
      </c>
      <c r="K32907" s="18" t="s">
        <v>477</v>
      </c>
    </row>
    <row r="32908">
      <c r="B32908" s="17" t="s">
        <v>477</v>
      </c>
      <c r="K32908" s="18" t="s">
        <v>477</v>
      </c>
    </row>
    <row r="32909">
      <c r="B32909" s="17" t="s">
        <v>477</v>
      </c>
      <c r="K32909" s="18" t="s">
        <v>477</v>
      </c>
    </row>
    <row r="32910">
      <c r="B32910" s="17" t="s">
        <v>477</v>
      </c>
      <c r="K32910" s="18" t="s">
        <v>477</v>
      </c>
    </row>
    <row r="32911">
      <c r="B32911" s="17" t="s">
        <v>477</v>
      </c>
      <c r="K32911" s="18" t="s">
        <v>477</v>
      </c>
    </row>
    <row r="32912">
      <c r="B32912" s="17" t="s">
        <v>477</v>
      </c>
      <c r="K32912" s="18" t="s">
        <v>477</v>
      </c>
    </row>
    <row r="32913">
      <c r="B32913" s="17" t="s">
        <v>477</v>
      </c>
      <c r="K32913" s="18" t="s">
        <v>477</v>
      </c>
    </row>
    <row r="32914">
      <c r="B32914" s="17" t="s">
        <v>477</v>
      </c>
      <c r="K32914" s="18" t="s">
        <v>477</v>
      </c>
    </row>
    <row r="32915">
      <c r="B32915" s="17" t="s">
        <v>477</v>
      </c>
      <c r="K32915" s="18" t="s">
        <v>477</v>
      </c>
    </row>
    <row r="32916">
      <c r="B32916" s="17" t="s">
        <v>477</v>
      </c>
      <c r="K32916" s="18" t="s">
        <v>477</v>
      </c>
    </row>
    <row r="32917">
      <c r="B32917" s="17" t="s">
        <v>477</v>
      </c>
      <c r="K32917" s="18" t="s">
        <v>477</v>
      </c>
    </row>
    <row r="32918">
      <c r="B32918" s="17" t="s">
        <v>477</v>
      </c>
      <c r="K32918" s="18" t="s">
        <v>477</v>
      </c>
    </row>
    <row r="32919">
      <c r="B32919" s="17" t="s">
        <v>477</v>
      </c>
      <c r="K32919" s="18" t="s">
        <v>477</v>
      </c>
    </row>
    <row r="32920">
      <c r="B32920" s="17" t="s">
        <v>477</v>
      </c>
      <c r="K32920" s="18" t="s">
        <v>477</v>
      </c>
    </row>
    <row r="32921">
      <c r="B32921" s="17" t="s">
        <v>477</v>
      </c>
      <c r="K32921" s="18" t="s">
        <v>477</v>
      </c>
    </row>
    <row r="32922">
      <c r="B32922" s="17" t="s">
        <v>477</v>
      </c>
      <c r="K32922" s="18" t="s">
        <v>477</v>
      </c>
    </row>
    <row r="32923">
      <c r="B32923" s="17" t="s">
        <v>477</v>
      </c>
      <c r="K32923" s="18" t="s">
        <v>477</v>
      </c>
    </row>
    <row r="32924">
      <c r="B32924" s="17" t="s">
        <v>477</v>
      </c>
      <c r="K32924" s="18" t="s">
        <v>477</v>
      </c>
    </row>
    <row r="32925">
      <c r="B32925" s="17" t="s">
        <v>477</v>
      </c>
      <c r="K32925" s="18" t="s">
        <v>477</v>
      </c>
    </row>
    <row r="32926">
      <c r="B32926" s="17" t="s">
        <v>477</v>
      </c>
      <c r="K32926" s="18" t="s">
        <v>477</v>
      </c>
    </row>
    <row r="32927">
      <c r="B32927" s="17" t="s">
        <v>477</v>
      </c>
      <c r="K32927" s="18" t="s">
        <v>477</v>
      </c>
    </row>
    <row r="32928">
      <c r="B32928" s="17" t="s">
        <v>477</v>
      </c>
      <c r="K32928" s="18" t="s">
        <v>477</v>
      </c>
    </row>
    <row r="32929">
      <c r="B32929" s="17" t="s">
        <v>477</v>
      </c>
      <c r="K32929" s="18" t="s">
        <v>477</v>
      </c>
    </row>
    <row r="32930">
      <c r="B32930" s="17" t="s">
        <v>477</v>
      </c>
      <c r="K32930" s="18" t="s">
        <v>477</v>
      </c>
    </row>
    <row r="32931">
      <c r="B32931" s="17" t="s">
        <v>477</v>
      </c>
      <c r="K32931" s="18" t="s">
        <v>477</v>
      </c>
    </row>
    <row r="32932">
      <c r="B32932" s="17" t="s">
        <v>477</v>
      </c>
      <c r="K32932" s="18" t="s">
        <v>477</v>
      </c>
    </row>
    <row r="32933">
      <c r="B32933" s="17" t="s">
        <v>477</v>
      </c>
      <c r="K32933" s="18" t="s">
        <v>477</v>
      </c>
    </row>
    <row r="32934">
      <c r="B32934" s="17" t="s">
        <v>477</v>
      </c>
      <c r="K32934" s="18" t="s">
        <v>477</v>
      </c>
    </row>
    <row r="32935">
      <c r="B32935" s="17" t="s">
        <v>477</v>
      </c>
      <c r="K32935" s="18" t="s">
        <v>477</v>
      </c>
    </row>
    <row r="32936">
      <c r="B32936" s="17" t="s">
        <v>477</v>
      </c>
      <c r="K32936" s="18" t="s">
        <v>477</v>
      </c>
    </row>
    <row r="32937">
      <c r="B32937" s="17" t="s">
        <v>477</v>
      </c>
      <c r="K32937" s="18" t="s">
        <v>477</v>
      </c>
    </row>
    <row r="32938">
      <c r="B32938" s="17" t="s">
        <v>477</v>
      </c>
      <c r="K32938" s="18" t="s">
        <v>477</v>
      </c>
    </row>
    <row r="32939">
      <c r="B32939" s="17" t="s">
        <v>477</v>
      </c>
      <c r="K32939" s="18" t="s">
        <v>477</v>
      </c>
    </row>
    <row r="32940">
      <c r="B32940" s="17" t="s">
        <v>477</v>
      </c>
      <c r="K32940" s="18" t="s">
        <v>477</v>
      </c>
    </row>
    <row r="32941">
      <c r="B32941" s="17" t="s">
        <v>477</v>
      </c>
      <c r="K32941" s="18" t="s">
        <v>477</v>
      </c>
    </row>
    <row r="32942">
      <c r="B32942" s="17" t="s">
        <v>477</v>
      </c>
      <c r="K32942" s="18" t="s">
        <v>477</v>
      </c>
    </row>
    <row r="32943">
      <c r="B32943" s="17" t="s">
        <v>477</v>
      </c>
      <c r="K32943" s="18" t="s">
        <v>477</v>
      </c>
    </row>
    <row r="32944">
      <c r="B32944" s="17" t="s">
        <v>477</v>
      </c>
      <c r="K32944" s="18" t="s">
        <v>477</v>
      </c>
    </row>
    <row r="32945">
      <c r="B32945" s="17" t="s">
        <v>477</v>
      </c>
      <c r="K32945" s="18" t="s">
        <v>477</v>
      </c>
    </row>
    <row r="32946">
      <c r="B32946" s="17" t="s">
        <v>477</v>
      </c>
      <c r="K32946" s="18" t="s">
        <v>477</v>
      </c>
    </row>
    <row r="32947">
      <c r="B32947" s="17" t="s">
        <v>477</v>
      </c>
      <c r="K32947" s="18" t="s">
        <v>477</v>
      </c>
    </row>
    <row r="32948">
      <c r="B32948" s="17" t="s">
        <v>477</v>
      </c>
      <c r="K32948" s="18" t="s">
        <v>477</v>
      </c>
    </row>
    <row r="32949">
      <c r="B32949" s="17" t="s">
        <v>477</v>
      </c>
      <c r="K32949" s="18" t="s">
        <v>477</v>
      </c>
    </row>
    <row r="32950">
      <c r="B32950" s="17" t="s">
        <v>477</v>
      </c>
      <c r="K32950" s="18" t="s">
        <v>477</v>
      </c>
    </row>
    <row r="32951">
      <c r="B32951" s="17" t="s">
        <v>477</v>
      </c>
      <c r="K32951" s="18" t="s">
        <v>477</v>
      </c>
    </row>
    <row r="32952">
      <c r="B32952" s="17" t="s">
        <v>477</v>
      </c>
      <c r="K32952" s="18" t="s">
        <v>477</v>
      </c>
    </row>
    <row r="32953">
      <c r="B32953" s="17" t="s">
        <v>477</v>
      </c>
      <c r="K32953" s="18" t="s">
        <v>477</v>
      </c>
    </row>
    <row r="32954">
      <c r="B32954" s="17" t="s">
        <v>477</v>
      </c>
      <c r="K32954" s="18" t="s">
        <v>477</v>
      </c>
    </row>
    <row r="32955">
      <c r="B32955" s="17" t="s">
        <v>477</v>
      </c>
      <c r="K32955" s="18" t="s">
        <v>477</v>
      </c>
    </row>
    <row r="32956">
      <c r="B32956" s="17" t="s">
        <v>477</v>
      </c>
      <c r="K32956" s="18" t="s">
        <v>477</v>
      </c>
    </row>
    <row r="32957">
      <c r="B32957" s="17" t="s">
        <v>477</v>
      </c>
      <c r="K32957" s="18" t="s">
        <v>477</v>
      </c>
    </row>
    <row r="32958">
      <c r="B32958" s="17" t="s">
        <v>477</v>
      </c>
      <c r="K32958" s="18" t="s">
        <v>477</v>
      </c>
    </row>
    <row r="32959">
      <c r="B32959" s="17" t="s">
        <v>477</v>
      </c>
      <c r="K32959" s="18" t="s">
        <v>477</v>
      </c>
    </row>
    <row r="32960">
      <c r="B32960" s="17" t="s">
        <v>477</v>
      </c>
      <c r="K32960" s="18" t="s">
        <v>477</v>
      </c>
    </row>
    <row r="32961">
      <c r="B32961" s="17" t="s">
        <v>477</v>
      </c>
      <c r="K32961" s="18" t="s">
        <v>477</v>
      </c>
    </row>
    <row r="32962">
      <c r="B32962" s="17" t="s">
        <v>477</v>
      </c>
      <c r="K32962" s="18" t="s">
        <v>477</v>
      </c>
    </row>
    <row r="32963">
      <c r="B32963" s="17" t="s">
        <v>477</v>
      </c>
      <c r="K32963" s="18" t="s">
        <v>477</v>
      </c>
    </row>
    <row r="32964">
      <c r="B32964" s="17" t="s">
        <v>477</v>
      </c>
      <c r="K32964" s="18" t="s">
        <v>477</v>
      </c>
    </row>
    <row r="32965">
      <c r="B32965" s="17" t="s">
        <v>477</v>
      </c>
      <c r="K32965" s="18" t="s">
        <v>477</v>
      </c>
    </row>
    <row r="32966">
      <c r="B32966" s="17" t="s">
        <v>477</v>
      </c>
      <c r="K32966" s="18" t="s">
        <v>477</v>
      </c>
    </row>
    <row r="32967">
      <c r="B32967" s="17" t="s">
        <v>477</v>
      </c>
      <c r="K32967" s="18" t="s">
        <v>477</v>
      </c>
    </row>
    <row r="32968">
      <c r="B32968" s="17" t="s">
        <v>477</v>
      </c>
      <c r="K32968" s="18" t="s">
        <v>477</v>
      </c>
    </row>
    <row r="32969">
      <c r="B32969" s="17" t="s">
        <v>477</v>
      </c>
      <c r="K32969" s="18" t="s">
        <v>477</v>
      </c>
    </row>
    <row r="32970">
      <c r="B32970" s="17" t="s">
        <v>477</v>
      </c>
      <c r="K32970" s="18" t="s">
        <v>477</v>
      </c>
    </row>
    <row r="32971">
      <c r="B32971" s="17" t="s">
        <v>477</v>
      </c>
      <c r="K32971" s="18" t="s">
        <v>477</v>
      </c>
    </row>
    <row r="32972">
      <c r="B32972" s="17" t="s">
        <v>477</v>
      </c>
      <c r="K32972" s="18" t="s">
        <v>477</v>
      </c>
    </row>
    <row r="32973">
      <c r="B32973" s="17" t="s">
        <v>477</v>
      </c>
      <c r="K32973" s="18" t="s">
        <v>477</v>
      </c>
    </row>
    <row r="32974">
      <c r="B32974" s="17" t="s">
        <v>477</v>
      </c>
      <c r="K32974" s="18" t="s">
        <v>477</v>
      </c>
    </row>
    <row r="32975">
      <c r="B32975" s="17" t="s">
        <v>477</v>
      </c>
      <c r="K32975" s="18" t="s">
        <v>477</v>
      </c>
    </row>
    <row r="32976">
      <c r="B32976" s="17" t="s">
        <v>477</v>
      </c>
      <c r="K32976" s="18" t="s">
        <v>477</v>
      </c>
    </row>
    <row r="32977">
      <c r="B32977" s="17" t="s">
        <v>477</v>
      </c>
      <c r="K32977" s="18" t="s">
        <v>477</v>
      </c>
    </row>
    <row r="32978">
      <c r="B32978" s="17" t="s">
        <v>477</v>
      </c>
      <c r="K32978" s="18" t="s">
        <v>477</v>
      </c>
    </row>
    <row r="32979">
      <c r="B32979" s="17" t="s">
        <v>477</v>
      </c>
      <c r="K32979" s="18" t="s">
        <v>477</v>
      </c>
    </row>
    <row r="32980">
      <c r="B32980" s="17" t="s">
        <v>477</v>
      </c>
      <c r="K32980" s="18" t="s">
        <v>477</v>
      </c>
    </row>
    <row r="32981">
      <c r="B32981" s="17" t="s">
        <v>477</v>
      </c>
      <c r="K32981" s="18" t="s">
        <v>477</v>
      </c>
    </row>
    <row r="32982">
      <c r="B32982" s="17" t="s">
        <v>477</v>
      </c>
      <c r="K32982" s="18" t="s">
        <v>477</v>
      </c>
    </row>
    <row r="32983">
      <c r="B32983" s="17" t="s">
        <v>477</v>
      </c>
      <c r="K32983" s="18" t="s">
        <v>477</v>
      </c>
    </row>
    <row r="32984">
      <c r="B32984" s="17" t="s">
        <v>477</v>
      </c>
      <c r="K32984" s="18" t="s">
        <v>477</v>
      </c>
    </row>
    <row r="32985">
      <c r="B32985" s="17" t="s">
        <v>477</v>
      </c>
      <c r="K32985" s="18" t="s">
        <v>477</v>
      </c>
    </row>
    <row r="32986">
      <c r="B32986" s="17" t="s">
        <v>477</v>
      </c>
      <c r="K32986" s="18" t="s">
        <v>477</v>
      </c>
    </row>
    <row r="32987">
      <c r="B32987" s="17" t="s">
        <v>477</v>
      </c>
      <c r="K32987" s="18" t="s">
        <v>477</v>
      </c>
    </row>
    <row r="32988">
      <c r="B32988" s="17" t="s">
        <v>477</v>
      </c>
      <c r="K32988" s="18" t="s">
        <v>477</v>
      </c>
    </row>
    <row r="32989">
      <c r="B32989" s="17" t="s">
        <v>477</v>
      </c>
      <c r="K32989" s="18" t="s">
        <v>477</v>
      </c>
    </row>
    <row r="32990">
      <c r="B32990" s="17" t="s">
        <v>477</v>
      </c>
      <c r="K32990" s="18" t="s">
        <v>477</v>
      </c>
    </row>
    <row r="32991">
      <c r="B32991" s="17" t="s">
        <v>477</v>
      </c>
      <c r="K32991" s="18" t="s">
        <v>477</v>
      </c>
    </row>
    <row r="32992">
      <c r="B32992" s="17" t="s">
        <v>477</v>
      </c>
      <c r="K32992" s="18" t="s">
        <v>477</v>
      </c>
    </row>
    <row r="32993">
      <c r="B32993" s="17" t="s">
        <v>477</v>
      </c>
      <c r="K32993" s="18" t="s">
        <v>477</v>
      </c>
    </row>
    <row r="32994">
      <c r="B32994" s="17" t="s">
        <v>477</v>
      </c>
      <c r="K32994" s="18" t="s">
        <v>477</v>
      </c>
    </row>
    <row r="32995">
      <c r="B32995" s="17" t="s">
        <v>477</v>
      </c>
      <c r="K32995" s="18" t="s">
        <v>477</v>
      </c>
    </row>
    <row r="32996">
      <c r="B32996" s="17" t="s">
        <v>477</v>
      </c>
      <c r="K32996" s="18" t="s">
        <v>477</v>
      </c>
    </row>
    <row r="32997">
      <c r="B32997" s="17" t="s">
        <v>477</v>
      </c>
      <c r="K32997" s="18" t="s">
        <v>477</v>
      </c>
    </row>
    <row r="32998">
      <c r="B32998" s="17" t="s">
        <v>477</v>
      </c>
      <c r="K32998" s="18" t="s">
        <v>477</v>
      </c>
    </row>
    <row r="32999">
      <c r="B32999" s="17" t="s">
        <v>477</v>
      </c>
      <c r="K32999" s="18" t="s">
        <v>477</v>
      </c>
    </row>
    <row r="33000">
      <c r="B33000" s="17" t="s">
        <v>477</v>
      </c>
      <c r="K33000" s="18" t="s">
        <v>477</v>
      </c>
    </row>
    <row r="33001">
      <c r="B33001" s="17" t="s">
        <v>477</v>
      </c>
      <c r="K33001" s="18" t="s">
        <v>477</v>
      </c>
    </row>
    <row r="33002">
      <c r="B33002" s="17" t="s">
        <v>477</v>
      </c>
      <c r="K33002" s="18" t="s">
        <v>477</v>
      </c>
    </row>
    <row r="33003">
      <c r="B33003" s="17" t="s">
        <v>477</v>
      </c>
      <c r="K33003" s="18" t="s">
        <v>477</v>
      </c>
    </row>
    <row r="33004">
      <c r="B33004" s="17" t="s">
        <v>477</v>
      </c>
      <c r="K33004" s="18" t="s">
        <v>477</v>
      </c>
    </row>
    <row r="33005">
      <c r="B33005" s="17" t="s">
        <v>477</v>
      </c>
      <c r="K33005" s="18" t="s">
        <v>477</v>
      </c>
    </row>
    <row r="33006">
      <c r="B33006" s="17" t="s">
        <v>477</v>
      </c>
      <c r="K33006" s="18" t="s">
        <v>477</v>
      </c>
    </row>
    <row r="33007">
      <c r="B33007" s="17" t="s">
        <v>477</v>
      </c>
      <c r="K33007" s="18" t="s">
        <v>477</v>
      </c>
    </row>
    <row r="33008">
      <c r="B33008" s="17" t="s">
        <v>477</v>
      </c>
      <c r="K33008" s="18" t="s">
        <v>477</v>
      </c>
    </row>
    <row r="33009">
      <c r="B33009" s="17" t="s">
        <v>477</v>
      </c>
      <c r="K33009" s="18" t="s">
        <v>477</v>
      </c>
    </row>
    <row r="33010">
      <c r="B33010" s="17" t="s">
        <v>477</v>
      </c>
      <c r="K33010" s="18" t="s">
        <v>477</v>
      </c>
    </row>
    <row r="33011">
      <c r="B33011" s="17" t="s">
        <v>477</v>
      </c>
      <c r="K33011" s="18" t="s">
        <v>477</v>
      </c>
    </row>
    <row r="33012">
      <c r="B33012" s="17" t="s">
        <v>477</v>
      </c>
      <c r="K33012" s="18" t="s">
        <v>477</v>
      </c>
    </row>
    <row r="33013">
      <c r="B33013" s="17" t="s">
        <v>477</v>
      </c>
      <c r="K33013" s="18" t="s">
        <v>477</v>
      </c>
    </row>
    <row r="33014">
      <c r="B33014" s="17" t="s">
        <v>477</v>
      </c>
      <c r="K33014" s="18" t="s">
        <v>477</v>
      </c>
    </row>
    <row r="33015">
      <c r="B33015" s="17" t="s">
        <v>477</v>
      </c>
      <c r="K33015" s="18" t="s">
        <v>477</v>
      </c>
    </row>
    <row r="33016">
      <c r="B33016" s="17" t="s">
        <v>477</v>
      </c>
      <c r="K33016" s="18" t="s">
        <v>477</v>
      </c>
    </row>
    <row r="33017">
      <c r="B33017" s="17" t="s">
        <v>477</v>
      </c>
      <c r="K33017" s="18" t="s">
        <v>477</v>
      </c>
    </row>
    <row r="33018">
      <c r="B33018" s="17" t="s">
        <v>477</v>
      </c>
      <c r="K33018" s="18" t="s">
        <v>477</v>
      </c>
    </row>
    <row r="33019">
      <c r="B33019" s="17" t="s">
        <v>477</v>
      </c>
      <c r="K33019" s="18" t="s">
        <v>477</v>
      </c>
    </row>
    <row r="33020">
      <c r="B33020" s="17" t="s">
        <v>477</v>
      </c>
      <c r="K33020" s="18" t="s">
        <v>477</v>
      </c>
    </row>
    <row r="33021">
      <c r="B33021" s="17" t="s">
        <v>477</v>
      </c>
      <c r="K33021" s="18" t="s">
        <v>477</v>
      </c>
    </row>
    <row r="33022">
      <c r="B33022" s="17" t="s">
        <v>477</v>
      </c>
      <c r="K33022" s="18" t="s">
        <v>477</v>
      </c>
    </row>
    <row r="33023">
      <c r="B33023" s="17" t="s">
        <v>477</v>
      </c>
      <c r="K33023" s="18" t="s">
        <v>477</v>
      </c>
    </row>
    <row r="33024">
      <c r="B33024" s="17" t="s">
        <v>477</v>
      </c>
      <c r="K33024" s="18" t="s">
        <v>477</v>
      </c>
    </row>
    <row r="33025">
      <c r="B33025" s="17" t="s">
        <v>477</v>
      </c>
      <c r="K33025" s="18" t="s">
        <v>477</v>
      </c>
    </row>
    <row r="33026">
      <c r="B33026" s="17" t="s">
        <v>477</v>
      </c>
      <c r="K33026" s="18" t="s">
        <v>477</v>
      </c>
    </row>
    <row r="33027">
      <c r="B33027" s="17" t="s">
        <v>477</v>
      </c>
      <c r="K33027" s="18" t="s">
        <v>477</v>
      </c>
    </row>
    <row r="33028">
      <c r="B33028" s="17" t="s">
        <v>477</v>
      </c>
      <c r="K33028" s="18" t="s">
        <v>477</v>
      </c>
    </row>
    <row r="33029">
      <c r="B33029" s="17" t="s">
        <v>477</v>
      </c>
      <c r="K33029" s="18" t="s">
        <v>477</v>
      </c>
    </row>
    <row r="33030">
      <c r="B33030" s="17" t="s">
        <v>477</v>
      </c>
      <c r="K33030" s="18" t="s">
        <v>477</v>
      </c>
    </row>
    <row r="33031">
      <c r="B33031" s="17" t="s">
        <v>477</v>
      </c>
      <c r="K33031" s="18" t="s">
        <v>477</v>
      </c>
    </row>
    <row r="33032">
      <c r="B33032" s="17" t="s">
        <v>477</v>
      </c>
      <c r="K33032" s="18" t="s">
        <v>477</v>
      </c>
    </row>
    <row r="33033">
      <c r="B33033" s="17" t="s">
        <v>477</v>
      </c>
      <c r="K33033" s="18" t="s">
        <v>477</v>
      </c>
    </row>
    <row r="33034">
      <c r="B33034" s="17" t="s">
        <v>477</v>
      </c>
      <c r="K33034" s="18" t="s">
        <v>477</v>
      </c>
    </row>
    <row r="33035">
      <c r="B33035" s="17" t="s">
        <v>477</v>
      </c>
      <c r="K33035" s="18" t="s">
        <v>477</v>
      </c>
    </row>
    <row r="33036">
      <c r="B33036" s="17" t="s">
        <v>477</v>
      </c>
      <c r="K33036" s="18" t="s">
        <v>477</v>
      </c>
    </row>
    <row r="33037">
      <c r="B33037" s="17" t="s">
        <v>477</v>
      </c>
      <c r="K33037" s="18" t="s">
        <v>477</v>
      </c>
    </row>
    <row r="33038">
      <c r="B33038" s="17" t="s">
        <v>477</v>
      </c>
      <c r="K33038" s="18" t="s">
        <v>477</v>
      </c>
    </row>
    <row r="33039">
      <c r="B33039" s="17" t="s">
        <v>477</v>
      </c>
      <c r="K33039" s="18" t="s">
        <v>477</v>
      </c>
    </row>
    <row r="33040">
      <c r="B33040" s="17" t="s">
        <v>477</v>
      </c>
      <c r="K33040" s="18" t="s">
        <v>477</v>
      </c>
    </row>
    <row r="33041">
      <c r="B33041" s="17" t="s">
        <v>477</v>
      </c>
      <c r="K33041" s="18" t="s">
        <v>477</v>
      </c>
    </row>
    <row r="33042">
      <c r="B33042" s="17" t="s">
        <v>477</v>
      </c>
      <c r="K33042" s="18" t="s">
        <v>477</v>
      </c>
    </row>
    <row r="33043">
      <c r="B33043" s="17" t="s">
        <v>477</v>
      </c>
      <c r="K33043" s="18" t="s">
        <v>477</v>
      </c>
    </row>
    <row r="33044">
      <c r="B33044" s="17" t="s">
        <v>477</v>
      </c>
      <c r="K33044" s="18" t="s">
        <v>477</v>
      </c>
    </row>
    <row r="33045">
      <c r="B33045" s="17" t="s">
        <v>477</v>
      </c>
      <c r="K33045" s="18" t="s">
        <v>477</v>
      </c>
    </row>
    <row r="33046">
      <c r="B33046" s="17" t="s">
        <v>477</v>
      </c>
      <c r="K33046" s="18" t="s">
        <v>477</v>
      </c>
    </row>
    <row r="33047">
      <c r="B33047" s="17" t="s">
        <v>477</v>
      </c>
      <c r="K33047" s="18" t="s">
        <v>477</v>
      </c>
    </row>
    <row r="33048">
      <c r="B33048" s="17" t="s">
        <v>477</v>
      </c>
      <c r="K33048" s="18" t="s">
        <v>477</v>
      </c>
    </row>
    <row r="33049">
      <c r="B33049" s="17" t="s">
        <v>477</v>
      </c>
      <c r="K33049" s="18" t="s">
        <v>477</v>
      </c>
    </row>
    <row r="33050">
      <c r="B33050" s="17" t="s">
        <v>477</v>
      </c>
      <c r="K33050" s="18" t="s">
        <v>477</v>
      </c>
    </row>
    <row r="33051">
      <c r="B33051" s="17" t="s">
        <v>477</v>
      </c>
      <c r="K33051" s="18" t="s">
        <v>477</v>
      </c>
    </row>
    <row r="33052">
      <c r="B33052" s="17" t="s">
        <v>477</v>
      </c>
      <c r="K33052" s="18" t="s">
        <v>477</v>
      </c>
    </row>
    <row r="33053">
      <c r="B33053" s="17" t="s">
        <v>477</v>
      </c>
      <c r="K33053" s="18" t="s">
        <v>477</v>
      </c>
    </row>
    <row r="33054">
      <c r="B33054" s="17" t="s">
        <v>477</v>
      </c>
      <c r="K33054" s="18" t="s">
        <v>477</v>
      </c>
    </row>
    <row r="33055">
      <c r="B33055" s="17" t="s">
        <v>477</v>
      </c>
      <c r="K33055" s="18" t="s">
        <v>477</v>
      </c>
    </row>
    <row r="33056">
      <c r="B33056" s="17" t="s">
        <v>477</v>
      </c>
      <c r="K33056" s="18" t="s">
        <v>477</v>
      </c>
    </row>
    <row r="33057">
      <c r="B33057" s="17" t="s">
        <v>477</v>
      </c>
      <c r="K33057" s="18" t="s">
        <v>477</v>
      </c>
    </row>
    <row r="33058">
      <c r="B33058" s="17" t="s">
        <v>477</v>
      </c>
      <c r="K33058" s="18" t="s">
        <v>477</v>
      </c>
    </row>
    <row r="33059">
      <c r="B33059" s="17" t="s">
        <v>477</v>
      </c>
      <c r="K33059" s="18" t="s">
        <v>477</v>
      </c>
    </row>
    <row r="33060">
      <c r="B33060" s="17" t="s">
        <v>477</v>
      </c>
      <c r="K33060" s="18" t="s">
        <v>477</v>
      </c>
    </row>
    <row r="33061">
      <c r="B33061" s="17" t="s">
        <v>477</v>
      </c>
      <c r="K33061" s="18" t="s">
        <v>477</v>
      </c>
    </row>
    <row r="33062">
      <c r="B33062" s="17" t="s">
        <v>477</v>
      </c>
      <c r="K33062" s="18" t="s">
        <v>477</v>
      </c>
    </row>
    <row r="33063">
      <c r="B33063" s="17" t="s">
        <v>477</v>
      </c>
      <c r="K33063" s="18" t="s">
        <v>477</v>
      </c>
    </row>
    <row r="33064">
      <c r="B33064" s="17" t="s">
        <v>477</v>
      </c>
      <c r="K33064" s="18" t="s">
        <v>477</v>
      </c>
    </row>
    <row r="33065">
      <c r="B33065" s="17" t="s">
        <v>477</v>
      </c>
      <c r="K33065" s="18" t="s">
        <v>477</v>
      </c>
    </row>
    <row r="33066">
      <c r="B33066" s="17" t="s">
        <v>477</v>
      </c>
      <c r="K33066" s="18" t="s">
        <v>477</v>
      </c>
    </row>
    <row r="33067">
      <c r="B33067" s="17" t="s">
        <v>477</v>
      </c>
      <c r="K33067" s="18" t="s">
        <v>477</v>
      </c>
    </row>
    <row r="33068">
      <c r="B33068" s="17" t="s">
        <v>477</v>
      </c>
      <c r="K33068" s="18" t="s">
        <v>477</v>
      </c>
    </row>
    <row r="33069">
      <c r="B33069" s="17" t="s">
        <v>477</v>
      </c>
      <c r="K33069" s="18" t="s">
        <v>477</v>
      </c>
    </row>
    <row r="33070">
      <c r="B33070" s="17" t="s">
        <v>477</v>
      </c>
      <c r="K33070" s="18" t="s">
        <v>477</v>
      </c>
    </row>
    <row r="33071">
      <c r="B33071" s="17" t="s">
        <v>477</v>
      </c>
      <c r="K33071" s="18" t="s">
        <v>477</v>
      </c>
    </row>
    <row r="33072">
      <c r="B33072" s="17" t="s">
        <v>477</v>
      </c>
      <c r="K33072" s="18" t="s">
        <v>477</v>
      </c>
    </row>
    <row r="33073">
      <c r="B33073" s="17" t="s">
        <v>477</v>
      </c>
      <c r="K33073" s="18" t="s">
        <v>477</v>
      </c>
    </row>
    <row r="33074">
      <c r="B33074" s="17" t="s">
        <v>477</v>
      </c>
      <c r="K33074" s="18" t="s">
        <v>477</v>
      </c>
    </row>
    <row r="33075">
      <c r="B33075" s="17" t="s">
        <v>477</v>
      </c>
      <c r="K33075" s="18" t="s">
        <v>477</v>
      </c>
    </row>
    <row r="33076">
      <c r="B33076" s="17" t="s">
        <v>477</v>
      </c>
      <c r="K33076" s="18" t="s">
        <v>477</v>
      </c>
    </row>
    <row r="33077">
      <c r="B33077" s="17" t="s">
        <v>477</v>
      </c>
      <c r="K33077" s="18" t="s">
        <v>477</v>
      </c>
    </row>
    <row r="33078">
      <c r="B33078" s="17" t="s">
        <v>477</v>
      </c>
      <c r="K33078" s="18" t="s">
        <v>477</v>
      </c>
    </row>
    <row r="33079">
      <c r="B33079" s="17" t="s">
        <v>477</v>
      </c>
      <c r="K33079" s="18" t="s">
        <v>477</v>
      </c>
    </row>
    <row r="33080">
      <c r="B33080" s="17" t="s">
        <v>477</v>
      </c>
      <c r="K33080" s="18" t="s">
        <v>477</v>
      </c>
    </row>
    <row r="33081">
      <c r="B33081" s="17" t="s">
        <v>477</v>
      </c>
      <c r="K33081" s="18" t="s">
        <v>477</v>
      </c>
    </row>
    <row r="33082">
      <c r="B33082" s="17" t="s">
        <v>477</v>
      </c>
      <c r="K33082" s="18" t="s">
        <v>477</v>
      </c>
    </row>
    <row r="33083">
      <c r="B33083" s="17" t="s">
        <v>477</v>
      </c>
      <c r="K33083" s="18" t="s">
        <v>477</v>
      </c>
    </row>
    <row r="33084">
      <c r="B33084" s="17" t="s">
        <v>477</v>
      </c>
      <c r="K33084" s="18" t="s">
        <v>477</v>
      </c>
    </row>
    <row r="33085">
      <c r="B33085" s="17" t="s">
        <v>477</v>
      </c>
      <c r="K33085" s="18" t="s">
        <v>477</v>
      </c>
    </row>
    <row r="33086">
      <c r="B33086" s="17" t="s">
        <v>477</v>
      </c>
      <c r="K33086" s="18" t="s">
        <v>477</v>
      </c>
    </row>
    <row r="33087">
      <c r="B33087" s="17" t="s">
        <v>477</v>
      </c>
      <c r="K33087" s="18" t="s">
        <v>477</v>
      </c>
    </row>
    <row r="33088">
      <c r="B33088" s="17" t="s">
        <v>477</v>
      </c>
      <c r="K33088" s="18" t="s">
        <v>477</v>
      </c>
    </row>
    <row r="33089">
      <c r="B33089" s="17" t="s">
        <v>477</v>
      </c>
      <c r="K33089" s="18" t="s">
        <v>477</v>
      </c>
    </row>
    <row r="33090">
      <c r="B33090" s="17" t="s">
        <v>477</v>
      </c>
      <c r="K33090" s="18" t="s">
        <v>477</v>
      </c>
    </row>
    <row r="33091">
      <c r="B33091" s="17" t="s">
        <v>477</v>
      </c>
      <c r="K33091" s="18" t="s">
        <v>477</v>
      </c>
    </row>
    <row r="33092">
      <c r="B33092" s="17" t="s">
        <v>477</v>
      </c>
      <c r="K33092" s="18" t="s">
        <v>477</v>
      </c>
    </row>
    <row r="33093">
      <c r="B33093" s="17" t="s">
        <v>477</v>
      </c>
      <c r="K33093" s="18" t="s">
        <v>477</v>
      </c>
    </row>
    <row r="33094">
      <c r="B33094" s="17" t="s">
        <v>477</v>
      </c>
      <c r="K33094" s="18" t="s">
        <v>477</v>
      </c>
    </row>
    <row r="33095">
      <c r="B33095" s="17" t="s">
        <v>477</v>
      </c>
      <c r="K33095" s="18" t="s">
        <v>477</v>
      </c>
    </row>
    <row r="33096">
      <c r="B33096" s="17" t="s">
        <v>477</v>
      </c>
      <c r="K33096" s="18" t="s">
        <v>477</v>
      </c>
    </row>
    <row r="33097">
      <c r="B33097" s="17" t="s">
        <v>477</v>
      </c>
      <c r="K33097" s="18" t="s">
        <v>477</v>
      </c>
    </row>
    <row r="33098">
      <c r="B33098" s="17" t="s">
        <v>477</v>
      </c>
      <c r="K33098" s="18" t="s">
        <v>477</v>
      </c>
    </row>
    <row r="33099">
      <c r="B33099" s="17" t="s">
        <v>477</v>
      </c>
      <c r="K33099" s="18" t="s">
        <v>477</v>
      </c>
    </row>
    <row r="33100">
      <c r="B33100" s="17" t="s">
        <v>477</v>
      </c>
      <c r="K33100" s="18" t="s">
        <v>477</v>
      </c>
    </row>
    <row r="33101">
      <c r="B33101" s="17" t="s">
        <v>477</v>
      </c>
      <c r="K33101" s="18" t="s">
        <v>477</v>
      </c>
    </row>
    <row r="33102">
      <c r="B33102" s="17" t="s">
        <v>477</v>
      </c>
      <c r="K33102" s="18" t="s">
        <v>477</v>
      </c>
    </row>
    <row r="33103">
      <c r="B33103" s="17" t="s">
        <v>477</v>
      </c>
      <c r="K33103" s="18" t="s">
        <v>477</v>
      </c>
    </row>
    <row r="33104">
      <c r="B33104" s="17" t="s">
        <v>477</v>
      </c>
      <c r="K33104" s="18" t="s">
        <v>477</v>
      </c>
    </row>
    <row r="33105">
      <c r="B33105" s="17" t="s">
        <v>477</v>
      </c>
      <c r="K33105" s="18" t="s">
        <v>477</v>
      </c>
    </row>
    <row r="33106">
      <c r="B33106" s="17" t="s">
        <v>477</v>
      </c>
      <c r="K33106" s="18" t="s">
        <v>477</v>
      </c>
    </row>
    <row r="33107">
      <c r="B33107" s="17" t="s">
        <v>477</v>
      </c>
      <c r="K33107" s="18" t="s">
        <v>477</v>
      </c>
    </row>
    <row r="33108">
      <c r="B33108" s="17" t="s">
        <v>477</v>
      </c>
      <c r="K33108" s="18" t="s">
        <v>477</v>
      </c>
    </row>
    <row r="33109">
      <c r="B33109" s="17" t="s">
        <v>477</v>
      </c>
      <c r="K33109" s="18" t="s">
        <v>477</v>
      </c>
    </row>
    <row r="33110">
      <c r="B33110" s="17" t="s">
        <v>477</v>
      </c>
      <c r="K33110" s="18" t="s">
        <v>477</v>
      </c>
    </row>
    <row r="33111">
      <c r="B33111" s="17" t="s">
        <v>477</v>
      </c>
      <c r="K33111" s="18" t="s">
        <v>477</v>
      </c>
    </row>
    <row r="33112">
      <c r="B33112" s="17" t="s">
        <v>477</v>
      </c>
      <c r="K33112" s="18" t="s">
        <v>477</v>
      </c>
    </row>
    <row r="33113">
      <c r="B33113" s="17" t="s">
        <v>477</v>
      </c>
      <c r="K33113" s="18" t="s">
        <v>477</v>
      </c>
    </row>
    <row r="33114">
      <c r="B33114" s="17" t="s">
        <v>477</v>
      </c>
      <c r="K33114" s="18" t="s">
        <v>477</v>
      </c>
    </row>
    <row r="33115">
      <c r="B33115" s="17" t="s">
        <v>477</v>
      </c>
      <c r="K33115" s="18" t="s">
        <v>477</v>
      </c>
    </row>
    <row r="33116">
      <c r="B33116" s="17" t="s">
        <v>477</v>
      </c>
      <c r="K33116" s="18" t="s">
        <v>477</v>
      </c>
    </row>
    <row r="33117">
      <c r="B33117" s="17" t="s">
        <v>477</v>
      </c>
      <c r="K33117" s="18" t="s">
        <v>477</v>
      </c>
    </row>
    <row r="33118">
      <c r="B33118" s="17" t="s">
        <v>477</v>
      </c>
      <c r="K33118" s="18" t="s">
        <v>477</v>
      </c>
    </row>
    <row r="33119">
      <c r="B33119" s="17" t="s">
        <v>477</v>
      </c>
      <c r="K33119" s="18" t="s">
        <v>477</v>
      </c>
    </row>
    <row r="33120">
      <c r="B33120" s="17" t="s">
        <v>477</v>
      </c>
      <c r="K33120" s="18" t="s">
        <v>477</v>
      </c>
    </row>
    <row r="33121">
      <c r="B33121" s="17" t="s">
        <v>477</v>
      </c>
      <c r="K33121" s="18" t="s">
        <v>477</v>
      </c>
    </row>
    <row r="33122">
      <c r="B33122" s="17" t="s">
        <v>477</v>
      </c>
      <c r="K33122" s="18" t="s">
        <v>477</v>
      </c>
    </row>
    <row r="33123">
      <c r="B33123" s="17" t="s">
        <v>477</v>
      </c>
      <c r="K33123" s="18" t="s">
        <v>477</v>
      </c>
    </row>
    <row r="33124">
      <c r="B33124" s="17" t="s">
        <v>477</v>
      </c>
      <c r="K33124" s="18" t="s">
        <v>477</v>
      </c>
    </row>
    <row r="33125">
      <c r="B33125" s="17" t="s">
        <v>477</v>
      </c>
      <c r="K33125" s="18" t="s">
        <v>477</v>
      </c>
    </row>
    <row r="33126">
      <c r="B33126" s="17" t="s">
        <v>477</v>
      </c>
      <c r="K33126" s="18" t="s">
        <v>477</v>
      </c>
    </row>
    <row r="33127">
      <c r="B33127" s="17" t="s">
        <v>477</v>
      </c>
      <c r="K33127" s="18" t="s">
        <v>477</v>
      </c>
    </row>
    <row r="33128">
      <c r="B33128" s="17" t="s">
        <v>477</v>
      </c>
      <c r="K33128" s="18" t="s">
        <v>477</v>
      </c>
    </row>
    <row r="33129">
      <c r="B33129" s="17" t="s">
        <v>477</v>
      </c>
      <c r="K33129" s="18" t="s">
        <v>477</v>
      </c>
    </row>
    <row r="33130">
      <c r="B33130" s="17" t="s">
        <v>477</v>
      </c>
      <c r="K33130" s="18" t="s">
        <v>477</v>
      </c>
    </row>
    <row r="33131">
      <c r="B33131" s="17" t="s">
        <v>477</v>
      </c>
      <c r="K33131" s="18" t="s">
        <v>477</v>
      </c>
    </row>
    <row r="33132">
      <c r="B33132" s="17" t="s">
        <v>477</v>
      </c>
      <c r="K33132" s="18" t="s">
        <v>477</v>
      </c>
    </row>
    <row r="33133">
      <c r="B33133" s="17" t="s">
        <v>477</v>
      </c>
      <c r="K33133" s="18" t="s">
        <v>477</v>
      </c>
    </row>
    <row r="33134">
      <c r="B33134" s="17" t="s">
        <v>477</v>
      </c>
      <c r="K33134" s="18" t="s">
        <v>477</v>
      </c>
    </row>
    <row r="33135">
      <c r="B33135" s="17" t="s">
        <v>477</v>
      </c>
      <c r="K33135" s="18" t="s">
        <v>477</v>
      </c>
    </row>
    <row r="33136">
      <c r="B33136" s="17" t="s">
        <v>477</v>
      </c>
      <c r="K33136" s="18" t="s">
        <v>477</v>
      </c>
    </row>
    <row r="33137">
      <c r="B33137" s="17" t="s">
        <v>477</v>
      </c>
      <c r="K33137" s="18" t="s">
        <v>477</v>
      </c>
    </row>
    <row r="33138">
      <c r="B33138" s="17" t="s">
        <v>477</v>
      </c>
      <c r="K33138" s="18" t="s">
        <v>477</v>
      </c>
    </row>
    <row r="33139">
      <c r="B33139" s="17" t="s">
        <v>477</v>
      </c>
      <c r="K33139" s="18" t="s">
        <v>477</v>
      </c>
    </row>
    <row r="33140">
      <c r="B33140" s="17" t="s">
        <v>477</v>
      </c>
      <c r="K33140" s="18" t="s">
        <v>477</v>
      </c>
    </row>
    <row r="33141">
      <c r="B33141" s="17" t="s">
        <v>477</v>
      </c>
      <c r="K33141" s="18" t="s">
        <v>477</v>
      </c>
    </row>
    <row r="33142">
      <c r="B33142" s="17" t="s">
        <v>477</v>
      </c>
      <c r="K33142" s="18" t="s">
        <v>477</v>
      </c>
    </row>
    <row r="33143">
      <c r="B33143" s="17" t="s">
        <v>477</v>
      </c>
      <c r="K33143" s="18" t="s">
        <v>477</v>
      </c>
    </row>
    <row r="33144">
      <c r="B33144" s="17" t="s">
        <v>477</v>
      </c>
      <c r="K33144" s="18" t="s">
        <v>477</v>
      </c>
    </row>
    <row r="33145">
      <c r="B33145" s="17" t="s">
        <v>477</v>
      </c>
      <c r="K33145" s="18" t="s">
        <v>477</v>
      </c>
    </row>
    <row r="33146">
      <c r="B33146" s="17" t="s">
        <v>477</v>
      </c>
      <c r="K33146" s="18" t="s">
        <v>477</v>
      </c>
    </row>
    <row r="33147">
      <c r="B33147" s="17" t="s">
        <v>477</v>
      </c>
      <c r="K33147" s="18" t="s">
        <v>477</v>
      </c>
    </row>
    <row r="33148">
      <c r="B33148" s="17" t="s">
        <v>477</v>
      </c>
      <c r="K33148" s="18" t="s">
        <v>477</v>
      </c>
    </row>
    <row r="33149">
      <c r="B33149" s="17" t="s">
        <v>477</v>
      </c>
      <c r="K33149" s="18" t="s">
        <v>477</v>
      </c>
    </row>
    <row r="33150">
      <c r="B33150" s="17" t="s">
        <v>477</v>
      </c>
      <c r="K33150" s="18" t="s">
        <v>477</v>
      </c>
    </row>
    <row r="33151">
      <c r="B33151" s="17" t="s">
        <v>477</v>
      </c>
      <c r="K33151" s="18" t="s">
        <v>477</v>
      </c>
    </row>
    <row r="33152">
      <c r="B33152" s="17" t="s">
        <v>477</v>
      </c>
      <c r="K33152" s="18" t="s">
        <v>477</v>
      </c>
    </row>
    <row r="33153">
      <c r="B33153" s="17" t="s">
        <v>477</v>
      </c>
      <c r="K33153" s="18" t="s">
        <v>477</v>
      </c>
    </row>
    <row r="33154">
      <c r="B33154" s="17" t="s">
        <v>477</v>
      </c>
      <c r="K33154" s="18" t="s">
        <v>477</v>
      </c>
    </row>
    <row r="33155">
      <c r="B33155" s="17" t="s">
        <v>477</v>
      </c>
      <c r="K33155" s="18" t="s">
        <v>477</v>
      </c>
    </row>
    <row r="33156">
      <c r="B33156" s="17" t="s">
        <v>477</v>
      </c>
      <c r="K33156" s="18" t="s">
        <v>477</v>
      </c>
    </row>
    <row r="33157">
      <c r="B33157" s="17" t="s">
        <v>477</v>
      </c>
      <c r="K33157" s="18" t="s">
        <v>477</v>
      </c>
    </row>
    <row r="33158">
      <c r="B33158" s="17" t="s">
        <v>477</v>
      </c>
      <c r="K33158" s="18" t="s">
        <v>477</v>
      </c>
    </row>
    <row r="33159">
      <c r="B33159" s="17" t="s">
        <v>477</v>
      </c>
      <c r="K33159" s="18" t="s">
        <v>477</v>
      </c>
    </row>
    <row r="33160">
      <c r="B33160" s="17" t="s">
        <v>477</v>
      </c>
      <c r="K33160" s="18" t="s">
        <v>477</v>
      </c>
    </row>
    <row r="33161">
      <c r="B33161" s="17" t="s">
        <v>477</v>
      </c>
      <c r="K33161" s="18" t="s">
        <v>477</v>
      </c>
    </row>
    <row r="33162">
      <c r="B33162" s="17" t="s">
        <v>477</v>
      </c>
      <c r="K33162" s="18" t="s">
        <v>477</v>
      </c>
    </row>
    <row r="33163">
      <c r="B33163" s="17" t="s">
        <v>477</v>
      </c>
      <c r="K33163" s="18" t="s">
        <v>477</v>
      </c>
    </row>
    <row r="33164">
      <c r="B33164" s="17" t="s">
        <v>477</v>
      </c>
      <c r="K33164" s="18" t="s">
        <v>477</v>
      </c>
    </row>
    <row r="33165">
      <c r="B33165" s="17" t="s">
        <v>477</v>
      </c>
      <c r="K33165" s="18" t="s">
        <v>477</v>
      </c>
    </row>
    <row r="33166">
      <c r="B33166" s="17" t="s">
        <v>477</v>
      </c>
      <c r="K33166" s="18" t="s">
        <v>477</v>
      </c>
    </row>
    <row r="33167">
      <c r="B33167" s="17" t="s">
        <v>477</v>
      </c>
      <c r="K33167" s="18" t="s">
        <v>477</v>
      </c>
    </row>
    <row r="33168">
      <c r="B33168" s="17" t="s">
        <v>477</v>
      </c>
      <c r="K33168" s="18" t="s">
        <v>477</v>
      </c>
    </row>
    <row r="33169">
      <c r="B33169" s="17" t="s">
        <v>477</v>
      </c>
      <c r="K33169" s="18" t="s">
        <v>477</v>
      </c>
    </row>
    <row r="33170">
      <c r="B33170" s="17" t="s">
        <v>477</v>
      </c>
      <c r="K33170" s="18" t="s">
        <v>477</v>
      </c>
    </row>
    <row r="33171">
      <c r="B33171" s="17" t="s">
        <v>477</v>
      </c>
      <c r="K33171" s="18" t="s">
        <v>477</v>
      </c>
    </row>
    <row r="33172">
      <c r="B33172" s="17" t="s">
        <v>477</v>
      </c>
      <c r="K33172" s="18" t="s">
        <v>477</v>
      </c>
    </row>
    <row r="33173">
      <c r="B33173" s="17" t="s">
        <v>477</v>
      </c>
      <c r="K33173" s="18" t="s">
        <v>477</v>
      </c>
    </row>
    <row r="33174">
      <c r="B33174" s="17" t="s">
        <v>477</v>
      </c>
      <c r="K33174" s="18" t="s">
        <v>477</v>
      </c>
    </row>
    <row r="33175">
      <c r="B33175" s="17" t="s">
        <v>477</v>
      </c>
      <c r="K33175" s="18" t="s">
        <v>477</v>
      </c>
    </row>
    <row r="33176">
      <c r="B33176" s="17" t="s">
        <v>477</v>
      </c>
      <c r="K33176" s="18" t="s">
        <v>477</v>
      </c>
    </row>
    <row r="33177">
      <c r="B33177" s="17" t="s">
        <v>477</v>
      </c>
      <c r="K33177" s="18" t="s">
        <v>477</v>
      </c>
    </row>
    <row r="33178">
      <c r="B33178" s="17" t="s">
        <v>477</v>
      </c>
      <c r="K33178" s="18" t="s">
        <v>477</v>
      </c>
    </row>
    <row r="33179">
      <c r="B33179" s="17" t="s">
        <v>477</v>
      </c>
      <c r="K33179" s="18" t="s">
        <v>477</v>
      </c>
    </row>
    <row r="33180">
      <c r="B33180" s="17" t="s">
        <v>477</v>
      </c>
      <c r="K33180" s="18" t="s">
        <v>477</v>
      </c>
    </row>
    <row r="33181">
      <c r="B33181" s="17" t="s">
        <v>477</v>
      </c>
      <c r="K33181" s="18" t="s">
        <v>477</v>
      </c>
    </row>
    <row r="33182">
      <c r="B33182" s="17" t="s">
        <v>477</v>
      </c>
      <c r="K33182" s="18" t="s">
        <v>477</v>
      </c>
    </row>
    <row r="33183">
      <c r="B33183" s="17" t="s">
        <v>477</v>
      </c>
      <c r="K33183" s="18" t="s">
        <v>477</v>
      </c>
    </row>
    <row r="33184">
      <c r="B33184" s="17" t="s">
        <v>477</v>
      </c>
      <c r="K33184" s="18" t="s">
        <v>477</v>
      </c>
    </row>
    <row r="33185">
      <c r="B33185" s="17" t="s">
        <v>477</v>
      </c>
      <c r="K33185" s="18" t="s">
        <v>477</v>
      </c>
    </row>
    <row r="33186">
      <c r="B33186" s="17" t="s">
        <v>477</v>
      </c>
      <c r="K33186" s="18" t="s">
        <v>477</v>
      </c>
    </row>
    <row r="33187">
      <c r="B33187" s="17" t="s">
        <v>477</v>
      </c>
      <c r="K33187" s="18" t="s">
        <v>477</v>
      </c>
    </row>
    <row r="33188">
      <c r="B33188" s="17" t="s">
        <v>477</v>
      </c>
      <c r="K33188" s="18" t="s">
        <v>477</v>
      </c>
    </row>
    <row r="33189">
      <c r="B33189" s="17" t="s">
        <v>477</v>
      </c>
      <c r="K33189" s="18" t="s">
        <v>477</v>
      </c>
    </row>
    <row r="33190">
      <c r="B33190" s="17" t="s">
        <v>477</v>
      </c>
      <c r="K33190" s="18" t="s">
        <v>477</v>
      </c>
    </row>
    <row r="33191">
      <c r="B33191" s="17" t="s">
        <v>477</v>
      </c>
      <c r="K33191" s="18" t="s">
        <v>477</v>
      </c>
    </row>
    <row r="33192">
      <c r="B33192" s="17" t="s">
        <v>477</v>
      </c>
      <c r="K33192" s="18" t="s">
        <v>477</v>
      </c>
    </row>
    <row r="33193">
      <c r="B33193" s="17" t="s">
        <v>477</v>
      </c>
      <c r="K33193" s="18" t="s">
        <v>477</v>
      </c>
    </row>
    <row r="33194">
      <c r="B33194" s="17" t="s">
        <v>477</v>
      </c>
      <c r="K33194" s="18" t="s">
        <v>477</v>
      </c>
    </row>
    <row r="33195">
      <c r="B33195" s="17" t="s">
        <v>477</v>
      </c>
      <c r="K33195" s="18" t="s">
        <v>477</v>
      </c>
    </row>
    <row r="33196">
      <c r="B33196" s="17" t="s">
        <v>477</v>
      </c>
      <c r="K33196" s="18" t="s">
        <v>477</v>
      </c>
    </row>
    <row r="33197">
      <c r="B33197" s="17" t="s">
        <v>477</v>
      </c>
      <c r="K33197" s="18" t="s">
        <v>477</v>
      </c>
    </row>
    <row r="33198">
      <c r="B33198" s="17" t="s">
        <v>477</v>
      </c>
      <c r="K33198" s="18" t="s">
        <v>477</v>
      </c>
    </row>
    <row r="33199">
      <c r="B33199" s="17" t="s">
        <v>477</v>
      </c>
      <c r="K33199" s="18" t="s">
        <v>477</v>
      </c>
    </row>
    <row r="33200">
      <c r="B33200" s="17" t="s">
        <v>477</v>
      </c>
      <c r="K33200" s="18" t="s">
        <v>477</v>
      </c>
    </row>
    <row r="33201">
      <c r="B33201" s="17" t="s">
        <v>477</v>
      </c>
      <c r="K33201" s="18" t="s">
        <v>477</v>
      </c>
    </row>
    <row r="33202">
      <c r="B33202" s="17" t="s">
        <v>477</v>
      </c>
      <c r="K33202" s="18" t="s">
        <v>477</v>
      </c>
    </row>
    <row r="33203">
      <c r="B33203" s="17" t="s">
        <v>477</v>
      </c>
      <c r="K33203" s="18" t="s">
        <v>477</v>
      </c>
    </row>
    <row r="33204">
      <c r="B33204" s="17" t="s">
        <v>477</v>
      </c>
      <c r="K33204" s="18" t="s">
        <v>477</v>
      </c>
    </row>
    <row r="33205">
      <c r="B33205" s="17" t="s">
        <v>477</v>
      </c>
      <c r="K33205" s="18" t="s">
        <v>477</v>
      </c>
    </row>
    <row r="33206">
      <c r="B33206" s="17" t="s">
        <v>477</v>
      </c>
      <c r="K33206" s="18" t="s">
        <v>477</v>
      </c>
    </row>
    <row r="33207">
      <c r="B33207" s="17" t="s">
        <v>477</v>
      </c>
      <c r="K33207" s="18" t="s">
        <v>477</v>
      </c>
    </row>
    <row r="33208">
      <c r="B33208" s="17" t="s">
        <v>477</v>
      </c>
      <c r="K33208" s="18" t="s">
        <v>477</v>
      </c>
    </row>
    <row r="33209">
      <c r="B33209" s="17" t="s">
        <v>477</v>
      </c>
      <c r="K33209" s="18" t="s">
        <v>477</v>
      </c>
    </row>
    <row r="33210">
      <c r="B33210" s="17" t="s">
        <v>477</v>
      </c>
      <c r="K33210" s="18" t="s">
        <v>477</v>
      </c>
    </row>
    <row r="33211">
      <c r="B33211" s="17" t="s">
        <v>477</v>
      </c>
      <c r="K33211" s="18" t="s">
        <v>477</v>
      </c>
    </row>
    <row r="33212">
      <c r="B33212" s="17" t="s">
        <v>477</v>
      </c>
      <c r="K33212" s="18" t="s">
        <v>477</v>
      </c>
    </row>
    <row r="33213">
      <c r="B33213" s="17" t="s">
        <v>477</v>
      </c>
      <c r="K33213" s="18" t="s">
        <v>477</v>
      </c>
    </row>
    <row r="33214">
      <c r="B33214" s="17" t="s">
        <v>477</v>
      </c>
      <c r="K33214" s="18" t="s">
        <v>477</v>
      </c>
    </row>
    <row r="33215">
      <c r="B33215" s="17" t="s">
        <v>477</v>
      </c>
      <c r="K33215" s="18" t="s">
        <v>477</v>
      </c>
    </row>
    <row r="33216">
      <c r="B33216" s="17" t="s">
        <v>477</v>
      </c>
      <c r="K33216" s="18" t="s">
        <v>477</v>
      </c>
    </row>
    <row r="33217">
      <c r="B33217" s="17" t="s">
        <v>477</v>
      </c>
      <c r="K33217" s="18" t="s">
        <v>477</v>
      </c>
    </row>
    <row r="33218">
      <c r="B33218" s="17" t="s">
        <v>477</v>
      </c>
      <c r="K33218" s="18" t="s">
        <v>477</v>
      </c>
    </row>
    <row r="33219">
      <c r="B33219" s="17" t="s">
        <v>477</v>
      </c>
      <c r="K33219" s="18" t="s">
        <v>477</v>
      </c>
    </row>
    <row r="33220">
      <c r="B33220" s="17" t="s">
        <v>477</v>
      </c>
      <c r="K33220" s="18" t="s">
        <v>477</v>
      </c>
    </row>
    <row r="33221">
      <c r="B33221" s="17" t="s">
        <v>477</v>
      </c>
      <c r="K33221" s="18" t="s">
        <v>477</v>
      </c>
    </row>
    <row r="33222">
      <c r="B33222" s="17" t="s">
        <v>477</v>
      </c>
      <c r="K33222" s="18" t="s">
        <v>477</v>
      </c>
    </row>
    <row r="33223">
      <c r="B33223" s="17" t="s">
        <v>477</v>
      </c>
      <c r="K33223" s="18" t="s">
        <v>477</v>
      </c>
    </row>
    <row r="33224">
      <c r="B33224" s="17" t="s">
        <v>477</v>
      </c>
      <c r="K33224" s="18" t="s">
        <v>477</v>
      </c>
    </row>
    <row r="33225">
      <c r="B33225" s="17" t="s">
        <v>477</v>
      </c>
      <c r="K33225" s="18" t="s">
        <v>477</v>
      </c>
    </row>
    <row r="33226">
      <c r="B33226" s="17" t="s">
        <v>477</v>
      </c>
      <c r="K33226" s="18" t="s">
        <v>477</v>
      </c>
    </row>
    <row r="33227">
      <c r="B33227" s="17" t="s">
        <v>477</v>
      </c>
      <c r="K33227" s="18" t="s">
        <v>477</v>
      </c>
    </row>
    <row r="33228">
      <c r="B33228" s="17" t="s">
        <v>477</v>
      </c>
      <c r="K33228" s="18" t="s">
        <v>477</v>
      </c>
    </row>
    <row r="33229">
      <c r="B33229" s="17" t="s">
        <v>477</v>
      </c>
      <c r="K33229" s="18" t="s">
        <v>477</v>
      </c>
    </row>
    <row r="33230">
      <c r="B33230" s="17" t="s">
        <v>477</v>
      </c>
      <c r="K33230" s="18" t="s">
        <v>477</v>
      </c>
    </row>
    <row r="33231">
      <c r="B33231" s="17" t="s">
        <v>477</v>
      </c>
      <c r="K33231" s="18" t="s">
        <v>477</v>
      </c>
    </row>
    <row r="33232">
      <c r="B33232" s="17" t="s">
        <v>477</v>
      </c>
      <c r="K33232" s="18" t="s">
        <v>477</v>
      </c>
    </row>
    <row r="33233">
      <c r="B33233" s="17" t="s">
        <v>477</v>
      </c>
      <c r="K33233" s="18" t="s">
        <v>477</v>
      </c>
    </row>
    <row r="33234">
      <c r="B33234" s="17" t="s">
        <v>477</v>
      </c>
      <c r="K33234" s="18" t="s">
        <v>477</v>
      </c>
    </row>
    <row r="33235">
      <c r="B33235" s="17" t="s">
        <v>477</v>
      </c>
      <c r="K33235" s="18" t="s">
        <v>477</v>
      </c>
    </row>
    <row r="33236">
      <c r="B33236" s="17" t="s">
        <v>477</v>
      </c>
      <c r="K33236" s="18" t="s">
        <v>477</v>
      </c>
    </row>
    <row r="33237">
      <c r="B33237" s="17" t="s">
        <v>477</v>
      </c>
      <c r="K33237" s="18" t="s">
        <v>477</v>
      </c>
    </row>
    <row r="33238">
      <c r="B33238" s="17" t="s">
        <v>477</v>
      </c>
      <c r="K33238" s="18" t="s">
        <v>477</v>
      </c>
    </row>
    <row r="33239">
      <c r="B33239" s="17" t="s">
        <v>477</v>
      </c>
      <c r="K33239" s="18" t="s">
        <v>477</v>
      </c>
    </row>
    <row r="33240">
      <c r="B33240" s="17" t="s">
        <v>477</v>
      </c>
      <c r="K33240" s="18" t="s">
        <v>477</v>
      </c>
    </row>
    <row r="33241">
      <c r="B33241" s="17" t="s">
        <v>477</v>
      </c>
      <c r="K33241" s="18" t="s">
        <v>477</v>
      </c>
    </row>
    <row r="33242">
      <c r="B33242" s="17" t="s">
        <v>477</v>
      </c>
      <c r="K33242" s="18" t="s">
        <v>477</v>
      </c>
    </row>
    <row r="33243">
      <c r="B33243" s="17" t="s">
        <v>477</v>
      </c>
      <c r="K33243" s="18" t="s">
        <v>477</v>
      </c>
    </row>
    <row r="33244">
      <c r="B33244" s="17" t="s">
        <v>477</v>
      </c>
      <c r="K33244" s="18" t="s">
        <v>477</v>
      </c>
    </row>
    <row r="33245">
      <c r="B33245" s="17" t="s">
        <v>477</v>
      </c>
      <c r="K33245" s="18" t="s">
        <v>477</v>
      </c>
    </row>
    <row r="33246">
      <c r="B33246" s="17" t="s">
        <v>477</v>
      </c>
      <c r="K33246" s="18" t="s">
        <v>477</v>
      </c>
    </row>
    <row r="33247">
      <c r="B33247" s="17" t="s">
        <v>477</v>
      </c>
      <c r="K33247" s="18" t="s">
        <v>477</v>
      </c>
    </row>
    <row r="33248">
      <c r="B33248" s="17" t="s">
        <v>477</v>
      </c>
      <c r="K33248" s="18" t="s">
        <v>477</v>
      </c>
    </row>
    <row r="33249">
      <c r="B33249" s="17" t="s">
        <v>477</v>
      </c>
      <c r="K33249" s="18" t="s">
        <v>477</v>
      </c>
    </row>
    <row r="33250">
      <c r="B33250" s="17" t="s">
        <v>477</v>
      </c>
      <c r="K33250" s="18" t="s">
        <v>477</v>
      </c>
    </row>
    <row r="33251">
      <c r="B33251" s="17" t="s">
        <v>477</v>
      </c>
      <c r="K33251" s="18" t="s">
        <v>477</v>
      </c>
    </row>
    <row r="33252">
      <c r="B33252" s="17" t="s">
        <v>477</v>
      </c>
      <c r="K33252" s="18" t="s">
        <v>477</v>
      </c>
    </row>
    <row r="33253">
      <c r="B33253" s="17" t="s">
        <v>477</v>
      </c>
      <c r="K33253" s="18" t="s">
        <v>477</v>
      </c>
    </row>
    <row r="33254">
      <c r="B33254" s="17" t="s">
        <v>477</v>
      </c>
      <c r="K33254" s="18" t="s">
        <v>477</v>
      </c>
    </row>
    <row r="33255">
      <c r="B33255" s="17" t="s">
        <v>477</v>
      </c>
      <c r="K33255" s="18" t="s">
        <v>477</v>
      </c>
    </row>
    <row r="33256">
      <c r="B33256" s="17" t="s">
        <v>477</v>
      </c>
      <c r="K33256" s="18" t="s">
        <v>477</v>
      </c>
    </row>
    <row r="33257">
      <c r="B33257" s="17" t="s">
        <v>477</v>
      </c>
      <c r="K33257" s="18" t="s">
        <v>477</v>
      </c>
    </row>
    <row r="33258">
      <c r="B33258" s="17" t="s">
        <v>477</v>
      </c>
      <c r="K33258" s="18" t="s">
        <v>477</v>
      </c>
    </row>
    <row r="33259">
      <c r="B33259" s="17" t="s">
        <v>477</v>
      </c>
      <c r="K33259" s="18" t="s">
        <v>477</v>
      </c>
    </row>
    <row r="33260">
      <c r="B33260" s="17" t="s">
        <v>477</v>
      </c>
      <c r="K33260" s="18" t="s">
        <v>477</v>
      </c>
    </row>
    <row r="33261">
      <c r="B33261" s="17" t="s">
        <v>477</v>
      </c>
      <c r="K33261" s="18" t="s">
        <v>477</v>
      </c>
    </row>
    <row r="33262">
      <c r="B33262" s="17" t="s">
        <v>477</v>
      </c>
      <c r="K33262" s="18" t="s">
        <v>477</v>
      </c>
    </row>
    <row r="33263">
      <c r="B33263" s="17" t="s">
        <v>477</v>
      </c>
      <c r="K33263" s="18" t="s">
        <v>477</v>
      </c>
    </row>
    <row r="33264">
      <c r="B33264" s="17" t="s">
        <v>477</v>
      </c>
      <c r="K33264" s="18" t="s">
        <v>477</v>
      </c>
    </row>
    <row r="33265">
      <c r="B33265" s="17" t="s">
        <v>477</v>
      </c>
      <c r="K33265" s="18" t="s">
        <v>477</v>
      </c>
    </row>
    <row r="33266">
      <c r="B33266" s="17" t="s">
        <v>477</v>
      </c>
      <c r="K33266" s="18" t="s">
        <v>477</v>
      </c>
    </row>
    <row r="33267">
      <c r="B33267" s="17" t="s">
        <v>477</v>
      </c>
      <c r="K33267" s="18" t="s">
        <v>477</v>
      </c>
    </row>
    <row r="33268">
      <c r="B33268" s="17" t="s">
        <v>477</v>
      </c>
      <c r="K33268" s="18" t="s">
        <v>477</v>
      </c>
    </row>
    <row r="33269">
      <c r="B33269" s="17" t="s">
        <v>477</v>
      </c>
      <c r="K33269" s="18" t="s">
        <v>477</v>
      </c>
    </row>
    <row r="33270">
      <c r="B33270" s="17" t="s">
        <v>477</v>
      </c>
      <c r="K33270" s="18" t="s">
        <v>477</v>
      </c>
    </row>
    <row r="33271">
      <c r="B33271" s="17" t="s">
        <v>477</v>
      </c>
      <c r="K33271" s="18" t="s">
        <v>477</v>
      </c>
    </row>
    <row r="33272">
      <c r="B33272" s="17" t="s">
        <v>477</v>
      </c>
      <c r="K33272" s="18" t="s">
        <v>477</v>
      </c>
    </row>
    <row r="33273">
      <c r="B33273" s="17" t="s">
        <v>477</v>
      </c>
      <c r="K33273" s="18" t="s">
        <v>477</v>
      </c>
    </row>
    <row r="33274">
      <c r="B33274" s="17" t="s">
        <v>477</v>
      </c>
      <c r="K33274" s="18" t="s">
        <v>477</v>
      </c>
    </row>
    <row r="33275">
      <c r="B33275" s="17" t="s">
        <v>477</v>
      </c>
      <c r="K33275" s="18" t="s">
        <v>477</v>
      </c>
    </row>
    <row r="33276">
      <c r="B33276" s="17" t="s">
        <v>477</v>
      </c>
      <c r="K33276" s="18" t="s">
        <v>477</v>
      </c>
    </row>
    <row r="33277">
      <c r="B33277" s="17" t="s">
        <v>477</v>
      </c>
      <c r="K33277" s="18" t="s">
        <v>477</v>
      </c>
    </row>
    <row r="33278">
      <c r="B33278" s="17" t="s">
        <v>477</v>
      </c>
      <c r="K33278" s="18" t="s">
        <v>477</v>
      </c>
    </row>
    <row r="33279">
      <c r="B33279" s="17" t="s">
        <v>477</v>
      </c>
      <c r="K33279" s="18" t="s">
        <v>477</v>
      </c>
    </row>
    <row r="33280">
      <c r="B33280" s="17" t="s">
        <v>477</v>
      </c>
      <c r="K33280" s="18" t="s">
        <v>477</v>
      </c>
    </row>
    <row r="33281">
      <c r="B33281" s="17" t="s">
        <v>477</v>
      </c>
      <c r="K33281" s="18" t="s">
        <v>477</v>
      </c>
    </row>
    <row r="33282">
      <c r="B33282" s="17" t="s">
        <v>477</v>
      </c>
      <c r="K33282" s="18" t="s">
        <v>477</v>
      </c>
    </row>
    <row r="33283">
      <c r="B33283" s="17" t="s">
        <v>477</v>
      </c>
      <c r="K33283" s="18" t="s">
        <v>477</v>
      </c>
    </row>
    <row r="33284">
      <c r="B33284" s="17" t="s">
        <v>477</v>
      </c>
      <c r="K33284" s="18" t="s">
        <v>477</v>
      </c>
    </row>
    <row r="33285">
      <c r="B33285" s="17" t="s">
        <v>477</v>
      </c>
      <c r="K33285" s="18" t="s">
        <v>477</v>
      </c>
    </row>
    <row r="33286">
      <c r="B33286" s="17" t="s">
        <v>477</v>
      </c>
      <c r="K33286" s="18" t="s">
        <v>477</v>
      </c>
    </row>
    <row r="33287">
      <c r="B33287" s="17" t="s">
        <v>477</v>
      </c>
      <c r="K33287" s="18" t="s">
        <v>477</v>
      </c>
    </row>
    <row r="33288">
      <c r="B33288" s="17" t="s">
        <v>477</v>
      </c>
      <c r="K33288" s="18" t="s">
        <v>477</v>
      </c>
    </row>
    <row r="33289">
      <c r="B33289" s="17" t="s">
        <v>477</v>
      </c>
      <c r="K33289" s="18" t="s">
        <v>477</v>
      </c>
    </row>
    <row r="33290">
      <c r="B33290" s="17" t="s">
        <v>477</v>
      </c>
      <c r="K33290" s="18" t="s">
        <v>477</v>
      </c>
    </row>
    <row r="33291">
      <c r="B33291" s="17" t="s">
        <v>477</v>
      </c>
      <c r="K33291" s="18" t="s">
        <v>477</v>
      </c>
    </row>
    <row r="33292">
      <c r="B33292" s="17" t="s">
        <v>477</v>
      </c>
      <c r="K33292" s="18" t="s">
        <v>477</v>
      </c>
    </row>
    <row r="33293">
      <c r="B33293" s="17" t="s">
        <v>477</v>
      </c>
      <c r="K33293" s="18" t="s">
        <v>477</v>
      </c>
    </row>
    <row r="33294">
      <c r="B33294" s="17" t="s">
        <v>477</v>
      </c>
      <c r="K33294" s="18" t="s">
        <v>477</v>
      </c>
    </row>
    <row r="33295">
      <c r="B33295" s="17" t="s">
        <v>477</v>
      </c>
      <c r="K33295" s="18" t="s">
        <v>477</v>
      </c>
    </row>
    <row r="33296">
      <c r="B33296" s="17" t="s">
        <v>477</v>
      </c>
      <c r="K33296" s="18" t="s">
        <v>477</v>
      </c>
    </row>
    <row r="33297">
      <c r="B33297" s="17" t="s">
        <v>477</v>
      </c>
      <c r="K33297" s="18" t="s">
        <v>477</v>
      </c>
    </row>
    <row r="33298">
      <c r="B33298" s="17" t="s">
        <v>477</v>
      </c>
      <c r="K33298" s="18" t="s">
        <v>477</v>
      </c>
    </row>
    <row r="33299">
      <c r="B33299" s="17" t="s">
        <v>477</v>
      </c>
      <c r="K33299" s="18" t="s">
        <v>477</v>
      </c>
    </row>
    <row r="33300">
      <c r="B33300" s="17" t="s">
        <v>477</v>
      </c>
      <c r="K33300" s="18" t="s">
        <v>477</v>
      </c>
    </row>
    <row r="33301">
      <c r="B33301" s="17" t="s">
        <v>477</v>
      </c>
      <c r="K33301" s="18" t="s">
        <v>477</v>
      </c>
    </row>
    <row r="33302">
      <c r="B33302" s="17" t="s">
        <v>477</v>
      </c>
      <c r="K33302" s="18" t="s">
        <v>477</v>
      </c>
    </row>
    <row r="33303">
      <c r="B33303" s="17" t="s">
        <v>477</v>
      </c>
      <c r="K33303" s="18" t="s">
        <v>477</v>
      </c>
    </row>
    <row r="33304">
      <c r="B33304" s="17" t="s">
        <v>477</v>
      </c>
      <c r="K33304" s="18" t="s">
        <v>477</v>
      </c>
    </row>
    <row r="33305">
      <c r="B33305" s="17" t="s">
        <v>477</v>
      </c>
      <c r="K33305" s="18" t="s">
        <v>477</v>
      </c>
    </row>
    <row r="33306">
      <c r="B33306" s="17" t="s">
        <v>477</v>
      </c>
      <c r="K33306" s="18" t="s">
        <v>477</v>
      </c>
    </row>
    <row r="33307">
      <c r="B33307" s="17" t="s">
        <v>477</v>
      </c>
      <c r="K33307" s="18" t="s">
        <v>477</v>
      </c>
    </row>
    <row r="33308">
      <c r="B33308" s="17" t="s">
        <v>477</v>
      </c>
      <c r="K33308" s="18" t="s">
        <v>477</v>
      </c>
    </row>
    <row r="33309">
      <c r="B33309" s="17" t="s">
        <v>477</v>
      </c>
      <c r="K33309" s="18" t="s">
        <v>477</v>
      </c>
    </row>
    <row r="33310">
      <c r="B33310" s="17" t="s">
        <v>477</v>
      </c>
      <c r="K33310" s="18" t="s">
        <v>477</v>
      </c>
    </row>
    <row r="33311">
      <c r="B33311" s="17" t="s">
        <v>477</v>
      </c>
      <c r="K33311" s="18" t="s">
        <v>477</v>
      </c>
    </row>
    <row r="33312">
      <c r="B33312" s="17" t="s">
        <v>477</v>
      </c>
      <c r="K33312" s="18"/>
    </row>
    <row r="33313">
      <c r="B33313" s="17" t="s">
        <v>477</v>
      </c>
      <c r="K33313" s="18"/>
    </row>
    <row r="33314">
      <c r="B33314" s="17" t="s">
        <v>477</v>
      </c>
      <c r="K33314" s="18"/>
    </row>
    <row r="33315">
      <c r="B33315" s="17" t="s">
        <v>477</v>
      </c>
      <c r="K33315" s="18"/>
    </row>
    <row r="33316">
      <c r="B33316" s="17" t="s">
        <v>477</v>
      </c>
      <c r="K33316" s="18"/>
    </row>
    <row r="33317">
      <c r="B33317" s="17" t="s">
        <v>477</v>
      </c>
      <c r="K33317" s="18"/>
    </row>
    <row r="33318">
      <c r="B33318" s="17" t="s">
        <v>477</v>
      </c>
      <c r="K33318" s="18"/>
    </row>
    <row r="33319">
      <c r="B33319" s="17" t="s">
        <v>477</v>
      </c>
      <c r="K33319" s="18"/>
    </row>
    <row r="33320">
      <c r="B33320" s="17" t="s">
        <v>477</v>
      </c>
      <c r="K33320" s="18"/>
    </row>
    <row r="33321">
      <c r="B33321" s="17" t="s">
        <v>477</v>
      </c>
      <c r="K33321" s="18"/>
    </row>
    <row r="33322">
      <c r="B33322" s="17" t="s">
        <v>477</v>
      </c>
      <c r="K33322" s="18"/>
    </row>
    <row r="33323">
      <c r="B33323" s="17" t="s">
        <v>477</v>
      </c>
      <c r="K33323" s="18"/>
    </row>
    <row r="33324">
      <c r="B33324" s="17" t="s">
        <v>477</v>
      </c>
      <c r="K33324" s="18"/>
    </row>
    <row r="33325">
      <c r="B33325" s="17" t="s">
        <v>477</v>
      </c>
      <c r="K33325" s="18"/>
    </row>
    <row r="33326">
      <c r="B33326" s="17" t="s">
        <v>477</v>
      </c>
      <c r="K33326" s="18"/>
    </row>
    <row r="33327">
      <c r="B33327" s="17" t="s">
        <v>477</v>
      </c>
      <c r="K33327" s="18"/>
    </row>
    <row r="33328">
      <c r="B33328" s="17" t="s">
        <v>477</v>
      </c>
      <c r="K33328" s="18"/>
    </row>
    <row r="33329">
      <c r="B33329" s="17" t="s">
        <v>477</v>
      </c>
      <c r="K33329" s="18"/>
    </row>
    <row r="33330">
      <c r="B33330" s="17" t="s">
        <v>477</v>
      </c>
      <c r="K33330" s="18"/>
    </row>
    <row r="33331">
      <c r="B33331" s="17" t="s">
        <v>477</v>
      </c>
      <c r="K33331" s="18"/>
    </row>
    <row r="33332">
      <c r="B33332" s="17" t="s">
        <v>477</v>
      </c>
      <c r="K33332" s="18"/>
    </row>
    <row r="33333">
      <c r="B33333" s="17" t="s">
        <v>477</v>
      </c>
      <c r="K33333" s="18"/>
    </row>
    <row r="33334">
      <c r="B33334" s="17" t="s">
        <v>477</v>
      </c>
      <c r="K33334" s="18"/>
    </row>
    <row r="33335">
      <c r="B33335" s="17" t="s">
        <v>477</v>
      </c>
      <c r="K33335" s="18"/>
    </row>
    <row r="33336">
      <c r="B33336" s="17" t="s">
        <v>477</v>
      </c>
      <c r="K33336" s="18"/>
    </row>
    <row r="33337">
      <c r="B33337" s="17" t="s">
        <v>477</v>
      </c>
      <c r="K33337" s="18"/>
    </row>
    <row r="33338">
      <c r="B33338" s="17" t="s">
        <v>477</v>
      </c>
      <c r="K33338" s="18"/>
    </row>
    <row r="33339">
      <c r="B33339" s="17" t="s">
        <v>477</v>
      </c>
      <c r="K33339" s="18"/>
    </row>
    <row r="33340">
      <c r="B33340" s="17" t="s">
        <v>477</v>
      </c>
      <c r="K33340" s="18"/>
    </row>
    <row r="33341">
      <c r="B33341" s="17" t="s">
        <v>477</v>
      </c>
      <c r="K33341" s="18"/>
    </row>
    <row r="33342">
      <c r="B33342" s="17" t="s">
        <v>477</v>
      </c>
      <c r="K33342" s="18"/>
    </row>
    <row r="33343">
      <c r="B33343" s="17" t="s">
        <v>477</v>
      </c>
      <c r="K33343" s="18"/>
    </row>
    <row r="33344">
      <c r="B33344" s="17" t="s">
        <v>477</v>
      </c>
      <c r="K33344" s="18"/>
    </row>
    <row r="33345">
      <c r="B33345" s="17" t="s">
        <v>477</v>
      </c>
      <c r="K33345" s="18"/>
    </row>
    <row r="33346">
      <c r="B33346" s="17" t="s">
        <v>477</v>
      </c>
      <c r="K33346" s="18"/>
    </row>
    <row r="33347">
      <c r="B33347" s="17" t="s">
        <v>477</v>
      </c>
      <c r="K33347" s="18"/>
    </row>
    <row r="33348">
      <c r="B33348" s="17" t="s">
        <v>477</v>
      </c>
      <c r="K33348" s="18"/>
    </row>
    <row r="33349">
      <c r="B33349" s="17" t="s">
        <v>477</v>
      </c>
      <c r="K33349" s="18"/>
    </row>
    <row r="33350">
      <c r="B33350" s="17" t="s">
        <v>477</v>
      </c>
      <c r="K33350" s="18"/>
    </row>
    <row r="33351">
      <c r="B33351" s="17" t="s">
        <v>477</v>
      </c>
      <c r="K33351" s="18"/>
    </row>
    <row r="33352">
      <c r="B33352" s="17" t="s">
        <v>477</v>
      </c>
      <c r="K33352" s="18"/>
    </row>
    <row r="33353">
      <c r="B33353" s="17" t="s">
        <v>477</v>
      </c>
      <c r="K33353" s="18"/>
    </row>
    <row r="33354">
      <c r="B33354" s="17" t="s">
        <v>477</v>
      </c>
      <c r="K33354" s="18"/>
    </row>
    <row r="33355">
      <c r="B33355" s="17" t="s">
        <v>477</v>
      </c>
      <c r="K33355" s="18"/>
    </row>
    <row r="33356">
      <c r="B33356" s="17" t="s">
        <v>477</v>
      </c>
      <c r="K33356" s="18"/>
    </row>
    <row r="33357">
      <c r="B33357" s="17" t="s">
        <v>477</v>
      </c>
      <c r="K33357" s="18"/>
    </row>
    <row r="33358">
      <c r="B33358" s="17" t="s">
        <v>477</v>
      </c>
      <c r="K33358" s="18"/>
    </row>
    <row r="33359">
      <c r="B33359" s="17" t="s">
        <v>477</v>
      </c>
      <c r="K33359" s="18"/>
    </row>
    <row r="33360">
      <c r="B33360" s="17" t="s">
        <v>477</v>
      </c>
      <c r="K33360" s="18"/>
    </row>
    <row r="33361">
      <c r="B33361" s="17" t="s">
        <v>477</v>
      </c>
      <c r="K33361" s="18"/>
    </row>
    <row r="33362">
      <c r="B33362" s="17" t="s">
        <v>477</v>
      </c>
      <c r="K33362" s="18"/>
    </row>
    <row r="33363">
      <c r="B33363" s="17" t="s">
        <v>477</v>
      </c>
      <c r="K33363" s="18"/>
    </row>
    <row r="33364">
      <c r="B33364" s="17" t="s">
        <v>477</v>
      </c>
      <c r="K33364" s="18"/>
    </row>
    <row r="33365">
      <c r="B33365" s="17" t="s">
        <v>477</v>
      </c>
      <c r="K33365" s="18"/>
    </row>
    <row r="33366">
      <c r="B33366" s="17" t="s">
        <v>477</v>
      </c>
      <c r="K33366" s="18"/>
    </row>
    <row r="33367">
      <c r="B33367" s="17" t="s">
        <v>477</v>
      </c>
      <c r="K33367" s="18"/>
    </row>
    <row r="33368">
      <c r="B33368" s="17" t="s">
        <v>477</v>
      </c>
      <c r="K33368" s="18"/>
    </row>
    <row r="33369">
      <c r="B33369" s="17" t="s">
        <v>477</v>
      </c>
      <c r="K33369" s="18"/>
    </row>
    <row r="33370">
      <c r="B33370" s="17" t="s">
        <v>477</v>
      </c>
      <c r="K33370" s="18"/>
    </row>
    <row r="33371">
      <c r="B33371" s="17" t="s">
        <v>477</v>
      </c>
      <c r="K33371" s="18"/>
    </row>
    <row r="33372">
      <c r="B33372" s="17" t="s">
        <v>477</v>
      </c>
      <c r="K33372" s="18"/>
    </row>
    <row r="33373">
      <c r="B33373" s="17" t="s">
        <v>477</v>
      </c>
      <c r="K33373" s="18"/>
    </row>
    <row r="33374">
      <c r="B33374" s="17" t="s">
        <v>477</v>
      </c>
      <c r="K33374" s="18"/>
    </row>
    <row r="33375">
      <c r="B33375" s="17" t="s">
        <v>477</v>
      </c>
      <c r="K33375" s="18"/>
    </row>
    <row r="33376">
      <c r="B33376" s="17" t="s">
        <v>477</v>
      </c>
      <c r="K33376" s="18"/>
    </row>
    <row r="33377">
      <c r="B33377" s="17" t="s">
        <v>477</v>
      </c>
      <c r="K33377" s="18"/>
    </row>
    <row r="33378">
      <c r="B33378" s="17" t="s">
        <v>477</v>
      </c>
      <c r="K33378" s="18"/>
    </row>
    <row r="33379">
      <c r="B33379" s="17" t="s">
        <v>477</v>
      </c>
      <c r="K33379" s="18"/>
    </row>
    <row r="33380">
      <c r="B33380" s="17" t="s">
        <v>477</v>
      </c>
      <c r="K33380" s="18"/>
    </row>
    <row r="33381">
      <c r="B33381" s="17" t="s">
        <v>477</v>
      </c>
      <c r="K33381" s="18"/>
    </row>
    <row r="33382">
      <c r="B33382" s="17" t="s">
        <v>477</v>
      </c>
      <c r="K33382" s="18"/>
    </row>
    <row r="33383">
      <c r="B33383" s="17" t="s">
        <v>477</v>
      </c>
      <c r="K33383" s="18"/>
    </row>
    <row r="33384">
      <c r="B33384" s="17" t="s">
        <v>477</v>
      </c>
      <c r="K33384" s="18"/>
    </row>
    <row r="33385">
      <c r="B33385" s="17" t="s">
        <v>477</v>
      </c>
      <c r="K33385" s="18"/>
    </row>
    <row r="33386">
      <c r="B33386" s="17" t="s">
        <v>477</v>
      </c>
      <c r="K33386" s="18"/>
    </row>
    <row r="33387">
      <c r="B33387" s="17" t="s">
        <v>477</v>
      </c>
      <c r="K33387" s="18"/>
    </row>
    <row r="33388">
      <c r="B33388" s="17" t="s">
        <v>477</v>
      </c>
      <c r="K33388" s="18"/>
    </row>
    <row r="33389">
      <c r="B33389" s="17" t="s">
        <v>477</v>
      </c>
      <c r="K33389" s="18"/>
    </row>
    <row r="33390">
      <c r="B33390" s="17" t="s">
        <v>477</v>
      </c>
      <c r="K33390" s="18"/>
    </row>
    <row r="33391">
      <c r="B33391" s="17" t="s">
        <v>477</v>
      </c>
      <c r="K33391" s="18"/>
    </row>
    <row r="33392">
      <c r="B33392" s="17" t="s">
        <v>477</v>
      </c>
      <c r="K33392" s="18"/>
    </row>
    <row r="33393">
      <c r="B33393" s="17" t="s">
        <v>477</v>
      </c>
      <c r="K33393" s="18"/>
    </row>
    <row r="33394">
      <c r="B33394" s="17" t="s">
        <v>477</v>
      </c>
      <c r="K33394" s="18"/>
    </row>
    <row r="33395">
      <c r="B33395" s="17" t="s">
        <v>477</v>
      </c>
      <c r="K33395" s="18"/>
    </row>
    <row r="33396">
      <c r="B33396" s="17" t="s">
        <v>477</v>
      </c>
      <c r="K33396" s="18"/>
    </row>
    <row r="33397">
      <c r="B33397" s="17" t="s">
        <v>477</v>
      </c>
      <c r="K33397" s="18"/>
    </row>
    <row r="33398">
      <c r="B33398" s="17" t="s">
        <v>477</v>
      </c>
      <c r="K33398" s="18"/>
    </row>
    <row r="33399">
      <c r="B33399" s="17" t="s">
        <v>477</v>
      </c>
      <c r="K33399" s="18"/>
    </row>
    <row r="33400">
      <c r="B33400" s="17" t="s">
        <v>477</v>
      </c>
      <c r="K33400" s="18"/>
    </row>
    <row r="33401">
      <c r="B33401" s="17" t="s">
        <v>477</v>
      </c>
      <c r="K33401" s="18"/>
    </row>
    <row r="33402">
      <c r="B33402" s="17" t="s">
        <v>477</v>
      </c>
      <c r="K33402" s="18"/>
    </row>
    <row r="33403">
      <c r="B33403" s="17" t="s">
        <v>477</v>
      </c>
      <c r="K33403" s="18"/>
    </row>
    <row r="33404">
      <c r="B33404" s="17" t="s">
        <v>477</v>
      </c>
      <c r="K33404" s="18"/>
    </row>
    <row r="33405">
      <c r="B33405" s="17" t="s">
        <v>477</v>
      </c>
      <c r="K33405" s="18"/>
    </row>
    <row r="33406">
      <c r="B33406" s="17" t="s">
        <v>477</v>
      </c>
      <c r="K33406" s="18"/>
    </row>
    <row r="33407">
      <c r="B33407" s="17" t="s">
        <v>477</v>
      </c>
      <c r="K33407" s="18"/>
    </row>
    <row r="33408">
      <c r="B33408" s="17" t="s">
        <v>477</v>
      </c>
      <c r="K33408" s="18"/>
    </row>
    <row r="33409">
      <c r="B33409" s="17" t="s">
        <v>477</v>
      </c>
      <c r="K33409" s="18"/>
    </row>
    <row r="33410">
      <c r="B33410" s="17" t="s">
        <v>477</v>
      </c>
      <c r="K33410" s="18"/>
    </row>
    <row r="33411">
      <c r="B33411" s="17" t="s">
        <v>477</v>
      </c>
      <c r="K33411" s="18"/>
    </row>
    <row r="33412">
      <c r="B33412" s="17" t="s">
        <v>477</v>
      </c>
      <c r="K33412" s="18"/>
    </row>
    <row r="33413">
      <c r="B33413" s="17" t="s">
        <v>477</v>
      </c>
      <c r="K33413" s="18"/>
    </row>
    <row r="33414">
      <c r="B33414" s="17" t="s">
        <v>477</v>
      </c>
      <c r="K33414" s="18"/>
    </row>
    <row r="33415">
      <c r="B33415" s="17" t="s">
        <v>477</v>
      </c>
      <c r="K33415" s="18"/>
    </row>
    <row r="33416">
      <c r="B33416" s="17" t="s">
        <v>477</v>
      </c>
      <c r="K33416" s="18"/>
    </row>
    <row r="33417">
      <c r="B33417" s="17" t="s">
        <v>477</v>
      </c>
      <c r="K33417" s="18"/>
    </row>
    <row r="33418">
      <c r="B33418" s="17" t="s">
        <v>477</v>
      </c>
      <c r="K33418" s="18"/>
    </row>
    <row r="33419">
      <c r="B33419" s="17" t="s">
        <v>477</v>
      </c>
      <c r="K33419" s="18"/>
    </row>
    <row r="33420">
      <c r="B33420" s="17" t="s">
        <v>477</v>
      </c>
      <c r="K33420" s="18"/>
    </row>
    <row r="33421">
      <c r="B33421" s="17" t="s">
        <v>477</v>
      </c>
      <c r="K33421" s="18"/>
    </row>
    <row r="33422">
      <c r="B33422" s="17" t="s">
        <v>477</v>
      </c>
      <c r="K33422" s="18"/>
    </row>
    <row r="33423">
      <c r="B33423" s="17" t="s">
        <v>477</v>
      </c>
      <c r="K33423" s="18"/>
    </row>
    <row r="33424">
      <c r="B33424" s="17" t="s">
        <v>477</v>
      </c>
      <c r="K33424" s="18"/>
    </row>
    <row r="33425">
      <c r="B33425" s="17" t="s">
        <v>477</v>
      </c>
      <c r="K33425" s="18"/>
    </row>
    <row r="33426">
      <c r="B33426" s="17" t="s">
        <v>477</v>
      </c>
      <c r="K33426" s="18"/>
    </row>
    <row r="33427">
      <c r="B33427" s="17" t="s">
        <v>477</v>
      </c>
      <c r="K33427" s="18"/>
    </row>
    <row r="33428">
      <c r="B33428" s="17" t="s">
        <v>477</v>
      </c>
      <c r="K33428" s="18"/>
    </row>
    <row r="33429">
      <c r="B33429" s="17" t="s">
        <v>477</v>
      </c>
      <c r="K33429" s="18"/>
    </row>
    <row r="33430">
      <c r="B33430" s="17" t="s">
        <v>477</v>
      </c>
      <c r="K33430" s="18"/>
    </row>
    <row r="33431">
      <c r="B33431" s="17" t="s">
        <v>477</v>
      </c>
      <c r="K33431" s="18"/>
    </row>
    <row r="33432">
      <c r="B33432" s="17" t="s">
        <v>477</v>
      </c>
      <c r="K33432" s="18"/>
    </row>
    <row r="33433">
      <c r="B33433" s="17" t="s">
        <v>477</v>
      </c>
      <c r="K33433" s="18"/>
    </row>
    <row r="33434">
      <c r="B33434" s="17" t="s">
        <v>477</v>
      </c>
      <c r="K33434" s="18"/>
    </row>
    <row r="33435">
      <c r="B33435" s="17" t="s">
        <v>477</v>
      </c>
      <c r="K33435" s="18"/>
    </row>
    <row r="33436">
      <c r="B33436" s="17" t="s">
        <v>477</v>
      </c>
      <c r="K33436" s="18"/>
    </row>
    <row r="33437">
      <c r="B33437" s="17" t="s">
        <v>477</v>
      </c>
      <c r="K33437" s="18"/>
    </row>
    <row r="33438">
      <c r="B33438" s="17" t="s">
        <v>477</v>
      </c>
      <c r="K33438" s="18"/>
    </row>
    <row r="33439">
      <c r="B33439" s="17" t="s">
        <v>477</v>
      </c>
      <c r="K33439" s="18"/>
    </row>
    <row r="33440">
      <c r="B33440" s="17" t="s">
        <v>477</v>
      </c>
      <c r="K33440" s="18"/>
    </row>
    <row r="33441">
      <c r="B33441" s="17" t="s">
        <v>477</v>
      </c>
      <c r="K33441" s="18"/>
    </row>
    <row r="33442">
      <c r="B33442" s="17" t="s">
        <v>477</v>
      </c>
      <c r="K33442" s="18"/>
    </row>
    <row r="33443">
      <c r="B33443" s="17" t="s">
        <v>477</v>
      </c>
      <c r="K33443" s="18"/>
    </row>
    <row r="33444">
      <c r="B33444" s="17" t="s">
        <v>477</v>
      </c>
      <c r="K33444" s="18"/>
    </row>
    <row r="33445">
      <c r="B33445" s="17" t="s">
        <v>477</v>
      </c>
      <c r="K33445" s="18"/>
    </row>
    <row r="33446">
      <c r="B33446" s="17" t="s">
        <v>477</v>
      </c>
      <c r="K33446" s="18"/>
    </row>
    <row r="33447">
      <c r="B33447" s="17" t="s">
        <v>477</v>
      </c>
      <c r="K33447" s="18"/>
    </row>
    <row r="33448">
      <c r="B33448" s="17" t="s">
        <v>477</v>
      </c>
      <c r="K33448" s="18"/>
    </row>
    <row r="33449">
      <c r="B33449" s="17" t="s">
        <v>477</v>
      </c>
      <c r="K33449" s="18"/>
    </row>
    <row r="33450">
      <c r="B33450" s="17" t="s">
        <v>477</v>
      </c>
      <c r="K33450" s="18"/>
    </row>
    <row r="33451">
      <c r="B33451" s="17" t="s">
        <v>477</v>
      </c>
      <c r="K33451" s="18"/>
    </row>
    <row r="33452">
      <c r="B33452" s="17" t="s">
        <v>477</v>
      </c>
      <c r="K33452" s="18"/>
    </row>
    <row r="33453">
      <c r="B33453" s="17" t="s">
        <v>477</v>
      </c>
      <c r="K33453" s="18"/>
    </row>
    <row r="33454">
      <c r="B33454" s="17" t="s">
        <v>477</v>
      </c>
      <c r="K33454" s="18"/>
    </row>
    <row r="33455">
      <c r="B33455" s="17" t="s">
        <v>477</v>
      </c>
      <c r="K33455" s="18"/>
    </row>
    <row r="33456">
      <c r="B33456" s="17" t="s">
        <v>477</v>
      </c>
      <c r="K33456" s="18"/>
    </row>
    <row r="33457">
      <c r="B33457" s="17" t="s">
        <v>477</v>
      </c>
      <c r="K33457" s="18"/>
    </row>
    <row r="33458">
      <c r="B33458" s="17" t="s">
        <v>477</v>
      </c>
      <c r="K33458" s="18"/>
    </row>
    <row r="33459">
      <c r="B33459" s="17" t="s">
        <v>477</v>
      </c>
      <c r="K33459" s="18"/>
    </row>
    <row r="33460">
      <c r="B33460" s="17" t="s">
        <v>477</v>
      </c>
      <c r="K33460" s="18"/>
    </row>
    <row r="33461">
      <c r="B33461" s="17" t="s">
        <v>477</v>
      </c>
      <c r="K33461" s="18"/>
    </row>
    <row r="33462">
      <c r="B33462" s="17" t="s">
        <v>477</v>
      </c>
      <c r="K33462" s="18"/>
    </row>
    <row r="33463">
      <c r="B33463" s="17" t="s">
        <v>477</v>
      </c>
      <c r="K33463" s="18"/>
    </row>
    <row r="33464">
      <c r="B33464" s="17" t="s">
        <v>477</v>
      </c>
      <c r="K33464" s="18"/>
    </row>
    <row r="33465">
      <c r="B33465" s="17" t="s">
        <v>477</v>
      </c>
      <c r="K33465" s="18"/>
    </row>
    <row r="33466">
      <c r="B33466" s="17" t="s">
        <v>477</v>
      </c>
      <c r="K33466" s="18"/>
    </row>
    <row r="33467">
      <c r="B33467" s="17" t="s">
        <v>477</v>
      </c>
      <c r="K33467" s="18"/>
    </row>
    <row r="33468">
      <c r="B33468" s="17" t="s">
        <v>477</v>
      </c>
      <c r="K33468" s="18"/>
    </row>
    <row r="33469">
      <c r="B33469" s="17" t="s">
        <v>477</v>
      </c>
      <c r="K33469" s="18"/>
    </row>
    <row r="33470">
      <c r="B33470" s="17" t="s">
        <v>477</v>
      </c>
      <c r="K33470" s="18"/>
    </row>
    <row r="33471">
      <c r="B33471" s="17" t="s">
        <v>477</v>
      </c>
      <c r="K33471" s="18"/>
    </row>
    <row r="33472">
      <c r="B33472" s="17" t="s">
        <v>477</v>
      </c>
      <c r="K33472" s="18"/>
    </row>
    <row r="33473">
      <c r="B33473" s="17" t="s">
        <v>477</v>
      </c>
      <c r="K33473" s="18"/>
    </row>
    <row r="33474">
      <c r="B33474" s="17" t="s">
        <v>477</v>
      </c>
      <c r="K33474" s="18"/>
    </row>
    <row r="33475">
      <c r="B33475" s="17" t="s">
        <v>477</v>
      </c>
      <c r="K33475" s="18"/>
    </row>
    <row r="33476">
      <c r="B33476" s="17" t="s">
        <v>477</v>
      </c>
      <c r="K33476" s="18"/>
    </row>
    <row r="33477">
      <c r="B33477" s="17" t="s">
        <v>477</v>
      </c>
      <c r="K33477" s="18"/>
    </row>
    <row r="33478">
      <c r="B33478" s="17" t="s">
        <v>477</v>
      </c>
      <c r="K33478" s="18"/>
    </row>
    <row r="33479">
      <c r="B33479" s="17" t="s">
        <v>477</v>
      </c>
      <c r="K33479" s="18"/>
    </row>
    <row r="33480">
      <c r="B33480" s="17" t="s">
        <v>477</v>
      </c>
      <c r="K33480" s="18"/>
    </row>
    <row r="33481">
      <c r="B33481" s="17" t="s">
        <v>477</v>
      </c>
      <c r="K33481" s="18"/>
    </row>
    <row r="33482">
      <c r="B33482" s="17" t="s">
        <v>477</v>
      </c>
      <c r="K33482" s="18"/>
    </row>
    <row r="33483">
      <c r="B33483" s="17" t="s">
        <v>477</v>
      </c>
      <c r="K33483" s="18"/>
    </row>
    <row r="33484">
      <c r="B33484" s="17" t="s">
        <v>477</v>
      </c>
      <c r="K33484" s="18"/>
    </row>
    <row r="33485">
      <c r="B33485" s="17" t="s">
        <v>477</v>
      </c>
      <c r="K33485" s="18"/>
    </row>
    <row r="33486">
      <c r="B33486" s="17" t="s">
        <v>477</v>
      </c>
      <c r="K33486" s="18"/>
    </row>
    <row r="33487">
      <c r="B33487" s="17" t="s">
        <v>477</v>
      </c>
      <c r="K33487" s="18"/>
    </row>
    <row r="33488">
      <c r="B33488" s="17" t="s">
        <v>477</v>
      </c>
      <c r="K33488" s="18"/>
    </row>
    <row r="33489">
      <c r="B33489" s="17" t="s">
        <v>477</v>
      </c>
      <c r="K33489" s="18"/>
    </row>
    <row r="33490">
      <c r="B33490" s="17" t="s">
        <v>477</v>
      </c>
      <c r="K33490" s="18"/>
    </row>
    <row r="33491">
      <c r="B33491" s="17" t="s">
        <v>477</v>
      </c>
      <c r="K33491" s="18"/>
    </row>
    <row r="33492">
      <c r="B33492" s="17" t="s">
        <v>477</v>
      </c>
      <c r="K33492" s="18"/>
    </row>
    <row r="33493">
      <c r="B33493" s="17" t="s">
        <v>477</v>
      </c>
      <c r="K33493" s="18"/>
    </row>
    <row r="33494">
      <c r="B33494" s="17" t="s">
        <v>477</v>
      </c>
      <c r="K33494" s="18"/>
    </row>
    <row r="33495">
      <c r="B33495" s="17" t="s">
        <v>477</v>
      </c>
      <c r="K33495" s="18"/>
    </row>
    <row r="33496">
      <c r="B33496" s="17" t="s">
        <v>477</v>
      </c>
      <c r="K33496" s="18"/>
    </row>
    <row r="33497">
      <c r="B33497" s="17" t="s">
        <v>477</v>
      </c>
      <c r="K33497" s="18"/>
    </row>
    <row r="33498">
      <c r="B33498" s="17" t="s">
        <v>477</v>
      </c>
      <c r="K33498" s="18"/>
    </row>
    <row r="33499">
      <c r="B33499" s="17" t="s">
        <v>477</v>
      </c>
      <c r="K33499" s="18"/>
    </row>
    <row r="33500">
      <c r="B33500" s="17" t="s">
        <v>477</v>
      </c>
      <c r="K33500" s="18"/>
    </row>
    <row r="33501">
      <c r="B33501" s="17" t="s">
        <v>477</v>
      </c>
      <c r="K33501" s="18"/>
    </row>
    <row r="33502">
      <c r="B33502" s="17" t="s">
        <v>477</v>
      </c>
      <c r="K33502" s="18"/>
    </row>
    <row r="33503">
      <c r="B33503" s="17" t="s">
        <v>477</v>
      </c>
      <c r="K33503" s="18"/>
    </row>
    <row r="33504">
      <c r="B33504" s="17" t="s">
        <v>477</v>
      </c>
      <c r="K33504" s="18"/>
    </row>
    <row r="33505">
      <c r="B33505" s="17" t="s">
        <v>477</v>
      </c>
      <c r="K33505" s="18"/>
    </row>
    <row r="33506">
      <c r="B33506" s="17" t="s">
        <v>477</v>
      </c>
      <c r="K33506" s="18"/>
    </row>
    <row r="33507">
      <c r="B33507" s="17" t="s">
        <v>477</v>
      </c>
      <c r="K33507" s="18"/>
    </row>
    <row r="33508">
      <c r="B33508" s="17" t="s">
        <v>477</v>
      </c>
      <c r="K33508" s="18"/>
    </row>
    <row r="33509">
      <c r="B33509" s="17" t="s">
        <v>477</v>
      </c>
      <c r="K33509" s="18"/>
    </row>
    <row r="33510">
      <c r="B33510" s="17" t="s">
        <v>477</v>
      </c>
      <c r="K33510" s="18"/>
    </row>
    <row r="33511">
      <c r="B33511" s="17" t="s">
        <v>477</v>
      </c>
      <c r="K33511" s="18"/>
    </row>
    <row r="33512">
      <c r="B33512" s="17" t="s">
        <v>477</v>
      </c>
      <c r="K33512" s="18"/>
    </row>
    <row r="33513">
      <c r="B33513" s="17" t="s">
        <v>477</v>
      </c>
      <c r="K33513" s="18"/>
    </row>
    <row r="33514">
      <c r="B33514" s="17" t="s">
        <v>477</v>
      </c>
      <c r="K33514" s="18"/>
    </row>
    <row r="33515">
      <c r="B33515" s="17" t="s">
        <v>477</v>
      </c>
      <c r="K33515" s="18"/>
    </row>
    <row r="33516">
      <c r="B33516" s="17" t="s">
        <v>477</v>
      </c>
      <c r="K33516" s="18"/>
    </row>
    <row r="33517">
      <c r="B33517" s="17" t="s">
        <v>477</v>
      </c>
      <c r="K33517" s="18"/>
    </row>
    <row r="33518">
      <c r="B33518" s="17" t="s">
        <v>477</v>
      </c>
      <c r="K33518" s="18"/>
    </row>
    <row r="33519">
      <c r="B33519" s="17" t="s">
        <v>477</v>
      </c>
      <c r="K33519" s="18"/>
    </row>
    <row r="33520">
      <c r="B33520" s="17" t="s">
        <v>477</v>
      </c>
      <c r="K33520" s="18"/>
    </row>
    <row r="33521">
      <c r="B33521" s="17" t="s">
        <v>477</v>
      </c>
      <c r="K33521" s="18"/>
    </row>
    <row r="33522">
      <c r="B33522" s="17" t="s">
        <v>477</v>
      </c>
      <c r="K33522" s="18"/>
    </row>
    <row r="33523">
      <c r="B33523" s="17" t="s">
        <v>477</v>
      </c>
      <c r="K33523" s="18"/>
    </row>
    <row r="33524">
      <c r="B33524" s="17" t="s">
        <v>477</v>
      </c>
      <c r="K33524" s="18"/>
    </row>
    <row r="33525">
      <c r="B33525" s="17" t="s">
        <v>477</v>
      </c>
      <c r="K33525" s="18"/>
    </row>
    <row r="33526">
      <c r="B33526" s="17" t="s">
        <v>477</v>
      </c>
      <c r="K33526" s="18"/>
    </row>
    <row r="33527">
      <c r="B33527" s="17" t="s">
        <v>477</v>
      </c>
      <c r="K33527" s="18"/>
    </row>
    <row r="33528">
      <c r="B33528" s="17" t="s">
        <v>477</v>
      </c>
      <c r="K33528" s="18"/>
    </row>
    <row r="33529">
      <c r="B33529" s="17" t="s">
        <v>477</v>
      </c>
      <c r="K33529" s="18"/>
    </row>
    <row r="33530">
      <c r="B33530" s="17" t="s">
        <v>477</v>
      </c>
      <c r="K33530" s="18"/>
    </row>
    <row r="33531">
      <c r="B33531" s="17" t="s">
        <v>477</v>
      </c>
      <c r="K33531" s="18"/>
    </row>
    <row r="33532">
      <c r="B33532" s="17" t="s">
        <v>477</v>
      </c>
      <c r="K33532" s="18"/>
    </row>
    <row r="33533">
      <c r="B33533" s="17" t="s">
        <v>477</v>
      </c>
      <c r="K33533" s="18"/>
    </row>
    <row r="33534">
      <c r="B33534" s="17" t="s">
        <v>477</v>
      </c>
      <c r="K33534" s="18"/>
    </row>
    <row r="33535">
      <c r="B33535" s="17" t="s">
        <v>477</v>
      </c>
      <c r="K33535" s="18"/>
    </row>
    <row r="33536">
      <c r="B33536" s="17" t="s">
        <v>477</v>
      </c>
      <c r="K33536" s="18"/>
    </row>
    <row r="33537">
      <c r="B33537" s="17" t="s">
        <v>477</v>
      </c>
      <c r="K33537" s="18"/>
    </row>
    <row r="33538">
      <c r="B33538" s="17" t="s">
        <v>477</v>
      </c>
      <c r="K33538" s="18"/>
    </row>
    <row r="33539">
      <c r="B33539" s="17" t="s">
        <v>477</v>
      </c>
      <c r="K33539" s="18"/>
    </row>
    <row r="33540">
      <c r="B33540" s="17" t="s">
        <v>477</v>
      </c>
      <c r="K33540" s="18"/>
    </row>
    <row r="33541">
      <c r="B33541" s="17" t="s">
        <v>477</v>
      </c>
      <c r="K33541" s="18"/>
    </row>
    <row r="33542">
      <c r="B33542" s="17" t="s">
        <v>477</v>
      </c>
      <c r="K33542" s="18"/>
    </row>
    <row r="33543">
      <c r="B33543" s="17" t="s">
        <v>477</v>
      </c>
      <c r="K33543" s="18"/>
    </row>
    <row r="33544">
      <c r="B33544" s="17" t="s">
        <v>477</v>
      </c>
      <c r="K33544" s="18"/>
    </row>
    <row r="33545">
      <c r="B33545" s="17" t="s">
        <v>477</v>
      </c>
      <c r="K33545" s="18"/>
    </row>
    <row r="33546">
      <c r="B33546" s="17" t="s">
        <v>477</v>
      </c>
      <c r="K33546" s="18"/>
    </row>
    <row r="33547">
      <c r="B33547" s="17" t="s">
        <v>477</v>
      </c>
      <c r="K33547" s="18"/>
    </row>
    <row r="33548">
      <c r="B33548" s="17" t="s">
        <v>477</v>
      </c>
      <c r="K33548" s="18"/>
    </row>
    <row r="33549">
      <c r="B33549" s="17" t="s">
        <v>477</v>
      </c>
      <c r="K33549" s="18"/>
    </row>
    <row r="33550">
      <c r="B33550" s="17" t="s">
        <v>477</v>
      </c>
      <c r="K33550" s="18"/>
    </row>
    <row r="33551">
      <c r="B33551" s="17" t="s">
        <v>477</v>
      </c>
      <c r="K33551" s="18"/>
    </row>
    <row r="33552">
      <c r="B33552" s="17" t="s">
        <v>477</v>
      </c>
      <c r="K33552" s="18"/>
    </row>
    <row r="33553">
      <c r="B33553" s="17" t="s">
        <v>477</v>
      </c>
      <c r="K33553" s="18"/>
    </row>
    <row r="33554">
      <c r="B33554" s="17" t="s">
        <v>477</v>
      </c>
      <c r="K33554" s="18"/>
    </row>
    <row r="33555">
      <c r="B33555" s="17" t="s">
        <v>477</v>
      </c>
      <c r="K33555" s="18"/>
    </row>
    <row r="33556">
      <c r="B33556" s="17" t="s">
        <v>477</v>
      </c>
      <c r="K33556" s="18"/>
    </row>
    <row r="33557">
      <c r="B33557" s="17" t="s">
        <v>477</v>
      </c>
      <c r="K33557" s="18"/>
    </row>
    <row r="33558">
      <c r="B33558" s="17" t="s">
        <v>477</v>
      </c>
      <c r="K33558" s="18"/>
    </row>
    <row r="33559">
      <c r="B33559" s="17" t="s">
        <v>477</v>
      </c>
      <c r="K33559" s="18"/>
    </row>
    <row r="33560">
      <c r="B33560" s="17" t="s">
        <v>477</v>
      </c>
      <c r="K33560" s="18"/>
    </row>
    <row r="33561">
      <c r="B33561" s="17" t="s">
        <v>477</v>
      </c>
      <c r="K33561" s="18"/>
    </row>
    <row r="33562">
      <c r="B33562" s="17" t="s">
        <v>477</v>
      </c>
      <c r="K33562" s="18"/>
    </row>
    <row r="33563">
      <c r="B33563" s="17" t="s">
        <v>477</v>
      </c>
      <c r="K33563" s="18"/>
    </row>
    <row r="33564">
      <c r="B33564" s="17" t="s">
        <v>477</v>
      </c>
      <c r="K33564" s="18"/>
    </row>
    <row r="33565">
      <c r="B33565" s="17" t="s">
        <v>477</v>
      </c>
      <c r="K33565" s="18"/>
    </row>
    <row r="33566">
      <c r="B33566" s="17" t="s">
        <v>477</v>
      </c>
      <c r="K33566" s="18"/>
    </row>
    <row r="33567">
      <c r="B33567" s="17" t="s">
        <v>477</v>
      </c>
      <c r="K33567" s="18"/>
    </row>
    <row r="33568">
      <c r="B33568" s="17" t="s">
        <v>477</v>
      </c>
      <c r="K33568" s="18"/>
    </row>
    <row r="33569">
      <c r="B33569" s="17" t="s">
        <v>477</v>
      </c>
      <c r="K33569" s="18"/>
    </row>
    <row r="33570">
      <c r="B33570" s="17" t="s">
        <v>477</v>
      </c>
      <c r="K33570" s="18"/>
    </row>
    <row r="33571">
      <c r="B33571" s="17" t="s">
        <v>477</v>
      </c>
      <c r="K33571" s="18"/>
    </row>
    <row r="33572">
      <c r="B33572" s="17" t="s">
        <v>477</v>
      </c>
      <c r="K33572" s="18"/>
    </row>
    <row r="33573">
      <c r="B33573" s="17" t="s">
        <v>477</v>
      </c>
      <c r="K33573" s="18"/>
    </row>
    <row r="33574">
      <c r="B33574" s="17" t="s">
        <v>477</v>
      </c>
      <c r="K33574" s="18"/>
    </row>
    <row r="33575">
      <c r="B33575" s="17" t="s">
        <v>477</v>
      </c>
      <c r="K33575" s="18"/>
    </row>
    <row r="33576">
      <c r="B33576" s="17" t="s">
        <v>477</v>
      </c>
      <c r="K33576" s="18"/>
    </row>
    <row r="33577">
      <c r="B33577" s="17" t="s">
        <v>477</v>
      </c>
      <c r="K33577" s="18"/>
    </row>
    <row r="33578">
      <c r="B33578" s="17" t="s">
        <v>477</v>
      </c>
      <c r="K33578" s="18"/>
    </row>
    <row r="33579">
      <c r="B33579" s="17" t="s">
        <v>477</v>
      </c>
      <c r="K33579" s="18"/>
    </row>
    <row r="33580">
      <c r="B33580" s="17" t="s">
        <v>477</v>
      </c>
      <c r="K33580" s="18"/>
    </row>
    <row r="33581">
      <c r="B33581" s="17" t="s">
        <v>477</v>
      </c>
      <c r="K33581" s="18"/>
    </row>
    <row r="33582">
      <c r="B33582" s="17" t="s">
        <v>477</v>
      </c>
      <c r="K33582" s="18"/>
    </row>
    <row r="33583">
      <c r="B33583" s="17" t="s">
        <v>477</v>
      </c>
      <c r="K33583" s="18"/>
    </row>
    <row r="33584">
      <c r="B33584" s="17" t="s">
        <v>477</v>
      </c>
      <c r="K33584" s="18"/>
    </row>
    <row r="33585">
      <c r="B33585" s="17" t="s">
        <v>477</v>
      </c>
      <c r="K33585" s="18"/>
    </row>
    <row r="33586">
      <c r="B33586" s="17" t="s">
        <v>477</v>
      </c>
      <c r="K33586" s="18"/>
    </row>
    <row r="33587">
      <c r="B33587" s="17" t="s">
        <v>477</v>
      </c>
      <c r="K33587" s="18"/>
    </row>
    <row r="33588">
      <c r="B33588" s="17" t="s">
        <v>477</v>
      </c>
      <c r="K33588" s="18"/>
    </row>
    <row r="33589">
      <c r="B33589" s="17" t="s">
        <v>477</v>
      </c>
      <c r="K33589" s="18"/>
    </row>
    <row r="33590">
      <c r="B33590" s="17" t="s">
        <v>477</v>
      </c>
      <c r="K33590" s="18"/>
    </row>
    <row r="33591">
      <c r="B33591" s="17" t="s">
        <v>477</v>
      </c>
      <c r="K33591" s="18"/>
    </row>
    <row r="33592">
      <c r="B33592" s="17" t="s">
        <v>477</v>
      </c>
      <c r="K33592" s="18"/>
    </row>
    <row r="33593">
      <c r="B33593" s="17" t="s">
        <v>477</v>
      </c>
      <c r="K33593" s="18"/>
    </row>
    <row r="33594">
      <c r="B33594" s="17" t="s">
        <v>477</v>
      </c>
      <c r="K33594" s="18"/>
    </row>
    <row r="33595">
      <c r="B33595" s="17" t="s">
        <v>477</v>
      </c>
      <c r="K33595" s="18"/>
    </row>
    <row r="33596">
      <c r="B33596" s="17" t="s">
        <v>477</v>
      </c>
      <c r="K33596" s="18"/>
    </row>
    <row r="33597">
      <c r="B33597" s="17" t="s">
        <v>477</v>
      </c>
      <c r="K33597" s="18"/>
    </row>
    <row r="33598">
      <c r="B33598" s="17" t="s">
        <v>477</v>
      </c>
      <c r="K33598" s="18"/>
    </row>
    <row r="33599">
      <c r="B33599" s="17" t="s">
        <v>477</v>
      </c>
      <c r="K33599" s="18"/>
    </row>
    <row r="33600">
      <c r="B33600" s="17" t="s">
        <v>477</v>
      </c>
      <c r="K33600" s="18"/>
    </row>
    <row r="33601">
      <c r="B33601" s="17" t="s">
        <v>477</v>
      </c>
      <c r="K33601" s="18"/>
    </row>
    <row r="33602">
      <c r="B33602" s="17" t="s">
        <v>477</v>
      </c>
      <c r="K33602" s="18"/>
    </row>
    <row r="33603">
      <c r="B33603" s="17" t="s">
        <v>477</v>
      </c>
      <c r="K33603" s="18"/>
    </row>
    <row r="33604">
      <c r="B33604" s="17" t="s">
        <v>477</v>
      </c>
      <c r="K33604" s="18"/>
    </row>
    <row r="33605">
      <c r="B33605" s="17" t="s">
        <v>477</v>
      </c>
      <c r="K33605" s="18"/>
    </row>
    <row r="33606">
      <c r="B33606" s="17" t="s">
        <v>477</v>
      </c>
      <c r="K33606" s="18"/>
    </row>
    <row r="33607">
      <c r="B33607" s="17" t="s">
        <v>477</v>
      </c>
      <c r="K33607" s="18"/>
    </row>
    <row r="33608">
      <c r="B33608" s="17" t="s">
        <v>477</v>
      </c>
      <c r="K33608" s="18"/>
    </row>
    <row r="33609">
      <c r="B33609" s="17" t="s">
        <v>477</v>
      </c>
      <c r="K33609" s="18"/>
    </row>
    <row r="33610">
      <c r="B33610" s="17" t="s">
        <v>477</v>
      </c>
      <c r="K33610" s="18"/>
    </row>
    <row r="33611">
      <c r="B33611" s="17" t="s">
        <v>477</v>
      </c>
      <c r="K33611" s="18"/>
    </row>
    <row r="33612">
      <c r="B33612" s="17" t="s">
        <v>477</v>
      </c>
      <c r="K33612" s="18"/>
    </row>
    <row r="33613">
      <c r="B33613" s="17" t="s">
        <v>477</v>
      </c>
      <c r="K33613" s="18"/>
    </row>
    <row r="33614">
      <c r="B33614" s="17" t="s">
        <v>477</v>
      </c>
      <c r="K33614" s="18"/>
    </row>
    <row r="33615">
      <c r="B33615" s="17" t="s">
        <v>477</v>
      </c>
      <c r="K33615" s="18"/>
    </row>
    <row r="33616">
      <c r="B33616" s="17" t="s">
        <v>477</v>
      </c>
      <c r="K33616" s="18"/>
    </row>
    <row r="33617">
      <c r="B33617" s="17" t="s">
        <v>477</v>
      </c>
      <c r="K33617" s="18"/>
    </row>
    <row r="33618">
      <c r="B33618" s="17" t="s">
        <v>477</v>
      </c>
      <c r="K33618" s="18"/>
    </row>
    <row r="33619">
      <c r="B33619" s="17" t="s">
        <v>477</v>
      </c>
      <c r="K33619" s="18"/>
    </row>
    <row r="33620">
      <c r="B33620" s="17" t="s">
        <v>477</v>
      </c>
      <c r="K33620" s="18"/>
    </row>
    <row r="33621">
      <c r="B33621" s="17" t="s">
        <v>477</v>
      </c>
      <c r="K33621" s="18"/>
    </row>
    <row r="33622">
      <c r="B33622" s="17" t="s">
        <v>477</v>
      </c>
      <c r="K33622" s="18"/>
    </row>
    <row r="33623">
      <c r="B33623" s="17" t="s">
        <v>477</v>
      </c>
      <c r="K33623" s="18"/>
    </row>
    <row r="33624">
      <c r="B33624" s="17" t="s">
        <v>477</v>
      </c>
      <c r="K33624" s="18"/>
    </row>
    <row r="33625">
      <c r="B33625" s="17" t="s">
        <v>477</v>
      </c>
      <c r="K33625" s="18"/>
    </row>
    <row r="33626">
      <c r="B33626" s="17" t="s">
        <v>477</v>
      </c>
      <c r="K33626" s="18"/>
    </row>
    <row r="33627">
      <c r="B33627" s="17" t="s">
        <v>477</v>
      </c>
      <c r="K33627" s="18"/>
    </row>
    <row r="33628">
      <c r="B33628" s="17" t="s">
        <v>477</v>
      </c>
      <c r="K33628" s="18"/>
    </row>
    <row r="33629">
      <c r="B33629" s="17" t="s">
        <v>477</v>
      </c>
      <c r="K33629" s="18"/>
    </row>
    <row r="33630">
      <c r="B33630" s="17" t="s">
        <v>477</v>
      </c>
      <c r="K33630" s="18"/>
    </row>
    <row r="33631">
      <c r="B33631" s="17" t="s">
        <v>477</v>
      </c>
      <c r="K33631" s="18"/>
    </row>
    <row r="33632">
      <c r="B33632" s="17" t="s">
        <v>477</v>
      </c>
      <c r="K33632" s="18"/>
    </row>
    <row r="33633">
      <c r="B33633" s="17" t="s">
        <v>477</v>
      </c>
      <c r="K33633" s="18"/>
    </row>
    <row r="33634">
      <c r="B33634" s="17" t="s">
        <v>477</v>
      </c>
      <c r="K33634" s="18"/>
    </row>
    <row r="33635">
      <c r="B33635" s="17" t="s">
        <v>477</v>
      </c>
      <c r="K33635" s="18"/>
    </row>
    <row r="33636">
      <c r="B33636" s="17" t="s">
        <v>477</v>
      </c>
      <c r="K33636" s="18"/>
    </row>
    <row r="33637">
      <c r="B33637" s="17" t="s">
        <v>477</v>
      </c>
      <c r="K33637" s="18"/>
    </row>
    <row r="33638">
      <c r="B33638" s="17" t="s">
        <v>477</v>
      </c>
      <c r="K33638" s="18"/>
    </row>
    <row r="33639">
      <c r="B33639" s="17" t="s">
        <v>477</v>
      </c>
      <c r="K33639" s="18"/>
    </row>
    <row r="33640">
      <c r="B33640" s="17" t="s">
        <v>477</v>
      </c>
      <c r="K33640" s="18"/>
    </row>
    <row r="33641">
      <c r="B33641" s="17" t="s">
        <v>477</v>
      </c>
      <c r="K33641" s="18"/>
    </row>
    <row r="33642">
      <c r="B33642" s="17" t="s">
        <v>477</v>
      </c>
      <c r="K33642" s="18"/>
    </row>
    <row r="33643">
      <c r="B33643" s="17" t="s">
        <v>477</v>
      </c>
      <c r="K33643" s="18"/>
    </row>
    <row r="33644">
      <c r="B33644" s="17" t="s">
        <v>477</v>
      </c>
      <c r="K33644" s="18"/>
    </row>
    <row r="33645">
      <c r="B33645" s="17" t="s">
        <v>477</v>
      </c>
      <c r="K33645" s="18"/>
    </row>
    <row r="33646">
      <c r="B33646" s="17" t="s">
        <v>477</v>
      </c>
      <c r="K33646" s="18"/>
    </row>
    <row r="33647">
      <c r="B33647" s="17" t="s">
        <v>477</v>
      </c>
      <c r="K33647" s="18"/>
    </row>
    <row r="33648">
      <c r="B33648" s="17" t="s">
        <v>477</v>
      </c>
      <c r="K33648" s="18"/>
    </row>
    <row r="33649">
      <c r="B33649" s="17" t="s">
        <v>477</v>
      </c>
      <c r="K33649" s="18"/>
    </row>
    <row r="33650">
      <c r="B33650" s="17" t="s">
        <v>477</v>
      </c>
      <c r="K33650" s="18"/>
    </row>
    <row r="33651">
      <c r="B33651" s="17" t="s">
        <v>477</v>
      </c>
      <c r="K33651" s="18"/>
    </row>
    <row r="33652">
      <c r="B33652" s="17" t="s">
        <v>477</v>
      </c>
      <c r="K33652" s="18"/>
    </row>
    <row r="33653">
      <c r="B33653" s="17" t="s">
        <v>477</v>
      </c>
      <c r="K33653" s="18"/>
    </row>
    <row r="33654">
      <c r="B33654" s="17" t="s">
        <v>477</v>
      </c>
      <c r="K33654" s="18"/>
    </row>
    <row r="33655">
      <c r="B33655" s="17" t="s">
        <v>477</v>
      </c>
      <c r="K33655" s="18"/>
    </row>
    <row r="33656">
      <c r="B33656" s="17" t="s">
        <v>477</v>
      </c>
      <c r="K33656" s="18"/>
    </row>
    <row r="33657">
      <c r="B33657" s="17" t="s">
        <v>477</v>
      </c>
      <c r="K33657" s="18"/>
    </row>
    <row r="33658">
      <c r="B33658" s="17" t="s">
        <v>477</v>
      </c>
      <c r="K33658" s="18"/>
    </row>
    <row r="33659">
      <c r="B33659" s="17" t="s">
        <v>477</v>
      </c>
      <c r="K33659" s="18"/>
    </row>
    <row r="33660">
      <c r="B33660" s="17" t="s">
        <v>477</v>
      </c>
      <c r="K33660" s="18"/>
    </row>
    <row r="33661">
      <c r="B33661" s="17" t="s">
        <v>477</v>
      </c>
      <c r="K33661" s="18"/>
    </row>
    <row r="33662">
      <c r="B33662" s="17" t="s">
        <v>477</v>
      </c>
      <c r="K33662" s="18"/>
    </row>
    <row r="33663">
      <c r="B33663" s="17" t="s">
        <v>477</v>
      </c>
      <c r="K33663" s="18"/>
    </row>
    <row r="33664">
      <c r="B33664" s="17" t="s">
        <v>477</v>
      </c>
      <c r="K33664" s="18"/>
    </row>
    <row r="33665">
      <c r="B33665" s="17" t="s">
        <v>477</v>
      </c>
      <c r="K33665" s="18"/>
    </row>
    <row r="33666">
      <c r="B33666" s="17" t="s">
        <v>477</v>
      </c>
      <c r="K33666" s="18"/>
    </row>
    <row r="33667">
      <c r="B33667" s="17" t="s">
        <v>477</v>
      </c>
      <c r="K33667" s="18"/>
    </row>
    <row r="33668">
      <c r="B33668" s="17" t="s">
        <v>477</v>
      </c>
      <c r="K33668" s="18"/>
    </row>
    <row r="33669">
      <c r="B33669" s="17" t="s">
        <v>477</v>
      </c>
      <c r="K33669" s="18"/>
    </row>
    <row r="33670">
      <c r="B33670" s="17" t="s">
        <v>477</v>
      </c>
      <c r="K33670" s="18"/>
    </row>
    <row r="33671">
      <c r="B33671" s="17" t="s">
        <v>477</v>
      </c>
      <c r="K33671" s="18"/>
    </row>
    <row r="33672">
      <c r="B33672" s="17" t="s">
        <v>477</v>
      </c>
      <c r="K33672" s="18"/>
    </row>
    <row r="33673">
      <c r="B33673" s="17" t="s">
        <v>477</v>
      </c>
      <c r="K33673" s="18"/>
    </row>
    <row r="33674">
      <c r="B33674" s="17" t="s">
        <v>477</v>
      </c>
      <c r="K33674" s="18"/>
    </row>
    <row r="33675">
      <c r="B33675" s="17" t="s">
        <v>477</v>
      </c>
      <c r="K33675" s="18"/>
    </row>
    <row r="33676">
      <c r="B33676" s="17" t="s">
        <v>477</v>
      </c>
      <c r="K33676" s="18"/>
    </row>
    <row r="33677">
      <c r="B33677" s="17" t="s">
        <v>477</v>
      </c>
      <c r="K33677" s="18"/>
    </row>
    <row r="33678">
      <c r="B33678" s="17" t="s">
        <v>477</v>
      </c>
      <c r="K33678" s="18"/>
    </row>
    <row r="33679">
      <c r="B33679" s="17" t="s">
        <v>477</v>
      </c>
      <c r="K33679" s="18"/>
    </row>
    <row r="33680">
      <c r="B33680" s="17" t="s">
        <v>477</v>
      </c>
      <c r="K33680" s="18"/>
    </row>
    <row r="33681">
      <c r="B33681" s="17" t="s">
        <v>477</v>
      </c>
      <c r="K33681" s="18"/>
    </row>
    <row r="33682">
      <c r="B33682" s="17" t="s">
        <v>477</v>
      </c>
      <c r="K33682" s="18"/>
    </row>
    <row r="33683">
      <c r="B33683" s="17" t="s">
        <v>477</v>
      </c>
      <c r="K33683" s="18"/>
    </row>
    <row r="33684">
      <c r="B33684" s="17" t="s">
        <v>477</v>
      </c>
      <c r="K33684" s="18"/>
    </row>
    <row r="33685">
      <c r="B33685" s="17" t="s">
        <v>477</v>
      </c>
      <c r="K33685" s="18"/>
    </row>
    <row r="33686">
      <c r="B33686" s="17" t="s">
        <v>477</v>
      </c>
      <c r="K33686" s="18"/>
    </row>
    <row r="33687">
      <c r="B33687" s="17" t="s">
        <v>477</v>
      </c>
      <c r="K33687" s="18"/>
    </row>
    <row r="33688">
      <c r="B33688" s="17" t="s">
        <v>477</v>
      </c>
      <c r="K33688" s="18"/>
    </row>
    <row r="33689">
      <c r="B33689" s="17" t="s">
        <v>477</v>
      </c>
      <c r="K33689" s="18"/>
    </row>
    <row r="33690">
      <c r="B33690" s="17" t="s">
        <v>477</v>
      </c>
      <c r="K33690" s="18"/>
    </row>
    <row r="33691">
      <c r="B33691" s="17" t="s">
        <v>477</v>
      </c>
      <c r="K33691" s="18"/>
    </row>
    <row r="33692">
      <c r="B33692" s="17" t="s">
        <v>477</v>
      </c>
      <c r="K33692" s="18"/>
    </row>
    <row r="33693">
      <c r="B33693" s="17" t="s">
        <v>477</v>
      </c>
      <c r="K33693" s="18"/>
    </row>
    <row r="33694">
      <c r="B33694" s="17" t="s">
        <v>477</v>
      </c>
      <c r="K33694" s="18"/>
    </row>
    <row r="33695">
      <c r="B33695" s="17" t="s">
        <v>477</v>
      </c>
      <c r="K33695" s="18"/>
    </row>
    <row r="33696">
      <c r="B33696" s="17" t="s">
        <v>477</v>
      </c>
      <c r="K33696" s="18"/>
    </row>
    <row r="33697">
      <c r="B33697" s="17" t="s">
        <v>477</v>
      </c>
      <c r="K33697" s="18"/>
    </row>
    <row r="33698">
      <c r="B33698" s="17" t="s">
        <v>477</v>
      </c>
      <c r="K33698" s="18"/>
    </row>
    <row r="33699">
      <c r="B33699" s="17" t="s">
        <v>477</v>
      </c>
      <c r="K33699" s="18"/>
    </row>
    <row r="33700">
      <c r="B33700" s="17" t="s">
        <v>477</v>
      </c>
      <c r="K33700" s="18"/>
    </row>
    <row r="33701">
      <c r="B33701" s="17" t="s">
        <v>477</v>
      </c>
      <c r="K33701" s="18"/>
    </row>
    <row r="33702">
      <c r="B33702" s="17" t="s">
        <v>477</v>
      </c>
      <c r="K33702" s="18"/>
    </row>
    <row r="33703">
      <c r="B33703" s="17" t="s">
        <v>477</v>
      </c>
      <c r="K33703" s="18"/>
    </row>
    <row r="33704">
      <c r="B33704" s="17" t="s">
        <v>477</v>
      </c>
      <c r="K33704" s="18"/>
    </row>
    <row r="33705">
      <c r="B33705" s="17" t="s">
        <v>477</v>
      </c>
      <c r="K33705" s="18"/>
    </row>
    <row r="33706">
      <c r="B33706" s="17" t="s">
        <v>477</v>
      </c>
      <c r="K33706" s="18"/>
    </row>
    <row r="33707">
      <c r="B33707" s="17" t="s">
        <v>477</v>
      </c>
      <c r="K33707" s="18"/>
    </row>
    <row r="33708">
      <c r="B33708" s="17" t="s">
        <v>477</v>
      </c>
      <c r="K33708" s="18"/>
    </row>
    <row r="33709">
      <c r="B33709" s="17" t="s">
        <v>477</v>
      </c>
      <c r="K33709" s="18"/>
    </row>
    <row r="33710">
      <c r="B33710" s="17" t="s">
        <v>477</v>
      </c>
      <c r="K33710" s="18"/>
    </row>
    <row r="33711">
      <c r="B33711" s="17" t="s">
        <v>477</v>
      </c>
      <c r="K33711" s="18"/>
    </row>
    <row r="33712">
      <c r="B33712" s="17" t="s">
        <v>477</v>
      </c>
      <c r="K33712" s="18"/>
    </row>
    <row r="33713">
      <c r="B33713" s="17" t="s">
        <v>477</v>
      </c>
      <c r="K33713" s="18"/>
    </row>
    <row r="33714">
      <c r="B33714" s="17" t="s">
        <v>477</v>
      </c>
      <c r="K33714" s="18"/>
    </row>
    <row r="33715">
      <c r="B33715" s="17" t="s">
        <v>477</v>
      </c>
      <c r="K33715" s="18"/>
    </row>
    <row r="33716">
      <c r="B33716" s="17" t="s">
        <v>477</v>
      </c>
      <c r="K33716" s="18"/>
    </row>
    <row r="33717">
      <c r="B33717" s="17" t="s">
        <v>477</v>
      </c>
      <c r="K33717" s="18"/>
    </row>
    <row r="33718">
      <c r="B33718" s="17" t="s">
        <v>477</v>
      </c>
      <c r="K33718" s="18"/>
    </row>
    <row r="33719">
      <c r="B33719" s="17" t="s">
        <v>477</v>
      </c>
      <c r="K33719" s="18"/>
    </row>
    <row r="33720">
      <c r="B33720" s="17" t="s">
        <v>477</v>
      </c>
      <c r="K33720" s="18"/>
    </row>
    <row r="33721">
      <c r="B33721" s="17" t="s">
        <v>477</v>
      </c>
      <c r="K33721" s="18"/>
    </row>
    <row r="33722">
      <c r="B33722" s="17" t="s">
        <v>477</v>
      </c>
      <c r="K33722" s="18"/>
    </row>
    <row r="33723">
      <c r="B33723" s="17" t="s">
        <v>477</v>
      </c>
      <c r="K33723" s="18"/>
    </row>
    <row r="33724">
      <c r="B33724" s="17" t="s">
        <v>477</v>
      </c>
      <c r="K33724" s="18"/>
    </row>
    <row r="33725">
      <c r="B33725" s="17" t="s">
        <v>477</v>
      </c>
      <c r="K33725" s="18"/>
    </row>
    <row r="33726">
      <c r="B33726" s="17" t="s">
        <v>477</v>
      </c>
      <c r="K33726" s="18"/>
    </row>
    <row r="33727">
      <c r="B33727" s="17" t="s">
        <v>477</v>
      </c>
      <c r="K33727" s="18"/>
    </row>
    <row r="33728">
      <c r="B33728" s="17" t="s">
        <v>477</v>
      </c>
      <c r="K33728" s="18"/>
    </row>
    <row r="33729">
      <c r="B33729" s="17" t="s">
        <v>477</v>
      </c>
      <c r="K33729" s="18"/>
    </row>
    <row r="33730">
      <c r="B33730" s="17" t="s">
        <v>477</v>
      </c>
      <c r="K33730" s="18"/>
    </row>
    <row r="33731">
      <c r="B33731" s="17" t="s">
        <v>477</v>
      </c>
      <c r="K33731" s="18"/>
    </row>
    <row r="33732">
      <c r="B33732" s="17" t="s">
        <v>477</v>
      </c>
      <c r="K33732" s="18"/>
    </row>
    <row r="33733">
      <c r="B33733" s="17" t="s">
        <v>477</v>
      </c>
      <c r="K33733" s="18"/>
    </row>
    <row r="33734">
      <c r="B33734" s="17" t="s">
        <v>477</v>
      </c>
      <c r="K33734" s="18"/>
    </row>
    <row r="33735">
      <c r="B33735" s="17" t="s">
        <v>477</v>
      </c>
      <c r="K33735" s="18"/>
    </row>
    <row r="33736">
      <c r="B33736" s="17" t="s">
        <v>477</v>
      </c>
      <c r="K33736" s="18"/>
    </row>
    <row r="33737">
      <c r="B33737" s="17" t="s">
        <v>477</v>
      </c>
      <c r="K33737" s="18"/>
    </row>
    <row r="33738">
      <c r="B33738" s="17" t="s">
        <v>477</v>
      </c>
      <c r="K33738" s="18"/>
    </row>
    <row r="33739">
      <c r="B33739" s="17" t="s">
        <v>477</v>
      </c>
      <c r="K33739" s="18"/>
    </row>
    <row r="33740">
      <c r="B33740" s="17" t="s">
        <v>477</v>
      </c>
      <c r="K33740" s="18"/>
    </row>
    <row r="33741">
      <c r="B33741" s="17" t="s">
        <v>477</v>
      </c>
      <c r="K33741" s="18"/>
    </row>
    <row r="33742">
      <c r="B33742" s="17" t="s">
        <v>477</v>
      </c>
      <c r="K33742" s="18"/>
    </row>
    <row r="33743">
      <c r="B33743" s="17" t="s">
        <v>477</v>
      </c>
      <c r="K33743" s="18"/>
    </row>
    <row r="33744">
      <c r="B33744" s="17" t="s">
        <v>477</v>
      </c>
      <c r="K33744" s="18"/>
    </row>
    <row r="33745">
      <c r="B33745" s="17" t="s">
        <v>477</v>
      </c>
      <c r="K33745" s="18"/>
    </row>
    <row r="33746">
      <c r="B33746" s="17" t="s">
        <v>477</v>
      </c>
      <c r="K33746" s="18"/>
    </row>
    <row r="33747">
      <c r="B33747" s="17" t="s">
        <v>477</v>
      </c>
      <c r="K33747" s="18"/>
    </row>
    <row r="33748">
      <c r="B33748" s="17" t="s">
        <v>477</v>
      </c>
      <c r="K33748" s="18"/>
    </row>
    <row r="33749">
      <c r="B33749" s="17" t="s">
        <v>477</v>
      </c>
      <c r="K33749" s="18"/>
    </row>
    <row r="33750">
      <c r="B33750" s="17" t="s">
        <v>477</v>
      </c>
      <c r="K33750" s="18"/>
    </row>
    <row r="33751">
      <c r="B33751" s="17" t="s">
        <v>477</v>
      </c>
      <c r="K33751" s="18"/>
    </row>
    <row r="33752">
      <c r="B33752" s="17" t="s">
        <v>477</v>
      </c>
      <c r="K33752" s="18"/>
    </row>
    <row r="33753">
      <c r="B33753" s="17" t="s">
        <v>477</v>
      </c>
      <c r="K33753" s="18"/>
    </row>
    <row r="33754">
      <c r="B33754" s="17" t="s">
        <v>477</v>
      </c>
      <c r="K33754" s="18"/>
    </row>
    <row r="33755">
      <c r="B33755" s="17" t="s">
        <v>477</v>
      </c>
      <c r="K33755" s="18"/>
    </row>
    <row r="33756">
      <c r="B33756" s="17" t="s">
        <v>477</v>
      </c>
      <c r="K33756" s="18"/>
    </row>
    <row r="33757">
      <c r="B33757" s="17" t="s">
        <v>477</v>
      </c>
      <c r="K33757" s="18"/>
    </row>
    <row r="33758">
      <c r="B33758" s="17" t="s">
        <v>477</v>
      </c>
      <c r="K33758" s="18"/>
    </row>
    <row r="33759">
      <c r="B33759" s="17" t="s">
        <v>477</v>
      </c>
      <c r="K33759" s="18"/>
    </row>
    <row r="33760">
      <c r="B33760" s="17" t="s">
        <v>477</v>
      </c>
      <c r="K33760" s="18"/>
    </row>
    <row r="33761">
      <c r="B33761" s="17" t="s">
        <v>477</v>
      </c>
      <c r="K33761" s="18"/>
    </row>
    <row r="33762">
      <c r="B33762" s="17" t="s">
        <v>477</v>
      </c>
      <c r="K33762" s="18"/>
    </row>
    <row r="33763">
      <c r="B33763" s="17" t="s">
        <v>477</v>
      </c>
      <c r="K33763" s="18"/>
    </row>
    <row r="33764">
      <c r="B33764" s="17" t="s">
        <v>477</v>
      </c>
      <c r="K33764" s="18"/>
    </row>
    <row r="33765">
      <c r="B33765" s="17" t="s">
        <v>477</v>
      </c>
      <c r="K33765" s="18"/>
    </row>
    <row r="33766">
      <c r="B33766" s="17" t="s">
        <v>477</v>
      </c>
      <c r="K33766" s="18"/>
    </row>
    <row r="33767">
      <c r="B33767" s="17" t="s">
        <v>477</v>
      </c>
      <c r="K33767" s="18"/>
    </row>
    <row r="33768">
      <c r="B33768" s="17" t="s">
        <v>477</v>
      </c>
      <c r="K33768" s="18"/>
    </row>
    <row r="33769">
      <c r="B33769" s="17" t="s">
        <v>477</v>
      </c>
      <c r="K33769" s="18"/>
    </row>
    <row r="33770">
      <c r="B33770" s="17" t="s">
        <v>477</v>
      </c>
      <c r="K33770" s="18"/>
    </row>
    <row r="33771">
      <c r="B33771" s="17" t="s">
        <v>477</v>
      </c>
      <c r="K33771" s="18"/>
    </row>
    <row r="33772">
      <c r="B33772" s="17" t="s">
        <v>477</v>
      </c>
      <c r="K33772" s="18"/>
    </row>
    <row r="33773">
      <c r="B33773" s="17" t="s">
        <v>477</v>
      </c>
      <c r="K33773" s="18"/>
    </row>
    <row r="33774">
      <c r="B33774" s="17" t="s">
        <v>477</v>
      </c>
      <c r="K33774" s="18"/>
    </row>
    <row r="33775">
      <c r="B33775" s="17" t="s">
        <v>477</v>
      </c>
      <c r="K33775" s="18"/>
    </row>
    <row r="33776">
      <c r="B33776" s="17" t="s">
        <v>477</v>
      </c>
      <c r="K33776" s="18"/>
    </row>
    <row r="33777">
      <c r="B33777" s="17" t="s">
        <v>477</v>
      </c>
      <c r="K33777" s="18"/>
    </row>
    <row r="33778">
      <c r="B33778" s="17" t="s">
        <v>477</v>
      </c>
      <c r="K33778" s="18"/>
    </row>
    <row r="33779">
      <c r="B33779" s="17" t="s">
        <v>477</v>
      </c>
      <c r="K33779" s="18"/>
    </row>
    <row r="33780">
      <c r="B33780" s="17" t="s">
        <v>477</v>
      </c>
      <c r="K33780" s="18"/>
    </row>
    <row r="33781">
      <c r="B33781" s="17" t="s">
        <v>477</v>
      </c>
      <c r="K33781" s="18"/>
    </row>
    <row r="33782">
      <c r="B33782" s="17" t="s">
        <v>477</v>
      </c>
      <c r="K33782" s="18"/>
    </row>
    <row r="33783">
      <c r="B33783" s="17" t="s">
        <v>477</v>
      </c>
      <c r="K33783" s="18"/>
    </row>
    <row r="33784">
      <c r="B33784" s="17" t="s">
        <v>477</v>
      </c>
      <c r="K33784" s="18"/>
    </row>
    <row r="33785">
      <c r="B33785" s="17" t="s">
        <v>477</v>
      </c>
      <c r="K33785" s="18"/>
    </row>
    <row r="33786">
      <c r="B33786" s="17" t="s">
        <v>477</v>
      </c>
      <c r="K33786" s="18"/>
    </row>
    <row r="33787">
      <c r="B33787" s="17" t="s">
        <v>477</v>
      </c>
      <c r="K33787" s="18"/>
    </row>
    <row r="33788">
      <c r="B33788" s="17" t="s">
        <v>477</v>
      </c>
      <c r="K33788" s="18"/>
    </row>
    <row r="33789">
      <c r="B33789" s="17" t="s">
        <v>477</v>
      </c>
      <c r="K33789" s="18"/>
    </row>
    <row r="33790">
      <c r="B33790" s="17" t="s">
        <v>477</v>
      </c>
      <c r="K33790" s="18"/>
    </row>
    <row r="33791">
      <c r="B33791" s="17" t="s">
        <v>477</v>
      </c>
      <c r="K33791" s="18"/>
    </row>
    <row r="33792">
      <c r="B33792" s="17" t="s">
        <v>477</v>
      </c>
      <c r="K33792" s="18"/>
    </row>
    <row r="33793">
      <c r="B33793" s="17" t="s">
        <v>477</v>
      </c>
      <c r="K33793" s="18"/>
    </row>
    <row r="33794">
      <c r="B33794" s="17" t="s">
        <v>477</v>
      </c>
      <c r="K33794" s="18"/>
    </row>
    <row r="33795">
      <c r="B33795" s="17" t="s">
        <v>477</v>
      </c>
      <c r="K33795" s="18"/>
    </row>
    <row r="33796">
      <c r="B33796" s="17" t="s">
        <v>477</v>
      </c>
      <c r="K33796" s="18"/>
    </row>
    <row r="33797">
      <c r="B33797" s="17" t="s">
        <v>477</v>
      </c>
      <c r="K33797" s="18"/>
    </row>
    <row r="33798">
      <c r="B33798" s="17" t="s">
        <v>477</v>
      </c>
      <c r="K33798" s="18"/>
    </row>
    <row r="33799">
      <c r="B33799" s="17" t="s">
        <v>477</v>
      </c>
      <c r="K33799" s="18"/>
    </row>
    <row r="33800">
      <c r="B33800" s="17" t="s">
        <v>477</v>
      </c>
      <c r="K33800" s="18"/>
    </row>
    <row r="33801">
      <c r="B33801" s="17" t="s">
        <v>477</v>
      </c>
      <c r="K33801" s="18"/>
    </row>
    <row r="33802">
      <c r="B33802" s="17" t="s">
        <v>477</v>
      </c>
      <c r="K33802" s="18"/>
    </row>
    <row r="33803">
      <c r="B33803" s="17" t="s">
        <v>477</v>
      </c>
      <c r="K33803" s="18"/>
    </row>
    <row r="33804">
      <c r="B33804" s="17" t="s">
        <v>477</v>
      </c>
      <c r="K33804" s="18"/>
    </row>
    <row r="33805">
      <c r="B33805" s="17" t="s">
        <v>477</v>
      </c>
      <c r="K33805" s="18"/>
    </row>
    <row r="33806">
      <c r="B33806" s="17" t="s">
        <v>477</v>
      </c>
      <c r="K33806" s="18"/>
    </row>
    <row r="33807">
      <c r="B33807" s="17" t="s">
        <v>477</v>
      </c>
      <c r="K33807" s="18"/>
    </row>
    <row r="33808">
      <c r="B33808" s="17" t="s">
        <v>477</v>
      </c>
      <c r="K33808" s="18"/>
    </row>
    <row r="33809">
      <c r="B33809" s="17" t="s">
        <v>477</v>
      </c>
      <c r="K33809" s="18"/>
    </row>
    <row r="33810">
      <c r="B33810" s="17" t="s">
        <v>477</v>
      </c>
      <c r="K33810" s="18"/>
    </row>
    <row r="33811">
      <c r="B33811" s="17" t="s">
        <v>477</v>
      </c>
      <c r="K33811" s="18"/>
    </row>
    <row r="33812">
      <c r="B33812" s="17" t="s">
        <v>477</v>
      </c>
      <c r="K33812" s="18"/>
    </row>
    <row r="33813">
      <c r="B33813" s="17" t="s">
        <v>477</v>
      </c>
      <c r="K33813" s="18"/>
    </row>
    <row r="33814">
      <c r="B33814" s="17" t="s">
        <v>477</v>
      </c>
      <c r="K33814" s="18"/>
    </row>
    <row r="33815">
      <c r="B33815" s="17" t="s">
        <v>477</v>
      </c>
      <c r="K33815" s="18"/>
    </row>
    <row r="33816">
      <c r="B33816" s="17" t="s">
        <v>477</v>
      </c>
      <c r="K33816" s="18"/>
    </row>
    <row r="33817">
      <c r="B33817" s="17" t="s">
        <v>477</v>
      </c>
      <c r="K33817" s="18"/>
    </row>
    <row r="33818">
      <c r="B33818" s="17" t="s">
        <v>477</v>
      </c>
      <c r="K33818" s="18"/>
    </row>
    <row r="33819">
      <c r="B33819" s="17" t="s">
        <v>477</v>
      </c>
      <c r="K33819" s="18"/>
    </row>
    <row r="33820">
      <c r="B33820" s="17" t="s">
        <v>477</v>
      </c>
      <c r="K33820" s="18"/>
    </row>
    <row r="33821">
      <c r="B33821" s="17" t="s">
        <v>477</v>
      </c>
      <c r="K33821" s="18"/>
    </row>
    <row r="33822">
      <c r="B33822" s="17" t="s">
        <v>477</v>
      </c>
      <c r="K33822" s="18"/>
    </row>
    <row r="33823">
      <c r="B33823" s="17" t="s">
        <v>477</v>
      </c>
      <c r="K33823" s="18"/>
    </row>
    <row r="33824">
      <c r="B33824" s="17" t="s">
        <v>477</v>
      </c>
      <c r="K33824" s="18"/>
    </row>
    <row r="33825">
      <c r="B33825" s="17" t="s">
        <v>477</v>
      </c>
      <c r="K33825" s="18"/>
    </row>
    <row r="33826">
      <c r="B33826" s="17" t="s">
        <v>477</v>
      </c>
      <c r="K33826" s="18"/>
    </row>
    <row r="33827">
      <c r="B33827" s="17" t="s">
        <v>477</v>
      </c>
      <c r="K33827" s="18"/>
    </row>
    <row r="33828">
      <c r="B33828" s="17" t="s">
        <v>477</v>
      </c>
      <c r="K33828" s="18"/>
    </row>
    <row r="33829">
      <c r="B33829" s="17" t="s">
        <v>477</v>
      </c>
      <c r="K33829" s="18"/>
    </row>
    <row r="33830">
      <c r="B33830" s="17" t="s">
        <v>477</v>
      </c>
      <c r="K33830" s="18"/>
    </row>
    <row r="33831">
      <c r="B33831" s="17" t="s">
        <v>477</v>
      </c>
      <c r="K33831" s="18"/>
    </row>
    <row r="33832">
      <c r="B33832" s="17" t="s">
        <v>477</v>
      </c>
      <c r="K33832" s="18"/>
    </row>
    <row r="33833">
      <c r="B33833" s="17" t="s">
        <v>477</v>
      </c>
      <c r="K33833" s="18"/>
    </row>
    <row r="33834">
      <c r="B33834" s="17" t="s">
        <v>477</v>
      </c>
      <c r="K33834" s="18"/>
    </row>
    <row r="33835">
      <c r="B33835" s="17" t="s">
        <v>477</v>
      </c>
      <c r="K33835" s="18"/>
    </row>
    <row r="33836">
      <c r="B33836" s="17" t="s">
        <v>477</v>
      </c>
      <c r="K33836" s="18"/>
    </row>
    <row r="33837">
      <c r="B33837" s="17" t="s">
        <v>477</v>
      </c>
      <c r="K33837" s="18"/>
    </row>
    <row r="33838">
      <c r="B33838" s="17" t="s">
        <v>477</v>
      </c>
      <c r="K33838" s="18"/>
    </row>
    <row r="33839">
      <c r="B33839" s="17" t="s">
        <v>477</v>
      </c>
      <c r="K33839" s="18"/>
    </row>
    <row r="33840">
      <c r="B33840" s="17" t="s">
        <v>477</v>
      </c>
      <c r="K33840" s="18"/>
    </row>
    <row r="33841">
      <c r="B33841" s="17" t="s">
        <v>477</v>
      </c>
      <c r="K33841" s="18"/>
    </row>
    <row r="33842">
      <c r="B33842" s="17" t="s">
        <v>477</v>
      </c>
      <c r="K33842" s="18"/>
    </row>
    <row r="33843">
      <c r="B33843" s="17" t="s">
        <v>477</v>
      </c>
      <c r="K33843" s="18"/>
    </row>
    <row r="33844">
      <c r="B33844" s="17" t="s">
        <v>477</v>
      </c>
      <c r="K33844" s="18"/>
    </row>
    <row r="33845">
      <c r="B33845" s="17" t="s">
        <v>477</v>
      </c>
      <c r="K33845" s="18"/>
    </row>
    <row r="33846">
      <c r="B33846" s="17" t="s">
        <v>477</v>
      </c>
      <c r="K33846" s="18"/>
    </row>
    <row r="33847">
      <c r="B33847" s="17" t="s">
        <v>477</v>
      </c>
      <c r="K33847" s="18"/>
    </row>
    <row r="33848">
      <c r="B33848" s="17" t="s">
        <v>477</v>
      </c>
      <c r="K33848" s="18"/>
    </row>
    <row r="33849">
      <c r="B33849" s="17" t="s">
        <v>477</v>
      </c>
      <c r="K33849" s="18"/>
    </row>
    <row r="33850">
      <c r="B33850" s="17" t="s">
        <v>477</v>
      </c>
      <c r="K33850" s="18"/>
    </row>
    <row r="33851">
      <c r="B33851" s="17" t="s">
        <v>477</v>
      </c>
      <c r="K33851" s="18"/>
    </row>
    <row r="33852">
      <c r="B33852" s="17" t="s">
        <v>477</v>
      </c>
      <c r="K33852" s="18"/>
    </row>
    <row r="33853">
      <c r="B33853" s="17" t="s">
        <v>477</v>
      </c>
      <c r="K33853" s="18"/>
    </row>
    <row r="33854">
      <c r="B33854" s="17" t="s">
        <v>477</v>
      </c>
      <c r="K33854" s="18"/>
    </row>
    <row r="33855">
      <c r="B33855" s="17" t="s">
        <v>477</v>
      </c>
      <c r="K33855" s="18"/>
    </row>
    <row r="33856">
      <c r="B33856" s="17" t="s">
        <v>477</v>
      </c>
      <c r="K33856" s="18"/>
    </row>
    <row r="33857">
      <c r="B33857" s="17" t="s">
        <v>477</v>
      </c>
      <c r="K33857" s="18"/>
    </row>
    <row r="33858">
      <c r="B33858" s="17" t="s">
        <v>477</v>
      </c>
      <c r="K33858" s="18"/>
    </row>
    <row r="33859">
      <c r="B33859" s="17" t="s">
        <v>477</v>
      </c>
      <c r="K33859" s="18"/>
    </row>
    <row r="33860">
      <c r="B33860" s="17" t="s">
        <v>477</v>
      </c>
      <c r="K33860" s="18"/>
    </row>
    <row r="33861">
      <c r="B33861" s="17" t="s">
        <v>477</v>
      </c>
      <c r="K33861" s="18"/>
    </row>
    <row r="33862">
      <c r="B33862" s="17" t="s">
        <v>477</v>
      </c>
      <c r="K33862" s="18"/>
    </row>
    <row r="33863">
      <c r="B33863" s="17" t="s">
        <v>477</v>
      </c>
      <c r="K33863" s="18"/>
    </row>
    <row r="33864">
      <c r="B33864" s="17" t="s">
        <v>477</v>
      </c>
      <c r="K33864" s="18"/>
    </row>
    <row r="33865">
      <c r="B33865" s="17" t="s">
        <v>477</v>
      </c>
      <c r="K33865" s="18"/>
    </row>
    <row r="33866">
      <c r="B33866" s="17" t="s">
        <v>477</v>
      </c>
      <c r="K33866" s="18"/>
    </row>
    <row r="33867">
      <c r="B33867" s="17" t="s">
        <v>477</v>
      </c>
      <c r="K33867" s="18"/>
    </row>
    <row r="33868">
      <c r="B33868" s="17" t="s">
        <v>477</v>
      </c>
      <c r="K33868" s="18"/>
    </row>
    <row r="33869">
      <c r="B33869" s="17" t="s">
        <v>477</v>
      </c>
      <c r="K33869" s="18"/>
    </row>
    <row r="33870">
      <c r="B33870" s="17" t="s">
        <v>477</v>
      </c>
      <c r="K33870" s="18"/>
    </row>
    <row r="33871">
      <c r="B33871" s="17" t="s">
        <v>477</v>
      </c>
      <c r="K33871" s="18"/>
    </row>
    <row r="33872">
      <c r="B33872" s="17" t="s">
        <v>477</v>
      </c>
      <c r="K33872" s="18"/>
    </row>
    <row r="33873">
      <c r="B33873" s="17" t="s">
        <v>477</v>
      </c>
      <c r="K33873" s="18"/>
    </row>
    <row r="33874">
      <c r="B33874" s="17" t="s">
        <v>477</v>
      </c>
      <c r="K33874" s="18"/>
    </row>
    <row r="33875">
      <c r="B33875" s="17" t="s">
        <v>477</v>
      </c>
      <c r="K33875" s="18"/>
    </row>
    <row r="33876">
      <c r="B33876" s="17" t="s">
        <v>477</v>
      </c>
      <c r="K33876" s="18"/>
    </row>
    <row r="33877">
      <c r="B33877" s="17" t="s">
        <v>477</v>
      </c>
      <c r="K33877" s="18"/>
    </row>
    <row r="33878">
      <c r="B33878" s="17" t="s">
        <v>477</v>
      </c>
      <c r="K33878" s="18"/>
    </row>
    <row r="33879">
      <c r="B33879" s="17" t="s">
        <v>477</v>
      </c>
      <c r="K33879" s="18"/>
    </row>
    <row r="33880">
      <c r="B33880" s="17" t="s">
        <v>477</v>
      </c>
      <c r="K33880" s="18"/>
    </row>
    <row r="33881">
      <c r="B33881" s="17" t="s">
        <v>477</v>
      </c>
      <c r="K33881" s="18"/>
    </row>
    <row r="33882">
      <c r="B33882" s="17" t="s">
        <v>477</v>
      </c>
      <c r="K33882" s="18"/>
    </row>
    <row r="33883">
      <c r="B33883" s="17" t="s">
        <v>477</v>
      </c>
      <c r="K33883" s="18"/>
    </row>
    <row r="33884">
      <c r="B33884" s="17" t="s">
        <v>477</v>
      </c>
      <c r="K33884" s="18"/>
    </row>
    <row r="33885">
      <c r="B33885" s="17" t="s">
        <v>477</v>
      </c>
      <c r="K33885" s="18"/>
    </row>
    <row r="33886">
      <c r="B33886" s="17" t="s">
        <v>477</v>
      </c>
      <c r="K33886" s="18"/>
    </row>
    <row r="33887">
      <c r="B33887" s="17" t="s">
        <v>477</v>
      </c>
      <c r="K33887" s="18"/>
    </row>
    <row r="33888">
      <c r="B33888" s="17" t="s">
        <v>477</v>
      </c>
      <c r="K33888" s="18"/>
    </row>
    <row r="33889">
      <c r="B33889" s="17" t="s">
        <v>477</v>
      </c>
      <c r="K33889" s="18"/>
    </row>
    <row r="33890">
      <c r="B33890" s="17" t="s">
        <v>477</v>
      </c>
      <c r="K33890" s="18"/>
    </row>
    <row r="33891">
      <c r="B33891" s="17" t="s">
        <v>477</v>
      </c>
      <c r="K33891" s="18"/>
    </row>
    <row r="33892">
      <c r="B33892" s="17" t="s">
        <v>477</v>
      </c>
      <c r="K33892" s="18"/>
    </row>
    <row r="33893">
      <c r="B33893" s="17" t="s">
        <v>477</v>
      </c>
      <c r="K33893" s="18"/>
    </row>
    <row r="33894">
      <c r="B33894" s="17" t="s">
        <v>477</v>
      </c>
      <c r="K33894" s="18"/>
    </row>
    <row r="33895">
      <c r="B33895" s="17" t="s">
        <v>477</v>
      </c>
      <c r="K33895" s="18"/>
    </row>
    <row r="33896">
      <c r="B33896" s="17" t="s">
        <v>477</v>
      </c>
      <c r="K33896" s="18"/>
    </row>
    <row r="33897">
      <c r="B33897" s="17" t="s">
        <v>477</v>
      </c>
      <c r="K33897" s="18"/>
    </row>
    <row r="33898">
      <c r="B33898" s="17" t="s">
        <v>477</v>
      </c>
      <c r="K33898" s="18"/>
    </row>
    <row r="33899">
      <c r="B33899" s="17" t="s">
        <v>477</v>
      </c>
      <c r="K33899" s="18"/>
    </row>
    <row r="33900">
      <c r="B33900" s="17" t="s">
        <v>477</v>
      </c>
      <c r="K33900" s="18"/>
    </row>
    <row r="33901">
      <c r="B33901" s="17" t="s">
        <v>477</v>
      </c>
      <c r="K33901" s="18"/>
    </row>
    <row r="33902">
      <c r="B33902" s="17" t="s">
        <v>477</v>
      </c>
      <c r="K33902" s="18"/>
    </row>
    <row r="33903">
      <c r="B33903" s="17" t="s">
        <v>477</v>
      </c>
      <c r="K33903" s="18"/>
    </row>
    <row r="33904">
      <c r="B33904" s="17" t="s">
        <v>477</v>
      </c>
      <c r="K33904" s="18"/>
    </row>
    <row r="33905">
      <c r="B33905" s="17" t="s">
        <v>477</v>
      </c>
      <c r="K33905" s="18"/>
    </row>
    <row r="33906">
      <c r="B33906" s="17" t="s">
        <v>477</v>
      </c>
      <c r="K33906" s="18"/>
    </row>
    <row r="33907">
      <c r="B33907" s="17" t="s">
        <v>477</v>
      </c>
      <c r="K33907" s="18"/>
    </row>
    <row r="33908">
      <c r="B33908" s="17" t="s">
        <v>477</v>
      </c>
      <c r="K33908" s="18"/>
    </row>
    <row r="33909">
      <c r="B33909" s="17" t="s">
        <v>477</v>
      </c>
      <c r="K33909" s="18"/>
    </row>
    <row r="33910">
      <c r="B33910" s="17" t="s">
        <v>477</v>
      </c>
      <c r="K33910" s="18"/>
    </row>
    <row r="33911">
      <c r="B33911" s="17" t="s">
        <v>477</v>
      </c>
      <c r="K33911" s="18"/>
    </row>
    <row r="33912">
      <c r="B33912" s="17" t="s">
        <v>477</v>
      </c>
      <c r="K33912" s="18"/>
    </row>
    <row r="33913">
      <c r="B33913" s="17" t="s">
        <v>477</v>
      </c>
      <c r="K33913" s="18"/>
    </row>
    <row r="33914">
      <c r="B33914" s="17" t="s">
        <v>477</v>
      </c>
      <c r="K33914" s="18"/>
    </row>
    <row r="33915">
      <c r="B33915" s="17" t="s">
        <v>477</v>
      </c>
      <c r="K33915" s="18"/>
    </row>
    <row r="33916">
      <c r="B33916" s="17" t="s">
        <v>477</v>
      </c>
      <c r="K33916" s="18"/>
    </row>
    <row r="33917">
      <c r="B33917" s="17" t="s">
        <v>477</v>
      </c>
      <c r="K33917" s="18"/>
    </row>
    <row r="33918">
      <c r="B33918" s="17" t="s">
        <v>477</v>
      </c>
      <c r="K33918" s="18"/>
    </row>
    <row r="33919">
      <c r="B33919" s="17" t="s">
        <v>477</v>
      </c>
      <c r="K33919" s="18"/>
    </row>
    <row r="33920">
      <c r="B33920" s="17" t="s">
        <v>477</v>
      </c>
      <c r="K33920" s="18"/>
    </row>
    <row r="33921">
      <c r="B33921" s="17" t="s">
        <v>477</v>
      </c>
      <c r="K33921" s="18"/>
    </row>
    <row r="33922">
      <c r="B33922" s="17" t="s">
        <v>477</v>
      </c>
      <c r="K33922" s="18"/>
    </row>
    <row r="33923">
      <c r="B33923" s="17" t="s">
        <v>477</v>
      </c>
      <c r="K33923" s="18"/>
    </row>
    <row r="33924">
      <c r="B33924" s="17" t="s">
        <v>477</v>
      </c>
      <c r="K33924" s="18"/>
    </row>
    <row r="33925">
      <c r="B33925" s="17" t="s">
        <v>477</v>
      </c>
      <c r="K33925" s="18"/>
    </row>
    <row r="33926">
      <c r="B33926" s="17" t="s">
        <v>477</v>
      </c>
      <c r="K33926" s="18"/>
    </row>
    <row r="33927">
      <c r="B33927" s="17" t="s">
        <v>477</v>
      </c>
      <c r="K33927" s="18"/>
    </row>
    <row r="33928">
      <c r="B33928" s="17" t="s">
        <v>477</v>
      </c>
      <c r="K33928" s="18"/>
    </row>
    <row r="33929">
      <c r="B33929" s="17" t="s">
        <v>477</v>
      </c>
      <c r="K33929" s="18"/>
    </row>
    <row r="33930">
      <c r="B33930" s="17" t="s">
        <v>477</v>
      </c>
      <c r="K33930" s="18"/>
    </row>
    <row r="33931">
      <c r="B33931" s="17" t="s">
        <v>477</v>
      </c>
      <c r="K33931" s="18"/>
    </row>
    <row r="33932">
      <c r="B33932" s="17" t="s">
        <v>477</v>
      </c>
      <c r="K33932" s="18"/>
    </row>
    <row r="33933">
      <c r="B33933" s="17" t="s">
        <v>477</v>
      </c>
      <c r="K33933" s="18"/>
    </row>
    <row r="33934">
      <c r="B33934" s="17" t="s">
        <v>477</v>
      </c>
      <c r="K33934" s="18"/>
    </row>
    <row r="33935">
      <c r="B33935" s="17" t="s">
        <v>477</v>
      </c>
      <c r="K33935" s="18"/>
    </row>
    <row r="33936">
      <c r="B33936" s="17" t="s">
        <v>477</v>
      </c>
      <c r="K33936" s="18"/>
    </row>
    <row r="33937">
      <c r="B33937" s="17" t="s">
        <v>477</v>
      </c>
      <c r="K33937" s="18"/>
    </row>
    <row r="33938">
      <c r="B33938" s="17" t="s">
        <v>477</v>
      </c>
      <c r="K33938" s="18"/>
    </row>
    <row r="33939">
      <c r="B33939" s="17" t="s">
        <v>477</v>
      </c>
      <c r="K33939" s="18"/>
    </row>
    <row r="33940">
      <c r="B33940" s="17" t="s">
        <v>477</v>
      </c>
      <c r="K33940" s="18"/>
    </row>
    <row r="33941">
      <c r="B33941" s="17" t="s">
        <v>477</v>
      </c>
      <c r="K33941" s="18"/>
    </row>
    <row r="33942">
      <c r="B33942" s="17" t="s">
        <v>477</v>
      </c>
      <c r="K33942" s="18"/>
    </row>
    <row r="33943">
      <c r="B33943" s="17" t="s">
        <v>477</v>
      </c>
      <c r="K33943" s="18"/>
    </row>
    <row r="33944">
      <c r="B33944" s="17" t="s">
        <v>477</v>
      </c>
      <c r="K33944" s="18"/>
    </row>
    <row r="33945">
      <c r="B33945" s="17" t="s">
        <v>477</v>
      </c>
      <c r="K33945" s="18"/>
    </row>
    <row r="33946">
      <c r="B33946" s="17" t="s">
        <v>477</v>
      </c>
      <c r="K33946" s="18"/>
    </row>
    <row r="33947">
      <c r="B33947" s="17" t="s">
        <v>477</v>
      </c>
      <c r="K33947" s="18"/>
    </row>
    <row r="33948">
      <c r="B33948" s="17" t="s">
        <v>477</v>
      </c>
      <c r="K33948" s="18"/>
    </row>
    <row r="33949">
      <c r="B33949" s="17" t="s">
        <v>477</v>
      </c>
      <c r="K33949" s="18"/>
    </row>
    <row r="33950">
      <c r="B33950" s="17" t="s">
        <v>477</v>
      </c>
      <c r="K33950" s="18"/>
    </row>
    <row r="33951">
      <c r="B33951" s="17" t="s">
        <v>477</v>
      </c>
      <c r="K33951" s="18"/>
    </row>
    <row r="33952">
      <c r="B33952" s="17" t="s">
        <v>477</v>
      </c>
      <c r="K33952" s="18"/>
    </row>
    <row r="33953">
      <c r="B33953" s="17" t="s">
        <v>477</v>
      </c>
      <c r="K33953" s="18"/>
    </row>
    <row r="33954">
      <c r="B33954" s="17" t="s">
        <v>477</v>
      </c>
      <c r="K33954" s="18"/>
    </row>
    <row r="33955">
      <c r="B33955" s="17" t="s">
        <v>477</v>
      </c>
      <c r="K33955" s="18"/>
    </row>
    <row r="33956">
      <c r="B33956" s="17" t="s">
        <v>477</v>
      </c>
      <c r="K33956" s="18"/>
    </row>
    <row r="33957">
      <c r="B33957" s="17" t="s">
        <v>477</v>
      </c>
      <c r="K33957" s="18"/>
    </row>
    <row r="33958">
      <c r="B33958" s="17" t="s">
        <v>477</v>
      </c>
      <c r="K33958" s="18"/>
    </row>
    <row r="33959">
      <c r="B33959" s="17" t="s">
        <v>477</v>
      </c>
      <c r="K33959" s="18"/>
    </row>
    <row r="33960">
      <c r="B33960" s="17" t="s">
        <v>477</v>
      </c>
      <c r="K33960" s="18"/>
    </row>
    <row r="33961">
      <c r="B33961" s="17" t="s">
        <v>477</v>
      </c>
      <c r="K33961" s="18"/>
    </row>
    <row r="33962">
      <c r="B33962" s="17" t="s">
        <v>477</v>
      </c>
      <c r="K33962" s="18"/>
    </row>
    <row r="33963">
      <c r="B33963" s="17" t="s">
        <v>477</v>
      </c>
      <c r="K33963" s="18"/>
    </row>
    <row r="33964">
      <c r="B33964" s="17" t="s">
        <v>477</v>
      </c>
      <c r="K33964" s="18"/>
    </row>
    <row r="33965">
      <c r="B33965" s="17" t="s">
        <v>477</v>
      </c>
      <c r="K33965" s="18"/>
    </row>
    <row r="33966">
      <c r="B33966" s="17" t="s">
        <v>477</v>
      </c>
      <c r="K33966" s="18"/>
    </row>
    <row r="33967">
      <c r="B33967" s="17" t="s">
        <v>477</v>
      </c>
      <c r="K33967" s="18"/>
    </row>
    <row r="33968">
      <c r="B33968" s="17" t="s">
        <v>477</v>
      </c>
      <c r="K33968" s="18"/>
    </row>
    <row r="33969">
      <c r="B33969" s="17" t="s">
        <v>477</v>
      </c>
      <c r="K33969" s="18"/>
    </row>
    <row r="33970">
      <c r="B33970" s="17" t="s">
        <v>477</v>
      </c>
      <c r="K33970" s="18"/>
    </row>
    <row r="33971">
      <c r="B33971" s="17" t="s">
        <v>477</v>
      </c>
      <c r="K33971" s="18"/>
    </row>
    <row r="33972">
      <c r="B33972" s="17" t="s">
        <v>477</v>
      </c>
      <c r="K33972" s="18"/>
    </row>
    <row r="33973">
      <c r="B33973" s="17" t="s">
        <v>477</v>
      </c>
      <c r="K33973" s="18"/>
    </row>
    <row r="33974">
      <c r="B33974" s="17" t="s">
        <v>477</v>
      </c>
      <c r="K33974" s="18"/>
    </row>
    <row r="33975">
      <c r="B33975" s="17" t="s">
        <v>477</v>
      </c>
      <c r="K33975" s="18"/>
    </row>
    <row r="33976">
      <c r="B33976" s="17" t="s">
        <v>477</v>
      </c>
      <c r="K33976" s="18"/>
    </row>
    <row r="33977">
      <c r="B33977" s="17" t="s">
        <v>477</v>
      </c>
      <c r="K33977" s="18"/>
    </row>
    <row r="33978">
      <c r="B33978" s="17" t="s">
        <v>477</v>
      </c>
      <c r="K33978" s="18"/>
    </row>
    <row r="33979">
      <c r="B33979" s="17" t="s">
        <v>477</v>
      </c>
      <c r="K33979" s="18"/>
    </row>
    <row r="33980">
      <c r="B33980" s="17" t="s">
        <v>477</v>
      </c>
      <c r="K33980" s="18"/>
    </row>
    <row r="33981">
      <c r="B33981" s="17" t="s">
        <v>477</v>
      </c>
      <c r="K33981" s="18"/>
    </row>
    <row r="33982">
      <c r="B33982" s="17" t="s">
        <v>477</v>
      </c>
      <c r="K33982" s="18"/>
    </row>
    <row r="33983">
      <c r="B33983" s="17" t="s">
        <v>477</v>
      </c>
      <c r="K33983" s="18"/>
    </row>
    <row r="33984">
      <c r="B33984" s="17" t="s">
        <v>477</v>
      </c>
      <c r="K33984" s="18"/>
    </row>
    <row r="33985">
      <c r="B33985" s="17" t="s">
        <v>477</v>
      </c>
      <c r="K33985" s="18"/>
    </row>
    <row r="33986">
      <c r="B33986" s="17" t="s">
        <v>477</v>
      </c>
      <c r="K33986" s="18"/>
    </row>
    <row r="33987">
      <c r="B33987" s="17" t="s">
        <v>477</v>
      </c>
      <c r="K33987" s="18"/>
    </row>
    <row r="33988">
      <c r="B33988" s="17" t="s">
        <v>477</v>
      </c>
      <c r="K33988" s="18"/>
    </row>
    <row r="33989">
      <c r="B33989" s="17" t="s">
        <v>477</v>
      </c>
      <c r="K33989" s="18"/>
    </row>
    <row r="33990">
      <c r="B33990" s="17" t="s">
        <v>477</v>
      </c>
      <c r="K33990" s="18"/>
    </row>
    <row r="33991">
      <c r="B33991" s="17" t="s">
        <v>477</v>
      </c>
      <c r="K33991" s="18"/>
    </row>
    <row r="33992">
      <c r="B33992" s="17" t="s">
        <v>477</v>
      </c>
      <c r="K33992" s="18"/>
    </row>
    <row r="33993">
      <c r="B33993" s="17" t="s">
        <v>477</v>
      </c>
      <c r="K33993" s="18"/>
    </row>
    <row r="33994">
      <c r="B33994" s="17" t="s">
        <v>477</v>
      </c>
      <c r="K33994" s="18"/>
    </row>
    <row r="33995">
      <c r="B33995" s="17" t="s">
        <v>477</v>
      </c>
      <c r="K33995" s="18"/>
    </row>
    <row r="33996">
      <c r="B33996" s="17" t="s">
        <v>477</v>
      </c>
      <c r="K33996" s="18"/>
    </row>
    <row r="33997">
      <c r="B33997" s="17" t="s">
        <v>477</v>
      </c>
      <c r="K33997" s="18"/>
    </row>
    <row r="33998">
      <c r="B33998" s="17" t="s">
        <v>477</v>
      </c>
      <c r="K33998" s="18"/>
    </row>
    <row r="33999">
      <c r="B33999" s="17" t="s">
        <v>477</v>
      </c>
      <c r="K33999" s="18"/>
    </row>
    <row r="34000">
      <c r="B34000" s="17" t="s">
        <v>477</v>
      </c>
      <c r="K34000" s="18"/>
    </row>
    <row r="34001">
      <c r="B34001" s="17" t="s">
        <v>477</v>
      </c>
      <c r="K34001" s="18"/>
    </row>
    <row r="34002">
      <c r="B34002" s="17" t="s">
        <v>477</v>
      </c>
      <c r="K34002" s="18"/>
    </row>
    <row r="34003">
      <c r="B34003" s="17" t="s">
        <v>477</v>
      </c>
      <c r="K34003" s="18"/>
    </row>
    <row r="34004">
      <c r="B34004" s="17" t="s">
        <v>477</v>
      </c>
      <c r="K34004" s="18"/>
    </row>
    <row r="34005">
      <c r="B34005" s="17" t="s">
        <v>477</v>
      </c>
      <c r="K34005" s="18"/>
    </row>
    <row r="34006">
      <c r="B34006" s="17" t="s">
        <v>477</v>
      </c>
      <c r="K34006" s="18"/>
    </row>
    <row r="34007">
      <c r="B34007" s="17" t="s">
        <v>477</v>
      </c>
      <c r="K34007" s="18"/>
    </row>
    <row r="34008">
      <c r="B34008" s="17" t="s">
        <v>477</v>
      </c>
      <c r="K34008" s="18"/>
    </row>
    <row r="34009">
      <c r="B34009" s="17" t="s">
        <v>477</v>
      </c>
      <c r="K34009" s="18"/>
    </row>
    <row r="34010">
      <c r="B34010" s="17" t="s">
        <v>477</v>
      </c>
      <c r="K34010" s="18"/>
    </row>
    <row r="34011">
      <c r="B34011" s="17" t="s">
        <v>477</v>
      </c>
      <c r="K34011" s="18"/>
    </row>
    <row r="34012">
      <c r="B34012" s="17" t="s">
        <v>477</v>
      </c>
      <c r="K34012" s="18"/>
    </row>
    <row r="34013">
      <c r="B34013" s="17" t="s">
        <v>477</v>
      </c>
      <c r="K34013" s="18"/>
    </row>
    <row r="34014">
      <c r="B34014" s="17" t="s">
        <v>477</v>
      </c>
      <c r="K34014" s="18"/>
    </row>
    <row r="34015">
      <c r="B34015" s="17" t="s">
        <v>477</v>
      </c>
      <c r="K34015" s="18"/>
    </row>
    <row r="34016">
      <c r="B34016" s="17" t="s">
        <v>477</v>
      </c>
      <c r="K34016" s="18"/>
    </row>
    <row r="34017">
      <c r="B34017" s="17" t="s">
        <v>477</v>
      </c>
      <c r="K34017" s="18"/>
    </row>
    <row r="34018">
      <c r="B34018" s="17" t="s">
        <v>477</v>
      </c>
      <c r="K34018" s="18"/>
    </row>
    <row r="34019">
      <c r="B34019" s="17" t="s">
        <v>477</v>
      </c>
      <c r="K34019" s="18"/>
    </row>
    <row r="34020">
      <c r="B34020" s="17" t="s">
        <v>477</v>
      </c>
      <c r="K34020" s="18"/>
    </row>
    <row r="34021">
      <c r="B34021" s="17" t="s">
        <v>477</v>
      </c>
      <c r="K34021" s="18"/>
    </row>
    <row r="34022">
      <c r="B34022" s="17" t="s">
        <v>477</v>
      </c>
      <c r="K34022" s="18"/>
    </row>
    <row r="34023">
      <c r="B34023" s="17" t="s">
        <v>477</v>
      </c>
      <c r="K34023" s="18"/>
    </row>
    <row r="34024">
      <c r="B34024" s="17" t="s">
        <v>477</v>
      </c>
      <c r="K34024" s="18"/>
    </row>
    <row r="34025">
      <c r="B34025" s="17" t="s">
        <v>477</v>
      </c>
      <c r="K34025" s="18"/>
    </row>
    <row r="34026">
      <c r="B34026" s="17" t="s">
        <v>477</v>
      </c>
      <c r="K34026" s="18"/>
    </row>
    <row r="34027">
      <c r="B34027" s="17" t="s">
        <v>477</v>
      </c>
      <c r="K34027" s="18"/>
    </row>
    <row r="34028">
      <c r="B34028" s="17" t="s">
        <v>477</v>
      </c>
      <c r="K34028" s="18"/>
    </row>
    <row r="34029">
      <c r="B34029" s="17" t="s">
        <v>477</v>
      </c>
      <c r="K34029" s="18"/>
    </row>
    <row r="34030">
      <c r="B34030" s="17" t="s">
        <v>477</v>
      </c>
      <c r="K34030" s="18"/>
    </row>
    <row r="34031">
      <c r="B34031" s="17" t="s">
        <v>477</v>
      </c>
      <c r="K34031" s="18"/>
    </row>
    <row r="34032">
      <c r="B34032" s="17" t="s">
        <v>477</v>
      </c>
      <c r="K34032" s="18"/>
    </row>
    <row r="34033">
      <c r="B34033" s="17" t="s">
        <v>477</v>
      </c>
      <c r="K34033" s="18"/>
    </row>
    <row r="34034">
      <c r="B34034" s="17" t="s">
        <v>477</v>
      </c>
      <c r="K34034" s="18"/>
    </row>
    <row r="34035">
      <c r="B34035" s="17" t="s">
        <v>477</v>
      </c>
      <c r="K34035" s="18"/>
    </row>
    <row r="34036">
      <c r="B34036" s="17" t="s">
        <v>477</v>
      </c>
      <c r="K34036" s="18"/>
    </row>
    <row r="34037">
      <c r="B34037" s="17" t="s">
        <v>477</v>
      </c>
      <c r="K34037" s="18"/>
    </row>
    <row r="34038">
      <c r="B34038" s="17" t="s">
        <v>477</v>
      </c>
      <c r="K34038" s="18"/>
    </row>
    <row r="34039">
      <c r="B34039" s="17" t="s">
        <v>477</v>
      </c>
      <c r="K34039" s="18"/>
    </row>
    <row r="34040">
      <c r="B34040" s="17" t="s">
        <v>477</v>
      </c>
      <c r="K34040" s="18"/>
    </row>
    <row r="34041">
      <c r="B34041" s="17" t="s">
        <v>477</v>
      </c>
      <c r="K34041" s="18"/>
    </row>
    <row r="34042">
      <c r="B34042" s="17" t="s">
        <v>477</v>
      </c>
      <c r="K34042" s="18"/>
    </row>
    <row r="34043">
      <c r="B34043" s="17" t="s">
        <v>477</v>
      </c>
      <c r="K34043" s="18"/>
    </row>
    <row r="34044">
      <c r="B34044" s="17" t="s">
        <v>477</v>
      </c>
      <c r="K34044" s="18"/>
    </row>
    <row r="34045">
      <c r="B34045" s="17" t="s">
        <v>477</v>
      </c>
      <c r="K34045" s="18"/>
    </row>
    <row r="34046">
      <c r="B34046" s="17" t="s">
        <v>477</v>
      </c>
      <c r="K34046" s="18"/>
    </row>
    <row r="34047">
      <c r="B34047" s="17" t="s">
        <v>477</v>
      </c>
      <c r="K34047" s="18"/>
    </row>
    <row r="34048">
      <c r="B34048" s="17" t="s">
        <v>477</v>
      </c>
      <c r="K34048" s="18"/>
    </row>
    <row r="34049">
      <c r="B34049" s="17" t="s">
        <v>477</v>
      </c>
      <c r="K34049" s="18"/>
    </row>
    <row r="34050">
      <c r="B34050" s="17" t="s">
        <v>477</v>
      </c>
      <c r="K34050" s="18"/>
    </row>
    <row r="34051">
      <c r="B34051" s="17" t="s">
        <v>477</v>
      </c>
      <c r="K34051" s="18"/>
    </row>
    <row r="34052">
      <c r="B34052" s="17" t="s">
        <v>477</v>
      </c>
      <c r="K34052" s="18"/>
    </row>
    <row r="34053">
      <c r="B34053" s="17" t="s">
        <v>477</v>
      </c>
      <c r="K34053" s="18"/>
    </row>
    <row r="34054">
      <c r="B34054" s="17" t="s">
        <v>477</v>
      </c>
      <c r="K34054" s="18"/>
    </row>
    <row r="34055">
      <c r="B34055" s="17" t="s">
        <v>477</v>
      </c>
      <c r="K34055" s="18"/>
    </row>
    <row r="34056">
      <c r="B34056" s="17" t="s">
        <v>477</v>
      </c>
      <c r="K34056" s="18"/>
    </row>
    <row r="34057">
      <c r="B34057" s="17" t="s">
        <v>477</v>
      </c>
      <c r="K34057" s="18"/>
    </row>
    <row r="34058">
      <c r="B34058" s="17" t="s">
        <v>477</v>
      </c>
      <c r="K34058" s="18"/>
    </row>
    <row r="34059">
      <c r="B34059" s="17" t="s">
        <v>477</v>
      </c>
      <c r="K34059" s="18"/>
    </row>
    <row r="34060">
      <c r="B34060" s="17" t="s">
        <v>477</v>
      </c>
      <c r="K34060" s="18"/>
    </row>
    <row r="34061">
      <c r="B34061" s="17" t="s">
        <v>477</v>
      </c>
      <c r="K34061" s="18"/>
    </row>
    <row r="34062">
      <c r="B34062" s="17" t="s">
        <v>477</v>
      </c>
      <c r="K34062" s="18"/>
    </row>
    <row r="34063">
      <c r="B34063" s="17" t="s">
        <v>477</v>
      </c>
      <c r="K34063" s="18"/>
    </row>
    <row r="34064">
      <c r="B34064" s="17" t="s">
        <v>477</v>
      </c>
      <c r="K34064" s="18"/>
    </row>
    <row r="34065">
      <c r="B34065" s="17" t="s">
        <v>477</v>
      </c>
      <c r="K34065" s="18"/>
    </row>
    <row r="34066">
      <c r="B34066" s="17" t="s">
        <v>477</v>
      </c>
      <c r="K34066" s="18"/>
    </row>
    <row r="34067">
      <c r="B34067" s="17" t="s">
        <v>477</v>
      </c>
      <c r="K34067" s="18"/>
    </row>
    <row r="34068">
      <c r="B34068" s="17" t="s">
        <v>477</v>
      </c>
      <c r="K34068" s="18"/>
    </row>
    <row r="34069">
      <c r="B34069" s="17" t="s">
        <v>477</v>
      </c>
      <c r="K34069" s="18"/>
    </row>
    <row r="34070">
      <c r="B34070" s="17" t="s">
        <v>477</v>
      </c>
      <c r="K34070" s="18"/>
    </row>
    <row r="34071">
      <c r="B34071" s="17" t="s">
        <v>477</v>
      </c>
      <c r="K34071" s="18"/>
    </row>
    <row r="34072">
      <c r="B34072" s="17" t="s">
        <v>477</v>
      </c>
      <c r="K34072" s="18"/>
    </row>
    <row r="34073">
      <c r="B34073" s="17" t="s">
        <v>477</v>
      </c>
      <c r="K34073" s="18"/>
    </row>
    <row r="34074">
      <c r="B34074" s="17" t="s">
        <v>477</v>
      </c>
      <c r="K34074" s="18"/>
    </row>
    <row r="34075">
      <c r="B34075" s="17" t="s">
        <v>477</v>
      </c>
      <c r="K34075" s="18"/>
    </row>
    <row r="34076">
      <c r="B34076" s="17" t="s">
        <v>477</v>
      </c>
      <c r="K34076" s="18"/>
    </row>
    <row r="34077">
      <c r="B34077" s="17" t="s">
        <v>477</v>
      </c>
      <c r="K34077" s="18"/>
    </row>
    <row r="34078">
      <c r="B34078" s="17" t="s">
        <v>477</v>
      </c>
      <c r="K34078" s="18"/>
    </row>
    <row r="34079">
      <c r="B34079" s="17" t="s">
        <v>477</v>
      </c>
      <c r="K34079" s="18"/>
    </row>
    <row r="34080">
      <c r="B34080" s="17" t="s">
        <v>477</v>
      </c>
      <c r="K34080" s="18"/>
    </row>
    <row r="34081">
      <c r="B34081" s="17" t="s">
        <v>477</v>
      </c>
      <c r="K34081" s="18"/>
    </row>
    <row r="34082">
      <c r="B34082" s="17" t="s">
        <v>477</v>
      </c>
      <c r="K34082" s="18"/>
    </row>
    <row r="34083">
      <c r="B34083" s="17" t="s">
        <v>477</v>
      </c>
      <c r="K34083" s="18"/>
    </row>
    <row r="34084">
      <c r="B34084" s="17" t="s">
        <v>477</v>
      </c>
      <c r="K34084" s="18"/>
    </row>
    <row r="34085">
      <c r="B34085" s="17" t="s">
        <v>477</v>
      </c>
      <c r="K34085" s="18"/>
    </row>
    <row r="34086">
      <c r="B34086" s="17" t="s">
        <v>477</v>
      </c>
      <c r="K34086" s="18"/>
    </row>
    <row r="34087">
      <c r="B34087" s="17" t="s">
        <v>477</v>
      </c>
      <c r="K34087" s="18"/>
    </row>
    <row r="34088">
      <c r="B34088" s="17" t="s">
        <v>477</v>
      </c>
      <c r="K34088" s="18"/>
    </row>
    <row r="34089">
      <c r="B34089" s="17" t="s">
        <v>477</v>
      </c>
      <c r="K34089" s="18"/>
    </row>
    <row r="34090">
      <c r="B34090" s="17" t="s">
        <v>477</v>
      </c>
      <c r="K34090" s="18"/>
    </row>
    <row r="34091">
      <c r="B34091" s="17" t="s">
        <v>477</v>
      </c>
      <c r="K34091" s="18"/>
    </row>
    <row r="34092">
      <c r="B34092" s="17" t="s">
        <v>477</v>
      </c>
      <c r="K34092" s="18"/>
    </row>
    <row r="34093">
      <c r="B34093" s="17" t="s">
        <v>477</v>
      </c>
      <c r="K34093" s="18"/>
    </row>
    <row r="34094">
      <c r="B34094" s="17" t="s">
        <v>477</v>
      </c>
      <c r="K34094" s="18"/>
    </row>
    <row r="34095">
      <c r="B34095" s="17" t="s">
        <v>477</v>
      </c>
      <c r="K34095" s="18"/>
    </row>
    <row r="34096">
      <c r="B34096" s="17" t="s">
        <v>477</v>
      </c>
      <c r="K34096" s="18"/>
    </row>
    <row r="34097">
      <c r="B34097" s="17" t="s">
        <v>477</v>
      </c>
      <c r="K34097" s="18"/>
    </row>
    <row r="34098">
      <c r="B34098" s="17" t="s">
        <v>477</v>
      </c>
      <c r="K34098" s="18"/>
    </row>
    <row r="34099">
      <c r="B34099" s="17" t="s">
        <v>477</v>
      </c>
      <c r="K34099" s="18"/>
    </row>
    <row r="34100">
      <c r="B34100" s="17" t="s">
        <v>477</v>
      </c>
      <c r="K34100" s="18"/>
    </row>
    <row r="34101">
      <c r="B34101" s="17" t="s">
        <v>477</v>
      </c>
      <c r="K34101" s="18"/>
    </row>
    <row r="34102">
      <c r="B34102" s="17" t="s">
        <v>477</v>
      </c>
      <c r="K34102" s="18"/>
    </row>
    <row r="34103">
      <c r="B34103" s="17" t="s">
        <v>477</v>
      </c>
      <c r="K34103" s="18"/>
    </row>
    <row r="34104">
      <c r="B34104" s="17" t="s">
        <v>477</v>
      </c>
      <c r="K34104" s="18"/>
    </row>
    <row r="34105">
      <c r="B34105" s="17" t="s">
        <v>477</v>
      </c>
      <c r="K34105" s="18"/>
    </row>
    <row r="34106">
      <c r="B34106" s="17" t="s">
        <v>477</v>
      </c>
      <c r="K34106" s="18"/>
    </row>
    <row r="34107">
      <c r="B34107" s="17" t="s">
        <v>477</v>
      </c>
      <c r="K34107" s="18"/>
    </row>
    <row r="34108">
      <c r="B34108" s="17" t="s">
        <v>477</v>
      </c>
      <c r="K34108" s="18"/>
    </row>
    <row r="34109">
      <c r="B34109" s="17" t="s">
        <v>477</v>
      </c>
      <c r="K34109" s="18"/>
    </row>
    <row r="34110">
      <c r="B34110" s="17" t="s">
        <v>477</v>
      </c>
      <c r="K34110" s="18"/>
    </row>
    <row r="34111">
      <c r="B34111" s="17" t="s">
        <v>477</v>
      </c>
      <c r="K34111" s="18"/>
    </row>
    <row r="34112">
      <c r="B34112" s="17" t="s">
        <v>477</v>
      </c>
      <c r="K34112" s="18"/>
    </row>
    <row r="34113">
      <c r="B34113" s="17" t="s">
        <v>477</v>
      </c>
      <c r="K34113" s="18"/>
    </row>
    <row r="34114">
      <c r="B34114" s="17" t="s">
        <v>477</v>
      </c>
      <c r="K34114" s="18"/>
    </row>
    <row r="34115">
      <c r="B34115" s="17" t="s">
        <v>477</v>
      </c>
      <c r="K34115" s="18"/>
    </row>
    <row r="34116">
      <c r="B34116" s="17" t="s">
        <v>477</v>
      </c>
      <c r="K34116" s="18"/>
    </row>
    <row r="34117">
      <c r="B34117" s="17" t="s">
        <v>477</v>
      </c>
      <c r="K34117" s="18"/>
    </row>
    <row r="34118">
      <c r="B34118" s="17" t="s">
        <v>477</v>
      </c>
      <c r="K34118" s="18"/>
    </row>
    <row r="34119">
      <c r="B34119" s="17" t="s">
        <v>477</v>
      </c>
      <c r="K34119" s="18"/>
    </row>
    <row r="34120">
      <c r="B34120" s="17" t="s">
        <v>477</v>
      </c>
      <c r="K34120" s="18"/>
    </row>
    <row r="34121">
      <c r="B34121" s="17" t="s">
        <v>477</v>
      </c>
      <c r="K34121" s="18"/>
    </row>
    <row r="34122">
      <c r="B34122" s="17" t="s">
        <v>477</v>
      </c>
      <c r="K34122" s="18"/>
    </row>
    <row r="34123">
      <c r="B34123" s="17" t="s">
        <v>477</v>
      </c>
      <c r="K34123" s="18"/>
    </row>
    <row r="34124">
      <c r="B34124" s="17" t="s">
        <v>477</v>
      </c>
      <c r="K34124" s="18"/>
    </row>
    <row r="34125">
      <c r="B34125" s="17" t="s">
        <v>477</v>
      </c>
      <c r="K34125" s="18"/>
    </row>
    <row r="34126">
      <c r="B34126" s="17" t="s">
        <v>477</v>
      </c>
      <c r="K34126" s="18"/>
    </row>
    <row r="34127">
      <c r="B34127" s="17" t="s">
        <v>477</v>
      </c>
      <c r="K34127" s="18"/>
    </row>
    <row r="34128">
      <c r="B34128" s="17" t="s">
        <v>477</v>
      </c>
      <c r="K34128" s="18"/>
    </row>
    <row r="34129">
      <c r="B34129" s="17" t="s">
        <v>477</v>
      </c>
      <c r="K34129" s="18"/>
    </row>
    <row r="34130">
      <c r="B34130" s="17" t="s">
        <v>477</v>
      </c>
      <c r="K34130" s="18"/>
    </row>
    <row r="34131">
      <c r="B34131" s="17" t="s">
        <v>477</v>
      </c>
      <c r="K34131" s="18"/>
    </row>
    <row r="34132">
      <c r="B34132" s="17" t="s">
        <v>477</v>
      </c>
      <c r="K34132" s="18"/>
    </row>
    <row r="34133">
      <c r="B34133" s="17" t="s">
        <v>477</v>
      </c>
      <c r="K34133" s="18"/>
    </row>
    <row r="34134">
      <c r="B34134" s="17" t="s">
        <v>477</v>
      </c>
      <c r="K34134" s="18"/>
    </row>
    <row r="34135">
      <c r="B34135" s="17" t="s">
        <v>477</v>
      </c>
      <c r="K34135" s="18"/>
    </row>
    <row r="34136">
      <c r="B34136" s="17" t="s">
        <v>477</v>
      </c>
      <c r="K34136" s="18"/>
    </row>
    <row r="34137">
      <c r="B34137" s="17" t="s">
        <v>477</v>
      </c>
      <c r="K34137" s="18"/>
    </row>
    <row r="34138">
      <c r="B34138" s="17" t="s">
        <v>477</v>
      </c>
      <c r="K34138" s="18"/>
    </row>
    <row r="34139">
      <c r="B34139" s="17" t="s">
        <v>477</v>
      </c>
      <c r="K34139" s="18"/>
    </row>
    <row r="34140">
      <c r="B34140" s="17" t="s">
        <v>477</v>
      </c>
      <c r="K34140" s="18"/>
    </row>
    <row r="34141">
      <c r="B34141" s="17" t="s">
        <v>477</v>
      </c>
      <c r="K34141" s="18"/>
    </row>
    <row r="34142">
      <c r="B34142" s="17" t="s">
        <v>477</v>
      </c>
      <c r="K34142" s="18"/>
    </row>
    <row r="34143">
      <c r="B34143" s="17" t="s">
        <v>477</v>
      </c>
      <c r="K34143" s="18"/>
    </row>
    <row r="34144">
      <c r="B34144" s="17" t="s">
        <v>477</v>
      </c>
      <c r="K34144" s="18"/>
    </row>
    <row r="34145">
      <c r="B34145" s="17" t="s">
        <v>477</v>
      </c>
      <c r="K34145" s="18"/>
    </row>
    <row r="34146">
      <c r="B34146" s="17" t="s">
        <v>477</v>
      </c>
      <c r="K34146" s="18"/>
    </row>
    <row r="34147">
      <c r="B34147" s="17" t="s">
        <v>477</v>
      </c>
      <c r="K34147" s="18"/>
    </row>
    <row r="34148">
      <c r="B34148" s="17" t="s">
        <v>477</v>
      </c>
      <c r="K34148" s="18"/>
    </row>
    <row r="34149">
      <c r="B34149" s="17" t="s">
        <v>477</v>
      </c>
      <c r="K34149" s="18"/>
    </row>
    <row r="34150">
      <c r="B34150" s="17" t="s">
        <v>477</v>
      </c>
      <c r="K34150" s="18"/>
    </row>
    <row r="34151">
      <c r="B34151" s="17" t="s">
        <v>477</v>
      </c>
      <c r="K34151" s="18"/>
    </row>
    <row r="34152">
      <c r="B34152" s="17" t="s">
        <v>477</v>
      </c>
      <c r="K34152" s="18"/>
    </row>
    <row r="34153">
      <c r="B34153" s="17" t="s">
        <v>477</v>
      </c>
      <c r="K34153" s="18"/>
    </row>
    <row r="34154">
      <c r="B34154" s="17" t="s">
        <v>477</v>
      </c>
      <c r="K34154" s="18"/>
    </row>
    <row r="34155">
      <c r="B34155" s="17" t="s">
        <v>477</v>
      </c>
      <c r="K34155" s="18"/>
    </row>
    <row r="34156">
      <c r="B34156" s="17" t="s">
        <v>477</v>
      </c>
      <c r="K34156" s="18"/>
    </row>
    <row r="34157">
      <c r="B34157" s="17" t="s">
        <v>477</v>
      </c>
      <c r="K34157" s="18"/>
    </row>
    <row r="34158">
      <c r="B34158" s="17" t="s">
        <v>477</v>
      </c>
      <c r="K34158" s="18"/>
    </row>
    <row r="34159">
      <c r="B34159" s="17" t="s">
        <v>477</v>
      </c>
      <c r="K34159" s="18"/>
    </row>
    <row r="34160">
      <c r="B34160" s="17" t="s">
        <v>477</v>
      </c>
      <c r="K34160" s="18"/>
    </row>
    <row r="34161">
      <c r="B34161" s="17" t="s">
        <v>477</v>
      </c>
      <c r="K34161" s="18"/>
    </row>
    <row r="34162">
      <c r="B34162" s="17" t="s">
        <v>477</v>
      </c>
      <c r="K34162" s="18"/>
    </row>
    <row r="34163">
      <c r="B34163" s="17" t="s">
        <v>477</v>
      </c>
      <c r="K34163" s="18"/>
    </row>
    <row r="34164">
      <c r="B34164" s="17" t="s">
        <v>477</v>
      </c>
      <c r="K34164" s="18"/>
    </row>
    <row r="34165">
      <c r="B34165" s="17" t="s">
        <v>477</v>
      </c>
      <c r="K34165" s="18"/>
    </row>
    <row r="34166">
      <c r="B34166" s="17" t="s">
        <v>477</v>
      </c>
      <c r="K34166" s="18"/>
    </row>
    <row r="34167">
      <c r="B34167" s="17" t="s">
        <v>477</v>
      </c>
      <c r="K34167" s="18"/>
    </row>
    <row r="34168">
      <c r="B34168" s="17" t="s">
        <v>477</v>
      </c>
      <c r="K34168" s="18"/>
    </row>
    <row r="34169">
      <c r="B34169" s="17" t="s">
        <v>477</v>
      </c>
      <c r="K34169" s="18"/>
    </row>
    <row r="34170">
      <c r="B34170" s="17" t="s">
        <v>477</v>
      </c>
      <c r="K34170" s="18"/>
    </row>
    <row r="34171">
      <c r="B34171" s="17" t="s">
        <v>477</v>
      </c>
      <c r="K34171" s="18"/>
    </row>
    <row r="34172">
      <c r="B34172" s="17" t="s">
        <v>477</v>
      </c>
      <c r="K34172" s="18"/>
    </row>
    <row r="34173">
      <c r="B34173" s="17" t="s">
        <v>477</v>
      </c>
      <c r="K34173" s="18"/>
    </row>
    <row r="34174">
      <c r="B34174" s="17" t="s">
        <v>477</v>
      </c>
      <c r="K34174" s="18"/>
    </row>
    <row r="34175">
      <c r="B34175" s="17" t="s">
        <v>477</v>
      </c>
      <c r="K34175" s="18"/>
    </row>
    <row r="34176">
      <c r="B34176" s="17" t="s">
        <v>477</v>
      </c>
      <c r="K34176" s="18"/>
    </row>
    <row r="34177">
      <c r="B34177" s="17" t="s">
        <v>477</v>
      </c>
      <c r="K34177" s="18"/>
    </row>
    <row r="34178">
      <c r="B34178" s="17" t="s">
        <v>477</v>
      </c>
      <c r="K34178" s="18"/>
    </row>
    <row r="34179">
      <c r="B34179" s="17" t="s">
        <v>477</v>
      </c>
      <c r="K34179" s="18"/>
    </row>
    <row r="34180">
      <c r="B34180" s="17" t="s">
        <v>477</v>
      </c>
      <c r="K34180" s="18"/>
    </row>
    <row r="34181">
      <c r="B34181" s="17" t="s">
        <v>477</v>
      </c>
      <c r="K34181" s="18"/>
    </row>
    <row r="34182">
      <c r="B34182" s="17" t="s">
        <v>477</v>
      </c>
      <c r="K34182" s="18"/>
    </row>
    <row r="34183">
      <c r="B34183" s="17" t="s">
        <v>477</v>
      </c>
      <c r="K34183" s="18"/>
    </row>
    <row r="34184">
      <c r="B34184" s="17" t="s">
        <v>477</v>
      </c>
      <c r="K34184" s="18"/>
    </row>
    <row r="34185">
      <c r="B34185" s="17" t="s">
        <v>477</v>
      </c>
      <c r="K34185" s="18"/>
    </row>
    <row r="34186">
      <c r="B34186" s="17" t="s">
        <v>477</v>
      </c>
      <c r="K34186" s="18"/>
    </row>
    <row r="34187">
      <c r="B34187" s="17" t="s">
        <v>477</v>
      </c>
      <c r="K34187" s="18"/>
    </row>
    <row r="34188">
      <c r="B34188" s="17" t="s">
        <v>477</v>
      </c>
      <c r="K34188" s="18"/>
    </row>
    <row r="34189">
      <c r="B34189" s="17" t="s">
        <v>477</v>
      </c>
      <c r="K34189" s="18"/>
    </row>
    <row r="34190">
      <c r="B34190" s="17" t="s">
        <v>477</v>
      </c>
      <c r="K34190" s="18"/>
    </row>
    <row r="34191">
      <c r="B34191" s="17" t="s">
        <v>477</v>
      </c>
      <c r="K34191" s="18"/>
    </row>
    <row r="34192">
      <c r="B34192" s="17" t="s">
        <v>477</v>
      </c>
      <c r="K34192" s="18"/>
    </row>
    <row r="34193">
      <c r="B34193" s="17" t="s">
        <v>477</v>
      </c>
      <c r="K34193" s="18"/>
    </row>
    <row r="34194">
      <c r="B34194" s="17" t="s">
        <v>477</v>
      </c>
      <c r="K34194" s="18"/>
    </row>
    <row r="34195">
      <c r="B34195" s="17" t="s">
        <v>477</v>
      </c>
      <c r="K34195" s="18"/>
    </row>
    <row r="34196">
      <c r="B34196" s="17" t="s">
        <v>477</v>
      </c>
      <c r="K34196" s="18"/>
    </row>
    <row r="34197">
      <c r="B34197" s="17" t="s">
        <v>477</v>
      </c>
      <c r="K34197" s="18"/>
    </row>
    <row r="34198">
      <c r="B34198" s="17" t="s">
        <v>477</v>
      </c>
      <c r="K34198" s="18"/>
    </row>
    <row r="34199">
      <c r="B34199" s="17" t="s">
        <v>477</v>
      </c>
      <c r="K34199" s="18"/>
    </row>
    <row r="34200">
      <c r="B34200" s="17" t="s">
        <v>477</v>
      </c>
      <c r="K34200" s="18"/>
    </row>
    <row r="34201">
      <c r="B34201" s="17" t="s">
        <v>477</v>
      </c>
      <c r="K34201" s="18"/>
    </row>
    <row r="34202">
      <c r="B34202" s="17" t="s">
        <v>477</v>
      </c>
      <c r="K34202" s="18"/>
    </row>
    <row r="34203">
      <c r="B34203" s="17" t="s">
        <v>477</v>
      </c>
      <c r="K34203" s="18"/>
    </row>
    <row r="34204">
      <c r="B34204" s="17" t="s">
        <v>477</v>
      </c>
      <c r="K34204" s="18"/>
    </row>
    <row r="34205">
      <c r="B34205" s="17" t="s">
        <v>477</v>
      </c>
      <c r="K34205" s="18"/>
    </row>
    <row r="34206">
      <c r="B34206" s="17" t="s">
        <v>477</v>
      </c>
      <c r="K34206" s="18"/>
    </row>
    <row r="34207">
      <c r="B34207" s="17" t="s">
        <v>477</v>
      </c>
      <c r="K34207" s="18"/>
    </row>
    <row r="34208">
      <c r="B34208" s="17" t="s">
        <v>477</v>
      </c>
      <c r="K34208" s="18"/>
    </row>
    <row r="34209">
      <c r="B34209" s="17" t="s">
        <v>477</v>
      </c>
      <c r="K34209" s="18"/>
    </row>
    <row r="34210">
      <c r="B34210" s="17" t="s">
        <v>477</v>
      </c>
      <c r="K34210" s="18"/>
    </row>
    <row r="34211">
      <c r="B34211" s="17" t="s">
        <v>477</v>
      </c>
      <c r="K34211" s="18"/>
    </row>
    <row r="34212">
      <c r="B34212" s="17" t="s">
        <v>477</v>
      </c>
      <c r="K34212" s="18"/>
    </row>
    <row r="34213">
      <c r="B34213" s="17" t="s">
        <v>477</v>
      </c>
      <c r="K34213" s="18"/>
    </row>
    <row r="34214">
      <c r="B34214" s="17" t="s">
        <v>477</v>
      </c>
      <c r="K34214" s="18"/>
    </row>
    <row r="34215">
      <c r="B34215" s="17" t="s">
        <v>477</v>
      </c>
      <c r="K34215" s="18"/>
    </row>
    <row r="34216">
      <c r="B34216" s="17" t="s">
        <v>477</v>
      </c>
      <c r="K34216" s="18"/>
    </row>
    <row r="34217">
      <c r="B34217" s="17" t="s">
        <v>477</v>
      </c>
      <c r="K34217" s="18"/>
    </row>
    <row r="34218">
      <c r="B34218" s="17" t="s">
        <v>477</v>
      </c>
      <c r="K34218" s="18"/>
    </row>
    <row r="34219">
      <c r="B34219" s="17" t="s">
        <v>477</v>
      </c>
      <c r="K34219" s="18"/>
    </row>
    <row r="34220">
      <c r="B34220" s="17" t="s">
        <v>477</v>
      </c>
      <c r="K34220" s="18"/>
    </row>
    <row r="34221">
      <c r="B34221" s="17" t="s">
        <v>477</v>
      </c>
      <c r="K34221" s="18"/>
    </row>
    <row r="34222">
      <c r="B34222" s="17" t="s">
        <v>477</v>
      </c>
      <c r="K34222" s="18"/>
    </row>
    <row r="34223">
      <c r="B34223" s="17" t="s">
        <v>477</v>
      </c>
      <c r="K34223" s="18"/>
    </row>
    <row r="34224">
      <c r="B34224" s="17" t="s">
        <v>477</v>
      </c>
      <c r="K34224" s="18"/>
    </row>
    <row r="34225">
      <c r="B34225" s="17" t="s">
        <v>477</v>
      </c>
      <c r="K34225" s="18"/>
    </row>
    <row r="34226">
      <c r="B34226" s="17" t="s">
        <v>477</v>
      </c>
      <c r="K34226" s="18"/>
    </row>
    <row r="34227">
      <c r="B34227" s="17" t="s">
        <v>477</v>
      </c>
      <c r="K34227" s="18"/>
    </row>
    <row r="34228">
      <c r="B34228" s="17" t="s">
        <v>477</v>
      </c>
      <c r="K34228" s="18"/>
    </row>
    <row r="34229">
      <c r="B34229" s="17" t="s">
        <v>477</v>
      </c>
      <c r="K34229" s="18"/>
    </row>
    <row r="34230">
      <c r="B34230" s="17" t="s">
        <v>477</v>
      </c>
      <c r="K34230" s="18"/>
    </row>
    <row r="34231">
      <c r="B34231" s="17" t="s">
        <v>477</v>
      </c>
      <c r="K34231" s="18"/>
    </row>
    <row r="34232">
      <c r="B34232" s="17" t="s">
        <v>477</v>
      </c>
      <c r="K34232" s="18"/>
    </row>
    <row r="34233">
      <c r="B34233" s="17" t="s">
        <v>477</v>
      </c>
      <c r="K34233" s="18"/>
    </row>
    <row r="34234">
      <c r="B34234" s="17" t="s">
        <v>477</v>
      </c>
      <c r="K34234" s="18"/>
    </row>
    <row r="34235">
      <c r="B34235" s="17" t="s">
        <v>477</v>
      </c>
      <c r="K34235" s="18"/>
    </row>
    <row r="34236">
      <c r="B34236" s="17" t="s">
        <v>477</v>
      </c>
      <c r="K34236" s="18"/>
    </row>
    <row r="34237">
      <c r="B34237" s="17" t="s">
        <v>477</v>
      </c>
      <c r="K34237" s="18"/>
    </row>
    <row r="34238">
      <c r="B34238" s="17" t="s">
        <v>477</v>
      </c>
      <c r="K34238" s="18"/>
    </row>
    <row r="34239">
      <c r="B34239" s="17" t="s">
        <v>477</v>
      </c>
      <c r="K34239" s="18"/>
    </row>
    <row r="34240">
      <c r="B34240" s="17" t="s">
        <v>477</v>
      </c>
      <c r="K34240" s="18"/>
    </row>
    <row r="34241">
      <c r="B34241" s="17" t="s">
        <v>477</v>
      </c>
      <c r="K34241" s="18"/>
    </row>
    <row r="34242">
      <c r="B34242" s="17" t="s">
        <v>477</v>
      </c>
      <c r="K34242" s="18"/>
    </row>
    <row r="34243">
      <c r="B34243" s="17" t="s">
        <v>477</v>
      </c>
      <c r="K34243" s="18"/>
    </row>
    <row r="34244">
      <c r="B34244" s="17" t="s">
        <v>477</v>
      </c>
      <c r="K34244" s="18"/>
    </row>
    <row r="34245">
      <c r="B34245" s="17" t="s">
        <v>477</v>
      </c>
      <c r="K34245" s="18"/>
    </row>
    <row r="34246">
      <c r="B34246" s="17" t="s">
        <v>477</v>
      </c>
      <c r="K34246" s="18"/>
    </row>
    <row r="34247">
      <c r="B34247" s="17" t="s">
        <v>477</v>
      </c>
      <c r="K34247" s="18"/>
    </row>
    <row r="34248">
      <c r="B34248" s="17" t="s">
        <v>477</v>
      </c>
      <c r="K34248" s="18"/>
    </row>
    <row r="34249">
      <c r="B34249" s="17" t="s">
        <v>477</v>
      </c>
      <c r="K34249" s="18"/>
    </row>
    <row r="34250">
      <c r="B34250" s="17" t="s">
        <v>477</v>
      </c>
      <c r="K34250" s="18"/>
    </row>
    <row r="34251">
      <c r="B34251" s="17" t="s">
        <v>477</v>
      </c>
      <c r="K34251" s="18"/>
    </row>
    <row r="34252">
      <c r="B34252" s="17" t="s">
        <v>477</v>
      </c>
      <c r="K34252" s="18"/>
    </row>
    <row r="34253">
      <c r="B34253" s="17" t="s">
        <v>477</v>
      </c>
      <c r="K34253" s="18"/>
    </row>
    <row r="34254">
      <c r="B34254" s="17" t="s">
        <v>477</v>
      </c>
      <c r="K34254" s="18"/>
    </row>
    <row r="34255">
      <c r="B34255" s="17" t="s">
        <v>477</v>
      </c>
      <c r="K34255" s="18"/>
    </row>
    <row r="34256">
      <c r="B34256" s="17" t="s">
        <v>477</v>
      </c>
      <c r="K34256" s="18"/>
    </row>
    <row r="34257">
      <c r="B34257" s="17" t="s">
        <v>477</v>
      </c>
      <c r="K34257" s="18"/>
    </row>
    <row r="34258">
      <c r="B34258" s="17" t="s">
        <v>477</v>
      </c>
      <c r="K34258" s="18"/>
    </row>
    <row r="34259">
      <c r="B34259" s="17" t="s">
        <v>477</v>
      </c>
      <c r="K34259" s="18"/>
    </row>
    <row r="34260">
      <c r="B34260" s="17" t="s">
        <v>477</v>
      </c>
      <c r="K34260" s="18"/>
    </row>
    <row r="34261">
      <c r="B34261" s="17" t="s">
        <v>477</v>
      </c>
      <c r="K34261" s="18"/>
    </row>
    <row r="34262">
      <c r="B34262" s="17" t="s">
        <v>477</v>
      </c>
      <c r="K34262" s="18"/>
    </row>
    <row r="34263">
      <c r="B34263" s="17" t="s">
        <v>477</v>
      </c>
      <c r="K34263" s="18"/>
    </row>
    <row r="34264">
      <c r="B34264" s="17" t="s">
        <v>477</v>
      </c>
      <c r="K34264" s="18"/>
    </row>
    <row r="34265">
      <c r="B34265" s="17" t="s">
        <v>477</v>
      </c>
      <c r="K34265" s="18"/>
    </row>
    <row r="34266">
      <c r="B34266" s="17" t="s">
        <v>477</v>
      </c>
      <c r="K34266" s="18"/>
    </row>
    <row r="34267">
      <c r="B34267" s="17" t="s">
        <v>477</v>
      </c>
      <c r="K34267" s="18"/>
    </row>
    <row r="34268">
      <c r="B34268" s="17" t="s">
        <v>477</v>
      </c>
      <c r="K34268" s="18"/>
    </row>
    <row r="34269">
      <c r="B34269" s="17" t="s">
        <v>477</v>
      </c>
      <c r="K34269" s="18"/>
    </row>
    <row r="34270">
      <c r="B34270" s="17" t="s">
        <v>477</v>
      </c>
      <c r="K34270" s="18"/>
    </row>
    <row r="34271">
      <c r="B34271" s="17" t="s">
        <v>477</v>
      </c>
      <c r="K34271" s="18"/>
    </row>
    <row r="34272">
      <c r="B34272" s="17" t="s">
        <v>477</v>
      </c>
      <c r="K34272" s="18"/>
    </row>
    <row r="34273">
      <c r="B34273" s="17" t="s">
        <v>477</v>
      </c>
      <c r="K34273" s="18"/>
    </row>
    <row r="34274">
      <c r="B34274" s="17" t="s">
        <v>477</v>
      </c>
      <c r="K34274" s="18"/>
    </row>
    <row r="34275">
      <c r="B34275" s="17" t="s">
        <v>477</v>
      </c>
      <c r="K34275" s="18"/>
    </row>
    <row r="34276">
      <c r="B34276" s="17" t="s">
        <v>477</v>
      </c>
      <c r="K34276" s="18"/>
    </row>
    <row r="34277">
      <c r="B34277" s="17" t="s">
        <v>477</v>
      </c>
      <c r="K34277" s="18"/>
    </row>
    <row r="34278">
      <c r="B34278" s="17" t="s">
        <v>477</v>
      </c>
      <c r="K34278" s="18"/>
    </row>
    <row r="34279">
      <c r="B34279" s="17" t="s">
        <v>477</v>
      </c>
      <c r="K34279" s="18"/>
    </row>
    <row r="34280">
      <c r="B34280" s="17" t="s">
        <v>477</v>
      </c>
      <c r="K34280" s="18"/>
    </row>
    <row r="34281">
      <c r="B34281" s="17" t="s">
        <v>477</v>
      </c>
      <c r="K34281" s="18"/>
    </row>
    <row r="34282">
      <c r="B34282" s="17" t="s">
        <v>477</v>
      </c>
      <c r="K34282" s="18"/>
    </row>
    <row r="34283">
      <c r="B34283" s="17" t="s">
        <v>477</v>
      </c>
      <c r="K34283" s="18"/>
    </row>
    <row r="34284">
      <c r="B34284" s="17" t="s">
        <v>477</v>
      </c>
      <c r="K34284" s="18"/>
    </row>
    <row r="34285">
      <c r="B34285" s="17" t="s">
        <v>477</v>
      </c>
      <c r="K34285" s="18"/>
    </row>
    <row r="34286">
      <c r="B34286" s="17" t="s">
        <v>477</v>
      </c>
      <c r="K34286" s="18"/>
    </row>
    <row r="34287">
      <c r="B34287" s="17" t="s">
        <v>477</v>
      </c>
      <c r="K34287" s="18"/>
    </row>
    <row r="34288">
      <c r="B34288" s="17" t="s">
        <v>477</v>
      </c>
      <c r="K34288" s="18"/>
    </row>
    <row r="34289">
      <c r="B34289" s="17" t="s">
        <v>477</v>
      </c>
      <c r="K34289" s="18"/>
    </row>
    <row r="34290">
      <c r="B34290" s="17" t="s">
        <v>477</v>
      </c>
      <c r="K34290" s="18"/>
    </row>
    <row r="34291">
      <c r="B34291" s="17" t="s">
        <v>477</v>
      </c>
      <c r="K34291" s="18"/>
    </row>
    <row r="34292">
      <c r="B34292" s="17" t="s">
        <v>477</v>
      </c>
      <c r="K34292" s="18"/>
    </row>
    <row r="34293">
      <c r="B34293" s="17" t="s">
        <v>477</v>
      </c>
      <c r="K34293" s="18"/>
    </row>
    <row r="34294">
      <c r="B34294" s="17" t="s">
        <v>477</v>
      </c>
      <c r="K34294" s="18"/>
    </row>
    <row r="34295">
      <c r="B34295" s="17" t="s">
        <v>477</v>
      </c>
      <c r="K34295" s="18"/>
    </row>
    <row r="34296">
      <c r="B34296" s="17" t="s">
        <v>477</v>
      </c>
      <c r="K34296" s="18"/>
    </row>
    <row r="34297">
      <c r="B34297" s="17" t="s">
        <v>477</v>
      </c>
      <c r="K34297" s="18"/>
    </row>
    <row r="34298">
      <c r="B34298" s="17" t="s">
        <v>477</v>
      </c>
      <c r="K34298" s="18"/>
    </row>
    <row r="34299">
      <c r="B34299" s="17" t="s">
        <v>477</v>
      </c>
      <c r="K34299" s="18"/>
    </row>
    <row r="34300">
      <c r="B34300" s="17" t="s">
        <v>477</v>
      </c>
      <c r="K34300" s="18"/>
    </row>
    <row r="34301">
      <c r="B34301" s="17" t="s">
        <v>477</v>
      </c>
      <c r="K34301" s="18"/>
    </row>
    <row r="34302">
      <c r="B34302" s="17" t="s">
        <v>477</v>
      </c>
      <c r="K34302" s="18"/>
    </row>
    <row r="34303">
      <c r="B34303" s="17" t="s">
        <v>477</v>
      </c>
      <c r="K34303" s="18"/>
    </row>
    <row r="34304">
      <c r="B34304" s="17" t="s">
        <v>477</v>
      </c>
      <c r="K34304" s="18"/>
    </row>
    <row r="34305">
      <c r="B34305" s="17" t="s">
        <v>477</v>
      </c>
      <c r="K34305" s="18"/>
    </row>
    <row r="34306">
      <c r="B34306" s="17" t="s">
        <v>477</v>
      </c>
      <c r="K34306" s="18"/>
    </row>
    <row r="34307">
      <c r="B34307" s="17" t="s">
        <v>477</v>
      </c>
      <c r="K34307" s="18"/>
    </row>
    <row r="34308">
      <c r="B34308" s="17" t="s">
        <v>477</v>
      </c>
      <c r="K34308" s="18"/>
    </row>
    <row r="34309">
      <c r="B34309" s="17" t="s">
        <v>477</v>
      </c>
      <c r="K34309" s="18"/>
    </row>
    <row r="34310">
      <c r="B34310" s="17" t="s">
        <v>477</v>
      </c>
      <c r="K34310" s="18"/>
    </row>
    <row r="34311">
      <c r="B34311" s="17" t="s">
        <v>477</v>
      </c>
      <c r="K34311" s="18"/>
    </row>
    <row r="34312">
      <c r="B34312" s="17" t="s">
        <v>477</v>
      </c>
      <c r="K34312" s="18"/>
    </row>
    <row r="34313">
      <c r="B34313" s="17" t="s">
        <v>477</v>
      </c>
      <c r="K34313" s="18"/>
    </row>
    <row r="34314">
      <c r="B34314" s="17" t="s">
        <v>477</v>
      </c>
      <c r="K34314" s="18"/>
    </row>
    <row r="34315">
      <c r="B34315" s="17" t="s">
        <v>477</v>
      </c>
      <c r="K34315" s="18"/>
    </row>
    <row r="34316">
      <c r="B34316" s="17" t="s">
        <v>477</v>
      </c>
      <c r="K34316" s="18"/>
    </row>
    <row r="34317">
      <c r="B34317" s="17" t="s">
        <v>477</v>
      </c>
      <c r="K34317" s="18"/>
    </row>
    <row r="34318">
      <c r="B34318" s="17" t="s">
        <v>477</v>
      </c>
      <c r="K34318" s="18"/>
    </row>
    <row r="34319">
      <c r="B34319" s="17" t="s">
        <v>477</v>
      </c>
      <c r="K34319" s="18"/>
    </row>
    <row r="34320">
      <c r="B34320" s="17" t="s">
        <v>477</v>
      </c>
      <c r="K34320" s="18"/>
    </row>
    <row r="34321">
      <c r="B34321" s="17" t="s">
        <v>477</v>
      </c>
      <c r="K34321" s="18"/>
    </row>
    <row r="34322">
      <c r="B34322" s="17" t="s">
        <v>477</v>
      </c>
      <c r="K34322" s="18"/>
    </row>
    <row r="34323">
      <c r="B34323" s="17" t="s">
        <v>477</v>
      </c>
      <c r="K34323" s="18"/>
    </row>
    <row r="34324">
      <c r="B34324" s="17" t="s">
        <v>477</v>
      </c>
      <c r="K34324" s="18"/>
    </row>
    <row r="34325">
      <c r="B34325" s="17" t="s">
        <v>477</v>
      </c>
      <c r="K34325" s="18"/>
    </row>
    <row r="34326">
      <c r="B34326" s="17" t="s">
        <v>477</v>
      </c>
      <c r="K34326" s="18"/>
    </row>
    <row r="34327">
      <c r="B34327" s="17" t="s">
        <v>477</v>
      </c>
      <c r="K34327" s="18"/>
    </row>
    <row r="34328">
      <c r="B34328" s="17" t="s">
        <v>477</v>
      </c>
      <c r="K34328" s="18"/>
    </row>
    <row r="34329">
      <c r="B34329" s="17" t="s">
        <v>477</v>
      </c>
      <c r="K34329" s="18"/>
    </row>
    <row r="34330">
      <c r="B34330" s="17" t="s">
        <v>477</v>
      </c>
      <c r="K34330" s="18"/>
    </row>
    <row r="34331">
      <c r="B34331" s="17" t="s">
        <v>477</v>
      </c>
      <c r="K34331" s="18"/>
    </row>
    <row r="34332">
      <c r="B34332" s="17" t="s">
        <v>477</v>
      </c>
      <c r="K34332" s="18"/>
    </row>
    <row r="34333">
      <c r="B34333" s="17" t="s">
        <v>477</v>
      </c>
      <c r="K34333" s="18"/>
    </row>
    <row r="34334">
      <c r="B34334" s="17" t="s">
        <v>477</v>
      </c>
      <c r="K34334" s="18"/>
    </row>
    <row r="34335">
      <c r="B34335" s="17" t="s">
        <v>477</v>
      </c>
      <c r="K34335" s="18"/>
    </row>
    <row r="34336">
      <c r="B34336" s="17" t="s">
        <v>477</v>
      </c>
      <c r="K34336" s="18"/>
    </row>
    <row r="34337">
      <c r="B34337" s="17" t="s">
        <v>477</v>
      </c>
      <c r="K34337" s="18"/>
    </row>
    <row r="34338">
      <c r="B34338" s="17" t="s">
        <v>477</v>
      </c>
      <c r="K34338" s="18"/>
    </row>
    <row r="34339">
      <c r="B34339" s="17" t="s">
        <v>477</v>
      </c>
      <c r="K34339" s="18"/>
    </row>
    <row r="34340">
      <c r="B34340" s="17" t="s">
        <v>477</v>
      </c>
      <c r="K34340" s="18"/>
    </row>
    <row r="34341">
      <c r="B34341" s="17" t="s">
        <v>477</v>
      </c>
      <c r="K34341" s="18"/>
    </row>
    <row r="34342">
      <c r="B34342" s="17" t="s">
        <v>477</v>
      </c>
      <c r="K34342" s="18"/>
    </row>
    <row r="34343">
      <c r="B34343" s="17" t="s">
        <v>477</v>
      </c>
      <c r="K34343" s="18"/>
    </row>
    <row r="34344">
      <c r="B34344" s="17" t="s">
        <v>477</v>
      </c>
      <c r="K34344" s="18"/>
    </row>
    <row r="34345">
      <c r="B34345" s="17" t="s">
        <v>477</v>
      </c>
      <c r="K34345" s="18"/>
    </row>
    <row r="34346">
      <c r="B34346" s="17" t="s">
        <v>477</v>
      </c>
      <c r="K34346" s="18"/>
    </row>
    <row r="34347">
      <c r="B34347" s="17" t="s">
        <v>477</v>
      </c>
      <c r="K34347" s="18"/>
    </row>
    <row r="34348">
      <c r="B34348" s="17" t="s">
        <v>477</v>
      </c>
      <c r="K34348" s="18"/>
    </row>
    <row r="34349">
      <c r="B34349" s="17" t="s">
        <v>477</v>
      </c>
      <c r="K34349" s="18"/>
    </row>
    <row r="34350">
      <c r="B34350" s="17" t="s">
        <v>477</v>
      </c>
      <c r="K34350" s="18"/>
    </row>
    <row r="34351">
      <c r="B34351" s="17" t="s">
        <v>477</v>
      </c>
      <c r="K34351" s="18"/>
    </row>
    <row r="34352">
      <c r="B34352" s="17" t="s">
        <v>477</v>
      </c>
      <c r="K34352" s="18"/>
    </row>
    <row r="34353">
      <c r="B34353" s="17" t="s">
        <v>477</v>
      </c>
      <c r="K34353" s="18"/>
    </row>
    <row r="34354">
      <c r="B34354" s="17" t="s">
        <v>477</v>
      </c>
      <c r="K34354" s="18"/>
    </row>
    <row r="34355">
      <c r="B34355" s="17" t="s">
        <v>477</v>
      </c>
      <c r="K34355" s="18"/>
    </row>
    <row r="34356">
      <c r="B34356" s="17" t="s">
        <v>477</v>
      </c>
      <c r="K34356" s="18"/>
    </row>
    <row r="34357">
      <c r="B34357" s="17" t="s">
        <v>477</v>
      </c>
      <c r="K34357" s="18"/>
    </row>
    <row r="34358">
      <c r="B34358" s="17" t="s">
        <v>477</v>
      </c>
      <c r="K34358" s="18"/>
    </row>
    <row r="34359">
      <c r="B34359" s="17" t="s">
        <v>477</v>
      </c>
      <c r="K34359" s="18"/>
    </row>
    <row r="34360">
      <c r="B34360" s="17" t="s">
        <v>477</v>
      </c>
      <c r="K34360" s="18"/>
    </row>
    <row r="34361">
      <c r="B34361" s="17" t="s">
        <v>477</v>
      </c>
      <c r="K34361" s="18"/>
    </row>
    <row r="34362">
      <c r="B34362" s="17" t="s">
        <v>477</v>
      </c>
      <c r="K34362" s="18"/>
    </row>
    <row r="34363">
      <c r="B34363" s="17" t="s">
        <v>477</v>
      </c>
      <c r="K34363" s="18"/>
    </row>
    <row r="34364">
      <c r="B34364" s="17" t="s">
        <v>477</v>
      </c>
      <c r="K34364" s="18"/>
    </row>
    <row r="34365">
      <c r="B34365" s="17" t="s">
        <v>477</v>
      </c>
      <c r="K34365" s="18"/>
    </row>
    <row r="34366">
      <c r="B34366" s="17" t="s">
        <v>477</v>
      </c>
      <c r="K34366" s="18"/>
    </row>
    <row r="34367">
      <c r="B34367" s="17" t="s">
        <v>477</v>
      </c>
      <c r="K34367" s="18"/>
    </row>
    <row r="34368">
      <c r="B34368" s="17" t="s">
        <v>477</v>
      </c>
      <c r="K34368" s="18"/>
    </row>
    <row r="34369">
      <c r="B34369" s="17" t="s">
        <v>477</v>
      </c>
      <c r="K34369" s="18"/>
    </row>
    <row r="34370">
      <c r="B34370" s="17" t="s">
        <v>477</v>
      </c>
      <c r="K34370" s="18"/>
    </row>
    <row r="34371">
      <c r="B34371" s="17" t="s">
        <v>477</v>
      </c>
      <c r="K34371" s="18"/>
    </row>
    <row r="34372">
      <c r="B34372" s="17" t="s">
        <v>477</v>
      </c>
      <c r="K34372" s="18"/>
    </row>
    <row r="34373">
      <c r="B34373" s="17" t="s">
        <v>477</v>
      </c>
      <c r="K34373" s="18"/>
    </row>
    <row r="34374">
      <c r="B34374" s="17" t="s">
        <v>477</v>
      </c>
      <c r="K34374" s="18"/>
    </row>
    <row r="34375">
      <c r="B34375" s="17" t="s">
        <v>477</v>
      </c>
      <c r="K34375" s="18"/>
    </row>
    <row r="34376">
      <c r="B34376" s="17" t="s">
        <v>477</v>
      </c>
      <c r="K34376" s="18"/>
    </row>
    <row r="34377">
      <c r="B34377" s="17" t="s">
        <v>477</v>
      </c>
      <c r="K34377" s="18"/>
    </row>
    <row r="34378">
      <c r="B34378" s="17" t="s">
        <v>477</v>
      </c>
      <c r="K34378" s="18"/>
    </row>
    <row r="34379">
      <c r="B34379" s="17" t="s">
        <v>477</v>
      </c>
      <c r="K34379" s="18"/>
    </row>
    <row r="34380">
      <c r="B34380" s="17" t="s">
        <v>477</v>
      </c>
      <c r="K34380" s="18"/>
    </row>
    <row r="34381">
      <c r="B34381" s="17" t="s">
        <v>477</v>
      </c>
      <c r="K34381" s="18"/>
    </row>
    <row r="34382">
      <c r="B34382" s="17" t="s">
        <v>477</v>
      </c>
      <c r="K34382" s="18"/>
    </row>
    <row r="34383">
      <c r="B34383" s="17" t="s">
        <v>477</v>
      </c>
      <c r="K34383" s="18"/>
    </row>
    <row r="34384">
      <c r="B34384" s="17" t="s">
        <v>477</v>
      </c>
      <c r="K34384" s="18"/>
    </row>
    <row r="34385">
      <c r="B34385" s="17" t="s">
        <v>477</v>
      </c>
      <c r="K34385" s="18"/>
    </row>
    <row r="34386">
      <c r="B34386" s="17" t="s">
        <v>477</v>
      </c>
      <c r="K34386" s="18"/>
    </row>
    <row r="34387">
      <c r="B34387" s="17" t="s">
        <v>477</v>
      </c>
      <c r="K34387" s="18"/>
    </row>
    <row r="34388">
      <c r="B34388" s="17" t="s">
        <v>477</v>
      </c>
      <c r="K34388" s="18"/>
    </row>
    <row r="34389">
      <c r="B34389" s="17" t="s">
        <v>477</v>
      </c>
      <c r="K34389" s="18"/>
    </row>
    <row r="34390">
      <c r="B34390" s="17" t="s">
        <v>477</v>
      </c>
      <c r="K34390" s="18"/>
    </row>
    <row r="34391">
      <c r="B34391" s="17" t="s">
        <v>477</v>
      </c>
      <c r="K34391" s="18"/>
    </row>
    <row r="34392">
      <c r="B34392" s="17" t="s">
        <v>477</v>
      </c>
      <c r="K34392" s="18"/>
    </row>
    <row r="34393">
      <c r="B34393" s="17" t="s">
        <v>477</v>
      </c>
      <c r="K34393" s="18"/>
    </row>
    <row r="34394">
      <c r="B34394" s="17" t="s">
        <v>477</v>
      </c>
      <c r="K34394" s="18"/>
    </row>
    <row r="34395">
      <c r="B34395" s="17" t="s">
        <v>477</v>
      </c>
      <c r="K34395" s="18"/>
    </row>
    <row r="34396">
      <c r="B34396" s="17" t="s">
        <v>477</v>
      </c>
      <c r="K34396" s="18"/>
    </row>
    <row r="34397">
      <c r="B34397" s="17" t="s">
        <v>477</v>
      </c>
      <c r="K34397" s="18"/>
    </row>
    <row r="34398">
      <c r="B34398" s="17" t="s">
        <v>477</v>
      </c>
      <c r="K34398" s="18"/>
    </row>
    <row r="34399">
      <c r="B34399" s="17" t="s">
        <v>477</v>
      </c>
      <c r="K34399" s="18"/>
    </row>
    <row r="34400">
      <c r="B34400" s="17" t="s">
        <v>477</v>
      </c>
      <c r="K34400" s="18"/>
    </row>
    <row r="34401">
      <c r="B34401" s="17" t="s">
        <v>477</v>
      </c>
      <c r="K34401" s="18"/>
    </row>
    <row r="34402">
      <c r="B34402" s="17" t="s">
        <v>477</v>
      </c>
      <c r="K34402" s="18"/>
    </row>
    <row r="34403">
      <c r="B34403" s="17" t="s">
        <v>477</v>
      </c>
      <c r="K34403" s="18"/>
    </row>
    <row r="34404">
      <c r="B34404" s="17" t="s">
        <v>477</v>
      </c>
      <c r="K34404" s="18"/>
    </row>
    <row r="34405">
      <c r="B34405" s="17" t="s">
        <v>477</v>
      </c>
      <c r="K34405" s="18"/>
    </row>
    <row r="34406">
      <c r="B34406" s="17" t="s">
        <v>477</v>
      </c>
      <c r="K34406" s="18"/>
    </row>
    <row r="34407">
      <c r="B34407" s="17" t="s">
        <v>477</v>
      </c>
      <c r="K34407" s="18"/>
    </row>
    <row r="34408">
      <c r="B34408" s="17" t="s">
        <v>477</v>
      </c>
      <c r="K34408" s="18"/>
    </row>
    <row r="34409">
      <c r="B34409" s="17" t="s">
        <v>477</v>
      </c>
      <c r="K34409" s="18"/>
    </row>
    <row r="34410">
      <c r="B34410" s="17" t="s">
        <v>477</v>
      </c>
      <c r="K34410" s="18"/>
    </row>
    <row r="34411">
      <c r="B34411" s="17" t="s">
        <v>477</v>
      </c>
      <c r="K34411" s="18"/>
    </row>
    <row r="34412">
      <c r="B34412" s="17" t="s">
        <v>477</v>
      </c>
      <c r="K34412" s="18"/>
    </row>
    <row r="34413">
      <c r="B34413" s="17" t="s">
        <v>477</v>
      </c>
      <c r="K34413" s="18"/>
    </row>
    <row r="34414">
      <c r="B34414" s="17" t="s">
        <v>477</v>
      </c>
      <c r="K34414" s="18"/>
    </row>
    <row r="34415">
      <c r="B34415" s="17" t="s">
        <v>477</v>
      </c>
      <c r="K34415" s="18"/>
    </row>
    <row r="34416">
      <c r="B34416" s="17" t="s">
        <v>477</v>
      </c>
      <c r="K34416" s="18"/>
    </row>
    <row r="34417">
      <c r="B34417" s="17" t="s">
        <v>477</v>
      </c>
      <c r="K34417" s="18"/>
    </row>
    <row r="34418">
      <c r="B34418" s="17" t="s">
        <v>477</v>
      </c>
      <c r="K34418" s="18"/>
    </row>
    <row r="34419">
      <c r="B34419" s="17" t="s">
        <v>477</v>
      </c>
      <c r="K34419" s="18"/>
    </row>
    <row r="34420">
      <c r="B34420" s="17" t="s">
        <v>477</v>
      </c>
      <c r="K34420" s="18"/>
    </row>
    <row r="34421">
      <c r="B34421" s="17" t="s">
        <v>477</v>
      </c>
      <c r="K34421" s="18"/>
    </row>
    <row r="34422">
      <c r="B34422" s="17" t="s">
        <v>477</v>
      </c>
      <c r="K34422" s="18"/>
    </row>
    <row r="34423">
      <c r="B34423" s="17" t="s">
        <v>477</v>
      </c>
      <c r="K34423" s="18"/>
    </row>
    <row r="34424">
      <c r="B34424" s="17" t="s">
        <v>477</v>
      </c>
      <c r="K34424" s="18"/>
    </row>
    <row r="34425">
      <c r="B34425" s="17" t="s">
        <v>477</v>
      </c>
      <c r="K34425" s="18"/>
    </row>
    <row r="34426">
      <c r="B34426" s="17" t="s">
        <v>477</v>
      </c>
      <c r="K34426" s="18"/>
    </row>
    <row r="34427">
      <c r="B34427" s="17" t="s">
        <v>477</v>
      </c>
      <c r="K34427" s="18"/>
    </row>
    <row r="34428">
      <c r="B34428" s="17" t="s">
        <v>477</v>
      </c>
      <c r="K34428" s="18"/>
    </row>
    <row r="34429">
      <c r="B34429" s="17" t="s">
        <v>477</v>
      </c>
      <c r="K34429" s="18"/>
    </row>
    <row r="34430">
      <c r="B34430" s="17" t="s">
        <v>477</v>
      </c>
      <c r="K34430" s="18"/>
    </row>
    <row r="34431">
      <c r="B34431" s="17" t="s">
        <v>477</v>
      </c>
      <c r="K34431" s="18"/>
    </row>
    <row r="34432">
      <c r="B34432" s="17" t="s">
        <v>477</v>
      </c>
      <c r="K34432" s="18"/>
    </row>
    <row r="34433">
      <c r="B34433" s="17" t="s">
        <v>477</v>
      </c>
      <c r="K34433" s="18"/>
    </row>
    <row r="34434">
      <c r="B34434" s="17" t="s">
        <v>477</v>
      </c>
      <c r="K34434" s="18"/>
    </row>
    <row r="34435">
      <c r="B34435" s="17" t="s">
        <v>477</v>
      </c>
      <c r="K34435" s="18"/>
    </row>
    <row r="34436">
      <c r="B34436" s="17" t="s">
        <v>477</v>
      </c>
      <c r="K34436" s="18"/>
    </row>
    <row r="34437">
      <c r="B34437" s="17" t="s">
        <v>477</v>
      </c>
      <c r="K34437" s="18"/>
    </row>
    <row r="34438">
      <c r="B34438" s="17" t="s">
        <v>477</v>
      </c>
      <c r="K34438" s="18"/>
    </row>
    <row r="34439">
      <c r="B34439" s="17" t="s">
        <v>477</v>
      </c>
      <c r="K34439" s="18"/>
    </row>
    <row r="34440">
      <c r="B34440" s="17" t="s">
        <v>477</v>
      </c>
      <c r="K34440" s="18"/>
    </row>
    <row r="34441">
      <c r="B34441" s="17" t="s">
        <v>477</v>
      </c>
      <c r="K34441" s="18"/>
    </row>
    <row r="34442">
      <c r="B34442" s="17" t="s">
        <v>477</v>
      </c>
      <c r="K34442" s="18"/>
    </row>
    <row r="34443">
      <c r="B34443" s="17" t="s">
        <v>477</v>
      </c>
      <c r="K34443" s="18"/>
    </row>
    <row r="34444">
      <c r="B34444" s="17" t="s">
        <v>477</v>
      </c>
      <c r="K34444" s="18"/>
    </row>
    <row r="34445">
      <c r="B34445" s="17" t="s">
        <v>477</v>
      </c>
      <c r="K34445" s="18"/>
    </row>
    <row r="34446">
      <c r="B34446" s="17" t="s">
        <v>477</v>
      </c>
      <c r="K34446" s="18"/>
    </row>
    <row r="34447">
      <c r="B34447" s="17" t="s">
        <v>477</v>
      </c>
      <c r="K34447" s="18"/>
    </row>
    <row r="34448">
      <c r="B34448" s="17" t="s">
        <v>477</v>
      </c>
      <c r="K34448" s="18"/>
    </row>
    <row r="34449">
      <c r="B34449" s="17" t="s">
        <v>477</v>
      </c>
      <c r="K34449" s="18"/>
    </row>
    <row r="34450">
      <c r="B34450" s="17" t="s">
        <v>477</v>
      </c>
      <c r="K34450" s="18"/>
    </row>
    <row r="34451">
      <c r="B34451" s="17" t="s">
        <v>477</v>
      </c>
      <c r="K34451" s="18"/>
    </row>
    <row r="34452">
      <c r="B34452" s="17" t="s">
        <v>477</v>
      </c>
      <c r="K34452" s="18"/>
    </row>
    <row r="34453">
      <c r="B34453" s="17" t="s">
        <v>477</v>
      </c>
      <c r="K34453" s="18"/>
    </row>
    <row r="34454">
      <c r="B34454" s="17" t="s">
        <v>477</v>
      </c>
      <c r="K34454" s="18"/>
    </row>
    <row r="34455">
      <c r="B34455" s="17" t="s">
        <v>477</v>
      </c>
      <c r="K34455" s="18"/>
    </row>
    <row r="34456">
      <c r="B34456" s="17" t="s">
        <v>477</v>
      </c>
      <c r="K34456" s="18"/>
    </row>
    <row r="34457">
      <c r="B34457" s="17" t="s">
        <v>477</v>
      </c>
      <c r="K34457" s="18"/>
    </row>
    <row r="34458">
      <c r="B34458" s="17" t="s">
        <v>477</v>
      </c>
      <c r="K34458" s="18"/>
    </row>
    <row r="34459">
      <c r="B34459" s="17" t="s">
        <v>477</v>
      </c>
      <c r="K34459" s="18"/>
    </row>
    <row r="34460">
      <c r="B34460" s="17" t="s">
        <v>477</v>
      </c>
      <c r="K34460" s="18"/>
    </row>
    <row r="34461">
      <c r="B34461" s="17" t="s">
        <v>477</v>
      </c>
      <c r="K34461" s="18"/>
    </row>
    <row r="34462">
      <c r="B34462" s="17" t="s">
        <v>477</v>
      </c>
      <c r="K34462" s="18"/>
    </row>
    <row r="34463">
      <c r="B34463" s="17" t="s">
        <v>477</v>
      </c>
      <c r="K34463" s="18"/>
    </row>
    <row r="34464">
      <c r="B34464" s="17" t="s">
        <v>477</v>
      </c>
      <c r="K34464" s="18"/>
    </row>
    <row r="34465">
      <c r="B34465" s="17" t="s">
        <v>477</v>
      </c>
      <c r="K34465" s="18"/>
    </row>
    <row r="34466">
      <c r="B34466" s="17" t="s">
        <v>477</v>
      </c>
      <c r="K34466" s="18"/>
    </row>
    <row r="34467">
      <c r="B34467" s="17" t="s">
        <v>477</v>
      </c>
      <c r="K34467" s="18"/>
    </row>
    <row r="34468">
      <c r="B34468" s="17" t="s">
        <v>477</v>
      </c>
      <c r="K34468" s="18"/>
    </row>
    <row r="34469">
      <c r="B34469" s="17" t="s">
        <v>477</v>
      </c>
      <c r="K34469" s="18"/>
    </row>
    <row r="34470">
      <c r="B34470" s="17" t="s">
        <v>477</v>
      </c>
      <c r="K34470" s="18"/>
    </row>
    <row r="34471">
      <c r="B34471" s="17" t="s">
        <v>477</v>
      </c>
      <c r="K34471" s="18"/>
    </row>
    <row r="34472">
      <c r="B34472" s="17" t="s">
        <v>477</v>
      </c>
      <c r="K34472" s="18"/>
    </row>
    <row r="34473">
      <c r="B34473" s="17" t="s">
        <v>477</v>
      </c>
      <c r="K34473" s="18"/>
    </row>
    <row r="34474">
      <c r="B34474" s="17" t="s">
        <v>477</v>
      </c>
      <c r="K34474" s="18"/>
    </row>
    <row r="34475">
      <c r="B34475" s="17" t="s">
        <v>477</v>
      </c>
      <c r="K34475" s="18"/>
    </row>
    <row r="34476">
      <c r="B34476" s="17" t="s">
        <v>477</v>
      </c>
      <c r="K34476" s="18"/>
    </row>
    <row r="34477">
      <c r="B34477" s="17" t="s">
        <v>477</v>
      </c>
      <c r="K34477" s="18"/>
    </row>
    <row r="34478">
      <c r="B34478" s="17" t="s">
        <v>477</v>
      </c>
      <c r="K34478" s="18"/>
    </row>
    <row r="34479">
      <c r="B34479" s="17" t="s">
        <v>477</v>
      </c>
      <c r="K34479" s="18"/>
    </row>
    <row r="34480">
      <c r="B34480" s="17" t="s">
        <v>477</v>
      </c>
      <c r="K34480" s="18"/>
    </row>
    <row r="34481">
      <c r="B34481" s="17" t="s">
        <v>477</v>
      </c>
      <c r="K34481" s="18"/>
    </row>
    <row r="34482">
      <c r="B34482" s="17" t="s">
        <v>477</v>
      </c>
      <c r="K34482" s="18"/>
    </row>
    <row r="34483">
      <c r="B34483" s="17" t="s">
        <v>477</v>
      </c>
      <c r="K34483" s="18"/>
    </row>
    <row r="34484">
      <c r="B34484" s="17" t="s">
        <v>477</v>
      </c>
      <c r="K34484" s="18"/>
    </row>
    <row r="34485">
      <c r="B34485" s="17" t="s">
        <v>477</v>
      </c>
      <c r="K34485" s="18"/>
    </row>
    <row r="34486">
      <c r="B34486" s="17" t="s">
        <v>477</v>
      </c>
      <c r="K34486" s="18"/>
    </row>
    <row r="34487">
      <c r="B34487" s="17" t="s">
        <v>477</v>
      </c>
      <c r="K34487" s="18"/>
    </row>
    <row r="34488">
      <c r="B34488" s="17" t="s">
        <v>477</v>
      </c>
      <c r="K34488" s="18"/>
    </row>
    <row r="34489">
      <c r="B34489" s="17" t="s">
        <v>477</v>
      </c>
      <c r="K34489" s="18"/>
    </row>
    <row r="34490">
      <c r="B34490" s="17" t="s">
        <v>477</v>
      </c>
      <c r="K34490" s="18"/>
    </row>
    <row r="34491">
      <c r="B34491" s="17" t="s">
        <v>477</v>
      </c>
      <c r="K34491" s="18"/>
    </row>
    <row r="34492">
      <c r="B34492" s="17" t="s">
        <v>477</v>
      </c>
      <c r="K34492" s="18"/>
    </row>
    <row r="34493">
      <c r="B34493" s="17" t="s">
        <v>477</v>
      </c>
      <c r="K34493" s="18"/>
    </row>
    <row r="34494">
      <c r="B34494" s="17" t="s">
        <v>477</v>
      </c>
      <c r="K34494" s="18"/>
    </row>
    <row r="34495">
      <c r="B34495" s="17" t="s">
        <v>477</v>
      </c>
      <c r="K34495" s="18"/>
    </row>
    <row r="34496">
      <c r="B34496" s="17" t="s">
        <v>477</v>
      </c>
      <c r="K34496" s="18"/>
    </row>
    <row r="34497">
      <c r="B34497" s="17" t="s">
        <v>477</v>
      </c>
      <c r="K34497" s="18"/>
    </row>
    <row r="34498">
      <c r="B34498" s="17" t="s">
        <v>477</v>
      </c>
      <c r="K34498" s="18"/>
    </row>
    <row r="34499">
      <c r="B34499" s="17" t="s">
        <v>477</v>
      </c>
      <c r="K34499" s="18"/>
    </row>
    <row r="34500">
      <c r="B34500" s="17" t="s">
        <v>477</v>
      </c>
      <c r="K34500" s="18"/>
    </row>
    <row r="34501">
      <c r="B34501" s="17" t="s">
        <v>477</v>
      </c>
      <c r="K34501" s="18"/>
    </row>
    <row r="34502">
      <c r="B34502" s="17" t="s">
        <v>477</v>
      </c>
      <c r="K34502" s="18"/>
    </row>
    <row r="34503">
      <c r="B34503" s="17" t="s">
        <v>477</v>
      </c>
      <c r="K34503" s="18"/>
    </row>
    <row r="34504">
      <c r="B34504" s="17" t="s">
        <v>477</v>
      </c>
      <c r="K34504" s="18"/>
    </row>
    <row r="34505">
      <c r="B34505" s="17" t="s">
        <v>477</v>
      </c>
      <c r="K34505" s="18"/>
    </row>
    <row r="34506">
      <c r="B34506" s="17" t="s">
        <v>477</v>
      </c>
      <c r="K34506" s="18"/>
    </row>
    <row r="34507">
      <c r="B34507" s="17" t="s">
        <v>477</v>
      </c>
      <c r="K34507" s="18"/>
    </row>
    <row r="34508">
      <c r="B34508" s="17" t="s">
        <v>477</v>
      </c>
      <c r="K34508" s="18"/>
    </row>
    <row r="34509">
      <c r="B34509" s="17" t="s">
        <v>477</v>
      </c>
      <c r="K34509" s="18"/>
    </row>
    <row r="34510">
      <c r="B34510" s="17" t="s">
        <v>477</v>
      </c>
      <c r="K34510" s="18"/>
    </row>
    <row r="34511">
      <c r="B34511" s="17" t="s">
        <v>477</v>
      </c>
      <c r="K34511" s="18"/>
    </row>
    <row r="34512">
      <c r="B34512" s="17" t="s">
        <v>477</v>
      </c>
      <c r="K34512" s="18"/>
    </row>
    <row r="34513">
      <c r="B34513" s="17" t="s">
        <v>477</v>
      </c>
      <c r="K34513" s="18"/>
    </row>
    <row r="34514">
      <c r="B34514" s="17" t="s">
        <v>477</v>
      </c>
      <c r="K34514" s="18"/>
    </row>
    <row r="34515">
      <c r="B34515" s="17" t="s">
        <v>477</v>
      </c>
      <c r="K34515" s="18"/>
    </row>
    <row r="34516">
      <c r="B34516" s="17" t="s">
        <v>477</v>
      </c>
      <c r="K34516" s="18"/>
    </row>
    <row r="34517">
      <c r="B34517" s="17" t="s">
        <v>477</v>
      </c>
      <c r="K34517" s="18"/>
    </row>
    <row r="34518">
      <c r="B34518" s="17" t="s">
        <v>477</v>
      </c>
      <c r="K34518" s="18"/>
    </row>
    <row r="34519">
      <c r="B34519" s="17" t="s">
        <v>477</v>
      </c>
      <c r="K34519" s="18"/>
    </row>
    <row r="34520">
      <c r="B34520" s="17" t="s">
        <v>477</v>
      </c>
      <c r="K34520" s="18"/>
    </row>
    <row r="34521">
      <c r="B34521" s="17" t="s">
        <v>477</v>
      </c>
      <c r="K34521" s="18"/>
    </row>
    <row r="34522">
      <c r="B34522" s="17" t="s">
        <v>477</v>
      </c>
      <c r="K34522" s="18"/>
    </row>
    <row r="34523">
      <c r="B34523" s="17" t="s">
        <v>477</v>
      </c>
      <c r="K34523" s="18"/>
    </row>
    <row r="34524">
      <c r="B34524" s="17" t="s">
        <v>477</v>
      </c>
      <c r="K34524" s="18"/>
    </row>
    <row r="34525">
      <c r="B34525" s="17" t="s">
        <v>477</v>
      </c>
      <c r="K34525" s="18"/>
    </row>
    <row r="34526">
      <c r="B34526" s="17" t="s">
        <v>477</v>
      </c>
      <c r="K34526" s="18"/>
    </row>
    <row r="34527">
      <c r="B34527" s="17" t="s">
        <v>477</v>
      </c>
      <c r="K34527" s="18"/>
    </row>
    <row r="34528">
      <c r="B34528" s="17" t="s">
        <v>477</v>
      </c>
      <c r="K34528" s="18"/>
    </row>
    <row r="34529">
      <c r="B34529" s="17" t="s">
        <v>477</v>
      </c>
      <c r="K34529" s="18"/>
    </row>
    <row r="34530">
      <c r="B34530" s="17" t="s">
        <v>477</v>
      </c>
      <c r="K34530" s="18"/>
    </row>
    <row r="34531">
      <c r="B34531" s="17" t="s">
        <v>477</v>
      </c>
      <c r="K34531" s="18"/>
    </row>
    <row r="34532">
      <c r="B34532" s="17" t="s">
        <v>477</v>
      </c>
      <c r="K34532" s="18"/>
    </row>
    <row r="34533">
      <c r="B34533" s="17" t="s">
        <v>477</v>
      </c>
      <c r="K34533" s="18"/>
    </row>
    <row r="34534">
      <c r="B34534" s="17" t="s">
        <v>477</v>
      </c>
      <c r="K34534" s="18"/>
    </row>
    <row r="34535">
      <c r="B34535" s="17" t="s">
        <v>477</v>
      </c>
      <c r="K34535" s="18"/>
    </row>
    <row r="34536">
      <c r="B34536" s="17" t="s">
        <v>477</v>
      </c>
      <c r="K34536" s="18"/>
    </row>
    <row r="34537">
      <c r="B34537" s="17" t="s">
        <v>477</v>
      </c>
      <c r="K34537" s="18"/>
    </row>
    <row r="34538">
      <c r="B34538" s="17" t="s">
        <v>477</v>
      </c>
      <c r="K34538" s="18"/>
    </row>
    <row r="34539">
      <c r="B34539" s="17" t="s">
        <v>477</v>
      </c>
      <c r="K34539" s="18"/>
    </row>
    <row r="34540">
      <c r="B34540" s="17" t="s">
        <v>477</v>
      </c>
      <c r="K34540" s="18"/>
    </row>
    <row r="34541">
      <c r="B34541" s="17" t="s">
        <v>477</v>
      </c>
      <c r="K34541" s="18"/>
    </row>
    <row r="34542">
      <c r="B34542" s="17" t="s">
        <v>477</v>
      </c>
      <c r="K34542" s="18"/>
    </row>
    <row r="34543">
      <c r="B34543" s="17" t="s">
        <v>477</v>
      </c>
      <c r="K34543" s="18"/>
    </row>
    <row r="34544">
      <c r="B34544" s="17" t="s">
        <v>477</v>
      </c>
      <c r="K34544" s="18"/>
    </row>
    <row r="34545">
      <c r="B34545" s="17" t="s">
        <v>477</v>
      </c>
      <c r="K34545" s="18"/>
    </row>
    <row r="34546">
      <c r="B34546" s="17" t="s">
        <v>477</v>
      </c>
      <c r="K34546" s="18"/>
    </row>
    <row r="34547">
      <c r="B34547" s="17" t="s">
        <v>477</v>
      </c>
      <c r="K34547" s="18"/>
    </row>
    <row r="34548">
      <c r="B34548" s="17" t="s">
        <v>477</v>
      </c>
      <c r="K34548" s="18"/>
    </row>
    <row r="34549">
      <c r="B34549" s="17" t="s">
        <v>477</v>
      </c>
      <c r="K34549" s="18"/>
    </row>
    <row r="34550">
      <c r="B34550" s="17" t="s">
        <v>477</v>
      </c>
      <c r="K34550" s="18"/>
    </row>
    <row r="34551">
      <c r="B34551" s="17" t="s">
        <v>477</v>
      </c>
      <c r="K34551" s="18"/>
    </row>
    <row r="34552">
      <c r="B34552" s="17" t="s">
        <v>477</v>
      </c>
      <c r="K34552" s="18"/>
    </row>
    <row r="34553">
      <c r="B34553" s="17" t="s">
        <v>477</v>
      </c>
      <c r="K34553" s="18"/>
    </row>
    <row r="34554">
      <c r="B34554" s="17" t="s">
        <v>477</v>
      </c>
      <c r="K34554" s="18"/>
    </row>
    <row r="34555">
      <c r="B34555" s="17" t="s">
        <v>477</v>
      </c>
      <c r="K34555" s="18"/>
    </row>
    <row r="34556">
      <c r="B34556" s="17" t="s">
        <v>477</v>
      </c>
      <c r="K34556" s="18"/>
    </row>
    <row r="34557">
      <c r="B34557" s="17" t="s">
        <v>477</v>
      </c>
      <c r="K34557" s="18"/>
    </row>
    <row r="34558">
      <c r="B34558" s="17" t="s">
        <v>477</v>
      </c>
      <c r="K34558" s="18"/>
    </row>
    <row r="34559">
      <c r="B34559" s="17" t="s">
        <v>477</v>
      </c>
      <c r="K34559" s="18"/>
    </row>
    <row r="34560">
      <c r="B34560" s="17" t="s">
        <v>477</v>
      </c>
      <c r="K34560" s="18"/>
    </row>
    <row r="34561">
      <c r="B34561" s="17" t="s">
        <v>477</v>
      </c>
      <c r="K34561" s="18"/>
    </row>
    <row r="34562">
      <c r="B34562" s="17" t="s">
        <v>477</v>
      </c>
      <c r="K34562" s="18"/>
    </row>
    <row r="34563">
      <c r="B34563" s="17" t="s">
        <v>477</v>
      </c>
      <c r="K34563" s="18"/>
    </row>
    <row r="34564">
      <c r="B34564" s="17" t="s">
        <v>477</v>
      </c>
      <c r="K34564" s="18"/>
    </row>
    <row r="34565">
      <c r="B34565" s="17" t="s">
        <v>477</v>
      </c>
      <c r="K34565" s="18"/>
    </row>
    <row r="34566">
      <c r="B34566" s="17" t="s">
        <v>477</v>
      </c>
      <c r="K34566" s="18"/>
    </row>
    <row r="34567">
      <c r="B34567" s="17" t="s">
        <v>477</v>
      </c>
      <c r="K34567" s="18"/>
    </row>
    <row r="34568">
      <c r="B34568" s="17" t="s">
        <v>477</v>
      </c>
      <c r="K34568" s="18"/>
    </row>
    <row r="34569">
      <c r="B34569" s="17" t="s">
        <v>477</v>
      </c>
      <c r="K34569" s="18"/>
    </row>
    <row r="34570">
      <c r="B34570" s="17" t="s">
        <v>477</v>
      </c>
      <c r="K34570" s="18"/>
    </row>
    <row r="34571">
      <c r="B34571" s="17" t="s">
        <v>477</v>
      </c>
      <c r="K34571" s="18"/>
    </row>
    <row r="34572">
      <c r="B34572" s="17" t="s">
        <v>477</v>
      </c>
      <c r="K34572" s="18"/>
    </row>
    <row r="34573">
      <c r="B34573" s="17" t="s">
        <v>477</v>
      </c>
      <c r="K34573" s="18"/>
    </row>
    <row r="34574">
      <c r="B34574" s="17" t="s">
        <v>477</v>
      </c>
      <c r="K34574" s="18"/>
    </row>
    <row r="34575">
      <c r="B34575" s="17" t="s">
        <v>477</v>
      </c>
      <c r="K34575" s="18"/>
    </row>
    <row r="34576">
      <c r="B34576" s="17" t="s">
        <v>477</v>
      </c>
      <c r="K34576" s="18"/>
    </row>
    <row r="34577">
      <c r="B34577" s="17" t="s">
        <v>477</v>
      </c>
      <c r="K34577" s="18"/>
    </row>
    <row r="34578">
      <c r="B34578" s="17" t="s">
        <v>477</v>
      </c>
      <c r="K34578" s="18"/>
    </row>
    <row r="34579">
      <c r="B34579" s="17" t="s">
        <v>477</v>
      </c>
      <c r="K34579" s="18"/>
    </row>
    <row r="34580">
      <c r="B34580" s="17" t="s">
        <v>477</v>
      </c>
      <c r="K34580" s="18"/>
    </row>
    <row r="34581">
      <c r="B34581" s="17" t="s">
        <v>477</v>
      </c>
      <c r="K34581" s="18"/>
    </row>
    <row r="34582">
      <c r="B34582" s="17" t="s">
        <v>477</v>
      </c>
      <c r="K34582" s="18"/>
    </row>
    <row r="34583">
      <c r="B34583" s="17" t="s">
        <v>477</v>
      </c>
      <c r="K34583" s="18"/>
    </row>
    <row r="34584">
      <c r="B34584" s="17" t="s">
        <v>477</v>
      </c>
      <c r="K34584" s="18"/>
    </row>
    <row r="34585">
      <c r="B34585" s="17" t="s">
        <v>477</v>
      </c>
      <c r="K34585" s="18"/>
    </row>
    <row r="34586">
      <c r="B34586" s="17" t="s">
        <v>477</v>
      </c>
      <c r="K34586" s="18"/>
    </row>
    <row r="34587">
      <c r="B34587" s="17" t="s">
        <v>477</v>
      </c>
      <c r="K34587" s="18"/>
    </row>
    <row r="34588">
      <c r="B34588" s="17" t="s">
        <v>477</v>
      </c>
      <c r="K34588" s="18"/>
    </row>
    <row r="34589">
      <c r="B34589" s="17" t="s">
        <v>477</v>
      </c>
      <c r="K34589" s="18"/>
    </row>
    <row r="34590">
      <c r="B34590" s="17" t="s">
        <v>477</v>
      </c>
      <c r="K34590" s="18"/>
    </row>
    <row r="34591">
      <c r="B34591" s="17" t="s">
        <v>477</v>
      </c>
      <c r="K34591" s="18"/>
    </row>
    <row r="34592">
      <c r="B34592" s="17" t="s">
        <v>477</v>
      </c>
      <c r="K34592" s="18"/>
    </row>
    <row r="34593">
      <c r="B34593" s="17" t="s">
        <v>477</v>
      </c>
      <c r="K34593" s="18"/>
    </row>
    <row r="34594">
      <c r="B34594" s="17" t="s">
        <v>477</v>
      </c>
      <c r="K34594" s="18"/>
    </row>
    <row r="34595">
      <c r="B34595" s="17" t="s">
        <v>477</v>
      </c>
      <c r="K34595" s="18"/>
    </row>
    <row r="34596">
      <c r="B34596" s="17" t="s">
        <v>477</v>
      </c>
      <c r="K34596" s="18"/>
    </row>
    <row r="34597">
      <c r="B34597" s="17" t="s">
        <v>477</v>
      </c>
      <c r="K34597" s="18"/>
    </row>
    <row r="34598">
      <c r="B34598" s="17" t="s">
        <v>477</v>
      </c>
      <c r="K34598" s="18"/>
    </row>
    <row r="34599">
      <c r="B34599" s="17" t="s">
        <v>477</v>
      </c>
      <c r="K34599" s="18"/>
    </row>
    <row r="34600">
      <c r="B34600" s="17" t="s">
        <v>477</v>
      </c>
      <c r="K34600" s="18"/>
    </row>
    <row r="34601">
      <c r="B34601" s="17" t="s">
        <v>477</v>
      </c>
      <c r="K34601" s="18"/>
    </row>
    <row r="34602">
      <c r="B34602" s="17" t="s">
        <v>477</v>
      </c>
      <c r="K34602" s="18"/>
    </row>
    <row r="34603">
      <c r="B34603" s="17" t="s">
        <v>477</v>
      </c>
      <c r="K34603" s="18"/>
    </row>
    <row r="34604">
      <c r="B34604" s="17" t="s">
        <v>477</v>
      </c>
      <c r="K34604" s="18"/>
    </row>
    <row r="34605">
      <c r="B34605" s="17" t="s">
        <v>477</v>
      </c>
      <c r="K34605" s="18"/>
    </row>
    <row r="34606">
      <c r="B34606" s="17" t="s">
        <v>477</v>
      </c>
      <c r="K34606" s="18"/>
    </row>
    <row r="34607">
      <c r="B34607" s="17" t="s">
        <v>477</v>
      </c>
      <c r="K34607" s="18"/>
    </row>
    <row r="34608">
      <c r="B34608" s="17" t="s">
        <v>477</v>
      </c>
      <c r="K34608" s="18"/>
    </row>
    <row r="34609">
      <c r="B34609" s="17" t="s">
        <v>477</v>
      </c>
      <c r="K34609" s="18"/>
    </row>
    <row r="34610">
      <c r="B34610" s="17" t="s">
        <v>477</v>
      </c>
      <c r="K34610" s="18"/>
    </row>
    <row r="34611">
      <c r="B34611" s="17" t="s">
        <v>477</v>
      </c>
      <c r="K34611" s="18"/>
    </row>
    <row r="34612">
      <c r="B34612" s="17" t="s">
        <v>477</v>
      </c>
      <c r="K34612" s="18"/>
    </row>
    <row r="34613">
      <c r="B34613" s="17" t="s">
        <v>477</v>
      </c>
      <c r="K34613" s="18"/>
    </row>
    <row r="34614">
      <c r="B34614" s="17" t="s">
        <v>477</v>
      </c>
      <c r="K34614" s="18"/>
    </row>
    <row r="34615">
      <c r="B34615" s="17" t="s">
        <v>477</v>
      </c>
      <c r="K34615" s="18"/>
    </row>
    <row r="34616">
      <c r="B34616" s="17" t="s">
        <v>477</v>
      </c>
      <c r="K34616" s="18"/>
    </row>
    <row r="34617">
      <c r="B34617" s="17" t="s">
        <v>477</v>
      </c>
      <c r="K34617" s="18"/>
    </row>
    <row r="34618">
      <c r="B34618" s="17" t="s">
        <v>477</v>
      </c>
      <c r="K34618" s="18"/>
    </row>
    <row r="34619">
      <c r="B34619" s="17" t="s">
        <v>477</v>
      </c>
      <c r="K34619" s="18"/>
    </row>
    <row r="34620">
      <c r="B34620" s="17" t="s">
        <v>477</v>
      </c>
      <c r="K34620" s="18"/>
    </row>
    <row r="34621">
      <c r="B34621" s="17" t="s">
        <v>477</v>
      </c>
      <c r="K34621" s="18"/>
    </row>
    <row r="34622">
      <c r="B34622" s="17" t="s">
        <v>477</v>
      </c>
      <c r="K34622" s="18"/>
    </row>
    <row r="34623">
      <c r="B34623" s="17" t="s">
        <v>477</v>
      </c>
      <c r="K34623" s="18"/>
    </row>
    <row r="34624">
      <c r="B34624" s="17" t="s">
        <v>477</v>
      </c>
      <c r="K34624" s="18"/>
    </row>
    <row r="34625">
      <c r="B34625" s="17" t="s">
        <v>477</v>
      </c>
      <c r="K34625" s="18"/>
    </row>
    <row r="34626">
      <c r="B34626" s="17" t="s">
        <v>477</v>
      </c>
      <c r="K34626" s="18"/>
    </row>
    <row r="34627">
      <c r="B34627" s="17" t="s">
        <v>477</v>
      </c>
      <c r="K34627" s="18"/>
    </row>
    <row r="34628">
      <c r="B34628" s="17" t="s">
        <v>477</v>
      </c>
      <c r="K34628" s="18"/>
    </row>
    <row r="34629">
      <c r="B34629" s="17" t="s">
        <v>477</v>
      </c>
      <c r="K34629" s="18"/>
    </row>
    <row r="34630">
      <c r="B34630" s="17" t="s">
        <v>477</v>
      </c>
      <c r="K34630" s="18"/>
    </row>
    <row r="34631">
      <c r="B34631" s="17" t="s">
        <v>477</v>
      </c>
      <c r="K34631" s="18"/>
    </row>
    <row r="34632">
      <c r="B34632" s="17" t="s">
        <v>477</v>
      </c>
      <c r="K34632" s="18"/>
    </row>
    <row r="34633">
      <c r="B34633" s="17" t="s">
        <v>477</v>
      </c>
      <c r="K34633" s="18"/>
    </row>
    <row r="34634">
      <c r="B34634" s="17" t="s">
        <v>477</v>
      </c>
      <c r="K34634" s="18"/>
    </row>
    <row r="34635">
      <c r="B34635" s="17" t="s">
        <v>477</v>
      </c>
      <c r="K34635" s="18"/>
    </row>
    <row r="34636">
      <c r="B34636" s="17" t="s">
        <v>477</v>
      </c>
      <c r="K34636" s="18"/>
    </row>
    <row r="34637">
      <c r="B34637" s="17" t="s">
        <v>477</v>
      </c>
      <c r="K34637" s="18"/>
    </row>
    <row r="34638">
      <c r="B34638" s="17" t="s">
        <v>477</v>
      </c>
      <c r="K34638" s="18"/>
    </row>
    <row r="34639">
      <c r="B34639" s="17" t="s">
        <v>477</v>
      </c>
      <c r="K34639" s="18"/>
    </row>
    <row r="34640">
      <c r="B34640" s="17" t="s">
        <v>477</v>
      </c>
      <c r="K34640" s="18"/>
    </row>
    <row r="34641">
      <c r="B34641" s="17" t="s">
        <v>477</v>
      </c>
      <c r="K34641" s="18"/>
    </row>
    <row r="34642">
      <c r="B34642" s="17" t="s">
        <v>477</v>
      </c>
      <c r="K34642" s="18"/>
    </row>
    <row r="34643">
      <c r="B34643" s="17" t="s">
        <v>477</v>
      </c>
      <c r="K34643" s="18"/>
    </row>
    <row r="34644">
      <c r="B34644" s="17" t="s">
        <v>477</v>
      </c>
      <c r="K34644" s="18"/>
    </row>
    <row r="34645">
      <c r="B34645" s="17" t="s">
        <v>477</v>
      </c>
      <c r="K34645" s="18"/>
    </row>
    <row r="34646">
      <c r="B34646" s="17" t="s">
        <v>477</v>
      </c>
      <c r="K34646" s="18"/>
    </row>
    <row r="34647">
      <c r="B34647" s="17" t="s">
        <v>477</v>
      </c>
      <c r="K34647" s="18"/>
    </row>
    <row r="34648">
      <c r="B34648" s="17" t="s">
        <v>477</v>
      </c>
      <c r="K34648" s="18"/>
    </row>
    <row r="34649">
      <c r="B34649" s="17" t="s">
        <v>477</v>
      </c>
      <c r="K34649" s="18"/>
    </row>
    <row r="34650">
      <c r="B34650" s="17" t="s">
        <v>477</v>
      </c>
      <c r="K34650" s="18"/>
    </row>
    <row r="34651">
      <c r="B34651" s="17" t="s">
        <v>477</v>
      </c>
      <c r="K34651" s="18"/>
    </row>
    <row r="34652">
      <c r="B34652" s="17" t="s">
        <v>477</v>
      </c>
      <c r="K34652" s="18"/>
    </row>
    <row r="34653">
      <c r="B34653" s="17" t="s">
        <v>477</v>
      </c>
      <c r="K34653" s="18"/>
    </row>
    <row r="34654">
      <c r="B34654" s="17" t="s">
        <v>477</v>
      </c>
      <c r="K34654" s="18"/>
    </row>
    <row r="34655">
      <c r="B34655" s="17" t="s">
        <v>477</v>
      </c>
      <c r="K34655" s="18"/>
    </row>
    <row r="34656">
      <c r="B34656" s="17" t="s">
        <v>477</v>
      </c>
      <c r="K34656" s="18"/>
    </row>
    <row r="34657">
      <c r="B34657" s="17" t="s">
        <v>477</v>
      </c>
      <c r="K34657" s="18"/>
    </row>
    <row r="34658">
      <c r="B34658" s="17" t="s">
        <v>477</v>
      </c>
      <c r="K34658" s="18"/>
    </row>
    <row r="34659">
      <c r="B34659" s="17" t="s">
        <v>477</v>
      </c>
      <c r="K34659" s="18"/>
    </row>
    <row r="34660">
      <c r="B34660" s="17" t="s">
        <v>477</v>
      </c>
      <c r="K34660" s="18"/>
    </row>
    <row r="34661">
      <c r="B34661" s="17" t="s">
        <v>477</v>
      </c>
      <c r="K34661" s="18"/>
    </row>
    <row r="34662">
      <c r="B34662" s="17" t="s">
        <v>477</v>
      </c>
      <c r="K34662" s="18"/>
    </row>
    <row r="34663">
      <c r="B34663" s="17" t="s">
        <v>477</v>
      </c>
      <c r="K34663" s="18"/>
    </row>
    <row r="34664">
      <c r="B34664" s="17" t="s">
        <v>477</v>
      </c>
      <c r="K34664" s="18"/>
    </row>
    <row r="34665">
      <c r="B34665" s="17" t="s">
        <v>477</v>
      </c>
      <c r="K34665" s="18"/>
    </row>
    <row r="34666">
      <c r="B34666" s="17" t="s">
        <v>477</v>
      </c>
      <c r="K34666" s="18"/>
    </row>
    <row r="34667">
      <c r="B34667" s="17" t="s">
        <v>477</v>
      </c>
      <c r="K34667" s="18"/>
    </row>
    <row r="34668">
      <c r="B34668" s="17" t="s">
        <v>477</v>
      </c>
      <c r="K34668" s="18"/>
    </row>
    <row r="34669">
      <c r="B34669" s="17" t="s">
        <v>477</v>
      </c>
      <c r="K34669" s="18"/>
    </row>
    <row r="34670">
      <c r="B34670" s="17" t="s">
        <v>477</v>
      </c>
      <c r="K34670" s="18"/>
    </row>
    <row r="34671">
      <c r="B34671" s="17" t="s">
        <v>477</v>
      </c>
      <c r="K34671" s="18"/>
    </row>
    <row r="34672">
      <c r="B34672" s="17" t="s">
        <v>477</v>
      </c>
      <c r="K34672" s="18"/>
    </row>
    <row r="34673">
      <c r="B34673" s="17" t="s">
        <v>477</v>
      </c>
      <c r="K34673" s="18"/>
    </row>
    <row r="34674">
      <c r="B34674" s="17" t="s">
        <v>477</v>
      </c>
      <c r="K34674" s="18"/>
    </row>
    <row r="34675">
      <c r="B34675" s="17" t="s">
        <v>477</v>
      </c>
      <c r="K34675" s="18"/>
    </row>
    <row r="34676">
      <c r="B34676" s="17" t="s">
        <v>477</v>
      </c>
      <c r="K34676" s="18"/>
    </row>
    <row r="34677">
      <c r="B34677" s="17" t="s">
        <v>477</v>
      </c>
      <c r="K34677" s="18"/>
    </row>
    <row r="34678">
      <c r="B34678" s="17" t="s">
        <v>477</v>
      </c>
      <c r="K34678" s="18"/>
    </row>
    <row r="34679">
      <c r="B34679" s="17" t="s">
        <v>477</v>
      </c>
      <c r="K34679" s="18"/>
    </row>
    <row r="34680">
      <c r="B34680" s="17" t="s">
        <v>477</v>
      </c>
      <c r="K34680" s="18"/>
    </row>
    <row r="34681">
      <c r="B34681" s="17" t="s">
        <v>477</v>
      </c>
      <c r="K34681" s="18"/>
    </row>
    <row r="34682">
      <c r="B34682" s="17" t="s">
        <v>477</v>
      </c>
      <c r="K34682" s="18"/>
    </row>
    <row r="34683">
      <c r="B34683" s="17" t="s">
        <v>477</v>
      </c>
      <c r="K34683" s="18"/>
    </row>
    <row r="34684">
      <c r="B34684" s="17" t="s">
        <v>477</v>
      </c>
      <c r="K34684" s="18"/>
    </row>
    <row r="34685">
      <c r="B34685" s="17" t="s">
        <v>477</v>
      </c>
      <c r="K34685" s="18"/>
    </row>
    <row r="34686">
      <c r="B34686" s="17" t="s">
        <v>477</v>
      </c>
      <c r="K34686" s="18"/>
    </row>
    <row r="34687">
      <c r="B34687" s="17" t="s">
        <v>477</v>
      </c>
      <c r="K34687" s="18"/>
    </row>
    <row r="34688">
      <c r="B34688" s="17" t="s">
        <v>477</v>
      </c>
      <c r="K34688" s="18"/>
    </row>
    <row r="34689">
      <c r="B34689" s="17" t="s">
        <v>477</v>
      </c>
      <c r="K34689" s="18"/>
    </row>
    <row r="34690">
      <c r="B34690" s="17" t="s">
        <v>477</v>
      </c>
      <c r="K34690" s="18"/>
    </row>
    <row r="34691">
      <c r="B34691" s="17" t="s">
        <v>477</v>
      </c>
      <c r="K34691" s="18"/>
    </row>
    <row r="34692">
      <c r="B34692" s="17" t="s">
        <v>477</v>
      </c>
      <c r="K34692" s="18"/>
    </row>
    <row r="34693">
      <c r="B34693" s="17" t="s">
        <v>477</v>
      </c>
      <c r="K34693" s="18"/>
    </row>
    <row r="34694">
      <c r="B34694" s="17" t="s">
        <v>477</v>
      </c>
      <c r="K34694" s="18"/>
    </row>
    <row r="34695">
      <c r="B34695" s="17" t="s">
        <v>477</v>
      </c>
      <c r="K34695" s="18"/>
    </row>
    <row r="34696">
      <c r="B34696" s="17" t="s">
        <v>477</v>
      </c>
      <c r="K34696" s="18"/>
    </row>
    <row r="34697">
      <c r="B34697" s="17" t="s">
        <v>477</v>
      </c>
      <c r="K34697" s="18"/>
    </row>
    <row r="34698">
      <c r="B34698" s="17" t="s">
        <v>477</v>
      </c>
      <c r="K34698" s="18"/>
    </row>
    <row r="34699">
      <c r="B34699" s="17" t="s">
        <v>477</v>
      </c>
      <c r="K34699" s="18"/>
    </row>
    <row r="34700">
      <c r="B34700" s="17" t="s">
        <v>477</v>
      </c>
      <c r="K34700" s="18"/>
    </row>
    <row r="34701">
      <c r="B34701" s="17" t="s">
        <v>477</v>
      </c>
      <c r="K34701" s="18"/>
    </row>
    <row r="34702">
      <c r="B34702" s="17" t="s">
        <v>477</v>
      </c>
      <c r="K34702" s="18"/>
    </row>
    <row r="34703">
      <c r="B34703" s="17" t="s">
        <v>477</v>
      </c>
      <c r="K34703" s="18"/>
    </row>
    <row r="34704">
      <c r="B34704" s="17" t="s">
        <v>477</v>
      </c>
      <c r="K34704" s="18"/>
    </row>
    <row r="34705">
      <c r="B34705" s="17" t="s">
        <v>477</v>
      </c>
      <c r="K34705" s="18"/>
    </row>
    <row r="34706">
      <c r="B34706" s="17" t="s">
        <v>477</v>
      </c>
      <c r="K34706" s="18"/>
    </row>
    <row r="34707">
      <c r="B34707" s="17" t="s">
        <v>477</v>
      </c>
      <c r="K34707" s="18"/>
    </row>
    <row r="34708">
      <c r="B34708" s="17" t="s">
        <v>477</v>
      </c>
      <c r="K34708" s="18"/>
    </row>
    <row r="34709">
      <c r="B34709" s="17" t="s">
        <v>477</v>
      </c>
      <c r="K34709" s="18"/>
    </row>
    <row r="34710">
      <c r="B34710" s="17" t="s">
        <v>477</v>
      </c>
      <c r="K34710" s="18"/>
    </row>
    <row r="34711">
      <c r="B34711" s="17" t="s">
        <v>477</v>
      </c>
      <c r="K34711" s="18"/>
    </row>
    <row r="34712">
      <c r="B34712" s="17" t="s">
        <v>477</v>
      </c>
      <c r="K34712" s="18"/>
    </row>
    <row r="34713">
      <c r="B34713" s="17" t="s">
        <v>477</v>
      </c>
      <c r="K34713" s="18"/>
    </row>
    <row r="34714">
      <c r="B34714" s="17" t="s">
        <v>477</v>
      </c>
      <c r="K34714" s="18"/>
    </row>
    <row r="34715">
      <c r="B34715" s="17" t="s">
        <v>477</v>
      </c>
      <c r="K34715" s="18"/>
    </row>
    <row r="34716">
      <c r="B34716" s="17" t="s">
        <v>477</v>
      </c>
      <c r="K34716" s="18"/>
    </row>
    <row r="34717">
      <c r="B34717" s="17" t="s">
        <v>477</v>
      </c>
      <c r="K34717" s="18"/>
    </row>
    <row r="34718">
      <c r="B34718" s="17" t="s">
        <v>477</v>
      </c>
      <c r="K34718" s="18"/>
    </row>
    <row r="34719">
      <c r="B34719" s="17" t="s">
        <v>477</v>
      </c>
      <c r="K34719" s="18"/>
    </row>
    <row r="34720">
      <c r="B34720" s="17" t="s">
        <v>477</v>
      </c>
      <c r="K34720" s="18"/>
    </row>
    <row r="34721">
      <c r="B34721" s="17" t="s">
        <v>477</v>
      </c>
      <c r="K34721" s="18"/>
    </row>
    <row r="34722">
      <c r="B34722" s="17" t="s">
        <v>477</v>
      </c>
      <c r="K34722" s="18"/>
    </row>
    <row r="34723">
      <c r="B34723" s="17" t="s">
        <v>477</v>
      </c>
      <c r="K34723" s="18"/>
    </row>
    <row r="34724">
      <c r="B34724" s="17" t="s">
        <v>477</v>
      </c>
      <c r="K34724" s="18"/>
    </row>
    <row r="34725">
      <c r="B34725" s="17" t="s">
        <v>477</v>
      </c>
      <c r="K34725" s="18"/>
    </row>
    <row r="34726">
      <c r="B34726" s="17" t="s">
        <v>477</v>
      </c>
      <c r="K34726" s="18"/>
    </row>
    <row r="34727">
      <c r="B34727" s="17" t="s">
        <v>477</v>
      </c>
      <c r="K34727" s="18"/>
    </row>
    <row r="34728">
      <c r="B34728" s="17" t="s">
        <v>477</v>
      </c>
      <c r="K34728" s="18"/>
    </row>
    <row r="34729">
      <c r="B34729" s="17" t="s">
        <v>477</v>
      </c>
      <c r="K34729" s="18"/>
    </row>
    <row r="34730">
      <c r="B34730" s="17" t="s">
        <v>477</v>
      </c>
      <c r="K34730" s="18"/>
    </row>
    <row r="34731">
      <c r="B34731" s="17" t="s">
        <v>477</v>
      </c>
      <c r="K34731" s="18"/>
    </row>
    <row r="34732">
      <c r="B34732" s="17" t="s">
        <v>477</v>
      </c>
      <c r="K34732" s="18"/>
    </row>
    <row r="34733">
      <c r="B34733" s="17" t="s">
        <v>477</v>
      </c>
      <c r="K34733" s="18"/>
    </row>
    <row r="34734">
      <c r="B34734" s="17" t="s">
        <v>477</v>
      </c>
      <c r="K34734" s="18"/>
    </row>
    <row r="34735">
      <c r="B34735" s="17" t="s">
        <v>477</v>
      </c>
      <c r="K34735" s="18"/>
    </row>
    <row r="34736">
      <c r="B34736" s="17" t="s">
        <v>477</v>
      </c>
      <c r="K34736" s="18"/>
    </row>
    <row r="34737">
      <c r="B34737" s="17" t="s">
        <v>477</v>
      </c>
      <c r="K34737" s="18"/>
    </row>
    <row r="34738">
      <c r="B34738" s="17" t="s">
        <v>477</v>
      </c>
      <c r="K34738" s="18"/>
    </row>
    <row r="34739">
      <c r="B34739" s="17" t="s">
        <v>477</v>
      </c>
      <c r="K34739" s="18"/>
    </row>
    <row r="34740">
      <c r="B34740" s="17" t="s">
        <v>477</v>
      </c>
      <c r="K34740" s="18"/>
    </row>
    <row r="34741">
      <c r="B34741" s="17" t="s">
        <v>477</v>
      </c>
      <c r="K34741" s="18"/>
    </row>
    <row r="34742">
      <c r="B34742" s="17" t="s">
        <v>477</v>
      </c>
      <c r="K34742" s="18"/>
    </row>
    <row r="34743">
      <c r="B34743" s="17" t="s">
        <v>477</v>
      </c>
      <c r="K34743" s="18"/>
    </row>
    <row r="34744">
      <c r="B34744" s="17" t="s">
        <v>477</v>
      </c>
      <c r="K34744" s="18"/>
    </row>
    <row r="34745">
      <c r="B34745" s="17" t="s">
        <v>477</v>
      </c>
      <c r="K34745" s="18"/>
    </row>
    <row r="34746">
      <c r="B34746" s="17" t="s">
        <v>477</v>
      </c>
      <c r="K34746" s="18"/>
    </row>
    <row r="34747">
      <c r="B34747" s="17" t="s">
        <v>477</v>
      </c>
      <c r="K34747" s="18"/>
    </row>
    <row r="34748">
      <c r="B34748" s="17" t="s">
        <v>477</v>
      </c>
      <c r="K34748" s="18"/>
    </row>
    <row r="34749">
      <c r="B34749" s="17" t="s">
        <v>477</v>
      </c>
      <c r="K34749" s="18"/>
    </row>
    <row r="34750">
      <c r="B34750" s="17" t="s">
        <v>477</v>
      </c>
      <c r="K34750" s="18"/>
    </row>
    <row r="34751">
      <c r="B34751" s="17" t="s">
        <v>477</v>
      </c>
      <c r="K34751" s="18"/>
    </row>
    <row r="34752">
      <c r="B34752" s="17" t="s">
        <v>477</v>
      </c>
      <c r="K34752" s="18"/>
    </row>
    <row r="34753">
      <c r="B34753" s="17" t="s">
        <v>477</v>
      </c>
      <c r="K34753" s="18"/>
    </row>
    <row r="34754">
      <c r="B34754" s="17" t="s">
        <v>477</v>
      </c>
      <c r="K34754" s="18"/>
    </row>
    <row r="34755">
      <c r="B34755" s="17" t="s">
        <v>477</v>
      </c>
      <c r="K34755" s="18"/>
    </row>
    <row r="34756">
      <c r="B34756" s="17" t="s">
        <v>477</v>
      </c>
      <c r="K34756" s="18"/>
    </row>
    <row r="34757">
      <c r="B34757" s="17" t="s">
        <v>477</v>
      </c>
      <c r="K34757" s="18"/>
    </row>
    <row r="34758">
      <c r="B34758" s="17" t="s">
        <v>477</v>
      </c>
      <c r="K34758" s="18"/>
    </row>
    <row r="34759">
      <c r="B34759" s="17" t="s">
        <v>477</v>
      </c>
      <c r="K34759" s="18"/>
    </row>
    <row r="34760">
      <c r="B34760" s="17" t="s">
        <v>477</v>
      </c>
      <c r="K34760" s="18"/>
    </row>
    <row r="34761">
      <c r="B34761" s="17" t="s">
        <v>477</v>
      </c>
      <c r="K34761" s="18"/>
    </row>
    <row r="34762">
      <c r="B34762" s="17" t="s">
        <v>477</v>
      </c>
      <c r="K34762" s="18"/>
    </row>
    <row r="34763">
      <c r="B34763" s="17" t="s">
        <v>477</v>
      </c>
      <c r="K34763" s="18"/>
    </row>
    <row r="34764">
      <c r="B34764" s="17" t="s">
        <v>477</v>
      </c>
      <c r="K34764" s="18"/>
    </row>
    <row r="34765">
      <c r="B34765" s="17" t="s">
        <v>477</v>
      </c>
      <c r="K34765" s="18"/>
    </row>
    <row r="34766">
      <c r="B34766" s="17" t="s">
        <v>477</v>
      </c>
      <c r="K34766" s="18"/>
    </row>
    <row r="34767">
      <c r="B34767" s="17" t="s">
        <v>477</v>
      </c>
      <c r="K34767" s="18"/>
    </row>
    <row r="34768">
      <c r="B34768" s="17" t="s">
        <v>477</v>
      </c>
      <c r="K34768" s="18"/>
    </row>
    <row r="34769">
      <c r="B34769" s="17" t="s">
        <v>477</v>
      </c>
      <c r="K34769" s="18"/>
    </row>
    <row r="34770">
      <c r="B34770" s="17" t="s">
        <v>477</v>
      </c>
      <c r="K34770" s="18"/>
    </row>
    <row r="34771">
      <c r="B34771" s="17" t="s">
        <v>477</v>
      </c>
      <c r="K34771" s="18"/>
    </row>
    <row r="34772">
      <c r="B34772" s="17" t="s">
        <v>477</v>
      </c>
      <c r="K34772" s="18"/>
    </row>
    <row r="34773">
      <c r="B34773" s="17" t="s">
        <v>477</v>
      </c>
      <c r="K34773" s="18"/>
    </row>
    <row r="34774">
      <c r="B34774" s="17" t="s">
        <v>477</v>
      </c>
      <c r="K34774" s="18"/>
    </row>
    <row r="34775">
      <c r="B34775" s="17" t="s">
        <v>477</v>
      </c>
      <c r="K34775" s="18"/>
    </row>
    <row r="34776">
      <c r="B34776" s="17" t="s">
        <v>477</v>
      </c>
      <c r="K34776" s="18"/>
    </row>
    <row r="34777">
      <c r="B34777" s="17" t="s">
        <v>477</v>
      </c>
      <c r="K34777" s="18"/>
    </row>
    <row r="34778">
      <c r="B34778" s="17" t="s">
        <v>477</v>
      </c>
      <c r="K34778" s="18"/>
    </row>
    <row r="34779">
      <c r="B34779" s="17" t="s">
        <v>477</v>
      </c>
      <c r="K34779" s="18"/>
    </row>
    <row r="34780">
      <c r="B34780" s="17" t="s">
        <v>477</v>
      </c>
      <c r="K34780" s="18"/>
    </row>
    <row r="34781">
      <c r="B34781" s="17" t="s">
        <v>477</v>
      </c>
      <c r="K34781" s="18"/>
    </row>
    <row r="34782">
      <c r="B34782" s="17" t="s">
        <v>477</v>
      </c>
      <c r="K34782" s="18"/>
    </row>
    <row r="34783">
      <c r="B34783" s="17" t="s">
        <v>477</v>
      </c>
      <c r="K34783" s="18"/>
    </row>
    <row r="34784">
      <c r="B34784" s="17" t="s">
        <v>477</v>
      </c>
      <c r="K34784" s="18"/>
    </row>
    <row r="34785">
      <c r="B34785" s="17" t="s">
        <v>477</v>
      </c>
      <c r="K34785" s="18"/>
    </row>
    <row r="34786">
      <c r="B34786" s="17" t="s">
        <v>477</v>
      </c>
      <c r="K34786" s="18"/>
    </row>
    <row r="34787">
      <c r="B34787" s="17" t="s">
        <v>477</v>
      </c>
      <c r="K34787" s="18"/>
    </row>
    <row r="34788">
      <c r="B34788" s="17" t="s">
        <v>477</v>
      </c>
      <c r="K34788" s="18"/>
    </row>
    <row r="34789">
      <c r="B34789" s="17" t="s">
        <v>477</v>
      </c>
      <c r="K34789" s="18"/>
    </row>
    <row r="34790">
      <c r="B34790" s="17" t="s">
        <v>477</v>
      </c>
      <c r="K34790" s="18"/>
    </row>
    <row r="34791">
      <c r="B34791" s="17" t="s">
        <v>477</v>
      </c>
      <c r="K34791" s="18"/>
    </row>
    <row r="34792">
      <c r="B34792" s="17" t="s">
        <v>477</v>
      </c>
      <c r="K34792" s="18"/>
    </row>
    <row r="34793">
      <c r="B34793" s="17" t="s">
        <v>477</v>
      </c>
      <c r="K34793" s="18"/>
    </row>
    <row r="34794">
      <c r="B34794" s="17" t="s">
        <v>477</v>
      </c>
      <c r="K34794" s="18"/>
    </row>
    <row r="34795">
      <c r="B34795" s="17" t="s">
        <v>477</v>
      </c>
      <c r="K34795" s="18"/>
    </row>
    <row r="34796">
      <c r="B34796" s="17" t="s">
        <v>477</v>
      </c>
      <c r="K34796" s="18"/>
    </row>
    <row r="34797">
      <c r="B34797" s="17" t="s">
        <v>477</v>
      </c>
      <c r="K34797" s="18"/>
    </row>
    <row r="34798">
      <c r="B34798" s="17" t="s">
        <v>477</v>
      </c>
      <c r="K34798" s="18"/>
    </row>
    <row r="34799">
      <c r="B34799" s="17" t="s">
        <v>477</v>
      </c>
      <c r="K34799" s="18"/>
    </row>
    <row r="34800">
      <c r="B34800" s="17" t="s">
        <v>477</v>
      </c>
      <c r="K34800" s="18"/>
    </row>
    <row r="34801">
      <c r="B34801" s="17" t="s">
        <v>477</v>
      </c>
      <c r="K34801" s="18"/>
    </row>
    <row r="34802">
      <c r="B34802" s="17" t="s">
        <v>477</v>
      </c>
      <c r="K34802" s="18"/>
    </row>
    <row r="34803">
      <c r="B34803" s="17" t="s">
        <v>477</v>
      </c>
      <c r="K34803" s="18"/>
    </row>
    <row r="34804">
      <c r="B34804" s="17" t="s">
        <v>477</v>
      </c>
      <c r="K34804" s="18"/>
    </row>
    <row r="34805">
      <c r="B34805" s="17" t="s">
        <v>477</v>
      </c>
      <c r="K34805" s="18"/>
    </row>
    <row r="34806">
      <c r="B34806" s="17" t="s">
        <v>477</v>
      </c>
      <c r="K34806" s="18"/>
    </row>
    <row r="34807">
      <c r="B34807" s="17" t="s">
        <v>477</v>
      </c>
      <c r="K34807" s="18"/>
    </row>
    <row r="34808">
      <c r="B34808" s="17" t="s">
        <v>477</v>
      </c>
      <c r="K34808" s="18"/>
    </row>
    <row r="34809">
      <c r="B34809" s="17" t="s">
        <v>477</v>
      </c>
      <c r="K34809" s="18"/>
    </row>
    <row r="34810">
      <c r="B34810" s="17" t="s">
        <v>477</v>
      </c>
      <c r="K34810" s="18"/>
    </row>
    <row r="34811">
      <c r="B34811" s="17" t="s">
        <v>477</v>
      </c>
      <c r="K34811" s="18"/>
    </row>
    <row r="34812">
      <c r="B34812" s="17" t="s">
        <v>477</v>
      </c>
      <c r="K34812" s="18"/>
    </row>
    <row r="34813">
      <c r="B34813" s="17" t="s">
        <v>477</v>
      </c>
      <c r="K34813" s="18"/>
    </row>
    <row r="34814">
      <c r="B34814" s="17" t="s">
        <v>477</v>
      </c>
      <c r="K34814" s="18"/>
    </row>
    <row r="34815">
      <c r="B34815" s="17" t="s">
        <v>477</v>
      </c>
      <c r="K34815" s="18"/>
    </row>
    <row r="34816">
      <c r="B34816" s="17" t="s">
        <v>477</v>
      </c>
      <c r="K34816" s="18"/>
    </row>
    <row r="34817">
      <c r="B34817" s="17" t="s">
        <v>477</v>
      </c>
      <c r="K34817" s="18"/>
    </row>
    <row r="34818">
      <c r="B34818" s="17" t="s">
        <v>477</v>
      </c>
      <c r="K34818" s="18"/>
    </row>
    <row r="34819">
      <c r="B34819" s="17" t="s">
        <v>477</v>
      </c>
      <c r="K34819" s="18"/>
    </row>
    <row r="34820">
      <c r="B34820" s="17" t="s">
        <v>477</v>
      </c>
      <c r="K34820" s="18"/>
    </row>
    <row r="34821">
      <c r="B34821" s="17" t="s">
        <v>477</v>
      </c>
      <c r="K34821" s="18"/>
    </row>
    <row r="34822">
      <c r="B34822" s="17" t="s">
        <v>477</v>
      </c>
      <c r="K34822" s="18"/>
    </row>
    <row r="34823">
      <c r="B34823" s="17" t="s">
        <v>477</v>
      </c>
      <c r="K34823" s="18"/>
    </row>
    <row r="34824">
      <c r="B34824" s="17" t="s">
        <v>477</v>
      </c>
      <c r="K34824" s="18"/>
    </row>
    <row r="34825">
      <c r="B34825" s="17" t="s">
        <v>477</v>
      </c>
      <c r="K34825" s="18"/>
    </row>
    <row r="34826">
      <c r="B34826" s="17" t="s">
        <v>477</v>
      </c>
      <c r="K34826" s="18"/>
    </row>
    <row r="34827">
      <c r="B34827" s="17" t="s">
        <v>477</v>
      </c>
      <c r="K34827" s="18"/>
    </row>
    <row r="34828">
      <c r="B34828" s="17" t="s">
        <v>477</v>
      </c>
      <c r="K34828" s="18"/>
    </row>
    <row r="34829">
      <c r="B34829" s="17" t="s">
        <v>477</v>
      </c>
      <c r="K34829" s="18"/>
    </row>
    <row r="34830">
      <c r="B34830" s="17" t="s">
        <v>477</v>
      </c>
      <c r="K34830" s="18"/>
    </row>
    <row r="34831">
      <c r="B34831" s="17" t="s">
        <v>477</v>
      </c>
      <c r="K34831" s="18"/>
    </row>
    <row r="34832">
      <c r="B34832" s="17" t="s">
        <v>477</v>
      </c>
      <c r="K34832" s="18"/>
    </row>
    <row r="34833">
      <c r="B34833" s="17" t="s">
        <v>477</v>
      </c>
      <c r="K34833" s="18"/>
    </row>
    <row r="34834">
      <c r="B34834" s="17" t="s">
        <v>477</v>
      </c>
      <c r="K34834" s="18"/>
    </row>
    <row r="34835">
      <c r="B34835" s="17" t="s">
        <v>477</v>
      </c>
      <c r="K34835" s="18"/>
    </row>
    <row r="34836">
      <c r="B34836" s="17" t="s">
        <v>477</v>
      </c>
      <c r="K34836" s="18"/>
    </row>
    <row r="34837">
      <c r="B34837" s="17" t="s">
        <v>477</v>
      </c>
      <c r="K34837" s="18"/>
    </row>
    <row r="34838">
      <c r="B34838" s="17" t="s">
        <v>477</v>
      </c>
      <c r="K34838" s="18"/>
    </row>
    <row r="34839">
      <c r="B34839" s="17" t="s">
        <v>477</v>
      </c>
      <c r="K34839" s="18"/>
    </row>
    <row r="34840">
      <c r="B34840" s="17" t="s">
        <v>477</v>
      </c>
      <c r="K34840" s="18"/>
    </row>
    <row r="34841">
      <c r="B34841" s="17" t="s">
        <v>477</v>
      </c>
      <c r="K34841" s="18"/>
    </row>
    <row r="34842">
      <c r="B34842" s="17" t="s">
        <v>477</v>
      </c>
      <c r="K34842" s="18"/>
    </row>
    <row r="34843">
      <c r="B34843" s="17" t="s">
        <v>477</v>
      </c>
      <c r="K34843" s="18"/>
    </row>
    <row r="34844">
      <c r="B34844" s="17" t="s">
        <v>477</v>
      </c>
      <c r="K34844" s="18"/>
    </row>
    <row r="34845">
      <c r="B34845" s="17" t="s">
        <v>477</v>
      </c>
      <c r="K34845" s="18"/>
    </row>
    <row r="34846">
      <c r="B34846" s="17" t="s">
        <v>477</v>
      </c>
      <c r="K34846" s="18"/>
    </row>
    <row r="34847">
      <c r="B34847" s="17" t="s">
        <v>477</v>
      </c>
      <c r="K34847" s="18"/>
    </row>
    <row r="34848">
      <c r="B34848" s="17" t="s">
        <v>477</v>
      </c>
      <c r="K34848" s="18"/>
    </row>
    <row r="34849">
      <c r="B34849" s="17" t="s">
        <v>477</v>
      </c>
      <c r="K34849" s="18"/>
    </row>
    <row r="34850">
      <c r="B34850" s="17" t="s">
        <v>477</v>
      </c>
      <c r="K34850" s="18"/>
    </row>
    <row r="34851">
      <c r="B34851" s="17" t="s">
        <v>477</v>
      </c>
      <c r="K34851" s="18"/>
    </row>
    <row r="34852">
      <c r="B34852" s="17" t="s">
        <v>477</v>
      </c>
      <c r="K34852" s="18"/>
    </row>
    <row r="34853">
      <c r="B34853" s="17" t="s">
        <v>477</v>
      </c>
      <c r="K34853" s="18"/>
    </row>
    <row r="34854">
      <c r="B34854" s="17" t="s">
        <v>477</v>
      </c>
      <c r="K34854" s="18"/>
    </row>
    <row r="34855">
      <c r="B34855" s="17" t="s">
        <v>477</v>
      </c>
      <c r="K34855" s="18"/>
    </row>
    <row r="34856">
      <c r="B34856" s="17" t="s">
        <v>477</v>
      </c>
      <c r="K34856" s="18"/>
    </row>
    <row r="34857">
      <c r="B34857" s="17" t="s">
        <v>477</v>
      </c>
      <c r="K34857" s="18"/>
    </row>
    <row r="34858">
      <c r="B34858" s="17" t="s">
        <v>477</v>
      </c>
      <c r="K34858" s="18"/>
    </row>
    <row r="34859">
      <c r="B34859" s="17" t="s">
        <v>477</v>
      </c>
      <c r="K34859" s="18"/>
    </row>
    <row r="34860">
      <c r="B34860" s="17" t="s">
        <v>477</v>
      </c>
      <c r="K34860" s="18"/>
    </row>
    <row r="34861">
      <c r="B34861" s="17" t="s">
        <v>477</v>
      </c>
      <c r="K34861" s="18"/>
    </row>
    <row r="34862">
      <c r="B34862" s="17" t="s">
        <v>477</v>
      </c>
      <c r="K34862" s="18"/>
    </row>
    <row r="34863">
      <c r="B34863" s="17" t="s">
        <v>477</v>
      </c>
      <c r="K34863" s="18"/>
    </row>
    <row r="34864">
      <c r="B34864" s="17" t="s">
        <v>477</v>
      </c>
      <c r="K34864" s="18"/>
    </row>
    <row r="34865">
      <c r="B34865" s="17" t="s">
        <v>477</v>
      </c>
      <c r="K34865" s="18"/>
    </row>
    <row r="34866">
      <c r="B34866" s="17" t="s">
        <v>477</v>
      </c>
      <c r="K34866" s="18"/>
    </row>
    <row r="34867">
      <c r="B34867" s="17" t="s">
        <v>477</v>
      </c>
      <c r="K34867" s="18"/>
    </row>
    <row r="34868">
      <c r="B34868" s="17" t="s">
        <v>477</v>
      </c>
      <c r="K34868" s="18"/>
    </row>
    <row r="34869">
      <c r="B34869" s="17" t="s">
        <v>477</v>
      </c>
      <c r="K34869" s="18"/>
    </row>
    <row r="34870">
      <c r="B34870" s="17" t="s">
        <v>477</v>
      </c>
      <c r="K34870" s="18"/>
    </row>
    <row r="34871">
      <c r="B34871" s="17" t="s">
        <v>477</v>
      </c>
      <c r="K34871" s="18"/>
    </row>
    <row r="34872">
      <c r="B34872" s="17" t="s">
        <v>477</v>
      </c>
      <c r="K34872" s="18"/>
    </row>
    <row r="34873">
      <c r="B34873" s="17" t="s">
        <v>477</v>
      </c>
      <c r="K34873" s="18"/>
    </row>
    <row r="34874">
      <c r="B34874" s="17" t="s">
        <v>477</v>
      </c>
      <c r="K34874" s="18"/>
    </row>
    <row r="34875">
      <c r="B34875" s="17" t="s">
        <v>477</v>
      </c>
      <c r="K34875" s="18"/>
    </row>
    <row r="34876">
      <c r="B34876" s="17" t="s">
        <v>477</v>
      </c>
      <c r="K34876" s="18"/>
    </row>
    <row r="34877">
      <c r="B34877" s="17" t="s">
        <v>477</v>
      </c>
      <c r="K34877" s="18"/>
    </row>
    <row r="34878">
      <c r="B34878" s="17" t="s">
        <v>477</v>
      </c>
      <c r="K34878" s="18"/>
    </row>
    <row r="34879">
      <c r="B34879" s="17" t="s">
        <v>477</v>
      </c>
      <c r="K34879" s="18"/>
    </row>
    <row r="34880">
      <c r="B34880" s="17" t="s">
        <v>477</v>
      </c>
      <c r="K34880" s="18"/>
    </row>
    <row r="34881">
      <c r="B34881" s="17" t="s">
        <v>477</v>
      </c>
      <c r="K34881" s="18"/>
    </row>
    <row r="34882">
      <c r="B34882" s="17" t="s">
        <v>477</v>
      </c>
      <c r="K34882" s="18"/>
    </row>
    <row r="34883">
      <c r="B34883" s="17" t="s">
        <v>477</v>
      </c>
      <c r="K34883" s="18"/>
    </row>
    <row r="34884">
      <c r="B34884" s="17" t="s">
        <v>477</v>
      </c>
      <c r="K34884" s="18"/>
    </row>
    <row r="34885">
      <c r="B34885" s="17" t="s">
        <v>477</v>
      </c>
      <c r="K34885" s="18"/>
    </row>
    <row r="34886">
      <c r="B34886" s="17" t="s">
        <v>477</v>
      </c>
      <c r="K34886" s="18"/>
    </row>
    <row r="34887">
      <c r="B34887" s="17" t="s">
        <v>477</v>
      </c>
      <c r="K34887" s="18"/>
    </row>
    <row r="34888">
      <c r="B34888" s="17" t="s">
        <v>477</v>
      </c>
      <c r="K34888" s="18"/>
    </row>
    <row r="34889">
      <c r="B34889" s="17" t="s">
        <v>477</v>
      </c>
      <c r="K34889" s="18"/>
    </row>
    <row r="34890">
      <c r="B34890" s="17" t="s">
        <v>477</v>
      </c>
      <c r="K34890" s="18"/>
    </row>
    <row r="34891">
      <c r="B34891" s="17" t="s">
        <v>477</v>
      </c>
      <c r="K34891" s="18"/>
    </row>
    <row r="34892">
      <c r="B34892" s="17" t="s">
        <v>477</v>
      </c>
      <c r="K34892" s="18"/>
    </row>
    <row r="34893">
      <c r="B34893" s="17" t="s">
        <v>477</v>
      </c>
      <c r="K34893" s="18"/>
    </row>
    <row r="34894">
      <c r="B34894" s="17" t="s">
        <v>477</v>
      </c>
      <c r="K34894" s="18"/>
    </row>
    <row r="34895">
      <c r="B34895" s="17" t="s">
        <v>477</v>
      </c>
      <c r="K34895" s="18"/>
    </row>
    <row r="34896">
      <c r="B34896" s="17" t="s">
        <v>477</v>
      </c>
      <c r="K34896" s="18"/>
    </row>
    <row r="34897">
      <c r="B34897" s="17" t="s">
        <v>477</v>
      </c>
      <c r="K34897" s="18"/>
    </row>
    <row r="34898">
      <c r="B34898" s="17" t="s">
        <v>477</v>
      </c>
      <c r="K34898" s="18"/>
    </row>
    <row r="34899">
      <c r="B34899" s="17" t="s">
        <v>477</v>
      </c>
      <c r="K34899" s="18"/>
    </row>
    <row r="34900">
      <c r="B34900" s="17" t="s">
        <v>477</v>
      </c>
      <c r="K34900" s="18"/>
    </row>
    <row r="34901">
      <c r="B34901" s="17" t="s">
        <v>477</v>
      </c>
      <c r="K34901" s="18"/>
    </row>
    <row r="34902">
      <c r="B34902" s="17" t="s">
        <v>477</v>
      </c>
      <c r="K34902" s="18"/>
    </row>
    <row r="34903">
      <c r="B34903" s="17" t="s">
        <v>477</v>
      </c>
      <c r="K34903" s="18"/>
    </row>
    <row r="34904">
      <c r="B34904" s="17" t="s">
        <v>477</v>
      </c>
      <c r="K34904" s="18"/>
    </row>
    <row r="34905">
      <c r="B34905" s="17" t="s">
        <v>477</v>
      </c>
      <c r="K34905" s="18"/>
    </row>
    <row r="34906">
      <c r="B34906" s="17" t="s">
        <v>477</v>
      </c>
      <c r="K34906" s="18"/>
    </row>
    <row r="34907">
      <c r="B34907" s="17" t="s">
        <v>477</v>
      </c>
      <c r="K34907" s="18"/>
    </row>
    <row r="34908">
      <c r="B34908" s="17" t="s">
        <v>477</v>
      </c>
      <c r="K34908" s="18"/>
    </row>
    <row r="34909">
      <c r="B34909" s="17" t="s">
        <v>477</v>
      </c>
      <c r="K34909" s="18"/>
    </row>
    <row r="34910">
      <c r="B34910" s="17" t="s">
        <v>477</v>
      </c>
      <c r="K34910" s="18"/>
    </row>
    <row r="34911">
      <c r="B34911" s="17" t="s">
        <v>477</v>
      </c>
      <c r="K34911" s="18"/>
    </row>
    <row r="34912">
      <c r="B34912" s="17" t="s">
        <v>477</v>
      </c>
      <c r="K34912" s="18"/>
    </row>
    <row r="34913">
      <c r="B34913" s="17" t="s">
        <v>477</v>
      </c>
      <c r="K34913" s="18"/>
    </row>
    <row r="34914">
      <c r="B34914" s="17" t="s">
        <v>477</v>
      </c>
      <c r="K34914" s="18"/>
    </row>
    <row r="34915">
      <c r="B34915" s="17" t="s">
        <v>477</v>
      </c>
      <c r="K34915" s="18"/>
    </row>
    <row r="34916">
      <c r="B34916" s="17" t="s">
        <v>477</v>
      </c>
      <c r="K34916" s="18"/>
    </row>
    <row r="34917">
      <c r="B34917" s="17" t="s">
        <v>477</v>
      </c>
      <c r="K34917" s="18"/>
    </row>
    <row r="34918">
      <c r="B34918" s="17" t="s">
        <v>477</v>
      </c>
      <c r="K34918" s="18"/>
    </row>
    <row r="34919">
      <c r="B34919" s="17" t="s">
        <v>477</v>
      </c>
      <c r="K34919" s="18"/>
    </row>
    <row r="34920">
      <c r="B34920" s="17" t="s">
        <v>477</v>
      </c>
      <c r="K34920" s="18"/>
    </row>
    <row r="34921">
      <c r="B34921" s="17" t="s">
        <v>477</v>
      </c>
      <c r="K34921" s="18"/>
    </row>
    <row r="34922">
      <c r="B34922" s="17" t="s">
        <v>477</v>
      </c>
      <c r="K34922" s="18"/>
    </row>
    <row r="34923">
      <c r="B34923" s="17" t="s">
        <v>477</v>
      </c>
      <c r="K34923" s="18"/>
    </row>
    <row r="34924">
      <c r="B34924" s="17" t="s">
        <v>477</v>
      </c>
      <c r="K34924" s="18"/>
    </row>
    <row r="34925">
      <c r="B34925" s="17" t="s">
        <v>477</v>
      </c>
      <c r="K34925" s="18"/>
    </row>
    <row r="34926">
      <c r="B34926" s="17" t="s">
        <v>477</v>
      </c>
      <c r="K34926" s="18"/>
    </row>
    <row r="34927">
      <c r="B34927" s="17" t="s">
        <v>477</v>
      </c>
      <c r="K34927" s="18"/>
    </row>
    <row r="34928">
      <c r="B34928" s="17" t="s">
        <v>477</v>
      </c>
      <c r="K34928" s="18"/>
    </row>
    <row r="34929">
      <c r="B34929" s="17" t="s">
        <v>477</v>
      </c>
      <c r="K34929" s="18"/>
    </row>
    <row r="34930">
      <c r="B34930" s="17" t="s">
        <v>477</v>
      </c>
      <c r="K34930" s="18"/>
    </row>
    <row r="34931">
      <c r="B34931" s="17" t="s">
        <v>477</v>
      </c>
      <c r="K34931" s="18"/>
    </row>
    <row r="34932">
      <c r="B34932" s="17" t="s">
        <v>477</v>
      </c>
      <c r="K34932" s="18"/>
    </row>
    <row r="34933">
      <c r="B34933" s="17" t="s">
        <v>477</v>
      </c>
      <c r="K34933" s="18"/>
    </row>
    <row r="34934">
      <c r="B34934" s="17" t="s">
        <v>477</v>
      </c>
      <c r="K34934" s="18"/>
    </row>
    <row r="34935">
      <c r="B34935" s="17" t="s">
        <v>477</v>
      </c>
      <c r="K34935" s="18"/>
    </row>
    <row r="34936">
      <c r="B34936" s="17" t="s">
        <v>477</v>
      </c>
      <c r="K34936" s="18"/>
    </row>
    <row r="34937">
      <c r="B34937" s="17" t="s">
        <v>477</v>
      </c>
      <c r="K34937" s="18"/>
    </row>
    <row r="34938">
      <c r="B34938" s="17" t="s">
        <v>477</v>
      </c>
      <c r="K34938" s="18"/>
    </row>
    <row r="34939">
      <c r="B34939" s="17" t="s">
        <v>477</v>
      </c>
      <c r="K34939" s="18"/>
    </row>
    <row r="34940">
      <c r="B34940" s="17" t="s">
        <v>477</v>
      </c>
      <c r="K34940" s="18"/>
    </row>
    <row r="34941">
      <c r="B34941" s="17" t="s">
        <v>477</v>
      </c>
      <c r="K34941" s="18"/>
    </row>
    <row r="34942">
      <c r="B34942" s="17" t="s">
        <v>477</v>
      </c>
      <c r="K34942" s="18"/>
    </row>
    <row r="34943">
      <c r="B34943" s="17" t="s">
        <v>477</v>
      </c>
      <c r="K34943" s="18"/>
    </row>
    <row r="34944">
      <c r="B34944" s="17" t="s">
        <v>477</v>
      </c>
      <c r="K34944" s="18"/>
    </row>
    <row r="34945">
      <c r="B34945" s="17" t="s">
        <v>477</v>
      </c>
      <c r="K34945" s="18"/>
    </row>
    <row r="34946">
      <c r="B34946" s="17" t="s">
        <v>477</v>
      </c>
      <c r="K34946" s="18"/>
    </row>
    <row r="34947">
      <c r="B34947" s="17" t="s">
        <v>477</v>
      </c>
      <c r="K34947" s="18"/>
    </row>
    <row r="34948">
      <c r="B34948" s="17" t="s">
        <v>477</v>
      </c>
      <c r="K34948" s="18"/>
    </row>
    <row r="34949">
      <c r="B34949" s="17" t="s">
        <v>477</v>
      </c>
      <c r="K34949" s="18"/>
    </row>
    <row r="34950">
      <c r="B34950" s="17" t="s">
        <v>477</v>
      </c>
      <c r="K34950" s="18"/>
    </row>
    <row r="34951">
      <c r="B34951" s="17" t="s">
        <v>477</v>
      </c>
      <c r="K34951" s="18"/>
    </row>
    <row r="34952">
      <c r="B34952" s="17" t="s">
        <v>477</v>
      </c>
      <c r="K34952" s="18"/>
    </row>
    <row r="34953">
      <c r="B34953" s="17" t="s">
        <v>477</v>
      </c>
      <c r="K34953" s="18"/>
    </row>
    <row r="34954">
      <c r="B34954" s="17" t="s">
        <v>477</v>
      </c>
      <c r="K34954" s="18"/>
    </row>
    <row r="34955">
      <c r="B34955" s="17" t="s">
        <v>477</v>
      </c>
      <c r="K34955" s="18"/>
    </row>
    <row r="34956">
      <c r="B34956" s="17" t="s">
        <v>477</v>
      </c>
      <c r="K34956" s="18"/>
    </row>
    <row r="34957">
      <c r="B34957" s="17" t="s">
        <v>477</v>
      </c>
      <c r="K34957" s="18"/>
    </row>
    <row r="34958">
      <c r="B34958" s="17" t="s">
        <v>477</v>
      </c>
      <c r="K34958" s="18"/>
    </row>
    <row r="34959">
      <c r="B34959" s="17" t="s">
        <v>477</v>
      </c>
      <c r="K34959" s="18"/>
    </row>
    <row r="34960">
      <c r="B34960" s="17" t="s">
        <v>477</v>
      </c>
      <c r="K34960" s="18"/>
    </row>
    <row r="34961">
      <c r="B34961" s="17" t="s">
        <v>477</v>
      </c>
      <c r="K34961" s="18"/>
    </row>
    <row r="34962">
      <c r="B34962" s="17" t="s">
        <v>477</v>
      </c>
      <c r="K34962" s="18"/>
    </row>
    <row r="34963">
      <c r="B34963" s="17" t="s">
        <v>477</v>
      </c>
      <c r="K34963" s="18"/>
    </row>
    <row r="34964">
      <c r="B34964" s="17" t="s">
        <v>477</v>
      </c>
      <c r="K34964" s="18"/>
    </row>
    <row r="34965">
      <c r="B34965" s="17" t="s">
        <v>477</v>
      </c>
      <c r="K34965" s="18"/>
    </row>
    <row r="34966">
      <c r="B34966" s="17" t="s">
        <v>477</v>
      </c>
      <c r="K34966" s="18"/>
    </row>
    <row r="34967">
      <c r="B34967" s="17" t="s">
        <v>477</v>
      </c>
      <c r="K34967" s="18"/>
    </row>
    <row r="34968">
      <c r="B34968" s="17" t="s">
        <v>477</v>
      </c>
      <c r="K34968" s="18"/>
    </row>
    <row r="34969">
      <c r="B34969" s="17" t="s">
        <v>477</v>
      </c>
      <c r="K34969" s="18"/>
    </row>
    <row r="34970">
      <c r="B34970" s="17" t="s">
        <v>477</v>
      </c>
      <c r="K34970" s="18"/>
    </row>
    <row r="34971">
      <c r="B34971" s="17" t="s">
        <v>477</v>
      </c>
      <c r="K34971" s="18"/>
    </row>
    <row r="34972">
      <c r="B34972" s="17" t="s">
        <v>477</v>
      </c>
      <c r="K34972" s="18"/>
    </row>
    <row r="34973">
      <c r="B34973" s="17" t="s">
        <v>477</v>
      </c>
      <c r="K34973" s="18"/>
    </row>
    <row r="34974">
      <c r="B34974" s="17" t="s">
        <v>477</v>
      </c>
      <c r="K34974" s="18"/>
    </row>
    <row r="34975">
      <c r="B34975" s="17" t="s">
        <v>477</v>
      </c>
      <c r="K34975" s="18"/>
    </row>
    <row r="34976">
      <c r="B34976" s="17" t="s">
        <v>477</v>
      </c>
      <c r="K34976" s="18"/>
    </row>
    <row r="34977">
      <c r="B34977" s="17" t="s">
        <v>477</v>
      </c>
      <c r="K34977" s="18"/>
    </row>
    <row r="34978">
      <c r="B34978" s="17" t="s">
        <v>477</v>
      </c>
      <c r="K34978" s="18"/>
    </row>
    <row r="34979">
      <c r="B34979" s="17" t="s">
        <v>477</v>
      </c>
      <c r="K34979" s="18"/>
    </row>
    <row r="34980">
      <c r="B34980" s="17" t="s">
        <v>477</v>
      </c>
      <c r="K34980" s="18"/>
    </row>
    <row r="34981">
      <c r="B34981" s="17" t="s">
        <v>477</v>
      </c>
      <c r="K34981" s="18"/>
    </row>
    <row r="34982">
      <c r="B34982" s="17" t="s">
        <v>477</v>
      </c>
      <c r="K34982" s="18"/>
    </row>
    <row r="34983">
      <c r="B34983" s="17" t="s">
        <v>477</v>
      </c>
      <c r="K34983" s="18"/>
    </row>
    <row r="34984">
      <c r="B34984" s="17" t="s">
        <v>477</v>
      </c>
      <c r="K34984" s="18"/>
    </row>
    <row r="34985">
      <c r="B34985" s="17" t="s">
        <v>477</v>
      </c>
      <c r="K34985" s="18"/>
    </row>
    <row r="34986">
      <c r="B34986" s="17" t="s">
        <v>477</v>
      </c>
      <c r="K34986" s="18"/>
    </row>
    <row r="34987">
      <c r="B34987" s="17" t="s">
        <v>477</v>
      </c>
      <c r="K34987" s="18"/>
    </row>
    <row r="34988">
      <c r="B34988" s="17" t="s">
        <v>477</v>
      </c>
      <c r="K34988" s="18"/>
    </row>
    <row r="34989">
      <c r="B34989" s="17" t="s">
        <v>477</v>
      </c>
      <c r="K34989" s="18"/>
    </row>
    <row r="34990">
      <c r="B34990" s="17" t="s">
        <v>477</v>
      </c>
      <c r="K34990" s="18"/>
    </row>
    <row r="34991">
      <c r="B34991" s="17" t="s">
        <v>477</v>
      </c>
      <c r="K34991" s="18"/>
    </row>
    <row r="34992">
      <c r="B34992" s="17" t="s">
        <v>477</v>
      </c>
      <c r="K34992" s="18"/>
    </row>
    <row r="34993">
      <c r="B34993" s="17" t="s">
        <v>477</v>
      </c>
      <c r="K34993" s="18"/>
    </row>
    <row r="34994">
      <c r="B34994" s="17" t="s">
        <v>477</v>
      </c>
      <c r="K34994" s="18"/>
    </row>
    <row r="34995">
      <c r="B34995" s="17" t="s">
        <v>477</v>
      </c>
      <c r="K34995" s="18"/>
    </row>
    <row r="34996">
      <c r="B34996" s="17" t="s">
        <v>477</v>
      </c>
      <c r="K34996" s="18"/>
    </row>
    <row r="34997">
      <c r="B34997" s="17" t="s">
        <v>477</v>
      </c>
      <c r="K34997" s="18"/>
    </row>
    <row r="34998">
      <c r="B34998" s="17" t="s">
        <v>477</v>
      </c>
      <c r="K34998" s="18"/>
    </row>
    <row r="34999">
      <c r="B34999" s="17" t="s">
        <v>477</v>
      </c>
      <c r="K34999" s="18"/>
    </row>
    <row r="35000">
      <c r="B35000" s="17" t="s">
        <v>477</v>
      </c>
      <c r="K35000" s="18"/>
    </row>
    <row r="35001">
      <c r="B35001" s="17" t="s">
        <v>477</v>
      </c>
      <c r="K35001" s="18"/>
    </row>
    <row r="35002">
      <c r="B35002" s="17" t="s">
        <v>477</v>
      </c>
      <c r="K35002" s="18"/>
    </row>
    <row r="35003">
      <c r="B35003" s="17" t="s">
        <v>477</v>
      </c>
      <c r="K35003" s="18"/>
    </row>
    <row r="35004">
      <c r="B35004" s="17" t="s">
        <v>477</v>
      </c>
      <c r="K35004" s="18"/>
    </row>
    <row r="35005">
      <c r="B35005" s="17" t="s">
        <v>477</v>
      </c>
      <c r="K35005" s="18"/>
    </row>
    <row r="35006">
      <c r="B35006" s="17" t="s">
        <v>477</v>
      </c>
      <c r="K35006" s="18"/>
    </row>
    <row r="35007">
      <c r="B35007" s="17" t="s">
        <v>477</v>
      </c>
      <c r="K35007" s="18"/>
    </row>
    <row r="35008">
      <c r="B35008" s="17" t="s">
        <v>477</v>
      </c>
      <c r="K35008" s="18"/>
    </row>
    <row r="35009">
      <c r="B35009" s="17" t="s">
        <v>477</v>
      </c>
      <c r="K35009" s="18"/>
    </row>
    <row r="35010">
      <c r="B35010" s="17" t="s">
        <v>477</v>
      </c>
      <c r="K35010" s="18"/>
    </row>
    <row r="35011">
      <c r="B35011" s="17" t="s">
        <v>477</v>
      </c>
      <c r="K35011" s="18"/>
    </row>
    <row r="35012">
      <c r="B35012" s="17" t="s">
        <v>477</v>
      </c>
      <c r="K35012" s="18"/>
    </row>
    <row r="35013">
      <c r="B35013" s="17" t="s">
        <v>477</v>
      </c>
      <c r="K35013" s="18"/>
    </row>
    <row r="35014">
      <c r="B35014" s="17" t="s">
        <v>477</v>
      </c>
      <c r="K35014" s="18"/>
    </row>
    <row r="35015">
      <c r="B35015" s="17" t="s">
        <v>477</v>
      </c>
      <c r="K35015" s="18"/>
    </row>
    <row r="35016">
      <c r="B35016" s="17" t="s">
        <v>477</v>
      </c>
      <c r="K35016" s="18"/>
    </row>
    <row r="35017">
      <c r="B35017" s="17" t="s">
        <v>477</v>
      </c>
      <c r="K35017" s="18"/>
    </row>
    <row r="35018">
      <c r="B35018" s="17" t="s">
        <v>477</v>
      </c>
      <c r="K35018" s="18"/>
    </row>
    <row r="35019">
      <c r="B35019" s="17" t="s">
        <v>477</v>
      </c>
      <c r="K35019" s="18"/>
    </row>
    <row r="35020">
      <c r="B35020" s="17" t="s">
        <v>477</v>
      </c>
      <c r="K35020" s="18"/>
    </row>
    <row r="35021">
      <c r="B35021" s="17" t="s">
        <v>477</v>
      </c>
      <c r="K35021" s="18"/>
    </row>
    <row r="35022">
      <c r="B35022" s="17" t="s">
        <v>477</v>
      </c>
      <c r="K35022" s="18"/>
    </row>
    <row r="35023">
      <c r="B35023" s="17" t="s">
        <v>477</v>
      </c>
      <c r="K35023" s="18"/>
    </row>
    <row r="35024">
      <c r="B35024" s="17" t="s">
        <v>477</v>
      </c>
      <c r="K35024" s="18"/>
    </row>
    <row r="35025">
      <c r="B35025" s="17" t="s">
        <v>477</v>
      </c>
      <c r="K35025" s="18"/>
    </row>
    <row r="35026">
      <c r="B35026" s="17" t="s">
        <v>477</v>
      </c>
      <c r="K35026" s="18"/>
    </row>
    <row r="35027">
      <c r="B35027" s="17" t="s">
        <v>477</v>
      </c>
      <c r="K35027" s="18"/>
    </row>
    <row r="35028">
      <c r="B35028" s="17" t="s">
        <v>477</v>
      </c>
      <c r="K35028" s="18"/>
    </row>
    <row r="35029">
      <c r="B35029" s="17" t="s">
        <v>477</v>
      </c>
      <c r="K35029" s="18"/>
    </row>
    <row r="35030">
      <c r="B35030" s="17" t="s">
        <v>477</v>
      </c>
      <c r="K35030" s="18"/>
    </row>
    <row r="35031">
      <c r="B35031" s="17" t="s">
        <v>477</v>
      </c>
      <c r="K35031" s="18"/>
    </row>
    <row r="35032">
      <c r="B35032" s="17" t="s">
        <v>477</v>
      </c>
      <c r="K35032" s="18"/>
    </row>
    <row r="35033">
      <c r="B35033" s="17" t="s">
        <v>477</v>
      </c>
      <c r="K35033" s="18"/>
    </row>
    <row r="35034">
      <c r="B35034" s="17" t="s">
        <v>477</v>
      </c>
      <c r="K35034" s="18"/>
    </row>
    <row r="35035">
      <c r="B35035" s="17" t="s">
        <v>477</v>
      </c>
      <c r="K35035" s="18"/>
    </row>
    <row r="35036">
      <c r="B35036" s="17" t="s">
        <v>477</v>
      </c>
      <c r="K35036" s="18"/>
    </row>
    <row r="35037">
      <c r="B35037" s="17" t="s">
        <v>477</v>
      </c>
      <c r="K35037" s="18"/>
    </row>
    <row r="35038">
      <c r="B35038" s="17" t="s">
        <v>477</v>
      </c>
      <c r="K35038" s="18"/>
    </row>
    <row r="35039">
      <c r="B35039" s="17" t="s">
        <v>477</v>
      </c>
      <c r="K35039" s="18"/>
    </row>
    <row r="35040">
      <c r="B35040" s="17" t="s">
        <v>477</v>
      </c>
      <c r="K35040" s="18"/>
    </row>
    <row r="35041">
      <c r="B35041" s="17" t="s">
        <v>477</v>
      </c>
      <c r="K35041" s="18"/>
    </row>
    <row r="35042">
      <c r="B35042" s="17" t="s">
        <v>477</v>
      </c>
      <c r="K35042" s="18"/>
    </row>
    <row r="35043">
      <c r="B35043" s="17" t="s">
        <v>477</v>
      </c>
      <c r="K35043" s="18"/>
    </row>
    <row r="35044">
      <c r="B35044" s="17" t="s">
        <v>477</v>
      </c>
      <c r="K35044" s="18"/>
    </row>
    <row r="35045">
      <c r="B35045" s="17" t="s">
        <v>477</v>
      </c>
      <c r="K35045" s="18"/>
    </row>
    <row r="35046">
      <c r="B35046" s="17" t="s">
        <v>477</v>
      </c>
      <c r="K35046" s="18"/>
    </row>
    <row r="35047">
      <c r="B35047" s="17" t="s">
        <v>477</v>
      </c>
      <c r="K35047" s="18"/>
    </row>
    <row r="35048">
      <c r="B35048" s="17" t="s">
        <v>477</v>
      </c>
      <c r="K35048" s="18"/>
    </row>
    <row r="35049">
      <c r="B35049" s="17" t="s">
        <v>477</v>
      </c>
      <c r="K35049" s="18"/>
    </row>
    <row r="35050">
      <c r="B35050" s="17" t="s">
        <v>477</v>
      </c>
      <c r="K35050" s="18"/>
    </row>
    <row r="35051">
      <c r="B35051" s="17" t="s">
        <v>477</v>
      </c>
      <c r="K35051" s="18"/>
    </row>
    <row r="35052">
      <c r="B35052" s="17" t="s">
        <v>477</v>
      </c>
      <c r="K35052" s="18"/>
    </row>
    <row r="35053">
      <c r="B35053" s="17" t="s">
        <v>477</v>
      </c>
      <c r="K35053" s="18"/>
    </row>
    <row r="35054">
      <c r="B35054" s="17" t="s">
        <v>477</v>
      </c>
      <c r="K35054" s="18"/>
    </row>
    <row r="35055">
      <c r="B35055" s="17" t="s">
        <v>477</v>
      </c>
      <c r="K35055" s="18"/>
    </row>
    <row r="35056">
      <c r="B35056" s="17" t="s">
        <v>477</v>
      </c>
      <c r="K35056" s="18"/>
    </row>
    <row r="35057">
      <c r="B35057" s="17" t="s">
        <v>477</v>
      </c>
      <c r="K35057" s="18"/>
    </row>
    <row r="35058">
      <c r="B35058" s="17" t="s">
        <v>477</v>
      </c>
      <c r="K35058" s="18"/>
    </row>
    <row r="35059">
      <c r="B35059" s="17" t="s">
        <v>477</v>
      </c>
      <c r="K35059" s="18"/>
    </row>
    <row r="35060">
      <c r="B35060" s="17" t="s">
        <v>477</v>
      </c>
      <c r="K35060" s="18"/>
    </row>
    <row r="35061">
      <c r="B35061" s="17" t="s">
        <v>477</v>
      </c>
      <c r="K35061" s="18"/>
    </row>
    <row r="35062">
      <c r="B35062" s="17" t="s">
        <v>477</v>
      </c>
      <c r="K35062" s="18"/>
    </row>
    <row r="35063">
      <c r="B35063" s="17" t="s">
        <v>477</v>
      </c>
      <c r="K35063" s="18"/>
    </row>
    <row r="35064">
      <c r="B35064" s="17" t="s">
        <v>477</v>
      </c>
      <c r="K35064" s="18"/>
    </row>
    <row r="35065">
      <c r="B35065" s="17" t="s">
        <v>477</v>
      </c>
      <c r="K35065" s="18"/>
    </row>
    <row r="35066">
      <c r="B35066" s="17" t="s">
        <v>477</v>
      </c>
      <c r="K35066" s="18"/>
    </row>
    <row r="35067">
      <c r="B35067" s="17" t="s">
        <v>477</v>
      </c>
      <c r="K35067" s="18"/>
    </row>
    <row r="35068">
      <c r="B35068" s="17" t="s">
        <v>477</v>
      </c>
      <c r="K35068" s="18"/>
    </row>
    <row r="35069">
      <c r="B35069" s="17" t="s">
        <v>477</v>
      </c>
      <c r="K35069" s="18"/>
    </row>
    <row r="35070">
      <c r="B35070" s="17" t="s">
        <v>477</v>
      </c>
      <c r="K35070" s="18"/>
    </row>
    <row r="35071">
      <c r="B35071" s="17" t="s">
        <v>477</v>
      </c>
      <c r="K35071" s="18"/>
    </row>
    <row r="35072">
      <c r="B35072" s="17" t="s">
        <v>477</v>
      </c>
      <c r="K35072" s="18"/>
    </row>
    <row r="35073">
      <c r="B35073" s="17" t="s">
        <v>477</v>
      </c>
      <c r="K35073" s="18"/>
    </row>
    <row r="35074">
      <c r="B35074" s="17" t="s">
        <v>477</v>
      </c>
      <c r="K35074" s="18"/>
    </row>
    <row r="35075">
      <c r="B35075" s="17" t="s">
        <v>477</v>
      </c>
      <c r="K35075" s="18"/>
    </row>
    <row r="35076">
      <c r="B35076" s="17" t="s">
        <v>477</v>
      </c>
      <c r="K35076" s="18"/>
    </row>
    <row r="35077">
      <c r="B35077" s="17" t="s">
        <v>477</v>
      </c>
      <c r="K35077" s="18"/>
    </row>
    <row r="35078">
      <c r="B35078" s="17" t="s">
        <v>477</v>
      </c>
      <c r="K35078" s="18"/>
    </row>
    <row r="35079">
      <c r="B35079" s="17" t="s">
        <v>477</v>
      </c>
      <c r="K35079" s="18"/>
    </row>
    <row r="35080">
      <c r="B35080" s="17" t="s">
        <v>477</v>
      </c>
      <c r="K35080" s="18"/>
    </row>
    <row r="35081">
      <c r="B35081" s="17" t="s">
        <v>477</v>
      </c>
      <c r="K35081" s="18"/>
    </row>
    <row r="35082">
      <c r="B35082" s="17" t="s">
        <v>477</v>
      </c>
      <c r="K35082" s="18"/>
    </row>
    <row r="35083">
      <c r="B35083" s="17" t="s">
        <v>477</v>
      </c>
      <c r="K35083" s="18"/>
    </row>
    <row r="35084">
      <c r="B35084" s="17" t="s">
        <v>477</v>
      </c>
      <c r="K35084" s="18"/>
    </row>
    <row r="35085">
      <c r="B35085" s="17" t="s">
        <v>477</v>
      </c>
      <c r="K35085" s="18"/>
    </row>
    <row r="35086">
      <c r="B35086" s="17" t="s">
        <v>477</v>
      </c>
      <c r="K35086" s="18"/>
    </row>
    <row r="35087">
      <c r="B35087" s="17" t="s">
        <v>477</v>
      </c>
      <c r="K35087" s="18"/>
    </row>
    <row r="35088">
      <c r="B35088" s="17" t="s">
        <v>477</v>
      </c>
      <c r="K35088" s="18"/>
    </row>
    <row r="35089">
      <c r="B35089" s="17" t="s">
        <v>477</v>
      </c>
      <c r="K35089" s="18"/>
    </row>
    <row r="35090">
      <c r="B35090" s="17" t="s">
        <v>477</v>
      </c>
      <c r="K35090" s="18"/>
    </row>
    <row r="35091">
      <c r="B35091" s="17" t="s">
        <v>477</v>
      </c>
      <c r="K35091" s="18"/>
    </row>
    <row r="35092">
      <c r="B35092" s="17" t="s">
        <v>477</v>
      </c>
      <c r="K35092" s="18"/>
    </row>
    <row r="35093">
      <c r="B35093" s="17" t="s">
        <v>477</v>
      </c>
      <c r="K35093" s="18"/>
    </row>
    <row r="35094">
      <c r="B35094" s="17" t="s">
        <v>477</v>
      </c>
      <c r="K35094" s="18"/>
    </row>
    <row r="35095">
      <c r="B35095" s="17" t="s">
        <v>477</v>
      </c>
      <c r="K35095" s="18"/>
    </row>
    <row r="35096">
      <c r="B35096" s="17" t="s">
        <v>477</v>
      </c>
      <c r="K35096" s="18"/>
    </row>
    <row r="35097">
      <c r="B35097" s="17" t="s">
        <v>477</v>
      </c>
      <c r="K35097" s="18"/>
    </row>
    <row r="35098">
      <c r="B35098" s="17" t="s">
        <v>477</v>
      </c>
      <c r="K35098" s="18"/>
    </row>
    <row r="35099">
      <c r="B35099" s="17" t="s">
        <v>477</v>
      </c>
      <c r="K35099" s="18"/>
    </row>
    <row r="35100">
      <c r="B35100" s="17" t="s">
        <v>477</v>
      </c>
      <c r="K35100" s="18"/>
    </row>
    <row r="35101">
      <c r="B35101" s="17" t="s">
        <v>477</v>
      </c>
      <c r="K35101" s="18"/>
    </row>
    <row r="35102">
      <c r="B35102" s="17" t="s">
        <v>477</v>
      </c>
      <c r="K35102" s="18"/>
    </row>
    <row r="35103">
      <c r="B35103" s="17" t="s">
        <v>477</v>
      </c>
      <c r="K35103" s="18"/>
    </row>
    <row r="35104">
      <c r="B35104" s="17" t="s">
        <v>477</v>
      </c>
      <c r="K35104" s="18"/>
    </row>
    <row r="35105">
      <c r="B35105" s="17" t="s">
        <v>477</v>
      </c>
      <c r="K35105" s="18"/>
    </row>
    <row r="35106">
      <c r="B35106" s="17" t="s">
        <v>477</v>
      </c>
      <c r="K35106" s="18"/>
    </row>
    <row r="35107">
      <c r="B35107" s="17" t="s">
        <v>477</v>
      </c>
      <c r="K35107" s="18"/>
    </row>
    <row r="35108">
      <c r="B35108" s="17" t="s">
        <v>477</v>
      </c>
      <c r="K35108" s="18"/>
    </row>
    <row r="35109">
      <c r="B35109" s="17" t="s">
        <v>477</v>
      </c>
      <c r="K35109" s="18"/>
    </row>
    <row r="35110">
      <c r="B35110" s="17" t="s">
        <v>477</v>
      </c>
      <c r="K35110" s="18"/>
    </row>
    <row r="35111">
      <c r="B35111" s="17" t="s">
        <v>477</v>
      </c>
      <c r="K35111" s="18"/>
    </row>
    <row r="35112">
      <c r="B35112" s="17" t="s">
        <v>477</v>
      </c>
      <c r="K35112" s="18"/>
    </row>
    <row r="35113">
      <c r="B35113" s="17" t="s">
        <v>477</v>
      </c>
      <c r="K35113" s="18"/>
    </row>
    <row r="35114">
      <c r="B35114" s="17" t="s">
        <v>477</v>
      </c>
      <c r="K35114" s="18"/>
    </row>
    <row r="35115">
      <c r="B35115" s="17" t="s">
        <v>477</v>
      </c>
      <c r="K35115" s="18"/>
    </row>
    <row r="35116">
      <c r="B35116" s="17" t="s">
        <v>477</v>
      </c>
      <c r="K35116" s="18"/>
    </row>
    <row r="35117">
      <c r="B35117" s="17" t="s">
        <v>477</v>
      </c>
      <c r="K35117" s="18"/>
    </row>
    <row r="35118">
      <c r="B35118" s="17" t="s">
        <v>477</v>
      </c>
      <c r="K35118" s="18"/>
    </row>
    <row r="35119">
      <c r="B35119" s="17" t="s">
        <v>477</v>
      </c>
      <c r="K35119" s="18"/>
    </row>
    <row r="35120">
      <c r="B35120" s="17" t="s">
        <v>477</v>
      </c>
      <c r="K35120" s="18"/>
    </row>
    <row r="35121">
      <c r="B35121" s="17" t="s">
        <v>477</v>
      </c>
      <c r="K35121" s="18"/>
    </row>
    <row r="35122">
      <c r="B35122" s="17" t="s">
        <v>477</v>
      </c>
      <c r="K35122" s="18"/>
    </row>
    <row r="35123">
      <c r="B35123" s="17" t="s">
        <v>477</v>
      </c>
      <c r="K35123" s="18"/>
    </row>
    <row r="35124">
      <c r="B35124" s="17" t="s">
        <v>477</v>
      </c>
      <c r="K35124" s="18"/>
    </row>
    <row r="35125">
      <c r="B35125" s="17" t="s">
        <v>477</v>
      </c>
      <c r="K35125" s="18"/>
    </row>
    <row r="35126">
      <c r="B35126" s="17" t="s">
        <v>477</v>
      </c>
      <c r="K35126" s="18"/>
    </row>
    <row r="35127">
      <c r="B35127" s="17" t="s">
        <v>477</v>
      </c>
      <c r="K35127" s="18"/>
    </row>
    <row r="35128">
      <c r="B35128" s="17" t="s">
        <v>477</v>
      </c>
      <c r="K35128" s="18"/>
    </row>
    <row r="35129">
      <c r="B35129" s="17" t="s">
        <v>477</v>
      </c>
      <c r="K35129" s="18"/>
    </row>
    <row r="35130">
      <c r="B35130" s="17" t="s">
        <v>477</v>
      </c>
      <c r="K35130" s="18"/>
    </row>
    <row r="35131">
      <c r="B35131" s="17" t="s">
        <v>477</v>
      </c>
      <c r="K35131" s="18"/>
    </row>
    <row r="35132">
      <c r="B35132" s="17" t="s">
        <v>477</v>
      </c>
      <c r="K35132" s="18"/>
    </row>
    <row r="35133">
      <c r="B35133" s="17" t="s">
        <v>477</v>
      </c>
      <c r="K35133" s="18"/>
    </row>
    <row r="35134">
      <c r="B35134" s="17" t="s">
        <v>477</v>
      </c>
      <c r="K35134" s="18"/>
    </row>
    <row r="35135">
      <c r="B35135" s="17" t="s">
        <v>477</v>
      </c>
      <c r="K35135" s="18"/>
    </row>
    <row r="35136">
      <c r="B35136" s="17" t="s">
        <v>477</v>
      </c>
      <c r="K35136" s="18"/>
    </row>
    <row r="35137">
      <c r="B35137" s="17" t="s">
        <v>477</v>
      </c>
      <c r="K35137" s="18"/>
    </row>
    <row r="35138">
      <c r="B35138" s="17" t="s">
        <v>477</v>
      </c>
      <c r="K35138" s="18"/>
    </row>
    <row r="35139">
      <c r="B35139" s="17" t="s">
        <v>477</v>
      </c>
      <c r="K35139" s="18"/>
    </row>
    <row r="35140">
      <c r="B35140" s="17" t="s">
        <v>477</v>
      </c>
      <c r="K35140" s="18"/>
    </row>
    <row r="35141">
      <c r="B35141" s="17" t="s">
        <v>477</v>
      </c>
      <c r="K35141" s="18"/>
    </row>
    <row r="35142">
      <c r="B35142" s="17" t="s">
        <v>477</v>
      </c>
      <c r="K35142" s="18"/>
    </row>
    <row r="35143">
      <c r="B35143" s="17" t="s">
        <v>477</v>
      </c>
      <c r="K35143" s="18"/>
    </row>
    <row r="35144">
      <c r="B35144" s="17" t="s">
        <v>477</v>
      </c>
      <c r="K35144" s="18"/>
    </row>
    <row r="35145">
      <c r="B35145" s="17" t="s">
        <v>477</v>
      </c>
      <c r="K35145" s="18"/>
    </row>
    <row r="35146">
      <c r="B35146" s="17" t="s">
        <v>477</v>
      </c>
      <c r="K35146" s="18"/>
    </row>
    <row r="35147">
      <c r="B35147" s="17" t="s">
        <v>477</v>
      </c>
      <c r="K35147" s="18"/>
    </row>
    <row r="35148">
      <c r="B35148" s="17" t="s">
        <v>477</v>
      </c>
      <c r="K35148" s="18"/>
    </row>
    <row r="35149">
      <c r="B35149" s="17" t="s">
        <v>477</v>
      </c>
      <c r="K35149" s="18"/>
    </row>
    <row r="35150">
      <c r="B35150" s="17" t="s">
        <v>477</v>
      </c>
      <c r="K35150" s="18"/>
    </row>
    <row r="35151">
      <c r="B35151" s="17" t="s">
        <v>477</v>
      </c>
      <c r="K35151" s="18"/>
    </row>
    <row r="35152">
      <c r="B35152" s="17" t="s">
        <v>477</v>
      </c>
      <c r="K35152" s="18"/>
    </row>
    <row r="35153">
      <c r="B35153" s="17" t="s">
        <v>477</v>
      </c>
      <c r="K35153" s="18"/>
    </row>
    <row r="35154">
      <c r="B35154" s="17" t="s">
        <v>477</v>
      </c>
      <c r="K35154" s="18"/>
    </row>
    <row r="35155">
      <c r="B35155" s="17" t="s">
        <v>477</v>
      </c>
      <c r="K35155" s="18"/>
    </row>
    <row r="35156">
      <c r="B35156" s="17" t="s">
        <v>477</v>
      </c>
      <c r="K35156" s="18"/>
    </row>
    <row r="35157">
      <c r="B35157" s="17" t="s">
        <v>477</v>
      </c>
      <c r="K35157" s="18"/>
    </row>
    <row r="35158">
      <c r="B35158" s="17" t="s">
        <v>477</v>
      </c>
      <c r="K35158" s="18"/>
    </row>
    <row r="35159">
      <c r="B35159" s="17" t="s">
        <v>477</v>
      </c>
      <c r="K35159" s="18"/>
    </row>
    <row r="35160">
      <c r="B35160" s="17" t="s">
        <v>477</v>
      </c>
      <c r="K35160" s="18"/>
    </row>
    <row r="35161">
      <c r="B35161" s="17" t="s">
        <v>477</v>
      </c>
      <c r="K35161" s="18"/>
    </row>
    <row r="35162">
      <c r="B35162" s="17" t="s">
        <v>477</v>
      </c>
      <c r="K35162" s="18"/>
    </row>
    <row r="35163">
      <c r="B35163" s="17" t="s">
        <v>477</v>
      </c>
      <c r="K35163" s="18"/>
    </row>
    <row r="35164">
      <c r="B35164" s="17" t="s">
        <v>477</v>
      </c>
      <c r="K35164" s="18"/>
    </row>
    <row r="35165">
      <c r="B35165" s="17" t="s">
        <v>477</v>
      </c>
      <c r="K35165" s="18"/>
    </row>
    <row r="35166">
      <c r="B35166" s="17" t="s">
        <v>477</v>
      </c>
      <c r="K35166" s="18"/>
    </row>
    <row r="35167">
      <c r="B35167" s="17" t="s">
        <v>477</v>
      </c>
      <c r="K35167" s="18"/>
    </row>
    <row r="35168">
      <c r="B35168" s="17" t="s">
        <v>477</v>
      </c>
      <c r="K35168" s="18"/>
    </row>
    <row r="35169">
      <c r="B35169" s="17" t="s">
        <v>477</v>
      </c>
      <c r="K35169" s="18"/>
    </row>
    <row r="35170">
      <c r="B35170" s="17" t="s">
        <v>477</v>
      </c>
      <c r="K35170" s="18"/>
    </row>
    <row r="35171">
      <c r="B35171" s="17" t="s">
        <v>477</v>
      </c>
      <c r="K35171" s="18"/>
    </row>
    <row r="35172">
      <c r="B35172" s="17" t="s">
        <v>477</v>
      </c>
      <c r="K35172" s="18"/>
    </row>
    <row r="35173">
      <c r="B35173" s="17" t="s">
        <v>477</v>
      </c>
      <c r="K35173" s="18"/>
    </row>
    <row r="35174">
      <c r="B35174" s="17" t="s">
        <v>477</v>
      </c>
      <c r="K35174" s="18"/>
    </row>
    <row r="35175">
      <c r="B35175" s="17" t="s">
        <v>477</v>
      </c>
      <c r="K35175" s="18"/>
    </row>
    <row r="35176">
      <c r="B35176" s="17" t="s">
        <v>477</v>
      </c>
      <c r="K35176" s="18"/>
    </row>
    <row r="35177">
      <c r="B35177" s="17" t="s">
        <v>477</v>
      </c>
      <c r="K35177" s="18"/>
    </row>
    <row r="35178">
      <c r="B35178" s="17" t="s">
        <v>477</v>
      </c>
      <c r="K35178" s="18"/>
    </row>
    <row r="35179">
      <c r="B35179" s="17" t="s">
        <v>477</v>
      </c>
      <c r="K35179" s="18"/>
    </row>
    <row r="35180">
      <c r="B35180" s="17" t="s">
        <v>477</v>
      </c>
      <c r="K35180" s="18"/>
    </row>
    <row r="35181">
      <c r="B35181" s="17" t="s">
        <v>477</v>
      </c>
      <c r="K35181" s="18"/>
    </row>
    <row r="35182">
      <c r="B35182" s="17" t="s">
        <v>477</v>
      </c>
      <c r="K35182" s="18"/>
    </row>
    <row r="35183">
      <c r="B35183" s="17" t="s">
        <v>477</v>
      </c>
      <c r="K35183" s="18"/>
    </row>
    <row r="35184">
      <c r="B35184" s="17" t="s">
        <v>477</v>
      </c>
      <c r="K35184" s="18"/>
    </row>
    <row r="35185">
      <c r="B35185" s="17" t="s">
        <v>477</v>
      </c>
      <c r="K35185" s="18"/>
    </row>
    <row r="35186">
      <c r="B35186" s="17" t="s">
        <v>477</v>
      </c>
      <c r="K35186" s="18"/>
    </row>
    <row r="35187">
      <c r="B35187" s="17" t="s">
        <v>477</v>
      </c>
      <c r="K35187" s="18"/>
    </row>
    <row r="35188">
      <c r="B35188" s="17" t="s">
        <v>477</v>
      </c>
      <c r="K35188" s="18"/>
    </row>
    <row r="35189">
      <c r="B35189" s="17" t="s">
        <v>477</v>
      </c>
      <c r="K35189" s="18"/>
    </row>
    <row r="35190">
      <c r="B35190" s="17" t="s">
        <v>477</v>
      </c>
      <c r="K35190" s="18"/>
    </row>
    <row r="35191">
      <c r="B35191" s="17" t="s">
        <v>477</v>
      </c>
      <c r="K35191" s="18"/>
    </row>
    <row r="35192">
      <c r="B35192" s="17" t="s">
        <v>477</v>
      </c>
      <c r="K35192" s="18"/>
    </row>
    <row r="35193">
      <c r="B35193" s="17" t="s">
        <v>477</v>
      </c>
      <c r="K35193" s="18"/>
    </row>
    <row r="35194">
      <c r="B35194" s="17" t="s">
        <v>477</v>
      </c>
      <c r="K35194" s="18"/>
    </row>
    <row r="35195">
      <c r="B35195" s="17" t="s">
        <v>477</v>
      </c>
      <c r="K35195" s="18"/>
    </row>
    <row r="35196">
      <c r="B35196" s="17" t="s">
        <v>477</v>
      </c>
      <c r="K35196" s="18"/>
    </row>
    <row r="35197">
      <c r="B35197" s="17" t="s">
        <v>477</v>
      </c>
      <c r="K35197" s="18"/>
    </row>
    <row r="35198">
      <c r="B35198" s="17" t="s">
        <v>477</v>
      </c>
      <c r="K35198" s="18"/>
    </row>
    <row r="35199">
      <c r="B35199" s="17" t="s">
        <v>477</v>
      </c>
      <c r="K35199" s="18"/>
    </row>
    <row r="35200">
      <c r="B35200" s="17" t="s">
        <v>477</v>
      </c>
      <c r="K35200" s="18"/>
    </row>
    <row r="35201">
      <c r="B35201" s="17" t="s">
        <v>477</v>
      </c>
      <c r="K35201" s="18"/>
    </row>
    <row r="35202">
      <c r="B35202" s="17" t="s">
        <v>477</v>
      </c>
      <c r="K35202" s="18"/>
    </row>
    <row r="35203">
      <c r="B35203" s="17" t="s">
        <v>477</v>
      </c>
      <c r="K35203" s="18"/>
    </row>
    <row r="35204">
      <c r="B35204" s="17" t="s">
        <v>477</v>
      </c>
      <c r="K35204" s="18"/>
    </row>
    <row r="35205">
      <c r="B35205" s="17" t="s">
        <v>477</v>
      </c>
      <c r="K35205" s="18"/>
    </row>
    <row r="35206">
      <c r="B35206" s="17" t="s">
        <v>477</v>
      </c>
      <c r="K35206" s="18"/>
    </row>
    <row r="35207">
      <c r="B35207" s="17" t="s">
        <v>477</v>
      </c>
      <c r="K35207" s="18"/>
    </row>
    <row r="35208">
      <c r="B35208" s="17" t="s">
        <v>477</v>
      </c>
      <c r="K35208" s="18"/>
    </row>
    <row r="35209">
      <c r="B35209" s="17" t="s">
        <v>477</v>
      </c>
      <c r="K35209" s="18"/>
    </row>
    <row r="35210">
      <c r="B35210" s="17" t="s">
        <v>477</v>
      </c>
      <c r="K35210" s="18"/>
    </row>
    <row r="35211">
      <c r="B35211" s="17" t="s">
        <v>477</v>
      </c>
      <c r="K35211" s="18"/>
    </row>
    <row r="35212">
      <c r="B35212" s="17" t="s">
        <v>477</v>
      </c>
      <c r="K35212" s="18"/>
    </row>
    <row r="35213">
      <c r="B35213" s="17" t="s">
        <v>477</v>
      </c>
      <c r="K35213" s="18"/>
    </row>
    <row r="35214">
      <c r="B35214" s="17" t="s">
        <v>477</v>
      </c>
      <c r="K35214" s="18"/>
    </row>
    <row r="35215">
      <c r="B35215" s="17" t="s">
        <v>477</v>
      </c>
      <c r="K35215" s="18"/>
    </row>
    <row r="35216">
      <c r="B35216" s="17" t="s">
        <v>477</v>
      </c>
      <c r="K35216" s="18"/>
    </row>
    <row r="35217">
      <c r="B35217" s="17" t="s">
        <v>477</v>
      </c>
      <c r="K35217" s="18"/>
    </row>
    <row r="35218">
      <c r="B35218" s="17" t="s">
        <v>477</v>
      </c>
      <c r="K35218" s="18"/>
    </row>
    <row r="35219">
      <c r="B35219" s="17" t="s">
        <v>477</v>
      </c>
      <c r="K35219" s="18"/>
    </row>
    <row r="35220">
      <c r="B35220" s="17" t="s">
        <v>477</v>
      </c>
      <c r="K35220" s="18"/>
    </row>
    <row r="35221">
      <c r="B35221" s="17" t="s">
        <v>477</v>
      </c>
      <c r="K35221" s="18"/>
    </row>
    <row r="35222">
      <c r="B35222" s="17" t="s">
        <v>477</v>
      </c>
      <c r="K35222" s="18"/>
    </row>
    <row r="35223">
      <c r="B35223" s="17" t="s">
        <v>477</v>
      </c>
      <c r="K35223" s="18"/>
    </row>
    <row r="35224">
      <c r="B35224" s="17" t="s">
        <v>477</v>
      </c>
      <c r="K35224" s="18"/>
    </row>
    <row r="35225">
      <c r="B35225" s="17" t="s">
        <v>477</v>
      </c>
      <c r="K35225" s="18"/>
    </row>
    <row r="35226">
      <c r="B35226" s="17" t="s">
        <v>477</v>
      </c>
      <c r="K35226" s="18"/>
    </row>
    <row r="35227">
      <c r="B35227" s="17" t="s">
        <v>477</v>
      </c>
      <c r="K35227" s="18"/>
    </row>
    <row r="35228">
      <c r="B35228" s="17" t="s">
        <v>477</v>
      </c>
      <c r="K35228" s="18"/>
    </row>
    <row r="35229">
      <c r="B35229" s="17" t="s">
        <v>477</v>
      </c>
      <c r="K35229" s="18"/>
    </row>
    <row r="35230">
      <c r="B35230" s="17" t="s">
        <v>477</v>
      </c>
      <c r="K35230" s="18"/>
    </row>
    <row r="35231">
      <c r="B35231" s="17" t="s">
        <v>477</v>
      </c>
      <c r="K35231" s="18"/>
    </row>
    <row r="35232">
      <c r="B35232" s="17" t="s">
        <v>477</v>
      </c>
      <c r="K35232" s="18"/>
    </row>
    <row r="35233">
      <c r="B35233" s="17" t="s">
        <v>477</v>
      </c>
      <c r="K35233" s="18"/>
    </row>
    <row r="35234">
      <c r="B35234" s="17" t="s">
        <v>477</v>
      </c>
      <c r="K35234" s="18"/>
    </row>
    <row r="35235">
      <c r="B35235" s="17" t="s">
        <v>477</v>
      </c>
      <c r="K35235" s="18"/>
    </row>
    <row r="35236">
      <c r="B35236" s="17" t="s">
        <v>477</v>
      </c>
      <c r="K35236" s="18"/>
    </row>
    <row r="35237">
      <c r="B35237" s="17" t="s">
        <v>477</v>
      </c>
      <c r="K35237" s="18"/>
    </row>
    <row r="35238">
      <c r="B35238" s="17" t="s">
        <v>477</v>
      </c>
      <c r="K35238" s="18"/>
    </row>
    <row r="35239">
      <c r="B35239" s="17" t="s">
        <v>477</v>
      </c>
      <c r="K35239" s="18"/>
    </row>
    <row r="35240">
      <c r="B35240" s="17" t="s">
        <v>477</v>
      </c>
      <c r="K35240" s="18"/>
    </row>
    <row r="35241">
      <c r="B35241" s="17" t="s">
        <v>477</v>
      </c>
      <c r="K35241" s="18"/>
    </row>
    <row r="35242">
      <c r="B35242" s="17" t="s">
        <v>477</v>
      </c>
      <c r="K35242" s="18"/>
    </row>
    <row r="35243">
      <c r="B35243" s="17" t="s">
        <v>477</v>
      </c>
      <c r="K35243" s="18"/>
    </row>
    <row r="35244">
      <c r="B35244" s="17" t="s">
        <v>477</v>
      </c>
      <c r="K35244" s="18"/>
    </row>
    <row r="35245">
      <c r="B35245" s="17" t="s">
        <v>477</v>
      </c>
      <c r="K35245" s="18"/>
    </row>
    <row r="35246">
      <c r="B35246" s="17" t="s">
        <v>477</v>
      </c>
      <c r="K35246" s="18"/>
    </row>
    <row r="35247">
      <c r="B35247" s="17" t="s">
        <v>477</v>
      </c>
      <c r="K35247" s="18"/>
    </row>
    <row r="35248">
      <c r="B35248" s="17" t="s">
        <v>477</v>
      </c>
      <c r="K35248" s="18"/>
    </row>
    <row r="35249">
      <c r="B35249" s="17" t="s">
        <v>477</v>
      </c>
      <c r="K35249" s="18"/>
    </row>
    <row r="35250">
      <c r="B35250" s="17" t="s">
        <v>477</v>
      </c>
      <c r="K35250" s="18"/>
    </row>
    <row r="35251">
      <c r="B35251" s="17" t="s">
        <v>477</v>
      </c>
      <c r="K35251" s="18"/>
    </row>
    <row r="35252">
      <c r="B35252" s="17" t="s">
        <v>477</v>
      </c>
      <c r="K35252" s="18"/>
    </row>
    <row r="35253">
      <c r="B35253" s="17" t="s">
        <v>477</v>
      </c>
      <c r="K35253" s="18"/>
    </row>
    <row r="35254">
      <c r="B35254" s="17" t="s">
        <v>477</v>
      </c>
      <c r="K35254" s="18"/>
    </row>
    <row r="35255">
      <c r="B35255" s="17" t="s">
        <v>477</v>
      </c>
      <c r="K35255" s="18"/>
    </row>
    <row r="35256">
      <c r="B35256" s="17" t="s">
        <v>477</v>
      </c>
      <c r="K35256" s="18"/>
    </row>
    <row r="35257">
      <c r="B35257" s="17" t="s">
        <v>477</v>
      </c>
      <c r="K35257" s="18"/>
    </row>
    <row r="35258">
      <c r="B35258" s="17" t="s">
        <v>477</v>
      </c>
      <c r="K35258" s="18"/>
    </row>
    <row r="35259">
      <c r="B35259" s="17" t="s">
        <v>477</v>
      </c>
      <c r="K35259" s="18"/>
    </row>
    <row r="35260">
      <c r="B35260" s="17" t="s">
        <v>477</v>
      </c>
      <c r="K35260" s="18"/>
    </row>
    <row r="35261">
      <c r="B35261" s="17" t="s">
        <v>477</v>
      </c>
      <c r="K35261" s="18"/>
    </row>
    <row r="35262">
      <c r="B35262" s="17" t="s">
        <v>477</v>
      </c>
      <c r="K35262" s="18"/>
    </row>
    <row r="35263">
      <c r="B35263" s="17" t="s">
        <v>477</v>
      </c>
      <c r="K35263" s="18"/>
    </row>
    <row r="35264">
      <c r="B35264" s="17" t="s">
        <v>477</v>
      </c>
      <c r="K35264" s="18"/>
    </row>
    <row r="35265">
      <c r="B35265" s="17" t="s">
        <v>477</v>
      </c>
      <c r="K35265" s="18"/>
    </row>
    <row r="35266">
      <c r="B35266" s="17" t="s">
        <v>477</v>
      </c>
      <c r="K35266" s="18"/>
    </row>
    <row r="35267">
      <c r="B35267" s="17" t="s">
        <v>477</v>
      </c>
      <c r="K35267" s="18"/>
    </row>
    <row r="35268">
      <c r="B35268" s="17" t="s">
        <v>477</v>
      </c>
      <c r="K35268" s="18"/>
    </row>
    <row r="35269">
      <c r="B35269" s="17" t="s">
        <v>477</v>
      </c>
      <c r="K35269" s="18"/>
    </row>
    <row r="35270">
      <c r="B35270" s="17" t="s">
        <v>477</v>
      </c>
      <c r="K35270" s="18"/>
    </row>
    <row r="35271">
      <c r="B35271" s="17" t="s">
        <v>477</v>
      </c>
      <c r="K35271" s="18"/>
    </row>
    <row r="35272">
      <c r="B35272" s="17" t="s">
        <v>477</v>
      </c>
      <c r="K35272" s="18"/>
    </row>
    <row r="35273">
      <c r="B35273" s="17" t="s">
        <v>477</v>
      </c>
      <c r="K35273" s="18"/>
    </row>
    <row r="35274">
      <c r="B35274" s="17" t="s">
        <v>477</v>
      </c>
      <c r="K35274" s="18"/>
    </row>
    <row r="35275">
      <c r="B35275" s="17" t="s">
        <v>477</v>
      </c>
      <c r="K35275" s="18"/>
    </row>
    <row r="35276">
      <c r="B35276" s="17" t="s">
        <v>477</v>
      </c>
      <c r="K35276" s="18"/>
    </row>
    <row r="35277">
      <c r="B35277" s="17" t="s">
        <v>477</v>
      </c>
      <c r="K35277" s="18"/>
    </row>
    <row r="35278">
      <c r="B35278" s="17" t="s">
        <v>477</v>
      </c>
      <c r="K35278" s="18"/>
    </row>
    <row r="35279">
      <c r="B35279" s="17" t="s">
        <v>477</v>
      </c>
      <c r="K35279" s="18"/>
    </row>
    <row r="35280">
      <c r="B35280" s="17" t="s">
        <v>477</v>
      </c>
      <c r="K35280" s="18"/>
    </row>
    <row r="35281">
      <c r="B35281" s="17" t="s">
        <v>477</v>
      </c>
      <c r="K35281" s="18"/>
    </row>
    <row r="35282">
      <c r="B35282" s="17" t="s">
        <v>477</v>
      </c>
      <c r="K35282" s="18"/>
    </row>
    <row r="35283">
      <c r="B35283" s="17" t="s">
        <v>477</v>
      </c>
      <c r="K35283" s="18"/>
    </row>
    <row r="35284">
      <c r="B35284" s="17" t="s">
        <v>477</v>
      </c>
      <c r="K35284" s="18"/>
    </row>
    <row r="35285">
      <c r="B35285" s="17" t="s">
        <v>477</v>
      </c>
      <c r="K35285" s="18"/>
    </row>
    <row r="35286">
      <c r="B35286" s="17" t="s">
        <v>477</v>
      </c>
      <c r="K35286" s="18"/>
    </row>
    <row r="35287">
      <c r="B35287" s="17" t="s">
        <v>477</v>
      </c>
      <c r="K35287" s="18"/>
    </row>
    <row r="35288">
      <c r="B35288" s="17" t="s">
        <v>477</v>
      </c>
      <c r="K35288" s="18"/>
    </row>
    <row r="35289">
      <c r="B35289" s="17" t="s">
        <v>477</v>
      </c>
      <c r="K35289" s="18"/>
    </row>
    <row r="35290">
      <c r="B35290" s="17" t="s">
        <v>477</v>
      </c>
      <c r="K35290" s="18"/>
    </row>
    <row r="35291">
      <c r="B35291" s="17" t="s">
        <v>477</v>
      </c>
      <c r="K35291" s="18"/>
    </row>
    <row r="35292">
      <c r="B35292" s="17" t="s">
        <v>477</v>
      </c>
      <c r="K35292" s="18"/>
    </row>
    <row r="35293">
      <c r="B35293" s="17" t="s">
        <v>477</v>
      </c>
      <c r="K35293" s="18"/>
    </row>
    <row r="35294">
      <c r="B35294" s="17" t="s">
        <v>477</v>
      </c>
      <c r="K35294" s="18"/>
    </row>
    <row r="35295">
      <c r="B35295" s="17" t="s">
        <v>477</v>
      </c>
      <c r="K35295" s="18"/>
    </row>
    <row r="35296">
      <c r="B35296" s="17" t="s">
        <v>477</v>
      </c>
      <c r="K35296" s="18"/>
    </row>
    <row r="35297">
      <c r="B35297" s="17" t="s">
        <v>477</v>
      </c>
      <c r="K35297" s="18"/>
    </row>
    <row r="35298">
      <c r="B35298" s="17" t="s">
        <v>477</v>
      </c>
      <c r="K35298" s="18"/>
    </row>
    <row r="35299">
      <c r="B35299" s="17" t="s">
        <v>477</v>
      </c>
      <c r="K35299" s="18"/>
    </row>
    <row r="35300">
      <c r="B35300" s="17" t="s">
        <v>477</v>
      </c>
      <c r="K35300" s="18"/>
    </row>
    <row r="35301">
      <c r="B35301" s="17" t="s">
        <v>477</v>
      </c>
      <c r="K35301" s="18"/>
    </row>
    <row r="35302">
      <c r="B35302" s="17" t="s">
        <v>477</v>
      </c>
      <c r="K35302" s="18"/>
    </row>
    <row r="35303">
      <c r="B35303" s="17" t="s">
        <v>477</v>
      </c>
      <c r="K35303" s="18"/>
    </row>
    <row r="35304">
      <c r="B35304" s="17" t="s">
        <v>477</v>
      </c>
      <c r="K35304" s="18"/>
    </row>
    <row r="35305">
      <c r="B35305" s="17" t="s">
        <v>477</v>
      </c>
      <c r="K35305" s="18"/>
    </row>
    <row r="35306">
      <c r="B35306" s="17" t="s">
        <v>477</v>
      </c>
      <c r="K35306" s="18"/>
    </row>
    <row r="35307">
      <c r="B35307" s="17" t="s">
        <v>477</v>
      </c>
      <c r="K35307" s="18"/>
    </row>
    <row r="35308">
      <c r="B35308" s="17" t="s">
        <v>477</v>
      </c>
      <c r="K35308" s="18"/>
    </row>
    <row r="35309">
      <c r="B35309" s="17" t="s">
        <v>477</v>
      </c>
      <c r="K35309" s="18"/>
    </row>
    <row r="35310">
      <c r="B35310" s="17" t="s">
        <v>477</v>
      </c>
      <c r="K35310" s="18"/>
    </row>
    <row r="35311">
      <c r="B35311" s="17" t="s">
        <v>477</v>
      </c>
      <c r="K35311" s="18"/>
    </row>
    <row r="35312">
      <c r="B35312" s="17" t="s">
        <v>477</v>
      </c>
      <c r="K35312" s="18"/>
    </row>
    <row r="35313">
      <c r="B35313" s="17" t="s">
        <v>477</v>
      </c>
      <c r="K35313" s="18"/>
    </row>
    <row r="35314">
      <c r="B35314" s="17" t="s">
        <v>477</v>
      </c>
      <c r="K35314" s="18"/>
    </row>
    <row r="35315">
      <c r="B35315" s="17" t="s">
        <v>477</v>
      </c>
      <c r="K35315" s="18"/>
    </row>
    <row r="35316">
      <c r="B35316" s="17" t="s">
        <v>477</v>
      </c>
      <c r="K35316" s="18"/>
    </row>
    <row r="35317">
      <c r="B35317" s="17" t="s">
        <v>477</v>
      </c>
      <c r="K35317" s="18"/>
    </row>
    <row r="35318">
      <c r="B35318" s="17" t="s">
        <v>477</v>
      </c>
      <c r="K35318" s="18"/>
    </row>
    <row r="35319">
      <c r="B35319" s="17" t="s">
        <v>477</v>
      </c>
      <c r="K35319" s="18"/>
    </row>
    <row r="35320">
      <c r="B35320" s="17" t="s">
        <v>477</v>
      </c>
      <c r="K35320" s="18"/>
    </row>
    <row r="35321">
      <c r="B35321" s="17" t="s">
        <v>477</v>
      </c>
      <c r="K35321" s="18"/>
    </row>
    <row r="35322">
      <c r="B35322" s="17" t="s">
        <v>477</v>
      </c>
      <c r="K35322" s="18"/>
    </row>
    <row r="35323">
      <c r="B35323" s="17" t="s">
        <v>477</v>
      </c>
      <c r="K35323" s="18"/>
    </row>
    <row r="35324">
      <c r="B35324" s="17" t="s">
        <v>477</v>
      </c>
      <c r="K35324" s="18"/>
    </row>
    <row r="35325">
      <c r="B35325" s="17" t="s">
        <v>477</v>
      </c>
      <c r="K35325" s="18"/>
    </row>
    <row r="35326">
      <c r="B35326" s="17" t="s">
        <v>477</v>
      </c>
      <c r="K35326" s="18"/>
    </row>
    <row r="35327">
      <c r="B35327" s="17" t="s">
        <v>477</v>
      </c>
      <c r="K35327" s="18"/>
    </row>
    <row r="35328">
      <c r="B35328" s="17" t="s">
        <v>477</v>
      </c>
      <c r="K35328" s="18"/>
    </row>
    <row r="35329">
      <c r="B35329" s="17" t="s">
        <v>477</v>
      </c>
      <c r="K35329" s="18"/>
    </row>
    <row r="35330">
      <c r="B35330" s="17" t="s">
        <v>477</v>
      </c>
      <c r="K35330" s="18"/>
    </row>
    <row r="35331">
      <c r="B35331" s="17" t="s">
        <v>477</v>
      </c>
      <c r="K35331" s="18"/>
    </row>
    <row r="35332">
      <c r="B35332" s="17" t="s">
        <v>477</v>
      </c>
      <c r="K35332" s="18"/>
    </row>
    <row r="35333">
      <c r="B35333" s="17" t="s">
        <v>477</v>
      </c>
      <c r="K35333" s="18"/>
    </row>
    <row r="35334">
      <c r="B35334" s="17" t="s">
        <v>477</v>
      </c>
      <c r="K35334" s="18"/>
    </row>
    <row r="35335">
      <c r="B35335" s="17" t="s">
        <v>477</v>
      </c>
      <c r="K35335" s="18"/>
    </row>
    <row r="35336">
      <c r="B35336" s="17" t="s">
        <v>477</v>
      </c>
      <c r="K35336" s="18"/>
    </row>
    <row r="35337">
      <c r="B35337" s="17" t="s">
        <v>477</v>
      </c>
      <c r="K35337" s="18"/>
    </row>
    <row r="35338">
      <c r="B35338" s="17" t="s">
        <v>477</v>
      </c>
      <c r="K35338" s="18"/>
    </row>
    <row r="35339">
      <c r="B35339" s="17" t="s">
        <v>477</v>
      </c>
      <c r="K35339" s="18"/>
    </row>
    <row r="35340">
      <c r="B35340" s="17" t="s">
        <v>477</v>
      </c>
      <c r="K35340" s="18"/>
    </row>
    <row r="35341">
      <c r="B35341" s="17" t="s">
        <v>477</v>
      </c>
      <c r="K35341" s="18"/>
    </row>
    <row r="35342">
      <c r="B35342" s="17" t="s">
        <v>477</v>
      </c>
      <c r="K35342" s="18"/>
    </row>
    <row r="35343">
      <c r="B35343" s="17" t="s">
        <v>477</v>
      </c>
      <c r="K35343" s="18"/>
    </row>
    <row r="35344">
      <c r="B35344" s="17" t="s">
        <v>477</v>
      </c>
      <c r="K35344" s="18"/>
    </row>
    <row r="35345">
      <c r="B35345" s="17" t="s">
        <v>477</v>
      </c>
      <c r="K35345" s="18"/>
    </row>
    <row r="35346">
      <c r="B35346" s="17" t="s">
        <v>477</v>
      </c>
      <c r="K35346" s="18"/>
    </row>
    <row r="35347">
      <c r="B35347" s="17" t="s">
        <v>477</v>
      </c>
      <c r="K35347" s="18"/>
    </row>
    <row r="35348">
      <c r="B35348" s="17" t="s">
        <v>477</v>
      </c>
      <c r="K35348" s="18"/>
    </row>
    <row r="35349">
      <c r="B35349" s="17" t="s">
        <v>477</v>
      </c>
      <c r="K35349" s="18"/>
    </row>
    <row r="35350">
      <c r="B35350" s="17" t="s">
        <v>477</v>
      </c>
      <c r="K35350" s="18"/>
    </row>
    <row r="35351">
      <c r="B35351" s="17" t="s">
        <v>477</v>
      </c>
      <c r="K35351" s="18"/>
    </row>
    <row r="35352">
      <c r="B35352" s="17" t="s">
        <v>477</v>
      </c>
      <c r="K35352" s="18"/>
    </row>
    <row r="35353">
      <c r="B35353" s="17" t="s">
        <v>477</v>
      </c>
      <c r="K35353" s="18"/>
    </row>
    <row r="35354">
      <c r="B35354" s="17" t="s">
        <v>477</v>
      </c>
      <c r="K35354" s="18"/>
    </row>
    <row r="35355">
      <c r="B35355" s="17" t="s">
        <v>477</v>
      </c>
      <c r="K35355" s="18"/>
    </row>
    <row r="35356">
      <c r="B35356" s="17" t="s">
        <v>477</v>
      </c>
      <c r="K35356" s="18"/>
    </row>
    <row r="35357">
      <c r="B35357" s="17" t="s">
        <v>477</v>
      </c>
      <c r="K35357" s="18"/>
    </row>
    <row r="35358">
      <c r="B35358" s="17" t="s">
        <v>477</v>
      </c>
      <c r="K35358" s="18"/>
    </row>
    <row r="35359">
      <c r="B35359" s="17" t="s">
        <v>477</v>
      </c>
      <c r="K35359" s="18"/>
    </row>
    <row r="35360">
      <c r="B35360" s="17" t="s">
        <v>477</v>
      </c>
      <c r="K35360" s="18"/>
    </row>
    <row r="35361">
      <c r="B35361" s="17" t="s">
        <v>477</v>
      </c>
      <c r="K35361" s="18"/>
    </row>
    <row r="35362">
      <c r="B35362" s="17" t="s">
        <v>477</v>
      </c>
      <c r="K35362" s="18"/>
    </row>
    <row r="35363">
      <c r="B35363" s="17" t="s">
        <v>477</v>
      </c>
      <c r="K35363" s="18"/>
    </row>
    <row r="35364">
      <c r="B35364" s="17" t="s">
        <v>477</v>
      </c>
      <c r="K35364" s="18"/>
    </row>
    <row r="35365">
      <c r="B35365" s="17" t="s">
        <v>477</v>
      </c>
      <c r="K35365" s="18"/>
    </row>
    <row r="35366">
      <c r="B35366" s="17" t="s">
        <v>477</v>
      </c>
      <c r="K35366" s="18"/>
    </row>
    <row r="35367">
      <c r="B35367" s="17" t="s">
        <v>477</v>
      </c>
      <c r="K35367" s="18"/>
    </row>
    <row r="35368">
      <c r="B35368" s="17" t="s">
        <v>477</v>
      </c>
      <c r="K35368" s="18"/>
    </row>
    <row r="35369">
      <c r="B35369" s="17" t="s">
        <v>477</v>
      </c>
      <c r="K35369" s="18"/>
    </row>
    <row r="35370">
      <c r="B35370" s="17" t="s">
        <v>477</v>
      </c>
      <c r="K35370" s="18"/>
    </row>
    <row r="35371">
      <c r="B35371" s="17" t="s">
        <v>477</v>
      </c>
      <c r="K35371" s="18"/>
    </row>
    <row r="35372">
      <c r="B35372" s="17" t="s">
        <v>477</v>
      </c>
      <c r="K35372" s="18"/>
    </row>
    <row r="35373">
      <c r="B35373" s="17" t="s">
        <v>477</v>
      </c>
      <c r="K35373" s="18"/>
    </row>
    <row r="35374">
      <c r="B35374" s="17" t="s">
        <v>477</v>
      </c>
      <c r="K35374" s="18"/>
    </row>
    <row r="35375">
      <c r="B35375" s="17" t="s">
        <v>477</v>
      </c>
      <c r="K35375" s="18"/>
    </row>
    <row r="35376">
      <c r="B35376" s="17" t="s">
        <v>477</v>
      </c>
      <c r="K35376" s="18"/>
    </row>
    <row r="35377">
      <c r="B35377" s="17" t="s">
        <v>477</v>
      </c>
      <c r="K35377" s="18"/>
    </row>
    <row r="35378">
      <c r="B35378" s="17" t="s">
        <v>477</v>
      </c>
      <c r="K35378" s="18"/>
    </row>
    <row r="35379">
      <c r="B35379" s="17" t="s">
        <v>477</v>
      </c>
      <c r="K35379" s="18"/>
    </row>
    <row r="35380">
      <c r="B35380" s="17" t="s">
        <v>477</v>
      </c>
      <c r="K35380" s="18"/>
    </row>
    <row r="35381">
      <c r="B35381" s="17" t="s">
        <v>477</v>
      </c>
      <c r="K35381" s="18"/>
    </row>
    <row r="35382">
      <c r="B35382" s="17" t="s">
        <v>477</v>
      </c>
      <c r="K35382" s="18"/>
    </row>
    <row r="35383">
      <c r="B35383" s="17" t="s">
        <v>477</v>
      </c>
      <c r="K35383" s="18"/>
    </row>
    <row r="35384">
      <c r="B35384" s="17" t="s">
        <v>477</v>
      </c>
      <c r="K35384" s="18"/>
    </row>
    <row r="35385">
      <c r="B35385" s="17" t="s">
        <v>477</v>
      </c>
      <c r="K35385" s="18"/>
    </row>
    <row r="35386">
      <c r="B35386" s="17" t="s">
        <v>477</v>
      </c>
      <c r="K35386" s="18"/>
    </row>
    <row r="35387">
      <c r="B35387" s="17" t="s">
        <v>477</v>
      </c>
      <c r="K35387" s="18"/>
    </row>
    <row r="35388">
      <c r="B35388" s="17" t="s">
        <v>477</v>
      </c>
      <c r="K35388" s="18"/>
    </row>
    <row r="35389">
      <c r="B35389" s="17" t="s">
        <v>477</v>
      </c>
      <c r="K35389" s="18"/>
    </row>
    <row r="35390">
      <c r="B35390" s="17" t="s">
        <v>477</v>
      </c>
      <c r="K35390" s="18"/>
    </row>
    <row r="35391">
      <c r="B35391" s="17" t="s">
        <v>477</v>
      </c>
      <c r="K35391" s="18"/>
    </row>
    <row r="35392">
      <c r="B35392" s="17" t="s">
        <v>477</v>
      </c>
      <c r="K35392" s="18"/>
    </row>
    <row r="35393">
      <c r="B35393" s="17" t="s">
        <v>477</v>
      </c>
      <c r="K35393" s="18"/>
    </row>
    <row r="35394">
      <c r="B35394" s="17" t="s">
        <v>477</v>
      </c>
      <c r="K35394" s="18"/>
    </row>
    <row r="35395">
      <c r="B35395" s="17" t="s">
        <v>477</v>
      </c>
      <c r="K35395" s="18"/>
    </row>
    <row r="35396">
      <c r="B35396" s="17" t="s">
        <v>477</v>
      </c>
      <c r="K35396" s="18"/>
    </row>
    <row r="35397">
      <c r="B35397" s="17" t="s">
        <v>477</v>
      </c>
      <c r="K35397" s="18"/>
    </row>
    <row r="35398">
      <c r="B35398" s="17" t="s">
        <v>477</v>
      </c>
      <c r="K35398" s="18"/>
    </row>
    <row r="35399">
      <c r="B35399" s="17" t="s">
        <v>477</v>
      </c>
      <c r="K35399" s="18"/>
    </row>
    <row r="35400">
      <c r="B35400" s="17" t="s">
        <v>477</v>
      </c>
      <c r="K35400" s="18"/>
    </row>
    <row r="35401">
      <c r="B35401" s="17" t="s">
        <v>477</v>
      </c>
      <c r="K35401" s="18"/>
    </row>
    <row r="35402">
      <c r="B35402" s="17" t="s">
        <v>477</v>
      </c>
      <c r="K35402" s="18"/>
    </row>
    <row r="35403">
      <c r="B35403" s="17" t="s">
        <v>477</v>
      </c>
      <c r="K35403" s="18"/>
    </row>
    <row r="35404">
      <c r="B35404" s="17" t="s">
        <v>477</v>
      </c>
      <c r="K35404" s="18"/>
    </row>
    <row r="35405">
      <c r="B35405" s="17" t="s">
        <v>477</v>
      </c>
      <c r="K35405" s="18"/>
    </row>
    <row r="35406">
      <c r="B35406" s="17" t="s">
        <v>477</v>
      </c>
      <c r="K35406" s="18"/>
    </row>
    <row r="35407">
      <c r="B35407" s="17" t="s">
        <v>477</v>
      </c>
      <c r="K35407" s="18"/>
    </row>
    <row r="35408">
      <c r="B35408" s="17" t="s">
        <v>477</v>
      </c>
      <c r="K35408" s="18"/>
    </row>
    <row r="35409">
      <c r="B35409" s="17" t="s">
        <v>477</v>
      </c>
      <c r="K35409" s="18"/>
    </row>
    <row r="35410">
      <c r="B35410" s="17" t="s">
        <v>477</v>
      </c>
      <c r="K35410" s="18"/>
    </row>
    <row r="35411">
      <c r="B35411" s="17" t="s">
        <v>477</v>
      </c>
      <c r="K35411" s="18"/>
    </row>
    <row r="35412">
      <c r="B35412" s="17" t="s">
        <v>477</v>
      </c>
      <c r="K35412" s="18"/>
    </row>
    <row r="35413">
      <c r="B35413" s="17" t="s">
        <v>477</v>
      </c>
      <c r="K35413" s="18"/>
    </row>
    <row r="35414">
      <c r="B35414" s="17" t="s">
        <v>477</v>
      </c>
      <c r="K35414" s="18"/>
    </row>
    <row r="35415">
      <c r="B35415" s="17" t="s">
        <v>477</v>
      </c>
      <c r="K35415" s="18"/>
    </row>
    <row r="35416">
      <c r="B35416" s="17" t="s">
        <v>477</v>
      </c>
      <c r="K35416" s="18"/>
    </row>
    <row r="35417">
      <c r="B35417" s="17" t="s">
        <v>477</v>
      </c>
      <c r="K35417" s="18"/>
    </row>
    <row r="35418">
      <c r="B35418" s="17" t="s">
        <v>477</v>
      </c>
      <c r="K35418" s="18"/>
    </row>
    <row r="35419">
      <c r="B35419" s="17" t="s">
        <v>477</v>
      </c>
      <c r="K35419" s="18"/>
    </row>
    <row r="35420">
      <c r="B35420" s="17" t="s">
        <v>477</v>
      </c>
      <c r="K35420" s="18"/>
    </row>
    <row r="35421">
      <c r="B35421" s="17" t="s">
        <v>477</v>
      </c>
      <c r="K35421" s="18"/>
    </row>
    <row r="35422">
      <c r="B35422" s="17" t="s">
        <v>477</v>
      </c>
      <c r="K35422" s="18"/>
    </row>
    <row r="35423">
      <c r="B35423" s="17" t="s">
        <v>477</v>
      </c>
      <c r="K35423" s="18"/>
    </row>
    <row r="35424">
      <c r="B35424" s="17" t="s">
        <v>477</v>
      </c>
      <c r="K35424" s="18"/>
    </row>
    <row r="35425">
      <c r="B35425" s="17" t="s">
        <v>477</v>
      </c>
      <c r="K35425" s="18"/>
    </row>
    <row r="35426">
      <c r="B35426" s="17" t="s">
        <v>477</v>
      </c>
      <c r="K35426" s="18"/>
    </row>
    <row r="35427">
      <c r="B35427" s="17" t="s">
        <v>477</v>
      </c>
      <c r="K35427" s="18"/>
    </row>
    <row r="35428">
      <c r="B35428" s="17" t="s">
        <v>477</v>
      </c>
      <c r="K35428" s="18"/>
    </row>
    <row r="35429">
      <c r="B35429" s="17" t="s">
        <v>477</v>
      </c>
      <c r="K35429" s="18"/>
    </row>
    <row r="35430">
      <c r="B35430" s="17" t="s">
        <v>477</v>
      </c>
      <c r="K35430" s="18"/>
    </row>
    <row r="35431">
      <c r="B35431" s="17" t="s">
        <v>477</v>
      </c>
      <c r="K35431" s="18"/>
    </row>
    <row r="35432">
      <c r="B35432" s="17" t="s">
        <v>477</v>
      </c>
      <c r="K35432" s="18"/>
    </row>
    <row r="35433">
      <c r="B35433" s="17" t="s">
        <v>477</v>
      </c>
      <c r="K35433" s="18"/>
    </row>
    <row r="35434">
      <c r="B35434" s="17" t="s">
        <v>477</v>
      </c>
      <c r="K35434" s="18"/>
    </row>
    <row r="35435">
      <c r="B35435" s="17" t="s">
        <v>477</v>
      </c>
      <c r="K35435" s="18"/>
    </row>
    <row r="35436">
      <c r="B35436" s="17" t="s">
        <v>477</v>
      </c>
      <c r="K35436" s="18"/>
    </row>
    <row r="35437">
      <c r="B35437" s="17" t="s">
        <v>477</v>
      </c>
      <c r="K35437" s="18"/>
    </row>
    <row r="35438">
      <c r="B35438" s="17" t="s">
        <v>477</v>
      </c>
      <c r="K35438" s="18"/>
    </row>
    <row r="35439">
      <c r="B35439" s="17" t="s">
        <v>477</v>
      </c>
      <c r="K35439" s="18"/>
    </row>
    <row r="35440">
      <c r="B35440" s="17" t="s">
        <v>477</v>
      </c>
      <c r="K35440" s="18"/>
    </row>
    <row r="35441">
      <c r="B35441" s="17" t="s">
        <v>477</v>
      </c>
      <c r="K35441" s="18"/>
    </row>
    <row r="35442">
      <c r="B35442" s="17" t="s">
        <v>477</v>
      </c>
      <c r="K35442" s="18"/>
    </row>
    <row r="35443">
      <c r="B35443" s="17" t="s">
        <v>477</v>
      </c>
      <c r="K35443" s="18"/>
    </row>
    <row r="35444">
      <c r="B35444" s="17" t="s">
        <v>477</v>
      </c>
      <c r="K35444" s="18"/>
    </row>
    <row r="35445">
      <c r="B35445" s="17" t="s">
        <v>477</v>
      </c>
      <c r="K35445" s="18"/>
    </row>
    <row r="35446">
      <c r="B35446" s="17" t="s">
        <v>477</v>
      </c>
      <c r="K35446" s="18"/>
    </row>
    <row r="35447">
      <c r="B35447" s="17" t="s">
        <v>477</v>
      </c>
      <c r="K35447" s="18"/>
    </row>
    <row r="35448">
      <c r="B35448" s="17" t="s">
        <v>477</v>
      </c>
      <c r="K35448" s="18"/>
    </row>
    <row r="35449">
      <c r="B35449" s="17" t="s">
        <v>477</v>
      </c>
      <c r="K35449" s="18"/>
    </row>
    <row r="35450">
      <c r="B35450" s="17" t="s">
        <v>477</v>
      </c>
      <c r="K35450" s="18"/>
    </row>
    <row r="35451">
      <c r="B35451" s="17" t="s">
        <v>477</v>
      </c>
      <c r="K35451" s="18"/>
    </row>
    <row r="35452">
      <c r="B35452" s="17" t="s">
        <v>477</v>
      </c>
      <c r="K35452" s="18"/>
    </row>
    <row r="35453">
      <c r="B35453" s="17" t="s">
        <v>477</v>
      </c>
      <c r="K35453" s="18"/>
    </row>
    <row r="35454">
      <c r="B35454" s="17" t="s">
        <v>477</v>
      </c>
      <c r="K35454" s="18"/>
    </row>
    <row r="35455">
      <c r="B35455" s="17" t="s">
        <v>477</v>
      </c>
      <c r="K35455" s="18"/>
    </row>
    <row r="35456">
      <c r="B35456" s="17" t="s">
        <v>477</v>
      </c>
      <c r="K35456" s="18"/>
    </row>
    <row r="35457">
      <c r="B35457" s="17" t="s">
        <v>477</v>
      </c>
      <c r="K35457" s="18"/>
    </row>
    <row r="35458">
      <c r="B35458" s="17" t="s">
        <v>477</v>
      </c>
      <c r="K35458" s="18"/>
    </row>
    <row r="35459">
      <c r="B35459" s="17" t="s">
        <v>477</v>
      </c>
      <c r="K35459" s="18"/>
    </row>
    <row r="35460">
      <c r="B35460" s="17" t="s">
        <v>477</v>
      </c>
      <c r="K35460" s="18"/>
    </row>
    <row r="35461">
      <c r="B35461" s="17" t="s">
        <v>477</v>
      </c>
      <c r="K35461" s="18"/>
    </row>
    <row r="35462">
      <c r="B35462" s="17" t="s">
        <v>477</v>
      </c>
      <c r="K35462" s="18"/>
    </row>
    <row r="35463">
      <c r="B35463" s="17" t="s">
        <v>477</v>
      </c>
      <c r="K35463" s="18"/>
    </row>
    <row r="35464">
      <c r="B35464" s="17" t="s">
        <v>477</v>
      </c>
      <c r="K35464" s="18"/>
    </row>
    <row r="35465">
      <c r="B35465" s="17" t="s">
        <v>477</v>
      </c>
      <c r="K35465" s="18"/>
    </row>
    <row r="35466">
      <c r="B35466" s="17" t="s">
        <v>477</v>
      </c>
      <c r="K35466" s="18"/>
    </row>
    <row r="35467">
      <c r="B35467" s="17" t="s">
        <v>477</v>
      </c>
      <c r="K35467" s="18"/>
    </row>
    <row r="35468">
      <c r="B35468" s="17" t="s">
        <v>477</v>
      </c>
      <c r="K35468" s="18"/>
    </row>
    <row r="35469">
      <c r="B35469" s="17" t="s">
        <v>477</v>
      </c>
      <c r="K35469" s="18"/>
    </row>
    <row r="35470">
      <c r="B35470" s="17" t="s">
        <v>477</v>
      </c>
      <c r="K35470" s="18"/>
    </row>
    <row r="35471">
      <c r="B35471" s="17" t="s">
        <v>477</v>
      </c>
      <c r="K35471" s="18"/>
    </row>
    <row r="35472">
      <c r="B35472" s="17" t="s">
        <v>477</v>
      </c>
      <c r="K35472" s="18"/>
    </row>
    <row r="35473">
      <c r="B35473" s="17" t="s">
        <v>477</v>
      </c>
      <c r="K35473" s="18"/>
    </row>
    <row r="35474">
      <c r="B35474" s="17" t="s">
        <v>477</v>
      </c>
      <c r="K35474" s="18"/>
    </row>
    <row r="35475">
      <c r="B35475" s="17" t="s">
        <v>477</v>
      </c>
      <c r="K35475" s="18"/>
    </row>
    <row r="35476">
      <c r="B35476" s="17" t="s">
        <v>477</v>
      </c>
      <c r="K35476" s="18"/>
    </row>
    <row r="35477">
      <c r="B35477" s="17" t="s">
        <v>477</v>
      </c>
      <c r="K35477" s="18"/>
    </row>
    <row r="35478">
      <c r="B35478" s="17" t="s">
        <v>477</v>
      </c>
      <c r="K35478" s="18"/>
    </row>
    <row r="35479">
      <c r="B35479" s="17" t="s">
        <v>477</v>
      </c>
      <c r="K35479" s="18"/>
    </row>
    <row r="35480">
      <c r="B35480" s="17" t="s">
        <v>477</v>
      </c>
      <c r="K35480" s="18"/>
    </row>
    <row r="35481">
      <c r="B35481" s="17" t="s">
        <v>477</v>
      </c>
      <c r="K35481" s="18"/>
    </row>
    <row r="35482">
      <c r="B35482" s="17" t="s">
        <v>477</v>
      </c>
      <c r="K35482" s="18"/>
    </row>
    <row r="35483">
      <c r="B35483" s="17" t="s">
        <v>477</v>
      </c>
      <c r="K35483" s="18"/>
    </row>
    <row r="35484">
      <c r="B35484" s="17" t="s">
        <v>477</v>
      </c>
      <c r="K35484" s="18"/>
    </row>
    <row r="35485">
      <c r="B35485" s="17" t="s">
        <v>477</v>
      </c>
      <c r="K35485" s="18"/>
    </row>
    <row r="35486">
      <c r="B35486" s="17" t="s">
        <v>477</v>
      </c>
      <c r="K35486" s="18"/>
    </row>
    <row r="35487">
      <c r="B35487" s="17" t="s">
        <v>477</v>
      </c>
      <c r="K35487" s="18"/>
    </row>
    <row r="35488">
      <c r="B35488" s="17" t="s">
        <v>477</v>
      </c>
      <c r="K35488" s="18"/>
    </row>
    <row r="35489">
      <c r="B35489" s="17" t="s">
        <v>477</v>
      </c>
      <c r="K35489" s="18"/>
    </row>
    <row r="35490">
      <c r="B35490" s="17" t="s">
        <v>477</v>
      </c>
      <c r="K35490" s="18"/>
    </row>
    <row r="35491">
      <c r="B35491" s="17" t="s">
        <v>477</v>
      </c>
      <c r="K35491" s="18"/>
    </row>
    <row r="35492">
      <c r="B35492" s="17" t="s">
        <v>477</v>
      </c>
      <c r="K35492" s="18"/>
    </row>
    <row r="35493">
      <c r="B35493" s="17" t="s">
        <v>477</v>
      </c>
      <c r="K35493" s="18"/>
    </row>
    <row r="35494">
      <c r="B35494" s="17" t="s">
        <v>477</v>
      </c>
      <c r="K35494" s="18"/>
    </row>
    <row r="35495">
      <c r="B35495" s="17" t="s">
        <v>477</v>
      </c>
      <c r="K35495" s="18"/>
    </row>
    <row r="35496">
      <c r="B35496" s="17" t="s">
        <v>477</v>
      </c>
      <c r="K35496" s="18"/>
    </row>
    <row r="35497">
      <c r="B35497" s="17" t="s">
        <v>477</v>
      </c>
      <c r="K35497" s="18"/>
    </row>
    <row r="35498">
      <c r="B35498" s="17" t="s">
        <v>477</v>
      </c>
      <c r="K35498" s="18"/>
    </row>
    <row r="35499">
      <c r="B35499" s="17" t="s">
        <v>477</v>
      </c>
      <c r="K35499" s="18"/>
    </row>
    <row r="35500">
      <c r="B35500" s="17" t="s">
        <v>477</v>
      </c>
      <c r="K35500" s="18"/>
    </row>
    <row r="35501">
      <c r="B35501" s="17" t="s">
        <v>477</v>
      </c>
      <c r="K35501" s="18"/>
    </row>
    <row r="35502">
      <c r="B35502" s="17" t="s">
        <v>477</v>
      </c>
      <c r="K35502" s="18"/>
    </row>
    <row r="35503">
      <c r="B35503" s="17" t="s">
        <v>477</v>
      </c>
      <c r="K35503" s="18"/>
    </row>
    <row r="35504">
      <c r="B35504" s="17" t="s">
        <v>477</v>
      </c>
      <c r="K35504" s="18"/>
    </row>
    <row r="35505">
      <c r="B35505" s="17" t="s">
        <v>477</v>
      </c>
      <c r="K35505" s="18"/>
    </row>
    <row r="35506">
      <c r="B35506" s="17" t="s">
        <v>477</v>
      </c>
      <c r="K35506" s="18"/>
    </row>
    <row r="35507">
      <c r="B35507" s="17" t="s">
        <v>477</v>
      </c>
      <c r="K35507" s="18"/>
    </row>
    <row r="35508">
      <c r="B35508" s="17" t="s">
        <v>477</v>
      </c>
      <c r="K35508" s="18"/>
    </row>
    <row r="35509">
      <c r="B35509" s="17" t="s">
        <v>477</v>
      </c>
      <c r="K35509" s="18"/>
    </row>
    <row r="35510">
      <c r="B35510" s="17" t="s">
        <v>477</v>
      </c>
      <c r="K35510" s="18"/>
    </row>
    <row r="35511">
      <c r="B35511" s="17" t="s">
        <v>477</v>
      </c>
      <c r="K35511" s="18"/>
    </row>
    <row r="35512">
      <c r="B35512" s="17" t="s">
        <v>477</v>
      </c>
      <c r="K35512" s="18"/>
    </row>
    <row r="35513">
      <c r="B35513" s="17" t="s">
        <v>477</v>
      </c>
      <c r="K35513" s="18"/>
    </row>
    <row r="35514">
      <c r="B35514" s="17" t="s">
        <v>477</v>
      </c>
      <c r="K35514" s="18"/>
    </row>
    <row r="35515">
      <c r="B35515" s="17" t="s">
        <v>477</v>
      </c>
      <c r="K35515" s="18"/>
    </row>
    <row r="35516">
      <c r="B35516" s="17" t="s">
        <v>477</v>
      </c>
      <c r="K35516" s="18"/>
    </row>
    <row r="35517">
      <c r="B35517" s="17" t="s">
        <v>477</v>
      </c>
      <c r="K35517" s="18"/>
    </row>
    <row r="35518">
      <c r="B35518" s="17" t="s">
        <v>477</v>
      </c>
      <c r="K35518" s="18"/>
    </row>
    <row r="35519">
      <c r="B35519" s="17" t="s">
        <v>477</v>
      </c>
      <c r="K35519" s="18"/>
    </row>
    <row r="35520">
      <c r="B35520" s="17" t="s">
        <v>477</v>
      </c>
      <c r="K35520" s="18"/>
    </row>
    <row r="35521">
      <c r="B35521" s="17" t="s">
        <v>477</v>
      </c>
      <c r="K35521" s="18"/>
    </row>
    <row r="35522">
      <c r="B35522" s="17" t="s">
        <v>477</v>
      </c>
      <c r="K35522" s="18"/>
    </row>
    <row r="35523">
      <c r="B35523" s="17" t="s">
        <v>477</v>
      </c>
      <c r="K35523" s="18"/>
    </row>
    <row r="35524">
      <c r="B35524" s="17" t="s">
        <v>477</v>
      </c>
      <c r="K35524" s="18"/>
    </row>
    <row r="35525">
      <c r="B35525" s="17" t="s">
        <v>477</v>
      </c>
      <c r="K35525" s="18"/>
    </row>
    <row r="35526">
      <c r="B35526" s="17" t="s">
        <v>477</v>
      </c>
      <c r="K35526" s="18"/>
    </row>
    <row r="35527">
      <c r="B35527" s="17" t="s">
        <v>477</v>
      </c>
      <c r="K35527" s="18"/>
    </row>
    <row r="35528">
      <c r="B35528" s="17" t="s">
        <v>477</v>
      </c>
      <c r="K35528" s="18"/>
    </row>
    <row r="35529">
      <c r="B35529" s="17" t="s">
        <v>477</v>
      </c>
      <c r="K35529" s="18"/>
    </row>
    <row r="35530">
      <c r="B35530" s="17" t="s">
        <v>477</v>
      </c>
      <c r="K35530" s="18"/>
    </row>
    <row r="35531">
      <c r="B35531" s="17" t="s">
        <v>477</v>
      </c>
      <c r="K35531" s="18"/>
    </row>
    <row r="35532">
      <c r="B35532" s="17" t="s">
        <v>477</v>
      </c>
      <c r="K35532" s="18"/>
    </row>
    <row r="35533">
      <c r="B35533" s="17" t="s">
        <v>477</v>
      </c>
      <c r="K35533" s="18"/>
    </row>
    <row r="35534">
      <c r="B35534" s="17" t="s">
        <v>477</v>
      </c>
      <c r="K35534" s="18"/>
    </row>
    <row r="35535">
      <c r="B35535" s="17" t="s">
        <v>477</v>
      </c>
      <c r="K35535" s="18"/>
    </row>
    <row r="35536">
      <c r="B35536" s="17" t="s">
        <v>477</v>
      </c>
      <c r="K35536" s="18"/>
    </row>
    <row r="35537">
      <c r="B35537" s="17" t="s">
        <v>477</v>
      </c>
      <c r="K35537" s="18"/>
    </row>
    <row r="35538">
      <c r="B35538" s="17" t="s">
        <v>477</v>
      </c>
      <c r="K35538" s="18"/>
    </row>
    <row r="35539">
      <c r="B35539" s="17" t="s">
        <v>477</v>
      </c>
      <c r="K35539" s="18"/>
    </row>
    <row r="35540">
      <c r="B35540" s="17" t="s">
        <v>477</v>
      </c>
      <c r="K35540" s="18"/>
    </row>
    <row r="35541">
      <c r="B35541" s="17" t="s">
        <v>477</v>
      </c>
      <c r="K35541" s="18"/>
    </row>
    <row r="35542">
      <c r="B35542" s="17" t="s">
        <v>477</v>
      </c>
      <c r="K35542" s="18"/>
    </row>
    <row r="35543">
      <c r="B35543" s="17" t="s">
        <v>477</v>
      </c>
      <c r="K35543" s="18"/>
    </row>
    <row r="35544">
      <c r="B35544" s="17" t="s">
        <v>477</v>
      </c>
      <c r="K35544" s="18"/>
    </row>
    <row r="35545">
      <c r="B35545" s="17" t="s">
        <v>477</v>
      </c>
      <c r="K35545" s="18"/>
    </row>
    <row r="35546">
      <c r="B35546" s="17" t="s">
        <v>477</v>
      </c>
      <c r="K35546" s="18"/>
    </row>
    <row r="35547">
      <c r="B35547" s="17" t="s">
        <v>477</v>
      </c>
      <c r="K35547" s="18"/>
    </row>
    <row r="35548">
      <c r="B35548" s="17" t="s">
        <v>477</v>
      </c>
      <c r="K35548" s="18"/>
    </row>
    <row r="35549">
      <c r="B35549" s="17" t="s">
        <v>477</v>
      </c>
      <c r="K35549" s="18"/>
    </row>
    <row r="35550">
      <c r="B35550" s="17" t="s">
        <v>477</v>
      </c>
      <c r="K35550" s="18"/>
    </row>
    <row r="35551">
      <c r="B35551" s="17" t="s">
        <v>477</v>
      </c>
      <c r="K35551" s="18"/>
    </row>
    <row r="35552">
      <c r="B35552" s="17" t="s">
        <v>477</v>
      </c>
      <c r="K35552" s="18"/>
    </row>
    <row r="35553">
      <c r="B35553" s="17" t="s">
        <v>477</v>
      </c>
      <c r="K35553" s="18"/>
    </row>
    <row r="35554">
      <c r="B35554" s="17" t="s">
        <v>477</v>
      </c>
      <c r="K35554" s="18"/>
    </row>
    <row r="35555">
      <c r="B35555" s="17" t="s">
        <v>477</v>
      </c>
      <c r="K35555" s="18"/>
    </row>
    <row r="35556">
      <c r="B35556" s="17" t="s">
        <v>477</v>
      </c>
      <c r="K35556" s="18"/>
    </row>
    <row r="35557">
      <c r="B35557" s="17" t="s">
        <v>477</v>
      </c>
      <c r="K35557" s="18"/>
    </row>
    <row r="35558">
      <c r="B35558" s="17" t="s">
        <v>477</v>
      </c>
      <c r="K35558" s="18"/>
    </row>
    <row r="35559">
      <c r="B35559" s="17" t="s">
        <v>477</v>
      </c>
      <c r="K35559" s="18"/>
    </row>
    <row r="35560">
      <c r="B35560" s="17" t="s">
        <v>477</v>
      </c>
      <c r="K35560" s="18"/>
    </row>
    <row r="35561">
      <c r="B35561" s="17" t="s">
        <v>477</v>
      </c>
      <c r="K35561" s="18"/>
    </row>
    <row r="35562">
      <c r="B35562" s="17" t="s">
        <v>477</v>
      </c>
      <c r="K35562" s="18"/>
    </row>
    <row r="35563">
      <c r="B35563" s="17" t="s">
        <v>477</v>
      </c>
      <c r="K35563" s="18"/>
    </row>
    <row r="35564">
      <c r="B35564" s="17" t="s">
        <v>477</v>
      </c>
      <c r="K35564" s="18"/>
    </row>
    <row r="35565">
      <c r="B35565" s="17" t="s">
        <v>477</v>
      </c>
      <c r="K35565" s="18"/>
    </row>
    <row r="35566">
      <c r="B35566" s="17" t="s">
        <v>477</v>
      </c>
      <c r="K35566" s="18"/>
    </row>
    <row r="35567">
      <c r="B35567" s="17" t="s">
        <v>477</v>
      </c>
      <c r="K35567" s="18"/>
    </row>
    <row r="35568">
      <c r="B35568" s="17" t="s">
        <v>477</v>
      </c>
      <c r="K35568" s="18"/>
    </row>
    <row r="35569">
      <c r="B35569" s="17" t="s">
        <v>477</v>
      </c>
      <c r="K35569" s="18"/>
    </row>
    <row r="35570">
      <c r="B35570" s="17" t="s">
        <v>477</v>
      </c>
      <c r="K35570" s="18"/>
    </row>
    <row r="35571">
      <c r="B35571" s="17" t="s">
        <v>477</v>
      </c>
      <c r="K35571" s="18"/>
    </row>
    <row r="35572">
      <c r="B35572" s="17" t="s">
        <v>477</v>
      </c>
      <c r="K35572" s="18"/>
    </row>
    <row r="35573">
      <c r="B35573" s="17" t="s">
        <v>477</v>
      </c>
      <c r="K35573" s="18"/>
    </row>
    <row r="35574">
      <c r="B35574" s="17" t="s">
        <v>477</v>
      </c>
      <c r="K35574" s="18"/>
    </row>
    <row r="35575">
      <c r="B35575" s="17" t="s">
        <v>477</v>
      </c>
      <c r="K35575" s="18"/>
    </row>
    <row r="35576">
      <c r="B35576" s="17" t="s">
        <v>477</v>
      </c>
      <c r="K35576" s="18"/>
    </row>
    <row r="35577">
      <c r="B35577" s="17" t="s">
        <v>477</v>
      </c>
      <c r="K35577" s="18"/>
    </row>
    <row r="35578">
      <c r="B35578" s="17" t="s">
        <v>477</v>
      </c>
      <c r="K35578" s="18"/>
    </row>
    <row r="35579">
      <c r="B35579" s="17" t="s">
        <v>477</v>
      </c>
      <c r="K35579" s="18"/>
    </row>
    <row r="35580">
      <c r="B35580" s="17" t="s">
        <v>477</v>
      </c>
      <c r="K35580" s="18"/>
    </row>
    <row r="35581">
      <c r="B35581" s="17" t="s">
        <v>477</v>
      </c>
      <c r="K35581" s="18"/>
    </row>
    <row r="35582">
      <c r="B35582" s="17" t="s">
        <v>477</v>
      </c>
      <c r="K35582" s="18"/>
    </row>
    <row r="35583">
      <c r="B35583" s="17" t="s">
        <v>477</v>
      </c>
      <c r="K35583" s="18"/>
    </row>
    <row r="35584">
      <c r="B35584" s="17" t="s">
        <v>477</v>
      </c>
      <c r="K35584" s="18"/>
    </row>
    <row r="35585">
      <c r="B35585" s="17" t="s">
        <v>477</v>
      </c>
      <c r="K35585" s="18"/>
    </row>
    <row r="35586">
      <c r="B35586" s="17" t="s">
        <v>477</v>
      </c>
      <c r="K35586" s="18"/>
    </row>
    <row r="35587">
      <c r="B35587" s="17" t="s">
        <v>477</v>
      </c>
      <c r="K35587" s="18"/>
    </row>
    <row r="35588">
      <c r="B35588" s="17" t="s">
        <v>477</v>
      </c>
      <c r="K35588" s="18"/>
    </row>
    <row r="35589">
      <c r="B35589" s="17" t="s">
        <v>477</v>
      </c>
      <c r="K35589" s="18"/>
    </row>
    <row r="35590">
      <c r="B35590" s="17" t="s">
        <v>477</v>
      </c>
      <c r="K35590" s="18"/>
    </row>
    <row r="35591">
      <c r="B35591" s="17" t="s">
        <v>477</v>
      </c>
      <c r="K35591" s="18"/>
    </row>
    <row r="35592">
      <c r="B35592" s="17" t="s">
        <v>477</v>
      </c>
      <c r="K35592" s="18"/>
    </row>
    <row r="35593">
      <c r="B35593" s="17" t="s">
        <v>477</v>
      </c>
      <c r="K35593" s="18"/>
    </row>
    <row r="35594">
      <c r="B35594" s="17" t="s">
        <v>477</v>
      </c>
      <c r="K35594" s="18"/>
    </row>
    <row r="35595">
      <c r="B35595" s="17" t="s">
        <v>477</v>
      </c>
      <c r="K35595" s="18"/>
    </row>
    <row r="35596">
      <c r="B35596" s="17" t="s">
        <v>477</v>
      </c>
      <c r="K35596" s="18"/>
    </row>
    <row r="35597">
      <c r="B35597" s="17" t="s">
        <v>477</v>
      </c>
      <c r="K35597" s="18"/>
    </row>
    <row r="35598">
      <c r="B35598" s="17" t="s">
        <v>477</v>
      </c>
      <c r="K35598" s="18"/>
    </row>
    <row r="35599">
      <c r="B35599" s="17" t="s">
        <v>477</v>
      </c>
      <c r="K35599" s="18"/>
    </row>
    <row r="35600">
      <c r="B35600" s="17" t="s">
        <v>477</v>
      </c>
      <c r="K35600" s="18"/>
    </row>
    <row r="35601">
      <c r="B35601" s="17" t="s">
        <v>477</v>
      </c>
      <c r="K35601" s="18"/>
    </row>
    <row r="35602">
      <c r="B35602" s="17" t="s">
        <v>477</v>
      </c>
      <c r="K35602" s="18"/>
    </row>
    <row r="35603">
      <c r="B35603" s="17" t="s">
        <v>477</v>
      </c>
      <c r="K35603" s="18"/>
    </row>
    <row r="35604">
      <c r="B35604" s="17" t="s">
        <v>477</v>
      </c>
      <c r="K35604" s="18"/>
    </row>
    <row r="35605">
      <c r="B35605" s="17" t="s">
        <v>477</v>
      </c>
      <c r="K35605" s="18"/>
    </row>
    <row r="35606">
      <c r="B35606" s="17" t="s">
        <v>477</v>
      </c>
      <c r="K35606" s="18"/>
    </row>
    <row r="35607">
      <c r="B35607" s="17" t="s">
        <v>477</v>
      </c>
      <c r="K35607" s="18"/>
    </row>
    <row r="35608">
      <c r="B35608" s="17" t="s">
        <v>477</v>
      </c>
      <c r="K35608" s="18"/>
    </row>
    <row r="35609">
      <c r="B35609" s="17" t="s">
        <v>477</v>
      </c>
      <c r="K35609" s="18"/>
    </row>
    <row r="35610">
      <c r="B35610" s="17" t="s">
        <v>477</v>
      </c>
      <c r="K35610" s="18"/>
    </row>
    <row r="35611">
      <c r="B35611" s="17" t="s">
        <v>477</v>
      </c>
      <c r="K35611" s="18"/>
    </row>
    <row r="35612">
      <c r="B35612" s="17" t="s">
        <v>477</v>
      </c>
      <c r="K35612" s="18"/>
    </row>
    <row r="35613">
      <c r="B35613" s="17" t="s">
        <v>477</v>
      </c>
      <c r="K35613" s="18"/>
    </row>
    <row r="35614">
      <c r="B35614" s="17" t="s">
        <v>477</v>
      </c>
      <c r="K35614" s="18"/>
    </row>
    <row r="35615">
      <c r="B35615" s="17" t="s">
        <v>477</v>
      </c>
      <c r="K35615" s="18"/>
    </row>
    <row r="35616">
      <c r="B35616" s="17" t="s">
        <v>477</v>
      </c>
      <c r="K35616" s="18"/>
    </row>
    <row r="35617">
      <c r="B35617" s="17" t="s">
        <v>477</v>
      </c>
      <c r="K35617" s="18"/>
    </row>
    <row r="35618">
      <c r="B35618" s="17" t="s">
        <v>477</v>
      </c>
      <c r="K35618" s="18"/>
    </row>
    <row r="35619">
      <c r="B35619" s="17" t="s">
        <v>477</v>
      </c>
      <c r="K35619" s="18"/>
    </row>
    <row r="35620">
      <c r="B35620" s="17" t="s">
        <v>477</v>
      </c>
      <c r="K35620" s="18"/>
    </row>
    <row r="35621">
      <c r="B35621" s="17" t="s">
        <v>477</v>
      </c>
      <c r="K35621" s="18"/>
    </row>
    <row r="35622">
      <c r="B35622" s="17" t="s">
        <v>477</v>
      </c>
      <c r="K35622" s="18"/>
    </row>
    <row r="35623">
      <c r="B35623" s="17" t="s">
        <v>477</v>
      </c>
      <c r="K35623" s="18"/>
    </row>
    <row r="35624">
      <c r="B35624" s="17" t="s">
        <v>477</v>
      </c>
      <c r="K35624" s="18"/>
    </row>
    <row r="35625">
      <c r="B35625" s="17" t="s">
        <v>477</v>
      </c>
      <c r="K35625" s="18"/>
    </row>
    <row r="35626">
      <c r="B35626" s="17" t="s">
        <v>477</v>
      </c>
      <c r="K35626" s="18"/>
    </row>
    <row r="35627">
      <c r="B35627" s="17" t="s">
        <v>477</v>
      </c>
      <c r="K35627" s="18"/>
    </row>
    <row r="35628">
      <c r="B35628" s="17" t="s">
        <v>477</v>
      </c>
      <c r="K35628" s="18"/>
    </row>
    <row r="35629">
      <c r="B35629" s="17" t="s">
        <v>477</v>
      </c>
      <c r="K35629" s="18"/>
    </row>
    <row r="35630">
      <c r="B35630" s="17" t="s">
        <v>477</v>
      </c>
      <c r="K35630" s="18"/>
    </row>
    <row r="35631">
      <c r="B35631" s="17" t="s">
        <v>477</v>
      </c>
      <c r="K35631" s="18"/>
    </row>
    <row r="35632">
      <c r="B35632" s="17" t="s">
        <v>477</v>
      </c>
      <c r="K35632" s="18"/>
    </row>
    <row r="35633">
      <c r="B35633" s="17" t="s">
        <v>477</v>
      </c>
      <c r="K35633" s="18"/>
    </row>
    <row r="35634">
      <c r="B35634" s="17" t="s">
        <v>477</v>
      </c>
      <c r="K35634" s="18"/>
    </row>
    <row r="35635">
      <c r="B35635" s="17" t="s">
        <v>477</v>
      </c>
      <c r="K35635" s="18"/>
    </row>
    <row r="35636">
      <c r="B35636" s="17" t="s">
        <v>477</v>
      </c>
      <c r="K35636" s="18"/>
    </row>
    <row r="35637">
      <c r="B35637" s="17" t="s">
        <v>477</v>
      </c>
      <c r="K35637" s="18"/>
    </row>
    <row r="35638">
      <c r="B35638" s="17" t="s">
        <v>477</v>
      </c>
      <c r="K35638" s="18"/>
    </row>
    <row r="35639">
      <c r="B35639" s="17" t="s">
        <v>477</v>
      </c>
      <c r="K35639" s="18"/>
    </row>
    <row r="35640">
      <c r="B35640" s="17" t="s">
        <v>477</v>
      </c>
      <c r="K35640" s="18"/>
    </row>
    <row r="35641">
      <c r="B35641" s="17" t="s">
        <v>477</v>
      </c>
      <c r="K35641" s="18"/>
    </row>
    <row r="35642">
      <c r="B35642" s="17" t="s">
        <v>477</v>
      </c>
      <c r="K35642" s="18"/>
    </row>
    <row r="35643">
      <c r="B35643" s="17" t="s">
        <v>477</v>
      </c>
      <c r="K35643" s="18"/>
    </row>
    <row r="35644">
      <c r="B35644" s="17" t="s">
        <v>477</v>
      </c>
      <c r="K35644" s="18"/>
    </row>
    <row r="35645">
      <c r="B35645" s="17" t="s">
        <v>477</v>
      </c>
      <c r="K35645" s="18"/>
    </row>
    <row r="35646">
      <c r="B35646" s="17" t="s">
        <v>477</v>
      </c>
      <c r="K35646" s="18"/>
    </row>
    <row r="35647">
      <c r="B35647" s="17" t="s">
        <v>477</v>
      </c>
      <c r="K35647" s="18"/>
    </row>
    <row r="35648">
      <c r="B35648" s="17" t="s">
        <v>477</v>
      </c>
      <c r="K35648" s="18"/>
    </row>
    <row r="35649">
      <c r="B35649" s="17" t="s">
        <v>477</v>
      </c>
      <c r="K35649" s="18"/>
    </row>
    <row r="35650">
      <c r="B35650" s="17" t="s">
        <v>477</v>
      </c>
      <c r="K35650" s="18"/>
    </row>
    <row r="35651">
      <c r="B35651" s="17" t="s">
        <v>477</v>
      </c>
      <c r="K35651" s="18"/>
    </row>
    <row r="35652">
      <c r="B35652" s="17" t="s">
        <v>477</v>
      </c>
      <c r="K35652" s="18"/>
    </row>
    <row r="35653">
      <c r="B35653" s="17" t="s">
        <v>477</v>
      </c>
      <c r="K35653" s="18"/>
    </row>
    <row r="35654">
      <c r="B35654" s="17" t="s">
        <v>477</v>
      </c>
      <c r="K35654" s="18"/>
    </row>
    <row r="35655">
      <c r="B35655" s="17" t="s">
        <v>477</v>
      </c>
      <c r="K35655" s="18"/>
    </row>
    <row r="35656">
      <c r="B35656" s="17" t="s">
        <v>477</v>
      </c>
      <c r="K35656" s="18"/>
    </row>
    <row r="35657">
      <c r="B35657" s="17" t="s">
        <v>477</v>
      </c>
      <c r="K35657" s="18"/>
    </row>
    <row r="35658">
      <c r="B35658" s="17" t="s">
        <v>477</v>
      </c>
      <c r="K35658" s="18"/>
    </row>
    <row r="35659">
      <c r="B35659" s="17" t="s">
        <v>477</v>
      </c>
      <c r="K35659" s="18"/>
    </row>
    <row r="35660">
      <c r="B35660" s="17" t="s">
        <v>477</v>
      </c>
      <c r="K35660" s="18"/>
    </row>
    <row r="35661">
      <c r="B35661" s="17" t="s">
        <v>477</v>
      </c>
      <c r="K35661" s="18"/>
    </row>
    <row r="35662">
      <c r="B35662" s="17" t="s">
        <v>477</v>
      </c>
      <c r="K35662" s="18"/>
    </row>
    <row r="35663">
      <c r="B35663" s="17" t="s">
        <v>477</v>
      </c>
      <c r="K35663" s="18"/>
    </row>
    <row r="35664">
      <c r="B35664" s="17" t="s">
        <v>477</v>
      </c>
      <c r="K35664" s="18"/>
    </row>
    <row r="35665">
      <c r="B35665" s="17" t="s">
        <v>477</v>
      </c>
      <c r="K35665" s="18"/>
    </row>
    <row r="35666">
      <c r="B35666" s="17" t="s">
        <v>477</v>
      </c>
      <c r="K35666" s="18"/>
    </row>
    <row r="35667">
      <c r="B35667" s="17" t="s">
        <v>477</v>
      </c>
      <c r="K35667" s="18"/>
    </row>
    <row r="35668">
      <c r="B35668" s="17" t="s">
        <v>477</v>
      </c>
      <c r="K35668" s="18"/>
    </row>
    <row r="35669">
      <c r="B35669" s="17" t="s">
        <v>477</v>
      </c>
      <c r="K35669" s="18"/>
    </row>
    <row r="35670">
      <c r="B35670" s="17" t="s">
        <v>477</v>
      </c>
      <c r="K35670" s="18"/>
    </row>
    <row r="35671">
      <c r="B35671" s="17" t="s">
        <v>477</v>
      </c>
      <c r="K35671" s="18"/>
    </row>
    <row r="35672">
      <c r="B35672" s="17" t="s">
        <v>477</v>
      </c>
      <c r="K35672" s="18"/>
    </row>
    <row r="35673">
      <c r="B35673" s="17" t="s">
        <v>477</v>
      </c>
      <c r="K35673" s="18"/>
    </row>
    <row r="35674">
      <c r="B35674" s="17" t="s">
        <v>477</v>
      </c>
      <c r="K35674" s="18"/>
    </row>
    <row r="35675">
      <c r="B35675" s="17" t="s">
        <v>477</v>
      </c>
      <c r="K35675" s="18"/>
    </row>
    <row r="35676">
      <c r="B35676" s="17" t="s">
        <v>477</v>
      </c>
      <c r="K35676" s="18"/>
    </row>
    <row r="35677">
      <c r="B35677" s="17" t="s">
        <v>477</v>
      </c>
      <c r="K35677" s="18"/>
    </row>
    <row r="35678">
      <c r="B35678" s="17" t="s">
        <v>477</v>
      </c>
      <c r="K35678" s="18"/>
    </row>
    <row r="35679">
      <c r="B35679" s="17" t="s">
        <v>477</v>
      </c>
      <c r="K35679" s="18"/>
    </row>
    <row r="35680">
      <c r="B35680" s="17" t="s">
        <v>477</v>
      </c>
      <c r="K35680" s="18"/>
    </row>
    <row r="35681">
      <c r="B35681" s="17" t="s">
        <v>477</v>
      </c>
      <c r="K35681" s="18"/>
    </row>
    <row r="35682">
      <c r="B35682" s="17" t="s">
        <v>477</v>
      </c>
      <c r="K35682" s="18"/>
    </row>
    <row r="35683">
      <c r="B35683" s="17" t="s">
        <v>477</v>
      </c>
      <c r="K35683" s="18"/>
    </row>
    <row r="35684">
      <c r="B35684" s="17" t="s">
        <v>477</v>
      </c>
      <c r="K35684" s="18"/>
    </row>
    <row r="35685">
      <c r="B35685" s="17" t="s">
        <v>477</v>
      </c>
      <c r="K35685" s="18"/>
    </row>
    <row r="35686">
      <c r="B35686" s="17" t="s">
        <v>477</v>
      </c>
      <c r="K35686" s="18"/>
    </row>
    <row r="35687">
      <c r="B35687" s="17" t="s">
        <v>477</v>
      </c>
      <c r="K35687" s="18"/>
    </row>
    <row r="35688">
      <c r="B35688" s="17" t="s">
        <v>477</v>
      </c>
      <c r="K35688" s="18"/>
    </row>
    <row r="35689">
      <c r="B35689" s="17" t="s">
        <v>477</v>
      </c>
      <c r="K35689" s="18"/>
    </row>
    <row r="35690">
      <c r="B35690" s="17" t="s">
        <v>477</v>
      </c>
      <c r="K35690" s="18"/>
    </row>
    <row r="35691">
      <c r="B35691" s="17" t="s">
        <v>477</v>
      </c>
      <c r="K35691" s="18"/>
    </row>
    <row r="35692">
      <c r="B35692" s="17" t="s">
        <v>477</v>
      </c>
      <c r="K35692" s="18"/>
    </row>
    <row r="35693">
      <c r="B35693" s="17" t="s">
        <v>477</v>
      </c>
      <c r="K35693" s="18"/>
    </row>
    <row r="35694">
      <c r="B35694" s="17" t="s">
        <v>477</v>
      </c>
      <c r="K35694" s="18"/>
    </row>
    <row r="35695">
      <c r="B35695" s="17" t="s">
        <v>477</v>
      </c>
      <c r="K35695" s="18"/>
    </row>
    <row r="35696">
      <c r="B35696" s="17" t="s">
        <v>477</v>
      </c>
      <c r="K35696" s="18"/>
    </row>
    <row r="35697">
      <c r="B35697" s="17" t="s">
        <v>477</v>
      </c>
      <c r="K35697" s="18"/>
    </row>
    <row r="35698">
      <c r="B35698" s="17" t="s">
        <v>477</v>
      </c>
      <c r="K35698" s="18"/>
    </row>
    <row r="35699">
      <c r="B35699" s="17" t="s">
        <v>477</v>
      </c>
      <c r="K35699" s="18"/>
    </row>
    <row r="35700">
      <c r="B35700" s="17" t="s">
        <v>477</v>
      </c>
      <c r="K35700" s="18"/>
    </row>
    <row r="35701">
      <c r="B35701" s="17" t="s">
        <v>477</v>
      </c>
      <c r="K35701" s="18"/>
    </row>
    <row r="35702">
      <c r="B35702" s="17" t="s">
        <v>477</v>
      </c>
      <c r="K35702" s="18"/>
    </row>
    <row r="35703">
      <c r="B35703" s="17" t="s">
        <v>477</v>
      </c>
      <c r="K35703" s="18"/>
    </row>
    <row r="35704">
      <c r="B35704" s="17" t="s">
        <v>477</v>
      </c>
      <c r="K35704" s="18"/>
    </row>
    <row r="35705">
      <c r="B35705" s="17" t="s">
        <v>477</v>
      </c>
      <c r="K35705" s="18"/>
    </row>
    <row r="35706">
      <c r="B35706" s="17" t="s">
        <v>477</v>
      </c>
      <c r="K35706" s="18"/>
    </row>
    <row r="35707">
      <c r="B35707" s="17" t="s">
        <v>477</v>
      </c>
      <c r="K35707" s="18"/>
    </row>
    <row r="35708">
      <c r="B35708" s="17" t="s">
        <v>477</v>
      </c>
      <c r="K35708" s="18"/>
    </row>
    <row r="35709">
      <c r="B35709" s="17" t="s">
        <v>477</v>
      </c>
      <c r="K35709" s="18"/>
    </row>
    <row r="35710">
      <c r="B35710" s="17" t="s">
        <v>477</v>
      </c>
      <c r="K35710" s="18"/>
    </row>
    <row r="35711">
      <c r="B35711" s="17" t="s">
        <v>477</v>
      </c>
      <c r="K35711" s="18"/>
    </row>
    <row r="35712">
      <c r="B35712" s="17" t="s">
        <v>477</v>
      </c>
      <c r="K35712" s="18"/>
    </row>
    <row r="35713">
      <c r="B35713" s="17" t="s">
        <v>477</v>
      </c>
      <c r="K35713" s="18"/>
    </row>
    <row r="35714">
      <c r="B35714" s="17" t="s">
        <v>477</v>
      </c>
      <c r="K35714" s="18"/>
    </row>
    <row r="35715">
      <c r="B35715" s="17" t="s">
        <v>477</v>
      </c>
      <c r="K35715" s="18"/>
    </row>
    <row r="35716">
      <c r="B35716" s="17" t="s">
        <v>477</v>
      </c>
      <c r="K35716" s="18"/>
    </row>
    <row r="35717">
      <c r="B35717" s="17" t="s">
        <v>477</v>
      </c>
      <c r="K35717" s="18"/>
    </row>
    <row r="35718">
      <c r="B35718" s="17" t="s">
        <v>477</v>
      </c>
      <c r="K35718" s="18"/>
    </row>
    <row r="35719">
      <c r="B35719" s="17" t="s">
        <v>477</v>
      </c>
      <c r="K35719" s="18"/>
    </row>
    <row r="35720">
      <c r="B35720" s="17" t="s">
        <v>477</v>
      </c>
      <c r="K35720" s="18"/>
    </row>
    <row r="35721">
      <c r="B35721" s="17" t="s">
        <v>477</v>
      </c>
      <c r="K35721" s="18"/>
    </row>
    <row r="35722">
      <c r="B35722" s="17" t="s">
        <v>477</v>
      </c>
      <c r="K35722" s="18"/>
    </row>
    <row r="35723">
      <c r="B35723" s="17" t="s">
        <v>477</v>
      </c>
      <c r="K35723" s="18"/>
    </row>
    <row r="35724">
      <c r="B35724" s="17" t="s">
        <v>477</v>
      </c>
      <c r="K35724" s="18"/>
    </row>
    <row r="35725">
      <c r="B35725" s="17" t="s">
        <v>477</v>
      </c>
      <c r="K35725" s="18"/>
    </row>
    <row r="35726">
      <c r="B35726" s="17" t="s">
        <v>477</v>
      </c>
      <c r="K35726" s="18"/>
    </row>
    <row r="35727">
      <c r="B35727" s="17" t="s">
        <v>477</v>
      </c>
      <c r="K35727" s="18"/>
    </row>
    <row r="35728">
      <c r="B35728" s="17" t="s">
        <v>477</v>
      </c>
      <c r="K35728" s="18"/>
    </row>
    <row r="35729">
      <c r="B35729" s="17" t="s">
        <v>477</v>
      </c>
      <c r="K35729" s="18"/>
    </row>
    <row r="35730">
      <c r="B35730" s="17" t="s">
        <v>477</v>
      </c>
      <c r="K35730" s="18"/>
    </row>
    <row r="35731">
      <c r="B35731" s="17" t="s">
        <v>477</v>
      </c>
      <c r="K35731" s="18"/>
    </row>
    <row r="35732">
      <c r="B35732" s="17" t="s">
        <v>477</v>
      </c>
      <c r="K35732" s="18"/>
    </row>
    <row r="35733">
      <c r="B35733" s="17" t="s">
        <v>477</v>
      </c>
      <c r="K35733" s="18"/>
    </row>
    <row r="35734">
      <c r="B35734" s="17" t="s">
        <v>477</v>
      </c>
      <c r="K35734" s="18"/>
    </row>
    <row r="35735">
      <c r="B35735" s="17" t="s">
        <v>477</v>
      </c>
      <c r="K35735" s="18"/>
    </row>
    <row r="35736">
      <c r="B35736" s="17" t="s">
        <v>477</v>
      </c>
      <c r="K35736" s="18"/>
    </row>
    <row r="35737">
      <c r="B35737" s="17" t="s">
        <v>477</v>
      </c>
      <c r="K35737" s="18"/>
    </row>
    <row r="35738">
      <c r="B35738" s="17" t="s">
        <v>477</v>
      </c>
      <c r="K35738" s="18"/>
    </row>
    <row r="35739">
      <c r="B35739" s="17" t="s">
        <v>477</v>
      </c>
      <c r="K35739" s="18"/>
    </row>
    <row r="35740">
      <c r="B35740" s="17" t="s">
        <v>477</v>
      </c>
      <c r="K35740" s="18"/>
    </row>
    <row r="35741">
      <c r="B35741" s="17" t="s">
        <v>477</v>
      </c>
      <c r="K35741" s="18"/>
    </row>
    <row r="35742">
      <c r="B35742" s="17" t="s">
        <v>477</v>
      </c>
      <c r="K35742" s="18"/>
    </row>
    <row r="35743">
      <c r="B35743" s="17" t="s">
        <v>477</v>
      </c>
      <c r="K35743" s="18"/>
    </row>
    <row r="35744">
      <c r="B35744" s="17" t="s">
        <v>477</v>
      </c>
      <c r="K35744" s="18"/>
    </row>
    <row r="35745">
      <c r="B35745" s="17" t="s">
        <v>477</v>
      </c>
      <c r="K35745" s="18"/>
    </row>
    <row r="35746">
      <c r="B35746" s="17" t="s">
        <v>477</v>
      </c>
      <c r="K35746" s="18"/>
    </row>
    <row r="35747">
      <c r="B35747" s="17" t="s">
        <v>477</v>
      </c>
      <c r="K35747" s="18"/>
    </row>
    <row r="35748">
      <c r="B35748" s="17" t="s">
        <v>477</v>
      </c>
      <c r="K35748" s="18"/>
    </row>
    <row r="35749">
      <c r="B35749" s="17" t="s">
        <v>477</v>
      </c>
      <c r="K35749" s="18"/>
    </row>
    <row r="35750">
      <c r="B35750" s="17" t="s">
        <v>477</v>
      </c>
      <c r="K35750" s="18"/>
    </row>
    <row r="35751">
      <c r="B35751" s="17" t="s">
        <v>477</v>
      </c>
      <c r="K35751" s="18"/>
    </row>
    <row r="35752">
      <c r="B35752" s="17" t="s">
        <v>477</v>
      </c>
      <c r="K35752" s="18"/>
    </row>
    <row r="35753">
      <c r="B35753" s="17" t="s">
        <v>477</v>
      </c>
      <c r="K35753" s="18"/>
    </row>
    <row r="35754">
      <c r="B35754" s="17" t="s">
        <v>477</v>
      </c>
      <c r="K35754" s="18"/>
    </row>
    <row r="35755">
      <c r="B35755" s="17" t="s">
        <v>477</v>
      </c>
      <c r="K35755" s="18"/>
    </row>
    <row r="35756">
      <c r="B35756" s="17" t="s">
        <v>477</v>
      </c>
      <c r="K35756" s="18"/>
    </row>
    <row r="35757">
      <c r="B35757" s="17" t="s">
        <v>477</v>
      </c>
      <c r="K35757" s="18"/>
    </row>
    <row r="35758">
      <c r="B35758" s="17" t="s">
        <v>477</v>
      </c>
      <c r="K35758" s="18"/>
    </row>
    <row r="35759">
      <c r="B35759" s="17" t="s">
        <v>477</v>
      </c>
      <c r="K35759" s="18"/>
    </row>
    <row r="35760">
      <c r="B35760" s="17" t="s">
        <v>477</v>
      </c>
      <c r="K35760" s="18"/>
    </row>
    <row r="35761">
      <c r="B35761" s="17" t="s">
        <v>477</v>
      </c>
      <c r="K35761" s="18"/>
    </row>
    <row r="35762">
      <c r="B35762" s="17" t="s">
        <v>477</v>
      </c>
      <c r="K35762" s="18"/>
    </row>
    <row r="35763">
      <c r="B35763" s="17" t="s">
        <v>477</v>
      </c>
      <c r="K35763" s="18"/>
    </row>
    <row r="35764">
      <c r="B35764" s="17" t="s">
        <v>477</v>
      </c>
      <c r="K35764" s="18"/>
    </row>
    <row r="35765">
      <c r="B35765" s="17" t="s">
        <v>477</v>
      </c>
      <c r="K35765" s="18"/>
    </row>
    <row r="35766">
      <c r="B35766" s="17" t="s">
        <v>477</v>
      </c>
      <c r="K35766" s="18"/>
    </row>
    <row r="35767">
      <c r="B35767" s="17" t="s">
        <v>477</v>
      </c>
      <c r="K35767" s="18"/>
    </row>
    <row r="35768">
      <c r="B35768" s="17" t="s">
        <v>477</v>
      </c>
      <c r="K35768" s="18"/>
    </row>
    <row r="35769">
      <c r="B35769" s="17" t="s">
        <v>477</v>
      </c>
      <c r="K35769" s="18"/>
    </row>
    <row r="35770">
      <c r="B35770" s="17" t="s">
        <v>477</v>
      </c>
      <c r="K35770" s="18"/>
    </row>
    <row r="35771">
      <c r="B35771" s="17" t="s">
        <v>477</v>
      </c>
      <c r="K35771" s="18"/>
    </row>
    <row r="35772">
      <c r="B35772" s="17" t="s">
        <v>477</v>
      </c>
      <c r="K35772" s="18"/>
    </row>
    <row r="35773">
      <c r="B35773" s="17" t="s">
        <v>477</v>
      </c>
      <c r="K35773" s="18"/>
    </row>
    <row r="35774">
      <c r="B35774" s="17" t="s">
        <v>477</v>
      </c>
      <c r="K35774" s="18"/>
    </row>
    <row r="35775">
      <c r="B35775" s="17" t="s">
        <v>477</v>
      </c>
      <c r="K35775" s="18"/>
    </row>
    <row r="35776">
      <c r="B35776" s="17" t="s">
        <v>477</v>
      </c>
      <c r="K35776" s="18"/>
    </row>
    <row r="35777">
      <c r="B35777" s="17" t="s">
        <v>477</v>
      </c>
      <c r="K35777" s="18"/>
    </row>
    <row r="35778">
      <c r="B35778" s="17" t="s">
        <v>477</v>
      </c>
      <c r="K35778" s="18"/>
    </row>
    <row r="35779">
      <c r="B35779" s="17" t="s">
        <v>477</v>
      </c>
      <c r="K35779" s="18"/>
    </row>
    <row r="35780">
      <c r="B35780" s="17" t="s">
        <v>477</v>
      </c>
      <c r="K35780" s="18"/>
    </row>
    <row r="35781">
      <c r="B35781" s="17" t="s">
        <v>477</v>
      </c>
      <c r="K35781" s="18"/>
    </row>
    <row r="35782">
      <c r="B35782" s="17" t="s">
        <v>477</v>
      </c>
      <c r="K35782" s="18"/>
    </row>
    <row r="35783">
      <c r="B35783" s="17" t="s">
        <v>477</v>
      </c>
      <c r="K35783" s="18"/>
    </row>
    <row r="35784">
      <c r="B35784" s="17" t="s">
        <v>477</v>
      </c>
      <c r="K35784" s="18"/>
    </row>
    <row r="35785">
      <c r="B35785" s="17" t="s">
        <v>477</v>
      </c>
      <c r="K35785" s="18"/>
    </row>
    <row r="35786">
      <c r="B35786" s="17" t="s">
        <v>477</v>
      </c>
      <c r="K35786" s="18"/>
    </row>
    <row r="35787">
      <c r="B35787" s="17" t="s">
        <v>477</v>
      </c>
      <c r="K35787" s="18"/>
    </row>
    <row r="35788">
      <c r="B35788" s="17" t="s">
        <v>477</v>
      </c>
      <c r="K35788" s="18"/>
    </row>
    <row r="35789">
      <c r="B35789" s="17" t="s">
        <v>477</v>
      </c>
      <c r="K35789" s="18"/>
    </row>
    <row r="35790">
      <c r="B35790" s="17" t="s">
        <v>477</v>
      </c>
      <c r="K35790" s="18"/>
    </row>
    <row r="35791">
      <c r="B35791" s="17" t="s">
        <v>477</v>
      </c>
      <c r="K35791" s="18"/>
    </row>
    <row r="35792">
      <c r="B35792" s="17" t="s">
        <v>477</v>
      </c>
      <c r="K35792" s="18"/>
    </row>
    <row r="35793">
      <c r="B35793" s="17" t="s">
        <v>477</v>
      </c>
      <c r="K35793" s="18"/>
    </row>
    <row r="35794">
      <c r="B35794" s="17" t="s">
        <v>477</v>
      </c>
      <c r="K35794" s="18"/>
    </row>
    <row r="35795">
      <c r="B35795" s="17" t="s">
        <v>477</v>
      </c>
      <c r="K35795" s="18"/>
    </row>
    <row r="35796">
      <c r="B35796" s="17" t="s">
        <v>477</v>
      </c>
      <c r="K35796" s="18"/>
    </row>
    <row r="35797">
      <c r="B35797" s="17" t="s">
        <v>477</v>
      </c>
      <c r="K35797" s="18"/>
    </row>
    <row r="35798">
      <c r="B35798" s="17" t="s">
        <v>477</v>
      </c>
      <c r="K35798" s="18"/>
    </row>
    <row r="35799">
      <c r="B35799" s="17" t="s">
        <v>477</v>
      </c>
      <c r="K35799" s="18"/>
    </row>
    <row r="35800">
      <c r="B35800" s="17" t="s">
        <v>477</v>
      </c>
      <c r="K35800" s="18"/>
    </row>
    <row r="35801">
      <c r="B35801" s="17" t="s">
        <v>477</v>
      </c>
      <c r="K35801" s="18"/>
    </row>
    <row r="35802">
      <c r="B35802" s="17" t="s">
        <v>477</v>
      </c>
      <c r="K35802" s="18"/>
    </row>
    <row r="35803">
      <c r="B35803" s="17" t="s">
        <v>477</v>
      </c>
      <c r="K35803" s="18"/>
    </row>
    <row r="35804">
      <c r="B35804" s="17" t="s">
        <v>477</v>
      </c>
      <c r="K35804" s="18"/>
    </row>
    <row r="35805">
      <c r="B35805" s="17" t="s">
        <v>477</v>
      </c>
      <c r="K35805" s="18"/>
    </row>
    <row r="35806">
      <c r="B35806" s="17" t="s">
        <v>477</v>
      </c>
      <c r="K35806" s="18"/>
    </row>
    <row r="35807">
      <c r="B35807" s="17" t="s">
        <v>477</v>
      </c>
      <c r="K35807" s="18"/>
    </row>
    <row r="35808">
      <c r="B35808" s="17" t="s">
        <v>477</v>
      </c>
      <c r="K35808" s="18"/>
    </row>
    <row r="35809">
      <c r="B35809" s="17" t="s">
        <v>477</v>
      </c>
      <c r="K35809" s="18"/>
    </row>
    <row r="35810">
      <c r="B35810" s="17" t="s">
        <v>477</v>
      </c>
      <c r="K35810" s="18"/>
    </row>
    <row r="35811">
      <c r="B35811" s="17" t="s">
        <v>477</v>
      </c>
      <c r="K35811" s="18"/>
    </row>
    <row r="35812">
      <c r="B35812" s="17" t="s">
        <v>477</v>
      </c>
      <c r="K35812" s="18"/>
    </row>
    <row r="35813">
      <c r="B35813" s="17" t="s">
        <v>477</v>
      </c>
      <c r="K35813" s="18"/>
    </row>
    <row r="35814">
      <c r="B35814" s="17" t="s">
        <v>477</v>
      </c>
      <c r="K35814" s="18"/>
    </row>
    <row r="35815">
      <c r="B35815" s="17" t="s">
        <v>477</v>
      </c>
      <c r="K35815" s="18"/>
    </row>
    <row r="35816">
      <c r="B35816" s="17" t="s">
        <v>477</v>
      </c>
      <c r="K35816" s="18"/>
    </row>
    <row r="35817">
      <c r="B35817" s="17" t="s">
        <v>477</v>
      </c>
      <c r="K35817" s="18"/>
    </row>
    <row r="35818">
      <c r="B35818" s="17" t="s">
        <v>477</v>
      </c>
      <c r="K35818" s="18"/>
    </row>
    <row r="35819">
      <c r="B35819" s="17" t="s">
        <v>477</v>
      </c>
      <c r="K35819" s="18"/>
    </row>
    <row r="35820">
      <c r="B35820" s="17" t="s">
        <v>477</v>
      </c>
      <c r="K35820" s="18"/>
    </row>
    <row r="35821">
      <c r="B35821" s="17" t="s">
        <v>477</v>
      </c>
      <c r="K35821" s="18"/>
    </row>
    <row r="35822">
      <c r="B35822" s="17" t="s">
        <v>477</v>
      </c>
      <c r="K35822" s="18"/>
    </row>
    <row r="35823">
      <c r="B35823" s="17" t="s">
        <v>477</v>
      </c>
      <c r="K35823" s="18"/>
    </row>
    <row r="35824">
      <c r="B35824" s="17" t="s">
        <v>477</v>
      </c>
      <c r="K35824" s="18"/>
    </row>
    <row r="35825">
      <c r="B35825" s="17" t="s">
        <v>477</v>
      </c>
      <c r="K35825" s="18"/>
    </row>
    <row r="35826">
      <c r="B35826" s="17" t="s">
        <v>477</v>
      </c>
      <c r="K35826" s="18"/>
    </row>
    <row r="35827">
      <c r="B35827" s="17" t="s">
        <v>477</v>
      </c>
      <c r="K35827" s="18"/>
    </row>
    <row r="35828">
      <c r="B35828" s="17" t="s">
        <v>477</v>
      </c>
      <c r="K35828" s="18"/>
    </row>
    <row r="35829">
      <c r="B35829" s="17" t="s">
        <v>477</v>
      </c>
      <c r="K35829" s="18"/>
    </row>
    <row r="35830">
      <c r="B35830" s="17" t="s">
        <v>477</v>
      </c>
      <c r="K35830" s="18"/>
    </row>
    <row r="35831">
      <c r="B35831" s="17" t="s">
        <v>477</v>
      </c>
      <c r="K35831" s="18"/>
    </row>
    <row r="35832">
      <c r="B35832" s="17" t="s">
        <v>477</v>
      </c>
      <c r="K35832" s="18"/>
    </row>
    <row r="35833">
      <c r="B35833" s="17" t="s">
        <v>477</v>
      </c>
      <c r="K35833" s="18"/>
    </row>
    <row r="35834">
      <c r="B35834" s="17" t="s">
        <v>477</v>
      </c>
      <c r="K35834" s="18"/>
    </row>
    <row r="35835">
      <c r="B35835" s="17" t="s">
        <v>477</v>
      </c>
      <c r="K35835" s="18"/>
    </row>
    <row r="35836">
      <c r="B35836" s="17" t="s">
        <v>477</v>
      </c>
      <c r="K35836" s="18"/>
    </row>
    <row r="35837">
      <c r="B35837" s="17" t="s">
        <v>477</v>
      </c>
      <c r="K35837" s="18"/>
    </row>
    <row r="35838">
      <c r="B35838" s="17" t="s">
        <v>477</v>
      </c>
      <c r="K35838" s="18"/>
    </row>
    <row r="35839">
      <c r="B35839" s="17" t="s">
        <v>477</v>
      </c>
      <c r="K35839" s="18"/>
    </row>
    <row r="35840">
      <c r="B35840" s="17" t="s">
        <v>477</v>
      </c>
      <c r="K35840" s="18"/>
    </row>
    <row r="35841">
      <c r="B35841" s="17" t="s">
        <v>477</v>
      </c>
      <c r="K35841" s="18"/>
    </row>
    <row r="35842">
      <c r="B35842" s="17" t="s">
        <v>477</v>
      </c>
      <c r="K35842" s="18"/>
    </row>
    <row r="35843">
      <c r="B35843" s="17" t="s">
        <v>477</v>
      </c>
      <c r="K35843" s="18"/>
    </row>
    <row r="35844">
      <c r="B35844" s="17" t="s">
        <v>477</v>
      </c>
      <c r="K35844" s="18"/>
    </row>
    <row r="35845">
      <c r="B35845" s="17" t="s">
        <v>477</v>
      </c>
      <c r="K35845" s="18"/>
    </row>
    <row r="35846">
      <c r="B35846" s="17" t="s">
        <v>477</v>
      </c>
      <c r="K35846" s="18"/>
    </row>
    <row r="35847">
      <c r="B35847" s="17" t="s">
        <v>477</v>
      </c>
      <c r="K35847" s="18"/>
    </row>
    <row r="35848">
      <c r="B35848" s="17" t="s">
        <v>477</v>
      </c>
      <c r="K35848" s="18"/>
    </row>
    <row r="35849">
      <c r="B35849" s="17" t="s">
        <v>477</v>
      </c>
      <c r="K35849" s="18"/>
    </row>
    <row r="35850">
      <c r="B35850" s="17" t="s">
        <v>477</v>
      </c>
      <c r="K35850" s="18"/>
    </row>
    <row r="35851">
      <c r="B35851" s="17" t="s">
        <v>477</v>
      </c>
      <c r="K35851" s="18"/>
    </row>
    <row r="35852">
      <c r="B35852" s="17" t="s">
        <v>477</v>
      </c>
      <c r="K35852" s="18"/>
    </row>
    <row r="35853">
      <c r="B35853" s="17" t="s">
        <v>477</v>
      </c>
      <c r="K35853" s="18"/>
    </row>
    <row r="35854">
      <c r="B35854" s="17" t="s">
        <v>477</v>
      </c>
      <c r="K35854" s="18"/>
    </row>
    <row r="35855">
      <c r="B35855" s="17" t="s">
        <v>477</v>
      </c>
      <c r="K35855" s="18"/>
    </row>
    <row r="35856">
      <c r="B35856" s="17" t="s">
        <v>477</v>
      </c>
      <c r="K35856" s="18"/>
    </row>
    <row r="35857">
      <c r="B35857" s="17" t="s">
        <v>477</v>
      </c>
      <c r="K35857" s="18"/>
    </row>
    <row r="35858">
      <c r="B35858" s="17" t="s">
        <v>477</v>
      </c>
      <c r="K35858" s="18"/>
    </row>
    <row r="35859">
      <c r="B35859" s="17" t="s">
        <v>477</v>
      </c>
      <c r="K35859" s="18"/>
    </row>
    <row r="35860">
      <c r="B35860" s="17" t="s">
        <v>477</v>
      </c>
      <c r="K35860" s="18"/>
    </row>
    <row r="35861">
      <c r="B35861" s="17" t="s">
        <v>477</v>
      </c>
      <c r="K35861" s="18"/>
    </row>
    <row r="35862">
      <c r="B35862" s="17" t="s">
        <v>477</v>
      </c>
      <c r="K35862" s="18"/>
    </row>
    <row r="35863">
      <c r="B35863" s="17" t="s">
        <v>477</v>
      </c>
      <c r="K35863" s="18"/>
    </row>
    <row r="35864">
      <c r="B35864" s="17" t="s">
        <v>477</v>
      </c>
      <c r="K35864" s="18"/>
    </row>
    <row r="35865">
      <c r="B35865" s="17" t="s">
        <v>477</v>
      </c>
      <c r="K35865" s="18"/>
    </row>
    <row r="35866">
      <c r="B35866" s="17" t="s">
        <v>477</v>
      </c>
      <c r="K35866" s="18"/>
    </row>
    <row r="35867">
      <c r="B35867" s="17" t="s">
        <v>477</v>
      </c>
      <c r="K35867" s="18"/>
    </row>
    <row r="35868">
      <c r="B35868" s="17" t="s">
        <v>477</v>
      </c>
      <c r="K35868" s="18"/>
    </row>
    <row r="35869">
      <c r="B35869" s="17" t="s">
        <v>477</v>
      </c>
      <c r="K35869" s="18"/>
    </row>
    <row r="35870">
      <c r="B35870" s="17" t="s">
        <v>477</v>
      </c>
      <c r="K35870" s="18"/>
    </row>
    <row r="35871">
      <c r="B35871" s="17" t="s">
        <v>477</v>
      </c>
      <c r="K35871" s="18"/>
    </row>
    <row r="35872">
      <c r="B35872" s="17" t="s">
        <v>477</v>
      </c>
      <c r="K35872" s="18"/>
    </row>
    <row r="35873">
      <c r="B35873" s="17" t="s">
        <v>477</v>
      </c>
      <c r="K35873" s="18"/>
    </row>
    <row r="35874">
      <c r="B35874" s="17" t="s">
        <v>477</v>
      </c>
      <c r="K35874" s="18"/>
    </row>
    <row r="35875">
      <c r="B35875" s="17" t="s">
        <v>477</v>
      </c>
      <c r="K35875" s="18"/>
    </row>
    <row r="35876">
      <c r="B35876" s="17" t="s">
        <v>477</v>
      </c>
      <c r="K35876" s="18"/>
    </row>
    <row r="35877">
      <c r="B35877" s="17" t="s">
        <v>477</v>
      </c>
      <c r="K35877" s="18"/>
    </row>
    <row r="35878">
      <c r="B35878" s="17" t="s">
        <v>477</v>
      </c>
      <c r="K35878" s="18"/>
    </row>
    <row r="35879">
      <c r="B35879" s="17" t="s">
        <v>477</v>
      </c>
      <c r="K35879" s="18"/>
    </row>
    <row r="35880">
      <c r="B35880" s="17" t="s">
        <v>477</v>
      </c>
      <c r="K35880" s="18"/>
    </row>
    <row r="35881">
      <c r="B35881" s="17" t="s">
        <v>477</v>
      </c>
      <c r="K35881" s="18"/>
    </row>
    <row r="35882">
      <c r="B35882" s="17" t="s">
        <v>477</v>
      </c>
      <c r="K35882" s="18"/>
    </row>
    <row r="35883">
      <c r="B35883" s="17" t="s">
        <v>477</v>
      </c>
      <c r="K35883" s="18"/>
    </row>
    <row r="35884">
      <c r="B35884" s="17" t="s">
        <v>477</v>
      </c>
      <c r="K35884" s="18"/>
    </row>
    <row r="35885">
      <c r="B35885" s="17" t="s">
        <v>477</v>
      </c>
      <c r="K35885" s="18"/>
    </row>
    <row r="35886">
      <c r="B35886" s="17" t="s">
        <v>477</v>
      </c>
      <c r="K35886" s="18"/>
    </row>
    <row r="35887">
      <c r="B35887" s="17" t="s">
        <v>477</v>
      </c>
      <c r="K35887" s="18"/>
    </row>
    <row r="35888">
      <c r="B35888" s="17" t="s">
        <v>477</v>
      </c>
      <c r="K35888" s="18"/>
    </row>
    <row r="35889">
      <c r="B35889" s="17" t="s">
        <v>477</v>
      </c>
      <c r="K35889" s="18"/>
    </row>
    <row r="35890">
      <c r="B35890" s="17" t="s">
        <v>477</v>
      </c>
      <c r="K35890" s="18"/>
    </row>
    <row r="35891">
      <c r="B35891" s="17" t="s">
        <v>477</v>
      </c>
      <c r="K35891" s="18"/>
    </row>
    <row r="35892">
      <c r="B35892" s="17" t="s">
        <v>477</v>
      </c>
      <c r="K35892" s="18"/>
    </row>
    <row r="35893">
      <c r="B35893" s="17" t="s">
        <v>477</v>
      </c>
      <c r="K35893" s="18"/>
    </row>
    <row r="35894">
      <c r="B35894" s="17" t="s">
        <v>477</v>
      </c>
      <c r="K35894" s="18"/>
    </row>
    <row r="35895">
      <c r="B35895" s="17" t="s">
        <v>477</v>
      </c>
      <c r="K35895" s="18"/>
    </row>
    <row r="35896">
      <c r="B35896" s="17" t="s">
        <v>477</v>
      </c>
      <c r="K35896" s="18"/>
    </row>
    <row r="35897">
      <c r="B35897" s="17" t="s">
        <v>477</v>
      </c>
      <c r="K35897" s="18"/>
    </row>
    <row r="35898">
      <c r="B35898" s="17" t="s">
        <v>477</v>
      </c>
      <c r="K35898" s="18"/>
    </row>
    <row r="35899">
      <c r="B35899" s="17" t="s">
        <v>477</v>
      </c>
      <c r="K35899" s="18"/>
    </row>
    <row r="35900">
      <c r="B35900" s="17" t="s">
        <v>477</v>
      </c>
      <c r="K35900" s="18"/>
    </row>
    <row r="35901">
      <c r="B35901" s="17" t="s">
        <v>477</v>
      </c>
      <c r="K35901" s="18"/>
    </row>
    <row r="35902">
      <c r="B35902" s="17" t="s">
        <v>477</v>
      </c>
      <c r="K35902" s="18"/>
    </row>
    <row r="35903">
      <c r="B35903" s="17" t="s">
        <v>477</v>
      </c>
      <c r="K35903" s="18"/>
    </row>
    <row r="35904">
      <c r="B35904" s="17" t="s">
        <v>477</v>
      </c>
      <c r="K35904" s="18"/>
    </row>
    <row r="35905">
      <c r="B35905" s="17" t="s">
        <v>477</v>
      </c>
      <c r="K35905" s="18"/>
    </row>
    <row r="35906">
      <c r="B35906" s="17" t="s">
        <v>477</v>
      </c>
      <c r="K35906" s="18"/>
    </row>
    <row r="35907">
      <c r="B35907" s="17" t="s">
        <v>477</v>
      </c>
      <c r="K35907" s="18"/>
    </row>
    <row r="35908">
      <c r="B35908" s="17" t="s">
        <v>477</v>
      </c>
      <c r="K35908" s="18"/>
    </row>
    <row r="35909">
      <c r="B35909" s="17" t="s">
        <v>477</v>
      </c>
      <c r="K35909" s="18"/>
    </row>
    <row r="35910">
      <c r="B35910" s="17" t="s">
        <v>477</v>
      </c>
      <c r="K35910" s="18"/>
    </row>
    <row r="35911">
      <c r="B35911" s="17" t="s">
        <v>477</v>
      </c>
      <c r="K35911" s="18"/>
    </row>
    <row r="35912">
      <c r="B35912" s="17" t="s">
        <v>477</v>
      </c>
      <c r="K35912" s="18"/>
    </row>
    <row r="35913">
      <c r="B35913" s="17" t="s">
        <v>477</v>
      </c>
      <c r="K35913" s="18"/>
    </row>
    <row r="35914">
      <c r="B35914" s="17" t="s">
        <v>477</v>
      </c>
      <c r="K35914" s="18"/>
    </row>
    <row r="35915">
      <c r="B35915" s="17" t="s">
        <v>477</v>
      </c>
      <c r="K35915" s="18"/>
    </row>
    <row r="35916">
      <c r="B35916" s="17" t="s">
        <v>477</v>
      </c>
      <c r="K35916" s="18"/>
    </row>
    <row r="35917">
      <c r="B35917" s="17" t="s">
        <v>477</v>
      </c>
      <c r="K35917" s="18"/>
    </row>
    <row r="35918">
      <c r="B35918" s="17" t="s">
        <v>477</v>
      </c>
      <c r="K35918" s="18"/>
    </row>
    <row r="35919">
      <c r="B35919" s="17" t="s">
        <v>477</v>
      </c>
      <c r="K35919" s="18"/>
    </row>
    <row r="35920">
      <c r="B35920" s="17" t="s">
        <v>477</v>
      </c>
      <c r="K35920" s="18"/>
    </row>
    <row r="35921">
      <c r="B35921" s="17" t="s">
        <v>477</v>
      </c>
      <c r="K35921" s="18"/>
    </row>
    <row r="35922">
      <c r="B35922" s="17" t="s">
        <v>477</v>
      </c>
      <c r="K35922" s="18"/>
    </row>
    <row r="35923">
      <c r="B35923" s="17" t="s">
        <v>477</v>
      </c>
      <c r="K35923" s="18"/>
    </row>
    <row r="35924">
      <c r="B35924" s="17" t="s">
        <v>477</v>
      </c>
      <c r="K35924" s="18"/>
    </row>
    <row r="35925">
      <c r="B35925" s="17" t="s">
        <v>477</v>
      </c>
      <c r="K35925" s="18"/>
    </row>
    <row r="35926">
      <c r="B35926" s="17" t="s">
        <v>477</v>
      </c>
      <c r="K35926" s="18"/>
    </row>
    <row r="35927">
      <c r="B35927" s="17" t="s">
        <v>477</v>
      </c>
      <c r="K35927" s="18"/>
    </row>
    <row r="35928">
      <c r="B35928" s="17" t="s">
        <v>477</v>
      </c>
      <c r="K35928" s="18"/>
    </row>
    <row r="35929">
      <c r="B35929" s="17" t="s">
        <v>477</v>
      </c>
      <c r="K35929" s="18"/>
    </row>
    <row r="35930">
      <c r="B35930" s="17" t="s">
        <v>477</v>
      </c>
      <c r="K35930" s="18"/>
    </row>
    <row r="35931">
      <c r="B35931" s="17" t="s">
        <v>477</v>
      </c>
      <c r="K35931" s="18"/>
    </row>
    <row r="35932">
      <c r="B35932" s="17" t="s">
        <v>477</v>
      </c>
      <c r="K35932" s="18"/>
    </row>
    <row r="35933">
      <c r="B35933" s="17" t="s">
        <v>477</v>
      </c>
      <c r="K35933" s="18"/>
    </row>
    <row r="35934">
      <c r="B35934" s="17" t="s">
        <v>477</v>
      </c>
      <c r="K35934" s="18"/>
    </row>
    <row r="35935">
      <c r="B35935" s="17" t="s">
        <v>477</v>
      </c>
      <c r="K35935" s="18"/>
    </row>
    <row r="35936">
      <c r="B35936" s="17" t="s">
        <v>477</v>
      </c>
      <c r="K35936" s="18"/>
    </row>
    <row r="35937">
      <c r="B35937" s="17" t="s">
        <v>477</v>
      </c>
      <c r="K35937" s="18"/>
    </row>
    <row r="35938">
      <c r="B35938" s="17" t="s">
        <v>477</v>
      </c>
      <c r="K35938" s="18"/>
    </row>
    <row r="35939">
      <c r="B35939" s="17" t="s">
        <v>477</v>
      </c>
      <c r="K35939" s="18"/>
    </row>
    <row r="35940">
      <c r="B35940" s="17" t="s">
        <v>477</v>
      </c>
      <c r="K35940" s="18"/>
    </row>
    <row r="35941">
      <c r="B35941" s="17" t="s">
        <v>477</v>
      </c>
      <c r="K35941" s="18"/>
    </row>
    <row r="35942">
      <c r="B35942" s="17" t="s">
        <v>477</v>
      </c>
      <c r="K35942" s="18"/>
    </row>
    <row r="35943">
      <c r="B35943" s="17" t="s">
        <v>477</v>
      </c>
      <c r="K35943" s="18"/>
    </row>
    <row r="35944">
      <c r="B35944" s="17" t="s">
        <v>477</v>
      </c>
      <c r="K35944" s="18"/>
    </row>
    <row r="35945">
      <c r="B35945" s="17" t="s">
        <v>477</v>
      </c>
      <c r="K35945" s="18"/>
    </row>
    <row r="35946">
      <c r="B35946" s="17" t="s">
        <v>477</v>
      </c>
      <c r="K35946" s="18"/>
    </row>
    <row r="35947">
      <c r="B35947" s="17" t="s">
        <v>477</v>
      </c>
      <c r="K35947" s="18"/>
    </row>
    <row r="35948">
      <c r="B35948" s="17" t="s">
        <v>477</v>
      </c>
      <c r="K35948" s="18"/>
    </row>
    <row r="35949">
      <c r="B35949" s="17" t="s">
        <v>477</v>
      </c>
      <c r="K35949" s="18"/>
    </row>
    <row r="35950">
      <c r="B35950" s="17" t="s">
        <v>477</v>
      </c>
      <c r="K35950" s="18"/>
    </row>
    <row r="35951">
      <c r="B35951" s="17" t="s">
        <v>477</v>
      </c>
      <c r="K35951" s="18"/>
    </row>
    <row r="35952">
      <c r="B35952" s="17" t="s">
        <v>477</v>
      </c>
      <c r="K35952" s="18"/>
    </row>
    <row r="35953">
      <c r="B35953" s="17" t="s">
        <v>477</v>
      </c>
      <c r="K35953" s="18"/>
    </row>
    <row r="35954">
      <c r="B35954" s="17" t="s">
        <v>477</v>
      </c>
      <c r="K35954" s="18"/>
    </row>
    <row r="35955">
      <c r="B35955" s="17" t="s">
        <v>477</v>
      </c>
      <c r="K35955" s="18"/>
    </row>
    <row r="35956">
      <c r="B35956" s="17" t="s">
        <v>477</v>
      </c>
      <c r="K35956" s="18"/>
    </row>
    <row r="35957">
      <c r="B35957" s="17" t="s">
        <v>477</v>
      </c>
      <c r="K35957" s="18"/>
    </row>
    <row r="35958">
      <c r="B35958" s="17" t="s">
        <v>477</v>
      </c>
      <c r="K35958" s="18"/>
    </row>
    <row r="35959">
      <c r="B35959" s="17" t="s">
        <v>477</v>
      </c>
      <c r="K35959" s="18"/>
    </row>
    <row r="35960">
      <c r="B35960" s="17" t="s">
        <v>477</v>
      </c>
      <c r="K35960" s="18"/>
    </row>
    <row r="35961">
      <c r="B35961" s="17" t="s">
        <v>477</v>
      </c>
      <c r="K35961" s="18"/>
    </row>
    <row r="35962">
      <c r="B35962" s="17" t="s">
        <v>477</v>
      </c>
      <c r="K35962" s="18"/>
    </row>
    <row r="35963">
      <c r="B35963" s="17" t="s">
        <v>477</v>
      </c>
      <c r="K35963" s="18"/>
    </row>
    <row r="35964">
      <c r="B35964" s="17" t="s">
        <v>477</v>
      </c>
      <c r="K35964" s="18"/>
    </row>
    <row r="35965">
      <c r="B35965" s="17" t="s">
        <v>477</v>
      </c>
      <c r="K35965" s="18"/>
    </row>
    <row r="35966">
      <c r="B35966" s="17" t="s">
        <v>477</v>
      </c>
      <c r="K35966" s="18"/>
    </row>
    <row r="35967">
      <c r="B35967" s="17" t="s">
        <v>477</v>
      </c>
      <c r="K35967" s="18"/>
    </row>
    <row r="35968">
      <c r="B35968" s="17" t="s">
        <v>477</v>
      </c>
      <c r="K35968" s="18"/>
    </row>
    <row r="35969">
      <c r="B35969" s="17" t="s">
        <v>477</v>
      </c>
      <c r="K35969" s="18"/>
    </row>
    <row r="35970">
      <c r="B35970" s="17" t="s">
        <v>477</v>
      </c>
      <c r="K35970" s="18"/>
    </row>
    <row r="35971">
      <c r="B35971" s="17" t="s">
        <v>477</v>
      </c>
      <c r="K35971" s="18"/>
    </row>
    <row r="35972">
      <c r="B35972" s="17" t="s">
        <v>477</v>
      </c>
      <c r="K35972" s="18"/>
    </row>
    <row r="35973">
      <c r="B35973" s="17" t="s">
        <v>477</v>
      </c>
      <c r="K35973" s="18"/>
    </row>
    <row r="35974">
      <c r="B35974" s="17" t="s">
        <v>477</v>
      </c>
      <c r="K35974" s="18"/>
    </row>
    <row r="35975">
      <c r="B35975" s="17" t="s">
        <v>477</v>
      </c>
      <c r="K35975" s="18"/>
    </row>
    <row r="35976">
      <c r="B35976" s="17" t="s">
        <v>477</v>
      </c>
      <c r="K35976" s="18"/>
    </row>
    <row r="35977">
      <c r="B35977" s="17" t="s">
        <v>477</v>
      </c>
      <c r="K35977" s="18"/>
    </row>
    <row r="35978">
      <c r="B35978" s="17" t="s">
        <v>477</v>
      </c>
      <c r="K35978" s="18"/>
    </row>
    <row r="35979">
      <c r="B35979" s="17" t="s">
        <v>477</v>
      </c>
      <c r="K35979" s="18"/>
    </row>
    <row r="35980">
      <c r="B35980" s="17" t="s">
        <v>477</v>
      </c>
      <c r="K35980" s="18"/>
    </row>
    <row r="35981">
      <c r="B35981" s="17" t="s">
        <v>477</v>
      </c>
      <c r="K35981" s="18"/>
    </row>
    <row r="35982">
      <c r="B35982" s="17" t="s">
        <v>477</v>
      </c>
      <c r="K35982" s="18"/>
    </row>
    <row r="35983">
      <c r="B35983" s="17" t="s">
        <v>477</v>
      </c>
      <c r="K35983" s="18"/>
    </row>
    <row r="35984">
      <c r="B35984" s="17" t="s">
        <v>477</v>
      </c>
      <c r="K35984" s="18"/>
    </row>
    <row r="35985">
      <c r="B35985" s="17" t="s">
        <v>477</v>
      </c>
      <c r="K35985" s="18"/>
    </row>
    <row r="35986">
      <c r="B35986" s="17" t="s">
        <v>477</v>
      </c>
      <c r="K35986" s="18"/>
    </row>
    <row r="35987">
      <c r="B35987" s="17" t="s">
        <v>477</v>
      </c>
      <c r="K35987" s="18"/>
    </row>
    <row r="35988">
      <c r="B35988" s="17" t="s">
        <v>477</v>
      </c>
      <c r="K35988" s="18"/>
    </row>
    <row r="35989">
      <c r="B35989" s="17" t="s">
        <v>477</v>
      </c>
      <c r="K35989" s="18"/>
    </row>
    <row r="35990">
      <c r="B35990" s="17" t="s">
        <v>477</v>
      </c>
      <c r="K35990" s="18"/>
    </row>
    <row r="35991">
      <c r="B35991" s="17" t="s">
        <v>477</v>
      </c>
      <c r="K35991" s="18"/>
    </row>
    <row r="35992">
      <c r="B35992" s="17" t="s">
        <v>477</v>
      </c>
      <c r="K35992" s="18"/>
    </row>
    <row r="35993">
      <c r="B35993" s="17" t="s">
        <v>477</v>
      </c>
      <c r="K35993" s="18"/>
    </row>
    <row r="35994">
      <c r="B35994" s="17" t="s">
        <v>477</v>
      </c>
      <c r="K35994" s="18"/>
    </row>
    <row r="35995">
      <c r="B35995" s="17" t="s">
        <v>477</v>
      </c>
      <c r="K35995" s="18"/>
    </row>
    <row r="35996">
      <c r="B35996" s="17" t="s">
        <v>477</v>
      </c>
      <c r="K35996" s="18"/>
    </row>
    <row r="35997">
      <c r="B35997" s="17" t="s">
        <v>477</v>
      </c>
      <c r="K35997" s="18"/>
    </row>
    <row r="35998">
      <c r="B35998" s="17" t="s">
        <v>477</v>
      </c>
      <c r="K35998" s="18"/>
    </row>
    <row r="35999">
      <c r="B35999" s="17" t="s">
        <v>477</v>
      </c>
      <c r="K35999" s="18"/>
    </row>
    <row r="36000">
      <c r="B36000" s="17" t="s">
        <v>477</v>
      </c>
      <c r="K36000" s="18"/>
    </row>
    <row r="36001">
      <c r="B36001" s="17" t="s">
        <v>477</v>
      </c>
      <c r="K36001" s="18"/>
    </row>
    <row r="36002">
      <c r="B36002" s="17" t="s">
        <v>477</v>
      </c>
      <c r="K36002" s="18"/>
    </row>
    <row r="36003">
      <c r="B36003" s="17" t="s">
        <v>477</v>
      </c>
      <c r="K36003" s="18"/>
    </row>
    <row r="36004">
      <c r="B36004" s="17" t="s">
        <v>477</v>
      </c>
      <c r="K36004" s="18"/>
    </row>
    <row r="36005">
      <c r="B36005" s="17" t="s">
        <v>477</v>
      </c>
      <c r="K36005" s="18"/>
    </row>
    <row r="36006">
      <c r="B36006" s="17" t="s">
        <v>477</v>
      </c>
      <c r="K36006" s="18"/>
    </row>
    <row r="36007">
      <c r="B36007" s="17" t="s">
        <v>477</v>
      </c>
      <c r="K36007" s="18"/>
    </row>
    <row r="36008">
      <c r="B36008" s="17" t="s">
        <v>477</v>
      </c>
      <c r="K36008" s="18"/>
    </row>
    <row r="36009">
      <c r="B36009" s="17" t="s">
        <v>477</v>
      </c>
      <c r="K36009" s="18"/>
    </row>
    <row r="36010">
      <c r="B36010" s="17" t="s">
        <v>477</v>
      </c>
      <c r="K36010" s="18"/>
    </row>
    <row r="36011">
      <c r="B36011" s="17" t="s">
        <v>477</v>
      </c>
      <c r="K36011" s="18"/>
    </row>
    <row r="36012">
      <c r="B36012" s="17" t="s">
        <v>477</v>
      </c>
      <c r="K36012" s="18"/>
    </row>
    <row r="36013">
      <c r="B36013" s="17" t="s">
        <v>477</v>
      </c>
      <c r="K36013" s="18"/>
    </row>
    <row r="36014">
      <c r="B36014" s="17" t="s">
        <v>477</v>
      </c>
      <c r="K36014" s="18"/>
    </row>
    <row r="36015">
      <c r="B36015" s="17" t="s">
        <v>477</v>
      </c>
      <c r="K36015" s="18"/>
    </row>
    <row r="36016">
      <c r="B36016" s="17" t="s">
        <v>477</v>
      </c>
      <c r="K36016" s="18"/>
    </row>
    <row r="36017">
      <c r="B36017" s="17" t="s">
        <v>477</v>
      </c>
      <c r="K36017" s="18"/>
    </row>
    <row r="36018">
      <c r="B36018" s="17" t="s">
        <v>477</v>
      </c>
      <c r="K36018" s="18"/>
    </row>
    <row r="36019">
      <c r="B36019" s="17" t="s">
        <v>477</v>
      </c>
      <c r="K36019" s="18"/>
    </row>
    <row r="36020">
      <c r="B36020" s="17" t="s">
        <v>477</v>
      </c>
      <c r="K36020" s="18"/>
    </row>
    <row r="36021">
      <c r="B36021" s="17" t="s">
        <v>477</v>
      </c>
      <c r="K36021" s="18"/>
    </row>
    <row r="36022">
      <c r="B36022" s="17" t="s">
        <v>477</v>
      </c>
      <c r="K36022" s="18"/>
    </row>
    <row r="36023">
      <c r="B36023" s="17" t="s">
        <v>477</v>
      </c>
      <c r="K36023" s="18"/>
    </row>
    <row r="36024">
      <c r="B36024" s="17" t="s">
        <v>477</v>
      </c>
      <c r="K36024" s="18"/>
    </row>
    <row r="36025">
      <c r="B36025" s="17" t="s">
        <v>477</v>
      </c>
      <c r="K36025" s="18"/>
    </row>
    <row r="36026">
      <c r="B36026" s="17" t="s">
        <v>477</v>
      </c>
      <c r="K36026" s="18"/>
    </row>
    <row r="36027">
      <c r="B36027" s="17" t="s">
        <v>477</v>
      </c>
      <c r="K36027" s="18"/>
    </row>
    <row r="36028">
      <c r="B36028" s="17" t="s">
        <v>477</v>
      </c>
      <c r="K36028" s="18"/>
    </row>
    <row r="36029">
      <c r="B36029" s="17" t="s">
        <v>477</v>
      </c>
      <c r="K36029" s="18"/>
    </row>
    <row r="36030">
      <c r="B36030" s="17" t="s">
        <v>477</v>
      </c>
      <c r="K36030" s="18"/>
    </row>
    <row r="36031">
      <c r="B36031" s="17" t="s">
        <v>477</v>
      </c>
      <c r="K36031" s="18"/>
    </row>
    <row r="36032">
      <c r="B36032" s="17" t="s">
        <v>477</v>
      </c>
      <c r="K36032" s="18"/>
    </row>
    <row r="36033">
      <c r="B36033" s="17" t="s">
        <v>477</v>
      </c>
      <c r="K36033" s="18"/>
    </row>
    <row r="36034">
      <c r="B36034" s="17" t="s">
        <v>477</v>
      </c>
      <c r="K36034" s="18"/>
    </row>
    <row r="36035">
      <c r="B36035" s="17" t="s">
        <v>477</v>
      </c>
      <c r="K36035" s="18"/>
    </row>
    <row r="36036">
      <c r="B36036" s="17" t="s">
        <v>477</v>
      </c>
      <c r="K36036" s="18"/>
    </row>
    <row r="36037">
      <c r="B36037" s="17" t="s">
        <v>477</v>
      </c>
      <c r="K36037" s="18"/>
    </row>
    <row r="36038">
      <c r="B36038" s="17" t="s">
        <v>477</v>
      </c>
      <c r="K36038" s="18"/>
    </row>
    <row r="36039">
      <c r="B36039" s="17" t="s">
        <v>477</v>
      </c>
      <c r="K36039" s="18"/>
    </row>
    <row r="36040">
      <c r="B36040" s="17" t="s">
        <v>477</v>
      </c>
      <c r="K36040" s="18"/>
    </row>
    <row r="36041">
      <c r="B36041" s="17" t="s">
        <v>477</v>
      </c>
      <c r="K36041" s="18"/>
    </row>
    <row r="36042">
      <c r="B36042" s="17" t="s">
        <v>477</v>
      </c>
      <c r="K36042" s="18"/>
    </row>
    <row r="36043">
      <c r="B36043" s="17" t="s">
        <v>477</v>
      </c>
      <c r="K36043" s="18"/>
    </row>
    <row r="36044">
      <c r="B36044" s="17" t="s">
        <v>477</v>
      </c>
      <c r="K36044" s="18"/>
    </row>
    <row r="36045">
      <c r="B36045" s="17" t="s">
        <v>477</v>
      </c>
      <c r="K36045" s="18"/>
    </row>
    <row r="36046">
      <c r="B36046" s="17" t="s">
        <v>477</v>
      </c>
      <c r="K36046" s="18"/>
    </row>
    <row r="36047">
      <c r="B36047" s="17" t="s">
        <v>477</v>
      </c>
      <c r="K36047" s="18"/>
    </row>
    <row r="36048">
      <c r="B36048" s="17" t="s">
        <v>477</v>
      </c>
      <c r="K36048" s="18"/>
    </row>
    <row r="36049">
      <c r="B36049" s="17" t="s">
        <v>477</v>
      </c>
      <c r="K36049" s="18"/>
    </row>
    <row r="36050">
      <c r="B36050" s="17" t="s">
        <v>477</v>
      </c>
      <c r="K36050" s="18"/>
    </row>
    <row r="36051">
      <c r="B36051" s="17" t="s">
        <v>477</v>
      </c>
      <c r="K36051" s="18"/>
    </row>
    <row r="36052">
      <c r="B36052" s="17" t="s">
        <v>477</v>
      </c>
      <c r="K36052" s="18"/>
    </row>
    <row r="36053">
      <c r="B36053" s="17" t="s">
        <v>477</v>
      </c>
      <c r="K36053" s="18"/>
    </row>
    <row r="36054">
      <c r="B36054" s="17" t="s">
        <v>477</v>
      </c>
      <c r="K36054" s="18"/>
    </row>
    <row r="36055">
      <c r="B36055" s="17" t="s">
        <v>477</v>
      </c>
      <c r="K36055" s="18"/>
    </row>
    <row r="36056">
      <c r="B36056" s="17" t="s">
        <v>477</v>
      </c>
      <c r="K36056" s="18"/>
    </row>
    <row r="36057">
      <c r="B36057" s="17" t="s">
        <v>477</v>
      </c>
      <c r="K36057" s="18"/>
    </row>
    <row r="36058">
      <c r="B36058" s="17" t="s">
        <v>477</v>
      </c>
      <c r="K36058" s="18"/>
    </row>
    <row r="36059">
      <c r="B36059" s="17" t="s">
        <v>477</v>
      </c>
      <c r="K36059" s="18"/>
    </row>
    <row r="36060">
      <c r="B36060" s="17" t="s">
        <v>477</v>
      </c>
      <c r="K36060" s="18"/>
    </row>
    <row r="36061">
      <c r="B36061" s="17" t="s">
        <v>477</v>
      </c>
      <c r="K36061" s="18"/>
    </row>
    <row r="36062">
      <c r="B36062" s="17" t="s">
        <v>477</v>
      </c>
      <c r="K36062" s="18"/>
    </row>
    <row r="36063">
      <c r="B36063" s="17" t="s">
        <v>477</v>
      </c>
      <c r="K36063" s="18"/>
    </row>
    <row r="36064">
      <c r="B36064" s="17" t="s">
        <v>477</v>
      </c>
      <c r="K36064" s="18"/>
    </row>
    <row r="36065">
      <c r="B36065" s="17" t="s">
        <v>477</v>
      </c>
      <c r="K36065" s="18"/>
    </row>
    <row r="36066">
      <c r="B36066" s="17" t="s">
        <v>477</v>
      </c>
      <c r="K36066" s="18"/>
    </row>
    <row r="36067">
      <c r="B36067" s="17" t="s">
        <v>477</v>
      </c>
      <c r="K36067" s="18"/>
    </row>
    <row r="36068">
      <c r="B36068" s="17" t="s">
        <v>477</v>
      </c>
      <c r="K36068" s="18"/>
    </row>
    <row r="36069">
      <c r="B36069" s="17" t="s">
        <v>477</v>
      </c>
      <c r="K36069" s="18"/>
    </row>
    <row r="36070">
      <c r="B36070" s="17" t="s">
        <v>477</v>
      </c>
      <c r="K36070" s="18"/>
    </row>
    <row r="36071">
      <c r="B36071" s="17" t="s">
        <v>477</v>
      </c>
      <c r="K36071" s="18"/>
    </row>
    <row r="36072">
      <c r="B36072" s="17" t="s">
        <v>477</v>
      </c>
      <c r="K36072" s="18"/>
    </row>
    <row r="36073">
      <c r="B36073" s="17" t="s">
        <v>477</v>
      </c>
      <c r="K36073" s="18"/>
    </row>
    <row r="36074">
      <c r="B36074" s="17" t="s">
        <v>477</v>
      </c>
      <c r="K36074" s="18"/>
    </row>
    <row r="36075">
      <c r="B36075" s="17" t="s">
        <v>477</v>
      </c>
      <c r="K36075" s="18"/>
    </row>
    <row r="36076">
      <c r="B36076" s="17" t="s">
        <v>477</v>
      </c>
      <c r="K36076" s="18"/>
    </row>
    <row r="36077">
      <c r="B36077" s="17" t="s">
        <v>477</v>
      </c>
      <c r="K36077" s="18"/>
    </row>
    <row r="36078">
      <c r="B36078" s="17" t="s">
        <v>477</v>
      </c>
      <c r="K36078" s="18"/>
    </row>
    <row r="36079">
      <c r="B36079" s="17" t="s">
        <v>477</v>
      </c>
      <c r="K36079" s="18"/>
    </row>
    <row r="36080">
      <c r="B36080" s="17" t="s">
        <v>477</v>
      </c>
      <c r="K36080" s="18"/>
    </row>
    <row r="36081">
      <c r="B36081" s="17" t="s">
        <v>477</v>
      </c>
      <c r="K36081" s="18"/>
    </row>
    <row r="36082">
      <c r="B36082" s="17" t="s">
        <v>477</v>
      </c>
      <c r="K36082" s="18"/>
    </row>
    <row r="36083">
      <c r="B36083" s="17" t="s">
        <v>477</v>
      </c>
      <c r="K36083" s="18"/>
    </row>
    <row r="36084">
      <c r="B36084" s="17" t="s">
        <v>477</v>
      </c>
      <c r="K36084" s="18"/>
    </row>
    <row r="36085">
      <c r="B36085" s="17" t="s">
        <v>477</v>
      </c>
      <c r="K36085" s="18"/>
    </row>
    <row r="36086">
      <c r="B36086" s="17" t="s">
        <v>477</v>
      </c>
      <c r="K36086" s="18"/>
    </row>
    <row r="36087">
      <c r="B36087" s="17" t="s">
        <v>477</v>
      </c>
      <c r="K36087" s="18"/>
    </row>
    <row r="36088">
      <c r="B36088" s="17" t="s">
        <v>477</v>
      </c>
      <c r="K36088" s="18"/>
    </row>
    <row r="36089">
      <c r="B36089" s="17" t="s">
        <v>477</v>
      </c>
      <c r="K36089" s="18"/>
    </row>
    <row r="36090">
      <c r="B36090" s="17" t="s">
        <v>477</v>
      </c>
      <c r="K36090" s="18"/>
    </row>
    <row r="36091">
      <c r="B36091" s="17" t="s">
        <v>477</v>
      </c>
      <c r="K36091" s="18"/>
    </row>
    <row r="36092">
      <c r="B36092" s="17" t="s">
        <v>477</v>
      </c>
      <c r="K36092" s="18"/>
    </row>
    <row r="36093">
      <c r="B36093" s="17" t="s">
        <v>477</v>
      </c>
      <c r="K36093" s="18"/>
    </row>
    <row r="36094">
      <c r="B36094" s="17" t="s">
        <v>477</v>
      </c>
      <c r="K36094" s="18"/>
    </row>
    <row r="36095">
      <c r="B36095" s="17" t="s">
        <v>477</v>
      </c>
      <c r="K36095" s="18"/>
    </row>
    <row r="36096">
      <c r="B36096" s="17" t="s">
        <v>477</v>
      </c>
      <c r="K36096" s="18"/>
    </row>
    <row r="36097">
      <c r="B36097" s="17" t="s">
        <v>477</v>
      </c>
      <c r="K36097" s="18"/>
    </row>
    <row r="36098">
      <c r="B36098" s="17" t="s">
        <v>477</v>
      </c>
      <c r="K36098" s="18"/>
    </row>
    <row r="36099">
      <c r="B36099" s="17" t="s">
        <v>477</v>
      </c>
      <c r="K36099" s="18"/>
    </row>
    <row r="36100">
      <c r="B36100" s="17" t="s">
        <v>477</v>
      </c>
      <c r="K36100" s="18"/>
    </row>
    <row r="36101">
      <c r="B36101" s="17" t="s">
        <v>477</v>
      </c>
      <c r="K36101" s="18"/>
    </row>
    <row r="36102">
      <c r="B36102" s="17" t="s">
        <v>477</v>
      </c>
      <c r="K36102" s="18"/>
    </row>
    <row r="36103">
      <c r="B36103" s="17" t="s">
        <v>477</v>
      </c>
      <c r="K36103" s="18"/>
    </row>
    <row r="36104">
      <c r="B36104" s="17" t="s">
        <v>477</v>
      </c>
      <c r="K36104" s="18"/>
    </row>
    <row r="36105">
      <c r="B36105" s="17" t="s">
        <v>477</v>
      </c>
      <c r="K36105" s="18"/>
    </row>
    <row r="36106">
      <c r="B36106" s="17" t="s">
        <v>477</v>
      </c>
      <c r="K36106" s="18"/>
    </row>
    <row r="36107">
      <c r="B36107" s="17" t="s">
        <v>477</v>
      </c>
      <c r="K36107" s="18"/>
    </row>
    <row r="36108">
      <c r="B36108" s="17" t="s">
        <v>477</v>
      </c>
      <c r="K36108" s="18"/>
    </row>
    <row r="36109">
      <c r="B36109" s="17" t="s">
        <v>477</v>
      </c>
      <c r="K36109" s="18"/>
    </row>
    <row r="36110">
      <c r="B36110" s="17" t="s">
        <v>477</v>
      </c>
      <c r="K36110" s="18"/>
    </row>
    <row r="36111">
      <c r="B36111" s="17" t="s">
        <v>477</v>
      </c>
      <c r="K36111" s="18"/>
    </row>
    <row r="36112">
      <c r="B36112" s="17" t="s">
        <v>477</v>
      </c>
      <c r="K36112" s="18"/>
    </row>
    <row r="36113">
      <c r="B36113" s="17" t="s">
        <v>477</v>
      </c>
      <c r="K36113" s="18"/>
    </row>
    <row r="36114">
      <c r="B36114" s="17" t="s">
        <v>477</v>
      </c>
      <c r="K36114" s="18"/>
    </row>
    <row r="36115">
      <c r="B36115" s="17" t="s">
        <v>477</v>
      </c>
      <c r="K36115" s="18"/>
    </row>
    <row r="36116">
      <c r="B36116" s="17" t="s">
        <v>477</v>
      </c>
      <c r="K36116" s="18"/>
    </row>
    <row r="36117">
      <c r="B36117" s="17" t="s">
        <v>477</v>
      </c>
      <c r="K36117" s="18"/>
    </row>
    <row r="36118">
      <c r="B36118" s="17" t="s">
        <v>477</v>
      </c>
      <c r="K36118" s="18"/>
    </row>
    <row r="36119">
      <c r="B36119" s="17" t="s">
        <v>477</v>
      </c>
      <c r="K36119" s="18"/>
    </row>
    <row r="36120">
      <c r="B36120" s="17" t="s">
        <v>477</v>
      </c>
      <c r="K36120" s="18"/>
    </row>
    <row r="36121">
      <c r="B36121" s="17" t="s">
        <v>477</v>
      </c>
      <c r="K36121" s="18"/>
    </row>
    <row r="36122">
      <c r="B36122" s="17" t="s">
        <v>477</v>
      </c>
      <c r="K36122" s="18"/>
    </row>
    <row r="36123">
      <c r="B36123" s="17" t="s">
        <v>477</v>
      </c>
      <c r="K36123" s="18"/>
    </row>
    <row r="36124">
      <c r="B36124" s="17" t="s">
        <v>477</v>
      </c>
      <c r="K36124" s="18"/>
    </row>
    <row r="36125">
      <c r="B36125" s="17" t="s">
        <v>477</v>
      </c>
      <c r="K36125" s="18"/>
    </row>
    <row r="36126">
      <c r="B36126" s="17" t="s">
        <v>477</v>
      </c>
      <c r="K36126" s="18"/>
    </row>
    <row r="36127">
      <c r="B36127" s="17" t="s">
        <v>477</v>
      </c>
      <c r="K36127" s="18"/>
    </row>
    <row r="36128">
      <c r="B36128" s="17" t="s">
        <v>477</v>
      </c>
      <c r="K36128" s="18"/>
    </row>
    <row r="36129">
      <c r="B36129" s="17" t="s">
        <v>477</v>
      </c>
      <c r="K36129" s="18"/>
    </row>
    <row r="36130">
      <c r="B36130" s="17" t="s">
        <v>477</v>
      </c>
      <c r="K36130" s="18"/>
    </row>
    <row r="36131">
      <c r="B36131" s="17" t="s">
        <v>477</v>
      </c>
      <c r="K36131" s="18"/>
    </row>
    <row r="36132">
      <c r="B36132" s="17" t="s">
        <v>477</v>
      </c>
      <c r="K36132" s="18"/>
    </row>
    <row r="36133">
      <c r="B36133" s="17" t="s">
        <v>477</v>
      </c>
      <c r="K36133" s="18"/>
    </row>
    <row r="36134">
      <c r="B36134" s="17" t="s">
        <v>477</v>
      </c>
      <c r="K36134" s="18"/>
    </row>
    <row r="36135">
      <c r="B36135" s="17" t="s">
        <v>477</v>
      </c>
      <c r="K36135" s="18"/>
    </row>
    <row r="36136">
      <c r="B36136" s="17" t="s">
        <v>477</v>
      </c>
      <c r="K36136" s="18"/>
    </row>
    <row r="36137">
      <c r="B36137" s="17" t="s">
        <v>477</v>
      </c>
      <c r="K36137" s="18"/>
    </row>
    <row r="36138">
      <c r="B36138" s="17" t="s">
        <v>477</v>
      </c>
      <c r="K36138" s="18"/>
    </row>
    <row r="36139">
      <c r="B36139" s="17" t="s">
        <v>477</v>
      </c>
      <c r="K36139" s="18"/>
    </row>
    <row r="36140">
      <c r="B36140" s="17" t="s">
        <v>477</v>
      </c>
      <c r="K36140" s="18"/>
    </row>
    <row r="36141">
      <c r="B36141" s="17" t="s">
        <v>477</v>
      </c>
      <c r="K36141" s="18"/>
    </row>
    <row r="36142">
      <c r="B36142" s="17" t="s">
        <v>477</v>
      </c>
      <c r="K36142" s="18"/>
    </row>
    <row r="36143">
      <c r="B36143" s="17" t="s">
        <v>477</v>
      </c>
      <c r="K36143" s="18"/>
    </row>
    <row r="36144">
      <c r="B36144" s="17" t="s">
        <v>477</v>
      </c>
      <c r="K36144" s="18"/>
    </row>
    <row r="36145">
      <c r="B36145" s="17" t="s">
        <v>477</v>
      </c>
      <c r="K36145" s="18"/>
    </row>
    <row r="36146">
      <c r="B36146" s="17" t="s">
        <v>477</v>
      </c>
      <c r="K36146" s="18"/>
    </row>
    <row r="36147">
      <c r="B36147" s="17" t="s">
        <v>477</v>
      </c>
      <c r="K36147" s="18"/>
    </row>
    <row r="36148">
      <c r="B36148" s="17" t="s">
        <v>477</v>
      </c>
      <c r="K36148" s="18"/>
    </row>
    <row r="36149">
      <c r="B36149" s="17" t="s">
        <v>477</v>
      </c>
      <c r="K36149" s="18"/>
    </row>
    <row r="36150">
      <c r="B36150" s="17" t="s">
        <v>477</v>
      </c>
      <c r="K36150" s="18"/>
    </row>
    <row r="36151">
      <c r="B36151" s="17" t="s">
        <v>477</v>
      </c>
      <c r="K36151" s="18"/>
    </row>
    <row r="36152">
      <c r="B36152" s="17" t="s">
        <v>477</v>
      </c>
      <c r="K36152" s="18"/>
    </row>
    <row r="36153">
      <c r="B36153" s="17" t="s">
        <v>477</v>
      </c>
      <c r="K36153" s="18"/>
    </row>
    <row r="36154">
      <c r="B36154" s="17" t="s">
        <v>477</v>
      </c>
      <c r="K36154" s="18"/>
    </row>
    <row r="36155">
      <c r="B36155" s="17" t="s">
        <v>477</v>
      </c>
      <c r="K36155" s="18"/>
    </row>
    <row r="36156">
      <c r="B36156" s="17" t="s">
        <v>477</v>
      </c>
      <c r="K36156" s="18"/>
    </row>
    <row r="36157">
      <c r="B36157" s="17" t="s">
        <v>477</v>
      </c>
      <c r="K36157" s="18"/>
    </row>
    <row r="36158">
      <c r="B36158" s="17" t="s">
        <v>477</v>
      </c>
      <c r="K36158" s="18"/>
    </row>
    <row r="36159">
      <c r="B36159" s="17" t="s">
        <v>477</v>
      </c>
      <c r="K36159" s="18"/>
    </row>
    <row r="36160">
      <c r="B36160" s="17" t="s">
        <v>477</v>
      </c>
      <c r="K36160" s="18"/>
    </row>
    <row r="36161">
      <c r="B36161" s="17" t="s">
        <v>477</v>
      </c>
      <c r="K36161" s="18"/>
    </row>
    <row r="36162">
      <c r="B36162" s="17" t="s">
        <v>477</v>
      </c>
      <c r="K36162" s="18"/>
    </row>
    <row r="36163">
      <c r="B36163" s="17" t="s">
        <v>477</v>
      </c>
      <c r="K36163" s="18"/>
    </row>
    <row r="36164">
      <c r="B36164" s="17" t="s">
        <v>477</v>
      </c>
      <c r="K36164" s="18"/>
    </row>
    <row r="36165">
      <c r="B36165" s="17" t="s">
        <v>477</v>
      </c>
      <c r="K36165" s="18"/>
    </row>
    <row r="36166">
      <c r="B36166" s="17" t="s">
        <v>477</v>
      </c>
      <c r="K36166" s="18"/>
    </row>
    <row r="36167">
      <c r="B36167" s="17" t="s">
        <v>477</v>
      </c>
      <c r="K36167" s="18"/>
    </row>
    <row r="36168">
      <c r="B36168" s="17" t="s">
        <v>477</v>
      </c>
      <c r="K36168" s="18"/>
    </row>
    <row r="36169">
      <c r="B36169" s="17" t="s">
        <v>477</v>
      </c>
      <c r="K36169" s="18"/>
    </row>
    <row r="36170">
      <c r="B36170" s="17" t="s">
        <v>477</v>
      </c>
      <c r="K36170" s="18"/>
    </row>
    <row r="36171">
      <c r="B36171" s="17" t="s">
        <v>477</v>
      </c>
      <c r="K36171" s="18"/>
    </row>
    <row r="36172">
      <c r="B36172" s="17" t="s">
        <v>477</v>
      </c>
      <c r="K36172" s="18"/>
    </row>
    <row r="36173">
      <c r="B36173" s="17" t="s">
        <v>477</v>
      </c>
      <c r="K36173" s="18"/>
    </row>
    <row r="36174">
      <c r="B36174" s="17" t="s">
        <v>477</v>
      </c>
      <c r="K36174" s="18"/>
    </row>
    <row r="36175">
      <c r="B36175" s="17" t="s">
        <v>477</v>
      </c>
      <c r="K36175" s="18"/>
    </row>
    <row r="36176">
      <c r="B36176" s="17" t="s">
        <v>477</v>
      </c>
      <c r="K36176" s="18"/>
    </row>
    <row r="36177">
      <c r="B36177" s="17" t="s">
        <v>477</v>
      </c>
      <c r="K36177" s="18"/>
    </row>
    <row r="36178">
      <c r="B36178" s="17" t="s">
        <v>477</v>
      </c>
      <c r="K36178" s="18"/>
    </row>
    <row r="36179">
      <c r="B36179" s="17" t="s">
        <v>477</v>
      </c>
      <c r="K36179" s="18"/>
    </row>
    <row r="36180">
      <c r="B36180" s="17" t="s">
        <v>477</v>
      </c>
      <c r="K36180" s="18"/>
    </row>
    <row r="36181">
      <c r="B36181" s="17" t="s">
        <v>477</v>
      </c>
      <c r="K36181" s="18"/>
    </row>
    <row r="36182">
      <c r="B36182" s="17" t="s">
        <v>477</v>
      </c>
      <c r="K36182" s="18"/>
    </row>
    <row r="36183">
      <c r="B36183" s="17" t="s">
        <v>477</v>
      </c>
      <c r="K36183" s="18"/>
    </row>
    <row r="36184">
      <c r="B36184" s="17" t="s">
        <v>477</v>
      </c>
      <c r="K36184" s="18"/>
    </row>
    <row r="36185">
      <c r="B36185" s="17" t="s">
        <v>477</v>
      </c>
      <c r="K36185" s="18"/>
    </row>
    <row r="36186">
      <c r="B36186" s="17" t="s">
        <v>477</v>
      </c>
      <c r="K36186" s="18"/>
    </row>
    <row r="36187">
      <c r="B36187" s="17" t="s">
        <v>477</v>
      </c>
      <c r="K36187" s="18"/>
    </row>
    <row r="36188">
      <c r="B36188" s="17" t="s">
        <v>477</v>
      </c>
      <c r="K36188" s="18"/>
    </row>
    <row r="36189">
      <c r="B36189" s="17" t="s">
        <v>477</v>
      </c>
      <c r="K36189" s="18"/>
    </row>
    <row r="36190">
      <c r="B36190" s="17" t="s">
        <v>477</v>
      </c>
      <c r="K36190" s="18"/>
    </row>
    <row r="36191">
      <c r="B36191" s="17" t="s">
        <v>477</v>
      </c>
      <c r="K36191" s="18"/>
    </row>
    <row r="36192">
      <c r="B36192" s="17" t="s">
        <v>477</v>
      </c>
      <c r="K36192" s="18"/>
    </row>
    <row r="36193">
      <c r="B36193" s="17" t="s">
        <v>477</v>
      </c>
      <c r="K36193" s="18"/>
    </row>
    <row r="36194">
      <c r="B36194" s="17" t="s">
        <v>477</v>
      </c>
      <c r="K36194" s="18"/>
    </row>
    <row r="36195">
      <c r="B36195" s="17" t="s">
        <v>477</v>
      </c>
      <c r="K36195" s="18"/>
    </row>
    <row r="36196">
      <c r="B36196" s="17" t="s">
        <v>477</v>
      </c>
      <c r="K36196" s="18"/>
    </row>
    <row r="36197">
      <c r="B36197" s="17" t="s">
        <v>477</v>
      </c>
      <c r="K36197" s="18"/>
    </row>
    <row r="36198">
      <c r="B36198" s="17" t="s">
        <v>477</v>
      </c>
      <c r="K36198" s="18"/>
    </row>
    <row r="36199">
      <c r="B36199" s="17" t="s">
        <v>477</v>
      </c>
      <c r="K36199" s="18"/>
    </row>
    <row r="36200">
      <c r="B36200" s="17" t="s">
        <v>477</v>
      </c>
      <c r="K36200" s="18"/>
    </row>
    <row r="36201">
      <c r="B36201" s="17" t="s">
        <v>477</v>
      </c>
      <c r="K36201" s="18"/>
    </row>
    <row r="36202">
      <c r="B36202" s="17" t="s">
        <v>477</v>
      </c>
      <c r="K36202" s="18"/>
    </row>
    <row r="36203">
      <c r="B36203" s="17" t="s">
        <v>477</v>
      </c>
      <c r="K36203" s="18"/>
    </row>
    <row r="36204">
      <c r="B36204" s="17" t="s">
        <v>477</v>
      </c>
      <c r="K36204" s="18"/>
    </row>
    <row r="36205">
      <c r="B36205" s="17" t="s">
        <v>477</v>
      </c>
      <c r="K36205" s="18"/>
    </row>
    <row r="36206">
      <c r="B36206" s="17" t="s">
        <v>477</v>
      </c>
      <c r="K36206" s="18"/>
    </row>
    <row r="36207">
      <c r="B36207" s="17" t="s">
        <v>477</v>
      </c>
      <c r="K36207" s="18"/>
    </row>
    <row r="36208">
      <c r="B36208" s="17" t="s">
        <v>477</v>
      </c>
      <c r="K36208" s="18"/>
    </row>
    <row r="36209">
      <c r="B36209" s="17" t="s">
        <v>477</v>
      </c>
      <c r="K36209" s="18"/>
    </row>
    <row r="36210">
      <c r="B36210" s="17" t="s">
        <v>477</v>
      </c>
      <c r="K36210" s="18"/>
    </row>
    <row r="36211">
      <c r="B36211" s="17" t="s">
        <v>477</v>
      </c>
      <c r="K36211" s="18"/>
    </row>
    <row r="36212">
      <c r="B36212" s="17" t="s">
        <v>477</v>
      </c>
      <c r="K36212" s="18"/>
    </row>
    <row r="36213">
      <c r="B36213" s="17" t="s">
        <v>477</v>
      </c>
      <c r="K36213" s="18"/>
    </row>
    <row r="36214">
      <c r="B36214" s="17" t="s">
        <v>477</v>
      </c>
      <c r="K36214" s="18"/>
    </row>
    <row r="36215">
      <c r="B36215" s="17" t="s">
        <v>477</v>
      </c>
      <c r="K36215" s="18"/>
    </row>
    <row r="36216">
      <c r="B36216" s="17" t="s">
        <v>477</v>
      </c>
      <c r="K36216" s="18"/>
    </row>
    <row r="36217">
      <c r="B36217" s="17" t="s">
        <v>477</v>
      </c>
      <c r="K36217" s="18"/>
    </row>
    <row r="36218">
      <c r="B36218" s="17" t="s">
        <v>477</v>
      </c>
      <c r="K36218" s="18"/>
    </row>
    <row r="36219">
      <c r="B36219" s="17" t="s">
        <v>477</v>
      </c>
      <c r="K36219" s="18"/>
    </row>
    <row r="36220">
      <c r="B36220" s="17" t="s">
        <v>477</v>
      </c>
      <c r="K36220" s="18"/>
    </row>
    <row r="36221">
      <c r="B36221" s="17" t="s">
        <v>477</v>
      </c>
      <c r="K36221" s="18"/>
    </row>
    <row r="36222">
      <c r="B36222" s="17" t="s">
        <v>477</v>
      </c>
      <c r="K36222" s="18"/>
    </row>
    <row r="36223">
      <c r="B36223" s="17" t="s">
        <v>477</v>
      </c>
      <c r="K36223" s="18"/>
    </row>
    <row r="36224">
      <c r="B36224" s="17" t="s">
        <v>477</v>
      </c>
      <c r="K36224" s="18"/>
    </row>
    <row r="36225">
      <c r="B36225" s="17" t="s">
        <v>477</v>
      </c>
      <c r="K36225" s="18"/>
    </row>
    <row r="36226">
      <c r="B36226" s="17" t="s">
        <v>477</v>
      </c>
      <c r="K36226" s="18"/>
    </row>
    <row r="36227">
      <c r="B36227" s="17" t="s">
        <v>477</v>
      </c>
      <c r="K36227" s="18"/>
    </row>
    <row r="36228">
      <c r="B36228" s="17" t="s">
        <v>477</v>
      </c>
      <c r="K36228" s="18"/>
    </row>
    <row r="36229">
      <c r="B36229" s="17" t="s">
        <v>477</v>
      </c>
      <c r="K36229" s="18"/>
    </row>
    <row r="36230">
      <c r="B36230" s="17" t="s">
        <v>477</v>
      </c>
      <c r="K36230" s="18"/>
    </row>
    <row r="36231">
      <c r="B36231" s="17" t="s">
        <v>477</v>
      </c>
      <c r="K36231" s="18"/>
    </row>
    <row r="36232">
      <c r="B36232" s="17" t="s">
        <v>477</v>
      </c>
      <c r="K36232" s="18"/>
    </row>
    <row r="36233">
      <c r="B36233" s="17" t="s">
        <v>477</v>
      </c>
      <c r="K36233" s="18"/>
    </row>
    <row r="36234">
      <c r="B36234" s="17" t="s">
        <v>477</v>
      </c>
      <c r="K36234" s="18"/>
    </row>
    <row r="36235">
      <c r="B36235" s="17" t="s">
        <v>477</v>
      </c>
      <c r="K36235" s="18"/>
    </row>
    <row r="36236">
      <c r="B36236" s="17" t="s">
        <v>477</v>
      </c>
      <c r="K36236" s="18"/>
    </row>
    <row r="36237">
      <c r="B36237" s="17" t="s">
        <v>477</v>
      </c>
      <c r="K36237" s="18"/>
    </row>
    <row r="36238">
      <c r="B36238" s="17" t="s">
        <v>477</v>
      </c>
      <c r="K36238" s="18"/>
    </row>
    <row r="36239">
      <c r="B36239" s="17" t="s">
        <v>477</v>
      </c>
      <c r="K36239" s="18"/>
    </row>
    <row r="36240">
      <c r="B36240" s="17" t="s">
        <v>477</v>
      </c>
      <c r="K36240" s="18"/>
    </row>
    <row r="36241">
      <c r="B36241" s="17" t="s">
        <v>477</v>
      </c>
      <c r="K36241" s="18"/>
    </row>
    <row r="36242">
      <c r="B36242" s="17" t="s">
        <v>477</v>
      </c>
      <c r="K36242" s="18"/>
    </row>
    <row r="36243">
      <c r="B36243" s="17" t="s">
        <v>477</v>
      </c>
      <c r="K36243" s="18"/>
    </row>
    <row r="36244">
      <c r="B36244" s="17" t="s">
        <v>477</v>
      </c>
      <c r="K36244" s="18"/>
    </row>
    <row r="36245">
      <c r="B36245" s="17" t="s">
        <v>477</v>
      </c>
      <c r="K36245" s="18"/>
    </row>
    <row r="36246">
      <c r="B36246" s="17" t="s">
        <v>477</v>
      </c>
      <c r="K36246" s="18"/>
    </row>
    <row r="36247">
      <c r="B36247" s="17" t="s">
        <v>477</v>
      </c>
      <c r="K36247" s="18"/>
    </row>
    <row r="36248">
      <c r="B36248" s="17" t="s">
        <v>477</v>
      </c>
      <c r="K36248" s="18"/>
    </row>
    <row r="36249">
      <c r="B36249" s="17" t="s">
        <v>477</v>
      </c>
      <c r="K36249" s="18"/>
    </row>
    <row r="36250">
      <c r="B36250" s="17" t="s">
        <v>477</v>
      </c>
      <c r="K36250" s="18"/>
    </row>
    <row r="36251">
      <c r="B36251" s="17" t="s">
        <v>477</v>
      </c>
      <c r="K36251" s="18"/>
    </row>
    <row r="36252">
      <c r="B36252" s="17" t="s">
        <v>477</v>
      </c>
      <c r="K36252" s="18"/>
    </row>
    <row r="36253">
      <c r="B36253" s="17" t="s">
        <v>477</v>
      </c>
      <c r="K36253" s="18"/>
    </row>
    <row r="36254">
      <c r="B36254" s="17" t="s">
        <v>477</v>
      </c>
      <c r="K36254" s="18"/>
    </row>
    <row r="36255">
      <c r="B36255" s="17" t="s">
        <v>477</v>
      </c>
      <c r="K36255" s="18"/>
    </row>
    <row r="36256">
      <c r="B36256" s="17" t="s">
        <v>477</v>
      </c>
      <c r="K36256" s="18"/>
    </row>
    <row r="36257">
      <c r="B36257" s="17" t="s">
        <v>477</v>
      </c>
      <c r="K36257" s="18"/>
    </row>
    <row r="36258">
      <c r="B36258" s="17" t="s">
        <v>477</v>
      </c>
      <c r="K36258" s="18"/>
    </row>
    <row r="36259">
      <c r="B36259" s="17" t="s">
        <v>477</v>
      </c>
      <c r="K36259" s="18"/>
    </row>
    <row r="36260">
      <c r="B36260" s="17" t="s">
        <v>477</v>
      </c>
      <c r="K36260" s="18"/>
    </row>
    <row r="36261">
      <c r="B36261" s="17" t="s">
        <v>477</v>
      </c>
      <c r="K36261" s="18"/>
    </row>
    <row r="36262">
      <c r="B36262" s="17" t="s">
        <v>477</v>
      </c>
      <c r="K36262" s="18"/>
    </row>
    <row r="36263">
      <c r="B36263" s="17" t="s">
        <v>477</v>
      </c>
      <c r="K36263" s="18"/>
    </row>
    <row r="36264">
      <c r="B36264" s="17" t="s">
        <v>477</v>
      </c>
      <c r="K36264" s="18"/>
    </row>
    <row r="36265">
      <c r="B36265" s="17" t="s">
        <v>477</v>
      </c>
      <c r="K36265" s="18"/>
    </row>
    <row r="36266">
      <c r="B36266" s="17" t="s">
        <v>477</v>
      </c>
      <c r="K36266" s="18"/>
    </row>
    <row r="36267">
      <c r="B36267" s="17" t="s">
        <v>477</v>
      </c>
      <c r="K36267" s="18"/>
    </row>
    <row r="36268">
      <c r="B36268" s="17" t="s">
        <v>477</v>
      </c>
      <c r="K36268" s="18"/>
    </row>
    <row r="36269">
      <c r="B36269" s="17" t="s">
        <v>477</v>
      </c>
      <c r="K36269" s="18"/>
    </row>
    <row r="36270">
      <c r="B36270" s="17" t="s">
        <v>477</v>
      </c>
      <c r="K36270" s="18"/>
    </row>
    <row r="36271">
      <c r="B36271" s="17" t="s">
        <v>477</v>
      </c>
      <c r="K36271" s="18"/>
    </row>
    <row r="36272">
      <c r="B36272" s="17" t="s">
        <v>477</v>
      </c>
      <c r="K36272" s="18"/>
    </row>
    <row r="36273">
      <c r="B36273" s="17" t="s">
        <v>477</v>
      </c>
      <c r="K36273" s="18"/>
    </row>
    <row r="36274">
      <c r="B36274" s="17" t="s">
        <v>477</v>
      </c>
      <c r="K36274" s="18"/>
    </row>
    <row r="36275">
      <c r="B36275" s="17" t="s">
        <v>477</v>
      </c>
      <c r="K36275" s="18"/>
    </row>
    <row r="36276">
      <c r="B36276" s="17" t="s">
        <v>477</v>
      </c>
      <c r="K36276" s="18"/>
    </row>
    <row r="36277">
      <c r="B36277" s="17" t="s">
        <v>477</v>
      </c>
      <c r="K36277" s="18"/>
    </row>
    <row r="36278">
      <c r="B36278" s="17" t="s">
        <v>477</v>
      </c>
      <c r="K36278" s="18"/>
    </row>
    <row r="36279">
      <c r="B36279" s="17" t="s">
        <v>477</v>
      </c>
      <c r="K36279" s="18"/>
    </row>
    <row r="36280">
      <c r="B36280" s="17" t="s">
        <v>477</v>
      </c>
      <c r="K36280" s="18"/>
    </row>
    <row r="36281">
      <c r="B36281" s="17" t="s">
        <v>477</v>
      </c>
      <c r="K36281" s="18"/>
    </row>
    <row r="36282">
      <c r="B36282" s="17" t="s">
        <v>477</v>
      </c>
      <c r="K36282" s="18"/>
    </row>
    <row r="36283">
      <c r="B36283" s="17" t="s">
        <v>477</v>
      </c>
      <c r="K36283" s="18"/>
    </row>
    <row r="36284">
      <c r="B36284" s="17" t="s">
        <v>477</v>
      </c>
      <c r="K36284" s="18"/>
    </row>
    <row r="36285">
      <c r="B36285" s="17" t="s">
        <v>477</v>
      </c>
      <c r="K36285" s="18"/>
    </row>
    <row r="36286">
      <c r="B36286" s="17" t="s">
        <v>477</v>
      </c>
      <c r="K36286" s="18"/>
    </row>
    <row r="36287">
      <c r="B36287" s="17" t="s">
        <v>477</v>
      </c>
      <c r="K36287" s="18"/>
    </row>
    <row r="36288">
      <c r="B36288" s="17" t="s">
        <v>477</v>
      </c>
      <c r="K36288" s="18"/>
    </row>
    <row r="36289">
      <c r="B36289" s="17" t="s">
        <v>477</v>
      </c>
      <c r="K36289" s="18"/>
    </row>
    <row r="36290">
      <c r="B36290" s="17" t="s">
        <v>477</v>
      </c>
      <c r="K36290" s="18"/>
    </row>
    <row r="36291">
      <c r="B36291" s="17" t="s">
        <v>477</v>
      </c>
      <c r="K36291" s="18"/>
    </row>
    <row r="36292">
      <c r="B36292" s="17" t="s">
        <v>477</v>
      </c>
      <c r="K36292" s="18"/>
    </row>
    <row r="36293">
      <c r="B36293" s="17" t="s">
        <v>477</v>
      </c>
      <c r="K36293" s="18"/>
    </row>
    <row r="36294">
      <c r="B36294" s="17" t="s">
        <v>477</v>
      </c>
      <c r="K36294" s="18"/>
    </row>
    <row r="36295">
      <c r="B36295" s="17" t="s">
        <v>477</v>
      </c>
      <c r="K36295" s="18"/>
    </row>
    <row r="36296">
      <c r="B36296" s="17" t="s">
        <v>477</v>
      </c>
      <c r="K36296" s="18"/>
    </row>
    <row r="36297">
      <c r="B36297" s="17" t="s">
        <v>477</v>
      </c>
      <c r="K36297" s="18"/>
    </row>
    <row r="36298">
      <c r="B36298" s="17" t="s">
        <v>477</v>
      </c>
      <c r="K36298" s="18"/>
    </row>
    <row r="36299">
      <c r="B36299" s="17" t="s">
        <v>477</v>
      </c>
      <c r="K36299" s="18"/>
    </row>
    <row r="36300">
      <c r="B36300" s="17" t="s">
        <v>477</v>
      </c>
      <c r="K36300" s="18"/>
    </row>
    <row r="36301">
      <c r="B36301" s="17" t="s">
        <v>477</v>
      </c>
      <c r="K36301" s="18"/>
    </row>
    <row r="36302">
      <c r="B36302" s="17" t="s">
        <v>477</v>
      </c>
      <c r="K36302" s="18"/>
    </row>
    <row r="36303">
      <c r="B36303" s="17" t="s">
        <v>477</v>
      </c>
      <c r="K36303" s="18"/>
    </row>
    <row r="36304">
      <c r="B36304" s="17" t="s">
        <v>477</v>
      </c>
      <c r="K36304" s="18"/>
    </row>
    <row r="36305">
      <c r="B36305" s="17" t="s">
        <v>477</v>
      </c>
      <c r="K36305" s="18"/>
    </row>
    <row r="36306">
      <c r="B36306" s="17" t="s">
        <v>477</v>
      </c>
      <c r="K36306" s="18"/>
    </row>
    <row r="36307">
      <c r="B36307" s="17" t="s">
        <v>477</v>
      </c>
      <c r="K36307" s="18"/>
    </row>
    <row r="36308">
      <c r="B36308" s="17" t="s">
        <v>477</v>
      </c>
      <c r="K36308" s="18"/>
    </row>
    <row r="36309">
      <c r="B36309" s="17" t="s">
        <v>477</v>
      </c>
      <c r="K36309" s="18"/>
    </row>
    <row r="36310">
      <c r="B36310" s="17" t="s">
        <v>477</v>
      </c>
      <c r="K36310" s="18"/>
    </row>
    <row r="36311">
      <c r="B36311" s="17" t="s">
        <v>477</v>
      </c>
      <c r="K36311" s="18"/>
    </row>
    <row r="36312">
      <c r="B36312" s="17" t="s">
        <v>477</v>
      </c>
      <c r="K36312" s="18"/>
    </row>
    <row r="36313">
      <c r="B36313" s="17" t="s">
        <v>477</v>
      </c>
      <c r="K36313" s="18"/>
    </row>
    <row r="36314">
      <c r="B36314" s="17" t="s">
        <v>477</v>
      </c>
      <c r="K36314" s="18"/>
    </row>
    <row r="36315">
      <c r="B36315" s="17" t="s">
        <v>477</v>
      </c>
      <c r="K36315" s="18"/>
    </row>
    <row r="36316">
      <c r="B36316" s="17" t="s">
        <v>477</v>
      </c>
      <c r="K36316" s="18"/>
    </row>
    <row r="36317">
      <c r="B36317" s="17" t="s">
        <v>477</v>
      </c>
      <c r="K36317" s="18"/>
    </row>
    <row r="36318">
      <c r="B36318" s="17" t="s">
        <v>477</v>
      </c>
      <c r="K36318" s="18"/>
    </row>
    <row r="36319">
      <c r="B36319" s="17" t="s">
        <v>477</v>
      </c>
      <c r="K36319" s="18"/>
    </row>
    <row r="36320">
      <c r="B36320" s="17" t="s">
        <v>477</v>
      </c>
      <c r="K36320" s="18"/>
    </row>
    <row r="36321">
      <c r="B36321" s="17" t="s">
        <v>477</v>
      </c>
      <c r="K36321" s="18"/>
    </row>
    <row r="36322">
      <c r="B36322" s="17" t="s">
        <v>477</v>
      </c>
      <c r="K36322" s="18"/>
    </row>
    <row r="36323">
      <c r="B36323" s="17" t="s">
        <v>477</v>
      </c>
      <c r="K36323" s="18"/>
    </row>
    <row r="36324">
      <c r="B36324" s="17" t="s">
        <v>477</v>
      </c>
      <c r="K36324" s="18"/>
    </row>
    <row r="36325">
      <c r="B36325" s="17" t="s">
        <v>477</v>
      </c>
      <c r="K36325" s="18"/>
    </row>
    <row r="36326">
      <c r="B36326" s="17" t="s">
        <v>477</v>
      </c>
      <c r="K36326" s="18"/>
    </row>
    <row r="36327">
      <c r="B36327" s="17" t="s">
        <v>477</v>
      </c>
      <c r="K36327" s="18"/>
    </row>
    <row r="36328">
      <c r="B36328" s="17" t="s">
        <v>477</v>
      </c>
      <c r="K36328" s="18"/>
    </row>
    <row r="36329">
      <c r="B36329" s="17" t="s">
        <v>477</v>
      </c>
      <c r="K36329" s="18"/>
    </row>
    <row r="36330">
      <c r="B36330" s="17" t="s">
        <v>477</v>
      </c>
      <c r="K36330" s="18"/>
    </row>
    <row r="36331">
      <c r="B36331" s="17" t="s">
        <v>477</v>
      </c>
      <c r="K36331" s="18"/>
    </row>
    <row r="36332">
      <c r="B36332" s="17" t="s">
        <v>477</v>
      </c>
      <c r="K36332" s="18"/>
    </row>
    <row r="36333">
      <c r="B36333" s="17" t="s">
        <v>477</v>
      </c>
      <c r="K36333" s="18"/>
    </row>
    <row r="36334">
      <c r="B36334" s="17" t="s">
        <v>477</v>
      </c>
      <c r="K36334" s="18"/>
    </row>
    <row r="36335">
      <c r="B36335" s="17" t="s">
        <v>477</v>
      </c>
      <c r="K36335" s="18"/>
    </row>
    <row r="36336">
      <c r="B36336" s="17" t="s">
        <v>477</v>
      </c>
      <c r="K36336" s="18"/>
    </row>
    <row r="36337">
      <c r="B36337" s="17" t="s">
        <v>477</v>
      </c>
      <c r="K36337" s="18"/>
    </row>
    <row r="36338">
      <c r="B36338" s="17" t="s">
        <v>477</v>
      </c>
      <c r="K36338" s="18"/>
    </row>
    <row r="36339">
      <c r="B36339" s="17" t="s">
        <v>477</v>
      </c>
      <c r="K36339" s="18"/>
    </row>
    <row r="36340">
      <c r="B36340" s="17" t="s">
        <v>477</v>
      </c>
      <c r="K36340" s="18"/>
    </row>
    <row r="36341">
      <c r="B36341" s="17" t="s">
        <v>477</v>
      </c>
      <c r="K36341" s="18"/>
    </row>
    <row r="36342">
      <c r="B36342" s="17" t="s">
        <v>477</v>
      </c>
      <c r="K36342" s="18"/>
    </row>
    <row r="36343">
      <c r="B36343" s="17" t="s">
        <v>477</v>
      </c>
      <c r="K36343" s="18"/>
    </row>
    <row r="36344">
      <c r="B36344" s="17" t="s">
        <v>477</v>
      </c>
      <c r="K36344" s="18"/>
    </row>
    <row r="36345">
      <c r="B36345" s="17" t="s">
        <v>477</v>
      </c>
      <c r="K36345" s="18"/>
    </row>
    <row r="36346">
      <c r="B36346" s="17" t="s">
        <v>477</v>
      </c>
      <c r="K36346" s="18"/>
    </row>
    <row r="36347">
      <c r="B36347" s="17" t="s">
        <v>477</v>
      </c>
      <c r="K36347" s="18"/>
    </row>
    <row r="36348">
      <c r="B36348" s="17" t="s">
        <v>477</v>
      </c>
      <c r="K36348" s="18"/>
    </row>
    <row r="36349">
      <c r="B36349" s="17" t="s">
        <v>477</v>
      </c>
      <c r="K36349" s="18"/>
    </row>
    <row r="36350">
      <c r="B36350" s="17" t="s">
        <v>477</v>
      </c>
      <c r="K36350" s="18"/>
    </row>
    <row r="36351">
      <c r="B36351" s="17" t="s">
        <v>477</v>
      </c>
      <c r="K36351" s="18"/>
    </row>
    <row r="36352">
      <c r="B36352" s="17" t="s">
        <v>477</v>
      </c>
      <c r="K36352" s="18"/>
    </row>
    <row r="36353">
      <c r="B36353" s="17" t="s">
        <v>477</v>
      </c>
      <c r="K36353" s="18"/>
    </row>
    <row r="36354">
      <c r="B36354" s="17" t="s">
        <v>477</v>
      </c>
      <c r="K36354" s="18"/>
    </row>
    <row r="36355">
      <c r="B36355" s="17" t="s">
        <v>477</v>
      </c>
      <c r="K36355" s="18"/>
    </row>
    <row r="36356">
      <c r="B36356" s="17" t="s">
        <v>477</v>
      </c>
      <c r="K36356" s="18"/>
    </row>
    <row r="36357">
      <c r="B36357" s="17" t="s">
        <v>477</v>
      </c>
      <c r="K36357" s="18"/>
    </row>
    <row r="36358">
      <c r="B36358" s="17" t="s">
        <v>477</v>
      </c>
      <c r="K36358" s="18"/>
    </row>
    <row r="36359">
      <c r="B36359" s="17" t="s">
        <v>477</v>
      </c>
      <c r="K36359" s="18"/>
    </row>
    <row r="36360">
      <c r="B36360" s="17" t="s">
        <v>477</v>
      </c>
      <c r="K36360" s="18"/>
    </row>
    <row r="36361">
      <c r="B36361" s="17" t="s">
        <v>477</v>
      </c>
      <c r="K36361" s="18"/>
    </row>
    <row r="36362">
      <c r="B36362" s="17" t="s">
        <v>477</v>
      </c>
      <c r="K36362" s="18"/>
    </row>
    <row r="36363">
      <c r="B36363" s="17" t="s">
        <v>477</v>
      </c>
      <c r="K36363" s="18"/>
    </row>
    <row r="36364">
      <c r="B36364" s="17" t="s">
        <v>477</v>
      </c>
      <c r="K36364" s="18"/>
    </row>
    <row r="36365">
      <c r="B36365" s="17" t="s">
        <v>477</v>
      </c>
      <c r="K36365" s="18"/>
    </row>
    <row r="36366">
      <c r="B36366" s="17" t="s">
        <v>477</v>
      </c>
      <c r="K36366" s="18"/>
    </row>
    <row r="36367">
      <c r="B36367" s="17" t="s">
        <v>477</v>
      </c>
      <c r="K36367" s="18"/>
    </row>
    <row r="36368">
      <c r="B36368" s="17" t="s">
        <v>477</v>
      </c>
      <c r="K36368" s="18"/>
    </row>
    <row r="36369">
      <c r="B36369" s="17" t="s">
        <v>477</v>
      </c>
      <c r="K36369" s="18"/>
    </row>
    <row r="36370">
      <c r="B36370" s="17" t="s">
        <v>477</v>
      </c>
      <c r="K36370" s="18"/>
    </row>
    <row r="36371">
      <c r="B36371" s="17" t="s">
        <v>477</v>
      </c>
      <c r="K36371" s="18"/>
    </row>
    <row r="36372">
      <c r="B36372" s="17" t="s">
        <v>477</v>
      </c>
      <c r="K36372" s="18"/>
    </row>
    <row r="36373">
      <c r="B36373" s="17" t="s">
        <v>477</v>
      </c>
      <c r="K36373" s="18"/>
    </row>
    <row r="36374">
      <c r="B36374" s="17" t="s">
        <v>477</v>
      </c>
      <c r="K36374" s="18"/>
    </row>
    <row r="36375">
      <c r="B36375" s="17" t="s">
        <v>477</v>
      </c>
      <c r="K36375" s="18"/>
    </row>
    <row r="36376">
      <c r="B36376" s="17" t="s">
        <v>477</v>
      </c>
      <c r="K36376" s="18"/>
    </row>
    <row r="36377">
      <c r="B36377" s="17" t="s">
        <v>477</v>
      </c>
      <c r="K36377" s="18"/>
    </row>
    <row r="36378">
      <c r="B36378" s="17" t="s">
        <v>477</v>
      </c>
      <c r="K36378" s="18"/>
    </row>
    <row r="36379">
      <c r="B36379" s="17" t="s">
        <v>477</v>
      </c>
      <c r="K36379" s="18"/>
    </row>
    <row r="36380">
      <c r="B36380" s="17" t="s">
        <v>477</v>
      </c>
      <c r="K36380" s="18"/>
    </row>
    <row r="36381">
      <c r="B36381" s="17" t="s">
        <v>477</v>
      </c>
      <c r="K36381" s="18"/>
    </row>
    <row r="36382">
      <c r="B36382" s="17" t="s">
        <v>477</v>
      </c>
      <c r="K36382" s="18"/>
    </row>
    <row r="36383">
      <c r="B36383" s="17" t="s">
        <v>477</v>
      </c>
      <c r="K36383" s="18"/>
    </row>
    <row r="36384">
      <c r="B36384" s="17" t="s">
        <v>477</v>
      </c>
      <c r="K36384" s="18"/>
    </row>
    <row r="36385">
      <c r="B36385" s="17" t="s">
        <v>477</v>
      </c>
      <c r="K36385" s="18"/>
    </row>
    <row r="36386">
      <c r="B36386" s="17" t="s">
        <v>477</v>
      </c>
      <c r="K36386" s="18"/>
    </row>
    <row r="36387">
      <c r="B36387" s="17" t="s">
        <v>477</v>
      </c>
      <c r="K36387" s="18"/>
    </row>
    <row r="36388">
      <c r="B36388" s="17" t="s">
        <v>477</v>
      </c>
      <c r="K36388" s="18"/>
    </row>
    <row r="36389">
      <c r="B36389" s="17" t="s">
        <v>477</v>
      </c>
      <c r="K36389" s="18"/>
    </row>
    <row r="36390">
      <c r="B36390" s="17" t="s">
        <v>477</v>
      </c>
      <c r="K36390" s="18"/>
    </row>
    <row r="36391">
      <c r="B36391" s="17" t="s">
        <v>477</v>
      </c>
      <c r="K36391" s="18"/>
    </row>
    <row r="36392">
      <c r="B36392" s="17" t="s">
        <v>477</v>
      </c>
      <c r="K36392" s="18"/>
    </row>
    <row r="36393">
      <c r="B36393" s="17" t="s">
        <v>477</v>
      </c>
      <c r="K36393" s="18"/>
    </row>
    <row r="36394">
      <c r="B36394" s="17" t="s">
        <v>477</v>
      </c>
      <c r="K36394" s="18"/>
    </row>
    <row r="36395">
      <c r="B36395" s="17" t="s">
        <v>477</v>
      </c>
      <c r="K36395" s="18"/>
    </row>
    <row r="36396">
      <c r="B36396" s="17" t="s">
        <v>477</v>
      </c>
      <c r="K36396" s="18"/>
    </row>
    <row r="36397">
      <c r="B36397" s="17" t="s">
        <v>477</v>
      </c>
      <c r="K36397" s="18"/>
    </row>
    <row r="36398">
      <c r="B36398" s="17" t="s">
        <v>477</v>
      </c>
      <c r="K36398" s="18"/>
    </row>
    <row r="36399">
      <c r="B36399" s="17" t="s">
        <v>477</v>
      </c>
      <c r="K36399" s="18"/>
    </row>
    <row r="36400">
      <c r="B36400" s="17" t="s">
        <v>477</v>
      </c>
      <c r="K36400" s="18"/>
    </row>
    <row r="36401">
      <c r="B36401" s="17" t="s">
        <v>477</v>
      </c>
      <c r="K36401" s="18"/>
    </row>
    <row r="36402">
      <c r="B36402" s="17" t="s">
        <v>477</v>
      </c>
      <c r="K36402" s="18"/>
    </row>
    <row r="36403">
      <c r="B36403" s="17" t="s">
        <v>477</v>
      </c>
      <c r="K36403" s="18"/>
    </row>
    <row r="36404">
      <c r="B36404" s="17" t="s">
        <v>477</v>
      </c>
      <c r="K36404" s="18"/>
    </row>
    <row r="36405">
      <c r="B36405" s="17" t="s">
        <v>477</v>
      </c>
      <c r="K36405" s="18"/>
    </row>
    <row r="36406">
      <c r="B36406" s="17" t="s">
        <v>477</v>
      </c>
      <c r="K36406" s="18"/>
    </row>
    <row r="36407">
      <c r="B36407" s="17" t="s">
        <v>477</v>
      </c>
      <c r="K36407" s="18"/>
    </row>
    <row r="36408">
      <c r="B36408" s="17" t="s">
        <v>477</v>
      </c>
      <c r="K36408" s="18"/>
    </row>
    <row r="36409">
      <c r="B36409" s="17" t="s">
        <v>477</v>
      </c>
      <c r="K36409" s="18"/>
    </row>
    <row r="36410">
      <c r="B36410" s="17" t="s">
        <v>477</v>
      </c>
      <c r="K36410" s="18"/>
    </row>
    <row r="36411">
      <c r="B36411" s="17" t="s">
        <v>477</v>
      </c>
      <c r="K36411" s="18"/>
    </row>
    <row r="36412">
      <c r="B36412" s="17" t="s">
        <v>477</v>
      </c>
      <c r="K36412" s="18"/>
    </row>
    <row r="36413">
      <c r="B36413" s="17" t="s">
        <v>477</v>
      </c>
      <c r="K36413" s="18"/>
    </row>
    <row r="36414">
      <c r="B36414" s="17" t="s">
        <v>477</v>
      </c>
      <c r="K36414" s="18"/>
    </row>
    <row r="36415">
      <c r="B36415" s="17" t="s">
        <v>477</v>
      </c>
      <c r="K36415" s="18"/>
    </row>
    <row r="36416">
      <c r="B36416" s="17" t="s">
        <v>477</v>
      </c>
      <c r="K36416" s="18"/>
    </row>
    <row r="36417">
      <c r="B36417" s="17" t="s">
        <v>477</v>
      </c>
      <c r="K36417" s="18"/>
    </row>
    <row r="36418">
      <c r="B36418" s="17" t="s">
        <v>477</v>
      </c>
      <c r="K36418" s="18"/>
    </row>
    <row r="36419">
      <c r="B36419" s="17" t="s">
        <v>477</v>
      </c>
      <c r="K36419" s="18"/>
    </row>
    <row r="36420">
      <c r="B36420" s="17" t="s">
        <v>477</v>
      </c>
      <c r="K36420" s="18"/>
    </row>
    <row r="36421">
      <c r="B36421" s="17" t="s">
        <v>477</v>
      </c>
      <c r="K36421" s="18"/>
    </row>
    <row r="36422">
      <c r="B36422" s="17" t="s">
        <v>477</v>
      </c>
      <c r="K36422" s="18"/>
    </row>
    <row r="36423">
      <c r="B36423" s="17" t="s">
        <v>477</v>
      </c>
      <c r="K36423" s="18"/>
    </row>
    <row r="36424">
      <c r="B36424" s="17" t="s">
        <v>477</v>
      </c>
      <c r="K36424" s="18"/>
    </row>
    <row r="36425">
      <c r="B36425" s="17" t="s">
        <v>477</v>
      </c>
      <c r="K36425" s="18"/>
    </row>
    <row r="36426">
      <c r="B36426" s="17" t="s">
        <v>477</v>
      </c>
      <c r="K36426" s="18"/>
    </row>
    <row r="36427">
      <c r="B36427" s="17" t="s">
        <v>477</v>
      </c>
      <c r="K36427" s="18"/>
    </row>
    <row r="36428">
      <c r="B36428" s="17" t="s">
        <v>477</v>
      </c>
      <c r="K36428" s="18"/>
    </row>
    <row r="36429">
      <c r="B36429" s="17" t="s">
        <v>477</v>
      </c>
      <c r="K36429" s="18"/>
    </row>
    <row r="36430">
      <c r="B36430" s="17" t="s">
        <v>477</v>
      </c>
      <c r="K36430" s="18"/>
    </row>
    <row r="36431">
      <c r="B36431" s="17" t="s">
        <v>477</v>
      </c>
      <c r="K36431" s="18"/>
    </row>
    <row r="36432">
      <c r="B36432" s="17" t="s">
        <v>477</v>
      </c>
      <c r="K36432" s="18"/>
    </row>
    <row r="36433">
      <c r="B36433" s="17" t="s">
        <v>477</v>
      </c>
      <c r="K36433" s="18"/>
    </row>
    <row r="36434">
      <c r="B36434" s="17" t="s">
        <v>477</v>
      </c>
      <c r="K36434" s="18"/>
    </row>
    <row r="36435">
      <c r="B36435" s="17" t="s">
        <v>477</v>
      </c>
      <c r="K36435" s="18"/>
    </row>
    <row r="36436">
      <c r="B36436" s="17" t="s">
        <v>477</v>
      </c>
      <c r="K36436" s="18"/>
    </row>
    <row r="36437">
      <c r="B36437" s="17" t="s">
        <v>477</v>
      </c>
      <c r="K36437" s="18"/>
    </row>
    <row r="36438">
      <c r="B36438" s="17" t="s">
        <v>477</v>
      </c>
      <c r="K36438" s="18"/>
    </row>
    <row r="36439">
      <c r="B36439" s="17" t="s">
        <v>477</v>
      </c>
      <c r="K36439" s="18"/>
    </row>
    <row r="36440">
      <c r="B36440" s="17" t="s">
        <v>477</v>
      </c>
      <c r="K36440" s="18"/>
    </row>
    <row r="36441">
      <c r="B36441" s="17" t="s">
        <v>477</v>
      </c>
      <c r="K36441" s="18"/>
    </row>
    <row r="36442">
      <c r="B36442" s="17" t="s">
        <v>477</v>
      </c>
      <c r="K36442" s="18"/>
    </row>
    <row r="36443">
      <c r="B36443" s="17" t="s">
        <v>477</v>
      </c>
      <c r="K36443" s="18"/>
    </row>
    <row r="36444">
      <c r="B36444" s="17" t="s">
        <v>477</v>
      </c>
      <c r="K36444" s="18"/>
    </row>
    <row r="36445">
      <c r="B36445" s="17" t="s">
        <v>477</v>
      </c>
      <c r="K36445" s="18"/>
    </row>
    <row r="36446">
      <c r="B36446" s="17" t="s">
        <v>477</v>
      </c>
      <c r="K36446" s="18"/>
    </row>
    <row r="36447">
      <c r="B36447" s="17" t="s">
        <v>477</v>
      </c>
      <c r="K36447" s="18"/>
    </row>
    <row r="36448">
      <c r="B36448" s="17" t="s">
        <v>477</v>
      </c>
      <c r="K36448" s="18"/>
    </row>
    <row r="36449">
      <c r="B36449" s="17" t="s">
        <v>477</v>
      </c>
      <c r="K36449" s="18"/>
    </row>
    <row r="36450">
      <c r="B36450" s="17" t="s">
        <v>477</v>
      </c>
      <c r="K36450" s="18"/>
    </row>
    <row r="36451">
      <c r="B36451" s="17" t="s">
        <v>477</v>
      </c>
      <c r="K36451" s="18"/>
    </row>
    <row r="36452">
      <c r="B36452" s="17" t="s">
        <v>477</v>
      </c>
      <c r="K36452" s="18"/>
    </row>
    <row r="36453">
      <c r="B36453" s="17" t="s">
        <v>477</v>
      </c>
      <c r="K36453" s="18"/>
    </row>
    <row r="36454">
      <c r="B36454" s="17" t="s">
        <v>477</v>
      </c>
      <c r="K36454" s="18"/>
    </row>
    <row r="36455">
      <c r="B36455" s="17" t="s">
        <v>477</v>
      </c>
      <c r="K36455" s="18"/>
    </row>
    <row r="36456">
      <c r="B36456" s="17" t="s">
        <v>477</v>
      </c>
      <c r="K36456" s="18"/>
    </row>
    <row r="36457">
      <c r="B36457" s="17" t="s">
        <v>477</v>
      </c>
      <c r="K36457" s="18"/>
    </row>
    <row r="36458">
      <c r="B36458" s="17" t="s">
        <v>477</v>
      </c>
      <c r="K36458" s="18"/>
    </row>
    <row r="36459">
      <c r="B36459" s="17" t="s">
        <v>477</v>
      </c>
      <c r="K36459" s="18"/>
    </row>
    <row r="36460">
      <c r="B36460" s="17" t="s">
        <v>477</v>
      </c>
      <c r="K36460" s="18"/>
    </row>
    <row r="36461">
      <c r="B36461" s="17" t="s">
        <v>477</v>
      </c>
      <c r="K36461" s="18"/>
    </row>
    <row r="36462">
      <c r="B36462" s="17" t="s">
        <v>477</v>
      </c>
      <c r="K36462" s="18"/>
    </row>
    <row r="36463">
      <c r="B36463" s="17" t="s">
        <v>477</v>
      </c>
      <c r="K36463" s="18"/>
    </row>
    <row r="36464">
      <c r="B36464" s="17" t="s">
        <v>477</v>
      </c>
      <c r="K36464" s="18"/>
    </row>
    <row r="36465">
      <c r="B36465" s="17" t="s">
        <v>477</v>
      </c>
      <c r="K36465" s="18"/>
    </row>
    <row r="36466">
      <c r="B36466" s="17" t="s">
        <v>477</v>
      </c>
      <c r="K36466" s="18"/>
    </row>
    <row r="36467">
      <c r="B36467" s="17" t="s">
        <v>477</v>
      </c>
      <c r="K36467" s="18"/>
    </row>
    <row r="36468">
      <c r="B36468" s="17" t="s">
        <v>477</v>
      </c>
      <c r="K36468" s="18"/>
    </row>
    <row r="36469">
      <c r="B36469" s="17" t="s">
        <v>477</v>
      </c>
      <c r="K36469" s="18"/>
    </row>
    <row r="36470">
      <c r="B36470" s="17" t="s">
        <v>477</v>
      </c>
      <c r="K36470" s="18"/>
    </row>
    <row r="36471">
      <c r="B36471" s="17" t="s">
        <v>477</v>
      </c>
      <c r="K36471" s="18"/>
    </row>
    <row r="36472">
      <c r="B36472" s="17" t="s">
        <v>477</v>
      </c>
      <c r="K36472" s="18"/>
    </row>
    <row r="36473">
      <c r="B36473" s="17" t="s">
        <v>477</v>
      </c>
      <c r="K36473" s="18"/>
    </row>
    <row r="36474">
      <c r="B36474" s="17" t="s">
        <v>477</v>
      </c>
      <c r="K36474" s="18"/>
    </row>
    <row r="36475">
      <c r="B36475" s="17" t="s">
        <v>477</v>
      </c>
      <c r="K36475" s="18"/>
    </row>
    <row r="36476">
      <c r="B36476" s="17" t="s">
        <v>477</v>
      </c>
      <c r="K36476" s="18"/>
    </row>
    <row r="36477">
      <c r="B36477" s="17" t="s">
        <v>477</v>
      </c>
      <c r="K36477" s="18"/>
    </row>
    <row r="36478">
      <c r="B36478" s="17" t="s">
        <v>477</v>
      </c>
      <c r="K36478" s="18"/>
    </row>
    <row r="36479">
      <c r="B36479" s="17" t="s">
        <v>477</v>
      </c>
      <c r="K36479" s="18"/>
    </row>
    <row r="36480">
      <c r="B36480" s="17" t="s">
        <v>477</v>
      </c>
      <c r="K36480" s="18"/>
    </row>
    <row r="36481">
      <c r="B36481" s="17" t="s">
        <v>477</v>
      </c>
      <c r="K36481" s="18"/>
    </row>
    <row r="36482">
      <c r="B36482" s="17" t="s">
        <v>477</v>
      </c>
      <c r="K36482" s="18"/>
    </row>
    <row r="36483">
      <c r="B36483" s="17" t="s">
        <v>477</v>
      </c>
      <c r="K36483" s="18"/>
    </row>
    <row r="36484">
      <c r="B36484" s="17" t="s">
        <v>477</v>
      </c>
      <c r="K36484" s="18"/>
    </row>
    <row r="36485">
      <c r="B36485" s="17" t="s">
        <v>477</v>
      </c>
      <c r="K36485" s="18"/>
    </row>
    <row r="36486">
      <c r="B36486" s="17" t="s">
        <v>477</v>
      </c>
      <c r="K36486" s="18"/>
    </row>
    <row r="36487">
      <c r="B36487" s="17" t="s">
        <v>477</v>
      </c>
      <c r="K36487" s="18"/>
    </row>
    <row r="36488">
      <c r="B36488" s="17" t="s">
        <v>477</v>
      </c>
      <c r="K36488" s="18"/>
    </row>
    <row r="36489">
      <c r="B36489" s="17" t="s">
        <v>477</v>
      </c>
      <c r="K36489" s="18"/>
    </row>
    <row r="36490">
      <c r="B36490" s="17" t="s">
        <v>477</v>
      </c>
      <c r="K36490" s="18"/>
    </row>
    <row r="36491">
      <c r="B36491" s="17" t="s">
        <v>477</v>
      </c>
      <c r="K36491" s="18"/>
    </row>
    <row r="36492">
      <c r="B36492" s="17" t="s">
        <v>477</v>
      </c>
      <c r="K36492" s="18"/>
    </row>
    <row r="36493">
      <c r="B36493" s="17" t="s">
        <v>477</v>
      </c>
      <c r="K36493" s="18"/>
    </row>
    <row r="36494">
      <c r="B36494" s="17" t="s">
        <v>477</v>
      </c>
      <c r="K36494" s="18"/>
    </row>
    <row r="36495">
      <c r="B36495" s="17" t="s">
        <v>477</v>
      </c>
      <c r="K36495" s="18"/>
    </row>
    <row r="36496">
      <c r="B36496" s="17" t="s">
        <v>477</v>
      </c>
      <c r="K36496" s="18"/>
    </row>
    <row r="36497">
      <c r="B36497" s="17" t="s">
        <v>477</v>
      </c>
      <c r="K36497" s="18"/>
    </row>
    <row r="36498">
      <c r="B36498" s="17" t="s">
        <v>477</v>
      </c>
      <c r="K36498" s="18"/>
    </row>
    <row r="36499">
      <c r="B36499" s="17" t="s">
        <v>477</v>
      </c>
      <c r="K36499" s="18"/>
    </row>
    <row r="36500">
      <c r="B36500" s="17" t="s">
        <v>477</v>
      </c>
      <c r="K36500" s="18"/>
    </row>
    <row r="36501">
      <c r="B36501" s="17" t="s">
        <v>477</v>
      </c>
      <c r="K36501" s="18"/>
    </row>
    <row r="36502">
      <c r="B36502" s="17" t="s">
        <v>477</v>
      </c>
      <c r="K36502" s="18"/>
    </row>
    <row r="36503">
      <c r="B36503" s="17" t="s">
        <v>477</v>
      </c>
      <c r="K36503" s="18"/>
    </row>
    <row r="36504">
      <c r="B36504" s="17" t="s">
        <v>477</v>
      </c>
      <c r="K36504" s="18"/>
    </row>
    <row r="36505">
      <c r="B36505" s="17" t="s">
        <v>477</v>
      </c>
      <c r="K36505" s="18"/>
    </row>
    <row r="36506">
      <c r="B36506" s="17" t="s">
        <v>477</v>
      </c>
      <c r="K36506" s="18"/>
    </row>
    <row r="36507">
      <c r="B36507" s="17" t="s">
        <v>477</v>
      </c>
      <c r="K36507" s="18"/>
    </row>
    <row r="36508">
      <c r="B36508" s="17" t="s">
        <v>477</v>
      </c>
      <c r="K36508" s="18"/>
    </row>
    <row r="36509">
      <c r="B36509" s="17" t="s">
        <v>477</v>
      </c>
      <c r="K36509" s="18"/>
    </row>
    <row r="36510">
      <c r="B36510" s="17" t="s">
        <v>477</v>
      </c>
      <c r="K36510" s="18"/>
    </row>
    <row r="36511">
      <c r="B36511" s="17" t="s">
        <v>477</v>
      </c>
      <c r="K36511" s="18"/>
    </row>
    <row r="36512">
      <c r="B36512" s="17" t="s">
        <v>477</v>
      </c>
      <c r="K36512" s="18"/>
    </row>
    <row r="36513">
      <c r="B36513" s="17" t="s">
        <v>477</v>
      </c>
      <c r="K36513" s="18"/>
    </row>
    <row r="36514">
      <c r="B36514" s="17" t="s">
        <v>477</v>
      </c>
      <c r="K36514" s="18"/>
    </row>
    <row r="36515">
      <c r="B36515" s="17" t="s">
        <v>477</v>
      </c>
      <c r="K36515" s="18"/>
    </row>
    <row r="36516">
      <c r="B36516" s="17" t="s">
        <v>477</v>
      </c>
      <c r="K36516" s="18"/>
    </row>
    <row r="36517">
      <c r="B36517" s="17" t="s">
        <v>477</v>
      </c>
      <c r="K36517" s="18"/>
    </row>
    <row r="36518">
      <c r="B36518" s="17" t="s">
        <v>477</v>
      </c>
      <c r="K36518" s="18"/>
    </row>
    <row r="36519">
      <c r="B36519" s="17" t="s">
        <v>477</v>
      </c>
      <c r="K36519" s="18"/>
    </row>
    <row r="36520">
      <c r="B36520" s="17" t="s">
        <v>477</v>
      </c>
      <c r="K36520" s="18"/>
    </row>
    <row r="36521">
      <c r="B36521" s="17" t="s">
        <v>477</v>
      </c>
      <c r="K36521" s="18"/>
    </row>
    <row r="36522">
      <c r="B36522" s="17" t="s">
        <v>477</v>
      </c>
      <c r="K36522" s="18"/>
    </row>
    <row r="36523">
      <c r="B36523" s="17" t="s">
        <v>477</v>
      </c>
      <c r="K36523" s="18"/>
    </row>
    <row r="36524">
      <c r="B36524" s="17" t="s">
        <v>477</v>
      </c>
      <c r="K36524" s="18"/>
    </row>
    <row r="36525">
      <c r="B36525" s="17" t="s">
        <v>477</v>
      </c>
      <c r="K36525" s="18"/>
    </row>
    <row r="36526">
      <c r="B36526" s="17" t="s">
        <v>477</v>
      </c>
      <c r="K36526" s="18"/>
    </row>
    <row r="36527">
      <c r="B36527" s="17" t="s">
        <v>477</v>
      </c>
      <c r="K36527" s="18"/>
    </row>
    <row r="36528">
      <c r="B36528" s="17" t="s">
        <v>477</v>
      </c>
      <c r="K36528" s="18"/>
    </row>
    <row r="36529">
      <c r="B36529" s="17" t="s">
        <v>477</v>
      </c>
      <c r="K36529" s="18"/>
    </row>
    <row r="36530">
      <c r="B36530" s="17" t="s">
        <v>477</v>
      </c>
      <c r="K36530" s="18"/>
    </row>
    <row r="36531">
      <c r="B36531" s="17" t="s">
        <v>477</v>
      </c>
      <c r="K36531" s="18"/>
    </row>
    <row r="36532">
      <c r="B36532" s="17" t="s">
        <v>477</v>
      </c>
      <c r="K36532" s="18"/>
    </row>
    <row r="36533">
      <c r="B36533" s="17" t="s">
        <v>477</v>
      </c>
      <c r="K36533" s="18"/>
    </row>
    <row r="36534">
      <c r="B36534" s="17" t="s">
        <v>477</v>
      </c>
      <c r="K36534" s="18"/>
    </row>
    <row r="36535">
      <c r="B36535" s="17" t="s">
        <v>477</v>
      </c>
      <c r="K36535" s="18"/>
    </row>
    <row r="36536">
      <c r="B36536" s="17" t="s">
        <v>477</v>
      </c>
      <c r="K36536" s="18"/>
    </row>
    <row r="36537">
      <c r="B36537" s="17" t="s">
        <v>477</v>
      </c>
      <c r="K36537" s="18"/>
    </row>
    <row r="36538">
      <c r="B36538" s="17" t="s">
        <v>477</v>
      </c>
      <c r="K36538" s="18"/>
    </row>
    <row r="36539">
      <c r="B36539" s="17" t="s">
        <v>477</v>
      </c>
      <c r="K36539" s="18"/>
    </row>
    <row r="36540">
      <c r="B36540" s="17" t="s">
        <v>477</v>
      </c>
      <c r="K36540" s="18"/>
    </row>
    <row r="36541">
      <c r="B36541" s="17" t="s">
        <v>477</v>
      </c>
      <c r="K36541" s="18"/>
    </row>
    <row r="36542">
      <c r="B36542" s="17" t="s">
        <v>477</v>
      </c>
      <c r="K36542" s="18"/>
    </row>
    <row r="36543">
      <c r="B36543" s="17" t="s">
        <v>477</v>
      </c>
      <c r="K36543" s="18"/>
    </row>
    <row r="36544">
      <c r="B36544" s="17" t="s">
        <v>477</v>
      </c>
      <c r="K36544" s="18"/>
    </row>
    <row r="36545">
      <c r="B36545" s="17" t="s">
        <v>477</v>
      </c>
      <c r="K36545" s="18"/>
    </row>
    <row r="36546">
      <c r="B36546" s="17" t="s">
        <v>477</v>
      </c>
      <c r="K36546" s="18"/>
    </row>
    <row r="36547">
      <c r="B36547" s="17" t="s">
        <v>477</v>
      </c>
      <c r="K36547" s="18"/>
    </row>
    <row r="36548">
      <c r="B36548" s="17" t="s">
        <v>477</v>
      </c>
      <c r="K36548" s="18"/>
    </row>
    <row r="36549">
      <c r="B36549" s="17" t="s">
        <v>477</v>
      </c>
      <c r="K36549" s="18"/>
    </row>
    <row r="36550">
      <c r="B36550" s="17" t="s">
        <v>477</v>
      </c>
      <c r="K36550" s="18"/>
    </row>
    <row r="36551">
      <c r="B36551" s="17" t="s">
        <v>477</v>
      </c>
      <c r="K36551" s="18"/>
    </row>
    <row r="36552">
      <c r="B36552" s="17" t="s">
        <v>477</v>
      </c>
      <c r="K36552" s="18"/>
    </row>
    <row r="36553">
      <c r="B36553" s="17" t="s">
        <v>477</v>
      </c>
      <c r="K36553" s="18"/>
    </row>
    <row r="36554">
      <c r="B36554" s="17" t="s">
        <v>477</v>
      </c>
      <c r="K36554" s="18"/>
    </row>
    <row r="36555">
      <c r="B36555" s="17" t="s">
        <v>477</v>
      </c>
      <c r="K36555" s="18"/>
    </row>
    <row r="36556">
      <c r="B36556" s="17" t="s">
        <v>477</v>
      </c>
      <c r="K36556" s="18"/>
    </row>
    <row r="36557">
      <c r="B36557" s="17" t="s">
        <v>477</v>
      </c>
      <c r="K36557" s="18"/>
    </row>
    <row r="36558">
      <c r="B36558" s="17" t="s">
        <v>477</v>
      </c>
      <c r="K36558" s="18"/>
    </row>
    <row r="36559">
      <c r="B36559" s="17" t="s">
        <v>477</v>
      </c>
      <c r="K36559" s="18"/>
    </row>
    <row r="36560">
      <c r="B36560" s="17" t="s">
        <v>477</v>
      </c>
      <c r="K36560" s="18"/>
    </row>
    <row r="36561">
      <c r="B36561" s="17" t="s">
        <v>477</v>
      </c>
      <c r="K36561" s="18"/>
    </row>
    <row r="36562">
      <c r="B36562" s="17" t="s">
        <v>477</v>
      </c>
      <c r="K36562" s="18"/>
    </row>
    <row r="36563">
      <c r="B36563" s="17" t="s">
        <v>477</v>
      </c>
      <c r="K36563" s="18"/>
    </row>
    <row r="36564">
      <c r="B36564" s="17" t="s">
        <v>477</v>
      </c>
      <c r="K36564" s="18"/>
    </row>
    <row r="36565">
      <c r="B36565" s="17" t="s">
        <v>477</v>
      </c>
      <c r="K36565" s="18"/>
    </row>
    <row r="36566">
      <c r="B36566" s="17" t="s">
        <v>477</v>
      </c>
      <c r="K36566" s="18"/>
    </row>
    <row r="36567">
      <c r="B36567" s="17" t="s">
        <v>477</v>
      </c>
      <c r="K36567" s="18"/>
    </row>
    <row r="36568">
      <c r="B36568" s="17" t="s">
        <v>477</v>
      </c>
      <c r="K36568" s="18"/>
    </row>
    <row r="36569">
      <c r="B36569" s="17" t="s">
        <v>477</v>
      </c>
      <c r="K36569" s="18"/>
    </row>
    <row r="36570">
      <c r="B36570" s="17" t="s">
        <v>477</v>
      </c>
      <c r="K36570" s="18"/>
    </row>
    <row r="36571">
      <c r="B36571" s="17" t="s">
        <v>477</v>
      </c>
      <c r="K36571" s="18"/>
    </row>
    <row r="36572">
      <c r="B36572" s="17" t="s">
        <v>477</v>
      </c>
      <c r="K36572" s="18"/>
    </row>
    <row r="36573">
      <c r="B36573" s="17" t="s">
        <v>477</v>
      </c>
      <c r="K36573" s="18"/>
    </row>
    <row r="36574">
      <c r="B36574" s="17" t="s">
        <v>477</v>
      </c>
      <c r="K36574" s="18"/>
    </row>
    <row r="36575">
      <c r="B36575" s="17" t="s">
        <v>477</v>
      </c>
      <c r="K36575" s="18"/>
    </row>
    <row r="36576">
      <c r="B36576" s="17" t="s">
        <v>477</v>
      </c>
      <c r="K36576" s="18"/>
    </row>
    <row r="36577">
      <c r="B36577" s="17" t="s">
        <v>477</v>
      </c>
      <c r="K36577" s="18"/>
    </row>
    <row r="36578">
      <c r="B36578" s="17" t="s">
        <v>477</v>
      </c>
      <c r="K36578" s="18"/>
    </row>
    <row r="36579">
      <c r="B36579" s="17" t="s">
        <v>477</v>
      </c>
      <c r="K36579" s="18"/>
    </row>
    <row r="36580">
      <c r="B36580" s="17" t="s">
        <v>477</v>
      </c>
      <c r="K36580" s="18"/>
    </row>
    <row r="36581">
      <c r="B36581" s="17" t="s">
        <v>477</v>
      </c>
      <c r="K36581" s="18"/>
    </row>
    <row r="36582">
      <c r="B36582" s="17" t="s">
        <v>477</v>
      </c>
      <c r="K36582" s="18"/>
    </row>
    <row r="36583">
      <c r="B36583" s="17" t="s">
        <v>477</v>
      </c>
      <c r="K36583" s="18"/>
    </row>
    <row r="36584">
      <c r="B36584" s="17" t="s">
        <v>477</v>
      </c>
      <c r="K36584" s="18"/>
    </row>
    <row r="36585">
      <c r="B36585" s="17" t="s">
        <v>477</v>
      </c>
      <c r="K36585" s="18"/>
    </row>
    <row r="36586">
      <c r="B36586" s="17" t="s">
        <v>477</v>
      </c>
      <c r="K36586" s="18"/>
    </row>
    <row r="36587">
      <c r="B36587" s="17" t="s">
        <v>477</v>
      </c>
      <c r="K36587" s="18"/>
    </row>
    <row r="36588">
      <c r="B36588" s="17" t="s">
        <v>477</v>
      </c>
      <c r="K36588" s="18"/>
    </row>
    <row r="36589">
      <c r="B36589" s="17" t="s">
        <v>477</v>
      </c>
      <c r="K36589" s="18"/>
    </row>
    <row r="36590">
      <c r="B36590" s="17" t="s">
        <v>477</v>
      </c>
      <c r="K36590" s="18"/>
    </row>
    <row r="36591">
      <c r="B36591" s="17" t="s">
        <v>477</v>
      </c>
      <c r="K36591" s="18"/>
    </row>
    <row r="36592">
      <c r="B36592" s="17" t="s">
        <v>477</v>
      </c>
      <c r="K36592" s="18"/>
    </row>
    <row r="36593">
      <c r="B36593" s="17" t="s">
        <v>477</v>
      </c>
      <c r="K36593" s="18"/>
    </row>
    <row r="36594">
      <c r="B36594" s="17" t="s">
        <v>477</v>
      </c>
      <c r="K36594" s="18"/>
    </row>
    <row r="36595">
      <c r="B36595" s="17" t="s">
        <v>477</v>
      </c>
      <c r="K36595" s="18"/>
    </row>
    <row r="36596">
      <c r="B36596" s="17" t="s">
        <v>477</v>
      </c>
      <c r="K36596" s="18"/>
    </row>
    <row r="36597">
      <c r="B36597" s="17" t="s">
        <v>477</v>
      </c>
      <c r="K36597" s="18"/>
    </row>
    <row r="36598">
      <c r="B36598" s="17" t="s">
        <v>477</v>
      </c>
      <c r="K36598" s="18"/>
    </row>
    <row r="36599">
      <c r="B36599" s="17" t="s">
        <v>477</v>
      </c>
      <c r="K36599" s="18"/>
    </row>
    <row r="36600">
      <c r="B36600" s="17" t="s">
        <v>477</v>
      </c>
      <c r="K36600" s="18"/>
    </row>
    <row r="36601">
      <c r="B36601" s="17" t="s">
        <v>477</v>
      </c>
      <c r="K36601" s="18"/>
    </row>
    <row r="36602">
      <c r="B36602" s="17" t="s">
        <v>477</v>
      </c>
      <c r="K36602" s="18"/>
    </row>
    <row r="36603">
      <c r="B36603" s="17" t="s">
        <v>477</v>
      </c>
      <c r="K36603" s="18"/>
    </row>
    <row r="36604">
      <c r="B36604" s="17" t="s">
        <v>477</v>
      </c>
      <c r="K36604" s="18"/>
    </row>
    <row r="36605">
      <c r="B36605" s="17" t="s">
        <v>477</v>
      </c>
      <c r="K36605" s="18"/>
    </row>
    <row r="36606">
      <c r="B36606" s="17" t="s">
        <v>477</v>
      </c>
      <c r="K36606" s="18"/>
    </row>
    <row r="36607">
      <c r="B36607" s="17" t="s">
        <v>477</v>
      </c>
      <c r="K36607" s="18"/>
    </row>
    <row r="36608">
      <c r="B36608" s="17" t="s">
        <v>477</v>
      </c>
      <c r="K36608" s="18"/>
    </row>
    <row r="36609">
      <c r="B36609" s="17" t="s">
        <v>477</v>
      </c>
      <c r="K36609" s="18"/>
    </row>
    <row r="36610">
      <c r="B36610" s="17" t="s">
        <v>477</v>
      </c>
      <c r="K36610" s="18"/>
    </row>
    <row r="36611">
      <c r="B36611" s="17" t="s">
        <v>477</v>
      </c>
      <c r="K36611" s="18"/>
    </row>
    <row r="36612">
      <c r="B36612" s="17" t="s">
        <v>477</v>
      </c>
      <c r="K36612" s="18"/>
    </row>
    <row r="36613">
      <c r="B36613" s="17" t="s">
        <v>477</v>
      </c>
      <c r="K36613" s="18"/>
    </row>
    <row r="36614">
      <c r="B36614" s="17" t="s">
        <v>477</v>
      </c>
      <c r="K36614" s="18"/>
    </row>
    <row r="36615">
      <c r="B36615" s="17" t="s">
        <v>477</v>
      </c>
      <c r="K36615" s="18"/>
    </row>
    <row r="36616">
      <c r="B36616" s="17" t="s">
        <v>477</v>
      </c>
      <c r="K36616" s="18"/>
    </row>
    <row r="36617">
      <c r="B36617" s="17" t="s">
        <v>477</v>
      </c>
      <c r="K36617" s="18"/>
    </row>
    <row r="36618">
      <c r="B36618" s="17" t="s">
        <v>477</v>
      </c>
      <c r="K36618" s="18"/>
    </row>
    <row r="36619">
      <c r="B36619" s="17" t="s">
        <v>477</v>
      </c>
      <c r="K36619" s="18"/>
    </row>
    <row r="36620">
      <c r="B36620" s="17" t="s">
        <v>477</v>
      </c>
      <c r="K36620" s="18"/>
    </row>
    <row r="36621">
      <c r="B36621" s="17" t="s">
        <v>477</v>
      </c>
      <c r="K36621" s="18"/>
    </row>
    <row r="36622">
      <c r="B36622" s="17" t="s">
        <v>477</v>
      </c>
      <c r="K36622" s="18"/>
    </row>
    <row r="36623">
      <c r="B36623" s="17" t="s">
        <v>477</v>
      </c>
      <c r="K36623" s="18"/>
    </row>
    <row r="36624">
      <c r="B36624" s="17" t="s">
        <v>477</v>
      </c>
      <c r="K36624" s="18"/>
    </row>
    <row r="36625">
      <c r="B36625" s="17" t="s">
        <v>477</v>
      </c>
      <c r="K36625" s="18"/>
    </row>
    <row r="36626">
      <c r="B36626" s="17" t="s">
        <v>477</v>
      </c>
      <c r="K36626" s="18"/>
    </row>
    <row r="36627">
      <c r="B36627" s="17" t="s">
        <v>477</v>
      </c>
      <c r="K36627" s="18"/>
    </row>
    <row r="36628">
      <c r="B36628" s="17" t="s">
        <v>477</v>
      </c>
      <c r="K36628" s="18"/>
    </row>
    <row r="36629">
      <c r="B36629" s="17" t="s">
        <v>477</v>
      </c>
      <c r="K36629" s="18"/>
    </row>
    <row r="36630">
      <c r="B36630" s="17" t="s">
        <v>477</v>
      </c>
      <c r="K36630" s="18"/>
    </row>
    <row r="36631">
      <c r="B36631" s="17" t="s">
        <v>477</v>
      </c>
      <c r="K36631" s="18"/>
    </row>
    <row r="36632">
      <c r="B36632" s="17" t="s">
        <v>477</v>
      </c>
      <c r="K36632" s="18"/>
    </row>
    <row r="36633">
      <c r="B36633" s="17" t="s">
        <v>477</v>
      </c>
      <c r="K36633" s="18"/>
    </row>
    <row r="36634">
      <c r="B36634" s="17" t="s">
        <v>477</v>
      </c>
      <c r="K36634" s="18"/>
    </row>
    <row r="36635">
      <c r="B36635" s="17" t="s">
        <v>477</v>
      </c>
      <c r="K36635" s="18"/>
    </row>
    <row r="36636">
      <c r="B36636" s="17" t="s">
        <v>477</v>
      </c>
      <c r="K36636" s="18"/>
    </row>
    <row r="36637">
      <c r="B36637" s="17" t="s">
        <v>477</v>
      </c>
      <c r="K36637" s="18"/>
    </row>
    <row r="36638">
      <c r="B36638" s="17" t="s">
        <v>477</v>
      </c>
      <c r="K36638" s="18"/>
    </row>
    <row r="36639">
      <c r="B36639" s="17" t="s">
        <v>477</v>
      </c>
      <c r="K36639" s="18"/>
    </row>
    <row r="36640">
      <c r="B36640" s="17" t="s">
        <v>477</v>
      </c>
      <c r="K36640" s="18"/>
    </row>
    <row r="36641">
      <c r="B36641" s="17" t="s">
        <v>477</v>
      </c>
      <c r="K36641" s="18"/>
    </row>
    <row r="36642">
      <c r="B36642" s="17" t="s">
        <v>477</v>
      </c>
      <c r="K36642" s="18"/>
    </row>
    <row r="36643">
      <c r="B36643" s="17" t="s">
        <v>477</v>
      </c>
      <c r="K36643" s="18"/>
    </row>
    <row r="36644">
      <c r="B36644" s="17" t="s">
        <v>477</v>
      </c>
      <c r="K36644" s="18"/>
    </row>
    <row r="36645">
      <c r="B36645" s="17" t="s">
        <v>477</v>
      </c>
      <c r="K36645" s="18"/>
    </row>
    <row r="36646">
      <c r="B36646" s="17" t="s">
        <v>477</v>
      </c>
      <c r="K36646" s="18"/>
    </row>
    <row r="36647">
      <c r="B36647" s="17" t="s">
        <v>477</v>
      </c>
      <c r="K36647" s="18"/>
    </row>
    <row r="36648">
      <c r="B36648" s="17" t="s">
        <v>477</v>
      </c>
      <c r="K36648" s="18"/>
    </row>
    <row r="36649">
      <c r="B36649" s="17" t="s">
        <v>477</v>
      </c>
      <c r="K36649" s="18"/>
    </row>
    <row r="36650">
      <c r="B36650" s="17" t="s">
        <v>477</v>
      </c>
      <c r="K36650" s="18"/>
    </row>
    <row r="36651">
      <c r="B36651" s="17" t="s">
        <v>477</v>
      </c>
      <c r="K36651" s="18"/>
    </row>
    <row r="36652">
      <c r="B36652" s="17" t="s">
        <v>477</v>
      </c>
      <c r="K36652" s="18"/>
    </row>
    <row r="36653">
      <c r="B36653" s="17" t="s">
        <v>477</v>
      </c>
      <c r="K36653" s="18"/>
    </row>
    <row r="36654">
      <c r="B36654" s="17" t="s">
        <v>477</v>
      </c>
      <c r="K36654" s="18"/>
    </row>
    <row r="36655">
      <c r="B36655" s="17" t="s">
        <v>477</v>
      </c>
      <c r="K36655" s="18"/>
    </row>
    <row r="36656">
      <c r="B36656" s="17" t="s">
        <v>477</v>
      </c>
      <c r="K36656" s="18"/>
    </row>
    <row r="36657">
      <c r="B36657" s="17" t="s">
        <v>477</v>
      </c>
      <c r="K36657" s="18"/>
    </row>
    <row r="36658">
      <c r="B36658" s="17" t="s">
        <v>477</v>
      </c>
      <c r="K36658" s="18"/>
    </row>
    <row r="36659">
      <c r="B36659" s="17" t="s">
        <v>477</v>
      </c>
      <c r="K36659" s="18"/>
    </row>
    <row r="36660">
      <c r="B36660" s="17" t="s">
        <v>477</v>
      </c>
      <c r="K36660" s="18"/>
    </row>
    <row r="36661">
      <c r="B36661" s="17" t="s">
        <v>477</v>
      </c>
      <c r="K36661" s="18"/>
    </row>
    <row r="36662">
      <c r="B36662" s="17" t="s">
        <v>477</v>
      </c>
      <c r="K36662" s="18"/>
    </row>
    <row r="36663">
      <c r="B36663" s="17" t="s">
        <v>477</v>
      </c>
      <c r="K36663" s="18"/>
    </row>
    <row r="36664">
      <c r="B36664" s="17" t="s">
        <v>477</v>
      </c>
      <c r="K36664" s="18"/>
    </row>
    <row r="36665">
      <c r="B36665" s="17" t="s">
        <v>477</v>
      </c>
      <c r="K36665" s="18"/>
    </row>
    <row r="36666">
      <c r="B36666" s="17" t="s">
        <v>477</v>
      </c>
      <c r="K36666" s="18"/>
    </row>
    <row r="36667">
      <c r="B36667" s="17" t="s">
        <v>477</v>
      </c>
      <c r="K36667" s="18"/>
    </row>
    <row r="36668">
      <c r="B36668" s="17" t="s">
        <v>477</v>
      </c>
      <c r="K36668" s="18"/>
    </row>
    <row r="36669">
      <c r="B36669" s="17" t="s">
        <v>477</v>
      </c>
      <c r="K36669" s="18"/>
    </row>
    <row r="36670">
      <c r="B36670" s="17" t="s">
        <v>477</v>
      </c>
      <c r="K36670" s="18"/>
    </row>
    <row r="36671">
      <c r="B36671" s="17" t="s">
        <v>477</v>
      </c>
      <c r="K36671" s="18"/>
    </row>
    <row r="36672">
      <c r="B36672" s="17" t="s">
        <v>477</v>
      </c>
      <c r="K36672" s="18"/>
    </row>
    <row r="36673">
      <c r="B36673" s="17" t="s">
        <v>477</v>
      </c>
      <c r="K36673" s="18"/>
    </row>
    <row r="36674">
      <c r="B36674" s="17" t="s">
        <v>477</v>
      </c>
      <c r="K36674" s="18"/>
    </row>
    <row r="36675">
      <c r="B36675" s="17" t="s">
        <v>477</v>
      </c>
      <c r="K36675" s="18"/>
    </row>
    <row r="36676">
      <c r="B36676" s="17" t="s">
        <v>477</v>
      </c>
      <c r="K36676" s="18"/>
    </row>
    <row r="36677">
      <c r="B36677" s="17" t="s">
        <v>477</v>
      </c>
      <c r="K36677" s="18"/>
    </row>
    <row r="36678">
      <c r="B36678" s="17" t="s">
        <v>477</v>
      </c>
      <c r="K36678" s="18"/>
    </row>
    <row r="36679">
      <c r="B36679" s="17" t="s">
        <v>477</v>
      </c>
      <c r="K36679" s="18"/>
    </row>
    <row r="36680">
      <c r="B36680" s="17" t="s">
        <v>477</v>
      </c>
      <c r="K36680" s="18"/>
    </row>
    <row r="36681">
      <c r="B36681" s="17" t="s">
        <v>477</v>
      </c>
      <c r="K36681" s="18"/>
    </row>
    <row r="36682">
      <c r="B36682" s="17" t="s">
        <v>477</v>
      </c>
      <c r="K36682" s="18"/>
    </row>
    <row r="36683">
      <c r="B36683" s="17" t="s">
        <v>477</v>
      </c>
      <c r="K36683" s="18"/>
    </row>
    <row r="36684">
      <c r="B36684" s="17" t="s">
        <v>477</v>
      </c>
      <c r="K36684" s="18"/>
    </row>
    <row r="36685">
      <c r="B36685" s="17" t="s">
        <v>477</v>
      </c>
      <c r="K36685" s="18"/>
    </row>
    <row r="36686">
      <c r="B36686" s="17" t="s">
        <v>477</v>
      </c>
      <c r="K36686" s="18"/>
    </row>
    <row r="36687">
      <c r="B36687" s="17" t="s">
        <v>477</v>
      </c>
      <c r="K36687" s="18"/>
    </row>
    <row r="36688">
      <c r="B36688" s="17" t="s">
        <v>477</v>
      </c>
      <c r="K36688" s="18"/>
    </row>
    <row r="36689">
      <c r="B36689" s="17" t="s">
        <v>477</v>
      </c>
      <c r="K36689" s="18"/>
    </row>
    <row r="36690">
      <c r="B36690" s="17" t="s">
        <v>477</v>
      </c>
      <c r="K36690" s="18"/>
    </row>
    <row r="36691">
      <c r="B36691" s="17" t="s">
        <v>477</v>
      </c>
      <c r="K36691" s="18"/>
    </row>
    <row r="36692">
      <c r="B36692" s="17" t="s">
        <v>477</v>
      </c>
      <c r="K36692" s="18"/>
    </row>
    <row r="36693">
      <c r="B36693" s="17" t="s">
        <v>477</v>
      </c>
      <c r="K36693" s="18"/>
    </row>
    <row r="36694">
      <c r="B36694" s="17" t="s">
        <v>477</v>
      </c>
      <c r="K36694" s="18"/>
    </row>
    <row r="36695">
      <c r="B36695" s="17" t="s">
        <v>477</v>
      </c>
      <c r="K36695" s="18"/>
    </row>
    <row r="36696">
      <c r="B36696" s="17" t="s">
        <v>477</v>
      </c>
      <c r="K36696" s="18"/>
    </row>
    <row r="36697">
      <c r="B36697" s="17" t="s">
        <v>477</v>
      </c>
      <c r="K36697" s="18"/>
    </row>
    <row r="36698">
      <c r="B36698" s="17" t="s">
        <v>477</v>
      </c>
      <c r="K36698" s="18"/>
    </row>
    <row r="36699">
      <c r="B36699" s="17" t="s">
        <v>477</v>
      </c>
      <c r="K36699" s="18"/>
    </row>
    <row r="36700">
      <c r="B36700" s="17" t="s">
        <v>477</v>
      </c>
      <c r="K36700" s="18"/>
    </row>
    <row r="36701">
      <c r="B36701" s="17" t="s">
        <v>477</v>
      </c>
      <c r="K36701" s="18"/>
    </row>
    <row r="36702">
      <c r="B36702" s="17" t="s">
        <v>477</v>
      </c>
      <c r="K36702" s="18"/>
    </row>
    <row r="36703">
      <c r="B36703" s="17" t="s">
        <v>477</v>
      </c>
      <c r="K36703" s="18"/>
    </row>
    <row r="36704">
      <c r="B36704" s="17" t="s">
        <v>477</v>
      </c>
      <c r="K36704" s="18"/>
    </row>
    <row r="36705">
      <c r="B36705" s="17" t="s">
        <v>477</v>
      </c>
      <c r="K36705" s="18"/>
    </row>
    <row r="36706">
      <c r="B36706" s="17" t="s">
        <v>477</v>
      </c>
      <c r="K36706" s="18"/>
    </row>
    <row r="36707">
      <c r="B36707" s="17" t="s">
        <v>477</v>
      </c>
      <c r="K36707" s="18"/>
    </row>
    <row r="36708">
      <c r="B36708" s="17" t="s">
        <v>477</v>
      </c>
      <c r="K36708" s="18"/>
    </row>
    <row r="36709">
      <c r="B36709" s="17" t="s">
        <v>477</v>
      </c>
      <c r="K36709" s="18"/>
    </row>
    <row r="36710">
      <c r="B36710" s="17" t="s">
        <v>477</v>
      </c>
      <c r="K36710" s="18"/>
    </row>
    <row r="36711">
      <c r="B36711" s="17" t="s">
        <v>477</v>
      </c>
      <c r="K36711" s="18"/>
    </row>
    <row r="36712">
      <c r="B36712" s="17" t="s">
        <v>477</v>
      </c>
      <c r="K36712" s="18"/>
    </row>
    <row r="36713">
      <c r="B36713" s="17" t="s">
        <v>477</v>
      </c>
      <c r="K36713" s="18"/>
    </row>
    <row r="36714">
      <c r="B36714" s="17" t="s">
        <v>477</v>
      </c>
      <c r="K36714" s="18"/>
    </row>
    <row r="36715">
      <c r="B36715" s="17" t="s">
        <v>477</v>
      </c>
      <c r="K36715" s="18"/>
    </row>
    <row r="36716">
      <c r="B36716" s="17" t="s">
        <v>477</v>
      </c>
      <c r="K36716" s="18"/>
    </row>
    <row r="36717">
      <c r="B36717" s="17" t="s">
        <v>477</v>
      </c>
      <c r="K36717" s="18"/>
    </row>
    <row r="36718">
      <c r="B36718" s="17" t="s">
        <v>477</v>
      </c>
      <c r="K36718" s="18"/>
    </row>
    <row r="36719">
      <c r="B36719" s="17" t="s">
        <v>477</v>
      </c>
      <c r="K36719" s="18"/>
    </row>
    <row r="36720">
      <c r="B36720" s="17" t="s">
        <v>477</v>
      </c>
      <c r="K36720" s="18"/>
    </row>
    <row r="36721">
      <c r="B36721" s="17" t="s">
        <v>477</v>
      </c>
      <c r="K36721" s="18"/>
    </row>
    <row r="36722">
      <c r="B36722" s="17" t="s">
        <v>477</v>
      </c>
      <c r="K36722" s="18"/>
    </row>
    <row r="36723">
      <c r="B36723" s="17" t="s">
        <v>477</v>
      </c>
      <c r="K36723" s="18"/>
    </row>
    <row r="36724">
      <c r="B36724" s="17" t="s">
        <v>477</v>
      </c>
      <c r="K36724" s="18"/>
    </row>
    <row r="36725">
      <c r="B36725" s="17" t="s">
        <v>477</v>
      </c>
      <c r="K36725" s="18"/>
    </row>
    <row r="36726">
      <c r="B36726" s="17" t="s">
        <v>477</v>
      </c>
      <c r="K36726" s="18"/>
    </row>
    <row r="36727">
      <c r="B36727" s="17" t="s">
        <v>477</v>
      </c>
      <c r="K36727" s="18"/>
    </row>
    <row r="36728">
      <c r="B36728" s="17" t="s">
        <v>477</v>
      </c>
      <c r="K36728" s="18"/>
    </row>
    <row r="36729">
      <c r="B36729" s="17" t="s">
        <v>477</v>
      </c>
      <c r="K36729" s="18"/>
    </row>
    <row r="36730">
      <c r="B36730" s="17" t="s">
        <v>477</v>
      </c>
      <c r="K36730" s="18"/>
    </row>
    <row r="36731">
      <c r="B36731" s="17" t="s">
        <v>477</v>
      </c>
      <c r="K36731" s="18"/>
    </row>
    <row r="36732">
      <c r="B36732" s="17" t="s">
        <v>477</v>
      </c>
      <c r="K36732" s="18"/>
    </row>
    <row r="36733">
      <c r="B36733" s="17" t="s">
        <v>477</v>
      </c>
      <c r="K36733" s="18"/>
    </row>
    <row r="36734">
      <c r="B36734" s="17" t="s">
        <v>477</v>
      </c>
      <c r="K36734" s="18"/>
    </row>
    <row r="36735">
      <c r="B36735" s="17" t="s">
        <v>477</v>
      </c>
      <c r="K36735" s="18"/>
    </row>
    <row r="36736">
      <c r="B36736" s="17" t="s">
        <v>477</v>
      </c>
      <c r="K36736" s="18"/>
    </row>
    <row r="36737">
      <c r="B36737" s="17" t="s">
        <v>477</v>
      </c>
      <c r="K36737" s="18"/>
    </row>
    <row r="36738">
      <c r="B36738" s="17" t="s">
        <v>477</v>
      </c>
      <c r="K36738" s="18"/>
    </row>
    <row r="36739">
      <c r="B36739" s="17" t="s">
        <v>477</v>
      </c>
      <c r="K36739" s="18"/>
    </row>
    <row r="36740">
      <c r="B36740" s="17" t="s">
        <v>477</v>
      </c>
      <c r="K36740" s="18"/>
    </row>
    <row r="36741">
      <c r="B36741" s="17" t="s">
        <v>477</v>
      </c>
      <c r="K36741" s="18"/>
    </row>
    <row r="36742">
      <c r="B36742" s="17" t="s">
        <v>477</v>
      </c>
      <c r="K36742" s="18"/>
    </row>
    <row r="36743">
      <c r="B36743" s="17" t="s">
        <v>477</v>
      </c>
      <c r="K36743" s="18"/>
    </row>
    <row r="36744">
      <c r="B36744" s="17" t="s">
        <v>477</v>
      </c>
      <c r="K36744" s="18"/>
    </row>
    <row r="36745">
      <c r="B36745" s="17" t="s">
        <v>477</v>
      </c>
      <c r="K36745" s="18"/>
    </row>
    <row r="36746">
      <c r="B36746" s="17" t="s">
        <v>477</v>
      </c>
      <c r="K36746" s="18"/>
    </row>
    <row r="36747">
      <c r="B36747" s="17" t="s">
        <v>477</v>
      </c>
      <c r="K36747" s="18"/>
    </row>
    <row r="36748">
      <c r="B36748" s="17" t="s">
        <v>477</v>
      </c>
      <c r="K36748" s="18"/>
    </row>
    <row r="36749">
      <c r="B36749" s="17" t="s">
        <v>477</v>
      </c>
      <c r="K36749" s="18"/>
    </row>
    <row r="36750">
      <c r="B36750" s="17" t="s">
        <v>477</v>
      </c>
      <c r="K36750" s="18"/>
    </row>
    <row r="36751">
      <c r="B36751" s="17" t="s">
        <v>477</v>
      </c>
      <c r="K36751" s="18"/>
    </row>
    <row r="36752">
      <c r="B36752" s="17" t="s">
        <v>477</v>
      </c>
      <c r="K36752" s="18"/>
    </row>
    <row r="36753">
      <c r="B36753" s="17" t="s">
        <v>477</v>
      </c>
      <c r="K36753" s="18"/>
    </row>
    <row r="36754">
      <c r="B36754" s="17" t="s">
        <v>477</v>
      </c>
      <c r="K36754" s="18"/>
    </row>
    <row r="36755">
      <c r="B36755" s="17" t="s">
        <v>477</v>
      </c>
      <c r="K36755" s="18"/>
    </row>
    <row r="36756">
      <c r="B36756" s="17" t="s">
        <v>477</v>
      </c>
      <c r="K36756" s="18"/>
    </row>
    <row r="36757">
      <c r="B36757" s="17" t="s">
        <v>477</v>
      </c>
      <c r="K36757" s="18"/>
    </row>
    <row r="36758">
      <c r="B36758" s="17" t="s">
        <v>477</v>
      </c>
      <c r="K36758" s="18"/>
    </row>
    <row r="36759">
      <c r="B36759" s="17" t="s">
        <v>477</v>
      </c>
      <c r="K36759" s="18"/>
    </row>
    <row r="36760">
      <c r="B36760" s="17" t="s">
        <v>477</v>
      </c>
      <c r="K36760" s="18"/>
    </row>
    <row r="36761">
      <c r="B36761" s="17" t="s">
        <v>477</v>
      </c>
      <c r="K36761" s="18"/>
    </row>
    <row r="36762">
      <c r="B36762" s="17" t="s">
        <v>477</v>
      </c>
      <c r="K36762" s="18"/>
    </row>
    <row r="36763">
      <c r="B36763" s="17" t="s">
        <v>477</v>
      </c>
      <c r="K36763" s="18"/>
    </row>
    <row r="36764">
      <c r="B36764" s="17" t="s">
        <v>477</v>
      </c>
      <c r="K36764" s="18"/>
    </row>
    <row r="36765">
      <c r="B36765" s="17" t="s">
        <v>477</v>
      </c>
      <c r="K36765" s="18"/>
    </row>
    <row r="36766">
      <c r="B36766" s="17" t="s">
        <v>477</v>
      </c>
      <c r="K36766" s="18"/>
    </row>
    <row r="36767">
      <c r="B36767" s="17" t="s">
        <v>477</v>
      </c>
      <c r="K36767" s="18"/>
    </row>
    <row r="36768">
      <c r="B36768" s="17" t="s">
        <v>477</v>
      </c>
      <c r="K36768" s="18"/>
    </row>
    <row r="36769">
      <c r="B36769" s="17" t="s">
        <v>477</v>
      </c>
      <c r="K36769" s="18"/>
    </row>
    <row r="36770">
      <c r="B36770" s="17" t="s">
        <v>477</v>
      </c>
      <c r="K36770" s="18"/>
    </row>
    <row r="36771">
      <c r="B36771" s="17" t="s">
        <v>477</v>
      </c>
      <c r="K36771" s="18"/>
    </row>
    <row r="36772">
      <c r="B36772" s="17" t="s">
        <v>477</v>
      </c>
      <c r="K36772" s="18"/>
    </row>
    <row r="36773">
      <c r="B36773" s="17" t="s">
        <v>477</v>
      </c>
      <c r="K36773" s="18"/>
    </row>
    <row r="36774">
      <c r="B36774" s="17" t="s">
        <v>477</v>
      </c>
      <c r="K36774" s="18"/>
    </row>
    <row r="36775">
      <c r="B36775" s="17" t="s">
        <v>477</v>
      </c>
      <c r="K36775" s="18"/>
    </row>
    <row r="36776">
      <c r="B36776" s="17" t="s">
        <v>477</v>
      </c>
      <c r="K36776" s="18"/>
    </row>
    <row r="36777">
      <c r="B36777" s="17" t="s">
        <v>477</v>
      </c>
      <c r="K36777" s="18"/>
    </row>
    <row r="36778">
      <c r="B36778" s="17" t="s">
        <v>477</v>
      </c>
      <c r="K36778" s="18"/>
    </row>
    <row r="36779">
      <c r="B36779" s="17" t="s">
        <v>477</v>
      </c>
      <c r="K36779" s="18"/>
    </row>
    <row r="36780">
      <c r="B36780" s="17" t="s">
        <v>477</v>
      </c>
      <c r="K36780" s="18"/>
    </row>
    <row r="36781">
      <c r="B36781" s="17" t="s">
        <v>477</v>
      </c>
      <c r="K36781" s="18"/>
    </row>
    <row r="36782">
      <c r="B36782" s="17" t="s">
        <v>477</v>
      </c>
      <c r="K36782" s="18"/>
    </row>
    <row r="36783">
      <c r="B36783" s="17" t="s">
        <v>477</v>
      </c>
      <c r="K36783" s="18"/>
    </row>
    <row r="36784">
      <c r="B36784" s="17" t="s">
        <v>477</v>
      </c>
      <c r="K36784" s="18"/>
    </row>
    <row r="36785">
      <c r="B36785" s="17" t="s">
        <v>477</v>
      </c>
      <c r="K36785" s="18"/>
    </row>
    <row r="36786">
      <c r="B36786" s="17" t="s">
        <v>477</v>
      </c>
      <c r="K36786" s="18"/>
    </row>
    <row r="36787">
      <c r="B36787" s="17" t="s">
        <v>477</v>
      </c>
      <c r="K36787" s="18"/>
    </row>
    <row r="36788">
      <c r="B36788" s="17" t="s">
        <v>477</v>
      </c>
      <c r="K36788" s="18"/>
    </row>
    <row r="36789">
      <c r="B36789" s="17" t="s">
        <v>477</v>
      </c>
      <c r="K36789" s="18"/>
    </row>
    <row r="36790">
      <c r="B36790" s="17" t="s">
        <v>477</v>
      </c>
      <c r="K36790" s="18"/>
    </row>
    <row r="36791">
      <c r="B36791" s="17" t="s">
        <v>477</v>
      </c>
      <c r="K36791" s="18"/>
    </row>
    <row r="36792">
      <c r="B36792" s="17" t="s">
        <v>477</v>
      </c>
      <c r="K36792" s="18"/>
    </row>
    <row r="36793">
      <c r="B36793" s="17" t="s">
        <v>477</v>
      </c>
      <c r="K36793" s="18"/>
    </row>
    <row r="36794">
      <c r="B36794" s="17" t="s">
        <v>477</v>
      </c>
      <c r="K36794" s="18"/>
    </row>
    <row r="36795">
      <c r="B36795" s="17" t="s">
        <v>477</v>
      </c>
      <c r="K36795" s="18"/>
    </row>
    <row r="36796">
      <c r="B36796" s="17" t="s">
        <v>477</v>
      </c>
      <c r="K36796" s="18"/>
    </row>
    <row r="36797">
      <c r="B36797" s="17" t="s">
        <v>477</v>
      </c>
      <c r="K36797" s="18"/>
    </row>
    <row r="36798">
      <c r="B36798" s="17" t="s">
        <v>477</v>
      </c>
      <c r="K36798" s="18"/>
    </row>
    <row r="36799">
      <c r="B36799" s="17" t="s">
        <v>477</v>
      </c>
      <c r="K36799" s="18"/>
    </row>
    <row r="36800">
      <c r="B36800" s="17" t="s">
        <v>477</v>
      </c>
      <c r="K36800" s="18"/>
    </row>
    <row r="36801">
      <c r="B36801" s="17" t="s">
        <v>477</v>
      </c>
      <c r="K36801" s="18"/>
    </row>
    <row r="36802">
      <c r="B36802" s="17" t="s">
        <v>477</v>
      </c>
      <c r="K36802" s="18"/>
    </row>
    <row r="36803">
      <c r="B36803" s="17" t="s">
        <v>477</v>
      </c>
      <c r="K36803" s="18"/>
    </row>
    <row r="36804">
      <c r="B36804" s="17" t="s">
        <v>477</v>
      </c>
      <c r="K36804" s="18"/>
    </row>
    <row r="36805">
      <c r="B36805" s="17" t="s">
        <v>477</v>
      </c>
      <c r="K36805" s="18"/>
    </row>
    <row r="36806">
      <c r="B36806" s="17" t="s">
        <v>477</v>
      </c>
      <c r="K36806" s="18"/>
    </row>
    <row r="36807">
      <c r="B36807" s="17" t="s">
        <v>477</v>
      </c>
      <c r="K36807" s="18"/>
    </row>
    <row r="36808">
      <c r="B36808" s="17" t="s">
        <v>477</v>
      </c>
      <c r="K36808" s="18"/>
    </row>
    <row r="36809">
      <c r="B36809" s="17" t="s">
        <v>477</v>
      </c>
      <c r="K36809" s="18"/>
    </row>
    <row r="36810">
      <c r="B36810" s="17" t="s">
        <v>477</v>
      </c>
      <c r="K36810" s="18"/>
    </row>
    <row r="36811">
      <c r="B36811" s="17" t="s">
        <v>477</v>
      </c>
      <c r="K36811" s="18"/>
    </row>
    <row r="36812">
      <c r="B36812" s="17" t="s">
        <v>477</v>
      </c>
      <c r="K36812" s="18"/>
    </row>
    <row r="36813">
      <c r="B36813" s="17" t="s">
        <v>477</v>
      </c>
      <c r="K36813" s="18"/>
    </row>
    <row r="36814">
      <c r="B36814" s="17" t="s">
        <v>477</v>
      </c>
      <c r="K36814" s="18"/>
    </row>
    <row r="36815">
      <c r="B36815" s="17" t="s">
        <v>477</v>
      </c>
      <c r="K36815" s="18"/>
    </row>
    <row r="36816">
      <c r="B36816" s="17" t="s">
        <v>477</v>
      </c>
      <c r="K36816" s="18"/>
    </row>
    <row r="36817">
      <c r="B36817" s="17" t="s">
        <v>477</v>
      </c>
      <c r="K36817" s="18"/>
    </row>
    <row r="36818">
      <c r="B36818" s="17" t="s">
        <v>477</v>
      </c>
      <c r="K36818" s="18"/>
    </row>
    <row r="36819">
      <c r="B36819" s="17" t="s">
        <v>477</v>
      </c>
      <c r="K36819" s="18"/>
    </row>
    <row r="36820">
      <c r="B36820" s="17" t="s">
        <v>477</v>
      </c>
      <c r="K36820" s="18"/>
    </row>
    <row r="36821">
      <c r="B36821" s="17" t="s">
        <v>477</v>
      </c>
      <c r="K36821" s="18"/>
    </row>
    <row r="36822">
      <c r="B36822" s="17" t="s">
        <v>477</v>
      </c>
      <c r="K36822" s="18"/>
    </row>
    <row r="36823">
      <c r="B36823" s="17" t="s">
        <v>477</v>
      </c>
      <c r="K36823" s="18"/>
    </row>
    <row r="36824">
      <c r="B36824" s="17" t="s">
        <v>477</v>
      </c>
      <c r="K36824" s="18"/>
    </row>
    <row r="36825">
      <c r="B36825" s="17" t="s">
        <v>477</v>
      </c>
      <c r="K36825" s="18"/>
    </row>
    <row r="36826">
      <c r="B36826" s="17" t="s">
        <v>477</v>
      </c>
      <c r="K36826" s="18"/>
    </row>
    <row r="36827">
      <c r="B36827" s="17" t="s">
        <v>477</v>
      </c>
      <c r="K36827" s="18"/>
    </row>
    <row r="36828">
      <c r="B36828" s="17" t="s">
        <v>477</v>
      </c>
      <c r="K36828" s="18"/>
    </row>
    <row r="36829">
      <c r="B36829" s="17" t="s">
        <v>477</v>
      </c>
      <c r="K36829" s="18"/>
    </row>
    <row r="36830">
      <c r="B36830" s="17" t="s">
        <v>477</v>
      </c>
      <c r="K36830" s="18"/>
    </row>
    <row r="36831">
      <c r="B36831" s="17" t="s">
        <v>477</v>
      </c>
      <c r="K36831" s="18"/>
    </row>
    <row r="36832">
      <c r="B36832" s="17" t="s">
        <v>477</v>
      </c>
      <c r="K36832" s="18"/>
    </row>
    <row r="36833">
      <c r="B36833" s="17" t="s">
        <v>477</v>
      </c>
      <c r="K36833" s="18"/>
    </row>
    <row r="36834">
      <c r="B36834" s="17" t="s">
        <v>477</v>
      </c>
      <c r="K36834" s="18"/>
    </row>
    <row r="36835">
      <c r="B36835" s="17" t="s">
        <v>477</v>
      </c>
      <c r="K36835" s="18"/>
    </row>
    <row r="36836">
      <c r="B36836" s="17" t="s">
        <v>477</v>
      </c>
      <c r="K36836" s="18"/>
    </row>
    <row r="36837">
      <c r="B36837" s="17" t="s">
        <v>477</v>
      </c>
      <c r="K36837" s="18"/>
    </row>
    <row r="36838">
      <c r="B36838" s="17" t="s">
        <v>477</v>
      </c>
      <c r="K36838" s="18"/>
    </row>
    <row r="36839">
      <c r="B36839" s="17" t="s">
        <v>477</v>
      </c>
      <c r="K36839" s="18"/>
    </row>
    <row r="36840">
      <c r="B36840" s="17" t="s">
        <v>477</v>
      </c>
      <c r="K36840" s="18"/>
    </row>
    <row r="36841">
      <c r="B36841" s="17" t="s">
        <v>477</v>
      </c>
      <c r="K36841" s="18"/>
    </row>
    <row r="36842">
      <c r="B36842" s="17" t="s">
        <v>477</v>
      </c>
      <c r="K36842" s="18"/>
    </row>
    <row r="36843">
      <c r="B36843" s="17" t="s">
        <v>477</v>
      </c>
      <c r="K36843" s="18"/>
    </row>
    <row r="36844">
      <c r="B36844" s="17" t="s">
        <v>477</v>
      </c>
      <c r="K36844" s="18"/>
    </row>
    <row r="36845">
      <c r="B36845" s="17" t="s">
        <v>477</v>
      </c>
      <c r="K36845" s="18"/>
    </row>
    <row r="36846">
      <c r="B36846" s="17" t="s">
        <v>477</v>
      </c>
      <c r="K36846" s="18"/>
    </row>
    <row r="36847">
      <c r="B36847" s="17" t="s">
        <v>477</v>
      </c>
      <c r="K36847" s="18"/>
    </row>
    <row r="36848">
      <c r="B36848" s="17" t="s">
        <v>477</v>
      </c>
      <c r="K36848" s="18"/>
    </row>
    <row r="36849">
      <c r="B36849" s="17" t="s">
        <v>477</v>
      </c>
      <c r="K36849" s="18"/>
    </row>
    <row r="36850">
      <c r="B36850" s="17" t="s">
        <v>477</v>
      </c>
      <c r="K36850" s="18"/>
    </row>
    <row r="36851">
      <c r="B36851" s="17" t="s">
        <v>477</v>
      </c>
      <c r="K36851" s="18"/>
    </row>
    <row r="36852">
      <c r="B36852" s="17" t="s">
        <v>477</v>
      </c>
      <c r="K36852" s="18"/>
    </row>
    <row r="36853">
      <c r="B36853" s="17" t="s">
        <v>477</v>
      </c>
      <c r="K36853" s="18"/>
    </row>
    <row r="36854">
      <c r="B36854" s="17" t="s">
        <v>477</v>
      </c>
      <c r="K36854" s="18"/>
    </row>
    <row r="36855">
      <c r="B36855" s="17" t="s">
        <v>477</v>
      </c>
      <c r="K36855" s="18"/>
    </row>
    <row r="36856">
      <c r="B36856" s="17" t="s">
        <v>477</v>
      </c>
      <c r="K36856" s="18"/>
    </row>
    <row r="36857">
      <c r="B36857" s="17" t="s">
        <v>477</v>
      </c>
      <c r="K36857" s="18"/>
    </row>
    <row r="36858">
      <c r="B36858" s="17" t="s">
        <v>477</v>
      </c>
      <c r="K36858" s="18"/>
    </row>
    <row r="36859">
      <c r="B36859" s="17" t="s">
        <v>477</v>
      </c>
      <c r="K36859" s="18"/>
    </row>
    <row r="36860">
      <c r="B36860" s="17" t="s">
        <v>477</v>
      </c>
      <c r="K36860" s="18"/>
    </row>
    <row r="36861">
      <c r="B36861" s="17" t="s">
        <v>477</v>
      </c>
      <c r="K36861" s="18"/>
    </row>
    <row r="36862">
      <c r="B36862" s="17" t="s">
        <v>477</v>
      </c>
      <c r="K36862" s="18"/>
    </row>
    <row r="36863">
      <c r="B36863" s="17" t="s">
        <v>477</v>
      </c>
      <c r="K36863" s="18"/>
    </row>
    <row r="36864">
      <c r="B36864" s="17" t="s">
        <v>477</v>
      </c>
      <c r="K36864" s="18"/>
    </row>
    <row r="36865">
      <c r="B36865" s="17" t="s">
        <v>477</v>
      </c>
      <c r="K36865" s="18"/>
    </row>
    <row r="36866">
      <c r="B36866" s="17" t="s">
        <v>477</v>
      </c>
      <c r="K36866" s="18"/>
    </row>
    <row r="36867">
      <c r="B36867" s="17" t="s">
        <v>477</v>
      </c>
      <c r="K36867" s="18"/>
    </row>
    <row r="36868">
      <c r="B36868" s="17" t="s">
        <v>477</v>
      </c>
      <c r="K36868" s="18"/>
    </row>
    <row r="36869">
      <c r="B36869" s="17" t="s">
        <v>477</v>
      </c>
      <c r="K36869" s="18"/>
    </row>
    <row r="36870">
      <c r="B36870" s="17" t="s">
        <v>477</v>
      </c>
      <c r="K36870" s="18"/>
    </row>
    <row r="36871">
      <c r="B36871" s="17" t="s">
        <v>477</v>
      </c>
      <c r="K36871" s="18"/>
    </row>
    <row r="36872">
      <c r="B36872" s="17" t="s">
        <v>477</v>
      </c>
      <c r="K36872" s="18"/>
    </row>
    <row r="36873">
      <c r="B36873" s="17" t="s">
        <v>477</v>
      </c>
      <c r="K36873" s="18"/>
    </row>
    <row r="36874">
      <c r="B36874" s="17" t="s">
        <v>477</v>
      </c>
      <c r="K36874" s="18"/>
    </row>
    <row r="36875">
      <c r="B36875" s="17" t="s">
        <v>477</v>
      </c>
      <c r="K36875" s="18"/>
    </row>
    <row r="36876">
      <c r="B36876" s="17" t="s">
        <v>477</v>
      </c>
      <c r="K36876" s="18"/>
    </row>
    <row r="36877">
      <c r="B36877" s="17" t="s">
        <v>477</v>
      </c>
      <c r="K36877" s="18"/>
    </row>
    <row r="36878">
      <c r="B36878" s="17" t="s">
        <v>477</v>
      </c>
      <c r="K36878" s="18"/>
    </row>
    <row r="36879">
      <c r="B36879" s="17" t="s">
        <v>477</v>
      </c>
      <c r="K36879" s="18"/>
    </row>
    <row r="36880">
      <c r="B36880" s="17" t="s">
        <v>477</v>
      </c>
      <c r="K36880" s="18"/>
    </row>
    <row r="36881">
      <c r="B36881" s="17" t="s">
        <v>477</v>
      </c>
      <c r="K36881" s="18"/>
    </row>
    <row r="36882">
      <c r="B36882" s="17" t="s">
        <v>477</v>
      </c>
      <c r="K36882" s="18"/>
    </row>
    <row r="36883">
      <c r="B36883" s="17" t="s">
        <v>477</v>
      </c>
      <c r="K36883" s="18"/>
    </row>
    <row r="36884">
      <c r="B36884" s="17" t="s">
        <v>477</v>
      </c>
      <c r="K36884" s="18"/>
    </row>
    <row r="36885">
      <c r="B36885" s="17" t="s">
        <v>477</v>
      </c>
      <c r="K36885" s="18"/>
    </row>
    <row r="36886">
      <c r="B36886" s="17" t="s">
        <v>477</v>
      </c>
      <c r="K36886" s="18"/>
    </row>
    <row r="36887">
      <c r="B36887" s="17" t="s">
        <v>477</v>
      </c>
      <c r="K36887" s="18"/>
    </row>
    <row r="36888">
      <c r="B36888" s="17" t="s">
        <v>477</v>
      </c>
      <c r="K36888" s="18"/>
    </row>
    <row r="36889">
      <c r="B36889" s="17" t="s">
        <v>477</v>
      </c>
      <c r="K36889" s="18"/>
    </row>
    <row r="36890">
      <c r="B36890" s="17" t="s">
        <v>477</v>
      </c>
      <c r="K36890" s="18"/>
    </row>
    <row r="36891">
      <c r="B36891" s="17" t="s">
        <v>477</v>
      </c>
      <c r="K36891" s="18"/>
    </row>
    <row r="36892">
      <c r="B36892" s="17" t="s">
        <v>477</v>
      </c>
      <c r="K36892" s="18"/>
    </row>
    <row r="36893">
      <c r="B36893" s="17" t="s">
        <v>477</v>
      </c>
      <c r="K36893" s="18"/>
    </row>
    <row r="36894">
      <c r="B36894" s="17" t="s">
        <v>477</v>
      </c>
      <c r="K36894" s="18"/>
    </row>
    <row r="36895">
      <c r="B36895" s="17" t="s">
        <v>477</v>
      </c>
      <c r="K36895" s="18"/>
    </row>
    <row r="36896">
      <c r="B36896" s="17" t="s">
        <v>477</v>
      </c>
      <c r="K36896" s="18"/>
    </row>
    <row r="36897">
      <c r="B36897" s="17" t="s">
        <v>477</v>
      </c>
      <c r="K36897" s="18"/>
    </row>
    <row r="36898">
      <c r="B36898" s="17" t="s">
        <v>477</v>
      </c>
      <c r="K36898" s="18"/>
    </row>
    <row r="36899">
      <c r="B36899" s="17" t="s">
        <v>477</v>
      </c>
      <c r="K36899" s="18"/>
    </row>
    <row r="36900">
      <c r="B36900" s="17" t="s">
        <v>477</v>
      </c>
      <c r="K36900" s="18"/>
    </row>
    <row r="36901">
      <c r="B36901" s="17" t="s">
        <v>477</v>
      </c>
      <c r="K36901" s="18"/>
    </row>
    <row r="36902">
      <c r="B36902" s="17" t="s">
        <v>477</v>
      </c>
      <c r="K36902" s="18"/>
    </row>
    <row r="36903">
      <c r="B36903" s="17" t="s">
        <v>477</v>
      </c>
      <c r="K36903" s="18"/>
    </row>
    <row r="36904">
      <c r="B36904" s="17" t="s">
        <v>477</v>
      </c>
      <c r="K36904" s="18"/>
    </row>
    <row r="36905">
      <c r="B36905" s="17" t="s">
        <v>477</v>
      </c>
      <c r="K36905" s="18"/>
    </row>
    <row r="36906">
      <c r="B36906" s="17" t="s">
        <v>477</v>
      </c>
      <c r="K36906" s="18"/>
    </row>
    <row r="36907">
      <c r="B36907" s="17" t="s">
        <v>477</v>
      </c>
      <c r="K36907" s="18"/>
    </row>
    <row r="36908">
      <c r="B36908" s="17" t="s">
        <v>477</v>
      </c>
      <c r="K36908" s="18"/>
    </row>
    <row r="36909">
      <c r="B36909" s="17" t="s">
        <v>477</v>
      </c>
      <c r="K36909" s="18"/>
    </row>
    <row r="36910">
      <c r="B36910" s="17" t="s">
        <v>477</v>
      </c>
      <c r="K36910" s="18"/>
    </row>
    <row r="36911">
      <c r="B36911" s="17" t="s">
        <v>477</v>
      </c>
      <c r="K36911" s="18"/>
    </row>
    <row r="36912">
      <c r="B36912" s="17" t="s">
        <v>477</v>
      </c>
      <c r="K36912" s="18"/>
    </row>
    <row r="36913">
      <c r="B36913" s="17" t="s">
        <v>477</v>
      </c>
      <c r="K36913" s="18"/>
    </row>
    <row r="36914">
      <c r="B36914" s="17" t="s">
        <v>477</v>
      </c>
      <c r="K36914" s="18"/>
    </row>
    <row r="36915">
      <c r="B36915" s="17" t="s">
        <v>477</v>
      </c>
      <c r="K36915" s="18"/>
    </row>
    <row r="36916">
      <c r="B36916" s="17" t="s">
        <v>477</v>
      </c>
      <c r="K36916" s="18"/>
    </row>
    <row r="36917">
      <c r="B36917" s="17" t="s">
        <v>477</v>
      </c>
      <c r="K36917" s="18"/>
    </row>
    <row r="36918">
      <c r="B36918" s="17" t="s">
        <v>477</v>
      </c>
      <c r="K36918" s="18"/>
    </row>
    <row r="36919">
      <c r="B36919" s="17" t="s">
        <v>477</v>
      </c>
      <c r="K36919" s="18"/>
    </row>
    <row r="36920">
      <c r="B36920" s="17" t="s">
        <v>477</v>
      </c>
      <c r="K36920" s="18"/>
    </row>
    <row r="36921">
      <c r="B36921" s="17" t="s">
        <v>477</v>
      </c>
      <c r="K36921" s="18"/>
    </row>
    <row r="36922">
      <c r="B36922" s="17" t="s">
        <v>477</v>
      </c>
      <c r="K36922" s="18"/>
    </row>
    <row r="36923">
      <c r="B36923" s="17" t="s">
        <v>477</v>
      </c>
      <c r="K36923" s="18"/>
    </row>
    <row r="36924">
      <c r="B36924" s="17" t="s">
        <v>477</v>
      </c>
      <c r="K36924" s="18"/>
    </row>
    <row r="36925">
      <c r="B36925" s="17" t="s">
        <v>477</v>
      </c>
      <c r="K36925" s="18"/>
    </row>
    <row r="36926">
      <c r="B36926" s="17" t="s">
        <v>477</v>
      </c>
      <c r="K36926" s="18"/>
    </row>
    <row r="36927">
      <c r="B36927" s="17" t="s">
        <v>477</v>
      </c>
      <c r="K36927" s="18"/>
    </row>
    <row r="36928">
      <c r="B36928" s="17" t="s">
        <v>477</v>
      </c>
      <c r="K36928" s="18"/>
    </row>
    <row r="36929">
      <c r="B36929" s="17" t="s">
        <v>477</v>
      </c>
      <c r="K36929" s="18"/>
    </row>
    <row r="36930">
      <c r="B36930" s="17" t="s">
        <v>477</v>
      </c>
      <c r="K36930" s="18"/>
    </row>
    <row r="36931">
      <c r="B36931" s="17" t="s">
        <v>477</v>
      </c>
      <c r="K36931" s="18"/>
    </row>
    <row r="36932">
      <c r="B36932" s="17" t="s">
        <v>477</v>
      </c>
      <c r="K36932" s="18"/>
    </row>
    <row r="36933">
      <c r="B36933" s="17" t="s">
        <v>477</v>
      </c>
      <c r="K36933" s="18"/>
    </row>
    <row r="36934">
      <c r="B36934" s="17" t="s">
        <v>477</v>
      </c>
      <c r="K36934" s="18"/>
    </row>
    <row r="36935">
      <c r="B36935" s="17" t="s">
        <v>477</v>
      </c>
      <c r="K36935" s="18"/>
    </row>
    <row r="36936">
      <c r="B36936" s="17" t="s">
        <v>477</v>
      </c>
      <c r="K36936" s="18"/>
    </row>
    <row r="36937">
      <c r="B36937" s="17" t="s">
        <v>477</v>
      </c>
      <c r="K36937" s="18"/>
    </row>
    <row r="36938">
      <c r="B36938" s="17" t="s">
        <v>477</v>
      </c>
      <c r="K36938" s="18"/>
    </row>
    <row r="36939">
      <c r="B36939" s="17" t="s">
        <v>477</v>
      </c>
      <c r="K36939" s="18"/>
    </row>
    <row r="36940">
      <c r="B36940" s="17" t="s">
        <v>477</v>
      </c>
      <c r="K36940" s="18"/>
    </row>
    <row r="36941">
      <c r="B36941" s="17" t="s">
        <v>477</v>
      </c>
      <c r="K36941" s="18"/>
    </row>
    <row r="36942">
      <c r="B36942" s="17" t="s">
        <v>477</v>
      </c>
      <c r="K36942" s="18"/>
    </row>
    <row r="36943">
      <c r="B36943" s="17" t="s">
        <v>477</v>
      </c>
      <c r="K36943" s="18"/>
    </row>
    <row r="36944">
      <c r="B36944" s="17" t="s">
        <v>477</v>
      </c>
      <c r="K36944" s="18"/>
    </row>
    <row r="36945">
      <c r="B36945" s="17" t="s">
        <v>477</v>
      </c>
      <c r="K36945" s="18"/>
    </row>
    <row r="36946">
      <c r="B36946" s="17" t="s">
        <v>477</v>
      </c>
      <c r="K36946" s="18"/>
    </row>
    <row r="36947">
      <c r="B36947" s="17" t="s">
        <v>477</v>
      </c>
      <c r="K36947" s="18"/>
    </row>
    <row r="36948">
      <c r="B36948" s="17" t="s">
        <v>477</v>
      </c>
      <c r="K36948" s="18"/>
    </row>
    <row r="36949">
      <c r="B36949" s="17" t="s">
        <v>477</v>
      </c>
      <c r="K36949" s="18"/>
    </row>
    <row r="36950">
      <c r="B36950" s="17" t="s">
        <v>477</v>
      </c>
      <c r="K36950" s="18"/>
    </row>
    <row r="36951">
      <c r="B36951" s="17" t="s">
        <v>477</v>
      </c>
      <c r="K36951" s="18"/>
    </row>
    <row r="36952">
      <c r="B36952" s="17" t="s">
        <v>477</v>
      </c>
      <c r="K36952" s="18"/>
    </row>
    <row r="36953">
      <c r="B36953" s="17" t="s">
        <v>477</v>
      </c>
      <c r="K36953" s="18"/>
    </row>
    <row r="36954">
      <c r="B36954" s="17" t="s">
        <v>477</v>
      </c>
      <c r="K36954" s="18"/>
    </row>
    <row r="36955">
      <c r="B36955" s="17" t="s">
        <v>477</v>
      </c>
      <c r="K36955" s="18"/>
    </row>
    <row r="36956">
      <c r="B36956" s="17" t="s">
        <v>477</v>
      </c>
      <c r="K36956" s="18"/>
    </row>
    <row r="36957">
      <c r="B36957" s="17" t="s">
        <v>477</v>
      </c>
      <c r="K36957" s="18"/>
    </row>
    <row r="36958">
      <c r="B36958" s="17" t="s">
        <v>477</v>
      </c>
      <c r="K36958" s="18"/>
    </row>
    <row r="36959">
      <c r="B36959" s="17" t="s">
        <v>477</v>
      </c>
      <c r="K36959" s="18"/>
    </row>
    <row r="36960">
      <c r="B36960" s="17" t="s">
        <v>477</v>
      </c>
      <c r="K36960" s="18"/>
    </row>
    <row r="36961">
      <c r="B36961" s="17" t="s">
        <v>477</v>
      </c>
      <c r="K36961" s="18"/>
    </row>
    <row r="36962">
      <c r="B36962" s="17" t="s">
        <v>477</v>
      </c>
      <c r="K36962" s="18"/>
    </row>
    <row r="36963">
      <c r="B36963" s="17" t="s">
        <v>477</v>
      </c>
      <c r="K36963" s="18"/>
    </row>
    <row r="36964">
      <c r="B36964" s="17" t="s">
        <v>477</v>
      </c>
      <c r="K36964" s="18"/>
    </row>
    <row r="36965">
      <c r="B36965" s="17" t="s">
        <v>477</v>
      </c>
      <c r="K36965" s="18"/>
    </row>
    <row r="36966">
      <c r="B36966" s="17" t="s">
        <v>477</v>
      </c>
      <c r="K36966" s="18"/>
    </row>
    <row r="36967">
      <c r="B36967" s="17" t="s">
        <v>477</v>
      </c>
      <c r="K36967" s="18"/>
    </row>
    <row r="36968">
      <c r="B36968" s="17" t="s">
        <v>477</v>
      </c>
      <c r="K36968" s="18"/>
    </row>
    <row r="36969">
      <c r="B36969" s="17" t="s">
        <v>477</v>
      </c>
      <c r="K36969" s="18"/>
    </row>
    <row r="36970">
      <c r="B36970" s="17" t="s">
        <v>477</v>
      </c>
      <c r="K36970" s="18"/>
    </row>
    <row r="36971">
      <c r="B36971" s="17" t="s">
        <v>477</v>
      </c>
      <c r="K36971" s="18"/>
    </row>
    <row r="36972">
      <c r="B36972" s="17" t="s">
        <v>477</v>
      </c>
      <c r="K36972" s="18"/>
    </row>
    <row r="36973">
      <c r="B36973" s="17" t="s">
        <v>477</v>
      </c>
      <c r="K36973" s="18"/>
    </row>
    <row r="36974">
      <c r="B36974" s="17" t="s">
        <v>477</v>
      </c>
      <c r="K36974" s="18"/>
    </row>
    <row r="36975">
      <c r="B36975" s="17" t="s">
        <v>477</v>
      </c>
      <c r="K36975" s="18"/>
    </row>
    <row r="36976">
      <c r="B36976" s="17" t="s">
        <v>477</v>
      </c>
      <c r="K36976" s="18"/>
    </row>
    <row r="36977">
      <c r="B36977" s="17" t="s">
        <v>477</v>
      </c>
      <c r="K36977" s="18"/>
    </row>
    <row r="36978">
      <c r="B36978" s="17" t="s">
        <v>477</v>
      </c>
      <c r="K36978" s="18"/>
    </row>
    <row r="36979">
      <c r="B36979" s="17" t="s">
        <v>477</v>
      </c>
      <c r="K36979" s="18"/>
    </row>
    <row r="36980">
      <c r="B36980" s="17" t="s">
        <v>477</v>
      </c>
      <c r="K36980" s="18"/>
    </row>
    <row r="36981">
      <c r="B36981" s="17" t="s">
        <v>477</v>
      </c>
      <c r="K36981" s="18"/>
    </row>
    <row r="36982">
      <c r="B36982" s="17" t="s">
        <v>477</v>
      </c>
      <c r="K36982" s="18"/>
    </row>
    <row r="36983">
      <c r="B36983" s="17" t="s">
        <v>477</v>
      </c>
      <c r="K36983" s="18"/>
    </row>
    <row r="36984">
      <c r="B36984" s="17" t="s">
        <v>477</v>
      </c>
      <c r="K36984" s="18"/>
    </row>
    <row r="36985">
      <c r="B36985" s="17" t="s">
        <v>477</v>
      </c>
      <c r="K36985" s="18"/>
    </row>
    <row r="36986">
      <c r="B36986" s="17" t="s">
        <v>477</v>
      </c>
      <c r="K36986" s="18"/>
    </row>
    <row r="36987">
      <c r="B36987" s="17" t="s">
        <v>477</v>
      </c>
      <c r="K36987" s="18"/>
    </row>
    <row r="36988">
      <c r="B36988" s="17" t="s">
        <v>477</v>
      </c>
      <c r="K36988" s="18"/>
    </row>
    <row r="36989">
      <c r="B36989" s="17" t="s">
        <v>477</v>
      </c>
      <c r="K36989" s="18"/>
    </row>
    <row r="36990">
      <c r="B36990" s="17" t="s">
        <v>477</v>
      </c>
      <c r="K36990" s="18"/>
    </row>
    <row r="36991">
      <c r="B36991" s="17" t="s">
        <v>477</v>
      </c>
      <c r="K36991" s="18"/>
    </row>
    <row r="36992">
      <c r="B36992" s="17" t="s">
        <v>477</v>
      </c>
      <c r="K36992" s="18"/>
    </row>
    <row r="36993">
      <c r="B36993" s="17" t="s">
        <v>477</v>
      </c>
      <c r="K36993" s="18"/>
    </row>
    <row r="36994">
      <c r="B36994" s="17" t="s">
        <v>477</v>
      </c>
      <c r="K36994" s="18"/>
    </row>
    <row r="36995">
      <c r="B36995" s="17" t="s">
        <v>477</v>
      </c>
      <c r="K36995" s="18"/>
    </row>
    <row r="36996">
      <c r="B36996" s="17" t="s">
        <v>477</v>
      </c>
      <c r="K36996" s="18"/>
    </row>
    <row r="36997">
      <c r="B36997" s="17" t="s">
        <v>477</v>
      </c>
      <c r="K36997" s="18"/>
    </row>
    <row r="36998">
      <c r="B36998" s="17" t="s">
        <v>477</v>
      </c>
      <c r="K36998" s="18"/>
    </row>
    <row r="36999">
      <c r="B36999" s="17" t="s">
        <v>477</v>
      </c>
      <c r="K36999" s="18"/>
    </row>
    <row r="37000">
      <c r="B37000" s="17" t="s">
        <v>477</v>
      </c>
      <c r="K37000" s="18"/>
    </row>
    <row r="37001">
      <c r="B37001" s="17" t="s">
        <v>477</v>
      </c>
      <c r="K37001" s="18"/>
    </row>
    <row r="37002">
      <c r="B37002" s="17" t="s">
        <v>477</v>
      </c>
      <c r="K37002" s="18"/>
    </row>
    <row r="37003">
      <c r="B37003" s="17" t="s">
        <v>477</v>
      </c>
      <c r="K37003" s="18"/>
    </row>
    <row r="37004">
      <c r="B37004" s="17" t="s">
        <v>477</v>
      </c>
      <c r="K37004" s="18"/>
    </row>
    <row r="37005">
      <c r="B37005" s="17" t="s">
        <v>477</v>
      </c>
      <c r="K37005" s="18"/>
    </row>
    <row r="37006">
      <c r="B37006" s="17" t="s">
        <v>477</v>
      </c>
      <c r="K37006" s="18"/>
    </row>
    <row r="37007">
      <c r="B37007" s="17" t="s">
        <v>477</v>
      </c>
      <c r="K37007" s="18"/>
    </row>
    <row r="37008">
      <c r="B37008" s="17" t="s">
        <v>477</v>
      </c>
      <c r="K37008" s="18"/>
    </row>
    <row r="37009">
      <c r="B37009" s="17" t="s">
        <v>477</v>
      </c>
      <c r="K37009" s="18"/>
    </row>
    <row r="37010">
      <c r="B37010" s="17" t="s">
        <v>477</v>
      </c>
      <c r="K37010" s="18"/>
    </row>
    <row r="37011">
      <c r="B37011" s="17" t="s">
        <v>477</v>
      </c>
      <c r="K37011" s="18"/>
    </row>
    <row r="37012">
      <c r="B37012" s="17" t="s">
        <v>477</v>
      </c>
      <c r="K37012" s="18"/>
    </row>
    <row r="37013">
      <c r="B37013" s="17" t="s">
        <v>477</v>
      </c>
      <c r="K37013" s="18"/>
    </row>
    <row r="37014">
      <c r="B37014" s="17" t="s">
        <v>477</v>
      </c>
      <c r="K37014" s="18"/>
    </row>
    <row r="37015">
      <c r="B37015" s="17" t="s">
        <v>477</v>
      </c>
      <c r="K37015" s="18"/>
    </row>
    <row r="37016">
      <c r="B37016" s="17" t="s">
        <v>477</v>
      </c>
      <c r="K37016" s="18"/>
    </row>
    <row r="37017">
      <c r="B37017" s="17" t="s">
        <v>477</v>
      </c>
      <c r="K37017" s="18"/>
    </row>
    <row r="37018">
      <c r="B37018" s="17" t="s">
        <v>477</v>
      </c>
      <c r="K37018" s="18"/>
    </row>
    <row r="37019">
      <c r="B37019" s="17" t="s">
        <v>477</v>
      </c>
      <c r="K37019" s="18"/>
    </row>
    <row r="37020">
      <c r="B37020" s="17" t="s">
        <v>477</v>
      </c>
      <c r="K37020" s="18"/>
    </row>
    <row r="37021">
      <c r="B37021" s="17" t="s">
        <v>477</v>
      </c>
      <c r="K37021" s="18"/>
    </row>
    <row r="37022">
      <c r="B37022" s="17" t="s">
        <v>477</v>
      </c>
      <c r="K37022" s="18"/>
    </row>
    <row r="37023">
      <c r="B37023" s="17" t="s">
        <v>477</v>
      </c>
      <c r="K37023" s="18"/>
    </row>
    <row r="37024">
      <c r="B37024" s="17" t="s">
        <v>477</v>
      </c>
      <c r="K37024" s="18"/>
    </row>
    <row r="37025">
      <c r="B37025" s="17" t="s">
        <v>477</v>
      </c>
      <c r="K37025" s="18"/>
    </row>
    <row r="37026">
      <c r="B37026" s="17" t="s">
        <v>477</v>
      </c>
      <c r="K37026" s="18"/>
    </row>
    <row r="37027">
      <c r="B37027" s="17" t="s">
        <v>477</v>
      </c>
      <c r="K37027" s="18"/>
    </row>
    <row r="37028">
      <c r="B37028" s="17" t="s">
        <v>477</v>
      </c>
      <c r="K37028" s="18"/>
    </row>
    <row r="37029">
      <c r="B37029" s="17" t="s">
        <v>477</v>
      </c>
      <c r="K37029" s="18"/>
    </row>
    <row r="37030">
      <c r="B37030" s="17" t="s">
        <v>477</v>
      </c>
      <c r="K37030" s="18"/>
    </row>
    <row r="37031">
      <c r="B37031" s="17" t="s">
        <v>477</v>
      </c>
      <c r="K37031" s="18"/>
    </row>
    <row r="37032">
      <c r="B37032" s="17" t="s">
        <v>477</v>
      </c>
      <c r="K37032" s="18"/>
    </row>
    <row r="37033">
      <c r="B37033" s="17" t="s">
        <v>477</v>
      </c>
      <c r="K37033" s="18"/>
    </row>
    <row r="37034">
      <c r="B37034" s="17" t="s">
        <v>477</v>
      </c>
      <c r="K37034" s="18"/>
    </row>
    <row r="37035">
      <c r="B37035" s="17" t="s">
        <v>477</v>
      </c>
      <c r="K37035" s="18"/>
    </row>
    <row r="37036">
      <c r="B37036" s="17" t="s">
        <v>477</v>
      </c>
      <c r="K37036" s="18"/>
    </row>
    <row r="37037">
      <c r="B37037" s="17" t="s">
        <v>477</v>
      </c>
      <c r="K37037" s="18"/>
    </row>
    <row r="37038">
      <c r="B37038" s="17" t="s">
        <v>477</v>
      </c>
      <c r="K37038" s="18"/>
    </row>
    <row r="37039">
      <c r="B37039" s="17" t="s">
        <v>477</v>
      </c>
      <c r="K37039" s="18"/>
    </row>
    <row r="37040">
      <c r="B37040" s="17" t="s">
        <v>477</v>
      </c>
      <c r="K37040" s="18"/>
    </row>
    <row r="37041">
      <c r="B37041" s="17" t="s">
        <v>477</v>
      </c>
      <c r="K37041" s="18"/>
    </row>
    <row r="37042">
      <c r="B37042" s="17" t="s">
        <v>477</v>
      </c>
      <c r="K37042" s="18"/>
    </row>
    <row r="37043">
      <c r="B37043" s="17" t="s">
        <v>477</v>
      </c>
      <c r="K37043" s="18"/>
    </row>
    <row r="37044">
      <c r="B37044" s="17" t="s">
        <v>477</v>
      </c>
      <c r="K37044" s="18"/>
    </row>
    <row r="37045">
      <c r="B37045" s="17" t="s">
        <v>477</v>
      </c>
      <c r="K37045" s="18"/>
    </row>
    <row r="37046">
      <c r="B37046" s="17" t="s">
        <v>477</v>
      </c>
      <c r="K37046" s="18"/>
    </row>
    <row r="37047">
      <c r="B37047" s="17" t="s">
        <v>477</v>
      </c>
      <c r="K37047" s="18"/>
    </row>
    <row r="37048">
      <c r="B37048" s="17" t="s">
        <v>477</v>
      </c>
      <c r="K37048" s="18"/>
    </row>
    <row r="37049">
      <c r="B37049" s="17" t="s">
        <v>477</v>
      </c>
      <c r="K37049" s="18"/>
    </row>
    <row r="37050">
      <c r="B37050" s="17" t="s">
        <v>477</v>
      </c>
      <c r="K37050" s="18"/>
    </row>
    <row r="37051">
      <c r="B37051" s="17" t="s">
        <v>477</v>
      </c>
      <c r="K37051" s="18"/>
    </row>
    <row r="37052">
      <c r="B37052" s="17" t="s">
        <v>477</v>
      </c>
      <c r="K37052" s="18"/>
    </row>
    <row r="37053">
      <c r="B37053" s="17" t="s">
        <v>477</v>
      </c>
      <c r="K37053" s="18"/>
    </row>
    <row r="37054">
      <c r="B37054" s="17" t="s">
        <v>477</v>
      </c>
      <c r="K37054" s="18"/>
    </row>
    <row r="37055">
      <c r="B37055" s="17" t="s">
        <v>477</v>
      </c>
      <c r="K37055" s="18"/>
    </row>
    <row r="37056">
      <c r="B37056" s="17" t="s">
        <v>477</v>
      </c>
      <c r="K37056" s="18"/>
    </row>
    <row r="37057">
      <c r="B37057" s="17" t="s">
        <v>477</v>
      </c>
      <c r="K37057" s="18"/>
    </row>
    <row r="37058">
      <c r="B37058" s="17" t="s">
        <v>477</v>
      </c>
      <c r="K37058" s="18"/>
    </row>
    <row r="37059">
      <c r="B37059" s="17" t="s">
        <v>477</v>
      </c>
      <c r="K37059" s="18"/>
    </row>
    <row r="37060">
      <c r="B37060" s="17" t="s">
        <v>477</v>
      </c>
      <c r="K37060" s="18"/>
    </row>
    <row r="37061">
      <c r="B37061" s="17" t="s">
        <v>477</v>
      </c>
      <c r="K37061" s="18"/>
    </row>
    <row r="37062">
      <c r="B37062" s="17" t="s">
        <v>477</v>
      </c>
      <c r="K37062" s="18"/>
    </row>
    <row r="37063">
      <c r="B37063" s="17" t="s">
        <v>477</v>
      </c>
      <c r="K37063" s="18"/>
    </row>
    <row r="37064">
      <c r="B37064" s="17" t="s">
        <v>477</v>
      </c>
      <c r="K37064" s="18"/>
    </row>
    <row r="37065">
      <c r="B37065" s="17" t="s">
        <v>477</v>
      </c>
      <c r="K37065" s="18"/>
    </row>
    <row r="37066">
      <c r="B37066" s="17" t="s">
        <v>477</v>
      </c>
      <c r="K37066" s="18"/>
    </row>
    <row r="37067">
      <c r="B37067" s="17" t="s">
        <v>477</v>
      </c>
      <c r="K37067" s="18"/>
    </row>
    <row r="37068">
      <c r="B37068" s="17" t="s">
        <v>477</v>
      </c>
      <c r="K37068" s="18"/>
    </row>
    <row r="37069">
      <c r="B37069" s="17" t="s">
        <v>477</v>
      </c>
      <c r="K37069" s="18"/>
    </row>
    <row r="37070">
      <c r="B37070" s="17" t="s">
        <v>477</v>
      </c>
      <c r="K37070" s="18"/>
    </row>
    <row r="37071">
      <c r="B37071" s="17" t="s">
        <v>477</v>
      </c>
      <c r="K37071" s="18"/>
    </row>
    <row r="37072">
      <c r="B37072" s="17" t="s">
        <v>477</v>
      </c>
      <c r="K37072" s="18"/>
    </row>
    <row r="37073">
      <c r="B37073" s="17" t="s">
        <v>477</v>
      </c>
      <c r="K37073" s="18"/>
    </row>
    <row r="37074">
      <c r="B37074" s="17" t="s">
        <v>477</v>
      </c>
      <c r="K37074" s="18"/>
    </row>
    <row r="37075">
      <c r="B37075" s="17" t="s">
        <v>477</v>
      </c>
      <c r="K37075" s="18"/>
    </row>
    <row r="37076">
      <c r="B37076" s="17" t="s">
        <v>477</v>
      </c>
      <c r="K37076" s="18"/>
    </row>
    <row r="37077">
      <c r="B37077" s="17" t="s">
        <v>477</v>
      </c>
      <c r="K37077" s="18"/>
    </row>
    <row r="37078">
      <c r="B37078" s="17" t="s">
        <v>477</v>
      </c>
      <c r="K37078" s="18"/>
    </row>
    <row r="37079">
      <c r="B37079" s="17" t="s">
        <v>477</v>
      </c>
      <c r="K37079" s="18"/>
    </row>
    <row r="37080">
      <c r="B37080" s="17" t="s">
        <v>477</v>
      </c>
      <c r="K37080" s="18"/>
    </row>
    <row r="37081">
      <c r="B37081" s="17" t="s">
        <v>477</v>
      </c>
      <c r="K37081" s="18"/>
    </row>
    <row r="37082">
      <c r="B37082" s="17" t="s">
        <v>477</v>
      </c>
      <c r="K37082" s="18"/>
    </row>
    <row r="37083">
      <c r="B37083" s="17" t="s">
        <v>477</v>
      </c>
      <c r="K37083" s="18"/>
    </row>
    <row r="37084">
      <c r="B37084" s="17" t="s">
        <v>477</v>
      </c>
      <c r="K37084" s="18"/>
    </row>
    <row r="37085">
      <c r="B37085" s="17" t="s">
        <v>477</v>
      </c>
      <c r="K37085" s="18"/>
    </row>
    <row r="37086">
      <c r="B37086" s="17" t="s">
        <v>477</v>
      </c>
      <c r="K37086" s="18"/>
    </row>
    <row r="37087">
      <c r="B37087" s="17" t="s">
        <v>477</v>
      </c>
      <c r="K37087" s="18"/>
    </row>
    <row r="37088">
      <c r="B37088" s="17" t="s">
        <v>477</v>
      </c>
      <c r="K37088" s="18"/>
    </row>
    <row r="37089">
      <c r="B37089" s="17" t="s">
        <v>477</v>
      </c>
      <c r="K37089" s="18"/>
    </row>
    <row r="37090">
      <c r="B37090" s="17" t="s">
        <v>477</v>
      </c>
      <c r="K37090" s="18"/>
    </row>
    <row r="37091">
      <c r="B37091" s="17" t="s">
        <v>477</v>
      </c>
      <c r="K37091" s="18"/>
    </row>
    <row r="37092">
      <c r="B37092" s="17" t="s">
        <v>477</v>
      </c>
      <c r="K37092" s="18"/>
    </row>
    <row r="37093">
      <c r="B37093" s="17" t="s">
        <v>477</v>
      </c>
      <c r="K37093" s="18"/>
    </row>
    <row r="37094">
      <c r="B37094" s="17" t="s">
        <v>477</v>
      </c>
      <c r="K37094" s="18"/>
    </row>
    <row r="37095">
      <c r="B37095" s="17" t="s">
        <v>477</v>
      </c>
      <c r="K37095" s="18"/>
    </row>
    <row r="37096">
      <c r="B37096" s="17" t="s">
        <v>477</v>
      </c>
      <c r="K37096" s="18"/>
    </row>
    <row r="37097">
      <c r="B37097" s="17" t="s">
        <v>477</v>
      </c>
      <c r="K37097" s="18"/>
    </row>
    <row r="37098">
      <c r="B37098" s="17" t="s">
        <v>477</v>
      </c>
      <c r="K37098" s="18"/>
    </row>
    <row r="37099">
      <c r="B37099" s="17" t="s">
        <v>477</v>
      </c>
      <c r="K37099" s="18"/>
    </row>
    <row r="37100">
      <c r="B37100" s="17" t="s">
        <v>477</v>
      </c>
      <c r="K37100" s="18"/>
    </row>
    <row r="37101">
      <c r="B37101" s="17" t="s">
        <v>477</v>
      </c>
      <c r="K37101" s="18"/>
    </row>
    <row r="37102">
      <c r="B37102" s="17" t="s">
        <v>477</v>
      </c>
      <c r="K37102" s="18"/>
    </row>
    <row r="37103">
      <c r="B37103" s="17" t="s">
        <v>477</v>
      </c>
      <c r="K37103" s="18"/>
    </row>
    <row r="37104">
      <c r="B37104" s="17" t="s">
        <v>477</v>
      </c>
      <c r="K37104" s="18"/>
    </row>
    <row r="37105">
      <c r="B37105" s="17" t="s">
        <v>477</v>
      </c>
      <c r="K37105" s="18"/>
    </row>
    <row r="37106">
      <c r="B37106" s="17" t="s">
        <v>477</v>
      </c>
      <c r="K37106" s="18"/>
    </row>
    <row r="37107">
      <c r="B37107" s="17" t="s">
        <v>477</v>
      </c>
      <c r="K37107" s="18"/>
    </row>
    <row r="37108">
      <c r="B37108" s="17" t="s">
        <v>477</v>
      </c>
      <c r="K37108" s="18"/>
    </row>
    <row r="37109">
      <c r="B37109" s="17" t="s">
        <v>477</v>
      </c>
      <c r="K37109" s="18"/>
    </row>
    <row r="37110">
      <c r="B37110" s="17" t="s">
        <v>477</v>
      </c>
      <c r="K37110" s="18"/>
    </row>
    <row r="37111">
      <c r="B37111" s="17" t="s">
        <v>477</v>
      </c>
      <c r="K37111" s="18"/>
    </row>
    <row r="37112">
      <c r="B37112" s="17" t="s">
        <v>477</v>
      </c>
      <c r="K37112" s="18"/>
    </row>
    <row r="37113">
      <c r="B37113" s="17" t="s">
        <v>477</v>
      </c>
      <c r="K37113" s="18"/>
    </row>
    <row r="37114">
      <c r="B37114" s="17" t="s">
        <v>477</v>
      </c>
      <c r="K37114" s="18"/>
    </row>
    <row r="37115">
      <c r="B37115" s="17" t="s">
        <v>477</v>
      </c>
      <c r="K37115" s="18"/>
    </row>
    <row r="37116">
      <c r="B37116" s="17" t="s">
        <v>477</v>
      </c>
      <c r="K37116" s="18"/>
    </row>
    <row r="37117">
      <c r="B37117" s="17" t="s">
        <v>477</v>
      </c>
      <c r="K37117" s="18"/>
    </row>
    <row r="37118">
      <c r="B37118" s="17" t="s">
        <v>477</v>
      </c>
      <c r="K37118" s="18"/>
    </row>
    <row r="37119">
      <c r="B37119" s="17" t="s">
        <v>477</v>
      </c>
      <c r="K37119" s="18"/>
    </row>
    <row r="37120">
      <c r="B37120" s="17" t="s">
        <v>477</v>
      </c>
      <c r="K37120" s="18"/>
    </row>
    <row r="37121">
      <c r="B37121" s="17" t="s">
        <v>477</v>
      </c>
      <c r="K37121" s="18"/>
    </row>
    <row r="37122">
      <c r="B37122" s="17" t="s">
        <v>477</v>
      </c>
      <c r="K37122" s="18"/>
    </row>
    <row r="37123">
      <c r="B37123" s="17" t="s">
        <v>477</v>
      </c>
      <c r="K37123" s="18"/>
    </row>
    <row r="37124">
      <c r="B37124" s="17" t="s">
        <v>477</v>
      </c>
      <c r="K37124" s="18"/>
    </row>
    <row r="37125">
      <c r="B37125" s="17" t="s">
        <v>477</v>
      </c>
      <c r="K37125" s="18"/>
    </row>
    <row r="37126">
      <c r="B37126" s="17" t="s">
        <v>477</v>
      </c>
      <c r="K37126" s="18"/>
    </row>
    <row r="37127">
      <c r="B37127" s="17" t="s">
        <v>477</v>
      </c>
      <c r="K37127" s="18"/>
    </row>
    <row r="37128">
      <c r="B37128" s="17" t="s">
        <v>477</v>
      </c>
      <c r="K37128" s="18"/>
    </row>
    <row r="37129">
      <c r="B37129" s="17" t="s">
        <v>477</v>
      </c>
      <c r="K37129" s="18"/>
    </row>
    <row r="37130">
      <c r="B37130" s="17" t="s">
        <v>477</v>
      </c>
      <c r="K37130" s="18"/>
    </row>
    <row r="37131">
      <c r="B37131" s="17" t="s">
        <v>477</v>
      </c>
      <c r="K37131" s="18"/>
    </row>
    <row r="37132">
      <c r="B37132" s="17" t="s">
        <v>477</v>
      </c>
      <c r="K37132" s="18"/>
    </row>
    <row r="37133">
      <c r="B37133" s="17" t="s">
        <v>477</v>
      </c>
      <c r="K37133" s="18"/>
    </row>
    <row r="37134">
      <c r="B37134" s="17" t="s">
        <v>477</v>
      </c>
      <c r="K37134" s="18"/>
    </row>
    <row r="37135">
      <c r="B37135" s="17" t="s">
        <v>477</v>
      </c>
      <c r="K37135" s="18"/>
    </row>
    <row r="37136">
      <c r="B37136" s="17" t="s">
        <v>477</v>
      </c>
      <c r="K37136" s="18"/>
    </row>
    <row r="37137">
      <c r="B37137" s="17" t="s">
        <v>477</v>
      </c>
      <c r="K37137" s="18"/>
    </row>
    <row r="37138">
      <c r="B37138" s="17" t="s">
        <v>477</v>
      </c>
      <c r="K37138" s="18"/>
    </row>
    <row r="37139">
      <c r="B37139" s="17" t="s">
        <v>477</v>
      </c>
      <c r="K37139" s="18"/>
    </row>
    <row r="37140">
      <c r="B37140" s="17" t="s">
        <v>477</v>
      </c>
      <c r="K37140" s="18"/>
    </row>
    <row r="37141">
      <c r="B37141" s="17" t="s">
        <v>477</v>
      </c>
      <c r="K37141" s="18"/>
    </row>
    <row r="37142">
      <c r="B37142" s="17" t="s">
        <v>477</v>
      </c>
      <c r="K37142" s="18"/>
    </row>
    <row r="37143">
      <c r="B37143" s="17" t="s">
        <v>477</v>
      </c>
      <c r="K37143" s="18"/>
    </row>
    <row r="37144">
      <c r="B37144" s="17" t="s">
        <v>477</v>
      </c>
      <c r="K37144" s="18"/>
    </row>
    <row r="37145">
      <c r="B37145" s="17" t="s">
        <v>477</v>
      </c>
      <c r="K37145" s="18"/>
    </row>
    <row r="37146">
      <c r="B37146" s="17" t="s">
        <v>477</v>
      </c>
      <c r="K37146" s="18"/>
    </row>
    <row r="37147">
      <c r="B37147" s="17" t="s">
        <v>477</v>
      </c>
      <c r="K37147" s="18"/>
    </row>
    <row r="37148">
      <c r="B37148" s="17" t="s">
        <v>477</v>
      </c>
      <c r="K37148" s="18"/>
    </row>
    <row r="37149">
      <c r="B37149" s="17" t="s">
        <v>477</v>
      </c>
      <c r="K37149" s="18"/>
    </row>
    <row r="37150">
      <c r="B37150" s="17" t="s">
        <v>477</v>
      </c>
      <c r="K37150" s="18"/>
    </row>
    <row r="37151">
      <c r="B37151" s="17" t="s">
        <v>477</v>
      </c>
      <c r="K37151" s="18"/>
    </row>
    <row r="37152">
      <c r="B37152" s="17" t="s">
        <v>477</v>
      </c>
      <c r="K37152" s="18"/>
    </row>
    <row r="37153">
      <c r="B37153" s="17" t="s">
        <v>477</v>
      </c>
      <c r="K37153" s="18"/>
    </row>
    <row r="37154">
      <c r="B37154" s="17" t="s">
        <v>477</v>
      </c>
      <c r="K37154" s="18"/>
    </row>
    <row r="37155">
      <c r="B37155" s="17" t="s">
        <v>477</v>
      </c>
      <c r="K37155" s="18"/>
    </row>
    <row r="37156">
      <c r="B37156" s="17" t="s">
        <v>477</v>
      </c>
      <c r="K37156" s="18"/>
    </row>
    <row r="37157">
      <c r="B37157" s="17" t="s">
        <v>477</v>
      </c>
      <c r="K37157" s="18"/>
    </row>
    <row r="37158">
      <c r="B37158" s="17" t="s">
        <v>477</v>
      </c>
      <c r="K37158" s="18"/>
    </row>
    <row r="37159">
      <c r="B37159" s="17" t="s">
        <v>477</v>
      </c>
      <c r="K37159" s="18"/>
    </row>
    <row r="37160">
      <c r="B37160" s="17" t="s">
        <v>477</v>
      </c>
      <c r="K37160" s="18"/>
    </row>
    <row r="37161">
      <c r="B37161" s="17" t="s">
        <v>477</v>
      </c>
      <c r="K37161" s="18"/>
    </row>
    <row r="37162">
      <c r="B37162" s="17" t="s">
        <v>477</v>
      </c>
      <c r="K37162" s="18"/>
    </row>
    <row r="37163">
      <c r="B37163" s="17" t="s">
        <v>477</v>
      </c>
      <c r="K37163" s="18"/>
    </row>
    <row r="37164">
      <c r="B37164" s="17" t="s">
        <v>477</v>
      </c>
      <c r="K37164" s="18"/>
    </row>
    <row r="37165">
      <c r="B37165" s="17" t="s">
        <v>477</v>
      </c>
      <c r="K37165" s="18"/>
    </row>
    <row r="37166">
      <c r="B37166" s="17" t="s">
        <v>477</v>
      </c>
      <c r="K37166" s="18"/>
    </row>
    <row r="37167">
      <c r="B37167" s="17" t="s">
        <v>477</v>
      </c>
      <c r="K37167" s="18"/>
    </row>
    <row r="37168">
      <c r="B37168" s="17" t="s">
        <v>477</v>
      </c>
      <c r="K37168" s="18"/>
    </row>
    <row r="37169">
      <c r="B37169" s="17" t="s">
        <v>477</v>
      </c>
      <c r="K37169" s="18"/>
    </row>
    <row r="37170">
      <c r="B37170" s="17" t="s">
        <v>477</v>
      </c>
      <c r="K37170" s="18"/>
    </row>
    <row r="37171">
      <c r="B37171" s="17" t="s">
        <v>477</v>
      </c>
      <c r="K37171" s="18"/>
    </row>
    <row r="37172">
      <c r="B37172" s="17" t="s">
        <v>477</v>
      </c>
      <c r="K37172" s="18"/>
    </row>
    <row r="37173">
      <c r="B37173" s="17" t="s">
        <v>477</v>
      </c>
      <c r="K37173" s="18"/>
    </row>
    <row r="37174">
      <c r="B37174" s="17" t="s">
        <v>477</v>
      </c>
      <c r="K37174" s="18"/>
    </row>
    <row r="37175">
      <c r="B37175" s="17" t="s">
        <v>477</v>
      </c>
      <c r="K37175" s="18"/>
    </row>
    <row r="37176">
      <c r="B37176" s="17" t="s">
        <v>477</v>
      </c>
      <c r="K37176" s="18"/>
    </row>
    <row r="37177">
      <c r="B37177" s="17" t="s">
        <v>477</v>
      </c>
      <c r="K37177" s="18"/>
    </row>
    <row r="37178">
      <c r="B37178" s="17" t="s">
        <v>477</v>
      </c>
      <c r="K37178" s="18"/>
    </row>
    <row r="37179">
      <c r="B37179" s="17" t="s">
        <v>477</v>
      </c>
      <c r="K37179" s="18"/>
    </row>
    <row r="37180">
      <c r="B37180" s="17" t="s">
        <v>477</v>
      </c>
      <c r="K37180" s="18"/>
    </row>
    <row r="37181">
      <c r="B37181" s="17" t="s">
        <v>477</v>
      </c>
      <c r="K37181" s="18"/>
    </row>
    <row r="37182">
      <c r="B37182" s="17" t="s">
        <v>477</v>
      </c>
      <c r="K37182" s="18"/>
    </row>
    <row r="37183">
      <c r="B37183" s="17" t="s">
        <v>477</v>
      </c>
      <c r="K37183" s="18"/>
    </row>
    <row r="37184">
      <c r="B37184" s="17" t="s">
        <v>477</v>
      </c>
      <c r="K37184" s="18"/>
    </row>
    <row r="37185">
      <c r="B37185" s="17" t="s">
        <v>477</v>
      </c>
      <c r="K37185" s="18"/>
    </row>
    <row r="37186">
      <c r="B37186" s="17" t="s">
        <v>477</v>
      </c>
      <c r="K37186" s="18"/>
    </row>
    <row r="37187">
      <c r="B37187" s="17" t="s">
        <v>477</v>
      </c>
      <c r="K37187" s="18"/>
    </row>
    <row r="37188">
      <c r="B37188" s="17" t="s">
        <v>477</v>
      </c>
      <c r="K37188" s="18"/>
    </row>
    <row r="37189">
      <c r="B37189" s="17" t="s">
        <v>477</v>
      </c>
      <c r="K37189" s="18"/>
    </row>
    <row r="37190">
      <c r="B37190" s="17" t="s">
        <v>477</v>
      </c>
      <c r="K37190" s="18"/>
    </row>
    <row r="37191">
      <c r="B37191" s="17" t="s">
        <v>477</v>
      </c>
      <c r="K37191" s="18"/>
    </row>
    <row r="37192">
      <c r="B37192" s="17" t="s">
        <v>477</v>
      </c>
      <c r="K37192" s="18"/>
    </row>
    <row r="37193">
      <c r="B37193" s="17" t="s">
        <v>477</v>
      </c>
      <c r="K37193" s="18"/>
    </row>
    <row r="37194">
      <c r="B37194" s="17" t="s">
        <v>477</v>
      </c>
      <c r="K37194" s="18"/>
    </row>
    <row r="37195">
      <c r="B37195" s="17" t="s">
        <v>477</v>
      </c>
      <c r="K37195" s="18"/>
    </row>
    <row r="37196">
      <c r="B37196" s="17" t="s">
        <v>477</v>
      </c>
      <c r="K37196" s="18"/>
    </row>
    <row r="37197">
      <c r="B37197" s="17" t="s">
        <v>477</v>
      </c>
      <c r="K37197" s="18"/>
    </row>
    <row r="37198">
      <c r="B37198" s="17" t="s">
        <v>477</v>
      </c>
      <c r="K37198" s="18"/>
    </row>
    <row r="37199">
      <c r="B37199" s="17" t="s">
        <v>477</v>
      </c>
      <c r="K37199" s="18"/>
    </row>
    <row r="37200">
      <c r="B37200" s="17" t="s">
        <v>477</v>
      </c>
      <c r="K37200" s="18"/>
    </row>
    <row r="37201">
      <c r="B37201" s="17" t="s">
        <v>477</v>
      </c>
      <c r="K37201" s="18"/>
    </row>
    <row r="37202">
      <c r="B37202" s="17" t="s">
        <v>477</v>
      </c>
      <c r="K37202" s="18"/>
    </row>
    <row r="37203">
      <c r="B37203" s="17" t="s">
        <v>477</v>
      </c>
      <c r="K37203" s="18"/>
    </row>
    <row r="37204">
      <c r="B37204" s="17" t="s">
        <v>477</v>
      </c>
      <c r="K37204" s="18"/>
    </row>
    <row r="37205">
      <c r="B37205" s="17" t="s">
        <v>477</v>
      </c>
      <c r="K37205" s="18"/>
    </row>
    <row r="37206">
      <c r="B37206" s="17" t="s">
        <v>477</v>
      </c>
      <c r="K37206" s="18"/>
    </row>
    <row r="37207">
      <c r="B37207" s="17" t="s">
        <v>477</v>
      </c>
      <c r="K37207" s="18"/>
    </row>
    <row r="37208">
      <c r="B37208" s="17" t="s">
        <v>477</v>
      </c>
      <c r="K37208" s="18"/>
    </row>
    <row r="37209">
      <c r="B37209" s="17" t="s">
        <v>477</v>
      </c>
      <c r="K37209" s="18"/>
    </row>
    <row r="37210">
      <c r="B37210" s="17" t="s">
        <v>477</v>
      </c>
      <c r="K37210" s="18"/>
    </row>
    <row r="37211">
      <c r="B37211" s="17" t="s">
        <v>477</v>
      </c>
      <c r="K37211" s="18"/>
    </row>
    <row r="37212">
      <c r="B37212" s="17" t="s">
        <v>477</v>
      </c>
      <c r="K37212" s="18"/>
    </row>
    <row r="37213">
      <c r="B37213" s="17" t="s">
        <v>477</v>
      </c>
      <c r="K37213" s="18"/>
    </row>
    <row r="37214">
      <c r="B37214" s="17" t="s">
        <v>477</v>
      </c>
      <c r="K37214" s="18"/>
    </row>
    <row r="37215">
      <c r="B37215" s="17" t="s">
        <v>477</v>
      </c>
      <c r="K37215" s="18"/>
    </row>
    <row r="37216">
      <c r="B37216" s="17" t="s">
        <v>477</v>
      </c>
      <c r="K37216" s="18"/>
    </row>
    <row r="37217">
      <c r="B37217" s="17" t="s">
        <v>477</v>
      </c>
      <c r="K37217" s="18"/>
    </row>
    <row r="37218">
      <c r="B37218" s="17" t="s">
        <v>477</v>
      </c>
      <c r="K37218" s="18"/>
    </row>
    <row r="37219">
      <c r="B37219" s="17" t="s">
        <v>477</v>
      </c>
      <c r="K37219" s="18"/>
    </row>
    <row r="37220">
      <c r="B37220" s="17" t="s">
        <v>477</v>
      </c>
      <c r="K37220" s="18"/>
    </row>
    <row r="37221">
      <c r="B37221" s="17" t="s">
        <v>477</v>
      </c>
      <c r="K37221" s="18"/>
    </row>
    <row r="37222">
      <c r="B37222" s="17" t="s">
        <v>477</v>
      </c>
      <c r="K37222" s="18"/>
    </row>
    <row r="37223">
      <c r="B37223" s="17" t="s">
        <v>477</v>
      </c>
      <c r="K37223" s="18"/>
    </row>
    <row r="37224">
      <c r="B37224" s="17" t="s">
        <v>477</v>
      </c>
      <c r="K37224" s="18"/>
    </row>
    <row r="37225">
      <c r="B37225" s="17" t="s">
        <v>477</v>
      </c>
      <c r="K37225" s="18"/>
    </row>
    <row r="37226">
      <c r="B37226" s="17" t="s">
        <v>477</v>
      </c>
      <c r="K37226" s="18"/>
    </row>
    <row r="37227">
      <c r="B37227" s="17" t="s">
        <v>477</v>
      </c>
      <c r="K37227" s="18"/>
    </row>
    <row r="37228">
      <c r="B37228" s="17" t="s">
        <v>477</v>
      </c>
      <c r="K37228" s="18"/>
    </row>
    <row r="37229">
      <c r="B37229" s="17" t="s">
        <v>477</v>
      </c>
      <c r="K37229" s="18"/>
    </row>
    <row r="37230">
      <c r="B37230" s="17" t="s">
        <v>477</v>
      </c>
      <c r="K37230" s="18"/>
    </row>
    <row r="37231">
      <c r="B37231" s="17" t="s">
        <v>477</v>
      </c>
      <c r="K37231" s="18"/>
    </row>
    <row r="37232">
      <c r="B37232" s="17" t="s">
        <v>477</v>
      </c>
      <c r="K37232" s="18"/>
    </row>
    <row r="37233">
      <c r="B37233" s="17" t="s">
        <v>477</v>
      </c>
      <c r="K37233" s="18"/>
    </row>
    <row r="37234">
      <c r="B37234" s="17" t="s">
        <v>477</v>
      </c>
      <c r="K37234" s="18"/>
    </row>
    <row r="37235">
      <c r="B37235" s="17" t="s">
        <v>477</v>
      </c>
      <c r="K37235" s="18"/>
    </row>
    <row r="37236">
      <c r="B37236" s="17" t="s">
        <v>477</v>
      </c>
      <c r="K37236" s="18"/>
    </row>
    <row r="37237">
      <c r="B37237" s="17" t="s">
        <v>477</v>
      </c>
      <c r="K37237" s="18"/>
    </row>
    <row r="37238">
      <c r="B37238" s="17" t="s">
        <v>477</v>
      </c>
      <c r="K37238" s="18"/>
    </row>
    <row r="37239">
      <c r="B37239" s="17" t="s">
        <v>477</v>
      </c>
      <c r="K37239" s="18"/>
    </row>
    <row r="37240">
      <c r="B37240" s="17" t="s">
        <v>477</v>
      </c>
      <c r="K37240" s="18"/>
    </row>
    <row r="37241">
      <c r="B37241" s="17" t="s">
        <v>477</v>
      </c>
      <c r="K37241" s="18"/>
    </row>
    <row r="37242">
      <c r="B37242" s="17" t="s">
        <v>477</v>
      </c>
      <c r="K37242" s="18"/>
    </row>
    <row r="37243">
      <c r="B37243" s="17" t="s">
        <v>477</v>
      </c>
      <c r="K37243" s="18"/>
    </row>
    <row r="37244">
      <c r="B37244" s="17" t="s">
        <v>477</v>
      </c>
      <c r="K37244" s="18"/>
    </row>
    <row r="37245">
      <c r="B37245" s="17" t="s">
        <v>477</v>
      </c>
      <c r="K37245" s="18"/>
    </row>
    <row r="37246">
      <c r="B37246" s="17" t="s">
        <v>477</v>
      </c>
      <c r="K37246" s="18"/>
    </row>
    <row r="37247">
      <c r="B37247" s="17" t="s">
        <v>477</v>
      </c>
      <c r="K37247" s="18"/>
    </row>
    <row r="37248">
      <c r="B37248" s="17" t="s">
        <v>477</v>
      </c>
      <c r="K37248" s="18"/>
    </row>
    <row r="37249">
      <c r="B37249" s="17" t="s">
        <v>477</v>
      </c>
      <c r="K37249" s="18"/>
    </row>
    <row r="37250">
      <c r="B37250" s="17" t="s">
        <v>477</v>
      </c>
      <c r="K37250" s="18"/>
    </row>
    <row r="37251">
      <c r="B37251" s="17" t="s">
        <v>477</v>
      </c>
      <c r="K37251" s="18"/>
    </row>
    <row r="37252">
      <c r="B37252" s="17" t="s">
        <v>477</v>
      </c>
      <c r="K37252" s="18"/>
    </row>
    <row r="37253">
      <c r="B37253" s="17" t="s">
        <v>477</v>
      </c>
      <c r="K37253" s="18"/>
    </row>
    <row r="37254">
      <c r="B37254" s="17" t="s">
        <v>477</v>
      </c>
      <c r="K37254" s="18"/>
    </row>
    <row r="37255">
      <c r="B37255" s="17" t="s">
        <v>477</v>
      </c>
      <c r="K37255" s="18"/>
    </row>
    <row r="37256">
      <c r="B37256" s="17" t="s">
        <v>477</v>
      </c>
      <c r="K37256" s="18"/>
    </row>
    <row r="37257">
      <c r="B37257" s="17" t="s">
        <v>477</v>
      </c>
      <c r="K37257" s="18"/>
    </row>
    <row r="37258">
      <c r="B37258" s="17" t="s">
        <v>477</v>
      </c>
      <c r="K37258" s="18"/>
    </row>
    <row r="37259">
      <c r="B37259" s="17" t="s">
        <v>477</v>
      </c>
      <c r="K37259" s="18"/>
    </row>
    <row r="37260">
      <c r="B37260" s="17" t="s">
        <v>477</v>
      </c>
      <c r="K37260" s="18"/>
    </row>
    <row r="37261">
      <c r="B37261" s="17" t="s">
        <v>477</v>
      </c>
      <c r="K37261" s="18"/>
    </row>
    <row r="37262">
      <c r="B37262" s="17" t="s">
        <v>477</v>
      </c>
      <c r="K37262" s="18"/>
    </row>
    <row r="37263">
      <c r="B37263" s="17" t="s">
        <v>477</v>
      </c>
      <c r="K37263" s="18"/>
    </row>
    <row r="37264">
      <c r="B37264" s="17" t="s">
        <v>477</v>
      </c>
      <c r="K37264" s="18"/>
    </row>
    <row r="37265">
      <c r="B37265" s="17" t="s">
        <v>477</v>
      </c>
      <c r="K37265" s="18"/>
    </row>
    <row r="37266">
      <c r="B37266" s="17" t="s">
        <v>477</v>
      </c>
      <c r="K37266" s="18"/>
    </row>
    <row r="37267">
      <c r="B37267" s="17" t="s">
        <v>477</v>
      </c>
      <c r="K37267" s="18"/>
    </row>
    <row r="37268">
      <c r="B37268" s="17" t="s">
        <v>477</v>
      </c>
      <c r="K37268" s="18"/>
    </row>
    <row r="37269">
      <c r="B37269" s="17" t="s">
        <v>477</v>
      </c>
      <c r="K37269" s="18"/>
    </row>
    <row r="37270">
      <c r="B37270" s="17" t="s">
        <v>477</v>
      </c>
      <c r="K37270" s="18"/>
    </row>
    <row r="37271">
      <c r="B37271" s="17" t="s">
        <v>477</v>
      </c>
      <c r="K37271" s="18"/>
    </row>
    <row r="37272">
      <c r="B37272" s="17" t="s">
        <v>477</v>
      </c>
      <c r="K37272" s="18"/>
    </row>
    <row r="37273">
      <c r="B37273" s="17" t="s">
        <v>477</v>
      </c>
      <c r="K37273" s="18"/>
    </row>
    <row r="37274">
      <c r="B37274" s="17" t="s">
        <v>477</v>
      </c>
      <c r="K37274" s="18"/>
    </row>
    <row r="37275">
      <c r="B37275" s="17" t="s">
        <v>477</v>
      </c>
      <c r="K37275" s="18"/>
    </row>
    <row r="37276">
      <c r="B37276" s="17" t="s">
        <v>477</v>
      </c>
      <c r="K37276" s="18"/>
    </row>
    <row r="37277">
      <c r="B37277" s="17" t="s">
        <v>477</v>
      </c>
      <c r="K37277" s="18"/>
    </row>
    <row r="37278">
      <c r="B37278" s="17" t="s">
        <v>477</v>
      </c>
      <c r="K37278" s="18"/>
    </row>
    <row r="37279">
      <c r="B37279" s="17" t="s">
        <v>477</v>
      </c>
      <c r="K37279" s="18"/>
    </row>
    <row r="37280">
      <c r="B37280" s="17" t="s">
        <v>477</v>
      </c>
      <c r="K37280" s="18"/>
    </row>
    <row r="37281">
      <c r="B37281" s="17" t="s">
        <v>477</v>
      </c>
      <c r="K37281" s="18"/>
    </row>
    <row r="37282">
      <c r="B37282" s="17" t="s">
        <v>477</v>
      </c>
      <c r="K37282" s="18"/>
    </row>
    <row r="37283">
      <c r="B37283" s="17" t="s">
        <v>477</v>
      </c>
      <c r="K37283" s="18"/>
    </row>
    <row r="37284">
      <c r="B37284" s="17" t="s">
        <v>477</v>
      </c>
      <c r="K37284" s="18"/>
    </row>
    <row r="37285">
      <c r="B37285" s="17" t="s">
        <v>477</v>
      </c>
      <c r="K37285" s="18"/>
    </row>
    <row r="37286">
      <c r="B37286" s="17" t="s">
        <v>477</v>
      </c>
      <c r="K37286" s="18"/>
    </row>
    <row r="37287">
      <c r="B37287" s="17" t="s">
        <v>477</v>
      </c>
      <c r="K37287" s="18"/>
    </row>
    <row r="37288">
      <c r="B37288" s="17" t="s">
        <v>477</v>
      </c>
      <c r="K37288" s="18"/>
    </row>
    <row r="37289">
      <c r="B37289" s="17" t="s">
        <v>477</v>
      </c>
      <c r="K37289" s="18"/>
    </row>
    <row r="37290">
      <c r="B37290" s="17" t="s">
        <v>477</v>
      </c>
      <c r="K37290" s="18"/>
    </row>
    <row r="37291">
      <c r="B37291" s="17" t="s">
        <v>477</v>
      </c>
      <c r="K37291" s="18"/>
    </row>
    <row r="37292">
      <c r="B37292" s="17" t="s">
        <v>477</v>
      </c>
      <c r="K37292" s="18"/>
    </row>
    <row r="37293">
      <c r="B37293" s="17" t="s">
        <v>477</v>
      </c>
      <c r="K37293" s="18"/>
    </row>
    <row r="37294">
      <c r="B37294" s="17" t="s">
        <v>477</v>
      </c>
      <c r="K37294" s="18"/>
    </row>
    <row r="37295">
      <c r="B37295" s="17" t="s">
        <v>477</v>
      </c>
      <c r="K37295" s="18"/>
    </row>
    <row r="37296">
      <c r="B37296" s="17" t="s">
        <v>477</v>
      </c>
      <c r="K37296" s="18"/>
    </row>
    <row r="37297">
      <c r="B37297" s="17" t="s">
        <v>477</v>
      </c>
      <c r="K37297" s="18"/>
    </row>
    <row r="37298">
      <c r="B37298" s="17" t="s">
        <v>477</v>
      </c>
      <c r="K37298" s="18"/>
    </row>
    <row r="37299">
      <c r="B37299" s="17" t="s">
        <v>477</v>
      </c>
      <c r="K37299" s="18"/>
    </row>
    <row r="37300">
      <c r="B37300" s="17" t="s">
        <v>477</v>
      </c>
      <c r="K37300" s="18"/>
    </row>
    <row r="37301">
      <c r="B37301" s="17" t="s">
        <v>477</v>
      </c>
      <c r="K37301" s="18"/>
    </row>
    <row r="37302">
      <c r="B37302" s="17" t="s">
        <v>477</v>
      </c>
      <c r="K37302" s="18"/>
    </row>
    <row r="37303">
      <c r="B37303" s="17" t="s">
        <v>477</v>
      </c>
      <c r="K37303" s="18"/>
    </row>
    <row r="37304">
      <c r="B37304" s="17" t="s">
        <v>477</v>
      </c>
      <c r="K37304" s="18"/>
    </row>
    <row r="37305">
      <c r="B37305" s="17" t="s">
        <v>477</v>
      </c>
      <c r="K37305" s="18"/>
    </row>
    <row r="37306">
      <c r="B37306" s="17" t="s">
        <v>477</v>
      </c>
      <c r="K37306" s="18"/>
    </row>
    <row r="37307">
      <c r="B37307" s="17" t="s">
        <v>477</v>
      </c>
      <c r="K37307" s="18"/>
    </row>
    <row r="37308">
      <c r="B37308" s="17" t="s">
        <v>477</v>
      </c>
      <c r="K37308" s="18"/>
    </row>
    <row r="37309">
      <c r="B37309" s="17" t="s">
        <v>477</v>
      </c>
      <c r="K37309" s="18"/>
    </row>
    <row r="37310">
      <c r="B37310" s="17" t="s">
        <v>477</v>
      </c>
      <c r="K37310" s="18"/>
    </row>
    <row r="37311">
      <c r="B37311" s="17" t="s">
        <v>477</v>
      </c>
      <c r="K37311" s="18"/>
    </row>
    <row r="37312">
      <c r="B37312" s="17" t="s">
        <v>477</v>
      </c>
      <c r="K37312" s="18"/>
    </row>
    <row r="37313">
      <c r="B37313" s="17" t="s">
        <v>477</v>
      </c>
      <c r="K37313" s="18"/>
    </row>
    <row r="37314">
      <c r="B37314" s="17" t="s">
        <v>477</v>
      </c>
      <c r="K37314" s="18"/>
    </row>
    <row r="37315">
      <c r="B37315" s="17" t="s">
        <v>477</v>
      </c>
      <c r="K37315" s="18"/>
    </row>
    <row r="37316">
      <c r="B37316" s="17" t="s">
        <v>477</v>
      </c>
      <c r="K37316" s="18"/>
    </row>
    <row r="37317">
      <c r="B37317" s="17" t="s">
        <v>477</v>
      </c>
      <c r="K37317" s="18"/>
    </row>
    <row r="37318">
      <c r="B37318" s="17" t="s">
        <v>477</v>
      </c>
      <c r="K37318" s="18"/>
    </row>
    <row r="37319">
      <c r="B37319" s="17" t="s">
        <v>477</v>
      </c>
      <c r="K37319" s="18"/>
    </row>
    <row r="37320">
      <c r="B37320" s="17" t="s">
        <v>477</v>
      </c>
      <c r="K37320" s="18"/>
    </row>
    <row r="37321">
      <c r="B37321" s="17" t="s">
        <v>477</v>
      </c>
      <c r="K37321" s="18"/>
    </row>
    <row r="37322">
      <c r="B37322" s="17" t="s">
        <v>477</v>
      </c>
      <c r="K37322" s="18"/>
    </row>
    <row r="37323">
      <c r="B37323" s="17" t="s">
        <v>477</v>
      </c>
      <c r="K37323" s="18"/>
    </row>
    <row r="37324">
      <c r="B37324" s="17" t="s">
        <v>477</v>
      </c>
      <c r="K37324" s="18"/>
    </row>
    <row r="37325">
      <c r="B37325" s="17" t="s">
        <v>477</v>
      </c>
      <c r="K37325" s="18"/>
    </row>
    <row r="37326">
      <c r="B37326" s="17" t="s">
        <v>477</v>
      </c>
      <c r="K37326" s="18"/>
    </row>
    <row r="37327">
      <c r="B37327" s="17" t="s">
        <v>477</v>
      </c>
      <c r="K37327" s="18"/>
    </row>
    <row r="37328">
      <c r="B37328" s="17" t="s">
        <v>477</v>
      </c>
      <c r="K37328" s="18"/>
    </row>
    <row r="37329">
      <c r="B37329" s="17" t="s">
        <v>477</v>
      </c>
      <c r="K37329" s="18"/>
    </row>
    <row r="37330">
      <c r="B37330" s="17" t="s">
        <v>477</v>
      </c>
      <c r="K37330" s="18"/>
    </row>
    <row r="37331">
      <c r="B37331" s="17" t="s">
        <v>477</v>
      </c>
      <c r="K37331" s="18"/>
    </row>
    <row r="37332">
      <c r="B37332" s="17" t="s">
        <v>477</v>
      </c>
      <c r="K37332" s="18"/>
    </row>
    <row r="37333">
      <c r="B37333" s="17" t="s">
        <v>477</v>
      </c>
      <c r="K37333" s="18"/>
    </row>
    <row r="37334">
      <c r="B37334" s="17" t="s">
        <v>477</v>
      </c>
      <c r="K37334" s="18"/>
    </row>
    <row r="37335">
      <c r="B37335" s="17" t="s">
        <v>477</v>
      </c>
      <c r="K37335" s="18"/>
    </row>
    <row r="37336">
      <c r="B37336" s="17" t="s">
        <v>477</v>
      </c>
      <c r="K37336" s="18"/>
    </row>
    <row r="37337">
      <c r="B37337" s="17" t="s">
        <v>477</v>
      </c>
      <c r="K37337" s="18"/>
    </row>
    <row r="37338">
      <c r="B37338" s="17" t="s">
        <v>477</v>
      </c>
      <c r="K37338" s="18"/>
    </row>
    <row r="37339">
      <c r="B37339" s="17" t="s">
        <v>477</v>
      </c>
      <c r="K37339" s="18"/>
    </row>
    <row r="37340">
      <c r="B37340" s="17" t="s">
        <v>477</v>
      </c>
      <c r="K37340" s="18"/>
    </row>
    <row r="37341">
      <c r="B37341" s="17" t="s">
        <v>477</v>
      </c>
      <c r="K37341" s="18"/>
    </row>
    <row r="37342">
      <c r="B37342" s="17" t="s">
        <v>477</v>
      </c>
      <c r="K37342" s="18"/>
    </row>
    <row r="37343">
      <c r="B37343" s="17" t="s">
        <v>477</v>
      </c>
      <c r="K37343" s="18"/>
    </row>
    <row r="37344">
      <c r="B37344" s="17" t="s">
        <v>477</v>
      </c>
      <c r="K37344" s="18"/>
    </row>
    <row r="37345">
      <c r="B37345" s="17" t="s">
        <v>477</v>
      </c>
      <c r="K37345" s="18"/>
    </row>
    <row r="37346">
      <c r="B37346" s="17" t="s">
        <v>477</v>
      </c>
      <c r="K37346" s="18"/>
    </row>
    <row r="37347">
      <c r="B37347" s="17" t="s">
        <v>477</v>
      </c>
      <c r="K37347" s="18"/>
    </row>
    <row r="37348">
      <c r="B37348" s="17" t="s">
        <v>477</v>
      </c>
      <c r="K37348" s="18"/>
    </row>
    <row r="37349">
      <c r="B37349" s="17" t="s">
        <v>477</v>
      </c>
      <c r="K37349" s="18"/>
    </row>
    <row r="37350">
      <c r="B37350" s="17" t="s">
        <v>477</v>
      </c>
      <c r="K37350" s="18"/>
    </row>
    <row r="37351">
      <c r="B37351" s="17" t="s">
        <v>477</v>
      </c>
      <c r="K37351" s="18"/>
    </row>
    <row r="37352">
      <c r="B37352" s="17" t="s">
        <v>477</v>
      </c>
      <c r="K37352" s="18"/>
    </row>
    <row r="37353">
      <c r="B37353" s="17" t="s">
        <v>477</v>
      </c>
      <c r="K37353" s="18"/>
    </row>
    <row r="37354">
      <c r="B37354" s="17" t="s">
        <v>477</v>
      </c>
      <c r="K37354" s="18"/>
    </row>
    <row r="37355">
      <c r="B37355" s="17" t="s">
        <v>477</v>
      </c>
      <c r="K37355" s="18"/>
    </row>
    <row r="37356">
      <c r="B37356" s="17" t="s">
        <v>477</v>
      </c>
      <c r="K37356" s="18"/>
    </row>
    <row r="37357">
      <c r="B37357" s="17" t="s">
        <v>477</v>
      </c>
      <c r="K37357" s="18"/>
    </row>
    <row r="37358">
      <c r="B37358" s="17" t="s">
        <v>477</v>
      </c>
      <c r="K37358" s="18"/>
    </row>
    <row r="37359">
      <c r="B37359" s="17" t="s">
        <v>477</v>
      </c>
      <c r="K37359" s="18"/>
    </row>
    <row r="37360">
      <c r="B37360" s="17" t="s">
        <v>477</v>
      </c>
      <c r="K37360" s="18"/>
    </row>
    <row r="37361">
      <c r="B37361" s="17" t="s">
        <v>477</v>
      </c>
      <c r="K37361" s="18"/>
    </row>
    <row r="37362">
      <c r="B37362" s="17" t="s">
        <v>477</v>
      </c>
      <c r="K37362" s="18"/>
    </row>
    <row r="37363">
      <c r="B37363" s="17" t="s">
        <v>477</v>
      </c>
      <c r="K37363" s="18"/>
    </row>
    <row r="37364">
      <c r="B37364" s="17" t="s">
        <v>477</v>
      </c>
      <c r="K37364" s="18"/>
    </row>
    <row r="37365">
      <c r="B37365" s="17" t="s">
        <v>477</v>
      </c>
      <c r="K37365" s="18"/>
    </row>
    <row r="37366">
      <c r="B37366" s="17" t="s">
        <v>477</v>
      </c>
      <c r="K37366" s="18"/>
    </row>
    <row r="37367">
      <c r="B37367" s="17" t="s">
        <v>477</v>
      </c>
      <c r="K37367" s="18"/>
    </row>
    <row r="37368">
      <c r="B37368" s="17" t="s">
        <v>477</v>
      </c>
      <c r="K37368" s="18"/>
    </row>
    <row r="37369">
      <c r="B37369" s="17" t="s">
        <v>477</v>
      </c>
      <c r="K37369" s="18"/>
    </row>
    <row r="37370">
      <c r="B37370" s="17" t="s">
        <v>477</v>
      </c>
      <c r="K37370" s="18"/>
    </row>
    <row r="37371">
      <c r="B37371" s="17" t="s">
        <v>477</v>
      </c>
      <c r="K37371" s="18"/>
    </row>
    <row r="37372">
      <c r="B37372" s="17" t="s">
        <v>477</v>
      </c>
      <c r="K37372" s="18"/>
    </row>
    <row r="37373">
      <c r="B37373" s="17" t="s">
        <v>477</v>
      </c>
      <c r="K37373" s="18"/>
    </row>
    <row r="37374">
      <c r="B37374" s="17" t="s">
        <v>477</v>
      </c>
      <c r="K37374" s="18"/>
    </row>
    <row r="37375">
      <c r="B37375" s="17" t="s">
        <v>477</v>
      </c>
      <c r="K37375" s="18"/>
    </row>
    <row r="37376">
      <c r="B37376" s="17" t="s">
        <v>477</v>
      </c>
      <c r="K37376" s="18"/>
    </row>
    <row r="37377">
      <c r="B37377" s="17" t="s">
        <v>477</v>
      </c>
      <c r="K37377" s="18"/>
    </row>
    <row r="37378">
      <c r="B37378" s="17" t="s">
        <v>477</v>
      </c>
      <c r="K37378" s="18"/>
    </row>
    <row r="37379">
      <c r="B37379" s="17" t="s">
        <v>477</v>
      </c>
      <c r="K37379" s="18"/>
    </row>
    <row r="37380">
      <c r="B37380" s="17" t="s">
        <v>477</v>
      </c>
      <c r="K37380" s="18"/>
    </row>
    <row r="37381">
      <c r="B37381" s="17" t="s">
        <v>477</v>
      </c>
      <c r="K37381" s="18"/>
    </row>
    <row r="37382">
      <c r="B37382" s="17" t="s">
        <v>477</v>
      </c>
      <c r="K37382" s="18"/>
    </row>
    <row r="37383">
      <c r="B37383" s="17" t="s">
        <v>477</v>
      </c>
      <c r="K37383" s="18"/>
    </row>
    <row r="37384">
      <c r="B37384" s="17" t="s">
        <v>477</v>
      </c>
      <c r="K37384" s="18"/>
    </row>
    <row r="37385">
      <c r="B37385" s="17" t="s">
        <v>477</v>
      </c>
      <c r="K37385" s="18"/>
    </row>
    <row r="37386">
      <c r="B37386" s="17" t="s">
        <v>477</v>
      </c>
      <c r="K37386" s="18"/>
    </row>
    <row r="37387">
      <c r="B37387" s="17" t="s">
        <v>477</v>
      </c>
      <c r="K37387" s="18"/>
    </row>
    <row r="37388">
      <c r="B37388" s="17" t="s">
        <v>477</v>
      </c>
      <c r="K37388" s="18"/>
    </row>
    <row r="37389">
      <c r="B37389" s="17" t="s">
        <v>477</v>
      </c>
      <c r="K37389" s="18"/>
    </row>
    <row r="37390">
      <c r="B37390" s="17" t="s">
        <v>477</v>
      </c>
      <c r="K37390" s="18"/>
    </row>
    <row r="37391">
      <c r="B37391" s="17" t="s">
        <v>477</v>
      </c>
      <c r="K37391" s="18"/>
    </row>
    <row r="37392">
      <c r="B37392" s="17" t="s">
        <v>477</v>
      </c>
      <c r="K37392" s="18"/>
    </row>
    <row r="37393">
      <c r="B37393" s="17" t="s">
        <v>477</v>
      </c>
      <c r="K37393" s="18"/>
    </row>
    <row r="37394">
      <c r="B37394" s="17" t="s">
        <v>477</v>
      </c>
      <c r="K37394" s="18"/>
    </row>
    <row r="37395">
      <c r="B37395" s="17" t="s">
        <v>477</v>
      </c>
      <c r="K37395" s="18"/>
    </row>
    <row r="37396">
      <c r="B37396" s="17" t="s">
        <v>477</v>
      </c>
      <c r="K37396" s="18"/>
    </row>
    <row r="37397">
      <c r="B37397" s="17" t="s">
        <v>477</v>
      </c>
      <c r="K37397" s="18"/>
    </row>
    <row r="37398">
      <c r="B37398" s="17" t="s">
        <v>477</v>
      </c>
      <c r="K37398" s="18"/>
    </row>
    <row r="37399">
      <c r="B37399" s="17" t="s">
        <v>477</v>
      </c>
      <c r="K37399" s="18"/>
    </row>
    <row r="37400">
      <c r="B37400" s="17" t="s">
        <v>477</v>
      </c>
      <c r="K37400" s="18"/>
    </row>
    <row r="37401">
      <c r="B37401" s="17" t="s">
        <v>477</v>
      </c>
      <c r="K37401" s="18"/>
    </row>
    <row r="37402">
      <c r="B37402" s="17" t="s">
        <v>477</v>
      </c>
      <c r="K37402" s="18"/>
    </row>
    <row r="37403">
      <c r="B37403" s="17" t="s">
        <v>477</v>
      </c>
      <c r="K37403" s="18"/>
    </row>
    <row r="37404">
      <c r="B37404" s="17" t="s">
        <v>477</v>
      </c>
      <c r="K37404" s="18"/>
    </row>
    <row r="37405">
      <c r="B37405" s="17" t="s">
        <v>477</v>
      </c>
      <c r="K37405" s="18"/>
    </row>
    <row r="37406">
      <c r="B37406" s="17" t="s">
        <v>477</v>
      </c>
      <c r="K37406" s="18"/>
    </row>
    <row r="37407">
      <c r="B37407" s="17" t="s">
        <v>477</v>
      </c>
      <c r="K37407" s="18"/>
    </row>
    <row r="37408">
      <c r="B37408" s="17" t="s">
        <v>477</v>
      </c>
      <c r="K37408" s="18"/>
    </row>
    <row r="37409">
      <c r="B37409" s="17" t="s">
        <v>477</v>
      </c>
      <c r="K37409" s="18"/>
    </row>
    <row r="37410">
      <c r="B37410" s="17" t="s">
        <v>477</v>
      </c>
      <c r="K37410" s="18"/>
    </row>
    <row r="37411">
      <c r="B37411" s="17" t="s">
        <v>477</v>
      </c>
      <c r="K37411" s="18"/>
    </row>
    <row r="37412">
      <c r="B37412" s="17" t="s">
        <v>477</v>
      </c>
      <c r="K37412" s="18"/>
    </row>
    <row r="37413">
      <c r="B37413" s="17" t="s">
        <v>477</v>
      </c>
      <c r="K37413" s="18"/>
    </row>
    <row r="37414">
      <c r="B37414" s="17" t="s">
        <v>477</v>
      </c>
      <c r="K37414" s="18"/>
    </row>
    <row r="37415">
      <c r="B37415" s="17" t="s">
        <v>477</v>
      </c>
      <c r="K37415" s="18"/>
    </row>
    <row r="37416">
      <c r="B37416" s="17" t="s">
        <v>477</v>
      </c>
      <c r="K37416" s="18"/>
    </row>
    <row r="37417">
      <c r="B37417" s="17" t="s">
        <v>477</v>
      </c>
      <c r="K37417" s="18"/>
    </row>
    <row r="37418">
      <c r="B37418" s="17" t="s">
        <v>477</v>
      </c>
      <c r="K37418" s="18"/>
    </row>
    <row r="37419">
      <c r="B37419" s="17" t="s">
        <v>477</v>
      </c>
      <c r="K37419" s="18"/>
    </row>
    <row r="37420">
      <c r="B37420" s="17" t="s">
        <v>477</v>
      </c>
      <c r="K37420" s="18"/>
    </row>
    <row r="37421">
      <c r="B37421" s="17" t="s">
        <v>477</v>
      </c>
      <c r="K37421" s="18"/>
    </row>
    <row r="37422">
      <c r="B37422" s="17" t="s">
        <v>477</v>
      </c>
      <c r="K37422" s="18"/>
    </row>
    <row r="37423">
      <c r="B37423" s="17" t="s">
        <v>477</v>
      </c>
      <c r="K37423" s="18"/>
    </row>
    <row r="37424">
      <c r="B37424" s="17" t="s">
        <v>477</v>
      </c>
      <c r="K37424" s="18"/>
    </row>
    <row r="37425">
      <c r="B37425" s="17" t="s">
        <v>477</v>
      </c>
      <c r="K37425" s="18"/>
    </row>
    <row r="37426">
      <c r="B37426" s="17" t="s">
        <v>477</v>
      </c>
      <c r="K37426" s="18"/>
    </row>
    <row r="37427">
      <c r="B37427" s="17" t="s">
        <v>477</v>
      </c>
      <c r="K37427" s="18"/>
    </row>
    <row r="37428">
      <c r="B37428" s="17" t="s">
        <v>477</v>
      </c>
      <c r="K37428" s="18"/>
    </row>
    <row r="37429">
      <c r="B37429" s="17" t="s">
        <v>477</v>
      </c>
      <c r="K37429" s="18"/>
    </row>
    <row r="37430">
      <c r="B37430" s="17" t="s">
        <v>477</v>
      </c>
      <c r="K37430" s="18"/>
    </row>
    <row r="37431">
      <c r="B37431" s="17" t="s">
        <v>477</v>
      </c>
      <c r="K37431" s="18"/>
    </row>
    <row r="37432">
      <c r="B37432" s="17" t="s">
        <v>477</v>
      </c>
      <c r="K37432" s="18"/>
    </row>
    <row r="37433">
      <c r="B37433" s="17" t="s">
        <v>477</v>
      </c>
      <c r="K37433" s="18"/>
    </row>
    <row r="37434">
      <c r="B37434" s="17" t="s">
        <v>477</v>
      </c>
      <c r="K37434" s="18"/>
    </row>
    <row r="37435">
      <c r="B37435" s="17" t="s">
        <v>477</v>
      </c>
      <c r="K37435" s="18"/>
    </row>
    <row r="37436">
      <c r="B37436" s="17" t="s">
        <v>477</v>
      </c>
      <c r="K37436" s="18"/>
    </row>
    <row r="37437">
      <c r="B37437" s="17" t="s">
        <v>477</v>
      </c>
      <c r="K37437" s="18"/>
    </row>
    <row r="37438">
      <c r="B37438" s="17" t="s">
        <v>477</v>
      </c>
      <c r="K37438" s="18"/>
    </row>
    <row r="37439">
      <c r="B37439" s="17" t="s">
        <v>477</v>
      </c>
      <c r="K37439" s="18"/>
    </row>
    <row r="37440">
      <c r="B37440" s="17" t="s">
        <v>477</v>
      </c>
      <c r="K37440" s="18"/>
    </row>
    <row r="37441">
      <c r="B37441" s="17" t="s">
        <v>477</v>
      </c>
      <c r="K37441" s="18"/>
    </row>
    <row r="37442">
      <c r="B37442" s="17" t="s">
        <v>477</v>
      </c>
      <c r="K37442" s="18"/>
    </row>
    <row r="37443">
      <c r="B37443" s="17" t="s">
        <v>477</v>
      </c>
      <c r="K37443" s="18"/>
    </row>
    <row r="37444">
      <c r="B37444" s="17" t="s">
        <v>477</v>
      </c>
      <c r="K37444" s="18"/>
    </row>
    <row r="37445">
      <c r="B37445" s="17" t="s">
        <v>477</v>
      </c>
      <c r="K37445" s="18"/>
    </row>
    <row r="37446">
      <c r="B37446" s="17" t="s">
        <v>477</v>
      </c>
      <c r="K37446" s="18"/>
    </row>
    <row r="37447">
      <c r="B37447" s="17" t="s">
        <v>477</v>
      </c>
      <c r="K37447" s="18"/>
    </row>
    <row r="37448">
      <c r="B37448" s="17" t="s">
        <v>477</v>
      </c>
      <c r="K37448" s="18"/>
    </row>
    <row r="37449">
      <c r="B37449" s="17" t="s">
        <v>477</v>
      </c>
      <c r="K37449" s="18"/>
    </row>
    <row r="37450">
      <c r="B37450" s="17" t="s">
        <v>477</v>
      </c>
      <c r="K37450" s="18"/>
    </row>
    <row r="37451">
      <c r="B37451" s="17" t="s">
        <v>477</v>
      </c>
      <c r="K37451" s="18"/>
    </row>
    <row r="37452">
      <c r="B37452" s="17" t="s">
        <v>477</v>
      </c>
      <c r="K37452" s="18"/>
    </row>
    <row r="37453">
      <c r="B37453" s="17" t="s">
        <v>477</v>
      </c>
      <c r="K37453" s="18"/>
    </row>
    <row r="37454">
      <c r="B37454" s="17" t="s">
        <v>477</v>
      </c>
      <c r="K37454" s="18"/>
    </row>
    <row r="37455">
      <c r="B37455" s="17" t="s">
        <v>477</v>
      </c>
      <c r="K37455" s="18"/>
    </row>
    <row r="37456">
      <c r="B37456" s="17" t="s">
        <v>477</v>
      </c>
      <c r="K37456" s="18"/>
    </row>
    <row r="37457">
      <c r="B37457" s="17" t="s">
        <v>477</v>
      </c>
      <c r="K37457" s="18"/>
    </row>
    <row r="37458">
      <c r="B37458" s="17" t="s">
        <v>477</v>
      </c>
      <c r="K37458" s="18"/>
    </row>
    <row r="37459">
      <c r="B37459" s="17" t="s">
        <v>477</v>
      </c>
      <c r="K37459" s="18"/>
    </row>
    <row r="37460">
      <c r="B37460" s="17" t="s">
        <v>477</v>
      </c>
      <c r="K37460" s="18"/>
    </row>
    <row r="37461">
      <c r="B37461" s="17" t="s">
        <v>477</v>
      </c>
      <c r="K37461" s="18"/>
    </row>
    <row r="37462">
      <c r="B37462" s="17" t="s">
        <v>477</v>
      </c>
      <c r="K37462" s="18"/>
    </row>
    <row r="37463">
      <c r="B37463" s="17" t="s">
        <v>477</v>
      </c>
      <c r="K37463" s="18"/>
    </row>
    <row r="37464">
      <c r="B37464" s="17" t="s">
        <v>477</v>
      </c>
      <c r="K37464" s="18"/>
    </row>
    <row r="37465">
      <c r="B37465" s="17" t="s">
        <v>477</v>
      </c>
      <c r="K37465" s="18"/>
    </row>
    <row r="37466">
      <c r="B37466" s="17" t="s">
        <v>477</v>
      </c>
      <c r="K37466" s="18"/>
    </row>
    <row r="37467">
      <c r="B37467" s="17" t="s">
        <v>477</v>
      </c>
      <c r="K37467" s="18"/>
    </row>
    <row r="37468">
      <c r="B37468" s="17" t="s">
        <v>477</v>
      </c>
      <c r="K37468" s="18"/>
    </row>
    <row r="37469">
      <c r="B37469" s="17" t="s">
        <v>477</v>
      </c>
      <c r="K37469" s="18"/>
    </row>
    <row r="37470">
      <c r="B37470" s="17" t="s">
        <v>477</v>
      </c>
      <c r="K37470" s="18"/>
    </row>
    <row r="37471">
      <c r="B37471" s="17" t="s">
        <v>477</v>
      </c>
      <c r="K37471" s="18"/>
    </row>
    <row r="37472">
      <c r="B37472" s="17" t="s">
        <v>477</v>
      </c>
      <c r="K37472" s="18"/>
    </row>
    <row r="37473">
      <c r="B37473" s="17" t="s">
        <v>477</v>
      </c>
      <c r="K37473" s="18"/>
    </row>
    <row r="37474">
      <c r="B37474" s="17" t="s">
        <v>477</v>
      </c>
      <c r="K37474" s="18"/>
    </row>
    <row r="37475">
      <c r="B37475" s="17" t="s">
        <v>477</v>
      </c>
      <c r="K37475" s="18"/>
    </row>
    <row r="37476">
      <c r="B37476" s="17" t="s">
        <v>477</v>
      </c>
      <c r="K37476" s="18"/>
    </row>
    <row r="37477">
      <c r="B37477" s="17" t="s">
        <v>477</v>
      </c>
      <c r="K37477" s="18"/>
    </row>
    <row r="37478">
      <c r="B37478" s="17" t="s">
        <v>477</v>
      </c>
      <c r="K37478" s="18"/>
    </row>
    <row r="37479">
      <c r="B37479" s="17" t="s">
        <v>477</v>
      </c>
      <c r="K37479" s="18"/>
    </row>
    <row r="37480">
      <c r="B37480" s="17" t="s">
        <v>477</v>
      </c>
      <c r="K37480" s="18"/>
    </row>
    <row r="37481">
      <c r="B37481" s="17" t="s">
        <v>477</v>
      </c>
      <c r="K37481" s="18"/>
    </row>
    <row r="37482">
      <c r="B37482" s="17" t="s">
        <v>477</v>
      </c>
      <c r="K37482" s="18"/>
    </row>
    <row r="37483">
      <c r="B37483" s="17" t="s">
        <v>477</v>
      </c>
      <c r="K37483" s="18"/>
    </row>
    <row r="37484">
      <c r="B37484" s="17" t="s">
        <v>477</v>
      </c>
      <c r="K37484" s="18"/>
    </row>
    <row r="37485">
      <c r="B37485" s="17" t="s">
        <v>477</v>
      </c>
      <c r="K37485" s="18"/>
    </row>
    <row r="37486">
      <c r="B37486" s="17" t="s">
        <v>477</v>
      </c>
      <c r="K37486" s="18"/>
    </row>
    <row r="37487">
      <c r="B37487" s="17" t="s">
        <v>477</v>
      </c>
      <c r="K37487" s="18"/>
    </row>
    <row r="37488">
      <c r="B37488" s="17" t="s">
        <v>477</v>
      </c>
      <c r="K37488" s="18"/>
    </row>
    <row r="37489">
      <c r="B37489" s="17" t="s">
        <v>477</v>
      </c>
      <c r="K37489" s="18"/>
    </row>
    <row r="37490">
      <c r="B37490" s="17" t="s">
        <v>477</v>
      </c>
      <c r="K37490" s="18"/>
    </row>
    <row r="37491">
      <c r="B37491" s="17" t="s">
        <v>477</v>
      </c>
      <c r="K37491" s="18"/>
    </row>
    <row r="37492">
      <c r="B37492" s="17" t="s">
        <v>477</v>
      </c>
      <c r="K37492" s="18"/>
    </row>
    <row r="37493">
      <c r="B37493" s="17" t="s">
        <v>477</v>
      </c>
      <c r="K37493" s="18"/>
    </row>
    <row r="37494">
      <c r="B37494" s="17" t="s">
        <v>477</v>
      </c>
      <c r="K37494" s="18"/>
    </row>
    <row r="37495">
      <c r="B37495" s="17" t="s">
        <v>477</v>
      </c>
      <c r="K37495" s="18"/>
    </row>
    <row r="37496">
      <c r="B37496" s="17" t="s">
        <v>477</v>
      </c>
      <c r="K37496" s="18"/>
    </row>
    <row r="37497">
      <c r="B37497" s="17" t="s">
        <v>477</v>
      </c>
      <c r="K37497" s="18"/>
    </row>
    <row r="37498">
      <c r="B37498" s="17" t="s">
        <v>477</v>
      </c>
      <c r="K37498" s="18"/>
    </row>
    <row r="37499">
      <c r="B37499" s="17" t="s">
        <v>477</v>
      </c>
      <c r="K37499" s="18"/>
    </row>
    <row r="37500">
      <c r="B37500" s="17" t="s">
        <v>477</v>
      </c>
      <c r="K37500" s="18"/>
    </row>
    <row r="37501">
      <c r="B37501" s="17" t="s">
        <v>477</v>
      </c>
      <c r="K37501" s="18"/>
    </row>
    <row r="37502">
      <c r="B37502" s="17" t="s">
        <v>477</v>
      </c>
      <c r="K37502" s="18"/>
    </row>
    <row r="37503">
      <c r="B37503" s="17" t="s">
        <v>477</v>
      </c>
      <c r="K37503" s="18"/>
    </row>
    <row r="37504">
      <c r="B37504" s="17" t="s">
        <v>477</v>
      </c>
      <c r="K37504" s="18"/>
    </row>
    <row r="37505">
      <c r="B37505" s="17" t="s">
        <v>477</v>
      </c>
      <c r="K37505" s="18"/>
    </row>
    <row r="37506">
      <c r="B37506" s="17" t="s">
        <v>477</v>
      </c>
      <c r="K37506" s="18"/>
    </row>
    <row r="37507">
      <c r="B37507" s="17" t="s">
        <v>477</v>
      </c>
      <c r="K37507" s="18"/>
    </row>
    <row r="37508">
      <c r="B37508" s="17" t="s">
        <v>477</v>
      </c>
      <c r="K37508" s="18"/>
    </row>
    <row r="37509">
      <c r="B37509" s="17" t="s">
        <v>477</v>
      </c>
      <c r="K37509" s="18"/>
    </row>
    <row r="37510">
      <c r="B37510" s="17" t="s">
        <v>477</v>
      </c>
      <c r="K37510" s="18"/>
    </row>
    <row r="37511">
      <c r="B37511" s="17" t="s">
        <v>477</v>
      </c>
      <c r="K37511" s="18"/>
    </row>
    <row r="37512">
      <c r="B37512" s="17" t="s">
        <v>477</v>
      </c>
      <c r="K37512" s="18"/>
    </row>
    <row r="37513">
      <c r="B37513" s="17" t="s">
        <v>477</v>
      </c>
      <c r="K37513" s="18"/>
    </row>
    <row r="37514">
      <c r="B37514" s="17" t="s">
        <v>477</v>
      </c>
      <c r="K37514" s="18"/>
    </row>
    <row r="37515">
      <c r="B37515" s="17" t="s">
        <v>477</v>
      </c>
      <c r="K37515" s="18"/>
    </row>
    <row r="37516">
      <c r="B37516" s="17" t="s">
        <v>477</v>
      </c>
      <c r="K37516" s="18"/>
    </row>
    <row r="37517">
      <c r="B37517" s="17" t="s">
        <v>477</v>
      </c>
      <c r="K37517" s="18"/>
    </row>
    <row r="37518">
      <c r="B37518" s="17" t="s">
        <v>477</v>
      </c>
      <c r="K37518" s="18"/>
    </row>
    <row r="37519">
      <c r="B37519" s="17" t="s">
        <v>477</v>
      </c>
      <c r="K37519" s="18"/>
    </row>
    <row r="37520">
      <c r="B37520" s="17" t="s">
        <v>477</v>
      </c>
      <c r="K37520" s="18"/>
    </row>
    <row r="37521">
      <c r="B37521" s="17" t="s">
        <v>477</v>
      </c>
      <c r="K37521" s="18"/>
    </row>
    <row r="37522">
      <c r="B37522" s="17" t="s">
        <v>477</v>
      </c>
      <c r="K37522" s="18"/>
    </row>
    <row r="37523">
      <c r="B37523" s="17" t="s">
        <v>477</v>
      </c>
      <c r="K37523" s="18"/>
    </row>
    <row r="37524">
      <c r="B37524" s="17" t="s">
        <v>477</v>
      </c>
      <c r="K37524" s="18"/>
    </row>
    <row r="37525">
      <c r="B37525" s="17" t="s">
        <v>477</v>
      </c>
      <c r="K37525" s="18"/>
    </row>
    <row r="37526">
      <c r="B37526" s="17" t="s">
        <v>477</v>
      </c>
      <c r="K37526" s="18"/>
    </row>
    <row r="37527">
      <c r="B37527" s="17" t="s">
        <v>477</v>
      </c>
      <c r="K37527" s="18"/>
    </row>
    <row r="37528">
      <c r="B37528" s="17" t="s">
        <v>477</v>
      </c>
      <c r="K37528" s="18"/>
    </row>
    <row r="37529">
      <c r="B37529" s="17" t="s">
        <v>477</v>
      </c>
      <c r="K37529" s="18"/>
    </row>
    <row r="37530">
      <c r="B37530" s="17" t="s">
        <v>477</v>
      </c>
      <c r="K37530" s="18"/>
    </row>
    <row r="37531">
      <c r="B37531" s="17" t="s">
        <v>477</v>
      </c>
      <c r="K37531" s="18"/>
    </row>
    <row r="37532">
      <c r="B37532" s="17" t="s">
        <v>477</v>
      </c>
      <c r="K37532" s="18"/>
    </row>
    <row r="37533">
      <c r="B37533" s="17" t="s">
        <v>477</v>
      </c>
      <c r="K37533" s="18"/>
    </row>
    <row r="37534">
      <c r="B37534" s="17" t="s">
        <v>477</v>
      </c>
      <c r="K37534" s="18"/>
    </row>
    <row r="37535">
      <c r="B37535" s="17" t="s">
        <v>477</v>
      </c>
      <c r="K37535" s="18"/>
    </row>
    <row r="37536">
      <c r="B37536" s="17" t="s">
        <v>477</v>
      </c>
      <c r="K37536" s="18"/>
    </row>
    <row r="37537">
      <c r="B37537" s="17" t="s">
        <v>477</v>
      </c>
      <c r="K37537" s="18"/>
    </row>
    <row r="37538">
      <c r="B37538" s="17" t="s">
        <v>477</v>
      </c>
      <c r="K37538" s="18"/>
    </row>
    <row r="37539">
      <c r="B37539" s="17" t="s">
        <v>477</v>
      </c>
      <c r="K37539" s="18"/>
    </row>
    <row r="37540">
      <c r="B37540" s="17" t="s">
        <v>477</v>
      </c>
      <c r="K37540" s="18"/>
    </row>
    <row r="37541">
      <c r="B37541" s="17" t="s">
        <v>477</v>
      </c>
      <c r="K37541" s="18"/>
    </row>
    <row r="37542">
      <c r="B37542" s="17" t="s">
        <v>477</v>
      </c>
      <c r="K37542" s="18"/>
    </row>
    <row r="37543">
      <c r="B37543" s="17" t="s">
        <v>477</v>
      </c>
      <c r="K37543" s="18"/>
    </row>
    <row r="37544">
      <c r="B37544" s="17" t="s">
        <v>477</v>
      </c>
      <c r="K37544" s="18"/>
    </row>
    <row r="37545">
      <c r="B37545" s="17" t="s">
        <v>477</v>
      </c>
      <c r="K37545" s="18"/>
    </row>
    <row r="37546">
      <c r="B37546" s="17" t="s">
        <v>477</v>
      </c>
      <c r="K37546" s="18"/>
    </row>
    <row r="37547">
      <c r="B37547" s="17" t="s">
        <v>477</v>
      </c>
      <c r="K37547" s="18"/>
    </row>
    <row r="37548">
      <c r="B37548" s="17" t="s">
        <v>477</v>
      </c>
      <c r="K37548" s="18"/>
    </row>
    <row r="37549">
      <c r="B37549" s="17" t="s">
        <v>477</v>
      </c>
      <c r="K37549" s="18"/>
    </row>
    <row r="37550">
      <c r="B37550" s="17" t="s">
        <v>477</v>
      </c>
      <c r="K37550" s="18"/>
    </row>
    <row r="37551">
      <c r="B37551" s="17" t="s">
        <v>477</v>
      </c>
      <c r="K37551" s="18"/>
    </row>
    <row r="37552">
      <c r="B37552" s="17" t="s">
        <v>477</v>
      </c>
      <c r="K37552" s="18"/>
    </row>
    <row r="37553">
      <c r="B37553" s="17" t="s">
        <v>477</v>
      </c>
      <c r="K37553" s="18"/>
    </row>
    <row r="37554">
      <c r="B37554" s="17" t="s">
        <v>477</v>
      </c>
      <c r="K37554" s="18"/>
    </row>
    <row r="37555">
      <c r="B37555" s="17" t="s">
        <v>477</v>
      </c>
      <c r="K37555" s="18"/>
    </row>
    <row r="37556">
      <c r="B37556" s="17" t="s">
        <v>477</v>
      </c>
      <c r="K37556" s="18"/>
    </row>
    <row r="37557">
      <c r="B37557" s="17" t="s">
        <v>477</v>
      </c>
      <c r="K37557" s="18"/>
    </row>
    <row r="37558">
      <c r="B37558" s="17" t="s">
        <v>477</v>
      </c>
      <c r="K37558" s="18"/>
    </row>
    <row r="37559">
      <c r="B37559" s="17" t="s">
        <v>477</v>
      </c>
      <c r="K37559" s="18"/>
    </row>
    <row r="37560">
      <c r="B37560" s="17" t="s">
        <v>477</v>
      </c>
      <c r="K37560" s="18"/>
    </row>
    <row r="37561">
      <c r="B37561" s="17" t="s">
        <v>477</v>
      </c>
      <c r="K37561" s="18"/>
    </row>
    <row r="37562">
      <c r="B37562" s="17" t="s">
        <v>477</v>
      </c>
      <c r="K37562" s="18"/>
    </row>
    <row r="37563">
      <c r="B37563" s="17" t="s">
        <v>477</v>
      </c>
      <c r="K37563" s="18"/>
    </row>
    <row r="37564">
      <c r="B37564" s="17" t="s">
        <v>477</v>
      </c>
      <c r="K37564" s="18"/>
    </row>
    <row r="37565">
      <c r="B37565" s="17" t="s">
        <v>477</v>
      </c>
      <c r="K37565" s="18"/>
    </row>
    <row r="37566">
      <c r="B37566" s="17" t="s">
        <v>477</v>
      </c>
      <c r="K37566" s="18"/>
    </row>
    <row r="37567">
      <c r="B37567" s="17" t="s">
        <v>477</v>
      </c>
      <c r="K37567" s="18"/>
    </row>
    <row r="37568">
      <c r="B37568" s="17" t="s">
        <v>477</v>
      </c>
      <c r="K37568" s="18"/>
    </row>
    <row r="37569">
      <c r="B37569" s="17" t="s">
        <v>477</v>
      </c>
      <c r="K37569" s="18"/>
    </row>
    <row r="37570">
      <c r="B37570" s="17" t="s">
        <v>477</v>
      </c>
      <c r="K37570" s="18"/>
    </row>
    <row r="37571">
      <c r="B37571" s="17" t="s">
        <v>477</v>
      </c>
      <c r="K37571" s="18"/>
    </row>
    <row r="37572">
      <c r="B37572" s="17" t="s">
        <v>477</v>
      </c>
      <c r="K37572" s="18"/>
    </row>
    <row r="37573">
      <c r="B37573" s="17" t="s">
        <v>477</v>
      </c>
      <c r="K37573" s="18"/>
    </row>
    <row r="37574">
      <c r="B37574" s="17" t="s">
        <v>477</v>
      </c>
      <c r="K37574" s="18"/>
    </row>
    <row r="37575">
      <c r="B37575" s="17" t="s">
        <v>477</v>
      </c>
      <c r="K37575" s="18"/>
    </row>
    <row r="37576">
      <c r="B37576" s="17" t="s">
        <v>477</v>
      </c>
      <c r="K37576" s="18"/>
    </row>
    <row r="37577">
      <c r="B37577" s="17" t="s">
        <v>477</v>
      </c>
      <c r="K37577" s="18"/>
    </row>
    <row r="37578">
      <c r="B37578" s="17" t="s">
        <v>477</v>
      </c>
      <c r="K37578" s="18"/>
    </row>
    <row r="37579">
      <c r="B37579" s="17" t="s">
        <v>477</v>
      </c>
      <c r="K37579" s="18"/>
    </row>
    <row r="37580">
      <c r="B37580" s="17" t="s">
        <v>477</v>
      </c>
      <c r="K37580" s="18"/>
    </row>
    <row r="37581">
      <c r="B37581" s="17" t="s">
        <v>477</v>
      </c>
      <c r="K37581" s="18"/>
    </row>
    <row r="37582">
      <c r="B37582" s="17" t="s">
        <v>477</v>
      </c>
      <c r="K37582" s="18"/>
    </row>
    <row r="37583">
      <c r="B37583" s="17" t="s">
        <v>477</v>
      </c>
      <c r="K37583" s="18"/>
    </row>
    <row r="37584">
      <c r="B37584" s="17" t="s">
        <v>477</v>
      </c>
      <c r="K37584" s="18"/>
    </row>
    <row r="37585">
      <c r="B37585" s="17" t="s">
        <v>477</v>
      </c>
      <c r="K37585" s="18"/>
    </row>
    <row r="37586">
      <c r="B37586" s="17" t="s">
        <v>477</v>
      </c>
      <c r="K37586" s="18"/>
    </row>
    <row r="37587">
      <c r="B37587" s="17" t="s">
        <v>477</v>
      </c>
      <c r="K37587" s="18"/>
    </row>
    <row r="37588">
      <c r="B37588" s="17" t="s">
        <v>477</v>
      </c>
      <c r="K37588" s="18"/>
    </row>
    <row r="37589">
      <c r="B37589" s="17" t="s">
        <v>477</v>
      </c>
      <c r="K37589" s="18"/>
    </row>
    <row r="37590">
      <c r="B37590" s="17" t="s">
        <v>477</v>
      </c>
      <c r="K37590" s="18"/>
    </row>
    <row r="37591">
      <c r="B37591" s="17" t="s">
        <v>477</v>
      </c>
      <c r="K37591" s="18"/>
    </row>
    <row r="37592">
      <c r="B37592" s="17" t="s">
        <v>477</v>
      </c>
      <c r="K37592" s="18"/>
    </row>
    <row r="37593">
      <c r="B37593" s="17" t="s">
        <v>477</v>
      </c>
      <c r="K37593" s="18"/>
    </row>
    <row r="37594">
      <c r="B37594" s="17" t="s">
        <v>477</v>
      </c>
      <c r="K37594" s="18"/>
    </row>
    <row r="37595">
      <c r="B37595" s="17" t="s">
        <v>477</v>
      </c>
      <c r="K37595" s="18"/>
    </row>
    <row r="37596">
      <c r="B37596" s="17" t="s">
        <v>477</v>
      </c>
      <c r="K37596" s="18"/>
    </row>
    <row r="37597">
      <c r="B37597" s="17" t="s">
        <v>477</v>
      </c>
      <c r="K37597" s="18"/>
    </row>
    <row r="37598">
      <c r="B37598" s="17" t="s">
        <v>477</v>
      </c>
      <c r="K37598" s="18"/>
    </row>
    <row r="37599">
      <c r="B37599" s="17" t="s">
        <v>477</v>
      </c>
      <c r="K37599" s="18"/>
    </row>
    <row r="37600">
      <c r="B37600" s="17" t="s">
        <v>477</v>
      </c>
      <c r="K37600" s="18"/>
    </row>
    <row r="37601">
      <c r="B37601" s="17" t="s">
        <v>477</v>
      </c>
      <c r="K37601" s="18"/>
    </row>
    <row r="37602">
      <c r="B37602" s="17" t="s">
        <v>477</v>
      </c>
      <c r="K37602" s="18"/>
    </row>
    <row r="37603">
      <c r="B37603" s="17" t="s">
        <v>477</v>
      </c>
      <c r="K37603" s="18"/>
    </row>
    <row r="37604">
      <c r="B37604" s="17" t="s">
        <v>477</v>
      </c>
      <c r="K37604" s="18"/>
    </row>
    <row r="37605">
      <c r="B37605" s="17" t="s">
        <v>477</v>
      </c>
      <c r="K37605" s="18"/>
    </row>
    <row r="37606">
      <c r="B37606" s="17" t="s">
        <v>477</v>
      </c>
      <c r="K37606" s="18"/>
    </row>
    <row r="37607">
      <c r="B37607" s="17" t="s">
        <v>477</v>
      </c>
      <c r="K37607" s="18"/>
    </row>
    <row r="37608">
      <c r="B37608" s="17" t="s">
        <v>477</v>
      </c>
      <c r="K37608" s="18"/>
    </row>
    <row r="37609">
      <c r="B37609" s="17" t="s">
        <v>477</v>
      </c>
      <c r="K37609" s="18"/>
    </row>
    <row r="37610">
      <c r="B37610" s="17" t="s">
        <v>477</v>
      </c>
      <c r="K37610" s="18"/>
    </row>
    <row r="37611">
      <c r="B37611" s="17" t="s">
        <v>477</v>
      </c>
      <c r="K37611" s="18"/>
    </row>
    <row r="37612">
      <c r="B37612" s="17" t="s">
        <v>477</v>
      </c>
      <c r="K37612" s="18"/>
    </row>
    <row r="37613">
      <c r="B37613" s="17" t="s">
        <v>477</v>
      </c>
      <c r="K37613" s="18"/>
    </row>
    <row r="37614">
      <c r="B37614" s="17" t="s">
        <v>477</v>
      </c>
      <c r="K37614" s="18"/>
    </row>
    <row r="37615">
      <c r="B37615" s="17" t="s">
        <v>477</v>
      </c>
      <c r="K37615" s="18"/>
    </row>
    <row r="37616">
      <c r="B37616" s="17" t="s">
        <v>477</v>
      </c>
      <c r="K37616" s="18"/>
    </row>
    <row r="37617">
      <c r="B37617" s="17" t="s">
        <v>477</v>
      </c>
      <c r="K37617" s="18"/>
    </row>
    <row r="37618">
      <c r="B37618" s="17" t="s">
        <v>477</v>
      </c>
      <c r="K37618" s="18"/>
    </row>
    <row r="37619">
      <c r="B37619" s="17" t="s">
        <v>477</v>
      </c>
      <c r="K37619" s="18"/>
    </row>
    <row r="37620">
      <c r="B37620" s="17" t="s">
        <v>477</v>
      </c>
      <c r="K37620" s="18"/>
    </row>
    <row r="37621">
      <c r="B37621" s="17" t="s">
        <v>477</v>
      </c>
      <c r="K37621" s="18"/>
    </row>
    <row r="37622">
      <c r="B37622" s="17" t="s">
        <v>477</v>
      </c>
      <c r="K37622" s="18"/>
    </row>
    <row r="37623">
      <c r="B37623" s="17" t="s">
        <v>477</v>
      </c>
      <c r="K37623" s="18"/>
    </row>
    <row r="37624">
      <c r="B37624" s="17" t="s">
        <v>477</v>
      </c>
      <c r="K37624" s="18"/>
    </row>
    <row r="37625">
      <c r="B37625" s="17" t="s">
        <v>477</v>
      </c>
      <c r="K37625" s="18"/>
    </row>
    <row r="37626">
      <c r="B37626" s="17" t="s">
        <v>477</v>
      </c>
      <c r="K37626" s="18"/>
    </row>
    <row r="37627">
      <c r="B37627" s="17" t="s">
        <v>477</v>
      </c>
      <c r="K37627" s="18"/>
    </row>
    <row r="37628">
      <c r="B37628" s="17" t="s">
        <v>477</v>
      </c>
      <c r="K37628" s="18"/>
    </row>
    <row r="37629">
      <c r="B37629" s="17" t="s">
        <v>477</v>
      </c>
      <c r="K37629" s="18"/>
    </row>
    <row r="37630">
      <c r="B37630" s="17" t="s">
        <v>477</v>
      </c>
      <c r="K37630" s="18"/>
    </row>
    <row r="37631">
      <c r="B37631" s="17" t="s">
        <v>477</v>
      </c>
      <c r="K37631" s="18"/>
    </row>
    <row r="37632">
      <c r="B37632" s="17" t="s">
        <v>477</v>
      </c>
      <c r="K37632" s="18"/>
    </row>
    <row r="37633">
      <c r="B37633" s="17" t="s">
        <v>477</v>
      </c>
      <c r="K37633" s="18"/>
    </row>
    <row r="37634">
      <c r="B37634" s="17" t="s">
        <v>477</v>
      </c>
      <c r="K37634" s="18"/>
    </row>
    <row r="37635">
      <c r="B37635" s="17" t="s">
        <v>477</v>
      </c>
      <c r="K37635" s="18"/>
    </row>
    <row r="37636">
      <c r="B37636" s="17" t="s">
        <v>477</v>
      </c>
      <c r="K37636" s="18"/>
    </row>
    <row r="37637">
      <c r="B37637" s="17" t="s">
        <v>477</v>
      </c>
      <c r="K37637" s="18"/>
    </row>
    <row r="37638">
      <c r="B37638" s="17" t="s">
        <v>477</v>
      </c>
      <c r="K37638" s="18"/>
    </row>
    <row r="37639">
      <c r="B37639" s="17" t="s">
        <v>477</v>
      </c>
      <c r="K37639" s="18"/>
    </row>
    <row r="37640">
      <c r="B37640" s="17" t="s">
        <v>477</v>
      </c>
      <c r="K37640" s="18"/>
    </row>
    <row r="37641">
      <c r="B37641" s="17" t="s">
        <v>477</v>
      </c>
      <c r="K37641" s="18"/>
    </row>
    <row r="37642">
      <c r="B37642" s="17" t="s">
        <v>477</v>
      </c>
      <c r="K37642" s="18"/>
    </row>
    <row r="37643">
      <c r="B37643" s="17" t="s">
        <v>477</v>
      </c>
      <c r="K37643" s="18"/>
    </row>
    <row r="37644">
      <c r="B37644" s="17" t="s">
        <v>477</v>
      </c>
      <c r="K37644" s="18"/>
    </row>
    <row r="37645">
      <c r="B37645" s="17" t="s">
        <v>477</v>
      </c>
      <c r="K37645" s="18"/>
    </row>
    <row r="37646">
      <c r="B37646" s="17" t="s">
        <v>477</v>
      </c>
      <c r="K37646" s="18"/>
    </row>
    <row r="37647">
      <c r="B37647" s="17" t="s">
        <v>477</v>
      </c>
      <c r="K37647" s="18"/>
    </row>
    <row r="37648">
      <c r="B37648" s="17" t="s">
        <v>477</v>
      </c>
      <c r="K37648" s="18"/>
    </row>
    <row r="37649">
      <c r="B37649" s="17" t="s">
        <v>477</v>
      </c>
      <c r="K37649" s="18"/>
    </row>
    <row r="37650">
      <c r="B37650" s="17" t="s">
        <v>477</v>
      </c>
      <c r="K37650" s="18"/>
    </row>
    <row r="37651">
      <c r="B37651" s="17" t="s">
        <v>477</v>
      </c>
      <c r="K37651" s="18"/>
    </row>
    <row r="37652">
      <c r="B37652" s="17" t="s">
        <v>477</v>
      </c>
      <c r="K37652" s="18"/>
    </row>
    <row r="37653">
      <c r="B37653" s="17" t="s">
        <v>477</v>
      </c>
      <c r="K37653" s="18"/>
    </row>
    <row r="37654">
      <c r="B37654" s="17" t="s">
        <v>477</v>
      </c>
      <c r="K37654" s="18"/>
    </row>
    <row r="37655">
      <c r="B37655" s="17" t="s">
        <v>477</v>
      </c>
      <c r="K37655" s="18"/>
    </row>
    <row r="37656">
      <c r="B37656" s="17" t="s">
        <v>477</v>
      </c>
      <c r="K37656" s="18"/>
    </row>
    <row r="37657">
      <c r="B37657" s="17" t="s">
        <v>477</v>
      </c>
      <c r="K37657" s="18"/>
    </row>
    <row r="37658">
      <c r="B37658" s="17" t="s">
        <v>477</v>
      </c>
      <c r="K37658" s="18"/>
    </row>
    <row r="37659">
      <c r="B37659" s="17" t="s">
        <v>477</v>
      </c>
      <c r="K37659" s="18"/>
    </row>
    <row r="37660">
      <c r="B37660" s="17" t="s">
        <v>477</v>
      </c>
      <c r="K37660" s="18"/>
    </row>
    <row r="37661">
      <c r="B37661" s="17" t="s">
        <v>477</v>
      </c>
      <c r="K37661" s="18"/>
    </row>
    <row r="37662">
      <c r="B37662" s="17" t="s">
        <v>477</v>
      </c>
      <c r="K37662" s="18"/>
    </row>
    <row r="37663">
      <c r="B37663" s="17" t="s">
        <v>477</v>
      </c>
      <c r="K37663" s="18"/>
    </row>
    <row r="37664">
      <c r="B37664" s="17" t="s">
        <v>477</v>
      </c>
      <c r="K37664" s="18"/>
    </row>
    <row r="37665">
      <c r="B37665" s="17" t="s">
        <v>477</v>
      </c>
      <c r="K37665" s="18"/>
    </row>
    <row r="37666">
      <c r="B37666" s="17" t="s">
        <v>477</v>
      </c>
      <c r="K37666" s="18"/>
    </row>
    <row r="37667">
      <c r="B37667" s="17" t="s">
        <v>477</v>
      </c>
      <c r="K37667" s="18"/>
    </row>
    <row r="37668">
      <c r="B37668" s="17" t="s">
        <v>477</v>
      </c>
      <c r="K37668" s="18"/>
    </row>
    <row r="37669">
      <c r="B37669" s="17" t="s">
        <v>477</v>
      </c>
      <c r="K37669" s="18"/>
    </row>
    <row r="37670">
      <c r="B37670" s="17" t="s">
        <v>477</v>
      </c>
      <c r="K37670" s="18"/>
    </row>
    <row r="37671">
      <c r="B37671" s="17" t="s">
        <v>477</v>
      </c>
      <c r="K37671" s="18"/>
    </row>
    <row r="37672">
      <c r="B37672" s="17" t="s">
        <v>477</v>
      </c>
      <c r="K37672" s="18"/>
    </row>
    <row r="37673">
      <c r="B37673" s="17" t="s">
        <v>477</v>
      </c>
      <c r="K37673" s="18"/>
    </row>
    <row r="37674">
      <c r="B37674" s="17" t="s">
        <v>477</v>
      </c>
      <c r="K37674" s="18"/>
    </row>
    <row r="37675">
      <c r="B37675" s="17" t="s">
        <v>477</v>
      </c>
      <c r="K37675" s="18"/>
    </row>
    <row r="37676">
      <c r="B37676" s="17" t="s">
        <v>477</v>
      </c>
      <c r="K37676" s="18"/>
    </row>
    <row r="37677">
      <c r="B37677" s="17" t="s">
        <v>477</v>
      </c>
      <c r="K37677" s="18"/>
    </row>
    <row r="37678">
      <c r="B37678" s="17" t="s">
        <v>477</v>
      </c>
      <c r="K37678" s="18"/>
    </row>
    <row r="37679">
      <c r="B37679" s="17" t="s">
        <v>477</v>
      </c>
      <c r="K37679" s="18"/>
    </row>
    <row r="37680">
      <c r="B37680" s="17" t="s">
        <v>477</v>
      </c>
      <c r="K37680" s="18"/>
    </row>
    <row r="37681">
      <c r="B37681" s="17" t="s">
        <v>477</v>
      </c>
      <c r="K37681" s="18"/>
    </row>
    <row r="37682">
      <c r="B37682" s="17" t="s">
        <v>477</v>
      </c>
      <c r="K37682" s="18"/>
    </row>
    <row r="37683">
      <c r="B37683" s="17" t="s">
        <v>477</v>
      </c>
      <c r="K37683" s="18"/>
    </row>
    <row r="37684">
      <c r="B37684" s="17" t="s">
        <v>477</v>
      </c>
      <c r="K37684" s="18"/>
    </row>
    <row r="37685">
      <c r="B37685" s="17" t="s">
        <v>477</v>
      </c>
      <c r="K37685" s="18"/>
    </row>
    <row r="37686">
      <c r="B37686" s="17" t="s">
        <v>477</v>
      </c>
      <c r="K37686" s="18"/>
    </row>
    <row r="37687">
      <c r="B37687" s="17" t="s">
        <v>477</v>
      </c>
      <c r="K37687" s="18"/>
    </row>
    <row r="37688">
      <c r="B37688" s="17" t="s">
        <v>477</v>
      </c>
      <c r="K37688" s="18"/>
    </row>
    <row r="37689">
      <c r="B37689" s="17" t="s">
        <v>477</v>
      </c>
      <c r="K37689" s="18"/>
    </row>
    <row r="37690">
      <c r="B37690" s="17" t="s">
        <v>477</v>
      </c>
      <c r="K37690" s="18"/>
    </row>
    <row r="37691">
      <c r="B37691" s="17" t="s">
        <v>477</v>
      </c>
      <c r="K37691" s="18"/>
    </row>
    <row r="37692">
      <c r="B37692" s="17" t="s">
        <v>477</v>
      </c>
      <c r="K37692" s="18"/>
    </row>
    <row r="37693">
      <c r="B37693" s="17" t="s">
        <v>477</v>
      </c>
      <c r="K37693" s="18"/>
    </row>
    <row r="37694">
      <c r="B37694" s="17" t="s">
        <v>477</v>
      </c>
      <c r="K37694" s="18"/>
    </row>
    <row r="37695">
      <c r="B37695" s="17" t="s">
        <v>477</v>
      </c>
      <c r="K37695" s="18"/>
    </row>
    <row r="37696">
      <c r="B37696" s="17" t="s">
        <v>477</v>
      </c>
      <c r="K37696" s="18"/>
    </row>
    <row r="37697">
      <c r="B37697" s="17" t="s">
        <v>477</v>
      </c>
      <c r="K37697" s="18"/>
    </row>
    <row r="37698">
      <c r="B37698" s="17" t="s">
        <v>477</v>
      </c>
      <c r="K37698" s="18"/>
    </row>
    <row r="37699">
      <c r="B37699" s="17" t="s">
        <v>477</v>
      </c>
      <c r="K37699" s="18"/>
    </row>
    <row r="37700">
      <c r="B37700" s="17" t="s">
        <v>477</v>
      </c>
      <c r="K37700" s="18"/>
    </row>
    <row r="37701">
      <c r="B37701" s="17" t="s">
        <v>477</v>
      </c>
      <c r="K37701" s="18"/>
    </row>
    <row r="37702">
      <c r="B37702" s="17" t="s">
        <v>477</v>
      </c>
      <c r="K37702" s="18"/>
    </row>
    <row r="37703">
      <c r="B37703" s="17" t="s">
        <v>477</v>
      </c>
      <c r="K37703" s="18"/>
    </row>
    <row r="37704">
      <c r="B37704" s="17" t="s">
        <v>477</v>
      </c>
      <c r="K37704" s="18"/>
    </row>
    <row r="37705">
      <c r="B37705" s="17" t="s">
        <v>477</v>
      </c>
      <c r="K37705" s="18"/>
    </row>
    <row r="37706">
      <c r="B37706" s="17" t="s">
        <v>477</v>
      </c>
      <c r="K37706" s="18"/>
    </row>
    <row r="37707">
      <c r="B37707" s="17" t="s">
        <v>477</v>
      </c>
      <c r="K37707" s="18"/>
    </row>
    <row r="37708">
      <c r="B37708" s="17" t="s">
        <v>477</v>
      </c>
      <c r="K37708" s="18"/>
    </row>
    <row r="37709">
      <c r="B37709" s="17" t="s">
        <v>477</v>
      </c>
      <c r="K37709" s="18"/>
    </row>
    <row r="37710">
      <c r="B37710" s="17" t="s">
        <v>477</v>
      </c>
      <c r="K37710" s="18"/>
    </row>
    <row r="37711">
      <c r="B37711" s="17" t="s">
        <v>477</v>
      </c>
      <c r="K37711" s="18"/>
    </row>
    <row r="37712">
      <c r="B37712" s="17" t="s">
        <v>477</v>
      </c>
      <c r="K37712" s="18"/>
    </row>
    <row r="37713">
      <c r="B37713" s="17" t="s">
        <v>477</v>
      </c>
      <c r="K37713" s="18"/>
    </row>
    <row r="37714">
      <c r="B37714" s="17" t="s">
        <v>477</v>
      </c>
      <c r="K37714" s="18"/>
    </row>
    <row r="37715">
      <c r="B37715" s="17" t="s">
        <v>477</v>
      </c>
      <c r="K37715" s="18"/>
    </row>
    <row r="37716">
      <c r="B37716" s="17" t="s">
        <v>477</v>
      </c>
      <c r="K37716" s="18"/>
    </row>
    <row r="37717">
      <c r="B37717" s="17" t="s">
        <v>477</v>
      </c>
      <c r="K37717" s="18"/>
    </row>
    <row r="37718">
      <c r="B37718" s="17" t="s">
        <v>477</v>
      </c>
      <c r="K37718" s="18"/>
    </row>
    <row r="37719">
      <c r="B37719" s="17" t="s">
        <v>477</v>
      </c>
      <c r="K37719" s="18"/>
    </row>
    <row r="37720">
      <c r="B37720" s="17" t="s">
        <v>477</v>
      </c>
      <c r="K37720" s="18"/>
    </row>
    <row r="37721">
      <c r="B37721" s="17" t="s">
        <v>477</v>
      </c>
      <c r="K37721" s="18"/>
    </row>
    <row r="37722">
      <c r="B37722" s="17" t="s">
        <v>477</v>
      </c>
      <c r="K37722" s="18"/>
    </row>
    <row r="37723">
      <c r="B37723" s="17" t="s">
        <v>477</v>
      </c>
      <c r="K37723" s="18"/>
    </row>
    <row r="37724">
      <c r="B37724" s="17" t="s">
        <v>477</v>
      </c>
      <c r="K37724" s="18"/>
    </row>
    <row r="37725">
      <c r="B37725" s="17" t="s">
        <v>477</v>
      </c>
      <c r="K37725" s="18"/>
    </row>
    <row r="37726">
      <c r="B37726" s="17" t="s">
        <v>477</v>
      </c>
      <c r="K37726" s="18"/>
    </row>
    <row r="37727">
      <c r="B37727" s="17" t="s">
        <v>477</v>
      </c>
      <c r="K37727" s="18"/>
    </row>
    <row r="37728">
      <c r="B37728" s="17" t="s">
        <v>477</v>
      </c>
      <c r="K37728" s="18"/>
    </row>
    <row r="37729">
      <c r="B37729" s="17" t="s">
        <v>477</v>
      </c>
      <c r="K37729" s="18"/>
    </row>
    <row r="37730">
      <c r="B37730" s="17" t="s">
        <v>477</v>
      </c>
      <c r="K37730" s="18"/>
    </row>
    <row r="37731">
      <c r="B37731" s="17" t="s">
        <v>477</v>
      </c>
      <c r="K37731" s="18"/>
    </row>
    <row r="37732">
      <c r="B37732" s="17" t="s">
        <v>477</v>
      </c>
      <c r="K37732" s="18"/>
    </row>
    <row r="37733">
      <c r="B37733" s="17" t="s">
        <v>477</v>
      </c>
      <c r="K37733" s="18"/>
    </row>
    <row r="37734">
      <c r="B37734" s="17" t="s">
        <v>477</v>
      </c>
      <c r="K37734" s="18"/>
    </row>
    <row r="37735">
      <c r="B37735" s="17" t="s">
        <v>477</v>
      </c>
      <c r="K37735" s="18"/>
    </row>
    <row r="37736">
      <c r="B37736" s="17" t="s">
        <v>477</v>
      </c>
      <c r="K37736" s="18"/>
    </row>
    <row r="37737">
      <c r="B37737" s="17" t="s">
        <v>477</v>
      </c>
      <c r="K37737" s="18"/>
    </row>
    <row r="37738">
      <c r="B37738" s="17" t="s">
        <v>477</v>
      </c>
      <c r="K37738" s="18"/>
    </row>
    <row r="37739">
      <c r="B37739" s="17" t="s">
        <v>477</v>
      </c>
      <c r="K37739" s="18"/>
    </row>
    <row r="37740">
      <c r="B37740" s="17" t="s">
        <v>477</v>
      </c>
      <c r="K37740" s="18"/>
    </row>
    <row r="37741">
      <c r="B37741" s="17" t="s">
        <v>477</v>
      </c>
      <c r="K37741" s="18"/>
    </row>
    <row r="37742">
      <c r="B37742" s="17" t="s">
        <v>477</v>
      </c>
      <c r="K37742" s="18"/>
    </row>
    <row r="37743">
      <c r="B37743" s="17" t="s">
        <v>477</v>
      </c>
      <c r="K37743" s="18"/>
    </row>
    <row r="37744">
      <c r="B37744" s="17" t="s">
        <v>477</v>
      </c>
      <c r="K37744" s="18"/>
    </row>
    <row r="37745">
      <c r="B37745" s="17" t="s">
        <v>477</v>
      </c>
      <c r="K37745" s="18"/>
    </row>
    <row r="37746">
      <c r="B37746" s="17" t="s">
        <v>477</v>
      </c>
      <c r="K37746" s="18"/>
    </row>
    <row r="37747">
      <c r="B37747" s="17" t="s">
        <v>477</v>
      </c>
      <c r="K37747" s="18"/>
    </row>
    <row r="37748">
      <c r="B37748" s="17" t="s">
        <v>477</v>
      </c>
      <c r="K37748" s="18"/>
    </row>
    <row r="37749">
      <c r="B37749" s="17" t="s">
        <v>477</v>
      </c>
      <c r="K37749" s="18"/>
    </row>
    <row r="37750">
      <c r="B37750" s="17" t="s">
        <v>477</v>
      </c>
      <c r="K37750" s="18"/>
    </row>
    <row r="37751">
      <c r="B37751" s="17" t="s">
        <v>477</v>
      </c>
      <c r="K37751" s="18"/>
    </row>
    <row r="37752">
      <c r="B37752" s="17" t="s">
        <v>477</v>
      </c>
      <c r="K37752" s="18"/>
    </row>
    <row r="37753">
      <c r="B37753" s="17" t="s">
        <v>477</v>
      </c>
      <c r="K37753" s="18"/>
    </row>
    <row r="37754">
      <c r="B37754" s="17" t="s">
        <v>477</v>
      </c>
      <c r="K37754" s="18"/>
    </row>
    <row r="37755">
      <c r="B37755" s="17" t="s">
        <v>477</v>
      </c>
      <c r="K37755" s="18"/>
    </row>
    <row r="37756">
      <c r="B37756" s="17" t="s">
        <v>477</v>
      </c>
      <c r="K37756" s="18"/>
    </row>
    <row r="37757">
      <c r="B37757" s="17" t="s">
        <v>477</v>
      </c>
      <c r="K37757" s="18"/>
    </row>
    <row r="37758">
      <c r="B37758" s="17" t="s">
        <v>477</v>
      </c>
      <c r="K37758" s="18"/>
    </row>
    <row r="37759">
      <c r="B37759" s="17" t="s">
        <v>477</v>
      </c>
      <c r="K37759" s="18"/>
    </row>
    <row r="37760">
      <c r="B37760" s="17" t="s">
        <v>477</v>
      </c>
      <c r="K37760" s="18"/>
    </row>
    <row r="37761">
      <c r="B37761" s="17" t="s">
        <v>477</v>
      </c>
      <c r="K37761" s="18"/>
    </row>
    <row r="37762">
      <c r="B37762" s="17" t="s">
        <v>477</v>
      </c>
      <c r="K37762" s="18"/>
    </row>
    <row r="37763">
      <c r="B37763" s="17" t="s">
        <v>477</v>
      </c>
      <c r="K37763" s="18"/>
    </row>
    <row r="37764">
      <c r="B37764" s="17" t="s">
        <v>477</v>
      </c>
      <c r="K37764" s="18"/>
    </row>
    <row r="37765">
      <c r="B37765" s="17" t="s">
        <v>477</v>
      </c>
      <c r="K37765" s="18"/>
    </row>
    <row r="37766">
      <c r="B37766" s="17" t="s">
        <v>477</v>
      </c>
      <c r="K37766" s="18"/>
    </row>
    <row r="37767">
      <c r="B37767" s="17" t="s">
        <v>477</v>
      </c>
      <c r="K37767" s="18"/>
    </row>
    <row r="37768">
      <c r="B37768" s="17" t="s">
        <v>477</v>
      </c>
      <c r="K37768" s="18"/>
    </row>
    <row r="37769">
      <c r="B37769" s="17" t="s">
        <v>477</v>
      </c>
      <c r="K37769" s="18"/>
    </row>
    <row r="37770">
      <c r="B37770" s="17" t="s">
        <v>477</v>
      </c>
      <c r="K37770" s="18"/>
    </row>
    <row r="37771">
      <c r="B37771" s="17" t="s">
        <v>477</v>
      </c>
      <c r="K37771" s="18"/>
    </row>
    <row r="37772">
      <c r="B37772" s="17" t="s">
        <v>477</v>
      </c>
      <c r="K37772" s="18"/>
    </row>
    <row r="37773">
      <c r="B37773" s="17" t="s">
        <v>477</v>
      </c>
      <c r="K37773" s="18"/>
    </row>
    <row r="37774">
      <c r="B37774" s="17" t="s">
        <v>477</v>
      </c>
      <c r="K37774" s="18"/>
    </row>
    <row r="37775">
      <c r="B37775" s="17" t="s">
        <v>477</v>
      </c>
      <c r="K37775" s="18"/>
    </row>
    <row r="37776">
      <c r="B37776" s="17" t="s">
        <v>477</v>
      </c>
      <c r="K37776" s="18"/>
    </row>
    <row r="37777">
      <c r="B37777" s="17" t="s">
        <v>477</v>
      </c>
      <c r="K37777" s="18"/>
    </row>
    <row r="37778">
      <c r="B37778" s="17" t="s">
        <v>477</v>
      </c>
      <c r="K37778" s="18"/>
    </row>
    <row r="37779">
      <c r="B37779" s="17" t="s">
        <v>477</v>
      </c>
      <c r="K37779" s="18"/>
    </row>
    <row r="37780">
      <c r="B37780" s="17" t="s">
        <v>477</v>
      </c>
      <c r="K37780" s="18"/>
    </row>
    <row r="37781">
      <c r="B37781" s="17" t="s">
        <v>477</v>
      </c>
      <c r="K37781" s="18"/>
    </row>
    <row r="37782">
      <c r="B37782" s="17" t="s">
        <v>477</v>
      </c>
      <c r="K37782" s="18"/>
    </row>
    <row r="37783">
      <c r="B37783" s="17" t="s">
        <v>477</v>
      </c>
      <c r="K37783" s="18"/>
    </row>
    <row r="37784">
      <c r="B37784" s="17" t="s">
        <v>477</v>
      </c>
      <c r="K37784" s="18"/>
    </row>
    <row r="37785">
      <c r="B37785" s="17" t="s">
        <v>477</v>
      </c>
      <c r="K37785" s="18"/>
    </row>
    <row r="37786">
      <c r="B37786" s="17" t="s">
        <v>477</v>
      </c>
      <c r="K37786" s="18"/>
    </row>
    <row r="37787">
      <c r="B37787" s="17" t="s">
        <v>477</v>
      </c>
      <c r="K37787" s="18"/>
    </row>
    <row r="37788">
      <c r="B37788" s="17" t="s">
        <v>477</v>
      </c>
      <c r="K37788" s="18"/>
    </row>
    <row r="37789">
      <c r="B37789" s="17" t="s">
        <v>477</v>
      </c>
      <c r="K37789" s="18"/>
    </row>
    <row r="37790">
      <c r="B37790" s="17" t="s">
        <v>477</v>
      </c>
      <c r="K37790" s="18"/>
    </row>
    <row r="37791">
      <c r="B37791" s="17" t="s">
        <v>477</v>
      </c>
      <c r="K37791" s="18"/>
    </row>
    <row r="37792">
      <c r="B37792" s="17" t="s">
        <v>477</v>
      </c>
      <c r="K37792" s="18"/>
    </row>
    <row r="37793">
      <c r="B37793" s="17" t="s">
        <v>477</v>
      </c>
      <c r="K37793" s="18"/>
    </row>
    <row r="37794">
      <c r="B37794" s="17" t="s">
        <v>477</v>
      </c>
      <c r="K37794" s="18"/>
    </row>
    <row r="37795">
      <c r="B37795" s="17" t="s">
        <v>477</v>
      </c>
      <c r="K37795" s="18"/>
    </row>
    <row r="37796">
      <c r="B37796" s="17" t="s">
        <v>477</v>
      </c>
      <c r="K37796" s="18"/>
    </row>
    <row r="37797">
      <c r="B37797" s="17" t="s">
        <v>477</v>
      </c>
      <c r="K37797" s="18"/>
    </row>
    <row r="37798">
      <c r="B37798" s="17" t="s">
        <v>477</v>
      </c>
      <c r="K37798" s="18"/>
    </row>
    <row r="37799">
      <c r="B37799" s="17" t="s">
        <v>477</v>
      </c>
      <c r="K37799" s="18"/>
    </row>
    <row r="37800">
      <c r="B37800" s="17" t="s">
        <v>477</v>
      </c>
      <c r="K37800" s="18"/>
    </row>
    <row r="37801">
      <c r="B37801" s="17" t="s">
        <v>477</v>
      </c>
      <c r="K37801" s="18"/>
    </row>
    <row r="37802">
      <c r="B37802" s="17" t="s">
        <v>477</v>
      </c>
      <c r="K37802" s="18"/>
    </row>
    <row r="37803">
      <c r="B37803" s="17" t="s">
        <v>477</v>
      </c>
      <c r="K37803" s="18"/>
    </row>
    <row r="37804">
      <c r="B37804" s="17" t="s">
        <v>477</v>
      </c>
      <c r="K37804" s="18"/>
    </row>
    <row r="37805">
      <c r="B37805" s="17" t="s">
        <v>477</v>
      </c>
      <c r="K37805" s="18"/>
    </row>
    <row r="37806">
      <c r="B37806" s="17" t="s">
        <v>477</v>
      </c>
      <c r="K37806" s="18"/>
    </row>
    <row r="37807">
      <c r="B37807" s="17" t="s">
        <v>477</v>
      </c>
      <c r="K37807" s="18"/>
    </row>
    <row r="37808">
      <c r="B37808" s="17" t="s">
        <v>477</v>
      </c>
      <c r="K37808" s="18"/>
    </row>
    <row r="37809">
      <c r="B37809" s="17" t="s">
        <v>477</v>
      </c>
      <c r="K37809" s="18"/>
    </row>
    <row r="37810">
      <c r="B37810" s="17" t="s">
        <v>477</v>
      </c>
      <c r="K37810" s="18"/>
    </row>
    <row r="37811">
      <c r="B37811" s="17" t="s">
        <v>477</v>
      </c>
      <c r="K37811" s="18"/>
    </row>
    <row r="37812">
      <c r="B37812" s="17" t="s">
        <v>477</v>
      </c>
      <c r="K37812" s="18"/>
    </row>
    <row r="37813">
      <c r="B37813" s="17" t="s">
        <v>477</v>
      </c>
      <c r="K37813" s="18"/>
    </row>
    <row r="37814">
      <c r="B37814" s="17" t="s">
        <v>477</v>
      </c>
      <c r="K37814" s="18"/>
    </row>
    <row r="37815">
      <c r="B37815" s="17" t="s">
        <v>477</v>
      </c>
      <c r="K37815" s="18"/>
    </row>
    <row r="37816">
      <c r="B37816" s="17" t="s">
        <v>477</v>
      </c>
      <c r="K37816" s="18"/>
    </row>
    <row r="37817">
      <c r="B37817" s="17" t="s">
        <v>477</v>
      </c>
      <c r="K37817" s="18"/>
    </row>
    <row r="37818">
      <c r="B37818" s="17" t="s">
        <v>477</v>
      </c>
      <c r="K37818" s="18"/>
    </row>
    <row r="37819">
      <c r="B37819" s="17" t="s">
        <v>477</v>
      </c>
      <c r="K37819" s="18"/>
    </row>
    <row r="37820">
      <c r="B37820" s="17" t="s">
        <v>477</v>
      </c>
      <c r="K37820" s="18"/>
    </row>
    <row r="37821">
      <c r="B37821" s="17" t="s">
        <v>477</v>
      </c>
      <c r="K37821" s="18"/>
    </row>
    <row r="37822">
      <c r="B37822" s="17" t="s">
        <v>477</v>
      </c>
      <c r="K37822" s="18"/>
    </row>
    <row r="37823">
      <c r="B37823" s="17" t="s">
        <v>477</v>
      </c>
      <c r="K37823" s="18"/>
    </row>
    <row r="37824">
      <c r="B37824" s="17" t="s">
        <v>477</v>
      </c>
      <c r="K37824" s="18"/>
    </row>
    <row r="37825">
      <c r="B37825" s="17" t="s">
        <v>477</v>
      </c>
      <c r="K37825" s="18"/>
    </row>
    <row r="37826">
      <c r="B37826" s="17" t="s">
        <v>477</v>
      </c>
      <c r="K37826" s="18"/>
    </row>
    <row r="37827">
      <c r="B37827" s="17" t="s">
        <v>477</v>
      </c>
      <c r="K37827" s="18"/>
    </row>
    <row r="37828">
      <c r="B37828" s="17" t="s">
        <v>477</v>
      </c>
      <c r="K37828" s="18"/>
    </row>
    <row r="37829">
      <c r="B37829" s="17" t="s">
        <v>477</v>
      </c>
      <c r="K37829" s="18"/>
    </row>
    <row r="37830">
      <c r="B37830" s="17" t="s">
        <v>477</v>
      </c>
      <c r="K37830" s="18"/>
    </row>
    <row r="37831">
      <c r="B37831" s="17" t="s">
        <v>477</v>
      </c>
      <c r="K37831" s="18"/>
    </row>
    <row r="37832">
      <c r="B37832" s="17" t="s">
        <v>477</v>
      </c>
      <c r="K37832" s="18"/>
    </row>
    <row r="37833">
      <c r="B37833" s="17" t="s">
        <v>477</v>
      </c>
      <c r="K37833" s="18"/>
    </row>
    <row r="37834">
      <c r="B37834" s="17" t="s">
        <v>477</v>
      </c>
      <c r="K37834" s="18"/>
    </row>
    <row r="37835">
      <c r="B37835" s="17" t="s">
        <v>477</v>
      </c>
      <c r="K37835" s="18"/>
    </row>
    <row r="37836">
      <c r="B37836" s="17" t="s">
        <v>477</v>
      </c>
      <c r="K37836" s="18"/>
    </row>
    <row r="37837">
      <c r="B37837" s="17" t="s">
        <v>477</v>
      </c>
      <c r="K37837" s="18"/>
    </row>
    <row r="37838">
      <c r="B37838" s="17" t="s">
        <v>477</v>
      </c>
      <c r="K37838" s="18"/>
    </row>
    <row r="37839">
      <c r="B37839" s="17" t="s">
        <v>477</v>
      </c>
      <c r="K37839" s="18"/>
    </row>
    <row r="37840">
      <c r="B37840" s="17" t="s">
        <v>477</v>
      </c>
      <c r="K37840" s="18"/>
    </row>
    <row r="37841">
      <c r="B37841" s="17" t="s">
        <v>477</v>
      </c>
      <c r="K37841" s="18"/>
    </row>
    <row r="37842">
      <c r="B37842" s="17" t="s">
        <v>477</v>
      </c>
      <c r="K37842" s="18"/>
    </row>
    <row r="37843">
      <c r="B37843" s="17" t="s">
        <v>477</v>
      </c>
      <c r="K37843" s="18"/>
    </row>
    <row r="37844">
      <c r="B37844" s="17" t="s">
        <v>477</v>
      </c>
      <c r="K37844" s="18"/>
    </row>
    <row r="37845">
      <c r="B37845" s="17" t="s">
        <v>477</v>
      </c>
      <c r="K37845" s="18"/>
    </row>
    <row r="37846">
      <c r="B37846" s="17" t="s">
        <v>477</v>
      </c>
      <c r="K37846" s="18"/>
    </row>
    <row r="37847">
      <c r="B37847" s="17" t="s">
        <v>477</v>
      </c>
      <c r="K37847" s="18"/>
    </row>
    <row r="37848">
      <c r="B37848" s="17" t="s">
        <v>477</v>
      </c>
      <c r="K37848" s="18"/>
    </row>
    <row r="37849">
      <c r="B37849" s="17" t="s">
        <v>477</v>
      </c>
      <c r="K37849" s="18"/>
    </row>
    <row r="37850">
      <c r="B37850" s="17" t="s">
        <v>477</v>
      </c>
      <c r="K37850" s="18"/>
    </row>
    <row r="37851">
      <c r="B37851" s="17" t="s">
        <v>477</v>
      </c>
      <c r="K37851" s="18"/>
    </row>
    <row r="37852">
      <c r="B37852" s="17" t="s">
        <v>477</v>
      </c>
      <c r="K37852" s="18"/>
    </row>
    <row r="37853">
      <c r="B37853" s="17" t="s">
        <v>477</v>
      </c>
      <c r="K37853" s="18"/>
    </row>
    <row r="37854">
      <c r="B37854" s="17" t="s">
        <v>477</v>
      </c>
      <c r="K37854" s="18"/>
    </row>
    <row r="37855">
      <c r="B37855" s="17" t="s">
        <v>477</v>
      </c>
      <c r="K37855" s="18"/>
    </row>
    <row r="37856">
      <c r="B37856" s="17" t="s">
        <v>477</v>
      </c>
      <c r="K37856" s="18"/>
    </row>
    <row r="37857">
      <c r="B37857" s="17" t="s">
        <v>477</v>
      </c>
      <c r="K37857" s="18"/>
    </row>
    <row r="37858">
      <c r="B37858" s="17" t="s">
        <v>477</v>
      </c>
      <c r="K37858" s="18"/>
    </row>
    <row r="37859">
      <c r="B37859" s="17" t="s">
        <v>477</v>
      </c>
      <c r="K37859" s="18"/>
    </row>
    <row r="37860">
      <c r="B37860" s="17" t="s">
        <v>477</v>
      </c>
      <c r="K37860" s="18"/>
    </row>
    <row r="37861">
      <c r="B37861" s="17" t="s">
        <v>477</v>
      </c>
      <c r="K37861" s="18"/>
    </row>
    <row r="37862">
      <c r="B37862" s="17" t="s">
        <v>477</v>
      </c>
      <c r="K37862" s="18"/>
    </row>
    <row r="37863">
      <c r="B37863" s="17" t="s">
        <v>477</v>
      </c>
      <c r="K37863" s="18"/>
    </row>
    <row r="37864">
      <c r="B37864" s="17" t="s">
        <v>477</v>
      </c>
      <c r="K37864" s="18"/>
    </row>
    <row r="37865">
      <c r="B37865" s="17" t="s">
        <v>477</v>
      </c>
      <c r="K37865" s="18"/>
    </row>
    <row r="37866">
      <c r="B37866" s="17" t="s">
        <v>477</v>
      </c>
      <c r="K37866" s="18"/>
    </row>
    <row r="37867">
      <c r="B37867" s="17" t="s">
        <v>477</v>
      </c>
      <c r="K37867" s="18"/>
    </row>
    <row r="37868">
      <c r="B37868" s="17" t="s">
        <v>477</v>
      </c>
      <c r="K37868" s="18"/>
    </row>
    <row r="37869">
      <c r="B37869" s="17" t="s">
        <v>477</v>
      </c>
      <c r="K37869" s="18"/>
    </row>
    <row r="37870">
      <c r="B37870" s="17" t="s">
        <v>477</v>
      </c>
      <c r="K37870" s="18"/>
    </row>
    <row r="37871">
      <c r="B37871" s="17" t="s">
        <v>477</v>
      </c>
      <c r="K37871" s="18"/>
    </row>
    <row r="37872">
      <c r="B37872" s="17" t="s">
        <v>477</v>
      </c>
      <c r="K37872" s="18"/>
    </row>
    <row r="37873">
      <c r="B37873" s="17" t="s">
        <v>477</v>
      </c>
      <c r="K37873" s="18"/>
    </row>
    <row r="37874">
      <c r="B37874" s="17" t="s">
        <v>477</v>
      </c>
      <c r="K37874" s="18"/>
    </row>
    <row r="37875">
      <c r="B37875" s="17" t="s">
        <v>477</v>
      </c>
      <c r="K37875" s="18"/>
    </row>
    <row r="37876">
      <c r="B37876" s="17" t="s">
        <v>477</v>
      </c>
      <c r="K37876" s="18"/>
    </row>
    <row r="37877">
      <c r="B37877" s="17" t="s">
        <v>477</v>
      </c>
      <c r="K37877" s="18"/>
    </row>
    <row r="37878">
      <c r="B37878" s="17" t="s">
        <v>477</v>
      </c>
      <c r="K37878" s="18"/>
    </row>
    <row r="37879">
      <c r="B37879" s="17" t="s">
        <v>477</v>
      </c>
      <c r="K37879" s="18"/>
    </row>
    <row r="37880">
      <c r="B37880" s="17" t="s">
        <v>477</v>
      </c>
      <c r="K37880" s="18"/>
    </row>
    <row r="37881">
      <c r="B37881" s="17" t="s">
        <v>477</v>
      </c>
      <c r="K37881" s="18"/>
    </row>
    <row r="37882">
      <c r="B37882" s="17" t="s">
        <v>477</v>
      </c>
      <c r="K37882" s="18"/>
    </row>
    <row r="37883">
      <c r="B37883" s="17" t="s">
        <v>477</v>
      </c>
      <c r="K37883" s="18"/>
    </row>
    <row r="37884">
      <c r="B37884" s="17" t="s">
        <v>477</v>
      </c>
      <c r="K37884" s="18"/>
    </row>
    <row r="37885">
      <c r="B37885" s="17" t="s">
        <v>477</v>
      </c>
      <c r="K37885" s="18"/>
    </row>
    <row r="37886">
      <c r="B37886" s="17" t="s">
        <v>477</v>
      </c>
      <c r="K37886" s="18"/>
    </row>
    <row r="37887">
      <c r="B37887" s="17" t="s">
        <v>477</v>
      </c>
      <c r="K37887" s="18"/>
    </row>
    <row r="37888">
      <c r="B37888" s="17" t="s">
        <v>477</v>
      </c>
      <c r="K37888" s="18"/>
    </row>
    <row r="37889">
      <c r="B37889" s="17" t="s">
        <v>477</v>
      </c>
      <c r="K37889" s="18"/>
    </row>
    <row r="37890">
      <c r="B37890" s="17" t="s">
        <v>477</v>
      </c>
      <c r="K37890" s="18"/>
    </row>
    <row r="37891">
      <c r="B37891" s="17" t="s">
        <v>477</v>
      </c>
      <c r="K37891" s="18"/>
    </row>
    <row r="37892">
      <c r="B37892" s="17" t="s">
        <v>477</v>
      </c>
      <c r="K37892" s="18"/>
    </row>
    <row r="37893">
      <c r="B37893" s="17" t="s">
        <v>477</v>
      </c>
      <c r="K37893" s="18"/>
    </row>
    <row r="37894">
      <c r="B37894" s="17" t="s">
        <v>477</v>
      </c>
      <c r="K37894" s="18"/>
    </row>
    <row r="37895">
      <c r="B37895" s="17" t="s">
        <v>477</v>
      </c>
      <c r="K37895" s="18"/>
    </row>
    <row r="37896">
      <c r="B37896" s="17" t="s">
        <v>477</v>
      </c>
      <c r="K37896" s="18"/>
    </row>
    <row r="37897">
      <c r="B37897" s="17" t="s">
        <v>477</v>
      </c>
      <c r="K37897" s="18"/>
    </row>
    <row r="37898">
      <c r="B37898" s="17" t="s">
        <v>477</v>
      </c>
      <c r="K37898" s="18"/>
    </row>
    <row r="37899">
      <c r="B37899" s="17" t="s">
        <v>477</v>
      </c>
      <c r="K37899" s="18"/>
    </row>
    <row r="37900">
      <c r="B37900" s="17" t="s">
        <v>477</v>
      </c>
      <c r="K37900" s="18"/>
    </row>
    <row r="37901">
      <c r="B37901" s="17" t="s">
        <v>477</v>
      </c>
      <c r="K37901" s="18"/>
    </row>
    <row r="37902">
      <c r="B37902" s="17" t="s">
        <v>477</v>
      </c>
      <c r="K37902" s="18"/>
    </row>
    <row r="37903">
      <c r="B37903" s="17" t="s">
        <v>477</v>
      </c>
      <c r="K37903" s="18"/>
    </row>
    <row r="37904">
      <c r="B37904" s="17" t="s">
        <v>477</v>
      </c>
      <c r="K37904" s="18"/>
    </row>
    <row r="37905">
      <c r="B37905" s="17" t="s">
        <v>477</v>
      </c>
      <c r="K37905" s="18"/>
    </row>
    <row r="37906">
      <c r="B37906" s="17" t="s">
        <v>477</v>
      </c>
      <c r="K37906" s="18"/>
    </row>
    <row r="37907">
      <c r="B37907" s="17" t="s">
        <v>477</v>
      </c>
      <c r="K37907" s="18"/>
    </row>
    <row r="37908">
      <c r="B37908" s="17" t="s">
        <v>477</v>
      </c>
      <c r="K37908" s="18"/>
    </row>
    <row r="37909">
      <c r="B37909" s="17" t="s">
        <v>477</v>
      </c>
      <c r="K37909" s="18"/>
    </row>
    <row r="37910">
      <c r="B37910" s="17" t="s">
        <v>477</v>
      </c>
      <c r="K37910" s="18"/>
    </row>
    <row r="37911">
      <c r="B37911" s="17" t="s">
        <v>477</v>
      </c>
      <c r="K37911" s="18"/>
    </row>
    <row r="37912">
      <c r="B37912" s="17" t="s">
        <v>477</v>
      </c>
      <c r="K37912" s="18"/>
    </row>
    <row r="37913">
      <c r="B37913" s="17" t="s">
        <v>477</v>
      </c>
      <c r="K37913" s="18"/>
    </row>
    <row r="37914">
      <c r="B37914" s="17" t="s">
        <v>477</v>
      </c>
      <c r="K37914" s="18"/>
    </row>
    <row r="37915">
      <c r="B37915" s="17" t="s">
        <v>477</v>
      </c>
      <c r="K37915" s="18"/>
    </row>
    <row r="37916">
      <c r="B37916" s="17" t="s">
        <v>477</v>
      </c>
      <c r="K37916" s="18"/>
    </row>
    <row r="37917">
      <c r="B37917" s="17" t="s">
        <v>477</v>
      </c>
      <c r="K37917" s="18"/>
    </row>
    <row r="37918">
      <c r="B37918" s="17" t="s">
        <v>477</v>
      </c>
      <c r="K37918" s="18"/>
    </row>
    <row r="37919">
      <c r="B37919" s="17" t="s">
        <v>477</v>
      </c>
      <c r="K37919" s="18"/>
    </row>
    <row r="37920">
      <c r="B37920" s="17" t="s">
        <v>477</v>
      </c>
      <c r="K37920" s="18"/>
    </row>
    <row r="37921">
      <c r="B37921" s="17" t="s">
        <v>477</v>
      </c>
      <c r="K37921" s="18"/>
    </row>
    <row r="37922">
      <c r="B37922" s="17" t="s">
        <v>477</v>
      </c>
      <c r="K37922" s="18"/>
    </row>
    <row r="37923">
      <c r="B37923" s="17" t="s">
        <v>477</v>
      </c>
      <c r="K37923" s="18"/>
    </row>
    <row r="37924">
      <c r="B37924" s="17" t="s">
        <v>477</v>
      </c>
      <c r="K37924" s="18"/>
    </row>
    <row r="37925">
      <c r="B37925" s="17" t="s">
        <v>477</v>
      </c>
      <c r="K37925" s="18"/>
    </row>
    <row r="37926">
      <c r="B37926" s="17" t="s">
        <v>477</v>
      </c>
      <c r="K37926" s="18"/>
    </row>
    <row r="37927">
      <c r="B37927" s="17" t="s">
        <v>477</v>
      </c>
      <c r="K37927" s="18"/>
    </row>
    <row r="37928">
      <c r="B37928" s="17" t="s">
        <v>477</v>
      </c>
      <c r="K37928" s="18"/>
    </row>
    <row r="37929">
      <c r="B37929" s="17" t="s">
        <v>477</v>
      </c>
      <c r="K37929" s="18"/>
    </row>
    <row r="37930">
      <c r="B37930" s="17" t="s">
        <v>477</v>
      </c>
      <c r="K37930" s="18"/>
    </row>
    <row r="37931">
      <c r="B37931" s="17" t="s">
        <v>477</v>
      </c>
      <c r="K37931" s="18"/>
    </row>
    <row r="37932">
      <c r="B37932" s="17" t="s">
        <v>477</v>
      </c>
      <c r="K37932" s="18"/>
    </row>
    <row r="37933">
      <c r="B37933" s="17" t="s">
        <v>477</v>
      </c>
      <c r="K37933" s="18"/>
    </row>
    <row r="37934">
      <c r="B37934" s="17" t="s">
        <v>477</v>
      </c>
      <c r="K37934" s="18"/>
    </row>
    <row r="37935">
      <c r="B37935" s="17" t="s">
        <v>477</v>
      </c>
      <c r="K37935" s="18"/>
    </row>
    <row r="37936">
      <c r="B37936" s="17" t="s">
        <v>477</v>
      </c>
      <c r="K37936" s="18"/>
    </row>
    <row r="37937">
      <c r="B37937" s="17" t="s">
        <v>477</v>
      </c>
      <c r="K37937" s="18"/>
    </row>
    <row r="37938">
      <c r="B37938" s="17" t="s">
        <v>477</v>
      </c>
      <c r="K37938" s="18"/>
    </row>
    <row r="37939">
      <c r="B37939" s="17" t="s">
        <v>477</v>
      </c>
      <c r="K37939" s="18"/>
    </row>
    <row r="37940">
      <c r="B37940" s="17" t="s">
        <v>477</v>
      </c>
      <c r="K37940" s="18"/>
    </row>
    <row r="37941">
      <c r="B37941" s="17" t="s">
        <v>477</v>
      </c>
      <c r="K37941" s="18"/>
    </row>
    <row r="37942">
      <c r="B37942" s="17" t="s">
        <v>477</v>
      </c>
      <c r="K37942" s="18"/>
    </row>
    <row r="37943">
      <c r="B37943" s="17" t="s">
        <v>477</v>
      </c>
      <c r="K37943" s="18"/>
    </row>
    <row r="37944">
      <c r="B37944" s="17" t="s">
        <v>477</v>
      </c>
      <c r="K37944" s="18"/>
    </row>
    <row r="37945">
      <c r="B37945" s="17" t="s">
        <v>477</v>
      </c>
      <c r="K37945" s="18"/>
    </row>
    <row r="37946">
      <c r="B37946" s="17" t="s">
        <v>477</v>
      </c>
      <c r="K37946" s="18"/>
    </row>
    <row r="37947">
      <c r="B37947" s="17" t="s">
        <v>477</v>
      </c>
      <c r="K37947" s="18"/>
    </row>
    <row r="37948">
      <c r="B37948" s="17" t="s">
        <v>477</v>
      </c>
      <c r="K37948" s="18"/>
    </row>
    <row r="37949">
      <c r="B37949" s="17" t="s">
        <v>477</v>
      </c>
      <c r="K37949" s="18"/>
    </row>
    <row r="37950">
      <c r="B37950" s="17" t="s">
        <v>477</v>
      </c>
      <c r="K37950" s="18"/>
    </row>
    <row r="37951">
      <c r="B37951" s="17" t="s">
        <v>477</v>
      </c>
      <c r="K37951" s="18"/>
    </row>
    <row r="37952">
      <c r="B37952" s="17" t="s">
        <v>477</v>
      </c>
      <c r="K37952" s="18"/>
    </row>
    <row r="37953">
      <c r="B37953" s="17" t="s">
        <v>477</v>
      </c>
      <c r="K37953" s="18"/>
    </row>
    <row r="37954">
      <c r="B37954" s="17" t="s">
        <v>477</v>
      </c>
      <c r="K37954" s="18"/>
    </row>
    <row r="37955">
      <c r="B37955" s="17" t="s">
        <v>477</v>
      </c>
      <c r="K37955" s="18"/>
    </row>
    <row r="37956">
      <c r="B37956" s="17" t="s">
        <v>477</v>
      </c>
      <c r="K37956" s="18"/>
    </row>
    <row r="37957">
      <c r="B37957" s="17" t="s">
        <v>477</v>
      </c>
      <c r="K37957" s="18"/>
    </row>
    <row r="37958">
      <c r="B37958" s="17" t="s">
        <v>477</v>
      </c>
      <c r="K37958" s="18"/>
    </row>
    <row r="37959">
      <c r="B37959" s="17" t="s">
        <v>477</v>
      </c>
      <c r="K37959" s="18"/>
    </row>
    <row r="37960">
      <c r="B37960" s="17" t="s">
        <v>477</v>
      </c>
      <c r="K37960" s="18"/>
    </row>
    <row r="37961">
      <c r="B37961" s="17" t="s">
        <v>477</v>
      </c>
      <c r="K37961" s="18"/>
    </row>
    <row r="37962">
      <c r="B37962" s="17" t="s">
        <v>477</v>
      </c>
      <c r="K37962" s="18"/>
    </row>
    <row r="37963">
      <c r="B37963" s="17" t="s">
        <v>477</v>
      </c>
      <c r="K37963" s="18"/>
    </row>
    <row r="37964">
      <c r="B37964" s="17" t="s">
        <v>477</v>
      </c>
      <c r="K37964" s="18"/>
    </row>
    <row r="37965">
      <c r="B37965" s="17" t="s">
        <v>477</v>
      </c>
      <c r="K37965" s="18"/>
    </row>
    <row r="37966">
      <c r="B37966" s="17" t="s">
        <v>477</v>
      </c>
      <c r="K37966" s="18"/>
    </row>
    <row r="37967">
      <c r="B37967" s="17" t="s">
        <v>477</v>
      </c>
      <c r="K37967" s="18"/>
    </row>
    <row r="37968">
      <c r="B37968" s="17" t="s">
        <v>477</v>
      </c>
      <c r="K37968" s="18"/>
    </row>
    <row r="37969">
      <c r="B37969" s="17" t="s">
        <v>477</v>
      </c>
      <c r="K37969" s="18"/>
    </row>
    <row r="37970">
      <c r="B37970" s="17" t="s">
        <v>477</v>
      </c>
      <c r="K37970" s="18"/>
    </row>
    <row r="37971">
      <c r="B37971" s="17" t="s">
        <v>477</v>
      </c>
      <c r="K37971" s="18"/>
    </row>
    <row r="37972">
      <c r="B37972" s="17" t="s">
        <v>477</v>
      </c>
      <c r="K37972" s="18"/>
    </row>
    <row r="37973">
      <c r="B37973" s="17" t="s">
        <v>477</v>
      </c>
      <c r="K37973" s="18"/>
    </row>
    <row r="37974">
      <c r="B37974" s="17" t="s">
        <v>477</v>
      </c>
      <c r="K37974" s="18"/>
    </row>
    <row r="37975">
      <c r="B37975" s="17" t="s">
        <v>477</v>
      </c>
      <c r="K37975" s="18"/>
    </row>
    <row r="37976">
      <c r="B37976" s="17" t="s">
        <v>477</v>
      </c>
      <c r="K37976" s="18"/>
    </row>
    <row r="37977">
      <c r="B37977" s="17" t="s">
        <v>477</v>
      </c>
      <c r="K37977" s="18"/>
    </row>
    <row r="37978">
      <c r="B37978" s="17" t="s">
        <v>477</v>
      </c>
      <c r="K37978" s="18"/>
    </row>
    <row r="37979">
      <c r="B37979" s="17" t="s">
        <v>477</v>
      </c>
      <c r="K37979" s="18"/>
    </row>
    <row r="37980">
      <c r="B37980" s="17" t="s">
        <v>477</v>
      </c>
      <c r="K37980" s="18"/>
    </row>
    <row r="37981">
      <c r="B37981" s="17" t="s">
        <v>477</v>
      </c>
      <c r="K37981" s="18"/>
    </row>
    <row r="37982">
      <c r="B37982" s="17" t="s">
        <v>477</v>
      </c>
      <c r="K37982" s="18"/>
    </row>
    <row r="37983">
      <c r="B37983" s="17" t="s">
        <v>477</v>
      </c>
      <c r="K37983" s="18"/>
    </row>
    <row r="37984">
      <c r="B37984" s="17" t="s">
        <v>477</v>
      </c>
      <c r="K37984" s="18"/>
    </row>
    <row r="37985">
      <c r="B37985" s="17" t="s">
        <v>477</v>
      </c>
      <c r="K37985" s="18"/>
    </row>
    <row r="37986">
      <c r="B37986" s="17" t="s">
        <v>477</v>
      </c>
      <c r="K37986" s="18"/>
    </row>
    <row r="37987">
      <c r="B37987" s="17" t="s">
        <v>477</v>
      </c>
      <c r="K37987" s="18"/>
    </row>
    <row r="37988">
      <c r="B37988" s="17" t="s">
        <v>477</v>
      </c>
      <c r="K37988" s="18"/>
    </row>
    <row r="37989">
      <c r="B37989" s="17" t="s">
        <v>477</v>
      </c>
      <c r="K37989" s="18"/>
    </row>
    <row r="37990">
      <c r="B37990" s="17" t="s">
        <v>477</v>
      </c>
      <c r="K37990" s="18"/>
    </row>
    <row r="37991">
      <c r="B37991" s="17" t="s">
        <v>477</v>
      </c>
      <c r="K37991" s="18"/>
    </row>
    <row r="37992">
      <c r="B37992" s="17" t="s">
        <v>477</v>
      </c>
      <c r="K37992" s="18"/>
    </row>
    <row r="37993">
      <c r="B37993" s="17" t="s">
        <v>477</v>
      </c>
      <c r="K37993" s="18"/>
    </row>
    <row r="37994">
      <c r="B37994" s="17" t="s">
        <v>477</v>
      </c>
      <c r="K37994" s="18"/>
    </row>
    <row r="37995">
      <c r="B37995" s="17" t="s">
        <v>477</v>
      </c>
      <c r="K37995" s="18"/>
    </row>
    <row r="37996">
      <c r="B37996" s="17" t="s">
        <v>477</v>
      </c>
      <c r="K37996" s="18"/>
    </row>
    <row r="37997">
      <c r="B37997" s="17" t="s">
        <v>477</v>
      </c>
      <c r="K37997" s="18"/>
    </row>
    <row r="37998">
      <c r="B37998" s="17" t="s">
        <v>477</v>
      </c>
      <c r="K37998" s="18"/>
    </row>
    <row r="37999">
      <c r="B37999" s="17" t="s">
        <v>477</v>
      </c>
      <c r="K37999" s="18"/>
    </row>
    <row r="38000">
      <c r="B38000" s="17" t="s">
        <v>477</v>
      </c>
      <c r="K38000" s="18"/>
    </row>
    <row r="38001">
      <c r="B38001" s="17" t="s">
        <v>477</v>
      </c>
      <c r="K38001" s="18"/>
    </row>
    <row r="38002">
      <c r="B38002" s="17" t="s">
        <v>477</v>
      </c>
      <c r="K38002" s="18"/>
    </row>
    <row r="38003">
      <c r="B38003" s="17" t="s">
        <v>477</v>
      </c>
      <c r="K38003" s="18"/>
    </row>
    <row r="38004">
      <c r="B38004" s="17" t="s">
        <v>477</v>
      </c>
      <c r="K38004" s="18"/>
    </row>
    <row r="38005">
      <c r="B38005" s="17" t="s">
        <v>477</v>
      </c>
      <c r="K38005" s="18"/>
    </row>
    <row r="38006">
      <c r="B38006" s="17" t="s">
        <v>477</v>
      </c>
      <c r="K38006" s="18"/>
    </row>
    <row r="38007">
      <c r="B38007" s="17" t="s">
        <v>477</v>
      </c>
      <c r="K38007" s="18"/>
    </row>
    <row r="38008">
      <c r="B38008" s="17" t="s">
        <v>477</v>
      </c>
      <c r="K38008" s="18"/>
    </row>
    <row r="38009">
      <c r="B38009" s="17" t="s">
        <v>477</v>
      </c>
      <c r="K38009" s="18"/>
    </row>
    <row r="38010">
      <c r="B38010" s="17" t="s">
        <v>477</v>
      </c>
      <c r="K38010" s="18"/>
    </row>
    <row r="38011">
      <c r="B38011" s="17" t="s">
        <v>477</v>
      </c>
      <c r="K38011" s="18"/>
    </row>
    <row r="38012">
      <c r="B38012" s="17" t="s">
        <v>477</v>
      </c>
      <c r="K38012" s="18"/>
    </row>
    <row r="38013">
      <c r="B38013" s="17" t="s">
        <v>477</v>
      </c>
      <c r="K38013" s="18"/>
    </row>
    <row r="38014">
      <c r="B38014" s="17" t="s">
        <v>477</v>
      </c>
      <c r="K38014" s="18"/>
    </row>
    <row r="38015">
      <c r="B38015" s="17" t="s">
        <v>477</v>
      </c>
      <c r="K38015" s="18"/>
    </row>
    <row r="38016">
      <c r="B38016" s="17" t="s">
        <v>477</v>
      </c>
      <c r="K38016" s="18"/>
    </row>
    <row r="38017">
      <c r="B38017" s="17" t="s">
        <v>477</v>
      </c>
      <c r="K38017" s="18"/>
    </row>
    <row r="38018">
      <c r="B38018" s="17" t="s">
        <v>477</v>
      </c>
      <c r="K38018" s="18"/>
    </row>
    <row r="38019">
      <c r="B38019" s="17" t="s">
        <v>477</v>
      </c>
      <c r="K38019" s="18"/>
    </row>
    <row r="38020">
      <c r="B38020" s="17" t="s">
        <v>477</v>
      </c>
      <c r="K38020" s="18"/>
    </row>
    <row r="38021">
      <c r="B38021" s="17" t="s">
        <v>477</v>
      </c>
      <c r="K38021" s="18"/>
    </row>
    <row r="38022">
      <c r="B38022" s="17" t="s">
        <v>477</v>
      </c>
      <c r="K38022" s="18"/>
    </row>
    <row r="38023">
      <c r="B38023" s="17" t="s">
        <v>477</v>
      </c>
      <c r="K38023" s="18"/>
    </row>
    <row r="38024">
      <c r="B38024" s="17" t="s">
        <v>477</v>
      </c>
      <c r="K38024" s="18"/>
    </row>
    <row r="38025">
      <c r="B38025" s="17" t="s">
        <v>477</v>
      </c>
      <c r="K38025" s="18"/>
    </row>
    <row r="38026">
      <c r="B38026" s="17" t="s">
        <v>477</v>
      </c>
      <c r="K38026" s="18"/>
    </row>
    <row r="38027">
      <c r="B38027" s="17" t="s">
        <v>477</v>
      </c>
      <c r="K38027" s="18"/>
    </row>
    <row r="38028">
      <c r="B38028" s="17" t="s">
        <v>477</v>
      </c>
      <c r="K38028" s="18"/>
    </row>
    <row r="38029">
      <c r="B38029" s="17" t="s">
        <v>477</v>
      </c>
      <c r="K38029" s="18"/>
    </row>
    <row r="38030">
      <c r="B38030" s="17" t="s">
        <v>477</v>
      </c>
      <c r="K38030" s="18"/>
    </row>
    <row r="38031">
      <c r="B38031" s="17" t="s">
        <v>477</v>
      </c>
      <c r="K38031" s="18"/>
    </row>
    <row r="38032">
      <c r="B38032" s="17" t="s">
        <v>477</v>
      </c>
      <c r="K38032" s="18"/>
    </row>
    <row r="38033">
      <c r="B38033" s="17" t="s">
        <v>477</v>
      </c>
      <c r="K38033" s="18"/>
    </row>
    <row r="38034">
      <c r="B38034" s="17" t="s">
        <v>477</v>
      </c>
      <c r="K38034" s="18"/>
    </row>
    <row r="38035">
      <c r="B38035" s="17" t="s">
        <v>477</v>
      </c>
      <c r="K38035" s="18"/>
    </row>
    <row r="38036">
      <c r="B38036" s="17" t="s">
        <v>477</v>
      </c>
      <c r="K38036" s="18"/>
    </row>
    <row r="38037">
      <c r="B38037" s="17" t="s">
        <v>477</v>
      </c>
      <c r="K38037" s="18"/>
    </row>
    <row r="38038">
      <c r="B38038" s="17" t="s">
        <v>477</v>
      </c>
      <c r="K38038" s="18"/>
    </row>
    <row r="38039">
      <c r="B38039" s="17" t="s">
        <v>477</v>
      </c>
      <c r="K38039" s="18"/>
    </row>
    <row r="38040">
      <c r="B38040" s="17" t="s">
        <v>477</v>
      </c>
      <c r="K38040" s="18"/>
    </row>
    <row r="38041">
      <c r="B38041" s="17" t="s">
        <v>477</v>
      </c>
      <c r="K38041" s="18"/>
    </row>
    <row r="38042">
      <c r="B38042" s="17" t="s">
        <v>477</v>
      </c>
      <c r="K38042" s="18"/>
    </row>
    <row r="38043">
      <c r="B38043" s="17" t="s">
        <v>477</v>
      </c>
      <c r="K38043" s="18"/>
    </row>
    <row r="38044">
      <c r="B38044" s="17" t="s">
        <v>477</v>
      </c>
      <c r="K38044" s="18"/>
    </row>
    <row r="38045">
      <c r="B38045" s="17" t="s">
        <v>477</v>
      </c>
      <c r="K38045" s="18"/>
    </row>
    <row r="38046">
      <c r="B38046" s="17" t="s">
        <v>477</v>
      </c>
      <c r="K38046" s="18"/>
    </row>
    <row r="38047">
      <c r="B38047" s="17" t="s">
        <v>477</v>
      </c>
      <c r="K38047" s="18"/>
    </row>
    <row r="38048">
      <c r="B38048" s="17" t="s">
        <v>477</v>
      </c>
      <c r="K38048" s="18"/>
    </row>
    <row r="38049">
      <c r="B38049" s="17" t="s">
        <v>477</v>
      </c>
      <c r="K38049" s="18"/>
    </row>
    <row r="38050">
      <c r="B38050" s="17" t="s">
        <v>477</v>
      </c>
      <c r="K38050" s="18"/>
    </row>
    <row r="38051">
      <c r="B38051" s="17" t="s">
        <v>477</v>
      </c>
      <c r="K38051" s="18"/>
    </row>
    <row r="38052">
      <c r="B38052" s="17" t="s">
        <v>477</v>
      </c>
      <c r="K38052" s="18"/>
    </row>
    <row r="38053">
      <c r="B38053" s="17" t="s">
        <v>477</v>
      </c>
      <c r="K38053" s="18"/>
    </row>
    <row r="38054">
      <c r="B38054" s="17" t="s">
        <v>477</v>
      </c>
      <c r="K38054" s="18"/>
    </row>
    <row r="38055">
      <c r="B38055" s="17" t="s">
        <v>477</v>
      </c>
      <c r="K38055" s="18"/>
    </row>
    <row r="38056">
      <c r="B38056" s="17" t="s">
        <v>477</v>
      </c>
      <c r="K38056" s="18"/>
    </row>
    <row r="38057">
      <c r="B38057" s="17" t="s">
        <v>477</v>
      </c>
      <c r="K38057" s="18"/>
    </row>
    <row r="38058">
      <c r="B38058" s="17" t="s">
        <v>477</v>
      </c>
      <c r="K38058" s="18"/>
    </row>
    <row r="38059">
      <c r="B38059" s="17" t="s">
        <v>477</v>
      </c>
      <c r="K38059" s="18"/>
    </row>
    <row r="38060">
      <c r="B38060" s="17" t="s">
        <v>477</v>
      </c>
      <c r="K38060" s="18"/>
    </row>
    <row r="38061">
      <c r="B38061" s="17" t="s">
        <v>477</v>
      </c>
      <c r="K38061" s="18"/>
    </row>
    <row r="38062">
      <c r="B38062" s="17" t="s">
        <v>477</v>
      </c>
      <c r="K38062" s="18"/>
    </row>
    <row r="38063">
      <c r="B38063" s="17" t="s">
        <v>477</v>
      </c>
      <c r="K38063" s="18"/>
    </row>
    <row r="38064">
      <c r="B38064" s="17" t="s">
        <v>477</v>
      </c>
      <c r="K38064" s="18"/>
    </row>
    <row r="38065">
      <c r="B38065" s="17" t="s">
        <v>477</v>
      </c>
      <c r="K38065" s="18"/>
    </row>
    <row r="38066">
      <c r="B38066" s="17" t="s">
        <v>477</v>
      </c>
      <c r="K38066" s="18"/>
    </row>
    <row r="38067">
      <c r="B38067" s="17" t="s">
        <v>477</v>
      </c>
      <c r="K38067" s="18"/>
    </row>
    <row r="38068">
      <c r="B38068" s="17" t="s">
        <v>477</v>
      </c>
      <c r="K38068" s="18"/>
    </row>
    <row r="38069">
      <c r="B38069" s="17" t="s">
        <v>477</v>
      </c>
      <c r="K38069" s="18"/>
    </row>
    <row r="38070">
      <c r="B38070" s="17" t="s">
        <v>477</v>
      </c>
      <c r="K38070" s="18"/>
    </row>
    <row r="38071">
      <c r="B38071" s="17" t="s">
        <v>477</v>
      </c>
      <c r="K38071" s="18"/>
    </row>
    <row r="38072">
      <c r="B38072" s="17" t="s">
        <v>477</v>
      </c>
      <c r="K38072" s="18"/>
    </row>
    <row r="38073">
      <c r="B38073" s="17" t="s">
        <v>477</v>
      </c>
      <c r="K38073" s="18"/>
    </row>
    <row r="38074">
      <c r="B38074" s="17" t="s">
        <v>477</v>
      </c>
      <c r="K38074" s="18"/>
    </row>
    <row r="38075">
      <c r="B38075" s="17" t="s">
        <v>477</v>
      </c>
      <c r="K38075" s="18"/>
    </row>
    <row r="38076">
      <c r="B38076" s="17" t="s">
        <v>477</v>
      </c>
      <c r="K38076" s="18"/>
    </row>
    <row r="38077">
      <c r="B38077" s="17" t="s">
        <v>477</v>
      </c>
      <c r="K38077" s="18"/>
    </row>
    <row r="38078">
      <c r="B38078" s="17" t="s">
        <v>477</v>
      </c>
      <c r="K38078" s="18"/>
    </row>
    <row r="38079">
      <c r="B38079" s="17" t="s">
        <v>477</v>
      </c>
      <c r="K38079" s="18"/>
    </row>
    <row r="38080">
      <c r="B38080" s="17" t="s">
        <v>477</v>
      </c>
      <c r="K38080" s="18"/>
    </row>
    <row r="38081">
      <c r="B38081" s="17" t="s">
        <v>477</v>
      </c>
      <c r="K38081" s="18"/>
    </row>
    <row r="38082">
      <c r="B38082" s="17" t="s">
        <v>477</v>
      </c>
      <c r="K38082" s="18"/>
    </row>
    <row r="38083">
      <c r="B38083" s="17" t="s">
        <v>477</v>
      </c>
      <c r="K38083" s="18"/>
    </row>
    <row r="38084">
      <c r="B38084" s="17" t="s">
        <v>477</v>
      </c>
      <c r="K38084" s="18"/>
    </row>
    <row r="38085">
      <c r="B38085" s="17" t="s">
        <v>477</v>
      </c>
      <c r="K38085" s="18"/>
    </row>
    <row r="38086">
      <c r="B38086" s="17" t="s">
        <v>477</v>
      </c>
      <c r="K38086" s="18"/>
    </row>
    <row r="38087">
      <c r="B38087" s="17" t="s">
        <v>477</v>
      </c>
      <c r="K38087" s="18"/>
    </row>
    <row r="38088">
      <c r="B38088" s="17" t="s">
        <v>477</v>
      </c>
      <c r="K38088" s="18"/>
    </row>
    <row r="38089">
      <c r="B38089" s="17" t="s">
        <v>477</v>
      </c>
      <c r="K38089" s="18"/>
    </row>
    <row r="38090">
      <c r="B38090" s="17" t="s">
        <v>477</v>
      </c>
      <c r="K38090" s="18"/>
    </row>
    <row r="38091">
      <c r="B38091" s="17" t="s">
        <v>477</v>
      </c>
      <c r="K38091" s="18"/>
    </row>
    <row r="38092">
      <c r="B38092" s="17" t="s">
        <v>477</v>
      </c>
      <c r="K38092" s="18"/>
    </row>
    <row r="38093">
      <c r="B38093" s="17" t="s">
        <v>477</v>
      </c>
      <c r="K38093" s="18"/>
    </row>
    <row r="38094">
      <c r="B38094" s="17" t="s">
        <v>477</v>
      </c>
      <c r="K38094" s="18"/>
    </row>
    <row r="38095">
      <c r="B38095" s="17" t="s">
        <v>477</v>
      </c>
      <c r="K38095" s="18"/>
    </row>
    <row r="38096">
      <c r="B38096" s="17" t="s">
        <v>477</v>
      </c>
      <c r="K38096" s="18"/>
    </row>
    <row r="38097">
      <c r="B38097" s="17" t="s">
        <v>477</v>
      </c>
      <c r="K38097" s="18"/>
    </row>
    <row r="38098">
      <c r="B38098" s="17" t="s">
        <v>477</v>
      </c>
      <c r="K38098" s="18"/>
    </row>
    <row r="38099">
      <c r="B38099" s="17" t="s">
        <v>477</v>
      </c>
      <c r="K38099" s="18"/>
    </row>
    <row r="38100">
      <c r="B38100" s="17" t="s">
        <v>477</v>
      </c>
      <c r="K38100" s="18"/>
    </row>
    <row r="38101">
      <c r="B38101" s="17" t="s">
        <v>477</v>
      </c>
      <c r="K38101" s="18"/>
    </row>
    <row r="38102">
      <c r="B38102" s="17" t="s">
        <v>477</v>
      </c>
      <c r="K38102" s="18"/>
    </row>
    <row r="38103">
      <c r="B38103" s="17" t="s">
        <v>477</v>
      </c>
      <c r="K38103" s="18"/>
    </row>
    <row r="38104">
      <c r="B38104" s="17" t="s">
        <v>477</v>
      </c>
      <c r="K38104" s="18"/>
    </row>
    <row r="38105">
      <c r="B38105" s="17" t="s">
        <v>477</v>
      </c>
      <c r="K38105" s="18"/>
    </row>
    <row r="38106">
      <c r="B38106" s="17" t="s">
        <v>477</v>
      </c>
      <c r="K38106" s="18"/>
    </row>
    <row r="38107">
      <c r="B38107" s="17" t="s">
        <v>477</v>
      </c>
      <c r="K38107" s="18"/>
    </row>
    <row r="38108">
      <c r="B38108" s="17" t="s">
        <v>477</v>
      </c>
      <c r="K38108" s="18"/>
    </row>
    <row r="38109">
      <c r="B38109" s="17" t="s">
        <v>477</v>
      </c>
      <c r="K38109" s="18"/>
    </row>
    <row r="38110">
      <c r="B38110" s="17" t="s">
        <v>477</v>
      </c>
      <c r="K38110" s="18"/>
    </row>
    <row r="38111">
      <c r="B38111" s="17" t="s">
        <v>477</v>
      </c>
      <c r="K38111" s="18"/>
    </row>
    <row r="38112">
      <c r="B38112" s="17" t="s">
        <v>477</v>
      </c>
      <c r="K38112" s="18"/>
    </row>
    <row r="38113">
      <c r="B38113" s="17" t="s">
        <v>477</v>
      </c>
      <c r="K38113" s="18"/>
    </row>
    <row r="38114">
      <c r="B38114" s="17" t="s">
        <v>477</v>
      </c>
      <c r="K38114" s="18"/>
    </row>
    <row r="38115">
      <c r="B38115" s="17" t="s">
        <v>477</v>
      </c>
      <c r="K38115" s="18"/>
    </row>
    <row r="38116">
      <c r="B38116" s="17" t="s">
        <v>477</v>
      </c>
      <c r="K38116" s="18"/>
    </row>
    <row r="38117">
      <c r="B38117" s="17" t="s">
        <v>477</v>
      </c>
      <c r="K38117" s="18"/>
    </row>
    <row r="38118">
      <c r="B38118" s="17" t="s">
        <v>477</v>
      </c>
      <c r="K38118" s="18"/>
    </row>
    <row r="38119">
      <c r="B38119" s="17" t="s">
        <v>477</v>
      </c>
      <c r="K38119" s="18"/>
    </row>
    <row r="38120">
      <c r="B38120" s="17" t="s">
        <v>477</v>
      </c>
      <c r="K38120" s="18"/>
    </row>
    <row r="38121">
      <c r="B38121" s="17" t="s">
        <v>477</v>
      </c>
      <c r="K38121" s="18"/>
    </row>
    <row r="38122">
      <c r="B38122" s="17" t="s">
        <v>477</v>
      </c>
      <c r="K38122" s="18"/>
    </row>
    <row r="38123">
      <c r="B38123" s="17" t="s">
        <v>477</v>
      </c>
      <c r="K38123" s="18"/>
    </row>
    <row r="38124">
      <c r="B38124" s="17" t="s">
        <v>477</v>
      </c>
      <c r="K38124" s="18"/>
    </row>
    <row r="38125">
      <c r="B38125" s="17" t="s">
        <v>477</v>
      </c>
      <c r="K38125" s="18"/>
    </row>
    <row r="38126">
      <c r="B38126" s="17" t="s">
        <v>477</v>
      </c>
      <c r="K38126" s="18"/>
    </row>
    <row r="38127">
      <c r="B38127" s="17" t="s">
        <v>477</v>
      </c>
      <c r="K38127" s="18"/>
    </row>
    <row r="38128">
      <c r="B38128" s="17" t="s">
        <v>477</v>
      </c>
      <c r="K38128" s="18"/>
    </row>
    <row r="38129">
      <c r="B38129" s="17" t="s">
        <v>477</v>
      </c>
      <c r="K38129" s="18"/>
    </row>
    <row r="38130">
      <c r="B38130" s="17" t="s">
        <v>477</v>
      </c>
      <c r="K38130" s="18"/>
    </row>
    <row r="38131">
      <c r="B38131" s="17" t="s">
        <v>477</v>
      </c>
      <c r="K38131" s="18"/>
    </row>
    <row r="38132">
      <c r="B38132" s="17" t="s">
        <v>477</v>
      </c>
      <c r="K38132" s="18"/>
    </row>
    <row r="38133">
      <c r="B38133" s="17" t="s">
        <v>477</v>
      </c>
      <c r="K38133" s="18"/>
    </row>
    <row r="38134">
      <c r="B38134" s="17" t="s">
        <v>477</v>
      </c>
      <c r="K38134" s="18"/>
    </row>
    <row r="38135">
      <c r="B38135" s="17" t="s">
        <v>477</v>
      </c>
      <c r="K38135" s="18"/>
    </row>
    <row r="38136">
      <c r="B38136" s="17" t="s">
        <v>477</v>
      </c>
      <c r="K38136" s="18"/>
    </row>
    <row r="38137">
      <c r="B38137" s="17" t="s">
        <v>477</v>
      </c>
      <c r="K38137" s="18"/>
    </row>
    <row r="38138">
      <c r="B38138" s="17" t="s">
        <v>477</v>
      </c>
      <c r="K38138" s="18"/>
    </row>
    <row r="38139">
      <c r="B38139" s="17" t="s">
        <v>477</v>
      </c>
      <c r="K38139" s="18"/>
    </row>
    <row r="38140">
      <c r="B38140" s="17" t="s">
        <v>477</v>
      </c>
      <c r="K38140" s="18"/>
    </row>
    <row r="38141">
      <c r="B38141" s="17" t="s">
        <v>477</v>
      </c>
      <c r="K38141" s="18"/>
    </row>
    <row r="38142">
      <c r="B38142" s="17" t="s">
        <v>477</v>
      </c>
      <c r="K38142" s="18"/>
    </row>
    <row r="38143">
      <c r="B38143" s="17" t="s">
        <v>477</v>
      </c>
      <c r="K38143" s="18"/>
    </row>
    <row r="38144">
      <c r="B38144" s="17" t="s">
        <v>477</v>
      </c>
      <c r="K38144" s="18"/>
    </row>
    <row r="38145">
      <c r="B38145" s="17" t="s">
        <v>477</v>
      </c>
      <c r="K38145" s="18"/>
    </row>
    <row r="38146">
      <c r="B38146" s="17" t="s">
        <v>477</v>
      </c>
      <c r="K38146" s="18"/>
    </row>
    <row r="38147">
      <c r="B38147" s="17" t="s">
        <v>477</v>
      </c>
      <c r="K38147" s="18"/>
    </row>
    <row r="38148">
      <c r="B38148" s="17" t="s">
        <v>477</v>
      </c>
      <c r="K38148" s="18"/>
    </row>
    <row r="38149">
      <c r="B38149" s="17" t="s">
        <v>477</v>
      </c>
      <c r="K38149" s="18"/>
    </row>
    <row r="38150">
      <c r="B38150" s="17" t="s">
        <v>477</v>
      </c>
      <c r="K38150" s="18"/>
    </row>
    <row r="38151">
      <c r="B38151" s="17" t="s">
        <v>477</v>
      </c>
      <c r="K38151" s="18"/>
    </row>
    <row r="38152">
      <c r="B38152" s="17" t="s">
        <v>477</v>
      </c>
      <c r="K38152" s="18"/>
    </row>
    <row r="38153">
      <c r="B38153" s="17" t="s">
        <v>477</v>
      </c>
      <c r="K38153" s="18"/>
    </row>
    <row r="38154">
      <c r="B38154" s="17" t="s">
        <v>477</v>
      </c>
      <c r="K38154" s="18"/>
    </row>
    <row r="38155">
      <c r="B38155" s="17" t="s">
        <v>477</v>
      </c>
      <c r="K38155" s="18"/>
    </row>
    <row r="38156">
      <c r="B38156" s="17" t="s">
        <v>477</v>
      </c>
      <c r="K38156" s="18"/>
    </row>
    <row r="38157">
      <c r="B38157" s="17" t="s">
        <v>477</v>
      </c>
      <c r="K38157" s="18"/>
    </row>
    <row r="38158">
      <c r="B38158" s="17" t="s">
        <v>477</v>
      </c>
      <c r="K38158" s="18"/>
    </row>
    <row r="38159">
      <c r="B38159" s="17" t="s">
        <v>477</v>
      </c>
      <c r="K38159" s="18"/>
    </row>
    <row r="38160">
      <c r="B38160" s="17" t="s">
        <v>477</v>
      </c>
      <c r="K38160" s="18"/>
    </row>
    <row r="38161">
      <c r="B38161" s="17" t="s">
        <v>477</v>
      </c>
      <c r="K38161" s="18"/>
    </row>
    <row r="38162">
      <c r="B38162" s="17" t="s">
        <v>477</v>
      </c>
      <c r="K38162" s="18"/>
    </row>
    <row r="38163">
      <c r="B38163" s="17" t="s">
        <v>477</v>
      </c>
      <c r="K38163" s="18"/>
    </row>
    <row r="38164">
      <c r="B38164" s="17" t="s">
        <v>477</v>
      </c>
      <c r="K38164" s="18"/>
    </row>
    <row r="38165">
      <c r="B38165" s="17" t="s">
        <v>477</v>
      </c>
      <c r="K38165" s="18"/>
    </row>
    <row r="38166">
      <c r="B38166" s="17" t="s">
        <v>477</v>
      </c>
      <c r="K38166" s="18"/>
    </row>
    <row r="38167">
      <c r="B38167" s="17" t="s">
        <v>477</v>
      </c>
      <c r="K38167" s="18"/>
    </row>
    <row r="38168">
      <c r="B38168" s="17" t="s">
        <v>477</v>
      </c>
      <c r="K38168" s="18"/>
    </row>
    <row r="38169">
      <c r="B38169" s="17" t="s">
        <v>477</v>
      </c>
      <c r="K38169" s="18"/>
    </row>
    <row r="38170">
      <c r="B38170" s="17" t="s">
        <v>477</v>
      </c>
      <c r="K38170" s="18"/>
    </row>
    <row r="38171">
      <c r="B38171" s="17" t="s">
        <v>477</v>
      </c>
      <c r="K38171" s="18"/>
    </row>
    <row r="38172">
      <c r="B38172" s="17" t="s">
        <v>477</v>
      </c>
      <c r="K38172" s="18"/>
    </row>
    <row r="38173">
      <c r="B38173" s="17" t="s">
        <v>477</v>
      </c>
      <c r="K38173" s="18"/>
    </row>
    <row r="38174">
      <c r="B38174" s="17" t="s">
        <v>477</v>
      </c>
      <c r="K38174" s="18"/>
    </row>
    <row r="38175">
      <c r="B38175" s="17" t="s">
        <v>477</v>
      </c>
      <c r="K38175" s="18"/>
    </row>
    <row r="38176">
      <c r="B38176" s="17" t="s">
        <v>477</v>
      </c>
      <c r="K38176" s="18"/>
    </row>
    <row r="38177">
      <c r="B38177" s="17" t="s">
        <v>477</v>
      </c>
      <c r="K38177" s="18"/>
    </row>
    <row r="38178">
      <c r="B38178" s="17" t="s">
        <v>477</v>
      </c>
      <c r="K38178" s="18"/>
    </row>
    <row r="38179">
      <c r="B38179" s="17" t="s">
        <v>477</v>
      </c>
      <c r="K38179" s="18"/>
    </row>
    <row r="38180">
      <c r="B38180" s="17" t="s">
        <v>477</v>
      </c>
      <c r="K38180" s="18"/>
    </row>
    <row r="38181">
      <c r="B38181" s="17" t="s">
        <v>477</v>
      </c>
      <c r="K38181" s="18"/>
    </row>
    <row r="38182">
      <c r="B38182" s="17" t="s">
        <v>477</v>
      </c>
      <c r="K38182" s="18"/>
    </row>
    <row r="38183">
      <c r="B38183" s="17" t="s">
        <v>477</v>
      </c>
      <c r="K38183" s="18"/>
    </row>
    <row r="38184">
      <c r="B38184" s="17" t="s">
        <v>477</v>
      </c>
      <c r="K38184" s="18"/>
    </row>
    <row r="38185">
      <c r="B38185" s="17" t="s">
        <v>477</v>
      </c>
      <c r="K38185" s="18"/>
    </row>
    <row r="38186">
      <c r="B38186" s="17" t="s">
        <v>477</v>
      </c>
      <c r="K38186" s="18"/>
    </row>
    <row r="38187">
      <c r="B38187" s="17" t="s">
        <v>477</v>
      </c>
      <c r="K38187" s="18"/>
    </row>
    <row r="38188">
      <c r="B38188" s="17" t="s">
        <v>477</v>
      </c>
      <c r="K38188" s="18"/>
    </row>
    <row r="38189">
      <c r="B38189" s="17" t="s">
        <v>477</v>
      </c>
      <c r="K38189" s="18"/>
    </row>
    <row r="38190">
      <c r="B38190" s="17" t="s">
        <v>477</v>
      </c>
      <c r="K38190" s="18"/>
    </row>
    <row r="38191">
      <c r="B38191" s="17" t="s">
        <v>477</v>
      </c>
      <c r="K38191" s="18"/>
    </row>
    <row r="38192">
      <c r="B38192" s="17" t="s">
        <v>477</v>
      </c>
      <c r="K38192" s="18"/>
    </row>
    <row r="38193">
      <c r="B38193" s="17" t="s">
        <v>477</v>
      </c>
      <c r="K38193" s="18"/>
    </row>
    <row r="38194">
      <c r="B38194" s="17" t="s">
        <v>477</v>
      </c>
      <c r="K38194" s="18"/>
    </row>
    <row r="38195">
      <c r="B38195" s="17" t="s">
        <v>477</v>
      </c>
      <c r="K38195" s="18"/>
    </row>
    <row r="38196">
      <c r="B38196" s="17" t="s">
        <v>477</v>
      </c>
      <c r="K38196" s="18"/>
    </row>
    <row r="38197">
      <c r="B38197" s="17" t="s">
        <v>477</v>
      </c>
      <c r="K38197" s="18"/>
    </row>
    <row r="38198">
      <c r="B38198" s="17" t="s">
        <v>477</v>
      </c>
      <c r="K38198" s="18"/>
    </row>
    <row r="38199">
      <c r="B38199" s="17" t="s">
        <v>477</v>
      </c>
      <c r="K38199" s="18"/>
    </row>
    <row r="38200">
      <c r="B38200" s="17" t="s">
        <v>477</v>
      </c>
      <c r="K38200" s="18"/>
    </row>
    <row r="38201">
      <c r="B38201" s="17" t="s">
        <v>477</v>
      </c>
      <c r="K38201" s="18"/>
    </row>
    <row r="38202">
      <c r="B38202" s="17" t="s">
        <v>477</v>
      </c>
      <c r="K38202" s="18"/>
    </row>
    <row r="38203">
      <c r="B38203" s="17" t="s">
        <v>477</v>
      </c>
      <c r="K38203" s="18"/>
    </row>
    <row r="38204">
      <c r="B38204" s="17" t="s">
        <v>477</v>
      </c>
      <c r="K38204" s="18"/>
    </row>
    <row r="38205">
      <c r="B38205" s="17" t="s">
        <v>477</v>
      </c>
      <c r="K38205" s="18"/>
    </row>
    <row r="38206">
      <c r="B38206" s="17" t="s">
        <v>477</v>
      </c>
      <c r="K38206" s="18"/>
    </row>
    <row r="38207">
      <c r="B38207" s="17" t="s">
        <v>477</v>
      </c>
      <c r="K38207" s="18"/>
    </row>
    <row r="38208">
      <c r="B38208" s="17" t="s">
        <v>477</v>
      </c>
      <c r="K38208" s="18"/>
    </row>
    <row r="38209">
      <c r="B38209" s="17" t="s">
        <v>477</v>
      </c>
      <c r="K38209" s="18"/>
    </row>
    <row r="38210">
      <c r="B38210" s="17" t="s">
        <v>477</v>
      </c>
      <c r="K38210" s="18"/>
    </row>
    <row r="38211">
      <c r="B38211" s="17" t="s">
        <v>477</v>
      </c>
      <c r="K38211" s="18"/>
    </row>
    <row r="38212">
      <c r="B38212" s="17" t="s">
        <v>477</v>
      </c>
      <c r="K38212" s="18"/>
    </row>
    <row r="38213">
      <c r="B38213" s="17" t="s">
        <v>477</v>
      </c>
      <c r="K38213" s="18"/>
    </row>
    <row r="38214">
      <c r="B38214" s="17" t="s">
        <v>477</v>
      </c>
      <c r="K38214" s="18"/>
    </row>
    <row r="38215">
      <c r="B38215" s="17" t="s">
        <v>477</v>
      </c>
      <c r="K38215" s="18"/>
    </row>
    <row r="38216">
      <c r="B38216" s="17" t="s">
        <v>477</v>
      </c>
      <c r="K38216" s="18"/>
    </row>
    <row r="38217">
      <c r="B38217" s="17" t="s">
        <v>477</v>
      </c>
      <c r="K38217" s="18"/>
    </row>
    <row r="38218">
      <c r="B38218" s="17" t="s">
        <v>477</v>
      </c>
      <c r="K38218" s="18"/>
    </row>
    <row r="38219">
      <c r="B38219" s="17" t="s">
        <v>477</v>
      </c>
      <c r="K38219" s="18"/>
    </row>
    <row r="38220">
      <c r="B38220" s="17" t="s">
        <v>477</v>
      </c>
      <c r="K38220" s="18"/>
    </row>
    <row r="38221">
      <c r="B38221" s="17" t="s">
        <v>477</v>
      </c>
      <c r="K38221" s="18"/>
    </row>
    <row r="38222">
      <c r="B38222" s="17" t="s">
        <v>477</v>
      </c>
      <c r="K38222" s="18"/>
    </row>
    <row r="38223">
      <c r="B38223" s="17" t="s">
        <v>477</v>
      </c>
      <c r="K38223" s="18"/>
    </row>
    <row r="38224">
      <c r="B38224" s="17" t="s">
        <v>477</v>
      </c>
      <c r="K38224" s="18"/>
    </row>
    <row r="38225">
      <c r="B38225" s="17" t="s">
        <v>477</v>
      </c>
      <c r="K38225" s="18"/>
    </row>
    <row r="38226">
      <c r="B38226" s="17" t="s">
        <v>477</v>
      </c>
      <c r="K38226" s="18"/>
    </row>
    <row r="38227">
      <c r="B38227" s="17" t="s">
        <v>477</v>
      </c>
      <c r="K38227" s="18"/>
    </row>
    <row r="38228">
      <c r="B38228" s="17" t="s">
        <v>477</v>
      </c>
      <c r="K38228" s="18"/>
    </row>
    <row r="38229">
      <c r="B38229" s="17" t="s">
        <v>477</v>
      </c>
      <c r="K38229" s="18"/>
    </row>
    <row r="38230">
      <c r="B38230" s="17" t="s">
        <v>477</v>
      </c>
      <c r="K38230" s="18"/>
    </row>
    <row r="38231">
      <c r="B38231" s="17" t="s">
        <v>477</v>
      </c>
      <c r="K38231" s="18"/>
    </row>
    <row r="38232">
      <c r="B38232" s="17" t="s">
        <v>477</v>
      </c>
      <c r="K38232" s="18"/>
    </row>
    <row r="38233">
      <c r="B38233" s="17" t="s">
        <v>477</v>
      </c>
      <c r="K38233" s="18"/>
    </row>
    <row r="38234">
      <c r="B38234" s="17" t="s">
        <v>477</v>
      </c>
      <c r="K38234" s="18"/>
    </row>
    <row r="38235">
      <c r="B38235" s="17" t="s">
        <v>477</v>
      </c>
      <c r="K38235" s="18"/>
    </row>
    <row r="38236">
      <c r="B38236" s="17" t="s">
        <v>477</v>
      </c>
      <c r="K38236" s="18"/>
    </row>
    <row r="38237">
      <c r="B38237" s="17" t="s">
        <v>477</v>
      </c>
      <c r="K38237" s="18"/>
    </row>
    <row r="38238">
      <c r="B38238" s="17" t="s">
        <v>477</v>
      </c>
      <c r="K38238" s="18"/>
    </row>
    <row r="38239">
      <c r="B38239" s="17" t="s">
        <v>477</v>
      </c>
      <c r="K38239" s="18"/>
    </row>
    <row r="38240">
      <c r="B38240" s="17" t="s">
        <v>477</v>
      </c>
      <c r="K38240" s="18"/>
    </row>
    <row r="38241">
      <c r="B38241" s="17" t="s">
        <v>477</v>
      </c>
      <c r="K38241" s="18"/>
    </row>
    <row r="38242">
      <c r="B38242" s="17" t="s">
        <v>477</v>
      </c>
      <c r="K38242" s="18"/>
    </row>
    <row r="38243">
      <c r="B38243" s="17" t="s">
        <v>477</v>
      </c>
      <c r="K38243" s="18"/>
    </row>
    <row r="38244">
      <c r="B38244" s="17" t="s">
        <v>477</v>
      </c>
      <c r="K38244" s="18"/>
    </row>
    <row r="38245">
      <c r="B38245" s="17" t="s">
        <v>477</v>
      </c>
      <c r="K38245" s="18"/>
    </row>
    <row r="38246">
      <c r="B38246" s="17" t="s">
        <v>477</v>
      </c>
      <c r="K38246" s="18"/>
    </row>
    <row r="38247">
      <c r="B38247" s="17" t="s">
        <v>477</v>
      </c>
      <c r="K38247" s="18"/>
    </row>
    <row r="38248">
      <c r="B38248" s="17" t="s">
        <v>477</v>
      </c>
      <c r="K38248" s="18"/>
    </row>
    <row r="38249">
      <c r="B38249" s="17" t="s">
        <v>477</v>
      </c>
      <c r="K38249" s="18"/>
    </row>
    <row r="38250">
      <c r="B38250" s="17" t="s">
        <v>477</v>
      </c>
      <c r="K38250" s="18"/>
    </row>
    <row r="38251">
      <c r="B38251" s="17" t="s">
        <v>477</v>
      </c>
      <c r="K38251" s="18"/>
    </row>
    <row r="38252">
      <c r="B38252" s="17" t="s">
        <v>477</v>
      </c>
      <c r="K38252" s="18"/>
    </row>
    <row r="38253">
      <c r="B38253" s="17" t="s">
        <v>477</v>
      </c>
      <c r="K38253" s="18"/>
    </row>
    <row r="38254">
      <c r="B38254" s="17" t="s">
        <v>477</v>
      </c>
      <c r="K38254" s="18"/>
    </row>
    <row r="38255">
      <c r="B38255" s="17" t="s">
        <v>477</v>
      </c>
      <c r="K38255" s="18"/>
    </row>
    <row r="38256">
      <c r="B38256" s="17" t="s">
        <v>477</v>
      </c>
      <c r="K38256" s="18"/>
    </row>
    <row r="38257">
      <c r="B38257" s="17" t="s">
        <v>477</v>
      </c>
      <c r="K38257" s="18"/>
    </row>
    <row r="38258">
      <c r="B38258" s="17" t="s">
        <v>477</v>
      </c>
      <c r="K38258" s="18"/>
    </row>
    <row r="38259">
      <c r="B38259" s="17" t="s">
        <v>477</v>
      </c>
      <c r="K38259" s="18"/>
    </row>
    <row r="38260">
      <c r="B38260" s="17" t="s">
        <v>477</v>
      </c>
      <c r="K38260" s="18"/>
    </row>
    <row r="38261">
      <c r="B38261" s="17" t="s">
        <v>477</v>
      </c>
      <c r="K38261" s="18"/>
    </row>
    <row r="38262">
      <c r="B38262" s="17" t="s">
        <v>477</v>
      </c>
      <c r="K38262" s="18"/>
    </row>
    <row r="38263">
      <c r="B38263" s="17" t="s">
        <v>477</v>
      </c>
      <c r="K38263" s="18"/>
    </row>
    <row r="38264">
      <c r="B38264" s="17" t="s">
        <v>477</v>
      </c>
      <c r="K38264" s="18"/>
    </row>
    <row r="38265">
      <c r="B38265" s="17" t="s">
        <v>477</v>
      </c>
      <c r="K38265" s="18"/>
    </row>
    <row r="38266">
      <c r="B38266" s="17" t="s">
        <v>477</v>
      </c>
      <c r="K38266" s="18"/>
    </row>
    <row r="38267">
      <c r="B38267" s="17" t="s">
        <v>477</v>
      </c>
      <c r="K38267" s="18"/>
    </row>
    <row r="38268">
      <c r="B38268" s="17" t="s">
        <v>477</v>
      </c>
      <c r="K38268" s="18"/>
    </row>
    <row r="38269">
      <c r="B38269" s="17" t="s">
        <v>477</v>
      </c>
      <c r="K38269" s="18"/>
    </row>
    <row r="38270">
      <c r="B38270" s="17" t="s">
        <v>477</v>
      </c>
      <c r="K38270" s="18"/>
    </row>
    <row r="38271">
      <c r="B38271" s="17" t="s">
        <v>477</v>
      </c>
      <c r="K38271" s="18"/>
    </row>
    <row r="38272">
      <c r="B38272" s="17" t="s">
        <v>477</v>
      </c>
      <c r="K38272" s="18"/>
    </row>
    <row r="38273">
      <c r="B38273" s="17" t="s">
        <v>477</v>
      </c>
      <c r="K38273" s="18"/>
    </row>
    <row r="38274">
      <c r="B38274" s="17" t="s">
        <v>477</v>
      </c>
      <c r="K38274" s="18"/>
    </row>
    <row r="38275">
      <c r="B38275" s="17" t="s">
        <v>477</v>
      </c>
      <c r="K38275" s="18"/>
    </row>
    <row r="38276">
      <c r="B38276" s="17" t="s">
        <v>477</v>
      </c>
      <c r="K38276" s="18"/>
    </row>
    <row r="38277">
      <c r="B38277" s="17" t="s">
        <v>477</v>
      </c>
      <c r="K38277" s="18"/>
    </row>
    <row r="38278">
      <c r="B38278" s="17" t="s">
        <v>477</v>
      </c>
      <c r="K38278" s="18"/>
    </row>
    <row r="38279">
      <c r="B38279" s="17" t="s">
        <v>477</v>
      </c>
      <c r="K38279" s="18"/>
    </row>
    <row r="38280">
      <c r="B38280" s="17" t="s">
        <v>477</v>
      </c>
      <c r="K38280" s="18"/>
    </row>
    <row r="38281">
      <c r="B38281" s="17" t="s">
        <v>477</v>
      </c>
      <c r="K38281" s="18"/>
    </row>
    <row r="38282">
      <c r="B38282" s="17" t="s">
        <v>477</v>
      </c>
      <c r="K38282" s="18"/>
    </row>
    <row r="38283">
      <c r="B38283" s="17" t="s">
        <v>477</v>
      </c>
      <c r="K38283" s="18"/>
    </row>
    <row r="38284">
      <c r="B38284" s="17" t="s">
        <v>477</v>
      </c>
      <c r="K38284" s="18"/>
    </row>
    <row r="38285">
      <c r="B38285" s="17" t="s">
        <v>477</v>
      </c>
      <c r="K38285" s="18"/>
    </row>
    <row r="38286">
      <c r="B38286" s="17" t="s">
        <v>477</v>
      </c>
      <c r="K38286" s="18"/>
    </row>
    <row r="38287">
      <c r="B38287" s="17" t="s">
        <v>477</v>
      </c>
      <c r="K38287" s="18"/>
    </row>
    <row r="38288">
      <c r="B38288" s="17" t="s">
        <v>477</v>
      </c>
      <c r="K38288" s="18"/>
    </row>
    <row r="38289">
      <c r="B38289" s="17" t="s">
        <v>477</v>
      </c>
      <c r="K38289" s="18"/>
    </row>
    <row r="38290">
      <c r="B38290" s="17" t="s">
        <v>477</v>
      </c>
      <c r="K38290" s="18"/>
    </row>
    <row r="38291">
      <c r="B38291" s="17" t="s">
        <v>477</v>
      </c>
      <c r="K38291" s="18"/>
    </row>
    <row r="38292">
      <c r="B38292" s="17" t="s">
        <v>477</v>
      </c>
      <c r="K38292" s="18"/>
    </row>
    <row r="38293">
      <c r="B38293" s="17" t="s">
        <v>477</v>
      </c>
      <c r="K38293" s="18"/>
    </row>
    <row r="38294">
      <c r="B38294" s="17" t="s">
        <v>477</v>
      </c>
      <c r="K38294" s="18"/>
    </row>
    <row r="38295">
      <c r="B38295" s="17" t="s">
        <v>477</v>
      </c>
      <c r="K38295" s="18"/>
    </row>
    <row r="38296">
      <c r="B38296" s="17" t="s">
        <v>477</v>
      </c>
      <c r="K38296" s="18"/>
    </row>
    <row r="38297">
      <c r="B38297" s="17" t="s">
        <v>477</v>
      </c>
      <c r="K38297" s="18"/>
    </row>
    <row r="38298">
      <c r="B38298" s="17" t="s">
        <v>477</v>
      </c>
      <c r="K38298" s="18"/>
    </row>
    <row r="38299">
      <c r="B38299" s="17" t="s">
        <v>477</v>
      </c>
      <c r="K38299" s="18"/>
    </row>
    <row r="38300">
      <c r="B38300" s="17" t="s">
        <v>477</v>
      </c>
      <c r="K38300" s="18"/>
    </row>
    <row r="38301">
      <c r="B38301" s="17" t="s">
        <v>477</v>
      </c>
      <c r="K38301" s="18"/>
    </row>
    <row r="38302">
      <c r="B38302" s="17" t="s">
        <v>477</v>
      </c>
      <c r="K38302" s="18"/>
    </row>
    <row r="38303">
      <c r="B38303" s="17" t="s">
        <v>477</v>
      </c>
      <c r="K38303" s="18"/>
    </row>
    <row r="38304">
      <c r="B38304" s="17" t="s">
        <v>477</v>
      </c>
      <c r="K38304" s="18"/>
    </row>
    <row r="38305">
      <c r="B38305" s="17" t="s">
        <v>477</v>
      </c>
      <c r="K38305" s="18"/>
    </row>
    <row r="38306">
      <c r="B38306" s="17" t="s">
        <v>477</v>
      </c>
      <c r="K38306" s="18"/>
    </row>
    <row r="38307">
      <c r="B38307" s="17" t="s">
        <v>477</v>
      </c>
      <c r="K38307" s="18"/>
    </row>
    <row r="38308">
      <c r="B38308" s="17" t="s">
        <v>477</v>
      </c>
      <c r="K38308" s="18"/>
    </row>
    <row r="38309">
      <c r="B38309" s="17" t="s">
        <v>477</v>
      </c>
      <c r="K38309" s="18"/>
    </row>
    <row r="38310">
      <c r="B38310" s="17" t="s">
        <v>477</v>
      </c>
      <c r="K38310" s="18"/>
    </row>
    <row r="38311">
      <c r="B38311" s="17" t="s">
        <v>477</v>
      </c>
      <c r="K38311" s="18"/>
    </row>
    <row r="38312">
      <c r="B38312" s="17" t="s">
        <v>477</v>
      </c>
      <c r="K38312" s="18"/>
    </row>
    <row r="38313">
      <c r="B38313" s="17" t="s">
        <v>477</v>
      </c>
      <c r="K38313" s="18"/>
    </row>
    <row r="38314">
      <c r="B38314" s="17" t="s">
        <v>477</v>
      </c>
      <c r="K38314" s="18"/>
    </row>
    <row r="38315">
      <c r="B38315" s="17" t="s">
        <v>477</v>
      </c>
      <c r="K38315" s="18"/>
    </row>
    <row r="38316">
      <c r="B38316" s="17" t="s">
        <v>477</v>
      </c>
      <c r="K38316" s="18"/>
    </row>
    <row r="38317">
      <c r="B38317" s="17" t="s">
        <v>477</v>
      </c>
      <c r="K38317" s="18"/>
    </row>
    <row r="38318">
      <c r="B38318" s="17" t="s">
        <v>477</v>
      </c>
      <c r="K38318" s="18"/>
    </row>
    <row r="38319">
      <c r="B38319" s="17" t="s">
        <v>477</v>
      </c>
      <c r="K38319" s="18"/>
    </row>
    <row r="38320">
      <c r="B38320" s="17" t="s">
        <v>477</v>
      </c>
      <c r="K38320" s="18"/>
    </row>
    <row r="38321">
      <c r="B38321" s="17" t="s">
        <v>477</v>
      </c>
      <c r="K38321" s="18"/>
    </row>
    <row r="38322">
      <c r="B38322" s="17" t="s">
        <v>477</v>
      </c>
      <c r="K38322" s="18"/>
    </row>
    <row r="38323">
      <c r="B38323" s="17" t="s">
        <v>477</v>
      </c>
      <c r="K38323" s="18"/>
    </row>
    <row r="38324">
      <c r="B38324" s="17" t="s">
        <v>477</v>
      </c>
      <c r="K38324" s="18"/>
    </row>
    <row r="38325">
      <c r="B38325" s="17" t="s">
        <v>477</v>
      </c>
      <c r="K38325" s="18"/>
    </row>
    <row r="38326">
      <c r="B38326" s="17" t="s">
        <v>477</v>
      </c>
      <c r="K38326" s="18"/>
    </row>
    <row r="38327">
      <c r="B38327" s="17" t="s">
        <v>477</v>
      </c>
      <c r="K38327" s="18"/>
    </row>
    <row r="38328">
      <c r="B38328" s="17" t="s">
        <v>477</v>
      </c>
      <c r="K38328" s="18"/>
    </row>
    <row r="38329">
      <c r="B38329" s="17" t="s">
        <v>477</v>
      </c>
      <c r="K38329" s="18"/>
    </row>
    <row r="38330">
      <c r="B38330" s="17" t="s">
        <v>477</v>
      </c>
      <c r="K38330" s="18"/>
    </row>
    <row r="38331">
      <c r="B38331" s="17" t="s">
        <v>477</v>
      </c>
      <c r="K38331" s="18"/>
    </row>
    <row r="38332">
      <c r="B38332" s="17" t="s">
        <v>477</v>
      </c>
      <c r="K38332" s="18"/>
    </row>
    <row r="38333">
      <c r="B38333" s="17" t="s">
        <v>477</v>
      </c>
      <c r="K38333" s="18"/>
    </row>
    <row r="38334">
      <c r="B38334" s="17" t="s">
        <v>477</v>
      </c>
      <c r="K38334" s="18"/>
    </row>
    <row r="38335">
      <c r="B38335" s="17" t="s">
        <v>477</v>
      </c>
      <c r="K38335" s="18"/>
    </row>
    <row r="38336">
      <c r="B38336" s="17" t="s">
        <v>477</v>
      </c>
      <c r="K38336" s="18"/>
    </row>
    <row r="38337">
      <c r="B38337" s="17" t="s">
        <v>477</v>
      </c>
      <c r="K38337" s="18"/>
    </row>
    <row r="38338">
      <c r="B38338" s="17" t="s">
        <v>477</v>
      </c>
      <c r="K38338" s="18"/>
    </row>
    <row r="38339">
      <c r="B38339" s="17" t="s">
        <v>477</v>
      </c>
      <c r="K38339" s="18"/>
    </row>
    <row r="38340">
      <c r="B38340" s="17" t="s">
        <v>477</v>
      </c>
      <c r="K38340" s="18"/>
    </row>
    <row r="38341">
      <c r="B38341" s="17" t="s">
        <v>477</v>
      </c>
      <c r="K38341" s="18"/>
    </row>
    <row r="38342">
      <c r="B38342" s="17" t="s">
        <v>477</v>
      </c>
      <c r="K38342" s="18"/>
    </row>
    <row r="38343">
      <c r="B38343" s="17" t="s">
        <v>477</v>
      </c>
      <c r="K38343" s="18"/>
    </row>
    <row r="38344">
      <c r="B38344" s="17" t="s">
        <v>477</v>
      </c>
      <c r="K38344" s="18"/>
    </row>
    <row r="38345">
      <c r="B38345" s="17" t="s">
        <v>477</v>
      </c>
      <c r="K38345" s="18"/>
    </row>
    <row r="38346">
      <c r="B38346" s="17" t="s">
        <v>477</v>
      </c>
      <c r="K38346" s="18"/>
    </row>
    <row r="38347">
      <c r="B38347" s="17" t="s">
        <v>477</v>
      </c>
      <c r="K38347" s="18"/>
    </row>
    <row r="38348">
      <c r="B38348" s="17" t="s">
        <v>477</v>
      </c>
      <c r="K38348" s="18"/>
    </row>
    <row r="38349">
      <c r="B38349" s="17" t="s">
        <v>477</v>
      </c>
      <c r="K38349" s="18"/>
    </row>
    <row r="38350">
      <c r="B38350" s="17" t="s">
        <v>477</v>
      </c>
      <c r="K38350" s="18"/>
    </row>
    <row r="38351">
      <c r="B38351" s="17" t="s">
        <v>477</v>
      </c>
      <c r="K38351" s="18"/>
    </row>
    <row r="38352">
      <c r="B38352" s="17" t="s">
        <v>477</v>
      </c>
      <c r="K38352" s="18"/>
    </row>
    <row r="38353">
      <c r="B38353" s="17" t="s">
        <v>477</v>
      </c>
      <c r="K38353" s="18"/>
    </row>
    <row r="38354">
      <c r="B38354" s="17" t="s">
        <v>477</v>
      </c>
      <c r="K38354" s="18"/>
    </row>
    <row r="38355">
      <c r="B38355" s="17" t="s">
        <v>477</v>
      </c>
      <c r="K38355" s="18"/>
    </row>
    <row r="38356">
      <c r="B38356" s="17" t="s">
        <v>477</v>
      </c>
      <c r="K38356" s="18"/>
    </row>
    <row r="38357">
      <c r="B38357" s="17" t="s">
        <v>477</v>
      </c>
      <c r="K38357" s="18"/>
    </row>
    <row r="38358">
      <c r="B38358" s="17" t="s">
        <v>477</v>
      </c>
      <c r="K38358" s="18"/>
    </row>
    <row r="38359">
      <c r="B38359" s="17" t="s">
        <v>477</v>
      </c>
      <c r="K38359" s="18"/>
    </row>
    <row r="38360">
      <c r="B38360" s="17" t="s">
        <v>477</v>
      </c>
      <c r="K38360" s="18"/>
    </row>
    <row r="38361">
      <c r="B38361" s="17" t="s">
        <v>477</v>
      </c>
      <c r="K38361" s="18"/>
    </row>
    <row r="38362">
      <c r="B38362" s="17" t="s">
        <v>477</v>
      </c>
      <c r="K38362" s="18"/>
    </row>
    <row r="38363">
      <c r="B38363" s="17" t="s">
        <v>477</v>
      </c>
      <c r="K38363" s="18"/>
    </row>
    <row r="38364">
      <c r="B38364" s="17" t="s">
        <v>477</v>
      </c>
      <c r="K38364" s="18"/>
    </row>
    <row r="38365">
      <c r="B38365" s="17" t="s">
        <v>477</v>
      </c>
      <c r="K38365" s="18"/>
    </row>
    <row r="38366">
      <c r="B38366" s="17" t="s">
        <v>477</v>
      </c>
      <c r="K38366" s="18"/>
    </row>
    <row r="38367">
      <c r="B38367" s="17" t="s">
        <v>477</v>
      </c>
      <c r="K38367" s="18"/>
    </row>
    <row r="38368">
      <c r="B38368" s="17" t="s">
        <v>477</v>
      </c>
      <c r="K38368" s="18"/>
    </row>
    <row r="38369">
      <c r="B38369" s="17" t="s">
        <v>477</v>
      </c>
      <c r="K38369" s="18"/>
    </row>
    <row r="38370">
      <c r="B38370" s="17" t="s">
        <v>477</v>
      </c>
      <c r="K38370" s="18"/>
    </row>
    <row r="38371">
      <c r="B38371" s="17" t="s">
        <v>477</v>
      </c>
      <c r="K38371" s="18"/>
    </row>
    <row r="38372">
      <c r="B38372" s="17" t="s">
        <v>477</v>
      </c>
      <c r="K38372" s="18"/>
    </row>
    <row r="38373">
      <c r="B38373" s="17" t="s">
        <v>477</v>
      </c>
      <c r="K38373" s="18"/>
    </row>
    <row r="38374">
      <c r="B38374" s="17" t="s">
        <v>477</v>
      </c>
      <c r="K38374" s="18"/>
    </row>
    <row r="38375">
      <c r="B38375" s="17" t="s">
        <v>477</v>
      </c>
      <c r="K38375" s="18"/>
    </row>
    <row r="38376">
      <c r="B38376" s="17" t="s">
        <v>477</v>
      </c>
      <c r="K38376" s="18"/>
    </row>
    <row r="38377">
      <c r="B38377" s="17" t="s">
        <v>477</v>
      </c>
      <c r="K38377" s="18"/>
    </row>
    <row r="38378">
      <c r="B38378" s="17" t="s">
        <v>477</v>
      </c>
      <c r="K38378" s="18"/>
    </row>
    <row r="38379">
      <c r="B38379" s="17" t="s">
        <v>477</v>
      </c>
      <c r="K38379" s="18"/>
    </row>
    <row r="38380">
      <c r="B38380" s="17" t="s">
        <v>477</v>
      </c>
      <c r="K38380" s="18"/>
    </row>
    <row r="38381">
      <c r="B38381" s="17" t="s">
        <v>477</v>
      </c>
      <c r="K38381" s="18"/>
    </row>
    <row r="38382">
      <c r="B38382" s="17" t="s">
        <v>477</v>
      </c>
      <c r="K38382" s="18"/>
    </row>
    <row r="38383">
      <c r="B38383" s="17" t="s">
        <v>477</v>
      </c>
      <c r="K38383" s="18"/>
    </row>
    <row r="38384">
      <c r="B38384" s="17" t="s">
        <v>477</v>
      </c>
      <c r="K38384" s="18"/>
    </row>
    <row r="38385">
      <c r="B38385" s="17" t="s">
        <v>477</v>
      </c>
      <c r="K38385" s="18"/>
    </row>
    <row r="38386">
      <c r="B38386" s="17" t="s">
        <v>477</v>
      </c>
      <c r="K38386" s="18"/>
    </row>
    <row r="38387">
      <c r="B38387" s="17" t="s">
        <v>477</v>
      </c>
      <c r="K38387" s="18"/>
    </row>
    <row r="38388">
      <c r="B38388" s="17" t="s">
        <v>477</v>
      </c>
      <c r="K38388" s="18"/>
    </row>
    <row r="38389">
      <c r="B38389" s="17" t="s">
        <v>477</v>
      </c>
      <c r="K38389" s="18"/>
    </row>
    <row r="38390">
      <c r="B38390" s="17" t="s">
        <v>477</v>
      </c>
      <c r="K38390" s="18"/>
    </row>
    <row r="38391">
      <c r="B38391" s="17" t="s">
        <v>477</v>
      </c>
      <c r="K38391" s="18"/>
    </row>
    <row r="38392">
      <c r="B38392" s="17" t="s">
        <v>477</v>
      </c>
      <c r="K38392" s="18"/>
    </row>
    <row r="38393">
      <c r="B38393" s="17" t="s">
        <v>477</v>
      </c>
      <c r="K38393" s="18"/>
    </row>
    <row r="38394">
      <c r="B38394" s="17" t="s">
        <v>477</v>
      </c>
      <c r="K38394" s="18"/>
    </row>
    <row r="38395">
      <c r="B38395" s="17" t="s">
        <v>477</v>
      </c>
      <c r="K38395" s="18"/>
    </row>
    <row r="38396">
      <c r="B38396" s="17" t="s">
        <v>477</v>
      </c>
      <c r="K38396" s="18"/>
    </row>
    <row r="38397">
      <c r="B38397" s="17" t="s">
        <v>477</v>
      </c>
      <c r="K38397" s="18"/>
    </row>
    <row r="38398">
      <c r="B38398" s="17" t="s">
        <v>477</v>
      </c>
      <c r="K38398" s="18"/>
    </row>
    <row r="38399">
      <c r="B38399" s="17" t="s">
        <v>477</v>
      </c>
      <c r="K38399" s="18"/>
    </row>
    <row r="38400">
      <c r="B38400" s="17" t="s">
        <v>477</v>
      </c>
      <c r="K38400" s="18"/>
    </row>
    <row r="38401">
      <c r="B38401" s="17" t="s">
        <v>477</v>
      </c>
      <c r="K38401" s="18"/>
    </row>
    <row r="38402">
      <c r="B38402" s="17" t="s">
        <v>477</v>
      </c>
      <c r="K38402" s="18"/>
    </row>
    <row r="38403">
      <c r="B38403" s="17" t="s">
        <v>477</v>
      </c>
      <c r="K38403" s="18"/>
    </row>
    <row r="38404">
      <c r="B38404" s="17" t="s">
        <v>477</v>
      </c>
      <c r="K38404" s="18"/>
    </row>
    <row r="38405">
      <c r="B38405" s="17" t="s">
        <v>477</v>
      </c>
      <c r="K38405" s="18"/>
    </row>
    <row r="38406">
      <c r="B38406" s="17" t="s">
        <v>477</v>
      </c>
      <c r="K38406" s="18"/>
    </row>
    <row r="38407">
      <c r="B38407" s="17" t="s">
        <v>477</v>
      </c>
      <c r="K38407" s="18"/>
    </row>
    <row r="38408">
      <c r="B38408" s="17" t="s">
        <v>477</v>
      </c>
      <c r="K38408" s="18"/>
    </row>
    <row r="38409">
      <c r="B38409" s="17" t="s">
        <v>477</v>
      </c>
      <c r="K38409" s="18"/>
    </row>
    <row r="38410">
      <c r="B38410" s="17" t="s">
        <v>477</v>
      </c>
      <c r="K38410" s="18"/>
    </row>
    <row r="38411">
      <c r="B38411" s="17" t="s">
        <v>477</v>
      </c>
      <c r="K38411" s="18"/>
    </row>
    <row r="38412">
      <c r="B38412" s="17" t="s">
        <v>477</v>
      </c>
      <c r="K38412" s="18"/>
    </row>
    <row r="38413">
      <c r="B38413" s="17" t="s">
        <v>477</v>
      </c>
      <c r="K38413" s="18"/>
    </row>
    <row r="38414">
      <c r="B38414" s="17" t="s">
        <v>477</v>
      </c>
      <c r="K38414" s="18"/>
    </row>
    <row r="38415">
      <c r="B38415" s="17" t="s">
        <v>477</v>
      </c>
      <c r="K38415" s="18"/>
    </row>
    <row r="38416">
      <c r="B38416" s="17" t="s">
        <v>477</v>
      </c>
      <c r="K38416" s="18"/>
    </row>
    <row r="38417">
      <c r="B38417" s="17" t="s">
        <v>477</v>
      </c>
      <c r="K38417" s="18"/>
    </row>
    <row r="38418">
      <c r="B38418" s="17" t="s">
        <v>477</v>
      </c>
      <c r="K38418" s="18"/>
    </row>
    <row r="38419">
      <c r="B38419" s="17" t="s">
        <v>477</v>
      </c>
      <c r="K38419" s="18"/>
    </row>
    <row r="38420">
      <c r="B38420" s="17" t="s">
        <v>477</v>
      </c>
      <c r="K38420" s="18"/>
    </row>
    <row r="38421">
      <c r="B38421" s="17" t="s">
        <v>477</v>
      </c>
      <c r="K38421" s="18"/>
    </row>
    <row r="38422">
      <c r="B38422" s="17" t="s">
        <v>477</v>
      </c>
      <c r="K38422" s="18"/>
    </row>
    <row r="38423">
      <c r="B38423" s="17" t="s">
        <v>477</v>
      </c>
      <c r="K38423" s="18"/>
    </row>
    <row r="38424">
      <c r="B38424" s="17" t="s">
        <v>477</v>
      </c>
      <c r="K38424" s="18"/>
    </row>
    <row r="38425">
      <c r="B38425" s="17" t="s">
        <v>477</v>
      </c>
      <c r="K38425" s="18"/>
    </row>
    <row r="38426">
      <c r="B38426" s="17" t="s">
        <v>477</v>
      </c>
      <c r="K38426" s="18"/>
    </row>
    <row r="38427">
      <c r="B38427" s="17" t="s">
        <v>477</v>
      </c>
      <c r="K38427" s="18"/>
    </row>
    <row r="38428">
      <c r="B38428" s="17" t="s">
        <v>477</v>
      </c>
      <c r="K38428" s="18"/>
    </row>
    <row r="38429">
      <c r="B38429" s="17" t="s">
        <v>477</v>
      </c>
      <c r="K38429" s="18"/>
    </row>
    <row r="38430">
      <c r="B38430" s="17" t="s">
        <v>477</v>
      </c>
      <c r="K38430" s="18"/>
    </row>
    <row r="38431">
      <c r="B38431" s="17" t="s">
        <v>477</v>
      </c>
      <c r="K38431" s="18"/>
    </row>
    <row r="38432">
      <c r="B38432" s="17" t="s">
        <v>477</v>
      </c>
      <c r="K38432" s="18"/>
    </row>
    <row r="38433">
      <c r="B38433" s="17" t="s">
        <v>477</v>
      </c>
      <c r="K38433" s="18"/>
    </row>
    <row r="38434">
      <c r="B38434" s="17" t="s">
        <v>477</v>
      </c>
      <c r="K38434" s="18"/>
    </row>
    <row r="38435">
      <c r="B38435" s="17" t="s">
        <v>477</v>
      </c>
      <c r="K38435" s="18"/>
    </row>
    <row r="38436">
      <c r="B38436" s="17" t="s">
        <v>477</v>
      </c>
      <c r="K38436" s="18"/>
    </row>
    <row r="38437">
      <c r="B38437" s="17" t="s">
        <v>477</v>
      </c>
      <c r="K38437" s="18"/>
    </row>
    <row r="38438">
      <c r="B38438" s="17" t="s">
        <v>477</v>
      </c>
      <c r="K38438" s="18"/>
    </row>
    <row r="38439">
      <c r="B38439" s="17" t="s">
        <v>477</v>
      </c>
      <c r="K38439" s="18"/>
    </row>
    <row r="38440">
      <c r="B38440" s="17" t="s">
        <v>477</v>
      </c>
      <c r="K38440" s="18"/>
    </row>
    <row r="38441">
      <c r="B38441" s="17" t="s">
        <v>477</v>
      </c>
      <c r="K38441" s="18"/>
    </row>
    <row r="38442">
      <c r="B38442" s="17" t="s">
        <v>477</v>
      </c>
      <c r="K38442" s="18"/>
    </row>
    <row r="38443">
      <c r="B38443" s="17" t="s">
        <v>477</v>
      </c>
      <c r="K38443" s="18"/>
    </row>
    <row r="38444">
      <c r="B38444" s="17" t="s">
        <v>477</v>
      </c>
      <c r="K38444" s="18"/>
    </row>
    <row r="38445">
      <c r="B38445" s="17" t="s">
        <v>477</v>
      </c>
      <c r="K38445" s="18"/>
    </row>
    <row r="38446">
      <c r="B38446" s="17" t="s">
        <v>477</v>
      </c>
      <c r="K38446" s="18"/>
    </row>
    <row r="38447">
      <c r="B38447" s="17" t="s">
        <v>477</v>
      </c>
      <c r="K38447" s="18"/>
    </row>
    <row r="38448">
      <c r="B38448" s="17" t="s">
        <v>477</v>
      </c>
      <c r="K38448" s="18"/>
    </row>
    <row r="38449">
      <c r="B38449" s="17" t="s">
        <v>477</v>
      </c>
      <c r="K38449" s="18"/>
    </row>
    <row r="38450">
      <c r="B38450" s="17" t="s">
        <v>477</v>
      </c>
      <c r="K38450" s="18"/>
    </row>
    <row r="38451">
      <c r="B38451" s="17" t="s">
        <v>477</v>
      </c>
      <c r="K38451" s="18"/>
    </row>
    <row r="38452">
      <c r="B38452" s="17" t="s">
        <v>477</v>
      </c>
      <c r="K38452" s="18"/>
    </row>
    <row r="38453">
      <c r="B38453" s="17" t="s">
        <v>477</v>
      </c>
      <c r="K38453" s="18"/>
    </row>
    <row r="38454">
      <c r="B38454" s="17" t="s">
        <v>477</v>
      </c>
      <c r="K38454" s="18"/>
    </row>
    <row r="38455">
      <c r="B38455" s="17" t="s">
        <v>477</v>
      </c>
      <c r="K38455" s="18"/>
    </row>
    <row r="38456">
      <c r="B38456" s="17" t="s">
        <v>477</v>
      </c>
      <c r="K38456" s="18"/>
    </row>
    <row r="38457">
      <c r="B38457" s="17" t="s">
        <v>477</v>
      </c>
      <c r="K38457" s="18"/>
    </row>
    <row r="38458">
      <c r="B38458" s="17" t="s">
        <v>477</v>
      </c>
      <c r="K38458" s="18"/>
    </row>
    <row r="38459">
      <c r="B38459" s="17" t="s">
        <v>477</v>
      </c>
      <c r="K38459" s="18"/>
    </row>
    <row r="38460">
      <c r="B38460" s="17" t="s">
        <v>477</v>
      </c>
      <c r="K38460" s="18"/>
    </row>
    <row r="38461">
      <c r="B38461" s="17" t="s">
        <v>477</v>
      </c>
      <c r="K38461" s="18"/>
    </row>
    <row r="38462">
      <c r="B38462" s="17" t="s">
        <v>477</v>
      </c>
      <c r="K38462" s="18"/>
    </row>
    <row r="38463">
      <c r="B38463" s="17" t="s">
        <v>477</v>
      </c>
      <c r="K38463" s="18"/>
    </row>
    <row r="38464">
      <c r="B38464" s="17" t="s">
        <v>477</v>
      </c>
      <c r="K38464" s="18"/>
    </row>
    <row r="38465">
      <c r="B38465" s="17" t="s">
        <v>477</v>
      </c>
      <c r="K38465" s="18"/>
    </row>
    <row r="38466">
      <c r="B38466" s="17" t="s">
        <v>477</v>
      </c>
      <c r="K38466" s="18"/>
    </row>
    <row r="38467">
      <c r="B38467" s="17" t="s">
        <v>477</v>
      </c>
      <c r="K38467" s="18"/>
    </row>
    <row r="38468">
      <c r="B38468" s="17" t="s">
        <v>477</v>
      </c>
      <c r="K38468" s="18"/>
    </row>
    <row r="38469">
      <c r="B38469" s="17" t="s">
        <v>477</v>
      </c>
      <c r="K38469" s="18"/>
    </row>
    <row r="38470">
      <c r="B38470" s="17" t="s">
        <v>477</v>
      </c>
      <c r="K38470" s="18"/>
    </row>
    <row r="38471">
      <c r="B38471" s="17" t="s">
        <v>477</v>
      </c>
      <c r="K38471" s="18"/>
    </row>
    <row r="38472">
      <c r="B38472" s="17" t="s">
        <v>477</v>
      </c>
      <c r="K38472" s="18"/>
    </row>
    <row r="38473">
      <c r="B38473" s="17" t="s">
        <v>477</v>
      </c>
      <c r="K38473" s="18"/>
    </row>
    <row r="38474">
      <c r="B38474" s="17" t="s">
        <v>477</v>
      </c>
      <c r="K38474" s="18"/>
    </row>
    <row r="38475">
      <c r="B38475" s="17" t="s">
        <v>477</v>
      </c>
      <c r="K38475" s="18"/>
    </row>
    <row r="38476">
      <c r="B38476" s="17" t="s">
        <v>477</v>
      </c>
      <c r="K38476" s="18"/>
    </row>
    <row r="38477">
      <c r="B38477" s="17" t="s">
        <v>477</v>
      </c>
      <c r="K38477" s="18"/>
    </row>
    <row r="38478">
      <c r="B38478" s="17" t="s">
        <v>477</v>
      </c>
      <c r="K38478" s="18"/>
    </row>
    <row r="38479">
      <c r="B38479" s="17" t="s">
        <v>477</v>
      </c>
      <c r="K38479" s="18"/>
    </row>
    <row r="38480">
      <c r="B38480" s="17" t="s">
        <v>477</v>
      </c>
      <c r="K38480" s="18"/>
    </row>
    <row r="38481">
      <c r="B38481" s="17" t="s">
        <v>477</v>
      </c>
      <c r="K38481" s="18"/>
    </row>
    <row r="38482">
      <c r="B38482" s="17" t="s">
        <v>477</v>
      </c>
      <c r="K38482" s="18"/>
    </row>
    <row r="38483">
      <c r="B38483" s="17" t="s">
        <v>477</v>
      </c>
      <c r="K38483" s="18"/>
    </row>
    <row r="38484">
      <c r="B38484" s="17" t="s">
        <v>477</v>
      </c>
      <c r="K38484" s="18"/>
    </row>
    <row r="38485">
      <c r="B38485" s="17" t="s">
        <v>477</v>
      </c>
      <c r="K38485" s="18"/>
    </row>
    <row r="38486">
      <c r="B38486" s="17" t="s">
        <v>477</v>
      </c>
      <c r="K38486" s="18"/>
    </row>
    <row r="38487">
      <c r="B38487" s="17" t="s">
        <v>477</v>
      </c>
      <c r="K38487" s="18"/>
    </row>
    <row r="38488">
      <c r="B38488" s="17" t="s">
        <v>477</v>
      </c>
      <c r="K38488" s="18"/>
    </row>
    <row r="38489">
      <c r="B38489" s="17" t="s">
        <v>477</v>
      </c>
      <c r="K38489" s="18"/>
    </row>
    <row r="38490">
      <c r="B38490" s="17" t="s">
        <v>477</v>
      </c>
      <c r="K38490" s="18"/>
    </row>
    <row r="38491">
      <c r="B38491" s="17" t="s">
        <v>477</v>
      </c>
      <c r="K38491" s="18"/>
    </row>
    <row r="38492">
      <c r="B38492" s="17" t="s">
        <v>477</v>
      </c>
      <c r="K38492" s="18"/>
    </row>
    <row r="38493">
      <c r="B38493" s="17" t="s">
        <v>477</v>
      </c>
      <c r="K38493" s="18"/>
    </row>
    <row r="38494">
      <c r="B38494" s="17" t="s">
        <v>477</v>
      </c>
      <c r="K38494" s="18"/>
    </row>
    <row r="38495">
      <c r="B38495" s="17" t="s">
        <v>477</v>
      </c>
      <c r="K38495" s="18"/>
    </row>
    <row r="38496">
      <c r="B38496" s="17" t="s">
        <v>477</v>
      </c>
      <c r="K38496" s="18"/>
    </row>
    <row r="38497">
      <c r="B38497" s="17" t="s">
        <v>477</v>
      </c>
      <c r="K38497" s="18"/>
    </row>
    <row r="38498">
      <c r="B38498" s="17" t="s">
        <v>477</v>
      </c>
      <c r="K38498" s="18"/>
    </row>
    <row r="38499">
      <c r="B38499" s="17" t="s">
        <v>477</v>
      </c>
      <c r="K38499" s="18"/>
    </row>
    <row r="38500">
      <c r="B38500" s="17" t="s">
        <v>477</v>
      </c>
      <c r="K38500" s="18"/>
    </row>
    <row r="38501">
      <c r="B38501" s="17" t="s">
        <v>477</v>
      </c>
      <c r="K38501" s="18"/>
    </row>
    <row r="38502">
      <c r="B38502" s="17" t="s">
        <v>477</v>
      </c>
      <c r="K38502" s="18"/>
    </row>
    <row r="38503">
      <c r="B38503" s="17" t="s">
        <v>477</v>
      </c>
      <c r="K38503" s="18"/>
    </row>
    <row r="38504">
      <c r="B38504" s="17" t="s">
        <v>477</v>
      </c>
      <c r="K38504" s="18"/>
    </row>
    <row r="38505">
      <c r="B38505" s="17" t="s">
        <v>477</v>
      </c>
      <c r="K38505" s="18"/>
    </row>
    <row r="38506">
      <c r="B38506" s="17" t="s">
        <v>477</v>
      </c>
      <c r="K38506" s="18"/>
    </row>
    <row r="38507">
      <c r="B38507" s="17" t="s">
        <v>477</v>
      </c>
      <c r="K38507" s="18"/>
    </row>
    <row r="38508">
      <c r="B38508" s="17" t="s">
        <v>477</v>
      </c>
      <c r="K38508" s="18"/>
    </row>
    <row r="38509">
      <c r="B38509" s="17" t="s">
        <v>477</v>
      </c>
      <c r="K38509" s="18"/>
    </row>
    <row r="38510">
      <c r="B38510" s="17" t="s">
        <v>477</v>
      </c>
      <c r="K38510" s="18"/>
    </row>
    <row r="38511">
      <c r="B38511" s="17" t="s">
        <v>477</v>
      </c>
      <c r="K38511" s="18"/>
    </row>
    <row r="38512">
      <c r="B38512" s="17" t="s">
        <v>477</v>
      </c>
      <c r="K38512" s="18"/>
    </row>
    <row r="38513">
      <c r="B38513" s="17" t="s">
        <v>477</v>
      </c>
      <c r="K38513" s="18"/>
    </row>
    <row r="38514">
      <c r="B38514" s="17" t="s">
        <v>477</v>
      </c>
      <c r="K38514" s="18"/>
    </row>
    <row r="38515">
      <c r="B38515" s="17" t="s">
        <v>477</v>
      </c>
      <c r="K38515" s="18"/>
    </row>
    <row r="38516">
      <c r="B38516" s="17" t="s">
        <v>477</v>
      </c>
      <c r="K38516" s="18"/>
    </row>
    <row r="38517">
      <c r="B38517" s="17" t="s">
        <v>477</v>
      </c>
      <c r="K38517" s="18"/>
    </row>
    <row r="38518">
      <c r="B38518" s="17" t="s">
        <v>477</v>
      </c>
      <c r="K38518" s="18"/>
    </row>
    <row r="38519">
      <c r="B38519" s="17" t="s">
        <v>477</v>
      </c>
      <c r="K38519" s="18"/>
    </row>
    <row r="38520">
      <c r="B38520" s="17" t="s">
        <v>477</v>
      </c>
      <c r="K38520" s="18"/>
    </row>
    <row r="38521">
      <c r="B38521" s="17" t="s">
        <v>477</v>
      </c>
      <c r="K38521" s="18"/>
    </row>
    <row r="38522">
      <c r="B38522" s="17" t="s">
        <v>477</v>
      </c>
      <c r="K38522" s="18"/>
    </row>
    <row r="38523">
      <c r="B38523" s="17" t="s">
        <v>477</v>
      </c>
      <c r="K38523" s="18"/>
    </row>
    <row r="38524">
      <c r="B38524" s="17" t="s">
        <v>477</v>
      </c>
      <c r="K38524" s="18"/>
    </row>
    <row r="38525">
      <c r="B38525" s="17" t="s">
        <v>477</v>
      </c>
      <c r="K38525" s="18"/>
    </row>
    <row r="38526">
      <c r="B38526" s="17" t="s">
        <v>477</v>
      </c>
      <c r="K38526" s="18"/>
    </row>
    <row r="38527">
      <c r="B38527" s="17" t="s">
        <v>477</v>
      </c>
      <c r="K38527" s="18"/>
    </row>
    <row r="38528">
      <c r="B38528" s="17" t="s">
        <v>477</v>
      </c>
      <c r="K38528" s="18"/>
    </row>
    <row r="38529">
      <c r="B38529" s="17" t="s">
        <v>477</v>
      </c>
      <c r="K38529" s="18"/>
    </row>
    <row r="38530">
      <c r="B38530" s="17" t="s">
        <v>477</v>
      </c>
      <c r="K38530" s="18"/>
    </row>
    <row r="38531">
      <c r="B38531" s="17" t="s">
        <v>477</v>
      </c>
      <c r="K38531" s="18"/>
    </row>
    <row r="38532">
      <c r="B38532" s="17" t="s">
        <v>477</v>
      </c>
      <c r="K38532" s="18"/>
    </row>
    <row r="38533">
      <c r="B38533" s="17" t="s">
        <v>477</v>
      </c>
      <c r="K38533" s="18"/>
    </row>
    <row r="38534">
      <c r="B38534" s="17" t="s">
        <v>477</v>
      </c>
      <c r="K38534" s="18"/>
    </row>
    <row r="38535">
      <c r="B38535" s="17" t="s">
        <v>477</v>
      </c>
      <c r="K38535" s="18"/>
    </row>
    <row r="38536">
      <c r="B38536" s="17" t="s">
        <v>477</v>
      </c>
      <c r="K38536" s="18"/>
    </row>
    <row r="38537">
      <c r="B38537" s="17" t="s">
        <v>477</v>
      </c>
      <c r="K38537" s="18"/>
    </row>
    <row r="38538">
      <c r="B38538" s="17" t="s">
        <v>477</v>
      </c>
      <c r="K38538" s="18"/>
    </row>
    <row r="38539">
      <c r="B38539" s="17" t="s">
        <v>477</v>
      </c>
      <c r="K38539" s="18"/>
    </row>
    <row r="38540">
      <c r="B38540" s="17" t="s">
        <v>477</v>
      </c>
      <c r="K38540" s="18"/>
    </row>
    <row r="38541">
      <c r="B38541" s="17" t="s">
        <v>477</v>
      </c>
      <c r="K38541" s="18"/>
    </row>
    <row r="38542">
      <c r="B38542" s="17" t="s">
        <v>477</v>
      </c>
      <c r="K38542" s="18"/>
    </row>
    <row r="38543">
      <c r="B38543" s="17" t="s">
        <v>477</v>
      </c>
      <c r="K38543" s="18"/>
    </row>
    <row r="38544">
      <c r="B38544" s="17" t="s">
        <v>477</v>
      </c>
      <c r="K38544" s="18"/>
    </row>
    <row r="38545">
      <c r="B38545" s="17" t="s">
        <v>477</v>
      </c>
      <c r="K38545" s="18"/>
    </row>
    <row r="38546">
      <c r="B38546" s="17" t="s">
        <v>477</v>
      </c>
      <c r="K38546" s="18"/>
    </row>
    <row r="38547">
      <c r="B38547" s="17" t="s">
        <v>477</v>
      </c>
      <c r="K38547" s="18"/>
    </row>
    <row r="38548">
      <c r="B38548" s="17" t="s">
        <v>477</v>
      </c>
      <c r="K38548" s="18"/>
    </row>
    <row r="38549">
      <c r="B38549" s="17" t="s">
        <v>477</v>
      </c>
      <c r="K38549" s="18"/>
    </row>
    <row r="38550">
      <c r="B38550" s="17" t="s">
        <v>477</v>
      </c>
      <c r="K38550" s="18"/>
    </row>
    <row r="38551">
      <c r="B38551" s="17" t="s">
        <v>477</v>
      </c>
      <c r="K38551" s="18"/>
    </row>
    <row r="38552">
      <c r="B38552" s="17" t="s">
        <v>477</v>
      </c>
      <c r="K38552" s="18"/>
    </row>
    <row r="38553">
      <c r="B38553" s="17" t="s">
        <v>477</v>
      </c>
      <c r="K38553" s="18"/>
    </row>
    <row r="38554">
      <c r="B38554" s="17" t="s">
        <v>477</v>
      </c>
      <c r="K38554" s="18"/>
    </row>
    <row r="38555">
      <c r="B38555" s="17" t="s">
        <v>477</v>
      </c>
      <c r="K38555" s="18"/>
    </row>
    <row r="38556">
      <c r="B38556" s="17" t="s">
        <v>477</v>
      </c>
      <c r="K38556" s="18"/>
    </row>
    <row r="38557">
      <c r="B38557" s="17" t="s">
        <v>477</v>
      </c>
      <c r="K38557" s="18"/>
    </row>
    <row r="38558">
      <c r="B38558" s="17" t="s">
        <v>477</v>
      </c>
      <c r="K38558" s="18"/>
    </row>
    <row r="38559">
      <c r="B38559" s="17" t="s">
        <v>477</v>
      </c>
      <c r="K38559" s="18"/>
    </row>
    <row r="38560">
      <c r="B38560" s="17" t="s">
        <v>477</v>
      </c>
      <c r="K38560" s="18"/>
    </row>
    <row r="38561">
      <c r="B38561" s="17" t="s">
        <v>477</v>
      </c>
      <c r="K38561" s="18"/>
    </row>
    <row r="38562">
      <c r="B38562" s="17" t="s">
        <v>477</v>
      </c>
      <c r="K38562" s="18"/>
    </row>
    <row r="38563">
      <c r="B38563" s="17" t="s">
        <v>477</v>
      </c>
      <c r="K38563" s="18"/>
    </row>
    <row r="38564">
      <c r="B38564" s="17" t="s">
        <v>477</v>
      </c>
      <c r="K38564" s="18"/>
    </row>
    <row r="38565">
      <c r="B38565" s="17" t="s">
        <v>477</v>
      </c>
      <c r="K38565" s="18"/>
    </row>
    <row r="38566">
      <c r="B38566" s="17" t="s">
        <v>477</v>
      </c>
      <c r="K38566" s="18"/>
    </row>
    <row r="38567">
      <c r="B38567" s="17" t="s">
        <v>477</v>
      </c>
      <c r="K38567" s="18"/>
    </row>
    <row r="38568">
      <c r="B38568" s="17" t="s">
        <v>477</v>
      </c>
      <c r="K38568" s="18"/>
    </row>
    <row r="38569">
      <c r="B38569" s="17" t="s">
        <v>477</v>
      </c>
      <c r="K38569" s="18"/>
    </row>
    <row r="38570">
      <c r="B38570" s="17" t="s">
        <v>477</v>
      </c>
      <c r="K38570" s="18"/>
    </row>
    <row r="38571">
      <c r="B38571" s="17" t="s">
        <v>477</v>
      </c>
      <c r="K38571" s="18"/>
    </row>
    <row r="38572">
      <c r="B38572" s="17" t="s">
        <v>477</v>
      </c>
      <c r="K38572" s="18"/>
    </row>
    <row r="38573">
      <c r="B38573" s="17" t="s">
        <v>477</v>
      </c>
      <c r="K38573" s="18"/>
    </row>
    <row r="38574">
      <c r="B38574" s="17" t="s">
        <v>477</v>
      </c>
      <c r="K38574" s="18"/>
    </row>
    <row r="38575">
      <c r="B38575" s="17" t="s">
        <v>477</v>
      </c>
      <c r="K38575" s="18"/>
    </row>
    <row r="38576">
      <c r="B38576" s="17" t="s">
        <v>477</v>
      </c>
      <c r="K38576" s="18"/>
    </row>
    <row r="38577">
      <c r="B38577" s="17" t="s">
        <v>477</v>
      </c>
      <c r="K38577" s="18"/>
    </row>
    <row r="38578">
      <c r="B38578" s="17" t="s">
        <v>477</v>
      </c>
      <c r="K38578" s="18"/>
    </row>
    <row r="38579">
      <c r="B38579" s="17" t="s">
        <v>477</v>
      </c>
      <c r="K38579" s="18"/>
    </row>
    <row r="38580">
      <c r="B38580" s="17" t="s">
        <v>477</v>
      </c>
      <c r="K38580" s="18"/>
    </row>
    <row r="38581">
      <c r="B38581" s="17" t="s">
        <v>477</v>
      </c>
      <c r="K38581" s="18"/>
    </row>
    <row r="38582">
      <c r="B38582" s="17" t="s">
        <v>477</v>
      </c>
      <c r="K38582" s="18"/>
    </row>
    <row r="38583">
      <c r="B38583" s="17" t="s">
        <v>477</v>
      </c>
      <c r="K38583" s="18"/>
    </row>
    <row r="38584">
      <c r="B38584" s="17" t="s">
        <v>477</v>
      </c>
      <c r="K38584" s="18"/>
    </row>
    <row r="38585">
      <c r="B38585" s="17" t="s">
        <v>477</v>
      </c>
      <c r="K38585" s="18"/>
    </row>
    <row r="38586">
      <c r="B38586" s="17" t="s">
        <v>477</v>
      </c>
      <c r="K38586" s="18"/>
    </row>
    <row r="38587">
      <c r="B38587" s="17" t="s">
        <v>477</v>
      </c>
      <c r="K38587" s="18"/>
    </row>
    <row r="38588">
      <c r="B38588" s="17" t="s">
        <v>477</v>
      </c>
      <c r="K38588" s="18"/>
    </row>
    <row r="38589">
      <c r="B38589" s="17" t="s">
        <v>477</v>
      </c>
      <c r="K38589" s="18"/>
    </row>
    <row r="38590">
      <c r="B38590" s="17" t="s">
        <v>477</v>
      </c>
      <c r="K38590" s="18"/>
    </row>
    <row r="38591">
      <c r="B38591" s="17" t="s">
        <v>477</v>
      </c>
      <c r="K38591" s="18"/>
    </row>
    <row r="38592">
      <c r="B38592" s="17" t="s">
        <v>477</v>
      </c>
      <c r="K38592" s="18"/>
    </row>
    <row r="38593">
      <c r="B38593" s="17" t="s">
        <v>477</v>
      </c>
      <c r="K38593" s="18"/>
    </row>
    <row r="38594">
      <c r="B38594" s="17" t="s">
        <v>477</v>
      </c>
      <c r="K38594" s="18"/>
    </row>
    <row r="38595">
      <c r="B38595" s="17" t="s">
        <v>477</v>
      </c>
      <c r="K38595" s="18"/>
    </row>
    <row r="38596">
      <c r="B38596" s="17" t="s">
        <v>477</v>
      </c>
      <c r="K38596" s="18"/>
    </row>
    <row r="38597">
      <c r="B38597" s="17" t="s">
        <v>477</v>
      </c>
      <c r="K38597" s="18"/>
    </row>
    <row r="38598">
      <c r="B38598" s="17" t="s">
        <v>477</v>
      </c>
      <c r="K38598" s="18"/>
    </row>
    <row r="38599">
      <c r="B38599" s="17" t="s">
        <v>477</v>
      </c>
      <c r="K38599" s="18"/>
    </row>
    <row r="38600">
      <c r="B38600" s="17" t="s">
        <v>477</v>
      </c>
      <c r="K38600" s="18"/>
    </row>
    <row r="38601">
      <c r="B38601" s="17" t="s">
        <v>477</v>
      </c>
      <c r="K38601" s="18"/>
    </row>
    <row r="38602">
      <c r="B38602" s="17" t="s">
        <v>477</v>
      </c>
      <c r="K38602" s="18"/>
    </row>
    <row r="38603">
      <c r="B38603" s="17" t="s">
        <v>477</v>
      </c>
      <c r="K38603" s="18"/>
    </row>
    <row r="38604">
      <c r="B38604" s="17" t="s">
        <v>477</v>
      </c>
      <c r="K38604" s="18"/>
    </row>
    <row r="38605">
      <c r="B38605" s="17" t="s">
        <v>477</v>
      </c>
      <c r="K38605" s="18"/>
    </row>
    <row r="38606">
      <c r="B38606" s="17" t="s">
        <v>477</v>
      </c>
      <c r="K38606" s="18"/>
    </row>
    <row r="38607">
      <c r="B38607" s="17" t="s">
        <v>477</v>
      </c>
      <c r="K38607" s="18"/>
    </row>
    <row r="38608">
      <c r="B38608" s="17" t="s">
        <v>477</v>
      </c>
      <c r="K38608" s="18"/>
    </row>
    <row r="38609">
      <c r="B38609" s="17" t="s">
        <v>477</v>
      </c>
      <c r="K38609" s="18"/>
    </row>
    <row r="38610">
      <c r="B38610" s="17" t="s">
        <v>477</v>
      </c>
      <c r="K38610" s="18"/>
    </row>
    <row r="38611">
      <c r="B38611" s="17" t="s">
        <v>477</v>
      </c>
      <c r="K38611" s="18"/>
    </row>
    <row r="38612">
      <c r="B38612" s="17" t="s">
        <v>477</v>
      </c>
      <c r="K38612" s="18"/>
    </row>
    <row r="38613">
      <c r="B38613" s="17" t="s">
        <v>477</v>
      </c>
      <c r="K38613" s="18"/>
    </row>
    <row r="38614">
      <c r="B38614" s="17" t="s">
        <v>477</v>
      </c>
      <c r="K38614" s="18"/>
    </row>
    <row r="38615">
      <c r="B38615" s="17" t="s">
        <v>477</v>
      </c>
      <c r="K38615" s="18"/>
    </row>
    <row r="38616">
      <c r="B38616" s="17" t="s">
        <v>477</v>
      </c>
      <c r="K38616" s="18"/>
    </row>
    <row r="38617">
      <c r="B38617" s="17" t="s">
        <v>477</v>
      </c>
      <c r="K38617" s="18"/>
    </row>
    <row r="38618">
      <c r="B38618" s="17" t="s">
        <v>477</v>
      </c>
      <c r="K38618" s="18"/>
    </row>
    <row r="38619">
      <c r="B38619" s="17" t="s">
        <v>477</v>
      </c>
      <c r="K38619" s="18"/>
    </row>
    <row r="38620">
      <c r="B38620" s="17" t="s">
        <v>477</v>
      </c>
      <c r="K38620" s="18"/>
    </row>
    <row r="38621">
      <c r="B38621" s="17" t="s">
        <v>477</v>
      </c>
      <c r="K38621" s="18"/>
    </row>
    <row r="38622">
      <c r="B38622" s="17" t="s">
        <v>477</v>
      </c>
      <c r="K38622" s="18"/>
    </row>
    <row r="38623">
      <c r="B38623" s="17" t="s">
        <v>477</v>
      </c>
      <c r="K38623" s="18"/>
    </row>
    <row r="38624">
      <c r="B38624" s="17" t="s">
        <v>477</v>
      </c>
      <c r="K38624" s="18"/>
    </row>
    <row r="38625">
      <c r="B38625" s="17" t="s">
        <v>477</v>
      </c>
      <c r="K38625" s="18"/>
    </row>
    <row r="38626">
      <c r="B38626" s="17" t="s">
        <v>477</v>
      </c>
      <c r="K38626" s="18"/>
    </row>
    <row r="38627">
      <c r="B38627" s="17" t="s">
        <v>477</v>
      </c>
      <c r="K38627" s="18"/>
    </row>
    <row r="38628">
      <c r="B38628" s="17" t="s">
        <v>477</v>
      </c>
      <c r="K38628" s="18"/>
    </row>
    <row r="38629">
      <c r="B38629" s="17" t="s">
        <v>477</v>
      </c>
      <c r="K38629" s="18"/>
    </row>
    <row r="38630">
      <c r="B38630" s="17" t="s">
        <v>477</v>
      </c>
      <c r="K38630" s="18"/>
    </row>
    <row r="38631">
      <c r="B38631" s="17" t="s">
        <v>477</v>
      </c>
      <c r="K38631" s="18"/>
    </row>
    <row r="38632">
      <c r="B38632" s="17" t="s">
        <v>477</v>
      </c>
      <c r="K38632" s="18"/>
    </row>
    <row r="38633">
      <c r="B38633" s="17" t="s">
        <v>477</v>
      </c>
      <c r="K38633" s="18"/>
    </row>
    <row r="38634">
      <c r="B38634" s="17" t="s">
        <v>477</v>
      </c>
      <c r="K38634" s="18"/>
    </row>
    <row r="38635">
      <c r="B38635" s="17" t="s">
        <v>477</v>
      </c>
      <c r="K38635" s="18"/>
    </row>
    <row r="38636">
      <c r="B38636" s="17" t="s">
        <v>477</v>
      </c>
      <c r="K38636" s="18"/>
    </row>
    <row r="38637">
      <c r="B38637" s="17" t="s">
        <v>477</v>
      </c>
      <c r="K38637" s="18"/>
    </row>
    <row r="38638">
      <c r="B38638" s="17" t="s">
        <v>477</v>
      </c>
      <c r="K38638" s="18"/>
    </row>
    <row r="38639">
      <c r="B38639" s="17" t="s">
        <v>477</v>
      </c>
      <c r="K38639" s="18"/>
    </row>
    <row r="38640">
      <c r="B38640" s="17" t="s">
        <v>477</v>
      </c>
      <c r="K38640" s="18"/>
    </row>
    <row r="38641">
      <c r="B38641" s="17" t="s">
        <v>477</v>
      </c>
      <c r="K38641" s="18"/>
    </row>
    <row r="38642">
      <c r="B38642" s="17" t="s">
        <v>477</v>
      </c>
      <c r="K38642" s="18"/>
    </row>
    <row r="38643">
      <c r="B38643" s="17" t="s">
        <v>477</v>
      </c>
      <c r="K38643" s="18"/>
    </row>
    <row r="38644">
      <c r="B38644" s="17" t="s">
        <v>477</v>
      </c>
      <c r="K38644" s="18"/>
    </row>
    <row r="38645">
      <c r="B38645" s="17" t="s">
        <v>477</v>
      </c>
      <c r="K38645" s="18"/>
    </row>
    <row r="38646">
      <c r="B38646" s="17" t="s">
        <v>477</v>
      </c>
      <c r="K38646" s="18"/>
    </row>
    <row r="38647">
      <c r="B38647" s="17" t="s">
        <v>477</v>
      </c>
      <c r="K38647" s="18"/>
    </row>
    <row r="38648">
      <c r="B38648" s="17" t="s">
        <v>477</v>
      </c>
      <c r="K38648" s="18"/>
    </row>
    <row r="38649">
      <c r="B38649" s="17" t="s">
        <v>477</v>
      </c>
      <c r="K38649" s="18"/>
    </row>
    <row r="38650">
      <c r="B38650" s="17" t="s">
        <v>477</v>
      </c>
      <c r="K38650" s="18"/>
    </row>
    <row r="38651">
      <c r="B38651" s="17" t="s">
        <v>477</v>
      </c>
      <c r="K38651" s="18"/>
    </row>
    <row r="38652">
      <c r="B38652" s="17" t="s">
        <v>477</v>
      </c>
      <c r="K38652" s="18"/>
    </row>
    <row r="38653">
      <c r="B38653" s="17" t="s">
        <v>477</v>
      </c>
      <c r="K38653" s="18"/>
    </row>
    <row r="38654">
      <c r="B38654" s="17" t="s">
        <v>477</v>
      </c>
      <c r="K38654" s="18"/>
    </row>
    <row r="38655">
      <c r="B38655" s="17" t="s">
        <v>477</v>
      </c>
      <c r="K38655" s="18"/>
    </row>
    <row r="38656">
      <c r="B38656" s="17" t="s">
        <v>477</v>
      </c>
      <c r="K38656" s="18"/>
    </row>
    <row r="38657">
      <c r="B38657" s="17" t="s">
        <v>477</v>
      </c>
      <c r="K38657" s="18"/>
    </row>
    <row r="38658">
      <c r="B38658" s="17" t="s">
        <v>477</v>
      </c>
      <c r="K38658" s="18"/>
    </row>
    <row r="38659">
      <c r="B38659" s="17" t="s">
        <v>477</v>
      </c>
      <c r="K38659" s="18"/>
    </row>
    <row r="38660">
      <c r="B38660" s="17" t="s">
        <v>477</v>
      </c>
      <c r="K38660" s="18"/>
    </row>
    <row r="38661">
      <c r="B38661" s="17" t="s">
        <v>477</v>
      </c>
      <c r="K38661" s="18"/>
    </row>
    <row r="38662">
      <c r="B38662" s="17" t="s">
        <v>477</v>
      </c>
      <c r="K38662" s="18"/>
    </row>
    <row r="38663">
      <c r="B38663" s="17" t="s">
        <v>477</v>
      </c>
      <c r="K38663" s="18"/>
    </row>
    <row r="38664">
      <c r="B38664" s="17" t="s">
        <v>477</v>
      </c>
      <c r="K38664" s="18"/>
    </row>
    <row r="38665">
      <c r="B38665" s="17" t="s">
        <v>477</v>
      </c>
      <c r="K38665" s="18"/>
    </row>
    <row r="38666">
      <c r="B38666" s="17" t="s">
        <v>477</v>
      </c>
      <c r="K38666" s="18"/>
    </row>
    <row r="38667">
      <c r="B38667" s="17" t="s">
        <v>477</v>
      </c>
      <c r="K38667" s="18"/>
    </row>
    <row r="38668">
      <c r="B38668" s="17" t="s">
        <v>477</v>
      </c>
      <c r="K38668" s="18"/>
    </row>
    <row r="38669">
      <c r="B38669" s="17" t="s">
        <v>477</v>
      </c>
      <c r="K38669" s="18"/>
    </row>
    <row r="38670">
      <c r="B38670" s="17" t="s">
        <v>477</v>
      </c>
      <c r="K38670" s="18"/>
    </row>
    <row r="38671">
      <c r="B38671" s="17" t="s">
        <v>477</v>
      </c>
      <c r="K38671" s="18"/>
    </row>
    <row r="38672">
      <c r="B38672" s="17" t="s">
        <v>477</v>
      </c>
      <c r="K38672" s="18"/>
    </row>
    <row r="38673">
      <c r="B38673" s="17" t="s">
        <v>477</v>
      </c>
      <c r="K38673" s="18"/>
    </row>
    <row r="38674">
      <c r="B38674" s="17" t="s">
        <v>477</v>
      </c>
      <c r="K38674" s="18"/>
    </row>
    <row r="38675">
      <c r="B38675" s="17" t="s">
        <v>477</v>
      </c>
      <c r="K38675" s="18"/>
    </row>
    <row r="38676">
      <c r="B38676" s="17" t="s">
        <v>477</v>
      </c>
      <c r="K38676" s="18"/>
    </row>
    <row r="38677">
      <c r="B38677" s="17" t="s">
        <v>477</v>
      </c>
      <c r="K38677" s="18"/>
    </row>
    <row r="38678">
      <c r="B38678" s="17" t="s">
        <v>477</v>
      </c>
      <c r="K38678" s="18"/>
    </row>
    <row r="38679">
      <c r="B38679" s="17" t="s">
        <v>477</v>
      </c>
      <c r="K38679" s="18"/>
    </row>
    <row r="38680">
      <c r="B38680" s="17" t="s">
        <v>477</v>
      </c>
      <c r="K38680" s="18"/>
    </row>
    <row r="38681">
      <c r="B38681" s="17" t="s">
        <v>477</v>
      </c>
      <c r="K38681" s="18"/>
    </row>
    <row r="38682">
      <c r="B38682" s="17" t="s">
        <v>477</v>
      </c>
      <c r="K38682" s="18"/>
    </row>
    <row r="38683">
      <c r="B38683" s="17" t="s">
        <v>477</v>
      </c>
      <c r="K38683" s="18"/>
    </row>
    <row r="38684">
      <c r="B38684" s="17" t="s">
        <v>477</v>
      </c>
      <c r="K38684" s="18"/>
    </row>
    <row r="38685">
      <c r="B38685" s="17" t="s">
        <v>477</v>
      </c>
      <c r="K38685" s="18"/>
    </row>
    <row r="38686">
      <c r="B38686" s="17" t="s">
        <v>477</v>
      </c>
      <c r="K38686" s="18"/>
    </row>
    <row r="38687">
      <c r="B38687" s="17" t="s">
        <v>477</v>
      </c>
      <c r="K38687" s="18"/>
    </row>
    <row r="38688">
      <c r="B38688" s="17" t="s">
        <v>477</v>
      </c>
      <c r="K38688" s="18"/>
    </row>
    <row r="38689">
      <c r="B38689" s="17" t="s">
        <v>477</v>
      </c>
      <c r="K38689" s="18"/>
    </row>
    <row r="38690">
      <c r="B38690" s="17" t="s">
        <v>477</v>
      </c>
      <c r="K38690" s="18"/>
    </row>
    <row r="38691">
      <c r="B38691" s="17" t="s">
        <v>477</v>
      </c>
      <c r="K38691" s="18"/>
    </row>
    <row r="38692">
      <c r="B38692" s="17" t="s">
        <v>477</v>
      </c>
      <c r="K38692" s="18"/>
    </row>
    <row r="38693">
      <c r="B38693" s="17" t="s">
        <v>477</v>
      </c>
      <c r="K38693" s="18"/>
    </row>
    <row r="38694">
      <c r="B38694" s="17" t="s">
        <v>477</v>
      </c>
      <c r="K38694" s="18"/>
    </row>
    <row r="38695">
      <c r="B38695" s="17" t="s">
        <v>477</v>
      </c>
      <c r="K38695" s="18"/>
    </row>
    <row r="38696">
      <c r="B38696" s="17" t="s">
        <v>477</v>
      </c>
      <c r="K38696" s="18"/>
    </row>
    <row r="38697">
      <c r="B38697" s="17" t="s">
        <v>477</v>
      </c>
      <c r="K38697" s="18"/>
    </row>
    <row r="38698">
      <c r="B38698" s="17" t="s">
        <v>477</v>
      </c>
      <c r="K38698" s="18"/>
    </row>
    <row r="38699">
      <c r="B38699" s="17" t="s">
        <v>477</v>
      </c>
      <c r="K38699" s="18"/>
    </row>
    <row r="38700">
      <c r="B38700" s="17" t="s">
        <v>477</v>
      </c>
      <c r="K38700" s="18"/>
    </row>
    <row r="38701">
      <c r="B38701" s="17" t="s">
        <v>477</v>
      </c>
      <c r="K38701" s="18"/>
    </row>
    <row r="38702">
      <c r="B38702" s="17" t="s">
        <v>477</v>
      </c>
      <c r="K38702" s="18"/>
    </row>
    <row r="38703">
      <c r="B38703" s="17" t="s">
        <v>477</v>
      </c>
      <c r="K38703" s="18"/>
    </row>
    <row r="38704">
      <c r="B38704" s="17" t="s">
        <v>477</v>
      </c>
      <c r="K38704" s="18"/>
    </row>
    <row r="38705">
      <c r="B38705" s="17" t="s">
        <v>477</v>
      </c>
      <c r="K38705" s="18"/>
    </row>
    <row r="38706">
      <c r="B38706" s="17" t="s">
        <v>477</v>
      </c>
      <c r="K38706" s="18"/>
    </row>
    <row r="38707">
      <c r="B38707" s="17" t="s">
        <v>477</v>
      </c>
      <c r="K38707" s="18"/>
    </row>
    <row r="38708">
      <c r="B38708" s="17" t="s">
        <v>477</v>
      </c>
      <c r="K38708" s="18"/>
    </row>
    <row r="38709">
      <c r="B38709" s="17" t="s">
        <v>477</v>
      </c>
      <c r="K38709" s="18"/>
    </row>
    <row r="38710">
      <c r="B38710" s="17" t="s">
        <v>477</v>
      </c>
      <c r="K38710" s="18"/>
    </row>
    <row r="38711">
      <c r="B38711" s="17" t="s">
        <v>477</v>
      </c>
      <c r="K38711" s="18"/>
    </row>
    <row r="38712">
      <c r="B38712" s="17" t="s">
        <v>477</v>
      </c>
      <c r="K38712" s="18"/>
    </row>
    <row r="38713">
      <c r="B38713" s="17" t="s">
        <v>477</v>
      </c>
      <c r="K38713" s="18"/>
    </row>
    <row r="38714">
      <c r="B38714" s="17" t="s">
        <v>477</v>
      </c>
      <c r="K38714" s="18"/>
    </row>
    <row r="38715">
      <c r="B38715" s="17" t="s">
        <v>477</v>
      </c>
      <c r="K38715" s="18"/>
    </row>
    <row r="38716">
      <c r="B38716" s="17" t="s">
        <v>477</v>
      </c>
      <c r="K38716" s="18"/>
    </row>
    <row r="38717">
      <c r="B38717" s="17" t="s">
        <v>477</v>
      </c>
      <c r="K38717" s="18"/>
    </row>
    <row r="38718">
      <c r="B38718" s="17" t="s">
        <v>477</v>
      </c>
      <c r="K38718" s="18"/>
    </row>
    <row r="38719">
      <c r="B38719" s="17" t="s">
        <v>477</v>
      </c>
      <c r="K38719" s="18"/>
    </row>
    <row r="38720">
      <c r="B38720" s="17" t="s">
        <v>477</v>
      </c>
      <c r="K38720" s="18"/>
    </row>
    <row r="38721">
      <c r="B38721" s="17" t="s">
        <v>477</v>
      </c>
      <c r="K38721" s="18"/>
    </row>
    <row r="38722">
      <c r="B38722" s="17" t="s">
        <v>477</v>
      </c>
      <c r="K38722" s="18"/>
    </row>
    <row r="38723">
      <c r="B38723" s="17" t="s">
        <v>477</v>
      </c>
      <c r="K38723" s="18"/>
    </row>
    <row r="38724">
      <c r="B38724" s="17" t="s">
        <v>477</v>
      </c>
      <c r="K38724" s="18"/>
    </row>
    <row r="38725">
      <c r="B38725" s="17" t="s">
        <v>477</v>
      </c>
      <c r="K38725" s="18"/>
    </row>
    <row r="38726">
      <c r="B38726" s="17" t="s">
        <v>477</v>
      </c>
      <c r="K38726" s="18"/>
    </row>
    <row r="38727">
      <c r="B38727" s="17" t="s">
        <v>477</v>
      </c>
      <c r="K38727" s="18"/>
    </row>
    <row r="38728">
      <c r="B38728" s="17" t="s">
        <v>477</v>
      </c>
      <c r="K38728" s="18"/>
    </row>
    <row r="38729">
      <c r="B38729" s="17" t="s">
        <v>477</v>
      </c>
      <c r="K38729" s="18"/>
    </row>
    <row r="38730">
      <c r="B38730" s="17" t="s">
        <v>477</v>
      </c>
      <c r="K38730" s="18"/>
    </row>
    <row r="38731">
      <c r="B38731" s="17" t="s">
        <v>477</v>
      </c>
      <c r="K38731" s="18"/>
    </row>
    <row r="38732">
      <c r="B38732" s="17" t="s">
        <v>477</v>
      </c>
      <c r="K38732" s="18"/>
    </row>
    <row r="38733">
      <c r="B38733" s="17" t="s">
        <v>477</v>
      </c>
      <c r="K38733" s="18"/>
    </row>
    <row r="38734">
      <c r="B38734" s="17" t="s">
        <v>477</v>
      </c>
      <c r="K38734" s="18"/>
    </row>
    <row r="38735">
      <c r="B38735" s="17" t="s">
        <v>477</v>
      </c>
      <c r="K38735" s="18"/>
    </row>
    <row r="38736">
      <c r="B38736" s="17" t="s">
        <v>477</v>
      </c>
      <c r="K38736" s="18"/>
    </row>
    <row r="38737">
      <c r="B38737" s="17" t="s">
        <v>477</v>
      </c>
      <c r="K38737" s="18"/>
    </row>
    <row r="38738">
      <c r="B38738" s="17" t="s">
        <v>477</v>
      </c>
      <c r="K38738" s="18"/>
    </row>
    <row r="38739">
      <c r="B38739" s="17" t="s">
        <v>477</v>
      </c>
      <c r="K38739" s="18"/>
    </row>
    <row r="38740">
      <c r="B38740" s="17" t="s">
        <v>477</v>
      </c>
      <c r="K38740" s="18"/>
    </row>
    <row r="38741">
      <c r="B38741" s="17" t="s">
        <v>477</v>
      </c>
      <c r="K38741" s="18"/>
    </row>
    <row r="38742">
      <c r="B38742" s="17" t="s">
        <v>477</v>
      </c>
      <c r="K38742" s="18"/>
    </row>
    <row r="38743">
      <c r="B38743" s="17" t="s">
        <v>477</v>
      </c>
      <c r="K38743" s="18"/>
    </row>
    <row r="38744">
      <c r="B38744" s="17" t="s">
        <v>477</v>
      </c>
      <c r="K38744" s="18"/>
    </row>
    <row r="38745">
      <c r="B38745" s="17" t="s">
        <v>477</v>
      </c>
      <c r="K38745" s="18"/>
    </row>
    <row r="38746">
      <c r="B38746" s="17" t="s">
        <v>477</v>
      </c>
      <c r="K38746" s="18"/>
    </row>
    <row r="38747">
      <c r="B38747" s="17" t="s">
        <v>477</v>
      </c>
      <c r="K38747" s="18"/>
    </row>
    <row r="38748">
      <c r="B38748" s="17" t="s">
        <v>477</v>
      </c>
      <c r="K38748" s="18"/>
    </row>
    <row r="38749">
      <c r="B38749" s="17" t="s">
        <v>477</v>
      </c>
      <c r="K38749" s="18"/>
    </row>
    <row r="38750">
      <c r="B38750" s="17" t="s">
        <v>477</v>
      </c>
      <c r="K38750" s="18"/>
    </row>
    <row r="38751">
      <c r="B38751" s="17" t="s">
        <v>477</v>
      </c>
      <c r="K38751" s="18"/>
    </row>
    <row r="38752">
      <c r="B38752" s="17" t="s">
        <v>477</v>
      </c>
      <c r="K38752" s="18"/>
    </row>
    <row r="38753">
      <c r="B38753" s="17" t="s">
        <v>477</v>
      </c>
      <c r="K38753" s="18"/>
    </row>
    <row r="38754">
      <c r="B38754" s="17" t="s">
        <v>477</v>
      </c>
      <c r="K38754" s="18"/>
    </row>
    <row r="38755">
      <c r="B38755" s="17" t="s">
        <v>477</v>
      </c>
      <c r="K38755" s="18"/>
    </row>
    <row r="38756">
      <c r="B38756" s="17" t="s">
        <v>477</v>
      </c>
      <c r="K38756" s="18"/>
    </row>
    <row r="38757">
      <c r="B38757" s="17" t="s">
        <v>477</v>
      </c>
      <c r="K38757" s="18"/>
    </row>
    <row r="38758">
      <c r="B38758" s="17" t="s">
        <v>477</v>
      </c>
      <c r="K38758" s="18"/>
    </row>
    <row r="38759">
      <c r="B38759" s="17" t="s">
        <v>477</v>
      </c>
      <c r="K38759" s="18"/>
    </row>
    <row r="38760">
      <c r="B38760" s="17" t="s">
        <v>477</v>
      </c>
      <c r="K38760" s="18"/>
    </row>
    <row r="38761">
      <c r="B38761" s="17" t="s">
        <v>477</v>
      </c>
      <c r="K38761" s="18"/>
    </row>
    <row r="38762">
      <c r="B38762" s="17" t="s">
        <v>477</v>
      </c>
      <c r="K38762" s="18"/>
    </row>
    <row r="38763">
      <c r="B38763" s="17" t="s">
        <v>477</v>
      </c>
      <c r="K38763" s="18"/>
    </row>
    <row r="38764">
      <c r="B38764" s="17" t="s">
        <v>477</v>
      </c>
      <c r="K38764" s="18"/>
    </row>
    <row r="38765">
      <c r="B38765" s="17" t="s">
        <v>477</v>
      </c>
      <c r="K38765" s="18"/>
    </row>
    <row r="38766">
      <c r="B38766" s="17" t="s">
        <v>477</v>
      </c>
      <c r="K38766" s="18"/>
    </row>
    <row r="38767">
      <c r="B38767" s="17" t="s">
        <v>477</v>
      </c>
      <c r="K38767" s="18"/>
    </row>
    <row r="38768">
      <c r="B38768" s="17" t="s">
        <v>477</v>
      </c>
      <c r="K38768" s="18"/>
    </row>
    <row r="38769">
      <c r="B38769" s="17" t="s">
        <v>477</v>
      </c>
      <c r="K38769" s="18"/>
    </row>
    <row r="38770">
      <c r="B38770" s="17" t="s">
        <v>477</v>
      </c>
      <c r="K38770" s="18"/>
    </row>
    <row r="38771">
      <c r="B38771" s="17" t="s">
        <v>477</v>
      </c>
      <c r="K38771" s="18"/>
    </row>
    <row r="38772">
      <c r="B38772" s="17" t="s">
        <v>477</v>
      </c>
      <c r="K38772" s="18"/>
    </row>
    <row r="38773">
      <c r="B38773" s="17" t="s">
        <v>477</v>
      </c>
      <c r="K38773" s="18"/>
    </row>
    <row r="38774">
      <c r="B38774" s="17" t="s">
        <v>477</v>
      </c>
      <c r="K38774" s="18"/>
    </row>
    <row r="38775">
      <c r="B38775" s="17" t="s">
        <v>477</v>
      </c>
      <c r="K38775" s="18"/>
    </row>
    <row r="38776">
      <c r="B38776" s="17" t="s">
        <v>477</v>
      </c>
      <c r="K38776" s="18"/>
    </row>
    <row r="38777">
      <c r="B38777" s="17" t="s">
        <v>477</v>
      </c>
      <c r="K38777" s="18"/>
    </row>
    <row r="38778">
      <c r="B38778" s="17" t="s">
        <v>477</v>
      </c>
      <c r="K38778" s="18"/>
    </row>
    <row r="38779">
      <c r="B38779" s="17" t="s">
        <v>477</v>
      </c>
      <c r="K38779" s="18"/>
    </row>
    <row r="38780">
      <c r="B38780" s="17" t="s">
        <v>477</v>
      </c>
      <c r="K38780" s="18"/>
    </row>
    <row r="38781">
      <c r="B38781" s="17" t="s">
        <v>477</v>
      </c>
      <c r="K38781" s="18"/>
    </row>
    <row r="38782">
      <c r="B38782" s="17" t="s">
        <v>477</v>
      </c>
      <c r="K38782" s="18"/>
    </row>
    <row r="38783">
      <c r="B38783" s="17" t="s">
        <v>477</v>
      </c>
      <c r="K38783" s="18"/>
    </row>
    <row r="38784">
      <c r="B38784" s="17" t="s">
        <v>477</v>
      </c>
      <c r="K38784" s="18"/>
    </row>
    <row r="38785">
      <c r="B38785" s="17" t="s">
        <v>477</v>
      </c>
      <c r="K38785" s="18"/>
    </row>
    <row r="38786">
      <c r="B38786" s="17" t="s">
        <v>477</v>
      </c>
      <c r="K38786" s="18"/>
    </row>
    <row r="38787">
      <c r="B38787" s="17" t="s">
        <v>477</v>
      </c>
      <c r="K38787" s="18"/>
    </row>
    <row r="38788">
      <c r="B38788" s="17" t="s">
        <v>477</v>
      </c>
      <c r="K38788" s="18"/>
    </row>
    <row r="38789">
      <c r="B38789" s="17" t="s">
        <v>477</v>
      </c>
      <c r="K38789" s="18"/>
    </row>
    <row r="38790">
      <c r="B38790" s="17" t="s">
        <v>477</v>
      </c>
      <c r="K38790" s="18"/>
    </row>
    <row r="38791">
      <c r="B38791" s="17" t="s">
        <v>477</v>
      </c>
      <c r="K38791" s="18"/>
    </row>
    <row r="38792">
      <c r="B38792" s="17" t="s">
        <v>477</v>
      </c>
      <c r="K38792" s="18"/>
    </row>
    <row r="38793">
      <c r="B38793" s="17" t="s">
        <v>477</v>
      </c>
      <c r="K38793" s="18"/>
    </row>
    <row r="38794">
      <c r="B38794" s="17" t="s">
        <v>477</v>
      </c>
      <c r="K38794" s="18"/>
    </row>
    <row r="38795">
      <c r="B38795" s="17" t="s">
        <v>477</v>
      </c>
      <c r="K38795" s="18"/>
    </row>
    <row r="38796">
      <c r="B38796" s="17" t="s">
        <v>477</v>
      </c>
      <c r="K38796" s="18"/>
    </row>
    <row r="38797">
      <c r="B38797" s="17" t="s">
        <v>477</v>
      </c>
      <c r="K38797" s="18"/>
    </row>
    <row r="38798">
      <c r="B38798" s="17" t="s">
        <v>477</v>
      </c>
      <c r="K38798" s="18"/>
    </row>
    <row r="38799">
      <c r="B38799" s="17" t="s">
        <v>477</v>
      </c>
      <c r="K38799" s="18"/>
    </row>
    <row r="38800">
      <c r="B38800" s="17" t="s">
        <v>477</v>
      </c>
      <c r="K38800" s="18"/>
    </row>
    <row r="38801">
      <c r="B38801" s="17" t="s">
        <v>477</v>
      </c>
      <c r="K38801" s="18"/>
    </row>
    <row r="38802">
      <c r="B38802" s="17" t="s">
        <v>477</v>
      </c>
      <c r="K38802" s="18"/>
    </row>
    <row r="38803">
      <c r="B38803" s="17" t="s">
        <v>477</v>
      </c>
      <c r="K38803" s="18"/>
    </row>
    <row r="38804">
      <c r="B38804" s="17" t="s">
        <v>477</v>
      </c>
      <c r="K38804" s="18"/>
    </row>
    <row r="38805">
      <c r="B38805" s="17" t="s">
        <v>477</v>
      </c>
      <c r="K38805" s="18"/>
    </row>
    <row r="38806">
      <c r="B38806" s="17" t="s">
        <v>477</v>
      </c>
      <c r="K38806" s="18"/>
    </row>
    <row r="38807">
      <c r="B38807" s="17" t="s">
        <v>477</v>
      </c>
      <c r="K38807" s="18"/>
    </row>
    <row r="38808">
      <c r="B38808" s="17" t="s">
        <v>477</v>
      </c>
      <c r="K38808" s="18"/>
    </row>
    <row r="38809">
      <c r="B38809" s="17" t="s">
        <v>477</v>
      </c>
      <c r="K38809" s="18"/>
    </row>
    <row r="38810">
      <c r="B38810" s="17" t="s">
        <v>477</v>
      </c>
      <c r="K38810" s="18"/>
    </row>
    <row r="38811">
      <c r="B38811" s="17" t="s">
        <v>477</v>
      </c>
      <c r="K38811" s="18"/>
    </row>
    <row r="38812">
      <c r="B38812" s="17" t="s">
        <v>477</v>
      </c>
      <c r="K38812" s="18"/>
    </row>
    <row r="38813">
      <c r="B38813" s="17" t="s">
        <v>477</v>
      </c>
      <c r="K38813" s="18"/>
    </row>
    <row r="38814">
      <c r="B38814" s="17" t="s">
        <v>477</v>
      </c>
      <c r="K38814" s="18"/>
    </row>
    <row r="38815">
      <c r="B38815" s="17" t="s">
        <v>477</v>
      </c>
      <c r="K38815" s="18"/>
    </row>
    <row r="38816">
      <c r="B38816" s="17" t="s">
        <v>477</v>
      </c>
      <c r="K38816" s="18"/>
    </row>
    <row r="38817">
      <c r="B38817" s="17" t="s">
        <v>477</v>
      </c>
      <c r="K38817" s="18"/>
    </row>
    <row r="38818">
      <c r="B38818" s="17" t="s">
        <v>477</v>
      </c>
      <c r="K38818" s="18"/>
    </row>
    <row r="38819">
      <c r="B38819" s="17" t="s">
        <v>477</v>
      </c>
      <c r="K38819" s="18"/>
    </row>
    <row r="38820">
      <c r="B38820" s="17" t="s">
        <v>477</v>
      </c>
      <c r="K38820" s="18"/>
    </row>
    <row r="38821">
      <c r="B38821" s="17" t="s">
        <v>477</v>
      </c>
      <c r="K38821" s="18"/>
    </row>
    <row r="38822">
      <c r="B38822" s="17" t="s">
        <v>477</v>
      </c>
      <c r="K38822" s="18"/>
    </row>
    <row r="38823">
      <c r="B38823" s="17" t="s">
        <v>477</v>
      </c>
      <c r="K38823" s="18"/>
    </row>
    <row r="38824">
      <c r="B38824" s="17" t="s">
        <v>477</v>
      </c>
      <c r="K38824" s="18"/>
    </row>
    <row r="38825">
      <c r="B38825" s="17" t="s">
        <v>477</v>
      </c>
      <c r="K38825" s="18"/>
    </row>
    <row r="38826">
      <c r="B38826" s="17" t="s">
        <v>477</v>
      </c>
      <c r="K38826" s="18"/>
    </row>
    <row r="38827">
      <c r="B38827" s="17" t="s">
        <v>477</v>
      </c>
      <c r="K38827" s="18"/>
    </row>
    <row r="38828">
      <c r="B38828" s="17" t="s">
        <v>477</v>
      </c>
      <c r="K38828" s="18"/>
    </row>
    <row r="38829">
      <c r="B38829" s="17" t="s">
        <v>477</v>
      </c>
      <c r="K38829" s="18"/>
    </row>
    <row r="38830">
      <c r="B38830" s="17" t="s">
        <v>477</v>
      </c>
      <c r="K38830" s="18"/>
    </row>
    <row r="38831">
      <c r="B38831" s="17" t="s">
        <v>477</v>
      </c>
      <c r="K38831" s="18"/>
    </row>
    <row r="38832">
      <c r="B38832" s="17" t="s">
        <v>477</v>
      </c>
      <c r="K38832" s="18"/>
    </row>
    <row r="38833">
      <c r="B38833" s="17" t="s">
        <v>477</v>
      </c>
      <c r="K38833" s="18"/>
    </row>
    <row r="38834">
      <c r="B38834" s="17" t="s">
        <v>477</v>
      </c>
      <c r="K38834" s="18"/>
    </row>
    <row r="38835">
      <c r="B38835" s="17" t="s">
        <v>477</v>
      </c>
      <c r="K38835" s="18"/>
    </row>
    <row r="38836">
      <c r="B38836" s="17" t="s">
        <v>477</v>
      </c>
      <c r="K38836" s="18"/>
    </row>
    <row r="38837">
      <c r="B38837" s="17" t="s">
        <v>477</v>
      </c>
      <c r="K38837" s="18"/>
    </row>
    <row r="38838">
      <c r="B38838" s="17" t="s">
        <v>477</v>
      </c>
      <c r="K38838" s="18"/>
    </row>
    <row r="38839">
      <c r="B38839" s="17" t="s">
        <v>477</v>
      </c>
      <c r="K38839" s="18"/>
    </row>
    <row r="38840">
      <c r="B38840" s="17" t="s">
        <v>477</v>
      </c>
      <c r="K38840" s="18"/>
    </row>
    <row r="38841">
      <c r="B38841" s="17" t="s">
        <v>477</v>
      </c>
      <c r="K38841" s="18"/>
    </row>
    <row r="38842">
      <c r="B38842" s="17" t="s">
        <v>477</v>
      </c>
      <c r="K38842" s="18"/>
    </row>
    <row r="38843">
      <c r="B38843" s="17" t="s">
        <v>477</v>
      </c>
      <c r="K38843" s="18"/>
    </row>
    <row r="38844">
      <c r="B38844" s="17" t="s">
        <v>477</v>
      </c>
      <c r="K38844" s="18"/>
    </row>
    <row r="38845">
      <c r="B38845" s="17" t="s">
        <v>477</v>
      </c>
      <c r="K38845" s="18"/>
    </row>
    <row r="38846">
      <c r="B38846" s="17" t="s">
        <v>477</v>
      </c>
      <c r="K38846" s="18"/>
    </row>
    <row r="38847">
      <c r="B38847" s="17" t="s">
        <v>477</v>
      </c>
      <c r="K38847" s="18"/>
    </row>
    <row r="38848">
      <c r="B38848" s="17" t="s">
        <v>477</v>
      </c>
      <c r="K38848" s="18"/>
    </row>
    <row r="38849">
      <c r="B38849" s="17" t="s">
        <v>477</v>
      </c>
      <c r="K38849" s="18"/>
    </row>
    <row r="38850">
      <c r="B38850" s="17" t="s">
        <v>477</v>
      </c>
      <c r="K38850" s="18"/>
    </row>
    <row r="38851">
      <c r="B38851" s="17" t="s">
        <v>477</v>
      </c>
      <c r="K38851" s="18"/>
    </row>
    <row r="38852">
      <c r="B38852" s="17" t="s">
        <v>477</v>
      </c>
      <c r="K38852" s="18"/>
    </row>
    <row r="38853">
      <c r="B38853" s="17" t="s">
        <v>477</v>
      </c>
      <c r="K38853" s="18"/>
    </row>
    <row r="38854">
      <c r="B38854" s="17" t="s">
        <v>477</v>
      </c>
      <c r="K38854" s="18"/>
    </row>
    <row r="38855">
      <c r="B38855" s="17" t="s">
        <v>477</v>
      </c>
      <c r="K38855" s="18"/>
    </row>
    <row r="38856">
      <c r="B38856" s="17" t="s">
        <v>477</v>
      </c>
      <c r="K38856" s="18"/>
    </row>
    <row r="38857">
      <c r="B38857" s="17" t="s">
        <v>477</v>
      </c>
      <c r="K38857" s="18"/>
    </row>
    <row r="38858">
      <c r="B38858" s="17" t="s">
        <v>477</v>
      </c>
      <c r="K38858" s="18"/>
    </row>
    <row r="38859">
      <c r="B38859" s="17" t="s">
        <v>477</v>
      </c>
      <c r="K38859" s="18"/>
    </row>
    <row r="38860">
      <c r="B38860" s="17" t="s">
        <v>477</v>
      </c>
      <c r="K38860" s="18"/>
    </row>
    <row r="38861">
      <c r="B38861" s="17" t="s">
        <v>477</v>
      </c>
      <c r="K38861" s="18"/>
    </row>
    <row r="38862">
      <c r="B38862" s="17" t="s">
        <v>477</v>
      </c>
      <c r="K38862" s="18"/>
    </row>
    <row r="38863">
      <c r="B38863" s="17" t="s">
        <v>477</v>
      </c>
      <c r="K38863" s="18"/>
    </row>
    <row r="38864">
      <c r="B38864" s="17" t="s">
        <v>477</v>
      </c>
      <c r="K38864" s="18"/>
    </row>
    <row r="38865">
      <c r="B38865" s="17" t="s">
        <v>477</v>
      </c>
      <c r="K38865" s="18"/>
    </row>
    <row r="38866">
      <c r="B38866" s="17" t="s">
        <v>477</v>
      </c>
      <c r="K38866" s="18"/>
    </row>
    <row r="38867">
      <c r="B38867" s="17" t="s">
        <v>477</v>
      </c>
      <c r="K38867" s="18"/>
    </row>
    <row r="38868">
      <c r="B38868" s="17" t="s">
        <v>477</v>
      </c>
      <c r="K38868" s="18"/>
    </row>
    <row r="38869">
      <c r="B38869" s="17" t="s">
        <v>477</v>
      </c>
      <c r="K38869" s="18"/>
    </row>
    <row r="38870">
      <c r="B38870" s="17" t="s">
        <v>477</v>
      </c>
      <c r="K38870" s="18"/>
    </row>
    <row r="38871">
      <c r="B38871" s="17" t="s">
        <v>477</v>
      </c>
      <c r="K38871" s="18"/>
    </row>
    <row r="38872">
      <c r="B38872" s="17" t="s">
        <v>477</v>
      </c>
      <c r="K38872" s="18"/>
    </row>
    <row r="38873">
      <c r="B38873" s="17" t="s">
        <v>477</v>
      </c>
      <c r="K38873" s="18"/>
    </row>
    <row r="38874">
      <c r="B38874" s="17" t="s">
        <v>477</v>
      </c>
      <c r="K38874" s="18"/>
    </row>
    <row r="38875">
      <c r="B38875" s="17" t="s">
        <v>477</v>
      </c>
      <c r="K38875" s="18"/>
    </row>
    <row r="38876">
      <c r="B38876" s="17" t="s">
        <v>477</v>
      </c>
      <c r="K38876" s="18"/>
    </row>
    <row r="38877">
      <c r="B38877" s="17" t="s">
        <v>477</v>
      </c>
      <c r="K38877" s="18"/>
    </row>
    <row r="38878">
      <c r="B38878" s="17" t="s">
        <v>477</v>
      </c>
      <c r="K38878" s="18"/>
    </row>
    <row r="38879">
      <c r="B38879" s="17" t="s">
        <v>477</v>
      </c>
      <c r="K38879" s="18"/>
    </row>
    <row r="38880">
      <c r="B38880" s="17" t="s">
        <v>477</v>
      </c>
      <c r="K38880" s="18"/>
    </row>
    <row r="38881">
      <c r="B38881" s="17" t="s">
        <v>477</v>
      </c>
      <c r="K38881" s="18"/>
    </row>
    <row r="38882">
      <c r="B38882" s="17" t="s">
        <v>477</v>
      </c>
      <c r="K38882" s="18"/>
    </row>
    <row r="38883">
      <c r="B38883" s="17" t="s">
        <v>477</v>
      </c>
      <c r="K38883" s="18"/>
    </row>
    <row r="38884">
      <c r="B38884" s="17" t="s">
        <v>477</v>
      </c>
      <c r="K38884" s="18"/>
    </row>
    <row r="38885">
      <c r="B38885" s="17" t="s">
        <v>477</v>
      </c>
      <c r="K38885" s="18"/>
    </row>
    <row r="38886">
      <c r="B38886" s="17" t="s">
        <v>477</v>
      </c>
      <c r="K38886" s="18"/>
    </row>
    <row r="38887">
      <c r="B38887" s="17" t="s">
        <v>477</v>
      </c>
      <c r="K38887" s="18"/>
    </row>
    <row r="38888">
      <c r="B38888" s="17" t="s">
        <v>477</v>
      </c>
      <c r="K38888" s="18"/>
    </row>
    <row r="38889">
      <c r="B38889" s="17" t="s">
        <v>477</v>
      </c>
      <c r="K38889" s="18"/>
    </row>
    <row r="38890">
      <c r="B38890" s="17" t="s">
        <v>477</v>
      </c>
      <c r="K38890" s="18"/>
    </row>
    <row r="38891">
      <c r="B38891" s="17" t="s">
        <v>477</v>
      </c>
      <c r="K38891" s="18"/>
    </row>
    <row r="38892">
      <c r="B38892" s="17" t="s">
        <v>477</v>
      </c>
      <c r="K38892" s="18"/>
    </row>
    <row r="38893">
      <c r="B38893" s="17" t="s">
        <v>477</v>
      </c>
      <c r="K38893" s="18"/>
    </row>
    <row r="38894">
      <c r="B38894" s="17" t="s">
        <v>477</v>
      </c>
      <c r="K38894" s="18"/>
    </row>
    <row r="38895">
      <c r="B38895" s="17" t="s">
        <v>477</v>
      </c>
      <c r="K38895" s="18"/>
    </row>
    <row r="38896">
      <c r="B38896" s="17" t="s">
        <v>477</v>
      </c>
      <c r="K38896" s="18"/>
    </row>
    <row r="38897">
      <c r="B38897" s="17" t="s">
        <v>477</v>
      </c>
      <c r="K38897" s="18"/>
    </row>
    <row r="38898">
      <c r="B38898" s="17" t="s">
        <v>477</v>
      </c>
      <c r="K38898" s="18"/>
    </row>
    <row r="38899">
      <c r="B38899" s="17" t="s">
        <v>477</v>
      </c>
      <c r="K38899" s="18"/>
    </row>
    <row r="38900">
      <c r="B38900" s="17" t="s">
        <v>477</v>
      </c>
      <c r="K38900" s="18"/>
    </row>
    <row r="38901">
      <c r="B38901" s="17" t="s">
        <v>477</v>
      </c>
      <c r="K38901" s="18"/>
    </row>
    <row r="38902">
      <c r="B38902" s="17" t="s">
        <v>477</v>
      </c>
      <c r="K38902" s="18"/>
    </row>
    <row r="38903">
      <c r="B38903" s="17" t="s">
        <v>477</v>
      </c>
      <c r="K38903" s="18"/>
    </row>
    <row r="38904">
      <c r="B38904" s="17" t="s">
        <v>477</v>
      </c>
      <c r="K38904" s="18"/>
    </row>
    <row r="38905">
      <c r="B38905" s="17" t="s">
        <v>477</v>
      </c>
      <c r="K38905" s="18"/>
    </row>
    <row r="38906">
      <c r="B38906" s="17" t="s">
        <v>477</v>
      </c>
      <c r="K38906" s="18"/>
    </row>
    <row r="38907">
      <c r="B38907" s="17" t="s">
        <v>477</v>
      </c>
      <c r="K38907" s="18"/>
    </row>
    <row r="38908">
      <c r="B38908" s="17" t="s">
        <v>477</v>
      </c>
      <c r="K38908" s="18"/>
    </row>
    <row r="38909">
      <c r="B38909" s="17" t="s">
        <v>477</v>
      </c>
      <c r="K38909" s="18"/>
    </row>
    <row r="38910">
      <c r="B38910" s="17" t="s">
        <v>477</v>
      </c>
      <c r="K38910" s="18"/>
    </row>
    <row r="38911">
      <c r="B38911" s="17" t="s">
        <v>477</v>
      </c>
      <c r="K38911" s="18"/>
    </row>
    <row r="38912">
      <c r="B38912" s="17" t="s">
        <v>477</v>
      </c>
      <c r="K38912" s="18"/>
    </row>
    <row r="38913">
      <c r="B38913" s="17" t="s">
        <v>477</v>
      </c>
      <c r="K38913" s="18"/>
    </row>
    <row r="38914">
      <c r="B38914" s="17" t="s">
        <v>477</v>
      </c>
      <c r="K38914" s="18"/>
    </row>
    <row r="38915">
      <c r="B38915" s="17" t="s">
        <v>477</v>
      </c>
      <c r="K38915" s="18"/>
    </row>
    <row r="38916">
      <c r="B38916" s="17" t="s">
        <v>477</v>
      </c>
      <c r="K38916" s="18"/>
    </row>
    <row r="38917">
      <c r="B38917" s="17" t="s">
        <v>477</v>
      </c>
      <c r="K38917" s="18"/>
    </row>
    <row r="38918">
      <c r="B38918" s="17" t="s">
        <v>477</v>
      </c>
      <c r="K38918" s="18"/>
    </row>
    <row r="38919">
      <c r="B38919" s="17" t="s">
        <v>477</v>
      </c>
      <c r="K38919" s="18"/>
    </row>
    <row r="38920">
      <c r="B38920" s="17" t="s">
        <v>477</v>
      </c>
      <c r="K38920" s="18"/>
    </row>
    <row r="38921">
      <c r="B38921" s="17" t="s">
        <v>477</v>
      </c>
      <c r="K38921" s="18"/>
    </row>
    <row r="38922">
      <c r="B38922" s="17" t="s">
        <v>477</v>
      </c>
      <c r="K38922" s="18"/>
    </row>
    <row r="38923">
      <c r="B38923" s="17" t="s">
        <v>477</v>
      </c>
      <c r="K38923" s="18"/>
    </row>
    <row r="38924">
      <c r="B38924" s="17" t="s">
        <v>477</v>
      </c>
      <c r="K38924" s="18"/>
    </row>
    <row r="38925">
      <c r="B38925" s="17" t="s">
        <v>477</v>
      </c>
      <c r="K38925" s="18"/>
    </row>
    <row r="38926">
      <c r="B38926" s="17" t="s">
        <v>477</v>
      </c>
      <c r="K38926" s="18"/>
    </row>
    <row r="38927">
      <c r="B38927" s="17" t="s">
        <v>477</v>
      </c>
      <c r="K38927" s="18"/>
    </row>
    <row r="38928">
      <c r="B38928" s="17" t="s">
        <v>477</v>
      </c>
      <c r="K38928" s="18"/>
    </row>
    <row r="38929">
      <c r="B38929" s="17" t="s">
        <v>477</v>
      </c>
      <c r="K38929" s="18"/>
    </row>
    <row r="38930">
      <c r="B38930" s="17" t="s">
        <v>477</v>
      </c>
      <c r="K38930" s="18"/>
    </row>
    <row r="38931">
      <c r="B38931" s="17" t="s">
        <v>477</v>
      </c>
      <c r="K38931" s="18"/>
    </row>
    <row r="38932">
      <c r="B38932" s="17" t="s">
        <v>477</v>
      </c>
      <c r="K38932" s="18"/>
    </row>
    <row r="38933">
      <c r="B38933" s="17" t="s">
        <v>477</v>
      </c>
      <c r="K38933" s="18"/>
    </row>
    <row r="38934">
      <c r="B38934" s="17" t="s">
        <v>477</v>
      </c>
      <c r="K38934" s="18"/>
    </row>
    <row r="38935">
      <c r="B38935" s="17" t="s">
        <v>477</v>
      </c>
      <c r="K38935" s="18"/>
    </row>
    <row r="38936">
      <c r="B38936" s="17" t="s">
        <v>477</v>
      </c>
      <c r="K38936" s="18"/>
    </row>
    <row r="38937">
      <c r="B38937" s="17" t="s">
        <v>477</v>
      </c>
      <c r="K38937" s="18"/>
    </row>
    <row r="38938">
      <c r="B38938" s="17" t="s">
        <v>477</v>
      </c>
      <c r="K38938" s="18"/>
    </row>
    <row r="38939">
      <c r="B38939" s="17" t="s">
        <v>477</v>
      </c>
      <c r="K38939" s="18"/>
    </row>
    <row r="38940">
      <c r="B38940" s="17" t="s">
        <v>477</v>
      </c>
      <c r="K38940" s="18"/>
    </row>
    <row r="38941">
      <c r="B38941" s="17" t="s">
        <v>477</v>
      </c>
      <c r="K38941" s="18"/>
    </row>
    <row r="38942">
      <c r="B38942" s="17" t="s">
        <v>477</v>
      </c>
      <c r="K38942" s="18"/>
    </row>
    <row r="38943">
      <c r="B38943" s="17" t="s">
        <v>477</v>
      </c>
      <c r="K38943" s="18"/>
    </row>
    <row r="38944">
      <c r="B38944" s="17" t="s">
        <v>477</v>
      </c>
      <c r="K38944" s="18"/>
    </row>
    <row r="38945">
      <c r="B38945" s="17" t="s">
        <v>477</v>
      </c>
      <c r="K38945" s="18"/>
    </row>
    <row r="38946">
      <c r="B38946" s="17" t="s">
        <v>477</v>
      </c>
      <c r="K38946" s="18"/>
    </row>
    <row r="38947">
      <c r="B38947" s="17" t="s">
        <v>477</v>
      </c>
      <c r="K38947" s="18"/>
    </row>
    <row r="38948">
      <c r="B38948" s="17" t="s">
        <v>477</v>
      </c>
      <c r="K38948" s="18"/>
    </row>
    <row r="38949">
      <c r="B38949" s="17" t="s">
        <v>477</v>
      </c>
      <c r="K38949" s="18"/>
    </row>
    <row r="38950">
      <c r="B38950" s="17" t="s">
        <v>477</v>
      </c>
      <c r="K38950" s="18"/>
    </row>
    <row r="38951">
      <c r="B38951" s="17" t="s">
        <v>477</v>
      </c>
      <c r="K38951" s="18"/>
    </row>
    <row r="38952">
      <c r="B38952" s="17" t="s">
        <v>477</v>
      </c>
      <c r="K38952" s="18"/>
    </row>
    <row r="38953">
      <c r="B38953" s="17" t="s">
        <v>477</v>
      </c>
      <c r="K38953" s="18"/>
    </row>
    <row r="38954">
      <c r="B38954" s="17" t="s">
        <v>477</v>
      </c>
      <c r="K38954" s="18"/>
    </row>
    <row r="38955">
      <c r="B38955" s="17" t="s">
        <v>477</v>
      </c>
      <c r="K38955" s="18"/>
    </row>
    <row r="38956">
      <c r="B38956" s="17" t="s">
        <v>477</v>
      </c>
      <c r="K38956" s="18"/>
    </row>
    <row r="38957">
      <c r="B38957" s="17" t="s">
        <v>477</v>
      </c>
      <c r="K38957" s="18"/>
    </row>
    <row r="38958">
      <c r="B38958" s="17" t="s">
        <v>477</v>
      </c>
      <c r="K38958" s="18"/>
    </row>
    <row r="38959">
      <c r="B38959" s="17" t="s">
        <v>477</v>
      </c>
      <c r="K38959" s="18"/>
    </row>
    <row r="38960">
      <c r="B38960" s="17" t="s">
        <v>477</v>
      </c>
      <c r="K38960" s="18"/>
    </row>
    <row r="38961">
      <c r="B38961" s="17" t="s">
        <v>477</v>
      </c>
      <c r="K38961" s="18"/>
    </row>
    <row r="38962">
      <c r="B38962" s="17" t="s">
        <v>477</v>
      </c>
      <c r="K38962" s="18"/>
    </row>
    <row r="38963">
      <c r="B38963" s="17" t="s">
        <v>477</v>
      </c>
      <c r="K38963" s="18"/>
    </row>
    <row r="38964">
      <c r="B38964" s="17" t="s">
        <v>477</v>
      </c>
      <c r="K38964" s="18"/>
    </row>
    <row r="38965">
      <c r="B38965" s="17" t="s">
        <v>477</v>
      </c>
      <c r="K38965" s="18"/>
    </row>
    <row r="38966">
      <c r="B38966" s="17" t="s">
        <v>477</v>
      </c>
      <c r="K38966" s="18"/>
    </row>
    <row r="38967">
      <c r="B38967" s="17" t="s">
        <v>477</v>
      </c>
      <c r="K38967" s="18"/>
    </row>
    <row r="38968">
      <c r="B38968" s="17" t="s">
        <v>477</v>
      </c>
      <c r="K38968" s="18"/>
    </row>
    <row r="38969">
      <c r="B38969" s="17" t="s">
        <v>477</v>
      </c>
      <c r="K38969" s="18"/>
    </row>
    <row r="38970">
      <c r="B38970" s="17" t="s">
        <v>477</v>
      </c>
      <c r="K38970" s="18"/>
    </row>
    <row r="38971">
      <c r="B38971" s="17" t="s">
        <v>477</v>
      </c>
      <c r="K38971" s="18"/>
    </row>
    <row r="38972">
      <c r="B38972" s="17" t="s">
        <v>477</v>
      </c>
      <c r="K38972" s="18"/>
    </row>
    <row r="38973">
      <c r="B38973" s="17" t="s">
        <v>477</v>
      </c>
      <c r="K38973" s="18"/>
    </row>
    <row r="38974">
      <c r="B38974" s="17" t="s">
        <v>477</v>
      </c>
      <c r="K38974" s="18"/>
    </row>
    <row r="38975">
      <c r="B38975" s="17" t="s">
        <v>477</v>
      </c>
      <c r="K38975" s="18"/>
    </row>
    <row r="38976">
      <c r="B38976" s="17" t="s">
        <v>477</v>
      </c>
      <c r="K38976" s="18"/>
    </row>
    <row r="38977">
      <c r="B38977" s="17" t="s">
        <v>477</v>
      </c>
      <c r="K38977" s="18"/>
    </row>
    <row r="38978">
      <c r="B38978" s="17" t="s">
        <v>477</v>
      </c>
      <c r="K38978" s="18"/>
    </row>
    <row r="38979">
      <c r="B38979" s="17" t="s">
        <v>477</v>
      </c>
      <c r="K38979" s="18"/>
    </row>
    <row r="38980">
      <c r="B38980" s="17" t="s">
        <v>477</v>
      </c>
      <c r="K38980" s="18"/>
    </row>
    <row r="38981">
      <c r="B38981" s="17" t="s">
        <v>477</v>
      </c>
      <c r="K38981" s="18"/>
    </row>
    <row r="38982">
      <c r="B38982" s="17" t="s">
        <v>477</v>
      </c>
      <c r="K38982" s="18"/>
    </row>
    <row r="38983">
      <c r="B38983" s="17" t="s">
        <v>477</v>
      </c>
      <c r="K38983" s="18"/>
    </row>
    <row r="38984">
      <c r="B38984" s="17" t="s">
        <v>477</v>
      </c>
      <c r="K38984" s="18"/>
    </row>
    <row r="38985">
      <c r="B38985" s="17" t="s">
        <v>477</v>
      </c>
      <c r="K38985" s="18"/>
    </row>
    <row r="38986">
      <c r="B38986" s="17" t="s">
        <v>477</v>
      </c>
      <c r="K38986" s="18"/>
    </row>
    <row r="38987">
      <c r="B38987" s="17" t="s">
        <v>477</v>
      </c>
      <c r="K38987" s="18"/>
    </row>
    <row r="38988">
      <c r="B38988" s="17" t="s">
        <v>477</v>
      </c>
      <c r="K38988" s="18"/>
    </row>
    <row r="38989">
      <c r="B38989" s="17" t="s">
        <v>477</v>
      </c>
      <c r="K38989" s="18"/>
    </row>
    <row r="38990">
      <c r="B38990" s="17" t="s">
        <v>477</v>
      </c>
      <c r="K38990" s="18"/>
    </row>
    <row r="38991">
      <c r="B38991" s="17" t="s">
        <v>477</v>
      </c>
      <c r="K38991" s="18"/>
    </row>
    <row r="38992">
      <c r="B38992" s="17" t="s">
        <v>477</v>
      </c>
      <c r="K38992" s="18"/>
    </row>
    <row r="38993">
      <c r="B38993" s="17" t="s">
        <v>477</v>
      </c>
      <c r="K38993" s="18"/>
    </row>
    <row r="38994">
      <c r="B38994" s="17" t="s">
        <v>477</v>
      </c>
      <c r="K38994" s="18"/>
    </row>
    <row r="38995">
      <c r="B38995" s="17" t="s">
        <v>477</v>
      </c>
      <c r="K38995" s="18"/>
    </row>
    <row r="38996">
      <c r="B38996" s="17" t="s">
        <v>477</v>
      </c>
      <c r="K38996" s="18"/>
    </row>
    <row r="38997">
      <c r="B38997" s="17" t="s">
        <v>477</v>
      </c>
      <c r="K38997" s="18"/>
    </row>
    <row r="38998">
      <c r="B38998" s="17" t="s">
        <v>477</v>
      </c>
      <c r="K38998" s="18"/>
    </row>
    <row r="38999">
      <c r="B38999" s="17" t="s">
        <v>477</v>
      </c>
      <c r="K38999" s="18"/>
    </row>
    <row r="39000">
      <c r="B39000" s="17" t="s">
        <v>477</v>
      </c>
      <c r="K39000" s="18"/>
    </row>
    <row r="39001">
      <c r="B39001" s="17" t="s">
        <v>477</v>
      </c>
      <c r="K39001" s="18"/>
    </row>
    <row r="39002">
      <c r="B39002" s="17" t="s">
        <v>477</v>
      </c>
      <c r="K39002" s="18"/>
    </row>
    <row r="39003">
      <c r="B39003" s="17" t="s">
        <v>477</v>
      </c>
      <c r="K39003" s="18"/>
    </row>
    <row r="39004">
      <c r="B39004" s="17" t="s">
        <v>477</v>
      </c>
      <c r="K39004" s="18"/>
    </row>
    <row r="39005">
      <c r="B39005" s="17" t="s">
        <v>477</v>
      </c>
      <c r="K39005" s="18"/>
    </row>
    <row r="39006">
      <c r="B39006" s="17" t="s">
        <v>477</v>
      </c>
      <c r="K39006" s="18"/>
    </row>
    <row r="39007">
      <c r="B39007" s="17" t="s">
        <v>477</v>
      </c>
      <c r="K39007" s="18"/>
    </row>
    <row r="39008">
      <c r="B39008" s="17" t="s">
        <v>477</v>
      </c>
      <c r="K39008" s="18"/>
    </row>
    <row r="39009">
      <c r="B39009" s="17" t="s">
        <v>477</v>
      </c>
      <c r="K39009" s="18"/>
    </row>
    <row r="39010">
      <c r="B39010" s="17" t="s">
        <v>477</v>
      </c>
      <c r="K39010" s="18"/>
    </row>
    <row r="39011">
      <c r="B39011" s="17" t="s">
        <v>477</v>
      </c>
      <c r="K39011" s="18"/>
    </row>
    <row r="39012">
      <c r="B39012" s="17" t="s">
        <v>477</v>
      </c>
      <c r="K39012" s="18"/>
    </row>
    <row r="39013">
      <c r="B39013" s="17" t="s">
        <v>477</v>
      </c>
      <c r="K39013" s="18"/>
    </row>
    <row r="39014">
      <c r="B39014" s="17" t="s">
        <v>477</v>
      </c>
      <c r="K39014" s="18"/>
    </row>
    <row r="39015">
      <c r="B39015" s="17" t="s">
        <v>477</v>
      </c>
      <c r="K39015" s="18"/>
    </row>
    <row r="39016">
      <c r="B39016" s="17" t="s">
        <v>477</v>
      </c>
      <c r="K39016" s="18"/>
    </row>
    <row r="39017">
      <c r="B39017" s="17" t="s">
        <v>477</v>
      </c>
      <c r="K39017" s="18"/>
    </row>
    <row r="39018">
      <c r="B39018" s="17" t="s">
        <v>477</v>
      </c>
      <c r="K39018" s="18"/>
    </row>
    <row r="39019">
      <c r="B39019" s="17" t="s">
        <v>477</v>
      </c>
      <c r="K39019" s="18"/>
    </row>
    <row r="39020">
      <c r="B39020" s="17" t="s">
        <v>477</v>
      </c>
      <c r="K39020" s="18"/>
    </row>
    <row r="39021">
      <c r="B39021" s="17" t="s">
        <v>477</v>
      </c>
      <c r="K39021" s="18"/>
    </row>
    <row r="39022">
      <c r="B39022" s="17" t="s">
        <v>477</v>
      </c>
      <c r="K39022" s="18"/>
    </row>
    <row r="39023">
      <c r="B39023" s="17" t="s">
        <v>477</v>
      </c>
      <c r="K39023" s="18"/>
    </row>
    <row r="39024">
      <c r="B39024" s="17" t="s">
        <v>477</v>
      </c>
      <c r="K39024" s="18"/>
    </row>
    <row r="39025">
      <c r="B39025" s="17" t="s">
        <v>477</v>
      </c>
      <c r="K39025" s="18"/>
    </row>
    <row r="39026">
      <c r="B39026" s="17" t="s">
        <v>477</v>
      </c>
      <c r="K39026" s="18"/>
    </row>
    <row r="39027">
      <c r="B39027" s="17" t="s">
        <v>477</v>
      </c>
      <c r="K39027" s="18"/>
    </row>
    <row r="39028">
      <c r="B39028" s="17" t="s">
        <v>477</v>
      </c>
      <c r="K39028" s="18"/>
    </row>
    <row r="39029">
      <c r="B39029" s="17" t="s">
        <v>477</v>
      </c>
      <c r="K39029" s="18"/>
    </row>
    <row r="39030">
      <c r="B39030" s="17" t="s">
        <v>477</v>
      </c>
      <c r="K39030" s="18"/>
    </row>
    <row r="39031">
      <c r="B39031" s="17" t="s">
        <v>477</v>
      </c>
      <c r="K39031" s="18"/>
    </row>
    <row r="39032">
      <c r="B39032" s="17" t="s">
        <v>477</v>
      </c>
      <c r="K39032" s="18"/>
    </row>
    <row r="39033">
      <c r="B39033" s="17" t="s">
        <v>477</v>
      </c>
      <c r="K39033" s="18"/>
    </row>
    <row r="39034">
      <c r="B39034" s="17" t="s">
        <v>477</v>
      </c>
      <c r="K39034" s="18"/>
    </row>
    <row r="39035">
      <c r="B39035" s="17" t="s">
        <v>477</v>
      </c>
      <c r="K39035" s="18"/>
    </row>
    <row r="39036">
      <c r="B39036" s="17" t="s">
        <v>477</v>
      </c>
      <c r="K39036" s="18"/>
    </row>
    <row r="39037">
      <c r="B39037" s="17" t="s">
        <v>477</v>
      </c>
      <c r="K39037" s="18"/>
    </row>
    <row r="39038">
      <c r="B39038" s="17" t="s">
        <v>477</v>
      </c>
      <c r="K39038" s="18"/>
    </row>
    <row r="39039">
      <c r="B39039" s="17" t="s">
        <v>477</v>
      </c>
      <c r="K39039" s="18"/>
    </row>
    <row r="39040">
      <c r="B39040" s="17" t="s">
        <v>477</v>
      </c>
      <c r="K39040" s="18"/>
    </row>
    <row r="39041">
      <c r="B39041" s="17" t="s">
        <v>477</v>
      </c>
      <c r="K39041" s="18"/>
    </row>
    <row r="39042">
      <c r="B39042" s="17" t="s">
        <v>477</v>
      </c>
      <c r="K39042" s="18"/>
    </row>
    <row r="39043">
      <c r="B39043" s="17" t="s">
        <v>477</v>
      </c>
      <c r="K39043" s="18"/>
    </row>
    <row r="39044">
      <c r="B39044" s="17" t="s">
        <v>477</v>
      </c>
      <c r="K39044" s="18"/>
    </row>
    <row r="39045">
      <c r="B39045" s="17" t="s">
        <v>477</v>
      </c>
      <c r="K39045" s="18"/>
    </row>
    <row r="39046">
      <c r="B39046" s="17" t="s">
        <v>477</v>
      </c>
      <c r="K39046" s="18"/>
    </row>
    <row r="39047">
      <c r="B39047" s="17" t="s">
        <v>477</v>
      </c>
      <c r="K39047" s="18"/>
    </row>
    <row r="39048">
      <c r="B39048" s="17" t="s">
        <v>477</v>
      </c>
      <c r="K39048" s="18"/>
    </row>
    <row r="39049">
      <c r="B39049" s="17" t="s">
        <v>477</v>
      </c>
      <c r="K39049" s="18"/>
    </row>
    <row r="39050">
      <c r="B39050" s="17" t="s">
        <v>477</v>
      </c>
      <c r="K39050" s="18"/>
    </row>
    <row r="39051">
      <c r="B39051" s="17" t="s">
        <v>477</v>
      </c>
      <c r="K39051" s="18"/>
    </row>
    <row r="39052">
      <c r="B39052" s="17" t="s">
        <v>477</v>
      </c>
      <c r="K39052" s="18"/>
    </row>
    <row r="39053">
      <c r="B39053" s="17" t="s">
        <v>477</v>
      </c>
      <c r="K39053" s="18"/>
    </row>
    <row r="39054">
      <c r="B39054" s="17" t="s">
        <v>477</v>
      </c>
      <c r="K39054" s="18"/>
    </row>
    <row r="39055">
      <c r="B39055" s="17" t="s">
        <v>477</v>
      </c>
      <c r="K39055" s="18"/>
    </row>
    <row r="39056">
      <c r="B39056" s="17" t="s">
        <v>477</v>
      </c>
      <c r="K39056" s="18"/>
    </row>
    <row r="39057">
      <c r="B39057" s="17" t="s">
        <v>477</v>
      </c>
      <c r="K39057" s="18"/>
    </row>
    <row r="39058">
      <c r="B39058" s="17" t="s">
        <v>477</v>
      </c>
      <c r="K39058" s="18"/>
    </row>
    <row r="39059">
      <c r="B39059" s="17" t="s">
        <v>477</v>
      </c>
      <c r="K39059" s="18"/>
    </row>
    <row r="39060">
      <c r="B39060" s="17" t="s">
        <v>477</v>
      </c>
      <c r="K39060" s="18"/>
    </row>
    <row r="39061">
      <c r="B39061" s="17" t="s">
        <v>477</v>
      </c>
      <c r="K39061" s="18"/>
    </row>
    <row r="39062">
      <c r="B39062" s="17" t="s">
        <v>477</v>
      </c>
      <c r="K39062" s="18"/>
    </row>
    <row r="39063">
      <c r="B39063" s="17" t="s">
        <v>477</v>
      </c>
      <c r="K39063" s="18"/>
    </row>
    <row r="39064">
      <c r="B39064" s="17" t="s">
        <v>477</v>
      </c>
      <c r="K39064" s="18"/>
    </row>
    <row r="39065">
      <c r="B39065" s="17" t="s">
        <v>477</v>
      </c>
      <c r="K39065" s="18"/>
    </row>
    <row r="39066">
      <c r="B39066" s="17" t="s">
        <v>477</v>
      </c>
      <c r="K39066" s="18"/>
    </row>
    <row r="39067">
      <c r="B39067" s="17" t="s">
        <v>477</v>
      </c>
      <c r="K39067" s="18"/>
    </row>
    <row r="39068">
      <c r="B39068" s="17" t="s">
        <v>477</v>
      </c>
      <c r="K39068" s="18"/>
    </row>
    <row r="39069">
      <c r="B39069" s="17" t="s">
        <v>477</v>
      </c>
      <c r="K39069" s="18"/>
    </row>
    <row r="39070">
      <c r="B39070" s="17" t="s">
        <v>477</v>
      </c>
      <c r="K39070" s="18"/>
    </row>
    <row r="39071">
      <c r="B39071" s="17" t="s">
        <v>477</v>
      </c>
      <c r="K39071" s="18"/>
    </row>
    <row r="39072">
      <c r="B39072" s="17" t="s">
        <v>477</v>
      </c>
      <c r="K39072" s="18"/>
    </row>
    <row r="39073">
      <c r="B39073" s="17" t="s">
        <v>477</v>
      </c>
      <c r="K39073" s="18"/>
    </row>
    <row r="39074">
      <c r="B39074" s="17" t="s">
        <v>477</v>
      </c>
      <c r="K39074" s="18"/>
    </row>
    <row r="39075">
      <c r="B39075" s="17" t="s">
        <v>477</v>
      </c>
      <c r="K39075" s="18"/>
    </row>
    <row r="39076">
      <c r="B39076" s="17" t="s">
        <v>477</v>
      </c>
      <c r="K39076" s="18"/>
    </row>
    <row r="39077">
      <c r="B39077" s="17" t="s">
        <v>477</v>
      </c>
      <c r="K39077" s="18"/>
    </row>
    <row r="39078">
      <c r="B39078" s="17" t="s">
        <v>477</v>
      </c>
      <c r="K39078" s="18"/>
    </row>
    <row r="39079">
      <c r="B39079" s="17" t="s">
        <v>477</v>
      </c>
      <c r="K39079" s="18"/>
    </row>
    <row r="39080">
      <c r="B39080" s="17" t="s">
        <v>477</v>
      </c>
      <c r="K39080" s="18"/>
    </row>
    <row r="39081">
      <c r="B39081" s="17" t="s">
        <v>477</v>
      </c>
      <c r="K39081" s="18"/>
    </row>
    <row r="39082">
      <c r="B39082" s="17" t="s">
        <v>477</v>
      </c>
      <c r="K39082" s="18"/>
    </row>
    <row r="39083">
      <c r="B39083" s="17" t="s">
        <v>477</v>
      </c>
      <c r="K39083" s="18"/>
    </row>
    <row r="39084">
      <c r="B39084" s="17" t="s">
        <v>477</v>
      </c>
      <c r="K39084" s="18"/>
    </row>
    <row r="39085">
      <c r="B39085" s="17" t="s">
        <v>477</v>
      </c>
      <c r="K39085" s="18"/>
    </row>
    <row r="39086">
      <c r="B39086" s="17" t="s">
        <v>477</v>
      </c>
      <c r="K39086" s="18"/>
    </row>
    <row r="39087">
      <c r="B39087" s="17" t="s">
        <v>477</v>
      </c>
      <c r="K39087" s="18"/>
    </row>
    <row r="39088">
      <c r="B39088" s="17" t="s">
        <v>477</v>
      </c>
      <c r="K39088" s="18"/>
    </row>
    <row r="39089">
      <c r="B39089" s="17" t="s">
        <v>477</v>
      </c>
      <c r="K39089" s="18"/>
    </row>
    <row r="39090">
      <c r="B39090" s="17" t="s">
        <v>477</v>
      </c>
      <c r="K39090" s="18"/>
    </row>
    <row r="39091">
      <c r="B39091" s="17" t="s">
        <v>477</v>
      </c>
      <c r="K39091" s="18"/>
    </row>
    <row r="39092">
      <c r="B39092" s="17" t="s">
        <v>477</v>
      </c>
      <c r="K39092" s="18"/>
    </row>
    <row r="39093">
      <c r="B39093" s="17" t="s">
        <v>477</v>
      </c>
      <c r="K39093" s="18"/>
    </row>
    <row r="39094">
      <c r="B39094" s="17" t="s">
        <v>477</v>
      </c>
      <c r="K39094" s="18"/>
    </row>
    <row r="39095">
      <c r="B39095" s="17" t="s">
        <v>477</v>
      </c>
      <c r="K39095" s="18"/>
    </row>
    <row r="39096">
      <c r="B39096" s="17" t="s">
        <v>477</v>
      </c>
      <c r="K39096" s="18"/>
    </row>
    <row r="39097">
      <c r="B39097" s="17" t="s">
        <v>477</v>
      </c>
      <c r="K39097" s="18"/>
    </row>
    <row r="39098">
      <c r="B39098" s="17" t="s">
        <v>477</v>
      </c>
      <c r="K39098" s="18"/>
    </row>
    <row r="39099">
      <c r="B39099" s="17" t="s">
        <v>477</v>
      </c>
      <c r="K39099" s="18"/>
    </row>
    <row r="39100">
      <c r="B39100" s="17" t="s">
        <v>477</v>
      </c>
      <c r="K39100" s="18"/>
    </row>
    <row r="39101">
      <c r="B39101" s="17" t="s">
        <v>477</v>
      </c>
      <c r="K39101" s="18"/>
    </row>
    <row r="39102">
      <c r="B39102" s="17" t="s">
        <v>477</v>
      </c>
      <c r="K39102" s="18"/>
    </row>
    <row r="39103">
      <c r="B39103" s="17" t="s">
        <v>477</v>
      </c>
      <c r="K39103" s="18"/>
    </row>
    <row r="39104">
      <c r="B39104" s="17" t="s">
        <v>477</v>
      </c>
      <c r="K39104" s="18"/>
    </row>
    <row r="39105">
      <c r="B39105" s="17" t="s">
        <v>477</v>
      </c>
      <c r="K39105" s="18"/>
    </row>
    <row r="39106">
      <c r="B39106" s="17" t="s">
        <v>477</v>
      </c>
      <c r="K39106" s="18"/>
    </row>
    <row r="39107">
      <c r="B39107" s="17" t="s">
        <v>477</v>
      </c>
      <c r="K39107" s="18"/>
    </row>
    <row r="39108">
      <c r="B39108" s="17" t="s">
        <v>477</v>
      </c>
      <c r="K39108" s="18"/>
    </row>
    <row r="39109">
      <c r="B39109" s="17" t="s">
        <v>477</v>
      </c>
      <c r="K39109" s="18"/>
    </row>
    <row r="39110">
      <c r="B39110" s="17" t="s">
        <v>477</v>
      </c>
      <c r="K39110" s="18"/>
    </row>
    <row r="39111">
      <c r="B39111" s="17" t="s">
        <v>477</v>
      </c>
      <c r="K39111" s="18"/>
    </row>
    <row r="39112">
      <c r="B39112" s="17" t="s">
        <v>477</v>
      </c>
      <c r="K39112" s="18"/>
    </row>
    <row r="39113">
      <c r="B39113" s="17" t="s">
        <v>477</v>
      </c>
      <c r="K39113" s="18"/>
    </row>
    <row r="39114">
      <c r="B39114" s="17" t="s">
        <v>477</v>
      </c>
      <c r="K39114" s="18"/>
    </row>
    <row r="39115">
      <c r="B39115" s="17" t="s">
        <v>477</v>
      </c>
      <c r="K39115" s="18"/>
    </row>
    <row r="39116">
      <c r="B39116" s="17" t="s">
        <v>477</v>
      </c>
      <c r="K39116" s="18"/>
    </row>
    <row r="39117">
      <c r="B39117" s="17" t="s">
        <v>477</v>
      </c>
      <c r="K39117" s="18"/>
    </row>
    <row r="39118">
      <c r="B39118" s="17" t="s">
        <v>477</v>
      </c>
      <c r="K39118" s="18"/>
    </row>
    <row r="39119">
      <c r="B39119" s="17" t="s">
        <v>477</v>
      </c>
      <c r="K39119" s="18"/>
    </row>
    <row r="39120">
      <c r="B39120" s="17" t="s">
        <v>477</v>
      </c>
      <c r="K39120" s="18"/>
    </row>
    <row r="39121">
      <c r="B39121" s="17" t="s">
        <v>477</v>
      </c>
      <c r="K39121" s="18"/>
    </row>
    <row r="39122">
      <c r="B39122" s="17" t="s">
        <v>477</v>
      </c>
      <c r="K39122" s="18"/>
    </row>
    <row r="39123">
      <c r="B39123" s="17" t="s">
        <v>477</v>
      </c>
      <c r="K39123" s="18"/>
    </row>
    <row r="39124">
      <c r="B39124" s="17" t="s">
        <v>477</v>
      </c>
      <c r="K39124" s="18"/>
    </row>
    <row r="39125">
      <c r="B39125" s="17" t="s">
        <v>477</v>
      </c>
      <c r="K39125" s="18"/>
    </row>
    <row r="39126">
      <c r="B39126" s="17" t="s">
        <v>477</v>
      </c>
      <c r="K39126" s="18"/>
    </row>
    <row r="39127">
      <c r="B39127" s="17" t="s">
        <v>477</v>
      </c>
      <c r="K39127" s="18"/>
    </row>
    <row r="39128">
      <c r="B39128" s="17" t="s">
        <v>477</v>
      </c>
      <c r="K39128" s="18"/>
    </row>
    <row r="39129">
      <c r="B39129" s="17" t="s">
        <v>477</v>
      </c>
      <c r="K39129" s="18"/>
    </row>
    <row r="39130">
      <c r="B39130" s="17" t="s">
        <v>477</v>
      </c>
      <c r="K39130" s="18"/>
    </row>
    <row r="39131">
      <c r="B39131" s="17" t="s">
        <v>477</v>
      </c>
      <c r="K39131" s="18"/>
    </row>
    <row r="39132">
      <c r="B39132" s="17" t="s">
        <v>477</v>
      </c>
      <c r="K39132" s="18"/>
    </row>
    <row r="39133">
      <c r="B39133" s="17" t="s">
        <v>477</v>
      </c>
      <c r="K39133" s="18"/>
    </row>
    <row r="39134">
      <c r="B39134" s="17" t="s">
        <v>477</v>
      </c>
      <c r="K39134" s="18"/>
    </row>
    <row r="39135">
      <c r="B39135" s="17" t="s">
        <v>477</v>
      </c>
      <c r="K39135" s="18"/>
    </row>
    <row r="39136">
      <c r="B39136" s="17" t="s">
        <v>477</v>
      </c>
      <c r="K39136" s="18"/>
    </row>
    <row r="39137">
      <c r="B39137" s="17" t="s">
        <v>477</v>
      </c>
      <c r="K39137" s="18"/>
    </row>
    <row r="39138">
      <c r="B39138" s="17" t="s">
        <v>477</v>
      </c>
      <c r="K39138" s="18"/>
    </row>
    <row r="39139">
      <c r="B39139" s="17" t="s">
        <v>477</v>
      </c>
      <c r="K39139" s="18"/>
    </row>
    <row r="39140">
      <c r="B39140" s="17" t="s">
        <v>477</v>
      </c>
      <c r="K39140" s="18"/>
    </row>
    <row r="39141">
      <c r="B39141" s="17" t="s">
        <v>477</v>
      </c>
      <c r="K39141" s="18"/>
    </row>
    <row r="39142">
      <c r="B39142" s="17" t="s">
        <v>477</v>
      </c>
      <c r="K39142" s="18"/>
    </row>
    <row r="39143">
      <c r="B39143" s="17" t="s">
        <v>477</v>
      </c>
      <c r="K39143" s="18"/>
    </row>
    <row r="39144">
      <c r="B39144" s="17" t="s">
        <v>477</v>
      </c>
      <c r="K39144" s="18"/>
    </row>
    <row r="39145">
      <c r="B39145" s="17" t="s">
        <v>477</v>
      </c>
      <c r="K39145" s="18"/>
    </row>
    <row r="39146">
      <c r="B39146" s="17" t="s">
        <v>477</v>
      </c>
      <c r="K39146" s="18"/>
    </row>
    <row r="39147">
      <c r="B39147" s="17" t="s">
        <v>477</v>
      </c>
      <c r="K39147" s="18"/>
    </row>
    <row r="39148">
      <c r="B39148" s="17" t="s">
        <v>477</v>
      </c>
      <c r="K39148" s="18"/>
    </row>
    <row r="39149">
      <c r="B39149" s="17" t="s">
        <v>477</v>
      </c>
      <c r="K39149" s="18"/>
    </row>
    <row r="39150">
      <c r="B39150" s="17" t="s">
        <v>477</v>
      </c>
      <c r="K39150" s="18"/>
    </row>
    <row r="39151">
      <c r="B39151" s="17" t="s">
        <v>477</v>
      </c>
      <c r="K39151" s="18"/>
    </row>
    <row r="39152">
      <c r="B39152" s="17" t="s">
        <v>477</v>
      </c>
      <c r="K39152" s="18"/>
    </row>
    <row r="39153">
      <c r="B39153" s="17" t="s">
        <v>477</v>
      </c>
      <c r="K39153" s="18"/>
    </row>
    <row r="39154">
      <c r="B39154" s="17" t="s">
        <v>477</v>
      </c>
      <c r="K39154" s="18"/>
    </row>
    <row r="39155">
      <c r="B39155" s="17" t="s">
        <v>477</v>
      </c>
      <c r="K39155" s="18"/>
    </row>
    <row r="39156">
      <c r="B39156" s="17" t="s">
        <v>477</v>
      </c>
      <c r="K39156" s="18"/>
    </row>
    <row r="39157">
      <c r="B39157" s="17" t="s">
        <v>477</v>
      </c>
      <c r="K39157" s="18"/>
    </row>
    <row r="39158">
      <c r="B39158" s="17" t="s">
        <v>477</v>
      </c>
      <c r="K39158" s="18"/>
    </row>
    <row r="39159">
      <c r="B39159" s="17" t="s">
        <v>477</v>
      </c>
      <c r="K39159" s="18"/>
    </row>
    <row r="39160">
      <c r="B39160" s="17" t="s">
        <v>477</v>
      </c>
      <c r="K39160" s="18"/>
    </row>
    <row r="39161">
      <c r="B39161" s="17" t="s">
        <v>477</v>
      </c>
      <c r="K39161" s="18"/>
    </row>
    <row r="39162">
      <c r="B39162" s="17" t="s">
        <v>477</v>
      </c>
      <c r="K39162" s="18"/>
    </row>
    <row r="39163">
      <c r="B39163" s="17" t="s">
        <v>477</v>
      </c>
      <c r="K39163" s="18"/>
    </row>
    <row r="39164">
      <c r="B39164" s="17" t="s">
        <v>477</v>
      </c>
      <c r="K39164" s="18"/>
    </row>
    <row r="39165">
      <c r="B39165" s="17" t="s">
        <v>477</v>
      </c>
      <c r="K39165" s="18"/>
    </row>
    <row r="39166">
      <c r="B39166" s="17" t="s">
        <v>477</v>
      </c>
      <c r="K39166" s="18"/>
    </row>
    <row r="39167">
      <c r="B39167" s="17" t="s">
        <v>477</v>
      </c>
      <c r="K39167" s="18"/>
    </row>
    <row r="39168">
      <c r="B39168" s="17" t="s">
        <v>477</v>
      </c>
      <c r="K39168" s="18"/>
    </row>
    <row r="39169">
      <c r="B39169" s="17" t="s">
        <v>477</v>
      </c>
      <c r="K39169" s="18"/>
    </row>
    <row r="39170">
      <c r="B39170" s="17" t="s">
        <v>477</v>
      </c>
      <c r="K39170" s="18"/>
    </row>
    <row r="39171">
      <c r="B39171" s="17" t="s">
        <v>477</v>
      </c>
      <c r="K39171" s="18"/>
    </row>
    <row r="39172">
      <c r="B39172" s="17" t="s">
        <v>477</v>
      </c>
      <c r="K39172" s="18"/>
    </row>
    <row r="39173">
      <c r="B39173" s="17" t="s">
        <v>477</v>
      </c>
      <c r="K39173" s="18"/>
    </row>
    <row r="39174">
      <c r="B39174" s="17" t="s">
        <v>477</v>
      </c>
      <c r="K39174" s="18"/>
    </row>
    <row r="39175">
      <c r="B39175" s="17" t="s">
        <v>477</v>
      </c>
      <c r="K39175" s="18"/>
    </row>
    <row r="39176">
      <c r="B39176" s="17" t="s">
        <v>477</v>
      </c>
      <c r="K39176" s="18"/>
    </row>
    <row r="39177">
      <c r="B39177" s="17" t="s">
        <v>477</v>
      </c>
      <c r="K39177" s="18"/>
    </row>
    <row r="39178">
      <c r="B39178" s="17" t="s">
        <v>477</v>
      </c>
      <c r="K39178" s="18"/>
    </row>
    <row r="39179">
      <c r="B39179" s="17" t="s">
        <v>477</v>
      </c>
      <c r="K39179" s="18"/>
    </row>
    <row r="39180">
      <c r="B39180" s="17" t="s">
        <v>477</v>
      </c>
      <c r="K39180" s="18"/>
    </row>
    <row r="39181">
      <c r="B39181" s="17" t="s">
        <v>477</v>
      </c>
      <c r="K39181" s="18"/>
    </row>
    <row r="39182">
      <c r="B39182" s="17" t="s">
        <v>477</v>
      </c>
      <c r="K39182" s="18"/>
    </row>
    <row r="39183">
      <c r="B39183" s="17" t="s">
        <v>477</v>
      </c>
      <c r="K39183" s="18"/>
    </row>
    <row r="39184">
      <c r="B39184" s="17" t="s">
        <v>477</v>
      </c>
      <c r="K39184" s="18"/>
    </row>
    <row r="39185">
      <c r="B39185" s="17" t="s">
        <v>477</v>
      </c>
      <c r="K39185" s="18"/>
    </row>
    <row r="39186">
      <c r="B39186" s="17" t="s">
        <v>477</v>
      </c>
      <c r="K39186" s="18"/>
    </row>
    <row r="39187">
      <c r="B39187" s="17" t="s">
        <v>477</v>
      </c>
      <c r="K39187" s="18"/>
    </row>
    <row r="39188">
      <c r="B39188" s="17" t="s">
        <v>477</v>
      </c>
      <c r="K39188" s="18"/>
    </row>
    <row r="39189">
      <c r="B39189" s="17" t="s">
        <v>477</v>
      </c>
      <c r="K39189" s="18"/>
    </row>
    <row r="39190">
      <c r="B39190" s="17" t="s">
        <v>477</v>
      </c>
      <c r="K39190" s="18"/>
    </row>
    <row r="39191">
      <c r="B39191" s="17" t="s">
        <v>477</v>
      </c>
      <c r="K39191" s="18"/>
    </row>
    <row r="39192">
      <c r="B39192" s="17" t="s">
        <v>477</v>
      </c>
      <c r="K39192" s="18"/>
    </row>
    <row r="39193">
      <c r="B39193" s="17" t="s">
        <v>477</v>
      </c>
      <c r="K39193" s="18"/>
    </row>
    <row r="39194">
      <c r="B39194" s="17" t="s">
        <v>477</v>
      </c>
      <c r="K39194" s="18"/>
    </row>
    <row r="39195">
      <c r="B39195" s="17" t="s">
        <v>477</v>
      </c>
      <c r="K39195" s="18"/>
    </row>
    <row r="39196">
      <c r="B39196" s="17" t="s">
        <v>477</v>
      </c>
      <c r="K39196" s="18"/>
    </row>
    <row r="39197">
      <c r="B39197" s="17" t="s">
        <v>477</v>
      </c>
      <c r="K39197" s="18"/>
    </row>
    <row r="39198">
      <c r="B39198" s="17" t="s">
        <v>477</v>
      </c>
      <c r="K39198" s="18"/>
    </row>
    <row r="39199">
      <c r="B39199" s="17" t="s">
        <v>477</v>
      </c>
      <c r="K39199" s="18"/>
    </row>
    <row r="39200">
      <c r="B39200" s="17" t="s">
        <v>477</v>
      </c>
      <c r="K39200" s="18"/>
    </row>
    <row r="39201">
      <c r="B39201" s="17" t="s">
        <v>477</v>
      </c>
      <c r="K39201" s="18"/>
    </row>
    <row r="39202">
      <c r="B39202" s="17" t="s">
        <v>477</v>
      </c>
      <c r="K39202" s="18"/>
    </row>
    <row r="39203">
      <c r="B39203" s="17" t="s">
        <v>477</v>
      </c>
      <c r="K39203" s="18"/>
    </row>
    <row r="39204">
      <c r="B39204" s="17" t="s">
        <v>477</v>
      </c>
      <c r="K39204" s="18"/>
    </row>
    <row r="39205">
      <c r="B39205" s="17" t="s">
        <v>477</v>
      </c>
      <c r="K39205" s="18"/>
    </row>
    <row r="39206">
      <c r="B39206" s="17" t="s">
        <v>477</v>
      </c>
      <c r="K39206" s="18"/>
    </row>
    <row r="39207">
      <c r="B39207" s="17" t="s">
        <v>477</v>
      </c>
      <c r="K39207" s="18"/>
    </row>
    <row r="39208">
      <c r="B39208" s="17" t="s">
        <v>477</v>
      </c>
      <c r="K39208" s="18"/>
    </row>
    <row r="39209">
      <c r="B39209" s="17" t="s">
        <v>477</v>
      </c>
      <c r="K39209" s="18"/>
    </row>
    <row r="39210">
      <c r="B39210" s="17" t="s">
        <v>477</v>
      </c>
      <c r="K39210" s="18"/>
    </row>
    <row r="39211">
      <c r="B39211" s="17" t="s">
        <v>477</v>
      </c>
      <c r="K39211" s="18"/>
    </row>
    <row r="39212">
      <c r="B39212" s="17" t="s">
        <v>477</v>
      </c>
      <c r="K39212" s="18"/>
    </row>
    <row r="39213">
      <c r="B39213" s="17" t="s">
        <v>477</v>
      </c>
      <c r="K39213" s="18"/>
    </row>
    <row r="39214">
      <c r="B39214" s="17" t="s">
        <v>477</v>
      </c>
      <c r="K39214" s="18"/>
    </row>
    <row r="39215">
      <c r="B39215" s="17" t="s">
        <v>477</v>
      </c>
      <c r="K39215" s="18"/>
    </row>
    <row r="39216">
      <c r="B39216" s="17" t="s">
        <v>477</v>
      </c>
      <c r="K39216" s="18"/>
    </row>
    <row r="39217">
      <c r="B39217" s="17" t="s">
        <v>477</v>
      </c>
      <c r="K39217" s="18"/>
    </row>
    <row r="39218">
      <c r="B39218" s="17" t="s">
        <v>477</v>
      </c>
      <c r="K39218" s="18"/>
    </row>
    <row r="39219">
      <c r="B39219" s="17" t="s">
        <v>477</v>
      </c>
      <c r="K39219" s="18"/>
    </row>
    <row r="39220">
      <c r="B39220" s="17" t="s">
        <v>477</v>
      </c>
      <c r="K39220" s="18"/>
    </row>
    <row r="39221">
      <c r="B39221" s="17" t="s">
        <v>477</v>
      </c>
      <c r="K39221" s="18"/>
    </row>
    <row r="39222">
      <c r="B39222" s="17" t="s">
        <v>477</v>
      </c>
      <c r="K39222" s="18"/>
    </row>
    <row r="39223">
      <c r="B39223" s="17" t="s">
        <v>477</v>
      </c>
      <c r="K39223" s="18"/>
    </row>
    <row r="39224">
      <c r="B39224" s="17" t="s">
        <v>477</v>
      </c>
      <c r="K39224" s="18"/>
    </row>
    <row r="39225">
      <c r="B39225" s="17" t="s">
        <v>477</v>
      </c>
      <c r="K39225" s="18"/>
    </row>
    <row r="39226">
      <c r="B39226" s="17" t="s">
        <v>477</v>
      </c>
      <c r="K39226" s="18"/>
    </row>
    <row r="39227">
      <c r="B39227" s="17" t="s">
        <v>477</v>
      </c>
      <c r="K39227" s="18"/>
    </row>
    <row r="39228">
      <c r="B39228" s="17" t="s">
        <v>477</v>
      </c>
      <c r="K39228" s="18"/>
    </row>
    <row r="39229">
      <c r="B39229" s="17" t="s">
        <v>477</v>
      </c>
      <c r="K39229" s="18"/>
    </row>
    <row r="39230">
      <c r="B39230" s="17" t="s">
        <v>477</v>
      </c>
      <c r="K39230" s="18"/>
    </row>
    <row r="39231">
      <c r="B39231" s="17" t="s">
        <v>477</v>
      </c>
      <c r="K39231" s="18"/>
    </row>
    <row r="39232">
      <c r="B39232" s="17" t="s">
        <v>477</v>
      </c>
      <c r="K39232" s="18"/>
    </row>
    <row r="39233">
      <c r="B39233" s="17" t="s">
        <v>477</v>
      </c>
      <c r="K39233" s="18"/>
    </row>
    <row r="39234">
      <c r="B39234" s="17" t="s">
        <v>477</v>
      </c>
      <c r="K39234" s="18"/>
    </row>
    <row r="39235">
      <c r="B39235" s="17" t="s">
        <v>477</v>
      </c>
      <c r="K39235" s="18"/>
    </row>
    <row r="39236">
      <c r="B39236" s="17" t="s">
        <v>477</v>
      </c>
      <c r="K39236" s="18"/>
    </row>
    <row r="39237">
      <c r="B39237" s="17" t="s">
        <v>477</v>
      </c>
      <c r="K39237" s="18"/>
    </row>
    <row r="39238">
      <c r="B39238" s="17" t="s">
        <v>477</v>
      </c>
      <c r="K39238" s="18"/>
    </row>
    <row r="39239">
      <c r="B39239" s="17" t="s">
        <v>477</v>
      </c>
      <c r="K39239" s="18"/>
    </row>
    <row r="39240">
      <c r="B39240" s="17" t="s">
        <v>477</v>
      </c>
      <c r="K39240" s="18"/>
    </row>
    <row r="39241">
      <c r="B39241" s="17" t="s">
        <v>477</v>
      </c>
      <c r="K39241" s="18"/>
    </row>
    <row r="39242">
      <c r="B39242" s="17" t="s">
        <v>477</v>
      </c>
      <c r="K39242" s="18"/>
    </row>
    <row r="39243">
      <c r="B39243" s="17" t="s">
        <v>477</v>
      </c>
      <c r="K39243" s="18"/>
    </row>
    <row r="39244">
      <c r="B39244" s="17" t="s">
        <v>477</v>
      </c>
      <c r="K39244" s="18"/>
    </row>
    <row r="39245">
      <c r="B39245" s="17" t="s">
        <v>477</v>
      </c>
      <c r="K39245" s="18"/>
    </row>
    <row r="39246">
      <c r="B39246" s="17" t="s">
        <v>477</v>
      </c>
      <c r="K39246" s="18"/>
    </row>
    <row r="39247">
      <c r="B39247" s="17" t="s">
        <v>477</v>
      </c>
      <c r="K39247" s="18"/>
    </row>
    <row r="39248">
      <c r="B39248" s="17" t="s">
        <v>477</v>
      </c>
      <c r="K39248" s="18"/>
    </row>
    <row r="39249">
      <c r="B39249" s="17" t="s">
        <v>477</v>
      </c>
      <c r="K39249" s="18"/>
    </row>
    <row r="39250">
      <c r="B39250" s="17" t="s">
        <v>477</v>
      </c>
      <c r="K39250" s="18"/>
    </row>
    <row r="39251">
      <c r="B39251" s="17" t="s">
        <v>477</v>
      </c>
      <c r="K39251" s="18"/>
    </row>
    <row r="39252">
      <c r="B39252" s="17" t="s">
        <v>477</v>
      </c>
      <c r="K39252" s="18"/>
    </row>
    <row r="39253">
      <c r="B39253" s="17" t="s">
        <v>477</v>
      </c>
      <c r="K39253" s="18"/>
    </row>
    <row r="39254">
      <c r="B39254" s="17" t="s">
        <v>477</v>
      </c>
      <c r="K39254" s="18"/>
    </row>
    <row r="39255">
      <c r="B39255" s="17" t="s">
        <v>477</v>
      </c>
      <c r="K39255" s="18"/>
    </row>
    <row r="39256">
      <c r="B39256" s="17" t="s">
        <v>477</v>
      </c>
      <c r="K39256" s="18"/>
    </row>
    <row r="39257">
      <c r="B39257" s="17" t="s">
        <v>477</v>
      </c>
      <c r="K39257" s="18"/>
    </row>
    <row r="39258">
      <c r="B39258" s="17" t="s">
        <v>477</v>
      </c>
      <c r="K39258" s="18"/>
    </row>
    <row r="39259">
      <c r="B39259" s="17" t="s">
        <v>477</v>
      </c>
      <c r="K39259" s="18"/>
    </row>
    <row r="39260">
      <c r="B39260" s="17" t="s">
        <v>477</v>
      </c>
      <c r="K39260" s="18"/>
    </row>
    <row r="39261">
      <c r="B39261" s="17" t="s">
        <v>477</v>
      </c>
      <c r="K39261" s="18"/>
    </row>
    <row r="39262">
      <c r="B39262" s="17" t="s">
        <v>477</v>
      </c>
      <c r="K39262" s="18"/>
    </row>
    <row r="39263">
      <c r="B39263" s="17" t="s">
        <v>477</v>
      </c>
      <c r="K39263" s="18"/>
    </row>
    <row r="39264">
      <c r="B39264" s="17" t="s">
        <v>477</v>
      </c>
      <c r="K39264" s="18"/>
    </row>
    <row r="39265">
      <c r="B39265" s="17" t="s">
        <v>477</v>
      </c>
      <c r="K39265" s="18"/>
    </row>
    <row r="39266">
      <c r="B39266" s="17" t="s">
        <v>477</v>
      </c>
      <c r="K39266" s="18"/>
    </row>
    <row r="39267">
      <c r="B39267" s="17" t="s">
        <v>477</v>
      </c>
      <c r="K39267" s="18"/>
    </row>
    <row r="39268">
      <c r="B39268" s="17" t="s">
        <v>477</v>
      </c>
      <c r="K39268" s="18"/>
    </row>
    <row r="39269">
      <c r="B39269" s="17" t="s">
        <v>477</v>
      </c>
      <c r="K39269" s="18"/>
    </row>
    <row r="39270">
      <c r="B39270" s="17" t="s">
        <v>477</v>
      </c>
      <c r="K39270" s="18"/>
    </row>
    <row r="39271">
      <c r="B39271" s="17" t="s">
        <v>477</v>
      </c>
      <c r="K39271" s="18"/>
    </row>
    <row r="39272">
      <c r="B39272" s="17" t="s">
        <v>477</v>
      </c>
      <c r="K39272" s="18"/>
    </row>
    <row r="39273">
      <c r="B39273" s="17" t="s">
        <v>477</v>
      </c>
      <c r="K39273" s="18"/>
    </row>
    <row r="39274">
      <c r="B39274" s="17" t="s">
        <v>477</v>
      </c>
      <c r="K39274" s="18"/>
    </row>
    <row r="39275">
      <c r="B39275" s="17" t="s">
        <v>477</v>
      </c>
      <c r="K39275" s="18"/>
    </row>
    <row r="39276">
      <c r="B39276" s="17" t="s">
        <v>477</v>
      </c>
      <c r="K39276" s="18"/>
    </row>
    <row r="39277">
      <c r="B39277" s="17" t="s">
        <v>477</v>
      </c>
      <c r="K39277" s="18"/>
    </row>
    <row r="39278">
      <c r="B39278" s="17" t="s">
        <v>477</v>
      </c>
      <c r="K39278" s="18"/>
    </row>
    <row r="39279">
      <c r="B39279" s="17" t="s">
        <v>477</v>
      </c>
      <c r="K39279" s="18"/>
    </row>
    <row r="39280">
      <c r="B39280" s="17" t="s">
        <v>477</v>
      </c>
      <c r="K39280" s="18"/>
    </row>
    <row r="39281">
      <c r="B39281" s="17" t="s">
        <v>477</v>
      </c>
      <c r="K39281" s="18"/>
    </row>
    <row r="39282">
      <c r="B39282" s="17" t="s">
        <v>477</v>
      </c>
      <c r="K39282" s="18"/>
    </row>
    <row r="39283">
      <c r="B39283" s="17" t="s">
        <v>477</v>
      </c>
      <c r="K39283" s="18"/>
    </row>
    <row r="39284">
      <c r="B39284" s="17" t="s">
        <v>477</v>
      </c>
      <c r="K39284" s="18"/>
    </row>
    <row r="39285">
      <c r="B39285" s="17" t="s">
        <v>477</v>
      </c>
      <c r="K39285" s="18"/>
    </row>
    <row r="39286">
      <c r="B39286" s="17" t="s">
        <v>477</v>
      </c>
      <c r="K39286" s="18"/>
    </row>
    <row r="39287">
      <c r="B39287" s="17" t="s">
        <v>477</v>
      </c>
      <c r="K39287" s="18"/>
    </row>
    <row r="39288">
      <c r="B39288" s="17" t="s">
        <v>477</v>
      </c>
      <c r="K39288" s="18"/>
    </row>
    <row r="39289">
      <c r="B39289" s="17" t="s">
        <v>477</v>
      </c>
      <c r="K39289" s="18"/>
    </row>
    <row r="39290">
      <c r="B39290" s="17" t="s">
        <v>477</v>
      </c>
      <c r="K39290" s="18"/>
    </row>
    <row r="39291">
      <c r="B39291" s="17" t="s">
        <v>477</v>
      </c>
      <c r="K39291" s="18"/>
    </row>
    <row r="39292">
      <c r="B39292" s="17" t="s">
        <v>477</v>
      </c>
      <c r="K39292" s="18"/>
    </row>
    <row r="39293">
      <c r="B39293" s="17" t="s">
        <v>477</v>
      </c>
      <c r="K39293" s="18"/>
    </row>
    <row r="39294">
      <c r="B39294" s="17" t="s">
        <v>477</v>
      </c>
      <c r="K39294" s="18"/>
    </row>
    <row r="39295">
      <c r="B39295" s="17" t="s">
        <v>477</v>
      </c>
      <c r="K39295" s="18"/>
    </row>
    <row r="39296">
      <c r="B39296" s="17" t="s">
        <v>477</v>
      </c>
      <c r="K39296" s="18"/>
    </row>
    <row r="39297">
      <c r="B39297" s="17" t="s">
        <v>477</v>
      </c>
      <c r="K39297" s="18"/>
    </row>
    <row r="39298">
      <c r="B39298" s="17" t="s">
        <v>477</v>
      </c>
      <c r="K39298" s="18"/>
    </row>
    <row r="39299">
      <c r="B39299" s="17" t="s">
        <v>477</v>
      </c>
      <c r="K39299" s="18"/>
    </row>
    <row r="39300">
      <c r="B39300" s="17" t="s">
        <v>477</v>
      </c>
      <c r="K39300" s="18"/>
    </row>
    <row r="39301">
      <c r="B39301" s="17" t="s">
        <v>477</v>
      </c>
      <c r="K39301" s="18"/>
    </row>
    <row r="39302">
      <c r="B39302" s="17" t="s">
        <v>477</v>
      </c>
      <c r="K39302" s="18"/>
    </row>
    <row r="39303">
      <c r="B39303" s="17" t="s">
        <v>477</v>
      </c>
      <c r="K39303" s="18"/>
    </row>
    <row r="39304">
      <c r="B39304" s="17" t="s">
        <v>477</v>
      </c>
      <c r="K39304" s="18"/>
    </row>
    <row r="39305">
      <c r="B39305" s="17" t="s">
        <v>477</v>
      </c>
      <c r="K39305" s="18"/>
    </row>
    <row r="39306">
      <c r="B39306" s="17" t="s">
        <v>477</v>
      </c>
      <c r="K39306" s="18"/>
    </row>
    <row r="39307">
      <c r="B39307" s="17" t="s">
        <v>477</v>
      </c>
      <c r="K39307" s="18"/>
    </row>
    <row r="39308">
      <c r="B39308" s="17" t="s">
        <v>477</v>
      </c>
      <c r="K39308" s="18"/>
    </row>
    <row r="39309">
      <c r="B39309" s="17" t="s">
        <v>477</v>
      </c>
      <c r="K39309" s="18"/>
    </row>
    <row r="39310">
      <c r="B39310" s="17" t="s">
        <v>477</v>
      </c>
      <c r="K39310" s="18"/>
    </row>
    <row r="39311">
      <c r="B39311" s="17" t="s">
        <v>477</v>
      </c>
      <c r="K39311" s="18"/>
    </row>
    <row r="39312">
      <c r="B39312" s="17" t="s">
        <v>477</v>
      </c>
      <c r="K39312" s="18"/>
    </row>
    <row r="39313">
      <c r="B39313" s="17" t="s">
        <v>477</v>
      </c>
      <c r="K39313" s="18"/>
    </row>
    <row r="39314">
      <c r="B39314" s="17" t="s">
        <v>477</v>
      </c>
      <c r="K39314" s="18"/>
    </row>
    <row r="39315">
      <c r="B39315" s="17" t="s">
        <v>477</v>
      </c>
      <c r="K39315" s="18"/>
    </row>
    <row r="39316">
      <c r="B39316" s="17" t="s">
        <v>477</v>
      </c>
      <c r="K39316" s="18"/>
    </row>
    <row r="39317">
      <c r="B39317" s="17" t="s">
        <v>477</v>
      </c>
      <c r="K39317" s="18"/>
    </row>
    <row r="39318">
      <c r="B39318" s="17" t="s">
        <v>477</v>
      </c>
      <c r="K39318" s="18"/>
    </row>
    <row r="39319">
      <c r="B39319" s="17" t="s">
        <v>477</v>
      </c>
      <c r="K39319" s="18"/>
    </row>
    <row r="39320">
      <c r="B39320" s="17" t="s">
        <v>477</v>
      </c>
      <c r="K39320" s="18"/>
    </row>
    <row r="39321">
      <c r="B39321" s="17" t="s">
        <v>477</v>
      </c>
      <c r="K39321" s="18"/>
    </row>
    <row r="39322">
      <c r="B39322" s="17" t="s">
        <v>477</v>
      </c>
      <c r="K39322" s="18"/>
    </row>
    <row r="39323">
      <c r="B39323" s="17" t="s">
        <v>477</v>
      </c>
      <c r="K39323" s="18"/>
    </row>
    <row r="39324">
      <c r="B39324" s="17" t="s">
        <v>477</v>
      </c>
      <c r="K39324" s="18"/>
    </row>
    <row r="39325">
      <c r="B39325" s="17" t="s">
        <v>477</v>
      </c>
      <c r="K39325" s="18"/>
    </row>
    <row r="39326">
      <c r="B39326" s="17" t="s">
        <v>477</v>
      </c>
      <c r="K39326" s="18"/>
    </row>
    <row r="39327">
      <c r="B39327" s="17" t="s">
        <v>477</v>
      </c>
      <c r="K39327" s="18"/>
    </row>
    <row r="39328">
      <c r="B39328" s="17" t="s">
        <v>477</v>
      </c>
      <c r="K39328" s="18"/>
    </row>
    <row r="39329">
      <c r="B39329" s="17" t="s">
        <v>477</v>
      </c>
      <c r="K39329" s="18"/>
    </row>
    <row r="39330">
      <c r="B39330" s="17" t="s">
        <v>477</v>
      </c>
      <c r="K39330" s="18"/>
    </row>
    <row r="39331">
      <c r="B39331" s="17" t="s">
        <v>477</v>
      </c>
      <c r="K39331" s="18"/>
    </row>
    <row r="39332">
      <c r="B39332" s="17" t="s">
        <v>477</v>
      </c>
      <c r="K39332" s="18"/>
    </row>
    <row r="39333">
      <c r="B39333" s="17" t="s">
        <v>477</v>
      </c>
      <c r="K39333" s="18"/>
    </row>
    <row r="39334">
      <c r="B39334" s="17" t="s">
        <v>477</v>
      </c>
      <c r="K39334" s="18"/>
    </row>
    <row r="39335">
      <c r="B39335" s="17" t="s">
        <v>477</v>
      </c>
      <c r="K39335" s="18"/>
    </row>
    <row r="39336">
      <c r="B39336" s="17" t="s">
        <v>477</v>
      </c>
      <c r="K39336" s="18"/>
    </row>
    <row r="39337">
      <c r="B39337" s="17" t="s">
        <v>477</v>
      </c>
      <c r="K39337" s="18"/>
    </row>
    <row r="39338">
      <c r="B39338" s="17" t="s">
        <v>477</v>
      </c>
      <c r="K39338" s="18"/>
    </row>
    <row r="39339">
      <c r="B39339" s="17" t="s">
        <v>477</v>
      </c>
      <c r="K39339" s="18"/>
    </row>
    <row r="39340">
      <c r="B39340" s="17" t="s">
        <v>477</v>
      </c>
      <c r="K39340" s="18"/>
    </row>
    <row r="39341">
      <c r="B39341" s="17" t="s">
        <v>477</v>
      </c>
      <c r="K39341" s="18"/>
    </row>
    <row r="39342">
      <c r="B39342" s="17" t="s">
        <v>477</v>
      </c>
      <c r="K39342" s="18"/>
    </row>
    <row r="39343">
      <c r="B39343" s="17" t="s">
        <v>477</v>
      </c>
      <c r="K39343" s="18"/>
    </row>
    <row r="39344">
      <c r="B39344" s="17" t="s">
        <v>477</v>
      </c>
      <c r="K39344" s="18"/>
    </row>
    <row r="39345">
      <c r="B39345" s="17" t="s">
        <v>477</v>
      </c>
      <c r="K39345" s="18"/>
    </row>
    <row r="39346">
      <c r="B39346" s="17" t="s">
        <v>477</v>
      </c>
      <c r="K39346" s="18"/>
    </row>
    <row r="39347">
      <c r="B39347" s="17" t="s">
        <v>477</v>
      </c>
      <c r="K39347" s="18"/>
    </row>
    <row r="39348">
      <c r="B39348" s="17" t="s">
        <v>477</v>
      </c>
      <c r="K39348" s="18"/>
    </row>
    <row r="39349">
      <c r="B39349" s="17" t="s">
        <v>477</v>
      </c>
      <c r="K39349" s="18"/>
    </row>
    <row r="39350">
      <c r="B39350" s="17" t="s">
        <v>477</v>
      </c>
      <c r="K39350" s="18"/>
    </row>
    <row r="39351">
      <c r="B39351" s="17" t="s">
        <v>477</v>
      </c>
      <c r="K39351" s="18"/>
    </row>
    <row r="39352">
      <c r="B39352" s="17" t="s">
        <v>477</v>
      </c>
      <c r="K39352" s="18"/>
    </row>
    <row r="39353">
      <c r="B39353" s="17" t="s">
        <v>477</v>
      </c>
      <c r="K39353" s="18"/>
    </row>
    <row r="39354">
      <c r="B39354" s="17" t="s">
        <v>477</v>
      </c>
      <c r="K39354" s="18"/>
    </row>
    <row r="39355">
      <c r="B39355" s="17" t="s">
        <v>477</v>
      </c>
      <c r="K39355" s="18"/>
    </row>
    <row r="39356">
      <c r="B39356" s="17" t="s">
        <v>477</v>
      </c>
      <c r="K39356" s="18"/>
    </row>
    <row r="39357">
      <c r="B39357" s="17" t="s">
        <v>477</v>
      </c>
      <c r="K39357" s="18"/>
    </row>
    <row r="39358">
      <c r="B39358" s="17" t="s">
        <v>477</v>
      </c>
      <c r="K39358" s="18"/>
    </row>
    <row r="39359">
      <c r="B39359" s="17" t="s">
        <v>477</v>
      </c>
      <c r="K39359" s="18"/>
    </row>
    <row r="39360">
      <c r="B39360" s="17" t="s">
        <v>477</v>
      </c>
      <c r="K39360" s="18"/>
    </row>
    <row r="39361">
      <c r="B39361" s="17" t="s">
        <v>477</v>
      </c>
      <c r="K39361" s="18"/>
    </row>
    <row r="39362">
      <c r="B39362" s="17" t="s">
        <v>477</v>
      </c>
      <c r="K39362" s="18"/>
    </row>
    <row r="39363">
      <c r="B39363" s="17" t="s">
        <v>477</v>
      </c>
      <c r="K39363" s="18"/>
    </row>
    <row r="39364">
      <c r="B39364" s="17" t="s">
        <v>477</v>
      </c>
      <c r="K39364" s="18"/>
    </row>
    <row r="39365">
      <c r="B39365" s="17" t="s">
        <v>477</v>
      </c>
      <c r="K39365" s="18"/>
    </row>
    <row r="39366">
      <c r="B39366" s="17" t="s">
        <v>477</v>
      </c>
      <c r="K39366" s="18"/>
    </row>
    <row r="39367">
      <c r="B39367" s="17" t="s">
        <v>477</v>
      </c>
      <c r="K39367" s="18"/>
    </row>
    <row r="39368">
      <c r="B39368" s="17" t="s">
        <v>477</v>
      </c>
      <c r="K39368" s="18"/>
    </row>
    <row r="39369">
      <c r="B39369" s="17" t="s">
        <v>477</v>
      </c>
      <c r="K39369" s="18"/>
    </row>
    <row r="39370">
      <c r="B39370" s="17" t="s">
        <v>477</v>
      </c>
      <c r="K39370" s="18"/>
    </row>
    <row r="39371">
      <c r="B39371" s="17" t="s">
        <v>477</v>
      </c>
      <c r="K39371" s="18"/>
    </row>
    <row r="39372">
      <c r="B39372" s="17" t="s">
        <v>477</v>
      </c>
      <c r="K39372" s="18"/>
    </row>
    <row r="39373">
      <c r="B39373" s="17" t="s">
        <v>477</v>
      </c>
      <c r="K39373" s="18"/>
    </row>
    <row r="39374">
      <c r="B39374" s="17" t="s">
        <v>477</v>
      </c>
      <c r="K39374" s="18"/>
    </row>
    <row r="39375">
      <c r="B39375" s="17" t="s">
        <v>477</v>
      </c>
      <c r="K39375" s="18"/>
    </row>
    <row r="39376">
      <c r="B39376" s="17" t="s">
        <v>477</v>
      </c>
      <c r="K39376" s="18"/>
    </row>
    <row r="39377">
      <c r="B39377" s="17" t="s">
        <v>477</v>
      </c>
      <c r="K39377" s="18"/>
    </row>
    <row r="39378">
      <c r="B39378" s="17" t="s">
        <v>477</v>
      </c>
      <c r="K39378" s="18"/>
    </row>
    <row r="39379">
      <c r="B39379" s="17" t="s">
        <v>477</v>
      </c>
      <c r="K39379" s="18"/>
    </row>
    <row r="39380">
      <c r="B39380" s="17" t="s">
        <v>477</v>
      </c>
      <c r="K39380" s="18"/>
    </row>
    <row r="39381">
      <c r="B39381" s="17" t="s">
        <v>477</v>
      </c>
      <c r="K39381" s="18"/>
    </row>
    <row r="39382">
      <c r="B39382" s="17" t="s">
        <v>477</v>
      </c>
      <c r="K39382" s="18"/>
    </row>
    <row r="39383">
      <c r="B39383" s="17" t="s">
        <v>477</v>
      </c>
      <c r="K39383" s="18"/>
    </row>
    <row r="39384">
      <c r="B39384" s="17" t="s">
        <v>477</v>
      </c>
      <c r="K39384" s="18"/>
    </row>
    <row r="39385">
      <c r="B39385" s="17" t="s">
        <v>477</v>
      </c>
      <c r="K39385" s="18"/>
    </row>
    <row r="39386">
      <c r="B39386" s="17" t="s">
        <v>477</v>
      </c>
      <c r="K39386" s="18"/>
    </row>
    <row r="39387">
      <c r="B39387" s="17" t="s">
        <v>477</v>
      </c>
      <c r="K39387" s="18"/>
    </row>
    <row r="39388">
      <c r="B39388" s="17" t="s">
        <v>477</v>
      </c>
      <c r="K39388" s="18"/>
    </row>
    <row r="39389">
      <c r="B39389" s="17" t="s">
        <v>477</v>
      </c>
      <c r="K39389" s="18"/>
    </row>
    <row r="39390">
      <c r="B39390" s="17" t="s">
        <v>477</v>
      </c>
      <c r="K39390" s="18"/>
    </row>
    <row r="39391">
      <c r="B39391" s="17" t="s">
        <v>477</v>
      </c>
      <c r="K39391" s="18"/>
    </row>
    <row r="39392">
      <c r="B39392" s="17" t="s">
        <v>477</v>
      </c>
      <c r="K39392" s="18"/>
    </row>
    <row r="39393">
      <c r="B39393" s="17" t="s">
        <v>477</v>
      </c>
      <c r="K39393" s="18"/>
    </row>
    <row r="39394">
      <c r="B39394" s="17" t="s">
        <v>477</v>
      </c>
      <c r="K39394" s="18"/>
    </row>
    <row r="39395">
      <c r="B39395" s="17" t="s">
        <v>477</v>
      </c>
      <c r="K39395" s="18"/>
    </row>
    <row r="39396">
      <c r="B39396" s="17" t="s">
        <v>477</v>
      </c>
      <c r="K39396" s="18"/>
    </row>
    <row r="39397">
      <c r="B39397" s="17" t="s">
        <v>477</v>
      </c>
      <c r="K39397" s="18"/>
    </row>
    <row r="39398">
      <c r="B39398" s="17" t="s">
        <v>477</v>
      </c>
      <c r="K39398" s="18"/>
    </row>
    <row r="39399">
      <c r="B39399" s="17" t="s">
        <v>477</v>
      </c>
      <c r="K39399" s="18"/>
    </row>
    <row r="39400">
      <c r="B39400" s="17" t="s">
        <v>477</v>
      </c>
      <c r="K39400" s="18"/>
    </row>
    <row r="39401">
      <c r="B39401" s="17" t="s">
        <v>477</v>
      </c>
      <c r="K39401" s="18"/>
    </row>
    <row r="39402">
      <c r="B39402" s="17" t="s">
        <v>477</v>
      </c>
      <c r="K39402" s="18"/>
    </row>
    <row r="39403">
      <c r="B39403" s="17" t="s">
        <v>477</v>
      </c>
      <c r="K39403" s="18"/>
    </row>
    <row r="39404">
      <c r="B39404" s="17" t="s">
        <v>477</v>
      </c>
      <c r="K39404" s="18"/>
    </row>
    <row r="39405">
      <c r="B39405" s="17" t="s">
        <v>477</v>
      </c>
      <c r="K39405" s="18"/>
    </row>
    <row r="39406">
      <c r="B39406" s="17" t="s">
        <v>477</v>
      </c>
      <c r="K39406" s="18"/>
    </row>
    <row r="39407">
      <c r="B39407" s="17" t="s">
        <v>477</v>
      </c>
      <c r="K39407" s="18"/>
    </row>
    <row r="39408">
      <c r="B39408" s="17" t="s">
        <v>477</v>
      </c>
      <c r="K39408" s="18"/>
    </row>
    <row r="39409">
      <c r="B39409" s="17" t="s">
        <v>477</v>
      </c>
      <c r="K39409" s="18"/>
    </row>
    <row r="39410">
      <c r="B39410" s="17" t="s">
        <v>477</v>
      </c>
      <c r="K39410" s="18"/>
    </row>
    <row r="39411">
      <c r="B39411" s="17" t="s">
        <v>477</v>
      </c>
      <c r="K39411" s="18"/>
    </row>
    <row r="39412">
      <c r="B39412" s="17" t="s">
        <v>477</v>
      </c>
      <c r="K39412" s="18"/>
    </row>
    <row r="39413">
      <c r="B39413" s="17" t="s">
        <v>477</v>
      </c>
      <c r="K39413" s="18"/>
    </row>
    <row r="39414">
      <c r="B39414" s="17" t="s">
        <v>477</v>
      </c>
      <c r="K39414" s="18"/>
    </row>
    <row r="39415">
      <c r="B39415" s="17" t="s">
        <v>477</v>
      </c>
      <c r="K39415" s="18"/>
    </row>
    <row r="39416">
      <c r="B39416" s="17" t="s">
        <v>477</v>
      </c>
      <c r="K39416" s="18"/>
    </row>
    <row r="39417">
      <c r="B39417" s="17" t="s">
        <v>477</v>
      </c>
      <c r="K39417" s="18"/>
    </row>
    <row r="39418">
      <c r="B39418" s="17" t="s">
        <v>477</v>
      </c>
      <c r="K39418" s="18"/>
    </row>
    <row r="39419">
      <c r="B39419" s="17" t="s">
        <v>477</v>
      </c>
      <c r="K39419" s="18"/>
    </row>
    <row r="39420">
      <c r="B39420" s="17" t="s">
        <v>477</v>
      </c>
      <c r="K39420" s="18"/>
    </row>
    <row r="39421">
      <c r="B39421" s="17" t="s">
        <v>477</v>
      </c>
      <c r="K39421" s="18"/>
    </row>
    <row r="39422">
      <c r="B39422" s="17" t="s">
        <v>477</v>
      </c>
      <c r="K39422" s="18"/>
    </row>
    <row r="39423">
      <c r="B39423" s="17" t="s">
        <v>477</v>
      </c>
      <c r="K39423" s="18"/>
    </row>
    <row r="39424">
      <c r="B39424" s="17" t="s">
        <v>477</v>
      </c>
      <c r="K39424" s="18"/>
    </row>
    <row r="39425">
      <c r="B39425" s="17" t="s">
        <v>477</v>
      </c>
      <c r="K39425" s="18"/>
    </row>
    <row r="39426">
      <c r="B39426" s="17" t="s">
        <v>477</v>
      </c>
      <c r="K39426" s="18"/>
    </row>
    <row r="39427">
      <c r="B39427" s="17" t="s">
        <v>477</v>
      </c>
      <c r="K39427" s="18"/>
    </row>
    <row r="39428">
      <c r="B39428" s="17" t="s">
        <v>477</v>
      </c>
      <c r="K39428" s="18"/>
    </row>
    <row r="39429">
      <c r="B39429" s="17" t="s">
        <v>477</v>
      </c>
      <c r="K39429" s="18"/>
    </row>
    <row r="39430">
      <c r="B39430" s="17" t="s">
        <v>477</v>
      </c>
      <c r="K39430" s="18"/>
    </row>
    <row r="39431">
      <c r="B39431" s="17" t="s">
        <v>477</v>
      </c>
      <c r="K39431" s="18"/>
    </row>
    <row r="39432">
      <c r="B39432" s="17" t="s">
        <v>477</v>
      </c>
      <c r="K39432" s="18"/>
    </row>
    <row r="39433">
      <c r="B39433" s="17" t="s">
        <v>477</v>
      </c>
      <c r="K39433" s="18"/>
    </row>
    <row r="39434">
      <c r="B39434" s="17" t="s">
        <v>477</v>
      </c>
      <c r="K39434" s="18"/>
    </row>
    <row r="39435">
      <c r="B39435" s="17" t="s">
        <v>477</v>
      </c>
      <c r="K39435" s="18"/>
    </row>
    <row r="39436">
      <c r="B39436" s="17" t="s">
        <v>477</v>
      </c>
      <c r="K39436" s="18"/>
    </row>
    <row r="39437">
      <c r="B39437" s="17" t="s">
        <v>477</v>
      </c>
      <c r="K39437" s="18"/>
    </row>
    <row r="39438">
      <c r="B39438" s="17" t="s">
        <v>477</v>
      </c>
      <c r="K39438" s="18"/>
    </row>
    <row r="39439">
      <c r="B39439" s="17" t="s">
        <v>477</v>
      </c>
      <c r="K39439" s="18"/>
    </row>
    <row r="39440">
      <c r="B39440" s="17" t="s">
        <v>477</v>
      </c>
      <c r="K39440" s="18"/>
    </row>
    <row r="39441">
      <c r="B39441" s="17" t="s">
        <v>477</v>
      </c>
      <c r="K39441" s="18"/>
    </row>
    <row r="39442">
      <c r="B39442" s="17" t="s">
        <v>477</v>
      </c>
      <c r="K39442" s="18"/>
    </row>
    <row r="39443">
      <c r="B39443" s="17" t="s">
        <v>477</v>
      </c>
      <c r="K39443" s="18"/>
    </row>
    <row r="39444">
      <c r="B39444" s="17" t="s">
        <v>477</v>
      </c>
      <c r="K39444" s="18"/>
    </row>
    <row r="39445">
      <c r="B39445" s="17" t="s">
        <v>477</v>
      </c>
      <c r="K39445" s="18"/>
    </row>
    <row r="39446">
      <c r="B39446" s="17" t="s">
        <v>477</v>
      </c>
      <c r="K39446" s="18"/>
    </row>
    <row r="39447">
      <c r="B39447" s="17" t="s">
        <v>477</v>
      </c>
      <c r="K39447" s="18"/>
    </row>
    <row r="39448">
      <c r="B39448" s="17" t="s">
        <v>477</v>
      </c>
      <c r="K39448" s="18"/>
    </row>
    <row r="39449">
      <c r="B39449" s="17" t="s">
        <v>477</v>
      </c>
      <c r="K39449" s="18"/>
    </row>
    <row r="39450">
      <c r="B39450" s="17" t="s">
        <v>477</v>
      </c>
      <c r="K39450" s="18"/>
    </row>
    <row r="39451">
      <c r="B39451" s="17" t="s">
        <v>477</v>
      </c>
      <c r="K39451" s="18"/>
    </row>
    <row r="39452">
      <c r="B39452" s="17" t="s">
        <v>477</v>
      </c>
      <c r="K39452" s="18"/>
    </row>
    <row r="39453">
      <c r="B39453" s="17" t="s">
        <v>477</v>
      </c>
      <c r="K39453" s="18"/>
    </row>
    <row r="39454">
      <c r="B39454" s="17" t="s">
        <v>477</v>
      </c>
      <c r="K39454" s="18"/>
    </row>
    <row r="39455">
      <c r="B39455" s="17" t="s">
        <v>477</v>
      </c>
      <c r="K39455" s="18"/>
    </row>
    <row r="39456">
      <c r="B39456" s="17" t="s">
        <v>477</v>
      </c>
      <c r="K39456" s="18"/>
    </row>
    <row r="39457">
      <c r="B39457" s="17" t="s">
        <v>477</v>
      </c>
      <c r="K39457" s="18"/>
    </row>
    <row r="39458">
      <c r="B39458" s="17" t="s">
        <v>477</v>
      </c>
      <c r="K39458" s="18"/>
    </row>
    <row r="39459">
      <c r="B39459" s="17" t="s">
        <v>477</v>
      </c>
      <c r="K39459" s="18"/>
    </row>
    <row r="39460">
      <c r="B39460" s="17" t="s">
        <v>477</v>
      </c>
      <c r="K39460" s="18"/>
    </row>
    <row r="39461">
      <c r="B39461" s="17" t="s">
        <v>477</v>
      </c>
      <c r="K39461" s="18"/>
    </row>
    <row r="39462">
      <c r="B39462" s="17" t="s">
        <v>477</v>
      </c>
      <c r="K39462" s="18"/>
    </row>
    <row r="39463">
      <c r="B39463" s="17" t="s">
        <v>477</v>
      </c>
      <c r="K39463" s="18"/>
    </row>
    <row r="39464">
      <c r="B39464" s="17" t="s">
        <v>477</v>
      </c>
      <c r="K39464" s="18"/>
    </row>
    <row r="39465">
      <c r="B39465" s="17" t="s">
        <v>477</v>
      </c>
      <c r="K39465" s="18"/>
    </row>
    <row r="39466">
      <c r="B39466" s="17" t="s">
        <v>477</v>
      </c>
      <c r="K39466" s="18"/>
    </row>
    <row r="39467">
      <c r="B39467" s="17" t="s">
        <v>477</v>
      </c>
      <c r="K39467" s="18"/>
    </row>
    <row r="39468">
      <c r="B39468" s="17" t="s">
        <v>477</v>
      </c>
      <c r="K39468" s="18"/>
    </row>
    <row r="39469">
      <c r="B39469" s="17" t="s">
        <v>477</v>
      </c>
      <c r="K39469" s="18"/>
    </row>
    <row r="39470">
      <c r="B39470" s="17" t="s">
        <v>477</v>
      </c>
      <c r="K39470" s="18"/>
    </row>
    <row r="39471">
      <c r="B39471" s="17" t="s">
        <v>477</v>
      </c>
      <c r="K39471" s="18"/>
    </row>
    <row r="39472">
      <c r="B39472" s="17" t="s">
        <v>477</v>
      </c>
      <c r="K39472" s="18"/>
    </row>
    <row r="39473">
      <c r="B39473" s="17" t="s">
        <v>477</v>
      </c>
      <c r="K39473" s="18"/>
    </row>
    <row r="39474">
      <c r="B39474" s="17" t="s">
        <v>477</v>
      </c>
      <c r="K39474" s="18"/>
    </row>
    <row r="39475">
      <c r="B39475" s="17" t="s">
        <v>477</v>
      </c>
      <c r="K39475" s="18"/>
    </row>
    <row r="39476">
      <c r="B39476" s="17" t="s">
        <v>477</v>
      </c>
      <c r="K39476" s="18"/>
    </row>
    <row r="39477">
      <c r="B39477" s="17" t="s">
        <v>477</v>
      </c>
      <c r="K39477" s="18"/>
    </row>
    <row r="39478">
      <c r="B39478" s="17" t="s">
        <v>477</v>
      </c>
      <c r="K39478" s="18"/>
    </row>
    <row r="39479">
      <c r="B39479" s="17" t="s">
        <v>477</v>
      </c>
      <c r="K39479" s="18"/>
    </row>
    <row r="39480">
      <c r="B39480" s="17" t="s">
        <v>477</v>
      </c>
      <c r="K39480" s="18"/>
    </row>
    <row r="39481">
      <c r="B39481" s="17" t="s">
        <v>477</v>
      </c>
      <c r="K39481" s="18"/>
    </row>
    <row r="39482">
      <c r="B39482" s="17" t="s">
        <v>477</v>
      </c>
      <c r="K39482" s="18"/>
    </row>
    <row r="39483">
      <c r="B39483" s="17" t="s">
        <v>477</v>
      </c>
      <c r="K39483" s="18"/>
    </row>
    <row r="39484">
      <c r="B39484" s="17" t="s">
        <v>477</v>
      </c>
      <c r="K39484" s="18"/>
    </row>
    <row r="39485">
      <c r="B39485" s="17" t="s">
        <v>477</v>
      </c>
      <c r="K39485" s="18"/>
    </row>
    <row r="39486">
      <c r="B39486" s="17" t="s">
        <v>477</v>
      </c>
      <c r="K39486" s="18"/>
    </row>
    <row r="39487">
      <c r="B39487" s="17" t="s">
        <v>477</v>
      </c>
      <c r="K39487" s="18"/>
    </row>
    <row r="39488">
      <c r="B39488" s="17" t="s">
        <v>477</v>
      </c>
      <c r="K39488" s="18"/>
    </row>
    <row r="39489">
      <c r="B39489" s="17" t="s">
        <v>477</v>
      </c>
      <c r="K39489" s="18"/>
    </row>
    <row r="39490">
      <c r="B39490" s="17" t="s">
        <v>477</v>
      </c>
      <c r="K39490" s="18"/>
    </row>
    <row r="39491">
      <c r="B39491" s="17" t="s">
        <v>477</v>
      </c>
      <c r="K39491" s="18"/>
    </row>
    <row r="39492">
      <c r="B39492" s="17" t="s">
        <v>477</v>
      </c>
      <c r="K39492" s="18"/>
    </row>
    <row r="39493">
      <c r="B39493" s="17" t="s">
        <v>477</v>
      </c>
      <c r="K39493" s="18"/>
    </row>
    <row r="39494">
      <c r="B39494" s="17" t="s">
        <v>477</v>
      </c>
      <c r="K39494" s="18"/>
    </row>
    <row r="39495">
      <c r="B39495" s="17" t="s">
        <v>477</v>
      </c>
      <c r="K39495" s="18"/>
    </row>
    <row r="39496">
      <c r="B39496" s="17" t="s">
        <v>477</v>
      </c>
      <c r="K39496" s="18"/>
    </row>
    <row r="39497">
      <c r="B39497" s="17" t="s">
        <v>477</v>
      </c>
      <c r="K39497" s="18"/>
    </row>
    <row r="39498">
      <c r="B39498" s="17" t="s">
        <v>477</v>
      </c>
      <c r="K39498" s="18"/>
    </row>
    <row r="39499">
      <c r="B39499" s="17" t="s">
        <v>477</v>
      </c>
      <c r="K39499" s="18"/>
    </row>
    <row r="39500">
      <c r="B39500" s="17" t="s">
        <v>477</v>
      </c>
      <c r="K39500" s="18"/>
    </row>
    <row r="39501">
      <c r="B39501" s="17" t="s">
        <v>477</v>
      </c>
      <c r="K39501" s="18"/>
    </row>
    <row r="39502">
      <c r="B39502" s="17" t="s">
        <v>477</v>
      </c>
      <c r="K39502" s="18"/>
    </row>
    <row r="39503">
      <c r="B39503" s="17" t="s">
        <v>477</v>
      </c>
      <c r="K39503" s="18"/>
    </row>
    <row r="39504">
      <c r="B39504" s="17" t="s">
        <v>477</v>
      </c>
      <c r="K39504" s="18"/>
    </row>
    <row r="39505">
      <c r="B39505" s="17" t="s">
        <v>477</v>
      </c>
      <c r="K39505" s="18"/>
    </row>
    <row r="39506">
      <c r="B39506" s="17" t="s">
        <v>477</v>
      </c>
      <c r="K39506" s="18"/>
    </row>
    <row r="39507">
      <c r="B39507" s="17" t="s">
        <v>477</v>
      </c>
      <c r="K39507" s="18"/>
    </row>
    <row r="39508">
      <c r="B39508" s="17" t="s">
        <v>477</v>
      </c>
      <c r="K39508" s="18"/>
    </row>
    <row r="39509">
      <c r="B39509" s="17" t="s">
        <v>477</v>
      </c>
      <c r="K39509" s="18"/>
    </row>
    <row r="39510">
      <c r="B39510" s="17" t="s">
        <v>477</v>
      </c>
      <c r="K39510" s="18"/>
    </row>
    <row r="39511">
      <c r="B39511" s="17" t="s">
        <v>477</v>
      </c>
      <c r="K39511" s="18"/>
    </row>
    <row r="39512">
      <c r="B39512" s="17" t="s">
        <v>477</v>
      </c>
      <c r="K39512" s="18"/>
    </row>
    <row r="39513">
      <c r="B39513" s="17" t="s">
        <v>477</v>
      </c>
      <c r="K39513" s="18"/>
    </row>
    <row r="39514">
      <c r="B39514" s="17" t="s">
        <v>477</v>
      </c>
      <c r="K39514" s="18"/>
    </row>
    <row r="39515">
      <c r="B39515" s="17" t="s">
        <v>477</v>
      </c>
      <c r="K39515" s="18"/>
    </row>
    <row r="39516">
      <c r="B39516" s="17" t="s">
        <v>477</v>
      </c>
      <c r="K39516" s="18"/>
    </row>
    <row r="39517">
      <c r="B39517" s="17" t="s">
        <v>477</v>
      </c>
      <c r="K39517" s="18"/>
    </row>
    <row r="39518">
      <c r="B39518" s="17" t="s">
        <v>477</v>
      </c>
      <c r="K39518" s="18"/>
    </row>
    <row r="39519">
      <c r="B39519" s="17" t="s">
        <v>477</v>
      </c>
      <c r="K39519" s="18"/>
    </row>
    <row r="39520">
      <c r="B39520" s="17" t="s">
        <v>477</v>
      </c>
      <c r="K39520" s="18"/>
    </row>
    <row r="39521">
      <c r="B39521" s="17" t="s">
        <v>477</v>
      </c>
      <c r="K39521" s="18"/>
    </row>
    <row r="39522">
      <c r="B39522" s="17" t="s">
        <v>477</v>
      </c>
      <c r="K39522" s="18"/>
    </row>
    <row r="39523">
      <c r="B39523" s="17" t="s">
        <v>477</v>
      </c>
      <c r="K39523" s="18"/>
    </row>
    <row r="39524">
      <c r="B39524" s="17" t="s">
        <v>477</v>
      </c>
      <c r="K39524" s="18"/>
    </row>
    <row r="39525">
      <c r="B39525" s="17" t="s">
        <v>477</v>
      </c>
      <c r="K39525" s="18"/>
    </row>
    <row r="39526">
      <c r="B39526" s="17" t="s">
        <v>477</v>
      </c>
      <c r="K39526" s="18"/>
    </row>
    <row r="39527">
      <c r="B39527" s="17" t="s">
        <v>477</v>
      </c>
      <c r="K39527" s="18"/>
    </row>
    <row r="39528">
      <c r="B39528" s="17" t="s">
        <v>477</v>
      </c>
      <c r="K39528" s="18"/>
    </row>
    <row r="39529">
      <c r="B39529" s="17" t="s">
        <v>477</v>
      </c>
      <c r="K39529" s="18"/>
    </row>
    <row r="39530">
      <c r="B39530" s="17" t="s">
        <v>477</v>
      </c>
      <c r="K39530" s="18"/>
    </row>
    <row r="39531">
      <c r="B39531" s="17" t="s">
        <v>477</v>
      </c>
      <c r="K39531" s="18"/>
    </row>
    <row r="39532">
      <c r="B39532" s="17" t="s">
        <v>477</v>
      </c>
      <c r="K39532" s="18"/>
    </row>
    <row r="39533">
      <c r="B39533" s="17" t="s">
        <v>477</v>
      </c>
      <c r="K39533" s="18"/>
    </row>
    <row r="39534">
      <c r="B39534" s="17" t="s">
        <v>477</v>
      </c>
      <c r="K39534" s="18"/>
    </row>
    <row r="39535">
      <c r="B39535" s="17" t="s">
        <v>477</v>
      </c>
      <c r="K39535" s="18"/>
    </row>
    <row r="39536">
      <c r="B39536" s="17" t="s">
        <v>477</v>
      </c>
      <c r="K39536" s="18"/>
    </row>
    <row r="39537">
      <c r="B39537" s="17" t="s">
        <v>477</v>
      </c>
      <c r="K39537" s="18"/>
    </row>
    <row r="39538">
      <c r="B39538" s="17" t="s">
        <v>477</v>
      </c>
      <c r="K39538" s="18"/>
    </row>
    <row r="39539">
      <c r="B39539" s="17" t="s">
        <v>477</v>
      </c>
      <c r="K39539" s="18"/>
    </row>
    <row r="39540">
      <c r="B39540" s="17" t="s">
        <v>477</v>
      </c>
      <c r="K39540" s="18"/>
    </row>
    <row r="39541">
      <c r="B39541" s="17" t="s">
        <v>477</v>
      </c>
      <c r="K39541" s="18"/>
    </row>
    <row r="39542">
      <c r="B39542" s="17" t="s">
        <v>477</v>
      </c>
      <c r="K39542" s="18"/>
    </row>
    <row r="39543">
      <c r="B39543" s="17" t="s">
        <v>477</v>
      </c>
      <c r="K39543" s="18"/>
    </row>
    <row r="39544">
      <c r="B39544" s="17" t="s">
        <v>477</v>
      </c>
      <c r="K39544" s="18"/>
    </row>
    <row r="39545">
      <c r="B39545" s="17" t="s">
        <v>477</v>
      </c>
      <c r="K39545" s="18"/>
    </row>
    <row r="39546">
      <c r="B39546" s="17" t="s">
        <v>477</v>
      </c>
      <c r="K39546" s="18"/>
    </row>
    <row r="39547">
      <c r="B39547" s="17" t="s">
        <v>477</v>
      </c>
      <c r="K39547" s="18"/>
    </row>
    <row r="39548">
      <c r="B39548" s="17" t="s">
        <v>477</v>
      </c>
      <c r="K39548" s="18"/>
    </row>
    <row r="39549">
      <c r="B39549" s="17" t="s">
        <v>477</v>
      </c>
      <c r="K39549" s="18"/>
    </row>
    <row r="39550">
      <c r="B39550" s="17" t="s">
        <v>477</v>
      </c>
      <c r="K39550" s="18"/>
    </row>
    <row r="39551">
      <c r="B39551" s="17" t="s">
        <v>477</v>
      </c>
      <c r="K39551" s="18"/>
    </row>
    <row r="39552">
      <c r="B39552" s="17" t="s">
        <v>477</v>
      </c>
      <c r="K39552" s="18"/>
    </row>
    <row r="39553">
      <c r="B39553" s="17" t="s">
        <v>477</v>
      </c>
      <c r="K39553" s="18"/>
    </row>
    <row r="39554">
      <c r="B39554" s="17" t="s">
        <v>477</v>
      </c>
      <c r="K39554" s="18"/>
    </row>
    <row r="39555">
      <c r="B39555" s="17" t="s">
        <v>477</v>
      </c>
      <c r="K39555" s="18"/>
    </row>
    <row r="39556">
      <c r="B39556" s="17" t="s">
        <v>477</v>
      </c>
      <c r="K39556" s="18"/>
    </row>
    <row r="39557">
      <c r="B39557" s="17" t="s">
        <v>477</v>
      </c>
      <c r="K39557" s="18"/>
    </row>
    <row r="39558">
      <c r="B39558" s="17" t="s">
        <v>477</v>
      </c>
      <c r="K39558" s="18"/>
    </row>
    <row r="39559">
      <c r="B39559" s="17" t="s">
        <v>477</v>
      </c>
      <c r="K39559" s="18"/>
    </row>
    <row r="39560">
      <c r="B39560" s="17" t="s">
        <v>477</v>
      </c>
      <c r="K39560" s="18"/>
    </row>
    <row r="39561">
      <c r="B39561" s="17" t="s">
        <v>477</v>
      </c>
      <c r="K39561" s="18"/>
    </row>
    <row r="39562">
      <c r="B39562" s="17" t="s">
        <v>477</v>
      </c>
      <c r="K39562" s="18"/>
    </row>
    <row r="39563">
      <c r="B39563" s="17" t="s">
        <v>477</v>
      </c>
      <c r="K39563" s="18"/>
    </row>
    <row r="39564">
      <c r="B39564" s="17" t="s">
        <v>477</v>
      </c>
      <c r="K39564" s="18"/>
    </row>
    <row r="39565">
      <c r="B39565" s="17" t="s">
        <v>477</v>
      </c>
      <c r="K39565" s="18"/>
    </row>
    <row r="39566">
      <c r="B39566" s="17" t="s">
        <v>477</v>
      </c>
      <c r="K39566" s="18"/>
    </row>
    <row r="39567">
      <c r="B39567" s="17" t="s">
        <v>477</v>
      </c>
      <c r="K39567" s="18"/>
    </row>
    <row r="39568">
      <c r="B39568" s="17" t="s">
        <v>477</v>
      </c>
      <c r="K39568" s="18"/>
    </row>
    <row r="39569">
      <c r="B39569" s="17" t="s">
        <v>477</v>
      </c>
      <c r="K39569" s="18"/>
    </row>
    <row r="39570">
      <c r="B39570" s="17" t="s">
        <v>477</v>
      </c>
      <c r="K39570" s="18"/>
    </row>
    <row r="39571">
      <c r="B39571" s="17" t="s">
        <v>477</v>
      </c>
      <c r="K39571" s="18"/>
    </row>
    <row r="39572">
      <c r="B39572" s="17" t="s">
        <v>477</v>
      </c>
      <c r="K39572" s="18"/>
    </row>
    <row r="39573">
      <c r="B39573" s="17" t="s">
        <v>477</v>
      </c>
      <c r="K39573" s="18"/>
    </row>
    <row r="39574">
      <c r="B39574" s="17" t="s">
        <v>477</v>
      </c>
      <c r="K39574" s="18"/>
    </row>
    <row r="39575">
      <c r="B39575" s="17" t="s">
        <v>477</v>
      </c>
      <c r="K39575" s="18"/>
    </row>
    <row r="39576">
      <c r="B39576" s="17" t="s">
        <v>477</v>
      </c>
      <c r="K39576" s="18"/>
    </row>
    <row r="39577">
      <c r="B39577" s="17" t="s">
        <v>477</v>
      </c>
      <c r="K39577" s="18"/>
    </row>
    <row r="39578">
      <c r="B39578" s="17" t="s">
        <v>477</v>
      </c>
      <c r="K39578" s="18"/>
    </row>
    <row r="39579">
      <c r="B39579" s="17" t="s">
        <v>477</v>
      </c>
      <c r="K39579" s="18"/>
    </row>
    <row r="39580">
      <c r="B39580" s="17" t="s">
        <v>477</v>
      </c>
      <c r="K39580" s="18"/>
    </row>
    <row r="39581">
      <c r="B39581" s="17" t="s">
        <v>477</v>
      </c>
      <c r="K39581" s="18"/>
    </row>
    <row r="39582">
      <c r="B39582" s="17" t="s">
        <v>477</v>
      </c>
      <c r="K39582" s="18"/>
    </row>
    <row r="39583">
      <c r="B39583" s="17" t="s">
        <v>477</v>
      </c>
      <c r="K39583" s="18"/>
    </row>
    <row r="39584">
      <c r="B39584" s="17" t="s">
        <v>477</v>
      </c>
      <c r="K39584" s="18"/>
    </row>
    <row r="39585">
      <c r="B39585" s="17" t="s">
        <v>477</v>
      </c>
      <c r="K39585" s="18"/>
    </row>
    <row r="39586">
      <c r="B39586" s="17" t="s">
        <v>477</v>
      </c>
      <c r="K39586" s="18"/>
    </row>
    <row r="39587">
      <c r="B39587" s="17" t="s">
        <v>477</v>
      </c>
      <c r="K39587" s="18"/>
    </row>
    <row r="39588">
      <c r="B39588" s="17" t="s">
        <v>477</v>
      </c>
      <c r="K39588" s="18"/>
    </row>
    <row r="39589">
      <c r="B39589" s="17" t="s">
        <v>477</v>
      </c>
      <c r="K39589" s="18"/>
    </row>
    <row r="39590">
      <c r="B39590" s="17" t="s">
        <v>477</v>
      </c>
      <c r="K39590" s="18"/>
    </row>
    <row r="39591">
      <c r="B39591" s="17" t="s">
        <v>477</v>
      </c>
      <c r="K39591" s="18"/>
    </row>
    <row r="39592">
      <c r="B39592" s="17" t="s">
        <v>477</v>
      </c>
      <c r="K39592" s="18"/>
    </row>
    <row r="39593">
      <c r="B39593" s="17" t="s">
        <v>477</v>
      </c>
      <c r="K39593" s="18"/>
    </row>
    <row r="39594">
      <c r="B39594" s="17" t="s">
        <v>477</v>
      </c>
      <c r="K39594" s="18"/>
    </row>
    <row r="39595">
      <c r="B39595" s="17" t="s">
        <v>477</v>
      </c>
      <c r="K39595" s="18"/>
    </row>
    <row r="39596">
      <c r="B39596" s="17" t="s">
        <v>477</v>
      </c>
      <c r="K39596" s="18"/>
    </row>
    <row r="39597">
      <c r="B39597" s="17" t="s">
        <v>477</v>
      </c>
      <c r="K39597" s="18"/>
    </row>
    <row r="39598">
      <c r="B39598" s="17" t="s">
        <v>477</v>
      </c>
      <c r="K39598" s="18"/>
    </row>
    <row r="39599">
      <c r="B39599" s="17" t="s">
        <v>477</v>
      </c>
      <c r="K39599" s="18"/>
    </row>
    <row r="39600">
      <c r="B39600" s="17" t="s">
        <v>477</v>
      </c>
      <c r="K39600" s="18"/>
    </row>
    <row r="39601">
      <c r="B39601" s="17" t="s">
        <v>477</v>
      </c>
      <c r="K39601" s="18"/>
    </row>
    <row r="39602">
      <c r="B39602" s="17" t="s">
        <v>477</v>
      </c>
      <c r="K39602" s="18"/>
    </row>
    <row r="39603">
      <c r="B39603" s="17" t="s">
        <v>477</v>
      </c>
      <c r="K39603" s="18"/>
    </row>
    <row r="39604">
      <c r="B39604" s="17" t="s">
        <v>477</v>
      </c>
      <c r="K39604" s="18"/>
    </row>
    <row r="39605">
      <c r="B39605" s="17" t="s">
        <v>477</v>
      </c>
      <c r="K39605" s="18"/>
    </row>
    <row r="39606">
      <c r="B39606" s="17" t="s">
        <v>477</v>
      </c>
      <c r="K39606" s="18"/>
    </row>
    <row r="39607">
      <c r="B39607" s="17" t="s">
        <v>477</v>
      </c>
      <c r="K39607" s="18"/>
    </row>
    <row r="39608">
      <c r="B39608" s="17" t="s">
        <v>477</v>
      </c>
      <c r="K39608" s="18"/>
    </row>
    <row r="39609">
      <c r="B39609" s="17" t="s">
        <v>477</v>
      </c>
      <c r="K39609" s="18"/>
    </row>
    <row r="39610">
      <c r="B39610" s="17" t="s">
        <v>477</v>
      </c>
      <c r="K39610" s="18"/>
    </row>
    <row r="39611">
      <c r="B39611" s="17" t="s">
        <v>477</v>
      </c>
      <c r="K39611" s="18"/>
    </row>
    <row r="39612">
      <c r="B39612" s="17" t="s">
        <v>477</v>
      </c>
      <c r="K39612" s="18"/>
    </row>
    <row r="39613">
      <c r="B39613" s="17" t="s">
        <v>477</v>
      </c>
      <c r="K39613" s="18"/>
    </row>
    <row r="39614">
      <c r="B39614" s="17" t="s">
        <v>477</v>
      </c>
      <c r="K39614" s="18"/>
    </row>
    <row r="39615">
      <c r="B39615" s="17" t="s">
        <v>477</v>
      </c>
      <c r="K39615" s="18"/>
    </row>
    <row r="39616">
      <c r="B39616" s="17" t="s">
        <v>477</v>
      </c>
      <c r="K39616" s="18"/>
    </row>
    <row r="39617">
      <c r="B39617" s="17" t="s">
        <v>477</v>
      </c>
      <c r="K39617" s="18"/>
    </row>
    <row r="39618">
      <c r="B39618" s="17" t="s">
        <v>477</v>
      </c>
      <c r="K39618" s="18"/>
    </row>
    <row r="39619">
      <c r="B39619" s="17" t="s">
        <v>477</v>
      </c>
      <c r="K39619" s="18"/>
    </row>
    <row r="39620">
      <c r="B39620" s="17" t="s">
        <v>477</v>
      </c>
      <c r="K39620" s="18"/>
    </row>
    <row r="39621">
      <c r="B39621" s="17" t="s">
        <v>477</v>
      </c>
      <c r="K39621" s="18"/>
    </row>
    <row r="39622">
      <c r="B39622" s="17" t="s">
        <v>477</v>
      </c>
      <c r="K39622" s="18"/>
    </row>
    <row r="39623">
      <c r="B39623" s="17" t="s">
        <v>477</v>
      </c>
      <c r="K39623" s="18"/>
    </row>
    <row r="39624">
      <c r="B39624" s="17" t="s">
        <v>477</v>
      </c>
      <c r="K39624" s="18"/>
    </row>
    <row r="39625">
      <c r="B39625" s="17" t="s">
        <v>477</v>
      </c>
      <c r="K39625" s="18"/>
    </row>
    <row r="39626">
      <c r="B39626" s="17" t="s">
        <v>477</v>
      </c>
      <c r="K39626" s="18"/>
    </row>
    <row r="39627">
      <c r="B39627" s="17" t="s">
        <v>477</v>
      </c>
      <c r="K39627" s="18"/>
    </row>
    <row r="39628">
      <c r="B39628" s="17" t="s">
        <v>477</v>
      </c>
      <c r="K39628" s="18"/>
    </row>
    <row r="39629">
      <c r="B39629" s="17" t="s">
        <v>477</v>
      </c>
      <c r="K39629" s="18"/>
    </row>
    <row r="39630">
      <c r="B39630" s="17" t="s">
        <v>477</v>
      </c>
      <c r="K39630" s="18"/>
    </row>
    <row r="39631">
      <c r="B39631" s="17" t="s">
        <v>477</v>
      </c>
      <c r="K39631" s="18"/>
    </row>
    <row r="39632">
      <c r="B39632" s="17" t="s">
        <v>477</v>
      </c>
      <c r="K39632" s="18"/>
    </row>
    <row r="39633">
      <c r="B39633" s="17" t="s">
        <v>477</v>
      </c>
      <c r="K39633" s="18"/>
    </row>
    <row r="39634">
      <c r="B39634" s="17" t="s">
        <v>477</v>
      </c>
      <c r="K39634" s="18"/>
    </row>
    <row r="39635">
      <c r="B39635" s="17" t="s">
        <v>477</v>
      </c>
      <c r="K39635" s="18"/>
    </row>
    <row r="39636">
      <c r="B39636" s="17" t="s">
        <v>477</v>
      </c>
      <c r="K39636" s="18"/>
    </row>
    <row r="39637">
      <c r="B39637" s="17" t="s">
        <v>477</v>
      </c>
      <c r="K39637" s="18"/>
    </row>
    <row r="39638">
      <c r="B39638" s="17" t="s">
        <v>477</v>
      </c>
      <c r="K39638" s="18"/>
    </row>
    <row r="39639">
      <c r="B39639" s="17" t="s">
        <v>477</v>
      </c>
      <c r="K39639" s="18"/>
    </row>
    <row r="39640">
      <c r="B39640" s="17" t="s">
        <v>477</v>
      </c>
      <c r="K39640" s="18"/>
    </row>
    <row r="39641">
      <c r="B39641" s="17" t="s">
        <v>477</v>
      </c>
      <c r="K39641" s="18"/>
    </row>
    <row r="39642">
      <c r="B39642" s="17" t="s">
        <v>477</v>
      </c>
      <c r="K39642" s="18"/>
    </row>
    <row r="39643">
      <c r="B39643" s="17" t="s">
        <v>477</v>
      </c>
      <c r="K39643" s="18"/>
    </row>
    <row r="39644">
      <c r="B39644" s="17" t="s">
        <v>477</v>
      </c>
      <c r="K39644" s="18"/>
    </row>
    <row r="39645">
      <c r="B39645" s="17" t="s">
        <v>477</v>
      </c>
      <c r="K39645" s="18"/>
    </row>
    <row r="39646">
      <c r="B39646" s="17" t="s">
        <v>477</v>
      </c>
      <c r="K39646" s="18"/>
    </row>
    <row r="39647">
      <c r="B39647" s="17" t="s">
        <v>477</v>
      </c>
      <c r="K39647" s="18"/>
    </row>
    <row r="39648">
      <c r="B39648" s="17" t="s">
        <v>477</v>
      </c>
      <c r="K39648" s="18"/>
    </row>
    <row r="39649">
      <c r="B39649" s="17" t="s">
        <v>477</v>
      </c>
      <c r="K39649" s="18"/>
    </row>
    <row r="39650">
      <c r="B39650" s="17" t="s">
        <v>477</v>
      </c>
      <c r="K39650" s="18"/>
    </row>
    <row r="39651">
      <c r="B39651" s="17" t="s">
        <v>477</v>
      </c>
      <c r="K39651" s="18"/>
    </row>
    <row r="39652">
      <c r="B39652" s="17" t="s">
        <v>477</v>
      </c>
      <c r="K39652" s="18"/>
    </row>
    <row r="39653">
      <c r="B39653" s="17" t="s">
        <v>477</v>
      </c>
      <c r="K39653" s="18"/>
    </row>
    <row r="39654">
      <c r="B39654" s="17" t="s">
        <v>477</v>
      </c>
      <c r="K39654" s="18"/>
    </row>
    <row r="39655">
      <c r="B39655" s="17" t="s">
        <v>477</v>
      </c>
      <c r="K39655" s="18"/>
    </row>
    <row r="39656">
      <c r="B39656" s="17" t="s">
        <v>477</v>
      </c>
      <c r="K39656" s="18"/>
    </row>
    <row r="39657">
      <c r="B39657" s="17" t="s">
        <v>477</v>
      </c>
      <c r="K39657" s="18"/>
    </row>
    <row r="39658">
      <c r="B39658" s="17" t="s">
        <v>477</v>
      </c>
      <c r="K39658" s="18"/>
    </row>
    <row r="39659">
      <c r="B39659" s="17" t="s">
        <v>477</v>
      </c>
      <c r="K39659" s="18"/>
    </row>
    <row r="39660">
      <c r="B39660" s="17" t="s">
        <v>477</v>
      </c>
      <c r="K39660" s="18"/>
    </row>
    <row r="39661">
      <c r="B39661" s="17" t="s">
        <v>477</v>
      </c>
      <c r="K39661" s="18"/>
    </row>
    <row r="39662">
      <c r="B39662" s="17" t="s">
        <v>477</v>
      </c>
      <c r="K39662" s="18"/>
    </row>
    <row r="39663">
      <c r="B39663" s="17" t="s">
        <v>477</v>
      </c>
      <c r="K39663" s="18"/>
    </row>
    <row r="39664">
      <c r="B39664" s="17" t="s">
        <v>477</v>
      </c>
      <c r="K39664" s="18"/>
    </row>
    <row r="39665">
      <c r="B39665" s="17" t="s">
        <v>477</v>
      </c>
      <c r="K39665" s="18"/>
    </row>
    <row r="39666">
      <c r="B39666" s="17" t="s">
        <v>477</v>
      </c>
      <c r="K39666" s="18"/>
    </row>
    <row r="39667">
      <c r="B39667" s="17" t="s">
        <v>477</v>
      </c>
      <c r="K39667" s="18"/>
    </row>
    <row r="39668">
      <c r="B39668" s="17" t="s">
        <v>477</v>
      </c>
      <c r="K39668" s="18"/>
    </row>
    <row r="39669">
      <c r="B39669" s="17" t="s">
        <v>477</v>
      </c>
      <c r="K39669" s="18"/>
    </row>
    <row r="39670">
      <c r="B39670" s="17" t="s">
        <v>477</v>
      </c>
      <c r="K39670" s="18"/>
    </row>
    <row r="39671">
      <c r="B39671" s="17" t="s">
        <v>477</v>
      </c>
      <c r="K39671" s="18"/>
    </row>
    <row r="39672">
      <c r="B39672" s="17" t="s">
        <v>477</v>
      </c>
      <c r="K39672" s="18"/>
    </row>
    <row r="39673">
      <c r="B39673" s="17" t="s">
        <v>477</v>
      </c>
      <c r="K39673" s="18"/>
    </row>
    <row r="39674">
      <c r="B39674" s="17" t="s">
        <v>477</v>
      </c>
      <c r="K39674" s="18"/>
    </row>
    <row r="39675">
      <c r="B39675" s="17" t="s">
        <v>477</v>
      </c>
      <c r="K39675" s="18"/>
    </row>
    <row r="39676">
      <c r="B39676" s="17" t="s">
        <v>477</v>
      </c>
      <c r="K39676" s="18"/>
    </row>
    <row r="39677">
      <c r="B39677" s="17" t="s">
        <v>477</v>
      </c>
      <c r="K39677" s="18"/>
    </row>
    <row r="39678">
      <c r="B39678" s="17" t="s">
        <v>477</v>
      </c>
      <c r="K39678" s="18"/>
    </row>
    <row r="39679">
      <c r="B39679" s="17" t="s">
        <v>477</v>
      </c>
      <c r="K39679" s="18"/>
    </row>
    <row r="39680">
      <c r="B39680" s="17" t="s">
        <v>477</v>
      </c>
      <c r="K39680" s="18"/>
    </row>
    <row r="39681">
      <c r="B39681" s="17" t="s">
        <v>477</v>
      </c>
      <c r="K39681" s="18"/>
    </row>
    <row r="39682">
      <c r="B39682" s="17" t="s">
        <v>477</v>
      </c>
      <c r="K39682" s="18"/>
    </row>
    <row r="39683">
      <c r="B39683" s="17" t="s">
        <v>477</v>
      </c>
      <c r="K39683" s="18"/>
    </row>
    <row r="39684">
      <c r="B39684" s="17" t="s">
        <v>477</v>
      </c>
      <c r="K39684" s="18"/>
    </row>
    <row r="39685">
      <c r="B39685" s="17" t="s">
        <v>477</v>
      </c>
      <c r="K39685" s="18"/>
    </row>
    <row r="39686">
      <c r="B39686" s="17" t="s">
        <v>477</v>
      </c>
      <c r="K39686" s="18"/>
    </row>
    <row r="39687">
      <c r="B39687" s="17" t="s">
        <v>477</v>
      </c>
      <c r="K39687" s="18"/>
    </row>
    <row r="39688">
      <c r="B39688" s="17" t="s">
        <v>477</v>
      </c>
      <c r="K39688" s="18"/>
    </row>
    <row r="39689">
      <c r="B39689" s="17" t="s">
        <v>477</v>
      </c>
      <c r="K39689" s="18"/>
    </row>
    <row r="39690">
      <c r="B39690" s="17" t="s">
        <v>477</v>
      </c>
      <c r="K39690" s="18"/>
    </row>
    <row r="39691">
      <c r="B39691" s="17" t="s">
        <v>477</v>
      </c>
      <c r="K39691" s="18"/>
    </row>
    <row r="39692">
      <c r="B39692" s="17" t="s">
        <v>477</v>
      </c>
      <c r="K39692" s="18"/>
    </row>
    <row r="39693">
      <c r="B39693" s="17" t="s">
        <v>477</v>
      </c>
      <c r="K39693" s="18"/>
    </row>
    <row r="39694">
      <c r="B39694" s="17" t="s">
        <v>477</v>
      </c>
      <c r="K39694" s="18"/>
    </row>
    <row r="39695">
      <c r="B39695" s="17" t="s">
        <v>477</v>
      </c>
      <c r="K39695" s="18"/>
    </row>
    <row r="39696">
      <c r="B39696" s="17" t="s">
        <v>477</v>
      </c>
      <c r="K39696" s="18"/>
    </row>
    <row r="39697">
      <c r="B39697" s="17" t="s">
        <v>477</v>
      </c>
      <c r="K39697" s="18"/>
    </row>
    <row r="39698">
      <c r="B39698" s="17" t="s">
        <v>477</v>
      </c>
      <c r="K39698" s="18"/>
    </row>
    <row r="39699">
      <c r="B39699" s="17" t="s">
        <v>477</v>
      </c>
      <c r="K39699" s="18"/>
    </row>
    <row r="39700">
      <c r="B39700" s="17" t="s">
        <v>477</v>
      </c>
      <c r="K39700" s="18"/>
    </row>
    <row r="39701">
      <c r="B39701" s="17" t="s">
        <v>477</v>
      </c>
      <c r="K39701" s="18"/>
    </row>
    <row r="39702">
      <c r="B39702" s="17" t="s">
        <v>477</v>
      </c>
      <c r="K39702" s="18"/>
    </row>
    <row r="39703">
      <c r="B39703" s="17" t="s">
        <v>477</v>
      </c>
      <c r="K39703" s="18"/>
    </row>
    <row r="39704">
      <c r="B39704" s="17" t="s">
        <v>477</v>
      </c>
      <c r="K39704" s="18"/>
    </row>
    <row r="39705">
      <c r="B39705" s="17" t="s">
        <v>477</v>
      </c>
      <c r="K39705" s="18"/>
    </row>
    <row r="39706">
      <c r="B39706" s="17" t="s">
        <v>477</v>
      </c>
      <c r="K39706" s="18"/>
    </row>
    <row r="39707">
      <c r="B39707" s="17" t="s">
        <v>477</v>
      </c>
      <c r="K39707" s="18"/>
    </row>
    <row r="39708">
      <c r="B39708" s="17" t="s">
        <v>477</v>
      </c>
      <c r="K39708" s="18"/>
    </row>
    <row r="39709">
      <c r="B39709" s="17" t="s">
        <v>477</v>
      </c>
      <c r="K39709" s="18"/>
    </row>
    <row r="39710">
      <c r="B39710" s="17" t="s">
        <v>477</v>
      </c>
      <c r="K39710" s="18"/>
    </row>
    <row r="39711">
      <c r="B39711" s="17" t="s">
        <v>477</v>
      </c>
      <c r="K39711" s="18"/>
    </row>
    <row r="39712">
      <c r="B39712" s="17" t="s">
        <v>477</v>
      </c>
      <c r="K39712" s="18"/>
    </row>
    <row r="39713">
      <c r="B39713" s="17" t="s">
        <v>477</v>
      </c>
      <c r="K39713" s="18"/>
    </row>
    <row r="39714">
      <c r="B39714" s="17" t="s">
        <v>477</v>
      </c>
      <c r="K39714" s="18"/>
    </row>
    <row r="39715">
      <c r="B39715" s="17" t="s">
        <v>477</v>
      </c>
      <c r="K39715" s="18"/>
    </row>
    <row r="39716">
      <c r="B39716" s="17" t="s">
        <v>477</v>
      </c>
      <c r="K39716" s="18"/>
    </row>
    <row r="39717">
      <c r="B39717" s="17" t="s">
        <v>477</v>
      </c>
      <c r="K39717" s="18"/>
    </row>
    <row r="39718">
      <c r="B39718" s="17" t="s">
        <v>477</v>
      </c>
      <c r="K39718" s="18"/>
    </row>
    <row r="39719">
      <c r="B39719" s="17" t="s">
        <v>477</v>
      </c>
      <c r="K39719" s="18"/>
    </row>
    <row r="39720">
      <c r="B39720" s="17" t="s">
        <v>477</v>
      </c>
      <c r="K39720" s="18"/>
    </row>
    <row r="39721">
      <c r="B39721" s="17" t="s">
        <v>477</v>
      </c>
      <c r="K39721" s="18"/>
    </row>
    <row r="39722">
      <c r="B39722" s="17" t="s">
        <v>477</v>
      </c>
      <c r="K39722" s="18"/>
    </row>
    <row r="39723">
      <c r="B39723" s="17" t="s">
        <v>477</v>
      </c>
      <c r="K39723" s="18"/>
    </row>
    <row r="39724">
      <c r="B39724" s="17" t="s">
        <v>477</v>
      </c>
      <c r="K39724" s="18"/>
    </row>
    <row r="39725">
      <c r="B39725" s="17" t="s">
        <v>477</v>
      </c>
      <c r="K39725" s="18"/>
    </row>
    <row r="39726">
      <c r="B39726" s="17" t="s">
        <v>477</v>
      </c>
      <c r="K39726" s="18"/>
    </row>
    <row r="39727">
      <c r="B39727" s="17" t="s">
        <v>477</v>
      </c>
      <c r="K39727" s="18"/>
    </row>
    <row r="39728">
      <c r="B39728" s="17" t="s">
        <v>477</v>
      </c>
      <c r="K39728" s="18"/>
    </row>
    <row r="39729">
      <c r="B39729" s="17" t="s">
        <v>477</v>
      </c>
      <c r="K39729" s="18"/>
    </row>
    <row r="39730">
      <c r="B39730" s="17" t="s">
        <v>477</v>
      </c>
      <c r="K39730" s="18"/>
    </row>
    <row r="39731">
      <c r="B39731" s="17" t="s">
        <v>477</v>
      </c>
      <c r="K39731" s="18"/>
    </row>
    <row r="39732">
      <c r="B39732" s="17" t="s">
        <v>477</v>
      </c>
      <c r="K39732" s="18"/>
    </row>
    <row r="39733">
      <c r="B39733" s="17" t="s">
        <v>477</v>
      </c>
      <c r="K39733" s="18"/>
    </row>
    <row r="39734">
      <c r="B39734" s="17" t="s">
        <v>477</v>
      </c>
      <c r="K39734" s="18"/>
    </row>
    <row r="39735">
      <c r="B39735" s="17" t="s">
        <v>477</v>
      </c>
      <c r="K39735" s="18"/>
    </row>
    <row r="39736">
      <c r="B39736" s="17" t="s">
        <v>477</v>
      </c>
      <c r="K39736" s="18"/>
    </row>
    <row r="39737">
      <c r="B39737" s="17" t="s">
        <v>477</v>
      </c>
      <c r="K39737" s="18"/>
    </row>
    <row r="39738">
      <c r="B39738" s="17" t="s">
        <v>477</v>
      </c>
      <c r="K39738" s="18"/>
    </row>
    <row r="39739">
      <c r="B39739" s="17" t="s">
        <v>477</v>
      </c>
      <c r="K39739" s="18"/>
    </row>
    <row r="39740">
      <c r="B39740" s="17" t="s">
        <v>477</v>
      </c>
      <c r="K39740" s="18"/>
    </row>
    <row r="39741">
      <c r="B39741" s="17" t="s">
        <v>477</v>
      </c>
      <c r="K39741" s="18"/>
    </row>
    <row r="39742">
      <c r="B39742" s="17" t="s">
        <v>477</v>
      </c>
      <c r="K39742" s="18"/>
    </row>
    <row r="39743">
      <c r="B39743" s="17" t="s">
        <v>477</v>
      </c>
      <c r="K39743" s="18"/>
    </row>
    <row r="39744">
      <c r="B39744" s="17" t="s">
        <v>477</v>
      </c>
      <c r="K39744" s="18"/>
    </row>
    <row r="39745">
      <c r="B39745" s="17" t="s">
        <v>477</v>
      </c>
      <c r="K39745" s="18"/>
    </row>
    <row r="39746">
      <c r="B39746" s="17" t="s">
        <v>477</v>
      </c>
      <c r="K39746" s="18"/>
    </row>
    <row r="39747">
      <c r="B39747" s="17" t="s">
        <v>477</v>
      </c>
      <c r="K39747" s="18"/>
    </row>
    <row r="39748">
      <c r="B39748" s="17" t="s">
        <v>477</v>
      </c>
      <c r="K39748" s="18"/>
    </row>
    <row r="39749">
      <c r="B39749" s="17" t="s">
        <v>477</v>
      </c>
      <c r="K39749" s="18"/>
    </row>
    <row r="39750">
      <c r="B39750" s="17" t="s">
        <v>477</v>
      </c>
      <c r="K39750" s="18"/>
    </row>
    <row r="39751">
      <c r="B39751" s="17" t="s">
        <v>477</v>
      </c>
      <c r="K39751" s="18"/>
    </row>
    <row r="39752">
      <c r="B39752" s="17" t="s">
        <v>477</v>
      </c>
      <c r="K39752" s="18"/>
    </row>
    <row r="39753">
      <c r="B39753" s="17" t="s">
        <v>477</v>
      </c>
      <c r="K39753" s="18"/>
    </row>
    <row r="39754">
      <c r="B39754" s="17" t="s">
        <v>477</v>
      </c>
      <c r="K39754" s="18"/>
    </row>
    <row r="39755">
      <c r="B39755" s="17" t="s">
        <v>477</v>
      </c>
      <c r="K39755" s="18"/>
    </row>
    <row r="39756">
      <c r="B39756" s="17" t="s">
        <v>477</v>
      </c>
      <c r="K39756" s="18"/>
    </row>
    <row r="39757">
      <c r="B39757" s="17" t="s">
        <v>477</v>
      </c>
      <c r="K39757" s="18"/>
    </row>
    <row r="39758">
      <c r="B39758" s="17" t="s">
        <v>477</v>
      </c>
      <c r="K39758" s="18"/>
    </row>
    <row r="39759">
      <c r="B39759" s="17" t="s">
        <v>477</v>
      </c>
      <c r="K39759" s="18"/>
    </row>
    <row r="39760">
      <c r="B39760" s="17" t="s">
        <v>477</v>
      </c>
      <c r="K39760" s="18"/>
    </row>
    <row r="39761">
      <c r="B39761" s="17" t="s">
        <v>477</v>
      </c>
      <c r="K39761" s="18"/>
    </row>
    <row r="39762">
      <c r="B39762" s="17" t="s">
        <v>477</v>
      </c>
      <c r="K39762" s="18"/>
    </row>
    <row r="39763">
      <c r="B39763" s="17" t="s">
        <v>477</v>
      </c>
      <c r="K39763" s="18"/>
    </row>
    <row r="39764">
      <c r="B39764" s="17" t="s">
        <v>477</v>
      </c>
      <c r="K39764" s="18"/>
    </row>
    <row r="39765">
      <c r="B39765" s="17" t="s">
        <v>477</v>
      </c>
      <c r="K39765" s="18"/>
    </row>
    <row r="39766">
      <c r="B39766" s="17" t="s">
        <v>477</v>
      </c>
      <c r="K39766" s="18"/>
    </row>
    <row r="39767">
      <c r="B39767" s="17" t="s">
        <v>477</v>
      </c>
      <c r="K39767" s="18"/>
    </row>
    <row r="39768">
      <c r="B39768" s="17" t="s">
        <v>477</v>
      </c>
      <c r="K39768" s="18"/>
    </row>
    <row r="39769">
      <c r="B39769" s="17" t="s">
        <v>477</v>
      </c>
      <c r="K39769" s="18"/>
    </row>
    <row r="39770">
      <c r="B39770" s="17" t="s">
        <v>477</v>
      </c>
      <c r="K39770" s="18"/>
    </row>
    <row r="39771">
      <c r="B39771" s="17" t="s">
        <v>477</v>
      </c>
      <c r="K39771" s="18"/>
    </row>
    <row r="39772">
      <c r="B39772" s="17" t="s">
        <v>477</v>
      </c>
      <c r="K39772" s="18"/>
    </row>
    <row r="39773">
      <c r="B39773" s="17" t="s">
        <v>477</v>
      </c>
      <c r="K39773" s="18"/>
    </row>
    <row r="39774">
      <c r="B39774" s="17" t="s">
        <v>477</v>
      </c>
      <c r="K39774" s="18"/>
    </row>
    <row r="39775">
      <c r="B39775" s="17" t="s">
        <v>477</v>
      </c>
      <c r="K39775" s="18"/>
    </row>
    <row r="39776">
      <c r="B39776" s="17" t="s">
        <v>477</v>
      </c>
      <c r="K39776" s="18"/>
    </row>
    <row r="39777">
      <c r="B39777" s="17" t="s">
        <v>477</v>
      </c>
      <c r="K39777" s="18"/>
    </row>
    <row r="39778">
      <c r="B39778" s="17" t="s">
        <v>477</v>
      </c>
      <c r="K39778" s="18"/>
    </row>
    <row r="39779">
      <c r="B39779" s="17" t="s">
        <v>477</v>
      </c>
      <c r="K39779" s="18"/>
    </row>
    <row r="39780">
      <c r="B39780" s="17" t="s">
        <v>477</v>
      </c>
      <c r="K39780" s="18"/>
    </row>
    <row r="39781">
      <c r="B39781" s="17" t="s">
        <v>477</v>
      </c>
      <c r="K39781" s="18"/>
    </row>
    <row r="39782">
      <c r="B39782" s="17" t="s">
        <v>477</v>
      </c>
      <c r="K39782" s="18"/>
    </row>
    <row r="39783">
      <c r="B39783" s="17" t="s">
        <v>477</v>
      </c>
      <c r="K39783" s="18"/>
    </row>
    <row r="39784">
      <c r="B39784" s="17" t="s">
        <v>477</v>
      </c>
      <c r="K39784" s="18"/>
    </row>
    <row r="39785">
      <c r="B39785" s="17" t="s">
        <v>477</v>
      </c>
      <c r="K39785" s="18"/>
    </row>
    <row r="39786">
      <c r="B39786" s="17" t="s">
        <v>477</v>
      </c>
      <c r="K39786" s="18"/>
    </row>
    <row r="39787">
      <c r="B39787" s="17" t="s">
        <v>477</v>
      </c>
      <c r="K39787" s="18"/>
    </row>
    <row r="39788">
      <c r="B39788" s="17" t="s">
        <v>477</v>
      </c>
      <c r="K39788" s="18"/>
    </row>
    <row r="39789">
      <c r="B39789" s="17" t="s">
        <v>477</v>
      </c>
      <c r="K39789" s="18"/>
    </row>
    <row r="39790">
      <c r="B39790" s="17" t="s">
        <v>477</v>
      </c>
      <c r="K39790" s="18"/>
    </row>
    <row r="39791">
      <c r="B39791" s="17" t="s">
        <v>477</v>
      </c>
      <c r="K39791" s="18"/>
    </row>
    <row r="39792">
      <c r="B39792" s="17" t="s">
        <v>477</v>
      </c>
      <c r="K39792" s="18"/>
    </row>
    <row r="39793">
      <c r="B39793" s="17" t="s">
        <v>477</v>
      </c>
      <c r="K39793" s="18"/>
    </row>
    <row r="39794">
      <c r="B39794" s="17" t="s">
        <v>477</v>
      </c>
      <c r="K39794" s="18"/>
    </row>
    <row r="39795">
      <c r="B39795" s="17" t="s">
        <v>477</v>
      </c>
      <c r="K39795" s="18"/>
    </row>
    <row r="39796">
      <c r="B39796" s="17" t="s">
        <v>477</v>
      </c>
      <c r="K39796" s="18"/>
    </row>
    <row r="39797">
      <c r="B39797" s="17" t="s">
        <v>477</v>
      </c>
      <c r="K39797" s="18"/>
    </row>
    <row r="39798">
      <c r="B39798" s="17" t="s">
        <v>477</v>
      </c>
      <c r="K39798" s="18"/>
    </row>
    <row r="39799">
      <c r="B39799" s="17" t="s">
        <v>477</v>
      </c>
      <c r="K39799" s="18"/>
    </row>
    <row r="39800">
      <c r="B39800" s="17" t="s">
        <v>477</v>
      </c>
      <c r="K39800" s="18"/>
    </row>
    <row r="39801">
      <c r="B39801" s="17" t="s">
        <v>477</v>
      </c>
      <c r="K39801" s="18"/>
    </row>
    <row r="39802">
      <c r="B39802" s="17" t="s">
        <v>477</v>
      </c>
      <c r="K39802" s="18"/>
    </row>
    <row r="39803">
      <c r="B39803" s="17" t="s">
        <v>477</v>
      </c>
      <c r="K39803" s="18"/>
    </row>
    <row r="39804">
      <c r="B39804" s="17" t="s">
        <v>477</v>
      </c>
      <c r="K39804" s="18"/>
    </row>
    <row r="39805">
      <c r="B39805" s="17" t="s">
        <v>477</v>
      </c>
      <c r="K39805" s="18"/>
    </row>
    <row r="39806">
      <c r="B39806" s="17" t="s">
        <v>477</v>
      </c>
      <c r="K39806" s="18"/>
    </row>
    <row r="39807">
      <c r="B39807" s="17" t="s">
        <v>477</v>
      </c>
      <c r="K39807" s="18"/>
    </row>
    <row r="39808">
      <c r="B39808" s="17" t="s">
        <v>477</v>
      </c>
      <c r="K39808" s="18"/>
    </row>
    <row r="39809">
      <c r="B39809" s="17" t="s">
        <v>477</v>
      </c>
      <c r="K39809" s="18"/>
    </row>
    <row r="39810">
      <c r="B39810" s="17" t="s">
        <v>477</v>
      </c>
      <c r="K39810" s="18"/>
    </row>
    <row r="39811">
      <c r="B39811" s="17" t="s">
        <v>477</v>
      </c>
      <c r="K39811" s="18"/>
    </row>
    <row r="39812">
      <c r="B39812" s="17" t="s">
        <v>477</v>
      </c>
      <c r="K39812" s="18"/>
    </row>
    <row r="39813">
      <c r="B39813" s="17" t="s">
        <v>477</v>
      </c>
      <c r="K39813" s="18"/>
    </row>
    <row r="39814">
      <c r="B39814" s="17" t="s">
        <v>477</v>
      </c>
      <c r="K39814" s="18"/>
    </row>
    <row r="39815">
      <c r="B39815" s="17" t="s">
        <v>477</v>
      </c>
      <c r="K39815" s="18"/>
    </row>
    <row r="39816">
      <c r="B39816" s="17" t="s">
        <v>477</v>
      </c>
      <c r="K39816" s="18"/>
    </row>
    <row r="39817">
      <c r="B39817" s="17" t="s">
        <v>477</v>
      </c>
      <c r="K39817" s="18"/>
    </row>
    <row r="39818">
      <c r="B39818" s="17" t="s">
        <v>477</v>
      </c>
      <c r="K39818" s="18"/>
    </row>
    <row r="39819">
      <c r="B39819" s="17" t="s">
        <v>477</v>
      </c>
      <c r="K39819" s="18"/>
    </row>
    <row r="39820">
      <c r="B39820" s="17" t="s">
        <v>477</v>
      </c>
      <c r="K39820" s="18"/>
    </row>
    <row r="39821">
      <c r="B39821" s="17" t="s">
        <v>477</v>
      </c>
      <c r="K39821" s="18"/>
    </row>
    <row r="39822">
      <c r="B39822" s="17" t="s">
        <v>477</v>
      </c>
      <c r="K39822" s="18"/>
    </row>
    <row r="39823">
      <c r="B39823" s="17" t="s">
        <v>477</v>
      </c>
      <c r="K39823" s="18"/>
    </row>
    <row r="39824">
      <c r="B39824" s="17" t="s">
        <v>477</v>
      </c>
      <c r="K39824" s="18"/>
    </row>
    <row r="39825">
      <c r="B39825" s="17" t="s">
        <v>477</v>
      </c>
      <c r="K39825" s="18"/>
    </row>
    <row r="39826">
      <c r="B39826" s="17" t="s">
        <v>477</v>
      </c>
      <c r="K39826" s="18"/>
    </row>
    <row r="39827">
      <c r="B39827" s="17" t="s">
        <v>477</v>
      </c>
      <c r="K39827" s="18"/>
    </row>
    <row r="39828">
      <c r="B39828" s="17" t="s">
        <v>477</v>
      </c>
      <c r="K39828" s="18"/>
    </row>
    <row r="39829">
      <c r="B39829" s="17" t="s">
        <v>477</v>
      </c>
      <c r="K39829" s="18"/>
    </row>
    <row r="39830">
      <c r="B39830" s="17" t="s">
        <v>477</v>
      </c>
      <c r="K39830" s="18"/>
    </row>
    <row r="39831">
      <c r="B39831" s="17" t="s">
        <v>477</v>
      </c>
      <c r="K39831" s="18"/>
    </row>
    <row r="39832">
      <c r="B39832" s="17" t="s">
        <v>477</v>
      </c>
      <c r="K39832" s="18"/>
    </row>
    <row r="39833">
      <c r="B39833" s="17" t="s">
        <v>477</v>
      </c>
      <c r="K39833" s="18"/>
    </row>
    <row r="39834">
      <c r="B39834" s="17" t="s">
        <v>477</v>
      </c>
      <c r="K39834" s="18"/>
    </row>
    <row r="39835">
      <c r="B39835" s="17" t="s">
        <v>477</v>
      </c>
      <c r="K39835" s="18"/>
    </row>
    <row r="39836">
      <c r="B39836" s="17" t="s">
        <v>477</v>
      </c>
      <c r="K39836" s="18"/>
    </row>
    <row r="39837">
      <c r="B39837" s="17" t="s">
        <v>477</v>
      </c>
      <c r="K39837" s="18"/>
    </row>
    <row r="39838">
      <c r="B39838" s="17" t="s">
        <v>477</v>
      </c>
      <c r="K39838" s="18"/>
    </row>
    <row r="39839">
      <c r="B39839" s="17" t="s">
        <v>477</v>
      </c>
      <c r="K39839" s="18"/>
    </row>
    <row r="39840">
      <c r="B39840" s="17" t="s">
        <v>477</v>
      </c>
      <c r="K39840" s="18"/>
    </row>
    <row r="39841">
      <c r="B39841" s="17" t="s">
        <v>477</v>
      </c>
      <c r="K39841" s="18"/>
    </row>
    <row r="39842">
      <c r="B39842" s="17" t="s">
        <v>477</v>
      </c>
      <c r="K39842" s="18"/>
    </row>
    <row r="39843">
      <c r="B39843" s="17" t="s">
        <v>477</v>
      </c>
      <c r="K39843" s="18"/>
    </row>
    <row r="39844">
      <c r="B39844" s="17" t="s">
        <v>477</v>
      </c>
      <c r="K39844" s="18"/>
    </row>
    <row r="39845">
      <c r="B39845" s="17" t="s">
        <v>477</v>
      </c>
      <c r="K39845" s="18"/>
    </row>
    <row r="39846">
      <c r="B39846" s="17" t="s">
        <v>477</v>
      </c>
      <c r="K39846" s="18"/>
    </row>
    <row r="39847">
      <c r="B39847" s="17" t="s">
        <v>477</v>
      </c>
      <c r="K39847" s="18"/>
    </row>
    <row r="39848">
      <c r="B39848" s="17" t="s">
        <v>477</v>
      </c>
      <c r="K39848" s="18"/>
    </row>
    <row r="39849">
      <c r="B39849" s="17" t="s">
        <v>477</v>
      </c>
      <c r="K39849" s="18"/>
    </row>
    <row r="39850">
      <c r="B39850" s="17" t="s">
        <v>477</v>
      </c>
      <c r="K39850" s="18"/>
    </row>
    <row r="39851">
      <c r="B39851" s="17" t="s">
        <v>477</v>
      </c>
      <c r="K39851" s="18"/>
    </row>
    <row r="39852">
      <c r="B39852" s="17" t="s">
        <v>477</v>
      </c>
      <c r="K39852" s="18"/>
    </row>
    <row r="39853">
      <c r="B39853" s="17" t="s">
        <v>477</v>
      </c>
      <c r="K39853" s="18"/>
    </row>
    <row r="39854">
      <c r="B39854" s="17" t="s">
        <v>477</v>
      </c>
      <c r="K39854" s="18"/>
    </row>
    <row r="39855">
      <c r="B39855" s="17" t="s">
        <v>477</v>
      </c>
      <c r="K39855" s="18"/>
    </row>
    <row r="39856">
      <c r="B39856" s="17" t="s">
        <v>477</v>
      </c>
      <c r="K39856" s="18"/>
    </row>
    <row r="39857">
      <c r="B39857" s="17" t="s">
        <v>477</v>
      </c>
      <c r="K39857" s="18"/>
    </row>
    <row r="39858">
      <c r="B39858" s="17" t="s">
        <v>477</v>
      </c>
      <c r="K39858" s="18"/>
    </row>
    <row r="39859">
      <c r="B39859" s="17" t="s">
        <v>477</v>
      </c>
      <c r="K39859" s="18"/>
    </row>
    <row r="39860">
      <c r="B39860" s="17" t="s">
        <v>477</v>
      </c>
      <c r="K39860" s="18"/>
    </row>
    <row r="39861">
      <c r="B39861" s="17" t="s">
        <v>477</v>
      </c>
      <c r="K39861" s="18"/>
    </row>
    <row r="39862">
      <c r="B39862" s="17" t="s">
        <v>477</v>
      </c>
      <c r="K39862" s="18"/>
    </row>
    <row r="39863">
      <c r="B39863" s="17" t="s">
        <v>477</v>
      </c>
      <c r="K39863" s="18"/>
    </row>
    <row r="39864">
      <c r="B39864" s="17" t="s">
        <v>477</v>
      </c>
      <c r="K39864" s="18"/>
    </row>
    <row r="39865">
      <c r="B39865" s="17" t="s">
        <v>477</v>
      </c>
      <c r="K39865" s="18"/>
    </row>
    <row r="39866">
      <c r="B39866" s="17" t="s">
        <v>477</v>
      </c>
      <c r="K39866" s="18"/>
    </row>
    <row r="39867">
      <c r="B39867" s="17" t="s">
        <v>477</v>
      </c>
      <c r="K39867" s="18"/>
    </row>
    <row r="39868">
      <c r="B39868" s="17" t="s">
        <v>477</v>
      </c>
      <c r="K39868" s="18"/>
    </row>
    <row r="39869">
      <c r="B39869" s="17" t="s">
        <v>477</v>
      </c>
      <c r="K39869" s="18"/>
    </row>
    <row r="39870">
      <c r="B39870" s="17" t="s">
        <v>477</v>
      </c>
      <c r="K39870" s="18"/>
    </row>
    <row r="39871">
      <c r="B39871" s="17" t="s">
        <v>477</v>
      </c>
      <c r="K39871" s="18"/>
    </row>
    <row r="39872">
      <c r="B39872" s="17" t="s">
        <v>477</v>
      </c>
      <c r="K39872" s="18"/>
    </row>
    <row r="39873">
      <c r="B39873" s="17" t="s">
        <v>477</v>
      </c>
      <c r="K39873" s="18"/>
    </row>
    <row r="39874">
      <c r="B39874" s="17" t="s">
        <v>477</v>
      </c>
      <c r="K39874" s="18"/>
    </row>
    <row r="39875">
      <c r="B39875" s="17" t="s">
        <v>477</v>
      </c>
      <c r="K39875" s="18"/>
    </row>
    <row r="39876">
      <c r="B39876" s="17" t="s">
        <v>477</v>
      </c>
      <c r="K39876" s="18"/>
    </row>
    <row r="39877">
      <c r="B39877" s="17" t="s">
        <v>477</v>
      </c>
      <c r="K39877" s="18"/>
    </row>
    <row r="39878">
      <c r="B39878" s="17" t="s">
        <v>477</v>
      </c>
      <c r="K39878" s="18"/>
    </row>
    <row r="39879">
      <c r="B39879" s="17" t="s">
        <v>477</v>
      </c>
      <c r="K39879" s="18"/>
    </row>
    <row r="39880">
      <c r="B39880" s="17" t="s">
        <v>477</v>
      </c>
      <c r="K39880" s="18"/>
    </row>
    <row r="39881">
      <c r="B39881" s="17" t="s">
        <v>477</v>
      </c>
      <c r="K39881" s="18"/>
    </row>
    <row r="39882">
      <c r="B39882" s="17" t="s">
        <v>477</v>
      </c>
      <c r="K39882" s="18"/>
    </row>
    <row r="39883">
      <c r="B39883" s="17" t="s">
        <v>477</v>
      </c>
      <c r="K39883" s="18"/>
    </row>
    <row r="39884">
      <c r="B39884" s="17" t="s">
        <v>477</v>
      </c>
      <c r="K39884" s="18"/>
    </row>
    <row r="39885">
      <c r="B39885" s="17" t="s">
        <v>477</v>
      </c>
      <c r="K39885" s="18"/>
    </row>
    <row r="39886">
      <c r="B39886" s="17" t="s">
        <v>477</v>
      </c>
      <c r="K39886" s="18"/>
    </row>
    <row r="39887">
      <c r="B39887" s="17" t="s">
        <v>477</v>
      </c>
      <c r="K39887" s="18"/>
    </row>
    <row r="39888">
      <c r="B39888" s="17" t="s">
        <v>477</v>
      </c>
      <c r="K39888" s="18"/>
    </row>
    <row r="39889">
      <c r="B39889" s="17" t="s">
        <v>477</v>
      </c>
      <c r="K39889" s="18"/>
    </row>
    <row r="39890">
      <c r="B39890" s="17" t="s">
        <v>477</v>
      </c>
      <c r="K39890" s="18"/>
    </row>
    <row r="39891">
      <c r="B39891" s="17" t="s">
        <v>477</v>
      </c>
      <c r="K39891" s="18"/>
    </row>
    <row r="39892">
      <c r="B39892" s="17" t="s">
        <v>477</v>
      </c>
      <c r="K39892" s="18"/>
    </row>
    <row r="39893">
      <c r="B39893" s="17" t="s">
        <v>477</v>
      </c>
      <c r="K39893" s="18"/>
    </row>
    <row r="39894">
      <c r="B39894" s="17" t="s">
        <v>477</v>
      </c>
      <c r="K39894" s="18"/>
    </row>
    <row r="39895">
      <c r="B39895" s="17" t="s">
        <v>477</v>
      </c>
      <c r="K39895" s="18"/>
    </row>
    <row r="39896">
      <c r="B39896" s="17" t="s">
        <v>477</v>
      </c>
      <c r="K39896" s="18"/>
    </row>
    <row r="39897">
      <c r="B39897" s="17" t="s">
        <v>477</v>
      </c>
      <c r="K39897" s="18"/>
    </row>
    <row r="39898">
      <c r="B39898" s="17" t="s">
        <v>477</v>
      </c>
      <c r="K39898" s="18"/>
    </row>
    <row r="39899">
      <c r="B39899" s="17" t="s">
        <v>477</v>
      </c>
      <c r="K39899" s="18"/>
    </row>
    <row r="39900">
      <c r="B39900" s="17" t="s">
        <v>477</v>
      </c>
      <c r="K39900" s="18"/>
    </row>
    <row r="39901">
      <c r="B39901" s="17" t="s">
        <v>477</v>
      </c>
      <c r="K39901" s="18"/>
    </row>
    <row r="39902">
      <c r="B39902" s="17" t="s">
        <v>477</v>
      </c>
      <c r="K39902" s="18"/>
    </row>
    <row r="39903">
      <c r="B39903" s="17" t="s">
        <v>477</v>
      </c>
      <c r="K39903" s="18"/>
    </row>
    <row r="39904">
      <c r="B39904" s="17" t="s">
        <v>477</v>
      </c>
      <c r="K39904" s="18"/>
    </row>
    <row r="39905">
      <c r="B39905" s="17" t="s">
        <v>477</v>
      </c>
      <c r="K39905" s="18"/>
    </row>
    <row r="39906">
      <c r="B39906" s="17" t="s">
        <v>477</v>
      </c>
      <c r="K39906" s="18"/>
    </row>
    <row r="39907">
      <c r="B39907" s="17" t="s">
        <v>477</v>
      </c>
      <c r="K39907" s="18"/>
    </row>
    <row r="39908">
      <c r="B39908" s="17" t="s">
        <v>477</v>
      </c>
      <c r="K39908" s="18"/>
    </row>
    <row r="39909">
      <c r="B39909" s="17" t="s">
        <v>477</v>
      </c>
      <c r="K39909" s="18"/>
    </row>
    <row r="39910">
      <c r="B39910" s="17" t="s">
        <v>477</v>
      </c>
      <c r="K39910" s="18"/>
    </row>
    <row r="39911">
      <c r="B39911" s="17" t="s">
        <v>477</v>
      </c>
      <c r="K39911" s="18"/>
    </row>
    <row r="39912">
      <c r="B39912" s="17" t="s">
        <v>477</v>
      </c>
      <c r="K39912" s="18"/>
    </row>
    <row r="39913">
      <c r="B39913" s="17" t="s">
        <v>477</v>
      </c>
      <c r="K39913" s="18"/>
    </row>
    <row r="39914">
      <c r="B39914" s="17" t="s">
        <v>477</v>
      </c>
      <c r="K39914" s="18"/>
    </row>
    <row r="39915">
      <c r="B39915" s="17" t="s">
        <v>477</v>
      </c>
      <c r="K39915" s="18"/>
    </row>
    <row r="39916">
      <c r="B39916" s="17" t="s">
        <v>477</v>
      </c>
      <c r="K39916" s="18"/>
    </row>
    <row r="39917">
      <c r="B39917" s="17" t="s">
        <v>477</v>
      </c>
      <c r="K39917" s="18"/>
    </row>
    <row r="39918">
      <c r="B39918" s="17" t="s">
        <v>477</v>
      </c>
      <c r="K39918" s="18"/>
    </row>
    <row r="39919">
      <c r="B39919" s="17" t="s">
        <v>477</v>
      </c>
      <c r="K39919" s="18"/>
    </row>
    <row r="39920">
      <c r="B39920" s="17" t="s">
        <v>477</v>
      </c>
      <c r="K39920" s="18"/>
    </row>
    <row r="39921">
      <c r="B39921" s="17" t="s">
        <v>477</v>
      </c>
      <c r="K39921" s="18"/>
    </row>
    <row r="39922">
      <c r="B39922" s="17" t="s">
        <v>477</v>
      </c>
      <c r="K39922" s="18"/>
    </row>
    <row r="39923">
      <c r="B39923" s="17" t="s">
        <v>477</v>
      </c>
      <c r="K39923" s="18"/>
    </row>
    <row r="39924">
      <c r="B39924" s="17" t="s">
        <v>477</v>
      </c>
      <c r="K39924" s="18"/>
    </row>
    <row r="39925">
      <c r="B39925" s="17" t="s">
        <v>477</v>
      </c>
      <c r="K39925" s="18"/>
    </row>
    <row r="39926">
      <c r="B39926" s="17" t="s">
        <v>477</v>
      </c>
      <c r="K39926" s="18"/>
    </row>
    <row r="39927">
      <c r="B39927" s="17" t="s">
        <v>477</v>
      </c>
      <c r="K39927" s="18"/>
    </row>
    <row r="39928">
      <c r="B39928" s="17" t="s">
        <v>477</v>
      </c>
      <c r="K39928" s="18"/>
    </row>
    <row r="39929">
      <c r="B39929" s="17" t="s">
        <v>477</v>
      </c>
      <c r="K39929" s="18"/>
    </row>
    <row r="39930">
      <c r="B39930" s="17" t="s">
        <v>477</v>
      </c>
      <c r="K39930" s="18"/>
    </row>
    <row r="39931">
      <c r="B39931" s="17" t="s">
        <v>477</v>
      </c>
      <c r="K39931" s="18"/>
    </row>
    <row r="39932">
      <c r="B39932" s="17" t="s">
        <v>477</v>
      </c>
      <c r="K39932" s="18"/>
    </row>
    <row r="39933">
      <c r="B39933" s="17" t="s">
        <v>477</v>
      </c>
      <c r="K39933" s="18"/>
    </row>
    <row r="39934">
      <c r="B39934" s="17" t="s">
        <v>477</v>
      </c>
      <c r="K39934" s="18"/>
    </row>
    <row r="39935">
      <c r="B39935" s="17" t="s">
        <v>477</v>
      </c>
      <c r="K39935" s="18"/>
    </row>
    <row r="39936">
      <c r="B39936" s="17" t="s">
        <v>477</v>
      </c>
      <c r="K39936" s="18"/>
    </row>
    <row r="39937">
      <c r="B39937" s="17" t="s">
        <v>477</v>
      </c>
      <c r="K39937" s="18"/>
    </row>
    <row r="39938">
      <c r="B39938" s="17" t="s">
        <v>477</v>
      </c>
      <c r="K39938" s="18"/>
    </row>
    <row r="39939">
      <c r="B39939" s="17" t="s">
        <v>477</v>
      </c>
      <c r="K39939" s="18"/>
    </row>
    <row r="39940">
      <c r="B39940" s="17" t="s">
        <v>477</v>
      </c>
      <c r="K39940" s="18"/>
    </row>
    <row r="39941">
      <c r="B39941" s="17" t="s">
        <v>477</v>
      </c>
      <c r="K39941" s="18"/>
    </row>
    <row r="39942">
      <c r="B39942" s="17" t="s">
        <v>477</v>
      </c>
      <c r="K39942" s="18"/>
    </row>
    <row r="39943">
      <c r="B39943" s="17" t="s">
        <v>477</v>
      </c>
      <c r="K39943" s="18"/>
    </row>
    <row r="39944">
      <c r="B39944" s="17" t="s">
        <v>477</v>
      </c>
      <c r="K39944" s="18"/>
    </row>
    <row r="39945">
      <c r="B39945" s="17" t="s">
        <v>477</v>
      </c>
      <c r="K39945" s="18"/>
    </row>
    <row r="39946">
      <c r="B39946" s="17" t="s">
        <v>477</v>
      </c>
      <c r="K39946" s="18"/>
    </row>
    <row r="39947">
      <c r="B39947" s="17" t="s">
        <v>477</v>
      </c>
      <c r="K39947" s="18"/>
    </row>
    <row r="39948">
      <c r="B39948" s="17" t="s">
        <v>477</v>
      </c>
      <c r="K39948" s="18"/>
    </row>
    <row r="39949">
      <c r="B39949" s="17" t="s">
        <v>477</v>
      </c>
      <c r="K39949" s="18"/>
    </row>
    <row r="39950">
      <c r="B39950" s="17" t="s">
        <v>477</v>
      </c>
      <c r="K39950" s="18"/>
    </row>
    <row r="39951">
      <c r="B39951" s="17" t="s">
        <v>477</v>
      </c>
      <c r="K39951" s="18"/>
    </row>
    <row r="39952">
      <c r="B39952" s="17" t="s">
        <v>477</v>
      </c>
      <c r="K39952" s="18"/>
    </row>
    <row r="39953">
      <c r="B39953" s="17" t="s">
        <v>477</v>
      </c>
      <c r="K39953" s="18"/>
    </row>
    <row r="39954">
      <c r="B39954" s="17" t="s">
        <v>477</v>
      </c>
      <c r="K39954" s="18"/>
    </row>
    <row r="39955">
      <c r="B39955" s="17" t="s">
        <v>477</v>
      </c>
      <c r="K39955" s="18"/>
    </row>
    <row r="39956">
      <c r="B39956" s="17" t="s">
        <v>477</v>
      </c>
      <c r="K39956" s="18"/>
    </row>
    <row r="39957">
      <c r="B39957" s="17" t="s">
        <v>477</v>
      </c>
      <c r="K39957" s="18"/>
    </row>
    <row r="39958">
      <c r="B39958" s="17" t="s">
        <v>477</v>
      </c>
      <c r="K39958" s="18"/>
    </row>
    <row r="39959">
      <c r="B39959" s="17" t="s">
        <v>477</v>
      </c>
      <c r="K39959" s="18"/>
    </row>
    <row r="39960">
      <c r="B39960" s="17" t="s">
        <v>477</v>
      </c>
      <c r="K39960" s="18"/>
    </row>
    <row r="39961">
      <c r="B39961" s="17" t="s">
        <v>477</v>
      </c>
      <c r="K39961" s="18"/>
    </row>
    <row r="39962">
      <c r="B39962" s="17" t="s">
        <v>477</v>
      </c>
      <c r="K39962" s="18"/>
    </row>
    <row r="39963">
      <c r="B39963" s="17" t="s">
        <v>477</v>
      </c>
      <c r="K39963" s="18"/>
    </row>
    <row r="39964">
      <c r="B39964" s="17" t="s">
        <v>477</v>
      </c>
      <c r="K39964" s="18"/>
    </row>
    <row r="39965">
      <c r="B39965" s="17" t="s">
        <v>477</v>
      </c>
      <c r="K39965" s="18"/>
    </row>
    <row r="39966">
      <c r="B39966" s="17" t="s">
        <v>477</v>
      </c>
      <c r="K39966" s="18"/>
    </row>
    <row r="39967">
      <c r="B39967" s="17" t="s">
        <v>477</v>
      </c>
      <c r="K39967" s="18"/>
    </row>
    <row r="39968">
      <c r="B39968" s="17" t="s">
        <v>477</v>
      </c>
      <c r="K39968" s="18"/>
    </row>
    <row r="39969">
      <c r="B39969" s="17" t="s">
        <v>477</v>
      </c>
      <c r="K39969" s="18"/>
    </row>
    <row r="39970">
      <c r="B39970" s="17" t="s">
        <v>477</v>
      </c>
      <c r="K39970" s="18"/>
    </row>
    <row r="39971">
      <c r="B39971" s="17" t="s">
        <v>477</v>
      </c>
      <c r="K39971" s="18"/>
    </row>
    <row r="39972">
      <c r="B39972" s="17" t="s">
        <v>477</v>
      </c>
      <c r="K39972" s="18"/>
    </row>
    <row r="39973">
      <c r="B39973" s="17" t="s">
        <v>477</v>
      </c>
      <c r="K39973" s="18"/>
    </row>
    <row r="39974">
      <c r="B39974" s="17" t="s">
        <v>477</v>
      </c>
      <c r="K39974" s="18"/>
    </row>
    <row r="39975">
      <c r="B39975" s="17" t="s">
        <v>477</v>
      </c>
      <c r="K39975" s="18"/>
    </row>
    <row r="39976">
      <c r="B39976" s="17" t="s">
        <v>477</v>
      </c>
      <c r="K39976" s="18"/>
    </row>
    <row r="39977">
      <c r="B39977" s="17" t="s">
        <v>477</v>
      </c>
      <c r="K39977" s="18"/>
    </row>
    <row r="39978">
      <c r="B39978" s="17" t="s">
        <v>477</v>
      </c>
      <c r="K39978" s="18"/>
    </row>
    <row r="39979">
      <c r="B39979" s="17" t="s">
        <v>477</v>
      </c>
      <c r="K39979" s="18"/>
    </row>
    <row r="39980">
      <c r="B39980" s="17" t="s">
        <v>477</v>
      </c>
      <c r="K39980" s="18"/>
    </row>
    <row r="39981">
      <c r="B39981" s="17" t="s">
        <v>477</v>
      </c>
      <c r="K39981" s="18"/>
    </row>
    <row r="39982">
      <c r="B39982" s="17" t="s">
        <v>477</v>
      </c>
      <c r="K39982" s="18"/>
    </row>
    <row r="39983">
      <c r="B39983" s="17" t="s">
        <v>477</v>
      </c>
      <c r="K39983" s="18"/>
    </row>
    <row r="39984">
      <c r="B39984" s="17" t="s">
        <v>477</v>
      </c>
      <c r="K39984" s="18"/>
    </row>
    <row r="39985">
      <c r="B39985" s="17" t="s">
        <v>477</v>
      </c>
      <c r="K39985" s="18"/>
    </row>
    <row r="39986">
      <c r="B39986" s="17" t="s">
        <v>477</v>
      </c>
      <c r="K39986" s="18"/>
    </row>
    <row r="39987">
      <c r="B39987" s="17" t="s">
        <v>477</v>
      </c>
      <c r="K39987" s="18"/>
    </row>
    <row r="39988">
      <c r="B39988" s="17" t="s">
        <v>477</v>
      </c>
      <c r="K39988" s="18"/>
    </row>
    <row r="39989">
      <c r="B39989" s="17" t="s">
        <v>477</v>
      </c>
      <c r="K39989" s="18"/>
    </row>
    <row r="39990">
      <c r="B39990" s="17" t="s">
        <v>477</v>
      </c>
      <c r="K39990" s="18"/>
    </row>
    <row r="39991">
      <c r="B39991" s="17" t="s">
        <v>477</v>
      </c>
      <c r="K39991" s="18"/>
    </row>
    <row r="39992">
      <c r="B39992" s="17" t="s">
        <v>477</v>
      </c>
      <c r="K39992" s="18"/>
    </row>
    <row r="39993">
      <c r="B39993" s="17" t="s">
        <v>477</v>
      </c>
      <c r="K39993" s="18"/>
    </row>
    <row r="39994">
      <c r="B39994" s="17" t="s">
        <v>477</v>
      </c>
      <c r="K39994" s="18"/>
    </row>
    <row r="39995">
      <c r="B39995" s="17" t="s">
        <v>477</v>
      </c>
      <c r="K39995" s="18"/>
    </row>
    <row r="39996">
      <c r="B39996" s="17" t="s">
        <v>477</v>
      </c>
      <c r="K39996" s="18"/>
    </row>
    <row r="39997">
      <c r="B39997" s="17" t="s">
        <v>477</v>
      </c>
      <c r="K39997" s="18"/>
    </row>
    <row r="39998">
      <c r="B39998" s="17" t="s">
        <v>477</v>
      </c>
      <c r="K39998" s="18"/>
    </row>
    <row r="39999">
      <c r="B39999" s="17" t="s">
        <v>477</v>
      </c>
      <c r="K39999" s="18"/>
    </row>
    <row r="40000">
      <c r="B40000" s="17" t="s">
        <v>477</v>
      </c>
      <c r="K40000" s="18"/>
    </row>
    <row r="40001">
      <c r="B40001" s="17" t="s">
        <v>477</v>
      </c>
      <c r="K40001" s="18"/>
    </row>
    <row r="40002">
      <c r="B40002" s="17" t="s">
        <v>477</v>
      </c>
      <c r="K40002" s="18"/>
    </row>
    <row r="40003">
      <c r="B40003" s="17" t="s">
        <v>477</v>
      </c>
      <c r="K40003" s="18"/>
    </row>
    <row r="40004">
      <c r="B40004" s="17" t="s">
        <v>477</v>
      </c>
      <c r="K40004" s="18"/>
    </row>
    <row r="40005">
      <c r="B40005" s="17" t="s">
        <v>477</v>
      </c>
      <c r="K40005" s="18"/>
    </row>
    <row r="40006">
      <c r="B40006" s="17" t="s">
        <v>477</v>
      </c>
      <c r="K40006" s="18"/>
    </row>
    <row r="40007">
      <c r="B40007" s="17" t="s">
        <v>477</v>
      </c>
      <c r="K40007" s="18"/>
    </row>
    <row r="40008">
      <c r="B40008" s="17" t="s">
        <v>477</v>
      </c>
      <c r="K40008" s="18"/>
    </row>
    <row r="40009">
      <c r="B40009" s="17" t="s">
        <v>477</v>
      </c>
      <c r="K40009" s="18"/>
    </row>
    <row r="40010">
      <c r="B40010" s="17" t="s">
        <v>477</v>
      </c>
      <c r="K40010" s="18"/>
    </row>
    <row r="40011">
      <c r="B40011" s="17" t="s">
        <v>477</v>
      </c>
      <c r="K40011" s="18"/>
    </row>
    <row r="40012">
      <c r="B40012" s="17" t="s">
        <v>477</v>
      </c>
      <c r="K40012" s="18"/>
    </row>
    <row r="40013">
      <c r="B40013" s="17" t="s">
        <v>477</v>
      </c>
      <c r="K40013" s="18"/>
    </row>
    <row r="40014">
      <c r="B40014" s="17" t="s">
        <v>477</v>
      </c>
      <c r="K40014" s="18"/>
    </row>
    <row r="40015">
      <c r="B40015" s="17" t="s">
        <v>477</v>
      </c>
      <c r="K40015" s="18"/>
    </row>
    <row r="40016">
      <c r="B40016" s="17" t="s">
        <v>477</v>
      </c>
      <c r="K40016" s="18"/>
    </row>
    <row r="40017">
      <c r="B40017" s="17" t="s">
        <v>477</v>
      </c>
      <c r="K40017" s="18"/>
    </row>
    <row r="40018">
      <c r="B40018" s="17" t="s">
        <v>477</v>
      </c>
      <c r="K40018" s="18"/>
    </row>
    <row r="40019">
      <c r="B40019" s="17" t="s">
        <v>477</v>
      </c>
      <c r="K40019" s="18"/>
    </row>
    <row r="40020">
      <c r="B40020" s="17" t="s">
        <v>477</v>
      </c>
      <c r="K40020" s="18"/>
    </row>
    <row r="40021">
      <c r="B40021" s="17" t="s">
        <v>477</v>
      </c>
      <c r="K40021" s="18"/>
    </row>
    <row r="40022">
      <c r="B40022" s="17" t="s">
        <v>477</v>
      </c>
      <c r="K40022" s="18"/>
    </row>
    <row r="40023">
      <c r="B40023" s="17" t="s">
        <v>477</v>
      </c>
      <c r="K40023" s="18"/>
    </row>
    <row r="40024">
      <c r="B40024" s="17" t="s">
        <v>477</v>
      </c>
      <c r="K40024" s="18"/>
    </row>
    <row r="40025">
      <c r="B40025" s="17" t="s">
        <v>477</v>
      </c>
      <c r="K40025" s="18"/>
    </row>
    <row r="40026">
      <c r="B40026" s="17" t="s">
        <v>477</v>
      </c>
      <c r="K40026" s="18"/>
    </row>
    <row r="40027">
      <c r="B40027" s="17" t="s">
        <v>477</v>
      </c>
      <c r="K40027" s="18"/>
    </row>
    <row r="40028">
      <c r="B40028" s="17" t="s">
        <v>477</v>
      </c>
      <c r="K40028" s="18"/>
    </row>
    <row r="40029">
      <c r="B40029" s="17" t="s">
        <v>477</v>
      </c>
      <c r="K40029" s="18"/>
    </row>
    <row r="40030">
      <c r="B40030" s="17" t="s">
        <v>477</v>
      </c>
      <c r="K40030" s="18"/>
    </row>
    <row r="40031">
      <c r="B40031" s="17" t="s">
        <v>477</v>
      </c>
      <c r="K40031" s="18"/>
    </row>
    <row r="40032">
      <c r="B40032" s="17" t="s">
        <v>477</v>
      </c>
      <c r="K40032" s="18"/>
    </row>
    <row r="40033">
      <c r="B40033" s="17" t="s">
        <v>477</v>
      </c>
      <c r="K40033" s="18"/>
    </row>
    <row r="40034">
      <c r="B40034" s="17" t="s">
        <v>477</v>
      </c>
      <c r="K40034" s="18"/>
    </row>
    <row r="40035">
      <c r="B40035" s="17" t="s">
        <v>477</v>
      </c>
      <c r="K40035" s="18"/>
    </row>
    <row r="40036">
      <c r="B40036" s="17" t="s">
        <v>477</v>
      </c>
      <c r="K40036" s="18"/>
    </row>
    <row r="40037">
      <c r="B40037" s="17" t="s">
        <v>477</v>
      </c>
      <c r="K40037" s="18"/>
    </row>
    <row r="40038">
      <c r="B40038" s="17" t="s">
        <v>477</v>
      </c>
      <c r="K40038" s="18"/>
    </row>
    <row r="40039">
      <c r="B40039" s="17" t="s">
        <v>477</v>
      </c>
      <c r="K40039" s="18"/>
    </row>
    <row r="40040">
      <c r="B40040" s="17" t="s">
        <v>477</v>
      </c>
      <c r="K40040" s="18"/>
    </row>
    <row r="40041">
      <c r="B40041" s="17" t="s">
        <v>477</v>
      </c>
      <c r="K40041" s="18"/>
    </row>
    <row r="40042">
      <c r="B40042" s="17" t="s">
        <v>477</v>
      </c>
      <c r="K40042" s="18"/>
    </row>
    <row r="40043">
      <c r="B40043" s="17" t="s">
        <v>477</v>
      </c>
      <c r="K40043" s="18"/>
    </row>
    <row r="40044">
      <c r="B40044" s="17" t="s">
        <v>477</v>
      </c>
      <c r="K40044" s="18"/>
    </row>
    <row r="40045">
      <c r="B40045" s="17" t="s">
        <v>477</v>
      </c>
      <c r="K40045" s="18"/>
    </row>
    <row r="40046">
      <c r="B40046" s="17" t="s">
        <v>477</v>
      </c>
      <c r="K40046" s="18"/>
    </row>
    <row r="40047">
      <c r="B40047" s="17" t="s">
        <v>477</v>
      </c>
      <c r="K40047" s="18"/>
    </row>
    <row r="40048">
      <c r="B40048" s="17" t="s">
        <v>477</v>
      </c>
      <c r="K40048" s="18"/>
    </row>
    <row r="40049">
      <c r="B40049" s="17" t="s">
        <v>477</v>
      </c>
      <c r="K40049" s="18"/>
    </row>
    <row r="40050">
      <c r="B40050" s="17" t="s">
        <v>477</v>
      </c>
      <c r="K40050" s="18"/>
    </row>
    <row r="40051">
      <c r="B40051" s="17" t="s">
        <v>477</v>
      </c>
      <c r="K40051" s="18"/>
    </row>
    <row r="40052">
      <c r="B40052" s="17" t="s">
        <v>477</v>
      </c>
      <c r="K40052" s="18"/>
    </row>
    <row r="40053">
      <c r="B40053" s="17" t="s">
        <v>477</v>
      </c>
      <c r="K40053" s="18"/>
    </row>
    <row r="40054">
      <c r="B40054" s="17" t="s">
        <v>477</v>
      </c>
      <c r="K40054" s="18"/>
    </row>
    <row r="40055">
      <c r="B40055" s="17" t="s">
        <v>477</v>
      </c>
      <c r="K40055" s="18"/>
    </row>
    <row r="40056">
      <c r="B40056" s="17" t="s">
        <v>477</v>
      </c>
      <c r="K40056" s="18"/>
    </row>
    <row r="40057">
      <c r="B40057" s="17" t="s">
        <v>477</v>
      </c>
      <c r="K40057" s="18"/>
    </row>
    <row r="40058">
      <c r="B40058" s="17" t="s">
        <v>477</v>
      </c>
      <c r="K40058" s="18"/>
    </row>
    <row r="40059">
      <c r="B40059" s="17" t="s">
        <v>477</v>
      </c>
      <c r="K40059" s="18"/>
    </row>
    <row r="40060">
      <c r="B40060" s="17" t="s">
        <v>477</v>
      </c>
      <c r="K40060" s="18"/>
    </row>
    <row r="40061">
      <c r="B40061" s="17" t="s">
        <v>477</v>
      </c>
      <c r="K40061" s="18"/>
    </row>
    <row r="40062">
      <c r="B40062" s="17" t="s">
        <v>477</v>
      </c>
      <c r="K40062" s="18"/>
    </row>
    <row r="40063">
      <c r="B40063" s="17" t="s">
        <v>477</v>
      </c>
      <c r="K40063" s="18"/>
    </row>
    <row r="40064">
      <c r="B40064" s="17" t="s">
        <v>477</v>
      </c>
      <c r="K40064" s="18"/>
    </row>
    <row r="40065">
      <c r="B40065" s="17" t="s">
        <v>477</v>
      </c>
      <c r="K40065" s="18"/>
    </row>
    <row r="40066">
      <c r="B40066" s="17" t="s">
        <v>477</v>
      </c>
      <c r="K40066" s="18"/>
    </row>
    <row r="40067">
      <c r="B40067" s="17" t="s">
        <v>477</v>
      </c>
      <c r="K40067" s="18"/>
    </row>
    <row r="40068">
      <c r="B40068" s="17" t="s">
        <v>477</v>
      </c>
      <c r="K40068" s="18"/>
    </row>
    <row r="40069">
      <c r="B40069" s="17" t="s">
        <v>477</v>
      </c>
      <c r="K40069" s="18"/>
    </row>
    <row r="40070">
      <c r="B40070" s="17" t="s">
        <v>477</v>
      </c>
      <c r="K40070" s="18"/>
    </row>
    <row r="40071">
      <c r="B40071" s="17" t="s">
        <v>477</v>
      </c>
      <c r="K40071" s="18"/>
    </row>
    <row r="40072">
      <c r="B40072" s="17" t="s">
        <v>477</v>
      </c>
      <c r="K40072" s="18"/>
    </row>
    <row r="40073">
      <c r="B40073" s="17" t="s">
        <v>477</v>
      </c>
      <c r="K40073" s="18"/>
    </row>
    <row r="40074">
      <c r="B40074" s="17" t="s">
        <v>477</v>
      </c>
      <c r="K40074" s="18"/>
    </row>
    <row r="40075">
      <c r="B40075" s="17" t="s">
        <v>477</v>
      </c>
      <c r="K40075" s="18"/>
    </row>
    <row r="40076">
      <c r="B40076" s="17" t="s">
        <v>477</v>
      </c>
      <c r="K40076" s="18"/>
    </row>
    <row r="40077">
      <c r="B40077" s="17" t="s">
        <v>477</v>
      </c>
      <c r="K40077" s="18"/>
    </row>
    <row r="40078">
      <c r="B40078" s="17" t="s">
        <v>477</v>
      </c>
      <c r="K40078" s="18"/>
    </row>
    <row r="40079">
      <c r="B40079" s="17" t="s">
        <v>477</v>
      </c>
      <c r="K40079" s="18"/>
    </row>
    <row r="40080">
      <c r="B40080" s="17" t="s">
        <v>477</v>
      </c>
      <c r="K40080" s="18"/>
    </row>
    <row r="40081">
      <c r="B40081" s="17" t="s">
        <v>477</v>
      </c>
      <c r="K40081" s="18"/>
    </row>
    <row r="40082">
      <c r="B40082" s="17" t="s">
        <v>477</v>
      </c>
      <c r="K40082" s="18"/>
    </row>
    <row r="40083">
      <c r="B40083" s="17" t="s">
        <v>477</v>
      </c>
      <c r="K40083" s="18"/>
    </row>
    <row r="40084">
      <c r="B40084" s="17" t="s">
        <v>477</v>
      </c>
      <c r="K40084" s="18"/>
    </row>
    <row r="40085">
      <c r="B40085" s="17" t="s">
        <v>477</v>
      </c>
      <c r="K40085" s="18"/>
    </row>
    <row r="40086">
      <c r="B40086" s="17" t="s">
        <v>477</v>
      </c>
      <c r="K40086" s="18"/>
    </row>
    <row r="40087">
      <c r="B40087" s="17" t="s">
        <v>477</v>
      </c>
      <c r="K40087" s="18"/>
    </row>
    <row r="40088">
      <c r="B40088" s="17" t="s">
        <v>477</v>
      </c>
      <c r="K40088" s="18"/>
    </row>
    <row r="40089">
      <c r="B40089" s="17" t="s">
        <v>477</v>
      </c>
      <c r="K40089" s="18"/>
    </row>
    <row r="40090">
      <c r="B40090" s="17" t="s">
        <v>477</v>
      </c>
      <c r="K40090" s="18"/>
    </row>
    <row r="40091">
      <c r="B40091" s="17" t="s">
        <v>477</v>
      </c>
      <c r="K40091" s="18"/>
    </row>
    <row r="40092">
      <c r="B40092" s="17" t="s">
        <v>477</v>
      </c>
      <c r="K40092" s="18"/>
    </row>
    <row r="40093">
      <c r="B40093" s="17" t="s">
        <v>477</v>
      </c>
      <c r="K40093" s="18"/>
    </row>
    <row r="40094">
      <c r="B40094" s="17" t="s">
        <v>477</v>
      </c>
      <c r="K40094" s="18"/>
    </row>
    <row r="40095">
      <c r="B40095" s="17" t="s">
        <v>477</v>
      </c>
      <c r="K40095" s="18"/>
    </row>
    <row r="40096">
      <c r="B40096" s="17" t="s">
        <v>477</v>
      </c>
      <c r="K40096" s="18"/>
    </row>
    <row r="40097">
      <c r="B40097" s="17" t="s">
        <v>477</v>
      </c>
      <c r="K40097" s="18"/>
    </row>
    <row r="40098">
      <c r="B40098" s="17" t="s">
        <v>477</v>
      </c>
      <c r="K40098" s="18"/>
    </row>
    <row r="40099">
      <c r="B40099" s="17" t="s">
        <v>477</v>
      </c>
      <c r="K40099" s="18"/>
    </row>
    <row r="40100">
      <c r="B40100" s="17" t="s">
        <v>477</v>
      </c>
      <c r="K40100" s="18"/>
    </row>
    <row r="40101">
      <c r="B40101" s="17" t="s">
        <v>477</v>
      </c>
      <c r="K40101" s="18"/>
    </row>
    <row r="40102">
      <c r="B40102" s="17" t="s">
        <v>477</v>
      </c>
      <c r="K40102" s="18"/>
    </row>
    <row r="40103">
      <c r="B40103" s="17" t="s">
        <v>477</v>
      </c>
      <c r="K40103" s="18"/>
    </row>
    <row r="40104">
      <c r="B40104" s="17" t="s">
        <v>477</v>
      </c>
      <c r="K40104" s="18"/>
    </row>
    <row r="40105">
      <c r="B40105" s="17" t="s">
        <v>477</v>
      </c>
      <c r="K40105" s="18"/>
    </row>
    <row r="40106">
      <c r="B40106" s="17" t="s">
        <v>477</v>
      </c>
      <c r="K40106" s="18"/>
    </row>
    <row r="40107">
      <c r="B40107" s="17" t="s">
        <v>477</v>
      </c>
      <c r="K40107" s="18"/>
    </row>
    <row r="40108">
      <c r="B40108" s="17" t="s">
        <v>477</v>
      </c>
      <c r="K40108" s="18"/>
    </row>
    <row r="40109">
      <c r="B40109" s="17" t="s">
        <v>477</v>
      </c>
      <c r="K40109" s="18"/>
    </row>
    <row r="40110">
      <c r="B40110" s="17" t="s">
        <v>477</v>
      </c>
      <c r="K40110" s="18"/>
    </row>
    <row r="40111">
      <c r="B40111" s="17" t="s">
        <v>477</v>
      </c>
      <c r="K40111" s="18"/>
    </row>
    <row r="40112">
      <c r="B40112" s="17" t="s">
        <v>477</v>
      </c>
      <c r="K40112" s="18"/>
    </row>
    <row r="40113">
      <c r="B40113" s="17" t="s">
        <v>477</v>
      </c>
      <c r="K40113" s="18"/>
    </row>
    <row r="40114">
      <c r="B40114" s="17" t="s">
        <v>477</v>
      </c>
      <c r="K40114" s="18"/>
    </row>
    <row r="40115">
      <c r="B40115" s="17" t="s">
        <v>477</v>
      </c>
      <c r="K40115" s="18"/>
    </row>
    <row r="40116">
      <c r="B40116" s="17" t="s">
        <v>477</v>
      </c>
      <c r="K40116" s="18"/>
    </row>
    <row r="40117">
      <c r="B40117" s="17" t="s">
        <v>477</v>
      </c>
      <c r="K40117" s="18"/>
    </row>
    <row r="40118">
      <c r="B40118" s="17" t="s">
        <v>477</v>
      </c>
      <c r="K40118" s="18"/>
    </row>
    <row r="40119">
      <c r="B40119" s="17" t="s">
        <v>477</v>
      </c>
      <c r="K40119" s="18"/>
    </row>
    <row r="40120">
      <c r="B40120" s="17" t="s">
        <v>477</v>
      </c>
      <c r="K40120" s="18"/>
    </row>
    <row r="40121">
      <c r="B40121" s="17" t="s">
        <v>477</v>
      </c>
      <c r="K40121" s="18"/>
    </row>
    <row r="40122">
      <c r="B40122" s="17" t="s">
        <v>477</v>
      </c>
      <c r="K40122" s="18"/>
    </row>
    <row r="40123">
      <c r="B40123" s="17" t="s">
        <v>477</v>
      </c>
      <c r="K40123" s="18"/>
    </row>
    <row r="40124">
      <c r="B40124" s="17" t="s">
        <v>477</v>
      </c>
      <c r="K40124" s="18"/>
    </row>
    <row r="40125">
      <c r="B40125" s="17" t="s">
        <v>477</v>
      </c>
      <c r="K40125" s="18"/>
    </row>
    <row r="40126">
      <c r="B40126" s="17" t="s">
        <v>477</v>
      </c>
      <c r="K40126" s="18"/>
    </row>
    <row r="40127">
      <c r="B40127" s="17" t="s">
        <v>477</v>
      </c>
      <c r="K40127" s="18"/>
    </row>
    <row r="40128">
      <c r="B40128" s="17" t="s">
        <v>477</v>
      </c>
      <c r="K40128" s="18"/>
    </row>
    <row r="40129">
      <c r="B40129" s="17" t="s">
        <v>477</v>
      </c>
      <c r="K40129" s="18"/>
    </row>
    <row r="40130">
      <c r="B40130" s="17" t="s">
        <v>477</v>
      </c>
      <c r="K40130" s="18"/>
    </row>
    <row r="40131">
      <c r="B40131" s="17" t="s">
        <v>477</v>
      </c>
      <c r="K40131" s="18"/>
    </row>
    <row r="40132">
      <c r="B40132" s="17" t="s">
        <v>477</v>
      </c>
      <c r="K40132" s="18"/>
    </row>
    <row r="40133">
      <c r="B40133" s="17" t="s">
        <v>477</v>
      </c>
      <c r="K40133" s="18"/>
    </row>
    <row r="40134">
      <c r="B40134" s="17" t="s">
        <v>477</v>
      </c>
      <c r="K40134" s="18"/>
    </row>
    <row r="40135">
      <c r="B40135" s="17" t="s">
        <v>477</v>
      </c>
      <c r="K40135" s="18"/>
    </row>
    <row r="40136">
      <c r="B40136" s="17" t="s">
        <v>477</v>
      </c>
      <c r="K40136" s="18"/>
    </row>
    <row r="40137">
      <c r="B40137" s="17" t="s">
        <v>477</v>
      </c>
      <c r="K40137" s="18"/>
    </row>
    <row r="40138">
      <c r="B40138" s="17" t="s">
        <v>477</v>
      </c>
      <c r="K40138" s="18"/>
    </row>
    <row r="40139">
      <c r="B40139" s="17" t="s">
        <v>477</v>
      </c>
      <c r="K40139" s="18"/>
    </row>
    <row r="40140">
      <c r="B40140" s="17" t="s">
        <v>477</v>
      </c>
      <c r="K40140" s="18"/>
    </row>
    <row r="40141">
      <c r="B40141" s="17" t="s">
        <v>477</v>
      </c>
      <c r="K40141" s="18"/>
    </row>
    <row r="40142">
      <c r="B40142" s="17" t="s">
        <v>477</v>
      </c>
      <c r="K40142" s="18"/>
    </row>
    <row r="40143">
      <c r="B40143" s="17" t="s">
        <v>477</v>
      </c>
      <c r="K40143" s="18"/>
    </row>
    <row r="40144">
      <c r="B40144" s="17" t="s">
        <v>477</v>
      </c>
      <c r="K40144" s="18"/>
    </row>
    <row r="40145">
      <c r="B40145" s="17" t="s">
        <v>477</v>
      </c>
      <c r="K40145" s="18"/>
    </row>
    <row r="40146">
      <c r="B40146" s="17" t="s">
        <v>477</v>
      </c>
      <c r="K40146" s="18"/>
    </row>
    <row r="40147">
      <c r="B40147" s="17" t="s">
        <v>477</v>
      </c>
      <c r="K40147" s="18"/>
    </row>
    <row r="40148">
      <c r="B40148" s="17" t="s">
        <v>477</v>
      </c>
      <c r="K40148" s="18"/>
    </row>
    <row r="40149">
      <c r="B40149" s="17" t="s">
        <v>477</v>
      </c>
      <c r="K40149" s="18"/>
    </row>
    <row r="40150">
      <c r="B40150" s="17" t="s">
        <v>477</v>
      </c>
      <c r="K40150" s="18"/>
    </row>
    <row r="40151">
      <c r="B40151" s="17" t="s">
        <v>477</v>
      </c>
      <c r="K40151" s="18"/>
    </row>
    <row r="40152">
      <c r="B40152" s="17" t="s">
        <v>477</v>
      </c>
      <c r="K40152" s="18"/>
    </row>
    <row r="40153">
      <c r="B40153" s="17" t="s">
        <v>477</v>
      </c>
      <c r="K40153" s="18"/>
    </row>
    <row r="40154">
      <c r="B40154" s="17" t="s">
        <v>477</v>
      </c>
      <c r="K40154" s="18"/>
    </row>
    <row r="40155">
      <c r="B40155" s="17" t="s">
        <v>477</v>
      </c>
      <c r="K40155" s="18"/>
    </row>
    <row r="40156">
      <c r="B40156" s="17" t="s">
        <v>477</v>
      </c>
      <c r="K40156" s="18"/>
    </row>
    <row r="40157">
      <c r="B40157" s="17" t="s">
        <v>477</v>
      </c>
      <c r="K40157" s="18"/>
    </row>
    <row r="40158">
      <c r="B40158" s="17" t="s">
        <v>477</v>
      </c>
      <c r="K40158" s="18"/>
    </row>
    <row r="40159">
      <c r="B40159" s="17" t="s">
        <v>477</v>
      </c>
      <c r="K40159" s="18"/>
    </row>
    <row r="40160">
      <c r="B40160" s="17" t="s">
        <v>477</v>
      </c>
      <c r="K40160" s="18"/>
    </row>
    <row r="40161">
      <c r="B40161" s="17" t="s">
        <v>477</v>
      </c>
      <c r="K40161" s="18"/>
    </row>
    <row r="40162">
      <c r="B40162" s="17" t="s">
        <v>477</v>
      </c>
      <c r="K40162" s="18"/>
    </row>
    <row r="40163">
      <c r="B40163" s="17" t="s">
        <v>477</v>
      </c>
      <c r="K40163" s="18"/>
    </row>
    <row r="40164">
      <c r="B40164" s="17" t="s">
        <v>477</v>
      </c>
      <c r="K40164" s="18"/>
    </row>
    <row r="40165">
      <c r="B40165" s="17" t="s">
        <v>477</v>
      </c>
      <c r="K40165" s="18"/>
    </row>
    <row r="40166">
      <c r="B40166" s="17" t="s">
        <v>477</v>
      </c>
      <c r="K40166" s="18"/>
    </row>
    <row r="40167">
      <c r="B40167" s="17" t="s">
        <v>477</v>
      </c>
      <c r="K40167" s="18"/>
    </row>
    <row r="40168">
      <c r="B40168" s="17" t="s">
        <v>477</v>
      </c>
      <c r="K40168" s="18"/>
    </row>
    <row r="40169">
      <c r="B40169" s="17" t="s">
        <v>477</v>
      </c>
      <c r="K40169" s="18"/>
    </row>
    <row r="40170">
      <c r="B40170" s="17" t="s">
        <v>477</v>
      </c>
      <c r="K40170" s="18"/>
    </row>
    <row r="40171">
      <c r="B40171" s="17" t="s">
        <v>477</v>
      </c>
      <c r="K40171" s="18"/>
    </row>
    <row r="40172">
      <c r="B40172" s="17" t="s">
        <v>477</v>
      </c>
      <c r="K40172" s="18"/>
    </row>
    <row r="40173">
      <c r="B40173" s="17" t="s">
        <v>477</v>
      </c>
      <c r="K40173" s="18"/>
    </row>
    <row r="40174">
      <c r="B40174" s="17" t="s">
        <v>477</v>
      </c>
      <c r="K40174" s="18"/>
    </row>
    <row r="40175">
      <c r="B40175" s="17" t="s">
        <v>477</v>
      </c>
      <c r="K40175" s="18"/>
    </row>
    <row r="40176">
      <c r="B40176" s="17" t="s">
        <v>477</v>
      </c>
      <c r="K40176" s="18"/>
    </row>
    <row r="40177">
      <c r="B40177" s="17" t="s">
        <v>477</v>
      </c>
      <c r="K40177" s="18"/>
    </row>
    <row r="40178">
      <c r="B40178" s="17" t="s">
        <v>477</v>
      </c>
      <c r="K40178" s="18"/>
    </row>
    <row r="40179">
      <c r="B40179" s="17" t="s">
        <v>477</v>
      </c>
      <c r="K40179" s="18"/>
    </row>
    <row r="40180">
      <c r="B40180" s="17" t="s">
        <v>477</v>
      </c>
      <c r="K40180" s="18"/>
    </row>
    <row r="40181">
      <c r="B40181" s="17" t="s">
        <v>477</v>
      </c>
      <c r="K40181" s="18"/>
    </row>
    <row r="40182">
      <c r="B40182" s="17" t="s">
        <v>477</v>
      </c>
      <c r="K40182" s="18"/>
    </row>
    <row r="40183">
      <c r="B40183" s="17" t="s">
        <v>477</v>
      </c>
      <c r="K40183" s="18"/>
    </row>
    <row r="40184">
      <c r="B40184" s="17" t="s">
        <v>477</v>
      </c>
      <c r="K40184" s="18"/>
    </row>
    <row r="40185">
      <c r="B40185" s="17" t="s">
        <v>477</v>
      </c>
      <c r="K40185" s="18"/>
    </row>
    <row r="40186">
      <c r="B40186" s="17" t="s">
        <v>477</v>
      </c>
      <c r="K40186" s="18"/>
    </row>
    <row r="40187">
      <c r="B40187" s="17" t="s">
        <v>477</v>
      </c>
      <c r="K40187" s="18"/>
    </row>
    <row r="40188">
      <c r="B40188" s="17" t="s">
        <v>477</v>
      </c>
      <c r="K40188" s="18"/>
    </row>
    <row r="40189">
      <c r="B40189" s="17" t="s">
        <v>477</v>
      </c>
      <c r="K40189" s="18"/>
    </row>
    <row r="40190">
      <c r="B40190" s="17" t="s">
        <v>477</v>
      </c>
      <c r="K40190" s="18"/>
    </row>
    <row r="40191">
      <c r="B40191" s="17" t="s">
        <v>477</v>
      </c>
      <c r="K40191" s="18"/>
    </row>
    <row r="40192">
      <c r="B40192" s="17" t="s">
        <v>477</v>
      </c>
      <c r="K40192" s="18"/>
    </row>
    <row r="40193">
      <c r="B40193" s="17" t="s">
        <v>477</v>
      </c>
      <c r="K40193" s="18"/>
    </row>
    <row r="40194">
      <c r="B40194" s="17" t="s">
        <v>477</v>
      </c>
      <c r="K40194" s="18"/>
    </row>
    <row r="40195">
      <c r="B40195" s="17" t="s">
        <v>477</v>
      </c>
      <c r="K40195" s="18"/>
    </row>
    <row r="40196">
      <c r="B40196" s="17" t="s">
        <v>477</v>
      </c>
      <c r="K40196" s="18"/>
    </row>
    <row r="40197">
      <c r="B40197" s="17" t="s">
        <v>477</v>
      </c>
      <c r="K40197" s="18"/>
    </row>
    <row r="40198">
      <c r="B40198" s="17" t="s">
        <v>477</v>
      </c>
      <c r="K40198" s="18"/>
    </row>
    <row r="40199">
      <c r="B40199" s="17" t="s">
        <v>477</v>
      </c>
      <c r="K40199" s="18"/>
    </row>
    <row r="40200">
      <c r="B40200" s="17" t="s">
        <v>477</v>
      </c>
      <c r="K40200" s="18"/>
    </row>
    <row r="40201">
      <c r="B40201" s="17" t="s">
        <v>477</v>
      </c>
      <c r="K40201" s="18"/>
    </row>
    <row r="40202">
      <c r="B40202" s="17" t="s">
        <v>477</v>
      </c>
      <c r="K40202" s="18"/>
    </row>
    <row r="40203">
      <c r="B40203" s="17" t="s">
        <v>477</v>
      </c>
      <c r="K40203" s="18"/>
    </row>
    <row r="40204">
      <c r="B40204" s="17" t="s">
        <v>477</v>
      </c>
      <c r="K40204" s="18"/>
    </row>
    <row r="40205">
      <c r="B40205" s="17" t="s">
        <v>477</v>
      </c>
      <c r="K40205" s="18"/>
    </row>
    <row r="40206">
      <c r="B40206" s="17" t="s">
        <v>477</v>
      </c>
      <c r="K40206" s="18"/>
    </row>
    <row r="40207">
      <c r="B40207" s="17" t="s">
        <v>477</v>
      </c>
      <c r="K40207" s="18"/>
    </row>
    <row r="40208">
      <c r="B40208" s="17" t="s">
        <v>477</v>
      </c>
      <c r="K40208" s="18"/>
    </row>
    <row r="40209">
      <c r="B40209" s="17" t="s">
        <v>477</v>
      </c>
      <c r="K40209" s="18"/>
    </row>
    <row r="40210">
      <c r="B40210" s="17" t="s">
        <v>477</v>
      </c>
      <c r="K40210" s="18"/>
    </row>
    <row r="40211">
      <c r="B40211" s="17" t="s">
        <v>477</v>
      </c>
      <c r="K40211" s="18"/>
    </row>
    <row r="40212">
      <c r="B40212" s="17" t="s">
        <v>477</v>
      </c>
      <c r="K40212" s="18"/>
    </row>
    <row r="40213">
      <c r="B40213" s="17" t="s">
        <v>477</v>
      </c>
      <c r="K40213" s="18"/>
    </row>
    <row r="40214">
      <c r="B40214" s="17" t="s">
        <v>477</v>
      </c>
      <c r="K40214" s="18"/>
    </row>
    <row r="40215">
      <c r="B40215" s="17" t="s">
        <v>477</v>
      </c>
      <c r="K40215" s="18"/>
    </row>
    <row r="40216">
      <c r="B40216" s="17" t="s">
        <v>477</v>
      </c>
      <c r="K40216" s="18"/>
    </row>
    <row r="40217">
      <c r="B40217" s="17" t="s">
        <v>477</v>
      </c>
      <c r="K40217" s="18"/>
    </row>
    <row r="40218">
      <c r="B40218" s="17" t="s">
        <v>477</v>
      </c>
      <c r="K40218" s="18"/>
    </row>
    <row r="40219">
      <c r="B40219" s="17" t="s">
        <v>477</v>
      </c>
      <c r="K40219" s="18"/>
    </row>
    <row r="40220">
      <c r="B40220" s="17" t="s">
        <v>477</v>
      </c>
      <c r="K40220" s="18"/>
    </row>
    <row r="40221">
      <c r="B40221" s="17" t="s">
        <v>477</v>
      </c>
      <c r="K40221" s="18"/>
    </row>
    <row r="40222">
      <c r="B40222" s="17" t="s">
        <v>477</v>
      </c>
      <c r="K40222" s="18"/>
    </row>
    <row r="40223">
      <c r="B40223" s="17" t="s">
        <v>477</v>
      </c>
      <c r="K40223" s="18"/>
    </row>
    <row r="40224">
      <c r="B40224" s="17" t="s">
        <v>477</v>
      </c>
      <c r="K40224" s="18"/>
    </row>
    <row r="40225">
      <c r="B40225" s="17" t="s">
        <v>477</v>
      </c>
      <c r="K40225" s="18"/>
    </row>
    <row r="40226">
      <c r="B40226" s="17" t="s">
        <v>477</v>
      </c>
      <c r="K40226" s="18"/>
    </row>
    <row r="40227">
      <c r="B40227" s="17" t="s">
        <v>477</v>
      </c>
      <c r="K40227" s="18"/>
    </row>
    <row r="40228">
      <c r="B40228" s="17" t="s">
        <v>477</v>
      </c>
      <c r="K40228" s="18"/>
    </row>
    <row r="40229">
      <c r="B40229" s="17" t="s">
        <v>477</v>
      </c>
      <c r="K40229" s="18"/>
    </row>
    <row r="40230">
      <c r="B40230" s="17" t="s">
        <v>477</v>
      </c>
      <c r="K40230" s="18"/>
    </row>
    <row r="40231">
      <c r="B40231" s="17" t="s">
        <v>477</v>
      </c>
      <c r="K40231" s="18"/>
    </row>
    <row r="40232">
      <c r="B40232" s="17" t="s">
        <v>477</v>
      </c>
      <c r="K40232" s="18"/>
    </row>
    <row r="40233">
      <c r="B40233" s="17" t="s">
        <v>477</v>
      </c>
      <c r="K40233" s="18"/>
    </row>
    <row r="40234">
      <c r="B40234" s="17" t="s">
        <v>477</v>
      </c>
      <c r="K40234" s="18"/>
    </row>
    <row r="40235">
      <c r="B40235" s="17" t="s">
        <v>477</v>
      </c>
      <c r="K40235" s="18"/>
    </row>
    <row r="40236">
      <c r="B40236" s="17" t="s">
        <v>477</v>
      </c>
      <c r="K40236" s="18"/>
    </row>
    <row r="40237">
      <c r="B40237" s="17" t="s">
        <v>477</v>
      </c>
      <c r="K40237" s="18"/>
    </row>
    <row r="40238">
      <c r="B40238" s="17" t="s">
        <v>477</v>
      </c>
      <c r="K40238" s="18"/>
    </row>
    <row r="40239">
      <c r="B40239" s="17" t="s">
        <v>477</v>
      </c>
      <c r="K40239" s="18"/>
    </row>
    <row r="40240">
      <c r="B40240" s="17" t="s">
        <v>477</v>
      </c>
      <c r="K40240" s="18"/>
    </row>
    <row r="40241">
      <c r="B40241" s="17" t="s">
        <v>477</v>
      </c>
      <c r="K40241" s="18"/>
    </row>
    <row r="40242">
      <c r="B40242" s="17" t="s">
        <v>477</v>
      </c>
      <c r="K40242" s="18"/>
    </row>
    <row r="40243">
      <c r="B40243" s="17" t="s">
        <v>477</v>
      </c>
      <c r="K40243" s="18"/>
    </row>
    <row r="40244">
      <c r="B40244" s="17" t="s">
        <v>477</v>
      </c>
      <c r="K40244" s="18"/>
    </row>
    <row r="40245">
      <c r="B40245" s="17" t="s">
        <v>477</v>
      </c>
      <c r="K40245" s="18"/>
    </row>
    <row r="40246">
      <c r="B40246" s="17" t="s">
        <v>477</v>
      </c>
      <c r="K40246" s="18"/>
    </row>
    <row r="40247">
      <c r="B40247" s="17" t="s">
        <v>477</v>
      </c>
      <c r="K40247" s="18"/>
    </row>
    <row r="40248">
      <c r="B40248" s="17" t="s">
        <v>477</v>
      </c>
      <c r="K40248" s="18"/>
    </row>
    <row r="40249">
      <c r="B40249" s="17" t="s">
        <v>477</v>
      </c>
      <c r="K40249" s="18"/>
    </row>
    <row r="40250">
      <c r="B40250" s="17" t="s">
        <v>477</v>
      </c>
      <c r="K40250" s="18"/>
    </row>
    <row r="40251">
      <c r="B40251" s="17" t="s">
        <v>477</v>
      </c>
      <c r="K40251" s="18"/>
    </row>
    <row r="40252">
      <c r="B40252" s="17" t="s">
        <v>477</v>
      </c>
      <c r="K40252" s="18"/>
    </row>
    <row r="40253">
      <c r="B40253" s="17" t="s">
        <v>477</v>
      </c>
      <c r="K40253" s="18"/>
    </row>
    <row r="40254">
      <c r="B40254" s="17" t="s">
        <v>477</v>
      </c>
      <c r="K40254" s="18"/>
    </row>
    <row r="40255">
      <c r="B40255" s="17" t="s">
        <v>477</v>
      </c>
      <c r="K40255" s="18"/>
    </row>
    <row r="40256">
      <c r="B40256" s="17" t="s">
        <v>477</v>
      </c>
      <c r="K40256" s="18"/>
    </row>
    <row r="40257">
      <c r="B40257" s="17" t="s">
        <v>477</v>
      </c>
      <c r="K40257" s="18"/>
    </row>
    <row r="40258">
      <c r="B40258" s="17" t="s">
        <v>477</v>
      </c>
      <c r="K40258" s="18"/>
    </row>
    <row r="40259">
      <c r="B40259" s="17" t="s">
        <v>477</v>
      </c>
      <c r="K40259" s="18"/>
    </row>
    <row r="40260">
      <c r="B40260" s="17" t="s">
        <v>477</v>
      </c>
      <c r="K40260" s="18"/>
    </row>
    <row r="40261">
      <c r="B40261" s="17" t="s">
        <v>477</v>
      </c>
      <c r="K40261" s="18"/>
    </row>
    <row r="40262">
      <c r="B40262" s="17" t="s">
        <v>477</v>
      </c>
      <c r="K40262" s="18"/>
    </row>
    <row r="40263">
      <c r="B40263" s="17" t="s">
        <v>477</v>
      </c>
      <c r="K40263" s="18"/>
    </row>
    <row r="40264">
      <c r="B40264" s="17" t="s">
        <v>477</v>
      </c>
      <c r="K40264" s="18"/>
    </row>
    <row r="40265">
      <c r="B40265" s="17" t="s">
        <v>477</v>
      </c>
      <c r="K40265" s="18"/>
    </row>
    <row r="40266">
      <c r="B40266" s="17" t="s">
        <v>477</v>
      </c>
      <c r="K40266" s="18"/>
    </row>
    <row r="40267">
      <c r="B40267" s="17" t="s">
        <v>477</v>
      </c>
      <c r="K40267" s="18"/>
    </row>
    <row r="40268">
      <c r="B40268" s="17" t="s">
        <v>477</v>
      </c>
      <c r="K40268" s="18"/>
    </row>
    <row r="40269">
      <c r="B40269" s="17" t="s">
        <v>477</v>
      </c>
      <c r="K40269" s="18"/>
    </row>
    <row r="40270">
      <c r="B40270" s="17" t="s">
        <v>477</v>
      </c>
      <c r="K40270" s="18"/>
    </row>
    <row r="40271">
      <c r="B40271" s="17" t="s">
        <v>477</v>
      </c>
      <c r="K40271" s="18"/>
    </row>
    <row r="40272">
      <c r="B40272" s="17" t="s">
        <v>477</v>
      </c>
      <c r="K40272" s="18"/>
    </row>
    <row r="40273">
      <c r="B40273" s="17" t="s">
        <v>477</v>
      </c>
      <c r="K40273" s="18"/>
    </row>
    <row r="40274">
      <c r="B40274" s="17" t="s">
        <v>477</v>
      </c>
      <c r="K40274" s="18"/>
    </row>
    <row r="40275">
      <c r="B40275" s="17" t="s">
        <v>477</v>
      </c>
      <c r="K40275" s="18"/>
    </row>
    <row r="40276">
      <c r="B40276" s="17" t="s">
        <v>477</v>
      </c>
      <c r="K40276" s="18"/>
    </row>
    <row r="40277">
      <c r="B40277" s="17" t="s">
        <v>477</v>
      </c>
      <c r="K40277" s="18"/>
    </row>
    <row r="40278">
      <c r="B40278" s="17" t="s">
        <v>477</v>
      </c>
      <c r="K40278" s="18"/>
    </row>
    <row r="40279">
      <c r="B40279" s="17" t="s">
        <v>477</v>
      </c>
      <c r="K40279" s="18"/>
    </row>
    <row r="40280">
      <c r="B40280" s="17" t="s">
        <v>477</v>
      </c>
      <c r="K40280" s="18"/>
    </row>
    <row r="40281">
      <c r="B40281" s="17" t="s">
        <v>477</v>
      </c>
      <c r="K40281" s="18"/>
    </row>
    <row r="40282">
      <c r="B40282" s="17" t="s">
        <v>477</v>
      </c>
      <c r="K40282" s="18"/>
    </row>
    <row r="40283">
      <c r="B40283" s="17" t="s">
        <v>477</v>
      </c>
      <c r="K40283" s="18"/>
    </row>
    <row r="40284">
      <c r="B40284" s="17" t="s">
        <v>477</v>
      </c>
      <c r="K40284" s="18"/>
    </row>
    <row r="40285">
      <c r="B40285" s="17" t="s">
        <v>477</v>
      </c>
      <c r="K40285" s="18"/>
    </row>
    <row r="40286">
      <c r="B40286" s="17" t="s">
        <v>477</v>
      </c>
      <c r="K40286" s="18"/>
    </row>
    <row r="40287">
      <c r="B40287" s="17" t="s">
        <v>477</v>
      </c>
      <c r="K40287" s="18"/>
    </row>
    <row r="40288">
      <c r="B40288" s="17" t="s">
        <v>477</v>
      </c>
      <c r="K40288" s="18"/>
    </row>
    <row r="40289">
      <c r="B40289" s="17" t="s">
        <v>477</v>
      </c>
      <c r="K40289" s="18"/>
    </row>
    <row r="40290">
      <c r="B40290" s="17" t="s">
        <v>477</v>
      </c>
      <c r="K40290" s="18"/>
    </row>
    <row r="40291">
      <c r="B40291" s="17" t="s">
        <v>477</v>
      </c>
      <c r="K40291" s="18"/>
    </row>
    <row r="40292">
      <c r="B40292" s="17" t="s">
        <v>477</v>
      </c>
      <c r="K40292" s="18"/>
    </row>
    <row r="40293">
      <c r="B40293" s="17" t="s">
        <v>477</v>
      </c>
      <c r="K40293" s="18"/>
    </row>
    <row r="40294">
      <c r="B40294" s="17" t="s">
        <v>477</v>
      </c>
      <c r="K40294" s="18"/>
    </row>
    <row r="40295">
      <c r="B40295" s="17" t="s">
        <v>477</v>
      </c>
      <c r="K40295" s="18"/>
    </row>
    <row r="40296">
      <c r="B40296" s="17" t="s">
        <v>477</v>
      </c>
      <c r="K40296" s="18"/>
    </row>
    <row r="40297">
      <c r="B40297" s="17" t="s">
        <v>477</v>
      </c>
      <c r="K40297" s="18"/>
    </row>
    <row r="40298">
      <c r="B40298" s="17" t="s">
        <v>477</v>
      </c>
      <c r="K40298" s="18"/>
    </row>
    <row r="40299">
      <c r="B40299" s="17" t="s">
        <v>477</v>
      </c>
      <c r="K40299" s="18"/>
    </row>
    <row r="40300">
      <c r="B40300" s="17" t="s">
        <v>477</v>
      </c>
      <c r="K40300" s="18"/>
    </row>
    <row r="40301">
      <c r="B40301" s="17" t="s">
        <v>477</v>
      </c>
      <c r="K40301" s="18"/>
    </row>
    <row r="40302">
      <c r="B40302" s="17" t="s">
        <v>477</v>
      </c>
      <c r="K40302" s="18"/>
    </row>
    <row r="40303">
      <c r="B40303" s="17" t="s">
        <v>477</v>
      </c>
      <c r="K40303" s="18"/>
    </row>
    <row r="40304">
      <c r="B40304" s="17" t="s">
        <v>477</v>
      </c>
      <c r="K40304" s="18"/>
    </row>
    <row r="40305">
      <c r="B40305" s="17" t="s">
        <v>477</v>
      </c>
      <c r="K40305" s="18"/>
    </row>
    <row r="40306">
      <c r="B40306" s="17" t="s">
        <v>477</v>
      </c>
      <c r="K40306" s="18"/>
    </row>
    <row r="40307">
      <c r="B40307" s="17" t="s">
        <v>477</v>
      </c>
      <c r="K40307" s="18"/>
    </row>
    <row r="40308">
      <c r="B40308" s="17" t="s">
        <v>477</v>
      </c>
      <c r="K40308" s="18"/>
    </row>
    <row r="40309">
      <c r="B40309" s="17" t="s">
        <v>477</v>
      </c>
      <c r="K40309" s="18"/>
    </row>
    <row r="40310">
      <c r="B40310" s="17" t="s">
        <v>477</v>
      </c>
      <c r="K40310" s="18"/>
    </row>
    <row r="40311">
      <c r="B40311" s="17" t="s">
        <v>477</v>
      </c>
      <c r="K40311" s="18"/>
    </row>
    <row r="40312">
      <c r="B40312" s="17" t="s">
        <v>477</v>
      </c>
      <c r="K40312" s="18"/>
    </row>
    <row r="40313">
      <c r="B40313" s="17" t="s">
        <v>477</v>
      </c>
      <c r="K40313" s="18"/>
    </row>
    <row r="40314">
      <c r="B40314" s="17" t="s">
        <v>477</v>
      </c>
      <c r="K40314" s="18"/>
    </row>
    <row r="40315">
      <c r="B40315" s="17" t="s">
        <v>477</v>
      </c>
      <c r="K40315" s="18"/>
    </row>
    <row r="40316">
      <c r="B40316" s="17" t="s">
        <v>477</v>
      </c>
      <c r="K40316" s="18"/>
    </row>
    <row r="40317">
      <c r="B40317" s="17" t="s">
        <v>477</v>
      </c>
      <c r="K40317" s="18"/>
    </row>
    <row r="40318">
      <c r="B40318" s="17" t="s">
        <v>477</v>
      </c>
      <c r="K40318" s="18"/>
    </row>
    <row r="40319">
      <c r="B40319" s="17" t="s">
        <v>477</v>
      </c>
      <c r="K40319" s="18"/>
    </row>
    <row r="40320">
      <c r="B40320" s="17" t="s">
        <v>477</v>
      </c>
      <c r="K40320" s="18"/>
    </row>
    <row r="40321">
      <c r="B40321" s="17" t="s">
        <v>477</v>
      </c>
      <c r="K40321" s="18"/>
    </row>
    <row r="40322">
      <c r="B40322" s="17" t="s">
        <v>477</v>
      </c>
      <c r="K40322" s="18"/>
    </row>
    <row r="40323">
      <c r="B40323" s="17" t="s">
        <v>477</v>
      </c>
      <c r="K40323" s="18"/>
    </row>
    <row r="40324">
      <c r="B40324" s="17" t="s">
        <v>477</v>
      </c>
      <c r="K40324" s="18"/>
    </row>
    <row r="40325">
      <c r="B40325" s="17" t="s">
        <v>477</v>
      </c>
      <c r="K40325" s="18"/>
    </row>
    <row r="40326">
      <c r="B40326" s="17" t="s">
        <v>477</v>
      </c>
      <c r="K40326" s="18"/>
    </row>
    <row r="40327">
      <c r="B40327" s="17" t="s">
        <v>477</v>
      </c>
      <c r="K40327" s="18"/>
    </row>
    <row r="40328">
      <c r="B40328" s="17" t="s">
        <v>477</v>
      </c>
      <c r="K40328" s="18"/>
    </row>
    <row r="40329">
      <c r="B40329" s="17" t="s">
        <v>477</v>
      </c>
      <c r="K40329" s="18"/>
    </row>
    <row r="40330">
      <c r="B40330" s="17" t="s">
        <v>477</v>
      </c>
      <c r="K40330" s="18"/>
    </row>
    <row r="40331">
      <c r="B40331" s="17" t="s">
        <v>477</v>
      </c>
      <c r="K40331" s="18"/>
    </row>
    <row r="40332">
      <c r="B40332" s="17" t="s">
        <v>477</v>
      </c>
      <c r="K40332" s="18"/>
    </row>
    <row r="40333">
      <c r="B40333" s="17" t="s">
        <v>477</v>
      </c>
      <c r="K40333" s="18"/>
    </row>
    <row r="40334">
      <c r="B40334" s="17" t="s">
        <v>477</v>
      </c>
      <c r="K40334" s="18"/>
    </row>
    <row r="40335">
      <c r="B40335" s="17" t="s">
        <v>477</v>
      </c>
      <c r="K40335" s="18"/>
    </row>
    <row r="40336">
      <c r="B40336" s="17" t="s">
        <v>477</v>
      </c>
      <c r="K40336" s="18"/>
    </row>
    <row r="40337">
      <c r="B40337" s="17" t="s">
        <v>477</v>
      </c>
      <c r="K40337" s="18"/>
    </row>
    <row r="40338">
      <c r="B40338" s="17" t="s">
        <v>477</v>
      </c>
      <c r="K40338" s="18"/>
    </row>
    <row r="40339">
      <c r="B40339" s="17" t="s">
        <v>477</v>
      </c>
      <c r="K40339" s="18"/>
    </row>
    <row r="40340">
      <c r="B40340" s="17" t="s">
        <v>477</v>
      </c>
      <c r="K40340" s="18"/>
    </row>
    <row r="40341">
      <c r="B40341" s="17" t="s">
        <v>477</v>
      </c>
      <c r="K40341" s="18"/>
    </row>
    <row r="40342">
      <c r="B40342" s="17" t="s">
        <v>477</v>
      </c>
      <c r="K40342" s="18"/>
    </row>
    <row r="40343">
      <c r="B40343" s="17" t="s">
        <v>477</v>
      </c>
      <c r="K40343" s="18"/>
    </row>
    <row r="40344">
      <c r="B40344" s="17" t="s">
        <v>477</v>
      </c>
      <c r="K40344" s="18"/>
    </row>
    <row r="40345">
      <c r="B40345" s="17" t="s">
        <v>477</v>
      </c>
      <c r="K40345" s="18"/>
    </row>
    <row r="40346">
      <c r="B40346" s="17" t="s">
        <v>477</v>
      </c>
      <c r="K40346" s="18"/>
    </row>
    <row r="40347">
      <c r="B40347" s="17" t="s">
        <v>477</v>
      </c>
      <c r="K40347" s="18"/>
    </row>
    <row r="40348">
      <c r="B40348" s="17" t="s">
        <v>477</v>
      </c>
      <c r="K40348" s="18"/>
    </row>
    <row r="40349">
      <c r="B40349" s="17" t="s">
        <v>477</v>
      </c>
      <c r="K40349" s="18"/>
    </row>
    <row r="40350">
      <c r="B40350" s="17" t="s">
        <v>477</v>
      </c>
      <c r="K40350" s="18"/>
    </row>
    <row r="40351">
      <c r="B40351" s="17" t="s">
        <v>477</v>
      </c>
      <c r="K40351" s="18"/>
    </row>
    <row r="40352">
      <c r="B40352" s="17" t="s">
        <v>477</v>
      </c>
      <c r="K40352" s="18"/>
    </row>
    <row r="40353">
      <c r="B40353" s="17" t="s">
        <v>477</v>
      </c>
      <c r="K40353" s="18"/>
    </row>
    <row r="40354">
      <c r="B40354" s="17" t="s">
        <v>477</v>
      </c>
      <c r="K40354" s="18"/>
    </row>
    <row r="40355">
      <c r="B40355" s="17" t="s">
        <v>477</v>
      </c>
      <c r="K40355" s="18"/>
    </row>
    <row r="40356">
      <c r="B40356" s="17" t="s">
        <v>477</v>
      </c>
      <c r="K40356" s="18"/>
    </row>
    <row r="40357">
      <c r="B40357" s="17" t="s">
        <v>477</v>
      </c>
      <c r="K40357" s="18"/>
    </row>
    <row r="40358">
      <c r="B40358" s="17" t="s">
        <v>477</v>
      </c>
      <c r="K40358" s="18"/>
    </row>
    <row r="40359">
      <c r="B40359" s="17" t="s">
        <v>477</v>
      </c>
      <c r="K40359" s="18"/>
    </row>
    <row r="40360">
      <c r="B40360" s="17" t="s">
        <v>477</v>
      </c>
      <c r="K40360" s="18"/>
    </row>
    <row r="40361">
      <c r="B40361" s="17" t="s">
        <v>477</v>
      </c>
      <c r="K40361" s="18"/>
    </row>
    <row r="40362">
      <c r="B40362" s="17" t="s">
        <v>477</v>
      </c>
      <c r="K40362" s="18"/>
    </row>
    <row r="40363">
      <c r="B40363" s="17" t="s">
        <v>477</v>
      </c>
      <c r="K40363" s="18"/>
    </row>
    <row r="40364">
      <c r="B40364" s="17" t="s">
        <v>477</v>
      </c>
      <c r="K40364" s="18"/>
    </row>
    <row r="40365">
      <c r="B40365" s="17" t="s">
        <v>477</v>
      </c>
      <c r="K40365" s="18"/>
    </row>
    <row r="40366">
      <c r="B40366" s="17" t="s">
        <v>477</v>
      </c>
      <c r="K40366" s="18"/>
    </row>
    <row r="40367">
      <c r="B40367" s="17" t="s">
        <v>477</v>
      </c>
      <c r="K40367" s="18"/>
    </row>
    <row r="40368">
      <c r="B40368" s="17" t="s">
        <v>477</v>
      </c>
      <c r="K40368" s="18"/>
    </row>
    <row r="40369">
      <c r="B40369" s="17" t="s">
        <v>477</v>
      </c>
      <c r="K40369" s="18"/>
    </row>
    <row r="40370">
      <c r="B40370" s="17" t="s">
        <v>477</v>
      </c>
      <c r="K40370" s="18"/>
    </row>
    <row r="40371">
      <c r="B40371" s="17" t="s">
        <v>477</v>
      </c>
      <c r="K40371" s="18"/>
    </row>
    <row r="40372">
      <c r="B40372" s="17" t="s">
        <v>477</v>
      </c>
      <c r="K40372" s="18"/>
    </row>
    <row r="40373">
      <c r="B40373" s="17" t="s">
        <v>477</v>
      </c>
      <c r="K40373" s="18"/>
    </row>
    <row r="40374">
      <c r="B40374" s="17" t="s">
        <v>477</v>
      </c>
      <c r="K40374" s="18"/>
    </row>
    <row r="40375">
      <c r="B40375" s="17" t="s">
        <v>477</v>
      </c>
      <c r="K40375" s="18"/>
    </row>
    <row r="40376">
      <c r="B40376" s="17" t="s">
        <v>477</v>
      </c>
      <c r="K40376" s="18"/>
    </row>
    <row r="40377">
      <c r="B40377" s="17" t="s">
        <v>477</v>
      </c>
      <c r="K40377" s="18"/>
    </row>
    <row r="40378">
      <c r="B40378" s="17" t="s">
        <v>477</v>
      </c>
      <c r="K40378" s="18"/>
    </row>
    <row r="40379">
      <c r="B40379" s="17" t="s">
        <v>477</v>
      </c>
      <c r="K40379" s="18"/>
    </row>
    <row r="40380">
      <c r="B40380" s="17" t="s">
        <v>477</v>
      </c>
      <c r="K40380" s="18"/>
    </row>
    <row r="40381">
      <c r="B40381" s="17" t="s">
        <v>477</v>
      </c>
      <c r="K40381" s="18"/>
    </row>
    <row r="40382">
      <c r="B40382" s="17" t="s">
        <v>477</v>
      </c>
      <c r="K40382" s="18"/>
    </row>
    <row r="40383">
      <c r="B40383" s="17" t="s">
        <v>477</v>
      </c>
      <c r="K40383" s="18"/>
    </row>
    <row r="40384">
      <c r="B40384" s="17" t="s">
        <v>477</v>
      </c>
      <c r="K40384" s="18"/>
    </row>
    <row r="40385">
      <c r="B40385" s="17" t="s">
        <v>477</v>
      </c>
      <c r="K40385" s="18"/>
    </row>
    <row r="40386">
      <c r="B40386" s="17" t="s">
        <v>477</v>
      </c>
      <c r="K40386" s="18"/>
    </row>
    <row r="40387">
      <c r="B40387" s="17" t="s">
        <v>477</v>
      </c>
      <c r="K40387" s="18"/>
    </row>
    <row r="40388">
      <c r="B40388" s="17" t="s">
        <v>477</v>
      </c>
      <c r="K40388" s="18"/>
    </row>
    <row r="40389">
      <c r="B40389" s="17" t="s">
        <v>477</v>
      </c>
      <c r="K40389" s="18"/>
    </row>
    <row r="40390">
      <c r="B40390" s="17" t="s">
        <v>477</v>
      </c>
      <c r="K40390" s="18"/>
    </row>
    <row r="40391">
      <c r="B40391" s="17" t="s">
        <v>477</v>
      </c>
      <c r="K40391" s="18"/>
    </row>
    <row r="40392">
      <c r="B40392" s="17" t="s">
        <v>477</v>
      </c>
      <c r="K40392" s="18"/>
    </row>
    <row r="40393">
      <c r="B40393" s="17" t="s">
        <v>477</v>
      </c>
      <c r="K40393" s="18"/>
    </row>
    <row r="40394">
      <c r="B40394" s="17" t="s">
        <v>477</v>
      </c>
      <c r="K40394" s="18"/>
    </row>
    <row r="40395">
      <c r="B40395" s="17" t="s">
        <v>477</v>
      </c>
      <c r="K40395" s="18"/>
    </row>
    <row r="40396">
      <c r="B40396" s="17" t="s">
        <v>477</v>
      </c>
      <c r="K40396" s="18"/>
    </row>
    <row r="40397">
      <c r="B40397" s="17" t="s">
        <v>477</v>
      </c>
      <c r="K40397" s="18"/>
    </row>
    <row r="40398">
      <c r="B40398" s="17" t="s">
        <v>477</v>
      </c>
      <c r="K40398" s="18"/>
    </row>
    <row r="40399">
      <c r="B40399" s="17" t="s">
        <v>477</v>
      </c>
      <c r="K40399" s="18"/>
    </row>
    <row r="40400">
      <c r="B40400" s="17" t="s">
        <v>477</v>
      </c>
      <c r="K40400" s="18"/>
    </row>
    <row r="40401">
      <c r="B40401" s="17" t="s">
        <v>477</v>
      </c>
      <c r="K40401" s="18"/>
    </row>
    <row r="40402">
      <c r="B40402" s="17" t="s">
        <v>477</v>
      </c>
      <c r="K40402" s="18"/>
    </row>
    <row r="40403">
      <c r="B40403" s="17" t="s">
        <v>477</v>
      </c>
      <c r="K40403" s="18"/>
    </row>
    <row r="40404">
      <c r="B40404" s="17" t="s">
        <v>477</v>
      </c>
      <c r="K40404" s="18"/>
    </row>
    <row r="40405">
      <c r="B40405" s="17" t="s">
        <v>477</v>
      </c>
      <c r="K40405" s="18"/>
    </row>
    <row r="40406">
      <c r="B40406" s="17" t="s">
        <v>477</v>
      </c>
      <c r="K40406" s="18"/>
    </row>
    <row r="40407">
      <c r="B40407" s="17" t="s">
        <v>477</v>
      </c>
      <c r="K40407" s="18"/>
    </row>
    <row r="40408">
      <c r="B40408" s="17" t="s">
        <v>477</v>
      </c>
      <c r="K40408" s="18"/>
    </row>
    <row r="40409">
      <c r="B40409" s="17" t="s">
        <v>477</v>
      </c>
      <c r="K40409" s="18"/>
    </row>
    <row r="40410">
      <c r="B40410" s="17" t="s">
        <v>477</v>
      </c>
      <c r="K40410" s="18"/>
    </row>
    <row r="40411">
      <c r="B40411" s="17" t="s">
        <v>477</v>
      </c>
      <c r="K40411" s="18"/>
    </row>
    <row r="40412">
      <c r="B40412" s="17" t="s">
        <v>477</v>
      </c>
      <c r="K40412" s="18"/>
    </row>
    <row r="40413">
      <c r="B40413" s="17" t="s">
        <v>477</v>
      </c>
      <c r="K40413" s="18"/>
    </row>
    <row r="40414">
      <c r="B40414" s="17" t="s">
        <v>477</v>
      </c>
      <c r="K40414" s="18"/>
    </row>
    <row r="40415">
      <c r="B40415" s="17" t="s">
        <v>477</v>
      </c>
      <c r="K40415" s="18"/>
    </row>
    <row r="40416">
      <c r="B40416" s="17" t="s">
        <v>477</v>
      </c>
      <c r="K40416" s="18"/>
    </row>
    <row r="40417">
      <c r="B40417" s="17" t="s">
        <v>477</v>
      </c>
      <c r="K40417" s="18"/>
    </row>
    <row r="40418">
      <c r="B40418" s="17" t="s">
        <v>477</v>
      </c>
      <c r="K40418" s="18"/>
    </row>
    <row r="40419">
      <c r="B40419" s="17" t="s">
        <v>477</v>
      </c>
      <c r="K40419" s="18"/>
    </row>
    <row r="40420">
      <c r="B40420" s="17" t="s">
        <v>477</v>
      </c>
      <c r="K40420" s="18"/>
    </row>
    <row r="40421">
      <c r="B40421" s="17" t="s">
        <v>477</v>
      </c>
      <c r="K40421" s="18"/>
    </row>
    <row r="40422">
      <c r="B40422" s="17" t="s">
        <v>477</v>
      </c>
      <c r="K40422" s="18"/>
    </row>
    <row r="40423">
      <c r="B40423" s="17" t="s">
        <v>477</v>
      </c>
      <c r="K40423" s="18"/>
    </row>
    <row r="40424">
      <c r="B40424" s="17" t="s">
        <v>477</v>
      </c>
      <c r="K40424" s="18"/>
    </row>
    <row r="40425">
      <c r="B40425" s="17" t="s">
        <v>477</v>
      </c>
      <c r="K40425" s="18"/>
    </row>
    <row r="40426">
      <c r="B40426" s="17" t="s">
        <v>477</v>
      </c>
      <c r="K40426" s="18"/>
    </row>
    <row r="40427">
      <c r="B40427" s="17" t="s">
        <v>477</v>
      </c>
      <c r="K40427" s="18"/>
    </row>
    <row r="40428">
      <c r="B40428" s="17" t="s">
        <v>477</v>
      </c>
      <c r="K40428" s="18"/>
    </row>
    <row r="40429">
      <c r="B40429" s="17" t="s">
        <v>477</v>
      </c>
      <c r="K40429" s="18"/>
    </row>
    <row r="40430">
      <c r="B40430" s="17" t="s">
        <v>477</v>
      </c>
      <c r="K40430" s="18"/>
    </row>
    <row r="40431">
      <c r="B40431" s="17" t="s">
        <v>477</v>
      </c>
      <c r="K40431" s="18"/>
    </row>
    <row r="40432">
      <c r="B40432" s="17" t="s">
        <v>477</v>
      </c>
      <c r="K40432" s="18"/>
    </row>
    <row r="40433">
      <c r="B40433" s="17" t="s">
        <v>477</v>
      </c>
      <c r="K40433" s="18"/>
    </row>
    <row r="40434">
      <c r="B40434" s="17" t="s">
        <v>477</v>
      </c>
      <c r="K40434" s="18"/>
    </row>
    <row r="40435">
      <c r="B40435" s="17" t="s">
        <v>477</v>
      </c>
      <c r="K40435" s="18"/>
    </row>
    <row r="40436">
      <c r="B40436" s="17" t="s">
        <v>477</v>
      </c>
      <c r="K40436" s="18"/>
    </row>
    <row r="40437">
      <c r="B40437" s="17" t="s">
        <v>477</v>
      </c>
      <c r="K40437" s="18"/>
    </row>
    <row r="40438">
      <c r="B40438" s="17" t="s">
        <v>477</v>
      </c>
      <c r="K40438" s="18"/>
    </row>
    <row r="40439">
      <c r="B40439" s="17" t="s">
        <v>477</v>
      </c>
      <c r="K40439" s="18"/>
    </row>
    <row r="40440">
      <c r="B40440" s="17" t="s">
        <v>477</v>
      </c>
      <c r="K40440" s="18"/>
    </row>
    <row r="40441">
      <c r="B40441" s="17" t="s">
        <v>477</v>
      </c>
      <c r="K40441" s="18"/>
    </row>
    <row r="40442">
      <c r="B40442" s="17" t="s">
        <v>477</v>
      </c>
      <c r="K40442" s="18"/>
    </row>
    <row r="40443">
      <c r="B40443" s="17" t="s">
        <v>477</v>
      </c>
      <c r="K40443" s="18"/>
    </row>
    <row r="40444">
      <c r="B40444" s="17" t="s">
        <v>477</v>
      </c>
      <c r="K40444" s="18"/>
    </row>
    <row r="40445">
      <c r="B40445" s="17" t="s">
        <v>477</v>
      </c>
      <c r="K40445" s="18"/>
    </row>
    <row r="40446">
      <c r="B40446" s="17" t="s">
        <v>477</v>
      </c>
      <c r="K40446" s="18"/>
    </row>
    <row r="40447">
      <c r="B40447" s="17" t="s">
        <v>477</v>
      </c>
      <c r="K40447" s="18"/>
    </row>
    <row r="40448">
      <c r="B40448" s="17" t="s">
        <v>477</v>
      </c>
      <c r="K40448" s="18"/>
    </row>
    <row r="40449">
      <c r="B40449" s="17" t="s">
        <v>477</v>
      </c>
      <c r="K40449" s="18"/>
    </row>
    <row r="40450">
      <c r="B40450" s="17" t="s">
        <v>477</v>
      </c>
      <c r="K40450" s="18"/>
    </row>
    <row r="40451">
      <c r="B40451" s="17" t="s">
        <v>477</v>
      </c>
      <c r="K40451" s="18"/>
    </row>
    <row r="40452">
      <c r="B40452" s="17" t="s">
        <v>477</v>
      </c>
      <c r="K40452" s="18"/>
    </row>
    <row r="40453">
      <c r="B40453" s="17" t="s">
        <v>477</v>
      </c>
      <c r="K40453" s="18"/>
    </row>
    <row r="40454">
      <c r="B40454" s="17" t="s">
        <v>477</v>
      </c>
      <c r="K40454" s="18"/>
    </row>
    <row r="40455">
      <c r="B40455" s="17" t="s">
        <v>477</v>
      </c>
      <c r="K40455" s="18"/>
    </row>
    <row r="40456">
      <c r="B40456" s="17" t="s">
        <v>477</v>
      </c>
      <c r="K40456" s="18"/>
    </row>
    <row r="40457">
      <c r="B40457" s="17" t="s">
        <v>477</v>
      </c>
      <c r="K40457" s="18"/>
    </row>
    <row r="40458">
      <c r="B40458" s="17" t="s">
        <v>477</v>
      </c>
      <c r="K40458" s="18"/>
    </row>
    <row r="40459">
      <c r="B40459" s="17" t="s">
        <v>477</v>
      </c>
      <c r="K40459" s="18"/>
    </row>
    <row r="40460">
      <c r="B40460" s="17" t="s">
        <v>477</v>
      </c>
      <c r="K40460" s="18"/>
    </row>
    <row r="40461">
      <c r="B40461" s="17" t="s">
        <v>477</v>
      </c>
      <c r="K40461" s="18"/>
    </row>
    <row r="40462">
      <c r="B40462" s="17" t="s">
        <v>477</v>
      </c>
      <c r="K40462" s="18"/>
    </row>
    <row r="40463">
      <c r="B40463" s="17" t="s">
        <v>477</v>
      </c>
      <c r="K40463" s="18"/>
    </row>
    <row r="40464">
      <c r="B40464" s="17" t="s">
        <v>477</v>
      </c>
      <c r="K40464" s="18"/>
    </row>
    <row r="40465">
      <c r="B40465" s="17" t="s">
        <v>477</v>
      </c>
      <c r="K40465" s="18"/>
    </row>
    <row r="40466">
      <c r="B40466" s="17" t="s">
        <v>477</v>
      </c>
      <c r="K40466" s="18"/>
    </row>
    <row r="40467">
      <c r="B40467" s="17" t="s">
        <v>477</v>
      </c>
      <c r="K40467" s="18"/>
    </row>
    <row r="40468">
      <c r="B40468" s="17" t="s">
        <v>477</v>
      </c>
      <c r="K40468" s="18"/>
    </row>
    <row r="40469">
      <c r="B40469" s="17" t="s">
        <v>477</v>
      </c>
      <c r="K40469" s="18"/>
    </row>
    <row r="40470">
      <c r="B40470" s="17" t="s">
        <v>477</v>
      </c>
      <c r="K40470" s="18"/>
    </row>
    <row r="40471">
      <c r="B40471" s="17" t="s">
        <v>477</v>
      </c>
      <c r="K40471" s="18"/>
    </row>
    <row r="40472">
      <c r="B40472" s="17" t="s">
        <v>477</v>
      </c>
      <c r="K40472" s="18"/>
    </row>
    <row r="40473">
      <c r="B40473" s="17" t="s">
        <v>477</v>
      </c>
      <c r="K40473" s="18"/>
    </row>
    <row r="40474">
      <c r="B40474" s="17" t="s">
        <v>477</v>
      </c>
      <c r="K40474" s="18"/>
    </row>
    <row r="40475">
      <c r="B40475" s="17" t="s">
        <v>477</v>
      </c>
      <c r="K40475" s="18"/>
    </row>
    <row r="40476">
      <c r="B40476" s="17" t="s">
        <v>477</v>
      </c>
      <c r="K40476" s="18"/>
    </row>
    <row r="40477">
      <c r="B40477" s="17" t="s">
        <v>477</v>
      </c>
      <c r="K40477" s="18"/>
    </row>
    <row r="40478">
      <c r="B40478" s="17" t="s">
        <v>477</v>
      </c>
      <c r="K40478" s="18"/>
    </row>
    <row r="40479">
      <c r="B40479" s="17" t="s">
        <v>477</v>
      </c>
      <c r="K40479" s="18"/>
    </row>
    <row r="40480">
      <c r="B40480" s="17" t="s">
        <v>477</v>
      </c>
      <c r="K40480" s="18"/>
    </row>
    <row r="40481">
      <c r="B40481" s="17" t="s">
        <v>477</v>
      </c>
      <c r="K40481" s="18"/>
    </row>
    <row r="40482">
      <c r="B40482" s="17" t="s">
        <v>477</v>
      </c>
      <c r="K40482" s="18"/>
    </row>
    <row r="40483">
      <c r="B40483" s="17" t="s">
        <v>477</v>
      </c>
      <c r="K40483" s="18"/>
    </row>
    <row r="40484">
      <c r="B40484" s="17" t="s">
        <v>477</v>
      </c>
      <c r="K40484" s="18"/>
    </row>
    <row r="40485">
      <c r="B40485" s="17" t="s">
        <v>477</v>
      </c>
      <c r="K40485" s="18"/>
    </row>
    <row r="40486">
      <c r="B40486" s="17" t="s">
        <v>477</v>
      </c>
      <c r="K40486" s="18"/>
    </row>
    <row r="40487">
      <c r="B40487" s="17" t="s">
        <v>477</v>
      </c>
      <c r="K40487" s="18"/>
    </row>
    <row r="40488">
      <c r="B40488" s="17" t="s">
        <v>477</v>
      </c>
      <c r="K40488" s="18"/>
    </row>
    <row r="40489">
      <c r="B40489" s="17" t="s">
        <v>477</v>
      </c>
      <c r="K40489" s="18"/>
    </row>
    <row r="40490">
      <c r="B40490" s="17" t="s">
        <v>477</v>
      </c>
      <c r="K40490" s="18"/>
    </row>
    <row r="40491">
      <c r="B40491" s="17" t="s">
        <v>477</v>
      </c>
      <c r="K40491" s="18"/>
    </row>
    <row r="40492">
      <c r="B40492" s="17" t="s">
        <v>477</v>
      </c>
      <c r="K40492" s="18"/>
    </row>
    <row r="40493">
      <c r="B40493" s="17" t="s">
        <v>477</v>
      </c>
      <c r="K40493" s="18"/>
    </row>
    <row r="40494">
      <c r="B40494" s="17" t="s">
        <v>477</v>
      </c>
      <c r="K40494" s="18"/>
    </row>
    <row r="40495">
      <c r="B40495" s="17" t="s">
        <v>477</v>
      </c>
      <c r="K40495" s="18"/>
    </row>
    <row r="40496">
      <c r="B40496" s="17" t="s">
        <v>477</v>
      </c>
      <c r="K40496" s="18"/>
    </row>
    <row r="40497">
      <c r="B40497" s="17" t="s">
        <v>477</v>
      </c>
      <c r="K40497" s="18"/>
    </row>
    <row r="40498">
      <c r="B40498" s="17" t="s">
        <v>477</v>
      </c>
      <c r="K40498" s="18"/>
    </row>
    <row r="40499">
      <c r="B40499" s="17" t="s">
        <v>477</v>
      </c>
      <c r="K40499" s="18"/>
    </row>
    <row r="40500">
      <c r="B40500" s="17" t="s">
        <v>477</v>
      </c>
      <c r="K40500" s="18"/>
    </row>
    <row r="40501">
      <c r="B40501" s="17" t="s">
        <v>477</v>
      </c>
      <c r="K40501" s="18"/>
    </row>
    <row r="40502">
      <c r="B40502" s="17" t="s">
        <v>477</v>
      </c>
      <c r="K40502" s="18"/>
    </row>
    <row r="40503">
      <c r="B40503" s="17" t="s">
        <v>477</v>
      </c>
      <c r="K40503" s="18"/>
    </row>
    <row r="40504">
      <c r="B40504" s="17" t="s">
        <v>477</v>
      </c>
      <c r="K40504" s="18"/>
    </row>
    <row r="40505">
      <c r="B40505" s="17" t="s">
        <v>477</v>
      </c>
      <c r="K40505" s="18"/>
    </row>
    <row r="40506">
      <c r="B40506" s="17" t="s">
        <v>477</v>
      </c>
      <c r="K40506" s="18"/>
    </row>
    <row r="40507">
      <c r="B40507" s="17" t="s">
        <v>477</v>
      </c>
      <c r="K40507" s="18"/>
    </row>
    <row r="40508">
      <c r="B40508" s="17" t="s">
        <v>477</v>
      </c>
      <c r="K40508" s="18"/>
    </row>
    <row r="40509">
      <c r="B40509" s="17" t="s">
        <v>477</v>
      </c>
      <c r="K40509" s="18"/>
    </row>
    <row r="40510">
      <c r="B40510" s="17" t="s">
        <v>477</v>
      </c>
      <c r="K40510" s="18"/>
    </row>
    <row r="40511">
      <c r="B40511" s="17" t="s">
        <v>477</v>
      </c>
      <c r="K40511" s="18"/>
    </row>
    <row r="40512">
      <c r="B40512" s="17" t="s">
        <v>477</v>
      </c>
      <c r="K40512" s="18"/>
    </row>
    <row r="40513">
      <c r="B40513" s="17" t="s">
        <v>477</v>
      </c>
      <c r="K40513" s="18"/>
    </row>
    <row r="40514">
      <c r="B40514" s="17" t="s">
        <v>477</v>
      </c>
      <c r="K40514" s="18"/>
    </row>
    <row r="40515">
      <c r="B40515" s="17" t="s">
        <v>477</v>
      </c>
      <c r="K40515" s="18"/>
    </row>
    <row r="40516">
      <c r="B40516" s="17" t="s">
        <v>477</v>
      </c>
      <c r="K40516" s="18"/>
    </row>
    <row r="40517">
      <c r="B40517" s="17" t="s">
        <v>477</v>
      </c>
      <c r="K40517" s="18"/>
    </row>
    <row r="40518">
      <c r="B40518" s="17" t="s">
        <v>477</v>
      </c>
      <c r="K40518" s="18"/>
    </row>
    <row r="40519">
      <c r="B40519" s="17" t="s">
        <v>477</v>
      </c>
      <c r="K40519" s="18"/>
    </row>
    <row r="40520">
      <c r="B40520" s="17" t="s">
        <v>477</v>
      </c>
      <c r="K40520" s="18"/>
    </row>
    <row r="40521">
      <c r="B40521" s="17" t="s">
        <v>477</v>
      </c>
      <c r="K40521" s="18"/>
    </row>
    <row r="40522">
      <c r="B40522" s="17" t="s">
        <v>477</v>
      </c>
      <c r="K40522" s="18"/>
    </row>
    <row r="40523">
      <c r="B40523" s="17" t="s">
        <v>477</v>
      </c>
      <c r="K40523" s="18"/>
    </row>
    <row r="40524">
      <c r="B40524" s="17" t="s">
        <v>477</v>
      </c>
      <c r="K40524" s="18"/>
    </row>
    <row r="40525">
      <c r="B40525" s="17" t="s">
        <v>477</v>
      </c>
      <c r="K40525" s="18"/>
    </row>
    <row r="40526">
      <c r="B40526" s="17" t="s">
        <v>477</v>
      </c>
      <c r="K40526" s="18"/>
    </row>
    <row r="40527">
      <c r="B40527" s="17" t="s">
        <v>477</v>
      </c>
      <c r="K40527" s="18"/>
    </row>
    <row r="40528">
      <c r="B40528" s="17" t="s">
        <v>477</v>
      </c>
      <c r="K40528" s="18"/>
    </row>
    <row r="40529">
      <c r="B40529" s="17" t="s">
        <v>477</v>
      </c>
      <c r="K40529" s="18"/>
    </row>
    <row r="40530">
      <c r="B40530" s="17" t="s">
        <v>477</v>
      </c>
      <c r="K40530" s="18"/>
    </row>
    <row r="40531">
      <c r="B40531" s="17" t="s">
        <v>477</v>
      </c>
      <c r="K40531" s="18"/>
    </row>
    <row r="40532">
      <c r="B40532" s="17" t="s">
        <v>477</v>
      </c>
      <c r="K40532" s="18"/>
    </row>
    <row r="40533">
      <c r="B40533" s="17" t="s">
        <v>477</v>
      </c>
      <c r="K40533" s="18"/>
    </row>
    <row r="40534">
      <c r="B40534" s="17" t="s">
        <v>477</v>
      </c>
      <c r="K40534" s="18"/>
    </row>
    <row r="40535">
      <c r="B40535" s="17" t="s">
        <v>477</v>
      </c>
      <c r="K40535" s="18"/>
    </row>
    <row r="40536">
      <c r="B40536" s="17" t="s">
        <v>477</v>
      </c>
      <c r="K40536" s="18"/>
    </row>
    <row r="40537">
      <c r="B40537" s="17" t="s">
        <v>477</v>
      </c>
      <c r="K40537" s="18"/>
    </row>
    <row r="40538">
      <c r="B40538" s="17" t="s">
        <v>477</v>
      </c>
      <c r="K40538" s="18"/>
    </row>
    <row r="40539">
      <c r="B40539" s="17" t="s">
        <v>477</v>
      </c>
      <c r="K40539" s="18"/>
    </row>
    <row r="40540">
      <c r="B40540" s="17" t="s">
        <v>477</v>
      </c>
      <c r="K40540" s="18"/>
    </row>
    <row r="40541">
      <c r="B40541" s="17" t="s">
        <v>477</v>
      </c>
      <c r="K40541" s="18"/>
    </row>
    <row r="40542">
      <c r="B40542" s="17" t="s">
        <v>477</v>
      </c>
      <c r="K40542" s="18"/>
    </row>
    <row r="40543">
      <c r="B40543" s="17" t="s">
        <v>477</v>
      </c>
      <c r="K40543" s="18"/>
    </row>
    <row r="40544">
      <c r="B40544" s="17" t="s">
        <v>477</v>
      </c>
      <c r="K40544" s="18"/>
    </row>
    <row r="40545">
      <c r="B40545" s="17" t="s">
        <v>477</v>
      </c>
      <c r="K40545" s="18"/>
    </row>
    <row r="40546">
      <c r="B40546" s="17" t="s">
        <v>477</v>
      </c>
      <c r="K40546" s="18"/>
    </row>
    <row r="40547">
      <c r="B40547" s="17" t="s">
        <v>477</v>
      </c>
      <c r="K40547" s="18"/>
    </row>
    <row r="40548">
      <c r="B40548" s="17" t="s">
        <v>477</v>
      </c>
      <c r="K40548" s="18"/>
    </row>
    <row r="40549">
      <c r="B40549" s="17" t="s">
        <v>477</v>
      </c>
      <c r="K40549" s="18"/>
    </row>
    <row r="40550">
      <c r="B40550" s="17" t="s">
        <v>477</v>
      </c>
      <c r="K40550" s="18"/>
    </row>
    <row r="40551">
      <c r="B40551" s="17" t="s">
        <v>477</v>
      </c>
      <c r="K40551" s="18"/>
    </row>
    <row r="40552">
      <c r="B40552" s="17" t="s">
        <v>477</v>
      </c>
      <c r="K40552" s="18"/>
    </row>
    <row r="40553">
      <c r="B40553" s="17" t="s">
        <v>477</v>
      </c>
      <c r="K40553" s="18"/>
    </row>
    <row r="40554">
      <c r="B40554" s="17" t="s">
        <v>477</v>
      </c>
      <c r="K40554" s="18"/>
    </row>
    <row r="40555">
      <c r="B40555" s="17" t="s">
        <v>477</v>
      </c>
      <c r="K40555" s="18"/>
    </row>
    <row r="40556">
      <c r="B40556" s="17" t="s">
        <v>477</v>
      </c>
      <c r="K40556" s="18"/>
    </row>
    <row r="40557">
      <c r="B40557" s="17" t="s">
        <v>477</v>
      </c>
      <c r="K40557" s="18"/>
    </row>
    <row r="40558">
      <c r="B40558" s="17" t="s">
        <v>477</v>
      </c>
      <c r="K40558" s="18"/>
    </row>
    <row r="40559">
      <c r="B40559" s="17" t="s">
        <v>477</v>
      </c>
      <c r="K40559" s="18"/>
    </row>
    <row r="40560">
      <c r="B40560" s="17" t="s">
        <v>477</v>
      </c>
      <c r="K40560" s="18"/>
    </row>
    <row r="40561">
      <c r="B40561" s="17" t="s">
        <v>477</v>
      </c>
      <c r="K40561" s="18"/>
    </row>
    <row r="40562">
      <c r="B40562" s="17" t="s">
        <v>477</v>
      </c>
      <c r="K40562" s="18"/>
    </row>
    <row r="40563">
      <c r="B40563" s="17" t="s">
        <v>477</v>
      </c>
      <c r="K40563" s="18"/>
    </row>
    <row r="40564">
      <c r="B40564" s="17" t="s">
        <v>477</v>
      </c>
      <c r="K40564" s="18"/>
    </row>
    <row r="40565">
      <c r="B40565" s="17" t="s">
        <v>477</v>
      </c>
      <c r="K40565" s="18"/>
    </row>
    <row r="40566">
      <c r="B40566" s="17" t="s">
        <v>477</v>
      </c>
      <c r="K40566" s="18"/>
    </row>
    <row r="40567">
      <c r="B40567" s="17" t="s">
        <v>477</v>
      </c>
      <c r="K40567" s="18"/>
    </row>
    <row r="40568">
      <c r="B40568" s="17" t="s">
        <v>477</v>
      </c>
      <c r="K40568" s="18"/>
    </row>
    <row r="40569">
      <c r="B40569" s="17" t="s">
        <v>477</v>
      </c>
      <c r="K40569" s="18"/>
    </row>
    <row r="40570">
      <c r="B40570" s="17" t="s">
        <v>477</v>
      </c>
      <c r="K40570" s="18"/>
    </row>
    <row r="40571">
      <c r="B40571" s="17" t="s">
        <v>477</v>
      </c>
      <c r="K40571" s="18"/>
    </row>
    <row r="40572">
      <c r="B40572" s="17" t="s">
        <v>477</v>
      </c>
      <c r="K40572" s="18"/>
    </row>
    <row r="40573">
      <c r="B40573" s="17" t="s">
        <v>477</v>
      </c>
      <c r="K40573" s="18"/>
    </row>
    <row r="40574">
      <c r="B40574" s="17" t="s">
        <v>477</v>
      </c>
      <c r="K40574" s="18"/>
    </row>
    <row r="40575">
      <c r="B40575" s="17" t="s">
        <v>477</v>
      </c>
      <c r="K40575" s="18"/>
    </row>
    <row r="40576">
      <c r="B40576" s="17" t="s">
        <v>477</v>
      </c>
      <c r="K40576" s="18"/>
    </row>
    <row r="40577">
      <c r="B40577" s="17" t="s">
        <v>477</v>
      </c>
      <c r="K40577" s="18"/>
    </row>
    <row r="40578">
      <c r="B40578" s="17" t="s">
        <v>477</v>
      </c>
      <c r="K40578" s="18"/>
    </row>
    <row r="40579">
      <c r="B40579" s="17" t="s">
        <v>477</v>
      </c>
      <c r="K40579" s="18"/>
    </row>
    <row r="40580">
      <c r="B40580" s="17" t="s">
        <v>477</v>
      </c>
      <c r="K40580" s="18"/>
    </row>
    <row r="40581">
      <c r="B40581" s="17" t="s">
        <v>477</v>
      </c>
      <c r="K40581" s="18"/>
    </row>
    <row r="40582">
      <c r="B40582" s="17" t="s">
        <v>477</v>
      </c>
      <c r="K40582" s="18"/>
    </row>
    <row r="40583">
      <c r="B40583" s="17" t="s">
        <v>477</v>
      </c>
      <c r="K40583" s="18"/>
    </row>
    <row r="40584">
      <c r="B40584" s="17" t="s">
        <v>477</v>
      </c>
      <c r="K40584" s="18"/>
    </row>
    <row r="40585">
      <c r="B40585" s="17" t="s">
        <v>477</v>
      </c>
      <c r="K40585" s="18"/>
    </row>
    <row r="40586">
      <c r="B40586" s="17" t="s">
        <v>477</v>
      </c>
      <c r="K40586" s="18"/>
    </row>
    <row r="40587">
      <c r="B40587" s="17" t="s">
        <v>477</v>
      </c>
      <c r="K40587" s="18"/>
    </row>
    <row r="40588">
      <c r="B40588" s="17" t="s">
        <v>477</v>
      </c>
      <c r="K40588" s="18"/>
    </row>
    <row r="40589">
      <c r="B40589" s="17" t="s">
        <v>477</v>
      </c>
      <c r="K40589" s="18"/>
    </row>
    <row r="40590">
      <c r="B40590" s="17" t="s">
        <v>477</v>
      </c>
      <c r="K40590" s="18"/>
    </row>
    <row r="40591">
      <c r="B40591" s="17" t="s">
        <v>477</v>
      </c>
      <c r="K40591" s="18"/>
    </row>
    <row r="40592">
      <c r="B40592" s="17" t="s">
        <v>477</v>
      </c>
      <c r="K40592" s="18"/>
    </row>
    <row r="40593">
      <c r="B40593" s="17" t="s">
        <v>477</v>
      </c>
      <c r="K40593" s="18"/>
    </row>
    <row r="40594">
      <c r="B40594" s="17" t="s">
        <v>477</v>
      </c>
      <c r="K40594" s="18"/>
    </row>
    <row r="40595">
      <c r="B40595" s="17" t="s">
        <v>477</v>
      </c>
      <c r="K40595" s="18"/>
    </row>
    <row r="40596">
      <c r="B40596" s="17" t="s">
        <v>477</v>
      </c>
      <c r="K40596" s="18"/>
    </row>
    <row r="40597">
      <c r="B40597" s="17" t="s">
        <v>477</v>
      </c>
      <c r="K40597" s="18"/>
    </row>
    <row r="40598">
      <c r="B40598" s="17" t="s">
        <v>477</v>
      </c>
      <c r="K40598" s="18"/>
    </row>
    <row r="40599">
      <c r="B40599" s="17" t="s">
        <v>477</v>
      </c>
      <c r="K40599" s="18"/>
    </row>
    <row r="40600">
      <c r="B40600" s="17" t="s">
        <v>477</v>
      </c>
      <c r="K40600" s="18"/>
    </row>
    <row r="40601">
      <c r="B40601" s="17" t="s">
        <v>477</v>
      </c>
      <c r="K40601" s="18"/>
    </row>
    <row r="40602">
      <c r="B40602" s="17" t="s">
        <v>477</v>
      </c>
      <c r="K40602" s="18"/>
    </row>
    <row r="40603">
      <c r="B40603" s="17" t="s">
        <v>477</v>
      </c>
      <c r="K40603" s="18"/>
    </row>
    <row r="40604">
      <c r="B40604" s="17" t="s">
        <v>477</v>
      </c>
      <c r="K40604" s="18"/>
    </row>
    <row r="40605">
      <c r="B40605" s="17" t="s">
        <v>477</v>
      </c>
      <c r="K40605" s="18"/>
    </row>
    <row r="40606">
      <c r="B40606" s="17" t="s">
        <v>477</v>
      </c>
      <c r="K40606" s="18"/>
    </row>
    <row r="40607">
      <c r="B40607" s="17" t="s">
        <v>477</v>
      </c>
      <c r="K40607" s="18"/>
    </row>
    <row r="40608">
      <c r="B40608" s="17" t="s">
        <v>477</v>
      </c>
      <c r="K40608" s="18"/>
    </row>
    <row r="40609">
      <c r="B40609" s="17" t="s">
        <v>477</v>
      </c>
      <c r="K40609" s="18"/>
    </row>
    <row r="40610">
      <c r="B40610" s="17" t="s">
        <v>477</v>
      </c>
      <c r="K40610" s="18"/>
    </row>
    <row r="40611">
      <c r="B40611" s="17" t="s">
        <v>477</v>
      </c>
      <c r="K40611" s="18"/>
    </row>
    <row r="40612">
      <c r="B40612" s="17" t="s">
        <v>477</v>
      </c>
      <c r="K40612" s="18"/>
    </row>
    <row r="40613">
      <c r="B40613" s="17" t="s">
        <v>477</v>
      </c>
      <c r="K40613" s="18"/>
    </row>
    <row r="40614">
      <c r="B40614" s="17" t="s">
        <v>477</v>
      </c>
      <c r="K40614" s="18"/>
    </row>
    <row r="40615">
      <c r="B40615" s="17" t="s">
        <v>477</v>
      </c>
      <c r="K40615" s="18"/>
    </row>
    <row r="40616">
      <c r="B40616" s="17" t="s">
        <v>477</v>
      </c>
      <c r="K40616" s="18"/>
    </row>
    <row r="40617">
      <c r="B40617" s="17" t="s">
        <v>477</v>
      </c>
      <c r="K40617" s="18"/>
    </row>
    <row r="40618">
      <c r="B40618" s="17" t="s">
        <v>477</v>
      </c>
      <c r="K40618" s="18"/>
    </row>
    <row r="40619">
      <c r="B40619" s="17" t="s">
        <v>477</v>
      </c>
      <c r="K40619" s="18"/>
    </row>
    <row r="40620">
      <c r="B40620" s="17" t="s">
        <v>477</v>
      </c>
      <c r="K40620" s="18"/>
    </row>
    <row r="40621">
      <c r="B40621" s="17" t="s">
        <v>477</v>
      </c>
      <c r="K40621" s="18"/>
    </row>
    <row r="40622">
      <c r="B40622" s="17" t="s">
        <v>477</v>
      </c>
      <c r="K40622" s="18"/>
    </row>
    <row r="40623">
      <c r="B40623" s="17" t="s">
        <v>477</v>
      </c>
      <c r="K40623" s="18"/>
    </row>
    <row r="40624">
      <c r="B40624" s="17" t="s">
        <v>477</v>
      </c>
      <c r="K40624" s="18"/>
    </row>
    <row r="40625">
      <c r="B40625" s="17" t="s">
        <v>477</v>
      </c>
      <c r="K40625" s="18"/>
    </row>
    <row r="40626">
      <c r="B40626" s="17" t="s">
        <v>477</v>
      </c>
      <c r="K40626" s="18"/>
    </row>
    <row r="40627">
      <c r="B40627" s="17" t="s">
        <v>477</v>
      </c>
      <c r="K40627" s="18"/>
    </row>
    <row r="40628">
      <c r="B40628" s="17" t="s">
        <v>477</v>
      </c>
      <c r="K40628" s="18"/>
    </row>
    <row r="40629">
      <c r="B40629" s="17" t="s">
        <v>477</v>
      </c>
      <c r="K40629" s="18"/>
    </row>
    <row r="40630">
      <c r="B40630" s="17" t="s">
        <v>477</v>
      </c>
      <c r="K40630" s="18"/>
    </row>
    <row r="40631">
      <c r="B40631" s="17" t="s">
        <v>477</v>
      </c>
      <c r="K40631" s="18"/>
    </row>
    <row r="40632">
      <c r="B40632" s="17" t="s">
        <v>477</v>
      </c>
      <c r="K40632" s="18"/>
    </row>
    <row r="40633">
      <c r="B40633" s="17" t="s">
        <v>477</v>
      </c>
      <c r="K40633" s="18"/>
    </row>
    <row r="40634">
      <c r="B40634" s="17" t="s">
        <v>477</v>
      </c>
      <c r="K40634" s="18"/>
    </row>
    <row r="40635">
      <c r="B40635" s="17" t="s">
        <v>477</v>
      </c>
      <c r="K40635" s="18"/>
    </row>
    <row r="40636">
      <c r="B40636" s="17" t="s">
        <v>477</v>
      </c>
      <c r="K40636" s="18"/>
    </row>
    <row r="40637">
      <c r="B40637" s="17" t="s">
        <v>477</v>
      </c>
      <c r="K40637" s="18"/>
    </row>
    <row r="40638">
      <c r="B40638" s="17" t="s">
        <v>477</v>
      </c>
      <c r="K40638" s="18"/>
    </row>
    <row r="40639">
      <c r="B40639" s="17" t="s">
        <v>477</v>
      </c>
      <c r="K40639" s="18"/>
    </row>
    <row r="40640">
      <c r="B40640" s="17" t="s">
        <v>477</v>
      </c>
      <c r="K40640" s="18"/>
    </row>
    <row r="40641">
      <c r="B40641" s="17" t="s">
        <v>477</v>
      </c>
      <c r="K40641" s="18"/>
    </row>
    <row r="40642">
      <c r="B40642" s="17" t="s">
        <v>477</v>
      </c>
      <c r="K40642" s="18"/>
    </row>
    <row r="40643">
      <c r="B40643" s="17" t="s">
        <v>477</v>
      </c>
      <c r="K40643" s="18"/>
    </row>
    <row r="40644">
      <c r="B40644" s="17" t="s">
        <v>477</v>
      </c>
      <c r="K40644" s="18"/>
    </row>
    <row r="40645">
      <c r="B40645" s="17" t="s">
        <v>477</v>
      </c>
      <c r="K40645" s="18"/>
    </row>
    <row r="40646">
      <c r="B40646" s="17" t="s">
        <v>477</v>
      </c>
      <c r="K40646" s="18"/>
    </row>
    <row r="40647">
      <c r="B40647" s="17" t="s">
        <v>477</v>
      </c>
      <c r="K40647" s="18"/>
    </row>
    <row r="40648">
      <c r="B40648" s="17" t="s">
        <v>477</v>
      </c>
      <c r="K40648" s="18"/>
    </row>
    <row r="40649">
      <c r="B40649" s="17" t="s">
        <v>477</v>
      </c>
      <c r="K40649" s="18"/>
    </row>
    <row r="40650">
      <c r="B40650" s="17" t="s">
        <v>477</v>
      </c>
      <c r="K40650" s="18"/>
    </row>
    <row r="40651">
      <c r="B40651" s="17" t="s">
        <v>477</v>
      </c>
      <c r="K40651" s="18"/>
    </row>
    <row r="40652">
      <c r="B40652" s="17" t="s">
        <v>477</v>
      </c>
      <c r="K40652" s="18"/>
    </row>
    <row r="40653">
      <c r="B40653" s="17" t="s">
        <v>477</v>
      </c>
      <c r="K40653" s="18"/>
    </row>
    <row r="40654">
      <c r="B40654" s="17" t="s">
        <v>477</v>
      </c>
      <c r="K40654" s="18"/>
    </row>
    <row r="40655">
      <c r="B40655" s="17" t="s">
        <v>477</v>
      </c>
      <c r="K40655" s="18"/>
    </row>
    <row r="40656">
      <c r="B40656" s="17" t="s">
        <v>477</v>
      </c>
      <c r="K40656" s="18"/>
    </row>
    <row r="40657">
      <c r="B40657" s="17" t="s">
        <v>477</v>
      </c>
      <c r="K40657" s="18"/>
    </row>
    <row r="40658">
      <c r="B40658" s="17" t="s">
        <v>477</v>
      </c>
      <c r="K40658" s="18"/>
    </row>
    <row r="40659">
      <c r="B40659" s="17" t="s">
        <v>477</v>
      </c>
      <c r="K40659" s="18"/>
    </row>
    <row r="40660">
      <c r="B40660" s="17" t="s">
        <v>477</v>
      </c>
      <c r="K40660" s="18"/>
    </row>
    <row r="40661">
      <c r="B40661" s="17" t="s">
        <v>477</v>
      </c>
      <c r="K40661" s="18"/>
    </row>
    <row r="40662">
      <c r="B40662" s="17" t="s">
        <v>477</v>
      </c>
      <c r="K40662" s="18"/>
    </row>
    <row r="40663">
      <c r="B40663" s="17" t="s">
        <v>477</v>
      </c>
      <c r="K40663" s="18"/>
    </row>
    <row r="40664">
      <c r="B40664" s="17" t="s">
        <v>477</v>
      </c>
      <c r="K40664" s="18"/>
    </row>
    <row r="40665">
      <c r="B40665" s="17" t="s">
        <v>477</v>
      </c>
      <c r="K40665" s="18"/>
    </row>
    <row r="40666">
      <c r="B40666" s="17" t="s">
        <v>477</v>
      </c>
      <c r="K40666" s="18"/>
    </row>
    <row r="40667">
      <c r="B40667" s="17" t="s">
        <v>477</v>
      </c>
      <c r="K40667" s="18"/>
    </row>
    <row r="40668">
      <c r="B40668" s="17" t="s">
        <v>477</v>
      </c>
      <c r="K40668" s="18"/>
    </row>
    <row r="40669">
      <c r="B40669" s="17" t="s">
        <v>477</v>
      </c>
      <c r="K40669" s="18"/>
    </row>
    <row r="40670">
      <c r="B40670" s="17" t="s">
        <v>477</v>
      </c>
      <c r="K40670" s="18"/>
    </row>
    <row r="40671">
      <c r="B40671" s="17" t="s">
        <v>477</v>
      </c>
      <c r="K40671" s="18"/>
    </row>
    <row r="40672">
      <c r="B40672" s="17" t="s">
        <v>477</v>
      </c>
      <c r="K40672" s="18"/>
    </row>
    <row r="40673">
      <c r="B40673" s="17" t="s">
        <v>477</v>
      </c>
      <c r="K40673" s="18"/>
    </row>
    <row r="40674">
      <c r="B40674" s="17" t="s">
        <v>477</v>
      </c>
      <c r="K40674" s="18"/>
    </row>
    <row r="40675">
      <c r="B40675" s="17" t="s">
        <v>477</v>
      </c>
      <c r="K40675" s="18"/>
    </row>
    <row r="40676">
      <c r="B40676" s="17" t="s">
        <v>477</v>
      </c>
      <c r="K40676" s="18"/>
    </row>
    <row r="40677">
      <c r="B40677" s="17" t="s">
        <v>477</v>
      </c>
      <c r="K40677" s="18"/>
    </row>
    <row r="40678">
      <c r="B40678" s="17" t="s">
        <v>477</v>
      </c>
      <c r="K40678" s="18"/>
    </row>
    <row r="40679">
      <c r="B40679" s="17" t="s">
        <v>477</v>
      </c>
      <c r="K40679" s="18"/>
    </row>
    <row r="40680">
      <c r="B40680" s="17" t="s">
        <v>477</v>
      </c>
      <c r="K40680" s="18"/>
    </row>
    <row r="40681">
      <c r="B40681" s="17" t="s">
        <v>477</v>
      </c>
      <c r="K40681" s="18"/>
    </row>
    <row r="40682">
      <c r="B40682" s="17" t="s">
        <v>477</v>
      </c>
      <c r="K40682" s="18"/>
    </row>
    <row r="40683">
      <c r="B40683" s="17" t="s">
        <v>477</v>
      </c>
      <c r="K40683" s="18"/>
    </row>
    <row r="40684">
      <c r="B40684" s="17" t="s">
        <v>477</v>
      </c>
      <c r="K40684" s="18"/>
    </row>
    <row r="40685">
      <c r="B40685" s="17" t="s">
        <v>477</v>
      </c>
      <c r="K40685" s="18"/>
    </row>
    <row r="40686">
      <c r="B40686" s="17" t="s">
        <v>477</v>
      </c>
      <c r="K40686" s="18"/>
    </row>
    <row r="40687">
      <c r="B40687" s="17" t="s">
        <v>477</v>
      </c>
      <c r="K40687" s="18"/>
    </row>
    <row r="40688">
      <c r="B40688" s="17" t="s">
        <v>477</v>
      </c>
      <c r="K40688" s="18"/>
    </row>
    <row r="40689">
      <c r="B40689" s="17" t="s">
        <v>477</v>
      </c>
      <c r="K40689" s="18"/>
    </row>
    <row r="40690">
      <c r="B40690" s="17" t="s">
        <v>477</v>
      </c>
      <c r="K40690" s="18"/>
    </row>
    <row r="40691">
      <c r="B40691" s="17" t="s">
        <v>477</v>
      </c>
      <c r="K40691" s="18"/>
    </row>
    <row r="40692">
      <c r="B40692" s="17" t="s">
        <v>477</v>
      </c>
      <c r="K40692" s="18"/>
    </row>
    <row r="40693">
      <c r="B40693" s="17" t="s">
        <v>477</v>
      </c>
      <c r="K40693" s="18"/>
    </row>
    <row r="40694">
      <c r="B40694" s="17" t="s">
        <v>477</v>
      </c>
      <c r="K40694" s="18"/>
    </row>
    <row r="40695">
      <c r="B40695" s="17" t="s">
        <v>477</v>
      </c>
      <c r="K40695" s="18"/>
    </row>
    <row r="40696">
      <c r="B40696" s="17" t="s">
        <v>477</v>
      </c>
      <c r="K40696" s="18"/>
    </row>
    <row r="40697">
      <c r="B40697" s="17" t="s">
        <v>477</v>
      </c>
      <c r="K40697" s="18"/>
    </row>
    <row r="40698">
      <c r="B40698" s="17" t="s">
        <v>477</v>
      </c>
      <c r="K40698" s="18"/>
    </row>
    <row r="40699">
      <c r="B40699" s="17" t="s">
        <v>477</v>
      </c>
      <c r="K40699" s="18"/>
    </row>
    <row r="40700">
      <c r="B40700" s="17" t="s">
        <v>477</v>
      </c>
      <c r="K40700" s="18"/>
    </row>
    <row r="40701">
      <c r="B40701" s="17" t="s">
        <v>477</v>
      </c>
      <c r="K40701" s="18"/>
    </row>
    <row r="40702">
      <c r="B40702" s="17" t="s">
        <v>477</v>
      </c>
      <c r="K40702" s="18"/>
    </row>
    <row r="40703">
      <c r="B40703" s="17" t="s">
        <v>477</v>
      </c>
      <c r="K40703" s="18"/>
    </row>
    <row r="40704">
      <c r="B40704" s="17" t="s">
        <v>477</v>
      </c>
      <c r="K40704" s="18"/>
    </row>
    <row r="40705">
      <c r="B40705" s="17" t="s">
        <v>477</v>
      </c>
      <c r="K40705" s="18"/>
    </row>
    <row r="40706">
      <c r="B40706" s="17" t="s">
        <v>477</v>
      </c>
      <c r="K40706" s="18"/>
    </row>
    <row r="40707">
      <c r="B40707" s="17" t="s">
        <v>477</v>
      </c>
      <c r="K40707" s="18"/>
    </row>
    <row r="40708">
      <c r="B40708" s="17" t="s">
        <v>477</v>
      </c>
      <c r="K40708" s="18"/>
    </row>
    <row r="40709">
      <c r="B40709" s="17" t="s">
        <v>477</v>
      </c>
      <c r="K40709" s="18"/>
    </row>
    <row r="40710">
      <c r="B40710" s="17" t="s">
        <v>477</v>
      </c>
      <c r="K40710" s="18"/>
    </row>
    <row r="40711">
      <c r="B40711" s="17" t="s">
        <v>477</v>
      </c>
      <c r="K40711" s="18"/>
    </row>
    <row r="40712">
      <c r="B40712" s="17" t="s">
        <v>477</v>
      </c>
      <c r="K40712" s="18"/>
    </row>
    <row r="40713">
      <c r="B40713" s="17" t="s">
        <v>477</v>
      </c>
      <c r="K40713" s="18"/>
    </row>
    <row r="40714">
      <c r="B40714" s="17" t="s">
        <v>477</v>
      </c>
      <c r="K40714" s="18"/>
    </row>
    <row r="40715">
      <c r="B40715" s="17" t="s">
        <v>477</v>
      </c>
      <c r="K40715" s="18"/>
    </row>
    <row r="40716">
      <c r="B40716" s="17" t="s">
        <v>477</v>
      </c>
      <c r="K40716" s="18"/>
    </row>
    <row r="40717">
      <c r="B40717" s="17" t="s">
        <v>477</v>
      </c>
      <c r="K40717" s="18"/>
    </row>
    <row r="40718">
      <c r="B40718" s="17" t="s">
        <v>477</v>
      </c>
      <c r="K40718" s="18"/>
    </row>
    <row r="40719">
      <c r="B40719" s="17" t="s">
        <v>477</v>
      </c>
      <c r="K40719" s="18"/>
    </row>
    <row r="40720">
      <c r="B40720" s="17" t="s">
        <v>477</v>
      </c>
      <c r="K40720" s="18"/>
    </row>
    <row r="40721">
      <c r="B40721" s="17" t="s">
        <v>477</v>
      </c>
      <c r="K40721" s="18"/>
    </row>
    <row r="40722">
      <c r="B40722" s="17" t="s">
        <v>477</v>
      </c>
      <c r="K40722" s="18"/>
    </row>
    <row r="40723">
      <c r="B40723" s="17" t="s">
        <v>477</v>
      </c>
      <c r="K40723" s="18"/>
    </row>
    <row r="40724">
      <c r="B40724" s="17" t="s">
        <v>477</v>
      </c>
      <c r="K40724" s="18"/>
    </row>
    <row r="40725">
      <c r="B40725" s="17" t="s">
        <v>477</v>
      </c>
      <c r="K40725" s="18"/>
    </row>
    <row r="40726">
      <c r="B40726" s="17" t="s">
        <v>477</v>
      </c>
      <c r="K40726" s="18"/>
    </row>
    <row r="40727">
      <c r="B40727" s="17" t="s">
        <v>477</v>
      </c>
      <c r="K40727" s="18"/>
    </row>
    <row r="40728">
      <c r="B40728" s="17" t="s">
        <v>477</v>
      </c>
      <c r="K40728" s="18"/>
    </row>
    <row r="40729">
      <c r="B40729" s="17" t="s">
        <v>477</v>
      </c>
      <c r="K40729" s="18"/>
    </row>
    <row r="40730">
      <c r="B40730" s="17" t="s">
        <v>477</v>
      </c>
      <c r="K40730" s="18"/>
    </row>
    <row r="40731">
      <c r="B40731" s="17" t="s">
        <v>477</v>
      </c>
      <c r="K40731" s="18"/>
    </row>
    <row r="40732">
      <c r="B40732" s="17" t="s">
        <v>477</v>
      </c>
      <c r="K40732" s="18"/>
    </row>
    <row r="40733">
      <c r="B40733" s="17" t="s">
        <v>477</v>
      </c>
      <c r="K40733" s="18"/>
    </row>
    <row r="40734">
      <c r="B40734" s="17" t="s">
        <v>477</v>
      </c>
      <c r="K40734" s="18"/>
    </row>
    <row r="40735">
      <c r="B40735" s="17" t="s">
        <v>477</v>
      </c>
      <c r="K40735" s="18"/>
    </row>
    <row r="40736">
      <c r="B40736" s="17" t="s">
        <v>477</v>
      </c>
      <c r="K40736" s="18"/>
    </row>
    <row r="40737">
      <c r="B40737" s="17" t="s">
        <v>477</v>
      </c>
      <c r="K40737" s="18"/>
    </row>
    <row r="40738">
      <c r="B40738" s="17" t="s">
        <v>477</v>
      </c>
      <c r="K40738" s="18"/>
    </row>
    <row r="40739">
      <c r="B40739" s="17" t="s">
        <v>477</v>
      </c>
      <c r="K40739" s="18"/>
    </row>
    <row r="40740">
      <c r="B40740" s="17" t="s">
        <v>477</v>
      </c>
      <c r="K40740" s="18"/>
    </row>
    <row r="40741">
      <c r="B40741" s="17" t="s">
        <v>477</v>
      </c>
      <c r="K40741" s="18"/>
    </row>
    <row r="40742">
      <c r="B40742" s="17" t="s">
        <v>477</v>
      </c>
      <c r="K40742" s="18"/>
    </row>
    <row r="40743">
      <c r="B40743" s="17" t="s">
        <v>477</v>
      </c>
      <c r="K40743" s="18"/>
    </row>
    <row r="40744">
      <c r="B40744" s="17" t="s">
        <v>477</v>
      </c>
      <c r="K40744" s="18"/>
    </row>
    <row r="40745">
      <c r="B40745" s="17" t="s">
        <v>477</v>
      </c>
      <c r="K40745" s="18"/>
    </row>
    <row r="40746">
      <c r="B40746" s="17" t="s">
        <v>477</v>
      </c>
      <c r="K40746" s="18"/>
    </row>
    <row r="40747">
      <c r="B40747" s="17" t="s">
        <v>477</v>
      </c>
      <c r="K40747" s="18"/>
    </row>
    <row r="40748">
      <c r="B40748" s="17" t="s">
        <v>477</v>
      </c>
      <c r="K40748" s="18"/>
    </row>
    <row r="40749">
      <c r="B40749" s="17" t="s">
        <v>477</v>
      </c>
      <c r="K40749" s="18"/>
    </row>
    <row r="40750">
      <c r="B40750" s="17" t="s">
        <v>477</v>
      </c>
      <c r="K40750" s="18"/>
    </row>
    <row r="40751">
      <c r="B40751" s="17" t="s">
        <v>477</v>
      </c>
      <c r="K40751" s="18"/>
    </row>
    <row r="40752">
      <c r="B40752" s="17" t="s">
        <v>477</v>
      </c>
      <c r="K40752" s="18"/>
    </row>
    <row r="40753">
      <c r="B40753" s="17" t="s">
        <v>477</v>
      </c>
      <c r="K40753" s="18"/>
    </row>
    <row r="40754">
      <c r="B40754" s="17" t="s">
        <v>477</v>
      </c>
      <c r="K40754" s="18"/>
    </row>
    <row r="40755">
      <c r="B40755" s="17" t="s">
        <v>477</v>
      </c>
      <c r="K40755" s="18"/>
    </row>
    <row r="40756">
      <c r="B40756" s="17" t="s">
        <v>477</v>
      </c>
      <c r="K40756" s="18"/>
    </row>
    <row r="40757">
      <c r="B40757" s="17" t="s">
        <v>477</v>
      </c>
      <c r="K40757" s="18"/>
    </row>
    <row r="40758">
      <c r="B40758" s="17" t="s">
        <v>477</v>
      </c>
      <c r="K40758" s="18"/>
    </row>
    <row r="40759">
      <c r="B40759" s="17" t="s">
        <v>477</v>
      </c>
      <c r="K40759" s="18"/>
    </row>
    <row r="40760">
      <c r="B40760" s="17" t="s">
        <v>477</v>
      </c>
      <c r="K40760" s="18"/>
    </row>
    <row r="40761">
      <c r="B40761" s="17" t="s">
        <v>477</v>
      </c>
      <c r="K40761" s="18"/>
    </row>
    <row r="40762">
      <c r="B40762" s="17" t="s">
        <v>477</v>
      </c>
      <c r="K40762" s="18"/>
    </row>
    <row r="40763">
      <c r="B40763" s="17" t="s">
        <v>477</v>
      </c>
      <c r="K40763" s="18"/>
    </row>
    <row r="40764">
      <c r="B40764" s="17" t="s">
        <v>477</v>
      </c>
      <c r="K40764" s="18"/>
    </row>
    <row r="40765">
      <c r="B40765" s="17" t="s">
        <v>477</v>
      </c>
      <c r="K40765" s="18"/>
    </row>
    <row r="40766">
      <c r="B40766" s="17" t="s">
        <v>477</v>
      </c>
      <c r="K40766" s="18"/>
    </row>
    <row r="40767">
      <c r="B40767" s="17" t="s">
        <v>477</v>
      </c>
      <c r="K40767" s="18"/>
    </row>
    <row r="40768">
      <c r="B40768" s="17" t="s">
        <v>477</v>
      </c>
      <c r="K40768" s="18"/>
    </row>
    <row r="40769">
      <c r="B40769" s="17" t="s">
        <v>477</v>
      </c>
      <c r="K40769" s="18"/>
    </row>
    <row r="40770">
      <c r="B40770" s="17" t="s">
        <v>477</v>
      </c>
      <c r="K40770" s="18"/>
    </row>
    <row r="40771">
      <c r="B40771" s="17" t="s">
        <v>477</v>
      </c>
      <c r="K40771" s="18"/>
    </row>
    <row r="40772">
      <c r="B40772" s="17" t="s">
        <v>477</v>
      </c>
      <c r="K40772" s="18"/>
    </row>
    <row r="40773">
      <c r="B40773" s="17" t="s">
        <v>477</v>
      </c>
      <c r="K40773" s="18"/>
    </row>
    <row r="40774">
      <c r="B40774" s="17" t="s">
        <v>477</v>
      </c>
      <c r="K40774" s="18"/>
    </row>
    <row r="40775">
      <c r="B40775" s="17" t="s">
        <v>477</v>
      </c>
      <c r="K40775" s="18"/>
    </row>
    <row r="40776">
      <c r="B40776" s="17" t="s">
        <v>477</v>
      </c>
      <c r="K40776" s="18"/>
    </row>
    <row r="40777">
      <c r="B40777" s="17" t="s">
        <v>477</v>
      </c>
      <c r="K40777" s="18"/>
    </row>
    <row r="40778">
      <c r="B40778" s="17" t="s">
        <v>477</v>
      </c>
      <c r="K40778" s="18"/>
    </row>
    <row r="40779">
      <c r="B40779" s="17" t="s">
        <v>477</v>
      </c>
      <c r="K40779" s="18"/>
    </row>
    <row r="40780">
      <c r="B40780" s="17" t="s">
        <v>477</v>
      </c>
      <c r="K40780" s="18"/>
    </row>
    <row r="40781">
      <c r="B40781" s="17" t="s">
        <v>477</v>
      </c>
      <c r="K40781" s="18"/>
    </row>
    <row r="40782">
      <c r="B40782" s="17" t="s">
        <v>477</v>
      </c>
      <c r="K40782" s="18"/>
    </row>
    <row r="40783">
      <c r="B40783" s="17" t="s">
        <v>477</v>
      </c>
      <c r="K40783" s="18"/>
    </row>
    <row r="40784">
      <c r="B40784" s="17" t="s">
        <v>477</v>
      </c>
      <c r="K40784" s="18"/>
    </row>
    <row r="40785">
      <c r="B40785" s="17" t="s">
        <v>477</v>
      </c>
      <c r="K40785" s="18"/>
    </row>
    <row r="40786">
      <c r="B40786" s="17" t="s">
        <v>477</v>
      </c>
      <c r="K40786" s="18"/>
    </row>
    <row r="40787">
      <c r="B40787" s="17" t="s">
        <v>477</v>
      </c>
      <c r="K40787" s="18"/>
    </row>
    <row r="40788">
      <c r="B40788" s="17" t="s">
        <v>477</v>
      </c>
      <c r="K40788" s="18"/>
    </row>
    <row r="40789">
      <c r="B40789" s="17" t="s">
        <v>477</v>
      </c>
      <c r="K40789" s="18"/>
    </row>
    <row r="40790">
      <c r="B40790" s="17" t="s">
        <v>477</v>
      </c>
      <c r="K40790" s="18"/>
    </row>
    <row r="40791">
      <c r="B40791" s="17" t="s">
        <v>477</v>
      </c>
      <c r="K40791" s="18"/>
    </row>
    <row r="40792">
      <c r="B40792" s="17" t="s">
        <v>477</v>
      </c>
      <c r="K40792" s="18"/>
    </row>
    <row r="40793">
      <c r="B40793" s="17" t="s">
        <v>477</v>
      </c>
      <c r="K40793" s="18"/>
    </row>
    <row r="40794">
      <c r="B40794" s="17" t="s">
        <v>477</v>
      </c>
      <c r="K40794" s="18"/>
    </row>
    <row r="40795">
      <c r="B40795" s="17" t="s">
        <v>477</v>
      </c>
      <c r="K40795" s="18"/>
    </row>
    <row r="40796">
      <c r="B40796" s="17" t="s">
        <v>477</v>
      </c>
      <c r="K40796" s="18"/>
    </row>
    <row r="40797">
      <c r="B40797" s="17" t="s">
        <v>477</v>
      </c>
      <c r="K40797" s="18"/>
    </row>
    <row r="40798">
      <c r="B40798" s="17" t="s">
        <v>477</v>
      </c>
      <c r="K40798" s="18"/>
    </row>
    <row r="40799">
      <c r="B40799" s="17" t="s">
        <v>477</v>
      </c>
      <c r="K40799" s="18"/>
    </row>
    <row r="40800">
      <c r="B40800" s="17" t="s">
        <v>477</v>
      </c>
      <c r="K40800" s="18"/>
    </row>
    <row r="40801">
      <c r="B40801" s="17" t="s">
        <v>477</v>
      </c>
      <c r="K40801" s="18"/>
    </row>
    <row r="40802">
      <c r="B40802" s="17" t="s">
        <v>477</v>
      </c>
      <c r="K40802" s="18"/>
    </row>
    <row r="40803">
      <c r="B40803" s="17" t="s">
        <v>477</v>
      </c>
      <c r="K40803" s="18"/>
    </row>
    <row r="40804">
      <c r="B40804" s="17" t="s">
        <v>477</v>
      </c>
      <c r="K40804" s="18"/>
    </row>
    <row r="40805">
      <c r="B40805" s="17" t="s">
        <v>477</v>
      </c>
      <c r="K40805" s="18"/>
    </row>
    <row r="40806">
      <c r="B40806" s="17" t="s">
        <v>477</v>
      </c>
      <c r="K40806" s="18"/>
    </row>
    <row r="40807">
      <c r="B40807" s="17" t="s">
        <v>477</v>
      </c>
      <c r="K40807" s="18"/>
    </row>
    <row r="40808">
      <c r="B40808" s="17" t="s">
        <v>477</v>
      </c>
      <c r="K40808" s="18"/>
    </row>
    <row r="40809">
      <c r="B40809" s="17" t="s">
        <v>477</v>
      </c>
      <c r="K40809" s="18"/>
    </row>
    <row r="40810">
      <c r="B40810" s="17" t="s">
        <v>477</v>
      </c>
      <c r="K40810" s="18"/>
    </row>
    <row r="40811">
      <c r="B40811" s="17" t="s">
        <v>477</v>
      </c>
      <c r="K40811" s="18"/>
    </row>
    <row r="40812">
      <c r="B40812" s="17" t="s">
        <v>477</v>
      </c>
      <c r="K40812" s="18"/>
    </row>
    <row r="40813">
      <c r="B40813" s="17" t="s">
        <v>477</v>
      </c>
      <c r="K40813" s="18"/>
    </row>
    <row r="40814">
      <c r="B40814" s="17" t="s">
        <v>477</v>
      </c>
      <c r="K40814" s="18"/>
    </row>
    <row r="40815">
      <c r="B40815" s="17" t="s">
        <v>477</v>
      </c>
      <c r="K40815" s="18"/>
    </row>
    <row r="40816">
      <c r="B40816" s="17" t="s">
        <v>477</v>
      </c>
      <c r="K40816" s="18"/>
    </row>
    <row r="40817">
      <c r="B40817" s="17" t="s">
        <v>477</v>
      </c>
      <c r="K40817" s="18"/>
    </row>
    <row r="40818">
      <c r="B40818" s="17" t="s">
        <v>477</v>
      </c>
      <c r="K40818" s="18"/>
    </row>
    <row r="40819">
      <c r="B40819" s="17" t="s">
        <v>477</v>
      </c>
      <c r="K40819" s="18"/>
    </row>
    <row r="40820">
      <c r="B40820" s="17" t="s">
        <v>477</v>
      </c>
      <c r="K40820" s="18"/>
    </row>
    <row r="40821">
      <c r="B40821" s="17" t="s">
        <v>477</v>
      </c>
      <c r="K40821" s="18"/>
    </row>
    <row r="40822">
      <c r="B40822" s="17" t="s">
        <v>477</v>
      </c>
      <c r="K40822" s="18"/>
    </row>
    <row r="40823">
      <c r="B40823" s="17" t="s">
        <v>477</v>
      </c>
      <c r="K40823" s="18"/>
    </row>
    <row r="40824">
      <c r="B40824" s="17" t="s">
        <v>477</v>
      </c>
      <c r="K40824" s="18"/>
    </row>
    <row r="40825">
      <c r="B40825" s="17" t="s">
        <v>477</v>
      </c>
      <c r="K40825" s="18"/>
    </row>
    <row r="40826">
      <c r="B40826" s="17" t="s">
        <v>477</v>
      </c>
      <c r="K40826" s="18"/>
    </row>
    <row r="40827">
      <c r="B40827" s="17" t="s">
        <v>477</v>
      </c>
      <c r="K40827" s="18"/>
    </row>
    <row r="40828">
      <c r="B40828" s="17" t="s">
        <v>477</v>
      </c>
      <c r="K40828" s="18"/>
    </row>
    <row r="40829">
      <c r="B40829" s="17" t="s">
        <v>477</v>
      </c>
      <c r="K40829" s="18"/>
    </row>
    <row r="40830">
      <c r="B40830" s="17" t="s">
        <v>477</v>
      </c>
      <c r="K40830" s="18"/>
    </row>
    <row r="40831">
      <c r="B40831" s="17" t="s">
        <v>477</v>
      </c>
      <c r="K40831" s="18"/>
    </row>
    <row r="40832">
      <c r="B40832" s="17" t="s">
        <v>477</v>
      </c>
      <c r="K40832" s="18"/>
    </row>
    <row r="40833">
      <c r="B40833" s="17" t="s">
        <v>477</v>
      </c>
      <c r="K40833" s="18"/>
    </row>
    <row r="40834">
      <c r="B40834" s="17" t="s">
        <v>477</v>
      </c>
      <c r="K40834" s="18"/>
    </row>
    <row r="40835">
      <c r="B40835" s="17" t="s">
        <v>477</v>
      </c>
      <c r="K40835" s="18"/>
    </row>
    <row r="40836">
      <c r="B40836" s="17" t="s">
        <v>477</v>
      </c>
      <c r="K40836" s="18"/>
    </row>
    <row r="40837">
      <c r="B40837" s="17" t="s">
        <v>477</v>
      </c>
      <c r="K40837" s="18"/>
    </row>
    <row r="40838">
      <c r="B40838" s="17" t="s">
        <v>477</v>
      </c>
      <c r="K40838" s="18"/>
    </row>
    <row r="40839">
      <c r="B40839" s="17" t="s">
        <v>477</v>
      </c>
      <c r="K40839" s="18"/>
    </row>
    <row r="40840">
      <c r="B40840" s="17" t="s">
        <v>477</v>
      </c>
      <c r="K40840" s="18"/>
    </row>
    <row r="40841">
      <c r="B40841" s="17" t="s">
        <v>477</v>
      </c>
      <c r="K40841" s="18"/>
    </row>
    <row r="40842">
      <c r="B40842" s="17" t="s">
        <v>477</v>
      </c>
      <c r="K40842" s="18"/>
    </row>
    <row r="40843">
      <c r="B40843" s="17" t="s">
        <v>477</v>
      </c>
      <c r="K40843" s="18"/>
    </row>
    <row r="40844">
      <c r="B40844" s="17" t="s">
        <v>477</v>
      </c>
      <c r="K40844" s="18"/>
    </row>
    <row r="40845">
      <c r="B40845" s="17" t="s">
        <v>477</v>
      </c>
      <c r="K40845" s="18"/>
    </row>
    <row r="40846">
      <c r="B40846" s="17" t="s">
        <v>477</v>
      </c>
      <c r="K40846" s="18"/>
    </row>
    <row r="40847">
      <c r="B40847" s="17" t="s">
        <v>477</v>
      </c>
      <c r="K40847" s="18"/>
    </row>
    <row r="40848">
      <c r="B40848" s="17" t="s">
        <v>477</v>
      </c>
      <c r="K40848" s="18"/>
    </row>
    <row r="40849">
      <c r="B40849" s="17" t="s">
        <v>477</v>
      </c>
      <c r="K40849" s="18"/>
    </row>
    <row r="40850">
      <c r="B40850" s="17" t="s">
        <v>477</v>
      </c>
      <c r="K40850" s="18"/>
    </row>
    <row r="40851">
      <c r="B40851" s="17" t="s">
        <v>477</v>
      </c>
      <c r="K40851" s="18"/>
    </row>
    <row r="40852">
      <c r="B40852" s="17" t="s">
        <v>477</v>
      </c>
      <c r="K40852" s="18"/>
    </row>
    <row r="40853">
      <c r="B40853" s="17" t="s">
        <v>477</v>
      </c>
      <c r="K40853" s="18"/>
    </row>
    <row r="40854">
      <c r="B40854" s="17" t="s">
        <v>477</v>
      </c>
      <c r="K40854" s="18"/>
    </row>
    <row r="40855">
      <c r="B40855" s="17" t="s">
        <v>477</v>
      </c>
      <c r="K40855" s="18"/>
    </row>
    <row r="40856">
      <c r="B40856" s="17" t="s">
        <v>477</v>
      </c>
      <c r="K40856" s="18"/>
    </row>
    <row r="40857">
      <c r="B40857" s="17" t="s">
        <v>477</v>
      </c>
      <c r="K40857" s="18"/>
    </row>
    <row r="40858">
      <c r="B40858" s="17" t="s">
        <v>477</v>
      </c>
      <c r="K40858" s="18"/>
    </row>
    <row r="40859">
      <c r="B40859" s="17" t="s">
        <v>477</v>
      </c>
      <c r="K40859" s="18"/>
    </row>
    <row r="40860">
      <c r="B40860" s="17" t="s">
        <v>477</v>
      </c>
      <c r="K40860" s="18"/>
    </row>
    <row r="40861">
      <c r="B40861" s="17" t="s">
        <v>477</v>
      </c>
      <c r="K40861" s="18"/>
    </row>
    <row r="40862">
      <c r="B40862" s="17" t="s">
        <v>477</v>
      </c>
      <c r="K40862" s="18"/>
    </row>
    <row r="40863">
      <c r="B40863" s="17" t="s">
        <v>477</v>
      </c>
      <c r="K40863" s="18"/>
    </row>
    <row r="40864">
      <c r="B40864" s="17" t="s">
        <v>477</v>
      </c>
      <c r="K40864" s="18"/>
    </row>
    <row r="40865">
      <c r="B40865" s="17" t="s">
        <v>477</v>
      </c>
      <c r="K40865" s="18"/>
    </row>
    <row r="40866">
      <c r="B40866" s="17" t="s">
        <v>477</v>
      </c>
      <c r="K40866" s="18"/>
    </row>
    <row r="40867">
      <c r="B40867" s="17" t="s">
        <v>477</v>
      </c>
      <c r="K40867" s="18"/>
    </row>
    <row r="40868">
      <c r="B40868" s="17" t="s">
        <v>477</v>
      </c>
      <c r="K40868" s="18"/>
    </row>
    <row r="40869">
      <c r="B40869" s="17" t="s">
        <v>477</v>
      </c>
      <c r="K40869" s="18"/>
    </row>
    <row r="40870">
      <c r="B40870" s="17" t="s">
        <v>477</v>
      </c>
      <c r="K40870" s="18"/>
    </row>
    <row r="40871">
      <c r="B40871" s="17" t="s">
        <v>477</v>
      </c>
      <c r="K40871" s="18"/>
    </row>
    <row r="40872">
      <c r="B40872" s="17" t="s">
        <v>477</v>
      </c>
      <c r="K40872" s="18"/>
    </row>
    <row r="40873">
      <c r="B40873" s="17" t="s">
        <v>477</v>
      </c>
      <c r="K40873" s="18"/>
    </row>
    <row r="40874">
      <c r="B40874" s="17" t="s">
        <v>477</v>
      </c>
      <c r="K40874" s="18"/>
    </row>
    <row r="40875">
      <c r="B40875" s="17" t="s">
        <v>477</v>
      </c>
      <c r="K40875" s="18"/>
    </row>
    <row r="40876">
      <c r="B40876" s="17" t="s">
        <v>477</v>
      </c>
      <c r="K40876" s="18"/>
    </row>
    <row r="40877">
      <c r="B40877" s="17" t="s">
        <v>477</v>
      </c>
      <c r="K40877" s="18"/>
    </row>
    <row r="40878">
      <c r="B40878" s="17" t="s">
        <v>477</v>
      </c>
      <c r="K40878" s="18"/>
    </row>
    <row r="40879">
      <c r="B40879" s="17" t="s">
        <v>477</v>
      </c>
      <c r="K40879" s="18"/>
    </row>
    <row r="40880">
      <c r="B40880" s="17" t="s">
        <v>477</v>
      </c>
      <c r="K40880" s="18"/>
    </row>
    <row r="40881">
      <c r="B40881" s="17" t="s">
        <v>477</v>
      </c>
      <c r="K40881" s="18"/>
    </row>
    <row r="40882">
      <c r="B40882" s="17" t="s">
        <v>477</v>
      </c>
      <c r="K40882" s="18"/>
    </row>
    <row r="40883">
      <c r="B40883" s="17" t="s">
        <v>477</v>
      </c>
      <c r="K40883" s="18"/>
    </row>
    <row r="40884">
      <c r="B40884" s="17" t="s">
        <v>477</v>
      </c>
      <c r="K40884" s="18"/>
    </row>
    <row r="40885">
      <c r="B40885" s="17" t="s">
        <v>477</v>
      </c>
      <c r="K40885" s="18"/>
    </row>
    <row r="40886">
      <c r="B40886" s="17" t="s">
        <v>477</v>
      </c>
      <c r="K40886" s="18"/>
    </row>
    <row r="40887">
      <c r="B40887" s="17" t="s">
        <v>477</v>
      </c>
      <c r="K40887" s="18"/>
    </row>
    <row r="40888">
      <c r="B40888" s="17" t="s">
        <v>477</v>
      </c>
      <c r="K40888" s="18"/>
    </row>
    <row r="40889">
      <c r="B40889" s="17" t="s">
        <v>477</v>
      </c>
      <c r="K40889" s="18"/>
    </row>
    <row r="40890">
      <c r="B40890" s="17" t="s">
        <v>477</v>
      </c>
      <c r="K40890" s="18"/>
    </row>
    <row r="40891">
      <c r="B40891" s="17" t="s">
        <v>477</v>
      </c>
      <c r="K40891" s="18"/>
    </row>
    <row r="40892">
      <c r="B40892" s="17" t="s">
        <v>477</v>
      </c>
      <c r="K40892" s="18"/>
    </row>
    <row r="40893">
      <c r="B40893" s="17" t="s">
        <v>477</v>
      </c>
      <c r="K40893" s="18"/>
    </row>
    <row r="40894">
      <c r="B40894" s="17" t="s">
        <v>477</v>
      </c>
      <c r="K40894" s="18"/>
    </row>
    <row r="40895">
      <c r="B40895" s="17" t="s">
        <v>477</v>
      </c>
      <c r="K40895" s="18"/>
    </row>
    <row r="40896">
      <c r="B40896" s="17" t="s">
        <v>477</v>
      </c>
      <c r="K40896" s="18"/>
    </row>
    <row r="40897">
      <c r="B40897" s="17" t="s">
        <v>477</v>
      </c>
      <c r="K40897" s="18"/>
    </row>
    <row r="40898">
      <c r="B40898" s="17" t="s">
        <v>477</v>
      </c>
      <c r="K40898" s="18"/>
    </row>
    <row r="40899">
      <c r="B40899" s="17" t="s">
        <v>477</v>
      </c>
      <c r="K40899" s="18"/>
    </row>
    <row r="40900">
      <c r="B40900" s="17" t="s">
        <v>477</v>
      </c>
      <c r="K40900" s="18"/>
    </row>
    <row r="40901">
      <c r="B40901" s="17" t="s">
        <v>477</v>
      </c>
      <c r="K40901" s="18"/>
    </row>
    <row r="40902">
      <c r="B40902" s="17" t="s">
        <v>477</v>
      </c>
      <c r="K40902" s="18"/>
    </row>
    <row r="40903">
      <c r="B40903" s="17" t="s">
        <v>477</v>
      </c>
      <c r="K40903" s="18"/>
    </row>
    <row r="40904">
      <c r="B40904" s="17" t="s">
        <v>477</v>
      </c>
      <c r="K40904" s="18"/>
    </row>
    <row r="40905">
      <c r="B40905" s="17" t="s">
        <v>477</v>
      </c>
      <c r="K40905" s="18"/>
    </row>
    <row r="40906">
      <c r="B40906" s="17" t="s">
        <v>477</v>
      </c>
      <c r="K40906" s="18"/>
    </row>
    <row r="40907">
      <c r="B40907" s="17" t="s">
        <v>477</v>
      </c>
      <c r="K40907" s="18"/>
    </row>
    <row r="40908">
      <c r="B40908" s="17" t="s">
        <v>477</v>
      </c>
      <c r="K40908" s="18"/>
    </row>
    <row r="40909">
      <c r="B40909" s="17" t="s">
        <v>477</v>
      </c>
      <c r="K40909" s="18"/>
    </row>
    <row r="40910">
      <c r="B40910" s="17" t="s">
        <v>477</v>
      </c>
      <c r="K40910" s="18"/>
    </row>
    <row r="40911">
      <c r="B40911" s="17" t="s">
        <v>477</v>
      </c>
      <c r="K40911" s="18"/>
    </row>
    <row r="40912">
      <c r="B40912" s="17" t="s">
        <v>477</v>
      </c>
      <c r="K40912" s="18"/>
    </row>
    <row r="40913">
      <c r="B40913" s="17" t="s">
        <v>477</v>
      </c>
      <c r="K40913" s="18"/>
    </row>
    <row r="40914">
      <c r="B40914" s="17" t="s">
        <v>477</v>
      </c>
      <c r="K40914" s="18"/>
    </row>
    <row r="40915">
      <c r="B40915" s="17" t="s">
        <v>477</v>
      </c>
      <c r="K40915" s="18"/>
    </row>
    <row r="40916">
      <c r="B40916" s="17" t="s">
        <v>477</v>
      </c>
      <c r="K40916" s="18"/>
    </row>
    <row r="40917">
      <c r="B40917" s="17" t="s">
        <v>477</v>
      </c>
      <c r="K40917" s="18"/>
    </row>
    <row r="40918">
      <c r="B40918" s="17" t="s">
        <v>477</v>
      </c>
      <c r="K40918" s="18"/>
    </row>
    <row r="40919">
      <c r="B40919" s="17" t="s">
        <v>477</v>
      </c>
      <c r="K40919" s="18"/>
    </row>
    <row r="40920">
      <c r="B40920" s="17" t="s">
        <v>477</v>
      </c>
      <c r="K40920" s="18"/>
    </row>
    <row r="40921">
      <c r="B40921" s="17" t="s">
        <v>477</v>
      </c>
      <c r="K40921" s="18"/>
    </row>
    <row r="40922">
      <c r="B40922" s="17" t="s">
        <v>477</v>
      </c>
      <c r="K40922" s="18"/>
    </row>
    <row r="40923">
      <c r="B40923" s="17" t="s">
        <v>477</v>
      </c>
      <c r="K40923" s="18"/>
    </row>
    <row r="40924">
      <c r="B40924" s="17" t="s">
        <v>477</v>
      </c>
      <c r="K40924" s="18"/>
    </row>
    <row r="40925">
      <c r="B40925" s="17" t="s">
        <v>477</v>
      </c>
      <c r="K40925" s="18"/>
    </row>
    <row r="40926">
      <c r="B40926" s="17" t="s">
        <v>477</v>
      </c>
      <c r="K40926" s="18"/>
    </row>
    <row r="40927">
      <c r="B40927" s="17" t="s">
        <v>477</v>
      </c>
      <c r="K40927" s="18"/>
    </row>
    <row r="40928">
      <c r="B40928" s="17" t="s">
        <v>477</v>
      </c>
      <c r="K40928" s="18"/>
    </row>
    <row r="40929">
      <c r="B40929" s="17" t="s">
        <v>477</v>
      </c>
      <c r="K40929" s="18"/>
    </row>
    <row r="40930">
      <c r="B40930" s="17" t="s">
        <v>477</v>
      </c>
      <c r="K40930" s="18"/>
    </row>
    <row r="40931">
      <c r="B40931" s="17" t="s">
        <v>477</v>
      </c>
      <c r="K40931" s="18"/>
    </row>
    <row r="40932">
      <c r="B40932" s="17" t="s">
        <v>477</v>
      </c>
      <c r="K40932" s="18"/>
    </row>
    <row r="40933">
      <c r="B40933" s="17" t="s">
        <v>477</v>
      </c>
      <c r="K40933" s="18"/>
    </row>
    <row r="40934">
      <c r="B40934" s="17" t="s">
        <v>477</v>
      </c>
      <c r="K40934" s="18"/>
    </row>
    <row r="40935">
      <c r="B40935" s="17" t="s">
        <v>477</v>
      </c>
      <c r="K40935" s="18"/>
    </row>
    <row r="40936">
      <c r="B40936" s="17" t="s">
        <v>477</v>
      </c>
      <c r="K40936" s="18"/>
    </row>
    <row r="40937">
      <c r="B40937" s="17" t="s">
        <v>477</v>
      </c>
      <c r="K40937" s="18"/>
    </row>
    <row r="40938">
      <c r="B40938" s="17" t="s">
        <v>477</v>
      </c>
      <c r="K40938" s="18"/>
    </row>
    <row r="40939">
      <c r="B40939" s="17" t="s">
        <v>477</v>
      </c>
      <c r="K40939" s="18"/>
    </row>
    <row r="40940">
      <c r="B40940" s="17" t="s">
        <v>477</v>
      </c>
      <c r="K40940" s="18"/>
    </row>
    <row r="40941">
      <c r="B40941" s="17" t="s">
        <v>477</v>
      </c>
      <c r="K40941" s="18"/>
    </row>
    <row r="40942">
      <c r="B40942" s="17" t="s">
        <v>477</v>
      </c>
      <c r="K40942" s="18"/>
    </row>
    <row r="40943">
      <c r="B40943" s="17" t="s">
        <v>477</v>
      </c>
      <c r="K40943" s="18"/>
    </row>
    <row r="40944">
      <c r="B40944" s="17" t="s">
        <v>477</v>
      </c>
      <c r="K40944" s="18"/>
    </row>
    <row r="40945">
      <c r="B40945" s="17" t="s">
        <v>477</v>
      </c>
      <c r="K40945" s="18"/>
    </row>
    <row r="40946">
      <c r="B40946" s="17" t="s">
        <v>477</v>
      </c>
      <c r="K40946" s="18"/>
    </row>
    <row r="40947">
      <c r="B40947" s="17" t="s">
        <v>477</v>
      </c>
      <c r="K40947" s="18"/>
    </row>
    <row r="40948">
      <c r="B40948" s="17" t="s">
        <v>477</v>
      </c>
      <c r="K40948" s="18"/>
    </row>
    <row r="40949">
      <c r="B40949" s="17" t="s">
        <v>477</v>
      </c>
      <c r="K40949" s="18"/>
    </row>
    <row r="40950">
      <c r="B40950" s="17" t="s">
        <v>477</v>
      </c>
      <c r="K40950" s="18"/>
    </row>
    <row r="40951">
      <c r="B40951" s="17" t="s">
        <v>477</v>
      </c>
      <c r="K40951" s="18"/>
    </row>
    <row r="40952">
      <c r="B40952" s="17" t="s">
        <v>477</v>
      </c>
      <c r="K40952" s="18"/>
    </row>
    <row r="40953">
      <c r="B40953" s="17" t="s">
        <v>477</v>
      </c>
      <c r="K40953" s="18"/>
    </row>
    <row r="40954">
      <c r="B40954" s="17" t="s">
        <v>477</v>
      </c>
      <c r="K40954" s="18"/>
    </row>
    <row r="40955">
      <c r="B40955" s="17" t="s">
        <v>477</v>
      </c>
      <c r="K40955" s="18"/>
    </row>
    <row r="40956">
      <c r="B40956" s="17" t="s">
        <v>477</v>
      </c>
      <c r="K40956" s="18"/>
    </row>
    <row r="40957">
      <c r="B40957" s="17" t="s">
        <v>477</v>
      </c>
      <c r="K40957" s="18"/>
    </row>
    <row r="40958">
      <c r="B40958" s="17" t="s">
        <v>477</v>
      </c>
      <c r="K40958" s="18"/>
    </row>
    <row r="40959">
      <c r="B40959" s="17" t="s">
        <v>477</v>
      </c>
      <c r="K40959" s="18"/>
    </row>
    <row r="40960">
      <c r="B40960" s="17" t="s">
        <v>477</v>
      </c>
      <c r="K40960" s="18"/>
    </row>
    <row r="40961">
      <c r="B40961" s="17" t="s">
        <v>477</v>
      </c>
      <c r="K40961" s="18"/>
    </row>
    <row r="40962">
      <c r="B40962" s="17" t="s">
        <v>477</v>
      </c>
      <c r="K40962" s="18"/>
    </row>
    <row r="40963">
      <c r="B40963" s="17" t="s">
        <v>477</v>
      </c>
      <c r="K40963" s="18"/>
    </row>
    <row r="40964">
      <c r="B40964" s="17" t="s">
        <v>477</v>
      </c>
      <c r="K40964" s="18"/>
    </row>
    <row r="40965">
      <c r="B40965" s="17" t="s">
        <v>477</v>
      </c>
      <c r="K40965" s="18"/>
    </row>
    <row r="40966">
      <c r="B40966" s="17" t="s">
        <v>477</v>
      </c>
      <c r="K40966" s="18"/>
    </row>
    <row r="40967">
      <c r="B40967" s="17" t="s">
        <v>477</v>
      </c>
      <c r="K40967" s="18"/>
    </row>
    <row r="40968">
      <c r="B40968" s="17" t="s">
        <v>477</v>
      </c>
      <c r="K40968" s="18"/>
    </row>
    <row r="40969">
      <c r="B40969" s="17" t="s">
        <v>477</v>
      </c>
      <c r="K40969" s="18"/>
    </row>
    <row r="40970">
      <c r="B40970" s="17" t="s">
        <v>477</v>
      </c>
      <c r="K40970" s="18"/>
    </row>
    <row r="40971">
      <c r="B40971" s="17" t="s">
        <v>477</v>
      </c>
      <c r="K40971" s="18"/>
    </row>
    <row r="40972">
      <c r="B40972" s="17" t="s">
        <v>477</v>
      </c>
      <c r="K40972" s="18"/>
    </row>
    <row r="40973">
      <c r="B40973" s="17" t="s">
        <v>477</v>
      </c>
      <c r="K40973" s="18"/>
    </row>
    <row r="40974">
      <c r="B40974" s="17" t="s">
        <v>477</v>
      </c>
      <c r="K40974" s="18"/>
    </row>
    <row r="40975">
      <c r="B40975" s="17" t="s">
        <v>477</v>
      </c>
      <c r="K40975" s="18"/>
    </row>
    <row r="40976">
      <c r="B40976" s="17" t="s">
        <v>477</v>
      </c>
      <c r="K40976" s="18"/>
    </row>
    <row r="40977">
      <c r="B40977" s="17" t="s">
        <v>477</v>
      </c>
      <c r="K40977" s="18"/>
    </row>
    <row r="40978">
      <c r="B40978" s="17" t="s">
        <v>477</v>
      </c>
      <c r="K40978" s="18"/>
    </row>
    <row r="40979">
      <c r="B40979" s="17" t="s">
        <v>477</v>
      </c>
      <c r="K40979" s="18"/>
    </row>
    <row r="40980">
      <c r="B40980" s="17" t="s">
        <v>477</v>
      </c>
      <c r="K40980" s="18"/>
    </row>
    <row r="40981">
      <c r="B40981" s="17" t="s">
        <v>477</v>
      </c>
      <c r="K40981" s="18"/>
    </row>
    <row r="40982">
      <c r="B40982" s="17" t="s">
        <v>477</v>
      </c>
      <c r="K40982" s="18"/>
    </row>
    <row r="40983">
      <c r="B40983" s="17" t="s">
        <v>477</v>
      </c>
      <c r="K40983" s="18"/>
    </row>
    <row r="40984">
      <c r="B40984" s="17" t="s">
        <v>477</v>
      </c>
      <c r="K40984" s="18"/>
    </row>
    <row r="40985">
      <c r="B40985" s="17" t="s">
        <v>477</v>
      </c>
      <c r="K40985" s="18"/>
    </row>
    <row r="40986">
      <c r="B40986" s="17" t="s">
        <v>477</v>
      </c>
      <c r="K40986" s="18"/>
    </row>
    <row r="40987">
      <c r="B40987" s="17" t="s">
        <v>477</v>
      </c>
      <c r="K40987" s="18"/>
    </row>
    <row r="40988">
      <c r="B40988" s="17" t="s">
        <v>477</v>
      </c>
      <c r="K40988" s="18"/>
    </row>
    <row r="40989">
      <c r="B40989" s="17" t="s">
        <v>477</v>
      </c>
      <c r="K40989" s="18"/>
    </row>
    <row r="40990">
      <c r="B40990" s="17" t="s">
        <v>477</v>
      </c>
      <c r="K40990" s="18"/>
    </row>
    <row r="40991">
      <c r="B40991" s="17" t="s">
        <v>477</v>
      </c>
      <c r="K40991" s="18"/>
    </row>
    <row r="40992">
      <c r="B40992" s="17" t="s">
        <v>477</v>
      </c>
      <c r="K40992" s="18"/>
    </row>
    <row r="40993">
      <c r="B40993" s="17" t="s">
        <v>477</v>
      </c>
      <c r="K40993" s="18"/>
    </row>
    <row r="40994">
      <c r="B40994" s="17" t="s">
        <v>477</v>
      </c>
      <c r="K40994" s="18"/>
    </row>
    <row r="40995">
      <c r="B40995" s="17" t="s">
        <v>477</v>
      </c>
      <c r="K40995" s="18"/>
    </row>
    <row r="40996">
      <c r="B40996" s="17" t="s">
        <v>477</v>
      </c>
      <c r="K40996" s="18"/>
    </row>
    <row r="40997">
      <c r="B40997" s="17" t="s">
        <v>477</v>
      </c>
      <c r="K40997" s="18"/>
    </row>
    <row r="40998">
      <c r="B40998" s="17" t="s">
        <v>477</v>
      </c>
      <c r="K40998" s="18"/>
    </row>
    <row r="40999">
      <c r="B40999" s="17" t="s">
        <v>477</v>
      </c>
      <c r="K40999" s="18"/>
    </row>
    <row r="41000">
      <c r="B41000" s="17" t="s">
        <v>477</v>
      </c>
      <c r="K41000" s="18"/>
    </row>
    <row r="41001">
      <c r="B41001" s="17" t="s">
        <v>477</v>
      </c>
      <c r="K41001" s="18"/>
    </row>
    <row r="41002">
      <c r="B41002" s="17" t="s">
        <v>477</v>
      </c>
      <c r="K41002" s="18"/>
    </row>
    <row r="41003">
      <c r="B41003" s="17" t="s">
        <v>477</v>
      </c>
      <c r="K41003" s="18"/>
    </row>
    <row r="41004">
      <c r="B41004" s="17" t="s">
        <v>477</v>
      </c>
      <c r="K41004" s="18"/>
    </row>
    <row r="41005">
      <c r="B41005" s="17" t="s">
        <v>477</v>
      </c>
      <c r="K41005" s="18"/>
    </row>
    <row r="41006">
      <c r="B41006" s="17" t="s">
        <v>477</v>
      </c>
      <c r="K41006" s="18"/>
    </row>
    <row r="41007">
      <c r="B41007" s="17" t="s">
        <v>477</v>
      </c>
      <c r="K41007" s="18"/>
    </row>
    <row r="41008">
      <c r="B41008" s="17" t="s">
        <v>477</v>
      </c>
      <c r="K41008" s="18"/>
    </row>
    <row r="41009">
      <c r="B41009" s="17" t="s">
        <v>477</v>
      </c>
      <c r="K41009" s="18"/>
    </row>
    <row r="41010">
      <c r="B41010" s="17" t="s">
        <v>477</v>
      </c>
      <c r="K41010" s="18"/>
    </row>
    <row r="41011">
      <c r="B41011" s="17" t="s">
        <v>477</v>
      </c>
      <c r="K41011" s="18"/>
    </row>
    <row r="41012">
      <c r="B41012" s="17" t="s">
        <v>477</v>
      </c>
      <c r="K41012" s="18"/>
    </row>
    <row r="41013">
      <c r="B41013" s="17" t="s">
        <v>477</v>
      </c>
      <c r="K41013" s="18"/>
    </row>
    <row r="41014">
      <c r="B41014" s="17" t="s">
        <v>477</v>
      </c>
      <c r="K41014" s="18"/>
    </row>
    <row r="41015">
      <c r="B41015" s="17" t="s">
        <v>477</v>
      </c>
      <c r="K41015" s="18"/>
    </row>
    <row r="41016">
      <c r="B41016" s="17" t="s">
        <v>477</v>
      </c>
      <c r="K41016" s="18"/>
    </row>
    <row r="41017">
      <c r="B41017" s="17" t="s">
        <v>477</v>
      </c>
      <c r="K41017" s="18"/>
    </row>
    <row r="41018">
      <c r="B41018" s="17" t="s">
        <v>477</v>
      </c>
      <c r="K41018" s="18"/>
    </row>
    <row r="41019">
      <c r="B41019" s="17" t="s">
        <v>477</v>
      </c>
      <c r="K41019" s="18"/>
    </row>
    <row r="41020">
      <c r="B41020" s="17" t="s">
        <v>477</v>
      </c>
      <c r="K41020" s="18"/>
    </row>
    <row r="41021">
      <c r="B41021" s="17" t="s">
        <v>477</v>
      </c>
      <c r="K41021" s="18"/>
    </row>
    <row r="41022">
      <c r="B41022" s="17" t="s">
        <v>477</v>
      </c>
      <c r="K41022" s="18"/>
    </row>
    <row r="41023">
      <c r="B41023" s="17" t="s">
        <v>477</v>
      </c>
      <c r="K41023" s="18"/>
    </row>
    <row r="41024">
      <c r="B41024" s="17" t="s">
        <v>477</v>
      </c>
      <c r="K41024" s="18"/>
    </row>
    <row r="41025">
      <c r="B41025" s="17" t="s">
        <v>477</v>
      </c>
      <c r="K41025" s="18"/>
    </row>
    <row r="41026">
      <c r="B41026" s="17" t="s">
        <v>477</v>
      </c>
      <c r="K41026" s="18"/>
    </row>
    <row r="41027">
      <c r="B41027" s="17" t="s">
        <v>477</v>
      </c>
      <c r="K41027" s="18"/>
    </row>
    <row r="41028">
      <c r="B41028" s="17" t="s">
        <v>477</v>
      </c>
      <c r="K41028" s="18"/>
    </row>
    <row r="41029">
      <c r="B41029" s="17" t="s">
        <v>477</v>
      </c>
      <c r="K41029" s="18"/>
    </row>
    <row r="41030">
      <c r="B41030" s="17" t="s">
        <v>477</v>
      </c>
      <c r="K41030" s="18"/>
    </row>
    <row r="41031">
      <c r="B41031" s="17" t="s">
        <v>477</v>
      </c>
      <c r="K41031" s="18"/>
    </row>
    <row r="41032">
      <c r="B41032" s="17" t="s">
        <v>477</v>
      </c>
      <c r="K41032" s="18"/>
    </row>
    <row r="41033">
      <c r="B41033" s="17" t="s">
        <v>477</v>
      </c>
      <c r="K41033" s="18"/>
    </row>
    <row r="41034">
      <c r="B41034" s="17" t="s">
        <v>477</v>
      </c>
      <c r="K41034" s="18"/>
    </row>
    <row r="41035">
      <c r="B41035" s="17" t="s">
        <v>477</v>
      </c>
      <c r="K41035" s="18"/>
    </row>
    <row r="41036">
      <c r="B41036" s="17" t="s">
        <v>477</v>
      </c>
      <c r="K41036" s="18"/>
    </row>
    <row r="41037">
      <c r="B41037" s="17" t="s">
        <v>477</v>
      </c>
      <c r="K41037" s="18"/>
    </row>
    <row r="41038">
      <c r="B41038" s="17" t="s">
        <v>477</v>
      </c>
      <c r="K41038" s="18"/>
    </row>
    <row r="41039">
      <c r="B41039" s="17" t="s">
        <v>477</v>
      </c>
      <c r="K41039" s="18"/>
    </row>
    <row r="41040">
      <c r="B41040" s="17" t="s">
        <v>477</v>
      </c>
      <c r="K41040" s="18"/>
    </row>
    <row r="41041">
      <c r="B41041" s="17" t="s">
        <v>477</v>
      </c>
      <c r="K41041" s="18"/>
    </row>
    <row r="41042">
      <c r="B41042" s="17" t="s">
        <v>477</v>
      </c>
      <c r="K41042" s="18"/>
    </row>
    <row r="41043">
      <c r="B41043" s="17" t="s">
        <v>477</v>
      </c>
      <c r="K41043" s="18"/>
    </row>
    <row r="41044">
      <c r="B41044" s="17" t="s">
        <v>477</v>
      </c>
      <c r="K41044" s="18"/>
    </row>
    <row r="41045">
      <c r="B41045" s="17" t="s">
        <v>477</v>
      </c>
      <c r="K41045" s="18"/>
    </row>
    <row r="41046">
      <c r="B41046" s="17" t="s">
        <v>477</v>
      </c>
      <c r="K41046" s="18"/>
    </row>
    <row r="41047">
      <c r="B41047" s="17" t="s">
        <v>477</v>
      </c>
      <c r="K41047" s="18"/>
    </row>
    <row r="41048">
      <c r="B41048" s="17" t="s">
        <v>477</v>
      </c>
      <c r="K41048" s="18"/>
    </row>
    <row r="41049">
      <c r="B41049" s="17" t="s">
        <v>477</v>
      </c>
      <c r="K41049" s="18"/>
    </row>
    <row r="41050">
      <c r="B41050" s="17" t="s">
        <v>477</v>
      </c>
      <c r="K41050" s="18"/>
    </row>
    <row r="41051">
      <c r="B41051" s="17" t="s">
        <v>477</v>
      </c>
      <c r="K41051" s="18"/>
    </row>
    <row r="41052">
      <c r="B41052" s="17" t="s">
        <v>477</v>
      </c>
      <c r="K41052" s="18"/>
    </row>
    <row r="41053">
      <c r="B41053" s="17" t="s">
        <v>477</v>
      </c>
      <c r="K41053" s="18"/>
    </row>
    <row r="41054">
      <c r="B41054" s="17" t="s">
        <v>477</v>
      </c>
      <c r="K41054" s="18"/>
    </row>
    <row r="41055">
      <c r="B41055" s="17" t="s">
        <v>477</v>
      </c>
      <c r="K41055" s="18"/>
    </row>
    <row r="41056">
      <c r="B41056" s="17" t="s">
        <v>477</v>
      </c>
      <c r="K41056" s="18"/>
    </row>
    <row r="41057">
      <c r="B41057" s="17" t="s">
        <v>477</v>
      </c>
      <c r="K41057" s="18"/>
    </row>
    <row r="41058">
      <c r="B41058" s="17" t="s">
        <v>477</v>
      </c>
      <c r="K41058" s="18"/>
    </row>
    <row r="41059">
      <c r="B41059" s="17" t="s">
        <v>477</v>
      </c>
      <c r="K41059" s="18"/>
    </row>
    <row r="41060">
      <c r="B41060" s="17" t="s">
        <v>477</v>
      </c>
      <c r="K41060" s="18"/>
    </row>
    <row r="41061">
      <c r="B41061" s="17" t="s">
        <v>477</v>
      </c>
      <c r="K41061" s="18"/>
    </row>
    <row r="41062">
      <c r="B41062" s="17" t="s">
        <v>477</v>
      </c>
      <c r="K41062" s="18"/>
    </row>
    <row r="41063">
      <c r="B41063" s="17" t="s">
        <v>477</v>
      </c>
      <c r="K41063" s="18"/>
    </row>
    <row r="41064">
      <c r="B41064" s="17" t="s">
        <v>477</v>
      </c>
      <c r="K41064" s="18"/>
    </row>
    <row r="41065">
      <c r="B41065" s="17" t="s">
        <v>477</v>
      </c>
      <c r="K41065" s="18"/>
    </row>
    <row r="41066">
      <c r="B41066" s="17" t="s">
        <v>477</v>
      </c>
      <c r="K41066" s="18"/>
    </row>
    <row r="41067">
      <c r="B41067" s="17" t="s">
        <v>477</v>
      </c>
      <c r="K41067" s="18"/>
    </row>
    <row r="41068">
      <c r="B41068" s="17" t="s">
        <v>477</v>
      </c>
      <c r="K41068" s="18"/>
    </row>
    <row r="41069">
      <c r="B41069" s="17" t="s">
        <v>477</v>
      </c>
      <c r="K41069" s="18"/>
    </row>
    <row r="41070">
      <c r="B41070" s="17" t="s">
        <v>477</v>
      </c>
      <c r="K41070" s="18"/>
    </row>
    <row r="41071">
      <c r="B41071" s="17" t="s">
        <v>477</v>
      </c>
      <c r="K41071" s="18"/>
    </row>
    <row r="41072">
      <c r="B41072" s="17" t="s">
        <v>477</v>
      </c>
      <c r="K41072" s="18"/>
    </row>
    <row r="41073">
      <c r="B41073" s="17" t="s">
        <v>477</v>
      </c>
      <c r="K41073" s="18"/>
    </row>
    <row r="41074">
      <c r="B41074" s="17" t="s">
        <v>477</v>
      </c>
      <c r="K41074" s="18"/>
    </row>
    <row r="41075">
      <c r="B41075" s="17" t="s">
        <v>477</v>
      </c>
      <c r="K41075" s="18"/>
    </row>
    <row r="41076">
      <c r="B41076" s="17" t="s">
        <v>477</v>
      </c>
      <c r="K41076" s="18"/>
    </row>
    <row r="41077">
      <c r="B41077" s="17" t="s">
        <v>477</v>
      </c>
      <c r="K41077" s="18"/>
    </row>
    <row r="41078">
      <c r="B41078" s="17" t="s">
        <v>477</v>
      </c>
      <c r="K41078" s="18"/>
    </row>
    <row r="41079">
      <c r="B41079" s="17" t="s">
        <v>477</v>
      </c>
      <c r="K41079" s="18"/>
    </row>
    <row r="41080">
      <c r="B41080" s="17" t="s">
        <v>477</v>
      </c>
      <c r="K41080" s="18"/>
    </row>
    <row r="41081">
      <c r="B41081" s="17" t="s">
        <v>477</v>
      </c>
      <c r="K41081" s="18"/>
    </row>
    <row r="41082">
      <c r="B41082" s="17" t="s">
        <v>477</v>
      </c>
      <c r="K41082" s="18"/>
    </row>
    <row r="41083">
      <c r="B41083" s="17" t="s">
        <v>477</v>
      </c>
      <c r="K41083" s="18"/>
    </row>
    <row r="41084">
      <c r="B41084" s="17" t="s">
        <v>477</v>
      </c>
      <c r="K41084" s="18"/>
    </row>
    <row r="41085">
      <c r="B41085" s="17" t="s">
        <v>477</v>
      </c>
      <c r="K41085" s="18"/>
    </row>
    <row r="41086">
      <c r="B41086" s="17" t="s">
        <v>477</v>
      </c>
      <c r="K41086" s="18"/>
    </row>
    <row r="41087">
      <c r="B41087" s="17" t="s">
        <v>477</v>
      </c>
      <c r="K41087" s="18"/>
    </row>
    <row r="41088">
      <c r="B41088" s="17" t="s">
        <v>477</v>
      </c>
      <c r="K41088" s="18"/>
    </row>
    <row r="41089">
      <c r="B41089" s="17" t="s">
        <v>477</v>
      </c>
      <c r="K41089" s="18"/>
    </row>
    <row r="41090">
      <c r="B41090" s="17" t="s">
        <v>477</v>
      </c>
      <c r="K41090" s="18"/>
    </row>
    <row r="41091">
      <c r="B41091" s="17" t="s">
        <v>477</v>
      </c>
      <c r="K41091" s="18"/>
    </row>
    <row r="41092">
      <c r="B41092" s="17" t="s">
        <v>477</v>
      </c>
      <c r="K41092" s="18"/>
    </row>
    <row r="41093">
      <c r="B41093" s="17" t="s">
        <v>477</v>
      </c>
      <c r="K41093" s="18"/>
    </row>
    <row r="41094">
      <c r="B41094" s="17" t="s">
        <v>477</v>
      </c>
      <c r="K41094" s="18"/>
    </row>
    <row r="41095">
      <c r="B41095" s="17" t="s">
        <v>477</v>
      </c>
      <c r="K41095" s="18"/>
    </row>
    <row r="41096">
      <c r="B41096" s="17" t="s">
        <v>477</v>
      </c>
      <c r="K41096" s="18"/>
    </row>
    <row r="41097">
      <c r="B41097" s="17" t="s">
        <v>477</v>
      </c>
      <c r="K41097" s="18"/>
    </row>
    <row r="41098">
      <c r="B41098" s="17" t="s">
        <v>477</v>
      </c>
      <c r="K41098" s="18"/>
    </row>
    <row r="41099">
      <c r="B41099" s="17" t="s">
        <v>477</v>
      </c>
      <c r="K41099" s="18"/>
    </row>
    <row r="41100">
      <c r="B41100" s="17" t="s">
        <v>477</v>
      </c>
      <c r="K41100" s="18"/>
    </row>
    <row r="41101">
      <c r="B41101" s="17" t="s">
        <v>477</v>
      </c>
      <c r="K41101" s="18"/>
    </row>
    <row r="41102">
      <c r="B41102" s="17" t="s">
        <v>477</v>
      </c>
      <c r="K41102" s="18"/>
    </row>
    <row r="41103">
      <c r="B41103" s="17" t="s">
        <v>477</v>
      </c>
      <c r="K41103" s="18"/>
    </row>
    <row r="41104">
      <c r="B41104" s="17" t="s">
        <v>477</v>
      </c>
      <c r="K41104" s="18"/>
    </row>
    <row r="41105">
      <c r="B41105" s="17" t="s">
        <v>477</v>
      </c>
      <c r="K41105" s="18"/>
    </row>
    <row r="41106">
      <c r="B41106" s="17" t="s">
        <v>477</v>
      </c>
      <c r="K41106" s="18"/>
    </row>
    <row r="41107">
      <c r="B41107" s="17" t="s">
        <v>477</v>
      </c>
      <c r="K41107" s="18"/>
    </row>
    <row r="41108">
      <c r="B41108" s="17" t="s">
        <v>477</v>
      </c>
      <c r="K41108" s="18"/>
    </row>
    <row r="41109">
      <c r="B41109" s="17" t="s">
        <v>477</v>
      </c>
      <c r="K41109" s="18"/>
    </row>
    <row r="41110">
      <c r="B41110" s="17" t="s">
        <v>477</v>
      </c>
      <c r="K41110" s="18"/>
    </row>
    <row r="41111">
      <c r="B41111" s="17" t="s">
        <v>477</v>
      </c>
      <c r="K41111" s="18"/>
    </row>
    <row r="41112">
      <c r="B41112" s="17" t="s">
        <v>477</v>
      </c>
      <c r="K41112" s="18"/>
    </row>
    <row r="41113">
      <c r="B41113" s="17" t="s">
        <v>477</v>
      </c>
      <c r="K41113" s="18"/>
    </row>
    <row r="41114">
      <c r="B41114" s="17" t="s">
        <v>477</v>
      </c>
      <c r="K41114" s="18"/>
    </row>
    <row r="41115">
      <c r="B41115" s="17" t="s">
        <v>477</v>
      </c>
      <c r="K41115" s="18"/>
    </row>
    <row r="41116">
      <c r="B41116" s="17" t="s">
        <v>477</v>
      </c>
      <c r="K41116" s="18"/>
    </row>
    <row r="41117">
      <c r="B41117" s="17" t="s">
        <v>477</v>
      </c>
      <c r="K41117" s="18"/>
    </row>
    <row r="41118">
      <c r="B41118" s="17" t="s">
        <v>477</v>
      </c>
      <c r="K41118" s="18"/>
    </row>
    <row r="41119">
      <c r="B41119" s="17" t="s">
        <v>477</v>
      </c>
      <c r="K41119" s="18"/>
    </row>
    <row r="41120">
      <c r="B41120" s="17" t="s">
        <v>477</v>
      </c>
      <c r="K41120" s="18"/>
    </row>
    <row r="41121">
      <c r="B41121" s="17" t="s">
        <v>477</v>
      </c>
      <c r="K41121" s="18"/>
    </row>
    <row r="41122">
      <c r="B41122" s="17" t="s">
        <v>477</v>
      </c>
      <c r="K41122" s="18"/>
    </row>
    <row r="41123">
      <c r="B41123" s="17" t="s">
        <v>477</v>
      </c>
      <c r="K41123" s="18"/>
    </row>
    <row r="41124">
      <c r="B41124" s="17" t="s">
        <v>477</v>
      </c>
      <c r="K41124" s="18"/>
    </row>
    <row r="41125">
      <c r="B41125" s="17" t="s">
        <v>477</v>
      </c>
      <c r="K41125" s="18"/>
    </row>
    <row r="41126">
      <c r="B41126" s="17" t="s">
        <v>477</v>
      </c>
      <c r="K41126" s="18"/>
    </row>
    <row r="41127">
      <c r="B41127" s="17" t="s">
        <v>477</v>
      </c>
      <c r="K41127" s="18"/>
    </row>
    <row r="41128">
      <c r="B41128" s="17" t="s">
        <v>477</v>
      </c>
      <c r="K41128" s="18"/>
    </row>
    <row r="41129">
      <c r="B41129" s="17" t="s">
        <v>477</v>
      </c>
      <c r="K41129" s="18"/>
    </row>
    <row r="41130">
      <c r="B41130" s="17" t="s">
        <v>477</v>
      </c>
      <c r="K41130" s="18"/>
    </row>
    <row r="41131">
      <c r="B41131" s="17" t="s">
        <v>477</v>
      </c>
      <c r="K41131" s="18"/>
    </row>
    <row r="41132">
      <c r="B41132" s="17" t="s">
        <v>477</v>
      </c>
      <c r="K41132" s="18"/>
    </row>
    <row r="41133">
      <c r="B41133" s="17" t="s">
        <v>477</v>
      </c>
      <c r="K41133" s="18"/>
    </row>
    <row r="41134">
      <c r="B41134" s="17" t="s">
        <v>477</v>
      </c>
      <c r="K41134" s="18"/>
    </row>
    <row r="41135">
      <c r="B41135" s="17" t="s">
        <v>477</v>
      </c>
      <c r="K41135" s="18"/>
    </row>
    <row r="41136">
      <c r="B41136" s="17" t="s">
        <v>477</v>
      </c>
      <c r="K41136" s="18"/>
    </row>
    <row r="41137">
      <c r="B41137" s="17" t="s">
        <v>477</v>
      </c>
      <c r="K41137" s="18"/>
    </row>
    <row r="41138">
      <c r="B41138" s="17" t="s">
        <v>477</v>
      </c>
      <c r="K41138" s="18"/>
    </row>
    <row r="41139">
      <c r="B41139" s="17" t="s">
        <v>477</v>
      </c>
      <c r="K41139" s="18"/>
    </row>
    <row r="41140">
      <c r="B41140" s="17" t="s">
        <v>477</v>
      </c>
      <c r="K41140" s="18"/>
    </row>
    <row r="41141">
      <c r="B41141" s="17" t="s">
        <v>477</v>
      </c>
      <c r="K41141" s="18"/>
    </row>
    <row r="41142">
      <c r="B41142" s="17" t="s">
        <v>477</v>
      </c>
      <c r="K41142" s="18"/>
    </row>
    <row r="41143">
      <c r="B41143" s="17" t="s">
        <v>477</v>
      </c>
      <c r="K41143" s="18"/>
    </row>
    <row r="41144">
      <c r="B41144" s="17" t="s">
        <v>477</v>
      </c>
      <c r="K41144" s="18"/>
    </row>
    <row r="41145">
      <c r="B41145" s="17" t="s">
        <v>477</v>
      </c>
      <c r="K41145" s="18"/>
    </row>
    <row r="41146">
      <c r="B41146" s="17" t="s">
        <v>477</v>
      </c>
      <c r="K41146" s="18"/>
    </row>
    <row r="41147">
      <c r="B41147" s="17" t="s">
        <v>477</v>
      </c>
      <c r="K41147" s="18"/>
    </row>
    <row r="41148">
      <c r="B41148" s="17" t="s">
        <v>477</v>
      </c>
      <c r="K41148" s="18"/>
    </row>
    <row r="41149">
      <c r="B41149" s="17" t="s">
        <v>477</v>
      </c>
      <c r="K41149" s="18"/>
    </row>
    <row r="41150">
      <c r="B41150" s="17" t="s">
        <v>477</v>
      </c>
      <c r="K41150" s="18"/>
    </row>
    <row r="41151">
      <c r="B41151" s="17" t="s">
        <v>477</v>
      </c>
      <c r="K41151" s="18"/>
    </row>
    <row r="41152">
      <c r="B41152" s="17" t="s">
        <v>477</v>
      </c>
      <c r="K41152" s="18"/>
    </row>
    <row r="41153">
      <c r="B41153" s="17" t="s">
        <v>477</v>
      </c>
      <c r="K41153" s="18"/>
    </row>
    <row r="41154">
      <c r="B41154" s="17" t="s">
        <v>477</v>
      </c>
      <c r="K41154" s="18"/>
    </row>
    <row r="41155">
      <c r="B41155" s="17" t="s">
        <v>477</v>
      </c>
      <c r="K41155" s="18"/>
    </row>
    <row r="41156">
      <c r="B41156" s="17" t="s">
        <v>477</v>
      </c>
      <c r="K41156" s="18"/>
    </row>
    <row r="41157">
      <c r="B41157" s="17" t="s">
        <v>477</v>
      </c>
      <c r="K41157" s="18"/>
    </row>
    <row r="41158">
      <c r="B41158" s="17" t="s">
        <v>477</v>
      </c>
      <c r="K41158" s="18"/>
    </row>
    <row r="41159">
      <c r="B41159" s="17" t="s">
        <v>477</v>
      </c>
      <c r="K41159" s="18"/>
    </row>
    <row r="41160">
      <c r="B41160" s="17" t="s">
        <v>477</v>
      </c>
      <c r="K41160" s="18"/>
    </row>
    <row r="41161">
      <c r="B41161" s="17" t="s">
        <v>477</v>
      </c>
      <c r="K41161" s="18"/>
    </row>
    <row r="41162">
      <c r="B41162" s="17" t="s">
        <v>477</v>
      </c>
      <c r="K41162" s="18"/>
    </row>
    <row r="41163">
      <c r="B41163" s="17" t="s">
        <v>477</v>
      </c>
      <c r="K41163" s="18"/>
    </row>
    <row r="41164">
      <c r="B41164" s="17" t="s">
        <v>477</v>
      </c>
      <c r="K41164" s="18"/>
    </row>
    <row r="41165">
      <c r="B41165" s="17" t="s">
        <v>477</v>
      </c>
      <c r="K41165" s="18"/>
    </row>
    <row r="41166">
      <c r="B41166" s="17" t="s">
        <v>477</v>
      </c>
      <c r="K41166" s="18"/>
    </row>
    <row r="41167">
      <c r="B41167" s="17" t="s">
        <v>477</v>
      </c>
      <c r="K41167" s="18"/>
    </row>
    <row r="41168">
      <c r="B41168" s="17" t="s">
        <v>477</v>
      </c>
      <c r="K41168" s="18"/>
    </row>
    <row r="41169">
      <c r="B41169" s="17" t="s">
        <v>477</v>
      </c>
      <c r="K41169" s="18"/>
    </row>
    <row r="41170">
      <c r="B41170" s="17" t="s">
        <v>477</v>
      </c>
      <c r="K41170" s="18"/>
    </row>
    <row r="41171">
      <c r="B41171" s="17" t="s">
        <v>477</v>
      </c>
      <c r="K41171" s="18"/>
    </row>
    <row r="41172">
      <c r="B41172" s="17" t="s">
        <v>477</v>
      </c>
      <c r="K41172" s="18"/>
    </row>
    <row r="41173">
      <c r="B41173" s="17" t="s">
        <v>477</v>
      </c>
      <c r="K41173" s="18"/>
    </row>
    <row r="41174">
      <c r="B41174" s="17" t="s">
        <v>477</v>
      </c>
      <c r="K41174" s="18"/>
    </row>
    <row r="41175">
      <c r="B41175" s="17" t="s">
        <v>477</v>
      </c>
      <c r="K41175" s="18"/>
    </row>
    <row r="41176">
      <c r="B41176" s="17" t="s">
        <v>477</v>
      </c>
      <c r="K41176" s="18"/>
    </row>
    <row r="41177">
      <c r="B41177" s="17" t="s">
        <v>477</v>
      </c>
      <c r="K41177" s="18"/>
    </row>
    <row r="41178">
      <c r="B41178" s="17" t="s">
        <v>477</v>
      </c>
      <c r="K41178" s="18"/>
    </row>
    <row r="41179">
      <c r="B41179" s="17" t="s">
        <v>477</v>
      </c>
      <c r="K41179" s="18"/>
    </row>
    <row r="41180">
      <c r="B41180" s="17" t="s">
        <v>477</v>
      </c>
      <c r="K41180" s="18"/>
    </row>
    <row r="41181">
      <c r="B41181" s="17" t="s">
        <v>477</v>
      </c>
      <c r="K41181" s="18"/>
    </row>
    <row r="41182">
      <c r="B41182" s="17" t="s">
        <v>477</v>
      </c>
      <c r="K41182" s="18"/>
    </row>
    <row r="41183">
      <c r="B41183" s="17" t="s">
        <v>477</v>
      </c>
      <c r="K41183" s="18"/>
    </row>
    <row r="41184">
      <c r="B41184" s="17" t="s">
        <v>477</v>
      </c>
      <c r="K41184" s="18"/>
    </row>
    <row r="41185">
      <c r="B41185" s="17" t="s">
        <v>477</v>
      </c>
      <c r="K41185" s="18"/>
    </row>
    <row r="41186">
      <c r="B41186" s="17" t="s">
        <v>477</v>
      </c>
      <c r="K41186" s="18"/>
    </row>
    <row r="41187">
      <c r="B41187" s="17" t="s">
        <v>477</v>
      </c>
      <c r="K41187" s="18"/>
    </row>
    <row r="41188">
      <c r="B41188" s="17" t="s">
        <v>477</v>
      </c>
      <c r="K41188" s="18"/>
    </row>
    <row r="41189">
      <c r="B41189" s="17" t="s">
        <v>477</v>
      </c>
      <c r="K41189" s="18"/>
    </row>
    <row r="41190">
      <c r="B41190" s="17" t="s">
        <v>477</v>
      </c>
      <c r="K41190" s="18"/>
    </row>
    <row r="41191">
      <c r="B41191" s="17" t="s">
        <v>477</v>
      </c>
      <c r="K41191" s="18"/>
    </row>
    <row r="41192">
      <c r="B41192" s="17" t="s">
        <v>477</v>
      </c>
      <c r="K41192" s="18"/>
    </row>
    <row r="41193">
      <c r="B41193" s="17" t="s">
        <v>477</v>
      </c>
      <c r="K41193" s="18"/>
    </row>
    <row r="41194">
      <c r="B41194" s="17" t="s">
        <v>477</v>
      </c>
      <c r="K41194" s="18"/>
    </row>
    <row r="41195">
      <c r="B41195" s="17" t="s">
        <v>477</v>
      </c>
      <c r="K41195" s="18"/>
    </row>
    <row r="41196">
      <c r="B41196" s="17" t="s">
        <v>477</v>
      </c>
      <c r="K41196" s="18"/>
    </row>
    <row r="41197">
      <c r="B41197" s="17" t="s">
        <v>477</v>
      </c>
      <c r="K41197" s="18"/>
    </row>
    <row r="41198">
      <c r="B41198" s="17" t="s">
        <v>477</v>
      </c>
      <c r="K41198" s="18"/>
    </row>
    <row r="41199">
      <c r="B41199" s="17" t="s">
        <v>477</v>
      </c>
      <c r="K41199" s="18"/>
    </row>
    <row r="41200">
      <c r="B41200" s="17" t="s">
        <v>477</v>
      </c>
      <c r="K41200" s="18"/>
    </row>
    <row r="41201">
      <c r="B41201" s="17" t="s">
        <v>477</v>
      </c>
      <c r="K41201" s="18"/>
    </row>
    <row r="41202">
      <c r="B41202" s="17" t="s">
        <v>477</v>
      </c>
      <c r="K41202" s="18"/>
    </row>
    <row r="41203">
      <c r="B41203" s="17" t="s">
        <v>477</v>
      </c>
      <c r="K41203" s="18"/>
    </row>
    <row r="41204">
      <c r="B41204" s="17" t="s">
        <v>477</v>
      </c>
      <c r="K41204" s="18"/>
    </row>
    <row r="41205">
      <c r="B41205" s="17" t="s">
        <v>477</v>
      </c>
      <c r="K41205" s="18"/>
    </row>
    <row r="41206">
      <c r="B41206" s="17" t="s">
        <v>477</v>
      </c>
      <c r="K41206" s="18"/>
    </row>
    <row r="41207">
      <c r="B41207" s="17" t="s">
        <v>477</v>
      </c>
      <c r="K41207" s="18"/>
    </row>
    <row r="41208">
      <c r="B41208" s="17" t="s">
        <v>477</v>
      </c>
      <c r="K41208" s="18"/>
    </row>
    <row r="41209">
      <c r="B41209" s="17" t="s">
        <v>477</v>
      </c>
      <c r="K41209" s="18"/>
    </row>
    <row r="41210">
      <c r="B41210" s="17" t="s">
        <v>477</v>
      </c>
      <c r="K41210" s="18"/>
    </row>
    <row r="41211">
      <c r="B41211" s="17" t="s">
        <v>477</v>
      </c>
      <c r="K41211" s="18"/>
    </row>
    <row r="41212">
      <c r="B41212" s="17" t="s">
        <v>477</v>
      </c>
      <c r="K41212" s="18"/>
    </row>
    <row r="41213">
      <c r="B41213" s="17" t="s">
        <v>477</v>
      </c>
      <c r="K41213" s="18"/>
    </row>
    <row r="41214">
      <c r="B41214" s="17" t="s">
        <v>477</v>
      </c>
      <c r="K41214" s="18"/>
    </row>
    <row r="41215">
      <c r="B41215" s="17" t="s">
        <v>477</v>
      </c>
      <c r="K41215" s="18"/>
    </row>
    <row r="41216">
      <c r="B41216" s="17" t="s">
        <v>477</v>
      </c>
      <c r="K41216" s="18"/>
    </row>
    <row r="41217">
      <c r="B41217" s="17" t="s">
        <v>477</v>
      </c>
      <c r="K41217" s="18"/>
    </row>
    <row r="41218">
      <c r="B41218" s="17" t="s">
        <v>477</v>
      </c>
      <c r="K41218" s="18"/>
    </row>
    <row r="41219">
      <c r="B41219" s="17" t="s">
        <v>477</v>
      </c>
      <c r="K41219" s="18"/>
    </row>
    <row r="41220">
      <c r="B41220" s="17" t="s">
        <v>477</v>
      </c>
      <c r="K41220" s="18"/>
    </row>
    <row r="41221">
      <c r="B41221" s="17" t="s">
        <v>477</v>
      </c>
      <c r="K41221" s="18"/>
    </row>
    <row r="41222">
      <c r="B41222" s="17" t="s">
        <v>477</v>
      </c>
      <c r="K41222" s="18"/>
    </row>
    <row r="41223">
      <c r="B41223" s="17" t="s">
        <v>477</v>
      </c>
      <c r="K41223" s="18"/>
    </row>
    <row r="41224">
      <c r="B41224" s="17" t="s">
        <v>477</v>
      </c>
      <c r="K41224" s="18"/>
    </row>
    <row r="41225">
      <c r="B41225" s="17" t="s">
        <v>477</v>
      </c>
      <c r="K41225" s="18"/>
    </row>
    <row r="41226">
      <c r="B41226" s="17" t="s">
        <v>477</v>
      </c>
      <c r="K41226" s="18"/>
    </row>
    <row r="41227">
      <c r="B41227" s="17" t="s">
        <v>477</v>
      </c>
      <c r="K41227" s="18"/>
    </row>
    <row r="41228">
      <c r="B41228" s="17" t="s">
        <v>477</v>
      </c>
      <c r="K41228" s="18"/>
    </row>
    <row r="41229">
      <c r="B41229" s="17" t="s">
        <v>477</v>
      </c>
      <c r="K41229" s="18"/>
    </row>
    <row r="41230">
      <c r="B41230" s="17" t="s">
        <v>477</v>
      </c>
      <c r="K41230" s="18"/>
    </row>
    <row r="41231">
      <c r="B41231" s="17" t="s">
        <v>477</v>
      </c>
      <c r="K41231" s="18"/>
    </row>
    <row r="41232">
      <c r="B41232" s="17" t="s">
        <v>477</v>
      </c>
      <c r="K41232" s="18"/>
    </row>
    <row r="41233">
      <c r="B41233" s="17" t="s">
        <v>477</v>
      </c>
      <c r="K41233" s="18"/>
    </row>
    <row r="41234">
      <c r="B41234" s="17" t="s">
        <v>477</v>
      </c>
      <c r="K41234" s="18"/>
    </row>
    <row r="41235">
      <c r="B41235" s="17" t="s">
        <v>477</v>
      </c>
      <c r="K41235" s="18"/>
    </row>
    <row r="41236">
      <c r="B41236" s="17" t="s">
        <v>477</v>
      </c>
      <c r="K41236" s="18"/>
    </row>
    <row r="41237">
      <c r="B41237" s="17" t="s">
        <v>477</v>
      </c>
      <c r="K41237" s="18"/>
    </row>
    <row r="41238">
      <c r="B41238" s="17" t="s">
        <v>477</v>
      </c>
      <c r="K41238" s="18"/>
    </row>
    <row r="41239">
      <c r="B41239" s="17" t="s">
        <v>477</v>
      </c>
      <c r="K41239" s="18"/>
    </row>
    <row r="41240">
      <c r="B41240" s="17" t="s">
        <v>477</v>
      </c>
      <c r="K41240" s="18"/>
    </row>
    <row r="41241">
      <c r="B41241" s="17" t="s">
        <v>477</v>
      </c>
      <c r="K41241" s="18"/>
    </row>
    <row r="41242">
      <c r="B41242" s="17" t="s">
        <v>477</v>
      </c>
      <c r="K41242" s="18"/>
    </row>
    <row r="41243">
      <c r="B41243" s="17" t="s">
        <v>477</v>
      </c>
      <c r="K41243" s="18"/>
    </row>
    <row r="41244">
      <c r="B41244" s="17" t="s">
        <v>477</v>
      </c>
      <c r="K41244" s="18"/>
    </row>
    <row r="41245">
      <c r="B41245" s="17" t="s">
        <v>477</v>
      </c>
      <c r="K41245" s="18"/>
    </row>
    <row r="41246">
      <c r="B41246" s="17" t="s">
        <v>477</v>
      </c>
      <c r="K41246" s="18"/>
    </row>
    <row r="41247">
      <c r="B41247" s="17" t="s">
        <v>477</v>
      </c>
      <c r="K41247" s="18"/>
    </row>
    <row r="41248">
      <c r="B41248" s="17" t="s">
        <v>477</v>
      </c>
      <c r="K41248" s="18"/>
    </row>
    <row r="41249">
      <c r="B41249" s="17" t="s">
        <v>477</v>
      </c>
      <c r="K41249" s="18"/>
    </row>
    <row r="41250">
      <c r="B41250" s="17" t="s">
        <v>477</v>
      </c>
      <c r="K41250" s="18"/>
    </row>
    <row r="41251">
      <c r="B41251" s="17" t="s">
        <v>477</v>
      </c>
      <c r="K41251" s="18"/>
    </row>
    <row r="41252">
      <c r="B41252" s="17" t="s">
        <v>477</v>
      </c>
      <c r="K41252" s="18"/>
    </row>
    <row r="41253">
      <c r="B41253" s="17" t="s">
        <v>477</v>
      </c>
      <c r="K41253" s="18"/>
    </row>
    <row r="41254">
      <c r="B41254" s="17" t="s">
        <v>477</v>
      </c>
      <c r="K41254" s="18"/>
    </row>
    <row r="41255">
      <c r="B41255" s="17" t="s">
        <v>477</v>
      </c>
      <c r="K41255" s="18"/>
    </row>
    <row r="41256">
      <c r="B41256" s="17" t="s">
        <v>477</v>
      </c>
      <c r="K41256" s="18"/>
    </row>
    <row r="41257">
      <c r="B41257" s="17" t="s">
        <v>477</v>
      </c>
      <c r="K41257" s="18"/>
    </row>
    <row r="41258">
      <c r="B41258" s="17" t="s">
        <v>477</v>
      </c>
      <c r="K41258" s="18"/>
    </row>
    <row r="41259">
      <c r="B41259" s="17" t="s">
        <v>477</v>
      </c>
      <c r="K41259" s="18"/>
    </row>
    <row r="41260">
      <c r="B41260" s="17" t="s">
        <v>477</v>
      </c>
      <c r="K41260" s="18"/>
    </row>
    <row r="41261">
      <c r="B41261" s="17" t="s">
        <v>477</v>
      </c>
      <c r="K41261" s="18"/>
    </row>
    <row r="41262">
      <c r="B41262" s="17" t="s">
        <v>477</v>
      </c>
      <c r="K41262" s="18"/>
    </row>
    <row r="41263">
      <c r="B41263" s="17" t="s">
        <v>477</v>
      </c>
      <c r="K41263" s="18"/>
    </row>
    <row r="41264">
      <c r="B41264" s="17" t="s">
        <v>477</v>
      </c>
      <c r="K41264" s="18"/>
    </row>
    <row r="41265">
      <c r="B41265" s="17" t="s">
        <v>477</v>
      </c>
      <c r="K41265" s="18"/>
    </row>
    <row r="41266">
      <c r="B41266" s="17" t="s">
        <v>477</v>
      </c>
      <c r="K41266" s="18"/>
    </row>
    <row r="41267">
      <c r="B41267" s="17" t="s">
        <v>477</v>
      </c>
      <c r="K41267" s="18"/>
    </row>
    <row r="41268">
      <c r="B41268" s="17" t="s">
        <v>477</v>
      </c>
      <c r="K41268" s="18"/>
    </row>
    <row r="41269">
      <c r="B41269" s="17" t="s">
        <v>477</v>
      </c>
      <c r="K41269" s="18"/>
    </row>
    <row r="41270">
      <c r="B41270" s="17" t="s">
        <v>477</v>
      </c>
      <c r="K41270" s="18"/>
    </row>
    <row r="41271">
      <c r="B41271" s="17" t="s">
        <v>477</v>
      </c>
      <c r="K41271" s="18"/>
    </row>
    <row r="41272">
      <c r="B41272" s="17" t="s">
        <v>477</v>
      </c>
      <c r="K41272" s="18"/>
    </row>
    <row r="41273">
      <c r="B41273" s="17" t="s">
        <v>477</v>
      </c>
      <c r="K41273" s="18"/>
    </row>
    <row r="41274">
      <c r="B41274" s="17" t="s">
        <v>477</v>
      </c>
      <c r="K41274" s="18"/>
    </row>
    <row r="41275">
      <c r="B41275" s="17" t="s">
        <v>477</v>
      </c>
      <c r="K41275" s="18"/>
    </row>
    <row r="41276">
      <c r="B41276" s="17" t="s">
        <v>477</v>
      </c>
      <c r="K41276" s="18"/>
    </row>
    <row r="41277">
      <c r="B41277" s="17" t="s">
        <v>477</v>
      </c>
      <c r="K41277" s="18"/>
    </row>
    <row r="41278">
      <c r="B41278" s="17" t="s">
        <v>477</v>
      </c>
      <c r="K41278" s="18"/>
    </row>
    <row r="41279">
      <c r="B41279" s="17" t="s">
        <v>477</v>
      </c>
      <c r="K41279" s="18"/>
    </row>
    <row r="41280">
      <c r="B41280" s="17" t="s">
        <v>477</v>
      </c>
      <c r="K41280" s="18"/>
    </row>
    <row r="41281">
      <c r="B41281" s="17" t="s">
        <v>477</v>
      </c>
      <c r="K41281" s="18"/>
    </row>
    <row r="41282">
      <c r="B41282" s="17" t="s">
        <v>477</v>
      </c>
      <c r="K41282" s="18"/>
    </row>
    <row r="41283">
      <c r="B41283" s="17" t="s">
        <v>477</v>
      </c>
      <c r="K41283" s="18"/>
    </row>
    <row r="41284">
      <c r="B41284" s="17" t="s">
        <v>477</v>
      </c>
      <c r="K41284" s="18"/>
    </row>
    <row r="41285">
      <c r="B41285" s="17" t="s">
        <v>477</v>
      </c>
      <c r="K41285" s="18"/>
    </row>
    <row r="41286">
      <c r="B41286" s="17" t="s">
        <v>477</v>
      </c>
      <c r="K41286" s="18"/>
    </row>
    <row r="41287">
      <c r="B41287" s="17" t="s">
        <v>477</v>
      </c>
      <c r="K41287" s="18"/>
    </row>
    <row r="41288">
      <c r="B41288" s="17" t="s">
        <v>477</v>
      </c>
      <c r="K41288" s="18"/>
    </row>
    <row r="41289">
      <c r="B41289" s="17" t="s">
        <v>477</v>
      </c>
      <c r="K41289" s="18"/>
    </row>
    <row r="41290">
      <c r="B41290" s="17" t="s">
        <v>477</v>
      </c>
      <c r="K41290" s="18"/>
    </row>
    <row r="41291">
      <c r="B41291" s="17" t="s">
        <v>477</v>
      </c>
      <c r="K41291" s="18"/>
    </row>
    <row r="41292">
      <c r="B41292" s="17" t="s">
        <v>477</v>
      </c>
      <c r="K41292" s="18"/>
    </row>
    <row r="41293">
      <c r="B41293" s="17" t="s">
        <v>477</v>
      </c>
      <c r="K41293" s="18"/>
    </row>
    <row r="41294">
      <c r="B41294" s="17" t="s">
        <v>477</v>
      </c>
      <c r="K41294" s="18"/>
    </row>
    <row r="41295">
      <c r="B41295" s="17" t="s">
        <v>477</v>
      </c>
      <c r="K41295" s="18"/>
    </row>
    <row r="41296">
      <c r="B41296" s="17" t="s">
        <v>477</v>
      </c>
      <c r="K41296" s="18"/>
    </row>
    <row r="41297">
      <c r="B41297" s="17" t="s">
        <v>477</v>
      </c>
      <c r="K41297" s="18"/>
    </row>
    <row r="41298">
      <c r="B41298" s="17" t="s">
        <v>477</v>
      </c>
      <c r="K41298" s="18"/>
    </row>
    <row r="41299">
      <c r="B41299" s="17" t="s">
        <v>477</v>
      </c>
      <c r="K41299" s="18"/>
    </row>
    <row r="41300">
      <c r="B41300" s="17" t="s">
        <v>477</v>
      </c>
      <c r="K41300" s="18"/>
    </row>
    <row r="41301">
      <c r="B41301" s="17" t="s">
        <v>477</v>
      </c>
      <c r="K41301" s="18"/>
    </row>
    <row r="41302">
      <c r="B41302" s="17" t="s">
        <v>477</v>
      </c>
      <c r="K41302" s="18"/>
    </row>
    <row r="41303">
      <c r="B41303" s="17" t="s">
        <v>477</v>
      </c>
      <c r="K41303" s="18"/>
    </row>
    <row r="41304">
      <c r="B41304" s="17" t="s">
        <v>477</v>
      </c>
      <c r="K41304" s="18"/>
    </row>
    <row r="41305">
      <c r="B41305" s="17" t="s">
        <v>477</v>
      </c>
      <c r="K41305" s="18"/>
    </row>
    <row r="41306">
      <c r="B41306" s="17" t="s">
        <v>477</v>
      </c>
      <c r="K41306" s="18"/>
    </row>
    <row r="41307">
      <c r="B41307" s="17" t="s">
        <v>477</v>
      </c>
      <c r="K41307" s="18"/>
    </row>
    <row r="41308">
      <c r="B41308" s="17" t="s">
        <v>477</v>
      </c>
      <c r="K41308" s="18"/>
    </row>
    <row r="41309">
      <c r="B41309" s="17" t="s">
        <v>477</v>
      </c>
      <c r="K41309" s="18"/>
    </row>
    <row r="41310">
      <c r="B41310" s="17" t="s">
        <v>477</v>
      </c>
      <c r="K41310" s="18"/>
    </row>
    <row r="41311">
      <c r="B41311" s="17" t="s">
        <v>477</v>
      </c>
      <c r="K41311" s="18"/>
    </row>
    <row r="41312">
      <c r="B41312" s="17" t="s">
        <v>477</v>
      </c>
      <c r="K41312" s="18"/>
    </row>
    <row r="41313">
      <c r="B41313" s="17" t="s">
        <v>477</v>
      </c>
      <c r="K41313" s="18"/>
    </row>
    <row r="41314">
      <c r="B41314" s="17" t="s">
        <v>477</v>
      </c>
      <c r="K41314" s="18"/>
    </row>
    <row r="41315">
      <c r="B41315" s="17" t="s">
        <v>477</v>
      </c>
      <c r="K41315" s="18"/>
    </row>
    <row r="41316">
      <c r="B41316" s="17" t="s">
        <v>477</v>
      </c>
      <c r="K41316" s="18"/>
    </row>
    <row r="41317">
      <c r="B41317" s="17" t="s">
        <v>477</v>
      </c>
      <c r="K41317" s="18"/>
    </row>
    <row r="41318">
      <c r="B41318" s="17" t="s">
        <v>477</v>
      </c>
      <c r="K41318" s="18"/>
    </row>
    <row r="41319">
      <c r="B41319" s="17" t="s">
        <v>477</v>
      </c>
      <c r="K41319" s="18"/>
    </row>
    <row r="41320">
      <c r="B41320" s="17" t="s">
        <v>477</v>
      </c>
      <c r="K41320" s="18"/>
    </row>
    <row r="41321">
      <c r="B41321" s="17" t="s">
        <v>477</v>
      </c>
      <c r="K41321" s="18"/>
    </row>
    <row r="41322">
      <c r="B41322" s="17" t="s">
        <v>477</v>
      </c>
      <c r="K41322" s="18"/>
    </row>
    <row r="41323">
      <c r="B41323" s="17" t="s">
        <v>477</v>
      </c>
      <c r="K41323" s="18"/>
    </row>
    <row r="41324">
      <c r="B41324" s="17" t="s">
        <v>477</v>
      </c>
      <c r="K41324" s="18"/>
    </row>
    <row r="41325">
      <c r="B41325" s="17" t="s">
        <v>477</v>
      </c>
      <c r="K41325" s="18"/>
    </row>
    <row r="41326">
      <c r="B41326" s="17" t="s">
        <v>477</v>
      </c>
      <c r="K41326" s="18"/>
    </row>
    <row r="41327">
      <c r="B41327" s="17" t="s">
        <v>477</v>
      </c>
      <c r="K41327" s="18"/>
    </row>
    <row r="41328">
      <c r="B41328" s="17" t="s">
        <v>477</v>
      </c>
      <c r="K41328" s="18"/>
    </row>
    <row r="41329">
      <c r="B41329" s="17" t="s">
        <v>477</v>
      </c>
      <c r="K41329" s="18"/>
    </row>
    <row r="41330">
      <c r="B41330" s="17" t="s">
        <v>477</v>
      </c>
      <c r="K41330" s="18"/>
    </row>
    <row r="41331">
      <c r="B41331" s="17" t="s">
        <v>477</v>
      </c>
      <c r="K41331" s="18"/>
    </row>
    <row r="41332">
      <c r="B41332" s="17" t="s">
        <v>477</v>
      </c>
      <c r="K41332" s="18"/>
    </row>
    <row r="41333">
      <c r="B41333" s="17" t="s">
        <v>477</v>
      </c>
      <c r="K41333" s="18"/>
    </row>
    <row r="41334">
      <c r="B41334" s="17" t="s">
        <v>477</v>
      </c>
      <c r="K41334" s="18"/>
    </row>
    <row r="41335">
      <c r="B41335" s="17" t="s">
        <v>477</v>
      </c>
      <c r="K41335" s="18"/>
    </row>
    <row r="41336">
      <c r="B41336" s="17" t="s">
        <v>477</v>
      </c>
      <c r="K41336" s="18"/>
    </row>
    <row r="41337">
      <c r="B41337" s="17" t="s">
        <v>477</v>
      </c>
      <c r="K41337" s="18"/>
    </row>
    <row r="41338">
      <c r="B41338" s="17" t="s">
        <v>477</v>
      </c>
      <c r="K41338" s="18"/>
    </row>
    <row r="41339">
      <c r="B41339" s="17" t="s">
        <v>477</v>
      </c>
      <c r="K41339" s="18"/>
    </row>
    <row r="41340">
      <c r="B41340" s="17" t="s">
        <v>477</v>
      </c>
      <c r="K41340" s="18"/>
    </row>
    <row r="41341">
      <c r="B41341" s="17" t="s">
        <v>477</v>
      </c>
      <c r="K41341" s="18"/>
    </row>
    <row r="41342">
      <c r="B41342" s="17" t="s">
        <v>477</v>
      </c>
      <c r="K41342" s="18"/>
    </row>
    <row r="41343">
      <c r="B41343" s="17" t="s">
        <v>477</v>
      </c>
      <c r="K41343" s="18"/>
    </row>
    <row r="41344">
      <c r="B41344" s="17" t="s">
        <v>477</v>
      </c>
      <c r="K41344" s="18"/>
    </row>
    <row r="41345">
      <c r="B41345" s="17" t="s">
        <v>477</v>
      </c>
      <c r="K41345" s="18"/>
    </row>
    <row r="41346">
      <c r="B41346" s="17" t="s">
        <v>477</v>
      </c>
      <c r="K41346" s="18"/>
    </row>
    <row r="41347">
      <c r="B41347" s="17" t="s">
        <v>477</v>
      </c>
      <c r="K41347" s="18"/>
    </row>
    <row r="41348">
      <c r="B41348" s="17" t="s">
        <v>477</v>
      </c>
      <c r="K41348" s="18"/>
    </row>
    <row r="41349">
      <c r="B41349" s="17" t="s">
        <v>477</v>
      </c>
      <c r="K41349" s="18"/>
    </row>
    <row r="41350">
      <c r="B41350" s="17" t="s">
        <v>477</v>
      </c>
      <c r="K41350" s="18"/>
    </row>
    <row r="41351">
      <c r="B41351" s="17" t="s">
        <v>477</v>
      </c>
      <c r="K41351" s="18"/>
    </row>
    <row r="41352">
      <c r="B41352" s="17" t="s">
        <v>477</v>
      </c>
      <c r="K41352" s="18"/>
    </row>
    <row r="41353">
      <c r="B41353" s="17" t="s">
        <v>477</v>
      </c>
      <c r="K41353" s="18"/>
    </row>
    <row r="41354">
      <c r="B41354" s="17" t="s">
        <v>477</v>
      </c>
      <c r="K41354" s="18"/>
    </row>
    <row r="41355">
      <c r="B41355" s="17" t="s">
        <v>477</v>
      </c>
      <c r="K41355" s="18"/>
    </row>
    <row r="41356">
      <c r="B41356" s="17" t="s">
        <v>477</v>
      </c>
      <c r="K41356" s="18"/>
    </row>
    <row r="41357">
      <c r="B41357" s="17" t="s">
        <v>477</v>
      </c>
      <c r="K41357" s="18"/>
    </row>
    <row r="41358">
      <c r="B41358" s="17" t="s">
        <v>477</v>
      </c>
      <c r="K41358" s="18"/>
    </row>
    <row r="41359">
      <c r="B41359" s="17" t="s">
        <v>477</v>
      </c>
      <c r="K41359" s="18"/>
    </row>
    <row r="41360">
      <c r="B41360" s="17" t="s">
        <v>477</v>
      </c>
      <c r="K41360" s="18"/>
    </row>
    <row r="41361">
      <c r="B41361" s="17" t="s">
        <v>477</v>
      </c>
      <c r="K41361" s="18"/>
    </row>
    <row r="41362">
      <c r="B41362" s="17" t="s">
        <v>477</v>
      </c>
      <c r="K41362" s="18"/>
    </row>
    <row r="41363">
      <c r="B41363" s="17" t="s">
        <v>477</v>
      </c>
      <c r="K41363" s="18"/>
    </row>
    <row r="41364">
      <c r="B41364" s="17" t="s">
        <v>477</v>
      </c>
      <c r="K41364" s="18"/>
    </row>
    <row r="41365">
      <c r="B41365" s="17" t="s">
        <v>477</v>
      </c>
      <c r="K41365" s="18"/>
    </row>
    <row r="41366">
      <c r="B41366" s="17" t="s">
        <v>477</v>
      </c>
      <c r="K41366" s="18"/>
    </row>
    <row r="41367">
      <c r="B41367" s="17" t="s">
        <v>477</v>
      </c>
      <c r="K41367" s="18"/>
    </row>
    <row r="41368">
      <c r="B41368" s="17" t="s">
        <v>477</v>
      </c>
      <c r="K41368" s="18"/>
    </row>
    <row r="41369">
      <c r="B41369" s="17" t="s">
        <v>477</v>
      </c>
      <c r="K41369" s="18"/>
    </row>
    <row r="41370">
      <c r="B41370" s="17" t="s">
        <v>477</v>
      </c>
      <c r="K41370" s="18"/>
    </row>
    <row r="41371">
      <c r="B41371" s="17" t="s">
        <v>477</v>
      </c>
      <c r="K41371" s="18"/>
    </row>
    <row r="41372">
      <c r="B41372" s="17" t="s">
        <v>477</v>
      </c>
      <c r="K41372" s="18"/>
    </row>
    <row r="41373">
      <c r="B41373" s="17" t="s">
        <v>477</v>
      </c>
      <c r="K41373" s="18"/>
    </row>
    <row r="41374">
      <c r="B41374" s="17" t="s">
        <v>477</v>
      </c>
      <c r="K41374" s="18"/>
    </row>
    <row r="41375">
      <c r="B41375" s="17" t="s">
        <v>477</v>
      </c>
      <c r="K41375" s="18"/>
    </row>
    <row r="41376">
      <c r="B41376" s="17" t="s">
        <v>477</v>
      </c>
      <c r="K41376" s="18"/>
    </row>
    <row r="41377">
      <c r="B41377" s="17" t="s">
        <v>477</v>
      </c>
      <c r="K41377" s="18"/>
    </row>
    <row r="41378">
      <c r="B41378" s="17" t="s">
        <v>477</v>
      </c>
      <c r="K41378" s="18"/>
    </row>
    <row r="41379">
      <c r="B41379" s="17" t="s">
        <v>477</v>
      </c>
      <c r="K41379" s="18"/>
    </row>
    <row r="41380">
      <c r="B41380" s="17" t="s">
        <v>477</v>
      </c>
      <c r="K41380" s="18"/>
    </row>
    <row r="41381">
      <c r="B41381" s="17" t="s">
        <v>477</v>
      </c>
      <c r="K41381" s="18"/>
    </row>
    <row r="41382">
      <c r="B41382" s="17" t="s">
        <v>477</v>
      </c>
      <c r="K41382" s="18"/>
    </row>
    <row r="41383">
      <c r="B41383" s="17" t="s">
        <v>477</v>
      </c>
      <c r="K41383" s="18"/>
    </row>
    <row r="41384">
      <c r="B41384" s="17" t="s">
        <v>477</v>
      </c>
      <c r="K41384" s="18"/>
    </row>
    <row r="41385">
      <c r="B41385" s="17" t="s">
        <v>477</v>
      </c>
      <c r="K41385" s="18"/>
    </row>
    <row r="41386">
      <c r="B41386" s="17" t="s">
        <v>477</v>
      </c>
      <c r="K41386" s="18"/>
    </row>
    <row r="41387">
      <c r="B41387" s="17" t="s">
        <v>477</v>
      </c>
      <c r="K41387" s="18"/>
    </row>
    <row r="41388">
      <c r="B41388" s="17" t="s">
        <v>477</v>
      </c>
      <c r="K41388" s="18"/>
    </row>
    <row r="41389">
      <c r="B41389" s="17" t="s">
        <v>477</v>
      </c>
      <c r="K41389" s="18"/>
    </row>
    <row r="41390">
      <c r="B41390" s="17" t="s">
        <v>477</v>
      </c>
      <c r="K41390" s="18"/>
    </row>
    <row r="41391">
      <c r="B41391" s="17" t="s">
        <v>477</v>
      </c>
      <c r="K41391" s="18"/>
    </row>
    <row r="41392">
      <c r="B41392" s="17" t="s">
        <v>477</v>
      </c>
      <c r="K41392" s="18"/>
    </row>
    <row r="41393">
      <c r="B41393" s="17" t="s">
        <v>477</v>
      </c>
      <c r="K41393" s="18"/>
    </row>
    <row r="41394">
      <c r="B41394" s="17" t="s">
        <v>477</v>
      </c>
      <c r="K41394" s="18"/>
    </row>
    <row r="41395">
      <c r="B41395" s="17" t="s">
        <v>477</v>
      </c>
      <c r="K41395" s="18"/>
    </row>
    <row r="41396">
      <c r="B41396" s="17" t="s">
        <v>477</v>
      </c>
      <c r="K41396" s="18"/>
    </row>
    <row r="41397">
      <c r="B41397" s="17" t="s">
        <v>477</v>
      </c>
      <c r="K41397" s="18"/>
    </row>
    <row r="41398">
      <c r="B41398" s="17" t="s">
        <v>477</v>
      </c>
      <c r="K41398" s="18"/>
    </row>
    <row r="41399">
      <c r="B41399" s="17" t="s">
        <v>477</v>
      </c>
      <c r="K41399" s="18"/>
    </row>
    <row r="41400">
      <c r="B41400" s="17" t="s">
        <v>477</v>
      </c>
      <c r="K41400" s="18"/>
    </row>
    <row r="41401">
      <c r="B41401" s="17" t="s">
        <v>477</v>
      </c>
      <c r="K41401" s="18"/>
    </row>
    <row r="41402">
      <c r="B41402" s="17" t="s">
        <v>477</v>
      </c>
      <c r="K41402" s="18"/>
    </row>
    <row r="41403">
      <c r="B41403" s="17" t="s">
        <v>477</v>
      </c>
      <c r="K41403" s="18"/>
    </row>
    <row r="41404">
      <c r="B41404" s="17" t="s">
        <v>477</v>
      </c>
      <c r="K41404" s="18"/>
    </row>
    <row r="41405">
      <c r="B41405" s="17" t="s">
        <v>477</v>
      </c>
      <c r="K41405" s="18"/>
    </row>
    <row r="41406">
      <c r="B41406" s="17" t="s">
        <v>477</v>
      </c>
      <c r="K41406" s="18"/>
    </row>
    <row r="41407">
      <c r="B41407" s="17" t="s">
        <v>477</v>
      </c>
      <c r="K41407" s="18"/>
    </row>
    <row r="41408">
      <c r="B41408" s="17" t="s">
        <v>477</v>
      </c>
      <c r="K41408" s="18"/>
    </row>
    <row r="41409">
      <c r="B41409" s="17" t="s">
        <v>477</v>
      </c>
      <c r="K41409" s="18"/>
    </row>
    <row r="41410">
      <c r="B41410" s="17" t="s">
        <v>477</v>
      </c>
      <c r="K41410" s="18"/>
    </row>
    <row r="41411">
      <c r="B41411" s="17" t="s">
        <v>477</v>
      </c>
      <c r="K41411" s="18"/>
    </row>
    <row r="41412">
      <c r="B41412" s="17" t="s">
        <v>477</v>
      </c>
      <c r="K41412" s="18"/>
    </row>
    <row r="41413">
      <c r="B41413" s="17" t="s">
        <v>477</v>
      </c>
      <c r="K41413" s="18"/>
    </row>
    <row r="41414">
      <c r="B41414" s="17" t="s">
        <v>477</v>
      </c>
      <c r="K41414" s="18"/>
    </row>
    <row r="41415">
      <c r="B41415" s="17" t="s">
        <v>477</v>
      </c>
      <c r="K41415" s="18"/>
    </row>
    <row r="41416">
      <c r="B41416" s="17" t="s">
        <v>477</v>
      </c>
      <c r="K41416" s="18"/>
    </row>
    <row r="41417">
      <c r="B41417" s="17" t="s">
        <v>477</v>
      </c>
      <c r="K41417" s="18"/>
    </row>
    <row r="41418">
      <c r="B41418" s="17" t="s">
        <v>477</v>
      </c>
      <c r="K41418" s="18"/>
    </row>
    <row r="41419">
      <c r="B41419" s="17" t="s">
        <v>477</v>
      </c>
      <c r="K41419" s="18"/>
    </row>
    <row r="41420">
      <c r="B41420" s="17" t="s">
        <v>477</v>
      </c>
      <c r="K41420" s="18"/>
    </row>
    <row r="41421">
      <c r="B41421" s="17" t="s">
        <v>477</v>
      </c>
      <c r="K41421" s="18"/>
    </row>
    <row r="41422">
      <c r="B41422" s="17" t="s">
        <v>477</v>
      </c>
      <c r="K41422" s="18"/>
    </row>
    <row r="41423">
      <c r="B41423" s="17" t="s">
        <v>477</v>
      </c>
      <c r="K41423" s="18"/>
    </row>
    <row r="41424">
      <c r="B41424" s="17" t="s">
        <v>477</v>
      </c>
      <c r="K41424" s="18"/>
    </row>
    <row r="41425">
      <c r="B41425" s="17" t="s">
        <v>477</v>
      </c>
      <c r="K41425" s="18"/>
    </row>
    <row r="41426">
      <c r="B41426" s="17" t="s">
        <v>477</v>
      </c>
      <c r="K41426" s="18"/>
    </row>
    <row r="41427">
      <c r="B41427" s="17" t="s">
        <v>477</v>
      </c>
      <c r="K41427" s="18"/>
    </row>
    <row r="41428">
      <c r="B41428" s="17" t="s">
        <v>477</v>
      </c>
      <c r="K41428" s="18"/>
    </row>
    <row r="41429">
      <c r="B41429" s="17" t="s">
        <v>477</v>
      </c>
      <c r="K41429" s="18"/>
    </row>
    <row r="41430">
      <c r="B41430" s="17" t="s">
        <v>477</v>
      </c>
      <c r="K41430" s="18"/>
    </row>
    <row r="41431">
      <c r="B41431" s="17" t="s">
        <v>477</v>
      </c>
      <c r="K41431" s="18"/>
    </row>
    <row r="41432">
      <c r="B41432" s="17" t="s">
        <v>477</v>
      </c>
      <c r="K41432" s="18"/>
    </row>
    <row r="41433">
      <c r="B41433" s="17" t="s">
        <v>477</v>
      </c>
      <c r="K41433" s="18"/>
    </row>
    <row r="41434">
      <c r="B41434" s="17" t="s">
        <v>477</v>
      </c>
      <c r="K41434" s="18"/>
    </row>
    <row r="41435">
      <c r="B41435" s="17" t="s">
        <v>477</v>
      </c>
      <c r="K41435" s="18"/>
    </row>
    <row r="41436">
      <c r="B41436" s="17" t="s">
        <v>477</v>
      </c>
      <c r="K41436" s="18"/>
    </row>
    <row r="41437">
      <c r="B41437" s="17" t="s">
        <v>477</v>
      </c>
      <c r="K41437" s="18"/>
    </row>
    <row r="41438">
      <c r="B41438" s="17" t="s">
        <v>477</v>
      </c>
      <c r="K41438" s="18"/>
    </row>
    <row r="41439">
      <c r="B41439" s="17" t="s">
        <v>477</v>
      </c>
      <c r="K41439" s="18"/>
    </row>
    <row r="41440">
      <c r="B41440" s="17" t="s">
        <v>477</v>
      </c>
      <c r="K41440" s="18"/>
    </row>
    <row r="41441">
      <c r="B41441" s="17" t="s">
        <v>477</v>
      </c>
      <c r="K41441" s="18"/>
    </row>
    <row r="41442">
      <c r="B41442" s="17" t="s">
        <v>477</v>
      </c>
      <c r="K41442" s="18"/>
    </row>
    <row r="41443">
      <c r="B41443" s="17" t="s">
        <v>477</v>
      </c>
      <c r="K41443" s="18"/>
    </row>
    <row r="41444">
      <c r="B41444" s="17" t="s">
        <v>477</v>
      </c>
      <c r="K41444" s="18"/>
    </row>
    <row r="41445">
      <c r="B41445" s="17" t="s">
        <v>477</v>
      </c>
      <c r="K41445" s="18"/>
    </row>
    <row r="41446">
      <c r="B41446" s="17" t="s">
        <v>477</v>
      </c>
      <c r="K41446" s="18"/>
    </row>
    <row r="41447">
      <c r="B41447" s="17" t="s">
        <v>477</v>
      </c>
      <c r="K41447" s="18"/>
    </row>
    <row r="41448">
      <c r="B41448" s="17" t="s">
        <v>477</v>
      </c>
      <c r="K41448" s="18"/>
    </row>
    <row r="41449">
      <c r="B41449" s="17" t="s">
        <v>477</v>
      </c>
      <c r="K41449" s="18"/>
    </row>
    <row r="41450">
      <c r="B41450" s="17" t="s">
        <v>477</v>
      </c>
      <c r="K41450" s="18"/>
    </row>
    <row r="41451">
      <c r="B41451" s="17" t="s">
        <v>477</v>
      </c>
      <c r="K41451" s="18"/>
    </row>
    <row r="41452">
      <c r="B41452" s="17" t="s">
        <v>477</v>
      </c>
      <c r="K41452" s="18"/>
    </row>
    <row r="41453">
      <c r="B41453" s="17" t="s">
        <v>477</v>
      </c>
      <c r="K41453" s="18"/>
    </row>
    <row r="41454">
      <c r="B41454" s="17" t="s">
        <v>477</v>
      </c>
      <c r="K41454" s="18"/>
    </row>
    <row r="41455">
      <c r="B41455" s="17" t="s">
        <v>477</v>
      </c>
      <c r="K41455" s="18"/>
    </row>
    <row r="41456">
      <c r="B41456" s="17" t="s">
        <v>477</v>
      </c>
      <c r="K41456" s="18"/>
    </row>
    <row r="41457">
      <c r="B41457" s="17" t="s">
        <v>477</v>
      </c>
      <c r="K41457" s="18"/>
    </row>
    <row r="41458">
      <c r="B41458" s="17" t="s">
        <v>477</v>
      </c>
      <c r="K41458" s="18"/>
    </row>
    <row r="41459">
      <c r="B41459" s="17" t="s">
        <v>477</v>
      </c>
      <c r="K41459" s="18"/>
    </row>
    <row r="41460">
      <c r="B41460" s="17" t="s">
        <v>477</v>
      </c>
      <c r="K41460" s="18"/>
    </row>
    <row r="41461">
      <c r="B41461" s="17" t="s">
        <v>477</v>
      </c>
      <c r="K41461" s="18"/>
    </row>
    <row r="41462">
      <c r="B41462" s="17" t="s">
        <v>477</v>
      </c>
      <c r="K41462" s="18"/>
    </row>
    <row r="41463">
      <c r="B41463" s="17" t="s">
        <v>477</v>
      </c>
      <c r="K41463" s="18"/>
    </row>
    <row r="41464">
      <c r="B41464" s="17" t="s">
        <v>477</v>
      </c>
      <c r="K41464" s="18"/>
    </row>
    <row r="41465">
      <c r="B41465" s="17" t="s">
        <v>477</v>
      </c>
      <c r="K41465" s="18"/>
    </row>
    <row r="41466">
      <c r="B41466" s="17" t="s">
        <v>477</v>
      </c>
      <c r="K41466" s="18"/>
    </row>
    <row r="41467">
      <c r="B41467" s="17" t="s">
        <v>477</v>
      </c>
      <c r="K41467" s="18"/>
    </row>
    <row r="41468">
      <c r="B41468" s="17" t="s">
        <v>477</v>
      </c>
      <c r="K41468" s="18"/>
    </row>
    <row r="41469">
      <c r="B41469" s="17" t="s">
        <v>477</v>
      </c>
      <c r="K41469" s="18"/>
    </row>
    <row r="41470">
      <c r="B41470" s="17" t="s">
        <v>477</v>
      </c>
      <c r="K41470" s="18"/>
    </row>
    <row r="41471">
      <c r="B41471" s="17" t="s">
        <v>477</v>
      </c>
      <c r="K41471" s="18"/>
    </row>
    <row r="41472">
      <c r="B41472" s="17" t="s">
        <v>477</v>
      </c>
      <c r="K41472" s="18"/>
    </row>
    <row r="41473">
      <c r="B41473" s="17" t="s">
        <v>477</v>
      </c>
      <c r="K41473" s="18"/>
    </row>
    <row r="41474">
      <c r="B41474" s="17" t="s">
        <v>477</v>
      </c>
      <c r="K41474" s="18"/>
    </row>
    <row r="41475">
      <c r="B41475" s="17" t="s">
        <v>477</v>
      </c>
      <c r="K41475" s="18"/>
    </row>
    <row r="41476">
      <c r="B41476" s="17" t="s">
        <v>477</v>
      </c>
      <c r="K41476" s="18"/>
    </row>
    <row r="41477">
      <c r="B41477" s="17" t="s">
        <v>477</v>
      </c>
      <c r="K41477" s="18"/>
    </row>
    <row r="41478">
      <c r="B41478" s="17" t="s">
        <v>477</v>
      </c>
      <c r="K41478" s="18"/>
    </row>
    <row r="41479">
      <c r="B41479" s="17" t="s">
        <v>477</v>
      </c>
      <c r="K41479" s="18"/>
    </row>
    <row r="41480">
      <c r="B41480" s="17" t="s">
        <v>477</v>
      </c>
      <c r="K41480" s="18"/>
    </row>
    <row r="41481">
      <c r="B41481" s="17" t="s">
        <v>477</v>
      </c>
      <c r="K41481" s="18"/>
    </row>
    <row r="41482">
      <c r="B41482" s="17" t="s">
        <v>477</v>
      </c>
      <c r="K41482" s="18"/>
    </row>
    <row r="41483">
      <c r="B41483" s="17" t="s">
        <v>477</v>
      </c>
      <c r="K41483" s="18"/>
    </row>
    <row r="41484">
      <c r="B41484" s="17" t="s">
        <v>477</v>
      </c>
      <c r="K41484" s="18"/>
    </row>
    <row r="41485">
      <c r="B41485" s="17" t="s">
        <v>477</v>
      </c>
      <c r="K41485" s="18"/>
    </row>
    <row r="41486">
      <c r="B41486" s="17" t="s">
        <v>477</v>
      </c>
      <c r="K41486" s="18"/>
    </row>
    <row r="41487">
      <c r="B41487" s="17" t="s">
        <v>477</v>
      </c>
      <c r="K41487" s="18"/>
    </row>
    <row r="41488">
      <c r="B41488" s="17" t="s">
        <v>477</v>
      </c>
      <c r="K41488" s="18"/>
    </row>
    <row r="41489">
      <c r="B41489" s="17" t="s">
        <v>477</v>
      </c>
      <c r="K41489" s="18"/>
    </row>
    <row r="41490">
      <c r="B41490" s="17" t="s">
        <v>477</v>
      </c>
      <c r="K41490" s="18"/>
    </row>
    <row r="41491">
      <c r="B41491" s="17" t="s">
        <v>477</v>
      </c>
      <c r="K41491" s="18"/>
    </row>
    <row r="41492">
      <c r="B41492" s="17" t="s">
        <v>477</v>
      </c>
      <c r="K41492" s="18"/>
    </row>
    <row r="41493">
      <c r="B41493" s="17" t="s">
        <v>477</v>
      </c>
      <c r="K41493" s="18"/>
    </row>
    <row r="41494">
      <c r="B41494" s="17" t="s">
        <v>477</v>
      </c>
      <c r="K41494" s="18"/>
    </row>
    <row r="41495">
      <c r="B41495" s="17" t="s">
        <v>477</v>
      </c>
      <c r="K41495" s="18"/>
    </row>
    <row r="41496">
      <c r="B41496" s="17" t="s">
        <v>477</v>
      </c>
      <c r="K41496" s="18"/>
    </row>
    <row r="41497">
      <c r="B41497" s="17" t="s">
        <v>477</v>
      </c>
      <c r="K41497" s="18"/>
    </row>
    <row r="41498">
      <c r="B41498" s="17" t="s">
        <v>477</v>
      </c>
      <c r="K41498" s="18"/>
    </row>
    <row r="41499">
      <c r="B41499" s="17" t="s">
        <v>477</v>
      </c>
      <c r="K41499" s="18"/>
    </row>
    <row r="41500">
      <c r="B41500" s="17" t="s">
        <v>477</v>
      </c>
      <c r="K41500" s="18"/>
    </row>
    <row r="41501">
      <c r="B41501" s="17" t="s">
        <v>477</v>
      </c>
      <c r="K41501" s="18"/>
    </row>
    <row r="41502">
      <c r="B41502" s="17" t="s">
        <v>477</v>
      </c>
      <c r="K41502" s="18"/>
    </row>
    <row r="41503">
      <c r="B41503" s="17" t="s">
        <v>477</v>
      </c>
      <c r="K41503" s="18"/>
    </row>
    <row r="41504">
      <c r="B41504" s="17" t="s">
        <v>477</v>
      </c>
      <c r="K41504" s="18"/>
    </row>
    <row r="41505">
      <c r="B41505" s="17" t="s">
        <v>477</v>
      </c>
      <c r="K41505" s="18"/>
    </row>
    <row r="41506">
      <c r="B41506" s="17" t="s">
        <v>477</v>
      </c>
      <c r="K41506" s="18"/>
    </row>
    <row r="41507">
      <c r="B41507" s="17" t="s">
        <v>477</v>
      </c>
      <c r="K41507" s="18"/>
    </row>
    <row r="41508">
      <c r="B41508" s="17" t="s">
        <v>477</v>
      </c>
      <c r="K41508" s="18"/>
    </row>
    <row r="41509">
      <c r="B41509" s="17" t="s">
        <v>477</v>
      </c>
      <c r="K41509" s="18"/>
    </row>
    <row r="41510">
      <c r="B41510" s="17" t="s">
        <v>477</v>
      </c>
      <c r="K41510" s="18"/>
    </row>
    <row r="41511">
      <c r="B41511" s="17" t="s">
        <v>477</v>
      </c>
      <c r="K41511" s="18"/>
    </row>
    <row r="41512">
      <c r="B41512" s="17" t="s">
        <v>477</v>
      </c>
      <c r="K41512" s="18"/>
    </row>
    <row r="41513">
      <c r="B41513" s="17" t="s">
        <v>477</v>
      </c>
      <c r="K41513" s="18"/>
    </row>
    <row r="41514">
      <c r="B41514" s="17" t="s">
        <v>477</v>
      </c>
      <c r="K41514" s="18"/>
    </row>
    <row r="41515">
      <c r="B41515" s="17" t="s">
        <v>477</v>
      </c>
      <c r="K41515" s="18"/>
    </row>
    <row r="41516">
      <c r="B41516" s="17" t="s">
        <v>477</v>
      </c>
      <c r="K41516" s="18"/>
    </row>
    <row r="41517">
      <c r="B41517" s="17" t="s">
        <v>477</v>
      </c>
      <c r="K41517" s="18"/>
    </row>
    <row r="41518">
      <c r="B41518" s="17" t="s">
        <v>477</v>
      </c>
      <c r="K41518" s="18"/>
    </row>
    <row r="41519">
      <c r="B41519" s="17" t="s">
        <v>477</v>
      </c>
      <c r="K41519" s="18"/>
    </row>
    <row r="41520">
      <c r="B41520" s="17" t="s">
        <v>477</v>
      </c>
      <c r="K41520" s="18"/>
    </row>
    <row r="41521">
      <c r="B41521" s="17" t="s">
        <v>477</v>
      </c>
      <c r="K41521" s="18"/>
    </row>
    <row r="41522">
      <c r="B41522" s="17" t="s">
        <v>477</v>
      </c>
      <c r="K41522" s="18"/>
    </row>
    <row r="41523">
      <c r="B41523" s="17" t="s">
        <v>477</v>
      </c>
      <c r="K41523" s="18"/>
    </row>
    <row r="41524">
      <c r="B41524" s="17" t="s">
        <v>477</v>
      </c>
      <c r="K41524" s="18"/>
    </row>
    <row r="41525">
      <c r="B41525" s="17" t="s">
        <v>477</v>
      </c>
      <c r="K41525" s="18"/>
    </row>
    <row r="41526">
      <c r="B41526" s="17" t="s">
        <v>477</v>
      </c>
      <c r="K41526" s="18"/>
    </row>
    <row r="41527">
      <c r="B41527" s="17" t="s">
        <v>477</v>
      </c>
      <c r="K41527" s="18"/>
    </row>
    <row r="41528">
      <c r="B41528" s="17" t="s">
        <v>477</v>
      </c>
      <c r="K41528" s="18"/>
    </row>
    <row r="41529">
      <c r="B41529" s="17" t="s">
        <v>477</v>
      </c>
      <c r="K41529" s="18"/>
    </row>
    <row r="41530">
      <c r="B41530" s="17" t="s">
        <v>477</v>
      </c>
      <c r="K41530" s="18"/>
    </row>
    <row r="41531">
      <c r="B41531" s="17" t="s">
        <v>477</v>
      </c>
      <c r="K41531" s="18"/>
    </row>
    <row r="41532">
      <c r="B41532" s="17" t="s">
        <v>477</v>
      </c>
      <c r="K41532" s="18"/>
    </row>
    <row r="41533">
      <c r="B41533" s="17" t="s">
        <v>477</v>
      </c>
      <c r="K41533" s="18"/>
    </row>
    <row r="41534">
      <c r="B41534" s="17" t="s">
        <v>477</v>
      </c>
      <c r="K41534" s="18"/>
    </row>
    <row r="41535">
      <c r="B41535" s="17" t="s">
        <v>477</v>
      </c>
      <c r="K41535" s="18"/>
    </row>
    <row r="41536">
      <c r="B41536" s="17" t="s">
        <v>477</v>
      </c>
      <c r="K41536" s="18"/>
    </row>
    <row r="41537">
      <c r="B41537" s="17" t="s">
        <v>477</v>
      </c>
      <c r="K41537" s="18"/>
    </row>
    <row r="41538">
      <c r="B41538" s="17" t="s">
        <v>477</v>
      </c>
      <c r="K41538" s="18"/>
    </row>
    <row r="41539">
      <c r="B41539" s="17" t="s">
        <v>477</v>
      </c>
      <c r="K41539" s="18"/>
    </row>
    <row r="41540">
      <c r="B41540" s="17" t="s">
        <v>477</v>
      </c>
      <c r="K41540" s="18"/>
    </row>
    <row r="41541">
      <c r="B41541" s="17" t="s">
        <v>477</v>
      </c>
      <c r="K41541" s="18"/>
    </row>
    <row r="41542">
      <c r="B41542" s="17" t="s">
        <v>477</v>
      </c>
      <c r="K41542" s="18"/>
    </row>
    <row r="41543">
      <c r="B41543" s="17" t="s">
        <v>477</v>
      </c>
      <c r="K41543" s="18"/>
    </row>
    <row r="41544">
      <c r="B41544" s="17" t="s">
        <v>477</v>
      </c>
      <c r="K41544" s="18"/>
    </row>
    <row r="41545">
      <c r="B41545" s="17" t="s">
        <v>477</v>
      </c>
      <c r="K41545" s="18"/>
    </row>
    <row r="41546">
      <c r="B41546" s="17" t="s">
        <v>477</v>
      </c>
      <c r="K41546" s="18"/>
    </row>
    <row r="41547">
      <c r="B41547" s="17" t="s">
        <v>477</v>
      </c>
      <c r="K41547" s="18"/>
    </row>
    <row r="41548">
      <c r="B41548" s="17" t="s">
        <v>477</v>
      </c>
      <c r="K41548" s="18"/>
    </row>
    <row r="41549">
      <c r="B41549" s="17" t="s">
        <v>477</v>
      </c>
      <c r="K41549" s="18"/>
    </row>
    <row r="41550">
      <c r="B41550" s="17" t="s">
        <v>477</v>
      </c>
      <c r="K41550" s="18"/>
    </row>
    <row r="41551">
      <c r="B41551" s="17" t="s">
        <v>477</v>
      </c>
      <c r="K41551" s="18"/>
    </row>
    <row r="41552">
      <c r="B41552" s="17" t="s">
        <v>477</v>
      </c>
      <c r="K41552" s="18"/>
    </row>
    <row r="41553">
      <c r="B41553" s="17" t="s">
        <v>477</v>
      </c>
      <c r="K41553" s="18"/>
    </row>
    <row r="41554">
      <c r="B41554" s="17" t="s">
        <v>477</v>
      </c>
      <c r="K41554" s="18"/>
    </row>
    <row r="41555">
      <c r="B41555" s="17" t="s">
        <v>477</v>
      </c>
      <c r="K41555" s="18"/>
    </row>
    <row r="41556">
      <c r="B41556" s="17" t="s">
        <v>477</v>
      </c>
      <c r="K41556" s="18"/>
    </row>
    <row r="41557">
      <c r="B41557" s="17" t="s">
        <v>477</v>
      </c>
      <c r="K41557" s="18"/>
    </row>
    <row r="41558">
      <c r="B41558" s="17" t="s">
        <v>477</v>
      </c>
      <c r="K41558" s="18"/>
    </row>
    <row r="41559">
      <c r="B41559" s="17" t="s">
        <v>477</v>
      </c>
      <c r="K41559" s="18"/>
    </row>
    <row r="41560">
      <c r="B41560" s="17" t="s">
        <v>477</v>
      </c>
      <c r="K41560" s="18"/>
    </row>
    <row r="41561">
      <c r="B41561" s="17" t="s">
        <v>477</v>
      </c>
      <c r="K41561" s="18"/>
    </row>
    <row r="41562">
      <c r="B41562" s="17" t="s">
        <v>477</v>
      </c>
      <c r="K41562" s="18"/>
    </row>
    <row r="41563">
      <c r="B41563" s="17" t="s">
        <v>477</v>
      </c>
      <c r="K41563" s="18"/>
    </row>
    <row r="41564">
      <c r="B41564" s="17" t="s">
        <v>477</v>
      </c>
      <c r="K41564" s="18"/>
    </row>
    <row r="41565">
      <c r="B41565" s="17" t="s">
        <v>477</v>
      </c>
      <c r="K41565" s="18"/>
    </row>
    <row r="41566">
      <c r="B41566" s="17" t="s">
        <v>477</v>
      </c>
      <c r="K41566" s="18"/>
    </row>
    <row r="41567">
      <c r="B41567" s="17" t="s">
        <v>477</v>
      </c>
      <c r="K41567" s="18"/>
    </row>
    <row r="41568">
      <c r="B41568" s="17" t="s">
        <v>477</v>
      </c>
      <c r="K41568" s="18"/>
    </row>
    <row r="41569">
      <c r="B41569" s="17" t="s">
        <v>477</v>
      </c>
      <c r="K41569" s="18"/>
    </row>
    <row r="41570">
      <c r="B41570" s="17" t="s">
        <v>477</v>
      </c>
      <c r="K41570" s="18"/>
    </row>
    <row r="41571">
      <c r="B41571" s="17" t="s">
        <v>477</v>
      </c>
      <c r="K41571" s="18"/>
    </row>
    <row r="41572">
      <c r="B41572" s="17" t="s">
        <v>477</v>
      </c>
      <c r="K41572" s="18"/>
    </row>
    <row r="41573">
      <c r="B41573" s="17" t="s">
        <v>477</v>
      </c>
      <c r="K41573" s="18"/>
    </row>
    <row r="41574">
      <c r="B41574" s="17" t="s">
        <v>477</v>
      </c>
      <c r="K41574" s="18"/>
    </row>
    <row r="41575">
      <c r="B41575" s="17" t="s">
        <v>477</v>
      </c>
      <c r="K41575" s="18"/>
    </row>
    <row r="41576">
      <c r="B41576" s="17" t="s">
        <v>477</v>
      </c>
      <c r="K41576" s="18"/>
    </row>
    <row r="41577">
      <c r="B41577" s="17" t="s">
        <v>477</v>
      </c>
      <c r="K41577" s="18"/>
    </row>
    <row r="41578">
      <c r="B41578" s="17" t="s">
        <v>477</v>
      </c>
      <c r="K41578" s="18"/>
    </row>
    <row r="41579">
      <c r="B41579" s="17" t="s">
        <v>477</v>
      </c>
      <c r="K41579" s="18"/>
    </row>
    <row r="41580">
      <c r="B41580" s="17" t="s">
        <v>477</v>
      </c>
      <c r="K41580" s="18"/>
    </row>
    <row r="41581">
      <c r="B41581" s="17" t="s">
        <v>477</v>
      </c>
      <c r="K41581" s="18"/>
    </row>
    <row r="41582">
      <c r="B41582" s="17" t="s">
        <v>477</v>
      </c>
      <c r="K41582" s="18"/>
    </row>
    <row r="41583">
      <c r="B41583" s="17" t="s">
        <v>477</v>
      </c>
      <c r="K41583" s="18"/>
    </row>
    <row r="41584">
      <c r="B41584" s="17" t="s">
        <v>477</v>
      </c>
      <c r="K41584" s="18"/>
    </row>
    <row r="41585">
      <c r="B41585" s="17" t="s">
        <v>477</v>
      </c>
      <c r="K41585" s="18"/>
    </row>
    <row r="41586">
      <c r="B41586" s="17" t="s">
        <v>477</v>
      </c>
      <c r="K41586" s="18"/>
    </row>
    <row r="41587">
      <c r="B41587" s="17" t="s">
        <v>477</v>
      </c>
      <c r="K41587" s="18"/>
    </row>
    <row r="41588">
      <c r="B41588" s="17" t="s">
        <v>477</v>
      </c>
      <c r="K41588" s="18"/>
    </row>
    <row r="41589">
      <c r="B41589" s="17" t="s">
        <v>477</v>
      </c>
      <c r="K41589" s="18"/>
    </row>
    <row r="41590">
      <c r="B41590" s="17" t="s">
        <v>477</v>
      </c>
      <c r="K41590" s="18"/>
    </row>
    <row r="41591">
      <c r="B41591" s="17" t="s">
        <v>477</v>
      </c>
      <c r="K41591" s="18"/>
    </row>
    <row r="41592">
      <c r="B41592" s="17" t="s">
        <v>477</v>
      </c>
      <c r="K41592" s="18"/>
    </row>
    <row r="41593">
      <c r="B41593" s="17" t="s">
        <v>477</v>
      </c>
      <c r="K41593" s="18"/>
    </row>
    <row r="41594">
      <c r="B41594" s="17" t="s">
        <v>477</v>
      </c>
      <c r="K41594" s="18"/>
    </row>
    <row r="41595">
      <c r="B41595" s="17" t="s">
        <v>477</v>
      </c>
      <c r="K41595" s="18"/>
    </row>
    <row r="41596">
      <c r="B41596" s="17" t="s">
        <v>477</v>
      </c>
      <c r="K41596" s="18"/>
    </row>
    <row r="41597">
      <c r="B41597" s="17" t="s">
        <v>477</v>
      </c>
      <c r="K41597" s="18"/>
    </row>
    <row r="41598">
      <c r="B41598" s="17" t="s">
        <v>477</v>
      </c>
      <c r="K41598" s="18"/>
    </row>
    <row r="41599">
      <c r="B41599" s="17" t="s">
        <v>477</v>
      </c>
      <c r="K41599" s="18"/>
    </row>
    <row r="41600">
      <c r="B41600" s="17" t="s">
        <v>477</v>
      </c>
      <c r="K41600" s="18"/>
    </row>
    <row r="41601">
      <c r="B41601" s="17" t="s">
        <v>477</v>
      </c>
      <c r="K41601" s="18"/>
    </row>
    <row r="41602">
      <c r="B41602" s="17" t="s">
        <v>477</v>
      </c>
      <c r="K41602" s="18"/>
    </row>
    <row r="41603">
      <c r="B41603" s="17" t="s">
        <v>477</v>
      </c>
      <c r="K41603" s="18"/>
    </row>
    <row r="41604">
      <c r="B41604" s="17" t="s">
        <v>477</v>
      </c>
      <c r="K41604" s="18"/>
    </row>
    <row r="41605">
      <c r="B41605" s="17" t="s">
        <v>477</v>
      </c>
      <c r="K41605" s="18"/>
    </row>
    <row r="41606">
      <c r="B41606" s="17" t="s">
        <v>477</v>
      </c>
      <c r="K41606" s="18"/>
    </row>
    <row r="41607">
      <c r="B41607" s="17" t="s">
        <v>477</v>
      </c>
      <c r="K41607" s="18"/>
    </row>
    <row r="41608">
      <c r="B41608" s="17" t="s">
        <v>477</v>
      </c>
      <c r="K41608" s="18"/>
    </row>
    <row r="41609">
      <c r="B41609" s="17" t="s">
        <v>477</v>
      </c>
      <c r="K41609" s="18"/>
    </row>
    <row r="41610">
      <c r="B41610" s="17" t="s">
        <v>477</v>
      </c>
      <c r="K41610" s="18"/>
    </row>
    <row r="41611">
      <c r="B41611" s="17" t="s">
        <v>477</v>
      </c>
      <c r="K41611" s="18"/>
    </row>
    <row r="41612">
      <c r="B41612" s="17" t="s">
        <v>477</v>
      </c>
      <c r="K41612" s="18"/>
    </row>
    <row r="41613">
      <c r="B41613" s="17" t="s">
        <v>477</v>
      </c>
      <c r="K41613" s="18"/>
    </row>
    <row r="41614">
      <c r="B41614" s="17" t="s">
        <v>477</v>
      </c>
      <c r="K41614" s="18"/>
    </row>
    <row r="41615">
      <c r="B41615" s="17" t="s">
        <v>477</v>
      </c>
      <c r="K41615" s="18"/>
    </row>
    <row r="41616">
      <c r="B41616" s="17" t="s">
        <v>477</v>
      </c>
      <c r="K41616" s="18"/>
    </row>
    <row r="41617">
      <c r="B41617" s="17" t="s">
        <v>477</v>
      </c>
      <c r="K41617" s="18"/>
    </row>
    <row r="41618">
      <c r="B41618" s="17" t="s">
        <v>477</v>
      </c>
      <c r="K41618" s="18"/>
    </row>
    <row r="41619">
      <c r="B41619" s="17" t="s">
        <v>477</v>
      </c>
      <c r="K41619" s="18"/>
    </row>
    <row r="41620">
      <c r="B41620" s="17" t="s">
        <v>477</v>
      </c>
      <c r="K41620" s="18"/>
    </row>
    <row r="41621">
      <c r="B41621" s="17" t="s">
        <v>477</v>
      </c>
      <c r="K41621" s="18"/>
    </row>
    <row r="41622">
      <c r="B41622" s="17" t="s">
        <v>477</v>
      </c>
      <c r="K41622" s="18"/>
    </row>
    <row r="41623">
      <c r="B41623" s="17" t="s">
        <v>477</v>
      </c>
      <c r="K41623" s="18"/>
    </row>
    <row r="41624">
      <c r="B41624" s="17" t="s">
        <v>477</v>
      </c>
      <c r="K41624" s="18"/>
    </row>
    <row r="41625">
      <c r="B41625" s="17" t="s">
        <v>477</v>
      </c>
      <c r="K41625" s="18"/>
    </row>
    <row r="41626">
      <c r="B41626" s="17" t="s">
        <v>477</v>
      </c>
      <c r="K41626" s="18"/>
    </row>
    <row r="41627">
      <c r="B41627" s="17" t="s">
        <v>477</v>
      </c>
      <c r="K41627" s="18"/>
    </row>
    <row r="41628">
      <c r="B41628" s="17" t="s">
        <v>477</v>
      </c>
      <c r="K41628" s="18"/>
    </row>
    <row r="41629">
      <c r="B41629" s="17" t="s">
        <v>477</v>
      </c>
      <c r="K41629" s="18"/>
    </row>
    <row r="41630">
      <c r="B41630" s="17" t="s">
        <v>477</v>
      </c>
      <c r="K41630" s="18"/>
    </row>
    <row r="41631">
      <c r="B41631" s="17" t="s">
        <v>477</v>
      </c>
      <c r="K41631" s="18"/>
    </row>
    <row r="41632">
      <c r="B41632" s="17" t="s">
        <v>477</v>
      </c>
      <c r="K41632" s="18"/>
    </row>
    <row r="41633">
      <c r="B41633" s="17" t="s">
        <v>477</v>
      </c>
      <c r="K41633" s="18"/>
    </row>
    <row r="41634">
      <c r="B41634" s="17" t="s">
        <v>477</v>
      </c>
      <c r="K41634" s="18"/>
    </row>
    <row r="41635">
      <c r="B41635" s="17" t="s">
        <v>477</v>
      </c>
      <c r="K41635" s="18"/>
    </row>
    <row r="41636">
      <c r="B41636" s="17" t="s">
        <v>477</v>
      </c>
      <c r="K41636" s="18"/>
    </row>
    <row r="41637">
      <c r="B41637" s="17" t="s">
        <v>477</v>
      </c>
      <c r="K41637" s="18"/>
    </row>
    <row r="41638">
      <c r="B41638" s="17" t="s">
        <v>477</v>
      </c>
      <c r="K41638" s="18"/>
    </row>
    <row r="41639">
      <c r="B41639" s="17" t="s">
        <v>477</v>
      </c>
      <c r="K41639" s="18"/>
    </row>
    <row r="41640">
      <c r="B41640" s="17" t="s">
        <v>477</v>
      </c>
      <c r="K41640" s="18"/>
    </row>
    <row r="41641">
      <c r="B41641" s="17" t="s">
        <v>477</v>
      </c>
      <c r="K41641" s="18"/>
    </row>
    <row r="41642">
      <c r="B41642" s="17" t="s">
        <v>477</v>
      </c>
      <c r="K41642" s="18"/>
    </row>
    <row r="41643">
      <c r="B41643" s="17" t="s">
        <v>477</v>
      </c>
      <c r="K41643" s="18"/>
    </row>
    <row r="41644">
      <c r="B41644" s="17" t="s">
        <v>477</v>
      </c>
      <c r="K41644" s="18"/>
    </row>
    <row r="41645">
      <c r="B41645" s="17" t="s">
        <v>477</v>
      </c>
      <c r="K41645" s="18"/>
    </row>
    <row r="41646">
      <c r="B41646" s="17" t="s">
        <v>477</v>
      </c>
      <c r="K41646" s="18"/>
    </row>
    <row r="41647">
      <c r="B41647" s="17" t="s">
        <v>477</v>
      </c>
      <c r="K41647" s="18"/>
    </row>
    <row r="41648">
      <c r="B41648" s="17" t="s">
        <v>477</v>
      </c>
      <c r="K41648" s="18"/>
    </row>
    <row r="41649">
      <c r="B41649" s="17" t="s">
        <v>477</v>
      </c>
      <c r="K41649" s="18"/>
    </row>
    <row r="41650">
      <c r="B41650" s="17" t="s">
        <v>477</v>
      </c>
      <c r="K41650" s="18"/>
    </row>
    <row r="41651">
      <c r="B41651" s="17" t="s">
        <v>477</v>
      </c>
      <c r="K41651" s="18"/>
    </row>
    <row r="41652">
      <c r="B41652" s="17" t="s">
        <v>477</v>
      </c>
      <c r="K41652" s="18"/>
    </row>
    <row r="41653">
      <c r="B41653" s="17" t="s">
        <v>477</v>
      </c>
      <c r="K41653" s="18"/>
    </row>
    <row r="41654">
      <c r="B41654" s="17" t="s">
        <v>477</v>
      </c>
      <c r="K41654" s="18"/>
    </row>
    <row r="41655">
      <c r="B41655" s="17" t="s">
        <v>477</v>
      </c>
      <c r="K41655" s="18"/>
    </row>
    <row r="41656">
      <c r="B41656" s="17" t="s">
        <v>477</v>
      </c>
      <c r="K41656" s="18"/>
    </row>
    <row r="41657">
      <c r="B41657" s="17" t="s">
        <v>477</v>
      </c>
      <c r="K41657" s="18"/>
    </row>
    <row r="41658">
      <c r="B41658" s="17" t="s">
        <v>477</v>
      </c>
      <c r="K41658" s="18"/>
    </row>
    <row r="41659">
      <c r="B41659" s="17" t="s">
        <v>477</v>
      </c>
      <c r="K41659" s="18"/>
    </row>
    <row r="41660">
      <c r="B41660" s="17" t="s">
        <v>477</v>
      </c>
      <c r="K41660" s="18"/>
    </row>
    <row r="41661">
      <c r="B41661" s="17" t="s">
        <v>477</v>
      </c>
      <c r="K41661" s="18"/>
    </row>
    <row r="41662">
      <c r="B41662" s="17" t="s">
        <v>477</v>
      </c>
      <c r="K41662" s="18"/>
    </row>
    <row r="41663">
      <c r="B41663" s="17" t="s">
        <v>477</v>
      </c>
      <c r="K41663" s="18"/>
    </row>
    <row r="41664">
      <c r="B41664" s="17" t="s">
        <v>477</v>
      </c>
      <c r="K41664" s="18"/>
    </row>
    <row r="41665">
      <c r="B41665" s="17" t="s">
        <v>477</v>
      </c>
      <c r="K41665" s="18"/>
    </row>
    <row r="41666">
      <c r="B41666" s="17" t="s">
        <v>477</v>
      </c>
      <c r="K41666" s="18"/>
    </row>
    <row r="41667">
      <c r="B41667" s="17" t="s">
        <v>477</v>
      </c>
      <c r="K41667" s="18"/>
    </row>
    <row r="41668">
      <c r="B41668" s="17" t="s">
        <v>477</v>
      </c>
      <c r="K41668" s="18"/>
    </row>
    <row r="41669">
      <c r="B41669" s="17" t="s">
        <v>477</v>
      </c>
      <c r="K41669" s="18"/>
    </row>
    <row r="41670">
      <c r="B41670" s="17" t="s">
        <v>477</v>
      </c>
      <c r="K41670" s="18"/>
    </row>
    <row r="41671">
      <c r="B41671" s="17" t="s">
        <v>477</v>
      </c>
      <c r="K41671" s="18"/>
    </row>
    <row r="41672">
      <c r="B41672" s="17" t="s">
        <v>477</v>
      </c>
      <c r="K41672" s="18"/>
    </row>
    <row r="41673">
      <c r="B41673" s="17" t="s">
        <v>477</v>
      </c>
      <c r="K41673" s="18"/>
    </row>
    <row r="41674">
      <c r="B41674" s="17" t="s">
        <v>477</v>
      </c>
      <c r="K41674" s="18"/>
    </row>
    <row r="41675">
      <c r="B41675" s="17" t="s">
        <v>477</v>
      </c>
      <c r="K41675" s="18"/>
    </row>
    <row r="41676">
      <c r="B41676" s="17" t="s">
        <v>477</v>
      </c>
      <c r="K41676" s="18"/>
    </row>
    <row r="41677">
      <c r="B41677" s="17" t="s">
        <v>477</v>
      </c>
      <c r="K41677" s="18"/>
    </row>
    <row r="41678">
      <c r="B41678" s="17" t="s">
        <v>477</v>
      </c>
      <c r="K41678" s="18"/>
    </row>
    <row r="41679">
      <c r="B41679" s="17" t="s">
        <v>477</v>
      </c>
      <c r="K41679" s="18"/>
    </row>
    <row r="41680">
      <c r="B41680" s="17" t="s">
        <v>477</v>
      </c>
      <c r="K41680" s="18"/>
    </row>
    <row r="41681">
      <c r="B41681" s="17" t="s">
        <v>477</v>
      </c>
      <c r="K41681" s="18"/>
    </row>
    <row r="41682">
      <c r="B41682" s="17" t="s">
        <v>477</v>
      </c>
      <c r="K41682" s="18"/>
    </row>
    <row r="41683">
      <c r="B41683" s="17" t="s">
        <v>477</v>
      </c>
      <c r="K41683" s="18"/>
    </row>
    <row r="41684">
      <c r="B41684" s="17" t="s">
        <v>477</v>
      </c>
      <c r="K41684" s="18"/>
    </row>
    <row r="41685">
      <c r="B41685" s="17" t="s">
        <v>477</v>
      </c>
      <c r="K41685" s="18"/>
    </row>
    <row r="41686">
      <c r="B41686" s="17" t="s">
        <v>477</v>
      </c>
      <c r="K41686" s="18"/>
    </row>
    <row r="41687">
      <c r="B41687" s="17" t="s">
        <v>477</v>
      </c>
      <c r="K41687" s="18"/>
    </row>
    <row r="41688">
      <c r="B41688" s="17" t="s">
        <v>477</v>
      </c>
      <c r="K41688" s="18"/>
    </row>
    <row r="41689">
      <c r="B41689" s="17" t="s">
        <v>477</v>
      </c>
      <c r="K41689" s="18"/>
    </row>
    <row r="41690">
      <c r="B41690" s="17" t="s">
        <v>477</v>
      </c>
      <c r="K41690" s="18"/>
    </row>
    <row r="41691">
      <c r="B41691" s="17" t="s">
        <v>477</v>
      </c>
      <c r="K41691" s="18"/>
    </row>
    <row r="41692">
      <c r="B41692" s="17" t="s">
        <v>477</v>
      </c>
      <c r="K41692" s="18"/>
    </row>
    <row r="41693">
      <c r="B41693" s="17" t="s">
        <v>477</v>
      </c>
      <c r="K41693" s="18"/>
    </row>
    <row r="41694">
      <c r="B41694" s="17" t="s">
        <v>477</v>
      </c>
      <c r="K41694" s="18"/>
    </row>
    <row r="41695">
      <c r="B41695" s="17" t="s">
        <v>477</v>
      </c>
      <c r="K41695" s="18"/>
    </row>
    <row r="41696">
      <c r="B41696" s="17" t="s">
        <v>477</v>
      </c>
      <c r="K41696" s="18"/>
    </row>
    <row r="41697">
      <c r="B41697" s="17" t="s">
        <v>477</v>
      </c>
      <c r="K41697" s="18"/>
    </row>
    <row r="41698">
      <c r="B41698" s="17" t="s">
        <v>477</v>
      </c>
      <c r="K41698" s="18"/>
    </row>
    <row r="41699">
      <c r="B41699" s="17" t="s">
        <v>477</v>
      </c>
      <c r="K41699" s="18"/>
    </row>
    <row r="41700">
      <c r="B41700" s="17" t="s">
        <v>477</v>
      </c>
      <c r="K41700" s="18"/>
    </row>
    <row r="41701">
      <c r="B41701" s="17" t="s">
        <v>477</v>
      </c>
      <c r="K41701" s="18"/>
    </row>
    <row r="41702">
      <c r="B41702" s="17" t="s">
        <v>477</v>
      </c>
      <c r="K41702" s="18"/>
    </row>
    <row r="41703">
      <c r="B41703" s="17" t="s">
        <v>477</v>
      </c>
      <c r="K41703" s="18"/>
    </row>
    <row r="41704">
      <c r="B41704" s="17" t="s">
        <v>477</v>
      </c>
      <c r="K41704" s="18"/>
    </row>
    <row r="41705">
      <c r="B41705" s="17" t="s">
        <v>477</v>
      </c>
      <c r="K41705" s="18"/>
    </row>
    <row r="41706">
      <c r="B41706" s="17" t="s">
        <v>477</v>
      </c>
      <c r="K41706" s="18"/>
    </row>
    <row r="41707">
      <c r="B41707" s="17" t="s">
        <v>477</v>
      </c>
      <c r="K41707" s="18"/>
    </row>
    <row r="41708">
      <c r="B41708" s="17" t="s">
        <v>477</v>
      </c>
      <c r="K41708" s="18"/>
    </row>
    <row r="41709">
      <c r="B41709" s="17" t="s">
        <v>477</v>
      </c>
      <c r="K41709" s="18"/>
    </row>
    <row r="41710">
      <c r="B41710" s="17" t="s">
        <v>477</v>
      </c>
      <c r="K41710" s="18"/>
    </row>
    <row r="41711">
      <c r="B41711" s="17" t="s">
        <v>477</v>
      </c>
      <c r="K41711" s="18"/>
    </row>
    <row r="41712">
      <c r="B41712" s="17" t="s">
        <v>477</v>
      </c>
      <c r="K41712" s="18"/>
    </row>
    <row r="41713">
      <c r="B41713" s="17" t="s">
        <v>477</v>
      </c>
      <c r="K41713" s="18"/>
    </row>
    <row r="41714">
      <c r="B41714" s="17" t="s">
        <v>477</v>
      </c>
      <c r="K41714" s="18"/>
    </row>
    <row r="41715">
      <c r="B41715" s="17" t="s">
        <v>477</v>
      </c>
      <c r="K41715" s="18"/>
    </row>
    <row r="41716">
      <c r="B41716" s="17" t="s">
        <v>477</v>
      </c>
      <c r="K41716" s="18"/>
    </row>
    <row r="41717">
      <c r="B41717" s="17" t="s">
        <v>477</v>
      </c>
      <c r="K41717" s="18"/>
    </row>
    <row r="41718">
      <c r="B41718" s="17" t="s">
        <v>477</v>
      </c>
      <c r="K41718" s="18"/>
    </row>
    <row r="41719">
      <c r="B41719" s="17" t="s">
        <v>477</v>
      </c>
      <c r="K41719" s="18"/>
    </row>
    <row r="41720">
      <c r="B41720" s="17" t="s">
        <v>477</v>
      </c>
      <c r="K41720" s="18"/>
    </row>
    <row r="41721">
      <c r="B41721" s="17" t="s">
        <v>477</v>
      </c>
      <c r="K41721" s="18"/>
    </row>
    <row r="41722">
      <c r="B41722" s="17" t="s">
        <v>477</v>
      </c>
      <c r="K41722" s="18"/>
    </row>
    <row r="41723">
      <c r="B41723" s="17" t="s">
        <v>477</v>
      </c>
      <c r="K41723" s="18"/>
    </row>
    <row r="41724">
      <c r="B41724" s="17" t="s">
        <v>477</v>
      </c>
      <c r="K41724" s="18"/>
    </row>
    <row r="41725">
      <c r="B41725" s="17" t="s">
        <v>477</v>
      </c>
      <c r="K41725" s="18"/>
    </row>
    <row r="41726">
      <c r="B41726" s="17" t="s">
        <v>477</v>
      </c>
      <c r="K41726" s="18"/>
    </row>
    <row r="41727">
      <c r="B41727" s="17" t="s">
        <v>477</v>
      </c>
      <c r="K41727" s="18"/>
    </row>
    <row r="41728">
      <c r="B41728" s="17" t="s">
        <v>477</v>
      </c>
      <c r="K41728" s="18"/>
    </row>
    <row r="41729">
      <c r="B41729" s="17" t="s">
        <v>477</v>
      </c>
      <c r="K41729" s="18"/>
    </row>
    <row r="41730">
      <c r="B41730" s="17" t="s">
        <v>477</v>
      </c>
      <c r="K41730" s="18"/>
    </row>
    <row r="41731">
      <c r="B41731" s="17" t="s">
        <v>477</v>
      </c>
      <c r="K41731" s="18"/>
    </row>
    <row r="41732">
      <c r="B41732" s="17" t="s">
        <v>477</v>
      </c>
      <c r="K41732" s="18"/>
    </row>
    <row r="41733">
      <c r="B41733" s="17" t="s">
        <v>477</v>
      </c>
      <c r="K41733" s="18"/>
    </row>
    <row r="41734">
      <c r="B41734" s="17" t="s">
        <v>477</v>
      </c>
      <c r="K41734" s="18"/>
    </row>
    <row r="41735">
      <c r="B41735" s="17" t="s">
        <v>477</v>
      </c>
      <c r="K41735" s="18"/>
    </row>
    <row r="41736">
      <c r="B41736" s="17" t="s">
        <v>477</v>
      </c>
      <c r="K41736" s="18"/>
    </row>
    <row r="41737">
      <c r="B41737" s="17" t="s">
        <v>477</v>
      </c>
      <c r="K41737" s="18"/>
    </row>
    <row r="41738">
      <c r="B41738" s="17" t="s">
        <v>477</v>
      </c>
      <c r="K41738" s="18"/>
    </row>
    <row r="41739">
      <c r="B41739" s="17" t="s">
        <v>477</v>
      </c>
      <c r="K41739" s="18"/>
    </row>
    <row r="41740">
      <c r="B41740" s="17" t="s">
        <v>477</v>
      </c>
      <c r="K41740" s="18"/>
    </row>
    <row r="41741">
      <c r="B41741" s="17" t="s">
        <v>477</v>
      </c>
      <c r="K41741" s="18"/>
    </row>
    <row r="41742">
      <c r="B41742" s="17" t="s">
        <v>477</v>
      </c>
      <c r="K41742" s="18"/>
    </row>
    <row r="41743">
      <c r="B41743" s="17" t="s">
        <v>477</v>
      </c>
      <c r="K41743" s="18"/>
    </row>
    <row r="41744">
      <c r="B41744" s="17" t="s">
        <v>477</v>
      </c>
      <c r="K41744" s="18"/>
    </row>
    <row r="41745">
      <c r="B41745" s="17" t="s">
        <v>477</v>
      </c>
      <c r="K41745" s="18"/>
    </row>
    <row r="41746">
      <c r="B41746" s="17" t="s">
        <v>477</v>
      </c>
      <c r="K41746" s="18"/>
    </row>
    <row r="41747">
      <c r="B41747" s="17" t="s">
        <v>477</v>
      </c>
      <c r="K41747" s="18"/>
    </row>
    <row r="41748">
      <c r="B41748" s="17" t="s">
        <v>477</v>
      </c>
      <c r="K41748" s="18"/>
    </row>
    <row r="41749">
      <c r="B41749" s="17" t="s">
        <v>477</v>
      </c>
      <c r="K41749" s="18"/>
    </row>
    <row r="41750">
      <c r="B41750" s="17" t="s">
        <v>477</v>
      </c>
      <c r="K41750" s="18"/>
    </row>
    <row r="41751">
      <c r="B41751" s="17" t="s">
        <v>477</v>
      </c>
      <c r="K41751" s="18"/>
    </row>
    <row r="41752">
      <c r="B41752" s="17" t="s">
        <v>477</v>
      </c>
      <c r="K41752" s="18"/>
    </row>
    <row r="41753">
      <c r="B41753" s="17" t="s">
        <v>477</v>
      </c>
      <c r="K41753" s="18"/>
    </row>
    <row r="41754">
      <c r="B41754" s="17" t="s">
        <v>477</v>
      </c>
      <c r="K41754" s="18"/>
    </row>
    <row r="41755">
      <c r="B41755" s="17" t="s">
        <v>477</v>
      </c>
      <c r="K41755" s="18"/>
    </row>
    <row r="41756">
      <c r="B41756" s="17" t="s">
        <v>477</v>
      </c>
      <c r="K41756" s="18"/>
    </row>
    <row r="41757">
      <c r="B41757" s="17" t="s">
        <v>477</v>
      </c>
      <c r="K41757" s="18"/>
    </row>
    <row r="41758">
      <c r="B41758" s="17" t="s">
        <v>477</v>
      </c>
      <c r="K41758" s="18"/>
    </row>
    <row r="41759">
      <c r="B41759" s="17" t="s">
        <v>477</v>
      </c>
      <c r="K41759" s="18"/>
    </row>
    <row r="41760">
      <c r="B41760" s="17" t="s">
        <v>477</v>
      </c>
      <c r="K41760" s="18"/>
    </row>
    <row r="41761">
      <c r="B41761" s="17" t="s">
        <v>477</v>
      </c>
      <c r="K41761" s="18"/>
    </row>
    <row r="41762">
      <c r="B41762" s="17" t="s">
        <v>477</v>
      </c>
      <c r="K41762" s="18"/>
    </row>
    <row r="41763">
      <c r="B41763" s="17" t="s">
        <v>477</v>
      </c>
      <c r="K41763" s="18"/>
    </row>
    <row r="41764">
      <c r="B41764" s="17" t="s">
        <v>477</v>
      </c>
      <c r="K41764" s="18"/>
    </row>
    <row r="41765">
      <c r="B41765" s="17" t="s">
        <v>477</v>
      </c>
      <c r="K41765" s="18"/>
    </row>
    <row r="41766">
      <c r="B41766" s="17" t="s">
        <v>477</v>
      </c>
      <c r="K41766" s="18"/>
    </row>
    <row r="41767">
      <c r="B41767" s="17" t="s">
        <v>477</v>
      </c>
      <c r="K41767" s="18"/>
    </row>
    <row r="41768">
      <c r="B41768" s="17" t="s">
        <v>477</v>
      </c>
      <c r="K41768" s="18"/>
    </row>
    <row r="41769">
      <c r="B41769" s="17" t="s">
        <v>477</v>
      </c>
      <c r="K41769" s="18"/>
    </row>
    <row r="41770">
      <c r="B41770" s="17" t="s">
        <v>477</v>
      </c>
      <c r="K41770" s="18"/>
    </row>
    <row r="41771">
      <c r="B41771" s="17" t="s">
        <v>477</v>
      </c>
      <c r="K41771" s="18"/>
    </row>
    <row r="41772">
      <c r="B41772" s="17" t="s">
        <v>477</v>
      </c>
      <c r="K41772" s="18"/>
    </row>
    <row r="41773">
      <c r="B41773" s="17" t="s">
        <v>477</v>
      </c>
      <c r="K41773" s="18"/>
    </row>
    <row r="41774">
      <c r="B41774" s="17" t="s">
        <v>477</v>
      </c>
      <c r="K41774" s="18"/>
    </row>
    <row r="41775">
      <c r="B41775" s="17" t="s">
        <v>477</v>
      </c>
      <c r="K41775" s="18"/>
    </row>
    <row r="41776">
      <c r="B41776" s="17" t="s">
        <v>477</v>
      </c>
      <c r="K41776" s="18"/>
    </row>
    <row r="41777">
      <c r="B41777" s="17" t="s">
        <v>477</v>
      </c>
      <c r="K41777" s="18"/>
    </row>
    <row r="41778">
      <c r="B41778" s="17" t="s">
        <v>477</v>
      </c>
      <c r="K41778" s="18"/>
    </row>
    <row r="41779">
      <c r="B41779" s="17" t="s">
        <v>477</v>
      </c>
      <c r="K41779" s="18"/>
    </row>
    <row r="41780">
      <c r="B41780" s="17" t="s">
        <v>477</v>
      </c>
      <c r="K41780" s="18"/>
    </row>
    <row r="41781">
      <c r="B41781" s="17" t="s">
        <v>477</v>
      </c>
      <c r="K41781" s="18"/>
    </row>
    <row r="41782">
      <c r="B41782" s="17" t="s">
        <v>477</v>
      </c>
      <c r="K41782" s="18"/>
    </row>
    <row r="41783">
      <c r="B41783" s="17" t="s">
        <v>477</v>
      </c>
      <c r="K41783" s="18"/>
    </row>
    <row r="41784">
      <c r="B41784" s="17" t="s">
        <v>477</v>
      </c>
      <c r="K41784" s="18"/>
    </row>
    <row r="41785">
      <c r="B41785" s="17" t="s">
        <v>477</v>
      </c>
      <c r="K41785" s="18"/>
    </row>
    <row r="41786">
      <c r="B41786" s="17" t="s">
        <v>477</v>
      </c>
      <c r="K41786" s="18"/>
    </row>
    <row r="41787">
      <c r="B41787" s="17" t="s">
        <v>477</v>
      </c>
      <c r="K41787" s="18"/>
    </row>
    <row r="41788">
      <c r="B41788" s="17" t="s">
        <v>477</v>
      </c>
      <c r="K41788" s="18"/>
    </row>
    <row r="41789">
      <c r="B41789" s="17" t="s">
        <v>477</v>
      </c>
      <c r="K41789" s="18"/>
    </row>
    <row r="41790">
      <c r="B41790" s="17" t="s">
        <v>477</v>
      </c>
      <c r="K41790" s="18"/>
    </row>
    <row r="41791">
      <c r="B41791" s="17" t="s">
        <v>477</v>
      </c>
      <c r="K41791" s="18"/>
    </row>
    <row r="41792">
      <c r="B41792" s="17" t="s">
        <v>477</v>
      </c>
      <c r="K41792" s="18"/>
    </row>
    <row r="41793">
      <c r="B41793" s="17" t="s">
        <v>477</v>
      </c>
      <c r="K41793" s="18"/>
    </row>
    <row r="41794">
      <c r="B41794" s="17" t="s">
        <v>477</v>
      </c>
      <c r="K41794" s="18"/>
    </row>
    <row r="41795">
      <c r="B41795" s="17" t="s">
        <v>477</v>
      </c>
      <c r="K41795" s="18"/>
    </row>
    <row r="41796">
      <c r="B41796" s="17" t="s">
        <v>477</v>
      </c>
      <c r="K41796" s="18"/>
    </row>
    <row r="41797">
      <c r="B41797" s="17" t="s">
        <v>477</v>
      </c>
      <c r="K41797" s="18"/>
    </row>
    <row r="41798">
      <c r="B41798" s="17" t="s">
        <v>477</v>
      </c>
      <c r="K41798" s="18"/>
    </row>
    <row r="41799">
      <c r="B41799" s="17" t="s">
        <v>477</v>
      </c>
      <c r="K41799" s="18"/>
    </row>
    <row r="41800">
      <c r="B41800" s="17" t="s">
        <v>477</v>
      </c>
      <c r="K41800" s="18"/>
    </row>
    <row r="41801">
      <c r="B41801" s="17" t="s">
        <v>477</v>
      </c>
      <c r="K41801" s="18"/>
    </row>
    <row r="41802">
      <c r="B41802" s="17" t="s">
        <v>477</v>
      </c>
      <c r="K41802" s="18"/>
    </row>
    <row r="41803">
      <c r="B41803" s="17" t="s">
        <v>477</v>
      </c>
      <c r="K41803" s="18"/>
    </row>
    <row r="41804">
      <c r="B41804" s="17" t="s">
        <v>477</v>
      </c>
      <c r="K41804" s="18"/>
    </row>
    <row r="41805">
      <c r="B41805" s="17" t="s">
        <v>477</v>
      </c>
      <c r="K41805" s="18"/>
    </row>
    <row r="41806">
      <c r="B41806" s="17" t="s">
        <v>477</v>
      </c>
      <c r="K41806" s="18"/>
    </row>
    <row r="41807">
      <c r="B41807" s="17" t="s">
        <v>477</v>
      </c>
      <c r="K41807" s="18"/>
    </row>
    <row r="41808">
      <c r="B41808" s="17" t="s">
        <v>477</v>
      </c>
      <c r="K41808" s="18"/>
    </row>
    <row r="41809">
      <c r="B41809" s="17" t="s">
        <v>477</v>
      </c>
      <c r="K41809" s="18"/>
    </row>
    <row r="41810">
      <c r="B41810" s="17" t="s">
        <v>477</v>
      </c>
      <c r="K41810" s="18"/>
    </row>
    <row r="41811">
      <c r="B41811" s="17" t="s">
        <v>477</v>
      </c>
      <c r="K41811" s="18"/>
    </row>
    <row r="41812">
      <c r="B41812" s="17" t="s">
        <v>477</v>
      </c>
      <c r="K41812" s="18"/>
    </row>
    <row r="41813">
      <c r="B41813" s="17" t="s">
        <v>477</v>
      </c>
      <c r="K41813" s="18"/>
    </row>
    <row r="41814">
      <c r="B41814" s="17" t="s">
        <v>477</v>
      </c>
      <c r="K41814" s="18"/>
    </row>
    <row r="41815">
      <c r="B41815" s="17" t="s">
        <v>477</v>
      </c>
      <c r="K41815" s="18"/>
    </row>
    <row r="41816">
      <c r="B41816" s="17" t="s">
        <v>477</v>
      </c>
      <c r="K41816" s="18"/>
    </row>
    <row r="41817">
      <c r="B41817" s="17" t="s">
        <v>477</v>
      </c>
      <c r="K41817" s="18"/>
    </row>
    <row r="41818">
      <c r="B41818" s="17" t="s">
        <v>477</v>
      </c>
      <c r="K41818" s="18"/>
    </row>
    <row r="41819">
      <c r="B41819" s="17" t="s">
        <v>477</v>
      </c>
      <c r="K41819" s="18"/>
    </row>
    <row r="41820">
      <c r="B41820" s="17" t="s">
        <v>477</v>
      </c>
      <c r="K41820" s="18"/>
    </row>
    <row r="41821">
      <c r="B41821" s="17" t="s">
        <v>477</v>
      </c>
      <c r="K41821" s="18"/>
    </row>
    <row r="41822">
      <c r="B41822" s="17" t="s">
        <v>477</v>
      </c>
      <c r="K41822" s="18"/>
    </row>
    <row r="41823">
      <c r="B41823" s="17" t="s">
        <v>477</v>
      </c>
      <c r="K41823" s="18"/>
    </row>
    <row r="41824">
      <c r="B41824" s="17" t="s">
        <v>477</v>
      </c>
      <c r="K41824" s="18"/>
    </row>
    <row r="41825">
      <c r="B41825" s="17" t="s">
        <v>477</v>
      </c>
      <c r="K41825" s="18"/>
    </row>
    <row r="41826">
      <c r="B41826" s="17" t="s">
        <v>477</v>
      </c>
      <c r="K41826" s="18"/>
    </row>
    <row r="41827">
      <c r="B41827" s="17" t="s">
        <v>477</v>
      </c>
      <c r="K41827" s="18"/>
    </row>
    <row r="41828">
      <c r="B41828" s="17" t="s">
        <v>477</v>
      </c>
      <c r="K41828" s="18"/>
    </row>
    <row r="41829">
      <c r="B41829" s="17" t="s">
        <v>477</v>
      </c>
      <c r="K41829" s="18"/>
    </row>
    <row r="41830">
      <c r="B41830" s="17" t="s">
        <v>477</v>
      </c>
      <c r="K41830" s="18"/>
    </row>
    <row r="41831">
      <c r="B41831" s="17" t="s">
        <v>477</v>
      </c>
      <c r="K41831" s="18"/>
    </row>
    <row r="41832">
      <c r="B41832" s="17" t="s">
        <v>477</v>
      </c>
      <c r="K41832" s="18"/>
    </row>
    <row r="41833">
      <c r="B41833" s="17" t="s">
        <v>477</v>
      </c>
      <c r="K41833" s="18"/>
    </row>
    <row r="41834">
      <c r="B41834" s="17" t="s">
        <v>477</v>
      </c>
      <c r="K41834" s="18"/>
    </row>
    <row r="41835">
      <c r="B41835" s="17" t="s">
        <v>477</v>
      </c>
      <c r="K41835" s="18"/>
    </row>
    <row r="41836">
      <c r="B41836" s="17" t="s">
        <v>477</v>
      </c>
      <c r="K41836" s="18"/>
    </row>
    <row r="41837">
      <c r="B41837" s="17" t="s">
        <v>477</v>
      </c>
      <c r="K41837" s="18"/>
    </row>
    <row r="41838">
      <c r="B41838" s="17" t="s">
        <v>477</v>
      </c>
      <c r="K41838" s="18"/>
    </row>
    <row r="41839">
      <c r="B41839" s="17" t="s">
        <v>477</v>
      </c>
      <c r="K41839" s="18"/>
    </row>
    <row r="41840">
      <c r="B41840" s="17" t="s">
        <v>477</v>
      </c>
      <c r="K41840" s="18"/>
    </row>
    <row r="41841">
      <c r="B41841" s="17" t="s">
        <v>477</v>
      </c>
      <c r="K41841" s="18"/>
    </row>
    <row r="41842">
      <c r="B41842" s="17" t="s">
        <v>477</v>
      </c>
      <c r="K41842" s="18"/>
    </row>
    <row r="41843">
      <c r="B41843" s="17" t="s">
        <v>477</v>
      </c>
      <c r="K41843" s="18"/>
    </row>
    <row r="41844">
      <c r="B41844" s="17" t="s">
        <v>477</v>
      </c>
      <c r="K41844" s="18"/>
    </row>
    <row r="41845">
      <c r="B41845" s="17" t="s">
        <v>477</v>
      </c>
      <c r="K41845" s="18"/>
    </row>
    <row r="41846">
      <c r="B41846" s="17" t="s">
        <v>477</v>
      </c>
      <c r="K41846" s="18"/>
    </row>
    <row r="41847">
      <c r="B41847" s="17" t="s">
        <v>477</v>
      </c>
      <c r="K41847" s="18"/>
    </row>
    <row r="41848">
      <c r="B41848" s="17" t="s">
        <v>477</v>
      </c>
      <c r="K41848" s="18"/>
    </row>
    <row r="41849">
      <c r="B41849" s="17" t="s">
        <v>477</v>
      </c>
      <c r="K41849" s="18"/>
    </row>
    <row r="41850">
      <c r="B41850" s="17" t="s">
        <v>477</v>
      </c>
      <c r="K41850" s="18"/>
    </row>
    <row r="41851">
      <c r="B41851" s="17" t="s">
        <v>477</v>
      </c>
      <c r="K41851" s="18"/>
    </row>
    <row r="41852">
      <c r="B41852" s="17" t="s">
        <v>477</v>
      </c>
      <c r="K41852" s="18"/>
    </row>
    <row r="41853">
      <c r="B41853" s="17" t="s">
        <v>477</v>
      </c>
      <c r="K41853" s="18"/>
    </row>
    <row r="41854">
      <c r="B41854" s="17" t="s">
        <v>477</v>
      </c>
      <c r="K41854" s="18"/>
    </row>
    <row r="41855">
      <c r="B41855" s="17" t="s">
        <v>477</v>
      </c>
      <c r="K41855" s="18"/>
    </row>
    <row r="41856">
      <c r="B41856" s="17" t="s">
        <v>477</v>
      </c>
      <c r="K41856" s="18"/>
    </row>
    <row r="41857">
      <c r="B41857" s="17" t="s">
        <v>477</v>
      </c>
      <c r="K41857" s="18"/>
    </row>
    <row r="41858">
      <c r="B41858" s="17" t="s">
        <v>477</v>
      </c>
      <c r="K41858" s="18"/>
    </row>
    <row r="41859">
      <c r="B41859" s="17" t="s">
        <v>477</v>
      </c>
      <c r="K41859" s="18"/>
    </row>
    <row r="41860">
      <c r="B41860" s="17" t="s">
        <v>477</v>
      </c>
      <c r="K41860" s="18"/>
    </row>
    <row r="41861">
      <c r="B41861" s="17" t="s">
        <v>477</v>
      </c>
      <c r="K41861" s="18"/>
    </row>
    <row r="41862">
      <c r="B41862" s="17" t="s">
        <v>477</v>
      </c>
      <c r="K41862" s="18"/>
    </row>
    <row r="41863">
      <c r="B41863" s="17" t="s">
        <v>477</v>
      </c>
      <c r="K41863" s="18"/>
    </row>
    <row r="41864">
      <c r="B41864" s="17" t="s">
        <v>477</v>
      </c>
      <c r="K41864" s="18"/>
    </row>
    <row r="41865">
      <c r="B41865" s="17" t="s">
        <v>477</v>
      </c>
      <c r="K41865" s="18"/>
    </row>
    <row r="41866">
      <c r="B41866" s="17" t="s">
        <v>477</v>
      </c>
      <c r="K41866" s="18"/>
    </row>
    <row r="41867">
      <c r="B41867" s="17" t="s">
        <v>477</v>
      </c>
      <c r="K41867" s="18"/>
    </row>
    <row r="41868">
      <c r="B41868" s="17" t="s">
        <v>477</v>
      </c>
      <c r="K41868" s="18"/>
    </row>
    <row r="41869">
      <c r="B41869" s="17" t="s">
        <v>477</v>
      </c>
      <c r="K41869" s="18"/>
    </row>
    <row r="41870">
      <c r="B41870" s="17" t="s">
        <v>477</v>
      </c>
      <c r="K41870" s="18"/>
    </row>
    <row r="41871">
      <c r="B41871" s="17" t="s">
        <v>477</v>
      </c>
      <c r="K41871" s="18"/>
    </row>
    <row r="41872">
      <c r="B41872" s="17" t="s">
        <v>477</v>
      </c>
      <c r="K41872" s="18"/>
    </row>
    <row r="41873">
      <c r="B41873" s="17" t="s">
        <v>477</v>
      </c>
      <c r="K41873" s="18"/>
    </row>
    <row r="41874">
      <c r="B41874" s="17" t="s">
        <v>477</v>
      </c>
      <c r="K41874" s="18"/>
    </row>
    <row r="41875">
      <c r="B41875" s="17" t="s">
        <v>477</v>
      </c>
      <c r="K41875" s="18"/>
    </row>
    <row r="41876">
      <c r="B41876" s="17" t="s">
        <v>477</v>
      </c>
      <c r="K41876" s="18"/>
    </row>
    <row r="41877">
      <c r="B41877" s="17" t="s">
        <v>477</v>
      </c>
      <c r="K41877" s="18"/>
    </row>
    <row r="41878">
      <c r="B41878" s="17" t="s">
        <v>477</v>
      </c>
      <c r="K41878" s="18"/>
    </row>
    <row r="41879">
      <c r="B41879" s="17" t="s">
        <v>477</v>
      </c>
      <c r="K41879" s="18"/>
    </row>
    <row r="41880">
      <c r="B41880" s="17" t="s">
        <v>477</v>
      </c>
      <c r="K41880" s="18"/>
    </row>
    <row r="41881">
      <c r="B41881" s="17" t="s">
        <v>477</v>
      </c>
      <c r="K41881" s="18"/>
    </row>
    <row r="41882">
      <c r="B41882" s="17" t="s">
        <v>477</v>
      </c>
      <c r="K41882" s="18"/>
    </row>
    <row r="41883">
      <c r="B41883" s="17" t="s">
        <v>477</v>
      </c>
      <c r="K41883" s="18"/>
    </row>
    <row r="41884">
      <c r="B41884" s="17" t="s">
        <v>477</v>
      </c>
      <c r="K41884" s="18"/>
    </row>
    <row r="41885">
      <c r="B41885" s="17" t="s">
        <v>477</v>
      </c>
      <c r="K41885" s="18"/>
    </row>
    <row r="41886">
      <c r="B41886" s="17" t="s">
        <v>477</v>
      </c>
      <c r="K41886" s="18"/>
    </row>
    <row r="41887">
      <c r="B41887" s="17" t="s">
        <v>477</v>
      </c>
      <c r="K41887" s="18"/>
    </row>
    <row r="41888">
      <c r="B41888" s="17" t="s">
        <v>477</v>
      </c>
      <c r="K41888" s="18"/>
    </row>
    <row r="41889">
      <c r="B41889" s="17" t="s">
        <v>477</v>
      </c>
      <c r="K41889" s="18"/>
    </row>
    <row r="41890">
      <c r="B41890" s="17" t="s">
        <v>477</v>
      </c>
      <c r="K41890" s="18"/>
    </row>
    <row r="41891">
      <c r="B41891" s="17" t="s">
        <v>477</v>
      </c>
      <c r="K41891" s="18"/>
    </row>
    <row r="41892">
      <c r="B41892" s="17" t="s">
        <v>477</v>
      </c>
      <c r="K41892" s="18"/>
    </row>
    <row r="41893">
      <c r="B41893" s="17" t="s">
        <v>477</v>
      </c>
      <c r="K41893" s="18"/>
    </row>
    <row r="41894">
      <c r="B41894" s="17" t="s">
        <v>477</v>
      </c>
      <c r="K41894" s="18"/>
    </row>
    <row r="41895">
      <c r="B41895" s="17" t="s">
        <v>477</v>
      </c>
      <c r="K41895" s="18"/>
    </row>
    <row r="41896">
      <c r="B41896" s="17" t="s">
        <v>477</v>
      </c>
      <c r="K41896" s="18"/>
    </row>
    <row r="41897">
      <c r="B41897" s="17" t="s">
        <v>477</v>
      </c>
      <c r="K41897" s="18"/>
    </row>
    <row r="41898">
      <c r="B41898" s="17" t="s">
        <v>477</v>
      </c>
      <c r="K41898" s="18"/>
    </row>
    <row r="41899">
      <c r="B41899" s="17" t="s">
        <v>477</v>
      </c>
      <c r="K41899" s="18"/>
    </row>
    <row r="41900">
      <c r="B41900" s="17" t="s">
        <v>477</v>
      </c>
      <c r="K41900" s="18"/>
    </row>
    <row r="41901">
      <c r="B41901" s="17" t="s">
        <v>477</v>
      </c>
      <c r="K41901" s="18"/>
    </row>
    <row r="41902">
      <c r="B41902" s="17" t="s">
        <v>477</v>
      </c>
      <c r="K41902" s="18"/>
    </row>
    <row r="41903">
      <c r="B41903" s="17" t="s">
        <v>477</v>
      </c>
      <c r="K41903" s="18"/>
    </row>
    <row r="41904">
      <c r="B41904" s="17" t="s">
        <v>477</v>
      </c>
      <c r="K41904" s="18"/>
    </row>
    <row r="41905">
      <c r="B41905" s="17" t="s">
        <v>477</v>
      </c>
      <c r="K41905" s="18"/>
    </row>
    <row r="41906">
      <c r="B41906" s="17" t="s">
        <v>477</v>
      </c>
      <c r="K41906" s="18"/>
    </row>
    <row r="41907">
      <c r="B41907" s="17" t="s">
        <v>477</v>
      </c>
      <c r="K41907" s="18"/>
    </row>
    <row r="41908">
      <c r="B41908" s="17" t="s">
        <v>477</v>
      </c>
      <c r="K41908" s="18"/>
    </row>
    <row r="41909">
      <c r="B41909" s="17" t="s">
        <v>477</v>
      </c>
      <c r="K41909" s="18"/>
    </row>
    <row r="41910">
      <c r="B41910" s="17" t="s">
        <v>477</v>
      </c>
      <c r="K41910" s="18"/>
    </row>
    <row r="41911">
      <c r="B41911" s="17" t="s">
        <v>477</v>
      </c>
      <c r="K41911" s="18"/>
    </row>
    <row r="41912">
      <c r="B41912" s="17" t="s">
        <v>477</v>
      </c>
      <c r="K41912" s="18"/>
    </row>
    <row r="41913">
      <c r="B41913" s="17" t="s">
        <v>477</v>
      </c>
      <c r="K41913" s="18"/>
    </row>
    <row r="41914">
      <c r="B41914" s="17" t="s">
        <v>477</v>
      </c>
      <c r="K41914" s="18"/>
    </row>
    <row r="41915">
      <c r="B41915" s="17" t="s">
        <v>477</v>
      </c>
      <c r="K41915" s="18"/>
    </row>
    <row r="41916">
      <c r="B41916" s="17" t="s">
        <v>477</v>
      </c>
      <c r="K41916" s="18"/>
    </row>
    <row r="41917">
      <c r="B41917" s="17" t="s">
        <v>477</v>
      </c>
      <c r="K41917" s="18"/>
    </row>
    <row r="41918">
      <c r="B41918" s="17" t="s">
        <v>477</v>
      </c>
      <c r="K41918" s="18"/>
    </row>
    <row r="41919">
      <c r="B41919" s="17" t="s">
        <v>477</v>
      </c>
      <c r="K41919" s="18"/>
    </row>
    <row r="41920">
      <c r="B41920" s="17" t="s">
        <v>477</v>
      </c>
      <c r="K41920" s="18"/>
    </row>
    <row r="41921">
      <c r="B41921" s="17" t="s">
        <v>477</v>
      </c>
      <c r="K41921" s="18"/>
    </row>
    <row r="41922">
      <c r="B41922" s="17" t="s">
        <v>477</v>
      </c>
      <c r="K41922" s="18"/>
    </row>
    <row r="41923">
      <c r="B41923" s="17" t="s">
        <v>477</v>
      </c>
      <c r="K41923" s="18"/>
    </row>
    <row r="41924">
      <c r="B41924" s="17" t="s">
        <v>477</v>
      </c>
      <c r="K41924" s="18"/>
    </row>
    <row r="41925">
      <c r="B41925" s="17" t="s">
        <v>477</v>
      </c>
      <c r="K41925" s="18"/>
    </row>
    <row r="41926">
      <c r="B41926" s="17" t="s">
        <v>477</v>
      </c>
      <c r="K41926" s="18"/>
    </row>
    <row r="41927">
      <c r="B41927" s="17" t="s">
        <v>477</v>
      </c>
      <c r="K41927" s="18"/>
    </row>
    <row r="41928">
      <c r="B41928" s="17" t="s">
        <v>477</v>
      </c>
      <c r="K41928" s="18"/>
    </row>
    <row r="41929">
      <c r="B41929" s="17" t="s">
        <v>477</v>
      </c>
      <c r="K41929" s="18"/>
    </row>
    <row r="41930">
      <c r="B41930" s="17" t="s">
        <v>477</v>
      </c>
      <c r="K41930" s="18"/>
    </row>
    <row r="41931">
      <c r="B41931" s="17" t="s">
        <v>477</v>
      </c>
      <c r="K41931" s="18"/>
    </row>
    <row r="41932">
      <c r="B41932" s="17" t="s">
        <v>477</v>
      </c>
      <c r="K41932" s="18"/>
    </row>
    <row r="41933">
      <c r="B41933" s="17" t="s">
        <v>477</v>
      </c>
      <c r="K41933" s="18"/>
    </row>
    <row r="41934">
      <c r="B41934" s="17" t="s">
        <v>477</v>
      </c>
      <c r="K41934" s="18"/>
    </row>
    <row r="41935">
      <c r="B41935" s="17" t="s">
        <v>477</v>
      </c>
      <c r="K41935" s="18"/>
    </row>
    <row r="41936">
      <c r="B41936" s="17" t="s">
        <v>477</v>
      </c>
      <c r="K41936" s="18"/>
    </row>
    <row r="41937">
      <c r="B41937" s="17" t="s">
        <v>477</v>
      </c>
      <c r="K41937" s="18"/>
    </row>
    <row r="41938">
      <c r="B41938" s="17" t="s">
        <v>477</v>
      </c>
      <c r="K41938" s="18"/>
    </row>
    <row r="41939">
      <c r="B41939" s="17" t="s">
        <v>477</v>
      </c>
      <c r="K41939" s="18"/>
    </row>
    <row r="41940">
      <c r="B41940" s="17" t="s">
        <v>477</v>
      </c>
      <c r="K41940" s="18"/>
    </row>
    <row r="41941">
      <c r="B41941" s="17" t="s">
        <v>477</v>
      </c>
      <c r="K41941" s="18"/>
    </row>
    <row r="41942">
      <c r="B41942" s="17" t="s">
        <v>477</v>
      </c>
      <c r="K41942" s="18"/>
    </row>
    <row r="41943">
      <c r="B41943" s="17" t="s">
        <v>477</v>
      </c>
      <c r="K41943" s="18"/>
    </row>
    <row r="41944">
      <c r="B41944" s="17" t="s">
        <v>477</v>
      </c>
      <c r="K41944" s="18"/>
    </row>
    <row r="41945">
      <c r="B41945" s="17" t="s">
        <v>477</v>
      </c>
      <c r="K41945" s="18"/>
    </row>
    <row r="41946">
      <c r="B41946" s="17" t="s">
        <v>477</v>
      </c>
      <c r="K41946" s="18"/>
    </row>
    <row r="41947">
      <c r="B41947" s="17" t="s">
        <v>477</v>
      </c>
      <c r="K41947" s="18"/>
    </row>
    <row r="41948">
      <c r="B41948" s="17" t="s">
        <v>477</v>
      </c>
      <c r="K41948" s="18"/>
    </row>
    <row r="41949">
      <c r="B41949" s="17" t="s">
        <v>477</v>
      </c>
      <c r="K41949" s="18"/>
    </row>
    <row r="41950">
      <c r="B41950" s="17" t="s">
        <v>477</v>
      </c>
      <c r="K41950" s="18"/>
    </row>
    <row r="41951">
      <c r="B41951" s="17" t="s">
        <v>477</v>
      </c>
      <c r="K41951" s="18"/>
    </row>
    <row r="41952">
      <c r="B41952" s="17" t="s">
        <v>477</v>
      </c>
      <c r="K41952" s="18"/>
    </row>
    <row r="41953">
      <c r="B41953" s="17" t="s">
        <v>477</v>
      </c>
      <c r="K41953" s="18"/>
    </row>
    <row r="41954">
      <c r="B41954" s="17" t="s">
        <v>477</v>
      </c>
      <c r="K41954" s="18"/>
    </row>
    <row r="41955">
      <c r="B41955" s="17" t="s">
        <v>477</v>
      </c>
      <c r="K41955" s="18"/>
    </row>
    <row r="41956">
      <c r="B41956" s="17" t="s">
        <v>477</v>
      </c>
      <c r="K41956" s="18"/>
    </row>
    <row r="41957">
      <c r="B41957" s="17" t="s">
        <v>477</v>
      </c>
      <c r="K41957" s="18"/>
    </row>
    <row r="41958">
      <c r="B41958" s="17" t="s">
        <v>477</v>
      </c>
      <c r="K41958" s="18"/>
    </row>
    <row r="41959">
      <c r="B41959" s="17" t="s">
        <v>477</v>
      </c>
      <c r="K41959" s="18"/>
    </row>
    <row r="41960">
      <c r="B41960" s="17" t="s">
        <v>477</v>
      </c>
      <c r="K41960" s="18"/>
    </row>
    <row r="41961">
      <c r="B41961" s="17" t="s">
        <v>477</v>
      </c>
      <c r="K41961" s="18"/>
    </row>
    <row r="41962">
      <c r="B41962" s="17" t="s">
        <v>477</v>
      </c>
      <c r="K41962" s="18"/>
    </row>
    <row r="41963">
      <c r="B41963" s="17" t="s">
        <v>477</v>
      </c>
      <c r="K41963" s="18"/>
    </row>
    <row r="41964">
      <c r="B41964" s="17" t="s">
        <v>477</v>
      </c>
      <c r="K41964" s="18"/>
    </row>
    <row r="41965">
      <c r="B41965" s="17" t="s">
        <v>477</v>
      </c>
      <c r="K41965" s="18"/>
    </row>
    <row r="41966">
      <c r="B41966" s="17" t="s">
        <v>477</v>
      </c>
      <c r="K41966" s="18"/>
    </row>
    <row r="41967">
      <c r="B41967" s="17" t="s">
        <v>477</v>
      </c>
      <c r="K41967" s="18"/>
    </row>
    <row r="41968">
      <c r="B41968" s="17" t="s">
        <v>477</v>
      </c>
      <c r="K41968" s="18"/>
    </row>
    <row r="41969">
      <c r="B41969" s="17" t="s">
        <v>477</v>
      </c>
      <c r="K41969" s="18"/>
    </row>
    <row r="41970">
      <c r="B41970" s="17" t="s">
        <v>477</v>
      </c>
      <c r="K41970" s="18"/>
    </row>
    <row r="41971">
      <c r="B41971" s="17" t="s">
        <v>477</v>
      </c>
      <c r="K41971" s="18"/>
    </row>
    <row r="41972">
      <c r="B41972" s="17" t="s">
        <v>477</v>
      </c>
      <c r="K41972" s="18"/>
    </row>
    <row r="41973">
      <c r="B41973" s="17" t="s">
        <v>477</v>
      </c>
      <c r="K41973" s="18"/>
    </row>
    <row r="41974">
      <c r="B41974" s="17" t="s">
        <v>477</v>
      </c>
      <c r="K41974" s="18"/>
    </row>
    <row r="41975">
      <c r="B41975" s="17" t="s">
        <v>477</v>
      </c>
      <c r="K41975" s="18"/>
    </row>
    <row r="41976">
      <c r="B41976" s="17" t="s">
        <v>477</v>
      </c>
      <c r="K41976" s="18"/>
    </row>
    <row r="41977">
      <c r="B41977" s="17" t="s">
        <v>477</v>
      </c>
      <c r="K41977" s="18"/>
    </row>
    <row r="41978">
      <c r="B41978" s="17" t="s">
        <v>477</v>
      </c>
      <c r="K41978" s="18"/>
    </row>
    <row r="41979">
      <c r="B41979" s="17" t="s">
        <v>477</v>
      </c>
      <c r="K41979" s="18"/>
    </row>
    <row r="41980">
      <c r="B41980" s="17" t="s">
        <v>477</v>
      </c>
      <c r="K41980" s="18"/>
    </row>
    <row r="41981">
      <c r="B41981" s="17" t="s">
        <v>477</v>
      </c>
      <c r="K41981" s="18"/>
    </row>
    <row r="41982">
      <c r="B41982" s="17" t="s">
        <v>477</v>
      </c>
      <c r="K41982" s="18"/>
    </row>
    <row r="41983">
      <c r="B41983" s="17" t="s">
        <v>477</v>
      </c>
      <c r="K41983" s="18"/>
    </row>
    <row r="41984">
      <c r="B41984" s="17" t="s">
        <v>477</v>
      </c>
      <c r="K41984" s="18"/>
    </row>
    <row r="41985">
      <c r="B41985" s="17" t="s">
        <v>477</v>
      </c>
      <c r="K41985" s="18"/>
    </row>
    <row r="41986">
      <c r="B41986" s="17" t="s">
        <v>477</v>
      </c>
      <c r="K41986" s="18"/>
    </row>
    <row r="41987">
      <c r="B41987" s="17" t="s">
        <v>477</v>
      </c>
      <c r="K41987" s="18"/>
    </row>
    <row r="41988">
      <c r="B41988" s="17" t="s">
        <v>477</v>
      </c>
      <c r="K41988" s="18"/>
    </row>
    <row r="41989">
      <c r="B41989" s="17" t="s">
        <v>477</v>
      </c>
      <c r="K41989" s="18"/>
    </row>
    <row r="41990">
      <c r="B41990" s="17" t="s">
        <v>477</v>
      </c>
      <c r="K41990" s="18"/>
    </row>
    <row r="41991">
      <c r="B41991" s="17" t="s">
        <v>477</v>
      </c>
      <c r="K41991" s="18"/>
    </row>
    <row r="41992">
      <c r="B41992" s="17" t="s">
        <v>477</v>
      </c>
      <c r="K41992" s="18"/>
    </row>
    <row r="41993">
      <c r="B41993" s="17" t="s">
        <v>477</v>
      </c>
      <c r="K41993" s="18"/>
    </row>
    <row r="41994">
      <c r="B41994" s="17" t="s">
        <v>477</v>
      </c>
      <c r="K41994" s="18"/>
    </row>
    <row r="41995">
      <c r="B41995" s="17" t="s">
        <v>477</v>
      </c>
      <c r="K41995" s="18"/>
    </row>
    <row r="41996">
      <c r="B41996" s="17" t="s">
        <v>477</v>
      </c>
      <c r="K41996" s="18"/>
    </row>
    <row r="41997">
      <c r="B41997" s="17" t="s">
        <v>477</v>
      </c>
      <c r="K41997" s="18"/>
    </row>
    <row r="41998">
      <c r="B41998" s="17" t="s">
        <v>477</v>
      </c>
      <c r="K41998" s="18"/>
    </row>
    <row r="41999">
      <c r="B41999" s="17" t="s">
        <v>477</v>
      </c>
      <c r="K41999" s="18"/>
    </row>
    <row r="42000">
      <c r="B42000" s="17" t="s">
        <v>477</v>
      </c>
      <c r="K42000" s="18"/>
    </row>
    <row r="42001">
      <c r="B42001" s="17" t="s">
        <v>477</v>
      </c>
      <c r="K42001" s="18"/>
    </row>
    <row r="42002">
      <c r="B42002" s="17" t="s">
        <v>477</v>
      </c>
      <c r="K42002" s="18"/>
    </row>
    <row r="42003">
      <c r="B42003" s="17" t="s">
        <v>477</v>
      </c>
      <c r="K42003" s="18"/>
    </row>
    <row r="42004">
      <c r="B42004" s="17" t="s">
        <v>477</v>
      </c>
      <c r="K42004" s="18"/>
    </row>
    <row r="42005">
      <c r="B42005" s="17" t="s">
        <v>477</v>
      </c>
      <c r="K42005" s="18"/>
    </row>
    <row r="42006">
      <c r="B42006" s="17" t="s">
        <v>477</v>
      </c>
      <c r="K42006" s="18"/>
    </row>
    <row r="42007">
      <c r="B42007" s="17" t="s">
        <v>477</v>
      </c>
      <c r="K42007" s="18"/>
    </row>
    <row r="42008">
      <c r="B42008" s="17" t="s">
        <v>477</v>
      </c>
      <c r="K42008" s="18"/>
    </row>
    <row r="42009">
      <c r="B42009" s="17" t="s">
        <v>477</v>
      </c>
      <c r="K42009" s="18"/>
    </row>
    <row r="42010">
      <c r="B42010" s="17" t="s">
        <v>477</v>
      </c>
      <c r="K42010" s="18"/>
    </row>
    <row r="42011">
      <c r="B42011" s="17" t="s">
        <v>477</v>
      </c>
      <c r="K42011" s="18"/>
    </row>
    <row r="42012">
      <c r="B42012" s="17" t="s">
        <v>477</v>
      </c>
      <c r="K42012" s="18"/>
    </row>
    <row r="42013">
      <c r="B42013" s="17" t="s">
        <v>477</v>
      </c>
      <c r="K42013" s="18"/>
    </row>
    <row r="42014">
      <c r="B42014" s="17" t="s">
        <v>477</v>
      </c>
      <c r="K42014" s="18"/>
    </row>
    <row r="42015">
      <c r="B42015" s="17" t="s">
        <v>477</v>
      </c>
      <c r="K42015" s="18"/>
    </row>
    <row r="42016">
      <c r="B42016" s="17" t="s">
        <v>477</v>
      </c>
      <c r="K42016" s="18"/>
    </row>
    <row r="42017">
      <c r="B42017" s="17" t="s">
        <v>477</v>
      </c>
      <c r="K42017" s="18"/>
    </row>
    <row r="42018">
      <c r="B42018" s="17" t="s">
        <v>477</v>
      </c>
      <c r="K42018" s="18"/>
    </row>
    <row r="42019">
      <c r="B42019" s="17" t="s">
        <v>477</v>
      </c>
      <c r="K42019" s="18"/>
    </row>
    <row r="42020">
      <c r="B42020" s="17" t="s">
        <v>477</v>
      </c>
      <c r="K42020" s="18"/>
    </row>
    <row r="42021">
      <c r="B42021" s="17" t="s">
        <v>477</v>
      </c>
      <c r="K42021" s="18"/>
    </row>
    <row r="42022">
      <c r="B42022" s="17" t="s">
        <v>477</v>
      </c>
      <c r="K42022" s="18"/>
    </row>
    <row r="42023">
      <c r="B42023" s="17" t="s">
        <v>477</v>
      </c>
      <c r="K42023" s="18"/>
    </row>
    <row r="42024">
      <c r="B42024" s="17" t="s">
        <v>477</v>
      </c>
      <c r="K42024" s="18"/>
    </row>
    <row r="42025">
      <c r="B42025" s="17" t="s">
        <v>477</v>
      </c>
      <c r="K42025" s="18"/>
    </row>
    <row r="42026">
      <c r="B42026" s="17" t="s">
        <v>477</v>
      </c>
      <c r="K42026" s="18"/>
    </row>
    <row r="42027">
      <c r="B42027" s="17" t="s">
        <v>477</v>
      </c>
      <c r="K42027" s="18"/>
    </row>
    <row r="42028">
      <c r="B42028" s="17" t="s">
        <v>477</v>
      </c>
      <c r="K42028" s="18"/>
    </row>
    <row r="42029">
      <c r="B42029" s="17" t="s">
        <v>477</v>
      </c>
      <c r="K42029" s="18"/>
    </row>
    <row r="42030">
      <c r="B42030" s="17" t="s">
        <v>477</v>
      </c>
      <c r="K42030" s="18"/>
    </row>
    <row r="42031">
      <c r="B42031" s="17" t="s">
        <v>477</v>
      </c>
      <c r="K42031" s="18"/>
    </row>
    <row r="42032">
      <c r="B42032" s="17" t="s">
        <v>477</v>
      </c>
      <c r="K42032" s="18"/>
    </row>
    <row r="42033">
      <c r="B42033" s="17" t="s">
        <v>477</v>
      </c>
      <c r="K42033" s="18"/>
    </row>
    <row r="42034">
      <c r="B42034" s="17" t="s">
        <v>477</v>
      </c>
      <c r="K42034" s="18"/>
    </row>
    <row r="42035">
      <c r="B42035" s="17" t="s">
        <v>477</v>
      </c>
      <c r="K42035" s="18"/>
    </row>
    <row r="42036">
      <c r="B42036" s="17" t="s">
        <v>477</v>
      </c>
      <c r="K42036" s="18"/>
    </row>
    <row r="42037">
      <c r="B42037" s="17" t="s">
        <v>477</v>
      </c>
      <c r="K42037" s="18"/>
    </row>
    <row r="42038">
      <c r="B42038" s="17" t="s">
        <v>477</v>
      </c>
      <c r="K42038" s="18"/>
    </row>
    <row r="42039">
      <c r="B42039" s="17" t="s">
        <v>477</v>
      </c>
      <c r="K42039" s="18"/>
    </row>
    <row r="42040">
      <c r="B42040" s="17" t="s">
        <v>477</v>
      </c>
      <c r="K42040" s="18"/>
    </row>
    <row r="42041">
      <c r="B42041" s="17" t="s">
        <v>477</v>
      </c>
      <c r="K42041" s="18"/>
    </row>
    <row r="42042">
      <c r="B42042" s="17" t="s">
        <v>477</v>
      </c>
      <c r="K42042" s="18"/>
    </row>
    <row r="42043">
      <c r="B42043" s="17" t="s">
        <v>477</v>
      </c>
      <c r="K42043" s="18"/>
    </row>
    <row r="42044">
      <c r="B42044" s="17" t="s">
        <v>477</v>
      </c>
      <c r="K42044" s="18"/>
    </row>
    <row r="42045">
      <c r="B42045" s="17" t="s">
        <v>477</v>
      </c>
      <c r="K42045" s="18"/>
    </row>
    <row r="42046">
      <c r="B42046" s="17" t="s">
        <v>477</v>
      </c>
      <c r="K42046" s="18"/>
    </row>
    <row r="42047">
      <c r="B42047" s="17" t="s">
        <v>477</v>
      </c>
      <c r="K42047" s="18"/>
    </row>
    <row r="42048">
      <c r="B42048" s="17" t="s">
        <v>477</v>
      </c>
      <c r="K42048" s="18"/>
    </row>
    <row r="42049">
      <c r="B42049" s="17" t="s">
        <v>477</v>
      </c>
      <c r="K42049" s="18"/>
    </row>
    <row r="42050">
      <c r="B42050" s="17" t="s">
        <v>477</v>
      </c>
      <c r="K42050" s="18"/>
    </row>
    <row r="42051">
      <c r="B42051" s="17" t="s">
        <v>477</v>
      </c>
      <c r="K42051" s="18"/>
    </row>
    <row r="42052">
      <c r="B42052" s="17" t="s">
        <v>477</v>
      </c>
      <c r="K42052" s="18"/>
    </row>
    <row r="42053">
      <c r="B42053" s="17" t="s">
        <v>477</v>
      </c>
      <c r="K42053" s="18"/>
    </row>
    <row r="42054">
      <c r="B42054" s="17" t="s">
        <v>477</v>
      </c>
      <c r="K42054" s="18"/>
    </row>
    <row r="42055">
      <c r="B42055" s="17" t="s">
        <v>477</v>
      </c>
      <c r="K42055" s="18"/>
    </row>
    <row r="42056">
      <c r="B42056" s="17" t="s">
        <v>477</v>
      </c>
      <c r="K42056" s="18"/>
    </row>
    <row r="42057">
      <c r="B42057" s="17" t="s">
        <v>477</v>
      </c>
      <c r="K42057" s="18"/>
    </row>
    <row r="42058">
      <c r="B42058" s="17" t="s">
        <v>477</v>
      </c>
      <c r="K42058" s="18"/>
    </row>
    <row r="42059">
      <c r="B42059" s="17" t="s">
        <v>477</v>
      </c>
      <c r="K42059" s="18"/>
    </row>
    <row r="42060">
      <c r="B42060" s="17" t="s">
        <v>477</v>
      </c>
      <c r="K42060" s="18"/>
    </row>
    <row r="42061">
      <c r="B42061" s="17" t="s">
        <v>477</v>
      </c>
      <c r="K42061" s="18"/>
    </row>
    <row r="42062">
      <c r="B42062" s="17" t="s">
        <v>477</v>
      </c>
      <c r="K42062" s="18"/>
    </row>
    <row r="42063">
      <c r="B42063" s="17" t="s">
        <v>477</v>
      </c>
      <c r="K42063" s="18"/>
    </row>
    <row r="42064">
      <c r="B42064" s="17" t="s">
        <v>477</v>
      </c>
      <c r="K42064" s="18"/>
    </row>
    <row r="42065">
      <c r="B42065" s="17" t="s">
        <v>477</v>
      </c>
      <c r="K42065" s="18"/>
    </row>
    <row r="42066">
      <c r="B42066" s="17" t="s">
        <v>477</v>
      </c>
      <c r="K42066" s="18"/>
    </row>
    <row r="42067">
      <c r="B42067" s="17" t="s">
        <v>477</v>
      </c>
      <c r="K42067" s="18"/>
    </row>
    <row r="42068">
      <c r="B42068" s="17" t="s">
        <v>477</v>
      </c>
      <c r="K42068" s="18"/>
    </row>
    <row r="42069">
      <c r="B42069" s="17" t="s">
        <v>477</v>
      </c>
      <c r="K42069" s="18"/>
    </row>
    <row r="42070">
      <c r="B42070" s="17" t="s">
        <v>477</v>
      </c>
      <c r="K42070" s="18"/>
    </row>
    <row r="42071">
      <c r="B42071" s="17" t="s">
        <v>477</v>
      </c>
      <c r="K42071" s="18"/>
    </row>
    <row r="42072">
      <c r="B42072" s="17" t="s">
        <v>477</v>
      </c>
      <c r="K42072" s="18"/>
    </row>
    <row r="42073">
      <c r="B42073" s="17" t="s">
        <v>477</v>
      </c>
      <c r="K42073" s="18"/>
    </row>
    <row r="42074">
      <c r="B42074" s="17" t="s">
        <v>477</v>
      </c>
      <c r="K42074" s="18"/>
    </row>
    <row r="42075">
      <c r="B42075" s="17" t="s">
        <v>477</v>
      </c>
      <c r="K42075" s="18"/>
    </row>
    <row r="42076">
      <c r="B42076" s="17" t="s">
        <v>477</v>
      </c>
      <c r="K42076" s="18"/>
    </row>
    <row r="42077">
      <c r="B42077" s="17" t="s">
        <v>477</v>
      </c>
      <c r="K42077" s="18"/>
    </row>
    <row r="42078">
      <c r="B42078" s="17" t="s">
        <v>477</v>
      </c>
      <c r="K42078" s="18"/>
    </row>
    <row r="42079">
      <c r="B42079" s="17" t="s">
        <v>477</v>
      </c>
      <c r="K42079" s="18"/>
    </row>
    <row r="42080">
      <c r="B42080" s="17" t="s">
        <v>477</v>
      </c>
      <c r="K42080" s="18"/>
    </row>
    <row r="42081">
      <c r="B42081" s="17" t="s">
        <v>477</v>
      </c>
      <c r="K42081" s="18"/>
    </row>
    <row r="42082">
      <c r="B42082" s="17" t="s">
        <v>477</v>
      </c>
      <c r="K42082" s="18"/>
    </row>
    <row r="42083">
      <c r="B42083" s="17" t="s">
        <v>477</v>
      </c>
      <c r="K42083" s="18"/>
    </row>
    <row r="42084">
      <c r="B42084" s="17" t="s">
        <v>477</v>
      </c>
      <c r="K42084" s="18"/>
    </row>
    <row r="42085">
      <c r="B42085" s="17" t="s">
        <v>477</v>
      </c>
      <c r="K42085" s="18"/>
    </row>
    <row r="42086">
      <c r="B42086" s="17" t="s">
        <v>477</v>
      </c>
      <c r="K42086" s="18"/>
    </row>
    <row r="42087">
      <c r="B42087" s="17" t="s">
        <v>477</v>
      </c>
      <c r="K42087" s="18"/>
    </row>
    <row r="42088">
      <c r="B42088" s="17" t="s">
        <v>477</v>
      </c>
      <c r="K42088" s="18"/>
    </row>
    <row r="42089">
      <c r="B42089" s="17" t="s">
        <v>477</v>
      </c>
      <c r="K42089" s="18"/>
    </row>
    <row r="42090">
      <c r="B42090" s="17" t="s">
        <v>477</v>
      </c>
      <c r="K42090" s="18"/>
    </row>
    <row r="42091">
      <c r="B42091" s="17" t="s">
        <v>477</v>
      </c>
      <c r="K42091" s="18"/>
    </row>
    <row r="42092">
      <c r="B42092" s="17" t="s">
        <v>477</v>
      </c>
      <c r="K42092" s="18"/>
    </row>
    <row r="42093">
      <c r="B42093" s="17" t="s">
        <v>477</v>
      </c>
      <c r="K42093" s="18"/>
    </row>
    <row r="42094">
      <c r="B42094" s="17" t="s">
        <v>477</v>
      </c>
      <c r="K42094" s="18"/>
    </row>
    <row r="42095">
      <c r="B42095" s="17" t="s">
        <v>477</v>
      </c>
      <c r="K42095" s="18"/>
    </row>
    <row r="42096">
      <c r="B42096" s="17" t="s">
        <v>477</v>
      </c>
      <c r="K42096" s="18"/>
    </row>
    <row r="42097">
      <c r="B42097" s="17" t="s">
        <v>477</v>
      </c>
      <c r="K42097" s="18"/>
    </row>
    <row r="42098">
      <c r="B42098" s="17" t="s">
        <v>477</v>
      </c>
      <c r="K42098" s="18"/>
    </row>
    <row r="42099">
      <c r="B42099" s="17" t="s">
        <v>477</v>
      </c>
      <c r="K42099" s="18"/>
    </row>
    <row r="42100">
      <c r="B42100" s="17" t="s">
        <v>477</v>
      </c>
      <c r="K42100" s="18"/>
    </row>
    <row r="42101">
      <c r="B42101" s="17" t="s">
        <v>477</v>
      </c>
      <c r="K42101" s="18"/>
    </row>
    <row r="42102">
      <c r="B42102" s="17" t="s">
        <v>477</v>
      </c>
      <c r="K42102" s="18"/>
    </row>
    <row r="42103">
      <c r="B42103" s="17" t="s">
        <v>477</v>
      </c>
      <c r="K42103" s="18"/>
    </row>
    <row r="42104">
      <c r="B42104" s="17" t="s">
        <v>477</v>
      </c>
      <c r="K42104" s="18"/>
    </row>
    <row r="42105">
      <c r="B42105" s="17" t="s">
        <v>477</v>
      </c>
      <c r="K42105" s="18"/>
    </row>
    <row r="42106">
      <c r="B42106" s="17" t="s">
        <v>477</v>
      </c>
      <c r="K42106" s="18"/>
    </row>
    <row r="42107">
      <c r="B42107" s="17" t="s">
        <v>477</v>
      </c>
      <c r="K42107" s="18"/>
    </row>
    <row r="42108">
      <c r="B42108" s="17" t="s">
        <v>477</v>
      </c>
      <c r="K42108" s="18"/>
    </row>
    <row r="42109">
      <c r="B42109" s="17" t="s">
        <v>477</v>
      </c>
      <c r="K42109" s="18"/>
    </row>
    <row r="42110">
      <c r="B42110" s="17" t="s">
        <v>477</v>
      </c>
      <c r="K42110" s="18"/>
    </row>
    <row r="42111">
      <c r="B42111" s="17" t="s">
        <v>477</v>
      </c>
      <c r="K42111" s="18"/>
    </row>
    <row r="42112">
      <c r="B42112" s="17" t="s">
        <v>477</v>
      </c>
      <c r="K42112" s="18"/>
    </row>
    <row r="42113">
      <c r="B42113" s="17" t="s">
        <v>477</v>
      </c>
      <c r="K42113" s="18"/>
    </row>
    <row r="42114">
      <c r="B42114" s="17" t="s">
        <v>477</v>
      </c>
      <c r="K42114" s="18"/>
    </row>
    <row r="42115">
      <c r="B42115" s="17" t="s">
        <v>477</v>
      </c>
      <c r="K42115" s="18"/>
    </row>
    <row r="42116">
      <c r="B42116" s="17" t="s">
        <v>477</v>
      </c>
      <c r="K42116" s="18"/>
    </row>
    <row r="42117">
      <c r="B42117" s="17" t="s">
        <v>477</v>
      </c>
      <c r="K42117" s="18"/>
    </row>
    <row r="42118">
      <c r="B42118" s="17" t="s">
        <v>477</v>
      </c>
      <c r="K42118" s="18"/>
    </row>
    <row r="42119">
      <c r="B42119" s="17" t="s">
        <v>477</v>
      </c>
      <c r="K42119" s="18"/>
    </row>
    <row r="42120">
      <c r="B42120" s="17" t="s">
        <v>477</v>
      </c>
      <c r="K42120" s="18"/>
    </row>
    <row r="42121">
      <c r="B42121" s="17" t="s">
        <v>477</v>
      </c>
      <c r="K42121" s="18"/>
    </row>
    <row r="42122">
      <c r="B42122" s="17" t="s">
        <v>477</v>
      </c>
      <c r="K42122" s="18"/>
    </row>
    <row r="42123">
      <c r="B42123" s="17" t="s">
        <v>477</v>
      </c>
      <c r="K42123" s="18"/>
    </row>
    <row r="42124">
      <c r="B42124" s="17" t="s">
        <v>477</v>
      </c>
      <c r="K42124" s="18"/>
    </row>
    <row r="42125">
      <c r="B42125" s="17" t="s">
        <v>477</v>
      </c>
      <c r="K42125" s="18"/>
    </row>
    <row r="42126">
      <c r="B42126" s="17" t="s">
        <v>477</v>
      </c>
      <c r="K42126" s="18"/>
    </row>
    <row r="42127">
      <c r="B42127" s="17" t="s">
        <v>477</v>
      </c>
      <c r="K42127" s="18"/>
    </row>
    <row r="42128">
      <c r="B42128" s="17" t="s">
        <v>477</v>
      </c>
      <c r="K42128" s="18"/>
    </row>
    <row r="42129">
      <c r="B42129" s="17" t="s">
        <v>477</v>
      </c>
      <c r="K42129" s="18"/>
    </row>
    <row r="42130">
      <c r="B42130" s="17" t="s">
        <v>477</v>
      </c>
      <c r="K42130" s="18"/>
    </row>
    <row r="42131">
      <c r="B42131" s="17" t="s">
        <v>477</v>
      </c>
      <c r="K42131" s="18"/>
    </row>
    <row r="42132">
      <c r="B42132" s="17" t="s">
        <v>477</v>
      </c>
      <c r="K42132" s="18"/>
    </row>
    <row r="42133">
      <c r="B42133" s="17" t="s">
        <v>477</v>
      </c>
      <c r="K42133" s="18"/>
    </row>
    <row r="42134">
      <c r="B42134" s="17" t="s">
        <v>477</v>
      </c>
      <c r="K42134" s="18"/>
    </row>
    <row r="42135">
      <c r="B42135" s="17" t="s">
        <v>477</v>
      </c>
      <c r="K42135" s="18"/>
    </row>
    <row r="42136">
      <c r="B42136" s="17" t="s">
        <v>477</v>
      </c>
      <c r="K42136" s="18"/>
    </row>
    <row r="42137">
      <c r="B42137" s="17" t="s">
        <v>477</v>
      </c>
      <c r="K42137" s="18"/>
    </row>
    <row r="42138">
      <c r="B42138" s="17" t="s">
        <v>477</v>
      </c>
      <c r="K42138" s="18"/>
    </row>
    <row r="42139">
      <c r="B42139" s="17" t="s">
        <v>477</v>
      </c>
      <c r="K42139" s="18"/>
    </row>
    <row r="42140">
      <c r="B42140" s="17" t="s">
        <v>477</v>
      </c>
      <c r="K42140" s="18"/>
    </row>
    <row r="42141">
      <c r="B42141" s="17" t="s">
        <v>477</v>
      </c>
      <c r="K42141" s="18"/>
    </row>
    <row r="42142">
      <c r="B42142" s="17" t="s">
        <v>477</v>
      </c>
      <c r="K42142" s="18"/>
    </row>
    <row r="42143">
      <c r="B42143" s="17" t="s">
        <v>477</v>
      </c>
      <c r="K42143" s="18"/>
    </row>
    <row r="42144">
      <c r="B42144" s="17" t="s">
        <v>477</v>
      </c>
      <c r="K42144" s="18"/>
    </row>
    <row r="42145">
      <c r="B42145" s="17" t="s">
        <v>477</v>
      </c>
      <c r="K42145" s="18"/>
    </row>
    <row r="42146">
      <c r="B42146" s="17" t="s">
        <v>477</v>
      </c>
      <c r="K42146" s="18"/>
    </row>
    <row r="42147">
      <c r="B42147" s="17" t="s">
        <v>477</v>
      </c>
      <c r="K42147" s="18"/>
    </row>
    <row r="42148">
      <c r="B42148" s="17" t="s">
        <v>477</v>
      </c>
      <c r="K42148" s="18"/>
    </row>
    <row r="42149">
      <c r="B42149" s="17" t="s">
        <v>477</v>
      </c>
      <c r="K42149" s="18"/>
    </row>
    <row r="42150">
      <c r="B42150" s="17" t="s">
        <v>477</v>
      </c>
      <c r="K42150" s="18"/>
    </row>
    <row r="42151">
      <c r="B42151" s="17" t="s">
        <v>477</v>
      </c>
      <c r="K42151" s="18"/>
    </row>
    <row r="42152">
      <c r="B42152" s="17" t="s">
        <v>477</v>
      </c>
      <c r="K42152" s="18"/>
    </row>
    <row r="42153">
      <c r="B42153" s="17" t="s">
        <v>477</v>
      </c>
      <c r="K42153" s="18"/>
    </row>
    <row r="42154">
      <c r="B42154" s="17" t="s">
        <v>477</v>
      </c>
      <c r="K42154" s="18"/>
    </row>
    <row r="42155">
      <c r="B42155" s="17" t="s">
        <v>477</v>
      </c>
      <c r="K42155" s="18"/>
    </row>
    <row r="42156">
      <c r="B42156" s="17" t="s">
        <v>477</v>
      </c>
      <c r="K42156" s="18"/>
    </row>
    <row r="42157">
      <c r="B42157" s="17" t="s">
        <v>477</v>
      </c>
      <c r="K42157" s="18"/>
    </row>
    <row r="42158">
      <c r="B42158" s="17" t="s">
        <v>477</v>
      </c>
      <c r="K42158" s="18"/>
    </row>
    <row r="42159">
      <c r="B42159" s="17" t="s">
        <v>477</v>
      </c>
      <c r="K42159" s="18"/>
    </row>
    <row r="42160">
      <c r="B42160" s="17" t="s">
        <v>477</v>
      </c>
      <c r="K42160" s="18"/>
    </row>
    <row r="42161">
      <c r="B42161" s="17" t="s">
        <v>477</v>
      </c>
      <c r="K42161" s="18"/>
    </row>
    <row r="42162">
      <c r="B42162" s="17" t="s">
        <v>477</v>
      </c>
      <c r="K42162" s="18"/>
    </row>
    <row r="42163">
      <c r="B42163" s="17" t="s">
        <v>477</v>
      </c>
      <c r="K42163" s="18"/>
    </row>
    <row r="42164">
      <c r="B42164" s="17" t="s">
        <v>477</v>
      </c>
      <c r="K42164" s="18"/>
    </row>
    <row r="42165">
      <c r="B42165" s="17" t="s">
        <v>477</v>
      </c>
      <c r="K42165" s="18"/>
    </row>
    <row r="42166">
      <c r="B42166" s="17" t="s">
        <v>477</v>
      </c>
      <c r="K42166" s="18"/>
    </row>
    <row r="42167">
      <c r="B42167" s="17" t="s">
        <v>477</v>
      </c>
      <c r="K42167" s="18"/>
    </row>
    <row r="42168">
      <c r="B42168" s="17" t="s">
        <v>477</v>
      </c>
      <c r="K42168" s="18"/>
    </row>
    <row r="42169">
      <c r="B42169" s="17" t="s">
        <v>477</v>
      </c>
      <c r="K42169" s="18"/>
    </row>
    <row r="42170">
      <c r="B42170" s="17" t="s">
        <v>477</v>
      </c>
      <c r="K42170" s="18"/>
    </row>
    <row r="42171">
      <c r="B42171" s="17" t="s">
        <v>477</v>
      </c>
      <c r="K42171" s="18"/>
    </row>
    <row r="42172">
      <c r="B42172" s="17" t="s">
        <v>477</v>
      </c>
      <c r="K42172" s="18"/>
    </row>
    <row r="42173">
      <c r="B42173" s="17" t="s">
        <v>477</v>
      </c>
      <c r="K42173" s="18"/>
    </row>
    <row r="42174">
      <c r="B42174" s="17" t="s">
        <v>477</v>
      </c>
      <c r="K42174" s="18"/>
    </row>
    <row r="42175">
      <c r="B42175" s="17" t="s">
        <v>477</v>
      </c>
      <c r="K42175" s="18"/>
    </row>
    <row r="42176">
      <c r="B42176" s="17" t="s">
        <v>477</v>
      </c>
      <c r="K42176" s="18"/>
    </row>
    <row r="42177">
      <c r="B42177" s="17" t="s">
        <v>477</v>
      </c>
      <c r="K42177" s="18"/>
    </row>
    <row r="42178">
      <c r="B42178" s="17" t="s">
        <v>477</v>
      </c>
      <c r="K42178" s="18"/>
    </row>
    <row r="42179">
      <c r="B42179" s="17" t="s">
        <v>477</v>
      </c>
      <c r="K42179" s="18"/>
    </row>
    <row r="42180">
      <c r="B42180" s="17" t="s">
        <v>477</v>
      </c>
      <c r="K42180" s="18"/>
    </row>
    <row r="42181">
      <c r="B42181" s="17" t="s">
        <v>477</v>
      </c>
      <c r="K42181" s="18"/>
    </row>
    <row r="42182">
      <c r="B42182" s="17" t="s">
        <v>477</v>
      </c>
      <c r="K42182" s="18"/>
    </row>
    <row r="42183">
      <c r="B42183" s="17" t="s">
        <v>477</v>
      </c>
      <c r="K42183" s="18"/>
    </row>
    <row r="42184">
      <c r="B42184" s="17" t="s">
        <v>477</v>
      </c>
      <c r="K42184" s="18"/>
    </row>
    <row r="42185">
      <c r="B42185" s="17" t="s">
        <v>477</v>
      </c>
      <c r="K42185" s="18"/>
    </row>
    <row r="42186">
      <c r="B42186" s="17" t="s">
        <v>477</v>
      </c>
      <c r="K42186" s="18"/>
    </row>
    <row r="42187">
      <c r="B42187" s="17" t="s">
        <v>477</v>
      </c>
      <c r="K42187" s="18"/>
    </row>
    <row r="42188">
      <c r="B42188" s="17" t="s">
        <v>477</v>
      </c>
      <c r="K42188" s="18"/>
    </row>
    <row r="42189">
      <c r="B42189" s="17" t="s">
        <v>477</v>
      </c>
      <c r="K42189" s="18"/>
    </row>
    <row r="42190">
      <c r="B42190" s="17" t="s">
        <v>477</v>
      </c>
      <c r="K42190" s="18"/>
    </row>
    <row r="42191">
      <c r="B42191" s="17" t="s">
        <v>477</v>
      </c>
      <c r="K42191" s="18"/>
    </row>
    <row r="42192">
      <c r="B42192" s="17" t="s">
        <v>477</v>
      </c>
      <c r="K42192" s="18"/>
    </row>
    <row r="42193">
      <c r="B42193" s="17" t="s">
        <v>477</v>
      </c>
      <c r="K42193" s="18"/>
    </row>
    <row r="42194">
      <c r="B42194" s="17" t="s">
        <v>477</v>
      </c>
      <c r="K42194" s="18"/>
    </row>
    <row r="42195">
      <c r="B42195" s="17" t="s">
        <v>477</v>
      </c>
      <c r="K42195" s="18"/>
    </row>
    <row r="42196">
      <c r="B42196" s="17" t="s">
        <v>477</v>
      </c>
      <c r="K42196" s="18"/>
    </row>
    <row r="42197">
      <c r="B42197" s="17" t="s">
        <v>477</v>
      </c>
      <c r="K42197" s="18"/>
    </row>
    <row r="42198">
      <c r="B42198" s="17" t="s">
        <v>477</v>
      </c>
      <c r="K42198" s="18"/>
    </row>
    <row r="42199">
      <c r="B42199" s="17" t="s">
        <v>477</v>
      </c>
      <c r="K42199" s="18"/>
    </row>
    <row r="42200">
      <c r="B42200" s="17" t="s">
        <v>477</v>
      </c>
      <c r="K42200" s="18"/>
    </row>
    <row r="42201">
      <c r="B42201" s="17" t="s">
        <v>477</v>
      </c>
      <c r="K42201" s="18"/>
    </row>
    <row r="42202">
      <c r="B42202" s="17" t="s">
        <v>477</v>
      </c>
      <c r="K42202" s="18"/>
    </row>
    <row r="42203">
      <c r="B42203" s="17" t="s">
        <v>477</v>
      </c>
      <c r="K42203" s="18"/>
    </row>
    <row r="42204">
      <c r="B42204" s="17" t="s">
        <v>477</v>
      </c>
      <c r="K42204" s="18"/>
    </row>
    <row r="42205">
      <c r="B42205" s="17" t="s">
        <v>477</v>
      </c>
      <c r="K42205" s="18"/>
    </row>
    <row r="42206">
      <c r="B42206" s="17" t="s">
        <v>477</v>
      </c>
      <c r="K42206" s="18"/>
    </row>
    <row r="42207">
      <c r="B42207" s="17" t="s">
        <v>477</v>
      </c>
      <c r="K42207" s="18"/>
    </row>
    <row r="42208">
      <c r="B42208" s="17" t="s">
        <v>477</v>
      </c>
      <c r="K42208" s="18"/>
    </row>
    <row r="42209">
      <c r="B42209" s="17" t="s">
        <v>477</v>
      </c>
      <c r="K42209" s="18"/>
    </row>
    <row r="42210">
      <c r="B42210" s="17" t="s">
        <v>477</v>
      </c>
      <c r="K42210" s="18"/>
    </row>
    <row r="42211">
      <c r="B42211" s="17" t="s">
        <v>477</v>
      </c>
      <c r="K42211" s="18"/>
    </row>
    <row r="42212">
      <c r="B42212" s="17" t="s">
        <v>477</v>
      </c>
      <c r="K42212" s="18"/>
    </row>
    <row r="42213">
      <c r="B42213" s="17" t="s">
        <v>477</v>
      </c>
      <c r="K42213" s="18"/>
    </row>
    <row r="42214">
      <c r="B42214" s="17" t="s">
        <v>477</v>
      </c>
      <c r="K42214" s="18"/>
    </row>
    <row r="42215">
      <c r="B42215" s="17" t="s">
        <v>477</v>
      </c>
      <c r="K42215" s="18"/>
    </row>
    <row r="42216">
      <c r="B42216" s="17" t="s">
        <v>477</v>
      </c>
      <c r="K42216" s="18"/>
    </row>
    <row r="42217">
      <c r="B42217" s="17" t="s">
        <v>477</v>
      </c>
      <c r="K42217" s="18"/>
    </row>
    <row r="42218">
      <c r="B42218" s="17" t="s">
        <v>477</v>
      </c>
      <c r="K42218" s="18"/>
    </row>
    <row r="42219">
      <c r="B42219" s="17" t="s">
        <v>477</v>
      </c>
      <c r="K42219" s="18"/>
    </row>
    <row r="42220">
      <c r="B42220" s="17" t="s">
        <v>477</v>
      </c>
      <c r="K42220" s="18"/>
    </row>
    <row r="42221">
      <c r="B42221" s="17" t="s">
        <v>477</v>
      </c>
      <c r="K42221" s="18"/>
    </row>
    <row r="42222">
      <c r="B42222" s="17" t="s">
        <v>477</v>
      </c>
      <c r="K42222" s="18"/>
    </row>
    <row r="42223">
      <c r="B42223" s="17" t="s">
        <v>477</v>
      </c>
      <c r="K42223" s="18"/>
    </row>
    <row r="42224">
      <c r="B42224" s="17" t="s">
        <v>477</v>
      </c>
      <c r="K42224" s="18"/>
    </row>
    <row r="42225">
      <c r="B42225" s="17" t="s">
        <v>477</v>
      </c>
      <c r="K42225" s="18"/>
    </row>
    <row r="42226">
      <c r="B42226" s="17" t="s">
        <v>477</v>
      </c>
      <c r="K42226" s="18"/>
    </row>
    <row r="42227">
      <c r="B42227" s="17" t="s">
        <v>477</v>
      </c>
      <c r="K42227" s="18"/>
    </row>
    <row r="42228">
      <c r="B42228" s="17" t="s">
        <v>477</v>
      </c>
      <c r="K42228" s="18"/>
    </row>
    <row r="42229">
      <c r="B42229" s="17" t="s">
        <v>477</v>
      </c>
      <c r="K42229" s="18"/>
    </row>
    <row r="42230">
      <c r="B42230" s="17" t="s">
        <v>477</v>
      </c>
      <c r="K42230" s="18"/>
    </row>
    <row r="42231">
      <c r="B42231" s="17" t="s">
        <v>477</v>
      </c>
      <c r="K42231" s="18"/>
    </row>
    <row r="42232">
      <c r="B42232" s="17" t="s">
        <v>477</v>
      </c>
      <c r="K42232" s="18"/>
    </row>
    <row r="42233">
      <c r="B42233" s="17" t="s">
        <v>477</v>
      </c>
      <c r="K42233" s="18"/>
    </row>
    <row r="42234">
      <c r="B42234" s="17" t="s">
        <v>477</v>
      </c>
      <c r="K42234" s="18"/>
    </row>
    <row r="42235">
      <c r="B42235" s="17" t="s">
        <v>477</v>
      </c>
      <c r="K42235" s="18"/>
    </row>
    <row r="42236">
      <c r="B42236" s="17" t="s">
        <v>477</v>
      </c>
      <c r="K42236" s="18"/>
    </row>
    <row r="42237">
      <c r="B42237" s="17" t="s">
        <v>477</v>
      </c>
      <c r="K42237" s="18"/>
    </row>
    <row r="42238">
      <c r="B42238" s="17" t="s">
        <v>477</v>
      </c>
      <c r="K42238" s="18"/>
    </row>
    <row r="42239">
      <c r="B42239" s="17" t="s">
        <v>477</v>
      </c>
      <c r="K42239" s="18"/>
    </row>
    <row r="42240">
      <c r="B42240" s="17" t="s">
        <v>477</v>
      </c>
      <c r="K42240" s="18"/>
    </row>
    <row r="42241">
      <c r="B42241" s="17" t="s">
        <v>477</v>
      </c>
      <c r="K42241" s="18"/>
    </row>
    <row r="42242">
      <c r="B42242" s="17" t="s">
        <v>477</v>
      </c>
      <c r="K42242" s="18"/>
    </row>
    <row r="42243">
      <c r="B42243" s="17" t="s">
        <v>477</v>
      </c>
      <c r="K42243" s="18"/>
    </row>
    <row r="42244">
      <c r="B42244" s="17" t="s">
        <v>477</v>
      </c>
      <c r="K42244" s="18"/>
    </row>
    <row r="42245">
      <c r="B42245" s="17" t="s">
        <v>477</v>
      </c>
      <c r="K42245" s="18"/>
    </row>
    <row r="42246">
      <c r="B42246" s="17" t="s">
        <v>477</v>
      </c>
      <c r="K42246" s="18"/>
    </row>
    <row r="42247">
      <c r="B42247" s="17" t="s">
        <v>477</v>
      </c>
      <c r="K42247" s="18"/>
    </row>
    <row r="42248">
      <c r="B42248" s="17" t="s">
        <v>477</v>
      </c>
      <c r="K42248" s="18"/>
    </row>
    <row r="42249">
      <c r="B42249" s="17" t="s">
        <v>477</v>
      </c>
      <c r="K42249" s="18"/>
    </row>
    <row r="42250">
      <c r="B42250" s="17" t="s">
        <v>477</v>
      </c>
      <c r="K42250" s="18"/>
    </row>
    <row r="42251">
      <c r="B42251" s="17" t="s">
        <v>477</v>
      </c>
      <c r="K42251" s="18"/>
    </row>
    <row r="42252">
      <c r="B42252" s="17" t="s">
        <v>477</v>
      </c>
      <c r="K42252" s="18"/>
    </row>
    <row r="42253">
      <c r="B42253" s="17" t="s">
        <v>477</v>
      </c>
      <c r="K42253" s="18"/>
    </row>
    <row r="42254">
      <c r="B42254" s="17" t="s">
        <v>477</v>
      </c>
      <c r="K42254" s="18"/>
    </row>
    <row r="42255">
      <c r="B42255" s="17" t="s">
        <v>477</v>
      </c>
      <c r="K42255" s="18"/>
    </row>
    <row r="42256">
      <c r="B42256" s="17" t="s">
        <v>477</v>
      </c>
      <c r="K42256" s="18"/>
    </row>
    <row r="42257">
      <c r="B42257" s="17" t="s">
        <v>477</v>
      </c>
      <c r="K42257" s="18"/>
    </row>
    <row r="42258">
      <c r="B42258" s="17" t="s">
        <v>477</v>
      </c>
      <c r="K42258" s="18"/>
    </row>
    <row r="42259">
      <c r="B42259" s="17" t="s">
        <v>477</v>
      </c>
      <c r="K42259" s="18"/>
    </row>
    <row r="42260">
      <c r="B42260" s="17" t="s">
        <v>477</v>
      </c>
      <c r="K42260" s="18"/>
    </row>
    <row r="42261">
      <c r="B42261" s="17" t="s">
        <v>477</v>
      </c>
      <c r="K42261" s="18"/>
    </row>
    <row r="42262">
      <c r="B42262" s="17" t="s">
        <v>477</v>
      </c>
      <c r="K42262" s="18"/>
    </row>
    <row r="42263">
      <c r="B42263" s="17" t="s">
        <v>477</v>
      </c>
      <c r="K42263" s="18"/>
    </row>
    <row r="42264">
      <c r="B42264" s="17" t="s">
        <v>477</v>
      </c>
      <c r="K42264" s="18"/>
    </row>
    <row r="42265">
      <c r="B42265" s="17" t="s">
        <v>477</v>
      </c>
      <c r="K42265" s="18"/>
    </row>
    <row r="42266">
      <c r="B42266" s="17" t="s">
        <v>477</v>
      </c>
      <c r="K42266" s="18"/>
    </row>
    <row r="42267">
      <c r="B42267" s="17" t="s">
        <v>477</v>
      </c>
      <c r="K42267" s="18"/>
    </row>
    <row r="42268">
      <c r="B42268" s="17" t="s">
        <v>477</v>
      </c>
      <c r="K42268" s="18"/>
    </row>
    <row r="42269">
      <c r="B42269" s="17" t="s">
        <v>477</v>
      </c>
      <c r="K42269" s="18"/>
    </row>
    <row r="42270">
      <c r="B42270" s="17" t="s">
        <v>477</v>
      </c>
      <c r="K42270" s="18"/>
    </row>
    <row r="42271">
      <c r="B42271" s="17" t="s">
        <v>477</v>
      </c>
      <c r="K42271" s="18"/>
    </row>
    <row r="42272">
      <c r="B42272" s="17" t="s">
        <v>477</v>
      </c>
      <c r="K42272" s="18"/>
    </row>
    <row r="42273">
      <c r="B42273" s="17" t="s">
        <v>477</v>
      </c>
      <c r="K42273" s="18"/>
    </row>
    <row r="42274">
      <c r="B42274" s="17" t="s">
        <v>477</v>
      </c>
      <c r="K42274" s="18"/>
    </row>
    <row r="42275">
      <c r="B42275" s="17" t="s">
        <v>477</v>
      </c>
      <c r="K42275" s="18"/>
    </row>
    <row r="42276">
      <c r="B42276" s="17" t="s">
        <v>477</v>
      </c>
      <c r="K42276" s="18"/>
    </row>
    <row r="42277">
      <c r="B42277" s="17" t="s">
        <v>477</v>
      </c>
      <c r="K42277" s="18"/>
    </row>
    <row r="42278">
      <c r="B42278" s="17" t="s">
        <v>477</v>
      </c>
      <c r="K42278" s="18"/>
    </row>
    <row r="42279">
      <c r="B42279" s="17" t="s">
        <v>477</v>
      </c>
      <c r="K42279" s="18"/>
    </row>
    <row r="42280">
      <c r="B42280" s="17" t="s">
        <v>477</v>
      </c>
      <c r="K42280" s="18"/>
    </row>
    <row r="42281">
      <c r="B42281" s="17" t="s">
        <v>477</v>
      </c>
      <c r="K42281" s="18"/>
    </row>
    <row r="42282">
      <c r="B42282" s="17" t="s">
        <v>477</v>
      </c>
      <c r="K42282" s="18"/>
    </row>
    <row r="42283">
      <c r="B42283" s="17" t="s">
        <v>477</v>
      </c>
      <c r="K42283" s="18"/>
    </row>
    <row r="42284">
      <c r="B42284" s="17" t="s">
        <v>477</v>
      </c>
      <c r="K42284" s="18"/>
    </row>
    <row r="42285">
      <c r="B42285" s="17" t="s">
        <v>477</v>
      </c>
      <c r="K42285" s="18"/>
    </row>
    <row r="42286">
      <c r="B42286" s="17" t="s">
        <v>477</v>
      </c>
      <c r="K42286" s="18"/>
    </row>
    <row r="42287">
      <c r="B42287" s="17" t="s">
        <v>477</v>
      </c>
      <c r="K42287" s="18"/>
    </row>
    <row r="42288">
      <c r="B42288" s="17" t="s">
        <v>477</v>
      </c>
      <c r="K42288" s="18"/>
    </row>
    <row r="42289">
      <c r="B42289" s="17" t="s">
        <v>477</v>
      </c>
      <c r="K42289" s="18"/>
    </row>
    <row r="42290">
      <c r="B42290" s="17" t="s">
        <v>477</v>
      </c>
      <c r="K42290" s="18"/>
    </row>
    <row r="42291">
      <c r="B42291" s="17" t="s">
        <v>477</v>
      </c>
      <c r="K42291" s="18"/>
    </row>
    <row r="42292">
      <c r="B42292" s="17" t="s">
        <v>477</v>
      </c>
      <c r="K42292" s="18"/>
    </row>
    <row r="42293">
      <c r="B42293" s="17" t="s">
        <v>477</v>
      </c>
      <c r="K42293" s="18"/>
    </row>
    <row r="42294">
      <c r="B42294" s="17" t="s">
        <v>477</v>
      </c>
      <c r="K42294" s="18"/>
    </row>
    <row r="42295">
      <c r="B42295" s="17" t="s">
        <v>477</v>
      </c>
      <c r="K42295" s="18"/>
    </row>
    <row r="42296">
      <c r="B42296" s="17" t="s">
        <v>477</v>
      </c>
      <c r="K42296" s="18"/>
    </row>
    <row r="42297">
      <c r="B42297" s="17" t="s">
        <v>477</v>
      </c>
      <c r="K42297" s="18"/>
    </row>
    <row r="42298">
      <c r="B42298" s="17" t="s">
        <v>477</v>
      </c>
      <c r="K42298" s="18"/>
    </row>
    <row r="42299">
      <c r="B42299" s="17" t="s">
        <v>477</v>
      </c>
      <c r="K42299" s="18"/>
    </row>
    <row r="42300">
      <c r="B42300" s="17" t="s">
        <v>477</v>
      </c>
      <c r="K42300" s="18"/>
    </row>
    <row r="42301">
      <c r="B42301" s="17" t="s">
        <v>477</v>
      </c>
      <c r="K42301" s="18"/>
    </row>
    <row r="42302">
      <c r="B42302" s="17" t="s">
        <v>477</v>
      </c>
      <c r="K42302" s="18"/>
    </row>
    <row r="42303">
      <c r="B42303" s="17" t="s">
        <v>477</v>
      </c>
      <c r="K42303" s="18"/>
    </row>
    <row r="42304">
      <c r="B42304" s="17" t="s">
        <v>477</v>
      </c>
      <c r="K42304" s="18"/>
    </row>
    <row r="42305">
      <c r="B42305" s="17" t="s">
        <v>477</v>
      </c>
      <c r="K42305" s="18"/>
    </row>
    <row r="42306">
      <c r="B42306" s="17" t="s">
        <v>477</v>
      </c>
      <c r="K42306" s="18"/>
    </row>
    <row r="42307">
      <c r="B42307" s="17" t="s">
        <v>477</v>
      </c>
      <c r="K42307" s="18"/>
    </row>
    <row r="42308">
      <c r="B42308" s="17" t="s">
        <v>477</v>
      </c>
      <c r="K42308" s="18"/>
    </row>
    <row r="42309">
      <c r="B42309" s="17" t="s">
        <v>477</v>
      </c>
      <c r="K42309" s="18"/>
    </row>
    <row r="42310">
      <c r="B42310" s="17" t="s">
        <v>477</v>
      </c>
      <c r="K42310" s="18"/>
    </row>
    <row r="42311">
      <c r="B42311" s="17" t="s">
        <v>477</v>
      </c>
      <c r="K42311" s="18"/>
    </row>
    <row r="42312">
      <c r="B42312" s="17" t="s">
        <v>477</v>
      </c>
      <c r="K42312" s="18"/>
    </row>
    <row r="42313">
      <c r="B42313" s="17" t="s">
        <v>477</v>
      </c>
      <c r="K42313" s="18"/>
    </row>
    <row r="42314">
      <c r="B42314" s="17" t="s">
        <v>477</v>
      </c>
      <c r="K42314" s="18"/>
    </row>
    <row r="42315">
      <c r="B42315" s="17" t="s">
        <v>477</v>
      </c>
      <c r="K42315" s="18"/>
    </row>
    <row r="42316">
      <c r="B42316" s="17" t="s">
        <v>477</v>
      </c>
      <c r="K42316" s="18"/>
    </row>
    <row r="42317">
      <c r="B42317" s="17" t="s">
        <v>477</v>
      </c>
      <c r="K42317" s="18"/>
    </row>
    <row r="42318">
      <c r="B42318" s="17" t="s">
        <v>477</v>
      </c>
      <c r="K42318" s="18"/>
    </row>
    <row r="42319">
      <c r="B42319" s="17" t="s">
        <v>477</v>
      </c>
      <c r="K42319" s="18"/>
    </row>
    <row r="42320">
      <c r="B42320" s="17" t="s">
        <v>477</v>
      </c>
      <c r="K42320" s="18"/>
    </row>
    <row r="42321">
      <c r="B42321" s="17" t="s">
        <v>477</v>
      </c>
      <c r="K42321" s="18"/>
    </row>
    <row r="42322">
      <c r="B42322" s="17" t="s">
        <v>477</v>
      </c>
      <c r="K42322" s="18"/>
    </row>
    <row r="42323">
      <c r="B42323" s="17" t="s">
        <v>477</v>
      </c>
      <c r="K42323" s="18"/>
    </row>
    <row r="42324">
      <c r="B42324" s="17" t="s">
        <v>477</v>
      </c>
      <c r="K42324" s="18"/>
    </row>
    <row r="42325">
      <c r="B42325" s="17" t="s">
        <v>477</v>
      </c>
      <c r="K42325" s="18"/>
    </row>
    <row r="42326">
      <c r="B42326" s="17" t="s">
        <v>477</v>
      </c>
      <c r="K42326" s="18"/>
    </row>
    <row r="42327">
      <c r="B42327" s="17" t="s">
        <v>477</v>
      </c>
      <c r="K42327" s="18"/>
    </row>
    <row r="42328">
      <c r="B42328" s="17" t="s">
        <v>477</v>
      </c>
      <c r="K42328" s="18"/>
    </row>
    <row r="42329">
      <c r="B42329" s="17" t="s">
        <v>477</v>
      </c>
      <c r="K42329" s="18"/>
    </row>
    <row r="42330">
      <c r="B42330" s="17" t="s">
        <v>477</v>
      </c>
      <c r="K42330" s="18"/>
    </row>
    <row r="42331">
      <c r="B42331" s="17" t="s">
        <v>477</v>
      </c>
      <c r="K42331" s="18"/>
    </row>
    <row r="42332">
      <c r="B42332" s="17" t="s">
        <v>477</v>
      </c>
      <c r="K42332" s="18"/>
    </row>
    <row r="42333">
      <c r="B42333" s="17" t="s">
        <v>477</v>
      </c>
      <c r="K42333" s="18"/>
    </row>
    <row r="42334">
      <c r="B42334" s="17" t="s">
        <v>477</v>
      </c>
      <c r="K42334" s="18"/>
    </row>
    <row r="42335">
      <c r="B42335" s="17" t="s">
        <v>477</v>
      </c>
      <c r="K42335" s="18"/>
    </row>
    <row r="42336">
      <c r="B42336" s="17" t="s">
        <v>477</v>
      </c>
      <c r="K42336" s="18"/>
    </row>
    <row r="42337">
      <c r="B42337" s="17" t="s">
        <v>477</v>
      </c>
      <c r="K42337" s="18"/>
    </row>
    <row r="42338">
      <c r="B42338" s="17" t="s">
        <v>477</v>
      </c>
      <c r="K42338" s="18"/>
    </row>
    <row r="42339">
      <c r="B42339" s="17" t="s">
        <v>477</v>
      </c>
      <c r="K42339" s="18"/>
    </row>
    <row r="42340">
      <c r="B42340" s="17" t="s">
        <v>477</v>
      </c>
      <c r="K42340" s="18"/>
    </row>
    <row r="42341">
      <c r="B42341" s="17" t="s">
        <v>477</v>
      </c>
      <c r="K42341" s="18"/>
    </row>
    <row r="42342">
      <c r="B42342" s="17" t="s">
        <v>477</v>
      </c>
      <c r="K42342" s="18"/>
    </row>
    <row r="42343">
      <c r="B42343" s="17" t="s">
        <v>477</v>
      </c>
      <c r="K42343" s="18"/>
    </row>
    <row r="42344">
      <c r="B42344" s="17" t="s">
        <v>477</v>
      </c>
      <c r="K42344" s="18"/>
    </row>
    <row r="42345">
      <c r="B42345" s="17" t="s">
        <v>477</v>
      </c>
      <c r="K42345" s="18"/>
    </row>
    <row r="42346">
      <c r="B42346" s="17" t="s">
        <v>477</v>
      </c>
      <c r="K42346" s="18"/>
    </row>
    <row r="42347">
      <c r="B42347" s="17" t="s">
        <v>477</v>
      </c>
      <c r="K42347" s="18"/>
    </row>
    <row r="42348">
      <c r="B42348" s="17" t="s">
        <v>477</v>
      </c>
      <c r="K42348" s="18"/>
    </row>
    <row r="42349">
      <c r="B42349" s="17" t="s">
        <v>477</v>
      </c>
      <c r="K42349" s="18"/>
    </row>
    <row r="42350">
      <c r="B42350" s="17" t="s">
        <v>477</v>
      </c>
      <c r="K42350" s="18"/>
    </row>
    <row r="42351">
      <c r="B42351" s="17" t="s">
        <v>477</v>
      </c>
      <c r="K42351" s="18"/>
    </row>
    <row r="42352">
      <c r="B42352" s="17" t="s">
        <v>477</v>
      </c>
      <c r="K42352" s="18"/>
    </row>
    <row r="42353">
      <c r="B42353" s="17" t="s">
        <v>477</v>
      </c>
      <c r="K42353" s="18"/>
    </row>
    <row r="42354">
      <c r="B42354" s="17" t="s">
        <v>477</v>
      </c>
      <c r="K42354" s="18"/>
    </row>
    <row r="42355">
      <c r="B42355" s="17" t="s">
        <v>477</v>
      </c>
      <c r="K42355" s="18"/>
    </row>
    <row r="42356">
      <c r="B42356" s="17" t="s">
        <v>477</v>
      </c>
      <c r="K42356" s="18"/>
    </row>
    <row r="42357">
      <c r="B42357" s="17" t="s">
        <v>477</v>
      </c>
      <c r="K42357" s="18"/>
    </row>
    <row r="42358">
      <c r="B42358" s="17" t="s">
        <v>477</v>
      </c>
      <c r="K42358" s="18"/>
    </row>
    <row r="42359">
      <c r="B42359" s="17" t="s">
        <v>477</v>
      </c>
      <c r="K42359" s="18"/>
    </row>
    <row r="42360">
      <c r="B42360" s="17" t="s">
        <v>477</v>
      </c>
      <c r="K42360" s="18"/>
    </row>
    <row r="42361">
      <c r="B42361" s="17" t="s">
        <v>477</v>
      </c>
      <c r="K42361" s="18"/>
    </row>
    <row r="42362">
      <c r="B42362" s="17" t="s">
        <v>477</v>
      </c>
      <c r="K42362" s="18"/>
    </row>
    <row r="42363">
      <c r="B42363" s="17" t="s">
        <v>477</v>
      </c>
      <c r="K42363" s="18"/>
    </row>
    <row r="42364">
      <c r="B42364" s="17" t="s">
        <v>477</v>
      </c>
      <c r="K42364" s="18"/>
    </row>
    <row r="42365">
      <c r="B42365" s="17" t="s">
        <v>477</v>
      </c>
      <c r="K42365" s="18"/>
    </row>
    <row r="42366">
      <c r="B42366" s="17" t="s">
        <v>477</v>
      </c>
      <c r="K42366" s="18"/>
    </row>
    <row r="42367">
      <c r="B42367" s="17" t="s">
        <v>477</v>
      </c>
      <c r="K42367" s="18"/>
    </row>
    <row r="42368">
      <c r="B42368" s="17" t="s">
        <v>477</v>
      </c>
      <c r="K42368" s="18"/>
    </row>
    <row r="42369">
      <c r="B42369" s="17" t="s">
        <v>477</v>
      </c>
      <c r="K42369" s="18"/>
    </row>
    <row r="42370">
      <c r="B42370" s="17" t="s">
        <v>477</v>
      </c>
      <c r="K42370" s="18"/>
    </row>
    <row r="42371">
      <c r="B42371" s="17" t="s">
        <v>477</v>
      </c>
      <c r="K42371" s="18"/>
    </row>
    <row r="42372">
      <c r="B42372" s="17" t="s">
        <v>477</v>
      </c>
      <c r="K42372" s="18"/>
    </row>
    <row r="42373">
      <c r="B42373" s="17" t="s">
        <v>477</v>
      </c>
      <c r="K42373" s="18"/>
    </row>
    <row r="42374">
      <c r="B42374" s="17" t="s">
        <v>477</v>
      </c>
      <c r="K42374" s="18"/>
    </row>
    <row r="42375">
      <c r="B42375" s="17" t="s">
        <v>477</v>
      </c>
      <c r="K42375" s="18"/>
    </row>
    <row r="42376">
      <c r="B42376" s="17" t="s">
        <v>477</v>
      </c>
      <c r="K42376" s="18"/>
    </row>
    <row r="42377">
      <c r="B42377" s="17" t="s">
        <v>477</v>
      </c>
      <c r="K42377" s="18"/>
    </row>
    <row r="42378">
      <c r="B42378" s="17" t="s">
        <v>477</v>
      </c>
      <c r="K42378" s="18"/>
    </row>
    <row r="42379">
      <c r="B42379" s="17" t="s">
        <v>477</v>
      </c>
      <c r="K42379" s="18"/>
    </row>
    <row r="42380">
      <c r="B42380" s="17" t="s">
        <v>477</v>
      </c>
      <c r="K42380" s="18"/>
    </row>
    <row r="42381">
      <c r="B42381" s="17" t="s">
        <v>477</v>
      </c>
      <c r="K42381" s="18"/>
    </row>
    <row r="42382">
      <c r="B42382" s="17" t="s">
        <v>477</v>
      </c>
      <c r="K42382" s="18"/>
    </row>
    <row r="42383">
      <c r="B42383" s="17" t="s">
        <v>477</v>
      </c>
      <c r="K42383" s="18"/>
    </row>
    <row r="42384">
      <c r="B42384" s="17" t="s">
        <v>477</v>
      </c>
      <c r="K42384" s="18"/>
    </row>
    <row r="42385">
      <c r="B42385" s="17" t="s">
        <v>477</v>
      </c>
      <c r="K42385" s="18"/>
    </row>
    <row r="42386">
      <c r="B42386" s="17" t="s">
        <v>477</v>
      </c>
      <c r="K42386" s="18"/>
    </row>
    <row r="42387">
      <c r="B42387" s="17" t="s">
        <v>477</v>
      </c>
      <c r="K42387" s="18"/>
    </row>
    <row r="42388">
      <c r="B42388" s="17" t="s">
        <v>477</v>
      </c>
      <c r="K42388" s="18"/>
    </row>
    <row r="42389">
      <c r="B42389" s="17" t="s">
        <v>477</v>
      </c>
      <c r="K42389" s="18"/>
    </row>
    <row r="42390">
      <c r="B42390" s="17" t="s">
        <v>477</v>
      </c>
      <c r="K42390" s="18"/>
    </row>
    <row r="42391">
      <c r="B42391" s="17" t="s">
        <v>477</v>
      </c>
      <c r="K42391" s="18"/>
    </row>
    <row r="42392">
      <c r="B42392" s="17" t="s">
        <v>477</v>
      </c>
      <c r="K42392" s="18"/>
    </row>
    <row r="42393">
      <c r="B42393" s="17" t="s">
        <v>477</v>
      </c>
      <c r="K42393" s="18"/>
    </row>
    <row r="42394">
      <c r="B42394" s="17" t="s">
        <v>477</v>
      </c>
      <c r="K42394" s="18"/>
    </row>
    <row r="42395">
      <c r="B42395" s="17" t="s">
        <v>477</v>
      </c>
      <c r="K42395" s="18"/>
    </row>
    <row r="42396">
      <c r="B42396" s="17" t="s">
        <v>477</v>
      </c>
      <c r="K42396" s="18"/>
    </row>
    <row r="42397">
      <c r="B42397" s="17" t="s">
        <v>477</v>
      </c>
      <c r="K42397" s="18"/>
    </row>
    <row r="42398">
      <c r="B42398" s="17" t="s">
        <v>477</v>
      </c>
      <c r="K42398" s="18"/>
    </row>
    <row r="42399">
      <c r="B42399" s="17" t="s">
        <v>477</v>
      </c>
      <c r="K42399" s="18"/>
    </row>
    <row r="42400">
      <c r="B42400" s="17" t="s">
        <v>477</v>
      </c>
      <c r="K42400" s="18"/>
    </row>
    <row r="42401">
      <c r="B42401" s="17" t="s">
        <v>477</v>
      </c>
      <c r="K42401" s="18"/>
    </row>
    <row r="42402">
      <c r="B42402" s="17" t="s">
        <v>477</v>
      </c>
      <c r="K42402" s="18"/>
    </row>
    <row r="42403">
      <c r="B42403" s="17" t="s">
        <v>477</v>
      </c>
      <c r="K42403" s="18"/>
    </row>
    <row r="42404">
      <c r="B42404" s="17" t="s">
        <v>477</v>
      </c>
      <c r="K42404" s="18"/>
    </row>
    <row r="42405">
      <c r="B42405" s="17" t="s">
        <v>477</v>
      </c>
      <c r="K42405" s="18"/>
    </row>
    <row r="42406">
      <c r="B42406" s="17" t="s">
        <v>477</v>
      </c>
      <c r="K42406" s="18"/>
    </row>
    <row r="42407">
      <c r="B42407" s="17" t="s">
        <v>477</v>
      </c>
      <c r="K42407" s="18"/>
    </row>
    <row r="42408">
      <c r="B42408" s="17" t="s">
        <v>477</v>
      </c>
      <c r="K42408" s="18"/>
    </row>
    <row r="42409">
      <c r="B42409" s="17" t="s">
        <v>477</v>
      </c>
      <c r="K42409" s="18"/>
    </row>
    <row r="42410">
      <c r="B42410" s="17" t="s">
        <v>477</v>
      </c>
      <c r="K42410" s="18"/>
    </row>
    <row r="42411">
      <c r="B42411" s="17" t="s">
        <v>477</v>
      </c>
      <c r="K42411" s="18"/>
    </row>
    <row r="42412">
      <c r="B42412" s="17" t="s">
        <v>477</v>
      </c>
      <c r="K42412" s="18"/>
    </row>
    <row r="42413">
      <c r="B42413" s="17" t="s">
        <v>477</v>
      </c>
      <c r="K42413" s="18"/>
    </row>
    <row r="42414">
      <c r="B42414" s="17" t="s">
        <v>477</v>
      </c>
      <c r="K42414" s="18"/>
    </row>
    <row r="42415">
      <c r="B42415" s="17" t="s">
        <v>477</v>
      </c>
      <c r="K42415" s="18"/>
    </row>
    <row r="42416">
      <c r="B42416" s="17" t="s">
        <v>477</v>
      </c>
      <c r="K42416" s="18"/>
    </row>
    <row r="42417">
      <c r="B42417" s="17" t="s">
        <v>477</v>
      </c>
      <c r="K42417" s="18"/>
    </row>
    <row r="42418">
      <c r="B42418" s="17" t="s">
        <v>477</v>
      </c>
      <c r="K42418" s="18"/>
    </row>
    <row r="42419">
      <c r="B42419" s="17" t="s">
        <v>477</v>
      </c>
      <c r="K42419" s="18"/>
    </row>
    <row r="42420">
      <c r="B42420" s="17" t="s">
        <v>477</v>
      </c>
      <c r="K42420" s="18"/>
    </row>
    <row r="42421">
      <c r="B42421" s="17" t="s">
        <v>477</v>
      </c>
      <c r="K42421" s="18"/>
    </row>
    <row r="42422">
      <c r="B42422" s="17" t="s">
        <v>477</v>
      </c>
      <c r="K42422" s="18"/>
    </row>
    <row r="42423">
      <c r="B42423" s="17" t="s">
        <v>477</v>
      </c>
      <c r="K42423" s="18"/>
    </row>
    <row r="42424">
      <c r="B42424" s="17" t="s">
        <v>477</v>
      </c>
      <c r="K42424" s="18"/>
    </row>
    <row r="42425">
      <c r="B42425" s="17" t="s">
        <v>477</v>
      </c>
      <c r="K42425" s="18"/>
    </row>
    <row r="42426">
      <c r="B42426" s="17" t="s">
        <v>477</v>
      </c>
      <c r="K42426" s="18"/>
    </row>
    <row r="42427">
      <c r="B42427" s="17" t="s">
        <v>477</v>
      </c>
      <c r="K42427" s="18"/>
    </row>
    <row r="42428">
      <c r="B42428" s="17" t="s">
        <v>477</v>
      </c>
      <c r="K42428" s="18"/>
    </row>
    <row r="42429">
      <c r="B42429" s="17" t="s">
        <v>477</v>
      </c>
      <c r="K42429" s="18"/>
    </row>
    <row r="42430">
      <c r="B42430" s="17" t="s">
        <v>477</v>
      </c>
      <c r="K42430" s="18"/>
    </row>
    <row r="42431">
      <c r="B42431" s="17" t="s">
        <v>477</v>
      </c>
      <c r="K42431" s="18"/>
    </row>
    <row r="42432">
      <c r="B42432" s="17" t="s">
        <v>477</v>
      </c>
      <c r="K42432" s="18"/>
    </row>
    <row r="42433">
      <c r="B42433" s="17" t="s">
        <v>477</v>
      </c>
      <c r="K42433" s="18"/>
    </row>
    <row r="42434">
      <c r="B42434" s="17" t="s">
        <v>477</v>
      </c>
      <c r="K42434" s="18"/>
    </row>
    <row r="42435">
      <c r="B42435" s="17" t="s">
        <v>477</v>
      </c>
      <c r="K42435" s="18"/>
    </row>
    <row r="42436">
      <c r="B42436" s="17" t="s">
        <v>477</v>
      </c>
      <c r="K42436" s="18"/>
    </row>
    <row r="42437">
      <c r="B42437" s="17" t="s">
        <v>477</v>
      </c>
      <c r="K42437" s="18"/>
    </row>
    <row r="42438">
      <c r="B42438" s="17" t="s">
        <v>477</v>
      </c>
      <c r="K42438" s="18"/>
    </row>
    <row r="42439">
      <c r="B42439" s="17" t="s">
        <v>477</v>
      </c>
      <c r="K42439" s="18"/>
    </row>
    <row r="42440">
      <c r="B42440" s="17" t="s">
        <v>477</v>
      </c>
      <c r="K42440" s="18"/>
    </row>
    <row r="42441">
      <c r="B42441" s="17" t="s">
        <v>477</v>
      </c>
      <c r="K42441" s="18"/>
    </row>
    <row r="42442">
      <c r="B42442" s="17" t="s">
        <v>477</v>
      </c>
      <c r="K42442" s="18"/>
    </row>
    <row r="42443">
      <c r="B42443" s="17" t="s">
        <v>477</v>
      </c>
      <c r="K42443" s="18"/>
    </row>
    <row r="42444">
      <c r="B42444" s="17" t="s">
        <v>477</v>
      </c>
      <c r="K42444" s="18"/>
    </row>
    <row r="42445">
      <c r="B42445" s="17" t="s">
        <v>477</v>
      </c>
      <c r="K42445" s="18"/>
    </row>
    <row r="42446">
      <c r="B42446" s="17" t="s">
        <v>477</v>
      </c>
      <c r="K42446" s="18"/>
    </row>
    <row r="42447">
      <c r="B42447" s="17" t="s">
        <v>477</v>
      </c>
      <c r="K42447" s="18"/>
    </row>
    <row r="42448">
      <c r="B42448" s="17" t="s">
        <v>477</v>
      </c>
      <c r="K42448" s="18"/>
    </row>
    <row r="42449">
      <c r="B42449" s="17" t="s">
        <v>477</v>
      </c>
      <c r="K42449" s="18"/>
    </row>
    <row r="42450">
      <c r="B42450" s="17" t="s">
        <v>477</v>
      </c>
      <c r="K42450" s="18"/>
    </row>
    <row r="42451">
      <c r="B42451" s="17" t="s">
        <v>477</v>
      </c>
      <c r="K42451" s="18"/>
    </row>
    <row r="42452">
      <c r="B42452" s="17" t="s">
        <v>477</v>
      </c>
      <c r="K42452" s="18"/>
    </row>
    <row r="42453">
      <c r="B42453" s="17" t="s">
        <v>477</v>
      </c>
      <c r="K42453" s="18"/>
    </row>
    <row r="42454">
      <c r="B42454" s="17" t="s">
        <v>477</v>
      </c>
      <c r="K42454" s="18"/>
    </row>
    <row r="42455">
      <c r="B42455" s="17" t="s">
        <v>477</v>
      </c>
      <c r="K42455" s="18"/>
    </row>
    <row r="42456">
      <c r="B42456" s="17" t="s">
        <v>477</v>
      </c>
      <c r="K42456" s="18"/>
    </row>
    <row r="42457">
      <c r="B42457" s="17" t="s">
        <v>477</v>
      </c>
      <c r="K42457" s="18"/>
    </row>
    <row r="42458">
      <c r="B42458" s="17" t="s">
        <v>477</v>
      </c>
      <c r="K42458" s="18"/>
    </row>
    <row r="42459">
      <c r="B42459" s="17" t="s">
        <v>477</v>
      </c>
      <c r="K42459" s="18"/>
    </row>
    <row r="42460">
      <c r="B42460" s="17" t="s">
        <v>477</v>
      </c>
      <c r="K42460" s="18"/>
    </row>
    <row r="42461">
      <c r="B42461" s="17" t="s">
        <v>477</v>
      </c>
      <c r="K42461" s="18"/>
    </row>
    <row r="42462">
      <c r="B42462" s="17" t="s">
        <v>477</v>
      </c>
      <c r="K42462" s="18"/>
    </row>
    <row r="42463">
      <c r="B42463" s="17" t="s">
        <v>477</v>
      </c>
      <c r="K42463" s="18"/>
    </row>
    <row r="42464">
      <c r="B42464" s="17" t="s">
        <v>477</v>
      </c>
      <c r="K42464" s="18"/>
    </row>
    <row r="42465">
      <c r="B42465" s="17" t="s">
        <v>477</v>
      </c>
      <c r="K42465" s="18"/>
    </row>
    <row r="42466">
      <c r="B42466" s="17" t="s">
        <v>477</v>
      </c>
      <c r="K42466" s="18"/>
    </row>
    <row r="42467">
      <c r="B42467" s="17" t="s">
        <v>477</v>
      </c>
      <c r="K42467" s="18"/>
    </row>
    <row r="42468">
      <c r="B42468" s="17" t="s">
        <v>477</v>
      </c>
      <c r="K42468" s="18"/>
    </row>
    <row r="42469">
      <c r="B42469" s="17" t="s">
        <v>477</v>
      </c>
      <c r="K42469" s="18"/>
    </row>
    <row r="42470">
      <c r="B42470" s="17" t="s">
        <v>477</v>
      </c>
      <c r="K42470" s="18"/>
    </row>
    <row r="42471">
      <c r="B42471" s="17" t="s">
        <v>477</v>
      </c>
      <c r="K42471" s="18"/>
    </row>
    <row r="42472">
      <c r="B42472" s="17" t="s">
        <v>477</v>
      </c>
      <c r="K42472" s="18"/>
    </row>
    <row r="42473">
      <c r="B42473" s="17" t="s">
        <v>477</v>
      </c>
      <c r="K42473" s="18"/>
    </row>
    <row r="42474">
      <c r="B42474" s="17" t="s">
        <v>477</v>
      </c>
      <c r="K42474" s="18"/>
    </row>
    <row r="42475">
      <c r="B42475" s="17" t="s">
        <v>477</v>
      </c>
      <c r="K42475" s="18"/>
    </row>
    <row r="42476">
      <c r="B42476" s="17" t="s">
        <v>477</v>
      </c>
      <c r="K42476" s="18"/>
    </row>
    <row r="42477">
      <c r="B42477" s="17" t="s">
        <v>477</v>
      </c>
      <c r="K42477" s="18"/>
    </row>
    <row r="42478">
      <c r="B42478" s="17" t="s">
        <v>477</v>
      </c>
      <c r="K42478" s="18"/>
    </row>
    <row r="42479">
      <c r="B42479" s="17" t="s">
        <v>477</v>
      </c>
      <c r="K42479" s="18"/>
    </row>
    <row r="42480">
      <c r="B42480" s="17" t="s">
        <v>477</v>
      </c>
      <c r="K42480" s="18"/>
    </row>
    <row r="42481">
      <c r="B42481" s="17" t="s">
        <v>477</v>
      </c>
      <c r="K42481" s="18"/>
    </row>
    <row r="42482">
      <c r="B42482" s="17" t="s">
        <v>477</v>
      </c>
      <c r="K42482" s="18"/>
    </row>
    <row r="42483">
      <c r="B42483" s="17" t="s">
        <v>477</v>
      </c>
      <c r="K42483" s="18"/>
    </row>
    <row r="42484">
      <c r="B42484" s="17" t="s">
        <v>477</v>
      </c>
      <c r="K42484" s="18"/>
    </row>
    <row r="42485">
      <c r="B42485" s="17" t="s">
        <v>477</v>
      </c>
      <c r="K42485" s="18"/>
    </row>
    <row r="42486">
      <c r="B42486" s="17" t="s">
        <v>477</v>
      </c>
      <c r="K42486" s="18"/>
    </row>
    <row r="42487">
      <c r="B42487" s="17" t="s">
        <v>477</v>
      </c>
      <c r="K42487" s="18"/>
    </row>
    <row r="42488">
      <c r="B42488" s="17" t="s">
        <v>477</v>
      </c>
      <c r="K42488" s="18"/>
    </row>
    <row r="42489">
      <c r="B42489" s="17" t="s">
        <v>477</v>
      </c>
      <c r="K42489" s="18"/>
    </row>
    <row r="42490">
      <c r="B42490" s="17" t="s">
        <v>477</v>
      </c>
      <c r="K42490" s="18"/>
    </row>
    <row r="42491">
      <c r="B42491" s="17" t="s">
        <v>477</v>
      </c>
      <c r="K42491" s="18"/>
    </row>
    <row r="42492">
      <c r="B42492" s="17" t="s">
        <v>477</v>
      </c>
      <c r="K42492" s="18"/>
    </row>
    <row r="42493">
      <c r="B42493" s="17" t="s">
        <v>477</v>
      </c>
      <c r="K42493" s="18"/>
    </row>
    <row r="42494">
      <c r="B42494" s="17" t="s">
        <v>477</v>
      </c>
      <c r="K42494" s="18"/>
    </row>
    <row r="42495">
      <c r="B42495" s="17" t="s">
        <v>477</v>
      </c>
      <c r="K42495" s="18"/>
    </row>
    <row r="42496">
      <c r="B42496" s="17" t="s">
        <v>477</v>
      </c>
      <c r="K42496" s="18"/>
    </row>
    <row r="42497">
      <c r="B42497" s="17" t="s">
        <v>477</v>
      </c>
      <c r="K42497" s="18"/>
    </row>
    <row r="42498">
      <c r="B42498" s="17" t="s">
        <v>477</v>
      </c>
      <c r="K42498" s="18"/>
    </row>
    <row r="42499">
      <c r="B42499" s="17" t="s">
        <v>477</v>
      </c>
      <c r="K42499" s="18"/>
    </row>
    <row r="42500">
      <c r="B42500" s="17" t="s">
        <v>477</v>
      </c>
      <c r="K42500" s="18"/>
    </row>
    <row r="42501">
      <c r="B42501" s="17" t="s">
        <v>477</v>
      </c>
      <c r="K42501" s="18"/>
    </row>
    <row r="42502">
      <c r="B42502" s="17" t="s">
        <v>477</v>
      </c>
      <c r="K42502" s="18"/>
    </row>
    <row r="42503">
      <c r="B42503" s="17" t="s">
        <v>477</v>
      </c>
      <c r="K42503" s="18"/>
    </row>
    <row r="42504">
      <c r="B42504" s="17" t="s">
        <v>477</v>
      </c>
      <c r="K42504" s="18"/>
    </row>
    <row r="42505">
      <c r="B42505" s="17" t="s">
        <v>477</v>
      </c>
      <c r="K42505" s="18"/>
    </row>
    <row r="42506">
      <c r="B42506" s="17" t="s">
        <v>477</v>
      </c>
      <c r="K42506" s="18"/>
    </row>
    <row r="42507">
      <c r="B42507" s="17" t="s">
        <v>477</v>
      </c>
      <c r="K42507" s="18"/>
    </row>
    <row r="42508">
      <c r="B42508" s="17" t="s">
        <v>477</v>
      </c>
      <c r="K42508" s="18"/>
    </row>
    <row r="42509">
      <c r="B42509" s="17" t="s">
        <v>477</v>
      </c>
      <c r="K42509" s="18"/>
    </row>
    <row r="42510">
      <c r="B42510" s="17" t="s">
        <v>477</v>
      </c>
      <c r="K42510" s="18"/>
    </row>
    <row r="42511">
      <c r="B42511" s="17" t="s">
        <v>477</v>
      </c>
      <c r="K42511" s="18"/>
    </row>
    <row r="42512">
      <c r="B42512" s="17" t="s">
        <v>477</v>
      </c>
      <c r="K42512" s="18"/>
    </row>
    <row r="42513">
      <c r="B42513" s="17" t="s">
        <v>477</v>
      </c>
      <c r="K42513" s="18"/>
    </row>
    <row r="42514">
      <c r="B42514" s="17" t="s">
        <v>477</v>
      </c>
      <c r="K42514" s="18"/>
    </row>
    <row r="42515">
      <c r="B42515" s="17" t="s">
        <v>477</v>
      </c>
      <c r="K42515" s="18"/>
    </row>
    <row r="42516">
      <c r="B42516" s="17" t="s">
        <v>477</v>
      </c>
      <c r="K42516" s="18"/>
    </row>
    <row r="42517">
      <c r="B42517" s="17" t="s">
        <v>477</v>
      </c>
      <c r="K42517" s="18"/>
    </row>
    <row r="42518">
      <c r="B42518" s="17" t="s">
        <v>477</v>
      </c>
      <c r="K42518" s="18"/>
    </row>
    <row r="42519">
      <c r="B42519" s="17" t="s">
        <v>477</v>
      </c>
      <c r="K42519" s="18"/>
    </row>
    <row r="42520">
      <c r="B42520" s="17" t="s">
        <v>477</v>
      </c>
      <c r="K42520" s="18"/>
    </row>
    <row r="42521">
      <c r="B42521" s="17" t="s">
        <v>477</v>
      </c>
      <c r="K42521" s="18"/>
    </row>
    <row r="42522">
      <c r="B42522" s="17" t="s">
        <v>477</v>
      </c>
      <c r="K42522" s="18"/>
    </row>
    <row r="42523">
      <c r="B42523" s="17" t="s">
        <v>477</v>
      </c>
      <c r="K42523" s="18"/>
    </row>
    <row r="42524">
      <c r="B42524" s="17" t="s">
        <v>477</v>
      </c>
      <c r="K42524" s="18"/>
    </row>
    <row r="42525">
      <c r="B42525" s="17" t="s">
        <v>477</v>
      </c>
      <c r="K42525" s="18"/>
    </row>
    <row r="42526">
      <c r="B42526" s="17" t="s">
        <v>477</v>
      </c>
      <c r="K42526" s="18"/>
    </row>
    <row r="42527">
      <c r="B42527" s="17" t="s">
        <v>477</v>
      </c>
      <c r="K42527" s="18"/>
    </row>
    <row r="42528">
      <c r="B42528" s="17" t="s">
        <v>477</v>
      </c>
      <c r="K42528" s="18"/>
    </row>
    <row r="42529">
      <c r="B42529" s="17" t="s">
        <v>477</v>
      </c>
      <c r="K42529" s="18"/>
    </row>
    <row r="42530">
      <c r="B42530" s="17" t="s">
        <v>477</v>
      </c>
      <c r="K42530" s="18"/>
    </row>
    <row r="42531">
      <c r="B42531" s="17" t="s">
        <v>477</v>
      </c>
      <c r="K42531" s="18"/>
    </row>
    <row r="42532">
      <c r="B42532" s="17" t="s">
        <v>477</v>
      </c>
      <c r="K42532" s="18"/>
    </row>
    <row r="42533">
      <c r="B42533" s="17" t="s">
        <v>477</v>
      </c>
      <c r="K42533" s="18"/>
    </row>
    <row r="42534">
      <c r="B42534" s="17" t="s">
        <v>477</v>
      </c>
      <c r="K42534" s="18"/>
    </row>
    <row r="42535">
      <c r="B42535" s="17" t="s">
        <v>477</v>
      </c>
      <c r="K42535" s="18"/>
    </row>
    <row r="42536">
      <c r="B42536" s="17" t="s">
        <v>477</v>
      </c>
      <c r="K42536" s="18"/>
    </row>
    <row r="42537">
      <c r="B42537" s="17" t="s">
        <v>477</v>
      </c>
      <c r="K42537" s="18"/>
    </row>
    <row r="42538">
      <c r="B42538" s="17" t="s">
        <v>477</v>
      </c>
      <c r="K42538" s="18"/>
    </row>
    <row r="42539">
      <c r="B42539" s="17" t="s">
        <v>477</v>
      </c>
      <c r="K42539" s="18"/>
    </row>
    <row r="42540">
      <c r="B42540" s="17" t="s">
        <v>477</v>
      </c>
      <c r="K42540" s="18"/>
    </row>
    <row r="42541">
      <c r="B42541" s="17" t="s">
        <v>477</v>
      </c>
      <c r="K42541" s="18"/>
    </row>
    <row r="42542">
      <c r="B42542" s="17" t="s">
        <v>477</v>
      </c>
      <c r="K42542" s="18"/>
    </row>
    <row r="42543">
      <c r="B42543" s="17" t="s">
        <v>477</v>
      </c>
      <c r="K42543" s="18"/>
    </row>
    <row r="42544">
      <c r="B42544" s="17" t="s">
        <v>477</v>
      </c>
      <c r="K42544" s="18"/>
    </row>
    <row r="42545">
      <c r="B42545" s="17" t="s">
        <v>477</v>
      </c>
      <c r="K42545" s="18"/>
    </row>
    <row r="42546">
      <c r="B42546" s="17" t="s">
        <v>477</v>
      </c>
      <c r="K42546" s="18"/>
    </row>
    <row r="42547">
      <c r="B42547" s="17" t="s">
        <v>477</v>
      </c>
      <c r="K42547" s="18"/>
    </row>
    <row r="42548">
      <c r="B42548" s="17" t="s">
        <v>477</v>
      </c>
      <c r="K42548" s="18"/>
    </row>
    <row r="42549">
      <c r="B42549" s="17" t="s">
        <v>477</v>
      </c>
      <c r="K42549" s="18"/>
    </row>
    <row r="42550">
      <c r="B42550" s="17" t="s">
        <v>477</v>
      </c>
      <c r="K42550" s="18"/>
    </row>
    <row r="42551">
      <c r="B42551" s="17" t="s">
        <v>477</v>
      </c>
      <c r="K42551" s="18"/>
    </row>
    <row r="42552">
      <c r="B42552" s="17" t="s">
        <v>477</v>
      </c>
      <c r="K42552" s="18"/>
    </row>
    <row r="42553">
      <c r="B42553" s="17" t="s">
        <v>477</v>
      </c>
      <c r="K42553" s="18"/>
    </row>
    <row r="42554">
      <c r="B42554" s="17" t="s">
        <v>477</v>
      </c>
      <c r="K42554" s="18"/>
    </row>
    <row r="42555">
      <c r="B42555" s="17" t="s">
        <v>477</v>
      </c>
      <c r="K42555" s="18"/>
    </row>
    <row r="42556">
      <c r="B42556" s="17" t="s">
        <v>477</v>
      </c>
      <c r="K42556" s="18"/>
    </row>
    <row r="42557">
      <c r="B42557" s="17" t="s">
        <v>477</v>
      </c>
      <c r="K42557" s="18"/>
    </row>
    <row r="42558">
      <c r="B42558" s="17" t="s">
        <v>477</v>
      </c>
      <c r="K42558" s="18"/>
    </row>
    <row r="42559">
      <c r="B42559" s="17" t="s">
        <v>477</v>
      </c>
      <c r="K42559" s="18"/>
    </row>
    <row r="42560">
      <c r="B42560" s="17" t="s">
        <v>477</v>
      </c>
      <c r="K42560" s="18"/>
    </row>
    <row r="42561">
      <c r="B42561" s="17" t="s">
        <v>477</v>
      </c>
      <c r="K42561" s="18"/>
    </row>
    <row r="42562">
      <c r="B42562" s="17" t="s">
        <v>477</v>
      </c>
      <c r="K42562" s="18"/>
    </row>
    <row r="42563">
      <c r="B42563" s="17" t="s">
        <v>477</v>
      </c>
      <c r="K42563" s="18"/>
    </row>
    <row r="42564">
      <c r="B42564" s="17" t="s">
        <v>477</v>
      </c>
      <c r="K42564" s="18"/>
    </row>
    <row r="42565">
      <c r="B42565" s="17" t="s">
        <v>477</v>
      </c>
      <c r="K42565" s="18"/>
    </row>
    <row r="42566">
      <c r="B42566" s="17" t="s">
        <v>477</v>
      </c>
      <c r="K42566" s="18"/>
    </row>
    <row r="42567">
      <c r="B42567" s="17" t="s">
        <v>477</v>
      </c>
      <c r="K42567" s="18"/>
    </row>
    <row r="42568">
      <c r="B42568" s="17" t="s">
        <v>477</v>
      </c>
      <c r="K42568" s="18"/>
    </row>
    <row r="42569">
      <c r="B42569" s="17" t="s">
        <v>477</v>
      </c>
      <c r="K42569" s="18"/>
    </row>
    <row r="42570">
      <c r="B42570" s="17" t="s">
        <v>477</v>
      </c>
      <c r="K42570" s="18"/>
    </row>
    <row r="42571">
      <c r="B42571" s="17" t="s">
        <v>477</v>
      </c>
      <c r="K42571" s="18"/>
    </row>
    <row r="42572">
      <c r="B42572" s="17" t="s">
        <v>477</v>
      </c>
      <c r="K42572" s="18"/>
    </row>
    <row r="42573">
      <c r="B42573" s="17" t="s">
        <v>477</v>
      </c>
      <c r="K42573" s="18"/>
    </row>
    <row r="42574">
      <c r="B42574" s="17" t="s">
        <v>477</v>
      </c>
      <c r="K42574" s="18"/>
    </row>
    <row r="42575">
      <c r="B42575" s="17" t="s">
        <v>477</v>
      </c>
      <c r="K42575" s="18"/>
    </row>
    <row r="42576">
      <c r="B42576" s="17" t="s">
        <v>477</v>
      </c>
      <c r="K42576" s="18"/>
    </row>
    <row r="42577">
      <c r="B42577" s="17" t="s">
        <v>477</v>
      </c>
      <c r="K42577" s="18"/>
    </row>
    <row r="42578">
      <c r="B42578" s="17" t="s">
        <v>477</v>
      </c>
      <c r="K42578" s="18"/>
    </row>
    <row r="42579">
      <c r="B42579" s="17" t="s">
        <v>477</v>
      </c>
      <c r="K42579" s="18"/>
    </row>
    <row r="42580">
      <c r="B42580" s="17" t="s">
        <v>477</v>
      </c>
      <c r="K42580" s="18"/>
    </row>
    <row r="42581">
      <c r="B42581" s="17" t="s">
        <v>477</v>
      </c>
      <c r="K42581" s="18"/>
    </row>
    <row r="42582">
      <c r="B42582" s="17" t="s">
        <v>477</v>
      </c>
      <c r="K42582" s="18"/>
    </row>
    <row r="42583">
      <c r="B42583" s="17" t="s">
        <v>477</v>
      </c>
      <c r="K42583" s="18"/>
    </row>
    <row r="42584">
      <c r="B42584" s="17" t="s">
        <v>477</v>
      </c>
      <c r="K42584" s="18"/>
    </row>
    <row r="42585">
      <c r="B42585" s="17" t="s">
        <v>477</v>
      </c>
      <c r="K42585" s="18"/>
    </row>
    <row r="42586">
      <c r="B42586" s="17" t="s">
        <v>477</v>
      </c>
      <c r="K42586" s="18"/>
    </row>
    <row r="42587">
      <c r="B42587" s="17" t="s">
        <v>477</v>
      </c>
      <c r="K42587" s="18"/>
    </row>
    <row r="42588">
      <c r="B42588" s="17" t="s">
        <v>477</v>
      </c>
      <c r="K42588" s="18"/>
    </row>
    <row r="42589">
      <c r="B42589" s="17" t="s">
        <v>477</v>
      </c>
      <c r="K42589" s="18"/>
    </row>
    <row r="42590">
      <c r="B42590" s="17" t="s">
        <v>477</v>
      </c>
      <c r="K42590" s="18"/>
    </row>
    <row r="42591">
      <c r="B42591" s="17" t="s">
        <v>477</v>
      </c>
      <c r="K42591" s="18"/>
    </row>
    <row r="42592">
      <c r="B42592" s="17" t="s">
        <v>477</v>
      </c>
      <c r="K42592" s="18"/>
    </row>
    <row r="42593">
      <c r="B42593" s="17" t="s">
        <v>477</v>
      </c>
      <c r="K42593" s="18"/>
    </row>
    <row r="42594">
      <c r="B42594" s="17" t="s">
        <v>477</v>
      </c>
      <c r="K42594" s="18"/>
    </row>
    <row r="42595">
      <c r="B42595" s="17" t="s">
        <v>477</v>
      </c>
      <c r="K42595" s="18"/>
    </row>
    <row r="42596">
      <c r="B42596" s="17" t="s">
        <v>477</v>
      </c>
      <c r="K42596" s="18"/>
    </row>
    <row r="42597">
      <c r="B42597" s="17" t="s">
        <v>477</v>
      </c>
      <c r="K42597" s="18"/>
    </row>
    <row r="42598">
      <c r="B42598" s="17" t="s">
        <v>477</v>
      </c>
      <c r="K42598" s="18"/>
    </row>
    <row r="42599">
      <c r="B42599" s="17" t="s">
        <v>477</v>
      </c>
      <c r="K42599" s="18"/>
    </row>
    <row r="42600">
      <c r="B42600" s="17" t="s">
        <v>477</v>
      </c>
      <c r="K42600" s="18"/>
    </row>
    <row r="42601">
      <c r="B42601" s="17" t="s">
        <v>477</v>
      </c>
      <c r="K42601" s="18"/>
    </row>
    <row r="42602">
      <c r="B42602" s="17" t="s">
        <v>477</v>
      </c>
      <c r="K42602" s="18"/>
    </row>
    <row r="42603">
      <c r="B42603" s="17" t="s">
        <v>477</v>
      </c>
      <c r="K42603" s="18"/>
    </row>
    <row r="42604">
      <c r="B42604" s="17" t="s">
        <v>477</v>
      </c>
      <c r="K42604" s="18"/>
    </row>
    <row r="42605">
      <c r="B42605" s="17" t="s">
        <v>477</v>
      </c>
      <c r="K42605" s="18"/>
    </row>
    <row r="42606">
      <c r="B42606" s="17" t="s">
        <v>477</v>
      </c>
      <c r="K42606" s="18"/>
    </row>
    <row r="42607">
      <c r="B42607" s="17" t="s">
        <v>477</v>
      </c>
      <c r="K42607" s="18"/>
    </row>
    <row r="42608">
      <c r="B42608" s="17" t="s">
        <v>477</v>
      </c>
      <c r="K42608" s="18"/>
    </row>
    <row r="42609">
      <c r="B42609" s="17" t="s">
        <v>477</v>
      </c>
      <c r="K42609" s="18"/>
    </row>
    <row r="42610">
      <c r="B42610" s="17" t="s">
        <v>477</v>
      </c>
      <c r="K42610" s="18"/>
    </row>
    <row r="42611">
      <c r="B42611" s="17" t="s">
        <v>477</v>
      </c>
      <c r="K42611" s="18"/>
    </row>
    <row r="42612">
      <c r="B42612" s="17" t="s">
        <v>477</v>
      </c>
      <c r="K42612" s="18"/>
    </row>
    <row r="42613">
      <c r="B42613" s="17" t="s">
        <v>477</v>
      </c>
      <c r="K42613" s="18"/>
    </row>
    <row r="42614">
      <c r="B42614" s="17" t="s">
        <v>477</v>
      </c>
      <c r="K42614" s="18"/>
    </row>
    <row r="42615">
      <c r="B42615" s="17" t="s">
        <v>477</v>
      </c>
      <c r="K42615" s="18"/>
    </row>
    <row r="42616">
      <c r="B42616" s="17" t="s">
        <v>477</v>
      </c>
      <c r="K42616" s="18"/>
    </row>
    <row r="42617">
      <c r="B42617" s="17" t="s">
        <v>477</v>
      </c>
      <c r="K42617" s="18"/>
    </row>
    <row r="42618">
      <c r="B42618" s="17" t="s">
        <v>477</v>
      </c>
      <c r="K42618" s="18"/>
    </row>
    <row r="42619">
      <c r="B42619" s="17" t="s">
        <v>477</v>
      </c>
      <c r="K42619" s="18"/>
    </row>
    <row r="42620">
      <c r="B42620" s="17" t="s">
        <v>477</v>
      </c>
      <c r="K42620" s="18"/>
    </row>
    <row r="42621">
      <c r="B42621" s="17" t="s">
        <v>477</v>
      </c>
      <c r="K42621" s="18"/>
    </row>
    <row r="42622">
      <c r="B42622" s="17" t="s">
        <v>477</v>
      </c>
      <c r="K42622" s="18"/>
    </row>
    <row r="42623">
      <c r="B42623" s="17" t="s">
        <v>477</v>
      </c>
      <c r="K42623" s="18"/>
    </row>
    <row r="42624">
      <c r="B42624" s="17" t="s">
        <v>477</v>
      </c>
      <c r="K42624" s="18"/>
    </row>
    <row r="42625">
      <c r="B42625" s="17" t="s">
        <v>477</v>
      </c>
      <c r="K42625" s="18"/>
    </row>
    <row r="42626">
      <c r="B42626" s="17" t="s">
        <v>477</v>
      </c>
      <c r="K42626" s="18"/>
    </row>
    <row r="42627">
      <c r="B42627" s="17" t="s">
        <v>477</v>
      </c>
      <c r="K42627" s="18"/>
    </row>
    <row r="42628">
      <c r="B42628" s="17" t="s">
        <v>477</v>
      </c>
      <c r="K42628" s="18"/>
    </row>
    <row r="42629">
      <c r="B42629" s="17" t="s">
        <v>477</v>
      </c>
      <c r="K42629" s="18"/>
    </row>
    <row r="42630">
      <c r="B42630" s="17" t="s">
        <v>477</v>
      </c>
      <c r="K42630" s="18"/>
    </row>
    <row r="42631">
      <c r="B42631" s="17" t="s">
        <v>477</v>
      </c>
      <c r="K42631" s="18"/>
    </row>
    <row r="42632">
      <c r="B42632" s="17" t="s">
        <v>477</v>
      </c>
      <c r="K42632" s="18"/>
    </row>
    <row r="42633">
      <c r="B42633" s="17" t="s">
        <v>477</v>
      </c>
      <c r="K42633" s="18"/>
    </row>
    <row r="42634">
      <c r="B42634" s="17" t="s">
        <v>477</v>
      </c>
      <c r="K42634" s="18"/>
    </row>
    <row r="42635">
      <c r="B42635" s="17" t="s">
        <v>477</v>
      </c>
      <c r="K42635" s="18"/>
    </row>
    <row r="42636">
      <c r="B42636" s="17" t="s">
        <v>477</v>
      </c>
      <c r="K42636" s="18"/>
    </row>
    <row r="42637">
      <c r="B42637" s="17" t="s">
        <v>477</v>
      </c>
      <c r="K42637" s="18"/>
    </row>
    <row r="42638">
      <c r="B42638" s="17" t="s">
        <v>477</v>
      </c>
      <c r="K42638" s="18"/>
    </row>
    <row r="42639">
      <c r="B42639" s="17" t="s">
        <v>477</v>
      </c>
      <c r="K42639" s="18"/>
    </row>
    <row r="42640">
      <c r="B42640" s="17" t="s">
        <v>477</v>
      </c>
      <c r="K42640" s="18"/>
    </row>
    <row r="42641">
      <c r="B42641" s="17" t="s">
        <v>477</v>
      </c>
      <c r="K42641" s="18"/>
    </row>
    <row r="42642">
      <c r="B42642" s="17" t="s">
        <v>477</v>
      </c>
      <c r="K42642" s="18"/>
    </row>
    <row r="42643">
      <c r="B42643" s="17" t="s">
        <v>477</v>
      </c>
      <c r="K42643" s="18"/>
    </row>
    <row r="42644">
      <c r="B42644" s="17" t="s">
        <v>477</v>
      </c>
      <c r="K42644" s="18"/>
    </row>
    <row r="42645">
      <c r="B42645" s="17" t="s">
        <v>477</v>
      </c>
      <c r="K42645" s="18"/>
    </row>
    <row r="42646">
      <c r="B42646" s="17" t="s">
        <v>477</v>
      </c>
      <c r="K42646" s="18"/>
    </row>
    <row r="42647">
      <c r="B42647" s="17" t="s">
        <v>477</v>
      </c>
      <c r="K42647" s="18"/>
    </row>
    <row r="42648">
      <c r="B42648" s="17" t="s">
        <v>477</v>
      </c>
      <c r="K42648" s="18"/>
    </row>
    <row r="42649">
      <c r="B42649" s="17" t="s">
        <v>477</v>
      </c>
      <c r="K42649" s="18"/>
    </row>
    <row r="42650">
      <c r="B42650" s="17" t="s">
        <v>477</v>
      </c>
      <c r="K42650" s="18"/>
    </row>
    <row r="42651">
      <c r="B42651" s="17" t="s">
        <v>477</v>
      </c>
      <c r="K42651" s="18"/>
    </row>
    <row r="42652">
      <c r="B42652" s="17" t="s">
        <v>477</v>
      </c>
      <c r="K42652" s="18"/>
    </row>
    <row r="42653">
      <c r="B42653" s="17" t="s">
        <v>477</v>
      </c>
      <c r="K42653" s="18"/>
    </row>
    <row r="42654">
      <c r="B42654" s="17" t="s">
        <v>477</v>
      </c>
      <c r="K42654" s="18"/>
    </row>
    <row r="42655">
      <c r="B42655" s="17" t="s">
        <v>477</v>
      </c>
      <c r="K42655" s="18"/>
    </row>
    <row r="42656">
      <c r="B42656" s="17" t="s">
        <v>477</v>
      </c>
      <c r="K42656" s="18"/>
    </row>
    <row r="42657">
      <c r="B42657" s="17" t="s">
        <v>477</v>
      </c>
      <c r="K42657" s="18"/>
    </row>
    <row r="42658">
      <c r="B42658" s="17" t="s">
        <v>477</v>
      </c>
      <c r="K42658" s="18"/>
    </row>
    <row r="42659">
      <c r="B42659" s="17" t="s">
        <v>477</v>
      </c>
      <c r="K42659" s="18"/>
    </row>
    <row r="42660">
      <c r="B42660" s="17" t="s">
        <v>477</v>
      </c>
      <c r="K42660" s="18"/>
    </row>
    <row r="42661">
      <c r="B42661" s="17" t="s">
        <v>477</v>
      </c>
      <c r="K42661" s="18"/>
    </row>
    <row r="42662">
      <c r="B42662" s="17" t="s">
        <v>477</v>
      </c>
      <c r="K42662" s="18"/>
    </row>
    <row r="42663">
      <c r="B42663" s="17" t="s">
        <v>477</v>
      </c>
      <c r="K42663" s="18"/>
    </row>
    <row r="42664">
      <c r="B42664" s="17" t="s">
        <v>477</v>
      </c>
      <c r="K42664" s="18"/>
    </row>
    <row r="42665">
      <c r="B42665" s="17" t="s">
        <v>477</v>
      </c>
      <c r="K42665" s="18"/>
    </row>
    <row r="42666">
      <c r="B42666" s="17" t="s">
        <v>477</v>
      </c>
      <c r="K42666" s="18"/>
    </row>
    <row r="42667">
      <c r="B42667" s="17" t="s">
        <v>477</v>
      </c>
      <c r="K42667" s="18"/>
    </row>
    <row r="42668">
      <c r="B42668" s="17" t="s">
        <v>477</v>
      </c>
      <c r="K42668" s="18"/>
    </row>
    <row r="42669">
      <c r="B42669" s="17" t="s">
        <v>477</v>
      </c>
      <c r="K42669" s="18"/>
    </row>
    <row r="42670">
      <c r="B42670" s="17" t="s">
        <v>477</v>
      </c>
      <c r="K42670" s="18"/>
    </row>
    <row r="42671">
      <c r="B42671" s="17" t="s">
        <v>477</v>
      </c>
      <c r="K42671" s="18"/>
    </row>
    <row r="42672">
      <c r="B42672" s="17" t="s">
        <v>477</v>
      </c>
      <c r="K42672" s="18"/>
    </row>
    <row r="42673">
      <c r="B42673" s="17" t="s">
        <v>477</v>
      </c>
      <c r="K42673" s="18"/>
    </row>
    <row r="42674">
      <c r="B42674" s="17" t="s">
        <v>477</v>
      </c>
      <c r="K42674" s="18"/>
    </row>
    <row r="42675">
      <c r="B42675" s="17" t="s">
        <v>477</v>
      </c>
      <c r="K42675" s="18"/>
    </row>
    <row r="42676">
      <c r="B42676" s="17" t="s">
        <v>477</v>
      </c>
      <c r="K42676" s="18"/>
    </row>
    <row r="42677">
      <c r="B42677" s="17" t="s">
        <v>477</v>
      </c>
      <c r="K42677" s="18"/>
    </row>
    <row r="42678">
      <c r="B42678" s="17" t="s">
        <v>477</v>
      </c>
      <c r="K42678" s="18"/>
    </row>
    <row r="42679">
      <c r="B42679" s="17" t="s">
        <v>477</v>
      </c>
      <c r="K42679" s="18"/>
    </row>
    <row r="42680">
      <c r="B42680" s="17" t="s">
        <v>477</v>
      </c>
      <c r="K42680" s="18"/>
    </row>
    <row r="42681">
      <c r="B42681" s="17" t="s">
        <v>477</v>
      </c>
      <c r="K42681" s="18"/>
    </row>
    <row r="42682">
      <c r="B42682" s="17" t="s">
        <v>477</v>
      </c>
      <c r="K42682" s="18"/>
    </row>
    <row r="42683">
      <c r="B42683" s="17" t="s">
        <v>477</v>
      </c>
      <c r="K42683" s="18"/>
    </row>
    <row r="42684">
      <c r="B42684" s="17" t="s">
        <v>477</v>
      </c>
      <c r="K42684" s="18"/>
    </row>
    <row r="42685">
      <c r="B42685" s="17" t="s">
        <v>477</v>
      </c>
      <c r="K42685" s="18"/>
    </row>
    <row r="42686">
      <c r="B42686" s="17" t="s">
        <v>477</v>
      </c>
      <c r="K42686" s="18"/>
    </row>
    <row r="42687">
      <c r="B42687" s="17" t="s">
        <v>477</v>
      </c>
      <c r="K42687" s="18"/>
    </row>
    <row r="42688">
      <c r="B42688" s="17" t="s">
        <v>477</v>
      </c>
      <c r="K42688" s="18"/>
    </row>
    <row r="42689">
      <c r="B42689" s="17" t="s">
        <v>477</v>
      </c>
      <c r="K42689" s="18"/>
    </row>
    <row r="42690">
      <c r="B42690" s="17" t="s">
        <v>477</v>
      </c>
      <c r="K42690" s="18"/>
    </row>
    <row r="42691">
      <c r="B42691" s="17" t="s">
        <v>477</v>
      </c>
      <c r="K42691" s="18"/>
    </row>
    <row r="42692">
      <c r="B42692" s="17" t="s">
        <v>477</v>
      </c>
      <c r="K42692" s="18"/>
    </row>
    <row r="42693">
      <c r="B42693" s="17" t="s">
        <v>477</v>
      </c>
      <c r="K42693" s="18"/>
    </row>
    <row r="42694">
      <c r="B42694" s="17" t="s">
        <v>477</v>
      </c>
      <c r="K42694" s="18"/>
    </row>
    <row r="42695">
      <c r="B42695" s="17" t="s">
        <v>477</v>
      </c>
      <c r="K42695" s="18"/>
    </row>
    <row r="42696">
      <c r="B42696" s="17" t="s">
        <v>477</v>
      </c>
      <c r="K42696" s="18"/>
    </row>
    <row r="42697">
      <c r="B42697" s="17" t="s">
        <v>477</v>
      </c>
      <c r="K42697" s="18"/>
    </row>
    <row r="42698">
      <c r="B42698" s="17" t="s">
        <v>477</v>
      </c>
      <c r="K42698" s="18"/>
    </row>
    <row r="42699">
      <c r="B42699" s="17" t="s">
        <v>477</v>
      </c>
      <c r="K42699" s="18"/>
    </row>
    <row r="42700">
      <c r="B42700" s="17" t="s">
        <v>477</v>
      </c>
      <c r="K42700" s="18"/>
    </row>
    <row r="42701">
      <c r="B42701" s="17" t="s">
        <v>477</v>
      </c>
      <c r="K42701" s="18"/>
    </row>
    <row r="42702">
      <c r="B42702" s="17" t="s">
        <v>477</v>
      </c>
      <c r="K42702" s="18"/>
    </row>
    <row r="42703">
      <c r="B42703" s="17" t="s">
        <v>477</v>
      </c>
      <c r="K42703" s="18"/>
    </row>
    <row r="42704">
      <c r="B42704" s="17" t="s">
        <v>477</v>
      </c>
      <c r="K42704" s="18"/>
    </row>
    <row r="42705">
      <c r="B42705" s="17" t="s">
        <v>477</v>
      </c>
      <c r="K42705" s="18"/>
    </row>
    <row r="42706">
      <c r="B42706" s="17" t="s">
        <v>477</v>
      </c>
      <c r="K42706" s="18"/>
    </row>
    <row r="42707">
      <c r="B42707" s="17" t="s">
        <v>477</v>
      </c>
      <c r="K42707" s="18"/>
    </row>
    <row r="42708">
      <c r="B42708" s="17" t="s">
        <v>477</v>
      </c>
      <c r="K42708" s="18"/>
    </row>
    <row r="42709">
      <c r="B42709" s="17" t="s">
        <v>477</v>
      </c>
      <c r="K42709" s="18"/>
    </row>
    <row r="42710">
      <c r="B42710" s="17" t="s">
        <v>477</v>
      </c>
      <c r="K42710" s="18"/>
    </row>
    <row r="42711">
      <c r="B42711" s="17" t="s">
        <v>477</v>
      </c>
      <c r="K42711" s="18"/>
    </row>
    <row r="42712">
      <c r="B42712" s="17" t="s">
        <v>477</v>
      </c>
      <c r="K42712" s="18"/>
    </row>
    <row r="42713">
      <c r="B42713" s="17" t="s">
        <v>477</v>
      </c>
      <c r="K42713" s="18"/>
    </row>
    <row r="42714">
      <c r="B42714" s="17" t="s">
        <v>477</v>
      </c>
      <c r="K42714" s="18"/>
    </row>
    <row r="42715">
      <c r="B42715" s="17" t="s">
        <v>477</v>
      </c>
      <c r="K42715" s="18"/>
    </row>
    <row r="42716">
      <c r="B42716" s="17" t="s">
        <v>477</v>
      </c>
      <c r="K42716" s="18"/>
    </row>
    <row r="42717">
      <c r="B42717" s="17" t="s">
        <v>477</v>
      </c>
      <c r="K42717" s="18"/>
    </row>
    <row r="42718">
      <c r="B42718" s="17" t="s">
        <v>477</v>
      </c>
      <c r="K42718" s="18"/>
    </row>
    <row r="42719">
      <c r="B42719" s="17" t="s">
        <v>477</v>
      </c>
      <c r="K42719" s="18"/>
    </row>
    <row r="42720">
      <c r="B42720" s="17" t="s">
        <v>477</v>
      </c>
      <c r="K42720" s="18"/>
    </row>
    <row r="42721">
      <c r="B42721" s="17" t="s">
        <v>477</v>
      </c>
      <c r="K42721" s="18"/>
    </row>
    <row r="42722">
      <c r="B42722" s="17" t="s">
        <v>477</v>
      </c>
      <c r="K42722" s="18"/>
    </row>
    <row r="42723">
      <c r="B42723" s="17" t="s">
        <v>477</v>
      </c>
      <c r="K42723" s="18"/>
    </row>
    <row r="42724">
      <c r="B42724" s="17" t="s">
        <v>477</v>
      </c>
      <c r="K42724" s="18"/>
    </row>
    <row r="42725">
      <c r="B42725" s="17" t="s">
        <v>477</v>
      </c>
      <c r="K42725" s="18"/>
    </row>
    <row r="42726">
      <c r="B42726" s="17" t="s">
        <v>477</v>
      </c>
      <c r="K42726" s="18"/>
    </row>
    <row r="42727">
      <c r="B42727" s="17" t="s">
        <v>477</v>
      </c>
      <c r="K42727" s="18"/>
    </row>
    <row r="42728">
      <c r="B42728" s="17" t="s">
        <v>477</v>
      </c>
      <c r="K42728" s="18"/>
    </row>
    <row r="42729">
      <c r="B42729" s="17" t="s">
        <v>477</v>
      </c>
      <c r="K42729" s="18"/>
    </row>
    <row r="42730">
      <c r="B42730" s="17" t="s">
        <v>477</v>
      </c>
      <c r="K42730" s="18"/>
    </row>
    <row r="42731">
      <c r="B42731" s="17" t="s">
        <v>477</v>
      </c>
      <c r="K42731" s="18"/>
    </row>
    <row r="42732">
      <c r="B42732" s="17" t="s">
        <v>477</v>
      </c>
      <c r="K42732" s="18"/>
    </row>
    <row r="42733">
      <c r="B42733" s="17" t="s">
        <v>477</v>
      </c>
      <c r="K42733" s="18"/>
    </row>
    <row r="42734">
      <c r="B42734" s="17" t="s">
        <v>477</v>
      </c>
      <c r="K42734" s="18"/>
    </row>
    <row r="42735">
      <c r="B42735" s="17" t="s">
        <v>477</v>
      </c>
      <c r="K42735" s="18"/>
    </row>
    <row r="42736">
      <c r="B42736" s="17" t="s">
        <v>477</v>
      </c>
      <c r="K42736" s="18"/>
    </row>
    <row r="42737">
      <c r="B42737" s="17" t="s">
        <v>477</v>
      </c>
      <c r="K42737" s="18"/>
    </row>
    <row r="42738">
      <c r="B42738" s="17" t="s">
        <v>477</v>
      </c>
      <c r="K42738" s="18"/>
    </row>
    <row r="42739">
      <c r="B42739" s="17" t="s">
        <v>477</v>
      </c>
      <c r="K42739" s="18"/>
    </row>
    <row r="42740">
      <c r="B42740" s="17" t="s">
        <v>477</v>
      </c>
      <c r="K42740" s="18"/>
    </row>
    <row r="42741">
      <c r="B42741" s="17" t="s">
        <v>477</v>
      </c>
      <c r="K42741" s="18"/>
    </row>
    <row r="42742">
      <c r="B42742" s="17" t="s">
        <v>477</v>
      </c>
      <c r="K42742" s="18"/>
    </row>
    <row r="42743">
      <c r="B42743" s="17" t="s">
        <v>477</v>
      </c>
      <c r="K42743" s="18"/>
    </row>
    <row r="42744">
      <c r="B42744" s="17" t="s">
        <v>477</v>
      </c>
      <c r="K42744" s="18"/>
    </row>
    <row r="42745">
      <c r="B42745" s="17" t="s">
        <v>477</v>
      </c>
      <c r="K42745" s="18"/>
    </row>
    <row r="42746">
      <c r="B42746" s="17" t="s">
        <v>477</v>
      </c>
      <c r="K42746" s="18"/>
    </row>
    <row r="42747">
      <c r="B42747" s="17" t="s">
        <v>477</v>
      </c>
      <c r="K42747" s="18"/>
    </row>
    <row r="42748">
      <c r="B42748" s="17" t="s">
        <v>477</v>
      </c>
      <c r="K42748" s="18"/>
    </row>
    <row r="42749">
      <c r="B42749" s="17" t="s">
        <v>477</v>
      </c>
      <c r="K42749" s="18"/>
    </row>
    <row r="42750">
      <c r="B42750" s="17" t="s">
        <v>477</v>
      </c>
      <c r="K42750" s="18"/>
    </row>
    <row r="42751">
      <c r="B42751" s="17" t="s">
        <v>477</v>
      </c>
      <c r="K42751" s="18"/>
    </row>
    <row r="42752">
      <c r="B42752" s="17" t="s">
        <v>477</v>
      </c>
      <c r="K42752" s="18"/>
    </row>
    <row r="42753">
      <c r="B42753" s="17" t="s">
        <v>477</v>
      </c>
      <c r="K42753" s="18"/>
    </row>
    <row r="42754">
      <c r="B42754" s="17" t="s">
        <v>477</v>
      </c>
      <c r="K42754" s="18"/>
    </row>
    <row r="42755">
      <c r="B42755" s="17" t="s">
        <v>477</v>
      </c>
      <c r="K42755" s="18"/>
    </row>
    <row r="42756">
      <c r="B42756" s="17" t="s">
        <v>477</v>
      </c>
      <c r="K42756" s="18"/>
    </row>
    <row r="42757">
      <c r="B42757" s="17" t="s">
        <v>477</v>
      </c>
      <c r="K42757" s="18"/>
    </row>
    <row r="42758">
      <c r="B42758" s="17" t="s">
        <v>477</v>
      </c>
      <c r="K42758" s="18"/>
    </row>
    <row r="42759">
      <c r="B42759" s="17" t="s">
        <v>477</v>
      </c>
      <c r="K42759" s="18"/>
    </row>
    <row r="42760">
      <c r="B42760" s="17" t="s">
        <v>477</v>
      </c>
      <c r="K42760" s="18"/>
    </row>
    <row r="42761">
      <c r="B42761" s="17" t="s">
        <v>477</v>
      </c>
      <c r="K42761" s="18"/>
    </row>
    <row r="42762">
      <c r="B42762" s="17" t="s">
        <v>477</v>
      </c>
      <c r="K42762" s="18"/>
    </row>
    <row r="42763">
      <c r="B42763" s="17" t="s">
        <v>477</v>
      </c>
      <c r="K42763" s="18"/>
    </row>
    <row r="42764">
      <c r="B42764" s="17" t="s">
        <v>477</v>
      </c>
      <c r="K42764" s="18"/>
    </row>
    <row r="42765">
      <c r="B42765" s="17" t="s">
        <v>477</v>
      </c>
      <c r="K42765" s="18"/>
    </row>
    <row r="42766">
      <c r="B42766" s="17" t="s">
        <v>477</v>
      </c>
      <c r="K42766" s="18"/>
    </row>
    <row r="42767">
      <c r="B42767" s="17" t="s">
        <v>477</v>
      </c>
      <c r="K42767" s="18"/>
    </row>
    <row r="42768">
      <c r="B42768" s="17" t="s">
        <v>477</v>
      </c>
      <c r="K42768" s="18"/>
    </row>
    <row r="42769">
      <c r="B42769" s="17" t="s">
        <v>477</v>
      </c>
      <c r="K42769" s="18"/>
    </row>
    <row r="42770">
      <c r="B42770" s="17" t="s">
        <v>477</v>
      </c>
      <c r="K42770" s="18"/>
    </row>
    <row r="42771">
      <c r="B42771" s="17" t="s">
        <v>477</v>
      </c>
      <c r="K42771" s="18"/>
    </row>
    <row r="42772">
      <c r="B42772" s="17" t="s">
        <v>477</v>
      </c>
      <c r="K42772" s="18"/>
    </row>
    <row r="42773">
      <c r="B42773" s="17" t="s">
        <v>477</v>
      </c>
      <c r="K42773" s="18"/>
    </row>
    <row r="42774">
      <c r="B42774" s="17" t="s">
        <v>477</v>
      </c>
      <c r="K42774" s="18"/>
    </row>
    <row r="42775">
      <c r="B42775" s="17" t="s">
        <v>477</v>
      </c>
      <c r="K42775" s="18"/>
    </row>
    <row r="42776">
      <c r="B42776" s="17" t="s">
        <v>477</v>
      </c>
      <c r="K42776" s="18"/>
    </row>
    <row r="42777">
      <c r="B42777" s="17" t="s">
        <v>477</v>
      </c>
      <c r="K42777" s="18"/>
    </row>
    <row r="42778">
      <c r="B42778" s="17" t="s">
        <v>477</v>
      </c>
      <c r="K42778" s="18"/>
    </row>
    <row r="42779">
      <c r="B42779" s="17" t="s">
        <v>477</v>
      </c>
      <c r="K42779" s="18"/>
    </row>
    <row r="42780">
      <c r="B42780" s="17" t="s">
        <v>477</v>
      </c>
      <c r="K42780" s="18"/>
    </row>
    <row r="42781">
      <c r="B42781" s="17" t="s">
        <v>477</v>
      </c>
      <c r="K42781" s="18"/>
    </row>
    <row r="42782">
      <c r="B42782" s="17" t="s">
        <v>477</v>
      </c>
      <c r="K42782" s="18"/>
    </row>
    <row r="42783">
      <c r="B42783" s="17" t="s">
        <v>477</v>
      </c>
      <c r="K42783" s="18"/>
    </row>
    <row r="42784">
      <c r="B42784" s="17" t="s">
        <v>477</v>
      </c>
      <c r="K42784" s="18"/>
    </row>
    <row r="42785">
      <c r="B42785" s="17" t="s">
        <v>477</v>
      </c>
      <c r="K42785" s="18"/>
    </row>
    <row r="42786">
      <c r="B42786" s="17" t="s">
        <v>477</v>
      </c>
      <c r="K42786" s="18"/>
    </row>
    <row r="42787">
      <c r="B42787" s="17" t="s">
        <v>477</v>
      </c>
      <c r="K42787" s="18"/>
    </row>
    <row r="42788">
      <c r="B42788" s="17" t="s">
        <v>477</v>
      </c>
      <c r="K42788" s="18"/>
    </row>
    <row r="42789">
      <c r="B42789" s="17" t="s">
        <v>477</v>
      </c>
      <c r="K42789" s="18"/>
    </row>
    <row r="42790">
      <c r="B42790" s="17" t="s">
        <v>477</v>
      </c>
      <c r="K42790" s="18"/>
    </row>
    <row r="42791">
      <c r="B42791" s="17" t="s">
        <v>477</v>
      </c>
      <c r="K42791" s="18"/>
    </row>
    <row r="42792">
      <c r="B42792" s="17" t="s">
        <v>477</v>
      </c>
      <c r="K42792" s="18"/>
    </row>
    <row r="42793">
      <c r="B42793" s="17" t="s">
        <v>477</v>
      </c>
      <c r="K42793" s="18"/>
    </row>
    <row r="42794">
      <c r="B42794" s="17" t="s">
        <v>477</v>
      </c>
      <c r="K42794" s="18"/>
    </row>
    <row r="42795">
      <c r="B42795" s="17" t="s">
        <v>477</v>
      </c>
      <c r="K42795" s="18"/>
    </row>
    <row r="42796">
      <c r="B42796" s="17" t="s">
        <v>477</v>
      </c>
      <c r="K42796" s="18"/>
    </row>
    <row r="42797">
      <c r="B42797" s="17" t="s">
        <v>477</v>
      </c>
      <c r="K42797" s="18"/>
    </row>
    <row r="42798">
      <c r="B42798" s="17" t="s">
        <v>477</v>
      </c>
      <c r="K42798" s="18"/>
    </row>
    <row r="42799">
      <c r="B42799" s="17" t="s">
        <v>477</v>
      </c>
      <c r="K42799" s="18"/>
    </row>
    <row r="42800">
      <c r="B42800" s="17" t="s">
        <v>477</v>
      </c>
      <c r="K42800" s="18"/>
    </row>
    <row r="42801">
      <c r="B42801" s="17" t="s">
        <v>477</v>
      </c>
      <c r="K42801" s="18"/>
    </row>
    <row r="42802">
      <c r="B42802" s="17" t="s">
        <v>477</v>
      </c>
      <c r="K42802" s="18"/>
    </row>
    <row r="42803">
      <c r="B42803" s="17" t="s">
        <v>477</v>
      </c>
      <c r="K42803" s="18"/>
    </row>
    <row r="42804">
      <c r="B42804" s="17" t="s">
        <v>477</v>
      </c>
      <c r="K42804" s="18"/>
    </row>
    <row r="42805">
      <c r="B42805" s="17" t="s">
        <v>477</v>
      </c>
      <c r="K42805" s="18"/>
    </row>
    <row r="42806">
      <c r="B42806" s="17" t="s">
        <v>477</v>
      </c>
      <c r="K42806" s="18"/>
    </row>
    <row r="42807">
      <c r="B42807" s="17" t="s">
        <v>477</v>
      </c>
      <c r="K42807" s="18"/>
    </row>
    <row r="42808">
      <c r="B42808" s="17" t="s">
        <v>477</v>
      </c>
      <c r="K42808" s="18"/>
    </row>
    <row r="42809">
      <c r="B42809" s="17" t="s">
        <v>477</v>
      </c>
      <c r="K42809" s="18"/>
    </row>
    <row r="42810">
      <c r="B42810" s="17" t="s">
        <v>477</v>
      </c>
      <c r="K42810" s="18"/>
    </row>
    <row r="42811">
      <c r="B42811" s="17" t="s">
        <v>477</v>
      </c>
      <c r="K42811" s="18"/>
    </row>
    <row r="42812">
      <c r="B42812" s="17" t="s">
        <v>477</v>
      </c>
      <c r="K42812" s="18"/>
    </row>
    <row r="42813">
      <c r="B42813" s="17" t="s">
        <v>477</v>
      </c>
      <c r="K42813" s="18"/>
    </row>
    <row r="42814">
      <c r="B42814" s="17" t="s">
        <v>477</v>
      </c>
      <c r="K42814" s="18"/>
    </row>
    <row r="42815">
      <c r="B42815" s="17" t="s">
        <v>477</v>
      </c>
      <c r="K42815" s="18"/>
    </row>
    <row r="42816">
      <c r="B42816" s="17" t="s">
        <v>477</v>
      </c>
      <c r="K42816" s="18"/>
    </row>
    <row r="42817">
      <c r="B42817" s="17" t="s">
        <v>477</v>
      </c>
      <c r="K42817" s="18"/>
    </row>
    <row r="42818">
      <c r="B42818" s="17" t="s">
        <v>477</v>
      </c>
      <c r="K42818" s="18"/>
    </row>
    <row r="42819">
      <c r="B42819" s="17" t="s">
        <v>477</v>
      </c>
      <c r="K42819" s="18"/>
    </row>
    <row r="42820">
      <c r="B42820" s="17" t="s">
        <v>477</v>
      </c>
      <c r="K42820" s="18"/>
    </row>
    <row r="42821">
      <c r="B42821" s="17" t="s">
        <v>477</v>
      </c>
      <c r="K42821" s="18"/>
    </row>
    <row r="42822">
      <c r="B42822" s="17" t="s">
        <v>477</v>
      </c>
      <c r="K42822" s="18"/>
    </row>
    <row r="42823">
      <c r="B42823" s="17" t="s">
        <v>477</v>
      </c>
      <c r="K42823" s="18"/>
    </row>
    <row r="42824">
      <c r="B42824" s="17" t="s">
        <v>477</v>
      </c>
      <c r="K42824" s="18"/>
    </row>
    <row r="42825">
      <c r="B42825" s="17" t="s">
        <v>477</v>
      </c>
      <c r="K42825" s="18"/>
    </row>
    <row r="42826">
      <c r="B42826" s="17" t="s">
        <v>477</v>
      </c>
      <c r="K42826" s="18"/>
    </row>
    <row r="42827">
      <c r="B42827" s="17" t="s">
        <v>477</v>
      </c>
      <c r="K42827" s="18"/>
    </row>
    <row r="42828">
      <c r="B42828" s="17" t="s">
        <v>477</v>
      </c>
      <c r="K42828" s="18"/>
    </row>
    <row r="42829">
      <c r="B42829" s="17" t="s">
        <v>477</v>
      </c>
      <c r="K42829" s="18"/>
    </row>
    <row r="42830">
      <c r="B42830" s="17" t="s">
        <v>477</v>
      </c>
      <c r="K42830" s="18"/>
    </row>
    <row r="42831">
      <c r="B42831" s="17" t="s">
        <v>477</v>
      </c>
      <c r="K42831" s="18"/>
    </row>
    <row r="42832">
      <c r="B42832" s="17" t="s">
        <v>477</v>
      </c>
      <c r="K42832" s="18"/>
    </row>
    <row r="42833">
      <c r="B42833" s="17" t="s">
        <v>477</v>
      </c>
      <c r="K42833" s="18"/>
    </row>
    <row r="42834">
      <c r="B42834" s="17" t="s">
        <v>477</v>
      </c>
      <c r="K42834" s="18"/>
    </row>
    <row r="42835">
      <c r="B42835" s="17" t="s">
        <v>477</v>
      </c>
      <c r="K42835" s="18"/>
    </row>
    <row r="42836">
      <c r="B42836" s="17" t="s">
        <v>477</v>
      </c>
      <c r="K42836" s="18"/>
    </row>
    <row r="42837">
      <c r="B42837" s="17" t="s">
        <v>477</v>
      </c>
      <c r="K42837" s="18"/>
    </row>
    <row r="42838">
      <c r="B42838" s="17" t="s">
        <v>477</v>
      </c>
      <c r="K42838" s="18"/>
    </row>
    <row r="42839">
      <c r="B42839" s="17" t="s">
        <v>477</v>
      </c>
      <c r="K42839" s="18"/>
    </row>
    <row r="42840">
      <c r="B42840" s="17" t="s">
        <v>477</v>
      </c>
      <c r="K42840" s="18"/>
    </row>
    <row r="42841">
      <c r="B42841" s="17" t="s">
        <v>477</v>
      </c>
      <c r="K42841" s="18"/>
    </row>
    <row r="42842">
      <c r="B42842" s="17" t="s">
        <v>477</v>
      </c>
      <c r="K42842" s="18"/>
    </row>
    <row r="42843">
      <c r="B42843" s="17" t="s">
        <v>477</v>
      </c>
      <c r="K42843" s="18"/>
    </row>
    <row r="42844">
      <c r="B42844" s="17" t="s">
        <v>477</v>
      </c>
      <c r="K42844" s="18"/>
    </row>
    <row r="42845">
      <c r="B42845" s="17" t="s">
        <v>477</v>
      </c>
      <c r="K42845" s="18"/>
    </row>
    <row r="42846">
      <c r="B42846" s="17" t="s">
        <v>477</v>
      </c>
      <c r="K42846" s="18"/>
    </row>
    <row r="42847">
      <c r="B42847" s="17" t="s">
        <v>477</v>
      </c>
      <c r="K42847" s="18"/>
    </row>
    <row r="42848">
      <c r="B42848" s="17" t="s">
        <v>477</v>
      </c>
      <c r="K42848" s="18"/>
    </row>
    <row r="42849">
      <c r="B42849" s="17" t="s">
        <v>477</v>
      </c>
      <c r="K42849" s="18"/>
    </row>
    <row r="42850">
      <c r="B42850" s="17" t="s">
        <v>477</v>
      </c>
      <c r="K42850" s="18"/>
    </row>
    <row r="42851">
      <c r="B42851" s="17" t="s">
        <v>477</v>
      </c>
      <c r="K42851" s="18"/>
    </row>
    <row r="42852">
      <c r="B42852" s="17" t="s">
        <v>477</v>
      </c>
      <c r="K42852" s="18"/>
    </row>
    <row r="42853">
      <c r="B42853" s="17" t="s">
        <v>477</v>
      </c>
      <c r="K42853" s="18"/>
    </row>
    <row r="42854">
      <c r="B42854" s="17" t="s">
        <v>477</v>
      </c>
      <c r="K42854" s="18"/>
    </row>
    <row r="42855">
      <c r="B42855" s="17" t="s">
        <v>477</v>
      </c>
      <c r="K42855" s="18"/>
    </row>
    <row r="42856">
      <c r="B42856" s="17" t="s">
        <v>477</v>
      </c>
      <c r="K42856" s="18"/>
    </row>
    <row r="42857">
      <c r="B42857" s="17" t="s">
        <v>477</v>
      </c>
      <c r="K42857" s="18"/>
    </row>
    <row r="42858">
      <c r="B42858" s="17" t="s">
        <v>477</v>
      </c>
      <c r="K42858" s="18"/>
    </row>
    <row r="42859">
      <c r="B42859" s="17" t="s">
        <v>477</v>
      </c>
      <c r="K42859" s="18"/>
    </row>
    <row r="42860">
      <c r="B42860" s="17" t="s">
        <v>477</v>
      </c>
      <c r="K42860" s="18"/>
    </row>
    <row r="42861">
      <c r="B42861" s="17" t="s">
        <v>477</v>
      </c>
      <c r="K42861" s="18"/>
    </row>
    <row r="42862">
      <c r="B42862" s="17" t="s">
        <v>477</v>
      </c>
      <c r="K42862" s="18"/>
    </row>
    <row r="42863">
      <c r="B42863" s="17" t="s">
        <v>477</v>
      </c>
      <c r="K42863" s="18"/>
    </row>
    <row r="42864">
      <c r="B42864" s="17" t="s">
        <v>477</v>
      </c>
      <c r="K42864" s="18"/>
    </row>
    <row r="42865">
      <c r="B42865" s="17" t="s">
        <v>477</v>
      </c>
      <c r="K42865" s="18"/>
    </row>
    <row r="42866">
      <c r="B42866" s="17" t="s">
        <v>477</v>
      </c>
      <c r="K42866" s="18"/>
    </row>
    <row r="42867">
      <c r="B42867" s="17" t="s">
        <v>477</v>
      </c>
      <c r="K42867" s="18"/>
    </row>
    <row r="42868">
      <c r="B42868" s="17" t="s">
        <v>477</v>
      </c>
      <c r="K42868" s="18"/>
    </row>
    <row r="42869">
      <c r="B42869" s="17" t="s">
        <v>477</v>
      </c>
      <c r="K42869" s="18"/>
    </row>
    <row r="42870">
      <c r="B42870" s="17" t="s">
        <v>477</v>
      </c>
      <c r="K42870" s="18"/>
    </row>
    <row r="42871">
      <c r="B42871" s="17" t="s">
        <v>477</v>
      </c>
      <c r="K42871" s="18"/>
    </row>
    <row r="42872">
      <c r="B42872" s="17" t="s">
        <v>477</v>
      </c>
      <c r="K42872" s="18"/>
    </row>
    <row r="42873">
      <c r="B42873" s="17" t="s">
        <v>477</v>
      </c>
      <c r="K42873" s="18"/>
    </row>
    <row r="42874">
      <c r="B42874" s="17" t="s">
        <v>477</v>
      </c>
      <c r="K42874" s="18"/>
    </row>
    <row r="42875">
      <c r="B42875" s="17" t="s">
        <v>477</v>
      </c>
      <c r="K42875" s="18"/>
    </row>
    <row r="42876">
      <c r="B42876" s="17" t="s">
        <v>477</v>
      </c>
      <c r="K42876" s="18"/>
    </row>
    <row r="42877">
      <c r="B42877" s="17" t="s">
        <v>477</v>
      </c>
      <c r="K42877" s="18"/>
    </row>
    <row r="42878">
      <c r="B42878" s="17" t="s">
        <v>477</v>
      </c>
      <c r="K42878" s="18"/>
    </row>
    <row r="42879">
      <c r="B42879" s="17" t="s">
        <v>477</v>
      </c>
      <c r="K42879" s="18"/>
    </row>
    <row r="42880">
      <c r="B42880" s="17" t="s">
        <v>477</v>
      </c>
      <c r="K42880" s="18"/>
    </row>
    <row r="42881">
      <c r="B42881" s="17" t="s">
        <v>477</v>
      </c>
      <c r="K42881" s="18"/>
    </row>
    <row r="42882">
      <c r="B42882" s="17" t="s">
        <v>477</v>
      </c>
      <c r="K42882" s="18"/>
    </row>
    <row r="42883">
      <c r="B42883" s="17" t="s">
        <v>477</v>
      </c>
      <c r="K42883" s="18"/>
    </row>
    <row r="42884">
      <c r="B42884" s="17" t="s">
        <v>477</v>
      </c>
      <c r="K42884" s="18"/>
    </row>
    <row r="42885">
      <c r="B42885" s="17" t="s">
        <v>477</v>
      </c>
      <c r="K42885" s="18"/>
    </row>
    <row r="42886">
      <c r="B42886" s="17" t="s">
        <v>477</v>
      </c>
      <c r="K42886" s="18"/>
    </row>
    <row r="42887">
      <c r="B42887" s="17" t="s">
        <v>477</v>
      </c>
      <c r="K42887" s="18"/>
    </row>
    <row r="42888">
      <c r="B42888" s="17" t="s">
        <v>477</v>
      </c>
      <c r="K42888" s="18"/>
    </row>
    <row r="42889">
      <c r="B42889" s="17" t="s">
        <v>477</v>
      </c>
      <c r="K42889" s="18"/>
    </row>
    <row r="42890">
      <c r="B42890" s="17" t="s">
        <v>477</v>
      </c>
      <c r="K42890" s="18"/>
    </row>
    <row r="42891">
      <c r="B42891" s="17" t="s">
        <v>477</v>
      </c>
      <c r="K42891" s="18"/>
    </row>
    <row r="42892">
      <c r="B42892" s="17" t="s">
        <v>477</v>
      </c>
      <c r="K42892" s="18"/>
    </row>
    <row r="42893">
      <c r="B42893" s="17" t="s">
        <v>477</v>
      </c>
      <c r="K42893" s="18"/>
    </row>
    <row r="42894">
      <c r="B42894" s="17" t="s">
        <v>477</v>
      </c>
      <c r="K42894" s="18"/>
    </row>
    <row r="42895">
      <c r="B42895" s="17" t="s">
        <v>477</v>
      </c>
      <c r="K42895" s="18"/>
    </row>
    <row r="42896">
      <c r="B42896" s="17" t="s">
        <v>477</v>
      </c>
      <c r="K42896" s="18"/>
    </row>
    <row r="42897">
      <c r="B42897" s="17" t="s">
        <v>477</v>
      </c>
      <c r="K42897" s="18"/>
    </row>
    <row r="42898">
      <c r="B42898" s="17" t="s">
        <v>477</v>
      </c>
      <c r="K42898" s="18"/>
    </row>
    <row r="42899">
      <c r="B42899" s="17" t="s">
        <v>477</v>
      </c>
      <c r="K42899" s="18"/>
    </row>
    <row r="42900">
      <c r="B42900" s="17" t="s">
        <v>477</v>
      </c>
      <c r="K42900" s="18"/>
    </row>
    <row r="42901">
      <c r="B42901" s="17" t="s">
        <v>477</v>
      </c>
      <c r="K42901" s="18"/>
    </row>
    <row r="42902">
      <c r="B42902" s="17" t="s">
        <v>477</v>
      </c>
      <c r="K42902" s="18"/>
    </row>
    <row r="42903">
      <c r="B42903" s="17" t="s">
        <v>477</v>
      </c>
      <c r="K42903" s="18"/>
    </row>
    <row r="42904">
      <c r="B42904" s="17" t="s">
        <v>477</v>
      </c>
      <c r="K42904" s="18"/>
    </row>
    <row r="42905">
      <c r="B42905" s="17" t="s">
        <v>477</v>
      </c>
      <c r="K42905" s="18"/>
    </row>
    <row r="42906">
      <c r="B42906" s="17" t="s">
        <v>477</v>
      </c>
      <c r="K42906" s="18"/>
    </row>
    <row r="42907">
      <c r="B42907" s="17" t="s">
        <v>477</v>
      </c>
      <c r="K42907" s="18"/>
    </row>
    <row r="42908">
      <c r="B42908" s="17" t="s">
        <v>477</v>
      </c>
      <c r="K42908" s="18"/>
    </row>
    <row r="42909">
      <c r="B42909" s="17" t="s">
        <v>477</v>
      </c>
      <c r="K42909" s="18"/>
    </row>
    <row r="42910">
      <c r="B42910" s="17" t="s">
        <v>477</v>
      </c>
      <c r="K42910" s="18"/>
    </row>
    <row r="42911">
      <c r="B42911" s="17" t="s">
        <v>477</v>
      </c>
      <c r="K42911" s="18"/>
    </row>
    <row r="42912">
      <c r="B42912" s="17" t="s">
        <v>477</v>
      </c>
      <c r="K42912" s="18"/>
    </row>
    <row r="42913">
      <c r="B42913" s="17" t="s">
        <v>477</v>
      </c>
      <c r="K42913" s="18"/>
    </row>
    <row r="42914">
      <c r="B42914" s="17" t="s">
        <v>477</v>
      </c>
      <c r="K42914" s="18"/>
    </row>
    <row r="42915">
      <c r="B42915" s="17" t="s">
        <v>477</v>
      </c>
      <c r="K42915" s="18"/>
    </row>
    <row r="42916">
      <c r="B42916" s="17" t="s">
        <v>477</v>
      </c>
      <c r="K42916" s="18"/>
    </row>
    <row r="42917">
      <c r="B42917" s="17" t="s">
        <v>477</v>
      </c>
      <c r="K42917" s="18"/>
    </row>
    <row r="42918">
      <c r="B42918" s="17" t="s">
        <v>477</v>
      </c>
      <c r="K42918" s="18"/>
    </row>
    <row r="42919">
      <c r="B42919" s="17" t="s">
        <v>477</v>
      </c>
      <c r="K42919" s="18"/>
    </row>
    <row r="42920">
      <c r="B42920" s="17" t="s">
        <v>477</v>
      </c>
      <c r="K42920" s="18"/>
    </row>
    <row r="42921">
      <c r="B42921" s="17" t="s">
        <v>477</v>
      </c>
      <c r="K42921" s="18"/>
    </row>
    <row r="42922">
      <c r="B42922" s="17" t="s">
        <v>477</v>
      </c>
      <c r="K42922" s="18"/>
    </row>
    <row r="42923">
      <c r="B42923" s="17" t="s">
        <v>477</v>
      </c>
      <c r="K42923" s="18"/>
    </row>
    <row r="42924">
      <c r="B42924" s="17" t="s">
        <v>477</v>
      </c>
      <c r="K42924" s="18"/>
    </row>
    <row r="42925">
      <c r="B42925" s="17" t="s">
        <v>477</v>
      </c>
      <c r="K42925" s="18"/>
    </row>
    <row r="42926">
      <c r="B42926" s="17" t="s">
        <v>477</v>
      </c>
      <c r="K42926" s="18"/>
    </row>
    <row r="42927">
      <c r="B42927" s="17" t="s">
        <v>477</v>
      </c>
      <c r="K42927" s="18"/>
    </row>
    <row r="42928">
      <c r="B42928" s="17" t="s">
        <v>477</v>
      </c>
      <c r="K42928" s="18"/>
    </row>
    <row r="42929">
      <c r="B42929" s="17" t="s">
        <v>477</v>
      </c>
      <c r="K42929" s="18"/>
    </row>
    <row r="42930">
      <c r="B42930" s="17" t="s">
        <v>477</v>
      </c>
      <c r="K42930" s="18"/>
    </row>
    <row r="42931">
      <c r="B42931" s="17" t="s">
        <v>477</v>
      </c>
      <c r="K42931" s="18"/>
    </row>
    <row r="42932">
      <c r="B42932" s="17" t="s">
        <v>477</v>
      </c>
      <c r="K42932" s="18"/>
    </row>
    <row r="42933">
      <c r="B42933" s="17" t="s">
        <v>477</v>
      </c>
      <c r="K42933" s="18"/>
    </row>
    <row r="42934">
      <c r="B42934" s="17" t="s">
        <v>477</v>
      </c>
      <c r="K42934" s="18"/>
    </row>
    <row r="42935">
      <c r="B42935" s="17" t="s">
        <v>477</v>
      </c>
      <c r="K42935" s="18"/>
    </row>
    <row r="42936">
      <c r="B42936" s="17" t="s">
        <v>477</v>
      </c>
      <c r="K42936" s="18"/>
    </row>
    <row r="42937">
      <c r="B42937" s="17" t="s">
        <v>477</v>
      </c>
      <c r="K42937" s="18"/>
    </row>
    <row r="42938">
      <c r="B42938" s="17" t="s">
        <v>477</v>
      </c>
      <c r="K42938" s="18"/>
    </row>
    <row r="42939">
      <c r="B42939" s="17" t="s">
        <v>477</v>
      </c>
      <c r="K42939" s="18"/>
    </row>
    <row r="42940">
      <c r="B42940" s="17" t="s">
        <v>477</v>
      </c>
      <c r="K42940" s="18"/>
    </row>
    <row r="42941">
      <c r="B42941" s="17" t="s">
        <v>477</v>
      </c>
      <c r="K42941" s="18"/>
    </row>
    <row r="42942">
      <c r="B42942" s="17" t="s">
        <v>477</v>
      </c>
      <c r="K42942" s="18"/>
    </row>
    <row r="42943">
      <c r="B42943" s="17" t="s">
        <v>477</v>
      </c>
      <c r="K42943" s="18"/>
    </row>
    <row r="42944">
      <c r="B42944" s="17" t="s">
        <v>477</v>
      </c>
      <c r="K42944" s="18"/>
    </row>
    <row r="42945">
      <c r="B42945" s="17" t="s">
        <v>477</v>
      </c>
      <c r="K42945" s="18"/>
    </row>
    <row r="42946">
      <c r="B42946" s="17" t="s">
        <v>477</v>
      </c>
      <c r="K42946" s="18"/>
    </row>
    <row r="42947">
      <c r="B42947" s="17" t="s">
        <v>477</v>
      </c>
      <c r="K42947" s="18"/>
    </row>
    <row r="42948">
      <c r="B42948" s="17" t="s">
        <v>477</v>
      </c>
      <c r="K42948" s="18"/>
    </row>
    <row r="42949">
      <c r="B42949" s="17" t="s">
        <v>477</v>
      </c>
      <c r="K42949" s="18"/>
    </row>
    <row r="42950">
      <c r="B42950" s="17" t="s">
        <v>477</v>
      </c>
      <c r="K42950" s="18"/>
    </row>
    <row r="42951">
      <c r="B42951" s="17" t="s">
        <v>477</v>
      </c>
      <c r="K42951" s="18"/>
    </row>
    <row r="42952">
      <c r="B42952" s="17" t="s">
        <v>477</v>
      </c>
      <c r="K42952" s="18"/>
    </row>
    <row r="42953">
      <c r="B42953" s="17" t="s">
        <v>477</v>
      </c>
      <c r="K42953" s="18"/>
    </row>
    <row r="42954">
      <c r="B42954" s="17" t="s">
        <v>477</v>
      </c>
      <c r="K42954" s="18"/>
    </row>
    <row r="42955">
      <c r="B42955" s="17" t="s">
        <v>477</v>
      </c>
      <c r="K42955" s="18"/>
    </row>
    <row r="42956">
      <c r="B42956" s="17" t="s">
        <v>477</v>
      </c>
      <c r="K42956" s="18"/>
    </row>
    <row r="42957">
      <c r="B42957" s="17" t="s">
        <v>477</v>
      </c>
      <c r="K42957" s="18"/>
    </row>
    <row r="42958">
      <c r="B42958" s="17" t="s">
        <v>477</v>
      </c>
      <c r="K42958" s="18"/>
    </row>
    <row r="42959">
      <c r="B42959" s="17" t="s">
        <v>477</v>
      </c>
      <c r="K42959" s="18"/>
    </row>
    <row r="42960">
      <c r="B42960" s="17" t="s">
        <v>477</v>
      </c>
      <c r="K42960" s="18"/>
    </row>
    <row r="42961">
      <c r="B42961" s="17" t="s">
        <v>477</v>
      </c>
      <c r="K42961" s="18"/>
    </row>
    <row r="42962">
      <c r="B42962" s="17" t="s">
        <v>477</v>
      </c>
      <c r="K42962" s="18"/>
    </row>
    <row r="42963">
      <c r="B42963" s="17" t="s">
        <v>477</v>
      </c>
      <c r="K42963" s="18"/>
    </row>
    <row r="42964">
      <c r="B42964" s="17" t="s">
        <v>477</v>
      </c>
      <c r="K42964" s="18"/>
    </row>
    <row r="42965">
      <c r="B42965" s="17" t="s">
        <v>477</v>
      </c>
      <c r="K42965" s="18"/>
    </row>
    <row r="42966">
      <c r="B42966" s="17" t="s">
        <v>477</v>
      </c>
      <c r="K42966" s="18"/>
    </row>
    <row r="42967">
      <c r="B42967" s="17" t="s">
        <v>477</v>
      </c>
      <c r="K42967" s="18"/>
    </row>
    <row r="42968">
      <c r="B42968" s="17" t="s">
        <v>477</v>
      </c>
      <c r="K42968" s="18"/>
    </row>
    <row r="42969">
      <c r="B42969" s="17" t="s">
        <v>477</v>
      </c>
      <c r="K42969" s="18"/>
    </row>
    <row r="42970">
      <c r="B42970" s="17" t="s">
        <v>477</v>
      </c>
      <c r="K42970" s="18"/>
    </row>
    <row r="42971">
      <c r="B42971" s="17" t="s">
        <v>477</v>
      </c>
      <c r="K42971" s="18"/>
    </row>
    <row r="42972">
      <c r="B42972" s="17" t="s">
        <v>477</v>
      </c>
      <c r="K42972" s="18"/>
    </row>
    <row r="42973">
      <c r="B42973" s="17" t="s">
        <v>477</v>
      </c>
      <c r="K42973" s="18"/>
    </row>
    <row r="42974">
      <c r="B42974" s="17" t="s">
        <v>477</v>
      </c>
      <c r="K42974" s="18"/>
    </row>
    <row r="42975">
      <c r="B42975" s="17" t="s">
        <v>477</v>
      </c>
      <c r="K42975" s="18"/>
    </row>
    <row r="42976">
      <c r="B42976" s="17" t="s">
        <v>477</v>
      </c>
      <c r="K42976" s="18"/>
    </row>
    <row r="42977">
      <c r="B42977" s="17" t="s">
        <v>477</v>
      </c>
      <c r="K42977" s="18"/>
    </row>
    <row r="42978">
      <c r="B42978" s="17" t="s">
        <v>477</v>
      </c>
      <c r="K42978" s="18"/>
    </row>
    <row r="42979">
      <c r="B42979" s="17" t="s">
        <v>477</v>
      </c>
      <c r="K42979" s="18"/>
    </row>
    <row r="42980">
      <c r="B42980" s="17" t="s">
        <v>477</v>
      </c>
      <c r="K42980" s="18"/>
    </row>
    <row r="42981">
      <c r="B42981" s="17" t="s">
        <v>477</v>
      </c>
      <c r="K42981" s="18"/>
    </row>
    <row r="42982">
      <c r="B42982" s="17" t="s">
        <v>477</v>
      </c>
      <c r="K42982" s="18"/>
    </row>
    <row r="42983">
      <c r="B42983" s="17" t="s">
        <v>477</v>
      </c>
      <c r="K42983" s="18"/>
    </row>
    <row r="42984">
      <c r="B42984" s="17" t="s">
        <v>477</v>
      </c>
      <c r="K42984" s="18"/>
    </row>
    <row r="42985">
      <c r="B42985" s="17" t="s">
        <v>477</v>
      </c>
      <c r="K42985" s="18"/>
    </row>
    <row r="42986">
      <c r="B42986" s="17" t="s">
        <v>477</v>
      </c>
      <c r="K42986" s="18"/>
    </row>
    <row r="42987">
      <c r="B42987" s="17" t="s">
        <v>477</v>
      </c>
      <c r="K42987" s="18"/>
    </row>
    <row r="42988">
      <c r="B42988" s="17" t="s">
        <v>477</v>
      </c>
      <c r="K42988" s="18"/>
    </row>
    <row r="42989">
      <c r="B42989" s="17" t="s">
        <v>477</v>
      </c>
      <c r="K42989" s="18"/>
    </row>
    <row r="42990">
      <c r="B42990" s="17" t="s">
        <v>477</v>
      </c>
      <c r="K42990" s="18"/>
    </row>
    <row r="42991">
      <c r="B42991" s="17" t="s">
        <v>477</v>
      </c>
      <c r="K42991" s="18"/>
    </row>
    <row r="42992">
      <c r="B42992" s="17" t="s">
        <v>477</v>
      </c>
      <c r="K42992" s="18"/>
    </row>
    <row r="42993">
      <c r="B42993" s="17" t="s">
        <v>477</v>
      </c>
      <c r="K42993" s="18"/>
    </row>
    <row r="42994">
      <c r="B42994" s="17" t="s">
        <v>477</v>
      </c>
      <c r="K42994" s="18"/>
    </row>
    <row r="42995">
      <c r="B42995" s="17" t="s">
        <v>477</v>
      </c>
      <c r="K42995" s="18"/>
    </row>
    <row r="42996">
      <c r="B42996" s="17" t="s">
        <v>477</v>
      </c>
      <c r="K42996" s="18"/>
    </row>
    <row r="42997">
      <c r="B42997" s="17" t="s">
        <v>477</v>
      </c>
      <c r="K42997" s="18"/>
    </row>
    <row r="42998">
      <c r="B42998" s="17" t="s">
        <v>477</v>
      </c>
      <c r="K42998" s="18"/>
    </row>
    <row r="42999">
      <c r="B42999" s="17" t="s">
        <v>477</v>
      </c>
      <c r="K42999" s="18"/>
    </row>
    <row r="43000">
      <c r="B43000" s="17" t="s">
        <v>477</v>
      </c>
      <c r="K43000" s="18"/>
    </row>
    <row r="43001">
      <c r="B43001" s="17" t="s">
        <v>477</v>
      </c>
      <c r="K43001" s="18"/>
    </row>
    <row r="43002">
      <c r="B43002" s="17" t="s">
        <v>477</v>
      </c>
      <c r="K43002" s="18"/>
    </row>
    <row r="43003">
      <c r="B43003" s="17" t="s">
        <v>477</v>
      </c>
      <c r="K43003" s="18"/>
    </row>
    <row r="43004">
      <c r="B43004" s="17" t="s">
        <v>477</v>
      </c>
      <c r="K43004" s="18"/>
    </row>
    <row r="43005">
      <c r="B43005" s="17" t="s">
        <v>477</v>
      </c>
      <c r="K43005" s="18"/>
    </row>
    <row r="43006">
      <c r="B43006" s="17" t="s">
        <v>477</v>
      </c>
      <c r="K43006" s="18"/>
    </row>
    <row r="43007">
      <c r="B43007" s="17" t="s">
        <v>477</v>
      </c>
      <c r="K43007" s="18"/>
    </row>
    <row r="43008">
      <c r="B43008" s="17" t="s">
        <v>477</v>
      </c>
      <c r="K43008" s="18"/>
    </row>
    <row r="43009">
      <c r="B43009" s="17" t="s">
        <v>477</v>
      </c>
      <c r="K43009" s="18"/>
    </row>
    <row r="43010">
      <c r="B43010" s="17" t="s">
        <v>477</v>
      </c>
      <c r="K43010" s="18"/>
    </row>
    <row r="43011">
      <c r="B43011" s="17" t="s">
        <v>477</v>
      </c>
      <c r="K43011" s="18"/>
    </row>
    <row r="43012">
      <c r="B43012" s="17" t="s">
        <v>477</v>
      </c>
      <c r="K43012" s="18"/>
    </row>
    <row r="43013">
      <c r="B43013" s="17" t="s">
        <v>477</v>
      </c>
      <c r="K43013" s="18"/>
    </row>
    <row r="43014">
      <c r="B43014" s="17" t="s">
        <v>477</v>
      </c>
      <c r="K43014" s="18"/>
    </row>
    <row r="43015">
      <c r="B43015" s="17" t="s">
        <v>477</v>
      </c>
      <c r="K43015" s="18"/>
    </row>
    <row r="43016">
      <c r="B43016" s="17" t="s">
        <v>477</v>
      </c>
      <c r="K43016" s="18"/>
    </row>
    <row r="43017">
      <c r="B43017" s="17" t="s">
        <v>477</v>
      </c>
      <c r="K43017" s="18"/>
    </row>
    <row r="43018">
      <c r="B43018" s="17" t="s">
        <v>477</v>
      </c>
      <c r="K43018" s="18"/>
    </row>
    <row r="43019">
      <c r="B43019" s="17" t="s">
        <v>477</v>
      </c>
      <c r="K43019" s="18"/>
    </row>
    <row r="43020">
      <c r="B43020" s="17" t="s">
        <v>477</v>
      </c>
      <c r="K43020" s="18"/>
    </row>
    <row r="43021">
      <c r="B43021" s="17" t="s">
        <v>477</v>
      </c>
      <c r="K43021" s="18"/>
    </row>
    <row r="43022">
      <c r="B43022" s="17" t="s">
        <v>477</v>
      </c>
      <c r="K43022" s="18"/>
    </row>
    <row r="43023">
      <c r="B43023" s="17" t="s">
        <v>477</v>
      </c>
      <c r="K43023" s="18"/>
    </row>
    <row r="43024">
      <c r="B43024" s="17" t="s">
        <v>477</v>
      </c>
      <c r="K43024" s="18"/>
    </row>
    <row r="43025">
      <c r="B43025" s="17" t="s">
        <v>477</v>
      </c>
      <c r="K43025" s="18"/>
    </row>
    <row r="43026">
      <c r="B43026" s="17" t="s">
        <v>477</v>
      </c>
      <c r="K43026" s="18"/>
    </row>
    <row r="43027">
      <c r="B43027" s="17" t="s">
        <v>477</v>
      </c>
      <c r="K43027" s="18"/>
    </row>
    <row r="43028">
      <c r="B43028" s="17" t="s">
        <v>477</v>
      </c>
      <c r="K43028" s="18"/>
    </row>
    <row r="43029">
      <c r="B43029" s="17" t="s">
        <v>477</v>
      </c>
      <c r="K43029" s="18"/>
    </row>
    <row r="43030">
      <c r="B43030" s="17" t="s">
        <v>477</v>
      </c>
      <c r="K43030" s="18"/>
    </row>
    <row r="43031">
      <c r="B43031" s="17" t="s">
        <v>477</v>
      </c>
      <c r="K43031" s="18"/>
    </row>
    <row r="43032">
      <c r="B43032" s="17" t="s">
        <v>477</v>
      </c>
      <c r="K43032" s="18"/>
    </row>
    <row r="43033">
      <c r="B43033" s="17" t="s">
        <v>477</v>
      </c>
      <c r="K43033" s="18"/>
    </row>
    <row r="43034">
      <c r="B43034" s="17" t="s">
        <v>477</v>
      </c>
      <c r="K43034" s="18"/>
    </row>
    <row r="43035">
      <c r="B43035" s="17" t="s">
        <v>477</v>
      </c>
      <c r="K43035" s="18"/>
    </row>
    <row r="43036">
      <c r="B43036" s="17" t="s">
        <v>477</v>
      </c>
      <c r="K43036" s="18"/>
    </row>
    <row r="43037">
      <c r="B43037" s="17" t="s">
        <v>477</v>
      </c>
      <c r="K43037" s="18"/>
    </row>
    <row r="43038">
      <c r="B43038" s="17" t="s">
        <v>477</v>
      </c>
      <c r="K43038" s="18"/>
    </row>
    <row r="43039">
      <c r="B43039" s="17" t="s">
        <v>477</v>
      </c>
      <c r="K43039" s="18"/>
    </row>
    <row r="43040">
      <c r="B43040" s="17" t="s">
        <v>477</v>
      </c>
      <c r="K43040" s="18"/>
    </row>
    <row r="43041">
      <c r="B43041" s="17" t="s">
        <v>477</v>
      </c>
      <c r="K43041" s="18"/>
    </row>
    <row r="43042">
      <c r="B43042" s="17" t="s">
        <v>477</v>
      </c>
      <c r="K43042" s="18"/>
    </row>
    <row r="43043">
      <c r="B43043" s="17" t="s">
        <v>477</v>
      </c>
      <c r="K43043" s="18"/>
    </row>
    <row r="43044">
      <c r="B43044" s="17" t="s">
        <v>477</v>
      </c>
      <c r="K43044" s="18"/>
    </row>
    <row r="43045">
      <c r="B43045" s="17" t="s">
        <v>477</v>
      </c>
      <c r="K43045" s="18"/>
    </row>
    <row r="43046">
      <c r="B43046" s="17" t="s">
        <v>477</v>
      </c>
      <c r="K43046" s="18"/>
    </row>
    <row r="43047">
      <c r="B43047" s="17" t="s">
        <v>477</v>
      </c>
      <c r="K43047" s="18"/>
    </row>
    <row r="43048">
      <c r="B43048" s="17" t="s">
        <v>477</v>
      </c>
      <c r="K43048" s="18"/>
    </row>
    <row r="43049">
      <c r="B43049" s="17" t="s">
        <v>477</v>
      </c>
      <c r="K43049" s="18"/>
    </row>
    <row r="43050">
      <c r="B43050" s="17" t="s">
        <v>477</v>
      </c>
      <c r="K43050" s="18"/>
    </row>
    <row r="43051">
      <c r="B43051" s="17" t="s">
        <v>477</v>
      </c>
      <c r="K43051" s="18"/>
    </row>
    <row r="43052">
      <c r="B43052" s="17" t="s">
        <v>477</v>
      </c>
      <c r="K43052" s="18"/>
    </row>
    <row r="43053">
      <c r="B43053" s="17" t="s">
        <v>477</v>
      </c>
      <c r="K43053" s="18"/>
    </row>
    <row r="43054">
      <c r="B43054" s="17" t="s">
        <v>477</v>
      </c>
      <c r="K43054" s="18"/>
    </row>
    <row r="43055">
      <c r="B43055" s="17" t="s">
        <v>477</v>
      </c>
      <c r="K43055" s="18"/>
    </row>
    <row r="43056">
      <c r="B43056" s="17" t="s">
        <v>477</v>
      </c>
      <c r="K43056" s="18"/>
    </row>
    <row r="43057">
      <c r="B43057" s="17" t="s">
        <v>477</v>
      </c>
      <c r="K43057" s="18"/>
    </row>
    <row r="43058">
      <c r="B43058" s="17" t="s">
        <v>477</v>
      </c>
      <c r="K43058" s="18"/>
    </row>
    <row r="43059">
      <c r="B43059" s="17" t="s">
        <v>477</v>
      </c>
      <c r="K43059" s="18"/>
    </row>
    <row r="43060">
      <c r="B43060" s="17" t="s">
        <v>477</v>
      </c>
      <c r="K43060" s="18"/>
    </row>
    <row r="43061">
      <c r="B43061" s="17" t="s">
        <v>477</v>
      </c>
      <c r="K43061" s="18"/>
    </row>
    <row r="43062">
      <c r="B43062" s="17" t="s">
        <v>477</v>
      </c>
      <c r="K43062" s="18"/>
    </row>
    <row r="43063">
      <c r="B43063" s="17" t="s">
        <v>477</v>
      </c>
      <c r="K43063" s="18"/>
    </row>
    <row r="43064">
      <c r="B43064" s="17" t="s">
        <v>477</v>
      </c>
      <c r="K43064" s="18"/>
    </row>
    <row r="43065">
      <c r="B43065" s="17" t="s">
        <v>477</v>
      </c>
      <c r="K43065" s="18"/>
    </row>
    <row r="43066">
      <c r="B43066" s="17" t="s">
        <v>477</v>
      </c>
      <c r="K43066" s="18"/>
    </row>
    <row r="43067">
      <c r="B43067" s="17" t="s">
        <v>477</v>
      </c>
      <c r="K43067" s="18"/>
    </row>
    <row r="43068">
      <c r="B43068" s="17" t="s">
        <v>477</v>
      </c>
      <c r="K43068" s="18"/>
    </row>
    <row r="43069">
      <c r="B43069" s="17" t="s">
        <v>477</v>
      </c>
      <c r="K43069" s="18"/>
    </row>
    <row r="43070">
      <c r="B43070" s="17" t="s">
        <v>477</v>
      </c>
      <c r="K43070" s="18"/>
    </row>
    <row r="43071">
      <c r="B43071" s="17" t="s">
        <v>477</v>
      </c>
      <c r="K43071" s="18"/>
    </row>
    <row r="43072">
      <c r="B43072" s="17" t="s">
        <v>477</v>
      </c>
      <c r="K43072" s="18"/>
    </row>
    <row r="43073">
      <c r="B43073" s="17" t="s">
        <v>477</v>
      </c>
      <c r="K43073" s="18"/>
    </row>
    <row r="43074">
      <c r="B43074" s="17" t="s">
        <v>477</v>
      </c>
      <c r="K43074" s="18"/>
    </row>
    <row r="43075">
      <c r="B43075" s="17" t="s">
        <v>477</v>
      </c>
      <c r="K43075" s="18"/>
    </row>
    <row r="43076">
      <c r="B43076" s="17" t="s">
        <v>477</v>
      </c>
      <c r="K43076" s="18"/>
    </row>
    <row r="43077">
      <c r="B43077" s="17" t="s">
        <v>477</v>
      </c>
      <c r="K43077" s="18"/>
    </row>
    <row r="43078">
      <c r="B43078" s="17" t="s">
        <v>477</v>
      </c>
      <c r="K43078" s="18"/>
    </row>
    <row r="43079">
      <c r="B43079" s="17" t="s">
        <v>477</v>
      </c>
      <c r="K43079" s="18"/>
    </row>
    <row r="43080">
      <c r="B43080" s="17" t="s">
        <v>477</v>
      </c>
      <c r="K43080" s="18"/>
    </row>
    <row r="43081">
      <c r="B43081" s="17" t="s">
        <v>477</v>
      </c>
      <c r="K43081" s="18"/>
    </row>
    <row r="43082">
      <c r="B43082" s="17" t="s">
        <v>477</v>
      </c>
      <c r="K43082" s="18"/>
    </row>
    <row r="43083">
      <c r="B43083" s="17" t="s">
        <v>477</v>
      </c>
      <c r="K43083" s="18"/>
    </row>
    <row r="43084">
      <c r="B43084" s="17" t="s">
        <v>477</v>
      </c>
      <c r="K43084" s="18"/>
    </row>
    <row r="43085">
      <c r="B43085" s="17" t="s">
        <v>477</v>
      </c>
      <c r="K43085" s="18"/>
    </row>
    <row r="43086">
      <c r="B43086" s="17" t="s">
        <v>477</v>
      </c>
      <c r="K43086" s="18"/>
    </row>
    <row r="43087">
      <c r="B43087" s="17" t="s">
        <v>477</v>
      </c>
      <c r="K43087" s="18"/>
    </row>
    <row r="43088">
      <c r="B43088" s="17" t="s">
        <v>477</v>
      </c>
      <c r="K43088" s="18"/>
    </row>
    <row r="43089">
      <c r="B43089" s="17" t="s">
        <v>477</v>
      </c>
      <c r="K43089" s="18"/>
    </row>
    <row r="43090">
      <c r="B43090" s="17" t="s">
        <v>477</v>
      </c>
      <c r="K43090" s="18"/>
    </row>
    <row r="43091">
      <c r="B43091" s="17" t="s">
        <v>477</v>
      </c>
      <c r="K43091" s="18"/>
    </row>
    <row r="43092">
      <c r="B43092" s="17" t="s">
        <v>477</v>
      </c>
      <c r="K43092" s="18"/>
    </row>
    <row r="43093">
      <c r="B43093" s="17" t="s">
        <v>477</v>
      </c>
      <c r="K43093" s="18"/>
    </row>
    <row r="43094">
      <c r="B43094" s="17" t="s">
        <v>477</v>
      </c>
      <c r="K43094" s="18"/>
    </row>
    <row r="43095">
      <c r="B43095" s="17" t="s">
        <v>477</v>
      </c>
      <c r="K43095" s="18"/>
    </row>
    <row r="43096">
      <c r="B43096" s="17" t="s">
        <v>477</v>
      </c>
      <c r="K43096" s="18"/>
    </row>
    <row r="43097">
      <c r="B43097" s="17" t="s">
        <v>477</v>
      </c>
      <c r="K43097" s="18"/>
    </row>
    <row r="43098">
      <c r="B43098" s="17" t="s">
        <v>477</v>
      </c>
      <c r="K43098" s="18"/>
    </row>
    <row r="43099">
      <c r="B43099" s="17" t="s">
        <v>477</v>
      </c>
      <c r="K43099" s="18"/>
    </row>
    <row r="43100">
      <c r="B43100" s="17" t="s">
        <v>477</v>
      </c>
      <c r="K43100" s="18"/>
    </row>
    <row r="43101">
      <c r="B43101" s="17" t="s">
        <v>477</v>
      </c>
      <c r="K43101" s="18"/>
    </row>
    <row r="43102">
      <c r="B43102" s="17" t="s">
        <v>477</v>
      </c>
      <c r="K43102" s="18"/>
    </row>
    <row r="43103">
      <c r="B43103" s="17" t="s">
        <v>477</v>
      </c>
      <c r="K43103" s="18"/>
    </row>
    <row r="43104">
      <c r="B43104" s="17" t="s">
        <v>477</v>
      </c>
      <c r="K43104" s="18"/>
    </row>
    <row r="43105">
      <c r="B43105" s="17" t="s">
        <v>477</v>
      </c>
      <c r="K43105" s="18"/>
    </row>
    <row r="43106">
      <c r="B43106" s="17" t="s">
        <v>477</v>
      </c>
      <c r="K43106" s="18"/>
    </row>
    <row r="43107">
      <c r="B43107" s="17" t="s">
        <v>477</v>
      </c>
      <c r="K43107" s="18"/>
    </row>
    <row r="43108">
      <c r="B43108" s="17" t="s">
        <v>477</v>
      </c>
      <c r="K43108" s="18"/>
    </row>
    <row r="43109">
      <c r="B43109" s="17" t="s">
        <v>477</v>
      </c>
      <c r="K43109" s="18"/>
    </row>
    <row r="43110">
      <c r="B43110" s="17" t="s">
        <v>477</v>
      </c>
      <c r="K43110" s="18"/>
    </row>
    <row r="43111">
      <c r="B43111" s="17" t="s">
        <v>477</v>
      </c>
      <c r="K43111" s="18"/>
    </row>
    <row r="43112">
      <c r="B43112" s="17" t="s">
        <v>477</v>
      </c>
      <c r="K43112" s="18"/>
    </row>
    <row r="43113">
      <c r="B43113" s="17" t="s">
        <v>477</v>
      </c>
      <c r="K43113" s="18"/>
    </row>
    <row r="43114">
      <c r="B43114" s="17" t="s">
        <v>477</v>
      </c>
      <c r="K43114" s="18"/>
    </row>
    <row r="43115">
      <c r="B43115" s="17" t="s">
        <v>477</v>
      </c>
      <c r="K43115" s="18"/>
    </row>
    <row r="43116">
      <c r="B43116" s="17" t="s">
        <v>477</v>
      </c>
      <c r="K43116" s="18"/>
    </row>
    <row r="43117">
      <c r="B43117" s="17" t="s">
        <v>477</v>
      </c>
      <c r="K43117" s="18"/>
    </row>
    <row r="43118">
      <c r="B43118" s="17" t="s">
        <v>477</v>
      </c>
      <c r="K43118" s="18"/>
    </row>
    <row r="43119">
      <c r="B43119" s="17" t="s">
        <v>477</v>
      </c>
      <c r="K43119" s="18"/>
    </row>
    <row r="43120">
      <c r="B43120" s="17" t="s">
        <v>477</v>
      </c>
      <c r="K43120" s="18"/>
    </row>
    <row r="43121">
      <c r="B43121" s="17" t="s">
        <v>477</v>
      </c>
      <c r="K43121" s="18"/>
    </row>
    <row r="43122">
      <c r="B43122" s="17" t="s">
        <v>477</v>
      </c>
      <c r="K43122" s="18"/>
    </row>
    <row r="43123">
      <c r="B43123" s="17" t="s">
        <v>477</v>
      </c>
      <c r="K43123" s="18"/>
    </row>
    <row r="43124">
      <c r="B43124" s="17" t="s">
        <v>477</v>
      </c>
      <c r="K43124" s="18"/>
    </row>
    <row r="43125">
      <c r="B43125" s="17" t="s">
        <v>477</v>
      </c>
      <c r="K43125" s="18"/>
    </row>
    <row r="43126">
      <c r="B43126" s="17" t="s">
        <v>477</v>
      </c>
      <c r="K43126" s="18"/>
    </row>
    <row r="43127">
      <c r="B43127" s="17" t="s">
        <v>477</v>
      </c>
      <c r="K43127" s="18"/>
    </row>
    <row r="43128">
      <c r="B43128" s="17" t="s">
        <v>477</v>
      </c>
      <c r="K43128" s="18"/>
    </row>
    <row r="43129">
      <c r="B43129" s="17" t="s">
        <v>477</v>
      </c>
      <c r="K43129" s="18"/>
    </row>
    <row r="43130">
      <c r="B43130" s="17" t="s">
        <v>477</v>
      </c>
      <c r="K43130" s="18"/>
    </row>
    <row r="43131">
      <c r="B43131" s="17" t="s">
        <v>477</v>
      </c>
      <c r="K43131" s="18"/>
    </row>
    <row r="43132">
      <c r="B43132" s="17" t="s">
        <v>477</v>
      </c>
      <c r="K43132" s="18"/>
    </row>
    <row r="43133">
      <c r="B43133" s="17" t="s">
        <v>477</v>
      </c>
      <c r="K43133" s="18"/>
    </row>
    <row r="43134">
      <c r="B43134" s="17" t="s">
        <v>477</v>
      </c>
      <c r="K43134" s="18"/>
    </row>
    <row r="43135">
      <c r="B43135" s="17" t="s">
        <v>477</v>
      </c>
      <c r="K43135" s="18"/>
    </row>
    <row r="43136">
      <c r="B43136" s="17" t="s">
        <v>477</v>
      </c>
      <c r="K43136" s="18"/>
    </row>
    <row r="43137">
      <c r="B43137" s="17" t="s">
        <v>477</v>
      </c>
      <c r="K43137" s="18"/>
    </row>
    <row r="43138">
      <c r="B43138" s="17" t="s">
        <v>477</v>
      </c>
      <c r="K43138" s="18"/>
    </row>
    <row r="43139">
      <c r="B43139" s="17" t="s">
        <v>477</v>
      </c>
      <c r="K43139" s="18"/>
    </row>
    <row r="43140">
      <c r="B43140" s="17" t="s">
        <v>477</v>
      </c>
      <c r="K43140" s="18"/>
    </row>
    <row r="43141">
      <c r="B43141" s="17" t="s">
        <v>477</v>
      </c>
      <c r="K43141" s="18"/>
    </row>
    <row r="43142">
      <c r="B43142" s="17" t="s">
        <v>477</v>
      </c>
      <c r="K43142" s="18"/>
    </row>
    <row r="43143">
      <c r="B43143" s="17" t="s">
        <v>477</v>
      </c>
      <c r="K43143" s="18"/>
    </row>
    <row r="43144">
      <c r="B43144" s="17" t="s">
        <v>477</v>
      </c>
      <c r="K43144" s="18"/>
    </row>
    <row r="43145">
      <c r="B43145" s="17" t="s">
        <v>477</v>
      </c>
      <c r="K43145" s="18"/>
    </row>
    <row r="43146">
      <c r="B43146" s="17" t="s">
        <v>477</v>
      </c>
      <c r="K43146" s="18"/>
    </row>
    <row r="43147">
      <c r="B43147" s="17" t="s">
        <v>477</v>
      </c>
      <c r="K43147" s="18"/>
    </row>
    <row r="43148">
      <c r="B43148" s="17" t="s">
        <v>477</v>
      </c>
      <c r="K43148" s="18"/>
    </row>
    <row r="43149">
      <c r="B43149" s="17" t="s">
        <v>477</v>
      </c>
      <c r="K43149" s="18"/>
    </row>
    <row r="43150">
      <c r="B43150" s="17" t="s">
        <v>477</v>
      </c>
      <c r="K43150" s="18"/>
    </row>
    <row r="43151">
      <c r="B43151" s="17" t="s">
        <v>477</v>
      </c>
      <c r="K43151" s="18"/>
    </row>
    <row r="43152">
      <c r="B43152" s="17" t="s">
        <v>477</v>
      </c>
      <c r="K43152" s="18"/>
    </row>
    <row r="43153">
      <c r="B43153" s="17" t="s">
        <v>477</v>
      </c>
      <c r="K43153" s="18"/>
    </row>
    <row r="43154">
      <c r="B43154" s="17" t="s">
        <v>477</v>
      </c>
      <c r="K43154" s="18"/>
    </row>
    <row r="43155">
      <c r="B43155" s="17" t="s">
        <v>477</v>
      </c>
      <c r="K43155" s="18"/>
    </row>
    <row r="43156">
      <c r="B43156" s="17" t="s">
        <v>477</v>
      </c>
      <c r="K43156" s="18"/>
    </row>
    <row r="43157">
      <c r="B43157" s="17" t="s">
        <v>477</v>
      </c>
      <c r="K43157" s="18"/>
    </row>
    <row r="43158">
      <c r="B43158" s="17" t="s">
        <v>477</v>
      </c>
      <c r="K43158" s="18"/>
    </row>
    <row r="43159">
      <c r="B43159" s="17" t="s">
        <v>477</v>
      </c>
      <c r="K43159" s="18"/>
    </row>
    <row r="43160">
      <c r="B43160" s="17" t="s">
        <v>477</v>
      </c>
      <c r="K43160" s="18"/>
    </row>
    <row r="43161">
      <c r="B43161" s="17" t="s">
        <v>477</v>
      </c>
      <c r="K43161" s="18"/>
    </row>
    <row r="43162">
      <c r="B43162" s="17" t="s">
        <v>477</v>
      </c>
      <c r="K43162" s="18"/>
    </row>
    <row r="43163">
      <c r="B43163" s="17" t="s">
        <v>477</v>
      </c>
      <c r="K43163" s="18"/>
    </row>
    <row r="43164">
      <c r="B43164" s="17" t="s">
        <v>477</v>
      </c>
      <c r="K43164" s="18"/>
    </row>
    <row r="43165">
      <c r="B43165" s="17" t="s">
        <v>477</v>
      </c>
      <c r="K43165" s="18"/>
    </row>
    <row r="43166">
      <c r="B43166" s="17" t="s">
        <v>477</v>
      </c>
      <c r="K43166" s="18"/>
    </row>
    <row r="43167">
      <c r="B43167" s="17" t="s">
        <v>477</v>
      </c>
      <c r="K43167" s="18"/>
    </row>
    <row r="43168">
      <c r="B43168" s="17" t="s">
        <v>477</v>
      </c>
      <c r="K43168" s="18"/>
    </row>
    <row r="43169">
      <c r="B43169" s="17" t="s">
        <v>477</v>
      </c>
      <c r="K43169" s="18"/>
    </row>
    <row r="43170">
      <c r="B43170" s="17" t="s">
        <v>477</v>
      </c>
      <c r="K43170" s="18"/>
    </row>
    <row r="43171">
      <c r="B43171" s="17" t="s">
        <v>477</v>
      </c>
      <c r="K43171" s="18"/>
    </row>
    <row r="43172">
      <c r="B43172" s="17" t="s">
        <v>477</v>
      </c>
      <c r="K43172" s="18"/>
    </row>
    <row r="43173">
      <c r="B43173" s="17" t="s">
        <v>477</v>
      </c>
      <c r="K43173" s="18"/>
    </row>
    <row r="43174">
      <c r="B43174" s="17" t="s">
        <v>477</v>
      </c>
      <c r="K43174" s="18"/>
    </row>
    <row r="43175">
      <c r="B43175" s="17" t="s">
        <v>477</v>
      </c>
      <c r="K43175" s="18"/>
    </row>
    <row r="43176">
      <c r="B43176" s="17" t="s">
        <v>477</v>
      </c>
      <c r="K43176" s="18"/>
    </row>
    <row r="43177">
      <c r="B43177" s="17" t="s">
        <v>477</v>
      </c>
      <c r="K43177" s="18"/>
    </row>
    <row r="43178">
      <c r="B43178" s="17" t="s">
        <v>477</v>
      </c>
      <c r="K43178" s="18"/>
    </row>
    <row r="43179">
      <c r="B43179" s="17" t="s">
        <v>477</v>
      </c>
      <c r="K43179" s="18"/>
    </row>
    <row r="43180">
      <c r="B43180" s="17" t="s">
        <v>477</v>
      </c>
      <c r="K43180" s="18"/>
    </row>
    <row r="43181">
      <c r="B43181" s="17" t="s">
        <v>477</v>
      </c>
      <c r="K43181" s="18"/>
    </row>
    <row r="43182">
      <c r="B43182" s="17" t="s">
        <v>477</v>
      </c>
      <c r="K43182" s="18"/>
    </row>
    <row r="43183">
      <c r="B43183" s="17" t="s">
        <v>477</v>
      </c>
      <c r="K43183" s="18"/>
    </row>
    <row r="43184">
      <c r="B43184" s="17" t="s">
        <v>477</v>
      </c>
      <c r="K43184" s="18"/>
    </row>
    <row r="43185">
      <c r="B43185" s="17" t="s">
        <v>477</v>
      </c>
      <c r="K43185" s="18"/>
    </row>
    <row r="43186">
      <c r="B43186" s="17" t="s">
        <v>477</v>
      </c>
      <c r="K43186" s="18"/>
    </row>
    <row r="43187">
      <c r="B43187" s="17" t="s">
        <v>477</v>
      </c>
      <c r="K43187" s="18"/>
    </row>
    <row r="43188">
      <c r="B43188" s="17" t="s">
        <v>477</v>
      </c>
      <c r="K43188" s="18"/>
    </row>
    <row r="43189">
      <c r="B43189" s="17" t="s">
        <v>477</v>
      </c>
      <c r="K43189" s="18"/>
    </row>
    <row r="43190">
      <c r="B43190" s="17" t="s">
        <v>477</v>
      </c>
      <c r="K43190" s="18"/>
    </row>
    <row r="43191">
      <c r="B43191" s="17" t="s">
        <v>477</v>
      </c>
      <c r="K43191" s="18"/>
    </row>
    <row r="43192">
      <c r="B43192" s="17" t="s">
        <v>477</v>
      </c>
      <c r="K43192" s="18"/>
    </row>
    <row r="43193">
      <c r="B43193" s="17" t="s">
        <v>477</v>
      </c>
      <c r="K43193" s="18"/>
    </row>
    <row r="43194">
      <c r="B43194" s="17" t="s">
        <v>477</v>
      </c>
      <c r="K43194" s="18"/>
    </row>
    <row r="43195">
      <c r="B43195" s="17" t="s">
        <v>477</v>
      </c>
      <c r="K43195" s="18"/>
    </row>
    <row r="43196">
      <c r="B43196" s="17" t="s">
        <v>477</v>
      </c>
      <c r="K43196" s="18"/>
    </row>
    <row r="43197">
      <c r="B43197" s="17" t="s">
        <v>477</v>
      </c>
      <c r="K43197" s="18"/>
    </row>
    <row r="43198">
      <c r="B43198" s="17" t="s">
        <v>477</v>
      </c>
      <c r="K43198" s="18"/>
    </row>
    <row r="43199">
      <c r="B43199" s="17" t="s">
        <v>477</v>
      </c>
      <c r="K43199" s="18"/>
    </row>
    <row r="43200">
      <c r="B43200" s="17" t="s">
        <v>477</v>
      </c>
      <c r="K43200" s="18"/>
    </row>
    <row r="43201">
      <c r="B43201" s="17" t="s">
        <v>477</v>
      </c>
      <c r="K43201" s="18"/>
    </row>
    <row r="43202">
      <c r="B43202" s="17" t="s">
        <v>477</v>
      </c>
      <c r="K43202" s="18"/>
    </row>
    <row r="43203">
      <c r="B43203" s="17" t="s">
        <v>477</v>
      </c>
      <c r="K43203" s="18"/>
    </row>
    <row r="43204">
      <c r="B43204" s="17" t="s">
        <v>477</v>
      </c>
      <c r="K43204" s="18"/>
    </row>
    <row r="43205">
      <c r="B43205" s="17" t="s">
        <v>477</v>
      </c>
      <c r="K43205" s="18"/>
    </row>
    <row r="43206">
      <c r="B43206" s="17" t="s">
        <v>477</v>
      </c>
      <c r="K43206" s="18"/>
    </row>
    <row r="43207">
      <c r="B43207" s="17" t="s">
        <v>477</v>
      </c>
      <c r="K43207" s="18"/>
    </row>
    <row r="43208">
      <c r="B43208" s="17" t="s">
        <v>477</v>
      </c>
      <c r="K43208" s="18"/>
    </row>
    <row r="43209">
      <c r="B43209" s="17" t="s">
        <v>477</v>
      </c>
      <c r="K43209" s="18"/>
    </row>
    <row r="43210">
      <c r="B43210" s="17" t="s">
        <v>477</v>
      </c>
      <c r="K43210" s="18"/>
    </row>
    <row r="43211">
      <c r="B43211" s="17" t="s">
        <v>477</v>
      </c>
      <c r="K43211" s="18"/>
    </row>
    <row r="43212">
      <c r="B43212" s="17" t="s">
        <v>477</v>
      </c>
      <c r="K43212" s="18"/>
    </row>
    <row r="43213">
      <c r="B43213" s="17" t="s">
        <v>477</v>
      </c>
      <c r="K43213" s="18"/>
    </row>
    <row r="43214">
      <c r="B43214" s="17" t="s">
        <v>477</v>
      </c>
      <c r="K43214" s="18"/>
    </row>
    <row r="43215">
      <c r="B43215" s="17" t="s">
        <v>477</v>
      </c>
      <c r="K43215" s="18"/>
    </row>
    <row r="43216">
      <c r="B43216" s="17" t="s">
        <v>477</v>
      </c>
      <c r="K43216" s="18"/>
    </row>
    <row r="43217">
      <c r="B43217" s="17" t="s">
        <v>477</v>
      </c>
      <c r="K43217" s="18"/>
    </row>
    <row r="43218">
      <c r="B43218" s="17" t="s">
        <v>477</v>
      </c>
      <c r="K43218" s="18"/>
    </row>
    <row r="43219">
      <c r="B43219" s="17" t="s">
        <v>477</v>
      </c>
      <c r="K43219" s="18"/>
    </row>
    <row r="43220">
      <c r="B43220" s="17" t="s">
        <v>477</v>
      </c>
      <c r="K43220" s="18"/>
    </row>
    <row r="43221">
      <c r="B43221" s="17" t="s">
        <v>477</v>
      </c>
      <c r="K43221" s="18"/>
    </row>
    <row r="43222">
      <c r="B43222" s="17" t="s">
        <v>477</v>
      </c>
      <c r="K43222" s="18"/>
    </row>
    <row r="43223">
      <c r="B43223" s="17" t="s">
        <v>477</v>
      </c>
      <c r="K43223" s="18"/>
    </row>
    <row r="43224">
      <c r="B43224" s="17" t="s">
        <v>477</v>
      </c>
      <c r="K43224" s="18"/>
    </row>
    <row r="43225">
      <c r="B43225" s="17" t="s">
        <v>477</v>
      </c>
      <c r="K43225" s="18"/>
    </row>
    <row r="43226">
      <c r="B43226" s="17" t="s">
        <v>477</v>
      </c>
      <c r="K43226" s="18"/>
    </row>
    <row r="43227">
      <c r="B43227" s="17" t="s">
        <v>477</v>
      </c>
      <c r="K43227" s="18"/>
    </row>
    <row r="43228">
      <c r="B43228" s="17" t="s">
        <v>477</v>
      </c>
      <c r="K43228" s="18"/>
    </row>
    <row r="43229">
      <c r="B43229" s="17" t="s">
        <v>477</v>
      </c>
      <c r="K43229" s="18"/>
    </row>
    <row r="43230">
      <c r="B43230" s="17" t="s">
        <v>477</v>
      </c>
      <c r="K43230" s="18"/>
    </row>
    <row r="43231">
      <c r="B43231" s="17" t="s">
        <v>477</v>
      </c>
      <c r="K43231" s="18"/>
    </row>
    <row r="43232">
      <c r="B43232" s="17" t="s">
        <v>477</v>
      </c>
      <c r="K43232" s="18"/>
    </row>
    <row r="43233">
      <c r="B43233" s="17" t="s">
        <v>477</v>
      </c>
      <c r="K43233" s="18"/>
    </row>
    <row r="43234">
      <c r="B43234" s="17" t="s">
        <v>477</v>
      </c>
      <c r="K43234" s="18"/>
    </row>
    <row r="43235">
      <c r="B43235" s="17" t="s">
        <v>477</v>
      </c>
      <c r="K43235" s="18"/>
    </row>
    <row r="43236">
      <c r="B43236" s="17" t="s">
        <v>477</v>
      </c>
      <c r="K43236" s="18"/>
    </row>
    <row r="43237">
      <c r="B43237" s="17" t="s">
        <v>477</v>
      </c>
      <c r="K43237" s="18"/>
    </row>
    <row r="43238">
      <c r="B43238" s="17" t="s">
        <v>477</v>
      </c>
      <c r="K43238" s="18"/>
    </row>
    <row r="43239">
      <c r="B43239" s="17" t="s">
        <v>477</v>
      </c>
      <c r="K43239" s="18"/>
    </row>
    <row r="43240">
      <c r="B43240" s="17" t="s">
        <v>477</v>
      </c>
      <c r="K43240" s="18"/>
    </row>
    <row r="43241">
      <c r="B43241" s="17" t="s">
        <v>477</v>
      </c>
      <c r="K43241" s="18"/>
    </row>
    <row r="43242">
      <c r="B43242" s="17" t="s">
        <v>477</v>
      </c>
      <c r="K43242" s="18"/>
    </row>
    <row r="43243">
      <c r="B43243" s="17" t="s">
        <v>477</v>
      </c>
      <c r="K43243" s="18"/>
    </row>
    <row r="43244">
      <c r="B43244" s="17" t="s">
        <v>477</v>
      </c>
      <c r="K43244" s="18"/>
    </row>
    <row r="43245">
      <c r="B43245" s="17" t="s">
        <v>477</v>
      </c>
      <c r="K43245" s="18"/>
    </row>
    <row r="43246">
      <c r="B43246" s="17" t="s">
        <v>477</v>
      </c>
      <c r="K43246" s="18"/>
    </row>
    <row r="43247">
      <c r="B43247" s="17" t="s">
        <v>477</v>
      </c>
      <c r="K43247" s="18"/>
    </row>
    <row r="43248">
      <c r="B43248" s="17" t="s">
        <v>477</v>
      </c>
      <c r="K43248" s="18"/>
    </row>
    <row r="43249">
      <c r="B43249" s="17" t="s">
        <v>477</v>
      </c>
      <c r="K43249" s="18"/>
    </row>
    <row r="43250">
      <c r="B43250" s="17" t="s">
        <v>477</v>
      </c>
      <c r="K43250" s="18"/>
    </row>
    <row r="43251">
      <c r="B43251" s="17" t="s">
        <v>477</v>
      </c>
      <c r="K43251" s="18"/>
    </row>
    <row r="43252">
      <c r="B43252" s="17" t="s">
        <v>477</v>
      </c>
      <c r="K43252" s="18"/>
    </row>
    <row r="43253">
      <c r="B43253" s="17" t="s">
        <v>477</v>
      </c>
      <c r="K43253" s="18"/>
    </row>
    <row r="43254">
      <c r="B43254" s="17" t="s">
        <v>477</v>
      </c>
      <c r="K43254" s="18"/>
    </row>
    <row r="43255">
      <c r="B43255" s="17" t="s">
        <v>477</v>
      </c>
      <c r="K43255" s="18"/>
    </row>
    <row r="43256">
      <c r="B43256" s="17" t="s">
        <v>477</v>
      </c>
      <c r="K43256" s="18"/>
    </row>
    <row r="43257">
      <c r="B43257" s="17" t="s">
        <v>477</v>
      </c>
      <c r="K43257" s="18"/>
    </row>
    <row r="43258">
      <c r="B43258" s="17" t="s">
        <v>477</v>
      </c>
      <c r="K43258" s="18"/>
    </row>
    <row r="43259">
      <c r="B43259" s="17" t="s">
        <v>477</v>
      </c>
      <c r="K43259" s="18"/>
    </row>
    <row r="43260">
      <c r="B43260" s="17" t="s">
        <v>477</v>
      </c>
      <c r="K43260" s="18"/>
    </row>
    <row r="43261">
      <c r="B43261" s="17" t="s">
        <v>477</v>
      </c>
      <c r="K43261" s="18"/>
    </row>
    <row r="43262">
      <c r="B43262" s="17" t="s">
        <v>477</v>
      </c>
      <c r="K43262" s="18"/>
    </row>
    <row r="43263">
      <c r="B43263" s="17" t="s">
        <v>477</v>
      </c>
      <c r="K43263" s="18"/>
    </row>
    <row r="43264">
      <c r="B43264" s="17" t="s">
        <v>477</v>
      </c>
      <c r="K43264" s="18"/>
    </row>
    <row r="43265">
      <c r="B43265" s="17" t="s">
        <v>477</v>
      </c>
      <c r="K43265" s="18"/>
    </row>
    <row r="43266">
      <c r="B43266" s="17" t="s">
        <v>477</v>
      </c>
      <c r="K43266" s="18"/>
    </row>
    <row r="43267">
      <c r="B43267" s="17" t="s">
        <v>477</v>
      </c>
      <c r="K43267" s="18"/>
    </row>
    <row r="43268">
      <c r="B43268" s="17" t="s">
        <v>477</v>
      </c>
      <c r="K43268" s="18"/>
    </row>
    <row r="43269">
      <c r="B43269" s="17" t="s">
        <v>477</v>
      </c>
      <c r="K43269" s="18"/>
    </row>
    <row r="43270">
      <c r="B43270" s="17" t="s">
        <v>477</v>
      </c>
      <c r="K43270" s="18"/>
    </row>
    <row r="43271">
      <c r="B43271" s="17" t="s">
        <v>477</v>
      </c>
      <c r="K43271" s="18"/>
    </row>
    <row r="43272">
      <c r="B43272" s="17" t="s">
        <v>477</v>
      </c>
      <c r="K43272" s="18"/>
    </row>
    <row r="43273">
      <c r="B43273" s="17" t="s">
        <v>477</v>
      </c>
      <c r="K43273" s="18"/>
    </row>
    <row r="43274">
      <c r="B43274" s="17" t="s">
        <v>477</v>
      </c>
      <c r="K43274" s="18"/>
    </row>
    <row r="43275">
      <c r="B43275" s="17" t="s">
        <v>477</v>
      </c>
      <c r="K43275" s="18"/>
    </row>
    <row r="43276">
      <c r="B43276" s="17" t="s">
        <v>477</v>
      </c>
      <c r="K43276" s="18"/>
    </row>
    <row r="43277">
      <c r="B43277" s="17" t="s">
        <v>477</v>
      </c>
      <c r="K43277" s="18"/>
    </row>
    <row r="43278">
      <c r="B43278" s="17" t="s">
        <v>477</v>
      </c>
      <c r="K43278" s="18"/>
    </row>
    <row r="43279">
      <c r="B43279" s="17" t="s">
        <v>477</v>
      </c>
      <c r="K43279" s="18"/>
    </row>
    <row r="43280">
      <c r="B43280" s="17" t="s">
        <v>477</v>
      </c>
      <c r="K43280" s="18"/>
    </row>
    <row r="43281">
      <c r="B43281" s="17" t="s">
        <v>477</v>
      </c>
      <c r="K43281" s="18"/>
    </row>
    <row r="43282">
      <c r="B43282" s="17" t="s">
        <v>477</v>
      </c>
      <c r="K43282" s="18"/>
    </row>
    <row r="43283">
      <c r="B43283" s="17" t="s">
        <v>477</v>
      </c>
      <c r="K43283" s="18"/>
    </row>
    <row r="43284">
      <c r="B43284" s="17" t="s">
        <v>477</v>
      </c>
      <c r="K43284" s="18"/>
    </row>
    <row r="43285">
      <c r="B43285" s="17" t="s">
        <v>477</v>
      </c>
      <c r="K43285" s="18"/>
    </row>
    <row r="43286">
      <c r="B43286" s="17" t="s">
        <v>477</v>
      </c>
      <c r="K43286" s="18"/>
    </row>
    <row r="43287">
      <c r="B43287" s="17" t="s">
        <v>477</v>
      </c>
      <c r="K43287" s="18"/>
    </row>
    <row r="43288">
      <c r="B43288" s="17" t="s">
        <v>477</v>
      </c>
      <c r="K43288" s="18"/>
    </row>
    <row r="43289">
      <c r="B43289" s="17" t="s">
        <v>477</v>
      </c>
      <c r="K43289" s="18"/>
    </row>
    <row r="43290">
      <c r="B43290" s="17" t="s">
        <v>477</v>
      </c>
      <c r="K43290" s="18"/>
    </row>
    <row r="43291">
      <c r="B43291" s="17" t="s">
        <v>477</v>
      </c>
      <c r="K43291" s="18"/>
    </row>
    <row r="43292">
      <c r="B43292" s="17" t="s">
        <v>477</v>
      </c>
      <c r="K43292" s="18"/>
    </row>
    <row r="43293">
      <c r="B43293" s="17" t="s">
        <v>477</v>
      </c>
      <c r="K43293" s="18"/>
    </row>
    <row r="43294">
      <c r="B43294" s="17" t="s">
        <v>477</v>
      </c>
      <c r="K43294" s="18"/>
    </row>
    <row r="43295">
      <c r="B43295" s="17" t="s">
        <v>477</v>
      </c>
      <c r="K43295" s="18"/>
    </row>
    <row r="43296">
      <c r="B43296" s="17" t="s">
        <v>477</v>
      </c>
      <c r="K43296" s="18"/>
    </row>
    <row r="43297">
      <c r="B43297" s="17" t="s">
        <v>477</v>
      </c>
      <c r="K43297" s="18"/>
    </row>
    <row r="43298">
      <c r="B43298" s="17" t="s">
        <v>477</v>
      </c>
      <c r="K43298" s="18"/>
    </row>
    <row r="43299">
      <c r="B43299" s="17" t="s">
        <v>477</v>
      </c>
      <c r="K43299" s="18"/>
    </row>
    <row r="43300">
      <c r="B43300" s="17" t="s">
        <v>477</v>
      </c>
      <c r="K43300" s="18"/>
    </row>
    <row r="43301">
      <c r="B43301" s="17" t="s">
        <v>477</v>
      </c>
      <c r="K43301" s="18"/>
    </row>
    <row r="43302">
      <c r="B43302" s="17" t="s">
        <v>477</v>
      </c>
      <c r="K43302" s="18"/>
    </row>
    <row r="43303">
      <c r="B43303" s="17" t="s">
        <v>477</v>
      </c>
      <c r="K43303" s="18"/>
    </row>
    <row r="43304">
      <c r="B43304" s="17" t="s">
        <v>477</v>
      </c>
      <c r="K43304" s="18"/>
    </row>
    <row r="43305">
      <c r="B43305" s="17" t="s">
        <v>477</v>
      </c>
      <c r="K43305" s="18"/>
    </row>
    <row r="43306">
      <c r="B43306" s="17" t="s">
        <v>477</v>
      </c>
      <c r="K43306" s="18"/>
    </row>
    <row r="43307">
      <c r="B43307" s="17" t="s">
        <v>477</v>
      </c>
      <c r="K43307" s="18"/>
    </row>
    <row r="43308">
      <c r="B43308" s="17" t="s">
        <v>477</v>
      </c>
      <c r="K43308" s="18"/>
    </row>
    <row r="43309">
      <c r="B43309" s="17" t="s">
        <v>477</v>
      </c>
      <c r="K43309" s="18"/>
    </row>
    <row r="43310">
      <c r="B43310" s="17" t="s">
        <v>477</v>
      </c>
      <c r="K43310" s="18"/>
    </row>
    <row r="43311">
      <c r="B43311" s="17" t="s">
        <v>477</v>
      </c>
      <c r="K43311" s="18"/>
    </row>
    <row r="43312">
      <c r="B43312" s="17" t="s">
        <v>477</v>
      </c>
      <c r="K43312" s="18"/>
    </row>
    <row r="43313">
      <c r="B43313" s="17" t="s">
        <v>477</v>
      </c>
      <c r="K43313" s="18"/>
    </row>
    <row r="43314">
      <c r="B43314" s="17" t="s">
        <v>477</v>
      </c>
      <c r="K43314" s="18"/>
    </row>
    <row r="43315">
      <c r="B43315" s="17" t="s">
        <v>477</v>
      </c>
      <c r="K43315" s="18"/>
    </row>
    <row r="43316">
      <c r="B43316" s="17" t="s">
        <v>477</v>
      </c>
      <c r="K43316" s="18"/>
    </row>
    <row r="43317">
      <c r="B43317" s="17" t="s">
        <v>477</v>
      </c>
      <c r="K43317" s="18"/>
    </row>
    <row r="43318">
      <c r="B43318" s="17" t="s">
        <v>477</v>
      </c>
      <c r="K43318" s="18"/>
    </row>
    <row r="43319">
      <c r="B43319" s="17" t="s">
        <v>477</v>
      </c>
      <c r="K43319" s="18"/>
    </row>
    <row r="43320">
      <c r="B43320" s="17" t="s">
        <v>477</v>
      </c>
      <c r="K43320" s="18"/>
    </row>
    <row r="43321">
      <c r="B43321" s="17" t="s">
        <v>477</v>
      </c>
      <c r="K43321" s="18"/>
    </row>
    <row r="43322">
      <c r="B43322" s="17" t="s">
        <v>477</v>
      </c>
      <c r="K43322" s="18"/>
    </row>
    <row r="43323">
      <c r="B43323" s="17" t="s">
        <v>477</v>
      </c>
      <c r="K43323" s="18"/>
    </row>
    <row r="43324">
      <c r="B43324" s="17" t="s">
        <v>477</v>
      </c>
      <c r="K43324" s="18"/>
    </row>
    <row r="43325">
      <c r="B43325" s="17" t="s">
        <v>477</v>
      </c>
      <c r="K43325" s="18"/>
    </row>
    <row r="43326">
      <c r="B43326" s="17" t="s">
        <v>477</v>
      </c>
      <c r="K43326" s="18"/>
    </row>
    <row r="43327">
      <c r="B43327" s="17" t="s">
        <v>477</v>
      </c>
      <c r="K43327" s="18"/>
    </row>
    <row r="43328">
      <c r="B43328" s="17" t="s">
        <v>477</v>
      </c>
      <c r="K43328" s="18"/>
    </row>
    <row r="43329">
      <c r="B43329" s="17" t="s">
        <v>477</v>
      </c>
      <c r="K43329" s="18"/>
    </row>
    <row r="43330">
      <c r="B43330" s="17" t="s">
        <v>477</v>
      </c>
      <c r="K43330" s="18"/>
    </row>
    <row r="43331">
      <c r="B43331" s="17" t="s">
        <v>477</v>
      </c>
      <c r="K43331" s="18"/>
    </row>
    <row r="43332">
      <c r="B43332" s="17" t="s">
        <v>477</v>
      </c>
      <c r="K43332" s="18"/>
    </row>
    <row r="43333">
      <c r="B43333" s="17" t="s">
        <v>477</v>
      </c>
      <c r="K43333" s="18"/>
    </row>
    <row r="43334">
      <c r="B43334" s="17" t="s">
        <v>477</v>
      </c>
      <c r="K43334" s="18"/>
    </row>
    <row r="43335">
      <c r="B43335" s="17" t="s">
        <v>477</v>
      </c>
      <c r="K43335" s="18"/>
    </row>
    <row r="43336">
      <c r="B43336" s="17" t="s">
        <v>477</v>
      </c>
      <c r="K43336" s="18"/>
    </row>
    <row r="43337">
      <c r="B43337" s="17" t="s">
        <v>477</v>
      </c>
      <c r="K43337" s="18"/>
    </row>
    <row r="43338">
      <c r="B43338" s="17" t="s">
        <v>477</v>
      </c>
      <c r="K43338" s="18"/>
    </row>
    <row r="43339">
      <c r="B43339" s="17" t="s">
        <v>477</v>
      </c>
      <c r="K43339" s="18"/>
    </row>
    <row r="43340">
      <c r="B43340" s="17" t="s">
        <v>477</v>
      </c>
      <c r="K43340" s="18"/>
    </row>
    <row r="43341">
      <c r="B43341" s="17" t="s">
        <v>477</v>
      </c>
      <c r="K43341" s="18"/>
    </row>
    <row r="43342">
      <c r="B43342" s="17" t="s">
        <v>477</v>
      </c>
      <c r="K43342" s="18"/>
    </row>
    <row r="43343">
      <c r="B43343" s="17" t="s">
        <v>477</v>
      </c>
      <c r="K43343" s="18"/>
    </row>
    <row r="43344">
      <c r="B43344" s="17" t="s">
        <v>477</v>
      </c>
      <c r="K43344" s="18"/>
    </row>
    <row r="43345">
      <c r="B43345" s="17" t="s">
        <v>477</v>
      </c>
      <c r="K43345" s="18"/>
    </row>
    <row r="43346">
      <c r="B43346" s="17" t="s">
        <v>477</v>
      </c>
      <c r="K43346" s="18"/>
    </row>
    <row r="43347">
      <c r="B43347" s="17" t="s">
        <v>477</v>
      </c>
      <c r="K43347" s="18"/>
    </row>
    <row r="43348">
      <c r="B43348" s="17" t="s">
        <v>477</v>
      </c>
      <c r="K43348" s="18"/>
    </row>
    <row r="43349">
      <c r="B43349" s="17" t="s">
        <v>477</v>
      </c>
      <c r="K43349" s="18"/>
    </row>
    <row r="43350">
      <c r="B43350" s="17" t="s">
        <v>477</v>
      </c>
      <c r="K43350" s="18"/>
    </row>
    <row r="43351">
      <c r="B43351" s="17" t="s">
        <v>477</v>
      </c>
      <c r="K43351" s="18"/>
    </row>
    <row r="43352">
      <c r="B43352" s="17" t="s">
        <v>477</v>
      </c>
      <c r="K43352" s="18"/>
    </row>
    <row r="43353">
      <c r="B43353" s="17" t="s">
        <v>477</v>
      </c>
      <c r="K43353" s="18"/>
    </row>
    <row r="43354">
      <c r="B43354" s="17" t="s">
        <v>477</v>
      </c>
      <c r="K43354" s="18"/>
    </row>
    <row r="43355">
      <c r="B43355" s="17" t="s">
        <v>477</v>
      </c>
      <c r="K43355" s="18"/>
    </row>
    <row r="43356">
      <c r="B43356" s="17" t="s">
        <v>477</v>
      </c>
      <c r="K43356" s="18"/>
    </row>
    <row r="43357">
      <c r="B43357" s="17" t="s">
        <v>477</v>
      </c>
      <c r="K43357" s="18"/>
    </row>
    <row r="43358">
      <c r="B43358" s="17" t="s">
        <v>477</v>
      </c>
      <c r="K43358" s="18"/>
    </row>
    <row r="43359">
      <c r="B43359" s="17" t="s">
        <v>477</v>
      </c>
      <c r="K43359" s="18"/>
    </row>
    <row r="43360">
      <c r="B43360" s="17" t="s">
        <v>477</v>
      </c>
      <c r="K43360" s="18"/>
    </row>
    <row r="43361">
      <c r="B43361" s="17" t="s">
        <v>477</v>
      </c>
      <c r="K43361" s="18"/>
    </row>
    <row r="43362">
      <c r="B43362" s="17" t="s">
        <v>477</v>
      </c>
      <c r="K43362" s="18"/>
    </row>
    <row r="43363">
      <c r="B43363" s="17" t="s">
        <v>477</v>
      </c>
      <c r="K43363" s="18"/>
    </row>
    <row r="43364">
      <c r="B43364" s="17" t="s">
        <v>477</v>
      </c>
      <c r="K43364" s="18"/>
    </row>
    <row r="43365">
      <c r="B43365" s="17" t="s">
        <v>477</v>
      </c>
      <c r="K43365" s="18"/>
    </row>
    <row r="43366">
      <c r="B43366" s="17" t="s">
        <v>477</v>
      </c>
      <c r="K43366" s="18"/>
    </row>
    <row r="43367">
      <c r="B43367" s="17" t="s">
        <v>477</v>
      </c>
      <c r="K43367" s="18"/>
    </row>
    <row r="43368">
      <c r="B43368" s="17" t="s">
        <v>477</v>
      </c>
      <c r="K43368" s="18"/>
    </row>
    <row r="43369">
      <c r="B43369" s="17" t="s">
        <v>477</v>
      </c>
      <c r="K43369" s="18"/>
    </row>
    <row r="43370">
      <c r="B43370" s="17" t="s">
        <v>477</v>
      </c>
      <c r="K43370" s="18"/>
    </row>
    <row r="43371">
      <c r="B43371" s="17" t="s">
        <v>477</v>
      </c>
      <c r="K43371" s="18"/>
    </row>
    <row r="43372">
      <c r="B43372" s="17" t="s">
        <v>477</v>
      </c>
      <c r="K43372" s="18"/>
    </row>
    <row r="43373">
      <c r="B43373" s="17" t="s">
        <v>477</v>
      </c>
      <c r="K43373" s="18"/>
    </row>
    <row r="43374">
      <c r="B43374" s="17" t="s">
        <v>477</v>
      </c>
      <c r="K43374" s="18"/>
    </row>
    <row r="43375">
      <c r="B43375" s="17" t="s">
        <v>477</v>
      </c>
      <c r="K43375" s="18"/>
    </row>
    <row r="43376">
      <c r="B43376" s="17" t="s">
        <v>477</v>
      </c>
      <c r="K43376" s="18"/>
    </row>
    <row r="43377">
      <c r="B43377" s="17" t="s">
        <v>477</v>
      </c>
      <c r="K43377" s="18"/>
    </row>
    <row r="43378">
      <c r="B43378" s="17" t="s">
        <v>477</v>
      </c>
      <c r="K43378" s="18"/>
    </row>
    <row r="43379">
      <c r="B43379" s="17" t="s">
        <v>477</v>
      </c>
      <c r="K43379" s="18"/>
    </row>
    <row r="43380">
      <c r="B43380" s="17" t="s">
        <v>477</v>
      </c>
      <c r="K43380" s="18"/>
    </row>
    <row r="43381">
      <c r="B43381" s="17" t="s">
        <v>477</v>
      </c>
      <c r="K43381" s="18"/>
    </row>
    <row r="43382">
      <c r="B43382" s="17" t="s">
        <v>477</v>
      </c>
      <c r="K43382" s="18"/>
    </row>
    <row r="43383">
      <c r="B43383" s="17" t="s">
        <v>477</v>
      </c>
      <c r="K43383" s="18"/>
    </row>
    <row r="43384">
      <c r="B43384" s="17" t="s">
        <v>477</v>
      </c>
      <c r="K43384" s="18"/>
    </row>
    <row r="43385">
      <c r="B43385" s="17" t="s">
        <v>477</v>
      </c>
      <c r="K43385" s="18"/>
    </row>
    <row r="43386">
      <c r="B43386" s="17" t="s">
        <v>477</v>
      </c>
      <c r="K43386" s="18"/>
    </row>
    <row r="43387">
      <c r="B43387" s="17" t="s">
        <v>477</v>
      </c>
      <c r="K43387" s="18"/>
    </row>
    <row r="43388">
      <c r="B43388" s="17" t="s">
        <v>477</v>
      </c>
      <c r="K43388" s="18"/>
    </row>
    <row r="43389">
      <c r="B43389" s="17" t="s">
        <v>477</v>
      </c>
      <c r="K43389" s="18"/>
    </row>
    <row r="43390">
      <c r="B43390" s="17" t="s">
        <v>477</v>
      </c>
      <c r="K43390" s="18"/>
    </row>
    <row r="43391">
      <c r="B43391" s="17" t="s">
        <v>477</v>
      </c>
      <c r="K43391" s="18"/>
    </row>
    <row r="43392">
      <c r="B43392" s="17" t="s">
        <v>477</v>
      </c>
      <c r="K43392" s="18"/>
    </row>
    <row r="43393">
      <c r="B43393" s="17" t="s">
        <v>477</v>
      </c>
      <c r="K43393" s="18"/>
    </row>
    <row r="43394">
      <c r="B43394" s="17" t="s">
        <v>477</v>
      </c>
      <c r="K43394" s="18"/>
    </row>
    <row r="43395">
      <c r="B43395" s="17" t="s">
        <v>477</v>
      </c>
      <c r="K43395" s="18"/>
    </row>
    <row r="43396">
      <c r="B43396" s="17" t="s">
        <v>477</v>
      </c>
      <c r="K43396" s="18"/>
    </row>
    <row r="43397">
      <c r="B43397" s="17" t="s">
        <v>477</v>
      </c>
      <c r="K43397" s="18"/>
    </row>
    <row r="43398">
      <c r="B43398" s="17" t="s">
        <v>477</v>
      </c>
      <c r="K43398" s="18"/>
    </row>
    <row r="43399">
      <c r="B43399" s="17" t="s">
        <v>477</v>
      </c>
      <c r="K43399" s="18"/>
    </row>
    <row r="43400">
      <c r="B43400" s="17" t="s">
        <v>477</v>
      </c>
      <c r="K43400" s="18"/>
    </row>
    <row r="43401">
      <c r="B43401" s="17" t="s">
        <v>477</v>
      </c>
      <c r="K43401" s="18"/>
    </row>
    <row r="43402">
      <c r="B43402" s="17" t="s">
        <v>477</v>
      </c>
      <c r="K43402" s="18"/>
    </row>
    <row r="43403">
      <c r="B43403" s="17" t="s">
        <v>477</v>
      </c>
      <c r="K43403" s="18"/>
    </row>
    <row r="43404">
      <c r="B43404" s="17" t="s">
        <v>477</v>
      </c>
      <c r="K43404" s="18"/>
    </row>
    <row r="43405">
      <c r="B43405" s="17" t="s">
        <v>477</v>
      </c>
      <c r="K43405" s="18"/>
    </row>
    <row r="43406">
      <c r="B43406" s="17" t="s">
        <v>477</v>
      </c>
      <c r="K43406" s="18"/>
    </row>
    <row r="43407">
      <c r="B43407" s="17" t="s">
        <v>477</v>
      </c>
      <c r="K43407" s="18"/>
    </row>
    <row r="43408">
      <c r="B43408" s="17" t="s">
        <v>477</v>
      </c>
      <c r="K43408" s="18"/>
    </row>
    <row r="43409">
      <c r="B43409" s="17" t="s">
        <v>477</v>
      </c>
      <c r="K43409" s="18"/>
    </row>
    <row r="43410">
      <c r="B43410" s="17" t="s">
        <v>477</v>
      </c>
      <c r="K43410" s="18"/>
    </row>
    <row r="43411">
      <c r="B43411" s="17" t="s">
        <v>477</v>
      </c>
      <c r="K43411" s="18"/>
    </row>
    <row r="43412">
      <c r="B43412" s="17" t="s">
        <v>477</v>
      </c>
      <c r="K43412" s="18"/>
    </row>
    <row r="43413">
      <c r="B43413" s="17" t="s">
        <v>477</v>
      </c>
      <c r="K43413" s="18"/>
    </row>
    <row r="43414">
      <c r="B43414" s="17" t="s">
        <v>477</v>
      </c>
      <c r="K43414" s="18"/>
    </row>
    <row r="43415">
      <c r="B43415" s="17" t="s">
        <v>477</v>
      </c>
      <c r="K43415" s="18"/>
    </row>
    <row r="43416">
      <c r="B43416" s="17" t="s">
        <v>477</v>
      </c>
      <c r="K43416" s="18"/>
    </row>
    <row r="43417">
      <c r="B43417" s="17" t="s">
        <v>477</v>
      </c>
      <c r="K43417" s="18"/>
    </row>
    <row r="43418">
      <c r="B43418" s="17" t="s">
        <v>477</v>
      </c>
      <c r="K43418" s="18"/>
    </row>
    <row r="43419">
      <c r="B43419" s="17" t="s">
        <v>477</v>
      </c>
      <c r="K43419" s="18"/>
    </row>
    <row r="43420">
      <c r="B43420" s="17" t="s">
        <v>477</v>
      </c>
      <c r="K43420" s="18"/>
    </row>
    <row r="43421">
      <c r="B43421" s="17" t="s">
        <v>477</v>
      </c>
      <c r="K43421" s="18"/>
    </row>
    <row r="43422">
      <c r="B43422" s="17" t="s">
        <v>477</v>
      </c>
      <c r="K43422" s="18"/>
    </row>
    <row r="43423">
      <c r="B43423" s="17" t="s">
        <v>477</v>
      </c>
      <c r="K43423" s="18"/>
    </row>
    <row r="43424">
      <c r="B43424" s="17" t="s">
        <v>477</v>
      </c>
      <c r="K43424" s="18"/>
    </row>
    <row r="43425">
      <c r="B43425" s="17" t="s">
        <v>477</v>
      </c>
      <c r="K43425" s="18"/>
    </row>
    <row r="43426">
      <c r="B43426" s="17" t="s">
        <v>477</v>
      </c>
      <c r="K43426" s="18"/>
    </row>
    <row r="43427">
      <c r="B43427" s="17" t="s">
        <v>477</v>
      </c>
      <c r="K43427" s="18"/>
    </row>
    <row r="43428">
      <c r="B43428" s="17" t="s">
        <v>477</v>
      </c>
      <c r="K43428" s="18"/>
    </row>
    <row r="43429">
      <c r="B43429" s="17" t="s">
        <v>477</v>
      </c>
      <c r="K43429" s="18"/>
    </row>
    <row r="43430">
      <c r="B43430" s="17" t="s">
        <v>477</v>
      </c>
      <c r="K43430" s="18"/>
    </row>
    <row r="43431">
      <c r="B43431" s="17" t="s">
        <v>477</v>
      </c>
      <c r="K43431" s="18"/>
    </row>
    <row r="43432">
      <c r="B43432" s="17" t="s">
        <v>477</v>
      </c>
      <c r="K43432" s="18"/>
    </row>
    <row r="43433">
      <c r="B43433" s="17" t="s">
        <v>477</v>
      </c>
      <c r="K43433" s="18"/>
    </row>
    <row r="43434">
      <c r="B43434" s="17" t="s">
        <v>477</v>
      </c>
      <c r="K43434" s="18"/>
    </row>
    <row r="43435">
      <c r="B43435" s="17" t="s">
        <v>477</v>
      </c>
      <c r="K43435" s="18"/>
    </row>
    <row r="43436">
      <c r="B43436" s="17" t="s">
        <v>477</v>
      </c>
      <c r="K43436" s="18"/>
    </row>
    <row r="43437">
      <c r="B43437" s="17" t="s">
        <v>477</v>
      </c>
      <c r="K43437" s="18"/>
    </row>
    <row r="43438">
      <c r="B43438" s="17" t="s">
        <v>477</v>
      </c>
      <c r="K43438" s="18"/>
    </row>
    <row r="43439">
      <c r="B43439" s="17" t="s">
        <v>477</v>
      </c>
      <c r="K43439" s="18"/>
    </row>
    <row r="43440">
      <c r="B43440" s="17" t="s">
        <v>477</v>
      </c>
      <c r="K43440" s="18"/>
    </row>
    <row r="43441">
      <c r="B43441" s="17" t="s">
        <v>477</v>
      </c>
      <c r="K43441" s="18"/>
    </row>
    <row r="43442">
      <c r="B43442" s="17" t="s">
        <v>477</v>
      </c>
      <c r="K43442" s="18"/>
    </row>
    <row r="43443">
      <c r="B43443" s="17" t="s">
        <v>477</v>
      </c>
      <c r="K43443" s="18"/>
    </row>
    <row r="43444">
      <c r="B43444" s="17" t="s">
        <v>477</v>
      </c>
      <c r="K43444" s="18"/>
    </row>
    <row r="43445">
      <c r="B43445" s="17" t="s">
        <v>477</v>
      </c>
      <c r="K43445" s="18"/>
    </row>
    <row r="43446">
      <c r="B43446" s="17" t="s">
        <v>477</v>
      </c>
      <c r="K43446" s="18"/>
    </row>
    <row r="43447">
      <c r="B43447" s="17" t="s">
        <v>477</v>
      </c>
      <c r="K43447" s="18"/>
    </row>
    <row r="43448">
      <c r="B43448" s="17" t="s">
        <v>477</v>
      </c>
      <c r="K43448" s="18"/>
    </row>
    <row r="43449">
      <c r="B43449" s="17" t="s">
        <v>477</v>
      </c>
      <c r="K43449" s="18"/>
    </row>
    <row r="43450">
      <c r="B43450" s="17" t="s">
        <v>477</v>
      </c>
      <c r="K43450" s="18"/>
    </row>
    <row r="43451">
      <c r="B43451" s="17" t="s">
        <v>477</v>
      </c>
      <c r="K43451" s="18"/>
    </row>
    <row r="43452">
      <c r="B43452" s="17" t="s">
        <v>477</v>
      </c>
      <c r="K43452" s="18"/>
    </row>
    <row r="43453">
      <c r="B43453" s="17" t="s">
        <v>477</v>
      </c>
      <c r="K43453" s="18"/>
    </row>
    <row r="43454">
      <c r="B43454" s="17" t="s">
        <v>477</v>
      </c>
      <c r="K43454" s="18"/>
    </row>
    <row r="43455">
      <c r="B43455" s="17" t="s">
        <v>477</v>
      </c>
      <c r="K43455" s="18"/>
    </row>
    <row r="43456">
      <c r="B43456" s="17" t="s">
        <v>477</v>
      </c>
      <c r="K43456" s="18"/>
    </row>
    <row r="43457">
      <c r="B43457" s="17" t="s">
        <v>477</v>
      </c>
      <c r="K43457" s="18"/>
    </row>
    <row r="43458">
      <c r="B43458" s="17" t="s">
        <v>477</v>
      </c>
      <c r="K43458" s="18"/>
    </row>
    <row r="43459">
      <c r="B43459" s="17" t="s">
        <v>477</v>
      </c>
      <c r="K43459" s="18"/>
    </row>
    <row r="43460">
      <c r="B43460" s="17" t="s">
        <v>477</v>
      </c>
      <c r="K43460" s="18"/>
    </row>
    <row r="43461">
      <c r="B43461" s="17" t="s">
        <v>477</v>
      </c>
      <c r="K43461" s="18"/>
    </row>
    <row r="43462">
      <c r="B43462" s="17" t="s">
        <v>477</v>
      </c>
      <c r="K43462" s="18"/>
    </row>
    <row r="43463">
      <c r="B43463" s="17" t="s">
        <v>477</v>
      </c>
      <c r="K43463" s="18"/>
    </row>
    <row r="43464">
      <c r="B43464" s="17" t="s">
        <v>477</v>
      </c>
      <c r="K43464" s="18"/>
    </row>
    <row r="43465">
      <c r="B43465" s="17" t="s">
        <v>477</v>
      </c>
      <c r="K43465" s="18"/>
    </row>
    <row r="43466">
      <c r="B43466" s="17" t="s">
        <v>477</v>
      </c>
      <c r="K43466" s="18"/>
    </row>
    <row r="43467">
      <c r="B43467" s="17" t="s">
        <v>477</v>
      </c>
      <c r="K43467" s="18"/>
    </row>
    <row r="43468">
      <c r="B43468" s="17" t="s">
        <v>477</v>
      </c>
      <c r="K43468" s="18"/>
    </row>
    <row r="43469">
      <c r="B43469" s="17" t="s">
        <v>477</v>
      </c>
      <c r="K43469" s="18"/>
    </row>
    <row r="43470">
      <c r="B43470" s="17" t="s">
        <v>477</v>
      </c>
      <c r="K43470" s="18"/>
    </row>
    <row r="43471">
      <c r="B43471" s="17" t="s">
        <v>477</v>
      </c>
      <c r="K43471" s="18"/>
    </row>
    <row r="43472">
      <c r="B43472" s="17" t="s">
        <v>477</v>
      </c>
      <c r="K43472" s="18"/>
    </row>
    <row r="43473">
      <c r="B43473" s="17" t="s">
        <v>477</v>
      </c>
      <c r="K43473" s="18"/>
    </row>
    <row r="43474">
      <c r="B43474" s="17" t="s">
        <v>477</v>
      </c>
      <c r="K43474" s="18"/>
    </row>
    <row r="43475">
      <c r="B43475" s="17" t="s">
        <v>477</v>
      </c>
      <c r="K43475" s="18"/>
    </row>
    <row r="43476">
      <c r="B43476" s="17" t="s">
        <v>477</v>
      </c>
      <c r="K43476" s="18"/>
    </row>
    <row r="43477">
      <c r="B43477" s="17" t="s">
        <v>477</v>
      </c>
      <c r="K43477" s="18"/>
    </row>
    <row r="43478">
      <c r="B43478" s="17" t="s">
        <v>477</v>
      </c>
      <c r="K43478" s="18"/>
    </row>
    <row r="43479">
      <c r="B43479" s="17" t="s">
        <v>477</v>
      </c>
      <c r="K43479" s="18"/>
    </row>
    <row r="43480">
      <c r="B43480" s="17" t="s">
        <v>477</v>
      </c>
      <c r="K43480" s="18"/>
    </row>
    <row r="43481">
      <c r="B43481" s="17" t="s">
        <v>477</v>
      </c>
      <c r="K43481" s="18"/>
    </row>
    <row r="43482">
      <c r="B43482" s="17" t="s">
        <v>477</v>
      </c>
      <c r="K43482" s="18"/>
    </row>
    <row r="43483">
      <c r="B43483" s="17" t="s">
        <v>477</v>
      </c>
      <c r="K43483" s="18"/>
    </row>
    <row r="43484">
      <c r="B43484" s="17" t="s">
        <v>477</v>
      </c>
      <c r="K43484" s="18"/>
    </row>
    <row r="43485">
      <c r="B43485" s="17" t="s">
        <v>477</v>
      </c>
      <c r="K43485" s="18"/>
    </row>
    <row r="43486">
      <c r="B43486" s="17" t="s">
        <v>477</v>
      </c>
      <c r="K43486" s="18"/>
    </row>
    <row r="43487">
      <c r="B43487" s="17" t="s">
        <v>477</v>
      </c>
      <c r="K43487" s="18"/>
    </row>
    <row r="43488">
      <c r="B43488" s="17" t="s">
        <v>477</v>
      </c>
      <c r="K43488" s="18"/>
    </row>
    <row r="43489">
      <c r="B43489" s="17" t="s">
        <v>477</v>
      </c>
      <c r="K43489" s="18"/>
    </row>
    <row r="43490">
      <c r="B43490" s="17" t="s">
        <v>477</v>
      </c>
      <c r="K43490" s="18"/>
    </row>
    <row r="43491">
      <c r="B43491" s="17" t="s">
        <v>477</v>
      </c>
      <c r="K43491" s="18"/>
    </row>
    <row r="43492">
      <c r="B43492" s="17" t="s">
        <v>477</v>
      </c>
      <c r="K43492" s="18"/>
    </row>
    <row r="43493">
      <c r="B43493" s="17" t="s">
        <v>477</v>
      </c>
      <c r="K43493" s="18"/>
    </row>
    <row r="43494">
      <c r="B43494" s="17" t="s">
        <v>477</v>
      </c>
      <c r="K43494" s="18"/>
    </row>
    <row r="43495">
      <c r="B43495" s="17" t="s">
        <v>477</v>
      </c>
      <c r="K43495" s="18"/>
    </row>
    <row r="43496">
      <c r="B43496" s="17" t="s">
        <v>477</v>
      </c>
      <c r="K43496" s="18"/>
    </row>
    <row r="43497">
      <c r="B43497" s="17" t="s">
        <v>477</v>
      </c>
      <c r="K43497" s="18"/>
    </row>
    <row r="43498">
      <c r="B43498" s="17" t="s">
        <v>477</v>
      </c>
      <c r="K43498" s="18"/>
    </row>
    <row r="43499">
      <c r="B43499" s="17" t="s">
        <v>477</v>
      </c>
      <c r="K43499" s="18"/>
    </row>
    <row r="43500">
      <c r="B43500" s="17" t="s">
        <v>477</v>
      </c>
      <c r="K43500" s="18"/>
    </row>
    <row r="43501">
      <c r="B43501" s="17" t="s">
        <v>477</v>
      </c>
      <c r="K43501" s="18"/>
    </row>
    <row r="43502">
      <c r="B43502" s="17" t="s">
        <v>477</v>
      </c>
      <c r="K43502" s="18"/>
    </row>
    <row r="43503">
      <c r="B43503" s="17" t="s">
        <v>477</v>
      </c>
      <c r="K43503" s="18"/>
    </row>
    <row r="43504">
      <c r="B43504" s="17" t="s">
        <v>477</v>
      </c>
      <c r="K43504" s="18"/>
    </row>
    <row r="43505">
      <c r="B43505" s="17" t="s">
        <v>477</v>
      </c>
      <c r="K43505" s="18"/>
    </row>
    <row r="43506">
      <c r="B43506" s="17" t="s">
        <v>477</v>
      </c>
      <c r="K43506" s="18"/>
    </row>
    <row r="43507">
      <c r="B43507" s="17" t="s">
        <v>477</v>
      </c>
      <c r="K43507" s="18"/>
    </row>
    <row r="43508">
      <c r="B43508" s="17" t="s">
        <v>477</v>
      </c>
      <c r="K43508" s="18"/>
    </row>
    <row r="43509">
      <c r="B43509" s="17" t="s">
        <v>477</v>
      </c>
      <c r="K43509" s="18"/>
    </row>
    <row r="43510">
      <c r="B43510" s="17" t="s">
        <v>477</v>
      </c>
      <c r="K43510" s="18"/>
    </row>
    <row r="43511">
      <c r="B43511" s="17" t="s">
        <v>477</v>
      </c>
      <c r="K43511" s="18"/>
    </row>
    <row r="43512">
      <c r="B43512" s="17" t="s">
        <v>477</v>
      </c>
      <c r="K43512" s="18"/>
    </row>
    <row r="43513">
      <c r="B43513" s="17" t="s">
        <v>477</v>
      </c>
      <c r="K43513" s="18"/>
    </row>
    <row r="43514">
      <c r="B43514" s="17" t="s">
        <v>477</v>
      </c>
      <c r="K43514" s="18"/>
    </row>
    <row r="43515">
      <c r="B43515" s="17" t="s">
        <v>477</v>
      </c>
      <c r="K43515" s="18"/>
    </row>
    <row r="43516">
      <c r="B43516" s="17" t="s">
        <v>477</v>
      </c>
      <c r="K43516" s="18"/>
    </row>
    <row r="43517">
      <c r="B43517" s="17" t="s">
        <v>477</v>
      </c>
      <c r="K43517" s="18"/>
    </row>
    <row r="43518">
      <c r="B43518" s="17" t="s">
        <v>477</v>
      </c>
      <c r="K43518" s="18"/>
    </row>
    <row r="43519">
      <c r="B43519" s="17" t="s">
        <v>477</v>
      </c>
      <c r="K43519" s="18"/>
    </row>
    <row r="43520">
      <c r="B43520" s="17" t="s">
        <v>477</v>
      </c>
      <c r="K43520" s="18"/>
    </row>
    <row r="43521">
      <c r="B43521" s="17" t="s">
        <v>477</v>
      </c>
      <c r="K43521" s="18"/>
    </row>
    <row r="43522">
      <c r="B43522" s="17" t="s">
        <v>477</v>
      </c>
      <c r="K43522" s="18"/>
    </row>
    <row r="43523">
      <c r="B43523" s="17" t="s">
        <v>477</v>
      </c>
      <c r="K43523" s="18"/>
    </row>
    <row r="43524">
      <c r="B43524" s="17" t="s">
        <v>477</v>
      </c>
      <c r="K43524" s="18"/>
    </row>
    <row r="43525">
      <c r="B43525" s="17" t="s">
        <v>477</v>
      </c>
      <c r="K43525" s="18"/>
    </row>
    <row r="43526">
      <c r="B43526" s="17" t="s">
        <v>477</v>
      </c>
      <c r="K43526" s="18"/>
    </row>
    <row r="43527">
      <c r="B43527" s="17" t="s">
        <v>477</v>
      </c>
      <c r="K43527" s="18"/>
    </row>
    <row r="43528">
      <c r="B43528" s="17" t="s">
        <v>477</v>
      </c>
      <c r="K43528" s="18"/>
    </row>
    <row r="43529">
      <c r="B43529" s="17" t="s">
        <v>477</v>
      </c>
      <c r="K43529" s="18"/>
    </row>
    <row r="43530">
      <c r="B43530" s="17" t="s">
        <v>477</v>
      </c>
      <c r="K43530" s="18"/>
    </row>
    <row r="43531">
      <c r="B43531" s="17" t="s">
        <v>477</v>
      </c>
      <c r="K43531" s="18"/>
    </row>
    <row r="43532">
      <c r="B43532" s="17" t="s">
        <v>477</v>
      </c>
      <c r="K43532" s="18"/>
    </row>
    <row r="43533">
      <c r="B43533" s="17" t="s">
        <v>477</v>
      </c>
      <c r="K43533" s="18"/>
    </row>
    <row r="43534">
      <c r="B43534" s="17" t="s">
        <v>477</v>
      </c>
      <c r="K43534" s="18"/>
    </row>
    <row r="43535">
      <c r="B43535" s="17" t="s">
        <v>477</v>
      </c>
      <c r="K43535" s="18"/>
    </row>
    <row r="43536">
      <c r="B43536" s="17" t="s">
        <v>477</v>
      </c>
      <c r="K43536" s="18"/>
    </row>
    <row r="43537">
      <c r="B43537" s="17" t="s">
        <v>477</v>
      </c>
      <c r="K43537" s="18"/>
    </row>
    <row r="43538">
      <c r="B43538" s="17" t="s">
        <v>477</v>
      </c>
      <c r="K43538" s="18"/>
    </row>
    <row r="43539">
      <c r="B43539" s="17" t="s">
        <v>477</v>
      </c>
      <c r="K43539" s="18"/>
    </row>
    <row r="43540">
      <c r="B43540" s="17" t="s">
        <v>477</v>
      </c>
      <c r="K43540" s="18"/>
    </row>
    <row r="43541">
      <c r="B43541" s="17" t="s">
        <v>477</v>
      </c>
      <c r="K43541" s="18"/>
    </row>
    <row r="43542">
      <c r="B43542" s="17" t="s">
        <v>477</v>
      </c>
      <c r="K43542" s="18"/>
    </row>
    <row r="43543">
      <c r="B43543" s="17" t="s">
        <v>477</v>
      </c>
      <c r="K43543" s="18"/>
    </row>
    <row r="43544">
      <c r="B43544" s="17" t="s">
        <v>477</v>
      </c>
      <c r="K43544" s="18"/>
    </row>
    <row r="43545">
      <c r="B43545" s="17" t="s">
        <v>477</v>
      </c>
      <c r="K43545" s="18"/>
    </row>
    <row r="43546">
      <c r="B43546" s="17" t="s">
        <v>477</v>
      </c>
      <c r="K43546" s="18"/>
    </row>
    <row r="43547">
      <c r="B43547" s="17" t="s">
        <v>477</v>
      </c>
      <c r="K43547" s="18"/>
    </row>
    <row r="43548">
      <c r="B43548" s="17" t="s">
        <v>477</v>
      </c>
      <c r="K43548" s="18"/>
    </row>
    <row r="43549">
      <c r="B43549" s="17" t="s">
        <v>477</v>
      </c>
      <c r="K43549" s="18"/>
    </row>
    <row r="43550">
      <c r="B43550" s="17" t="s">
        <v>477</v>
      </c>
      <c r="K43550" s="18"/>
    </row>
    <row r="43551">
      <c r="B43551" s="17" t="s">
        <v>477</v>
      </c>
      <c r="K43551" s="18"/>
    </row>
    <row r="43552">
      <c r="B43552" s="17" t="s">
        <v>477</v>
      </c>
      <c r="K43552" s="18"/>
    </row>
    <row r="43553">
      <c r="B43553" s="17" t="s">
        <v>477</v>
      </c>
      <c r="K43553" s="18"/>
    </row>
    <row r="43554">
      <c r="B43554" s="17" t="s">
        <v>477</v>
      </c>
      <c r="K43554" s="18"/>
    </row>
    <row r="43555">
      <c r="B43555" s="17" t="s">
        <v>477</v>
      </c>
      <c r="K43555" s="18"/>
    </row>
    <row r="43556">
      <c r="B43556" s="17" t="s">
        <v>477</v>
      </c>
      <c r="K43556" s="18"/>
    </row>
    <row r="43557">
      <c r="B43557" s="17" t="s">
        <v>477</v>
      </c>
      <c r="K43557" s="18"/>
    </row>
    <row r="43558">
      <c r="B43558" s="17" t="s">
        <v>477</v>
      </c>
      <c r="K43558" s="18"/>
    </row>
    <row r="43559">
      <c r="B43559" s="17" t="s">
        <v>477</v>
      </c>
      <c r="K43559" s="18"/>
    </row>
    <row r="43560">
      <c r="B43560" s="17" t="s">
        <v>477</v>
      </c>
      <c r="K43560" s="18"/>
    </row>
    <row r="43561">
      <c r="B43561" s="17" t="s">
        <v>477</v>
      </c>
      <c r="K43561" s="18"/>
    </row>
    <row r="43562">
      <c r="B43562" s="17" t="s">
        <v>477</v>
      </c>
      <c r="K43562" s="18"/>
    </row>
    <row r="43563">
      <c r="B43563" s="17" t="s">
        <v>477</v>
      </c>
      <c r="K43563" s="18"/>
    </row>
    <row r="43564">
      <c r="B43564" s="17" t="s">
        <v>477</v>
      </c>
      <c r="K43564" s="18"/>
    </row>
    <row r="43565">
      <c r="B43565" s="17" t="s">
        <v>477</v>
      </c>
      <c r="K43565" s="18"/>
    </row>
    <row r="43566">
      <c r="B43566" s="17" t="s">
        <v>477</v>
      </c>
      <c r="K43566" s="18"/>
    </row>
    <row r="43567">
      <c r="B43567" s="17" t="s">
        <v>477</v>
      </c>
      <c r="K43567" s="18"/>
    </row>
    <row r="43568">
      <c r="B43568" s="17" t="s">
        <v>477</v>
      </c>
      <c r="K43568" s="18"/>
    </row>
    <row r="43569">
      <c r="B43569" s="17" t="s">
        <v>477</v>
      </c>
      <c r="K43569" s="18"/>
    </row>
    <row r="43570">
      <c r="B43570" s="17" t="s">
        <v>477</v>
      </c>
      <c r="K43570" s="18"/>
    </row>
    <row r="43571">
      <c r="B43571" s="17" t="s">
        <v>477</v>
      </c>
      <c r="K43571" s="18"/>
    </row>
    <row r="43572">
      <c r="B43572" s="17" t="s">
        <v>477</v>
      </c>
      <c r="K43572" s="18"/>
    </row>
    <row r="43573">
      <c r="B43573" s="17" t="s">
        <v>477</v>
      </c>
      <c r="K43573" s="18"/>
    </row>
    <row r="43574">
      <c r="B43574" s="17" t="s">
        <v>477</v>
      </c>
      <c r="K43574" s="18"/>
    </row>
    <row r="43575">
      <c r="B43575" s="17" t="s">
        <v>477</v>
      </c>
      <c r="K43575" s="18"/>
    </row>
    <row r="43576">
      <c r="B43576" s="17" t="s">
        <v>477</v>
      </c>
      <c r="K43576" s="18"/>
    </row>
    <row r="43577">
      <c r="B43577" s="17" t="s">
        <v>477</v>
      </c>
      <c r="K43577" s="18"/>
    </row>
    <row r="43578">
      <c r="B43578" s="17" t="s">
        <v>477</v>
      </c>
      <c r="K43578" s="18"/>
    </row>
    <row r="43579">
      <c r="B43579" s="17" t="s">
        <v>477</v>
      </c>
      <c r="K43579" s="18"/>
    </row>
    <row r="43580">
      <c r="B43580" s="17" t="s">
        <v>477</v>
      </c>
      <c r="K43580" s="18"/>
    </row>
    <row r="43581">
      <c r="B43581" s="17" t="s">
        <v>477</v>
      </c>
      <c r="K43581" s="18"/>
    </row>
    <row r="43582">
      <c r="B43582" s="17" t="s">
        <v>477</v>
      </c>
      <c r="K43582" s="18"/>
    </row>
    <row r="43583">
      <c r="B43583" s="17" t="s">
        <v>477</v>
      </c>
      <c r="K43583" s="18"/>
    </row>
    <row r="43584">
      <c r="B43584" s="17" t="s">
        <v>477</v>
      </c>
      <c r="K43584" s="18"/>
    </row>
    <row r="43585">
      <c r="B43585" s="17" t="s">
        <v>477</v>
      </c>
      <c r="K43585" s="18"/>
    </row>
    <row r="43586">
      <c r="B43586" s="17" t="s">
        <v>477</v>
      </c>
      <c r="K43586" s="18"/>
    </row>
    <row r="43587">
      <c r="B43587" s="17" t="s">
        <v>477</v>
      </c>
      <c r="K43587" s="18"/>
    </row>
    <row r="43588">
      <c r="B43588" s="17" t="s">
        <v>477</v>
      </c>
      <c r="K43588" s="18"/>
    </row>
    <row r="43589">
      <c r="B43589" s="17" t="s">
        <v>477</v>
      </c>
      <c r="K43589" s="18"/>
    </row>
    <row r="43590">
      <c r="B43590" s="17" t="s">
        <v>477</v>
      </c>
      <c r="K43590" s="18"/>
    </row>
    <row r="43591">
      <c r="B43591" s="17" t="s">
        <v>477</v>
      </c>
      <c r="K43591" s="18"/>
    </row>
    <row r="43592">
      <c r="B43592" s="17" t="s">
        <v>477</v>
      </c>
      <c r="K43592" s="18"/>
    </row>
    <row r="43593">
      <c r="B43593" s="17" t="s">
        <v>477</v>
      </c>
      <c r="K43593" s="18"/>
    </row>
    <row r="43594">
      <c r="B43594" s="17" t="s">
        <v>477</v>
      </c>
      <c r="K43594" s="18"/>
    </row>
    <row r="43595">
      <c r="B43595" s="17" t="s">
        <v>477</v>
      </c>
      <c r="K43595" s="18"/>
    </row>
    <row r="43596">
      <c r="B43596" s="17" t="s">
        <v>477</v>
      </c>
      <c r="K43596" s="18"/>
    </row>
    <row r="43597">
      <c r="B43597" s="17" t="s">
        <v>477</v>
      </c>
      <c r="K43597" s="18"/>
    </row>
    <row r="43598">
      <c r="B43598" s="17" t="s">
        <v>477</v>
      </c>
      <c r="K43598" s="18"/>
    </row>
    <row r="43599">
      <c r="B43599" s="17" t="s">
        <v>477</v>
      </c>
      <c r="K43599" s="18"/>
    </row>
    <row r="43600">
      <c r="B43600" s="17" t="s">
        <v>477</v>
      </c>
      <c r="K43600" s="18"/>
    </row>
    <row r="43601">
      <c r="B43601" s="17" t="s">
        <v>477</v>
      </c>
      <c r="K43601" s="18"/>
    </row>
    <row r="43602">
      <c r="B43602" s="17" t="s">
        <v>477</v>
      </c>
      <c r="K43602" s="18"/>
    </row>
    <row r="43603">
      <c r="B43603" s="17" t="s">
        <v>477</v>
      </c>
      <c r="K43603" s="18"/>
    </row>
    <row r="43604">
      <c r="B43604" s="17" t="s">
        <v>477</v>
      </c>
      <c r="K43604" s="18"/>
    </row>
    <row r="43605">
      <c r="B43605" s="17" t="s">
        <v>477</v>
      </c>
      <c r="K43605" s="18"/>
    </row>
    <row r="43606">
      <c r="B43606" s="17" t="s">
        <v>477</v>
      </c>
      <c r="K43606" s="18"/>
    </row>
    <row r="43607">
      <c r="B43607" s="17" t="s">
        <v>477</v>
      </c>
      <c r="K43607" s="18"/>
    </row>
    <row r="43608">
      <c r="B43608" s="17" t="s">
        <v>477</v>
      </c>
      <c r="K43608" s="18"/>
    </row>
    <row r="43609">
      <c r="B43609" s="17" t="s">
        <v>477</v>
      </c>
      <c r="K43609" s="18"/>
    </row>
    <row r="43610">
      <c r="B43610" s="17" t="s">
        <v>477</v>
      </c>
      <c r="K43610" s="18"/>
    </row>
    <row r="43611">
      <c r="B43611" s="17" t="s">
        <v>477</v>
      </c>
      <c r="K43611" s="18"/>
    </row>
    <row r="43612">
      <c r="B43612" s="17" t="s">
        <v>477</v>
      </c>
      <c r="K43612" s="18"/>
    </row>
    <row r="43613">
      <c r="B43613" s="17" t="s">
        <v>477</v>
      </c>
      <c r="K43613" s="18"/>
    </row>
    <row r="43614">
      <c r="B43614" s="17" t="s">
        <v>477</v>
      </c>
      <c r="K43614" s="18"/>
    </row>
    <row r="43615">
      <c r="B43615" s="17" t="s">
        <v>477</v>
      </c>
      <c r="K43615" s="18"/>
    </row>
    <row r="43616">
      <c r="B43616" s="17" t="s">
        <v>477</v>
      </c>
      <c r="K43616" s="18"/>
    </row>
    <row r="43617">
      <c r="B43617" s="17" t="s">
        <v>477</v>
      </c>
      <c r="K43617" s="18"/>
    </row>
    <row r="43618">
      <c r="B43618" s="17" t="s">
        <v>477</v>
      </c>
      <c r="K43618" s="18"/>
    </row>
    <row r="43619">
      <c r="B43619" s="17" t="s">
        <v>477</v>
      </c>
      <c r="K43619" s="18"/>
    </row>
    <row r="43620">
      <c r="B43620" s="17" t="s">
        <v>477</v>
      </c>
      <c r="K43620" s="18"/>
    </row>
    <row r="43621">
      <c r="B43621" s="17" t="s">
        <v>477</v>
      </c>
      <c r="K43621" s="18"/>
    </row>
    <row r="43622">
      <c r="B43622" s="17" t="s">
        <v>477</v>
      </c>
      <c r="K43622" s="18"/>
    </row>
    <row r="43623">
      <c r="B43623" s="17" t="s">
        <v>477</v>
      </c>
      <c r="K43623" s="18"/>
    </row>
    <row r="43624">
      <c r="B43624" s="17" t="s">
        <v>477</v>
      </c>
      <c r="K43624" s="18"/>
    </row>
    <row r="43625">
      <c r="B43625" s="17" t="s">
        <v>477</v>
      </c>
      <c r="K43625" s="18"/>
    </row>
    <row r="43626">
      <c r="B43626" s="17" t="s">
        <v>477</v>
      </c>
      <c r="K43626" s="18"/>
    </row>
    <row r="43627">
      <c r="B43627" s="17" t="s">
        <v>477</v>
      </c>
      <c r="K43627" s="18"/>
    </row>
    <row r="43628">
      <c r="B43628" s="17" t="s">
        <v>477</v>
      </c>
      <c r="K43628" s="18"/>
    </row>
    <row r="43629">
      <c r="B43629" s="17" t="s">
        <v>477</v>
      </c>
      <c r="K43629" s="18"/>
    </row>
    <row r="43630">
      <c r="B43630" s="17" t="s">
        <v>477</v>
      </c>
      <c r="K43630" s="18"/>
    </row>
    <row r="43631">
      <c r="B43631" s="17" t="s">
        <v>477</v>
      </c>
      <c r="K43631" s="18"/>
    </row>
    <row r="43632">
      <c r="B43632" s="17" t="s">
        <v>477</v>
      </c>
      <c r="K43632" s="18"/>
    </row>
    <row r="43633">
      <c r="B43633" s="17" t="s">
        <v>477</v>
      </c>
      <c r="K43633" s="18"/>
    </row>
    <row r="43634">
      <c r="B43634" s="17" t="s">
        <v>477</v>
      </c>
      <c r="K43634" s="18"/>
    </row>
    <row r="43635">
      <c r="B43635" s="17" t="s">
        <v>477</v>
      </c>
      <c r="K43635" s="18"/>
    </row>
    <row r="43636">
      <c r="B43636" s="17" t="s">
        <v>477</v>
      </c>
      <c r="K43636" s="18"/>
    </row>
    <row r="43637">
      <c r="B43637" s="17" t="s">
        <v>477</v>
      </c>
      <c r="K43637" s="18"/>
    </row>
    <row r="43638">
      <c r="B43638" s="17" t="s">
        <v>477</v>
      </c>
      <c r="K43638" s="18"/>
    </row>
    <row r="43639">
      <c r="B43639" s="17" t="s">
        <v>477</v>
      </c>
      <c r="K43639" s="18"/>
    </row>
    <row r="43640">
      <c r="B43640" s="17" t="s">
        <v>477</v>
      </c>
      <c r="K43640" s="18"/>
    </row>
    <row r="43641">
      <c r="B43641" s="17" t="s">
        <v>477</v>
      </c>
      <c r="K43641" s="18"/>
    </row>
    <row r="43642">
      <c r="B43642" s="17" t="s">
        <v>477</v>
      </c>
      <c r="K43642" s="18"/>
    </row>
    <row r="43643">
      <c r="B43643" s="17" t="s">
        <v>477</v>
      </c>
      <c r="K43643" s="18"/>
    </row>
    <row r="43644">
      <c r="B43644" s="17" t="s">
        <v>477</v>
      </c>
      <c r="K43644" s="18"/>
    </row>
    <row r="43645">
      <c r="B43645" s="17" t="s">
        <v>477</v>
      </c>
      <c r="K43645" s="18"/>
    </row>
    <row r="43646">
      <c r="B43646" s="17" t="s">
        <v>477</v>
      </c>
      <c r="K43646" s="18"/>
    </row>
    <row r="43647">
      <c r="B43647" s="17" t="s">
        <v>477</v>
      </c>
      <c r="K43647" s="18"/>
    </row>
    <row r="43648">
      <c r="B43648" s="17" t="s">
        <v>477</v>
      </c>
      <c r="K43648" s="18"/>
    </row>
    <row r="43649">
      <c r="B43649" s="17" t="s">
        <v>477</v>
      </c>
      <c r="K43649" s="18"/>
    </row>
    <row r="43650">
      <c r="B43650" s="17" t="s">
        <v>477</v>
      </c>
      <c r="K43650" s="18"/>
    </row>
    <row r="43651">
      <c r="B43651" s="17" t="s">
        <v>477</v>
      </c>
      <c r="K43651" s="18"/>
    </row>
    <row r="43652">
      <c r="B43652" s="17" t="s">
        <v>477</v>
      </c>
      <c r="K43652" s="18"/>
    </row>
    <row r="43653">
      <c r="B43653" s="17" t="s">
        <v>477</v>
      </c>
      <c r="K43653" s="18"/>
    </row>
    <row r="43654">
      <c r="B43654" s="17" t="s">
        <v>477</v>
      </c>
      <c r="K43654" s="18"/>
    </row>
    <row r="43655">
      <c r="B43655" s="17" t="s">
        <v>477</v>
      </c>
      <c r="K43655" s="18"/>
    </row>
    <row r="43656">
      <c r="B43656" s="17" t="s">
        <v>477</v>
      </c>
      <c r="K43656" s="18"/>
    </row>
    <row r="43657">
      <c r="B43657" s="17" t="s">
        <v>477</v>
      </c>
      <c r="K43657" s="18"/>
    </row>
    <row r="43658">
      <c r="B43658" s="17" t="s">
        <v>477</v>
      </c>
      <c r="K43658" s="18"/>
    </row>
    <row r="43659">
      <c r="B43659" s="17" t="s">
        <v>477</v>
      </c>
      <c r="K43659" s="18"/>
    </row>
    <row r="43660">
      <c r="B43660" s="17" t="s">
        <v>477</v>
      </c>
      <c r="K43660" s="18"/>
    </row>
    <row r="43661">
      <c r="B43661" s="17" t="s">
        <v>477</v>
      </c>
      <c r="K43661" s="18"/>
    </row>
    <row r="43662">
      <c r="B43662" s="17" t="s">
        <v>477</v>
      </c>
      <c r="K43662" s="18"/>
    </row>
    <row r="43663">
      <c r="B43663" s="17" t="s">
        <v>477</v>
      </c>
      <c r="K43663" s="18"/>
    </row>
    <row r="43664">
      <c r="B43664" s="17" t="s">
        <v>477</v>
      </c>
      <c r="K43664" s="18"/>
    </row>
    <row r="43665">
      <c r="B43665" s="17" t="s">
        <v>477</v>
      </c>
      <c r="K43665" s="18"/>
    </row>
    <row r="43666">
      <c r="B43666" s="17" t="s">
        <v>477</v>
      </c>
      <c r="K43666" s="18"/>
    </row>
    <row r="43667">
      <c r="B43667" s="17" t="s">
        <v>477</v>
      </c>
      <c r="K43667" s="18"/>
    </row>
    <row r="43668">
      <c r="B43668" s="17" t="s">
        <v>477</v>
      </c>
      <c r="K43668" s="18"/>
    </row>
    <row r="43669">
      <c r="B43669" s="17" t="s">
        <v>477</v>
      </c>
      <c r="K43669" s="18"/>
    </row>
    <row r="43670">
      <c r="B43670" s="17" t="s">
        <v>477</v>
      </c>
      <c r="K43670" s="18"/>
    </row>
    <row r="43671">
      <c r="B43671" s="17" t="s">
        <v>477</v>
      </c>
      <c r="K43671" s="18"/>
    </row>
    <row r="43672">
      <c r="B43672" s="17" t="s">
        <v>477</v>
      </c>
      <c r="K43672" s="18"/>
    </row>
    <row r="43673">
      <c r="B43673" s="17" t="s">
        <v>477</v>
      </c>
      <c r="K43673" s="18"/>
    </row>
    <row r="43674">
      <c r="B43674" s="17" t="s">
        <v>477</v>
      </c>
      <c r="K43674" s="18"/>
    </row>
    <row r="43675">
      <c r="B43675" s="17" t="s">
        <v>477</v>
      </c>
      <c r="K43675" s="18"/>
    </row>
    <row r="43676">
      <c r="B43676" s="17" t="s">
        <v>477</v>
      </c>
      <c r="K43676" s="18"/>
    </row>
    <row r="43677">
      <c r="B43677" s="17" t="s">
        <v>477</v>
      </c>
      <c r="K43677" s="18"/>
    </row>
    <row r="43678">
      <c r="B43678" s="17" t="s">
        <v>477</v>
      </c>
      <c r="K43678" s="18"/>
    </row>
    <row r="43679">
      <c r="B43679" s="17" t="s">
        <v>477</v>
      </c>
      <c r="K43679" s="18"/>
    </row>
    <row r="43680">
      <c r="B43680" s="17" t="s">
        <v>477</v>
      </c>
      <c r="K43680" s="18"/>
    </row>
    <row r="43681">
      <c r="B43681" s="17" t="s">
        <v>477</v>
      </c>
      <c r="K43681" s="18"/>
    </row>
    <row r="43682">
      <c r="B43682" s="17" t="s">
        <v>477</v>
      </c>
      <c r="K43682" s="18"/>
    </row>
    <row r="43683">
      <c r="B43683" s="17" t="s">
        <v>477</v>
      </c>
      <c r="K43683" s="18"/>
    </row>
    <row r="43684">
      <c r="B43684" s="17" t="s">
        <v>477</v>
      </c>
      <c r="K43684" s="18"/>
    </row>
    <row r="43685">
      <c r="B43685" s="17" t="s">
        <v>477</v>
      </c>
      <c r="K43685" s="18"/>
    </row>
    <row r="43686">
      <c r="B43686" s="17" t="s">
        <v>477</v>
      </c>
      <c r="K43686" s="18"/>
    </row>
    <row r="43687">
      <c r="B43687" s="17" t="s">
        <v>477</v>
      </c>
      <c r="K43687" s="18"/>
    </row>
    <row r="43688">
      <c r="B43688" s="17" t="s">
        <v>477</v>
      </c>
      <c r="K43688" s="18"/>
    </row>
    <row r="43689">
      <c r="B43689" s="17" t="s">
        <v>477</v>
      </c>
      <c r="K43689" s="18"/>
    </row>
    <row r="43690">
      <c r="B43690" s="17" t="s">
        <v>477</v>
      </c>
      <c r="K43690" s="18"/>
    </row>
    <row r="43691">
      <c r="B43691" s="17" t="s">
        <v>477</v>
      </c>
      <c r="K43691" s="18"/>
    </row>
    <row r="43692">
      <c r="B43692" s="17" t="s">
        <v>477</v>
      </c>
      <c r="K43692" s="18"/>
    </row>
    <row r="43693">
      <c r="B43693" s="17" t="s">
        <v>477</v>
      </c>
      <c r="K43693" s="18"/>
    </row>
    <row r="43694">
      <c r="B43694" s="17" t="s">
        <v>477</v>
      </c>
      <c r="K43694" s="18"/>
    </row>
    <row r="43695">
      <c r="B43695" s="17" t="s">
        <v>477</v>
      </c>
      <c r="K43695" s="18"/>
    </row>
    <row r="43696">
      <c r="B43696" s="17" t="s">
        <v>477</v>
      </c>
      <c r="K43696" s="18"/>
    </row>
    <row r="43697">
      <c r="B43697" s="17" t="s">
        <v>477</v>
      </c>
      <c r="K43697" s="18"/>
    </row>
    <row r="43698">
      <c r="B43698" s="17" t="s">
        <v>477</v>
      </c>
      <c r="K43698" s="18"/>
    </row>
    <row r="43699">
      <c r="B43699" s="17" t="s">
        <v>477</v>
      </c>
      <c r="K43699" s="18"/>
    </row>
    <row r="43700">
      <c r="B43700" s="17" t="s">
        <v>477</v>
      </c>
      <c r="K43700" s="18"/>
    </row>
    <row r="43701">
      <c r="B43701" s="17" t="s">
        <v>477</v>
      </c>
      <c r="K43701" s="18"/>
    </row>
    <row r="43702">
      <c r="B43702" s="17" t="s">
        <v>477</v>
      </c>
      <c r="K43702" s="18"/>
    </row>
    <row r="43703">
      <c r="B43703" s="17" t="s">
        <v>477</v>
      </c>
      <c r="K43703" s="18"/>
    </row>
    <row r="43704">
      <c r="B43704" s="17" t="s">
        <v>477</v>
      </c>
      <c r="K43704" s="18"/>
    </row>
    <row r="43705">
      <c r="B43705" s="17" t="s">
        <v>477</v>
      </c>
      <c r="K43705" s="18"/>
    </row>
    <row r="43706">
      <c r="B43706" s="17" t="s">
        <v>477</v>
      </c>
      <c r="K43706" s="18"/>
    </row>
    <row r="43707">
      <c r="B43707" s="17" t="s">
        <v>477</v>
      </c>
      <c r="K43707" s="18"/>
    </row>
    <row r="43708">
      <c r="B43708" s="17" t="s">
        <v>477</v>
      </c>
      <c r="K43708" s="18"/>
    </row>
    <row r="43709">
      <c r="B43709" s="17" t="s">
        <v>477</v>
      </c>
      <c r="K43709" s="18"/>
    </row>
    <row r="43710">
      <c r="B43710" s="17" t="s">
        <v>477</v>
      </c>
      <c r="K43710" s="18"/>
    </row>
    <row r="43711">
      <c r="B43711" s="17" t="s">
        <v>477</v>
      </c>
      <c r="K43711" s="18"/>
    </row>
    <row r="43712">
      <c r="B43712" s="17" t="s">
        <v>477</v>
      </c>
      <c r="K43712" s="18"/>
    </row>
    <row r="43713">
      <c r="B43713" s="17" t="s">
        <v>477</v>
      </c>
      <c r="K43713" s="18"/>
    </row>
    <row r="43714">
      <c r="B43714" s="17" t="s">
        <v>477</v>
      </c>
      <c r="K43714" s="18"/>
    </row>
    <row r="43715">
      <c r="B43715" s="17" t="s">
        <v>477</v>
      </c>
      <c r="K43715" s="18"/>
    </row>
    <row r="43716">
      <c r="B43716" s="17" t="s">
        <v>477</v>
      </c>
      <c r="K43716" s="18"/>
    </row>
    <row r="43717">
      <c r="B43717" s="17" t="s">
        <v>477</v>
      </c>
      <c r="K43717" s="18"/>
    </row>
    <row r="43718">
      <c r="B43718" s="17" t="s">
        <v>477</v>
      </c>
      <c r="K43718" s="18"/>
    </row>
    <row r="43719">
      <c r="B43719" s="17" t="s">
        <v>477</v>
      </c>
      <c r="K43719" s="18"/>
    </row>
    <row r="43720">
      <c r="B43720" s="17" t="s">
        <v>477</v>
      </c>
      <c r="K43720" s="18"/>
    </row>
    <row r="43721">
      <c r="B43721" s="17" t="s">
        <v>477</v>
      </c>
      <c r="K43721" s="18"/>
    </row>
    <row r="43722">
      <c r="B43722" s="17" t="s">
        <v>477</v>
      </c>
      <c r="K43722" s="18"/>
    </row>
    <row r="43723">
      <c r="B43723" s="17" t="s">
        <v>477</v>
      </c>
      <c r="K43723" s="18"/>
    </row>
    <row r="43724">
      <c r="B43724" s="17" t="s">
        <v>477</v>
      </c>
      <c r="K43724" s="18"/>
    </row>
    <row r="43725">
      <c r="B43725" s="17" t="s">
        <v>477</v>
      </c>
      <c r="K43725" s="18"/>
    </row>
    <row r="43726">
      <c r="B43726" s="17" t="s">
        <v>477</v>
      </c>
      <c r="K43726" s="18"/>
    </row>
    <row r="43727">
      <c r="B43727" s="17" t="s">
        <v>477</v>
      </c>
      <c r="K43727" s="18"/>
    </row>
    <row r="43728">
      <c r="B43728" s="17" t="s">
        <v>477</v>
      </c>
      <c r="K43728" s="18"/>
    </row>
    <row r="43729">
      <c r="B43729" s="17" t="s">
        <v>477</v>
      </c>
      <c r="K43729" s="18"/>
    </row>
    <row r="43730">
      <c r="B43730" s="17" t="s">
        <v>477</v>
      </c>
      <c r="K43730" s="18"/>
    </row>
    <row r="43731">
      <c r="B43731" s="17" t="s">
        <v>477</v>
      </c>
      <c r="K43731" s="18"/>
    </row>
    <row r="43732">
      <c r="B43732" s="17" t="s">
        <v>477</v>
      </c>
      <c r="K43732" s="18"/>
    </row>
    <row r="43733">
      <c r="B43733" s="17" t="s">
        <v>477</v>
      </c>
      <c r="K43733" s="18"/>
    </row>
    <row r="43734">
      <c r="B43734" s="17" t="s">
        <v>477</v>
      </c>
      <c r="K43734" s="18"/>
    </row>
    <row r="43735">
      <c r="B43735" s="17" t="s">
        <v>477</v>
      </c>
      <c r="K43735" s="18"/>
    </row>
    <row r="43736">
      <c r="B43736" s="17" t="s">
        <v>477</v>
      </c>
      <c r="K43736" s="18"/>
    </row>
    <row r="43737">
      <c r="B43737" s="17" t="s">
        <v>477</v>
      </c>
      <c r="K43737" s="18"/>
    </row>
    <row r="43738">
      <c r="B43738" s="17" t="s">
        <v>477</v>
      </c>
      <c r="K43738" s="18"/>
    </row>
    <row r="43739">
      <c r="B43739" s="17" t="s">
        <v>477</v>
      </c>
      <c r="K43739" s="18"/>
    </row>
    <row r="43740">
      <c r="B43740" s="17" t="s">
        <v>477</v>
      </c>
      <c r="K43740" s="18"/>
    </row>
    <row r="43741">
      <c r="B43741" s="17" t="s">
        <v>477</v>
      </c>
      <c r="K43741" s="18"/>
    </row>
    <row r="43742">
      <c r="B43742" s="17" t="s">
        <v>477</v>
      </c>
      <c r="K43742" s="18"/>
    </row>
    <row r="43743">
      <c r="B43743" s="17" t="s">
        <v>477</v>
      </c>
      <c r="K43743" s="18"/>
    </row>
    <row r="43744">
      <c r="B43744" s="17" t="s">
        <v>477</v>
      </c>
      <c r="K43744" s="18"/>
    </row>
    <row r="43745">
      <c r="B43745" s="17" t="s">
        <v>477</v>
      </c>
      <c r="K43745" s="18"/>
    </row>
    <row r="43746">
      <c r="B43746" s="17" t="s">
        <v>477</v>
      </c>
      <c r="K43746" s="18"/>
    </row>
    <row r="43747">
      <c r="B43747" s="17" t="s">
        <v>477</v>
      </c>
      <c r="K43747" s="18"/>
    </row>
    <row r="43748">
      <c r="B43748" s="17" t="s">
        <v>477</v>
      </c>
      <c r="K43748" s="18"/>
    </row>
    <row r="43749">
      <c r="B43749" s="17" t="s">
        <v>477</v>
      </c>
      <c r="K43749" s="18"/>
    </row>
    <row r="43750">
      <c r="B43750" s="17" t="s">
        <v>477</v>
      </c>
      <c r="K43750" s="18"/>
    </row>
    <row r="43751">
      <c r="B43751" s="17" t="s">
        <v>477</v>
      </c>
      <c r="K43751" s="18"/>
    </row>
    <row r="43752">
      <c r="B43752" s="17" t="s">
        <v>477</v>
      </c>
      <c r="K43752" s="18"/>
    </row>
    <row r="43753">
      <c r="B43753" s="17" t="s">
        <v>477</v>
      </c>
      <c r="K43753" s="18"/>
    </row>
    <row r="43754">
      <c r="B43754" s="17" t="s">
        <v>477</v>
      </c>
      <c r="K43754" s="18"/>
    </row>
    <row r="43755">
      <c r="B43755" s="17" t="s">
        <v>477</v>
      </c>
      <c r="K43755" s="18"/>
    </row>
    <row r="43756">
      <c r="B43756" s="17" t="s">
        <v>477</v>
      </c>
      <c r="K43756" s="18"/>
    </row>
    <row r="43757">
      <c r="B43757" s="17" t="s">
        <v>477</v>
      </c>
      <c r="K43757" s="18"/>
    </row>
    <row r="43758">
      <c r="B43758" s="17" t="s">
        <v>477</v>
      </c>
      <c r="K43758" s="18"/>
    </row>
    <row r="43759">
      <c r="B43759" s="17" t="s">
        <v>477</v>
      </c>
      <c r="K43759" s="18"/>
    </row>
    <row r="43760">
      <c r="B43760" s="17" t="s">
        <v>477</v>
      </c>
      <c r="K43760" s="18"/>
    </row>
    <row r="43761">
      <c r="B43761" s="17" t="s">
        <v>477</v>
      </c>
      <c r="K43761" s="18"/>
    </row>
    <row r="43762">
      <c r="B43762" s="17" t="s">
        <v>477</v>
      </c>
      <c r="K43762" s="18"/>
    </row>
    <row r="43763">
      <c r="B43763" s="17" t="s">
        <v>477</v>
      </c>
      <c r="K43763" s="18"/>
    </row>
    <row r="43764">
      <c r="B43764" s="17" t="s">
        <v>477</v>
      </c>
      <c r="K43764" s="18"/>
    </row>
    <row r="43765">
      <c r="B43765" s="17" t="s">
        <v>477</v>
      </c>
      <c r="K43765" s="18"/>
    </row>
    <row r="43766">
      <c r="B43766" s="17" t="s">
        <v>477</v>
      </c>
      <c r="K43766" s="18"/>
    </row>
    <row r="43767">
      <c r="B43767" s="17" t="s">
        <v>477</v>
      </c>
      <c r="K43767" s="18"/>
    </row>
    <row r="43768">
      <c r="B43768" s="17" t="s">
        <v>477</v>
      </c>
      <c r="K43768" s="18"/>
    </row>
    <row r="43769">
      <c r="B43769" s="17" t="s">
        <v>477</v>
      </c>
      <c r="K43769" s="18"/>
    </row>
    <row r="43770">
      <c r="B43770" s="17" t="s">
        <v>477</v>
      </c>
      <c r="K43770" s="18"/>
    </row>
    <row r="43771">
      <c r="B43771" s="17" t="s">
        <v>477</v>
      </c>
      <c r="K43771" s="18"/>
    </row>
    <row r="43772">
      <c r="B43772" s="17" t="s">
        <v>477</v>
      </c>
      <c r="K43772" s="18"/>
    </row>
    <row r="43773">
      <c r="B43773" s="17" t="s">
        <v>477</v>
      </c>
      <c r="K43773" s="18"/>
    </row>
    <row r="43774">
      <c r="B43774" s="17" t="s">
        <v>477</v>
      </c>
      <c r="K43774" s="18"/>
    </row>
    <row r="43775">
      <c r="B43775" s="17" t="s">
        <v>477</v>
      </c>
      <c r="K43775" s="18"/>
    </row>
    <row r="43776">
      <c r="B43776" s="17" t="s">
        <v>477</v>
      </c>
      <c r="K43776" s="18"/>
    </row>
    <row r="43777">
      <c r="B43777" s="17" t="s">
        <v>477</v>
      </c>
      <c r="K43777" s="18"/>
    </row>
    <row r="43778">
      <c r="B43778" s="17" t="s">
        <v>477</v>
      </c>
      <c r="K43778" s="18"/>
    </row>
    <row r="43779">
      <c r="B43779" s="17" t="s">
        <v>477</v>
      </c>
      <c r="K43779" s="18"/>
    </row>
    <row r="43780">
      <c r="B43780" s="17" t="s">
        <v>477</v>
      </c>
      <c r="K43780" s="18"/>
    </row>
    <row r="43781">
      <c r="B43781" s="17" t="s">
        <v>477</v>
      </c>
      <c r="K43781" s="18"/>
    </row>
    <row r="43782">
      <c r="B43782" s="17" t="s">
        <v>477</v>
      </c>
      <c r="K43782" s="18"/>
    </row>
    <row r="43783">
      <c r="B43783" s="17" t="s">
        <v>477</v>
      </c>
      <c r="K43783" s="18"/>
    </row>
    <row r="43784">
      <c r="B43784" s="17" t="s">
        <v>477</v>
      </c>
      <c r="K43784" s="18"/>
    </row>
    <row r="43785">
      <c r="B43785" s="17" t="s">
        <v>477</v>
      </c>
      <c r="K43785" s="18"/>
    </row>
    <row r="43786">
      <c r="B43786" s="17" t="s">
        <v>477</v>
      </c>
      <c r="K43786" s="18"/>
    </row>
    <row r="43787">
      <c r="B43787" s="17" t="s">
        <v>477</v>
      </c>
      <c r="K43787" s="18"/>
    </row>
    <row r="43788">
      <c r="B43788" s="17" t="s">
        <v>477</v>
      </c>
      <c r="K43788" s="18"/>
    </row>
    <row r="43789">
      <c r="B43789" s="17" t="s">
        <v>477</v>
      </c>
      <c r="K43789" s="18"/>
    </row>
    <row r="43790">
      <c r="B43790" s="17" t="s">
        <v>477</v>
      </c>
      <c r="K43790" s="18"/>
    </row>
    <row r="43791">
      <c r="B43791" s="17" t="s">
        <v>477</v>
      </c>
      <c r="K43791" s="18"/>
    </row>
    <row r="43792">
      <c r="B43792" s="17" t="s">
        <v>477</v>
      </c>
      <c r="K43792" s="18"/>
    </row>
    <row r="43793">
      <c r="B43793" s="17" t="s">
        <v>477</v>
      </c>
      <c r="K43793" s="18"/>
    </row>
    <row r="43794">
      <c r="B43794" s="17" t="s">
        <v>477</v>
      </c>
      <c r="K43794" s="18"/>
    </row>
    <row r="43795">
      <c r="B43795" s="17" t="s">
        <v>477</v>
      </c>
      <c r="K43795" s="18"/>
    </row>
    <row r="43796">
      <c r="B43796" s="17" t="s">
        <v>477</v>
      </c>
      <c r="K43796" s="18"/>
    </row>
    <row r="43797">
      <c r="B43797" s="17" t="s">
        <v>477</v>
      </c>
      <c r="K43797" s="18"/>
    </row>
    <row r="43798">
      <c r="B43798" s="17" t="s">
        <v>477</v>
      </c>
      <c r="K43798" s="18"/>
    </row>
    <row r="43799">
      <c r="B43799" s="17" t="s">
        <v>477</v>
      </c>
      <c r="K43799" s="18"/>
    </row>
    <row r="43800">
      <c r="B43800" s="17" t="s">
        <v>477</v>
      </c>
      <c r="K43800" s="18"/>
    </row>
    <row r="43801">
      <c r="B43801" s="17" t="s">
        <v>477</v>
      </c>
      <c r="K43801" s="18"/>
    </row>
    <row r="43802">
      <c r="B43802" s="17" t="s">
        <v>477</v>
      </c>
      <c r="K43802" s="18"/>
    </row>
    <row r="43803">
      <c r="B43803" s="17" t="s">
        <v>477</v>
      </c>
      <c r="K43803" s="18"/>
    </row>
    <row r="43804">
      <c r="B43804" s="17" t="s">
        <v>477</v>
      </c>
      <c r="K43804" s="18"/>
    </row>
    <row r="43805">
      <c r="B43805" s="17" t="s">
        <v>477</v>
      </c>
      <c r="K43805" s="18"/>
    </row>
    <row r="43806">
      <c r="B43806" s="17" t="s">
        <v>477</v>
      </c>
      <c r="K43806" s="18"/>
    </row>
    <row r="43807">
      <c r="B43807" s="17" t="s">
        <v>477</v>
      </c>
      <c r="K43807" s="18"/>
    </row>
    <row r="43808">
      <c r="B43808" s="17" t="s">
        <v>477</v>
      </c>
      <c r="K43808" s="18"/>
    </row>
    <row r="43809">
      <c r="B43809" s="17" t="s">
        <v>477</v>
      </c>
      <c r="K43809" s="18"/>
    </row>
    <row r="43810">
      <c r="B43810" s="17" t="s">
        <v>477</v>
      </c>
      <c r="K43810" s="18"/>
    </row>
    <row r="43811">
      <c r="B43811" s="17" t="s">
        <v>477</v>
      </c>
      <c r="K43811" s="18"/>
    </row>
    <row r="43812">
      <c r="B43812" s="17" t="s">
        <v>477</v>
      </c>
      <c r="K43812" s="18"/>
    </row>
    <row r="43813">
      <c r="B43813" s="17" t="s">
        <v>477</v>
      </c>
      <c r="K43813" s="18"/>
    </row>
    <row r="43814">
      <c r="B43814" s="17" t="s">
        <v>477</v>
      </c>
      <c r="K43814" s="18"/>
    </row>
    <row r="43815">
      <c r="B43815" s="17" t="s">
        <v>477</v>
      </c>
      <c r="K43815" s="18"/>
    </row>
    <row r="43816">
      <c r="B43816" s="17" t="s">
        <v>477</v>
      </c>
      <c r="K43816" s="18"/>
    </row>
    <row r="43817">
      <c r="B43817" s="17" t="s">
        <v>477</v>
      </c>
      <c r="K43817" s="18"/>
    </row>
    <row r="43818">
      <c r="B43818" s="17" t="s">
        <v>477</v>
      </c>
      <c r="K43818" s="18"/>
    </row>
    <row r="43819">
      <c r="B43819" s="17" t="s">
        <v>477</v>
      </c>
      <c r="K43819" s="18"/>
    </row>
    <row r="43820">
      <c r="B43820" s="17" t="s">
        <v>477</v>
      </c>
      <c r="K43820" s="18"/>
    </row>
    <row r="43821">
      <c r="B43821" s="17" t="s">
        <v>477</v>
      </c>
      <c r="K43821" s="18"/>
    </row>
    <row r="43822">
      <c r="B43822" s="17" t="s">
        <v>477</v>
      </c>
      <c r="K43822" s="18"/>
    </row>
    <row r="43823">
      <c r="B43823" s="17" t="s">
        <v>477</v>
      </c>
      <c r="K43823" s="18"/>
    </row>
    <row r="43824">
      <c r="B43824" s="17" t="s">
        <v>477</v>
      </c>
      <c r="K43824" s="18"/>
    </row>
    <row r="43825">
      <c r="B43825" s="17" t="s">
        <v>477</v>
      </c>
      <c r="K43825" s="18"/>
    </row>
    <row r="43826">
      <c r="B43826" s="17" t="s">
        <v>477</v>
      </c>
      <c r="K43826" s="18"/>
    </row>
    <row r="43827">
      <c r="B43827" s="17" t="s">
        <v>477</v>
      </c>
      <c r="K43827" s="18"/>
    </row>
    <row r="43828">
      <c r="B43828" s="17" t="s">
        <v>477</v>
      </c>
      <c r="K43828" s="18"/>
    </row>
    <row r="43829">
      <c r="B43829" s="17" t="s">
        <v>477</v>
      </c>
      <c r="K43829" s="18"/>
    </row>
    <row r="43830">
      <c r="B43830" s="17" t="s">
        <v>477</v>
      </c>
      <c r="K43830" s="18"/>
    </row>
    <row r="43831">
      <c r="B43831" s="17" t="s">
        <v>477</v>
      </c>
      <c r="K43831" s="18"/>
    </row>
    <row r="43832">
      <c r="B43832" s="17" t="s">
        <v>477</v>
      </c>
      <c r="K43832" s="18"/>
    </row>
    <row r="43833">
      <c r="B43833" s="17" t="s">
        <v>477</v>
      </c>
      <c r="K43833" s="18"/>
    </row>
    <row r="43834">
      <c r="B43834" s="17" t="s">
        <v>477</v>
      </c>
      <c r="K43834" s="18"/>
    </row>
    <row r="43835">
      <c r="B43835" s="17" t="s">
        <v>477</v>
      </c>
      <c r="K43835" s="18"/>
    </row>
    <row r="43836">
      <c r="B43836" s="17" t="s">
        <v>477</v>
      </c>
      <c r="K43836" s="18"/>
    </row>
    <row r="43837">
      <c r="B43837" s="17" t="s">
        <v>477</v>
      </c>
      <c r="K43837" s="18"/>
    </row>
    <row r="43838">
      <c r="B43838" s="17" t="s">
        <v>477</v>
      </c>
      <c r="K43838" s="18"/>
    </row>
    <row r="43839">
      <c r="B43839" s="17" t="s">
        <v>477</v>
      </c>
      <c r="K43839" s="18"/>
    </row>
    <row r="43840">
      <c r="B43840" s="17" t="s">
        <v>477</v>
      </c>
      <c r="K43840" s="18"/>
    </row>
    <row r="43841">
      <c r="B43841" s="17" t="s">
        <v>477</v>
      </c>
      <c r="K43841" s="18"/>
    </row>
    <row r="43842">
      <c r="B43842" s="17" t="s">
        <v>477</v>
      </c>
      <c r="K43842" s="18"/>
    </row>
    <row r="43843">
      <c r="B43843" s="17" t="s">
        <v>477</v>
      </c>
      <c r="K43843" s="18"/>
    </row>
    <row r="43844">
      <c r="B43844" s="17" t="s">
        <v>477</v>
      </c>
      <c r="K43844" s="18"/>
    </row>
    <row r="43845">
      <c r="B43845" s="17" t="s">
        <v>477</v>
      </c>
      <c r="K43845" s="18"/>
    </row>
    <row r="43846">
      <c r="B43846" s="17" t="s">
        <v>477</v>
      </c>
      <c r="K43846" s="18"/>
    </row>
    <row r="43847">
      <c r="B43847" s="17" t="s">
        <v>477</v>
      </c>
      <c r="K43847" s="18"/>
    </row>
    <row r="43848">
      <c r="B43848" s="17" t="s">
        <v>477</v>
      </c>
      <c r="K43848" s="18"/>
    </row>
    <row r="43849">
      <c r="B43849" s="17" t="s">
        <v>477</v>
      </c>
      <c r="K43849" s="18"/>
    </row>
    <row r="43850">
      <c r="B43850" s="17" t="s">
        <v>477</v>
      </c>
      <c r="K43850" s="18"/>
    </row>
    <row r="43851">
      <c r="B43851" s="17" t="s">
        <v>477</v>
      </c>
      <c r="K43851" s="18"/>
    </row>
    <row r="43852">
      <c r="B43852" s="17" t="s">
        <v>477</v>
      </c>
      <c r="K43852" s="18"/>
    </row>
    <row r="43853">
      <c r="B43853" s="17" t="s">
        <v>477</v>
      </c>
      <c r="K43853" s="18"/>
    </row>
    <row r="43854">
      <c r="B43854" s="17" t="s">
        <v>477</v>
      </c>
      <c r="K43854" s="18"/>
    </row>
    <row r="43855">
      <c r="B43855" s="17" t="s">
        <v>477</v>
      </c>
      <c r="K43855" s="18"/>
    </row>
    <row r="43856">
      <c r="B43856" s="17" t="s">
        <v>477</v>
      </c>
      <c r="K43856" s="18"/>
    </row>
    <row r="43857">
      <c r="B43857" s="17" t="s">
        <v>477</v>
      </c>
      <c r="K43857" s="18"/>
    </row>
    <row r="43858">
      <c r="B43858" s="17" t="s">
        <v>477</v>
      </c>
      <c r="K43858" s="18"/>
    </row>
    <row r="43859">
      <c r="B43859" s="17" t="s">
        <v>477</v>
      </c>
      <c r="K43859" s="18"/>
    </row>
    <row r="43860">
      <c r="B43860" s="17" t="s">
        <v>477</v>
      </c>
      <c r="K43860" s="18"/>
    </row>
    <row r="43861">
      <c r="B43861" s="17" t="s">
        <v>477</v>
      </c>
      <c r="K43861" s="18"/>
    </row>
    <row r="43862">
      <c r="B43862" s="17" t="s">
        <v>477</v>
      </c>
      <c r="K43862" s="18"/>
    </row>
    <row r="43863">
      <c r="B43863" s="17" t="s">
        <v>477</v>
      </c>
      <c r="K43863" s="18"/>
    </row>
    <row r="43864">
      <c r="B43864" s="17" t="s">
        <v>477</v>
      </c>
      <c r="K43864" s="18"/>
    </row>
    <row r="43865">
      <c r="B43865" s="17" t="s">
        <v>477</v>
      </c>
      <c r="K43865" s="18"/>
    </row>
    <row r="43866">
      <c r="B43866" s="17" t="s">
        <v>477</v>
      </c>
      <c r="K43866" s="18"/>
    </row>
    <row r="43867">
      <c r="B43867" s="17" t="s">
        <v>477</v>
      </c>
      <c r="K43867" s="18"/>
    </row>
    <row r="43868">
      <c r="B43868" s="17" t="s">
        <v>477</v>
      </c>
      <c r="K43868" s="18"/>
    </row>
    <row r="43869">
      <c r="B43869" s="17" t="s">
        <v>477</v>
      </c>
      <c r="K43869" s="18"/>
    </row>
    <row r="43870">
      <c r="B43870" s="17" t="s">
        <v>477</v>
      </c>
      <c r="K43870" s="18"/>
    </row>
    <row r="43871">
      <c r="B43871" s="17" t="s">
        <v>477</v>
      </c>
      <c r="K43871" s="18"/>
    </row>
    <row r="43872">
      <c r="B43872" s="17" t="s">
        <v>477</v>
      </c>
      <c r="K43872" s="18"/>
    </row>
    <row r="43873">
      <c r="B43873" s="17" t="s">
        <v>477</v>
      </c>
      <c r="K43873" s="18"/>
    </row>
    <row r="43874">
      <c r="B43874" s="17" t="s">
        <v>477</v>
      </c>
      <c r="K43874" s="18"/>
    </row>
    <row r="43875">
      <c r="B43875" s="17" t="s">
        <v>477</v>
      </c>
      <c r="K43875" s="18"/>
    </row>
    <row r="43876">
      <c r="B43876" s="17" t="s">
        <v>477</v>
      </c>
      <c r="K43876" s="18"/>
    </row>
    <row r="43877">
      <c r="B43877" s="17" t="s">
        <v>477</v>
      </c>
      <c r="K43877" s="18"/>
    </row>
    <row r="43878">
      <c r="B43878" s="17" t="s">
        <v>477</v>
      </c>
      <c r="K43878" s="18"/>
    </row>
    <row r="43879">
      <c r="B43879" s="17" t="s">
        <v>477</v>
      </c>
      <c r="K43879" s="18"/>
    </row>
    <row r="43880">
      <c r="B43880" s="17" t="s">
        <v>477</v>
      </c>
      <c r="K43880" s="18"/>
    </row>
    <row r="43881">
      <c r="B43881" s="17" t="s">
        <v>477</v>
      </c>
      <c r="K43881" s="18"/>
    </row>
    <row r="43882">
      <c r="B43882" s="17" t="s">
        <v>477</v>
      </c>
      <c r="K43882" s="18"/>
    </row>
    <row r="43883">
      <c r="B43883" s="17" t="s">
        <v>477</v>
      </c>
      <c r="K43883" s="18"/>
    </row>
    <row r="43884">
      <c r="B43884" s="17" t="s">
        <v>477</v>
      </c>
      <c r="K43884" s="18"/>
    </row>
    <row r="43885">
      <c r="B43885" s="17" t="s">
        <v>477</v>
      </c>
      <c r="K43885" s="18"/>
    </row>
    <row r="43886">
      <c r="B43886" s="17" t="s">
        <v>477</v>
      </c>
      <c r="K43886" s="18"/>
    </row>
    <row r="43887">
      <c r="B43887" s="17" t="s">
        <v>477</v>
      </c>
      <c r="K43887" s="18"/>
    </row>
    <row r="43888">
      <c r="B43888" s="17" t="s">
        <v>477</v>
      </c>
      <c r="K43888" s="18"/>
    </row>
    <row r="43889">
      <c r="B43889" s="17" t="s">
        <v>477</v>
      </c>
      <c r="K43889" s="18"/>
    </row>
    <row r="43890">
      <c r="B43890" s="17" t="s">
        <v>477</v>
      </c>
      <c r="K43890" s="18"/>
    </row>
    <row r="43891">
      <c r="B43891" s="17" t="s">
        <v>477</v>
      </c>
      <c r="K43891" s="18"/>
    </row>
    <row r="43892">
      <c r="B43892" s="17" t="s">
        <v>477</v>
      </c>
      <c r="K43892" s="18"/>
    </row>
    <row r="43893">
      <c r="B43893" s="17" t="s">
        <v>477</v>
      </c>
      <c r="K43893" s="18"/>
    </row>
    <row r="43894">
      <c r="B43894" s="17" t="s">
        <v>477</v>
      </c>
      <c r="K43894" s="18"/>
    </row>
    <row r="43895">
      <c r="B43895" s="17" t="s">
        <v>477</v>
      </c>
      <c r="K43895" s="18"/>
    </row>
    <row r="43896">
      <c r="B43896" s="17" t="s">
        <v>477</v>
      </c>
      <c r="K43896" s="18"/>
    </row>
    <row r="43897">
      <c r="B43897" s="17" t="s">
        <v>477</v>
      </c>
      <c r="K43897" s="18"/>
    </row>
    <row r="43898">
      <c r="B43898" s="17" t="s">
        <v>477</v>
      </c>
      <c r="K43898" s="18"/>
    </row>
    <row r="43899">
      <c r="B43899" s="17" t="s">
        <v>477</v>
      </c>
      <c r="K43899" s="18"/>
    </row>
    <row r="43900">
      <c r="B43900" s="17" t="s">
        <v>477</v>
      </c>
      <c r="K43900" s="18"/>
    </row>
    <row r="43901">
      <c r="B43901" s="17" t="s">
        <v>477</v>
      </c>
      <c r="K43901" s="18"/>
    </row>
    <row r="43902">
      <c r="B43902" s="17" t="s">
        <v>477</v>
      </c>
      <c r="K43902" s="18"/>
    </row>
    <row r="43903">
      <c r="B43903" s="17" t="s">
        <v>477</v>
      </c>
      <c r="K43903" s="18"/>
    </row>
    <row r="43904">
      <c r="B43904" s="17" t="s">
        <v>477</v>
      </c>
      <c r="K43904" s="18"/>
    </row>
    <row r="43905">
      <c r="B43905" s="17" t="s">
        <v>477</v>
      </c>
      <c r="K43905" s="18"/>
    </row>
    <row r="43906">
      <c r="B43906" s="17" t="s">
        <v>477</v>
      </c>
      <c r="K43906" s="18"/>
    </row>
    <row r="43907">
      <c r="B43907" s="17" t="s">
        <v>477</v>
      </c>
      <c r="K43907" s="18"/>
    </row>
    <row r="43908">
      <c r="B43908" s="17" t="s">
        <v>477</v>
      </c>
      <c r="K43908" s="18"/>
    </row>
    <row r="43909">
      <c r="B43909" s="17" t="s">
        <v>477</v>
      </c>
      <c r="K43909" s="18"/>
    </row>
    <row r="43910">
      <c r="B43910" s="17" t="s">
        <v>477</v>
      </c>
      <c r="K43910" s="18"/>
    </row>
    <row r="43911">
      <c r="B43911" s="17" t="s">
        <v>477</v>
      </c>
      <c r="K43911" s="18"/>
    </row>
    <row r="43912">
      <c r="B43912" s="17" t="s">
        <v>477</v>
      </c>
      <c r="K43912" s="18"/>
    </row>
    <row r="43913">
      <c r="B43913" s="17" t="s">
        <v>477</v>
      </c>
      <c r="K43913" s="18"/>
    </row>
    <row r="43914">
      <c r="B43914" s="17" t="s">
        <v>477</v>
      </c>
      <c r="K43914" s="18"/>
    </row>
    <row r="43915">
      <c r="B43915" s="17" t="s">
        <v>477</v>
      </c>
      <c r="K43915" s="18"/>
    </row>
    <row r="43916">
      <c r="B43916" s="17" t="s">
        <v>477</v>
      </c>
      <c r="K43916" s="18"/>
    </row>
    <row r="43917">
      <c r="B43917" s="17" t="s">
        <v>477</v>
      </c>
      <c r="K43917" s="18"/>
    </row>
    <row r="43918">
      <c r="B43918" s="17" t="s">
        <v>477</v>
      </c>
      <c r="K43918" s="18"/>
    </row>
    <row r="43919">
      <c r="B43919" s="17" t="s">
        <v>477</v>
      </c>
      <c r="K43919" s="18"/>
    </row>
    <row r="43920">
      <c r="B43920" s="17" t="s">
        <v>477</v>
      </c>
      <c r="K43920" s="18"/>
    </row>
    <row r="43921">
      <c r="B43921" s="17" t="s">
        <v>477</v>
      </c>
      <c r="K43921" s="18"/>
    </row>
    <row r="43922">
      <c r="B43922" s="17" t="s">
        <v>477</v>
      </c>
      <c r="K43922" s="18"/>
    </row>
    <row r="43923">
      <c r="B43923" s="17" t="s">
        <v>477</v>
      </c>
      <c r="K43923" s="18"/>
    </row>
    <row r="43924">
      <c r="B43924" s="17" t="s">
        <v>477</v>
      </c>
      <c r="K43924" s="18"/>
    </row>
    <row r="43925">
      <c r="B43925" s="17" t="s">
        <v>477</v>
      </c>
      <c r="K43925" s="18"/>
    </row>
    <row r="43926">
      <c r="B43926" s="17" t="s">
        <v>477</v>
      </c>
      <c r="K43926" s="18"/>
    </row>
    <row r="43927">
      <c r="B43927" s="17" t="s">
        <v>477</v>
      </c>
      <c r="K43927" s="18"/>
    </row>
    <row r="43928">
      <c r="B43928" s="17" t="s">
        <v>477</v>
      </c>
      <c r="K43928" s="18"/>
    </row>
    <row r="43929">
      <c r="B43929" s="17" t="s">
        <v>477</v>
      </c>
      <c r="K43929" s="18"/>
    </row>
    <row r="43930">
      <c r="B43930" s="17" t="s">
        <v>477</v>
      </c>
      <c r="K43930" s="18"/>
    </row>
    <row r="43931">
      <c r="B43931" s="17" t="s">
        <v>477</v>
      </c>
      <c r="K43931" s="18"/>
    </row>
    <row r="43932">
      <c r="B43932" s="17" t="s">
        <v>477</v>
      </c>
      <c r="K43932" s="18"/>
    </row>
    <row r="43933">
      <c r="B43933" s="17" t="s">
        <v>477</v>
      </c>
      <c r="K43933" s="18"/>
    </row>
    <row r="43934">
      <c r="B43934" s="17" t="s">
        <v>477</v>
      </c>
      <c r="K43934" s="18"/>
    </row>
    <row r="43935">
      <c r="B43935" s="17" t="s">
        <v>477</v>
      </c>
      <c r="K43935" s="18"/>
    </row>
    <row r="43936">
      <c r="B43936" s="17" t="s">
        <v>477</v>
      </c>
      <c r="K43936" s="18"/>
    </row>
    <row r="43937">
      <c r="B43937" s="17" t="s">
        <v>477</v>
      </c>
      <c r="K43937" s="18"/>
    </row>
    <row r="43938">
      <c r="B43938" s="17" t="s">
        <v>477</v>
      </c>
      <c r="K43938" s="18"/>
    </row>
    <row r="43939">
      <c r="B43939" s="17" t="s">
        <v>477</v>
      </c>
      <c r="K43939" s="18"/>
    </row>
    <row r="43940">
      <c r="B43940" s="17" t="s">
        <v>477</v>
      </c>
      <c r="K43940" s="18"/>
    </row>
    <row r="43941">
      <c r="B43941" s="17" t="s">
        <v>477</v>
      </c>
      <c r="K43941" s="18"/>
    </row>
    <row r="43942">
      <c r="B43942" s="17" t="s">
        <v>477</v>
      </c>
      <c r="K43942" s="18"/>
    </row>
    <row r="43943">
      <c r="B43943" s="17" t="s">
        <v>477</v>
      </c>
      <c r="K43943" s="18"/>
    </row>
    <row r="43944">
      <c r="B43944" s="17" t="s">
        <v>477</v>
      </c>
      <c r="K43944" s="18"/>
    </row>
    <row r="43945">
      <c r="B43945" s="17" t="s">
        <v>477</v>
      </c>
      <c r="K43945" s="18"/>
    </row>
    <row r="43946">
      <c r="B43946" s="17" t="s">
        <v>477</v>
      </c>
      <c r="K43946" s="18"/>
    </row>
    <row r="43947">
      <c r="B43947" s="17" t="s">
        <v>477</v>
      </c>
      <c r="K43947" s="18"/>
    </row>
    <row r="43948">
      <c r="B43948" s="17" t="s">
        <v>477</v>
      </c>
      <c r="K43948" s="18"/>
    </row>
    <row r="43949">
      <c r="B43949" s="17" t="s">
        <v>477</v>
      </c>
      <c r="K43949" s="18"/>
    </row>
    <row r="43950">
      <c r="B43950" s="17" t="s">
        <v>477</v>
      </c>
      <c r="K43950" s="18"/>
    </row>
    <row r="43951">
      <c r="B43951" s="17" t="s">
        <v>477</v>
      </c>
      <c r="K43951" s="18"/>
    </row>
    <row r="43952">
      <c r="B43952" s="17" t="s">
        <v>477</v>
      </c>
      <c r="K43952" s="18"/>
    </row>
    <row r="43953">
      <c r="B43953" s="17" t="s">
        <v>477</v>
      </c>
      <c r="K43953" s="18"/>
    </row>
    <row r="43954">
      <c r="B43954" s="17" t="s">
        <v>477</v>
      </c>
      <c r="K43954" s="18"/>
    </row>
    <row r="43955">
      <c r="B43955" s="17" t="s">
        <v>477</v>
      </c>
      <c r="K43955" s="18"/>
    </row>
    <row r="43956">
      <c r="B43956" s="17" t="s">
        <v>477</v>
      </c>
      <c r="K43956" s="18"/>
    </row>
    <row r="43957">
      <c r="B43957" s="17" t="s">
        <v>477</v>
      </c>
      <c r="K43957" s="18"/>
    </row>
    <row r="43958">
      <c r="B43958" s="17" t="s">
        <v>477</v>
      </c>
      <c r="K43958" s="18"/>
    </row>
    <row r="43959">
      <c r="B43959" s="17" t="s">
        <v>477</v>
      </c>
      <c r="K43959" s="18"/>
    </row>
    <row r="43960">
      <c r="B43960" s="17" t="s">
        <v>477</v>
      </c>
      <c r="K43960" s="18"/>
    </row>
    <row r="43961">
      <c r="B43961" s="17" t="s">
        <v>477</v>
      </c>
      <c r="K43961" s="18"/>
    </row>
    <row r="43962">
      <c r="B43962" s="17" t="s">
        <v>477</v>
      </c>
      <c r="K43962" s="18"/>
    </row>
    <row r="43963">
      <c r="B43963" s="17" t="s">
        <v>477</v>
      </c>
      <c r="K43963" s="18"/>
    </row>
    <row r="43964">
      <c r="B43964" s="17" t="s">
        <v>477</v>
      </c>
      <c r="K43964" s="18"/>
    </row>
    <row r="43965">
      <c r="B43965" s="17" t="s">
        <v>477</v>
      </c>
      <c r="K43965" s="18"/>
    </row>
    <row r="43966">
      <c r="B43966" s="17" t="s">
        <v>477</v>
      </c>
      <c r="K43966" s="18"/>
    </row>
    <row r="43967">
      <c r="B43967" s="17" t="s">
        <v>477</v>
      </c>
      <c r="K43967" s="18"/>
    </row>
    <row r="43968">
      <c r="B43968" s="17" t="s">
        <v>477</v>
      </c>
      <c r="K43968" s="18"/>
    </row>
    <row r="43969">
      <c r="B43969" s="17" t="s">
        <v>477</v>
      </c>
      <c r="K43969" s="18"/>
    </row>
    <row r="43970">
      <c r="B43970" s="17" t="s">
        <v>477</v>
      </c>
      <c r="K43970" s="18"/>
    </row>
    <row r="43971">
      <c r="B43971" s="17" t="s">
        <v>477</v>
      </c>
      <c r="K43971" s="18"/>
    </row>
    <row r="43972">
      <c r="B43972" s="17" t="s">
        <v>477</v>
      </c>
      <c r="K43972" s="18"/>
    </row>
    <row r="43973">
      <c r="B43973" s="17" t="s">
        <v>477</v>
      </c>
      <c r="K43973" s="18"/>
    </row>
    <row r="43974">
      <c r="B43974" s="17" t="s">
        <v>477</v>
      </c>
      <c r="K43974" s="18"/>
    </row>
    <row r="43975">
      <c r="B43975" s="17" t="s">
        <v>477</v>
      </c>
      <c r="K43975" s="18"/>
    </row>
    <row r="43976">
      <c r="B43976" s="17" t="s">
        <v>477</v>
      </c>
      <c r="K43976" s="18"/>
    </row>
    <row r="43977">
      <c r="B43977" s="17" t="s">
        <v>477</v>
      </c>
      <c r="K43977" s="18"/>
    </row>
    <row r="43978">
      <c r="B43978" s="17" t="s">
        <v>477</v>
      </c>
      <c r="K43978" s="18"/>
    </row>
    <row r="43979">
      <c r="B43979" s="17" t="s">
        <v>477</v>
      </c>
      <c r="K43979" s="18"/>
    </row>
    <row r="43980">
      <c r="B43980" s="17" t="s">
        <v>477</v>
      </c>
      <c r="K43980" s="18"/>
    </row>
    <row r="43981">
      <c r="B43981" s="17" t="s">
        <v>477</v>
      </c>
      <c r="K43981" s="18"/>
    </row>
    <row r="43982">
      <c r="B43982" s="17" t="s">
        <v>477</v>
      </c>
      <c r="K43982" s="18"/>
    </row>
    <row r="43983">
      <c r="B43983" s="17" t="s">
        <v>477</v>
      </c>
      <c r="K43983" s="18"/>
    </row>
    <row r="43984">
      <c r="B43984" s="17" t="s">
        <v>477</v>
      </c>
      <c r="K43984" s="18"/>
    </row>
    <row r="43985">
      <c r="B43985" s="17" t="s">
        <v>477</v>
      </c>
      <c r="K43985" s="18"/>
    </row>
    <row r="43986">
      <c r="B43986" s="17" t="s">
        <v>477</v>
      </c>
      <c r="K43986" s="18"/>
    </row>
    <row r="43987">
      <c r="B43987" s="17" t="s">
        <v>477</v>
      </c>
      <c r="K43987" s="18"/>
    </row>
    <row r="43988">
      <c r="B43988" s="17" t="s">
        <v>477</v>
      </c>
      <c r="K43988" s="18"/>
    </row>
    <row r="43989">
      <c r="B43989" s="17" t="s">
        <v>477</v>
      </c>
      <c r="K43989" s="18"/>
    </row>
    <row r="43990">
      <c r="B43990" s="17" t="s">
        <v>477</v>
      </c>
      <c r="K43990" s="18"/>
    </row>
    <row r="43991">
      <c r="B43991" s="17" t="s">
        <v>477</v>
      </c>
      <c r="K43991" s="18"/>
    </row>
    <row r="43992">
      <c r="B43992" s="17" t="s">
        <v>477</v>
      </c>
      <c r="K43992" s="18"/>
    </row>
    <row r="43993">
      <c r="B43993" s="17" t="s">
        <v>477</v>
      </c>
      <c r="K43993" s="18"/>
    </row>
    <row r="43994">
      <c r="B43994" s="17" t="s">
        <v>477</v>
      </c>
      <c r="K43994" s="18"/>
    </row>
    <row r="43995">
      <c r="B43995" s="17" t="s">
        <v>477</v>
      </c>
      <c r="K43995" s="18"/>
    </row>
    <row r="43996">
      <c r="B43996" s="17" t="s">
        <v>477</v>
      </c>
      <c r="K43996" s="18"/>
    </row>
    <row r="43997">
      <c r="B43997" s="17" t="s">
        <v>477</v>
      </c>
      <c r="K43997" s="18"/>
    </row>
    <row r="43998">
      <c r="B43998" s="17" t="s">
        <v>477</v>
      </c>
      <c r="K43998" s="18"/>
    </row>
    <row r="43999">
      <c r="B43999" s="17" t="s">
        <v>477</v>
      </c>
      <c r="K43999" s="18"/>
    </row>
    <row r="44000">
      <c r="B44000" s="17" t="s">
        <v>477</v>
      </c>
      <c r="K44000" s="18"/>
    </row>
    <row r="44001">
      <c r="B44001" s="17" t="s">
        <v>477</v>
      </c>
      <c r="K44001" s="18"/>
    </row>
    <row r="44002">
      <c r="B44002" s="17" t="s">
        <v>477</v>
      </c>
      <c r="K44002" s="18"/>
    </row>
    <row r="44003">
      <c r="B44003" s="17" t="s">
        <v>477</v>
      </c>
      <c r="K44003" s="18"/>
    </row>
    <row r="44004">
      <c r="B44004" s="17" t="s">
        <v>477</v>
      </c>
      <c r="K44004" s="18"/>
    </row>
    <row r="44005">
      <c r="B44005" s="17" t="s">
        <v>477</v>
      </c>
      <c r="K44005" s="18"/>
    </row>
    <row r="44006">
      <c r="B44006" s="17" t="s">
        <v>477</v>
      </c>
      <c r="K44006" s="18"/>
    </row>
    <row r="44007">
      <c r="B44007" s="17" t="s">
        <v>477</v>
      </c>
      <c r="K44007" s="18"/>
    </row>
    <row r="44008">
      <c r="B44008" s="17" t="s">
        <v>477</v>
      </c>
      <c r="K44008" s="18"/>
    </row>
    <row r="44009">
      <c r="B44009" s="17" t="s">
        <v>477</v>
      </c>
      <c r="K44009" s="18"/>
    </row>
    <row r="44010">
      <c r="B44010" s="17" t="s">
        <v>477</v>
      </c>
      <c r="K44010" s="18"/>
    </row>
    <row r="44011">
      <c r="B44011" s="17" t="s">
        <v>477</v>
      </c>
      <c r="K44011" s="18"/>
    </row>
    <row r="44012">
      <c r="B44012" s="17" t="s">
        <v>477</v>
      </c>
      <c r="K44012" s="18"/>
    </row>
    <row r="44013">
      <c r="B44013" s="17" t="s">
        <v>477</v>
      </c>
      <c r="K44013" s="18"/>
    </row>
    <row r="44014">
      <c r="B44014" s="17" t="s">
        <v>477</v>
      </c>
      <c r="K44014" s="18"/>
    </row>
    <row r="44015">
      <c r="B44015" s="17" t="s">
        <v>477</v>
      </c>
      <c r="K44015" s="18"/>
    </row>
    <row r="44016">
      <c r="B44016" s="17" t="s">
        <v>477</v>
      </c>
      <c r="K44016" s="18"/>
    </row>
    <row r="44017">
      <c r="B44017" s="17" t="s">
        <v>477</v>
      </c>
      <c r="K44017" s="18"/>
    </row>
    <row r="44018">
      <c r="B44018" s="17" t="s">
        <v>477</v>
      </c>
      <c r="K44018" s="18"/>
    </row>
    <row r="44019">
      <c r="B44019" s="17" t="s">
        <v>477</v>
      </c>
      <c r="K44019" s="18"/>
    </row>
    <row r="44020">
      <c r="B44020" s="17" t="s">
        <v>477</v>
      </c>
      <c r="K44020" s="18"/>
    </row>
    <row r="44021">
      <c r="B44021" s="17" t="s">
        <v>477</v>
      </c>
      <c r="K44021" s="18"/>
    </row>
    <row r="44022">
      <c r="B44022" s="17" t="s">
        <v>477</v>
      </c>
      <c r="K44022" s="18"/>
    </row>
    <row r="44023">
      <c r="B44023" s="17" t="s">
        <v>477</v>
      </c>
      <c r="K44023" s="18"/>
    </row>
    <row r="44024">
      <c r="B44024" s="17" t="s">
        <v>477</v>
      </c>
      <c r="K44024" s="18"/>
    </row>
    <row r="44025">
      <c r="B44025" s="17" t="s">
        <v>477</v>
      </c>
      <c r="K44025" s="18"/>
    </row>
    <row r="44026">
      <c r="B44026" s="17" t="s">
        <v>477</v>
      </c>
      <c r="K44026" s="18"/>
    </row>
    <row r="44027">
      <c r="B44027" s="17" t="s">
        <v>477</v>
      </c>
      <c r="K44027" s="18"/>
    </row>
    <row r="44028">
      <c r="B44028" s="17" t="s">
        <v>477</v>
      </c>
      <c r="K44028" s="18"/>
    </row>
    <row r="44029">
      <c r="B44029" s="17" t="s">
        <v>477</v>
      </c>
      <c r="K44029" s="18"/>
    </row>
    <row r="44030">
      <c r="B44030" s="17" t="s">
        <v>477</v>
      </c>
      <c r="K44030" s="18"/>
    </row>
    <row r="44031">
      <c r="B44031" s="17" t="s">
        <v>477</v>
      </c>
      <c r="K44031" s="18"/>
    </row>
    <row r="44032">
      <c r="B44032" s="17" t="s">
        <v>477</v>
      </c>
      <c r="K44032" s="18"/>
    </row>
    <row r="44033">
      <c r="B44033" s="17" t="s">
        <v>477</v>
      </c>
      <c r="K44033" s="18"/>
    </row>
    <row r="44034">
      <c r="B44034" s="17" t="s">
        <v>477</v>
      </c>
      <c r="K44034" s="18"/>
    </row>
    <row r="44035">
      <c r="B44035" s="17" t="s">
        <v>477</v>
      </c>
      <c r="K44035" s="18"/>
    </row>
    <row r="44036">
      <c r="B44036" s="17" t="s">
        <v>477</v>
      </c>
      <c r="K44036" s="18"/>
    </row>
    <row r="44037">
      <c r="B44037" s="17" t="s">
        <v>477</v>
      </c>
      <c r="K44037" s="18"/>
    </row>
    <row r="44038">
      <c r="B44038" s="17" t="s">
        <v>477</v>
      </c>
      <c r="K44038" s="18"/>
    </row>
    <row r="44039">
      <c r="B44039" s="17" t="s">
        <v>477</v>
      </c>
      <c r="K44039" s="18"/>
    </row>
    <row r="44040">
      <c r="B44040" s="17" t="s">
        <v>477</v>
      </c>
      <c r="K44040" s="18"/>
    </row>
    <row r="44041">
      <c r="B44041" s="17" t="s">
        <v>477</v>
      </c>
      <c r="K44041" s="18"/>
    </row>
    <row r="44042">
      <c r="B44042" s="17" t="s">
        <v>477</v>
      </c>
      <c r="K44042" s="18"/>
    </row>
    <row r="44043">
      <c r="B44043" s="17" t="s">
        <v>477</v>
      </c>
      <c r="K44043" s="18"/>
    </row>
    <row r="44044">
      <c r="B44044" s="17" t="s">
        <v>477</v>
      </c>
      <c r="K44044" s="18"/>
    </row>
    <row r="44045">
      <c r="B44045" s="17" t="s">
        <v>477</v>
      </c>
      <c r="K44045" s="18"/>
    </row>
    <row r="44046">
      <c r="B44046" s="17" t="s">
        <v>477</v>
      </c>
      <c r="K44046" s="18"/>
    </row>
    <row r="44047">
      <c r="B44047" s="17" t="s">
        <v>477</v>
      </c>
      <c r="K44047" s="18"/>
    </row>
    <row r="44048">
      <c r="B44048" s="17" t="s">
        <v>477</v>
      </c>
      <c r="K44048" s="18"/>
    </row>
    <row r="44049">
      <c r="B44049" s="17" t="s">
        <v>477</v>
      </c>
      <c r="K44049" s="18"/>
    </row>
    <row r="44050">
      <c r="B44050" s="17" t="s">
        <v>477</v>
      </c>
      <c r="K44050" s="18"/>
    </row>
    <row r="44051">
      <c r="B44051" s="17" t="s">
        <v>477</v>
      </c>
      <c r="K44051" s="18"/>
    </row>
    <row r="44052">
      <c r="B44052" s="17" t="s">
        <v>477</v>
      </c>
      <c r="K44052" s="18"/>
    </row>
    <row r="44053">
      <c r="B44053" s="17" t="s">
        <v>477</v>
      </c>
      <c r="K44053" s="18"/>
    </row>
    <row r="44054">
      <c r="B44054" s="17" t="s">
        <v>477</v>
      </c>
      <c r="K44054" s="18"/>
    </row>
    <row r="44055">
      <c r="B44055" s="17" t="s">
        <v>477</v>
      </c>
      <c r="K44055" s="18"/>
    </row>
    <row r="44056">
      <c r="B44056" s="17" t="s">
        <v>477</v>
      </c>
      <c r="K44056" s="18"/>
    </row>
    <row r="44057">
      <c r="B44057" s="17" t="s">
        <v>477</v>
      </c>
      <c r="K44057" s="18"/>
    </row>
    <row r="44058">
      <c r="B44058" s="17" t="s">
        <v>477</v>
      </c>
      <c r="K44058" s="18"/>
    </row>
    <row r="44059">
      <c r="B44059" s="17" t="s">
        <v>477</v>
      </c>
      <c r="K44059" s="18"/>
    </row>
    <row r="44060">
      <c r="B44060" s="17" t="s">
        <v>477</v>
      </c>
      <c r="K44060" s="18"/>
    </row>
    <row r="44061">
      <c r="B44061" s="17" t="s">
        <v>477</v>
      </c>
      <c r="K44061" s="18"/>
    </row>
    <row r="44062">
      <c r="B44062" s="17" t="s">
        <v>477</v>
      </c>
      <c r="K44062" s="18"/>
    </row>
    <row r="44063">
      <c r="B44063" s="17" t="s">
        <v>477</v>
      </c>
      <c r="K44063" s="18"/>
    </row>
    <row r="44064">
      <c r="B44064" s="17" t="s">
        <v>477</v>
      </c>
      <c r="K44064" s="18"/>
    </row>
    <row r="44065">
      <c r="B44065" s="17" t="s">
        <v>477</v>
      </c>
      <c r="K44065" s="18"/>
    </row>
    <row r="44066">
      <c r="B44066" s="17" t="s">
        <v>477</v>
      </c>
      <c r="K44066" s="18"/>
    </row>
    <row r="44067">
      <c r="B44067" s="17" t="s">
        <v>477</v>
      </c>
      <c r="K44067" s="18"/>
    </row>
    <row r="44068">
      <c r="B44068" s="17" t="s">
        <v>477</v>
      </c>
      <c r="K44068" s="18"/>
    </row>
    <row r="44069">
      <c r="B44069" s="17" t="s">
        <v>477</v>
      </c>
      <c r="K44069" s="18"/>
    </row>
    <row r="44070">
      <c r="B44070" s="17" t="s">
        <v>477</v>
      </c>
      <c r="K44070" s="18"/>
    </row>
    <row r="44071">
      <c r="B44071" s="17" t="s">
        <v>477</v>
      </c>
      <c r="K44071" s="18"/>
    </row>
    <row r="44072">
      <c r="B44072" s="17" t="s">
        <v>477</v>
      </c>
      <c r="K44072" s="18"/>
    </row>
    <row r="44073">
      <c r="B44073" s="17" t="s">
        <v>477</v>
      </c>
      <c r="K44073" s="18"/>
    </row>
    <row r="44074">
      <c r="B44074" s="17" t="s">
        <v>477</v>
      </c>
      <c r="K44074" s="18"/>
    </row>
    <row r="44075">
      <c r="B44075" s="17" t="s">
        <v>477</v>
      </c>
      <c r="K44075" s="18"/>
    </row>
    <row r="44076">
      <c r="B44076" s="17" t="s">
        <v>477</v>
      </c>
      <c r="K44076" s="18"/>
    </row>
    <row r="44077">
      <c r="B44077" s="17" t="s">
        <v>477</v>
      </c>
      <c r="K44077" s="18"/>
    </row>
    <row r="44078">
      <c r="B44078" s="17" t="s">
        <v>477</v>
      </c>
      <c r="K44078" s="18"/>
    </row>
    <row r="44079">
      <c r="B44079" s="17" t="s">
        <v>477</v>
      </c>
      <c r="K44079" s="18"/>
    </row>
    <row r="44080">
      <c r="B44080" s="17" t="s">
        <v>477</v>
      </c>
      <c r="K44080" s="18"/>
    </row>
    <row r="44081">
      <c r="B44081" s="17" t="s">
        <v>477</v>
      </c>
      <c r="K44081" s="18"/>
    </row>
    <row r="44082">
      <c r="B44082" s="17" t="s">
        <v>477</v>
      </c>
      <c r="K44082" s="18"/>
    </row>
    <row r="44083">
      <c r="B44083" s="17" t="s">
        <v>477</v>
      </c>
      <c r="K44083" s="18"/>
    </row>
    <row r="44084">
      <c r="B44084" s="17" t="s">
        <v>477</v>
      </c>
      <c r="K44084" s="18"/>
    </row>
    <row r="44085">
      <c r="B44085" s="17" t="s">
        <v>477</v>
      </c>
      <c r="K44085" s="18"/>
    </row>
    <row r="44086">
      <c r="B44086" s="17" t="s">
        <v>477</v>
      </c>
      <c r="K44086" s="18"/>
    </row>
    <row r="44087">
      <c r="B44087" s="17" t="s">
        <v>477</v>
      </c>
      <c r="K44087" s="18"/>
    </row>
    <row r="44088">
      <c r="B44088" s="17" t="s">
        <v>477</v>
      </c>
      <c r="K44088" s="18"/>
    </row>
    <row r="44089">
      <c r="B44089" s="17" t="s">
        <v>477</v>
      </c>
      <c r="K44089" s="18"/>
    </row>
    <row r="44090">
      <c r="B44090" s="17" t="s">
        <v>477</v>
      </c>
      <c r="K44090" s="18"/>
    </row>
    <row r="44091">
      <c r="B44091" s="17" t="s">
        <v>477</v>
      </c>
      <c r="K44091" s="18"/>
    </row>
    <row r="44092">
      <c r="B44092" s="17" t="s">
        <v>477</v>
      </c>
      <c r="K44092" s="18"/>
    </row>
    <row r="44093">
      <c r="B44093" s="17" t="s">
        <v>477</v>
      </c>
      <c r="K44093" s="18"/>
    </row>
    <row r="44094">
      <c r="B44094" s="17" t="s">
        <v>477</v>
      </c>
      <c r="K44094" s="18"/>
    </row>
    <row r="44095">
      <c r="B44095" s="17" t="s">
        <v>477</v>
      </c>
      <c r="K44095" s="18"/>
    </row>
    <row r="44096">
      <c r="B44096" s="17" t="s">
        <v>477</v>
      </c>
      <c r="K44096" s="18"/>
    </row>
    <row r="44097">
      <c r="B44097" s="17" t="s">
        <v>477</v>
      </c>
      <c r="K44097" s="18"/>
    </row>
    <row r="44098">
      <c r="B44098" s="17" t="s">
        <v>477</v>
      </c>
      <c r="K44098" s="18"/>
    </row>
    <row r="44099">
      <c r="B44099" s="17" t="s">
        <v>477</v>
      </c>
      <c r="K44099" s="18"/>
    </row>
    <row r="44100">
      <c r="B44100" s="17" t="s">
        <v>477</v>
      </c>
      <c r="K44100" s="18"/>
    </row>
    <row r="44101">
      <c r="B44101" s="17" t="s">
        <v>477</v>
      </c>
      <c r="K44101" s="18"/>
    </row>
    <row r="44102">
      <c r="B44102" s="17" t="s">
        <v>477</v>
      </c>
      <c r="K44102" s="18"/>
    </row>
    <row r="44103">
      <c r="B44103" s="17" t="s">
        <v>477</v>
      </c>
      <c r="K44103" s="18"/>
    </row>
    <row r="44104">
      <c r="B44104" s="17" t="s">
        <v>477</v>
      </c>
      <c r="K44104" s="18"/>
    </row>
    <row r="44105">
      <c r="B44105" s="17" t="s">
        <v>477</v>
      </c>
      <c r="K44105" s="18"/>
    </row>
    <row r="44106">
      <c r="B44106" s="17" t="s">
        <v>477</v>
      </c>
      <c r="K44106" s="18"/>
    </row>
    <row r="44107">
      <c r="B44107" s="17" t="s">
        <v>477</v>
      </c>
      <c r="K44107" s="18"/>
    </row>
    <row r="44108">
      <c r="B44108" s="17" t="s">
        <v>477</v>
      </c>
      <c r="K44108" s="18"/>
    </row>
    <row r="44109">
      <c r="B44109" s="17" t="s">
        <v>477</v>
      </c>
      <c r="K44109" s="18"/>
    </row>
    <row r="44110">
      <c r="B44110" s="17" t="s">
        <v>477</v>
      </c>
      <c r="K44110" s="18"/>
    </row>
    <row r="44111">
      <c r="B44111" s="17" t="s">
        <v>477</v>
      </c>
      <c r="K44111" s="18"/>
    </row>
    <row r="44112">
      <c r="B44112" s="17" t="s">
        <v>477</v>
      </c>
      <c r="K44112" s="18"/>
    </row>
    <row r="44113">
      <c r="B44113" s="17" t="s">
        <v>477</v>
      </c>
      <c r="K44113" s="18"/>
    </row>
    <row r="44114">
      <c r="B44114" s="17" t="s">
        <v>477</v>
      </c>
      <c r="K44114" s="18"/>
    </row>
    <row r="44115">
      <c r="B44115" s="17" t="s">
        <v>477</v>
      </c>
      <c r="K44115" s="18"/>
    </row>
    <row r="44116">
      <c r="B44116" s="17" t="s">
        <v>477</v>
      </c>
      <c r="K44116" s="18"/>
    </row>
    <row r="44117">
      <c r="B44117" s="17" t="s">
        <v>477</v>
      </c>
      <c r="K44117" s="18"/>
    </row>
    <row r="44118">
      <c r="B44118" s="17" t="s">
        <v>477</v>
      </c>
      <c r="K44118" s="18"/>
    </row>
    <row r="44119">
      <c r="B44119" s="17" t="s">
        <v>477</v>
      </c>
      <c r="K44119" s="18"/>
    </row>
    <row r="44120">
      <c r="B44120" s="17" t="s">
        <v>477</v>
      </c>
      <c r="K44120" s="18"/>
    </row>
    <row r="44121">
      <c r="B44121" s="17" t="s">
        <v>477</v>
      </c>
      <c r="K44121" s="18"/>
    </row>
    <row r="44122">
      <c r="B44122" s="17" t="s">
        <v>477</v>
      </c>
      <c r="K44122" s="18"/>
    </row>
    <row r="44123">
      <c r="B44123" s="17" t="s">
        <v>477</v>
      </c>
      <c r="K44123" s="18"/>
    </row>
    <row r="44124">
      <c r="B44124" s="17" t="s">
        <v>477</v>
      </c>
      <c r="K44124" s="18"/>
    </row>
    <row r="44125">
      <c r="B44125" s="17" t="s">
        <v>477</v>
      </c>
      <c r="K44125" s="18"/>
    </row>
    <row r="44126">
      <c r="B44126" s="17" t="s">
        <v>477</v>
      </c>
      <c r="K44126" s="18"/>
    </row>
    <row r="44127">
      <c r="B44127" s="17" t="s">
        <v>477</v>
      </c>
      <c r="K44127" s="18"/>
    </row>
    <row r="44128">
      <c r="B44128" s="17" t="s">
        <v>477</v>
      </c>
      <c r="K44128" s="18"/>
    </row>
    <row r="44129">
      <c r="B44129" s="17" t="s">
        <v>477</v>
      </c>
      <c r="K44129" s="18"/>
    </row>
    <row r="44130">
      <c r="B44130" s="17" t="s">
        <v>477</v>
      </c>
      <c r="K44130" s="18"/>
    </row>
    <row r="44131">
      <c r="B44131" s="17" t="s">
        <v>477</v>
      </c>
      <c r="K44131" s="18"/>
    </row>
    <row r="44132">
      <c r="B44132" s="17" t="s">
        <v>477</v>
      </c>
      <c r="K44132" s="18"/>
    </row>
    <row r="44133">
      <c r="B44133" s="17" t="s">
        <v>477</v>
      </c>
      <c r="K44133" s="18"/>
    </row>
    <row r="44134">
      <c r="B44134" s="17" t="s">
        <v>477</v>
      </c>
      <c r="K44134" s="18"/>
    </row>
    <row r="44135">
      <c r="B44135" s="17" t="s">
        <v>477</v>
      </c>
      <c r="K44135" s="18"/>
    </row>
    <row r="44136">
      <c r="B44136" s="17" t="s">
        <v>477</v>
      </c>
      <c r="K44136" s="18"/>
    </row>
    <row r="44137">
      <c r="B44137" s="17" t="s">
        <v>477</v>
      </c>
      <c r="K44137" s="18"/>
    </row>
    <row r="44138">
      <c r="B44138" s="17" t="s">
        <v>477</v>
      </c>
      <c r="K44138" s="18"/>
    </row>
    <row r="44139">
      <c r="B44139" s="17" t="s">
        <v>477</v>
      </c>
      <c r="K44139" s="18"/>
    </row>
    <row r="44140">
      <c r="B44140" s="17" t="s">
        <v>477</v>
      </c>
      <c r="K44140" s="18"/>
    </row>
    <row r="44141">
      <c r="B44141" s="17" t="s">
        <v>477</v>
      </c>
      <c r="K44141" s="18"/>
    </row>
    <row r="44142">
      <c r="B44142" s="17" t="s">
        <v>477</v>
      </c>
      <c r="K44142" s="18"/>
    </row>
    <row r="44143">
      <c r="B44143" s="17" t="s">
        <v>477</v>
      </c>
      <c r="K44143" s="18"/>
    </row>
    <row r="44144">
      <c r="B44144" s="17" t="s">
        <v>477</v>
      </c>
      <c r="K44144" s="18"/>
    </row>
    <row r="44145">
      <c r="B44145" s="17" t="s">
        <v>477</v>
      </c>
      <c r="K44145" s="18"/>
    </row>
    <row r="44146">
      <c r="B44146" s="17" t="s">
        <v>477</v>
      </c>
      <c r="K44146" s="18"/>
    </row>
    <row r="44147">
      <c r="B44147" s="17" t="s">
        <v>477</v>
      </c>
      <c r="K44147" s="18"/>
    </row>
    <row r="44148">
      <c r="B44148" s="17" t="s">
        <v>477</v>
      </c>
      <c r="K44148" s="18"/>
    </row>
    <row r="44149">
      <c r="B44149" s="17" t="s">
        <v>477</v>
      </c>
      <c r="K44149" s="18"/>
    </row>
    <row r="44150">
      <c r="B44150" s="17" t="s">
        <v>477</v>
      </c>
      <c r="K44150" s="18"/>
    </row>
    <row r="44151">
      <c r="B44151" s="17" t="s">
        <v>477</v>
      </c>
      <c r="K44151" s="18"/>
    </row>
    <row r="44152">
      <c r="B44152" s="17" t="s">
        <v>477</v>
      </c>
      <c r="K44152" s="18"/>
    </row>
    <row r="44153">
      <c r="B44153" s="17" t="s">
        <v>477</v>
      </c>
      <c r="K44153" s="18"/>
    </row>
    <row r="44154">
      <c r="B44154" s="17" t="s">
        <v>477</v>
      </c>
      <c r="K44154" s="18"/>
    </row>
    <row r="44155">
      <c r="B44155" s="17" t="s">
        <v>477</v>
      </c>
      <c r="K44155" s="18"/>
    </row>
    <row r="44156">
      <c r="B44156" s="17" t="s">
        <v>477</v>
      </c>
      <c r="K44156" s="18"/>
    </row>
    <row r="44157">
      <c r="B44157" s="17" t="s">
        <v>477</v>
      </c>
      <c r="K44157" s="18"/>
    </row>
    <row r="44158">
      <c r="B44158" s="17" t="s">
        <v>477</v>
      </c>
      <c r="K44158" s="18"/>
    </row>
    <row r="44159">
      <c r="B44159" s="17" t="s">
        <v>477</v>
      </c>
      <c r="K44159" s="18"/>
    </row>
    <row r="44160">
      <c r="B44160" s="17" t="s">
        <v>477</v>
      </c>
      <c r="K44160" s="18"/>
    </row>
    <row r="44161">
      <c r="B44161" s="17" t="s">
        <v>477</v>
      </c>
      <c r="K44161" s="18"/>
    </row>
    <row r="44162">
      <c r="B44162" s="17" t="s">
        <v>477</v>
      </c>
      <c r="K44162" s="18"/>
    </row>
    <row r="44163">
      <c r="B44163" s="17" t="s">
        <v>477</v>
      </c>
      <c r="K44163" s="18"/>
    </row>
    <row r="44164">
      <c r="B44164" s="17" t="s">
        <v>477</v>
      </c>
      <c r="K44164" s="18"/>
    </row>
    <row r="44165">
      <c r="B44165" s="17" t="s">
        <v>477</v>
      </c>
      <c r="K44165" s="18"/>
    </row>
    <row r="44166">
      <c r="B44166" s="17" t="s">
        <v>477</v>
      </c>
      <c r="K44166" s="18"/>
    </row>
    <row r="44167">
      <c r="B44167" s="17" t="s">
        <v>477</v>
      </c>
      <c r="K44167" s="18"/>
    </row>
    <row r="44168">
      <c r="B44168" s="17" t="s">
        <v>477</v>
      </c>
      <c r="K44168" s="18"/>
    </row>
    <row r="44169">
      <c r="B44169" s="17" t="s">
        <v>477</v>
      </c>
      <c r="K44169" s="18"/>
    </row>
    <row r="44170">
      <c r="B44170" s="17" t="s">
        <v>477</v>
      </c>
      <c r="K44170" s="18"/>
    </row>
    <row r="44171">
      <c r="B44171" s="17" t="s">
        <v>477</v>
      </c>
      <c r="K44171" s="18"/>
    </row>
    <row r="44172">
      <c r="B44172" s="17" t="s">
        <v>477</v>
      </c>
      <c r="K44172" s="18"/>
    </row>
    <row r="44173">
      <c r="B44173" s="17" t="s">
        <v>477</v>
      </c>
      <c r="K44173" s="18"/>
    </row>
    <row r="44174">
      <c r="B44174" s="17" t="s">
        <v>477</v>
      </c>
      <c r="K44174" s="18"/>
    </row>
    <row r="44175">
      <c r="B44175" s="17" t="s">
        <v>477</v>
      </c>
      <c r="K44175" s="18"/>
    </row>
    <row r="44176">
      <c r="B44176" s="17" t="s">
        <v>477</v>
      </c>
      <c r="K44176" s="18"/>
    </row>
    <row r="44177">
      <c r="B44177" s="17" t="s">
        <v>477</v>
      </c>
      <c r="K44177" s="18"/>
    </row>
    <row r="44178">
      <c r="B44178" s="17" t="s">
        <v>477</v>
      </c>
      <c r="K44178" s="18"/>
    </row>
    <row r="44179">
      <c r="B44179" s="17" t="s">
        <v>477</v>
      </c>
      <c r="K44179" s="18"/>
    </row>
    <row r="44180">
      <c r="B44180" s="17" t="s">
        <v>477</v>
      </c>
      <c r="K44180" s="18"/>
    </row>
    <row r="44181">
      <c r="B44181" s="17" t="s">
        <v>477</v>
      </c>
      <c r="K44181" s="18"/>
    </row>
    <row r="44182">
      <c r="B44182" s="17" t="s">
        <v>477</v>
      </c>
      <c r="K44182" s="18"/>
    </row>
    <row r="44183">
      <c r="B44183" s="17" t="s">
        <v>477</v>
      </c>
      <c r="K44183" s="18"/>
    </row>
    <row r="44184">
      <c r="B44184" s="17" t="s">
        <v>477</v>
      </c>
      <c r="K44184" s="18"/>
    </row>
    <row r="44185">
      <c r="B44185" s="17" t="s">
        <v>477</v>
      </c>
      <c r="K44185" s="18"/>
    </row>
    <row r="44186">
      <c r="B44186" s="17" t="s">
        <v>477</v>
      </c>
      <c r="K44186" s="18"/>
    </row>
    <row r="44187">
      <c r="B44187" s="17" t="s">
        <v>477</v>
      </c>
      <c r="K44187" s="18"/>
    </row>
    <row r="44188">
      <c r="B44188" s="17" t="s">
        <v>477</v>
      </c>
      <c r="K44188" s="18"/>
    </row>
    <row r="44189">
      <c r="B44189" s="17" t="s">
        <v>477</v>
      </c>
      <c r="K44189" s="18"/>
    </row>
    <row r="44190">
      <c r="B44190" s="17" t="s">
        <v>477</v>
      </c>
      <c r="K44190" s="18"/>
    </row>
    <row r="44191">
      <c r="B44191" s="17" t="s">
        <v>477</v>
      </c>
      <c r="K44191" s="18"/>
    </row>
    <row r="44192">
      <c r="B44192" s="17" t="s">
        <v>477</v>
      </c>
      <c r="K44192" s="18"/>
    </row>
    <row r="44193">
      <c r="B44193" s="17" t="s">
        <v>477</v>
      </c>
      <c r="K44193" s="18"/>
    </row>
    <row r="44194">
      <c r="B44194" s="17" t="s">
        <v>477</v>
      </c>
      <c r="K44194" s="18"/>
    </row>
    <row r="44195">
      <c r="B44195" s="17" t="s">
        <v>477</v>
      </c>
      <c r="K44195" s="18"/>
    </row>
    <row r="44196">
      <c r="B44196" s="17" t="s">
        <v>477</v>
      </c>
      <c r="K44196" s="18"/>
    </row>
    <row r="44197">
      <c r="B44197" s="17" t="s">
        <v>477</v>
      </c>
      <c r="K44197" s="18"/>
    </row>
    <row r="44198">
      <c r="B44198" s="17" t="s">
        <v>477</v>
      </c>
      <c r="K44198" s="18"/>
    </row>
    <row r="44199">
      <c r="B44199" s="17" t="s">
        <v>477</v>
      </c>
      <c r="K44199" s="18"/>
    </row>
    <row r="44200">
      <c r="B44200" s="17" t="s">
        <v>477</v>
      </c>
      <c r="K44200" s="18"/>
    </row>
    <row r="44201">
      <c r="B44201" s="17" t="s">
        <v>477</v>
      </c>
      <c r="K44201" s="18"/>
    </row>
    <row r="44202">
      <c r="B44202" s="17" t="s">
        <v>477</v>
      </c>
      <c r="K44202" s="18"/>
    </row>
    <row r="44203">
      <c r="B44203" s="17" t="s">
        <v>477</v>
      </c>
      <c r="K44203" s="18"/>
    </row>
    <row r="44204">
      <c r="B44204" s="17" t="s">
        <v>477</v>
      </c>
      <c r="K44204" s="18"/>
    </row>
    <row r="44205">
      <c r="B44205" s="17" t="s">
        <v>477</v>
      </c>
      <c r="K44205" s="18"/>
    </row>
    <row r="44206">
      <c r="B44206" s="17" t="s">
        <v>477</v>
      </c>
      <c r="K44206" s="18"/>
    </row>
    <row r="44207">
      <c r="B44207" s="17" t="s">
        <v>477</v>
      </c>
      <c r="K44207" s="18"/>
    </row>
    <row r="44208">
      <c r="B44208" s="17" t="s">
        <v>477</v>
      </c>
      <c r="K44208" s="18"/>
    </row>
    <row r="44209">
      <c r="B44209" s="17" t="s">
        <v>477</v>
      </c>
      <c r="K44209" s="18"/>
    </row>
    <row r="44210">
      <c r="B44210" s="17" t="s">
        <v>477</v>
      </c>
      <c r="K44210" s="18"/>
    </row>
    <row r="44211">
      <c r="B44211" s="17" t="s">
        <v>477</v>
      </c>
      <c r="K44211" s="18"/>
    </row>
    <row r="44212">
      <c r="B44212" s="17" t="s">
        <v>477</v>
      </c>
      <c r="K44212" s="18"/>
    </row>
    <row r="44213">
      <c r="B44213" s="17" t="s">
        <v>477</v>
      </c>
      <c r="K44213" s="18"/>
    </row>
    <row r="44214">
      <c r="B44214" s="17" t="s">
        <v>477</v>
      </c>
      <c r="K44214" s="18"/>
    </row>
    <row r="44215">
      <c r="B44215" s="17" t="s">
        <v>477</v>
      </c>
      <c r="K44215" s="18"/>
    </row>
    <row r="44216">
      <c r="B44216" s="17" t="s">
        <v>477</v>
      </c>
      <c r="K44216" s="18"/>
    </row>
    <row r="44217">
      <c r="B44217" s="17" t="s">
        <v>477</v>
      </c>
      <c r="K44217" s="18"/>
    </row>
    <row r="44218">
      <c r="B44218" s="17" t="s">
        <v>477</v>
      </c>
      <c r="K44218" s="18"/>
    </row>
    <row r="44219">
      <c r="B44219" s="17" t="s">
        <v>477</v>
      </c>
      <c r="K44219" s="18"/>
    </row>
    <row r="44220">
      <c r="B44220" s="17" t="s">
        <v>477</v>
      </c>
      <c r="K44220" s="18"/>
    </row>
    <row r="44221">
      <c r="B44221" s="17" t="s">
        <v>477</v>
      </c>
      <c r="K44221" s="18"/>
    </row>
    <row r="44222">
      <c r="B44222" s="17" t="s">
        <v>477</v>
      </c>
      <c r="K44222" s="18"/>
    </row>
    <row r="44223">
      <c r="B44223" s="17" t="s">
        <v>477</v>
      </c>
      <c r="K44223" s="18"/>
    </row>
    <row r="44224">
      <c r="B44224" s="17" t="s">
        <v>477</v>
      </c>
      <c r="K44224" s="18"/>
    </row>
    <row r="44225">
      <c r="B44225" s="17" t="s">
        <v>477</v>
      </c>
      <c r="K44225" s="18"/>
    </row>
    <row r="44226">
      <c r="B44226" s="17" t="s">
        <v>477</v>
      </c>
      <c r="K44226" s="18"/>
    </row>
    <row r="44227">
      <c r="B44227" s="17" t="s">
        <v>477</v>
      </c>
      <c r="K44227" s="18"/>
    </row>
    <row r="44228">
      <c r="B44228" s="17" t="s">
        <v>477</v>
      </c>
      <c r="K44228" s="18"/>
    </row>
    <row r="44229">
      <c r="B44229" s="17" t="s">
        <v>477</v>
      </c>
      <c r="K44229" s="18"/>
    </row>
    <row r="44230">
      <c r="B44230" s="17" t="s">
        <v>477</v>
      </c>
      <c r="K44230" s="18"/>
    </row>
    <row r="44231">
      <c r="B44231" s="17" t="s">
        <v>477</v>
      </c>
      <c r="K44231" s="18"/>
    </row>
    <row r="44232">
      <c r="B44232" s="17" t="s">
        <v>477</v>
      </c>
      <c r="K44232" s="18"/>
    </row>
    <row r="44233">
      <c r="B44233" s="17" t="s">
        <v>477</v>
      </c>
      <c r="K44233" s="18"/>
    </row>
    <row r="44234">
      <c r="B44234" s="17" t="s">
        <v>477</v>
      </c>
      <c r="K44234" s="18"/>
    </row>
    <row r="44235">
      <c r="B44235" s="17" t="s">
        <v>477</v>
      </c>
      <c r="K44235" s="18"/>
    </row>
    <row r="44236">
      <c r="B44236" s="17" t="s">
        <v>477</v>
      </c>
      <c r="K44236" s="18"/>
    </row>
    <row r="44237">
      <c r="B44237" s="17" t="s">
        <v>477</v>
      </c>
      <c r="K44237" s="18"/>
    </row>
    <row r="44238">
      <c r="B44238" s="17" t="s">
        <v>477</v>
      </c>
      <c r="K44238" s="18"/>
    </row>
    <row r="44239">
      <c r="B44239" s="17" t="s">
        <v>477</v>
      </c>
      <c r="K44239" s="18"/>
    </row>
    <row r="44240">
      <c r="B44240" s="17" t="s">
        <v>477</v>
      </c>
      <c r="K44240" s="18"/>
    </row>
    <row r="44241">
      <c r="B44241" s="17" t="s">
        <v>477</v>
      </c>
      <c r="K44241" s="18"/>
    </row>
    <row r="44242">
      <c r="B44242" s="17" t="s">
        <v>477</v>
      </c>
      <c r="K44242" s="18"/>
    </row>
    <row r="44243">
      <c r="B44243" s="17" t="s">
        <v>477</v>
      </c>
      <c r="K44243" s="18"/>
    </row>
    <row r="44244">
      <c r="B44244" s="17" t="s">
        <v>477</v>
      </c>
      <c r="K44244" s="18"/>
    </row>
    <row r="44245">
      <c r="B44245" s="17" t="s">
        <v>477</v>
      </c>
      <c r="K44245" s="18"/>
    </row>
    <row r="44246">
      <c r="B44246" s="17" t="s">
        <v>477</v>
      </c>
      <c r="K44246" s="18"/>
    </row>
    <row r="44247">
      <c r="B44247" s="17" t="s">
        <v>477</v>
      </c>
      <c r="K44247" s="18"/>
    </row>
    <row r="44248">
      <c r="B44248" s="17" t="s">
        <v>477</v>
      </c>
      <c r="K44248" s="18"/>
    </row>
    <row r="44249">
      <c r="B44249" s="17" t="s">
        <v>477</v>
      </c>
      <c r="K44249" s="18"/>
    </row>
    <row r="44250">
      <c r="B44250" s="17" t="s">
        <v>477</v>
      </c>
      <c r="K44250" s="18"/>
    </row>
    <row r="44251">
      <c r="B44251" s="17" t="s">
        <v>477</v>
      </c>
      <c r="K44251" s="18"/>
    </row>
    <row r="44252">
      <c r="B44252" s="17" t="s">
        <v>477</v>
      </c>
      <c r="K44252" s="18"/>
    </row>
    <row r="44253">
      <c r="B44253" s="17" t="s">
        <v>477</v>
      </c>
      <c r="K44253" s="18"/>
    </row>
    <row r="44254">
      <c r="B44254" s="17" t="s">
        <v>477</v>
      </c>
      <c r="K44254" s="18"/>
    </row>
    <row r="44255">
      <c r="B44255" s="17" t="s">
        <v>477</v>
      </c>
      <c r="K44255" s="18"/>
    </row>
    <row r="44256">
      <c r="B44256" s="17" t="s">
        <v>477</v>
      </c>
      <c r="K44256" s="18"/>
    </row>
    <row r="44257">
      <c r="B44257" s="17" t="s">
        <v>477</v>
      </c>
      <c r="K44257" s="18"/>
    </row>
    <row r="44258">
      <c r="B44258" s="17" t="s">
        <v>477</v>
      </c>
      <c r="K44258" s="18"/>
    </row>
    <row r="44259">
      <c r="B44259" s="17" t="s">
        <v>477</v>
      </c>
      <c r="K44259" s="18"/>
    </row>
    <row r="44260">
      <c r="B44260" s="17" t="s">
        <v>477</v>
      </c>
      <c r="K44260" s="18"/>
    </row>
    <row r="44261">
      <c r="B44261" s="17" t="s">
        <v>477</v>
      </c>
      <c r="K44261" s="18"/>
    </row>
    <row r="44262">
      <c r="B44262" s="17" t="s">
        <v>477</v>
      </c>
      <c r="K44262" s="18"/>
    </row>
    <row r="44263">
      <c r="B44263" s="17" t="s">
        <v>477</v>
      </c>
      <c r="K44263" s="18"/>
    </row>
    <row r="44264">
      <c r="B44264" s="17" t="s">
        <v>477</v>
      </c>
      <c r="K44264" s="18"/>
    </row>
    <row r="44265">
      <c r="B44265" s="17" t="s">
        <v>477</v>
      </c>
      <c r="K44265" s="18"/>
    </row>
    <row r="44266">
      <c r="B44266" s="17" t="s">
        <v>477</v>
      </c>
      <c r="K44266" s="18"/>
    </row>
    <row r="44267">
      <c r="B44267" s="17" t="s">
        <v>477</v>
      </c>
      <c r="K44267" s="18"/>
    </row>
    <row r="44268">
      <c r="B44268" s="17" t="s">
        <v>477</v>
      </c>
      <c r="K44268" s="18"/>
    </row>
    <row r="44269">
      <c r="B44269" s="17" t="s">
        <v>477</v>
      </c>
      <c r="K44269" s="18"/>
    </row>
    <row r="44270">
      <c r="B44270" s="17" t="s">
        <v>477</v>
      </c>
      <c r="K44270" s="18"/>
    </row>
    <row r="44271">
      <c r="B44271" s="17" t="s">
        <v>477</v>
      </c>
      <c r="K44271" s="18"/>
    </row>
    <row r="44272">
      <c r="B44272" s="17" t="s">
        <v>477</v>
      </c>
      <c r="K44272" s="18"/>
    </row>
    <row r="44273">
      <c r="B44273" s="17" t="s">
        <v>477</v>
      </c>
      <c r="K44273" s="18"/>
    </row>
    <row r="44274">
      <c r="B44274" s="17" t="s">
        <v>477</v>
      </c>
      <c r="K44274" s="18"/>
    </row>
    <row r="44275">
      <c r="B44275" s="17" t="s">
        <v>477</v>
      </c>
      <c r="K44275" s="18"/>
    </row>
    <row r="44276">
      <c r="B44276" s="17" t="s">
        <v>477</v>
      </c>
      <c r="K44276" s="18"/>
    </row>
    <row r="44277">
      <c r="B44277" s="17" t="s">
        <v>477</v>
      </c>
      <c r="K44277" s="18"/>
    </row>
    <row r="44278">
      <c r="B44278" s="17" t="s">
        <v>477</v>
      </c>
      <c r="K44278" s="18"/>
    </row>
    <row r="44279">
      <c r="B44279" s="17" t="s">
        <v>477</v>
      </c>
      <c r="K44279" s="18"/>
    </row>
    <row r="44280">
      <c r="B44280" s="17" t="s">
        <v>477</v>
      </c>
      <c r="K44280" s="18"/>
    </row>
    <row r="44281">
      <c r="B44281" s="17" t="s">
        <v>477</v>
      </c>
      <c r="K44281" s="18"/>
    </row>
    <row r="44282">
      <c r="B44282" s="17" t="s">
        <v>477</v>
      </c>
      <c r="K44282" s="18"/>
    </row>
    <row r="44283">
      <c r="B44283" s="17" t="s">
        <v>477</v>
      </c>
      <c r="K44283" s="18"/>
    </row>
    <row r="44284">
      <c r="B44284" s="17" t="s">
        <v>477</v>
      </c>
      <c r="K44284" s="18"/>
    </row>
    <row r="44285">
      <c r="B44285" s="17" t="s">
        <v>477</v>
      </c>
      <c r="K44285" s="18"/>
    </row>
    <row r="44286">
      <c r="B44286" s="17" t="s">
        <v>477</v>
      </c>
      <c r="K44286" s="18"/>
    </row>
    <row r="44287">
      <c r="B44287" s="17" t="s">
        <v>477</v>
      </c>
      <c r="K44287" s="18"/>
    </row>
    <row r="44288">
      <c r="B44288" s="17" t="s">
        <v>477</v>
      </c>
      <c r="K44288" s="18"/>
    </row>
    <row r="44289">
      <c r="B44289" s="17" t="s">
        <v>477</v>
      </c>
      <c r="K44289" s="18"/>
    </row>
    <row r="44290">
      <c r="B44290" s="17" t="s">
        <v>477</v>
      </c>
      <c r="K44290" s="18"/>
    </row>
    <row r="44291">
      <c r="B44291" s="17" t="s">
        <v>477</v>
      </c>
      <c r="K44291" s="18"/>
    </row>
    <row r="44292">
      <c r="B44292" s="17" t="s">
        <v>477</v>
      </c>
      <c r="K44292" s="18"/>
    </row>
    <row r="44293">
      <c r="B44293" s="17" t="s">
        <v>477</v>
      </c>
      <c r="K44293" s="18"/>
    </row>
    <row r="44294">
      <c r="B44294" s="17" t="s">
        <v>477</v>
      </c>
      <c r="K44294" s="18"/>
    </row>
    <row r="44295">
      <c r="B44295" s="17" t="s">
        <v>477</v>
      </c>
      <c r="K44295" s="18"/>
    </row>
    <row r="44296">
      <c r="B44296" s="17" t="s">
        <v>477</v>
      </c>
      <c r="K44296" s="18"/>
    </row>
    <row r="44297">
      <c r="B44297" s="17" t="s">
        <v>477</v>
      </c>
      <c r="K44297" s="18"/>
    </row>
    <row r="44298">
      <c r="B44298" s="17" t="s">
        <v>477</v>
      </c>
      <c r="K44298" s="18"/>
    </row>
    <row r="44299">
      <c r="B44299" s="17" t="s">
        <v>477</v>
      </c>
      <c r="K44299" s="18"/>
    </row>
    <row r="44300">
      <c r="B44300" s="17" t="s">
        <v>477</v>
      </c>
      <c r="K44300" s="18"/>
    </row>
    <row r="44301">
      <c r="B44301" s="17" t="s">
        <v>477</v>
      </c>
      <c r="K44301" s="18"/>
    </row>
    <row r="44302">
      <c r="B44302" s="17" t="s">
        <v>477</v>
      </c>
      <c r="K44302" s="18"/>
    </row>
    <row r="44303">
      <c r="B44303" s="17" t="s">
        <v>477</v>
      </c>
      <c r="K44303" s="18"/>
    </row>
    <row r="44304">
      <c r="B44304" s="17" t="s">
        <v>477</v>
      </c>
      <c r="K44304" s="18"/>
    </row>
    <row r="44305">
      <c r="B44305" s="17" t="s">
        <v>477</v>
      </c>
      <c r="K44305" s="18"/>
    </row>
    <row r="44306">
      <c r="B44306" s="17" t="s">
        <v>477</v>
      </c>
      <c r="K44306" s="18"/>
    </row>
    <row r="44307">
      <c r="B44307" s="17" t="s">
        <v>477</v>
      </c>
      <c r="K44307" s="18"/>
    </row>
    <row r="44308">
      <c r="B44308" s="17" t="s">
        <v>477</v>
      </c>
      <c r="K44308" s="18"/>
    </row>
    <row r="44309">
      <c r="B44309" s="17" t="s">
        <v>477</v>
      </c>
      <c r="K44309" s="18"/>
    </row>
    <row r="44310">
      <c r="B44310" s="17" t="s">
        <v>477</v>
      </c>
      <c r="K44310" s="18"/>
    </row>
    <row r="44311">
      <c r="B44311" s="17" t="s">
        <v>477</v>
      </c>
      <c r="K44311" s="18"/>
    </row>
    <row r="44312">
      <c r="B44312" s="17" t="s">
        <v>477</v>
      </c>
      <c r="K44312" s="18"/>
    </row>
    <row r="44313">
      <c r="B44313" s="17" t="s">
        <v>477</v>
      </c>
      <c r="K44313" s="18"/>
    </row>
    <row r="44314">
      <c r="B44314" s="17" t="s">
        <v>477</v>
      </c>
      <c r="K44314" s="18"/>
    </row>
    <row r="44315">
      <c r="B44315" s="17" t="s">
        <v>477</v>
      </c>
      <c r="K44315" s="18"/>
    </row>
    <row r="44316">
      <c r="B44316" s="17" t="s">
        <v>477</v>
      </c>
      <c r="K44316" s="18"/>
    </row>
    <row r="44317">
      <c r="B44317" s="17" t="s">
        <v>477</v>
      </c>
      <c r="K44317" s="18"/>
    </row>
    <row r="44318">
      <c r="B44318" s="17" t="s">
        <v>477</v>
      </c>
      <c r="K44318" s="18"/>
    </row>
    <row r="44319">
      <c r="B44319" s="17" t="s">
        <v>477</v>
      </c>
      <c r="K44319" s="18"/>
    </row>
    <row r="44320">
      <c r="B44320" s="17" t="s">
        <v>477</v>
      </c>
      <c r="K44320" s="18"/>
    </row>
    <row r="44321">
      <c r="B44321" s="17" t="s">
        <v>477</v>
      </c>
      <c r="K44321" s="18"/>
    </row>
    <row r="44322">
      <c r="B44322" s="17" t="s">
        <v>477</v>
      </c>
      <c r="K44322" s="18"/>
    </row>
    <row r="44323">
      <c r="B44323" s="17" t="s">
        <v>477</v>
      </c>
      <c r="K44323" s="18"/>
    </row>
    <row r="44324">
      <c r="B44324" s="17" t="s">
        <v>477</v>
      </c>
      <c r="K44324" s="18"/>
    </row>
    <row r="44325">
      <c r="B44325" s="17" t="s">
        <v>477</v>
      </c>
      <c r="K44325" s="18"/>
    </row>
    <row r="44326">
      <c r="B44326" s="17" t="s">
        <v>477</v>
      </c>
      <c r="K44326" s="18"/>
    </row>
    <row r="44327">
      <c r="B44327" s="17" t="s">
        <v>477</v>
      </c>
      <c r="K44327" s="18"/>
    </row>
    <row r="44328">
      <c r="B44328" s="17" t="s">
        <v>477</v>
      </c>
      <c r="K44328" s="18"/>
    </row>
    <row r="44329">
      <c r="B44329" s="17" t="s">
        <v>477</v>
      </c>
      <c r="K44329" s="18"/>
    </row>
    <row r="44330">
      <c r="B44330" s="17" t="s">
        <v>477</v>
      </c>
      <c r="K44330" s="18"/>
    </row>
    <row r="44331">
      <c r="B44331" s="17" t="s">
        <v>477</v>
      </c>
      <c r="K44331" s="18"/>
    </row>
    <row r="44332">
      <c r="B44332" s="17" t="s">
        <v>477</v>
      </c>
      <c r="K44332" s="18"/>
    </row>
    <row r="44333">
      <c r="B44333" s="17" t="s">
        <v>477</v>
      </c>
      <c r="K44333" s="18"/>
    </row>
    <row r="44334">
      <c r="B44334" s="17" t="s">
        <v>477</v>
      </c>
      <c r="K44334" s="18"/>
    </row>
    <row r="44335">
      <c r="B44335" s="17" t="s">
        <v>477</v>
      </c>
      <c r="K44335" s="18"/>
    </row>
    <row r="44336">
      <c r="B44336" s="17" t="s">
        <v>477</v>
      </c>
      <c r="K44336" s="18"/>
    </row>
    <row r="44337">
      <c r="B44337" s="17" t="s">
        <v>477</v>
      </c>
      <c r="K44337" s="18"/>
    </row>
    <row r="44338">
      <c r="B44338" s="17" t="s">
        <v>477</v>
      </c>
      <c r="K44338" s="18"/>
    </row>
    <row r="44339">
      <c r="B44339" s="17" t="s">
        <v>477</v>
      </c>
      <c r="K44339" s="18"/>
    </row>
    <row r="44340">
      <c r="B44340" s="17" t="s">
        <v>477</v>
      </c>
      <c r="K44340" s="18"/>
    </row>
    <row r="44341">
      <c r="B44341" s="17" t="s">
        <v>477</v>
      </c>
      <c r="K44341" s="18"/>
    </row>
    <row r="44342">
      <c r="B44342" s="17" t="s">
        <v>477</v>
      </c>
      <c r="K44342" s="18"/>
    </row>
    <row r="44343">
      <c r="B44343" s="17" t="s">
        <v>477</v>
      </c>
      <c r="K44343" s="18"/>
    </row>
    <row r="44344">
      <c r="B44344" s="17" t="s">
        <v>477</v>
      </c>
      <c r="K44344" s="18"/>
    </row>
    <row r="44345">
      <c r="B44345" s="17" t="s">
        <v>477</v>
      </c>
      <c r="K44345" s="18"/>
    </row>
    <row r="44346">
      <c r="B44346" s="17" t="s">
        <v>477</v>
      </c>
      <c r="K44346" s="18"/>
    </row>
    <row r="44347">
      <c r="B44347" s="17" t="s">
        <v>477</v>
      </c>
      <c r="K44347" s="18"/>
    </row>
    <row r="44348">
      <c r="B44348" s="17" t="s">
        <v>477</v>
      </c>
      <c r="K44348" s="18"/>
    </row>
    <row r="44349">
      <c r="B44349" s="17" t="s">
        <v>477</v>
      </c>
      <c r="K44349" s="18"/>
    </row>
    <row r="44350">
      <c r="B44350" s="17" t="s">
        <v>477</v>
      </c>
      <c r="K44350" s="18"/>
    </row>
    <row r="44351">
      <c r="B44351" s="17" t="s">
        <v>477</v>
      </c>
      <c r="K44351" s="18"/>
    </row>
    <row r="44352">
      <c r="B44352" s="17" t="s">
        <v>477</v>
      </c>
      <c r="K44352" s="18"/>
    </row>
    <row r="44353">
      <c r="B44353" s="17" t="s">
        <v>477</v>
      </c>
      <c r="K44353" s="18"/>
    </row>
    <row r="44354">
      <c r="B44354" s="17" t="s">
        <v>477</v>
      </c>
      <c r="K44354" s="18"/>
    </row>
    <row r="44355">
      <c r="B44355" s="17" t="s">
        <v>477</v>
      </c>
      <c r="K44355" s="18"/>
    </row>
    <row r="44356">
      <c r="B44356" s="17" t="s">
        <v>477</v>
      </c>
      <c r="K44356" s="18"/>
    </row>
    <row r="44357">
      <c r="B44357" s="17" t="s">
        <v>477</v>
      </c>
      <c r="K44357" s="18"/>
    </row>
    <row r="44358">
      <c r="B44358" s="17" t="s">
        <v>477</v>
      </c>
      <c r="K44358" s="18"/>
    </row>
    <row r="44359">
      <c r="B44359" s="17" t="s">
        <v>477</v>
      </c>
      <c r="K44359" s="18"/>
    </row>
    <row r="44360">
      <c r="B44360" s="17" t="s">
        <v>477</v>
      </c>
      <c r="K44360" s="18"/>
    </row>
    <row r="44361">
      <c r="B44361" s="17" t="s">
        <v>477</v>
      </c>
      <c r="K44361" s="18"/>
    </row>
    <row r="44362">
      <c r="B44362" s="17" t="s">
        <v>477</v>
      </c>
      <c r="K44362" s="18"/>
    </row>
    <row r="44363">
      <c r="B44363" s="17" t="s">
        <v>477</v>
      </c>
      <c r="K44363" s="18"/>
    </row>
    <row r="44364">
      <c r="B44364" s="17" t="s">
        <v>477</v>
      </c>
      <c r="K44364" s="18"/>
    </row>
    <row r="44365">
      <c r="B44365" s="17" t="s">
        <v>477</v>
      </c>
      <c r="K44365" s="18"/>
    </row>
    <row r="44366">
      <c r="B44366" s="17" t="s">
        <v>477</v>
      </c>
      <c r="K44366" s="18"/>
    </row>
    <row r="44367">
      <c r="B44367" s="17" t="s">
        <v>477</v>
      </c>
      <c r="K44367" s="18"/>
    </row>
    <row r="44368">
      <c r="B44368" s="17" t="s">
        <v>477</v>
      </c>
      <c r="K44368" s="18"/>
    </row>
    <row r="44369">
      <c r="B44369" s="17" t="s">
        <v>477</v>
      </c>
      <c r="K44369" s="18"/>
    </row>
    <row r="44370">
      <c r="B44370" s="17" t="s">
        <v>477</v>
      </c>
      <c r="K44370" s="18"/>
    </row>
    <row r="44371">
      <c r="B44371" s="17" t="s">
        <v>477</v>
      </c>
      <c r="K44371" s="18"/>
    </row>
    <row r="44372">
      <c r="B44372" s="17" t="s">
        <v>477</v>
      </c>
      <c r="K44372" s="18"/>
    </row>
    <row r="44373">
      <c r="B44373" s="17" t="s">
        <v>477</v>
      </c>
      <c r="K44373" s="18"/>
    </row>
    <row r="44374">
      <c r="B44374" s="17" t="s">
        <v>477</v>
      </c>
      <c r="K44374" s="18"/>
    </row>
    <row r="44375">
      <c r="B44375" s="17" t="s">
        <v>477</v>
      </c>
      <c r="K44375" s="18"/>
    </row>
    <row r="44376">
      <c r="B44376" s="17" t="s">
        <v>477</v>
      </c>
      <c r="K44376" s="18"/>
    </row>
    <row r="44377">
      <c r="B44377" s="17" t="s">
        <v>477</v>
      </c>
      <c r="K44377" s="18"/>
    </row>
    <row r="44378">
      <c r="B44378" s="17" t="s">
        <v>477</v>
      </c>
      <c r="K44378" s="18"/>
    </row>
    <row r="44379">
      <c r="B44379" s="17" t="s">
        <v>477</v>
      </c>
      <c r="K44379" s="18"/>
    </row>
    <row r="44380">
      <c r="B44380" s="17" t="s">
        <v>477</v>
      </c>
      <c r="K44380" s="18"/>
    </row>
    <row r="44381">
      <c r="B44381" s="17" t="s">
        <v>477</v>
      </c>
      <c r="K44381" s="18"/>
    </row>
    <row r="44382">
      <c r="B44382" s="17" t="s">
        <v>477</v>
      </c>
      <c r="K44382" s="18"/>
    </row>
    <row r="44383">
      <c r="B44383" s="17" t="s">
        <v>477</v>
      </c>
      <c r="K44383" s="18"/>
    </row>
    <row r="44384">
      <c r="B44384" s="17" t="s">
        <v>477</v>
      </c>
      <c r="K44384" s="18"/>
    </row>
    <row r="44385">
      <c r="B44385" s="17" t="s">
        <v>477</v>
      </c>
      <c r="K44385" s="18"/>
    </row>
    <row r="44386">
      <c r="B44386" s="17" t="s">
        <v>477</v>
      </c>
      <c r="K44386" s="18"/>
    </row>
    <row r="44387">
      <c r="B44387" s="17" t="s">
        <v>477</v>
      </c>
      <c r="K44387" s="18"/>
    </row>
    <row r="44388">
      <c r="B44388" s="17" t="s">
        <v>477</v>
      </c>
      <c r="K44388" s="18"/>
    </row>
    <row r="44389">
      <c r="B44389" s="17" t="s">
        <v>477</v>
      </c>
      <c r="K44389" s="18"/>
    </row>
    <row r="44390">
      <c r="B44390" s="17" t="s">
        <v>477</v>
      </c>
      <c r="K44390" s="18"/>
    </row>
    <row r="44391">
      <c r="B44391" s="17" t="s">
        <v>477</v>
      </c>
      <c r="K44391" s="18"/>
    </row>
    <row r="44392">
      <c r="B44392" s="17" t="s">
        <v>477</v>
      </c>
      <c r="K44392" s="18"/>
    </row>
    <row r="44393">
      <c r="B44393" s="17" t="s">
        <v>477</v>
      </c>
      <c r="K44393" s="18"/>
    </row>
    <row r="44394">
      <c r="B44394" s="17" t="s">
        <v>477</v>
      </c>
      <c r="K44394" s="18"/>
    </row>
    <row r="44395">
      <c r="B44395" s="17" t="s">
        <v>477</v>
      </c>
      <c r="K44395" s="18"/>
    </row>
    <row r="44396">
      <c r="B44396" s="17" t="s">
        <v>477</v>
      </c>
      <c r="K44396" s="18"/>
    </row>
    <row r="44397">
      <c r="B44397" s="17" t="s">
        <v>477</v>
      </c>
      <c r="K44397" s="18"/>
    </row>
    <row r="44398">
      <c r="B44398" s="17" t="s">
        <v>477</v>
      </c>
      <c r="K44398" s="18"/>
    </row>
    <row r="44399">
      <c r="B44399" s="17" t="s">
        <v>477</v>
      </c>
      <c r="K44399" s="18"/>
    </row>
    <row r="44400">
      <c r="B44400" s="17" t="s">
        <v>477</v>
      </c>
      <c r="K44400" s="18"/>
    </row>
    <row r="44401">
      <c r="B44401" s="17" t="s">
        <v>477</v>
      </c>
      <c r="K44401" s="18"/>
    </row>
    <row r="44402">
      <c r="B44402" s="17" t="s">
        <v>477</v>
      </c>
      <c r="K44402" s="18"/>
    </row>
    <row r="44403">
      <c r="B44403" s="17" t="s">
        <v>477</v>
      </c>
      <c r="K44403" s="18"/>
    </row>
    <row r="44404">
      <c r="B44404" s="17" t="s">
        <v>477</v>
      </c>
      <c r="K44404" s="18"/>
    </row>
    <row r="44405">
      <c r="B44405" s="17" t="s">
        <v>477</v>
      </c>
      <c r="K44405" s="18"/>
    </row>
    <row r="44406">
      <c r="B44406" s="17" t="s">
        <v>477</v>
      </c>
      <c r="K44406" s="18"/>
    </row>
    <row r="44407">
      <c r="B44407" s="17" t="s">
        <v>477</v>
      </c>
      <c r="K44407" s="18"/>
    </row>
    <row r="44408">
      <c r="B44408" s="17" t="s">
        <v>477</v>
      </c>
      <c r="K44408" s="18"/>
    </row>
    <row r="44409">
      <c r="B44409" s="17" t="s">
        <v>477</v>
      </c>
      <c r="K44409" s="18"/>
    </row>
    <row r="44410">
      <c r="B44410" s="17" t="s">
        <v>477</v>
      </c>
      <c r="K44410" s="18"/>
    </row>
    <row r="44411">
      <c r="B44411" s="17" t="s">
        <v>477</v>
      </c>
      <c r="K44411" s="18"/>
    </row>
    <row r="44412">
      <c r="B44412" s="17" t="s">
        <v>477</v>
      </c>
      <c r="K44412" s="18"/>
    </row>
    <row r="44413">
      <c r="B44413" s="17" t="s">
        <v>477</v>
      </c>
      <c r="K44413" s="18"/>
    </row>
    <row r="44414">
      <c r="B44414" s="17" t="s">
        <v>477</v>
      </c>
      <c r="K44414" s="18"/>
    </row>
    <row r="44415">
      <c r="B44415" s="17" t="s">
        <v>477</v>
      </c>
      <c r="K44415" s="18"/>
    </row>
    <row r="44416">
      <c r="B44416" s="17" t="s">
        <v>477</v>
      </c>
      <c r="K44416" s="18"/>
    </row>
    <row r="44417">
      <c r="B44417" s="17" t="s">
        <v>477</v>
      </c>
      <c r="K44417" s="18"/>
    </row>
    <row r="44418">
      <c r="B44418" s="17" t="s">
        <v>477</v>
      </c>
      <c r="K44418" s="18"/>
    </row>
    <row r="44419">
      <c r="B44419" s="17" t="s">
        <v>477</v>
      </c>
      <c r="K44419" s="18"/>
    </row>
    <row r="44420">
      <c r="B44420" s="17" t="s">
        <v>477</v>
      </c>
      <c r="K44420" s="18"/>
    </row>
    <row r="44421">
      <c r="B44421" s="17" t="s">
        <v>477</v>
      </c>
      <c r="K44421" s="18"/>
    </row>
    <row r="44422">
      <c r="B44422" s="17" t="s">
        <v>477</v>
      </c>
      <c r="K44422" s="18"/>
    </row>
    <row r="44423">
      <c r="B44423" s="17" t="s">
        <v>477</v>
      </c>
      <c r="K44423" s="18"/>
    </row>
    <row r="44424">
      <c r="B44424" s="17" t="s">
        <v>477</v>
      </c>
      <c r="K44424" s="18"/>
    </row>
    <row r="44425">
      <c r="B44425" s="17" t="s">
        <v>477</v>
      </c>
      <c r="K44425" s="18"/>
    </row>
    <row r="44426">
      <c r="B44426" s="17" t="s">
        <v>477</v>
      </c>
      <c r="K44426" s="18"/>
    </row>
    <row r="44427">
      <c r="B44427" s="17" t="s">
        <v>477</v>
      </c>
      <c r="K44427" s="18"/>
    </row>
    <row r="44428">
      <c r="B44428" s="17" t="s">
        <v>477</v>
      </c>
      <c r="K44428" s="18"/>
    </row>
    <row r="44429">
      <c r="B44429" s="17" t="s">
        <v>477</v>
      </c>
      <c r="K44429" s="18"/>
    </row>
    <row r="44430">
      <c r="B44430" s="17" t="s">
        <v>477</v>
      </c>
      <c r="K44430" s="18"/>
    </row>
    <row r="44431">
      <c r="B44431" s="17" t="s">
        <v>477</v>
      </c>
      <c r="K44431" s="18"/>
    </row>
    <row r="44432">
      <c r="B44432" s="17" t="s">
        <v>477</v>
      </c>
      <c r="K44432" s="18"/>
    </row>
    <row r="44433">
      <c r="B44433" s="17" t="s">
        <v>477</v>
      </c>
      <c r="K44433" s="18"/>
    </row>
    <row r="44434">
      <c r="B44434" s="17" t="s">
        <v>477</v>
      </c>
      <c r="K44434" s="18"/>
    </row>
    <row r="44435">
      <c r="B44435" s="17" t="s">
        <v>477</v>
      </c>
      <c r="K44435" s="18"/>
    </row>
    <row r="44436">
      <c r="B44436" s="17" t="s">
        <v>477</v>
      </c>
      <c r="K44436" s="18"/>
    </row>
    <row r="44437">
      <c r="B44437" s="17" t="s">
        <v>477</v>
      </c>
      <c r="K44437" s="18"/>
    </row>
    <row r="44438">
      <c r="B44438" s="17" t="s">
        <v>477</v>
      </c>
      <c r="K44438" s="18"/>
    </row>
    <row r="44439">
      <c r="B44439" s="17" t="s">
        <v>477</v>
      </c>
      <c r="K44439" s="18"/>
    </row>
    <row r="44440">
      <c r="B44440" s="17" t="s">
        <v>477</v>
      </c>
      <c r="K44440" s="18"/>
    </row>
    <row r="44441">
      <c r="B44441" s="17" t="s">
        <v>477</v>
      </c>
      <c r="K44441" s="18"/>
    </row>
    <row r="44442">
      <c r="B44442" s="17" t="s">
        <v>477</v>
      </c>
      <c r="K44442" s="18"/>
    </row>
    <row r="44443">
      <c r="B44443" s="17" t="s">
        <v>477</v>
      </c>
      <c r="K44443" s="18"/>
    </row>
    <row r="44444">
      <c r="B44444" s="17" t="s">
        <v>477</v>
      </c>
      <c r="K44444" s="18"/>
    </row>
    <row r="44445">
      <c r="B44445" s="17" t="s">
        <v>477</v>
      </c>
      <c r="K44445" s="18"/>
    </row>
    <row r="44446">
      <c r="B44446" s="17" t="s">
        <v>477</v>
      </c>
      <c r="K44446" s="18"/>
    </row>
    <row r="44447">
      <c r="B44447" s="17" t="s">
        <v>477</v>
      </c>
      <c r="K44447" s="18"/>
    </row>
    <row r="44448">
      <c r="B44448" s="17" t="s">
        <v>477</v>
      </c>
      <c r="K44448" s="18"/>
    </row>
    <row r="44449">
      <c r="B44449" s="17" t="s">
        <v>477</v>
      </c>
      <c r="K44449" s="18"/>
    </row>
    <row r="44450">
      <c r="B44450" s="17" t="s">
        <v>477</v>
      </c>
      <c r="K44450" s="18"/>
    </row>
    <row r="44451">
      <c r="B44451" s="17" t="s">
        <v>477</v>
      </c>
      <c r="K44451" s="18"/>
    </row>
    <row r="44452">
      <c r="B44452" s="17" t="s">
        <v>477</v>
      </c>
      <c r="K44452" s="18"/>
    </row>
    <row r="44453">
      <c r="B44453" s="17" t="s">
        <v>477</v>
      </c>
      <c r="K44453" s="18"/>
    </row>
    <row r="44454">
      <c r="B44454" s="17" t="s">
        <v>477</v>
      </c>
      <c r="K44454" s="18"/>
    </row>
    <row r="44455">
      <c r="B44455" s="17" t="s">
        <v>477</v>
      </c>
      <c r="K44455" s="18"/>
    </row>
    <row r="44456">
      <c r="B44456" s="17" t="s">
        <v>477</v>
      </c>
      <c r="K44456" s="18"/>
    </row>
    <row r="44457">
      <c r="B44457" s="17" t="s">
        <v>477</v>
      </c>
      <c r="K44457" s="18"/>
    </row>
    <row r="44458">
      <c r="B44458" s="17" t="s">
        <v>477</v>
      </c>
      <c r="K44458" s="18"/>
    </row>
    <row r="44459">
      <c r="B44459" s="17" t="s">
        <v>477</v>
      </c>
      <c r="K44459" s="18"/>
    </row>
    <row r="44460">
      <c r="B44460" s="17" t="s">
        <v>477</v>
      </c>
      <c r="K44460" s="18"/>
    </row>
    <row r="44461">
      <c r="B44461" s="17" t="s">
        <v>477</v>
      </c>
      <c r="K44461" s="18"/>
    </row>
    <row r="44462">
      <c r="B44462" s="17" t="s">
        <v>477</v>
      </c>
      <c r="K44462" s="18"/>
    </row>
    <row r="44463">
      <c r="B44463" s="17" t="s">
        <v>477</v>
      </c>
      <c r="K44463" s="18"/>
    </row>
    <row r="44464">
      <c r="B44464" s="17" t="s">
        <v>477</v>
      </c>
      <c r="K44464" s="18"/>
    </row>
    <row r="44465">
      <c r="B44465" s="17" t="s">
        <v>477</v>
      </c>
      <c r="K44465" s="18"/>
    </row>
    <row r="44466">
      <c r="B44466" s="17" t="s">
        <v>477</v>
      </c>
      <c r="K44466" s="18"/>
    </row>
    <row r="44467">
      <c r="B44467" s="17" t="s">
        <v>477</v>
      </c>
      <c r="K44467" s="18"/>
    </row>
    <row r="44468">
      <c r="B44468" s="17" t="s">
        <v>477</v>
      </c>
      <c r="K44468" s="18"/>
    </row>
    <row r="44469">
      <c r="B44469" s="17" t="s">
        <v>477</v>
      </c>
      <c r="K44469" s="18"/>
    </row>
    <row r="44470">
      <c r="B44470" s="17" t="s">
        <v>477</v>
      </c>
      <c r="K44470" s="18"/>
    </row>
    <row r="44471">
      <c r="B44471" s="17" t="s">
        <v>477</v>
      </c>
      <c r="K44471" s="18"/>
    </row>
    <row r="44472">
      <c r="B44472" s="17" t="s">
        <v>477</v>
      </c>
      <c r="K44472" s="18"/>
    </row>
    <row r="44473">
      <c r="B44473" s="17" t="s">
        <v>477</v>
      </c>
      <c r="K44473" s="18"/>
    </row>
    <row r="44474">
      <c r="B44474" s="17" t="s">
        <v>477</v>
      </c>
      <c r="K44474" s="18"/>
    </row>
    <row r="44475">
      <c r="B44475" s="17" t="s">
        <v>477</v>
      </c>
      <c r="K44475" s="18"/>
    </row>
    <row r="44476">
      <c r="B44476" s="17" t="s">
        <v>477</v>
      </c>
      <c r="K44476" s="18"/>
    </row>
    <row r="44477">
      <c r="B44477" s="17" t="s">
        <v>477</v>
      </c>
      <c r="K44477" s="18"/>
    </row>
    <row r="44478">
      <c r="B44478" s="17" t="s">
        <v>477</v>
      </c>
      <c r="K44478" s="18"/>
    </row>
    <row r="44479">
      <c r="B44479" s="17" t="s">
        <v>477</v>
      </c>
      <c r="K44479" s="18"/>
    </row>
    <row r="44480">
      <c r="B44480" s="17" t="s">
        <v>477</v>
      </c>
      <c r="K44480" s="18"/>
    </row>
    <row r="44481">
      <c r="B44481" s="17" t="s">
        <v>477</v>
      </c>
      <c r="K44481" s="18"/>
    </row>
    <row r="44482">
      <c r="B44482" s="17" t="s">
        <v>477</v>
      </c>
      <c r="K44482" s="18"/>
    </row>
    <row r="44483">
      <c r="B44483" s="17" t="s">
        <v>477</v>
      </c>
      <c r="K44483" s="18"/>
    </row>
    <row r="44484">
      <c r="B44484" s="17" t="s">
        <v>477</v>
      </c>
      <c r="K44484" s="18"/>
    </row>
    <row r="44485">
      <c r="B44485" s="17" t="s">
        <v>477</v>
      </c>
      <c r="K44485" s="18"/>
    </row>
    <row r="44486">
      <c r="B44486" s="17" t="s">
        <v>477</v>
      </c>
      <c r="K44486" s="18"/>
    </row>
    <row r="44487">
      <c r="B44487" s="17" t="s">
        <v>477</v>
      </c>
      <c r="K44487" s="18"/>
    </row>
    <row r="44488">
      <c r="B44488" s="17" t="s">
        <v>477</v>
      </c>
      <c r="K44488" s="18"/>
    </row>
    <row r="44489">
      <c r="B44489" s="17" t="s">
        <v>477</v>
      </c>
      <c r="K44489" s="18"/>
    </row>
    <row r="44490">
      <c r="B44490" s="17" t="s">
        <v>477</v>
      </c>
      <c r="K44490" s="18"/>
    </row>
    <row r="44491">
      <c r="B44491" s="17" t="s">
        <v>477</v>
      </c>
      <c r="K44491" s="18"/>
    </row>
    <row r="44492">
      <c r="B44492" s="17" t="s">
        <v>477</v>
      </c>
      <c r="K44492" s="18"/>
    </row>
    <row r="44493">
      <c r="B44493" s="17" t="s">
        <v>477</v>
      </c>
      <c r="K44493" s="18"/>
    </row>
    <row r="44494">
      <c r="B44494" s="17" t="s">
        <v>477</v>
      </c>
      <c r="K44494" s="18"/>
    </row>
    <row r="44495">
      <c r="B44495" s="17" t="s">
        <v>477</v>
      </c>
      <c r="K44495" s="18"/>
    </row>
    <row r="44496">
      <c r="B44496" s="17" t="s">
        <v>477</v>
      </c>
      <c r="K44496" s="18"/>
    </row>
    <row r="44497">
      <c r="B44497" s="17" t="s">
        <v>477</v>
      </c>
      <c r="K44497" s="18"/>
    </row>
    <row r="44498">
      <c r="B44498" s="17" t="s">
        <v>477</v>
      </c>
      <c r="K44498" s="18"/>
    </row>
    <row r="44499">
      <c r="B44499" s="17" t="s">
        <v>477</v>
      </c>
      <c r="K44499" s="18"/>
    </row>
    <row r="44500">
      <c r="B44500" s="17" t="s">
        <v>477</v>
      </c>
      <c r="K44500" s="18"/>
    </row>
    <row r="44501">
      <c r="B44501" s="17" t="s">
        <v>477</v>
      </c>
      <c r="K44501" s="18"/>
    </row>
    <row r="44502">
      <c r="B44502" s="17" t="s">
        <v>477</v>
      </c>
      <c r="K44502" s="18"/>
    </row>
    <row r="44503">
      <c r="B44503" s="17" t="s">
        <v>477</v>
      </c>
      <c r="K44503" s="18"/>
    </row>
    <row r="44504">
      <c r="B44504" s="17" t="s">
        <v>477</v>
      </c>
      <c r="K44504" s="18"/>
    </row>
    <row r="44505">
      <c r="B44505" s="17" t="s">
        <v>477</v>
      </c>
      <c r="K44505" s="18"/>
    </row>
    <row r="44506">
      <c r="B44506" s="17" t="s">
        <v>477</v>
      </c>
      <c r="K44506" s="18"/>
    </row>
    <row r="44507">
      <c r="B44507" s="17" t="s">
        <v>477</v>
      </c>
      <c r="K44507" s="18"/>
    </row>
    <row r="44508">
      <c r="B44508" s="17" t="s">
        <v>477</v>
      </c>
      <c r="K44508" s="18"/>
    </row>
    <row r="44509">
      <c r="B44509" s="17" t="s">
        <v>477</v>
      </c>
      <c r="K44509" s="18"/>
    </row>
    <row r="44510">
      <c r="B44510" s="17" t="s">
        <v>477</v>
      </c>
      <c r="K44510" s="18"/>
    </row>
    <row r="44511">
      <c r="B44511" s="17" t="s">
        <v>477</v>
      </c>
      <c r="K44511" s="18"/>
    </row>
    <row r="44512">
      <c r="B44512" s="17" t="s">
        <v>477</v>
      </c>
      <c r="K44512" s="18"/>
    </row>
    <row r="44513">
      <c r="B44513" s="17" t="s">
        <v>477</v>
      </c>
      <c r="K44513" s="18"/>
    </row>
    <row r="44514">
      <c r="B44514" s="17" t="s">
        <v>477</v>
      </c>
      <c r="K44514" s="18"/>
    </row>
    <row r="44515">
      <c r="B44515" s="17" t="s">
        <v>477</v>
      </c>
      <c r="K44515" s="18"/>
    </row>
    <row r="44516">
      <c r="B44516" s="17" t="s">
        <v>477</v>
      </c>
      <c r="K44516" s="18"/>
    </row>
    <row r="44517">
      <c r="B44517" s="17" t="s">
        <v>477</v>
      </c>
      <c r="K44517" s="18"/>
    </row>
    <row r="44518">
      <c r="B44518" s="17" t="s">
        <v>477</v>
      </c>
      <c r="K44518" s="18"/>
    </row>
    <row r="44519">
      <c r="B44519" s="17" t="s">
        <v>477</v>
      </c>
      <c r="K44519" s="18"/>
    </row>
    <row r="44520">
      <c r="B44520" s="17" t="s">
        <v>477</v>
      </c>
      <c r="K44520" s="18"/>
    </row>
    <row r="44521">
      <c r="B44521" s="17" t="s">
        <v>477</v>
      </c>
      <c r="K44521" s="18"/>
    </row>
    <row r="44522">
      <c r="B44522" s="17" t="s">
        <v>477</v>
      </c>
      <c r="K44522" s="18"/>
    </row>
    <row r="44523">
      <c r="B44523" s="17" t="s">
        <v>477</v>
      </c>
      <c r="K44523" s="18"/>
    </row>
    <row r="44524">
      <c r="B44524" s="17" t="s">
        <v>477</v>
      </c>
      <c r="K44524" s="18"/>
    </row>
    <row r="44525">
      <c r="B44525" s="17" t="s">
        <v>477</v>
      </c>
      <c r="K44525" s="18"/>
    </row>
    <row r="44526">
      <c r="B44526" s="17" t="s">
        <v>477</v>
      </c>
      <c r="K44526" s="18"/>
    </row>
    <row r="44527">
      <c r="B44527" s="17" t="s">
        <v>477</v>
      </c>
      <c r="K44527" s="18"/>
    </row>
    <row r="44528">
      <c r="B44528" s="17" t="s">
        <v>477</v>
      </c>
      <c r="K44528" s="18"/>
    </row>
    <row r="44529">
      <c r="B44529" s="17" t="s">
        <v>477</v>
      </c>
      <c r="K44529" s="18"/>
    </row>
    <row r="44530">
      <c r="B44530" s="17" t="s">
        <v>477</v>
      </c>
      <c r="K44530" s="18"/>
    </row>
    <row r="44531">
      <c r="B44531" s="17" t="s">
        <v>477</v>
      </c>
      <c r="K44531" s="18"/>
    </row>
    <row r="44532">
      <c r="B44532" s="17" t="s">
        <v>477</v>
      </c>
      <c r="K44532" s="18"/>
    </row>
    <row r="44533">
      <c r="B44533" s="17" t="s">
        <v>477</v>
      </c>
      <c r="K44533" s="18"/>
    </row>
    <row r="44534">
      <c r="B44534" s="17" t="s">
        <v>477</v>
      </c>
      <c r="K44534" s="18"/>
    </row>
    <row r="44535">
      <c r="B44535" s="17" t="s">
        <v>477</v>
      </c>
      <c r="K44535" s="18"/>
    </row>
    <row r="44536">
      <c r="B44536" s="17" t="s">
        <v>477</v>
      </c>
      <c r="K44536" s="18"/>
    </row>
    <row r="44537">
      <c r="B44537" s="17" t="s">
        <v>477</v>
      </c>
      <c r="K44537" s="18"/>
    </row>
    <row r="44538">
      <c r="B44538" s="17" t="s">
        <v>477</v>
      </c>
      <c r="K44538" s="18"/>
    </row>
    <row r="44539">
      <c r="B44539" s="17" t="s">
        <v>477</v>
      </c>
      <c r="K44539" s="18"/>
    </row>
    <row r="44540">
      <c r="B44540" s="17" t="s">
        <v>477</v>
      </c>
      <c r="K44540" s="18"/>
    </row>
    <row r="44541">
      <c r="B44541" s="17" t="s">
        <v>477</v>
      </c>
      <c r="K44541" s="18"/>
    </row>
    <row r="44542">
      <c r="B44542" s="17" t="s">
        <v>477</v>
      </c>
      <c r="K44542" s="18"/>
    </row>
    <row r="44543">
      <c r="B44543" s="17" t="s">
        <v>477</v>
      </c>
      <c r="K44543" s="18"/>
    </row>
    <row r="44544">
      <c r="B44544" s="17" t="s">
        <v>477</v>
      </c>
      <c r="K44544" s="18"/>
    </row>
    <row r="44545">
      <c r="B44545" s="17" t="s">
        <v>477</v>
      </c>
      <c r="K44545" s="18"/>
    </row>
    <row r="44546">
      <c r="B44546" s="17" t="s">
        <v>477</v>
      </c>
      <c r="K44546" s="18"/>
    </row>
    <row r="44547">
      <c r="B44547" s="17" t="s">
        <v>477</v>
      </c>
      <c r="K44547" s="18"/>
    </row>
    <row r="44548">
      <c r="B44548" s="17" t="s">
        <v>477</v>
      </c>
      <c r="K44548" s="18"/>
    </row>
    <row r="44549">
      <c r="B44549" s="17" t="s">
        <v>477</v>
      </c>
      <c r="K44549" s="18"/>
    </row>
    <row r="44550">
      <c r="B44550" s="17" t="s">
        <v>477</v>
      </c>
      <c r="K44550" s="18"/>
    </row>
    <row r="44551">
      <c r="B44551" s="17" t="s">
        <v>477</v>
      </c>
      <c r="K44551" s="18"/>
    </row>
    <row r="44552">
      <c r="B44552" s="17" t="s">
        <v>477</v>
      </c>
      <c r="K44552" s="18"/>
    </row>
    <row r="44553">
      <c r="B44553" s="17" t="s">
        <v>477</v>
      </c>
      <c r="K44553" s="18"/>
    </row>
    <row r="44554">
      <c r="B44554" s="17" t="s">
        <v>477</v>
      </c>
      <c r="K44554" s="18"/>
    </row>
    <row r="44555">
      <c r="B44555" s="17" t="s">
        <v>477</v>
      </c>
      <c r="K44555" s="18"/>
    </row>
    <row r="44556">
      <c r="B44556" s="17" t="s">
        <v>477</v>
      </c>
      <c r="K44556" s="18"/>
    </row>
    <row r="44557">
      <c r="B44557" s="17" t="s">
        <v>477</v>
      </c>
      <c r="K44557" s="18"/>
    </row>
    <row r="44558">
      <c r="B44558" s="17" t="s">
        <v>477</v>
      </c>
      <c r="K44558" s="18"/>
    </row>
    <row r="44559">
      <c r="B44559" s="17" t="s">
        <v>477</v>
      </c>
      <c r="K44559" s="18"/>
    </row>
    <row r="44560">
      <c r="B44560" s="17" t="s">
        <v>477</v>
      </c>
      <c r="K44560" s="18"/>
    </row>
    <row r="44561">
      <c r="B44561" s="17" t="s">
        <v>477</v>
      </c>
      <c r="K44561" s="18"/>
    </row>
    <row r="44562">
      <c r="B44562" s="17" t="s">
        <v>477</v>
      </c>
      <c r="K44562" s="18"/>
    </row>
    <row r="44563">
      <c r="B44563" s="17" t="s">
        <v>477</v>
      </c>
      <c r="K44563" s="18"/>
    </row>
    <row r="44564">
      <c r="B44564" s="17" t="s">
        <v>477</v>
      </c>
      <c r="K44564" s="18"/>
    </row>
    <row r="44565">
      <c r="B44565" s="17" t="s">
        <v>477</v>
      </c>
      <c r="K44565" s="18"/>
    </row>
    <row r="44566">
      <c r="B44566" s="17" t="s">
        <v>477</v>
      </c>
      <c r="K44566" s="18"/>
    </row>
    <row r="44567">
      <c r="B44567" s="17" t="s">
        <v>477</v>
      </c>
      <c r="K44567" s="18"/>
    </row>
    <row r="44568">
      <c r="B44568" s="17" t="s">
        <v>477</v>
      </c>
      <c r="K44568" s="18"/>
    </row>
    <row r="44569">
      <c r="B44569" s="17" t="s">
        <v>477</v>
      </c>
      <c r="K44569" s="18"/>
    </row>
    <row r="44570">
      <c r="B44570" s="17" t="s">
        <v>477</v>
      </c>
      <c r="K44570" s="18"/>
    </row>
    <row r="44571">
      <c r="B44571" s="17" t="s">
        <v>477</v>
      </c>
      <c r="K44571" s="18"/>
    </row>
    <row r="44572">
      <c r="B44572" s="17" t="s">
        <v>477</v>
      </c>
      <c r="K44572" s="18"/>
    </row>
    <row r="44573">
      <c r="B44573" s="17" t="s">
        <v>477</v>
      </c>
      <c r="K44573" s="18"/>
    </row>
    <row r="44574">
      <c r="B44574" s="17" t="s">
        <v>477</v>
      </c>
      <c r="K44574" s="18"/>
    </row>
    <row r="44575">
      <c r="B44575" s="17" t="s">
        <v>477</v>
      </c>
      <c r="K44575" s="18"/>
    </row>
    <row r="44576">
      <c r="B44576" s="17" t="s">
        <v>477</v>
      </c>
      <c r="K44576" s="18"/>
    </row>
    <row r="44577">
      <c r="B44577" s="17" t="s">
        <v>477</v>
      </c>
      <c r="K44577" s="18"/>
    </row>
    <row r="44578">
      <c r="B44578" s="17" t="s">
        <v>477</v>
      </c>
      <c r="K44578" s="18"/>
    </row>
    <row r="44579">
      <c r="B44579" s="17" t="s">
        <v>477</v>
      </c>
      <c r="K44579" s="18"/>
    </row>
    <row r="44580">
      <c r="B44580" s="17" t="s">
        <v>477</v>
      </c>
      <c r="K44580" s="18"/>
    </row>
    <row r="44581">
      <c r="B44581" s="17" t="s">
        <v>477</v>
      </c>
      <c r="K44581" s="18"/>
    </row>
    <row r="44582">
      <c r="B44582" s="17" t="s">
        <v>477</v>
      </c>
      <c r="K44582" s="18"/>
    </row>
    <row r="44583">
      <c r="B44583" s="17" t="s">
        <v>477</v>
      </c>
      <c r="K44583" s="18"/>
    </row>
    <row r="44584">
      <c r="B44584" s="17" t="s">
        <v>477</v>
      </c>
      <c r="K44584" s="18"/>
    </row>
    <row r="44585">
      <c r="B44585" s="17" t="s">
        <v>477</v>
      </c>
      <c r="K44585" s="18"/>
    </row>
    <row r="44586">
      <c r="B44586" s="17" t="s">
        <v>477</v>
      </c>
      <c r="K44586" s="18"/>
    </row>
    <row r="44587">
      <c r="B44587" s="17" t="s">
        <v>477</v>
      </c>
      <c r="K44587" s="18"/>
    </row>
    <row r="44588">
      <c r="B44588" s="17" t="s">
        <v>477</v>
      </c>
      <c r="K44588" s="18"/>
    </row>
    <row r="44589">
      <c r="B44589" s="17" t="s">
        <v>477</v>
      </c>
      <c r="K44589" s="18"/>
    </row>
    <row r="44590">
      <c r="B44590" s="17" t="s">
        <v>477</v>
      </c>
      <c r="K44590" s="18"/>
    </row>
    <row r="44591">
      <c r="B44591" s="17" t="s">
        <v>477</v>
      </c>
      <c r="K44591" s="18"/>
    </row>
    <row r="44592">
      <c r="B44592" s="17" t="s">
        <v>477</v>
      </c>
      <c r="K44592" s="18"/>
    </row>
    <row r="44593">
      <c r="B44593" s="17" t="s">
        <v>477</v>
      </c>
      <c r="K44593" s="18"/>
    </row>
    <row r="44594">
      <c r="B44594" s="17" t="s">
        <v>477</v>
      </c>
      <c r="K44594" s="18"/>
    </row>
    <row r="44595">
      <c r="B44595" s="17" t="s">
        <v>477</v>
      </c>
      <c r="K44595" s="18"/>
    </row>
    <row r="44596">
      <c r="B44596" s="17" t="s">
        <v>477</v>
      </c>
      <c r="K44596" s="18"/>
    </row>
    <row r="44597">
      <c r="B44597" s="17" t="s">
        <v>477</v>
      </c>
      <c r="K44597" s="18"/>
    </row>
    <row r="44598">
      <c r="B44598" s="17" t="s">
        <v>477</v>
      </c>
      <c r="K44598" s="18"/>
    </row>
    <row r="44599">
      <c r="B44599" s="17" t="s">
        <v>477</v>
      </c>
      <c r="K44599" s="18"/>
    </row>
    <row r="44600">
      <c r="B44600" s="17" t="s">
        <v>477</v>
      </c>
      <c r="K44600" s="18"/>
    </row>
    <row r="44601">
      <c r="B44601" s="17" t="s">
        <v>477</v>
      </c>
      <c r="K44601" s="18"/>
    </row>
    <row r="44602">
      <c r="B44602" s="17" t="s">
        <v>477</v>
      </c>
      <c r="K44602" s="18"/>
    </row>
    <row r="44603">
      <c r="B44603" s="17" t="s">
        <v>477</v>
      </c>
      <c r="K44603" s="18"/>
    </row>
    <row r="44604">
      <c r="B44604" s="17" t="s">
        <v>477</v>
      </c>
      <c r="K44604" s="18"/>
    </row>
    <row r="44605">
      <c r="B44605" s="17" t="s">
        <v>477</v>
      </c>
      <c r="K44605" s="18"/>
    </row>
    <row r="44606">
      <c r="B44606" s="17" t="s">
        <v>477</v>
      </c>
      <c r="K44606" s="18"/>
    </row>
    <row r="44607">
      <c r="B44607" s="17" t="s">
        <v>477</v>
      </c>
      <c r="K44607" s="18"/>
    </row>
    <row r="44608">
      <c r="B44608" s="17" t="s">
        <v>477</v>
      </c>
      <c r="K44608" s="18"/>
    </row>
    <row r="44609">
      <c r="B44609" s="17" t="s">
        <v>477</v>
      </c>
      <c r="K44609" s="18"/>
    </row>
    <row r="44610">
      <c r="B44610" s="17" t="s">
        <v>477</v>
      </c>
      <c r="K44610" s="18"/>
    </row>
    <row r="44611">
      <c r="B44611" s="17" t="s">
        <v>477</v>
      </c>
      <c r="K44611" s="18"/>
    </row>
    <row r="44612">
      <c r="B44612" s="17" t="s">
        <v>477</v>
      </c>
      <c r="K44612" s="18"/>
    </row>
    <row r="44613">
      <c r="B44613" s="17" t="s">
        <v>477</v>
      </c>
      <c r="K44613" s="18"/>
    </row>
    <row r="44614">
      <c r="B44614" s="17" t="s">
        <v>477</v>
      </c>
      <c r="K44614" s="18"/>
    </row>
    <row r="44615">
      <c r="B44615" s="17" t="s">
        <v>477</v>
      </c>
      <c r="K44615" s="18"/>
    </row>
    <row r="44616">
      <c r="B44616" s="17" t="s">
        <v>477</v>
      </c>
      <c r="K44616" s="18"/>
    </row>
    <row r="44617">
      <c r="B44617" s="17" t="s">
        <v>477</v>
      </c>
      <c r="K44617" s="18"/>
    </row>
    <row r="44618">
      <c r="B44618" s="17" t="s">
        <v>477</v>
      </c>
      <c r="K44618" s="18"/>
    </row>
    <row r="44619">
      <c r="B44619" s="17" t="s">
        <v>477</v>
      </c>
      <c r="K44619" s="18"/>
    </row>
    <row r="44620">
      <c r="B44620" s="17" t="s">
        <v>477</v>
      </c>
      <c r="K44620" s="18"/>
    </row>
    <row r="44621">
      <c r="B44621" s="17" t="s">
        <v>477</v>
      </c>
      <c r="K44621" s="18"/>
    </row>
    <row r="44622">
      <c r="B44622" s="17" t="s">
        <v>477</v>
      </c>
      <c r="K44622" s="18"/>
    </row>
    <row r="44623">
      <c r="B44623" s="17" t="s">
        <v>477</v>
      </c>
      <c r="K44623" s="18"/>
    </row>
    <row r="44624">
      <c r="B44624" s="17" t="s">
        <v>477</v>
      </c>
      <c r="K44624" s="18"/>
    </row>
    <row r="44625">
      <c r="B44625" s="17" t="s">
        <v>477</v>
      </c>
      <c r="K44625" s="18"/>
    </row>
    <row r="44626">
      <c r="B44626" s="17" t="s">
        <v>477</v>
      </c>
      <c r="K44626" s="18"/>
    </row>
    <row r="44627">
      <c r="B44627" s="17" t="s">
        <v>477</v>
      </c>
      <c r="K44627" s="18"/>
    </row>
    <row r="44628">
      <c r="B44628" s="17" t="s">
        <v>477</v>
      </c>
      <c r="K44628" s="18"/>
    </row>
    <row r="44629">
      <c r="B44629" s="17" t="s">
        <v>477</v>
      </c>
      <c r="K44629" s="18"/>
    </row>
    <row r="44630">
      <c r="B44630" s="17" t="s">
        <v>477</v>
      </c>
      <c r="K44630" s="18"/>
    </row>
    <row r="44631">
      <c r="B44631" s="17" t="s">
        <v>477</v>
      </c>
      <c r="K44631" s="18"/>
    </row>
    <row r="44632">
      <c r="B44632" s="17" t="s">
        <v>477</v>
      </c>
      <c r="K44632" s="18"/>
    </row>
    <row r="44633">
      <c r="B44633" s="17" t="s">
        <v>477</v>
      </c>
      <c r="K44633" s="18"/>
    </row>
    <row r="44634">
      <c r="B44634" s="17" t="s">
        <v>477</v>
      </c>
      <c r="K44634" s="18"/>
    </row>
    <row r="44635">
      <c r="B44635" s="17" t="s">
        <v>477</v>
      </c>
      <c r="K44635" s="18"/>
    </row>
    <row r="44636">
      <c r="B44636" s="17" t="s">
        <v>477</v>
      </c>
      <c r="K44636" s="18"/>
    </row>
    <row r="44637">
      <c r="B44637" s="17" t="s">
        <v>477</v>
      </c>
      <c r="K44637" s="18"/>
    </row>
    <row r="44638">
      <c r="B44638" s="17" t="s">
        <v>477</v>
      </c>
      <c r="K44638" s="18"/>
    </row>
    <row r="44639">
      <c r="B44639" s="17" t="s">
        <v>477</v>
      </c>
      <c r="K44639" s="18"/>
    </row>
    <row r="44640">
      <c r="B44640" s="17" t="s">
        <v>477</v>
      </c>
      <c r="K44640" s="18"/>
    </row>
    <row r="44641">
      <c r="B44641" s="17" t="s">
        <v>477</v>
      </c>
      <c r="K44641" s="18"/>
    </row>
    <row r="44642">
      <c r="B44642" s="17" t="s">
        <v>477</v>
      </c>
      <c r="K44642" s="18"/>
    </row>
    <row r="44643">
      <c r="B44643" s="17" t="s">
        <v>477</v>
      </c>
      <c r="K44643" s="18"/>
    </row>
    <row r="44644">
      <c r="B44644" s="17" t="s">
        <v>477</v>
      </c>
      <c r="K44644" s="18"/>
    </row>
    <row r="44645">
      <c r="B44645" s="17" t="s">
        <v>477</v>
      </c>
      <c r="K44645" s="18"/>
    </row>
    <row r="44646">
      <c r="B44646" s="17" t="s">
        <v>477</v>
      </c>
      <c r="K44646" s="18"/>
    </row>
    <row r="44647">
      <c r="B44647" s="17" t="s">
        <v>477</v>
      </c>
      <c r="K44647" s="18"/>
    </row>
    <row r="44648">
      <c r="B44648" s="17" t="s">
        <v>477</v>
      </c>
      <c r="K44648" s="18"/>
    </row>
    <row r="44649">
      <c r="B44649" s="17" t="s">
        <v>477</v>
      </c>
      <c r="K44649" s="18"/>
    </row>
    <row r="44650">
      <c r="B44650" s="17" t="s">
        <v>477</v>
      </c>
      <c r="K44650" s="18"/>
    </row>
    <row r="44651">
      <c r="B44651" s="17" t="s">
        <v>477</v>
      </c>
      <c r="K44651" s="18"/>
    </row>
    <row r="44652">
      <c r="B44652" s="17" t="s">
        <v>477</v>
      </c>
      <c r="K44652" s="18"/>
    </row>
    <row r="44653">
      <c r="B44653" s="17" t="s">
        <v>477</v>
      </c>
      <c r="K44653" s="18"/>
    </row>
    <row r="44654">
      <c r="B44654" s="17" t="s">
        <v>477</v>
      </c>
      <c r="K44654" s="18"/>
    </row>
    <row r="44655">
      <c r="B44655" s="17" t="s">
        <v>477</v>
      </c>
      <c r="K44655" s="18"/>
    </row>
    <row r="44656">
      <c r="B44656" s="17" t="s">
        <v>477</v>
      </c>
      <c r="K44656" s="18"/>
    </row>
    <row r="44657">
      <c r="B44657" s="17" t="s">
        <v>477</v>
      </c>
      <c r="K44657" s="18"/>
    </row>
    <row r="44658">
      <c r="B44658" s="17" t="s">
        <v>477</v>
      </c>
      <c r="K44658" s="18"/>
    </row>
    <row r="44659">
      <c r="B44659" s="17" t="s">
        <v>477</v>
      </c>
      <c r="K44659" s="18"/>
    </row>
    <row r="44660">
      <c r="B44660" s="17" t="s">
        <v>477</v>
      </c>
      <c r="K44660" s="18"/>
    </row>
    <row r="44661">
      <c r="B44661" s="17" t="s">
        <v>477</v>
      </c>
      <c r="K44661" s="18"/>
    </row>
    <row r="44662">
      <c r="B44662" s="17" t="s">
        <v>477</v>
      </c>
      <c r="K44662" s="18"/>
    </row>
    <row r="44663">
      <c r="B44663" s="17" t="s">
        <v>477</v>
      </c>
      <c r="K44663" s="18"/>
    </row>
    <row r="44664">
      <c r="B44664" s="17" t="s">
        <v>477</v>
      </c>
      <c r="K44664" s="18"/>
    </row>
    <row r="44665">
      <c r="B44665" s="17" t="s">
        <v>477</v>
      </c>
      <c r="K44665" s="18"/>
    </row>
    <row r="44666">
      <c r="B44666" s="17" t="s">
        <v>477</v>
      </c>
      <c r="K44666" s="18"/>
    </row>
    <row r="44667">
      <c r="B44667" s="17" t="s">
        <v>477</v>
      </c>
      <c r="K44667" s="18"/>
    </row>
    <row r="44668">
      <c r="B44668" s="17" t="s">
        <v>477</v>
      </c>
      <c r="K44668" s="18"/>
    </row>
    <row r="44669">
      <c r="B44669" s="17" t="s">
        <v>477</v>
      </c>
      <c r="K44669" s="18"/>
    </row>
    <row r="44670">
      <c r="B44670" s="17" t="s">
        <v>477</v>
      </c>
      <c r="K44670" s="18"/>
    </row>
    <row r="44671">
      <c r="B44671" s="17" t="s">
        <v>477</v>
      </c>
      <c r="K44671" s="18"/>
    </row>
    <row r="44672">
      <c r="B44672" s="17" t="s">
        <v>477</v>
      </c>
      <c r="K44672" s="18"/>
    </row>
    <row r="44673">
      <c r="B44673" s="17" t="s">
        <v>477</v>
      </c>
      <c r="K44673" s="18"/>
    </row>
    <row r="44674">
      <c r="B44674" s="17" t="s">
        <v>477</v>
      </c>
      <c r="K44674" s="18"/>
    </row>
    <row r="44675">
      <c r="B44675" s="17" t="s">
        <v>477</v>
      </c>
      <c r="K44675" s="18"/>
    </row>
    <row r="44676">
      <c r="B44676" s="17" t="s">
        <v>477</v>
      </c>
      <c r="K44676" s="18"/>
    </row>
    <row r="44677">
      <c r="B44677" s="17" t="s">
        <v>477</v>
      </c>
      <c r="K44677" s="18"/>
    </row>
    <row r="44678">
      <c r="B44678" s="17" t="s">
        <v>477</v>
      </c>
      <c r="K44678" s="18"/>
    </row>
    <row r="44679">
      <c r="B44679" s="17" t="s">
        <v>477</v>
      </c>
      <c r="K44679" s="18"/>
    </row>
    <row r="44680">
      <c r="B44680" s="17" t="s">
        <v>477</v>
      </c>
      <c r="K44680" s="18"/>
    </row>
    <row r="44681">
      <c r="B44681" s="17" t="s">
        <v>477</v>
      </c>
      <c r="K44681" s="18"/>
    </row>
    <row r="44682">
      <c r="B44682" s="17" t="s">
        <v>477</v>
      </c>
      <c r="K44682" s="18"/>
    </row>
    <row r="44683">
      <c r="B44683" s="17" t="s">
        <v>477</v>
      </c>
      <c r="K44683" s="18"/>
    </row>
    <row r="44684">
      <c r="B44684" s="17" t="s">
        <v>477</v>
      </c>
      <c r="K44684" s="18"/>
    </row>
    <row r="44685">
      <c r="B44685" s="17" t="s">
        <v>477</v>
      </c>
      <c r="K44685" s="18"/>
    </row>
    <row r="44686">
      <c r="B44686" s="17" t="s">
        <v>477</v>
      </c>
      <c r="K44686" s="18"/>
    </row>
    <row r="44687">
      <c r="B44687" s="17" t="s">
        <v>477</v>
      </c>
      <c r="K44687" s="18"/>
    </row>
    <row r="44688">
      <c r="B44688" s="17" t="s">
        <v>477</v>
      </c>
      <c r="K44688" s="18"/>
    </row>
    <row r="44689">
      <c r="B44689" s="17" t="s">
        <v>477</v>
      </c>
      <c r="K44689" s="18"/>
    </row>
    <row r="44690">
      <c r="B44690" s="17" t="s">
        <v>477</v>
      </c>
      <c r="K44690" s="18"/>
    </row>
    <row r="44691">
      <c r="B44691" s="17" t="s">
        <v>477</v>
      </c>
      <c r="K44691" s="18"/>
    </row>
    <row r="44692">
      <c r="B44692" s="17" t="s">
        <v>477</v>
      </c>
      <c r="K44692" s="18"/>
    </row>
    <row r="44693">
      <c r="B44693" s="17" t="s">
        <v>477</v>
      </c>
      <c r="K44693" s="18"/>
    </row>
    <row r="44694">
      <c r="B44694" s="17" t="s">
        <v>477</v>
      </c>
      <c r="K44694" s="18"/>
    </row>
    <row r="44695">
      <c r="B44695" s="17" t="s">
        <v>477</v>
      </c>
      <c r="K44695" s="18"/>
    </row>
    <row r="44696">
      <c r="B44696" s="17" t="s">
        <v>477</v>
      </c>
      <c r="K44696" s="18"/>
    </row>
    <row r="44697">
      <c r="B44697" s="17" t="s">
        <v>477</v>
      </c>
      <c r="K44697" s="18"/>
    </row>
    <row r="44698">
      <c r="B44698" s="17" t="s">
        <v>477</v>
      </c>
      <c r="K44698" s="18"/>
    </row>
    <row r="44699">
      <c r="B44699" s="17" t="s">
        <v>477</v>
      </c>
      <c r="K44699" s="18"/>
    </row>
    <row r="44700">
      <c r="B44700" s="17" t="s">
        <v>477</v>
      </c>
      <c r="K44700" s="18"/>
    </row>
    <row r="44701">
      <c r="B44701" s="17" t="s">
        <v>477</v>
      </c>
      <c r="K44701" s="18"/>
    </row>
    <row r="44702">
      <c r="B44702" s="17" t="s">
        <v>477</v>
      </c>
      <c r="K44702" s="18"/>
    </row>
    <row r="44703">
      <c r="B44703" s="17" t="s">
        <v>477</v>
      </c>
      <c r="K44703" s="18"/>
    </row>
    <row r="44704">
      <c r="B44704" s="17" t="s">
        <v>477</v>
      </c>
      <c r="K44704" s="18"/>
    </row>
    <row r="44705">
      <c r="B44705" s="17" t="s">
        <v>477</v>
      </c>
      <c r="K44705" s="18"/>
    </row>
    <row r="44706">
      <c r="B44706" s="17" t="s">
        <v>477</v>
      </c>
      <c r="K44706" s="18"/>
    </row>
    <row r="44707">
      <c r="B44707" s="17" t="s">
        <v>477</v>
      </c>
      <c r="K44707" s="18"/>
    </row>
    <row r="44708">
      <c r="B44708" s="17" t="s">
        <v>477</v>
      </c>
      <c r="K44708" s="18"/>
    </row>
    <row r="44709">
      <c r="B44709" s="17" t="s">
        <v>477</v>
      </c>
      <c r="K44709" s="18"/>
    </row>
    <row r="44710">
      <c r="B44710" s="17" t="s">
        <v>477</v>
      </c>
      <c r="K44710" s="18"/>
    </row>
    <row r="44711">
      <c r="B44711" s="17" t="s">
        <v>477</v>
      </c>
      <c r="K44711" s="18"/>
    </row>
    <row r="44712">
      <c r="B44712" s="17" t="s">
        <v>477</v>
      </c>
      <c r="K44712" s="18"/>
    </row>
    <row r="44713">
      <c r="B44713" s="17" t="s">
        <v>477</v>
      </c>
      <c r="K44713" s="18"/>
    </row>
    <row r="44714">
      <c r="B44714" s="17" t="s">
        <v>477</v>
      </c>
      <c r="K44714" s="18"/>
    </row>
    <row r="44715">
      <c r="B44715" s="17" t="s">
        <v>477</v>
      </c>
      <c r="K44715" s="18"/>
    </row>
    <row r="44716">
      <c r="B44716" s="17" t="s">
        <v>477</v>
      </c>
      <c r="K44716" s="18"/>
    </row>
    <row r="44717">
      <c r="B44717" s="17" t="s">
        <v>477</v>
      </c>
      <c r="K44717" s="18"/>
    </row>
    <row r="44718">
      <c r="B44718" s="17" t="s">
        <v>477</v>
      </c>
      <c r="K44718" s="18"/>
    </row>
    <row r="44719">
      <c r="B44719" s="17" t="s">
        <v>477</v>
      </c>
      <c r="K44719" s="18"/>
    </row>
    <row r="44720">
      <c r="B44720" s="17" t="s">
        <v>477</v>
      </c>
      <c r="K44720" s="18"/>
    </row>
    <row r="44721">
      <c r="B44721" s="17" t="s">
        <v>477</v>
      </c>
      <c r="K44721" s="18"/>
    </row>
    <row r="44722">
      <c r="B44722" s="17" t="s">
        <v>477</v>
      </c>
      <c r="K44722" s="18"/>
    </row>
    <row r="44723">
      <c r="B44723" s="17" t="s">
        <v>477</v>
      </c>
      <c r="K44723" s="18"/>
    </row>
    <row r="44724">
      <c r="B44724" s="17" t="s">
        <v>477</v>
      </c>
      <c r="K44724" s="18"/>
    </row>
    <row r="44725">
      <c r="B44725" s="17" t="s">
        <v>477</v>
      </c>
      <c r="K44725" s="18"/>
    </row>
    <row r="44726">
      <c r="B44726" s="17" t="s">
        <v>477</v>
      </c>
      <c r="K44726" s="18"/>
    </row>
    <row r="44727">
      <c r="B44727" s="17" t="s">
        <v>477</v>
      </c>
      <c r="K44727" s="18"/>
    </row>
    <row r="44728">
      <c r="B44728" s="17" t="s">
        <v>477</v>
      </c>
      <c r="K44728" s="18"/>
    </row>
    <row r="44729">
      <c r="B44729" s="17" t="s">
        <v>477</v>
      </c>
      <c r="K44729" s="18"/>
    </row>
    <row r="44730">
      <c r="B44730" s="17" t="s">
        <v>477</v>
      </c>
      <c r="K44730" s="18"/>
    </row>
    <row r="44731">
      <c r="B44731" s="17" t="s">
        <v>477</v>
      </c>
      <c r="K44731" s="18"/>
    </row>
    <row r="44732">
      <c r="B44732" s="17" t="s">
        <v>477</v>
      </c>
      <c r="K44732" s="18"/>
    </row>
    <row r="44733">
      <c r="B44733" s="17" t="s">
        <v>477</v>
      </c>
      <c r="K44733" s="18"/>
    </row>
    <row r="44734">
      <c r="B44734" s="17" t="s">
        <v>477</v>
      </c>
      <c r="K44734" s="18"/>
    </row>
    <row r="44735">
      <c r="B44735" s="17" t="s">
        <v>477</v>
      </c>
      <c r="K44735" s="18"/>
    </row>
    <row r="44736">
      <c r="B44736" s="17" t="s">
        <v>477</v>
      </c>
      <c r="K44736" s="18"/>
    </row>
    <row r="44737">
      <c r="B44737" s="17" t="s">
        <v>477</v>
      </c>
      <c r="K44737" s="18"/>
    </row>
    <row r="44738">
      <c r="B44738" s="17" t="s">
        <v>477</v>
      </c>
      <c r="K44738" s="18"/>
    </row>
    <row r="44739">
      <c r="B44739" s="17" t="s">
        <v>477</v>
      </c>
      <c r="K44739" s="18"/>
    </row>
    <row r="44740">
      <c r="B44740" s="17" t="s">
        <v>477</v>
      </c>
      <c r="K44740" s="18"/>
    </row>
    <row r="44741">
      <c r="B44741" s="17" t="s">
        <v>477</v>
      </c>
      <c r="K44741" s="18"/>
    </row>
    <row r="44742">
      <c r="B44742" s="17" t="s">
        <v>477</v>
      </c>
      <c r="K44742" s="18"/>
    </row>
    <row r="44743">
      <c r="B44743" s="17" t="s">
        <v>477</v>
      </c>
      <c r="K44743" s="18"/>
    </row>
    <row r="44744">
      <c r="B44744" s="17" t="s">
        <v>477</v>
      </c>
      <c r="K44744" s="18"/>
    </row>
    <row r="44745">
      <c r="B44745" s="17" t="s">
        <v>477</v>
      </c>
      <c r="K44745" s="18"/>
    </row>
    <row r="44746">
      <c r="B44746" s="17" t="s">
        <v>477</v>
      </c>
      <c r="K44746" s="18"/>
    </row>
    <row r="44747">
      <c r="B44747" s="17" t="s">
        <v>477</v>
      </c>
      <c r="K44747" s="18"/>
    </row>
    <row r="44748">
      <c r="B44748" s="17" t="s">
        <v>477</v>
      </c>
      <c r="K44748" s="18"/>
    </row>
    <row r="44749">
      <c r="B44749" s="17" t="s">
        <v>477</v>
      </c>
      <c r="K44749" s="18"/>
    </row>
    <row r="44750">
      <c r="B44750" s="17" t="s">
        <v>477</v>
      </c>
      <c r="K44750" s="18"/>
    </row>
    <row r="44751">
      <c r="B44751" s="17" t="s">
        <v>477</v>
      </c>
      <c r="K44751" s="18"/>
    </row>
    <row r="44752">
      <c r="B44752" s="17" t="s">
        <v>477</v>
      </c>
      <c r="K44752" s="18"/>
    </row>
    <row r="44753">
      <c r="B44753" s="17" t="s">
        <v>477</v>
      </c>
      <c r="K44753" s="18"/>
    </row>
    <row r="44754">
      <c r="B44754" s="17" t="s">
        <v>477</v>
      </c>
      <c r="K44754" s="18"/>
    </row>
    <row r="44755">
      <c r="B44755" s="17" t="s">
        <v>477</v>
      </c>
      <c r="K44755" s="18"/>
    </row>
    <row r="44756">
      <c r="B44756" s="17" t="s">
        <v>477</v>
      </c>
      <c r="K44756" s="18"/>
    </row>
    <row r="44757">
      <c r="B44757" s="17" t="s">
        <v>477</v>
      </c>
      <c r="K44757" s="18"/>
    </row>
    <row r="44758">
      <c r="B44758" s="17" t="s">
        <v>477</v>
      </c>
      <c r="K44758" s="18"/>
    </row>
    <row r="44759">
      <c r="B44759" s="17" t="s">
        <v>477</v>
      </c>
      <c r="K44759" s="18"/>
    </row>
    <row r="44760">
      <c r="B44760" s="17" t="s">
        <v>477</v>
      </c>
      <c r="K44760" s="18"/>
    </row>
    <row r="44761">
      <c r="B44761" s="17" t="s">
        <v>477</v>
      </c>
      <c r="K44761" s="18"/>
    </row>
    <row r="44762">
      <c r="B44762" s="17" t="s">
        <v>477</v>
      </c>
      <c r="K44762" s="18"/>
    </row>
    <row r="44763">
      <c r="B44763" s="17" t="s">
        <v>477</v>
      </c>
      <c r="K44763" s="18"/>
    </row>
    <row r="44764">
      <c r="B44764" s="17" t="s">
        <v>477</v>
      </c>
      <c r="K44764" s="18"/>
    </row>
    <row r="44765">
      <c r="B44765" s="17" t="s">
        <v>477</v>
      </c>
      <c r="K44765" s="18"/>
    </row>
    <row r="44766">
      <c r="B44766" s="17" t="s">
        <v>477</v>
      </c>
      <c r="K44766" s="18"/>
    </row>
    <row r="44767">
      <c r="B44767" s="17" t="s">
        <v>477</v>
      </c>
      <c r="K44767" s="18"/>
    </row>
    <row r="44768">
      <c r="B44768" s="17" t="s">
        <v>477</v>
      </c>
      <c r="K44768" s="18"/>
    </row>
    <row r="44769">
      <c r="B44769" s="17" t="s">
        <v>477</v>
      </c>
      <c r="K44769" s="18"/>
    </row>
    <row r="44770">
      <c r="B44770" s="17" t="s">
        <v>477</v>
      </c>
      <c r="K44770" s="18"/>
    </row>
    <row r="44771">
      <c r="B44771" s="17" t="s">
        <v>477</v>
      </c>
      <c r="K44771" s="18"/>
    </row>
    <row r="44772">
      <c r="B44772" s="17" t="s">
        <v>477</v>
      </c>
      <c r="K44772" s="18"/>
    </row>
    <row r="44773">
      <c r="B44773" s="17" t="s">
        <v>477</v>
      </c>
      <c r="K44773" s="18"/>
    </row>
    <row r="44774">
      <c r="B44774" s="17" t="s">
        <v>477</v>
      </c>
      <c r="K44774" s="18"/>
    </row>
    <row r="44775">
      <c r="B44775" s="17" t="s">
        <v>477</v>
      </c>
      <c r="K44775" s="18"/>
    </row>
    <row r="44776">
      <c r="B44776" s="17" t="s">
        <v>477</v>
      </c>
      <c r="K44776" s="18"/>
    </row>
    <row r="44777">
      <c r="B44777" s="17" t="s">
        <v>477</v>
      </c>
      <c r="K44777" s="18"/>
    </row>
    <row r="44778">
      <c r="B44778" s="17" t="s">
        <v>477</v>
      </c>
      <c r="K44778" s="18"/>
    </row>
    <row r="44779">
      <c r="B44779" s="17" t="s">
        <v>477</v>
      </c>
      <c r="K44779" s="18"/>
    </row>
    <row r="44780">
      <c r="B44780" s="17" t="s">
        <v>477</v>
      </c>
      <c r="K44780" s="18"/>
    </row>
    <row r="44781">
      <c r="B44781" s="17" t="s">
        <v>477</v>
      </c>
      <c r="K44781" s="18"/>
    </row>
    <row r="44782">
      <c r="B44782" s="17" t="s">
        <v>477</v>
      </c>
      <c r="K44782" s="18"/>
    </row>
    <row r="44783">
      <c r="B44783" s="17" t="s">
        <v>477</v>
      </c>
      <c r="K44783" s="18"/>
    </row>
    <row r="44784">
      <c r="B44784" s="17" t="s">
        <v>477</v>
      </c>
      <c r="K44784" s="18"/>
    </row>
    <row r="44785">
      <c r="B44785" s="17" t="s">
        <v>477</v>
      </c>
      <c r="K44785" s="18"/>
    </row>
    <row r="44786">
      <c r="B44786" s="17" t="s">
        <v>477</v>
      </c>
      <c r="K44786" s="18"/>
    </row>
    <row r="44787">
      <c r="B44787" s="17" t="s">
        <v>477</v>
      </c>
      <c r="K44787" s="18"/>
    </row>
    <row r="44788">
      <c r="B44788" s="17" t="s">
        <v>477</v>
      </c>
      <c r="K44788" s="18"/>
    </row>
    <row r="44789">
      <c r="B44789" s="17" t="s">
        <v>477</v>
      </c>
      <c r="K44789" s="18"/>
    </row>
    <row r="44790">
      <c r="B44790" s="17" t="s">
        <v>477</v>
      </c>
      <c r="K44790" s="18"/>
    </row>
    <row r="44791">
      <c r="B44791" s="17" t="s">
        <v>477</v>
      </c>
      <c r="K44791" s="18"/>
    </row>
    <row r="44792">
      <c r="B44792" s="17" t="s">
        <v>477</v>
      </c>
      <c r="K44792" s="18"/>
    </row>
    <row r="44793">
      <c r="B44793" s="17" t="s">
        <v>477</v>
      </c>
      <c r="K44793" s="18"/>
    </row>
    <row r="44794">
      <c r="B44794" s="17" t="s">
        <v>477</v>
      </c>
      <c r="K44794" s="18"/>
    </row>
    <row r="44795">
      <c r="B44795" s="17" t="s">
        <v>477</v>
      </c>
      <c r="K44795" s="18"/>
    </row>
    <row r="44796">
      <c r="B44796" s="17" t="s">
        <v>477</v>
      </c>
      <c r="K44796" s="18"/>
    </row>
    <row r="44797">
      <c r="B44797" s="17" t="s">
        <v>477</v>
      </c>
      <c r="K44797" s="18"/>
    </row>
    <row r="44798">
      <c r="B44798" s="17" t="s">
        <v>477</v>
      </c>
      <c r="K44798" s="18"/>
    </row>
    <row r="44799">
      <c r="B44799" s="17" t="s">
        <v>477</v>
      </c>
      <c r="K44799" s="18"/>
    </row>
    <row r="44800">
      <c r="B44800" s="17" t="s">
        <v>477</v>
      </c>
      <c r="K44800" s="18"/>
    </row>
    <row r="44801">
      <c r="B44801" s="17" t="s">
        <v>477</v>
      </c>
      <c r="K44801" s="18"/>
    </row>
    <row r="44802">
      <c r="B44802" s="17" t="s">
        <v>477</v>
      </c>
      <c r="K44802" s="18"/>
    </row>
    <row r="44803">
      <c r="B44803" s="17" t="s">
        <v>477</v>
      </c>
      <c r="K44803" s="18"/>
    </row>
    <row r="44804">
      <c r="B44804" s="17" t="s">
        <v>477</v>
      </c>
      <c r="K44804" s="18"/>
    </row>
    <row r="44805">
      <c r="B44805" s="17" t="s">
        <v>477</v>
      </c>
      <c r="K44805" s="18"/>
    </row>
    <row r="44806">
      <c r="B44806" s="17" t="s">
        <v>477</v>
      </c>
      <c r="K44806" s="18"/>
    </row>
    <row r="44807">
      <c r="B44807" s="17" t="s">
        <v>477</v>
      </c>
      <c r="K44807" s="18"/>
    </row>
    <row r="44808">
      <c r="B44808" s="17" t="s">
        <v>477</v>
      </c>
      <c r="K44808" s="18"/>
    </row>
    <row r="44809">
      <c r="B44809" s="17" t="s">
        <v>477</v>
      </c>
      <c r="K44809" s="18"/>
    </row>
    <row r="44810">
      <c r="B44810" s="17" t="s">
        <v>477</v>
      </c>
      <c r="K44810" s="18"/>
    </row>
    <row r="44811">
      <c r="B44811" s="17" t="s">
        <v>477</v>
      </c>
      <c r="K44811" s="18"/>
    </row>
    <row r="44812">
      <c r="B44812" s="17" t="s">
        <v>477</v>
      </c>
      <c r="K44812" s="18"/>
    </row>
    <row r="44813">
      <c r="B44813" s="17" t="s">
        <v>477</v>
      </c>
      <c r="K44813" s="18"/>
    </row>
    <row r="44814">
      <c r="B44814" s="17" t="s">
        <v>477</v>
      </c>
      <c r="K44814" s="18"/>
    </row>
    <row r="44815">
      <c r="B44815" s="17" t="s">
        <v>477</v>
      </c>
      <c r="K44815" s="18"/>
    </row>
    <row r="44816">
      <c r="B44816" s="17" t="s">
        <v>477</v>
      </c>
      <c r="K44816" s="18"/>
    </row>
    <row r="44817">
      <c r="B44817" s="17" t="s">
        <v>477</v>
      </c>
      <c r="K44817" s="18"/>
    </row>
    <row r="44818">
      <c r="B44818" s="17" t="s">
        <v>477</v>
      </c>
      <c r="K44818" s="18"/>
    </row>
    <row r="44819">
      <c r="B44819" s="17" t="s">
        <v>477</v>
      </c>
      <c r="K44819" s="18"/>
    </row>
    <row r="44820">
      <c r="B44820" s="17" t="s">
        <v>477</v>
      </c>
      <c r="K44820" s="18"/>
    </row>
    <row r="44821">
      <c r="B44821" s="17" t="s">
        <v>477</v>
      </c>
      <c r="K44821" s="18"/>
    </row>
    <row r="44822">
      <c r="B44822" s="17" t="s">
        <v>477</v>
      </c>
      <c r="K44822" s="18"/>
    </row>
    <row r="44823">
      <c r="B44823" s="17" t="s">
        <v>477</v>
      </c>
      <c r="K44823" s="18"/>
    </row>
    <row r="44824">
      <c r="B44824" s="17" t="s">
        <v>477</v>
      </c>
      <c r="K44824" s="18"/>
    </row>
    <row r="44825">
      <c r="B44825" s="17" t="s">
        <v>477</v>
      </c>
      <c r="K44825" s="18"/>
    </row>
    <row r="44826">
      <c r="B44826" s="17" t="s">
        <v>477</v>
      </c>
      <c r="K44826" s="18"/>
    </row>
    <row r="44827">
      <c r="B44827" s="17" t="s">
        <v>477</v>
      </c>
      <c r="K44827" s="18"/>
    </row>
    <row r="44828">
      <c r="B44828" s="17" t="s">
        <v>477</v>
      </c>
      <c r="K44828" s="18"/>
    </row>
    <row r="44829">
      <c r="B44829" s="17" t="s">
        <v>477</v>
      </c>
      <c r="K44829" s="18"/>
    </row>
    <row r="44830">
      <c r="B44830" s="17" t="s">
        <v>477</v>
      </c>
      <c r="K44830" s="18"/>
    </row>
    <row r="44831">
      <c r="B44831" s="17" t="s">
        <v>477</v>
      </c>
      <c r="K44831" s="18"/>
    </row>
    <row r="44832">
      <c r="B44832" s="17" t="s">
        <v>477</v>
      </c>
      <c r="K44832" s="18"/>
    </row>
    <row r="44833">
      <c r="B44833" s="17" t="s">
        <v>477</v>
      </c>
      <c r="K44833" s="18"/>
    </row>
    <row r="44834">
      <c r="B44834" s="17" t="s">
        <v>477</v>
      </c>
      <c r="K44834" s="18"/>
    </row>
    <row r="44835">
      <c r="B44835" s="17" t="s">
        <v>477</v>
      </c>
      <c r="K44835" s="18"/>
    </row>
    <row r="44836">
      <c r="B44836" s="17" t="s">
        <v>477</v>
      </c>
      <c r="K44836" s="18"/>
    </row>
    <row r="44837">
      <c r="B44837" s="17" t="s">
        <v>477</v>
      </c>
      <c r="K44837" s="18"/>
    </row>
    <row r="44838">
      <c r="B44838" s="17" t="s">
        <v>477</v>
      </c>
      <c r="K44838" s="18"/>
    </row>
    <row r="44839">
      <c r="B44839" s="17" t="s">
        <v>477</v>
      </c>
      <c r="K44839" s="18"/>
    </row>
    <row r="44840">
      <c r="B44840" s="17" t="s">
        <v>477</v>
      </c>
      <c r="K44840" s="18"/>
    </row>
    <row r="44841">
      <c r="B44841" s="17" t="s">
        <v>477</v>
      </c>
      <c r="K44841" s="18"/>
    </row>
    <row r="44842">
      <c r="B44842" s="17" t="s">
        <v>477</v>
      </c>
      <c r="K44842" s="18"/>
    </row>
    <row r="44843">
      <c r="B44843" s="17" t="s">
        <v>477</v>
      </c>
      <c r="K44843" s="18"/>
    </row>
    <row r="44844">
      <c r="B44844" s="17" t="s">
        <v>477</v>
      </c>
      <c r="K44844" s="18"/>
    </row>
    <row r="44845">
      <c r="B44845" s="17" t="s">
        <v>477</v>
      </c>
      <c r="K44845" s="18"/>
    </row>
    <row r="44846">
      <c r="B44846" s="17" t="s">
        <v>477</v>
      </c>
      <c r="K44846" s="18"/>
    </row>
    <row r="44847">
      <c r="B44847" s="17" t="s">
        <v>477</v>
      </c>
      <c r="K44847" s="18"/>
    </row>
    <row r="44848">
      <c r="B44848" s="17" t="s">
        <v>477</v>
      </c>
      <c r="K44848" s="18"/>
    </row>
    <row r="44849">
      <c r="B44849" s="17" t="s">
        <v>477</v>
      </c>
      <c r="K44849" s="18"/>
    </row>
    <row r="44850">
      <c r="B44850" s="17" t="s">
        <v>477</v>
      </c>
      <c r="K44850" s="18"/>
    </row>
    <row r="44851">
      <c r="B44851" s="17" t="s">
        <v>477</v>
      </c>
      <c r="K44851" s="18"/>
    </row>
    <row r="44852">
      <c r="B44852" s="17" t="s">
        <v>477</v>
      </c>
      <c r="K44852" s="18"/>
    </row>
    <row r="44853">
      <c r="B44853" s="17" t="s">
        <v>477</v>
      </c>
      <c r="K44853" s="18"/>
    </row>
    <row r="44854">
      <c r="B44854" s="17" t="s">
        <v>477</v>
      </c>
      <c r="K44854" s="18"/>
    </row>
    <row r="44855">
      <c r="B44855" s="17" t="s">
        <v>477</v>
      </c>
      <c r="K44855" s="18"/>
    </row>
    <row r="44856">
      <c r="B44856" s="17" t="s">
        <v>477</v>
      </c>
      <c r="K44856" s="18"/>
    </row>
    <row r="44857">
      <c r="B44857" s="17" t="s">
        <v>477</v>
      </c>
      <c r="K44857" s="18"/>
    </row>
    <row r="44858">
      <c r="B44858" s="17" t="s">
        <v>477</v>
      </c>
      <c r="K44858" s="18"/>
    </row>
    <row r="44859">
      <c r="B44859" s="17" t="s">
        <v>477</v>
      </c>
      <c r="K44859" s="18"/>
    </row>
    <row r="44860">
      <c r="B44860" s="17" t="s">
        <v>477</v>
      </c>
      <c r="K44860" s="18"/>
    </row>
    <row r="44861">
      <c r="B44861" s="17" t="s">
        <v>477</v>
      </c>
      <c r="K44861" s="18"/>
    </row>
    <row r="44862">
      <c r="B44862" s="17" t="s">
        <v>477</v>
      </c>
      <c r="K44862" s="18"/>
    </row>
    <row r="44863">
      <c r="B44863" s="17" t="s">
        <v>477</v>
      </c>
      <c r="K44863" s="18"/>
    </row>
    <row r="44864">
      <c r="B44864" s="17" t="s">
        <v>477</v>
      </c>
      <c r="K44864" s="18"/>
    </row>
    <row r="44865">
      <c r="B44865" s="17" t="s">
        <v>477</v>
      </c>
      <c r="K44865" s="18"/>
    </row>
    <row r="44866">
      <c r="B44866" s="17" t="s">
        <v>477</v>
      </c>
      <c r="K44866" s="18"/>
    </row>
    <row r="44867">
      <c r="B44867" s="17" t="s">
        <v>477</v>
      </c>
      <c r="K44867" s="18"/>
    </row>
    <row r="44868">
      <c r="B44868" s="17" t="s">
        <v>477</v>
      </c>
      <c r="K44868" s="18"/>
    </row>
    <row r="44869">
      <c r="B44869" s="17" t="s">
        <v>477</v>
      </c>
      <c r="K44869" s="18"/>
    </row>
    <row r="44870">
      <c r="B44870" s="17" t="s">
        <v>477</v>
      </c>
      <c r="K44870" s="18"/>
    </row>
    <row r="44871">
      <c r="B44871" s="17" t="s">
        <v>477</v>
      </c>
      <c r="K44871" s="18"/>
    </row>
    <row r="44872">
      <c r="B44872" s="17" t="s">
        <v>477</v>
      </c>
      <c r="K44872" s="18"/>
    </row>
    <row r="44873">
      <c r="B44873" s="17" t="s">
        <v>477</v>
      </c>
      <c r="K44873" s="18"/>
    </row>
    <row r="44874">
      <c r="B44874" s="17" t="s">
        <v>477</v>
      </c>
      <c r="K44874" s="18"/>
    </row>
    <row r="44875">
      <c r="B44875" s="17" t="s">
        <v>477</v>
      </c>
      <c r="K44875" s="18"/>
    </row>
    <row r="44876">
      <c r="B44876" s="17" t="s">
        <v>477</v>
      </c>
      <c r="K44876" s="18"/>
    </row>
    <row r="44877">
      <c r="B44877" s="17" t="s">
        <v>477</v>
      </c>
      <c r="K44877" s="18"/>
    </row>
    <row r="44878">
      <c r="B44878" s="17" t="s">
        <v>477</v>
      </c>
      <c r="K44878" s="18"/>
    </row>
    <row r="44879">
      <c r="B44879" s="17" t="s">
        <v>477</v>
      </c>
      <c r="K44879" s="18"/>
    </row>
    <row r="44880">
      <c r="B44880" s="17" t="s">
        <v>477</v>
      </c>
      <c r="K44880" s="18"/>
    </row>
    <row r="44881">
      <c r="B44881" s="17" t="s">
        <v>477</v>
      </c>
      <c r="K44881" s="18"/>
    </row>
    <row r="44882">
      <c r="B44882" s="17" t="s">
        <v>477</v>
      </c>
      <c r="K44882" s="18"/>
    </row>
    <row r="44883">
      <c r="B44883" s="17" t="s">
        <v>477</v>
      </c>
      <c r="K44883" s="18"/>
    </row>
    <row r="44884">
      <c r="B44884" s="17" t="s">
        <v>477</v>
      </c>
      <c r="K44884" s="18"/>
    </row>
    <row r="44885">
      <c r="B44885" s="17" t="s">
        <v>477</v>
      </c>
      <c r="K44885" s="18"/>
    </row>
    <row r="44886">
      <c r="B44886" s="17" t="s">
        <v>477</v>
      </c>
      <c r="K44886" s="18"/>
    </row>
    <row r="44887">
      <c r="B44887" s="17" t="s">
        <v>477</v>
      </c>
      <c r="K44887" s="18"/>
    </row>
    <row r="44888">
      <c r="B44888" s="17" t="s">
        <v>477</v>
      </c>
      <c r="K44888" s="18"/>
    </row>
    <row r="44889">
      <c r="B44889" s="17" t="s">
        <v>477</v>
      </c>
      <c r="K44889" s="18"/>
    </row>
    <row r="44890">
      <c r="B44890" s="17" t="s">
        <v>477</v>
      </c>
      <c r="K44890" s="18"/>
    </row>
    <row r="44891">
      <c r="B44891" s="17" t="s">
        <v>477</v>
      </c>
      <c r="K44891" s="18"/>
    </row>
    <row r="44892">
      <c r="B44892" s="17" t="s">
        <v>477</v>
      </c>
      <c r="K44892" s="18"/>
    </row>
    <row r="44893">
      <c r="B44893" s="17" t="s">
        <v>477</v>
      </c>
      <c r="K44893" s="18"/>
    </row>
    <row r="44894">
      <c r="B44894" s="17" t="s">
        <v>477</v>
      </c>
      <c r="K44894" s="18"/>
    </row>
    <row r="44895">
      <c r="B44895" s="17" t="s">
        <v>477</v>
      </c>
      <c r="K44895" s="18"/>
    </row>
    <row r="44896">
      <c r="B44896" s="17" t="s">
        <v>477</v>
      </c>
      <c r="K44896" s="18"/>
    </row>
    <row r="44897">
      <c r="B44897" s="17" t="s">
        <v>477</v>
      </c>
      <c r="K44897" s="18"/>
    </row>
    <row r="44898">
      <c r="B44898" s="17" t="s">
        <v>477</v>
      </c>
      <c r="K44898" s="18"/>
    </row>
    <row r="44899">
      <c r="B44899" s="17" t="s">
        <v>477</v>
      </c>
      <c r="K44899" s="18"/>
    </row>
    <row r="44900">
      <c r="B44900" s="17" t="s">
        <v>477</v>
      </c>
      <c r="K44900" s="18"/>
    </row>
    <row r="44901">
      <c r="B44901" s="17" t="s">
        <v>477</v>
      </c>
      <c r="K44901" s="18"/>
    </row>
    <row r="44902">
      <c r="B44902" s="17" t="s">
        <v>477</v>
      </c>
      <c r="K44902" s="18"/>
    </row>
    <row r="44903">
      <c r="B44903" s="17" t="s">
        <v>477</v>
      </c>
      <c r="K44903" s="18"/>
    </row>
    <row r="44904">
      <c r="B44904" s="17" t="s">
        <v>477</v>
      </c>
      <c r="K44904" s="18"/>
    </row>
    <row r="44905">
      <c r="B44905" s="17" t="s">
        <v>477</v>
      </c>
      <c r="K44905" s="18"/>
    </row>
    <row r="44906">
      <c r="B44906" s="17" t="s">
        <v>477</v>
      </c>
      <c r="K44906" s="18"/>
    </row>
    <row r="44907">
      <c r="B44907" s="17" t="s">
        <v>477</v>
      </c>
      <c r="K44907" s="18"/>
    </row>
    <row r="44908">
      <c r="B44908" s="17" t="s">
        <v>477</v>
      </c>
      <c r="K44908" s="18"/>
    </row>
    <row r="44909">
      <c r="B44909" s="17" t="s">
        <v>477</v>
      </c>
      <c r="K44909" s="18"/>
    </row>
    <row r="44910">
      <c r="B44910" s="17" t="s">
        <v>477</v>
      </c>
      <c r="K44910" s="18"/>
    </row>
    <row r="44911">
      <c r="B44911" s="17" t="s">
        <v>477</v>
      </c>
      <c r="K44911" s="18"/>
    </row>
    <row r="44912">
      <c r="B44912" s="17" t="s">
        <v>477</v>
      </c>
      <c r="K44912" s="18"/>
    </row>
    <row r="44913">
      <c r="B44913" s="17" t="s">
        <v>477</v>
      </c>
      <c r="K44913" s="18"/>
    </row>
    <row r="44914">
      <c r="B44914" s="17" t="s">
        <v>477</v>
      </c>
      <c r="K44914" s="18"/>
    </row>
    <row r="44915">
      <c r="B44915" s="17" t="s">
        <v>477</v>
      </c>
      <c r="K44915" s="18"/>
    </row>
    <row r="44916">
      <c r="B44916" s="17" t="s">
        <v>477</v>
      </c>
      <c r="K44916" s="18"/>
    </row>
    <row r="44917">
      <c r="B44917" s="17" t="s">
        <v>477</v>
      </c>
      <c r="K44917" s="18"/>
    </row>
    <row r="44918">
      <c r="B44918" s="17" t="s">
        <v>477</v>
      </c>
      <c r="K44918" s="18"/>
    </row>
    <row r="44919">
      <c r="B44919" s="17" t="s">
        <v>477</v>
      </c>
      <c r="K44919" s="18"/>
    </row>
    <row r="44920">
      <c r="B44920" s="17" t="s">
        <v>477</v>
      </c>
      <c r="K44920" s="18"/>
    </row>
    <row r="44921">
      <c r="B44921" s="17" t="s">
        <v>477</v>
      </c>
      <c r="K44921" s="18"/>
    </row>
    <row r="44922">
      <c r="B44922" s="17" t="s">
        <v>477</v>
      </c>
      <c r="K44922" s="18"/>
    </row>
    <row r="44923">
      <c r="B44923" s="17" t="s">
        <v>477</v>
      </c>
      <c r="K44923" s="18"/>
    </row>
    <row r="44924">
      <c r="B44924" s="17" t="s">
        <v>477</v>
      </c>
      <c r="K44924" s="18"/>
    </row>
    <row r="44925">
      <c r="B44925" s="17" t="s">
        <v>477</v>
      </c>
      <c r="K44925" s="18"/>
    </row>
    <row r="44926">
      <c r="B44926" s="17" t="s">
        <v>477</v>
      </c>
      <c r="K44926" s="18"/>
    </row>
    <row r="44927">
      <c r="B44927" s="17" t="s">
        <v>477</v>
      </c>
      <c r="K44927" s="18"/>
    </row>
    <row r="44928">
      <c r="B44928" s="17" t="s">
        <v>477</v>
      </c>
      <c r="K44928" s="18"/>
    </row>
    <row r="44929">
      <c r="B44929" s="17" t="s">
        <v>477</v>
      </c>
      <c r="K44929" s="18"/>
    </row>
    <row r="44930">
      <c r="B44930" s="17" t="s">
        <v>477</v>
      </c>
      <c r="K44930" s="18"/>
    </row>
    <row r="44931">
      <c r="B44931" s="17" t="s">
        <v>477</v>
      </c>
      <c r="K44931" s="18"/>
    </row>
    <row r="44932">
      <c r="B44932" s="17" t="s">
        <v>477</v>
      </c>
      <c r="K44932" s="18"/>
    </row>
    <row r="44933">
      <c r="B44933" s="17" t="s">
        <v>477</v>
      </c>
      <c r="K44933" s="18"/>
    </row>
    <row r="44934">
      <c r="B44934" s="17" t="s">
        <v>477</v>
      </c>
      <c r="K44934" s="18"/>
    </row>
    <row r="44935">
      <c r="B44935" s="17" t="s">
        <v>477</v>
      </c>
      <c r="K44935" s="18"/>
    </row>
    <row r="44936">
      <c r="B44936" s="17" t="s">
        <v>477</v>
      </c>
      <c r="K44936" s="18"/>
    </row>
    <row r="44937">
      <c r="B44937" s="17" t="s">
        <v>477</v>
      </c>
      <c r="K44937" s="18"/>
    </row>
    <row r="44938">
      <c r="B44938" s="17" t="s">
        <v>477</v>
      </c>
      <c r="K44938" s="18"/>
    </row>
    <row r="44939">
      <c r="B44939" s="17" t="s">
        <v>477</v>
      </c>
      <c r="K44939" s="18"/>
    </row>
    <row r="44940">
      <c r="B44940" s="17" t="s">
        <v>477</v>
      </c>
      <c r="K44940" s="18"/>
    </row>
    <row r="44941">
      <c r="B44941" s="17" t="s">
        <v>477</v>
      </c>
      <c r="K44941" s="18"/>
    </row>
    <row r="44942">
      <c r="B44942" s="17" t="s">
        <v>477</v>
      </c>
      <c r="K44942" s="18"/>
    </row>
    <row r="44943">
      <c r="B44943" s="17" t="s">
        <v>477</v>
      </c>
      <c r="K44943" s="18"/>
    </row>
    <row r="44944">
      <c r="B44944" s="17" t="s">
        <v>477</v>
      </c>
      <c r="K44944" s="18"/>
    </row>
    <row r="44945">
      <c r="B44945" s="17" t="s">
        <v>477</v>
      </c>
      <c r="K44945" s="18"/>
    </row>
    <row r="44946">
      <c r="B44946" s="17" t="s">
        <v>477</v>
      </c>
      <c r="K44946" s="18"/>
    </row>
    <row r="44947">
      <c r="B44947" s="17" t="s">
        <v>477</v>
      </c>
      <c r="K44947" s="18"/>
    </row>
    <row r="44948">
      <c r="B44948" s="17" t="s">
        <v>477</v>
      </c>
      <c r="K44948" s="18"/>
    </row>
    <row r="44949">
      <c r="B44949" s="17" t="s">
        <v>477</v>
      </c>
      <c r="K44949" s="18"/>
    </row>
    <row r="44950">
      <c r="B44950" s="17" t="s">
        <v>477</v>
      </c>
      <c r="K44950" s="18"/>
    </row>
    <row r="44951">
      <c r="B44951" s="17" t="s">
        <v>477</v>
      </c>
      <c r="K44951" s="18"/>
    </row>
    <row r="44952">
      <c r="B44952" s="17" t="s">
        <v>477</v>
      </c>
      <c r="K44952" s="18"/>
    </row>
    <row r="44953">
      <c r="B44953" s="17" t="s">
        <v>477</v>
      </c>
      <c r="K44953" s="18"/>
    </row>
    <row r="44954">
      <c r="B44954" s="17" t="s">
        <v>477</v>
      </c>
      <c r="K44954" s="18"/>
    </row>
    <row r="44955">
      <c r="B44955" s="17" t="s">
        <v>477</v>
      </c>
      <c r="K44955" s="18"/>
    </row>
    <row r="44956">
      <c r="B44956" s="17" t="s">
        <v>477</v>
      </c>
      <c r="K44956" s="18"/>
    </row>
    <row r="44957">
      <c r="B44957" s="17" t="s">
        <v>477</v>
      </c>
      <c r="K44957" s="18"/>
    </row>
    <row r="44958">
      <c r="B44958" s="17" t="s">
        <v>477</v>
      </c>
      <c r="K44958" s="18"/>
    </row>
    <row r="44959">
      <c r="B44959" s="17" t="s">
        <v>477</v>
      </c>
      <c r="K44959" s="18"/>
    </row>
    <row r="44960">
      <c r="B44960" s="17" t="s">
        <v>477</v>
      </c>
      <c r="K44960" s="18"/>
    </row>
    <row r="44961">
      <c r="B44961" s="17" t="s">
        <v>477</v>
      </c>
      <c r="K44961" s="18"/>
    </row>
    <row r="44962">
      <c r="B44962" s="17" t="s">
        <v>477</v>
      </c>
      <c r="K44962" s="18"/>
    </row>
    <row r="44963">
      <c r="B44963" s="17" t="s">
        <v>477</v>
      </c>
      <c r="K44963" s="18"/>
    </row>
    <row r="44964">
      <c r="B44964" s="17" t="s">
        <v>477</v>
      </c>
      <c r="K44964" s="18"/>
    </row>
    <row r="44965">
      <c r="B44965" s="17" t="s">
        <v>477</v>
      </c>
      <c r="K44965" s="18"/>
    </row>
    <row r="44966">
      <c r="B44966" s="17" t="s">
        <v>477</v>
      </c>
      <c r="K44966" s="18"/>
    </row>
    <row r="44967">
      <c r="B44967" s="17" t="s">
        <v>477</v>
      </c>
      <c r="K44967" s="18"/>
    </row>
    <row r="44968">
      <c r="B44968" s="17" t="s">
        <v>477</v>
      </c>
      <c r="K44968" s="18"/>
    </row>
    <row r="44969">
      <c r="B44969" s="17" t="s">
        <v>477</v>
      </c>
      <c r="K44969" s="18"/>
    </row>
    <row r="44970">
      <c r="B44970" s="17" t="s">
        <v>477</v>
      </c>
      <c r="K44970" s="18"/>
    </row>
    <row r="44971">
      <c r="B44971" s="17" t="s">
        <v>477</v>
      </c>
      <c r="K44971" s="18"/>
    </row>
    <row r="44972">
      <c r="B44972" s="17" t="s">
        <v>477</v>
      </c>
      <c r="K44972" s="18"/>
    </row>
    <row r="44973">
      <c r="B44973" s="17" t="s">
        <v>477</v>
      </c>
      <c r="K44973" s="18"/>
    </row>
    <row r="44974">
      <c r="B44974" s="17" t="s">
        <v>477</v>
      </c>
      <c r="K44974" s="18"/>
    </row>
    <row r="44975">
      <c r="B44975" s="17" t="s">
        <v>477</v>
      </c>
      <c r="K44975" s="18"/>
    </row>
    <row r="44976">
      <c r="B44976" s="17" t="s">
        <v>477</v>
      </c>
      <c r="K44976" s="18"/>
    </row>
    <row r="44977">
      <c r="B44977" s="17" t="s">
        <v>477</v>
      </c>
      <c r="K44977" s="18"/>
    </row>
    <row r="44978">
      <c r="B44978" s="17" t="s">
        <v>477</v>
      </c>
      <c r="K44978" s="18"/>
    </row>
    <row r="44979">
      <c r="B44979" s="17" t="s">
        <v>477</v>
      </c>
      <c r="K44979" s="18"/>
    </row>
    <row r="44980">
      <c r="B44980" s="17" t="s">
        <v>477</v>
      </c>
      <c r="K44980" s="18"/>
    </row>
    <row r="44981">
      <c r="B44981" s="17" t="s">
        <v>477</v>
      </c>
      <c r="K44981" s="18"/>
    </row>
    <row r="44982">
      <c r="B44982" s="17" t="s">
        <v>477</v>
      </c>
      <c r="K44982" s="18"/>
    </row>
    <row r="44983">
      <c r="B44983" s="17" t="s">
        <v>477</v>
      </c>
      <c r="K44983" s="18"/>
    </row>
    <row r="44984">
      <c r="B44984" s="17" t="s">
        <v>477</v>
      </c>
      <c r="K44984" s="18"/>
    </row>
    <row r="44985">
      <c r="B44985" s="17" t="s">
        <v>477</v>
      </c>
      <c r="K44985" s="18"/>
    </row>
    <row r="44986">
      <c r="B44986" s="17" t="s">
        <v>477</v>
      </c>
      <c r="K44986" s="18"/>
    </row>
    <row r="44987">
      <c r="B44987" s="17" t="s">
        <v>477</v>
      </c>
      <c r="K44987" s="18"/>
    </row>
    <row r="44988">
      <c r="B44988" s="17" t="s">
        <v>477</v>
      </c>
      <c r="K44988" s="18"/>
    </row>
    <row r="44989">
      <c r="B44989" s="17" t="s">
        <v>477</v>
      </c>
      <c r="K44989" s="18"/>
    </row>
    <row r="44990">
      <c r="B44990" s="17" t="s">
        <v>477</v>
      </c>
      <c r="K44990" s="18"/>
    </row>
    <row r="44991">
      <c r="B44991" s="17" t="s">
        <v>477</v>
      </c>
      <c r="K44991" s="18"/>
    </row>
    <row r="44992">
      <c r="B44992" s="17" t="s">
        <v>477</v>
      </c>
      <c r="K44992" s="18"/>
    </row>
    <row r="44993">
      <c r="B44993" s="17" t="s">
        <v>477</v>
      </c>
      <c r="K44993" s="18"/>
    </row>
    <row r="44994">
      <c r="B44994" s="17" t="s">
        <v>477</v>
      </c>
      <c r="K44994" s="18"/>
    </row>
    <row r="44995">
      <c r="B44995" s="17" t="s">
        <v>477</v>
      </c>
      <c r="K44995" s="18"/>
    </row>
    <row r="44996">
      <c r="B44996" s="17" t="s">
        <v>477</v>
      </c>
      <c r="K44996" s="18"/>
    </row>
    <row r="44997">
      <c r="B44997" s="17" t="s">
        <v>477</v>
      </c>
      <c r="K44997" s="18"/>
    </row>
    <row r="44998">
      <c r="B44998" s="17" t="s">
        <v>477</v>
      </c>
      <c r="K44998" s="18"/>
    </row>
    <row r="44999">
      <c r="B44999" s="17" t="s">
        <v>477</v>
      </c>
      <c r="K44999" s="18"/>
    </row>
    <row r="45000">
      <c r="B45000" s="17" t="s">
        <v>477</v>
      </c>
      <c r="K45000" s="18"/>
    </row>
    <row r="45001">
      <c r="B45001" s="17" t="s">
        <v>477</v>
      </c>
      <c r="K45001" s="18"/>
    </row>
    <row r="45002">
      <c r="B45002" s="17" t="s">
        <v>477</v>
      </c>
      <c r="K45002" s="18"/>
    </row>
    <row r="45003">
      <c r="B45003" s="17" t="s">
        <v>477</v>
      </c>
      <c r="K45003" s="18"/>
    </row>
    <row r="45004">
      <c r="B45004" s="17" t="s">
        <v>477</v>
      </c>
      <c r="K45004" s="18"/>
    </row>
    <row r="45005">
      <c r="B45005" s="17" t="s">
        <v>477</v>
      </c>
      <c r="K45005" s="18"/>
    </row>
    <row r="45006">
      <c r="B45006" s="17" t="s">
        <v>477</v>
      </c>
      <c r="K45006" s="18"/>
    </row>
    <row r="45007">
      <c r="B45007" s="17" t="s">
        <v>477</v>
      </c>
      <c r="K45007" s="18"/>
    </row>
    <row r="45008">
      <c r="B45008" s="17" t="s">
        <v>477</v>
      </c>
      <c r="K45008" s="18"/>
    </row>
    <row r="45009">
      <c r="B45009" s="17" t="s">
        <v>477</v>
      </c>
      <c r="K45009" s="18"/>
    </row>
    <row r="45010">
      <c r="B45010" s="17" t="s">
        <v>477</v>
      </c>
      <c r="K45010" s="18"/>
    </row>
    <row r="45011">
      <c r="B45011" s="17" t="s">
        <v>477</v>
      </c>
      <c r="K45011" s="18"/>
    </row>
    <row r="45012">
      <c r="B45012" s="17" t="s">
        <v>477</v>
      </c>
      <c r="K45012" s="18"/>
    </row>
    <row r="45013">
      <c r="B45013" s="17" t="s">
        <v>477</v>
      </c>
      <c r="K45013" s="18"/>
    </row>
    <row r="45014">
      <c r="B45014" s="17" t="s">
        <v>477</v>
      </c>
      <c r="K45014" s="18"/>
    </row>
    <row r="45015">
      <c r="B45015" s="17" t="s">
        <v>477</v>
      </c>
      <c r="K45015" s="18"/>
    </row>
    <row r="45016">
      <c r="B45016" s="17" t="s">
        <v>477</v>
      </c>
      <c r="K45016" s="18"/>
    </row>
    <row r="45017">
      <c r="B45017" s="17" t="s">
        <v>477</v>
      </c>
      <c r="K45017" s="18"/>
    </row>
    <row r="45018">
      <c r="B45018" s="17" t="s">
        <v>477</v>
      </c>
      <c r="K45018" s="18"/>
    </row>
    <row r="45019">
      <c r="B45019" s="17" t="s">
        <v>477</v>
      </c>
      <c r="K45019" s="18"/>
    </row>
    <row r="45020">
      <c r="B45020" s="17" t="s">
        <v>477</v>
      </c>
      <c r="K45020" s="18"/>
    </row>
    <row r="45021">
      <c r="B45021" s="17" t="s">
        <v>477</v>
      </c>
      <c r="K45021" s="18"/>
    </row>
    <row r="45022">
      <c r="B45022" s="17" t="s">
        <v>477</v>
      </c>
      <c r="K45022" s="18"/>
    </row>
    <row r="45023">
      <c r="B45023" s="17" t="s">
        <v>477</v>
      </c>
      <c r="K45023" s="18"/>
    </row>
    <row r="45024">
      <c r="B45024" s="17" t="s">
        <v>477</v>
      </c>
      <c r="K45024" s="18"/>
    </row>
    <row r="45025">
      <c r="B45025" s="17" t="s">
        <v>477</v>
      </c>
      <c r="K45025" s="18"/>
    </row>
    <row r="45026">
      <c r="B45026" s="17" t="s">
        <v>477</v>
      </c>
      <c r="K45026" s="18"/>
    </row>
    <row r="45027">
      <c r="B45027" s="17" t="s">
        <v>477</v>
      </c>
      <c r="K45027" s="18"/>
    </row>
    <row r="45028">
      <c r="B45028" s="17" t="s">
        <v>477</v>
      </c>
      <c r="K45028" s="18"/>
    </row>
    <row r="45029">
      <c r="B45029" s="17" t="s">
        <v>477</v>
      </c>
      <c r="K45029" s="18"/>
    </row>
    <row r="45030">
      <c r="B45030" s="17" t="s">
        <v>477</v>
      </c>
      <c r="K45030" s="18"/>
    </row>
    <row r="45031">
      <c r="B45031" s="17" t="s">
        <v>477</v>
      </c>
      <c r="K45031" s="18"/>
    </row>
    <row r="45032">
      <c r="B45032" s="17" t="s">
        <v>477</v>
      </c>
      <c r="K45032" s="18"/>
    </row>
    <row r="45033">
      <c r="B45033" s="17" t="s">
        <v>477</v>
      </c>
      <c r="K45033" s="18"/>
    </row>
    <row r="45034">
      <c r="B45034" s="17" t="s">
        <v>477</v>
      </c>
      <c r="K45034" s="18"/>
    </row>
    <row r="45035">
      <c r="B45035" s="17" t="s">
        <v>477</v>
      </c>
      <c r="K45035" s="18"/>
    </row>
    <row r="45036">
      <c r="B45036" s="17" t="s">
        <v>477</v>
      </c>
      <c r="K45036" s="18"/>
    </row>
    <row r="45037">
      <c r="B45037" s="17" t="s">
        <v>477</v>
      </c>
      <c r="K45037" s="18"/>
    </row>
    <row r="45038">
      <c r="B45038" s="17" t="s">
        <v>477</v>
      </c>
      <c r="K45038" s="18"/>
    </row>
    <row r="45039">
      <c r="B45039" s="17" t="s">
        <v>477</v>
      </c>
      <c r="K45039" s="18"/>
    </row>
    <row r="45040">
      <c r="B45040" s="17" t="s">
        <v>477</v>
      </c>
      <c r="K45040" s="18"/>
    </row>
    <row r="45041">
      <c r="B45041" s="17" t="s">
        <v>477</v>
      </c>
      <c r="K45041" s="18"/>
    </row>
    <row r="45042">
      <c r="B45042" s="17" t="s">
        <v>477</v>
      </c>
      <c r="K45042" s="18"/>
    </row>
    <row r="45043">
      <c r="B45043" s="17" t="s">
        <v>477</v>
      </c>
      <c r="K45043" s="18"/>
    </row>
    <row r="45044">
      <c r="B45044" s="17" t="s">
        <v>477</v>
      </c>
      <c r="K45044" s="18"/>
    </row>
    <row r="45045">
      <c r="B45045" s="17" t="s">
        <v>477</v>
      </c>
      <c r="K45045" s="18"/>
    </row>
    <row r="45046">
      <c r="B45046" s="17" t="s">
        <v>477</v>
      </c>
      <c r="K45046" s="18"/>
    </row>
    <row r="45047">
      <c r="B45047" s="17" t="s">
        <v>477</v>
      </c>
      <c r="K45047" s="18"/>
    </row>
    <row r="45048">
      <c r="B45048" s="17" t="s">
        <v>477</v>
      </c>
      <c r="K45048" s="18"/>
    </row>
    <row r="45049">
      <c r="B45049" s="17" t="s">
        <v>477</v>
      </c>
      <c r="K45049" s="18"/>
    </row>
    <row r="45050">
      <c r="B45050" s="17" t="s">
        <v>477</v>
      </c>
      <c r="K45050" s="18"/>
    </row>
    <row r="45051">
      <c r="B45051" s="17" t="s">
        <v>477</v>
      </c>
      <c r="K45051" s="18"/>
    </row>
    <row r="45052">
      <c r="B45052" s="17" t="s">
        <v>477</v>
      </c>
      <c r="K45052" s="18"/>
    </row>
    <row r="45053">
      <c r="B45053" s="17" t="s">
        <v>477</v>
      </c>
      <c r="K45053" s="18"/>
    </row>
    <row r="45054">
      <c r="B45054" s="17" t="s">
        <v>477</v>
      </c>
      <c r="K45054" s="18"/>
    </row>
    <row r="45055">
      <c r="B45055" s="17" t="s">
        <v>477</v>
      </c>
      <c r="K45055" s="18"/>
    </row>
    <row r="45056">
      <c r="B45056" s="17" t="s">
        <v>477</v>
      </c>
      <c r="K45056" s="18"/>
    </row>
    <row r="45057">
      <c r="B45057" s="17" t="s">
        <v>477</v>
      </c>
      <c r="K45057" s="18"/>
    </row>
    <row r="45058">
      <c r="B45058" s="17" t="s">
        <v>477</v>
      </c>
      <c r="K45058" s="18"/>
    </row>
    <row r="45059">
      <c r="B45059" s="17" t="s">
        <v>477</v>
      </c>
      <c r="K45059" s="18"/>
    </row>
    <row r="45060">
      <c r="B45060" s="17" t="s">
        <v>477</v>
      </c>
      <c r="K45060" s="18"/>
    </row>
    <row r="45061">
      <c r="B45061" s="17" t="s">
        <v>477</v>
      </c>
      <c r="K45061" s="18"/>
    </row>
    <row r="45062">
      <c r="B45062" s="17" t="s">
        <v>477</v>
      </c>
      <c r="K45062" s="18"/>
    </row>
    <row r="45063">
      <c r="B45063" s="17" t="s">
        <v>477</v>
      </c>
      <c r="K45063" s="18"/>
    </row>
    <row r="45064">
      <c r="B45064" s="17" t="s">
        <v>477</v>
      </c>
      <c r="K45064" s="18"/>
    </row>
    <row r="45065">
      <c r="B45065" s="17" t="s">
        <v>477</v>
      </c>
      <c r="K45065" s="18"/>
    </row>
    <row r="45066">
      <c r="B45066" s="17" t="s">
        <v>477</v>
      </c>
      <c r="K45066" s="18"/>
    </row>
    <row r="45067">
      <c r="B45067" s="17" t="s">
        <v>477</v>
      </c>
      <c r="K45067" s="18"/>
    </row>
    <row r="45068">
      <c r="B45068" s="17" t="s">
        <v>477</v>
      </c>
      <c r="K45068" s="18"/>
    </row>
    <row r="45069">
      <c r="B45069" s="17" t="s">
        <v>477</v>
      </c>
      <c r="K45069" s="18"/>
    </row>
    <row r="45070">
      <c r="B45070" s="17" t="s">
        <v>477</v>
      </c>
      <c r="K45070" s="18"/>
    </row>
    <row r="45071">
      <c r="B45071" s="17" t="s">
        <v>477</v>
      </c>
      <c r="K45071" s="18"/>
    </row>
    <row r="45072">
      <c r="B45072" s="17" t="s">
        <v>477</v>
      </c>
      <c r="K45072" s="18"/>
    </row>
    <row r="45073">
      <c r="B45073" s="17" t="s">
        <v>477</v>
      </c>
      <c r="K45073" s="18"/>
    </row>
    <row r="45074">
      <c r="B45074" s="17" t="s">
        <v>477</v>
      </c>
      <c r="K45074" s="18"/>
    </row>
    <row r="45075">
      <c r="B45075" s="17" t="s">
        <v>477</v>
      </c>
      <c r="K45075" s="18"/>
    </row>
    <row r="45076">
      <c r="B45076" s="17" t="s">
        <v>477</v>
      </c>
      <c r="K45076" s="18"/>
    </row>
    <row r="45077">
      <c r="B45077" s="17" t="s">
        <v>477</v>
      </c>
      <c r="K45077" s="18"/>
    </row>
    <row r="45078">
      <c r="B45078" s="17" t="s">
        <v>477</v>
      </c>
      <c r="K45078" s="18"/>
    </row>
    <row r="45079">
      <c r="B45079" s="17" t="s">
        <v>477</v>
      </c>
      <c r="K45079" s="18"/>
    </row>
    <row r="45080">
      <c r="B45080" s="17" t="s">
        <v>477</v>
      </c>
      <c r="K45080" s="18"/>
    </row>
    <row r="45081">
      <c r="B45081" s="17" t="s">
        <v>477</v>
      </c>
      <c r="K45081" s="18"/>
    </row>
    <row r="45082">
      <c r="B45082" s="17" t="s">
        <v>477</v>
      </c>
      <c r="K45082" s="18"/>
    </row>
    <row r="45083">
      <c r="B45083" s="17" t="s">
        <v>477</v>
      </c>
      <c r="K45083" s="18"/>
    </row>
    <row r="45084">
      <c r="B45084" s="17" t="s">
        <v>477</v>
      </c>
      <c r="K45084" s="18"/>
    </row>
    <row r="45085">
      <c r="B45085" s="17" t="s">
        <v>477</v>
      </c>
      <c r="K45085" s="18"/>
    </row>
    <row r="45086">
      <c r="B45086" s="17" t="s">
        <v>477</v>
      </c>
      <c r="K45086" s="18"/>
    </row>
    <row r="45087">
      <c r="B45087" s="17" t="s">
        <v>477</v>
      </c>
      <c r="K45087" s="18"/>
    </row>
    <row r="45088">
      <c r="B45088" s="17" t="s">
        <v>477</v>
      </c>
      <c r="K45088" s="18"/>
    </row>
    <row r="45089">
      <c r="B45089" s="17" t="s">
        <v>477</v>
      </c>
      <c r="K45089" s="18"/>
    </row>
    <row r="45090">
      <c r="B45090" s="17" t="s">
        <v>477</v>
      </c>
      <c r="K45090" s="18"/>
    </row>
    <row r="45091">
      <c r="B45091" s="17" t="s">
        <v>477</v>
      </c>
      <c r="K45091" s="18"/>
    </row>
    <row r="45092">
      <c r="B45092" s="17" t="s">
        <v>477</v>
      </c>
      <c r="K45092" s="18"/>
    </row>
    <row r="45093">
      <c r="B45093" s="17" t="s">
        <v>477</v>
      </c>
      <c r="K45093" s="18"/>
    </row>
    <row r="45094">
      <c r="B45094" s="17" t="s">
        <v>477</v>
      </c>
      <c r="K45094" s="18"/>
    </row>
    <row r="45095">
      <c r="B45095" s="17" t="s">
        <v>477</v>
      </c>
      <c r="K45095" s="18"/>
    </row>
    <row r="45096">
      <c r="B45096" s="17" t="s">
        <v>477</v>
      </c>
      <c r="K45096" s="18"/>
    </row>
    <row r="45097">
      <c r="B45097" s="17" t="s">
        <v>477</v>
      </c>
      <c r="K45097" s="18"/>
    </row>
    <row r="45098">
      <c r="B45098" s="17" t="s">
        <v>477</v>
      </c>
      <c r="K45098" s="18"/>
    </row>
    <row r="45099">
      <c r="B45099" s="17" t="s">
        <v>477</v>
      </c>
      <c r="K45099" s="18"/>
    </row>
    <row r="45100">
      <c r="B45100" s="17" t="s">
        <v>477</v>
      </c>
      <c r="K45100" s="18"/>
    </row>
    <row r="45101">
      <c r="B45101" s="17" t="s">
        <v>477</v>
      </c>
      <c r="K45101" s="18"/>
    </row>
    <row r="45102">
      <c r="B45102" s="17" t="s">
        <v>477</v>
      </c>
      <c r="K45102" s="18"/>
    </row>
    <row r="45103">
      <c r="B45103" s="17" t="s">
        <v>477</v>
      </c>
      <c r="K45103" s="18"/>
    </row>
    <row r="45104">
      <c r="B45104" s="17" t="s">
        <v>477</v>
      </c>
      <c r="K45104" s="18"/>
    </row>
    <row r="45105">
      <c r="B45105" s="17" t="s">
        <v>477</v>
      </c>
      <c r="K45105" s="18"/>
    </row>
    <row r="45106">
      <c r="B45106" s="17" t="s">
        <v>477</v>
      </c>
      <c r="K45106" s="18"/>
    </row>
    <row r="45107">
      <c r="B45107" s="17" t="s">
        <v>477</v>
      </c>
      <c r="K45107" s="18"/>
    </row>
    <row r="45108">
      <c r="B45108" s="17" t="s">
        <v>477</v>
      </c>
      <c r="K45108" s="18"/>
    </row>
    <row r="45109">
      <c r="B45109" s="17" t="s">
        <v>477</v>
      </c>
      <c r="K45109" s="18"/>
    </row>
    <row r="45110">
      <c r="B45110" s="17" t="s">
        <v>477</v>
      </c>
      <c r="K45110" s="18"/>
    </row>
    <row r="45111">
      <c r="B45111" s="17" t="s">
        <v>477</v>
      </c>
      <c r="K45111" s="18"/>
    </row>
    <row r="45112">
      <c r="B45112" s="17" t="s">
        <v>477</v>
      </c>
      <c r="K45112" s="18"/>
    </row>
    <row r="45113">
      <c r="B45113" s="17" t="s">
        <v>477</v>
      </c>
      <c r="K45113" s="18"/>
    </row>
    <row r="45114">
      <c r="B45114" s="17" t="s">
        <v>477</v>
      </c>
      <c r="K45114" s="18"/>
    </row>
    <row r="45115">
      <c r="B45115" s="17" t="s">
        <v>477</v>
      </c>
      <c r="K45115" s="18"/>
    </row>
    <row r="45116">
      <c r="B45116" s="17" t="s">
        <v>477</v>
      </c>
      <c r="K45116" s="18"/>
    </row>
    <row r="45117">
      <c r="B45117" s="17" t="s">
        <v>477</v>
      </c>
      <c r="K45117" s="18"/>
    </row>
    <row r="45118">
      <c r="B45118" s="17" t="s">
        <v>477</v>
      </c>
      <c r="K45118" s="18"/>
    </row>
    <row r="45119">
      <c r="B45119" s="17" t="s">
        <v>477</v>
      </c>
      <c r="K45119" s="18"/>
    </row>
    <row r="45120">
      <c r="B45120" s="17" t="s">
        <v>477</v>
      </c>
      <c r="K45120" s="18"/>
    </row>
    <row r="45121">
      <c r="B45121" s="17" t="s">
        <v>477</v>
      </c>
      <c r="K45121" s="18"/>
    </row>
    <row r="45122">
      <c r="B45122" s="17" t="s">
        <v>477</v>
      </c>
      <c r="K45122" s="18"/>
    </row>
    <row r="45123">
      <c r="B45123" s="17" t="s">
        <v>477</v>
      </c>
      <c r="K45123" s="18"/>
    </row>
    <row r="45124">
      <c r="B45124" s="17" t="s">
        <v>477</v>
      </c>
      <c r="K45124" s="18"/>
    </row>
    <row r="45125">
      <c r="B45125" s="17" t="s">
        <v>477</v>
      </c>
      <c r="K45125" s="18"/>
    </row>
    <row r="45126">
      <c r="B45126" s="17" t="s">
        <v>477</v>
      </c>
      <c r="K45126" s="18"/>
    </row>
    <row r="45127">
      <c r="B45127" s="17" t="s">
        <v>477</v>
      </c>
      <c r="K45127" s="18"/>
    </row>
    <row r="45128">
      <c r="B45128" s="17" t="s">
        <v>477</v>
      </c>
      <c r="K45128" s="18"/>
    </row>
    <row r="45129">
      <c r="B45129" s="17" t="s">
        <v>477</v>
      </c>
      <c r="K45129" s="18"/>
    </row>
    <row r="45130">
      <c r="B45130" s="17" t="s">
        <v>477</v>
      </c>
      <c r="K45130" s="18"/>
    </row>
    <row r="45131">
      <c r="B45131" s="17" t="s">
        <v>477</v>
      </c>
      <c r="K45131" s="18"/>
    </row>
    <row r="45132">
      <c r="B45132" s="17" t="s">
        <v>477</v>
      </c>
      <c r="K45132" s="18"/>
    </row>
    <row r="45133">
      <c r="B45133" s="17" t="s">
        <v>477</v>
      </c>
      <c r="K45133" s="18"/>
    </row>
    <row r="45134">
      <c r="B45134" s="17" t="s">
        <v>477</v>
      </c>
      <c r="K45134" s="18"/>
    </row>
    <row r="45135">
      <c r="B45135" s="17" t="s">
        <v>477</v>
      </c>
      <c r="K45135" s="18"/>
    </row>
    <row r="45136">
      <c r="B45136" s="17" t="s">
        <v>477</v>
      </c>
      <c r="K45136" s="18"/>
    </row>
    <row r="45137">
      <c r="B45137" s="17" t="s">
        <v>477</v>
      </c>
      <c r="K45137" s="18"/>
    </row>
    <row r="45138">
      <c r="B45138" s="17" t="s">
        <v>477</v>
      </c>
      <c r="K45138" s="18"/>
    </row>
    <row r="45139">
      <c r="B45139" s="17" t="s">
        <v>477</v>
      </c>
      <c r="K45139" s="18"/>
    </row>
    <row r="45140">
      <c r="B45140" s="17" t="s">
        <v>477</v>
      </c>
      <c r="K45140" s="18"/>
    </row>
    <row r="45141">
      <c r="B45141" s="17" t="s">
        <v>477</v>
      </c>
      <c r="K45141" s="18"/>
    </row>
    <row r="45142">
      <c r="B45142" s="17" t="s">
        <v>477</v>
      </c>
      <c r="K45142" s="18"/>
    </row>
    <row r="45143">
      <c r="B45143" s="17" t="s">
        <v>477</v>
      </c>
      <c r="K45143" s="18"/>
    </row>
    <row r="45144">
      <c r="B45144" s="17" t="s">
        <v>477</v>
      </c>
      <c r="K45144" s="18"/>
    </row>
    <row r="45145">
      <c r="B45145" s="17" t="s">
        <v>477</v>
      </c>
      <c r="K45145" s="18"/>
    </row>
    <row r="45146">
      <c r="B45146" s="17" t="s">
        <v>477</v>
      </c>
      <c r="K45146" s="18"/>
    </row>
    <row r="45147">
      <c r="B45147" s="17" t="s">
        <v>477</v>
      </c>
      <c r="K45147" s="18"/>
    </row>
    <row r="45148">
      <c r="B45148" s="17" t="s">
        <v>477</v>
      </c>
      <c r="K45148" s="18"/>
    </row>
    <row r="45149">
      <c r="B45149" s="17" t="s">
        <v>477</v>
      </c>
      <c r="K45149" s="18"/>
    </row>
    <row r="45150">
      <c r="B45150" s="17" t="s">
        <v>477</v>
      </c>
      <c r="K45150" s="18"/>
    </row>
    <row r="45151">
      <c r="B45151" s="17" t="s">
        <v>477</v>
      </c>
      <c r="K45151" s="18"/>
    </row>
    <row r="45152">
      <c r="B45152" s="17" t="s">
        <v>477</v>
      </c>
      <c r="K45152" s="18"/>
    </row>
    <row r="45153">
      <c r="B45153" s="17" t="s">
        <v>477</v>
      </c>
      <c r="K45153" s="18"/>
    </row>
    <row r="45154">
      <c r="B45154" s="17" t="s">
        <v>477</v>
      </c>
      <c r="K45154" s="18"/>
    </row>
    <row r="45155">
      <c r="B45155" s="17" t="s">
        <v>477</v>
      </c>
      <c r="K45155" s="18"/>
    </row>
    <row r="45156">
      <c r="B45156" s="17" t="s">
        <v>477</v>
      </c>
      <c r="K45156" s="18"/>
    </row>
    <row r="45157">
      <c r="B45157" s="17" t="s">
        <v>477</v>
      </c>
      <c r="K45157" s="18"/>
    </row>
    <row r="45158">
      <c r="B45158" s="17" t="s">
        <v>477</v>
      </c>
      <c r="K45158" s="18"/>
    </row>
    <row r="45159">
      <c r="B45159" s="17" t="s">
        <v>477</v>
      </c>
      <c r="K45159" s="18"/>
    </row>
    <row r="45160">
      <c r="B45160" s="17" t="s">
        <v>477</v>
      </c>
      <c r="K45160" s="18"/>
    </row>
    <row r="45161">
      <c r="B45161" s="17" t="s">
        <v>477</v>
      </c>
      <c r="K45161" s="18"/>
    </row>
    <row r="45162">
      <c r="B45162" s="17" t="s">
        <v>477</v>
      </c>
      <c r="K45162" s="18"/>
    </row>
    <row r="45163">
      <c r="B45163" s="17" t="s">
        <v>477</v>
      </c>
      <c r="K45163" s="18"/>
    </row>
    <row r="45164">
      <c r="B45164" s="17" t="s">
        <v>477</v>
      </c>
      <c r="K45164" s="18"/>
    </row>
    <row r="45165">
      <c r="B45165" s="17" t="s">
        <v>477</v>
      </c>
      <c r="K45165" s="18"/>
    </row>
    <row r="45166">
      <c r="B45166" s="17" t="s">
        <v>477</v>
      </c>
      <c r="K45166" s="18"/>
    </row>
    <row r="45167">
      <c r="B45167" s="17" t="s">
        <v>477</v>
      </c>
      <c r="K45167" s="18"/>
    </row>
    <row r="45168">
      <c r="B45168" s="17" t="s">
        <v>477</v>
      </c>
      <c r="K45168" s="18"/>
    </row>
    <row r="45169">
      <c r="B45169" s="17" t="s">
        <v>477</v>
      </c>
      <c r="K45169" s="18"/>
    </row>
    <row r="45170">
      <c r="B45170" s="17" t="s">
        <v>477</v>
      </c>
      <c r="K45170" s="18"/>
    </row>
    <row r="45171">
      <c r="B45171" s="17" t="s">
        <v>477</v>
      </c>
      <c r="K45171" s="18"/>
    </row>
    <row r="45172">
      <c r="B45172" s="17" t="s">
        <v>477</v>
      </c>
      <c r="K45172" s="18"/>
    </row>
    <row r="45173">
      <c r="B45173" s="17" t="s">
        <v>477</v>
      </c>
      <c r="K45173" s="18"/>
    </row>
    <row r="45174">
      <c r="B45174" s="17" t="s">
        <v>477</v>
      </c>
      <c r="K45174" s="18"/>
    </row>
    <row r="45175">
      <c r="B45175" s="17" t="s">
        <v>477</v>
      </c>
      <c r="K45175" s="18"/>
    </row>
    <row r="45176">
      <c r="B45176" s="17" t="s">
        <v>477</v>
      </c>
      <c r="K45176" s="18"/>
    </row>
    <row r="45177">
      <c r="B45177" s="17" t="s">
        <v>477</v>
      </c>
      <c r="K45177" s="18"/>
    </row>
    <row r="45178">
      <c r="B45178" s="17" t="s">
        <v>477</v>
      </c>
      <c r="K45178" s="18"/>
    </row>
    <row r="45179">
      <c r="B45179" s="17" t="s">
        <v>477</v>
      </c>
      <c r="K45179" s="18"/>
    </row>
    <row r="45180">
      <c r="B45180" s="17" t="s">
        <v>477</v>
      </c>
      <c r="K45180" s="18"/>
    </row>
    <row r="45181">
      <c r="B45181" s="17" t="s">
        <v>477</v>
      </c>
      <c r="K45181" s="18"/>
    </row>
    <row r="45182">
      <c r="B45182" s="17" t="s">
        <v>477</v>
      </c>
      <c r="K45182" s="18"/>
    </row>
    <row r="45183">
      <c r="B45183" s="17" t="s">
        <v>477</v>
      </c>
      <c r="K45183" s="18"/>
    </row>
    <row r="45184">
      <c r="B45184" s="17" t="s">
        <v>477</v>
      </c>
      <c r="K45184" s="18"/>
    </row>
    <row r="45185">
      <c r="B45185" s="17" t="s">
        <v>477</v>
      </c>
      <c r="K45185" s="18"/>
    </row>
    <row r="45186">
      <c r="B45186" s="17" t="s">
        <v>477</v>
      </c>
      <c r="K45186" s="18"/>
    </row>
    <row r="45187">
      <c r="B45187" s="17" t="s">
        <v>477</v>
      </c>
      <c r="K45187" s="18"/>
    </row>
    <row r="45188">
      <c r="B45188" s="17" t="s">
        <v>477</v>
      </c>
      <c r="K45188" s="18"/>
    </row>
    <row r="45189">
      <c r="B45189" s="17" t="s">
        <v>477</v>
      </c>
      <c r="K45189" s="18"/>
    </row>
    <row r="45190">
      <c r="B45190" s="17" t="s">
        <v>477</v>
      </c>
      <c r="K45190" s="18"/>
    </row>
    <row r="45191">
      <c r="B45191" s="17" t="s">
        <v>477</v>
      </c>
      <c r="K45191" s="18"/>
    </row>
    <row r="45192">
      <c r="B45192" s="17" t="s">
        <v>477</v>
      </c>
      <c r="K45192" s="18"/>
    </row>
    <row r="45193">
      <c r="B45193" s="17" t="s">
        <v>477</v>
      </c>
      <c r="K45193" s="18"/>
    </row>
    <row r="45194">
      <c r="B45194" s="17" t="s">
        <v>477</v>
      </c>
      <c r="K45194" s="18"/>
    </row>
    <row r="45195">
      <c r="B45195" s="17" t="s">
        <v>477</v>
      </c>
      <c r="K45195" s="18"/>
    </row>
    <row r="45196">
      <c r="B45196" s="17" t="s">
        <v>477</v>
      </c>
      <c r="K45196" s="18"/>
    </row>
    <row r="45197">
      <c r="B45197" s="17" t="s">
        <v>477</v>
      </c>
      <c r="K45197" s="18"/>
    </row>
    <row r="45198">
      <c r="B45198" s="17" t="s">
        <v>477</v>
      </c>
      <c r="K45198" s="18"/>
    </row>
    <row r="45199">
      <c r="B45199" s="17" t="s">
        <v>477</v>
      </c>
      <c r="K45199" s="18"/>
    </row>
    <row r="45200">
      <c r="B45200" s="17" t="s">
        <v>477</v>
      </c>
      <c r="K45200" s="18"/>
    </row>
    <row r="45201">
      <c r="B45201" s="17" t="s">
        <v>477</v>
      </c>
      <c r="K45201" s="18"/>
    </row>
    <row r="45202">
      <c r="B45202" s="17" t="s">
        <v>477</v>
      </c>
      <c r="K45202" s="18"/>
    </row>
    <row r="45203">
      <c r="B45203" s="17" t="s">
        <v>477</v>
      </c>
      <c r="K45203" s="18"/>
    </row>
    <row r="45204">
      <c r="B45204" s="17" t="s">
        <v>477</v>
      </c>
      <c r="K45204" s="18"/>
    </row>
    <row r="45205">
      <c r="B45205" s="17" t="s">
        <v>477</v>
      </c>
      <c r="K45205" s="18"/>
    </row>
    <row r="45206">
      <c r="B45206" s="17" t="s">
        <v>477</v>
      </c>
      <c r="K45206" s="18"/>
    </row>
    <row r="45207">
      <c r="B45207" s="17" t="s">
        <v>477</v>
      </c>
      <c r="K45207" s="18"/>
    </row>
    <row r="45208">
      <c r="B45208" s="17" t="s">
        <v>477</v>
      </c>
      <c r="K45208" s="18"/>
    </row>
    <row r="45209">
      <c r="B45209" s="17" t="s">
        <v>477</v>
      </c>
      <c r="K45209" s="18"/>
    </row>
    <row r="45210">
      <c r="B45210" s="17" t="s">
        <v>477</v>
      </c>
      <c r="K45210" s="18"/>
    </row>
    <row r="45211">
      <c r="B45211" s="17" t="s">
        <v>477</v>
      </c>
      <c r="K45211" s="18"/>
    </row>
    <row r="45212">
      <c r="B45212" s="17" t="s">
        <v>477</v>
      </c>
      <c r="K45212" s="18"/>
    </row>
    <row r="45213">
      <c r="B45213" s="17" t="s">
        <v>477</v>
      </c>
      <c r="K45213" s="18"/>
    </row>
    <row r="45214">
      <c r="B45214" s="17" t="s">
        <v>477</v>
      </c>
      <c r="K45214" s="18"/>
    </row>
    <row r="45215">
      <c r="B45215" s="17" t="s">
        <v>477</v>
      </c>
      <c r="K45215" s="18"/>
    </row>
    <row r="45216">
      <c r="B45216" s="17" t="s">
        <v>477</v>
      </c>
      <c r="K45216" s="18"/>
    </row>
    <row r="45217">
      <c r="B45217" s="17" t="s">
        <v>477</v>
      </c>
      <c r="K45217" s="18"/>
    </row>
    <row r="45218">
      <c r="B45218" s="17" t="s">
        <v>477</v>
      </c>
      <c r="K45218" s="18"/>
    </row>
    <row r="45219">
      <c r="B45219" s="17" t="s">
        <v>477</v>
      </c>
      <c r="K45219" s="18"/>
    </row>
    <row r="45220">
      <c r="B45220" s="17" t="s">
        <v>477</v>
      </c>
      <c r="K45220" s="18"/>
    </row>
    <row r="45221">
      <c r="B45221" s="17" t="s">
        <v>477</v>
      </c>
      <c r="K45221" s="18"/>
    </row>
    <row r="45222">
      <c r="B45222" s="17" t="s">
        <v>477</v>
      </c>
      <c r="K45222" s="18"/>
    </row>
    <row r="45223">
      <c r="B45223" s="17" t="s">
        <v>477</v>
      </c>
      <c r="K45223" s="18"/>
    </row>
    <row r="45224">
      <c r="B45224" s="17" t="s">
        <v>477</v>
      </c>
      <c r="K45224" s="18"/>
    </row>
    <row r="45225">
      <c r="B45225" s="17" t="s">
        <v>477</v>
      </c>
      <c r="K45225" s="18"/>
    </row>
    <row r="45226">
      <c r="B45226" s="17" t="s">
        <v>477</v>
      </c>
      <c r="K45226" s="18"/>
    </row>
    <row r="45227">
      <c r="B45227" s="17" t="s">
        <v>477</v>
      </c>
      <c r="K45227" s="18"/>
    </row>
    <row r="45228">
      <c r="B45228" s="17" t="s">
        <v>477</v>
      </c>
      <c r="K45228" s="18"/>
    </row>
    <row r="45229">
      <c r="B45229" s="17" t="s">
        <v>477</v>
      </c>
      <c r="K45229" s="18"/>
    </row>
    <row r="45230">
      <c r="B45230" s="17" t="s">
        <v>477</v>
      </c>
      <c r="K45230" s="18"/>
    </row>
    <row r="45231">
      <c r="B45231" s="17" t="s">
        <v>477</v>
      </c>
      <c r="K45231" s="18"/>
    </row>
    <row r="45232">
      <c r="B45232" s="17" t="s">
        <v>477</v>
      </c>
      <c r="K45232" s="18"/>
    </row>
    <row r="45233">
      <c r="B45233" s="17" t="s">
        <v>477</v>
      </c>
      <c r="K45233" s="18"/>
    </row>
    <row r="45234">
      <c r="B45234" s="17" t="s">
        <v>477</v>
      </c>
      <c r="K45234" s="18"/>
    </row>
    <row r="45235">
      <c r="B45235" s="17" t="s">
        <v>477</v>
      </c>
      <c r="K45235" s="18"/>
    </row>
    <row r="45236">
      <c r="B45236" s="17" t="s">
        <v>477</v>
      </c>
      <c r="K45236" s="18"/>
    </row>
    <row r="45237">
      <c r="B45237" s="17" t="s">
        <v>477</v>
      </c>
      <c r="K45237" s="18"/>
    </row>
    <row r="45238">
      <c r="B45238" s="17" t="s">
        <v>477</v>
      </c>
      <c r="K45238" s="18"/>
    </row>
    <row r="45239">
      <c r="B45239" s="17" t="s">
        <v>477</v>
      </c>
      <c r="K45239" s="18"/>
    </row>
    <row r="45240">
      <c r="B45240" s="17" t="s">
        <v>477</v>
      </c>
      <c r="K45240" s="18"/>
    </row>
    <row r="45241">
      <c r="B45241" s="17" t="s">
        <v>477</v>
      </c>
      <c r="K45241" s="18"/>
    </row>
    <row r="45242">
      <c r="B45242" s="17" t="s">
        <v>477</v>
      </c>
      <c r="K45242" s="18"/>
    </row>
    <row r="45243">
      <c r="B45243" s="17" t="s">
        <v>477</v>
      </c>
      <c r="K45243" s="18"/>
    </row>
    <row r="45244">
      <c r="B45244" s="17" t="s">
        <v>477</v>
      </c>
      <c r="K45244" s="18"/>
    </row>
    <row r="45245">
      <c r="B45245" s="17" t="s">
        <v>477</v>
      </c>
      <c r="K45245" s="18"/>
    </row>
    <row r="45246">
      <c r="B45246" s="17" t="s">
        <v>477</v>
      </c>
      <c r="K45246" s="18"/>
    </row>
    <row r="45247">
      <c r="B45247" s="17" t="s">
        <v>477</v>
      </c>
      <c r="K45247" s="18"/>
    </row>
    <row r="45248">
      <c r="B45248" s="17" t="s">
        <v>477</v>
      </c>
      <c r="K45248" s="18"/>
    </row>
    <row r="45249">
      <c r="B45249" s="17" t="s">
        <v>477</v>
      </c>
      <c r="K45249" s="18"/>
    </row>
    <row r="45250">
      <c r="B45250" s="17" t="s">
        <v>477</v>
      </c>
      <c r="K45250" s="18"/>
    </row>
    <row r="45251">
      <c r="B45251" s="17" t="s">
        <v>477</v>
      </c>
      <c r="K45251" s="18"/>
    </row>
    <row r="45252">
      <c r="B45252" s="17" t="s">
        <v>477</v>
      </c>
      <c r="K45252" s="18"/>
    </row>
    <row r="45253">
      <c r="B45253" s="17" t="s">
        <v>477</v>
      </c>
      <c r="K45253" s="18"/>
    </row>
    <row r="45254">
      <c r="B45254" s="17" t="s">
        <v>477</v>
      </c>
      <c r="K45254" s="18"/>
    </row>
    <row r="45255">
      <c r="B45255" s="17" t="s">
        <v>477</v>
      </c>
      <c r="K45255" s="18"/>
    </row>
    <row r="45256">
      <c r="B45256" s="17" t="s">
        <v>477</v>
      </c>
      <c r="K45256" s="18"/>
    </row>
    <row r="45257">
      <c r="B45257" s="17" t="s">
        <v>477</v>
      </c>
      <c r="K45257" s="18"/>
    </row>
    <row r="45258">
      <c r="B45258" s="17" t="s">
        <v>477</v>
      </c>
      <c r="K45258" s="18"/>
    </row>
    <row r="45259">
      <c r="B45259" s="17" t="s">
        <v>477</v>
      </c>
      <c r="K45259" s="18"/>
    </row>
    <row r="45260">
      <c r="B45260" s="17" t="s">
        <v>477</v>
      </c>
      <c r="K45260" s="18"/>
    </row>
    <row r="45261">
      <c r="B45261" s="17" t="s">
        <v>477</v>
      </c>
      <c r="K45261" s="18"/>
    </row>
    <row r="45262">
      <c r="B45262" s="17" t="s">
        <v>477</v>
      </c>
      <c r="K45262" s="18"/>
    </row>
    <row r="45263">
      <c r="B45263" s="17" t="s">
        <v>477</v>
      </c>
      <c r="K45263" s="18"/>
    </row>
    <row r="45264">
      <c r="B45264" s="17" t="s">
        <v>477</v>
      </c>
      <c r="K45264" s="18"/>
    </row>
    <row r="45265">
      <c r="B45265" s="17" t="s">
        <v>477</v>
      </c>
      <c r="K45265" s="18"/>
    </row>
    <row r="45266">
      <c r="B45266" s="17" t="s">
        <v>477</v>
      </c>
      <c r="K45266" s="18"/>
    </row>
    <row r="45267">
      <c r="B45267" s="17" t="s">
        <v>477</v>
      </c>
      <c r="K45267" s="18"/>
    </row>
    <row r="45268">
      <c r="B45268" s="17" t="s">
        <v>477</v>
      </c>
      <c r="K45268" s="18"/>
    </row>
    <row r="45269">
      <c r="B45269" s="17" t="s">
        <v>477</v>
      </c>
      <c r="K45269" s="18"/>
    </row>
    <row r="45270">
      <c r="B45270" s="17" t="s">
        <v>477</v>
      </c>
      <c r="K45270" s="18"/>
    </row>
    <row r="45271">
      <c r="B45271" s="17" t="s">
        <v>477</v>
      </c>
      <c r="K45271" s="18"/>
    </row>
    <row r="45272">
      <c r="B45272" s="17" t="s">
        <v>477</v>
      </c>
      <c r="K45272" s="18"/>
    </row>
    <row r="45273">
      <c r="B45273" s="17" t="s">
        <v>477</v>
      </c>
      <c r="K45273" s="18"/>
    </row>
    <row r="45274">
      <c r="B45274" s="17" t="s">
        <v>477</v>
      </c>
      <c r="K45274" s="18"/>
    </row>
    <row r="45275">
      <c r="B45275" s="17" t="s">
        <v>477</v>
      </c>
      <c r="K45275" s="18"/>
    </row>
    <row r="45276">
      <c r="B45276" s="17" t="s">
        <v>477</v>
      </c>
      <c r="K45276" s="18"/>
    </row>
    <row r="45277">
      <c r="B45277" s="17" t="s">
        <v>477</v>
      </c>
      <c r="K45277" s="18"/>
    </row>
    <row r="45278">
      <c r="B45278" s="17" t="s">
        <v>477</v>
      </c>
      <c r="K45278" s="18"/>
    </row>
    <row r="45279">
      <c r="B45279" s="17" t="s">
        <v>477</v>
      </c>
      <c r="K45279" s="18"/>
    </row>
    <row r="45280">
      <c r="B45280" s="17" t="s">
        <v>477</v>
      </c>
      <c r="K45280" s="18"/>
    </row>
    <row r="45281">
      <c r="B45281" s="17" t="s">
        <v>477</v>
      </c>
      <c r="K45281" s="18"/>
    </row>
    <row r="45282">
      <c r="B45282" s="17" t="s">
        <v>477</v>
      </c>
      <c r="K45282" s="18"/>
    </row>
    <row r="45283">
      <c r="B45283" s="17" t="s">
        <v>477</v>
      </c>
      <c r="K45283" s="18"/>
    </row>
    <row r="45284">
      <c r="B45284" s="17" t="s">
        <v>477</v>
      </c>
      <c r="K45284" s="18"/>
    </row>
    <row r="45285">
      <c r="B45285" s="17" t="s">
        <v>477</v>
      </c>
      <c r="K45285" s="18"/>
    </row>
    <row r="45286">
      <c r="B45286" s="17" t="s">
        <v>477</v>
      </c>
      <c r="K45286" s="18"/>
    </row>
    <row r="45287">
      <c r="B45287" s="17" t="s">
        <v>477</v>
      </c>
      <c r="K45287" s="18"/>
    </row>
    <row r="45288">
      <c r="B45288" s="17" t="s">
        <v>477</v>
      </c>
      <c r="K45288" s="18"/>
    </row>
    <row r="45289">
      <c r="B45289" s="17" t="s">
        <v>477</v>
      </c>
      <c r="K45289" s="18"/>
    </row>
    <row r="45290">
      <c r="B45290" s="17" t="s">
        <v>477</v>
      </c>
      <c r="K45290" s="18"/>
    </row>
    <row r="45291">
      <c r="B45291" s="17" t="s">
        <v>477</v>
      </c>
      <c r="K45291" s="18"/>
    </row>
    <row r="45292">
      <c r="B45292" s="17" t="s">
        <v>477</v>
      </c>
      <c r="K45292" s="18"/>
    </row>
    <row r="45293">
      <c r="B45293" s="17" t="s">
        <v>477</v>
      </c>
      <c r="K45293" s="18"/>
    </row>
    <row r="45294">
      <c r="B45294" s="17" t="s">
        <v>477</v>
      </c>
      <c r="K45294" s="18"/>
    </row>
    <row r="45295">
      <c r="B45295" s="17" t="s">
        <v>477</v>
      </c>
      <c r="K45295" s="18"/>
    </row>
    <row r="45296">
      <c r="B45296" s="17" t="s">
        <v>477</v>
      </c>
      <c r="K45296" s="18"/>
    </row>
    <row r="45297">
      <c r="B45297" s="17" t="s">
        <v>477</v>
      </c>
      <c r="K45297" s="18"/>
    </row>
    <row r="45298">
      <c r="B45298" s="17" t="s">
        <v>477</v>
      </c>
      <c r="K45298" s="18"/>
    </row>
    <row r="45299">
      <c r="B45299" s="17" t="s">
        <v>477</v>
      </c>
      <c r="K45299" s="18"/>
    </row>
    <row r="45300">
      <c r="B45300" s="17" t="s">
        <v>477</v>
      </c>
      <c r="K45300" s="18"/>
    </row>
    <row r="45301">
      <c r="B45301" s="17" t="s">
        <v>477</v>
      </c>
      <c r="K45301" s="18"/>
    </row>
    <row r="45302">
      <c r="B45302" s="17" t="s">
        <v>477</v>
      </c>
      <c r="K45302" s="18"/>
    </row>
    <row r="45303">
      <c r="B45303" s="17" t="s">
        <v>477</v>
      </c>
      <c r="K45303" s="18"/>
    </row>
    <row r="45304">
      <c r="B45304" s="17" t="s">
        <v>477</v>
      </c>
      <c r="K45304" s="18"/>
    </row>
    <row r="45305">
      <c r="B45305" s="17" t="s">
        <v>477</v>
      </c>
      <c r="K45305" s="18"/>
    </row>
    <row r="45306">
      <c r="B45306" s="17" t="s">
        <v>477</v>
      </c>
      <c r="K45306" s="18"/>
    </row>
    <row r="45307">
      <c r="B45307" s="17" t="s">
        <v>477</v>
      </c>
      <c r="K45307" s="18"/>
    </row>
    <row r="45308">
      <c r="B45308" s="17" t="s">
        <v>477</v>
      </c>
      <c r="K45308" s="18"/>
    </row>
    <row r="45309">
      <c r="B45309" s="17" t="s">
        <v>477</v>
      </c>
      <c r="K45309" s="18"/>
    </row>
    <row r="45310">
      <c r="B45310" s="17" t="s">
        <v>477</v>
      </c>
      <c r="K45310" s="18"/>
    </row>
    <row r="45311">
      <c r="B45311" s="17" t="s">
        <v>477</v>
      </c>
      <c r="K45311" s="18"/>
    </row>
    <row r="45312">
      <c r="B45312" s="17" t="s">
        <v>477</v>
      </c>
      <c r="K45312" s="18"/>
    </row>
    <row r="45313">
      <c r="B45313" s="17" t="s">
        <v>477</v>
      </c>
      <c r="K45313" s="18"/>
    </row>
    <row r="45314">
      <c r="B45314" s="17" t="s">
        <v>477</v>
      </c>
      <c r="K45314" s="18"/>
    </row>
    <row r="45315">
      <c r="B45315" s="17" t="s">
        <v>477</v>
      </c>
      <c r="K45315" s="18"/>
    </row>
    <row r="45316">
      <c r="B45316" s="17" t="s">
        <v>477</v>
      </c>
      <c r="K45316" s="18"/>
    </row>
    <row r="45317">
      <c r="B45317" s="17" t="s">
        <v>477</v>
      </c>
      <c r="K45317" s="18"/>
    </row>
    <row r="45318">
      <c r="B45318" s="17" t="s">
        <v>477</v>
      </c>
      <c r="K45318" s="18"/>
    </row>
    <row r="45319">
      <c r="B45319" s="17" t="s">
        <v>477</v>
      </c>
      <c r="K45319" s="18"/>
    </row>
    <row r="45320">
      <c r="B45320" s="17" t="s">
        <v>477</v>
      </c>
      <c r="K45320" s="18"/>
    </row>
    <row r="45321">
      <c r="B45321" s="17" t="s">
        <v>477</v>
      </c>
      <c r="K45321" s="18"/>
    </row>
    <row r="45322">
      <c r="B45322" s="17" t="s">
        <v>477</v>
      </c>
      <c r="K45322" s="18"/>
    </row>
    <row r="45323">
      <c r="B45323" s="17" t="s">
        <v>477</v>
      </c>
      <c r="K45323" s="18"/>
    </row>
    <row r="45324">
      <c r="B45324" s="17" t="s">
        <v>477</v>
      </c>
      <c r="K45324" s="18"/>
    </row>
    <row r="45325">
      <c r="B45325" s="17" t="s">
        <v>477</v>
      </c>
      <c r="K45325" s="18"/>
    </row>
    <row r="45326">
      <c r="B45326" s="17" t="s">
        <v>477</v>
      </c>
      <c r="K45326" s="18"/>
    </row>
    <row r="45327">
      <c r="B45327" s="17" t="s">
        <v>477</v>
      </c>
      <c r="K45327" s="18"/>
    </row>
    <row r="45328">
      <c r="B45328" s="17" t="s">
        <v>477</v>
      </c>
      <c r="K45328" s="18"/>
    </row>
    <row r="45329">
      <c r="B45329" s="17" t="s">
        <v>477</v>
      </c>
      <c r="K45329" s="18"/>
    </row>
    <row r="45330">
      <c r="B45330" s="17" t="s">
        <v>477</v>
      </c>
      <c r="K45330" s="18"/>
    </row>
    <row r="45331">
      <c r="B45331" s="17" t="s">
        <v>477</v>
      </c>
      <c r="K45331" s="18"/>
    </row>
    <row r="45332">
      <c r="B45332" s="17" t="s">
        <v>477</v>
      </c>
      <c r="K45332" s="18"/>
    </row>
    <row r="45333">
      <c r="B45333" s="17" t="s">
        <v>477</v>
      </c>
      <c r="K45333" s="18"/>
    </row>
    <row r="45334">
      <c r="B45334" s="17" t="s">
        <v>477</v>
      </c>
      <c r="K45334" s="18"/>
    </row>
    <row r="45335">
      <c r="B45335" s="17" t="s">
        <v>477</v>
      </c>
      <c r="K45335" s="18"/>
    </row>
    <row r="45336">
      <c r="B45336" s="17" t="s">
        <v>477</v>
      </c>
      <c r="K45336" s="18"/>
    </row>
    <row r="45337">
      <c r="B45337" s="17" t="s">
        <v>477</v>
      </c>
      <c r="K45337" s="18"/>
    </row>
    <row r="45338">
      <c r="B45338" s="17" t="s">
        <v>477</v>
      </c>
      <c r="K45338" s="18"/>
    </row>
    <row r="45339">
      <c r="B45339" s="17" t="s">
        <v>477</v>
      </c>
      <c r="K45339" s="18"/>
    </row>
    <row r="45340">
      <c r="B45340" s="17" t="s">
        <v>477</v>
      </c>
      <c r="K45340" s="18"/>
    </row>
    <row r="45341">
      <c r="B45341" s="17" t="s">
        <v>477</v>
      </c>
      <c r="K45341" s="18"/>
    </row>
    <row r="45342">
      <c r="B45342" s="17" t="s">
        <v>477</v>
      </c>
      <c r="K45342" s="18"/>
    </row>
    <row r="45343">
      <c r="B45343" s="17" t="s">
        <v>477</v>
      </c>
      <c r="K45343" s="18"/>
    </row>
    <row r="45344">
      <c r="B45344" s="17" t="s">
        <v>477</v>
      </c>
      <c r="K45344" s="18"/>
    </row>
    <row r="45345">
      <c r="B45345" s="17" t="s">
        <v>477</v>
      </c>
      <c r="K45345" s="18"/>
    </row>
    <row r="45346">
      <c r="B45346" s="17" t="s">
        <v>477</v>
      </c>
      <c r="K45346" s="18"/>
    </row>
    <row r="45347">
      <c r="B45347" s="17" t="s">
        <v>477</v>
      </c>
      <c r="K45347" s="18"/>
    </row>
    <row r="45348">
      <c r="B45348" s="17" t="s">
        <v>477</v>
      </c>
      <c r="K45348" s="18"/>
    </row>
    <row r="45349">
      <c r="B45349" s="17" t="s">
        <v>477</v>
      </c>
      <c r="K45349" s="18"/>
    </row>
    <row r="45350">
      <c r="B45350" s="17" t="s">
        <v>477</v>
      </c>
      <c r="K45350" s="18"/>
    </row>
    <row r="45351">
      <c r="B45351" s="17" t="s">
        <v>477</v>
      </c>
      <c r="K45351" s="18"/>
    </row>
    <row r="45352">
      <c r="B45352" s="17" t="s">
        <v>477</v>
      </c>
      <c r="K45352" s="18"/>
    </row>
    <row r="45353">
      <c r="B45353" s="17" t="s">
        <v>477</v>
      </c>
      <c r="K45353" s="18"/>
    </row>
    <row r="45354">
      <c r="B45354" s="17" t="s">
        <v>477</v>
      </c>
      <c r="K45354" s="18"/>
    </row>
    <row r="45355">
      <c r="B45355" s="17" t="s">
        <v>477</v>
      </c>
      <c r="K45355" s="18"/>
    </row>
    <row r="45356">
      <c r="B45356" s="17" t="s">
        <v>477</v>
      </c>
      <c r="K45356" s="18"/>
    </row>
    <row r="45357">
      <c r="B45357" s="17" t="s">
        <v>477</v>
      </c>
      <c r="K45357" s="18"/>
    </row>
    <row r="45358">
      <c r="B45358" s="17" t="s">
        <v>477</v>
      </c>
      <c r="K45358" s="18"/>
    </row>
    <row r="45359">
      <c r="B45359" s="17" t="s">
        <v>477</v>
      </c>
      <c r="K45359" s="18"/>
    </row>
    <row r="45360">
      <c r="B45360" s="17" t="s">
        <v>477</v>
      </c>
      <c r="K45360" s="18"/>
    </row>
    <row r="45361">
      <c r="B45361" s="17" t="s">
        <v>477</v>
      </c>
      <c r="K45361" s="18"/>
    </row>
    <row r="45362">
      <c r="B45362" s="17" t="s">
        <v>477</v>
      </c>
      <c r="K45362" s="18"/>
    </row>
    <row r="45363">
      <c r="B45363" s="17" t="s">
        <v>477</v>
      </c>
      <c r="K45363" s="18"/>
    </row>
    <row r="45364">
      <c r="B45364" s="17" t="s">
        <v>477</v>
      </c>
      <c r="K45364" s="18"/>
    </row>
    <row r="45365">
      <c r="B45365" s="17" t="s">
        <v>477</v>
      </c>
      <c r="K45365" s="18"/>
    </row>
    <row r="45366">
      <c r="B45366" s="17" t="s">
        <v>477</v>
      </c>
      <c r="K45366" s="18"/>
    </row>
    <row r="45367">
      <c r="B45367" s="17" t="s">
        <v>477</v>
      </c>
      <c r="K45367" s="18"/>
    </row>
    <row r="45368">
      <c r="B45368" s="17" t="s">
        <v>477</v>
      </c>
      <c r="K45368" s="18"/>
    </row>
    <row r="45369">
      <c r="B45369" s="17" t="s">
        <v>477</v>
      </c>
      <c r="K45369" s="18"/>
    </row>
    <row r="45370">
      <c r="B45370" s="17" t="s">
        <v>477</v>
      </c>
      <c r="K45370" s="18"/>
    </row>
    <row r="45371">
      <c r="B45371" s="17" t="s">
        <v>477</v>
      </c>
      <c r="K45371" s="18"/>
    </row>
    <row r="45372">
      <c r="B45372" s="17" t="s">
        <v>477</v>
      </c>
      <c r="K45372" s="18"/>
    </row>
    <row r="45373">
      <c r="B45373" s="17" t="s">
        <v>477</v>
      </c>
      <c r="K45373" s="18"/>
    </row>
    <row r="45374">
      <c r="B45374" s="17" t="s">
        <v>477</v>
      </c>
      <c r="K45374" s="18"/>
    </row>
    <row r="45375">
      <c r="B45375" s="17" t="s">
        <v>477</v>
      </c>
      <c r="K45375" s="18"/>
    </row>
    <row r="45376">
      <c r="B45376" s="17" t="s">
        <v>477</v>
      </c>
      <c r="K45376" s="18"/>
    </row>
    <row r="45377">
      <c r="B45377" s="17" t="s">
        <v>477</v>
      </c>
      <c r="K45377" s="18"/>
    </row>
    <row r="45378">
      <c r="B45378" s="17" t="s">
        <v>477</v>
      </c>
      <c r="K45378" s="18"/>
    </row>
    <row r="45379">
      <c r="B45379" s="17" t="s">
        <v>477</v>
      </c>
      <c r="K45379" s="18"/>
    </row>
    <row r="45380">
      <c r="B45380" s="17" t="s">
        <v>477</v>
      </c>
      <c r="K45380" s="18"/>
    </row>
    <row r="45381">
      <c r="B45381" s="17" t="s">
        <v>477</v>
      </c>
      <c r="K45381" s="18"/>
    </row>
    <row r="45382">
      <c r="B45382" s="17" t="s">
        <v>477</v>
      </c>
      <c r="K45382" s="18"/>
    </row>
    <row r="45383">
      <c r="B45383" s="17" t="s">
        <v>477</v>
      </c>
      <c r="K45383" s="18"/>
    </row>
    <row r="45384">
      <c r="B45384" s="17" t="s">
        <v>477</v>
      </c>
      <c r="K45384" s="18"/>
    </row>
    <row r="45385">
      <c r="B45385" s="17" t="s">
        <v>477</v>
      </c>
      <c r="K45385" s="18"/>
    </row>
    <row r="45386">
      <c r="B45386" s="17" t="s">
        <v>477</v>
      </c>
      <c r="K45386" s="18"/>
    </row>
    <row r="45387">
      <c r="B45387" s="17" t="s">
        <v>477</v>
      </c>
      <c r="K45387" s="18"/>
    </row>
    <row r="45388">
      <c r="B45388" s="17" t="s">
        <v>477</v>
      </c>
      <c r="K45388" s="18"/>
    </row>
    <row r="45389">
      <c r="B45389" s="17" t="s">
        <v>477</v>
      </c>
      <c r="K45389" s="18"/>
    </row>
    <row r="45390">
      <c r="B45390" s="17" t="s">
        <v>477</v>
      </c>
      <c r="K45390" s="18"/>
    </row>
    <row r="45391">
      <c r="B45391" s="17" t="s">
        <v>477</v>
      </c>
      <c r="K45391" s="18"/>
    </row>
    <row r="45392">
      <c r="B45392" s="17" t="s">
        <v>477</v>
      </c>
      <c r="K45392" s="18"/>
    </row>
    <row r="45393">
      <c r="B45393" s="17" t="s">
        <v>477</v>
      </c>
      <c r="K45393" s="18"/>
    </row>
    <row r="45394">
      <c r="B45394" s="17" t="s">
        <v>477</v>
      </c>
      <c r="K45394" s="18"/>
    </row>
    <row r="45395">
      <c r="B45395" s="17" t="s">
        <v>477</v>
      </c>
      <c r="K45395" s="18"/>
    </row>
    <row r="45396">
      <c r="B45396" s="17" t="s">
        <v>477</v>
      </c>
      <c r="K45396" s="18"/>
    </row>
    <row r="45397">
      <c r="B45397" s="17" t="s">
        <v>477</v>
      </c>
      <c r="K45397" s="18"/>
    </row>
    <row r="45398">
      <c r="B45398" s="17" t="s">
        <v>477</v>
      </c>
      <c r="K45398" s="18"/>
    </row>
    <row r="45399">
      <c r="B45399" s="17" t="s">
        <v>477</v>
      </c>
      <c r="K45399" s="18"/>
    </row>
    <row r="45400">
      <c r="B45400" s="17" t="s">
        <v>477</v>
      </c>
      <c r="K45400" s="18"/>
    </row>
    <row r="45401">
      <c r="B45401" s="17" t="s">
        <v>477</v>
      </c>
      <c r="K45401" s="18"/>
    </row>
    <row r="45402">
      <c r="B45402" s="17" t="s">
        <v>477</v>
      </c>
      <c r="K45402" s="18"/>
    </row>
    <row r="45403">
      <c r="B45403" s="17" t="s">
        <v>477</v>
      </c>
      <c r="K45403" s="18"/>
    </row>
    <row r="45404">
      <c r="B45404" s="17" t="s">
        <v>477</v>
      </c>
      <c r="K45404" s="18"/>
    </row>
    <row r="45405">
      <c r="B45405" s="17" t="s">
        <v>477</v>
      </c>
      <c r="K45405" s="18"/>
    </row>
    <row r="45406">
      <c r="B45406" s="17" t="s">
        <v>477</v>
      </c>
      <c r="K45406" s="18"/>
    </row>
    <row r="45407">
      <c r="B45407" s="17" t="s">
        <v>477</v>
      </c>
      <c r="K45407" s="18"/>
    </row>
    <row r="45408">
      <c r="B45408" s="17" t="s">
        <v>477</v>
      </c>
      <c r="K45408" s="18"/>
    </row>
    <row r="45409">
      <c r="B45409" s="17" t="s">
        <v>477</v>
      </c>
      <c r="K45409" s="18"/>
    </row>
    <row r="45410">
      <c r="B45410" s="17" t="s">
        <v>477</v>
      </c>
      <c r="K45410" s="18"/>
    </row>
    <row r="45411">
      <c r="B45411" s="17" t="s">
        <v>477</v>
      </c>
      <c r="K45411" s="18"/>
    </row>
    <row r="45412">
      <c r="B45412" s="17" t="s">
        <v>477</v>
      </c>
      <c r="K45412" s="18"/>
    </row>
    <row r="45413">
      <c r="B45413" s="17" t="s">
        <v>477</v>
      </c>
      <c r="K45413" s="18"/>
    </row>
    <row r="45414">
      <c r="B45414" s="17" t="s">
        <v>477</v>
      </c>
      <c r="K45414" s="18"/>
    </row>
    <row r="45415">
      <c r="B45415" s="17" t="s">
        <v>477</v>
      </c>
      <c r="K45415" s="18"/>
    </row>
    <row r="45416">
      <c r="B45416" s="17" t="s">
        <v>477</v>
      </c>
      <c r="K45416" s="18"/>
    </row>
    <row r="45417">
      <c r="B45417" s="17" t="s">
        <v>477</v>
      </c>
      <c r="K45417" s="18"/>
    </row>
    <row r="45418">
      <c r="B45418" s="17" t="s">
        <v>477</v>
      </c>
      <c r="K45418" s="18"/>
    </row>
    <row r="45419">
      <c r="B45419" s="17" t="s">
        <v>477</v>
      </c>
      <c r="K45419" s="18"/>
    </row>
    <row r="45420">
      <c r="B45420" s="17" t="s">
        <v>477</v>
      </c>
      <c r="K45420" s="18"/>
    </row>
    <row r="45421">
      <c r="B45421" s="17" t="s">
        <v>477</v>
      </c>
      <c r="K45421" s="18"/>
    </row>
    <row r="45422">
      <c r="B45422" s="17" t="s">
        <v>477</v>
      </c>
      <c r="K45422" s="18"/>
    </row>
    <row r="45423">
      <c r="B45423" s="17" t="s">
        <v>477</v>
      </c>
      <c r="K45423" s="18"/>
    </row>
    <row r="45424">
      <c r="B45424" s="17" t="s">
        <v>477</v>
      </c>
      <c r="K45424" s="18"/>
    </row>
    <row r="45425">
      <c r="B45425" s="17" t="s">
        <v>477</v>
      </c>
      <c r="K45425" s="18"/>
    </row>
    <row r="45426">
      <c r="B45426" s="17" t="s">
        <v>477</v>
      </c>
      <c r="K45426" s="18"/>
    </row>
    <row r="45427">
      <c r="B45427" s="17" t="s">
        <v>477</v>
      </c>
      <c r="K45427" s="18"/>
    </row>
    <row r="45428">
      <c r="B45428" s="17" t="s">
        <v>477</v>
      </c>
      <c r="K45428" s="18"/>
    </row>
    <row r="45429">
      <c r="B45429" s="17" t="s">
        <v>477</v>
      </c>
      <c r="K45429" s="18"/>
    </row>
    <row r="45430">
      <c r="B45430" s="17" t="s">
        <v>477</v>
      </c>
      <c r="K45430" s="18"/>
    </row>
    <row r="45431">
      <c r="B45431" s="17" t="s">
        <v>477</v>
      </c>
      <c r="K45431" s="18"/>
    </row>
    <row r="45432">
      <c r="B45432" s="17" t="s">
        <v>477</v>
      </c>
      <c r="K45432" s="18"/>
    </row>
    <row r="45433">
      <c r="B45433" s="17" t="s">
        <v>477</v>
      </c>
      <c r="K45433" s="18"/>
    </row>
    <row r="45434">
      <c r="B45434" s="17" t="s">
        <v>477</v>
      </c>
      <c r="K45434" s="18"/>
    </row>
    <row r="45435">
      <c r="B45435" s="17" t="s">
        <v>477</v>
      </c>
      <c r="K45435" s="18"/>
    </row>
    <row r="45436">
      <c r="B45436" s="17" t="s">
        <v>477</v>
      </c>
      <c r="K45436" s="18"/>
    </row>
    <row r="45437">
      <c r="B45437" s="17" t="s">
        <v>477</v>
      </c>
      <c r="K45437" s="18"/>
    </row>
    <row r="45438">
      <c r="B45438" s="17" t="s">
        <v>477</v>
      </c>
      <c r="K45438" s="18"/>
    </row>
    <row r="45439">
      <c r="B45439" s="17" t="s">
        <v>477</v>
      </c>
      <c r="K45439" s="18"/>
    </row>
    <row r="45440">
      <c r="B45440" s="17" t="s">
        <v>477</v>
      </c>
      <c r="K45440" s="18"/>
    </row>
    <row r="45441">
      <c r="B45441" s="17" t="s">
        <v>477</v>
      </c>
      <c r="K45441" s="18"/>
    </row>
    <row r="45442">
      <c r="B45442" s="17" t="s">
        <v>477</v>
      </c>
      <c r="K45442" s="18"/>
    </row>
    <row r="45443">
      <c r="B45443" s="17" t="s">
        <v>477</v>
      </c>
      <c r="K45443" s="18"/>
    </row>
    <row r="45444">
      <c r="B45444" s="17" t="s">
        <v>477</v>
      </c>
      <c r="K45444" s="18"/>
    </row>
    <row r="45445">
      <c r="B45445" s="17" t="s">
        <v>477</v>
      </c>
      <c r="K45445" s="18"/>
    </row>
    <row r="45446">
      <c r="B45446" s="17" t="s">
        <v>477</v>
      </c>
      <c r="K45446" s="18"/>
    </row>
    <row r="45447">
      <c r="B45447" s="17" t="s">
        <v>477</v>
      </c>
      <c r="K45447" s="18"/>
    </row>
    <row r="45448">
      <c r="B45448" s="17" t="s">
        <v>477</v>
      </c>
      <c r="K45448" s="18"/>
    </row>
    <row r="45449">
      <c r="B45449" s="17" t="s">
        <v>477</v>
      </c>
      <c r="K45449" s="18"/>
    </row>
    <row r="45450">
      <c r="B45450" s="17" t="s">
        <v>477</v>
      </c>
      <c r="K45450" s="18"/>
    </row>
    <row r="45451">
      <c r="B45451" s="17" t="s">
        <v>477</v>
      </c>
      <c r="K45451" s="18"/>
    </row>
    <row r="45452">
      <c r="B45452" s="17" t="s">
        <v>477</v>
      </c>
      <c r="K45452" s="18"/>
    </row>
    <row r="45453">
      <c r="B45453" s="17" t="s">
        <v>477</v>
      </c>
      <c r="K45453" s="18"/>
    </row>
    <row r="45454">
      <c r="B45454" s="17" t="s">
        <v>477</v>
      </c>
      <c r="K45454" s="18"/>
    </row>
    <row r="45455">
      <c r="B45455" s="17" t="s">
        <v>477</v>
      </c>
      <c r="K45455" s="18"/>
    </row>
    <row r="45456">
      <c r="B45456" s="17" t="s">
        <v>477</v>
      </c>
      <c r="K45456" s="18"/>
    </row>
    <row r="45457">
      <c r="B45457" s="17" t="s">
        <v>477</v>
      </c>
      <c r="K45457" s="18"/>
    </row>
    <row r="45458">
      <c r="B45458" s="17" t="s">
        <v>477</v>
      </c>
      <c r="K45458" s="18"/>
    </row>
    <row r="45459">
      <c r="B45459" s="17" t="s">
        <v>477</v>
      </c>
      <c r="K45459" s="18"/>
    </row>
    <row r="45460">
      <c r="B45460" s="17" t="s">
        <v>477</v>
      </c>
      <c r="K45460" s="18"/>
    </row>
    <row r="45461">
      <c r="B45461" s="17" t="s">
        <v>477</v>
      </c>
      <c r="K45461" s="18"/>
    </row>
    <row r="45462">
      <c r="B45462" s="17" t="s">
        <v>477</v>
      </c>
      <c r="K45462" s="18"/>
    </row>
    <row r="45463">
      <c r="B45463" s="17" t="s">
        <v>477</v>
      </c>
      <c r="K45463" s="18"/>
    </row>
    <row r="45464">
      <c r="B45464" s="17" t="s">
        <v>477</v>
      </c>
      <c r="K45464" s="18"/>
    </row>
    <row r="45465">
      <c r="B45465" s="17" t="s">
        <v>477</v>
      </c>
      <c r="K45465" s="18"/>
    </row>
    <row r="45466">
      <c r="B45466" s="17" t="s">
        <v>477</v>
      </c>
      <c r="K45466" s="18"/>
    </row>
    <row r="45467">
      <c r="B45467" s="17" t="s">
        <v>477</v>
      </c>
      <c r="K45467" s="18"/>
    </row>
    <row r="45468">
      <c r="B45468" s="17" t="s">
        <v>477</v>
      </c>
      <c r="K45468" s="18"/>
    </row>
    <row r="45469">
      <c r="B45469" s="17" t="s">
        <v>477</v>
      </c>
      <c r="K45469" s="18"/>
    </row>
    <row r="45470">
      <c r="B45470" s="17" t="s">
        <v>477</v>
      </c>
      <c r="K45470" s="18"/>
    </row>
    <row r="45471">
      <c r="B45471" s="17" t="s">
        <v>477</v>
      </c>
      <c r="K45471" s="18"/>
    </row>
    <row r="45472">
      <c r="B45472" s="17" t="s">
        <v>477</v>
      </c>
      <c r="K45472" s="18"/>
    </row>
    <row r="45473">
      <c r="B45473" s="17" t="s">
        <v>477</v>
      </c>
      <c r="K45473" s="18"/>
    </row>
    <row r="45474">
      <c r="B45474" s="17" t="s">
        <v>477</v>
      </c>
      <c r="K45474" s="18"/>
    </row>
    <row r="45475">
      <c r="B45475" s="17" t="s">
        <v>477</v>
      </c>
      <c r="K45475" s="18"/>
    </row>
    <row r="45476">
      <c r="B45476" s="17" t="s">
        <v>477</v>
      </c>
      <c r="K45476" s="18"/>
    </row>
    <row r="45477">
      <c r="B45477" s="17" t="s">
        <v>477</v>
      </c>
      <c r="K45477" s="18"/>
    </row>
    <row r="45478">
      <c r="B45478" s="17" t="s">
        <v>477</v>
      </c>
      <c r="K45478" s="18"/>
    </row>
    <row r="45479">
      <c r="B45479" s="17" t="s">
        <v>477</v>
      </c>
      <c r="K45479" s="18"/>
    </row>
    <row r="45480">
      <c r="B45480" s="17" t="s">
        <v>477</v>
      </c>
      <c r="K45480" s="18"/>
    </row>
    <row r="45481">
      <c r="B45481" s="17" t="s">
        <v>477</v>
      </c>
      <c r="K45481" s="18"/>
    </row>
    <row r="45482">
      <c r="B45482" s="17" t="s">
        <v>477</v>
      </c>
      <c r="K45482" s="18"/>
    </row>
    <row r="45483">
      <c r="B45483" s="17" t="s">
        <v>477</v>
      </c>
      <c r="K45483" s="18"/>
    </row>
    <row r="45484">
      <c r="B45484" s="17" t="s">
        <v>477</v>
      </c>
      <c r="K45484" s="18"/>
    </row>
    <row r="45485">
      <c r="B45485" s="17" t="s">
        <v>477</v>
      </c>
      <c r="K45485" s="18"/>
    </row>
    <row r="45486">
      <c r="B45486" s="17" t="s">
        <v>477</v>
      </c>
      <c r="K45486" s="18"/>
    </row>
    <row r="45487">
      <c r="B45487" s="17" t="s">
        <v>477</v>
      </c>
      <c r="K45487" s="18"/>
    </row>
    <row r="45488">
      <c r="B45488" s="17" t="s">
        <v>477</v>
      </c>
      <c r="K45488" s="18"/>
    </row>
    <row r="45489">
      <c r="B45489" s="17" t="s">
        <v>477</v>
      </c>
      <c r="K45489" s="18"/>
    </row>
    <row r="45490">
      <c r="B45490" s="17" t="s">
        <v>477</v>
      </c>
      <c r="K45490" s="18"/>
    </row>
    <row r="45491">
      <c r="B45491" s="17" t="s">
        <v>477</v>
      </c>
      <c r="K45491" s="18"/>
    </row>
    <row r="45492">
      <c r="B45492" s="17" t="s">
        <v>477</v>
      </c>
      <c r="K45492" s="18"/>
    </row>
    <row r="45493">
      <c r="B45493" s="17" t="s">
        <v>477</v>
      </c>
      <c r="K45493" s="18"/>
    </row>
    <row r="45494">
      <c r="B45494" s="17" t="s">
        <v>477</v>
      </c>
      <c r="K45494" s="18"/>
    </row>
    <row r="45495">
      <c r="B45495" s="17" t="s">
        <v>477</v>
      </c>
      <c r="K45495" s="18"/>
    </row>
    <row r="45496">
      <c r="B45496" s="17" t="s">
        <v>477</v>
      </c>
      <c r="K45496" s="18"/>
    </row>
    <row r="45497">
      <c r="B45497" s="17" t="s">
        <v>477</v>
      </c>
      <c r="K45497" s="18"/>
    </row>
    <row r="45498">
      <c r="B45498" s="17" t="s">
        <v>477</v>
      </c>
      <c r="K45498" s="18"/>
    </row>
    <row r="45499">
      <c r="B45499" s="17" t="s">
        <v>477</v>
      </c>
      <c r="K45499" s="18"/>
    </row>
    <row r="45500">
      <c r="B45500" s="17" t="s">
        <v>477</v>
      </c>
      <c r="K45500" s="18"/>
    </row>
    <row r="45501">
      <c r="B45501" s="17" t="s">
        <v>477</v>
      </c>
      <c r="K45501" s="18"/>
    </row>
    <row r="45502">
      <c r="B45502" s="17" t="s">
        <v>477</v>
      </c>
      <c r="K45502" s="18"/>
    </row>
    <row r="45503">
      <c r="B45503" s="17" t="s">
        <v>477</v>
      </c>
      <c r="K45503" s="18"/>
    </row>
    <row r="45504">
      <c r="B45504" s="17" t="s">
        <v>477</v>
      </c>
      <c r="K45504" s="18"/>
    </row>
    <row r="45505">
      <c r="B45505" s="17" t="s">
        <v>477</v>
      </c>
      <c r="K45505" s="18"/>
    </row>
    <row r="45506">
      <c r="B45506" s="17" t="s">
        <v>477</v>
      </c>
      <c r="K45506" s="18"/>
    </row>
    <row r="45507">
      <c r="B45507" s="17" t="s">
        <v>477</v>
      </c>
      <c r="K45507" s="18"/>
    </row>
    <row r="45508">
      <c r="B45508" s="17" t="s">
        <v>477</v>
      </c>
      <c r="K45508" s="18"/>
    </row>
    <row r="45509">
      <c r="B45509" s="17" t="s">
        <v>477</v>
      </c>
      <c r="K45509" s="18"/>
    </row>
    <row r="45510">
      <c r="B45510" s="17" t="s">
        <v>477</v>
      </c>
      <c r="K45510" s="18"/>
    </row>
    <row r="45511">
      <c r="B45511" s="17" t="s">
        <v>477</v>
      </c>
      <c r="K45511" s="18"/>
    </row>
    <row r="45512">
      <c r="B45512" s="17" t="s">
        <v>477</v>
      </c>
      <c r="K45512" s="18"/>
    </row>
    <row r="45513">
      <c r="B45513" s="17" t="s">
        <v>477</v>
      </c>
      <c r="K45513" s="18"/>
    </row>
    <row r="45514">
      <c r="B45514" s="17" t="s">
        <v>477</v>
      </c>
      <c r="K45514" s="18"/>
    </row>
    <row r="45515">
      <c r="B45515" s="17" t="s">
        <v>477</v>
      </c>
      <c r="K45515" s="18"/>
    </row>
    <row r="45516">
      <c r="B45516" s="17" t="s">
        <v>477</v>
      </c>
      <c r="K45516" s="18"/>
    </row>
    <row r="45517">
      <c r="B45517" s="17" t="s">
        <v>477</v>
      </c>
      <c r="K45517" s="18"/>
    </row>
    <row r="45518">
      <c r="B45518" s="17" t="s">
        <v>477</v>
      </c>
      <c r="K45518" s="18"/>
    </row>
    <row r="45519">
      <c r="B45519" s="17" t="s">
        <v>477</v>
      </c>
      <c r="K45519" s="18"/>
    </row>
    <row r="45520">
      <c r="B45520" s="17" t="s">
        <v>477</v>
      </c>
      <c r="K45520" s="18"/>
    </row>
    <row r="45521">
      <c r="B45521" s="17" t="s">
        <v>477</v>
      </c>
      <c r="K45521" s="18"/>
    </row>
    <row r="45522">
      <c r="B45522" s="17" t="s">
        <v>477</v>
      </c>
      <c r="K45522" s="18"/>
    </row>
    <row r="45523">
      <c r="B45523" s="17" t="s">
        <v>477</v>
      </c>
      <c r="K45523" s="18"/>
    </row>
    <row r="45524">
      <c r="B45524" s="17" t="s">
        <v>477</v>
      </c>
      <c r="K45524" s="18"/>
    </row>
    <row r="45525">
      <c r="B45525" s="17" t="s">
        <v>477</v>
      </c>
      <c r="K45525" s="18"/>
    </row>
    <row r="45526">
      <c r="B45526" s="17" t="s">
        <v>477</v>
      </c>
      <c r="K45526" s="18"/>
    </row>
    <row r="45527">
      <c r="B45527" s="17" t="s">
        <v>477</v>
      </c>
      <c r="K45527" s="18"/>
    </row>
    <row r="45528">
      <c r="B45528" s="17" t="s">
        <v>477</v>
      </c>
      <c r="K45528" s="18"/>
    </row>
    <row r="45529">
      <c r="B45529" s="17" t="s">
        <v>477</v>
      </c>
      <c r="K45529" s="18"/>
    </row>
    <row r="45530">
      <c r="B45530" s="17" t="s">
        <v>477</v>
      </c>
      <c r="K45530" s="18"/>
    </row>
    <row r="45531">
      <c r="B45531" s="17" t="s">
        <v>477</v>
      </c>
      <c r="K45531" s="18"/>
    </row>
    <row r="45532">
      <c r="B45532" s="17" t="s">
        <v>477</v>
      </c>
      <c r="K45532" s="18"/>
    </row>
    <row r="45533">
      <c r="B45533" s="17" t="s">
        <v>477</v>
      </c>
      <c r="K45533" s="18"/>
    </row>
    <row r="45534">
      <c r="B45534" s="17" t="s">
        <v>477</v>
      </c>
      <c r="K45534" s="18"/>
    </row>
    <row r="45535">
      <c r="B45535" s="17" t="s">
        <v>477</v>
      </c>
      <c r="K45535" s="18"/>
    </row>
    <row r="45536">
      <c r="B45536" s="17" t="s">
        <v>477</v>
      </c>
      <c r="K45536" s="18"/>
    </row>
    <row r="45537">
      <c r="B45537" s="17" t="s">
        <v>477</v>
      </c>
      <c r="K45537" s="18"/>
    </row>
    <row r="45538">
      <c r="B45538" s="17" t="s">
        <v>477</v>
      </c>
      <c r="K45538" s="18"/>
    </row>
    <row r="45539">
      <c r="B45539" s="17" t="s">
        <v>477</v>
      </c>
      <c r="K45539" s="18"/>
    </row>
    <row r="45540">
      <c r="B45540" s="17" t="s">
        <v>477</v>
      </c>
      <c r="K45540" s="18"/>
    </row>
    <row r="45541">
      <c r="B45541" s="17" t="s">
        <v>477</v>
      </c>
      <c r="K45541" s="18"/>
    </row>
    <row r="45542">
      <c r="B45542" s="17" t="s">
        <v>477</v>
      </c>
      <c r="K45542" s="18"/>
    </row>
    <row r="45543">
      <c r="B45543" s="17" t="s">
        <v>477</v>
      </c>
      <c r="K45543" s="18"/>
    </row>
    <row r="45544">
      <c r="B45544" s="17" t="s">
        <v>477</v>
      </c>
      <c r="K45544" s="18"/>
    </row>
    <row r="45545">
      <c r="B45545" s="17" t="s">
        <v>477</v>
      </c>
      <c r="K45545" s="18"/>
    </row>
    <row r="45546">
      <c r="B45546" s="17" t="s">
        <v>477</v>
      </c>
      <c r="K45546" s="18"/>
    </row>
    <row r="45547">
      <c r="B45547" s="17" t="s">
        <v>477</v>
      </c>
      <c r="K45547" s="18"/>
    </row>
    <row r="45548">
      <c r="B45548" s="17" t="s">
        <v>477</v>
      </c>
      <c r="K45548" s="18"/>
    </row>
    <row r="45549">
      <c r="B45549" s="17" t="s">
        <v>477</v>
      </c>
      <c r="K45549" s="18"/>
    </row>
    <row r="45550">
      <c r="B45550" s="17" t="s">
        <v>477</v>
      </c>
      <c r="K45550" s="18"/>
    </row>
    <row r="45551">
      <c r="B45551" s="17" t="s">
        <v>477</v>
      </c>
      <c r="K45551" s="18"/>
    </row>
    <row r="45552">
      <c r="B45552" s="17" t="s">
        <v>477</v>
      </c>
      <c r="K45552" s="18"/>
    </row>
    <row r="45553">
      <c r="B45553" s="17" t="s">
        <v>477</v>
      </c>
      <c r="K45553" s="18"/>
    </row>
    <row r="45554">
      <c r="B45554" s="17" t="s">
        <v>477</v>
      </c>
      <c r="K45554" s="18"/>
    </row>
    <row r="45555">
      <c r="B45555" s="17" t="s">
        <v>477</v>
      </c>
      <c r="K45555" s="18"/>
    </row>
    <row r="45556">
      <c r="B45556" s="17" t="s">
        <v>477</v>
      </c>
      <c r="K45556" s="18"/>
    </row>
    <row r="45557">
      <c r="B45557" s="17" t="s">
        <v>477</v>
      </c>
      <c r="K45557" s="18"/>
    </row>
    <row r="45558">
      <c r="B45558" s="17" t="s">
        <v>477</v>
      </c>
      <c r="K45558" s="18"/>
    </row>
    <row r="45559">
      <c r="B45559" s="17" t="s">
        <v>477</v>
      </c>
      <c r="K45559" s="18"/>
    </row>
    <row r="45560">
      <c r="B45560" s="17" t="s">
        <v>477</v>
      </c>
      <c r="K45560" s="18"/>
    </row>
    <row r="45561">
      <c r="B45561" s="17" t="s">
        <v>477</v>
      </c>
      <c r="K45561" s="18"/>
    </row>
    <row r="45562">
      <c r="B45562" s="17" t="s">
        <v>477</v>
      </c>
      <c r="K45562" s="18"/>
    </row>
    <row r="45563">
      <c r="B45563" s="17" t="s">
        <v>477</v>
      </c>
      <c r="K45563" s="18"/>
    </row>
    <row r="45564">
      <c r="B45564" s="17" t="s">
        <v>477</v>
      </c>
      <c r="K45564" s="18"/>
    </row>
    <row r="45565">
      <c r="B45565" s="17" t="s">
        <v>477</v>
      </c>
      <c r="K45565" s="18"/>
    </row>
    <row r="45566">
      <c r="B45566" s="17" t="s">
        <v>477</v>
      </c>
      <c r="K45566" s="18"/>
    </row>
    <row r="45567">
      <c r="B45567" s="17" t="s">
        <v>477</v>
      </c>
      <c r="K45567" s="18"/>
    </row>
    <row r="45568">
      <c r="B45568" s="17" t="s">
        <v>477</v>
      </c>
      <c r="K45568" s="18"/>
    </row>
    <row r="45569">
      <c r="B45569" s="17" t="s">
        <v>477</v>
      </c>
      <c r="K45569" s="18"/>
    </row>
    <row r="45570">
      <c r="B45570" s="17" t="s">
        <v>477</v>
      </c>
      <c r="K45570" s="18"/>
    </row>
    <row r="45571">
      <c r="B45571" s="17" t="s">
        <v>477</v>
      </c>
      <c r="K45571" s="18"/>
    </row>
    <row r="45572">
      <c r="B45572" s="17" t="s">
        <v>477</v>
      </c>
      <c r="K45572" s="18"/>
    </row>
    <row r="45573">
      <c r="B45573" s="17" t="s">
        <v>477</v>
      </c>
      <c r="K45573" s="18"/>
    </row>
    <row r="45574">
      <c r="B45574" s="17" t="s">
        <v>477</v>
      </c>
      <c r="K45574" s="18"/>
    </row>
    <row r="45575">
      <c r="B45575" s="17" t="s">
        <v>477</v>
      </c>
      <c r="K45575" s="18"/>
    </row>
    <row r="45576">
      <c r="B45576" s="17" t="s">
        <v>477</v>
      </c>
      <c r="K45576" s="18"/>
    </row>
    <row r="45577">
      <c r="B45577" s="17" t="s">
        <v>477</v>
      </c>
      <c r="K45577" s="18"/>
    </row>
    <row r="45578">
      <c r="B45578" s="17" t="s">
        <v>477</v>
      </c>
      <c r="K45578" s="18"/>
    </row>
    <row r="45579">
      <c r="B45579" s="17" t="s">
        <v>477</v>
      </c>
      <c r="K45579" s="18"/>
    </row>
    <row r="45580">
      <c r="B45580" s="17" t="s">
        <v>477</v>
      </c>
      <c r="K45580" s="18"/>
    </row>
    <row r="45581">
      <c r="B45581" s="17" t="s">
        <v>477</v>
      </c>
      <c r="K45581" s="18"/>
    </row>
    <row r="45582">
      <c r="B45582" s="17" t="s">
        <v>477</v>
      </c>
      <c r="K45582" s="18"/>
    </row>
    <row r="45583">
      <c r="B45583" s="17" t="s">
        <v>477</v>
      </c>
      <c r="K45583" s="18"/>
    </row>
    <row r="45584">
      <c r="B45584" s="17" t="s">
        <v>477</v>
      </c>
      <c r="K45584" s="18"/>
    </row>
    <row r="45585">
      <c r="B45585" s="17" t="s">
        <v>477</v>
      </c>
      <c r="K45585" s="18"/>
    </row>
    <row r="45586">
      <c r="B45586" s="17" t="s">
        <v>477</v>
      </c>
      <c r="K45586" s="18"/>
    </row>
    <row r="45587">
      <c r="B45587" s="17" t="s">
        <v>477</v>
      </c>
      <c r="K45587" s="18"/>
    </row>
    <row r="45588">
      <c r="B45588" s="17" t="s">
        <v>477</v>
      </c>
      <c r="K45588" s="18"/>
    </row>
    <row r="45589">
      <c r="B45589" s="17" t="s">
        <v>477</v>
      </c>
      <c r="K45589" s="18"/>
    </row>
    <row r="45590">
      <c r="B45590" s="17" t="s">
        <v>477</v>
      </c>
      <c r="K45590" s="18"/>
    </row>
    <row r="45591">
      <c r="B45591" s="17" t="s">
        <v>477</v>
      </c>
      <c r="K45591" s="18"/>
    </row>
    <row r="45592">
      <c r="B45592" s="17" t="s">
        <v>477</v>
      </c>
      <c r="K45592" s="18"/>
    </row>
    <row r="45593">
      <c r="B45593" s="17" t="s">
        <v>477</v>
      </c>
      <c r="K45593" s="18"/>
    </row>
    <row r="45594">
      <c r="B45594" s="17" t="s">
        <v>477</v>
      </c>
      <c r="K45594" s="18"/>
    </row>
    <row r="45595">
      <c r="B45595" s="17" t="s">
        <v>477</v>
      </c>
      <c r="K45595" s="18"/>
    </row>
    <row r="45596">
      <c r="B45596" s="17" t="s">
        <v>477</v>
      </c>
      <c r="K45596" s="18"/>
    </row>
    <row r="45597">
      <c r="B45597" s="17" t="s">
        <v>477</v>
      </c>
      <c r="K45597" s="18"/>
    </row>
    <row r="45598">
      <c r="B45598" s="17" t="s">
        <v>477</v>
      </c>
      <c r="K45598" s="18"/>
    </row>
    <row r="45599">
      <c r="B45599" s="17" t="s">
        <v>477</v>
      </c>
      <c r="K45599" s="18"/>
    </row>
    <row r="45600">
      <c r="B45600" s="17" t="s">
        <v>477</v>
      </c>
      <c r="K45600" s="18"/>
    </row>
    <row r="45601">
      <c r="B45601" s="17" t="s">
        <v>477</v>
      </c>
      <c r="K45601" s="18"/>
    </row>
    <row r="45602">
      <c r="B45602" s="17" t="s">
        <v>477</v>
      </c>
      <c r="K45602" s="18"/>
    </row>
    <row r="45603">
      <c r="B45603" s="17" t="s">
        <v>477</v>
      </c>
      <c r="K45603" s="18"/>
    </row>
    <row r="45604">
      <c r="B45604" s="17" t="s">
        <v>477</v>
      </c>
      <c r="K45604" s="18"/>
    </row>
    <row r="45605">
      <c r="B45605" s="17" t="s">
        <v>477</v>
      </c>
      <c r="K45605" s="18"/>
    </row>
    <row r="45606">
      <c r="B45606" s="17" t="s">
        <v>477</v>
      </c>
      <c r="K45606" s="18"/>
    </row>
    <row r="45607">
      <c r="B45607" s="17" t="s">
        <v>477</v>
      </c>
      <c r="K45607" s="18"/>
    </row>
    <row r="45608">
      <c r="B45608" s="17" t="s">
        <v>477</v>
      </c>
      <c r="K45608" s="18"/>
    </row>
    <row r="45609">
      <c r="B45609" s="17" t="s">
        <v>477</v>
      </c>
      <c r="K45609" s="18"/>
    </row>
    <row r="45610">
      <c r="B45610" s="17" t="s">
        <v>477</v>
      </c>
      <c r="K45610" s="18"/>
    </row>
    <row r="45611">
      <c r="B45611" s="17" t="s">
        <v>477</v>
      </c>
      <c r="K45611" s="18"/>
    </row>
    <row r="45612">
      <c r="B45612" s="17" t="s">
        <v>477</v>
      </c>
      <c r="K45612" s="18"/>
    </row>
    <row r="45613">
      <c r="B45613" s="17" t="s">
        <v>477</v>
      </c>
      <c r="K45613" s="18"/>
    </row>
    <row r="45614">
      <c r="B45614" s="17" t="s">
        <v>477</v>
      </c>
      <c r="K45614" s="18"/>
    </row>
    <row r="45615">
      <c r="B45615" s="17" t="s">
        <v>477</v>
      </c>
      <c r="K45615" s="18"/>
    </row>
    <row r="45616">
      <c r="B45616" s="17" t="s">
        <v>477</v>
      </c>
      <c r="K45616" s="18"/>
    </row>
    <row r="45617">
      <c r="B45617" s="17" t="s">
        <v>477</v>
      </c>
      <c r="K45617" s="18"/>
    </row>
    <row r="45618">
      <c r="B45618" s="17" t="s">
        <v>477</v>
      </c>
      <c r="K45618" s="18"/>
    </row>
    <row r="45619">
      <c r="B45619" s="17" t="s">
        <v>477</v>
      </c>
      <c r="K45619" s="18"/>
    </row>
    <row r="45620">
      <c r="B45620" s="17" t="s">
        <v>477</v>
      </c>
      <c r="K45620" s="18"/>
    </row>
    <row r="45621">
      <c r="B45621" s="17" t="s">
        <v>477</v>
      </c>
      <c r="K45621" s="18"/>
    </row>
    <row r="45622">
      <c r="B45622" s="17" t="s">
        <v>477</v>
      </c>
      <c r="K45622" s="18"/>
    </row>
    <row r="45623">
      <c r="B45623" s="17" t="s">
        <v>477</v>
      </c>
      <c r="K45623" s="18"/>
    </row>
    <row r="45624">
      <c r="B45624" s="17" t="s">
        <v>477</v>
      </c>
      <c r="K45624" s="18"/>
    </row>
    <row r="45625">
      <c r="B45625" s="17" t="s">
        <v>477</v>
      </c>
      <c r="K45625" s="18"/>
    </row>
    <row r="45626">
      <c r="B45626" s="17" t="s">
        <v>477</v>
      </c>
      <c r="K45626" s="18"/>
    </row>
    <row r="45627">
      <c r="B45627" s="17" t="s">
        <v>477</v>
      </c>
      <c r="K45627" s="18"/>
    </row>
    <row r="45628">
      <c r="B45628" s="17" t="s">
        <v>477</v>
      </c>
      <c r="K45628" s="18"/>
    </row>
    <row r="45629">
      <c r="B45629" s="17" t="s">
        <v>477</v>
      </c>
      <c r="K45629" s="18"/>
    </row>
    <row r="45630">
      <c r="B45630" s="17" t="s">
        <v>477</v>
      </c>
      <c r="K45630" s="18"/>
    </row>
    <row r="45631">
      <c r="B45631" s="17" t="s">
        <v>477</v>
      </c>
      <c r="K45631" s="18"/>
    </row>
    <row r="45632">
      <c r="B45632" s="17" t="s">
        <v>477</v>
      </c>
      <c r="K45632" s="18"/>
    </row>
    <row r="45633">
      <c r="B45633" s="17" t="s">
        <v>477</v>
      </c>
      <c r="K45633" s="18"/>
    </row>
    <row r="45634">
      <c r="B45634" s="17" t="s">
        <v>477</v>
      </c>
      <c r="K45634" s="18"/>
    </row>
    <row r="45635">
      <c r="B45635" s="17" t="s">
        <v>477</v>
      </c>
      <c r="K45635" s="18"/>
    </row>
    <row r="45636">
      <c r="B45636" s="17" t="s">
        <v>477</v>
      </c>
      <c r="K45636" s="18"/>
    </row>
    <row r="45637">
      <c r="B45637" s="17" t="s">
        <v>477</v>
      </c>
      <c r="K45637" s="18"/>
    </row>
    <row r="45638">
      <c r="B45638" s="17" t="s">
        <v>477</v>
      </c>
      <c r="K45638" s="18"/>
    </row>
    <row r="45639">
      <c r="B45639" s="17" t="s">
        <v>477</v>
      </c>
      <c r="K45639" s="18"/>
    </row>
    <row r="45640">
      <c r="B45640" s="17" t="s">
        <v>477</v>
      </c>
      <c r="K45640" s="18"/>
    </row>
    <row r="45641">
      <c r="B45641" s="17" t="s">
        <v>477</v>
      </c>
      <c r="K45641" s="18"/>
    </row>
    <row r="45642">
      <c r="B45642" s="17" t="s">
        <v>477</v>
      </c>
      <c r="K45642" s="18"/>
    </row>
    <row r="45643">
      <c r="B45643" s="17" t="s">
        <v>477</v>
      </c>
      <c r="K45643" s="18"/>
    </row>
    <row r="45644">
      <c r="B45644" s="17" t="s">
        <v>477</v>
      </c>
      <c r="K45644" s="18"/>
    </row>
    <row r="45645">
      <c r="B45645" s="17" t="s">
        <v>477</v>
      </c>
      <c r="K45645" s="18"/>
    </row>
    <row r="45646">
      <c r="B45646" s="17" t="s">
        <v>477</v>
      </c>
      <c r="K45646" s="18"/>
    </row>
    <row r="45647">
      <c r="B45647" s="17" t="s">
        <v>477</v>
      </c>
      <c r="K45647" s="18"/>
    </row>
    <row r="45648">
      <c r="B45648" s="17" t="s">
        <v>477</v>
      </c>
      <c r="K45648" s="18"/>
    </row>
    <row r="45649">
      <c r="B45649" s="17" t="s">
        <v>477</v>
      </c>
      <c r="K45649" s="18"/>
    </row>
    <row r="45650">
      <c r="B45650" s="17" t="s">
        <v>477</v>
      </c>
      <c r="K45650" s="18"/>
    </row>
    <row r="45651">
      <c r="B45651" s="17" t="s">
        <v>477</v>
      </c>
      <c r="K45651" s="18"/>
    </row>
    <row r="45652">
      <c r="B45652" s="17" t="s">
        <v>477</v>
      </c>
      <c r="K45652" s="18"/>
    </row>
    <row r="45653">
      <c r="B45653" s="17" t="s">
        <v>477</v>
      </c>
      <c r="K45653" s="18"/>
    </row>
    <row r="45654">
      <c r="B45654" s="17" t="s">
        <v>477</v>
      </c>
      <c r="K45654" s="18"/>
    </row>
    <row r="45655">
      <c r="B45655" s="17" t="s">
        <v>477</v>
      </c>
      <c r="K45655" s="18"/>
    </row>
    <row r="45656">
      <c r="B45656" s="17" t="s">
        <v>477</v>
      </c>
      <c r="K45656" s="18"/>
    </row>
    <row r="45657">
      <c r="B45657" s="17" t="s">
        <v>477</v>
      </c>
      <c r="K45657" s="18"/>
    </row>
    <row r="45658">
      <c r="B45658" s="17" t="s">
        <v>477</v>
      </c>
      <c r="K45658" s="18"/>
    </row>
    <row r="45659">
      <c r="B45659" s="17" t="s">
        <v>477</v>
      </c>
      <c r="K45659" s="18"/>
    </row>
    <row r="45660">
      <c r="B45660" s="17" t="s">
        <v>477</v>
      </c>
      <c r="K45660" s="18"/>
    </row>
    <row r="45661">
      <c r="B45661" s="17" t="s">
        <v>477</v>
      </c>
      <c r="K45661" s="18"/>
    </row>
    <row r="45662">
      <c r="B45662" s="17" t="s">
        <v>477</v>
      </c>
      <c r="K45662" s="18"/>
    </row>
    <row r="45663">
      <c r="B45663" s="17" t="s">
        <v>477</v>
      </c>
      <c r="K45663" s="18"/>
    </row>
    <row r="45664">
      <c r="B45664" s="17" t="s">
        <v>477</v>
      </c>
      <c r="K45664" s="18"/>
    </row>
    <row r="45665">
      <c r="B45665" s="17" t="s">
        <v>477</v>
      </c>
      <c r="K45665" s="18"/>
    </row>
    <row r="45666">
      <c r="B45666" s="17" t="s">
        <v>477</v>
      </c>
      <c r="K45666" s="18"/>
    </row>
    <row r="45667">
      <c r="B45667" s="17" t="s">
        <v>477</v>
      </c>
      <c r="K45667" s="18"/>
    </row>
    <row r="45668">
      <c r="B45668" s="17" t="s">
        <v>477</v>
      </c>
      <c r="K45668" s="18"/>
    </row>
    <row r="45669">
      <c r="B45669" s="17" t="s">
        <v>477</v>
      </c>
      <c r="K45669" s="18"/>
    </row>
    <row r="45670">
      <c r="B45670" s="17" t="s">
        <v>477</v>
      </c>
      <c r="K45670" s="18"/>
    </row>
    <row r="45671">
      <c r="B45671" s="17" t="s">
        <v>477</v>
      </c>
      <c r="K45671" s="18"/>
    </row>
    <row r="45672">
      <c r="B45672" s="17" t="s">
        <v>477</v>
      </c>
      <c r="K45672" s="18"/>
    </row>
    <row r="45673">
      <c r="B45673" s="17" t="s">
        <v>477</v>
      </c>
      <c r="K45673" s="18"/>
    </row>
    <row r="45674">
      <c r="B45674" s="17" t="s">
        <v>477</v>
      </c>
      <c r="K45674" s="18"/>
    </row>
    <row r="45675">
      <c r="B45675" s="17" t="s">
        <v>477</v>
      </c>
      <c r="K45675" s="18"/>
    </row>
    <row r="45676">
      <c r="B45676" s="17" t="s">
        <v>477</v>
      </c>
      <c r="K45676" s="18"/>
    </row>
    <row r="45677">
      <c r="B45677" s="17" t="s">
        <v>477</v>
      </c>
      <c r="K45677" s="18"/>
    </row>
    <row r="45678">
      <c r="B45678" s="17" t="s">
        <v>477</v>
      </c>
      <c r="K45678" s="18"/>
    </row>
    <row r="45679">
      <c r="B45679" s="17" t="s">
        <v>477</v>
      </c>
      <c r="K45679" s="18"/>
    </row>
    <row r="45680">
      <c r="B45680" s="17" t="s">
        <v>477</v>
      </c>
      <c r="K45680" s="18"/>
    </row>
    <row r="45681">
      <c r="B45681" s="17" t="s">
        <v>477</v>
      </c>
      <c r="K45681" s="18"/>
    </row>
    <row r="45682">
      <c r="B45682" s="17" t="s">
        <v>477</v>
      </c>
      <c r="K45682" s="18"/>
    </row>
    <row r="45683">
      <c r="B45683" s="17" t="s">
        <v>477</v>
      </c>
      <c r="K45683" s="18"/>
    </row>
    <row r="45684">
      <c r="B45684" s="17" t="s">
        <v>477</v>
      </c>
      <c r="K45684" s="18"/>
    </row>
    <row r="45685">
      <c r="B45685" s="17" t="s">
        <v>477</v>
      </c>
      <c r="K45685" s="18"/>
    </row>
    <row r="45686">
      <c r="B45686" s="17" t="s">
        <v>477</v>
      </c>
      <c r="K45686" s="18"/>
    </row>
    <row r="45687">
      <c r="B45687" s="17" t="s">
        <v>477</v>
      </c>
      <c r="K45687" s="18"/>
    </row>
    <row r="45688">
      <c r="B45688" s="17" t="s">
        <v>477</v>
      </c>
      <c r="K45688" s="18"/>
    </row>
    <row r="45689">
      <c r="B45689" s="17" t="s">
        <v>477</v>
      </c>
      <c r="K45689" s="18"/>
    </row>
    <row r="45690">
      <c r="B45690" s="17" t="s">
        <v>477</v>
      </c>
      <c r="K45690" s="18"/>
    </row>
    <row r="45691">
      <c r="B45691" s="17" t="s">
        <v>477</v>
      </c>
      <c r="K45691" s="18"/>
    </row>
    <row r="45692">
      <c r="B45692" s="17" t="s">
        <v>477</v>
      </c>
      <c r="K45692" s="18"/>
    </row>
    <row r="45693">
      <c r="B45693" s="17" t="s">
        <v>477</v>
      </c>
      <c r="K45693" s="18"/>
    </row>
    <row r="45694">
      <c r="B45694" s="17" t="s">
        <v>477</v>
      </c>
      <c r="K45694" s="18"/>
    </row>
    <row r="45695">
      <c r="B45695" s="17" t="s">
        <v>477</v>
      </c>
      <c r="K45695" s="18"/>
    </row>
    <row r="45696">
      <c r="B45696" s="17" t="s">
        <v>477</v>
      </c>
      <c r="K45696" s="18"/>
    </row>
    <row r="45697">
      <c r="B45697" s="17" t="s">
        <v>477</v>
      </c>
      <c r="K45697" s="18"/>
    </row>
    <row r="45698">
      <c r="B45698" s="17" t="s">
        <v>477</v>
      </c>
      <c r="K45698" s="18"/>
    </row>
    <row r="45699">
      <c r="B45699" s="17" t="s">
        <v>477</v>
      </c>
      <c r="K45699" s="18"/>
    </row>
    <row r="45700">
      <c r="B45700" s="17" t="s">
        <v>477</v>
      </c>
      <c r="K45700" s="18"/>
    </row>
    <row r="45701">
      <c r="B45701" s="17" t="s">
        <v>477</v>
      </c>
      <c r="K45701" s="18"/>
    </row>
    <row r="45702">
      <c r="B45702" s="17" t="s">
        <v>477</v>
      </c>
      <c r="K45702" s="18"/>
    </row>
    <row r="45703">
      <c r="B45703" s="17" t="s">
        <v>477</v>
      </c>
      <c r="K45703" s="18"/>
    </row>
    <row r="45704">
      <c r="B45704" s="17" t="s">
        <v>477</v>
      </c>
      <c r="K45704" s="18"/>
    </row>
    <row r="45705">
      <c r="B45705" s="17" t="s">
        <v>477</v>
      </c>
      <c r="K45705" s="18"/>
    </row>
    <row r="45706">
      <c r="B45706" s="17" t="s">
        <v>477</v>
      </c>
      <c r="K45706" s="18"/>
    </row>
    <row r="45707">
      <c r="B45707" s="17" t="s">
        <v>477</v>
      </c>
      <c r="K45707" s="18"/>
    </row>
    <row r="45708">
      <c r="B45708" s="17" t="s">
        <v>477</v>
      </c>
      <c r="K45708" s="18"/>
    </row>
    <row r="45709">
      <c r="B45709" s="17" t="s">
        <v>477</v>
      </c>
      <c r="K45709" s="18"/>
    </row>
    <row r="45710">
      <c r="B45710" s="17" t="s">
        <v>477</v>
      </c>
      <c r="K45710" s="18"/>
    </row>
    <row r="45711">
      <c r="B45711" s="17" t="s">
        <v>477</v>
      </c>
      <c r="K45711" s="18"/>
    </row>
    <row r="45712">
      <c r="B45712" s="17" t="s">
        <v>477</v>
      </c>
      <c r="K45712" s="18"/>
    </row>
    <row r="45713">
      <c r="B45713" s="17" t="s">
        <v>477</v>
      </c>
      <c r="K45713" s="18"/>
    </row>
    <row r="45714">
      <c r="B45714" s="17" t="s">
        <v>477</v>
      </c>
      <c r="K45714" s="18"/>
    </row>
    <row r="45715">
      <c r="B45715" s="17" t="s">
        <v>477</v>
      </c>
      <c r="K45715" s="18"/>
    </row>
    <row r="45716">
      <c r="B45716" s="17" t="s">
        <v>477</v>
      </c>
      <c r="K45716" s="18"/>
    </row>
    <row r="45717">
      <c r="B45717" s="17" t="s">
        <v>477</v>
      </c>
      <c r="K45717" s="18"/>
    </row>
    <row r="45718">
      <c r="B45718" s="17" t="s">
        <v>477</v>
      </c>
      <c r="K45718" s="18"/>
    </row>
    <row r="45719">
      <c r="B45719" s="17" t="s">
        <v>477</v>
      </c>
      <c r="K45719" s="18"/>
    </row>
    <row r="45720">
      <c r="B45720" s="17" t="s">
        <v>477</v>
      </c>
      <c r="K45720" s="18"/>
    </row>
    <row r="45721">
      <c r="B45721" s="17" t="s">
        <v>477</v>
      </c>
      <c r="K45721" s="18"/>
    </row>
    <row r="45722">
      <c r="B45722" s="17" t="s">
        <v>477</v>
      </c>
      <c r="K45722" s="18"/>
    </row>
    <row r="45723">
      <c r="B45723" s="17" t="s">
        <v>477</v>
      </c>
      <c r="K45723" s="18"/>
    </row>
    <row r="45724">
      <c r="B45724" s="17" t="s">
        <v>477</v>
      </c>
      <c r="K45724" s="18"/>
    </row>
    <row r="45725">
      <c r="B45725" s="17" t="s">
        <v>477</v>
      </c>
      <c r="K45725" s="18"/>
    </row>
    <row r="45726">
      <c r="B45726" s="17" t="s">
        <v>477</v>
      </c>
      <c r="K45726" s="18"/>
    </row>
    <row r="45727">
      <c r="B45727" s="17" t="s">
        <v>477</v>
      </c>
      <c r="K45727" s="18"/>
    </row>
    <row r="45728">
      <c r="B45728" s="17" t="s">
        <v>477</v>
      </c>
      <c r="K45728" s="18"/>
    </row>
    <row r="45729">
      <c r="B45729" s="17" t="s">
        <v>477</v>
      </c>
      <c r="K45729" s="18"/>
    </row>
    <row r="45730">
      <c r="B45730" s="17" t="s">
        <v>477</v>
      </c>
      <c r="K45730" s="18"/>
    </row>
    <row r="45731">
      <c r="B45731" s="17" t="s">
        <v>477</v>
      </c>
      <c r="K45731" s="18"/>
    </row>
    <row r="45732">
      <c r="B45732" s="17" t="s">
        <v>477</v>
      </c>
      <c r="K45732" s="18"/>
    </row>
    <row r="45733">
      <c r="B45733" s="17" t="s">
        <v>477</v>
      </c>
      <c r="K45733" s="18"/>
    </row>
    <row r="45734">
      <c r="B45734" s="17" t="s">
        <v>477</v>
      </c>
      <c r="K45734" s="18"/>
    </row>
    <row r="45735">
      <c r="B45735" s="17" t="s">
        <v>477</v>
      </c>
      <c r="K45735" s="18"/>
    </row>
    <row r="45736">
      <c r="B45736" s="17" t="s">
        <v>477</v>
      </c>
      <c r="K45736" s="18"/>
    </row>
    <row r="45737">
      <c r="B45737" s="17" t="s">
        <v>477</v>
      </c>
      <c r="K45737" s="18"/>
    </row>
    <row r="45738">
      <c r="B45738" s="17" t="s">
        <v>477</v>
      </c>
      <c r="K45738" s="18"/>
    </row>
    <row r="45739">
      <c r="B45739" s="17" t="s">
        <v>477</v>
      </c>
      <c r="K45739" s="18"/>
    </row>
    <row r="45740">
      <c r="B45740" s="17" t="s">
        <v>477</v>
      </c>
      <c r="K45740" s="18"/>
    </row>
    <row r="45741">
      <c r="B45741" s="17" t="s">
        <v>477</v>
      </c>
      <c r="K45741" s="18"/>
    </row>
    <row r="45742">
      <c r="B45742" s="17" t="s">
        <v>477</v>
      </c>
      <c r="K45742" s="18"/>
    </row>
    <row r="45743">
      <c r="B45743" s="17" t="s">
        <v>477</v>
      </c>
      <c r="K45743" s="18"/>
    </row>
    <row r="45744">
      <c r="B45744" s="17" t="s">
        <v>477</v>
      </c>
      <c r="K45744" s="18"/>
    </row>
    <row r="45745">
      <c r="B45745" s="17" t="s">
        <v>477</v>
      </c>
      <c r="K45745" s="18"/>
    </row>
    <row r="45746">
      <c r="B45746" s="17" t="s">
        <v>477</v>
      </c>
      <c r="K45746" s="18"/>
    </row>
    <row r="45747">
      <c r="B45747" s="17" t="s">
        <v>477</v>
      </c>
      <c r="K45747" s="18"/>
    </row>
    <row r="45748">
      <c r="B45748" s="17" t="s">
        <v>477</v>
      </c>
      <c r="K45748" s="18"/>
    </row>
    <row r="45749">
      <c r="B45749" s="17" t="s">
        <v>477</v>
      </c>
      <c r="K45749" s="18"/>
    </row>
    <row r="45750">
      <c r="B45750" s="17" t="s">
        <v>477</v>
      </c>
      <c r="K45750" s="18"/>
    </row>
    <row r="45751">
      <c r="B45751" s="17" t="s">
        <v>477</v>
      </c>
      <c r="K45751" s="18"/>
    </row>
    <row r="45752">
      <c r="B45752" s="17" t="s">
        <v>477</v>
      </c>
      <c r="K45752" s="18"/>
    </row>
    <row r="45753">
      <c r="B45753" s="17" t="s">
        <v>477</v>
      </c>
      <c r="K45753" s="18"/>
    </row>
    <row r="45754">
      <c r="B45754" s="17" t="s">
        <v>477</v>
      </c>
      <c r="K45754" s="18"/>
    </row>
    <row r="45755">
      <c r="B45755" s="17" t="s">
        <v>477</v>
      </c>
      <c r="K45755" s="18"/>
    </row>
    <row r="45756">
      <c r="B45756" s="17" t="s">
        <v>477</v>
      </c>
      <c r="K45756" s="18"/>
    </row>
    <row r="45757">
      <c r="B45757" s="17" t="s">
        <v>477</v>
      </c>
      <c r="K45757" s="18"/>
    </row>
    <row r="45758">
      <c r="B45758" s="17" t="s">
        <v>477</v>
      </c>
      <c r="K45758" s="18"/>
    </row>
    <row r="45759">
      <c r="B45759" s="17" t="s">
        <v>477</v>
      </c>
      <c r="K45759" s="18"/>
    </row>
    <row r="45760">
      <c r="B45760" s="17" t="s">
        <v>477</v>
      </c>
      <c r="K45760" s="18"/>
    </row>
    <row r="45761">
      <c r="B45761" s="17" t="s">
        <v>477</v>
      </c>
      <c r="K45761" s="18"/>
    </row>
    <row r="45762">
      <c r="B45762" s="17" t="s">
        <v>477</v>
      </c>
      <c r="K45762" s="18"/>
    </row>
    <row r="45763">
      <c r="B45763" s="17" t="s">
        <v>477</v>
      </c>
      <c r="K45763" s="18"/>
    </row>
    <row r="45764">
      <c r="B45764" s="17" t="s">
        <v>477</v>
      </c>
      <c r="K45764" s="18"/>
    </row>
    <row r="45765">
      <c r="B45765" s="17" t="s">
        <v>477</v>
      </c>
      <c r="K45765" s="18"/>
    </row>
    <row r="45766">
      <c r="B45766" s="17" t="s">
        <v>477</v>
      </c>
      <c r="K45766" s="18"/>
    </row>
    <row r="45767">
      <c r="B45767" s="17" t="s">
        <v>477</v>
      </c>
      <c r="K45767" s="18"/>
    </row>
    <row r="45768">
      <c r="B45768" s="17" t="s">
        <v>477</v>
      </c>
      <c r="K45768" s="18"/>
    </row>
    <row r="45769">
      <c r="B45769" s="17" t="s">
        <v>477</v>
      </c>
      <c r="K45769" s="18"/>
    </row>
    <row r="45770">
      <c r="B45770" s="17" t="s">
        <v>477</v>
      </c>
      <c r="K45770" s="18"/>
    </row>
    <row r="45771">
      <c r="B45771" s="17" t="s">
        <v>477</v>
      </c>
      <c r="K45771" s="18"/>
    </row>
    <row r="45772">
      <c r="B45772" s="17" t="s">
        <v>477</v>
      </c>
      <c r="K45772" s="18"/>
    </row>
    <row r="45773">
      <c r="B45773" s="17" t="s">
        <v>477</v>
      </c>
      <c r="K45773" s="18"/>
    </row>
    <row r="45774">
      <c r="B45774" s="17" t="s">
        <v>477</v>
      </c>
      <c r="K45774" s="18"/>
    </row>
    <row r="45775">
      <c r="B45775" s="17" t="s">
        <v>477</v>
      </c>
      <c r="K45775" s="18"/>
    </row>
    <row r="45776">
      <c r="B45776" s="17" t="s">
        <v>477</v>
      </c>
      <c r="K45776" s="18"/>
    </row>
    <row r="45777">
      <c r="B45777" s="17" t="s">
        <v>477</v>
      </c>
      <c r="K45777" s="18"/>
    </row>
    <row r="45778">
      <c r="B45778" s="17" t="s">
        <v>477</v>
      </c>
      <c r="K45778" s="18"/>
    </row>
    <row r="45779">
      <c r="B45779" s="17" t="s">
        <v>477</v>
      </c>
      <c r="K45779" s="18"/>
    </row>
    <row r="45780">
      <c r="B45780" s="17" t="s">
        <v>477</v>
      </c>
      <c r="K45780" s="18"/>
    </row>
    <row r="45781">
      <c r="B45781" s="17" t="s">
        <v>477</v>
      </c>
      <c r="K45781" s="18"/>
    </row>
    <row r="45782">
      <c r="B45782" s="17" t="s">
        <v>477</v>
      </c>
      <c r="K45782" s="18"/>
    </row>
    <row r="45783">
      <c r="B45783" s="17" t="s">
        <v>477</v>
      </c>
      <c r="K45783" s="18"/>
    </row>
    <row r="45784">
      <c r="B45784" s="17" t="s">
        <v>477</v>
      </c>
      <c r="K45784" s="18"/>
    </row>
    <row r="45785">
      <c r="B45785" s="17" t="s">
        <v>477</v>
      </c>
      <c r="K45785" s="18"/>
    </row>
    <row r="45786">
      <c r="B45786" s="17" t="s">
        <v>477</v>
      </c>
      <c r="K45786" s="18"/>
    </row>
    <row r="45787">
      <c r="B45787" s="17" t="s">
        <v>477</v>
      </c>
      <c r="K45787" s="18"/>
    </row>
    <row r="45788">
      <c r="B45788" s="17" t="s">
        <v>477</v>
      </c>
      <c r="K45788" s="18"/>
    </row>
    <row r="45789">
      <c r="B45789" s="17" t="s">
        <v>477</v>
      </c>
      <c r="K45789" s="18"/>
    </row>
    <row r="45790">
      <c r="B45790" s="17" t="s">
        <v>477</v>
      </c>
      <c r="K45790" s="18"/>
    </row>
    <row r="45791">
      <c r="B45791" s="17" t="s">
        <v>477</v>
      </c>
      <c r="K45791" s="18"/>
    </row>
    <row r="45792">
      <c r="B45792" s="17" t="s">
        <v>477</v>
      </c>
      <c r="K45792" s="18"/>
    </row>
    <row r="45793">
      <c r="B45793" s="17" t="s">
        <v>477</v>
      </c>
      <c r="K45793" s="18"/>
    </row>
    <row r="45794">
      <c r="B45794" s="17" t="s">
        <v>477</v>
      </c>
      <c r="K45794" s="18"/>
    </row>
    <row r="45795">
      <c r="B45795" s="17" t="s">
        <v>477</v>
      </c>
      <c r="K45795" s="18"/>
    </row>
    <row r="45796">
      <c r="B45796" s="17" t="s">
        <v>477</v>
      </c>
      <c r="K45796" s="18"/>
    </row>
    <row r="45797">
      <c r="B45797" s="17" t="s">
        <v>477</v>
      </c>
      <c r="K45797" s="18"/>
    </row>
    <row r="45798">
      <c r="B45798" s="17" t="s">
        <v>477</v>
      </c>
      <c r="K45798" s="18"/>
    </row>
    <row r="45799">
      <c r="B45799" s="17" t="s">
        <v>477</v>
      </c>
      <c r="K45799" s="18"/>
    </row>
    <row r="45800">
      <c r="B45800" s="17" t="s">
        <v>477</v>
      </c>
      <c r="K45800" s="18"/>
    </row>
    <row r="45801">
      <c r="B45801" s="17" t="s">
        <v>477</v>
      </c>
      <c r="K45801" s="18"/>
    </row>
    <row r="45802">
      <c r="B45802" s="17" t="s">
        <v>477</v>
      </c>
      <c r="K45802" s="18"/>
    </row>
    <row r="45803">
      <c r="B45803" s="17" t="s">
        <v>477</v>
      </c>
      <c r="K45803" s="18"/>
    </row>
    <row r="45804">
      <c r="B45804" s="17" t="s">
        <v>477</v>
      </c>
      <c r="K45804" s="18"/>
    </row>
    <row r="45805">
      <c r="B45805" s="17" t="s">
        <v>477</v>
      </c>
      <c r="K45805" s="18"/>
    </row>
    <row r="45806">
      <c r="B45806" s="17" t="s">
        <v>477</v>
      </c>
      <c r="K45806" s="18"/>
    </row>
    <row r="45807">
      <c r="B45807" s="17" t="s">
        <v>477</v>
      </c>
      <c r="K45807" s="18"/>
    </row>
    <row r="45808">
      <c r="B45808" s="17" t="s">
        <v>477</v>
      </c>
      <c r="K45808" s="18"/>
    </row>
    <row r="45809">
      <c r="B45809" s="17" t="s">
        <v>477</v>
      </c>
      <c r="K45809" s="18"/>
    </row>
    <row r="45810">
      <c r="B45810" s="17" t="s">
        <v>477</v>
      </c>
      <c r="K45810" s="18"/>
    </row>
    <row r="45811">
      <c r="B45811" s="17" t="s">
        <v>477</v>
      </c>
      <c r="K45811" s="18"/>
    </row>
    <row r="45812">
      <c r="B45812" s="17" t="s">
        <v>477</v>
      </c>
      <c r="K45812" s="18"/>
    </row>
    <row r="45813">
      <c r="B45813" s="17" t="s">
        <v>477</v>
      </c>
      <c r="K45813" s="18"/>
    </row>
    <row r="45814">
      <c r="B45814" s="17" t="s">
        <v>477</v>
      </c>
      <c r="K45814" s="18"/>
    </row>
    <row r="45815">
      <c r="B45815" s="17" t="s">
        <v>477</v>
      </c>
      <c r="K45815" s="18"/>
    </row>
    <row r="45816">
      <c r="B45816" s="17" t="s">
        <v>477</v>
      </c>
      <c r="K45816" s="18"/>
    </row>
    <row r="45817">
      <c r="B45817" s="17" t="s">
        <v>477</v>
      </c>
      <c r="K45817" s="18"/>
    </row>
    <row r="45818">
      <c r="B45818" s="17" t="s">
        <v>477</v>
      </c>
      <c r="K45818" s="18"/>
    </row>
    <row r="45819">
      <c r="B45819" s="17" t="s">
        <v>477</v>
      </c>
      <c r="K45819" s="18"/>
    </row>
    <row r="45820">
      <c r="B45820" s="17" t="s">
        <v>477</v>
      </c>
      <c r="K45820" s="18"/>
    </row>
    <row r="45821">
      <c r="B45821" s="17" t="s">
        <v>477</v>
      </c>
      <c r="K45821" s="18"/>
    </row>
    <row r="45822">
      <c r="B45822" s="17" t="s">
        <v>477</v>
      </c>
      <c r="K45822" s="18"/>
    </row>
    <row r="45823">
      <c r="B45823" s="17" t="s">
        <v>477</v>
      </c>
      <c r="K45823" s="18"/>
    </row>
    <row r="45824">
      <c r="B45824" s="17" t="s">
        <v>477</v>
      </c>
      <c r="K45824" s="18"/>
    </row>
    <row r="45825">
      <c r="B45825" s="17" t="s">
        <v>477</v>
      </c>
      <c r="K45825" s="18"/>
    </row>
    <row r="45826">
      <c r="B45826" s="17" t="s">
        <v>477</v>
      </c>
      <c r="K45826" s="18"/>
    </row>
    <row r="45827">
      <c r="B45827" s="17" t="s">
        <v>477</v>
      </c>
      <c r="K45827" s="18"/>
    </row>
    <row r="45828">
      <c r="B45828" s="17" t="s">
        <v>477</v>
      </c>
      <c r="K45828" s="18"/>
    </row>
    <row r="45829">
      <c r="B45829" s="17" t="s">
        <v>477</v>
      </c>
      <c r="K45829" s="18"/>
    </row>
    <row r="45830">
      <c r="B45830" s="17" t="s">
        <v>477</v>
      </c>
      <c r="K45830" s="18"/>
    </row>
    <row r="45831">
      <c r="B45831" s="17" t="s">
        <v>477</v>
      </c>
      <c r="K45831" s="18"/>
    </row>
    <row r="45832">
      <c r="B45832" s="17" t="s">
        <v>477</v>
      </c>
      <c r="K45832" s="18"/>
    </row>
    <row r="45833">
      <c r="B45833" s="17" t="s">
        <v>477</v>
      </c>
      <c r="K45833" s="18"/>
    </row>
    <row r="45834">
      <c r="B45834" s="17" t="s">
        <v>477</v>
      </c>
      <c r="K45834" s="18"/>
    </row>
    <row r="45835">
      <c r="B45835" s="17" t="s">
        <v>477</v>
      </c>
      <c r="K45835" s="18"/>
    </row>
    <row r="45836">
      <c r="B45836" s="17" t="s">
        <v>477</v>
      </c>
      <c r="K45836" s="18"/>
    </row>
    <row r="45837">
      <c r="B45837" s="17" t="s">
        <v>477</v>
      </c>
      <c r="K45837" s="18"/>
    </row>
    <row r="45838">
      <c r="B45838" s="17" t="s">
        <v>477</v>
      </c>
      <c r="K45838" s="18"/>
    </row>
    <row r="45839">
      <c r="B45839" s="17" t="s">
        <v>477</v>
      </c>
      <c r="K45839" s="18"/>
    </row>
    <row r="45840">
      <c r="B45840" s="17" t="s">
        <v>477</v>
      </c>
      <c r="K45840" s="18"/>
    </row>
    <row r="45841">
      <c r="B45841" s="17" t="s">
        <v>477</v>
      </c>
      <c r="K45841" s="18"/>
    </row>
    <row r="45842">
      <c r="B45842" s="17" t="s">
        <v>477</v>
      </c>
      <c r="K45842" s="18"/>
    </row>
    <row r="45843">
      <c r="B45843" s="17" t="s">
        <v>477</v>
      </c>
      <c r="K45843" s="18"/>
    </row>
    <row r="45844">
      <c r="B45844" s="17" t="s">
        <v>477</v>
      </c>
      <c r="K45844" s="18"/>
    </row>
    <row r="45845">
      <c r="B45845" s="17" t="s">
        <v>477</v>
      </c>
      <c r="K45845" s="18"/>
    </row>
    <row r="45846">
      <c r="B45846" s="17" t="s">
        <v>477</v>
      </c>
      <c r="K45846" s="18"/>
    </row>
    <row r="45847">
      <c r="B45847" s="17" t="s">
        <v>477</v>
      </c>
      <c r="K45847" s="18"/>
    </row>
    <row r="45848">
      <c r="B45848" s="17" t="s">
        <v>477</v>
      </c>
      <c r="K45848" s="18"/>
    </row>
    <row r="45849">
      <c r="B45849" s="17" t="s">
        <v>477</v>
      </c>
      <c r="K45849" s="18"/>
    </row>
    <row r="45850">
      <c r="B45850" s="17" t="s">
        <v>477</v>
      </c>
      <c r="K45850" s="18"/>
    </row>
    <row r="45851">
      <c r="B45851" s="17" t="s">
        <v>477</v>
      </c>
      <c r="K45851" s="18"/>
    </row>
    <row r="45852">
      <c r="B45852" s="17" t="s">
        <v>477</v>
      </c>
      <c r="K45852" s="18"/>
    </row>
    <row r="45853">
      <c r="B45853" s="17" t="s">
        <v>477</v>
      </c>
      <c r="K45853" s="18"/>
    </row>
    <row r="45854">
      <c r="B45854" s="17" t="s">
        <v>477</v>
      </c>
      <c r="K45854" s="18"/>
    </row>
    <row r="45855">
      <c r="B45855" s="17" t="s">
        <v>477</v>
      </c>
      <c r="K45855" s="18"/>
    </row>
    <row r="45856">
      <c r="B45856" s="17" t="s">
        <v>477</v>
      </c>
      <c r="K45856" s="18"/>
    </row>
    <row r="45857">
      <c r="B45857" s="17" t="s">
        <v>477</v>
      </c>
      <c r="K45857" s="18"/>
    </row>
    <row r="45858">
      <c r="B45858" s="17" t="s">
        <v>477</v>
      </c>
      <c r="K45858" s="18"/>
    </row>
    <row r="45859">
      <c r="B45859" s="17" t="s">
        <v>477</v>
      </c>
      <c r="K45859" s="18"/>
    </row>
    <row r="45860">
      <c r="B45860" s="17" t="s">
        <v>477</v>
      </c>
      <c r="K45860" s="18"/>
    </row>
    <row r="45861">
      <c r="B45861" s="17" t="s">
        <v>477</v>
      </c>
      <c r="K45861" s="18"/>
    </row>
    <row r="45862">
      <c r="B45862" s="17" t="s">
        <v>477</v>
      </c>
      <c r="K45862" s="18"/>
    </row>
    <row r="45863">
      <c r="B45863" s="17" t="s">
        <v>477</v>
      </c>
      <c r="K45863" s="18"/>
    </row>
    <row r="45864">
      <c r="B45864" s="17" t="s">
        <v>477</v>
      </c>
      <c r="K45864" s="18"/>
    </row>
    <row r="45865">
      <c r="B45865" s="17" t="s">
        <v>477</v>
      </c>
      <c r="K45865" s="18"/>
    </row>
    <row r="45866">
      <c r="B45866" s="17" t="s">
        <v>477</v>
      </c>
      <c r="K45866" s="18"/>
    </row>
    <row r="45867">
      <c r="B45867" s="17" t="s">
        <v>477</v>
      </c>
      <c r="K45867" s="18"/>
    </row>
    <row r="45868">
      <c r="B45868" s="17" t="s">
        <v>477</v>
      </c>
      <c r="K45868" s="18"/>
    </row>
    <row r="45869">
      <c r="B45869" s="17" t="s">
        <v>477</v>
      </c>
      <c r="K45869" s="18"/>
    </row>
    <row r="45870">
      <c r="B45870" s="17" t="s">
        <v>477</v>
      </c>
      <c r="K45870" s="18"/>
    </row>
    <row r="45871">
      <c r="B45871" s="17" t="s">
        <v>477</v>
      </c>
      <c r="K45871" s="18"/>
    </row>
    <row r="45872">
      <c r="B45872" s="17" t="s">
        <v>477</v>
      </c>
      <c r="K45872" s="18"/>
    </row>
    <row r="45873">
      <c r="B45873" s="17" t="s">
        <v>477</v>
      </c>
      <c r="K45873" s="18"/>
    </row>
    <row r="45874">
      <c r="B45874" s="17" t="s">
        <v>477</v>
      </c>
      <c r="K45874" s="18"/>
    </row>
    <row r="45875">
      <c r="B45875" s="17" t="s">
        <v>477</v>
      </c>
      <c r="K45875" s="18"/>
    </row>
    <row r="45876">
      <c r="B45876" s="17" t="s">
        <v>477</v>
      </c>
      <c r="K45876" s="18"/>
    </row>
    <row r="45877">
      <c r="B45877" s="17" t="s">
        <v>477</v>
      </c>
      <c r="K45877" s="18"/>
    </row>
    <row r="45878">
      <c r="B45878" s="17" t="s">
        <v>477</v>
      </c>
      <c r="K45878" s="18"/>
    </row>
    <row r="45879">
      <c r="B45879" s="17" t="s">
        <v>477</v>
      </c>
      <c r="K45879" s="18"/>
    </row>
    <row r="45880">
      <c r="B45880" s="17" t="s">
        <v>477</v>
      </c>
      <c r="K45880" s="18"/>
    </row>
    <row r="45881">
      <c r="B45881" s="17" t="s">
        <v>477</v>
      </c>
      <c r="K45881" s="18"/>
    </row>
    <row r="45882">
      <c r="B45882" s="17" t="s">
        <v>477</v>
      </c>
      <c r="K45882" s="18"/>
    </row>
    <row r="45883">
      <c r="B45883" s="17" t="s">
        <v>477</v>
      </c>
      <c r="K45883" s="18"/>
    </row>
    <row r="45884">
      <c r="B45884" s="17" t="s">
        <v>477</v>
      </c>
      <c r="K45884" s="18"/>
    </row>
    <row r="45885">
      <c r="B45885" s="17" t="s">
        <v>477</v>
      </c>
      <c r="K45885" s="18"/>
    </row>
    <row r="45886">
      <c r="B45886" s="17" t="s">
        <v>477</v>
      </c>
      <c r="K45886" s="18"/>
    </row>
    <row r="45887">
      <c r="B45887" s="17" t="s">
        <v>477</v>
      </c>
      <c r="K45887" s="18"/>
    </row>
    <row r="45888">
      <c r="B45888" s="17" t="s">
        <v>477</v>
      </c>
      <c r="K45888" s="18"/>
    </row>
    <row r="45889">
      <c r="B45889" s="17" t="s">
        <v>477</v>
      </c>
      <c r="K45889" s="18"/>
    </row>
    <row r="45890">
      <c r="B45890" s="17" t="s">
        <v>477</v>
      </c>
      <c r="K45890" s="18"/>
    </row>
    <row r="45891">
      <c r="B45891" s="17" t="s">
        <v>477</v>
      </c>
      <c r="K45891" s="18"/>
    </row>
    <row r="45892">
      <c r="B45892" s="17" t="s">
        <v>477</v>
      </c>
      <c r="K45892" s="18"/>
    </row>
    <row r="45893">
      <c r="B45893" s="17" t="s">
        <v>477</v>
      </c>
      <c r="K45893" s="18"/>
    </row>
    <row r="45894">
      <c r="B45894" s="17" t="s">
        <v>477</v>
      </c>
      <c r="K45894" s="18"/>
    </row>
    <row r="45895">
      <c r="B45895" s="17" t="s">
        <v>477</v>
      </c>
      <c r="K45895" s="18"/>
    </row>
    <row r="45896">
      <c r="B45896" s="17" t="s">
        <v>477</v>
      </c>
      <c r="K45896" s="18"/>
    </row>
    <row r="45897">
      <c r="B45897" s="17" t="s">
        <v>477</v>
      </c>
      <c r="K45897" s="18"/>
    </row>
    <row r="45898">
      <c r="B45898" s="17" t="s">
        <v>477</v>
      </c>
      <c r="K45898" s="18"/>
    </row>
    <row r="45899">
      <c r="B45899" s="17" t="s">
        <v>477</v>
      </c>
      <c r="K45899" s="18"/>
    </row>
    <row r="45900">
      <c r="B45900" s="17" t="s">
        <v>477</v>
      </c>
      <c r="K45900" s="18"/>
    </row>
    <row r="45901">
      <c r="B45901" s="17" t="s">
        <v>477</v>
      </c>
      <c r="K45901" s="18"/>
    </row>
    <row r="45902">
      <c r="B45902" s="17" t="s">
        <v>477</v>
      </c>
      <c r="K45902" s="18"/>
    </row>
    <row r="45903">
      <c r="B45903" s="17" t="s">
        <v>477</v>
      </c>
      <c r="K45903" s="18"/>
    </row>
    <row r="45904">
      <c r="B45904" s="17" t="s">
        <v>477</v>
      </c>
      <c r="K45904" s="18"/>
    </row>
    <row r="45905">
      <c r="B45905" s="17" t="s">
        <v>477</v>
      </c>
      <c r="K45905" s="18"/>
    </row>
    <row r="45906">
      <c r="B45906" s="17" t="s">
        <v>477</v>
      </c>
      <c r="K45906" s="18"/>
    </row>
    <row r="45907">
      <c r="B45907" s="17" t="s">
        <v>477</v>
      </c>
      <c r="K45907" s="18"/>
    </row>
    <row r="45908">
      <c r="B45908" s="17" t="s">
        <v>477</v>
      </c>
      <c r="K45908" s="18"/>
    </row>
    <row r="45909">
      <c r="B45909" s="17" t="s">
        <v>477</v>
      </c>
      <c r="K45909" s="18"/>
    </row>
    <row r="45910">
      <c r="B45910" s="17" t="s">
        <v>477</v>
      </c>
      <c r="K45910" s="18"/>
    </row>
    <row r="45911">
      <c r="B45911" s="17" t="s">
        <v>477</v>
      </c>
      <c r="K45911" s="18"/>
    </row>
    <row r="45912">
      <c r="B45912" s="17" t="s">
        <v>477</v>
      </c>
      <c r="K45912" s="18"/>
    </row>
    <row r="45913">
      <c r="B45913" s="17" t="s">
        <v>477</v>
      </c>
      <c r="K45913" s="18"/>
    </row>
    <row r="45914">
      <c r="B45914" s="17" t="s">
        <v>477</v>
      </c>
      <c r="K45914" s="18"/>
    </row>
    <row r="45915">
      <c r="B45915" s="17" t="s">
        <v>477</v>
      </c>
      <c r="K45915" s="18"/>
    </row>
    <row r="45916">
      <c r="B45916" s="17" t="s">
        <v>477</v>
      </c>
      <c r="K45916" s="18"/>
    </row>
    <row r="45917">
      <c r="B45917" s="17" t="s">
        <v>477</v>
      </c>
      <c r="K45917" s="18"/>
    </row>
    <row r="45918">
      <c r="B45918" s="17" t="s">
        <v>477</v>
      </c>
      <c r="K45918" s="18"/>
    </row>
    <row r="45919">
      <c r="B45919" s="17" t="s">
        <v>477</v>
      </c>
      <c r="K45919" s="18"/>
    </row>
    <row r="45920">
      <c r="B45920" s="17" t="s">
        <v>477</v>
      </c>
      <c r="K45920" s="18"/>
    </row>
    <row r="45921">
      <c r="B45921" s="17" t="s">
        <v>477</v>
      </c>
      <c r="K45921" s="18"/>
    </row>
    <row r="45922">
      <c r="B45922" s="17" t="s">
        <v>477</v>
      </c>
      <c r="K45922" s="18"/>
    </row>
    <row r="45923">
      <c r="B45923" s="17" t="s">
        <v>477</v>
      </c>
      <c r="K45923" s="18"/>
    </row>
    <row r="45924">
      <c r="B45924" s="17" t="s">
        <v>477</v>
      </c>
      <c r="K45924" s="18"/>
    </row>
    <row r="45925">
      <c r="B45925" s="17" t="s">
        <v>477</v>
      </c>
      <c r="K45925" s="18"/>
    </row>
    <row r="45926">
      <c r="B45926" s="17" t="s">
        <v>477</v>
      </c>
      <c r="K45926" s="18"/>
    </row>
    <row r="45927">
      <c r="B45927" s="17" t="s">
        <v>477</v>
      </c>
      <c r="K45927" s="18"/>
    </row>
    <row r="45928">
      <c r="B45928" s="17" t="s">
        <v>477</v>
      </c>
      <c r="K45928" s="18"/>
    </row>
    <row r="45929">
      <c r="B45929" s="17" t="s">
        <v>477</v>
      </c>
      <c r="K45929" s="18"/>
    </row>
    <row r="45930">
      <c r="B45930" s="17" t="s">
        <v>477</v>
      </c>
      <c r="K45930" s="18"/>
    </row>
    <row r="45931">
      <c r="B45931" s="17" t="s">
        <v>477</v>
      </c>
      <c r="K45931" s="18"/>
    </row>
    <row r="45932">
      <c r="B45932" s="17" t="s">
        <v>477</v>
      </c>
      <c r="K45932" s="18"/>
    </row>
    <row r="45933">
      <c r="B45933" s="17" t="s">
        <v>477</v>
      </c>
      <c r="K45933" s="18"/>
    </row>
    <row r="45934">
      <c r="B45934" s="17" t="s">
        <v>477</v>
      </c>
      <c r="K45934" s="18"/>
    </row>
    <row r="45935">
      <c r="B45935" s="17" t="s">
        <v>477</v>
      </c>
      <c r="K45935" s="18"/>
    </row>
    <row r="45936">
      <c r="B45936" s="17" t="s">
        <v>477</v>
      </c>
      <c r="K45936" s="18"/>
    </row>
    <row r="45937">
      <c r="B45937" s="17" t="s">
        <v>477</v>
      </c>
      <c r="K45937" s="18"/>
    </row>
    <row r="45938">
      <c r="B45938" s="17" t="s">
        <v>477</v>
      </c>
      <c r="K45938" s="18"/>
    </row>
    <row r="45939">
      <c r="B45939" s="17" t="s">
        <v>477</v>
      </c>
      <c r="K45939" s="18"/>
    </row>
    <row r="45940">
      <c r="B45940" s="17" t="s">
        <v>477</v>
      </c>
      <c r="K45940" s="18"/>
    </row>
    <row r="45941">
      <c r="B45941" s="17" t="s">
        <v>477</v>
      </c>
      <c r="K45941" s="18"/>
    </row>
    <row r="45942">
      <c r="B45942" s="17" t="s">
        <v>477</v>
      </c>
      <c r="K45942" s="18"/>
    </row>
    <row r="45943">
      <c r="B45943" s="17" t="s">
        <v>477</v>
      </c>
      <c r="K45943" s="18"/>
    </row>
    <row r="45944">
      <c r="B45944" s="17" t="s">
        <v>477</v>
      </c>
      <c r="K45944" s="18"/>
    </row>
    <row r="45945">
      <c r="B45945" s="17" t="s">
        <v>477</v>
      </c>
      <c r="K45945" s="18"/>
    </row>
    <row r="45946">
      <c r="B45946" s="17" t="s">
        <v>477</v>
      </c>
      <c r="K45946" s="18"/>
    </row>
    <row r="45947">
      <c r="B45947" s="17" t="s">
        <v>477</v>
      </c>
      <c r="K45947" s="18"/>
    </row>
    <row r="45948">
      <c r="B45948" s="17" t="s">
        <v>477</v>
      </c>
      <c r="K45948" s="18"/>
    </row>
    <row r="45949">
      <c r="B45949" s="17" t="s">
        <v>477</v>
      </c>
      <c r="K45949" s="18"/>
    </row>
    <row r="45950">
      <c r="B45950" s="17" t="s">
        <v>477</v>
      </c>
      <c r="K45950" s="18"/>
    </row>
    <row r="45951">
      <c r="B45951" s="17" t="s">
        <v>477</v>
      </c>
      <c r="K45951" s="18"/>
    </row>
    <row r="45952">
      <c r="B45952" s="17" t="s">
        <v>477</v>
      </c>
      <c r="K45952" s="18"/>
    </row>
    <row r="45953">
      <c r="B45953" s="17" t="s">
        <v>477</v>
      </c>
      <c r="K45953" s="18"/>
    </row>
    <row r="45954">
      <c r="B45954" s="17" t="s">
        <v>477</v>
      </c>
      <c r="K45954" s="18"/>
    </row>
    <row r="45955">
      <c r="B45955" s="17" t="s">
        <v>477</v>
      </c>
      <c r="K45955" s="18"/>
    </row>
    <row r="45956">
      <c r="B45956" s="17" t="s">
        <v>477</v>
      </c>
      <c r="K45956" s="18"/>
    </row>
    <row r="45957">
      <c r="B45957" s="17" t="s">
        <v>477</v>
      </c>
      <c r="K45957" s="18"/>
    </row>
    <row r="45958">
      <c r="B45958" s="17" t="s">
        <v>477</v>
      </c>
      <c r="K45958" s="18"/>
    </row>
    <row r="45959">
      <c r="B45959" s="17" t="s">
        <v>477</v>
      </c>
      <c r="K45959" s="18"/>
    </row>
    <row r="45960">
      <c r="B45960" s="17" t="s">
        <v>477</v>
      </c>
      <c r="K45960" s="18"/>
    </row>
    <row r="45961">
      <c r="B45961" s="17" t="s">
        <v>477</v>
      </c>
      <c r="K45961" s="18"/>
    </row>
    <row r="45962">
      <c r="B45962" s="17" t="s">
        <v>477</v>
      </c>
      <c r="K45962" s="18"/>
    </row>
    <row r="45963">
      <c r="B45963" s="17" t="s">
        <v>477</v>
      </c>
      <c r="K45963" s="18"/>
    </row>
    <row r="45964">
      <c r="B45964" s="17" t="s">
        <v>477</v>
      </c>
      <c r="K45964" s="18"/>
    </row>
    <row r="45965">
      <c r="B45965" s="17" t="s">
        <v>477</v>
      </c>
      <c r="K45965" s="18"/>
    </row>
    <row r="45966">
      <c r="B45966" s="17" t="s">
        <v>477</v>
      </c>
      <c r="K45966" s="18"/>
    </row>
    <row r="45967">
      <c r="B45967" s="17" t="s">
        <v>477</v>
      </c>
      <c r="K45967" s="18"/>
    </row>
    <row r="45968">
      <c r="B45968" s="17" t="s">
        <v>477</v>
      </c>
      <c r="K45968" s="18"/>
    </row>
    <row r="45969">
      <c r="B45969" s="17" t="s">
        <v>477</v>
      </c>
      <c r="K45969" s="18"/>
    </row>
    <row r="45970">
      <c r="B45970" s="17" t="s">
        <v>477</v>
      </c>
      <c r="K45970" s="18"/>
    </row>
    <row r="45971">
      <c r="B45971" s="17" t="s">
        <v>477</v>
      </c>
      <c r="K45971" s="18"/>
    </row>
    <row r="45972">
      <c r="B45972" s="17" t="s">
        <v>477</v>
      </c>
      <c r="K45972" s="18"/>
    </row>
    <row r="45973">
      <c r="B45973" s="17" t="s">
        <v>477</v>
      </c>
      <c r="K45973" s="18"/>
    </row>
    <row r="45974">
      <c r="B45974" s="17" t="s">
        <v>477</v>
      </c>
      <c r="K45974" s="18"/>
    </row>
    <row r="45975">
      <c r="B45975" s="17" t="s">
        <v>477</v>
      </c>
      <c r="K45975" s="18"/>
    </row>
    <row r="45976">
      <c r="B45976" s="17" t="s">
        <v>477</v>
      </c>
      <c r="K45976" s="18"/>
    </row>
    <row r="45977">
      <c r="B45977" s="17" t="s">
        <v>477</v>
      </c>
      <c r="K45977" s="18"/>
    </row>
    <row r="45978">
      <c r="B45978" s="17" t="s">
        <v>477</v>
      </c>
      <c r="K45978" s="18"/>
    </row>
    <row r="45979">
      <c r="B45979" s="17" t="s">
        <v>477</v>
      </c>
      <c r="K45979" s="18"/>
    </row>
    <row r="45980">
      <c r="B45980" s="17" t="s">
        <v>477</v>
      </c>
      <c r="K45980" s="18"/>
    </row>
    <row r="45981">
      <c r="B45981" s="17" t="s">
        <v>477</v>
      </c>
      <c r="K45981" s="18"/>
    </row>
    <row r="45982">
      <c r="B45982" s="17" t="s">
        <v>477</v>
      </c>
      <c r="K45982" s="18"/>
    </row>
    <row r="45983">
      <c r="B45983" s="17" t="s">
        <v>477</v>
      </c>
      <c r="K45983" s="18"/>
    </row>
    <row r="45984">
      <c r="B45984" s="17" t="s">
        <v>477</v>
      </c>
      <c r="K45984" s="18"/>
    </row>
    <row r="45985">
      <c r="B45985" s="17" t="s">
        <v>477</v>
      </c>
      <c r="K45985" s="18"/>
    </row>
    <row r="45986">
      <c r="B45986" s="17" t="s">
        <v>477</v>
      </c>
      <c r="K45986" s="18"/>
    </row>
    <row r="45987">
      <c r="B45987" s="17" t="s">
        <v>477</v>
      </c>
      <c r="K45987" s="18"/>
    </row>
    <row r="45988">
      <c r="B45988" s="17" t="s">
        <v>477</v>
      </c>
      <c r="K45988" s="18"/>
    </row>
    <row r="45989">
      <c r="B45989" s="17" t="s">
        <v>477</v>
      </c>
      <c r="K45989" s="18"/>
    </row>
    <row r="45990">
      <c r="B45990" s="17" t="s">
        <v>477</v>
      </c>
      <c r="K45990" s="18"/>
    </row>
    <row r="45991">
      <c r="B45991" s="17" t="s">
        <v>477</v>
      </c>
      <c r="K45991" s="18"/>
    </row>
    <row r="45992">
      <c r="B45992" s="17" t="s">
        <v>477</v>
      </c>
      <c r="K45992" s="18"/>
    </row>
    <row r="45993">
      <c r="B45993" s="17" t="s">
        <v>477</v>
      </c>
      <c r="K45993" s="18"/>
    </row>
    <row r="45994">
      <c r="B45994" s="17" t="s">
        <v>477</v>
      </c>
      <c r="K45994" s="18"/>
    </row>
    <row r="45995">
      <c r="B45995" s="17" t="s">
        <v>477</v>
      </c>
      <c r="K45995" s="18"/>
    </row>
    <row r="45996">
      <c r="B45996" s="17" t="s">
        <v>477</v>
      </c>
      <c r="K45996" s="18"/>
    </row>
    <row r="45997">
      <c r="B45997" s="17" t="s">
        <v>477</v>
      </c>
      <c r="K45997" s="18"/>
    </row>
    <row r="45998">
      <c r="B45998" s="17" t="s">
        <v>477</v>
      </c>
      <c r="K45998" s="18"/>
    </row>
    <row r="45999">
      <c r="B45999" s="17" t="s">
        <v>477</v>
      </c>
      <c r="K45999" s="18"/>
    </row>
    <row r="46000">
      <c r="B46000" s="17" t="s">
        <v>477</v>
      </c>
      <c r="K46000" s="18"/>
    </row>
    <row r="46001">
      <c r="B46001" s="17" t="s">
        <v>477</v>
      </c>
      <c r="K46001" s="18"/>
    </row>
    <row r="46002">
      <c r="B46002" s="17" t="s">
        <v>477</v>
      </c>
      <c r="K46002" s="18"/>
    </row>
    <row r="46003">
      <c r="B46003" s="17" t="s">
        <v>477</v>
      </c>
      <c r="K46003" s="18"/>
    </row>
    <row r="46004">
      <c r="B46004" s="17" t="s">
        <v>477</v>
      </c>
      <c r="K46004" s="18"/>
    </row>
    <row r="46005">
      <c r="B46005" s="17" t="s">
        <v>477</v>
      </c>
      <c r="K46005" s="18"/>
    </row>
    <row r="46006">
      <c r="B46006" s="17" t="s">
        <v>477</v>
      </c>
      <c r="K46006" s="18"/>
    </row>
    <row r="46007">
      <c r="B46007" s="17" t="s">
        <v>477</v>
      </c>
      <c r="K46007" s="18"/>
    </row>
    <row r="46008">
      <c r="B46008" s="17" t="s">
        <v>477</v>
      </c>
      <c r="K46008" s="18"/>
    </row>
    <row r="46009">
      <c r="B46009" s="17" t="s">
        <v>477</v>
      </c>
      <c r="K46009" s="18"/>
    </row>
    <row r="46010">
      <c r="B46010" s="17" t="s">
        <v>477</v>
      </c>
      <c r="K46010" s="18"/>
    </row>
    <row r="46011">
      <c r="B46011" s="17" t="s">
        <v>477</v>
      </c>
      <c r="K46011" s="18"/>
    </row>
    <row r="46012">
      <c r="B46012" s="17" t="s">
        <v>477</v>
      </c>
      <c r="K46012" s="18"/>
    </row>
    <row r="46013">
      <c r="B46013" s="17" t="s">
        <v>477</v>
      </c>
      <c r="K46013" s="18"/>
    </row>
    <row r="46014">
      <c r="B46014" s="17" t="s">
        <v>477</v>
      </c>
      <c r="K46014" s="18"/>
    </row>
    <row r="46015">
      <c r="B46015" s="17" t="s">
        <v>477</v>
      </c>
      <c r="K46015" s="18"/>
    </row>
    <row r="46016">
      <c r="B46016" s="17" t="s">
        <v>477</v>
      </c>
      <c r="K46016" s="18"/>
    </row>
    <row r="46017">
      <c r="B46017" s="17" t="s">
        <v>477</v>
      </c>
      <c r="K46017" s="18"/>
    </row>
    <row r="46018">
      <c r="B46018" s="17" t="s">
        <v>477</v>
      </c>
      <c r="K46018" s="18"/>
    </row>
    <row r="46019">
      <c r="B46019" s="17" t="s">
        <v>477</v>
      </c>
      <c r="K46019" s="18"/>
    </row>
    <row r="46020">
      <c r="B46020" s="17" t="s">
        <v>477</v>
      </c>
      <c r="K46020" s="18"/>
    </row>
    <row r="46021">
      <c r="B46021" s="17" t="s">
        <v>477</v>
      </c>
      <c r="K46021" s="18"/>
    </row>
    <row r="46022">
      <c r="B46022" s="17" t="s">
        <v>477</v>
      </c>
      <c r="K46022" s="18"/>
    </row>
    <row r="46023">
      <c r="B46023" s="17" t="s">
        <v>477</v>
      </c>
      <c r="K46023" s="18"/>
    </row>
    <row r="46024">
      <c r="B46024" s="17" t="s">
        <v>477</v>
      </c>
      <c r="K46024" s="18"/>
    </row>
    <row r="46025">
      <c r="B46025" s="17" t="s">
        <v>477</v>
      </c>
      <c r="K46025" s="18"/>
    </row>
    <row r="46026">
      <c r="B46026" s="17" t="s">
        <v>477</v>
      </c>
      <c r="K46026" s="18"/>
    </row>
    <row r="46027">
      <c r="B46027" s="17" t="s">
        <v>477</v>
      </c>
      <c r="K46027" s="18"/>
    </row>
    <row r="46028">
      <c r="B46028" s="17" t="s">
        <v>477</v>
      </c>
      <c r="K46028" s="18"/>
    </row>
    <row r="46029">
      <c r="B46029" s="17" t="s">
        <v>477</v>
      </c>
      <c r="K46029" s="18"/>
    </row>
    <row r="46030">
      <c r="B46030" s="17" t="s">
        <v>477</v>
      </c>
      <c r="K46030" s="18"/>
    </row>
    <row r="46031">
      <c r="B46031" s="17" t="s">
        <v>477</v>
      </c>
      <c r="K46031" s="18"/>
    </row>
    <row r="46032">
      <c r="B46032" s="17" t="s">
        <v>477</v>
      </c>
      <c r="K46032" s="18"/>
    </row>
    <row r="46033">
      <c r="B46033" s="17" t="s">
        <v>477</v>
      </c>
      <c r="K46033" s="18"/>
    </row>
    <row r="46034">
      <c r="B46034" s="17" t="s">
        <v>477</v>
      </c>
      <c r="K46034" s="18"/>
    </row>
    <row r="46035">
      <c r="B46035" s="17" t="s">
        <v>477</v>
      </c>
      <c r="K46035" s="18"/>
    </row>
    <row r="46036">
      <c r="B46036" s="17" t="s">
        <v>477</v>
      </c>
      <c r="K46036" s="18"/>
    </row>
    <row r="46037">
      <c r="B46037" s="17" t="s">
        <v>477</v>
      </c>
      <c r="K46037" s="18"/>
    </row>
    <row r="46038">
      <c r="B46038" s="17" t="s">
        <v>477</v>
      </c>
      <c r="K46038" s="18"/>
    </row>
    <row r="46039">
      <c r="B46039" s="17" t="s">
        <v>477</v>
      </c>
      <c r="K46039" s="18"/>
    </row>
    <row r="46040">
      <c r="B46040" s="17" t="s">
        <v>477</v>
      </c>
      <c r="K46040" s="18"/>
    </row>
    <row r="46041">
      <c r="B46041" s="17" t="s">
        <v>477</v>
      </c>
      <c r="K46041" s="18"/>
    </row>
    <row r="46042">
      <c r="B46042" s="17" t="s">
        <v>477</v>
      </c>
      <c r="K46042" s="18"/>
    </row>
    <row r="46043">
      <c r="B46043" s="17" t="s">
        <v>477</v>
      </c>
      <c r="K46043" s="18"/>
    </row>
    <row r="46044">
      <c r="B46044" s="17" t="s">
        <v>477</v>
      </c>
      <c r="K46044" s="18"/>
    </row>
    <row r="46045">
      <c r="B46045" s="17" t="s">
        <v>477</v>
      </c>
      <c r="K46045" s="18"/>
    </row>
    <row r="46046">
      <c r="B46046" s="17" t="s">
        <v>477</v>
      </c>
      <c r="K46046" s="18"/>
    </row>
    <row r="46047">
      <c r="B46047" s="17" t="s">
        <v>477</v>
      </c>
      <c r="K46047" s="18"/>
    </row>
    <row r="46048">
      <c r="B46048" s="17" t="s">
        <v>477</v>
      </c>
      <c r="K46048" s="18"/>
    </row>
    <row r="46049">
      <c r="B46049" s="17" t="s">
        <v>477</v>
      </c>
      <c r="K46049" s="18"/>
    </row>
    <row r="46050">
      <c r="B46050" s="17" t="s">
        <v>477</v>
      </c>
      <c r="K46050" s="18"/>
    </row>
    <row r="46051">
      <c r="B46051" s="17" t="s">
        <v>477</v>
      </c>
      <c r="K46051" s="18"/>
    </row>
    <row r="46052">
      <c r="B46052" s="17" t="s">
        <v>477</v>
      </c>
      <c r="K46052" s="18"/>
    </row>
    <row r="46053">
      <c r="B46053" s="17" t="s">
        <v>477</v>
      </c>
      <c r="K46053" s="18"/>
    </row>
    <row r="46054">
      <c r="B46054" s="17" t="s">
        <v>477</v>
      </c>
      <c r="K46054" s="18"/>
    </row>
    <row r="46055">
      <c r="B46055" s="17" t="s">
        <v>477</v>
      </c>
      <c r="K46055" s="18"/>
    </row>
    <row r="46056">
      <c r="B46056" s="17" t="s">
        <v>477</v>
      </c>
      <c r="K46056" s="18"/>
    </row>
    <row r="46057">
      <c r="B46057" s="17" t="s">
        <v>477</v>
      </c>
      <c r="K46057" s="18"/>
    </row>
    <row r="46058">
      <c r="B46058" s="17" t="s">
        <v>477</v>
      </c>
      <c r="K46058" s="18"/>
    </row>
    <row r="46059">
      <c r="B46059" s="17" t="s">
        <v>477</v>
      </c>
      <c r="K46059" s="18"/>
    </row>
    <row r="46060">
      <c r="B46060" s="17" t="s">
        <v>477</v>
      </c>
      <c r="K46060" s="18"/>
    </row>
    <row r="46061">
      <c r="B46061" s="17" t="s">
        <v>477</v>
      </c>
      <c r="K46061" s="18"/>
    </row>
    <row r="46062">
      <c r="B46062" s="17" t="s">
        <v>477</v>
      </c>
      <c r="K46062" s="18"/>
    </row>
    <row r="46063">
      <c r="B46063" s="17" t="s">
        <v>477</v>
      </c>
      <c r="K46063" s="18"/>
    </row>
    <row r="46064">
      <c r="B46064" s="17" t="s">
        <v>477</v>
      </c>
      <c r="K46064" s="18"/>
    </row>
    <row r="46065">
      <c r="B46065" s="17" t="s">
        <v>477</v>
      </c>
      <c r="K46065" s="18"/>
    </row>
    <row r="46066">
      <c r="B46066" s="17" t="s">
        <v>477</v>
      </c>
      <c r="K46066" s="18"/>
    </row>
    <row r="46067">
      <c r="B46067" s="17" t="s">
        <v>477</v>
      </c>
      <c r="K46067" s="18"/>
    </row>
    <row r="46068">
      <c r="B46068" s="17" t="s">
        <v>477</v>
      </c>
      <c r="K46068" s="18"/>
    </row>
    <row r="46069">
      <c r="B46069" s="17" t="s">
        <v>477</v>
      </c>
      <c r="K46069" s="18"/>
    </row>
    <row r="46070">
      <c r="B46070" s="17" t="s">
        <v>477</v>
      </c>
      <c r="K46070" s="18"/>
    </row>
    <row r="46071">
      <c r="B46071" s="17" t="s">
        <v>477</v>
      </c>
      <c r="K46071" s="18"/>
    </row>
    <row r="46072">
      <c r="B46072" s="17" t="s">
        <v>477</v>
      </c>
      <c r="K46072" s="18"/>
    </row>
    <row r="46073">
      <c r="B46073" s="17" t="s">
        <v>477</v>
      </c>
      <c r="K46073" s="18"/>
    </row>
    <row r="46074">
      <c r="B46074" s="17" t="s">
        <v>477</v>
      </c>
      <c r="K46074" s="18"/>
    </row>
    <row r="46075">
      <c r="B46075" s="17" t="s">
        <v>477</v>
      </c>
      <c r="K46075" s="18"/>
    </row>
    <row r="46076">
      <c r="B46076" s="17" t="s">
        <v>477</v>
      </c>
      <c r="K46076" s="18"/>
    </row>
    <row r="46077">
      <c r="B46077" s="17" t="s">
        <v>477</v>
      </c>
      <c r="K46077" s="18"/>
    </row>
    <row r="46078">
      <c r="B46078" s="17" t="s">
        <v>477</v>
      </c>
      <c r="K46078" s="18"/>
    </row>
    <row r="46079">
      <c r="B46079" s="17" t="s">
        <v>477</v>
      </c>
      <c r="K46079" s="18"/>
    </row>
    <row r="46080">
      <c r="B46080" s="17" t="s">
        <v>477</v>
      </c>
      <c r="K46080" s="18"/>
    </row>
    <row r="46081">
      <c r="B46081" s="17" t="s">
        <v>477</v>
      </c>
      <c r="K46081" s="18"/>
    </row>
    <row r="46082">
      <c r="B46082" s="17" t="s">
        <v>477</v>
      </c>
      <c r="K46082" s="18"/>
    </row>
    <row r="46083">
      <c r="B46083" s="17" t="s">
        <v>477</v>
      </c>
      <c r="K46083" s="18"/>
    </row>
    <row r="46084">
      <c r="B46084" s="17" t="s">
        <v>477</v>
      </c>
      <c r="K46084" s="18"/>
    </row>
    <row r="46085">
      <c r="B46085" s="17" t="s">
        <v>477</v>
      </c>
      <c r="K46085" s="18"/>
    </row>
    <row r="46086">
      <c r="B46086" s="17" t="s">
        <v>477</v>
      </c>
      <c r="K46086" s="18"/>
    </row>
    <row r="46087">
      <c r="B46087" s="17" t="s">
        <v>477</v>
      </c>
      <c r="K46087" s="18"/>
    </row>
    <row r="46088">
      <c r="B46088" s="17" t="s">
        <v>477</v>
      </c>
      <c r="K46088" s="18"/>
    </row>
    <row r="46089">
      <c r="B46089" s="17" t="s">
        <v>477</v>
      </c>
      <c r="K46089" s="18"/>
    </row>
    <row r="46090">
      <c r="B46090" s="17" t="s">
        <v>477</v>
      </c>
      <c r="K46090" s="18"/>
    </row>
    <row r="46091">
      <c r="B46091" s="17" t="s">
        <v>477</v>
      </c>
      <c r="K46091" s="18"/>
    </row>
    <row r="46092">
      <c r="B46092" s="17" t="s">
        <v>477</v>
      </c>
      <c r="K46092" s="18"/>
    </row>
    <row r="46093">
      <c r="B46093" s="17" t="s">
        <v>477</v>
      </c>
      <c r="K46093" s="18"/>
    </row>
    <row r="46094">
      <c r="B46094" s="17" t="s">
        <v>477</v>
      </c>
      <c r="K46094" s="18"/>
    </row>
    <row r="46095">
      <c r="B46095" s="17" t="s">
        <v>477</v>
      </c>
      <c r="K46095" s="18"/>
    </row>
    <row r="46096">
      <c r="B46096" s="17" t="s">
        <v>477</v>
      </c>
      <c r="K46096" s="18"/>
    </row>
    <row r="46097">
      <c r="B46097" s="17" t="s">
        <v>477</v>
      </c>
      <c r="K46097" s="18"/>
    </row>
    <row r="46098">
      <c r="B46098" s="17" t="s">
        <v>477</v>
      </c>
      <c r="K46098" s="18"/>
    </row>
    <row r="46099">
      <c r="B46099" s="17" t="s">
        <v>477</v>
      </c>
      <c r="K46099" s="18"/>
    </row>
    <row r="46100">
      <c r="B46100" s="17" t="s">
        <v>477</v>
      </c>
      <c r="K46100" s="18"/>
    </row>
    <row r="46101">
      <c r="B46101" s="17" t="s">
        <v>477</v>
      </c>
      <c r="K46101" s="18"/>
    </row>
    <row r="46102">
      <c r="B46102" s="17" t="s">
        <v>477</v>
      </c>
      <c r="K46102" s="18"/>
    </row>
    <row r="46103">
      <c r="B46103" s="17" t="s">
        <v>477</v>
      </c>
      <c r="K46103" s="18"/>
    </row>
    <row r="46104">
      <c r="B46104" s="17" t="s">
        <v>477</v>
      </c>
      <c r="K46104" s="18"/>
    </row>
    <row r="46105">
      <c r="B46105" s="17" t="s">
        <v>477</v>
      </c>
      <c r="K46105" s="18"/>
    </row>
    <row r="46106">
      <c r="B46106" s="17" t="s">
        <v>477</v>
      </c>
      <c r="K46106" s="18"/>
    </row>
    <row r="46107">
      <c r="B46107" s="17" t="s">
        <v>477</v>
      </c>
      <c r="K46107" s="18"/>
    </row>
    <row r="46108">
      <c r="B46108" s="17" t="s">
        <v>477</v>
      </c>
      <c r="K46108" s="18"/>
    </row>
    <row r="46109">
      <c r="B46109" s="17" t="s">
        <v>477</v>
      </c>
      <c r="K46109" s="18"/>
    </row>
    <row r="46110">
      <c r="B46110" s="17" t="s">
        <v>477</v>
      </c>
      <c r="K46110" s="18"/>
    </row>
    <row r="46111">
      <c r="B46111" s="17" t="s">
        <v>477</v>
      </c>
      <c r="K46111" s="18"/>
    </row>
    <row r="46112">
      <c r="B46112" s="17" t="s">
        <v>477</v>
      </c>
      <c r="K46112" s="18"/>
    </row>
    <row r="46113">
      <c r="B46113" s="17" t="s">
        <v>477</v>
      </c>
      <c r="K46113" s="18"/>
    </row>
    <row r="46114">
      <c r="B46114" s="17" t="s">
        <v>477</v>
      </c>
      <c r="K46114" s="18"/>
    </row>
    <row r="46115">
      <c r="B46115" s="17" t="s">
        <v>477</v>
      </c>
      <c r="K46115" s="18"/>
    </row>
    <row r="46116">
      <c r="B46116" s="17" t="s">
        <v>477</v>
      </c>
      <c r="K46116" s="18"/>
    </row>
    <row r="46117">
      <c r="B46117" s="17" t="s">
        <v>477</v>
      </c>
      <c r="K46117" s="18"/>
    </row>
    <row r="46118">
      <c r="B46118" s="17" t="s">
        <v>477</v>
      </c>
      <c r="K46118" s="18"/>
    </row>
    <row r="46119">
      <c r="B46119" s="17" t="s">
        <v>477</v>
      </c>
      <c r="K46119" s="18"/>
    </row>
    <row r="46120">
      <c r="B46120" s="17" t="s">
        <v>477</v>
      </c>
      <c r="K46120" s="18"/>
    </row>
    <row r="46121">
      <c r="B46121" s="17" t="s">
        <v>477</v>
      </c>
      <c r="K46121" s="18"/>
    </row>
    <row r="46122">
      <c r="B46122" s="17" t="s">
        <v>477</v>
      </c>
      <c r="K46122" s="18"/>
    </row>
    <row r="46123">
      <c r="B46123" s="17" t="s">
        <v>477</v>
      </c>
      <c r="K46123" s="18"/>
    </row>
    <row r="46124">
      <c r="B46124" s="17" t="s">
        <v>477</v>
      </c>
      <c r="K46124" s="18"/>
    </row>
    <row r="46125">
      <c r="B46125" s="17" t="s">
        <v>477</v>
      </c>
      <c r="K46125" s="18"/>
    </row>
    <row r="46126">
      <c r="B46126" s="17" t="s">
        <v>477</v>
      </c>
      <c r="K46126" s="18"/>
    </row>
    <row r="46127">
      <c r="B46127" s="17" t="s">
        <v>477</v>
      </c>
      <c r="K46127" s="18"/>
    </row>
    <row r="46128">
      <c r="B46128" s="17" t="s">
        <v>477</v>
      </c>
      <c r="K46128" s="18"/>
    </row>
    <row r="46129">
      <c r="B46129" s="17" t="s">
        <v>477</v>
      </c>
      <c r="K46129" s="18"/>
    </row>
    <row r="46130">
      <c r="B46130" s="17" t="s">
        <v>477</v>
      </c>
      <c r="K46130" s="18"/>
    </row>
    <row r="46131">
      <c r="B46131" s="17" t="s">
        <v>477</v>
      </c>
      <c r="K46131" s="18"/>
    </row>
    <row r="46132">
      <c r="B46132" s="17" t="s">
        <v>477</v>
      </c>
      <c r="K46132" s="18"/>
    </row>
    <row r="46133">
      <c r="B46133" s="17" t="s">
        <v>477</v>
      </c>
      <c r="K46133" s="18"/>
    </row>
    <row r="46134">
      <c r="B46134" s="17" t="s">
        <v>477</v>
      </c>
      <c r="K46134" s="18"/>
    </row>
    <row r="46135">
      <c r="B46135" s="17" t="s">
        <v>477</v>
      </c>
      <c r="K46135" s="18"/>
    </row>
    <row r="46136">
      <c r="B46136" s="17" t="s">
        <v>477</v>
      </c>
      <c r="K46136" s="18"/>
    </row>
    <row r="46137">
      <c r="B46137" s="17" t="s">
        <v>477</v>
      </c>
      <c r="K46137" s="18"/>
    </row>
    <row r="46138">
      <c r="B46138" s="17" t="s">
        <v>477</v>
      </c>
      <c r="K46138" s="18"/>
    </row>
    <row r="46139">
      <c r="B46139" s="17" t="s">
        <v>477</v>
      </c>
      <c r="K46139" s="18"/>
    </row>
    <row r="46140">
      <c r="B46140" s="17" t="s">
        <v>477</v>
      </c>
      <c r="K46140" s="18"/>
    </row>
    <row r="46141">
      <c r="B46141" s="17" t="s">
        <v>477</v>
      </c>
      <c r="K46141" s="18"/>
    </row>
    <row r="46142">
      <c r="B46142" s="17" t="s">
        <v>477</v>
      </c>
      <c r="K46142" s="18"/>
    </row>
    <row r="46143">
      <c r="B46143" s="17" t="s">
        <v>477</v>
      </c>
      <c r="K46143" s="18"/>
    </row>
    <row r="46144">
      <c r="B46144" s="17" t="s">
        <v>477</v>
      </c>
      <c r="K46144" s="18"/>
    </row>
    <row r="46145">
      <c r="B46145" s="17" t="s">
        <v>477</v>
      </c>
      <c r="K46145" s="18"/>
    </row>
    <row r="46146">
      <c r="B46146" s="17" t="s">
        <v>477</v>
      </c>
      <c r="K46146" s="18"/>
    </row>
    <row r="46147">
      <c r="B46147" s="17" t="s">
        <v>477</v>
      </c>
      <c r="K46147" s="18"/>
    </row>
    <row r="46148">
      <c r="B46148" s="17" t="s">
        <v>477</v>
      </c>
      <c r="K46148" s="18"/>
    </row>
    <row r="46149">
      <c r="B46149" s="17" t="s">
        <v>477</v>
      </c>
      <c r="K46149" s="18"/>
    </row>
    <row r="46150">
      <c r="B46150" s="17" t="s">
        <v>477</v>
      </c>
      <c r="K46150" s="18"/>
    </row>
    <row r="46151">
      <c r="B46151" s="17" t="s">
        <v>477</v>
      </c>
      <c r="K46151" s="18"/>
    </row>
    <row r="46152">
      <c r="B46152" s="17" t="s">
        <v>477</v>
      </c>
      <c r="K46152" s="18"/>
    </row>
    <row r="46153">
      <c r="B46153" s="17" t="s">
        <v>477</v>
      </c>
      <c r="K46153" s="18"/>
    </row>
    <row r="46154">
      <c r="B46154" s="17" t="s">
        <v>477</v>
      </c>
      <c r="K46154" s="18"/>
    </row>
    <row r="46155">
      <c r="B46155" s="17" t="s">
        <v>477</v>
      </c>
      <c r="K46155" s="18"/>
    </row>
    <row r="46156">
      <c r="B46156" s="17" t="s">
        <v>477</v>
      </c>
      <c r="K46156" s="18"/>
    </row>
    <row r="46157">
      <c r="B46157" s="17" t="s">
        <v>477</v>
      </c>
      <c r="K46157" s="18"/>
    </row>
    <row r="46158">
      <c r="B46158" s="17" t="s">
        <v>477</v>
      </c>
      <c r="K46158" s="18"/>
    </row>
    <row r="46159">
      <c r="B46159" s="17" t="s">
        <v>477</v>
      </c>
      <c r="K46159" s="18"/>
    </row>
    <row r="46160">
      <c r="B46160" s="17" t="s">
        <v>477</v>
      </c>
      <c r="K46160" s="18"/>
    </row>
    <row r="46161">
      <c r="B46161" s="17" t="s">
        <v>477</v>
      </c>
      <c r="K46161" s="18"/>
    </row>
    <row r="46162">
      <c r="B46162" s="17" t="s">
        <v>477</v>
      </c>
      <c r="K46162" s="18"/>
    </row>
    <row r="46163">
      <c r="B46163" s="17" t="s">
        <v>477</v>
      </c>
      <c r="K46163" s="18"/>
    </row>
    <row r="46164">
      <c r="B46164" s="17" t="s">
        <v>477</v>
      </c>
      <c r="K46164" s="18"/>
    </row>
    <row r="46165">
      <c r="B46165" s="17" t="s">
        <v>477</v>
      </c>
      <c r="K46165" s="18"/>
    </row>
    <row r="46166">
      <c r="B46166" s="17" t="s">
        <v>477</v>
      </c>
      <c r="K46166" s="18"/>
    </row>
    <row r="46167">
      <c r="B46167" s="17" t="s">
        <v>477</v>
      </c>
      <c r="K46167" s="18"/>
    </row>
    <row r="46168">
      <c r="B46168" s="17" t="s">
        <v>477</v>
      </c>
      <c r="K46168" s="18"/>
    </row>
    <row r="46169">
      <c r="B46169" s="17" t="s">
        <v>477</v>
      </c>
      <c r="K46169" s="18"/>
    </row>
    <row r="46170">
      <c r="B46170" s="17" t="s">
        <v>477</v>
      </c>
      <c r="K46170" s="18"/>
    </row>
    <row r="46171">
      <c r="B46171" s="17" t="s">
        <v>477</v>
      </c>
      <c r="K46171" s="18"/>
    </row>
    <row r="46172">
      <c r="B46172" s="17" t="s">
        <v>477</v>
      </c>
      <c r="K46172" s="18"/>
    </row>
    <row r="46173">
      <c r="B46173" s="17" t="s">
        <v>477</v>
      </c>
      <c r="K46173" s="18"/>
    </row>
    <row r="46174">
      <c r="B46174" s="17" t="s">
        <v>477</v>
      </c>
      <c r="K46174" s="18"/>
    </row>
    <row r="46175">
      <c r="B46175" s="17" t="s">
        <v>477</v>
      </c>
      <c r="K46175" s="18"/>
    </row>
    <row r="46176">
      <c r="B46176" s="17" t="s">
        <v>477</v>
      </c>
      <c r="K46176" s="18"/>
    </row>
    <row r="46177">
      <c r="B46177" s="17" t="s">
        <v>477</v>
      </c>
      <c r="K46177" s="18"/>
    </row>
    <row r="46178">
      <c r="B46178" s="17" t="s">
        <v>477</v>
      </c>
      <c r="K46178" s="18"/>
    </row>
    <row r="46179">
      <c r="B46179" s="17" t="s">
        <v>477</v>
      </c>
      <c r="K46179" s="18"/>
    </row>
    <row r="46180">
      <c r="B46180" s="17" t="s">
        <v>477</v>
      </c>
      <c r="K46180" s="18"/>
    </row>
    <row r="46181">
      <c r="B46181" s="17" t="s">
        <v>477</v>
      </c>
      <c r="K46181" s="18"/>
    </row>
    <row r="46182">
      <c r="B46182" s="17" t="s">
        <v>477</v>
      </c>
      <c r="K46182" s="18"/>
    </row>
    <row r="46183">
      <c r="B46183" s="17" t="s">
        <v>477</v>
      </c>
      <c r="K46183" s="18"/>
    </row>
    <row r="46184">
      <c r="B46184" s="17" t="s">
        <v>477</v>
      </c>
      <c r="K46184" s="18"/>
    </row>
    <row r="46185">
      <c r="B46185" s="17" t="s">
        <v>477</v>
      </c>
      <c r="K46185" s="18"/>
    </row>
    <row r="46186">
      <c r="B46186" s="17" t="s">
        <v>477</v>
      </c>
      <c r="K46186" s="18"/>
    </row>
    <row r="46187">
      <c r="B46187" s="17" t="s">
        <v>477</v>
      </c>
      <c r="K46187" s="18"/>
    </row>
    <row r="46188">
      <c r="B46188" s="17" t="s">
        <v>477</v>
      </c>
      <c r="K46188" s="18"/>
    </row>
    <row r="46189">
      <c r="B46189" s="17" t="s">
        <v>477</v>
      </c>
      <c r="K46189" s="18"/>
    </row>
    <row r="46190">
      <c r="B46190" s="17" t="s">
        <v>477</v>
      </c>
      <c r="K46190" s="18"/>
    </row>
    <row r="46191">
      <c r="B46191" s="17" t="s">
        <v>477</v>
      </c>
      <c r="K46191" s="18"/>
    </row>
    <row r="46192">
      <c r="B46192" s="17" t="s">
        <v>477</v>
      </c>
      <c r="K46192" s="18"/>
    </row>
    <row r="46193">
      <c r="B46193" s="17" t="s">
        <v>477</v>
      </c>
      <c r="K46193" s="18"/>
    </row>
    <row r="46194">
      <c r="B46194" s="17" t="s">
        <v>477</v>
      </c>
      <c r="K46194" s="18"/>
    </row>
    <row r="46195">
      <c r="B46195" s="17" t="s">
        <v>477</v>
      </c>
      <c r="K46195" s="18"/>
    </row>
    <row r="46196">
      <c r="B46196" s="17" t="s">
        <v>477</v>
      </c>
      <c r="K46196" s="18"/>
    </row>
    <row r="46197">
      <c r="B46197" s="17" t="s">
        <v>477</v>
      </c>
      <c r="K46197" s="18"/>
    </row>
    <row r="46198">
      <c r="B46198" s="17" t="s">
        <v>477</v>
      </c>
      <c r="K46198" s="18"/>
    </row>
    <row r="46199">
      <c r="B46199" s="17" t="s">
        <v>477</v>
      </c>
      <c r="K46199" s="18"/>
    </row>
    <row r="46200">
      <c r="B46200" s="17" t="s">
        <v>477</v>
      </c>
      <c r="K46200" s="18"/>
    </row>
    <row r="46201">
      <c r="B46201" s="17" t="s">
        <v>477</v>
      </c>
      <c r="K46201" s="18"/>
    </row>
    <row r="46202">
      <c r="B46202" s="17" t="s">
        <v>477</v>
      </c>
      <c r="K46202" s="18"/>
    </row>
    <row r="46203">
      <c r="B46203" s="17" t="s">
        <v>477</v>
      </c>
      <c r="K46203" s="18"/>
    </row>
    <row r="46204">
      <c r="B46204" s="17" t="s">
        <v>477</v>
      </c>
      <c r="K46204" s="18"/>
    </row>
    <row r="46205">
      <c r="B46205" s="17" t="s">
        <v>477</v>
      </c>
      <c r="K46205" s="18"/>
    </row>
    <row r="46206">
      <c r="B46206" s="17" t="s">
        <v>477</v>
      </c>
      <c r="K46206" s="18"/>
    </row>
    <row r="46207">
      <c r="B46207" s="17" t="s">
        <v>477</v>
      </c>
      <c r="K46207" s="18"/>
    </row>
    <row r="46208">
      <c r="B46208" s="17" t="s">
        <v>477</v>
      </c>
      <c r="K46208" s="18"/>
    </row>
    <row r="46209">
      <c r="B46209" s="17" t="s">
        <v>477</v>
      </c>
      <c r="K46209" s="18"/>
    </row>
    <row r="46210">
      <c r="B46210" s="17" t="s">
        <v>477</v>
      </c>
      <c r="K46210" s="18"/>
    </row>
    <row r="46211">
      <c r="B46211" s="17" t="s">
        <v>477</v>
      </c>
      <c r="K46211" s="18"/>
    </row>
    <row r="46212">
      <c r="B46212" s="17" t="s">
        <v>477</v>
      </c>
      <c r="K46212" s="18"/>
    </row>
    <row r="46213">
      <c r="B46213" s="17" t="s">
        <v>477</v>
      </c>
      <c r="K46213" s="18"/>
    </row>
    <row r="46214">
      <c r="B46214" s="17" t="s">
        <v>477</v>
      </c>
      <c r="K46214" s="18"/>
    </row>
    <row r="46215">
      <c r="B46215" s="17" t="s">
        <v>477</v>
      </c>
      <c r="K46215" s="18"/>
    </row>
    <row r="46216">
      <c r="B46216" s="17" t="s">
        <v>477</v>
      </c>
      <c r="K46216" s="18"/>
    </row>
    <row r="46217">
      <c r="B46217" s="17" t="s">
        <v>477</v>
      </c>
      <c r="K46217" s="18"/>
    </row>
    <row r="46218">
      <c r="B46218" s="17" t="s">
        <v>477</v>
      </c>
      <c r="K46218" s="18"/>
    </row>
    <row r="46219">
      <c r="B46219" s="17" t="s">
        <v>477</v>
      </c>
      <c r="K46219" s="18"/>
    </row>
    <row r="46220">
      <c r="B46220" s="17" t="s">
        <v>477</v>
      </c>
      <c r="K46220" s="18"/>
    </row>
    <row r="46221">
      <c r="B46221" s="17" t="s">
        <v>477</v>
      </c>
      <c r="K46221" s="18"/>
    </row>
    <row r="46222">
      <c r="B46222" s="17" t="s">
        <v>477</v>
      </c>
      <c r="K46222" s="18"/>
    </row>
    <row r="46223">
      <c r="B46223" s="17" t="s">
        <v>477</v>
      </c>
      <c r="K46223" s="18"/>
    </row>
    <row r="46224">
      <c r="B46224" s="17" t="s">
        <v>477</v>
      </c>
      <c r="K46224" s="18"/>
    </row>
    <row r="46225">
      <c r="B46225" s="17" t="s">
        <v>477</v>
      </c>
      <c r="K46225" s="18"/>
    </row>
    <row r="46226">
      <c r="B46226" s="17" t="s">
        <v>477</v>
      </c>
      <c r="K46226" s="18"/>
    </row>
    <row r="46227">
      <c r="B46227" s="17" t="s">
        <v>477</v>
      </c>
      <c r="K46227" s="18"/>
    </row>
    <row r="46228">
      <c r="B46228" s="17" t="s">
        <v>477</v>
      </c>
      <c r="K46228" s="18"/>
    </row>
    <row r="46229">
      <c r="B46229" s="17" t="s">
        <v>477</v>
      </c>
      <c r="K46229" s="18"/>
    </row>
    <row r="46230">
      <c r="B46230" s="17" t="s">
        <v>477</v>
      </c>
      <c r="K46230" s="18"/>
    </row>
    <row r="46231">
      <c r="B46231" s="17" t="s">
        <v>477</v>
      </c>
      <c r="K46231" s="18"/>
    </row>
    <row r="46232">
      <c r="B46232" s="17" t="s">
        <v>477</v>
      </c>
      <c r="K46232" s="18"/>
    </row>
    <row r="46233">
      <c r="B46233" s="17" t="s">
        <v>477</v>
      </c>
      <c r="K46233" s="18"/>
    </row>
    <row r="46234">
      <c r="B46234" s="17" t="s">
        <v>477</v>
      </c>
      <c r="K46234" s="18"/>
    </row>
    <row r="46235">
      <c r="B46235" s="17" t="s">
        <v>477</v>
      </c>
      <c r="K46235" s="18"/>
    </row>
    <row r="46236">
      <c r="B46236" s="17" t="s">
        <v>477</v>
      </c>
      <c r="K46236" s="18"/>
    </row>
    <row r="46237">
      <c r="B46237" s="17" t="s">
        <v>477</v>
      </c>
      <c r="K46237" s="18"/>
    </row>
    <row r="46238">
      <c r="B46238" s="17" t="s">
        <v>477</v>
      </c>
      <c r="K46238" s="18"/>
    </row>
    <row r="46239">
      <c r="B46239" s="17" t="s">
        <v>477</v>
      </c>
      <c r="K46239" s="18"/>
    </row>
    <row r="46240">
      <c r="B46240" s="17" t="s">
        <v>477</v>
      </c>
      <c r="K46240" s="18"/>
    </row>
    <row r="46241">
      <c r="B46241" s="17" t="s">
        <v>477</v>
      </c>
      <c r="K46241" s="18"/>
    </row>
    <row r="46242">
      <c r="B46242" s="17" t="s">
        <v>477</v>
      </c>
      <c r="K46242" s="18"/>
    </row>
    <row r="46243">
      <c r="B46243" s="17" t="s">
        <v>477</v>
      </c>
      <c r="K46243" s="18"/>
    </row>
    <row r="46244">
      <c r="B46244" s="17" t="s">
        <v>477</v>
      </c>
      <c r="K46244" s="18"/>
    </row>
    <row r="46245">
      <c r="B46245" s="17" t="s">
        <v>477</v>
      </c>
      <c r="K46245" s="18"/>
    </row>
    <row r="46246">
      <c r="B46246" s="17" t="s">
        <v>477</v>
      </c>
      <c r="K46246" s="18"/>
    </row>
    <row r="46247">
      <c r="B46247" s="17" t="s">
        <v>477</v>
      </c>
      <c r="K46247" s="18"/>
    </row>
    <row r="46248">
      <c r="B46248" s="17" t="s">
        <v>477</v>
      </c>
      <c r="K46248" s="18"/>
    </row>
    <row r="46249">
      <c r="B46249" s="17" t="s">
        <v>477</v>
      </c>
      <c r="K46249" s="18"/>
    </row>
    <row r="46250">
      <c r="B46250" s="17" t="s">
        <v>477</v>
      </c>
      <c r="K46250" s="18"/>
    </row>
    <row r="46251">
      <c r="B46251" s="17" t="s">
        <v>477</v>
      </c>
      <c r="K46251" s="18"/>
    </row>
    <row r="46252">
      <c r="B46252" s="17" t="s">
        <v>477</v>
      </c>
      <c r="K46252" s="18"/>
    </row>
    <row r="46253">
      <c r="B46253" s="17" t="s">
        <v>477</v>
      </c>
      <c r="K46253" s="18"/>
    </row>
    <row r="46254">
      <c r="B46254" s="17" t="s">
        <v>477</v>
      </c>
      <c r="K46254" s="18"/>
    </row>
    <row r="46255">
      <c r="B46255" s="17" t="s">
        <v>477</v>
      </c>
      <c r="K46255" s="18"/>
    </row>
    <row r="46256">
      <c r="B46256" s="17" t="s">
        <v>477</v>
      </c>
      <c r="K46256" s="18"/>
    </row>
    <row r="46257">
      <c r="B46257" s="17" t="s">
        <v>477</v>
      </c>
      <c r="K46257" s="18"/>
    </row>
    <row r="46258">
      <c r="B46258" s="17" t="s">
        <v>477</v>
      </c>
      <c r="K46258" s="18"/>
    </row>
    <row r="46259">
      <c r="B46259" s="17" t="s">
        <v>477</v>
      </c>
      <c r="K46259" s="18"/>
    </row>
    <row r="46260">
      <c r="B46260" s="17" t="s">
        <v>477</v>
      </c>
      <c r="K46260" s="18"/>
    </row>
    <row r="46261">
      <c r="B46261" s="17" t="s">
        <v>477</v>
      </c>
      <c r="K46261" s="18"/>
    </row>
    <row r="46262">
      <c r="B46262" s="17" t="s">
        <v>477</v>
      </c>
      <c r="K46262" s="18"/>
    </row>
    <row r="46263">
      <c r="B46263" s="17" t="s">
        <v>477</v>
      </c>
      <c r="K46263" s="18"/>
    </row>
    <row r="46264">
      <c r="B46264" s="17" t="s">
        <v>477</v>
      </c>
      <c r="K46264" s="18"/>
    </row>
    <row r="46265">
      <c r="B46265" s="17" t="s">
        <v>477</v>
      </c>
      <c r="K46265" s="18"/>
    </row>
    <row r="46266">
      <c r="B46266" s="17" t="s">
        <v>477</v>
      </c>
      <c r="K46266" s="18"/>
    </row>
    <row r="46267">
      <c r="B46267" s="17" t="s">
        <v>477</v>
      </c>
      <c r="K46267" s="18"/>
    </row>
    <row r="46268">
      <c r="B46268" s="17" t="s">
        <v>477</v>
      </c>
      <c r="K46268" s="18"/>
    </row>
    <row r="46269">
      <c r="B46269" s="17" t="s">
        <v>477</v>
      </c>
      <c r="K46269" s="18"/>
    </row>
    <row r="46270">
      <c r="B46270" s="17" t="s">
        <v>477</v>
      </c>
      <c r="K46270" s="18"/>
    </row>
    <row r="46271">
      <c r="B46271" s="17" t="s">
        <v>477</v>
      </c>
      <c r="K46271" s="18"/>
    </row>
    <row r="46272">
      <c r="B46272" s="17" t="s">
        <v>477</v>
      </c>
      <c r="K46272" s="18"/>
    </row>
    <row r="46273">
      <c r="B46273" s="17" t="s">
        <v>477</v>
      </c>
      <c r="K46273" s="18"/>
    </row>
    <row r="46274">
      <c r="B46274" s="17" t="s">
        <v>477</v>
      </c>
      <c r="K46274" s="18"/>
    </row>
    <row r="46275">
      <c r="B46275" s="17" t="s">
        <v>477</v>
      </c>
      <c r="K46275" s="18"/>
    </row>
    <row r="46276">
      <c r="B46276" s="17" t="s">
        <v>477</v>
      </c>
      <c r="K46276" s="18"/>
    </row>
    <row r="46277">
      <c r="B46277" s="17" t="s">
        <v>477</v>
      </c>
      <c r="K46277" s="18"/>
    </row>
    <row r="46278">
      <c r="B46278" s="17" t="s">
        <v>477</v>
      </c>
      <c r="K46278" s="18"/>
    </row>
    <row r="46279">
      <c r="B46279" s="17" t="s">
        <v>477</v>
      </c>
      <c r="K46279" s="18"/>
    </row>
    <row r="46280">
      <c r="B46280" s="17" t="s">
        <v>477</v>
      </c>
      <c r="K46280" s="18"/>
    </row>
    <row r="46281">
      <c r="B46281" s="17" t="s">
        <v>477</v>
      </c>
      <c r="K46281" s="18"/>
    </row>
    <row r="46282">
      <c r="B46282" s="17" t="s">
        <v>477</v>
      </c>
      <c r="K46282" s="18"/>
    </row>
    <row r="46283">
      <c r="B46283" s="17" t="s">
        <v>477</v>
      </c>
      <c r="K46283" s="18"/>
    </row>
    <row r="46284">
      <c r="B46284" s="17" t="s">
        <v>477</v>
      </c>
      <c r="K46284" s="18"/>
    </row>
    <row r="46285">
      <c r="B46285" s="17" t="s">
        <v>477</v>
      </c>
      <c r="K46285" s="18"/>
    </row>
    <row r="46286">
      <c r="B46286" s="17" t="s">
        <v>477</v>
      </c>
      <c r="K46286" s="18"/>
    </row>
    <row r="46287">
      <c r="B46287" s="17" t="s">
        <v>477</v>
      </c>
      <c r="K46287" s="18"/>
    </row>
    <row r="46288">
      <c r="B46288" s="17" t="s">
        <v>477</v>
      </c>
      <c r="K46288" s="18"/>
    </row>
    <row r="46289">
      <c r="B46289" s="17" t="s">
        <v>477</v>
      </c>
      <c r="K46289" s="18"/>
    </row>
    <row r="46290">
      <c r="B46290" s="17" t="s">
        <v>477</v>
      </c>
      <c r="K46290" s="18"/>
    </row>
    <row r="46291">
      <c r="B46291" s="17" t="s">
        <v>477</v>
      </c>
      <c r="K46291" s="18"/>
    </row>
    <row r="46292">
      <c r="B46292" s="17" t="s">
        <v>477</v>
      </c>
      <c r="K46292" s="18"/>
    </row>
    <row r="46293">
      <c r="B46293" s="17" t="s">
        <v>477</v>
      </c>
      <c r="K46293" s="18"/>
    </row>
    <row r="46294">
      <c r="B46294" s="17" t="s">
        <v>477</v>
      </c>
      <c r="K46294" s="18"/>
    </row>
    <row r="46295">
      <c r="B46295" s="17" t="s">
        <v>477</v>
      </c>
      <c r="K46295" s="18"/>
    </row>
    <row r="46296">
      <c r="B46296" s="17" t="s">
        <v>477</v>
      </c>
      <c r="K46296" s="18"/>
    </row>
    <row r="46297">
      <c r="B46297" s="17" t="s">
        <v>477</v>
      </c>
      <c r="K46297" s="18"/>
    </row>
    <row r="46298">
      <c r="B46298" s="17" t="s">
        <v>477</v>
      </c>
      <c r="K46298" s="18"/>
    </row>
    <row r="46299">
      <c r="B46299" s="17" t="s">
        <v>477</v>
      </c>
      <c r="K46299" s="18"/>
    </row>
    <row r="46300">
      <c r="B46300" s="17" t="s">
        <v>477</v>
      </c>
      <c r="K46300" s="18"/>
    </row>
    <row r="46301">
      <c r="B46301" s="17" t="s">
        <v>477</v>
      </c>
      <c r="K46301" s="18"/>
    </row>
    <row r="46302">
      <c r="B46302" s="17" t="s">
        <v>477</v>
      </c>
      <c r="K46302" s="18"/>
    </row>
    <row r="46303">
      <c r="B46303" s="17" t="s">
        <v>477</v>
      </c>
      <c r="K46303" s="18"/>
    </row>
    <row r="46304">
      <c r="B46304" s="17" t="s">
        <v>477</v>
      </c>
      <c r="K46304" s="18"/>
    </row>
    <row r="46305">
      <c r="B46305" s="17" t="s">
        <v>477</v>
      </c>
      <c r="K46305" s="18"/>
    </row>
    <row r="46306">
      <c r="B46306" s="17" t="s">
        <v>477</v>
      </c>
      <c r="K46306" s="18"/>
    </row>
    <row r="46307">
      <c r="B46307" s="17" t="s">
        <v>477</v>
      </c>
      <c r="K46307" s="18"/>
    </row>
    <row r="46308">
      <c r="B46308" s="17" t="s">
        <v>477</v>
      </c>
      <c r="K46308" s="18"/>
    </row>
    <row r="46309">
      <c r="B46309" s="17" t="s">
        <v>477</v>
      </c>
      <c r="K46309" s="18"/>
    </row>
    <row r="46310">
      <c r="B46310" s="17" t="s">
        <v>477</v>
      </c>
      <c r="K46310" s="18"/>
    </row>
    <row r="46311">
      <c r="B46311" s="17" t="s">
        <v>477</v>
      </c>
      <c r="K46311" s="18"/>
    </row>
    <row r="46312">
      <c r="B46312" s="17" t="s">
        <v>477</v>
      </c>
      <c r="K46312" s="18"/>
    </row>
    <row r="46313">
      <c r="B46313" s="17" t="s">
        <v>477</v>
      </c>
      <c r="K46313" s="18"/>
    </row>
    <row r="46314">
      <c r="B46314" s="17" t="s">
        <v>477</v>
      </c>
      <c r="K46314" s="18"/>
    </row>
    <row r="46315">
      <c r="B46315" s="17" t="s">
        <v>477</v>
      </c>
      <c r="K46315" s="18"/>
    </row>
    <row r="46316">
      <c r="B46316" s="17" t="s">
        <v>477</v>
      </c>
      <c r="K46316" s="18"/>
    </row>
    <row r="46317">
      <c r="B46317" s="17" t="s">
        <v>477</v>
      </c>
      <c r="K46317" s="18"/>
    </row>
    <row r="46318">
      <c r="B46318" s="17" t="s">
        <v>477</v>
      </c>
      <c r="K46318" s="18"/>
    </row>
    <row r="46319">
      <c r="B46319" s="17" t="s">
        <v>477</v>
      </c>
      <c r="K46319" s="18"/>
    </row>
    <row r="46320">
      <c r="B46320" s="17" t="s">
        <v>477</v>
      </c>
      <c r="K46320" s="18"/>
    </row>
    <row r="46321">
      <c r="B46321" s="17" t="s">
        <v>477</v>
      </c>
      <c r="K46321" s="18"/>
    </row>
    <row r="46322">
      <c r="B46322" s="17" t="s">
        <v>477</v>
      </c>
      <c r="K46322" s="18"/>
    </row>
    <row r="46323">
      <c r="B46323" s="17" t="s">
        <v>477</v>
      </c>
      <c r="K46323" s="18"/>
    </row>
    <row r="46324">
      <c r="B46324" s="17" t="s">
        <v>477</v>
      </c>
      <c r="K46324" s="18"/>
    </row>
    <row r="46325">
      <c r="B46325" s="17" t="s">
        <v>477</v>
      </c>
      <c r="K46325" s="18"/>
    </row>
    <row r="46326">
      <c r="B46326" s="17" t="s">
        <v>477</v>
      </c>
      <c r="K46326" s="18"/>
    </row>
    <row r="46327">
      <c r="B46327" s="17" t="s">
        <v>477</v>
      </c>
      <c r="K46327" s="18"/>
    </row>
    <row r="46328">
      <c r="B46328" s="17" t="s">
        <v>477</v>
      </c>
      <c r="K46328" s="18"/>
    </row>
    <row r="46329">
      <c r="B46329" s="17" t="s">
        <v>477</v>
      </c>
      <c r="K46329" s="18"/>
    </row>
    <row r="46330">
      <c r="B46330" s="17" t="s">
        <v>477</v>
      </c>
      <c r="K46330" s="18"/>
    </row>
    <row r="46331">
      <c r="B46331" s="17" t="s">
        <v>477</v>
      </c>
      <c r="K46331" s="18"/>
    </row>
    <row r="46332">
      <c r="B46332" s="17" t="s">
        <v>477</v>
      </c>
      <c r="K46332" s="18"/>
    </row>
    <row r="46333">
      <c r="B46333" s="17" t="s">
        <v>477</v>
      </c>
      <c r="K46333" s="18"/>
    </row>
    <row r="46334">
      <c r="B46334" s="17" t="s">
        <v>477</v>
      </c>
      <c r="K46334" s="18"/>
    </row>
    <row r="46335">
      <c r="B46335" s="17" t="s">
        <v>477</v>
      </c>
      <c r="K46335" s="18"/>
    </row>
    <row r="46336">
      <c r="B46336" s="17" t="s">
        <v>477</v>
      </c>
      <c r="K46336" s="18"/>
    </row>
    <row r="46337">
      <c r="B46337" s="17" t="s">
        <v>477</v>
      </c>
      <c r="K46337" s="18"/>
    </row>
    <row r="46338">
      <c r="B46338" s="17" t="s">
        <v>477</v>
      </c>
      <c r="K46338" s="18"/>
    </row>
    <row r="46339">
      <c r="B46339" s="17" t="s">
        <v>477</v>
      </c>
      <c r="K46339" s="18"/>
    </row>
    <row r="46340">
      <c r="B46340" s="17" t="s">
        <v>477</v>
      </c>
      <c r="K46340" s="18"/>
    </row>
    <row r="46341">
      <c r="B46341" s="17" t="s">
        <v>477</v>
      </c>
      <c r="K46341" s="18"/>
    </row>
    <row r="46342">
      <c r="B46342" s="17" t="s">
        <v>477</v>
      </c>
      <c r="K46342" s="18"/>
    </row>
    <row r="46343">
      <c r="B46343" s="17" t="s">
        <v>477</v>
      </c>
      <c r="K46343" s="18"/>
    </row>
    <row r="46344">
      <c r="B46344" s="17" t="s">
        <v>477</v>
      </c>
      <c r="K46344" s="18"/>
    </row>
    <row r="46345">
      <c r="B46345" s="17" t="s">
        <v>477</v>
      </c>
      <c r="K46345" s="18"/>
    </row>
    <row r="46346">
      <c r="B46346" s="17" t="s">
        <v>477</v>
      </c>
      <c r="K46346" s="18"/>
    </row>
    <row r="46347">
      <c r="B46347" s="17" t="s">
        <v>477</v>
      </c>
      <c r="K46347" s="18"/>
    </row>
    <row r="46348">
      <c r="B46348" s="17" t="s">
        <v>477</v>
      </c>
      <c r="K46348" s="18"/>
    </row>
    <row r="46349">
      <c r="B46349" s="17" t="s">
        <v>477</v>
      </c>
      <c r="K46349" s="18"/>
    </row>
    <row r="46350">
      <c r="B46350" s="17" t="s">
        <v>477</v>
      </c>
      <c r="K46350" s="18"/>
    </row>
    <row r="46351">
      <c r="B46351" s="17" t="s">
        <v>477</v>
      </c>
      <c r="K46351" s="18"/>
    </row>
    <row r="46352">
      <c r="B46352" s="17" t="s">
        <v>477</v>
      </c>
      <c r="K46352" s="18"/>
    </row>
    <row r="46353">
      <c r="B46353" s="17" t="s">
        <v>477</v>
      </c>
      <c r="K46353" s="18"/>
    </row>
    <row r="46354">
      <c r="B46354" s="17" t="s">
        <v>477</v>
      </c>
      <c r="K46354" s="18"/>
    </row>
    <row r="46355">
      <c r="B46355" s="17" t="s">
        <v>477</v>
      </c>
      <c r="K46355" s="18"/>
    </row>
    <row r="46356">
      <c r="B46356" s="17" t="s">
        <v>477</v>
      </c>
      <c r="K46356" s="18"/>
    </row>
    <row r="46357">
      <c r="B46357" s="17" t="s">
        <v>477</v>
      </c>
      <c r="K46357" s="18"/>
    </row>
    <row r="46358">
      <c r="B46358" s="17" t="s">
        <v>477</v>
      </c>
      <c r="K46358" s="18"/>
    </row>
    <row r="46359">
      <c r="B46359" s="17" t="s">
        <v>477</v>
      </c>
      <c r="K46359" s="18"/>
    </row>
    <row r="46360">
      <c r="B46360" s="17" t="s">
        <v>477</v>
      </c>
      <c r="K46360" s="18"/>
    </row>
    <row r="46361">
      <c r="B46361" s="17" t="s">
        <v>477</v>
      </c>
      <c r="K46361" s="18"/>
    </row>
    <row r="46362">
      <c r="B46362" s="17" t="s">
        <v>477</v>
      </c>
      <c r="K46362" s="18"/>
    </row>
    <row r="46363">
      <c r="B46363" s="17" t="s">
        <v>477</v>
      </c>
      <c r="K46363" s="18"/>
    </row>
    <row r="46364">
      <c r="B46364" s="17" t="s">
        <v>477</v>
      </c>
      <c r="K46364" s="18"/>
    </row>
    <row r="46365">
      <c r="B46365" s="17" t="s">
        <v>477</v>
      </c>
      <c r="K46365" s="18"/>
    </row>
    <row r="46366">
      <c r="B46366" s="17" t="s">
        <v>477</v>
      </c>
      <c r="K46366" s="18"/>
    </row>
    <row r="46367">
      <c r="B46367" s="17" t="s">
        <v>477</v>
      </c>
      <c r="K46367" s="18"/>
    </row>
    <row r="46368">
      <c r="B46368" s="17" t="s">
        <v>477</v>
      </c>
      <c r="K46368" s="18"/>
    </row>
    <row r="46369">
      <c r="B46369" s="17" t="s">
        <v>477</v>
      </c>
      <c r="K46369" s="18"/>
    </row>
    <row r="46370">
      <c r="B46370" s="17" t="s">
        <v>477</v>
      </c>
      <c r="K46370" s="18"/>
    </row>
    <row r="46371">
      <c r="B46371" s="17" t="s">
        <v>477</v>
      </c>
      <c r="K46371" s="18"/>
    </row>
    <row r="46372">
      <c r="B46372" s="17" t="s">
        <v>477</v>
      </c>
      <c r="K46372" s="18"/>
    </row>
    <row r="46373">
      <c r="B46373" s="17" t="s">
        <v>477</v>
      </c>
      <c r="K46373" s="18"/>
    </row>
    <row r="46374">
      <c r="B46374" s="17" t="s">
        <v>477</v>
      </c>
      <c r="K46374" s="18"/>
    </row>
    <row r="46375">
      <c r="B46375" s="17" t="s">
        <v>477</v>
      </c>
      <c r="K46375" s="18"/>
    </row>
    <row r="46376">
      <c r="B46376" s="17" t="s">
        <v>477</v>
      </c>
      <c r="K46376" s="18"/>
    </row>
    <row r="46377">
      <c r="B46377" s="17" t="s">
        <v>477</v>
      </c>
      <c r="K46377" s="18"/>
    </row>
    <row r="46378">
      <c r="B46378" s="17" t="s">
        <v>477</v>
      </c>
      <c r="K46378" s="18"/>
    </row>
    <row r="46379">
      <c r="B46379" s="17" t="s">
        <v>477</v>
      </c>
      <c r="K46379" s="18"/>
    </row>
    <row r="46380">
      <c r="B46380" s="17" t="s">
        <v>477</v>
      </c>
      <c r="K46380" s="18"/>
    </row>
    <row r="46381">
      <c r="B46381" s="17" t="s">
        <v>477</v>
      </c>
      <c r="K46381" s="18"/>
    </row>
    <row r="46382">
      <c r="B46382" s="17" t="s">
        <v>477</v>
      </c>
      <c r="K46382" s="18"/>
    </row>
    <row r="46383">
      <c r="B46383" s="17" t="s">
        <v>477</v>
      </c>
      <c r="K46383" s="18"/>
    </row>
    <row r="46384">
      <c r="B46384" s="17" t="s">
        <v>477</v>
      </c>
      <c r="K46384" s="18"/>
    </row>
    <row r="46385">
      <c r="B46385" s="17" t="s">
        <v>477</v>
      </c>
      <c r="K46385" s="18"/>
    </row>
    <row r="46386">
      <c r="B46386" s="17" t="s">
        <v>477</v>
      </c>
      <c r="K46386" s="18"/>
    </row>
    <row r="46387">
      <c r="B46387" s="17" t="s">
        <v>477</v>
      </c>
      <c r="K46387" s="18"/>
    </row>
    <row r="46388">
      <c r="B46388" s="17" t="s">
        <v>477</v>
      </c>
      <c r="K46388" s="18"/>
    </row>
    <row r="46389">
      <c r="B46389" s="17" t="s">
        <v>477</v>
      </c>
      <c r="K46389" s="18"/>
    </row>
    <row r="46390">
      <c r="B46390" s="17" t="s">
        <v>477</v>
      </c>
      <c r="K46390" s="18"/>
    </row>
    <row r="46391">
      <c r="B46391" s="17" t="s">
        <v>477</v>
      </c>
      <c r="K46391" s="18"/>
    </row>
    <row r="46392">
      <c r="B46392" s="17" t="s">
        <v>477</v>
      </c>
      <c r="K46392" s="18"/>
    </row>
    <row r="46393">
      <c r="B46393" s="17" t="s">
        <v>477</v>
      </c>
      <c r="K46393" s="18"/>
    </row>
    <row r="46394">
      <c r="B46394" s="17" t="s">
        <v>477</v>
      </c>
      <c r="K46394" s="18"/>
    </row>
    <row r="46395">
      <c r="B46395" s="17" t="s">
        <v>477</v>
      </c>
      <c r="K46395" s="18"/>
    </row>
    <row r="46396">
      <c r="B46396" s="17" t="s">
        <v>477</v>
      </c>
      <c r="K46396" s="18"/>
    </row>
    <row r="46397">
      <c r="B46397" s="17" t="s">
        <v>477</v>
      </c>
      <c r="K46397" s="18"/>
    </row>
    <row r="46398">
      <c r="B46398" s="17" t="s">
        <v>477</v>
      </c>
      <c r="K46398" s="18"/>
    </row>
    <row r="46399">
      <c r="B46399" s="17" t="s">
        <v>477</v>
      </c>
      <c r="K46399" s="18"/>
    </row>
    <row r="46400">
      <c r="B46400" s="17" t="s">
        <v>477</v>
      </c>
      <c r="K46400" s="18"/>
    </row>
    <row r="46401">
      <c r="B46401" s="17" t="s">
        <v>477</v>
      </c>
      <c r="K46401" s="18"/>
    </row>
    <row r="46402">
      <c r="B46402" s="17" t="s">
        <v>477</v>
      </c>
      <c r="K46402" s="18"/>
    </row>
    <row r="46403">
      <c r="B46403" s="17" t="s">
        <v>477</v>
      </c>
      <c r="K46403" s="18"/>
    </row>
    <row r="46404">
      <c r="B46404" s="17" t="s">
        <v>477</v>
      </c>
      <c r="K46404" s="18"/>
    </row>
    <row r="46405">
      <c r="B46405" s="17" t="s">
        <v>477</v>
      </c>
      <c r="K46405" s="18"/>
    </row>
    <row r="46406">
      <c r="B46406" s="17" t="s">
        <v>477</v>
      </c>
      <c r="K46406" s="18"/>
    </row>
    <row r="46407">
      <c r="B46407" s="17" t="s">
        <v>477</v>
      </c>
      <c r="K46407" s="18"/>
    </row>
    <row r="46408">
      <c r="B46408" s="17" t="s">
        <v>477</v>
      </c>
      <c r="K46408" s="18"/>
    </row>
    <row r="46409">
      <c r="B46409" s="17" t="s">
        <v>477</v>
      </c>
      <c r="K46409" s="18"/>
    </row>
    <row r="46410">
      <c r="B46410" s="17" t="s">
        <v>477</v>
      </c>
      <c r="K46410" s="18"/>
    </row>
    <row r="46411">
      <c r="B46411" s="17" t="s">
        <v>477</v>
      </c>
      <c r="K46411" s="18"/>
    </row>
    <row r="46412">
      <c r="B46412" s="17" t="s">
        <v>477</v>
      </c>
      <c r="K46412" s="18"/>
    </row>
    <row r="46413">
      <c r="B46413" s="17" t="s">
        <v>477</v>
      </c>
      <c r="K46413" s="18"/>
    </row>
    <row r="46414">
      <c r="B46414" s="17" t="s">
        <v>477</v>
      </c>
      <c r="K46414" s="18"/>
    </row>
    <row r="46415">
      <c r="B46415" s="17" t="s">
        <v>477</v>
      </c>
      <c r="K46415" s="18"/>
    </row>
    <row r="46416">
      <c r="B46416" s="17" t="s">
        <v>477</v>
      </c>
      <c r="K46416" s="18"/>
    </row>
    <row r="46417">
      <c r="B46417" s="17" t="s">
        <v>477</v>
      </c>
      <c r="K46417" s="18"/>
    </row>
    <row r="46418">
      <c r="B46418" s="17" t="s">
        <v>477</v>
      </c>
      <c r="K46418" s="18"/>
    </row>
    <row r="46419">
      <c r="B46419" s="17" t="s">
        <v>477</v>
      </c>
      <c r="K46419" s="18"/>
    </row>
    <row r="46420">
      <c r="B46420" s="17" t="s">
        <v>477</v>
      </c>
      <c r="K46420" s="18"/>
    </row>
    <row r="46421">
      <c r="B46421" s="17" t="s">
        <v>477</v>
      </c>
      <c r="K46421" s="18"/>
    </row>
    <row r="46422">
      <c r="B46422" s="17" t="s">
        <v>477</v>
      </c>
      <c r="K46422" s="18"/>
    </row>
    <row r="46423">
      <c r="B46423" s="17" t="s">
        <v>477</v>
      </c>
      <c r="K46423" s="18"/>
    </row>
    <row r="46424">
      <c r="B46424" s="17" t="s">
        <v>477</v>
      </c>
      <c r="K46424" s="18"/>
    </row>
    <row r="46425">
      <c r="B46425" s="17" t="s">
        <v>477</v>
      </c>
      <c r="K46425" s="18"/>
    </row>
    <row r="46426">
      <c r="B46426" s="17" t="s">
        <v>477</v>
      </c>
      <c r="K46426" s="18"/>
    </row>
    <row r="46427">
      <c r="B46427" s="17" t="s">
        <v>477</v>
      </c>
      <c r="K46427" s="18"/>
    </row>
    <row r="46428">
      <c r="B46428" s="17" t="s">
        <v>477</v>
      </c>
      <c r="K46428" s="18"/>
    </row>
    <row r="46429">
      <c r="B46429" s="17" t="s">
        <v>477</v>
      </c>
      <c r="K46429" s="18"/>
    </row>
    <row r="46430">
      <c r="B46430" s="17" t="s">
        <v>477</v>
      </c>
      <c r="K46430" s="18"/>
    </row>
    <row r="46431">
      <c r="B46431" s="17" t="s">
        <v>477</v>
      </c>
      <c r="K46431" s="18"/>
    </row>
    <row r="46432">
      <c r="B46432" s="17" t="s">
        <v>477</v>
      </c>
      <c r="K46432" s="18"/>
    </row>
    <row r="46433">
      <c r="B46433" s="17" t="s">
        <v>477</v>
      </c>
      <c r="K46433" s="18"/>
    </row>
    <row r="46434">
      <c r="B46434" s="17" t="s">
        <v>477</v>
      </c>
      <c r="K46434" s="18"/>
    </row>
    <row r="46435">
      <c r="B46435" s="17" t="s">
        <v>477</v>
      </c>
      <c r="K46435" s="18"/>
    </row>
    <row r="46436">
      <c r="B46436" s="17" t="s">
        <v>477</v>
      </c>
      <c r="K46436" s="18"/>
    </row>
    <row r="46437">
      <c r="B46437" s="17" t="s">
        <v>477</v>
      </c>
      <c r="K46437" s="18"/>
    </row>
    <row r="46438">
      <c r="B46438" s="17" t="s">
        <v>477</v>
      </c>
      <c r="K46438" s="18"/>
    </row>
    <row r="46439">
      <c r="B46439" s="17" t="s">
        <v>477</v>
      </c>
      <c r="K46439" s="18"/>
    </row>
    <row r="46440">
      <c r="B46440" s="17" t="s">
        <v>477</v>
      </c>
      <c r="K46440" s="18"/>
    </row>
    <row r="46441">
      <c r="B46441" s="17" t="s">
        <v>477</v>
      </c>
      <c r="K46441" s="18"/>
    </row>
    <row r="46442">
      <c r="B46442" s="17" t="s">
        <v>477</v>
      </c>
      <c r="K46442" s="18"/>
    </row>
    <row r="46443">
      <c r="B46443" s="17" t="s">
        <v>477</v>
      </c>
      <c r="K46443" s="18"/>
    </row>
    <row r="46444">
      <c r="B46444" s="17" t="s">
        <v>477</v>
      </c>
      <c r="K46444" s="18"/>
    </row>
    <row r="46445">
      <c r="B46445" s="17" t="s">
        <v>477</v>
      </c>
      <c r="K46445" s="18"/>
    </row>
    <row r="46446">
      <c r="B46446" s="17" t="s">
        <v>477</v>
      </c>
      <c r="K46446" s="18"/>
    </row>
    <row r="46447">
      <c r="B46447" s="17" t="s">
        <v>477</v>
      </c>
      <c r="K46447" s="18"/>
    </row>
    <row r="46448">
      <c r="B46448" s="17" t="s">
        <v>477</v>
      </c>
      <c r="K46448" s="18"/>
    </row>
    <row r="46449">
      <c r="B46449" s="17" t="s">
        <v>477</v>
      </c>
      <c r="K46449" s="18"/>
    </row>
    <row r="46450">
      <c r="B46450" s="17" t="s">
        <v>477</v>
      </c>
      <c r="K46450" s="18"/>
    </row>
    <row r="46451">
      <c r="B46451" s="17" t="s">
        <v>477</v>
      </c>
      <c r="K46451" s="18"/>
    </row>
    <row r="46452">
      <c r="B46452" s="17" t="s">
        <v>477</v>
      </c>
      <c r="K46452" s="18"/>
    </row>
    <row r="46453">
      <c r="B46453" s="17" t="s">
        <v>477</v>
      </c>
      <c r="K46453" s="18"/>
    </row>
    <row r="46454">
      <c r="B46454" s="17" t="s">
        <v>477</v>
      </c>
      <c r="K46454" s="18"/>
    </row>
    <row r="46455">
      <c r="B46455" s="17" t="s">
        <v>477</v>
      </c>
      <c r="K46455" s="18"/>
    </row>
    <row r="46456">
      <c r="B46456" s="17" t="s">
        <v>477</v>
      </c>
      <c r="K46456" s="18"/>
    </row>
    <row r="46457">
      <c r="B46457" s="17" t="s">
        <v>477</v>
      </c>
      <c r="K46457" s="18"/>
    </row>
    <row r="46458">
      <c r="B46458" s="17" t="s">
        <v>477</v>
      </c>
      <c r="K46458" s="18"/>
    </row>
    <row r="46459">
      <c r="B46459" s="17" t="s">
        <v>477</v>
      </c>
      <c r="K46459" s="18"/>
    </row>
    <row r="46460">
      <c r="B46460" s="17" t="s">
        <v>477</v>
      </c>
      <c r="K46460" s="18"/>
    </row>
    <row r="46461">
      <c r="B46461" s="17" t="s">
        <v>477</v>
      </c>
      <c r="K46461" s="18"/>
    </row>
    <row r="46462">
      <c r="B46462" s="17" t="s">
        <v>477</v>
      </c>
      <c r="K46462" s="18"/>
    </row>
    <row r="46463">
      <c r="B46463" s="17" t="s">
        <v>477</v>
      </c>
      <c r="K46463" s="18"/>
    </row>
    <row r="46464">
      <c r="B46464" s="17" t="s">
        <v>477</v>
      </c>
      <c r="K46464" s="18"/>
    </row>
    <row r="46465">
      <c r="B46465" s="17" t="s">
        <v>477</v>
      </c>
      <c r="K46465" s="18"/>
    </row>
    <row r="46466">
      <c r="B46466" s="17" t="s">
        <v>477</v>
      </c>
      <c r="K46466" s="18"/>
    </row>
    <row r="46467">
      <c r="B46467" s="17" t="s">
        <v>477</v>
      </c>
      <c r="K46467" s="18"/>
    </row>
    <row r="46468">
      <c r="B46468" s="17" t="s">
        <v>477</v>
      </c>
      <c r="K46468" s="18"/>
    </row>
    <row r="46469">
      <c r="B46469" s="17" t="s">
        <v>477</v>
      </c>
      <c r="K46469" s="18"/>
    </row>
    <row r="46470">
      <c r="B46470" s="17" t="s">
        <v>477</v>
      </c>
      <c r="K46470" s="18"/>
    </row>
    <row r="46471">
      <c r="B46471" s="17" t="s">
        <v>477</v>
      </c>
      <c r="K46471" s="18"/>
    </row>
    <row r="46472">
      <c r="B46472" s="17" t="s">
        <v>477</v>
      </c>
      <c r="K46472" s="18"/>
    </row>
    <row r="46473">
      <c r="B46473" s="17" t="s">
        <v>477</v>
      </c>
      <c r="K46473" s="18"/>
    </row>
    <row r="46474">
      <c r="B46474" s="17" t="s">
        <v>477</v>
      </c>
      <c r="K46474" s="18"/>
    </row>
    <row r="46475">
      <c r="B46475" s="17" t="s">
        <v>477</v>
      </c>
      <c r="K46475" s="18"/>
    </row>
    <row r="46476">
      <c r="B46476" s="17" t="s">
        <v>477</v>
      </c>
      <c r="K46476" s="18"/>
    </row>
    <row r="46477">
      <c r="B46477" s="17" t="s">
        <v>477</v>
      </c>
      <c r="K46477" s="18"/>
    </row>
    <row r="46478">
      <c r="B46478" s="17" t="s">
        <v>477</v>
      </c>
      <c r="K46478" s="18"/>
    </row>
    <row r="46479">
      <c r="B46479" s="17" t="s">
        <v>477</v>
      </c>
      <c r="K46479" s="18"/>
    </row>
    <row r="46480">
      <c r="B46480" s="17" t="s">
        <v>477</v>
      </c>
      <c r="K46480" s="18"/>
    </row>
    <row r="46481">
      <c r="B46481" s="17" t="s">
        <v>477</v>
      </c>
      <c r="K46481" s="18"/>
    </row>
    <row r="46482">
      <c r="B46482" s="17" t="s">
        <v>477</v>
      </c>
      <c r="K46482" s="18"/>
    </row>
    <row r="46483">
      <c r="B46483" s="17" t="s">
        <v>477</v>
      </c>
      <c r="K46483" s="18"/>
    </row>
    <row r="46484">
      <c r="B46484" s="17" t="s">
        <v>477</v>
      </c>
      <c r="K46484" s="18"/>
    </row>
    <row r="46485">
      <c r="B46485" s="17" t="s">
        <v>477</v>
      </c>
      <c r="K46485" s="18"/>
    </row>
    <row r="46486">
      <c r="B46486" s="17" t="s">
        <v>477</v>
      </c>
      <c r="K46486" s="18"/>
    </row>
    <row r="46487">
      <c r="B46487" s="17" t="s">
        <v>477</v>
      </c>
      <c r="K46487" s="18"/>
    </row>
    <row r="46488">
      <c r="B46488" s="17" t="s">
        <v>477</v>
      </c>
      <c r="K46488" s="18"/>
    </row>
    <row r="46489">
      <c r="B46489" s="17" t="s">
        <v>477</v>
      </c>
      <c r="K46489" s="18"/>
    </row>
    <row r="46490">
      <c r="B46490" s="17" t="s">
        <v>477</v>
      </c>
      <c r="K46490" s="18"/>
    </row>
    <row r="46491">
      <c r="B46491" s="17" t="s">
        <v>477</v>
      </c>
      <c r="K46491" s="18"/>
    </row>
    <row r="46492">
      <c r="B46492" s="17" t="s">
        <v>477</v>
      </c>
      <c r="K46492" s="18"/>
    </row>
    <row r="46493">
      <c r="B46493" s="17" t="s">
        <v>477</v>
      </c>
      <c r="K46493" s="18"/>
    </row>
    <row r="46494">
      <c r="B46494" s="17" t="s">
        <v>477</v>
      </c>
      <c r="K46494" s="18"/>
    </row>
    <row r="46495">
      <c r="B46495" s="17" t="s">
        <v>477</v>
      </c>
      <c r="K46495" s="18"/>
    </row>
    <row r="46496">
      <c r="B46496" s="17" t="s">
        <v>477</v>
      </c>
      <c r="K46496" s="18"/>
    </row>
    <row r="46497">
      <c r="B46497" s="17" t="s">
        <v>477</v>
      </c>
      <c r="K46497" s="18"/>
    </row>
    <row r="46498">
      <c r="B46498" s="17" t="s">
        <v>477</v>
      </c>
      <c r="K46498" s="18"/>
    </row>
    <row r="46499">
      <c r="B46499" s="17" t="s">
        <v>477</v>
      </c>
      <c r="K46499" s="18"/>
    </row>
    <row r="46500">
      <c r="B46500" s="17" t="s">
        <v>477</v>
      </c>
      <c r="K46500" s="18"/>
    </row>
    <row r="46501">
      <c r="B46501" s="17" t="s">
        <v>477</v>
      </c>
      <c r="K46501" s="18"/>
    </row>
    <row r="46502">
      <c r="B46502" s="17" t="s">
        <v>477</v>
      </c>
      <c r="K46502" s="18"/>
    </row>
    <row r="46503">
      <c r="B46503" s="17" t="s">
        <v>477</v>
      </c>
      <c r="K46503" s="18"/>
    </row>
    <row r="46504">
      <c r="B46504" s="17" t="s">
        <v>477</v>
      </c>
      <c r="K46504" s="18"/>
    </row>
    <row r="46505">
      <c r="B46505" s="17" t="s">
        <v>477</v>
      </c>
      <c r="K46505" s="18"/>
    </row>
    <row r="46506">
      <c r="B46506" s="17" t="s">
        <v>477</v>
      </c>
      <c r="K46506" s="18"/>
    </row>
    <row r="46507">
      <c r="B46507" s="17" t="s">
        <v>477</v>
      </c>
      <c r="K46507" s="18"/>
    </row>
    <row r="46508">
      <c r="B46508" s="17" t="s">
        <v>477</v>
      </c>
      <c r="K46508" s="18"/>
    </row>
    <row r="46509">
      <c r="B46509" s="17" t="s">
        <v>477</v>
      </c>
      <c r="K46509" s="18"/>
    </row>
    <row r="46510">
      <c r="B46510" s="17" t="s">
        <v>477</v>
      </c>
      <c r="K46510" s="18"/>
    </row>
    <row r="46511">
      <c r="B46511" s="17" t="s">
        <v>477</v>
      </c>
      <c r="K46511" s="18"/>
    </row>
    <row r="46512">
      <c r="B46512" s="17" t="s">
        <v>477</v>
      </c>
      <c r="K46512" s="18"/>
    </row>
    <row r="46513">
      <c r="B46513" s="17" t="s">
        <v>477</v>
      </c>
      <c r="K46513" s="18"/>
    </row>
    <row r="46514">
      <c r="B46514" s="17" t="s">
        <v>477</v>
      </c>
      <c r="K46514" s="18"/>
    </row>
    <row r="46515">
      <c r="B46515" s="17" t="s">
        <v>477</v>
      </c>
      <c r="K46515" s="18"/>
    </row>
    <row r="46516">
      <c r="B46516" s="17" t="s">
        <v>477</v>
      </c>
      <c r="K46516" s="18"/>
    </row>
    <row r="46517">
      <c r="B46517" s="17" t="s">
        <v>477</v>
      </c>
      <c r="K46517" s="18"/>
    </row>
    <row r="46518">
      <c r="B46518" s="17" t="s">
        <v>477</v>
      </c>
      <c r="K46518" s="18"/>
    </row>
    <row r="46519">
      <c r="B46519" s="17" t="s">
        <v>477</v>
      </c>
      <c r="K46519" s="18"/>
    </row>
    <row r="46520">
      <c r="B46520" s="17" t="s">
        <v>477</v>
      </c>
      <c r="K46520" s="18"/>
    </row>
    <row r="46521">
      <c r="B46521" s="17" t="s">
        <v>477</v>
      </c>
      <c r="K46521" s="18"/>
    </row>
    <row r="46522">
      <c r="B46522" s="17" t="s">
        <v>477</v>
      </c>
      <c r="K46522" s="18"/>
    </row>
    <row r="46523">
      <c r="B46523" s="17" t="s">
        <v>477</v>
      </c>
      <c r="K46523" s="18"/>
    </row>
    <row r="46524">
      <c r="B46524" s="17" t="s">
        <v>477</v>
      </c>
      <c r="K46524" s="18"/>
    </row>
    <row r="46525">
      <c r="B46525" s="17" t="s">
        <v>477</v>
      </c>
      <c r="K46525" s="18"/>
    </row>
    <row r="46526">
      <c r="B46526" s="17" t="s">
        <v>477</v>
      </c>
      <c r="K46526" s="18"/>
    </row>
    <row r="46527">
      <c r="B46527" s="17" t="s">
        <v>477</v>
      </c>
      <c r="K46527" s="18"/>
    </row>
    <row r="46528">
      <c r="B46528" s="17" t="s">
        <v>477</v>
      </c>
      <c r="K46528" s="18"/>
    </row>
    <row r="46529">
      <c r="B46529" s="17" t="s">
        <v>477</v>
      </c>
      <c r="K46529" s="18"/>
    </row>
    <row r="46530">
      <c r="B46530" s="17" t="s">
        <v>477</v>
      </c>
      <c r="K46530" s="18"/>
    </row>
    <row r="46531">
      <c r="B46531" s="17" t="s">
        <v>477</v>
      </c>
      <c r="K46531" s="18"/>
    </row>
    <row r="46532">
      <c r="B46532" s="17" t="s">
        <v>477</v>
      </c>
      <c r="K46532" s="18"/>
    </row>
    <row r="46533">
      <c r="B46533" s="17" t="s">
        <v>477</v>
      </c>
      <c r="K46533" s="18"/>
    </row>
    <row r="46534">
      <c r="B46534" s="17" t="s">
        <v>477</v>
      </c>
      <c r="K46534" s="18"/>
    </row>
    <row r="46535">
      <c r="B46535" s="17" t="s">
        <v>477</v>
      </c>
      <c r="K46535" s="18"/>
    </row>
    <row r="46536">
      <c r="B46536" s="17" t="s">
        <v>477</v>
      </c>
      <c r="K46536" s="18"/>
    </row>
    <row r="46537">
      <c r="B46537" s="17" t="s">
        <v>477</v>
      </c>
      <c r="K46537" s="18"/>
    </row>
    <row r="46538">
      <c r="B46538" s="17" t="s">
        <v>477</v>
      </c>
      <c r="K46538" s="18"/>
    </row>
    <row r="46539">
      <c r="B46539" s="17" t="s">
        <v>477</v>
      </c>
      <c r="K46539" s="18"/>
    </row>
    <row r="46540">
      <c r="B46540" s="17" t="s">
        <v>477</v>
      </c>
      <c r="K46540" s="18"/>
    </row>
    <row r="46541">
      <c r="B46541" s="17" t="s">
        <v>477</v>
      </c>
      <c r="K46541" s="18"/>
    </row>
    <row r="46542">
      <c r="B46542" s="17" t="s">
        <v>477</v>
      </c>
      <c r="K46542" s="18"/>
    </row>
    <row r="46543">
      <c r="B46543" s="17" t="s">
        <v>477</v>
      </c>
      <c r="K46543" s="18"/>
    </row>
    <row r="46544">
      <c r="B46544" s="17" t="s">
        <v>477</v>
      </c>
      <c r="K46544" s="18"/>
    </row>
    <row r="46545">
      <c r="B46545" s="17" t="s">
        <v>477</v>
      </c>
      <c r="K46545" s="18"/>
    </row>
    <row r="46546">
      <c r="B46546" s="17" t="s">
        <v>477</v>
      </c>
      <c r="K46546" s="18"/>
    </row>
    <row r="46547">
      <c r="B46547" s="17" t="s">
        <v>477</v>
      </c>
      <c r="K46547" s="18"/>
    </row>
    <row r="46548">
      <c r="B46548" s="17" t="s">
        <v>477</v>
      </c>
      <c r="K46548" s="18"/>
    </row>
    <row r="46549">
      <c r="B46549" s="17" t="s">
        <v>477</v>
      </c>
      <c r="K46549" s="18"/>
    </row>
    <row r="46550">
      <c r="B46550" s="17" t="s">
        <v>477</v>
      </c>
      <c r="K46550" s="18"/>
    </row>
    <row r="46551">
      <c r="B46551" s="17" t="s">
        <v>477</v>
      </c>
      <c r="K46551" s="18"/>
    </row>
    <row r="46552">
      <c r="B46552" s="17" t="s">
        <v>477</v>
      </c>
      <c r="K46552" s="18"/>
    </row>
    <row r="46553">
      <c r="B46553" s="17" t="s">
        <v>477</v>
      </c>
      <c r="K46553" s="18"/>
    </row>
    <row r="46554">
      <c r="B46554" s="17" t="s">
        <v>477</v>
      </c>
      <c r="K46554" s="18"/>
    </row>
    <row r="46555">
      <c r="B46555" s="17" t="s">
        <v>477</v>
      </c>
      <c r="K46555" s="18"/>
    </row>
    <row r="46556">
      <c r="B46556" s="17" t="s">
        <v>477</v>
      </c>
      <c r="K46556" s="18"/>
    </row>
    <row r="46557">
      <c r="B46557" s="17" t="s">
        <v>477</v>
      </c>
      <c r="K46557" s="18"/>
    </row>
    <row r="46558">
      <c r="B46558" s="17" t="s">
        <v>477</v>
      </c>
      <c r="K46558" s="18"/>
    </row>
    <row r="46559">
      <c r="B46559" s="17" t="s">
        <v>477</v>
      </c>
      <c r="K46559" s="18"/>
    </row>
    <row r="46560">
      <c r="B46560" s="17" t="s">
        <v>477</v>
      </c>
      <c r="K46560" s="18"/>
    </row>
    <row r="46561">
      <c r="B46561" s="17" t="s">
        <v>477</v>
      </c>
      <c r="K46561" s="18"/>
    </row>
    <row r="46562">
      <c r="B46562" s="17" t="s">
        <v>477</v>
      </c>
      <c r="K46562" s="18"/>
    </row>
    <row r="46563">
      <c r="B46563" s="17" t="s">
        <v>477</v>
      </c>
      <c r="K46563" s="18"/>
    </row>
    <row r="46564">
      <c r="B46564" s="17" t="s">
        <v>477</v>
      </c>
      <c r="K46564" s="18"/>
    </row>
    <row r="46565">
      <c r="B46565" s="17" t="s">
        <v>477</v>
      </c>
      <c r="K46565" s="18"/>
    </row>
    <row r="46566">
      <c r="B46566" s="17" t="s">
        <v>477</v>
      </c>
      <c r="K46566" s="18"/>
    </row>
    <row r="46567">
      <c r="B46567" s="17" t="s">
        <v>477</v>
      </c>
      <c r="K46567" s="18"/>
    </row>
    <row r="46568">
      <c r="B46568" s="17" t="s">
        <v>477</v>
      </c>
      <c r="K46568" s="18"/>
    </row>
    <row r="46569">
      <c r="B46569" s="17" t="s">
        <v>477</v>
      </c>
      <c r="K46569" s="18"/>
    </row>
    <row r="46570">
      <c r="B46570" s="17" t="s">
        <v>477</v>
      </c>
      <c r="K46570" s="18"/>
    </row>
    <row r="46571">
      <c r="B46571" s="17" t="s">
        <v>477</v>
      </c>
      <c r="K46571" s="18"/>
    </row>
    <row r="46572">
      <c r="B46572" s="17" t="s">
        <v>477</v>
      </c>
      <c r="K46572" s="18"/>
    </row>
    <row r="46573">
      <c r="B46573" s="17" t="s">
        <v>477</v>
      </c>
      <c r="K46573" s="18"/>
    </row>
    <row r="46574">
      <c r="B46574" s="17" t="s">
        <v>477</v>
      </c>
      <c r="K46574" s="18"/>
    </row>
    <row r="46575">
      <c r="B46575" s="17" t="s">
        <v>477</v>
      </c>
      <c r="K46575" s="18"/>
    </row>
    <row r="46576">
      <c r="B46576" s="17" t="s">
        <v>477</v>
      </c>
      <c r="K46576" s="18"/>
    </row>
    <row r="46577">
      <c r="B46577" s="17" t="s">
        <v>477</v>
      </c>
      <c r="K46577" s="18"/>
    </row>
    <row r="46578">
      <c r="B46578" s="17" t="s">
        <v>477</v>
      </c>
      <c r="K46578" s="18"/>
    </row>
    <row r="46579">
      <c r="B46579" s="17" t="s">
        <v>477</v>
      </c>
      <c r="K46579" s="18"/>
    </row>
    <row r="46580">
      <c r="B46580" s="17" t="s">
        <v>477</v>
      </c>
      <c r="K46580" s="18"/>
    </row>
    <row r="46581">
      <c r="B46581" s="17" t="s">
        <v>477</v>
      </c>
      <c r="K46581" s="18"/>
    </row>
    <row r="46582">
      <c r="B46582" s="17" t="s">
        <v>477</v>
      </c>
      <c r="K46582" s="18"/>
    </row>
    <row r="46583">
      <c r="B46583" s="17" t="s">
        <v>477</v>
      </c>
      <c r="K46583" s="18"/>
    </row>
    <row r="46584">
      <c r="B46584" s="17" t="s">
        <v>477</v>
      </c>
      <c r="K46584" s="18"/>
    </row>
    <row r="46585">
      <c r="B46585" s="17" t="s">
        <v>477</v>
      </c>
      <c r="K46585" s="18"/>
    </row>
    <row r="46586">
      <c r="B46586" s="17" t="s">
        <v>477</v>
      </c>
      <c r="K46586" s="18"/>
    </row>
    <row r="46587">
      <c r="B46587" s="17" t="s">
        <v>477</v>
      </c>
      <c r="K46587" s="18"/>
    </row>
    <row r="46588">
      <c r="B46588" s="17" t="s">
        <v>477</v>
      </c>
      <c r="K46588" s="18"/>
    </row>
    <row r="46589">
      <c r="B46589" s="17" t="s">
        <v>477</v>
      </c>
      <c r="K46589" s="18"/>
    </row>
    <row r="46590">
      <c r="B46590" s="17" t="s">
        <v>477</v>
      </c>
      <c r="K46590" s="18"/>
    </row>
    <row r="46591">
      <c r="B46591" s="17" t="s">
        <v>477</v>
      </c>
      <c r="K46591" s="18"/>
    </row>
    <row r="46592">
      <c r="B46592" s="17" t="s">
        <v>477</v>
      </c>
      <c r="K46592" s="18"/>
    </row>
    <row r="46593">
      <c r="B46593" s="17" t="s">
        <v>477</v>
      </c>
      <c r="K46593" s="18"/>
    </row>
    <row r="46594">
      <c r="B46594" s="17" t="s">
        <v>477</v>
      </c>
      <c r="K46594" s="18"/>
    </row>
    <row r="46595">
      <c r="B46595" s="17" t="s">
        <v>477</v>
      </c>
      <c r="K46595" s="18"/>
    </row>
    <row r="46596">
      <c r="B46596" s="17" t="s">
        <v>477</v>
      </c>
      <c r="K46596" s="18"/>
    </row>
    <row r="46597">
      <c r="B46597" s="17" t="s">
        <v>477</v>
      </c>
      <c r="K46597" s="18"/>
    </row>
    <row r="46598">
      <c r="B46598" s="17" t="s">
        <v>477</v>
      </c>
      <c r="K46598" s="18"/>
    </row>
    <row r="46599">
      <c r="B46599" s="17" t="s">
        <v>477</v>
      </c>
      <c r="K46599" s="18"/>
    </row>
    <row r="46600">
      <c r="B46600" s="17" t="s">
        <v>477</v>
      </c>
      <c r="K46600" s="18"/>
    </row>
    <row r="46601">
      <c r="B46601" s="17" t="s">
        <v>477</v>
      </c>
      <c r="K46601" s="18"/>
    </row>
    <row r="46602">
      <c r="B46602" s="17" t="s">
        <v>477</v>
      </c>
      <c r="K46602" s="18"/>
    </row>
    <row r="46603">
      <c r="B46603" s="17" t="s">
        <v>477</v>
      </c>
      <c r="K46603" s="18"/>
    </row>
    <row r="46604">
      <c r="B46604" s="17" t="s">
        <v>477</v>
      </c>
      <c r="K46604" s="18"/>
    </row>
    <row r="46605">
      <c r="B46605" s="17" t="s">
        <v>477</v>
      </c>
      <c r="K46605" s="18"/>
    </row>
    <row r="46606">
      <c r="B46606" s="17" t="s">
        <v>477</v>
      </c>
      <c r="K46606" s="18"/>
    </row>
    <row r="46607">
      <c r="B46607" s="17" t="s">
        <v>477</v>
      </c>
      <c r="K46607" s="18"/>
    </row>
    <row r="46608">
      <c r="B46608" s="17" t="s">
        <v>477</v>
      </c>
      <c r="K46608" s="18"/>
    </row>
    <row r="46609">
      <c r="B46609" s="17" t="s">
        <v>477</v>
      </c>
      <c r="K46609" s="18"/>
    </row>
    <row r="46610">
      <c r="B46610" s="17" t="s">
        <v>477</v>
      </c>
      <c r="K46610" s="18"/>
    </row>
    <row r="46611">
      <c r="B46611" s="17" t="s">
        <v>477</v>
      </c>
      <c r="K46611" s="18"/>
    </row>
    <row r="46612">
      <c r="B46612" s="17" t="s">
        <v>477</v>
      </c>
      <c r="K46612" s="18"/>
    </row>
    <row r="46613">
      <c r="B46613" s="17" t="s">
        <v>477</v>
      </c>
      <c r="K46613" s="18"/>
    </row>
    <row r="46614">
      <c r="B46614" s="17" t="s">
        <v>477</v>
      </c>
      <c r="K46614" s="18"/>
    </row>
    <row r="46615">
      <c r="B46615" s="17" t="s">
        <v>477</v>
      </c>
      <c r="K46615" s="18"/>
    </row>
    <row r="46616">
      <c r="B46616" s="17" t="s">
        <v>477</v>
      </c>
      <c r="K46616" s="18"/>
    </row>
    <row r="46617">
      <c r="B46617" s="17" t="s">
        <v>477</v>
      </c>
      <c r="K46617" s="18"/>
    </row>
    <row r="46618">
      <c r="B46618" s="17" t="s">
        <v>477</v>
      </c>
      <c r="K46618" s="18"/>
    </row>
    <row r="46619">
      <c r="B46619" s="17" t="s">
        <v>477</v>
      </c>
      <c r="K46619" s="18"/>
    </row>
    <row r="46620">
      <c r="B46620" s="17" t="s">
        <v>477</v>
      </c>
      <c r="K46620" s="18"/>
    </row>
    <row r="46621">
      <c r="B46621" s="17" t="s">
        <v>477</v>
      </c>
      <c r="K46621" s="18"/>
    </row>
    <row r="46622">
      <c r="B46622" s="17" t="s">
        <v>477</v>
      </c>
      <c r="K46622" s="18"/>
    </row>
    <row r="46623">
      <c r="B46623" s="17" t="s">
        <v>477</v>
      </c>
      <c r="K46623" s="18"/>
    </row>
    <row r="46624">
      <c r="B46624" s="17" t="s">
        <v>477</v>
      </c>
      <c r="K46624" s="18"/>
    </row>
    <row r="46625">
      <c r="B46625" s="17" t="s">
        <v>477</v>
      </c>
      <c r="K46625" s="18"/>
    </row>
    <row r="46626">
      <c r="B46626" s="17" t="s">
        <v>477</v>
      </c>
      <c r="K46626" s="18"/>
    </row>
    <row r="46627">
      <c r="B46627" s="17" t="s">
        <v>477</v>
      </c>
      <c r="K46627" s="18"/>
    </row>
    <row r="46628">
      <c r="B46628" s="17" t="s">
        <v>477</v>
      </c>
      <c r="K46628" s="18"/>
    </row>
    <row r="46629">
      <c r="B46629" s="17" t="s">
        <v>477</v>
      </c>
      <c r="K46629" s="18"/>
    </row>
    <row r="46630">
      <c r="B46630" s="17" t="s">
        <v>477</v>
      </c>
      <c r="K46630" s="18"/>
    </row>
    <row r="46631">
      <c r="B46631" s="17" t="s">
        <v>477</v>
      </c>
      <c r="K46631" s="18"/>
    </row>
    <row r="46632">
      <c r="B46632" s="17" t="s">
        <v>477</v>
      </c>
      <c r="K46632" s="18"/>
    </row>
    <row r="46633">
      <c r="B46633" s="17" t="s">
        <v>477</v>
      </c>
      <c r="K46633" s="18"/>
    </row>
    <row r="46634">
      <c r="B46634" s="17" t="s">
        <v>477</v>
      </c>
      <c r="K46634" s="18"/>
    </row>
    <row r="46635">
      <c r="B46635" s="17" t="s">
        <v>477</v>
      </c>
      <c r="K46635" s="18"/>
    </row>
    <row r="46636">
      <c r="B46636" s="17" t="s">
        <v>477</v>
      </c>
      <c r="K46636" s="18"/>
    </row>
    <row r="46637">
      <c r="B46637" s="17" t="s">
        <v>477</v>
      </c>
      <c r="K46637" s="18"/>
    </row>
    <row r="46638">
      <c r="B46638" s="17" t="s">
        <v>477</v>
      </c>
      <c r="K46638" s="18"/>
    </row>
    <row r="46639">
      <c r="B46639" s="17" t="s">
        <v>477</v>
      </c>
      <c r="K46639" s="18"/>
    </row>
    <row r="46640">
      <c r="B46640" s="17" t="s">
        <v>477</v>
      </c>
      <c r="K46640" s="18"/>
    </row>
    <row r="46641">
      <c r="B46641" s="17" t="s">
        <v>477</v>
      </c>
      <c r="K46641" s="18"/>
    </row>
    <row r="46642">
      <c r="B46642" s="17" t="s">
        <v>477</v>
      </c>
      <c r="K46642" s="18"/>
    </row>
    <row r="46643">
      <c r="B46643" s="17" t="s">
        <v>477</v>
      </c>
      <c r="K46643" s="18"/>
    </row>
    <row r="46644">
      <c r="B46644" s="17" t="s">
        <v>477</v>
      </c>
      <c r="K46644" s="18"/>
    </row>
    <row r="46645">
      <c r="B46645" s="17" t="s">
        <v>477</v>
      </c>
      <c r="K46645" s="18"/>
    </row>
    <row r="46646">
      <c r="B46646" s="17" t="s">
        <v>477</v>
      </c>
      <c r="K46646" s="18"/>
    </row>
    <row r="46647">
      <c r="B46647" s="17" t="s">
        <v>477</v>
      </c>
      <c r="K46647" s="18"/>
    </row>
    <row r="46648">
      <c r="B46648" s="17" t="s">
        <v>477</v>
      </c>
      <c r="K46648" s="18"/>
    </row>
    <row r="46649">
      <c r="B46649" s="17" t="s">
        <v>477</v>
      </c>
      <c r="K46649" s="18"/>
    </row>
    <row r="46650">
      <c r="B46650" s="17" t="s">
        <v>477</v>
      </c>
      <c r="K46650" s="18"/>
    </row>
    <row r="46651">
      <c r="B46651" s="17" t="s">
        <v>477</v>
      </c>
      <c r="K46651" s="18"/>
    </row>
    <row r="46652">
      <c r="B46652" s="17" t="s">
        <v>477</v>
      </c>
      <c r="K46652" s="18"/>
    </row>
    <row r="46653">
      <c r="B46653" s="17" t="s">
        <v>477</v>
      </c>
      <c r="K46653" s="18"/>
    </row>
    <row r="46654">
      <c r="B46654" s="17" t="s">
        <v>477</v>
      </c>
      <c r="K46654" s="18"/>
    </row>
    <row r="46655">
      <c r="B46655" s="17" t="s">
        <v>477</v>
      </c>
      <c r="K46655" s="18"/>
    </row>
    <row r="46656">
      <c r="B46656" s="17" t="s">
        <v>477</v>
      </c>
      <c r="K46656" s="18"/>
    </row>
    <row r="46657">
      <c r="B46657" s="17" t="s">
        <v>477</v>
      </c>
      <c r="K46657" s="18"/>
    </row>
    <row r="46658">
      <c r="B46658" s="17" t="s">
        <v>477</v>
      </c>
      <c r="K46658" s="18"/>
    </row>
    <row r="46659">
      <c r="B46659" s="17" t="s">
        <v>477</v>
      </c>
      <c r="K46659" s="18"/>
    </row>
    <row r="46660">
      <c r="B46660" s="17" t="s">
        <v>477</v>
      </c>
      <c r="K46660" s="18"/>
    </row>
    <row r="46661">
      <c r="B46661" s="17" t="s">
        <v>477</v>
      </c>
      <c r="K46661" s="18"/>
    </row>
    <row r="46662">
      <c r="B46662" s="17" t="s">
        <v>477</v>
      </c>
      <c r="K46662" s="18"/>
    </row>
    <row r="46663">
      <c r="B46663" s="17" t="s">
        <v>477</v>
      </c>
      <c r="K46663" s="18"/>
    </row>
    <row r="46664">
      <c r="B46664" s="17" t="s">
        <v>477</v>
      </c>
      <c r="K46664" s="18"/>
    </row>
    <row r="46665">
      <c r="B46665" s="17" t="s">
        <v>477</v>
      </c>
      <c r="K46665" s="18"/>
    </row>
    <row r="46666">
      <c r="B46666" s="17" t="s">
        <v>477</v>
      </c>
      <c r="K46666" s="18"/>
    </row>
    <row r="46667">
      <c r="B46667" s="17" t="s">
        <v>477</v>
      </c>
      <c r="K46667" s="18"/>
    </row>
    <row r="46668">
      <c r="B46668" s="17" t="s">
        <v>477</v>
      </c>
      <c r="K46668" s="18"/>
    </row>
    <row r="46669">
      <c r="B46669" s="17" t="s">
        <v>477</v>
      </c>
      <c r="K46669" s="18"/>
    </row>
    <row r="46670">
      <c r="B46670" s="17" t="s">
        <v>477</v>
      </c>
      <c r="K46670" s="18"/>
    </row>
    <row r="46671">
      <c r="B46671" s="17" t="s">
        <v>477</v>
      </c>
      <c r="K46671" s="18"/>
    </row>
    <row r="46672">
      <c r="B46672" s="17" t="s">
        <v>477</v>
      </c>
      <c r="K46672" s="18"/>
    </row>
    <row r="46673">
      <c r="B46673" s="17" t="s">
        <v>477</v>
      </c>
      <c r="K46673" s="18"/>
    </row>
    <row r="46674">
      <c r="B46674" s="17" t="s">
        <v>477</v>
      </c>
      <c r="K46674" s="18"/>
    </row>
    <row r="46675">
      <c r="B46675" s="17" t="s">
        <v>477</v>
      </c>
      <c r="K46675" s="18"/>
    </row>
    <row r="46676">
      <c r="B46676" s="17" t="s">
        <v>477</v>
      </c>
      <c r="K46676" s="18"/>
    </row>
    <row r="46677">
      <c r="B46677" s="17" t="s">
        <v>477</v>
      </c>
      <c r="K46677" s="18"/>
    </row>
    <row r="46678">
      <c r="B46678" s="17" t="s">
        <v>477</v>
      </c>
      <c r="K46678" s="18"/>
    </row>
    <row r="46679">
      <c r="B46679" s="17" t="s">
        <v>477</v>
      </c>
      <c r="K46679" s="18"/>
    </row>
    <row r="46680">
      <c r="B46680" s="17" t="s">
        <v>477</v>
      </c>
      <c r="K46680" s="18"/>
    </row>
    <row r="46681">
      <c r="B46681" s="17" t="s">
        <v>477</v>
      </c>
      <c r="K46681" s="18"/>
    </row>
    <row r="46682">
      <c r="B46682" s="17" t="s">
        <v>477</v>
      </c>
      <c r="K46682" s="18"/>
    </row>
    <row r="46683">
      <c r="B46683" s="17" t="s">
        <v>477</v>
      </c>
      <c r="K46683" s="18"/>
    </row>
    <row r="46684">
      <c r="B46684" s="17" t="s">
        <v>477</v>
      </c>
      <c r="K46684" s="18"/>
    </row>
    <row r="46685">
      <c r="B46685" s="17" t="s">
        <v>477</v>
      </c>
      <c r="K46685" s="18"/>
    </row>
    <row r="46686">
      <c r="B46686" s="17" t="s">
        <v>477</v>
      </c>
      <c r="K46686" s="18"/>
    </row>
    <row r="46687">
      <c r="B46687" s="17" t="s">
        <v>477</v>
      </c>
      <c r="K46687" s="18"/>
    </row>
    <row r="46688">
      <c r="B46688" s="17" t="s">
        <v>477</v>
      </c>
      <c r="K46688" s="18"/>
    </row>
    <row r="46689">
      <c r="B46689" s="17" t="s">
        <v>477</v>
      </c>
      <c r="K46689" s="18"/>
    </row>
    <row r="46690">
      <c r="B46690" s="17" t="s">
        <v>477</v>
      </c>
      <c r="K46690" s="18"/>
    </row>
    <row r="46691">
      <c r="B46691" s="17" t="s">
        <v>477</v>
      </c>
      <c r="K46691" s="18"/>
    </row>
    <row r="46692">
      <c r="B46692" s="17" t="s">
        <v>477</v>
      </c>
      <c r="K46692" s="18"/>
    </row>
    <row r="46693">
      <c r="B46693" s="17" t="s">
        <v>477</v>
      </c>
      <c r="K46693" s="18"/>
    </row>
    <row r="46694">
      <c r="B46694" s="17" t="s">
        <v>477</v>
      </c>
      <c r="K46694" s="18"/>
    </row>
    <row r="46695">
      <c r="B46695" s="17" t="s">
        <v>477</v>
      </c>
      <c r="K46695" s="18"/>
    </row>
    <row r="46696">
      <c r="B46696" s="17" t="s">
        <v>477</v>
      </c>
      <c r="K46696" s="18"/>
    </row>
    <row r="46697">
      <c r="B46697" s="17" t="s">
        <v>477</v>
      </c>
      <c r="K46697" s="18"/>
    </row>
    <row r="46698">
      <c r="B46698" s="17" t="s">
        <v>477</v>
      </c>
      <c r="K46698" s="18"/>
    </row>
    <row r="46699">
      <c r="B46699" s="17" t="s">
        <v>477</v>
      </c>
      <c r="K46699" s="18"/>
    </row>
    <row r="46700">
      <c r="B46700" s="17" t="s">
        <v>477</v>
      </c>
      <c r="K46700" s="18"/>
    </row>
    <row r="46701">
      <c r="B46701" s="17" t="s">
        <v>477</v>
      </c>
      <c r="K46701" s="18"/>
    </row>
    <row r="46702">
      <c r="B46702" s="17" t="s">
        <v>477</v>
      </c>
      <c r="K46702" s="18"/>
    </row>
    <row r="46703">
      <c r="B46703" s="17" t="s">
        <v>477</v>
      </c>
      <c r="K46703" s="18"/>
    </row>
    <row r="46704">
      <c r="B46704" s="17" t="s">
        <v>477</v>
      </c>
      <c r="K46704" s="18"/>
    </row>
    <row r="46705">
      <c r="B46705" s="17" t="s">
        <v>477</v>
      </c>
      <c r="K46705" s="18"/>
    </row>
    <row r="46706">
      <c r="B46706" s="17" t="s">
        <v>477</v>
      </c>
      <c r="K46706" s="18"/>
    </row>
    <row r="46707">
      <c r="B46707" s="17" t="s">
        <v>477</v>
      </c>
      <c r="K46707" s="18"/>
    </row>
    <row r="46708">
      <c r="B46708" s="17" t="s">
        <v>477</v>
      </c>
      <c r="K46708" s="18"/>
    </row>
    <row r="46709">
      <c r="B46709" s="17" t="s">
        <v>477</v>
      </c>
      <c r="K46709" s="18"/>
    </row>
    <row r="46710">
      <c r="B46710" s="17" t="s">
        <v>477</v>
      </c>
      <c r="K46710" s="18"/>
    </row>
    <row r="46711">
      <c r="B46711" s="17" t="s">
        <v>477</v>
      </c>
      <c r="K46711" s="18"/>
    </row>
    <row r="46712">
      <c r="B46712" s="17" t="s">
        <v>477</v>
      </c>
      <c r="K46712" s="18"/>
    </row>
    <row r="46713">
      <c r="B46713" s="17" t="s">
        <v>477</v>
      </c>
      <c r="K46713" s="18"/>
    </row>
    <row r="46714">
      <c r="B46714" s="17" t="s">
        <v>477</v>
      </c>
      <c r="K46714" s="18"/>
    </row>
    <row r="46715">
      <c r="B46715" s="17" t="s">
        <v>477</v>
      </c>
      <c r="K46715" s="18"/>
    </row>
    <row r="46716">
      <c r="B46716" s="17" t="s">
        <v>477</v>
      </c>
      <c r="K46716" s="18"/>
    </row>
    <row r="46717">
      <c r="B46717" s="17" t="s">
        <v>477</v>
      </c>
      <c r="K46717" s="18"/>
    </row>
    <row r="46718">
      <c r="B46718" s="17" t="s">
        <v>477</v>
      </c>
      <c r="K46718" s="18"/>
    </row>
    <row r="46719">
      <c r="B46719" s="17" t="s">
        <v>477</v>
      </c>
      <c r="K46719" s="18"/>
    </row>
    <row r="46720">
      <c r="B46720" s="17" t="s">
        <v>477</v>
      </c>
      <c r="K46720" s="18"/>
    </row>
    <row r="46721">
      <c r="B46721" s="17" t="s">
        <v>477</v>
      </c>
      <c r="K46721" s="18"/>
    </row>
    <row r="46722">
      <c r="B46722" s="17" t="s">
        <v>477</v>
      </c>
      <c r="K46722" s="18"/>
    </row>
    <row r="46723">
      <c r="B46723" s="17" t="s">
        <v>477</v>
      </c>
      <c r="K46723" s="18"/>
    </row>
    <row r="46724">
      <c r="B46724" s="17" t="s">
        <v>477</v>
      </c>
      <c r="K46724" s="18"/>
    </row>
    <row r="46725">
      <c r="B46725" s="17" t="s">
        <v>477</v>
      </c>
      <c r="K46725" s="18"/>
    </row>
    <row r="46726">
      <c r="B46726" s="17" t="s">
        <v>477</v>
      </c>
      <c r="K46726" s="18"/>
    </row>
    <row r="46727">
      <c r="B46727" s="17" t="s">
        <v>477</v>
      </c>
      <c r="K46727" s="18"/>
    </row>
    <row r="46728">
      <c r="B46728" s="17" t="s">
        <v>477</v>
      </c>
      <c r="K46728" s="18"/>
    </row>
    <row r="46729">
      <c r="B46729" s="17" t="s">
        <v>477</v>
      </c>
      <c r="K46729" s="18"/>
    </row>
    <row r="46730">
      <c r="B46730" s="17" t="s">
        <v>477</v>
      </c>
      <c r="K46730" s="18"/>
    </row>
    <row r="46731">
      <c r="B46731" s="17" t="s">
        <v>477</v>
      </c>
      <c r="K46731" s="18"/>
    </row>
    <row r="46732">
      <c r="B46732" s="17" t="s">
        <v>477</v>
      </c>
      <c r="K46732" s="18"/>
    </row>
    <row r="46733">
      <c r="B46733" s="17" t="s">
        <v>477</v>
      </c>
      <c r="K46733" s="18"/>
    </row>
    <row r="46734">
      <c r="B46734" s="17" t="s">
        <v>477</v>
      </c>
      <c r="K46734" s="18"/>
    </row>
    <row r="46735">
      <c r="B46735" s="17" t="s">
        <v>477</v>
      </c>
      <c r="K46735" s="18"/>
    </row>
    <row r="46736">
      <c r="B46736" s="17" t="s">
        <v>477</v>
      </c>
      <c r="K46736" s="18"/>
    </row>
    <row r="46737">
      <c r="B46737" s="17" t="s">
        <v>477</v>
      </c>
      <c r="K46737" s="18"/>
    </row>
    <row r="46738">
      <c r="B46738" s="17" t="s">
        <v>477</v>
      </c>
      <c r="K46738" s="18"/>
    </row>
    <row r="46739">
      <c r="B46739" s="17" t="s">
        <v>477</v>
      </c>
      <c r="K46739" s="18"/>
    </row>
    <row r="46740">
      <c r="B46740" s="17" t="s">
        <v>477</v>
      </c>
      <c r="K46740" s="18"/>
    </row>
    <row r="46741">
      <c r="B46741" s="17" t="s">
        <v>477</v>
      </c>
      <c r="K46741" s="18"/>
    </row>
    <row r="46742">
      <c r="B46742" s="17" t="s">
        <v>477</v>
      </c>
      <c r="K46742" s="18"/>
    </row>
    <row r="46743">
      <c r="B46743" s="17" t="s">
        <v>477</v>
      </c>
      <c r="K46743" s="18"/>
    </row>
    <row r="46744">
      <c r="B46744" s="17" t="s">
        <v>477</v>
      </c>
      <c r="K46744" s="18"/>
    </row>
    <row r="46745">
      <c r="B46745" s="17" t="s">
        <v>477</v>
      </c>
      <c r="K46745" s="18"/>
    </row>
    <row r="46746">
      <c r="B46746" s="17" t="s">
        <v>477</v>
      </c>
      <c r="K46746" s="18"/>
    </row>
    <row r="46747">
      <c r="B46747" s="17" t="s">
        <v>477</v>
      </c>
      <c r="K46747" s="18"/>
    </row>
    <row r="46748">
      <c r="B46748" s="17" t="s">
        <v>477</v>
      </c>
      <c r="K46748" s="18"/>
    </row>
    <row r="46749">
      <c r="B46749" s="17" t="s">
        <v>477</v>
      </c>
      <c r="K46749" s="18"/>
    </row>
    <row r="46750">
      <c r="B46750" s="17" t="s">
        <v>477</v>
      </c>
      <c r="K46750" s="18"/>
    </row>
    <row r="46751">
      <c r="B46751" s="17" t="s">
        <v>477</v>
      </c>
      <c r="K46751" s="18"/>
    </row>
    <row r="46752">
      <c r="B46752" s="17" t="s">
        <v>477</v>
      </c>
      <c r="K46752" s="18"/>
    </row>
    <row r="46753">
      <c r="B46753" s="17" t="s">
        <v>477</v>
      </c>
      <c r="K46753" s="18"/>
    </row>
    <row r="46754">
      <c r="B46754" s="17" t="s">
        <v>477</v>
      </c>
      <c r="K46754" s="18"/>
    </row>
    <row r="46755">
      <c r="B46755" s="17" t="s">
        <v>477</v>
      </c>
      <c r="K46755" s="18"/>
    </row>
    <row r="46756">
      <c r="B46756" s="17" t="s">
        <v>477</v>
      </c>
      <c r="K46756" s="18"/>
    </row>
    <row r="46757">
      <c r="B46757" s="17" t="s">
        <v>477</v>
      </c>
      <c r="K46757" s="18"/>
    </row>
    <row r="46758">
      <c r="B46758" s="17" t="s">
        <v>477</v>
      </c>
      <c r="K46758" s="18"/>
    </row>
    <row r="46759">
      <c r="B46759" s="17" t="s">
        <v>477</v>
      </c>
      <c r="K46759" s="18"/>
    </row>
    <row r="46760">
      <c r="B46760" s="17" t="s">
        <v>477</v>
      </c>
      <c r="K46760" s="18"/>
    </row>
    <row r="46761">
      <c r="B46761" s="17" t="s">
        <v>477</v>
      </c>
      <c r="K46761" s="18"/>
    </row>
    <row r="46762">
      <c r="B46762" s="17" t="s">
        <v>477</v>
      </c>
      <c r="K46762" s="18"/>
    </row>
    <row r="46763">
      <c r="B46763" s="17" t="s">
        <v>477</v>
      </c>
      <c r="K46763" s="18"/>
    </row>
    <row r="46764">
      <c r="B46764" s="17" t="s">
        <v>477</v>
      </c>
      <c r="K46764" s="18"/>
    </row>
    <row r="46765">
      <c r="B46765" s="17" t="s">
        <v>477</v>
      </c>
      <c r="K46765" s="18"/>
    </row>
    <row r="46766">
      <c r="B46766" s="17" t="s">
        <v>477</v>
      </c>
      <c r="K46766" s="18"/>
    </row>
    <row r="46767">
      <c r="B46767" s="17" t="s">
        <v>477</v>
      </c>
      <c r="K46767" s="18"/>
    </row>
    <row r="46768">
      <c r="B46768" s="17" t="s">
        <v>477</v>
      </c>
      <c r="K46768" s="18"/>
    </row>
    <row r="46769">
      <c r="B46769" s="17" t="s">
        <v>477</v>
      </c>
      <c r="K46769" s="18"/>
    </row>
    <row r="46770">
      <c r="B46770" s="17" t="s">
        <v>477</v>
      </c>
      <c r="K46770" s="18"/>
    </row>
    <row r="46771">
      <c r="B46771" s="17" t="s">
        <v>477</v>
      </c>
      <c r="K46771" s="18"/>
    </row>
    <row r="46772">
      <c r="B46772" s="17" t="s">
        <v>477</v>
      </c>
      <c r="K46772" s="18"/>
    </row>
    <row r="46773">
      <c r="B46773" s="17" t="s">
        <v>477</v>
      </c>
      <c r="K46773" s="18"/>
    </row>
    <row r="46774">
      <c r="B46774" s="17" t="s">
        <v>477</v>
      </c>
      <c r="K46774" s="18"/>
    </row>
    <row r="46775">
      <c r="B46775" s="17" t="s">
        <v>477</v>
      </c>
      <c r="K46775" s="18"/>
    </row>
    <row r="46776">
      <c r="B46776" s="17" t="s">
        <v>477</v>
      </c>
      <c r="K46776" s="18"/>
    </row>
    <row r="46777">
      <c r="B46777" s="17" t="s">
        <v>477</v>
      </c>
      <c r="K46777" s="18"/>
    </row>
    <row r="46778">
      <c r="B46778" s="17" t="s">
        <v>477</v>
      </c>
      <c r="K46778" s="18"/>
    </row>
    <row r="46779">
      <c r="B46779" s="17" t="s">
        <v>477</v>
      </c>
      <c r="K46779" s="18"/>
    </row>
    <row r="46780">
      <c r="B46780" s="17" t="s">
        <v>477</v>
      </c>
      <c r="K46780" s="18"/>
    </row>
    <row r="46781">
      <c r="B46781" s="17" t="s">
        <v>477</v>
      </c>
      <c r="K46781" s="18"/>
    </row>
    <row r="46782">
      <c r="B46782" s="17" t="s">
        <v>477</v>
      </c>
      <c r="K46782" s="18"/>
    </row>
    <row r="46783">
      <c r="B46783" s="17" t="s">
        <v>477</v>
      </c>
      <c r="K46783" s="18"/>
    </row>
    <row r="46784">
      <c r="B46784" s="17" t="s">
        <v>477</v>
      </c>
      <c r="K46784" s="18"/>
    </row>
    <row r="46785">
      <c r="B46785" s="17" t="s">
        <v>477</v>
      </c>
      <c r="K46785" s="18"/>
    </row>
    <row r="46786">
      <c r="B46786" s="17" t="s">
        <v>477</v>
      </c>
      <c r="K46786" s="18"/>
    </row>
    <row r="46787">
      <c r="B46787" s="17" t="s">
        <v>477</v>
      </c>
      <c r="K46787" s="18"/>
    </row>
    <row r="46788">
      <c r="B46788" s="17" t="s">
        <v>477</v>
      </c>
      <c r="K46788" s="18"/>
    </row>
    <row r="46789">
      <c r="B46789" s="17" t="s">
        <v>477</v>
      </c>
      <c r="K46789" s="18"/>
    </row>
    <row r="46790">
      <c r="B46790" s="17" t="s">
        <v>477</v>
      </c>
      <c r="K46790" s="18"/>
    </row>
    <row r="46791">
      <c r="B46791" s="17" t="s">
        <v>477</v>
      </c>
      <c r="K46791" s="18"/>
    </row>
    <row r="46792">
      <c r="B46792" s="17" t="s">
        <v>477</v>
      </c>
      <c r="K46792" s="18"/>
    </row>
    <row r="46793">
      <c r="B46793" s="17" t="s">
        <v>477</v>
      </c>
      <c r="K46793" s="18"/>
    </row>
    <row r="46794">
      <c r="B46794" s="17" t="s">
        <v>477</v>
      </c>
      <c r="K46794" s="18"/>
    </row>
    <row r="46795">
      <c r="B46795" s="17" t="s">
        <v>477</v>
      </c>
      <c r="K46795" s="18"/>
    </row>
    <row r="46796">
      <c r="B46796" s="17" t="s">
        <v>477</v>
      </c>
      <c r="K46796" s="18"/>
    </row>
    <row r="46797">
      <c r="B46797" s="17" t="s">
        <v>477</v>
      </c>
      <c r="K46797" s="18"/>
    </row>
    <row r="46798">
      <c r="B46798" s="17" t="s">
        <v>477</v>
      </c>
      <c r="K46798" s="18"/>
    </row>
    <row r="46799">
      <c r="B46799" s="17" t="s">
        <v>477</v>
      </c>
      <c r="K46799" s="18"/>
    </row>
    <row r="46800">
      <c r="B46800" s="17" t="s">
        <v>477</v>
      </c>
      <c r="K46800" s="18"/>
    </row>
    <row r="46801">
      <c r="B46801" s="17" t="s">
        <v>477</v>
      </c>
      <c r="K46801" s="18"/>
    </row>
    <row r="46802">
      <c r="B46802" s="17" t="s">
        <v>477</v>
      </c>
      <c r="K46802" s="18"/>
    </row>
    <row r="46803">
      <c r="B46803" s="17" t="s">
        <v>477</v>
      </c>
      <c r="K46803" s="18"/>
    </row>
    <row r="46804">
      <c r="B46804" s="17" t="s">
        <v>477</v>
      </c>
      <c r="K46804" s="18"/>
    </row>
    <row r="46805">
      <c r="B46805" s="17" t="s">
        <v>477</v>
      </c>
      <c r="K46805" s="18"/>
    </row>
    <row r="46806">
      <c r="B46806" s="17" t="s">
        <v>477</v>
      </c>
      <c r="K46806" s="18"/>
    </row>
    <row r="46807">
      <c r="B46807" s="17" t="s">
        <v>477</v>
      </c>
      <c r="K46807" s="18"/>
    </row>
    <row r="46808">
      <c r="B46808" s="17" t="s">
        <v>477</v>
      </c>
      <c r="K46808" s="18"/>
    </row>
    <row r="46809">
      <c r="B46809" s="17" t="s">
        <v>477</v>
      </c>
      <c r="K46809" s="18"/>
    </row>
    <row r="46810">
      <c r="B46810" s="17" t="s">
        <v>477</v>
      </c>
      <c r="K46810" s="18"/>
    </row>
    <row r="46811">
      <c r="B46811" s="17" t="s">
        <v>477</v>
      </c>
      <c r="K46811" s="18"/>
    </row>
    <row r="46812">
      <c r="B46812" s="17" t="s">
        <v>477</v>
      </c>
      <c r="K46812" s="18"/>
    </row>
    <row r="46813">
      <c r="B46813" s="17" t="s">
        <v>477</v>
      </c>
      <c r="K46813" s="18"/>
    </row>
    <row r="46814">
      <c r="B46814" s="17" t="s">
        <v>477</v>
      </c>
      <c r="K46814" s="18"/>
    </row>
    <row r="46815">
      <c r="B46815" s="17" t="s">
        <v>477</v>
      </c>
      <c r="K46815" s="18"/>
    </row>
    <row r="46816">
      <c r="B46816" s="17" t="s">
        <v>477</v>
      </c>
      <c r="K46816" s="18"/>
    </row>
    <row r="46817">
      <c r="B46817" s="17" t="s">
        <v>477</v>
      </c>
      <c r="K46817" s="18"/>
    </row>
    <row r="46818">
      <c r="B46818" s="17" t="s">
        <v>477</v>
      </c>
      <c r="K46818" s="18"/>
    </row>
    <row r="46819">
      <c r="B46819" s="17" t="s">
        <v>477</v>
      </c>
      <c r="K46819" s="18"/>
    </row>
    <row r="46820">
      <c r="B46820" s="17" t="s">
        <v>477</v>
      </c>
      <c r="K46820" s="18"/>
    </row>
    <row r="46821">
      <c r="B46821" s="17" t="s">
        <v>477</v>
      </c>
      <c r="K46821" s="18"/>
    </row>
    <row r="46822">
      <c r="B46822" s="17" t="s">
        <v>477</v>
      </c>
      <c r="K46822" s="18"/>
    </row>
    <row r="46823">
      <c r="B46823" s="17" t="s">
        <v>477</v>
      </c>
      <c r="K46823" s="18"/>
    </row>
    <row r="46824">
      <c r="B46824" s="17" t="s">
        <v>477</v>
      </c>
      <c r="K46824" s="18"/>
    </row>
    <row r="46825">
      <c r="B46825" s="17" t="s">
        <v>477</v>
      </c>
      <c r="K46825" s="18"/>
    </row>
    <row r="46826">
      <c r="B46826" s="17" t="s">
        <v>477</v>
      </c>
      <c r="K46826" s="18"/>
    </row>
    <row r="46827">
      <c r="B46827" s="17" t="s">
        <v>477</v>
      </c>
      <c r="K46827" s="18"/>
    </row>
    <row r="46828">
      <c r="B46828" s="17" t="s">
        <v>477</v>
      </c>
      <c r="K46828" s="18"/>
    </row>
    <row r="46829">
      <c r="B46829" s="17" t="s">
        <v>477</v>
      </c>
      <c r="K46829" s="18"/>
    </row>
    <row r="46830">
      <c r="B46830" s="17" t="s">
        <v>477</v>
      </c>
      <c r="K46830" s="18"/>
    </row>
    <row r="46831">
      <c r="B46831" s="17" t="s">
        <v>477</v>
      </c>
      <c r="K46831" s="18"/>
    </row>
    <row r="46832">
      <c r="B46832" s="17" t="s">
        <v>477</v>
      </c>
      <c r="K46832" s="18"/>
    </row>
    <row r="46833">
      <c r="B46833" s="17" t="s">
        <v>477</v>
      </c>
      <c r="K46833" s="18"/>
    </row>
    <row r="46834">
      <c r="B46834" s="17" t="s">
        <v>477</v>
      </c>
      <c r="K46834" s="18"/>
    </row>
    <row r="46835">
      <c r="B46835" s="17" t="s">
        <v>477</v>
      </c>
      <c r="K46835" s="18"/>
    </row>
    <row r="46836">
      <c r="B46836" s="17" t="s">
        <v>477</v>
      </c>
      <c r="K46836" s="18"/>
    </row>
    <row r="46837">
      <c r="B46837" s="17" t="s">
        <v>477</v>
      </c>
      <c r="K46837" s="18"/>
    </row>
    <row r="46838">
      <c r="B46838" s="17" t="s">
        <v>477</v>
      </c>
      <c r="K46838" s="18"/>
    </row>
    <row r="46839">
      <c r="B46839" s="17" t="s">
        <v>477</v>
      </c>
      <c r="K46839" s="18"/>
    </row>
    <row r="46840">
      <c r="B46840" s="17" t="s">
        <v>477</v>
      </c>
      <c r="K46840" s="18"/>
    </row>
    <row r="46841">
      <c r="B46841" s="17" t="s">
        <v>477</v>
      </c>
      <c r="K46841" s="18"/>
    </row>
    <row r="46842">
      <c r="B46842" s="17" t="s">
        <v>477</v>
      </c>
      <c r="K46842" s="18"/>
    </row>
    <row r="46843">
      <c r="B46843" s="17" t="s">
        <v>477</v>
      </c>
      <c r="K46843" s="18"/>
    </row>
    <row r="46844">
      <c r="B46844" s="17" t="s">
        <v>477</v>
      </c>
      <c r="K46844" s="18"/>
    </row>
    <row r="46845">
      <c r="B46845" s="17" t="s">
        <v>477</v>
      </c>
      <c r="K46845" s="18"/>
    </row>
    <row r="46846">
      <c r="B46846" s="17" t="s">
        <v>477</v>
      </c>
      <c r="K46846" s="18"/>
    </row>
    <row r="46847">
      <c r="B46847" s="17" t="s">
        <v>477</v>
      </c>
      <c r="K46847" s="18"/>
    </row>
    <row r="46848">
      <c r="B46848" s="17" t="s">
        <v>477</v>
      </c>
      <c r="K46848" s="18"/>
    </row>
    <row r="46849">
      <c r="B46849" s="17" t="s">
        <v>477</v>
      </c>
      <c r="K46849" s="18"/>
    </row>
    <row r="46850">
      <c r="B46850" s="17" t="s">
        <v>477</v>
      </c>
      <c r="K46850" s="18"/>
    </row>
    <row r="46851">
      <c r="B46851" s="17" t="s">
        <v>477</v>
      </c>
      <c r="K46851" s="18"/>
    </row>
    <row r="46852">
      <c r="B46852" s="17" t="s">
        <v>477</v>
      </c>
      <c r="K46852" s="18"/>
    </row>
    <row r="46853">
      <c r="B46853" s="17" t="s">
        <v>477</v>
      </c>
      <c r="K46853" s="18"/>
    </row>
    <row r="46854">
      <c r="B46854" s="17" t="s">
        <v>477</v>
      </c>
      <c r="K46854" s="18"/>
    </row>
    <row r="46855">
      <c r="B46855" s="17" t="s">
        <v>477</v>
      </c>
      <c r="K46855" s="18"/>
    </row>
    <row r="46856">
      <c r="B46856" s="17" t="s">
        <v>477</v>
      </c>
      <c r="K46856" s="18"/>
    </row>
    <row r="46857">
      <c r="B46857" s="17" t="s">
        <v>477</v>
      </c>
      <c r="K46857" s="18"/>
    </row>
    <row r="46858">
      <c r="B46858" s="17" t="s">
        <v>477</v>
      </c>
      <c r="K46858" s="18"/>
    </row>
    <row r="46859">
      <c r="B46859" s="17" t="s">
        <v>477</v>
      </c>
      <c r="K46859" s="18"/>
    </row>
    <row r="46860">
      <c r="B46860" s="17" t="s">
        <v>477</v>
      </c>
      <c r="K46860" s="18"/>
    </row>
    <row r="46861">
      <c r="B46861" s="17" t="s">
        <v>477</v>
      </c>
      <c r="K46861" s="18"/>
    </row>
    <row r="46862">
      <c r="B46862" s="17" t="s">
        <v>477</v>
      </c>
      <c r="K46862" s="18"/>
    </row>
    <row r="46863">
      <c r="B46863" s="17" t="s">
        <v>477</v>
      </c>
      <c r="K46863" s="18"/>
    </row>
    <row r="46864">
      <c r="B46864" s="17" t="s">
        <v>477</v>
      </c>
      <c r="K46864" s="18"/>
    </row>
    <row r="46865">
      <c r="B46865" s="17" t="s">
        <v>477</v>
      </c>
      <c r="K46865" s="18"/>
    </row>
    <row r="46866">
      <c r="B46866" s="17" t="s">
        <v>477</v>
      </c>
      <c r="K46866" s="18"/>
    </row>
    <row r="46867">
      <c r="B46867" s="17" t="s">
        <v>477</v>
      </c>
      <c r="K46867" s="18"/>
    </row>
    <row r="46868">
      <c r="B46868" s="17" t="s">
        <v>477</v>
      </c>
      <c r="K46868" s="18"/>
    </row>
    <row r="46869">
      <c r="B46869" s="17" t="s">
        <v>477</v>
      </c>
      <c r="K46869" s="18"/>
    </row>
    <row r="46870">
      <c r="B46870" s="17" t="s">
        <v>477</v>
      </c>
      <c r="K46870" s="18"/>
    </row>
    <row r="46871">
      <c r="B46871" s="17" t="s">
        <v>477</v>
      </c>
      <c r="K46871" s="18"/>
    </row>
    <row r="46872">
      <c r="B46872" s="17" t="s">
        <v>477</v>
      </c>
      <c r="K46872" s="18"/>
    </row>
    <row r="46873">
      <c r="B46873" s="17" t="s">
        <v>477</v>
      </c>
      <c r="K46873" s="18"/>
    </row>
    <row r="46874">
      <c r="B46874" s="17" t="s">
        <v>477</v>
      </c>
      <c r="K46874" s="18"/>
    </row>
    <row r="46875">
      <c r="B46875" s="17" t="s">
        <v>477</v>
      </c>
      <c r="K46875" s="18"/>
    </row>
    <row r="46876">
      <c r="B46876" s="17" t="s">
        <v>477</v>
      </c>
      <c r="K46876" s="18"/>
    </row>
    <row r="46877">
      <c r="B46877" s="17" t="s">
        <v>477</v>
      </c>
      <c r="K46877" s="18"/>
    </row>
    <row r="46878">
      <c r="B46878" s="17" t="s">
        <v>477</v>
      </c>
      <c r="K46878" s="18"/>
    </row>
    <row r="46879">
      <c r="B46879" s="17" t="s">
        <v>477</v>
      </c>
      <c r="K46879" s="18"/>
    </row>
    <row r="46880">
      <c r="B46880" s="17" t="s">
        <v>477</v>
      </c>
      <c r="K46880" s="18"/>
    </row>
    <row r="46881">
      <c r="B46881" s="17" t="s">
        <v>477</v>
      </c>
      <c r="K46881" s="18"/>
    </row>
    <row r="46882">
      <c r="B46882" s="17" t="s">
        <v>477</v>
      </c>
      <c r="K46882" s="18"/>
    </row>
    <row r="46883">
      <c r="B46883" s="17" t="s">
        <v>477</v>
      </c>
      <c r="K46883" s="18"/>
    </row>
    <row r="46884">
      <c r="B46884" s="17" t="s">
        <v>477</v>
      </c>
      <c r="K46884" s="18"/>
    </row>
    <row r="46885">
      <c r="B46885" s="17" t="s">
        <v>477</v>
      </c>
      <c r="K46885" s="18"/>
    </row>
    <row r="46886">
      <c r="B46886" s="17" t="s">
        <v>477</v>
      </c>
      <c r="K46886" s="18"/>
    </row>
    <row r="46887">
      <c r="B46887" s="17" t="s">
        <v>477</v>
      </c>
      <c r="K46887" s="18"/>
    </row>
    <row r="46888">
      <c r="B46888" s="17" t="s">
        <v>477</v>
      </c>
      <c r="K46888" s="18"/>
    </row>
    <row r="46889">
      <c r="B46889" s="17" t="s">
        <v>477</v>
      </c>
      <c r="K46889" s="18"/>
    </row>
    <row r="46890">
      <c r="B46890" s="17" t="s">
        <v>477</v>
      </c>
      <c r="K46890" s="18"/>
    </row>
    <row r="46891">
      <c r="B46891" s="17" t="s">
        <v>477</v>
      </c>
      <c r="K46891" s="18"/>
    </row>
    <row r="46892">
      <c r="B46892" s="17" t="s">
        <v>477</v>
      </c>
      <c r="K46892" s="18"/>
    </row>
    <row r="46893">
      <c r="B46893" s="17" t="s">
        <v>477</v>
      </c>
      <c r="K46893" s="18"/>
    </row>
    <row r="46894">
      <c r="B46894" s="17" t="s">
        <v>477</v>
      </c>
      <c r="K46894" s="18"/>
    </row>
    <row r="46895">
      <c r="B46895" s="17" t="s">
        <v>477</v>
      </c>
      <c r="K46895" s="18"/>
    </row>
    <row r="46896">
      <c r="B46896" s="17" t="s">
        <v>477</v>
      </c>
      <c r="K46896" s="18"/>
    </row>
    <row r="46897">
      <c r="B46897" s="17" t="s">
        <v>477</v>
      </c>
      <c r="K46897" s="18"/>
    </row>
    <row r="46898">
      <c r="B46898" s="17" t="s">
        <v>477</v>
      </c>
      <c r="K46898" s="18"/>
    </row>
    <row r="46899">
      <c r="B46899" s="17" t="s">
        <v>477</v>
      </c>
      <c r="K46899" s="18"/>
    </row>
    <row r="46900">
      <c r="B46900" s="17" t="s">
        <v>477</v>
      </c>
      <c r="K46900" s="18"/>
    </row>
    <row r="46901">
      <c r="B46901" s="17" t="s">
        <v>477</v>
      </c>
      <c r="K46901" s="18"/>
    </row>
    <row r="46902">
      <c r="B46902" s="17" t="s">
        <v>477</v>
      </c>
      <c r="K46902" s="18"/>
    </row>
    <row r="46903">
      <c r="B46903" s="17" t="s">
        <v>477</v>
      </c>
      <c r="K46903" s="18"/>
    </row>
    <row r="46904">
      <c r="B46904" s="17" t="s">
        <v>477</v>
      </c>
      <c r="K46904" s="18"/>
    </row>
    <row r="46905">
      <c r="B46905" s="17" t="s">
        <v>477</v>
      </c>
      <c r="K46905" s="18"/>
    </row>
    <row r="46906">
      <c r="B46906" s="17" t="s">
        <v>477</v>
      </c>
      <c r="K46906" s="18"/>
    </row>
    <row r="46907">
      <c r="B46907" s="17" t="s">
        <v>477</v>
      </c>
      <c r="K46907" s="18"/>
    </row>
    <row r="46908">
      <c r="B46908" s="17" t="s">
        <v>477</v>
      </c>
      <c r="K46908" s="18"/>
    </row>
    <row r="46909">
      <c r="B46909" s="17" t="s">
        <v>477</v>
      </c>
      <c r="K46909" s="18"/>
    </row>
    <row r="46910">
      <c r="B46910" s="17" t="s">
        <v>477</v>
      </c>
      <c r="K46910" s="18"/>
    </row>
    <row r="46911">
      <c r="B46911" s="17" t="s">
        <v>477</v>
      </c>
      <c r="K46911" s="18"/>
    </row>
    <row r="46912">
      <c r="B46912" s="17" t="s">
        <v>477</v>
      </c>
      <c r="K46912" s="18"/>
    </row>
    <row r="46913">
      <c r="B46913" s="17" t="s">
        <v>477</v>
      </c>
      <c r="K46913" s="18"/>
    </row>
    <row r="46914">
      <c r="B46914" s="17" t="s">
        <v>477</v>
      </c>
      <c r="K46914" s="18"/>
    </row>
    <row r="46915">
      <c r="B46915" s="17" t="s">
        <v>477</v>
      </c>
      <c r="K46915" s="18"/>
    </row>
    <row r="46916">
      <c r="B46916" s="17" t="s">
        <v>477</v>
      </c>
      <c r="K46916" s="18"/>
    </row>
    <row r="46917">
      <c r="B46917" s="17" t="s">
        <v>477</v>
      </c>
      <c r="K46917" s="18"/>
    </row>
    <row r="46918">
      <c r="B46918" s="17" t="s">
        <v>477</v>
      </c>
      <c r="K46918" s="18"/>
    </row>
    <row r="46919">
      <c r="B46919" s="17" t="s">
        <v>477</v>
      </c>
      <c r="K46919" s="18"/>
    </row>
    <row r="46920">
      <c r="B46920" s="17" t="s">
        <v>477</v>
      </c>
      <c r="K46920" s="18"/>
    </row>
    <row r="46921">
      <c r="B46921" s="17" t="s">
        <v>477</v>
      </c>
      <c r="K46921" s="18"/>
    </row>
    <row r="46922">
      <c r="B46922" s="17" t="s">
        <v>477</v>
      </c>
      <c r="K46922" s="18"/>
    </row>
    <row r="46923">
      <c r="B46923" s="17" t="s">
        <v>477</v>
      </c>
      <c r="K46923" s="18"/>
    </row>
    <row r="46924">
      <c r="B46924" s="17" t="s">
        <v>477</v>
      </c>
      <c r="K46924" s="18"/>
    </row>
    <row r="46925">
      <c r="B46925" s="17" t="s">
        <v>477</v>
      </c>
      <c r="K46925" s="18"/>
    </row>
    <row r="46926">
      <c r="B46926" s="17" t="s">
        <v>477</v>
      </c>
      <c r="K46926" s="18"/>
    </row>
    <row r="46927">
      <c r="B46927" s="17" t="s">
        <v>477</v>
      </c>
      <c r="K46927" s="18"/>
    </row>
    <row r="46928">
      <c r="B46928" s="17" t="s">
        <v>477</v>
      </c>
      <c r="K46928" s="18"/>
    </row>
    <row r="46929">
      <c r="B46929" s="17" t="s">
        <v>477</v>
      </c>
      <c r="K46929" s="18"/>
    </row>
    <row r="46930">
      <c r="B46930" s="17" t="s">
        <v>477</v>
      </c>
      <c r="K46930" s="18"/>
    </row>
    <row r="46931">
      <c r="B46931" s="17" t="s">
        <v>477</v>
      </c>
      <c r="K46931" s="18"/>
    </row>
    <row r="46932">
      <c r="B46932" s="17" t="s">
        <v>477</v>
      </c>
      <c r="K46932" s="18"/>
    </row>
    <row r="46933">
      <c r="B46933" s="17" t="s">
        <v>477</v>
      </c>
      <c r="K46933" s="18"/>
    </row>
    <row r="46934">
      <c r="B46934" s="17" t="s">
        <v>477</v>
      </c>
      <c r="K46934" s="18"/>
    </row>
    <row r="46935">
      <c r="B46935" s="17" t="s">
        <v>477</v>
      </c>
      <c r="K46935" s="18"/>
    </row>
    <row r="46936">
      <c r="B46936" s="17" t="s">
        <v>477</v>
      </c>
      <c r="K46936" s="18"/>
    </row>
    <row r="46937">
      <c r="B46937" s="17" t="s">
        <v>477</v>
      </c>
      <c r="K46937" s="18"/>
    </row>
    <row r="46938">
      <c r="B46938" s="17" t="s">
        <v>477</v>
      </c>
      <c r="K46938" s="18"/>
    </row>
    <row r="46939">
      <c r="B46939" s="17" t="s">
        <v>477</v>
      </c>
      <c r="K46939" s="18"/>
    </row>
    <row r="46940">
      <c r="B46940" s="17" t="s">
        <v>477</v>
      </c>
      <c r="K46940" s="18"/>
    </row>
    <row r="46941">
      <c r="B46941" s="17" t="s">
        <v>477</v>
      </c>
      <c r="K46941" s="18"/>
    </row>
    <row r="46942">
      <c r="B46942" s="17" t="s">
        <v>477</v>
      </c>
      <c r="K46942" s="18"/>
    </row>
    <row r="46943">
      <c r="B46943" s="17" t="s">
        <v>477</v>
      </c>
      <c r="K46943" s="18"/>
    </row>
    <row r="46944">
      <c r="B46944" s="17" t="s">
        <v>477</v>
      </c>
      <c r="K46944" s="18"/>
    </row>
    <row r="46945">
      <c r="B46945" s="17" t="s">
        <v>477</v>
      </c>
      <c r="K46945" s="18"/>
    </row>
    <row r="46946">
      <c r="B46946" s="17" t="s">
        <v>477</v>
      </c>
      <c r="K46946" s="18"/>
    </row>
    <row r="46947">
      <c r="B46947" s="17" t="s">
        <v>477</v>
      </c>
      <c r="K46947" s="18"/>
    </row>
    <row r="46948">
      <c r="B46948" s="17" t="s">
        <v>477</v>
      </c>
      <c r="K46948" s="18"/>
    </row>
    <row r="46949">
      <c r="B46949" s="17" t="s">
        <v>477</v>
      </c>
      <c r="K46949" s="18"/>
    </row>
    <row r="46950">
      <c r="B46950" s="17" t="s">
        <v>477</v>
      </c>
      <c r="K46950" s="18"/>
    </row>
    <row r="46951">
      <c r="B46951" s="17" t="s">
        <v>477</v>
      </c>
      <c r="K46951" s="18"/>
    </row>
    <row r="46952">
      <c r="B46952" s="17" t="s">
        <v>477</v>
      </c>
      <c r="K46952" s="18"/>
    </row>
    <row r="46953">
      <c r="B46953" s="17" t="s">
        <v>477</v>
      </c>
      <c r="K46953" s="18"/>
    </row>
    <row r="46954">
      <c r="B46954" s="17" t="s">
        <v>477</v>
      </c>
      <c r="K46954" s="18"/>
    </row>
    <row r="46955">
      <c r="B46955" s="17" t="s">
        <v>477</v>
      </c>
      <c r="K46955" s="18"/>
    </row>
    <row r="46956">
      <c r="B46956" s="17" t="s">
        <v>477</v>
      </c>
      <c r="K46956" s="18"/>
    </row>
    <row r="46957">
      <c r="B46957" s="17" t="s">
        <v>477</v>
      </c>
      <c r="K46957" s="18"/>
    </row>
    <row r="46958">
      <c r="B46958" s="17" t="s">
        <v>477</v>
      </c>
      <c r="K46958" s="18"/>
    </row>
    <row r="46959">
      <c r="B46959" s="17" t="s">
        <v>477</v>
      </c>
      <c r="K46959" s="18"/>
    </row>
    <row r="46960">
      <c r="B46960" s="17" t="s">
        <v>477</v>
      </c>
      <c r="K46960" s="18"/>
    </row>
    <row r="46961">
      <c r="B46961" s="17" t="s">
        <v>477</v>
      </c>
      <c r="K46961" s="18"/>
    </row>
    <row r="46962">
      <c r="B46962" s="17" t="s">
        <v>477</v>
      </c>
      <c r="K46962" s="18"/>
    </row>
    <row r="46963">
      <c r="B46963" s="17" t="s">
        <v>477</v>
      </c>
      <c r="K46963" s="18"/>
    </row>
    <row r="46964">
      <c r="B46964" s="17" t="s">
        <v>477</v>
      </c>
      <c r="K46964" s="18"/>
    </row>
    <row r="46965">
      <c r="B46965" s="17" t="s">
        <v>477</v>
      </c>
      <c r="K46965" s="18"/>
    </row>
    <row r="46966">
      <c r="B46966" s="17" t="s">
        <v>477</v>
      </c>
      <c r="K46966" s="18"/>
    </row>
    <row r="46967">
      <c r="B46967" s="17" t="s">
        <v>477</v>
      </c>
      <c r="K46967" s="18"/>
    </row>
    <row r="46968">
      <c r="B46968" s="17" t="s">
        <v>477</v>
      </c>
      <c r="K46968" s="18"/>
    </row>
    <row r="46969">
      <c r="B46969" s="17" t="s">
        <v>477</v>
      </c>
      <c r="K46969" s="18"/>
    </row>
    <row r="46970">
      <c r="B46970" s="17" t="s">
        <v>477</v>
      </c>
      <c r="K46970" s="18"/>
    </row>
    <row r="46971">
      <c r="B46971" s="17" t="s">
        <v>477</v>
      </c>
      <c r="K46971" s="18"/>
    </row>
    <row r="46972">
      <c r="B46972" s="17" t="s">
        <v>477</v>
      </c>
      <c r="K46972" s="18"/>
    </row>
    <row r="46973">
      <c r="B46973" s="17" t="s">
        <v>477</v>
      </c>
      <c r="K46973" s="18"/>
    </row>
    <row r="46974">
      <c r="B46974" s="17" t="s">
        <v>477</v>
      </c>
      <c r="K46974" s="18"/>
    </row>
    <row r="46975">
      <c r="B46975" s="17" t="s">
        <v>477</v>
      </c>
      <c r="K46975" s="18"/>
    </row>
    <row r="46976">
      <c r="B46976" s="17" t="s">
        <v>477</v>
      </c>
      <c r="K46976" s="18"/>
    </row>
    <row r="46977">
      <c r="B46977" s="17" t="s">
        <v>477</v>
      </c>
      <c r="K46977" s="18"/>
    </row>
    <row r="46978">
      <c r="B46978" s="17" t="s">
        <v>477</v>
      </c>
      <c r="K46978" s="18"/>
    </row>
    <row r="46979">
      <c r="B46979" s="17" t="s">
        <v>477</v>
      </c>
      <c r="K46979" s="18"/>
    </row>
    <row r="46980">
      <c r="B46980" s="17" t="s">
        <v>477</v>
      </c>
      <c r="K46980" s="18"/>
    </row>
    <row r="46981">
      <c r="B46981" s="17" t="s">
        <v>477</v>
      </c>
      <c r="K46981" s="18"/>
    </row>
    <row r="46982">
      <c r="B46982" s="17" t="s">
        <v>477</v>
      </c>
      <c r="K46982" s="18"/>
    </row>
    <row r="46983">
      <c r="B46983" s="17" t="s">
        <v>477</v>
      </c>
      <c r="K46983" s="18"/>
    </row>
    <row r="46984">
      <c r="B46984" s="17" t="s">
        <v>477</v>
      </c>
      <c r="K46984" s="18"/>
    </row>
    <row r="46985">
      <c r="B46985" s="17" t="s">
        <v>477</v>
      </c>
      <c r="K46985" s="18"/>
    </row>
    <row r="46986">
      <c r="B46986" s="17" t="s">
        <v>477</v>
      </c>
      <c r="K46986" s="18"/>
    </row>
    <row r="46987">
      <c r="B46987" s="17" t="s">
        <v>477</v>
      </c>
      <c r="K46987" s="18"/>
    </row>
    <row r="46988">
      <c r="B46988" s="17" t="s">
        <v>477</v>
      </c>
      <c r="K46988" s="18"/>
    </row>
    <row r="46989">
      <c r="B46989" s="17" t="s">
        <v>477</v>
      </c>
      <c r="K46989" s="18"/>
    </row>
    <row r="46990">
      <c r="B46990" s="17" t="s">
        <v>477</v>
      </c>
      <c r="K46990" s="18"/>
    </row>
    <row r="46991">
      <c r="B46991" s="17" t="s">
        <v>477</v>
      </c>
      <c r="K46991" s="18"/>
    </row>
    <row r="46992">
      <c r="B46992" s="17" t="s">
        <v>477</v>
      </c>
      <c r="K46992" s="18"/>
    </row>
    <row r="46993">
      <c r="B46993" s="17" t="s">
        <v>477</v>
      </c>
      <c r="K46993" s="18"/>
    </row>
    <row r="46994">
      <c r="B46994" s="17" t="s">
        <v>477</v>
      </c>
      <c r="K46994" s="18"/>
    </row>
    <row r="46995">
      <c r="B46995" s="17" t="s">
        <v>477</v>
      </c>
      <c r="K46995" s="18"/>
    </row>
    <row r="46996">
      <c r="B46996" s="17" t="s">
        <v>477</v>
      </c>
      <c r="K46996" s="18"/>
    </row>
    <row r="46997">
      <c r="B46997" s="17" t="s">
        <v>477</v>
      </c>
      <c r="K46997" s="18"/>
    </row>
    <row r="46998">
      <c r="B46998" s="17" t="s">
        <v>477</v>
      </c>
      <c r="K46998" s="18"/>
    </row>
    <row r="46999">
      <c r="B46999" s="17" t="s">
        <v>477</v>
      </c>
      <c r="K46999" s="18"/>
    </row>
    <row r="47000">
      <c r="B47000" s="17" t="s">
        <v>477</v>
      </c>
      <c r="K47000" s="18"/>
    </row>
    <row r="47001">
      <c r="B47001" s="17" t="s">
        <v>477</v>
      </c>
      <c r="K47001" s="18"/>
    </row>
    <row r="47002">
      <c r="B47002" s="17" t="s">
        <v>477</v>
      </c>
      <c r="K47002" s="18"/>
    </row>
    <row r="47003">
      <c r="B47003" s="17" t="s">
        <v>477</v>
      </c>
      <c r="K47003" s="18"/>
    </row>
    <row r="47004">
      <c r="B47004" s="17" t="s">
        <v>477</v>
      </c>
      <c r="K47004" s="18"/>
    </row>
    <row r="47005">
      <c r="B47005" s="17" t="s">
        <v>477</v>
      </c>
      <c r="K47005" s="18"/>
    </row>
    <row r="47006">
      <c r="B47006" s="17" t="s">
        <v>477</v>
      </c>
      <c r="K47006" s="18"/>
    </row>
    <row r="47007">
      <c r="B47007" s="17" t="s">
        <v>477</v>
      </c>
      <c r="K47007" s="18"/>
    </row>
    <row r="47008">
      <c r="B47008" s="17" t="s">
        <v>477</v>
      </c>
      <c r="K47008" s="18"/>
    </row>
    <row r="47009">
      <c r="B47009" s="17" t="s">
        <v>477</v>
      </c>
      <c r="K47009" s="18"/>
    </row>
    <row r="47010">
      <c r="B47010" s="17" t="s">
        <v>477</v>
      </c>
      <c r="K47010" s="18"/>
    </row>
    <row r="47011">
      <c r="B47011" s="17" t="s">
        <v>477</v>
      </c>
      <c r="K47011" s="18"/>
    </row>
    <row r="47012">
      <c r="B47012" s="17" t="s">
        <v>477</v>
      </c>
      <c r="K47012" s="18"/>
    </row>
    <row r="47013">
      <c r="B47013" s="17" t="s">
        <v>477</v>
      </c>
      <c r="K47013" s="18"/>
    </row>
    <row r="47014">
      <c r="B47014" s="17" t="s">
        <v>477</v>
      </c>
      <c r="K47014" s="18"/>
    </row>
    <row r="47015">
      <c r="B47015" s="17" t="s">
        <v>477</v>
      </c>
      <c r="K47015" s="18"/>
    </row>
    <row r="47016">
      <c r="B47016" s="17" t="s">
        <v>477</v>
      </c>
      <c r="K47016" s="18"/>
    </row>
    <row r="47017">
      <c r="B47017" s="17" t="s">
        <v>477</v>
      </c>
      <c r="K47017" s="18"/>
    </row>
    <row r="47018">
      <c r="B47018" s="17" t="s">
        <v>477</v>
      </c>
      <c r="K47018" s="18"/>
    </row>
    <row r="47019">
      <c r="B47019" s="17" t="s">
        <v>477</v>
      </c>
      <c r="K47019" s="18"/>
    </row>
    <row r="47020">
      <c r="B47020" s="17" t="s">
        <v>477</v>
      </c>
      <c r="K47020" s="18"/>
    </row>
    <row r="47021">
      <c r="B47021" s="17" t="s">
        <v>477</v>
      </c>
      <c r="K47021" s="18"/>
    </row>
    <row r="47022">
      <c r="B47022" s="17" t="s">
        <v>477</v>
      </c>
      <c r="K47022" s="18"/>
    </row>
    <row r="47023">
      <c r="B47023" s="17" t="s">
        <v>477</v>
      </c>
      <c r="K47023" s="18"/>
    </row>
    <row r="47024">
      <c r="B47024" s="17" t="s">
        <v>477</v>
      </c>
      <c r="K47024" s="18"/>
    </row>
    <row r="47025">
      <c r="B47025" s="17" t="s">
        <v>477</v>
      </c>
      <c r="K47025" s="18"/>
    </row>
    <row r="47026">
      <c r="B47026" s="17" t="s">
        <v>477</v>
      </c>
      <c r="K47026" s="18"/>
    </row>
    <row r="47027">
      <c r="B47027" s="17" t="s">
        <v>477</v>
      </c>
      <c r="K47027" s="18"/>
    </row>
    <row r="47028">
      <c r="B47028" s="17" t="s">
        <v>477</v>
      </c>
      <c r="K47028" s="18"/>
    </row>
    <row r="47029">
      <c r="B47029" s="17" t="s">
        <v>477</v>
      </c>
      <c r="K47029" s="18"/>
    </row>
    <row r="47030">
      <c r="B47030" s="17" t="s">
        <v>477</v>
      </c>
      <c r="K47030" s="18"/>
    </row>
    <row r="47031">
      <c r="B47031" s="17" t="s">
        <v>477</v>
      </c>
      <c r="K47031" s="18"/>
    </row>
    <row r="47032">
      <c r="B47032" s="17" t="s">
        <v>477</v>
      </c>
      <c r="K47032" s="18"/>
    </row>
    <row r="47033">
      <c r="B47033" s="17" t="s">
        <v>477</v>
      </c>
      <c r="K47033" s="18"/>
    </row>
    <row r="47034">
      <c r="B47034" s="17" t="s">
        <v>477</v>
      </c>
      <c r="K47034" s="18"/>
    </row>
    <row r="47035">
      <c r="B47035" s="17" t="s">
        <v>477</v>
      </c>
      <c r="K47035" s="18"/>
    </row>
    <row r="47036">
      <c r="B47036" s="17" t="s">
        <v>477</v>
      </c>
      <c r="K47036" s="18"/>
    </row>
    <row r="47037">
      <c r="B47037" s="17" t="s">
        <v>477</v>
      </c>
      <c r="K47037" s="18"/>
    </row>
    <row r="47038">
      <c r="B47038" s="17" t="s">
        <v>477</v>
      </c>
      <c r="K47038" s="18"/>
    </row>
    <row r="47039">
      <c r="B47039" s="17" t="s">
        <v>477</v>
      </c>
      <c r="K47039" s="18"/>
    </row>
    <row r="47040">
      <c r="B47040" s="17" t="s">
        <v>477</v>
      </c>
      <c r="K47040" s="18"/>
    </row>
    <row r="47041">
      <c r="B47041" s="17" t="s">
        <v>477</v>
      </c>
      <c r="K47041" s="18"/>
    </row>
    <row r="47042">
      <c r="B47042" s="17" t="s">
        <v>477</v>
      </c>
      <c r="K47042" s="18"/>
    </row>
    <row r="47043">
      <c r="B47043" s="17" t="s">
        <v>477</v>
      </c>
      <c r="K47043" s="18"/>
    </row>
    <row r="47044">
      <c r="B47044" s="17" t="s">
        <v>477</v>
      </c>
      <c r="K47044" s="18"/>
    </row>
    <row r="47045">
      <c r="B47045" s="17" t="s">
        <v>477</v>
      </c>
      <c r="K47045" s="18"/>
    </row>
    <row r="47046">
      <c r="B47046" s="17" t="s">
        <v>477</v>
      </c>
      <c r="K47046" s="18"/>
    </row>
    <row r="47047">
      <c r="B47047" s="17" t="s">
        <v>477</v>
      </c>
      <c r="K47047" s="18"/>
    </row>
    <row r="47048">
      <c r="B47048" s="17" t="s">
        <v>477</v>
      </c>
      <c r="K47048" s="18"/>
    </row>
    <row r="47049">
      <c r="B47049" s="17" t="s">
        <v>477</v>
      </c>
      <c r="K47049" s="18"/>
    </row>
    <row r="47050">
      <c r="B47050" s="17" t="s">
        <v>477</v>
      </c>
      <c r="K47050" s="18"/>
    </row>
    <row r="47051">
      <c r="B47051" s="17" t="s">
        <v>477</v>
      </c>
      <c r="K47051" s="18"/>
    </row>
    <row r="47052">
      <c r="B47052" s="17" t="s">
        <v>477</v>
      </c>
      <c r="K47052" s="18"/>
    </row>
    <row r="47053">
      <c r="B47053" s="17" t="s">
        <v>477</v>
      </c>
      <c r="K47053" s="18"/>
    </row>
    <row r="47054">
      <c r="B47054" s="17" t="s">
        <v>477</v>
      </c>
      <c r="K47054" s="18"/>
    </row>
    <row r="47055">
      <c r="B47055" s="17" t="s">
        <v>477</v>
      </c>
      <c r="K47055" s="18"/>
    </row>
    <row r="47056">
      <c r="B47056" s="17" t="s">
        <v>477</v>
      </c>
      <c r="K47056" s="18"/>
    </row>
    <row r="47057">
      <c r="B47057" s="17" t="s">
        <v>477</v>
      </c>
      <c r="K47057" s="18"/>
    </row>
    <row r="47058">
      <c r="B47058" s="17" t="s">
        <v>477</v>
      </c>
      <c r="K47058" s="18"/>
    </row>
    <row r="47059">
      <c r="B47059" s="17" t="s">
        <v>477</v>
      </c>
      <c r="K47059" s="18"/>
    </row>
    <row r="47060">
      <c r="B47060" s="17" t="s">
        <v>477</v>
      </c>
      <c r="K47060" s="18"/>
    </row>
    <row r="47061">
      <c r="B47061" s="17" t="s">
        <v>477</v>
      </c>
      <c r="K47061" s="18"/>
    </row>
    <row r="47062">
      <c r="B47062" s="17" t="s">
        <v>477</v>
      </c>
      <c r="K47062" s="18"/>
    </row>
    <row r="47063">
      <c r="B47063" s="17" t="s">
        <v>477</v>
      </c>
      <c r="K47063" s="18"/>
    </row>
    <row r="47064">
      <c r="B47064" s="17" t="s">
        <v>477</v>
      </c>
      <c r="K47064" s="18"/>
    </row>
    <row r="47065">
      <c r="B47065" s="17" t="s">
        <v>477</v>
      </c>
      <c r="K47065" s="18"/>
    </row>
    <row r="47066">
      <c r="B47066" s="17" t="s">
        <v>477</v>
      </c>
      <c r="K47066" s="18"/>
    </row>
    <row r="47067">
      <c r="B47067" s="17" t="s">
        <v>477</v>
      </c>
      <c r="K47067" s="18"/>
    </row>
    <row r="47068">
      <c r="B47068" s="17" t="s">
        <v>477</v>
      </c>
      <c r="K47068" s="18"/>
    </row>
    <row r="47069">
      <c r="B47069" s="17" t="s">
        <v>477</v>
      </c>
      <c r="K47069" s="18"/>
    </row>
    <row r="47070">
      <c r="B47070" s="17" t="s">
        <v>477</v>
      </c>
      <c r="K47070" s="18"/>
    </row>
    <row r="47071">
      <c r="B47071" s="17" t="s">
        <v>477</v>
      </c>
      <c r="K47071" s="18"/>
    </row>
    <row r="47072">
      <c r="B47072" s="17" t="s">
        <v>477</v>
      </c>
      <c r="K47072" s="18"/>
    </row>
    <row r="47073">
      <c r="B47073" s="17" t="s">
        <v>477</v>
      </c>
      <c r="K47073" s="18"/>
    </row>
    <row r="47074">
      <c r="B47074" s="17" t="s">
        <v>477</v>
      </c>
      <c r="K47074" s="18"/>
    </row>
    <row r="47075">
      <c r="B47075" s="17" t="s">
        <v>477</v>
      </c>
      <c r="K47075" s="18"/>
    </row>
    <row r="47076">
      <c r="B47076" s="17" t="s">
        <v>477</v>
      </c>
      <c r="K47076" s="18"/>
    </row>
    <row r="47077">
      <c r="B47077" s="17" t="s">
        <v>477</v>
      </c>
      <c r="K47077" s="18"/>
    </row>
    <row r="47078">
      <c r="B47078" s="17" t="s">
        <v>477</v>
      </c>
      <c r="K47078" s="18"/>
    </row>
    <row r="47079">
      <c r="B47079" s="17" t="s">
        <v>477</v>
      </c>
      <c r="K47079" s="18"/>
    </row>
    <row r="47080">
      <c r="B47080" s="17" t="s">
        <v>477</v>
      </c>
      <c r="K47080" s="18"/>
    </row>
    <row r="47081">
      <c r="B47081" s="17" t="s">
        <v>477</v>
      </c>
      <c r="K47081" s="18"/>
    </row>
    <row r="47082">
      <c r="B47082" s="17" t="s">
        <v>477</v>
      </c>
      <c r="K47082" s="18"/>
    </row>
    <row r="47083">
      <c r="B47083" s="17" t="s">
        <v>477</v>
      </c>
      <c r="K47083" s="18"/>
    </row>
    <row r="47084">
      <c r="B47084" s="17" t="s">
        <v>477</v>
      </c>
      <c r="K47084" s="18"/>
    </row>
    <row r="47085">
      <c r="B47085" s="17" t="s">
        <v>477</v>
      </c>
      <c r="K47085" s="18"/>
    </row>
    <row r="47086">
      <c r="B47086" s="17" t="s">
        <v>477</v>
      </c>
      <c r="K47086" s="18"/>
    </row>
    <row r="47087">
      <c r="B47087" s="17" t="s">
        <v>477</v>
      </c>
      <c r="K47087" s="18"/>
    </row>
    <row r="47088">
      <c r="B47088" s="17" t="s">
        <v>477</v>
      </c>
      <c r="K47088" s="18"/>
    </row>
    <row r="47089">
      <c r="B47089" s="17" t="s">
        <v>477</v>
      </c>
      <c r="K47089" s="18"/>
    </row>
    <row r="47090">
      <c r="B47090" s="17" t="s">
        <v>477</v>
      </c>
      <c r="K47090" s="18"/>
    </row>
    <row r="47091">
      <c r="B47091" s="17" t="s">
        <v>477</v>
      </c>
      <c r="K47091" s="18"/>
    </row>
    <row r="47092">
      <c r="B47092" s="17" t="s">
        <v>477</v>
      </c>
      <c r="K47092" s="18"/>
    </row>
    <row r="47093">
      <c r="B47093" s="17" t="s">
        <v>477</v>
      </c>
      <c r="K47093" s="18"/>
    </row>
    <row r="47094">
      <c r="B47094" s="17" t="s">
        <v>477</v>
      </c>
      <c r="K47094" s="18"/>
    </row>
    <row r="47095">
      <c r="B47095" s="17" t="s">
        <v>477</v>
      </c>
      <c r="K47095" s="18"/>
    </row>
    <row r="47096">
      <c r="B47096" s="17" t="s">
        <v>477</v>
      </c>
      <c r="K47096" s="18"/>
    </row>
    <row r="47097">
      <c r="B47097" s="17" t="s">
        <v>477</v>
      </c>
      <c r="K47097" s="18"/>
    </row>
    <row r="47098">
      <c r="B47098" s="17" t="s">
        <v>477</v>
      </c>
      <c r="K47098" s="18"/>
    </row>
    <row r="47099">
      <c r="B47099" s="17" t="s">
        <v>477</v>
      </c>
      <c r="K47099" s="18"/>
    </row>
    <row r="47100">
      <c r="B47100" s="17" t="s">
        <v>477</v>
      </c>
      <c r="K47100" s="18"/>
    </row>
    <row r="47101">
      <c r="B47101" s="17" t="s">
        <v>477</v>
      </c>
      <c r="K47101" s="18"/>
    </row>
    <row r="47102">
      <c r="B47102" s="17" t="s">
        <v>477</v>
      </c>
      <c r="K47102" s="18"/>
    </row>
    <row r="47103">
      <c r="B47103" s="17" t="s">
        <v>477</v>
      </c>
      <c r="K47103" s="18"/>
    </row>
    <row r="47104">
      <c r="B47104" s="17" t="s">
        <v>477</v>
      </c>
      <c r="K47104" s="18"/>
    </row>
    <row r="47105">
      <c r="B47105" s="17" t="s">
        <v>477</v>
      </c>
      <c r="K47105" s="18"/>
    </row>
    <row r="47106">
      <c r="B47106" s="17" t="s">
        <v>477</v>
      </c>
      <c r="K47106" s="18"/>
    </row>
    <row r="47107">
      <c r="B47107" s="17" t="s">
        <v>477</v>
      </c>
      <c r="K47107" s="18"/>
    </row>
    <row r="47108">
      <c r="B47108" s="17" t="s">
        <v>477</v>
      </c>
      <c r="K47108" s="18"/>
    </row>
    <row r="47109">
      <c r="B47109" s="17" t="s">
        <v>477</v>
      </c>
      <c r="K47109" s="18"/>
    </row>
    <row r="47110">
      <c r="B47110" s="17" t="s">
        <v>477</v>
      </c>
      <c r="K47110" s="18"/>
    </row>
    <row r="47111">
      <c r="B47111" s="17" t="s">
        <v>477</v>
      </c>
      <c r="K47111" s="18"/>
    </row>
    <row r="47112">
      <c r="B47112" s="17" t="s">
        <v>477</v>
      </c>
      <c r="K47112" s="18"/>
    </row>
    <row r="47113">
      <c r="B47113" s="17" t="s">
        <v>477</v>
      </c>
      <c r="K47113" s="18"/>
    </row>
    <row r="47114">
      <c r="B47114" s="17" t="s">
        <v>477</v>
      </c>
      <c r="K47114" s="18"/>
    </row>
    <row r="47115">
      <c r="B47115" s="17" t="s">
        <v>477</v>
      </c>
      <c r="K47115" s="18"/>
    </row>
    <row r="47116">
      <c r="B47116" s="17" t="s">
        <v>477</v>
      </c>
      <c r="K47116" s="18"/>
    </row>
    <row r="47117">
      <c r="B47117" s="17" t="s">
        <v>477</v>
      </c>
      <c r="K47117" s="18"/>
    </row>
    <row r="47118">
      <c r="B47118" s="17" t="s">
        <v>477</v>
      </c>
      <c r="K47118" s="18"/>
    </row>
    <row r="47119">
      <c r="B47119" s="17" t="s">
        <v>477</v>
      </c>
      <c r="K47119" s="18"/>
    </row>
    <row r="47120">
      <c r="B47120" s="17" t="s">
        <v>477</v>
      </c>
      <c r="K47120" s="18"/>
    </row>
    <row r="47121">
      <c r="B47121" s="17" t="s">
        <v>477</v>
      </c>
      <c r="K47121" s="18"/>
    </row>
    <row r="47122">
      <c r="B47122" s="17" t="s">
        <v>477</v>
      </c>
      <c r="K47122" s="18"/>
    </row>
    <row r="47123">
      <c r="B47123" s="17" t="s">
        <v>477</v>
      </c>
      <c r="K47123" s="18"/>
    </row>
    <row r="47124">
      <c r="B47124" s="17" t="s">
        <v>477</v>
      </c>
      <c r="K47124" s="18"/>
    </row>
    <row r="47125">
      <c r="B47125" s="17" t="s">
        <v>477</v>
      </c>
      <c r="K47125" s="18"/>
    </row>
    <row r="47126">
      <c r="B47126" s="17" t="s">
        <v>477</v>
      </c>
      <c r="K47126" s="18"/>
    </row>
    <row r="47127">
      <c r="B47127" s="17" t="s">
        <v>477</v>
      </c>
      <c r="K47127" s="18"/>
    </row>
    <row r="47128">
      <c r="B47128" s="17" t="s">
        <v>477</v>
      </c>
      <c r="K47128" s="18"/>
    </row>
    <row r="47129">
      <c r="B47129" s="17" t="s">
        <v>477</v>
      </c>
      <c r="K47129" s="18"/>
    </row>
    <row r="47130">
      <c r="B47130" s="17" t="s">
        <v>477</v>
      </c>
      <c r="K47130" s="18"/>
    </row>
    <row r="47131">
      <c r="B47131" s="17" t="s">
        <v>477</v>
      </c>
      <c r="K47131" s="18"/>
    </row>
    <row r="47132">
      <c r="B47132" s="17" t="s">
        <v>477</v>
      </c>
      <c r="K47132" s="18"/>
    </row>
    <row r="47133">
      <c r="B47133" s="17" t="s">
        <v>477</v>
      </c>
      <c r="K47133" s="18"/>
    </row>
    <row r="47134">
      <c r="B47134" s="17" t="s">
        <v>477</v>
      </c>
      <c r="K47134" s="18"/>
    </row>
    <row r="47135">
      <c r="B47135" s="17" t="s">
        <v>477</v>
      </c>
      <c r="K47135" s="18"/>
    </row>
    <row r="47136">
      <c r="B47136" s="17" t="s">
        <v>477</v>
      </c>
      <c r="K47136" s="18"/>
    </row>
    <row r="47137">
      <c r="B47137" s="17" t="s">
        <v>477</v>
      </c>
      <c r="K47137" s="18"/>
    </row>
    <row r="47138">
      <c r="B47138" s="17" t="s">
        <v>477</v>
      </c>
      <c r="K47138" s="18"/>
    </row>
    <row r="47139">
      <c r="B47139" s="17" t="s">
        <v>477</v>
      </c>
      <c r="K47139" s="18"/>
    </row>
    <row r="47140">
      <c r="B47140" s="17" t="s">
        <v>477</v>
      </c>
      <c r="K47140" s="18"/>
    </row>
    <row r="47141">
      <c r="B47141" s="17" t="s">
        <v>477</v>
      </c>
      <c r="K47141" s="18"/>
    </row>
    <row r="47142">
      <c r="B47142" s="17" t="s">
        <v>477</v>
      </c>
      <c r="K47142" s="18"/>
    </row>
    <row r="47143">
      <c r="B47143" s="17" t="s">
        <v>477</v>
      </c>
      <c r="K47143" s="18"/>
    </row>
    <row r="47144">
      <c r="B47144" s="17" t="s">
        <v>477</v>
      </c>
      <c r="K47144" s="18"/>
    </row>
    <row r="47145">
      <c r="B47145" s="17" t="s">
        <v>477</v>
      </c>
      <c r="K47145" s="18"/>
    </row>
    <row r="47146">
      <c r="B47146" s="17" t="s">
        <v>477</v>
      </c>
      <c r="K47146" s="18"/>
    </row>
    <row r="47147">
      <c r="B47147" s="17" t="s">
        <v>477</v>
      </c>
      <c r="K47147" s="18"/>
    </row>
    <row r="47148">
      <c r="B47148" s="17" t="s">
        <v>477</v>
      </c>
      <c r="K47148" s="18"/>
    </row>
    <row r="47149">
      <c r="B47149" s="17" t="s">
        <v>477</v>
      </c>
      <c r="K47149" s="18"/>
    </row>
    <row r="47150">
      <c r="B47150" s="17" t="s">
        <v>477</v>
      </c>
      <c r="K47150" s="18"/>
    </row>
    <row r="47151">
      <c r="B47151" s="17" t="s">
        <v>477</v>
      </c>
      <c r="K47151" s="18"/>
    </row>
    <row r="47152">
      <c r="B47152" s="17" t="s">
        <v>477</v>
      </c>
      <c r="K47152" s="18"/>
    </row>
    <row r="47153">
      <c r="B47153" s="17" t="s">
        <v>477</v>
      </c>
      <c r="K47153" s="18"/>
    </row>
    <row r="47154">
      <c r="B47154" s="17" t="s">
        <v>477</v>
      </c>
      <c r="K47154" s="18"/>
    </row>
    <row r="47155">
      <c r="B47155" s="17" t="s">
        <v>477</v>
      </c>
      <c r="K47155" s="18"/>
    </row>
    <row r="47156">
      <c r="B47156" s="17" t="s">
        <v>477</v>
      </c>
      <c r="K47156" s="18"/>
    </row>
    <row r="47157">
      <c r="B47157" s="17" t="s">
        <v>477</v>
      </c>
      <c r="K47157" s="18"/>
    </row>
    <row r="47158">
      <c r="B47158" s="17" t="s">
        <v>477</v>
      </c>
      <c r="K47158" s="18"/>
    </row>
    <row r="47159">
      <c r="B47159" s="17" t="s">
        <v>477</v>
      </c>
      <c r="K47159" s="18"/>
    </row>
    <row r="47160">
      <c r="B47160" s="17" t="s">
        <v>477</v>
      </c>
      <c r="K47160" s="18"/>
    </row>
    <row r="47161">
      <c r="B47161" s="17" t="s">
        <v>477</v>
      </c>
      <c r="K47161" s="18"/>
    </row>
    <row r="47162">
      <c r="B47162" s="17" t="s">
        <v>477</v>
      </c>
      <c r="K47162" s="18"/>
    </row>
    <row r="47163">
      <c r="B47163" s="17" t="s">
        <v>477</v>
      </c>
      <c r="K47163" s="18"/>
    </row>
    <row r="47164">
      <c r="B47164" s="17" t="s">
        <v>477</v>
      </c>
      <c r="K47164" s="18"/>
    </row>
    <row r="47165">
      <c r="B47165" s="17" t="s">
        <v>477</v>
      </c>
      <c r="K47165" s="18"/>
    </row>
    <row r="47166">
      <c r="B47166" s="17" t="s">
        <v>477</v>
      </c>
      <c r="K47166" s="18"/>
    </row>
    <row r="47167">
      <c r="B47167" s="17" t="s">
        <v>477</v>
      </c>
      <c r="K47167" s="18"/>
    </row>
    <row r="47168">
      <c r="B47168" s="17" t="s">
        <v>477</v>
      </c>
      <c r="K47168" s="18"/>
    </row>
    <row r="47169">
      <c r="B47169" s="17" t="s">
        <v>477</v>
      </c>
      <c r="K47169" s="18"/>
    </row>
    <row r="47170">
      <c r="B47170" s="17" t="s">
        <v>477</v>
      </c>
      <c r="K47170" s="18"/>
    </row>
    <row r="47171">
      <c r="B47171" s="17" t="s">
        <v>477</v>
      </c>
      <c r="K47171" s="18"/>
    </row>
    <row r="47172">
      <c r="B47172" s="17" t="s">
        <v>477</v>
      </c>
      <c r="K47172" s="18"/>
    </row>
    <row r="47173">
      <c r="B47173" s="17" t="s">
        <v>477</v>
      </c>
      <c r="K47173" s="18"/>
    </row>
    <row r="47174">
      <c r="B47174" s="17" t="s">
        <v>477</v>
      </c>
      <c r="K47174" s="18"/>
    </row>
    <row r="47175">
      <c r="B47175" s="17" t="s">
        <v>477</v>
      </c>
      <c r="K47175" s="18"/>
    </row>
    <row r="47176">
      <c r="B47176" s="17" t="s">
        <v>477</v>
      </c>
      <c r="K47176" s="18"/>
    </row>
    <row r="47177">
      <c r="B47177" s="17" t="s">
        <v>477</v>
      </c>
      <c r="K47177" s="18"/>
    </row>
    <row r="47178">
      <c r="B47178" s="17" t="s">
        <v>477</v>
      </c>
      <c r="K47178" s="18"/>
    </row>
    <row r="47179">
      <c r="B47179" s="17" t="s">
        <v>477</v>
      </c>
      <c r="K47179" s="18"/>
    </row>
    <row r="47180">
      <c r="B47180" s="17" t="s">
        <v>477</v>
      </c>
      <c r="K47180" s="18"/>
    </row>
    <row r="47181">
      <c r="B47181" s="17" t="s">
        <v>477</v>
      </c>
      <c r="K47181" s="18"/>
    </row>
    <row r="47182">
      <c r="B47182" s="17" t="s">
        <v>477</v>
      </c>
      <c r="K47182" s="18"/>
    </row>
    <row r="47183">
      <c r="B47183" s="17" t="s">
        <v>477</v>
      </c>
      <c r="K47183" s="18"/>
    </row>
    <row r="47184">
      <c r="B47184" s="17" t="s">
        <v>477</v>
      </c>
      <c r="K47184" s="18"/>
    </row>
    <row r="47185">
      <c r="B47185" s="17" t="s">
        <v>477</v>
      </c>
      <c r="K47185" s="18"/>
    </row>
    <row r="47186">
      <c r="B47186" s="17" t="s">
        <v>477</v>
      </c>
      <c r="K47186" s="18"/>
    </row>
    <row r="47187">
      <c r="B47187" s="17" t="s">
        <v>477</v>
      </c>
      <c r="K47187" s="18"/>
    </row>
    <row r="47188">
      <c r="B47188" s="17" t="s">
        <v>477</v>
      </c>
      <c r="K47188" s="18"/>
    </row>
    <row r="47189">
      <c r="B47189" s="17" t="s">
        <v>477</v>
      </c>
      <c r="K47189" s="18"/>
    </row>
    <row r="47190">
      <c r="B47190" s="17" t="s">
        <v>477</v>
      </c>
      <c r="K47190" s="18"/>
    </row>
    <row r="47191">
      <c r="B47191" s="17" t="s">
        <v>477</v>
      </c>
      <c r="K47191" s="18"/>
    </row>
    <row r="47192">
      <c r="B47192" s="17" t="s">
        <v>477</v>
      </c>
      <c r="K47192" s="18"/>
    </row>
    <row r="47193">
      <c r="B47193" s="17" t="s">
        <v>477</v>
      </c>
      <c r="K47193" s="18"/>
    </row>
    <row r="47194">
      <c r="B47194" s="17" t="s">
        <v>477</v>
      </c>
      <c r="K47194" s="18"/>
    </row>
    <row r="47195">
      <c r="B47195" s="17" t="s">
        <v>477</v>
      </c>
      <c r="K47195" s="18"/>
    </row>
    <row r="47196">
      <c r="B47196" s="17" t="s">
        <v>477</v>
      </c>
      <c r="K47196" s="18"/>
    </row>
    <row r="47197">
      <c r="B47197" s="17" t="s">
        <v>477</v>
      </c>
      <c r="K47197" s="18"/>
    </row>
    <row r="47198">
      <c r="B47198" s="17" t="s">
        <v>477</v>
      </c>
      <c r="K47198" s="18"/>
    </row>
    <row r="47199">
      <c r="B47199" s="17" t="s">
        <v>477</v>
      </c>
      <c r="K47199" s="18"/>
    </row>
    <row r="47200">
      <c r="B47200" s="17" t="s">
        <v>477</v>
      </c>
      <c r="K47200" s="18"/>
    </row>
    <row r="47201">
      <c r="B47201" s="17" t="s">
        <v>477</v>
      </c>
      <c r="K47201" s="18"/>
    </row>
    <row r="47202">
      <c r="B47202" s="17" t="s">
        <v>477</v>
      </c>
      <c r="K47202" s="18"/>
    </row>
    <row r="47203">
      <c r="B47203" s="17" t="s">
        <v>477</v>
      </c>
      <c r="K47203" s="18"/>
    </row>
    <row r="47204">
      <c r="B47204" s="17" t="s">
        <v>477</v>
      </c>
      <c r="K47204" s="18"/>
    </row>
    <row r="47205">
      <c r="B47205" s="17" t="s">
        <v>477</v>
      </c>
      <c r="K47205" s="18"/>
    </row>
    <row r="47206">
      <c r="B47206" s="17" t="s">
        <v>477</v>
      </c>
      <c r="K47206" s="18"/>
    </row>
    <row r="47207">
      <c r="B47207" s="17" t="s">
        <v>477</v>
      </c>
      <c r="K47207" s="18"/>
    </row>
    <row r="47208">
      <c r="B47208" s="17" t="s">
        <v>477</v>
      </c>
      <c r="K47208" s="18"/>
    </row>
    <row r="47209">
      <c r="B47209" s="17" t="s">
        <v>477</v>
      </c>
      <c r="K47209" s="18"/>
    </row>
    <row r="47210">
      <c r="B47210" s="17" t="s">
        <v>477</v>
      </c>
      <c r="K47210" s="18"/>
    </row>
    <row r="47211">
      <c r="B47211" s="17" t="s">
        <v>477</v>
      </c>
      <c r="K47211" s="18"/>
    </row>
    <row r="47212">
      <c r="B47212" s="17" t="s">
        <v>477</v>
      </c>
      <c r="K47212" s="18"/>
    </row>
    <row r="47213">
      <c r="B47213" s="17" t="s">
        <v>477</v>
      </c>
      <c r="K47213" s="18"/>
    </row>
    <row r="47214">
      <c r="B47214" s="17" t="s">
        <v>477</v>
      </c>
      <c r="K47214" s="18"/>
    </row>
    <row r="47215">
      <c r="B47215" s="17" t="s">
        <v>477</v>
      </c>
      <c r="K47215" s="18"/>
    </row>
    <row r="47216">
      <c r="B47216" s="17" t="s">
        <v>477</v>
      </c>
      <c r="K47216" s="18"/>
    </row>
    <row r="47217">
      <c r="B47217" s="17" t="s">
        <v>477</v>
      </c>
      <c r="K47217" s="18"/>
    </row>
    <row r="47218">
      <c r="B47218" s="17" t="s">
        <v>477</v>
      </c>
      <c r="K47218" s="18"/>
    </row>
    <row r="47219">
      <c r="B47219" s="17" t="s">
        <v>477</v>
      </c>
      <c r="K47219" s="18"/>
    </row>
    <row r="47220">
      <c r="B47220" s="17" t="s">
        <v>477</v>
      </c>
      <c r="K47220" s="18"/>
    </row>
    <row r="47221">
      <c r="B47221" s="17" t="s">
        <v>477</v>
      </c>
      <c r="K47221" s="18"/>
    </row>
    <row r="47222">
      <c r="B47222" s="17" t="s">
        <v>477</v>
      </c>
      <c r="K47222" s="18"/>
    </row>
    <row r="47223">
      <c r="B47223" s="17" t="s">
        <v>477</v>
      </c>
      <c r="K47223" s="18"/>
    </row>
    <row r="47224">
      <c r="B47224" s="17" t="s">
        <v>477</v>
      </c>
      <c r="K47224" s="18"/>
    </row>
    <row r="47225">
      <c r="B47225" s="17" t="s">
        <v>477</v>
      </c>
      <c r="K47225" s="18"/>
    </row>
    <row r="47226">
      <c r="B47226" s="17" t="s">
        <v>477</v>
      </c>
      <c r="K47226" s="18"/>
    </row>
    <row r="47227">
      <c r="B47227" s="17" t="s">
        <v>477</v>
      </c>
      <c r="K47227" s="18"/>
    </row>
    <row r="47228">
      <c r="B47228" s="17" t="s">
        <v>477</v>
      </c>
      <c r="K47228" s="18"/>
    </row>
    <row r="47229">
      <c r="B47229" s="17" t="s">
        <v>477</v>
      </c>
      <c r="K47229" s="18"/>
    </row>
    <row r="47230">
      <c r="B47230" s="17" t="s">
        <v>477</v>
      </c>
      <c r="K47230" s="18"/>
    </row>
    <row r="47231">
      <c r="B47231" s="17" t="s">
        <v>477</v>
      </c>
      <c r="K47231" s="18"/>
    </row>
    <row r="47232">
      <c r="B47232" s="17" t="s">
        <v>477</v>
      </c>
      <c r="K47232" s="18"/>
    </row>
    <row r="47233">
      <c r="B47233" s="17" t="s">
        <v>477</v>
      </c>
      <c r="K47233" s="18"/>
    </row>
    <row r="47234">
      <c r="B47234" s="17" t="s">
        <v>477</v>
      </c>
      <c r="K47234" s="18"/>
    </row>
    <row r="47235">
      <c r="B47235" s="17" t="s">
        <v>477</v>
      </c>
      <c r="K47235" s="18"/>
    </row>
    <row r="47236">
      <c r="B47236" s="17" t="s">
        <v>477</v>
      </c>
      <c r="K47236" s="18"/>
    </row>
    <row r="47237">
      <c r="B47237" s="17" t="s">
        <v>477</v>
      </c>
      <c r="K47237" s="18"/>
    </row>
    <row r="47238">
      <c r="B47238" s="17" t="s">
        <v>477</v>
      </c>
      <c r="K47238" s="18"/>
    </row>
    <row r="47239">
      <c r="B47239" s="17" t="s">
        <v>477</v>
      </c>
      <c r="K47239" s="18"/>
    </row>
    <row r="47240">
      <c r="B47240" s="17" t="s">
        <v>477</v>
      </c>
      <c r="K47240" s="18"/>
    </row>
    <row r="47241">
      <c r="B47241" s="17" t="s">
        <v>477</v>
      </c>
      <c r="K47241" s="18"/>
    </row>
    <row r="47242">
      <c r="B47242" s="17" t="s">
        <v>477</v>
      </c>
      <c r="K47242" s="18"/>
    </row>
    <row r="47243">
      <c r="B47243" s="17" t="s">
        <v>477</v>
      </c>
      <c r="K47243" s="18"/>
    </row>
    <row r="47244">
      <c r="B47244" s="17" t="s">
        <v>477</v>
      </c>
      <c r="K47244" s="18"/>
    </row>
    <row r="47245">
      <c r="B47245" s="17" t="s">
        <v>477</v>
      </c>
      <c r="K47245" s="18"/>
    </row>
    <row r="47246">
      <c r="B47246" s="17" t="s">
        <v>477</v>
      </c>
      <c r="K47246" s="18"/>
    </row>
    <row r="47247">
      <c r="B47247" s="17" t="s">
        <v>477</v>
      </c>
      <c r="K47247" s="18"/>
    </row>
    <row r="47248">
      <c r="B47248" s="17" t="s">
        <v>477</v>
      </c>
      <c r="K47248" s="18"/>
    </row>
    <row r="47249">
      <c r="B47249" s="17" t="s">
        <v>477</v>
      </c>
      <c r="K47249" s="18"/>
    </row>
    <row r="47250">
      <c r="B47250" s="17" t="s">
        <v>477</v>
      </c>
      <c r="K47250" s="18"/>
    </row>
    <row r="47251">
      <c r="B47251" s="17" t="s">
        <v>477</v>
      </c>
      <c r="K47251" s="18"/>
    </row>
    <row r="47252">
      <c r="B47252" s="17" t="s">
        <v>477</v>
      </c>
      <c r="K47252" s="18"/>
    </row>
    <row r="47253">
      <c r="B47253" s="17" t="s">
        <v>477</v>
      </c>
      <c r="K47253" s="18"/>
    </row>
    <row r="47254">
      <c r="B47254" s="17" t="s">
        <v>477</v>
      </c>
      <c r="K47254" s="18"/>
    </row>
    <row r="47255">
      <c r="B47255" s="17" t="s">
        <v>477</v>
      </c>
      <c r="K47255" s="18"/>
    </row>
    <row r="47256">
      <c r="B47256" s="17" t="s">
        <v>477</v>
      </c>
      <c r="K47256" s="18"/>
    </row>
    <row r="47257">
      <c r="B47257" s="17" t="s">
        <v>477</v>
      </c>
      <c r="K47257" s="18"/>
    </row>
    <row r="47258">
      <c r="B47258" s="17" t="s">
        <v>477</v>
      </c>
      <c r="K47258" s="18"/>
    </row>
    <row r="47259">
      <c r="B47259" s="17" t="s">
        <v>477</v>
      </c>
      <c r="K47259" s="18"/>
    </row>
    <row r="47260">
      <c r="B47260" s="17" t="s">
        <v>477</v>
      </c>
      <c r="K47260" s="18"/>
    </row>
    <row r="47261">
      <c r="B47261" s="17" t="s">
        <v>477</v>
      </c>
      <c r="K47261" s="18"/>
    </row>
    <row r="47262">
      <c r="B47262" s="17" t="s">
        <v>477</v>
      </c>
      <c r="K47262" s="18"/>
    </row>
    <row r="47263">
      <c r="B47263" s="17" t="s">
        <v>477</v>
      </c>
      <c r="K47263" s="18"/>
    </row>
    <row r="47264">
      <c r="B47264" s="17" t="s">
        <v>477</v>
      </c>
      <c r="K47264" s="18"/>
    </row>
    <row r="47265">
      <c r="B47265" s="17" t="s">
        <v>477</v>
      </c>
      <c r="K47265" s="18"/>
    </row>
    <row r="47266">
      <c r="B47266" s="17" t="s">
        <v>477</v>
      </c>
      <c r="K47266" s="18"/>
    </row>
    <row r="47267">
      <c r="B47267" s="17" t="s">
        <v>477</v>
      </c>
      <c r="K47267" s="18"/>
    </row>
    <row r="47268">
      <c r="B47268" s="17" t="s">
        <v>477</v>
      </c>
      <c r="K47268" s="18"/>
    </row>
    <row r="47269">
      <c r="B47269" s="17" t="s">
        <v>477</v>
      </c>
      <c r="K47269" s="18"/>
    </row>
    <row r="47270">
      <c r="B47270" s="17" t="s">
        <v>477</v>
      </c>
      <c r="K47270" s="18"/>
    </row>
    <row r="47271">
      <c r="B47271" s="17" t="s">
        <v>477</v>
      </c>
      <c r="K47271" s="18"/>
    </row>
    <row r="47272">
      <c r="B47272" s="17" t="s">
        <v>477</v>
      </c>
      <c r="K47272" s="18"/>
    </row>
    <row r="47273">
      <c r="B47273" s="17" t="s">
        <v>477</v>
      </c>
      <c r="K47273" s="18"/>
    </row>
    <row r="47274">
      <c r="B47274" s="17" t="s">
        <v>477</v>
      </c>
      <c r="K47274" s="18"/>
    </row>
    <row r="47275">
      <c r="B47275" s="17" t="s">
        <v>477</v>
      </c>
      <c r="K47275" s="18"/>
    </row>
    <row r="47276">
      <c r="B47276" s="17" t="s">
        <v>477</v>
      </c>
      <c r="K47276" s="18"/>
    </row>
    <row r="47277">
      <c r="B47277" s="17" t="s">
        <v>477</v>
      </c>
      <c r="K47277" s="18"/>
    </row>
    <row r="47278">
      <c r="B47278" s="17" t="s">
        <v>477</v>
      </c>
      <c r="K47278" s="18"/>
    </row>
    <row r="47279">
      <c r="B47279" s="17" t="s">
        <v>477</v>
      </c>
      <c r="K47279" s="18"/>
    </row>
    <row r="47280">
      <c r="B47280" s="17" t="s">
        <v>477</v>
      </c>
      <c r="K47280" s="18"/>
    </row>
    <row r="47281">
      <c r="B47281" s="17" t="s">
        <v>477</v>
      </c>
      <c r="K47281" s="18"/>
    </row>
    <row r="47282">
      <c r="B47282" s="17" t="s">
        <v>477</v>
      </c>
      <c r="K47282" s="18"/>
    </row>
    <row r="47283">
      <c r="B47283" s="17" t="s">
        <v>477</v>
      </c>
      <c r="K47283" s="18"/>
    </row>
    <row r="47284">
      <c r="B47284" s="17" t="s">
        <v>477</v>
      </c>
      <c r="K47284" s="18"/>
    </row>
    <row r="47285">
      <c r="B47285" s="17" t="s">
        <v>477</v>
      </c>
      <c r="K47285" s="18"/>
    </row>
    <row r="47286">
      <c r="B47286" s="17" t="s">
        <v>477</v>
      </c>
      <c r="K47286" s="18"/>
    </row>
    <row r="47287">
      <c r="B47287" s="17" t="s">
        <v>477</v>
      </c>
      <c r="K47287" s="18"/>
    </row>
    <row r="47288">
      <c r="B47288" s="17" t="s">
        <v>477</v>
      </c>
      <c r="K47288" s="18"/>
    </row>
    <row r="47289">
      <c r="B47289" s="17" t="s">
        <v>477</v>
      </c>
      <c r="K47289" s="18"/>
    </row>
    <row r="47290">
      <c r="B47290" s="17" t="s">
        <v>477</v>
      </c>
      <c r="K47290" s="18"/>
    </row>
    <row r="47291">
      <c r="B47291" s="17" t="s">
        <v>477</v>
      </c>
      <c r="K47291" s="18"/>
    </row>
    <row r="47292">
      <c r="B47292" s="17" t="s">
        <v>477</v>
      </c>
      <c r="K47292" s="18"/>
    </row>
    <row r="47293">
      <c r="B47293" s="17" t="s">
        <v>477</v>
      </c>
      <c r="K47293" s="18"/>
    </row>
    <row r="47294">
      <c r="B47294" s="17" t="s">
        <v>477</v>
      </c>
      <c r="K47294" s="18"/>
    </row>
    <row r="47295">
      <c r="B47295" s="17" t="s">
        <v>477</v>
      </c>
      <c r="K47295" s="18"/>
    </row>
    <row r="47296">
      <c r="B47296" s="17" t="s">
        <v>477</v>
      </c>
      <c r="K47296" s="18"/>
    </row>
    <row r="47297">
      <c r="B47297" s="17" t="s">
        <v>477</v>
      </c>
      <c r="K47297" s="18"/>
    </row>
    <row r="47298">
      <c r="B47298" s="17" t="s">
        <v>477</v>
      </c>
      <c r="K47298" s="18"/>
    </row>
    <row r="47299">
      <c r="B47299" s="17" t="s">
        <v>477</v>
      </c>
      <c r="K47299" s="18"/>
    </row>
    <row r="47300">
      <c r="B47300" s="17" t="s">
        <v>477</v>
      </c>
      <c r="K47300" s="18"/>
    </row>
    <row r="47301">
      <c r="B47301" s="17" t="s">
        <v>477</v>
      </c>
      <c r="K47301" s="18"/>
    </row>
    <row r="47302">
      <c r="B47302" s="17" t="s">
        <v>477</v>
      </c>
      <c r="K47302" s="18"/>
    </row>
    <row r="47303">
      <c r="B47303" s="17" t="s">
        <v>477</v>
      </c>
      <c r="K47303" s="18"/>
    </row>
    <row r="47304">
      <c r="B47304" s="17" t="s">
        <v>477</v>
      </c>
      <c r="K47304" s="18"/>
    </row>
    <row r="47305">
      <c r="B47305" s="17" t="s">
        <v>477</v>
      </c>
      <c r="K47305" s="18"/>
    </row>
    <row r="47306">
      <c r="B47306" s="17" t="s">
        <v>477</v>
      </c>
      <c r="K47306" s="18"/>
    </row>
    <row r="47307">
      <c r="B47307" s="17" t="s">
        <v>477</v>
      </c>
      <c r="K47307" s="18"/>
    </row>
    <row r="47308">
      <c r="B47308" s="17" t="s">
        <v>477</v>
      </c>
      <c r="K47308" s="18"/>
    </row>
    <row r="47309">
      <c r="B47309" s="17" t="s">
        <v>477</v>
      </c>
      <c r="K47309" s="18"/>
    </row>
    <row r="47310">
      <c r="B47310" s="17" t="s">
        <v>477</v>
      </c>
      <c r="K47310" s="18"/>
    </row>
    <row r="47311">
      <c r="B47311" s="17" t="s">
        <v>477</v>
      </c>
      <c r="K47311" s="18"/>
    </row>
    <row r="47312">
      <c r="B47312" s="17" t="s">
        <v>477</v>
      </c>
      <c r="K47312" s="18"/>
    </row>
    <row r="47313">
      <c r="B47313" s="17" t="s">
        <v>477</v>
      </c>
      <c r="K47313" s="18"/>
    </row>
    <row r="47314">
      <c r="B47314" s="17" t="s">
        <v>477</v>
      </c>
      <c r="K47314" s="18"/>
    </row>
    <row r="47315">
      <c r="B47315" s="17" t="s">
        <v>477</v>
      </c>
      <c r="K47315" s="18"/>
    </row>
    <row r="47316">
      <c r="B47316" s="17" t="s">
        <v>477</v>
      </c>
      <c r="K47316" s="18"/>
    </row>
    <row r="47317">
      <c r="B47317" s="17" t="s">
        <v>477</v>
      </c>
      <c r="K47317" s="18"/>
    </row>
    <row r="47318">
      <c r="B47318" s="17" t="s">
        <v>477</v>
      </c>
      <c r="K47318" s="18"/>
    </row>
    <row r="47319">
      <c r="B47319" s="17" t="s">
        <v>477</v>
      </c>
      <c r="K47319" s="18"/>
    </row>
    <row r="47320">
      <c r="B47320" s="17" t="s">
        <v>477</v>
      </c>
      <c r="K47320" s="18"/>
    </row>
    <row r="47321">
      <c r="B47321" s="17" t="s">
        <v>477</v>
      </c>
      <c r="K47321" s="18"/>
    </row>
    <row r="47322">
      <c r="B47322" s="17" t="s">
        <v>477</v>
      </c>
      <c r="K47322" s="18"/>
    </row>
    <row r="47323">
      <c r="B47323" s="17" t="s">
        <v>477</v>
      </c>
      <c r="K47323" s="18"/>
    </row>
    <row r="47324">
      <c r="B47324" s="17" t="s">
        <v>477</v>
      </c>
      <c r="K47324" s="18"/>
    </row>
    <row r="47325">
      <c r="B47325" s="17" t="s">
        <v>477</v>
      </c>
      <c r="K47325" s="18"/>
    </row>
    <row r="47326">
      <c r="B47326" s="17" t="s">
        <v>477</v>
      </c>
      <c r="K47326" s="18"/>
    </row>
    <row r="47327">
      <c r="B47327" s="17" t="s">
        <v>477</v>
      </c>
      <c r="K47327" s="18"/>
    </row>
    <row r="47328">
      <c r="B47328" s="17" t="s">
        <v>477</v>
      </c>
      <c r="K47328" s="18"/>
    </row>
    <row r="47329">
      <c r="B47329" s="17" t="s">
        <v>477</v>
      </c>
      <c r="K47329" s="18"/>
    </row>
    <row r="47330">
      <c r="B47330" s="17" t="s">
        <v>477</v>
      </c>
      <c r="K47330" s="18"/>
    </row>
    <row r="47331">
      <c r="B47331" s="17" t="s">
        <v>477</v>
      </c>
      <c r="K47331" s="18"/>
    </row>
    <row r="47332">
      <c r="B47332" s="17" t="s">
        <v>477</v>
      </c>
      <c r="K47332" s="18"/>
    </row>
    <row r="47333">
      <c r="B47333" s="17" t="s">
        <v>477</v>
      </c>
      <c r="K47333" s="18"/>
    </row>
    <row r="47334">
      <c r="B47334" s="17" t="s">
        <v>477</v>
      </c>
      <c r="K47334" s="18"/>
    </row>
    <row r="47335">
      <c r="B47335" s="17" t="s">
        <v>477</v>
      </c>
      <c r="K47335" s="18"/>
    </row>
    <row r="47336">
      <c r="B47336" s="17" t="s">
        <v>477</v>
      </c>
      <c r="K47336" s="18"/>
    </row>
    <row r="47337">
      <c r="B47337" s="17" t="s">
        <v>477</v>
      </c>
      <c r="K47337" s="18"/>
    </row>
    <row r="47338">
      <c r="B47338" s="17" t="s">
        <v>477</v>
      </c>
      <c r="K47338" s="18"/>
    </row>
    <row r="47339">
      <c r="B47339" s="17" t="s">
        <v>477</v>
      </c>
      <c r="K47339" s="18"/>
    </row>
    <row r="47340">
      <c r="B47340" s="17" t="s">
        <v>477</v>
      </c>
      <c r="K47340" s="18"/>
    </row>
    <row r="47341">
      <c r="B47341" s="17" t="s">
        <v>477</v>
      </c>
      <c r="K47341" s="18"/>
    </row>
    <row r="47342">
      <c r="B47342" s="17" t="s">
        <v>477</v>
      </c>
      <c r="K47342" s="18"/>
    </row>
    <row r="47343">
      <c r="B47343" s="17" t="s">
        <v>477</v>
      </c>
      <c r="K47343" s="18"/>
    </row>
    <row r="47344">
      <c r="B47344" s="17" t="s">
        <v>477</v>
      </c>
      <c r="K47344" s="18"/>
    </row>
    <row r="47345">
      <c r="B47345" s="17" t="s">
        <v>477</v>
      </c>
      <c r="K47345" s="18"/>
    </row>
    <row r="47346">
      <c r="B47346" s="17" t="s">
        <v>477</v>
      </c>
      <c r="K47346" s="18"/>
    </row>
    <row r="47347">
      <c r="B47347" s="17" t="s">
        <v>477</v>
      </c>
      <c r="K47347" s="18"/>
    </row>
    <row r="47348">
      <c r="B47348" s="17" t="s">
        <v>477</v>
      </c>
      <c r="K47348" s="18"/>
    </row>
    <row r="47349">
      <c r="B47349" s="17" t="s">
        <v>477</v>
      </c>
      <c r="K47349" s="18"/>
    </row>
    <row r="47350">
      <c r="B47350" s="17" t="s">
        <v>477</v>
      </c>
      <c r="K47350" s="18"/>
    </row>
    <row r="47351">
      <c r="B47351" s="17" t="s">
        <v>477</v>
      </c>
      <c r="K47351" s="18"/>
    </row>
    <row r="47352">
      <c r="B47352" s="17" t="s">
        <v>477</v>
      </c>
      <c r="K47352" s="18"/>
    </row>
    <row r="47353">
      <c r="B47353" s="17" t="s">
        <v>477</v>
      </c>
      <c r="K47353" s="18"/>
    </row>
    <row r="47354">
      <c r="B47354" s="17" t="s">
        <v>477</v>
      </c>
      <c r="K47354" s="18"/>
    </row>
    <row r="47355">
      <c r="B47355" s="17" t="s">
        <v>477</v>
      </c>
      <c r="K47355" s="18"/>
    </row>
    <row r="47356">
      <c r="B47356" s="17" t="s">
        <v>477</v>
      </c>
      <c r="K47356" s="18"/>
    </row>
    <row r="47357">
      <c r="B47357" s="17" t="s">
        <v>477</v>
      </c>
      <c r="K47357" s="18"/>
    </row>
    <row r="47358">
      <c r="B47358" s="17" t="s">
        <v>477</v>
      </c>
      <c r="K47358" s="18"/>
    </row>
    <row r="47359">
      <c r="B47359" s="17" t="s">
        <v>477</v>
      </c>
      <c r="K47359" s="18"/>
    </row>
    <row r="47360">
      <c r="B47360" s="17" t="s">
        <v>477</v>
      </c>
      <c r="K47360" s="18"/>
    </row>
    <row r="47361">
      <c r="B47361" s="17" t="s">
        <v>477</v>
      </c>
      <c r="K47361" s="18"/>
    </row>
    <row r="47362">
      <c r="B47362" s="17" t="s">
        <v>477</v>
      </c>
      <c r="K47362" s="18"/>
    </row>
    <row r="47363">
      <c r="B47363" s="17" t="s">
        <v>477</v>
      </c>
      <c r="K47363" s="18"/>
    </row>
    <row r="47364">
      <c r="B47364" s="17" t="s">
        <v>477</v>
      </c>
      <c r="K47364" s="18"/>
    </row>
    <row r="47365">
      <c r="B47365" s="17" t="s">
        <v>477</v>
      </c>
      <c r="K47365" s="18"/>
    </row>
    <row r="47366">
      <c r="B47366" s="17" t="s">
        <v>477</v>
      </c>
      <c r="K47366" s="18"/>
    </row>
    <row r="47367">
      <c r="B47367" s="17" t="s">
        <v>477</v>
      </c>
      <c r="K47367" s="18"/>
    </row>
    <row r="47368">
      <c r="B47368" s="17" t="s">
        <v>477</v>
      </c>
      <c r="K47368" s="18"/>
    </row>
    <row r="47369">
      <c r="B47369" s="17" t="s">
        <v>477</v>
      </c>
      <c r="K47369" s="18"/>
    </row>
    <row r="47370">
      <c r="B47370" s="17" t="s">
        <v>477</v>
      </c>
      <c r="K47370" s="18"/>
    </row>
    <row r="47371">
      <c r="B47371" s="17" t="s">
        <v>477</v>
      </c>
      <c r="K47371" s="18"/>
    </row>
    <row r="47372">
      <c r="B47372" s="17" t="s">
        <v>477</v>
      </c>
      <c r="K47372" s="18"/>
    </row>
    <row r="47373">
      <c r="B47373" s="17" t="s">
        <v>477</v>
      </c>
      <c r="K47373" s="18"/>
    </row>
    <row r="47374">
      <c r="B47374" s="17" t="s">
        <v>477</v>
      </c>
      <c r="K47374" s="18"/>
    </row>
    <row r="47375">
      <c r="B47375" s="17" t="s">
        <v>477</v>
      </c>
      <c r="K47375" s="18"/>
    </row>
    <row r="47376">
      <c r="B47376" s="17" t="s">
        <v>477</v>
      </c>
      <c r="K47376" s="18"/>
    </row>
    <row r="47377">
      <c r="B47377" s="17" t="s">
        <v>477</v>
      </c>
      <c r="K47377" s="18"/>
    </row>
    <row r="47378">
      <c r="B47378" s="17" t="s">
        <v>477</v>
      </c>
      <c r="K47378" s="18"/>
    </row>
    <row r="47379">
      <c r="B47379" s="17" t="s">
        <v>477</v>
      </c>
      <c r="K47379" s="18"/>
    </row>
    <row r="47380">
      <c r="B47380" s="17" t="s">
        <v>477</v>
      </c>
      <c r="K47380" s="18"/>
    </row>
    <row r="47381">
      <c r="B47381" s="17" t="s">
        <v>477</v>
      </c>
      <c r="K47381" s="18"/>
    </row>
    <row r="47382">
      <c r="B47382" s="17" t="s">
        <v>477</v>
      </c>
      <c r="K47382" s="18"/>
    </row>
    <row r="47383">
      <c r="B47383" s="17" t="s">
        <v>477</v>
      </c>
      <c r="K47383" s="18"/>
    </row>
    <row r="47384">
      <c r="B47384" s="17" t="s">
        <v>477</v>
      </c>
      <c r="K47384" s="18"/>
    </row>
    <row r="47385">
      <c r="B47385" s="17" t="s">
        <v>477</v>
      </c>
      <c r="K47385" s="18"/>
    </row>
    <row r="47386">
      <c r="B47386" s="17" t="s">
        <v>477</v>
      </c>
      <c r="K47386" s="18"/>
    </row>
    <row r="47387">
      <c r="B47387" s="17" t="s">
        <v>477</v>
      </c>
      <c r="K47387" s="18"/>
    </row>
    <row r="47388">
      <c r="B47388" s="17" t="s">
        <v>477</v>
      </c>
      <c r="K47388" s="18"/>
    </row>
    <row r="47389">
      <c r="B47389" s="17" t="s">
        <v>477</v>
      </c>
      <c r="K47389" s="18"/>
    </row>
    <row r="47390">
      <c r="B47390" s="17" t="s">
        <v>477</v>
      </c>
      <c r="K47390" s="18"/>
    </row>
    <row r="47391">
      <c r="B47391" s="17" t="s">
        <v>477</v>
      </c>
      <c r="K47391" s="18"/>
    </row>
    <row r="47392">
      <c r="B47392" s="17" t="s">
        <v>477</v>
      </c>
      <c r="K47392" s="18"/>
    </row>
    <row r="47393">
      <c r="B47393" s="17" t="s">
        <v>477</v>
      </c>
      <c r="K47393" s="18"/>
    </row>
    <row r="47394">
      <c r="B47394" s="17" t="s">
        <v>477</v>
      </c>
      <c r="K47394" s="18"/>
    </row>
    <row r="47395">
      <c r="B47395" s="17" t="s">
        <v>477</v>
      </c>
      <c r="K47395" s="18"/>
    </row>
    <row r="47396">
      <c r="B47396" s="17" t="s">
        <v>477</v>
      </c>
      <c r="K47396" s="18"/>
    </row>
    <row r="47397">
      <c r="B47397" s="17" t="s">
        <v>477</v>
      </c>
      <c r="K47397" s="18"/>
    </row>
    <row r="47398">
      <c r="B47398" s="17" t="s">
        <v>477</v>
      </c>
      <c r="K47398" s="18"/>
    </row>
    <row r="47399">
      <c r="B47399" s="17" t="s">
        <v>477</v>
      </c>
      <c r="K47399" s="18"/>
    </row>
    <row r="47400">
      <c r="B47400" s="17" t="s">
        <v>477</v>
      </c>
      <c r="K47400" s="18"/>
    </row>
    <row r="47401">
      <c r="B47401" s="17" t="s">
        <v>477</v>
      </c>
      <c r="K47401" s="18"/>
    </row>
    <row r="47402">
      <c r="B47402" s="17" t="s">
        <v>477</v>
      </c>
      <c r="K47402" s="18"/>
    </row>
    <row r="47403">
      <c r="B47403" s="17" t="s">
        <v>477</v>
      </c>
      <c r="K47403" s="18"/>
    </row>
    <row r="47404">
      <c r="B47404" s="17" t="s">
        <v>477</v>
      </c>
      <c r="K47404" s="18"/>
    </row>
    <row r="47405">
      <c r="B47405" s="17" t="s">
        <v>477</v>
      </c>
      <c r="K47405" s="18"/>
    </row>
    <row r="47406">
      <c r="B47406" s="17" t="s">
        <v>477</v>
      </c>
      <c r="K47406" s="18"/>
    </row>
    <row r="47407">
      <c r="B47407" s="17" t="s">
        <v>477</v>
      </c>
      <c r="K47407" s="18"/>
    </row>
    <row r="47408">
      <c r="B47408" s="17" t="s">
        <v>477</v>
      </c>
      <c r="K47408" s="18"/>
    </row>
    <row r="47409">
      <c r="B47409" s="17" t="s">
        <v>477</v>
      </c>
      <c r="K47409" s="18"/>
    </row>
    <row r="47410">
      <c r="B47410" s="17" t="s">
        <v>477</v>
      </c>
      <c r="K47410" s="18"/>
    </row>
    <row r="47411">
      <c r="B47411" s="17" t="s">
        <v>477</v>
      </c>
      <c r="K47411" s="18"/>
    </row>
    <row r="47412">
      <c r="B47412" s="17" t="s">
        <v>477</v>
      </c>
      <c r="K47412" s="18"/>
    </row>
    <row r="47413">
      <c r="B47413" s="17" t="s">
        <v>477</v>
      </c>
      <c r="K47413" s="18"/>
    </row>
    <row r="47414">
      <c r="B47414" s="17" t="s">
        <v>477</v>
      </c>
      <c r="K47414" s="18"/>
    </row>
    <row r="47415">
      <c r="B47415" s="17" t="s">
        <v>477</v>
      </c>
      <c r="K47415" s="18"/>
    </row>
    <row r="47416">
      <c r="B47416" s="17" t="s">
        <v>477</v>
      </c>
      <c r="K47416" s="18"/>
    </row>
    <row r="47417">
      <c r="B47417" s="17" t="s">
        <v>477</v>
      </c>
      <c r="K47417" s="18"/>
    </row>
    <row r="47418">
      <c r="B47418" s="17" t="s">
        <v>477</v>
      </c>
      <c r="K47418" s="18"/>
    </row>
    <row r="47419">
      <c r="B47419" s="17" t="s">
        <v>477</v>
      </c>
      <c r="K47419" s="18"/>
    </row>
    <row r="47420">
      <c r="B47420" s="17" t="s">
        <v>477</v>
      </c>
      <c r="K47420" s="18"/>
    </row>
    <row r="47421">
      <c r="B47421" s="17" t="s">
        <v>477</v>
      </c>
      <c r="K47421" s="18"/>
    </row>
    <row r="47422">
      <c r="B47422" s="17" t="s">
        <v>477</v>
      </c>
      <c r="K47422" s="18"/>
    </row>
    <row r="47423">
      <c r="B47423" s="17" t="s">
        <v>477</v>
      </c>
      <c r="K47423" s="18"/>
    </row>
    <row r="47424">
      <c r="B47424" s="17" t="s">
        <v>477</v>
      </c>
      <c r="K47424" s="18"/>
    </row>
    <row r="47425">
      <c r="B47425" s="17" t="s">
        <v>477</v>
      </c>
      <c r="K47425" s="18"/>
    </row>
    <row r="47426">
      <c r="B47426" s="17" t="s">
        <v>477</v>
      </c>
      <c r="K47426" s="18"/>
    </row>
    <row r="47427">
      <c r="B47427" s="17" t="s">
        <v>477</v>
      </c>
      <c r="K47427" s="18"/>
    </row>
    <row r="47428">
      <c r="B47428" s="17" t="s">
        <v>477</v>
      </c>
      <c r="K47428" s="18"/>
    </row>
    <row r="47429">
      <c r="B47429" s="17" t="s">
        <v>477</v>
      </c>
      <c r="K47429" s="18"/>
    </row>
    <row r="47430">
      <c r="B47430" s="17" t="s">
        <v>477</v>
      </c>
      <c r="K47430" s="18"/>
    </row>
    <row r="47431">
      <c r="B47431" s="17" t="s">
        <v>477</v>
      </c>
      <c r="K47431" s="18"/>
    </row>
    <row r="47432">
      <c r="B47432" s="17" t="s">
        <v>477</v>
      </c>
      <c r="K47432" s="18"/>
    </row>
    <row r="47433">
      <c r="B47433" s="17" t="s">
        <v>477</v>
      </c>
      <c r="K47433" s="18"/>
    </row>
    <row r="47434">
      <c r="B47434" s="17" t="s">
        <v>477</v>
      </c>
      <c r="K47434" s="18"/>
    </row>
    <row r="47435">
      <c r="B47435" s="17" t="s">
        <v>477</v>
      </c>
      <c r="K47435" s="18"/>
    </row>
    <row r="47436">
      <c r="B47436" s="17" t="s">
        <v>477</v>
      </c>
      <c r="K47436" s="18"/>
    </row>
    <row r="47437">
      <c r="B47437" s="17" t="s">
        <v>477</v>
      </c>
      <c r="K47437" s="18"/>
    </row>
    <row r="47438">
      <c r="B47438" s="17" t="s">
        <v>477</v>
      </c>
      <c r="K47438" s="18"/>
    </row>
    <row r="47439">
      <c r="B47439" s="17" t="s">
        <v>477</v>
      </c>
      <c r="K47439" s="18"/>
    </row>
    <row r="47440">
      <c r="B47440" s="17" t="s">
        <v>477</v>
      </c>
      <c r="K47440" s="18"/>
    </row>
    <row r="47441">
      <c r="B47441" s="17" t="s">
        <v>477</v>
      </c>
      <c r="K47441" s="18"/>
    </row>
    <row r="47442">
      <c r="B47442" s="17" t="s">
        <v>477</v>
      </c>
      <c r="K47442" s="18"/>
    </row>
    <row r="47443">
      <c r="B47443" s="17" t="s">
        <v>477</v>
      </c>
      <c r="K47443" s="18"/>
    </row>
    <row r="47444">
      <c r="B47444" s="17" t="s">
        <v>477</v>
      </c>
      <c r="K47444" s="18"/>
    </row>
    <row r="47445">
      <c r="B47445" s="17" t="s">
        <v>477</v>
      </c>
      <c r="K47445" s="18"/>
    </row>
    <row r="47446">
      <c r="B47446" s="17" t="s">
        <v>477</v>
      </c>
      <c r="K47446" s="18"/>
    </row>
    <row r="47447">
      <c r="B47447" s="17" t="s">
        <v>477</v>
      </c>
      <c r="K47447" s="18"/>
    </row>
    <row r="47448">
      <c r="B47448" s="17" t="s">
        <v>477</v>
      </c>
      <c r="K47448" s="18"/>
    </row>
    <row r="47449">
      <c r="B47449" s="17" t="s">
        <v>477</v>
      </c>
      <c r="K47449" s="18"/>
    </row>
    <row r="47450">
      <c r="B47450" s="17" t="s">
        <v>477</v>
      </c>
      <c r="K47450" s="18"/>
    </row>
    <row r="47451">
      <c r="B47451" s="17" t="s">
        <v>477</v>
      </c>
      <c r="K47451" s="18"/>
    </row>
    <row r="47452">
      <c r="B47452" s="17" t="s">
        <v>477</v>
      </c>
      <c r="K47452" s="18"/>
    </row>
    <row r="47453">
      <c r="B47453" s="17" t="s">
        <v>477</v>
      </c>
      <c r="K47453" s="18"/>
    </row>
    <row r="47454">
      <c r="B47454" s="17" t="s">
        <v>477</v>
      </c>
      <c r="K47454" s="18"/>
    </row>
    <row r="47455">
      <c r="B47455" s="17" t="s">
        <v>477</v>
      </c>
      <c r="K47455" s="18"/>
    </row>
    <row r="47456">
      <c r="B47456" s="17" t="s">
        <v>477</v>
      </c>
      <c r="K47456" s="18"/>
    </row>
    <row r="47457">
      <c r="B47457" s="17" t="s">
        <v>477</v>
      </c>
      <c r="K47457" s="18"/>
    </row>
    <row r="47458">
      <c r="B47458" s="17" t="s">
        <v>477</v>
      </c>
      <c r="K47458" s="18"/>
    </row>
    <row r="47459">
      <c r="B47459" s="17" t="s">
        <v>477</v>
      </c>
      <c r="K47459" s="18"/>
    </row>
    <row r="47460">
      <c r="B47460" s="17" t="s">
        <v>477</v>
      </c>
      <c r="K47460" s="18"/>
    </row>
    <row r="47461">
      <c r="B47461" s="17" t="s">
        <v>477</v>
      </c>
      <c r="K47461" s="18"/>
    </row>
    <row r="47462">
      <c r="B47462" s="17" t="s">
        <v>477</v>
      </c>
      <c r="K47462" s="18"/>
    </row>
    <row r="47463">
      <c r="B47463" s="17" t="s">
        <v>477</v>
      </c>
      <c r="K47463" s="18"/>
    </row>
    <row r="47464">
      <c r="B47464" s="17" t="s">
        <v>477</v>
      </c>
      <c r="K47464" s="18"/>
    </row>
    <row r="47465">
      <c r="B47465" s="17" t="s">
        <v>477</v>
      </c>
      <c r="K47465" s="18"/>
    </row>
    <row r="47466">
      <c r="B47466" s="17" t="s">
        <v>477</v>
      </c>
      <c r="K47466" s="18"/>
    </row>
    <row r="47467">
      <c r="B47467" s="17" t="s">
        <v>477</v>
      </c>
      <c r="K47467" s="18"/>
    </row>
    <row r="47468">
      <c r="B47468" s="17" t="s">
        <v>477</v>
      </c>
      <c r="K47468" s="18"/>
    </row>
    <row r="47469">
      <c r="B47469" s="17" t="s">
        <v>477</v>
      </c>
      <c r="K47469" s="18"/>
    </row>
    <row r="47470">
      <c r="B47470" s="17" t="s">
        <v>477</v>
      </c>
      <c r="K47470" s="18"/>
    </row>
    <row r="47471">
      <c r="B47471" s="17" t="s">
        <v>477</v>
      </c>
      <c r="K47471" s="18"/>
    </row>
    <row r="47472">
      <c r="B47472" s="17" t="s">
        <v>477</v>
      </c>
      <c r="K47472" s="18"/>
    </row>
    <row r="47473">
      <c r="B47473" s="17" t="s">
        <v>477</v>
      </c>
      <c r="K47473" s="18"/>
    </row>
    <row r="47474">
      <c r="B47474" s="17" t="s">
        <v>477</v>
      </c>
      <c r="K47474" s="18"/>
    </row>
    <row r="47475">
      <c r="B47475" s="17" t="s">
        <v>477</v>
      </c>
      <c r="K47475" s="18"/>
    </row>
    <row r="47476">
      <c r="B47476" s="17" t="s">
        <v>477</v>
      </c>
      <c r="K47476" s="18"/>
    </row>
    <row r="47477">
      <c r="B47477" s="17" t="s">
        <v>477</v>
      </c>
      <c r="K47477" s="18"/>
    </row>
    <row r="47478">
      <c r="B47478" s="17" t="s">
        <v>477</v>
      </c>
      <c r="K47478" s="18"/>
    </row>
    <row r="47479">
      <c r="B47479" s="17" t="s">
        <v>477</v>
      </c>
      <c r="K47479" s="18"/>
    </row>
    <row r="47480">
      <c r="B47480" s="17" t="s">
        <v>477</v>
      </c>
      <c r="K47480" s="18"/>
    </row>
    <row r="47481">
      <c r="B47481" s="17" t="s">
        <v>477</v>
      </c>
      <c r="K47481" s="18"/>
    </row>
    <row r="47482">
      <c r="B47482" s="17" t="s">
        <v>477</v>
      </c>
      <c r="K47482" s="18"/>
    </row>
    <row r="47483">
      <c r="B47483" s="17" t="s">
        <v>477</v>
      </c>
      <c r="K47483" s="18"/>
    </row>
    <row r="47484">
      <c r="B47484" s="17" t="s">
        <v>477</v>
      </c>
      <c r="K47484" s="18"/>
    </row>
    <row r="47485">
      <c r="B47485" s="17" t="s">
        <v>477</v>
      </c>
      <c r="K47485" s="18"/>
    </row>
    <row r="47486">
      <c r="B47486" s="17" t="s">
        <v>477</v>
      </c>
      <c r="K47486" s="18"/>
    </row>
    <row r="47487">
      <c r="B47487" s="17" t="s">
        <v>477</v>
      </c>
      <c r="K47487" s="18"/>
    </row>
    <row r="47488">
      <c r="B47488" s="17" t="s">
        <v>477</v>
      </c>
      <c r="K47488" s="18"/>
    </row>
    <row r="47489">
      <c r="B47489" s="17" t="s">
        <v>477</v>
      </c>
      <c r="K47489" s="18"/>
    </row>
    <row r="47490">
      <c r="B47490" s="17" t="s">
        <v>477</v>
      </c>
      <c r="K47490" s="18"/>
    </row>
    <row r="47491">
      <c r="B47491" s="17" t="s">
        <v>477</v>
      </c>
      <c r="K47491" s="18"/>
    </row>
    <row r="47492">
      <c r="B47492" s="17" t="s">
        <v>477</v>
      </c>
      <c r="K47492" s="18"/>
    </row>
    <row r="47493">
      <c r="B47493" s="17" t="s">
        <v>477</v>
      </c>
      <c r="K47493" s="18"/>
    </row>
    <row r="47494">
      <c r="B47494" s="17" t="s">
        <v>477</v>
      </c>
      <c r="K47494" s="18"/>
    </row>
    <row r="47495">
      <c r="B47495" s="17" t="s">
        <v>477</v>
      </c>
      <c r="K47495" s="18"/>
    </row>
    <row r="47496">
      <c r="B47496" s="17" t="s">
        <v>477</v>
      </c>
      <c r="K47496" s="18"/>
    </row>
    <row r="47497">
      <c r="B47497" s="17" t="s">
        <v>477</v>
      </c>
      <c r="K47497" s="18"/>
    </row>
    <row r="47498">
      <c r="B47498" s="17" t="s">
        <v>477</v>
      </c>
      <c r="K47498" s="18"/>
    </row>
    <row r="47499">
      <c r="B47499" s="17" t="s">
        <v>477</v>
      </c>
      <c r="K47499" s="18"/>
    </row>
    <row r="47500">
      <c r="B47500" s="17" t="s">
        <v>477</v>
      </c>
      <c r="K47500" s="18"/>
    </row>
    <row r="47501">
      <c r="B47501" s="17" t="s">
        <v>477</v>
      </c>
      <c r="K47501" s="18"/>
    </row>
    <row r="47502">
      <c r="B47502" s="17" t="s">
        <v>477</v>
      </c>
      <c r="K47502" s="18"/>
    </row>
    <row r="47503">
      <c r="B47503" s="17" t="s">
        <v>477</v>
      </c>
      <c r="K47503" s="18"/>
    </row>
    <row r="47504">
      <c r="B47504" s="17" t="s">
        <v>477</v>
      </c>
      <c r="K47504" s="18"/>
    </row>
    <row r="47505">
      <c r="B47505" s="17" t="s">
        <v>477</v>
      </c>
      <c r="K47505" s="18"/>
    </row>
    <row r="47506">
      <c r="B47506" s="17" t="s">
        <v>477</v>
      </c>
      <c r="K47506" s="18"/>
    </row>
    <row r="47507">
      <c r="B47507" s="17" t="s">
        <v>477</v>
      </c>
      <c r="K47507" s="18"/>
    </row>
    <row r="47508">
      <c r="B47508" s="17" t="s">
        <v>477</v>
      </c>
      <c r="K47508" s="18"/>
    </row>
    <row r="47509">
      <c r="B47509" s="17" t="s">
        <v>477</v>
      </c>
      <c r="K47509" s="18"/>
    </row>
    <row r="47510">
      <c r="B47510" s="17" t="s">
        <v>477</v>
      </c>
      <c r="K47510" s="18"/>
    </row>
    <row r="47511">
      <c r="B47511" s="17" t="s">
        <v>477</v>
      </c>
      <c r="K47511" s="18"/>
    </row>
    <row r="47512">
      <c r="B47512" s="17" t="s">
        <v>477</v>
      </c>
      <c r="K47512" s="18"/>
    </row>
    <row r="47513">
      <c r="B47513" s="17" t="s">
        <v>477</v>
      </c>
      <c r="K47513" s="18"/>
    </row>
    <row r="47514">
      <c r="B47514" s="17" t="s">
        <v>477</v>
      </c>
      <c r="K47514" s="18"/>
    </row>
    <row r="47515">
      <c r="B47515" s="17" t="s">
        <v>477</v>
      </c>
      <c r="K47515" s="18"/>
    </row>
    <row r="47516">
      <c r="B47516" s="17" t="s">
        <v>477</v>
      </c>
      <c r="K47516" s="18"/>
    </row>
    <row r="47517">
      <c r="B47517" s="17" t="s">
        <v>477</v>
      </c>
      <c r="K47517" s="18"/>
    </row>
    <row r="47518">
      <c r="B47518" s="17" t="s">
        <v>477</v>
      </c>
      <c r="K47518" s="18"/>
    </row>
    <row r="47519">
      <c r="B47519" s="17" t="s">
        <v>477</v>
      </c>
      <c r="K47519" s="18"/>
    </row>
    <row r="47520">
      <c r="B47520" s="17" t="s">
        <v>477</v>
      </c>
      <c r="K47520" s="18"/>
    </row>
    <row r="47521">
      <c r="B47521" s="17" t="s">
        <v>477</v>
      </c>
      <c r="K47521" s="18"/>
    </row>
    <row r="47522">
      <c r="B47522" s="17" t="s">
        <v>477</v>
      </c>
      <c r="K47522" s="18"/>
    </row>
    <row r="47523">
      <c r="B47523" s="17" t="s">
        <v>477</v>
      </c>
      <c r="K47523" s="18"/>
    </row>
    <row r="47524">
      <c r="B47524" s="17" t="s">
        <v>477</v>
      </c>
      <c r="K47524" s="18"/>
    </row>
    <row r="47525">
      <c r="B47525" s="17" t="s">
        <v>477</v>
      </c>
      <c r="K47525" s="18"/>
    </row>
    <row r="47526">
      <c r="B47526" s="17" t="s">
        <v>477</v>
      </c>
      <c r="K47526" s="18"/>
    </row>
    <row r="47527">
      <c r="B47527" s="17" t="s">
        <v>477</v>
      </c>
      <c r="K47527" s="18"/>
    </row>
    <row r="47528">
      <c r="B47528" s="17" t="s">
        <v>477</v>
      </c>
      <c r="K47528" s="18"/>
    </row>
    <row r="47529">
      <c r="B47529" s="17" t="s">
        <v>477</v>
      </c>
      <c r="K47529" s="18"/>
    </row>
    <row r="47530">
      <c r="B47530" s="17" t="s">
        <v>477</v>
      </c>
      <c r="K47530" s="18"/>
    </row>
    <row r="47531">
      <c r="B47531" s="17" t="s">
        <v>477</v>
      </c>
      <c r="K47531" s="18"/>
    </row>
    <row r="47532">
      <c r="B47532" s="17" t="s">
        <v>477</v>
      </c>
      <c r="K47532" s="18"/>
    </row>
    <row r="47533">
      <c r="B47533" s="17" t="s">
        <v>477</v>
      </c>
      <c r="K47533" s="18"/>
    </row>
    <row r="47534">
      <c r="B47534" s="17" t="s">
        <v>477</v>
      </c>
      <c r="K47534" s="18"/>
    </row>
    <row r="47535">
      <c r="B47535" s="17" t="s">
        <v>477</v>
      </c>
      <c r="K47535" s="18"/>
    </row>
    <row r="47536">
      <c r="B47536" s="17" t="s">
        <v>477</v>
      </c>
      <c r="K47536" s="18"/>
    </row>
    <row r="47537">
      <c r="B47537" s="17" t="s">
        <v>477</v>
      </c>
      <c r="K47537" s="18"/>
    </row>
    <row r="47538">
      <c r="B47538" s="17" t="s">
        <v>477</v>
      </c>
      <c r="K47538" s="18"/>
    </row>
    <row r="47539">
      <c r="B47539" s="17" t="s">
        <v>477</v>
      </c>
      <c r="K47539" s="18"/>
    </row>
    <row r="47540">
      <c r="B47540" s="17" t="s">
        <v>477</v>
      </c>
      <c r="K47540" s="18"/>
    </row>
    <row r="47541">
      <c r="B47541" s="17" t="s">
        <v>477</v>
      </c>
      <c r="K47541" s="18"/>
    </row>
    <row r="47542">
      <c r="B47542" s="17" t="s">
        <v>477</v>
      </c>
      <c r="K47542" s="18"/>
    </row>
    <row r="47543">
      <c r="B47543" s="17" t="s">
        <v>477</v>
      </c>
      <c r="K47543" s="18"/>
    </row>
    <row r="47544">
      <c r="B47544" s="17" t="s">
        <v>477</v>
      </c>
      <c r="K47544" s="18"/>
    </row>
    <row r="47545">
      <c r="B47545" s="17" t="s">
        <v>477</v>
      </c>
      <c r="K47545" s="18"/>
    </row>
    <row r="47546">
      <c r="B47546" s="17" t="s">
        <v>477</v>
      </c>
      <c r="K47546" s="18"/>
    </row>
    <row r="47547">
      <c r="B47547" s="17" t="s">
        <v>477</v>
      </c>
      <c r="K47547" s="18"/>
    </row>
    <row r="47548">
      <c r="B47548" s="17" t="s">
        <v>477</v>
      </c>
      <c r="K47548" s="18"/>
    </row>
    <row r="47549">
      <c r="B47549" s="17" t="s">
        <v>477</v>
      </c>
      <c r="K47549" s="18"/>
    </row>
    <row r="47550">
      <c r="B47550" s="17" t="s">
        <v>477</v>
      </c>
      <c r="K47550" s="18"/>
    </row>
    <row r="47551">
      <c r="B47551" s="17" t="s">
        <v>477</v>
      </c>
      <c r="K47551" s="18"/>
    </row>
    <row r="47552">
      <c r="B47552" s="17" t="s">
        <v>477</v>
      </c>
      <c r="K47552" s="18"/>
    </row>
    <row r="47553">
      <c r="B47553" s="17" t="s">
        <v>477</v>
      </c>
      <c r="K47553" s="18"/>
    </row>
    <row r="47554">
      <c r="B47554" s="17" t="s">
        <v>477</v>
      </c>
      <c r="K47554" s="18"/>
    </row>
    <row r="47555">
      <c r="B47555" s="17" t="s">
        <v>477</v>
      </c>
      <c r="K47555" s="18"/>
    </row>
    <row r="47556">
      <c r="B47556" s="17" t="s">
        <v>477</v>
      </c>
      <c r="K47556" s="18"/>
    </row>
    <row r="47557">
      <c r="B47557" s="17" t="s">
        <v>477</v>
      </c>
      <c r="K47557" s="18"/>
    </row>
    <row r="47558">
      <c r="B47558" s="17" t="s">
        <v>477</v>
      </c>
      <c r="K47558" s="18"/>
    </row>
    <row r="47559">
      <c r="B47559" s="17" t="s">
        <v>477</v>
      </c>
      <c r="K47559" s="18"/>
    </row>
    <row r="47560">
      <c r="B47560" s="17" t="s">
        <v>477</v>
      </c>
      <c r="K47560" s="18"/>
    </row>
    <row r="47561">
      <c r="B47561" s="17" t="s">
        <v>477</v>
      </c>
      <c r="K47561" s="18"/>
    </row>
    <row r="47562">
      <c r="B47562" s="17" t="s">
        <v>477</v>
      </c>
      <c r="K47562" s="18"/>
    </row>
    <row r="47563">
      <c r="B47563" s="17" t="s">
        <v>477</v>
      </c>
      <c r="K47563" s="18"/>
    </row>
    <row r="47564">
      <c r="B47564" s="17" t="s">
        <v>477</v>
      </c>
      <c r="K47564" s="18"/>
    </row>
    <row r="47565">
      <c r="B47565" s="17" t="s">
        <v>477</v>
      </c>
      <c r="K47565" s="18"/>
    </row>
    <row r="47566">
      <c r="B47566" s="17" t="s">
        <v>477</v>
      </c>
      <c r="K47566" s="18"/>
    </row>
    <row r="47567">
      <c r="B47567" s="17" t="s">
        <v>477</v>
      </c>
      <c r="K47567" s="18"/>
    </row>
    <row r="47568">
      <c r="B47568" s="17" t="s">
        <v>477</v>
      </c>
      <c r="K47568" s="18"/>
    </row>
    <row r="47569">
      <c r="B47569" s="17" t="s">
        <v>477</v>
      </c>
      <c r="K47569" s="18"/>
    </row>
    <row r="47570">
      <c r="B47570" s="17" t="s">
        <v>477</v>
      </c>
      <c r="K47570" s="18"/>
    </row>
    <row r="47571">
      <c r="B47571" s="17" t="s">
        <v>477</v>
      </c>
      <c r="K47571" s="18"/>
    </row>
    <row r="47572">
      <c r="B47572" s="17" t="s">
        <v>477</v>
      </c>
      <c r="K47572" s="18"/>
    </row>
    <row r="47573">
      <c r="B47573" s="17" t="s">
        <v>477</v>
      </c>
      <c r="K47573" s="18"/>
    </row>
    <row r="47574">
      <c r="B47574" s="17" t="s">
        <v>477</v>
      </c>
      <c r="K47574" s="18"/>
    </row>
    <row r="47575">
      <c r="B47575" s="17" t="s">
        <v>477</v>
      </c>
      <c r="K47575" s="18"/>
    </row>
    <row r="47576">
      <c r="B47576" s="17" t="s">
        <v>477</v>
      </c>
      <c r="K47576" s="18"/>
    </row>
    <row r="47577">
      <c r="B47577" s="17" t="s">
        <v>477</v>
      </c>
      <c r="K47577" s="18"/>
    </row>
    <row r="47578">
      <c r="B47578" s="17" t="s">
        <v>477</v>
      </c>
      <c r="K47578" s="18"/>
    </row>
    <row r="47579">
      <c r="B47579" s="17" t="s">
        <v>477</v>
      </c>
      <c r="K47579" s="18"/>
    </row>
    <row r="47580">
      <c r="B47580" s="17" t="s">
        <v>477</v>
      </c>
      <c r="K47580" s="18"/>
    </row>
    <row r="47581">
      <c r="B47581" s="17" t="s">
        <v>477</v>
      </c>
      <c r="K47581" s="18"/>
    </row>
    <row r="47582">
      <c r="B47582" s="17" t="s">
        <v>477</v>
      </c>
      <c r="K47582" s="18"/>
    </row>
    <row r="47583">
      <c r="B47583" s="17" t="s">
        <v>477</v>
      </c>
      <c r="K47583" s="18"/>
    </row>
    <row r="47584">
      <c r="B47584" s="17" t="s">
        <v>477</v>
      </c>
      <c r="K47584" s="18"/>
    </row>
    <row r="47585">
      <c r="B47585" s="17" t="s">
        <v>477</v>
      </c>
      <c r="K47585" s="18"/>
    </row>
    <row r="47586">
      <c r="B47586" s="17" t="s">
        <v>477</v>
      </c>
      <c r="K47586" s="18"/>
    </row>
    <row r="47587">
      <c r="B47587" s="17" t="s">
        <v>477</v>
      </c>
      <c r="K47587" s="18"/>
    </row>
    <row r="47588">
      <c r="B47588" s="17" t="s">
        <v>477</v>
      </c>
      <c r="K47588" s="18"/>
    </row>
    <row r="47589">
      <c r="B47589" s="17" t="s">
        <v>477</v>
      </c>
      <c r="K47589" s="18"/>
    </row>
    <row r="47590">
      <c r="B47590" s="17" t="s">
        <v>477</v>
      </c>
      <c r="K47590" s="18"/>
    </row>
    <row r="47591">
      <c r="B47591" s="17" t="s">
        <v>477</v>
      </c>
      <c r="K47591" s="18"/>
    </row>
    <row r="47592">
      <c r="B47592" s="17" t="s">
        <v>477</v>
      </c>
      <c r="K47592" s="18"/>
    </row>
    <row r="47593">
      <c r="B47593" s="17" t="s">
        <v>477</v>
      </c>
      <c r="K47593" s="18"/>
    </row>
    <row r="47594">
      <c r="B47594" s="17" t="s">
        <v>477</v>
      </c>
      <c r="K47594" s="18"/>
    </row>
    <row r="47595">
      <c r="B47595" s="17" t="s">
        <v>477</v>
      </c>
      <c r="K47595" s="18"/>
    </row>
    <row r="47596">
      <c r="B47596" s="17" t="s">
        <v>477</v>
      </c>
      <c r="K47596" s="18"/>
    </row>
    <row r="47597">
      <c r="B47597" s="17" t="s">
        <v>477</v>
      </c>
      <c r="K47597" s="18"/>
    </row>
    <row r="47598">
      <c r="B47598" s="17" t="s">
        <v>477</v>
      </c>
      <c r="K47598" s="18"/>
    </row>
    <row r="47599">
      <c r="B47599" s="17" t="s">
        <v>477</v>
      </c>
      <c r="K47599" s="18"/>
    </row>
    <row r="47600">
      <c r="B47600" s="17" t="s">
        <v>477</v>
      </c>
      <c r="K47600" s="18"/>
    </row>
    <row r="47601">
      <c r="B47601" s="17" t="s">
        <v>477</v>
      </c>
      <c r="K47601" s="18"/>
    </row>
    <row r="47602">
      <c r="B47602" s="17" t="s">
        <v>477</v>
      </c>
      <c r="K47602" s="18"/>
    </row>
    <row r="47603">
      <c r="B47603" s="17" t="s">
        <v>477</v>
      </c>
      <c r="K47603" s="18"/>
    </row>
    <row r="47604">
      <c r="B47604" s="17" t="s">
        <v>477</v>
      </c>
      <c r="K47604" s="18"/>
    </row>
    <row r="47605">
      <c r="B47605" s="17" t="s">
        <v>477</v>
      </c>
      <c r="K47605" s="18"/>
    </row>
    <row r="47606">
      <c r="B47606" s="17" t="s">
        <v>477</v>
      </c>
      <c r="K47606" s="18"/>
    </row>
    <row r="47607">
      <c r="B47607" s="17" t="s">
        <v>477</v>
      </c>
      <c r="K47607" s="18"/>
    </row>
    <row r="47608">
      <c r="B47608" s="17" t="s">
        <v>477</v>
      </c>
      <c r="K47608" s="18"/>
    </row>
    <row r="47609">
      <c r="B47609" s="17" t="s">
        <v>477</v>
      </c>
      <c r="K47609" s="18"/>
    </row>
    <row r="47610">
      <c r="B47610" s="17" t="s">
        <v>477</v>
      </c>
      <c r="K47610" s="18"/>
    </row>
    <row r="47611">
      <c r="B47611" s="17" t="s">
        <v>477</v>
      </c>
      <c r="K47611" s="18"/>
    </row>
    <row r="47612">
      <c r="B47612" s="17" t="s">
        <v>477</v>
      </c>
      <c r="K47612" s="18"/>
    </row>
    <row r="47613">
      <c r="B47613" s="17" t="s">
        <v>477</v>
      </c>
      <c r="K47613" s="18"/>
    </row>
    <row r="47614">
      <c r="B47614" s="17" t="s">
        <v>477</v>
      </c>
      <c r="K47614" s="18"/>
    </row>
    <row r="47615">
      <c r="B47615" s="17" t="s">
        <v>477</v>
      </c>
      <c r="K47615" s="18"/>
    </row>
    <row r="47616">
      <c r="B47616" s="17" t="s">
        <v>477</v>
      </c>
      <c r="K47616" s="18"/>
    </row>
    <row r="47617">
      <c r="B47617" s="17" t="s">
        <v>477</v>
      </c>
      <c r="K47617" s="18"/>
    </row>
    <row r="47618">
      <c r="B47618" s="17" t="s">
        <v>477</v>
      </c>
      <c r="K47618" s="18"/>
    </row>
    <row r="47619">
      <c r="B47619" s="17" t="s">
        <v>477</v>
      </c>
      <c r="K47619" s="18"/>
    </row>
    <row r="47620">
      <c r="B47620" s="17" t="s">
        <v>477</v>
      </c>
      <c r="K47620" s="18"/>
    </row>
    <row r="47621">
      <c r="B47621" s="17" t="s">
        <v>477</v>
      </c>
      <c r="K47621" s="18"/>
    </row>
    <row r="47622">
      <c r="B47622" s="17" t="s">
        <v>477</v>
      </c>
      <c r="K47622" s="18"/>
    </row>
    <row r="47623">
      <c r="B47623" s="17" t="s">
        <v>477</v>
      </c>
      <c r="K47623" s="18"/>
    </row>
    <row r="47624">
      <c r="B47624" s="17" t="s">
        <v>477</v>
      </c>
      <c r="K47624" s="18"/>
    </row>
    <row r="47625">
      <c r="B47625" s="17" t="s">
        <v>477</v>
      </c>
      <c r="K47625" s="18"/>
    </row>
    <row r="47626">
      <c r="B47626" s="17" t="s">
        <v>477</v>
      </c>
      <c r="K47626" s="18"/>
    </row>
    <row r="47627">
      <c r="B47627" s="17" t="s">
        <v>477</v>
      </c>
      <c r="K47627" s="18"/>
    </row>
    <row r="47628">
      <c r="B47628" s="17" t="s">
        <v>477</v>
      </c>
      <c r="K47628" s="18"/>
    </row>
    <row r="47629">
      <c r="B47629" s="17" t="s">
        <v>477</v>
      </c>
      <c r="K47629" s="18"/>
    </row>
    <row r="47630">
      <c r="B47630" s="17" t="s">
        <v>477</v>
      </c>
      <c r="K47630" s="18"/>
    </row>
    <row r="47631">
      <c r="B47631" s="17" t="s">
        <v>477</v>
      </c>
      <c r="K47631" s="18"/>
    </row>
    <row r="47632">
      <c r="B47632" s="17" t="s">
        <v>477</v>
      </c>
      <c r="K47632" s="18"/>
    </row>
    <row r="47633">
      <c r="B47633" s="17" t="s">
        <v>477</v>
      </c>
      <c r="K47633" s="18"/>
    </row>
    <row r="47634">
      <c r="B47634" s="17" t="s">
        <v>477</v>
      </c>
      <c r="K47634" s="18"/>
    </row>
    <row r="47635">
      <c r="B47635" s="17" t="s">
        <v>477</v>
      </c>
      <c r="K47635" s="18"/>
    </row>
    <row r="47636">
      <c r="B47636" s="17" t="s">
        <v>477</v>
      </c>
      <c r="K47636" s="18"/>
    </row>
    <row r="47637">
      <c r="B47637" s="17" t="s">
        <v>477</v>
      </c>
      <c r="K47637" s="18"/>
    </row>
    <row r="47638">
      <c r="B47638" s="17" t="s">
        <v>477</v>
      </c>
      <c r="K47638" s="18"/>
    </row>
    <row r="47639">
      <c r="B47639" s="17" t="s">
        <v>477</v>
      </c>
      <c r="K47639" s="18"/>
    </row>
    <row r="47640">
      <c r="B47640" s="17" t="s">
        <v>477</v>
      </c>
      <c r="K47640" s="18"/>
    </row>
    <row r="47641">
      <c r="B47641" s="17" t="s">
        <v>477</v>
      </c>
      <c r="K47641" s="18"/>
    </row>
    <row r="47642">
      <c r="B47642" s="17" t="s">
        <v>477</v>
      </c>
      <c r="K47642" s="18"/>
    </row>
    <row r="47643">
      <c r="B47643" s="17" t="s">
        <v>477</v>
      </c>
      <c r="K47643" s="18"/>
    </row>
    <row r="47644">
      <c r="B47644" s="17" t="s">
        <v>477</v>
      </c>
      <c r="K47644" s="18"/>
    </row>
    <row r="47645">
      <c r="B47645" s="17" t="s">
        <v>477</v>
      </c>
      <c r="K47645" s="18"/>
    </row>
    <row r="47646">
      <c r="B47646" s="17" t="s">
        <v>477</v>
      </c>
      <c r="K47646" s="18"/>
    </row>
    <row r="47647">
      <c r="B47647" s="17" t="s">
        <v>477</v>
      </c>
      <c r="K47647" s="18"/>
    </row>
    <row r="47648">
      <c r="B47648" s="17" t="s">
        <v>477</v>
      </c>
      <c r="K47648" s="18"/>
    </row>
    <row r="47649">
      <c r="B47649" s="17" t="s">
        <v>477</v>
      </c>
      <c r="K47649" s="18"/>
    </row>
    <row r="47650">
      <c r="B47650" s="17" t="s">
        <v>477</v>
      </c>
      <c r="K47650" s="18"/>
    </row>
    <row r="47651">
      <c r="B47651" s="17" t="s">
        <v>477</v>
      </c>
      <c r="K47651" s="18"/>
    </row>
    <row r="47652">
      <c r="B47652" s="17" t="s">
        <v>477</v>
      </c>
      <c r="K47652" s="18"/>
    </row>
    <row r="47653">
      <c r="B47653" s="17" t="s">
        <v>477</v>
      </c>
      <c r="K47653" s="18"/>
    </row>
    <row r="47654">
      <c r="B47654" s="17" t="s">
        <v>477</v>
      </c>
      <c r="K47654" s="18"/>
    </row>
    <row r="47655">
      <c r="B47655" s="17" t="s">
        <v>477</v>
      </c>
      <c r="K47655" s="18"/>
    </row>
    <row r="47656">
      <c r="B47656" s="17" t="s">
        <v>477</v>
      </c>
      <c r="K47656" s="18"/>
    </row>
    <row r="47657">
      <c r="B47657" s="17" t="s">
        <v>477</v>
      </c>
      <c r="K47657" s="18"/>
    </row>
    <row r="47658">
      <c r="B47658" s="17" t="s">
        <v>477</v>
      </c>
      <c r="K47658" s="18"/>
    </row>
    <row r="47659">
      <c r="B47659" s="17" t="s">
        <v>477</v>
      </c>
      <c r="K47659" s="18"/>
    </row>
    <row r="47660">
      <c r="B47660" s="17" t="s">
        <v>477</v>
      </c>
      <c r="K47660" s="18"/>
    </row>
    <row r="47661">
      <c r="B47661" s="17" t="s">
        <v>477</v>
      </c>
      <c r="K47661" s="18"/>
    </row>
    <row r="47662">
      <c r="B47662" s="17" t="s">
        <v>477</v>
      </c>
      <c r="K47662" s="18"/>
    </row>
    <row r="47663">
      <c r="B47663" s="17" t="s">
        <v>477</v>
      </c>
      <c r="K47663" s="18"/>
    </row>
    <row r="47664">
      <c r="B47664" s="17" t="s">
        <v>477</v>
      </c>
      <c r="K47664" s="18"/>
    </row>
    <row r="47665">
      <c r="B47665" s="17" t="s">
        <v>477</v>
      </c>
      <c r="K47665" s="18"/>
    </row>
    <row r="47666">
      <c r="B47666" s="17" t="s">
        <v>477</v>
      </c>
      <c r="K47666" s="18"/>
    </row>
    <row r="47667">
      <c r="B47667" s="17" t="s">
        <v>477</v>
      </c>
      <c r="K47667" s="18"/>
    </row>
    <row r="47668">
      <c r="B47668" s="17" t="s">
        <v>477</v>
      </c>
      <c r="K47668" s="18"/>
    </row>
    <row r="47669">
      <c r="B47669" s="17" t="s">
        <v>477</v>
      </c>
      <c r="K47669" s="18"/>
    </row>
    <row r="47670">
      <c r="B47670" s="17" t="s">
        <v>477</v>
      </c>
      <c r="K47670" s="18"/>
    </row>
    <row r="47671">
      <c r="B47671" s="17" t="s">
        <v>477</v>
      </c>
      <c r="K47671" s="18"/>
    </row>
    <row r="47672">
      <c r="B47672" s="17" t="s">
        <v>477</v>
      </c>
      <c r="K47672" s="18"/>
    </row>
    <row r="47673">
      <c r="B47673" s="17" t="s">
        <v>477</v>
      </c>
      <c r="K47673" s="18"/>
    </row>
    <row r="47674">
      <c r="B47674" s="17" t="s">
        <v>477</v>
      </c>
      <c r="K47674" s="18"/>
    </row>
    <row r="47675">
      <c r="B47675" s="17" t="s">
        <v>477</v>
      </c>
      <c r="K47675" s="18"/>
    </row>
    <row r="47676">
      <c r="B47676" s="17" t="s">
        <v>477</v>
      </c>
      <c r="K47676" s="18"/>
    </row>
    <row r="47677">
      <c r="B47677" s="17" t="s">
        <v>477</v>
      </c>
      <c r="K47677" s="18"/>
    </row>
    <row r="47678">
      <c r="B47678" s="17" t="s">
        <v>477</v>
      </c>
      <c r="K47678" s="18"/>
    </row>
    <row r="47679">
      <c r="B47679" s="17" t="s">
        <v>477</v>
      </c>
      <c r="K47679" s="18"/>
    </row>
    <row r="47680">
      <c r="B47680" s="17" t="s">
        <v>477</v>
      </c>
      <c r="K47680" s="18"/>
    </row>
    <row r="47681">
      <c r="B47681" s="17" t="s">
        <v>477</v>
      </c>
      <c r="K47681" s="18"/>
    </row>
    <row r="47682">
      <c r="B47682" s="17" t="s">
        <v>477</v>
      </c>
      <c r="K47682" s="18"/>
    </row>
    <row r="47683">
      <c r="B47683" s="17" t="s">
        <v>477</v>
      </c>
      <c r="K47683" s="18"/>
    </row>
    <row r="47684">
      <c r="B47684" s="17" t="s">
        <v>477</v>
      </c>
      <c r="K47684" s="18"/>
    </row>
    <row r="47685">
      <c r="B47685" s="17" t="s">
        <v>477</v>
      </c>
      <c r="K47685" s="18"/>
    </row>
    <row r="47686">
      <c r="B47686" s="17" t="s">
        <v>477</v>
      </c>
      <c r="K47686" s="18"/>
    </row>
    <row r="47687">
      <c r="B47687" s="17" t="s">
        <v>477</v>
      </c>
      <c r="K47687" s="18"/>
    </row>
    <row r="47688">
      <c r="B47688" s="17" t="s">
        <v>477</v>
      </c>
      <c r="K47688" s="18"/>
    </row>
    <row r="47689">
      <c r="B47689" s="17" t="s">
        <v>477</v>
      </c>
      <c r="K47689" s="18"/>
    </row>
    <row r="47690">
      <c r="B47690" s="17" t="s">
        <v>477</v>
      </c>
      <c r="K47690" s="18"/>
    </row>
    <row r="47691">
      <c r="B47691" s="17" t="s">
        <v>477</v>
      </c>
      <c r="K47691" s="18"/>
    </row>
    <row r="47692">
      <c r="B47692" s="17" t="s">
        <v>477</v>
      </c>
      <c r="K47692" s="18"/>
    </row>
    <row r="47693">
      <c r="B47693" s="17" t="s">
        <v>477</v>
      </c>
      <c r="K47693" s="18"/>
    </row>
    <row r="47694">
      <c r="B47694" s="17" t="s">
        <v>477</v>
      </c>
      <c r="K47694" s="18"/>
    </row>
    <row r="47695">
      <c r="B47695" s="17" t="s">
        <v>477</v>
      </c>
      <c r="K47695" s="18"/>
    </row>
    <row r="47696">
      <c r="B47696" s="17" t="s">
        <v>477</v>
      </c>
      <c r="K47696" s="18"/>
    </row>
    <row r="47697">
      <c r="B47697" s="17" t="s">
        <v>477</v>
      </c>
      <c r="K47697" s="18"/>
    </row>
    <row r="47698">
      <c r="B47698" s="17" t="s">
        <v>477</v>
      </c>
      <c r="K47698" s="18"/>
    </row>
    <row r="47699">
      <c r="B47699" s="17" t="s">
        <v>477</v>
      </c>
      <c r="K47699" s="18"/>
    </row>
    <row r="47700">
      <c r="B47700" s="17" t="s">
        <v>477</v>
      </c>
      <c r="K47700" s="18"/>
    </row>
    <row r="47701">
      <c r="B47701" s="17" t="s">
        <v>477</v>
      </c>
      <c r="K47701" s="18"/>
    </row>
    <row r="47702">
      <c r="B47702" s="17" t="s">
        <v>477</v>
      </c>
      <c r="K47702" s="18"/>
    </row>
    <row r="47703">
      <c r="B47703" s="17" t="s">
        <v>477</v>
      </c>
      <c r="K47703" s="18"/>
    </row>
    <row r="47704">
      <c r="B47704" s="17" t="s">
        <v>477</v>
      </c>
      <c r="K47704" s="18"/>
    </row>
    <row r="47705">
      <c r="B47705" s="17" t="s">
        <v>477</v>
      </c>
      <c r="K47705" s="18"/>
    </row>
    <row r="47706">
      <c r="B47706" s="17" t="s">
        <v>477</v>
      </c>
      <c r="K47706" s="18"/>
    </row>
    <row r="47707">
      <c r="B47707" s="17" t="s">
        <v>477</v>
      </c>
      <c r="K47707" s="18"/>
    </row>
    <row r="47708">
      <c r="B47708" s="17" t="s">
        <v>477</v>
      </c>
      <c r="K47708" s="18"/>
    </row>
    <row r="47709">
      <c r="B47709" s="17" t="s">
        <v>477</v>
      </c>
      <c r="K47709" s="18"/>
    </row>
    <row r="47710">
      <c r="B47710" s="17" t="s">
        <v>477</v>
      </c>
      <c r="K47710" s="18"/>
    </row>
    <row r="47711">
      <c r="B47711" s="17" t="s">
        <v>477</v>
      </c>
      <c r="K47711" s="18"/>
    </row>
    <row r="47712">
      <c r="B47712" s="17" t="s">
        <v>477</v>
      </c>
      <c r="K47712" s="18"/>
    </row>
    <row r="47713">
      <c r="B47713" s="17" t="s">
        <v>477</v>
      </c>
      <c r="K47713" s="18"/>
    </row>
    <row r="47714">
      <c r="B47714" s="17" t="s">
        <v>477</v>
      </c>
      <c r="K47714" s="18"/>
    </row>
    <row r="47715">
      <c r="B47715" s="17" t="s">
        <v>477</v>
      </c>
      <c r="K47715" s="18"/>
    </row>
    <row r="47716">
      <c r="B47716" s="17" t="s">
        <v>477</v>
      </c>
      <c r="K47716" s="18"/>
    </row>
    <row r="47717">
      <c r="B47717" s="17" t="s">
        <v>477</v>
      </c>
      <c r="K47717" s="18"/>
    </row>
    <row r="47718">
      <c r="B47718" s="17" t="s">
        <v>477</v>
      </c>
      <c r="K47718" s="18"/>
    </row>
    <row r="47719">
      <c r="B47719" s="17" t="s">
        <v>477</v>
      </c>
      <c r="K47719" s="18"/>
    </row>
    <row r="47720">
      <c r="B47720" s="17" t="s">
        <v>477</v>
      </c>
      <c r="K47720" s="18"/>
    </row>
    <row r="47721">
      <c r="B47721" s="17" t="s">
        <v>477</v>
      </c>
      <c r="K47721" s="18"/>
    </row>
    <row r="47722">
      <c r="B47722" s="17" t="s">
        <v>477</v>
      </c>
      <c r="K47722" s="18"/>
    </row>
    <row r="47723">
      <c r="B47723" s="17" t="s">
        <v>477</v>
      </c>
      <c r="K47723" s="18"/>
    </row>
    <row r="47724">
      <c r="B47724" s="17" t="s">
        <v>477</v>
      </c>
      <c r="K47724" s="18"/>
    </row>
    <row r="47725">
      <c r="B47725" s="17" t="s">
        <v>477</v>
      </c>
      <c r="K47725" s="18"/>
    </row>
    <row r="47726">
      <c r="B47726" s="17" t="s">
        <v>477</v>
      </c>
      <c r="K47726" s="18"/>
    </row>
    <row r="47727">
      <c r="B47727" s="17" t="s">
        <v>477</v>
      </c>
      <c r="K47727" s="18"/>
    </row>
    <row r="47728">
      <c r="B47728" s="17" t="s">
        <v>477</v>
      </c>
      <c r="K47728" s="18"/>
    </row>
    <row r="47729">
      <c r="B47729" s="17" t="s">
        <v>477</v>
      </c>
      <c r="K47729" s="18"/>
    </row>
    <row r="47730">
      <c r="B47730" s="17" t="s">
        <v>477</v>
      </c>
      <c r="K47730" s="18"/>
    </row>
    <row r="47731">
      <c r="B47731" s="17" t="s">
        <v>477</v>
      </c>
      <c r="K47731" s="18"/>
    </row>
    <row r="47732">
      <c r="B47732" s="17" t="s">
        <v>477</v>
      </c>
      <c r="K47732" s="18"/>
    </row>
    <row r="47733">
      <c r="B47733" s="17" t="s">
        <v>477</v>
      </c>
      <c r="K47733" s="18"/>
    </row>
    <row r="47734">
      <c r="B47734" s="17" t="s">
        <v>477</v>
      </c>
      <c r="K47734" s="18"/>
    </row>
    <row r="47735">
      <c r="B47735" s="17" t="s">
        <v>477</v>
      </c>
      <c r="K47735" s="18"/>
    </row>
    <row r="47736">
      <c r="B47736" s="17" t="s">
        <v>477</v>
      </c>
      <c r="K47736" s="18"/>
    </row>
    <row r="47737">
      <c r="B47737" s="17" t="s">
        <v>477</v>
      </c>
      <c r="K47737" s="18"/>
    </row>
    <row r="47738">
      <c r="B47738" s="17" t="s">
        <v>477</v>
      </c>
      <c r="K47738" s="18"/>
    </row>
    <row r="47739">
      <c r="B47739" s="17" t="s">
        <v>477</v>
      </c>
      <c r="K47739" s="18"/>
    </row>
    <row r="47740">
      <c r="B47740" s="17" t="s">
        <v>477</v>
      </c>
      <c r="K47740" s="18"/>
    </row>
    <row r="47741">
      <c r="B47741" s="17" t="s">
        <v>477</v>
      </c>
      <c r="K47741" s="18"/>
    </row>
    <row r="47742">
      <c r="B47742" s="17" t="s">
        <v>477</v>
      </c>
      <c r="K47742" s="18"/>
    </row>
    <row r="47743">
      <c r="B47743" s="17" t="s">
        <v>477</v>
      </c>
      <c r="K47743" s="18"/>
    </row>
    <row r="47744">
      <c r="B47744" s="17" t="s">
        <v>477</v>
      </c>
      <c r="K47744" s="18"/>
    </row>
    <row r="47745">
      <c r="B47745" s="17" t="s">
        <v>477</v>
      </c>
      <c r="K47745" s="18"/>
    </row>
    <row r="47746">
      <c r="B47746" s="17" t="s">
        <v>477</v>
      </c>
      <c r="K47746" s="18"/>
    </row>
    <row r="47747">
      <c r="B47747" s="17" t="s">
        <v>477</v>
      </c>
      <c r="K47747" s="18"/>
    </row>
    <row r="47748">
      <c r="B47748" s="17" t="s">
        <v>477</v>
      </c>
      <c r="K47748" s="18"/>
    </row>
    <row r="47749">
      <c r="B47749" s="17" t="s">
        <v>477</v>
      </c>
      <c r="K47749" s="18"/>
    </row>
    <row r="47750">
      <c r="B47750" s="17" t="s">
        <v>477</v>
      </c>
      <c r="K47750" s="18"/>
    </row>
    <row r="47751">
      <c r="B47751" s="17" t="s">
        <v>477</v>
      </c>
      <c r="K47751" s="18"/>
    </row>
    <row r="47752">
      <c r="B47752" s="17" t="s">
        <v>477</v>
      </c>
      <c r="K47752" s="18"/>
    </row>
    <row r="47753">
      <c r="B47753" s="17" t="s">
        <v>477</v>
      </c>
      <c r="K47753" s="18"/>
    </row>
    <row r="47754">
      <c r="B47754" s="17" t="s">
        <v>477</v>
      </c>
      <c r="K47754" s="18"/>
    </row>
    <row r="47755">
      <c r="B47755" s="17" t="s">
        <v>477</v>
      </c>
      <c r="K47755" s="18"/>
    </row>
    <row r="47756">
      <c r="B47756" s="17" t="s">
        <v>477</v>
      </c>
      <c r="K47756" s="18"/>
    </row>
    <row r="47757">
      <c r="B47757" s="17" t="s">
        <v>477</v>
      </c>
      <c r="K47757" s="18"/>
    </row>
    <row r="47758">
      <c r="B47758" s="17" t="s">
        <v>477</v>
      </c>
      <c r="K47758" s="18"/>
    </row>
    <row r="47759">
      <c r="B47759" s="17" t="s">
        <v>477</v>
      </c>
      <c r="K47759" s="18"/>
    </row>
    <row r="47760">
      <c r="B47760" s="17" t="s">
        <v>477</v>
      </c>
      <c r="K47760" s="18"/>
    </row>
    <row r="47761">
      <c r="B47761" s="17" t="s">
        <v>477</v>
      </c>
      <c r="K47761" s="18"/>
    </row>
    <row r="47762">
      <c r="B47762" s="17" t="s">
        <v>477</v>
      </c>
      <c r="K47762" s="18"/>
    </row>
    <row r="47763">
      <c r="B47763" s="17" t="s">
        <v>477</v>
      </c>
      <c r="K47763" s="18"/>
    </row>
    <row r="47764">
      <c r="B47764" s="17" t="s">
        <v>477</v>
      </c>
      <c r="K47764" s="18"/>
    </row>
    <row r="47765">
      <c r="B47765" s="17" t="s">
        <v>477</v>
      </c>
      <c r="K47765" s="18"/>
    </row>
    <row r="47766">
      <c r="B47766" s="17" t="s">
        <v>477</v>
      </c>
      <c r="K47766" s="18"/>
    </row>
    <row r="47767">
      <c r="B47767" s="17" t="s">
        <v>477</v>
      </c>
      <c r="K47767" s="18"/>
    </row>
    <row r="47768">
      <c r="B47768" s="17" t="s">
        <v>477</v>
      </c>
      <c r="K47768" s="18"/>
    </row>
    <row r="47769">
      <c r="B47769" s="17" t="s">
        <v>477</v>
      </c>
      <c r="K47769" s="18"/>
    </row>
    <row r="47770">
      <c r="B47770" s="17" t="s">
        <v>477</v>
      </c>
      <c r="K47770" s="18"/>
    </row>
    <row r="47771">
      <c r="B47771" s="17" t="s">
        <v>477</v>
      </c>
      <c r="K47771" s="18"/>
    </row>
    <row r="47772">
      <c r="B47772" s="17" t="s">
        <v>477</v>
      </c>
      <c r="K47772" s="18"/>
    </row>
    <row r="47773">
      <c r="B47773" s="17" t="s">
        <v>477</v>
      </c>
      <c r="K47773" s="18"/>
    </row>
    <row r="47774">
      <c r="B47774" s="17" t="s">
        <v>477</v>
      </c>
      <c r="K47774" s="18"/>
    </row>
    <row r="47775">
      <c r="B47775" s="17" t="s">
        <v>477</v>
      </c>
      <c r="K47775" s="18"/>
    </row>
    <row r="47776">
      <c r="B47776" s="17" t="s">
        <v>477</v>
      </c>
      <c r="K47776" s="18"/>
    </row>
    <row r="47777">
      <c r="B47777" s="17" t="s">
        <v>477</v>
      </c>
      <c r="K47777" s="18"/>
    </row>
    <row r="47778">
      <c r="B47778" s="17" t="s">
        <v>477</v>
      </c>
      <c r="K47778" s="18"/>
    </row>
    <row r="47779">
      <c r="B47779" s="17" t="s">
        <v>477</v>
      </c>
      <c r="K47779" s="18"/>
    </row>
    <row r="47780">
      <c r="B47780" s="17" t="s">
        <v>477</v>
      </c>
      <c r="K47780" s="18"/>
    </row>
    <row r="47781">
      <c r="B47781" s="17" t="s">
        <v>477</v>
      </c>
      <c r="K47781" s="18"/>
    </row>
    <row r="47782">
      <c r="B47782" s="17" t="s">
        <v>477</v>
      </c>
      <c r="K47782" s="18"/>
    </row>
    <row r="47783">
      <c r="B47783" s="17" t="s">
        <v>477</v>
      </c>
      <c r="K47783" s="18"/>
    </row>
    <row r="47784">
      <c r="B47784" s="17" t="s">
        <v>477</v>
      </c>
      <c r="K47784" s="18"/>
    </row>
    <row r="47785">
      <c r="B47785" s="17" t="s">
        <v>477</v>
      </c>
      <c r="K47785" s="18"/>
    </row>
    <row r="47786">
      <c r="B47786" s="17" t="s">
        <v>477</v>
      </c>
      <c r="K47786" s="18"/>
    </row>
    <row r="47787">
      <c r="B47787" s="17" t="s">
        <v>477</v>
      </c>
      <c r="K47787" s="18"/>
    </row>
    <row r="47788">
      <c r="B47788" s="17" t="s">
        <v>477</v>
      </c>
      <c r="K47788" s="18"/>
    </row>
    <row r="47789">
      <c r="B47789" s="17" t="s">
        <v>477</v>
      </c>
      <c r="K47789" s="18"/>
    </row>
    <row r="47790">
      <c r="B47790" s="17" t="s">
        <v>477</v>
      </c>
      <c r="K47790" s="18"/>
    </row>
    <row r="47791">
      <c r="B47791" s="17" t="s">
        <v>477</v>
      </c>
      <c r="K47791" s="18"/>
    </row>
    <row r="47792">
      <c r="B47792" s="17" t="s">
        <v>477</v>
      </c>
      <c r="K47792" s="18"/>
    </row>
    <row r="47793">
      <c r="B47793" s="17" t="s">
        <v>477</v>
      </c>
      <c r="K47793" s="18"/>
    </row>
    <row r="47794">
      <c r="B47794" s="17" t="s">
        <v>477</v>
      </c>
      <c r="K47794" s="18"/>
    </row>
    <row r="47795">
      <c r="B47795" s="17" t="s">
        <v>477</v>
      </c>
      <c r="K47795" s="18"/>
    </row>
    <row r="47796">
      <c r="B47796" s="17" t="s">
        <v>477</v>
      </c>
      <c r="K47796" s="18"/>
    </row>
    <row r="47797">
      <c r="B47797" s="17" t="s">
        <v>477</v>
      </c>
      <c r="K47797" s="18"/>
    </row>
    <row r="47798">
      <c r="B47798" s="17" t="s">
        <v>477</v>
      </c>
      <c r="K47798" s="18"/>
    </row>
    <row r="47799">
      <c r="B47799" s="17" t="s">
        <v>477</v>
      </c>
      <c r="K47799" s="18"/>
    </row>
    <row r="47800">
      <c r="B47800" s="17" t="s">
        <v>477</v>
      </c>
      <c r="K47800" s="18"/>
    </row>
    <row r="47801">
      <c r="B47801" s="17" t="s">
        <v>477</v>
      </c>
      <c r="K47801" s="18"/>
    </row>
    <row r="47802">
      <c r="B47802" s="17" t="s">
        <v>477</v>
      </c>
      <c r="K47802" s="18"/>
    </row>
    <row r="47803">
      <c r="B47803" s="17" t="s">
        <v>477</v>
      </c>
      <c r="K47803" s="18"/>
    </row>
    <row r="47804">
      <c r="B47804" s="17" t="s">
        <v>477</v>
      </c>
      <c r="K47804" s="18"/>
    </row>
    <row r="47805">
      <c r="B47805" s="17" t="s">
        <v>477</v>
      </c>
      <c r="K47805" s="18"/>
    </row>
    <row r="47806">
      <c r="B47806" s="17" t="s">
        <v>477</v>
      </c>
      <c r="K47806" s="18"/>
    </row>
    <row r="47807">
      <c r="B47807" s="17" t="s">
        <v>477</v>
      </c>
      <c r="K47807" s="18"/>
    </row>
    <row r="47808">
      <c r="B47808" s="17" t="s">
        <v>477</v>
      </c>
      <c r="K47808" s="18"/>
    </row>
    <row r="47809">
      <c r="B47809" s="17" t="s">
        <v>477</v>
      </c>
      <c r="K47809" s="18"/>
    </row>
    <row r="47810">
      <c r="B47810" s="17" t="s">
        <v>477</v>
      </c>
      <c r="K47810" s="18"/>
    </row>
    <row r="47811">
      <c r="B47811" s="17" t="s">
        <v>477</v>
      </c>
      <c r="K47811" s="18"/>
    </row>
    <row r="47812">
      <c r="B47812" s="17" t="s">
        <v>477</v>
      </c>
      <c r="K47812" s="18"/>
    </row>
    <row r="47813">
      <c r="B47813" s="17" t="s">
        <v>477</v>
      </c>
      <c r="K47813" s="18"/>
    </row>
    <row r="47814">
      <c r="B47814" s="17" t="s">
        <v>477</v>
      </c>
      <c r="K47814" s="18"/>
    </row>
    <row r="47815">
      <c r="B47815" s="17" t="s">
        <v>477</v>
      </c>
      <c r="K47815" s="18"/>
    </row>
    <row r="47816">
      <c r="B47816" s="17" t="s">
        <v>477</v>
      </c>
      <c r="K47816" s="18"/>
    </row>
    <row r="47817">
      <c r="B47817" s="17" t="s">
        <v>477</v>
      </c>
      <c r="K47817" s="18"/>
    </row>
    <row r="47818">
      <c r="B47818" s="17" t="s">
        <v>477</v>
      </c>
      <c r="K47818" s="18"/>
    </row>
    <row r="47819">
      <c r="B47819" s="17" t="s">
        <v>477</v>
      </c>
      <c r="K47819" s="18"/>
    </row>
    <row r="47820">
      <c r="B47820" s="17" t="s">
        <v>477</v>
      </c>
      <c r="K47820" s="18"/>
    </row>
    <row r="47821">
      <c r="B47821" s="17" t="s">
        <v>477</v>
      </c>
      <c r="K47821" s="18"/>
    </row>
    <row r="47822">
      <c r="B47822" s="17" t="s">
        <v>477</v>
      </c>
      <c r="K47822" s="18"/>
    </row>
    <row r="47823">
      <c r="B47823" s="17" t="s">
        <v>477</v>
      </c>
      <c r="K47823" s="18"/>
    </row>
    <row r="47824">
      <c r="B47824" s="17" t="s">
        <v>477</v>
      </c>
      <c r="K47824" s="18"/>
    </row>
    <row r="47825">
      <c r="B47825" s="17" t="s">
        <v>477</v>
      </c>
      <c r="K47825" s="18"/>
    </row>
    <row r="47826">
      <c r="B47826" s="17" t="s">
        <v>477</v>
      </c>
      <c r="K47826" s="18"/>
    </row>
    <row r="47827">
      <c r="B47827" s="17" t="s">
        <v>477</v>
      </c>
      <c r="K47827" s="18"/>
    </row>
    <row r="47828">
      <c r="B47828" s="17" t="s">
        <v>477</v>
      </c>
      <c r="K47828" s="18"/>
    </row>
    <row r="47829">
      <c r="B47829" s="17" t="s">
        <v>477</v>
      </c>
      <c r="K47829" s="18"/>
    </row>
    <row r="47830">
      <c r="B47830" s="17" t="s">
        <v>477</v>
      </c>
      <c r="K47830" s="18"/>
    </row>
    <row r="47831">
      <c r="B47831" s="17" t="s">
        <v>477</v>
      </c>
      <c r="K47831" s="18"/>
    </row>
    <row r="47832">
      <c r="B47832" s="17" t="s">
        <v>477</v>
      </c>
      <c r="K47832" s="18"/>
    </row>
    <row r="47833">
      <c r="B47833" s="17" t="s">
        <v>477</v>
      </c>
      <c r="K47833" s="18"/>
    </row>
    <row r="47834">
      <c r="B47834" s="17" t="s">
        <v>477</v>
      </c>
      <c r="K47834" s="18"/>
    </row>
    <row r="47835">
      <c r="B47835" s="17" t="s">
        <v>477</v>
      </c>
      <c r="K47835" s="18"/>
    </row>
    <row r="47836">
      <c r="B47836" s="17" t="s">
        <v>477</v>
      </c>
      <c r="K47836" s="18"/>
    </row>
    <row r="47837">
      <c r="B47837" s="17" t="s">
        <v>477</v>
      </c>
      <c r="K47837" s="18"/>
    </row>
    <row r="47838">
      <c r="B47838" s="17" t="s">
        <v>477</v>
      </c>
      <c r="K47838" s="18"/>
    </row>
    <row r="47839">
      <c r="B47839" s="17" t="s">
        <v>477</v>
      </c>
      <c r="K47839" s="18"/>
    </row>
    <row r="47840">
      <c r="B47840" s="17" t="s">
        <v>477</v>
      </c>
      <c r="K47840" s="18"/>
    </row>
    <row r="47841">
      <c r="B47841" s="17" t="s">
        <v>477</v>
      </c>
      <c r="K47841" s="18"/>
    </row>
    <row r="47842">
      <c r="B47842" s="17" t="s">
        <v>477</v>
      </c>
      <c r="K47842" s="18"/>
    </row>
    <row r="47843">
      <c r="B47843" s="17" t="s">
        <v>477</v>
      </c>
      <c r="K47843" s="18"/>
    </row>
    <row r="47844">
      <c r="B47844" s="17" t="s">
        <v>477</v>
      </c>
      <c r="K47844" s="18"/>
    </row>
    <row r="47845">
      <c r="B47845" s="17" t="s">
        <v>477</v>
      </c>
      <c r="K47845" s="18"/>
    </row>
    <row r="47846">
      <c r="B47846" s="17" t="s">
        <v>477</v>
      </c>
      <c r="K47846" s="18"/>
    </row>
    <row r="47847">
      <c r="B47847" s="17" t="s">
        <v>477</v>
      </c>
      <c r="K47847" s="18"/>
    </row>
    <row r="47848">
      <c r="B47848" s="17" t="s">
        <v>477</v>
      </c>
      <c r="K47848" s="18"/>
    </row>
    <row r="47849">
      <c r="B47849" s="17" t="s">
        <v>477</v>
      </c>
      <c r="K47849" s="18"/>
    </row>
    <row r="47850">
      <c r="B47850" s="17" t="s">
        <v>477</v>
      </c>
      <c r="K47850" s="18"/>
    </row>
    <row r="47851">
      <c r="B47851" s="17" t="s">
        <v>477</v>
      </c>
      <c r="K47851" s="18"/>
    </row>
    <row r="47852">
      <c r="B47852" s="17" t="s">
        <v>477</v>
      </c>
      <c r="K47852" s="18"/>
    </row>
    <row r="47853">
      <c r="B47853" s="17" t="s">
        <v>477</v>
      </c>
      <c r="K47853" s="18"/>
    </row>
    <row r="47854">
      <c r="B47854" s="17" t="s">
        <v>477</v>
      </c>
      <c r="K47854" s="18"/>
    </row>
    <row r="47855">
      <c r="B47855" s="17" t="s">
        <v>477</v>
      </c>
      <c r="K47855" s="18"/>
    </row>
    <row r="47856">
      <c r="B47856" s="17" t="s">
        <v>477</v>
      </c>
      <c r="K47856" s="18"/>
    </row>
    <row r="47857">
      <c r="B47857" s="17" t="s">
        <v>477</v>
      </c>
      <c r="K47857" s="18"/>
    </row>
    <row r="47858">
      <c r="B47858" s="17" t="s">
        <v>477</v>
      </c>
      <c r="K47858" s="18"/>
    </row>
    <row r="47859">
      <c r="B47859" s="17" t="s">
        <v>477</v>
      </c>
      <c r="K47859" s="18"/>
    </row>
    <row r="47860">
      <c r="B47860" s="17" t="s">
        <v>477</v>
      </c>
      <c r="K47860" s="18"/>
    </row>
    <row r="47861">
      <c r="B47861" s="17" t="s">
        <v>477</v>
      </c>
      <c r="K47861" s="18"/>
    </row>
    <row r="47862">
      <c r="B47862" s="17" t="s">
        <v>477</v>
      </c>
      <c r="K47862" s="18"/>
    </row>
    <row r="47863">
      <c r="B47863" s="17" t="s">
        <v>477</v>
      </c>
      <c r="K47863" s="18"/>
    </row>
    <row r="47864">
      <c r="B47864" s="17" t="s">
        <v>477</v>
      </c>
      <c r="K47864" s="18"/>
    </row>
    <row r="47865">
      <c r="B47865" s="17" t="s">
        <v>477</v>
      </c>
      <c r="K47865" s="18"/>
    </row>
    <row r="47866">
      <c r="B47866" s="17" t="s">
        <v>477</v>
      </c>
      <c r="K47866" s="18"/>
    </row>
    <row r="47867">
      <c r="B47867" s="17" t="s">
        <v>477</v>
      </c>
      <c r="K47867" s="18"/>
    </row>
    <row r="47868">
      <c r="B47868" s="17" t="s">
        <v>477</v>
      </c>
      <c r="K47868" s="18"/>
    </row>
    <row r="47869">
      <c r="B47869" s="17" t="s">
        <v>477</v>
      </c>
      <c r="K47869" s="18"/>
    </row>
    <row r="47870">
      <c r="B47870" s="17" t="s">
        <v>477</v>
      </c>
      <c r="K47870" s="18"/>
    </row>
    <row r="47871">
      <c r="B47871" s="17" t="s">
        <v>477</v>
      </c>
      <c r="K47871" s="18"/>
    </row>
    <row r="47872">
      <c r="B47872" s="17" t="s">
        <v>477</v>
      </c>
      <c r="K47872" s="18"/>
    </row>
    <row r="47873">
      <c r="B47873" s="17" t="s">
        <v>477</v>
      </c>
      <c r="K47873" s="18"/>
    </row>
    <row r="47874">
      <c r="B47874" s="17" t="s">
        <v>477</v>
      </c>
      <c r="K47874" s="18"/>
    </row>
    <row r="47875">
      <c r="B47875" s="17" t="s">
        <v>477</v>
      </c>
      <c r="K47875" s="18"/>
    </row>
    <row r="47876">
      <c r="B47876" s="17" t="s">
        <v>477</v>
      </c>
      <c r="K47876" s="18"/>
    </row>
    <row r="47877">
      <c r="B47877" s="17" t="s">
        <v>477</v>
      </c>
      <c r="K47877" s="18"/>
    </row>
    <row r="47878">
      <c r="B47878" s="17" t="s">
        <v>477</v>
      </c>
      <c r="K47878" s="18"/>
    </row>
    <row r="47879">
      <c r="B47879" s="17" t="s">
        <v>477</v>
      </c>
      <c r="K47879" s="18"/>
    </row>
    <row r="47880">
      <c r="B47880" s="17" t="s">
        <v>477</v>
      </c>
      <c r="K47880" s="18"/>
    </row>
    <row r="47881">
      <c r="B47881" s="17" t="s">
        <v>477</v>
      </c>
      <c r="K47881" s="18"/>
    </row>
    <row r="47882">
      <c r="B47882" s="17" t="s">
        <v>477</v>
      </c>
      <c r="K47882" s="18"/>
    </row>
    <row r="47883">
      <c r="B47883" s="17" t="s">
        <v>477</v>
      </c>
      <c r="K47883" s="18"/>
    </row>
    <row r="47884">
      <c r="B47884" s="17" t="s">
        <v>477</v>
      </c>
      <c r="K47884" s="18"/>
    </row>
    <row r="47885">
      <c r="B47885" s="17" t="s">
        <v>477</v>
      </c>
      <c r="K47885" s="18"/>
    </row>
    <row r="47886">
      <c r="B47886" s="17" t="s">
        <v>477</v>
      </c>
      <c r="K47886" s="18"/>
    </row>
    <row r="47887">
      <c r="B47887" s="17" t="s">
        <v>477</v>
      </c>
      <c r="K47887" s="18"/>
    </row>
    <row r="47888">
      <c r="B47888" s="17" t="s">
        <v>477</v>
      </c>
      <c r="K47888" s="18"/>
    </row>
    <row r="47889">
      <c r="B47889" s="17" t="s">
        <v>477</v>
      </c>
      <c r="K47889" s="18"/>
    </row>
    <row r="47890">
      <c r="B47890" s="17" t="s">
        <v>477</v>
      </c>
      <c r="K47890" s="18"/>
    </row>
    <row r="47891">
      <c r="B47891" s="17" t="s">
        <v>477</v>
      </c>
      <c r="K47891" s="18"/>
    </row>
    <row r="47892">
      <c r="B47892" s="17" t="s">
        <v>477</v>
      </c>
      <c r="K47892" s="18"/>
    </row>
    <row r="47893">
      <c r="B47893" s="17" t="s">
        <v>477</v>
      </c>
      <c r="K47893" s="18"/>
    </row>
    <row r="47894">
      <c r="B47894" s="17" t="s">
        <v>477</v>
      </c>
      <c r="K47894" s="18"/>
    </row>
    <row r="47895">
      <c r="B47895" s="17" t="s">
        <v>477</v>
      </c>
      <c r="K47895" s="18"/>
    </row>
    <row r="47896">
      <c r="B47896" s="17" t="s">
        <v>477</v>
      </c>
      <c r="K47896" s="18"/>
    </row>
    <row r="47897">
      <c r="B47897" s="17" t="s">
        <v>477</v>
      </c>
      <c r="K47897" s="18"/>
    </row>
    <row r="47898">
      <c r="B47898" s="17" t="s">
        <v>477</v>
      </c>
      <c r="K47898" s="18"/>
    </row>
    <row r="47899">
      <c r="B47899" s="17" t="s">
        <v>477</v>
      </c>
      <c r="K47899" s="18"/>
    </row>
    <row r="47900">
      <c r="B47900" s="17" t="s">
        <v>477</v>
      </c>
      <c r="K47900" s="18"/>
    </row>
    <row r="47901">
      <c r="B47901" s="17" t="s">
        <v>477</v>
      </c>
      <c r="K47901" s="18"/>
    </row>
    <row r="47902">
      <c r="B47902" s="17" t="s">
        <v>477</v>
      </c>
      <c r="K47902" s="18"/>
    </row>
    <row r="47903">
      <c r="B47903" s="17" t="s">
        <v>477</v>
      </c>
      <c r="K47903" s="18"/>
    </row>
    <row r="47904">
      <c r="B47904" s="17" t="s">
        <v>477</v>
      </c>
      <c r="K47904" s="18"/>
    </row>
    <row r="47905">
      <c r="B47905" s="17" t="s">
        <v>477</v>
      </c>
      <c r="K47905" s="18"/>
    </row>
    <row r="47906">
      <c r="B47906" s="17" t="s">
        <v>477</v>
      </c>
      <c r="K47906" s="18"/>
    </row>
    <row r="47907">
      <c r="B47907" s="17" t="s">
        <v>477</v>
      </c>
      <c r="K47907" s="18"/>
    </row>
    <row r="47908">
      <c r="B47908" s="17" t="s">
        <v>477</v>
      </c>
      <c r="K47908" s="18"/>
    </row>
    <row r="47909">
      <c r="B47909" s="17" t="s">
        <v>477</v>
      </c>
      <c r="K47909" s="18"/>
    </row>
    <row r="47910">
      <c r="B47910" s="17" t="s">
        <v>477</v>
      </c>
      <c r="K47910" s="18"/>
    </row>
    <row r="47911">
      <c r="B47911" s="17" t="s">
        <v>477</v>
      </c>
      <c r="K47911" s="18"/>
    </row>
    <row r="47912">
      <c r="B47912" s="17" t="s">
        <v>477</v>
      </c>
      <c r="K47912" s="18"/>
    </row>
    <row r="47913">
      <c r="B47913" s="17" t="s">
        <v>477</v>
      </c>
      <c r="K47913" s="18"/>
    </row>
    <row r="47914">
      <c r="B47914" s="17" t="s">
        <v>477</v>
      </c>
      <c r="K47914" s="18"/>
    </row>
    <row r="47915">
      <c r="B47915" s="17" t="s">
        <v>477</v>
      </c>
      <c r="K47915" s="18"/>
    </row>
    <row r="47916">
      <c r="B47916" s="17" t="s">
        <v>477</v>
      </c>
      <c r="K47916" s="18"/>
    </row>
    <row r="47917">
      <c r="B47917" s="17" t="s">
        <v>477</v>
      </c>
      <c r="K47917" s="18"/>
    </row>
    <row r="47918">
      <c r="B47918" s="17" t="s">
        <v>477</v>
      </c>
      <c r="K47918" s="18"/>
    </row>
    <row r="47919">
      <c r="B47919" s="17" t="s">
        <v>477</v>
      </c>
      <c r="K47919" s="18"/>
    </row>
    <row r="47920">
      <c r="B47920" s="17" t="s">
        <v>477</v>
      </c>
      <c r="K47920" s="18"/>
    </row>
    <row r="47921">
      <c r="B47921" s="17" t="s">
        <v>477</v>
      </c>
      <c r="K47921" s="18"/>
    </row>
    <row r="47922">
      <c r="B47922" s="17" t="s">
        <v>477</v>
      </c>
      <c r="K47922" s="18"/>
    </row>
    <row r="47923">
      <c r="B47923" s="17" t="s">
        <v>477</v>
      </c>
      <c r="K47923" s="18"/>
    </row>
    <row r="47924">
      <c r="B47924" s="17" t="s">
        <v>477</v>
      </c>
      <c r="K47924" s="18"/>
    </row>
    <row r="47925">
      <c r="B47925" s="17" t="s">
        <v>477</v>
      </c>
      <c r="K47925" s="18"/>
    </row>
    <row r="47926">
      <c r="B47926" s="17" t="s">
        <v>477</v>
      </c>
      <c r="K47926" s="18"/>
    </row>
    <row r="47927">
      <c r="B47927" s="17" t="s">
        <v>477</v>
      </c>
      <c r="K47927" s="18"/>
    </row>
    <row r="47928">
      <c r="B47928" s="17" t="s">
        <v>477</v>
      </c>
      <c r="K47928" s="18"/>
    </row>
    <row r="47929">
      <c r="B47929" s="17" t="s">
        <v>477</v>
      </c>
      <c r="K47929" s="18"/>
    </row>
    <row r="47930">
      <c r="B47930" s="17" t="s">
        <v>477</v>
      </c>
      <c r="K47930" s="18"/>
    </row>
    <row r="47931">
      <c r="B47931" s="17" t="s">
        <v>477</v>
      </c>
      <c r="K47931" s="18"/>
    </row>
    <row r="47932">
      <c r="B47932" s="17" t="s">
        <v>477</v>
      </c>
      <c r="K47932" s="18"/>
    </row>
    <row r="47933">
      <c r="B47933" s="17" t="s">
        <v>477</v>
      </c>
      <c r="K47933" s="18"/>
    </row>
    <row r="47934">
      <c r="B47934" s="17" t="s">
        <v>477</v>
      </c>
      <c r="K47934" s="18"/>
    </row>
    <row r="47935">
      <c r="B47935" s="17" t="s">
        <v>477</v>
      </c>
      <c r="K47935" s="18"/>
    </row>
    <row r="47936">
      <c r="B47936" s="17" t="s">
        <v>477</v>
      </c>
      <c r="K47936" s="18"/>
    </row>
    <row r="47937">
      <c r="B47937" s="17" t="s">
        <v>477</v>
      </c>
      <c r="K47937" s="18"/>
    </row>
    <row r="47938">
      <c r="B47938" s="17" t="s">
        <v>477</v>
      </c>
      <c r="K47938" s="18"/>
    </row>
    <row r="47939">
      <c r="B47939" s="17" t="s">
        <v>477</v>
      </c>
      <c r="K47939" s="18"/>
    </row>
    <row r="47940">
      <c r="B47940" s="17" t="s">
        <v>477</v>
      </c>
      <c r="K47940" s="18"/>
    </row>
    <row r="47941">
      <c r="B47941" s="17" t="s">
        <v>477</v>
      </c>
      <c r="K47941" s="18"/>
    </row>
    <row r="47942">
      <c r="B47942" s="17" t="s">
        <v>477</v>
      </c>
      <c r="K47942" s="18"/>
    </row>
    <row r="47943">
      <c r="B47943" s="17" t="s">
        <v>477</v>
      </c>
      <c r="K47943" s="18"/>
    </row>
    <row r="47944">
      <c r="B47944" s="17" t="s">
        <v>477</v>
      </c>
      <c r="K47944" s="18"/>
    </row>
    <row r="47945">
      <c r="B47945" s="17" t="s">
        <v>477</v>
      </c>
      <c r="K47945" s="18"/>
    </row>
    <row r="47946">
      <c r="B47946" s="17" t="s">
        <v>477</v>
      </c>
      <c r="K47946" s="18"/>
    </row>
    <row r="47947">
      <c r="B47947" s="17" t="s">
        <v>477</v>
      </c>
      <c r="K47947" s="18"/>
    </row>
    <row r="47948">
      <c r="B47948" s="17" t="s">
        <v>477</v>
      </c>
      <c r="K47948" s="18"/>
    </row>
    <row r="47949">
      <c r="B47949" s="17" t="s">
        <v>477</v>
      </c>
      <c r="K47949" s="18"/>
    </row>
    <row r="47950">
      <c r="B47950" s="17" t="s">
        <v>477</v>
      </c>
      <c r="K47950" s="18"/>
    </row>
    <row r="47951">
      <c r="B47951" s="17" t="s">
        <v>477</v>
      </c>
      <c r="K47951" s="18"/>
    </row>
    <row r="47952">
      <c r="B47952" s="17" t="s">
        <v>477</v>
      </c>
      <c r="K47952" s="18"/>
    </row>
    <row r="47953">
      <c r="B47953" s="17" t="s">
        <v>477</v>
      </c>
      <c r="K47953" s="18"/>
    </row>
    <row r="47954">
      <c r="B47954" s="17" t="s">
        <v>477</v>
      </c>
      <c r="K47954" s="18"/>
    </row>
    <row r="47955">
      <c r="B47955" s="17" t="s">
        <v>477</v>
      </c>
      <c r="K47955" s="18"/>
    </row>
    <row r="47956">
      <c r="B47956" s="17" t="s">
        <v>477</v>
      </c>
      <c r="K47956" s="18"/>
    </row>
    <row r="47957">
      <c r="B47957" s="17" t="s">
        <v>477</v>
      </c>
      <c r="K47957" s="18"/>
    </row>
    <row r="47958">
      <c r="B47958" s="17" t="s">
        <v>477</v>
      </c>
      <c r="K47958" s="18"/>
    </row>
    <row r="47959">
      <c r="B47959" s="17" t="s">
        <v>477</v>
      </c>
      <c r="K47959" s="18"/>
    </row>
    <row r="47960">
      <c r="B47960" s="17" t="s">
        <v>477</v>
      </c>
      <c r="K47960" s="18"/>
    </row>
    <row r="47961">
      <c r="B47961" s="17" t="s">
        <v>477</v>
      </c>
      <c r="K47961" s="18"/>
    </row>
    <row r="47962">
      <c r="B47962" s="17" t="s">
        <v>477</v>
      </c>
      <c r="K47962" s="18"/>
    </row>
    <row r="47963">
      <c r="B47963" s="17" t="s">
        <v>477</v>
      </c>
      <c r="K47963" s="18"/>
    </row>
    <row r="47964">
      <c r="B47964" s="17" t="s">
        <v>477</v>
      </c>
      <c r="K47964" s="18"/>
    </row>
    <row r="47965">
      <c r="B47965" s="17" t="s">
        <v>477</v>
      </c>
      <c r="K47965" s="18"/>
    </row>
    <row r="47966">
      <c r="B47966" s="17" t="s">
        <v>477</v>
      </c>
      <c r="K47966" s="18"/>
    </row>
    <row r="47967">
      <c r="B47967" s="17" t="s">
        <v>477</v>
      </c>
      <c r="K47967" s="18"/>
    </row>
    <row r="47968">
      <c r="B47968" s="17" t="s">
        <v>477</v>
      </c>
      <c r="K47968" s="18"/>
    </row>
    <row r="47969">
      <c r="B47969" s="17" t="s">
        <v>477</v>
      </c>
      <c r="K47969" s="18"/>
    </row>
    <row r="47970">
      <c r="B47970" s="17" t="s">
        <v>477</v>
      </c>
      <c r="K47970" s="18"/>
    </row>
    <row r="47971">
      <c r="B47971" s="17" t="s">
        <v>477</v>
      </c>
      <c r="K47971" s="18"/>
    </row>
    <row r="47972">
      <c r="B47972" s="17" t="s">
        <v>477</v>
      </c>
      <c r="K47972" s="18"/>
    </row>
    <row r="47973">
      <c r="B47973" s="17" t="s">
        <v>477</v>
      </c>
      <c r="K47973" s="18"/>
    </row>
    <row r="47974">
      <c r="B47974" s="17" t="s">
        <v>477</v>
      </c>
      <c r="K47974" s="18"/>
    </row>
    <row r="47975">
      <c r="B47975" s="17" t="s">
        <v>477</v>
      </c>
      <c r="K47975" s="18"/>
    </row>
    <row r="47976">
      <c r="B47976" s="17" t="s">
        <v>477</v>
      </c>
      <c r="K47976" s="18"/>
    </row>
    <row r="47977">
      <c r="B47977" s="17" t="s">
        <v>477</v>
      </c>
      <c r="K47977" s="18"/>
    </row>
    <row r="47978">
      <c r="B47978" s="17" t="s">
        <v>477</v>
      </c>
      <c r="K47978" s="18"/>
    </row>
    <row r="47979">
      <c r="B47979" s="17" t="s">
        <v>477</v>
      </c>
      <c r="K47979" s="18"/>
    </row>
    <row r="47980">
      <c r="B47980" s="17" t="s">
        <v>477</v>
      </c>
      <c r="K47980" s="18"/>
    </row>
    <row r="47981">
      <c r="B47981" s="17" t="s">
        <v>477</v>
      </c>
      <c r="K47981" s="18"/>
    </row>
    <row r="47982">
      <c r="B47982" s="17" t="s">
        <v>477</v>
      </c>
      <c r="K47982" s="18"/>
    </row>
    <row r="47983">
      <c r="B47983" s="17" t="s">
        <v>477</v>
      </c>
      <c r="K47983" s="18"/>
    </row>
    <row r="47984">
      <c r="B47984" s="17" t="s">
        <v>477</v>
      </c>
      <c r="K47984" s="18"/>
    </row>
    <row r="47985">
      <c r="B47985" s="17" t="s">
        <v>477</v>
      </c>
      <c r="K47985" s="18"/>
    </row>
    <row r="47986">
      <c r="B47986" s="17" t="s">
        <v>477</v>
      </c>
      <c r="K47986" s="18"/>
    </row>
    <row r="47987">
      <c r="B47987" s="17" t="s">
        <v>477</v>
      </c>
      <c r="K47987" s="18"/>
    </row>
    <row r="47988">
      <c r="B47988" s="17" t="s">
        <v>477</v>
      </c>
      <c r="K47988" s="18"/>
    </row>
    <row r="47989">
      <c r="B47989" s="17" t="s">
        <v>477</v>
      </c>
      <c r="K47989" s="18"/>
    </row>
    <row r="47990">
      <c r="B47990" s="17" t="s">
        <v>477</v>
      </c>
      <c r="K47990" s="18"/>
    </row>
    <row r="47991">
      <c r="B47991" s="17" t="s">
        <v>477</v>
      </c>
      <c r="K47991" s="18"/>
    </row>
    <row r="47992">
      <c r="B47992" s="17" t="s">
        <v>477</v>
      </c>
      <c r="K47992" s="18"/>
    </row>
    <row r="47993">
      <c r="B47993" s="17" t="s">
        <v>477</v>
      </c>
      <c r="K47993" s="18"/>
    </row>
    <row r="47994">
      <c r="B47994" s="17" t="s">
        <v>477</v>
      </c>
      <c r="K47994" s="18"/>
    </row>
    <row r="47995">
      <c r="B47995" s="17" t="s">
        <v>477</v>
      </c>
      <c r="K47995" s="18"/>
    </row>
    <row r="47996">
      <c r="B47996" s="17" t="s">
        <v>477</v>
      </c>
      <c r="K47996" s="18"/>
    </row>
    <row r="47997">
      <c r="B47997" s="17" t="s">
        <v>477</v>
      </c>
      <c r="K47997" s="18"/>
    </row>
    <row r="47998">
      <c r="B47998" s="17" t="s">
        <v>477</v>
      </c>
      <c r="K47998" s="18"/>
    </row>
    <row r="47999">
      <c r="B47999" s="17" t="s">
        <v>477</v>
      </c>
      <c r="K47999" s="18"/>
    </row>
    <row r="48000">
      <c r="B48000" s="17" t="s">
        <v>477</v>
      </c>
      <c r="K48000" s="18"/>
    </row>
    <row r="48001">
      <c r="B48001" s="17" t="s">
        <v>477</v>
      </c>
      <c r="K48001" s="18"/>
    </row>
    <row r="48002">
      <c r="B48002" s="17" t="s">
        <v>477</v>
      </c>
      <c r="K48002" s="18"/>
    </row>
    <row r="48003">
      <c r="B48003" s="17" t="s">
        <v>477</v>
      </c>
      <c r="K48003" s="18"/>
    </row>
    <row r="48004">
      <c r="B48004" s="17" t="s">
        <v>477</v>
      </c>
      <c r="K48004" s="18"/>
    </row>
    <row r="48005">
      <c r="B48005" s="17" t="s">
        <v>477</v>
      </c>
      <c r="K48005" s="18"/>
    </row>
    <row r="48006">
      <c r="B48006" s="17" t="s">
        <v>477</v>
      </c>
      <c r="K48006" s="18"/>
    </row>
    <row r="48007">
      <c r="B48007" s="17" t="s">
        <v>477</v>
      </c>
      <c r="K48007" s="18"/>
    </row>
    <row r="48008">
      <c r="B48008" s="17" t="s">
        <v>477</v>
      </c>
      <c r="K48008" s="18"/>
    </row>
    <row r="48009">
      <c r="B48009" s="17" t="s">
        <v>477</v>
      </c>
      <c r="K48009" s="18"/>
    </row>
    <row r="48010">
      <c r="B48010" s="17" t="s">
        <v>477</v>
      </c>
      <c r="K48010" s="18"/>
    </row>
    <row r="48011">
      <c r="B48011" s="17" t="s">
        <v>477</v>
      </c>
      <c r="K48011" s="18"/>
    </row>
    <row r="48012">
      <c r="B48012" s="17" t="s">
        <v>477</v>
      </c>
      <c r="K48012" s="18"/>
    </row>
    <row r="48013">
      <c r="B48013" s="17" t="s">
        <v>477</v>
      </c>
      <c r="K48013" s="18"/>
    </row>
    <row r="48014">
      <c r="B48014" s="17" t="s">
        <v>477</v>
      </c>
      <c r="K48014" s="18"/>
    </row>
    <row r="48015">
      <c r="B48015" s="17" t="s">
        <v>477</v>
      </c>
      <c r="K48015" s="18"/>
    </row>
    <row r="48016">
      <c r="B48016" s="17" t="s">
        <v>477</v>
      </c>
      <c r="K48016" s="18"/>
    </row>
    <row r="48017">
      <c r="B48017" s="17" t="s">
        <v>477</v>
      </c>
      <c r="K48017" s="18"/>
    </row>
    <row r="48018">
      <c r="B48018" s="17" t="s">
        <v>477</v>
      </c>
      <c r="K48018" s="18"/>
    </row>
    <row r="48019">
      <c r="B48019" s="17" t="s">
        <v>477</v>
      </c>
      <c r="K48019" s="18"/>
    </row>
    <row r="48020">
      <c r="B48020" s="17" t="s">
        <v>477</v>
      </c>
      <c r="K48020" s="18"/>
    </row>
    <row r="48021">
      <c r="B48021" s="17" t="s">
        <v>477</v>
      </c>
      <c r="K48021" s="18"/>
    </row>
    <row r="48022">
      <c r="B48022" s="17" t="s">
        <v>477</v>
      </c>
      <c r="K48022" s="18"/>
    </row>
    <row r="48023">
      <c r="B48023" s="17" t="s">
        <v>477</v>
      </c>
      <c r="K48023" s="18"/>
    </row>
    <row r="48024">
      <c r="B48024" s="17" t="s">
        <v>477</v>
      </c>
      <c r="K48024" s="18"/>
    </row>
    <row r="48025">
      <c r="B48025" s="17" t="s">
        <v>477</v>
      </c>
      <c r="K48025" s="18"/>
    </row>
    <row r="48026">
      <c r="B48026" s="17" t="s">
        <v>477</v>
      </c>
      <c r="K48026" s="18"/>
    </row>
    <row r="48027">
      <c r="B48027" s="17" t="s">
        <v>477</v>
      </c>
      <c r="K48027" s="18"/>
    </row>
    <row r="48028">
      <c r="B48028" s="17" t="s">
        <v>477</v>
      </c>
      <c r="K48028" s="18"/>
    </row>
    <row r="48029">
      <c r="B48029" s="17" t="s">
        <v>477</v>
      </c>
      <c r="K48029" s="18"/>
    </row>
    <row r="48030">
      <c r="B48030" s="17" t="s">
        <v>477</v>
      </c>
      <c r="K48030" s="18"/>
    </row>
    <row r="48031">
      <c r="B48031" s="17" t="s">
        <v>477</v>
      </c>
      <c r="K48031" s="18"/>
    </row>
    <row r="48032">
      <c r="B48032" s="17" t="s">
        <v>477</v>
      </c>
      <c r="K48032" s="18"/>
    </row>
    <row r="48033">
      <c r="B48033" s="17" t="s">
        <v>477</v>
      </c>
      <c r="K48033" s="18"/>
    </row>
    <row r="48034">
      <c r="B48034" s="17" t="s">
        <v>477</v>
      </c>
      <c r="K48034" s="18"/>
    </row>
    <row r="48035">
      <c r="B48035" s="17" t="s">
        <v>477</v>
      </c>
      <c r="K48035" s="18"/>
    </row>
    <row r="48036">
      <c r="B48036" s="17" t="s">
        <v>477</v>
      </c>
      <c r="K48036" s="18"/>
    </row>
    <row r="48037">
      <c r="B48037" s="17" t="s">
        <v>477</v>
      </c>
      <c r="K48037" s="18"/>
    </row>
    <row r="48038">
      <c r="B48038" s="17" t="s">
        <v>477</v>
      </c>
      <c r="K48038" s="18"/>
    </row>
    <row r="48039">
      <c r="B48039" s="17" t="s">
        <v>477</v>
      </c>
      <c r="K48039" s="18"/>
    </row>
    <row r="48040">
      <c r="B48040" s="17" t="s">
        <v>477</v>
      </c>
      <c r="K48040" s="18"/>
    </row>
    <row r="48041">
      <c r="B48041" s="17" t="s">
        <v>477</v>
      </c>
      <c r="K48041" s="18"/>
    </row>
    <row r="48042">
      <c r="B48042" s="17" t="s">
        <v>477</v>
      </c>
      <c r="K48042" s="18"/>
    </row>
    <row r="48043">
      <c r="B48043" s="17" t="s">
        <v>477</v>
      </c>
      <c r="K48043" s="18"/>
    </row>
    <row r="48044">
      <c r="B48044" s="17" t="s">
        <v>477</v>
      </c>
      <c r="K48044" s="18"/>
    </row>
    <row r="48045">
      <c r="B48045" s="17" t="s">
        <v>477</v>
      </c>
      <c r="K48045" s="18"/>
    </row>
    <row r="48046">
      <c r="B48046" s="17" t="s">
        <v>477</v>
      </c>
      <c r="K48046" s="18"/>
    </row>
    <row r="48047">
      <c r="B48047" s="17" t="s">
        <v>477</v>
      </c>
      <c r="K48047" s="18"/>
    </row>
    <row r="48048">
      <c r="B48048" s="17" t="s">
        <v>477</v>
      </c>
      <c r="K48048" s="18"/>
    </row>
    <row r="48049">
      <c r="B48049" s="17" t="s">
        <v>477</v>
      </c>
      <c r="K48049" s="18"/>
    </row>
    <row r="48050">
      <c r="B48050" s="17" t="s">
        <v>477</v>
      </c>
      <c r="K48050" s="18"/>
    </row>
    <row r="48051">
      <c r="B48051" s="17" t="s">
        <v>477</v>
      </c>
      <c r="K48051" s="18"/>
    </row>
    <row r="48052">
      <c r="B48052" s="17" t="s">
        <v>477</v>
      </c>
      <c r="K48052" s="18"/>
    </row>
    <row r="48053">
      <c r="B48053" s="17" t="s">
        <v>477</v>
      </c>
      <c r="K48053" s="18"/>
    </row>
    <row r="48054">
      <c r="B48054" s="17" t="s">
        <v>477</v>
      </c>
      <c r="K48054" s="18"/>
    </row>
    <row r="48055">
      <c r="B48055" s="17" t="s">
        <v>477</v>
      </c>
      <c r="K48055" s="18"/>
    </row>
    <row r="48056">
      <c r="B48056" s="17" t="s">
        <v>477</v>
      </c>
      <c r="K48056" s="18"/>
    </row>
    <row r="48057">
      <c r="B48057" s="17" t="s">
        <v>477</v>
      </c>
      <c r="K48057" s="18"/>
    </row>
    <row r="48058">
      <c r="B48058" s="17" t="s">
        <v>477</v>
      </c>
      <c r="K48058" s="18"/>
    </row>
    <row r="48059">
      <c r="B48059" s="17" t="s">
        <v>477</v>
      </c>
      <c r="K48059" s="18"/>
    </row>
    <row r="48060">
      <c r="B48060" s="17" t="s">
        <v>477</v>
      </c>
      <c r="K48060" s="18"/>
    </row>
    <row r="48061">
      <c r="B48061" s="17" t="s">
        <v>477</v>
      </c>
      <c r="K48061" s="18"/>
    </row>
    <row r="48062">
      <c r="B48062" s="17" t="s">
        <v>477</v>
      </c>
      <c r="K48062" s="18"/>
    </row>
    <row r="48063">
      <c r="B48063" s="17" t="s">
        <v>477</v>
      </c>
      <c r="K48063" s="18"/>
    </row>
    <row r="48064">
      <c r="B48064" s="17" t="s">
        <v>477</v>
      </c>
      <c r="K48064" s="18"/>
    </row>
    <row r="48065">
      <c r="B48065" s="17" t="s">
        <v>477</v>
      </c>
      <c r="K48065" s="18"/>
    </row>
    <row r="48066">
      <c r="B48066" s="17" t="s">
        <v>477</v>
      </c>
      <c r="K48066" s="18"/>
    </row>
    <row r="48067">
      <c r="B48067" s="17" t="s">
        <v>477</v>
      </c>
      <c r="K48067" s="18"/>
    </row>
    <row r="48068">
      <c r="B48068" s="17" t="s">
        <v>477</v>
      </c>
      <c r="K48068" s="18"/>
    </row>
    <row r="48069">
      <c r="B48069" s="17" t="s">
        <v>477</v>
      </c>
      <c r="K48069" s="18"/>
    </row>
    <row r="48070">
      <c r="B48070" s="17" t="s">
        <v>477</v>
      </c>
      <c r="K48070" s="18"/>
    </row>
    <row r="48071">
      <c r="B48071" s="17" t="s">
        <v>477</v>
      </c>
      <c r="K48071" s="18"/>
    </row>
    <row r="48072">
      <c r="B48072" s="17" t="s">
        <v>477</v>
      </c>
      <c r="K48072" s="18"/>
    </row>
    <row r="48073">
      <c r="B48073" s="17" t="s">
        <v>477</v>
      </c>
      <c r="K48073" s="18"/>
    </row>
    <row r="48074">
      <c r="B48074" s="17" t="s">
        <v>477</v>
      </c>
      <c r="K48074" s="18"/>
    </row>
    <row r="48075">
      <c r="B48075" s="17" t="s">
        <v>477</v>
      </c>
      <c r="K48075" s="18"/>
    </row>
    <row r="48076">
      <c r="B48076" s="17" t="s">
        <v>477</v>
      </c>
      <c r="K48076" s="18"/>
    </row>
    <row r="48077">
      <c r="B48077" s="17" t="s">
        <v>477</v>
      </c>
      <c r="K48077" s="18"/>
    </row>
    <row r="48078">
      <c r="B48078" s="17" t="s">
        <v>477</v>
      </c>
      <c r="K48078" s="18"/>
    </row>
    <row r="48079">
      <c r="B48079" s="17" t="s">
        <v>477</v>
      </c>
      <c r="K48079" s="18"/>
    </row>
    <row r="48080">
      <c r="B48080" s="17" t="s">
        <v>477</v>
      </c>
      <c r="K48080" s="18"/>
    </row>
    <row r="48081">
      <c r="B48081" s="17" t="s">
        <v>477</v>
      </c>
      <c r="K48081" s="18"/>
    </row>
    <row r="48082">
      <c r="B48082" s="17" t="s">
        <v>477</v>
      </c>
      <c r="K48082" s="18"/>
    </row>
    <row r="48083">
      <c r="B48083" s="17" t="s">
        <v>477</v>
      </c>
      <c r="K48083" s="18"/>
    </row>
    <row r="48084">
      <c r="B48084" s="17" t="s">
        <v>477</v>
      </c>
      <c r="K48084" s="18"/>
    </row>
    <row r="48085">
      <c r="B48085" s="17" t="s">
        <v>477</v>
      </c>
      <c r="K48085" s="18"/>
    </row>
    <row r="48086">
      <c r="B48086" s="17" t="s">
        <v>477</v>
      </c>
      <c r="K48086" s="18"/>
    </row>
    <row r="48087">
      <c r="B48087" s="17" t="s">
        <v>477</v>
      </c>
      <c r="K48087" s="18"/>
    </row>
    <row r="48088">
      <c r="B48088" s="17" t="s">
        <v>477</v>
      </c>
      <c r="K48088" s="18"/>
    </row>
    <row r="48089">
      <c r="B48089" s="17" t="s">
        <v>477</v>
      </c>
      <c r="K48089" s="18"/>
    </row>
    <row r="48090">
      <c r="B48090" s="17" t="s">
        <v>477</v>
      </c>
      <c r="K48090" s="18"/>
    </row>
    <row r="48091">
      <c r="B48091" s="17" t="s">
        <v>477</v>
      </c>
      <c r="K48091" s="18"/>
    </row>
    <row r="48092">
      <c r="B48092" s="17" t="s">
        <v>477</v>
      </c>
      <c r="K48092" s="18"/>
    </row>
    <row r="48093">
      <c r="B48093" s="17" t="s">
        <v>477</v>
      </c>
      <c r="K48093" s="18"/>
    </row>
    <row r="48094">
      <c r="B48094" s="17" t="s">
        <v>477</v>
      </c>
      <c r="K48094" s="18"/>
    </row>
    <row r="48095">
      <c r="B48095" s="17" t="s">
        <v>477</v>
      </c>
      <c r="K48095" s="18"/>
    </row>
    <row r="48096">
      <c r="B48096" s="17" t="s">
        <v>477</v>
      </c>
      <c r="K48096" s="18"/>
    </row>
    <row r="48097">
      <c r="B48097" s="17" t="s">
        <v>477</v>
      </c>
      <c r="K48097" s="18"/>
    </row>
    <row r="48098">
      <c r="B48098" s="17" t="s">
        <v>477</v>
      </c>
      <c r="K48098" s="18"/>
    </row>
    <row r="48099">
      <c r="B48099" s="17" t="s">
        <v>477</v>
      </c>
      <c r="K48099" s="18"/>
    </row>
    <row r="48100">
      <c r="B48100" s="17" t="s">
        <v>477</v>
      </c>
      <c r="K48100" s="18"/>
    </row>
    <row r="48101">
      <c r="B48101" s="17" t="s">
        <v>477</v>
      </c>
      <c r="K48101" s="18"/>
    </row>
    <row r="48102">
      <c r="B48102" s="17" t="s">
        <v>477</v>
      </c>
      <c r="K48102" s="18"/>
    </row>
    <row r="48103">
      <c r="B48103" s="17" t="s">
        <v>477</v>
      </c>
      <c r="K48103" s="18"/>
    </row>
    <row r="48104">
      <c r="B48104" s="17" t="s">
        <v>477</v>
      </c>
      <c r="K48104" s="18"/>
    </row>
    <row r="48105">
      <c r="B48105" s="17" t="s">
        <v>477</v>
      </c>
      <c r="K48105" s="18"/>
    </row>
    <row r="48106">
      <c r="B48106" s="17" t="s">
        <v>477</v>
      </c>
      <c r="K48106" s="18"/>
    </row>
    <row r="48107">
      <c r="B48107" s="17" t="s">
        <v>477</v>
      </c>
      <c r="K48107" s="18"/>
    </row>
    <row r="48108">
      <c r="B48108" s="17" t="s">
        <v>477</v>
      </c>
      <c r="K48108" s="18"/>
    </row>
    <row r="48109">
      <c r="B48109" s="17" t="s">
        <v>477</v>
      </c>
      <c r="K48109" s="18"/>
    </row>
    <row r="48110">
      <c r="B48110" s="17" t="s">
        <v>477</v>
      </c>
      <c r="K48110" s="18"/>
    </row>
    <row r="48111">
      <c r="B48111" s="17" t="s">
        <v>477</v>
      </c>
      <c r="K48111" s="18"/>
    </row>
    <row r="48112">
      <c r="B48112" s="17" t="s">
        <v>477</v>
      </c>
      <c r="K48112" s="18"/>
    </row>
    <row r="48113">
      <c r="B48113" s="17" t="s">
        <v>477</v>
      </c>
      <c r="K48113" s="18"/>
    </row>
    <row r="48114">
      <c r="B48114" s="17" t="s">
        <v>477</v>
      </c>
      <c r="K48114" s="18"/>
    </row>
    <row r="48115">
      <c r="B48115" s="17" t="s">
        <v>477</v>
      </c>
      <c r="K48115" s="18"/>
    </row>
    <row r="48116">
      <c r="B48116" s="17" t="s">
        <v>477</v>
      </c>
      <c r="K48116" s="18"/>
    </row>
    <row r="48117">
      <c r="B48117" s="17" t="s">
        <v>477</v>
      </c>
      <c r="K48117" s="18"/>
    </row>
    <row r="48118">
      <c r="B48118" s="17" t="s">
        <v>477</v>
      </c>
      <c r="K48118" s="18"/>
    </row>
    <row r="48119">
      <c r="B48119" s="17" t="s">
        <v>477</v>
      </c>
      <c r="K48119" s="18"/>
    </row>
    <row r="48120">
      <c r="B48120" s="17" t="s">
        <v>477</v>
      </c>
      <c r="K48120" s="18"/>
    </row>
    <row r="48121">
      <c r="B48121" s="17" t="s">
        <v>477</v>
      </c>
      <c r="K48121" s="18"/>
    </row>
    <row r="48122">
      <c r="B48122" s="17" t="s">
        <v>477</v>
      </c>
      <c r="K48122" s="18"/>
    </row>
    <row r="48123">
      <c r="B48123" s="17" t="s">
        <v>477</v>
      </c>
      <c r="K48123" s="18"/>
    </row>
    <row r="48124">
      <c r="B48124" s="17" t="s">
        <v>477</v>
      </c>
      <c r="K48124" s="18"/>
    </row>
    <row r="48125">
      <c r="B48125" s="17" t="s">
        <v>477</v>
      </c>
      <c r="K48125" s="18"/>
    </row>
    <row r="48126">
      <c r="B48126" s="17" t="s">
        <v>477</v>
      </c>
      <c r="K48126" s="18"/>
    </row>
    <row r="48127">
      <c r="B48127" s="17" t="s">
        <v>477</v>
      </c>
      <c r="K48127" s="18"/>
    </row>
    <row r="48128">
      <c r="B48128" s="17" t="s">
        <v>477</v>
      </c>
      <c r="K48128" s="18"/>
    </row>
    <row r="48129">
      <c r="B48129" s="17" t="s">
        <v>477</v>
      </c>
      <c r="K48129" s="18"/>
    </row>
    <row r="48130">
      <c r="B48130" s="17" t="s">
        <v>477</v>
      </c>
      <c r="K48130" s="18"/>
    </row>
    <row r="48131">
      <c r="B48131" s="17" t="s">
        <v>477</v>
      </c>
      <c r="K48131" s="18"/>
    </row>
    <row r="48132">
      <c r="B48132" s="17" t="s">
        <v>477</v>
      </c>
      <c r="K48132" s="18"/>
    </row>
    <row r="48133">
      <c r="B48133" s="17" t="s">
        <v>477</v>
      </c>
      <c r="K48133" s="18"/>
    </row>
    <row r="48134">
      <c r="B48134" s="17" t="s">
        <v>477</v>
      </c>
      <c r="K48134" s="18"/>
    </row>
    <row r="48135">
      <c r="B48135" s="17" t="s">
        <v>477</v>
      </c>
      <c r="K48135" s="18"/>
    </row>
    <row r="48136">
      <c r="B48136" s="17" t="s">
        <v>477</v>
      </c>
      <c r="K48136" s="18"/>
    </row>
    <row r="48137">
      <c r="B48137" s="17" t="s">
        <v>477</v>
      </c>
      <c r="K48137" s="18"/>
    </row>
    <row r="48138">
      <c r="B48138" s="17" t="s">
        <v>477</v>
      </c>
      <c r="K48138" s="18"/>
    </row>
    <row r="48139">
      <c r="B48139" s="17" t="s">
        <v>477</v>
      </c>
      <c r="K48139" s="18"/>
    </row>
    <row r="48140">
      <c r="B48140" s="17" t="s">
        <v>477</v>
      </c>
      <c r="K48140" s="18"/>
    </row>
    <row r="48141">
      <c r="B48141" s="17" t="s">
        <v>477</v>
      </c>
      <c r="K48141" s="18"/>
    </row>
    <row r="48142">
      <c r="B48142" s="17" t="s">
        <v>477</v>
      </c>
      <c r="K48142" s="18"/>
    </row>
    <row r="48143">
      <c r="B48143" s="17" t="s">
        <v>477</v>
      </c>
      <c r="K48143" s="18"/>
    </row>
    <row r="48144">
      <c r="B48144" s="17" t="s">
        <v>477</v>
      </c>
      <c r="K48144" s="18"/>
    </row>
    <row r="48145">
      <c r="B48145" s="17" t="s">
        <v>477</v>
      </c>
      <c r="K48145" s="18"/>
    </row>
    <row r="48146">
      <c r="B48146" s="17" t="s">
        <v>477</v>
      </c>
      <c r="K48146" s="18"/>
    </row>
    <row r="48147">
      <c r="B48147" s="17" t="s">
        <v>477</v>
      </c>
      <c r="K48147" s="18"/>
    </row>
    <row r="48148">
      <c r="B48148" s="17" t="s">
        <v>477</v>
      </c>
      <c r="K48148" s="18"/>
    </row>
    <row r="48149">
      <c r="B48149" s="17" t="s">
        <v>477</v>
      </c>
      <c r="K48149" s="18"/>
    </row>
    <row r="48150">
      <c r="B48150" s="17" t="s">
        <v>477</v>
      </c>
      <c r="K48150" s="18"/>
    </row>
    <row r="48151">
      <c r="B48151" s="17" t="s">
        <v>477</v>
      </c>
      <c r="K48151" s="18"/>
    </row>
    <row r="48152">
      <c r="B48152" s="17" t="s">
        <v>477</v>
      </c>
      <c r="K48152" s="18"/>
    </row>
    <row r="48153">
      <c r="B48153" s="17" t="s">
        <v>477</v>
      </c>
      <c r="K48153" s="18"/>
    </row>
    <row r="48154">
      <c r="B48154" s="17" t="s">
        <v>477</v>
      </c>
      <c r="K48154" s="18"/>
    </row>
    <row r="48155">
      <c r="B48155" s="17" t="s">
        <v>477</v>
      </c>
      <c r="K48155" s="18"/>
    </row>
    <row r="48156">
      <c r="B48156" s="17" t="s">
        <v>477</v>
      </c>
      <c r="K48156" s="18"/>
    </row>
    <row r="48157">
      <c r="B48157" s="17" t="s">
        <v>477</v>
      </c>
      <c r="K48157" s="18"/>
    </row>
    <row r="48158">
      <c r="B48158" s="17" t="s">
        <v>477</v>
      </c>
      <c r="K48158" s="18"/>
    </row>
    <row r="48159">
      <c r="B48159" s="17" t="s">
        <v>477</v>
      </c>
      <c r="K48159" s="18"/>
    </row>
    <row r="48160">
      <c r="B48160" s="17" t="s">
        <v>477</v>
      </c>
      <c r="K48160" s="18"/>
    </row>
    <row r="48161">
      <c r="B48161" s="17" t="s">
        <v>477</v>
      </c>
      <c r="K48161" s="18"/>
    </row>
    <row r="48162">
      <c r="B48162" s="17" t="s">
        <v>477</v>
      </c>
      <c r="K48162" s="18"/>
    </row>
    <row r="48163">
      <c r="B48163" s="17" t="s">
        <v>477</v>
      </c>
      <c r="K48163" s="18"/>
    </row>
    <row r="48164">
      <c r="B48164" s="17" t="s">
        <v>477</v>
      </c>
      <c r="K48164" s="18"/>
    </row>
    <row r="48165">
      <c r="B48165" s="17" t="s">
        <v>477</v>
      </c>
      <c r="K48165" s="18"/>
    </row>
    <row r="48166">
      <c r="B48166" s="17" t="s">
        <v>477</v>
      </c>
      <c r="K48166" s="18"/>
    </row>
    <row r="48167">
      <c r="B48167" s="17" t="s">
        <v>477</v>
      </c>
      <c r="K48167" s="18"/>
    </row>
    <row r="48168">
      <c r="B48168" s="17" t="s">
        <v>477</v>
      </c>
      <c r="K48168" s="18"/>
    </row>
    <row r="48169">
      <c r="B48169" s="17" t="s">
        <v>477</v>
      </c>
      <c r="K48169" s="18"/>
    </row>
    <row r="48170">
      <c r="B48170" s="17" t="s">
        <v>477</v>
      </c>
      <c r="K48170" s="18"/>
    </row>
    <row r="48171">
      <c r="B48171" s="17" t="s">
        <v>477</v>
      </c>
      <c r="K48171" s="18"/>
    </row>
    <row r="48172">
      <c r="B48172" s="17" t="s">
        <v>477</v>
      </c>
      <c r="K48172" s="18"/>
    </row>
    <row r="48173">
      <c r="B48173" s="17" t="s">
        <v>477</v>
      </c>
      <c r="K48173" s="18"/>
    </row>
    <row r="48174">
      <c r="B48174" s="17" t="s">
        <v>477</v>
      </c>
      <c r="K48174" s="18"/>
    </row>
    <row r="48175">
      <c r="B48175" s="17" t="s">
        <v>477</v>
      </c>
      <c r="K48175" s="18"/>
    </row>
    <row r="48176">
      <c r="B48176" s="17" t="s">
        <v>477</v>
      </c>
      <c r="K48176" s="18"/>
    </row>
    <row r="48177">
      <c r="B48177" s="17" t="s">
        <v>477</v>
      </c>
      <c r="K48177" s="18"/>
    </row>
    <row r="48178">
      <c r="B48178" s="17" t="s">
        <v>477</v>
      </c>
      <c r="K48178" s="18"/>
    </row>
    <row r="48179">
      <c r="B48179" s="17" t="s">
        <v>477</v>
      </c>
      <c r="K48179" s="18"/>
    </row>
    <row r="48180">
      <c r="B48180" s="17" t="s">
        <v>477</v>
      </c>
      <c r="K48180" s="18"/>
    </row>
    <row r="48181">
      <c r="B48181" s="17" t="s">
        <v>477</v>
      </c>
      <c r="K48181" s="18"/>
    </row>
    <row r="48182">
      <c r="B48182" s="17" t="s">
        <v>477</v>
      </c>
      <c r="K48182" s="18"/>
    </row>
    <row r="48183">
      <c r="B48183" s="17" t="s">
        <v>477</v>
      </c>
      <c r="K48183" s="18"/>
    </row>
    <row r="48184">
      <c r="B48184" s="17" t="s">
        <v>477</v>
      </c>
      <c r="K48184" s="18"/>
    </row>
    <row r="48185">
      <c r="B48185" s="17" t="s">
        <v>477</v>
      </c>
      <c r="K48185" s="18"/>
    </row>
    <row r="48186">
      <c r="B48186" s="17" t="s">
        <v>477</v>
      </c>
      <c r="K48186" s="18"/>
    </row>
    <row r="48187">
      <c r="B48187" s="17" t="s">
        <v>477</v>
      </c>
      <c r="K48187" s="18"/>
    </row>
    <row r="48188">
      <c r="B48188" s="17" t="s">
        <v>477</v>
      </c>
      <c r="K48188" s="18"/>
    </row>
    <row r="48189">
      <c r="B48189" s="17" t="s">
        <v>477</v>
      </c>
      <c r="K48189" s="18"/>
    </row>
    <row r="48190">
      <c r="B48190" s="17" t="s">
        <v>477</v>
      </c>
      <c r="K48190" s="18"/>
    </row>
    <row r="48191">
      <c r="B48191" s="17" t="s">
        <v>477</v>
      </c>
      <c r="K48191" s="18"/>
    </row>
    <row r="48192">
      <c r="B48192" s="17" t="s">
        <v>477</v>
      </c>
      <c r="K48192" s="18"/>
    </row>
    <row r="48193">
      <c r="B48193" s="17" t="s">
        <v>477</v>
      </c>
      <c r="K48193" s="18"/>
    </row>
    <row r="48194">
      <c r="B48194" s="17" t="s">
        <v>477</v>
      </c>
      <c r="K48194" s="18"/>
    </row>
    <row r="48195">
      <c r="B48195" s="17" t="s">
        <v>477</v>
      </c>
      <c r="K48195" s="18"/>
    </row>
    <row r="48196">
      <c r="B48196" s="17" t="s">
        <v>477</v>
      </c>
      <c r="K48196" s="18"/>
    </row>
    <row r="48197">
      <c r="B48197" s="17" t="s">
        <v>477</v>
      </c>
      <c r="K48197" s="18"/>
    </row>
    <row r="48198">
      <c r="B48198" s="17" t="s">
        <v>477</v>
      </c>
      <c r="K48198" s="18"/>
    </row>
    <row r="48199">
      <c r="B48199" s="17" t="s">
        <v>477</v>
      </c>
      <c r="K48199" s="18"/>
    </row>
    <row r="48200">
      <c r="B48200" s="17" t="s">
        <v>477</v>
      </c>
      <c r="K48200" s="18"/>
    </row>
    <row r="48201">
      <c r="B48201" s="17" t="s">
        <v>477</v>
      </c>
      <c r="K48201" s="18"/>
    </row>
    <row r="48202">
      <c r="B48202" s="17" t="s">
        <v>477</v>
      </c>
      <c r="K48202" s="18"/>
    </row>
    <row r="48203">
      <c r="B48203" s="17" t="s">
        <v>477</v>
      </c>
      <c r="K48203" s="18"/>
    </row>
    <row r="48204">
      <c r="B48204" s="17" t="s">
        <v>477</v>
      </c>
      <c r="K48204" s="18"/>
    </row>
    <row r="48205">
      <c r="B48205" s="17" t="s">
        <v>477</v>
      </c>
      <c r="K48205" s="18"/>
    </row>
    <row r="48206">
      <c r="B48206" s="17" t="s">
        <v>477</v>
      </c>
      <c r="K48206" s="18"/>
    </row>
    <row r="48207">
      <c r="B48207" s="17" t="s">
        <v>477</v>
      </c>
      <c r="K48207" s="18"/>
    </row>
    <row r="48208">
      <c r="B48208" s="17" t="s">
        <v>477</v>
      </c>
      <c r="K48208" s="18"/>
    </row>
    <row r="48209">
      <c r="B48209" s="17" t="s">
        <v>477</v>
      </c>
      <c r="K48209" s="18"/>
    </row>
    <row r="48210">
      <c r="B48210" s="17" t="s">
        <v>477</v>
      </c>
      <c r="K48210" s="18"/>
    </row>
    <row r="48211">
      <c r="B48211" s="17" t="s">
        <v>477</v>
      </c>
      <c r="K48211" s="18"/>
    </row>
    <row r="48212">
      <c r="B48212" s="17" t="s">
        <v>477</v>
      </c>
      <c r="K48212" s="18"/>
    </row>
    <row r="48213">
      <c r="B48213" s="17" t="s">
        <v>477</v>
      </c>
      <c r="K48213" s="18"/>
    </row>
    <row r="48214">
      <c r="B48214" s="17" t="s">
        <v>477</v>
      </c>
      <c r="K48214" s="18"/>
    </row>
    <row r="48215">
      <c r="B48215" s="17" t="s">
        <v>477</v>
      </c>
      <c r="K48215" s="18"/>
    </row>
    <row r="48216">
      <c r="B48216" s="17" t="s">
        <v>477</v>
      </c>
      <c r="K48216" s="18"/>
    </row>
    <row r="48217">
      <c r="B48217" s="17" t="s">
        <v>477</v>
      </c>
      <c r="K48217" s="18"/>
    </row>
    <row r="48218">
      <c r="B48218" s="17" t="s">
        <v>477</v>
      </c>
      <c r="K48218" s="18"/>
    </row>
    <row r="48219">
      <c r="B48219" s="17" t="s">
        <v>477</v>
      </c>
      <c r="K48219" s="18"/>
    </row>
    <row r="48220">
      <c r="B48220" s="17" t="s">
        <v>477</v>
      </c>
      <c r="K48220" s="18"/>
    </row>
    <row r="48221">
      <c r="B48221" s="17" t="s">
        <v>477</v>
      </c>
      <c r="K48221" s="18"/>
    </row>
    <row r="48222">
      <c r="B48222" s="17" t="s">
        <v>477</v>
      </c>
      <c r="K48222" s="18"/>
    </row>
    <row r="48223">
      <c r="B48223" s="17" t="s">
        <v>477</v>
      </c>
      <c r="K48223" s="18"/>
    </row>
    <row r="48224">
      <c r="B48224" s="17" t="s">
        <v>477</v>
      </c>
      <c r="K48224" s="18"/>
    </row>
    <row r="48225">
      <c r="B48225" s="17" t="s">
        <v>477</v>
      </c>
      <c r="K48225" s="18"/>
    </row>
    <row r="48226">
      <c r="B48226" s="17" t="s">
        <v>477</v>
      </c>
      <c r="K48226" s="18"/>
    </row>
    <row r="48227">
      <c r="B48227" s="17" t="s">
        <v>477</v>
      </c>
      <c r="K48227" s="18"/>
    </row>
    <row r="48228">
      <c r="B48228" s="17" t="s">
        <v>477</v>
      </c>
      <c r="K48228" s="18"/>
    </row>
    <row r="48229">
      <c r="B48229" s="17" t="s">
        <v>477</v>
      </c>
      <c r="K48229" s="18"/>
    </row>
    <row r="48230">
      <c r="B48230" s="17" t="s">
        <v>477</v>
      </c>
      <c r="K48230" s="18"/>
    </row>
    <row r="48231">
      <c r="B48231" s="17" t="s">
        <v>477</v>
      </c>
      <c r="K48231" s="18"/>
    </row>
    <row r="48232">
      <c r="B48232" s="17" t="s">
        <v>477</v>
      </c>
      <c r="K48232" s="18"/>
    </row>
    <row r="48233">
      <c r="B48233" s="17" t="s">
        <v>477</v>
      </c>
      <c r="K48233" s="18"/>
    </row>
    <row r="48234">
      <c r="B48234" s="17" t="s">
        <v>477</v>
      </c>
      <c r="K48234" s="18"/>
    </row>
    <row r="48235">
      <c r="B48235" s="17" t="s">
        <v>477</v>
      </c>
      <c r="K48235" s="18"/>
    </row>
    <row r="48236">
      <c r="B48236" s="17" t="s">
        <v>477</v>
      </c>
      <c r="K48236" s="18"/>
    </row>
    <row r="48237">
      <c r="B48237" s="17" t="s">
        <v>477</v>
      </c>
      <c r="K48237" s="18"/>
    </row>
    <row r="48238">
      <c r="B48238" s="17" t="s">
        <v>477</v>
      </c>
      <c r="K48238" s="18"/>
    </row>
    <row r="48239">
      <c r="B48239" s="17" t="s">
        <v>477</v>
      </c>
      <c r="K48239" s="18"/>
    </row>
    <row r="48240">
      <c r="B48240" s="17" t="s">
        <v>477</v>
      </c>
      <c r="K48240" s="18"/>
    </row>
    <row r="48241">
      <c r="B48241" s="17" t="s">
        <v>477</v>
      </c>
      <c r="K48241" s="18"/>
    </row>
    <row r="48242">
      <c r="B48242" s="17" t="s">
        <v>477</v>
      </c>
      <c r="K48242" s="18"/>
    </row>
    <row r="48243">
      <c r="B48243" s="17" t="s">
        <v>477</v>
      </c>
      <c r="K48243" s="18"/>
    </row>
    <row r="48244">
      <c r="B48244" s="17" t="s">
        <v>477</v>
      </c>
      <c r="K48244" s="18"/>
    </row>
    <row r="48245">
      <c r="B48245" s="17" t="s">
        <v>477</v>
      </c>
      <c r="K48245" s="18"/>
    </row>
    <row r="48246">
      <c r="B48246" s="17" t="s">
        <v>477</v>
      </c>
      <c r="K48246" s="18"/>
    </row>
    <row r="48247">
      <c r="B48247" s="17" t="s">
        <v>477</v>
      </c>
      <c r="K48247" s="18"/>
    </row>
    <row r="48248">
      <c r="B48248" s="17" t="s">
        <v>477</v>
      </c>
      <c r="K48248" s="18"/>
    </row>
    <row r="48249">
      <c r="B48249" s="17" t="s">
        <v>477</v>
      </c>
      <c r="K48249" s="18"/>
    </row>
    <row r="48250">
      <c r="B48250" s="17" t="s">
        <v>477</v>
      </c>
      <c r="K48250" s="18"/>
    </row>
    <row r="48251">
      <c r="B48251" s="17" t="s">
        <v>477</v>
      </c>
      <c r="K48251" s="18"/>
    </row>
    <row r="48252">
      <c r="B48252" s="17" t="s">
        <v>477</v>
      </c>
      <c r="K48252" s="18"/>
    </row>
    <row r="48253">
      <c r="B48253" s="17" t="s">
        <v>477</v>
      </c>
      <c r="K48253" s="18"/>
    </row>
    <row r="48254">
      <c r="B48254" s="17" t="s">
        <v>477</v>
      </c>
      <c r="K48254" s="18"/>
    </row>
    <row r="48255">
      <c r="B48255" s="17" t="s">
        <v>477</v>
      </c>
      <c r="K48255" s="18"/>
    </row>
    <row r="48256">
      <c r="B48256" s="17" t="s">
        <v>477</v>
      </c>
      <c r="K48256" s="18"/>
    </row>
    <row r="48257">
      <c r="B48257" s="17" t="s">
        <v>477</v>
      </c>
      <c r="K48257" s="18"/>
    </row>
    <row r="48258">
      <c r="B48258" s="17" t="s">
        <v>477</v>
      </c>
      <c r="K48258" s="18"/>
    </row>
    <row r="48259">
      <c r="B48259" s="17" t="s">
        <v>477</v>
      </c>
      <c r="K48259" s="18"/>
    </row>
    <row r="48260">
      <c r="B48260" s="17" t="s">
        <v>477</v>
      </c>
      <c r="K48260" s="18"/>
    </row>
    <row r="48261">
      <c r="B48261" s="17" t="s">
        <v>477</v>
      </c>
      <c r="K48261" s="18"/>
    </row>
    <row r="48262">
      <c r="B48262" s="17" t="s">
        <v>477</v>
      </c>
      <c r="K48262" s="18"/>
    </row>
    <row r="48263">
      <c r="B48263" s="17" t="s">
        <v>477</v>
      </c>
      <c r="K48263" s="18"/>
    </row>
    <row r="48264">
      <c r="B48264" s="17" t="s">
        <v>477</v>
      </c>
      <c r="K48264" s="18"/>
    </row>
    <row r="48265">
      <c r="B48265" s="17" t="s">
        <v>477</v>
      </c>
      <c r="K48265" s="18"/>
    </row>
    <row r="48266">
      <c r="B48266" s="17" t="s">
        <v>477</v>
      </c>
      <c r="K48266" s="18"/>
    </row>
    <row r="48267">
      <c r="B48267" s="17" t="s">
        <v>477</v>
      </c>
      <c r="K48267" s="18"/>
    </row>
    <row r="48268">
      <c r="B48268" s="17" t="s">
        <v>477</v>
      </c>
      <c r="K48268" s="18"/>
    </row>
    <row r="48269">
      <c r="B48269" s="17" t="s">
        <v>477</v>
      </c>
      <c r="K48269" s="18"/>
    </row>
    <row r="48270">
      <c r="B48270" s="17" t="s">
        <v>477</v>
      </c>
      <c r="K48270" s="18"/>
    </row>
    <row r="48271">
      <c r="B48271" s="17" t="s">
        <v>477</v>
      </c>
      <c r="K48271" s="18"/>
    </row>
    <row r="48272">
      <c r="B48272" s="17" t="s">
        <v>477</v>
      </c>
      <c r="K48272" s="18"/>
    </row>
    <row r="48273">
      <c r="B48273" s="17" t="s">
        <v>477</v>
      </c>
      <c r="K48273" s="18"/>
    </row>
    <row r="48274">
      <c r="B48274" s="17" t="s">
        <v>477</v>
      </c>
      <c r="K48274" s="18"/>
    </row>
    <row r="48275">
      <c r="B48275" s="17" t="s">
        <v>477</v>
      </c>
      <c r="K48275" s="18"/>
    </row>
    <row r="48276">
      <c r="B48276" s="17" t="s">
        <v>477</v>
      </c>
      <c r="K48276" s="18"/>
    </row>
    <row r="48277">
      <c r="B48277" s="17" t="s">
        <v>477</v>
      </c>
      <c r="K48277" s="18"/>
    </row>
    <row r="48278">
      <c r="B48278" s="17" t="s">
        <v>477</v>
      </c>
      <c r="K48278" s="18"/>
    </row>
    <row r="48279">
      <c r="B48279" s="17" t="s">
        <v>477</v>
      </c>
      <c r="K48279" s="18"/>
    </row>
    <row r="48280">
      <c r="B48280" s="17" t="s">
        <v>477</v>
      </c>
      <c r="K48280" s="18"/>
    </row>
    <row r="48281">
      <c r="B48281" s="17" t="s">
        <v>477</v>
      </c>
      <c r="K48281" s="18"/>
    </row>
    <row r="48282">
      <c r="B48282" s="17" t="s">
        <v>477</v>
      </c>
      <c r="K48282" s="18"/>
    </row>
    <row r="48283">
      <c r="B48283" s="17" t="s">
        <v>477</v>
      </c>
      <c r="K48283" s="18"/>
    </row>
    <row r="48284">
      <c r="B48284" s="17" t="s">
        <v>477</v>
      </c>
      <c r="K48284" s="18"/>
    </row>
    <row r="48285">
      <c r="B48285" s="17" t="s">
        <v>477</v>
      </c>
      <c r="K48285" s="18"/>
    </row>
    <row r="48286">
      <c r="B48286" s="17" t="s">
        <v>477</v>
      </c>
      <c r="K48286" s="18"/>
    </row>
    <row r="48287">
      <c r="B48287" s="17" t="s">
        <v>477</v>
      </c>
      <c r="K48287" s="18"/>
    </row>
    <row r="48288">
      <c r="B48288" s="17" t="s">
        <v>477</v>
      </c>
      <c r="K48288" s="18"/>
    </row>
    <row r="48289">
      <c r="B48289" s="17" t="s">
        <v>477</v>
      </c>
      <c r="K48289" s="18"/>
    </row>
    <row r="48290">
      <c r="B48290" s="17" t="s">
        <v>477</v>
      </c>
      <c r="K48290" s="18"/>
    </row>
    <row r="48291">
      <c r="B48291" s="17" t="s">
        <v>477</v>
      </c>
      <c r="K48291" s="18"/>
    </row>
    <row r="48292">
      <c r="B48292" s="17" t="s">
        <v>477</v>
      </c>
      <c r="K48292" s="18"/>
    </row>
    <row r="48293">
      <c r="B48293" s="17" t="s">
        <v>477</v>
      </c>
      <c r="K48293" s="18"/>
    </row>
    <row r="48294">
      <c r="B48294" s="17" t="s">
        <v>477</v>
      </c>
      <c r="K48294" s="18"/>
    </row>
    <row r="48295">
      <c r="B48295" s="17" t="s">
        <v>477</v>
      </c>
      <c r="K48295" s="18"/>
    </row>
    <row r="48296">
      <c r="B48296" s="17" t="s">
        <v>477</v>
      </c>
      <c r="K48296" s="18"/>
    </row>
    <row r="48297">
      <c r="B48297" s="17" t="s">
        <v>477</v>
      </c>
      <c r="K48297" s="18"/>
    </row>
    <row r="48298">
      <c r="B48298" s="17" t="s">
        <v>477</v>
      </c>
      <c r="K48298" s="18"/>
    </row>
    <row r="48299">
      <c r="B48299" s="17" t="s">
        <v>477</v>
      </c>
      <c r="K48299" s="18"/>
    </row>
    <row r="48300">
      <c r="B48300" s="17" t="s">
        <v>477</v>
      </c>
      <c r="K48300" s="18"/>
    </row>
    <row r="48301">
      <c r="B48301" s="17" t="s">
        <v>477</v>
      </c>
      <c r="K48301" s="18"/>
    </row>
    <row r="48302">
      <c r="B48302" s="17" t="s">
        <v>477</v>
      </c>
      <c r="K48302" s="18"/>
    </row>
    <row r="48303">
      <c r="B48303" s="17" t="s">
        <v>477</v>
      </c>
      <c r="K48303" s="18"/>
    </row>
    <row r="48304">
      <c r="B48304" s="17" t="s">
        <v>477</v>
      </c>
      <c r="K48304" s="18"/>
    </row>
    <row r="48305">
      <c r="B48305" s="17" t="s">
        <v>477</v>
      </c>
      <c r="K48305" s="18"/>
    </row>
    <row r="48306">
      <c r="B48306" s="17" t="s">
        <v>477</v>
      </c>
      <c r="K48306" s="18"/>
    </row>
    <row r="48307">
      <c r="B48307" s="17" t="s">
        <v>477</v>
      </c>
      <c r="K48307" s="18"/>
    </row>
    <row r="48308">
      <c r="B48308" s="17" t="s">
        <v>477</v>
      </c>
      <c r="K48308" s="18"/>
    </row>
    <row r="48309">
      <c r="B48309" s="17" t="s">
        <v>477</v>
      </c>
      <c r="K48309" s="18"/>
    </row>
    <row r="48310">
      <c r="B48310" s="17" t="s">
        <v>477</v>
      </c>
      <c r="K48310" s="18"/>
    </row>
    <row r="48311">
      <c r="B48311" s="17" t="s">
        <v>477</v>
      </c>
      <c r="K48311" s="18"/>
    </row>
    <row r="48312">
      <c r="B48312" s="17" t="s">
        <v>477</v>
      </c>
      <c r="K48312" s="18"/>
    </row>
    <row r="48313">
      <c r="B48313" s="17" t="s">
        <v>477</v>
      </c>
      <c r="K48313" s="18"/>
    </row>
    <row r="48314">
      <c r="B48314" s="17" t="s">
        <v>477</v>
      </c>
      <c r="K48314" s="18"/>
    </row>
    <row r="48315">
      <c r="B48315" s="17" t="s">
        <v>477</v>
      </c>
      <c r="K48315" s="18"/>
    </row>
    <row r="48316">
      <c r="B48316" s="17" t="s">
        <v>477</v>
      </c>
      <c r="K48316" s="18"/>
    </row>
    <row r="48317">
      <c r="B48317" s="17" t="s">
        <v>477</v>
      </c>
      <c r="K48317" s="18"/>
    </row>
    <row r="48318">
      <c r="B48318" s="17" t="s">
        <v>477</v>
      </c>
      <c r="K48318" s="18"/>
    </row>
    <row r="48319">
      <c r="B48319" s="17" t="s">
        <v>477</v>
      </c>
      <c r="K48319" s="18"/>
    </row>
    <row r="48320">
      <c r="B48320" s="17" t="s">
        <v>477</v>
      </c>
      <c r="K48320" s="18"/>
    </row>
    <row r="48321">
      <c r="B48321" s="17" t="s">
        <v>477</v>
      </c>
      <c r="K48321" s="18"/>
    </row>
    <row r="48322">
      <c r="B48322" s="17" t="s">
        <v>477</v>
      </c>
      <c r="K48322" s="18"/>
    </row>
    <row r="48323">
      <c r="B48323" s="17" t="s">
        <v>477</v>
      </c>
      <c r="K48323" s="18"/>
    </row>
    <row r="48324">
      <c r="B48324" s="17" t="s">
        <v>477</v>
      </c>
      <c r="K48324" s="18"/>
    </row>
    <row r="48325">
      <c r="B48325" s="17" t="s">
        <v>477</v>
      </c>
      <c r="K48325" s="18"/>
    </row>
    <row r="48326">
      <c r="B48326" s="17" t="s">
        <v>477</v>
      </c>
      <c r="K48326" s="18"/>
    </row>
    <row r="48327">
      <c r="B48327" s="17" t="s">
        <v>477</v>
      </c>
      <c r="K48327" s="18"/>
    </row>
    <row r="48328">
      <c r="B48328" s="17" t="s">
        <v>477</v>
      </c>
      <c r="K48328" s="18"/>
    </row>
    <row r="48329">
      <c r="B48329" s="17" t="s">
        <v>477</v>
      </c>
      <c r="K48329" s="18"/>
    </row>
    <row r="48330">
      <c r="B48330" s="17" t="s">
        <v>477</v>
      </c>
      <c r="K48330" s="18"/>
    </row>
    <row r="48331">
      <c r="B48331" s="17" t="s">
        <v>477</v>
      </c>
      <c r="K48331" s="18"/>
    </row>
    <row r="48332">
      <c r="B48332" s="17" t="s">
        <v>477</v>
      </c>
      <c r="K48332" s="18"/>
    </row>
    <row r="48333">
      <c r="B48333" s="17" t="s">
        <v>477</v>
      </c>
      <c r="K48333" s="18"/>
    </row>
    <row r="48334">
      <c r="B48334" s="17" t="s">
        <v>477</v>
      </c>
      <c r="K48334" s="18"/>
    </row>
    <row r="48335">
      <c r="B48335" s="17" t="s">
        <v>477</v>
      </c>
      <c r="K48335" s="18"/>
    </row>
    <row r="48336">
      <c r="B48336" s="17" t="s">
        <v>477</v>
      </c>
      <c r="K48336" s="18"/>
    </row>
    <row r="48337">
      <c r="B48337" s="17" t="s">
        <v>477</v>
      </c>
      <c r="K48337" s="18"/>
    </row>
    <row r="48338">
      <c r="B48338" s="17" t="s">
        <v>477</v>
      </c>
      <c r="K48338" s="18"/>
    </row>
    <row r="48339">
      <c r="B48339" s="17" t="s">
        <v>477</v>
      </c>
      <c r="K48339" s="18"/>
    </row>
    <row r="48340">
      <c r="B48340" s="17" t="s">
        <v>477</v>
      </c>
      <c r="K48340" s="18"/>
    </row>
    <row r="48341">
      <c r="B48341" s="17" t="s">
        <v>477</v>
      </c>
      <c r="K48341" s="18"/>
    </row>
    <row r="48342">
      <c r="B48342" s="17" t="s">
        <v>477</v>
      </c>
      <c r="K48342" s="18"/>
    </row>
    <row r="48343">
      <c r="B48343" s="17" t="s">
        <v>477</v>
      </c>
      <c r="K48343" s="18"/>
    </row>
    <row r="48344">
      <c r="B48344" s="17" t="s">
        <v>477</v>
      </c>
      <c r="K48344" s="18"/>
    </row>
    <row r="48345">
      <c r="B48345" s="17" t="s">
        <v>477</v>
      </c>
      <c r="K48345" s="18"/>
    </row>
    <row r="48346">
      <c r="B48346" s="17" t="s">
        <v>477</v>
      </c>
      <c r="K48346" s="18"/>
    </row>
    <row r="48347">
      <c r="B48347" s="17" t="s">
        <v>477</v>
      </c>
      <c r="K48347" s="18"/>
    </row>
    <row r="48348">
      <c r="B48348" s="17" t="s">
        <v>477</v>
      </c>
      <c r="K48348" s="18"/>
    </row>
    <row r="48349">
      <c r="B48349" s="17" t="s">
        <v>477</v>
      </c>
      <c r="K48349" s="18"/>
    </row>
    <row r="48350">
      <c r="B48350" s="17" t="s">
        <v>477</v>
      </c>
      <c r="K48350" s="18"/>
    </row>
    <row r="48351">
      <c r="B48351" s="17" t="s">
        <v>477</v>
      </c>
      <c r="K48351" s="18"/>
    </row>
    <row r="48352">
      <c r="B48352" s="17" t="s">
        <v>477</v>
      </c>
      <c r="K48352" s="18"/>
    </row>
    <row r="48353">
      <c r="B48353" s="17" t="s">
        <v>477</v>
      </c>
      <c r="K48353" s="18"/>
    </row>
    <row r="48354">
      <c r="B48354" s="17" t="s">
        <v>477</v>
      </c>
      <c r="K48354" s="18"/>
    </row>
    <row r="48355">
      <c r="B48355" s="17" t="s">
        <v>477</v>
      </c>
      <c r="K48355" s="18"/>
    </row>
    <row r="48356">
      <c r="B48356" s="17" t="s">
        <v>477</v>
      </c>
      <c r="K48356" s="18"/>
    </row>
    <row r="48357">
      <c r="B48357" s="17" t="s">
        <v>477</v>
      </c>
      <c r="K48357" s="18"/>
    </row>
    <row r="48358">
      <c r="B48358" s="17" t="s">
        <v>477</v>
      </c>
      <c r="K48358" s="18"/>
    </row>
    <row r="48359">
      <c r="B48359" s="17" t="s">
        <v>477</v>
      </c>
      <c r="K48359" s="18"/>
    </row>
    <row r="48360">
      <c r="B48360" s="17" t="s">
        <v>477</v>
      </c>
      <c r="K48360" s="18"/>
    </row>
    <row r="48361">
      <c r="B48361" s="17" t="s">
        <v>477</v>
      </c>
      <c r="K48361" s="18"/>
    </row>
    <row r="48362">
      <c r="B48362" s="17" t="s">
        <v>477</v>
      </c>
      <c r="K48362" s="18"/>
    </row>
    <row r="48363">
      <c r="B48363" s="17" t="s">
        <v>477</v>
      </c>
      <c r="K48363" s="18"/>
    </row>
    <row r="48364">
      <c r="B48364" s="17" t="s">
        <v>477</v>
      </c>
      <c r="K48364" s="18"/>
    </row>
    <row r="48365">
      <c r="B48365" s="17" t="s">
        <v>477</v>
      </c>
      <c r="K48365" s="18"/>
    </row>
    <row r="48366">
      <c r="B48366" s="17" t="s">
        <v>477</v>
      </c>
      <c r="K48366" s="18"/>
    </row>
    <row r="48367">
      <c r="B48367" s="17" t="s">
        <v>477</v>
      </c>
      <c r="K48367" s="18"/>
    </row>
    <row r="48368">
      <c r="B48368" s="17" t="s">
        <v>477</v>
      </c>
      <c r="K48368" s="18"/>
    </row>
    <row r="48369">
      <c r="B48369" s="17" t="s">
        <v>477</v>
      </c>
      <c r="K48369" s="18"/>
    </row>
    <row r="48370">
      <c r="B48370" s="17" t="s">
        <v>477</v>
      </c>
      <c r="K48370" s="18"/>
    </row>
    <row r="48371">
      <c r="B48371" s="17" t="s">
        <v>477</v>
      </c>
      <c r="K48371" s="18"/>
    </row>
    <row r="48372">
      <c r="B48372" s="17" t="s">
        <v>477</v>
      </c>
      <c r="K48372" s="18"/>
    </row>
    <row r="48373">
      <c r="B48373" s="17" t="s">
        <v>477</v>
      </c>
      <c r="K48373" s="18"/>
    </row>
    <row r="48374">
      <c r="B48374" s="17" t="s">
        <v>477</v>
      </c>
      <c r="K48374" s="18"/>
    </row>
    <row r="48375">
      <c r="B48375" s="17" t="s">
        <v>477</v>
      </c>
      <c r="K48375" s="18"/>
    </row>
    <row r="48376">
      <c r="B48376" s="17" t="s">
        <v>477</v>
      </c>
      <c r="K48376" s="18"/>
    </row>
    <row r="48377">
      <c r="B48377" s="17" t="s">
        <v>477</v>
      </c>
      <c r="K48377" s="18"/>
    </row>
    <row r="48378">
      <c r="B48378" s="17" t="s">
        <v>477</v>
      </c>
      <c r="K48378" s="18"/>
    </row>
    <row r="48379">
      <c r="B48379" s="17" t="s">
        <v>477</v>
      </c>
      <c r="K48379" s="18"/>
    </row>
    <row r="48380">
      <c r="B48380" s="17" t="s">
        <v>477</v>
      </c>
      <c r="K48380" s="18"/>
    </row>
    <row r="48381">
      <c r="B48381" s="17" t="s">
        <v>477</v>
      </c>
      <c r="K48381" s="18"/>
    </row>
    <row r="48382">
      <c r="B48382" s="17" t="s">
        <v>477</v>
      </c>
      <c r="K48382" s="18"/>
    </row>
    <row r="48383">
      <c r="B48383" s="17" t="s">
        <v>477</v>
      </c>
      <c r="K48383" s="18"/>
    </row>
    <row r="48384">
      <c r="B48384" s="17" t="s">
        <v>477</v>
      </c>
      <c r="K48384" s="18"/>
    </row>
    <row r="48385">
      <c r="B48385" s="17" t="s">
        <v>477</v>
      </c>
      <c r="K48385" s="18"/>
    </row>
    <row r="48386">
      <c r="B48386" s="17" t="s">
        <v>477</v>
      </c>
      <c r="K48386" s="18"/>
    </row>
    <row r="48387">
      <c r="B48387" s="17" t="s">
        <v>477</v>
      </c>
      <c r="K48387" s="18"/>
    </row>
    <row r="48388">
      <c r="B48388" s="17" t="s">
        <v>477</v>
      </c>
      <c r="K48388" s="18"/>
    </row>
    <row r="48389">
      <c r="B48389" s="17" t="s">
        <v>477</v>
      </c>
      <c r="K48389" s="18"/>
    </row>
    <row r="48390">
      <c r="B48390" s="17" t="s">
        <v>477</v>
      </c>
      <c r="K48390" s="18"/>
    </row>
    <row r="48391">
      <c r="B48391" s="17" t="s">
        <v>477</v>
      </c>
      <c r="K48391" s="18"/>
    </row>
    <row r="48392">
      <c r="B48392" s="17" t="s">
        <v>477</v>
      </c>
      <c r="K48392" s="18"/>
    </row>
    <row r="48393">
      <c r="B48393" s="17" t="s">
        <v>477</v>
      </c>
      <c r="K48393" s="18"/>
    </row>
    <row r="48394">
      <c r="B48394" s="17" t="s">
        <v>477</v>
      </c>
      <c r="K48394" s="18"/>
    </row>
    <row r="48395">
      <c r="B48395" s="17" t="s">
        <v>477</v>
      </c>
      <c r="K48395" s="18"/>
    </row>
    <row r="48396">
      <c r="B48396" s="17" t="s">
        <v>477</v>
      </c>
      <c r="K48396" s="18"/>
    </row>
    <row r="48397">
      <c r="B48397" s="17" t="s">
        <v>477</v>
      </c>
      <c r="K48397" s="18"/>
    </row>
    <row r="48398">
      <c r="B48398" s="17" t="s">
        <v>477</v>
      </c>
      <c r="K48398" s="18"/>
    </row>
    <row r="48399">
      <c r="B48399" s="17" t="s">
        <v>477</v>
      </c>
      <c r="K48399" s="18"/>
    </row>
    <row r="48400">
      <c r="B48400" s="17" t="s">
        <v>477</v>
      </c>
      <c r="K48400" s="18"/>
    </row>
    <row r="48401">
      <c r="B48401" s="17" t="s">
        <v>477</v>
      </c>
      <c r="K48401" s="18"/>
    </row>
    <row r="48402">
      <c r="B48402" s="17" t="s">
        <v>477</v>
      </c>
      <c r="K48402" s="18"/>
    </row>
    <row r="48403">
      <c r="B48403" s="17" t="s">
        <v>477</v>
      </c>
      <c r="K48403" s="18"/>
    </row>
    <row r="48404">
      <c r="B48404" s="17" t="s">
        <v>477</v>
      </c>
      <c r="K48404" s="18"/>
    </row>
    <row r="48405">
      <c r="B48405" s="17" t="s">
        <v>477</v>
      </c>
      <c r="K48405" s="18"/>
    </row>
    <row r="48406">
      <c r="B48406" s="17" t="s">
        <v>477</v>
      </c>
      <c r="K48406" s="18"/>
    </row>
    <row r="48407">
      <c r="B48407" s="17" t="s">
        <v>477</v>
      </c>
      <c r="K48407" s="18"/>
    </row>
    <row r="48408">
      <c r="B48408" s="17" t="s">
        <v>477</v>
      </c>
      <c r="K48408" s="18"/>
    </row>
    <row r="48409">
      <c r="B48409" s="17" t="s">
        <v>477</v>
      </c>
      <c r="K48409" s="18"/>
    </row>
    <row r="48410">
      <c r="B48410" s="17" t="s">
        <v>477</v>
      </c>
      <c r="K48410" s="18"/>
    </row>
    <row r="48411">
      <c r="B48411" s="17" t="s">
        <v>477</v>
      </c>
      <c r="K48411" s="18"/>
    </row>
    <row r="48412">
      <c r="B48412" s="17" t="s">
        <v>477</v>
      </c>
      <c r="K48412" s="18"/>
    </row>
    <row r="48413">
      <c r="B48413" s="17" t="s">
        <v>477</v>
      </c>
      <c r="K48413" s="18"/>
    </row>
    <row r="48414">
      <c r="B48414" s="17" t="s">
        <v>477</v>
      </c>
      <c r="K48414" s="18"/>
    </row>
    <row r="48415">
      <c r="B48415" s="17" t="s">
        <v>477</v>
      </c>
      <c r="K48415" s="18"/>
    </row>
    <row r="48416">
      <c r="B48416" s="17" t="s">
        <v>477</v>
      </c>
      <c r="K48416" s="18"/>
    </row>
    <row r="48417">
      <c r="B48417" s="17" t="s">
        <v>477</v>
      </c>
      <c r="K48417" s="18"/>
    </row>
    <row r="48418">
      <c r="B48418" s="17" t="s">
        <v>477</v>
      </c>
      <c r="K48418" s="18"/>
    </row>
    <row r="48419">
      <c r="B48419" s="17" t="s">
        <v>477</v>
      </c>
      <c r="K48419" s="18"/>
    </row>
    <row r="48420">
      <c r="B48420" s="17" t="s">
        <v>477</v>
      </c>
      <c r="K48420" s="18"/>
    </row>
    <row r="48421">
      <c r="B48421" s="17" t="s">
        <v>477</v>
      </c>
      <c r="K48421" s="18"/>
    </row>
    <row r="48422">
      <c r="B48422" s="17" t="s">
        <v>477</v>
      </c>
      <c r="K48422" s="18"/>
    </row>
    <row r="48423">
      <c r="B48423" s="17" t="s">
        <v>477</v>
      </c>
      <c r="K48423" s="18"/>
    </row>
    <row r="48424">
      <c r="B48424" s="17" t="s">
        <v>477</v>
      </c>
      <c r="K48424" s="18"/>
    </row>
    <row r="48425">
      <c r="B48425" s="17" t="s">
        <v>477</v>
      </c>
      <c r="K48425" s="18"/>
    </row>
    <row r="48426">
      <c r="B48426" s="17" t="s">
        <v>477</v>
      </c>
      <c r="K48426" s="18"/>
    </row>
    <row r="48427">
      <c r="B48427" s="17" t="s">
        <v>477</v>
      </c>
      <c r="K48427" s="18"/>
    </row>
    <row r="48428">
      <c r="B48428" s="17" t="s">
        <v>477</v>
      </c>
      <c r="K48428" s="18"/>
    </row>
    <row r="48429">
      <c r="B48429" s="17" t="s">
        <v>477</v>
      </c>
      <c r="K48429" s="18"/>
    </row>
    <row r="48430">
      <c r="B48430" s="17" t="s">
        <v>477</v>
      </c>
      <c r="K48430" s="18"/>
    </row>
    <row r="48431">
      <c r="B48431" s="17" t="s">
        <v>477</v>
      </c>
      <c r="K48431" s="18"/>
    </row>
    <row r="48432">
      <c r="B48432" s="17" t="s">
        <v>477</v>
      </c>
      <c r="K48432" s="18"/>
    </row>
    <row r="48433">
      <c r="B48433" s="17" t="s">
        <v>477</v>
      </c>
      <c r="K48433" s="18"/>
    </row>
    <row r="48434">
      <c r="B48434" s="17" t="s">
        <v>477</v>
      </c>
      <c r="K48434" s="18"/>
    </row>
    <row r="48435">
      <c r="B48435" s="17" t="s">
        <v>477</v>
      </c>
      <c r="K48435" s="18"/>
    </row>
    <row r="48436">
      <c r="B48436" s="17" t="s">
        <v>477</v>
      </c>
      <c r="K48436" s="18"/>
    </row>
    <row r="48437">
      <c r="B48437" s="17" t="s">
        <v>477</v>
      </c>
      <c r="K48437" s="18"/>
    </row>
    <row r="48438">
      <c r="B48438" s="17" t="s">
        <v>477</v>
      </c>
      <c r="K48438" s="18"/>
    </row>
    <row r="48439">
      <c r="B48439" s="17" t="s">
        <v>477</v>
      </c>
      <c r="K48439" s="18"/>
    </row>
    <row r="48440">
      <c r="B48440" s="17" t="s">
        <v>477</v>
      </c>
      <c r="K48440" s="18"/>
    </row>
    <row r="48441">
      <c r="B48441" s="17" t="s">
        <v>477</v>
      </c>
      <c r="K48441" s="18"/>
    </row>
    <row r="48442">
      <c r="B48442" s="17" t="s">
        <v>477</v>
      </c>
      <c r="K48442" s="18"/>
    </row>
    <row r="48443">
      <c r="B48443" s="17" t="s">
        <v>477</v>
      </c>
      <c r="K48443" s="18"/>
    </row>
    <row r="48444">
      <c r="B48444" s="17" t="s">
        <v>477</v>
      </c>
      <c r="K48444" s="18"/>
    </row>
    <row r="48445">
      <c r="B48445" s="17" t="s">
        <v>477</v>
      </c>
      <c r="K48445" s="18"/>
    </row>
    <row r="48446">
      <c r="B48446" s="17" t="s">
        <v>477</v>
      </c>
      <c r="K48446" s="18"/>
    </row>
    <row r="48447">
      <c r="B48447" s="17" t="s">
        <v>477</v>
      </c>
      <c r="K48447" s="18"/>
    </row>
    <row r="48448">
      <c r="B48448" s="17" t="s">
        <v>477</v>
      </c>
      <c r="K48448" s="18"/>
    </row>
    <row r="48449">
      <c r="B48449" s="17" t="s">
        <v>477</v>
      </c>
      <c r="K48449" s="18"/>
    </row>
    <row r="48450">
      <c r="B48450" s="17" t="s">
        <v>477</v>
      </c>
      <c r="K48450" s="18"/>
    </row>
    <row r="48451">
      <c r="B48451" s="17" t="s">
        <v>477</v>
      </c>
      <c r="K48451" s="18"/>
    </row>
    <row r="48452">
      <c r="B48452" s="17" t="s">
        <v>477</v>
      </c>
      <c r="K48452" s="18"/>
    </row>
    <row r="48453">
      <c r="B48453" s="17" t="s">
        <v>477</v>
      </c>
      <c r="K48453" s="18"/>
    </row>
    <row r="48454">
      <c r="B48454" s="17" t="s">
        <v>477</v>
      </c>
      <c r="K48454" s="18"/>
    </row>
    <row r="48455">
      <c r="B48455" s="17" t="s">
        <v>477</v>
      </c>
      <c r="K48455" s="18"/>
    </row>
    <row r="48456">
      <c r="B48456" s="17" t="s">
        <v>477</v>
      </c>
      <c r="K48456" s="18"/>
    </row>
    <row r="48457">
      <c r="B48457" s="17" t="s">
        <v>477</v>
      </c>
      <c r="K48457" s="18"/>
    </row>
    <row r="48458">
      <c r="B48458" s="17" t="s">
        <v>477</v>
      </c>
      <c r="K48458" s="18"/>
    </row>
    <row r="48459">
      <c r="B48459" s="17" t="s">
        <v>477</v>
      </c>
      <c r="K48459" s="18"/>
    </row>
    <row r="48460">
      <c r="B48460" s="17" t="s">
        <v>477</v>
      </c>
      <c r="K48460" s="18"/>
    </row>
    <row r="48461">
      <c r="B48461" s="17" t="s">
        <v>477</v>
      </c>
      <c r="K48461" s="18"/>
    </row>
    <row r="48462">
      <c r="B48462" s="17" t="s">
        <v>477</v>
      </c>
      <c r="K48462" s="18"/>
    </row>
    <row r="48463">
      <c r="B48463" s="17" t="s">
        <v>477</v>
      </c>
      <c r="K48463" s="18"/>
    </row>
    <row r="48464">
      <c r="B48464" s="17" t="s">
        <v>477</v>
      </c>
      <c r="K48464" s="18"/>
    </row>
    <row r="48465">
      <c r="B48465" s="17" t="s">
        <v>477</v>
      </c>
      <c r="K48465" s="18"/>
    </row>
    <row r="48466">
      <c r="B48466" s="17" t="s">
        <v>477</v>
      </c>
      <c r="K48466" s="18"/>
    </row>
    <row r="48467">
      <c r="B48467" s="17" t="s">
        <v>477</v>
      </c>
      <c r="K48467" s="18"/>
    </row>
    <row r="48468">
      <c r="B48468" s="17" t="s">
        <v>477</v>
      </c>
      <c r="K48468" s="18"/>
    </row>
    <row r="48469">
      <c r="B48469" s="17" t="s">
        <v>477</v>
      </c>
      <c r="K48469" s="18"/>
    </row>
    <row r="48470">
      <c r="B48470" s="17" t="s">
        <v>477</v>
      </c>
      <c r="K48470" s="18"/>
    </row>
    <row r="48471">
      <c r="B48471" s="17" t="s">
        <v>477</v>
      </c>
      <c r="K48471" s="18"/>
    </row>
    <row r="48472">
      <c r="B48472" s="17" t="s">
        <v>477</v>
      </c>
      <c r="K48472" s="18"/>
    </row>
    <row r="48473">
      <c r="B48473" s="17" t="s">
        <v>477</v>
      </c>
      <c r="K48473" s="18"/>
    </row>
    <row r="48474">
      <c r="B48474" s="17" t="s">
        <v>477</v>
      </c>
      <c r="K48474" s="18"/>
    </row>
    <row r="48475">
      <c r="B48475" s="17" t="s">
        <v>477</v>
      </c>
      <c r="K48475" s="18"/>
    </row>
    <row r="48476">
      <c r="B48476" s="17" t="s">
        <v>477</v>
      </c>
      <c r="K48476" s="18"/>
    </row>
    <row r="48477">
      <c r="B48477" s="17" t="s">
        <v>477</v>
      </c>
      <c r="K48477" s="18"/>
    </row>
    <row r="48478">
      <c r="B48478" s="17" t="s">
        <v>477</v>
      </c>
      <c r="K48478" s="18"/>
    </row>
    <row r="48479">
      <c r="B48479" s="17" t="s">
        <v>477</v>
      </c>
      <c r="K48479" s="18"/>
    </row>
    <row r="48480">
      <c r="B48480" s="17" t="s">
        <v>477</v>
      </c>
      <c r="K48480" s="18"/>
    </row>
    <row r="48481">
      <c r="B48481" s="17" t="s">
        <v>477</v>
      </c>
      <c r="K48481" s="18"/>
    </row>
    <row r="48482">
      <c r="B48482" s="17" t="s">
        <v>477</v>
      </c>
      <c r="K48482" s="18"/>
    </row>
    <row r="48483">
      <c r="B48483" s="17" t="s">
        <v>477</v>
      </c>
      <c r="K48483" s="18"/>
    </row>
    <row r="48484">
      <c r="B48484" s="17" t="s">
        <v>477</v>
      </c>
      <c r="K48484" s="18"/>
    </row>
    <row r="48485">
      <c r="B48485" s="17" t="s">
        <v>477</v>
      </c>
      <c r="K48485" s="18"/>
    </row>
    <row r="48486">
      <c r="B48486" s="17" t="s">
        <v>477</v>
      </c>
      <c r="K48486" s="18"/>
    </row>
    <row r="48487">
      <c r="B48487" s="17" t="s">
        <v>477</v>
      </c>
      <c r="K48487" s="18"/>
    </row>
    <row r="48488">
      <c r="B48488" s="17" t="s">
        <v>477</v>
      </c>
      <c r="K48488" s="18"/>
    </row>
    <row r="48489">
      <c r="B48489" s="17" t="s">
        <v>477</v>
      </c>
      <c r="K48489" s="18"/>
    </row>
    <row r="48490">
      <c r="B48490" s="17" t="s">
        <v>477</v>
      </c>
      <c r="K48490" s="18"/>
    </row>
    <row r="48491">
      <c r="B48491" s="17" t="s">
        <v>477</v>
      </c>
      <c r="K48491" s="18"/>
    </row>
    <row r="48492">
      <c r="B48492" s="17" t="s">
        <v>477</v>
      </c>
      <c r="K48492" s="18"/>
    </row>
    <row r="48493">
      <c r="B48493" s="17" t="s">
        <v>477</v>
      </c>
      <c r="K48493" s="18"/>
    </row>
    <row r="48494">
      <c r="B48494" s="17" t="s">
        <v>477</v>
      </c>
      <c r="K48494" s="18"/>
    </row>
    <row r="48495">
      <c r="B48495" s="17" t="s">
        <v>477</v>
      </c>
      <c r="K48495" s="18"/>
    </row>
    <row r="48496">
      <c r="B48496" s="17" t="s">
        <v>477</v>
      </c>
      <c r="K48496" s="18"/>
    </row>
    <row r="48497">
      <c r="B48497" s="17" t="s">
        <v>477</v>
      </c>
      <c r="K48497" s="18"/>
    </row>
    <row r="48498">
      <c r="B48498" s="17" t="s">
        <v>477</v>
      </c>
      <c r="K48498" s="18"/>
    </row>
    <row r="48499">
      <c r="B48499" s="17" t="s">
        <v>477</v>
      </c>
      <c r="K48499" s="18"/>
    </row>
    <row r="48500">
      <c r="B48500" s="17" t="s">
        <v>477</v>
      </c>
      <c r="K48500" s="18"/>
    </row>
    <row r="48501">
      <c r="B48501" s="17" t="s">
        <v>477</v>
      </c>
      <c r="K48501" s="18"/>
    </row>
    <row r="48502">
      <c r="B48502" s="17" t="s">
        <v>477</v>
      </c>
      <c r="K48502" s="18"/>
    </row>
    <row r="48503">
      <c r="B48503" s="17" t="s">
        <v>477</v>
      </c>
      <c r="K48503" s="18"/>
    </row>
    <row r="48504">
      <c r="B48504" s="17" t="s">
        <v>477</v>
      </c>
      <c r="K48504" s="18"/>
    </row>
    <row r="48505">
      <c r="B48505" s="17" t="s">
        <v>477</v>
      </c>
      <c r="K48505" s="18"/>
    </row>
    <row r="48506">
      <c r="B48506" s="17" t="s">
        <v>477</v>
      </c>
      <c r="K48506" s="18"/>
    </row>
    <row r="48507">
      <c r="B48507" s="17" t="s">
        <v>477</v>
      </c>
      <c r="K48507" s="18"/>
    </row>
    <row r="48508">
      <c r="B48508" s="17" t="s">
        <v>477</v>
      </c>
      <c r="K48508" s="18"/>
    </row>
    <row r="48509">
      <c r="B48509" s="17" t="s">
        <v>477</v>
      </c>
      <c r="K48509" s="18"/>
    </row>
    <row r="48510">
      <c r="B48510" s="17" t="s">
        <v>477</v>
      </c>
      <c r="K48510" s="18"/>
    </row>
    <row r="48511">
      <c r="B48511" s="17" t="s">
        <v>477</v>
      </c>
      <c r="K48511" s="18"/>
    </row>
    <row r="48512">
      <c r="B48512" s="17" t="s">
        <v>477</v>
      </c>
      <c r="K48512" s="18"/>
    </row>
    <row r="48513">
      <c r="B48513" s="17" t="s">
        <v>477</v>
      </c>
      <c r="K48513" s="18"/>
    </row>
    <row r="48514">
      <c r="B48514" s="17" t="s">
        <v>477</v>
      </c>
      <c r="K48514" s="18"/>
    </row>
    <row r="48515">
      <c r="B48515" s="17" t="s">
        <v>477</v>
      </c>
      <c r="K48515" s="18"/>
    </row>
    <row r="48516">
      <c r="B48516" s="17" t="s">
        <v>477</v>
      </c>
      <c r="K48516" s="18"/>
    </row>
    <row r="48517">
      <c r="B48517" s="17" t="s">
        <v>477</v>
      </c>
      <c r="K48517" s="18"/>
    </row>
    <row r="48518">
      <c r="B48518" s="17" t="s">
        <v>477</v>
      </c>
      <c r="K48518" s="18"/>
    </row>
    <row r="48519">
      <c r="B48519" s="17" t="s">
        <v>477</v>
      </c>
      <c r="K48519" s="18"/>
    </row>
    <row r="48520">
      <c r="B48520" s="17" t="s">
        <v>477</v>
      </c>
      <c r="K48520" s="18"/>
    </row>
    <row r="48521">
      <c r="B48521" s="17" t="s">
        <v>477</v>
      </c>
      <c r="K48521" s="18"/>
    </row>
    <row r="48522">
      <c r="B48522" s="17" t="s">
        <v>477</v>
      </c>
      <c r="K48522" s="18"/>
    </row>
    <row r="48523">
      <c r="B48523" s="17" t="s">
        <v>477</v>
      </c>
      <c r="K48523" s="18"/>
    </row>
    <row r="48524">
      <c r="B48524" s="17" t="s">
        <v>477</v>
      </c>
      <c r="K48524" s="18"/>
    </row>
    <row r="48525">
      <c r="B48525" s="17" t="s">
        <v>477</v>
      </c>
      <c r="K48525" s="18"/>
    </row>
    <row r="48526">
      <c r="B48526" s="17" t="s">
        <v>477</v>
      </c>
      <c r="K48526" s="18"/>
    </row>
    <row r="48527">
      <c r="B48527" s="17" t="s">
        <v>477</v>
      </c>
      <c r="K48527" s="18"/>
    </row>
    <row r="48528">
      <c r="B48528" s="17" t="s">
        <v>477</v>
      </c>
      <c r="K48528" s="18"/>
    </row>
    <row r="48529">
      <c r="B48529" s="17" t="s">
        <v>477</v>
      </c>
      <c r="K48529" s="18"/>
    </row>
    <row r="48530">
      <c r="B48530" s="17" t="s">
        <v>477</v>
      </c>
      <c r="K48530" s="18"/>
    </row>
    <row r="48531">
      <c r="B48531" s="17" t="s">
        <v>477</v>
      </c>
      <c r="K48531" s="18"/>
    </row>
    <row r="48532">
      <c r="B48532" s="17" t="s">
        <v>477</v>
      </c>
      <c r="K48532" s="18"/>
    </row>
    <row r="48533">
      <c r="B48533" s="17" t="s">
        <v>477</v>
      </c>
      <c r="K48533" s="18"/>
    </row>
    <row r="48534">
      <c r="B48534" s="17" t="s">
        <v>477</v>
      </c>
      <c r="K48534" s="18"/>
    </row>
    <row r="48535">
      <c r="B48535" s="17" t="s">
        <v>477</v>
      </c>
      <c r="K48535" s="18"/>
    </row>
    <row r="48536">
      <c r="B48536" s="17" t="s">
        <v>477</v>
      </c>
      <c r="K48536" s="18"/>
    </row>
    <row r="48537">
      <c r="B48537" s="17" t="s">
        <v>477</v>
      </c>
      <c r="K48537" s="18"/>
    </row>
    <row r="48538">
      <c r="B48538" s="17" t="s">
        <v>477</v>
      </c>
      <c r="K48538" s="18"/>
    </row>
    <row r="48539">
      <c r="B48539" s="17" t="s">
        <v>477</v>
      </c>
      <c r="K48539" s="18"/>
    </row>
    <row r="48540">
      <c r="B48540" s="17" t="s">
        <v>477</v>
      </c>
      <c r="K48540" s="18"/>
    </row>
    <row r="48541">
      <c r="B48541" s="17" t="s">
        <v>477</v>
      </c>
      <c r="K48541" s="18"/>
    </row>
    <row r="48542">
      <c r="B48542" s="17" t="s">
        <v>477</v>
      </c>
      <c r="K48542" s="18"/>
    </row>
    <row r="48543">
      <c r="B48543" s="17" t="s">
        <v>477</v>
      </c>
      <c r="K48543" s="18"/>
    </row>
    <row r="48544">
      <c r="B48544" s="17" t="s">
        <v>477</v>
      </c>
      <c r="K48544" s="18"/>
    </row>
    <row r="48545">
      <c r="B48545" s="17" t="s">
        <v>477</v>
      </c>
      <c r="K48545" s="18"/>
    </row>
    <row r="48546">
      <c r="B48546" s="17" t="s">
        <v>477</v>
      </c>
      <c r="K48546" s="18"/>
    </row>
    <row r="48547">
      <c r="B48547" s="17" t="s">
        <v>477</v>
      </c>
      <c r="K48547" s="18"/>
    </row>
    <row r="48548">
      <c r="B48548" s="17" t="s">
        <v>477</v>
      </c>
      <c r="K48548" s="18"/>
    </row>
    <row r="48549">
      <c r="B48549" s="17" t="s">
        <v>477</v>
      </c>
      <c r="K48549" s="18"/>
    </row>
    <row r="48550">
      <c r="B48550" s="17" t="s">
        <v>477</v>
      </c>
      <c r="K48550" s="18"/>
    </row>
    <row r="48551">
      <c r="B48551" s="17" t="s">
        <v>477</v>
      </c>
      <c r="K48551" s="18"/>
    </row>
    <row r="48552">
      <c r="B48552" s="17" t="s">
        <v>477</v>
      </c>
      <c r="K48552" s="18"/>
    </row>
    <row r="48553">
      <c r="B48553" s="17" t="s">
        <v>477</v>
      </c>
      <c r="K48553" s="18"/>
    </row>
    <row r="48554">
      <c r="B48554" s="17" t="s">
        <v>477</v>
      </c>
      <c r="K48554" s="18"/>
    </row>
    <row r="48555">
      <c r="B48555" s="17" t="s">
        <v>477</v>
      </c>
      <c r="K48555" s="18"/>
    </row>
    <row r="48556">
      <c r="B48556" s="17" t="s">
        <v>477</v>
      </c>
      <c r="K48556" s="18"/>
    </row>
    <row r="48557">
      <c r="B48557" s="17" t="s">
        <v>477</v>
      </c>
      <c r="K48557" s="18"/>
    </row>
    <row r="48558">
      <c r="B48558" s="17" t="s">
        <v>477</v>
      </c>
      <c r="K48558" s="18"/>
    </row>
    <row r="48559">
      <c r="B48559" s="17" t="s">
        <v>477</v>
      </c>
      <c r="K48559" s="18"/>
    </row>
    <row r="48560">
      <c r="B48560" s="17" t="s">
        <v>477</v>
      </c>
      <c r="K48560" s="18"/>
    </row>
    <row r="48561">
      <c r="B48561" s="17" t="s">
        <v>477</v>
      </c>
      <c r="K48561" s="18"/>
    </row>
    <row r="48562">
      <c r="B48562" s="17" t="s">
        <v>477</v>
      </c>
      <c r="K48562" s="18"/>
    </row>
    <row r="48563">
      <c r="B48563" s="17" t="s">
        <v>477</v>
      </c>
      <c r="K48563" s="18"/>
    </row>
    <row r="48564">
      <c r="B48564" s="17" t="s">
        <v>477</v>
      </c>
      <c r="K48564" s="18"/>
    </row>
    <row r="48565">
      <c r="B48565" s="17" t="s">
        <v>477</v>
      </c>
      <c r="K48565" s="18"/>
    </row>
    <row r="48566">
      <c r="B48566" s="17" t="s">
        <v>477</v>
      </c>
      <c r="K48566" s="18"/>
    </row>
    <row r="48567">
      <c r="B48567" s="17" t="s">
        <v>477</v>
      </c>
      <c r="K48567" s="18"/>
    </row>
    <row r="48568">
      <c r="B48568" s="17" t="s">
        <v>477</v>
      </c>
      <c r="K48568" s="18"/>
    </row>
    <row r="48569">
      <c r="B48569" s="17" t="s">
        <v>477</v>
      </c>
      <c r="K48569" s="18"/>
    </row>
    <row r="48570">
      <c r="B48570" s="17" t="s">
        <v>477</v>
      </c>
      <c r="K48570" s="18"/>
    </row>
    <row r="48571">
      <c r="B48571" s="17" t="s">
        <v>477</v>
      </c>
      <c r="K48571" s="18"/>
    </row>
    <row r="48572">
      <c r="B48572" s="17" t="s">
        <v>477</v>
      </c>
      <c r="K48572" s="18"/>
    </row>
    <row r="48573">
      <c r="B48573" s="17" t="s">
        <v>477</v>
      </c>
      <c r="K48573" s="18"/>
    </row>
    <row r="48574">
      <c r="B48574" s="17" t="s">
        <v>477</v>
      </c>
      <c r="K48574" s="18"/>
    </row>
    <row r="48575">
      <c r="B48575" s="17" t="s">
        <v>477</v>
      </c>
      <c r="K48575" s="18"/>
    </row>
    <row r="48576">
      <c r="B48576" s="17" t="s">
        <v>477</v>
      </c>
      <c r="K48576" s="18"/>
    </row>
    <row r="48577">
      <c r="B48577" s="17" t="s">
        <v>477</v>
      </c>
      <c r="K48577" s="18"/>
    </row>
    <row r="48578">
      <c r="B48578" s="17" t="s">
        <v>477</v>
      </c>
      <c r="K48578" s="18"/>
    </row>
    <row r="48579">
      <c r="B48579" s="17" t="s">
        <v>477</v>
      </c>
      <c r="K48579" s="18"/>
    </row>
    <row r="48580">
      <c r="B48580" s="17" t="s">
        <v>477</v>
      </c>
      <c r="K48580" s="18"/>
    </row>
    <row r="48581">
      <c r="B48581" s="17" t="s">
        <v>477</v>
      </c>
      <c r="K48581" s="18"/>
    </row>
    <row r="48582">
      <c r="B48582" s="17" t="s">
        <v>477</v>
      </c>
      <c r="K48582" s="18"/>
    </row>
    <row r="48583">
      <c r="B48583" s="17" t="s">
        <v>477</v>
      </c>
      <c r="K48583" s="18"/>
    </row>
    <row r="48584">
      <c r="B48584" s="17" t="s">
        <v>477</v>
      </c>
      <c r="K48584" s="18"/>
    </row>
    <row r="48585">
      <c r="B48585" s="17" t="s">
        <v>477</v>
      </c>
      <c r="K48585" s="18"/>
    </row>
    <row r="48586">
      <c r="B48586" s="17" t="s">
        <v>477</v>
      </c>
      <c r="K48586" s="18"/>
    </row>
    <row r="48587">
      <c r="B48587" s="17" t="s">
        <v>477</v>
      </c>
      <c r="K48587" s="18"/>
    </row>
    <row r="48588">
      <c r="B48588" s="17" t="s">
        <v>477</v>
      </c>
      <c r="K48588" s="18"/>
    </row>
    <row r="48589">
      <c r="B48589" s="17" t="s">
        <v>477</v>
      </c>
      <c r="K48589" s="18"/>
    </row>
    <row r="48590">
      <c r="B48590" s="17" t="s">
        <v>477</v>
      </c>
      <c r="K48590" s="18"/>
    </row>
    <row r="48591">
      <c r="B48591" s="17" t="s">
        <v>477</v>
      </c>
      <c r="K48591" s="18"/>
    </row>
    <row r="48592">
      <c r="B48592" s="17" t="s">
        <v>477</v>
      </c>
      <c r="K48592" s="18"/>
    </row>
    <row r="48593">
      <c r="B48593" s="17" t="s">
        <v>477</v>
      </c>
      <c r="K48593" s="18"/>
    </row>
    <row r="48594">
      <c r="B48594" s="17" t="s">
        <v>477</v>
      </c>
      <c r="K48594" s="18"/>
    </row>
    <row r="48595">
      <c r="B48595" s="17" t="s">
        <v>477</v>
      </c>
      <c r="K48595" s="18"/>
    </row>
    <row r="48596">
      <c r="B48596" s="17" t="s">
        <v>477</v>
      </c>
      <c r="K48596" s="18"/>
    </row>
    <row r="48597">
      <c r="B48597" s="17" t="s">
        <v>477</v>
      </c>
      <c r="K48597" s="18"/>
    </row>
    <row r="48598">
      <c r="B48598" s="17" t="s">
        <v>477</v>
      </c>
      <c r="K48598" s="18"/>
    </row>
    <row r="48599">
      <c r="B48599" s="17" t="s">
        <v>477</v>
      </c>
      <c r="K48599" s="18"/>
    </row>
    <row r="48600">
      <c r="B48600" s="17" t="s">
        <v>477</v>
      </c>
      <c r="K48600" s="18"/>
    </row>
    <row r="48601">
      <c r="B48601" s="17" t="s">
        <v>477</v>
      </c>
      <c r="K48601" s="18"/>
    </row>
    <row r="48602">
      <c r="B48602" s="17" t="s">
        <v>477</v>
      </c>
      <c r="K48602" s="18"/>
    </row>
    <row r="48603">
      <c r="B48603" s="17" t="s">
        <v>477</v>
      </c>
      <c r="K48603" s="18"/>
    </row>
    <row r="48604">
      <c r="B48604" s="17" t="s">
        <v>477</v>
      </c>
      <c r="K48604" s="18"/>
    </row>
    <row r="48605">
      <c r="B48605" s="17" t="s">
        <v>477</v>
      </c>
      <c r="K48605" s="18"/>
    </row>
    <row r="48606">
      <c r="B48606" s="17" t="s">
        <v>477</v>
      </c>
      <c r="K48606" s="18"/>
    </row>
    <row r="48607">
      <c r="B48607" s="17" t="s">
        <v>477</v>
      </c>
      <c r="K48607" s="18"/>
    </row>
    <row r="48608">
      <c r="B48608" s="17" t="s">
        <v>477</v>
      </c>
      <c r="K48608" s="18"/>
    </row>
    <row r="48609">
      <c r="B48609" s="17" t="s">
        <v>477</v>
      </c>
      <c r="K48609" s="18"/>
    </row>
    <row r="48610">
      <c r="B48610" s="17" t="s">
        <v>477</v>
      </c>
      <c r="K48610" s="18"/>
    </row>
    <row r="48611">
      <c r="B48611" s="17" t="s">
        <v>477</v>
      </c>
      <c r="K48611" s="18"/>
    </row>
    <row r="48612">
      <c r="B48612" s="17" t="s">
        <v>477</v>
      </c>
      <c r="K48612" s="18"/>
    </row>
    <row r="48613">
      <c r="B48613" s="17" t="s">
        <v>477</v>
      </c>
      <c r="K48613" s="18"/>
    </row>
    <row r="48614">
      <c r="B48614" s="17" t="s">
        <v>477</v>
      </c>
      <c r="K48614" s="18"/>
    </row>
    <row r="48615">
      <c r="B48615" s="17" t="s">
        <v>477</v>
      </c>
      <c r="K48615" s="18"/>
    </row>
    <row r="48616">
      <c r="B48616" s="17" t="s">
        <v>477</v>
      </c>
      <c r="K48616" s="18"/>
    </row>
    <row r="48617">
      <c r="B48617" s="17" t="s">
        <v>477</v>
      </c>
      <c r="K48617" s="18"/>
    </row>
    <row r="48618">
      <c r="B48618" s="17" t="s">
        <v>477</v>
      </c>
      <c r="K48618" s="18"/>
    </row>
    <row r="48619">
      <c r="B48619" s="17" t="s">
        <v>477</v>
      </c>
      <c r="K48619" s="18"/>
    </row>
    <row r="48620">
      <c r="B48620" s="17" t="s">
        <v>477</v>
      </c>
      <c r="K48620" s="18"/>
    </row>
    <row r="48621">
      <c r="B48621" s="17" t="s">
        <v>477</v>
      </c>
      <c r="K48621" s="18"/>
    </row>
    <row r="48622">
      <c r="B48622" s="17" t="s">
        <v>477</v>
      </c>
      <c r="K48622" s="18"/>
    </row>
    <row r="48623">
      <c r="B48623" s="17" t="s">
        <v>477</v>
      </c>
      <c r="K48623" s="18"/>
    </row>
    <row r="48624">
      <c r="B48624" s="17" t="s">
        <v>477</v>
      </c>
      <c r="K48624" s="18"/>
    </row>
    <row r="48625">
      <c r="B48625" s="17" t="s">
        <v>477</v>
      </c>
      <c r="K48625" s="18"/>
    </row>
    <row r="48626">
      <c r="B48626" s="17" t="s">
        <v>477</v>
      </c>
      <c r="K48626" s="18"/>
    </row>
    <row r="48627">
      <c r="B48627" s="17" t="s">
        <v>477</v>
      </c>
      <c r="K48627" s="18"/>
    </row>
    <row r="48628">
      <c r="B48628" s="17" t="s">
        <v>477</v>
      </c>
      <c r="K48628" s="18"/>
    </row>
    <row r="48629">
      <c r="B48629" s="17" t="s">
        <v>477</v>
      </c>
      <c r="K48629" s="18"/>
    </row>
    <row r="48630">
      <c r="B48630" s="17" t="s">
        <v>477</v>
      </c>
      <c r="K48630" s="18"/>
    </row>
    <row r="48631">
      <c r="B48631" s="17" t="s">
        <v>477</v>
      </c>
      <c r="K48631" s="18"/>
    </row>
    <row r="48632">
      <c r="B48632" s="17" t="s">
        <v>477</v>
      </c>
      <c r="K48632" s="18"/>
    </row>
    <row r="48633">
      <c r="B48633" s="17" t="s">
        <v>477</v>
      </c>
      <c r="K48633" s="18"/>
    </row>
    <row r="48634">
      <c r="B48634" s="17" t="s">
        <v>477</v>
      </c>
      <c r="K48634" s="18"/>
    </row>
    <row r="48635">
      <c r="B48635" s="17" t="s">
        <v>477</v>
      </c>
      <c r="K48635" s="18"/>
    </row>
    <row r="48636">
      <c r="B48636" s="17" t="s">
        <v>477</v>
      </c>
      <c r="K48636" s="18"/>
    </row>
    <row r="48637">
      <c r="B48637" s="17" t="s">
        <v>477</v>
      </c>
      <c r="K48637" s="18"/>
    </row>
    <row r="48638">
      <c r="B48638" s="17" t="s">
        <v>477</v>
      </c>
      <c r="K48638" s="18"/>
    </row>
    <row r="48639">
      <c r="B48639" s="17" t="s">
        <v>477</v>
      </c>
      <c r="K48639" s="18"/>
    </row>
    <row r="48640">
      <c r="B48640" s="17" t="s">
        <v>477</v>
      </c>
      <c r="K48640" s="18"/>
    </row>
    <row r="48641">
      <c r="B48641" s="17" t="s">
        <v>477</v>
      </c>
      <c r="K48641" s="18"/>
    </row>
    <row r="48642">
      <c r="B48642" s="17" t="s">
        <v>477</v>
      </c>
      <c r="K48642" s="18"/>
    </row>
    <row r="48643">
      <c r="B48643" s="17" t="s">
        <v>477</v>
      </c>
      <c r="K48643" s="18"/>
    </row>
    <row r="48644">
      <c r="B48644" s="17" t="s">
        <v>477</v>
      </c>
      <c r="K48644" s="18"/>
    </row>
    <row r="48645">
      <c r="B48645" s="17" t="s">
        <v>477</v>
      </c>
      <c r="K48645" s="18"/>
    </row>
    <row r="48646">
      <c r="B48646" s="17" t="s">
        <v>477</v>
      </c>
      <c r="K48646" s="18"/>
    </row>
    <row r="48647">
      <c r="B48647" s="17" t="s">
        <v>477</v>
      </c>
      <c r="K48647" s="18"/>
    </row>
    <row r="48648">
      <c r="B48648" s="17" t="s">
        <v>477</v>
      </c>
      <c r="K48648" s="18"/>
    </row>
    <row r="48649">
      <c r="B48649" s="17" t="s">
        <v>477</v>
      </c>
      <c r="K48649" s="18"/>
    </row>
    <row r="48650">
      <c r="B48650" s="17" t="s">
        <v>477</v>
      </c>
      <c r="K48650" s="18"/>
    </row>
    <row r="48651">
      <c r="B48651" s="17" t="s">
        <v>477</v>
      </c>
      <c r="K48651" s="18"/>
    </row>
    <row r="48652">
      <c r="B48652" s="17" t="s">
        <v>477</v>
      </c>
      <c r="K48652" s="18"/>
    </row>
    <row r="48653">
      <c r="B48653" s="17" t="s">
        <v>477</v>
      </c>
      <c r="K48653" s="18"/>
    </row>
    <row r="48654">
      <c r="B48654" s="17" t="s">
        <v>477</v>
      </c>
      <c r="K48654" s="18"/>
    </row>
    <row r="48655">
      <c r="B48655" s="17" t="s">
        <v>477</v>
      </c>
      <c r="K48655" s="18"/>
    </row>
    <row r="48656">
      <c r="B48656" s="17" t="s">
        <v>477</v>
      </c>
      <c r="K48656" s="18"/>
    </row>
    <row r="48657">
      <c r="B48657" s="17" t="s">
        <v>477</v>
      </c>
      <c r="K48657" s="18"/>
    </row>
    <row r="48658">
      <c r="B48658" s="17" t="s">
        <v>477</v>
      </c>
      <c r="K48658" s="18"/>
    </row>
    <row r="48659">
      <c r="B48659" s="17" t="s">
        <v>477</v>
      </c>
      <c r="K48659" s="18"/>
    </row>
    <row r="48660">
      <c r="B48660" s="17" t="s">
        <v>477</v>
      </c>
      <c r="K48660" s="18"/>
    </row>
    <row r="48661">
      <c r="B48661" s="17" t="s">
        <v>477</v>
      </c>
      <c r="K48661" s="18"/>
    </row>
    <row r="48662">
      <c r="B48662" s="17" t="s">
        <v>477</v>
      </c>
      <c r="K48662" s="18"/>
    </row>
    <row r="48663">
      <c r="B48663" s="17" t="s">
        <v>477</v>
      </c>
      <c r="K48663" s="18"/>
    </row>
    <row r="48664">
      <c r="B48664" s="17" t="s">
        <v>477</v>
      </c>
      <c r="K48664" s="18"/>
    </row>
    <row r="48665">
      <c r="B48665" s="17" t="s">
        <v>477</v>
      </c>
      <c r="K48665" s="18"/>
    </row>
    <row r="48666">
      <c r="B48666" s="17" t="s">
        <v>477</v>
      </c>
      <c r="K48666" s="18"/>
    </row>
    <row r="48667">
      <c r="B48667" s="17" t="s">
        <v>477</v>
      </c>
      <c r="K48667" s="18"/>
    </row>
    <row r="48668">
      <c r="B48668" s="17" t="s">
        <v>477</v>
      </c>
      <c r="K48668" s="18"/>
    </row>
    <row r="48669">
      <c r="B48669" s="17" t="s">
        <v>477</v>
      </c>
      <c r="K48669" s="18"/>
    </row>
    <row r="48670">
      <c r="B48670" s="17" t="s">
        <v>477</v>
      </c>
      <c r="K48670" s="18"/>
    </row>
    <row r="48671">
      <c r="B48671" s="17" t="s">
        <v>477</v>
      </c>
      <c r="K48671" s="18"/>
    </row>
    <row r="48672">
      <c r="B48672" s="17" t="s">
        <v>477</v>
      </c>
      <c r="K48672" s="18"/>
    </row>
    <row r="48673">
      <c r="B48673" s="17" t="s">
        <v>477</v>
      </c>
      <c r="K48673" s="18"/>
    </row>
    <row r="48674">
      <c r="B48674" s="17" t="s">
        <v>477</v>
      </c>
      <c r="K48674" s="18"/>
    </row>
    <row r="48675">
      <c r="B48675" s="17" t="s">
        <v>477</v>
      </c>
      <c r="K48675" s="18"/>
    </row>
    <row r="48676">
      <c r="B48676" s="17" t="s">
        <v>477</v>
      </c>
      <c r="K48676" s="18"/>
    </row>
    <row r="48677">
      <c r="B48677" s="17" t="s">
        <v>477</v>
      </c>
      <c r="K48677" s="18"/>
    </row>
    <row r="48678">
      <c r="B48678" s="17" t="s">
        <v>477</v>
      </c>
      <c r="K48678" s="18"/>
    </row>
    <row r="48679">
      <c r="B48679" s="17" t="s">
        <v>477</v>
      </c>
      <c r="K48679" s="18"/>
    </row>
    <row r="48680">
      <c r="B48680" s="17" t="s">
        <v>477</v>
      </c>
      <c r="K48680" s="18"/>
    </row>
    <row r="48681">
      <c r="B48681" s="17" t="s">
        <v>477</v>
      </c>
      <c r="K48681" s="18"/>
    </row>
    <row r="48682">
      <c r="B48682" s="17" t="s">
        <v>477</v>
      </c>
      <c r="K48682" s="18"/>
    </row>
    <row r="48683">
      <c r="B48683" s="17" t="s">
        <v>477</v>
      </c>
      <c r="K48683" s="18"/>
    </row>
    <row r="48684">
      <c r="B48684" s="17" t="s">
        <v>477</v>
      </c>
      <c r="K48684" s="18"/>
    </row>
    <row r="48685">
      <c r="B48685" s="17" t="s">
        <v>477</v>
      </c>
      <c r="K48685" s="18"/>
    </row>
    <row r="48686">
      <c r="B48686" s="17" t="s">
        <v>477</v>
      </c>
      <c r="K48686" s="18"/>
    </row>
    <row r="48687">
      <c r="B48687" s="17" t="s">
        <v>477</v>
      </c>
      <c r="K48687" s="18"/>
    </row>
    <row r="48688">
      <c r="B48688" s="17" t="s">
        <v>477</v>
      </c>
      <c r="K48688" s="18"/>
    </row>
    <row r="48689">
      <c r="B48689" s="17" t="s">
        <v>477</v>
      </c>
      <c r="K48689" s="18"/>
    </row>
    <row r="48690">
      <c r="B48690" s="17" t="s">
        <v>477</v>
      </c>
      <c r="K48690" s="18"/>
    </row>
    <row r="48691">
      <c r="B48691" s="17" t="s">
        <v>477</v>
      </c>
      <c r="K48691" s="18"/>
    </row>
    <row r="48692">
      <c r="B48692" s="17" t="s">
        <v>477</v>
      </c>
      <c r="K48692" s="18"/>
    </row>
    <row r="48693">
      <c r="B48693" s="17" t="s">
        <v>477</v>
      </c>
      <c r="K48693" s="18"/>
    </row>
    <row r="48694">
      <c r="B48694" s="17" t="s">
        <v>477</v>
      </c>
      <c r="K48694" s="18"/>
    </row>
    <row r="48695">
      <c r="B48695" s="17" t="s">
        <v>477</v>
      </c>
      <c r="K48695" s="18"/>
    </row>
    <row r="48696">
      <c r="B48696" s="17" t="s">
        <v>477</v>
      </c>
      <c r="K48696" s="18"/>
    </row>
    <row r="48697">
      <c r="B48697" s="17" t="s">
        <v>477</v>
      </c>
      <c r="K48697" s="18"/>
    </row>
    <row r="48698">
      <c r="B48698" s="17" t="s">
        <v>477</v>
      </c>
      <c r="K48698" s="18"/>
    </row>
    <row r="48699">
      <c r="B48699" s="17" t="s">
        <v>477</v>
      </c>
      <c r="K48699" s="18"/>
    </row>
    <row r="48700">
      <c r="B48700" s="17" t="s">
        <v>477</v>
      </c>
      <c r="K48700" s="18"/>
    </row>
    <row r="48701">
      <c r="B48701" s="17" t="s">
        <v>477</v>
      </c>
      <c r="K48701" s="18"/>
    </row>
    <row r="48702">
      <c r="B48702" s="17" t="s">
        <v>477</v>
      </c>
      <c r="K48702" s="18"/>
    </row>
    <row r="48703">
      <c r="B48703" s="17" t="s">
        <v>477</v>
      </c>
      <c r="K48703" s="18"/>
    </row>
    <row r="48704">
      <c r="B48704" s="17" t="s">
        <v>477</v>
      </c>
      <c r="K48704" s="18"/>
    </row>
    <row r="48705">
      <c r="B48705" s="17" t="s">
        <v>477</v>
      </c>
      <c r="K48705" s="18"/>
    </row>
    <row r="48706">
      <c r="B48706" s="17" t="s">
        <v>477</v>
      </c>
      <c r="K48706" s="18"/>
    </row>
    <row r="48707">
      <c r="B48707" s="17" t="s">
        <v>477</v>
      </c>
      <c r="K48707" s="18"/>
    </row>
    <row r="48708">
      <c r="B48708" s="17" t="s">
        <v>477</v>
      </c>
      <c r="K48708" s="18"/>
    </row>
    <row r="48709">
      <c r="B48709" s="17" t="s">
        <v>477</v>
      </c>
      <c r="K48709" s="18"/>
    </row>
    <row r="48710">
      <c r="B48710" s="17" t="s">
        <v>477</v>
      </c>
      <c r="K48710" s="18"/>
    </row>
    <row r="48711">
      <c r="B48711" s="17" t="s">
        <v>477</v>
      </c>
      <c r="K48711" s="18"/>
    </row>
    <row r="48712">
      <c r="B48712" s="17" t="s">
        <v>477</v>
      </c>
      <c r="K48712" s="18"/>
    </row>
    <row r="48713">
      <c r="B48713" s="17" t="s">
        <v>477</v>
      </c>
      <c r="K48713" s="18"/>
    </row>
    <row r="48714">
      <c r="B48714" s="17" t="s">
        <v>477</v>
      </c>
      <c r="K48714" s="18"/>
    </row>
    <row r="48715">
      <c r="B48715" s="17" t="s">
        <v>477</v>
      </c>
      <c r="K48715" s="18"/>
    </row>
    <row r="48716">
      <c r="B48716" s="17" t="s">
        <v>477</v>
      </c>
      <c r="K48716" s="18"/>
    </row>
    <row r="48717">
      <c r="B48717" s="17" t="s">
        <v>477</v>
      </c>
      <c r="K48717" s="18"/>
    </row>
    <row r="48718">
      <c r="B48718" s="17" t="s">
        <v>477</v>
      </c>
      <c r="K48718" s="18"/>
    </row>
    <row r="48719">
      <c r="B48719" s="17" t="s">
        <v>477</v>
      </c>
      <c r="K48719" s="18"/>
    </row>
    <row r="48720">
      <c r="B48720" s="17" t="s">
        <v>477</v>
      </c>
      <c r="K48720" s="18"/>
    </row>
    <row r="48721">
      <c r="B48721" s="17" t="s">
        <v>477</v>
      </c>
      <c r="K48721" s="18"/>
    </row>
    <row r="48722">
      <c r="B48722" s="17" t="s">
        <v>477</v>
      </c>
      <c r="K48722" s="18"/>
    </row>
    <row r="48723">
      <c r="B48723" s="17" t="s">
        <v>477</v>
      </c>
      <c r="K48723" s="18"/>
    </row>
    <row r="48724">
      <c r="B48724" s="17" t="s">
        <v>477</v>
      </c>
      <c r="K48724" s="18"/>
    </row>
    <row r="48725">
      <c r="B48725" s="17" t="s">
        <v>477</v>
      </c>
      <c r="K48725" s="18"/>
    </row>
    <row r="48726">
      <c r="B48726" s="17" t="s">
        <v>477</v>
      </c>
      <c r="K48726" s="18"/>
    </row>
    <row r="48727">
      <c r="B48727" s="17" t="s">
        <v>477</v>
      </c>
      <c r="K48727" s="18"/>
    </row>
    <row r="48728">
      <c r="B48728" s="17" t="s">
        <v>477</v>
      </c>
      <c r="K48728" s="18"/>
    </row>
    <row r="48729">
      <c r="B48729" s="17" t="s">
        <v>477</v>
      </c>
      <c r="K48729" s="18"/>
    </row>
    <row r="48730">
      <c r="B48730" s="17" t="s">
        <v>477</v>
      </c>
      <c r="K48730" s="18"/>
    </row>
    <row r="48731">
      <c r="B48731" s="17" t="s">
        <v>477</v>
      </c>
      <c r="K48731" s="18"/>
    </row>
    <row r="48732">
      <c r="B48732" s="17" t="s">
        <v>477</v>
      </c>
      <c r="K48732" s="18"/>
    </row>
    <row r="48733">
      <c r="B48733" s="17" t="s">
        <v>477</v>
      </c>
      <c r="K48733" s="18"/>
    </row>
    <row r="48734">
      <c r="B48734" s="17" t="s">
        <v>477</v>
      </c>
      <c r="K48734" s="18"/>
    </row>
    <row r="48735">
      <c r="B48735" s="17" t="s">
        <v>477</v>
      </c>
      <c r="K48735" s="18"/>
    </row>
    <row r="48736">
      <c r="B48736" s="17" t="s">
        <v>477</v>
      </c>
      <c r="K48736" s="18"/>
    </row>
    <row r="48737">
      <c r="B48737" s="17" t="s">
        <v>477</v>
      </c>
      <c r="K48737" s="18"/>
    </row>
    <row r="48738">
      <c r="B48738" s="17" t="s">
        <v>477</v>
      </c>
      <c r="K48738" s="18"/>
    </row>
    <row r="48739">
      <c r="B48739" s="17" t="s">
        <v>477</v>
      </c>
      <c r="K48739" s="18"/>
    </row>
    <row r="48740">
      <c r="B48740" s="17" t="s">
        <v>477</v>
      </c>
      <c r="K48740" s="18"/>
    </row>
    <row r="48741">
      <c r="B48741" s="17" t="s">
        <v>477</v>
      </c>
      <c r="K48741" s="18"/>
    </row>
    <row r="48742">
      <c r="B48742" s="17" t="s">
        <v>477</v>
      </c>
      <c r="K48742" s="18"/>
    </row>
    <row r="48743">
      <c r="B48743" s="17" t="s">
        <v>477</v>
      </c>
      <c r="K48743" s="18"/>
    </row>
    <row r="48744">
      <c r="B48744" s="17" t="s">
        <v>477</v>
      </c>
      <c r="K48744" s="18"/>
    </row>
    <row r="48745">
      <c r="B48745" s="17" t="s">
        <v>477</v>
      </c>
      <c r="K48745" s="18"/>
    </row>
    <row r="48746">
      <c r="B48746" s="17" t="s">
        <v>477</v>
      </c>
      <c r="K48746" s="18"/>
    </row>
    <row r="48747">
      <c r="B48747" s="17" t="s">
        <v>477</v>
      </c>
      <c r="K48747" s="18"/>
    </row>
    <row r="48748">
      <c r="B48748" s="17" t="s">
        <v>477</v>
      </c>
      <c r="K48748" s="18"/>
    </row>
    <row r="48749">
      <c r="B48749" s="17" t="s">
        <v>477</v>
      </c>
      <c r="K48749" s="18"/>
    </row>
    <row r="48750">
      <c r="B48750" s="17" t="s">
        <v>477</v>
      </c>
      <c r="K48750" s="18"/>
    </row>
    <row r="48751">
      <c r="B48751" s="17" t="s">
        <v>477</v>
      </c>
      <c r="K48751" s="18"/>
    </row>
    <row r="48752">
      <c r="B48752" s="17" t="s">
        <v>477</v>
      </c>
      <c r="K48752" s="18"/>
    </row>
    <row r="48753">
      <c r="B48753" s="17" t="s">
        <v>477</v>
      </c>
      <c r="K48753" s="18"/>
    </row>
    <row r="48754">
      <c r="B48754" s="17" t="s">
        <v>477</v>
      </c>
      <c r="K48754" s="18"/>
    </row>
    <row r="48755">
      <c r="B48755" s="17" t="s">
        <v>477</v>
      </c>
      <c r="K48755" s="18"/>
    </row>
    <row r="48756">
      <c r="B48756" s="17" t="s">
        <v>477</v>
      </c>
      <c r="K48756" s="18"/>
    </row>
    <row r="48757">
      <c r="B48757" s="17" t="s">
        <v>477</v>
      </c>
      <c r="K48757" s="18"/>
    </row>
    <row r="48758">
      <c r="B48758" s="17" t="s">
        <v>477</v>
      </c>
      <c r="K48758" s="18"/>
    </row>
    <row r="48759">
      <c r="B48759" s="17" t="s">
        <v>477</v>
      </c>
      <c r="K48759" s="18"/>
    </row>
    <row r="48760">
      <c r="B48760" s="17" t="s">
        <v>477</v>
      </c>
      <c r="K48760" s="18"/>
    </row>
    <row r="48761">
      <c r="B48761" s="17" t="s">
        <v>477</v>
      </c>
      <c r="K48761" s="18"/>
    </row>
    <row r="48762">
      <c r="B48762" s="17" t="s">
        <v>477</v>
      </c>
      <c r="K48762" s="18"/>
    </row>
    <row r="48763">
      <c r="B48763" s="17" t="s">
        <v>477</v>
      </c>
      <c r="K48763" s="18"/>
    </row>
    <row r="48764">
      <c r="B48764" s="17" t="s">
        <v>477</v>
      </c>
      <c r="K48764" s="18"/>
    </row>
    <row r="48765">
      <c r="B48765" s="17" t="s">
        <v>477</v>
      </c>
      <c r="K48765" s="18"/>
    </row>
    <row r="48766">
      <c r="B48766" s="17" t="s">
        <v>477</v>
      </c>
      <c r="K48766" s="18"/>
    </row>
    <row r="48767">
      <c r="B48767" s="17" t="s">
        <v>477</v>
      </c>
      <c r="K48767" s="18"/>
    </row>
    <row r="48768">
      <c r="B48768" s="17" t="s">
        <v>477</v>
      </c>
      <c r="K48768" s="18"/>
    </row>
    <row r="48769">
      <c r="B48769" s="17" t="s">
        <v>477</v>
      </c>
      <c r="K48769" s="18"/>
    </row>
    <row r="48770">
      <c r="B48770" s="17" t="s">
        <v>477</v>
      </c>
      <c r="K48770" s="18"/>
    </row>
    <row r="48771">
      <c r="B48771" s="17" t="s">
        <v>477</v>
      </c>
      <c r="K48771" s="18"/>
    </row>
    <row r="48772">
      <c r="B48772" s="17" t="s">
        <v>477</v>
      </c>
      <c r="K48772" s="18"/>
    </row>
    <row r="48773">
      <c r="B48773" s="17" t="s">
        <v>477</v>
      </c>
      <c r="K48773" s="18"/>
    </row>
    <row r="48774">
      <c r="B48774" s="17" t="s">
        <v>477</v>
      </c>
      <c r="K48774" s="18"/>
    </row>
    <row r="48775">
      <c r="B48775" s="17" t="s">
        <v>477</v>
      </c>
      <c r="K48775" s="18"/>
    </row>
    <row r="48776">
      <c r="B48776" s="17" t="s">
        <v>477</v>
      </c>
      <c r="K48776" s="18"/>
    </row>
    <row r="48777">
      <c r="B48777" s="17" t="s">
        <v>477</v>
      </c>
      <c r="K48777" s="18"/>
    </row>
    <row r="48778">
      <c r="B48778" s="17" t="s">
        <v>477</v>
      </c>
      <c r="K48778" s="18"/>
    </row>
    <row r="48779">
      <c r="B48779" s="17" t="s">
        <v>477</v>
      </c>
      <c r="K48779" s="18"/>
    </row>
    <row r="48780">
      <c r="B48780" s="17" t="s">
        <v>477</v>
      </c>
      <c r="K48780" s="18"/>
    </row>
    <row r="48781">
      <c r="B48781" s="17" t="s">
        <v>477</v>
      </c>
      <c r="K48781" s="18"/>
    </row>
    <row r="48782">
      <c r="B48782" s="17" t="s">
        <v>477</v>
      </c>
      <c r="K48782" s="18"/>
    </row>
    <row r="48783">
      <c r="B48783" s="17" t="s">
        <v>477</v>
      </c>
      <c r="K48783" s="18"/>
    </row>
    <row r="48784">
      <c r="B48784" s="17" t="s">
        <v>477</v>
      </c>
      <c r="K48784" s="18"/>
    </row>
    <row r="48785">
      <c r="B48785" s="17" t="s">
        <v>477</v>
      </c>
      <c r="K48785" s="18"/>
    </row>
    <row r="48786">
      <c r="B48786" s="17" t="s">
        <v>477</v>
      </c>
      <c r="K48786" s="18"/>
    </row>
    <row r="48787">
      <c r="B48787" s="17" t="s">
        <v>477</v>
      </c>
      <c r="K48787" s="18"/>
    </row>
    <row r="48788">
      <c r="B48788" s="17" t="s">
        <v>477</v>
      </c>
      <c r="K48788" s="18"/>
    </row>
    <row r="48789">
      <c r="B48789" s="17" t="s">
        <v>477</v>
      </c>
      <c r="K48789" s="18"/>
    </row>
    <row r="48790">
      <c r="B48790" s="17" t="s">
        <v>477</v>
      </c>
      <c r="K48790" s="18"/>
    </row>
    <row r="48791">
      <c r="B48791" s="17" t="s">
        <v>477</v>
      </c>
      <c r="K48791" s="18"/>
    </row>
    <row r="48792">
      <c r="B48792" s="17" t="s">
        <v>477</v>
      </c>
      <c r="K48792" s="18"/>
    </row>
    <row r="48793">
      <c r="B48793" s="17" t="s">
        <v>477</v>
      </c>
      <c r="K48793" s="18"/>
    </row>
    <row r="48794">
      <c r="B48794" s="17" t="s">
        <v>477</v>
      </c>
      <c r="K48794" s="18"/>
    </row>
    <row r="48795">
      <c r="B48795" s="17" t="s">
        <v>477</v>
      </c>
      <c r="K48795" s="18"/>
    </row>
    <row r="48796">
      <c r="B48796" s="17" t="s">
        <v>477</v>
      </c>
      <c r="K48796" s="18"/>
    </row>
    <row r="48797">
      <c r="B48797" s="17" t="s">
        <v>477</v>
      </c>
      <c r="K48797" s="18"/>
    </row>
    <row r="48798">
      <c r="B48798" s="17" t="s">
        <v>477</v>
      </c>
      <c r="K48798" s="18"/>
    </row>
    <row r="48799">
      <c r="B48799" s="17" t="s">
        <v>477</v>
      </c>
      <c r="K48799" s="18"/>
    </row>
    <row r="48800">
      <c r="B48800" s="17" t="s">
        <v>477</v>
      </c>
      <c r="K48800" s="18"/>
    </row>
    <row r="48801">
      <c r="B48801" s="17" t="s">
        <v>477</v>
      </c>
      <c r="K48801" s="18"/>
    </row>
    <row r="48802">
      <c r="B48802" s="17" t="s">
        <v>477</v>
      </c>
      <c r="K48802" s="18"/>
    </row>
    <row r="48803">
      <c r="B48803" s="17" t="s">
        <v>477</v>
      </c>
      <c r="K48803" s="18"/>
    </row>
    <row r="48804">
      <c r="B48804" s="17" t="s">
        <v>477</v>
      </c>
      <c r="K48804" s="18"/>
    </row>
    <row r="48805">
      <c r="B48805" s="17" t="s">
        <v>477</v>
      </c>
      <c r="K48805" s="18"/>
    </row>
    <row r="48806">
      <c r="B48806" s="17" t="s">
        <v>477</v>
      </c>
      <c r="K48806" s="18"/>
    </row>
    <row r="48807">
      <c r="B48807" s="17" t="s">
        <v>477</v>
      </c>
      <c r="K48807" s="18"/>
    </row>
    <row r="48808">
      <c r="B48808" s="17" t="s">
        <v>477</v>
      </c>
      <c r="K48808" s="18"/>
    </row>
    <row r="48809">
      <c r="B48809" s="17" t="s">
        <v>477</v>
      </c>
      <c r="K48809" s="18"/>
    </row>
    <row r="48810">
      <c r="B48810" s="17" t="s">
        <v>477</v>
      </c>
      <c r="K48810" s="18"/>
    </row>
    <row r="48811">
      <c r="B48811" s="17" t="s">
        <v>477</v>
      </c>
      <c r="K48811" s="18"/>
    </row>
    <row r="48812">
      <c r="B48812" s="17" t="s">
        <v>477</v>
      </c>
      <c r="K48812" s="18"/>
    </row>
    <row r="48813">
      <c r="B48813" s="17" t="s">
        <v>477</v>
      </c>
      <c r="K48813" s="18"/>
    </row>
    <row r="48814">
      <c r="B48814" s="17" t="s">
        <v>477</v>
      </c>
      <c r="K48814" s="18"/>
    </row>
    <row r="48815">
      <c r="B48815" s="17" t="s">
        <v>477</v>
      </c>
      <c r="K48815" s="18"/>
    </row>
    <row r="48816">
      <c r="B48816" s="17" t="s">
        <v>477</v>
      </c>
      <c r="K48816" s="18"/>
    </row>
    <row r="48817">
      <c r="B48817" s="17" t="s">
        <v>477</v>
      </c>
      <c r="K48817" s="18"/>
    </row>
    <row r="48818">
      <c r="B48818" s="17" t="s">
        <v>477</v>
      </c>
      <c r="K48818" s="18"/>
    </row>
    <row r="48819">
      <c r="B48819" s="17" t="s">
        <v>477</v>
      </c>
      <c r="K48819" s="18"/>
    </row>
    <row r="48820">
      <c r="B48820" s="17" t="s">
        <v>477</v>
      </c>
      <c r="K48820" s="18"/>
    </row>
    <row r="48821">
      <c r="B48821" s="17" t="s">
        <v>477</v>
      </c>
      <c r="K48821" s="18"/>
    </row>
    <row r="48822">
      <c r="B48822" s="17" t="s">
        <v>477</v>
      </c>
      <c r="K48822" s="18"/>
    </row>
    <row r="48823">
      <c r="B48823" s="17" t="s">
        <v>477</v>
      </c>
      <c r="K48823" s="18"/>
    </row>
    <row r="48824">
      <c r="B48824" s="17" t="s">
        <v>477</v>
      </c>
      <c r="K48824" s="18"/>
    </row>
    <row r="48825">
      <c r="B48825" s="17" t="s">
        <v>477</v>
      </c>
      <c r="K48825" s="18"/>
    </row>
    <row r="48826">
      <c r="B48826" s="17" t="s">
        <v>477</v>
      </c>
      <c r="K48826" s="18"/>
    </row>
    <row r="48827">
      <c r="B48827" s="17" t="s">
        <v>477</v>
      </c>
      <c r="K48827" s="18"/>
    </row>
    <row r="48828">
      <c r="B48828" s="17" t="s">
        <v>477</v>
      </c>
      <c r="K48828" s="18"/>
    </row>
    <row r="48829">
      <c r="B48829" s="17" t="s">
        <v>477</v>
      </c>
      <c r="K48829" s="18"/>
    </row>
    <row r="48830">
      <c r="B48830" s="17" t="s">
        <v>477</v>
      </c>
      <c r="K48830" s="18"/>
    </row>
    <row r="48831">
      <c r="B48831" s="17" t="s">
        <v>477</v>
      </c>
      <c r="K48831" s="18"/>
    </row>
    <row r="48832">
      <c r="B48832" s="17" t="s">
        <v>477</v>
      </c>
      <c r="K48832" s="18"/>
    </row>
    <row r="48833">
      <c r="B48833" s="17" t="s">
        <v>477</v>
      </c>
      <c r="K48833" s="18"/>
    </row>
    <row r="48834">
      <c r="B48834" s="17" t="s">
        <v>477</v>
      </c>
      <c r="K48834" s="18"/>
    </row>
    <row r="48835">
      <c r="B48835" s="17" t="s">
        <v>477</v>
      </c>
      <c r="K48835" s="18"/>
    </row>
    <row r="48836">
      <c r="B48836" s="17" t="s">
        <v>477</v>
      </c>
      <c r="K48836" s="18"/>
    </row>
    <row r="48837">
      <c r="B48837" s="17" t="s">
        <v>477</v>
      </c>
      <c r="K48837" s="18"/>
    </row>
    <row r="48838">
      <c r="B48838" s="17" t="s">
        <v>477</v>
      </c>
      <c r="K48838" s="18"/>
    </row>
    <row r="48839">
      <c r="B48839" s="17" t="s">
        <v>477</v>
      </c>
      <c r="K48839" s="18"/>
    </row>
    <row r="48840">
      <c r="B48840" s="17" t="s">
        <v>477</v>
      </c>
      <c r="K48840" s="18"/>
    </row>
    <row r="48841">
      <c r="B48841" s="17" t="s">
        <v>477</v>
      </c>
      <c r="K48841" s="18"/>
    </row>
    <row r="48842">
      <c r="B48842" s="17" t="s">
        <v>477</v>
      </c>
      <c r="K48842" s="18"/>
    </row>
    <row r="48843">
      <c r="B48843" s="17" t="s">
        <v>477</v>
      </c>
      <c r="K48843" s="18"/>
    </row>
    <row r="48844">
      <c r="B48844" s="17" t="s">
        <v>477</v>
      </c>
      <c r="K48844" s="18"/>
    </row>
    <row r="48845">
      <c r="B48845" s="17" t="s">
        <v>477</v>
      </c>
      <c r="K48845" s="18"/>
    </row>
    <row r="48846">
      <c r="B48846" s="17" t="s">
        <v>477</v>
      </c>
      <c r="K48846" s="18"/>
    </row>
    <row r="48847">
      <c r="B48847" s="17" t="s">
        <v>477</v>
      </c>
      <c r="K48847" s="18"/>
    </row>
    <row r="48848">
      <c r="B48848" s="17" t="s">
        <v>477</v>
      </c>
      <c r="K48848" s="18"/>
    </row>
    <row r="48849">
      <c r="B48849" s="17" t="s">
        <v>477</v>
      </c>
      <c r="K48849" s="18"/>
    </row>
    <row r="48850">
      <c r="B48850" s="17" t="s">
        <v>477</v>
      </c>
      <c r="K48850" s="18"/>
    </row>
    <row r="48851">
      <c r="B48851" s="17" t="s">
        <v>477</v>
      </c>
      <c r="K48851" s="18"/>
    </row>
    <row r="48852">
      <c r="B48852" s="17" t="s">
        <v>477</v>
      </c>
      <c r="K48852" s="18"/>
    </row>
    <row r="48853">
      <c r="B48853" s="17" t="s">
        <v>477</v>
      </c>
      <c r="K48853" s="18"/>
    </row>
    <row r="48854">
      <c r="B48854" s="17" t="s">
        <v>477</v>
      </c>
      <c r="K48854" s="18"/>
    </row>
    <row r="48855">
      <c r="B48855" s="17" t="s">
        <v>477</v>
      </c>
      <c r="K48855" s="18"/>
    </row>
    <row r="48856">
      <c r="B48856" s="17" t="s">
        <v>477</v>
      </c>
      <c r="K48856" s="18"/>
    </row>
    <row r="48857">
      <c r="B48857" s="17" t="s">
        <v>477</v>
      </c>
      <c r="K48857" s="18"/>
    </row>
    <row r="48858">
      <c r="B48858" s="17" t="s">
        <v>477</v>
      </c>
      <c r="K48858" s="18"/>
    </row>
    <row r="48859">
      <c r="B48859" s="17" t="s">
        <v>477</v>
      </c>
      <c r="K48859" s="18"/>
    </row>
    <row r="48860">
      <c r="B48860" s="17" t="s">
        <v>477</v>
      </c>
      <c r="K48860" s="18"/>
    </row>
    <row r="48861">
      <c r="B48861" s="17" t="s">
        <v>477</v>
      </c>
      <c r="K48861" s="18"/>
    </row>
    <row r="48862">
      <c r="B48862" s="17" t="s">
        <v>477</v>
      </c>
      <c r="K48862" s="18"/>
    </row>
    <row r="48863">
      <c r="B48863" s="17" t="s">
        <v>477</v>
      </c>
      <c r="K48863" s="18"/>
    </row>
    <row r="48864">
      <c r="B48864" s="17" t="s">
        <v>477</v>
      </c>
      <c r="K48864" s="18"/>
    </row>
    <row r="48865">
      <c r="B48865" s="17" t="s">
        <v>477</v>
      </c>
      <c r="K48865" s="18"/>
    </row>
    <row r="48866">
      <c r="B48866" s="17" t="s">
        <v>477</v>
      </c>
      <c r="K48866" s="18"/>
    </row>
    <row r="48867">
      <c r="B48867" s="17" t="s">
        <v>477</v>
      </c>
      <c r="K48867" s="18"/>
    </row>
    <row r="48868">
      <c r="B48868" s="17" t="s">
        <v>477</v>
      </c>
      <c r="K48868" s="18"/>
    </row>
    <row r="48869">
      <c r="B48869" s="17" t="s">
        <v>477</v>
      </c>
      <c r="K48869" s="18"/>
    </row>
    <row r="48870">
      <c r="B48870" s="17" t="s">
        <v>477</v>
      </c>
      <c r="K48870" s="18"/>
    </row>
    <row r="48871">
      <c r="B48871" s="17" t="s">
        <v>477</v>
      </c>
      <c r="K48871" s="18"/>
    </row>
    <row r="48872">
      <c r="B48872" s="17" t="s">
        <v>477</v>
      </c>
      <c r="K48872" s="18"/>
    </row>
    <row r="48873">
      <c r="B48873" s="17" t="s">
        <v>477</v>
      </c>
      <c r="K48873" s="18"/>
    </row>
    <row r="48874">
      <c r="B48874" s="17" t="s">
        <v>477</v>
      </c>
      <c r="K48874" s="18"/>
    </row>
    <row r="48875">
      <c r="B48875" s="17" t="s">
        <v>477</v>
      </c>
      <c r="K48875" s="18"/>
    </row>
    <row r="48876">
      <c r="B48876" s="17" t="s">
        <v>477</v>
      </c>
      <c r="K48876" s="18"/>
    </row>
    <row r="48877">
      <c r="B48877" s="17" t="s">
        <v>477</v>
      </c>
      <c r="K48877" s="18"/>
    </row>
    <row r="48878">
      <c r="B48878" s="17" t="s">
        <v>477</v>
      </c>
      <c r="K48878" s="18"/>
    </row>
    <row r="48879">
      <c r="B48879" s="17" t="s">
        <v>477</v>
      </c>
      <c r="K48879" s="18"/>
    </row>
    <row r="48880">
      <c r="B48880" s="17" t="s">
        <v>477</v>
      </c>
      <c r="K48880" s="18"/>
    </row>
    <row r="48881">
      <c r="B48881" s="17" t="s">
        <v>477</v>
      </c>
      <c r="K48881" s="18"/>
    </row>
    <row r="48882">
      <c r="B48882" s="17" t="s">
        <v>477</v>
      </c>
      <c r="K48882" s="18"/>
    </row>
    <row r="48883">
      <c r="B48883" s="17" t="s">
        <v>477</v>
      </c>
      <c r="K48883" s="18"/>
    </row>
    <row r="48884">
      <c r="B48884" s="17" t="s">
        <v>477</v>
      </c>
      <c r="K48884" s="18"/>
    </row>
    <row r="48885">
      <c r="B48885" s="17" t="s">
        <v>477</v>
      </c>
      <c r="K48885" s="18"/>
    </row>
    <row r="48886">
      <c r="B48886" s="17" t="s">
        <v>477</v>
      </c>
      <c r="K48886" s="18"/>
    </row>
    <row r="48887">
      <c r="B48887" s="17" t="s">
        <v>477</v>
      </c>
      <c r="K48887" s="18"/>
    </row>
    <row r="48888">
      <c r="B48888" s="17" t="s">
        <v>477</v>
      </c>
      <c r="K48888" s="18"/>
    </row>
    <row r="48889">
      <c r="B48889" s="17" t="s">
        <v>477</v>
      </c>
      <c r="K48889" s="18"/>
    </row>
    <row r="48890">
      <c r="B48890" s="17" t="s">
        <v>477</v>
      </c>
      <c r="K48890" s="18"/>
    </row>
    <row r="48891">
      <c r="B48891" s="17" t="s">
        <v>477</v>
      </c>
      <c r="K48891" s="18"/>
    </row>
    <row r="48892">
      <c r="B48892" s="17" t="s">
        <v>477</v>
      </c>
      <c r="K48892" s="18"/>
    </row>
    <row r="48893">
      <c r="B48893" s="17" t="s">
        <v>477</v>
      </c>
      <c r="K48893" s="18"/>
    </row>
    <row r="48894">
      <c r="B48894" s="17" t="s">
        <v>477</v>
      </c>
      <c r="K48894" s="18"/>
    </row>
    <row r="48895">
      <c r="B48895" s="17" t="s">
        <v>477</v>
      </c>
      <c r="K48895" s="18"/>
    </row>
    <row r="48896">
      <c r="B48896" s="17" t="s">
        <v>477</v>
      </c>
      <c r="K48896" s="18"/>
    </row>
    <row r="48897">
      <c r="B48897" s="17" t="s">
        <v>477</v>
      </c>
      <c r="K48897" s="18"/>
    </row>
    <row r="48898">
      <c r="B48898" s="17" t="s">
        <v>477</v>
      </c>
      <c r="K48898" s="18"/>
    </row>
    <row r="48899">
      <c r="B48899" s="17" t="s">
        <v>477</v>
      </c>
      <c r="K48899" s="18"/>
    </row>
    <row r="48900">
      <c r="B48900" s="17" t="s">
        <v>477</v>
      </c>
      <c r="K48900" s="18"/>
    </row>
    <row r="48901">
      <c r="B48901" s="17" t="s">
        <v>477</v>
      </c>
      <c r="K48901" s="18"/>
    </row>
    <row r="48902">
      <c r="B48902" s="17" t="s">
        <v>477</v>
      </c>
      <c r="K48902" s="18"/>
    </row>
    <row r="48903">
      <c r="B48903" s="17" t="s">
        <v>477</v>
      </c>
      <c r="K48903" s="18"/>
    </row>
    <row r="48904">
      <c r="B48904" s="17" t="s">
        <v>477</v>
      </c>
      <c r="K48904" s="18"/>
    </row>
    <row r="48905">
      <c r="B48905" s="17" t="s">
        <v>477</v>
      </c>
      <c r="K48905" s="18"/>
    </row>
    <row r="48906">
      <c r="B48906" s="17" t="s">
        <v>477</v>
      </c>
      <c r="K48906" s="18"/>
    </row>
    <row r="48907">
      <c r="B48907" s="17" t="s">
        <v>477</v>
      </c>
      <c r="K48907" s="18"/>
    </row>
    <row r="48908">
      <c r="B48908" s="17" t="s">
        <v>477</v>
      </c>
      <c r="K48908" s="18"/>
    </row>
    <row r="48909">
      <c r="B48909" s="17" t="s">
        <v>477</v>
      </c>
      <c r="K48909" s="18"/>
    </row>
    <row r="48910">
      <c r="B48910" s="17" t="s">
        <v>477</v>
      </c>
      <c r="K48910" s="18"/>
    </row>
    <row r="48911">
      <c r="B48911" s="17" t="s">
        <v>477</v>
      </c>
      <c r="K48911" s="18"/>
    </row>
    <row r="48912">
      <c r="B48912" s="17" t="s">
        <v>477</v>
      </c>
      <c r="K48912" s="18"/>
    </row>
    <row r="48913">
      <c r="B48913" s="17" t="s">
        <v>477</v>
      </c>
      <c r="K48913" s="18"/>
    </row>
    <row r="48914">
      <c r="B48914" s="17" t="s">
        <v>477</v>
      </c>
      <c r="K48914" s="18"/>
    </row>
    <row r="48915">
      <c r="B48915" s="17" t="s">
        <v>477</v>
      </c>
      <c r="K48915" s="18"/>
    </row>
    <row r="48916">
      <c r="B48916" s="17" t="s">
        <v>477</v>
      </c>
      <c r="K48916" s="18"/>
    </row>
    <row r="48917">
      <c r="B48917" s="17" t="s">
        <v>477</v>
      </c>
      <c r="K48917" s="18"/>
    </row>
    <row r="48918">
      <c r="B48918" s="17" t="s">
        <v>477</v>
      </c>
      <c r="K48918" s="18"/>
    </row>
    <row r="48919">
      <c r="B48919" s="17" t="s">
        <v>477</v>
      </c>
      <c r="K48919" s="18"/>
    </row>
    <row r="48920">
      <c r="B48920" s="17" t="s">
        <v>477</v>
      </c>
      <c r="K48920" s="18"/>
    </row>
    <row r="48921">
      <c r="B48921" s="17" t="s">
        <v>477</v>
      </c>
      <c r="K48921" s="18"/>
    </row>
    <row r="48922">
      <c r="B48922" s="17" t="s">
        <v>477</v>
      </c>
      <c r="K48922" s="18"/>
    </row>
    <row r="48923">
      <c r="B48923" s="17" t="s">
        <v>477</v>
      </c>
      <c r="K48923" s="18"/>
    </row>
    <row r="48924">
      <c r="B48924" s="17" t="s">
        <v>477</v>
      </c>
      <c r="K48924" s="18"/>
    </row>
    <row r="48925">
      <c r="B48925" s="17" t="s">
        <v>477</v>
      </c>
      <c r="K48925" s="18"/>
    </row>
    <row r="48926">
      <c r="B48926" s="17" t="s">
        <v>477</v>
      </c>
      <c r="K48926" s="18"/>
    </row>
    <row r="48927">
      <c r="B48927" s="17" t="s">
        <v>477</v>
      </c>
      <c r="K48927" s="18"/>
    </row>
    <row r="48928">
      <c r="B48928" s="17" t="s">
        <v>477</v>
      </c>
      <c r="K48928" s="18"/>
    </row>
    <row r="48929">
      <c r="B48929" s="17" t="s">
        <v>477</v>
      </c>
      <c r="K48929" s="18"/>
    </row>
    <row r="48930">
      <c r="B48930" s="17" t="s">
        <v>477</v>
      </c>
      <c r="K48930" s="18"/>
    </row>
    <row r="48931">
      <c r="B48931" s="17" t="s">
        <v>477</v>
      </c>
      <c r="K48931" s="18"/>
    </row>
    <row r="48932">
      <c r="B48932" s="17" t="s">
        <v>477</v>
      </c>
      <c r="K48932" s="18"/>
    </row>
    <row r="48933">
      <c r="B48933" s="17" t="s">
        <v>477</v>
      </c>
      <c r="K48933" s="18"/>
    </row>
    <row r="48934">
      <c r="B48934" s="17" t="s">
        <v>477</v>
      </c>
      <c r="K48934" s="18"/>
    </row>
    <row r="48935">
      <c r="B48935" s="17" t="s">
        <v>477</v>
      </c>
      <c r="K48935" s="18"/>
    </row>
    <row r="48936">
      <c r="B48936" s="17" t="s">
        <v>477</v>
      </c>
      <c r="K48936" s="18"/>
    </row>
    <row r="48937">
      <c r="B48937" s="17" t="s">
        <v>477</v>
      </c>
      <c r="K48937" s="18"/>
    </row>
    <row r="48938">
      <c r="B48938" s="17" t="s">
        <v>477</v>
      </c>
      <c r="K48938" s="18"/>
    </row>
    <row r="48939">
      <c r="B48939" s="17" t="s">
        <v>477</v>
      </c>
      <c r="K48939" s="18"/>
    </row>
    <row r="48940">
      <c r="B48940" s="17" t="s">
        <v>477</v>
      </c>
      <c r="K48940" s="18"/>
    </row>
    <row r="48941">
      <c r="B48941" s="17" t="s">
        <v>477</v>
      </c>
      <c r="K48941" s="18"/>
    </row>
    <row r="48942">
      <c r="B48942" s="17" t="s">
        <v>477</v>
      </c>
      <c r="K48942" s="18"/>
    </row>
    <row r="48943">
      <c r="B48943" s="17" t="s">
        <v>477</v>
      </c>
      <c r="K48943" s="18"/>
    </row>
    <row r="48944">
      <c r="B48944" s="17" t="s">
        <v>477</v>
      </c>
      <c r="K48944" s="18"/>
    </row>
    <row r="48945">
      <c r="B48945" s="17" t="s">
        <v>477</v>
      </c>
      <c r="K48945" s="18"/>
    </row>
    <row r="48946">
      <c r="B48946" s="17" t="s">
        <v>477</v>
      </c>
      <c r="K48946" s="18"/>
    </row>
    <row r="48947">
      <c r="B48947" s="17" t="s">
        <v>477</v>
      </c>
      <c r="K48947" s="18"/>
    </row>
    <row r="48948">
      <c r="B48948" s="17" t="s">
        <v>477</v>
      </c>
      <c r="K48948" s="18"/>
    </row>
    <row r="48949">
      <c r="B48949" s="17" t="s">
        <v>477</v>
      </c>
      <c r="K48949" s="18"/>
    </row>
    <row r="48950">
      <c r="B48950" s="17" t="s">
        <v>477</v>
      </c>
      <c r="K48950" s="18"/>
    </row>
    <row r="48951">
      <c r="B48951" s="17" t="s">
        <v>477</v>
      </c>
      <c r="K48951" s="18"/>
    </row>
    <row r="48952">
      <c r="B48952" s="17" t="s">
        <v>477</v>
      </c>
      <c r="K48952" s="18"/>
    </row>
    <row r="48953">
      <c r="B48953" s="17" t="s">
        <v>477</v>
      </c>
      <c r="K48953" s="18"/>
    </row>
    <row r="48954">
      <c r="B48954" s="17" t="s">
        <v>477</v>
      </c>
      <c r="K48954" s="18"/>
    </row>
    <row r="48955">
      <c r="B48955" s="17" t="s">
        <v>477</v>
      </c>
      <c r="K48955" s="18"/>
    </row>
    <row r="48956">
      <c r="B48956" s="17" t="s">
        <v>477</v>
      </c>
      <c r="K48956" s="18"/>
    </row>
    <row r="48957">
      <c r="B48957" s="17" t="s">
        <v>477</v>
      </c>
      <c r="K48957" s="18"/>
    </row>
    <row r="48958">
      <c r="B48958" s="17" t="s">
        <v>477</v>
      </c>
      <c r="K48958" s="18"/>
    </row>
    <row r="48959">
      <c r="B48959" s="17" t="s">
        <v>477</v>
      </c>
      <c r="K48959" s="18"/>
    </row>
    <row r="48960">
      <c r="B48960" s="17" t="s">
        <v>477</v>
      </c>
      <c r="K48960" s="18"/>
    </row>
    <row r="48961">
      <c r="B48961" s="17" t="s">
        <v>477</v>
      </c>
      <c r="K48961" s="18"/>
    </row>
    <row r="48962">
      <c r="B48962" s="17" t="s">
        <v>477</v>
      </c>
      <c r="K48962" s="18"/>
    </row>
    <row r="48963">
      <c r="B48963" s="17" t="s">
        <v>477</v>
      </c>
      <c r="K48963" s="18"/>
    </row>
    <row r="48964">
      <c r="B48964" s="17" t="s">
        <v>477</v>
      </c>
      <c r="K48964" s="18"/>
    </row>
    <row r="48965">
      <c r="B48965" s="17" t="s">
        <v>477</v>
      </c>
      <c r="K48965" s="18"/>
    </row>
    <row r="48966">
      <c r="B48966" s="17" t="s">
        <v>477</v>
      </c>
      <c r="K48966" s="18"/>
    </row>
    <row r="48967">
      <c r="B48967" s="17" t="s">
        <v>477</v>
      </c>
      <c r="K48967" s="18"/>
    </row>
    <row r="48968">
      <c r="B48968" s="17" t="s">
        <v>477</v>
      </c>
      <c r="K48968" s="18"/>
    </row>
    <row r="48969">
      <c r="B48969" s="17" t="s">
        <v>477</v>
      </c>
      <c r="K48969" s="18"/>
    </row>
    <row r="48970">
      <c r="B48970" s="17" t="s">
        <v>477</v>
      </c>
      <c r="K48970" s="18"/>
    </row>
    <row r="48971">
      <c r="B48971" s="17" t="s">
        <v>477</v>
      </c>
      <c r="K48971" s="18"/>
    </row>
    <row r="48972">
      <c r="B48972" s="17" t="s">
        <v>477</v>
      </c>
      <c r="K48972" s="18"/>
    </row>
    <row r="48973">
      <c r="B48973" s="17" t="s">
        <v>477</v>
      </c>
      <c r="K48973" s="18"/>
    </row>
    <row r="48974">
      <c r="B48974" s="17" t="s">
        <v>477</v>
      </c>
      <c r="K48974" s="18"/>
    </row>
    <row r="48975">
      <c r="B48975" s="17" t="s">
        <v>477</v>
      </c>
      <c r="K48975" s="18"/>
    </row>
    <row r="48976">
      <c r="B48976" s="17" t="s">
        <v>477</v>
      </c>
      <c r="K48976" s="18"/>
    </row>
    <row r="48977">
      <c r="B48977" s="17" t="s">
        <v>477</v>
      </c>
      <c r="K48977" s="18"/>
    </row>
    <row r="48978">
      <c r="B48978" s="17" t="s">
        <v>477</v>
      </c>
      <c r="K48978" s="18"/>
    </row>
    <row r="48979">
      <c r="B48979" s="17" t="s">
        <v>477</v>
      </c>
      <c r="K48979" s="18"/>
    </row>
    <row r="48980">
      <c r="B48980" s="17" t="s">
        <v>477</v>
      </c>
      <c r="K48980" s="18"/>
    </row>
    <row r="48981">
      <c r="B48981" s="17" t="s">
        <v>477</v>
      </c>
      <c r="K48981" s="18"/>
    </row>
    <row r="48982">
      <c r="B48982" s="17" t="s">
        <v>477</v>
      </c>
      <c r="K48982" s="18"/>
    </row>
    <row r="48983">
      <c r="B48983" s="17" t="s">
        <v>477</v>
      </c>
      <c r="K48983" s="18"/>
    </row>
    <row r="48984">
      <c r="B48984" s="17" t="s">
        <v>477</v>
      </c>
      <c r="K48984" s="18"/>
    </row>
    <row r="48985">
      <c r="B48985" s="17" t="s">
        <v>477</v>
      </c>
      <c r="K48985" s="18"/>
    </row>
    <row r="48986">
      <c r="B48986" s="17" t="s">
        <v>477</v>
      </c>
      <c r="K48986" s="18"/>
    </row>
    <row r="48987">
      <c r="B48987" s="17" t="s">
        <v>477</v>
      </c>
      <c r="K48987" s="18"/>
    </row>
    <row r="48988">
      <c r="B48988" s="17" t="s">
        <v>477</v>
      </c>
      <c r="K48988" s="18"/>
    </row>
    <row r="48989">
      <c r="B48989" s="17" t="s">
        <v>477</v>
      </c>
      <c r="K48989" s="18"/>
    </row>
    <row r="48990">
      <c r="B48990" s="17" t="s">
        <v>477</v>
      </c>
      <c r="K48990" s="18"/>
    </row>
    <row r="48991">
      <c r="B48991" s="17" t="s">
        <v>477</v>
      </c>
      <c r="K48991" s="18"/>
    </row>
    <row r="48992">
      <c r="B48992" s="17" t="s">
        <v>477</v>
      </c>
      <c r="K48992" s="18"/>
    </row>
    <row r="48993">
      <c r="B48993" s="17" t="s">
        <v>477</v>
      </c>
      <c r="K48993" s="18"/>
    </row>
    <row r="48994">
      <c r="B48994" s="17" t="s">
        <v>477</v>
      </c>
      <c r="K48994" s="18"/>
    </row>
    <row r="48995">
      <c r="B48995" s="17" t="s">
        <v>477</v>
      </c>
      <c r="K48995" s="18"/>
    </row>
    <row r="48996">
      <c r="B48996" s="17" t="s">
        <v>477</v>
      </c>
      <c r="K48996" s="18"/>
    </row>
    <row r="48997">
      <c r="B48997" s="17" t="s">
        <v>477</v>
      </c>
      <c r="K48997" s="18"/>
    </row>
    <row r="48998">
      <c r="B48998" s="17" t="s">
        <v>477</v>
      </c>
      <c r="K48998" s="18"/>
    </row>
    <row r="48999">
      <c r="B48999" s="17" t="s">
        <v>477</v>
      </c>
      <c r="K48999" s="18"/>
    </row>
    <row r="49000">
      <c r="B49000" s="17" t="s">
        <v>477</v>
      </c>
      <c r="K49000" s="18"/>
    </row>
    <row r="49001">
      <c r="B49001" s="17" t="s">
        <v>477</v>
      </c>
      <c r="K49001" s="18"/>
    </row>
    <row r="49002">
      <c r="B49002" s="17" t="s">
        <v>477</v>
      </c>
      <c r="K49002" s="18"/>
    </row>
    <row r="49003">
      <c r="B49003" s="17" t="s">
        <v>477</v>
      </c>
      <c r="K49003" s="18"/>
    </row>
    <row r="49004">
      <c r="B49004" s="17" t="s">
        <v>477</v>
      </c>
      <c r="K49004" s="18"/>
    </row>
    <row r="49005">
      <c r="B49005" s="17" t="s">
        <v>477</v>
      </c>
      <c r="K49005" s="18"/>
    </row>
    <row r="49006">
      <c r="B49006" s="17" t="s">
        <v>477</v>
      </c>
      <c r="K49006" s="18"/>
    </row>
    <row r="49007">
      <c r="B49007" s="17" t="s">
        <v>477</v>
      </c>
      <c r="K49007" s="18"/>
    </row>
    <row r="49008">
      <c r="B49008" s="17" t="s">
        <v>477</v>
      </c>
      <c r="K49008" s="18"/>
    </row>
    <row r="49009">
      <c r="B49009" s="17" t="s">
        <v>477</v>
      </c>
      <c r="K49009" s="18"/>
    </row>
    <row r="49010">
      <c r="B49010" s="17" t="s">
        <v>477</v>
      </c>
      <c r="K49010" s="18"/>
    </row>
    <row r="49011">
      <c r="B49011" s="17" t="s">
        <v>477</v>
      </c>
      <c r="K49011" s="18"/>
    </row>
    <row r="49012">
      <c r="B49012" s="17" t="s">
        <v>477</v>
      </c>
      <c r="K49012" s="18"/>
    </row>
    <row r="49013">
      <c r="B49013" s="17" t="s">
        <v>477</v>
      </c>
      <c r="K49013" s="18"/>
    </row>
    <row r="49014">
      <c r="B49014" s="17" t="s">
        <v>477</v>
      </c>
      <c r="K49014" s="18"/>
    </row>
    <row r="49015">
      <c r="B49015" s="17" t="s">
        <v>477</v>
      </c>
      <c r="K49015" s="18"/>
    </row>
    <row r="49016">
      <c r="B49016" s="17" t="s">
        <v>477</v>
      </c>
      <c r="K49016" s="18"/>
    </row>
    <row r="49017">
      <c r="B49017" s="17" t="s">
        <v>477</v>
      </c>
      <c r="K49017" s="18"/>
    </row>
    <row r="49018">
      <c r="B49018" s="17" t="s">
        <v>477</v>
      </c>
      <c r="K49018" s="18"/>
    </row>
    <row r="49019">
      <c r="B49019" s="17" t="s">
        <v>477</v>
      </c>
      <c r="K49019" s="18"/>
    </row>
    <row r="49020">
      <c r="B49020" s="17" t="s">
        <v>477</v>
      </c>
      <c r="K49020" s="18"/>
    </row>
    <row r="49021">
      <c r="B49021" s="17" t="s">
        <v>477</v>
      </c>
      <c r="K49021" s="18"/>
    </row>
    <row r="49022">
      <c r="B49022" s="17" t="s">
        <v>477</v>
      </c>
      <c r="K49022" s="18"/>
    </row>
    <row r="49023">
      <c r="B49023" s="17" t="s">
        <v>477</v>
      </c>
      <c r="K49023" s="18"/>
    </row>
    <row r="49024">
      <c r="B49024" s="17" t="s">
        <v>477</v>
      </c>
      <c r="K49024" s="18"/>
    </row>
    <row r="49025">
      <c r="B49025" s="17" t="s">
        <v>477</v>
      </c>
      <c r="K49025" s="18"/>
    </row>
    <row r="49026">
      <c r="B49026" s="17" t="s">
        <v>477</v>
      </c>
      <c r="K49026" s="18"/>
    </row>
    <row r="49027">
      <c r="B49027" s="17" t="s">
        <v>477</v>
      </c>
      <c r="K49027" s="18"/>
    </row>
    <row r="49028">
      <c r="B49028" s="17" t="s">
        <v>477</v>
      </c>
      <c r="K49028" s="18"/>
    </row>
    <row r="49029">
      <c r="B49029" s="17" t="s">
        <v>477</v>
      </c>
      <c r="K49029" s="18"/>
    </row>
    <row r="49030">
      <c r="B49030" s="17" t="s">
        <v>477</v>
      </c>
      <c r="K49030" s="18"/>
    </row>
    <row r="49031">
      <c r="B49031" s="17" t="s">
        <v>477</v>
      </c>
      <c r="K49031" s="18"/>
    </row>
    <row r="49032">
      <c r="B49032" s="17" t="s">
        <v>477</v>
      </c>
      <c r="K49032" s="18"/>
    </row>
    <row r="49033">
      <c r="B49033" s="17" t="s">
        <v>477</v>
      </c>
      <c r="K49033" s="18"/>
    </row>
    <row r="49034">
      <c r="B49034" s="17" t="s">
        <v>477</v>
      </c>
      <c r="K49034" s="18"/>
    </row>
    <row r="49035">
      <c r="B49035" s="17" t="s">
        <v>477</v>
      </c>
      <c r="K49035" s="18"/>
    </row>
    <row r="49036">
      <c r="B49036" s="17" t="s">
        <v>477</v>
      </c>
      <c r="K49036" s="18"/>
    </row>
    <row r="49037">
      <c r="B49037" s="17" t="s">
        <v>477</v>
      </c>
      <c r="K49037" s="18"/>
    </row>
    <row r="49038">
      <c r="B49038" s="17" t="s">
        <v>477</v>
      </c>
      <c r="K49038" s="18"/>
    </row>
    <row r="49039">
      <c r="B49039" s="17" t="s">
        <v>477</v>
      </c>
      <c r="K49039" s="18"/>
    </row>
    <row r="49040">
      <c r="B49040" s="17" t="s">
        <v>477</v>
      </c>
      <c r="K49040" s="18"/>
    </row>
    <row r="49041">
      <c r="B49041" s="17" t="s">
        <v>477</v>
      </c>
      <c r="K49041" s="18"/>
    </row>
    <row r="49042">
      <c r="B49042" s="17" t="s">
        <v>477</v>
      </c>
      <c r="K49042" s="18"/>
    </row>
    <row r="49043">
      <c r="B49043" s="17" t="s">
        <v>477</v>
      </c>
      <c r="K49043" s="18"/>
    </row>
    <row r="49044">
      <c r="B49044" s="17" t="s">
        <v>477</v>
      </c>
      <c r="K49044" s="18"/>
    </row>
    <row r="49045">
      <c r="B49045" s="17" t="s">
        <v>477</v>
      </c>
      <c r="K49045" s="18"/>
    </row>
    <row r="49046">
      <c r="B49046" s="17" t="s">
        <v>477</v>
      </c>
      <c r="K49046" s="18"/>
    </row>
    <row r="49047">
      <c r="B49047" s="17" t="s">
        <v>477</v>
      </c>
      <c r="K49047" s="18"/>
    </row>
    <row r="49048">
      <c r="B49048" s="17" t="s">
        <v>477</v>
      </c>
      <c r="K49048" s="18"/>
    </row>
    <row r="49049">
      <c r="B49049" s="17" t="s">
        <v>477</v>
      </c>
      <c r="K49049" s="18"/>
    </row>
    <row r="49050">
      <c r="B49050" s="17" t="s">
        <v>477</v>
      </c>
      <c r="K49050" s="18"/>
    </row>
    <row r="49051">
      <c r="B49051" s="17" t="s">
        <v>477</v>
      </c>
      <c r="K49051" s="18"/>
    </row>
    <row r="49052">
      <c r="B49052" s="17" t="s">
        <v>477</v>
      </c>
      <c r="K49052" s="18"/>
    </row>
    <row r="49053">
      <c r="B49053" s="17" t="s">
        <v>477</v>
      </c>
      <c r="K49053" s="18"/>
    </row>
    <row r="49054">
      <c r="B49054" s="17" t="s">
        <v>477</v>
      </c>
      <c r="K49054" s="18"/>
    </row>
    <row r="49055">
      <c r="B49055" s="17" t="s">
        <v>477</v>
      </c>
      <c r="K49055" s="18"/>
    </row>
    <row r="49056">
      <c r="B49056" s="17" t="s">
        <v>477</v>
      </c>
      <c r="K49056" s="18"/>
    </row>
    <row r="49057">
      <c r="B49057" s="17" t="s">
        <v>477</v>
      </c>
      <c r="K49057" s="18"/>
    </row>
    <row r="49058">
      <c r="B49058" s="17" t="s">
        <v>477</v>
      </c>
      <c r="K49058" s="18"/>
    </row>
    <row r="49059">
      <c r="B49059" s="17" t="s">
        <v>477</v>
      </c>
      <c r="K49059" s="18"/>
    </row>
    <row r="49060">
      <c r="B49060" s="17" t="s">
        <v>477</v>
      </c>
      <c r="K49060" s="18"/>
    </row>
    <row r="49061">
      <c r="B49061" s="17" t="s">
        <v>477</v>
      </c>
      <c r="K49061" s="18"/>
    </row>
    <row r="49062">
      <c r="B49062" s="17" t="s">
        <v>477</v>
      </c>
      <c r="K49062" s="18"/>
    </row>
    <row r="49063">
      <c r="B49063" s="17" t="s">
        <v>477</v>
      </c>
      <c r="K49063" s="18"/>
    </row>
    <row r="49064">
      <c r="B49064" s="17" t="s">
        <v>477</v>
      </c>
      <c r="K49064" s="18"/>
    </row>
    <row r="49065">
      <c r="B49065" s="17" t="s">
        <v>477</v>
      </c>
      <c r="K49065" s="18"/>
    </row>
    <row r="49066">
      <c r="B49066" s="17" t="s">
        <v>477</v>
      </c>
      <c r="K49066" s="18"/>
    </row>
    <row r="49067">
      <c r="B49067" s="17" t="s">
        <v>477</v>
      </c>
      <c r="K49067" s="18"/>
    </row>
    <row r="49068">
      <c r="B49068" s="17" t="s">
        <v>477</v>
      </c>
      <c r="K49068" s="18"/>
    </row>
    <row r="49069">
      <c r="B49069" s="17" t="s">
        <v>477</v>
      </c>
      <c r="K49069" s="18"/>
    </row>
    <row r="49070">
      <c r="B49070" s="17" t="s">
        <v>477</v>
      </c>
      <c r="K49070" s="18"/>
    </row>
    <row r="49071">
      <c r="B49071" s="17" t="s">
        <v>477</v>
      </c>
      <c r="K49071" s="18"/>
    </row>
    <row r="49072">
      <c r="B49072" s="17" t="s">
        <v>477</v>
      </c>
      <c r="K49072" s="18"/>
    </row>
    <row r="49073">
      <c r="B49073" s="17" t="s">
        <v>477</v>
      </c>
      <c r="K49073" s="18"/>
    </row>
    <row r="49074">
      <c r="B49074" s="17" t="s">
        <v>477</v>
      </c>
      <c r="K49074" s="18"/>
    </row>
    <row r="49075">
      <c r="B49075" s="17" t="s">
        <v>477</v>
      </c>
      <c r="K49075" s="18"/>
    </row>
    <row r="49076">
      <c r="B49076" s="17" t="s">
        <v>477</v>
      </c>
      <c r="K49076" s="18"/>
    </row>
    <row r="49077">
      <c r="B49077" s="17" t="s">
        <v>477</v>
      </c>
      <c r="K49077" s="18"/>
    </row>
    <row r="49078">
      <c r="B49078" s="17" t="s">
        <v>477</v>
      </c>
      <c r="K49078" s="18"/>
    </row>
    <row r="49079">
      <c r="B49079" s="17" t="s">
        <v>477</v>
      </c>
      <c r="K49079" s="18"/>
    </row>
    <row r="49080">
      <c r="B49080" s="17" t="s">
        <v>477</v>
      </c>
      <c r="K49080" s="18"/>
    </row>
    <row r="49081">
      <c r="B49081" s="17" t="s">
        <v>477</v>
      </c>
      <c r="K49081" s="18"/>
    </row>
    <row r="49082">
      <c r="B49082" s="17" t="s">
        <v>477</v>
      </c>
      <c r="K49082" s="18"/>
    </row>
    <row r="49083">
      <c r="B49083" s="17" t="s">
        <v>477</v>
      </c>
      <c r="K49083" s="18"/>
    </row>
    <row r="49084">
      <c r="B49084" s="17" t="s">
        <v>477</v>
      </c>
      <c r="K49084" s="18"/>
    </row>
    <row r="49085">
      <c r="B49085" s="17" t="s">
        <v>477</v>
      </c>
      <c r="K49085" s="18"/>
    </row>
    <row r="49086">
      <c r="B49086" s="17" t="s">
        <v>477</v>
      </c>
      <c r="K49086" s="18"/>
    </row>
    <row r="49087">
      <c r="B49087" s="17" t="s">
        <v>477</v>
      </c>
      <c r="K49087" s="18"/>
    </row>
    <row r="49088">
      <c r="B49088" s="17" t="s">
        <v>477</v>
      </c>
      <c r="K49088" s="18"/>
    </row>
    <row r="49089">
      <c r="B49089" s="17" t="s">
        <v>477</v>
      </c>
      <c r="K49089" s="18"/>
    </row>
    <row r="49090">
      <c r="B49090" s="17" t="s">
        <v>477</v>
      </c>
      <c r="K49090" s="18"/>
    </row>
    <row r="49091">
      <c r="B49091" s="17" t="s">
        <v>477</v>
      </c>
      <c r="K49091" s="18"/>
    </row>
    <row r="49092">
      <c r="B49092" s="17" t="s">
        <v>477</v>
      </c>
      <c r="K49092" s="18"/>
    </row>
    <row r="49093">
      <c r="B49093" s="17" t="s">
        <v>477</v>
      </c>
      <c r="K49093" s="18"/>
    </row>
    <row r="49094">
      <c r="B49094" s="17" t="s">
        <v>477</v>
      </c>
      <c r="K49094" s="18"/>
    </row>
    <row r="49095">
      <c r="B49095" s="17" t="s">
        <v>477</v>
      </c>
      <c r="K49095" s="18"/>
    </row>
    <row r="49096">
      <c r="B49096" s="17" t="s">
        <v>477</v>
      </c>
      <c r="K49096" s="18"/>
    </row>
    <row r="49097">
      <c r="B49097" s="17" t="s">
        <v>477</v>
      </c>
      <c r="K49097" s="18"/>
    </row>
    <row r="49098">
      <c r="B49098" s="17" t="s">
        <v>477</v>
      </c>
      <c r="K49098" s="18"/>
    </row>
    <row r="49099">
      <c r="B49099" s="17" t="s">
        <v>477</v>
      </c>
      <c r="K49099" s="18"/>
    </row>
    <row r="49100">
      <c r="B49100" s="17" t="s">
        <v>477</v>
      </c>
      <c r="K49100" s="18"/>
    </row>
    <row r="49101">
      <c r="B49101" s="17" t="s">
        <v>477</v>
      </c>
      <c r="K49101" s="18"/>
    </row>
    <row r="49102">
      <c r="B49102" s="17" t="s">
        <v>477</v>
      </c>
      <c r="K49102" s="18"/>
    </row>
    <row r="49103">
      <c r="B49103" s="17" t="s">
        <v>477</v>
      </c>
      <c r="K49103" s="18"/>
    </row>
    <row r="49104">
      <c r="B49104" s="17" t="s">
        <v>477</v>
      </c>
      <c r="K49104" s="18"/>
    </row>
    <row r="49105">
      <c r="B49105" s="17" t="s">
        <v>477</v>
      </c>
      <c r="K49105" s="18"/>
    </row>
    <row r="49106">
      <c r="B49106" s="17" t="s">
        <v>477</v>
      </c>
      <c r="K49106" s="18"/>
    </row>
    <row r="49107">
      <c r="B49107" s="17" t="s">
        <v>477</v>
      </c>
      <c r="K49107" s="18"/>
    </row>
    <row r="49108">
      <c r="B49108" s="17" t="s">
        <v>477</v>
      </c>
      <c r="K49108" s="18"/>
    </row>
    <row r="49109">
      <c r="B49109" s="17" t="s">
        <v>477</v>
      </c>
      <c r="K49109" s="18"/>
    </row>
    <row r="49110">
      <c r="B49110" s="17" t="s">
        <v>477</v>
      </c>
      <c r="K49110" s="18"/>
    </row>
    <row r="49111">
      <c r="B49111" s="17" t="s">
        <v>477</v>
      </c>
      <c r="K49111" s="18"/>
    </row>
    <row r="49112">
      <c r="B49112" s="17" t="s">
        <v>477</v>
      </c>
      <c r="K49112" s="18"/>
    </row>
    <row r="49113">
      <c r="B49113" s="17" t="s">
        <v>477</v>
      </c>
      <c r="K49113" s="18"/>
    </row>
    <row r="49114">
      <c r="B49114" s="17" t="s">
        <v>477</v>
      </c>
      <c r="K49114" s="18"/>
    </row>
    <row r="49115">
      <c r="B49115" s="17" t="s">
        <v>477</v>
      </c>
      <c r="K49115" s="18"/>
    </row>
    <row r="49116">
      <c r="B49116" s="17" t="s">
        <v>477</v>
      </c>
      <c r="K49116" s="18"/>
    </row>
    <row r="49117">
      <c r="B49117" s="17" t="s">
        <v>477</v>
      </c>
      <c r="K49117" s="18"/>
    </row>
    <row r="49118">
      <c r="B49118" s="17" t="s">
        <v>477</v>
      </c>
      <c r="K49118" s="18"/>
    </row>
    <row r="49119">
      <c r="B49119" s="17" t="s">
        <v>477</v>
      </c>
      <c r="K49119" s="18"/>
    </row>
    <row r="49120">
      <c r="B49120" s="17" t="s">
        <v>477</v>
      </c>
      <c r="K49120" s="18"/>
    </row>
    <row r="49121">
      <c r="B49121" s="17" t="s">
        <v>477</v>
      </c>
      <c r="K49121" s="18"/>
    </row>
    <row r="49122">
      <c r="B49122" s="17" t="s">
        <v>477</v>
      </c>
      <c r="K49122" s="18"/>
    </row>
    <row r="49123">
      <c r="B49123" s="17" t="s">
        <v>477</v>
      </c>
      <c r="K49123" s="18"/>
    </row>
    <row r="49124">
      <c r="B49124" s="17" t="s">
        <v>477</v>
      </c>
      <c r="K49124" s="18"/>
    </row>
    <row r="49125">
      <c r="B49125" s="17" t="s">
        <v>477</v>
      </c>
      <c r="K49125" s="18"/>
    </row>
    <row r="49126">
      <c r="B49126" s="17" t="s">
        <v>477</v>
      </c>
      <c r="K49126" s="18"/>
    </row>
    <row r="49127">
      <c r="B49127" s="17" t="s">
        <v>477</v>
      </c>
      <c r="K49127" s="18"/>
    </row>
    <row r="49128">
      <c r="B49128" s="17" t="s">
        <v>477</v>
      </c>
      <c r="K49128" s="18"/>
    </row>
    <row r="49129">
      <c r="B49129" s="17" t="s">
        <v>477</v>
      </c>
      <c r="K49129" s="18"/>
    </row>
    <row r="49130">
      <c r="B49130" s="17" t="s">
        <v>477</v>
      </c>
      <c r="K49130" s="18"/>
    </row>
    <row r="49131">
      <c r="B49131" s="17" t="s">
        <v>477</v>
      </c>
      <c r="K49131" s="18"/>
    </row>
    <row r="49132">
      <c r="B49132" s="17" t="s">
        <v>477</v>
      </c>
      <c r="K49132" s="18"/>
    </row>
    <row r="49133">
      <c r="B49133" s="17" t="s">
        <v>477</v>
      </c>
      <c r="K49133" s="18"/>
    </row>
    <row r="49134">
      <c r="B49134" s="17" t="s">
        <v>477</v>
      </c>
      <c r="K49134" s="18"/>
    </row>
    <row r="49135">
      <c r="B49135" s="17" t="s">
        <v>477</v>
      </c>
      <c r="K49135" s="18"/>
    </row>
    <row r="49136">
      <c r="B49136" s="17" t="s">
        <v>477</v>
      </c>
      <c r="K49136" s="18"/>
    </row>
    <row r="49137">
      <c r="B49137" s="17" t="s">
        <v>477</v>
      </c>
      <c r="K49137" s="18"/>
    </row>
    <row r="49138">
      <c r="B49138" s="17" t="s">
        <v>477</v>
      </c>
      <c r="K49138" s="18"/>
    </row>
    <row r="49139">
      <c r="B49139" s="17" t="s">
        <v>477</v>
      </c>
      <c r="K49139" s="18"/>
    </row>
    <row r="49140">
      <c r="B49140" s="17" t="s">
        <v>477</v>
      </c>
      <c r="K49140" s="18"/>
    </row>
    <row r="49141">
      <c r="B49141" s="17" t="s">
        <v>477</v>
      </c>
      <c r="K49141" s="18"/>
    </row>
    <row r="49142">
      <c r="B49142" s="17" t="s">
        <v>477</v>
      </c>
      <c r="K49142" s="18"/>
    </row>
    <row r="49143">
      <c r="B49143" s="17" t="s">
        <v>477</v>
      </c>
      <c r="K49143" s="18"/>
    </row>
    <row r="49144">
      <c r="B49144" s="17" t="s">
        <v>477</v>
      </c>
      <c r="K49144" s="18"/>
    </row>
    <row r="49145">
      <c r="B49145" s="17" t="s">
        <v>477</v>
      </c>
      <c r="K49145" s="18"/>
    </row>
    <row r="49146">
      <c r="B49146" s="17" t="s">
        <v>477</v>
      </c>
      <c r="K49146" s="18"/>
    </row>
    <row r="49147">
      <c r="B49147" s="17" t="s">
        <v>477</v>
      </c>
      <c r="K49147" s="18"/>
    </row>
    <row r="49148">
      <c r="B49148" s="17" t="s">
        <v>477</v>
      </c>
      <c r="K49148" s="18"/>
    </row>
    <row r="49149">
      <c r="B49149" s="17" t="s">
        <v>477</v>
      </c>
      <c r="K49149" s="18"/>
    </row>
    <row r="49150">
      <c r="B49150" s="17" t="s">
        <v>477</v>
      </c>
      <c r="K49150" s="18"/>
    </row>
    <row r="49151">
      <c r="B49151" s="17" t="s">
        <v>477</v>
      </c>
      <c r="K49151" s="18"/>
    </row>
    <row r="49152">
      <c r="B49152" s="17" t="s">
        <v>477</v>
      </c>
      <c r="K49152" s="18"/>
    </row>
    <row r="49153">
      <c r="B49153" s="17" t="s">
        <v>477</v>
      </c>
      <c r="K49153" s="18"/>
    </row>
    <row r="49154">
      <c r="B49154" s="17" t="s">
        <v>477</v>
      </c>
      <c r="K49154" s="18"/>
    </row>
    <row r="49155">
      <c r="B49155" s="17" t="s">
        <v>477</v>
      </c>
      <c r="K49155" s="18"/>
    </row>
    <row r="49156">
      <c r="B49156" s="17" t="s">
        <v>477</v>
      </c>
      <c r="K49156" s="18"/>
    </row>
    <row r="49157">
      <c r="B49157" s="17" t="s">
        <v>477</v>
      </c>
      <c r="K49157" s="18"/>
    </row>
    <row r="49158">
      <c r="B49158" s="17" t="s">
        <v>477</v>
      </c>
      <c r="K49158" s="18"/>
    </row>
    <row r="49159">
      <c r="B49159" s="17" t="s">
        <v>477</v>
      </c>
      <c r="K49159" s="18"/>
    </row>
    <row r="49160">
      <c r="B49160" s="17" t="s">
        <v>477</v>
      </c>
      <c r="K49160" s="18"/>
    </row>
    <row r="49161">
      <c r="B49161" s="17" t="s">
        <v>477</v>
      </c>
      <c r="K49161" s="18"/>
    </row>
    <row r="49162">
      <c r="B49162" s="17" t="s">
        <v>477</v>
      </c>
      <c r="K49162" s="18"/>
    </row>
    <row r="49163">
      <c r="B49163" s="17" t="s">
        <v>477</v>
      </c>
      <c r="K49163" s="18"/>
    </row>
    <row r="49164">
      <c r="B49164" s="17" t="s">
        <v>477</v>
      </c>
      <c r="K49164" s="18"/>
    </row>
    <row r="49165">
      <c r="B49165" s="17" t="s">
        <v>477</v>
      </c>
      <c r="K49165" s="18"/>
    </row>
    <row r="49166">
      <c r="B49166" s="17" t="s">
        <v>477</v>
      </c>
      <c r="K49166" s="18"/>
    </row>
    <row r="49167">
      <c r="B49167" s="17" t="s">
        <v>477</v>
      </c>
      <c r="K49167" s="18"/>
    </row>
    <row r="49168">
      <c r="B49168" s="17" t="s">
        <v>477</v>
      </c>
      <c r="K49168" s="18"/>
    </row>
    <row r="49169">
      <c r="B49169" s="17" t="s">
        <v>477</v>
      </c>
      <c r="K49169" s="18"/>
    </row>
    <row r="49170">
      <c r="B49170" s="17" t="s">
        <v>477</v>
      </c>
      <c r="K49170" s="18"/>
    </row>
    <row r="49171">
      <c r="B49171" s="17" t="s">
        <v>477</v>
      </c>
      <c r="K49171" s="18"/>
    </row>
    <row r="49172">
      <c r="B49172" s="17" t="s">
        <v>477</v>
      </c>
      <c r="K49172" s="18"/>
    </row>
    <row r="49173">
      <c r="B49173" s="17" t="s">
        <v>477</v>
      </c>
      <c r="K49173" s="18"/>
    </row>
    <row r="49174">
      <c r="B49174" s="17" t="s">
        <v>477</v>
      </c>
      <c r="K49174" s="18"/>
    </row>
    <row r="49175">
      <c r="B49175" s="17" t="s">
        <v>477</v>
      </c>
      <c r="K49175" s="18"/>
    </row>
    <row r="49176">
      <c r="B49176" s="17" t="s">
        <v>477</v>
      </c>
      <c r="K49176" s="18"/>
    </row>
    <row r="49177">
      <c r="B49177" s="17" t="s">
        <v>477</v>
      </c>
      <c r="K49177" s="18"/>
    </row>
    <row r="49178">
      <c r="B49178" s="17" t="s">
        <v>477</v>
      </c>
      <c r="K49178" s="18"/>
    </row>
    <row r="49179">
      <c r="B49179" s="17" t="s">
        <v>477</v>
      </c>
      <c r="K49179" s="18"/>
    </row>
    <row r="49180">
      <c r="B49180" s="17" t="s">
        <v>477</v>
      </c>
      <c r="K49180" s="18"/>
    </row>
    <row r="49181">
      <c r="B49181" s="17" t="s">
        <v>477</v>
      </c>
      <c r="K49181" s="18"/>
    </row>
    <row r="49182">
      <c r="B49182" s="17" t="s">
        <v>477</v>
      </c>
      <c r="K49182" s="18"/>
    </row>
    <row r="49183">
      <c r="B49183" s="17" t="s">
        <v>477</v>
      </c>
      <c r="K49183" s="18"/>
    </row>
    <row r="49184">
      <c r="B49184" s="17" t="s">
        <v>477</v>
      </c>
      <c r="K49184" s="18"/>
    </row>
    <row r="49185">
      <c r="B49185" s="17" t="s">
        <v>477</v>
      </c>
      <c r="K49185" s="18"/>
    </row>
    <row r="49186">
      <c r="B49186" s="17" t="s">
        <v>477</v>
      </c>
      <c r="K49186" s="18"/>
    </row>
    <row r="49187">
      <c r="B49187" s="17" t="s">
        <v>477</v>
      </c>
      <c r="K49187" s="18"/>
    </row>
    <row r="49188">
      <c r="B49188" s="17" t="s">
        <v>477</v>
      </c>
      <c r="K49188" s="18"/>
    </row>
    <row r="49189">
      <c r="B49189" s="17" t="s">
        <v>477</v>
      </c>
      <c r="K49189" s="18"/>
    </row>
    <row r="49190">
      <c r="B49190" s="17" t="s">
        <v>477</v>
      </c>
      <c r="K49190" s="18"/>
    </row>
    <row r="49191">
      <c r="B49191" s="17" t="s">
        <v>477</v>
      </c>
      <c r="K49191" s="18"/>
    </row>
    <row r="49192">
      <c r="B49192" s="17" t="s">
        <v>477</v>
      </c>
      <c r="K49192" s="18"/>
    </row>
    <row r="49193">
      <c r="B49193" s="17" t="s">
        <v>477</v>
      </c>
      <c r="K49193" s="18"/>
    </row>
    <row r="49194">
      <c r="B49194" s="17" t="s">
        <v>477</v>
      </c>
      <c r="K49194" s="18"/>
    </row>
    <row r="49195">
      <c r="B49195" s="17" t="s">
        <v>477</v>
      </c>
      <c r="K49195" s="18"/>
    </row>
    <row r="49196">
      <c r="B49196" s="17" t="s">
        <v>477</v>
      </c>
      <c r="K49196" s="18"/>
    </row>
    <row r="49197">
      <c r="B49197" s="17" t="s">
        <v>477</v>
      </c>
      <c r="K49197" s="18"/>
    </row>
    <row r="49198">
      <c r="B49198" s="17" t="s">
        <v>477</v>
      </c>
      <c r="K49198" s="18"/>
    </row>
    <row r="49199">
      <c r="B49199" s="17" t="s">
        <v>477</v>
      </c>
      <c r="K49199" s="18"/>
    </row>
    <row r="49200">
      <c r="B49200" s="17" t="s">
        <v>477</v>
      </c>
      <c r="K49200" s="18"/>
    </row>
    <row r="49201">
      <c r="B49201" s="17" t="s">
        <v>477</v>
      </c>
      <c r="K49201" s="18"/>
    </row>
    <row r="49202">
      <c r="B49202" s="17" t="s">
        <v>477</v>
      </c>
      <c r="K49202" s="18"/>
    </row>
    <row r="49203">
      <c r="B49203" s="17" t="s">
        <v>477</v>
      </c>
      <c r="K49203" s="18"/>
    </row>
    <row r="49204">
      <c r="B49204" s="17" t="s">
        <v>477</v>
      </c>
      <c r="K49204" s="18"/>
    </row>
    <row r="49205">
      <c r="B49205" s="17" t="s">
        <v>477</v>
      </c>
      <c r="K49205" s="18"/>
    </row>
    <row r="49206">
      <c r="B49206" s="17" t="s">
        <v>477</v>
      </c>
      <c r="K49206" s="18"/>
    </row>
    <row r="49207">
      <c r="B49207" s="17" t="s">
        <v>477</v>
      </c>
      <c r="K49207" s="18"/>
    </row>
    <row r="49208">
      <c r="B49208" s="17" t="s">
        <v>477</v>
      </c>
      <c r="K49208" s="18"/>
    </row>
    <row r="49209">
      <c r="B49209" s="17" t="s">
        <v>477</v>
      </c>
      <c r="K49209" s="18"/>
    </row>
    <row r="49210">
      <c r="B49210" s="17" t="s">
        <v>477</v>
      </c>
      <c r="K49210" s="18"/>
    </row>
    <row r="49211">
      <c r="B49211" s="17" t="s">
        <v>477</v>
      </c>
      <c r="K49211" s="18"/>
    </row>
    <row r="49212">
      <c r="B49212" s="17" t="s">
        <v>477</v>
      </c>
      <c r="K49212" s="18"/>
    </row>
    <row r="49213">
      <c r="B49213" s="17" t="s">
        <v>477</v>
      </c>
      <c r="K49213" s="18"/>
    </row>
    <row r="49214">
      <c r="B49214" s="17" t="s">
        <v>477</v>
      </c>
      <c r="K49214" s="18"/>
    </row>
    <row r="49215">
      <c r="B49215" s="17" t="s">
        <v>477</v>
      </c>
      <c r="K49215" s="18"/>
    </row>
    <row r="49216">
      <c r="B49216" s="17" t="s">
        <v>477</v>
      </c>
      <c r="K49216" s="18"/>
    </row>
    <row r="49217">
      <c r="B49217" s="17" t="s">
        <v>477</v>
      </c>
      <c r="K49217" s="18"/>
    </row>
    <row r="49218">
      <c r="B49218" s="17" t="s">
        <v>477</v>
      </c>
      <c r="K49218" s="18"/>
    </row>
    <row r="49219">
      <c r="B49219" s="17" t="s">
        <v>477</v>
      </c>
      <c r="K49219" s="18"/>
    </row>
    <row r="49220">
      <c r="B49220" s="17" t="s">
        <v>477</v>
      </c>
      <c r="K49220" s="18"/>
    </row>
    <row r="49221">
      <c r="B49221" s="17" t="s">
        <v>477</v>
      </c>
      <c r="K49221" s="18"/>
    </row>
    <row r="49222">
      <c r="B49222" s="17" t="s">
        <v>477</v>
      </c>
      <c r="K49222" s="18"/>
    </row>
    <row r="49223">
      <c r="B49223" s="17" t="s">
        <v>477</v>
      </c>
      <c r="K49223" s="18"/>
    </row>
    <row r="49224">
      <c r="B49224" s="17" t="s">
        <v>477</v>
      </c>
      <c r="K49224" s="18"/>
    </row>
    <row r="49225">
      <c r="B49225" s="17" t="s">
        <v>477</v>
      </c>
      <c r="K49225" s="18"/>
    </row>
    <row r="49226">
      <c r="B49226" s="17" t="s">
        <v>477</v>
      </c>
      <c r="K49226" s="18"/>
    </row>
    <row r="49227">
      <c r="B49227" s="17" t="s">
        <v>477</v>
      </c>
      <c r="K49227" s="18"/>
    </row>
    <row r="49228">
      <c r="B49228" s="17" t="s">
        <v>477</v>
      </c>
      <c r="K49228" s="18"/>
    </row>
    <row r="49229">
      <c r="B49229" s="17" t="s">
        <v>477</v>
      </c>
      <c r="K49229" s="18"/>
    </row>
    <row r="49230">
      <c r="B49230" s="17" t="s">
        <v>477</v>
      </c>
      <c r="K49230" s="18"/>
    </row>
    <row r="49231">
      <c r="B49231" s="17" t="s">
        <v>477</v>
      </c>
      <c r="K49231" s="18"/>
    </row>
    <row r="49232">
      <c r="B49232" s="17" t="s">
        <v>477</v>
      </c>
      <c r="K49232" s="18"/>
    </row>
    <row r="49233">
      <c r="B49233" s="17" t="s">
        <v>477</v>
      </c>
      <c r="K49233" s="18"/>
    </row>
    <row r="49234">
      <c r="B49234" s="17" t="s">
        <v>477</v>
      </c>
      <c r="K49234" s="18"/>
    </row>
    <row r="49235">
      <c r="B49235" s="17" t="s">
        <v>477</v>
      </c>
      <c r="K49235" s="18"/>
    </row>
    <row r="49236">
      <c r="B49236" s="17" t="s">
        <v>477</v>
      </c>
      <c r="K49236" s="18"/>
    </row>
    <row r="49237">
      <c r="B49237" s="17" t="s">
        <v>477</v>
      </c>
      <c r="K49237" s="18"/>
    </row>
    <row r="49238">
      <c r="B49238" s="17" t="s">
        <v>477</v>
      </c>
      <c r="K49238" s="18"/>
    </row>
    <row r="49239">
      <c r="B49239" s="17" t="s">
        <v>477</v>
      </c>
      <c r="K49239" s="18"/>
    </row>
    <row r="49240">
      <c r="B49240" s="17" t="s">
        <v>477</v>
      </c>
      <c r="K49240" s="18"/>
    </row>
    <row r="49241">
      <c r="B49241" s="17" t="s">
        <v>477</v>
      </c>
      <c r="K49241" s="18"/>
    </row>
    <row r="49242">
      <c r="B49242" s="17" t="s">
        <v>477</v>
      </c>
      <c r="K49242" s="18"/>
    </row>
    <row r="49243">
      <c r="B49243" s="17" t="s">
        <v>477</v>
      </c>
      <c r="K49243" s="18"/>
    </row>
    <row r="49244">
      <c r="B49244" s="17" t="s">
        <v>477</v>
      </c>
      <c r="K49244" s="18"/>
    </row>
    <row r="49245">
      <c r="B49245" s="17" t="s">
        <v>477</v>
      </c>
      <c r="K49245" s="18"/>
    </row>
    <row r="49246">
      <c r="B49246" s="17" t="s">
        <v>477</v>
      </c>
      <c r="K49246" s="18"/>
    </row>
    <row r="49247">
      <c r="B49247" s="17" t="s">
        <v>477</v>
      </c>
      <c r="K49247" s="18"/>
    </row>
    <row r="49248">
      <c r="B49248" s="17" t="s">
        <v>477</v>
      </c>
      <c r="K49248" s="18"/>
    </row>
    <row r="49249">
      <c r="B49249" s="17" t="s">
        <v>477</v>
      </c>
      <c r="K49249" s="18"/>
    </row>
    <row r="49250">
      <c r="B49250" s="17" t="s">
        <v>477</v>
      </c>
      <c r="K49250" s="18"/>
    </row>
    <row r="49251">
      <c r="B49251" s="17" t="s">
        <v>477</v>
      </c>
      <c r="K49251" s="18"/>
    </row>
    <row r="49252">
      <c r="B49252" s="17" t="s">
        <v>477</v>
      </c>
      <c r="K49252" s="18"/>
    </row>
    <row r="49253">
      <c r="B49253" s="17" t="s">
        <v>477</v>
      </c>
      <c r="K49253" s="18"/>
    </row>
    <row r="49254">
      <c r="B49254" s="17" t="s">
        <v>477</v>
      </c>
      <c r="K49254" s="18"/>
    </row>
    <row r="49255">
      <c r="B49255" s="17" t="s">
        <v>477</v>
      </c>
      <c r="K49255" s="18"/>
    </row>
    <row r="49256">
      <c r="B49256" s="17" t="s">
        <v>477</v>
      </c>
      <c r="K49256" s="18"/>
    </row>
    <row r="49257">
      <c r="B49257" s="17" t="s">
        <v>477</v>
      </c>
      <c r="K49257" s="18"/>
    </row>
    <row r="49258">
      <c r="B49258" s="17" t="s">
        <v>477</v>
      </c>
      <c r="K49258" s="18"/>
    </row>
    <row r="49259">
      <c r="B49259" s="17" t="s">
        <v>477</v>
      </c>
      <c r="K49259" s="18"/>
    </row>
    <row r="49260">
      <c r="B49260" s="17" t="s">
        <v>477</v>
      </c>
      <c r="K49260" s="18"/>
    </row>
    <row r="49261">
      <c r="B49261" s="17" t="s">
        <v>477</v>
      </c>
      <c r="K49261" s="18"/>
    </row>
    <row r="49262">
      <c r="B49262" s="17" t="s">
        <v>477</v>
      </c>
      <c r="K49262" s="18"/>
    </row>
    <row r="49263">
      <c r="B49263" s="17" t="s">
        <v>477</v>
      </c>
      <c r="K49263" s="18"/>
    </row>
    <row r="49264">
      <c r="B49264" s="17" t="s">
        <v>477</v>
      </c>
      <c r="K49264" s="18"/>
    </row>
    <row r="49265">
      <c r="B49265" s="17" t="s">
        <v>477</v>
      </c>
      <c r="K49265" s="18"/>
    </row>
    <row r="49266">
      <c r="B49266" s="17" t="s">
        <v>477</v>
      </c>
      <c r="K49266" s="18"/>
    </row>
    <row r="49267">
      <c r="B49267" s="17" t="s">
        <v>477</v>
      </c>
      <c r="K49267" s="18"/>
    </row>
    <row r="49268">
      <c r="B49268" s="17" t="s">
        <v>477</v>
      </c>
      <c r="K49268" s="18"/>
    </row>
    <row r="49269">
      <c r="B49269" s="17" t="s">
        <v>477</v>
      </c>
      <c r="K49269" s="18"/>
    </row>
    <row r="49270">
      <c r="B49270" s="17" t="s">
        <v>477</v>
      </c>
      <c r="K49270" s="18"/>
    </row>
    <row r="49271">
      <c r="B49271" s="17" t="s">
        <v>477</v>
      </c>
      <c r="K49271" s="18"/>
    </row>
    <row r="49272">
      <c r="B49272" s="17" t="s">
        <v>477</v>
      </c>
      <c r="K49272" s="18"/>
    </row>
    <row r="49273">
      <c r="B49273" s="17" t="s">
        <v>477</v>
      </c>
      <c r="K49273" s="18"/>
    </row>
    <row r="49274">
      <c r="B49274" s="17" t="s">
        <v>477</v>
      </c>
      <c r="K49274" s="18"/>
    </row>
    <row r="49275">
      <c r="B49275" s="17" t="s">
        <v>477</v>
      </c>
      <c r="K49275" s="18"/>
    </row>
    <row r="49276">
      <c r="B49276" s="17" t="s">
        <v>477</v>
      </c>
      <c r="K49276" s="18"/>
    </row>
    <row r="49277">
      <c r="B49277" s="17" t="s">
        <v>477</v>
      </c>
      <c r="K49277" s="18"/>
    </row>
    <row r="49278">
      <c r="B49278" s="17" t="s">
        <v>477</v>
      </c>
      <c r="K49278" s="18"/>
    </row>
    <row r="49279">
      <c r="B49279" s="17" t="s">
        <v>477</v>
      </c>
      <c r="K49279" s="18"/>
    </row>
    <row r="49280">
      <c r="B49280" s="17" t="s">
        <v>477</v>
      </c>
      <c r="K49280" s="18"/>
    </row>
    <row r="49281">
      <c r="B49281" s="17" t="s">
        <v>477</v>
      </c>
      <c r="K49281" s="18"/>
    </row>
    <row r="49282">
      <c r="B49282" s="17" t="s">
        <v>477</v>
      </c>
      <c r="K49282" s="18"/>
    </row>
    <row r="49283">
      <c r="B49283" s="17" t="s">
        <v>477</v>
      </c>
      <c r="K49283" s="18"/>
    </row>
    <row r="49284">
      <c r="B49284" s="17" t="s">
        <v>477</v>
      </c>
      <c r="K49284" s="18"/>
    </row>
    <row r="49285">
      <c r="B49285" s="17" t="s">
        <v>477</v>
      </c>
      <c r="K49285" s="18"/>
    </row>
    <row r="49286">
      <c r="B49286" s="17" t="s">
        <v>477</v>
      </c>
      <c r="K49286" s="18"/>
    </row>
    <row r="49287">
      <c r="B49287" s="17" t="s">
        <v>477</v>
      </c>
      <c r="K49287" s="18"/>
    </row>
    <row r="49288">
      <c r="B49288" s="17" t="s">
        <v>477</v>
      </c>
      <c r="K49288" s="18"/>
    </row>
    <row r="49289">
      <c r="B49289" s="17" t="s">
        <v>477</v>
      </c>
      <c r="K49289" s="18"/>
    </row>
    <row r="49290">
      <c r="B49290" s="17" t="s">
        <v>477</v>
      </c>
      <c r="K49290" s="18"/>
    </row>
    <row r="49291">
      <c r="B49291" s="17" t="s">
        <v>477</v>
      </c>
      <c r="K49291" s="18"/>
    </row>
    <row r="49292">
      <c r="B49292" s="17" t="s">
        <v>477</v>
      </c>
      <c r="K49292" s="18"/>
    </row>
    <row r="49293">
      <c r="B49293" s="17" t="s">
        <v>477</v>
      </c>
      <c r="K49293" s="18"/>
    </row>
    <row r="49294">
      <c r="B49294" s="17" t="s">
        <v>477</v>
      </c>
      <c r="K49294" s="18"/>
    </row>
    <row r="49295">
      <c r="B49295" s="17" t="s">
        <v>477</v>
      </c>
      <c r="K49295" s="18"/>
    </row>
    <row r="49296">
      <c r="B49296" s="17" t="s">
        <v>477</v>
      </c>
      <c r="K49296" s="18"/>
    </row>
    <row r="49297">
      <c r="B49297" s="17" t="s">
        <v>477</v>
      </c>
      <c r="K49297" s="18"/>
    </row>
    <row r="49298">
      <c r="B49298" s="17" t="s">
        <v>477</v>
      </c>
      <c r="K49298" s="18"/>
    </row>
    <row r="49299">
      <c r="B49299" s="17" t="s">
        <v>477</v>
      </c>
      <c r="K49299" s="18"/>
    </row>
    <row r="49300">
      <c r="B49300" s="17" t="s">
        <v>477</v>
      </c>
      <c r="K49300" s="18"/>
    </row>
    <row r="49301">
      <c r="B49301" s="17" t="s">
        <v>477</v>
      </c>
      <c r="K49301" s="18"/>
    </row>
    <row r="49302">
      <c r="B49302" s="17" t="s">
        <v>477</v>
      </c>
      <c r="K49302" s="18"/>
    </row>
    <row r="49303">
      <c r="B49303" s="17" t="s">
        <v>477</v>
      </c>
      <c r="K49303" s="18"/>
    </row>
    <row r="49304">
      <c r="B49304" s="17" t="s">
        <v>477</v>
      </c>
      <c r="K49304" s="18"/>
    </row>
    <row r="49305">
      <c r="B49305" s="17" t="s">
        <v>477</v>
      </c>
      <c r="K49305" s="18"/>
    </row>
    <row r="49306">
      <c r="B49306" s="17" t="s">
        <v>477</v>
      </c>
      <c r="K49306" s="18"/>
    </row>
    <row r="49307">
      <c r="B49307" s="17" t="s">
        <v>477</v>
      </c>
      <c r="K49307" s="18"/>
    </row>
    <row r="49308">
      <c r="B49308" s="17" t="s">
        <v>477</v>
      </c>
      <c r="K49308" s="18"/>
    </row>
    <row r="49309">
      <c r="B49309" s="17" t="s">
        <v>477</v>
      </c>
      <c r="K49309" s="18"/>
    </row>
    <row r="49310">
      <c r="B49310" s="17" t="s">
        <v>477</v>
      </c>
      <c r="K49310" s="18"/>
    </row>
    <row r="49311">
      <c r="B49311" s="17" t="s">
        <v>477</v>
      </c>
      <c r="K49311" s="18"/>
    </row>
    <row r="49312">
      <c r="B49312" s="17" t="s">
        <v>477</v>
      </c>
      <c r="K49312" s="18"/>
    </row>
    <row r="49313">
      <c r="B49313" s="17" t="s">
        <v>477</v>
      </c>
      <c r="K49313" s="18"/>
    </row>
    <row r="49314">
      <c r="B49314" s="17" t="s">
        <v>477</v>
      </c>
      <c r="K49314" s="18"/>
    </row>
    <row r="49315">
      <c r="B49315" s="17" t="s">
        <v>477</v>
      </c>
      <c r="K49315" s="18"/>
    </row>
    <row r="49316">
      <c r="B49316" s="17" t="s">
        <v>477</v>
      </c>
      <c r="K49316" s="18"/>
    </row>
    <row r="49317">
      <c r="B49317" s="17" t="s">
        <v>477</v>
      </c>
      <c r="K49317" s="18"/>
    </row>
    <row r="49318">
      <c r="B49318" s="17" t="s">
        <v>477</v>
      </c>
      <c r="K49318" s="18"/>
    </row>
    <row r="49319">
      <c r="B49319" s="17" t="s">
        <v>477</v>
      </c>
      <c r="K49319" s="18"/>
    </row>
    <row r="49320">
      <c r="B49320" s="17" t="s">
        <v>477</v>
      </c>
      <c r="K49320" s="18"/>
    </row>
    <row r="49321">
      <c r="B49321" s="17" t="s">
        <v>477</v>
      </c>
      <c r="K49321" s="18"/>
    </row>
    <row r="49322">
      <c r="B49322" s="17" t="s">
        <v>477</v>
      </c>
      <c r="K49322" s="18"/>
    </row>
    <row r="49323">
      <c r="B49323" s="17" t="s">
        <v>477</v>
      </c>
      <c r="K49323" s="18"/>
    </row>
    <row r="49324">
      <c r="B49324" s="17" t="s">
        <v>477</v>
      </c>
      <c r="K49324" s="18"/>
    </row>
    <row r="49325">
      <c r="B49325" s="17" t="s">
        <v>477</v>
      </c>
      <c r="K49325" s="18"/>
    </row>
    <row r="49326">
      <c r="B49326" s="17" t="s">
        <v>477</v>
      </c>
      <c r="K49326" s="18"/>
    </row>
    <row r="49327">
      <c r="B49327" s="17" t="s">
        <v>477</v>
      </c>
      <c r="K49327" s="18"/>
    </row>
    <row r="49328">
      <c r="B49328" s="17" t="s">
        <v>477</v>
      </c>
      <c r="K49328" s="18"/>
    </row>
    <row r="49329">
      <c r="B49329" s="17" t="s">
        <v>477</v>
      </c>
      <c r="K49329" s="18"/>
    </row>
    <row r="49330">
      <c r="B49330" s="17" t="s">
        <v>477</v>
      </c>
      <c r="K49330" s="18"/>
    </row>
    <row r="49331">
      <c r="B49331" s="17" t="s">
        <v>477</v>
      </c>
      <c r="K49331" s="18"/>
    </row>
    <row r="49332">
      <c r="B49332" s="17" t="s">
        <v>477</v>
      </c>
      <c r="K49332" s="18"/>
    </row>
    <row r="49333">
      <c r="B49333" s="17" t="s">
        <v>477</v>
      </c>
      <c r="K49333" s="18"/>
    </row>
    <row r="49334">
      <c r="B49334" s="17" t="s">
        <v>477</v>
      </c>
      <c r="K49334" s="18"/>
    </row>
    <row r="49335">
      <c r="B49335" s="17" t="s">
        <v>477</v>
      </c>
      <c r="K49335" s="18"/>
    </row>
    <row r="49336">
      <c r="B49336" s="17" t="s">
        <v>477</v>
      </c>
      <c r="K49336" s="18"/>
    </row>
    <row r="49337">
      <c r="B49337" s="17" t="s">
        <v>477</v>
      </c>
      <c r="K49337" s="18"/>
    </row>
    <row r="49338">
      <c r="B49338" s="17" t="s">
        <v>477</v>
      </c>
      <c r="K49338" s="18"/>
    </row>
    <row r="49339">
      <c r="B49339" s="17" t="s">
        <v>477</v>
      </c>
      <c r="K49339" s="18"/>
    </row>
    <row r="49340">
      <c r="B49340" s="17" t="s">
        <v>477</v>
      </c>
      <c r="K49340" s="18"/>
    </row>
    <row r="49341">
      <c r="B49341" s="17" t="s">
        <v>477</v>
      </c>
      <c r="K49341" s="18"/>
    </row>
    <row r="49342">
      <c r="B49342" s="17" t="s">
        <v>477</v>
      </c>
      <c r="K49342" s="18"/>
    </row>
    <row r="49343">
      <c r="B49343" s="17" t="s">
        <v>477</v>
      </c>
      <c r="K49343" s="18"/>
    </row>
    <row r="49344">
      <c r="B49344" s="17" t="s">
        <v>477</v>
      </c>
      <c r="K49344" s="18"/>
    </row>
    <row r="49345">
      <c r="B49345" s="17" t="s">
        <v>477</v>
      </c>
      <c r="K49345" s="18"/>
    </row>
    <row r="49346">
      <c r="B49346" s="17" t="s">
        <v>477</v>
      </c>
      <c r="K49346" s="18"/>
    </row>
    <row r="49347">
      <c r="B49347" s="17" t="s">
        <v>477</v>
      </c>
      <c r="K49347" s="18"/>
    </row>
    <row r="49348">
      <c r="B49348" s="17" t="s">
        <v>477</v>
      </c>
      <c r="K49348" s="18"/>
    </row>
    <row r="49349">
      <c r="B49349" s="17" t="s">
        <v>477</v>
      </c>
      <c r="K49349" s="18"/>
    </row>
    <row r="49350">
      <c r="B49350" s="17" t="s">
        <v>477</v>
      </c>
      <c r="K49350" s="18"/>
    </row>
    <row r="49351">
      <c r="B49351" s="17" t="s">
        <v>477</v>
      </c>
      <c r="K49351" s="18"/>
    </row>
    <row r="49352">
      <c r="B49352" s="17" t="s">
        <v>477</v>
      </c>
      <c r="K49352" s="18"/>
    </row>
    <row r="49353">
      <c r="B49353" s="17" t="s">
        <v>477</v>
      </c>
      <c r="K49353" s="18"/>
    </row>
    <row r="49354">
      <c r="B49354" s="17" t="s">
        <v>477</v>
      </c>
      <c r="K49354" s="18"/>
    </row>
    <row r="49355">
      <c r="B49355" s="17" t="s">
        <v>477</v>
      </c>
      <c r="K49355" s="18"/>
    </row>
    <row r="49356">
      <c r="B49356" s="17" t="s">
        <v>477</v>
      </c>
      <c r="K49356" s="18"/>
    </row>
    <row r="49357">
      <c r="B49357" s="17" t="s">
        <v>477</v>
      </c>
      <c r="K49357" s="18"/>
    </row>
    <row r="49358">
      <c r="B49358" s="17" t="s">
        <v>477</v>
      </c>
      <c r="K49358" s="18"/>
    </row>
    <row r="49359">
      <c r="B49359" s="17" t="s">
        <v>477</v>
      </c>
      <c r="K49359" s="18"/>
    </row>
    <row r="49360">
      <c r="B49360" s="17" t="s">
        <v>477</v>
      </c>
      <c r="K49360" s="18"/>
    </row>
    <row r="49361">
      <c r="B49361" s="17" t="s">
        <v>477</v>
      </c>
      <c r="K49361" s="18"/>
    </row>
    <row r="49362">
      <c r="B49362" s="17" t="s">
        <v>477</v>
      </c>
      <c r="K49362" s="18"/>
    </row>
    <row r="49363">
      <c r="B49363" s="17" t="s">
        <v>477</v>
      </c>
      <c r="K49363" s="18"/>
    </row>
    <row r="49364">
      <c r="B49364" s="17" t="s">
        <v>477</v>
      </c>
      <c r="K49364" s="18"/>
    </row>
    <row r="49365">
      <c r="B49365" s="17" t="s">
        <v>477</v>
      </c>
      <c r="K49365" s="18"/>
    </row>
    <row r="49366">
      <c r="B49366" s="17" t="s">
        <v>477</v>
      </c>
      <c r="K49366" s="18"/>
    </row>
    <row r="49367">
      <c r="B49367" s="17" t="s">
        <v>477</v>
      </c>
      <c r="K49367" s="18"/>
    </row>
    <row r="49368">
      <c r="B49368" s="17" t="s">
        <v>477</v>
      </c>
      <c r="K49368" s="18"/>
    </row>
    <row r="49369">
      <c r="B49369" s="17" t="s">
        <v>477</v>
      </c>
      <c r="K49369" s="18"/>
    </row>
    <row r="49370">
      <c r="B49370" s="17" t="s">
        <v>477</v>
      </c>
      <c r="K49370" s="18"/>
    </row>
    <row r="49371">
      <c r="B49371" s="17" t="s">
        <v>477</v>
      </c>
      <c r="K49371" s="18"/>
    </row>
    <row r="49372">
      <c r="B49372" s="17" t="s">
        <v>477</v>
      </c>
      <c r="K49372" s="18"/>
    </row>
    <row r="49373">
      <c r="B49373" s="17" t="s">
        <v>477</v>
      </c>
      <c r="K49373" s="18"/>
    </row>
    <row r="49374">
      <c r="B49374" s="17" t="s">
        <v>477</v>
      </c>
      <c r="K49374" s="18"/>
    </row>
    <row r="49375">
      <c r="B49375" s="17" t="s">
        <v>477</v>
      </c>
      <c r="K49375" s="18"/>
    </row>
    <row r="49376">
      <c r="B49376" s="17" t="s">
        <v>477</v>
      </c>
      <c r="K49376" s="18"/>
    </row>
    <row r="49377">
      <c r="B49377" s="17" t="s">
        <v>477</v>
      </c>
      <c r="K49377" s="18"/>
    </row>
    <row r="49378">
      <c r="B49378" s="17" t="s">
        <v>477</v>
      </c>
      <c r="K49378" s="18"/>
    </row>
    <row r="49379">
      <c r="B49379" s="17" t="s">
        <v>477</v>
      </c>
      <c r="K49379" s="18"/>
    </row>
    <row r="49380">
      <c r="B49380" s="17" t="s">
        <v>477</v>
      </c>
      <c r="K49380" s="18"/>
    </row>
    <row r="49381">
      <c r="B49381" s="17" t="s">
        <v>477</v>
      </c>
      <c r="K49381" s="18"/>
    </row>
    <row r="49382">
      <c r="B49382" s="17" t="s">
        <v>477</v>
      </c>
      <c r="K49382" s="18"/>
    </row>
    <row r="49383">
      <c r="B49383" s="17" t="s">
        <v>477</v>
      </c>
      <c r="K49383" s="18"/>
    </row>
    <row r="49384">
      <c r="B49384" s="17" t="s">
        <v>477</v>
      </c>
      <c r="K49384" s="18"/>
    </row>
    <row r="49385">
      <c r="B49385" s="17" t="s">
        <v>477</v>
      </c>
      <c r="K49385" s="18"/>
    </row>
    <row r="49386">
      <c r="B49386" s="17" t="s">
        <v>477</v>
      </c>
      <c r="K49386" s="18"/>
    </row>
    <row r="49387">
      <c r="B49387" s="17" t="s">
        <v>477</v>
      </c>
      <c r="K49387" s="18"/>
    </row>
    <row r="49388">
      <c r="B49388" s="17" t="s">
        <v>477</v>
      </c>
      <c r="K49388" s="18"/>
    </row>
    <row r="49389">
      <c r="B49389" s="17" t="s">
        <v>477</v>
      </c>
      <c r="K49389" s="18"/>
    </row>
    <row r="49390">
      <c r="B49390" s="17" t="s">
        <v>477</v>
      </c>
      <c r="K49390" s="18"/>
    </row>
    <row r="49391">
      <c r="B49391" s="17" t="s">
        <v>477</v>
      </c>
      <c r="K49391" s="18"/>
    </row>
    <row r="49392">
      <c r="B49392" s="17" t="s">
        <v>477</v>
      </c>
      <c r="K49392" s="18"/>
    </row>
    <row r="49393">
      <c r="B49393" s="17" t="s">
        <v>477</v>
      </c>
      <c r="K49393" s="18"/>
    </row>
    <row r="49394">
      <c r="B49394" s="17" t="s">
        <v>477</v>
      </c>
      <c r="K49394" s="18"/>
    </row>
    <row r="49395">
      <c r="B49395" s="17" t="s">
        <v>477</v>
      </c>
      <c r="K49395" s="18"/>
    </row>
    <row r="49396">
      <c r="B49396" s="17" t="s">
        <v>477</v>
      </c>
      <c r="K49396" s="18"/>
    </row>
    <row r="49397">
      <c r="B49397" s="17" t="s">
        <v>477</v>
      </c>
      <c r="K49397" s="18"/>
    </row>
    <row r="49398">
      <c r="B49398" s="17" t="s">
        <v>477</v>
      </c>
      <c r="K49398" s="18"/>
    </row>
    <row r="49399">
      <c r="B49399" s="17" t="s">
        <v>477</v>
      </c>
      <c r="K49399" s="18"/>
    </row>
    <row r="49400">
      <c r="B49400" s="17" t="s">
        <v>477</v>
      </c>
      <c r="K49400" s="18"/>
    </row>
    <row r="49401">
      <c r="B49401" s="17" t="s">
        <v>477</v>
      </c>
      <c r="K49401" s="18"/>
    </row>
    <row r="49402">
      <c r="B49402" s="17" t="s">
        <v>477</v>
      </c>
      <c r="K49402" s="18"/>
    </row>
    <row r="49403">
      <c r="B49403" s="17" t="s">
        <v>477</v>
      </c>
      <c r="K49403" s="18"/>
    </row>
    <row r="49404">
      <c r="B49404" s="17" t="s">
        <v>477</v>
      </c>
      <c r="K49404" s="18"/>
    </row>
    <row r="49405">
      <c r="B49405" s="17" t="s">
        <v>477</v>
      </c>
      <c r="K49405" s="18"/>
    </row>
    <row r="49406">
      <c r="B49406" s="17" t="s">
        <v>477</v>
      </c>
      <c r="K49406" s="18"/>
    </row>
    <row r="49407">
      <c r="B49407" s="17" t="s">
        <v>477</v>
      </c>
      <c r="K49407" s="18"/>
    </row>
    <row r="49408">
      <c r="B49408" s="17" t="s">
        <v>477</v>
      </c>
      <c r="K49408" s="18"/>
    </row>
    <row r="49409">
      <c r="B49409" s="17" t="s">
        <v>477</v>
      </c>
      <c r="K49409" s="18"/>
    </row>
    <row r="49410">
      <c r="B49410" s="17" t="s">
        <v>477</v>
      </c>
      <c r="K49410" s="18"/>
    </row>
    <row r="49411">
      <c r="B49411" s="17" t="s">
        <v>477</v>
      </c>
      <c r="K49411" s="18"/>
    </row>
    <row r="49412">
      <c r="B49412" s="17" t="s">
        <v>477</v>
      </c>
      <c r="K49412" s="18"/>
    </row>
    <row r="49413">
      <c r="B49413" s="17" t="s">
        <v>477</v>
      </c>
      <c r="K49413" s="18"/>
    </row>
    <row r="49414">
      <c r="B49414" s="17" t="s">
        <v>477</v>
      </c>
      <c r="K49414" s="18"/>
    </row>
    <row r="49415">
      <c r="B49415" s="17" t="s">
        <v>477</v>
      </c>
      <c r="K49415" s="18"/>
    </row>
    <row r="49416">
      <c r="B49416" s="17" t="s">
        <v>477</v>
      </c>
      <c r="K49416" s="18"/>
    </row>
    <row r="49417">
      <c r="B49417" s="17" t="s">
        <v>477</v>
      </c>
      <c r="K49417" s="18"/>
    </row>
    <row r="49418">
      <c r="B49418" s="17" t="s">
        <v>477</v>
      </c>
      <c r="K49418" s="18"/>
    </row>
    <row r="49419">
      <c r="B49419" s="17" t="s">
        <v>477</v>
      </c>
      <c r="K49419" s="18"/>
    </row>
    <row r="49420">
      <c r="B49420" s="17" t="s">
        <v>477</v>
      </c>
      <c r="K49420" s="18"/>
    </row>
    <row r="49421">
      <c r="B49421" s="17" t="s">
        <v>477</v>
      </c>
      <c r="K49421" s="18"/>
    </row>
    <row r="49422">
      <c r="B49422" s="17" t="s">
        <v>477</v>
      </c>
      <c r="K49422" s="18"/>
    </row>
    <row r="49423">
      <c r="B49423" s="17" t="s">
        <v>477</v>
      </c>
      <c r="K49423" s="18"/>
    </row>
    <row r="49424">
      <c r="B49424" s="17" t="s">
        <v>477</v>
      </c>
      <c r="K49424" s="18"/>
    </row>
    <row r="49425">
      <c r="B49425" s="17" t="s">
        <v>477</v>
      </c>
      <c r="K49425" s="18"/>
    </row>
    <row r="49426">
      <c r="B49426" s="17" t="s">
        <v>477</v>
      </c>
      <c r="K49426" s="18"/>
    </row>
    <row r="49427">
      <c r="B49427" s="17" t="s">
        <v>477</v>
      </c>
      <c r="K49427" s="18"/>
    </row>
    <row r="49428">
      <c r="B49428" s="17" t="s">
        <v>477</v>
      </c>
      <c r="K49428" s="18"/>
    </row>
    <row r="49429">
      <c r="B49429" s="17" t="s">
        <v>477</v>
      </c>
      <c r="K49429" s="18"/>
    </row>
    <row r="49430">
      <c r="B49430" s="17" t="s">
        <v>477</v>
      </c>
      <c r="K49430" s="18"/>
    </row>
    <row r="49431">
      <c r="B49431" s="17" t="s">
        <v>477</v>
      </c>
      <c r="K49431" s="18"/>
    </row>
    <row r="49432">
      <c r="B49432" s="17" t="s">
        <v>477</v>
      </c>
      <c r="K49432" s="18"/>
    </row>
    <row r="49433">
      <c r="B49433" s="17" t="s">
        <v>477</v>
      </c>
      <c r="K49433" s="18"/>
    </row>
    <row r="49434">
      <c r="B49434" s="17" t="s">
        <v>477</v>
      </c>
      <c r="K49434" s="18"/>
    </row>
    <row r="49435">
      <c r="B49435" s="17" t="s">
        <v>477</v>
      </c>
      <c r="K49435" s="18"/>
    </row>
    <row r="49436">
      <c r="B49436" s="17" t="s">
        <v>477</v>
      </c>
      <c r="K49436" s="18"/>
    </row>
    <row r="49437">
      <c r="B49437" s="17" t="s">
        <v>477</v>
      </c>
      <c r="K49437" s="18"/>
    </row>
    <row r="49438">
      <c r="B49438" s="17" t="s">
        <v>477</v>
      </c>
      <c r="K49438" s="18"/>
    </row>
    <row r="49439">
      <c r="B49439" s="17" t="s">
        <v>477</v>
      </c>
      <c r="K49439" s="18"/>
    </row>
    <row r="49440">
      <c r="B49440" s="17" t="s">
        <v>477</v>
      </c>
      <c r="K49440" s="18"/>
    </row>
    <row r="49441">
      <c r="B49441" s="17" t="s">
        <v>477</v>
      </c>
      <c r="K49441" s="18"/>
    </row>
    <row r="49442">
      <c r="B49442" s="17" t="s">
        <v>477</v>
      </c>
      <c r="K49442" s="18"/>
    </row>
    <row r="49443">
      <c r="B49443" s="17" t="s">
        <v>477</v>
      </c>
      <c r="K49443" s="18"/>
    </row>
    <row r="49444">
      <c r="B49444" s="17" t="s">
        <v>477</v>
      </c>
      <c r="K49444" s="18"/>
    </row>
    <row r="49445">
      <c r="B49445" s="17" t="s">
        <v>477</v>
      </c>
      <c r="K49445" s="18"/>
    </row>
    <row r="49446">
      <c r="B49446" s="17" t="s">
        <v>477</v>
      </c>
      <c r="K49446" s="18"/>
    </row>
    <row r="49447">
      <c r="B49447" s="17" t="s">
        <v>477</v>
      </c>
      <c r="K49447" s="18"/>
    </row>
    <row r="49448">
      <c r="B49448" s="17" t="s">
        <v>477</v>
      </c>
      <c r="K49448" s="18"/>
    </row>
    <row r="49449">
      <c r="B49449" s="17" t="s">
        <v>477</v>
      </c>
      <c r="K49449" s="18"/>
    </row>
    <row r="49450">
      <c r="B49450" s="17" t="s">
        <v>477</v>
      </c>
      <c r="K49450" s="18"/>
    </row>
    <row r="49451">
      <c r="B49451" s="17" t="s">
        <v>477</v>
      </c>
      <c r="K49451" s="18"/>
    </row>
    <row r="49452">
      <c r="B49452" s="17" t="s">
        <v>477</v>
      </c>
      <c r="K49452" s="18"/>
    </row>
    <row r="49453">
      <c r="B49453" s="17" t="s">
        <v>477</v>
      </c>
      <c r="K49453" s="18"/>
    </row>
    <row r="49454">
      <c r="B49454" s="17" t="s">
        <v>477</v>
      </c>
      <c r="K49454" s="18"/>
    </row>
    <row r="49455">
      <c r="B49455" s="17" t="s">
        <v>477</v>
      </c>
      <c r="K49455" s="18"/>
    </row>
    <row r="49456">
      <c r="B49456" s="17" t="s">
        <v>477</v>
      </c>
      <c r="K49456" s="18"/>
    </row>
    <row r="49457">
      <c r="B49457" s="17" t="s">
        <v>477</v>
      </c>
      <c r="K49457" s="18"/>
    </row>
    <row r="49458">
      <c r="B49458" s="17" t="s">
        <v>477</v>
      </c>
      <c r="K49458" s="18"/>
    </row>
    <row r="49459">
      <c r="B49459" s="17" t="s">
        <v>477</v>
      </c>
      <c r="K49459" s="18"/>
    </row>
    <row r="49460">
      <c r="B49460" s="17" t="s">
        <v>477</v>
      </c>
      <c r="K49460" s="18"/>
    </row>
    <row r="49461">
      <c r="B49461" s="17" t="s">
        <v>477</v>
      </c>
      <c r="K49461" s="18"/>
    </row>
    <row r="49462">
      <c r="B49462" s="17" t="s">
        <v>477</v>
      </c>
      <c r="K49462" s="18"/>
    </row>
    <row r="49463">
      <c r="B49463" s="17" t="s">
        <v>477</v>
      </c>
      <c r="K49463" s="18"/>
    </row>
    <row r="49464">
      <c r="B49464" s="17" t="s">
        <v>477</v>
      </c>
      <c r="K49464" s="18"/>
    </row>
    <row r="49465">
      <c r="B49465" s="17" t="s">
        <v>477</v>
      </c>
      <c r="K49465" s="18"/>
    </row>
    <row r="49466">
      <c r="B49466" s="17" t="s">
        <v>477</v>
      </c>
      <c r="K49466" s="18"/>
    </row>
    <row r="49467">
      <c r="B49467" s="17" t="s">
        <v>477</v>
      </c>
      <c r="K49467" s="18"/>
    </row>
    <row r="49468">
      <c r="B49468" s="17" t="s">
        <v>477</v>
      </c>
      <c r="K49468" s="18"/>
    </row>
    <row r="49469">
      <c r="B49469" s="17" t="s">
        <v>477</v>
      </c>
      <c r="K49469" s="18"/>
    </row>
    <row r="49470">
      <c r="B49470" s="17" t="s">
        <v>477</v>
      </c>
      <c r="K49470" s="18"/>
    </row>
    <row r="49471">
      <c r="B49471" s="17" t="s">
        <v>477</v>
      </c>
      <c r="K49471" s="18"/>
    </row>
    <row r="49472">
      <c r="B49472" s="17" t="s">
        <v>477</v>
      </c>
      <c r="K49472" s="18"/>
    </row>
    <row r="49473">
      <c r="B49473" s="17" t="s">
        <v>477</v>
      </c>
      <c r="K49473" s="18"/>
    </row>
    <row r="49474">
      <c r="B49474" s="17" t="s">
        <v>477</v>
      </c>
      <c r="K49474" s="18"/>
    </row>
    <row r="49475">
      <c r="B49475" s="17" t="s">
        <v>477</v>
      </c>
      <c r="K49475" s="18"/>
    </row>
    <row r="49476">
      <c r="B49476" s="17" t="s">
        <v>477</v>
      </c>
      <c r="K49476" s="18"/>
    </row>
    <row r="49477">
      <c r="B49477" s="17" t="s">
        <v>477</v>
      </c>
      <c r="K49477" s="18"/>
    </row>
    <row r="49478">
      <c r="B49478" s="17" t="s">
        <v>477</v>
      </c>
      <c r="K49478" s="18"/>
    </row>
    <row r="49479">
      <c r="B49479" s="17" t="s">
        <v>477</v>
      </c>
      <c r="K49479" s="18"/>
    </row>
    <row r="49480">
      <c r="B49480" s="17" t="s">
        <v>477</v>
      </c>
      <c r="K49480" s="18"/>
    </row>
    <row r="49481">
      <c r="B49481" s="17" t="s">
        <v>477</v>
      </c>
      <c r="K49481" s="18"/>
    </row>
    <row r="49482">
      <c r="B49482" s="17" t="s">
        <v>477</v>
      </c>
      <c r="K49482" s="18"/>
    </row>
    <row r="49483">
      <c r="B49483" s="17" t="s">
        <v>477</v>
      </c>
      <c r="K49483" s="18"/>
    </row>
    <row r="49484">
      <c r="B49484" s="17" t="s">
        <v>477</v>
      </c>
      <c r="K49484" s="18"/>
    </row>
    <row r="49485">
      <c r="B49485" s="17" t="s">
        <v>477</v>
      </c>
      <c r="K49485" s="18"/>
    </row>
    <row r="49486">
      <c r="B49486" s="17" t="s">
        <v>477</v>
      </c>
      <c r="K49486" s="18"/>
    </row>
    <row r="49487">
      <c r="B49487" s="17" t="s">
        <v>477</v>
      </c>
      <c r="K49487" s="18"/>
    </row>
    <row r="49488">
      <c r="B49488" s="17" t="s">
        <v>477</v>
      </c>
      <c r="K49488" s="18"/>
    </row>
    <row r="49489">
      <c r="B49489" s="17" t="s">
        <v>477</v>
      </c>
      <c r="K49489" s="18"/>
    </row>
    <row r="49490">
      <c r="B49490" s="17" t="s">
        <v>477</v>
      </c>
      <c r="K49490" s="18"/>
    </row>
    <row r="49491">
      <c r="B49491" s="17" t="s">
        <v>477</v>
      </c>
      <c r="K49491" s="18"/>
    </row>
    <row r="49492">
      <c r="B49492" s="17" t="s">
        <v>477</v>
      </c>
      <c r="K49492" s="18"/>
    </row>
    <row r="49493">
      <c r="B49493" s="17" t="s">
        <v>477</v>
      </c>
      <c r="K49493" s="18"/>
    </row>
    <row r="49494">
      <c r="B49494" s="17" t="s">
        <v>477</v>
      </c>
      <c r="K49494" s="18"/>
    </row>
    <row r="49495">
      <c r="B49495" s="17" t="s">
        <v>477</v>
      </c>
      <c r="K49495" s="18"/>
    </row>
    <row r="49496">
      <c r="B49496" s="17" t="s">
        <v>477</v>
      </c>
      <c r="K49496" s="18"/>
    </row>
    <row r="49497">
      <c r="B49497" s="17" t="s">
        <v>477</v>
      </c>
      <c r="K49497" s="18"/>
    </row>
    <row r="49498">
      <c r="B49498" s="17" t="s">
        <v>477</v>
      </c>
      <c r="K49498" s="18"/>
    </row>
    <row r="49499">
      <c r="B49499" s="17" t="s">
        <v>477</v>
      </c>
      <c r="K49499" s="18"/>
    </row>
    <row r="49500">
      <c r="B49500" s="17" t="s">
        <v>477</v>
      </c>
      <c r="K49500" s="18"/>
    </row>
    <row r="49501">
      <c r="B49501" s="17" t="s">
        <v>477</v>
      </c>
      <c r="K49501" s="18"/>
    </row>
    <row r="49502">
      <c r="B49502" s="17" t="s">
        <v>477</v>
      </c>
      <c r="K49502" s="18"/>
    </row>
    <row r="49503">
      <c r="B49503" s="17" t="s">
        <v>477</v>
      </c>
      <c r="K49503" s="18"/>
    </row>
    <row r="49504">
      <c r="B49504" s="17" t="s">
        <v>477</v>
      </c>
      <c r="K49504" s="18"/>
    </row>
    <row r="49505">
      <c r="B49505" s="17" t="s">
        <v>477</v>
      </c>
      <c r="K49505" s="18"/>
    </row>
    <row r="49506">
      <c r="B49506" s="17" t="s">
        <v>477</v>
      </c>
      <c r="K49506" s="18"/>
    </row>
    <row r="49507">
      <c r="B49507" s="17" t="s">
        <v>477</v>
      </c>
      <c r="K49507" s="18"/>
    </row>
    <row r="49508">
      <c r="B49508" s="17" t="s">
        <v>477</v>
      </c>
      <c r="K49508" s="18"/>
    </row>
    <row r="49509">
      <c r="B49509" s="17" t="s">
        <v>477</v>
      </c>
      <c r="K49509" s="18"/>
    </row>
    <row r="49510">
      <c r="B49510" s="17" t="s">
        <v>477</v>
      </c>
      <c r="K49510" s="18"/>
    </row>
    <row r="49511">
      <c r="B49511" s="17" t="s">
        <v>477</v>
      </c>
      <c r="K49511" s="18"/>
    </row>
    <row r="49512">
      <c r="B49512" s="17" t="s">
        <v>477</v>
      </c>
      <c r="K49512" s="18"/>
    </row>
    <row r="49513">
      <c r="B49513" s="17" t="s">
        <v>477</v>
      </c>
      <c r="K49513" s="18"/>
    </row>
    <row r="49514">
      <c r="B49514" s="17" t="s">
        <v>477</v>
      </c>
      <c r="K49514" s="18"/>
    </row>
    <row r="49515">
      <c r="B49515" s="17" t="s">
        <v>477</v>
      </c>
      <c r="K49515" s="18"/>
    </row>
    <row r="49516">
      <c r="B49516" s="17" t="s">
        <v>477</v>
      </c>
      <c r="K49516" s="18"/>
    </row>
    <row r="49517">
      <c r="B49517" s="17" t="s">
        <v>477</v>
      </c>
      <c r="K49517" s="18"/>
    </row>
    <row r="49518">
      <c r="B49518" s="17" t="s">
        <v>477</v>
      </c>
      <c r="K49518" s="18"/>
    </row>
    <row r="49519">
      <c r="B49519" s="17" t="s">
        <v>477</v>
      </c>
      <c r="K49519" s="18"/>
    </row>
    <row r="49520">
      <c r="B49520" s="17" t="s">
        <v>477</v>
      </c>
      <c r="K49520" s="18"/>
    </row>
    <row r="49521">
      <c r="B49521" s="17" t="s">
        <v>477</v>
      </c>
      <c r="K49521" s="18"/>
    </row>
    <row r="49522">
      <c r="B49522" s="17" t="s">
        <v>477</v>
      </c>
      <c r="K49522" s="18"/>
    </row>
    <row r="49523">
      <c r="B49523" s="17" t="s">
        <v>477</v>
      </c>
      <c r="K49523" s="18"/>
    </row>
    <row r="49524">
      <c r="B49524" s="17" t="s">
        <v>477</v>
      </c>
      <c r="K49524" s="18"/>
    </row>
    <row r="49525">
      <c r="B49525" s="17" t="s">
        <v>477</v>
      </c>
      <c r="K49525" s="18"/>
    </row>
    <row r="49526">
      <c r="B49526" s="17" t="s">
        <v>477</v>
      </c>
      <c r="K49526" s="18"/>
    </row>
    <row r="49527">
      <c r="B49527" s="17" t="s">
        <v>477</v>
      </c>
      <c r="K49527" s="18"/>
    </row>
    <row r="49528">
      <c r="B49528" s="17" t="s">
        <v>477</v>
      </c>
      <c r="K49528" s="18"/>
    </row>
    <row r="49529">
      <c r="B49529" s="17" t="s">
        <v>477</v>
      </c>
      <c r="K49529" s="18"/>
    </row>
    <row r="49530">
      <c r="B49530" s="17" t="s">
        <v>477</v>
      </c>
      <c r="K49530" s="18"/>
    </row>
    <row r="49531">
      <c r="B49531" s="17" t="s">
        <v>477</v>
      </c>
      <c r="K49531" s="18"/>
    </row>
    <row r="49532">
      <c r="B49532" s="17" t="s">
        <v>477</v>
      </c>
      <c r="K49532" s="18"/>
    </row>
    <row r="49533">
      <c r="B49533" s="17" t="s">
        <v>477</v>
      </c>
      <c r="K49533" s="18"/>
    </row>
    <row r="49534">
      <c r="B49534" s="17" t="s">
        <v>477</v>
      </c>
      <c r="K49534" s="18"/>
    </row>
    <row r="49535">
      <c r="B49535" s="17" t="s">
        <v>477</v>
      </c>
      <c r="K49535" s="18"/>
    </row>
    <row r="49536">
      <c r="B49536" s="17" t="s">
        <v>477</v>
      </c>
      <c r="K49536" s="18"/>
    </row>
    <row r="49537">
      <c r="B49537" s="17" t="s">
        <v>477</v>
      </c>
      <c r="K49537" s="18"/>
    </row>
    <row r="49538">
      <c r="B49538" s="17" t="s">
        <v>477</v>
      </c>
      <c r="K49538" s="18"/>
    </row>
    <row r="49539">
      <c r="B49539" s="17" t="s">
        <v>477</v>
      </c>
      <c r="K49539" s="18"/>
    </row>
    <row r="49540">
      <c r="B49540" s="17" t="s">
        <v>477</v>
      </c>
      <c r="K49540" s="18"/>
    </row>
    <row r="49541">
      <c r="B49541" s="17" t="s">
        <v>477</v>
      </c>
      <c r="K49541" s="18"/>
    </row>
    <row r="49542">
      <c r="B49542" s="17" t="s">
        <v>477</v>
      </c>
      <c r="K49542" s="18"/>
    </row>
    <row r="49543">
      <c r="B49543" s="17" t="s">
        <v>477</v>
      </c>
      <c r="K49543" s="18"/>
    </row>
    <row r="49544">
      <c r="B49544" s="17" t="s">
        <v>477</v>
      </c>
      <c r="K49544" s="18"/>
    </row>
    <row r="49545">
      <c r="B49545" s="17" t="s">
        <v>477</v>
      </c>
      <c r="K49545" s="18"/>
    </row>
    <row r="49546">
      <c r="B49546" s="17" t="s">
        <v>477</v>
      </c>
      <c r="K49546" s="18"/>
    </row>
    <row r="49547">
      <c r="B49547" s="17" t="s">
        <v>477</v>
      </c>
      <c r="K49547" s="18"/>
    </row>
    <row r="49548">
      <c r="B49548" s="17" t="s">
        <v>477</v>
      </c>
      <c r="K49548" s="18"/>
    </row>
    <row r="49549">
      <c r="B49549" s="17" t="s">
        <v>477</v>
      </c>
      <c r="K49549" s="18"/>
    </row>
    <row r="49550">
      <c r="B49550" s="17" t="s">
        <v>477</v>
      </c>
      <c r="K49550" s="18"/>
    </row>
    <row r="49551">
      <c r="B49551" s="17" t="s">
        <v>477</v>
      </c>
      <c r="K49551" s="18"/>
    </row>
    <row r="49552">
      <c r="B49552" s="17" t="s">
        <v>477</v>
      </c>
      <c r="K49552" s="18"/>
    </row>
    <row r="49553">
      <c r="B49553" s="17" t="s">
        <v>477</v>
      </c>
      <c r="K49553" s="18"/>
    </row>
    <row r="49554">
      <c r="B49554" s="17" t="s">
        <v>477</v>
      </c>
      <c r="K49554" s="18"/>
    </row>
    <row r="49555">
      <c r="B49555" s="17" t="s">
        <v>477</v>
      </c>
      <c r="K49555" s="18"/>
    </row>
    <row r="49556">
      <c r="B49556" s="17" t="s">
        <v>477</v>
      </c>
      <c r="K49556" s="18"/>
    </row>
    <row r="49557">
      <c r="B49557" s="17" t="s">
        <v>477</v>
      </c>
      <c r="K49557" s="18"/>
    </row>
    <row r="49558">
      <c r="B49558" s="17" t="s">
        <v>477</v>
      </c>
      <c r="K49558" s="18"/>
    </row>
    <row r="49559">
      <c r="B49559" s="17" t="s">
        <v>477</v>
      </c>
      <c r="K49559" s="18"/>
    </row>
    <row r="49560">
      <c r="B49560" s="17" t="s">
        <v>477</v>
      </c>
      <c r="K49560" s="18"/>
    </row>
    <row r="49561">
      <c r="B49561" s="17" t="s">
        <v>477</v>
      </c>
      <c r="K49561" s="18"/>
    </row>
    <row r="49562">
      <c r="B49562" s="17" t="s">
        <v>477</v>
      </c>
      <c r="K49562" s="18"/>
    </row>
    <row r="49563">
      <c r="B49563" s="17" t="s">
        <v>477</v>
      </c>
      <c r="K49563" s="18"/>
    </row>
    <row r="49564">
      <c r="B49564" s="17" t="s">
        <v>477</v>
      </c>
      <c r="K49564" s="18"/>
    </row>
    <row r="49565">
      <c r="B49565" s="17" t="s">
        <v>477</v>
      </c>
      <c r="K49565" s="18"/>
    </row>
    <row r="49566">
      <c r="B49566" s="17" t="s">
        <v>477</v>
      </c>
      <c r="K49566" s="18"/>
    </row>
    <row r="49567">
      <c r="B49567" s="17" t="s">
        <v>477</v>
      </c>
      <c r="K49567" s="18"/>
    </row>
    <row r="49568">
      <c r="B49568" s="17" t="s">
        <v>477</v>
      </c>
      <c r="K49568" s="18"/>
    </row>
    <row r="49569">
      <c r="B49569" s="17" t="s">
        <v>477</v>
      </c>
      <c r="K49569" s="18"/>
    </row>
    <row r="49570">
      <c r="B49570" s="17" t="s">
        <v>477</v>
      </c>
      <c r="K49570" s="18"/>
    </row>
    <row r="49571">
      <c r="B49571" s="17" t="s">
        <v>477</v>
      </c>
      <c r="K49571" s="18"/>
    </row>
    <row r="49572">
      <c r="B49572" s="17" t="s">
        <v>477</v>
      </c>
      <c r="K49572" s="18"/>
    </row>
    <row r="49573">
      <c r="B49573" s="17" t="s">
        <v>477</v>
      </c>
      <c r="K49573" s="18"/>
    </row>
    <row r="49574">
      <c r="B49574" s="17" t="s">
        <v>477</v>
      </c>
      <c r="K49574" s="18"/>
    </row>
    <row r="49575">
      <c r="B49575" s="17" t="s">
        <v>477</v>
      </c>
      <c r="K49575" s="18"/>
    </row>
    <row r="49576">
      <c r="B49576" s="17" t="s">
        <v>477</v>
      </c>
      <c r="K49576" s="18"/>
    </row>
    <row r="49577">
      <c r="B49577" s="17" t="s">
        <v>477</v>
      </c>
      <c r="K49577" s="18"/>
    </row>
    <row r="49578">
      <c r="B49578" s="17" t="s">
        <v>477</v>
      </c>
      <c r="K49578" s="18"/>
    </row>
    <row r="49579">
      <c r="B49579" s="17" t="s">
        <v>477</v>
      </c>
      <c r="K49579" s="18"/>
    </row>
    <row r="49580">
      <c r="B49580" s="17" t="s">
        <v>477</v>
      </c>
      <c r="K49580" s="18"/>
    </row>
    <row r="49581">
      <c r="B49581" s="17" t="s">
        <v>477</v>
      </c>
      <c r="K49581" s="18"/>
    </row>
    <row r="49582">
      <c r="B49582" s="17" t="s">
        <v>477</v>
      </c>
      <c r="K49582" s="18"/>
    </row>
    <row r="49583">
      <c r="B49583" s="17" t="s">
        <v>477</v>
      </c>
      <c r="K49583" s="18"/>
    </row>
    <row r="49584">
      <c r="B49584" s="17" t="s">
        <v>477</v>
      </c>
      <c r="K49584" s="18"/>
    </row>
    <row r="49585">
      <c r="B49585" s="17" t="s">
        <v>477</v>
      </c>
      <c r="K49585" s="18"/>
    </row>
    <row r="49586">
      <c r="B49586" s="17" t="s">
        <v>477</v>
      </c>
      <c r="K49586" s="18"/>
    </row>
    <row r="49587">
      <c r="B49587" s="17" t="s">
        <v>477</v>
      </c>
      <c r="K49587" s="18"/>
    </row>
    <row r="49588">
      <c r="B49588" s="17" t="s">
        <v>477</v>
      </c>
      <c r="K49588" s="18"/>
    </row>
    <row r="49589">
      <c r="B49589" s="17" t="s">
        <v>477</v>
      </c>
      <c r="K49589" s="18"/>
    </row>
    <row r="49590">
      <c r="B49590" s="17" t="s">
        <v>477</v>
      </c>
      <c r="K49590" s="18"/>
    </row>
    <row r="49591">
      <c r="B49591" s="17" t="s">
        <v>477</v>
      </c>
      <c r="K49591" s="18"/>
    </row>
    <row r="49592">
      <c r="B49592" s="17" t="s">
        <v>477</v>
      </c>
      <c r="K49592" s="18"/>
    </row>
    <row r="49593">
      <c r="B49593" s="17" t="s">
        <v>477</v>
      </c>
      <c r="K49593" s="18"/>
    </row>
    <row r="49594">
      <c r="B49594" s="17" t="s">
        <v>477</v>
      </c>
      <c r="K49594" s="18"/>
    </row>
    <row r="49595">
      <c r="B49595" s="17" t="s">
        <v>477</v>
      </c>
      <c r="K49595" s="18"/>
    </row>
    <row r="49596">
      <c r="B49596" s="17" t="s">
        <v>477</v>
      </c>
      <c r="K49596" s="18"/>
    </row>
    <row r="49597">
      <c r="B49597" s="17" t="s">
        <v>477</v>
      </c>
      <c r="K49597" s="18"/>
    </row>
    <row r="49598">
      <c r="B49598" s="17" t="s">
        <v>477</v>
      </c>
      <c r="K49598" s="18"/>
    </row>
    <row r="49599">
      <c r="B49599" s="17" t="s">
        <v>477</v>
      </c>
      <c r="K49599" s="18"/>
    </row>
    <row r="49600">
      <c r="B49600" s="17" t="s">
        <v>477</v>
      </c>
      <c r="K49600" s="18"/>
    </row>
    <row r="49601">
      <c r="B49601" s="17" t="s">
        <v>477</v>
      </c>
      <c r="K49601" s="18"/>
    </row>
    <row r="49602">
      <c r="B49602" s="17" t="s">
        <v>477</v>
      </c>
      <c r="K49602" s="18"/>
    </row>
    <row r="49603">
      <c r="B49603" s="17" t="s">
        <v>477</v>
      </c>
      <c r="K49603" s="18"/>
    </row>
    <row r="49604">
      <c r="B49604" s="17" t="s">
        <v>477</v>
      </c>
      <c r="K49604" s="18"/>
    </row>
    <row r="49605">
      <c r="B49605" s="17" t="s">
        <v>477</v>
      </c>
      <c r="K49605" s="18"/>
    </row>
    <row r="49606">
      <c r="B49606" s="17" t="s">
        <v>477</v>
      </c>
      <c r="K49606" s="18"/>
    </row>
    <row r="49607">
      <c r="B49607" s="17" t="s">
        <v>477</v>
      </c>
      <c r="K49607" s="18"/>
    </row>
    <row r="49608">
      <c r="B49608" s="17" t="s">
        <v>477</v>
      </c>
      <c r="K49608" s="18"/>
    </row>
    <row r="49609">
      <c r="B49609" s="17" t="s">
        <v>477</v>
      </c>
      <c r="K49609" s="18"/>
    </row>
    <row r="49610">
      <c r="B49610" s="17" t="s">
        <v>477</v>
      </c>
      <c r="K49610" s="18"/>
    </row>
    <row r="49611">
      <c r="B49611" s="17" t="s">
        <v>477</v>
      </c>
      <c r="K49611" s="18"/>
    </row>
    <row r="49612">
      <c r="B49612" s="17" t="s">
        <v>477</v>
      </c>
      <c r="K49612" s="18"/>
    </row>
    <row r="49613">
      <c r="B49613" s="17" t="s">
        <v>477</v>
      </c>
      <c r="K49613" s="18"/>
    </row>
    <row r="49614">
      <c r="B49614" s="17" t="s">
        <v>477</v>
      </c>
      <c r="K49614" s="18"/>
    </row>
    <row r="49615">
      <c r="B49615" s="17" t="s">
        <v>477</v>
      </c>
      <c r="K49615" s="18"/>
    </row>
    <row r="49616">
      <c r="B49616" s="17" t="s">
        <v>477</v>
      </c>
      <c r="K49616" s="18"/>
    </row>
    <row r="49617">
      <c r="B49617" s="17" t="s">
        <v>477</v>
      </c>
      <c r="K49617" s="18"/>
    </row>
    <row r="49618">
      <c r="B49618" s="17" t="s">
        <v>477</v>
      </c>
      <c r="K49618" s="18"/>
    </row>
    <row r="49619">
      <c r="B49619" s="17" t="s">
        <v>477</v>
      </c>
      <c r="K49619" s="18"/>
    </row>
    <row r="49620">
      <c r="B49620" s="17" t="s">
        <v>477</v>
      </c>
      <c r="K49620" s="18"/>
    </row>
    <row r="49621">
      <c r="B49621" s="17" t="s">
        <v>477</v>
      </c>
      <c r="K49621" s="18"/>
    </row>
    <row r="49622">
      <c r="B49622" s="17" t="s">
        <v>477</v>
      </c>
      <c r="K49622" s="18"/>
    </row>
    <row r="49623">
      <c r="B49623" s="17" t="s">
        <v>477</v>
      </c>
      <c r="K49623" s="18"/>
    </row>
    <row r="49624">
      <c r="B49624" s="17" t="s">
        <v>477</v>
      </c>
      <c r="K49624" s="18"/>
    </row>
    <row r="49625">
      <c r="B49625" s="17" t="s">
        <v>477</v>
      </c>
      <c r="K49625" s="18"/>
    </row>
    <row r="49626">
      <c r="B49626" s="17" t="s">
        <v>477</v>
      </c>
      <c r="K49626" s="18"/>
    </row>
    <row r="49627">
      <c r="B49627" s="17" t="s">
        <v>477</v>
      </c>
      <c r="K49627" s="18"/>
    </row>
    <row r="49628">
      <c r="B49628" s="17" t="s">
        <v>477</v>
      </c>
      <c r="K49628" s="18"/>
    </row>
    <row r="49629">
      <c r="B49629" s="17" t="s">
        <v>477</v>
      </c>
      <c r="K49629" s="18"/>
    </row>
    <row r="49630">
      <c r="B49630" s="17" t="s">
        <v>477</v>
      </c>
      <c r="K49630" s="18"/>
    </row>
    <row r="49631">
      <c r="B49631" s="17" t="s">
        <v>477</v>
      </c>
      <c r="K49631" s="18"/>
    </row>
    <row r="49632">
      <c r="B49632" s="17" t="s">
        <v>477</v>
      </c>
      <c r="K49632" s="18"/>
    </row>
    <row r="49633">
      <c r="B49633" s="17" t="s">
        <v>477</v>
      </c>
      <c r="K49633" s="18"/>
    </row>
    <row r="49634">
      <c r="B49634" s="17" t="s">
        <v>477</v>
      </c>
      <c r="K49634" s="18"/>
    </row>
    <row r="49635">
      <c r="B49635" s="17" t="s">
        <v>477</v>
      </c>
      <c r="K49635" s="18"/>
    </row>
    <row r="49636">
      <c r="B49636" s="17" t="s">
        <v>477</v>
      </c>
      <c r="K49636" s="18"/>
    </row>
    <row r="49637">
      <c r="B49637" s="17" t="s">
        <v>477</v>
      </c>
      <c r="K49637" s="18"/>
    </row>
    <row r="49638">
      <c r="B49638" s="17" t="s">
        <v>477</v>
      </c>
      <c r="K49638" s="18"/>
    </row>
    <row r="49639">
      <c r="B49639" s="17" t="s">
        <v>477</v>
      </c>
      <c r="K49639" s="18"/>
    </row>
    <row r="49640">
      <c r="B49640" s="17" t="s">
        <v>477</v>
      </c>
      <c r="K49640" s="18"/>
    </row>
    <row r="49641">
      <c r="B49641" s="17" t="s">
        <v>477</v>
      </c>
      <c r="K49641" s="18"/>
    </row>
    <row r="49642">
      <c r="B49642" s="17" t="s">
        <v>477</v>
      </c>
      <c r="K49642" s="18"/>
    </row>
    <row r="49643">
      <c r="B49643" s="17" t="s">
        <v>477</v>
      </c>
      <c r="K49643" s="18"/>
    </row>
    <row r="49644">
      <c r="B49644" s="17" t="s">
        <v>477</v>
      </c>
      <c r="K49644" s="18"/>
    </row>
    <row r="49645">
      <c r="B49645" s="17" t="s">
        <v>477</v>
      </c>
      <c r="K49645" s="18"/>
    </row>
    <row r="49646">
      <c r="B49646" s="17" t="s">
        <v>477</v>
      </c>
      <c r="K49646" s="18"/>
    </row>
    <row r="49647">
      <c r="B49647" s="17" t="s">
        <v>477</v>
      </c>
      <c r="K49647" s="18"/>
    </row>
    <row r="49648">
      <c r="B49648" s="17" t="s">
        <v>477</v>
      </c>
      <c r="K49648" s="18"/>
    </row>
    <row r="49649">
      <c r="B49649" s="17" t="s">
        <v>477</v>
      </c>
      <c r="K49649" s="18"/>
    </row>
    <row r="49650">
      <c r="B49650" s="17" t="s">
        <v>477</v>
      </c>
      <c r="K49650" s="18"/>
    </row>
    <row r="49651">
      <c r="B49651" s="17" t="s">
        <v>477</v>
      </c>
      <c r="K49651" s="18"/>
    </row>
    <row r="49652">
      <c r="B49652" s="17" t="s">
        <v>477</v>
      </c>
      <c r="K49652" s="18"/>
    </row>
    <row r="49653">
      <c r="B49653" s="17" t="s">
        <v>477</v>
      </c>
      <c r="K49653" s="18"/>
    </row>
    <row r="49654">
      <c r="B49654" s="17" t="s">
        <v>477</v>
      </c>
      <c r="K49654" s="18"/>
    </row>
    <row r="49655">
      <c r="B49655" s="17" t="s">
        <v>477</v>
      </c>
      <c r="K49655" s="18"/>
    </row>
    <row r="49656">
      <c r="B49656" s="17" t="s">
        <v>477</v>
      </c>
      <c r="K49656" s="18"/>
    </row>
    <row r="49657">
      <c r="B49657" s="17" t="s">
        <v>477</v>
      </c>
      <c r="K49657" s="18"/>
    </row>
    <row r="49658">
      <c r="B49658" s="17" t="s">
        <v>477</v>
      </c>
      <c r="K49658" s="18"/>
    </row>
    <row r="49659">
      <c r="B49659" s="17" t="s">
        <v>477</v>
      </c>
      <c r="K49659" s="18"/>
    </row>
    <row r="49660">
      <c r="B49660" s="17" t="s">
        <v>477</v>
      </c>
      <c r="K49660" s="18"/>
    </row>
    <row r="49661">
      <c r="B49661" s="17" t="s">
        <v>477</v>
      </c>
      <c r="K49661" s="18"/>
    </row>
    <row r="49662">
      <c r="B49662" s="17" t="s">
        <v>477</v>
      </c>
      <c r="K49662" s="18"/>
    </row>
    <row r="49663">
      <c r="B49663" s="17" t="s">
        <v>477</v>
      </c>
      <c r="K49663" s="18"/>
    </row>
    <row r="49664">
      <c r="B49664" s="17" t="s">
        <v>477</v>
      </c>
      <c r="K49664" s="18"/>
    </row>
    <row r="49665">
      <c r="B49665" s="17" t="s">
        <v>477</v>
      </c>
      <c r="K49665" s="18"/>
    </row>
    <row r="49666">
      <c r="B49666" s="17" t="s">
        <v>477</v>
      </c>
      <c r="K49666" s="18"/>
    </row>
    <row r="49667">
      <c r="B49667" s="17" t="s">
        <v>477</v>
      </c>
      <c r="K49667" s="18"/>
    </row>
    <row r="49668">
      <c r="B49668" s="17" t="s">
        <v>477</v>
      </c>
      <c r="K49668" s="18"/>
    </row>
    <row r="49669">
      <c r="B49669" s="17" t="s">
        <v>477</v>
      </c>
      <c r="K49669" s="18"/>
    </row>
    <row r="49670">
      <c r="B49670" s="17" t="s">
        <v>477</v>
      </c>
      <c r="K49670" s="18"/>
    </row>
    <row r="49671">
      <c r="B49671" s="17" t="s">
        <v>477</v>
      </c>
      <c r="K49671" s="18"/>
    </row>
    <row r="49672">
      <c r="B49672" s="17" t="s">
        <v>477</v>
      </c>
      <c r="K49672" s="18"/>
    </row>
    <row r="49673">
      <c r="B49673" s="17" t="s">
        <v>477</v>
      </c>
      <c r="K49673" s="18"/>
    </row>
    <row r="49674">
      <c r="B49674" s="17" t="s">
        <v>477</v>
      </c>
      <c r="K49674" s="18"/>
    </row>
    <row r="49675">
      <c r="B49675" s="17" t="s">
        <v>477</v>
      </c>
      <c r="K49675" s="18"/>
    </row>
    <row r="49676">
      <c r="B49676" s="17" t="s">
        <v>477</v>
      </c>
      <c r="K49676" s="18"/>
    </row>
    <row r="49677">
      <c r="B49677" s="17" t="s">
        <v>477</v>
      </c>
      <c r="K49677" s="18"/>
    </row>
    <row r="49678">
      <c r="B49678" s="17" t="s">
        <v>477</v>
      </c>
      <c r="K49678" s="18"/>
    </row>
    <row r="49679">
      <c r="B49679" s="17" t="s">
        <v>477</v>
      </c>
      <c r="K49679" s="18"/>
    </row>
    <row r="49680">
      <c r="B49680" s="17" t="s">
        <v>477</v>
      </c>
      <c r="K49680" s="18"/>
    </row>
    <row r="49681">
      <c r="B49681" s="17" t="s">
        <v>477</v>
      </c>
      <c r="K49681" s="18"/>
    </row>
    <row r="49682">
      <c r="B49682" s="17" t="s">
        <v>477</v>
      </c>
      <c r="K49682" s="18"/>
    </row>
    <row r="49683">
      <c r="B49683" s="17" t="s">
        <v>477</v>
      </c>
      <c r="K49683" s="18"/>
    </row>
    <row r="49684">
      <c r="B49684" s="17" t="s">
        <v>477</v>
      </c>
      <c r="K49684" s="18"/>
    </row>
    <row r="49685">
      <c r="B49685" s="17" t="s">
        <v>477</v>
      </c>
      <c r="K49685" s="18"/>
    </row>
    <row r="49686">
      <c r="B49686" s="17" t="s">
        <v>477</v>
      </c>
      <c r="K49686" s="18"/>
    </row>
    <row r="49687">
      <c r="B49687" s="17" t="s">
        <v>477</v>
      </c>
      <c r="K49687" s="18"/>
    </row>
    <row r="49688">
      <c r="B49688" s="17" t="s">
        <v>477</v>
      </c>
      <c r="K49688" s="18"/>
    </row>
    <row r="49689">
      <c r="B49689" s="17" t="s">
        <v>477</v>
      </c>
      <c r="K49689" s="18"/>
    </row>
    <row r="49690">
      <c r="B49690" s="17" t="s">
        <v>477</v>
      </c>
      <c r="K49690" s="18"/>
    </row>
    <row r="49691">
      <c r="B49691" s="17" t="s">
        <v>477</v>
      </c>
      <c r="K49691" s="18"/>
    </row>
    <row r="49692">
      <c r="B49692" s="17" t="s">
        <v>477</v>
      </c>
      <c r="K49692" s="18"/>
    </row>
    <row r="49693">
      <c r="B49693" s="17" t="s">
        <v>477</v>
      </c>
      <c r="K49693" s="18"/>
    </row>
    <row r="49694">
      <c r="B49694" s="17" t="s">
        <v>477</v>
      </c>
      <c r="K49694" s="18"/>
    </row>
    <row r="49695">
      <c r="B49695" s="17" t="s">
        <v>477</v>
      </c>
      <c r="K49695" s="18"/>
    </row>
    <row r="49696">
      <c r="B49696" s="17" t="s">
        <v>477</v>
      </c>
      <c r="K49696" s="18"/>
    </row>
    <row r="49697">
      <c r="B49697" s="17" t="s">
        <v>477</v>
      </c>
      <c r="K49697" s="18"/>
    </row>
    <row r="49698">
      <c r="B49698" s="17" t="s">
        <v>477</v>
      </c>
      <c r="K49698" s="18"/>
    </row>
    <row r="49699">
      <c r="B49699" s="17" t="s">
        <v>477</v>
      </c>
      <c r="K49699" s="18"/>
    </row>
    <row r="49700">
      <c r="B49700" s="17" t="s">
        <v>477</v>
      </c>
      <c r="K49700" s="18"/>
    </row>
    <row r="49701">
      <c r="B49701" s="17" t="s">
        <v>477</v>
      </c>
      <c r="K49701" s="18"/>
    </row>
    <row r="49702">
      <c r="B49702" s="17" t="s">
        <v>477</v>
      </c>
      <c r="K49702" s="18"/>
    </row>
    <row r="49703">
      <c r="B49703" s="17" t="s">
        <v>477</v>
      </c>
      <c r="K49703" s="18"/>
    </row>
    <row r="49704">
      <c r="B49704" s="17" t="s">
        <v>477</v>
      </c>
      <c r="K49704" s="18"/>
    </row>
    <row r="49705">
      <c r="B49705" s="17" t="s">
        <v>477</v>
      </c>
      <c r="K49705" s="18"/>
    </row>
    <row r="49706">
      <c r="B49706" s="17" t="s">
        <v>477</v>
      </c>
      <c r="K49706" s="18"/>
    </row>
    <row r="49707">
      <c r="B49707" s="17" t="s">
        <v>477</v>
      </c>
      <c r="K49707" s="18"/>
    </row>
    <row r="49708">
      <c r="B49708" s="17" t="s">
        <v>477</v>
      </c>
      <c r="K49708" s="18"/>
    </row>
    <row r="49709">
      <c r="B49709" s="17" t="s">
        <v>477</v>
      </c>
      <c r="K49709" s="18"/>
    </row>
    <row r="49710">
      <c r="B49710" s="17" t="s">
        <v>477</v>
      </c>
      <c r="K49710" s="18"/>
    </row>
    <row r="49711">
      <c r="B49711" s="17" t="s">
        <v>477</v>
      </c>
      <c r="K49711" s="18"/>
    </row>
    <row r="49712">
      <c r="B49712" s="17" t="s">
        <v>477</v>
      </c>
      <c r="K49712" s="18"/>
    </row>
    <row r="49713">
      <c r="B49713" s="17" t="s">
        <v>477</v>
      </c>
      <c r="K49713" s="18"/>
    </row>
    <row r="49714">
      <c r="B49714" s="17" t="s">
        <v>477</v>
      </c>
      <c r="K49714" s="18"/>
    </row>
    <row r="49715">
      <c r="B49715" s="17" t="s">
        <v>477</v>
      </c>
      <c r="K49715" s="18"/>
    </row>
    <row r="49716">
      <c r="B49716" s="17" t="s">
        <v>477</v>
      </c>
      <c r="K49716" s="18"/>
    </row>
    <row r="49717">
      <c r="B49717" s="17" t="s">
        <v>477</v>
      </c>
      <c r="K49717" s="18"/>
    </row>
    <row r="49718">
      <c r="B49718" s="17" t="s">
        <v>477</v>
      </c>
      <c r="K49718" s="18"/>
    </row>
    <row r="49719">
      <c r="B49719" s="17" t="s">
        <v>477</v>
      </c>
      <c r="K49719" s="18"/>
    </row>
    <row r="49720">
      <c r="B49720" s="17" t="s">
        <v>477</v>
      </c>
      <c r="K49720" s="18"/>
    </row>
    <row r="49721">
      <c r="B49721" s="17" t="s">
        <v>477</v>
      </c>
      <c r="K49721" s="18"/>
    </row>
    <row r="49722">
      <c r="B49722" s="17" t="s">
        <v>477</v>
      </c>
      <c r="K49722" s="18"/>
    </row>
    <row r="49723">
      <c r="B49723" s="17" t="s">
        <v>477</v>
      </c>
      <c r="K49723" s="18"/>
    </row>
    <row r="49724">
      <c r="B49724" s="17" t="s">
        <v>477</v>
      </c>
      <c r="K49724" s="18"/>
    </row>
    <row r="49725">
      <c r="B49725" s="17" t="s">
        <v>477</v>
      </c>
      <c r="K49725" s="18"/>
    </row>
    <row r="49726">
      <c r="B49726" s="17" t="s">
        <v>477</v>
      </c>
      <c r="K49726" s="18"/>
    </row>
    <row r="49727">
      <c r="B49727" s="17" t="s">
        <v>477</v>
      </c>
      <c r="K49727" s="18"/>
    </row>
    <row r="49728">
      <c r="B49728" s="17" t="s">
        <v>477</v>
      </c>
      <c r="K49728" s="18"/>
    </row>
    <row r="49729">
      <c r="B49729" s="17" t="s">
        <v>477</v>
      </c>
      <c r="K49729" s="18"/>
    </row>
    <row r="49730">
      <c r="B49730" s="17" t="s">
        <v>477</v>
      </c>
      <c r="K49730" s="18"/>
    </row>
    <row r="49731">
      <c r="B49731" s="17" t="s">
        <v>477</v>
      </c>
      <c r="K49731" s="18"/>
    </row>
    <row r="49732">
      <c r="B49732" s="17" t="s">
        <v>477</v>
      </c>
      <c r="K49732" s="18"/>
    </row>
    <row r="49733">
      <c r="B49733" s="17" t="s">
        <v>477</v>
      </c>
      <c r="K49733" s="18"/>
    </row>
    <row r="49734">
      <c r="B49734" s="17" t="s">
        <v>477</v>
      </c>
      <c r="K49734" s="18"/>
    </row>
    <row r="49735">
      <c r="B49735" s="17" t="s">
        <v>477</v>
      </c>
      <c r="K49735" s="18"/>
    </row>
    <row r="49736">
      <c r="B49736" s="17" t="s">
        <v>477</v>
      </c>
      <c r="K49736" s="18"/>
    </row>
    <row r="49737">
      <c r="B49737" s="17" t="s">
        <v>477</v>
      </c>
      <c r="K49737" s="18"/>
    </row>
    <row r="49738">
      <c r="B49738" s="17" t="s">
        <v>477</v>
      </c>
      <c r="K49738" s="18"/>
    </row>
    <row r="49739">
      <c r="B49739" s="17" t="s">
        <v>477</v>
      </c>
      <c r="K49739" s="18"/>
    </row>
    <row r="49740">
      <c r="B49740" s="17" t="s">
        <v>477</v>
      </c>
      <c r="K49740" s="18"/>
    </row>
    <row r="49741">
      <c r="B49741" s="17" t="s">
        <v>477</v>
      </c>
      <c r="K49741" s="18"/>
    </row>
    <row r="49742">
      <c r="B49742" s="17" t="s">
        <v>477</v>
      </c>
      <c r="K49742" s="18"/>
    </row>
    <row r="49743">
      <c r="B49743" s="17" t="s">
        <v>477</v>
      </c>
      <c r="K49743" s="18"/>
    </row>
    <row r="49744">
      <c r="B49744" s="17" t="s">
        <v>477</v>
      </c>
      <c r="K49744" s="18"/>
    </row>
    <row r="49745">
      <c r="B49745" s="17" t="s">
        <v>477</v>
      </c>
      <c r="K49745" s="18"/>
    </row>
    <row r="49746">
      <c r="B49746" s="17" t="s">
        <v>477</v>
      </c>
      <c r="K49746" s="18"/>
    </row>
    <row r="49747">
      <c r="B49747" s="17" t="s">
        <v>477</v>
      </c>
      <c r="K49747" s="18"/>
    </row>
    <row r="49748">
      <c r="B49748" s="17" t="s">
        <v>477</v>
      </c>
      <c r="K49748" s="18"/>
    </row>
    <row r="49749">
      <c r="B49749" s="17" t="s">
        <v>477</v>
      </c>
      <c r="K49749" s="18"/>
    </row>
    <row r="49750">
      <c r="B49750" s="17" t="s">
        <v>477</v>
      </c>
      <c r="K49750" s="18"/>
    </row>
    <row r="49751">
      <c r="B49751" s="17" t="s">
        <v>477</v>
      </c>
      <c r="K49751" s="18"/>
    </row>
    <row r="49752">
      <c r="B49752" s="17" t="s">
        <v>477</v>
      </c>
      <c r="K49752" s="18"/>
    </row>
    <row r="49753">
      <c r="B49753" s="17" t="s">
        <v>477</v>
      </c>
      <c r="K49753" s="18"/>
    </row>
    <row r="49754">
      <c r="B49754" s="17" t="s">
        <v>477</v>
      </c>
      <c r="K49754" s="18"/>
    </row>
    <row r="49755">
      <c r="B49755" s="17" t="s">
        <v>477</v>
      </c>
      <c r="K49755" s="18"/>
    </row>
    <row r="49756">
      <c r="B49756" s="17" t="s">
        <v>477</v>
      </c>
      <c r="K49756" s="18"/>
    </row>
    <row r="49757">
      <c r="B49757" s="17" t="s">
        <v>477</v>
      </c>
      <c r="K49757" s="18"/>
    </row>
    <row r="49758">
      <c r="B49758" s="17" t="s">
        <v>477</v>
      </c>
      <c r="K49758" s="18"/>
    </row>
    <row r="49759">
      <c r="B49759" s="17" t="s">
        <v>477</v>
      </c>
      <c r="K49759" s="18"/>
    </row>
    <row r="49760">
      <c r="B49760" s="17" t="s">
        <v>477</v>
      </c>
      <c r="K49760" s="18"/>
    </row>
    <row r="49761">
      <c r="B49761" s="17" t="s">
        <v>477</v>
      </c>
      <c r="K49761" s="18"/>
    </row>
    <row r="49762">
      <c r="B49762" s="17" t="s">
        <v>477</v>
      </c>
      <c r="K49762" s="18"/>
    </row>
    <row r="49763">
      <c r="B49763" s="17" t="s">
        <v>477</v>
      </c>
      <c r="K49763" s="18"/>
    </row>
    <row r="49764">
      <c r="B49764" s="17" t="s">
        <v>477</v>
      </c>
      <c r="K49764" s="18"/>
    </row>
    <row r="49765">
      <c r="B49765" s="17" t="s">
        <v>477</v>
      </c>
      <c r="K49765" s="18"/>
    </row>
    <row r="49766">
      <c r="B49766" s="17" t="s">
        <v>477</v>
      </c>
      <c r="K49766" s="18"/>
    </row>
    <row r="49767">
      <c r="B49767" s="17" t="s">
        <v>477</v>
      </c>
      <c r="K49767" s="18"/>
    </row>
    <row r="49768">
      <c r="B49768" s="17" t="s">
        <v>477</v>
      </c>
      <c r="K49768" s="18"/>
    </row>
    <row r="49769">
      <c r="B49769" s="17" t="s">
        <v>477</v>
      </c>
      <c r="K49769" s="18"/>
    </row>
    <row r="49770">
      <c r="B49770" s="17" t="s">
        <v>477</v>
      </c>
      <c r="K49770" s="18"/>
    </row>
    <row r="49771">
      <c r="B49771" s="17" t="s">
        <v>477</v>
      </c>
      <c r="K49771" s="18"/>
    </row>
    <row r="49772">
      <c r="B49772" s="17" t="s">
        <v>477</v>
      </c>
      <c r="K49772" s="18"/>
    </row>
    <row r="49773">
      <c r="B49773" s="17" t="s">
        <v>477</v>
      </c>
      <c r="K49773" s="18"/>
    </row>
    <row r="49774">
      <c r="B49774" s="17" t="s">
        <v>477</v>
      </c>
      <c r="K49774" s="18"/>
    </row>
    <row r="49775">
      <c r="B49775" s="17" t="s">
        <v>477</v>
      </c>
      <c r="K49775" s="18"/>
    </row>
    <row r="49776">
      <c r="B49776" s="17" t="s">
        <v>477</v>
      </c>
      <c r="K49776" s="18"/>
    </row>
    <row r="49777">
      <c r="B49777" s="17" t="s">
        <v>477</v>
      </c>
      <c r="K49777" s="18"/>
    </row>
    <row r="49778">
      <c r="B49778" s="17" t="s">
        <v>477</v>
      </c>
      <c r="K49778" s="18"/>
    </row>
    <row r="49779">
      <c r="B49779" s="17" t="s">
        <v>477</v>
      </c>
      <c r="K49779" s="18"/>
    </row>
    <row r="49780">
      <c r="B49780" s="17" t="s">
        <v>477</v>
      </c>
      <c r="K49780" s="18"/>
    </row>
    <row r="49781">
      <c r="B49781" s="17" t="s">
        <v>477</v>
      </c>
      <c r="K49781" s="18"/>
    </row>
    <row r="49782">
      <c r="B49782" s="17" t="s">
        <v>477</v>
      </c>
      <c r="K49782" s="18"/>
    </row>
    <row r="49783">
      <c r="B49783" s="17" t="s">
        <v>477</v>
      </c>
      <c r="K49783" s="18"/>
    </row>
    <row r="49784">
      <c r="B49784" s="17" t="s">
        <v>477</v>
      </c>
      <c r="K49784" s="18"/>
    </row>
    <row r="49785">
      <c r="B49785" s="17" t="s">
        <v>477</v>
      </c>
      <c r="K49785" s="18"/>
    </row>
    <row r="49786">
      <c r="B49786" s="17" t="s">
        <v>477</v>
      </c>
      <c r="K49786" s="18"/>
    </row>
    <row r="49787">
      <c r="B49787" s="17" t="s">
        <v>477</v>
      </c>
      <c r="K49787" s="18"/>
    </row>
    <row r="49788">
      <c r="B49788" s="17" t="s">
        <v>477</v>
      </c>
      <c r="K49788" s="18"/>
    </row>
    <row r="49789">
      <c r="B49789" s="17" t="s">
        <v>477</v>
      </c>
      <c r="K49789" s="18"/>
    </row>
    <row r="49790">
      <c r="B49790" s="17" t="s">
        <v>477</v>
      </c>
      <c r="K49790" s="18"/>
    </row>
    <row r="49791">
      <c r="B49791" s="17" t="s">
        <v>477</v>
      </c>
      <c r="K49791" s="18"/>
    </row>
    <row r="49792">
      <c r="B49792" s="17" t="s">
        <v>477</v>
      </c>
      <c r="K49792" s="18"/>
    </row>
    <row r="49793">
      <c r="B49793" s="17" t="s">
        <v>477</v>
      </c>
      <c r="K49793" s="18"/>
    </row>
    <row r="49794">
      <c r="B49794" s="17" t="s">
        <v>477</v>
      </c>
      <c r="K49794" s="18"/>
    </row>
    <row r="49795">
      <c r="B49795" s="17" t="s">
        <v>477</v>
      </c>
      <c r="K49795" s="18"/>
    </row>
    <row r="49796">
      <c r="B49796" s="17" t="s">
        <v>477</v>
      </c>
      <c r="K49796" s="18"/>
    </row>
    <row r="49797">
      <c r="B49797" s="17" t="s">
        <v>477</v>
      </c>
      <c r="K49797" s="18"/>
    </row>
    <row r="49798">
      <c r="B49798" s="17" t="s">
        <v>477</v>
      </c>
      <c r="K49798" s="18"/>
    </row>
    <row r="49799">
      <c r="B49799" s="17" t="s">
        <v>477</v>
      </c>
      <c r="K49799" s="18"/>
    </row>
    <row r="49800">
      <c r="B49800" s="17" t="s">
        <v>477</v>
      </c>
      <c r="K49800" s="18"/>
    </row>
    <row r="49801">
      <c r="B49801" s="17" t="s">
        <v>477</v>
      </c>
      <c r="K49801" s="18"/>
    </row>
    <row r="49802">
      <c r="B49802" s="17" t="s">
        <v>477</v>
      </c>
      <c r="K49802" s="18"/>
    </row>
    <row r="49803">
      <c r="B49803" s="17" t="s">
        <v>477</v>
      </c>
      <c r="K49803" s="18"/>
    </row>
    <row r="49804">
      <c r="B49804" s="17" t="s">
        <v>477</v>
      </c>
      <c r="K49804" s="18"/>
    </row>
    <row r="49805">
      <c r="B49805" s="17" t="s">
        <v>477</v>
      </c>
      <c r="K49805" s="18"/>
    </row>
    <row r="49806">
      <c r="B49806" s="17" t="s">
        <v>477</v>
      </c>
      <c r="K49806" s="18"/>
    </row>
    <row r="49807">
      <c r="B49807" s="17" t="s">
        <v>477</v>
      </c>
      <c r="K49807" s="18"/>
    </row>
    <row r="49808">
      <c r="B49808" s="17" t="s">
        <v>477</v>
      </c>
      <c r="K49808" s="18"/>
    </row>
    <row r="49809">
      <c r="B49809" s="17" t="s">
        <v>477</v>
      </c>
      <c r="K49809" s="18"/>
    </row>
    <row r="49810">
      <c r="B49810" s="17" t="s">
        <v>477</v>
      </c>
      <c r="K49810" s="18"/>
    </row>
    <row r="49811">
      <c r="B49811" s="17" t="s">
        <v>477</v>
      </c>
      <c r="K49811" s="18"/>
    </row>
    <row r="49812">
      <c r="B49812" s="17" t="s">
        <v>477</v>
      </c>
      <c r="K49812" s="18"/>
    </row>
    <row r="49813">
      <c r="B49813" s="17" t="s">
        <v>477</v>
      </c>
      <c r="K49813" s="18"/>
    </row>
    <row r="49814">
      <c r="B49814" s="17" t="s">
        <v>477</v>
      </c>
      <c r="K49814" s="18"/>
    </row>
    <row r="49815">
      <c r="B49815" s="17" t="s">
        <v>477</v>
      </c>
      <c r="K49815" s="18"/>
    </row>
    <row r="49816">
      <c r="B49816" s="17" t="s">
        <v>477</v>
      </c>
      <c r="K49816" s="18"/>
    </row>
    <row r="49817">
      <c r="B49817" s="17" t="s">
        <v>477</v>
      </c>
      <c r="K49817" s="18"/>
    </row>
    <row r="49818">
      <c r="B49818" s="17" t="s">
        <v>477</v>
      </c>
      <c r="K49818" s="18"/>
    </row>
    <row r="49819">
      <c r="B49819" s="17" t="s">
        <v>477</v>
      </c>
      <c r="K49819" s="18"/>
    </row>
    <row r="49820">
      <c r="B49820" s="17" t="s">
        <v>477</v>
      </c>
      <c r="K49820" s="18"/>
    </row>
    <row r="49821">
      <c r="B49821" s="17" t="s">
        <v>477</v>
      </c>
      <c r="K49821" s="18"/>
    </row>
    <row r="49822">
      <c r="B49822" s="17" t="s">
        <v>477</v>
      </c>
      <c r="K49822" s="18"/>
    </row>
    <row r="49823">
      <c r="B49823" s="17" t="s">
        <v>477</v>
      </c>
      <c r="K49823" s="18"/>
    </row>
    <row r="49824">
      <c r="B49824" s="17" t="s">
        <v>477</v>
      </c>
      <c r="K49824" s="18"/>
    </row>
    <row r="49825">
      <c r="B49825" s="17" t="s">
        <v>477</v>
      </c>
      <c r="K49825" s="18"/>
    </row>
    <row r="49826">
      <c r="B49826" s="17" t="s">
        <v>477</v>
      </c>
      <c r="K49826" s="18"/>
    </row>
    <row r="49827">
      <c r="B49827" s="17" t="s">
        <v>477</v>
      </c>
      <c r="K49827" s="18"/>
    </row>
    <row r="49828">
      <c r="B49828" s="17" t="s">
        <v>477</v>
      </c>
      <c r="K49828" s="18"/>
    </row>
    <row r="49829">
      <c r="B49829" s="17" t="s">
        <v>477</v>
      </c>
      <c r="K49829" s="18"/>
    </row>
    <row r="49830">
      <c r="B49830" s="17" t="s">
        <v>477</v>
      </c>
      <c r="K49830" s="18"/>
    </row>
    <row r="49831">
      <c r="B49831" s="17" t="s">
        <v>477</v>
      </c>
      <c r="K49831" s="18"/>
    </row>
    <row r="49832">
      <c r="B49832" s="17" t="s">
        <v>477</v>
      </c>
      <c r="K49832" s="18"/>
    </row>
    <row r="49833">
      <c r="B49833" s="17" t="s">
        <v>477</v>
      </c>
      <c r="K49833" s="18"/>
    </row>
    <row r="49834">
      <c r="B49834" s="17" t="s">
        <v>477</v>
      </c>
      <c r="K49834" s="18"/>
    </row>
    <row r="49835">
      <c r="B49835" s="17" t="s">
        <v>477</v>
      </c>
      <c r="K49835" s="18"/>
    </row>
    <row r="49836">
      <c r="B49836" s="17" t="s">
        <v>477</v>
      </c>
      <c r="K49836" s="18"/>
    </row>
    <row r="49837">
      <c r="B49837" s="17" t="s">
        <v>477</v>
      </c>
      <c r="K49837" s="18"/>
    </row>
    <row r="49838">
      <c r="B49838" s="17" t="s">
        <v>477</v>
      </c>
      <c r="K49838" s="18"/>
    </row>
    <row r="49839">
      <c r="B49839" s="17" t="s">
        <v>477</v>
      </c>
      <c r="K49839" s="18"/>
    </row>
    <row r="49840">
      <c r="B49840" s="17" t="s">
        <v>477</v>
      </c>
      <c r="K49840" s="18"/>
    </row>
    <row r="49841">
      <c r="B49841" s="17" t="s">
        <v>477</v>
      </c>
      <c r="K49841" s="18"/>
    </row>
    <row r="49842">
      <c r="B49842" s="17" t="s">
        <v>477</v>
      </c>
      <c r="K49842" s="18"/>
    </row>
    <row r="49843">
      <c r="B49843" s="17" t="s">
        <v>477</v>
      </c>
      <c r="K49843" s="18"/>
    </row>
    <row r="49844">
      <c r="B49844" s="17" t="s">
        <v>477</v>
      </c>
      <c r="K49844" s="18"/>
    </row>
    <row r="49845">
      <c r="B49845" s="17" t="s">
        <v>477</v>
      </c>
      <c r="K49845" s="18"/>
    </row>
    <row r="49846">
      <c r="B49846" s="17" t="s">
        <v>477</v>
      </c>
      <c r="K49846" s="18"/>
    </row>
    <row r="49847">
      <c r="B49847" s="17" t="s">
        <v>477</v>
      </c>
      <c r="K49847" s="18"/>
    </row>
    <row r="49848">
      <c r="B49848" s="17" t="s">
        <v>477</v>
      </c>
      <c r="K49848" s="18"/>
    </row>
    <row r="49849">
      <c r="B49849" s="17" t="s">
        <v>477</v>
      </c>
      <c r="K49849" s="18"/>
    </row>
    <row r="49850">
      <c r="B49850" s="17" t="s">
        <v>477</v>
      </c>
      <c r="K49850" s="18"/>
    </row>
    <row r="49851">
      <c r="B49851" s="17" t="s">
        <v>477</v>
      </c>
      <c r="K49851" s="18"/>
    </row>
    <row r="49852">
      <c r="B49852" s="17" t="s">
        <v>477</v>
      </c>
      <c r="K49852" s="18"/>
    </row>
    <row r="49853">
      <c r="B49853" s="17" t="s">
        <v>477</v>
      </c>
      <c r="K49853" s="18"/>
    </row>
    <row r="49854">
      <c r="B49854" s="17" t="s">
        <v>477</v>
      </c>
      <c r="K49854" s="18"/>
    </row>
    <row r="49855">
      <c r="B49855" s="17" t="s">
        <v>477</v>
      </c>
      <c r="K49855" s="18"/>
    </row>
    <row r="49856">
      <c r="B49856" s="17" t="s">
        <v>477</v>
      </c>
      <c r="K49856" s="18"/>
    </row>
    <row r="49857">
      <c r="B49857" s="17" t="s">
        <v>477</v>
      </c>
      <c r="K49857" s="18"/>
    </row>
    <row r="49858">
      <c r="B49858" s="17" t="s">
        <v>477</v>
      </c>
      <c r="K49858" s="18"/>
    </row>
    <row r="49859">
      <c r="B49859" s="17" t="s">
        <v>477</v>
      </c>
      <c r="K49859" s="18"/>
    </row>
    <row r="49860">
      <c r="B49860" s="17" t="s">
        <v>477</v>
      </c>
      <c r="K49860" s="18"/>
    </row>
    <row r="49861">
      <c r="B49861" s="17" t="s">
        <v>477</v>
      </c>
      <c r="K49861" s="18"/>
    </row>
    <row r="49862">
      <c r="B49862" s="17" t="s">
        <v>477</v>
      </c>
      <c r="K49862" s="18"/>
    </row>
    <row r="49863">
      <c r="B49863" s="17" t="s">
        <v>477</v>
      </c>
      <c r="K49863" s="18"/>
    </row>
    <row r="49864">
      <c r="B49864" s="17" t="s">
        <v>477</v>
      </c>
      <c r="K49864" s="18"/>
    </row>
    <row r="49865">
      <c r="B49865" s="17" t="s">
        <v>477</v>
      </c>
      <c r="K49865" s="18"/>
    </row>
    <row r="49866">
      <c r="B49866" s="17" t="s">
        <v>477</v>
      </c>
      <c r="K49866" s="18"/>
    </row>
    <row r="49867">
      <c r="B49867" s="17" t="s">
        <v>477</v>
      </c>
      <c r="K49867" s="18"/>
    </row>
    <row r="49868">
      <c r="B49868" s="17" t="s">
        <v>477</v>
      </c>
      <c r="K49868" s="18"/>
    </row>
    <row r="49869">
      <c r="B49869" s="17" t="s">
        <v>477</v>
      </c>
      <c r="K49869" s="18"/>
    </row>
    <row r="49870">
      <c r="B49870" s="17" t="s">
        <v>477</v>
      </c>
      <c r="K49870" s="18"/>
    </row>
    <row r="49871">
      <c r="B49871" s="17" t="s">
        <v>477</v>
      </c>
      <c r="K49871" s="18"/>
    </row>
    <row r="49872">
      <c r="B49872" s="17" t="s">
        <v>477</v>
      </c>
      <c r="K49872" s="18"/>
    </row>
    <row r="49873">
      <c r="B49873" s="17" t="s">
        <v>477</v>
      </c>
      <c r="K49873" s="18"/>
    </row>
    <row r="49874">
      <c r="B49874" s="17" t="s">
        <v>477</v>
      </c>
      <c r="K49874" s="18"/>
    </row>
    <row r="49875">
      <c r="B49875" s="17" t="s">
        <v>477</v>
      </c>
      <c r="K49875" s="18"/>
    </row>
    <row r="49876">
      <c r="B49876" s="17" t="s">
        <v>477</v>
      </c>
      <c r="K49876" s="18"/>
    </row>
    <row r="49877">
      <c r="B49877" s="17" t="s">
        <v>477</v>
      </c>
      <c r="K49877" s="18"/>
    </row>
    <row r="49878">
      <c r="B49878" s="17" t="s">
        <v>477</v>
      </c>
      <c r="K49878" s="18"/>
    </row>
    <row r="49879">
      <c r="B49879" s="17" t="s">
        <v>477</v>
      </c>
      <c r="K49879" s="18"/>
    </row>
    <row r="49880">
      <c r="B49880" s="17" t="s">
        <v>477</v>
      </c>
      <c r="K49880" s="18"/>
    </row>
    <row r="49881">
      <c r="B49881" s="17" t="s">
        <v>477</v>
      </c>
      <c r="K49881" s="18"/>
    </row>
    <row r="49882">
      <c r="B49882" s="17" t="s">
        <v>477</v>
      </c>
      <c r="K49882" s="18"/>
    </row>
    <row r="49883">
      <c r="B49883" s="17" t="s">
        <v>477</v>
      </c>
      <c r="K49883" s="18"/>
    </row>
    <row r="49884">
      <c r="B49884" s="17" t="s">
        <v>477</v>
      </c>
      <c r="K49884" s="18"/>
    </row>
    <row r="49885">
      <c r="B49885" s="17" t="s">
        <v>477</v>
      </c>
      <c r="K49885" s="18"/>
    </row>
    <row r="49886">
      <c r="B49886" s="17" t="s">
        <v>477</v>
      </c>
      <c r="K49886" s="18"/>
    </row>
    <row r="49887">
      <c r="B49887" s="17" t="s">
        <v>477</v>
      </c>
      <c r="K49887" s="18"/>
    </row>
    <row r="49888">
      <c r="B49888" s="17" t="s">
        <v>477</v>
      </c>
      <c r="K49888" s="18"/>
    </row>
    <row r="49889">
      <c r="B49889" s="17" t="s">
        <v>477</v>
      </c>
      <c r="K49889" s="18"/>
    </row>
    <row r="49890">
      <c r="B49890" s="17" t="s">
        <v>477</v>
      </c>
      <c r="K49890" s="18"/>
    </row>
    <row r="49891">
      <c r="B49891" s="17" t="s">
        <v>477</v>
      </c>
      <c r="K49891" s="18"/>
    </row>
    <row r="49892">
      <c r="B49892" s="17" t="s">
        <v>477</v>
      </c>
      <c r="K49892" s="18"/>
    </row>
    <row r="49893">
      <c r="B49893" s="17" t="s">
        <v>477</v>
      </c>
      <c r="K49893" s="18"/>
    </row>
    <row r="49894">
      <c r="B49894" s="17" t="s">
        <v>477</v>
      </c>
      <c r="K49894" s="18"/>
    </row>
    <row r="49895">
      <c r="B49895" s="17" t="s">
        <v>477</v>
      </c>
      <c r="K49895" s="18"/>
    </row>
    <row r="49896">
      <c r="B49896" s="17" t="s">
        <v>477</v>
      </c>
      <c r="K49896" s="18"/>
    </row>
    <row r="49897">
      <c r="B49897" s="17" t="s">
        <v>477</v>
      </c>
      <c r="K49897" s="18"/>
    </row>
    <row r="49898">
      <c r="B49898" s="17" t="s">
        <v>477</v>
      </c>
      <c r="K49898" s="18"/>
    </row>
    <row r="49899">
      <c r="B49899" s="17" t="s">
        <v>477</v>
      </c>
      <c r="K49899" s="18"/>
    </row>
    <row r="49900">
      <c r="B49900" s="17" t="s">
        <v>477</v>
      </c>
      <c r="K49900" s="18"/>
    </row>
    <row r="49901">
      <c r="B49901" s="17" t="s">
        <v>477</v>
      </c>
      <c r="K49901" s="18"/>
    </row>
    <row r="49902">
      <c r="B49902" s="17" t="s">
        <v>477</v>
      </c>
      <c r="K49902" s="18"/>
    </row>
    <row r="49903">
      <c r="B49903" s="17" t="s">
        <v>477</v>
      </c>
      <c r="K49903" s="18"/>
    </row>
    <row r="49904">
      <c r="B49904" s="17" t="s">
        <v>477</v>
      </c>
      <c r="K49904" s="18"/>
    </row>
    <row r="49905">
      <c r="B49905" s="17" t="s">
        <v>477</v>
      </c>
      <c r="K49905" s="18"/>
    </row>
    <row r="49906">
      <c r="B49906" s="17" t="s">
        <v>477</v>
      </c>
      <c r="K49906" s="18"/>
    </row>
    <row r="49907">
      <c r="B49907" s="17" t="s">
        <v>477</v>
      </c>
      <c r="K49907" s="18"/>
    </row>
    <row r="49908">
      <c r="B49908" s="17" t="s">
        <v>477</v>
      </c>
      <c r="K49908" s="18"/>
    </row>
    <row r="49909">
      <c r="B49909" s="17" t="s">
        <v>477</v>
      </c>
      <c r="K49909" s="18"/>
    </row>
    <row r="49910">
      <c r="B49910" s="17" t="s">
        <v>477</v>
      </c>
      <c r="K49910" s="18"/>
    </row>
    <row r="49911">
      <c r="B49911" s="17" t="s">
        <v>477</v>
      </c>
      <c r="K49911" s="18"/>
    </row>
    <row r="49912">
      <c r="B49912" s="17" t="s">
        <v>477</v>
      </c>
      <c r="K49912" s="18"/>
    </row>
    <row r="49913">
      <c r="B49913" s="17" t="s">
        <v>477</v>
      </c>
      <c r="K49913" s="18"/>
    </row>
    <row r="49914">
      <c r="B49914" s="17" t="s">
        <v>477</v>
      </c>
      <c r="K49914" s="18"/>
    </row>
    <row r="49915">
      <c r="B49915" s="17" t="s">
        <v>477</v>
      </c>
      <c r="K49915" s="18"/>
    </row>
    <row r="49916">
      <c r="B49916" s="17" t="s">
        <v>477</v>
      </c>
      <c r="K49916" s="18"/>
    </row>
    <row r="49917">
      <c r="B49917" s="17" t="s">
        <v>477</v>
      </c>
      <c r="K49917" s="18"/>
    </row>
    <row r="49918">
      <c r="B49918" s="17" t="s">
        <v>477</v>
      </c>
      <c r="K49918" s="18"/>
    </row>
    <row r="49919">
      <c r="B49919" s="17" t="s">
        <v>477</v>
      </c>
      <c r="K49919" s="18"/>
    </row>
    <row r="49920">
      <c r="B49920" s="17" t="s">
        <v>477</v>
      </c>
      <c r="K49920" s="18"/>
    </row>
    <row r="49921">
      <c r="B49921" s="17" t="s">
        <v>477</v>
      </c>
      <c r="K49921" s="18"/>
    </row>
    <row r="49922">
      <c r="B49922" s="17" t="s">
        <v>477</v>
      </c>
      <c r="K49922" s="18"/>
    </row>
    <row r="49923">
      <c r="B49923" s="17" t="s">
        <v>477</v>
      </c>
      <c r="K49923" s="18"/>
    </row>
    <row r="49924">
      <c r="B49924" s="17" t="s">
        <v>477</v>
      </c>
      <c r="K49924" s="18"/>
    </row>
    <row r="49925">
      <c r="B49925" s="17" t="s">
        <v>477</v>
      </c>
      <c r="K49925" s="18"/>
    </row>
    <row r="49926">
      <c r="B49926" s="17" t="s">
        <v>477</v>
      </c>
      <c r="K49926" s="18"/>
    </row>
    <row r="49927">
      <c r="B49927" s="17" t="s">
        <v>477</v>
      </c>
      <c r="K49927" s="18"/>
    </row>
    <row r="49928">
      <c r="B49928" s="17" t="s">
        <v>477</v>
      </c>
      <c r="K49928" s="18"/>
    </row>
    <row r="49929">
      <c r="B49929" s="17" t="s">
        <v>477</v>
      </c>
      <c r="K49929" s="18"/>
    </row>
    <row r="49930">
      <c r="B49930" s="17" t="s">
        <v>477</v>
      </c>
      <c r="K49930" s="18"/>
    </row>
    <row r="49931">
      <c r="B49931" s="17" t="s">
        <v>477</v>
      </c>
      <c r="K49931" s="18"/>
    </row>
    <row r="49932">
      <c r="B49932" s="17" t="s">
        <v>477</v>
      </c>
      <c r="K49932" s="18"/>
    </row>
    <row r="49933">
      <c r="B49933" s="17" t="s">
        <v>477</v>
      </c>
      <c r="K49933" s="18"/>
    </row>
    <row r="49934">
      <c r="B49934" s="17" t="s">
        <v>477</v>
      </c>
      <c r="K49934" s="18"/>
    </row>
    <row r="49935">
      <c r="B49935" s="17" t="s">
        <v>477</v>
      </c>
      <c r="K49935" s="18"/>
    </row>
    <row r="49936">
      <c r="B49936" s="17" t="s">
        <v>477</v>
      </c>
      <c r="K49936" s="18"/>
    </row>
    <row r="49937">
      <c r="B49937" s="17" t="s">
        <v>477</v>
      </c>
      <c r="K49937" s="18"/>
    </row>
    <row r="49938">
      <c r="B49938" s="17" t="s">
        <v>477</v>
      </c>
      <c r="K49938" s="18"/>
    </row>
    <row r="49939">
      <c r="B49939" s="17" t="s">
        <v>477</v>
      </c>
      <c r="K49939" s="18"/>
    </row>
    <row r="49940">
      <c r="B49940" s="17" t="s">
        <v>477</v>
      </c>
      <c r="K49940" s="18"/>
    </row>
    <row r="49941">
      <c r="B49941" s="17" t="s">
        <v>477</v>
      </c>
      <c r="K49941" s="18"/>
    </row>
    <row r="49942">
      <c r="B49942" s="17" t="s">
        <v>477</v>
      </c>
      <c r="K49942" s="18"/>
    </row>
    <row r="49943">
      <c r="B49943" s="17" t="s">
        <v>477</v>
      </c>
      <c r="K49943" s="18"/>
    </row>
    <row r="49944">
      <c r="B49944" s="17" t="s">
        <v>477</v>
      </c>
      <c r="K49944" s="18"/>
    </row>
    <row r="49945">
      <c r="B49945" s="17" t="s">
        <v>477</v>
      </c>
      <c r="K49945" s="18"/>
    </row>
    <row r="49946">
      <c r="B49946" s="17" t="s">
        <v>477</v>
      </c>
      <c r="K49946" s="18"/>
    </row>
    <row r="49947">
      <c r="B49947" s="17" t="s">
        <v>477</v>
      </c>
      <c r="K49947" s="18"/>
    </row>
    <row r="49948">
      <c r="B49948" s="17" t="s">
        <v>477</v>
      </c>
      <c r="K49948" s="18"/>
    </row>
    <row r="49949">
      <c r="B49949" s="17" t="s">
        <v>477</v>
      </c>
      <c r="K49949" s="18"/>
    </row>
    <row r="49950">
      <c r="B49950" s="17" t="s">
        <v>477</v>
      </c>
      <c r="K49950" s="18"/>
    </row>
    <row r="49951">
      <c r="B49951" s="17" t="s">
        <v>477</v>
      </c>
      <c r="K49951" s="18"/>
    </row>
    <row r="49952">
      <c r="B49952" s="17" t="s">
        <v>477</v>
      </c>
      <c r="K49952" s="18"/>
    </row>
    <row r="49953">
      <c r="B49953" s="17" t="s">
        <v>477</v>
      </c>
      <c r="K49953" s="18"/>
    </row>
    <row r="49954">
      <c r="B49954" s="17" t="s">
        <v>477</v>
      </c>
      <c r="K49954" s="18"/>
    </row>
    <row r="49955">
      <c r="B49955" s="17" t="s">
        <v>477</v>
      </c>
      <c r="K49955" s="18"/>
    </row>
    <row r="49956">
      <c r="B49956" s="17" t="s">
        <v>477</v>
      </c>
      <c r="K49956" s="18"/>
    </row>
    <row r="49957">
      <c r="B49957" s="17" t="s">
        <v>477</v>
      </c>
      <c r="K49957" s="18"/>
    </row>
    <row r="49958">
      <c r="B49958" s="17" t="s">
        <v>477</v>
      </c>
      <c r="K49958" s="18"/>
    </row>
    <row r="49959">
      <c r="B49959" s="17" t="s">
        <v>477</v>
      </c>
      <c r="K49959" s="18"/>
    </row>
    <row r="49960">
      <c r="B49960" s="17" t="s">
        <v>477</v>
      </c>
      <c r="K49960" s="18"/>
    </row>
    <row r="49961">
      <c r="B49961" s="17" t="s">
        <v>477</v>
      </c>
      <c r="K49961" s="18"/>
    </row>
    <row r="49962">
      <c r="B49962" s="17" t="s">
        <v>477</v>
      </c>
      <c r="K49962" s="18"/>
    </row>
    <row r="49963">
      <c r="B49963" s="17" t="s">
        <v>477</v>
      </c>
      <c r="K49963" s="18"/>
    </row>
    <row r="49964">
      <c r="B49964" s="17" t="s">
        <v>477</v>
      </c>
      <c r="K49964" s="18"/>
    </row>
    <row r="49965">
      <c r="B49965" s="17" t="s">
        <v>477</v>
      </c>
      <c r="K49965" s="18"/>
    </row>
    <row r="49966">
      <c r="B49966" s="17" t="s">
        <v>477</v>
      </c>
      <c r="K49966" s="18"/>
    </row>
    <row r="49967">
      <c r="B49967" s="17" t="s">
        <v>477</v>
      </c>
      <c r="K49967" s="18"/>
    </row>
    <row r="49968">
      <c r="B49968" s="17" t="s">
        <v>477</v>
      </c>
      <c r="K49968" s="18"/>
    </row>
    <row r="49969">
      <c r="B49969" s="17" t="s">
        <v>477</v>
      </c>
      <c r="K49969" s="18"/>
    </row>
    <row r="49970">
      <c r="B49970" s="17" t="s">
        <v>477</v>
      </c>
      <c r="K49970" s="18"/>
    </row>
    <row r="49971">
      <c r="B49971" s="17" t="s">
        <v>477</v>
      </c>
      <c r="K49971" s="18"/>
    </row>
    <row r="49972">
      <c r="B49972" s="17" t="s">
        <v>477</v>
      </c>
      <c r="K49972" s="18"/>
    </row>
    <row r="49973">
      <c r="B49973" s="17" t="s">
        <v>477</v>
      </c>
      <c r="K49973" s="18"/>
    </row>
    <row r="49974">
      <c r="B49974" s="17" t="s">
        <v>477</v>
      </c>
      <c r="K49974" s="18"/>
    </row>
    <row r="49975">
      <c r="B49975" s="17" t="s">
        <v>477</v>
      </c>
      <c r="K49975" s="18"/>
    </row>
    <row r="49976">
      <c r="B49976" s="17" t="s">
        <v>477</v>
      </c>
      <c r="K49976" s="18"/>
    </row>
    <row r="49977">
      <c r="B49977" s="17" t="s">
        <v>477</v>
      </c>
      <c r="K49977" s="18"/>
    </row>
    <row r="49978">
      <c r="B49978" s="17" t="s">
        <v>477</v>
      </c>
      <c r="K49978" s="18"/>
    </row>
    <row r="49979">
      <c r="B49979" s="17" t="s">
        <v>477</v>
      </c>
      <c r="K49979" s="18"/>
    </row>
    <row r="49980">
      <c r="B49980" s="17" t="s">
        <v>477</v>
      </c>
      <c r="K49980" s="18"/>
    </row>
    <row r="49981">
      <c r="B49981" s="17" t="s">
        <v>477</v>
      </c>
      <c r="K49981" s="18"/>
    </row>
    <row r="49982">
      <c r="B49982" s="17" t="s">
        <v>477</v>
      </c>
      <c r="K49982" s="18"/>
    </row>
    <row r="49983">
      <c r="B49983" s="17" t="s">
        <v>477</v>
      </c>
      <c r="K49983" s="18"/>
    </row>
    <row r="49984">
      <c r="B49984" s="17" t="s">
        <v>477</v>
      </c>
      <c r="K49984" s="18"/>
    </row>
    <row r="49985">
      <c r="B49985" s="17" t="s">
        <v>477</v>
      </c>
      <c r="K49985" s="18"/>
    </row>
    <row r="49986">
      <c r="B49986" s="17" t="s">
        <v>477</v>
      </c>
      <c r="K49986" s="18"/>
    </row>
    <row r="49987">
      <c r="B49987" s="17" t="s">
        <v>477</v>
      </c>
      <c r="K49987" s="18"/>
    </row>
    <row r="49988">
      <c r="B49988" s="17" t="s">
        <v>477</v>
      </c>
      <c r="K49988" s="18"/>
    </row>
    <row r="49989">
      <c r="B49989" s="17" t="s">
        <v>477</v>
      </c>
      <c r="K49989" s="18"/>
    </row>
    <row r="49990">
      <c r="B49990" s="17" t="s">
        <v>477</v>
      </c>
      <c r="K49990" s="18"/>
    </row>
    <row r="49991">
      <c r="B49991" s="17" t="s">
        <v>477</v>
      </c>
      <c r="K49991" s="18"/>
    </row>
    <row r="49992">
      <c r="B49992" s="17" t="s">
        <v>477</v>
      </c>
      <c r="K49992" s="18"/>
    </row>
    <row r="49993">
      <c r="B49993" s="17" t="s">
        <v>477</v>
      </c>
      <c r="K49993" s="18"/>
    </row>
    <row r="49994">
      <c r="B49994" s="17" t="s">
        <v>477</v>
      </c>
      <c r="K49994" s="18"/>
    </row>
    <row r="49995">
      <c r="B49995" s="17" t="s">
        <v>477</v>
      </c>
      <c r="K49995" s="18"/>
    </row>
    <row r="49996">
      <c r="B49996" s="17" t="s">
        <v>477</v>
      </c>
      <c r="K49996" s="18"/>
    </row>
    <row r="49997">
      <c r="B49997" s="17" t="s">
        <v>477</v>
      </c>
      <c r="K49997" s="18"/>
    </row>
    <row r="49998">
      <c r="B49998" s="17" t="s">
        <v>477</v>
      </c>
      <c r="K49998" s="18"/>
    </row>
    <row r="49999">
      <c r="B49999" s="17" t="s">
        <v>477</v>
      </c>
      <c r="K49999" s="18"/>
    </row>
    <row r="50000">
      <c r="B50000" s="17" t="s">
        <v>477</v>
      </c>
      <c r="K50000" s="18"/>
    </row>
    <row r="50001">
      <c r="B50001" s="17" t="s">
        <v>477</v>
      </c>
      <c r="K50001" s="18"/>
    </row>
    <row r="50002">
      <c r="B50002" s="17" t="s">
        <v>477</v>
      </c>
      <c r="K50002" s="18"/>
    </row>
    <row r="50003">
      <c r="B50003" s="17" t="s">
        <v>477</v>
      </c>
      <c r="K50003" s="18"/>
    </row>
    <row r="50004">
      <c r="B50004" s="17" t="s">
        <v>477</v>
      </c>
      <c r="K50004" s="18"/>
    </row>
    <row r="50005">
      <c r="B50005" s="17" t="s">
        <v>477</v>
      </c>
      <c r="K50005" s="18"/>
    </row>
    <row r="50006">
      <c r="B50006" s="17" t="s">
        <v>477</v>
      </c>
      <c r="K50006" s="18"/>
    </row>
    <row r="50007">
      <c r="B50007" s="17" t="s">
        <v>477</v>
      </c>
      <c r="K50007" s="18"/>
    </row>
    <row r="50008">
      <c r="B50008" s="17" t="s">
        <v>477</v>
      </c>
      <c r="K50008" s="18"/>
    </row>
    <row r="50009">
      <c r="B50009" s="17" t="s">
        <v>477</v>
      </c>
      <c r="K50009" s="18"/>
    </row>
    <row r="50010">
      <c r="B50010" s="17" t="s">
        <v>477</v>
      </c>
      <c r="K50010" s="18"/>
    </row>
    <row r="50011">
      <c r="B50011" s="17" t="s">
        <v>477</v>
      </c>
      <c r="K50011" s="18"/>
    </row>
    <row r="50012">
      <c r="B50012" s="17" t="s">
        <v>477</v>
      </c>
      <c r="K50012" s="18"/>
    </row>
    <row r="50013">
      <c r="B50013" s="17" t="s">
        <v>477</v>
      </c>
      <c r="K50013" s="18"/>
    </row>
    <row r="50014">
      <c r="B50014" s="17" t="s">
        <v>477</v>
      </c>
      <c r="K50014" s="18"/>
    </row>
    <row r="50015">
      <c r="B50015" s="17" t="s">
        <v>477</v>
      </c>
      <c r="K50015" s="18"/>
    </row>
    <row r="50016">
      <c r="B50016" s="17" t="s">
        <v>477</v>
      </c>
      <c r="K50016" s="18"/>
    </row>
    <row r="50017">
      <c r="B50017" s="17" t="s">
        <v>477</v>
      </c>
      <c r="K50017" s="18"/>
    </row>
    <row r="50018">
      <c r="B50018" s="17" t="s">
        <v>477</v>
      </c>
      <c r="K50018" s="18"/>
    </row>
    <row r="50019">
      <c r="B50019" s="17" t="s">
        <v>477</v>
      </c>
      <c r="K50019" s="18"/>
    </row>
    <row r="50020">
      <c r="B50020" s="17" t="s">
        <v>477</v>
      </c>
      <c r="K50020" s="18"/>
    </row>
    <row r="50021">
      <c r="B50021" s="17" t="s">
        <v>477</v>
      </c>
      <c r="K50021" s="18"/>
    </row>
    <row r="50022">
      <c r="B50022" s="17" t="s">
        <v>477</v>
      </c>
      <c r="K50022" s="18"/>
    </row>
    <row r="50023">
      <c r="B50023" s="17" t="s">
        <v>477</v>
      </c>
      <c r="K50023" s="18"/>
    </row>
    <row r="50024">
      <c r="B50024" s="17" t="s">
        <v>477</v>
      </c>
      <c r="K50024" s="18"/>
    </row>
    <row r="50025">
      <c r="B50025" s="17" t="s">
        <v>477</v>
      </c>
      <c r="K50025" s="18"/>
    </row>
    <row r="50026">
      <c r="B50026" s="17" t="s">
        <v>477</v>
      </c>
      <c r="K50026" s="18"/>
    </row>
    <row r="50027">
      <c r="B50027" s="17" t="s">
        <v>477</v>
      </c>
      <c r="K50027" s="18"/>
    </row>
    <row r="50028">
      <c r="B50028" s="17" t="s">
        <v>477</v>
      </c>
      <c r="K50028" s="18"/>
    </row>
    <row r="50029">
      <c r="B50029" s="17" t="s">
        <v>477</v>
      </c>
      <c r="K50029" s="18"/>
    </row>
    <row r="50030">
      <c r="B50030" s="17" t="s">
        <v>477</v>
      </c>
      <c r="K50030" s="18"/>
    </row>
    <row r="50031">
      <c r="B50031" s="17" t="s">
        <v>477</v>
      </c>
      <c r="K50031" s="18"/>
    </row>
    <row r="50032">
      <c r="B50032" s="17" t="s">
        <v>477</v>
      </c>
      <c r="K50032" s="18"/>
    </row>
    <row r="50033">
      <c r="B50033" s="17" t="s">
        <v>477</v>
      </c>
      <c r="K50033" s="18"/>
    </row>
    <row r="50034">
      <c r="B50034" s="17" t="s">
        <v>477</v>
      </c>
      <c r="K50034" s="18"/>
    </row>
    <row r="50035">
      <c r="B50035" s="17" t="s">
        <v>477</v>
      </c>
      <c r="K50035" s="18"/>
    </row>
    <row r="50036">
      <c r="B50036" s="17" t="s">
        <v>477</v>
      </c>
      <c r="K50036" s="18"/>
    </row>
    <row r="50037">
      <c r="B50037" s="17" t="s">
        <v>477</v>
      </c>
      <c r="K50037" s="18"/>
    </row>
    <row r="50038">
      <c r="B50038" s="17" t="s">
        <v>477</v>
      </c>
      <c r="K50038" s="18"/>
    </row>
    <row r="50039">
      <c r="B50039" s="17" t="s">
        <v>477</v>
      </c>
      <c r="K50039" s="18"/>
    </row>
    <row r="50040">
      <c r="B50040" s="17" t="s">
        <v>477</v>
      </c>
      <c r="K50040" s="18"/>
    </row>
    <row r="50041">
      <c r="B50041" s="17" t="s">
        <v>477</v>
      </c>
      <c r="K50041" s="18"/>
    </row>
    <row r="50042">
      <c r="B50042" s="17" t="s">
        <v>477</v>
      </c>
      <c r="K50042" s="18"/>
    </row>
    <row r="50043">
      <c r="B50043" s="17" t="s">
        <v>477</v>
      </c>
      <c r="K50043" s="18"/>
    </row>
    <row r="50044">
      <c r="B50044" s="17" t="s">
        <v>477</v>
      </c>
      <c r="K50044" s="18"/>
    </row>
    <row r="50045">
      <c r="B50045" s="17" t="s">
        <v>477</v>
      </c>
      <c r="K50045" s="18"/>
    </row>
    <row r="50046">
      <c r="B50046" s="17" t="s">
        <v>477</v>
      </c>
      <c r="K50046" s="18"/>
    </row>
    <row r="50047">
      <c r="B50047" s="17" t="s">
        <v>477</v>
      </c>
      <c r="K50047" s="18"/>
    </row>
    <row r="50048">
      <c r="B50048" s="17" t="s">
        <v>477</v>
      </c>
      <c r="K50048" s="18"/>
    </row>
    <row r="50049">
      <c r="B50049" s="17" t="s">
        <v>477</v>
      </c>
      <c r="K50049" s="18"/>
    </row>
    <row r="50050">
      <c r="B50050" s="17" t="s">
        <v>477</v>
      </c>
      <c r="K50050" s="18"/>
    </row>
    <row r="50051">
      <c r="B50051" s="17" t="s">
        <v>477</v>
      </c>
      <c r="K50051" s="18"/>
    </row>
    <row r="50052">
      <c r="B50052" s="17" t="s">
        <v>477</v>
      </c>
      <c r="K50052" s="18"/>
    </row>
    <row r="50053">
      <c r="B50053" s="17" t="s">
        <v>477</v>
      </c>
      <c r="K50053" s="18"/>
    </row>
    <row r="50054">
      <c r="B50054" s="17" t="s">
        <v>477</v>
      </c>
      <c r="K50054" s="18"/>
    </row>
    <row r="50055">
      <c r="B50055" s="17" t="s">
        <v>477</v>
      </c>
      <c r="K50055" s="18"/>
    </row>
    <row r="50056">
      <c r="B50056" s="17" t="s">
        <v>477</v>
      </c>
      <c r="K50056" s="18"/>
    </row>
    <row r="50057">
      <c r="B50057" s="17" t="s">
        <v>477</v>
      </c>
      <c r="K50057" s="18"/>
    </row>
    <row r="50058">
      <c r="B50058" s="17" t="s">
        <v>477</v>
      </c>
      <c r="K50058" s="18"/>
    </row>
    <row r="50059">
      <c r="B50059" s="17" t="s">
        <v>477</v>
      </c>
      <c r="K50059" s="18"/>
    </row>
    <row r="50060">
      <c r="B50060" s="17" t="s">
        <v>477</v>
      </c>
      <c r="K50060" s="18"/>
    </row>
    <row r="50061">
      <c r="B50061" s="17" t="s">
        <v>477</v>
      </c>
      <c r="K50061" s="18"/>
    </row>
    <row r="50062">
      <c r="B50062" s="17" t="s">
        <v>477</v>
      </c>
      <c r="K50062" s="18"/>
    </row>
    <row r="50063">
      <c r="B50063" s="17" t="s">
        <v>477</v>
      </c>
      <c r="K50063" s="18"/>
    </row>
    <row r="50064">
      <c r="B50064" s="17" t="s">
        <v>477</v>
      </c>
      <c r="K50064" s="18"/>
    </row>
    <row r="50065">
      <c r="B50065" s="17" t="s">
        <v>477</v>
      </c>
      <c r="K50065" s="18"/>
    </row>
    <row r="50066">
      <c r="B50066" s="17" t="s">
        <v>477</v>
      </c>
      <c r="K50066" s="18"/>
    </row>
    <row r="50067">
      <c r="B50067" s="17" t="s">
        <v>477</v>
      </c>
      <c r="K50067" s="18"/>
    </row>
    <row r="50068">
      <c r="B50068" s="17" t="s">
        <v>477</v>
      </c>
      <c r="K50068" s="18"/>
    </row>
    <row r="50069">
      <c r="B50069" s="17" t="s">
        <v>477</v>
      </c>
      <c r="K50069" s="18"/>
    </row>
    <row r="50070">
      <c r="B50070" s="17" t="s">
        <v>477</v>
      </c>
      <c r="K50070" s="18"/>
    </row>
    <row r="50071">
      <c r="B50071" s="17" t="s">
        <v>477</v>
      </c>
      <c r="K50071" s="18"/>
    </row>
    <row r="50072">
      <c r="B50072" s="17" t="s">
        <v>477</v>
      </c>
      <c r="K50072" s="18"/>
    </row>
    <row r="50073">
      <c r="B50073" s="17" t="s">
        <v>477</v>
      </c>
      <c r="K50073" s="18"/>
    </row>
    <row r="50074">
      <c r="B50074" s="17" t="s">
        <v>477</v>
      </c>
      <c r="K50074" s="18"/>
    </row>
    <row r="50075">
      <c r="B50075" s="17" t="s">
        <v>477</v>
      </c>
      <c r="K50075" s="18"/>
    </row>
    <row r="50076">
      <c r="B50076" s="17" t="s">
        <v>477</v>
      </c>
      <c r="K50076" s="18"/>
    </row>
    <row r="50077">
      <c r="B50077" s="17" t="s">
        <v>477</v>
      </c>
      <c r="K50077" s="18"/>
    </row>
    <row r="50078">
      <c r="B50078" s="17" t="s">
        <v>477</v>
      </c>
      <c r="K50078" s="18"/>
    </row>
    <row r="50079">
      <c r="B50079" s="17" t="s">
        <v>477</v>
      </c>
      <c r="K50079" s="18"/>
    </row>
    <row r="50080">
      <c r="B50080" s="17" t="s">
        <v>477</v>
      </c>
      <c r="K50080" s="18"/>
    </row>
    <row r="50081">
      <c r="B50081" s="17" t="s">
        <v>477</v>
      </c>
      <c r="K50081" s="18"/>
    </row>
    <row r="50082">
      <c r="B50082" s="17" t="s">
        <v>477</v>
      </c>
      <c r="K50082" s="18"/>
    </row>
    <row r="50083">
      <c r="B50083" s="17" t="s">
        <v>477</v>
      </c>
      <c r="K50083" s="18"/>
    </row>
    <row r="50084">
      <c r="B50084" s="17" t="s">
        <v>477</v>
      </c>
      <c r="K50084" s="18"/>
    </row>
    <row r="50085">
      <c r="B50085" s="17" t="s">
        <v>477</v>
      </c>
      <c r="K50085" s="18"/>
    </row>
    <row r="50086">
      <c r="B50086" s="17" t="s">
        <v>477</v>
      </c>
      <c r="K50086" s="18"/>
    </row>
    <row r="50087">
      <c r="B50087" s="17" t="s">
        <v>477</v>
      </c>
      <c r="K50087" s="18"/>
    </row>
    <row r="50088">
      <c r="B50088" s="17" t="s">
        <v>477</v>
      </c>
      <c r="K50088" s="18"/>
    </row>
    <row r="50089">
      <c r="B50089" s="17" t="s">
        <v>477</v>
      </c>
      <c r="K50089" s="18"/>
    </row>
    <row r="50090">
      <c r="B50090" s="17" t="s">
        <v>477</v>
      </c>
      <c r="K50090" s="18"/>
    </row>
    <row r="50091">
      <c r="B50091" s="17" t="s">
        <v>477</v>
      </c>
      <c r="K50091" s="18"/>
    </row>
    <row r="50092">
      <c r="B50092" s="17" t="s">
        <v>477</v>
      </c>
      <c r="K50092" s="18"/>
    </row>
    <row r="50093">
      <c r="B50093" s="17" t="s">
        <v>477</v>
      </c>
      <c r="K50093" s="18"/>
    </row>
    <row r="50094">
      <c r="B50094" s="17" t="s">
        <v>477</v>
      </c>
      <c r="K50094" s="18"/>
    </row>
    <row r="50095">
      <c r="B50095" s="17" t="s">
        <v>477</v>
      </c>
      <c r="K50095" s="18"/>
    </row>
    <row r="50096">
      <c r="B50096" s="17" t="s">
        <v>477</v>
      </c>
      <c r="K50096" s="18"/>
    </row>
    <row r="50097">
      <c r="B50097" s="17" t="s">
        <v>477</v>
      </c>
      <c r="K50097" s="18"/>
    </row>
    <row r="50098">
      <c r="B50098" s="17" t="s">
        <v>477</v>
      </c>
      <c r="K50098" s="18"/>
    </row>
    <row r="50099">
      <c r="B50099" s="17" t="s">
        <v>477</v>
      </c>
      <c r="K50099" s="18"/>
    </row>
    <row r="50100">
      <c r="B50100" s="17" t="s">
        <v>477</v>
      </c>
      <c r="K50100" s="18"/>
    </row>
    <row r="50101">
      <c r="B50101" s="17" t="s">
        <v>477</v>
      </c>
      <c r="K50101" s="18"/>
    </row>
    <row r="50102">
      <c r="B50102" s="17" t="s">
        <v>477</v>
      </c>
      <c r="K50102" s="18"/>
    </row>
    <row r="50103">
      <c r="B50103" s="17" t="s">
        <v>477</v>
      </c>
      <c r="K50103" s="18"/>
    </row>
    <row r="50104">
      <c r="B50104" s="17" t="s">
        <v>477</v>
      </c>
      <c r="K50104" s="18"/>
    </row>
    <row r="50105">
      <c r="B50105" s="17" t="s">
        <v>477</v>
      </c>
      <c r="K50105" s="18"/>
    </row>
    <row r="50106">
      <c r="B50106" s="17" t="s">
        <v>477</v>
      </c>
      <c r="K50106" s="18"/>
    </row>
    <row r="50107">
      <c r="B50107" s="17" t="s">
        <v>477</v>
      </c>
      <c r="K50107" s="18"/>
    </row>
    <row r="50108">
      <c r="B50108" s="17" t="s">
        <v>477</v>
      </c>
      <c r="K50108" s="18"/>
    </row>
    <row r="50109">
      <c r="B50109" s="17" t="s">
        <v>477</v>
      </c>
      <c r="K50109" s="18"/>
    </row>
    <row r="50110">
      <c r="B50110" s="17" t="s">
        <v>477</v>
      </c>
      <c r="K50110" s="18"/>
    </row>
    <row r="50111">
      <c r="B50111" s="17" t="s">
        <v>477</v>
      </c>
      <c r="K50111" s="18"/>
    </row>
    <row r="50112">
      <c r="B50112" s="17" t="s">
        <v>477</v>
      </c>
      <c r="K50112" s="18"/>
    </row>
    <row r="50113">
      <c r="B50113" s="17" t="s">
        <v>477</v>
      </c>
      <c r="K50113" s="18"/>
    </row>
    <row r="50114">
      <c r="B50114" s="17" t="s">
        <v>477</v>
      </c>
      <c r="K50114" s="18"/>
    </row>
    <row r="50115">
      <c r="B50115" s="17" t="s">
        <v>477</v>
      </c>
      <c r="K50115" s="18"/>
    </row>
    <row r="50116">
      <c r="B50116" s="17" t="s">
        <v>477</v>
      </c>
      <c r="K50116" s="18"/>
    </row>
    <row r="50117">
      <c r="B50117" s="17" t="s">
        <v>477</v>
      </c>
      <c r="K50117" s="18"/>
    </row>
    <row r="50118">
      <c r="B50118" s="17" t="s">
        <v>477</v>
      </c>
      <c r="K50118" s="18"/>
    </row>
    <row r="50119">
      <c r="B50119" s="17" t="s">
        <v>477</v>
      </c>
      <c r="K50119" s="18"/>
    </row>
    <row r="50120">
      <c r="B50120" s="17" t="s">
        <v>477</v>
      </c>
      <c r="K50120" s="18"/>
    </row>
    <row r="50121">
      <c r="B50121" s="17" t="s">
        <v>477</v>
      </c>
      <c r="K50121" s="18"/>
    </row>
    <row r="50122">
      <c r="B50122" s="17" t="s">
        <v>477</v>
      </c>
      <c r="K50122" s="18"/>
    </row>
    <row r="50123">
      <c r="B50123" s="17" t="s">
        <v>477</v>
      </c>
      <c r="K50123" s="18"/>
    </row>
    <row r="50124">
      <c r="B50124" s="17" t="s">
        <v>477</v>
      </c>
      <c r="K50124" s="18"/>
    </row>
    <row r="50125">
      <c r="B50125" s="17" t="s">
        <v>477</v>
      </c>
      <c r="K50125" s="18"/>
    </row>
    <row r="50126">
      <c r="B50126" s="17" t="s">
        <v>477</v>
      </c>
      <c r="K50126" s="18"/>
    </row>
    <row r="50127">
      <c r="B50127" s="17" t="s">
        <v>477</v>
      </c>
      <c r="K50127" s="18"/>
    </row>
    <row r="50128">
      <c r="B50128" s="17" t="s">
        <v>477</v>
      </c>
      <c r="K50128" s="18"/>
    </row>
    <row r="50129">
      <c r="B50129" s="17" t="s">
        <v>477</v>
      </c>
      <c r="K50129" s="18"/>
    </row>
    <row r="50130">
      <c r="B50130" s="17" t="s">
        <v>477</v>
      </c>
      <c r="K50130" s="18"/>
    </row>
    <row r="50131">
      <c r="B50131" s="17" t="s">
        <v>477</v>
      </c>
      <c r="K50131" s="18"/>
    </row>
    <row r="50132">
      <c r="B50132" s="17" t="s">
        <v>477</v>
      </c>
      <c r="K50132" s="18"/>
    </row>
    <row r="50133">
      <c r="B50133" s="17" t="s">
        <v>477</v>
      </c>
      <c r="K50133" s="18"/>
    </row>
    <row r="50134">
      <c r="B50134" s="17" t="s">
        <v>477</v>
      </c>
      <c r="K50134" s="18"/>
    </row>
    <row r="50135">
      <c r="B50135" s="17" t="s">
        <v>477</v>
      </c>
      <c r="K50135" s="18"/>
    </row>
    <row r="50136">
      <c r="B50136" s="17" t="s">
        <v>477</v>
      </c>
      <c r="K50136" s="18"/>
    </row>
    <row r="50137">
      <c r="B50137" s="17" t="s">
        <v>477</v>
      </c>
      <c r="K50137" s="18"/>
    </row>
    <row r="50138">
      <c r="B50138" s="17" t="s">
        <v>477</v>
      </c>
      <c r="K50138" s="18"/>
    </row>
    <row r="50139">
      <c r="B50139" s="17" t="s">
        <v>477</v>
      </c>
      <c r="K50139" s="18"/>
    </row>
    <row r="50140">
      <c r="B50140" s="17" t="s">
        <v>477</v>
      </c>
      <c r="K50140" s="18"/>
    </row>
    <row r="50141">
      <c r="B50141" s="17" t="s">
        <v>477</v>
      </c>
      <c r="K50141" s="18"/>
    </row>
    <row r="50142">
      <c r="B50142" s="17" t="s">
        <v>477</v>
      </c>
      <c r="K50142" s="18"/>
    </row>
    <row r="50143">
      <c r="B50143" s="17" t="s">
        <v>477</v>
      </c>
      <c r="K50143" s="18"/>
    </row>
    <row r="50144">
      <c r="B50144" s="17" t="s">
        <v>477</v>
      </c>
      <c r="K50144" s="18"/>
    </row>
    <row r="50145">
      <c r="B50145" s="17" t="s">
        <v>477</v>
      </c>
      <c r="K50145" s="18"/>
    </row>
    <row r="50146">
      <c r="B50146" s="17" t="s">
        <v>477</v>
      </c>
      <c r="K50146" s="18"/>
    </row>
    <row r="50147">
      <c r="B50147" s="17" t="s">
        <v>477</v>
      </c>
      <c r="K50147" s="18"/>
    </row>
    <row r="50148">
      <c r="B50148" s="17" t="s">
        <v>477</v>
      </c>
      <c r="K50148" s="18"/>
    </row>
    <row r="50149">
      <c r="B50149" s="17" t="s">
        <v>477</v>
      </c>
      <c r="K50149" s="18"/>
    </row>
    <row r="50150">
      <c r="B50150" s="17" t="s">
        <v>477</v>
      </c>
      <c r="K50150" s="18"/>
    </row>
    <row r="50151">
      <c r="B50151" s="17" t="s">
        <v>477</v>
      </c>
      <c r="K50151" s="18"/>
    </row>
    <row r="50152">
      <c r="B50152" s="17" t="s">
        <v>477</v>
      </c>
      <c r="K50152" s="18"/>
    </row>
    <row r="50153">
      <c r="B50153" s="17" t="s">
        <v>477</v>
      </c>
      <c r="K50153" s="18"/>
    </row>
    <row r="50154">
      <c r="B50154" s="17" t="s">
        <v>477</v>
      </c>
      <c r="K50154" s="18"/>
    </row>
    <row r="50155">
      <c r="B50155" s="17" t="s">
        <v>477</v>
      </c>
      <c r="K50155" s="18"/>
    </row>
    <row r="50156">
      <c r="B50156" s="17" t="s">
        <v>477</v>
      </c>
      <c r="K50156" s="18"/>
    </row>
    <row r="50157">
      <c r="B50157" s="17" t="s">
        <v>477</v>
      </c>
      <c r="K50157" s="18"/>
    </row>
    <row r="50158">
      <c r="B50158" s="17" t="s">
        <v>477</v>
      </c>
      <c r="K50158" s="18"/>
    </row>
    <row r="50159">
      <c r="B50159" s="17" t="s">
        <v>477</v>
      </c>
      <c r="K50159" s="18"/>
    </row>
    <row r="50160">
      <c r="B50160" s="17" t="s">
        <v>477</v>
      </c>
      <c r="K50160" s="18"/>
    </row>
    <row r="50161">
      <c r="B50161" s="17" t="s">
        <v>477</v>
      </c>
      <c r="K50161" s="18"/>
    </row>
    <row r="50162">
      <c r="B50162" s="17" t="s">
        <v>477</v>
      </c>
      <c r="K50162" s="18"/>
    </row>
    <row r="50163">
      <c r="B50163" s="17" t="s">
        <v>477</v>
      </c>
      <c r="K50163" s="18"/>
    </row>
    <row r="50164">
      <c r="B50164" s="17" t="s">
        <v>477</v>
      </c>
      <c r="K50164" s="18"/>
    </row>
    <row r="50165">
      <c r="B50165" s="17" t="s">
        <v>477</v>
      </c>
      <c r="K50165" s="18"/>
    </row>
    <row r="50166">
      <c r="B50166" s="17" t="s">
        <v>477</v>
      </c>
      <c r="K50166" s="18"/>
    </row>
    <row r="50167">
      <c r="B50167" s="17" t="s">
        <v>477</v>
      </c>
      <c r="K50167" s="18"/>
    </row>
    <row r="50168">
      <c r="B50168" s="17" t="s">
        <v>477</v>
      </c>
      <c r="K50168" s="18"/>
    </row>
    <row r="50169">
      <c r="B50169" s="17" t="s">
        <v>477</v>
      </c>
      <c r="K50169" s="18"/>
    </row>
    <row r="50170">
      <c r="B50170" s="17" t="s">
        <v>477</v>
      </c>
      <c r="K50170" s="18"/>
    </row>
    <row r="50171">
      <c r="B50171" s="17" t="s">
        <v>477</v>
      </c>
      <c r="K50171" s="18"/>
    </row>
    <row r="50172">
      <c r="B50172" s="17" t="s">
        <v>477</v>
      </c>
      <c r="K50172" s="18"/>
    </row>
    <row r="50173">
      <c r="B50173" s="17" t="s">
        <v>477</v>
      </c>
      <c r="K50173" s="18"/>
    </row>
    <row r="50174">
      <c r="B50174" s="17" t="s">
        <v>477</v>
      </c>
      <c r="K50174" s="18"/>
    </row>
    <row r="50175">
      <c r="B50175" s="17" t="s">
        <v>477</v>
      </c>
      <c r="K50175" s="18"/>
    </row>
    <row r="50176">
      <c r="B50176" s="17" t="s">
        <v>477</v>
      </c>
      <c r="K50176" s="18"/>
    </row>
    <row r="50177">
      <c r="B50177" s="17" t="s">
        <v>477</v>
      </c>
      <c r="K50177" s="18"/>
    </row>
    <row r="50178">
      <c r="B50178" s="17" t="s">
        <v>477</v>
      </c>
      <c r="K50178" s="18"/>
    </row>
    <row r="50179">
      <c r="B50179" s="17" t="s">
        <v>477</v>
      </c>
      <c r="K50179" s="18"/>
    </row>
    <row r="50180">
      <c r="B50180" s="17" t="s">
        <v>477</v>
      </c>
      <c r="K50180" s="18"/>
    </row>
    <row r="50181">
      <c r="B50181" s="17" t="s">
        <v>477</v>
      </c>
      <c r="K50181" s="18"/>
    </row>
    <row r="50182">
      <c r="B50182" s="17" t="s">
        <v>477</v>
      </c>
      <c r="K50182" s="18"/>
    </row>
    <row r="50183">
      <c r="B50183" s="17" t="s">
        <v>477</v>
      </c>
      <c r="K50183" s="18"/>
    </row>
    <row r="50184">
      <c r="B50184" s="17" t="s">
        <v>477</v>
      </c>
      <c r="K50184" s="18"/>
    </row>
    <row r="50185">
      <c r="B50185" s="17" t="s">
        <v>477</v>
      </c>
      <c r="K50185" s="18"/>
    </row>
    <row r="50186">
      <c r="B50186" s="17" t="s">
        <v>477</v>
      </c>
      <c r="K50186" s="18"/>
    </row>
    <row r="50187">
      <c r="B50187" s="17" t="s">
        <v>477</v>
      </c>
      <c r="K50187" s="18"/>
    </row>
    <row r="50188">
      <c r="B50188" s="17" t="s">
        <v>477</v>
      </c>
      <c r="K50188" s="18"/>
    </row>
    <row r="50189">
      <c r="B50189" s="17" t="s">
        <v>477</v>
      </c>
      <c r="K50189" s="18"/>
    </row>
    <row r="50190">
      <c r="B50190" s="17" t="s">
        <v>477</v>
      </c>
      <c r="K50190" s="18"/>
    </row>
    <row r="50191">
      <c r="B50191" s="17" t="s">
        <v>477</v>
      </c>
      <c r="K50191" s="18"/>
    </row>
    <row r="50192">
      <c r="B50192" s="17" t="s">
        <v>477</v>
      </c>
      <c r="K50192" s="18"/>
    </row>
    <row r="50193">
      <c r="B50193" s="17" t="s">
        <v>477</v>
      </c>
      <c r="K50193" s="18"/>
    </row>
    <row r="50194">
      <c r="B50194" s="17" t="s">
        <v>477</v>
      </c>
      <c r="K50194" s="18"/>
    </row>
    <row r="50195">
      <c r="B50195" s="17" t="s">
        <v>477</v>
      </c>
      <c r="K50195" s="18"/>
    </row>
    <row r="50196">
      <c r="B50196" s="17" t="s">
        <v>477</v>
      </c>
      <c r="K50196" s="18"/>
    </row>
    <row r="50197">
      <c r="B50197" s="17" t="s">
        <v>477</v>
      </c>
      <c r="K50197" s="18"/>
    </row>
    <row r="50198">
      <c r="B50198" s="17" t="s">
        <v>477</v>
      </c>
      <c r="K50198" s="18"/>
    </row>
    <row r="50199">
      <c r="B50199" s="17" t="s">
        <v>477</v>
      </c>
      <c r="K50199" s="18"/>
    </row>
    <row r="50200">
      <c r="B50200" s="17" t="s">
        <v>477</v>
      </c>
      <c r="K50200" s="18"/>
    </row>
    <row r="50201">
      <c r="B50201" s="17" t="s">
        <v>477</v>
      </c>
      <c r="K50201" s="18"/>
    </row>
    <row r="50202">
      <c r="B50202" s="17" t="s">
        <v>477</v>
      </c>
      <c r="K50202" s="18"/>
    </row>
    <row r="50203">
      <c r="B50203" s="17" t="s">
        <v>477</v>
      </c>
      <c r="K50203" s="18"/>
    </row>
    <row r="50204">
      <c r="B50204" s="17" t="s">
        <v>477</v>
      </c>
      <c r="K50204" s="18"/>
    </row>
    <row r="50205">
      <c r="B50205" s="17" t="s">
        <v>477</v>
      </c>
      <c r="K50205" s="18"/>
    </row>
    <row r="50206">
      <c r="B50206" s="17" t="s">
        <v>477</v>
      </c>
      <c r="K50206" s="18"/>
    </row>
    <row r="50207">
      <c r="B50207" s="17" t="s">
        <v>477</v>
      </c>
      <c r="K50207" s="18"/>
    </row>
    <row r="50208">
      <c r="B50208" s="17" t="s">
        <v>477</v>
      </c>
      <c r="K50208" s="18"/>
    </row>
    <row r="50209">
      <c r="B50209" s="17" t="s">
        <v>477</v>
      </c>
      <c r="K50209" s="18"/>
    </row>
    <row r="50210">
      <c r="B50210" s="17" t="s">
        <v>477</v>
      </c>
      <c r="K50210" s="18"/>
    </row>
    <row r="50211">
      <c r="B50211" s="17" t="s">
        <v>477</v>
      </c>
      <c r="K50211" s="18"/>
    </row>
    <row r="50212">
      <c r="B50212" s="17" t="s">
        <v>477</v>
      </c>
      <c r="K50212" s="18"/>
    </row>
    <row r="50213">
      <c r="B50213" s="17" t="s">
        <v>477</v>
      </c>
      <c r="K50213" s="18"/>
    </row>
    <row r="50214">
      <c r="B50214" s="17" t="s">
        <v>477</v>
      </c>
      <c r="K50214" s="18"/>
    </row>
    <row r="50215">
      <c r="B50215" s="17" t="s">
        <v>477</v>
      </c>
      <c r="K50215" s="18"/>
    </row>
    <row r="50216">
      <c r="B50216" s="17" t="s">
        <v>477</v>
      </c>
      <c r="K50216" s="18"/>
    </row>
    <row r="50217">
      <c r="B50217" s="17" t="s">
        <v>477</v>
      </c>
      <c r="K50217" s="18"/>
    </row>
    <row r="50218">
      <c r="B50218" s="17" t="s">
        <v>477</v>
      </c>
      <c r="K50218" s="18"/>
    </row>
    <row r="50219">
      <c r="B50219" s="17" t="s">
        <v>477</v>
      </c>
      <c r="K50219" s="18"/>
    </row>
    <row r="50220">
      <c r="B50220" s="17" t="s">
        <v>477</v>
      </c>
      <c r="K50220" s="18"/>
    </row>
    <row r="50221">
      <c r="B50221" s="17" t="s">
        <v>477</v>
      </c>
      <c r="K50221" s="18"/>
    </row>
    <row r="50222">
      <c r="B50222" s="17" t="s">
        <v>477</v>
      </c>
      <c r="K50222" s="18"/>
    </row>
    <row r="50223">
      <c r="B50223" s="17" t="s">
        <v>477</v>
      </c>
      <c r="K50223" s="18"/>
    </row>
    <row r="50224">
      <c r="B50224" s="17" t="s">
        <v>477</v>
      </c>
      <c r="K50224" s="18"/>
    </row>
    <row r="50225">
      <c r="B50225" s="17" t="s">
        <v>477</v>
      </c>
      <c r="K50225" s="18"/>
    </row>
    <row r="50226">
      <c r="B50226" s="17" t="s">
        <v>477</v>
      </c>
      <c r="K50226" s="18"/>
    </row>
    <row r="50227">
      <c r="B50227" s="17" t="s">
        <v>477</v>
      </c>
      <c r="K50227" s="18"/>
    </row>
    <row r="50228">
      <c r="B50228" s="17" t="s">
        <v>477</v>
      </c>
      <c r="K50228" s="18"/>
    </row>
    <row r="50229">
      <c r="B50229" s="17" t="s">
        <v>477</v>
      </c>
      <c r="K50229" s="18"/>
    </row>
    <row r="50230">
      <c r="B50230" s="17" t="s">
        <v>477</v>
      </c>
      <c r="K50230" s="18"/>
    </row>
    <row r="50231">
      <c r="B50231" s="17" t="s">
        <v>477</v>
      </c>
      <c r="K50231" s="18"/>
    </row>
    <row r="50232">
      <c r="B50232" s="17" t="s">
        <v>477</v>
      </c>
      <c r="K50232" s="18"/>
    </row>
    <row r="50233">
      <c r="B50233" s="17" t="s">
        <v>477</v>
      </c>
      <c r="K50233" s="18"/>
    </row>
    <row r="50234">
      <c r="B50234" s="17" t="s">
        <v>477</v>
      </c>
      <c r="K50234" s="18"/>
    </row>
    <row r="50235">
      <c r="B50235" s="17" t="s">
        <v>477</v>
      </c>
      <c r="K50235" s="18"/>
    </row>
    <row r="50236">
      <c r="B50236" s="17" t="s">
        <v>477</v>
      </c>
      <c r="K50236" s="18"/>
    </row>
    <row r="50237">
      <c r="B50237" s="17" t="s">
        <v>477</v>
      </c>
      <c r="K50237" s="18"/>
    </row>
    <row r="50238">
      <c r="B50238" s="17" t="s">
        <v>477</v>
      </c>
      <c r="K50238" s="18"/>
    </row>
    <row r="50239">
      <c r="B50239" s="17" t="s">
        <v>477</v>
      </c>
      <c r="K50239" s="18"/>
    </row>
    <row r="50240">
      <c r="B50240" s="17" t="s">
        <v>477</v>
      </c>
      <c r="K50240" s="18"/>
    </row>
    <row r="50241">
      <c r="B50241" s="17" t="s">
        <v>477</v>
      </c>
      <c r="K50241" s="18"/>
    </row>
    <row r="50242">
      <c r="B50242" s="17" t="s">
        <v>477</v>
      </c>
      <c r="K50242" s="18"/>
    </row>
    <row r="50243">
      <c r="B50243" s="17" t="s">
        <v>477</v>
      </c>
      <c r="K50243" s="18"/>
    </row>
    <row r="50244">
      <c r="B50244" s="17" t="s">
        <v>477</v>
      </c>
      <c r="K50244" s="18"/>
    </row>
    <row r="50245">
      <c r="B50245" s="17" t="s">
        <v>477</v>
      </c>
      <c r="K50245" s="18"/>
    </row>
    <row r="50246">
      <c r="B50246" s="17" t="s">
        <v>477</v>
      </c>
      <c r="K50246" s="18"/>
    </row>
    <row r="50247">
      <c r="B50247" s="17" t="s">
        <v>477</v>
      </c>
      <c r="K50247" s="18"/>
    </row>
    <row r="50248">
      <c r="B50248" s="17" t="s">
        <v>477</v>
      </c>
      <c r="K50248" s="18"/>
    </row>
    <row r="50249">
      <c r="B50249" s="17" t="s">
        <v>477</v>
      </c>
      <c r="K50249" s="18"/>
    </row>
    <row r="50250">
      <c r="B50250" s="17" t="s">
        <v>477</v>
      </c>
      <c r="K50250" s="18"/>
    </row>
    <row r="50251">
      <c r="B50251" s="17" t="s">
        <v>477</v>
      </c>
      <c r="K50251" s="18"/>
    </row>
    <row r="50252">
      <c r="B50252" s="17" t="s">
        <v>477</v>
      </c>
      <c r="K50252" s="18"/>
    </row>
    <row r="50253">
      <c r="B50253" s="17" t="s">
        <v>477</v>
      </c>
      <c r="K50253" s="18"/>
    </row>
    <row r="50254">
      <c r="B50254" s="17" t="s">
        <v>477</v>
      </c>
      <c r="K50254" s="18"/>
    </row>
    <row r="50255">
      <c r="B50255" s="17" t="s">
        <v>477</v>
      </c>
      <c r="K50255" s="18"/>
    </row>
    <row r="50256">
      <c r="B50256" s="17" t="s">
        <v>477</v>
      </c>
      <c r="K50256" s="18"/>
    </row>
    <row r="50257">
      <c r="B50257" s="17" t="s">
        <v>477</v>
      </c>
      <c r="K50257" s="18"/>
    </row>
    <row r="50258">
      <c r="B50258" s="17" t="s">
        <v>477</v>
      </c>
      <c r="K50258" s="18"/>
    </row>
    <row r="50259">
      <c r="B50259" s="17" t="s">
        <v>477</v>
      </c>
      <c r="K50259" s="18"/>
    </row>
    <row r="50260">
      <c r="B50260" s="17" t="s">
        <v>477</v>
      </c>
      <c r="K50260" s="18"/>
    </row>
    <row r="50261">
      <c r="B50261" s="17" t="s">
        <v>477</v>
      </c>
      <c r="K50261" s="18"/>
    </row>
    <row r="50262">
      <c r="B50262" s="17" t="s">
        <v>477</v>
      </c>
      <c r="K50262" s="18"/>
    </row>
    <row r="50263">
      <c r="B50263" s="17" t="s">
        <v>477</v>
      </c>
      <c r="K50263" s="18"/>
    </row>
    <row r="50264">
      <c r="B50264" s="17" t="s">
        <v>477</v>
      </c>
      <c r="K50264" s="18"/>
    </row>
    <row r="50265">
      <c r="B50265" s="17" t="s">
        <v>477</v>
      </c>
      <c r="K50265" s="18"/>
    </row>
    <row r="50266">
      <c r="B50266" s="17" t="s">
        <v>477</v>
      </c>
      <c r="K50266" s="18"/>
    </row>
    <row r="50267">
      <c r="B50267" s="17" t="s">
        <v>477</v>
      </c>
      <c r="K50267" s="18"/>
    </row>
    <row r="50268">
      <c r="B50268" s="17" t="s">
        <v>477</v>
      </c>
      <c r="K50268" s="18"/>
    </row>
    <row r="50269">
      <c r="B50269" s="17" t="s">
        <v>477</v>
      </c>
      <c r="K50269" s="18"/>
    </row>
    <row r="50270">
      <c r="B50270" s="17" t="s">
        <v>477</v>
      </c>
      <c r="K50270" s="18"/>
    </row>
    <row r="50271">
      <c r="B50271" s="17" t="s">
        <v>477</v>
      </c>
      <c r="K50271" s="18"/>
    </row>
    <row r="50272">
      <c r="B50272" s="17" t="s">
        <v>477</v>
      </c>
      <c r="K50272" s="18"/>
    </row>
    <row r="50273">
      <c r="B50273" s="17" t="s">
        <v>477</v>
      </c>
      <c r="K50273" s="18"/>
    </row>
    <row r="50274">
      <c r="B50274" s="17" t="s">
        <v>477</v>
      </c>
      <c r="K50274" s="18"/>
    </row>
    <row r="50275">
      <c r="B50275" s="17" t="s">
        <v>477</v>
      </c>
      <c r="K50275" s="18"/>
    </row>
    <row r="50276">
      <c r="B50276" s="17" t="s">
        <v>477</v>
      </c>
      <c r="K50276" s="18"/>
    </row>
    <row r="50277">
      <c r="B50277" s="17" t="s">
        <v>477</v>
      </c>
      <c r="K50277" s="18"/>
    </row>
    <row r="50278">
      <c r="B50278" s="17" t="s">
        <v>477</v>
      </c>
      <c r="K50278" s="18"/>
    </row>
    <row r="50279">
      <c r="B50279" s="17" t="s">
        <v>477</v>
      </c>
      <c r="K50279" s="18"/>
    </row>
    <row r="50280">
      <c r="B50280" s="17" t="s">
        <v>477</v>
      </c>
      <c r="K50280" s="18"/>
    </row>
    <row r="50281">
      <c r="B50281" s="17" t="s">
        <v>477</v>
      </c>
      <c r="K50281" s="18"/>
    </row>
    <row r="50282">
      <c r="B50282" s="17" t="s">
        <v>477</v>
      </c>
      <c r="K50282" s="18"/>
    </row>
    <row r="50283">
      <c r="B50283" s="17" t="s">
        <v>477</v>
      </c>
      <c r="K50283" s="18"/>
    </row>
    <row r="50284">
      <c r="B50284" s="17" t="s">
        <v>477</v>
      </c>
      <c r="K50284" s="18"/>
    </row>
    <row r="50285">
      <c r="B50285" s="17" t="s">
        <v>477</v>
      </c>
      <c r="K50285" s="18"/>
    </row>
    <row r="50286">
      <c r="B50286" s="17" t="s">
        <v>477</v>
      </c>
      <c r="K50286" s="18"/>
    </row>
    <row r="50287">
      <c r="B50287" s="17" t="s">
        <v>477</v>
      </c>
      <c r="K50287" s="18"/>
    </row>
    <row r="50288">
      <c r="B50288" s="17" t="s">
        <v>477</v>
      </c>
      <c r="K50288" s="18"/>
    </row>
    <row r="50289">
      <c r="B50289" s="17" t="s">
        <v>477</v>
      </c>
      <c r="K50289" s="18"/>
    </row>
    <row r="50290">
      <c r="B50290" s="17" t="s">
        <v>477</v>
      </c>
      <c r="K50290" s="18"/>
    </row>
    <row r="50291">
      <c r="B50291" s="17" t="s">
        <v>477</v>
      </c>
      <c r="K50291" s="18"/>
    </row>
    <row r="50292">
      <c r="B50292" s="17" t="s">
        <v>477</v>
      </c>
      <c r="K50292" s="18"/>
    </row>
    <row r="50293">
      <c r="B50293" s="17" t="s">
        <v>477</v>
      </c>
      <c r="K50293" s="18"/>
    </row>
    <row r="50294">
      <c r="B50294" s="17" t="s">
        <v>477</v>
      </c>
      <c r="K50294" s="18"/>
    </row>
    <row r="50295">
      <c r="B50295" s="17" t="s">
        <v>477</v>
      </c>
      <c r="K50295" s="18"/>
    </row>
    <row r="50296">
      <c r="B50296" s="17" t="s">
        <v>477</v>
      </c>
      <c r="K50296" s="18"/>
    </row>
    <row r="50297">
      <c r="B50297" s="17" t="s">
        <v>477</v>
      </c>
      <c r="K50297" s="18"/>
    </row>
    <row r="50298">
      <c r="B50298" s="17" t="s">
        <v>477</v>
      </c>
      <c r="K50298" s="18"/>
    </row>
    <row r="50299">
      <c r="B50299" s="17" t="s">
        <v>477</v>
      </c>
      <c r="K50299" s="18"/>
    </row>
    <row r="50300">
      <c r="B50300" s="17" t="s">
        <v>477</v>
      </c>
      <c r="K50300" s="18"/>
    </row>
    <row r="50301">
      <c r="B50301" s="17" t="s">
        <v>477</v>
      </c>
      <c r="K50301" s="18"/>
    </row>
    <row r="50302">
      <c r="B50302" s="17" t="s">
        <v>477</v>
      </c>
      <c r="K50302" s="18"/>
    </row>
    <row r="50303">
      <c r="B50303" s="17" t="s">
        <v>477</v>
      </c>
      <c r="K50303" s="18"/>
    </row>
    <row r="50304">
      <c r="B50304" s="17" t="s">
        <v>477</v>
      </c>
      <c r="K50304" s="18"/>
    </row>
    <row r="50305">
      <c r="B50305" s="17" t="s">
        <v>477</v>
      </c>
      <c r="K50305" s="18"/>
    </row>
    <row r="50306">
      <c r="B50306" s="17" t="s">
        <v>477</v>
      </c>
      <c r="K50306" s="18"/>
    </row>
    <row r="50307">
      <c r="B50307" s="17" t="s">
        <v>477</v>
      </c>
      <c r="K50307" s="18"/>
    </row>
    <row r="50308">
      <c r="B50308" s="17" t="s">
        <v>477</v>
      </c>
      <c r="K50308" s="18"/>
    </row>
    <row r="50309">
      <c r="B50309" s="17" t="s">
        <v>477</v>
      </c>
      <c r="K50309" s="18"/>
    </row>
    <row r="50310">
      <c r="B50310" s="17" t="s">
        <v>477</v>
      </c>
      <c r="K50310" s="18"/>
    </row>
    <row r="50311">
      <c r="B50311" s="17" t="s">
        <v>477</v>
      </c>
      <c r="K50311" s="18"/>
    </row>
    <row r="50312">
      <c r="B50312" s="17" t="s">
        <v>477</v>
      </c>
      <c r="K50312" s="18"/>
    </row>
    <row r="50313">
      <c r="B50313" s="17" t="s">
        <v>477</v>
      </c>
      <c r="K50313" s="18"/>
    </row>
    <row r="50314">
      <c r="B50314" s="17" t="s">
        <v>477</v>
      </c>
      <c r="K50314" s="18"/>
    </row>
    <row r="50315">
      <c r="B50315" s="17" t="s">
        <v>477</v>
      </c>
      <c r="K50315" s="18"/>
    </row>
    <row r="50316">
      <c r="B50316" s="17" t="s">
        <v>477</v>
      </c>
      <c r="K50316" s="18"/>
    </row>
    <row r="50317">
      <c r="B50317" s="17" t="s">
        <v>477</v>
      </c>
      <c r="K50317" s="18"/>
    </row>
    <row r="50318">
      <c r="B50318" s="17" t="s">
        <v>477</v>
      </c>
      <c r="K50318" s="18"/>
    </row>
    <row r="50319">
      <c r="B50319" s="17" t="s">
        <v>477</v>
      </c>
      <c r="K50319" s="18"/>
    </row>
    <row r="50320">
      <c r="B50320" s="17" t="s">
        <v>477</v>
      </c>
      <c r="K50320" s="18"/>
    </row>
    <row r="50321">
      <c r="B50321" s="17" t="s">
        <v>477</v>
      </c>
      <c r="K50321" s="18"/>
    </row>
    <row r="50322">
      <c r="B50322" s="17" t="s">
        <v>477</v>
      </c>
      <c r="K50322" s="18"/>
    </row>
    <row r="50323">
      <c r="B50323" s="17" t="s">
        <v>477</v>
      </c>
      <c r="K50323" s="18"/>
    </row>
    <row r="50324">
      <c r="B50324" s="17" t="s">
        <v>477</v>
      </c>
      <c r="K50324" s="18"/>
    </row>
    <row r="50325">
      <c r="B50325" s="17" t="s">
        <v>477</v>
      </c>
      <c r="K50325" s="18"/>
    </row>
    <row r="50326">
      <c r="B50326" s="17" t="s">
        <v>477</v>
      </c>
      <c r="K50326" s="18"/>
    </row>
    <row r="50327">
      <c r="B50327" s="17" t="s">
        <v>477</v>
      </c>
      <c r="K50327" s="18"/>
    </row>
    <row r="50328">
      <c r="B50328" s="17" t="s">
        <v>477</v>
      </c>
      <c r="K50328" s="18"/>
    </row>
    <row r="50329">
      <c r="B50329" s="17" t="s">
        <v>477</v>
      </c>
      <c r="K50329" s="18"/>
    </row>
    <row r="50330">
      <c r="B50330" s="17" t="s">
        <v>477</v>
      </c>
      <c r="K50330" s="18"/>
    </row>
    <row r="50331">
      <c r="B50331" s="17" t="s">
        <v>477</v>
      </c>
      <c r="K50331" s="18"/>
    </row>
    <row r="50332">
      <c r="B50332" s="17" t="s">
        <v>477</v>
      </c>
      <c r="K50332" s="18"/>
    </row>
    <row r="50333">
      <c r="B50333" s="17" t="s">
        <v>477</v>
      </c>
      <c r="K50333" s="18"/>
    </row>
    <row r="50334">
      <c r="B50334" s="17" t="s">
        <v>477</v>
      </c>
      <c r="K50334" s="18"/>
    </row>
    <row r="50335">
      <c r="B50335" s="17" t="s">
        <v>477</v>
      </c>
      <c r="K50335" s="18"/>
    </row>
    <row r="50336">
      <c r="B50336" s="17" t="s">
        <v>477</v>
      </c>
      <c r="K50336" s="18"/>
    </row>
    <row r="50337">
      <c r="B50337" s="17" t="s">
        <v>477</v>
      </c>
      <c r="K50337" s="18"/>
    </row>
    <row r="50338">
      <c r="B50338" s="17" t="s">
        <v>477</v>
      </c>
      <c r="K50338" s="18"/>
    </row>
    <row r="50339">
      <c r="B50339" s="17" t="s">
        <v>477</v>
      </c>
      <c r="K50339" s="18"/>
    </row>
    <row r="50340">
      <c r="B50340" s="17" t="s">
        <v>477</v>
      </c>
      <c r="K50340" s="18"/>
    </row>
    <row r="50341">
      <c r="B50341" s="17" t="s">
        <v>477</v>
      </c>
      <c r="K50341" s="18"/>
    </row>
    <row r="50342">
      <c r="B50342" s="17" t="s">
        <v>477</v>
      </c>
      <c r="K50342" s="18"/>
    </row>
    <row r="50343">
      <c r="B50343" s="17" t="s">
        <v>477</v>
      </c>
      <c r="K50343" s="18"/>
    </row>
    <row r="50344">
      <c r="B50344" s="17" t="s">
        <v>477</v>
      </c>
      <c r="K50344" s="18"/>
    </row>
    <row r="50345">
      <c r="B50345" s="17" t="s">
        <v>477</v>
      </c>
      <c r="K50345" s="18"/>
    </row>
    <row r="50346">
      <c r="B50346" s="17" t="s">
        <v>477</v>
      </c>
      <c r="K50346" s="18"/>
    </row>
    <row r="50347">
      <c r="B50347" s="17" t="s">
        <v>477</v>
      </c>
      <c r="K50347" s="18"/>
    </row>
    <row r="50348">
      <c r="B50348" s="17" t="s">
        <v>477</v>
      </c>
      <c r="K50348" s="18"/>
    </row>
    <row r="50349">
      <c r="B50349" s="17" t="s">
        <v>477</v>
      </c>
      <c r="K50349" s="18"/>
    </row>
    <row r="50350">
      <c r="B50350" s="17" t="s">
        <v>477</v>
      </c>
      <c r="K50350" s="18"/>
    </row>
    <row r="50351">
      <c r="B50351" s="17" t="s">
        <v>477</v>
      </c>
      <c r="K50351" s="18"/>
    </row>
    <row r="50352">
      <c r="B50352" s="17" t="s">
        <v>477</v>
      </c>
      <c r="K50352" s="18"/>
    </row>
    <row r="50353">
      <c r="B50353" s="17" t="s">
        <v>477</v>
      </c>
      <c r="K50353" s="18"/>
    </row>
    <row r="50354">
      <c r="B50354" s="17" t="s">
        <v>477</v>
      </c>
      <c r="K50354" s="18"/>
    </row>
    <row r="50355">
      <c r="B50355" s="17" t="s">
        <v>477</v>
      </c>
      <c r="K50355" s="18"/>
    </row>
    <row r="50356">
      <c r="B50356" s="17" t="s">
        <v>477</v>
      </c>
      <c r="K50356" s="18"/>
    </row>
    <row r="50357">
      <c r="B50357" s="17" t="s">
        <v>477</v>
      </c>
      <c r="K50357" s="18"/>
    </row>
    <row r="50358">
      <c r="B50358" s="17" t="s">
        <v>477</v>
      </c>
      <c r="K50358" s="18"/>
    </row>
    <row r="50359">
      <c r="B50359" s="17" t="s">
        <v>477</v>
      </c>
      <c r="K50359" s="18"/>
    </row>
    <row r="50360">
      <c r="B50360" s="17" t="s">
        <v>477</v>
      </c>
      <c r="K50360" s="18"/>
    </row>
    <row r="50361">
      <c r="B50361" s="17" t="s">
        <v>477</v>
      </c>
      <c r="K50361" s="18"/>
    </row>
    <row r="50362">
      <c r="B50362" s="17" t="s">
        <v>477</v>
      </c>
      <c r="K50362" s="18"/>
    </row>
    <row r="50363">
      <c r="B50363" s="17" t="s">
        <v>477</v>
      </c>
      <c r="K50363" s="18"/>
    </row>
    <row r="50364">
      <c r="B50364" s="17" t="s">
        <v>477</v>
      </c>
      <c r="K50364" s="18"/>
    </row>
    <row r="50365">
      <c r="B50365" s="17" t="s">
        <v>477</v>
      </c>
      <c r="K50365" s="18"/>
    </row>
    <row r="50366">
      <c r="B50366" s="17" t="s">
        <v>477</v>
      </c>
      <c r="K50366" s="18"/>
    </row>
    <row r="50367">
      <c r="B50367" s="17" t="s">
        <v>477</v>
      </c>
      <c r="K50367" s="18"/>
    </row>
    <row r="50368">
      <c r="B50368" s="17" t="s">
        <v>477</v>
      </c>
      <c r="K50368" s="18"/>
    </row>
    <row r="50369">
      <c r="B50369" s="17" t="s">
        <v>477</v>
      </c>
      <c r="K50369" s="18"/>
    </row>
    <row r="50370">
      <c r="B50370" s="17" t="s">
        <v>477</v>
      </c>
      <c r="K50370" s="18"/>
    </row>
    <row r="50371">
      <c r="B50371" s="17" t="s">
        <v>477</v>
      </c>
      <c r="K50371" s="18"/>
    </row>
    <row r="50372">
      <c r="B50372" s="17" t="s">
        <v>477</v>
      </c>
      <c r="K50372" s="18"/>
    </row>
    <row r="50373">
      <c r="B50373" s="17" t="s">
        <v>477</v>
      </c>
      <c r="K50373" s="18"/>
    </row>
    <row r="50374">
      <c r="B50374" s="17" t="s">
        <v>477</v>
      </c>
      <c r="K50374" s="18"/>
    </row>
    <row r="50375">
      <c r="B50375" s="17" t="s">
        <v>477</v>
      </c>
      <c r="K50375" s="18"/>
    </row>
    <row r="50376">
      <c r="B50376" s="17" t="s">
        <v>477</v>
      </c>
      <c r="K50376" s="18"/>
    </row>
    <row r="50377">
      <c r="B50377" s="17" t="s">
        <v>477</v>
      </c>
      <c r="K50377" s="18"/>
    </row>
    <row r="50378">
      <c r="B50378" s="17" t="s">
        <v>477</v>
      </c>
      <c r="K50378" s="18"/>
    </row>
    <row r="50379">
      <c r="B50379" s="17" t="s">
        <v>477</v>
      </c>
      <c r="K50379" s="18"/>
    </row>
    <row r="50380">
      <c r="B50380" s="17" t="s">
        <v>477</v>
      </c>
      <c r="K50380" s="18"/>
    </row>
    <row r="50381">
      <c r="B50381" s="17" t="s">
        <v>477</v>
      </c>
      <c r="K50381" s="18"/>
    </row>
    <row r="50382">
      <c r="B50382" s="17" t="s">
        <v>477</v>
      </c>
      <c r="K50382" s="18"/>
    </row>
    <row r="50383">
      <c r="B50383" s="17" t="s">
        <v>477</v>
      </c>
      <c r="K50383" s="18"/>
    </row>
    <row r="50384">
      <c r="B50384" s="17" t="s">
        <v>477</v>
      </c>
      <c r="K50384" s="18"/>
    </row>
    <row r="50385">
      <c r="B50385" s="17" t="s">
        <v>477</v>
      </c>
      <c r="K50385" s="18"/>
    </row>
    <row r="50386">
      <c r="B50386" s="17" t="s">
        <v>477</v>
      </c>
      <c r="K50386" s="18"/>
    </row>
    <row r="50387">
      <c r="B50387" s="17" t="s">
        <v>477</v>
      </c>
      <c r="K50387" s="18"/>
    </row>
    <row r="50388">
      <c r="B50388" s="17" t="s">
        <v>477</v>
      </c>
      <c r="K50388" s="18"/>
    </row>
    <row r="50389">
      <c r="B50389" s="17" t="s">
        <v>477</v>
      </c>
      <c r="K50389" s="18"/>
    </row>
    <row r="50390">
      <c r="B50390" s="17" t="s">
        <v>477</v>
      </c>
      <c r="K50390" s="18"/>
    </row>
    <row r="50391">
      <c r="B50391" s="17" t="s">
        <v>477</v>
      </c>
      <c r="K50391" s="18"/>
    </row>
    <row r="50392">
      <c r="B50392" s="17" t="s">
        <v>477</v>
      </c>
      <c r="K50392" s="18"/>
    </row>
    <row r="50393">
      <c r="B50393" s="17" t="s">
        <v>477</v>
      </c>
      <c r="K50393" s="18"/>
    </row>
    <row r="50394">
      <c r="B50394" s="17" t="s">
        <v>477</v>
      </c>
      <c r="K50394" s="18"/>
    </row>
    <row r="50395">
      <c r="B50395" s="17" t="s">
        <v>477</v>
      </c>
      <c r="K50395" s="18"/>
    </row>
    <row r="50396">
      <c r="B50396" s="17" t="s">
        <v>477</v>
      </c>
      <c r="K50396" s="18"/>
    </row>
    <row r="50397">
      <c r="B50397" s="17" t="s">
        <v>477</v>
      </c>
      <c r="K50397" s="18"/>
    </row>
    <row r="50398">
      <c r="B50398" s="17" t="s">
        <v>477</v>
      </c>
      <c r="K50398" s="18"/>
    </row>
    <row r="50399">
      <c r="B50399" s="17" t="s">
        <v>477</v>
      </c>
      <c r="K50399" s="18"/>
    </row>
    <row r="50400">
      <c r="B50400" s="17" t="s">
        <v>477</v>
      </c>
      <c r="K50400" s="18"/>
    </row>
    <row r="50401">
      <c r="B50401" s="17" t="s">
        <v>477</v>
      </c>
      <c r="K50401" s="18"/>
    </row>
    <row r="50402">
      <c r="B50402" s="17" t="s">
        <v>477</v>
      </c>
      <c r="K50402" s="18"/>
    </row>
    <row r="50403">
      <c r="B50403" s="17" t="s">
        <v>477</v>
      </c>
      <c r="K50403" s="18"/>
    </row>
    <row r="50404">
      <c r="B50404" s="17" t="s">
        <v>477</v>
      </c>
      <c r="K50404" s="18"/>
    </row>
    <row r="50405">
      <c r="B50405" s="17" t="s">
        <v>477</v>
      </c>
      <c r="K50405" s="18"/>
    </row>
    <row r="50406">
      <c r="B50406" s="17" t="s">
        <v>477</v>
      </c>
      <c r="K50406" s="18"/>
    </row>
    <row r="50407">
      <c r="B50407" s="17" t="s">
        <v>477</v>
      </c>
      <c r="K50407" s="18"/>
    </row>
    <row r="50408">
      <c r="B50408" s="17" t="s">
        <v>477</v>
      </c>
      <c r="K50408" s="18"/>
    </row>
    <row r="50409">
      <c r="B50409" s="17" t="s">
        <v>477</v>
      </c>
      <c r="K50409" s="18"/>
    </row>
    <row r="50410">
      <c r="B50410" s="17" t="s">
        <v>477</v>
      </c>
      <c r="K50410" s="18"/>
    </row>
    <row r="50411">
      <c r="B50411" s="17" t="s">
        <v>477</v>
      </c>
      <c r="K50411" s="18"/>
    </row>
    <row r="50412">
      <c r="B50412" s="17" t="s">
        <v>477</v>
      </c>
      <c r="K50412" s="18"/>
    </row>
    <row r="50413">
      <c r="B50413" s="17" t="s">
        <v>477</v>
      </c>
      <c r="K50413" s="18"/>
    </row>
    <row r="50414">
      <c r="B50414" s="17" t="s">
        <v>477</v>
      </c>
      <c r="K50414" s="18"/>
    </row>
    <row r="50415">
      <c r="B50415" s="17" t="s">
        <v>477</v>
      </c>
      <c r="K50415" s="18"/>
    </row>
    <row r="50416">
      <c r="B50416" s="17" t="s">
        <v>477</v>
      </c>
      <c r="K50416" s="18"/>
    </row>
    <row r="50417">
      <c r="B50417" s="17" t="s">
        <v>477</v>
      </c>
      <c r="K50417" s="18"/>
    </row>
    <row r="50418">
      <c r="B50418" s="17" t="s">
        <v>477</v>
      </c>
      <c r="K50418" s="18"/>
    </row>
    <row r="50419">
      <c r="B50419" s="17" t="s">
        <v>477</v>
      </c>
      <c r="K50419" s="18"/>
    </row>
    <row r="50420">
      <c r="B50420" s="17" t="s">
        <v>477</v>
      </c>
      <c r="K50420" s="18"/>
    </row>
    <row r="50421">
      <c r="B50421" s="17" t="s">
        <v>477</v>
      </c>
      <c r="K50421" s="18"/>
    </row>
    <row r="50422">
      <c r="B50422" s="17" t="s">
        <v>477</v>
      </c>
      <c r="K50422" s="18"/>
    </row>
    <row r="50423">
      <c r="B50423" s="17" t="s">
        <v>477</v>
      </c>
      <c r="K50423" s="18"/>
    </row>
    <row r="50424">
      <c r="B50424" s="17" t="s">
        <v>477</v>
      </c>
      <c r="K50424" s="18"/>
    </row>
    <row r="50425">
      <c r="B50425" s="17" t="s">
        <v>477</v>
      </c>
      <c r="K50425" s="18"/>
    </row>
    <row r="50426">
      <c r="B50426" s="17" t="s">
        <v>477</v>
      </c>
      <c r="K50426" s="18"/>
    </row>
    <row r="50427">
      <c r="B50427" s="17" t="s">
        <v>477</v>
      </c>
      <c r="K50427" s="18"/>
    </row>
    <row r="50428">
      <c r="B50428" s="17" t="s">
        <v>477</v>
      </c>
      <c r="K50428" s="18"/>
    </row>
    <row r="50429">
      <c r="B50429" s="17" t="s">
        <v>477</v>
      </c>
      <c r="K50429" s="18"/>
    </row>
    <row r="50430">
      <c r="B50430" s="17" t="s">
        <v>477</v>
      </c>
      <c r="K50430" s="18"/>
    </row>
    <row r="50431">
      <c r="B50431" s="17" t="s">
        <v>477</v>
      </c>
      <c r="K50431" s="18"/>
    </row>
    <row r="50432">
      <c r="B50432" s="17" t="s">
        <v>477</v>
      </c>
      <c r="K50432" s="18"/>
    </row>
    <row r="50433">
      <c r="B50433" s="17" t="s">
        <v>477</v>
      </c>
      <c r="K50433" s="18"/>
    </row>
    <row r="50434">
      <c r="B50434" s="17" t="s">
        <v>477</v>
      </c>
      <c r="K50434" s="18"/>
    </row>
    <row r="50435">
      <c r="B50435" s="17" t="s">
        <v>477</v>
      </c>
      <c r="K50435" s="18"/>
    </row>
    <row r="50436">
      <c r="B50436" s="17" t="s">
        <v>477</v>
      </c>
      <c r="K50436" s="18"/>
    </row>
    <row r="50437">
      <c r="B50437" s="17" t="s">
        <v>477</v>
      </c>
      <c r="K50437" s="18"/>
    </row>
    <row r="50438">
      <c r="B50438" s="17" t="s">
        <v>477</v>
      </c>
      <c r="K50438" s="18"/>
    </row>
    <row r="50439">
      <c r="B50439" s="17" t="s">
        <v>477</v>
      </c>
      <c r="K50439" s="18"/>
    </row>
    <row r="50440">
      <c r="B50440" s="17" t="s">
        <v>477</v>
      </c>
      <c r="K50440" s="18"/>
    </row>
    <row r="50441">
      <c r="B50441" s="17" t="s">
        <v>477</v>
      </c>
      <c r="K50441" s="18"/>
    </row>
    <row r="50442">
      <c r="B50442" s="17" t="s">
        <v>477</v>
      </c>
      <c r="K50442" s="18"/>
    </row>
    <row r="50443">
      <c r="B50443" s="17" t="s">
        <v>477</v>
      </c>
      <c r="K50443" s="18"/>
    </row>
    <row r="50444">
      <c r="B50444" s="17" t="s">
        <v>477</v>
      </c>
      <c r="K50444" s="18"/>
    </row>
    <row r="50445">
      <c r="B50445" s="17" t="s">
        <v>477</v>
      </c>
      <c r="K50445" s="18"/>
    </row>
    <row r="50446">
      <c r="B50446" s="17" t="s">
        <v>477</v>
      </c>
      <c r="K50446" s="18"/>
    </row>
    <row r="50447">
      <c r="B50447" s="17" t="s">
        <v>477</v>
      </c>
      <c r="K50447" s="18"/>
    </row>
    <row r="50448">
      <c r="B50448" s="17" t="s">
        <v>477</v>
      </c>
      <c r="K50448" s="18"/>
    </row>
    <row r="50449">
      <c r="B50449" s="17" t="s">
        <v>477</v>
      </c>
      <c r="K50449" s="18"/>
    </row>
    <row r="50450">
      <c r="B50450" s="17" t="s">
        <v>477</v>
      </c>
      <c r="K50450" s="18"/>
    </row>
    <row r="50451">
      <c r="B50451" s="17" t="s">
        <v>477</v>
      </c>
      <c r="K50451" s="18"/>
    </row>
    <row r="50452">
      <c r="B50452" s="17" t="s">
        <v>477</v>
      </c>
      <c r="K50452" s="18"/>
    </row>
    <row r="50453">
      <c r="B50453" s="17" t="s">
        <v>477</v>
      </c>
      <c r="K50453" s="18"/>
    </row>
    <row r="50454">
      <c r="B50454" s="17" t="s">
        <v>477</v>
      </c>
      <c r="K50454" s="18"/>
    </row>
    <row r="50455">
      <c r="B50455" s="17" t="s">
        <v>477</v>
      </c>
      <c r="K50455" s="18"/>
    </row>
    <row r="50456">
      <c r="B50456" s="17" t="s">
        <v>477</v>
      </c>
      <c r="K50456" s="18"/>
    </row>
    <row r="50457">
      <c r="B50457" s="17" t="s">
        <v>477</v>
      </c>
      <c r="K50457" s="18"/>
    </row>
    <row r="50458">
      <c r="B50458" s="17" t="s">
        <v>477</v>
      </c>
      <c r="K50458" s="18"/>
    </row>
    <row r="50459">
      <c r="B50459" s="17" t="s">
        <v>477</v>
      </c>
      <c r="K50459" s="18"/>
    </row>
    <row r="50460">
      <c r="B50460" s="17" t="s">
        <v>477</v>
      </c>
      <c r="K50460" s="18"/>
    </row>
    <row r="50461">
      <c r="B50461" s="17" t="s">
        <v>477</v>
      </c>
      <c r="K50461" s="18"/>
    </row>
    <row r="50462">
      <c r="B50462" s="17" t="s">
        <v>477</v>
      </c>
      <c r="K50462" s="18"/>
    </row>
    <row r="50463">
      <c r="B50463" s="17" t="s">
        <v>477</v>
      </c>
      <c r="K50463" s="18"/>
    </row>
    <row r="50464">
      <c r="B50464" s="17" t="s">
        <v>477</v>
      </c>
      <c r="K50464" s="18"/>
    </row>
    <row r="50465">
      <c r="B50465" s="17" t="s">
        <v>477</v>
      </c>
      <c r="K50465" s="18"/>
    </row>
    <row r="50466">
      <c r="B50466" s="17" t="s">
        <v>477</v>
      </c>
      <c r="K50466" s="18"/>
    </row>
    <row r="50467">
      <c r="B50467" s="17" t="s">
        <v>477</v>
      </c>
      <c r="K50467" s="18"/>
    </row>
    <row r="50468">
      <c r="B50468" s="17" t="s">
        <v>477</v>
      </c>
      <c r="K50468" s="18"/>
    </row>
    <row r="50469">
      <c r="B50469" s="17" t="s">
        <v>477</v>
      </c>
      <c r="K50469" s="18"/>
    </row>
    <row r="50470">
      <c r="B50470" s="17" t="s">
        <v>477</v>
      </c>
      <c r="K50470" s="18"/>
    </row>
    <row r="50471">
      <c r="B50471" s="17" t="s">
        <v>477</v>
      </c>
      <c r="K50471" s="18"/>
    </row>
    <row r="50472">
      <c r="B50472" s="17" t="s">
        <v>477</v>
      </c>
      <c r="K50472" s="18"/>
    </row>
    <row r="50473">
      <c r="B50473" s="17" t="s">
        <v>477</v>
      </c>
      <c r="K50473" s="18"/>
    </row>
    <row r="50474">
      <c r="B50474" s="17" t="s">
        <v>477</v>
      </c>
      <c r="K50474" s="18"/>
    </row>
    <row r="50475">
      <c r="B50475" s="17" t="s">
        <v>477</v>
      </c>
      <c r="K50475" s="18"/>
    </row>
    <row r="50476">
      <c r="B50476" s="17" t="s">
        <v>477</v>
      </c>
      <c r="K50476" s="18"/>
    </row>
    <row r="50477">
      <c r="B50477" s="17" t="s">
        <v>477</v>
      </c>
      <c r="K50477" s="18"/>
    </row>
    <row r="50478">
      <c r="B50478" s="17" t="s">
        <v>477</v>
      </c>
      <c r="K50478" s="18"/>
    </row>
    <row r="50479">
      <c r="B50479" s="17" t="s">
        <v>477</v>
      </c>
      <c r="K50479" s="18"/>
    </row>
    <row r="50480">
      <c r="B50480" s="17" t="s">
        <v>477</v>
      </c>
      <c r="K50480" s="18"/>
    </row>
    <row r="50481">
      <c r="B50481" s="17" t="s">
        <v>477</v>
      </c>
      <c r="K50481" s="18"/>
    </row>
    <row r="50482">
      <c r="B50482" s="17" t="s">
        <v>477</v>
      </c>
      <c r="K50482" s="18"/>
    </row>
    <row r="50483">
      <c r="B50483" s="17" t="s">
        <v>477</v>
      </c>
      <c r="K50483" s="18"/>
    </row>
    <row r="50484">
      <c r="B50484" s="17" t="s">
        <v>477</v>
      </c>
      <c r="K50484" s="18"/>
    </row>
    <row r="50485">
      <c r="B50485" s="17" t="s">
        <v>477</v>
      </c>
      <c r="K50485" s="18"/>
    </row>
    <row r="50486">
      <c r="B50486" s="17" t="s">
        <v>477</v>
      </c>
      <c r="K50486" s="18"/>
    </row>
    <row r="50487">
      <c r="B50487" s="17" t="s">
        <v>477</v>
      </c>
      <c r="K50487" s="18"/>
    </row>
    <row r="50488">
      <c r="B50488" s="17" t="s">
        <v>477</v>
      </c>
      <c r="K50488" s="18"/>
    </row>
    <row r="50489">
      <c r="B50489" s="17" t="s">
        <v>477</v>
      </c>
      <c r="K50489" s="18"/>
    </row>
    <row r="50490">
      <c r="B50490" s="17" t="s">
        <v>477</v>
      </c>
      <c r="K50490" s="18"/>
    </row>
    <row r="50491">
      <c r="B50491" s="17" t="s">
        <v>477</v>
      </c>
      <c r="K50491" s="18"/>
    </row>
    <row r="50492">
      <c r="B50492" s="17" t="s">
        <v>477</v>
      </c>
      <c r="K50492" s="18"/>
    </row>
    <row r="50493">
      <c r="B50493" s="17" t="s">
        <v>477</v>
      </c>
      <c r="K50493" s="18"/>
    </row>
    <row r="50494">
      <c r="B50494" s="17" t="s">
        <v>477</v>
      </c>
      <c r="K50494" s="18"/>
    </row>
    <row r="50495">
      <c r="B50495" s="17" t="s">
        <v>477</v>
      </c>
      <c r="K50495" s="18"/>
    </row>
    <row r="50496">
      <c r="B50496" s="17" t="s">
        <v>477</v>
      </c>
      <c r="K50496" s="18"/>
    </row>
    <row r="50497">
      <c r="B50497" s="17" t="s">
        <v>477</v>
      </c>
      <c r="K50497" s="18"/>
    </row>
    <row r="50498">
      <c r="B50498" s="17" t="s">
        <v>477</v>
      </c>
      <c r="K50498" s="18"/>
    </row>
    <row r="50499">
      <c r="B50499" s="17" t="s">
        <v>477</v>
      </c>
      <c r="K50499" s="18"/>
    </row>
    <row r="50500">
      <c r="B50500" s="17" t="s">
        <v>477</v>
      </c>
      <c r="K50500" s="18"/>
    </row>
    <row r="50501">
      <c r="B50501" s="17" t="s">
        <v>477</v>
      </c>
      <c r="K50501" s="18"/>
    </row>
    <row r="50502">
      <c r="B50502" s="17" t="s">
        <v>477</v>
      </c>
      <c r="K50502" s="18"/>
    </row>
    <row r="50503">
      <c r="B50503" s="17" t="s">
        <v>477</v>
      </c>
      <c r="K50503" s="18"/>
    </row>
    <row r="50504">
      <c r="B50504" s="17" t="s">
        <v>477</v>
      </c>
      <c r="K50504" s="18"/>
    </row>
    <row r="50505">
      <c r="B50505" s="17" t="s">
        <v>477</v>
      </c>
      <c r="K50505" s="18"/>
    </row>
    <row r="50506">
      <c r="B50506" s="17" t="s">
        <v>477</v>
      </c>
      <c r="K50506" s="18"/>
    </row>
    <row r="50507">
      <c r="B50507" s="17" t="s">
        <v>477</v>
      </c>
      <c r="K50507" s="18"/>
    </row>
    <row r="50508">
      <c r="B50508" s="17" t="s">
        <v>477</v>
      </c>
      <c r="K50508" s="18"/>
    </row>
    <row r="50509">
      <c r="B50509" s="17" t="s">
        <v>477</v>
      </c>
      <c r="K50509" s="18"/>
    </row>
    <row r="50510">
      <c r="B50510" s="17" t="s">
        <v>477</v>
      </c>
      <c r="K50510" s="18"/>
    </row>
    <row r="50511">
      <c r="B50511" s="17" t="s">
        <v>477</v>
      </c>
      <c r="K50511" s="18"/>
    </row>
    <row r="50512">
      <c r="B50512" s="17" t="s">
        <v>477</v>
      </c>
      <c r="K50512" s="18"/>
    </row>
    <row r="50513">
      <c r="B50513" s="17" t="s">
        <v>477</v>
      </c>
      <c r="K50513" s="18"/>
    </row>
    <row r="50514">
      <c r="B50514" s="17" t="s">
        <v>477</v>
      </c>
      <c r="K50514" s="18"/>
    </row>
    <row r="50515">
      <c r="B50515" s="17" t="s">
        <v>477</v>
      </c>
      <c r="K50515" s="18"/>
    </row>
    <row r="50516">
      <c r="B50516" s="17" t="s">
        <v>477</v>
      </c>
      <c r="K50516" s="18"/>
    </row>
    <row r="50517">
      <c r="B50517" s="17" t="s">
        <v>477</v>
      </c>
      <c r="K50517" s="18"/>
    </row>
    <row r="50518">
      <c r="B50518" s="17" t="s">
        <v>477</v>
      </c>
      <c r="K50518" s="18"/>
    </row>
    <row r="50519">
      <c r="B50519" s="17" t="s">
        <v>477</v>
      </c>
      <c r="K50519" s="18"/>
    </row>
    <row r="50520">
      <c r="B50520" s="17" t="s">
        <v>477</v>
      </c>
      <c r="K50520" s="18"/>
    </row>
    <row r="50521">
      <c r="B50521" s="17" t="s">
        <v>477</v>
      </c>
      <c r="K50521" s="18"/>
    </row>
    <row r="50522">
      <c r="B50522" s="17" t="s">
        <v>477</v>
      </c>
      <c r="K50522" s="18"/>
    </row>
    <row r="50523">
      <c r="B50523" s="17" t="s">
        <v>477</v>
      </c>
      <c r="K50523" s="18"/>
    </row>
    <row r="50524">
      <c r="B50524" s="17" t="s">
        <v>477</v>
      </c>
      <c r="K50524" s="18"/>
    </row>
    <row r="50525">
      <c r="B50525" s="17" t="s">
        <v>477</v>
      </c>
      <c r="K50525" s="18"/>
    </row>
    <row r="50526">
      <c r="B50526" s="17" t="s">
        <v>477</v>
      </c>
      <c r="K50526" s="18"/>
    </row>
    <row r="50527">
      <c r="B50527" s="17" t="s">
        <v>477</v>
      </c>
      <c r="K50527" s="18"/>
    </row>
    <row r="50528">
      <c r="B50528" s="17" t="s">
        <v>477</v>
      </c>
      <c r="K50528" s="18"/>
    </row>
    <row r="50529">
      <c r="B50529" s="17" t="s">
        <v>477</v>
      </c>
      <c r="K50529" s="18"/>
    </row>
    <row r="50530">
      <c r="B50530" s="17" t="s">
        <v>477</v>
      </c>
      <c r="K50530" s="18"/>
    </row>
    <row r="50531">
      <c r="B50531" s="17" t="s">
        <v>477</v>
      </c>
      <c r="K50531" s="18"/>
    </row>
    <row r="50532">
      <c r="B50532" s="17" t="s">
        <v>477</v>
      </c>
      <c r="K50532" s="18"/>
    </row>
    <row r="50533">
      <c r="B50533" s="17" t="s">
        <v>477</v>
      </c>
      <c r="K50533" s="18"/>
    </row>
    <row r="50534">
      <c r="B50534" s="17" t="s">
        <v>477</v>
      </c>
      <c r="K50534" s="18"/>
    </row>
    <row r="50535">
      <c r="B50535" s="17" t="s">
        <v>477</v>
      </c>
      <c r="K50535" s="18"/>
    </row>
    <row r="50536">
      <c r="B50536" s="17" t="s">
        <v>477</v>
      </c>
      <c r="K50536" s="18"/>
    </row>
    <row r="50537">
      <c r="B50537" s="17" t="s">
        <v>477</v>
      </c>
      <c r="K50537" s="18"/>
    </row>
    <row r="50538">
      <c r="B50538" s="17" t="s">
        <v>477</v>
      </c>
      <c r="K50538" s="18"/>
    </row>
    <row r="50539">
      <c r="B50539" s="17" t="s">
        <v>477</v>
      </c>
      <c r="K50539" s="18"/>
    </row>
    <row r="50540">
      <c r="B50540" s="17" t="s">
        <v>477</v>
      </c>
      <c r="K50540" s="18"/>
    </row>
    <row r="50541">
      <c r="B50541" s="17" t="s">
        <v>477</v>
      </c>
      <c r="K50541" s="18"/>
    </row>
    <row r="50542">
      <c r="B50542" s="17" t="s">
        <v>477</v>
      </c>
      <c r="K50542" s="18"/>
    </row>
    <row r="50543">
      <c r="B50543" s="17" t="s">
        <v>477</v>
      </c>
      <c r="K50543" s="18"/>
    </row>
    <row r="50544">
      <c r="B50544" s="17" t="s">
        <v>477</v>
      </c>
      <c r="K50544" s="18"/>
    </row>
    <row r="50545">
      <c r="B50545" s="17" t="s">
        <v>477</v>
      </c>
      <c r="K50545" s="18"/>
    </row>
    <row r="50546">
      <c r="B50546" s="17" t="s">
        <v>477</v>
      </c>
      <c r="K50546" s="18"/>
    </row>
    <row r="50547">
      <c r="B50547" s="17" t="s">
        <v>477</v>
      </c>
      <c r="K50547" s="18"/>
    </row>
    <row r="50548">
      <c r="B50548" s="17" t="s">
        <v>477</v>
      </c>
      <c r="K50548" s="18"/>
    </row>
    <row r="50549">
      <c r="B50549" s="17" t="s">
        <v>477</v>
      </c>
      <c r="K50549" s="18"/>
    </row>
    <row r="50550">
      <c r="B50550" s="17" t="s">
        <v>477</v>
      </c>
      <c r="K50550" s="18"/>
    </row>
    <row r="50551">
      <c r="B50551" s="17" t="s">
        <v>477</v>
      </c>
      <c r="K50551" s="18"/>
    </row>
    <row r="50552">
      <c r="B50552" s="17" t="s">
        <v>477</v>
      </c>
      <c r="K50552" s="18"/>
    </row>
    <row r="50553">
      <c r="B50553" s="17" t="s">
        <v>477</v>
      </c>
      <c r="K50553" s="18"/>
    </row>
    <row r="50554">
      <c r="B50554" s="17" t="s">
        <v>477</v>
      </c>
      <c r="K50554" s="18"/>
    </row>
    <row r="50555">
      <c r="B50555" s="17" t="s">
        <v>477</v>
      </c>
      <c r="K50555" s="18"/>
    </row>
    <row r="50556">
      <c r="B50556" s="17" t="s">
        <v>477</v>
      </c>
      <c r="K50556" s="18"/>
    </row>
    <row r="50557">
      <c r="B50557" s="17" t="s">
        <v>477</v>
      </c>
      <c r="K50557" s="18"/>
    </row>
    <row r="50558">
      <c r="B50558" s="17" t="s">
        <v>477</v>
      </c>
      <c r="K50558" s="18"/>
    </row>
    <row r="50559">
      <c r="B50559" s="17" t="s">
        <v>477</v>
      </c>
      <c r="K50559" s="18"/>
    </row>
    <row r="50560">
      <c r="B50560" s="17" t="s">
        <v>477</v>
      </c>
      <c r="K50560" s="18"/>
    </row>
    <row r="50561">
      <c r="B50561" s="17" t="s">
        <v>477</v>
      </c>
      <c r="K50561" s="18"/>
    </row>
    <row r="50562">
      <c r="B50562" s="17" t="s">
        <v>477</v>
      </c>
      <c r="K50562" s="18"/>
    </row>
    <row r="50563">
      <c r="B50563" s="17" t="s">
        <v>477</v>
      </c>
      <c r="K50563" s="18"/>
    </row>
    <row r="50564">
      <c r="B50564" s="17" t="s">
        <v>477</v>
      </c>
      <c r="K50564" s="18"/>
    </row>
    <row r="50565">
      <c r="B50565" s="17" t="s">
        <v>477</v>
      </c>
      <c r="K50565" s="18"/>
    </row>
    <row r="50566">
      <c r="B50566" s="17" t="s">
        <v>477</v>
      </c>
      <c r="K50566" s="18"/>
    </row>
    <row r="50567">
      <c r="B50567" s="17" t="s">
        <v>477</v>
      </c>
      <c r="K50567" s="18"/>
    </row>
    <row r="50568">
      <c r="B50568" s="17" t="s">
        <v>477</v>
      </c>
      <c r="K50568" s="18"/>
    </row>
    <row r="50569">
      <c r="B50569" s="17" t="s">
        <v>477</v>
      </c>
      <c r="K50569" s="18"/>
    </row>
    <row r="50570">
      <c r="B50570" s="17" t="s">
        <v>477</v>
      </c>
      <c r="K50570" s="18"/>
    </row>
    <row r="50571">
      <c r="B50571" s="17" t="s">
        <v>477</v>
      </c>
      <c r="K50571" s="18"/>
    </row>
    <row r="50572">
      <c r="B50572" s="17" t="s">
        <v>477</v>
      </c>
      <c r="K50572" s="18"/>
    </row>
    <row r="50573">
      <c r="B50573" s="17" t="s">
        <v>477</v>
      </c>
      <c r="K50573" s="18"/>
    </row>
    <row r="50574">
      <c r="B50574" s="17" t="s">
        <v>477</v>
      </c>
      <c r="K50574" s="18"/>
    </row>
    <row r="50575">
      <c r="B50575" s="17" t="s">
        <v>477</v>
      </c>
      <c r="K50575" s="18"/>
    </row>
    <row r="50576">
      <c r="B50576" s="17" t="s">
        <v>477</v>
      </c>
      <c r="K50576" s="18"/>
    </row>
    <row r="50577">
      <c r="B50577" s="17" t="s">
        <v>477</v>
      </c>
      <c r="K50577" s="18"/>
    </row>
    <row r="50578">
      <c r="B50578" s="17" t="s">
        <v>477</v>
      </c>
      <c r="K50578" s="18"/>
    </row>
    <row r="50579">
      <c r="B50579" s="17" t="s">
        <v>477</v>
      </c>
      <c r="K50579" s="18"/>
    </row>
    <row r="50580">
      <c r="B50580" s="17" t="s">
        <v>477</v>
      </c>
      <c r="K50580" s="18"/>
    </row>
    <row r="50581">
      <c r="B50581" s="17" t="s">
        <v>477</v>
      </c>
      <c r="K50581" s="18"/>
    </row>
    <row r="50582">
      <c r="B50582" s="17" t="s">
        <v>477</v>
      </c>
      <c r="K50582" s="18"/>
    </row>
    <row r="50583">
      <c r="B50583" s="17" t="s">
        <v>477</v>
      </c>
      <c r="K50583" s="18"/>
    </row>
    <row r="50584">
      <c r="B50584" s="17" t="s">
        <v>477</v>
      </c>
      <c r="K50584" s="18"/>
    </row>
    <row r="50585">
      <c r="B50585" s="17" t="s">
        <v>477</v>
      </c>
      <c r="K50585" s="18"/>
    </row>
    <row r="50586">
      <c r="B50586" s="17" t="s">
        <v>477</v>
      </c>
      <c r="K50586" s="18"/>
    </row>
    <row r="50587">
      <c r="B50587" s="17" t="s">
        <v>477</v>
      </c>
      <c r="K50587" s="18"/>
    </row>
    <row r="50588">
      <c r="B50588" s="17" t="s">
        <v>477</v>
      </c>
      <c r="K50588" s="18"/>
    </row>
    <row r="50589">
      <c r="B50589" s="17" t="s">
        <v>477</v>
      </c>
      <c r="K50589" s="18"/>
    </row>
    <row r="50590">
      <c r="B50590" s="17" t="s">
        <v>477</v>
      </c>
      <c r="K50590" s="18"/>
    </row>
    <row r="50591">
      <c r="B50591" s="17" t="s">
        <v>477</v>
      </c>
      <c r="K50591" s="18"/>
    </row>
    <row r="50592">
      <c r="B50592" s="17" t="s">
        <v>477</v>
      </c>
      <c r="K50592" s="18"/>
    </row>
    <row r="50593">
      <c r="B50593" s="17" t="s">
        <v>477</v>
      </c>
      <c r="K50593" s="18"/>
    </row>
    <row r="50594">
      <c r="B50594" s="17" t="s">
        <v>477</v>
      </c>
      <c r="K50594" s="18"/>
    </row>
    <row r="50595">
      <c r="B50595" s="17" t="s">
        <v>477</v>
      </c>
      <c r="K50595" s="18"/>
    </row>
    <row r="50596">
      <c r="B50596" s="17" t="s">
        <v>477</v>
      </c>
      <c r="K50596" s="18"/>
    </row>
    <row r="50597">
      <c r="B50597" s="17" t="s">
        <v>477</v>
      </c>
      <c r="K50597" s="18"/>
    </row>
    <row r="50598">
      <c r="B50598" s="17" t="s">
        <v>477</v>
      </c>
      <c r="K50598" s="18"/>
    </row>
    <row r="50599">
      <c r="B50599" s="17" t="s">
        <v>477</v>
      </c>
      <c r="K50599" s="18"/>
    </row>
    <row r="50600">
      <c r="B50600" s="17" t="s">
        <v>477</v>
      </c>
      <c r="K50600" s="18"/>
    </row>
    <row r="50601">
      <c r="B50601" s="17" t="s">
        <v>477</v>
      </c>
      <c r="K50601" s="18"/>
    </row>
    <row r="50602">
      <c r="B50602" s="17" t="s">
        <v>477</v>
      </c>
      <c r="K50602" s="18"/>
    </row>
    <row r="50603">
      <c r="B50603" s="17" t="s">
        <v>477</v>
      </c>
      <c r="K50603" s="18"/>
    </row>
    <row r="50604">
      <c r="B50604" s="17" t="s">
        <v>477</v>
      </c>
      <c r="K50604" s="18"/>
    </row>
    <row r="50605">
      <c r="B50605" s="17" t="s">
        <v>477</v>
      </c>
      <c r="K50605" s="18"/>
    </row>
    <row r="50606">
      <c r="B50606" s="17" t="s">
        <v>477</v>
      </c>
      <c r="K50606" s="18"/>
    </row>
    <row r="50607">
      <c r="B50607" s="17" t="s">
        <v>477</v>
      </c>
      <c r="K50607" s="18"/>
    </row>
    <row r="50608">
      <c r="B50608" s="17" t="s">
        <v>477</v>
      </c>
      <c r="K50608" s="18"/>
    </row>
    <row r="50609">
      <c r="B50609" s="17" t="s">
        <v>477</v>
      </c>
      <c r="K50609" s="18"/>
    </row>
    <row r="50610">
      <c r="B50610" s="17" t="s">
        <v>477</v>
      </c>
      <c r="K50610" s="18"/>
    </row>
    <row r="50611">
      <c r="B50611" s="17" t="s">
        <v>477</v>
      </c>
      <c r="K50611" s="18"/>
    </row>
    <row r="50612">
      <c r="B50612" s="17" t="s">
        <v>477</v>
      </c>
      <c r="K50612" s="18"/>
    </row>
    <row r="50613">
      <c r="B50613" s="17" t="s">
        <v>477</v>
      </c>
      <c r="K50613" s="18"/>
    </row>
    <row r="50614">
      <c r="B50614" s="17" t="s">
        <v>477</v>
      </c>
      <c r="K50614" s="18"/>
    </row>
    <row r="50615">
      <c r="B50615" s="17" t="s">
        <v>477</v>
      </c>
      <c r="K50615" s="18"/>
    </row>
    <row r="50616">
      <c r="B50616" s="17" t="s">
        <v>477</v>
      </c>
      <c r="K50616" s="18"/>
    </row>
    <row r="50617">
      <c r="B50617" s="17" t="s">
        <v>477</v>
      </c>
      <c r="K50617" s="18"/>
    </row>
    <row r="50618">
      <c r="B50618" s="17" t="s">
        <v>477</v>
      </c>
      <c r="K50618" s="18"/>
    </row>
    <row r="50619">
      <c r="B50619" s="17" t="s">
        <v>477</v>
      </c>
      <c r="K50619" s="18"/>
    </row>
    <row r="50620">
      <c r="B50620" s="17" t="s">
        <v>477</v>
      </c>
      <c r="K50620" s="18"/>
    </row>
    <row r="50621">
      <c r="B50621" s="17" t="s">
        <v>477</v>
      </c>
      <c r="K50621" s="18"/>
    </row>
    <row r="50622">
      <c r="B50622" s="17" t="s">
        <v>477</v>
      </c>
      <c r="K50622" s="18"/>
    </row>
    <row r="50623">
      <c r="B50623" s="17" t="s">
        <v>477</v>
      </c>
      <c r="K50623" s="18"/>
    </row>
    <row r="50624">
      <c r="B50624" s="17" t="s">
        <v>477</v>
      </c>
      <c r="K50624" s="18"/>
    </row>
    <row r="50625">
      <c r="B50625" s="17" t="s">
        <v>477</v>
      </c>
      <c r="K50625" s="18"/>
    </row>
    <row r="50626">
      <c r="B50626" s="17" t="s">
        <v>477</v>
      </c>
      <c r="K50626" s="18"/>
    </row>
    <row r="50627">
      <c r="B50627" s="17" t="s">
        <v>477</v>
      </c>
      <c r="K50627" s="18"/>
    </row>
    <row r="50628">
      <c r="B50628" s="17" t="s">
        <v>477</v>
      </c>
      <c r="K50628" s="18"/>
    </row>
    <row r="50629">
      <c r="B50629" s="17" t="s">
        <v>477</v>
      </c>
      <c r="K50629" s="18"/>
    </row>
    <row r="50630">
      <c r="B50630" s="17" t="s">
        <v>477</v>
      </c>
      <c r="K50630" s="18"/>
    </row>
    <row r="50631">
      <c r="B50631" s="17" t="s">
        <v>477</v>
      </c>
      <c r="K50631" s="18"/>
    </row>
    <row r="50632">
      <c r="B50632" s="17" t="s">
        <v>477</v>
      </c>
      <c r="K50632" s="18"/>
    </row>
    <row r="50633">
      <c r="B50633" s="17" t="s">
        <v>477</v>
      </c>
      <c r="K50633" s="18"/>
    </row>
    <row r="50634">
      <c r="B50634" s="17" t="s">
        <v>477</v>
      </c>
      <c r="K50634" s="18"/>
    </row>
    <row r="50635">
      <c r="B50635" s="17" t="s">
        <v>477</v>
      </c>
      <c r="K50635" s="18"/>
    </row>
    <row r="50636">
      <c r="B50636" s="17" t="s">
        <v>477</v>
      </c>
      <c r="K50636" s="18"/>
    </row>
    <row r="50637">
      <c r="B50637" s="17" t="s">
        <v>477</v>
      </c>
      <c r="K50637" s="18"/>
    </row>
    <row r="50638">
      <c r="B50638" s="17" t="s">
        <v>477</v>
      </c>
      <c r="K50638" s="18"/>
    </row>
    <row r="50639">
      <c r="B50639" s="17" t="s">
        <v>477</v>
      </c>
      <c r="K50639" s="18"/>
    </row>
    <row r="50640">
      <c r="B50640" s="17" t="s">
        <v>477</v>
      </c>
      <c r="K50640" s="18"/>
    </row>
    <row r="50641">
      <c r="B50641" s="17" t="s">
        <v>477</v>
      </c>
      <c r="K50641" s="18"/>
    </row>
    <row r="50642">
      <c r="B50642" s="17" t="s">
        <v>477</v>
      </c>
      <c r="K50642" s="18"/>
    </row>
    <row r="50643">
      <c r="B50643" s="17" t="s">
        <v>477</v>
      </c>
      <c r="K50643" s="18"/>
    </row>
    <row r="50644">
      <c r="B50644" s="17" t="s">
        <v>477</v>
      </c>
      <c r="K50644" s="18"/>
    </row>
    <row r="50645">
      <c r="B50645" s="17" t="s">
        <v>477</v>
      </c>
      <c r="K50645" s="18"/>
    </row>
    <row r="50646">
      <c r="B50646" s="17" t="s">
        <v>477</v>
      </c>
      <c r="K50646" s="18"/>
    </row>
    <row r="50647">
      <c r="B50647" s="17" t="s">
        <v>477</v>
      </c>
      <c r="K50647" s="18"/>
    </row>
    <row r="50648">
      <c r="B50648" s="17" t="s">
        <v>477</v>
      </c>
      <c r="K50648" s="18"/>
    </row>
    <row r="50649">
      <c r="B50649" s="17" t="s">
        <v>477</v>
      </c>
      <c r="K50649" s="18"/>
    </row>
    <row r="50650">
      <c r="B50650" s="17" t="s">
        <v>477</v>
      </c>
      <c r="K50650" s="18"/>
    </row>
    <row r="50651">
      <c r="B50651" s="17" t="s">
        <v>477</v>
      </c>
      <c r="K50651" s="18"/>
    </row>
    <row r="50652">
      <c r="B50652" s="17" t="s">
        <v>477</v>
      </c>
      <c r="K50652" s="18"/>
    </row>
    <row r="50653">
      <c r="B50653" s="17" t="s">
        <v>477</v>
      </c>
      <c r="K50653" s="18"/>
    </row>
    <row r="50654">
      <c r="B50654" s="17" t="s">
        <v>477</v>
      </c>
      <c r="K50654" s="18"/>
    </row>
    <row r="50655">
      <c r="B50655" s="17" t="s">
        <v>477</v>
      </c>
      <c r="K50655" s="18"/>
    </row>
    <row r="50656">
      <c r="B50656" s="17" t="s">
        <v>477</v>
      </c>
      <c r="K50656" s="18"/>
    </row>
    <row r="50657">
      <c r="B50657" s="17" t="s">
        <v>477</v>
      </c>
      <c r="K50657" s="18"/>
    </row>
    <row r="50658">
      <c r="B50658" s="17" t="s">
        <v>477</v>
      </c>
      <c r="K50658" s="18"/>
    </row>
    <row r="50659">
      <c r="B50659" s="17" t="s">
        <v>477</v>
      </c>
      <c r="K50659" s="18"/>
    </row>
    <row r="50660">
      <c r="B50660" s="17" t="s">
        <v>477</v>
      </c>
      <c r="K50660" s="18"/>
    </row>
    <row r="50661">
      <c r="B50661" s="17" t="s">
        <v>477</v>
      </c>
      <c r="K50661" s="18"/>
    </row>
    <row r="50662">
      <c r="B50662" s="17" t="s">
        <v>477</v>
      </c>
      <c r="K50662" s="18"/>
    </row>
    <row r="50663">
      <c r="B50663" s="17" t="s">
        <v>477</v>
      </c>
      <c r="K50663" s="18"/>
    </row>
    <row r="50664">
      <c r="B50664" s="17" t="s">
        <v>477</v>
      </c>
      <c r="K50664" s="18"/>
    </row>
    <row r="50665">
      <c r="B50665" s="17" t="s">
        <v>477</v>
      </c>
      <c r="K50665" s="18"/>
    </row>
    <row r="50666">
      <c r="B50666" s="17" t="s">
        <v>477</v>
      </c>
      <c r="K50666" s="18"/>
    </row>
    <row r="50667">
      <c r="B50667" s="17" t="s">
        <v>477</v>
      </c>
      <c r="K50667" s="18"/>
    </row>
    <row r="50668">
      <c r="B50668" s="17" t="s">
        <v>477</v>
      </c>
      <c r="K50668" s="18"/>
    </row>
    <row r="50669">
      <c r="B50669" s="17" t="s">
        <v>477</v>
      </c>
      <c r="K50669" s="18"/>
    </row>
    <row r="50670">
      <c r="B50670" s="17" t="s">
        <v>477</v>
      </c>
      <c r="K50670" s="18"/>
    </row>
    <row r="50671">
      <c r="B50671" s="17" t="s">
        <v>477</v>
      </c>
      <c r="K50671" s="18"/>
    </row>
    <row r="50672">
      <c r="B50672" s="17" t="s">
        <v>477</v>
      </c>
      <c r="K50672" s="18"/>
    </row>
    <row r="50673">
      <c r="B50673" s="17" t="s">
        <v>477</v>
      </c>
      <c r="K50673" s="18"/>
    </row>
    <row r="50674">
      <c r="B50674" s="17" t="s">
        <v>477</v>
      </c>
      <c r="K50674" s="18"/>
    </row>
    <row r="50675">
      <c r="B50675" s="17" t="s">
        <v>477</v>
      </c>
      <c r="K50675" s="18"/>
    </row>
    <row r="50676">
      <c r="B50676" s="17" t="s">
        <v>477</v>
      </c>
      <c r="K50676" s="18"/>
    </row>
    <row r="50677">
      <c r="B50677" s="17" t="s">
        <v>477</v>
      </c>
      <c r="K50677" s="18"/>
    </row>
    <row r="50678">
      <c r="B50678" s="17" t="s">
        <v>477</v>
      </c>
      <c r="K50678" s="18"/>
    </row>
    <row r="50679">
      <c r="B50679" s="17" t="s">
        <v>477</v>
      </c>
      <c r="K50679" s="18"/>
    </row>
    <row r="50680">
      <c r="B50680" s="17" t="s">
        <v>477</v>
      </c>
      <c r="K50680" s="18"/>
    </row>
    <row r="50681">
      <c r="B50681" s="17" t="s">
        <v>477</v>
      </c>
      <c r="K50681" s="18"/>
    </row>
    <row r="50682">
      <c r="B50682" s="17" t="s">
        <v>477</v>
      </c>
      <c r="K50682" s="18"/>
    </row>
    <row r="50683">
      <c r="B50683" s="17" t="s">
        <v>477</v>
      </c>
      <c r="K50683" s="18"/>
    </row>
    <row r="50684">
      <c r="B50684" s="17" t="s">
        <v>477</v>
      </c>
      <c r="K50684" s="18"/>
    </row>
    <row r="50685">
      <c r="B50685" s="17" t="s">
        <v>477</v>
      </c>
      <c r="K50685" s="18"/>
    </row>
    <row r="50686">
      <c r="B50686" s="17" t="s">
        <v>477</v>
      </c>
      <c r="K50686" s="18"/>
    </row>
    <row r="50687">
      <c r="B50687" s="17" t="s">
        <v>477</v>
      </c>
      <c r="K50687" s="18"/>
    </row>
    <row r="50688">
      <c r="B50688" s="17" t="s">
        <v>477</v>
      </c>
      <c r="K50688" s="18"/>
    </row>
    <row r="50689">
      <c r="B50689" s="17" t="s">
        <v>477</v>
      </c>
      <c r="K50689" s="18"/>
    </row>
    <row r="50690">
      <c r="B50690" s="17" t="s">
        <v>477</v>
      </c>
      <c r="K50690" s="18"/>
    </row>
    <row r="50691">
      <c r="B50691" s="17" t="s">
        <v>477</v>
      </c>
      <c r="K50691" s="18"/>
    </row>
    <row r="50692">
      <c r="B50692" s="17" t="s">
        <v>477</v>
      </c>
      <c r="K50692" s="18"/>
    </row>
    <row r="50693">
      <c r="B50693" s="17" t="s">
        <v>477</v>
      </c>
      <c r="K50693" s="18"/>
    </row>
    <row r="50694">
      <c r="B50694" s="17" t="s">
        <v>477</v>
      </c>
      <c r="K50694" s="18"/>
    </row>
    <row r="50695">
      <c r="B50695" s="17" t="s">
        <v>477</v>
      </c>
      <c r="K50695" s="18"/>
    </row>
    <row r="50696">
      <c r="B50696" s="17" t="s">
        <v>477</v>
      </c>
      <c r="K50696" s="18"/>
    </row>
    <row r="50697">
      <c r="B50697" s="17" t="s">
        <v>477</v>
      </c>
      <c r="K50697" s="18"/>
    </row>
    <row r="50698">
      <c r="B50698" s="17" t="s">
        <v>477</v>
      </c>
      <c r="K50698" s="18"/>
    </row>
    <row r="50699">
      <c r="B50699" s="17" t="s">
        <v>477</v>
      </c>
      <c r="K50699" s="18"/>
    </row>
    <row r="50700">
      <c r="B50700" s="17" t="s">
        <v>477</v>
      </c>
      <c r="K50700" s="18"/>
    </row>
    <row r="50701">
      <c r="B50701" s="17" t="s">
        <v>477</v>
      </c>
      <c r="K50701" s="18"/>
    </row>
    <row r="50702">
      <c r="B50702" s="17" t="s">
        <v>477</v>
      </c>
      <c r="K50702" s="18"/>
    </row>
    <row r="50703">
      <c r="B50703" s="17" t="s">
        <v>477</v>
      </c>
      <c r="K50703" s="18"/>
    </row>
    <row r="50704">
      <c r="B50704" s="17" t="s">
        <v>477</v>
      </c>
      <c r="K50704" s="18"/>
    </row>
    <row r="50705">
      <c r="B50705" s="17" t="s">
        <v>477</v>
      </c>
      <c r="K50705" s="18"/>
    </row>
    <row r="50706">
      <c r="B50706" s="17" t="s">
        <v>477</v>
      </c>
      <c r="K50706" s="18"/>
    </row>
    <row r="50707">
      <c r="B50707" s="17" t="s">
        <v>477</v>
      </c>
      <c r="K50707" s="18"/>
    </row>
    <row r="50708">
      <c r="B50708" s="17" t="s">
        <v>477</v>
      </c>
      <c r="K50708" s="18"/>
    </row>
    <row r="50709">
      <c r="B50709" s="17" t="s">
        <v>477</v>
      </c>
      <c r="K50709" s="18"/>
    </row>
    <row r="50710">
      <c r="B50710" s="17" t="s">
        <v>477</v>
      </c>
      <c r="K50710" s="18"/>
    </row>
    <row r="50711">
      <c r="B50711" s="17" t="s">
        <v>477</v>
      </c>
      <c r="K50711" s="18"/>
    </row>
    <row r="50712">
      <c r="B50712" s="17" t="s">
        <v>477</v>
      </c>
      <c r="K50712" s="18"/>
    </row>
    <row r="50713">
      <c r="B50713" s="17" t="s">
        <v>477</v>
      </c>
      <c r="K50713" s="18"/>
    </row>
    <row r="50714">
      <c r="B50714" s="17" t="s">
        <v>477</v>
      </c>
      <c r="K50714" s="18"/>
    </row>
    <row r="50715">
      <c r="B50715" s="17" t="s">
        <v>477</v>
      </c>
      <c r="K50715" s="18"/>
    </row>
    <row r="50716">
      <c r="B50716" s="17" t="s">
        <v>477</v>
      </c>
      <c r="K50716" s="18"/>
    </row>
    <row r="50717">
      <c r="B50717" s="17" t="s">
        <v>477</v>
      </c>
      <c r="K50717" s="18"/>
    </row>
    <row r="50718">
      <c r="B50718" s="17" t="s">
        <v>477</v>
      </c>
      <c r="K50718" s="18"/>
    </row>
    <row r="50719">
      <c r="B50719" s="17" t="s">
        <v>477</v>
      </c>
      <c r="K50719" s="18"/>
    </row>
    <row r="50720">
      <c r="B50720" s="17" t="s">
        <v>477</v>
      </c>
      <c r="K50720" s="18"/>
    </row>
    <row r="50721">
      <c r="B50721" s="17" t="s">
        <v>477</v>
      </c>
      <c r="K50721" s="18"/>
    </row>
    <row r="50722">
      <c r="B50722" s="17" t="s">
        <v>477</v>
      </c>
      <c r="K50722" s="18"/>
    </row>
    <row r="50723">
      <c r="B50723" s="17" t="s">
        <v>477</v>
      </c>
      <c r="K50723" s="18"/>
    </row>
    <row r="50724">
      <c r="B50724" s="17" t="s">
        <v>477</v>
      </c>
      <c r="K50724" s="18"/>
    </row>
    <row r="50725">
      <c r="B50725" s="17" t="s">
        <v>477</v>
      </c>
      <c r="K50725" s="18"/>
    </row>
    <row r="50726">
      <c r="B50726" s="17" t="s">
        <v>477</v>
      </c>
      <c r="K50726" s="18"/>
    </row>
    <row r="50727">
      <c r="B50727" s="17" t="s">
        <v>477</v>
      </c>
      <c r="K50727" s="18"/>
    </row>
    <row r="50728">
      <c r="B50728" s="17" t="s">
        <v>477</v>
      </c>
      <c r="K50728" s="18"/>
    </row>
    <row r="50729">
      <c r="B50729" s="17" t="s">
        <v>477</v>
      </c>
      <c r="K50729" s="18"/>
    </row>
    <row r="50730">
      <c r="B50730" s="17" t="s">
        <v>477</v>
      </c>
      <c r="K50730" s="18"/>
    </row>
    <row r="50731">
      <c r="B50731" s="17" t="s">
        <v>477</v>
      </c>
      <c r="K50731" s="18"/>
    </row>
    <row r="50732">
      <c r="B50732" s="17" t="s">
        <v>477</v>
      </c>
      <c r="K50732" s="18"/>
    </row>
    <row r="50733">
      <c r="B50733" s="17" t="s">
        <v>477</v>
      </c>
      <c r="K50733" s="18"/>
    </row>
    <row r="50734">
      <c r="B50734" s="17" t="s">
        <v>477</v>
      </c>
      <c r="K50734" s="18"/>
    </row>
    <row r="50735">
      <c r="B50735" s="17" t="s">
        <v>477</v>
      </c>
      <c r="K50735" s="18"/>
    </row>
    <row r="50736">
      <c r="B50736" s="17" t="s">
        <v>477</v>
      </c>
      <c r="K50736" s="18"/>
    </row>
    <row r="50737">
      <c r="B50737" s="17" t="s">
        <v>477</v>
      </c>
      <c r="K50737" s="18"/>
    </row>
    <row r="50738">
      <c r="B50738" s="17" t="s">
        <v>477</v>
      </c>
      <c r="K50738" s="18"/>
    </row>
    <row r="50739">
      <c r="B50739" s="17" t="s">
        <v>477</v>
      </c>
      <c r="K50739" s="18"/>
    </row>
    <row r="50740">
      <c r="B50740" s="17" t="s">
        <v>477</v>
      </c>
      <c r="K50740" s="18"/>
    </row>
    <row r="50741">
      <c r="B50741" s="17" t="s">
        <v>477</v>
      </c>
      <c r="K50741" s="18"/>
    </row>
    <row r="50742">
      <c r="B50742" s="17" t="s">
        <v>477</v>
      </c>
      <c r="K50742" s="18"/>
    </row>
    <row r="50743">
      <c r="B50743" s="17" t="s">
        <v>477</v>
      </c>
      <c r="K50743" s="18"/>
    </row>
    <row r="50744">
      <c r="B50744" s="17" t="s">
        <v>477</v>
      </c>
      <c r="K50744" s="18"/>
    </row>
    <row r="50745">
      <c r="B50745" s="17" t="s">
        <v>477</v>
      </c>
      <c r="K50745" s="18"/>
    </row>
    <row r="50746">
      <c r="B50746" s="17" t="s">
        <v>477</v>
      </c>
      <c r="K50746" s="18"/>
    </row>
    <row r="50747">
      <c r="B50747" s="17" t="s">
        <v>477</v>
      </c>
      <c r="K50747" s="18"/>
    </row>
    <row r="50748">
      <c r="B50748" s="17" t="s">
        <v>477</v>
      </c>
      <c r="K50748" s="18"/>
    </row>
    <row r="50749">
      <c r="B50749" s="17" t="s">
        <v>477</v>
      </c>
      <c r="K50749" s="18"/>
    </row>
    <row r="50750">
      <c r="B50750" s="17" t="s">
        <v>477</v>
      </c>
      <c r="K50750" s="18"/>
    </row>
    <row r="50751">
      <c r="B50751" s="17" t="s">
        <v>477</v>
      </c>
      <c r="K50751" s="18"/>
    </row>
    <row r="50752">
      <c r="B50752" s="17" t="s">
        <v>477</v>
      </c>
      <c r="K50752" s="18"/>
    </row>
    <row r="50753">
      <c r="B50753" s="17" t="s">
        <v>477</v>
      </c>
      <c r="K50753" s="18"/>
    </row>
    <row r="50754">
      <c r="B50754" s="17" t="s">
        <v>477</v>
      </c>
      <c r="K50754" s="18"/>
    </row>
    <row r="50755">
      <c r="B50755" s="17" t="s">
        <v>477</v>
      </c>
      <c r="K50755" s="18"/>
    </row>
    <row r="50756">
      <c r="B50756" s="17" t="s">
        <v>477</v>
      </c>
      <c r="K50756" s="18"/>
    </row>
    <row r="50757">
      <c r="B50757" s="17" t="s">
        <v>477</v>
      </c>
      <c r="K50757" s="18"/>
    </row>
    <row r="50758">
      <c r="B50758" s="17" t="s">
        <v>477</v>
      </c>
      <c r="K50758" s="18"/>
    </row>
    <row r="50759">
      <c r="B50759" s="17" t="s">
        <v>477</v>
      </c>
      <c r="K50759" s="18"/>
    </row>
    <row r="50760">
      <c r="B50760" s="17" t="s">
        <v>477</v>
      </c>
      <c r="K50760" s="18"/>
    </row>
    <row r="50761">
      <c r="B50761" s="17" t="s">
        <v>477</v>
      </c>
      <c r="K50761" s="18"/>
    </row>
    <row r="50762">
      <c r="B50762" s="17" t="s">
        <v>477</v>
      </c>
      <c r="K50762" s="18"/>
    </row>
    <row r="50763">
      <c r="B50763" s="17" t="s">
        <v>477</v>
      </c>
      <c r="K50763" s="18"/>
    </row>
    <row r="50764">
      <c r="B50764" s="17" t="s">
        <v>477</v>
      </c>
      <c r="K50764" s="18"/>
    </row>
    <row r="50765">
      <c r="B50765" s="17" t="s">
        <v>477</v>
      </c>
      <c r="K50765" s="18"/>
    </row>
    <row r="50766">
      <c r="B50766" s="17" t="s">
        <v>477</v>
      </c>
      <c r="K50766" s="18"/>
    </row>
    <row r="50767">
      <c r="B50767" s="17" t="s">
        <v>477</v>
      </c>
      <c r="K50767" s="18"/>
    </row>
    <row r="50768">
      <c r="B50768" s="17" t="s">
        <v>477</v>
      </c>
      <c r="K50768" s="18"/>
    </row>
    <row r="50769">
      <c r="B50769" s="17" t="s">
        <v>477</v>
      </c>
      <c r="K50769" s="18"/>
    </row>
    <row r="50770">
      <c r="B50770" s="17" t="s">
        <v>477</v>
      </c>
      <c r="K50770" s="18"/>
    </row>
    <row r="50771">
      <c r="B50771" s="17" t="s">
        <v>477</v>
      </c>
      <c r="K50771" s="18"/>
    </row>
    <row r="50772">
      <c r="B50772" s="17" t="s">
        <v>477</v>
      </c>
      <c r="K50772" s="18"/>
    </row>
    <row r="50773">
      <c r="B50773" s="17" t="s">
        <v>477</v>
      </c>
      <c r="K50773" s="18"/>
    </row>
    <row r="50774">
      <c r="B50774" s="17" t="s">
        <v>477</v>
      </c>
      <c r="K50774" s="18"/>
    </row>
    <row r="50775">
      <c r="B50775" s="17" t="s">
        <v>477</v>
      </c>
      <c r="K50775" s="18"/>
    </row>
    <row r="50776">
      <c r="B50776" s="17" t="s">
        <v>477</v>
      </c>
      <c r="K50776" s="18"/>
    </row>
    <row r="50777">
      <c r="B50777" s="17" t="s">
        <v>477</v>
      </c>
      <c r="K50777" s="18"/>
    </row>
    <row r="50778">
      <c r="B50778" s="17" t="s">
        <v>477</v>
      </c>
      <c r="K50778" s="18"/>
    </row>
    <row r="50779">
      <c r="B50779" s="17" t="s">
        <v>477</v>
      </c>
      <c r="K50779" s="18"/>
    </row>
    <row r="50780">
      <c r="B50780" s="17" t="s">
        <v>477</v>
      </c>
      <c r="K50780" s="18"/>
    </row>
    <row r="50781">
      <c r="B50781" s="17" t="s">
        <v>477</v>
      </c>
      <c r="K50781" s="18"/>
    </row>
    <row r="50782">
      <c r="B50782" s="17" t="s">
        <v>477</v>
      </c>
      <c r="K50782" s="18"/>
    </row>
    <row r="50783">
      <c r="B50783" s="17" t="s">
        <v>477</v>
      </c>
      <c r="K50783" s="18"/>
    </row>
    <row r="50784">
      <c r="B50784" s="17" t="s">
        <v>477</v>
      </c>
      <c r="K50784" s="18"/>
    </row>
    <row r="50785">
      <c r="B50785" s="17" t="s">
        <v>477</v>
      </c>
      <c r="K50785" s="18"/>
    </row>
    <row r="50786">
      <c r="B50786" s="17" t="s">
        <v>477</v>
      </c>
      <c r="K50786" s="18"/>
    </row>
    <row r="50787">
      <c r="B50787" s="17" t="s">
        <v>477</v>
      </c>
      <c r="K50787" s="18"/>
    </row>
    <row r="50788">
      <c r="B50788" s="17" t="s">
        <v>477</v>
      </c>
      <c r="K50788" s="18"/>
    </row>
    <row r="50789">
      <c r="B50789" s="17" t="s">
        <v>477</v>
      </c>
      <c r="K50789" s="18"/>
    </row>
    <row r="50790">
      <c r="B50790" s="17" t="s">
        <v>477</v>
      </c>
      <c r="K50790" s="18"/>
    </row>
    <row r="50791">
      <c r="B50791" s="17" t="s">
        <v>477</v>
      </c>
      <c r="K50791" s="18"/>
    </row>
    <row r="50792">
      <c r="B50792" s="17" t="s">
        <v>477</v>
      </c>
      <c r="K50792" s="18"/>
    </row>
    <row r="50793">
      <c r="B50793" s="17" t="s">
        <v>477</v>
      </c>
      <c r="K50793" s="18"/>
    </row>
    <row r="50794">
      <c r="B50794" s="17" t="s">
        <v>477</v>
      </c>
      <c r="K50794" s="18"/>
    </row>
    <row r="50795">
      <c r="B50795" s="17" t="s">
        <v>477</v>
      </c>
      <c r="K50795" s="18"/>
    </row>
    <row r="50796">
      <c r="B50796" s="17" t="s">
        <v>477</v>
      </c>
      <c r="K50796" s="18"/>
    </row>
    <row r="50797">
      <c r="B50797" s="17" t="s">
        <v>477</v>
      </c>
      <c r="K50797" s="18"/>
    </row>
    <row r="50798">
      <c r="B50798" s="17" t="s">
        <v>477</v>
      </c>
      <c r="K50798" s="18"/>
    </row>
    <row r="50799">
      <c r="B50799" s="17" t="s">
        <v>477</v>
      </c>
      <c r="K50799" s="18"/>
    </row>
    <row r="50800">
      <c r="B50800" s="17" t="s">
        <v>477</v>
      </c>
      <c r="K50800" s="18"/>
    </row>
    <row r="50801">
      <c r="B50801" s="17" t="s">
        <v>477</v>
      </c>
      <c r="K50801" s="18"/>
    </row>
    <row r="50802">
      <c r="B50802" s="17" t="s">
        <v>477</v>
      </c>
      <c r="K50802" s="18"/>
    </row>
    <row r="50803">
      <c r="B50803" s="17" t="s">
        <v>477</v>
      </c>
      <c r="K50803" s="18"/>
    </row>
    <row r="50804">
      <c r="B50804" s="17" t="s">
        <v>477</v>
      </c>
      <c r="K50804" s="18"/>
    </row>
    <row r="50805">
      <c r="B50805" s="17" t="s">
        <v>477</v>
      </c>
      <c r="K50805" s="18"/>
    </row>
    <row r="50806">
      <c r="B50806" s="17" t="s">
        <v>477</v>
      </c>
      <c r="K50806" s="18"/>
    </row>
    <row r="50807">
      <c r="B50807" s="17" t="s">
        <v>477</v>
      </c>
      <c r="K50807" s="18"/>
    </row>
    <row r="50808">
      <c r="B50808" s="17" t="s">
        <v>477</v>
      </c>
      <c r="K50808" s="18"/>
    </row>
    <row r="50809">
      <c r="B50809" s="17" t="s">
        <v>477</v>
      </c>
      <c r="K50809" s="18"/>
    </row>
    <row r="50810">
      <c r="B50810" s="17" t="s">
        <v>477</v>
      </c>
      <c r="K50810" s="18"/>
    </row>
    <row r="50811">
      <c r="B50811" s="17" t="s">
        <v>477</v>
      </c>
      <c r="K50811" s="18"/>
    </row>
    <row r="50812">
      <c r="B50812" s="17" t="s">
        <v>477</v>
      </c>
      <c r="K50812" s="18"/>
    </row>
    <row r="50813">
      <c r="B50813" s="17" t="s">
        <v>477</v>
      </c>
      <c r="K50813" s="18"/>
    </row>
    <row r="50814">
      <c r="B50814" s="17" t="s">
        <v>477</v>
      </c>
      <c r="K50814" s="18"/>
    </row>
    <row r="50815">
      <c r="B50815" s="17" t="s">
        <v>477</v>
      </c>
      <c r="K50815" s="18"/>
    </row>
    <row r="50816">
      <c r="B50816" s="17" t="s">
        <v>477</v>
      </c>
      <c r="K50816" s="18"/>
    </row>
    <row r="50817">
      <c r="B50817" s="17" t="s">
        <v>477</v>
      </c>
      <c r="K50817" s="18"/>
    </row>
    <row r="50818">
      <c r="B50818" s="17" t="s">
        <v>477</v>
      </c>
      <c r="K50818" s="18"/>
    </row>
    <row r="50819">
      <c r="B50819" s="17" t="s">
        <v>477</v>
      </c>
      <c r="K50819" s="18"/>
    </row>
    <row r="50820">
      <c r="B50820" s="17" t="s">
        <v>477</v>
      </c>
      <c r="K50820" s="18"/>
    </row>
    <row r="50821">
      <c r="B50821" s="17" t="s">
        <v>477</v>
      </c>
      <c r="K50821" s="18"/>
    </row>
    <row r="50822">
      <c r="B50822" s="17" t="s">
        <v>477</v>
      </c>
      <c r="K50822" s="18"/>
    </row>
    <row r="50823">
      <c r="B50823" s="17" t="s">
        <v>477</v>
      </c>
      <c r="K50823" s="18"/>
    </row>
    <row r="50824">
      <c r="B50824" s="17" t="s">
        <v>477</v>
      </c>
      <c r="K50824" s="18"/>
    </row>
    <row r="50825">
      <c r="B50825" s="17" t="s">
        <v>477</v>
      </c>
      <c r="K50825" s="18"/>
    </row>
    <row r="50826">
      <c r="B50826" s="17" t="s">
        <v>477</v>
      </c>
      <c r="K50826" s="18"/>
    </row>
    <row r="50827">
      <c r="B50827" s="17" t="s">
        <v>477</v>
      </c>
      <c r="K50827" s="18"/>
    </row>
    <row r="50828">
      <c r="B50828" s="17" t="s">
        <v>477</v>
      </c>
      <c r="K50828" s="18"/>
    </row>
    <row r="50829">
      <c r="B50829" s="17" t="s">
        <v>477</v>
      </c>
      <c r="K50829" s="18"/>
    </row>
    <row r="50830">
      <c r="B50830" s="17" t="s">
        <v>477</v>
      </c>
      <c r="K50830" s="18"/>
    </row>
    <row r="50831">
      <c r="B50831" s="17" t="s">
        <v>477</v>
      </c>
      <c r="K50831" s="18"/>
    </row>
    <row r="50832">
      <c r="B50832" s="17" t="s">
        <v>477</v>
      </c>
      <c r="K50832" s="18"/>
    </row>
    <row r="50833">
      <c r="B50833" s="17" t="s">
        <v>477</v>
      </c>
      <c r="K50833" s="18"/>
    </row>
    <row r="50834">
      <c r="B50834" s="17" t="s">
        <v>477</v>
      </c>
      <c r="K50834" s="18"/>
    </row>
    <row r="50835">
      <c r="B50835" s="17" t="s">
        <v>477</v>
      </c>
      <c r="K50835" s="18"/>
    </row>
    <row r="50836">
      <c r="B50836" s="17" t="s">
        <v>477</v>
      </c>
      <c r="K50836" s="18"/>
    </row>
    <row r="50837">
      <c r="B50837" s="17" t="s">
        <v>477</v>
      </c>
      <c r="K50837" s="18"/>
    </row>
    <row r="50838">
      <c r="B50838" s="17" t="s">
        <v>477</v>
      </c>
      <c r="K50838" s="18"/>
    </row>
    <row r="50839">
      <c r="B50839" s="17" t="s">
        <v>477</v>
      </c>
      <c r="K50839" s="18"/>
    </row>
    <row r="50840">
      <c r="B50840" s="17" t="s">
        <v>477</v>
      </c>
      <c r="K50840" s="18"/>
    </row>
    <row r="50841">
      <c r="B50841" s="17" t="s">
        <v>477</v>
      </c>
      <c r="K50841" s="18"/>
    </row>
    <row r="50842">
      <c r="B50842" s="17" t="s">
        <v>477</v>
      </c>
      <c r="K50842" s="18"/>
    </row>
    <row r="50843">
      <c r="B50843" s="17" t="s">
        <v>477</v>
      </c>
      <c r="K50843" s="18"/>
    </row>
    <row r="50844">
      <c r="B50844" s="17" t="s">
        <v>477</v>
      </c>
      <c r="K50844" s="18"/>
    </row>
    <row r="50845">
      <c r="B50845" s="17" t="s">
        <v>477</v>
      </c>
      <c r="K50845" s="18"/>
    </row>
    <row r="50846">
      <c r="B50846" s="17" t="s">
        <v>477</v>
      </c>
      <c r="K50846" s="18"/>
    </row>
    <row r="50847">
      <c r="B50847" s="17" t="s">
        <v>477</v>
      </c>
      <c r="K50847" s="18"/>
    </row>
    <row r="50848">
      <c r="B50848" s="17" t="s">
        <v>477</v>
      </c>
      <c r="K50848" s="18"/>
    </row>
    <row r="50849">
      <c r="B50849" s="17" t="s">
        <v>477</v>
      </c>
      <c r="K50849" s="18"/>
    </row>
    <row r="50850">
      <c r="B50850" s="17" t="s">
        <v>477</v>
      </c>
      <c r="K50850" s="18"/>
    </row>
    <row r="50851">
      <c r="B50851" s="17" t="s">
        <v>477</v>
      </c>
      <c r="K50851" s="18"/>
    </row>
    <row r="50852">
      <c r="B50852" s="17" t="s">
        <v>477</v>
      </c>
      <c r="K50852" s="18"/>
    </row>
    <row r="50853">
      <c r="B50853" s="17" t="s">
        <v>477</v>
      </c>
      <c r="K50853" s="18"/>
    </row>
    <row r="50854">
      <c r="B50854" s="17" t="s">
        <v>477</v>
      </c>
      <c r="K50854" s="18"/>
    </row>
    <row r="50855">
      <c r="B50855" s="17" t="s">
        <v>477</v>
      </c>
      <c r="K50855" s="18"/>
    </row>
    <row r="50856">
      <c r="B50856" s="17" t="s">
        <v>477</v>
      </c>
      <c r="K50856" s="18"/>
    </row>
    <row r="50857">
      <c r="B50857" s="17" t="s">
        <v>477</v>
      </c>
      <c r="K50857" s="18"/>
    </row>
    <row r="50858">
      <c r="B50858" s="17" t="s">
        <v>477</v>
      </c>
      <c r="K50858" s="18"/>
    </row>
    <row r="50859">
      <c r="B50859" s="17" t="s">
        <v>477</v>
      </c>
      <c r="K50859" s="18"/>
    </row>
    <row r="50860">
      <c r="B50860" s="17" t="s">
        <v>477</v>
      </c>
      <c r="K50860" s="18"/>
    </row>
    <row r="50861">
      <c r="B50861" s="17" t="s">
        <v>477</v>
      </c>
      <c r="K50861" s="18"/>
    </row>
    <row r="50862">
      <c r="B50862" s="17" t="s">
        <v>477</v>
      </c>
      <c r="K50862" s="18"/>
    </row>
    <row r="50863">
      <c r="B50863" s="17" t="s">
        <v>477</v>
      </c>
      <c r="K50863" s="18"/>
    </row>
    <row r="50864">
      <c r="B50864" s="17" t="s">
        <v>477</v>
      </c>
      <c r="K50864" s="18"/>
    </row>
    <row r="50865">
      <c r="B50865" s="17" t="s">
        <v>477</v>
      </c>
      <c r="K50865" s="18"/>
    </row>
    <row r="50866">
      <c r="B50866" s="17" t="s">
        <v>477</v>
      </c>
      <c r="K50866" s="18"/>
    </row>
    <row r="50867">
      <c r="B50867" s="17" t="s">
        <v>477</v>
      </c>
      <c r="K50867" s="18"/>
    </row>
    <row r="50868">
      <c r="B50868" s="17" t="s">
        <v>477</v>
      </c>
      <c r="K50868" s="18"/>
    </row>
    <row r="50869">
      <c r="B50869" s="17" t="s">
        <v>477</v>
      </c>
      <c r="K50869" s="18"/>
    </row>
    <row r="50870">
      <c r="B50870" s="17" t="s">
        <v>477</v>
      </c>
      <c r="K50870" s="18"/>
    </row>
    <row r="50871">
      <c r="B50871" s="17" t="s">
        <v>477</v>
      </c>
      <c r="K50871" s="18"/>
    </row>
    <row r="50872">
      <c r="B50872" s="17" t="s">
        <v>477</v>
      </c>
      <c r="K50872" s="18"/>
    </row>
    <row r="50873">
      <c r="B50873" s="17" t="s">
        <v>477</v>
      </c>
      <c r="K50873" s="18"/>
    </row>
    <row r="50874">
      <c r="B50874" s="17" t="s">
        <v>477</v>
      </c>
      <c r="K50874" s="18"/>
    </row>
    <row r="50875">
      <c r="B50875" s="17" t="s">
        <v>477</v>
      </c>
      <c r="K50875" s="18"/>
    </row>
    <row r="50876">
      <c r="B50876" s="17" t="s">
        <v>477</v>
      </c>
      <c r="K50876" s="18"/>
    </row>
    <row r="50877">
      <c r="B50877" s="17" t="s">
        <v>477</v>
      </c>
      <c r="K50877" s="18"/>
    </row>
    <row r="50878">
      <c r="B50878" s="17" t="s">
        <v>477</v>
      </c>
      <c r="K50878" s="18"/>
    </row>
    <row r="50879">
      <c r="B50879" s="17" t="s">
        <v>477</v>
      </c>
      <c r="K50879" s="18"/>
    </row>
    <row r="50880">
      <c r="B50880" s="17" t="s">
        <v>477</v>
      </c>
      <c r="K50880" s="18"/>
    </row>
    <row r="50881">
      <c r="B50881" s="17" t="s">
        <v>477</v>
      </c>
      <c r="K50881" s="18"/>
    </row>
    <row r="50882">
      <c r="B50882" s="17" t="s">
        <v>477</v>
      </c>
      <c r="K50882" s="18"/>
    </row>
    <row r="50883">
      <c r="B50883" s="17" t="s">
        <v>477</v>
      </c>
      <c r="K50883" s="18"/>
    </row>
    <row r="50884">
      <c r="B50884" s="17" t="s">
        <v>477</v>
      </c>
      <c r="K50884" s="18"/>
    </row>
    <row r="50885">
      <c r="B50885" s="17" t="s">
        <v>477</v>
      </c>
      <c r="K50885" s="18"/>
    </row>
    <row r="50886">
      <c r="B50886" s="17" t="s">
        <v>477</v>
      </c>
      <c r="K50886" s="18"/>
    </row>
    <row r="50887">
      <c r="B50887" s="17" t="s">
        <v>477</v>
      </c>
      <c r="K50887" s="18"/>
    </row>
    <row r="50888">
      <c r="B50888" s="17" t="s">
        <v>477</v>
      </c>
      <c r="K50888" s="18"/>
    </row>
    <row r="50889">
      <c r="B50889" s="17" t="s">
        <v>477</v>
      </c>
      <c r="K50889" s="18"/>
    </row>
    <row r="50890">
      <c r="B50890" s="17" t="s">
        <v>477</v>
      </c>
      <c r="K50890" s="18"/>
    </row>
    <row r="50891">
      <c r="B50891" s="17" t="s">
        <v>477</v>
      </c>
      <c r="K50891" s="18"/>
    </row>
    <row r="50892">
      <c r="B50892" s="17" t="s">
        <v>477</v>
      </c>
      <c r="K50892" s="18"/>
    </row>
    <row r="50893">
      <c r="B50893" s="17" t="s">
        <v>477</v>
      </c>
      <c r="K50893" s="18"/>
    </row>
    <row r="50894">
      <c r="B50894" s="17" t="s">
        <v>477</v>
      </c>
      <c r="K50894" s="18"/>
    </row>
    <row r="50895">
      <c r="B50895" s="17" t="s">
        <v>477</v>
      </c>
      <c r="K50895" s="18"/>
    </row>
    <row r="50896">
      <c r="B50896" s="17" t="s">
        <v>477</v>
      </c>
      <c r="K50896" s="18"/>
    </row>
    <row r="50897">
      <c r="B50897" s="17" t="s">
        <v>477</v>
      </c>
      <c r="K50897" s="18"/>
    </row>
    <row r="50898">
      <c r="B50898" s="17" t="s">
        <v>477</v>
      </c>
      <c r="K50898" s="18"/>
    </row>
    <row r="50899">
      <c r="B50899" s="17" t="s">
        <v>477</v>
      </c>
      <c r="K50899" s="18"/>
    </row>
    <row r="50900">
      <c r="B50900" s="17" t="s">
        <v>477</v>
      </c>
      <c r="K50900" s="18"/>
    </row>
    <row r="50901">
      <c r="B50901" s="17" t="s">
        <v>477</v>
      </c>
      <c r="K50901" s="18"/>
    </row>
    <row r="50902">
      <c r="B50902" s="17" t="s">
        <v>477</v>
      </c>
      <c r="K50902" s="18"/>
    </row>
    <row r="50903">
      <c r="B50903" s="17" t="s">
        <v>477</v>
      </c>
      <c r="K50903" s="18"/>
    </row>
    <row r="50904">
      <c r="B50904" s="17" t="s">
        <v>477</v>
      </c>
      <c r="K50904" s="18"/>
    </row>
    <row r="50905">
      <c r="B50905" s="17" t="s">
        <v>477</v>
      </c>
      <c r="K50905" s="18"/>
    </row>
    <row r="50906">
      <c r="B50906" s="17" t="s">
        <v>477</v>
      </c>
      <c r="K50906" s="18"/>
    </row>
    <row r="50907">
      <c r="B50907" s="17" t="s">
        <v>477</v>
      </c>
      <c r="K50907" s="18"/>
    </row>
    <row r="50908">
      <c r="B50908" s="17" t="s">
        <v>477</v>
      </c>
      <c r="K50908" s="18"/>
    </row>
    <row r="50909">
      <c r="B50909" s="17" t="s">
        <v>477</v>
      </c>
      <c r="K50909" s="18"/>
    </row>
    <row r="50910">
      <c r="B50910" s="17" t="s">
        <v>477</v>
      </c>
      <c r="K50910" s="18"/>
    </row>
    <row r="50911">
      <c r="B50911" s="17" t="s">
        <v>477</v>
      </c>
      <c r="K50911" s="18"/>
    </row>
    <row r="50912">
      <c r="B50912" s="17" t="s">
        <v>477</v>
      </c>
      <c r="K50912" s="18"/>
    </row>
    <row r="50913">
      <c r="B50913" s="17" t="s">
        <v>477</v>
      </c>
      <c r="K50913" s="18"/>
    </row>
    <row r="50914">
      <c r="B50914" s="17" t="s">
        <v>477</v>
      </c>
      <c r="K50914" s="18"/>
    </row>
    <row r="50915">
      <c r="B50915" s="17" t="s">
        <v>477</v>
      </c>
      <c r="K50915" s="18"/>
    </row>
    <row r="50916">
      <c r="B50916" s="17" t="s">
        <v>477</v>
      </c>
      <c r="K50916" s="18"/>
    </row>
    <row r="50917">
      <c r="B50917" s="17" t="s">
        <v>477</v>
      </c>
      <c r="K50917" s="18"/>
    </row>
    <row r="50918">
      <c r="B50918" s="17" t="s">
        <v>477</v>
      </c>
      <c r="K50918" s="18"/>
    </row>
    <row r="50919">
      <c r="B50919" s="17" t="s">
        <v>477</v>
      </c>
      <c r="K50919" s="18"/>
    </row>
    <row r="50920">
      <c r="B50920" s="17" t="s">
        <v>477</v>
      </c>
      <c r="K50920" s="18"/>
    </row>
    <row r="50921">
      <c r="B50921" s="17" t="s">
        <v>477</v>
      </c>
      <c r="K50921" s="18"/>
    </row>
    <row r="50922">
      <c r="B50922" s="17" t="s">
        <v>477</v>
      </c>
      <c r="K50922" s="18"/>
    </row>
    <row r="50923">
      <c r="B50923" s="17" t="s">
        <v>477</v>
      </c>
      <c r="K50923" s="18"/>
    </row>
    <row r="50924">
      <c r="B50924" s="17" t="s">
        <v>477</v>
      </c>
      <c r="K50924" s="18"/>
    </row>
    <row r="50925">
      <c r="B50925" s="17" t="s">
        <v>477</v>
      </c>
      <c r="K50925" s="18"/>
    </row>
    <row r="50926">
      <c r="B50926" s="17" t="s">
        <v>477</v>
      </c>
      <c r="K50926" s="18"/>
    </row>
    <row r="50927">
      <c r="B50927" s="17" t="s">
        <v>477</v>
      </c>
      <c r="K50927" s="18"/>
    </row>
    <row r="50928">
      <c r="B50928" s="17" t="s">
        <v>477</v>
      </c>
      <c r="K50928" s="18"/>
    </row>
    <row r="50929">
      <c r="B50929" s="17" t="s">
        <v>477</v>
      </c>
      <c r="K50929" s="18"/>
    </row>
    <row r="50930">
      <c r="B50930" s="17" t="s">
        <v>477</v>
      </c>
      <c r="K50930" s="18"/>
    </row>
    <row r="50931">
      <c r="B50931" s="17" t="s">
        <v>477</v>
      </c>
      <c r="K50931" s="18"/>
    </row>
    <row r="50932">
      <c r="B50932" s="17" t="s">
        <v>477</v>
      </c>
      <c r="K50932" s="18"/>
    </row>
    <row r="50933">
      <c r="B50933" s="17" t="s">
        <v>477</v>
      </c>
      <c r="K50933" s="18"/>
    </row>
    <row r="50934">
      <c r="B50934" s="17" t="s">
        <v>477</v>
      </c>
      <c r="K50934" s="18"/>
    </row>
    <row r="50935">
      <c r="B50935" s="17" t="s">
        <v>477</v>
      </c>
      <c r="K50935" s="18"/>
    </row>
    <row r="50936">
      <c r="B50936" s="17" t="s">
        <v>477</v>
      </c>
      <c r="K50936" s="18"/>
    </row>
    <row r="50937">
      <c r="B50937" s="17" t="s">
        <v>477</v>
      </c>
      <c r="K50937" s="18"/>
    </row>
    <row r="50938">
      <c r="B50938" s="17" t="s">
        <v>477</v>
      </c>
      <c r="K50938" s="18"/>
    </row>
    <row r="50939">
      <c r="B50939" s="17" t="s">
        <v>477</v>
      </c>
      <c r="K50939" s="18"/>
    </row>
    <row r="50940">
      <c r="B50940" s="17" t="s">
        <v>477</v>
      </c>
      <c r="K50940" s="18"/>
    </row>
    <row r="50941">
      <c r="B50941" s="17" t="s">
        <v>477</v>
      </c>
      <c r="K50941" s="18"/>
    </row>
    <row r="50942">
      <c r="B50942" s="17" t="s">
        <v>477</v>
      </c>
      <c r="K50942" s="18"/>
    </row>
    <row r="50943">
      <c r="B50943" s="17" t="s">
        <v>477</v>
      </c>
      <c r="K50943" s="18"/>
    </row>
    <row r="50944">
      <c r="B50944" s="17" t="s">
        <v>477</v>
      </c>
      <c r="K50944" s="18"/>
    </row>
    <row r="50945">
      <c r="B50945" s="17" t="s">
        <v>477</v>
      </c>
      <c r="K50945" s="18"/>
    </row>
    <row r="50946">
      <c r="B50946" s="17" t="s">
        <v>477</v>
      </c>
      <c r="K50946" s="18"/>
    </row>
    <row r="50947">
      <c r="B50947" s="17" t="s">
        <v>477</v>
      </c>
      <c r="K50947" s="18"/>
    </row>
    <row r="50948">
      <c r="B50948" s="17" t="s">
        <v>477</v>
      </c>
      <c r="K50948" s="18"/>
    </row>
    <row r="50949">
      <c r="B50949" s="17" t="s">
        <v>477</v>
      </c>
      <c r="K50949" s="18"/>
    </row>
    <row r="50950">
      <c r="B50950" s="17" t="s">
        <v>477</v>
      </c>
      <c r="K50950" s="18"/>
    </row>
    <row r="50951">
      <c r="B50951" s="17" t="s">
        <v>477</v>
      </c>
      <c r="K50951" s="18"/>
    </row>
    <row r="50952">
      <c r="B50952" s="17" t="s">
        <v>477</v>
      </c>
      <c r="K50952" s="18"/>
    </row>
    <row r="50953">
      <c r="B50953" s="17" t="s">
        <v>477</v>
      </c>
      <c r="K50953" s="18"/>
    </row>
    <row r="50954">
      <c r="B50954" s="17" t="s">
        <v>477</v>
      </c>
      <c r="K50954" s="18"/>
    </row>
    <row r="50955">
      <c r="B50955" s="17" t="s">
        <v>477</v>
      </c>
      <c r="K50955" s="18"/>
    </row>
    <row r="50956">
      <c r="B50956" s="17" t="s">
        <v>477</v>
      </c>
      <c r="K50956" s="18"/>
    </row>
    <row r="50957">
      <c r="B50957" s="17" t="s">
        <v>477</v>
      </c>
      <c r="K50957" s="18"/>
    </row>
    <row r="50958">
      <c r="B50958" s="17" t="s">
        <v>477</v>
      </c>
      <c r="K50958" s="18"/>
    </row>
    <row r="50959">
      <c r="B50959" s="17" t="s">
        <v>477</v>
      </c>
      <c r="K50959" s="18"/>
    </row>
    <row r="50960">
      <c r="B50960" s="17" t="s">
        <v>477</v>
      </c>
      <c r="K50960" s="18"/>
    </row>
    <row r="50961">
      <c r="B50961" s="17" t="s">
        <v>477</v>
      </c>
      <c r="K50961" s="18"/>
    </row>
    <row r="50962">
      <c r="B50962" s="17" t="s">
        <v>477</v>
      </c>
      <c r="K50962" s="18"/>
    </row>
    <row r="50963">
      <c r="B50963" s="17" t="s">
        <v>477</v>
      </c>
      <c r="K50963" s="18"/>
    </row>
    <row r="50964">
      <c r="B50964" s="17" t="s">
        <v>477</v>
      </c>
      <c r="K50964" s="18"/>
    </row>
    <row r="50965">
      <c r="B50965" s="17" t="s">
        <v>477</v>
      </c>
      <c r="K50965" s="18"/>
    </row>
    <row r="50966">
      <c r="B50966" s="17" t="s">
        <v>477</v>
      </c>
      <c r="K50966" s="18"/>
    </row>
    <row r="50967">
      <c r="B50967" s="17" t="s">
        <v>477</v>
      </c>
      <c r="K50967" s="18"/>
    </row>
    <row r="50968">
      <c r="B50968" s="17" t="s">
        <v>477</v>
      </c>
      <c r="K50968" s="18"/>
    </row>
    <row r="50969">
      <c r="B50969" s="17" t="s">
        <v>477</v>
      </c>
      <c r="K50969" s="18"/>
    </row>
    <row r="50970">
      <c r="B50970" s="17" t="s">
        <v>477</v>
      </c>
      <c r="K50970" s="18"/>
    </row>
    <row r="50971">
      <c r="B50971" s="17" t="s">
        <v>477</v>
      </c>
      <c r="K50971" s="18"/>
    </row>
    <row r="50972">
      <c r="B50972" s="17" t="s">
        <v>477</v>
      </c>
      <c r="K50972" s="18"/>
    </row>
    <row r="50973">
      <c r="B50973" s="17" t="s">
        <v>477</v>
      </c>
      <c r="K50973" s="18"/>
    </row>
    <row r="50974">
      <c r="B50974" s="17" t="s">
        <v>477</v>
      </c>
      <c r="K50974" s="18"/>
    </row>
    <row r="50975">
      <c r="B50975" s="17" t="s">
        <v>477</v>
      </c>
      <c r="K50975" s="18"/>
    </row>
    <row r="50976">
      <c r="B50976" s="17" t="s">
        <v>477</v>
      </c>
      <c r="K50976" s="18"/>
    </row>
    <row r="50977">
      <c r="B50977" s="17" t="s">
        <v>477</v>
      </c>
      <c r="K50977" s="18"/>
    </row>
    <row r="50978">
      <c r="B50978" s="17" t="s">
        <v>477</v>
      </c>
      <c r="K50978" s="18"/>
    </row>
    <row r="50979">
      <c r="B50979" s="17" t="s">
        <v>477</v>
      </c>
      <c r="K50979" s="18"/>
    </row>
    <row r="50980">
      <c r="B50980" s="17" t="s">
        <v>477</v>
      </c>
      <c r="K50980" s="18"/>
    </row>
    <row r="50981">
      <c r="B50981" s="17" t="s">
        <v>477</v>
      </c>
      <c r="K50981" s="18"/>
    </row>
    <row r="50982">
      <c r="B50982" s="17" t="s">
        <v>477</v>
      </c>
      <c r="K50982" s="18"/>
    </row>
    <row r="50983">
      <c r="B50983" s="17" t="s">
        <v>477</v>
      </c>
      <c r="K50983" s="18"/>
    </row>
    <row r="50984">
      <c r="B50984" s="17" t="s">
        <v>477</v>
      </c>
      <c r="K50984" s="18"/>
    </row>
    <row r="50985">
      <c r="B50985" s="17" t="s">
        <v>477</v>
      </c>
      <c r="K50985" s="18"/>
    </row>
    <row r="50986">
      <c r="B50986" s="17" t="s">
        <v>477</v>
      </c>
      <c r="K50986" s="18"/>
    </row>
    <row r="50987">
      <c r="B50987" s="17" t="s">
        <v>477</v>
      </c>
      <c r="K50987" s="18"/>
    </row>
    <row r="50988">
      <c r="B50988" s="17" t="s">
        <v>477</v>
      </c>
      <c r="K50988" s="18"/>
    </row>
    <row r="50989">
      <c r="B50989" s="17" t="s">
        <v>477</v>
      </c>
      <c r="K50989" s="18"/>
    </row>
    <row r="50990">
      <c r="B50990" s="17" t="s">
        <v>477</v>
      </c>
      <c r="K50990" s="18"/>
    </row>
    <row r="50991">
      <c r="B50991" s="17" t="s">
        <v>477</v>
      </c>
      <c r="K50991" s="18"/>
    </row>
    <row r="50992">
      <c r="B50992" s="17" t="s">
        <v>477</v>
      </c>
      <c r="K50992" s="18"/>
    </row>
    <row r="50993">
      <c r="B50993" s="17" t="s">
        <v>477</v>
      </c>
      <c r="K50993" s="18"/>
    </row>
    <row r="50994">
      <c r="B50994" s="17" t="s">
        <v>477</v>
      </c>
      <c r="K50994" s="18"/>
    </row>
    <row r="50995">
      <c r="B50995" s="17" t="s">
        <v>477</v>
      </c>
      <c r="K50995" s="18"/>
    </row>
    <row r="50996">
      <c r="B50996" s="17" t="s">
        <v>477</v>
      </c>
      <c r="K50996" s="18"/>
    </row>
    <row r="50997">
      <c r="B50997" s="17" t="s">
        <v>477</v>
      </c>
      <c r="K50997" s="18"/>
    </row>
    <row r="50998">
      <c r="B50998" s="17" t="s">
        <v>477</v>
      </c>
      <c r="K50998" s="18"/>
    </row>
    <row r="50999">
      <c r="B50999" s="17" t="s">
        <v>477</v>
      </c>
      <c r="K50999" s="18"/>
    </row>
    <row r="51000">
      <c r="B51000" s="17" t="s">
        <v>477</v>
      </c>
      <c r="K51000" s="18"/>
    </row>
    <row r="51001">
      <c r="B51001" s="17" t="s">
        <v>477</v>
      </c>
      <c r="K51001" s="18"/>
    </row>
    <row r="51002">
      <c r="B51002" s="17" t="s">
        <v>477</v>
      </c>
      <c r="K51002" s="18"/>
    </row>
    <row r="51003">
      <c r="B51003" s="17" t="s">
        <v>477</v>
      </c>
      <c r="K51003" s="18"/>
    </row>
    <row r="51004">
      <c r="B51004" s="17" t="s">
        <v>477</v>
      </c>
      <c r="K51004" s="18"/>
    </row>
    <row r="51005">
      <c r="B51005" s="17" t="s">
        <v>477</v>
      </c>
      <c r="K51005" s="18"/>
    </row>
    <row r="51006">
      <c r="B51006" s="17" t="s">
        <v>477</v>
      </c>
      <c r="K51006" s="18"/>
    </row>
    <row r="51007">
      <c r="B51007" s="17" t="s">
        <v>477</v>
      </c>
      <c r="K51007" s="18"/>
    </row>
    <row r="51008">
      <c r="B51008" s="17" t="s">
        <v>477</v>
      </c>
      <c r="K51008" s="18"/>
    </row>
    <row r="51009">
      <c r="B51009" s="17" t="s">
        <v>477</v>
      </c>
      <c r="K51009" s="18"/>
    </row>
    <row r="51010">
      <c r="B51010" s="17" t="s">
        <v>477</v>
      </c>
      <c r="K51010" s="18"/>
    </row>
    <row r="51011">
      <c r="B51011" s="17" t="s">
        <v>477</v>
      </c>
      <c r="K51011" s="18"/>
    </row>
    <row r="51012">
      <c r="B51012" s="17" t="s">
        <v>477</v>
      </c>
      <c r="K51012" s="18"/>
    </row>
    <row r="51013">
      <c r="B51013" s="17" t="s">
        <v>477</v>
      </c>
      <c r="K51013" s="18"/>
    </row>
    <row r="51014">
      <c r="B51014" s="17" t="s">
        <v>477</v>
      </c>
      <c r="K51014" s="18"/>
    </row>
    <row r="51015">
      <c r="B51015" s="17" t="s">
        <v>477</v>
      </c>
      <c r="K51015" s="18"/>
    </row>
    <row r="51016">
      <c r="B51016" s="17" t="s">
        <v>477</v>
      </c>
      <c r="K51016" s="18"/>
    </row>
    <row r="51017">
      <c r="B51017" s="17" t="s">
        <v>477</v>
      </c>
      <c r="K51017" s="18"/>
    </row>
    <row r="51018">
      <c r="B51018" s="17" t="s">
        <v>477</v>
      </c>
      <c r="K51018" s="18"/>
    </row>
    <row r="51019">
      <c r="B51019" s="17" t="s">
        <v>477</v>
      </c>
      <c r="K51019" s="18"/>
    </row>
    <row r="51020">
      <c r="B51020" s="17" t="s">
        <v>477</v>
      </c>
      <c r="K51020" s="18"/>
    </row>
    <row r="51021">
      <c r="B51021" s="17" t="s">
        <v>477</v>
      </c>
      <c r="K51021" s="18"/>
    </row>
    <row r="51022">
      <c r="B51022" s="17" t="s">
        <v>477</v>
      </c>
      <c r="K51022" s="18"/>
    </row>
    <row r="51023">
      <c r="B51023" s="17" t="s">
        <v>477</v>
      </c>
      <c r="K51023" s="18"/>
    </row>
    <row r="51024">
      <c r="B51024" s="17" t="s">
        <v>477</v>
      </c>
      <c r="K51024" s="18"/>
    </row>
    <row r="51025">
      <c r="B51025" s="17" t="s">
        <v>477</v>
      </c>
      <c r="K51025" s="18"/>
    </row>
    <row r="51026">
      <c r="B51026" s="17" t="s">
        <v>477</v>
      </c>
      <c r="K51026" s="18"/>
    </row>
    <row r="51027">
      <c r="B51027" s="17" t="s">
        <v>477</v>
      </c>
      <c r="K51027" s="18"/>
    </row>
    <row r="51028">
      <c r="B51028" s="17" t="s">
        <v>477</v>
      </c>
      <c r="K51028" s="18"/>
    </row>
    <row r="51029">
      <c r="B51029" s="17" t="s">
        <v>477</v>
      </c>
      <c r="K51029" s="18"/>
    </row>
    <row r="51030">
      <c r="B51030" s="17" t="s">
        <v>477</v>
      </c>
      <c r="K51030" s="18"/>
    </row>
    <row r="51031">
      <c r="B51031" s="17" t="s">
        <v>477</v>
      </c>
      <c r="K51031" s="18"/>
    </row>
    <row r="51032">
      <c r="B51032" s="17" t="s">
        <v>477</v>
      </c>
      <c r="K51032" s="18"/>
    </row>
    <row r="51033">
      <c r="B51033" s="17" t="s">
        <v>477</v>
      </c>
      <c r="K51033" s="18"/>
    </row>
    <row r="51034">
      <c r="B51034" s="17" t="s">
        <v>477</v>
      </c>
      <c r="K51034" s="18"/>
    </row>
    <row r="51035">
      <c r="B51035" s="17" t="s">
        <v>477</v>
      </c>
      <c r="K51035" s="18"/>
    </row>
    <row r="51036">
      <c r="B51036" s="17" t="s">
        <v>477</v>
      </c>
      <c r="K51036" s="18"/>
    </row>
    <row r="51037">
      <c r="B51037" s="17" t="s">
        <v>477</v>
      </c>
      <c r="K51037" s="18"/>
    </row>
    <row r="51038">
      <c r="B51038" s="17" t="s">
        <v>477</v>
      </c>
      <c r="K51038" s="18"/>
    </row>
    <row r="51039">
      <c r="B51039" s="17" t="s">
        <v>477</v>
      </c>
      <c r="K51039" s="18"/>
    </row>
    <row r="51040">
      <c r="B51040" s="17" t="s">
        <v>477</v>
      </c>
      <c r="K51040" s="18"/>
    </row>
    <row r="51041">
      <c r="B51041" s="17" t="s">
        <v>477</v>
      </c>
      <c r="K51041" s="18"/>
    </row>
    <row r="51042">
      <c r="B51042" s="17" t="s">
        <v>477</v>
      </c>
      <c r="K51042" s="18"/>
    </row>
    <row r="51043">
      <c r="B51043" s="17" t="s">
        <v>477</v>
      </c>
      <c r="K51043" s="18"/>
    </row>
    <row r="51044">
      <c r="B51044" s="17" t="s">
        <v>477</v>
      </c>
      <c r="K51044" s="18"/>
    </row>
    <row r="51045">
      <c r="B51045" s="17" t="s">
        <v>477</v>
      </c>
      <c r="K51045" s="18"/>
    </row>
    <row r="51046">
      <c r="B51046" s="17" t="s">
        <v>477</v>
      </c>
      <c r="K51046" s="18"/>
    </row>
    <row r="51047">
      <c r="B51047" s="17" t="s">
        <v>477</v>
      </c>
      <c r="K51047" s="18"/>
    </row>
    <row r="51048">
      <c r="B51048" s="17" t="s">
        <v>477</v>
      </c>
      <c r="K51048" s="18"/>
    </row>
    <row r="51049">
      <c r="B51049" s="17" t="s">
        <v>477</v>
      </c>
      <c r="K51049" s="18"/>
    </row>
    <row r="51050">
      <c r="B51050" s="17" t="s">
        <v>477</v>
      </c>
      <c r="K51050" s="18"/>
    </row>
    <row r="51051">
      <c r="B51051" s="17" t="s">
        <v>477</v>
      </c>
      <c r="K51051" s="18"/>
    </row>
    <row r="51052">
      <c r="B51052" s="17" t="s">
        <v>477</v>
      </c>
      <c r="K51052" s="18"/>
    </row>
    <row r="51053">
      <c r="B51053" s="17" t="s">
        <v>477</v>
      </c>
      <c r="K51053" s="18"/>
    </row>
    <row r="51054">
      <c r="B51054" s="17" t="s">
        <v>477</v>
      </c>
      <c r="K51054" s="18"/>
    </row>
    <row r="51055">
      <c r="B51055" s="17" t="s">
        <v>477</v>
      </c>
      <c r="K51055" s="18"/>
    </row>
    <row r="51056">
      <c r="B51056" s="17" t="s">
        <v>477</v>
      </c>
      <c r="K51056" s="18"/>
    </row>
    <row r="51057">
      <c r="B51057" s="17" t="s">
        <v>477</v>
      </c>
      <c r="K51057" s="18"/>
    </row>
    <row r="51058">
      <c r="B51058" s="17" t="s">
        <v>477</v>
      </c>
      <c r="K51058" s="18"/>
    </row>
    <row r="51059">
      <c r="B51059" s="17" t="s">
        <v>477</v>
      </c>
      <c r="K51059" s="18"/>
    </row>
    <row r="51060">
      <c r="B51060" s="17" t="s">
        <v>477</v>
      </c>
      <c r="K51060" s="18"/>
    </row>
    <row r="51061">
      <c r="B51061" s="17" t="s">
        <v>477</v>
      </c>
      <c r="K51061" s="18"/>
    </row>
    <row r="51062">
      <c r="B51062" s="17" t="s">
        <v>477</v>
      </c>
      <c r="K51062" s="18"/>
    </row>
    <row r="51063">
      <c r="B51063" s="17" t="s">
        <v>477</v>
      </c>
      <c r="K51063" s="18"/>
    </row>
    <row r="51064">
      <c r="B51064" s="17" t="s">
        <v>477</v>
      </c>
      <c r="K51064" s="18"/>
    </row>
    <row r="51065">
      <c r="B51065" s="17" t="s">
        <v>477</v>
      </c>
      <c r="K51065" s="18"/>
    </row>
    <row r="51066">
      <c r="B51066" s="17" t="s">
        <v>477</v>
      </c>
      <c r="K51066" s="18"/>
    </row>
    <row r="51067">
      <c r="B51067" s="17" t="s">
        <v>477</v>
      </c>
      <c r="K51067" s="18"/>
    </row>
    <row r="51068">
      <c r="B51068" s="17" t="s">
        <v>477</v>
      </c>
      <c r="K51068" s="18"/>
    </row>
    <row r="51069">
      <c r="B51069" s="17" t="s">
        <v>477</v>
      </c>
      <c r="K51069" s="18"/>
    </row>
    <row r="51070">
      <c r="B51070" s="17" t="s">
        <v>477</v>
      </c>
      <c r="K51070" s="18"/>
    </row>
    <row r="51071">
      <c r="B51071" s="17" t="s">
        <v>477</v>
      </c>
      <c r="K51071" s="18"/>
    </row>
    <row r="51072">
      <c r="B51072" s="17" t="s">
        <v>477</v>
      </c>
      <c r="K51072" s="18"/>
    </row>
    <row r="51073">
      <c r="B51073" s="17" t="s">
        <v>477</v>
      </c>
      <c r="K51073" s="18"/>
    </row>
    <row r="51074">
      <c r="B51074" s="17" t="s">
        <v>477</v>
      </c>
      <c r="K51074" s="18"/>
    </row>
    <row r="51075">
      <c r="B51075" s="17" t="s">
        <v>477</v>
      </c>
      <c r="K51075" s="18"/>
    </row>
    <row r="51076">
      <c r="B51076" s="17" t="s">
        <v>477</v>
      </c>
      <c r="K51076" s="18"/>
    </row>
    <row r="51077">
      <c r="B51077" s="17" t="s">
        <v>477</v>
      </c>
      <c r="K51077" s="18"/>
    </row>
    <row r="51078">
      <c r="B51078" s="17" t="s">
        <v>477</v>
      </c>
      <c r="K51078" s="18"/>
    </row>
    <row r="51079">
      <c r="B51079" s="17" t="s">
        <v>477</v>
      </c>
      <c r="K51079" s="18"/>
    </row>
    <row r="51080">
      <c r="B51080" s="17" t="s">
        <v>477</v>
      </c>
      <c r="K51080" s="18"/>
    </row>
    <row r="51081">
      <c r="B51081" s="17" t="s">
        <v>477</v>
      </c>
      <c r="K51081" s="18"/>
    </row>
    <row r="51082">
      <c r="B51082" s="17" t="s">
        <v>477</v>
      </c>
      <c r="K51082" s="18"/>
    </row>
    <row r="51083">
      <c r="B51083" s="17" t="s">
        <v>477</v>
      </c>
      <c r="K51083" s="18"/>
    </row>
    <row r="51084">
      <c r="B51084" s="17" t="s">
        <v>477</v>
      </c>
      <c r="K51084" s="18"/>
    </row>
    <row r="51085">
      <c r="B51085" s="17" t="s">
        <v>477</v>
      </c>
      <c r="K51085" s="18"/>
    </row>
    <row r="51086">
      <c r="B51086" s="17" t="s">
        <v>477</v>
      </c>
      <c r="K51086" s="18"/>
    </row>
    <row r="51087">
      <c r="B51087" s="17" t="s">
        <v>477</v>
      </c>
      <c r="K51087" s="18"/>
    </row>
    <row r="51088">
      <c r="B51088" s="17" t="s">
        <v>477</v>
      </c>
      <c r="K51088" s="18"/>
    </row>
    <row r="51089">
      <c r="B51089" s="17" t="s">
        <v>477</v>
      </c>
      <c r="K51089" s="18"/>
    </row>
    <row r="51090">
      <c r="B51090" s="17" t="s">
        <v>477</v>
      </c>
      <c r="K51090" s="18"/>
    </row>
    <row r="51091">
      <c r="B51091" s="17" t="s">
        <v>477</v>
      </c>
      <c r="K51091" s="18"/>
    </row>
    <row r="51092">
      <c r="B51092" s="17" t="s">
        <v>477</v>
      </c>
      <c r="K51092" s="18"/>
    </row>
    <row r="51093">
      <c r="B51093" s="17" t="s">
        <v>477</v>
      </c>
      <c r="K51093" s="18"/>
    </row>
    <row r="51094">
      <c r="B51094" s="17" t="s">
        <v>477</v>
      </c>
      <c r="K51094" s="18"/>
    </row>
    <row r="51095">
      <c r="B51095" s="17" t="s">
        <v>477</v>
      </c>
      <c r="K51095" s="18"/>
    </row>
    <row r="51096">
      <c r="B51096" s="17" t="s">
        <v>477</v>
      </c>
      <c r="K51096" s="18"/>
    </row>
    <row r="51097">
      <c r="B51097" s="17" t="s">
        <v>477</v>
      </c>
      <c r="K51097" s="18"/>
    </row>
    <row r="51098">
      <c r="B51098" s="17" t="s">
        <v>477</v>
      </c>
      <c r="K51098" s="18"/>
    </row>
    <row r="51099">
      <c r="B51099" s="17" t="s">
        <v>477</v>
      </c>
      <c r="K51099" s="18"/>
    </row>
    <row r="51100">
      <c r="B51100" s="17" t="s">
        <v>477</v>
      </c>
      <c r="K51100" s="18"/>
    </row>
    <row r="51101">
      <c r="B51101" s="17" t="s">
        <v>477</v>
      </c>
      <c r="K51101" s="18"/>
    </row>
    <row r="51102">
      <c r="B51102" s="17" t="s">
        <v>477</v>
      </c>
      <c r="K51102" s="18"/>
    </row>
    <row r="51103">
      <c r="B51103" s="17" t="s">
        <v>477</v>
      </c>
      <c r="K51103" s="18"/>
    </row>
    <row r="51104">
      <c r="B51104" s="17" t="s">
        <v>477</v>
      </c>
      <c r="K51104" s="18"/>
    </row>
    <row r="51105">
      <c r="B51105" s="17" t="s">
        <v>477</v>
      </c>
      <c r="K51105" s="18"/>
    </row>
    <row r="51106">
      <c r="B51106" s="17" t="s">
        <v>477</v>
      </c>
      <c r="K51106" s="18"/>
    </row>
    <row r="51107">
      <c r="B51107" s="17" t="s">
        <v>477</v>
      </c>
      <c r="K51107" s="18"/>
    </row>
    <row r="51108">
      <c r="B51108" s="17" t="s">
        <v>477</v>
      </c>
      <c r="K51108" s="18"/>
    </row>
    <row r="51109">
      <c r="B51109" s="17" t="s">
        <v>477</v>
      </c>
      <c r="K51109" s="18"/>
    </row>
    <row r="51110">
      <c r="B51110" s="17" t="s">
        <v>477</v>
      </c>
      <c r="K51110" s="18"/>
    </row>
    <row r="51111">
      <c r="B51111" s="17" t="s">
        <v>477</v>
      </c>
      <c r="K51111" s="18"/>
    </row>
    <row r="51112">
      <c r="B51112" s="17" t="s">
        <v>477</v>
      </c>
      <c r="K51112" s="18"/>
    </row>
    <row r="51113">
      <c r="B51113" s="17" t="s">
        <v>477</v>
      </c>
      <c r="K51113" s="18"/>
    </row>
    <row r="51114">
      <c r="B51114" s="17" t="s">
        <v>477</v>
      </c>
      <c r="K51114" s="18"/>
    </row>
    <row r="51115">
      <c r="B51115" s="17" t="s">
        <v>477</v>
      </c>
      <c r="K51115" s="18"/>
    </row>
    <row r="51116">
      <c r="B51116" s="17" t="s">
        <v>477</v>
      </c>
      <c r="K51116" s="18"/>
    </row>
    <row r="51117">
      <c r="B51117" s="17" t="s">
        <v>477</v>
      </c>
      <c r="K51117" s="18"/>
    </row>
    <row r="51118">
      <c r="B51118" s="17" t="s">
        <v>477</v>
      </c>
      <c r="K51118" s="18"/>
    </row>
    <row r="51119">
      <c r="B51119" s="17" t="s">
        <v>477</v>
      </c>
      <c r="K51119" s="18"/>
    </row>
    <row r="51120">
      <c r="B51120" s="17" t="s">
        <v>477</v>
      </c>
      <c r="K51120" s="18"/>
    </row>
    <row r="51121">
      <c r="B51121" s="17" t="s">
        <v>477</v>
      </c>
      <c r="K51121" s="18"/>
    </row>
    <row r="51122">
      <c r="B51122" s="17" t="s">
        <v>477</v>
      </c>
      <c r="K51122" s="18"/>
    </row>
    <row r="51123">
      <c r="B51123" s="17" t="s">
        <v>477</v>
      </c>
      <c r="K51123" s="18"/>
    </row>
    <row r="51124">
      <c r="B51124" s="17" t="s">
        <v>477</v>
      </c>
      <c r="K51124" s="18"/>
    </row>
    <row r="51125">
      <c r="B51125" s="17" t="s">
        <v>477</v>
      </c>
      <c r="K51125" s="18"/>
    </row>
    <row r="51126">
      <c r="B51126" s="17" t="s">
        <v>477</v>
      </c>
      <c r="K51126" s="18"/>
    </row>
    <row r="51127">
      <c r="B51127" s="17" t="s">
        <v>477</v>
      </c>
      <c r="K51127" s="18"/>
    </row>
    <row r="51128">
      <c r="B51128" s="17" t="s">
        <v>477</v>
      </c>
      <c r="K51128" s="18"/>
    </row>
    <row r="51129">
      <c r="B51129" s="17" t="s">
        <v>477</v>
      </c>
      <c r="K51129" s="18"/>
    </row>
    <row r="51130">
      <c r="B51130" s="17" t="s">
        <v>477</v>
      </c>
      <c r="K51130" s="18"/>
    </row>
    <row r="51131">
      <c r="B51131" s="17" t="s">
        <v>477</v>
      </c>
      <c r="K51131" s="18"/>
    </row>
    <row r="51132">
      <c r="B51132" s="17" t="s">
        <v>477</v>
      </c>
      <c r="K51132" s="18"/>
    </row>
    <row r="51133">
      <c r="B51133" s="17" t="s">
        <v>477</v>
      </c>
      <c r="K51133" s="18"/>
    </row>
    <row r="51134">
      <c r="B51134" s="17" t="s">
        <v>477</v>
      </c>
      <c r="K51134" s="18"/>
    </row>
    <row r="51135">
      <c r="B51135" s="17" t="s">
        <v>477</v>
      </c>
      <c r="K51135" s="18"/>
    </row>
    <row r="51136">
      <c r="B51136" s="17" t="s">
        <v>477</v>
      </c>
      <c r="K51136" s="18"/>
    </row>
    <row r="51137">
      <c r="B51137" s="17" t="s">
        <v>477</v>
      </c>
      <c r="K51137" s="18"/>
    </row>
    <row r="51138">
      <c r="B51138" s="17" t="s">
        <v>477</v>
      </c>
      <c r="K51138" s="18"/>
    </row>
    <row r="51139">
      <c r="B51139" s="17" t="s">
        <v>477</v>
      </c>
      <c r="K51139" s="18"/>
    </row>
    <row r="51140">
      <c r="B51140" s="17" t="s">
        <v>477</v>
      </c>
      <c r="K51140" s="18"/>
    </row>
    <row r="51141">
      <c r="B51141" s="17" t="s">
        <v>477</v>
      </c>
      <c r="K51141" s="18"/>
    </row>
    <row r="51142">
      <c r="B51142" s="17" t="s">
        <v>477</v>
      </c>
      <c r="K51142" s="18"/>
    </row>
    <row r="51143">
      <c r="B51143" s="17" t="s">
        <v>477</v>
      </c>
      <c r="K51143" s="18"/>
    </row>
    <row r="51144">
      <c r="B51144" s="17" t="s">
        <v>477</v>
      </c>
      <c r="K51144" s="18"/>
    </row>
    <row r="51145">
      <c r="B51145" s="17" t="s">
        <v>477</v>
      </c>
      <c r="K51145" s="18"/>
    </row>
    <row r="51146">
      <c r="B51146" s="17" t="s">
        <v>477</v>
      </c>
      <c r="K51146" s="18"/>
    </row>
    <row r="51147">
      <c r="B51147" s="17" t="s">
        <v>477</v>
      </c>
      <c r="K51147" s="18"/>
    </row>
    <row r="51148">
      <c r="B51148" s="17" t="s">
        <v>477</v>
      </c>
      <c r="K51148" s="18"/>
    </row>
    <row r="51149">
      <c r="B51149" s="17" t="s">
        <v>477</v>
      </c>
      <c r="K51149" s="18"/>
    </row>
    <row r="51150">
      <c r="B51150" s="17" t="s">
        <v>477</v>
      </c>
      <c r="K51150" s="18"/>
    </row>
    <row r="51151">
      <c r="B51151" s="17" t="s">
        <v>477</v>
      </c>
      <c r="K51151" s="18"/>
    </row>
    <row r="51152">
      <c r="B51152" s="17" t="s">
        <v>477</v>
      </c>
      <c r="K51152" s="18"/>
    </row>
    <row r="51153">
      <c r="B51153" s="17" t="s">
        <v>477</v>
      </c>
      <c r="K51153" s="18"/>
    </row>
    <row r="51154">
      <c r="B51154" s="17" t="s">
        <v>477</v>
      </c>
      <c r="K51154" s="18"/>
    </row>
    <row r="51155">
      <c r="B51155" s="17" t="s">
        <v>477</v>
      </c>
      <c r="K51155" s="18"/>
    </row>
    <row r="51156">
      <c r="B51156" s="17" t="s">
        <v>477</v>
      </c>
      <c r="K51156" s="18"/>
    </row>
    <row r="51157">
      <c r="B51157" s="17" t="s">
        <v>477</v>
      </c>
      <c r="K51157" s="18"/>
    </row>
    <row r="51158">
      <c r="B51158" s="17" t="s">
        <v>477</v>
      </c>
      <c r="K51158" s="18"/>
    </row>
    <row r="51159">
      <c r="B51159" s="17" t="s">
        <v>477</v>
      </c>
      <c r="K51159" s="18"/>
    </row>
    <row r="51160">
      <c r="B51160" s="17" t="s">
        <v>477</v>
      </c>
      <c r="K51160" s="18"/>
    </row>
    <row r="51161">
      <c r="B51161" s="17" t="s">
        <v>477</v>
      </c>
      <c r="K51161" s="18"/>
    </row>
    <row r="51162">
      <c r="B51162" s="17" t="s">
        <v>477</v>
      </c>
      <c r="K51162" s="18"/>
    </row>
    <row r="51163">
      <c r="B51163" s="17" t="s">
        <v>477</v>
      </c>
      <c r="K51163" s="18"/>
    </row>
    <row r="51164">
      <c r="B51164" s="17" t="s">
        <v>477</v>
      </c>
      <c r="K51164" s="18"/>
    </row>
    <row r="51165">
      <c r="B51165" s="17" t="s">
        <v>477</v>
      </c>
      <c r="K51165" s="18"/>
    </row>
    <row r="51166">
      <c r="B51166" s="17" t="s">
        <v>477</v>
      </c>
      <c r="K51166" s="18"/>
    </row>
    <row r="51167">
      <c r="B51167" s="17" t="s">
        <v>477</v>
      </c>
      <c r="K51167" s="18"/>
    </row>
    <row r="51168">
      <c r="B51168" s="17" t="s">
        <v>477</v>
      </c>
      <c r="K51168" s="18"/>
    </row>
    <row r="51169">
      <c r="B51169" s="17" t="s">
        <v>477</v>
      </c>
      <c r="K51169" s="18"/>
    </row>
    <row r="51170">
      <c r="B51170" s="17" t="s">
        <v>477</v>
      </c>
      <c r="K51170" s="18"/>
    </row>
    <row r="51171">
      <c r="B51171" s="17" t="s">
        <v>477</v>
      </c>
      <c r="K51171" s="18"/>
    </row>
    <row r="51172">
      <c r="B51172" s="17" t="s">
        <v>477</v>
      </c>
      <c r="K51172" s="18"/>
    </row>
    <row r="51173">
      <c r="B51173" s="17" t="s">
        <v>477</v>
      </c>
      <c r="K51173" s="18"/>
    </row>
    <row r="51174">
      <c r="B51174" s="17" t="s">
        <v>477</v>
      </c>
      <c r="K51174" s="18"/>
    </row>
    <row r="51175">
      <c r="B51175" s="17" t="s">
        <v>477</v>
      </c>
      <c r="K51175" s="18"/>
    </row>
    <row r="51176">
      <c r="B51176" s="17" t="s">
        <v>477</v>
      </c>
      <c r="K51176" s="18"/>
    </row>
    <row r="51177">
      <c r="B51177" s="17" t="s">
        <v>477</v>
      </c>
      <c r="K51177" s="18"/>
    </row>
    <row r="51178">
      <c r="B51178" s="17" t="s">
        <v>477</v>
      </c>
      <c r="K51178" s="18"/>
    </row>
    <row r="51179">
      <c r="B51179" s="17" t="s">
        <v>477</v>
      </c>
      <c r="K51179" s="18"/>
    </row>
    <row r="51180">
      <c r="B51180" s="17" t="s">
        <v>477</v>
      </c>
      <c r="K51180" s="18"/>
    </row>
    <row r="51181">
      <c r="B51181" s="17" t="s">
        <v>477</v>
      </c>
      <c r="K51181" s="18"/>
    </row>
    <row r="51182">
      <c r="B51182" s="17" t="s">
        <v>477</v>
      </c>
      <c r="K51182" s="18"/>
    </row>
    <row r="51183">
      <c r="B51183" s="17" t="s">
        <v>477</v>
      </c>
      <c r="K51183" s="18"/>
    </row>
    <row r="51184">
      <c r="B51184" s="17" t="s">
        <v>477</v>
      </c>
      <c r="K51184" s="18"/>
    </row>
    <row r="51185">
      <c r="B51185" s="17" t="s">
        <v>477</v>
      </c>
      <c r="K51185" s="18"/>
    </row>
    <row r="51186">
      <c r="B51186" s="17" t="s">
        <v>477</v>
      </c>
      <c r="K51186" s="18"/>
    </row>
    <row r="51187">
      <c r="B51187" s="17" t="s">
        <v>477</v>
      </c>
      <c r="K51187" s="18"/>
    </row>
    <row r="51188">
      <c r="B51188" s="17" t="s">
        <v>477</v>
      </c>
      <c r="K51188" s="18"/>
    </row>
    <row r="51189">
      <c r="B51189" s="17" t="s">
        <v>477</v>
      </c>
      <c r="K51189" s="18"/>
    </row>
    <row r="51190">
      <c r="B51190" s="17" t="s">
        <v>477</v>
      </c>
      <c r="K51190" s="18"/>
    </row>
    <row r="51191">
      <c r="B51191" s="17" t="s">
        <v>477</v>
      </c>
      <c r="K51191" s="18"/>
    </row>
    <row r="51192">
      <c r="B51192" s="17" t="s">
        <v>477</v>
      </c>
      <c r="K51192" s="18"/>
    </row>
    <row r="51193">
      <c r="B51193" s="17" t="s">
        <v>477</v>
      </c>
      <c r="K51193" s="18"/>
    </row>
    <row r="51194">
      <c r="B51194" s="17" t="s">
        <v>477</v>
      </c>
      <c r="K51194" s="18"/>
    </row>
    <row r="51195">
      <c r="B51195" s="17" t="s">
        <v>477</v>
      </c>
      <c r="K51195" s="18"/>
    </row>
    <row r="51196">
      <c r="B51196" s="17" t="s">
        <v>477</v>
      </c>
      <c r="K51196" s="18"/>
    </row>
    <row r="51197">
      <c r="B51197" s="17" t="s">
        <v>477</v>
      </c>
      <c r="K51197" s="18"/>
    </row>
    <row r="51198">
      <c r="B51198" s="17" t="s">
        <v>477</v>
      </c>
      <c r="K51198" s="18"/>
    </row>
    <row r="51199">
      <c r="B51199" s="17" t="s">
        <v>477</v>
      </c>
      <c r="K51199" s="18"/>
    </row>
    <row r="51200">
      <c r="B51200" s="17" t="s">
        <v>477</v>
      </c>
      <c r="K51200" s="18"/>
    </row>
    <row r="51201">
      <c r="B51201" s="17" t="s">
        <v>477</v>
      </c>
      <c r="K51201" s="18"/>
    </row>
    <row r="51202">
      <c r="B51202" s="17" t="s">
        <v>477</v>
      </c>
      <c r="K51202" s="18"/>
    </row>
    <row r="51203">
      <c r="B51203" s="17" t="s">
        <v>477</v>
      </c>
      <c r="K51203" s="18"/>
    </row>
    <row r="51204">
      <c r="B51204" s="17" t="s">
        <v>477</v>
      </c>
      <c r="K51204" s="18"/>
    </row>
    <row r="51205">
      <c r="B51205" s="17" t="s">
        <v>477</v>
      </c>
      <c r="K51205" s="18"/>
    </row>
    <row r="51206">
      <c r="B51206" s="17" t="s">
        <v>477</v>
      </c>
      <c r="K51206" s="18"/>
    </row>
    <row r="51207">
      <c r="B51207" s="17" t="s">
        <v>477</v>
      </c>
      <c r="K51207" s="18"/>
    </row>
    <row r="51208">
      <c r="B51208" s="17" t="s">
        <v>477</v>
      </c>
      <c r="K51208" s="18"/>
    </row>
    <row r="51209">
      <c r="B51209" s="17" t="s">
        <v>477</v>
      </c>
      <c r="K51209" s="18"/>
    </row>
    <row r="51210">
      <c r="B51210" s="17" t="s">
        <v>477</v>
      </c>
      <c r="K51210" s="18"/>
    </row>
    <row r="51211">
      <c r="B51211" s="17" t="s">
        <v>477</v>
      </c>
      <c r="K51211" s="18"/>
    </row>
    <row r="51212">
      <c r="B51212" s="17" t="s">
        <v>477</v>
      </c>
      <c r="K51212" s="18"/>
    </row>
    <row r="51213">
      <c r="B51213" s="17" t="s">
        <v>477</v>
      </c>
      <c r="K51213" s="18"/>
    </row>
    <row r="51214">
      <c r="B51214" s="17" t="s">
        <v>477</v>
      </c>
      <c r="K51214" s="18"/>
    </row>
    <row r="51215">
      <c r="B51215" s="17" t="s">
        <v>477</v>
      </c>
      <c r="K51215" s="18"/>
    </row>
    <row r="51216">
      <c r="B51216" s="17" t="s">
        <v>477</v>
      </c>
      <c r="K51216" s="18"/>
    </row>
    <row r="51217">
      <c r="B51217" s="17" t="s">
        <v>477</v>
      </c>
      <c r="K51217" s="18"/>
    </row>
    <row r="51218">
      <c r="B51218" s="17" t="s">
        <v>477</v>
      </c>
      <c r="K51218" s="18"/>
    </row>
    <row r="51219">
      <c r="B51219" s="17" t="s">
        <v>477</v>
      </c>
      <c r="K51219" s="18"/>
    </row>
    <row r="51220">
      <c r="B51220" s="17" t="s">
        <v>477</v>
      </c>
      <c r="K51220" s="18"/>
    </row>
    <row r="51221">
      <c r="B51221" s="17" t="s">
        <v>477</v>
      </c>
      <c r="K51221" s="18"/>
    </row>
    <row r="51222">
      <c r="B51222" s="17" t="s">
        <v>477</v>
      </c>
      <c r="K51222" s="18"/>
    </row>
    <row r="51223">
      <c r="B51223" s="17" t="s">
        <v>477</v>
      </c>
      <c r="K51223" s="18"/>
    </row>
    <row r="51224">
      <c r="B51224" s="17" t="s">
        <v>477</v>
      </c>
      <c r="K51224" s="18"/>
    </row>
    <row r="51225">
      <c r="B51225" s="17" t="s">
        <v>477</v>
      </c>
      <c r="K51225" s="18"/>
    </row>
    <row r="51226">
      <c r="B51226" s="17" t="s">
        <v>477</v>
      </c>
      <c r="K51226" s="18"/>
    </row>
    <row r="51227">
      <c r="B51227" s="17" t="s">
        <v>477</v>
      </c>
      <c r="K51227" s="18"/>
    </row>
    <row r="51228">
      <c r="B51228" s="17" t="s">
        <v>477</v>
      </c>
      <c r="K51228" s="18"/>
    </row>
    <row r="51229">
      <c r="B51229" s="17" t="s">
        <v>477</v>
      </c>
      <c r="K51229" s="18"/>
    </row>
    <row r="51230">
      <c r="B51230" s="17" t="s">
        <v>477</v>
      </c>
      <c r="K51230" s="18"/>
    </row>
    <row r="51231">
      <c r="B51231" s="17" t="s">
        <v>477</v>
      </c>
      <c r="K51231" s="18"/>
    </row>
    <row r="51232">
      <c r="B51232" s="17" t="s">
        <v>477</v>
      </c>
      <c r="K51232" s="18"/>
    </row>
    <row r="51233">
      <c r="B51233" s="17" t="s">
        <v>477</v>
      </c>
      <c r="K51233" s="18"/>
    </row>
    <row r="51234">
      <c r="B51234" s="17" t="s">
        <v>477</v>
      </c>
      <c r="K51234" s="18"/>
    </row>
    <row r="51235">
      <c r="B51235" s="17" t="s">
        <v>477</v>
      </c>
      <c r="K51235" s="18"/>
    </row>
    <row r="51236">
      <c r="B51236" s="17" t="s">
        <v>477</v>
      </c>
      <c r="K51236" s="18"/>
    </row>
    <row r="51237">
      <c r="B51237" s="17" t="s">
        <v>477</v>
      </c>
      <c r="K51237" s="18"/>
    </row>
    <row r="51238">
      <c r="B51238" s="17" t="s">
        <v>477</v>
      </c>
      <c r="K51238" s="18"/>
    </row>
    <row r="51239">
      <c r="B51239" s="17" t="s">
        <v>477</v>
      </c>
      <c r="K51239" s="18"/>
    </row>
    <row r="51240">
      <c r="B51240" s="17" t="s">
        <v>477</v>
      </c>
      <c r="K51240" s="18"/>
    </row>
    <row r="51241">
      <c r="B51241" s="17" t="s">
        <v>477</v>
      </c>
      <c r="K51241" s="18"/>
    </row>
    <row r="51242">
      <c r="B51242" s="17" t="s">
        <v>477</v>
      </c>
      <c r="K51242" s="18"/>
    </row>
    <row r="51243">
      <c r="B51243" s="17" t="s">
        <v>477</v>
      </c>
      <c r="K51243" s="18"/>
    </row>
    <row r="51244">
      <c r="B51244" s="17" t="s">
        <v>477</v>
      </c>
      <c r="K51244" s="18"/>
    </row>
    <row r="51245">
      <c r="B51245" s="17" t="s">
        <v>477</v>
      </c>
      <c r="K51245" s="18"/>
    </row>
    <row r="51246">
      <c r="B51246" s="17" t="s">
        <v>477</v>
      </c>
      <c r="K51246" s="18"/>
    </row>
    <row r="51247">
      <c r="B51247" s="17" t="s">
        <v>477</v>
      </c>
      <c r="K51247" s="18"/>
    </row>
    <row r="51248">
      <c r="B51248" s="17" t="s">
        <v>477</v>
      </c>
      <c r="K51248" s="18"/>
    </row>
    <row r="51249">
      <c r="B51249" s="17" t="s">
        <v>477</v>
      </c>
      <c r="K51249" s="18"/>
    </row>
    <row r="51250">
      <c r="B51250" s="17" t="s">
        <v>477</v>
      </c>
      <c r="K51250" s="18"/>
    </row>
    <row r="51251">
      <c r="B51251" s="17" t="s">
        <v>477</v>
      </c>
      <c r="K51251" s="18"/>
    </row>
    <row r="51252">
      <c r="B51252" s="17" t="s">
        <v>477</v>
      </c>
      <c r="K51252" s="18"/>
    </row>
    <row r="51253">
      <c r="B51253" s="17" t="s">
        <v>477</v>
      </c>
      <c r="K51253" s="18"/>
    </row>
    <row r="51254">
      <c r="B51254" s="17" t="s">
        <v>477</v>
      </c>
      <c r="K51254" s="18"/>
    </row>
    <row r="51255">
      <c r="B51255" s="17" t="s">
        <v>477</v>
      </c>
      <c r="K51255" s="18"/>
    </row>
    <row r="51256">
      <c r="B51256" s="17" t="s">
        <v>477</v>
      </c>
      <c r="K51256" s="18"/>
    </row>
    <row r="51257">
      <c r="B51257" s="17" t="s">
        <v>477</v>
      </c>
      <c r="K51257" s="18"/>
    </row>
    <row r="51258">
      <c r="B51258" s="17" t="s">
        <v>477</v>
      </c>
      <c r="K51258" s="18"/>
    </row>
    <row r="51259">
      <c r="B51259" s="17" t="s">
        <v>477</v>
      </c>
      <c r="K51259" s="18"/>
    </row>
    <row r="51260">
      <c r="B51260" s="17" t="s">
        <v>477</v>
      </c>
      <c r="K51260" s="18"/>
    </row>
    <row r="51261">
      <c r="B51261" s="17" t="s">
        <v>477</v>
      </c>
      <c r="K51261" s="18"/>
    </row>
    <row r="51262">
      <c r="B51262" s="17" t="s">
        <v>477</v>
      </c>
      <c r="K51262" s="18"/>
    </row>
    <row r="51263">
      <c r="B51263" s="17" t="s">
        <v>477</v>
      </c>
      <c r="K51263" s="18"/>
    </row>
    <row r="51264">
      <c r="B51264" s="17" t="s">
        <v>477</v>
      </c>
      <c r="K51264" s="18"/>
    </row>
    <row r="51265">
      <c r="B51265" s="17" t="s">
        <v>477</v>
      </c>
      <c r="K51265" s="18"/>
    </row>
    <row r="51266">
      <c r="B51266" s="17" t="s">
        <v>477</v>
      </c>
      <c r="K51266" s="18"/>
    </row>
    <row r="51267">
      <c r="B51267" s="17" t="s">
        <v>477</v>
      </c>
      <c r="K51267" s="18"/>
    </row>
    <row r="51268">
      <c r="B51268" s="17" t="s">
        <v>477</v>
      </c>
      <c r="K51268" s="18"/>
    </row>
    <row r="51269">
      <c r="B51269" s="17" t="s">
        <v>477</v>
      </c>
      <c r="K51269" s="18"/>
    </row>
    <row r="51270">
      <c r="B51270" s="17" t="s">
        <v>477</v>
      </c>
      <c r="K51270" s="18"/>
    </row>
    <row r="51271">
      <c r="B51271" s="17" t="s">
        <v>477</v>
      </c>
      <c r="K51271" s="18"/>
    </row>
    <row r="51272">
      <c r="B51272" s="17" t="s">
        <v>477</v>
      </c>
      <c r="K51272" s="18"/>
    </row>
    <row r="51273">
      <c r="B51273" s="17" t="s">
        <v>477</v>
      </c>
      <c r="K51273" s="18"/>
    </row>
    <row r="51274">
      <c r="B51274" s="17" t="s">
        <v>477</v>
      </c>
      <c r="K51274" s="18"/>
    </row>
    <row r="51275">
      <c r="B51275" s="17" t="s">
        <v>477</v>
      </c>
      <c r="K51275" s="18"/>
    </row>
    <row r="51276">
      <c r="B51276" s="17" t="s">
        <v>477</v>
      </c>
      <c r="K51276" s="18"/>
    </row>
    <row r="51277">
      <c r="B51277" s="17" t="s">
        <v>477</v>
      </c>
      <c r="K51277" s="18"/>
    </row>
    <row r="51278">
      <c r="B51278" s="17" t="s">
        <v>477</v>
      </c>
      <c r="K51278" s="18"/>
    </row>
    <row r="51279">
      <c r="B51279" s="17" t="s">
        <v>477</v>
      </c>
      <c r="K51279" s="18"/>
    </row>
    <row r="51280">
      <c r="B51280" s="17" t="s">
        <v>477</v>
      </c>
      <c r="K51280" s="18"/>
    </row>
    <row r="51281">
      <c r="B51281" s="17" t="s">
        <v>477</v>
      </c>
      <c r="K51281" s="18"/>
    </row>
    <row r="51282">
      <c r="B51282" s="17" t="s">
        <v>477</v>
      </c>
      <c r="K51282" s="18"/>
    </row>
    <row r="51283">
      <c r="B51283" s="17" t="s">
        <v>477</v>
      </c>
      <c r="K51283" s="18"/>
    </row>
    <row r="51284">
      <c r="B51284" s="17" t="s">
        <v>477</v>
      </c>
      <c r="K51284" s="18"/>
    </row>
    <row r="51285">
      <c r="B51285" s="17" t="s">
        <v>477</v>
      </c>
      <c r="K51285" s="18"/>
    </row>
    <row r="51286">
      <c r="B51286" s="17" t="s">
        <v>477</v>
      </c>
      <c r="K51286" s="18"/>
    </row>
    <row r="51287">
      <c r="B51287" s="17" t="s">
        <v>477</v>
      </c>
      <c r="K51287" s="18"/>
    </row>
    <row r="51288">
      <c r="B51288" s="17" t="s">
        <v>477</v>
      </c>
      <c r="K51288" s="18"/>
    </row>
    <row r="51289">
      <c r="B51289" s="17" t="s">
        <v>477</v>
      </c>
      <c r="K51289" s="18"/>
    </row>
    <row r="51290">
      <c r="B51290" s="17" t="s">
        <v>477</v>
      </c>
      <c r="K51290" s="18"/>
    </row>
    <row r="51291">
      <c r="B51291" s="17" t="s">
        <v>477</v>
      </c>
      <c r="K51291" s="18"/>
    </row>
    <row r="51292">
      <c r="B51292" s="17" t="s">
        <v>477</v>
      </c>
      <c r="K51292" s="18"/>
    </row>
    <row r="51293">
      <c r="B51293" s="17" t="s">
        <v>477</v>
      </c>
      <c r="K51293" s="18"/>
    </row>
    <row r="51294">
      <c r="B51294" s="17" t="s">
        <v>477</v>
      </c>
      <c r="K51294" s="18"/>
    </row>
    <row r="51295">
      <c r="B51295" s="17" t="s">
        <v>477</v>
      </c>
      <c r="K51295" s="18"/>
    </row>
    <row r="51296">
      <c r="B51296" s="17" t="s">
        <v>477</v>
      </c>
      <c r="K51296" s="18"/>
    </row>
    <row r="51297">
      <c r="B51297" s="17" t="s">
        <v>477</v>
      </c>
      <c r="K51297" s="18"/>
    </row>
    <row r="51298">
      <c r="B51298" s="17" t="s">
        <v>477</v>
      </c>
      <c r="K51298" s="18"/>
    </row>
    <row r="51299">
      <c r="B51299" s="17" t="s">
        <v>477</v>
      </c>
      <c r="K51299" s="18"/>
    </row>
    <row r="51300">
      <c r="B51300" s="17" t="s">
        <v>477</v>
      </c>
      <c r="K51300" s="18"/>
    </row>
    <row r="51301">
      <c r="B51301" s="17" t="s">
        <v>477</v>
      </c>
      <c r="K51301" s="18"/>
    </row>
    <row r="51302">
      <c r="B51302" s="17" t="s">
        <v>477</v>
      </c>
      <c r="K51302" s="18"/>
    </row>
    <row r="51303">
      <c r="B51303" s="17" t="s">
        <v>477</v>
      </c>
      <c r="K51303" s="18"/>
    </row>
    <row r="51304">
      <c r="B51304" s="17" t="s">
        <v>477</v>
      </c>
      <c r="K51304" s="18"/>
    </row>
    <row r="51305">
      <c r="B51305" s="17" t="s">
        <v>477</v>
      </c>
      <c r="K51305" s="18"/>
    </row>
    <row r="51306">
      <c r="B51306" s="17" t="s">
        <v>477</v>
      </c>
      <c r="K51306" s="18"/>
    </row>
    <row r="51307">
      <c r="B51307" s="17" t="s">
        <v>477</v>
      </c>
      <c r="K51307" s="18"/>
    </row>
    <row r="51308">
      <c r="B51308" s="17" t="s">
        <v>477</v>
      </c>
      <c r="K51308" s="18"/>
    </row>
    <row r="51309">
      <c r="B51309" s="17" t="s">
        <v>477</v>
      </c>
      <c r="K51309" s="18"/>
    </row>
    <row r="51310">
      <c r="B51310" s="17" t="s">
        <v>477</v>
      </c>
      <c r="K51310" s="18"/>
    </row>
    <row r="51311">
      <c r="B51311" s="17" t="s">
        <v>477</v>
      </c>
      <c r="K51311" s="18"/>
    </row>
    <row r="51312">
      <c r="B51312" s="17" t="s">
        <v>477</v>
      </c>
      <c r="K51312" s="18"/>
    </row>
    <row r="51313">
      <c r="B51313" s="17" t="s">
        <v>477</v>
      </c>
      <c r="K51313" s="18"/>
    </row>
    <row r="51314">
      <c r="B51314" s="17" t="s">
        <v>477</v>
      </c>
      <c r="K51314" s="18"/>
    </row>
    <row r="51315">
      <c r="B51315" s="17" t="s">
        <v>477</v>
      </c>
      <c r="K51315" s="18"/>
    </row>
    <row r="51316">
      <c r="B51316" s="17" t="s">
        <v>477</v>
      </c>
      <c r="K51316" s="18"/>
    </row>
    <row r="51317">
      <c r="B51317" s="17" t="s">
        <v>477</v>
      </c>
      <c r="K51317" s="18"/>
    </row>
    <row r="51318">
      <c r="B51318" s="17" t="s">
        <v>477</v>
      </c>
      <c r="K51318" s="18"/>
    </row>
    <row r="51319">
      <c r="B51319" s="17" t="s">
        <v>477</v>
      </c>
      <c r="K51319" s="18"/>
    </row>
    <row r="51320">
      <c r="B51320" s="17" t="s">
        <v>477</v>
      </c>
      <c r="K51320" s="18"/>
    </row>
    <row r="51321">
      <c r="B51321" s="17" t="s">
        <v>477</v>
      </c>
      <c r="K51321" s="18"/>
    </row>
    <row r="51322">
      <c r="B51322" s="17" t="s">
        <v>477</v>
      </c>
      <c r="K51322" s="18"/>
    </row>
    <row r="51323">
      <c r="B51323" s="17" t="s">
        <v>477</v>
      </c>
      <c r="K51323" s="18"/>
    </row>
    <row r="51324">
      <c r="B51324" s="17" t="s">
        <v>477</v>
      </c>
      <c r="K51324" s="18"/>
    </row>
    <row r="51325">
      <c r="B51325" s="17" t="s">
        <v>477</v>
      </c>
      <c r="K51325" s="18"/>
    </row>
    <row r="51326">
      <c r="B51326" s="17" t="s">
        <v>477</v>
      </c>
      <c r="K51326" s="18"/>
    </row>
    <row r="51327">
      <c r="B51327" s="17" t="s">
        <v>477</v>
      </c>
      <c r="K51327" s="18"/>
    </row>
    <row r="51328">
      <c r="B51328" s="17" t="s">
        <v>477</v>
      </c>
      <c r="K51328" s="18"/>
    </row>
    <row r="51329">
      <c r="B51329" s="17" t="s">
        <v>477</v>
      </c>
      <c r="K51329" s="18"/>
    </row>
    <row r="51330">
      <c r="B51330" s="17" t="s">
        <v>477</v>
      </c>
      <c r="K51330" s="18"/>
    </row>
    <row r="51331">
      <c r="B51331" s="17" t="s">
        <v>477</v>
      </c>
      <c r="K51331" s="18"/>
    </row>
    <row r="51332">
      <c r="B51332" s="17" t="s">
        <v>477</v>
      </c>
      <c r="K51332" s="18"/>
    </row>
    <row r="51333">
      <c r="B51333" s="17" t="s">
        <v>477</v>
      </c>
      <c r="K51333" s="18"/>
    </row>
    <row r="51334">
      <c r="B51334" s="17" t="s">
        <v>477</v>
      </c>
      <c r="K51334" s="18"/>
    </row>
    <row r="51335">
      <c r="B51335" s="17" t="s">
        <v>477</v>
      </c>
      <c r="K51335" s="18"/>
    </row>
    <row r="51336">
      <c r="B51336" s="17" t="s">
        <v>477</v>
      </c>
      <c r="K51336" s="18"/>
    </row>
    <row r="51337">
      <c r="B51337" s="17" t="s">
        <v>477</v>
      </c>
      <c r="K51337" s="18"/>
    </row>
    <row r="51338">
      <c r="B51338" s="17" t="s">
        <v>477</v>
      </c>
      <c r="K51338" s="18"/>
    </row>
    <row r="51339">
      <c r="B51339" s="17" t="s">
        <v>477</v>
      </c>
      <c r="K51339" s="18"/>
    </row>
    <row r="51340">
      <c r="B51340" s="17" t="s">
        <v>477</v>
      </c>
      <c r="K51340" s="18"/>
    </row>
    <row r="51341">
      <c r="B51341" s="17" t="s">
        <v>477</v>
      </c>
      <c r="K51341" s="18"/>
    </row>
    <row r="51342">
      <c r="B51342" s="17" t="s">
        <v>477</v>
      </c>
      <c r="K51342" s="18"/>
    </row>
    <row r="51343">
      <c r="B51343" s="17" t="s">
        <v>477</v>
      </c>
      <c r="K51343" s="18"/>
    </row>
    <row r="51344">
      <c r="B51344" s="17" t="s">
        <v>477</v>
      </c>
      <c r="K51344" s="18"/>
    </row>
    <row r="51345">
      <c r="B51345" s="17" t="s">
        <v>477</v>
      </c>
      <c r="K51345" s="18"/>
    </row>
    <row r="51346">
      <c r="B51346" s="17" t="s">
        <v>477</v>
      </c>
      <c r="K51346" s="18"/>
    </row>
    <row r="51347">
      <c r="B51347" s="17" t="s">
        <v>477</v>
      </c>
      <c r="K51347" s="18"/>
    </row>
    <row r="51348">
      <c r="B51348" s="17" t="s">
        <v>477</v>
      </c>
      <c r="K51348" s="18"/>
    </row>
    <row r="51349">
      <c r="B51349" s="17" t="s">
        <v>477</v>
      </c>
      <c r="K51349" s="18"/>
    </row>
    <row r="51350">
      <c r="B51350" s="17" t="s">
        <v>477</v>
      </c>
      <c r="K51350" s="18"/>
    </row>
    <row r="51351">
      <c r="B51351" s="17" t="s">
        <v>477</v>
      </c>
      <c r="K51351" s="18"/>
    </row>
    <row r="51352">
      <c r="B51352" s="17" t="s">
        <v>477</v>
      </c>
      <c r="K51352" s="18"/>
    </row>
    <row r="51353">
      <c r="B51353" s="17" t="s">
        <v>477</v>
      </c>
      <c r="K51353" s="18"/>
    </row>
    <row r="51354">
      <c r="B51354" s="17" t="s">
        <v>477</v>
      </c>
      <c r="K51354" s="18"/>
    </row>
    <row r="51355">
      <c r="B51355" s="17" t="s">
        <v>477</v>
      </c>
      <c r="K51355" s="18"/>
    </row>
    <row r="51356">
      <c r="B51356" s="17" t="s">
        <v>477</v>
      </c>
      <c r="K51356" s="18"/>
    </row>
    <row r="51357">
      <c r="B51357" s="17" t="s">
        <v>477</v>
      </c>
      <c r="K51357" s="18"/>
    </row>
    <row r="51358">
      <c r="B51358" s="17" t="s">
        <v>477</v>
      </c>
      <c r="K51358" s="18"/>
    </row>
    <row r="51359">
      <c r="B51359" s="17" t="s">
        <v>477</v>
      </c>
      <c r="K51359" s="18"/>
    </row>
    <row r="51360">
      <c r="B51360" s="17" t="s">
        <v>477</v>
      </c>
      <c r="K51360" s="18"/>
    </row>
    <row r="51361">
      <c r="B51361" s="17" t="s">
        <v>477</v>
      </c>
      <c r="K51361" s="18"/>
    </row>
    <row r="51362">
      <c r="B51362" s="17" t="s">
        <v>477</v>
      </c>
      <c r="K51362" s="18"/>
    </row>
    <row r="51363">
      <c r="B51363" s="17" t="s">
        <v>477</v>
      </c>
      <c r="K51363" s="18"/>
    </row>
    <row r="51364">
      <c r="B51364" s="17" t="s">
        <v>477</v>
      </c>
      <c r="K51364" s="18"/>
    </row>
    <row r="51365">
      <c r="B51365" s="17" t="s">
        <v>477</v>
      </c>
      <c r="K51365" s="18"/>
    </row>
    <row r="51366">
      <c r="B51366" s="17" t="s">
        <v>477</v>
      </c>
      <c r="K51366" s="18"/>
    </row>
    <row r="51367">
      <c r="B51367" s="17" t="s">
        <v>477</v>
      </c>
      <c r="K51367" s="18"/>
    </row>
    <row r="51368">
      <c r="B51368" s="17" t="s">
        <v>477</v>
      </c>
      <c r="K51368" s="18"/>
    </row>
    <row r="51369">
      <c r="B51369" s="17" t="s">
        <v>477</v>
      </c>
      <c r="K51369" s="18"/>
    </row>
    <row r="51370">
      <c r="B51370" s="17" t="s">
        <v>477</v>
      </c>
      <c r="K51370" s="18"/>
    </row>
    <row r="51371">
      <c r="B51371" s="17" t="s">
        <v>477</v>
      </c>
      <c r="K51371" s="18"/>
    </row>
    <row r="51372">
      <c r="B51372" s="17" t="s">
        <v>477</v>
      </c>
      <c r="K51372" s="18"/>
    </row>
    <row r="51373">
      <c r="B51373" s="17" t="s">
        <v>477</v>
      </c>
      <c r="K51373" s="18"/>
    </row>
    <row r="51374">
      <c r="B51374" s="17" t="s">
        <v>477</v>
      </c>
      <c r="K51374" s="18"/>
    </row>
    <row r="51375">
      <c r="B51375" s="17" t="s">
        <v>477</v>
      </c>
      <c r="K51375" s="18"/>
    </row>
    <row r="51376">
      <c r="B51376" s="17" t="s">
        <v>477</v>
      </c>
      <c r="K51376" s="18"/>
    </row>
    <row r="51377">
      <c r="B51377" s="17" t="s">
        <v>477</v>
      </c>
      <c r="K51377" s="18"/>
    </row>
    <row r="51378">
      <c r="B51378" s="17" t="s">
        <v>477</v>
      </c>
      <c r="K51378" s="18"/>
    </row>
    <row r="51379">
      <c r="B51379" s="17" t="s">
        <v>477</v>
      </c>
      <c r="K51379" s="18"/>
    </row>
    <row r="51380">
      <c r="B51380" s="17" t="s">
        <v>477</v>
      </c>
      <c r="K51380" s="18"/>
    </row>
    <row r="51381">
      <c r="B51381" s="17" t="s">
        <v>477</v>
      </c>
      <c r="K51381" s="18"/>
    </row>
    <row r="51382">
      <c r="B51382" s="17" t="s">
        <v>477</v>
      </c>
      <c r="K51382" s="18"/>
    </row>
    <row r="51383">
      <c r="B51383" s="17" t="s">
        <v>477</v>
      </c>
      <c r="K51383" s="18"/>
    </row>
    <row r="51384">
      <c r="B51384" s="17" t="s">
        <v>477</v>
      </c>
      <c r="K51384" s="18"/>
    </row>
    <row r="51385">
      <c r="B51385" s="17" t="s">
        <v>477</v>
      </c>
      <c r="K51385" s="18"/>
    </row>
    <row r="51386">
      <c r="B51386" s="17" t="s">
        <v>477</v>
      </c>
      <c r="K51386" s="18"/>
    </row>
    <row r="51387">
      <c r="B51387" s="17" t="s">
        <v>477</v>
      </c>
      <c r="K51387" s="18"/>
    </row>
    <row r="51388">
      <c r="B51388" s="17" t="s">
        <v>477</v>
      </c>
      <c r="K51388" s="18"/>
    </row>
    <row r="51389">
      <c r="B51389" s="17" t="s">
        <v>477</v>
      </c>
      <c r="K51389" s="18"/>
    </row>
    <row r="51390">
      <c r="B51390" s="17" t="s">
        <v>477</v>
      </c>
      <c r="K51390" s="18"/>
    </row>
    <row r="51391">
      <c r="B51391" s="17" t="s">
        <v>477</v>
      </c>
      <c r="K51391" s="18"/>
    </row>
    <row r="51392">
      <c r="B51392" s="17" t="s">
        <v>477</v>
      </c>
      <c r="K51392" s="18"/>
    </row>
    <row r="51393">
      <c r="B51393" s="17" t="s">
        <v>477</v>
      </c>
      <c r="K51393" s="18"/>
    </row>
    <row r="51394">
      <c r="B51394" s="17" t="s">
        <v>477</v>
      </c>
      <c r="K51394" s="18"/>
    </row>
    <row r="51395">
      <c r="B51395" s="17" t="s">
        <v>477</v>
      </c>
      <c r="K51395" s="18"/>
    </row>
    <row r="51396">
      <c r="B51396" s="17" t="s">
        <v>477</v>
      </c>
      <c r="K51396" s="18"/>
    </row>
    <row r="51397">
      <c r="B51397" s="17" t="s">
        <v>477</v>
      </c>
      <c r="K51397" s="18"/>
    </row>
    <row r="51398">
      <c r="B51398" s="17" t="s">
        <v>477</v>
      </c>
      <c r="K51398" s="18"/>
    </row>
    <row r="51399">
      <c r="B51399" s="17" t="s">
        <v>477</v>
      </c>
      <c r="K51399" s="18"/>
    </row>
    <row r="51400">
      <c r="B51400" s="17" t="s">
        <v>477</v>
      </c>
      <c r="K51400" s="18"/>
    </row>
    <row r="51401">
      <c r="B51401" s="17" t="s">
        <v>477</v>
      </c>
      <c r="K51401" s="18"/>
    </row>
    <row r="51402">
      <c r="B51402" s="17" t="s">
        <v>477</v>
      </c>
      <c r="K51402" s="18"/>
    </row>
    <row r="51403">
      <c r="B51403" s="17" t="s">
        <v>477</v>
      </c>
      <c r="K51403" s="18"/>
    </row>
    <row r="51404">
      <c r="B51404" s="17" t="s">
        <v>477</v>
      </c>
      <c r="K51404" s="18"/>
    </row>
    <row r="51405">
      <c r="B51405" s="17" t="s">
        <v>477</v>
      </c>
      <c r="K51405" s="18"/>
    </row>
    <row r="51406">
      <c r="B51406" s="17" t="s">
        <v>477</v>
      </c>
      <c r="K51406" s="18"/>
    </row>
    <row r="51407">
      <c r="B51407" s="17" t="s">
        <v>477</v>
      </c>
      <c r="K51407" s="18"/>
    </row>
    <row r="51408">
      <c r="B51408" s="17" t="s">
        <v>477</v>
      </c>
      <c r="K51408" s="18"/>
    </row>
    <row r="51409">
      <c r="B51409" s="17" t="s">
        <v>477</v>
      </c>
      <c r="K51409" s="18"/>
    </row>
    <row r="51410">
      <c r="B51410" s="17" t="s">
        <v>477</v>
      </c>
      <c r="K51410" s="18"/>
    </row>
    <row r="51411">
      <c r="B51411" s="17" t="s">
        <v>477</v>
      </c>
      <c r="K51411" s="18"/>
    </row>
    <row r="51412">
      <c r="B51412" s="17" t="s">
        <v>477</v>
      </c>
      <c r="K51412" s="18"/>
    </row>
    <row r="51413">
      <c r="B51413" s="17" t="s">
        <v>477</v>
      </c>
      <c r="K51413" s="18"/>
    </row>
    <row r="51414">
      <c r="B51414" s="17" t="s">
        <v>477</v>
      </c>
      <c r="K51414" s="18"/>
    </row>
    <row r="51415">
      <c r="B51415" s="17" t="s">
        <v>477</v>
      </c>
      <c r="K51415" s="18"/>
    </row>
    <row r="51416">
      <c r="B51416" s="17" t="s">
        <v>477</v>
      </c>
      <c r="K51416" s="18"/>
    </row>
    <row r="51417">
      <c r="B51417" s="17" t="s">
        <v>477</v>
      </c>
      <c r="K51417" s="18"/>
    </row>
    <row r="51418">
      <c r="B51418" s="17" t="s">
        <v>477</v>
      </c>
      <c r="K51418" s="18"/>
    </row>
    <row r="51419">
      <c r="B51419" s="17" t="s">
        <v>477</v>
      </c>
      <c r="K51419" s="18"/>
    </row>
    <row r="51420">
      <c r="B51420" s="17" t="s">
        <v>477</v>
      </c>
      <c r="K51420" s="18"/>
    </row>
    <row r="51421">
      <c r="B51421" s="17" t="s">
        <v>477</v>
      </c>
      <c r="K51421" s="18"/>
    </row>
    <row r="51422">
      <c r="B51422" s="17" t="s">
        <v>477</v>
      </c>
      <c r="K51422" s="18"/>
    </row>
    <row r="51423">
      <c r="B51423" s="17" t="s">
        <v>477</v>
      </c>
      <c r="K51423" s="18"/>
    </row>
    <row r="51424">
      <c r="B51424" s="17" t="s">
        <v>477</v>
      </c>
      <c r="K51424" s="18"/>
    </row>
    <row r="51425">
      <c r="B51425" s="17" t="s">
        <v>477</v>
      </c>
      <c r="K51425" s="18"/>
    </row>
    <row r="51426">
      <c r="B51426" s="17" t="s">
        <v>477</v>
      </c>
      <c r="K51426" s="18"/>
    </row>
    <row r="51427">
      <c r="B51427" s="17" t="s">
        <v>477</v>
      </c>
      <c r="K51427" s="18"/>
    </row>
    <row r="51428">
      <c r="B51428" s="17" t="s">
        <v>477</v>
      </c>
      <c r="K51428" s="18"/>
    </row>
    <row r="51429">
      <c r="B51429" s="17" t="s">
        <v>477</v>
      </c>
      <c r="K51429" s="18"/>
    </row>
    <row r="51430">
      <c r="B51430" s="17" t="s">
        <v>477</v>
      </c>
      <c r="K51430" s="18"/>
    </row>
    <row r="51431">
      <c r="B51431" s="17" t="s">
        <v>477</v>
      </c>
      <c r="K51431" s="18"/>
    </row>
    <row r="51432">
      <c r="B51432" s="17" t="s">
        <v>477</v>
      </c>
      <c r="K51432" s="18"/>
    </row>
    <row r="51433">
      <c r="B51433" s="17" t="s">
        <v>477</v>
      </c>
      <c r="K51433" s="18"/>
    </row>
    <row r="51434">
      <c r="B51434" s="17" t="s">
        <v>477</v>
      </c>
      <c r="K51434" s="18"/>
    </row>
    <row r="51435">
      <c r="B51435" s="17" t="s">
        <v>477</v>
      </c>
      <c r="K51435" s="18"/>
    </row>
    <row r="51436">
      <c r="B51436" s="17" t="s">
        <v>477</v>
      </c>
      <c r="K51436" s="18"/>
    </row>
    <row r="51437">
      <c r="B51437" s="17" t="s">
        <v>477</v>
      </c>
      <c r="K51437" s="18"/>
    </row>
    <row r="51438">
      <c r="B51438" s="17" t="s">
        <v>477</v>
      </c>
      <c r="K51438" s="18"/>
    </row>
    <row r="51439">
      <c r="B51439" s="17" t="s">
        <v>477</v>
      </c>
      <c r="K51439" s="18"/>
    </row>
    <row r="51440">
      <c r="B51440" s="17" t="s">
        <v>477</v>
      </c>
      <c r="K51440" s="18"/>
    </row>
    <row r="51441">
      <c r="B51441" s="17" t="s">
        <v>477</v>
      </c>
      <c r="K51441" s="18"/>
    </row>
    <row r="51442">
      <c r="B51442" s="17" t="s">
        <v>477</v>
      </c>
      <c r="K51442" s="18"/>
    </row>
    <row r="51443">
      <c r="B51443" s="17" t="s">
        <v>477</v>
      </c>
      <c r="K51443" s="18"/>
    </row>
    <row r="51444">
      <c r="B51444" s="17" t="s">
        <v>477</v>
      </c>
      <c r="K51444" s="18"/>
    </row>
    <row r="51445">
      <c r="B51445" s="17" t="s">
        <v>477</v>
      </c>
      <c r="K51445" s="18"/>
    </row>
    <row r="51446">
      <c r="B51446" s="17" t="s">
        <v>477</v>
      </c>
      <c r="K51446" s="18"/>
    </row>
    <row r="51447">
      <c r="B51447" s="17" t="s">
        <v>477</v>
      </c>
      <c r="K51447" s="18"/>
    </row>
    <row r="51448">
      <c r="B51448" s="17" t="s">
        <v>477</v>
      </c>
      <c r="K51448" s="18"/>
    </row>
    <row r="51449">
      <c r="B51449" s="17" t="s">
        <v>477</v>
      </c>
      <c r="K51449" s="18"/>
    </row>
    <row r="51450">
      <c r="B51450" s="17" t="s">
        <v>477</v>
      </c>
      <c r="K51450" s="18"/>
    </row>
    <row r="51451">
      <c r="B51451" s="17" t="s">
        <v>477</v>
      </c>
      <c r="K51451" s="18"/>
    </row>
    <row r="51452">
      <c r="B51452" s="17" t="s">
        <v>477</v>
      </c>
      <c r="K51452" s="18"/>
    </row>
    <row r="51453">
      <c r="B51453" s="17" t="s">
        <v>477</v>
      </c>
      <c r="K51453" s="18"/>
    </row>
    <row r="51454">
      <c r="B51454" s="17" t="s">
        <v>477</v>
      </c>
      <c r="K51454" s="18"/>
    </row>
    <row r="51455">
      <c r="B51455" s="17" t="s">
        <v>477</v>
      </c>
      <c r="K51455" s="18"/>
    </row>
    <row r="51456">
      <c r="B51456" s="17" t="s">
        <v>477</v>
      </c>
      <c r="K51456" s="18"/>
    </row>
    <row r="51457">
      <c r="B51457" s="17" t="s">
        <v>477</v>
      </c>
      <c r="K51457" s="18"/>
    </row>
    <row r="51458">
      <c r="B51458" s="17" t="s">
        <v>477</v>
      </c>
      <c r="K51458" s="18"/>
    </row>
    <row r="51459">
      <c r="B51459" s="17" t="s">
        <v>477</v>
      </c>
      <c r="K51459" s="18"/>
    </row>
    <row r="51460">
      <c r="B51460" s="17" t="s">
        <v>477</v>
      </c>
      <c r="K51460" s="18"/>
    </row>
    <row r="51461">
      <c r="B51461" s="17" t="s">
        <v>477</v>
      </c>
      <c r="K51461" s="18"/>
    </row>
    <row r="51462">
      <c r="B51462" s="17" t="s">
        <v>477</v>
      </c>
      <c r="K51462" s="18"/>
    </row>
    <row r="51463">
      <c r="B51463" s="17" t="s">
        <v>477</v>
      </c>
      <c r="K51463" s="18"/>
    </row>
    <row r="51464">
      <c r="B51464" s="17" t="s">
        <v>477</v>
      </c>
      <c r="K51464" s="18"/>
    </row>
    <row r="51465">
      <c r="B51465" s="17" t="s">
        <v>477</v>
      </c>
      <c r="K51465" s="18"/>
    </row>
    <row r="51466">
      <c r="B51466" s="17" t="s">
        <v>477</v>
      </c>
      <c r="K51466" s="18"/>
    </row>
    <row r="51467">
      <c r="B51467" s="17" t="s">
        <v>477</v>
      </c>
      <c r="K51467" s="18"/>
    </row>
    <row r="51468">
      <c r="B51468" s="17" t="s">
        <v>477</v>
      </c>
      <c r="K51468" s="18"/>
    </row>
    <row r="51469">
      <c r="B51469" s="17" t="s">
        <v>477</v>
      </c>
      <c r="K51469" s="18"/>
    </row>
    <row r="51470">
      <c r="B51470" s="17" t="s">
        <v>477</v>
      </c>
      <c r="K51470" s="18"/>
    </row>
    <row r="51471">
      <c r="B51471" s="17" t="s">
        <v>477</v>
      </c>
      <c r="K51471" s="18"/>
    </row>
    <row r="51472">
      <c r="B51472" s="17" t="s">
        <v>477</v>
      </c>
      <c r="K51472" s="18"/>
    </row>
    <row r="51473">
      <c r="B51473" s="17" t="s">
        <v>477</v>
      </c>
      <c r="K51473" s="18"/>
    </row>
    <row r="51474">
      <c r="B51474" s="17" t="s">
        <v>477</v>
      </c>
      <c r="K51474" s="18"/>
    </row>
    <row r="51475">
      <c r="B51475" s="17" t="s">
        <v>477</v>
      </c>
      <c r="K51475" s="18"/>
    </row>
    <row r="51476">
      <c r="B51476" s="17" t="s">
        <v>477</v>
      </c>
      <c r="K51476" s="18"/>
    </row>
    <row r="51477">
      <c r="B51477" s="17" t="s">
        <v>477</v>
      </c>
      <c r="K51477" s="18"/>
    </row>
    <row r="51478">
      <c r="B51478" s="17" t="s">
        <v>477</v>
      </c>
      <c r="K51478" s="18"/>
    </row>
    <row r="51479">
      <c r="B51479" s="17" t="s">
        <v>477</v>
      </c>
      <c r="K51479" s="18"/>
    </row>
    <row r="51480">
      <c r="B51480" s="17" t="s">
        <v>477</v>
      </c>
      <c r="K51480" s="18"/>
    </row>
    <row r="51481">
      <c r="B51481" s="17" t="s">
        <v>477</v>
      </c>
      <c r="K51481" s="18"/>
    </row>
    <row r="51482">
      <c r="B51482" s="17" t="s">
        <v>477</v>
      </c>
      <c r="K51482" s="18"/>
    </row>
    <row r="51483">
      <c r="B51483" s="17" t="s">
        <v>477</v>
      </c>
      <c r="K51483" s="18"/>
    </row>
    <row r="51484">
      <c r="B51484" s="17" t="s">
        <v>477</v>
      </c>
      <c r="K51484" s="18"/>
    </row>
    <row r="51485">
      <c r="B51485" s="17" t="s">
        <v>477</v>
      </c>
      <c r="K51485" s="18"/>
    </row>
    <row r="51486">
      <c r="B51486" s="17" t="s">
        <v>477</v>
      </c>
      <c r="K51486" s="18"/>
    </row>
    <row r="51487">
      <c r="B51487" s="17" t="s">
        <v>477</v>
      </c>
      <c r="K51487" s="18"/>
    </row>
    <row r="51488">
      <c r="B51488" s="17" t="s">
        <v>477</v>
      </c>
      <c r="K51488" s="18"/>
    </row>
    <row r="51489">
      <c r="B51489" s="17" t="s">
        <v>477</v>
      </c>
      <c r="K51489" s="18"/>
    </row>
    <row r="51490">
      <c r="B51490" s="17" t="s">
        <v>477</v>
      </c>
      <c r="K51490" s="18"/>
    </row>
    <row r="51491">
      <c r="B51491" s="17" t="s">
        <v>477</v>
      </c>
      <c r="K51491" s="18"/>
    </row>
    <row r="51492">
      <c r="B51492" s="17" t="s">
        <v>477</v>
      </c>
      <c r="K51492" s="18"/>
    </row>
    <row r="51493">
      <c r="B51493" s="17" t="s">
        <v>477</v>
      </c>
      <c r="K51493" s="18"/>
    </row>
    <row r="51494">
      <c r="B51494" s="17" t="s">
        <v>477</v>
      </c>
      <c r="K51494" s="18"/>
    </row>
    <row r="51495">
      <c r="B51495" s="17" t="s">
        <v>477</v>
      </c>
      <c r="K51495" s="18"/>
    </row>
    <row r="51496">
      <c r="B51496" s="17" t="s">
        <v>477</v>
      </c>
      <c r="K51496" s="18"/>
    </row>
    <row r="51497">
      <c r="B51497" s="17" t="s">
        <v>477</v>
      </c>
      <c r="K51497" s="18"/>
    </row>
    <row r="51498">
      <c r="B51498" s="17" t="s">
        <v>477</v>
      </c>
      <c r="K51498" s="18"/>
    </row>
    <row r="51499">
      <c r="B51499" s="17" t="s">
        <v>477</v>
      </c>
      <c r="K51499" s="18"/>
    </row>
    <row r="51500">
      <c r="B51500" s="17" t="s">
        <v>477</v>
      </c>
      <c r="K51500" s="18"/>
    </row>
    <row r="51501">
      <c r="B51501" s="17" t="s">
        <v>477</v>
      </c>
      <c r="K51501" s="18"/>
    </row>
    <row r="51502">
      <c r="B51502" s="17" t="s">
        <v>477</v>
      </c>
      <c r="K51502" s="18"/>
    </row>
    <row r="51503">
      <c r="B51503" s="17" t="s">
        <v>477</v>
      </c>
      <c r="K51503" s="18"/>
    </row>
    <row r="51504">
      <c r="B51504" s="17" t="s">
        <v>477</v>
      </c>
      <c r="K51504" s="18"/>
    </row>
    <row r="51505">
      <c r="B51505" s="17" t="s">
        <v>477</v>
      </c>
      <c r="K51505" s="18"/>
    </row>
    <row r="51506">
      <c r="B51506" s="17" t="s">
        <v>477</v>
      </c>
      <c r="K51506" s="18"/>
    </row>
    <row r="51507">
      <c r="B51507" s="17" t="s">
        <v>477</v>
      </c>
      <c r="K51507" s="18"/>
    </row>
    <row r="51508">
      <c r="B51508" s="17" t="s">
        <v>477</v>
      </c>
      <c r="K51508" s="18"/>
    </row>
    <row r="51509">
      <c r="B51509" s="17" t="s">
        <v>477</v>
      </c>
      <c r="K51509" s="18"/>
    </row>
    <row r="51510">
      <c r="B51510" s="17" t="s">
        <v>477</v>
      </c>
      <c r="K51510" s="18"/>
    </row>
    <row r="51511">
      <c r="B51511" s="17" t="s">
        <v>477</v>
      </c>
      <c r="K51511" s="18"/>
    </row>
    <row r="51512">
      <c r="B51512" s="17" t="s">
        <v>477</v>
      </c>
      <c r="K51512" s="18"/>
    </row>
    <row r="51513">
      <c r="B51513" s="17" t="s">
        <v>477</v>
      </c>
      <c r="K51513" s="18"/>
    </row>
    <row r="51514">
      <c r="B51514" s="17" t="s">
        <v>477</v>
      </c>
      <c r="K51514" s="18"/>
    </row>
    <row r="51515">
      <c r="B51515" s="17" t="s">
        <v>477</v>
      </c>
      <c r="K51515" s="18"/>
    </row>
    <row r="51516">
      <c r="B51516" s="17" t="s">
        <v>477</v>
      </c>
      <c r="K51516" s="18"/>
    </row>
    <row r="51517">
      <c r="B51517" s="17" t="s">
        <v>477</v>
      </c>
      <c r="K51517" s="18"/>
    </row>
    <row r="51518">
      <c r="B51518" s="17" t="s">
        <v>477</v>
      </c>
      <c r="K51518" s="18"/>
    </row>
    <row r="51519">
      <c r="B51519" s="17" t="s">
        <v>477</v>
      </c>
      <c r="K51519" s="18"/>
    </row>
    <row r="51520">
      <c r="B51520" s="17" t="s">
        <v>477</v>
      </c>
      <c r="K51520" s="18"/>
    </row>
    <row r="51521">
      <c r="B51521" s="17" t="s">
        <v>477</v>
      </c>
      <c r="K51521" s="18"/>
    </row>
    <row r="51522">
      <c r="B51522" s="17" t="s">
        <v>477</v>
      </c>
      <c r="K51522" s="18"/>
    </row>
    <row r="51523">
      <c r="B51523" s="17" t="s">
        <v>477</v>
      </c>
      <c r="K51523" s="18"/>
    </row>
    <row r="51524">
      <c r="B51524" s="17" t="s">
        <v>477</v>
      </c>
      <c r="K51524" s="18"/>
    </row>
    <row r="51525">
      <c r="B51525" s="17" t="s">
        <v>477</v>
      </c>
      <c r="K51525" s="18"/>
    </row>
    <row r="51526">
      <c r="B51526" s="17" t="s">
        <v>477</v>
      </c>
      <c r="K51526" s="18"/>
    </row>
    <row r="51527">
      <c r="B51527" s="17" t="s">
        <v>477</v>
      </c>
      <c r="K51527" s="18"/>
    </row>
    <row r="51528">
      <c r="B51528" s="17" t="s">
        <v>477</v>
      </c>
      <c r="K51528" s="18"/>
    </row>
    <row r="51529">
      <c r="B51529" s="17" t="s">
        <v>477</v>
      </c>
      <c r="K51529" s="18"/>
    </row>
    <row r="51530">
      <c r="B51530" s="17" t="s">
        <v>477</v>
      </c>
      <c r="K51530" s="18"/>
    </row>
    <row r="51531">
      <c r="B51531" s="17" t="s">
        <v>477</v>
      </c>
      <c r="K51531" s="18"/>
    </row>
    <row r="51532">
      <c r="B51532" s="17" t="s">
        <v>477</v>
      </c>
      <c r="K51532" s="18"/>
    </row>
    <row r="51533">
      <c r="B51533" s="17" t="s">
        <v>477</v>
      </c>
      <c r="K51533" s="18"/>
    </row>
    <row r="51534">
      <c r="B51534" s="17" t="s">
        <v>477</v>
      </c>
      <c r="K51534" s="18"/>
    </row>
    <row r="51535">
      <c r="B51535" s="17" t="s">
        <v>477</v>
      </c>
      <c r="K51535" s="18"/>
    </row>
    <row r="51536">
      <c r="B51536" s="17" t="s">
        <v>477</v>
      </c>
      <c r="K51536" s="18"/>
    </row>
    <row r="51537">
      <c r="B51537" s="17" t="s">
        <v>477</v>
      </c>
      <c r="K51537" s="18"/>
    </row>
    <row r="51538">
      <c r="B51538" s="17" t="s">
        <v>477</v>
      </c>
      <c r="K51538" s="18"/>
    </row>
    <row r="51539">
      <c r="B51539" s="17" t="s">
        <v>477</v>
      </c>
      <c r="K51539" s="18"/>
    </row>
    <row r="51540">
      <c r="B51540" s="17" t="s">
        <v>477</v>
      </c>
      <c r="K51540" s="18"/>
    </row>
    <row r="51541">
      <c r="B51541" s="17" t="s">
        <v>477</v>
      </c>
      <c r="K51541" s="18"/>
    </row>
    <row r="51542">
      <c r="B51542" s="17" t="s">
        <v>477</v>
      </c>
      <c r="K51542" s="18"/>
    </row>
    <row r="51543">
      <c r="B51543" s="17" t="s">
        <v>477</v>
      </c>
      <c r="K51543" s="18"/>
    </row>
    <row r="51544">
      <c r="B51544" s="17" t="s">
        <v>477</v>
      </c>
      <c r="K51544" s="18"/>
    </row>
    <row r="51545">
      <c r="B51545" s="17" t="s">
        <v>477</v>
      </c>
      <c r="K51545" s="18"/>
    </row>
    <row r="51546">
      <c r="B51546" s="17" t="s">
        <v>477</v>
      </c>
      <c r="K51546" s="18"/>
    </row>
    <row r="51547">
      <c r="B51547" s="17" t="s">
        <v>477</v>
      </c>
      <c r="K51547" s="18"/>
    </row>
    <row r="51548">
      <c r="B51548" s="17" t="s">
        <v>477</v>
      </c>
      <c r="K51548" s="18"/>
    </row>
    <row r="51549">
      <c r="B51549" s="17" t="s">
        <v>477</v>
      </c>
      <c r="K51549" s="18"/>
    </row>
    <row r="51550">
      <c r="B51550" s="17" t="s">
        <v>477</v>
      </c>
      <c r="K51550" s="18"/>
    </row>
    <row r="51551">
      <c r="B51551" s="17" t="s">
        <v>477</v>
      </c>
      <c r="K51551" s="18"/>
    </row>
    <row r="51552">
      <c r="B51552" s="17" t="s">
        <v>477</v>
      </c>
      <c r="K51552" s="18"/>
    </row>
    <row r="51553">
      <c r="B51553" s="17" t="s">
        <v>477</v>
      </c>
      <c r="K51553" s="18"/>
    </row>
    <row r="51554">
      <c r="B51554" s="17" t="s">
        <v>477</v>
      </c>
      <c r="K51554" s="18"/>
    </row>
    <row r="51555">
      <c r="B51555" s="17" t="s">
        <v>477</v>
      </c>
      <c r="K51555" s="18"/>
    </row>
    <row r="51556">
      <c r="B51556" s="17" t="s">
        <v>477</v>
      </c>
      <c r="K51556" s="18"/>
    </row>
    <row r="51557">
      <c r="B51557" s="17" t="s">
        <v>477</v>
      </c>
      <c r="K51557" s="18"/>
    </row>
    <row r="51558">
      <c r="B51558" s="17" t="s">
        <v>477</v>
      </c>
      <c r="K51558" s="18"/>
    </row>
    <row r="51559">
      <c r="B51559" s="17" t="s">
        <v>477</v>
      </c>
      <c r="K51559" s="18"/>
    </row>
    <row r="51560">
      <c r="B51560" s="17" t="s">
        <v>477</v>
      </c>
      <c r="K51560" s="18"/>
    </row>
    <row r="51561">
      <c r="B51561" s="17" t="s">
        <v>477</v>
      </c>
      <c r="K51561" s="18"/>
    </row>
    <row r="51562">
      <c r="B51562" s="17" t="s">
        <v>477</v>
      </c>
      <c r="K51562" s="18"/>
    </row>
    <row r="51563">
      <c r="B51563" s="17" t="s">
        <v>477</v>
      </c>
      <c r="K51563" s="18"/>
    </row>
    <row r="51564">
      <c r="B51564" s="17" t="s">
        <v>477</v>
      </c>
      <c r="K51564" s="18"/>
    </row>
    <row r="51565">
      <c r="B51565" s="17" t="s">
        <v>477</v>
      </c>
      <c r="K51565" s="18"/>
    </row>
    <row r="51566">
      <c r="B51566" s="17" t="s">
        <v>477</v>
      </c>
      <c r="K51566" s="18"/>
    </row>
    <row r="51567">
      <c r="B51567" s="17" t="s">
        <v>477</v>
      </c>
      <c r="K51567" s="18"/>
    </row>
    <row r="51568">
      <c r="B51568" s="17" t="s">
        <v>477</v>
      </c>
      <c r="K51568" s="18"/>
    </row>
    <row r="51569">
      <c r="B51569" s="17" t="s">
        <v>477</v>
      </c>
      <c r="K51569" s="18"/>
    </row>
    <row r="51570">
      <c r="B51570" s="17" t="s">
        <v>477</v>
      </c>
      <c r="K51570" s="18"/>
    </row>
    <row r="51571">
      <c r="B51571" s="17" t="s">
        <v>477</v>
      </c>
      <c r="K51571" s="18"/>
    </row>
    <row r="51572">
      <c r="B51572" s="17" t="s">
        <v>477</v>
      </c>
      <c r="K51572" s="18"/>
    </row>
    <row r="51573">
      <c r="B51573" s="17" t="s">
        <v>477</v>
      </c>
      <c r="K51573" s="18"/>
    </row>
    <row r="51574">
      <c r="B51574" s="17" t="s">
        <v>477</v>
      </c>
      <c r="K51574" s="18"/>
    </row>
    <row r="51575">
      <c r="B51575" s="17" t="s">
        <v>477</v>
      </c>
      <c r="K51575" s="18"/>
    </row>
    <row r="51576">
      <c r="B51576" s="17" t="s">
        <v>477</v>
      </c>
      <c r="K51576" s="18"/>
    </row>
    <row r="51577">
      <c r="B51577" s="17" t="s">
        <v>477</v>
      </c>
      <c r="K51577" s="18"/>
    </row>
    <row r="51578">
      <c r="B51578" s="17" t="s">
        <v>477</v>
      </c>
      <c r="K51578" s="18"/>
    </row>
    <row r="51579">
      <c r="B51579" s="17" t="s">
        <v>477</v>
      </c>
      <c r="K51579" s="18"/>
    </row>
    <row r="51580">
      <c r="B51580" s="17" t="s">
        <v>477</v>
      </c>
      <c r="K51580" s="18"/>
    </row>
    <row r="51581">
      <c r="B51581" s="17" t="s">
        <v>477</v>
      </c>
      <c r="K51581" s="18"/>
    </row>
    <row r="51582">
      <c r="B51582" s="17" t="s">
        <v>477</v>
      </c>
      <c r="K51582" s="18"/>
    </row>
    <row r="51583">
      <c r="B51583" s="17" t="s">
        <v>477</v>
      </c>
      <c r="K51583" s="18"/>
    </row>
    <row r="51584">
      <c r="B51584" s="17" t="s">
        <v>477</v>
      </c>
      <c r="K51584" s="18"/>
    </row>
    <row r="51585">
      <c r="B51585" s="17" t="s">
        <v>477</v>
      </c>
      <c r="K51585" s="18"/>
    </row>
    <row r="51586">
      <c r="B51586" s="17" t="s">
        <v>477</v>
      </c>
      <c r="K51586" s="18"/>
    </row>
    <row r="51587">
      <c r="B51587" s="17" t="s">
        <v>477</v>
      </c>
      <c r="K51587" s="18"/>
    </row>
    <row r="51588">
      <c r="B51588" s="17" t="s">
        <v>477</v>
      </c>
      <c r="K51588" s="18"/>
    </row>
    <row r="51589">
      <c r="B51589" s="17" t="s">
        <v>477</v>
      </c>
      <c r="K51589" s="18"/>
    </row>
    <row r="51590">
      <c r="B51590" s="17" t="s">
        <v>477</v>
      </c>
      <c r="K51590" s="18"/>
    </row>
    <row r="51591">
      <c r="B51591" s="17" t="s">
        <v>477</v>
      </c>
      <c r="K51591" s="18"/>
    </row>
    <row r="51592">
      <c r="B51592" s="17" t="s">
        <v>477</v>
      </c>
      <c r="K51592" s="18"/>
    </row>
    <row r="51593">
      <c r="B51593" s="17" t="s">
        <v>477</v>
      </c>
      <c r="K51593" s="18"/>
    </row>
    <row r="51594">
      <c r="B51594" s="17" t="s">
        <v>477</v>
      </c>
      <c r="K51594" s="18"/>
    </row>
    <row r="51595">
      <c r="B51595" s="17" t="s">
        <v>477</v>
      </c>
      <c r="K51595" s="18"/>
    </row>
    <row r="51596">
      <c r="B51596" s="17" t="s">
        <v>477</v>
      </c>
      <c r="K51596" s="18"/>
    </row>
    <row r="51597">
      <c r="B51597" s="17" t="s">
        <v>477</v>
      </c>
      <c r="K51597" s="18"/>
    </row>
    <row r="51598">
      <c r="B51598" s="17" t="s">
        <v>477</v>
      </c>
      <c r="K51598" s="18"/>
    </row>
    <row r="51599">
      <c r="B51599" s="17" t="s">
        <v>477</v>
      </c>
      <c r="K51599" s="18"/>
    </row>
    <row r="51600">
      <c r="B51600" s="17" t="s">
        <v>477</v>
      </c>
      <c r="K51600" s="18"/>
    </row>
    <row r="51601">
      <c r="B51601" s="17" t="s">
        <v>477</v>
      </c>
      <c r="K51601" s="18"/>
    </row>
    <row r="51602">
      <c r="B51602" s="17" t="s">
        <v>477</v>
      </c>
      <c r="K51602" s="18"/>
    </row>
    <row r="51603">
      <c r="B51603" s="17" t="s">
        <v>477</v>
      </c>
      <c r="K51603" s="18"/>
    </row>
    <row r="51604">
      <c r="B51604" s="17" t="s">
        <v>477</v>
      </c>
      <c r="K51604" s="18"/>
    </row>
    <row r="51605">
      <c r="B51605" s="17" t="s">
        <v>477</v>
      </c>
      <c r="K51605" s="18"/>
    </row>
    <row r="51606">
      <c r="B51606" s="17" t="s">
        <v>477</v>
      </c>
      <c r="K51606" s="18"/>
    </row>
    <row r="51607">
      <c r="B51607" s="17" t="s">
        <v>477</v>
      </c>
      <c r="K51607" s="18"/>
    </row>
    <row r="51608">
      <c r="B51608" s="17" t="s">
        <v>477</v>
      </c>
      <c r="K51608" s="18"/>
    </row>
    <row r="51609">
      <c r="B51609" s="17" t="s">
        <v>477</v>
      </c>
      <c r="K51609" s="18"/>
    </row>
    <row r="51610">
      <c r="B51610" s="17" t="s">
        <v>477</v>
      </c>
      <c r="K51610" s="18"/>
    </row>
    <row r="51611">
      <c r="B51611" s="17" t="s">
        <v>477</v>
      </c>
      <c r="K51611" s="18"/>
    </row>
    <row r="51612">
      <c r="B51612" s="17" t="s">
        <v>477</v>
      </c>
      <c r="K51612" s="18"/>
    </row>
    <row r="51613">
      <c r="B51613" s="17" t="s">
        <v>477</v>
      </c>
      <c r="K51613" s="18"/>
    </row>
    <row r="51614">
      <c r="B51614" s="17" t="s">
        <v>477</v>
      </c>
      <c r="K51614" s="18"/>
    </row>
    <row r="51615">
      <c r="B51615" s="17" t="s">
        <v>477</v>
      </c>
      <c r="K51615" s="18"/>
    </row>
    <row r="51616">
      <c r="B51616" s="17" t="s">
        <v>477</v>
      </c>
      <c r="K51616" s="18"/>
    </row>
    <row r="51617">
      <c r="B51617" s="17" t="s">
        <v>477</v>
      </c>
      <c r="K51617" s="18"/>
    </row>
    <row r="51618">
      <c r="B51618" s="17" t="s">
        <v>477</v>
      </c>
      <c r="K51618" s="18"/>
    </row>
    <row r="51619">
      <c r="B51619" s="17" t="s">
        <v>477</v>
      </c>
      <c r="K51619" s="18"/>
    </row>
    <row r="51620">
      <c r="B51620" s="17" t="s">
        <v>477</v>
      </c>
      <c r="K51620" s="18"/>
    </row>
    <row r="51621">
      <c r="B51621" s="17" t="s">
        <v>477</v>
      </c>
      <c r="K51621" s="18"/>
    </row>
    <row r="51622">
      <c r="B51622" s="17" t="s">
        <v>477</v>
      </c>
      <c r="K51622" s="18"/>
    </row>
    <row r="51623">
      <c r="B51623" s="17" t="s">
        <v>477</v>
      </c>
      <c r="K51623" s="18"/>
    </row>
    <row r="51624">
      <c r="B51624" s="17" t="s">
        <v>477</v>
      </c>
      <c r="K51624" s="18"/>
    </row>
    <row r="51625">
      <c r="B51625" s="17" t="s">
        <v>477</v>
      </c>
      <c r="K51625" s="18"/>
    </row>
    <row r="51626">
      <c r="B51626" s="17" t="s">
        <v>477</v>
      </c>
      <c r="K51626" s="18"/>
    </row>
    <row r="51627">
      <c r="B51627" s="17" t="s">
        <v>477</v>
      </c>
      <c r="K51627" s="18"/>
    </row>
    <row r="51628">
      <c r="B51628" s="17" t="s">
        <v>477</v>
      </c>
      <c r="K51628" s="18"/>
    </row>
    <row r="51629">
      <c r="B51629" s="17" t="s">
        <v>477</v>
      </c>
      <c r="K51629" s="18"/>
    </row>
    <row r="51630">
      <c r="B51630" s="17" t="s">
        <v>477</v>
      </c>
      <c r="K51630" s="18"/>
    </row>
    <row r="51631">
      <c r="B51631" s="17" t="s">
        <v>477</v>
      </c>
      <c r="K51631" s="18"/>
    </row>
    <row r="51632">
      <c r="B51632" s="17" t="s">
        <v>477</v>
      </c>
      <c r="K51632" s="18"/>
    </row>
    <row r="51633">
      <c r="B51633" s="17" t="s">
        <v>477</v>
      </c>
      <c r="K51633" s="18"/>
    </row>
    <row r="51634">
      <c r="B51634" s="17" t="s">
        <v>477</v>
      </c>
      <c r="K51634" s="18"/>
    </row>
    <row r="51635">
      <c r="B51635" s="17" t="s">
        <v>477</v>
      </c>
      <c r="K51635" s="18"/>
    </row>
    <row r="51636">
      <c r="B51636" s="17" t="s">
        <v>477</v>
      </c>
      <c r="K51636" s="18"/>
    </row>
    <row r="51637">
      <c r="B51637" s="17" t="s">
        <v>477</v>
      </c>
      <c r="K51637" s="18"/>
    </row>
    <row r="51638">
      <c r="B51638" s="17" t="s">
        <v>477</v>
      </c>
      <c r="K51638" s="18"/>
    </row>
    <row r="51639">
      <c r="B51639" s="17" t="s">
        <v>477</v>
      </c>
      <c r="K51639" s="18"/>
    </row>
    <row r="51640">
      <c r="B51640" s="17" t="s">
        <v>477</v>
      </c>
      <c r="K51640" s="18"/>
    </row>
    <row r="51641">
      <c r="B51641" s="17" t="s">
        <v>477</v>
      </c>
      <c r="K51641" s="18"/>
    </row>
    <row r="51642">
      <c r="B51642" s="17" t="s">
        <v>477</v>
      </c>
      <c r="K51642" s="18"/>
    </row>
    <row r="51643">
      <c r="B51643" s="17" t="s">
        <v>477</v>
      </c>
      <c r="K51643" s="18"/>
    </row>
    <row r="51644">
      <c r="B51644" s="17" t="s">
        <v>477</v>
      </c>
      <c r="K51644" s="18"/>
    </row>
    <row r="51645">
      <c r="B51645" s="17" t="s">
        <v>477</v>
      </c>
      <c r="K51645" s="18"/>
    </row>
    <row r="51646">
      <c r="B51646" s="17" t="s">
        <v>477</v>
      </c>
      <c r="K51646" s="18"/>
    </row>
    <row r="51647">
      <c r="B51647" s="17" t="s">
        <v>477</v>
      </c>
      <c r="K51647" s="18"/>
    </row>
    <row r="51648">
      <c r="B51648" s="17" t="s">
        <v>477</v>
      </c>
      <c r="K51648" s="18"/>
    </row>
    <row r="51649">
      <c r="B51649" s="17" t="s">
        <v>477</v>
      </c>
      <c r="K51649" s="18"/>
    </row>
    <row r="51650">
      <c r="B51650" s="17" t="s">
        <v>477</v>
      </c>
      <c r="K51650" s="18"/>
    </row>
    <row r="51651">
      <c r="B51651" s="17" t="s">
        <v>477</v>
      </c>
      <c r="K51651" s="18"/>
    </row>
    <row r="51652">
      <c r="B51652" s="17" t="s">
        <v>477</v>
      </c>
      <c r="K51652" s="18"/>
    </row>
    <row r="51653">
      <c r="B51653" s="17" t="s">
        <v>477</v>
      </c>
      <c r="K51653" s="18"/>
    </row>
    <row r="51654">
      <c r="B51654" s="17" t="s">
        <v>477</v>
      </c>
      <c r="K51654" s="18"/>
    </row>
    <row r="51655">
      <c r="B51655" s="17" t="s">
        <v>477</v>
      </c>
      <c r="K51655" s="18"/>
    </row>
    <row r="51656">
      <c r="B51656" s="17" t="s">
        <v>477</v>
      </c>
      <c r="K51656" s="18"/>
    </row>
    <row r="51657">
      <c r="B51657" s="17" t="s">
        <v>477</v>
      </c>
      <c r="K51657" s="18"/>
    </row>
    <row r="51658">
      <c r="B51658" s="17" t="s">
        <v>477</v>
      </c>
      <c r="K51658" s="18"/>
    </row>
    <row r="51659">
      <c r="B51659" s="17" t="s">
        <v>477</v>
      </c>
      <c r="K51659" s="18"/>
    </row>
    <row r="51660">
      <c r="B51660" s="17" t="s">
        <v>477</v>
      </c>
      <c r="K51660" s="18"/>
    </row>
    <row r="51661">
      <c r="B51661" s="17" t="s">
        <v>477</v>
      </c>
      <c r="K51661" s="18"/>
    </row>
    <row r="51662">
      <c r="B51662" s="17" t="s">
        <v>477</v>
      </c>
      <c r="K51662" s="18"/>
    </row>
    <row r="51663">
      <c r="B51663" s="17" t="s">
        <v>477</v>
      </c>
      <c r="K51663" s="18"/>
    </row>
    <row r="51664">
      <c r="B51664" s="17" t="s">
        <v>477</v>
      </c>
      <c r="K51664" s="18"/>
    </row>
    <row r="51665">
      <c r="B51665" s="17" t="s">
        <v>477</v>
      </c>
      <c r="K51665" s="18"/>
    </row>
    <row r="51666">
      <c r="B51666" s="17" t="s">
        <v>477</v>
      </c>
      <c r="K51666" s="18"/>
    </row>
    <row r="51667">
      <c r="B51667" s="17" t="s">
        <v>477</v>
      </c>
      <c r="K51667" s="18"/>
    </row>
    <row r="51668">
      <c r="B51668" s="17" t="s">
        <v>477</v>
      </c>
      <c r="K51668" s="18"/>
    </row>
    <row r="51669">
      <c r="B51669" s="17" t="s">
        <v>477</v>
      </c>
      <c r="K51669" s="18"/>
    </row>
    <row r="51670">
      <c r="B51670" s="17" t="s">
        <v>477</v>
      </c>
      <c r="K51670" s="18"/>
    </row>
    <row r="51671">
      <c r="B51671" s="17" t="s">
        <v>477</v>
      </c>
      <c r="K51671" s="18"/>
    </row>
    <row r="51672">
      <c r="B51672" s="17" t="s">
        <v>477</v>
      </c>
      <c r="K51672" s="18"/>
    </row>
    <row r="51673">
      <c r="B51673" s="17" t="s">
        <v>477</v>
      </c>
      <c r="K51673" s="18"/>
    </row>
    <row r="51674">
      <c r="B51674" s="17" t="s">
        <v>477</v>
      </c>
      <c r="K51674" s="18"/>
    </row>
    <row r="51675">
      <c r="B51675" s="17" t="s">
        <v>477</v>
      </c>
      <c r="K51675" s="18"/>
    </row>
    <row r="51676">
      <c r="B51676" s="17" t="s">
        <v>477</v>
      </c>
      <c r="K51676" s="18"/>
    </row>
    <row r="51677">
      <c r="B51677" s="17" t="s">
        <v>477</v>
      </c>
      <c r="K51677" s="18"/>
    </row>
    <row r="51678">
      <c r="B51678" s="17" t="s">
        <v>477</v>
      </c>
      <c r="K51678" s="18"/>
    </row>
    <row r="51679">
      <c r="B51679" s="17" t="s">
        <v>477</v>
      </c>
      <c r="K51679" s="18"/>
    </row>
    <row r="51680">
      <c r="B51680" s="17" t="s">
        <v>477</v>
      </c>
      <c r="K51680" s="18"/>
    </row>
    <row r="51681">
      <c r="B51681" s="17" t="s">
        <v>477</v>
      </c>
      <c r="K51681" s="18"/>
    </row>
    <row r="51682">
      <c r="B51682" s="17" t="s">
        <v>477</v>
      </c>
      <c r="K51682" s="18"/>
    </row>
    <row r="51683">
      <c r="B51683" s="17" t="s">
        <v>477</v>
      </c>
      <c r="K51683" s="18"/>
    </row>
    <row r="51684">
      <c r="B51684" s="17" t="s">
        <v>477</v>
      </c>
      <c r="K51684" s="18"/>
    </row>
    <row r="51685">
      <c r="B51685" s="17" t="s">
        <v>477</v>
      </c>
      <c r="K51685" s="18"/>
    </row>
    <row r="51686">
      <c r="B51686" s="17" t="s">
        <v>477</v>
      </c>
      <c r="K51686" s="18"/>
    </row>
    <row r="51687">
      <c r="B51687" s="17" t="s">
        <v>477</v>
      </c>
      <c r="K51687" s="18"/>
    </row>
    <row r="51688">
      <c r="B51688" s="17" t="s">
        <v>477</v>
      </c>
      <c r="K51688" s="18"/>
    </row>
    <row r="51689">
      <c r="B51689" s="17" t="s">
        <v>477</v>
      </c>
      <c r="K51689" s="18"/>
    </row>
    <row r="51690">
      <c r="B51690" s="17" t="s">
        <v>477</v>
      </c>
      <c r="K51690" s="18"/>
    </row>
    <row r="51691">
      <c r="B51691" s="17" t="s">
        <v>477</v>
      </c>
      <c r="K51691" s="18"/>
    </row>
    <row r="51692">
      <c r="B51692" s="17" t="s">
        <v>477</v>
      </c>
      <c r="K51692" s="18"/>
    </row>
    <row r="51693">
      <c r="B51693" s="17" t="s">
        <v>477</v>
      </c>
      <c r="K51693" s="18"/>
    </row>
    <row r="51694">
      <c r="B51694" s="17" t="s">
        <v>477</v>
      </c>
      <c r="K51694" s="18"/>
    </row>
    <row r="51695">
      <c r="B51695" s="17" t="s">
        <v>477</v>
      </c>
      <c r="K51695" s="18"/>
    </row>
    <row r="51696">
      <c r="B51696" s="17" t="s">
        <v>477</v>
      </c>
      <c r="K51696" s="18"/>
    </row>
    <row r="51697">
      <c r="B51697" s="17" t="s">
        <v>477</v>
      </c>
      <c r="K51697" s="18"/>
    </row>
    <row r="51698">
      <c r="B51698" s="17" t="s">
        <v>477</v>
      </c>
      <c r="K51698" s="18"/>
    </row>
    <row r="51699">
      <c r="B51699" s="17" t="s">
        <v>477</v>
      </c>
      <c r="K51699" s="18"/>
    </row>
    <row r="51700">
      <c r="B51700" s="17" t="s">
        <v>477</v>
      </c>
      <c r="K51700" s="18"/>
    </row>
    <row r="51701">
      <c r="B51701" s="17" t="s">
        <v>477</v>
      </c>
      <c r="K51701" s="18"/>
    </row>
    <row r="51702">
      <c r="B51702" s="17" t="s">
        <v>477</v>
      </c>
      <c r="K51702" s="18"/>
    </row>
    <row r="51703">
      <c r="B51703" s="17" t="s">
        <v>477</v>
      </c>
      <c r="K51703" s="18"/>
    </row>
    <row r="51704">
      <c r="B51704" s="17" t="s">
        <v>477</v>
      </c>
      <c r="K51704" s="18"/>
    </row>
    <row r="51705">
      <c r="B51705" s="17" t="s">
        <v>477</v>
      </c>
      <c r="K51705" s="18"/>
    </row>
    <row r="51706">
      <c r="B51706" s="17" t="s">
        <v>477</v>
      </c>
      <c r="K51706" s="18"/>
    </row>
    <row r="51707">
      <c r="B51707" s="17" t="s">
        <v>477</v>
      </c>
      <c r="K51707" s="18"/>
    </row>
    <row r="51708">
      <c r="B51708" s="17" t="s">
        <v>477</v>
      </c>
      <c r="K51708" s="18"/>
    </row>
    <row r="51709">
      <c r="B51709" s="17" t="s">
        <v>477</v>
      </c>
      <c r="K51709" s="18"/>
    </row>
    <row r="51710">
      <c r="B51710" s="17" t="s">
        <v>477</v>
      </c>
      <c r="K51710" s="18"/>
    </row>
    <row r="51711">
      <c r="B51711" s="17" t="s">
        <v>477</v>
      </c>
      <c r="K51711" s="18"/>
    </row>
    <row r="51712">
      <c r="B51712" s="17" t="s">
        <v>477</v>
      </c>
      <c r="K51712" s="18"/>
    </row>
    <row r="51713">
      <c r="B51713" s="17" t="s">
        <v>477</v>
      </c>
      <c r="K51713" s="18"/>
    </row>
    <row r="51714">
      <c r="B51714" s="17" t="s">
        <v>477</v>
      </c>
      <c r="K51714" s="18"/>
    </row>
    <row r="51715">
      <c r="B51715" s="17" t="s">
        <v>477</v>
      </c>
      <c r="K51715" s="18"/>
    </row>
    <row r="51716">
      <c r="B51716" s="17" t="s">
        <v>477</v>
      </c>
      <c r="K51716" s="18"/>
    </row>
    <row r="51717">
      <c r="B51717" s="17" t="s">
        <v>477</v>
      </c>
      <c r="K51717" s="18"/>
    </row>
    <row r="51718">
      <c r="B51718" s="17" t="s">
        <v>477</v>
      </c>
      <c r="K51718" s="18"/>
    </row>
    <row r="51719">
      <c r="B51719" s="17" t="s">
        <v>477</v>
      </c>
      <c r="K51719" s="18"/>
    </row>
    <row r="51720">
      <c r="B51720" s="17" t="s">
        <v>477</v>
      </c>
      <c r="K51720" s="18"/>
    </row>
    <row r="51721">
      <c r="B51721" s="17" t="s">
        <v>477</v>
      </c>
      <c r="K51721" s="18"/>
    </row>
    <row r="51722">
      <c r="B51722" s="17" t="s">
        <v>477</v>
      </c>
      <c r="K51722" s="18"/>
    </row>
    <row r="51723">
      <c r="B51723" s="17" t="s">
        <v>477</v>
      </c>
      <c r="K51723" s="18"/>
    </row>
    <row r="51724">
      <c r="B51724" s="17" t="s">
        <v>477</v>
      </c>
      <c r="K51724" s="18"/>
    </row>
    <row r="51725">
      <c r="B51725" s="17" t="s">
        <v>477</v>
      </c>
      <c r="K51725" s="18"/>
    </row>
    <row r="51726">
      <c r="B51726" s="17" t="s">
        <v>477</v>
      </c>
      <c r="K51726" s="18"/>
    </row>
    <row r="51727">
      <c r="B51727" s="17" t="s">
        <v>477</v>
      </c>
      <c r="K51727" s="18"/>
    </row>
    <row r="51728">
      <c r="B51728" s="17" t="s">
        <v>477</v>
      </c>
      <c r="K51728" s="18"/>
    </row>
    <row r="51729">
      <c r="B51729" s="17" t="s">
        <v>477</v>
      </c>
      <c r="K51729" s="18"/>
    </row>
    <row r="51730">
      <c r="B51730" s="17" t="s">
        <v>477</v>
      </c>
      <c r="K51730" s="18"/>
    </row>
    <row r="51731">
      <c r="B51731" s="17" t="s">
        <v>477</v>
      </c>
      <c r="K51731" s="18"/>
    </row>
    <row r="51732">
      <c r="B51732" s="17" t="s">
        <v>477</v>
      </c>
      <c r="K51732" s="18"/>
    </row>
    <row r="51733">
      <c r="B51733" s="17" t="s">
        <v>477</v>
      </c>
      <c r="K51733" s="18"/>
    </row>
    <row r="51734">
      <c r="B51734" s="17" t="s">
        <v>477</v>
      </c>
      <c r="K51734" s="18"/>
    </row>
    <row r="51735">
      <c r="B51735" s="17" t="s">
        <v>477</v>
      </c>
      <c r="K51735" s="18"/>
    </row>
    <row r="51736">
      <c r="B51736" s="17" t="s">
        <v>477</v>
      </c>
      <c r="K51736" s="18"/>
    </row>
    <row r="51737">
      <c r="B51737" s="17" t="s">
        <v>477</v>
      </c>
      <c r="K51737" s="18"/>
    </row>
    <row r="51738">
      <c r="B51738" s="17" t="s">
        <v>477</v>
      </c>
      <c r="K51738" s="18"/>
    </row>
    <row r="51739">
      <c r="B51739" s="17" t="s">
        <v>477</v>
      </c>
      <c r="K51739" s="18"/>
    </row>
    <row r="51740">
      <c r="B51740" s="17" t="s">
        <v>477</v>
      </c>
      <c r="K51740" s="18"/>
    </row>
    <row r="51741">
      <c r="B51741" s="17" t="s">
        <v>477</v>
      </c>
      <c r="K51741" s="18"/>
    </row>
    <row r="51742">
      <c r="B51742" s="17" t="s">
        <v>477</v>
      </c>
      <c r="K51742" s="18"/>
    </row>
    <row r="51743">
      <c r="B51743" s="17" t="s">
        <v>477</v>
      </c>
      <c r="K51743" s="18"/>
    </row>
    <row r="51744">
      <c r="B51744" s="17" t="s">
        <v>477</v>
      </c>
      <c r="K51744" s="18"/>
    </row>
    <row r="51745">
      <c r="B51745" s="17" t="s">
        <v>477</v>
      </c>
      <c r="K51745" s="18"/>
    </row>
    <row r="51746">
      <c r="B51746" s="17" t="s">
        <v>477</v>
      </c>
      <c r="K51746" s="18"/>
    </row>
    <row r="51747">
      <c r="B51747" s="17" t="s">
        <v>477</v>
      </c>
      <c r="K51747" s="18"/>
    </row>
    <row r="51748">
      <c r="B51748" s="17" t="s">
        <v>477</v>
      </c>
      <c r="K51748" s="18"/>
    </row>
    <row r="51749">
      <c r="B51749" s="17" t="s">
        <v>477</v>
      </c>
      <c r="K51749" s="18"/>
    </row>
    <row r="51750">
      <c r="B51750" s="17" t="s">
        <v>477</v>
      </c>
      <c r="K51750" s="18"/>
    </row>
    <row r="51751">
      <c r="B51751" s="17" t="s">
        <v>477</v>
      </c>
      <c r="K51751" s="18"/>
    </row>
    <row r="51752">
      <c r="B51752" s="17" t="s">
        <v>477</v>
      </c>
      <c r="K51752" s="18"/>
    </row>
    <row r="51753">
      <c r="B51753" s="17" t="s">
        <v>477</v>
      </c>
      <c r="K51753" s="18"/>
    </row>
    <row r="51754">
      <c r="B51754" s="17" t="s">
        <v>477</v>
      </c>
      <c r="K51754" s="18"/>
    </row>
    <row r="51755">
      <c r="B51755" s="17" t="s">
        <v>477</v>
      </c>
      <c r="K51755" s="18"/>
    </row>
    <row r="51756">
      <c r="B51756" s="17" t="s">
        <v>477</v>
      </c>
      <c r="K51756" s="18"/>
    </row>
    <row r="51757">
      <c r="B51757" s="17" t="s">
        <v>477</v>
      </c>
      <c r="K51757" s="18"/>
    </row>
    <row r="51758">
      <c r="B51758" s="17" t="s">
        <v>477</v>
      </c>
      <c r="K51758" s="18"/>
    </row>
    <row r="51759">
      <c r="B51759" s="17" t="s">
        <v>477</v>
      </c>
      <c r="K51759" s="18"/>
    </row>
    <row r="51760">
      <c r="B51760" s="17" t="s">
        <v>477</v>
      </c>
      <c r="K51760" s="18"/>
    </row>
    <row r="51761">
      <c r="B51761" s="17" t="s">
        <v>477</v>
      </c>
      <c r="K51761" s="18"/>
    </row>
    <row r="51762">
      <c r="B51762" s="17" t="s">
        <v>477</v>
      </c>
      <c r="K51762" s="18"/>
    </row>
    <row r="51763">
      <c r="B51763" s="17" t="s">
        <v>477</v>
      </c>
      <c r="K51763" s="18"/>
    </row>
    <row r="51764">
      <c r="B51764" s="17" t="s">
        <v>477</v>
      </c>
      <c r="K51764" s="18"/>
    </row>
    <row r="51765">
      <c r="B51765" s="17" t="s">
        <v>477</v>
      </c>
      <c r="K51765" s="18"/>
    </row>
    <row r="51766">
      <c r="B51766" s="17" t="s">
        <v>477</v>
      </c>
      <c r="K51766" s="18"/>
    </row>
    <row r="51767">
      <c r="B51767" s="17" t="s">
        <v>477</v>
      </c>
      <c r="K51767" s="18"/>
    </row>
    <row r="51768">
      <c r="B51768" s="17" t="s">
        <v>477</v>
      </c>
      <c r="K51768" s="18"/>
    </row>
    <row r="51769">
      <c r="B51769" s="17" t="s">
        <v>477</v>
      </c>
      <c r="K51769" s="18"/>
    </row>
    <row r="51770">
      <c r="B51770" s="17" t="s">
        <v>477</v>
      </c>
      <c r="K51770" s="18"/>
    </row>
    <row r="51771">
      <c r="B51771" s="17" t="s">
        <v>477</v>
      </c>
      <c r="K51771" s="18"/>
    </row>
    <row r="51772">
      <c r="B51772" s="17" t="s">
        <v>477</v>
      </c>
      <c r="K51772" s="18"/>
    </row>
    <row r="51773">
      <c r="B51773" s="17" t="s">
        <v>477</v>
      </c>
      <c r="K51773" s="18"/>
    </row>
    <row r="51774">
      <c r="B51774" s="17" t="s">
        <v>477</v>
      </c>
      <c r="K51774" s="18"/>
    </row>
    <row r="51775">
      <c r="B51775" s="17" t="s">
        <v>477</v>
      </c>
      <c r="K51775" s="18"/>
    </row>
    <row r="51776">
      <c r="B51776" s="17" t="s">
        <v>477</v>
      </c>
      <c r="K51776" s="18"/>
    </row>
    <row r="51777">
      <c r="B51777" s="17" t="s">
        <v>477</v>
      </c>
      <c r="K51777" s="18"/>
    </row>
    <row r="51778">
      <c r="B51778" s="17" t="s">
        <v>477</v>
      </c>
      <c r="K51778" s="18"/>
    </row>
    <row r="51779">
      <c r="B51779" s="17" t="s">
        <v>477</v>
      </c>
      <c r="K51779" s="18"/>
    </row>
    <row r="51780">
      <c r="B51780" s="17" t="s">
        <v>477</v>
      </c>
      <c r="K51780" s="18"/>
    </row>
    <row r="51781">
      <c r="B51781" s="17" t="s">
        <v>477</v>
      </c>
      <c r="K51781" s="18"/>
    </row>
    <row r="51782">
      <c r="B51782" s="17" t="s">
        <v>477</v>
      </c>
      <c r="K51782" s="18"/>
    </row>
    <row r="51783">
      <c r="B51783" s="17" t="s">
        <v>477</v>
      </c>
      <c r="K51783" s="18"/>
    </row>
    <row r="51784">
      <c r="B51784" s="17" t="s">
        <v>477</v>
      </c>
      <c r="K51784" s="18"/>
    </row>
    <row r="51785">
      <c r="B51785" s="17" t="s">
        <v>477</v>
      </c>
      <c r="K51785" s="18"/>
    </row>
    <row r="51786">
      <c r="B51786" s="17" t="s">
        <v>477</v>
      </c>
      <c r="K51786" s="18"/>
    </row>
    <row r="51787">
      <c r="B51787" s="17" t="s">
        <v>477</v>
      </c>
      <c r="K51787" s="18"/>
    </row>
    <row r="51788">
      <c r="B51788" s="17" t="s">
        <v>477</v>
      </c>
      <c r="K51788" s="18"/>
    </row>
    <row r="51789">
      <c r="B51789" s="17" t="s">
        <v>477</v>
      </c>
      <c r="K51789" s="18"/>
    </row>
    <row r="51790">
      <c r="B51790" s="17" t="s">
        <v>477</v>
      </c>
      <c r="K51790" s="18"/>
    </row>
    <row r="51791">
      <c r="B51791" s="17" t="s">
        <v>477</v>
      </c>
      <c r="K51791" s="18"/>
    </row>
    <row r="51792">
      <c r="B51792" s="17" t="s">
        <v>477</v>
      </c>
      <c r="K51792" s="18"/>
    </row>
    <row r="51793">
      <c r="B51793" s="17" t="s">
        <v>477</v>
      </c>
      <c r="K51793" s="18"/>
    </row>
    <row r="51794">
      <c r="B51794" s="17" t="s">
        <v>477</v>
      </c>
      <c r="K51794" s="18"/>
    </row>
    <row r="51795">
      <c r="B51795" s="17" t="s">
        <v>477</v>
      </c>
      <c r="K51795" s="18"/>
    </row>
    <row r="51796">
      <c r="B51796" s="17" t="s">
        <v>477</v>
      </c>
      <c r="K51796" s="18"/>
    </row>
    <row r="51797">
      <c r="B51797" s="17" t="s">
        <v>477</v>
      </c>
      <c r="K51797" s="18"/>
    </row>
    <row r="51798">
      <c r="B51798" s="17" t="s">
        <v>477</v>
      </c>
      <c r="K51798" s="18"/>
    </row>
    <row r="51799">
      <c r="B51799" s="17" t="s">
        <v>477</v>
      </c>
      <c r="K51799" s="18"/>
    </row>
    <row r="51800">
      <c r="B51800" s="17" t="s">
        <v>477</v>
      </c>
      <c r="K51800" s="18"/>
    </row>
    <row r="51801">
      <c r="B51801" s="17" t="s">
        <v>477</v>
      </c>
      <c r="K51801" s="18"/>
    </row>
    <row r="51802">
      <c r="B51802" s="17" t="s">
        <v>477</v>
      </c>
      <c r="K51802" s="18"/>
    </row>
    <row r="51803">
      <c r="B51803" s="17" t="s">
        <v>477</v>
      </c>
      <c r="K51803" s="18"/>
    </row>
    <row r="51804">
      <c r="B51804" s="17" t="s">
        <v>477</v>
      </c>
      <c r="K51804" s="18"/>
    </row>
    <row r="51805">
      <c r="B51805" s="17" t="s">
        <v>477</v>
      </c>
      <c r="K51805" s="18"/>
    </row>
    <row r="51806">
      <c r="B51806" s="17" t="s">
        <v>477</v>
      </c>
      <c r="K51806" s="18"/>
    </row>
    <row r="51807">
      <c r="B51807" s="17" t="s">
        <v>477</v>
      </c>
      <c r="K51807" s="18"/>
    </row>
    <row r="51808">
      <c r="B51808" s="17" t="s">
        <v>477</v>
      </c>
      <c r="K51808" s="18"/>
    </row>
    <row r="51809">
      <c r="B51809" s="17" t="s">
        <v>477</v>
      </c>
      <c r="K51809" s="18"/>
    </row>
    <row r="51810">
      <c r="B51810" s="17" t="s">
        <v>477</v>
      </c>
      <c r="K51810" s="18"/>
    </row>
    <row r="51811">
      <c r="B51811" s="17" t="s">
        <v>477</v>
      </c>
      <c r="K51811" s="18"/>
    </row>
    <row r="51812">
      <c r="B51812" s="17" t="s">
        <v>477</v>
      </c>
      <c r="K51812" s="18"/>
    </row>
    <row r="51813">
      <c r="B51813" s="17" t="s">
        <v>477</v>
      </c>
      <c r="K51813" s="18"/>
    </row>
    <row r="51814">
      <c r="B51814" s="17" t="s">
        <v>477</v>
      </c>
      <c r="K51814" s="18"/>
    </row>
    <row r="51815">
      <c r="B51815" s="17" t="s">
        <v>477</v>
      </c>
      <c r="K51815" s="18"/>
    </row>
    <row r="51816">
      <c r="B51816" s="17" t="s">
        <v>477</v>
      </c>
      <c r="K51816" s="18"/>
    </row>
    <row r="51817">
      <c r="B51817" s="17" t="s">
        <v>477</v>
      </c>
      <c r="K51817" s="18"/>
    </row>
    <row r="51818">
      <c r="B51818" s="17" t="s">
        <v>477</v>
      </c>
      <c r="K51818" s="18"/>
    </row>
    <row r="51819">
      <c r="B51819" s="17" t="s">
        <v>477</v>
      </c>
      <c r="K51819" s="18"/>
    </row>
    <row r="51820">
      <c r="B51820" s="17" t="s">
        <v>477</v>
      </c>
      <c r="K51820" s="18"/>
    </row>
    <row r="51821">
      <c r="B51821" s="17" t="s">
        <v>477</v>
      </c>
      <c r="K51821" s="18"/>
    </row>
    <row r="51822">
      <c r="B51822" s="17" t="s">
        <v>477</v>
      </c>
      <c r="K51822" s="18"/>
    </row>
    <row r="51823">
      <c r="B51823" s="17" t="s">
        <v>477</v>
      </c>
      <c r="K51823" s="18"/>
    </row>
    <row r="51824">
      <c r="B51824" s="17" t="s">
        <v>477</v>
      </c>
      <c r="K51824" s="18"/>
    </row>
    <row r="51825">
      <c r="B51825" s="17" t="s">
        <v>477</v>
      </c>
      <c r="K51825" s="18"/>
    </row>
    <row r="51826">
      <c r="B51826" s="17" t="s">
        <v>477</v>
      </c>
      <c r="K51826" s="18"/>
    </row>
    <row r="51827">
      <c r="B51827" s="17" t="s">
        <v>477</v>
      </c>
      <c r="K51827" s="18"/>
    </row>
    <row r="51828">
      <c r="B51828" s="17" t="s">
        <v>477</v>
      </c>
      <c r="K51828" s="18"/>
    </row>
    <row r="51829">
      <c r="B51829" s="17" t="s">
        <v>477</v>
      </c>
      <c r="K51829" s="18"/>
    </row>
    <row r="51830">
      <c r="B51830" s="17" t="s">
        <v>477</v>
      </c>
      <c r="K51830" s="18"/>
    </row>
    <row r="51831">
      <c r="B51831" s="17" t="s">
        <v>477</v>
      </c>
      <c r="K51831" s="18"/>
    </row>
    <row r="51832">
      <c r="B51832" s="17" t="s">
        <v>477</v>
      </c>
      <c r="K51832" s="18"/>
    </row>
    <row r="51833">
      <c r="B51833" s="17" t="s">
        <v>477</v>
      </c>
      <c r="K51833" s="18"/>
    </row>
    <row r="51834">
      <c r="B51834" s="17" t="s">
        <v>477</v>
      </c>
      <c r="K51834" s="18"/>
    </row>
    <row r="51835">
      <c r="B51835" s="17" t="s">
        <v>477</v>
      </c>
      <c r="K51835" s="18"/>
    </row>
    <row r="51836">
      <c r="B51836" s="17" t="s">
        <v>477</v>
      </c>
      <c r="K51836" s="18"/>
    </row>
    <row r="51837">
      <c r="B51837" s="17" t="s">
        <v>477</v>
      </c>
      <c r="K51837" s="18"/>
    </row>
    <row r="51838">
      <c r="B51838" s="17" t="s">
        <v>477</v>
      </c>
      <c r="K51838" s="18"/>
    </row>
    <row r="51839">
      <c r="B51839" s="17" t="s">
        <v>477</v>
      </c>
      <c r="K51839" s="18"/>
    </row>
    <row r="51840">
      <c r="B51840" s="17" t="s">
        <v>477</v>
      </c>
      <c r="K51840" s="18"/>
    </row>
    <row r="51841">
      <c r="B51841" s="17" t="s">
        <v>477</v>
      </c>
      <c r="K51841" s="18"/>
    </row>
    <row r="51842">
      <c r="B51842" s="17" t="s">
        <v>477</v>
      </c>
      <c r="K51842" s="18"/>
    </row>
    <row r="51843">
      <c r="B51843" s="17" t="s">
        <v>477</v>
      </c>
      <c r="K51843" s="18"/>
    </row>
    <row r="51844">
      <c r="B51844" s="17" t="s">
        <v>477</v>
      </c>
      <c r="K51844" s="18"/>
    </row>
    <row r="51845">
      <c r="B51845" s="17" t="s">
        <v>477</v>
      </c>
      <c r="K51845" s="18"/>
    </row>
    <row r="51846">
      <c r="B51846" s="17" t="s">
        <v>477</v>
      </c>
      <c r="K51846" s="18"/>
    </row>
    <row r="51847">
      <c r="B51847" s="17" t="s">
        <v>477</v>
      </c>
      <c r="K51847" s="18"/>
    </row>
    <row r="51848">
      <c r="B51848" s="17" t="s">
        <v>477</v>
      </c>
      <c r="K51848" s="18"/>
    </row>
    <row r="51849">
      <c r="B51849" s="17" t="s">
        <v>477</v>
      </c>
      <c r="K51849" s="18"/>
    </row>
    <row r="51850">
      <c r="B51850" s="17" t="s">
        <v>477</v>
      </c>
      <c r="K51850" s="18"/>
    </row>
    <row r="51851">
      <c r="B51851" s="17" t="s">
        <v>477</v>
      </c>
      <c r="K51851" s="18"/>
    </row>
    <row r="51852">
      <c r="B51852" s="17" t="s">
        <v>477</v>
      </c>
      <c r="K51852" s="18"/>
    </row>
    <row r="51853">
      <c r="B51853" s="17" t="s">
        <v>477</v>
      </c>
      <c r="K51853" s="18"/>
    </row>
    <row r="51854">
      <c r="B51854" s="17" t="s">
        <v>477</v>
      </c>
      <c r="K51854" s="18"/>
    </row>
    <row r="51855">
      <c r="B51855" s="17" t="s">
        <v>477</v>
      </c>
      <c r="K51855" s="18"/>
    </row>
    <row r="51856">
      <c r="B51856" s="17" t="s">
        <v>477</v>
      </c>
      <c r="K51856" s="18"/>
    </row>
    <row r="51857">
      <c r="B51857" s="17" t="s">
        <v>477</v>
      </c>
      <c r="K51857" s="18"/>
    </row>
    <row r="51858">
      <c r="B51858" s="17" t="s">
        <v>477</v>
      </c>
      <c r="K51858" s="18"/>
    </row>
    <row r="51859">
      <c r="B51859" s="17" t="s">
        <v>477</v>
      </c>
      <c r="K51859" s="18"/>
    </row>
    <row r="51860">
      <c r="B51860" s="17" t="s">
        <v>477</v>
      </c>
      <c r="K51860" s="18"/>
    </row>
    <row r="51861">
      <c r="B51861" s="17" t="s">
        <v>477</v>
      </c>
      <c r="K51861" s="18"/>
    </row>
    <row r="51862">
      <c r="B51862" s="17" t="s">
        <v>477</v>
      </c>
      <c r="K51862" s="18"/>
    </row>
    <row r="51863">
      <c r="B51863" s="17" t="s">
        <v>477</v>
      </c>
      <c r="K51863" s="18"/>
    </row>
    <row r="51864">
      <c r="B51864" s="17" t="s">
        <v>477</v>
      </c>
      <c r="K51864" s="18"/>
    </row>
    <row r="51865">
      <c r="B51865" s="17" t="s">
        <v>477</v>
      </c>
      <c r="K51865" s="18"/>
    </row>
    <row r="51866">
      <c r="B51866" s="17" t="s">
        <v>477</v>
      </c>
      <c r="K51866" s="18"/>
    </row>
    <row r="51867">
      <c r="B51867" s="17" t="s">
        <v>477</v>
      </c>
      <c r="K51867" s="18"/>
    </row>
    <row r="51868">
      <c r="B51868" s="17" t="s">
        <v>477</v>
      </c>
      <c r="K51868" s="18"/>
    </row>
    <row r="51869">
      <c r="B51869" s="17" t="s">
        <v>477</v>
      </c>
      <c r="K51869" s="18"/>
    </row>
    <row r="51870">
      <c r="B51870" s="17" t="s">
        <v>477</v>
      </c>
      <c r="K51870" s="18"/>
    </row>
    <row r="51871">
      <c r="B51871" s="17" t="s">
        <v>477</v>
      </c>
      <c r="K51871" s="18"/>
    </row>
    <row r="51872">
      <c r="B51872" s="17" t="s">
        <v>477</v>
      </c>
      <c r="K51872" s="18"/>
    </row>
    <row r="51873">
      <c r="B51873" s="17" t="s">
        <v>477</v>
      </c>
      <c r="K51873" s="18"/>
    </row>
    <row r="51874">
      <c r="B51874" s="17" t="s">
        <v>477</v>
      </c>
      <c r="K51874" s="18"/>
    </row>
    <row r="51875">
      <c r="B51875" s="17" t="s">
        <v>477</v>
      </c>
      <c r="K51875" s="18"/>
    </row>
    <row r="51876">
      <c r="B51876" s="17" t="s">
        <v>477</v>
      </c>
      <c r="K51876" s="18"/>
    </row>
    <row r="51877">
      <c r="B51877" s="17" t="s">
        <v>477</v>
      </c>
      <c r="K51877" s="18"/>
    </row>
    <row r="51878">
      <c r="B51878" s="17" t="s">
        <v>477</v>
      </c>
      <c r="K51878" s="18"/>
    </row>
    <row r="51879">
      <c r="B51879" s="17" t="s">
        <v>477</v>
      </c>
      <c r="K51879" s="18"/>
    </row>
    <row r="51880">
      <c r="B51880" s="17" t="s">
        <v>477</v>
      </c>
      <c r="K51880" s="18"/>
    </row>
    <row r="51881">
      <c r="B51881" s="17" t="s">
        <v>477</v>
      </c>
      <c r="K51881" s="18"/>
    </row>
    <row r="51882">
      <c r="B51882" s="17" t="s">
        <v>477</v>
      </c>
      <c r="K51882" s="18"/>
    </row>
    <row r="51883">
      <c r="B51883" s="17" t="s">
        <v>477</v>
      </c>
      <c r="K51883" s="18"/>
    </row>
    <row r="51884">
      <c r="B51884" s="17" t="s">
        <v>477</v>
      </c>
      <c r="K51884" s="18"/>
    </row>
    <row r="51885">
      <c r="B51885" s="17" t="s">
        <v>477</v>
      </c>
      <c r="K51885" s="18"/>
    </row>
    <row r="51886">
      <c r="B51886" s="17" t="s">
        <v>477</v>
      </c>
      <c r="K51886" s="18"/>
    </row>
    <row r="51887">
      <c r="B51887" s="17" t="s">
        <v>477</v>
      </c>
      <c r="K51887" s="18"/>
    </row>
    <row r="51888">
      <c r="B51888" s="17" t="s">
        <v>477</v>
      </c>
      <c r="K51888" s="18"/>
    </row>
    <row r="51889">
      <c r="B51889" s="17" t="s">
        <v>477</v>
      </c>
      <c r="K51889" s="18"/>
    </row>
    <row r="51890">
      <c r="B51890" s="17" t="s">
        <v>477</v>
      </c>
      <c r="K51890" s="18"/>
    </row>
    <row r="51891">
      <c r="B51891" s="17" t="s">
        <v>477</v>
      </c>
      <c r="K51891" s="18"/>
    </row>
    <row r="51892">
      <c r="B51892" s="17" t="s">
        <v>477</v>
      </c>
      <c r="K51892" s="18"/>
    </row>
    <row r="51893">
      <c r="B51893" s="17" t="s">
        <v>477</v>
      </c>
      <c r="K51893" s="18"/>
    </row>
    <row r="51894">
      <c r="B51894" s="17" t="s">
        <v>477</v>
      </c>
      <c r="K51894" s="18"/>
    </row>
    <row r="51895">
      <c r="B51895" s="17" t="s">
        <v>477</v>
      </c>
      <c r="K51895" s="18"/>
    </row>
    <row r="51896">
      <c r="B51896" s="17" t="s">
        <v>477</v>
      </c>
      <c r="K51896" s="18"/>
    </row>
    <row r="51897">
      <c r="B51897" s="17" t="s">
        <v>477</v>
      </c>
      <c r="K51897" s="18"/>
    </row>
    <row r="51898">
      <c r="B51898" s="17" t="s">
        <v>477</v>
      </c>
      <c r="K51898" s="18"/>
    </row>
    <row r="51899">
      <c r="B51899" s="17" t="s">
        <v>477</v>
      </c>
      <c r="K51899" s="18"/>
    </row>
    <row r="51900">
      <c r="B51900" s="17" t="s">
        <v>477</v>
      </c>
      <c r="K51900" s="18"/>
    </row>
    <row r="51901">
      <c r="B51901" s="17" t="s">
        <v>477</v>
      </c>
      <c r="K51901" s="18"/>
    </row>
    <row r="51902">
      <c r="B51902" s="17" t="s">
        <v>477</v>
      </c>
      <c r="K51902" s="18"/>
    </row>
    <row r="51903">
      <c r="B51903" s="17" t="s">
        <v>477</v>
      </c>
      <c r="K51903" s="18"/>
    </row>
    <row r="51904">
      <c r="B51904" s="17" t="s">
        <v>477</v>
      </c>
      <c r="K51904" s="18"/>
    </row>
    <row r="51905">
      <c r="B51905" s="17" t="s">
        <v>477</v>
      </c>
      <c r="K51905" s="18"/>
    </row>
    <row r="51906">
      <c r="B51906" s="17" t="s">
        <v>477</v>
      </c>
      <c r="K51906" s="18"/>
    </row>
    <row r="51907">
      <c r="B51907" s="17" t="s">
        <v>477</v>
      </c>
      <c r="K51907" s="18"/>
    </row>
    <row r="51908">
      <c r="B51908" s="17" t="s">
        <v>477</v>
      </c>
      <c r="K51908" s="18"/>
    </row>
    <row r="51909">
      <c r="B51909" s="17" t="s">
        <v>477</v>
      </c>
      <c r="K51909" s="18"/>
    </row>
    <row r="51910">
      <c r="B51910" s="17" t="s">
        <v>477</v>
      </c>
      <c r="K51910" s="18"/>
    </row>
    <row r="51911">
      <c r="B51911" s="17" t="s">
        <v>477</v>
      </c>
      <c r="K51911" s="18"/>
    </row>
    <row r="51912">
      <c r="B51912" s="17" t="s">
        <v>477</v>
      </c>
      <c r="K51912" s="18"/>
    </row>
    <row r="51913">
      <c r="B51913" s="17" t="s">
        <v>477</v>
      </c>
      <c r="K51913" s="18"/>
    </row>
    <row r="51914">
      <c r="B51914" s="17" t="s">
        <v>477</v>
      </c>
      <c r="K51914" s="18"/>
    </row>
    <row r="51915">
      <c r="B51915" s="17" t="s">
        <v>477</v>
      </c>
      <c r="K51915" s="18"/>
    </row>
    <row r="51916">
      <c r="B51916" s="17" t="s">
        <v>477</v>
      </c>
      <c r="K51916" s="18"/>
    </row>
    <row r="51917">
      <c r="B51917" s="17" t="s">
        <v>477</v>
      </c>
      <c r="K51917" s="18"/>
    </row>
    <row r="51918">
      <c r="B51918" s="17" t="s">
        <v>477</v>
      </c>
      <c r="K51918" s="18"/>
    </row>
    <row r="51919">
      <c r="B51919" s="17" t="s">
        <v>477</v>
      </c>
      <c r="K51919" s="18"/>
    </row>
    <row r="51920">
      <c r="B51920" s="17" t="s">
        <v>477</v>
      </c>
      <c r="K51920" s="18"/>
    </row>
    <row r="51921">
      <c r="B51921" s="17" t="s">
        <v>477</v>
      </c>
      <c r="K51921" s="18"/>
    </row>
    <row r="51922">
      <c r="B51922" s="17" t="s">
        <v>477</v>
      </c>
      <c r="K51922" s="18"/>
    </row>
    <row r="51923">
      <c r="B51923" s="17" t="s">
        <v>477</v>
      </c>
      <c r="K51923" s="18"/>
    </row>
    <row r="51924">
      <c r="B51924" s="17" t="s">
        <v>477</v>
      </c>
      <c r="K51924" s="18"/>
    </row>
    <row r="51925">
      <c r="B51925" s="17" t="s">
        <v>477</v>
      </c>
      <c r="K51925" s="18"/>
    </row>
    <row r="51926">
      <c r="B51926" s="17" t="s">
        <v>477</v>
      </c>
      <c r="K51926" s="18"/>
    </row>
    <row r="51927">
      <c r="B51927" s="17" t="s">
        <v>477</v>
      </c>
      <c r="K51927" s="18"/>
    </row>
    <row r="51928">
      <c r="B51928" s="17" t="s">
        <v>477</v>
      </c>
      <c r="K51928" s="18"/>
    </row>
    <row r="51929">
      <c r="B51929" s="17" t="s">
        <v>477</v>
      </c>
      <c r="K51929" s="18"/>
    </row>
    <row r="51930">
      <c r="B51930" s="17" t="s">
        <v>477</v>
      </c>
      <c r="K51930" s="18"/>
    </row>
    <row r="51931">
      <c r="B51931" s="17" t="s">
        <v>477</v>
      </c>
      <c r="K51931" s="18"/>
    </row>
    <row r="51932">
      <c r="B51932" s="17" t="s">
        <v>477</v>
      </c>
      <c r="K51932" s="18"/>
    </row>
    <row r="51933">
      <c r="B51933" s="17" t="s">
        <v>477</v>
      </c>
      <c r="K51933" s="18"/>
    </row>
    <row r="51934">
      <c r="B51934" s="17" t="s">
        <v>477</v>
      </c>
      <c r="K51934" s="18"/>
    </row>
    <row r="51935">
      <c r="B51935" s="17" t="s">
        <v>477</v>
      </c>
      <c r="K51935" s="18"/>
    </row>
    <row r="51936">
      <c r="B51936" s="17" t="s">
        <v>477</v>
      </c>
      <c r="K51936" s="18"/>
    </row>
    <row r="51937">
      <c r="B51937" s="17" t="s">
        <v>477</v>
      </c>
      <c r="K51937" s="18"/>
    </row>
    <row r="51938">
      <c r="B51938" s="17" t="s">
        <v>477</v>
      </c>
      <c r="K51938" s="18"/>
    </row>
    <row r="51939">
      <c r="B51939" s="17" t="s">
        <v>477</v>
      </c>
      <c r="K51939" s="18"/>
    </row>
    <row r="51940">
      <c r="B51940" s="17" t="s">
        <v>477</v>
      </c>
      <c r="K51940" s="18"/>
    </row>
    <row r="51941">
      <c r="B51941" s="17" t="s">
        <v>477</v>
      </c>
      <c r="K51941" s="18"/>
    </row>
    <row r="51942">
      <c r="B51942" s="17" t="s">
        <v>477</v>
      </c>
      <c r="K51942" s="18"/>
    </row>
    <row r="51943">
      <c r="B51943" s="17" t="s">
        <v>477</v>
      </c>
      <c r="K51943" s="18"/>
    </row>
    <row r="51944">
      <c r="B51944" s="17" t="s">
        <v>477</v>
      </c>
      <c r="K51944" s="18"/>
    </row>
    <row r="51945">
      <c r="B51945" s="17" t="s">
        <v>477</v>
      </c>
      <c r="K51945" s="18"/>
    </row>
    <row r="51946">
      <c r="B51946" s="17" t="s">
        <v>477</v>
      </c>
      <c r="K51946" s="18"/>
    </row>
    <row r="51947">
      <c r="B51947" s="17" t="s">
        <v>477</v>
      </c>
      <c r="K51947" s="18"/>
    </row>
    <row r="51948">
      <c r="B51948" s="17" t="s">
        <v>477</v>
      </c>
      <c r="K51948" s="18"/>
    </row>
    <row r="51949">
      <c r="B51949" s="17" t="s">
        <v>477</v>
      </c>
      <c r="K51949" s="18"/>
    </row>
    <row r="51950">
      <c r="B51950" s="17" t="s">
        <v>477</v>
      </c>
      <c r="K51950" s="18"/>
    </row>
    <row r="51951">
      <c r="B51951" s="17" t="s">
        <v>477</v>
      </c>
      <c r="K51951" s="18"/>
    </row>
    <row r="51952">
      <c r="B51952" s="17" t="s">
        <v>477</v>
      </c>
      <c r="K51952" s="18"/>
    </row>
    <row r="51953">
      <c r="B51953" s="17" t="s">
        <v>477</v>
      </c>
      <c r="K51953" s="18"/>
    </row>
    <row r="51954">
      <c r="B51954" s="17" t="s">
        <v>477</v>
      </c>
      <c r="K51954" s="18"/>
    </row>
    <row r="51955">
      <c r="B51955" s="17" t="s">
        <v>477</v>
      </c>
      <c r="K51955" s="18"/>
    </row>
    <row r="51956">
      <c r="B51956" s="17" t="s">
        <v>477</v>
      </c>
      <c r="K51956" s="18"/>
    </row>
    <row r="51957">
      <c r="B51957" s="17" t="s">
        <v>477</v>
      </c>
      <c r="K51957" s="18"/>
    </row>
    <row r="51958">
      <c r="B51958" s="17" t="s">
        <v>477</v>
      </c>
      <c r="K51958" s="18"/>
    </row>
    <row r="51959">
      <c r="B51959" s="17" t="s">
        <v>477</v>
      </c>
      <c r="K51959" s="18"/>
    </row>
    <row r="51960">
      <c r="B51960" s="17" t="s">
        <v>477</v>
      </c>
      <c r="K51960" s="18"/>
    </row>
    <row r="51961">
      <c r="B51961" s="17" t="s">
        <v>477</v>
      </c>
      <c r="K51961" s="18"/>
    </row>
    <row r="51962">
      <c r="B51962" s="17" t="s">
        <v>477</v>
      </c>
      <c r="K51962" s="18"/>
    </row>
    <row r="51963">
      <c r="B51963" s="17" t="s">
        <v>477</v>
      </c>
      <c r="K51963" s="18"/>
    </row>
    <row r="51964">
      <c r="B51964" s="17" t="s">
        <v>477</v>
      </c>
      <c r="K51964" s="18"/>
    </row>
    <row r="51965">
      <c r="B51965" s="17" t="s">
        <v>477</v>
      </c>
      <c r="K51965" s="18"/>
    </row>
    <row r="51966">
      <c r="B51966" s="17" t="s">
        <v>477</v>
      </c>
      <c r="K51966" s="18"/>
    </row>
    <row r="51967">
      <c r="B51967" s="17" t="s">
        <v>477</v>
      </c>
      <c r="K51967" s="18"/>
    </row>
    <row r="51968">
      <c r="B51968" s="17" t="s">
        <v>477</v>
      </c>
      <c r="K51968" s="18"/>
    </row>
    <row r="51969">
      <c r="B51969" s="17" t="s">
        <v>477</v>
      </c>
      <c r="K51969" s="18"/>
    </row>
    <row r="51970">
      <c r="B51970" s="17" t="s">
        <v>477</v>
      </c>
      <c r="K51970" s="18"/>
    </row>
    <row r="51971">
      <c r="B51971" s="17" t="s">
        <v>477</v>
      </c>
      <c r="K51971" s="18"/>
    </row>
    <row r="51972">
      <c r="B51972" s="17" t="s">
        <v>477</v>
      </c>
      <c r="K51972" s="18"/>
    </row>
    <row r="51973">
      <c r="B51973" s="17" t="s">
        <v>477</v>
      </c>
      <c r="K51973" s="18"/>
    </row>
    <row r="51974">
      <c r="B51974" s="17" t="s">
        <v>477</v>
      </c>
      <c r="K51974" s="18"/>
    </row>
    <row r="51975">
      <c r="B51975" s="17" t="s">
        <v>477</v>
      </c>
      <c r="K51975" s="18"/>
    </row>
    <row r="51976">
      <c r="B51976" s="17" t="s">
        <v>477</v>
      </c>
      <c r="K51976" s="18"/>
    </row>
    <row r="51977">
      <c r="B51977" s="17" t="s">
        <v>477</v>
      </c>
      <c r="K51977" s="18"/>
    </row>
    <row r="51978">
      <c r="B51978" s="17" t="s">
        <v>477</v>
      </c>
      <c r="K51978" s="18"/>
    </row>
    <row r="51979">
      <c r="B51979" s="17" t="s">
        <v>477</v>
      </c>
      <c r="K51979" s="18"/>
    </row>
    <row r="51980">
      <c r="B51980" s="17" t="s">
        <v>477</v>
      </c>
      <c r="K51980" s="18"/>
    </row>
    <row r="51981">
      <c r="B51981" s="17" t="s">
        <v>477</v>
      </c>
      <c r="K51981" s="18"/>
    </row>
    <row r="51982">
      <c r="B51982" s="17" t="s">
        <v>477</v>
      </c>
      <c r="K51982" s="18"/>
    </row>
    <row r="51983">
      <c r="B51983" s="17" t="s">
        <v>477</v>
      </c>
      <c r="K51983" s="18"/>
    </row>
    <row r="51984">
      <c r="B51984" s="17" t="s">
        <v>477</v>
      </c>
      <c r="K51984" s="18"/>
    </row>
    <row r="51985">
      <c r="B51985" s="17" t="s">
        <v>477</v>
      </c>
      <c r="K51985" s="18"/>
    </row>
    <row r="51986">
      <c r="B51986" s="17" t="s">
        <v>477</v>
      </c>
      <c r="K51986" s="18"/>
    </row>
    <row r="51987">
      <c r="B51987" s="17" t="s">
        <v>477</v>
      </c>
      <c r="K51987" s="18"/>
    </row>
    <row r="51988">
      <c r="B51988" s="17" t="s">
        <v>477</v>
      </c>
      <c r="K51988" s="18"/>
    </row>
    <row r="51989">
      <c r="B51989" s="17" t="s">
        <v>477</v>
      </c>
      <c r="K51989" s="18"/>
    </row>
    <row r="51990">
      <c r="B51990" s="17" t="s">
        <v>477</v>
      </c>
      <c r="K51990" s="18"/>
    </row>
    <row r="51991">
      <c r="B51991" s="17" t="s">
        <v>477</v>
      </c>
      <c r="K51991" s="18"/>
    </row>
    <row r="51992">
      <c r="B51992" s="17" t="s">
        <v>477</v>
      </c>
      <c r="K51992" s="18"/>
    </row>
    <row r="51993">
      <c r="B51993" s="17" t="s">
        <v>477</v>
      </c>
      <c r="K51993" s="18"/>
    </row>
    <row r="51994">
      <c r="B51994" s="17" t="s">
        <v>477</v>
      </c>
      <c r="K51994" s="18"/>
    </row>
    <row r="51995">
      <c r="B51995" s="17" t="s">
        <v>477</v>
      </c>
      <c r="K51995" s="18"/>
    </row>
    <row r="51996">
      <c r="B51996" s="17" t="s">
        <v>477</v>
      </c>
      <c r="K51996" s="18"/>
    </row>
    <row r="51997">
      <c r="B51997" s="17" t="s">
        <v>477</v>
      </c>
      <c r="K51997" s="18"/>
    </row>
    <row r="51998">
      <c r="B51998" s="17" t="s">
        <v>477</v>
      </c>
      <c r="K51998" s="18"/>
    </row>
    <row r="51999">
      <c r="B51999" s="17" t="s">
        <v>477</v>
      </c>
      <c r="K51999" s="18"/>
    </row>
    <row r="52000">
      <c r="B52000" s="17" t="s">
        <v>477</v>
      </c>
      <c r="K52000" s="18"/>
    </row>
    <row r="52001">
      <c r="B52001" s="17" t="s">
        <v>477</v>
      </c>
      <c r="K52001" s="18"/>
    </row>
    <row r="52002">
      <c r="B52002" s="17" t="s">
        <v>477</v>
      </c>
      <c r="K52002" s="18"/>
    </row>
    <row r="52003">
      <c r="B52003" s="17" t="s">
        <v>477</v>
      </c>
      <c r="K52003" s="18"/>
    </row>
    <row r="52004">
      <c r="B52004" s="17" t="s">
        <v>477</v>
      </c>
      <c r="K52004" s="18"/>
    </row>
    <row r="52005">
      <c r="B52005" s="17" t="s">
        <v>477</v>
      </c>
      <c r="K52005" s="18"/>
    </row>
    <row r="52006">
      <c r="B52006" s="17" t="s">
        <v>477</v>
      </c>
      <c r="K52006" s="18"/>
    </row>
    <row r="52007">
      <c r="B52007" s="17" t="s">
        <v>477</v>
      </c>
      <c r="K52007" s="18"/>
    </row>
    <row r="52008">
      <c r="B52008" s="17" t="s">
        <v>477</v>
      </c>
      <c r="K52008" s="18"/>
    </row>
    <row r="52009">
      <c r="B52009" s="17" t="s">
        <v>477</v>
      </c>
      <c r="K52009" s="18"/>
    </row>
    <row r="52010">
      <c r="B52010" s="17" t="s">
        <v>477</v>
      </c>
      <c r="K52010" s="18"/>
    </row>
    <row r="52011">
      <c r="B52011" s="17" t="s">
        <v>477</v>
      </c>
      <c r="K52011" s="18"/>
    </row>
    <row r="52012">
      <c r="B52012" s="17" t="s">
        <v>477</v>
      </c>
      <c r="K52012" s="18"/>
    </row>
    <row r="52013">
      <c r="B52013" s="17" t="s">
        <v>477</v>
      </c>
      <c r="K52013" s="18"/>
    </row>
    <row r="52014">
      <c r="B52014" s="17" t="s">
        <v>477</v>
      </c>
      <c r="K52014" s="18"/>
    </row>
    <row r="52015">
      <c r="B52015" s="17" t="s">
        <v>477</v>
      </c>
      <c r="K52015" s="18"/>
    </row>
    <row r="52016">
      <c r="B52016" s="17" t="s">
        <v>477</v>
      </c>
      <c r="K52016" s="18"/>
    </row>
    <row r="52017">
      <c r="B52017" s="17" t="s">
        <v>477</v>
      </c>
      <c r="K52017" s="18"/>
    </row>
    <row r="52018">
      <c r="B52018" s="17" t="s">
        <v>477</v>
      </c>
      <c r="K52018" s="18"/>
    </row>
    <row r="52019">
      <c r="B52019" s="17" t="s">
        <v>477</v>
      </c>
      <c r="K52019" s="18"/>
    </row>
    <row r="52020">
      <c r="B52020" s="17" t="s">
        <v>477</v>
      </c>
      <c r="K52020" s="18"/>
    </row>
    <row r="52021">
      <c r="B52021" s="17" t="s">
        <v>477</v>
      </c>
      <c r="K52021" s="18"/>
    </row>
    <row r="52022">
      <c r="B52022" s="17" t="s">
        <v>477</v>
      </c>
      <c r="K52022" s="18"/>
    </row>
    <row r="52023">
      <c r="B52023" s="17" t="s">
        <v>477</v>
      </c>
      <c r="K52023" s="18"/>
    </row>
    <row r="52024">
      <c r="B52024" s="17" t="s">
        <v>477</v>
      </c>
      <c r="K52024" s="18"/>
    </row>
    <row r="52025">
      <c r="B52025" s="17" t="s">
        <v>477</v>
      </c>
      <c r="K52025" s="18"/>
    </row>
    <row r="52026">
      <c r="B52026" s="17" t="s">
        <v>477</v>
      </c>
      <c r="K52026" s="18"/>
    </row>
    <row r="52027">
      <c r="B52027" s="17" t="s">
        <v>477</v>
      </c>
      <c r="K52027" s="18"/>
    </row>
    <row r="52028">
      <c r="B52028" s="17" t="s">
        <v>477</v>
      </c>
      <c r="K52028" s="18"/>
    </row>
    <row r="52029">
      <c r="B52029" s="17" t="s">
        <v>477</v>
      </c>
      <c r="K52029" s="18"/>
    </row>
    <row r="52030">
      <c r="B52030" s="17" t="s">
        <v>477</v>
      </c>
      <c r="K52030" s="18"/>
    </row>
    <row r="52031">
      <c r="B52031" s="17" t="s">
        <v>477</v>
      </c>
      <c r="K52031" s="18"/>
    </row>
    <row r="52032">
      <c r="B52032" s="17" t="s">
        <v>477</v>
      </c>
      <c r="K52032" s="18"/>
    </row>
    <row r="52033">
      <c r="B52033" s="17" t="s">
        <v>477</v>
      </c>
      <c r="K52033" s="18"/>
    </row>
    <row r="52034">
      <c r="B52034" s="17" t="s">
        <v>477</v>
      </c>
      <c r="K52034" s="18"/>
    </row>
    <row r="52035">
      <c r="B52035" s="17" t="s">
        <v>477</v>
      </c>
      <c r="K52035" s="18"/>
    </row>
    <row r="52036">
      <c r="B52036" s="17" t="s">
        <v>477</v>
      </c>
      <c r="K52036" s="18"/>
    </row>
    <row r="52037">
      <c r="B52037" s="17" t="s">
        <v>477</v>
      </c>
      <c r="K52037" s="18"/>
    </row>
    <row r="52038">
      <c r="B52038" s="17" t="s">
        <v>477</v>
      </c>
      <c r="K52038" s="18"/>
    </row>
    <row r="52039">
      <c r="B52039" s="17" t="s">
        <v>477</v>
      </c>
      <c r="K52039" s="18"/>
    </row>
    <row r="52040">
      <c r="B52040" s="17" t="s">
        <v>477</v>
      </c>
      <c r="K52040" s="18"/>
    </row>
    <row r="52041">
      <c r="B52041" s="17" t="s">
        <v>477</v>
      </c>
      <c r="K52041" s="18"/>
    </row>
    <row r="52042">
      <c r="B52042" s="17" t="s">
        <v>477</v>
      </c>
      <c r="K52042" s="18"/>
    </row>
    <row r="52043">
      <c r="B52043" s="17" t="s">
        <v>477</v>
      </c>
      <c r="K52043" s="18"/>
    </row>
    <row r="52044">
      <c r="B52044" s="17" t="s">
        <v>477</v>
      </c>
      <c r="K52044" s="18"/>
    </row>
    <row r="52045">
      <c r="B52045" s="17" t="s">
        <v>477</v>
      </c>
      <c r="K52045" s="18"/>
    </row>
    <row r="52046">
      <c r="B52046" s="17" t="s">
        <v>477</v>
      </c>
      <c r="K52046" s="18"/>
    </row>
    <row r="52047">
      <c r="B52047" s="17" t="s">
        <v>477</v>
      </c>
      <c r="K52047" s="18"/>
    </row>
    <row r="52048">
      <c r="B52048" s="17" t="s">
        <v>477</v>
      </c>
      <c r="K52048" s="18"/>
    </row>
    <row r="52049">
      <c r="B52049" s="17" t="s">
        <v>477</v>
      </c>
      <c r="K52049" s="18"/>
    </row>
    <row r="52050">
      <c r="B52050" s="17" t="s">
        <v>477</v>
      </c>
      <c r="K52050" s="18"/>
    </row>
    <row r="52051">
      <c r="B52051" s="17" t="s">
        <v>477</v>
      </c>
      <c r="K52051" s="18"/>
    </row>
    <row r="52052">
      <c r="B52052" s="17" t="s">
        <v>477</v>
      </c>
      <c r="K52052" s="18"/>
    </row>
    <row r="52053">
      <c r="B52053" s="17" t="s">
        <v>477</v>
      </c>
      <c r="K52053" s="18"/>
    </row>
    <row r="52054">
      <c r="B52054" s="17" t="s">
        <v>477</v>
      </c>
      <c r="K52054" s="18"/>
    </row>
    <row r="52055">
      <c r="B52055" s="17" t="s">
        <v>477</v>
      </c>
      <c r="K52055" s="18"/>
    </row>
    <row r="52056">
      <c r="B52056" s="17" t="s">
        <v>477</v>
      </c>
      <c r="K52056" s="18"/>
    </row>
    <row r="52057">
      <c r="B52057" s="17" t="s">
        <v>477</v>
      </c>
      <c r="K52057" s="18"/>
    </row>
    <row r="52058">
      <c r="B52058" s="17" t="s">
        <v>477</v>
      </c>
      <c r="K52058" s="18"/>
    </row>
    <row r="52059">
      <c r="B52059" s="17" t="s">
        <v>477</v>
      </c>
      <c r="K52059" s="18"/>
    </row>
    <row r="52060">
      <c r="B52060" s="17" t="s">
        <v>477</v>
      </c>
      <c r="K52060" s="18"/>
    </row>
    <row r="52061">
      <c r="B52061" s="17" t="s">
        <v>477</v>
      </c>
      <c r="K52061" s="18"/>
    </row>
    <row r="52062">
      <c r="B52062" s="17" t="s">
        <v>477</v>
      </c>
      <c r="K52062" s="18"/>
    </row>
    <row r="52063">
      <c r="B52063" s="17" t="s">
        <v>477</v>
      </c>
      <c r="K52063" s="18"/>
    </row>
    <row r="52064">
      <c r="B52064" s="17" t="s">
        <v>477</v>
      </c>
      <c r="K52064" s="18"/>
    </row>
    <row r="52065">
      <c r="B52065" s="17" t="s">
        <v>477</v>
      </c>
      <c r="K52065" s="18"/>
    </row>
    <row r="52066">
      <c r="B52066" s="17" t="s">
        <v>477</v>
      </c>
      <c r="K52066" s="18"/>
    </row>
    <row r="52067">
      <c r="B52067" s="17" t="s">
        <v>477</v>
      </c>
      <c r="K52067" s="18"/>
    </row>
    <row r="52068">
      <c r="B52068" s="17" t="s">
        <v>477</v>
      </c>
      <c r="K52068" s="18"/>
    </row>
    <row r="52069">
      <c r="B52069" s="17" t="s">
        <v>477</v>
      </c>
      <c r="K52069" s="18"/>
    </row>
    <row r="52070">
      <c r="B52070" s="17" t="s">
        <v>477</v>
      </c>
      <c r="K52070" s="18"/>
    </row>
    <row r="52071">
      <c r="B52071" s="17" t="s">
        <v>477</v>
      </c>
      <c r="K52071" s="18"/>
    </row>
    <row r="52072">
      <c r="B52072" s="17" t="s">
        <v>477</v>
      </c>
      <c r="K52072" s="18"/>
    </row>
    <row r="52073">
      <c r="B52073" s="17" t="s">
        <v>477</v>
      </c>
      <c r="K52073" s="18"/>
    </row>
    <row r="52074">
      <c r="B52074" s="17" t="s">
        <v>477</v>
      </c>
      <c r="K52074" s="18"/>
    </row>
    <row r="52075">
      <c r="B52075" s="17" t="s">
        <v>477</v>
      </c>
      <c r="K52075" s="18"/>
    </row>
    <row r="52076">
      <c r="B52076" s="17" t="s">
        <v>477</v>
      </c>
      <c r="K52076" s="18"/>
    </row>
    <row r="52077">
      <c r="B52077" s="17" t="s">
        <v>477</v>
      </c>
      <c r="K52077" s="18"/>
    </row>
    <row r="52078">
      <c r="B52078" s="17" t="s">
        <v>477</v>
      </c>
      <c r="K52078" s="18"/>
    </row>
    <row r="52079">
      <c r="B52079" s="17" t="s">
        <v>477</v>
      </c>
      <c r="K52079" s="18"/>
    </row>
    <row r="52080">
      <c r="B52080" s="17" t="s">
        <v>477</v>
      </c>
      <c r="K52080" s="18"/>
    </row>
    <row r="52081">
      <c r="B52081" s="17" t="s">
        <v>477</v>
      </c>
      <c r="K52081" s="18"/>
    </row>
    <row r="52082">
      <c r="B52082" s="17" t="s">
        <v>477</v>
      </c>
      <c r="K52082" s="18"/>
    </row>
    <row r="52083">
      <c r="B52083" s="17" t="s">
        <v>477</v>
      </c>
      <c r="K52083" s="18"/>
    </row>
    <row r="52084">
      <c r="B52084" s="17" t="s">
        <v>477</v>
      </c>
      <c r="K52084" s="18"/>
    </row>
    <row r="52085">
      <c r="B52085" s="17" t="s">
        <v>477</v>
      </c>
      <c r="K52085" s="18"/>
    </row>
    <row r="52086">
      <c r="B52086" s="17" t="s">
        <v>477</v>
      </c>
      <c r="K52086" s="18"/>
    </row>
    <row r="52087">
      <c r="B52087" s="17" t="s">
        <v>477</v>
      </c>
      <c r="K52087" s="18"/>
    </row>
    <row r="52088">
      <c r="B52088" s="17" t="s">
        <v>477</v>
      </c>
      <c r="K52088" s="18"/>
    </row>
    <row r="52089">
      <c r="B52089" s="17" t="s">
        <v>477</v>
      </c>
      <c r="K52089" s="18"/>
    </row>
    <row r="52090">
      <c r="B52090" s="17" t="s">
        <v>477</v>
      </c>
      <c r="K52090" s="18"/>
    </row>
    <row r="52091">
      <c r="B52091" s="17" t="s">
        <v>477</v>
      </c>
      <c r="K52091" s="18"/>
    </row>
    <row r="52092">
      <c r="B52092" s="17" t="s">
        <v>477</v>
      </c>
      <c r="K52092" s="18"/>
    </row>
    <row r="52093">
      <c r="B52093" s="17" t="s">
        <v>477</v>
      </c>
      <c r="K52093" s="18"/>
    </row>
    <row r="52094">
      <c r="B52094" s="17" t="s">
        <v>477</v>
      </c>
      <c r="K52094" s="18"/>
    </row>
    <row r="52095">
      <c r="B52095" s="17" t="s">
        <v>477</v>
      </c>
      <c r="K52095" s="18"/>
    </row>
    <row r="52096">
      <c r="B52096" s="17" t="s">
        <v>477</v>
      </c>
      <c r="K52096" s="18"/>
    </row>
    <row r="52097">
      <c r="B52097" s="17" t="s">
        <v>477</v>
      </c>
      <c r="K52097" s="18"/>
    </row>
    <row r="52098">
      <c r="B52098" s="17" t="s">
        <v>477</v>
      </c>
      <c r="K52098" s="18"/>
    </row>
    <row r="52099">
      <c r="B52099" s="17" t="s">
        <v>477</v>
      </c>
      <c r="K52099" s="18"/>
    </row>
    <row r="52100">
      <c r="B52100" s="17" t="s">
        <v>477</v>
      </c>
      <c r="K52100" s="18"/>
    </row>
    <row r="52101">
      <c r="B52101" s="17" t="s">
        <v>477</v>
      </c>
      <c r="K52101" s="18"/>
    </row>
    <row r="52102">
      <c r="B52102" s="17" t="s">
        <v>477</v>
      </c>
      <c r="K52102" s="18"/>
    </row>
    <row r="52103">
      <c r="B52103" s="17" t="s">
        <v>477</v>
      </c>
      <c r="K52103" s="18"/>
    </row>
    <row r="52104">
      <c r="B52104" s="17" t="s">
        <v>477</v>
      </c>
      <c r="K52104" s="18"/>
    </row>
    <row r="52105">
      <c r="B52105" s="17" t="s">
        <v>477</v>
      </c>
      <c r="K52105" s="18"/>
    </row>
    <row r="52106">
      <c r="B52106" s="17" t="s">
        <v>477</v>
      </c>
      <c r="K52106" s="18"/>
    </row>
    <row r="52107">
      <c r="B52107" s="17" t="s">
        <v>477</v>
      </c>
      <c r="K52107" s="18"/>
    </row>
    <row r="52108">
      <c r="B52108" s="17" t="s">
        <v>477</v>
      </c>
      <c r="K52108" s="18"/>
    </row>
    <row r="52109">
      <c r="B52109" s="17" t="s">
        <v>477</v>
      </c>
      <c r="K52109" s="18"/>
    </row>
    <row r="52110">
      <c r="B52110" s="17" t="s">
        <v>477</v>
      </c>
      <c r="K52110" s="18"/>
    </row>
    <row r="52111">
      <c r="B52111" s="17" t="s">
        <v>477</v>
      </c>
      <c r="K52111" s="18"/>
    </row>
    <row r="52112">
      <c r="B52112" s="17" t="s">
        <v>477</v>
      </c>
      <c r="K52112" s="18"/>
    </row>
    <row r="52113">
      <c r="B52113" s="17" t="s">
        <v>477</v>
      </c>
      <c r="K52113" s="18"/>
    </row>
    <row r="52114">
      <c r="B52114" s="17" t="s">
        <v>477</v>
      </c>
      <c r="K52114" s="18"/>
    </row>
    <row r="52115">
      <c r="B52115" s="17" t="s">
        <v>477</v>
      </c>
      <c r="K52115" s="18"/>
    </row>
    <row r="52116">
      <c r="B52116" s="17" t="s">
        <v>477</v>
      </c>
      <c r="K52116" s="18"/>
    </row>
    <row r="52117">
      <c r="B52117" s="17" t="s">
        <v>477</v>
      </c>
      <c r="K52117" s="18"/>
    </row>
    <row r="52118">
      <c r="B52118" s="17" t="s">
        <v>477</v>
      </c>
      <c r="K52118" s="18"/>
    </row>
    <row r="52119">
      <c r="B52119" s="17" t="s">
        <v>477</v>
      </c>
      <c r="K52119" s="18"/>
    </row>
    <row r="52120">
      <c r="B52120" s="17" t="s">
        <v>477</v>
      </c>
      <c r="K52120" s="18"/>
    </row>
    <row r="52121">
      <c r="B52121" s="17" t="s">
        <v>477</v>
      </c>
      <c r="K52121" s="18"/>
    </row>
    <row r="52122">
      <c r="B52122" s="17" t="s">
        <v>477</v>
      </c>
      <c r="K52122" s="18"/>
    </row>
    <row r="52123">
      <c r="B52123" s="17" t="s">
        <v>477</v>
      </c>
      <c r="K52123" s="18"/>
    </row>
    <row r="52124">
      <c r="B52124" s="17" t="s">
        <v>477</v>
      </c>
      <c r="K52124" s="18"/>
    </row>
    <row r="52125">
      <c r="B52125" s="17" t="s">
        <v>477</v>
      </c>
      <c r="K52125" s="18"/>
    </row>
    <row r="52126">
      <c r="B52126" s="17" t="s">
        <v>477</v>
      </c>
      <c r="K52126" s="18"/>
    </row>
    <row r="52127">
      <c r="B52127" s="17" t="s">
        <v>477</v>
      </c>
      <c r="K52127" s="18"/>
    </row>
    <row r="52128">
      <c r="B52128" s="17" t="s">
        <v>477</v>
      </c>
      <c r="K52128" s="18"/>
    </row>
    <row r="52129">
      <c r="B52129" s="17" t="s">
        <v>477</v>
      </c>
      <c r="K52129" s="18"/>
    </row>
    <row r="52130">
      <c r="B52130" s="17" t="s">
        <v>477</v>
      </c>
      <c r="K52130" s="18"/>
    </row>
    <row r="52131">
      <c r="B52131" s="17" t="s">
        <v>477</v>
      </c>
      <c r="K52131" s="18"/>
    </row>
    <row r="52132">
      <c r="B52132" s="17" t="s">
        <v>477</v>
      </c>
      <c r="K52132" s="18"/>
    </row>
    <row r="52133">
      <c r="B52133" s="17" t="s">
        <v>477</v>
      </c>
      <c r="K52133" s="18"/>
    </row>
    <row r="52134">
      <c r="B52134" s="17" t="s">
        <v>477</v>
      </c>
      <c r="K52134" s="18"/>
    </row>
    <row r="52135">
      <c r="B52135" s="17" t="s">
        <v>477</v>
      </c>
      <c r="K52135" s="18"/>
    </row>
    <row r="52136">
      <c r="B52136" s="17" t="s">
        <v>477</v>
      </c>
      <c r="K52136" s="18"/>
    </row>
    <row r="52137">
      <c r="B52137" s="17" t="s">
        <v>477</v>
      </c>
      <c r="K52137" s="18"/>
    </row>
    <row r="52138">
      <c r="B52138" s="17" t="s">
        <v>477</v>
      </c>
      <c r="K52138" s="18"/>
    </row>
    <row r="52139">
      <c r="B52139" s="17" t="s">
        <v>477</v>
      </c>
      <c r="K52139" s="18"/>
    </row>
    <row r="52140">
      <c r="B52140" s="17" t="s">
        <v>477</v>
      </c>
      <c r="K52140" s="18"/>
    </row>
    <row r="52141">
      <c r="B52141" s="17" t="s">
        <v>477</v>
      </c>
      <c r="K52141" s="18"/>
    </row>
    <row r="52142">
      <c r="B52142" s="17" t="s">
        <v>477</v>
      </c>
      <c r="K52142" s="18"/>
    </row>
    <row r="52143">
      <c r="B52143" s="17" t="s">
        <v>477</v>
      </c>
      <c r="K52143" s="18"/>
    </row>
    <row r="52144">
      <c r="B52144" s="17" t="s">
        <v>477</v>
      </c>
      <c r="K52144" s="18"/>
    </row>
    <row r="52145">
      <c r="B52145" s="17" t="s">
        <v>477</v>
      </c>
      <c r="K52145" s="18"/>
    </row>
    <row r="52146">
      <c r="B52146" s="17" t="s">
        <v>477</v>
      </c>
      <c r="K52146" s="18"/>
    </row>
    <row r="52147">
      <c r="B52147" s="17" t="s">
        <v>477</v>
      </c>
      <c r="K52147" s="18"/>
    </row>
    <row r="52148">
      <c r="B52148" s="17" t="s">
        <v>477</v>
      </c>
      <c r="K52148" s="18"/>
    </row>
    <row r="52149">
      <c r="B52149" s="17" t="s">
        <v>477</v>
      </c>
      <c r="K52149" s="18"/>
    </row>
    <row r="52150">
      <c r="B52150" s="17" t="s">
        <v>477</v>
      </c>
      <c r="K52150" s="18"/>
    </row>
    <row r="52151">
      <c r="B52151" s="17" t="s">
        <v>477</v>
      </c>
      <c r="K52151" s="18"/>
    </row>
    <row r="52152">
      <c r="B52152" s="17" t="s">
        <v>477</v>
      </c>
      <c r="K52152" s="18"/>
    </row>
    <row r="52153">
      <c r="B52153" s="17" t="s">
        <v>477</v>
      </c>
      <c r="K52153" s="18"/>
    </row>
    <row r="52154">
      <c r="B52154" s="17" t="s">
        <v>477</v>
      </c>
      <c r="K52154" s="18"/>
    </row>
    <row r="52155">
      <c r="B52155" s="17" t="s">
        <v>477</v>
      </c>
      <c r="K52155" s="18"/>
    </row>
    <row r="52156">
      <c r="B52156" s="17" t="s">
        <v>477</v>
      </c>
      <c r="K52156" s="18"/>
    </row>
    <row r="52157">
      <c r="B52157" s="17" t="s">
        <v>477</v>
      </c>
      <c r="K52157" s="18"/>
    </row>
    <row r="52158">
      <c r="B52158" s="17" t="s">
        <v>477</v>
      </c>
      <c r="K52158" s="18"/>
    </row>
    <row r="52159">
      <c r="B52159" s="17" t="s">
        <v>477</v>
      </c>
      <c r="K52159" s="18"/>
    </row>
    <row r="52160">
      <c r="B52160" s="17" t="s">
        <v>477</v>
      </c>
      <c r="K52160" s="18"/>
    </row>
    <row r="52161">
      <c r="B52161" s="17" t="s">
        <v>477</v>
      </c>
      <c r="K52161" s="18"/>
    </row>
    <row r="52162">
      <c r="B52162" s="17" t="s">
        <v>477</v>
      </c>
      <c r="K52162" s="18"/>
    </row>
    <row r="52163">
      <c r="B52163" s="17" t="s">
        <v>477</v>
      </c>
      <c r="K52163" s="18"/>
    </row>
    <row r="52164">
      <c r="B52164" s="17" t="s">
        <v>477</v>
      </c>
      <c r="K52164" s="18"/>
    </row>
    <row r="52165">
      <c r="B52165" s="17" t="s">
        <v>477</v>
      </c>
      <c r="K52165" s="18"/>
    </row>
    <row r="52166">
      <c r="B52166" s="17" t="s">
        <v>477</v>
      </c>
      <c r="K52166" s="18"/>
    </row>
    <row r="52167">
      <c r="B52167" s="17" t="s">
        <v>477</v>
      </c>
      <c r="K52167" s="18"/>
    </row>
    <row r="52168">
      <c r="B52168" s="17" t="s">
        <v>477</v>
      </c>
      <c r="K52168" s="18"/>
    </row>
    <row r="52169">
      <c r="B52169" s="17" t="s">
        <v>477</v>
      </c>
      <c r="K52169" s="18"/>
    </row>
    <row r="52170">
      <c r="B52170" s="17" t="s">
        <v>477</v>
      </c>
      <c r="K52170" s="18"/>
    </row>
    <row r="52171">
      <c r="B52171" s="17" t="s">
        <v>477</v>
      </c>
      <c r="K52171" s="18"/>
    </row>
    <row r="52172">
      <c r="B52172" s="17" t="s">
        <v>477</v>
      </c>
      <c r="K52172" s="18"/>
    </row>
    <row r="52173">
      <c r="B52173" s="17" t="s">
        <v>477</v>
      </c>
      <c r="K52173" s="18"/>
    </row>
    <row r="52174">
      <c r="B52174" s="17" t="s">
        <v>477</v>
      </c>
      <c r="K52174" s="18"/>
    </row>
    <row r="52175">
      <c r="B52175" s="17" t="s">
        <v>477</v>
      </c>
      <c r="K52175" s="18"/>
    </row>
    <row r="52176">
      <c r="B52176" s="17" t="s">
        <v>477</v>
      </c>
      <c r="K52176" s="18"/>
    </row>
    <row r="52177">
      <c r="B52177" s="17" t="s">
        <v>477</v>
      </c>
      <c r="K52177" s="18"/>
    </row>
    <row r="52178">
      <c r="B52178" s="17" t="s">
        <v>477</v>
      </c>
      <c r="K52178" s="18"/>
    </row>
    <row r="52179">
      <c r="B52179" s="17" t="s">
        <v>477</v>
      </c>
      <c r="K52179" s="18"/>
    </row>
    <row r="52180">
      <c r="B52180" s="17" t="s">
        <v>477</v>
      </c>
      <c r="K52180" s="18"/>
    </row>
    <row r="52181">
      <c r="B52181" s="17" t="s">
        <v>477</v>
      </c>
      <c r="K52181" s="18"/>
    </row>
    <row r="52182">
      <c r="B52182" s="17" t="s">
        <v>477</v>
      </c>
      <c r="K52182" s="18"/>
    </row>
    <row r="52183">
      <c r="B52183" s="17" t="s">
        <v>477</v>
      </c>
      <c r="K52183" s="18"/>
    </row>
    <row r="52184">
      <c r="B52184" s="17" t="s">
        <v>477</v>
      </c>
      <c r="K52184" s="18"/>
    </row>
    <row r="52185">
      <c r="B52185" s="17" t="s">
        <v>477</v>
      </c>
      <c r="K52185" s="18"/>
    </row>
    <row r="52186">
      <c r="B52186" s="17" t="s">
        <v>477</v>
      </c>
      <c r="K52186" s="18"/>
    </row>
    <row r="52187">
      <c r="B52187" s="17" t="s">
        <v>477</v>
      </c>
      <c r="K52187" s="18"/>
    </row>
    <row r="52188">
      <c r="B52188" s="17" t="s">
        <v>477</v>
      </c>
      <c r="K52188" s="18"/>
    </row>
    <row r="52189">
      <c r="B52189" s="17" t="s">
        <v>477</v>
      </c>
      <c r="K52189" s="18"/>
    </row>
    <row r="52190">
      <c r="B52190" s="17" t="s">
        <v>477</v>
      </c>
      <c r="K52190" s="18"/>
    </row>
    <row r="52191">
      <c r="B52191" s="17" t="s">
        <v>477</v>
      </c>
      <c r="K52191" s="18"/>
    </row>
    <row r="52192">
      <c r="B52192" s="17" t="s">
        <v>477</v>
      </c>
      <c r="K52192" s="18"/>
    </row>
    <row r="52193">
      <c r="B52193" s="17" t="s">
        <v>477</v>
      </c>
      <c r="K52193" s="18"/>
    </row>
    <row r="52194">
      <c r="B52194" s="17" t="s">
        <v>477</v>
      </c>
      <c r="K52194" s="18"/>
    </row>
    <row r="52195">
      <c r="B52195" s="17" t="s">
        <v>477</v>
      </c>
      <c r="K52195" s="18"/>
    </row>
    <row r="52196">
      <c r="B52196" s="17" t="s">
        <v>477</v>
      </c>
      <c r="K52196" s="18"/>
    </row>
    <row r="52197">
      <c r="B52197" s="17" t="s">
        <v>477</v>
      </c>
      <c r="K52197" s="18"/>
    </row>
    <row r="52198">
      <c r="B52198" s="17" t="s">
        <v>477</v>
      </c>
      <c r="K52198" s="18"/>
    </row>
    <row r="52199">
      <c r="B52199" s="17" t="s">
        <v>477</v>
      </c>
      <c r="K52199" s="18"/>
    </row>
    <row r="52200">
      <c r="B52200" s="17" t="s">
        <v>477</v>
      </c>
      <c r="K52200" s="18"/>
    </row>
    <row r="52201">
      <c r="B52201" s="17" t="s">
        <v>477</v>
      </c>
      <c r="K52201" s="18"/>
    </row>
    <row r="52202">
      <c r="B52202" s="17" t="s">
        <v>477</v>
      </c>
      <c r="K52202" s="18"/>
    </row>
    <row r="52203">
      <c r="B52203" s="17" t="s">
        <v>477</v>
      </c>
      <c r="K52203" s="18"/>
    </row>
    <row r="52204">
      <c r="B52204" s="17" t="s">
        <v>477</v>
      </c>
      <c r="K52204" s="18"/>
    </row>
    <row r="52205">
      <c r="B52205" s="17" t="s">
        <v>477</v>
      </c>
      <c r="K52205" s="18"/>
    </row>
    <row r="52206">
      <c r="B52206" s="17" t="s">
        <v>477</v>
      </c>
      <c r="K52206" s="18"/>
    </row>
    <row r="52207">
      <c r="B52207" s="17" t="s">
        <v>477</v>
      </c>
      <c r="K52207" s="18"/>
    </row>
    <row r="52208">
      <c r="B52208" s="17" t="s">
        <v>477</v>
      </c>
      <c r="K52208" s="18"/>
    </row>
    <row r="52209">
      <c r="B52209" s="17" t="s">
        <v>477</v>
      </c>
      <c r="K52209" s="18"/>
    </row>
    <row r="52210">
      <c r="B52210" s="17" t="s">
        <v>477</v>
      </c>
      <c r="K52210" s="18"/>
    </row>
    <row r="52211">
      <c r="B52211" s="17" t="s">
        <v>477</v>
      </c>
      <c r="K52211" s="18"/>
    </row>
    <row r="52212">
      <c r="B52212" s="17" t="s">
        <v>477</v>
      </c>
      <c r="K52212" s="18"/>
    </row>
    <row r="52213">
      <c r="B52213" s="17" t="s">
        <v>477</v>
      </c>
      <c r="K52213" s="18"/>
    </row>
    <row r="52214">
      <c r="B52214" s="17" t="s">
        <v>477</v>
      </c>
      <c r="K52214" s="18"/>
    </row>
    <row r="52215">
      <c r="B52215" s="17" t="s">
        <v>477</v>
      </c>
      <c r="K52215" s="18"/>
    </row>
    <row r="52216">
      <c r="B52216" s="17" t="s">
        <v>477</v>
      </c>
      <c r="K52216" s="18"/>
    </row>
    <row r="52217">
      <c r="B52217" s="17" t="s">
        <v>477</v>
      </c>
      <c r="K52217" s="18"/>
    </row>
    <row r="52218">
      <c r="B52218" s="17" t="s">
        <v>477</v>
      </c>
      <c r="K52218" s="18"/>
    </row>
    <row r="52219">
      <c r="B52219" s="17" t="s">
        <v>477</v>
      </c>
      <c r="K52219" s="18"/>
    </row>
    <row r="52220">
      <c r="B52220" s="17" t="s">
        <v>477</v>
      </c>
      <c r="K52220" s="18"/>
    </row>
    <row r="52221">
      <c r="B52221" s="17" t="s">
        <v>477</v>
      </c>
      <c r="K52221" s="18"/>
    </row>
    <row r="52222">
      <c r="B52222" s="17" t="s">
        <v>477</v>
      </c>
      <c r="K52222" s="18"/>
    </row>
    <row r="52223">
      <c r="B52223" s="17" t="s">
        <v>477</v>
      </c>
      <c r="K52223" s="18"/>
    </row>
    <row r="52224">
      <c r="B52224" s="17" t="s">
        <v>477</v>
      </c>
      <c r="K52224" s="18"/>
    </row>
    <row r="52225">
      <c r="B52225" s="17" t="s">
        <v>477</v>
      </c>
      <c r="K52225" s="18"/>
    </row>
    <row r="52226">
      <c r="B52226" s="17" t="s">
        <v>477</v>
      </c>
      <c r="K52226" s="18"/>
    </row>
    <row r="52227">
      <c r="B52227" s="17" t="s">
        <v>477</v>
      </c>
      <c r="K52227" s="18"/>
    </row>
    <row r="52228">
      <c r="B52228" s="17" t="s">
        <v>477</v>
      </c>
      <c r="K52228" s="18"/>
    </row>
    <row r="52229">
      <c r="B52229" s="17" t="s">
        <v>477</v>
      </c>
      <c r="K52229" s="18"/>
    </row>
    <row r="52230">
      <c r="B52230" s="17" t="s">
        <v>477</v>
      </c>
      <c r="K52230" s="18"/>
    </row>
    <row r="52231">
      <c r="B52231" s="17" t="s">
        <v>477</v>
      </c>
      <c r="K52231" s="18"/>
    </row>
    <row r="52232">
      <c r="B52232" s="17" t="s">
        <v>477</v>
      </c>
      <c r="K52232" s="18"/>
    </row>
    <row r="52233">
      <c r="B52233" s="17" t="s">
        <v>477</v>
      </c>
      <c r="K52233" s="18"/>
    </row>
    <row r="52234">
      <c r="B52234" s="17" t="s">
        <v>477</v>
      </c>
      <c r="K52234" s="18"/>
    </row>
    <row r="52235">
      <c r="B52235" s="17" t="s">
        <v>477</v>
      </c>
      <c r="K52235" s="18"/>
    </row>
    <row r="52236">
      <c r="B52236" s="17" t="s">
        <v>477</v>
      </c>
      <c r="K52236" s="18"/>
    </row>
    <row r="52237">
      <c r="B52237" s="17" t="s">
        <v>477</v>
      </c>
      <c r="K52237" s="18"/>
    </row>
    <row r="52238">
      <c r="B52238" s="17" t="s">
        <v>477</v>
      </c>
      <c r="K52238" s="18"/>
    </row>
    <row r="52239">
      <c r="B52239" s="17" t="s">
        <v>477</v>
      </c>
      <c r="K52239" s="18"/>
    </row>
    <row r="52240">
      <c r="B52240" s="17" t="s">
        <v>477</v>
      </c>
      <c r="K52240" s="18"/>
    </row>
    <row r="52241">
      <c r="B52241" s="17" t="s">
        <v>477</v>
      </c>
      <c r="K52241" s="18"/>
    </row>
    <row r="52242">
      <c r="B52242" s="17" t="s">
        <v>477</v>
      </c>
      <c r="K52242" s="18"/>
    </row>
    <row r="52243">
      <c r="B52243" s="17" t="s">
        <v>477</v>
      </c>
      <c r="K52243" s="18"/>
    </row>
    <row r="52244">
      <c r="B52244" s="17" t="s">
        <v>477</v>
      </c>
      <c r="K52244" s="18"/>
    </row>
    <row r="52245">
      <c r="B52245" s="17" t="s">
        <v>477</v>
      </c>
      <c r="K52245" s="18"/>
    </row>
    <row r="52246">
      <c r="B52246" s="17" t="s">
        <v>477</v>
      </c>
      <c r="K52246" s="18"/>
    </row>
    <row r="52247">
      <c r="B52247" s="17" t="s">
        <v>477</v>
      </c>
      <c r="K52247" s="18"/>
    </row>
    <row r="52248">
      <c r="B52248" s="17" t="s">
        <v>477</v>
      </c>
      <c r="K52248" s="18"/>
    </row>
    <row r="52249">
      <c r="B52249" s="17" t="s">
        <v>477</v>
      </c>
      <c r="K52249" s="18"/>
    </row>
    <row r="52250">
      <c r="B52250" s="17" t="s">
        <v>477</v>
      </c>
      <c r="K52250" s="18"/>
    </row>
    <row r="52251">
      <c r="B52251" s="17" t="s">
        <v>477</v>
      </c>
      <c r="K52251" s="18"/>
    </row>
    <row r="52252">
      <c r="B52252" s="17" t="s">
        <v>477</v>
      </c>
      <c r="K52252" s="18"/>
    </row>
    <row r="52253">
      <c r="B52253" s="17" t="s">
        <v>477</v>
      </c>
      <c r="K52253" s="18"/>
    </row>
    <row r="52254">
      <c r="B52254" s="17" t="s">
        <v>477</v>
      </c>
      <c r="K52254" s="18"/>
    </row>
    <row r="52255">
      <c r="B52255" s="17" t="s">
        <v>477</v>
      </c>
      <c r="K52255" s="18"/>
    </row>
    <row r="52256">
      <c r="B52256" s="17" t="s">
        <v>477</v>
      </c>
      <c r="K52256" s="18"/>
    </row>
    <row r="52257">
      <c r="B52257" s="17" t="s">
        <v>477</v>
      </c>
      <c r="K52257" s="18"/>
    </row>
    <row r="52258">
      <c r="B52258" s="17" t="s">
        <v>477</v>
      </c>
      <c r="K52258" s="18"/>
    </row>
    <row r="52259">
      <c r="B52259" s="17" t="s">
        <v>477</v>
      </c>
      <c r="K52259" s="18"/>
    </row>
    <row r="52260">
      <c r="B52260" s="17" t="s">
        <v>477</v>
      </c>
      <c r="K52260" s="18"/>
    </row>
    <row r="52261">
      <c r="B52261" s="17" t="s">
        <v>477</v>
      </c>
      <c r="K52261" s="18"/>
    </row>
    <row r="52262">
      <c r="B52262" s="17" t="s">
        <v>477</v>
      </c>
      <c r="K52262" s="18"/>
    </row>
    <row r="52263">
      <c r="B52263" s="17" t="s">
        <v>477</v>
      </c>
      <c r="K52263" s="18"/>
    </row>
    <row r="52264">
      <c r="B52264" s="17" t="s">
        <v>477</v>
      </c>
      <c r="K52264" s="18"/>
    </row>
    <row r="52265">
      <c r="B52265" s="17" t="s">
        <v>477</v>
      </c>
      <c r="K52265" s="18"/>
    </row>
    <row r="52266">
      <c r="B52266" s="17" t="s">
        <v>477</v>
      </c>
      <c r="K52266" s="18"/>
    </row>
    <row r="52267">
      <c r="B52267" s="17" t="s">
        <v>477</v>
      </c>
      <c r="K52267" s="18"/>
    </row>
    <row r="52268">
      <c r="B52268" s="17" t="s">
        <v>477</v>
      </c>
      <c r="K52268" s="18"/>
    </row>
    <row r="52269">
      <c r="B52269" s="17" t="s">
        <v>477</v>
      </c>
      <c r="K52269" s="18"/>
    </row>
    <row r="52270">
      <c r="B52270" s="17" t="s">
        <v>477</v>
      </c>
      <c r="K52270" s="18"/>
    </row>
    <row r="52271">
      <c r="B52271" s="17" t="s">
        <v>477</v>
      </c>
      <c r="K52271" s="18"/>
    </row>
    <row r="52272">
      <c r="B52272" s="17" t="s">
        <v>477</v>
      </c>
      <c r="K52272" s="18"/>
    </row>
    <row r="52273">
      <c r="B52273" s="17" t="s">
        <v>477</v>
      </c>
      <c r="K52273" s="18"/>
    </row>
    <row r="52274">
      <c r="B52274" s="17" t="s">
        <v>477</v>
      </c>
      <c r="K52274" s="18"/>
    </row>
    <row r="52275">
      <c r="B52275" s="17" t="s">
        <v>477</v>
      </c>
      <c r="K52275" s="18"/>
    </row>
    <row r="52276">
      <c r="B52276" s="17" t="s">
        <v>477</v>
      </c>
      <c r="K52276" s="18"/>
    </row>
    <row r="52277">
      <c r="B52277" s="17" t="s">
        <v>477</v>
      </c>
      <c r="K52277" s="18"/>
    </row>
    <row r="52278">
      <c r="B52278" s="17" t="s">
        <v>477</v>
      </c>
      <c r="K52278" s="18"/>
    </row>
    <row r="52279">
      <c r="B52279" s="17" t="s">
        <v>477</v>
      </c>
      <c r="K52279" s="18"/>
    </row>
    <row r="52280">
      <c r="B52280" s="17" t="s">
        <v>477</v>
      </c>
      <c r="K52280" s="18"/>
    </row>
    <row r="52281">
      <c r="B52281" s="17" t="s">
        <v>477</v>
      </c>
      <c r="K52281" s="18"/>
    </row>
    <row r="52282">
      <c r="B52282" s="17" t="s">
        <v>477</v>
      </c>
      <c r="K52282" s="18"/>
    </row>
    <row r="52283">
      <c r="B52283" s="17" t="s">
        <v>477</v>
      </c>
      <c r="K52283" s="18"/>
    </row>
    <row r="52284">
      <c r="B52284" s="17" t="s">
        <v>477</v>
      </c>
      <c r="K52284" s="18"/>
    </row>
    <row r="52285">
      <c r="B52285" s="17" t="s">
        <v>477</v>
      </c>
      <c r="K52285" s="18"/>
    </row>
    <row r="52286">
      <c r="B52286" s="17" t="s">
        <v>477</v>
      </c>
      <c r="K52286" s="18"/>
    </row>
    <row r="52287">
      <c r="B52287" s="17" t="s">
        <v>477</v>
      </c>
      <c r="K52287" s="18"/>
    </row>
    <row r="52288">
      <c r="B52288" s="17" t="s">
        <v>477</v>
      </c>
      <c r="K52288" s="18"/>
    </row>
    <row r="52289">
      <c r="B52289" s="17" t="s">
        <v>477</v>
      </c>
      <c r="K52289" s="18"/>
    </row>
    <row r="52290">
      <c r="B52290" s="17" t="s">
        <v>477</v>
      </c>
      <c r="K52290" s="18"/>
    </row>
    <row r="52291">
      <c r="B52291" s="17" t="s">
        <v>477</v>
      </c>
      <c r="K52291" s="18"/>
    </row>
    <row r="52292">
      <c r="B52292" s="17" t="s">
        <v>477</v>
      </c>
      <c r="K52292" s="18"/>
    </row>
    <row r="52293">
      <c r="B52293" s="17" t="s">
        <v>477</v>
      </c>
      <c r="K52293" s="18"/>
    </row>
    <row r="52294">
      <c r="B52294" s="17" t="s">
        <v>477</v>
      </c>
      <c r="K52294" s="18"/>
    </row>
    <row r="52295">
      <c r="B52295" s="17" t="s">
        <v>477</v>
      </c>
      <c r="K52295" s="18"/>
    </row>
    <row r="52296">
      <c r="B52296" s="17" t="s">
        <v>477</v>
      </c>
      <c r="K52296" s="18"/>
    </row>
    <row r="52297">
      <c r="B52297" s="17" t="s">
        <v>477</v>
      </c>
      <c r="K52297" s="18"/>
    </row>
    <row r="52298">
      <c r="B52298" s="17" t="s">
        <v>477</v>
      </c>
      <c r="K52298" s="18"/>
    </row>
    <row r="52299">
      <c r="B52299" s="17" t="s">
        <v>477</v>
      </c>
      <c r="K52299" s="18"/>
    </row>
    <row r="52300">
      <c r="B52300" s="17" t="s">
        <v>477</v>
      </c>
      <c r="K52300" s="18"/>
    </row>
    <row r="52301">
      <c r="B52301" s="17" t="s">
        <v>477</v>
      </c>
      <c r="K52301" s="18"/>
    </row>
    <row r="52302">
      <c r="B52302" s="17" t="s">
        <v>477</v>
      </c>
      <c r="K52302" s="18"/>
    </row>
    <row r="52303">
      <c r="B52303" s="17" t="s">
        <v>477</v>
      </c>
      <c r="K52303" s="18"/>
    </row>
    <row r="52304">
      <c r="B52304" s="17" t="s">
        <v>477</v>
      </c>
      <c r="K52304" s="18"/>
    </row>
    <row r="52305">
      <c r="B52305" s="17" t="s">
        <v>477</v>
      </c>
      <c r="K52305" s="18"/>
    </row>
    <row r="52306">
      <c r="B52306" s="17" t="s">
        <v>477</v>
      </c>
      <c r="K52306" s="18"/>
    </row>
    <row r="52307">
      <c r="B52307" s="17" t="s">
        <v>477</v>
      </c>
      <c r="K52307" s="18"/>
    </row>
    <row r="52308">
      <c r="B52308" s="17" t="s">
        <v>477</v>
      </c>
      <c r="K52308" s="18"/>
    </row>
    <row r="52309">
      <c r="B52309" s="17" t="s">
        <v>477</v>
      </c>
      <c r="K52309" s="18"/>
    </row>
    <row r="52310">
      <c r="B52310" s="17" t="s">
        <v>477</v>
      </c>
      <c r="K52310" s="18"/>
    </row>
    <row r="52311">
      <c r="B52311" s="17" t="s">
        <v>477</v>
      </c>
      <c r="K52311" s="18"/>
    </row>
    <row r="52312">
      <c r="B52312" s="17" t="s">
        <v>477</v>
      </c>
      <c r="K52312" s="18"/>
    </row>
    <row r="52313">
      <c r="B52313" s="17" t="s">
        <v>477</v>
      </c>
      <c r="K52313" s="18"/>
    </row>
    <row r="52314">
      <c r="B52314" s="17" t="s">
        <v>477</v>
      </c>
      <c r="K52314" s="18"/>
    </row>
    <row r="52315">
      <c r="B52315" s="17" t="s">
        <v>477</v>
      </c>
      <c r="K52315" s="18"/>
    </row>
    <row r="52316">
      <c r="B52316" s="17" t="s">
        <v>477</v>
      </c>
      <c r="K52316" s="18"/>
    </row>
    <row r="52317">
      <c r="B52317" s="17" t="s">
        <v>477</v>
      </c>
      <c r="K52317" s="18"/>
    </row>
    <row r="52318">
      <c r="B52318" s="17" t="s">
        <v>477</v>
      </c>
      <c r="K52318" s="18"/>
    </row>
    <row r="52319">
      <c r="B52319" s="17" t="s">
        <v>477</v>
      </c>
      <c r="K52319" s="18"/>
    </row>
    <row r="52320">
      <c r="B52320" s="17" t="s">
        <v>477</v>
      </c>
      <c r="K52320" s="18"/>
    </row>
    <row r="52321">
      <c r="B52321" s="17" t="s">
        <v>477</v>
      </c>
      <c r="K52321" s="18"/>
    </row>
    <row r="52322">
      <c r="B52322" s="17" t="s">
        <v>477</v>
      </c>
      <c r="K52322" s="18"/>
    </row>
    <row r="52323">
      <c r="B52323" s="17" t="s">
        <v>477</v>
      </c>
      <c r="K52323" s="18"/>
    </row>
    <row r="52324">
      <c r="B52324" s="17" t="s">
        <v>477</v>
      </c>
      <c r="K52324" s="18"/>
    </row>
    <row r="52325">
      <c r="B52325" s="17" t="s">
        <v>477</v>
      </c>
      <c r="K52325" s="18"/>
    </row>
    <row r="52326">
      <c r="B52326" s="17" t="s">
        <v>477</v>
      </c>
      <c r="K52326" s="18"/>
    </row>
    <row r="52327">
      <c r="B52327" s="17" t="s">
        <v>477</v>
      </c>
      <c r="K52327" s="18"/>
    </row>
    <row r="52328">
      <c r="B52328" s="17" t="s">
        <v>477</v>
      </c>
      <c r="K52328" s="18"/>
    </row>
    <row r="52329">
      <c r="B52329" s="17" t="s">
        <v>477</v>
      </c>
      <c r="K52329" s="18"/>
    </row>
    <row r="52330">
      <c r="B52330" s="17" t="s">
        <v>477</v>
      </c>
      <c r="K52330" s="18"/>
    </row>
    <row r="52331">
      <c r="B52331" s="17" t="s">
        <v>477</v>
      </c>
      <c r="K52331" s="18"/>
    </row>
    <row r="52332">
      <c r="B52332" s="17" t="s">
        <v>477</v>
      </c>
      <c r="K52332" s="18"/>
    </row>
    <row r="52333">
      <c r="B52333" s="17" t="s">
        <v>477</v>
      </c>
      <c r="K52333" s="18"/>
    </row>
    <row r="52334">
      <c r="B52334" s="17" t="s">
        <v>477</v>
      </c>
      <c r="K52334" s="18"/>
    </row>
    <row r="52335">
      <c r="B52335" s="17" t="s">
        <v>477</v>
      </c>
      <c r="K52335" s="18"/>
    </row>
    <row r="52336">
      <c r="B52336" s="17" t="s">
        <v>477</v>
      </c>
      <c r="K52336" s="18"/>
    </row>
    <row r="52337">
      <c r="B52337" s="17" t="s">
        <v>477</v>
      </c>
      <c r="K52337" s="18"/>
    </row>
    <row r="52338">
      <c r="B52338" s="17" t="s">
        <v>477</v>
      </c>
      <c r="K52338" s="18"/>
    </row>
    <row r="52339">
      <c r="B52339" s="17" t="s">
        <v>477</v>
      </c>
      <c r="K52339" s="18"/>
    </row>
    <row r="52340">
      <c r="B52340" s="17" t="s">
        <v>477</v>
      </c>
      <c r="K52340" s="18"/>
    </row>
    <row r="52341">
      <c r="B52341" s="17" t="s">
        <v>477</v>
      </c>
      <c r="K52341" s="18"/>
    </row>
    <row r="52342">
      <c r="B52342" s="17" t="s">
        <v>477</v>
      </c>
      <c r="K52342" s="18"/>
    </row>
    <row r="52343">
      <c r="B52343" s="17" t="s">
        <v>477</v>
      </c>
      <c r="K52343" s="18"/>
    </row>
    <row r="52344">
      <c r="B52344" s="17" t="s">
        <v>477</v>
      </c>
      <c r="K52344" s="18"/>
    </row>
    <row r="52345">
      <c r="B52345" s="17" t="s">
        <v>477</v>
      </c>
      <c r="K52345" s="18"/>
    </row>
    <row r="52346">
      <c r="B52346" s="17" t="s">
        <v>477</v>
      </c>
      <c r="K52346" s="18"/>
    </row>
    <row r="52347">
      <c r="B52347" s="17" t="s">
        <v>477</v>
      </c>
      <c r="K52347" s="18"/>
    </row>
    <row r="52348">
      <c r="B52348" s="17" t="s">
        <v>477</v>
      </c>
      <c r="K52348" s="18"/>
    </row>
    <row r="52349">
      <c r="B52349" s="17" t="s">
        <v>477</v>
      </c>
      <c r="K52349" s="18"/>
    </row>
    <row r="52350">
      <c r="B52350" s="17" t="s">
        <v>477</v>
      </c>
      <c r="K52350" s="18"/>
    </row>
    <row r="52351">
      <c r="B52351" s="17" t="s">
        <v>477</v>
      </c>
      <c r="K52351" s="18"/>
    </row>
    <row r="52352">
      <c r="B52352" s="17" t="s">
        <v>477</v>
      </c>
      <c r="K52352" s="18"/>
    </row>
    <row r="52353">
      <c r="B52353" s="17" t="s">
        <v>477</v>
      </c>
      <c r="K52353" s="18"/>
    </row>
    <row r="52354">
      <c r="B52354" s="17" t="s">
        <v>477</v>
      </c>
      <c r="K52354" s="18"/>
    </row>
    <row r="52355">
      <c r="B52355" s="17" t="s">
        <v>477</v>
      </c>
      <c r="K52355" s="18"/>
    </row>
    <row r="52356">
      <c r="B52356" s="17" t="s">
        <v>477</v>
      </c>
      <c r="K52356" s="18"/>
    </row>
    <row r="52357">
      <c r="B52357" s="17" t="s">
        <v>477</v>
      </c>
      <c r="K52357" s="18"/>
    </row>
    <row r="52358">
      <c r="B52358" s="17" t="s">
        <v>477</v>
      </c>
      <c r="K52358" s="18"/>
    </row>
    <row r="52359">
      <c r="B52359" s="17" t="s">
        <v>477</v>
      </c>
      <c r="K52359" s="18"/>
    </row>
    <row r="52360">
      <c r="B52360" s="17" t="s">
        <v>477</v>
      </c>
      <c r="K52360" s="18"/>
    </row>
    <row r="52361">
      <c r="B52361" s="17" t="s">
        <v>477</v>
      </c>
      <c r="K52361" s="18"/>
    </row>
    <row r="52362">
      <c r="B52362" s="17" t="s">
        <v>477</v>
      </c>
      <c r="K52362" s="18"/>
    </row>
    <row r="52363">
      <c r="B52363" s="17" t="s">
        <v>477</v>
      </c>
      <c r="K52363" s="18"/>
    </row>
    <row r="52364">
      <c r="B52364" s="17" t="s">
        <v>477</v>
      </c>
      <c r="K52364" s="18"/>
    </row>
    <row r="52365">
      <c r="B52365" s="17" t="s">
        <v>477</v>
      </c>
      <c r="K52365" s="18"/>
    </row>
    <row r="52366">
      <c r="B52366" s="17" t="s">
        <v>477</v>
      </c>
      <c r="K52366" s="18"/>
    </row>
    <row r="52367">
      <c r="B52367" s="17" t="s">
        <v>477</v>
      </c>
      <c r="K52367" s="18"/>
    </row>
    <row r="52368">
      <c r="B52368" s="17" t="s">
        <v>477</v>
      </c>
      <c r="K52368" s="18"/>
    </row>
    <row r="52369">
      <c r="B52369" s="17" t="s">
        <v>477</v>
      </c>
      <c r="K52369" s="18"/>
    </row>
    <row r="52370">
      <c r="B52370" s="17" t="s">
        <v>477</v>
      </c>
      <c r="K52370" s="18"/>
    </row>
    <row r="52371">
      <c r="B52371" s="17" t="s">
        <v>477</v>
      </c>
      <c r="K52371" s="18"/>
    </row>
    <row r="52372">
      <c r="B52372" s="17" t="s">
        <v>477</v>
      </c>
      <c r="K52372" s="18"/>
    </row>
    <row r="52373">
      <c r="B52373" s="17" t="s">
        <v>477</v>
      </c>
      <c r="K52373" s="18"/>
    </row>
    <row r="52374">
      <c r="B52374" s="17" t="s">
        <v>477</v>
      </c>
      <c r="K52374" s="18"/>
    </row>
    <row r="52375">
      <c r="B52375" s="17" t="s">
        <v>477</v>
      </c>
      <c r="K52375" s="18"/>
    </row>
    <row r="52376">
      <c r="B52376" s="17" t="s">
        <v>477</v>
      </c>
      <c r="K52376" s="18"/>
    </row>
    <row r="52377">
      <c r="B52377" s="17" t="s">
        <v>477</v>
      </c>
      <c r="K52377" s="18"/>
    </row>
    <row r="52378">
      <c r="B52378" s="17" t="s">
        <v>477</v>
      </c>
      <c r="K52378" s="18"/>
    </row>
    <row r="52379">
      <c r="B52379" s="17" t="s">
        <v>477</v>
      </c>
      <c r="K52379" s="18"/>
    </row>
    <row r="52380">
      <c r="B52380" s="17" t="s">
        <v>477</v>
      </c>
      <c r="K52380" s="18"/>
    </row>
    <row r="52381">
      <c r="B52381" s="17" t="s">
        <v>477</v>
      </c>
      <c r="K52381" s="18"/>
    </row>
    <row r="52382">
      <c r="B52382" s="17" t="s">
        <v>477</v>
      </c>
      <c r="K52382" s="18"/>
    </row>
    <row r="52383">
      <c r="B52383" s="17" t="s">
        <v>477</v>
      </c>
      <c r="K52383" s="18"/>
    </row>
    <row r="52384">
      <c r="B52384" s="17" t="s">
        <v>477</v>
      </c>
      <c r="K52384" s="18"/>
    </row>
    <row r="52385">
      <c r="B52385" s="17" t="s">
        <v>477</v>
      </c>
      <c r="K52385" s="18"/>
    </row>
    <row r="52386">
      <c r="B52386" s="17" t="s">
        <v>477</v>
      </c>
      <c r="K52386" s="18"/>
    </row>
    <row r="52387">
      <c r="B52387" s="17" t="s">
        <v>477</v>
      </c>
      <c r="K52387" s="18"/>
    </row>
    <row r="52388">
      <c r="B52388" s="17" t="s">
        <v>477</v>
      </c>
      <c r="K52388" s="18"/>
    </row>
    <row r="52389">
      <c r="B52389" s="17" t="s">
        <v>477</v>
      </c>
      <c r="K52389" s="18"/>
    </row>
    <row r="52390">
      <c r="B52390" s="17" t="s">
        <v>477</v>
      </c>
      <c r="K52390" s="18"/>
    </row>
    <row r="52391">
      <c r="B52391" s="17" t="s">
        <v>477</v>
      </c>
      <c r="K52391" s="18"/>
    </row>
    <row r="52392">
      <c r="B52392" s="17" t="s">
        <v>477</v>
      </c>
      <c r="K52392" s="18"/>
    </row>
    <row r="52393">
      <c r="B52393" s="17" t="s">
        <v>477</v>
      </c>
      <c r="K52393" s="18"/>
    </row>
    <row r="52394">
      <c r="B52394" s="17" t="s">
        <v>477</v>
      </c>
      <c r="K52394" s="18"/>
    </row>
    <row r="52395">
      <c r="B52395" s="17" t="s">
        <v>477</v>
      </c>
      <c r="K52395" s="18"/>
    </row>
    <row r="52396">
      <c r="B52396" s="17" t="s">
        <v>477</v>
      </c>
      <c r="K52396" s="18"/>
    </row>
    <row r="52397">
      <c r="B52397" s="17" t="s">
        <v>477</v>
      </c>
      <c r="K52397" s="18"/>
    </row>
    <row r="52398">
      <c r="B52398" s="17" t="s">
        <v>477</v>
      </c>
      <c r="K52398" s="18"/>
    </row>
    <row r="52399">
      <c r="B52399" s="17" t="s">
        <v>477</v>
      </c>
      <c r="K52399" s="18"/>
    </row>
    <row r="52400">
      <c r="B52400" s="17" t="s">
        <v>477</v>
      </c>
      <c r="K52400" s="18"/>
    </row>
    <row r="52401">
      <c r="B52401" s="17" t="s">
        <v>477</v>
      </c>
      <c r="K52401" s="18"/>
    </row>
    <row r="52402">
      <c r="B52402" s="17" t="s">
        <v>477</v>
      </c>
      <c r="K52402" s="18"/>
    </row>
    <row r="52403">
      <c r="B52403" s="17" t="s">
        <v>477</v>
      </c>
      <c r="K52403" s="18"/>
    </row>
    <row r="52404">
      <c r="B52404" s="17" t="s">
        <v>477</v>
      </c>
      <c r="K52404" s="18"/>
    </row>
    <row r="52405">
      <c r="B52405" s="17" t="s">
        <v>477</v>
      </c>
      <c r="K52405" s="18"/>
    </row>
    <row r="52406">
      <c r="B52406" s="17" t="s">
        <v>477</v>
      </c>
      <c r="K52406" s="18"/>
    </row>
    <row r="52407">
      <c r="B52407" s="17" t="s">
        <v>477</v>
      </c>
      <c r="K52407" s="18"/>
    </row>
    <row r="52408">
      <c r="B52408" s="17" t="s">
        <v>477</v>
      </c>
      <c r="K52408" s="18"/>
    </row>
    <row r="52409">
      <c r="B52409" s="17" t="s">
        <v>477</v>
      </c>
      <c r="K52409" s="18"/>
    </row>
    <row r="52410">
      <c r="B52410" s="17" t="s">
        <v>477</v>
      </c>
      <c r="K52410" s="18"/>
    </row>
    <row r="52411">
      <c r="B52411" s="17" t="s">
        <v>477</v>
      </c>
      <c r="K52411" s="18"/>
    </row>
    <row r="52412">
      <c r="B52412" s="17" t="s">
        <v>477</v>
      </c>
      <c r="K52412" s="18"/>
    </row>
    <row r="52413">
      <c r="B52413" s="17" t="s">
        <v>477</v>
      </c>
      <c r="K52413" s="18"/>
    </row>
    <row r="52414">
      <c r="B52414" s="17" t="s">
        <v>477</v>
      </c>
      <c r="K52414" s="18"/>
    </row>
    <row r="52415">
      <c r="B52415" s="17" t="s">
        <v>477</v>
      </c>
      <c r="K52415" s="18"/>
    </row>
    <row r="52416">
      <c r="B52416" s="17" t="s">
        <v>477</v>
      </c>
      <c r="K52416" s="18"/>
    </row>
    <row r="52417">
      <c r="B52417" s="17" t="s">
        <v>477</v>
      </c>
      <c r="K52417" s="18"/>
    </row>
    <row r="52418">
      <c r="B52418" s="17" t="s">
        <v>477</v>
      </c>
      <c r="K52418" s="18"/>
    </row>
    <row r="52419">
      <c r="B52419" s="17" t="s">
        <v>477</v>
      </c>
      <c r="K52419" s="18"/>
    </row>
    <row r="52420">
      <c r="B52420" s="17" t="s">
        <v>477</v>
      </c>
      <c r="K52420" s="18"/>
    </row>
    <row r="52421">
      <c r="B52421" s="17" t="s">
        <v>477</v>
      </c>
      <c r="K52421" s="18"/>
    </row>
    <row r="52422">
      <c r="B52422" s="17" t="s">
        <v>477</v>
      </c>
      <c r="K52422" s="18"/>
    </row>
    <row r="52423">
      <c r="B52423" s="17" t="s">
        <v>477</v>
      </c>
      <c r="K52423" s="18"/>
    </row>
    <row r="52424">
      <c r="B52424" s="17" t="s">
        <v>477</v>
      </c>
      <c r="K52424" s="18"/>
    </row>
    <row r="52425">
      <c r="B52425" s="17" t="s">
        <v>477</v>
      </c>
      <c r="K52425" s="18"/>
    </row>
    <row r="52426">
      <c r="B52426" s="17" t="s">
        <v>477</v>
      </c>
      <c r="K52426" s="18"/>
    </row>
    <row r="52427">
      <c r="B52427" s="17" t="s">
        <v>477</v>
      </c>
      <c r="K52427" s="18"/>
    </row>
    <row r="52428">
      <c r="B52428" s="17" t="s">
        <v>477</v>
      </c>
      <c r="K52428" s="18"/>
    </row>
    <row r="52429">
      <c r="B52429" s="17" t="s">
        <v>477</v>
      </c>
      <c r="K52429" s="18"/>
    </row>
    <row r="52430">
      <c r="B52430" s="17" t="s">
        <v>477</v>
      </c>
      <c r="K52430" s="18"/>
    </row>
    <row r="52431">
      <c r="B52431" s="17" t="s">
        <v>477</v>
      </c>
      <c r="K52431" s="18"/>
    </row>
    <row r="52432">
      <c r="B52432" s="17" t="s">
        <v>477</v>
      </c>
      <c r="K52432" s="18"/>
    </row>
    <row r="52433">
      <c r="B52433" s="17" t="s">
        <v>477</v>
      </c>
      <c r="K52433" s="18"/>
    </row>
    <row r="52434">
      <c r="B52434" s="17" t="s">
        <v>477</v>
      </c>
      <c r="K52434" s="18"/>
    </row>
    <row r="52435">
      <c r="B52435" s="17" t="s">
        <v>477</v>
      </c>
      <c r="K52435" s="18"/>
    </row>
    <row r="52436">
      <c r="B52436" s="17" t="s">
        <v>477</v>
      </c>
      <c r="K52436" s="18"/>
    </row>
    <row r="52437">
      <c r="B52437" s="17" t="s">
        <v>477</v>
      </c>
      <c r="K52437" s="18"/>
    </row>
    <row r="52438">
      <c r="B52438" s="17" t="s">
        <v>477</v>
      </c>
      <c r="K52438" s="18"/>
    </row>
    <row r="52439">
      <c r="B52439" s="17" t="s">
        <v>477</v>
      </c>
      <c r="K52439" s="18"/>
    </row>
    <row r="52440">
      <c r="B52440" s="17" t="s">
        <v>477</v>
      </c>
      <c r="K52440" s="18"/>
    </row>
    <row r="52441">
      <c r="B52441" s="17" t="s">
        <v>477</v>
      </c>
      <c r="K52441" s="18"/>
    </row>
    <row r="52442">
      <c r="B52442" s="17" t="s">
        <v>477</v>
      </c>
      <c r="K52442" s="18"/>
    </row>
    <row r="52443">
      <c r="B52443" s="17" t="s">
        <v>477</v>
      </c>
      <c r="K52443" s="18"/>
    </row>
    <row r="52444">
      <c r="B52444" s="17" t="s">
        <v>477</v>
      </c>
      <c r="K52444" s="18"/>
    </row>
    <row r="52445">
      <c r="B52445" s="17" t="s">
        <v>477</v>
      </c>
      <c r="K52445" s="18"/>
    </row>
    <row r="52446">
      <c r="B52446" s="17" t="s">
        <v>477</v>
      </c>
      <c r="K52446" s="18"/>
    </row>
    <row r="52447">
      <c r="B52447" s="17" t="s">
        <v>477</v>
      </c>
      <c r="K52447" s="18"/>
    </row>
    <row r="52448">
      <c r="B52448" s="17" t="s">
        <v>477</v>
      </c>
      <c r="K52448" s="18"/>
    </row>
    <row r="52449">
      <c r="B52449" s="17" t="s">
        <v>477</v>
      </c>
      <c r="K52449" s="18"/>
    </row>
    <row r="52450">
      <c r="B52450" s="17" t="s">
        <v>477</v>
      </c>
      <c r="K52450" s="18"/>
    </row>
    <row r="52451">
      <c r="B52451" s="17" t="s">
        <v>477</v>
      </c>
      <c r="K52451" s="18"/>
    </row>
    <row r="52452">
      <c r="B52452" s="17" t="s">
        <v>477</v>
      </c>
      <c r="K52452" s="18"/>
    </row>
    <row r="52453">
      <c r="B52453" s="17" t="s">
        <v>477</v>
      </c>
      <c r="K52453" s="18"/>
    </row>
    <row r="52454">
      <c r="B52454" s="17" t="s">
        <v>477</v>
      </c>
      <c r="K52454" s="18"/>
    </row>
    <row r="52455">
      <c r="B52455" s="17" t="s">
        <v>477</v>
      </c>
      <c r="K52455" s="18"/>
    </row>
    <row r="52456">
      <c r="B52456" s="17" t="s">
        <v>477</v>
      </c>
      <c r="K52456" s="18"/>
    </row>
    <row r="52457">
      <c r="B52457" s="17" t="s">
        <v>477</v>
      </c>
      <c r="K52457" s="18"/>
    </row>
    <row r="52458">
      <c r="B52458" s="17" t="s">
        <v>477</v>
      </c>
      <c r="K52458" s="18"/>
    </row>
    <row r="52459">
      <c r="B52459" s="17" t="s">
        <v>477</v>
      </c>
      <c r="K52459" s="18"/>
    </row>
    <row r="52460">
      <c r="B52460" s="17" t="s">
        <v>477</v>
      </c>
      <c r="K52460" s="18"/>
    </row>
    <row r="52461">
      <c r="B52461" s="17" t="s">
        <v>477</v>
      </c>
      <c r="K52461" s="18"/>
    </row>
    <row r="52462">
      <c r="B52462" s="17" t="s">
        <v>477</v>
      </c>
      <c r="K52462" s="18"/>
    </row>
    <row r="52463">
      <c r="B52463" s="17" t="s">
        <v>477</v>
      </c>
      <c r="K52463" s="18"/>
    </row>
    <row r="52464">
      <c r="B52464" s="17" t="s">
        <v>477</v>
      </c>
      <c r="K52464" s="18"/>
    </row>
    <row r="52465">
      <c r="B52465" s="17" t="s">
        <v>477</v>
      </c>
      <c r="K52465" s="18"/>
    </row>
    <row r="52466">
      <c r="B52466" s="17" t="s">
        <v>477</v>
      </c>
      <c r="K52466" s="18"/>
    </row>
    <row r="52467">
      <c r="B52467" s="17" t="s">
        <v>477</v>
      </c>
      <c r="K52467" s="18"/>
    </row>
    <row r="52468">
      <c r="B52468" s="17" t="s">
        <v>477</v>
      </c>
      <c r="K52468" s="18"/>
    </row>
    <row r="52469">
      <c r="B52469" s="17" t="s">
        <v>477</v>
      </c>
      <c r="K52469" s="18"/>
    </row>
    <row r="52470">
      <c r="B52470" s="17" t="s">
        <v>477</v>
      </c>
      <c r="K52470" s="18"/>
    </row>
    <row r="52471">
      <c r="B52471" s="17" t="s">
        <v>477</v>
      </c>
      <c r="K52471" s="18"/>
    </row>
    <row r="52472">
      <c r="B52472" s="17" t="s">
        <v>477</v>
      </c>
      <c r="K52472" s="18"/>
    </row>
    <row r="52473">
      <c r="B52473" s="17" t="s">
        <v>477</v>
      </c>
      <c r="K52473" s="18"/>
    </row>
    <row r="52474">
      <c r="B52474" s="17" t="s">
        <v>477</v>
      </c>
      <c r="K52474" s="18"/>
    </row>
    <row r="52475">
      <c r="B52475" s="17" t="s">
        <v>477</v>
      </c>
      <c r="K52475" s="18"/>
    </row>
    <row r="52476">
      <c r="B52476" s="17" t="s">
        <v>477</v>
      </c>
      <c r="K52476" s="18"/>
    </row>
    <row r="52477">
      <c r="B52477" s="17" t="s">
        <v>477</v>
      </c>
      <c r="K52477" s="18"/>
    </row>
    <row r="52478">
      <c r="B52478" s="17" t="s">
        <v>477</v>
      </c>
      <c r="K52478" s="18"/>
    </row>
    <row r="52479">
      <c r="B52479" s="17" t="s">
        <v>477</v>
      </c>
      <c r="K52479" s="18"/>
    </row>
    <row r="52480">
      <c r="B52480" s="17" t="s">
        <v>477</v>
      </c>
      <c r="K52480" s="18"/>
    </row>
    <row r="52481">
      <c r="B52481" s="17" t="s">
        <v>477</v>
      </c>
      <c r="K52481" s="18"/>
    </row>
    <row r="52482">
      <c r="B52482" s="17" t="s">
        <v>477</v>
      </c>
      <c r="K52482" s="18"/>
    </row>
    <row r="52483">
      <c r="B52483" s="17" t="s">
        <v>477</v>
      </c>
      <c r="K52483" s="18"/>
    </row>
    <row r="52484">
      <c r="B52484" s="17" t="s">
        <v>477</v>
      </c>
      <c r="K52484" s="18"/>
    </row>
    <row r="52485">
      <c r="B52485" s="17" t="s">
        <v>477</v>
      </c>
      <c r="K52485" s="18"/>
    </row>
    <row r="52486">
      <c r="B52486" s="17" t="s">
        <v>477</v>
      </c>
      <c r="K52486" s="18"/>
    </row>
    <row r="52487">
      <c r="B52487" s="17" t="s">
        <v>477</v>
      </c>
      <c r="K52487" s="18"/>
    </row>
    <row r="52488">
      <c r="B52488" s="17" t="s">
        <v>477</v>
      </c>
      <c r="K52488" s="18"/>
    </row>
    <row r="52489">
      <c r="B52489" s="17" t="s">
        <v>477</v>
      </c>
      <c r="K52489" s="18"/>
    </row>
    <row r="52490">
      <c r="B52490" s="17" t="s">
        <v>477</v>
      </c>
      <c r="K52490" s="18"/>
    </row>
    <row r="52491">
      <c r="B52491" s="17" t="s">
        <v>477</v>
      </c>
      <c r="K52491" s="18"/>
    </row>
    <row r="52492">
      <c r="B52492" s="17" t="s">
        <v>477</v>
      </c>
      <c r="K52492" s="18"/>
    </row>
    <row r="52493">
      <c r="B52493" s="17" t="s">
        <v>477</v>
      </c>
      <c r="K52493" s="18"/>
    </row>
    <row r="52494">
      <c r="B52494" s="17" t="s">
        <v>477</v>
      </c>
      <c r="K52494" s="18"/>
    </row>
    <row r="52495">
      <c r="B52495" s="17" t="s">
        <v>477</v>
      </c>
      <c r="K52495" s="18"/>
    </row>
    <row r="52496">
      <c r="B52496" s="17" t="s">
        <v>477</v>
      </c>
      <c r="K52496" s="18"/>
    </row>
    <row r="52497">
      <c r="B52497" s="17" t="s">
        <v>477</v>
      </c>
      <c r="K52497" s="18"/>
    </row>
    <row r="52498">
      <c r="B52498" s="17" t="s">
        <v>477</v>
      </c>
      <c r="K52498" s="18"/>
    </row>
    <row r="52499">
      <c r="B52499" s="17" t="s">
        <v>477</v>
      </c>
      <c r="K52499" s="18"/>
    </row>
    <row r="52500">
      <c r="B52500" s="17" t="s">
        <v>477</v>
      </c>
      <c r="K52500" s="18"/>
    </row>
    <row r="52501">
      <c r="B52501" s="17" t="s">
        <v>477</v>
      </c>
      <c r="K52501" s="18"/>
    </row>
    <row r="52502">
      <c r="B52502" s="17" t="s">
        <v>477</v>
      </c>
      <c r="K52502" s="18"/>
    </row>
    <row r="52503">
      <c r="B52503" s="17" t="s">
        <v>477</v>
      </c>
      <c r="K52503" s="18"/>
    </row>
    <row r="52504">
      <c r="B52504" s="17" t="s">
        <v>477</v>
      </c>
      <c r="K52504" s="18"/>
    </row>
    <row r="52505">
      <c r="B52505" s="17" t="s">
        <v>477</v>
      </c>
      <c r="K52505" s="18"/>
    </row>
    <row r="52506">
      <c r="B52506" s="17" t="s">
        <v>477</v>
      </c>
      <c r="K52506" s="18"/>
    </row>
    <row r="52507">
      <c r="B52507" s="17" t="s">
        <v>477</v>
      </c>
      <c r="K52507" s="18"/>
    </row>
    <row r="52508">
      <c r="B52508" s="17" t="s">
        <v>477</v>
      </c>
      <c r="K52508" s="18"/>
    </row>
    <row r="52509">
      <c r="B52509" s="17" t="s">
        <v>477</v>
      </c>
      <c r="K52509" s="18"/>
    </row>
    <row r="52510">
      <c r="B52510" s="17" t="s">
        <v>477</v>
      </c>
      <c r="K52510" s="18"/>
    </row>
    <row r="52511">
      <c r="B52511" s="17" t="s">
        <v>477</v>
      </c>
      <c r="K52511" s="18"/>
    </row>
    <row r="52512">
      <c r="B52512" s="17" t="s">
        <v>477</v>
      </c>
      <c r="K52512" s="18"/>
    </row>
    <row r="52513">
      <c r="B52513" s="17" t="s">
        <v>477</v>
      </c>
      <c r="K52513" s="18"/>
    </row>
    <row r="52514">
      <c r="B52514" s="17" t="s">
        <v>477</v>
      </c>
      <c r="K52514" s="18"/>
    </row>
    <row r="52515">
      <c r="B52515" s="17" t="s">
        <v>477</v>
      </c>
      <c r="K52515" s="18"/>
    </row>
    <row r="52516">
      <c r="B52516" s="17" t="s">
        <v>477</v>
      </c>
      <c r="K52516" s="18"/>
    </row>
    <row r="52517">
      <c r="B52517" s="17" t="s">
        <v>477</v>
      </c>
      <c r="K52517" s="18"/>
    </row>
    <row r="52518">
      <c r="B52518" s="17" t="s">
        <v>477</v>
      </c>
      <c r="K52518" s="18"/>
    </row>
    <row r="52519">
      <c r="B52519" s="17" t="s">
        <v>477</v>
      </c>
      <c r="K52519" s="18"/>
    </row>
    <row r="52520">
      <c r="B52520" s="17" t="s">
        <v>477</v>
      </c>
      <c r="K52520" s="18"/>
    </row>
    <row r="52521">
      <c r="B52521" s="17" t="s">
        <v>477</v>
      </c>
      <c r="K52521" s="18"/>
    </row>
    <row r="52522">
      <c r="B52522" s="17" t="s">
        <v>477</v>
      </c>
      <c r="K52522" s="18"/>
    </row>
    <row r="52523">
      <c r="B52523" s="17" t="s">
        <v>477</v>
      </c>
      <c r="K52523" s="18"/>
    </row>
    <row r="52524">
      <c r="B52524" s="17" t="s">
        <v>477</v>
      </c>
      <c r="K52524" s="18"/>
    </row>
    <row r="52525">
      <c r="B52525" s="17" t="s">
        <v>477</v>
      </c>
      <c r="K52525" s="18"/>
    </row>
    <row r="52526">
      <c r="B52526" s="17" t="s">
        <v>477</v>
      </c>
      <c r="K52526" s="18"/>
    </row>
    <row r="52527">
      <c r="B52527" s="17" t="s">
        <v>477</v>
      </c>
      <c r="K52527" s="18"/>
    </row>
    <row r="52528">
      <c r="B52528" s="17" t="s">
        <v>477</v>
      </c>
      <c r="K52528" s="18"/>
    </row>
    <row r="52529">
      <c r="B52529" s="17" t="s">
        <v>477</v>
      </c>
      <c r="K52529" s="18"/>
    </row>
    <row r="52530">
      <c r="B52530" s="17" t="s">
        <v>477</v>
      </c>
      <c r="K52530" s="18"/>
    </row>
    <row r="52531">
      <c r="B52531" s="17" t="s">
        <v>477</v>
      </c>
      <c r="K52531" s="18"/>
    </row>
    <row r="52532">
      <c r="B52532" s="17" t="s">
        <v>477</v>
      </c>
      <c r="K52532" s="18"/>
    </row>
    <row r="52533">
      <c r="B52533" s="17" t="s">
        <v>477</v>
      </c>
      <c r="K52533" s="18"/>
    </row>
    <row r="52534">
      <c r="B52534" s="17" t="s">
        <v>477</v>
      </c>
      <c r="K52534" s="18"/>
    </row>
    <row r="52535">
      <c r="B52535" s="17" t="s">
        <v>477</v>
      </c>
      <c r="K52535" s="18"/>
    </row>
    <row r="52536">
      <c r="B52536" s="17" t="s">
        <v>477</v>
      </c>
      <c r="K52536" s="18"/>
    </row>
    <row r="52537">
      <c r="B52537" s="17" t="s">
        <v>477</v>
      </c>
      <c r="K52537" s="18"/>
    </row>
    <row r="52538">
      <c r="B52538" s="17" t="s">
        <v>477</v>
      </c>
      <c r="K52538" s="18"/>
    </row>
    <row r="52539">
      <c r="B52539" s="17" t="s">
        <v>477</v>
      </c>
      <c r="K52539" s="18"/>
    </row>
    <row r="52540">
      <c r="B52540" s="17" t="s">
        <v>477</v>
      </c>
      <c r="K52540" s="18"/>
    </row>
    <row r="52541">
      <c r="B52541" s="17" t="s">
        <v>477</v>
      </c>
      <c r="K52541" s="18"/>
    </row>
    <row r="52542">
      <c r="B52542" s="17" t="s">
        <v>477</v>
      </c>
      <c r="K52542" s="18"/>
    </row>
    <row r="52543">
      <c r="B52543" s="17" t="s">
        <v>477</v>
      </c>
      <c r="K52543" s="18"/>
    </row>
    <row r="52544">
      <c r="B52544" s="17" t="s">
        <v>477</v>
      </c>
      <c r="K52544" s="18"/>
    </row>
    <row r="52545">
      <c r="B52545" s="17" t="s">
        <v>477</v>
      </c>
      <c r="K52545" s="18"/>
    </row>
    <row r="52546">
      <c r="B52546" s="17" t="s">
        <v>477</v>
      </c>
      <c r="K52546" s="18"/>
    </row>
    <row r="52547">
      <c r="B52547" s="17" t="s">
        <v>477</v>
      </c>
      <c r="K52547" s="18"/>
    </row>
    <row r="52548">
      <c r="B52548" s="17" t="s">
        <v>477</v>
      </c>
      <c r="K52548" s="18"/>
    </row>
    <row r="52549">
      <c r="B52549" s="17" t="s">
        <v>477</v>
      </c>
      <c r="K52549" s="18"/>
    </row>
    <row r="52550">
      <c r="B52550" s="17" t="s">
        <v>477</v>
      </c>
      <c r="K52550" s="18"/>
    </row>
    <row r="52551">
      <c r="B52551" s="17" t="s">
        <v>477</v>
      </c>
      <c r="K52551" s="18"/>
    </row>
    <row r="52552">
      <c r="B52552" s="17" t="s">
        <v>477</v>
      </c>
      <c r="K52552" s="18"/>
    </row>
    <row r="52553">
      <c r="B52553" s="17" t="s">
        <v>477</v>
      </c>
      <c r="K52553" s="18"/>
    </row>
    <row r="52554">
      <c r="B52554" s="17" t="s">
        <v>477</v>
      </c>
      <c r="K52554" s="18"/>
    </row>
    <row r="52555">
      <c r="B52555" s="17" t="s">
        <v>477</v>
      </c>
      <c r="K52555" s="18"/>
    </row>
    <row r="52556">
      <c r="B52556" s="17" t="s">
        <v>477</v>
      </c>
      <c r="K52556" s="18"/>
    </row>
    <row r="52557">
      <c r="B52557" s="17" t="s">
        <v>477</v>
      </c>
      <c r="K52557" s="18"/>
    </row>
    <row r="52558">
      <c r="B52558" s="17" t="s">
        <v>477</v>
      </c>
      <c r="K52558" s="18"/>
    </row>
    <row r="52559">
      <c r="B52559" s="17" t="s">
        <v>477</v>
      </c>
      <c r="K52559" s="18"/>
    </row>
    <row r="52560">
      <c r="B52560" s="17" t="s">
        <v>477</v>
      </c>
      <c r="K52560" s="18"/>
    </row>
    <row r="52561">
      <c r="B52561" s="17" t="s">
        <v>477</v>
      </c>
      <c r="K52561" s="18"/>
    </row>
    <row r="52562">
      <c r="B52562" s="17" t="s">
        <v>477</v>
      </c>
      <c r="K52562" s="18"/>
    </row>
    <row r="52563">
      <c r="B52563" s="17" t="s">
        <v>477</v>
      </c>
      <c r="K52563" s="18"/>
    </row>
    <row r="52564">
      <c r="B52564" s="17" t="s">
        <v>477</v>
      </c>
      <c r="K52564" s="18"/>
    </row>
    <row r="52565">
      <c r="B52565" s="17" t="s">
        <v>477</v>
      </c>
      <c r="K52565" s="18"/>
    </row>
    <row r="52566">
      <c r="B52566" s="17" t="s">
        <v>477</v>
      </c>
      <c r="K52566" s="18"/>
    </row>
    <row r="52567">
      <c r="B52567" s="17" t="s">
        <v>477</v>
      </c>
      <c r="K52567" s="18"/>
    </row>
    <row r="52568">
      <c r="B52568" s="17" t="s">
        <v>477</v>
      </c>
      <c r="K52568" s="18"/>
    </row>
    <row r="52569">
      <c r="B52569" s="17" t="s">
        <v>477</v>
      </c>
      <c r="K52569" s="18"/>
    </row>
    <row r="52570">
      <c r="B52570" s="17" t="s">
        <v>477</v>
      </c>
      <c r="K52570" s="18"/>
    </row>
    <row r="52571">
      <c r="B52571" s="17" t="s">
        <v>477</v>
      </c>
      <c r="K52571" s="18"/>
    </row>
    <row r="52572">
      <c r="B52572" s="17" t="s">
        <v>477</v>
      </c>
      <c r="K52572" s="18"/>
    </row>
    <row r="52573">
      <c r="B52573" s="17" t="s">
        <v>477</v>
      </c>
      <c r="K52573" s="18"/>
    </row>
    <row r="52574">
      <c r="B52574" s="17" t="s">
        <v>477</v>
      </c>
      <c r="K52574" s="18"/>
    </row>
    <row r="52575">
      <c r="B52575" s="17" t="s">
        <v>477</v>
      </c>
      <c r="K52575" s="18"/>
    </row>
    <row r="52576">
      <c r="B52576" s="17" t="s">
        <v>477</v>
      </c>
      <c r="K52576" s="18"/>
    </row>
    <row r="52577">
      <c r="B52577" s="17" t="s">
        <v>477</v>
      </c>
      <c r="K52577" s="18"/>
    </row>
    <row r="52578">
      <c r="B52578" s="17" t="s">
        <v>477</v>
      </c>
      <c r="K52578" s="18"/>
    </row>
    <row r="52579">
      <c r="B52579" s="17" t="s">
        <v>477</v>
      </c>
      <c r="K52579" s="18"/>
    </row>
    <row r="52580">
      <c r="B52580" s="17" t="s">
        <v>477</v>
      </c>
      <c r="K52580" s="18"/>
    </row>
    <row r="52581">
      <c r="B52581" s="17" t="s">
        <v>477</v>
      </c>
      <c r="K52581" s="18"/>
    </row>
    <row r="52582">
      <c r="B52582" s="17" t="s">
        <v>477</v>
      </c>
      <c r="K52582" s="18"/>
    </row>
    <row r="52583">
      <c r="B52583" s="17" t="s">
        <v>477</v>
      </c>
      <c r="K52583" s="18"/>
    </row>
    <row r="52584">
      <c r="B52584" s="17" t="s">
        <v>477</v>
      </c>
      <c r="K52584" s="18"/>
    </row>
    <row r="52585">
      <c r="B52585" s="17" t="s">
        <v>477</v>
      </c>
      <c r="K52585" s="18"/>
    </row>
    <row r="52586">
      <c r="B52586" s="17" t="s">
        <v>477</v>
      </c>
      <c r="K52586" s="18"/>
    </row>
    <row r="52587">
      <c r="B52587" s="17" t="s">
        <v>477</v>
      </c>
      <c r="K52587" s="18"/>
    </row>
    <row r="52588">
      <c r="B52588" s="17" t="s">
        <v>477</v>
      </c>
      <c r="K52588" s="18"/>
    </row>
    <row r="52589">
      <c r="B52589" s="17" t="s">
        <v>477</v>
      </c>
      <c r="K52589" s="18"/>
    </row>
    <row r="52590">
      <c r="B52590" s="17" t="s">
        <v>477</v>
      </c>
      <c r="K52590" s="18"/>
    </row>
    <row r="52591">
      <c r="B52591" s="17" t="s">
        <v>477</v>
      </c>
      <c r="K52591" s="18"/>
    </row>
    <row r="52592">
      <c r="B52592" s="17" t="s">
        <v>477</v>
      </c>
      <c r="K52592" s="18"/>
    </row>
    <row r="52593">
      <c r="B52593" s="17" t="s">
        <v>477</v>
      </c>
      <c r="K52593" s="18"/>
    </row>
    <row r="52594">
      <c r="B52594" s="17" t="s">
        <v>477</v>
      </c>
      <c r="K52594" s="18"/>
    </row>
    <row r="52595">
      <c r="B52595" s="17" t="s">
        <v>477</v>
      </c>
      <c r="K52595" s="18"/>
    </row>
    <row r="52596">
      <c r="B52596" s="17" t="s">
        <v>477</v>
      </c>
      <c r="K52596" s="18"/>
    </row>
    <row r="52597">
      <c r="B52597" s="17" t="s">
        <v>477</v>
      </c>
      <c r="K52597" s="18"/>
    </row>
    <row r="52598">
      <c r="B52598" s="17" t="s">
        <v>477</v>
      </c>
      <c r="K52598" s="18"/>
    </row>
    <row r="52599">
      <c r="B52599" s="17" t="s">
        <v>477</v>
      </c>
      <c r="K52599" s="18"/>
    </row>
    <row r="52600">
      <c r="B52600" s="17" t="s">
        <v>477</v>
      </c>
      <c r="K52600" s="18"/>
    </row>
    <row r="52601">
      <c r="B52601" s="17" t="s">
        <v>477</v>
      </c>
      <c r="K52601" s="18"/>
    </row>
    <row r="52602">
      <c r="B52602" s="17" t="s">
        <v>477</v>
      </c>
      <c r="K52602" s="18"/>
    </row>
    <row r="52603">
      <c r="B52603" s="17" t="s">
        <v>477</v>
      </c>
      <c r="K52603" s="18"/>
    </row>
    <row r="52604">
      <c r="B52604" s="17" t="s">
        <v>477</v>
      </c>
      <c r="K52604" s="18"/>
    </row>
    <row r="52605">
      <c r="B52605" s="17" t="s">
        <v>477</v>
      </c>
      <c r="K52605" s="18"/>
    </row>
    <row r="52606">
      <c r="B52606" s="17" t="s">
        <v>477</v>
      </c>
      <c r="K52606" s="18"/>
    </row>
    <row r="52607">
      <c r="B52607" s="17" t="s">
        <v>477</v>
      </c>
      <c r="K52607" s="18"/>
    </row>
    <row r="52608">
      <c r="B52608" s="17" t="s">
        <v>477</v>
      </c>
      <c r="K52608" s="18"/>
    </row>
    <row r="52609">
      <c r="B52609" s="17" t="s">
        <v>477</v>
      </c>
      <c r="K52609" s="18"/>
    </row>
    <row r="52610">
      <c r="B52610" s="17" t="s">
        <v>477</v>
      </c>
      <c r="K52610" s="18"/>
    </row>
    <row r="52611">
      <c r="B52611" s="17" t="s">
        <v>477</v>
      </c>
      <c r="K52611" s="18"/>
    </row>
    <row r="52612">
      <c r="B52612" s="17" t="s">
        <v>477</v>
      </c>
      <c r="K52612" s="18"/>
    </row>
    <row r="52613">
      <c r="B52613" s="17" t="s">
        <v>477</v>
      </c>
      <c r="K52613" s="18"/>
    </row>
    <row r="52614">
      <c r="B52614" s="17" t="s">
        <v>477</v>
      </c>
      <c r="K52614" s="18"/>
    </row>
    <row r="52615">
      <c r="B52615" s="17" t="s">
        <v>477</v>
      </c>
      <c r="K52615" s="18"/>
    </row>
    <row r="52616">
      <c r="B52616" s="17" t="s">
        <v>477</v>
      </c>
      <c r="K52616" s="18"/>
    </row>
    <row r="52617">
      <c r="B52617" s="17" t="s">
        <v>477</v>
      </c>
      <c r="K52617" s="18"/>
    </row>
    <row r="52618">
      <c r="B52618" s="17" t="s">
        <v>477</v>
      </c>
      <c r="K52618" s="18"/>
    </row>
    <row r="52619">
      <c r="B52619" s="17" t="s">
        <v>477</v>
      </c>
      <c r="K52619" s="18"/>
    </row>
    <row r="52620">
      <c r="B52620" s="17" t="s">
        <v>477</v>
      </c>
      <c r="K52620" s="18"/>
    </row>
    <row r="52621">
      <c r="B52621" s="17" t="s">
        <v>477</v>
      </c>
      <c r="K52621" s="18"/>
    </row>
    <row r="52622">
      <c r="B52622" s="17" t="s">
        <v>477</v>
      </c>
      <c r="K52622" s="18"/>
    </row>
    <row r="52623">
      <c r="B52623" s="17" t="s">
        <v>477</v>
      </c>
      <c r="K52623" s="18"/>
    </row>
    <row r="52624">
      <c r="B52624" s="17" t="s">
        <v>477</v>
      </c>
      <c r="K52624" s="18"/>
    </row>
    <row r="52625">
      <c r="B52625" s="17" t="s">
        <v>477</v>
      </c>
      <c r="K52625" s="18"/>
    </row>
    <row r="52626">
      <c r="B52626" s="17" t="s">
        <v>477</v>
      </c>
      <c r="K52626" s="18"/>
    </row>
    <row r="52627">
      <c r="B52627" s="17" t="s">
        <v>477</v>
      </c>
      <c r="K52627" s="18"/>
    </row>
    <row r="52628">
      <c r="B52628" s="17" t="s">
        <v>477</v>
      </c>
      <c r="K52628" s="18"/>
    </row>
    <row r="52629">
      <c r="B52629" s="17" t="s">
        <v>477</v>
      </c>
      <c r="K52629" s="18"/>
    </row>
    <row r="52630">
      <c r="B52630" s="17" t="s">
        <v>477</v>
      </c>
      <c r="K52630" s="18"/>
    </row>
    <row r="52631">
      <c r="B52631" s="17" t="s">
        <v>477</v>
      </c>
      <c r="K52631" s="18"/>
    </row>
    <row r="52632">
      <c r="B52632" s="17" t="s">
        <v>477</v>
      </c>
      <c r="K52632" s="18"/>
    </row>
    <row r="52633">
      <c r="B52633" s="17" t="s">
        <v>477</v>
      </c>
      <c r="K52633" s="18"/>
    </row>
    <row r="52634">
      <c r="B52634" s="17" t="s">
        <v>477</v>
      </c>
      <c r="K52634" s="18"/>
    </row>
    <row r="52635">
      <c r="B52635" s="17" t="s">
        <v>477</v>
      </c>
      <c r="K52635" s="18"/>
    </row>
    <row r="52636">
      <c r="B52636" s="17" t="s">
        <v>477</v>
      </c>
      <c r="K52636" s="18"/>
    </row>
    <row r="52637">
      <c r="B52637" s="17" t="s">
        <v>477</v>
      </c>
      <c r="K52637" s="18"/>
    </row>
    <row r="52638">
      <c r="B52638" s="17" t="s">
        <v>477</v>
      </c>
      <c r="K52638" s="18"/>
    </row>
    <row r="52639">
      <c r="B52639" s="17" t="s">
        <v>477</v>
      </c>
      <c r="K52639" s="18"/>
    </row>
    <row r="52640">
      <c r="B52640" s="17" t="s">
        <v>477</v>
      </c>
      <c r="K52640" s="18"/>
    </row>
    <row r="52641">
      <c r="B52641" s="17" t="s">
        <v>477</v>
      </c>
      <c r="K52641" s="18"/>
    </row>
    <row r="52642">
      <c r="B52642" s="17" t="s">
        <v>477</v>
      </c>
      <c r="K52642" s="18"/>
    </row>
    <row r="52643">
      <c r="B52643" s="17" t="s">
        <v>477</v>
      </c>
      <c r="K52643" s="18"/>
    </row>
    <row r="52644">
      <c r="B52644" s="17" t="s">
        <v>477</v>
      </c>
      <c r="K52644" s="18"/>
    </row>
    <row r="52645">
      <c r="B52645" s="17" t="s">
        <v>477</v>
      </c>
      <c r="K52645" s="18"/>
    </row>
    <row r="52646">
      <c r="B52646" s="17" t="s">
        <v>477</v>
      </c>
      <c r="K52646" s="18"/>
    </row>
    <row r="52647">
      <c r="B52647" s="17" t="s">
        <v>477</v>
      </c>
      <c r="K52647" s="18"/>
    </row>
    <row r="52648">
      <c r="B52648" s="17" t="s">
        <v>477</v>
      </c>
      <c r="K52648" s="18"/>
    </row>
    <row r="52649">
      <c r="B52649" s="17" t="s">
        <v>477</v>
      </c>
      <c r="K52649" s="18"/>
    </row>
    <row r="52650">
      <c r="B52650" s="17" t="s">
        <v>477</v>
      </c>
      <c r="K52650" s="18"/>
    </row>
    <row r="52651">
      <c r="B52651" s="17" t="s">
        <v>477</v>
      </c>
      <c r="K52651" s="18"/>
    </row>
    <row r="52652">
      <c r="B52652" s="17" t="s">
        <v>477</v>
      </c>
      <c r="K52652" s="18"/>
    </row>
    <row r="52653">
      <c r="B52653" s="17" t="s">
        <v>477</v>
      </c>
      <c r="K52653" s="18"/>
    </row>
    <row r="52654">
      <c r="B52654" s="17" t="s">
        <v>477</v>
      </c>
      <c r="K52654" s="18"/>
    </row>
    <row r="52655">
      <c r="B52655" s="17" t="s">
        <v>477</v>
      </c>
      <c r="K52655" s="18"/>
    </row>
    <row r="52656">
      <c r="B52656" s="17" t="s">
        <v>477</v>
      </c>
      <c r="K52656" s="18"/>
    </row>
    <row r="52657">
      <c r="B52657" s="17" t="s">
        <v>477</v>
      </c>
      <c r="K52657" s="18"/>
    </row>
    <row r="52658">
      <c r="B52658" s="17" t="s">
        <v>477</v>
      </c>
      <c r="K52658" s="18"/>
    </row>
    <row r="52659">
      <c r="B52659" s="17" t="s">
        <v>477</v>
      </c>
      <c r="K52659" s="18"/>
    </row>
    <row r="52660">
      <c r="B52660" s="17" t="s">
        <v>477</v>
      </c>
      <c r="K52660" s="18"/>
    </row>
    <row r="52661">
      <c r="B52661" s="17" t="s">
        <v>477</v>
      </c>
      <c r="K52661" s="18"/>
    </row>
    <row r="52662">
      <c r="B52662" s="17" t="s">
        <v>477</v>
      </c>
      <c r="K52662" s="18"/>
    </row>
    <row r="52663">
      <c r="B52663" s="17" t="s">
        <v>477</v>
      </c>
      <c r="K52663" s="18"/>
    </row>
    <row r="52664">
      <c r="B52664" s="17" t="s">
        <v>477</v>
      </c>
      <c r="K52664" s="18"/>
    </row>
    <row r="52665">
      <c r="B52665" s="17" t="s">
        <v>477</v>
      </c>
      <c r="K52665" s="18"/>
    </row>
    <row r="52666">
      <c r="B52666" s="17" t="s">
        <v>477</v>
      </c>
      <c r="K52666" s="18"/>
    </row>
    <row r="52667">
      <c r="B52667" s="17" t="s">
        <v>477</v>
      </c>
      <c r="K52667" s="18"/>
    </row>
    <row r="52668">
      <c r="B52668" s="17" t="s">
        <v>477</v>
      </c>
      <c r="K52668" s="18"/>
    </row>
    <row r="52669">
      <c r="B52669" s="17" t="s">
        <v>477</v>
      </c>
      <c r="K52669" s="18"/>
    </row>
    <row r="52670">
      <c r="B52670" s="17" t="s">
        <v>477</v>
      </c>
      <c r="K52670" s="18"/>
    </row>
    <row r="52671">
      <c r="B52671" s="17" t="s">
        <v>477</v>
      </c>
      <c r="K52671" s="18"/>
    </row>
    <row r="52672">
      <c r="B52672" s="17" t="s">
        <v>477</v>
      </c>
      <c r="K52672" s="18"/>
    </row>
    <row r="52673">
      <c r="B52673" s="17" t="s">
        <v>477</v>
      </c>
      <c r="K52673" s="18"/>
    </row>
    <row r="52674">
      <c r="B52674" s="17" t="s">
        <v>477</v>
      </c>
      <c r="K52674" s="18"/>
    </row>
    <row r="52675">
      <c r="B52675" s="17" t="s">
        <v>477</v>
      </c>
      <c r="K52675" s="18"/>
    </row>
    <row r="52676">
      <c r="B52676" s="17" t="s">
        <v>477</v>
      </c>
      <c r="K52676" s="18"/>
    </row>
    <row r="52677">
      <c r="B52677" s="17" t="s">
        <v>477</v>
      </c>
      <c r="K52677" s="18"/>
    </row>
    <row r="52678">
      <c r="B52678" s="17" t="s">
        <v>477</v>
      </c>
      <c r="K52678" s="18"/>
    </row>
    <row r="52679">
      <c r="B52679" s="17" t="s">
        <v>477</v>
      </c>
      <c r="K52679" s="18"/>
    </row>
    <row r="52680">
      <c r="B52680" s="17" t="s">
        <v>477</v>
      </c>
      <c r="K52680" s="18"/>
    </row>
    <row r="52681">
      <c r="B52681" s="17" t="s">
        <v>477</v>
      </c>
      <c r="K52681" s="18"/>
    </row>
    <row r="52682">
      <c r="B52682" s="17" t="s">
        <v>477</v>
      </c>
      <c r="K52682" s="18"/>
    </row>
    <row r="52683">
      <c r="B52683" s="17" t="s">
        <v>477</v>
      </c>
      <c r="K52683" s="18"/>
    </row>
    <row r="52684">
      <c r="B52684" s="17" t="s">
        <v>477</v>
      </c>
      <c r="K52684" s="18"/>
    </row>
    <row r="52685">
      <c r="B52685" s="17" t="s">
        <v>477</v>
      </c>
      <c r="K52685" s="18"/>
    </row>
    <row r="52686">
      <c r="B52686" s="17" t="s">
        <v>477</v>
      </c>
      <c r="K52686" s="18"/>
    </row>
    <row r="52687">
      <c r="B52687" s="17" t="s">
        <v>477</v>
      </c>
      <c r="K52687" s="18"/>
    </row>
    <row r="52688">
      <c r="B52688" s="17" t="s">
        <v>477</v>
      </c>
      <c r="K52688" s="18"/>
    </row>
    <row r="52689">
      <c r="B52689" s="17" t="s">
        <v>477</v>
      </c>
      <c r="K52689" s="18"/>
    </row>
    <row r="52690">
      <c r="B52690" s="17" t="s">
        <v>477</v>
      </c>
      <c r="K52690" s="18"/>
    </row>
    <row r="52691">
      <c r="B52691" s="17" t="s">
        <v>477</v>
      </c>
      <c r="K52691" s="18"/>
    </row>
    <row r="52692">
      <c r="B52692" s="17" t="s">
        <v>477</v>
      </c>
      <c r="K52692" s="18"/>
    </row>
    <row r="52693">
      <c r="B52693" s="17" t="s">
        <v>477</v>
      </c>
      <c r="K52693" s="18"/>
    </row>
    <row r="52694">
      <c r="B52694" s="17" t="s">
        <v>477</v>
      </c>
      <c r="K52694" s="18"/>
    </row>
    <row r="52695">
      <c r="B52695" s="17" t="s">
        <v>477</v>
      </c>
      <c r="K52695" s="18"/>
    </row>
    <row r="52696">
      <c r="B52696" s="17" t="s">
        <v>477</v>
      </c>
      <c r="K52696" s="18"/>
    </row>
    <row r="52697">
      <c r="B52697" s="17" t="s">
        <v>477</v>
      </c>
      <c r="K52697" s="18"/>
    </row>
    <row r="52698">
      <c r="B52698" s="17" t="s">
        <v>477</v>
      </c>
      <c r="K52698" s="18"/>
    </row>
    <row r="52699">
      <c r="B52699" s="17" t="s">
        <v>477</v>
      </c>
      <c r="K52699" s="18"/>
    </row>
    <row r="52700">
      <c r="B52700" s="17" t="s">
        <v>477</v>
      </c>
      <c r="K52700" s="18"/>
    </row>
    <row r="52701">
      <c r="B52701" s="17" t="s">
        <v>477</v>
      </c>
      <c r="K52701" s="18"/>
    </row>
    <row r="52702">
      <c r="B52702" s="17" t="s">
        <v>477</v>
      </c>
      <c r="K52702" s="18"/>
    </row>
    <row r="52703">
      <c r="B52703" s="17" t="s">
        <v>477</v>
      </c>
      <c r="K52703" s="18"/>
    </row>
    <row r="52704">
      <c r="B52704" s="17" t="s">
        <v>477</v>
      </c>
      <c r="K52704" s="18"/>
    </row>
    <row r="52705">
      <c r="B52705" s="17" t="s">
        <v>477</v>
      </c>
      <c r="K52705" s="18"/>
    </row>
    <row r="52706">
      <c r="B52706" s="17" t="s">
        <v>477</v>
      </c>
      <c r="K52706" s="18"/>
    </row>
    <row r="52707">
      <c r="B52707" s="17" t="s">
        <v>477</v>
      </c>
      <c r="K52707" s="18"/>
    </row>
    <row r="52708">
      <c r="B52708" s="17" t="s">
        <v>477</v>
      </c>
      <c r="K52708" s="18"/>
    </row>
    <row r="52709">
      <c r="B52709" s="17" t="s">
        <v>477</v>
      </c>
      <c r="K52709" s="18"/>
    </row>
    <row r="52710">
      <c r="B52710" s="17" t="s">
        <v>477</v>
      </c>
      <c r="K52710" s="18"/>
    </row>
    <row r="52711">
      <c r="B52711" s="17" t="s">
        <v>477</v>
      </c>
      <c r="K52711" s="18"/>
    </row>
    <row r="52712">
      <c r="B52712" s="17" t="s">
        <v>477</v>
      </c>
      <c r="K52712" s="18"/>
    </row>
    <row r="52713">
      <c r="B52713" s="17" t="s">
        <v>477</v>
      </c>
      <c r="K52713" s="18"/>
    </row>
    <row r="52714">
      <c r="B52714" s="17" t="s">
        <v>477</v>
      </c>
      <c r="K52714" s="18"/>
    </row>
    <row r="52715">
      <c r="B52715" s="17" t="s">
        <v>477</v>
      </c>
      <c r="K52715" s="18"/>
    </row>
    <row r="52716">
      <c r="B52716" s="17" t="s">
        <v>477</v>
      </c>
      <c r="K52716" s="18"/>
    </row>
    <row r="52717">
      <c r="B52717" s="17" t="s">
        <v>477</v>
      </c>
      <c r="K52717" s="18"/>
    </row>
    <row r="52718">
      <c r="B52718" s="17" t="s">
        <v>477</v>
      </c>
      <c r="K52718" s="18"/>
    </row>
    <row r="52719">
      <c r="B52719" s="17" t="s">
        <v>477</v>
      </c>
      <c r="K52719" s="18"/>
    </row>
    <row r="52720">
      <c r="B52720" s="17" t="s">
        <v>477</v>
      </c>
      <c r="K52720" s="18"/>
    </row>
    <row r="52721">
      <c r="B52721" s="17" t="s">
        <v>477</v>
      </c>
      <c r="K52721" s="18"/>
    </row>
    <row r="52722">
      <c r="B52722" s="17" t="s">
        <v>477</v>
      </c>
      <c r="K52722" s="18"/>
    </row>
    <row r="52723">
      <c r="B52723" s="17" t="s">
        <v>477</v>
      </c>
      <c r="K52723" s="18"/>
    </row>
    <row r="52724">
      <c r="B52724" s="17" t="s">
        <v>477</v>
      </c>
      <c r="K52724" s="18"/>
    </row>
    <row r="52725">
      <c r="B52725" s="17" t="s">
        <v>477</v>
      </c>
      <c r="K52725" s="18"/>
    </row>
    <row r="52726">
      <c r="B52726" s="17" t="s">
        <v>477</v>
      </c>
      <c r="K52726" s="18"/>
    </row>
    <row r="52727">
      <c r="B52727" s="17" t="s">
        <v>477</v>
      </c>
      <c r="K52727" s="18"/>
    </row>
    <row r="52728">
      <c r="B52728" s="17" t="s">
        <v>477</v>
      </c>
      <c r="K52728" s="18"/>
    </row>
    <row r="52729">
      <c r="B52729" s="17" t="s">
        <v>477</v>
      </c>
      <c r="K52729" s="18"/>
    </row>
    <row r="52730">
      <c r="B52730" s="17" t="s">
        <v>477</v>
      </c>
      <c r="K52730" s="18"/>
    </row>
    <row r="52731">
      <c r="B52731" s="17" t="s">
        <v>477</v>
      </c>
      <c r="K52731" s="18"/>
    </row>
    <row r="52732">
      <c r="B52732" s="17" t="s">
        <v>477</v>
      </c>
      <c r="K52732" s="18"/>
    </row>
    <row r="52733">
      <c r="B52733" s="17" t="s">
        <v>477</v>
      </c>
      <c r="K52733" s="18"/>
    </row>
    <row r="52734">
      <c r="B52734" s="17" t="s">
        <v>477</v>
      </c>
      <c r="K52734" s="18"/>
    </row>
    <row r="52735">
      <c r="B52735" s="17" t="s">
        <v>477</v>
      </c>
      <c r="K52735" s="18"/>
    </row>
    <row r="52736">
      <c r="B52736" s="17" t="s">
        <v>477</v>
      </c>
      <c r="K52736" s="18"/>
    </row>
    <row r="52737">
      <c r="B52737" s="17" t="s">
        <v>477</v>
      </c>
      <c r="K52737" s="18"/>
    </row>
    <row r="52738">
      <c r="B52738" s="17" t="s">
        <v>477</v>
      </c>
      <c r="K52738" s="18"/>
    </row>
    <row r="52739">
      <c r="B52739" s="17" t="s">
        <v>477</v>
      </c>
      <c r="K52739" s="18"/>
    </row>
    <row r="52740">
      <c r="B52740" s="17" t="s">
        <v>477</v>
      </c>
      <c r="K52740" s="18"/>
    </row>
    <row r="52741">
      <c r="B52741" s="17" t="s">
        <v>477</v>
      </c>
      <c r="K52741" s="18"/>
    </row>
    <row r="52742">
      <c r="B52742" s="17" t="s">
        <v>477</v>
      </c>
      <c r="K52742" s="18"/>
    </row>
    <row r="52743">
      <c r="B52743" s="17" t="s">
        <v>477</v>
      </c>
      <c r="K52743" s="18"/>
    </row>
    <row r="52744">
      <c r="B52744" s="17" t="s">
        <v>477</v>
      </c>
      <c r="K52744" s="18"/>
    </row>
    <row r="52745">
      <c r="B52745" s="17" t="s">
        <v>477</v>
      </c>
      <c r="K52745" s="18"/>
    </row>
    <row r="52746">
      <c r="B52746" s="17" t="s">
        <v>477</v>
      </c>
      <c r="K52746" s="18"/>
    </row>
    <row r="52747">
      <c r="B52747" s="17" t="s">
        <v>477</v>
      </c>
      <c r="K52747" s="18"/>
    </row>
    <row r="52748">
      <c r="B52748" s="17" t="s">
        <v>477</v>
      </c>
      <c r="K52748" s="18"/>
    </row>
    <row r="52749">
      <c r="B52749" s="17" t="s">
        <v>477</v>
      </c>
      <c r="K52749" s="18"/>
    </row>
    <row r="52750">
      <c r="B52750" s="17" t="s">
        <v>477</v>
      </c>
      <c r="K52750" s="18"/>
    </row>
    <row r="52751">
      <c r="B52751" s="17" t="s">
        <v>477</v>
      </c>
      <c r="K52751" s="18"/>
    </row>
    <row r="52752">
      <c r="B52752" s="17" t="s">
        <v>477</v>
      </c>
      <c r="K52752" s="18"/>
    </row>
    <row r="52753">
      <c r="B52753" s="17" t="s">
        <v>477</v>
      </c>
      <c r="K52753" s="18"/>
    </row>
    <row r="52754">
      <c r="B52754" s="17" t="s">
        <v>477</v>
      </c>
      <c r="K52754" s="18"/>
    </row>
    <row r="52755">
      <c r="B52755" s="17" t="s">
        <v>477</v>
      </c>
      <c r="K52755" s="18"/>
    </row>
    <row r="52756">
      <c r="B52756" s="17" t="s">
        <v>477</v>
      </c>
      <c r="K52756" s="18"/>
    </row>
    <row r="52757">
      <c r="B52757" s="17" t="s">
        <v>477</v>
      </c>
      <c r="K52757" s="18"/>
    </row>
    <row r="52758">
      <c r="B52758" s="17" t="s">
        <v>477</v>
      </c>
      <c r="K52758" s="18"/>
    </row>
    <row r="52759">
      <c r="B52759" s="17" t="s">
        <v>477</v>
      </c>
      <c r="K52759" s="18"/>
    </row>
    <row r="52760">
      <c r="B52760" s="17" t="s">
        <v>477</v>
      </c>
      <c r="K52760" s="18"/>
    </row>
    <row r="52761">
      <c r="B52761" s="17" t="s">
        <v>477</v>
      </c>
      <c r="K52761" s="18"/>
    </row>
    <row r="52762">
      <c r="B52762" s="17" t="s">
        <v>477</v>
      </c>
      <c r="K52762" s="18"/>
    </row>
    <row r="52763">
      <c r="B52763" s="17" t="s">
        <v>477</v>
      </c>
      <c r="K52763" s="18"/>
    </row>
    <row r="52764">
      <c r="B52764" s="17" t="s">
        <v>477</v>
      </c>
      <c r="K52764" s="18"/>
    </row>
    <row r="52765">
      <c r="B52765" s="17" t="s">
        <v>477</v>
      </c>
      <c r="K52765" s="18"/>
    </row>
    <row r="52766">
      <c r="B52766" s="17" t="s">
        <v>477</v>
      </c>
      <c r="K52766" s="18"/>
    </row>
    <row r="52767">
      <c r="B52767" s="17" t="s">
        <v>477</v>
      </c>
      <c r="K52767" s="18"/>
    </row>
    <row r="52768">
      <c r="B52768" s="17" t="s">
        <v>477</v>
      </c>
      <c r="K52768" s="18"/>
    </row>
    <row r="52769">
      <c r="B52769" s="17" t="s">
        <v>477</v>
      </c>
      <c r="K52769" s="18"/>
    </row>
    <row r="52770">
      <c r="B52770" s="17" t="s">
        <v>477</v>
      </c>
      <c r="K52770" s="18"/>
    </row>
    <row r="52771">
      <c r="B52771" s="17" t="s">
        <v>477</v>
      </c>
      <c r="K52771" s="18"/>
    </row>
    <row r="52772">
      <c r="B52772" s="17" t="s">
        <v>477</v>
      </c>
      <c r="K52772" s="18"/>
    </row>
    <row r="52773">
      <c r="B52773" s="17" t="s">
        <v>477</v>
      </c>
      <c r="K52773" s="18"/>
    </row>
    <row r="52774">
      <c r="B52774" s="17" t="s">
        <v>477</v>
      </c>
      <c r="K52774" s="18"/>
    </row>
    <row r="52775">
      <c r="B52775" s="17" t="s">
        <v>477</v>
      </c>
      <c r="K52775" s="18"/>
    </row>
    <row r="52776">
      <c r="B52776" s="17" t="s">
        <v>477</v>
      </c>
      <c r="K52776" s="18"/>
    </row>
    <row r="52777">
      <c r="B52777" s="17" t="s">
        <v>477</v>
      </c>
      <c r="K52777" s="18"/>
    </row>
    <row r="52778">
      <c r="B52778" s="17" t="s">
        <v>477</v>
      </c>
      <c r="K52778" s="18"/>
    </row>
    <row r="52779">
      <c r="B52779" s="17" t="s">
        <v>477</v>
      </c>
      <c r="K52779" s="18"/>
    </row>
    <row r="52780">
      <c r="B52780" s="17" t="s">
        <v>477</v>
      </c>
      <c r="K52780" s="18"/>
    </row>
    <row r="52781">
      <c r="B52781" s="17" t="s">
        <v>477</v>
      </c>
      <c r="K52781" s="18"/>
    </row>
    <row r="52782">
      <c r="B52782" s="17" t="s">
        <v>477</v>
      </c>
      <c r="K52782" s="18"/>
    </row>
    <row r="52783">
      <c r="B52783" s="17" t="s">
        <v>477</v>
      </c>
      <c r="K52783" s="18"/>
    </row>
    <row r="52784">
      <c r="B52784" s="17" t="s">
        <v>477</v>
      </c>
      <c r="K52784" s="18"/>
    </row>
    <row r="52785">
      <c r="B52785" s="17" t="s">
        <v>477</v>
      </c>
      <c r="K52785" s="18"/>
    </row>
    <row r="52786">
      <c r="B52786" s="17" t="s">
        <v>477</v>
      </c>
      <c r="K52786" s="18"/>
    </row>
    <row r="52787">
      <c r="B52787" s="17" t="s">
        <v>477</v>
      </c>
      <c r="K52787" s="18"/>
    </row>
    <row r="52788">
      <c r="B52788" s="17" t="s">
        <v>477</v>
      </c>
      <c r="K52788" s="18"/>
    </row>
    <row r="52789">
      <c r="B52789" s="17" t="s">
        <v>477</v>
      </c>
      <c r="K52789" s="18"/>
    </row>
    <row r="52790">
      <c r="B52790" s="17" t="s">
        <v>477</v>
      </c>
      <c r="K52790" s="18"/>
    </row>
    <row r="52791">
      <c r="B52791" s="17" t="s">
        <v>477</v>
      </c>
      <c r="K52791" s="18"/>
    </row>
    <row r="52792">
      <c r="B52792" s="17" t="s">
        <v>477</v>
      </c>
      <c r="K52792" s="18"/>
    </row>
    <row r="52793">
      <c r="B52793" s="17" t="s">
        <v>477</v>
      </c>
      <c r="K52793" s="18"/>
    </row>
    <row r="52794">
      <c r="B52794" s="17" t="s">
        <v>477</v>
      </c>
      <c r="K52794" s="18"/>
    </row>
    <row r="52795">
      <c r="B52795" s="17" t="s">
        <v>477</v>
      </c>
      <c r="K52795" s="18"/>
    </row>
    <row r="52796">
      <c r="B52796" s="17" t="s">
        <v>477</v>
      </c>
      <c r="K52796" s="18"/>
    </row>
    <row r="52797">
      <c r="B52797" s="17" t="s">
        <v>477</v>
      </c>
      <c r="K52797" s="18"/>
    </row>
    <row r="52798">
      <c r="B52798" s="17" t="s">
        <v>477</v>
      </c>
      <c r="K52798" s="18"/>
    </row>
    <row r="52799">
      <c r="B52799" s="17" t="s">
        <v>477</v>
      </c>
      <c r="K52799" s="18"/>
    </row>
    <row r="52800">
      <c r="B52800" s="17" t="s">
        <v>477</v>
      </c>
      <c r="K52800" s="18"/>
    </row>
    <row r="52801">
      <c r="B52801" s="17" t="s">
        <v>477</v>
      </c>
      <c r="K52801" s="18"/>
    </row>
    <row r="52802">
      <c r="B52802" s="17" t="s">
        <v>477</v>
      </c>
      <c r="K52802" s="18"/>
    </row>
    <row r="52803">
      <c r="B52803" s="17" t="s">
        <v>477</v>
      </c>
      <c r="K52803" s="18"/>
    </row>
    <row r="52804">
      <c r="B52804" s="17" t="s">
        <v>477</v>
      </c>
      <c r="K52804" s="18"/>
    </row>
    <row r="52805">
      <c r="B52805" s="17" t="s">
        <v>477</v>
      </c>
      <c r="K52805" s="18"/>
    </row>
    <row r="52806">
      <c r="B52806" s="17" t="s">
        <v>477</v>
      </c>
      <c r="K52806" s="18"/>
    </row>
    <row r="52807">
      <c r="B52807" s="17" t="s">
        <v>477</v>
      </c>
      <c r="K52807" s="18"/>
    </row>
    <row r="52808">
      <c r="B52808" s="17" t="s">
        <v>477</v>
      </c>
      <c r="K52808" s="18"/>
    </row>
    <row r="52809">
      <c r="B52809" s="17" t="s">
        <v>477</v>
      </c>
      <c r="K52809" s="18"/>
    </row>
    <row r="52810">
      <c r="B52810" s="17" t="s">
        <v>477</v>
      </c>
      <c r="K52810" s="18"/>
    </row>
    <row r="52811">
      <c r="B52811" s="17" t="s">
        <v>477</v>
      </c>
      <c r="K52811" s="18"/>
    </row>
    <row r="52812">
      <c r="B52812" s="17" t="s">
        <v>477</v>
      </c>
      <c r="K52812" s="18"/>
    </row>
    <row r="52813">
      <c r="B52813" s="17" t="s">
        <v>477</v>
      </c>
      <c r="K52813" s="18"/>
    </row>
    <row r="52814">
      <c r="B52814" s="17" t="s">
        <v>477</v>
      </c>
      <c r="K52814" s="18"/>
    </row>
    <row r="52815">
      <c r="B52815" s="17" t="s">
        <v>477</v>
      </c>
      <c r="K52815" s="18"/>
    </row>
    <row r="52816">
      <c r="B52816" s="17" t="s">
        <v>477</v>
      </c>
      <c r="K52816" s="18"/>
    </row>
    <row r="52817">
      <c r="B52817" s="17" t="s">
        <v>477</v>
      </c>
      <c r="K52817" s="18"/>
    </row>
    <row r="52818">
      <c r="B52818" s="17" t="s">
        <v>477</v>
      </c>
      <c r="K52818" s="18"/>
    </row>
    <row r="52819">
      <c r="B52819" s="17" t="s">
        <v>477</v>
      </c>
      <c r="K52819" s="18"/>
    </row>
    <row r="52820">
      <c r="B52820" s="17" t="s">
        <v>477</v>
      </c>
      <c r="K52820" s="18"/>
    </row>
    <row r="52821">
      <c r="B52821" s="17" t="s">
        <v>477</v>
      </c>
      <c r="K52821" s="18"/>
    </row>
    <row r="52822">
      <c r="B52822" s="17" t="s">
        <v>477</v>
      </c>
      <c r="K52822" s="18"/>
    </row>
    <row r="52823">
      <c r="B52823" s="17" t="s">
        <v>477</v>
      </c>
      <c r="K52823" s="18"/>
    </row>
    <row r="52824">
      <c r="B52824" s="17" t="s">
        <v>477</v>
      </c>
      <c r="K52824" s="18"/>
    </row>
    <row r="52825">
      <c r="B52825" s="17" t="s">
        <v>477</v>
      </c>
      <c r="K52825" s="18"/>
    </row>
    <row r="52826">
      <c r="B52826" s="17" t="s">
        <v>477</v>
      </c>
      <c r="K52826" s="18"/>
    </row>
    <row r="52827">
      <c r="B52827" s="17" t="s">
        <v>477</v>
      </c>
      <c r="K52827" s="18"/>
    </row>
    <row r="52828">
      <c r="B52828" s="17" t="s">
        <v>477</v>
      </c>
      <c r="K52828" s="18"/>
    </row>
    <row r="52829">
      <c r="B52829" s="17" t="s">
        <v>477</v>
      </c>
      <c r="K52829" s="18"/>
    </row>
    <row r="52830">
      <c r="B52830" s="17" t="s">
        <v>477</v>
      </c>
      <c r="K52830" s="18"/>
    </row>
    <row r="52831">
      <c r="B52831" s="17" t="s">
        <v>477</v>
      </c>
      <c r="K52831" s="18"/>
    </row>
    <row r="52832">
      <c r="B52832" s="17" t="s">
        <v>477</v>
      </c>
      <c r="K52832" s="18"/>
    </row>
    <row r="52833">
      <c r="B52833" s="17" t="s">
        <v>477</v>
      </c>
      <c r="K52833" s="18"/>
    </row>
    <row r="52834">
      <c r="B52834" s="17" t="s">
        <v>477</v>
      </c>
      <c r="K52834" s="18"/>
    </row>
    <row r="52835">
      <c r="B52835" s="17" t="s">
        <v>477</v>
      </c>
      <c r="K52835" s="18"/>
    </row>
    <row r="52836">
      <c r="B52836" s="17" t="s">
        <v>477</v>
      </c>
      <c r="K52836" s="18"/>
    </row>
    <row r="52837">
      <c r="B52837" s="17" t="s">
        <v>477</v>
      </c>
      <c r="K52837" s="18"/>
    </row>
    <row r="52838">
      <c r="B52838" s="17" t="s">
        <v>477</v>
      </c>
      <c r="K52838" s="18"/>
    </row>
    <row r="52839">
      <c r="B52839" s="17" t="s">
        <v>477</v>
      </c>
      <c r="K52839" s="18"/>
    </row>
    <row r="52840">
      <c r="B52840" s="17" t="s">
        <v>477</v>
      </c>
      <c r="K52840" s="18"/>
    </row>
    <row r="52841">
      <c r="B52841" s="17" t="s">
        <v>477</v>
      </c>
      <c r="K52841" s="18"/>
    </row>
    <row r="52842">
      <c r="B52842" s="17" t="s">
        <v>477</v>
      </c>
      <c r="K52842" s="18"/>
    </row>
    <row r="52843">
      <c r="B52843" s="17" t="s">
        <v>477</v>
      </c>
      <c r="K52843" s="18"/>
    </row>
    <row r="52844">
      <c r="B52844" s="17" t="s">
        <v>477</v>
      </c>
      <c r="K52844" s="18"/>
    </row>
    <row r="52845">
      <c r="B52845" s="17" t="s">
        <v>477</v>
      </c>
      <c r="K52845" s="18"/>
    </row>
    <row r="52846">
      <c r="B52846" s="17" t="s">
        <v>477</v>
      </c>
      <c r="K52846" s="18"/>
    </row>
    <row r="52847">
      <c r="B52847" s="17" t="s">
        <v>477</v>
      </c>
      <c r="K52847" s="18"/>
    </row>
    <row r="52848">
      <c r="B52848" s="17" t="s">
        <v>477</v>
      </c>
      <c r="K52848" s="18"/>
    </row>
    <row r="52849">
      <c r="B52849" s="17" t="s">
        <v>477</v>
      </c>
      <c r="K52849" s="18"/>
    </row>
    <row r="52850">
      <c r="B52850" s="17" t="s">
        <v>477</v>
      </c>
      <c r="K52850" s="18"/>
    </row>
    <row r="52851">
      <c r="B52851" s="17" t="s">
        <v>477</v>
      </c>
      <c r="K52851" s="18"/>
    </row>
    <row r="52852">
      <c r="B52852" s="17" t="s">
        <v>477</v>
      </c>
      <c r="K52852" s="18"/>
    </row>
    <row r="52853">
      <c r="B52853" s="17" t="s">
        <v>477</v>
      </c>
      <c r="K52853" s="18"/>
    </row>
    <row r="52854">
      <c r="B52854" s="17" t="s">
        <v>477</v>
      </c>
      <c r="K52854" s="18"/>
    </row>
    <row r="52855">
      <c r="B52855" s="17" t="s">
        <v>477</v>
      </c>
      <c r="K52855" s="18"/>
    </row>
    <row r="52856">
      <c r="B52856" s="17" t="s">
        <v>477</v>
      </c>
      <c r="K52856" s="18"/>
    </row>
    <row r="52857">
      <c r="B52857" s="17" t="s">
        <v>477</v>
      </c>
      <c r="K52857" s="18"/>
    </row>
    <row r="52858">
      <c r="B52858" s="17" t="s">
        <v>477</v>
      </c>
      <c r="K52858" s="18"/>
    </row>
    <row r="52859">
      <c r="B52859" s="17" t="s">
        <v>477</v>
      </c>
      <c r="K52859" s="18"/>
    </row>
    <row r="52860">
      <c r="B52860" s="17" t="s">
        <v>477</v>
      </c>
      <c r="K52860" s="18"/>
    </row>
    <row r="52861">
      <c r="B52861" s="17" t="s">
        <v>477</v>
      </c>
      <c r="K52861" s="18"/>
    </row>
    <row r="52862">
      <c r="B52862" s="17" t="s">
        <v>477</v>
      </c>
      <c r="K52862" s="18"/>
    </row>
    <row r="52863">
      <c r="B52863" s="17" t="s">
        <v>477</v>
      </c>
      <c r="K52863" s="18"/>
    </row>
    <row r="52864">
      <c r="B52864" s="17" t="s">
        <v>477</v>
      </c>
      <c r="K52864" s="18"/>
    </row>
    <row r="52865">
      <c r="B52865" s="17" t="s">
        <v>477</v>
      </c>
      <c r="K52865" s="18"/>
    </row>
    <row r="52866">
      <c r="B52866" s="17" t="s">
        <v>477</v>
      </c>
      <c r="K52866" s="18"/>
    </row>
    <row r="52867">
      <c r="B52867" s="17" t="s">
        <v>477</v>
      </c>
      <c r="K52867" s="18"/>
    </row>
    <row r="52868">
      <c r="B52868" s="17" t="s">
        <v>477</v>
      </c>
      <c r="K52868" s="18"/>
    </row>
    <row r="52869">
      <c r="B52869" s="17" t="s">
        <v>477</v>
      </c>
      <c r="K52869" s="18"/>
    </row>
    <row r="52870">
      <c r="B52870" s="17" t="s">
        <v>477</v>
      </c>
      <c r="K52870" s="18"/>
    </row>
    <row r="52871">
      <c r="B52871" s="17" t="s">
        <v>477</v>
      </c>
      <c r="K52871" s="18"/>
    </row>
    <row r="52872">
      <c r="B52872" s="17" t="s">
        <v>477</v>
      </c>
      <c r="K52872" s="18"/>
    </row>
    <row r="52873">
      <c r="B52873" s="17" t="s">
        <v>477</v>
      </c>
      <c r="K52873" s="18"/>
    </row>
    <row r="52874">
      <c r="B52874" s="17" t="s">
        <v>477</v>
      </c>
      <c r="K52874" s="18"/>
    </row>
    <row r="52875">
      <c r="B52875" s="17" t="s">
        <v>477</v>
      </c>
      <c r="K52875" s="18"/>
    </row>
    <row r="52876">
      <c r="B52876" s="17" t="s">
        <v>477</v>
      </c>
      <c r="K52876" s="18"/>
    </row>
    <row r="52877">
      <c r="B52877" s="17" t="s">
        <v>477</v>
      </c>
      <c r="K52877" s="18"/>
    </row>
    <row r="52878">
      <c r="B52878" s="17" t="s">
        <v>477</v>
      </c>
      <c r="K52878" s="18"/>
    </row>
    <row r="52879">
      <c r="B52879" s="17" t="s">
        <v>477</v>
      </c>
      <c r="K52879" s="18"/>
    </row>
    <row r="52880">
      <c r="B52880" s="17" t="s">
        <v>477</v>
      </c>
      <c r="K52880" s="18"/>
    </row>
    <row r="52881">
      <c r="B52881" s="17" t="s">
        <v>477</v>
      </c>
      <c r="K52881" s="18"/>
    </row>
    <row r="52882">
      <c r="B52882" s="17" t="s">
        <v>477</v>
      </c>
      <c r="K52882" s="18"/>
    </row>
    <row r="52883">
      <c r="B52883" s="17" t="s">
        <v>477</v>
      </c>
      <c r="K52883" s="18"/>
    </row>
    <row r="52884">
      <c r="B52884" s="17" t="s">
        <v>477</v>
      </c>
      <c r="K52884" s="18"/>
    </row>
    <row r="52885">
      <c r="B52885" s="17" t="s">
        <v>477</v>
      </c>
      <c r="K52885" s="18"/>
    </row>
    <row r="52886">
      <c r="B52886" s="17" t="s">
        <v>477</v>
      </c>
      <c r="K52886" s="18"/>
    </row>
    <row r="52887">
      <c r="B52887" s="17" t="s">
        <v>477</v>
      </c>
      <c r="K52887" s="18"/>
    </row>
    <row r="52888">
      <c r="B52888" s="17" t="s">
        <v>477</v>
      </c>
      <c r="K52888" s="18"/>
    </row>
    <row r="52889">
      <c r="B52889" s="17" t="s">
        <v>477</v>
      </c>
      <c r="K52889" s="18"/>
    </row>
    <row r="52890">
      <c r="B52890" s="17" t="s">
        <v>477</v>
      </c>
      <c r="K52890" s="18"/>
    </row>
    <row r="52891">
      <c r="B52891" s="17" t="s">
        <v>477</v>
      </c>
      <c r="K52891" s="18"/>
    </row>
    <row r="52892">
      <c r="B52892" s="17" t="s">
        <v>477</v>
      </c>
      <c r="K52892" s="18"/>
    </row>
    <row r="52893">
      <c r="B52893" s="17" t="s">
        <v>477</v>
      </c>
      <c r="K52893" s="18"/>
    </row>
    <row r="52894">
      <c r="B52894" s="17" t="s">
        <v>477</v>
      </c>
      <c r="K52894" s="18"/>
    </row>
    <row r="52895">
      <c r="B52895" s="17" t="s">
        <v>477</v>
      </c>
      <c r="K52895" s="18"/>
    </row>
    <row r="52896">
      <c r="B52896" s="17" t="s">
        <v>477</v>
      </c>
      <c r="K52896" s="18"/>
    </row>
    <row r="52897">
      <c r="B52897" s="17" t="s">
        <v>477</v>
      </c>
      <c r="K52897" s="18"/>
    </row>
    <row r="52898">
      <c r="B52898" s="17" t="s">
        <v>477</v>
      </c>
      <c r="K52898" s="18"/>
    </row>
    <row r="52899">
      <c r="B52899" s="17" t="s">
        <v>477</v>
      </c>
      <c r="K52899" s="18"/>
    </row>
    <row r="52900">
      <c r="B52900" s="17" t="s">
        <v>477</v>
      </c>
      <c r="K52900" s="18"/>
    </row>
    <row r="52901">
      <c r="B52901" s="17" t="s">
        <v>477</v>
      </c>
      <c r="K52901" s="18"/>
    </row>
    <row r="52902">
      <c r="B52902" s="17" t="s">
        <v>477</v>
      </c>
      <c r="K52902" s="18"/>
    </row>
    <row r="52903">
      <c r="B52903" s="17" t="s">
        <v>477</v>
      </c>
      <c r="K52903" s="18"/>
    </row>
    <row r="52904">
      <c r="B52904" s="17" t="s">
        <v>477</v>
      </c>
      <c r="K52904" s="18"/>
    </row>
    <row r="52905">
      <c r="B52905" s="17" t="s">
        <v>477</v>
      </c>
      <c r="K52905" s="18"/>
    </row>
    <row r="52906">
      <c r="B52906" s="17" t="s">
        <v>477</v>
      </c>
      <c r="K52906" s="18"/>
    </row>
    <row r="52907">
      <c r="B52907" s="17" t="s">
        <v>477</v>
      </c>
      <c r="K52907" s="18"/>
    </row>
    <row r="52908">
      <c r="B52908" s="17" t="s">
        <v>477</v>
      </c>
      <c r="K52908" s="18"/>
    </row>
    <row r="52909">
      <c r="B52909" s="17" t="s">
        <v>477</v>
      </c>
      <c r="K52909" s="18"/>
    </row>
    <row r="52910">
      <c r="B52910" s="17" t="s">
        <v>477</v>
      </c>
      <c r="K52910" s="18"/>
    </row>
    <row r="52911">
      <c r="B52911" s="17" t="s">
        <v>477</v>
      </c>
      <c r="K52911" s="18"/>
    </row>
    <row r="52912">
      <c r="B52912" s="17" t="s">
        <v>477</v>
      </c>
      <c r="K52912" s="18"/>
    </row>
    <row r="52913">
      <c r="B52913" s="17" t="s">
        <v>477</v>
      </c>
      <c r="K52913" s="18"/>
    </row>
    <row r="52914">
      <c r="B52914" s="17" t="s">
        <v>477</v>
      </c>
      <c r="K52914" s="18"/>
    </row>
    <row r="52915">
      <c r="B52915" s="17" t="s">
        <v>477</v>
      </c>
      <c r="K52915" s="18"/>
    </row>
    <row r="52916">
      <c r="B52916" s="17" t="s">
        <v>477</v>
      </c>
      <c r="K52916" s="18"/>
    </row>
    <row r="52917">
      <c r="B52917" s="17" t="s">
        <v>477</v>
      </c>
      <c r="K52917" s="18"/>
    </row>
    <row r="52918">
      <c r="B52918" s="17" t="s">
        <v>477</v>
      </c>
      <c r="K52918" s="18"/>
    </row>
    <row r="52919">
      <c r="B52919" s="17" t="s">
        <v>477</v>
      </c>
      <c r="K52919" s="18"/>
    </row>
    <row r="52920">
      <c r="B52920" s="17" t="s">
        <v>477</v>
      </c>
      <c r="K52920" s="18"/>
    </row>
    <row r="52921">
      <c r="B52921" s="17" t="s">
        <v>477</v>
      </c>
      <c r="K52921" s="18"/>
    </row>
    <row r="52922">
      <c r="B52922" s="17" t="s">
        <v>477</v>
      </c>
      <c r="K52922" s="18"/>
    </row>
    <row r="52923">
      <c r="B52923" s="17" t="s">
        <v>477</v>
      </c>
      <c r="K52923" s="18"/>
    </row>
    <row r="52924">
      <c r="B52924" s="17" t="s">
        <v>477</v>
      </c>
      <c r="K52924" s="18"/>
    </row>
    <row r="52925">
      <c r="B52925" s="17" t="s">
        <v>477</v>
      </c>
      <c r="K52925" s="18"/>
    </row>
    <row r="52926">
      <c r="B52926" s="17" t="s">
        <v>477</v>
      </c>
      <c r="K52926" s="18"/>
    </row>
    <row r="52927">
      <c r="B52927" s="17" t="s">
        <v>477</v>
      </c>
      <c r="K52927" s="18"/>
    </row>
    <row r="52928">
      <c r="B52928" s="17" t="s">
        <v>477</v>
      </c>
      <c r="K52928" s="18"/>
    </row>
    <row r="52929">
      <c r="B52929" s="17" t="s">
        <v>477</v>
      </c>
      <c r="K52929" s="18"/>
    </row>
    <row r="52930">
      <c r="B52930" s="17" t="s">
        <v>477</v>
      </c>
      <c r="K52930" s="18"/>
    </row>
    <row r="52931">
      <c r="B52931" s="17" t="s">
        <v>477</v>
      </c>
      <c r="K52931" s="18"/>
    </row>
    <row r="52932">
      <c r="B52932" s="17" t="s">
        <v>477</v>
      </c>
      <c r="K52932" s="18"/>
    </row>
    <row r="52933">
      <c r="B52933" s="17" t="s">
        <v>477</v>
      </c>
      <c r="K52933" s="18"/>
    </row>
    <row r="52934">
      <c r="B52934" s="17" t="s">
        <v>477</v>
      </c>
      <c r="K52934" s="18"/>
    </row>
    <row r="52935">
      <c r="B52935" s="17" t="s">
        <v>477</v>
      </c>
      <c r="K52935" s="18"/>
    </row>
    <row r="52936">
      <c r="B52936" s="17" t="s">
        <v>477</v>
      </c>
      <c r="K52936" s="18"/>
    </row>
    <row r="52937">
      <c r="B52937" s="17" t="s">
        <v>477</v>
      </c>
      <c r="K52937" s="18"/>
    </row>
    <row r="52938">
      <c r="B52938" s="17" t="s">
        <v>477</v>
      </c>
      <c r="K52938" s="18"/>
    </row>
    <row r="52939">
      <c r="B52939" s="17" t="s">
        <v>477</v>
      </c>
      <c r="K52939" s="18"/>
    </row>
    <row r="52940">
      <c r="B52940" s="17" t="s">
        <v>477</v>
      </c>
      <c r="K52940" s="18"/>
    </row>
    <row r="52941">
      <c r="B52941" s="17" t="s">
        <v>477</v>
      </c>
      <c r="K52941" s="18"/>
    </row>
    <row r="52942">
      <c r="B52942" s="17" t="s">
        <v>477</v>
      </c>
      <c r="K52942" s="18"/>
    </row>
    <row r="52943">
      <c r="B52943" s="17" t="s">
        <v>477</v>
      </c>
      <c r="K52943" s="18"/>
    </row>
    <row r="52944">
      <c r="B52944" s="17" t="s">
        <v>477</v>
      </c>
      <c r="K52944" s="18"/>
    </row>
    <row r="52945">
      <c r="B52945" s="17" t="s">
        <v>477</v>
      </c>
      <c r="K52945" s="18"/>
    </row>
    <row r="52946">
      <c r="B52946" s="17" t="s">
        <v>477</v>
      </c>
      <c r="K52946" s="18"/>
    </row>
    <row r="52947">
      <c r="B52947" s="17" t="s">
        <v>477</v>
      </c>
      <c r="K52947" s="18"/>
    </row>
    <row r="52948">
      <c r="B52948" s="17" t="s">
        <v>477</v>
      </c>
      <c r="K52948" s="18"/>
    </row>
    <row r="52949">
      <c r="B52949" s="17" t="s">
        <v>477</v>
      </c>
      <c r="K52949" s="18"/>
    </row>
    <row r="52950">
      <c r="B52950" s="17" t="s">
        <v>477</v>
      </c>
      <c r="K52950" s="18"/>
    </row>
    <row r="52951">
      <c r="B52951" s="17" t="s">
        <v>477</v>
      </c>
      <c r="K52951" s="18"/>
    </row>
    <row r="52952">
      <c r="B52952" s="17" t="s">
        <v>477</v>
      </c>
      <c r="K52952" s="18"/>
    </row>
    <row r="52953">
      <c r="B52953" s="17" t="s">
        <v>477</v>
      </c>
      <c r="K52953" s="18"/>
    </row>
    <row r="52954">
      <c r="B52954" s="17" t="s">
        <v>477</v>
      </c>
      <c r="K52954" s="18"/>
    </row>
    <row r="52955">
      <c r="B52955" s="17" t="s">
        <v>477</v>
      </c>
      <c r="K52955" s="18"/>
    </row>
    <row r="52956">
      <c r="B52956" s="17" t="s">
        <v>477</v>
      </c>
      <c r="K52956" s="18"/>
    </row>
    <row r="52957">
      <c r="B52957" s="17" t="s">
        <v>477</v>
      </c>
      <c r="K52957" s="18"/>
    </row>
    <row r="52958">
      <c r="B52958" s="17" t="s">
        <v>477</v>
      </c>
      <c r="K52958" s="18"/>
    </row>
    <row r="52959">
      <c r="B52959" s="17" t="s">
        <v>477</v>
      </c>
      <c r="K52959" s="18"/>
    </row>
    <row r="52960">
      <c r="B52960" s="17" t="s">
        <v>477</v>
      </c>
      <c r="K52960" s="18"/>
    </row>
    <row r="52961">
      <c r="B52961" s="17" t="s">
        <v>477</v>
      </c>
      <c r="K52961" s="18"/>
    </row>
    <row r="52962">
      <c r="B52962" s="17" t="s">
        <v>477</v>
      </c>
      <c r="K52962" s="18"/>
    </row>
    <row r="52963">
      <c r="B52963" s="17" t="s">
        <v>477</v>
      </c>
      <c r="K52963" s="18"/>
    </row>
    <row r="52964">
      <c r="B52964" s="17" t="s">
        <v>477</v>
      </c>
      <c r="K52964" s="18"/>
    </row>
    <row r="52965">
      <c r="B52965" s="17" t="s">
        <v>477</v>
      </c>
      <c r="K52965" s="18"/>
    </row>
    <row r="52966">
      <c r="B52966" s="17" t="s">
        <v>477</v>
      </c>
      <c r="K52966" s="18"/>
    </row>
    <row r="52967">
      <c r="B52967" s="17" t="s">
        <v>477</v>
      </c>
      <c r="K52967" s="18"/>
    </row>
    <row r="52968">
      <c r="B52968" s="17" t="s">
        <v>477</v>
      </c>
      <c r="K52968" s="18"/>
    </row>
    <row r="52969">
      <c r="B52969" s="17" t="s">
        <v>477</v>
      </c>
      <c r="K52969" s="18"/>
    </row>
    <row r="52970">
      <c r="B52970" s="17" t="s">
        <v>477</v>
      </c>
      <c r="K52970" s="18"/>
    </row>
    <row r="52971">
      <c r="B52971" s="17" t="s">
        <v>477</v>
      </c>
      <c r="K52971" s="18"/>
    </row>
    <row r="52972">
      <c r="B52972" s="17" t="s">
        <v>477</v>
      </c>
      <c r="K52972" s="18"/>
    </row>
    <row r="52973">
      <c r="B52973" s="17" t="s">
        <v>477</v>
      </c>
      <c r="K52973" s="18"/>
    </row>
    <row r="52974">
      <c r="B52974" s="17" t="s">
        <v>477</v>
      </c>
      <c r="K52974" s="18"/>
    </row>
    <row r="52975">
      <c r="B52975" s="17" t="s">
        <v>477</v>
      </c>
      <c r="K52975" s="18"/>
    </row>
    <row r="52976">
      <c r="B52976" s="17" t="s">
        <v>477</v>
      </c>
      <c r="K52976" s="18"/>
    </row>
    <row r="52977">
      <c r="B52977" s="17" t="s">
        <v>477</v>
      </c>
      <c r="K52977" s="18"/>
    </row>
    <row r="52978">
      <c r="B52978" s="17" t="s">
        <v>477</v>
      </c>
      <c r="K52978" s="18"/>
    </row>
    <row r="52979">
      <c r="B52979" s="17" t="s">
        <v>477</v>
      </c>
      <c r="K52979" s="18"/>
    </row>
    <row r="52980">
      <c r="B52980" s="17" t="s">
        <v>477</v>
      </c>
      <c r="K52980" s="18"/>
    </row>
    <row r="52981">
      <c r="B52981" s="17" t="s">
        <v>477</v>
      </c>
      <c r="K52981" s="18"/>
    </row>
    <row r="52982">
      <c r="B52982" s="17" t="s">
        <v>477</v>
      </c>
      <c r="K52982" s="18"/>
    </row>
    <row r="52983">
      <c r="B52983" s="17" t="s">
        <v>477</v>
      </c>
      <c r="K52983" s="18"/>
    </row>
    <row r="52984">
      <c r="B52984" s="17" t="s">
        <v>477</v>
      </c>
      <c r="K52984" s="18"/>
    </row>
    <row r="52985">
      <c r="B52985" s="17" t="s">
        <v>477</v>
      </c>
      <c r="K52985" s="18"/>
    </row>
    <row r="52986">
      <c r="B52986" s="17" t="s">
        <v>477</v>
      </c>
      <c r="K52986" s="18"/>
    </row>
    <row r="52987">
      <c r="B52987" s="17" t="s">
        <v>477</v>
      </c>
      <c r="K52987" s="18"/>
    </row>
    <row r="52988">
      <c r="B52988" s="17" t="s">
        <v>477</v>
      </c>
      <c r="K52988" s="18"/>
    </row>
    <row r="52989">
      <c r="B52989" s="17" t="s">
        <v>477</v>
      </c>
      <c r="K52989" s="18"/>
    </row>
    <row r="52990">
      <c r="B52990" s="17" t="s">
        <v>477</v>
      </c>
      <c r="K52990" s="18"/>
    </row>
    <row r="52991">
      <c r="B52991" s="17" t="s">
        <v>477</v>
      </c>
      <c r="K52991" s="18"/>
    </row>
    <row r="52992">
      <c r="B52992" s="17" t="s">
        <v>477</v>
      </c>
      <c r="K52992" s="18"/>
    </row>
    <row r="52993">
      <c r="B52993" s="17" t="s">
        <v>477</v>
      </c>
      <c r="K52993" s="18"/>
    </row>
    <row r="52994">
      <c r="B52994" s="17" t="s">
        <v>477</v>
      </c>
      <c r="K52994" s="18"/>
    </row>
    <row r="52995">
      <c r="B52995" s="17" t="s">
        <v>477</v>
      </c>
      <c r="K52995" s="18"/>
    </row>
    <row r="52996">
      <c r="B52996" s="17" t="s">
        <v>477</v>
      </c>
      <c r="K52996" s="18"/>
    </row>
    <row r="52997">
      <c r="B52997" s="17" t="s">
        <v>477</v>
      </c>
      <c r="K52997" s="18"/>
    </row>
    <row r="52998">
      <c r="B52998" s="17" t="s">
        <v>477</v>
      </c>
      <c r="K52998" s="18"/>
    </row>
    <row r="52999">
      <c r="B52999" s="17" t="s">
        <v>477</v>
      </c>
      <c r="K52999" s="18"/>
    </row>
    <row r="53000">
      <c r="B53000" s="17" t="s">
        <v>477</v>
      </c>
      <c r="K53000" s="18"/>
    </row>
    <row r="53001">
      <c r="B53001" s="17" t="s">
        <v>477</v>
      </c>
      <c r="K53001" s="18"/>
    </row>
    <row r="53002">
      <c r="B53002" s="17" t="s">
        <v>477</v>
      </c>
      <c r="K53002" s="18"/>
    </row>
    <row r="53003">
      <c r="B53003" s="17" t="s">
        <v>477</v>
      </c>
      <c r="K53003" s="18"/>
    </row>
    <row r="53004">
      <c r="B53004" s="17" t="s">
        <v>477</v>
      </c>
      <c r="K53004" s="18"/>
    </row>
    <row r="53005">
      <c r="B53005" s="17" t="s">
        <v>477</v>
      </c>
      <c r="K53005" s="18"/>
    </row>
    <row r="53006">
      <c r="B53006" s="17" t="s">
        <v>477</v>
      </c>
      <c r="K53006" s="18"/>
    </row>
    <row r="53007">
      <c r="B53007" s="17" t="s">
        <v>477</v>
      </c>
      <c r="K53007" s="18"/>
    </row>
    <row r="53008">
      <c r="B53008" s="17" t="s">
        <v>477</v>
      </c>
      <c r="K53008" s="18"/>
    </row>
    <row r="53009">
      <c r="B53009" s="17" t="s">
        <v>477</v>
      </c>
      <c r="K53009" s="18"/>
    </row>
    <row r="53010">
      <c r="B53010" s="17" t="s">
        <v>477</v>
      </c>
      <c r="K53010" s="18"/>
    </row>
    <row r="53011">
      <c r="B53011" s="17" t="s">
        <v>477</v>
      </c>
      <c r="K53011" s="18"/>
    </row>
    <row r="53012">
      <c r="B53012" s="17" t="s">
        <v>477</v>
      </c>
      <c r="K53012" s="18"/>
    </row>
    <row r="53013">
      <c r="B53013" s="17" t="s">
        <v>477</v>
      </c>
      <c r="K53013" s="18"/>
    </row>
    <row r="53014">
      <c r="B53014" s="17" t="s">
        <v>477</v>
      </c>
      <c r="K53014" s="18"/>
    </row>
    <row r="53015">
      <c r="B53015" s="17" t="s">
        <v>477</v>
      </c>
      <c r="K53015" s="18"/>
    </row>
    <row r="53016">
      <c r="B53016" s="17" t="s">
        <v>477</v>
      </c>
      <c r="K53016" s="18"/>
    </row>
    <row r="53017">
      <c r="B53017" s="17" t="s">
        <v>477</v>
      </c>
      <c r="K53017" s="18"/>
    </row>
    <row r="53018">
      <c r="B53018" s="17" t="s">
        <v>477</v>
      </c>
      <c r="K53018" s="18"/>
    </row>
    <row r="53019">
      <c r="B53019" s="17" t="s">
        <v>477</v>
      </c>
      <c r="K53019" s="18"/>
    </row>
    <row r="53020">
      <c r="B53020" s="17" t="s">
        <v>477</v>
      </c>
      <c r="K53020" s="18"/>
    </row>
    <row r="53021">
      <c r="B53021" s="17" t="s">
        <v>477</v>
      </c>
      <c r="K53021" s="18"/>
    </row>
    <row r="53022">
      <c r="B53022" s="17" t="s">
        <v>477</v>
      </c>
      <c r="K53022" s="18"/>
    </row>
    <row r="53023">
      <c r="B53023" s="17" t="s">
        <v>477</v>
      </c>
      <c r="K53023" s="18"/>
    </row>
    <row r="53024">
      <c r="B53024" s="17" t="s">
        <v>477</v>
      </c>
      <c r="K53024" s="18"/>
    </row>
    <row r="53025">
      <c r="B53025" s="17" t="s">
        <v>477</v>
      </c>
      <c r="K53025" s="18"/>
    </row>
    <row r="53026">
      <c r="B53026" s="17" t="s">
        <v>477</v>
      </c>
      <c r="K53026" s="18"/>
    </row>
    <row r="53027">
      <c r="B53027" s="17" t="s">
        <v>477</v>
      </c>
      <c r="K53027" s="18"/>
    </row>
    <row r="53028">
      <c r="B53028" s="17" t="s">
        <v>477</v>
      </c>
      <c r="K53028" s="18"/>
    </row>
    <row r="53029">
      <c r="B53029" s="17" t="s">
        <v>477</v>
      </c>
      <c r="K53029" s="18"/>
    </row>
    <row r="53030">
      <c r="B53030" s="17" t="s">
        <v>477</v>
      </c>
      <c r="K53030" s="18"/>
    </row>
    <row r="53031">
      <c r="B53031" s="17" t="s">
        <v>477</v>
      </c>
      <c r="K53031" s="18"/>
    </row>
    <row r="53032">
      <c r="B53032" s="17" t="s">
        <v>477</v>
      </c>
      <c r="K53032" s="18"/>
    </row>
    <row r="53033">
      <c r="B53033" s="17" t="s">
        <v>477</v>
      </c>
      <c r="K53033" s="18"/>
    </row>
    <row r="53034">
      <c r="B53034" s="17" t="s">
        <v>477</v>
      </c>
      <c r="K53034" s="18"/>
    </row>
    <row r="53035">
      <c r="B53035" s="17" t="s">
        <v>477</v>
      </c>
      <c r="K53035" s="18"/>
    </row>
    <row r="53036">
      <c r="B53036" s="17" t="s">
        <v>477</v>
      </c>
      <c r="K53036" s="18"/>
    </row>
    <row r="53037">
      <c r="B53037" s="17" t="s">
        <v>477</v>
      </c>
      <c r="K53037" s="18"/>
    </row>
    <row r="53038">
      <c r="B53038" s="17" t="s">
        <v>477</v>
      </c>
      <c r="K53038" s="18"/>
    </row>
    <row r="53039">
      <c r="B53039" s="17" t="s">
        <v>477</v>
      </c>
      <c r="K53039" s="18"/>
    </row>
    <row r="53040">
      <c r="B53040" s="17" t="s">
        <v>477</v>
      </c>
      <c r="K53040" s="18"/>
    </row>
    <row r="53041">
      <c r="B53041" s="17" t="s">
        <v>477</v>
      </c>
      <c r="K53041" s="18"/>
    </row>
    <row r="53042">
      <c r="B53042" s="17" t="s">
        <v>477</v>
      </c>
      <c r="K53042" s="18"/>
    </row>
    <row r="53043">
      <c r="B53043" s="17" t="s">
        <v>477</v>
      </c>
      <c r="K53043" s="18"/>
    </row>
    <row r="53044">
      <c r="B53044" s="17" t="s">
        <v>477</v>
      </c>
      <c r="K53044" s="18"/>
    </row>
    <row r="53045">
      <c r="B53045" s="17" t="s">
        <v>477</v>
      </c>
      <c r="K53045" s="18"/>
    </row>
    <row r="53046">
      <c r="B53046" s="17" t="s">
        <v>477</v>
      </c>
      <c r="K53046" s="18"/>
    </row>
    <row r="53047">
      <c r="B53047" s="17" t="s">
        <v>477</v>
      </c>
      <c r="K53047" s="18"/>
    </row>
    <row r="53048">
      <c r="B53048" s="17" t="s">
        <v>477</v>
      </c>
      <c r="K53048" s="18"/>
    </row>
    <row r="53049">
      <c r="B53049" s="17" t="s">
        <v>477</v>
      </c>
      <c r="K53049" s="18"/>
    </row>
    <row r="53050">
      <c r="B53050" s="17" t="s">
        <v>477</v>
      </c>
      <c r="K53050" s="18"/>
    </row>
    <row r="53051">
      <c r="B53051" s="17" t="s">
        <v>477</v>
      </c>
      <c r="K53051" s="18"/>
    </row>
    <row r="53052">
      <c r="B53052" s="17" t="s">
        <v>477</v>
      </c>
      <c r="K53052" s="18"/>
    </row>
    <row r="53053">
      <c r="B53053" s="17" t="s">
        <v>477</v>
      </c>
      <c r="K53053" s="18"/>
    </row>
    <row r="53054">
      <c r="B53054" s="17" t="s">
        <v>477</v>
      </c>
      <c r="K53054" s="18"/>
    </row>
    <row r="53055">
      <c r="B53055" s="17" t="s">
        <v>477</v>
      </c>
      <c r="K53055" s="18"/>
    </row>
    <row r="53056">
      <c r="B53056" s="17" t="s">
        <v>477</v>
      </c>
      <c r="K53056" s="18"/>
    </row>
    <row r="53057">
      <c r="B53057" s="17" t="s">
        <v>477</v>
      </c>
      <c r="K53057" s="18"/>
    </row>
    <row r="53058">
      <c r="B53058" s="17" t="s">
        <v>477</v>
      </c>
      <c r="K53058" s="18"/>
    </row>
    <row r="53059">
      <c r="B53059" s="17" t="s">
        <v>477</v>
      </c>
      <c r="K53059" s="18"/>
    </row>
    <row r="53060">
      <c r="B53060" s="17" t="s">
        <v>477</v>
      </c>
      <c r="K53060" s="18"/>
    </row>
    <row r="53061">
      <c r="B53061" s="17" t="s">
        <v>477</v>
      </c>
      <c r="K53061" s="18"/>
    </row>
    <row r="53062">
      <c r="B53062" s="17" t="s">
        <v>477</v>
      </c>
      <c r="K53062" s="18"/>
    </row>
    <row r="53063">
      <c r="B53063" s="17" t="s">
        <v>477</v>
      </c>
      <c r="K53063" s="18"/>
    </row>
    <row r="53064">
      <c r="B53064" s="17" t="s">
        <v>477</v>
      </c>
      <c r="K53064" s="18"/>
    </row>
    <row r="53065">
      <c r="B53065" s="17" t="s">
        <v>477</v>
      </c>
      <c r="K53065" s="18"/>
    </row>
    <row r="53066">
      <c r="B53066" s="17" t="s">
        <v>477</v>
      </c>
      <c r="K53066" s="18"/>
    </row>
    <row r="53067">
      <c r="B53067" s="17" t="s">
        <v>477</v>
      </c>
      <c r="K53067" s="18"/>
    </row>
    <row r="53068">
      <c r="B53068" s="17" t="s">
        <v>477</v>
      </c>
      <c r="K53068" s="18"/>
    </row>
    <row r="53069">
      <c r="B53069" s="17" t="s">
        <v>477</v>
      </c>
      <c r="K53069" s="18"/>
    </row>
    <row r="53070">
      <c r="B53070" s="17" t="s">
        <v>477</v>
      </c>
      <c r="K53070" s="18"/>
    </row>
    <row r="53071">
      <c r="B53071" s="17" t="s">
        <v>477</v>
      </c>
      <c r="K53071" s="18"/>
    </row>
    <row r="53072">
      <c r="B53072" s="17" t="s">
        <v>477</v>
      </c>
      <c r="K53072" s="18"/>
    </row>
    <row r="53073">
      <c r="B53073" s="17" t="s">
        <v>477</v>
      </c>
      <c r="K53073" s="18"/>
    </row>
    <row r="53074">
      <c r="B53074" s="17" t="s">
        <v>477</v>
      </c>
      <c r="K53074" s="18"/>
    </row>
    <row r="53075">
      <c r="B53075" s="17" t="s">
        <v>477</v>
      </c>
      <c r="K53075" s="18"/>
    </row>
    <row r="53076">
      <c r="B53076" s="17" t="s">
        <v>477</v>
      </c>
      <c r="K53076" s="18"/>
    </row>
    <row r="53077">
      <c r="B53077" s="17" t="s">
        <v>477</v>
      </c>
      <c r="K53077" s="18"/>
    </row>
    <row r="53078">
      <c r="B53078" s="17" t="s">
        <v>477</v>
      </c>
      <c r="K53078" s="18"/>
    </row>
    <row r="53079">
      <c r="B53079" s="17" t="s">
        <v>477</v>
      </c>
      <c r="K53079" s="18"/>
    </row>
    <row r="53080">
      <c r="B53080" s="17" t="s">
        <v>477</v>
      </c>
      <c r="K53080" s="18"/>
    </row>
    <row r="53081">
      <c r="B53081" s="17" t="s">
        <v>477</v>
      </c>
      <c r="K53081" s="18"/>
    </row>
    <row r="53082">
      <c r="B53082" s="17" t="s">
        <v>477</v>
      </c>
      <c r="K53082" s="18"/>
    </row>
    <row r="53083">
      <c r="B53083" s="17" t="s">
        <v>477</v>
      </c>
      <c r="K53083" s="18"/>
    </row>
    <row r="53084">
      <c r="B53084" s="17" t="s">
        <v>477</v>
      </c>
      <c r="K53084" s="18"/>
    </row>
    <row r="53085">
      <c r="B53085" s="17" t="s">
        <v>477</v>
      </c>
      <c r="K53085" s="18"/>
    </row>
    <row r="53086">
      <c r="B53086" s="17" t="s">
        <v>477</v>
      </c>
      <c r="K53086" s="18"/>
    </row>
    <row r="53087">
      <c r="B53087" s="17" t="s">
        <v>477</v>
      </c>
      <c r="K53087" s="18"/>
    </row>
    <row r="53088">
      <c r="B53088" s="17" t="s">
        <v>477</v>
      </c>
      <c r="K53088" s="18"/>
    </row>
    <row r="53089">
      <c r="B53089" s="17" t="s">
        <v>477</v>
      </c>
      <c r="K53089" s="18"/>
    </row>
    <row r="53090">
      <c r="B53090" s="17" t="s">
        <v>477</v>
      </c>
      <c r="K53090" s="18"/>
    </row>
    <row r="53091">
      <c r="B53091" s="17" t="s">
        <v>477</v>
      </c>
      <c r="K53091" s="18"/>
    </row>
    <row r="53092">
      <c r="B53092" s="17" t="s">
        <v>477</v>
      </c>
      <c r="K53092" s="18"/>
    </row>
    <row r="53093">
      <c r="B53093" s="17" t="s">
        <v>477</v>
      </c>
      <c r="K53093" s="18"/>
    </row>
    <row r="53094">
      <c r="B53094" s="17" t="s">
        <v>477</v>
      </c>
      <c r="K53094" s="18"/>
    </row>
    <row r="53095">
      <c r="B53095" s="17" t="s">
        <v>477</v>
      </c>
      <c r="K53095" s="18"/>
    </row>
    <row r="53096">
      <c r="B53096" s="17" t="s">
        <v>477</v>
      </c>
      <c r="K53096" s="18"/>
    </row>
    <row r="53097">
      <c r="B53097" s="17" t="s">
        <v>477</v>
      </c>
      <c r="K53097" s="18"/>
    </row>
    <row r="53098">
      <c r="B53098" s="17" t="s">
        <v>477</v>
      </c>
      <c r="K53098" s="18"/>
    </row>
    <row r="53099">
      <c r="B53099" s="17" t="s">
        <v>477</v>
      </c>
      <c r="K53099" s="18"/>
    </row>
    <row r="53100">
      <c r="B53100" s="17" t="s">
        <v>477</v>
      </c>
      <c r="K53100" s="18"/>
    </row>
    <row r="53101">
      <c r="B53101" s="17" t="s">
        <v>477</v>
      </c>
      <c r="K53101" s="18"/>
    </row>
    <row r="53102">
      <c r="B53102" s="17" t="s">
        <v>477</v>
      </c>
      <c r="K53102" s="18"/>
    </row>
    <row r="53103">
      <c r="B53103" s="17" t="s">
        <v>477</v>
      </c>
      <c r="K53103" s="18"/>
    </row>
    <row r="53104">
      <c r="B53104" s="17" t="s">
        <v>477</v>
      </c>
      <c r="K53104" s="18"/>
    </row>
    <row r="53105">
      <c r="B53105" s="17" t="s">
        <v>477</v>
      </c>
      <c r="K53105" s="18"/>
    </row>
    <row r="53106">
      <c r="B53106" s="17" t="s">
        <v>477</v>
      </c>
      <c r="K53106" s="18"/>
    </row>
    <row r="53107">
      <c r="B53107" s="17" t="s">
        <v>477</v>
      </c>
      <c r="K53107" s="18"/>
    </row>
    <row r="53108">
      <c r="B53108" s="17" t="s">
        <v>477</v>
      </c>
      <c r="K53108" s="18"/>
    </row>
    <row r="53109">
      <c r="B53109" s="17" t="s">
        <v>477</v>
      </c>
      <c r="K53109" s="18"/>
    </row>
    <row r="53110">
      <c r="B53110" s="17" t="s">
        <v>477</v>
      </c>
      <c r="K53110" s="18"/>
    </row>
    <row r="53111">
      <c r="B53111" s="17" t="s">
        <v>477</v>
      </c>
      <c r="K53111" s="18"/>
    </row>
    <row r="53112">
      <c r="B53112" s="17" t="s">
        <v>477</v>
      </c>
      <c r="K53112" s="18"/>
    </row>
    <row r="53113">
      <c r="B53113" s="17" t="s">
        <v>477</v>
      </c>
      <c r="K53113" s="18"/>
    </row>
    <row r="53114">
      <c r="B53114" s="17" t="s">
        <v>477</v>
      </c>
      <c r="K53114" s="18"/>
    </row>
    <row r="53115">
      <c r="B53115" s="17" t="s">
        <v>477</v>
      </c>
      <c r="K53115" s="18"/>
    </row>
    <row r="53116">
      <c r="B53116" s="17" t="s">
        <v>477</v>
      </c>
      <c r="K53116" s="18"/>
    </row>
    <row r="53117">
      <c r="B53117" s="17" t="s">
        <v>477</v>
      </c>
      <c r="K53117" s="18"/>
    </row>
    <row r="53118">
      <c r="B53118" s="17" t="s">
        <v>477</v>
      </c>
      <c r="K53118" s="18"/>
    </row>
    <row r="53119">
      <c r="B53119" s="17" t="s">
        <v>477</v>
      </c>
      <c r="K53119" s="18"/>
    </row>
    <row r="53120">
      <c r="B53120" s="17" t="s">
        <v>477</v>
      </c>
      <c r="K53120" s="18"/>
    </row>
    <row r="53121">
      <c r="B53121" s="17" t="s">
        <v>477</v>
      </c>
      <c r="K53121" s="18"/>
    </row>
    <row r="53122">
      <c r="B53122" s="17" t="s">
        <v>477</v>
      </c>
      <c r="K53122" s="18"/>
    </row>
    <row r="53123">
      <c r="B53123" s="17" t="s">
        <v>477</v>
      </c>
      <c r="K53123" s="18"/>
    </row>
    <row r="53124">
      <c r="B53124" s="17" t="s">
        <v>477</v>
      </c>
      <c r="K53124" s="18"/>
    </row>
    <row r="53125">
      <c r="B53125" s="17" t="s">
        <v>477</v>
      </c>
      <c r="K53125" s="18"/>
    </row>
    <row r="53126">
      <c r="B53126" s="17" t="s">
        <v>477</v>
      </c>
      <c r="K53126" s="18"/>
    </row>
    <row r="53127">
      <c r="B53127" s="17" t="s">
        <v>477</v>
      </c>
      <c r="K53127" s="18"/>
    </row>
    <row r="53128">
      <c r="B53128" s="17" t="s">
        <v>477</v>
      </c>
      <c r="K53128" s="18"/>
    </row>
    <row r="53129">
      <c r="B53129" s="17" t="s">
        <v>477</v>
      </c>
      <c r="K53129" s="18"/>
    </row>
    <row r="53130">
      <c r="B53130" s="17" t="s">
        <v>477</v>
      </c>
      <c r="K53130" s="18"/>
    </row>
    <row r="53131">
      <c r="B53131" s="17" t="s">
        <v>477</v>
      </c>
      <c r="K53131" s="18"/>
    </row>
    <row r="53132">
      <c r="B53132" s="17" t="s">
        <v>477</v>
      </c>
      <c r="K53132" s="18"/>
    </row>
    <row r="53133">
      <c r="B53133" s="17" t="s">
        <v>477</v>
      </c>
      <c r="K53133" s="18"/>
    </row>
    <row r="53134">
      <c r="B53134" s="17" t="s">
        <v>477</v>
      </c>
      <c r="K53134" s="18"/>
    </row>
    <row r="53135">
      <c r="B53135" s="17" t="s">
        <v>477</v>
      </c>
      <c r="K53135" s="18"/>
    </row>
    <row r="53136">
      <c r="B53136" s="17" t="s">
        <v>477</v>
      </c>
      <c r="K53136" s="18"/>
    </row>
    <row r="53137">
      <c r="B53137" s="17" t="s">
        <v>477</v>
      </c>
      <c r="K53137" s="18"/>
    </row>
    <row r="53138">
      <c r="B53138" s="17" t="s">
        <v>477</v>
      </c>
      <c r="K53138" s="18"/>
    </row>
    <row r="53139">
      <c r="B53139" s="17" t="s">
        <v>477</v>
      </c>
      <c r="K53139" s="18"/>
    </row>
    <row r="53140">
      <c r="B53140" s="17" t="s">
        <v>477</v>
      </c>
      <c r="K53140" s="18"/>
    </row>
    <row r="53141">
      <c r="B53141" s="17" t="s">
        <v>477</v>
      </c>
      <c r="K53141" s="18"/>
    </row>
    <row r="53142">
      <c r="B53142" s="17" t="s">
        <v>477</v>
      </c>
      <c r="K53142" s="18"/>
    </row>
    <row r="53143">
      <c r="B53143" s="17" t="s">
        <v>477</v>
      </c>
      <c r="K53143" s="18"/>
    </row>
    <row r="53144">
      <c r="B53144" s="17" t="s">
        <v>477</v>
      </c>
      <c r="K53144" s="18"/>
    </row>
    <row r="53145">
      <c r="B53145" s="17" t="s">
        <v>477</v>
      </c>
      <c r="K53145" s="18"/>
    </row>
    <row r="53146">
      <c r="B53146" s="17" t="s">
        <v>477</v>
      </c>
      <c r="K53146" s="18"/>
    </row>
    <row r="53147">
      <c r="B53147" s="17" t="s">
        <v>477</v>
      </c>
      <c r="K53147" s="18"/>
    </row>
    <row r="53148">
      <c r="B53148" s="17" t="s">
        <v>477</v>
      </c>
      <c r="K53148" s="18"/>
    </row>
    <row r="53149">
      <c r="B53149" s="17" t="s">
        <v>477</v>
      </c>
      <c r="K53149" s="18"/>
    </row>
    <row r="53150">
      <c r="B53150" s="17" t="s">
        <v>477</v>
      </c>
      <c r="K53150" s="18"/>
    </row>
    <row r="53151">
      <c r="B53151" s="17" t="s">
        <v>477</v>
      </c>
      <c r="K53151" s="18"/>
    </row>
    <row r="53152">
      <c r="B53152" s="17" t="s">
        <v>477</v>
      </c>
      <c r="K53152" s="18"/>
    </row>
    <row r="53153">
      <c r="B53153" s="17" t="s">
        <v>477</v>
      </c>
      <c r="K53153" s="18"/>
    </row>
    <row r="53154">
      <c r="B53154" s="17" t="s">
        <v>477</v>
      </c>
      <c r="K53154" s="18"/>
    </row>
    <row r="53155">
      <c r="B53155" s="17" t="s">
        <v>477</v>
      </c>
      <c r="K53155" s="18"/>
    </row>
    <row r="53156">
      <c r="B53156" s="17" t="s">
        <v>477</v>
      </c>
      <c r="K53156" s="18"/>
    </row>
    <row r="53157">
      <c r="B53157" s="17" t="s">
        <v>477</v>
      </c>
      <c r="K53157" s="18"/>
    </row>
    <row r="53158">
      <c r="B53158" s="17" t="s">
        <v>477</v>
      </c>
      <c r="K53158" s="18"/>
    </row>
    <row r="53159">
      <c r="B53159" s="17" t="s">
        <v>477</v>
      </c>
      <c r="K53159" s="18"/>
    </row>
    <row r="53160">
      <c r="B53160" s="17" t="s">
        <v>477</v>
      </c>
      <c r="K53160" s="18"/>
    </row>
    <row r="53161">
      <c r="B53161" s="17" t="s">
        <v>477</v>
      </c>
      <c r="K53161" s="18"/>
    </row>
    <row r="53162">
      <c r="B53162" s="17" t="s">
        <v>477</v>
      </c>
      <c r="K53162" s="18"/>
    </row>
    <row r="53163">
      <c r="B53163" s="17" t="s">
        <v>477</v>
      </c>
      <c r="K53163" s="18"/>
    </row>
    <row r="53164">
      <c r="B53164" s="17" t="s">
        <v>477</v>
      </c>
      <c r="K53164" s="18"/>
    </row>
    <row r="53165">
      <c r="B53165" s="17" t="s">
        <v>477</v>
      </c>
      <c r="K53165" s="18"/>
    </row>
    <row r="53166">
      <c r="B53166" s="17" t="s">
        <v>477</v>
      </c>
      <c r="K53166" s="18"/>
    </row>
    <row r="53167">
      <c r="B53167" s="17" t="s">
        <v>477</v>
      </c>
      <c r="K53167" s="18"/>
    </row>
    <row r="53168">
      <c r="B53168" s="17" t="s">
        <v>477</v>
      </c>
      <c r="K53168" s="18"/>
    </row>
    <row r="53169">
      <c r="B53169" s="17" t="s">
        <v>477</v>
      </c>
      <c r="K53169" s="18"/>
    </row>
    <row r="53170">
      <c r="B53170" s="17" t="s">
        <v>477</v>
      </c>
      <c r="K53170" s="18"/>
    </row>
    <row r="53171">
      <c r="B53171" s="17" t="s">
        <v>477</v>
      </c>
      <c r="K53171" s="18"/>
    </row>
    <row r="53172">
      <c r="B53172" s="17" t="s">
        <v>477</v>
      </c>
      <c r="K53172" s="18"/>
    </row>
    <row r="53173">
      <c r="B53173" s="17" t="s">
        <v>477</v>
      </c>
      <c r="K53173" s="18"/>
    </row>
    <row r="53174">
      <c r="B53174" s="17" t="s">
        <v>477</v>
      </c>
      <c r="K53174" s="18"/>
    </row>
    <row r="53175">
      <c r="B53175" s="17" t="s">
        <v>477</v>
      </c>
      <c r="K53175" s="18"/>
    </row>
    <row r="53176">
      <c r="B53176" s="17" t="s">
        <v>477</v>
      </c>
      <c r="K53176" s="18"/>
    </row>
    <row r="53177">
      <c r="B53177" s="17" t="s">
        <v>477</v>
      </c>
      <c r="K53177" s="18"/>
    </row>
    <row r="53178">
      <c r="B53178" s="17" t="s">
        <v>477</v>
      </c>
      <c r="K53178" s="18"/>
    </row>
    <row r="53179">
      <c r="B53179" s="17" t="s">
        <v>477</v>
      </c>
      <c r="K53179" s="18"/>
    </row>
    <row r="53180">
      <c r="B53180" s="17" t="s">
        <v>477</v>
      </c>
      <c r="K53180" s="18"/>
    </row>
    <row r="53181">
      <c r="B53181" s="17" t="s">
        <v>477</v>
      </c>
      <c r="K53181" s="18"/>
    </row>
    <row r="53182">
      <c r="B53182" s="17" t="s">
        <v>477</v>
      </c>
      <c r="K53182" s="18"/>
    </row>
    <row r="53183">
      <c r="B53183" s="17" t="s">
        <v>477</v>
      </c>
      <c r="K53183" s="18"/>
    </row>
    <row r="53184">
      <c r="B53184" s="17" t="s">
        <v>477</v>
      </c>
      <c r="K53184" s="18"/>
    </row>
    <row r="53185">
      <c r="B53185" s="17" t="s">
        <v>477</v>
      </c>
      <c r="K53185" s="18"/>
    </row>
    <row r="53186">
      <c r="B53186" s="17" t="s">
        <v>477</v>
      </c>
      <c r="K53186" s="18"/>
    </row>
    <row r="53187">
      <c r="B53187" s="17" t="s">
        <v>477</v>
      </c>
      <c r="K53187" s="18"/>
    </row>
    <row r="53188">
      <c r="B53188" s="17" t="s">
        <v>477</v>
      </c>
      <c r="K53188" s="18"/>
    </row>
    <row r="53189">
      <c r="B53189" s="17" t="s">
        <v>477</v>
      </c>
      <c r="K53189" s="18"/>
    </row>
    <row r="53190">
      <c r="B53190" s="17" t="s">
        <v>477</v>
      </c>
      <c r="K53190" s="18"/>
    </row>
    <row r="53191">
      <c r="B53191" s="17" t="s">
        <v>477</v>
      </c>
      <c r="K53191" s="18"/>
    </row>
    <row r="53192">
      <c r="B53192" s="17" t="s">
        <v>477</v>
      </c>
      <c r="K53192" s="18"/>
    </row>
    <row r="53193">
      <c r="B53193" s="17" t="s">
        <v>477</v>
      </c>
      <c r="K53193" s="18"/>
    </row>
    <row r="53194">
      <c r="B53194" s="17" t="s">
        <v>477</v>
      </c>
      <c r="K53194" s="18"/>
    </row>
    <row r="53195">
      <c r="B53195" s="17" t="s">
        <v>477</v>
      </c>
      <c r="K53195" s="18"/>
    </row>
    <row r="53196">
      <c r="B53196" s="17" t="s">
        <v>477</v>
      </c>
      <c r="K53196" s="18"/>
    </row>
    <row r="53197">
      <c r="B53197" s="17" t="s">
        <v>477</v>
      </c>
      <c r="K53197" s="18"/>
    </row>
    <row r="53198">
      <c r="B53198" s="17" t="s">
        <v>477</v>
      </c>
      <c r="K53198" s="18"/>
    </row>
    <row r="53199">
      <c r="B53199" s="17" t="s">
        <v>477</v>
      </c>
      <c r="K53199" s="18"/>
    </row>
    <row r="53200">
      <c r="B53200" s="17" t="s">
        <v>477</v>
      </c>
      <c r="K53200" s="18"/>
    </row>
    <row r="53201">
      <c r="B53201" s="17" t="s">
        <v>477</v>
      </c>
      <c r="K53201" s="18"/>
    </row>
    <row r="53202">
      <c r="B53202" s="17" t="s">
        <v>477</v>
      </c>
      <c r="K53202" s="18"/>
    </row>
    <row r="53203">
      <c r="B53203" s="17" t="s">
        <v>477</v>
      </c>
      <c r="K53203" s="18"/>
    </row>
    <row r="53204">
      <c r="B53204" s="17" t="s">
        <v>477</v>
      </c>
      <c r="K53204" s="18"/>
    </row>
    <row r="53205">
      <c r="B53205" s="17" t="s">
        <v>477</v>
      </c>
      <c r="K53205" s="18"/>
    </row>
    <row r="53206">
      <c r="B53206" s="17" t="s">
        <v>477</v>
      </c>
      <c r="K53206" s="18"/>
    </row>
    <row r="53207">
      <c r="B53207" s="17" t="s">
        <v>477</v>
      </c>
      <c r="K53207" s="18"/>
    </row>
    <row r="53208">
      <c r="B53208" s="17" t="s">
        <v>477</v>
      </c>
      <c r="K53208" s="18"/>
    </row>
    <row r="53209">
      <c r="B53209" s="17" t="s">
        <v>477</v>
      </c>
      <c r="K53209" s="18"/>
    </row>
    <row r="53210">
      <c r="B53210" s="17" t="s">
        <v>477</v>
      </c>
      <c r="K53210" s="18"/>
    </row>
    <row r="53211">
      <c r="B53211" s="17" t="s">
        <v>477</v>
      </c>
      <c r="K53211" s="18"/>
    </row>
    <row r="53212">
      <c r="B53212" s="17" t="s">
        <v>477</v>
      </c>
      <c r="K53212" s="18"/>
    </row>
    <row r="53213">
      <c r="B53213" s="17" t="s">
        <v>477</v>
      </c>
      <c r="K53213" s="18"/>
    </row>
    <row r="53214">
      <c r="B53214" s="17" t="s">
        <v>477</v>
      </c>
      <c r="K53214" s="18"/>
    </row>
    <row r="53215">
      <c r="B53215" s="17" t="s">
        <v>477</v>
      </c>
      <c r="K53215" s="18"/>
    </row>
    <row r="53216">
      <c r="B53216" s="17" t="s">
        <v>477</v>
      </c>
      <c r="K53216" s="18"/>
    </row>
    <row r="53217">
      <c r="B53217" s="17" t="s">
        <v>477</v>
      </c>
      <c r="K53217" s="18"/>
    </row>
    <row r="53218">
      <c r="B53218" s="17" t="s">
        <v>477</v>
      </c>
      <c r="K53218" s="18"/>
    </row>
    <row r="53219">
      <c r="B53219" s="17" t="s">
        <v>477</v>
      </c>
      <c r="K53219" s="18"/>
    </row>
    <row r="53220">
      <c r="B53220" s="17" t="s">
        <v>477</v>
      </c>
      <c r="K53220" s="18"/>
    </row>
    <row r="53221">
      <c r="B53221" s="17" t="s">
        <v>477</v>
      </c>
      <c r="K53221" s="18"/>
    </row>
    <row r="53222">
      <c r="B53222" s="17" t="s">
        <v>477</v>
      </c>
      <c r="K53222" s="18"/>
    </row>
    <row r="53223">
      <c r="B53223" s="17" t="s">
        <v>477</v>
      </c>
      <c r="K53223" s="18"/>
    </row>
    <row r="53224">
      <c r="B53224" s="17" t="s">
        <v>477</v>
      </c>
      <c r="K53224" s="18"/>
    </row>
    <row r="53225">
      <c r="B53225" s="17" t="s">
        <v>477</v>
      </c>
      <c r="K53225" s="18"/>
    </row>
    <row r="53226">
      <c r="B53226" s="17" t="s">
        <v>477</v>
      </c>
      <c r="K53226" s="18"/>
    </row>
    <row r="53227">
      <c r="B53227" s="17" t="s">
        <v>477</v>
      </c>
      <c r="K53227" s="18"/>
    </row>
    <row r="53228">
      <c r="B53228" s="17" t="s">
        <v>477</v>
      </c>
      <c r="K53228" s="18"/>
    </row>
    <row r="53229">
      <c r="B53229" s="17" t="s">
        <v>477</v>
      </c>
      <c r="K53229" s="18"/>
    </row>
    <row r="53230">
      <c r="B53230" s="17" t="s">
        <v>477</v>
      </c>
      <c r="K53230" s="18"/>
    </row>
    <row r="53231">
      <c r="B53231" s="17" t="s">
        <v>477</v>
      </c>
      <c r="K53231" s="18"/>
    </row>
    <row r="53232">
      <c r="B53232" s="17" t="s">
        <v>477</v>
      </c>
      <c r="K53232" s="18"/>
    </row>
    <row r="53233">
      <c r="B53233" s="17" t="s">
        <v>477</v>
      </c>
      <c r="K53233" s="18"/>
    </row>
    <row r="53234">
      <c r="B53234" s="17" t="s">
        <v>477</v>
      </c>
      <c r="K53234" s="18"/>
    </row>
    <row r="53235">
      <c r="B53235" s="17" t="s">
        <v>477</v>
      </c>
      <c r="K53235" s="18"/>
    </row>
    <row r="53236">
      <c r="B53236" s="17" t="s">
        <v>477</v>
      </c>
      <c r="K53236" s="18"/>
    </row>
    <row r="53237">
      <c r="B53237" s="17" t="s">
        <v>477</v>
      </c>
      <c r="K53237" s="18"/>
    </row>
    <row r="53238">
      <c r="B53238" s="17" t="s">
        <v>477</v>
      </c>
      <c r="K53238" s="18"/>
    </row>
    <row r="53239">
      <c r="B53239" s="17" t="s">
        <v>477</v>
      </c>
      <c r="K53239" s="18"/>
    </row>
    <row r="53240">
      <c r="B53240" s="17" t="s">
        <v>477</v>
      </c>
      <c r="K53240" s="18"/>
    </row>
    <row r="53241">
      <c r="B53241" s="17" t="s">
        <v>477</v>
      </c>
      <c r="K53241" s="18"/>
    </row>
    <row r="53242">
      <c r="B53242" s="17" t="s">
        <v>477</v>
      </c>
      <c r="K53242" s="18"/>
    </row>
    <row r="53243">
      <c r="B53243" s="17" t="s">
        <v>477</v>
      </c>
      <c r="K53243" s="18"/>
    </row>
    <row r="53244">
      <c r="B53244" s="17" t="s">
        <v>477</v>
      </c>
      <c r="K53244" s="18"/>
    </row>
    <row r="53245">
      <c r="B53245" s="17" t="s">
        <v>477</v>
      </c>
      <c r="K53245" s="18"/>
    </row>
    <row r="53246">
      <c r="B53246" s="17" t="s">
        <v>477</v>
      </c>
      <c r="K53246" s="18"/>
    </row>
    <row r="53247">
      <c r="B53247" s="17" t="s">
        <v>477</v>
      </c>
      <c r="K53247" s="18"/>
    </row>
    <row r="53248">
      <c r="B53248" s="17" t="s">
        <v>477</v>
      </c>
      <c r="K53248" s="18"/>
    </row>
    <row r="53249">
      <c r="B53249" s="17" t="s">
        <v>477</v>
      </c>
      <c r="K53249" s="18"/>
    </row>
    <row r="53250">
      <c r="B53250" s="17" t="s">
        <v>477</v>
      </c>
      <c r="K53250" s="18"/>
    </row>
    <row r="53251">
      <c r="B53251" s="17" t="s">
        <v>477</v>
      </c>
      <c r="K53251" s="18"/>
    </row>
    <row r="53252">
      <c r="B53252" s="17" t="s">
        <v>477</v>
      </c>
      <c r="K53252" s="18"/>
    </row>
    <row r="53253">
      <c r="B53253" s="17" t="s">
        <v>477</v>
      </c>
      <c r="K53253" s="18"/>
    </row>
    <row r="53254">
      <c r="B53254" s="17" t="s">
        <v>477</v>
      </c>
      <c r="K53254" s="18"/>
    </row>
    <row r="53255">
      <c r="B53255" s="17" t="s">
        <v>477</v>
      </c>
      <c r="K53255" s="18"/>
    </row>
    <row r="53256">
      <c r="B53256" s="17" t="s">
        <v>477</v>
      </c>
      <c r="K53256" s="18"/>
    </row>
    <row r="53257">
      <c r="B53257" s="17" t="s">
        <v>477</v>
      </c>
      <c r="K53257" s="18"/>
    </row>
    <row r="53258">
      <c r="B53258" s="17" t="s">
        <v>477</v>
      </c>
      <c r="K53258" s="18"/>
    </row>
    <row r="53259">
      <c r="B53259" s="17" t="s">
        <v>477</v>
      </c>
      <c r="K53259" s="18"/>
    </row>
    <row r="53260">
      <c r="B53260" s="17" t="s">
        <v>477</v>
      </c>
      <c r="K53260" s="18"/>
    </row>
    <row r="53261">
      <c r="B53261" s="17" t="s">
        <v>477</v>
      </c>
      <c r="K53261" s="18"/>
    </row>
    <row r="53262">
      <c r="B53262" s="17" t="s">
        <v>477</v>
      </c>
      <c r="K53262" s="18"/>
    </row>
    <row r="53263">
      <c r="B53263" s="17" t="s">
        <v>477</v>
      </c>
      <c r="K53263" s="18"/>
    </row>
    <row r="53264">
      <c r="B53264" s="17" t="s">
        <v>477</v>
      </c>
      <c r="K53264" s="18"/>
    </row>
    <row r="53265">
      <c r="B53265" s="17" t="s">
        <v>477</v>
      </c>
      <c r="K53265" s="18"/>
    </row>
    <row r="53266">
      <c r="B53266" s="17" t="s">
        <v>477</v>
      </c>
      <c r="K53266" s="18"/>
    </row>
    <row r="53267">
      <c r="B53267" s="17" t="s">
        <v>477</v>
      </c>
      <c r="K53267" s="18"/>
    </row>
    <row r="53268">
      <c r="B53268" s="17" t="s">
        <v>477</v>
      </c>
      <c r="K53268" s="18"/>
    </row>
    <row r="53269">
      <c r="B53269" s="17" t="s">
        <v>477</v>
      </c>
      <c r="K53269" s="18"/>
    </row>
    <row r="53270">
      <c r="B53270" s="17" t="s">
        <v>477</v>
      </c>
      <c r="K53270" s="18"/>
    </row>
    <row r="53271">
      <c r="B53271" s="17" t="s">
        <v>477</v>
      </c>
      <c r="K53271" s="18"/>
    </row>
    <row r="53272">
      <c r="B53272" s="17" t="s">
        <v>477</v>
      </c>
      <c r="K53272" s="18"/>
    </row>
    <row r="53273">
      <c r="B53273" s="17" t="s">
        <v>477</v>
      </c>
      <c r="K53273" s="18"/>
    </row>
    <row r="53274">
      <c r="B53274" s="17" t="s">
        <v>477</v>
      </c>
      <c r="K53274" s="18"/>
    </row>
    <row r="53275">
      <c r="B53275" s="17" t="s">
        <v>477</v>
      </c>
      <c r="K53275" s="18"/>
    </row>
    <row r="53276">
      <c r="B53276" s="17" t="s">
        <v>477</v>
      </c>
      <c r="K53276" s="18"/>
    </row>
    <row r="53277">
      <c r="B53277" s="17" t="s">
        <v>477</v>
      </c>
      <c r="K53277" s="18"/>
    </row>
    <row r="53278">
      <c r="B53278" s="17" t="s">
        <v>477</v>
      </c>
      <c r="K53278" s="18"/>
    </row>
    <row r="53279">
      <c r="B53279" s="17" t="s">
        <v>477</v>
      </c>
      <c r="K53279" s="18"/>
    </row>
    <row r="53280">
      <c r="B53280" s="17" t="s">
        <v>477</v>
      </c>
      <c r="K53280" s="18"/>
    </row>
    <row r="53281">
      <c r="B53281" s="17" t="s">
        <v>477</v>
      </c>
      <c r="K53281" s="18"/>
    </row>
    <row r="53282">
      <c r="B53282" s="17" t="s">
        <v>477</v>
      </c>
      <c r="K53282" s="18"/>
    </row>
    <row r="53283">
      <c r="B53283" s="17" t="s">
        <v>477</v>
      </c>
      <c r="K53283" s="18"/>
    </row>
    <row r="53284">
      <c r="B53284" s="17" t="s">
        <v>477</v>
      </c>
      <c r="K53284" s="18"/>
    </row>
    <row r="53285">
      <c r="B53285" s="17" t="s">
        <v>477</v>
      </c>
      <c r="K53285" s="18"/>
    </row>
    <row r="53286">
      <c r="B53286" s="17" t="s">
        <v>477</v>
      </c>
      <c r="K53286" s="18"/>
    </row>
    <row r="53287">
      <c r="B53287" s="17" t="s">
        <v>477</v>
      </c>
      <c r="K53287" s="18"/>
    </row>
    <row r="53288">
      <c r="B53288" s="17" t="s">
        <v>477</v>
      </c>
      <c r="K53288" s="18"/>
    </row>
    <row r="53289">
      <c r="B53289" s="17" t="s">
        <v>477</v>
      </c>
      <c r="K53289" s="18"/>
    </row>
    <row r="53290">
      <c r="B53290" s="17" t="s">
        <v>477</v>
      </c>
      <c r="K53290" s="18"/>
    </row>
    <row r="53291">
      <c r="B53291" s="17" t="s">
        <v>477</v>
      </c>
      <c r="K53291" s="18"/>
    </row>
    <row r="53292">
      <c r="B53292" s="17" t="s">
        <v>477</v>
      </c>
      <c r="K53292" s="18"/>
    </row>
    <row r="53293">
      <c r="B53293" s="17" t="s">
        <v>477</v>
      </c>
      <c r="K53293" s="18"/>
    </row>
    <row r="53294">
      <c r="B53294" s="17" t="s">
        <v>477</v>
      </c>
      <c r="K53294" s="18"/>
    </row>
    <row r="53295">
      <c r="B53295" s="17" t="s">
        <v>477</v>
      </c>
      <c r="K53295" s="18"/>
    </row>
    <row r="53296">
      <c r="B53296" s="17" t="s">
        <v>477</v>
      </c>
      <c r="K53296" s="18"/>
    </row>
    <row r="53297">
      <c r="B53297" s="17" t="s">
        <v>477</v>
      </c>
      <c r="K53297" s="18"/>
    </row>
    <row r="53298">
      <c r="B53298" s="17" t="s">
        <v>477</v>
      </c>
      <c r="K53298" s="18"/>
    </row>
    <row r="53299">
      <c r="B53299" s="17" t="s">
        <v>477</v>
      </c>
      <c r="K53299" s="18"/>
    </row>
    <row r="53300">
      <c r="B53300" s="17" t="s">
        <v>477</v>
      </c>
      <c r="K53300" s="18"/>
    </row>
    <row r="53301">
      <c r="B53301" s="17" t="s">
        <v>477</v>
      </c>
      <c r="K53301" s="18"/>
    </row>
    <row r="53302">
      <c r="B53302" s="17" t="s">
        <v>477</v>
      </c>
      <c r="K53302" s="18"/>
    </row>
    <row r="53303">
      <c r="B53303" s="17" t="s">
        <v>477</v>
      </c>
      <c r="K53303" s="18"/>
    </row>
    <row r="53304">
      <c r="B53304" s="17" t="s">
        <v>477</v>
      </c>
      <c r="K53304" s="18"/>
    </row>
    <row r="53305">
      <c r="B53305" s="17" t="s">
        <v>477</v>
      </c>
      <c r="K53305" s="18"/>
    </row>
    <row r="53306">
      <c r="B53306" s="17" t="s">
        <v>477</v>
      </c>
      <c r="K53306" s="18"/>
    </row>
    <row r="53307">
      <c r="B53307" s="17" t="s">
        <v>477</v>
      </c>
      <c r="K53307" s="18"/>
    </row>
    <row r="53308">
      <c r="B53308" s="17" t="s">
        <v>477</v>
      </c>
      <c r="K53308" s="18"/>
    </row>
    <row r="53309">
      <c r="B53309" s="17" t="s">
        <v>477</v>
      </c>
      <c r="K53309" s="18"/>
    </row>
    <row r="53310">
      <c r="B53310" s="17" t="s">
        <v>477</v>
      </c>
      <c r="K53310" s="18"/>
    </row>
    <row r="53311">
      <c r="B53311" s="17" t="s">
        <v>477</v>
      </c>
      <c r="K53311" s="18"/>
    </row>
    <row r="53312">
      <c r="B53312" s="17" t="s">
        <v>477</v>
      </c>
      <c r="K53312" s="18"/>
    </row>
    <row r="53313">
      <c r="B53313" s="17" t="s">
        <v>477</v>
      </c>
      <c r="K53313" s="18"/>
    </row>
    <row r="53314">
      <c r="B53314" s="17" t="s">
        <v>477</v>
      </c>
      <c r="K53314" s="18"/>
    </row>
    <row r="53315">
      <c r="B53315" s="17" t="s">
        <v>477</v>
      </c>
      <c r="K53315" s="18"/>
    </row>
    <row r="53316">
      <c r="B53316" s="17" t="s">
        <v>477</v>
      </c>
      <c r="K53316" s="18"/>
    </row>
    <row r="53317">
      <c r="B53317" s="17" t="s">
        <v>477</v>
      </c>
      <c r="K53317" s="18"/>
    </row>
    <row r="53318">
      <c r="B53318" s="17" t="s">
        <v>477</v>
      </c>
      <c r="K53318" s="18"/>
    </row>
    <row r="53319">
      <c r="B53319" s="17" t="s">
        <v>477</v>
      </c>
      <c r="K53319" s="18"/>
    </row>
    <row r="53320">
      <c r="B53320" s="17" t="s">
        <v>477</v>
      </c>
      <c r="K53320" s="18"/>
    </row>
    <row r="53321">
      <c r="B53321" s="17" t="s">
        <v>477</v>
      </c>
      <c r="K53321" s="18"/>
    </row>
    <row r="53322">
      <c r="B53322" s="17" t="s">
        <v>477</v>
      </c>
      <c r="K53322" s="18"/>
    </row>
    <row r="53323">
      <c r="B53323" s="17" t="s">
        <v>477</v>
      </c>
      <c r="K53323" s="18"/>
    </row>
    <row r="53324">
      <c r="B53324" s="17" t="s">
        <v>477</v>
      </c>
      <c r="K53324" s="18"/>
    </row>
    <row r="53325">
      <c r="B53325" s="17" t="s">
        <v>477</v>
      </c>
      <c r="K53325" s="18"/>
    </row>
    <row r="53326">
      <c r="B53326" s="17" t="s">
        <v>477</v>
      </c>
      <c r="K53326" s="18"/>
    </row>
    <row r="53327">
      <c r="B53327" s="17" t="s">
        <v>477</v>
      </c>
      <c r="K53327" s="18"/>
    </row>
    <row r="53328">
      <c r="B53328" s="17" t="s">
        <v>477</v>
      </c>
      <c r="K53328" s="18"/>
    </row>
    <row r="53329">
      <c r="B53329" s="17" t="s">
        <v>477</v>
      </c>
      <c r="K53329" s="18"/>
    </row>
    <row r="53330">
      <c r="B53330" s="17" t="s">
        <v>477</v>
      </c>
      <c r="K53330" s="18"/>
    </row>
    <row r="53331">
      <c r="B53331" s="17" t="s">
        <v>477</v>
      </c>
      <c r="K53331" s="18"/>
    </row>
    <row r="53332">
      <c r="B53332" s="17" t="s">
        <v>477</v>
      </c>
      <c r="K53332" s="18"/>
    </row>
    <row r="53333">
      <c r="B53333" s="17" t="s">
        <v>477</v>
      </c>
      <c r="K53333" s="18"/>
    </row>
    <row r="53334">
      <c r="B53334" s="17" t="s">
        <v>477</v>
      </c>
      <c r="K53334" s="18"/>
    </row>
    <row r="53335">
      <c r="B53335" s="17" t="s">
        <v>477</v>
      </c>
      <c r="K53335" s="18"/>
    </row>
    <row r="53336">
      <c r="B53336" s="17" t="s">
        <v>477</v>
      </c>
      <c r="K53336" s="18"/>
    </row>
    <row r="53337">
      <c r="B53337" s="17" t="s">
        <v>477</v>
      </c>
      <c r="K53337" s="18"/>
    </row>
    <row r="53338">
      <c r="B53338" s="17" t="s">
        <v>477</v>
      </c>
      <c r="K53338" s="18"/>
    </row>
    <row r="53339">
      <c r="B53339" s="17" t="s">
        <v>477</v>
      </c>
      <c r="K53339" s="18"/>
    </row>
    <row r="53340">
      <c r="B53340" s="17" t="s">
        <v>477</v>
      </c>
      <c r="K53340" s="18"/>
    </row>
    <row r="53341">
      <c r="B53341" s="17" t="s">
        <v>477</v>
      </c>
      <c r="K53341" s="18"/>
    </row>
    <row r="53342">
      <c r="B53342" s="17" t="s">
        <v>477</v>
      </c>
      <c r="K53342" s="18"/>
    </row>
    <row r="53343">
      <c r="B53343" s="17" t="s">
        <v>477</v>
      </c>
      <c r="K53343" s="18"/>
    </row>
    <row r="53344">
      <c r="B53344" s="17" t="s">
        <v>477</v>
      </c>
      <c r="K53344" s="18"/>
    </row>
    <row r="53345">
      <c r="B53345" s="17" t="s">
        <v>477</v>
      </c>
      <c r="K53345" s="18"/>
    </row>
    <row r="53346">
      <c r="B53346" s="17" t="s">
        <v>477</v>
      </c>
      <c r="K53346" s="18"/>
    </row>
    <row r="53347">
      <c r="B53347" s="17" t="s">
        <v>477</v>
      </c>
      <c r="K53347" s="18"/>
    </row>
    <row r="53348">
      <c r="B53348" s="17" t="s">
        <v>477</v>
      </c>
      <c r="K53348" s="18"/>
    </row>
    <row r="53349">
      <c r="B53349" s="17" t="s">
        <v>477</v>
      </c>
      <c r="K53349" s="18"/>
    </row>
    <row r="53350">
      <c r="B53350" s="17" t="s">
        <v>477</v>
      </c>
      <c r="K53350" s="18"/>
    </row>
    <row r="53351">
      <c r="B53351" s="17" t="s">
        <v>477</v>
      </c>
      <c r="K53351" s="18"/>
    </row>
    <row r="53352">
      <c r="B53352" s="17" t="s">
        <v>477</v>
      </c>
      <c r="K53352" s="18"/>
    </row>
    <row r="53353">
      <c r="B53353" s="17" t="s">
        <v>477</v>
      </c>
      <c r="K53353" s="18"/>
    </row>
    <row r="53354">
      <c r="B53354" s="17" t="s">
        <v>477</v>
      </c>
      <c r="K53354" s="18"/>
    </row>
    <row r="53355">
      <c r="B53355" s="17" t="s">
        <v>477</v>
      </c>
      <c r="K53355" s="18"/>
    </row>
    <row r="53356">
      <c r="B53356" s="17" t="s">
        <v>477</v>
      </c>
      <c r="K53356" s="18"/>
    </row>
    <row r="53357">
      <c r="B53357" s="17" t="s">
        <v>477</v>
      </c>
      <c r="K53357" s="18"/>
    </row>
    <row r="53358">
      <c r="B53358" s="17" t="s">
        <v>477</v>
      </c>
      <c r="K53358" s="18"/>
    </row>
    <row r="53359">
      <c r="B53359" s="17" t="s">
        <v>477</v>
      </c>
      <c r="K53359" s="18"/>
    </row>
    <row r="53360">
      <c r="B53360" s="17" t="s">
        <v>477</v>
      </c>
      <c r="K53360" s="18"/>
    </row>
    <row r="53361">
      <c r="B53361" s="17" t="s">
        <v>477</v>
      </c>
      <c r="K53361" s="18"/>
    </row>
    <row r="53362">
      <c r="B53362" s="17" t="s">
        <v>477</v>
      </c>
      <c r="K53362" s="18"/>
    </row>
    <row r="53363">
      <c r="B53363" s="17" t="s">
        <v>477</v>
      </c>
      <c r="K53363" s="18"/>
    </row>
    <row r="53364">
      <c r="B53364" s="17" t="s">
        <v>477</v>
      </c>
      <c r="K53364" s="18"/>
    </row>
    <row r="53365">
      <c r="B53365" s="17" t="s">
        <v>477</v>
      </c>
      <c r="K53365" s="18"/>
    </row>
    <row r="53366">
      <c r="B53366" s="17" t="s">
        <v>477</v>
      </c>
      <c r="K53366" s="18"/>
    </row>
    <row r="53367">
      <c r="B53367" s="17" t="s">
        <v>477</v>
      </c>
      <c r="K53367" s="18"/>
    </row>
    <row r="53368">
      <c r="B53368" s="17" t="s">
        <v>477</v>
      </c>
      <c r="K53368" s="18"/>
    </row>
    <row r="53369">
      <c r="B53369" s="17" t="s">
        <v>477</v>
      </c>
      <c r="K53369" s="18"/>
    </row>
    <row r="53370">
      <c r="B53370" s="17" t="s">
        <v>477</v>
      </c>
      <c r="K53370" s="18"/>
    </row>
    <row r="53371">
      <c r="B53371" s="17" t="s">
        <v>477</v>
      </c>
      <c r="K53371" s="18"/>
    </row>
    <row r="53372">
      <c r="B53372" s="17" t="s">
        <v>477</v>
      </c>
      <c r="K53372" s="18"/>
    </row>
    <row r="53373">
      <c r="B53373" s="17" t="s">
        <v>477</v>
      </c>
      <c r="K53373" s="18"/>
    </row>
    <row r="53374">
      <c r="B53374" s="17" t="s">
        <v>477</v>
      </c>
      <c r="K53374" s="18"/>
    </row>
    <row r="53375">
      <c r="B53375" s="17" t="s">
        <v>477</v>
      </c>
      <c r="K53375" s="18"/>
    </row>
    <row r="53376">
      <c r="B53376" s="17" t="s">
        <v>477</v>
      </c>
      <c r="K53376" s="18"/>
    </row>
    <row r="53377">
      <c r="B53377" s="17" t="s">
        <v>477</v>
      </c>
      <c r="K53377" s="18"/>
    </row>
    <row r="53378">
      <c r="B53378" s="17" t="s">
        <v>477</v>
      </c>
      <c r="K53378" s="18"/>
    </row>
    <row r="53379">
      <c r="B53379" s="17" t="s">
        <v>477</v>
      </c>
      <c r="K53379" s="18"/>
    </row>
    <row r="53380">
      <c r="B53380" s="17" t="s">
        <v>477</v>
      </c>
      <c r="K53380" s="18"/>
    </row>
    <row r="53381">
      <c r="B53381" s="17" t="s">
        <v>477</v>
      </c>
      <c r="K53381" s="18"/>
    </row>
    <row r="53382">
      <c r="B53382" s="17" t="s">
        <v>477</v>
      </c>
      <c r="K53382" s="18"/>
    </row>
    <row r="53383">
      <c r="B53383" s="17" t="s">
        <v>477</v>
      </c>
      <c r="K53383" s="18"/>
    </row>
    <row r="53384">
      <c r="B53384" s="17" t="s">
        <v>477</v>
      </c>
      <c r="K53384" s="18"/>
    </row>
    <row r="53385">
      <c r="B53385" s="17" t="s">
        <v>477</v>
      </c>
      <c r="K53385" s="18"/>
    </row>
    <row r="53386">
      <c r="B53386" s="17" t="s">
        <v>477</v>
      </c>
      <c r="K53386" s="18"/>
    </row>
    <row r="53387">
      <c r="B53387" s="17" t="s">
        <v>477</v>
      </c>
      <c r="K53387" s="18"/>
    </row>
    <row r="53388">
      <c r="B53388" s="17" t="s">
        <v>477</v>
      </c>
      <c r="K53388" s="18"/>
    </row>
    <row r="53389">
      <c r="B53389" s="17" t="s">
        <v>477</v>
      </c>
      <c r="K53389" s="18"/>
    </row>
    <row r="53390">
      <c r="B53390" s="17" t="s">
        <v>477</v>
      </c>
      <c r="K53390" s="18"/>
    </row>
    <row r="53391">
      <c r="B53391" s="17" t="s">
        <v>477</v>
      </c>
      <c r="K53391" s="18"/>
    </row>
    <row r="53392">
      <c r="B53392" s="17" t="s">
        <v>477</v>
      </c>
      <c r="K53392" s="18"/>
    </row>
    <row r="53393">
      <c r="B53393" s="17" t="s">
        <v>477</v>
      </c>
      <c r="K53393" s="18"/>
    </row>
    <row r="53394">
      <c r="B53394" s="17" t="s">
        <v>477</v>
      </c>
      <c r="K53394" s="18"/>
    </row>
    <row r="53395">
      <c r="B53395" s="17" t="s">
        <v>477</v>
      </c>
      <c r="K53395" s="18"/>
    </row>
    <row r="53396">
      <c r="B53396" s="17" t="s">
        <v>477</v>
      </c>
      <c r="K53396" s="18"/>
    </row>
    <row r="53397">
      <c r="B53397" s="17" t="s">
        <v>477</v>
      </c>
      <c r="K53397" s="18"/>
    </row>
    <row r="53398">
      <c r="B53398" s="17" t="s">
        <v>477</v>
      </c>
      <c r="K53398" s="18"/>
    </row>
    <row r="53399">
      <c r="B53399" s="17" t="s">
        <v>477</v>
      </c>
      <c r="K53399" s="18"/>
    </row>
    <row r="53400">
      <c r="B53400" s="17" t="s">
        <v>477</v>
      </c>
      <c r="K53400" s="18"/>
    </row>
    <row r="53401">
      <c r="B53401" s="17" t="s">
        <v>477</v>
      </c>
      <c r="K53401" s="18"/>
    </row>
    <row r="53402">
      <c r="B53402" s="17" t="s">
        <v>477</v>
      </c>
      <c r="K53402" s="18"/>
    </row>
    <row r="53403">
      <c r="B53403" s="17" t="s">
        <v>477</v>
      </c>
      <c r="K53403" s="18"/>
    </row>
    <row r="53404">
      <c r="B53404" s="17" t="s">
        <v>477</v>
      </c>
      <c r="K53404" s="18"/>
    </row>
    <row r="53405">
      <c r="B53405" s="17" t="s">
        <v>477</v>
      </c>
      <c r="K53405" s="18"/>
    </row>
    <row r="53406">
      <c r="B53406" s="17" t="s">
        <v>477</v>
      </c>
      <c r="K53406" s="18"/>
    </row>
    <row r="53407">
      <c r="B53407" s="17" t="s">
        <v>477</v>
      </c>
      <c r="K53407" s="18"/>
    </row>
    <row r="53408">
      <c r="B53408" s="17" t="s">
        <v>477</v>
      </c>
      <c r="K53408" s="18"/>
    </row>
    <row r="53409">
      <c r="B53409" s="17" t="s">
        <v>477</v>
      </c>
      <c r="K53409" s="18"/>
    </row>
    <row r="53410">
      <c r="B53410" s="17" t="s">
        <v>477</v>
      </c>
      <c r="K53410" s="18"/>
    </row>
    <row r="53411">
      <c r="B53411" s="17" t="s">
        <v>477</v>
      </c>
      <c r="K53411" s="18"/>
    </row>
    <row r="53412">
      <c r="B53412" s="17" t="s">
        <v>477</v>
      </c>
      <c r="K53412" s="18"/>
    </row>
    <row r="53413">
      <c r="B53413" s="17" t="s">
        <v>477</v>
      </c>
      <c r="K53413" s="18"/>
    </row>
    <row r="53414">
      <c r="B53414" s="17" t="s">
        <v>477</v>
      </c>
      <c r="K53414" s="18"/>
    </row>
    <row r="53415">
      <c r="B53415" s="17" t="s">
        <v>477</v>
      </c>
      <c r="K53415" s="18"/>
    </row>
    <row r="53416">
      <c r="B53416" s="17" t="s">
        <v>477</v>
      </c>
      <c r="K53416" s="18"/>
    </row>
    <row r="53417">
      <c r="B53417" s="17" t="s">
        <v>477</v>
      </c>
      <c r="K53417" s="18"/>
    </row>
    <row r="53418">
      <c r="B53418" s="17" t="s">
        <v>477</v>
      </c>
      <c r="K53418" s="18"/>
    </row>
    <row r="53419">
      <c r="B53419" s="17" t="s">
        <v>477</v>
      </c>
      <c r="K53419" s="18"/>
    </row>
    <row r="53420">
      <c r="B53420" s="17" t="s">
        <v>477</v>
      </c>
      <c r="K53420" s="18"/>
    </row>
    <row r="53421">
      <c r="B53421" s="17" t="s">
        <v>477</v>
      </c>
      <c r="K53421" s="18"/>
    </row>
    <row r="53422">
      <c r="B53422" s="17" t="s">
        <v>477</v>
      </c>
      <c r="K53422" s="18"/>
    </row>
    <row r="53423">
      <c r="B53423" s="17" t="s">
        <v>477</v>
      </c>
      <c r="K53423" s="18"/>
    </row>
    <row r="53424">
      <c r="B53424" s="17" t="s">
        <v>477</v>
      </c>
      <c r="K53424" s="18"/>
    </row>
    <row r="53425">
      <c r="B53425" s="17" t="s">
        <v>477</v>
      </c>
      <c r="K53425" s="18"/>
    </row>
    <row r="53426">
      <c r="B53426" s="17" t="s">
        <v>477</v>
      </c>
      <c r="K53426" s="18"/>
    </row>
    <row r="53427">
      <c r="B53427" s="17" t="s">
        <v>477</v>
      </c>
      <c r="K53427" s="18"/>
    </row>
    <row r="53428">
      <c r="B53428" s="17" t="s">
        <v>477</v>
      </c>
      <c r="K53428" s="18"/>
    </row>
    <row r="53429">
      <c r="B53429" s="17" t="s">
        <v>477</v>
      </c>
      <c r="K53429" s="18"/>
    </row>
    <row r="53430">
      <c r="B53430" s="17" t="s">
        <v>477</v>
      </c>
      <c r="K53430" s="18"/>
    </row>
    <row r="53431">
      <c r="B53431" s="17" t="s">
        <v>477</v>
      </c>
      <c r="K53431" s="18"/>
    </row>
    <row r="53432">
      <c r="B53432" s="17" t="s">
        <v>477</v>
      </c>
      <c r="K53432" s="18"/>
    </row>
    <row r="53433">
      <c r="B53433" s="17" t="s">
        <v>477</v>
      </c>
      <c r="K53433" s="18"/>
    </row>
    <row r="53434">
      <c r="B53434" s="17" t="s">
        <v>477</v>
      </c>
      <c r="K53434" s="18"/>
    </row>
    <row r="53435">
      <c r="B53435" s="17" t="s">
        <v>477</v>
      </c>
      <c r="K53435" s="18"/>
    </row>
    <row r="53436">
      <c r="B53436" s="17" t="s">
        <v>477</v>
      </c>
      <c r="K53436" s="18"/>
    </row>
    <row r="53437">
      <c r="B53437" s="17" t="s">
        <v>477</v>
      </c>
      <c r="K53437" s="18"/>
    </row>
    <row r="53438">
      <c r="B53438" s="17" t="s">
        <v>477</v>
      </c>
      <c r="K53438" s="18"/>
    </row>
    <row r="53439">
      <c r="B53439" s="17" t="s">
        <v>477</v>
      </c>
      <c r="K53439" s="18"/>
    </row>
    <row r="53440">
      <c r="B53440" s="17" t="s">
        <v>477</v>
      </c>
      <c r="K53440" s="18"/>
    </row>
    <row r="53441">
      <c r="B53441" s="17" t="s">
        <v>477</v>
      </c>
      <c r="K53441" s="18"/>
    </row>
    <row r="53442">
      <c r="B53442" s="17" t="s">
        <v>477</v>
      </c>
      <c r="K53442" s="18"/>
    </row>
    <row r="53443">
      <c r="B53443" s="17" t="s">
        <v>477</v>
      </c>
      <c r="K53443" s="18"/>
    </row>
    <row r="53444">
      <c r="B53444" s="17" t="s">
        <v>477</v>
      </c>
      <c r="K53444" s="18"/>
    </row>
    <row r="53445">
      <c r="B53445" s="17" t="s">
        <v>477</v>
      </c>
      <c r="K53445" s="18"/>
    </row>
    <row r="53446">
      <c r="B53446" s="17" t="s">
        <v>477</v>
      </c>
      <c r="K53446" s="18"/>
    </row>
    <row r="53447">
      <c r="B53447" s="17" t="s">
        <v>477</v>
      </c>
      <c r="K53447" s="18"/>
    </row>
    <row r="53448">
      <c r="B53448" s="17" t="s">
        <v>477</v>
      </c>
      <c r="K53448" s="18"/>
    </row>
    <row r="53449">
      <c r="B53449" s="17" t="s">
        <v>477</v>
      </c>
      <c r="K53449" s="18"/>
    </row>
    <row r="53450">
      <c r="B53450" s="17" t="s">
        <v>477</v>
      </c>
      <c r="K53450" s="18"/>
    </row>
    <row r="53451">
      <c r="B53451" s="17" t="s">
        <v>477</v>
      </c>
      <c r="K53451" s="18"/>
    </row>
    <row r="53452">
      <c r="B53452" s="17" t="s">
        <v>477</v>
      </c>
      <c r="K53452" s="18"/>
    </row>
    <row r="53453">
      <c r="B53453" s="17" t="s">
        <v>477</v>
      </c>
      <c r="K53453" s="18"/>
    </row>
    <row r="53454">
      <c r="B53454" s="17" t="s">
        <v>477</v>
      </c>
      <c r="K53454" s="18"/>
    </row>
    <row r="53455">
      <c r="B53455" s="17" t="s">
        <v>477</v>
      </c>
      <c r="K53455" s="18"/>
    </row>
    <row r="53456">
      <c r="B53456" s="17" t="s">
        <v>477</v>
      </c>
      <c r="K53456" s="18"/>
    </row>
    <row r="53457">
      <c r="B53457" s="17" t="s">
        <v>477</v>
      </c>
      <c r="K53457" s="18"/>
    </row>
    <row r="53458">
      <c r="B53458" s="17" t="s">
        <v>477</v>
      </c>
      <c r="K53458" s="18"/>
    </row>
    <row r="53459">
      <c r="B53459" s="17" t="s">
        <v>477</v>
      </c>
      <c r="K53459" s="18"/>
    </row>
    <row r="53460">
      <c r="B53460" s="17" t="s">
        <v>477</v>
      </c>
      <c r="K53460" s="18"/>
    </row>
    <row r="53461">
      <c r="B53461" s="17" t="s">
        <v>477</v>
      </c>
      <c r="K53461" s="18"/>
    </row>
    <row r="53462">
      <c r="B53462" s="17" t="s">
        <v>477</v>
      </c>
      <c r="K53462" s="18"/>
    </row>
    <row r="53463">
      <c r="B53463" s="17" t="s">
        <v>477</v>
      </c>
      <c r="K53463" s="18"/>
    </row>
    <row r="53464">
      <c r="B53464" s="17" t="s">
        <v>477</v>
      </c>
      <c r="K53464" s="18"/>
    </row>
    <row r="53465">
      <c r="B53465" s="17" t="s">
        <v>477</v>
      </c>
      <c r="K53465" s="18"/>
    </row>
    <row r="53466">
      <c r="B53466" s="17" t="s">
        <v>477</v>
      </c>
      <c r="K53466" s="18"/>
    </row>
    <row r="53467">
      <c r="B53467" s="17" t="s">
        <v>477</v>
      </c>
      <c r="K53467" s="18"/>
    </row>
    <row r="53468">
      <c r="B53468" s="17" t="s">
        <v>477</v>
      </c>
      <c r="K53468" s="18"/>
    </row>
    <row r="53469">
      <c r="B53469" s="17" t="s">
        <v>477</v>
      </c>
      <c r="K53469" s="18"/>
    </row>
    <row r="53470">
      <c r="B53470" s="17" t="s">
        <v>477</v>
      </c>
      <c r="K53470" s="18"/>
    </row>
    <row r="53471">
      <c r="B53471" s="17" t="s">
        <v>477</v>
      </c>
      <c r="K53471" s="18"/>
    </row>
    <row r="53472">
      <c r="B53472" s="17" t="s">
        <v>477</v>
      </c>
      <c r="K53472" s="18"/>
    </row>
    <row r="53473">
      <c r="B53473" s="17" t="s">
        <v>477</v>
      </c>
      <c r="K53473" s="18"/>
    </row>
    <row r="53474">
      <c r="B53474" s="17" t="s">
        <v>477</v>
      </c>
      <c r="K53474" s="18"/>
    </row>
    <row r="53475">
      <c r="B53475" s="17" t="s">
        <v>477</v>
      </c>
      <c r="K53475" s="18"/>
    </row>
    <row r="53476">
      <c r="B53476" s="17" t="s">
        <v>477</v>
      </c>
      <c r="K53476" s="18"/>
    </row>
    <row r="53477">
      <c r="B53477" s="17" t="s">
        <v>477</v>
      </c>
      <c r="K53477" s="18"/>
    </row>
    <row r="53478">
      <c r="B53478" s="17" t="s">
        <v>477</v>
      </c>
      <c r="K53478" s="18"/>
    </row>
    <row r="53479">
      <c r="B53479" s="17" t="s">
        <v>477</v>
      </c>
      <c r="K53479" s="18"/>
    </row>
    <row r="53480">
      <c r="B53480" s="17" t="s">
        <v>477</v>
      </c>
      <c r="K53480" s="18"/>
    </row>
    <row r="53481">
      <c r="B53481" s="17" t="s">
        <v>477</v>
      </c>
      <c r="K53481" s="18"/>
    </row>
    <row r="53482">
      <c r="B53482" s="17" t="s">
        <v>477</v>
      </c>
      <c r="K53482" s="18"/>
    </row>
    <row r="53483">
      <c r="B53483" s="17" t="s">
        <v>477</v>
      </c>
      <c r="K53483" s="18"/>
    </row>
    <row r="53484">
      <c r="B53484" s="17" t="s">
        <v>477</v>
      </c>
      <c r="K53484" s="18"/>
    </row>
    <row r="53485">
      <c r="B53485" s="17" t="s">
        <v>477</v>
      </c>
      <c r="K53485" s="18"/>
    </row>
    <row r="53486">
      <c r="B53486" s="17" t="s">
        <v>477</v>
      </c>
      <c r="K53486" s="18"/>
    </row>
    <row r="53487">
      <c r="B53487" s="17" t="s">
        <v>477</v>
      </c>
      <c r="K53487" s="18"/>
    </row>
    <row r="53488">
      <c r="B53488" s="17" t="s">
        <v>477</v>
      </c>
      <c r="K53488" s="18"/>
    </row>
    <row r="53489">
      <c r="B53489" s="17" t="s">
        <v>477</v>
      </c>
      <c r="K53489" s="18"/>
    </row>
    <row r="53490">
      <c r="B53490" s="17" t="s">
        <v>477</v>
      </c>
      <c r="K53490" s="18"/>
    </row>
    <row r="53491">
      <c r="B53491" s="17" t="s">
        <v>477</v>
      </c>
      <c r="K53491" s="18"/>
    </row>
    <row r="53492">
      <c r="B53492" s="17" t="s">
        <v>477</v>
      </c>
      <c r="K53492" s="18"/>
    </row>
    <row r="53493">
      <c r="B53493" s="17" t="s">
        <v>477</v>
      </c>
      <c r="K53493" s="18"/>
    </row>
    <row r="53494">
      <c r="B53494" s="17" t="s">
        <v>477</v>
      </c>
      <c r="K53494" s="18"/>
    </row>
    <row r="53495">
      <c r="B53495" s="17" t="s">
        <v>477</v>
      </c>
      <c r="K53495" s="18"/>
    </row>
    <row r="53496">
      <c r="B53496" s="17" t="s">
        <v>477</v>
      </c>
      <c r="K53496" s="18"/>
    </row>
    <row r="53497">
      <c r="B53497" s="17" t="s">
        <v>477</v>
      </c>
      <c r="K53497" s="18"/>
    </row>
    <row r="53498">
      <c r="B53498" s="17" t="s">
        <v>477</v>
      </c>
      <c r="K53498" s="18"/>
    </row>
    <row r="53499">
      <c r="B53499" s="17" t="s">
        <v>477</v>
      </c>
      <c r="K53499" s="18"/>
    </row>
    <row r="53500">
      <c r="B53500" s="17" t="s">
        <v>477</v>
      </c>
      <c r="K53500" s="18"/>
    </row>
    <row r="53501">
      <c r="B53501" s="17" t="s">
        <v>477</v>
      </c>
      <c r="K53501" s="18"/>
    </row>
    <row r="53502">
      <c r="B53502" s="17" t="s">
        <v>477</v>
      </c>
      <c r="K53502" s="18"/>
    </row>
    <row r="53503">
      <c r="B53503" s="17" t="s">
        <v>477</v>
      </c>
      <c r="K53503" s="18"/>
    </row>
    <row r="53504">
      <c r="B53504" s="17" t="s">
        <v>477</v>
      </c>
      <c r="K53504" s="18"/>
    </row>
    <row r="53505">
      <c r="B53505" s="17" t="s">
        <v>477</v>
      </c>
      <c r="K53505" s="18"/>
    </row>
    <row r="53506">
      <c r="B53506" s="17" t="s">
        <v>477</v>
      </c>
      <c r="K53506" s="18"/>
    </row>
    <row r="53507">
      <c r="B53507" s="17" t="s">
        <v>477</v>
      </c>
      <c r="K53507" s="18"/>
    </row>
    <row r="53508">
      <c r="B53508" s="17" t="s">
        <v>477</v>
      </c>
      <c r="K53508" s="18"/>
    </row>
    <row r="53509">
      <c r="B53509" s="17" t="s">
        <v>477</v>
      </c>
      <c r="K53509" s="18"/>
    </row>
    <row r="53510">
      <c r="B53510" s="17" t="s">
        <v>477</v>
      </c>
      <c r="K53510" s="18"/>
    </row>
    <row r="53511">
      <c r="B53511" s="17" t="s">
        <v>477</v>
      </c>
      <c r="K53511" s="18"/>
    </row>
    <row r="53512">
      <c r="B53512" s="17" t="s">
        <v>477</v>
      </c>
      <c r="K53512" s="18"/>
    </row>
    <row r="53513">
      <c r="B53513" s="17" t="s">
        <v>477</v>
      </c>
      <c r="K53513" s="18"/>
    </row>
    <row r="53514">
      <c r="B53514" s="17" t="s">
        <v>477</v>
      </c>
      <c r="K53514" s="18"/>
    </row>
    <row r="53515">
      <c r="B53515" s="17" t="s">
        <v>477</v>
      </c>
      <c r="K53515" s="18"/>
    </row>
    <row r="53516">
      <c r="B53516" s="17" t="s">
        <v>477</v>
      </c>
      <c r="K53516" s="18"/>
    </row>
    <row r="53517">
      <c r="B53517" s="17" t="s">
        <v>477</v>
      </c>
      <c r="K53517" s="18"/>
    </row>
    <row r="53518">
      <c r="B53518" s="17" t="s">
        <v>477</v>
      </c>
      <c r="K53518" s="18"/>
    </row>
    <row r="53519">
      <c r="B53519" s="17" t="s">
        <v>477</v>
      </c>
      <c r="K53519" s="18"/>
    </row>
    <row r="53520">
      <c r="B53520" s="17" t="s">
        <v>477</v>
      </c>
      <c r="K53520" s="18"/>
    </row>
    <row r="53521">
      <c r="B53521" s="17" t="s">
        <v>477</v>
      </c>
      <c r="K53521" s="18"/>
    </row>
    <row r="53522">
      <c r="B53522" s="17" t="s">
        <v>477</v>
      </c>
      <c r="K53522" s="18"/>
    </row>
    <row r="53523">
      <c r="B53523" s="17" t="s">
        <v>477</v>
      </c>
      <c r="K53523" s="18"/>
    </row>
    <row r="53524">
      <c r="B53524" s="17" t="s">
        <v>477</v>
      </c>
      <c r="K53524" s="18"/>
    </row>
    <row r="53525">
      <c r="B53525" s="17" t="s">
        <v>477</v>
      </c>
      <c r="K53525" s="18"/>
    </row>
    <row r="53526">
      <c r="B53526" s="17" t="s">
        <v>477</v>
      </c>
      <c r="K53526" s="18"/>
    </row>
    <row r="53527">
      <c r="B53527" s="17" t="s">
        <v>477</v>
      </c>
      <c r="K53527" s="18"/>
    </row>
    <row r="53528">
      <c r="B53528" s="17" t="s">
        <v>477</v>
      </c>
      <c r="K53528" s="18"/>
    </row>
    <row r="53529">
      <c r="B53529" s="17" t="s">
        <v>477</v>
      </c>
      <c r="K53529" s="18"/>
    </row>
    <row r="53530">
      <c r="B53530" s="17" t="s">
        <v>477</v>
      </c>
      <c r="K53530" s="18"/>
    </row>
    <row r="53531">
      <c r="B53531" s="17" t="s">
        <v>477</v>
      </c>
      <c r="K53531" s="18"/>
    </row>
    <row r="53532">
      <c r="B53532" s="17" t="s">
        <v>477</v>
      </c>
      <c r="K53532" s="18"/>
    </row>
    <row r="53533">
      <c r="B53533" s="17" t="s">
        <v>477</v>
      </c>
      <c r="K53533" s="18"/>
    </row>
    <row r="53534">
      <c r="B53534" s="17" t="s">
        <v>477</v>
      </c>
      <c r="K53534" s="18"/>
    </row>
    <row r="53535">
      <c r="B53535" s="17" t="s">
        <v>477</v>
      </c>
      <c r="K53535" s="18"/>
    </row>
    <row r="53536">
      <c r="B53536" s="17" t="s">
        <v>477</v>
      </c>
      <c r="K53536" s="18"/>
    </row>
    <row r="53537">
      <c r="B53537" s="17" t="s">
        <v>477</v>
      </c>
      <c r="K53537" s="18"/>
    </row>
    <row r="53538">
      <c r="B53538" s="17" t="s">
        <v>477</v>
      </c>
      <c r="K53538" s="18"/>
    </row>
    <row r="53539">
      <c r="B53539" s="17" t="s">
        <v>477</v>
      </c>
      <c r="K53539" s="18"/>
    </row>
    <row r="53540">
      <c r="B53540" s="17" t="s">
        <v>477</v>
      </c>
      <c r="K53540" s="18"/>
    </row>
    <row r="53541">
      <c r="B53541" s="17" t="s">
        <v>477</v>
      </c>
      <c r="K53541" s="18"/>
    </row>
    <row r="53542">
      <c r="B53542" s="17" t="s">
        <v>477</v>
      </c>
      <c r="K53542" s="18"/>
    </row>
    <row r="53543">
      <c r="B53543" s="17" t="s">
        <v>477</v>
      </c>
      <c r="K53543" s="18"/>
    </row>
    <row r="53544">
      <c r="B53544" s="17" t="s">
        <v>477</v>
      </c>
      <c r="K53544" s="18"/>
    </row>
    <row r="53545">
      <c r="B53545" s="17" t="s">
        <v>477</v>
      </c>
      <c r="K53545" s="18"/>
    </row>
    <row r="53546">
      <c r="B53546" s="17" t="s">
        <v>477</v>
      </c>
      <c r="K53546" s="18"/>
    </row>
    <row r="53547">
      <c r="B53547" s="17" t="s">
        <v>477</v>
      </c>
      <c r="K53547" s="18"/>
    </row>
    <row r="53548">
      <c r="B53548" s="17" t="s">
        <v>477</v>
      </c>
      <c r="K53548" s="18"/>
    </row>
    <row r="53549">
      <c r="B53549" s="17" t="s">
        <v>477</v>
      </c>
      <c r="K53549" s="18"/>
    </row>
    <row r="53550">
      <c r="B53550" s="17" t="s">
        <v>477</v>
      </c>
      <c r="K53550" s="18"/>
    </row>
    <row r="53551">
      <c r="B53551" s="17" t="s">
        <v>477</v>
      </c>
      <c r="K53551" s="18"/>
    </row>
    <row r="53552">
      <c r="B53552" s="17" t="s">
        <v>477</v>
      </c>
      <c r="K53552" s="18"/>
    </row>
    <row r="53553">
      <c r="B53553" s="17" t="s">
        <v>477</v>
      </c>
      <c r="K53553" s="18"/>
    </row>
    <row r="53554">
      <c r="B53554" s="17" t="s">
        <v>477</v>
      </c>
      <c r="K53554" s="18"/>
    </row>
    <row r="53555">
      <c r="B53555" s="17" t="s">
        <v>477</v>
      </c>
      <c r="K53555" s="18"/>
    </row>
    <row r="53556">
      <c r="B53556" s="17" t="s">
        <v>477</v>
      </c>
      <c r="K53556" s="18"/>
    </row>
    <row r="53557">
      <c r="B53557" s="17" t="s">
        <v>477</v>
      </c>
      <c r="K53557" s="18"/>
    </row>
    <row r="53558">
      <c r="B53558" s="17" t="s">
        <v>477</v>
      </c>
      <c r="K53558" s="18"/>
    </row>
    <row r="53559">
      <c r="B53559" s="17" t="s">
        <v>477</v>
      </c>
      <c r="K53559" s="18"/>
    </row>
    <row r="53560">
      <c r="B53560" s="17" t="s">
        <v>477</v>
      </c>
      <c r="K53560" s="18"/>
    </row>
    <row r="53561">
      <c r="B53561" s="17" t="s">
        <v>477</v>
      </c>
      <c r="K53561" s="18"/>
    </row>
    <row r="53562">
      <c r="B53562" s="17" t="s">
        <v>477</v>
      </c>
      <c r="K53562" s="18"/>
    </row>
    <row r="53563">
      <c r="B53563" s="17" t="s">
        <v>477</v>
      </c>
      <c r="K53563" s="18"/>
    </row>
    <row r="53564">
      <c r="B53564" s="17" t="s">
        <v>477</v>
      </c>
      <c r="K53564" s="18"/>
    </row>
    <row r="53565">
      <c r="B53565" s="17" t="s">
        <v>477</v>
      </c>
      <c r="K53565" s="18"/>
    </row>
    <row r="53566">
      <c r="B53566" s="17" t="s">
        <v>477</v>
      </c>
      <c r="K53566" s="18"/>
    </row>
    <row r="53567">
      <c r="B53567" s="17" t="s">
        <v>477</v>
      </c>
      <c r="K53567" s="18"/>
    </row>
    <row r="53568">
      <c r="B53568" s="17" t="s">
        <v>477</v>
      </c>
      <c r="K53568" s="18"/>
    </row>
    <row r="53569">
      <c r="B53569" s="17" t="s">
        <v>477</v>
      </c>
      <c r="K53569" s="18"/>
    </row>
    <row r="53570">
      <c r="B53570" s="17" t="s">
        <v>477</v>
      </c>
      <c r="K53570" s="18"/>
    </row>
    <row r="53571">
      <c r="B53571" s="17" t="s">
        <v>477</v>
      </c>
      <c r="K53571" s="18"/>
    </row>
    <row r="53572">
      <c r="B53572" s="17" t="s">
        <v>477</v>
      </c>
      <c r="K53572" s="18"/>
    </row>
    <row r="53573">
      <c r="B53573" s="17" t="s">
        <v>477</v>
      </c>
      <c r="K53573" s="18"/>
    </row>
    <row r="53574">
      <c r="B53574" s="17" t="s">
        <v>477</v>
      </c>
      <c r="K53574" s="18"/>
    </row>
    <row r="53575">
      <c r="B53575" s="17" t="s">
        <v>477</v>
      </c>
      <c r="K53575" s="18"/>
    </row>
    <row r="53576">
      <c r="B53576" s="17" t="s">
        <v>477</v>
      </c>
      <c r="K53576" s="18"/>
    </row>
    <row r="53577">
      <c r="B53577" s="17" t="s">
        <v>477</v>
      </c>
      <c r="K53577" s="18"/>
    </row>
    <row r="53578">
      <c r="B53578" s="17" t="s">
        <v>477</v>
      </c>
      <c r="K53578" s="18"/>
    </row>
    <row r="53579">
      <c r="B53579" s="17" t="s">
        <v>477</v>
      </c>
      <c r="K53579" s="18"/>
    </row>
    <row r="53580">
      <c r="B53580" s="17" t="s">
        <v>477</v>
      </c>
      <c r="K53580" s="18"/>
    </row>
    <row r="53581">
      <c r="B53581" s="17" t="s">
        <v>477</v>
      </c>
      <c r="K53581" s="18"/>
    </row>
    <row r="53582">
      <c r="B53582" s="17" t="s">
        <v>477</v>
      </c>
      <c r="K53582" s="18"/>
    </row>
    <row r="53583">
      <c r="B53583" s="17" t="s">
        <v>477</v>
      </c>
      <c r="K53583" s="18"/>
    </row>
    <row r="53584">
      <c r="B53584" s="17" t="s">
        <v>477</v>
      </c>
      <c r="K53584" s="18"/>
    </row>
    <row r="53585">
      <c r="B53585" s="17" t="s">
        <v>477</v>
      </c>
      <c r="K53585" s="18"/>
    </row>
    <row r="53586">
      <c r="B53586" s="17" t="s">
        <v>477</v>
      </c>
      <c r="K53586" s="18"/>
    </row>
    <row r="53587">
      <c r="B53587" s="17" t="s">
        <v>477</v>
      </c>
      <c r="K53587" s="18"/>
    </row>
    <row r="53588">
      <c r="B53588" s="17" t="s">
        <v>477</v>
      </c>
      <c r="K53588" s="18"/>
    </row>
    <row r="53589">
      <c r="B53589" s="17" t="s">
        <v>477</v>
      </c>
      <c r="K53589" s="18"/>
    </row>
    <row r="53590">
      <c r="B53590" s="17" t="s">
        <v>477</v>
      </c>
      <c r="K53590" s="18"/>
    </row>
    <row r="53591">
      <c r="B53591" s="17" t="s">
        <v>477</v>
      </c>
      <c r="K53591" s="18"/>
    </row>
    <row r="53592">
      <c r="B53592" s="17" t="s">
        <v>477</v>
      </c>
      <c r="K53592" s="18"/>
    </row>
    <row r="53593">
      <c r="B53593" s="17" t="s">
        <v>477</v>
      </c>
      <c r="K53593" s="18"/>
    </row>
    <row r="53594">
      <c r="B53594" s="17" t="s">
        <v>477</v>
      </c>
      <c r="K53594" s="18"/>
    </row>
    <row r="53595">
      <c r="B53595" s="17" t="s">
        <v>477</v>
      </c>
      <c r="K53595" s="18"/>
    </row>
    <row r="53596">
      <c r="B53596" s="17" t="s">
        <v>477</v>
      </c>
      <c r="K53596" s="18"/>
    </row>
    <row r="53597">
      <c r="B53597" s="17" t="s">
        <v>477</v>
      </c>
      <c r="K53597" s="18"/>
    </row>
    <row r="53598">
      <c r="B53598" s="17" t="s">
        <v>477</v>
      </c>
      <c r="K53598" s="18"/>
    </row>
    <row r="53599">
      <c r="B53599" s="17" t="s">
        <v>477</v>
      </c>
      <c r="K53599" s="18"/>
    </row>
    <row r="53600">
      <c r="B53600" s="17" t="s">
        <v>477</v>
      </c>
      <c r="K53600" s="18"/>
    </row>
    <row r="53601">
      <c r="B53601" s="17" t="s">
        <v>477</v>
      </c>
      <c r="K53601" s="18"/>
    </row>
    <row r="53602">
      <c r="B53602" s="17" t="s">
        <v>477</v>
      </c>
      <c r="K53602" s="18"/>
    </row>
    <row r="53603">
      <c r="B53603" s="17" t="s">
        <v>477</v>
      </c>
      <c r="K53603" s="18"/>
    </row>
    <row r="53604">
      <c r="B53604" s="17" t="s">
        <v>477</v>
      </c>
      <c r="K53604" s="18"/>
    </row>
    <row r="53605">
      <c r="B53605" s="17" t="s">
        <v>477</v>
      </c>
      <c r="K53605" s="18"/>
    </row>
    <row r="53606">
      <c r="B53606" s="17" t="s">
        <v>477</v>
      </c>
      <c r="K53606" s="18"/>
    </row>
    <row r="53607">
      <c r="B53607" s="17" t="s">
        <v>477</v>
      </c>
      <c r="K53607" s="18"/>
    </row>
    <row r="53608">
      <c r="B53608" s="17" t="s">
        <v>477</v>
      </c>
      <c r="K53608" s="18"/>
    </row>
    <row r="53609">
      <c r="B53609" s="17" t="s">
        <v>477</v>
      </c>
      <c r="K53609" s="18"/>
    </row>
    <row r="53610">
      <c r="B53610" s="17" t="s">
        <v>477</v>
      </c>
      <c r="K53610" s="18"/>
    </row>
    <row r="53611">
      <c r="B53611" s="17" t="s">
        <v>477</v>
      </c>
      <c r="K53611" s="18"/>
    </row>
    <row r="53612">
      <c r="B53612" s="17" t="s">
        <v>477</v>
      </c>
      <c r="K53612" s="18"/>
    </row>
    <row r="53613">
      <c r="B53613" s="17" t="s">
        <v>477</v>
      </c>
      <c r="K53613" s="18"/>
    </row>
    <row r="53614">
      <c r="B53614" s="17" t="s">
        <v>477</v>
      </c>
      <c r="K53614" s="18"/>
    </row>
    <row r="53615">
      <c r="B53615" s="17" t="s">
        <v>477</v>
      </c>
      <c r="K53615" s="18"/>
    </row>
    <row r="53616">
      <c r="B53616" s="17" t="s">
        <v>477</v>
      </c>
      <c r="K53616" s="18"/>
    </row>
    <row r="53617">
      <c r="B53617" s="17" t="s">
        <v>477</v>
      </c>
      <c r="K53617" s="18"/>
    </row>
    <row r="53618">
      <c r="B53618" s="17" t="s">
        <v>477</v>
      </c>
      <c r="K53618" s="18"/>
    </row>
    <row r="53619">
      <c r="B53619" s="17" t="s">
        <v>477</v>
      </c>
      <c r="K53619" s="18"/>
    </row>
    <row r="53620">
      <c r="B53620" s="17" t="s">
        <v>477</v>
      </c>
      <c r="K53620" s="18"/>
    </row>
    <row r="53621">
      <c r="B53621" s="17" t="s">
        <v>477</v>
      </c>
      <c r="K53621" s="18"/>
    </row>
    <row r="53622">
      <c r="B53622" s="17" t="s">
        <v>477</v>
      </c>
      <c r="K53622" s="18"/>
    </row>
    <row r="53623">
      <c r="B53623" s="17" t="s">
        <v>477</v>
      </c>
      <c r="K53623" s="18"/>
    </row>
    <row r="53624">
      <c r="B53624" s="17" t="s">
        <v>477</v>
      </c>
      <c r="K53624" s="18"/>
    </row>
    <row r="53625">
      <c r="B53625" s="17" t="s">
        <v>477</v>
      </c>
      <c r="K53625" s="18"/>
    </row>
    <row r="53626">
      <c r="B53626" s="17" t="s">
        <v>477</v>
      </c>
      <c r="K53626" s="18"/>
    </row>
    <row r="53627">
      <c r="B53627" s="17" t="s">
        <v>477</v>
      </c>
      <c r="K53627" s="18"/>
    </row>
    <row r="53628">
      <c r="B53628" s="17" t="s">
        <v>477</v>
      </c>
      <c r="K53628" s="18"/>
    </row>
    <row r="53629">
      <c r="B53629" s="17" t="s">
        <v>477</v>
      </c>
      <c r="K53629" s="18"/>
    </row>
    <row r="53630">
      <c r="B53630" s="17" t="s">
        <v>477</v>
      </c>
      <c r="K53630" s="18"/>
    </row>
    <row r="53631">
      <c r="B53631" s="17" t="s">
        <v>477</v>
      </c>
      <c r="K53631" s="18"/>
    </row>
    <row r="53632">
      <c r="B53632" s="17" t="s">
        <v>477</v>
      </c>
      <c r="K53632" s="18"/>
    </row>
    <row r="53633">
      <c r="B53633" s="17" t="s">
        <v>477</v>
      </c>
      <c r="K53633" s="18"/>
    </row>
    <row r="53634">
      <c r="B53634" s="17" t="s">
        <v>477</v>
      </c>
      <c r="K53634" s="18"/>
    </row>
    <row r="53635">
      <c r="B53635" s="17" t="s">
        <v>477</v>
      </c>
      <c r="K53635" s="18"/>
    </row>
    <row r="53636">
      <c r="B53636" s="17" t="s">
        <v>477</v>
      </c>
      <c r="K53636" s="18"/>
    </row>
    <row r="53637">
      <c r="B53637" s="17" t="s">
        <v>477</v>
      </c>
      <c r="K53637" s="18"/>
    </row>
    <row r="53638">
      <c r="B53638" s="17" t="s">
        <v>477</v>
      </c>
      <c r="K53638" s="18"/>
    </row>
    <row r="53639">
      <c r="B53639" s="17" t="s">
        <v>477</v>
      </c>
      <c r="K53639" s="18"/>
    </row>
    <row r="53640">
      <c r="B53640" s="17" t="s">
        <v>477</v>
      </c>
      <c r="K53640" s="18"/>
    </row>
    <row r="53641">
      <c r="B53641" s="17" t="s">
        <v>477</v>
      </c>
      <c r="K53641" s="18"/>
    </row>
    <row r="53642">
      <c r="B53642" s="17" t="s">
        <v>477</v>
      </c>
      <c r="K53642" s="18"/>
    </row>
    <row r="53643">
      <c r="B53643" s="17" t="s">
        <v>477</v>
      </c>
      <c r="K53643" s="18"/>
    </row>
    <row r="53644">
      <c r="B53644" s="17" t="s">
        <v>477</v>
      </c>
      <c r="K53644" s="18"/>
    </row>
    <row r="53645">
      <c r="B53645" s="17" t="s">
        <v>477</v>
      </c>
      <c r="K53645" s="18"/>
    </row>
    <row r="53646">
      <c r="B53646" s="17" t="s">
        <v>477</v>
      </c>
      <c r="K53646" s="18"/>
    </row>
    <row r="53647">
      <c r="B53647" s="17" t="s">
        <v>477</v>
      </c>
      <c r="K53647" s="18"/>
    </row>
    <row r="53648">
      <c r="B53648" s="17" t="s">
        <v>477</v>
      </c>
      <c r="K53648" s="18"/>
    </row>
    <row r="53649">
      <c r="B53649" s="17" t="s">
        <v>477</v>
      </c>
      <c r="K53649" s="18"/>
    </row>
    <row r="53650">
      <c r="B53650" s="17" t="s">
        <v>477</v>
      </c>
      <c r="K53650" s="18"/>
    </row>
    <row r="53651">
      <c r="B53651" s="17" t="s">
        <v>477</v>
      </c>
      <c r="K53651" s="18"/>
    </row>
    <row r="53652">
      <c r="B53652" s="17" t="s">
        <v>477</v>
      </c>
      <c r="K53652" s="18"/>
    </row>
    <row r="53653">
      <c r="B53653" s="17" t="s">
        <v>477</v>
      </c>
      <c r="K53653" s="18"/>
    </row>
    <row r="53654">
      <c r="B53654" s="17" t="s">
        <v>477</v>
      </c>
      <c r="K53654" s="18"/>
    </row>
    <row r="53655">
      <c r="B53655" s="17" t="s">
        <v>477</v>
      </c>
      <c r="K53655" s="18"/>
    </row>
    <row r="53656">
      <c r="B53656" s="17" t="s">
        <v>477</v>
      </c>
      <c r="K53656" s="18"/>
    </row>
    <row r="53657">
      <c r="B53657" s="17" t="s">
        <v>477</v>
      </c>
      <c r="K53657" s="18"/>
    </row>
    <row r="53658">
      <c r="B53658" s="17" t="s">
        <v>477</v>
      </c>
      <c r="K53658" s="18"/>
    </row>
    <row r="53659">
      <c r="B53659" s="17" t="s">
        <v>477</v>
      </c>
      <c r="K53659" s="18"/>
    </row>
    <row r="53660">
      <c r="B53660" s="17" t="s">
        <v>477</v>
      </c>
      <c r="K53660" s="18"/>
    </row>
    <row r="53661">
      <c r="B53661" s="17" t="s">
        <v>477</v>
      </c>
      <c r="K53661" s="18"/>
    </row>
    <row r="53662">
      <c r="B53662" s="17" t="s">
        <v>477</v>
      </c>
      <c r="K53662" s="18"/>
    </row>
    <row r="53663">
      <c r="B53663" s="17" t="s">
        <v>477</v>
      </c>
      <c r="K53663" s="18"/>
    </row>
    <row r="53664">
      <c r="B53664" s="17" t="s">
        <v>477</v>
      </c>
      <c r="K53664" s="18"/>
    </row>
    <row r="53665">
      <c r="B53665" s="17" t="s">
        <v>477</v>
      </c>
      <c r="K53665" s="18"/>
    </row>
    <row r="53666">
      <c r="B53666" s="17" t="s">
        <v>477</v>
      </c>
      <c r="K53666" s="18"/>
    </row>
    <row r="53667">
      <c r="B53667" s="17" t="s">
        <v>477</v>
      </c>
      <c r="K53667" s="18"/>
    </row>
    <row r="53668">
      <c r="B53668" s="17" t="s">
        <v>477</v>
      </c>
      <c r="K53668" s="18"/>
    </row>
    <row r="53669">
      <c r="B53669" s="17" t="s">
        <v>477</v>
      </c>
      <c r="K53669" s="18"/>
    </row>
    <row r="53670">
      <c r="B53670" s="17" t="s">
        <v>477</v>
      </c>
      <c r="K53670" s="18"/>
    </row>
    <row r="53671">
      <c r="B53671" s="17" t="s">
        <v>477</v>
      </c>
      <c r="K53671" s="18"/>
    </row>
    <row r="53672">
      <c r="B53672" s="17" t="s">
        <v>477</v>
      </c>
      <c r="K53672" s="18"/>
    </row>
    <row r="53673">
      <c r="B53673" s="17" t="s">
        <v>477</v>
      </c>
      <c r="K53673" s="18"/>
    </row>
    <row r="53674">
      <c r="B53674" s="17" t="s">
        <v>477</v>
      </c>
      <c r="K53674" s="18"/>
    </row>
    <row r="53675">
      <c r="B53675" s="17" t="s">
        <v>477</v>
      </c>
      <c r="K53675" s="18"/>
    </row>
    <row r="53676">
      <c r="B53676" s="17" t="s">
        <v>477</v>
      </c>
      <c r="K53676" s="18"/>
    </row>
    <row r="53677">
      <c r="B53677" s="17" t="s">
        <v>477</v>
      </c>
      <c r="K53677" s="18"/>
    </row>
    <row r="53678">
      <c r="B53678" s="17" t="s">
        <v>477</v>
      </c>
      <c r="K53678" s="18"/>
    </row>
    <row r="53679">
      <c r="B53679" s="17" t="s">
        <v>477</v>
      </c>
      <c r="K53679" s="18"/>
    </row>
    <row r="53680">
      <c r="B53680" s="17" t="s">
        <v>477</v>
      </c>
      <c r="K53680" s="18"/>
    </row>
    <row r="53681">
      <c r="B53681" s="17" t="s">
        <v>477</v>
      </c>
      <c r="K53681" s="18"/>
    </row>
    <row r="53682">
      <c r="B53682" s="17" t="s">
        <v>477</v>
      </c>
      <c r="K53682" s="18"/>
    </row>
    <row r="53683">
      <c r="B53683" s="17" t="s">
        <v>477</v>
      </c>
      <c r="K53683" s="18"/>
    </row>
    <row r="53684">
      <c r="B53684" s="17" t="s">
        <v>477</v>
      </c>
      <c r="K53684" s="18"/>
    </row>
    <row r="53685">
      <c r="B53685" s="17" t="s">
        <v>477</v>
      </c>
      <c r="K53685" s="18"/>
    </row>
    <row r="53686">
      <c r="B53686" s="17" t="s">
        <v>477</v>
      </c>
      <c r="K53686" s="18"/>
    </row>
    <row r="53687">
      <c r="B53687" s="17" t="s">
        <v>477</v>
      </c>
      <c r="K53687" s="18"/>
    </row>
    <row r="53688">
      <c r="B53688" s="17" t="s">
        <v>477</v>
      </c>
      <c r="K53688" s="18"/>
    </row>
    <row r="53689">
      <c r="B53689" s="17" t="s">
        <v>477</v>
      </c>
      <c r="K53689" s="18"/>
    </row>
    <row r="53690">
      <c r="B53690" s="17" t="s">
        <v>477</v>
      </c>
      <c r="K53690" s="18"/>
    </row>
    <row r="53691">
      <c r="B53691" s="17" t="s">
        <v>477</v>
      </c>
      <c r="K53691" s="18"/>
    </row>
    <row r="53692">
      <c r="B53692" s="17" t="s">
        <v>477</v>
      </c>
      <c r="K53692" s="18"/>
    </row>
    <row r="53693">
      <c r="B53693" s="17" t="s">
        <v>477</v>
      </c>
      <c r="K53693" s="18"/>
    </row>
    <row r="53694">
      <c r="B53694" s="17" t="s">
        <v>477</v>
      </c>
      <c r="K53694" s="18"/>
    </row>
    <row r="53695">
      <c r="B53695" s="17" t="s">
        <v>477</v>
      </c>
      <c r="K53695" s="18"/>
    </row>
    <row r="53696">
      <c r="B53696" s="17" t="s">
        <v>477</v>
      </c>
      <c r="K53696" s="18"/>
    </row>
    <row r="53697">
      <c r="B53697" s="17" t="s">
        <v>477</v>
      </c>
      <c r="K53697" s="18"/>
    </row>
    <row r="53698">
      <c r="B53698" s="17" t="s">
        <v>477</v>
      </c>
      <c r="K53698" s="18"/>
    </row>
    <row r="53699">
      <c r="B53699" s="17" t="s">
        <v>477</v>
      </c>
      <c r="K53699" s="18"/>
    </row>
    <row r="53700">
      <c r="B53700" s="17" t="s">
        <v>477</v>
      </c>
      <c r="K53700" s="18"/>
    </row>
    <row r="53701">
      <c r="B53701" s="17" t="s">
        <v>477</v>
      </c>
      <c r="K53701" s="18"/>
    </row>
    <row r="53702">
      <c r="B53702" s="17" t="s">
        <v>477</v>
      </c>
      <c r="K53702" s="18"/>
    </row>
    <row r="53703">
      <c r="B53703" s="17" t="s">
        <v>477</v>
      </c>
      <c r="K53703" s="18"/>
    </row>
    <row r="53704">
      <c r="B53704" s="17" t="s">
        <v>477</v>
      </c>
      <c r="K53704" s="18"/>
    </row>
    <row r="53705">
      <c r="B53705" s="17" t="s">
        <v>477</v>
      </c>
      <c r="K53705" s="18"/>
    </row>
    <row r="53706">
      <c r="B53706" s="17" t="s">
        <v>477</v>
      </c>
      <c r="K53706" s="18"/>
    </row>
    <row r="53707">
      <c r="B53707" s="17" t="s">
        <v>477</v>
      </c>
      <c r="K53707" s="18"/>
    </row>
    <row r="53708">
      <c r="B53708" s="17" t="s">
        <v>477</v>
      </c>
      <c r="K53708" s="18"/>
    </row>
    <row r="53709">
      <c r="B53709" s="17" t="s">
        <v>477</v>
      </c>
      <c r="K53709" s="18"/>
    </row>
    <row r="53710">
      <c r="B53710" s="17" t="s">
        <v>477</v>
      </c>
      <c r="K53710" s="18"/>
    </row>
    <row r="53711">
      <c r="B53711" s="17" t="s">
        <v>477</v>
      </c>
      <c r="K53711" s="18"/>
    </row>
    <row r="53712">
      <c r="B53712" s="17" t="s">
        <v>477</v>
      </c>
      <c r="K53712" s="18"/>
    </row>
    <row r="53713">
      <c r="B53713" s="17" t="s">
        <v>477</v>
      </c>
      <c r="K53713" s="18"/>
    </row>
    <row r="53714">
      <c r="B53714" s="17" t="s">
        <v>477</v>
      </c>
      <c r="K53714" s="18"/>
    </row>
    <row r="53715">
      <c r="B53715" s="17" t="s">
        <v>477</v>
      </c>
      <c r="K53715" s="18"/>
    </row>
    <row r="53716">
      <c r="B53716" s="17" t="s">
        <v>477</v>
      </c>
      <c r="K53716" s="18"/>
    </row>
    <row r="53717">
      <c r="B53717" s="17" t="s">
        <v>477</v>
      </c>
      <c r="K53717" s="18"/>
    </row>
    <row r="53718">
      <c r="B53718" s="17" t="s">
        <v>477</v>
      </c>
      <c r="K53718" s="18"/>
    </row>
    <row r="53719">
      <c r="B53719" s="17" t="s">
        <v>477</v>
      </c>
      <c r="K53719" s="18"/>
    </row>
    <row r="53720">
      <c r="B53720" s="17" t="s">
        <v>477</v>
      </c>
      <c r="K53720" s="18"/>
    </row>
    <row r="53721">
      <c r="B53721" s="17" t="s">
        <v>477</v>
      </c>
      <c r="K53721" s="18"/>
    </row>
    <row r="53722">
      <c r="B53722" s="17" t="s">
        <v>477</v>
      </c>
      <c r="K53722" s="18"/>
    </row>
    <row r="53723">
      <c r="B53723" s="17" t="s">
        <v>477</v>
      </c>
      <c r="K53723" s="18"/>
    </row>
    <row r="53724">
      <c r="B53724" s="17" t="s">
        <v>477</v>
      </c>
      <c r="K53724" s="18"/>
    </row>
    <row r="53725">
      <c r="B53725" s="17" t="s">
        <v>477</v>
      </c>
      <c r="K53725" s="18"/>
    </row>
    <row r="53726">
      <c r="B53726" s="17" t="s">
        <v>477</v>
      </c>
      <c r="K53726" s="18"/>
    </row>
    <row r="53727">
      <c r="B53727" s="17" t="s">
        <v>477</v>
      </c>
      <c r="K53727" s="18"/>
    </row>
    <row r="53728">
      <c r="B53728" s="17" t="s">
        <v>477</v>
      </c>
      <c r="K53728" s="18"/>
    </row>
    <row r="53729">
      <c r="B53729" s="17" t="s">
        <v>477</v>
      </c>
      <c r="K53729" s="18"/>
    </row>
    <row r="53730">
      <c r="B53730" s="17" t="s">
        <v>477</v>
      </c>
      <c r="K53730" s="18"/>
    </row>
    <row r="53731">
      <c r="B53731" s="17" t="s">
        <v>477</v>
      </c>
      <c r="K53731" s="18"/>
    </row>
    <row r="53732">
      <c r="B53732" s="17" t="s">
        <v>477</v>
      </c>
      <c r="K53732" s="18"/>
    </row>
    <row r="53733">
      <c r="B53733" s="17" t="s">
        <v>477</v>
      </c>
      <c r="K53733" s="18"/>
    </row>
    <row r="53734">
      <c r="B53734" s="17" t="s">
        <v>477</v>
      </c>
      <c r="K53734" s="18"/>
    </row>
    <row r="53735">
      <c r="B53735" s="17" t="s">
        <v>477</v>
      </c>
      <c r="K53735" s="18"/>
    </row>
    <row r="53736">
      <c r="B53736" s="17" t="s">
        <v>477</v>
      </c>
      <c r="K53736" s="18"/>
    </row>
    <row r="53737">
      <c r="B53737" s="17" t="s">
        <v>477</v>
      </c>
      <c r="K53737" s="18"/>
    </row>
    <row r="53738">
      <c r="B53738" s="17" t="s">
        <v>477</v>
      </c>
      <c r="K53738" s="18"/>
    </row>
    <row r="53739">
      <c r="B53739" s="17" t="s">
        <v>477</v>
      </c>
      <c r="K53739" s="18"/>
    </row>
    <row r="53740">
      <c r="B53740" s="17" t="s">
        <v>477</v>
      </c>
      <c r="K53740" s="18"/>
    </row>
    <row r="53741">
      <c r="B53741" s="17" t="s">
        <v>477</v>
      </c>
      <c r="K53741" s="18"/>
    </row>
    <row r="53742">
      <c r="B53742" s="17" t="s">
        <v>477</v>
      </c>
      <c r="K53742" s="18"/>
    </row>
    <row r="53743">
      <c r="B53743" s="17" t="s">
        <v>477</v>
      </c>
      <c r="K53743" s="18"/>
    </row>
    <row r="53744">
      <c r="B53744" s="17" t="s">
        <v>477</v>
      </c>
      <c r="K53744" s="18"/>
    </row>
    <row r="53745">
      <c r="B53745" s="17" t="s">
        <v>477</v>
      </c>
      <c r="K53745" s="18"/>
    </row>
    <row r="53746">
      <c r="B53746" s="17" t="s">
        <v>477</v>
      </c>
      <c r="K53746" s="18"/>
    </row>
    <row r="53747">
      <c r="B53747" s="17" t="s">
        <v>477</v>
      </c>
      <c r="K53747" s="18"/>
    </row>
    <row r="53748">
      <c r="B53748" s="17" t="s">
        <v>477</v>
      </c>
      <c r="K53748" s="18"/>
    </row>
    <row r="53749">
      <c r="B53749" s="17" t="s">
        <v>477</v>
      </c>
      <c r="K53749" s="18"/>
    </row>
    <row r="53750">
      <c r="B53750" s="17" t="s">
        <v>477</v>
      </c>
      <c r="K53750" s="18"/>
    </row>
    <row r="53751">
      <c r="B53751" s="17" t="s">
        <v>477</v>
      </c>
      <c r="K53751" s="18"/>
    </row>
    <row r="53752">
      <c r="B53752" s="17" t="s">
        <v>477</v>
      </c>
      <c r="K53752" s="18"/>
    </row>
    <row r="53753">
      <c r="B53753" s="17" t="s">
        <v>477</v>
      </c>
      <c r="K53753" s="18"/>
    </row>
    <row r="53754">
      <c r="B53754" s="17" t="s">
        <v>477</v>
      </c>
      <c r="K53754" s="18"/>
    </row>
    <row r="53755">
      <c r="B53755" s="17" t="s">
        <v>477</v>
      </c>
      <c r="K53755" s="18"/>
    </row>
    <row r="53756">
      <c r="B53756" s="17" t="s">
        <v>477</v>
      </c>
      <c r="K53756" s="18"/>
    </row>
    <row r="53757">
      <c r="B53757" s="17" t="s">
        <v>477</v>
      </c>
      <c r="K53757" s="18"/>
    </row>
    <row r="53758">
      <c r="B53758" s="17" t="s">
        <v>477</v>
      </c>
      <c r="K53758" s="18"/>
    </row>
    <row r="53759">
      <c r="B53759" s="17" t="s">
        <v>477</v>
      </c>
      <c r="K53759" s="18"/>
    </row>
    <row r="53760">
      <c r="B53760" s="17" t="s">
        <v>477</v>
      </c>
      <c r="K53760" s="18"/>
    </row>
    <row r="53761">
      <c r="B53761" s="17" t="s">
        <v>477</v>
      </c>
      <c r="K53761" s="18"/>
    </row>
    <row r="53762">
      <c r="B53762" s="17" t="s">
        <v>477</v>
      </c>
      <c r="K53762" s="18"/>
    </row>
    <row r="53763">
      <c r="B53763" s="17" t="s">
        <v>477</v>
      </c>
      <c r="K53763" s="18"/>
    </row>
    <row r="53764">
      <c r="B53764" s="17" t="s">
        <v>477</v>
      </c>
      <c r="K53764" s="18"/>
    </row>
    <row r="53765">
      <c r="B53765" s="17" t="s">
        <v>477</v>
      </c>
      <c r="K53765" s="18"/>
    </row>
    <row r="53766">
      <c r="B53766" s="17" t="s">
        <v>477</v>
      </c>
      <c r="K53766" s="18"/>
    </row>
    <row r="53767">
      <c r="B53767" s="17" t="s">
        <v>477</v>
      </c>
      <c r="K53767" s="18"/>
    </row>
    <row r="53768">
      <c r="B53768" s="17" t="s">
        <v>477</v>
      </c>
      <c r="K53768" s="18"/>
    </row>
    <row r="53769">
      <c r="B53769" s="17" t="s">
        <v>477</v>
      </c>
      <c r="K53769" s="18"/>
    </row>
    <row r="53770">
      <c r="B53770" s="17" t="s">
        <v>477</v>
      </c>
      <c r="K53770" s="18"/>
    </row>
    <row r="53771">
      <c r="B53771" s="17" t="s">
        <v>477</v>
      </c>
      <c r="K53771" s="18"/>
    </row>
    <row r="53772">
      <c r="B53772" s="17" t="s">
        <v>477</v>
      </c>
      <c r="K53772" s="18"/>
    </row>
    <row r="53773">
      <c r="B53773" s="17" t="s">
        <v>477</v>
      </c>
      <c r="K53773" s="18"/>
    </row>
    <row r="53774">
      <c r="B53774" s="17" t="s">
        <v>477</v>
      </c>
      <c r="K53774" s="18"/>
    </row>
    <row r="53775">
      <c r="B53775" s="17" t="s">
        <v>477</v>
      </c>
      <c r="K53775" s="18"/>
    </row>
    <row r="53776">
      <c r="B53776" s="17" t="s">
        <v>477</v>
      </c>
      <c r="K53776" s="18"/>
    </row>
    <row r="53777">
      <c r="B53777" s="17" t="s">
        <v>477</v>
      </c>
      <c r="K53777" s="18"/>
    </row>
    <row r="53778">
      <c r="B53778" s="17" t="s">
        <v>477</v>
      </c>
      <c r="K53778" s="18"/>
    </row>
    <row r="53779">
      <c r="B53779" s="17" t="s">
        <v>477</v>
      </c>
      <c r="K53779" s="18"/>
    </row>
    <row r="53780">
      <c r="B53780" s="17" t="s">
        <v>477</v>
      </c>
      <c r="K53780" s="18"/>
    </row>
    <row r="53781">
      <c r="B53781" s="17" t="s">
        <v>477</v>
      </c>
      <c r="K53781" s="18"/>
    </row>
    <row r="53782">
      <c r="B53782" s="17" t="s">
        <v>477</v>
      </c>
      <c r="K53782" s="18"/>
    </row>
    <row r="53783">
      <c r="B53783" s="17" t="s">
        <v>477</v>
      </c>
      <c r="K53783" s="18"/>
    </row>
    <row r="53784">
      <c r="B53784" s="17" t="s">
        <v>477</v>
      </c>
      <c r="K53784" s="18"/>
    </row>
    <row r="53785">
      <c r="B53785" s="17" t="s">
        <v>477</v>
      </c>
      <c r="K53785" s="18"/>
    </row>
    <row r="53786">
      <c r="B53786" s="17" t="s">
        <v>477</v>
      </c>
      <c r="K53786" s="18"/>
    </row>
    <row r="53787">
      <c r="B53787" s="17" t="s">
        <v>477</v>
      </c>
      <c r="K53787" s="18"/>
    </row>
    <row r="53788">
      <c r="B53788" s="17" t="s">
        <v>477</v>
      </c>
      <c r="K53788" s="18"/>
    </row>
    <row r="53789">
      <c r="B53789" s="17" t="s">
        <v>477</v>
      </c>
      <c r="K53789" s="18"/>
    </row>
    <row r="53790">
      <c r="B53790" s="17" t="s">
        <v>477</v>
      </c>
      <c r="K53790" s="18"/>
    </row>
    <row r="53791">
      <c r="B53791" s="17" t="s">
        <v>477</v>
      </c>
      <c r="K53791" s="18"/>
    </row>
    <row r="53792">
      <c r="B53792" s="17" t="s">
        <v>477</v>
      </c>
      <c r="K53792" s="18"/>
    </row>
    <row r="53793">
      <c r="B53793" s="17" t="s">
        <v>477</v>
      </c>
      <c r="K53793" s="18"/>
    </row>
    <row r="53794">
      <c r="B53794" s="17" t="s">
        <v>477</v>
      </c>
      <c r="K53794" s="18"/>
    </row>
    <row r="53795">
      <c r="B53795" s="17" t="s">
        <v>477</v>
      </c>
      <c r="K53795" s="18"/>
    </row>
    <row r="53796">
      <c r="B53796" s="17" t="s">
        <v>477</v>
      </c>
      <c r="K53796" s="18"/>
    </row>
    <row r="53797">
      <c r="B53797" s="17" t="s">
        <v>477</v>
      </c>
      <c r="K53797" s="18"/>
    </row>
    <row r="53798">
      <c r="B53798" s="17" t="s">
        <v>477</v>
      </c>
      <c r="K53798" s="18"/>
    </row>
    <row r="53799">
      <c r="B53799" s="17" t="s">
        <v>477</v>
      </c>
      <c r="K53799" s="18"/>
    </row>
    <row r="53800">
      <c r="B53800" s="17" t="s">
        <v>477</v>
      </c>
      <c r="K53800" s="18"/>
    </row>
    <row r="53801">
      <c r="B53801" s="17" t="s">
        <v>477</v>
      </c>
      <c r="K53801" s="18"/>
    </row>
    <row r="53802">
      <c r="B53802" s="17" t="s">
        <v>477</v>
      </c>
      <c r="K53802" s="18"/>
    </row>
    <row r="53803">
      <c r="B53803" s="17" t="s">
        <v>477</v>
      </c>
      <c r="K53803" s="18"/>
    </row>
    <row r="53804">
      <c r="B53804" s="17" t="s">
        <v>477</v>
      </c>
      <c r="K53804" s="18"/>
    </row>
    <row r="53805">
      <c r="B53805" s="17" t="s">
        <v>477</v>
      </c>
      <c r="K53805" s="18"/>
    </row>
    <row r="53806">
      <c r="B53806" s="17" t="s">
        <v>477</v>
      </c>
      <c r="K53806" s="18"/>
    </row>
    <row r="53807">
      <c r="B53807" s="17" t="s">
        <v>477</v>
      </c>
      <c r="K53807" s="18"/>
    </row>
    <row r="53808">
      <c r="B53808" s="17" t="s">
        <v>477</v>
      </c>
      <c r="K53808" s="18"/>
    </row>
    <row r="53809">
      <c r="B53809" s="17" t="s">
        <v>477</v>
      </c>
      <c r="K53809" s="18"/>
    </row>
    <row r="53810">
      <c r="B53810" s="17" t="s">
        <v>477</v>
      </c>
      <c r="K53810" s="18"/>
    </row>
    <row r="53811">
      <c r="B53811" s="17" t="s">
        <v>477</v>
      </c>
      <c r="K53811" s="18"/>
    </row>
  </sheetData>
  <conditionalFormatting sqref="E1:E53811">
    <cfRule type="containsText" dxfId="5" priority="1" operator="containsText" text="&quot;Muy cansado&quot;">
      <formula>NOT(ISERROR(SEARCH(("""Muy cansado"""),(E1))))</formula>
    </cfRule>
  </conditionalFormatting>
  <conditionalFormatting sqref="H2:H53811">
    <cfRule type="containsText" dxfId="5" priority="2" operator="containsText" text="adolorido">
      <formula>NOT(ISERROR(SEARCH(("adolorido"),(H2))))</formula>
    </cfRule>
  </conditionalFormatting>
  <conditionalFormatting sqref="K1:K53811">
    <cfRule type="containsText" dxfId="6" priority="3" operator="containsText" text="7">
      <formula>NOT(ISERROR(SEARCH(("7"),(K1))))</formula>
    </cfRule>
  </conditionalFormatting>
  <conditionalFormatting sqref="K1:K53811">
    <cfRule type="containsText" dxfId="6" priority="4" operator="containsText" text="8">
      <formula>NOT(ISERROR(SEARCH(("8"),(K1))))</formula>
    </cfRule>
  </conditionalFormatting>
  <conditionalFormatting sqref="K1:K53811">
    <cfRule type="containsText" dxfId="6" priority="5" operator="containsText" text="9">
      <formula>NOT(ISERROR(SEARCH(("9"),(K1))))</formula>
    </cfRule>
  </conditionalFormatting>
  <conditionalFormatting sqref="K1:K53811">
    <cfRule type="containsText" dxfId="7" priority="6" operator="containsText" text="6">
      <formula>NOT(ISERROR(SEARCH(("6"),(K1))))</formula>
    </cfRule>
  </conditionalFormatting>
  <conditionalFormatting sqref="G1:G53811">
    <cfRule type="containsText" dxfId="8" priority="7" operator="containsText" text="5">
      <formula>NOT(ISERROR(SEARCH(("5"),(G1))))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